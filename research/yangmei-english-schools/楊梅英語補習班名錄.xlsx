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說明" sheetId="1" state="visible" r:id="rId3"/>
    <sheet name="楊梅20km名錄" sheetId="2" state="visible" r:id="rId4"/>
    <sheet name="全台英文補習班" sheetId="3" state="visible" r:id="rId5"/>
    <sheet name="規模統計" sheetId="4" state="visible" r:id="rId6"/>
    <sheet name="未對上立案"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<sst xmlns="http://schemas.openxmlformats.org/spreadsheetml/2006/main" count="66868" uniqueCount="28761">
  <si>
    <t xml:space="preserve">英語補習班名錄</t>
  </si>
  <si>
    <r>
      <rPr>
        <sz val="11"/>
        <color rgb="FF55625D"/>
        <rFont val="WenQuanYi Zen Hei"/>
        <family val="2"/>
      </rPr>
      <t xml:space="preserve">楊梅永平路 </t>
    </r>
    <r>
      <rPr>
        <sz val="11"/>
        <color rgb="FF55625D"/>
        <rFont val="Arial"/>
        <family val="0"/>
        <charset val="1"/>
      </rPr>
      <t xml:space="preserve">20 </t>
    </r>
    <r>
      <rPr>
        <sz val="11"/>
        <color rgb="FF55625D"/>
        <rFont val="WenQuanYi Zen Hei"/>
        <family val="2"/>
      </rPr>
      <t xml:space="preserve">公里圈 ＋ 全台立案英文補習班</t>
    </r>
  </si>
  <si>
    <t xml:space="preserve">擷取日期</t>
  </si>
  <si>
    <r>
      <rPr>
        <sz val="10"/>
        <color rgb="FF1F2A28"/>
        <rFont val="Arial"/>
        <family val="0"/>
        <charset val="1"/>
      </rPr>
      <t xml:space="preserve">2026-09-09</t>
    </r>
    <r>
      <rPr>
        <sz val="10"/>
        <color rgb="FF1F2A28"/>
        <rFont val="WenQuanYi Zen Hei"/>
        <family val="2"/>
      </rPr>
      <t xml:space="preserve">（</t>
    </r>
    <r>
      <rPr>
        <sz val="10"/>
        <color rgb="FF1F2A28"/>
        <rFont val="Arial"/>
        <family val="0"/>
        <charset val="1"/>
      </rPr>
      <t xml:space="preserve">Google </t>
    </r>
    <r>
      <rPr>
        <sz val="10"/>
        <color rgb="FF1F2A28"/>
        <rFont val="WenQuanYi Zen Hei"/>
        <family val="2"/>
      </rPr>
      <t xml:space="preserve">名單）／</t>
    </r>
    <r>
      <rPr>
        <sz val="10"/>
        <color rgb="FF1F2A28"/>
        <rFont val="Arial"/>
        <family val="0"/>
        <charset val="1"/>
      </rPr>
      <t xml:space="preserve">2026-09-10</t>
    </r>
    <r>
      <rPr>
        <sz val="10"/>
        <color rgb="FF1F2A28"/>
        <rFont val="WenQuanYi Zen Hei"/>
        <family val="2"/>
      </rPr>
      <t xml:space="preserve">（立案資料與 </t>
    </r>
    <r>
      <rPr>
        <sz val="10"/>
        <color rgb="FF1F2A28"/>
        <rFont val="Arial"/>
        <family val="0"/>
        <charset val="1"/>
      </rPr>
      <t xml:space="preserve">email</t>
    </r>
    <r>
      <rPr>
        <sz val="10"/>
        <color rgb="FF1F2A28"/>
        <rFont val="WenQuanYi Zen Hei"/>
        <family val="2"/>
      </rPr>
      <t xml:space="preserve">）</t>
    </r>
  </si>
  <si>
    <t xml:space="preserve">分頁說明</t>
  </si>
  <si>
    <r>
      <rPr>
        <b val="true"/>
        <sz val="10"/>
        <color rgb="FF1F2A28"/>
        <rFont val="WenQuanYi Zen Hei"/>
        <family val="2"/>
      </rPr>
      <t xml:space="preserve">楊梅</t>
    </r>
    <r>
      <rPr>
        <b val="true"/>
        <sz val="10"/>
        <color rgb="FF1F2A28"/>
        <rFont val="Arial"/>
        <family val="0"/>
        <charset val="1"/>
      </rPr>
      <t xml:space="preserve">20km</t>
    </r>
    <r>
      <rPr>
        <b val="true"/>
        <sz val="10"/>
        <color rgb="FF1F2A28"/>
        <rFont val="WenQuanYi Zen Hei"/>
        <family val="2"/>
      </rPr>
      <t xml:space="preserve">名錄</t>
    </r>
  </si>
  <si>
    <r>
      <rPr>
        <sz val="10"/>
        <color rgb="FF1F2A28"/>
        <rFont val="Arial"/>
        <family val="0"/>
        <charset val="1"/>
      </rPr>
      <t xml:space="preserve">159 </t>
    </r>
    <r>
      <rPr>
        <sz val="10"/>
        <color rgb="FF1F2A28"/>
        <rFont val="WenQuanYi Zen Hei"/>
        <family val="2"/>
      </rPr>
      <t xml:space="preserve">家。以桃園市楊梅區永平路（</t>
    </r>
    <r>
      <rPr>
        <sz val="10"/>
        <color rgb="FF1F2A28"/>
        <rFont val="Arial"/>
        <family val="0"/>
        <charset val="1"/>
      </rPr>
      <t xml:space="preserve">24.920261, 121.178141</t>
    </r>
    <r>
      <rPr>
        <sz val="10"/>
        <color rgb="FF1F2A28"/>
        <rFont val="WenQuanYi Zen Hei"/>
        <family val="2"/>
      </rPr>
      <t xml:space="preserve">）為圓心、半徑 </t>
    </r>
    <r>
      <rPr>
        <sz val="10"/>
        <color rgb="FF1F2A28"/>
        <rFont val="Arial"/>
        <family val="0"/>
        <charset val="1"/>
      </rPr>
      <t xml:space="preserve">20 </t>
    </r>
    <r>
      <rPr>
        <sz val="10"/>
        <color rgb="FF1F2A28"/>
        <rFont val="WenQuanYi Zen Hei"/>
        <family val="2"/>
      </rPr>
      <t xml:space="preserve">公里的英文補習班。名單來自 </t>
    </r>
    <r>
      <rPr>
        <sz val="10"/>
        <color rgb="FF1F2A28"/>
        <rFont val="Arial"/>
        <family val="0"/>
        <charset val="1"/>
      </rPr>
      <t xml:space="preserve">Google Maps</t>
    </r>
    <r>
      <rPr>
        <sz val="10"/>
        <color rgb="FF1F2A28"/>
        <rFont val="WenQuanYi Zen Hei"/>
        <family val="2"/>
      </rPr>
      <t xml:space="preserve">，含評分、官網、座標與距離；其中 </t>
    </r>
    <r>
      <rPr>
        <sz val="10"/>
        <color rgb="FF1F2A28"/>
        <rFont val="Arial"/>
        <family val="0"/>
        <charset val="1"/>
      </rPr>
      <t xml:space="preserve">120 </t>
    </r>
    <r>
      <rPr>
        <sz val="10"/>
        <color rgb="FF1F2A28"/>
        <rFont val="WenQuanYi Zen Hei"/>
        <family val="2"/>
      </rPr>
      <t xml:space="preserve">家已對上立案資料。</t>
    </r>
  </si>
  <si>
    <t xml:space="preserve">全台英文補習班</t>
  </si>
  <si>
    <r>
      <rPr>
        <sz val="10"/>
        <color rgb="FF1F2A28"/>
        <rFont val="Arial"/>
        <family val="0"/>
        <charset val="1"/>
      </rPr>
      <t xml:space="preserve">4,685 </t>
    </r>
    <r>
      <rPr>
        <sz val="10"/>
        <color rgb="FF1F2A28"/>
        <rFont val="WenQuanYi Zen Hei"/>
        <family val="2"/>
      </rPr>
      <t xml:space="preserve">家。完全來自教育部立案資料，涵蓋全台 </t>
    </r>
    <r>
      <rPr>
        <sz val="10"/>
        <color rgb="FF1F2A28"/>
        <rFont val="Arial"/>
        <family val="0"/>
        <charset val="1"/>
      </rPr>
      <t xml:space="preserve">22 </t>
    </r>
    <r>
      <rPr>
        <sz val="10"/>
        <color rgb="FF1F2A28"/>
        <rFont val="WenQuanYi Zen Hei"/>
        <family val="2"/>
      </rPr>
      <t xml:space="preserve">縣市。沒有 </t>
    </r>
    <r>
      <rPr>
        <sz val="10"/>
        <color rgb="FF1F2A28"/>
        <rFont val="Arial"/>
        <family val="0"/>
        <charset val="1"/>
      </rPr>
      <t xml:space="preserve">Google </t>
    </r>
    <r>
      <rPr>
        <sz val="10"/>
        <color rgb="FF1F2A28"/>
        <rFont val="WenQuanYi Zen Hei"/>
        <family val="2"/>
      </rPr>
      <t xml:space="preserve">評分、官網、座標與距離——那些需要 </t>
    </r>
    <r>
      <rPr>
        <sz val="10"/>
        <color rgb="FF1F2A28"/>
        <rFont val="Arial"/>
        <family val="0"/>
        <charset val="1"/>
      </rPr>
      <t xml:space="preserve">Places API</t>
    </r>
    <r>
      <rPr>
        <sz val="10"/>
        <color rgb="FF1F2A28"/>
        <rFont val="WenQuanYi Zen Hei"/>
        <family val="2"/>
      </rPr>
      <t xml:space="preserve">，而免費配額每日僅 </t>
    </r>
    <r>
      <rPr>
        <sz val="10"/>
        <color rgb="FF1F2A28"/>
        <rFont val="Arial"/>
        <family val="0"/>
        <charset val="1"/>
      </rPr>
      <t xml:space="preserve">100 </t>
    </r>
    <r>
      <rPr>
        <sz val="10"/>
        <color rgb="FF1F2A28"/>
        <rFont val="WenQuanYi Zen Hei"/>
        <family val="2"/>
      </rPr>
      <t xml:space="preserve">次，不可能涵蓋數千家。</t>
    </r>
  </si>
  <si>
    <t xml:space="preserve">規模統計</t>
  </si>
  <si>
    <t xml:space="preserve">整體、依距離級距、依規模分級、依行政區、全台依縣市。全部為公式，會自動重算。</t>
  </si>
  <si>
    <t xml:space="preserve">未對上立案</t>
  </si>
  <si>
    <r>
      <rPr>
        <sz val="10"/>
        <color rgb="FF1F2A28"/>
        <rFont val="Arial"/>
        <family val="0"/>
        <charset val="1"/>
      </rPr>
      <t xml:space="preserve">39 </t>
    </r>
    <r>
      <rPr>
        <sz val="10"/>
        <color rgb="FF1F2A28"/>
        <rFont val="WenQuanYi Zen Hei"/>
        <family val="2"/>
      </rPr>
      <t xml:space="preserve">家 </t>
    </r>
    <r>
      <rPr>
        <sz val="10"/>
        <color rgb="FF1F2A28"/>
        <rFont val="Arial"/>
        <family val="0"/>
        <charset val="1"/>
      </rPr>
      <t xml:space="preserve">Google </t>
    </r>
    <r>
      <rPr>
        <sz val="10"/>
        <color rgb="FF1F2A28"/>
        <rFont val="WenQuanYi Zen Hei"/>
        <family val="2"/>
      </rPr>
      <t xml:space="preserve">找得到、但對不上立案資料者。</t>
    </r>
  </si>
  <si>
    <t xml:space="preserve">資料來源</t>
  </si>
  <si>
    <t xml:space="preserve">名單／聯絡方式</t>
  </si>
  <si>
    <r>
      <rPr>
        <sz val="10"/>
        <color rgb="FF1F2A28"/>
        <rFont val="Arial"/>
        <family val="0"/>
        <charset val="1"/>
      </rPr>
      <t xml:space="preserve">Google Maps Places API (New) places:searchNearby</t>
    </r>
    <r>
      <rPr>
        <sz val="10"/>
        <color rgb="FF1F2A28"/>
        <rFont val="WenQuanYi Zen Hei"/>
        <family val="2"/>
      </rPr>
      <t xml:space="preserve">。六角網格 </t>
    </r>
    <r>
      <rPr>
        <sz val="10"/>
        <color rgb="FF1F2A28"/>
        <rFont val="Arial"/>
        <family val="0"/>
        <charset val="1"/>
      </rPr>
      <t xml:space="preserve">85 </t>
    </r>
    <r>
      <rPr>
        <sz val="10"/>
        <color rgb="FF1F2A28"/>
        <rFont val="WenQuanYi Zen Hei"/>
        <family val="2"/>
      </rPr>
      <t xml:space="preserve">格覆蓋 </t>
    </r>
    <r>
      <rPr>
        <sz val="10"/>
        <color rgb="FF1F2A28"/>
        <rFont val="Arial"/>
        <family val="0"/>
        <charset val="1"/>
      </rPr>
      <t xml:space="preserve">20 </t>
    </r>
    <r>
      <rPr>
        <sz val="10"/>
        <color rgb="FF1F2A28"/>
        <rFont val="WenQuanYi Zen Hei"/>
        <family val="2"/>
      </rPr>
      <t xml:space="preserve">公里圓域，每格半徑 </t>
    </r>
    <r>
      <rPr>
        <sz val="10"/>
        <color rgb="FF1F2A28"/>
        <rFont val="Arial"/>
        <family val="0"/>
        <charset val="1"/>
      </rPr>
      <t xml:space="preserve">2,800 </t>
    </r>
    <r>
      <rPr>
        <sz val="10"/>
        <color rgb="FF1F2A28"/>
        <rFont val="WenQuanYi Zen Hei"/>
        <family val="2"/>
      </rPr>
      <t xml:space="preserve">公尺；類型限 </t>
    </r>
    <r>
      <rPr>
        <sz val="10"/>
        <color rgb="FF1F2A28"/>
        <rFont val="Arial"/>
        <family val="0"/>
        <charset val="1"/>
      </rPr>
      <t xml:space="preserve">school </t>
    </r>
    <r>
      <rPr>
        <sz val="10"/>
        <color rgb="FF1F2A28"/>
        <rFont val="WenQuanYi Zen Hei"/>
        <family val="2"/>
      </rPr>
      <t xml:space="preserve">與 </t>
    </r>
    <r>
      <rPr>
        <sz val="10"/>
        <color rgb="FF1F2A28"/>
        <rFont val="Arial"/>
        <family val="0"/>
        <charset val="1"/>
      </rPr>
      <t xml:space="preserve">child_care_agency</t>
    </r>
    <r>
      <rPr>
        <sz val="10"/>
        <color rgb="FF1F2A28"/>
        <rFont val="WenQuanYi Zen Hei"/>
        <family val="2"/>
      </rPr>
      <t xml:space="preserve">，排除主類型為公立中小學與大學者。</t>
    </r>
  </si>
  <si>
    <r>
      <rPr>
        <b val="true"/>
        <sz val="10"/>
        <color rgb="FF1F2A28"/>
        <rFont val="WenQuanYi Zen Hei"/>
        <family val="2"/>
      </rPr>
      <t xml:space="preserve">立案資料／</t>
    </r>
    <r>
      <rPr>
        <b val="true"/>
        <sz val="10"/>
        <color rgb="FF1F2A28"/>
        <rFont val="Arial"/>
        <family val="0"/>
        <charset val="1"/>
      </rPr>
      <t xml:space="preserve">email</t>
    </r>
    <r>
      <rPr>
        <b val="true"/>
        <sz val="10"/>
        <color rgb="FF1F2A28"/>
        <rFont val="WenQuanYi Zen Hei"/>
        <family val="2"/>
      </rPr>
      <t xml:space="preserve">／規模</t>
    </r>
  </si>
  <si>
    <r>
      <rPr>
        <sz val="10"/>
        <color rgb="FF1F2A28"/>
        <rFont val="WenQuanYi Zen Hei"/>
        <family val="2"/>
      </rPr>
      <t xml:space="preserve">教育部「直轄市及各縣市短期補習班資訊管理系統」，經 </t>
    </r>
    <r>
      <rPr>
        <sz val="10"/>
        <color rgb="FF1F2A28"/>
        <rFont val="Arial"/>
        <family val="0"/>
        <charset val="1"/>
      </rPr>
      <t xml:space="preserve">https://afterschools.olc.tw/ </t>
    </r>
    <r>
      <rPr>
        <sz val="10"/>
        <color rgb="FF1F2A28"/>
        <rFont val="WenQuanYi Zen Hei"/>
        <family val="2"/>
      </rPr>
      <t xml:space="preserve">取得。全台 </t>
    </r>
    <r>
      <rPr>
        <sz val="10"/>
        <color rgb="FF1F2A28"/>
        <rFont val="Arial"/>
        <family val="0"/>
        <charset val="1"/>
      </rPr>
      <t xml:space="preserve">17,836 </t>
    </r>
    <r>
      <rPr>
        <sz val="10"/>
        <color rgb="FF1F2A28"/>
        <rFont val="WenQuanYi Zen Hei"/>
        <family val="2"/>
      </rPr>
      <t xml:space="preserve">家立案補習班中，外語類 </t>
    </r>
    <r>
      <rPr>
        <sz val="10"/>
        <color rgb="FF1F2A28"/>
        <rFont val="Arial"/>
        <family val="0"/>
        <charset val="1"/>
      </rPr>
      <t xml:space="preserve">4,819 </t>
    </r>
    <r>
      <rPr>
        <sz val="10"/>
        <color rgb="FF1F2A28"/>
        <rFont val="WenQuanYi Zen Hei"/>
        <family val="2"/>
      </rPr>
      <t xml:space="preserve">家，篩出實際教英文且未廢止者 </t>
    </r>
    <r>
      <rPr>
        <sz val="10"/>
        <color rgb="FF1F2A28"/>
        <rFont val="Arial"/>
        <family val="0"/>
        <charset val="1"/>
      </rPr>
      <t xml:space="preserve">4,685 </t>
    </r>
    <r>
      <rPr>
        <sz val="10"/>
        <color rgb="FF1F2A28"/>
        <rFont val="WenQuanYi Zen Hei"/>
        <family val="2"/>
      </rPr>
      <t xml:space="preserve">家。</t>
    </r>
  </si>
  <si>
    <t xml:space="preserve">官方原始站</t>
  </si>
  <si>
    <r>
      <rPr>
        <sz val="10"/>
        <color rgb="FF1F2A28"/>
        <rFont val="Arial"/>
        <family val="0"/>
        <charset val="1"/>
      </rPr>
      <t xml:space="preserve">https://bsb.kh.edu.tw/ </t>
    </r>
    <r>
      <rPr>
        <sz val="10"/>
        <color rgb="FF1F2A28"/>
        <rFont val="WenQuanYi Zen Hei"/>
        <family val="2"/>
      </rPr>
      <t xml:space="preserve">　立案資料權威版本，鏡站為二手；有出入以官方為準。</t>
    </r>
  </si>
  <si>
    <r>
      <rPr>
        <b val="true"/>
        <sz val="12"/>
        <color rgb="FF8A5A12"/>
        <rFont val="Arial"/>
        <family val="0"/>
        <charset val="1"/>
      </rPr>
      <t xml:space="preserve">email </t>
    </r>
    <r>
      <rPr>
        <b val="true"/>
        <sz val="12"/>
        <color rgb="FF8A5A12"/>
        <rFont val="WenQuanYi Zen Hei"/>
        <family val="2"/>
      </rPr>
      <t xml:space="preserve">欄位</t>
    </r>
  </si>
  <si>
    <t xml:space="preserve">來源</t>
  </si>
  <si>
    <r>
      <rPr>
        <sz val="10"/>
        <color rgb="FF1F2A28"/>
        <rFont val="WenQuanYi Zen Hei"/>
        <family val="2"/>
      </rPr>
      <t xml:space="preserve">立案登記的聯絡信箱，非 </t>
    </r>
    <r>
      <rPr>
        <sz val="10"/>
        <color rgb="FF1F2A28"/>
        <rFont val="Arial"/>
        <family val="0"/>
        <charset val="1"/>
      </rPr>
      <t xml:space="preserve">Google </t>
    </r>
    <r>
      <rPr>
        <sz val="10"/>
        <color rgb="FF1F2A28"/>
        <rFont val="WenQuanYi Zen Hei"/>
        <family val="2"/>
      </rPr>
      <t xml:space="preserve">資料（</t>
    </r>
    <r>
      <rPr>
        <sz val="10"/>
        <color rgb="FF1F2A28"/>
        <rFont val="Arial"/>
        <family val="0"/>
        <charset val="1"/>
      </rPr>
      <t xml:space="preserve">Google Places </t>
    </r>
    <r>
      <rPr>
        <sz val="10"/>
        <color rgb="FF1F2A28"/>
        <rFont val="WenQuanYi Zen Hei"/>
        <family val="2"/>
      </rPr>
      <t xml:space="preserve">沒有 </t>
    </r>
    <r>
      <rPr>
        <sz val="10"/>
        <color rgb="FF1F2A28"/>
        <rFont val="Arial"/>
        <family val="0"/>
        <charset val="1"/>
      </rPr>
      <t xml:space="preserve">email </t>
    </r>
    <r>
      <rPr>
        <sz val="10"/>
        <color rgb="FF1F2A28"/>
        <rFont val="WenQuanYi Zen Hei"/>
        <family val="2"/>
      </rPr>
      <t xml:space="preserve">欄位）。</t>
    </r>
  </si>
  <si>
    <t xml:space="preserve">覆蓋率</t>
  </si>
  <si>
    <r>
      <rPr>
        <sz val="10"/>
        <color rgb="FF1F2A28"/>
        <rFont val="WenQuanYi Zen Hei"/>
        <family val="2"/>
      </rPr>
      <t xml:space="preserve">楊梅名錄 </t>
    </r>
    <r>
      <rPr>
        <sz val="10"/>
        <color rgb="FF1F2A28"/>
        <rFont val="Arial"/>
        <family val="0"/>
        <charset val="1"/>
      </rPr>
      <t xml:space="preserve">113/159 </t>
    </r>
    <r>
      <rPr>
        <sz val="10"/>
        <color rgb="FF1F2A28"/>
        <rFont val="WenQuanYi Zen Hei"/>
        <family val="2"/>
      </rPr>
      <t xml:space="preserve">家；全台 </t>
    </r>
    <r>
      <rPr>
        <sz val="10"/>
        <color rgb="FF1F2A28"/>
        <rFont val="Arial"/>
        <family val="0"/>
        <charset val="1"/>
      </rPr>
      <t xml:space="preserve">3,790/4,685 </t>
    </r>
    <r>
      <rPr>
        <sz val="10"/>
        <color rgb="FF1F2A28"/>
        <rFont val="WenQuanYi Zen Hei"/>
        <family val="2"/>
      </rPr>
      <t xml:space="preserve">家（</t>
    </r>
    <r>
      <rPr>
        <sz val="10"/>
        <color rgb="FF1F2A28"/>
        <rFont val="Arial"/>
        <family val="0"/>
        <charset val="1"/>
      </rPr>
      <t xml:space="preserve">80%</t>
    </r>
    <r>
      <rPr>
        <sz val="10"/>
        <color rgb="FF1F2A28"/>
        <rFont val="WenQuanYi Zen Hei"/>
        <family val="2"/>
      </rPr>
      <t xml:space="preserve">）。全台其中 </t>
    </r>
    <r>
      <rPr>
        <sz val="10"/>
        <color rgb="FF1F2A28"/>
        <rFont val="Arial"/>
        <family val="0"/>
        <charset val="1"/>
      </rPr>
      <t xml:space="preserve">2,140 </t>
    </r>
    <r>
      <rPr>
        <sz val="10"/>
        <color rgb="FF1F2A28"/>
        <rFont val="WenQuanYi Zen Hei"/>
        <family val="2"/>
      </rPr>
      <t xml:space="preserve">家是 </t>
    </r>
    <r>
      <rPr>
        <sz val="10"/>
        <color rgb="FF1F2A28"/>
        <rFont val="Arial"/>
        <family val="0"/>
        <charset val="1"/>
      </rPr>
      <t xml:space="preserve">Gmail</t>
    </r>
    <r>
      <rPr>
        <sz val="10"/>
        <color rgb="FF1F2A28"/>
        <rFont val="WenQuanYi Zen Hei"/>
        <family val="2"/>
      </rPr>
      <t xml:space="preserve">。空白代表立案時未填或未更新。</t>
    </r>
  </si>
  <si>
    <t xml:space="preserve">注意</t>
  </si>
  <si>
    <t xml:space="preserve">這是負責人或班務的登記信箱，未必是招生窗口，也可能已停用。群發前請先小量測試退信率，並遵守個資法與商業電子郵件相關規範。</t>
  </si>
  <si>
    <t xml:space="preserve">重要限制</t>
  </si>
  <si>
    <t xml:space="preserve">沒有學生人數</t>
  </si>
  <si>
    <t xml:space="preserve">實際在學人數不屬於公開資訊，兩個來源都沒有這個欄位。</t>
  </si>
  <si>
    <t xml:space="preserve">核定容量的算法</t>
  </si>
  <si>
    <r>
      <rPr>
        <sz val="10"/>
        <color rgb="FF1F2A28"/>
        <rFont val="WenQuanYi Zen Hei"/>
        <family val="2"/>
      </rPr>
      <t xml:space="preserve">各核准科目「班級數 </t>
    </r>
    <r>
      <rPr>
        <sz val="10"/>
        <color rgb="FF1F2A28"/>
        <rFont val="Arial"/>
        <family val="0"/>
        <charset val="1"/>
      </rPr>
      <t xml:space="preserve">× </t>
    </r>
    <r>
      <rPr>
        <sz val="10"/>
        <color rgb="FF1F2A28"/>
        <rFont val="WenQuanYi Zen Hei"/>
        <family val="2"/>
      </rPr>
      <t xml:space="preserve">每班核准人數」加總，同一批學生修多科會重複計算，會出現「</t>
    </r>
    <r>
      <rPr>
        <sz val="10"/>
        <color rgb="FF1F2A28"/>
        <rFont val="Arial"/>
        <family val="0"/>
        <charset val="1"/>
      </rPr>
      <t xml:space="preserve">4 </t>
    </r>
    <r>
      <rPr>
        <sz val="10"/>
        <color rgb="FF1F2A28"/>
        <rFont val="WenQuanYi Zen Hei"/>
        <family val="2"/>
      </rPr>
      <t xml:space="preserve">間教室卻核定 </t>
    </r>
    <r>
      <rPr>
        <sz val="10"/>
        <color rgb="FF1F2A28"/>
        <rFont val="Arial"/>
        <family val="0"/>
        <charset val="1"/>
      </rPr>
      <t xml:space="preserve">1,773 </t>
    </r>
    <r>
      <rPr>
        <sz val="10"/>
        <color rgb="FF1F2A28"/>
        <rFont val="WenQuanYi Zen Hei"/>
        <family val="2"/>
      </rPr>
      <t xml:space="preserve">人」。判斷規模請看教室數與班舍總面積。</t>
    </r>
  </si>
  <si>
    <t xml:space="preserve">楊梅名單不完整</t>
  </si>
  <si>
    <r>
      <rPr>
        <sz val="10"/>
        <color rgb="FF1F2A28"/>
        <rFont val="Arial"/>
        <family val="0"/>
        <charset val="1"/>
      </rPr>
      <t xml:space="preserve">Places API </t>
    </r>
    <r>
      <rPr>
        <sz val="10"/>
        <color rgb="FF1F2A28"/>
        <rFont val="WenQuanYi Zen Hei"/>
        <family val="2"/>
      </rPr>
      <t xml:space="preserve">單次上限 </t>
    </r>
    <r>
      <rPr>
        <sz val="10"/>
        <color rgb="FF1F2A28"/>
        <rFont val="Arial"/>
        <family val="0"/>
        <charset val="1"/>
      </rPr>
      <t xml:space="preserve">20 </t>
    </r>
    <r>
      <rPr>
        <sz val="10"/>
        <color rgb="FF1F2A28"/>
        <rFont val="WenQuanYi Zen Hei"/>
        <family val="2"/>
      </rPr>
      <t xml:space="preserve">筆，</t>
    </r>
    <r>
      <rPr>
        <sz val="10"/>
        <color rgb="FF1F2A28"/>
        <rFont val="Arial"/>
        <family val="0"/>
        <charset val="1"/>
      </rPr>
      <t xml:space="preserve">85 </t>
    </r>
    <r>
      <rPr>
        <sz val="10"/>
        <color rgb="FF1F2A28"/>
        <rFont val="WenQuanYi Zen Hei"/>
        <family val="2"/>
      </rPr>
      <t xml:space="preserve">格中有 </t>
    </r>
    <r>
      <rPr>
        <sz val="10"/>
        <color rgb="FF1F2A28"/>
        <rFont val="Arial"/>
        <family val="0"/>
        <charset val="1"/>
      </rPr>
      <t xml:space="preserve">36 </t>
    </r>
    <r>
      <rPr>
        <sz val="10"/>
        <color rgb="FF1F2A28"/>
        <rFont val="WenQuanYi Zen Hei"/>
        <family val="2"/>
      </rPr>
      <t xml:space="preserve">格觸頂，中壢、桃園、八德等密集區有遺漏。同範圍立案外語類實有 </t>
    </r>
    <r>
      <rPr>
        <sz val="10"/>
        <color rgb="FF1F2A28"/>
        <rFont val="Arial"/>
        <family val="0"/>
        <charset val="1"/>
      </rPr>
      <t xml:space="preserve">1,064 </t>
    </r>
    <r>
      <rPr>
        <sz val="10"/>
        <color rgb="FF1F2A28"/>
        <rFont val="WenQuanYi Zen Hei"/>
        <family val="2"/>
      </rPr>
      <t xml:space="preserve">家，遠多於 </t>
    </r>
    <r>
      <rPr>
        <sz val="10"/>
        <color rgb="FF1F2A28"/>
        <rFont val="Arial"/>
        <family val="0"/>
        <charset val="1"/>
      </rPr>
      <t xml:space="preserve">Google </t>
    </r>
    <r>
      <rPr>
        <sz val="10"/>
        <color rgb="FF1F2A28"/>
        <rFont val="WenQuanYi Zen Hei"/>
        <family val="2"/>
      </rPr>
      <t xml:space="preserve">能看到的 </t>
    </r>
    <r>
      <rPr>
        <sz val="10"/>
        <color rgb="FF1F2A28"/>
        <rFont val="Arial"/>
        <family val="0"/>
        <charset val="1"/>
      </rPr>
      <t xml:space="preserve">159 </t>
    </r>
    <r>
      <rPr>
        <sz val="10"/>
        <color rgb="FF1F2A28"/>
        <rFont val="WenQuanYi Zen Hei"/>
        <family val="2"/>
      </rPr>
      <t xml:space="preserve">家。</t>
    </r>
  </si>
  <si>
    <t xml:space="preserve">全台名單較完整但無距離</t>
  </si>
  <si>
    <r>
      <rPr>
        <sz val="10"/>
        <color rgb="FF1F2A28"/>
        <rFont val="WenQuanYi Zen Hei"/>
        <family val="2"/>
      </rPr>
      <t xml:space="preserve">立案資料是普查等級，但沒有經緯度。要算距離需 </t>
    </r>
    <r>
      <rPr>
        <sz val="10"/>
        <color rgb="FF1F2A28"/>
        <rFont val="Arial"/>
        <family val="0"/>
        <charset val="1"/>
      </rPr>
      <t xml:space="preserve">Geocoding API</t>
    </r>
    <r>
      <rPr>
        <sz val="10"/>
        <color rgb="FF1F2A28"/>
        <rFont val="WenQuanYi Zen Hei"/>
        <family val="2"/>
      </rPr>
      <t xml:space="preserve">。</t>
    </r>
  </si>
  <si>
    <t xml:space="preserve">英文判定方式</t>
  </si>
  <si>
    <t xml:space="preserve">全台分頁以「核准科目含英文或美語」為準，其次看名稱；純日語、韓語補習班已剔除，已廢止／註銷者亦剔除。</t>
  </si>
  <si>
    <t xml:space="preserve">規模分級標準</t>
  </si>
  <si>
    <t xml:space="preserve">大型</t>
  </si>
  <si>
    <r>
      <rPr>
        <sz val="10"/>
        <color rgb="FF1F2A28"/>
        <rFont val="WenQuanYi Zen Hei"/>
        <family val="2"/>
      </rPr>
      <t xml:space="preserve">班舍總面積 ≥ </t>
    </r>
    <r>
      <rPr>
        <sz val="10"/>
        <color rgb="FF1F2A28"/>
        <rFont val="Arial"/>
        <family val="0"/>
        <charset val="1"/>
      </rPr>
      <t xml:space="preserve">400 </t>
    </r>
    <r>
      <rPr>
        <sz val="10"/>
        <color rgb="FF1F2A28"/>
        <rFont val="WenQuanYi Zen Hei"/>
        <family val="2"/>
      </rPr>
      <t xml:space="preserve">㎡ 或教室 ≥ </t>
    </r>
    <r>
      <rPr>
        <sz val="10"/>
        <color rgb="FF1F2A28"/>
        <rFont val="Arial"/>
        <family val="0"/>
        <charset val="1"/>
      </rPr>
      <t xml:space="preserve">8 </t>
    </r>
    <r>
      <rPr>
        <sz val="10"/>
        <color rgb="FF1F2A28"/>
        <rFont val="WenQuanYi Zen Hei"/>
        <family val="2"/>
      </rPr>
      <t xml:space="preserve">間</t>
    </r>
  </si>
  <si>
    <t xml:space="preserve">中型</t>
  </si>
  <si>
    <r>
      <rPr>
        <sz val="10"/>
        <color rgb="FF1F2A28"/>
        <rFont val="Arial"/>
        <family val="0"/>
        <charset val="1"/>
      </rPr>
      <t xml:space="preserve">≥ 200 </t>
    </r>
    <r>
      <rPr>
        <sz val="10"/>
        <color rgb="FF1F2A28"/>
        <rFont val="WenQuanYi Zen Hei"/>
        <family val="2"/>
      </rPr>
      <t xml:space="preserve">㎡ 或 ≥ </t>
    </r>
    <r>
      <rPr>
        <sz val="10"/>
        <color rgb="FF1F2A28"/>
        <rFont val="Arial"/>
        <family val="0"/>
        <charset val="1"/>
      </rPr>
      <t xml:space="preserve">5 </t>
    </r>
    <r>
      <rPr>
        <sz val="10"/>
        <color rgb="FF1F2A28"/>
        <rFont val="WenQuanYi Zen Hei"/>
        <family val="2"/>
      </rPr>
      <t xml:space="preserve">間</t>
    </r>
  </si>
  <si>
    <t xml:space="preserve">小型</t>
  </si>
  <si>
    <t xml:space="preserve">其餘</t>
  </si>
  <si>
    <t xml:space="preserve">空白</t>
  </si>
  <si>
    <t xml:space="preserve">未對上立案資料，無規模數據</t>
  </si>
  <si>
    <t xml:space="preserve">距離級距</t>
  </si>
  <si>
    <r>
      <rPr>
        <b val="true"/>
        <sz val="10"/>
        <color rgb="FFFFFFFF"/>
        <rFont val="WenQuanYi Zen Hei"/>
        <family val="2"/>
      </rPr>
      <t xml:space="preserve">距離</t>
    </r>
    <r>
      <rPr>
        <b val="true"/>
        <sz val="10"/>
        <color rgb="FFFFFFFF"/>
        <rFont val="Arial"/>
        <family val="0"/>
        <charset val="1"/>
      </rPr>
      <t xml:space="preserve">(km)</t>
    </r>
  </si>
  <si>
    <r>
      <rPr>
        <b val="true"/>
        <sz val="10"/>
        <color rgb="FFFFFFFF"/>
        <rFont val="WenQuanYi Zen Hei"/>
        <family val="2"/>
      </rPr>
      <t xml:space="preserve">名稱（</t>
    </r>
    <r>
      <rPr>
        <b val="true"/>
        <sz val="10"/>
        <color rgb="FFFFFFFF"/>
        <rFont val="Arial"/>
        <family val="0"/>
        <charset val="1"/>
      </rPr>
      <t xml:space="preserve">Google </t>
    </r>
    <r>
      <rPr>
        <b val="true"/>
        <sz val="10"/>
        <color rgb="FFFFFFFF"/>
        <rFont val="WenQuanYi Zen Hei"/>
        <family val="2"/>
      </rPr>
      <t xml:space="preserve">招牌）</t>
    </r>
  </si>
  <si>
    <t xml:space="preserve">立案名稱</t>
  </si>
  <si>
    <t xml:space="preserve">縣市</t>
  </si>
  <si>
    <t xml:space="preserve">行政區</t>
  </si>
  <si>
    <t xml:space="preserve">地址</t>
  </si>
  <si>
    <t xml:space="preserve">電話</t>
  </si>
  <si>
    <t xml:space="preserve">Email</t>
  </si>
  <si>
    <t xml:space="preserve">官網</t>
  </si>
  <si>
    <t xml:space="preserve">評分</t>
  </si>
  <si>
    <t xml:space="preserve">評論數</t>
  </si>
  <si>
    <t xml:space="preserve">規模</t>
  </si>
  <si>
    <t xml:space="preserve">教室數</t>
  </si>
  <si>
    <r>
      <rPr>
        <b val="true"/>
        <sz val="10"/>
        <color rgb="FFFFFFFF"/>
        <rFont val="WenQuanYi Zen Hei"/>
        <family val="2"/>
      </rPr>
      <t xml:space="preserve">教室面積</t>
    </r>
    <r>
      <rPr>
        <b val="true"/>
        <sz val="10"/>
        <color rgb="FFFFFFFF"/>
        <rFont val="Arial"/>
        <family val="0"/>
        <charset val="1"/>
      </rPr>
      <t xml:space="preserve">(</t>
    </r>
    <r>
      <rPr>
        <b val="true"/>
        <sz val="10"/>
        <color rgb="FFFFFFFF"/>
        <rFont val="WenQuanYi Zen Hei"/>
        <family val="2"/>
      </rPr>
      <t xml:space="preserve">㎡</t>
    </r>
    <r>
      <rPr>
        <b val="true"/>
        <sz val="10"/>
        <color rgb="FFFFFFFF"/>
        <rFont val="Arial"/>
        <family val="0"/>
        <charset val="1"/>
      </rPr>
      <t xml:space="preserve">)</t>
    </r>
  </si>
  <si>
    <r>
      <rPr>
        <b val="true"/>
        <sz val="10"/>
        <color rgb="FFFFFFFF"/>
        <rFont val="WenQuanYi Zen Hei"/>
        <family val="2"/>
      </rPr>
      <t xml:space="preserve">班舍總面積</t>
    </r>
    <r>
      <rPr>
        <b val="true"/>
        <sz val="10"/>
        <color rgb="FFFFFFFF"/>
        <rFont val="Arial"/>
        <family val="0"/>
        <charset val="1"/>
      </rPr>
      <t xml:space="preserve">(</t>
    </r>
    <r>
      <rPr>
        <b val="true"/>
        <sz val="10"/>
        <color rgb="FFFFFFFF"/>
        <rFont val="WenQuanYi Zen Hei"/>
        <family val="2"/>
      </rPr>
      <t xml:space="preserve">㎡</t>
    </r>
    <r>
      <rPr>
        <b val="true"/>
        <sz val="10"/>
        <color rgb="FFFFFFFF"/>
        <rFont val="Arial"/>
        <family val="0"/>
        <charset val="1"/>
      </rPr>
      <t xml:space="preserve">)</t>
    </r>
  </si>
  <si>
    <t xml:space="preserve">核准班級數</t>
  </si>
  <si>
    <r>
      <rPr>
        <b val="true"/>
        <sz val="10"/>
        <color rgb="FFFFFFFF"/>
        <rFont val="WenQuanYi Zen Hei"/>
        <family val="2"/>
      </rPr>
      <t xml:space="preserve">登記師資</t>
    </r>
    <r>
      <rPr>
        <b val="true"/>
        <sz val="10"/>
        <color rgb="FFFFFFFF"/>
        <rFont val="Arial"/>
        <family val="0"/>
        <charset val="1"/>
      </rPr>
      <t xml:space="preserve">(</t>
    </r>
    <r>
      <rPr>
        <b val="true"/>
        <sz val="10"/>
        <color rgb="FFFFFFFF"/>
        <rFont val="WenQuanYi Zen Hei"/>
        <family val="2"/>
      </rPr>
      <t xml:space="preserve">人</t>
    </r>
    <r>
      <rPr>
        <b val="true"/>
        <sz val="10"/>
        <color rgb="FFFFFFFF"/>
        <rFont val="Arial"/>
        <family val="0"/>
        <charset val="1"/>
      </rPr>
      <t xml:space="preserve">)</t>
    </r>
  </si>
  <si>
    <r>
      <rPr>
        <b val="true"/>
        <sz val="10"/>
        <color rgb="FFFFFFFF"/>
        <rFont val="WenQuanYi Zen Hei"/>
        <family val="2"/>
      </rPr>
      <t xml:space="preserve">核定容量</t>
    </r>
    <r>
      <rPr>
        <b val="true"/>
        <sz val="10"/>
        <color rgb="FFFFFFFF"/>
        <rFont val="Arial"/>
        <family val="0"/>
        <charset val="1"/>
      </rPr>
      <t xml:space="preserve">(</t>
    </r>
    <r>
      <rPr>
        <b val="true"/>
        <sz val="10"/>
        <color rgb="FFFFFFFF"/>
        <rFont val="WenQuanYi Zen Hei"/>
        <family val="2"/>
      </rPr>
      <t xml:space="preserve">人</t>
    </r>
    <r>
      <rPr>
        <b val="true"/>
        <sz val="10"/>
        <color rgb="FFFFFFFF"/>
        <rFont val="Arial"/>
        <family val="0"/>
        <charset val="1"/>
      </rPr>
      <t xml:space="preserve">)</t>
    </r>
  </si>
  <si>
    <r>
      <rPr>
        <b val="true"/>
        <sz val="10"/>
        <color rgb="FFFFFFFF"/>
        <rFont val="WenQuanYi Zen Hei"/>
        <family val="2"/>
      </rPr>
      <t xml:space="preserve">英文科核定</t>
    </r>
    <r>
      <rPr>
        <b val="true"/>
        <sz val="10"/>
        <color rgb="FFFFFFFF"/>
        <rFont val="Arial"/>
        <family val="0"/>
        <charset val="1"/>
      </rPr>
      <t xml:space="preserve">(</t>
    </r>
    <r>
      <rPr>
        <b val="true"/>
        <sz val="10"/>
        <color rgb="FFFFFFFF"/>
        <rFont val="WenQuanYi Zen Hei"/>
        <family val="2"/>
      </rPr>
      <t xml:space="preserve">人</t>
    </r>
    <r>
      <rPr>
        <b val="true"/>
        <sz val="10"/>
        <color rgb="FFFFFFFF"/>
        <rFont val="Arial"/>
        <family val="0"/>
        <charset val="1"/>
      </rPr>
      <t xml:space="preserve">)</t>
    </r>
  </si>
  <si>
    <t xml:space="preserve">立案類別</t>
  </si>
  <si>
    <t xml:space="preserve">立案日期</t>
  </si>
  <si>
    <t xml:space="preserve">負責人</t>
  </si>
  <si>
    <t xml:space="preserve">班主任</t>
  </si>
  <si>
    <t xml:space="preserve">比對方式</t>
  </si>
  <si>
    <t xml:space="preserve">立案頁</t>
  </si>
  <si>
    <t xml:space="preserve">Google Maps</t>
  </si>
  <si>
    <t xml:space="preserve">緯度</t>
  </si>
  <si>
    <t xml:space="preserve">經度</t>
  </si>
  <si>
    <t xml:space="preserve">0–5 km</t>
  </si>
  <si>
    <r>
      <rPr>
        <sz val="10"/>
        <color rgb="FF1F2A28"/>
        <rFont val="Arial"/>
        <family val="0"/>
        <charset val="1"/>
      </rPr>
      <t xml:space="preserve">D&amp;V Art and English Academy </t>
    </r>
    <r>
      <rPr>
        <sz val="10"/>
        <color rgb="FF1F2A28"/>
        <rFont val="WenQuanYi Zen Hei"/>
        <family val="2"/>
      </rPr>
      <t xml:space="preserve">英語藝術學院</t>
    </r>
  </si>
  <si>
    <t xml:space="preserve">私立大衛與費雯莉英語短期補習班</t>
  </si>
  <si>
    <t xml:space="preserve">桃園市</t>
  </si>
  <si>
    <t xml:space="preserve">楊梅區</t>
  </si>
  <si>
    <r>
      <rPr>
        <sz val="10"/>
        <color rgb="FF1F2A28"/>
        <rFont val="WenQuanYi Zen Hei"/>
        <family val="2"/>
      </rPr>
      <t xml:space="preserve">桃園市楊梅區四維里四維路</t>
    </r>
    <r>
      <rPr>
        <sz val="10"/>
        <color rgb="FF1F2A28"/>
        <rFont val="Arial"/>
        <family val="0"/>
        <charset val="1"/>
      </rPr>
      <t xml:space="preserve">62</t>
    </r>
    <r>
      <rPr>
        <sz val="10"/>
        <color rgb="FF1F2A28"/>
        <rFont val="WenQuanYi Zen Hei"/>
        <family val="2"/>
      </rPr>
      <t xml:space="preserve">號</t>
    </r>
  </si>
  <si>
    <t xml:space="preserve">03 481 0548</t>
  </si>
  <si>
    <t xml:space="preserve">dvenglish2021@gmail.com</t>
  </si>
  <si>
    <t xml:space="preserve">外語類</t>
  </si>
  <si>
    <t xml:space="preserve">2008-07-01</t>
  </si>
  <si>
    <t xml:space="preserve">鄧泓敦</t>
  </si>
  <si>
    <t xml:space="preserve">江筱書</t>
  </si>
  <si>
    <t xml:space="preserve">address</t>
  </si>
  <si>
    <t xml:space="preserve">地圖</t>
  </si>
  <si>
    <t xml:space="preserve">私立勝豐美語珠心算短期補習班</t>
  </si>
  <si>
    <r>
      <rPr>
        <sz val="10"/>
        <color rgb="FF1F2A28"/>
        <rFont val="WenQuanYi Zen Hei"/>
        <family val="2"/>
      </rPr>
      <t xml:space="preserve">桃園市楊梅區埔心里新興街</t>
    </r>
    <r>
      <rPr>
        <sz val="10"/>
        <color rgb="FF1F2A28"/>
        <rFont val="Arial"/>
        <family val="0"/>
        <charset val="1"/>
      </rPr>
      <t xml:space="preserve">35</t>
    </r>
    <r>
      <rPr>
        <sz val="10"/>
        <color rgb="FF1F2A28"/>
        <rFont val="WenQuanYi Zen Hei"/>
        <family val="2"/>
      </rPr>
      <t xml:space="preserve">號</t>
    </r>
  </si>
  <si>
    <t xml:space="preserve">03 481 7643</t>
  </si>
  <si>
    <t xml:space="preserve">li996110@gmail.com</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</si>
  <si>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商類：珠算、心算、會計</t>
    </r>
  </si>
  <si>
    <t xml:space="preserve">2002-02-20</t>
  </si>
  <si>
    <t xml:space="preserve">葉至芹</t>
  </si>
  <si>
    <t xml:space="preserve">黎桂容</t>
  </si>
  <si>
    <t xml:space="preserve">空中美語兒童美語 楊梅艾奇德 分校</t>
  </si>
  <si>
    <r>
      <rPr>
        <sz val="10"/>
        <color rgb="FF1F2A28"/>
        <rFont val="WenQuanYi Zen Hei"/>
        <family val="2"/>
      </rPr>
      <t xml:space="preserve">桃園市楊梅區四維里文化街</t>
    </r>
    <r>
      <rPr>
        <sz val="10"/>
        <color rgb="FF1F2A28"/>
        <rFont val="Arial"/>
        <family val="0"/>
        <charset val="1"/>
      </rPr>
      <t xml:space="preserve">96</t>
    </r>
    <r>
      <rPr>
        <sz val="10"/>
        <color rgb="FF1F2A28"/>
        <rFont val="WenQuanYi Zen Hei"/>
        <family val="2"/>
      </rPr>
      <t xml:space="preserve">號</t>
    </r>
  </si>
  <si>
    <t xml:space="preserve">03 481 8811</t>
  </si>
  <si>
    <t xml:space="preserve">承恩美語補習班</t>
  </si>
  <si>
    <t xml:space="preserve">環愛國際教育管理顧問股份有限公司附設私立承恩語文數學短期補習班</t>
  </si>
  <si>
    <r>
      <rPr>
        <sz val="10"/>
        <color rgb="FF1F2A28"/>
        <rFont val="WenQuanYi Zen Hei"/>
        <family val="2"/>
      </rPr>
      <t xml:space="preserve">桃園市楊梅區四維里四維路</t>
    </r>
    <r>
      <rPr>
        <sz val="10"/>
        <color rgb="FF1F2A28"/>
        <rFont val="Arial"/>
        <family val="0"/>
        <charset val="1"/>
      </rPr>
      <t xml:space="preserve">162</t>
    </r>
    <r>
      <rPr>
        <sz val="10"/>
        <color rgb="FF1F2A28"/>
        <rFont val="WenQuanYi Zen Hei"/>
        <family val="2"/>
      </rPr>
      <t xml:space="preserve">號</t>
    </r>
  </si>
  <si>
    <t xml:space="preserve">03 481 1177</t>
  </si>
  <si>
    <t xml:space="preserve">pipi_5016@yahoo.com.tw</t>
  </si>
  <si>
    <t xml:space="preserve">2004-12-16</t>
  </si>
  <si>
    <t xml:space="preserve">陳和順</t>
  </si>
  <si>
    <t xml:space="preserve">陳雪芳</t>
  </si>
  <si>
    <t xml:space="preserve">phone</t>
  </si>
  <si>
    <t xml:space="preserve">甜蜜美語文理短期補習班</t>
  </si>
  <si>
    <r>
      <rPr>
        <sz val="10"/>
        <color rgb="FF1F2A28"/>
        <rFont val="WenQuanYi Zen Hei"/>
        <family val="2"/>
      </rPr>
      <t xml:space="preserve">桃園市楊梅區裕成里裕成路</t>
    </r>
    <r>
      <rPr>
        <sz val="10"/>
        <color rgb="FF1F2A28"/>
        <rFont val="Arial"/>
        <family val="0"/>
        <charset val="1"/>
      </rPr>
      <t xml:space="preserve">158</t>
    </r>
    <r>
      <rPr>
        <sz val="10"/>
        <color rgb="FF1F2A28"/>
        <rFont val="WenQuanYi Zen Hei"/>
        <family val="2"/>
      </rPr>
      <t xml:space="preserve">巷</t>
    </r>
    <r>
      <rPr>
        <sz val="10"/>
        <color rgb="FF1F2A28"/>
        <rFont val="Arial"/>
        <family val="0"/>
        <charset val="1"/>
      </rPr>
      <t xml:space="preserve">31</t>
    </r>
    <r>
      <rPr>
        <sz val="10"/>
        <color rgb="FF1F2A28"/>
        <rFont val="WenQuanYi Zen Hei"/>
        <family val="2"/>
      </rPr>
      <t xml:space="preserve">號</t>
    </r>
  </si>
  <si>
    <t xml:space="preserve">03 431 4018</t>
  </si>
  <si>
    <r>
      <rPr>
        <sz val="10"/>
        <color rgb="FF1F2A28"/>
        <rFont val="WenQuanYi Zen Hei"/>
        <family val="2"/>
      </rPr>
      <t xml:space="preserve">愛美語楊梅大同二校</t>
    </r>
    <r>
      <rPr>
        <sz val="10"/>
        <color rgb="FF1F2A28"/>
        <rFont val="Arial"/>
        <family val="0"/>
        <charset val="1"/>
      </rPr>
      <t xml:space="preserve">-</t>
    </r>
    <r>
      <rPr>
        <sz val="10"/>
        <color rgb="FF1F2A28"/>
        <rFont val="WenQuanYi Zen Hei"/>
        <family val="2"/>
      </rPr>
      <t xml:space="preserve">漢峰補習班</t>
    </r>
  </si>
  <si>
    <t xml:space="preserve">私立漢峰文理短期補習班梅高分班</t>
  </si>
  <si>
    <r>
      <rPr>
        <sz val="10"/>
        <color rgb="FF1F2A28"/>
        <rFont val="WenQuanYi Zen Hei"/>
        <family val="2"/>
      </rPr>
      <t xml:space="preserve">桃園市楊梅區楊梅里梅高路</t>
    </r>
    <r>
      <rPr>
        <sz val="10"/>
        <color rgb="FF1F2A28"/>
        <rFont val="Arial"/>
        <family val="0"/>
        <charset val="1"/>
      </rPr>
      <t xml:space="preserve">60</t>
    </r>
    <r>
      <rPr>
        <sz val="10"/>
        <color rgb="FF1F2A28"/>
        <rFont val="WenQuanYi Zen Hei"/>
        <family val="2"/>
      </rPr>
      <t xml:space="preserve">號</t>
    </r>
  </si>
  <si>
    <t xml:space="preserve">03 488 2055</t>
  </si>
  <si>
    <t xml:space="preserve">melody_cher@yahoo.com.tw</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</si>
  <si>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</si>
  <si>
    <t xml:space="preserve">2025-12-24</t>
  </si>
  <si>
    <t xml:space="preserve">謝鳳璇</t>
  </si>
  <si>
    <t xml:space="preserve">歐馥瑄</t>
  </si>
  <si>
    <t xml:space="preserve">莫比思美語楊梅分校 智瀚語文補習班</t>
  </si>
  <si>
    <t xml:space="preserve">私立智瀚語文短期補習班</t>
  </si>
  <si>
    <r>
      <rPr>
        <sz val="10"/>
        <color rgb="FF1F2A28"/>
        <rFont val="WenQuanYi Zen Hei"/>
        <family val="2"/>
      </rPr>
      <t xml:space="preserve">桃園市楊梅區楊梅里大平街</t>
    </r>
    <r>
      <rPr>
        <sz val="10"/>
        <color rgb="FF1F2A28"/>
        <rFont val="Arial"/>
        <family val="0"/>
        <charset val="1"/>
      </rPr>
      <t xml:space="preserve">23</t>
    </r>
    <r>
      <rPr>
        <sz val="10"/>
        <color rgb="FF1F2A28"/>
        <rFont val="WenQuanYi Zen Hei"/>
        <family val="2"/>
      </rPr>
      <t xml:space="preserve">號</t>
    </r>
  </si>
  <si>
    <t xml:space="preserve">03 478 3105</t>
  </si>
  <si>
    <t xml:space="preserve">april.chen1977@gmail.com</t>
  </si>
  <si>
    <t xml:space="preserve">2012-06-04</t>
  </si>
  <si>
    <t xml:space="preserve">陳宗婷</t>
  </si>
  <si>
    <r>
      <rPr>
        <sz val="10"/>
        <color rgb="FF1F2A28"/>
        <rFont val="WenQuanYi Zen Hei"/>
        <family val="2"/>
      </rPr>
      <t xml:space="preserve">愛美語楊梅大同一校</t>
    </r>
    <r>
      <rPr>
        <sz val="10"/>
        <color rgb="FF1F2A28"/>
        <rFont val="Arial"/>
        <family val="0"/>
        <charset val="1"/>
      </rPr>
      <t xml:space="preserve">-</t>
    </r>
    <r>
      <rPr>
        <sz val="10"/>
        <color rgb="FF1F2A28"/>
        <rFont val="WenQuanYi Zen Hei"/>
        <family val="2"/>
      </rPr>
      <t xml:space="preserve">漢峰語文文理補習班</t>
    </r>
  </si>
  <si>
    <t xml:space="preserve">私立漢峰語文文理短期補習班</t>
  </si>
  <si>
    <r>
      <rPr>
        <sz val="10"/>
        <color rgb="FF1F2A28"/>
        <rFont val="WenQuanYi Zen Hei"/>
        <family val="2"/>
      </rPr>
      <t xml:space="preserve">桃園市楊梅區楊梅里大平街</t>
    </r>
    <r>
      <rPr>
        <sz val="10"/>
        <color rgb="FF1F2A28"/>
        <rFont val="Arial"/>
        <family val="0"/>
        <charset val="1"/>
      </rPr>
      <t xml:space="preserve">62</t>
    </r>
    <r>
      <rPr>
        <sz val="10"/>
        <color rgb="FF1F2A28"/>
        <rFont val="WenQuanYi Zen Hei"/>
        <family val="2"/>
      </rPr>
      <t xml:space="preserve">號</t>
    </r>
  </si>
  <si>
    <t xml:space="preserve">03 475 0803</t>
  </si>
  <si>
    <t xml:space="preserve">2003-08-19</t>
  </si>
  <si>
    <r>
      <rPr>
        <sz val="10"/>
        <color rgb="FF1F2A28"/>
        <rFont val="WenQuanYi Zen Hei"/>
        <family val="2"/>
      </rPr>
      <t xml:space="preserve">私立傑西美語短期補習班</t>
    </r>
    <r>
      <rPr>
        <sz val="10"/>
        <color rgb="FF1F2A28"/>
        <rFont val="Arial"/>
        <family val="0"/>
        <charset val="1"/>
      </rPr>
      <t xml:space="preserve">-</t>
    </r>
    <r>
      <rPr>
        <sz val="10"/>
        <color rgb="FF1F2A28"/>
        <rFont val="WenQuanYi Zen Hei"/>
        <family val="2"/>
      </rPr>
      <t xml:space="preserve">楊梅兒童美語</t>
    </r>
    <r>
      <rPr>
        <sz val="10"/>
        <color rgb="FF1F2A28"/>
        <rFont val="Arial"/>
        <family val="0"/>
        <charset val="1"/>
      </rPr>
      <t xml:space="preserve">|</t>
    </r>
    <r>
      <rPr>
        <sz val="10"/>
        <color rgb="FF1F2A28"/>
        <rFont val="WenQuanYi Zen Hei"/>
        <family val="2"/>
      </rPr>
      <t xml:space="preserve">推薦英文班</t>
    </r>
    <r>
      <rPr>
        <sz val="10"/>
        <color rgb="FF1F2A28"/>
        <rFont val="Arial"/>
        <family val="0"/>
        <charset val="1"/>
      </rPr>
      <t xml:space="preserve">|</t>
    </r>
    <r>
      <rPr>
        <sz val="10"/>
        <color rgb="FF1F2A28"/>
        <rFont val="WenQuanYi Zen Hei"/>
        <family val="2"/>
      </rPr>
      <t xml:space="preserve">英文補習班</t>
    </r>
    <r>
      <rPr>
        <sz val="10"/>
        <color rgb="FF1F2A28"/>
        <rFont val="Arial"/>
        <family val="0"/>
        <charset val="1"/>
      </rPr>
      <t xml:space="preserve">|</t>
    </r>
    <r>
      <rPr>
        <sz val="10"/>
        <color rgb="FF1F2A28"/>
        <rFont val="WenQuanYi Zen Hei"/>
        <family val="2"/>
      </rPr>
      <t xml:space="preserve">全美班</t>
    </r>
    <r>
      <rPr>
        <sz val="10"/>
        <color rgb="FF1F2A28"/>
        <rFont val="Arial"/>
        <family val="0"/>
        <charset val="1"/>
      </rPr>
      <t xml:space="preserve">|</t>
    </r>
    <r>
      <rPr>
        <sz val="10"/>
        <color rgb="FF1F2A28"/>
        <rFont val="WenQuanYi Zen Hei"/>
        <family val="2"/>
      </rPr>
      <t xml:space="preserve">外師一對一</t>
    </r>
    <r>
      <rPr>
        <sz val="10"/>
        <color rgb="FF1F2A28"/>
        <rFont val="Arial"/>
        <family val="0"/>
        <charset val="1"/>
      </rPr>
      <t xml:space="preserve">|</t>
    </r>
    <r>
      <rPr>
        <sz val="10"/>
        <color rgb="FF1F2A28"/>
        <rFont val="WenQuanYi Zen Hei"/>
        <family val="2"/>
      </rPr>
      <t xml:space="preserve">全民英檢課程</t>
    </r>
    <r>
      <rPr>
        <sz val="10"/>
        <color rgb="FF1F2A28"/>
        <rFont val="Arial"/>
        <family val="0"/>
        <charset val="1"/>
      </rPr>
      <t xml:space="preserve">|</t>
    </r>
    <r>
      <rPr>
        <sz val="10"/>
        <color rgb="FF1F2A28"/>
        <rFont val="WenQuanYi Zen Hei"/>
        <family val="2"/>
      </rPr>
      <t xml:space="preserve">全科補習班</t>
    </r>
    <r>
      <rPr>
        <sz val="10"/>
        <color rgb="FF1F2A28"/>
        <rFont val="Arial"/>
        <family val="0"/>
        <charset val="1"/>
      </rPr>
      <t xml:space="preserve">|</t>
    </r>
    <r>
      <rPr>
        <sz val="10"/>
        <color rgb="FF1F2A28"/>
        <rFont val="WenQuanYi Zen Hei"/>
        <family val="2"/>
      </rPr>
      <t xml:space="preserve">幼兒美語</t>
    </r>
  </si>
  <si>
    <t xml:space="preserve">私立傑西魔法美語文理短期補習班</t>
  </si>
  <si>
    <r>
      <rPr>
        <sz val="10"/>
        <color rgb="FF1F2A28"/>
        <rFont val="WenQuanYi Zen Hei"/>
        <family val="2"/>
      </rPr>
      <t xml:space="preserve">桃園市楊梅區楊梅里大模街</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57</t>
    </r>
    <r>
      <rPr>
        <sz val="10"/>
        <color rgb="FF1F2A28"/>
        <rFont val="WenQuanYi Zen Hei"/>
        <family val="2"/>
      </rPr>
      <t xml:space="preserve">號</t>
    </r>
  </si>
  <si>
    <t xml:space="preserve">03 478 0758</t>
  </si>
  <si>
    <t xml:space="preserve">jessiemagicschool@gmail.com</t>
  </si>
  <si>
    <t xml:space="preserve">2002-10-11</t>
  </si>
  <si>
    <t xml:space="preserve">廖月華</t>
  </si>
  <si>
    <t xml:space="preserve">張秀蘭</t>
  </si>
  <si>
    <t xml:space="preserve">政大聯合文理語文短期補習班</t>
  </si>
  <si>
    <t xml:space="preserve">私立傑兒文理短期補習班</t>
  </si>
  <si>
    <r>
      <rPr>
        <sz val="10"/>
        <color rgb="FF1F2A28"/>
        <rFont val="WenQuanYi Zen Hei"/>
        <family val="2"/>
      </rPr>
      <t xml:space="preserve">桃園市楊梅區楊梅里大成路</t>
    </r>
    <r>
      <rPr>
        <sz val="10"/>
        <color rgb="FF1F2A28"/>
        <rFont val="Arial"/>
        <family val="0"/>
        <charset val="1"/>
      </rPr>
      <t xml:space="preserve">109</t>
    </r>
    <r>
      <rPr>
        <sz val="10"/>
        <color rgb="FF1F2A28"/>
        <rFont val="WenQuanYi Zen Hei"/>
        <family val="2"/>
      </rPr>
      <t xml:space="preserve">號</t>
    </r>
    <r>
      <rPr>
        <sz val="10"/>
        <color rgb="FF1F2A28"/>
        <rFont val="Arial"/>
        <family val="0"/>
        <charset val="1"/>
      </rPr>
      <t xml:space="preserve">3F</t>
    </r>
  </si>
  <si>
    <t xml:space="preserve">0981 745 350</t>
  </si>
  <si>
    <t xml:space="preserve">qaz62062009@gmail.com</t>
  </si>
  <si>
    <t xml:space="preserve">2009-06-23</t>
  </si>
  <si>
    <t xml:space="preserve">張瑞智</t>
  </si>
  <si>
    <r>
      <rPr>
        <sz val="10"/>
        <color rgb="FF1F2A28"/>
        <rFont val="WenQuanYi Zen Hei"/>
        <family val="2"/>
      </rPr>
      <t xml:space="preserve">喬立安美語</t>
    </r>
    <r>
      <rPr>
        <sz val="10"/>
        <color rgb="FF1F2A28"/>
        <rFont val="Arial"/>
        <family val="0"/>
        <charset val="1"/>
      </rPr>
      <t xml:space="preserve">Joanne’s Language Program</t>
    </r>
  </si>
  <si>
    <t xml:space="preserve">私立喬立安美語短期補習班</t>
  </si>
  <si>
    <r>
      <rPr>
        <sz val="10"/>
        <color rgb="FF1F2A28"/>
        <rFont val="WenQuanYi Zen Hei"/>
        <family val="2"/>
      </rPr>
      <t xml:space="preserve">桃園市楊梅區楊江里大平街</t>
    </r>
    <r>
      <rPr>
        <sz val="10"/>
        <color rgb="FF1F2A28"/>
        <rFont val="Arial"/>
        <family val="0"/>
        <charset val="1"/>
      </rPr>
      <t xml:space="preserve">85</t>
    </r>
    <r>
      <rPr>
        <sz val="10"/>
        <color rgb="FF1F2A28"/>
        <rFont val="WenQuanYi Zen Hei"/>
        <family val="2"/>
      </rPr>
      <t xml:space="preserve">號</t>
    </r>
  </si>
  <si>
    <t xml:space="preserve">03 485 4477</t>
  </si>
  <si>
    <t xml:space="preserve">angelahsieh@qq.com</t>
  </si>
  <si>
    <t xml:space="preserve">2008-06-04</t>
  </si>
  <si>
    <t xml:space="preserve">謝幼珍</t>
  </si>
  <si>
    <t xml:space="preserve">空中美語兒童美語 佶林文理短期補習班</t>
  </si>
  <si>
    <t xml:space="preserve">私立佶林文理短期補習班</t>
  </si>
  <si>
    <r>
      <rPr>
        <sz val="10"/>
        <color rgb="FF1F2A28"/>
        <rFont val="WenQuanYi Zen Hei"/>
        <family val="2"/>
      </rPr>
      <t xml:space="preserve">桃園市楊梅區楊江里大平街</t>
    </r>
    <r>
      <rPr>
        <sz val="10"/>
        <color rgb="FF1F2A28"/>
        <rFont val="Arial"/>
        <family val="0"/>
        <charset val="1"/>
      </rPr>
      <t xml:space="preserve">126</t>
    </r>
    <r>
      <rPr>
        <sz val="10"/>
        <color rgb="FF1F2A28"/>
        <rFont val="WenQuanYi Zen Hei"/>
        <family val="2"/>
      </rPr>
      <t xml:space="preserve">號</t>
    </r>
  </si>
  <si>
    <t xml:space="preserve">03 485 4778</t>
  </si>
  <si>
    <t xml:space="preserve">m875205@yahoo.com.tw</t>
  </si>
  <si>
    <t xml:space="preserve">2004-05-25</t>
  </si>
  <si>
    <t xml:space="preserve">黃瓅靚</t>
  </si>
  <si>
    <t xml:space="preserve">凱思英語短期補習班</t>
  </si>
  <si>
    <t xml:space="preserve">私立凱思英語文理短期補習班</t>
  </si>
  <si>
    <r>
      <rPr>
        <sz val="10"/>
        <color rgb="FF1F2A28"/>
        <rFont val="WenQuanYi Zen Hei"/>
        <family val="2"/>
      </rPr>
      <t xml:space="preserve">桃園市楊梅區永寧里永寧路一巷</t>
    </r>
    <r>
      <rPr>
        <sz val="10"/>
        <color rgb="FF1F2A28"/>
        <rFont val="Arial"/>
        <family val="0"/>
        <charset val="1"/>
      </rPr>
      <t xml:space="preserve">6</t>
    </r>
    <r>
      <rPr>
        <sz val="10"/>
        <color rgb="FF1F2A28"/>
        <rFont val="WenQuanYi Zen Hei"/>
        <family val="2"/>
      </rPr>
      <t xml:space="preserve">號</t>
    </r>
  </si>
  <si>
    <t xml:space="preserve">03 485 4650</t>
  </si>
  <si>
    <t xml:space="preserve">ksenglish05@gmail.com</t>
  </si>
  <si>
    <t xml:space="preserve">2014-12-29</t>
  </si>
  <si>
    <t xml:space="preserve">王敏而</t>
  </si>
  <si>
    <t xml:space="preserve">明道增</t>
  </si>
  <si>
    <t xml:space="preserve">群勵文理美語補習班</t>
  </si>
  <si>
    <t xml:space="preserve">私立群勵文理美語短期補習班</t>
  </si>
  <si>
    <r>
      <rPr>
        <sz val="10"/>
        <color rgb="FF1F2A28"/>
        <rFont val="WenQuanYi Zen Hei"/>
        <family val="2"/>
      </rPr>
      <t xml:space="preserve">桃園市楊梅區永寧里永寧路</t>
    </r>
    <r>
      <rPr>
        <sz val="10"/>
        <color rgb="FF1F2A28"/>
        <rFont val="Arial"/>
        <family val="0"/>
        <charset val="1"/>
      </rPr>
      <t xml:space="preserve">17</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</si>
  <si>
    <t xml:space="preserve">03 488 0637</t>
  </si>
  <si>
    <t xml:space="preserve">2007-01-08</t>
  </si>
  <si>
    <t xml:space="preserve">曾倩敏</t>
  </si>
  <si>
    <r>
      <rPr>
        <sz val="10"/>
        <color rgb="FF1F2A28"/>
        <rFont val="WenQuanYi Zen Hei"/>
        <family val="2"/>
      </rPr>
      <t xml:space="preserve">喬登美語</t>
    </r>
    <r>
      <rPr>
        <sz val="10"/>
        <color rgb="FF1F2A28"/>
        <rFont val="Arial"/>
        <family val="0"/>
        <charset val="1"/>
      </rPr>
      <t xml:space="preserve">(</t>
    </r>
    <r>
      <rPr>
        <sz val="10"/>
        <color rgb="FF1F2A28"/>
        <rFont val="WenQuanYi Zen Hei"/>
        <family val="2"/>
      </rPr>
      <t xml:space="preserve">祥安分校</t>
    </r>
    <r>
      <rPr>
        <sz val="10"/>
        <color rgb="FF1F2A28"/>
        <rFont val="Arial"/>
        <family val="0"/>
        <charset val="1"/>
      </rPr>
      <t xml:space="preserve">)</t>
    </r>
  </si>
  <si>
    <t xml:space="preserve">私立尼恩語文文理短期補習班</t>
  </si>
  <si>
    <t xml:space="preserve">平鎮區</t>
  </si>
  <si>
    <r>
      <rPr>
        <sz val="10"/>
        <color rgb="FF1F2A28"/>
        <rFont val="WenQuanYi Zen Hei"/>
        <family val="2"/>
      </rPr>
      <t xml:space="preserve">桃園市平鎮區湧安里湧安路</t>
    </r>
    <r>
      <rPr>
        <sz val="10"/>
        <color rgb="FF1F2A28"/>
        <rFont val="Arial"/>
        <family val="0"/>
        <charset val="1"/>
      </rPr>
      <t xml:space="preserve">44</t>
    </r>
    <r>
      <rPr>
        <sz val="10"/>
        <color rgb="FF1F2A28"/>
        <rFont val="WenQuanYi Zen Hei"/>
        <family val="2"/>
      </rPr>
      <t xml:space="preserve">號</t>
    </r>
  </si>
  <si>
    <t xml:space="preserve">03 419 2435</t>
  </si>
  <si>
    <t xml:space="preserve">ange198100@yahoo.com.tw</t>
  </si>
  <si>
    <t xml:space="preserve">2013-05-15</t>
  </si>
  <si>
    <t xml:space="preserve">王錦慧</t>
  </si>
  <si>
    <t xml:space="preserve">張國樑</t>
  </si>
  <si>
    <t xml:space="preserve">佑育語文文理短期補習班</t>
  </si>
  <si>
    <r>
      <rPr>
        <sz val="10"/>
        <color rgb="FF1F2A28"/>
        <rFont val="WenQuanYi Zen Hei"/>
        <family val="2"/>
      </rPr>
      <t xml:space="preserve">桃園市楊梅區新榮里富榮路</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</si>
  <si>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03 490 6733</t>
  </si>
  <si>
    <r>
      <rPr>
        <sz val="10"/>
        <color rgb="FF1F2A28"/>
        <rFont val="WenQuanYi Zen Hei"/>
        <family val="2"/>
      </rPr>
      <t xml:space="preserve">長頸鹿美語</t>
    </r>
    <r>
      <rPr>
        <sz val="10"/>
        <color rgb="FF1F2A28"/>
        <rFont val="Arial"/>
        <family val="0"/>
        <charset val="1"/>
      </rPr>
      <t xml:space="preserve">-</t>
    </r>
    <r>
      <rPr>
        <sz val="10"/>
        <color rgb="FF1F2A28"/>
        <rFont val="WenQuanYi Zen Hei"/>
        <family val="2"/>
      </rPr>
      <t xml:space="preserve">平鎮文化分校 文化國小補習班推薦 課輔班 兒童美語 國小英文 國小美語 小一先修班 正音班 英檢班</t>
    </r>
  </si>
  <si>
    <t xml:space="preserve">私立卓越大文理短期補習班</t>
  </si>
  <si>
    <r>
      <rPr>
        <sz val="10"/>
        <color rgb="FF1F2A28"/>
        <rFont val="WenQuanYi Zen Hei"/>
        <family val="2"/>
      </rPr>
      <t xml:space="preserve">桃園市平鎮區復旦里文化街</t>
    </r>
    <r>
      <rPr>
        <sz val="10"/>
        <color rgb="FF1F2A28"/>
        <rFont val="Arial"/>
        <family val="0"/>
        <charset val="1"/>
      </rPr>
      <t xml:space="preserve">186</t>
    </r>
    <r>
      <rPr>
        <sz val="10"/>
        <color rgb="FF1F2A28"/>
        <rFont val="WenQuanYi Zen Hei"/>
        <family val="2"/>
      </rPr>
      <t xml:space="preserve">號</t>
    </r>
  </si>
  <si>
    <t xml:space="preserve">03 493 1210</t>
  </si>
  <si>
    <t xml:space="preserve">jingjing1155@yahoo.com.tw</t>
  </si>
  <si>
    <t xml:space="preserve">文理類</t>
  </si>
  <si>
    <t xml:space="preserve">2009-07-06</t>
  </si>
  <si>
    <t xml:space="preserve">胡菁芬</t>
  </si>
  <si>
    <t xml:space="preserve">雅典音樂語文短期補習班</t>
  </si>
  <si>
    <t xml:space="preserve">私立雅典音樂語文短期補習班</t>
  </si>
  <si>
    <r>
      <rPr>
        <sz val="10"/>
        <color rgb="FF1F2A28"/>
        <rFont val="WenQuanYi Zen Hei"/>
        <family val="2"/>
      </rPr>
      <t xml:space="preserve">桃園市平鎮區復旦里文化街</t>
    </r>
    <r>
      <rPr>
        <sz val="10"/>
        <color rgb="FF1F2A28"/>
        <rFont val="Arial"/>
        <family val="0"/>
        <charset val="1"/>
      </rPr>
      <t xml:space="preserve">180</t>
    </r>
    <r>
      <rPr>
        <sz val="10"/>
        <color rgb="FF1F2A28"/>
        <rFont val="WenQuanYi Zen Hei"/>
        <family val="2"/>
      </rPr>
      <t xml:space="preserve">號</t>
    </r>
  </si>
  <si>
    <t xml:space="preserve">03 493 5080</t>
  </si>
  <si>
    <t xml:space="preserve">yinyizu@yahoo.com.tw</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</si>
  <si>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音樂、舞蹈類</t>
    </r>
  </si>
  <si>
    <t xml:space="preserve">2006-12-22</t>
  </si>
  <si>
    <t xml:space="preserve">鄞薏如</t>
  </si>
  <si>
    <t xml:space="preserve">奧斯汀美語 微思分校</t>
  </si>
  <si>
    <t xml:space="preserve">私立微思文理短期補習班</t>
  </si>
  <si>
    <r>
      <rPr>
        <sz val="10"/>
        <color rgb="FF1F2A28"/>
        <rFont val="WenQuanYi Zen Hei"/>
        <family val="2"/>
      </rPr>
      <t xml:space="preserve">桃園市平鎮區復旦里復旦路二段</t>
    </r>
    <r>
      <rPr>
        <sz val="10"/>
        <color rgb="FF1F2A28"/>
        <rFont val="Arial"/>
        <family val="0"/>
        <charset val="1"/>
      </rPr>
      <t xml:space="preserve">150</t>
    </r>
    <r>
      <rPr>
        <sz val="10"/>
        <color rgb="FF1F2A28"/>
        <rFont val="WenQuanYi Zen Hei"/>
        <family val="2"/>
      </rPr>
      <t xml:space="preserve">巷</t>
    </r>
    <r>
      <rPr>
        <sz val="10"/>
        <color rgb="FF1F2A28"/>
        <rFont val="Arial"/>
        <family val="0"/>
        <charset val="1"/>
      </rPr>
      <t xml:space="preserve">271</t>
    </r>
    <r>
      <rPr>
        <sz val="10"/>
        <color rgb="FF1F2A28"/>
        <rFont val="WenQuanYi Zen Hei"/>
        <family val="2"/>
      </rPr>
      <t xml:space="preserve">號</t>
    </r>
  </si>
  <si>
    <t xml:space="preserve">03 494 0020</t>
  </si>
  <si>
    <t xml:space="preserve">blli8216@yahoo.com.tw</t>
  </si>
  <si>
    <t xml:space="preserve">2025-04-30</t>
  </si>
  <si>
    <t xml:space="preserve">廖偉宏</t>
  </si>
  <si>
    <r>
      <rPr>
        <sz val="10"/>
        <color rgb="FF1F2A28"/>
        <rFont val="WenQuanYi Zen Hei"/>
        <family val="2"/>
      </rPr>
      <t xml:space="preserve">奧斯汀美語中平分校</t>
    </r>
    <r>
      <rPr>
        <sz val="10"/>
        <color rgb="FF1F2A28"/>
        <rFont val="Arial"/>
        <family val="0"/>
        <charset val="1"/>
      </rPr>
      <t xml:space="preserve">(</t>
    </r>
    <r>
      <rPr>
        <sz val="10"/>
        <color rgb="FF1F2A28"/>
        <rFont val="WenQuanYi Zen Hei"/>
        <family val="2"/>
      </rPr>
      <t xml:space="preserve">松勇校</t>
    </r>
    <r>
      <rPr>
        <sz val="10"/>
        <color rgb="FF1F2A28"/>
        <rFont val="Arial"/>
        <family val="0"/>
        <charset val="1"/>
      </rPr>
      <t xml:space="preserve">)</t>
    </r>
  </si>
  <si>
    <t xml:space="preserve">私立睿儀文理短期補習班</t>
  </si>
  <si>
    <t xml:space="preserve">中壢區</t>
  </si>
  <si>
    <r>
      <rPr>
        <sz val="10"/>
        <color rgb="FF1F2A28"/>
        <rFont val="WenQuanYi Zen Hei"/>
        <family val="2"/>
      </rPr>
      <t xml:space="preserve">桃園市中壢區過嶺里松勇路</t>
    </r>
    <r>
      <rPr>
        <sz val="10"/>
        <color rgb="FF1F2A28"/>
        <rFont val="Arial"/>
        <family val="0"/>
        <charset val="1"/>
      </rPr>
      <t xml:space="preserve">39</t>
    </r>
    <r>
      <rPr>
        <sz val="10"/>
        <color rgb="FF1F2A28"/>
        <rFont val="WenQuanYi Zen Hei"/>
        <family val="2"/>
      </rPr>
      <t xml:space="preserve">號</t>
    </r>
  </si>
  <si>
    <t xml:space="preserve">03 420 0817</t>
  </si>
  <si>
    <t xml:space="preserve">shm7415@gmail.com</t>
  </si>
  <si>
    <t xml:space="preserve">2023-04-27</t>
  </si>
  <si>
    <t xml:space="preserve">許惠敏</t>
  </si>
  <si>
    <t xml:space="preserve">王奕翔</t>
  </si>
  <si>
    <r>
      <rPr>
        <sz val="10"/>
        <color rgb="FF1F2A28"/>
        <rFont val="WenQuanYi Zen Hei"/>
        <family val="2"/>
      </rPr>
      <t xml:space="preserve">小學堂文教機構 </t>
    </r>
    <r>
      <rPr>
        <sz val="10"/>
        <color rgb="FF1F2A28"/>
        <rFont val="Arial"/>
        <family val="0"/>
        <charset val="1"/>
      </rPr>
      <t xml:space="preserve">| Live</t>
    </r>
    <r>
      <rPr>
        <sz val="10"/>
        <color rgb="FF1F2A28"/>
        <rFont val="WenQuanYi Zen Hei"/>
        <family val="2"/>
      </rPr>
      <t xml:space="preserve">互動美語</t>
    </r>
  </si>
  <si>
    <t xml:space="preserve">私立世一語文數學短期補習班</t>
  </si>
  <si>
    <r>
      <rPr>
        <sz val="10"/>
        <color rgb="FF1F2A28"/>
        <rFont val="WenQuanYi Zen Hei"/>
        <family val="2"/>
      </rPr>
      <t xml:space="preserve">桃園市平鎮區復旦里文化街</t>
    </r>
    <r>
      <rPr>
        <sz val="10"/>
        <color rgb="FF1F2A28"/>
        <rFont val="Arial"/>
        <family val="0"/>
        <charset val="1"/>
      </rPr>
      <t xml:space="preserve">88</t>
    </r>
    <r>
      <rPr>
        <sz val="10"/>
        <color rgb="FF1F2A28"/>
        <rFont val="WenQuanYi Zen Hei"/>
        <family val="2"/>
      </rPr>
      <t xml:space="preserve">號</t>
    </r>
  </si>
  <si>
    <t xml:space="preserve">03 281 0128</t>
  </si>
  <si>
    <t xml:space="preserve">julie_hmm@yahoo.com.tw</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</si>
  <si>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其他類</t>
    </r>
  </si>
  <si>
    <t xml:space="preserve">2014-05-06</t>
  </si>
  <si>
    <t xml:space="preserve">黃美寧</t>
  </si>
  <si>
    <t xml:space="preserve">黃慶豊</t>
  </si>
  <si>
    <t xml:space="preserve">菲比斯英語</t>
  </si>
  <si>
    <t xml:space="preserve">私立菲比斯文理短期補習班</t>
  </si>
  <si>
    <r>
      <rPr>
        <sz val="10"/>
        <color rgb="FF1F2A28"/>
        <rFont val="WenQuanYi Zen Hei"/>
        <family val="2"/>
      </rPr>
      <t xml:space="preserve">桃園市中壢區過嶺里松德路</t>
    </r>
    <r>
      <rPr>
        <sz val="10"/>
        <color rgb="FF1F2A28"/>
        <rFont val="Arial"/>
        <family val="0"/>
        <charset val="1"/>
      </rPr>
      <t xml:space="preserve">125</t>
    </r>
    <r>
      <rPr>
        <sz val="10"/>
        <color rgb="FF1F2A28"/>
        <rFont val="WenQuanYi Zen Hei"/>
        <family val="2"/>
      </rPr>
      <t xml:space="preserve">號</t>
    </r>
  </si>
  <si>
    <t xml:space="preserve">03 420 5140</t>
  </si>
  <si>
    <t xml:space="preserve">joanne750312@gmail.com</t>
  </si>
  <si>
    <t xml:space="preserve">2022-11-22</t>
  </si>
  <si>
    <t xml:space="preserve">鍾瑞敏</t>
  </si>
  <si>
    <t xml:space="preserve">黃俊偉</t>
  </si>
  <si>
    <r>
      <rPr>
        <sz val="10"/>
        <color rgb="FF1F2A28"/>
        <rFont val="WenQuanYi Zen Hei"/>
        <family val="2"/>
      </rPr>
      <t xml:space="preserve">建如文理補習班、</t>
    </r>
    <r>
      <rPr>
        <sz val="10"/>
        <color rgb="FF1F2A28"/>
        <rFont val="Arial"/>
        <family val="0"/>
        <charset val="1"/>
      </rPr>
      <t xml:space="preserve">MPM</t>
    </r>
    <r>
      <rPr>
        <sz val="10"/>
        <color rgb="FF1F2A28"/>
        <rFont val="WenQuanYi Zen Hei"/>
        <family val="2"/>
      </rPr>
      <t xml:space="preserve">數學、空中美語文化分校</t>
    </r>
  </si>
  <si>
    <t xml:space="preserve">私立建如語文文理珠心算短期補習班</t>
  </si>
  <si>
    <r>
      <rPr>
        <sz val="10"/>
        <color rgb="FF1F2A28"/>
        <rFont val="WenQuanYi Zen Hei"/>
        <family val="2"/>
      </rPr>
      <t xml:space="preserve">桃園市平鎮區復旦里文化街</t>
    </r>
    <r>
      <rPr>
        <sz val="10"/>
        <color rgb="FF1F2A28"/>
        <rFont val="Arial"/>
        <family val="0"/>
        <charset val="1"/>
      </rPr>
      <t xml:space="preserve">72</t>
    </r>
    <r>
      <rPr>
        <sz val="10"/>
        <color rgb="FF1F2A28"/>
        <rFont val="WenQuanYi Zen Hei"/>
        <family val="2"/>
      </rPr>
      <t xml:space="preserve">號</t>
    </r>
  </si>
  <si>
    <t xml:space="preserve">03 493 8800</t>
  </si>
  <si>
    <t xml:space="preserve">cw.c224@msa.hinet.net</t>
  </si>
  <si>
    <t xml:space="preserve">2008-10-09</t>
  </si>
  <si>
    <t xml:space="preserve">張謙旺</t>
  </si>
  <si>
    <r>
      <rPr>
        <sz val="10"/>
        <color rgb="FF1F2A28"/>
        <rFont val="WenQuanYi Zen Hei"/>
        <family val="2"/>
      </rPr>
      <t xml:space="preserve">明子園幼兒園</t>
    </r>
    <r>
      <rPr>
        <sz val="10"/>
        <color rgb="FF1F2A28"/>
        <rFont val="Arial"/>
        <family val="0"/>
        <charset val="1"/>
      </rPr>
      <t xml:space="preserve">/</t>
    </r>
    <r>
      <rPr>
        <sz val="10"/>
        <color rgb="FF1F2A28"/>
        <rFont val="WenQuanYi Zen Hei"/>
        <family val="2"/>
      </rPr>
      <t xml:space="preserve">課後班</t>
    </r>
    <r>
      <rPr>
        <sz val="10"/>
        <color rgb="FF1F2A28"/>
        <rFont val="Arial"/>
        <family val="0"/>
        <charset val="1"/>
      </rPr>
      <t xml:space="preserve">/</t>
    </r>
    <r>
      <rPr>
        <sz val="10"/>
        <color rgb="FF1F2A28"/>
        <rFont val="WenQuanYi Zen Hei"/>
        <family val="2"/>
      </rPr>
      <t xml:space="preserve">安親班</t>
    </r>
    <r>
      <rPr>
        <sz val="10"/>
        <color rgb="FF1F2A28"/>
        <rFont val="Arial"/>
        <family val="0"/>
        <charset val="1"/>
      </rPr>
      <t xml:space="preserve">/</t>
    </r>
    <r>
      <rPr>
        <sz val="10"/>
        <color rgb="FF1F2A28"/>
        <rFont val="WenQuanYi Zen Hei"/>
        <family val="2"/>
      </rPr>
      <t xml:space="preserve">文化國小安親</t>
    </r>
    <r>
      <rPr>
        <sz val="10"/>
        <color rgb="FF1F2A28"/>
        <rFont val="Arial"/>
        <family val="0"/>
        <charset val="1"/>
      </rPr>
      <t xml:space="preserve">/</t>
    </r>
    <r>
      <rPr>
        <sz val="10"/>
        <color rgb="FF1F2A28"/>
        <rFont val="WenQuanYi Zen Hei"/>
        <family val="2"/>
      </rPr>
      <t xml:space="preserve">美語安親</t>
    </r>
    <r>
      <rPr>
        <sz val="10"/>
        <color rgb="FF1F2A28"/>
        <rFont val="Arial"/>
        <family val="0"/>
        <charset val="1"/>
      </rPr>
      <t xml:space="preserve">/</t>
    </r>
  </si>
  <si>
    <r>
      <rPr>
        <sz val="10"/>
        <color rgb="FF1F2A28"/>
        <rFont val="WenQuanYi Zen Hei"/>
        <family val="2"/>
      </rPr>
      <t xml:space="preserve">桃園市平鎮區復旦里文化街</t>
    </r>
    <r>
      <rPr>
        <sz val="10"/>
        <color rgb="FF1F2A28"/>
        <rFont val="Arial"/>
        <family val="0"/>
        <charset val="1"/>
      </rPr>
      <t xml:space="preserve">68</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</si>
  <si>
    <t xml:space="preserve">03 494 5172</t>
  </si>
  <si>
    <t xml:space="preserve">大山美語文理補習班</t>
  </si>
  <si>
    <t xml:space="preserve">私立大山美語文理短期補習班</t>
  </si>
  <si>
    <r>
      <rPr>
        <sz val="10"/>
        <color rgb="FF1F2A28"/>
        <rFont val="WenQuanYi Zen Hei"/>
        <family val="2"/>
      </rPr>
      <t xml:space="preserve">桃園市平鎮區北富里金陵路三段</t>
    </r>
    <r>
      <rPr>
        <sz val="10"/>
        <color rgb="FF1F2A28"/>
        <rFont val="Arial"/>
        <family val="0"/>
        <charset val="1"/>
      </rPr>
      <t xml:space="preserve">150</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弄</t>
    </r>
    <r>
      <rPr>
        <sz val="10"/>
        <color rgb="FF1F2A28"/>
        <rFont val="Arial"/>
        <family val="0"/>
        <charset val="1"/>
      </rPr>
      <t xml:space="preserve">37-2</t>
    </r>
    <r>
      <rPr>
        <sz val="10"/>
        <color rgb="FF1F2A28"/>
        <rFont val="WenQuanYi Zen Hei"/>
        <family val="2"/>
      </rPr>
      <t xml:space="preserve">號</t>
    </r>
  </si>
  <si>
    <t xml:space="preserve">03 458 9120</t>
  </si>
  <si>
    <t xml:space="preserve">a0920138250@gmail.com</t>
  </si>
  <si>
    <t xml:space="preserve">2008-09-28</t>
  </si>
  <si>
    <t xml:space="preserve">魏奕萱</t>
  </si>
  <si>
    <t xml:space="preserve">劉效謙</t>
  </si>
  <si>
    <t xml:space="preserve">小森林美語</t>
  </si>
  <si>
    <t xml:space="preserve">私立小森林美語短期補習班</t>
  </si>
  <si>
    <r>
      <rPr>
        <sz val="10"/>
        <color rgb="FF1F2A28"/>
        <rFont val="WenQuanYi Zen Hei"/>
        <family val="2"/>
      </rPr>
      <t xml:space="preserve">桃園市平鎮區復興里文化街</t>
    </r>
    <r>
      <rPr>
        <sz val="10"/>
        <color rgb="FF1F2A28"/>
        <rFont val="Arial"/>
        <family val="0"/>
        <charset val="1"/>
      </rPr>
      <t xml:space="preserve">61</t>
    </r>
    <r>
      <rPr>
        <sz val="10"/>
        <color rgb="FF1F2A28"/>
        <rFont val="WenQuanYi Zen Hei"/>
        <family val="2"/>
      </rPr>
      <t xml:space="preserve">號</t>
    </r>
  </si>
  <si>
    <t xml:space="preserve">sherrybennykammy71@gmail.com</t>
  </si>
  <si>
    <t xml:space="preserve">2002-10-24</t>
  </si>
  <si>
    <t xml:space="preserve">鍾木昌</t>
  </si>
  <si>
    <t xml:space="preserve">林佳慧</t>
  </si>
  <si>
    <t xml:space="preserve">name</t>
  </si>
  <si>
    <t xml:space="preserve">加大美語</t>
  </si>
  <si>
    <t xml:space="preserve">私立加大美語珠心算短期補習班</t>
  </si>
  <si>
    <r>
      <rPr>
        <sz val="10"/>
        <color rgb="FF1F2A28"/>
        <rFont val="WenQuanYi Zen Hei"/>
        <family val="2"/>
      </rPr>
      <t xml:space="preserve">桃園市平鎮區復興里廣德街</t>
    </r>
    <r>
      <rPr>
        <sz val="10"/>
        <color rgb="FF1F2A28"/>
        <rFont val="Arial"/>
        <family val="0"/>
        <charset val="1"/>
      </rPr>
      <t xml:space="preserve">93</t>
    </r>
    <r>
      <rPr>
        <sz val="10"/>
        <color rgb="FF1F2A28"/>
        <rFont val="WenQuanYi Zen Hei"/>
        <family val="2"/>
      </rPr>
      <t xml:space="preserve">號</t>
    </r>
  </si>
  <si>
    <t xml:space="preserve">03 492 2061</t>
  </si>
  <si>
    <t xml:space="preserve">chiata1688@gmail.com</t>
  </si>
  <si>
    <t xml:space="preserve">2001-03-09</t>
  </si>
  <si>
    <t xml:space="preserve">黃儷仁</t>
  </si>
  <si>
    <t xml:space="preserve">錢老師語文音樂文理短期補習班</t>
  </si>
  <si>
    <t xml:space="preserve">私立錢老師語文音樂文理短期補習班</t>
  </si>
  <si>
    <r>
      <rPr>
        <sz val="10"/>
        <color rgb="FF1F2A28"/>
        <rFont val="WenQuanYi Zen Hei"/>
        <family val="2"/>
      </rPr>
      <t xml:space="preserve">桃園市平鎮區復興里復興街</t>
    </r>
    <r>
      <rPr>
        <sz val="10"/>
        <color rgb="FF1F2A28"/>
        <rFont val="Arial"/>
        <family val="0"/>
        <charset val="1"/>
      </rPr>
      <t xml:space="preserve">16</t>
    </r>
    <r>
      <rPr>
        <sz val="10"/>
        <color rgb="FF1F2A28"/>
        <rFont val="WenQuanYi Zen Hei"/>
        <family val="2"/>
      </rPr>
      <t xml:space="preserve">號</t>
    </r>
  </si>
  <si>
    <t xml:space="preserve">0912 252 612</t>
  </si>
  <si>
    <t xml:space="preserve">s966928@gmail.com</t>
  </si>
  <si>
    <t xml:space="preserve">2014-11-18</t>
  </si>
  <si>
    <t xml:space="preserve">錢曉昱</t>
  </si>
  <si>
    <r>
      <rPr>
        <sz val="10"/>
        <color rgb="FF1F2A28"/>
        <rFont val="WenQuanYi Zen Hei"/>
        <family val="2"/>
      </rPr>
      <t xml:space="preserve">葛洛莉英語</t>
    </r>
    <r>
      <rPr>
        <sz val="10"/>
        <color rgb="FF1F2A28"/>
        <rFont val="Arial"/>
        <family val="0"/>
        <charset val="1"/>
      </rPr>
      <t xml:space="preserve">-</t>
    </r>
    <r>
      <rPr>
        <sz val="10"/>
        <color rgb="FF1F2A28"/>
        <rFont val="WenQuanYi Zen Hei"/>
        <family val="2"/>
      </rPr>
      <t xml:space="preserve">平鎮校</t>
    </r>
    <r>
      <rPr>
        <sz val="10"/>
        <color rgb="FF1F2A28"/>
        <rFont val="Arial"/>
        <family val="0"/>
        <charset val="1"/>
      </rPr>
      <t xml:space="preserve">Ping Jen(</t>
    </r>
    <r>
      <rPr>
        <sz val="10"/>
        <color rgb="FF1F2A28"/>
        <rFont val="WenQuanYi Zen Hei"/>
        <family val="2"/>
      </rPr>
      <t xml:space="preserve">文化國小 復旦國小 平興國小</t>
    </r>
    <r>
      <rPr>
        <sz val="10"/>
        <color rgb="FF1F2A28"/>
        <rFont val="Arial"/>
        <family val="0"/>
        <charset val="1"/>
      </rPr>
      <t xml:space="preserve">)</t>
    </r>
    <r>
      <rPr>
        <sz val="10"/>
        <color rgb="FF1F2A28"/>
        <rFont val="WenQuanYi Zen Hei"/>
        <family val="2"/>
      </rPr>
      <t xml:space="preserve">平鎮兒童美語 平鎮英文補習班 平鎮美語 國小英文 國中英文 小一新生 高中英文</t>
    </r>
  </si>
  <si>
    <t xml:space="preserve">私立春華英語會話短期補習班</t>
  </si>
  <si>
    <r>
      <rPr>
        <sz val="10"/>
        <color rgb="FF1F2A28"/>
        <rFont val="WenQuanYi Zen Hei"/>
        <family val="2"/>
      </rPr>
      <t xml:space="preserve">桃園市平鎮區環南路</t>
    </r>
    <r>
      <rPr>
        <sz val="10"/>
        <color rgb="FF1F2A28"/>
        <rFont val="Arial"/>
        <family val="0"/>
        <charset val="1"/>
      </rPr>
      <t xml:space="preserve">66</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弄</t>
    </r>
    <r>
      <rPr>
        <sz val="10"/>
        <color rgb="FF1F2A28"/>
        <rFont val="Arial"/>
        <family val="0"/>
        <charset val="1"/>
      </rPr>
      <t xml:space="preserve">14</t>
    </r>
    <r>
      <rPr>
        <sz val="10"/>
        <color rgb="FF1F2A28"/>
        <rFont val="WenQuanYi Zen Hei"/>
        <family val="2"/>
      </rPr>
      <t xml:space="preserve">衖</t>
    </r>
    <r>
      <rPr>
        <sz val="10"/>
        <color rgb="FF1F2A28"/>
        <rFont val="Arial"/>
        <family val="0"/>
        <charset val="1"/>
      </rPr>
      <t xml:space="preserve">26</t>
    </r>
    <r>
      <rPr>
        <sz val="10"/>
        <color rgb="FF1F2A28"/>
        <rFont val="WenQuanYi Zen Hei"/>
        <family val="2"/>
      </rPr>
      <t xml:space="preserve">號</t>
    </r>
  </si>
  <si>
    <t xml:space="preserve">03 494 8585</t>
  </si>
  <si>
    <t xml:space="preserve">annachang1129@gmail.com</t>
  </si>
  <si>
    <t xml:space="preserve">2002-08-30</t>
  </si>
  <si>
    <t xml:space="preserve">張國俐</t>
  </si>
  <si>
    <t xml:space="preserve">廖俊傑</t>
  </si>
  <si>
    <t xml:space="preserve">哥倫匹亞語文短期補習班</t>
  </si>
  <si>
    <t xml:space="preserve">私立龍科國際美語村文理短期補習班</t>
  </si>
  <si>
    <t xml:space="preserve">龍潭區</t>
  </si>
  <si>
    <r>
      <rPr>
        <sz val="10"/>
        <color rgb="FF1F2A28"/>
        <rFont val="WenQuanYi Zen Hei"/>
        <family val="2"/>
      </rPr>
      <t xml:space="preserve">桃園市龍潭區八德里梅龍路</t>
    </r>
    <r>
      <rPr>
        <sz val="10"/>
        <color rgb="FF1F2A28"/>
        <rFont val="Arial"/>
        <family val="0"/>
        <charset val="1"/>
      </rPr>
      <t xml:space="preserve">500</t>
    </r>
    <r>
      <rPr>
        <sz val="10"/>
        <color rgb="FF1F2A28"/>
        <rFont val="WenQuanYi Zen Hei"/>
        <family val="2"/>
      </rPr>
      <t xml:space="preserve">號</t>
    </r>
  </si>
  <si>
    <t xml:space="preserve">03 489 1225</t>
  </si>
  <si>
    <t xml:space="preserve">mikechang@arthouses.com.tw</t>
  </si>
  <si>
    <t xml:space="preserve">2024-01-31</t>
  </si>
  <si>
    <t xml:space="preserve">張乃元</t>
  </si>
  <si>
    <t xml:space="preserve">龍潭國際美語村</t>
  </si>
  <si>
    <t xml:space="preserve">5–10 km</t>
  </si>
  <si>
    <t xml:space="preserve">薇閣語文短期補習班</t>
  </si>
  <si>
    <t xml:space="preserve">私立薇閣語文短期補習班</t>
  </si>
  <si>
    <r>
      <rPr>
        <sz val="10"/>
        <color rgb="FF1F2A28"/>
        <rFont val="WenQuanYi Zen Hei"/>
        <family val="2"/>
      </rPr>
      <t xml:space="preserve">桃園市平鎮區北興里金陵路二段</t>
    </r>
    <r>
      <rPr>
        <sz val="10"/>
        <color rgb="FF1F2A28"/>
        <rFont val="Arial"/>
        <family val="0"/>
        <charset val="1"/>
      </rPr>
      <t xml:space="preserve">360</t>
    </r>
    <r>
      <rPr>
        <sz val="10"/>
        <color rgb="FF1F2A28"/>
        <rFont val="WenQuanYi Zen Hei"/>
        <family val="2"/>
      </rPr>
      <t xml:space="preserve">號</t>
    </r>
  </si>
  <si>
    <t xml:space="preserve">03 457 0932</t>
  </si>
  <si>
    <t xml:space="preserve">amilus326@gmail.com</t>
  </si>
  <si>
    <t xml:space="preserve">2010-12-21</t>
  </si>
  <si>
    <t xml:space="preserve">杜壹岳</t>
  </si>
  <si>
    <t xml:space="preserve">邱佩玲</t>
  </si>
  <si>
    <t xml:space="preserve">吉的堡美語學校</t>
  </si>
  <si>
    <t xml:space="preserve">私立聖儒美語短期補習班</t>
  </si>
  <si>
    <r>
      <rPr>
        <sz val="10"/>
        <color rgb="FF1F2A28"/>
        <rFont val="WenQuanYi Zen Hei"/>
        <family val="2"/>
      </rPr>
      <t xml:space="preserve">桃園市平鎮區北興里金陵路二段</t>
    </r>
    <r>
      <rPr>
        <sz val="10"/>
        <color rgb="FF1F2A28"/>
        <rFont val="Arial"/>
        <family val="0"/>
        <charset val="1"/>
      </rPr>
      <t xml:space="preserve">377-2</t>
    </r>
    <r>
      <rPr>
        <sz val="10"/>
        <color rgb="FF1F2A28"/>
        <rFont val="WenQuanYi Zen Hei"/>
        <family val="2"/>
      </rPr>
      <t xml:space="preserve">號</t>
    </r>
  </si>
  <si>
    <t xml:space="preserve">03 428 8883</t>
  </si>
  <si>
    <t xml:space="preserve">deep322611@yahoo.com.tw</t>
  </si>
  <si>
    <t xml:space="preserve">2006-05-11</t>
  </si>
  <si>
    <t xml:space="preserve">徐毓惠</t>
  </si>
  <si>
    <t xml:space="preserve">夏山美語</t>
  </si>
  <si>
    <t xml:space="preserve">私立夏山美語短期補習班</t>
  </si>
  <si>
    <r>
      <rPr>
        <sz val="10"/>
        <color rgb="FF1F2A28"/>
        <rFont val="WenQuanYi Zen Hei"/>
        <family val="2"/>
      </rPr>
      <t xml:space="preserve">桃園市龍潭區百年里百年五街</t>
    </r>
    <r>
      <rPr>
        <sz val="10"/>
        <color rgb="FF1F2A28"/>
        <rFont val="Arial"/>
        <family val="0"/>
        <charset val="1"/>
      </rPr>
      <t xml:space="preserve">43</t>
    </r>
    <r>
      <rPr>
        <sz val="10"/>
        <color rgb="FF1F2A28"/>
        <rFont val="WenQuanYi Zen Hei"/>
        <family val="2"/>
      </rPr>
      <t xml:space="preserve">號</t>
    </r>
  </si>
  <si>
    <t xml:space="preserve">03 480 2263</t>
  </si>
  <si>
    <t xml:space="preserve">2016-07-19</t>
  </si>
  <si>
    <t xml:space="preserve">范采綺</t>
  </si>
  <si>
    <r>
      <rPr>
        <sz val="10"/>
        <color rgb="FF1F2A28"/>
        <rFont val="WenQuanYi Zen Hei"/>
        <family val="2"/>
      </rPr>
      <t xml:space="preserve">喬登美語</t>
    </r>
    <r>
      <rPr>
        <sz val="10"/>
        <color rgb="FF1F2A28"/>
        <rFont val="Arial"/>
        <family val="0"/>
        <charset val="1"/>
      </rPr>
      <t xml:space="preserve">(</t>
    </r>
    <r>
      <rPr>
        <sz val="10"/>
        <color rgb="FF1F2A28"/>
        <rFont val="WenQuanYi Zen Hei"/>
        <family val="2"/>
      </rPr>
      <t xml:space="preserve">潛龍分校</t>
    </r>
    <r>
      <rPr>
        <sz val="10"/>
        <color rgb="FF1F2A28"/>
        <rFont val="Arial"/>
        <family val="0"/>
        <charset val="1"/>
      </rPr>
      <t xml:space="preserve">)</t>
    </r>
  </si>
  <si>
    <r>
      <rPr>
        <sz val="10"/>
        <color rgb="FF1F2A28"/>
        <rFont val="WenQuanYi Zen Hei"/>
        <family val="2"/>
      </rPr>
      <t xml:space="preserve">桃園市龍潭區烏樹林里中豐路</t>
    </r>
    <r>
      <rPr>
        <sz val="10"/>
        <color rgb="FF1F2A28"/>
        <rFont val="Arial"/>
        <family val="0"/>
        <charset val="1"/>
      </rPr>
      <t xml:space="preserve">418</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</si>
  <si>
    <t xml:space="preserve">快樂園語文文理短期補習班</t>
  </si>
  <si>
    <t xml:space="preserve">私立快樂園語文文理短期補習班</t>
  </si>
  <si>
    <r>
      <rPr>
        <sz val="10"/>
        <color rgb="FF1F2A28"/>
        <rFont val="WenQuanYi Zen Hei"/>
        <family val="2"/>
      </rPr>
      <t xml:space="preserve">桃園市楊梅區上田里楊新路四段</t>
    </r>
    <r>
      <rPr>
        <sz val="10"/>
        <color rgb="FF1F2A28"/>
        <rFont val="Arial"/>
        <family val="0"/>
        <charset val="1"/>
      </rPr>
      <t xml:space="preserve">37</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弄</t>
    </r>
    <r>
      <rPr>
        <sz val="10"/>
        <color rgb="FF1F2A28"/>
        <rFont val="Arial"/>
        <family val="0"/>
        <charset val="1"/>
      </rPr>
      <t xml:space="preserve">19</t>
    </r>
    <r>
      <rPr>
        <sz val="10"/>
        <color rgb="FF1F2A28"/>
        <rFont val="WenQuanYi Zen Hei"/>
        <family val="2"/>
      </rPr>
      <t xml:space="preserve">號</t>
    </r>
  </si>
  <si>
    <t xml:space="preserve">03 288 9060</t>
  </si>
  <si>
    <t xml:space="preserve">happy370319@gmail.com</t>
  </si>
  <si>
    <t xml:space="preserve">2010-09-16</t>
  </si>
  <si>
    <t xml:space="preserve">蘇少庠</t>
  </si>
  <si>
    <r>
      <rPr>
        <sz val="10"/>
        <color rgb="FF1F2A28"/>
        <rFont val="WenQuanYi Zen Hei"/>
        <family val="2"/>
      </rPr>
      <t xml:space="preserve">吉的堡美語學校</t>
    </r>
    <r>
      <rPr>
        <sz val="10"/>
        <color rgb="FF1F2A28"/>
        <rFont val="Arial"/>
        <family val="0"/>
        <charset val="1"/>
      </rPr>
      <t xml:space="preserve">(</t>
    </r>
    <r>
      <rPr>
        <sz val="10"/>
        <color rgb="FF1F2A28"/>
        <rFont val="WenQuanYi Zen Hei"/>
        <family val="2"/>
      </rPr>
      <t xml:space="preserve">中壢大崙分校</t>
    </r>
    <r>
      <rPr>
        <sz val="10"/>
        <color rgb="FF1F2A28"/>
        <rFont val="Arial"/>
        <family val="0"/>
        <charset val="1"/>
      </rPr>
      <t xml:space="preserve">)</t>
    </r>
  </si>
  <si>
    <r>
      <rPr>
        <sz val="10"/>
        <color rgb="FF1F2A28"/>
        <rFont val="WenQuanYi Zen Hei"/>
        <family val="2"/>
      </rPr>
      <t xml:space="preserve">桃園市中壢區內厝里中正路四段</t>
    </r>
    <r>
      <rPr>
        <sz val="10"/>
        <color rgb="FF1F2A28"/>
        <rFont val="Arial"/>
        <family val="0"/>
        <charset val="1"/>
      </rPr>
      <t xml:space="preserve">70</t>
    </r>
    <r>
      <rPr>
        <sz val="10"/>
        <color rgb="FF1F2A28"/>
        <rFont val="WenQuanYi Zen Hei"/>
        <family val="2"/>
      </rPr>
      <t xml:space="preserve">號</t>
    </r>
  </si>
  <si>
    <t xml:space="preserve">03 498 6090</t>
  </si>
  <si>
    <t xml:space="preserve">學匯語文文理數學補習班 大崙校</t>
  </si>
  <si>
    <t xml:space="preserve">私立學匯語文文理數學短期補習班大崙分班</t>
  </si>
  <si>
    <r>
      <rPr>
        <sz val="10"/>
        <color rgb="FF1F2A28"/>
        <rFont val="WenQuanYi Zen Hei"/>
        <family val="2"/>
      </rPr>
      <t xml:space="preserve">桃園市中壢區內厝里中正路四段</t>
    </r>
    <r>
      <rPr>
        <sz val="10"/>
        <color rgb="FF1F2A28"/>
        <rFont val="Arial"/>
        <family val="0"/>
        <charset val="1"/>
      </rPr>
      <t xml:space="preserve">66</t>
    </r>
    <r>
      <rPr>
        <sz val="10"/>
        <color rgb="FF1F2A28"/>
        <rFont val="WenQuanYi Zen Hei"/>
        <family val="2"/>
      </rPr>
      <t xml:space="preserve">號</t>
    </r>
  </si>
  <si>
    <t xml:space="preserve">03 408 0369</t>
  </si>
  <si>
    <t xml:space="preserve">sharewe112010@yahoo.com.tw</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</si>
  <si>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其他類</t>
    </r>
  </si>
  <si>
    <t xml:space="preserve">2021-09-01</t>
  </si>
  <si>
    <t xml:space="preserve">廖楷文</t>
  </si>
  <si>
    <t xml:space="preserve">廖麒文</t>
  </si>
  <si>
    <t xml:space="preserve">奇飛美語珠算短期補習班</t>
  </si>
  <si>
    <t xml:space="preserve">私立祥耀文理短期補習班</t>
  </si>
  <si>
    <r>
      <rPr>
        <sz val="10"/>
        <color rgb="FF1F2A28"/>
        <rFont val="WenQuanYi Zen Hei"/>
        <family val="2"/>
      </rPr>
      <t xml:space="preserve">桃園市中壢區內厝里中正路四段</t>
    </r>
    <r>
      <rPr>
        <sz val="10"/>
        <color rgb="FF1F2A28"/>
        <rFont val="Arial"/>
        <family val="0"/>
        <charset val="1"/>
      </rPr>
      <t xml:space="preserve">85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</si>
  <si>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03 498 0101</t>
  </si>
  <si>
    <t xml:space="preserve">a0916826998@gmail.com</t>
  </si>
  <si>
    <t xml:space="preserve">林玲瓏</t>
  </si>
  <si>
    <t xml:space="preserve">林鈴蓁</t>
  </si>
  <si>
    <t xml:space="preserve">長頸鹿美語大崙分校</t>
  </si>
  <si>
    <r>
      <rPr>
        <sz val="10"/>
        <color rgb="FF1F2A28"/>
        <rFont val="WenQuanYi Zen Hei"/>
        <family val="2"/>
      </rPr>
      <t xml:space="preserve">桃園市中壢區內厝里中正路四段</t>
    </r>
    <r>
      <rPr>
        <sz val="10"/>
        <color rgb="FF1F2A28"/>
        <rFont val="Arial"/>
        <family val="0"/>
        <charset val="1"/>
      </rPr>
      <t xml:space="preserve">107</t>
    </r>
    <r>
      <rPr>
        <sz val="10"/>
        <color rgb="FF1F2A28"/>
        <rFont val="WenQuanYi Zen Hei"/>
        <family val="2"/>
      </rPr>
      <t xml:space="preserve">號</t>
    </r>
  </si>
  <si>
    <t xml:space="preserve">碩成常春藤英語大崙校</t>
  </si>
  <si>
    <t xml:space="preserve">私立碩成文理語文數學美術短期補習班</t>
  </si>
  <si>
    <r>
      <rPr>
        <sz val="10"/>
        <color rgb="FF1F2A28"/>
        <rFont val="WenQuanYi Zen Hei"/>
        <family val="2"/>
      </rPr>
      <t xml:space="preserve">桃園市中壢區中正路四段</t>
    </r>
    <r>
      <rPr>
        <sz val="10"/>
        <color rgb="FF1F2A28"/>
        <rFont val="Arial"/>
        <family val="0"/>
        <charset val="1"/>
      </rPr>
      <t xml:space="preserve">88</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</si>
  <si>
    <t xml:space="preserve">03 498 4115</t>
  </si>
  <si>
    <t xml:space="preserve">a0920231915@gmail.com</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</si>
  <si>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美術、書法、攝影、美工設計、圍棋類</t>
    </r>
  </si>
  <si>
    <t xml:space="preserve">2019-06-26</t>
  </si>
  <si>
    <t xml:space="preserve">王順仁</t>
  </si>
  <si>
    <t xml:space="preserve">挪亞美語作文短期補習班</t>
  </si>
  <si>
    <r>
      <rPr>
        <sz val="10"/>
        <color rgb="FF1F2A28"/>
        <rFont val="WenQuanYi Zen Hei"/>
        <family val="2"/>
      </rPr>
      <t xml:space="preserve">桃園市龍潭區武漢里國聯街</t>
    </r>
    <r>
      <rPr>
        <sz val="10"/>
        <color rgb="FF1F2A28"/>
        <rFont val="Arial"/>
        <family val="0"/>
        <charset val="1"/>
      </rPr>
      <t xml:space="preserve">21</t>
    </r>
    <r>
      <rPr>
        <sz val="10"/>
        <color rgb="FF1F2A28"/>
        <rFont val="WenQuanYi Zen Hei"/>
        <family val="2"/>
      </rPr>
      <t xml:space="preserve">號</t>
    </r>
  </si>
  <si>
    <t xml:space="preserve">03 499 6048</t>
  </si>
  <si>
    <t xml:space="preserve">逸薇美語短期補習班</t>
  </si>
  <si>
    <t xml:space="preserve">私立逸薇美語短期補習班</t>
  </si>
  <si>
    <r>
      <rPr>
        <sz val="10"/>
        <color rgb="FF1F2A28"/>
        <rFont val="WenQuanYi Zen Hei"/>
        <family val="2"/>
      </rPr>
      <t xml:space="preserve">桃園市龍潭區武漢里武漢路</t>
    </r>
    <r>
      <rPr>
        <sz val="10"/>
        <color rgb="FF1F2A28"/>
        <rFont val="Arial"/>
        <family val="0"/>
        <charset val="1"/>
      </rPr>
      <t xml:space="preserve">50</t>
    </r>
    <r>
      <rPr>
        <sz val="10"/>
        <color rgb="FF1F2A28"/>
        <rFont val="WenQuanYi Zen Hei"/>
        <family val="2"/>
      </rPr>
      <t xml:space="preserve">號</t>
    </r>
  </si>
  <si>
    <t xml:space="preserve">03 499 0697</t>
  </si>
  <si>
    <t xml:space="preserve">h220378652@yahoo.com.tw</t>
  </si>
  <si>
    <t xml:space="preserve">2006-06-23</t>
  </si>
  <si>
    <t xml:space="preserve">潘芸菲</t>
  </si>
  <si>
    <t xml:space="preserve">游家偉</t>
  </si>
  <si>
    <r>
      <rPr>
        <sz val="10"/>
        <color rgb="FF1F2A28"/>
        <rFont val="WenQuanYi Zen Hei"/>
        <family val="2"/>
      </rPr>
      <t xml:space="preserve">長頸鹿美語</t>
    </r>
    <r>
      <rPr>
        <sz val="10"/>
        <color rgb="FF1F2A28"/>
        <rFont val="Arial"/>
        <family val="0"/>
        <charset val="1"/>
      </rPr>
      <t xml:space="preserve">(</t>
    </r>
    <r>
      <rPr>
        <sz val="10"/>
        <color rgb="FF1F2A28"/>
        <rFont val="WenQuanYi Zen Hei"/>
        <family val="2"/>
      </rPr>
      <t xml:space="preserve">武漢分校</t>
    </r>
    <r>
      <rPr>
        <sz val="10"/>
        <color rgb="FF1F2A28"/>
        <rFont val="Arial"/>
        <family val="0"/>
        <charset val="1"/>
      </rPr>
      <t xml:space="preserve">)</t>
    </r>
  </si>
  <si>
    <t xml:space="preserve">私立阿里巴巴美語短期補習班</t>
  </si>
  <si>
    <r>
      <rPr>
        <sz val="10"/>
        <color rgb="FF1F2A28"/>
        <rFont val="WenQuanYi Zen Hei"/>
        <family val="2"/>
      </rPr>
      <t xml:space="preserve">桃園市龍潭區武漢里武漢路</t>
    </r>
    <r>
      <rPr>
        <sz val="10"/>
        <color rgb="FF1F2A28"/>
        <rFont val="Arial"/>
        <family val="0"/>
        <charset val="1"/>
      </rPr>
      <t xml:space="preserve">86</t>
    </r>
    <r>
      <rPr>
        <sz val="10"/>
        <color rgb="FF1F2A28"/>
        <rFont val="WenQuanYi Zen Hei"/>
        <family val="2"/>
      </rPr>
      <t xml:space="preserve">號</t>
    </r>
  </si>
  <si>
    <t xml:space="preserve">03 489 0689</t>
  </si>
  <si>
    <t xml:space="preserve">lydia0958010300@gmail.com</t>
  </si>
  <si>
    <t xml:space="preserve">2004-09-07</t>
  </si>
  <si>
    <t xml:space="preserve">郝蓓生</t>
  </si>
  <si>
    <t xml:space="preserve">艾立笙文理語文短期補習班</t>
  </si>
  <si>
    <t xml:space="preserve">私立艾立笙文理語文短期補習班</t>
  </si>
  <si>
    <r>
      <rPr>
        <sz val="10"/>
        <color rgb="FF1F2A28"/>
        <rFont val="WenQuanYi Zen Hei"/>
        <family val="2"/>
      </rPr>
      <t xml:space="preserve">桃園市龍潭區中正里龍華路</t>
    </r>
    <r>
      <rPr>
        <sz val="10"/>
        <color rgb="FF1F2A28"/>
        <rFont val="Arial"/>
        <family val="0"/>
        <charset val="1"/>
      </rPr>
      <t xml:space="preserve">365</t>
    </r>
    <r>
      <rPr>
        <sz val="10"/>
        <color rgb="FF1F2A28"/>
        <rFont val="WenQuanYi Zen Hei"/>
        <family val="2"/>
      </rPr>
      <t xml:space="preserve">號</t>
    </r>
  </si>
  <si>
    <t xml:space="preserve">03 409 0901</t>
  </si>
  <si>
    <t xml:space="preserve">lue0922880612@gmail.com</t>
  </si>
  <si>
    <t xml:space="preserve">2007-05-10</t>
  </si>
  <si>
    <t xml:space="preserve">呂梅台</t>
  </si>
  <si>
    <t xml:space="preserve">王莉美語安親中心</t>
  </si>
  <si>
    <t xml:space="preserve">桃園市楊梅區</t>
  </si>
  <si>
    <t xml:space="preserve">冠球語文珠算短期補習班</t>
  </si>
  <si>
    <t xml:space="preserve">私立冠球語文珠算短期補習班</t>
  </si>
  <si>
    <r>
      <rPr>
        <sz val="10"/>
        <color rgb="FF1F2A28"/>
        <rFont val="WenQuanYi Zen Hei"/>
        <family val="2"/>
      </rPr>
      <t xml:space="preserve">桃園市中壢區仁愛里榮民南路</t>
    </r>
    <r>
      <rPr>
        <sz val="10"/>
        <color rgb="FF1F2A28"/>
        <rFont val="Arial"/>
        <family val="0"/>
        <charset val="1"/>
      </rPr>
      <t xml:space="preserve">224</t>
    </r>
    <r>
      <rPr>
        <sz val="10"/>
        <color rgb="FF1F2A28"/>
        <rFont val="WenQuanYi Zen Hei"/>
        <family val="2"/>
      </rPr>
      <t xml:space="preserve">號</t>
    </r>
  </si>
  <si>
    <t xml:space="preserve">03 466 8629</t>
  </si>
  <si>
    <t xml:space="preserve">fjjot215038@yahoo.com.tw</t>
  </si>
  <si>
    <t xml:space="preserve">2014-07-21</t>
  </si>
  <si>
    <t xml:space="preserve">楊優華</t>
  </si>
  <si>
    <t xml:space="preserve">李冠瑩</t>
  </si>
  <si>
    <t xml:space="preserve">科林外語</t>
  </si>
  <si>
    <r>
      <rPr>
        <sz val="10"/>
        <color rgb="FF1F2A28"/>
        <rFont val="WenQuanYi Zen Hei"/>
        <family val="2"/>
      </rPr>
      <t xml:space="preserve">桃園市中壢區華愛里榮民南路</t>
    </r>
    <r>
      <rPr>
        <sz val="10"/>
        <color rgb="FF1F2A28"/>
        <rFont val="Arial"/>
        <family val="0"/>
        <charset val="1"/>
      </rPr>
      <t xml:space="preserve">83</t>
    </r>
    <r>
      <rPr>
        <sz val="10"/>
        <color rgb="FF1F2A28"/>
        <rFont val="WenQuanYi Zen Hei"/>
        <family val="2"/>
      </rPr>
      <t xml:space="preserve">號</t>
    </r>
  </si>
  <si>
    <t xml:space="preserve">邱老師美語短期補習班</t>
  </si>
  <si>
    <t xml:space="preserve">私立邱老師美語短期補習班</t>
  </si>
  <si>
    <t xml:space="preserve">新屋區</t>
  </si>
  <si>
    <r>
      <rPr>
        <sz val="10"/>
        <color rgb="FF1F2A28"/>
        <rFont val="WenQuanYi Zen Hei"/>
        <family val="2"/>
      </rPr>
      <t xml:space="preserve">桃園市新屋區新屋里新興街</t>
    </r>
    <r>
      <rPr>
        <sz val="10"/>
        <color rgb="FF1F2A28"/>
        <rFont val="Arial"/>
        <family val="0"/>
        <charset val="1"/>
      </rPr>
      <t xml:space="preserve">11</t>
    </r>
    <r>
      <rPr>
        <sz val="10"/>
        <color rgb="FF1F2A28"/>
        <rFont val="WenQuanYi Zen Hei"/>
        <family val="2"/>
      </rPr>
      <t xml:space="preserve">號</t>
    </r>
  </si>
  <si>
    <t xml:space="preserve">0926 941 955</t>
  </si>
  <si>
    <t xml:space="preserve">q4queen@yahoo.com.tw</t>
  </si>
  <si>
    <t xml:space="preserve">2007-04-26</t>
  </si>
  <si>
    <t xml:space="preserve">邱慧珍</t>
  </si>
  <si>
    <t xml:space="preserve">小學堂美語短期補習班</t>
  </si>
  <si>
    <t xml:space="preserve">私立小學堂美語短期補習班</t>
  </si>
  <si>
    <r>
      <rPr>
        <sz val="10"/>
        <color rgb="FF1F2A28"/>
        <rFont val="WenQuanYi Zen Hei"/>
        <family val="2"/>
      </rPr>
      <t xml:space="preserve">桃園市新屋區新屋里中正一街</t>
    </r>
    <r>
      <rPr>
        <sz val="10"/>
        <color rgb="FF1F2A28"/>
        <rFont val="Arial"/>
        <family val="0"/>
        <charset val="1"/>
      </rPr>
      <t xml:space="preserve">26</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</si>
  <si>
    <t xml:space="preserve">03 477 1886</t>
  </si>
  <si>
    <t xml:space="preserve">sam687628@gmail.com</t>
  </si>
  <si>
    <t xml:space="preserve">2008-11-10</t>
  </si>
  <si>
    <t xml:space="preserve">林麗庭</t>
  </si>
  <si>
    <t xml:space="preserve">曾銘頡</t>
  </si>
  <si>
    <t xml:space="preserve">維吉尼亞文理語文短期補習班</t>
  </si>
  <si>
    <r>
      <rPr>
        <sz val="10"/>
        <color rgb="FF1F2A28"/>
        <rFont val="WenQuanYi Zen Hei"/>
        <family val="2"/>
      </rPr>
      <t xml:space="preserve">桃園市楊梅區豐野里民富路三段</t>
    </r>
    <r>
      <rPr>
        <sz val="10"/>
        <color rgb="FF1F2A28"/>
        <rFont val="Arial"/>
        <family val="0"/>
        <charset val="1"/>
      </rPr>
      <t xml:space="preserve">924</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</si>
  <si>
    <t xml:space="preserve">03 472 7887</t>
  </si>
  <si>
    <t xml:space="preserve">威齊語文短期補習班</t>
  </si>
  <si>
    <t xml:space="preserve">私立威齊語文短期補習班</t>
  </si>
  <si>
    <r>
      <rPr>
        <sz val="10"/>
        <color rgb="FF1F2A28"/>
        <rFont val="WenQuanYi Zen Hei"/>
        <family val="2"/>
      </rPr>
      <t xml:space="preserve">桃園市新屋區新生里新生五街</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</si>
  <si>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03 477 9789</t>
  </si>
  <si>
    <t xml:space="preserve">wikimsn@yahoo.com.tw</t>
  </si>
  <si>
    <t xml:space="preserve">2011-11-02</t>
  </si>
  <si>
    <t xml:space="preserve">黃錦增</t>
  </si>
  <si>
    <t xml:space="preserve">廖胤琳</t>
  </si>
  <si>
    <t xml:space="preserve">青宏美語珠心算短期補習班</t>
  </si>
  <si>
    <t xml:space="preserve">私立青宏美語珠心算短期補習班</t>
  </si>
  <si>
    <t xml:space="preserve">大溪區</t>
  </si>
  <si>
    <r>
      <rPr>
        <sz val="10"/>
        <color rgb="FF1F2A28"/>
        <rFont val="WenQuanYi Zen Hei"/>
        <family val="2"/>
      </rPr>
      <t xml:space="preserve">桃園市大溪區三元里三元三街</t>
    </r>
    <r>
      <rPr>
        <sz val="10"/>
        <color rgb="FF1F2A28"/>
        <rFont val="Arial"/>
        <family val="0"/>
        <charset val="1"/>
      </rPr>
      <t xml:space="preserve">14</t>
    </r>
    <r>
      <rPr>
        <sz val="10"/>
        <color rgb="FF1F2A28"/>
        <rFont val="WenQuanYi Zen Hei"/>
        <family val="2"/>
      </rPr>
      <t xml:space="preserve">號</t>
    </r>
  </si>
  <si>
    <t xml:space="preserve">03 390 9931</t>
  </si>
  <si>
    <t xml:space="preserve">osborn.live8@gmail.com</t>
  </si>
  <si>
    <t xml:space="preserve">2002-08-27</t>
  </si>
  <si>
    <t xml:space="preserve">黎萬賢</t>
  </si>
  <si>
    <t xml:space="preserve">徐依筳</t>
  </si>
  <si>
    <t xml:space="preserve">馬林魚美語文理短期補習班</t>
  </si>
  <si>
    <t xml:space="preserve">私立馬林魚美語文理短期補習班</t>
  </si>
  <si>
    <r>
      <rPr>
        <sz val="10"/>
        <color rgb="FF1F2A28"/>
        <rFont val="WenQuanYi Zen Hei"/>
        <family val="2"/>
      </rPr>
      <t xml:space="preserve">桃園市楊梅區豐野里信義街</t>
    </r>
    <r>
      <rPr>
        <sz val="10"/>
        <color rgb="FF1F2A28"/>
        <rFont val="Arial"/>
        <family val="0"/>
        <charset val="1"/>
      </rPr>
      <t xml:space="preserve">231</t>
    </r>
    <r>
      <rPr>
        <sz val="10"/>
        <color rgb="FF1F2A28"/>
        <rFont val="WenQuanYi Zen Hei"/>
        <family val="2"/>
      </rPr>
      <t xml:space="preserve">號</t>
    </r>
  </si>
  <si>
    <t xml:space="preserve">03 472 1249</t>
  </si>
  <si>
    <t xml:space="preserve">marlins231@gmail.com</t>
  </si>
  <si>
    <t xml:space="preserve">2008-04-28</t>
  </si>
  <si>
    <t xml:space="preserve">李明翰</t>
  </si>
  <si>
    <t xml:space="preserve">10–15 km</t>
  </si>
  <si>
    <t xml:space="preserve">茗雅文理美語短期補習班</t>
  </si>
  <si>
    <r>
      <rPr>
        <sz val="10"/>
        <color rgb="FF1F2A28"/>
        <rFont val="WenQuanYi Zen Hei"/>
        <family val="2"/>
      </rPr>
      <t xml:space="preserve">桃園市大溪區光明里三元一街</t>
    </r>
    <r>
      <rPr>
        <sz val="10"/>
        <color rgb="FF1F2A28"/>
        <rFont val="Arial"/>
        <family val="0"/>
        <charset val="1"/>
      </rPr>
      <t xml:space="preserve">31</t>
    </r>
    <r>
      <rPr>
        <sz val="10"/>
        <color rgb="FF1F2A28"/>
        <rFont val="WenQuanYi Zen Hei"/>
        <family val="2"/>
      </rPr>
      <t xml:space="preserve">號</t>
    </r>
  </si>
  <si>
    <t xml:space="preserve">03 389 2327</t>
  </si>
  <si>
    <t xml:space="preserve">文佑語文文理數學短期補習班</t>
  </si>
  <si>
    <t xml:space="preserve">私立文佑語文文理數學短期補習班</t>
  </si>
  <si>
    <r>
      <rPr>
        <sz val="10"/>
        <color rgb="FF1F2A28"/>
        <rFont val="WenQuanYi Zen Hei"/>
        <family val="2"/>
      </rPr>
      <t xml:space="preserve">桃園市大溪區光明里三元一街</t>
    </r>
    <r>
      <rPr>
        <sz val="10"/>
        <color rgb="FF1F2A28"/>
        <rFont val="Arial"/>
        <family val="0"/>
        <charset val="1"/>
      </rPr>
      <t xml:space="preserve">49</t>
    </r>
    <r>
      <rPr>
        <sz val="10"/>
        <color rgb="FF1F2A28"/>
        <rFont val="WenQuanYi Zen Hei"/>
        <family val="2"/>
      </rPr>
      <t xml:space="preserve">號</t>
    </r>
  </si>
  <si>
    <t xml:space="preserve">03 390 9559</t>
  </si>
  <si>
    <t xml:space="preserve">susan75117@yahoo.com.tw</t>
  </si>
  <si>
    <t xml:space="preserve">2001-03-13</t>
  </si>
  <si>
    <t xml:space="preserve">金素芬</t>
  </si>
  <si>
    <r>
      <rPr>
        <sz val="10"/>
        <color rgb="FF1F2A28"/>
        <rFont val="Arial"/>
        <family val="0"/>
        <charset val="1"/>
      </rPr>
      <t xml:space="preserve">Live</t>
    </r>
    <r>
      <rPr>
        <sz val="10"/>
        <color rgb="FF1F2A28"/>
        <rFont val="WenQuanYi Zen Hei"/>
        <family val="2"/>
      </rPr>
      <t xml:space="preserve">互動美語中壢青埔加盟校</t>
    </r>
    <r>
      <rPr>
        <sz val="10"/>
        <color rgb="FF1F2A28"/>
        <rFont val="Arial"/>
        <family val="0"/>
        <charset val="1"/>
      </rPr>
      <t xml:space="preserve">/</t>
    </r>
    <r>
      <rPr>
        <sz val="10"/>
        <color rgb="FF1F2A28"/>
        <rFont val="WenQuanYi Zen Hei"/>
        <family val="2"/>
      </rPr>
      <t xml:space="preserve">同學家</t>
    </r>
    <r>
      <rPr>
        <sz val="10"/>
        <color rgb="FF1F2A28"/>
        <rFont val="Arial"/>
        <family val="0"/>
        <charset val="1"/>
      </rPr>
      <t xml:space="preserve">(</t>
    </r>
    <r>
      <rPr>
        <sz val="10"/>
        <color rgb="FF1F2A28"/>
        <rFont val="WenQuanYi Zen Hei"/>
        <family val="2"/>
      </rPr>
      <t xml:space="preserve">翻轉課後</t>
    </r>
    <r>
      <rPr>
        <sz val="10"/>
        <color rgb="FF1F2A28"/>
        <rFont val="Arial"/>
        <family val="0"/>
        <charset val="1"/>
      </rPr>
      <t xml:space="preserve">)</t>
    </r>
  </si>
  <si>
    <t xml:space="preserve">私立同學家文理短期補習班</t>
  </si>
  <si>
    <r>
      <rPr>
        <sz val="10"/>
        <color rgb="FF1F2A28"/>
        <rFont val="WenQuanYi Zen Hei"/>
        <family val="2"/>
      </rPr>
      <t xml:space="preserve">桃園市中壢區青埔里青商路</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</si>
  <si>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03 287 8978</t>
  </si>
  <si>
    <t xml:space="preserve">vicky2553@gmail.com</t>
  </si>
  <si>
    <t xml:space="preserve">2022-12-23</t>
  </si>
  <si>
    <t xml:space="preserve">陳建豪</t>
  </si>
  <si>
    <t xml:space="preserve">王泰杰</t>
  </si>
  <si>
    <t xml:space="preserve">夏恩英語桃園大溪分校</t>
  </si>
  <si>
    <t xml:space="preserve">私立瑞淇語文短期補習班</t>
  </si>
  <si>
    <r>
      <rPr>
        <sz val="10"/>
        <color rgb="FF1F2A28"/>
        <rFont val="WenQuanYi Zen Hei"/>
        <family val="2"/>
      </rPr>
      <t xml:space="preserve">號 </t>
    </r>
    <r>
      <rPr>
        <sz val="10"/>
        <color rgb="FF1F2A28"/>
        <rFont val="Arial"/>
        <family val="0"/>
        <charset val="1"/>
      </rPr>
      <t xml:space="preserve">No, No. 142</t>
    </r>
    <r>
      <rPr>
        <sz val="10"/>
        <color rgb="FF1F2A28"/>
        <rFont val="WenQuanYi Zen Hei"/>
        <family val="2"/>
      </rPr>
      <t xml:space="preserve">仁善三街仁善里大溪區桃園市</t>
    </r>
    <r>
      <rPr>
        <sz val="10"/>
        <color rgb="FF1F2A28"/>
        <rFont val="Arial"/>
        <family val="0"/>
        <charset val="1"/>
      </rPr>
      <t xml:space="preserve">335</t>
    </r>
  </si>
  <si>
    <t xml:space="preserve">03 390 0868</t>
  </si>
  <si>
    <t xml:space="preserve">Rachel.eagle102@gmail.com</t>
  </si>
  <si>
    <t xml:space="preserve">2013-08-07</t>
  </si>
  <si>
    <t xml:space="preserve">吳紀緯</t>
  </si>
  <si>
    <t xml:space="preserve">繆知岑</t>
  </si>
  <si>
    <t xml:space="preserve">奧斯汀美語桃園八德分校</t>
  </si>
  <si>
    <t xml:space="preserve">私立星點子文理技藝短期補習班</t>
  </si>
  <si>
    <t xml:space="preserve">八德區</t>
  </si>
  <si>
    <r>
      <rPr>
        <sz val="10"/>
        <color rgb="FF1F2A28"/>
        <rFont val="WenQuanYi Zen Hei"/>
        <family val="2"/>
      </rPr>
      <t xml:space="preserve">桃園市八德區中正路</t>
    </r>
    <r>
      <rPr>
        <sz val="10"/>
        <color rgb="FF1F2A28"/>
        <rFont val="Arial"/>
        <family val="0"/>
        <charset val="1"/>
      </rPr>
      <t xml:space="preserve">178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</si>
  <si>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03 368 2584</t>
  </si>
  <si>
    <t xml:space="preserve">staroy0401@gmail.com</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</si>
  <si>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美術、書法、攝影、美工設計、圍棋類</t>
    </r>
  </si>
  <si>
    <t xml:space="preserve">2025-11-05</t>
  </si>
  <si>
    <t xml:space="preserve">朱裕昌</t>
  </si>
  <si>
    <t xml:space="preserve">楊玉媚</t>
  </si>
  <si>
    <t xml:space="preserve">日進文理語文短期補習班</t>
  </si>
  <si>
    <r>
      <rPr>
        <sz val="10"/>
        <color rgb="FF1F2A28"/>
        <rFont val="WenQuanYi Zen Hei"/>
        <family val="2"/>
      </rPr>
      <t xml:space="preserve">桃園市龍潭區建林里民族路</t>
    </r>
    <r>
      <rPr>
        <sz val="10"/>
        <color rgb="FF1F2A28"/>
        <rFont val="Arial"/>
        <family val="0"/>
        <charset val="1"/>
      </rPr>
      <t xml:space="preserve">216</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弄</t>
    </r>
    <r>
      <rPr>
        <sz val="10"/>
        <color rgb="FF1F2A28"/>
        <rFont val="Arial"/>
        <family val="0"/>
        <charset val="1"/>
      </rPr>
      <t xml:space="preserve">3</t>
    </r>
    <r>
      <rPr>
        <sz val="10"/>
        <color rgb="FF1F2A28"/>
        <rFont val="WenQuanYi Zen Hei"/>
        <family val="2"/>
      </rPr>
      <t xml:space="preserve">號</t>
    </r>
  </si>
  <si>
    <t xml:space="preserve">03 470 4629</t>
  </si>
  <si>
    <t xml:space="preserve">耕心幼兒園 【愛美語 仁善分校】安親班、美語班、補習班、正音班</t>
  </si>
  <si>
    <t xml:space="preserve">私立立騰文理語文短期補習班</t>
  </si>
  <si>
    <r>
      <rPr>
        <sz val="10"/>
        <color rgb="FF1F2A28"/>
        <rFont val="WenQuanYi Zen Hei"/>
        <family val="2"/>
      </rPr>
      <t xml:space="preserve">桃園市大溪區仁善里仁德七街</t>
    </r>
    <r>
      <rPr>
        <sz val="10"/>
        <color rgb="FF1F2A28"/>
        <rFont val="Arial"/>
        <family val="0"/>
        <charset val="1"/>
      </rPr>
      <t xml:space="preserve">35</t>
    </r>
    <r>
      <rPr>
        <sz val="10"/>
        <color rgb="FF1F2A28"/>
        <rFont val="WenQuanYi Zen Hei"/>
        <family val="2"/>
      </rPr>
      <t xml:space="preserve">號</t>
    </r>
  </si>
  <si>
    <t xml:space="preserve">03 380 7073</t>
  </si>
  <si>
    <t xml:space="preserve">van1030.tw@yahoo.com.tw</t>
  </si>
  <si>
    <t xml:space="preserve">2006-11-30</t>
  </si>
  <si>
    <t xml:space="preserve">呂明麗</t>
  </si>
  <si>
    <t xml:space="preserve">賴宜慎</t>
  </si>
  <si>
    <t xml:space="preserve">愛丁堡語文短期補習班</t>
  </si>
  <si>
    <t xml:space="preserve">私立愛丁堡語文短期補習班</t>
  </si>
  <si>
    <r>
      <rPr>
        <sz val="10"/>
        <color rgb="FF1F2A28"/>
        <rFont val="WenQuanYi Zen Hei"/>
        <family val="2"/>
      </rPr>
      <t xml:space="preserve">桃園市龍潭區建林里民族路</t>
    </r>
    <r>
      <rPr>
        <sz val="10"/>
        <color rgb="FF1F2A28"/>
        <rFont val="Arial"/>
        <family val="0"/>
        <charset val="1"/>
      </rPr>
      <t xml:space="preserve">294</t>
    </r>
    <r>
      <rPr>
        <sz val="10"/>
        <color rgb="FF1F2A28"/>
        <rFont val="WenQuanYi Zen Hei"/>
        <family val="2"/>
      </rPr>
      <t xml:space="preserve">巷</t>
    </r>
    <r>
      <rPr>
        <sz val="10"/>
        <color rgb="FF1F2A28"/>
        <rFont val="Arial"/>
        <family val="0"/>
        <charset val="1"/>
      </rPr>
      <t xml:space="preserve">29</t>
    </r>
    <r>
      <rPr>
        <sz val="10"/>
        <color rgb="FF1F2A28"/>
        <rFont val="WenQuanYi Zen Hei"/>
        <family val="2"/>
      </rPr>
      <t xml:space="preserve">號</t>
    </r>
  </si>
  <si>
    <t xml:space="preserve">0952 811 303</t>
  </si>
  <si>
    <t xml:space="preserve">info@englishland.org</t>
  </si>
  <si>
    <t xml:space="preserve">1999-03-16</t>
  </si>
  <si>
    <t xml:space="preserve">吳莊暉</t>
  </si>
  <si>
    <t xml:space="preserve">佳音英語桃德校</t>
  </si>
  <si>
    <t xml:space="preserve">私立森日語文文理短期補習班</t>
  </si>
  <si>
    <r>
      <rPr>
        <sz val="10"/>
        <color rgb="FF1F2A28"/>
        <rFont val="WenQuanYi Zen Hei"/>
        <family val="2"/>
      </rPr>
      <t xml:space="preserve">桃園市八德區興中里中興街</t>
    </r>
    <r>
      <rPr>
        <sz val="10"/>
        <color rgb="FF1F2A28"/>
        <rFont val="Arial"/>
        <family val="0"/>
        <charset val="1"/>
      </rPr>
      <t xml:space="preserve">14</t>
    </r>
    <r>
      <rPr>
        <sz val="10"/>
        <color rgb="FF1F2A28"/>
        <rFont val="WenQuanYi Zen Hei"/>
        <family val="2"/>
      </rPr>
      <t xml:space="preserve">號</t>
    </r>
  </si>
  <si>
    <t xml:space="preserve">03 368 0022</t>
  </si>
  <si>
    <t xml:space="preserve">tw0983276700@gmail.com</t>
  </si>
  <si>
    <t xml:space="preserve">2025-11-06</t>
  </si>
  <si>
    <t xml:space="preserve">林志杰</t>
  </si>
  <si>
    <t xml:space="preserve">葉柏萱</t>
  </si>
  <si>
    <t xml:space="preserve">得分文理語文短期補習班</t>
  </si>
  <si>
    <t xml:space="preserve">私立得分文理語文短期補習班</t>
  </si>
  <si>
    <r>
      <rPr>
        <sz val="10"/>
        <color rgb="FF1F2A28"/>
        <rFont val="WenQuanYi Zen Hei"/>
        <family val="2"/>
      </rPr>
      <t xml:space="preserve">桃園市龍潭區三林里民族路</t>
    </r>
    <r>
      <rPr>
        <sz val="10"/>
        <color rgb="FF1F2A28"/>
        <rFont val="Arial"/>
        <family val="0"/>
        <charset val="1"/>
      </rPr>
      <t xml:space="preserve">265</t>
    </r>
    <r>
      <rPr>
        <sz val="10"/>
        <color rgb="FF1F2A28"/>
        <rFont val="WenQuanYi Zen Hei"/>
        <family val="2"/>
      </rPr>
      <t xml:space="preserve">號</t>
    </r>
  </si>
  <si>
    <t xml:space="preserve">03 480 1553</t>
  </si>
  <si>
    <t xml:space="preserve">luhejing@ms96.url.com.tw</t>
  </si>
  <si>
    <t xml:space="preserve">2008-12-17</t>
  </si>
  <si>
    <t xml:space="preserve">紀志融</t>
  </si>
  <si>
    <t xml:space="preserve">董涵如</t>
  </si>
  <si>
    <t xml:space="preserve">競升文理美語短期補習班</t>
  </si>
  <si>
    <r>
      <rPr>
        <sz val="10"/>
        <color rgb="FF1F2A28"/>
        <rFont val="WenQuanYi Zen Hei"/>
        <family val="2"/>
      </rPr>
      <t xml:space="preserve">桃園市龍潭區三林里民族路</t>
    </r>
    <r>
      <rPr>
        <sz val="10"/>
        <color rgb="FF1F2A28"/>
        <rFont val="Arial"/>
        <family val="0"/>
        <charset val="1"/>
      </rPr>
      <t xml:space="preserve">293</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弄</t>
    </r>
    <r>
      <rPr>
        <sz val="10"/>
        <color rgb="FF1F2A28"/>
        <rFont val="Arial"/>
        <family val="0"/>
        <charset val="1"/>
      </rPr>
      <t xml:space="preserve">5</t>
    </r>
    <r>
      <rPr>
        <sz val="10"/>
        <color rgb="FF1F2A28"/>
        <rFont val="WenQuanYi Zen Hei"/>
        <family val="2"/>
      </rPr>
      <t xml:space="preserve">號</t>
    </r>
  </si>
  <si>
    <t xml:space="preserve">03 499 3535</t>
  </si>
  <si>
    <t xml:space="preserve">康大電腦文理美語短期補習班</t>
  </si>
  <si>
    <t xml:space="preserve">私立康大電腦文理美語短期補習班</t>
  </si>
  <si>
    <t xml:space="preserve">觀音區</t>
  </si>
  <si>
    <r>
      <rPr>
        <sz val="10"/>
        <color rgb="FF1F2A28"/>
        <rFont val="WenQuanYi Zen Hei"/>
        <family val="2"/>
      </rPr>
      <t xml:space="preserve">桃園市觀音區大同里中山路二段</t>
    </r>
    <r>
      <rPr>
        <sz val="10"/>
        <color rgb="FF1F2A28"/>
        <rFont val="Arial"/>
        <family val="0"/>
        <charset val="1"/>
      </rPr>
      <t xml:space="preserve">763</t>
    </r>
    <r>
      <rPr>
        <sz val="10"/>
        <color rgb="FF1F2A28"/>
        <rFont val="WenQuanYi Zen Hei"/>
        <family val="2"/>
      </rPr>
      <t xml:space="preserve">巷</t>
    </r>
    <r>
      <rPr>
        <sz val="10"/>
        <color rgb="FF1F2A28"/>
        <rFont val="Arial"/>
        <family val="0"/>
        <charset val="1"/>
      </rPr>
      <t xml:space="preserve">23</t>
    </r>
    <r>
      <rPr>
        <sz val="10"/>
        <color rgb="FF1F2A28"/>
        <rFont val="WenQuanYi Zen Hei"/>
        <family val="2"/>
      </rPr>
      <t xml:space="preserve">弄</t>
    </r>
    <r>
      <rPr>
        <sz val="10"/>
        <color rgb="FF1F2A28"/>
        <rFont val="Arial"/>
        <family val="0"/>
        <charset val="1"/>
      </rPr>
      <t xml:space="preserve">5</t>
    </r>
    <r>
      <rPr>
        <sz val="10"/>
        <color rgb="FF1F2A28"/>
        <rFont val="WenQuanYi Zen Hei"/>
        <family val="2"/>
      </rPr>
      <t xml:space="preserve">號</t>
    </r>
  </si>
  <si>
    <t xml:space="preserve">03 498 9619</t>
  </si>
  <si>
    <t xml:space="preserve">kda@kda.tw</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</si>
  <si>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</si>
  <si>
    <t xml:space="preserve">1997-04-30</t>
  </si>
  <si>
    <t xml:space="preserve">張世慈</t>
  </si>
  <si>
    <t xml:space="preserve">張士蓮</t>
  </si>
  <si>
    <r>
      <rPr>
        <sz val="10"/>
        <color rgb="FF1F2A28"/>
        <rFont val="WenQuanYi Zen Hei"/>
        <family val="2"/>
      </rPr>
      <t xml:space="preserve">布萊登文理補習班</t>
    </r>
    <r>
      <rPr>
        <sz val="10"/>
        <color rgb="FF1F2A28"/>
        <rFont val="Arial"/>
        <family val="0"/>
        <charset val="1"/>
      </rPr>
      <t xml:space="preserve">-Live</t>
    </r>
    <r>
      <rPr>
        <sz val="10"/>
        <color rgb="FF1F2A28"/>
        <rFont val="WenQuanYi Zen Hei"/>
        <family val="2"/>
      </rPr>
      <t xml:space="preserve">互動美語新坡校（</t>
    </r>
    <r>
      <rPr>
        <sz val="10"/>
        <color rgb="FF1F2A28"/>
        <rFont val="Arial"/>
        <family val="0"/>
        <charset val="1"/>
      </rPr>
      <t xml:space="preserve">MPM</t>
    </r>
    <r>
      <rPr>
        <sz val="10"/>
        <color rgb="FF1F2A28"/>
        <rFont val="WenQuanYi Zen Hei"/>
        <family val="2"/>
      </rPr>
      <t xml:space="preserve">數學）</t>
    </r>
  </si>
  <si>
    <t xml:space="preserve">私立布萊登文理短期補習班</t>
  </si>
  <si>
    <r>
      <rPr>
        <sz val="10"/>
        <color rgb="FF1F2A28"/>
        <rFont val="WenQuanYi Zen Hei"/>
        <family val="2"/>
      </rPr>
      <t xml:space="preserve">桃園市觀音區新坡里中山路二段</t>
    </r>
    <r>
      <rPr>
        <sz val="10"/>
        <color rgb="FF1F2A28"/>
        <rFont val="Arial"/>
        <family val="0"/>
        <charset val="1"/>
      </rPr>
      <t xml:space="preserve">522</t>
    </r>
    <r>
      <rPr>
        <sz val="10"/>
        <color rgb="FF1F2A28"/>
        <rFont val="WenQuanYi Zen Hei"/>
        <family val="2"/>
      </rPr>
      <t xml:space="preserve">號</t>
    </r>
  </si>
  <si>
    <t xml:space="preserve">03 498 0741</t>
  </si>
  <si>
    <t xml:space="preserve">kyle19970420@gmail.com</t>
  </si>
  <si>
    <t xml:space="preserve">2023-02-13</t>
  </si>
  <si>
    <t xml:space="preserve">黃嵐亞</t>
  </si>
  <si>
    <t xml:space="preserve">林昀皜</t>
  </si>
  <si>
    <r>
      <rPr>
        <sz val="10"/>
        <color rgb="FF1F2A28"/>
        <rFont val="WenQuanYi Zen Hei"/>
        <family val="2"/>
      </rPr>
      <t xml:space="preserve">澧森美語</t>
    </r>
    <r>
      <rPr>
        <sz val="10"/>
        <color rgb="FF1F2A28"/>
        <rFont val="Arial"/>
        <family val="0"/>
        <charset val="1"/>
      </rPr>
      <t xml:space="preserve">Listen To Me</t>
    </r>
  </si>
  <si>
    <t xml:space="preserve">私立澧森文理短期補習班</t>
  </si>
  <si>
    <t xml:space="preserve">大園區</t>
  </si>
  <si>
    <r>
      <rPr>
        <sz val="10"/>
        <color rgb="FF1F2A28"/>
        <rFont val="WenQuanYi Zen Hei"/>
        <family val="2"/>
      </rPr>
      <t xml:space="preserve">桃園市大園區青山里領航北路三段</t>
    </r>
    <r>
      <rPr>
        <sz val="10"/>
        <color rgb="FF1F2A28"/>
        <rFont val="Arial"/>
        <family val="0"/>
        <charset val="1"/>
      </rPr>
      <t xml:space="preserve">223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</si>
  <si>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03 287 0170</t>
  </si>
  <si>
    <t xml:space="preserve">emily781021@gmail.com</t>
  </si>
  <si>
    <t xml:space="preserve">2023-04-25</t>
  </si>
  <si>
    <t xml:space="preserve">黃悅紅</t>
  </si>
  <si>
    <t xml:space="preserve">大英美語文理補習班</t>
  </si>
  <si>
    <r>
      <rPr>
        <sz val="10"/>
        <color rgb="FF1F2A28"/>
        <rFont val="WenQuanYi Zen Hei"/>
        <family val="2"/>
      </rPr>
      <t xml:space="preserve">桃園市觀音區新坡里文中路</t>
    </r>
    <r>
      <rPr>
        <sz val="10"/>
        <color rgb="FF1F2A28"/>
        <rFont val="Arial"/>
        <family val="0"/>
        <charset val="1"/>
      </rPr>
      <t xml:space="preserve">66</t>
    </r>
    <r>
      <rPr>
        <sz val="10"/>
        <color rgb="FF1F2A28"/>
        <rFont val="WenQuanYi Zen Hei"/>
        <family val="2"/>
      </rPr>
      <t xml:space="preserve">號</t>
    </r>
  </si>
  <si>
    <t xml:space="preserve">03 498 7622</t>
  </si>
  <si>
    <t xml:space="preserve">語捷語文短期補習班</t>
  </si>
  <si>
    <r>
      <rPr>
        <sz val="10"/>
        <color rgb="FF1F2A28"/>
        <rFont val="WenQuanYi Zen Hei"/>
        <family val="2"/>
      </rPr>
      <t xml:space="preserve">桃園市觀音區新坡里中山路二段</t>
    </r>
    <r>
      <rPr>
        <sz val="10"/>
        <color rgb="FF1F2A28"/>
        <rFont val="Arial"/>
        <family val="0"/>
        <charset val="1"/>
      </rPr>
      <t xml:space="preserve">470</t>
    </r>
    <r>
      <rPr>
        <sz val="10"/>
        <color rgb="FF1F2A28"/>
        <rFont val="WenQuanYi Zen Hei"/>
        <family val="2"/>
      </rPr>
      <t xml:space="preserve">號</t>
    </r>
  </si>
  <si>
    <t xml:space="preserve">03 498 6819</t>
  </si>
  <si>
    <t xml:space="preserve">私立美亞美語短期補習班</t>
  </si>
  <si>
    <r>
      <rPr>
        <sz val="10"/>
        <color rgb="FF1F2A28"/>
        <rFont val="WenQuanYi Zen Hei"/>
        <family val="2"/>
      </rPr>
      <t xml:space="preserve">桃園市大溪區興和里中正路</t>
    </r>
    <r>
      <rPr>
        <sz val="10"/>
        <color rgb="FF1F2A28"/>
        <rFont val="Arial"/>
        <family val="0"/>
        <charset val="1"/>
      </rPr>
      <t xml:space="preserve">45</t>
    </r>
    <r>
      <rPr>
        <sz val="10"/>
        <color rgb="FF1F2A28"/>
        <rFont val="WenQuanYi Zen Hei"/>
        <family val="2"/>
      </rPr>
      <t xml:space="preserve">號</t>
    </r>
  </si>
  <si>
    <t xml:space="preserve">03 388 0891</t>
  </si>
  <si>
    <t xml:space="preserve">mayyaenglishschool@yahoo.com.tw</t>
  </si>
  <si>
    <t xml:space="preserve">2000-09-28</t>
  </si>
  <si>
    <t xml:space="preserve">簡雅惠</t>
  </si>
  <si>
    <t xml:space="preserve">江衍君</t>
  </si>
  <si>
    <t xml:space="preserve">私立成龍語文短期補習班</t>
  </si>
  <si>
    <r>
      <rPr>
        <sz val="10"/>
        <color rgb="FF1F2A28"/>
        <rFont val="WenQuanYi Zen Hei"/>
        <family val="2"/>
      </rPr>
      <t xml:space="preserve">桃園市大溪區福仁里登龍路</t>
    </r>
    <r>
      <rPr>
        <sz val="10"/>
        <color rgb="FF1F2A28"/>
        <rFont val="Arial"/>
        <family val="0"/>
        <charset val="1"/>
      </rPr>
      <t xml:space="preserve">20</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</si>
  <si>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03 387 9867</t>
  </si>
  <si>
    <r>
      <rPr>
        <sz val="10"/>
        <color rgb="FF1F2A28"/>
        <rFont val="WenQuanYi Zen Hei"/>
        <family val="2"/>
      </rPr>
      <t xml:space="preserve">麋爾頓美語 </t>
    </r>
    <r>
      <rPr>
        <sz val="10"/>
        <color rgb="FF1F2A28"/>
        <rFont val="Arial"/>
        <family val="0"/>
        <charset val="1"/>
      </rPr>
      <t xml:space="preserve">Miltonkids Academy </t>
    </r>
    <r>
      <rPr>
        <sz val="10"/>
        <color rgb="FF1F2A28"/>
        <rFont val="WenQuanYi Zen Hei"/>
        <family val="2"/>
      </rPr>
      <t xml:space="preserve">兒童美語↗幼兒美語↗美語學習↗</t>
    </r>
  </si>
  <si>
    <t xml:space="preserve">私立麋爾頓文理技藝短期補習班</t>
  </si>
  <si>
    <r>
      <rPr>
        <sz val="10"/>
        <color rgb="FF1F2A28"/>
        <rFont val="WenQuanYi Zen Hei"/>
        <family val="2"/>
      </rPr>
      <t xml:space="preserve">桃園市大園區青峰里大勇路</t>
    </r>
    <r>
      <rPr>
        <sz val="10"/>
        <color rgb="FF1F2A28"/>
        <rFont val="Arial"/>
        <family val="0"/>
        <charset val="1"/>
      </rPr>
      <t xml:space="preserve">26</t>
    </r>
    <r>
      <rPr>
        <sz val="10"/>
        <color rgb="FF1F2A28"/>
        <rFont val="WenQuanYi Zen Hei"/>
        <family val="2"/>
      </rPr>
      <t xml:space="preserve">號</t>
    </r>
  </si>
  <si>
    <t xml:space="preserve">03 287 8335</t>
  </si>
  <si>
    <t xml:space="preserve">miltonkids2022@gmail.com</t>
  </si>
  <si>
    <t xml:space="preserve">2024-06-27</t>
  </si>
  <si>
    <t xml:space="preserve">李亭慧</t>
  </si>
  <si>
    <r>
      <rPr>
        <sz val="10"/>
        <color rgb="FF1F2A28"/>
        <rFont val="Arial"/>
        <family val="0"/>
        <charset val="1"/>
      </rPr>
      <t xml:space="preserve">Warmhood </t>
    </r>
    <r>
      <rPr>
        <sz val="10"/>
        <color rgb="FF1F2A28"/>
        <rFont val="WenQuanYi Zen Hei"/>
        <family val="2"/>
      </rPr>
      <t xml:space="preserve">暖夥英語</t>
    </r>
  </si>
  <si>
    <t xml:space="preserve">逗點國際教育事業股份有限公司附設私立逗點文理短期補習班展翅分班</t>
  </si>
  <si>
    <r>
      <rPr>
        <sz val="10"/>
        <color rgb="FF1F2A28"/>
        <rFont val="WenQuanYi Zen Hei"/>
        <family val="2"/>
      </rPr>
      <t xml:space="preserve">桃園市大園區青埔里大勇路</t>
    </r>
    <r>
      <rPr>
        <sz val="10"/>
        <color rgb="FF1F2A28"/>
        <rFont val="Arial"/>
        <family val="0"/>
        <charset val="1"/>
      </rPr>
      <t xml:space="preserve">31</t>
    </r>
    <r>
      <rPr>
        <sz val="10"/>
        <color rgb="FF1F2A28"/>
        <rFont val="WenQuanYi Zen Hei"/>
        <family val="2"/>
      </rPr>
      <t xml:space="preserve">號</t>
    </r>
  </si>
  <si>
    <t xml:space="preserve">wish124574318@gmail.com</t>
  </si>
  <si>
    <t xml:space="preserve">2023-02-10</t>
  </si>
  <si>
    <t xml:space="preserve">徐暘智</t>
  </si>
  <si>
    <t xml:space="preserve">黃偉婷</t>
  </si>
  <si>
    <r>
      <rPr>
        <sz val="10"/>
        <color rgb="FF1F2A28"/>
        <rFont val="WenQuanYi Zen Hei"/>
        <family val="2"/>
      </rPr>
      <t xml:space="preserve">【逗點教室</t>
    </r>
    <r>
      <rPr>
        <sz val="10"/>
        <color rgb="FF1F2A28"/>
        <rFont val="Arial"/>
        <family val="0"/>
        <charset val="1"/>
      </rPr>
      <t xml:space="preserve">-</t>
    </r>
    <r>
      <rPr>
        <sz val="10"/>
        <color rgb="FF1F2A28"/>
        <rFont val="WenQuanYi Zen Hei"/>
        <family val="2"/>
      </rPr>
      <t xml:space="preserve">青園展翅校】青園國小安親班</t>
    </r>
    <r>
      <rPr>
        <sz val="10"/>
        <color rgb="FF1F2A28"/>
        <rFont val="Arial"/>
        <family val="0"/>
        <charset val="1"/>
      </rPr>
      <t xml:space="preserve">/</t>
    </r>
    <r>
      <rPr>
        <sz val="10"/>
        <color rgb="FF1F2A28"/>
        <rFont val="WenQuanYi Zen Hei"/>
        <family val="2"/>
      </rPr>
      <t xml:space="preserve">青埔補習班</t>
    </r>
    <r>
      <rPr>
        <sz val="10"/>
        <color rgb="FF1F2A28"/>
        <rFont val="Arial"/>
        <family val="0"/>
        <charset val="1"/>
      </rPr>
      <t xml:space="preserve">/</t>
    </r>
    <r>
      <rPr>
        <sz val="10"/>
        <color rgb="FF1F2A28"/>
        <rFont val="WenQuanYi Zen Hei"/>
        <family val="2"/>
      </rPr>
      <t xml:space="preserve">資優數學</t>
    </r>
    <r>
      <rPr>
        <sz val="10"/>
        <color rgb="FF1F2A28"/>
        <rFont val="Arial"/>
        <family val="0"/>
        <charset val="1"/>
      </rPr>
      <t xml:space="preserve">/</t>
    </r>
    <r>
      <rPr>
        <sz val="10"/>
        <color rgb="FF1F2A28"/>
        <rFont val="WenQuanYi Zen Hei"/>
        <family val="2"/>
      </rPr>
      <t xml:space="preserve">自然科學實驗</t>
    </r>
    <r>
      <rPr>
        <sz val="10"/>
        <color rgb="FF1F2A28"/>
        <rFont val="Arial"/>
        <family val="0"/>
        <charset val="1"/>
      </rPr>
      <t xml:space="preserve">/</t>
    </r>
    <r>
      <rPr>
        <sz val="10"/>
        <color rgb="FF1F2A28"/>
        <rFont val="WenQuanYi Zen Hei"/>
        <family val="2"/>
      </rPr>
      <t xml:space="preserve">兒童美語</t>
    </r>
  </si>
  <si>
    <r>
      <rPr>
        <sz val="10"/>
        <color rgb="FF1F2A28"/>
        <rFont val="WenQuanYi Zen Hei"/>
        <family val="2"/>
      </rPr>
      <t xml:space="preserve">桃園市大園區青峰里大勇路</t>
    </r>
    <r>
      <rPr>
        <sz val="10"/>
        <color rgb="FF1F2A28"/>
        <rFont val="Arial"/>
        <family val="0"/>
        <charset val="1"/>
      </rPr>
      <t xml:space="preserve">33</t>
    </r>
    <r>
      <rPr>
        <sz val="10"/>
        <color rgb="FF1F2A28"/>
        <rFont val="WenQuanYi Zen Hei"/>
        <family val="2"/>
      </rPr>
      <t xml:space="preserve">號</t>
    </r>
  </si>
  <si>
    <t xml:space="preserve">03 287 3931</t>
  </si>
  <si>
    <t xml:space="preserve">奧斯汀美語 桃園龍山分校</t>
  </si>
  <si>
    <t xml:space="preserve">私立煦恩文理短期補習班</t>
  </si>
  <si>
    <t xml:space="preserve">桃園區</t>
  </si>
  <si>
    <r>
      <rPr>
        <sz val="10"/>
        <color rgb="FF1F2A28"/>
        <rFont val="WenQuanYi Zen Hei"/>
        <family val="2"/>
      </rPr>
      <t xml:space="preserve">桃園市桃園區龍壽里龍泉六街</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</si>
  <si>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03 370 9247</t>
  </si>
  <si>
    <t xml:space="preserve">austinlongshanlife@gmail.com</t>
  </si>
  <si>
    <t xml:space="preserve">2026-06-02</t>
  </si>
  <si>
    <t xml:space="preserve">黃鈺婷</t>
  </si>
  <si>
    <r>
      <rPr>
        <sz val="10"/>
        <color rgb="FF1F2A28"/>
        <rFont val="WenQuanYi Zen Hei"/>
        <family val="2"/>
      </rPr>
      <t xml:space="preserve">青埔【個別指導】補習班❤️安親</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鋼琴</t>
    </r>
    <r>
      <rPr>
        <sz val="10"/>
        <color rgb="FF1F2A28"/>
        <rFont val="Arial"/>
        <family val="0"/>
        <charset val="1"/>
      </rPr>
      <t xml:space="preserve">.</t>
    </r>
    <r>
      <rPr>
        <sz val="10"/>
        <color rgb="FF1F2A28"/>
        <rFont val="WenQuanYi Zen Hei"/>
        <family val="2"/>
      </rPr>
      <t xml:space="preserve">數學</t>
    </r>
    <r>
      <rPr>
        <sz val="10"/>
        <color rgb="FF1F2A28"/>
        <rFont val="Arial"/>
        <family val="0"/>
        <charset val="1"/>
      </rPr>
      <t xml:space="preserve">.</t>
    </r>
    <r>
      <rPr>
        <sz val="10"/>
        <color rgb="FF1F2A28"/>
        <rFont val="WenQuanYi Zen Hei"/>
        <family val="2"/>
      </rPr>
      <t xml:space="preserve">多益</t>
    </r>
    <r>
      <rPr>
        <sz val="10"/>
        <color rgb="FF1F2A28"/>
        <rFont val="Arial"/>
        <family val="0"/>
        <charset val="1"/>
      </rPr>
      <t xml:space="preserve">.</t>
    </r>
    <r>
      <rPr>
        <sz val="10"/>
        <color rgb="FF1F2A28"/>
        <rFont val="WenQuanYi Zen Hei"/>
        <family val="2"/>
      </rPr>
      <t xml:space="preserve">甲蟲飼育</t>
    </r>
    <r>
      <rPr>
        <sz val="10"/>
        <color rgb="FF1F2A28"/>
        <rFont val="Arial"/>
        <family val="0"/>
        <charset val="1"/>
      </rPr>
      <t xml:space="preserve">.</t>
    </r>
    <r>
      <rPr>
        <sz val="10"/>
        <color rgb="FF1F2A28"/>
        <rFont val="WenQuanYi Zen Hei"/>
        <family val="2"/>
      </rPr>
      <t xml:space="preserve">程式語言</t>
    </r>
    <r>
      <rPr>
        <sz val="10"/>
        <color rgb="FF1F2A28"/>
        <rFont val="Arial"/>
        <family val="0"/>
        <charset val="1"/>
      </rPr>
      <t xml:space="preserve">.AI</t>
    </r>
    <r>
      <rPr>
        <sz val="10"/>
        <color rgb="FF1F2A28"/>
        <rFont val="WenQuanYi Zen Hei"/>
        <family val="2"/>
      </rPr>
      <t xml:space="preserve">機器人</t>
    </r>
    <r>
      <rPr>
        <sz val="10"/>
        <color rgb="FF1F2A28"/>
        <rFont val="Arial"/>
        <family val="0"/>
        <charset val="1"/>
      </rPr>
      <t xml:space="preserve">.APCS</t>
    </r>
    <r>
      <rPr>
        <sz val="10"/>
        <color rgb="FF1F2A28"/>
        <rFont val="WenQuanYi Zen Hei"/>
        <family val="2"/>
      </rPr>
      <t xml:space="preserve">大學程式設計</t>
    </r>
    <r>
      <rPr>
        <sz val="10"/>
        <color rgb="FF1F2A28"/>
        <rFont val="Arial"/>
        <family val="0"/>
        <charset val="1"/>
      </rPr>
      <t xml:space="preserve">.</t>
    </r>
    <r>
      <rPr>
        <sz val="10"/>
        <color rgb="FF1F2A28"/>
        <rFont val="WenQuanYi Zen Hei"/>
        <family val="2"/>
      </rPr>
      <t xml:space="preserve">動力積木</t>
    </r>
    <r>
      <rPr>
        <sz val="10"/>
        <color rgb="FF1F2A28"/>
        <rFont val="Arial"/>
        <family val="0"/>
        <charset val="1"/>
      </rPr>
      <t xml:space="preserve">.</t>
    </r>
    <r>
      <rPr>
        <sz val="10"/>
        <color rgb="FF1F2A28"/>
        <rFont val="WenQuanYi Zen Hei"/>
        <family val="2"/>
      </rPr>
      <t xml:space="preserve">國中會考</t>
    </r>
    <r>
      <rPr>
        <sz val="10"/>
        <color rgb="FF1F2A28"/>
        <rFont val="Arial"/>
        <family val="0"/>
        <charset val="1"/>
      </rPr>
      <t xml:space="preserve">.</t>
    </r>
    <r>
      <rPr>
        <sz val="10"/>
        <color rgb="FF1F2A28"/>
        <rFont val="WenQuanYi Zen Hei"/>
        <family val="2"/>
      </rPr>
      <t xml:space="preserve">高中學測</t>
    </r>
    <r>
      <rPr>
        <sz val="10"/>
        <color rgb="FF1F2A28"/>
        <rFont val="Arial"/>
        <family val="0"/>
        <charset val="1"/>
      </rPr>
      <t xml:space="preserve">.</t>
    </r>
    <r>
      <rPr>
        <sz val="10"/>
        <color rgb="FF1F2A28"/>
        <rFont val="WenQuanYi Zen Hei"/>
        <family val="2"/>
      </rPr>
      <t xml:space="preserve">國文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數學</t>
    </r>
    <r>
      <rPr>
        <sz val="10"/>
        <color rgb="FF1F2A28"/>
        <rFont val="Arial"/>
        <family val="0"/>
        <charset val="1"/>
      </rPr>
      <t xml:space="preserve">.</t>
    </r>
    <r>
      <rPr>
        <sz val="10"/>
        <color rgb="FF1F2A28"/>
        <rFont val="WenQuanYi Zen Hei"/>
        <family val="2"/>
      </rPr>
      <t xml:space="preserve">物理</t>
    </r>
    <r>
      <rPr>
        <sz val="10"/>
        <color rgb="FF1F2A28"/>
        <rFont val="Arial"/>
        <family val="0"/>
        <charset val="1"/>
      </rPr>
      <t xml:space="preserve">.</t>
    </r>
    <r>
      <rPr>
        <sz val="10"/>
        <color rgb="FF1F2A28"/>
        <rFont val="WenQuanYi Zen Hei"/>
        <family val="2"/>
      </rPr>
      <t xml:space="preserve">化學</t>
    </r>
    <r>
      <rPr>
        <sz val="10"/>
        <color rgb="FF1F2A28"/>
        <rFont val="Arial"/>
        <family val="0"/>
        <charset val="1"/>
      </rPr>
      <t xml:space="preserve">.</t>
    </r>
    <r>
      <rPr>
        <sz val="10"/>
        <color rgb="FF1F2A28"/>
        <rFont val="WenQuanYi Zen Hei"/>
        <family val="2"/>
      </rPr>
      <t xml:space="preserve">生物</t>
    </r>
    <r>
      <rPr>
        <sz val="10"/>
        <color rgb="FF1F2A28"/>
        <rFont val="Arial"/>
        <family val="0"/>
        <charset val="1"/>
      </rPr>
      <t xml:space="preserve">.</t>
    </r>
    <r>
      <rPr>
        <sz val="10"/>
        <color rgb="FF1F2A28"/>
        <rFont val="WenQuanYi Zen Hei"/>
        <family val="2"/>
      </rPr>
      <t xml:space="preserve">地球科學</t>
    </r>
    <r>
      <rPr>
        <sz val="10"/>
        <color rgb="FF1F2A28"/>
        <rFont val="Arial"/>
        <family val="0"/>
        <charset val="1"/>
      </rPr>
      <t xml:space="preserve">.</t>
    </r>
    <r>
      <rPr>
        <sz val="10"/>
        <color rgb="FF1F2A28"/>
        <rFont val="WenQuanYi Zen Hei"/>
        <family val="2"/>
      </rPr>
      <t xml:space="preserve">社會</t>
    </r>
    <r>
      <rPr>
        <sz val="10"/>
        <color rgb="FF1F2A28"/>
        <rFont val="Arial"/>
        <family val="0"/>
        <charset val="1"/>
      </rPr>
      <t xml:space="preserve">.</t>
    </r>
    <r>
      <rPr>
        <sz val="10"/>
        <color rgb="FF1F2A28"/>
        <rFont val="WenQuanYi Zen Hei"/>
        <family val="2"/>
      </rPr>
      <t xml:space="preserve">自學生升學輔導</t>
    </r>
    <r>
      <rPr>
        <sz val="10"/>
        <color rgb="FF1F2A28"/>
        <rFont val="Arial"/>
        <family val="0"/>
        <charset val="1"/>
      </rPr>
      <t xml:space="preserve">.</t>
    </r>
    <r>
      <rPr>
        <sz val="10"/>
        <color rgb="FF1F2A28"/>
        <rFont val="WenQuanYi Zen Hei"/>
        <family val="2"/>
      </rPr>
      <t xml:space="preserve">親子共學</t>
    </r>
    <r>
      <rPr>
        <sz val="10"/>
        <color rgb="FF1F2A28"/>
        <rFont val="Arial"/>
        <family val="0"/>
        <charset val="1"/>
      </rPr>
      <t xml:space="preserve">.</t>
    </r>
    <r>
      <rPr>
        <sz val="10"/>
        <color rgb="FF1F2A28"/>
        <rFont val="WenQuanYi Zen Hei"/>
        <family val="2"/>
      </rPr>
      <t xml:space="preserve">育林文化</t>
    </r>
  </si>
  <si>
    <t xml:space="preserve">私立希言文理短期補習班</t>
  </si>
  <si>
    <r>
      <rPr>
        <sz val="10"/>
        <color rgb="FF1F2A28"/>
        <rFont val="WenQuanYi Zen Hei"/>
        <family val="2"/>
      </rPr>
      <t xml:space="preserve">桃園市大園區大華一街</t>
    </r>
    <r>
      <rPr>
        <sz val="10"/>
        <color rgb="FF1F2A28"/>
        <rFont val="Arial"/>
        <family val="0"/>
        <charset val="1"/>
      </rPr>
      <t xml:space="preserve">28</t>
    </r>
    <r>
      <rPr>
        <sz val="10"/>
        <color rgb="FF1F2A28"/>
        <rFont val="WenQuanYi Zen Hei"/>
        <family val="2"/>
      </rPr>
      <t xml:space="preserve">號</t>
    </r>
  </si>
  <si>
    <t xml:space="preserve">0900 187 246</t>
  </si>
  <si>
    <t xml:space="preserve">lee8810@gmail.com</t>
  </si>
  <si>
    <t xml:space="preserve">2025-03-19</t>
  </si>
  <si>
    <t xml:space="preserve">李育林</t>
  </si>
  <si>
    <r>
      <rPr>
        <sz val="10"/>
        <color rgb="FF1F2A28"/>
        <rFont val="Arial"/>
        <family val="0"/>
        <charset val="1"/>
      </rPr>
      <t xml:space="preserve">Red Rock English </t>
    </r>
    <r>
      <rPr>
        <sz val="10"/>
        <color rgb="FF1F2A28"/>
        <rFont val="WenQuanYi Zen Hei"/>
        <family val="2"/>
      </rPr>
      <t xml:space="preserve">紅石美語</t>
    </r>
    <r>
      <rPr>
        <sz val="10"/>
        <color rgb="FF1F2A28"/>
        <rFont val="Arial"/>
        <family val="0"/>
        <charset val="1"/>
      </rPr>
      <t xml:space="preserve">-</t>
    </r>
    <r>
      <rPr>
        <sz val="10"/>
        <color rgb="FF1F2A28"/>
        <rFont val="WenQuanYi Zen Hei"/>
        <family val="2"/>
      </rPr>
      <t xml:space="preserve">大園</t>
    </r>
    <r>
      <rPr>
        <sz val="10"/>
        <color rgb="FF1F2A28"/>
        <rFont val="Arial"/>
        <family val="0"/>
        <charset val="1"/>
      </rPr>
      <t xml:space="preserve">/</t>
    </r>
    <r>
      <rPr>
        <sz val="10"/>
        <color rgb="FF1F2A28"/>
        <rFont val="WenQuanYi Zen Hei"/>
        <family val="2"/>
      </rPr>
      <t xml:space="preserve">中壢</t>
    </r>
    <r>
      <rPr>
        <sz val="10"/>
        <color rgb="FF1F2A28"/>
        <rFont val="Arial"/>
        <family val="0"/>
        <charset val="1"/>
      </rPr>
      <t xml:space="preserve">/</t>
    </r>
    <r>
      <rPr>
        <sz val="10"/>
        <color rgb="FF1F2A28"/>
        <rFont val="WenQuanYi Zen Hei"/>
        <family val="2"/>
      </rPr>
      <t xml:space="preserve">青埔</t>
    </r>
    <r>
      <rPr>
        <sz val="10"/>
        <color rgb="FF1F2A28"/>
        <rFont val="Arial"/>
        <family val="0"/>
        <charset val="1"/>
      </rPr>
      <t xml:space="preserve">|</t>
    </r>
    <r>
      <rPr>
        <sz val="10"/>
        <color rgb="FF1F2A28"/>
        <rFont val="WenQuanYi Zen Hei"/>
        <family val="2"/>
      </rPr>
      <t xml:space="preserve">青園國小</t>
    </r>
    <r>
      <rPr>
        <sz val="10"/>
        <color rgb="FF1F2A28"/>
        <rFont val="Arial"/>
        <family val="0"/>
        <charset val="1"/>
      </rPr>
      <t xml:space="preserve">/</t>
    </r>
    <r>
      <rPr>
        <sz val="10"/>
        <color rgb="FF1F2A28"/>
        <rFont val="WenQuanYi Zen Hei"/>
        <family val="2"/>
      </rPr>
      <t xml:space="preserve">青埔國小</t>
    </r>
    <r>
      <rPr>
        <sz val="10"/>
        <color rgb="FF1F2A28"/>
        <rFont val="Arial"/>
        <family val="0"/>
        <charset val="1"/>
      </rPr>
      <t xml:space="preserve">/</t>
    </r>
    <r>
      <rPr>
        <sz val="10"/>
        <color rgb="FF1F2A28"/>
        <rFont val="WenQuanYi Zen Hei"/>
        <family val="2"/>
      </rPr>
      <t xml:space="preserve">兒童美語</t>
    </r>
    <r>
      <rPr>
        <sz val="10"/>
        <color rgb="FF1F2A28"/>
        <rFont val="Arial"/>
        <family val="0"/>
        <charset val="1"/>
      </rPr>
      <t xml:space="preserve">|</t>
    </r>
    <r>
      <rPr>
        <sz val="10"/>
        <color rgb="FF1F2A28"/>
        <rFont val="WenQuanYi Zen Hei"/>
        <family val="2"/>
      </rPr>
      <t xml:space="preserve">外師英文</t>
    </r>
    <r>
      <rPr>
        <sz val="10"/>
        <color rgb="FF1F2A28"/>
        <rFont val="Arial"/>
        <family val="0"/>
        <charset val="1"/>
      </rPr>
      <t xml:space="preserve">|</t>
    </r>
    <r>
      <rPr>
        <sz val="10"/>
        <color rgb="FF1F2A28"/>
        <rFont val="WenQuanYi Zen Hei"/>
        <family val="2"/>
      </rPr>
      <t xml:space="preserve">幼兒美語</t>
    </r>
    <r>
      <rPr>
        <sz val="10"/>
        <color rgb="FF1F2A28"/>
        <rFont val="Arial"/>
        <family val="0"/>
        <charset val="1"/>
      </rPr>
      <t xml:space="preserve">|</t>
    </r>
    <r>
      <rPr>
        <sz val="10"/>
        <color rgb="FF1F2A28"/>
        <rFont val="WenQuanYi Zen Hei"/>
        <family val="2"/>
      </rPr>
      <t xml:space="preserve">美語補習班</t>
    </r>
    <r>
      <rPr>
        <sz val="10"/>
        <color rgb="FF1F2A28"/>
        <rFont val="Arial"/>
        <family val="0"/>
        <charset val="1"/>
      </rPr>
      <t xml:space="preserve">|</t>
    </r>
    <r>
      <rPr>
        <sz val="10"/>
        <color rgb="FF1F2A28"/>
        <rFont val="WenQuanYi Zen Hei"/>
        <family val="2"/>
      </rPr>
      <t xml:space="preserve">課後英文</t>
    </r>
    <r>
      <rPr>
        <sz val="10"/>
        <color rgb="FF1F2A28"/>
        <rFont val="Arial"/>
        <family val="0"/>
        <charset val="1"/>
      </rPr>
      <t xml:space="preserve">|</t>
    </r>
    <r>
      <rPr>
        <sz val="10"/>
        <color rgb="FF1F2A28"/>
        <rFont val="WenQuanYi Zen Hei"/>
        <family val="2"/>
      </rPr>
      <t xml:space="preserve">國小英文</t>
    </r>
    <r>
      <rPr>
        <sz val="10"/>
        <color rgb="FF1F2A28"/>
        <rFont val="Arial"/>
        <family val="0"/>
        <charset val="1"/>
      </rPr>
      <t xml:space="preserve">|</t>
    </r>
    <r>
      <rPr>
        <sz val="10"/>
        <color rgb="FF1F2A28"/>
        <rFont val="WenQuanYi Zen Hei"/>
        <family val="2"/>
      </rPr>
      <t xml:space="preserve">國小美語</t>
    </r>
    <r>
      <rPr>
        <sz val="10"/>
        <color rgb="FF1F2A28"/>
        <rFont val="Arial"/>
        <family val="0"/>
        <charset val="1"/>
      </rPr>
      <t xml:space="preserve">|</t>
    </r>
    <r>
      <rPr>
        <sz val="10"/>
        <color rgb="FF1F2A28"/>
        <rFont val="WenQuanYi Zen Hei"/>
        <family val="2"/>
      </rPr>
      <t xml:space="preserve">國小安親</t>
    </r>
  </si>
  <si>
    <t xml:space="preserve">私立紅石美語文理短期補習班</t>
  </si>
  <si>
    <r>
      <rPr>
        <sz val="10"/>
        <color rgb="FF1F2A28"/>
        <rFont val="WenQuanYi Zen Hei"/>
        <family val="2"/>
      </rPr>
      <t xml:space="preserve">桃園市大園區青峰里大成路二段</t>
    </r>
    <r>
      <rPr>
        <sz val="10"/>
        <color rgb="FF1F2A28"/>
        <rFont val="Arial"/>
        <family val="0"/>
        <charset val="1"/>
      </rPr>
      <t xml:space="preserve">39</t>
    </r>
    <r>
      <rPr>
        <sz val="10"/>
        <color rgb="FF1F2A28"/>
        <rFont val="WenQuanYi Zen Hei"/>
        <family val="2"/>
      </rPr>
      <t xml:space="preserve">號</t>
    </r>
  </si>
  <si>
    <t xml:space="preserve">03 287 7727</t>
  </si>
  <si>
    <t xml:space="preserve">redrockenglish.jerrylin@gmail.com</t>
  </si>
  <si>
    <t xml:space="preserve">2025-11-10</t>
  </si>
  <si>
    <t xml:space="preserve">林宇晨</t>
  </si>
  <si>
    <t xml:space="preserve">私立育英文理短期補習班</t>
  </si>
  <si>
    <r>
      <rPr>
        <sz val="10"/>
        <color rgb="FF1F2A28"/>
        <rFont val="WenQuanYi Zen Hei"/>
        <family val="2"/>
      </rPr>
      <t xml:space="preserve">桃園市大溪區田心里民權東路</t>
    </r>
    <r>
      <rPr>
        <sz val="10"/>
        <color rgb="FF1F2A28"/>
        <rFont val="Arial"/>
        <family val="0"/>
        <charset val="1"/>
      </rPr>
      <t xml:space="preserve">93</t>
    </r>
    <r>
      <rPr>
        <sz val="10"/>
        <color rgb="FF1F2A28"/>
        <rFont val="WenQuanYi Zen Hei"/>
        <family val="2"/>
      </rPr>
      <t xml:space="preserve">號</t>
    </r>
  </si>
  <si>
    <t xml:space="preserve">03 387 1549</t>
  </si>
  <si>
    <t xml:space="preserve">ydmkininm1209@gmail.com</t>
  </si>
  <si>
    <t xml:space="preserve">1996-04-05</t>
  </si>
  <si>
    <t xml:space="preserve">彭欣誼</t>
  </si>
  <si>
    <t xml:space="preserve">學子語文文理短期補習班</t>
  </si>
  <si>
    <r>
      <rPr>
        <sz val="10"/>
        <color rgb="FF1F2A28"/>
        <rFont val="WenQuanYi Zen Hei"/>
        <family val="2"/>
      </rPr>
      <t xml:space="preserve">桃園市大溪區一心里文化路</t>
    </r>
    <r>
      <rPr>
        <sz val="10"/>
        <color rgb="FF1F2A28"/>
        <rFont val="Arial"/>
        <family val="0"/>
        <charset val="1"/>
      </rPr>
      <t xml:space="preserve">161</t>
    </r>
    <r>
      <rPr>
        <sz val="10"/>
        <color rgb="FF1F2A28"/>
        <rFont val="WenQuanYi Zen Hei"/>
        <family val="2"/>
      </rPr>
      <t xml:space="preserve">號</t>
    </r>
  </si>
  <si>
    <t xml:space="preserve">03 387 3139</t>
  </si>
  <si>
    <t xml:space="preserve">私立小熊文理語文珠心算數學短期補習班</t>
  </si>
  <si>
    <r>
      <rPr>
        <sz val="10"/>
        <color rgb="FF1F2A28"/>
        <rFont val="WenQuanYi Zen Hei"/>
        <family val="2"/>
      </rPr>
      <t xml:space="preserve">桃園市大溪區文化路</t>
    </r>
    <r>
      <rPr>
        <sz val="10"/>
        <color rgb="FF1F2A28"/>
        <rFont val="Arial"/>
        <family val="0"/>
        <charset val="1"/>
      </rPr>
      <t xml:space="preserve">81</t>
    </r>
    <r>
      <rPr>
        <sz val="10"/>
        <color rgb="FF1F2A28"/>
        <rFont val="WenQuanYi Zen Hei"/>
        <family val="2"/>
      </rPr>
      <t xml:space="preserve">號</t>
    </r>
    <r>
      <rPr>
        <sz val="10"/>
        <color rgb="FF1F2A28"/>
        <rFont val="Arial"/>
        <family val="0"/>
        <charset val="1"/>
      </rPr>
      <t xml:space="preserve">1F</t>
    </r>
  </si>
  <si>
    <t xml:space="preserve">03 387 2097</t>
  </si>
  <si>
    <t xml:space="preserve">BlackHsiao@me.com</t>
  </si>
  <si>
    <r>
      <rPr>
        <sz val="10"/>
        <color rgb="FF1F2A28"/>
        <rFont val="WenQuanYi Zen Hei"/>
        <family val="2"/>
      </rPr>
      <t xml:space="preserve">商類：珠算、心算、會計</t>
    </r>
    <r>
      <rPr>
        <sz val="10"/>
        <color rgb="FF1F2A28"/>
        <rFont val="Arial"/>
        <family val="0"/>
        <charset val="1"/>
      </rPr>
      <t xml:space="preserve">,</t>
    </r>
    <r>
      <rPr>
        <sz val="10"/>
        <color rgb="FF1F2A28"/>
        <rFont val="WenQuanYi Zen Hei"/>
        <family val="2"/>
      </rPr>
      <t xml:space="preserve">其他類</t>
    </r>
  </si>
  <si>
    <t xml:space="preserve">2001-11-06</t>
  </si>
  <si>
    <t xml:space="preserve">蕭宇廷</t>
  </si>
  <si>
    <t xml:space="preserve">喬登美語</t>
  </si>
  <si>
    <t xml:space="preserve">蘆竹區</t>
  </si>
  <si>
    <r>
      <rPr>
        <sz val="10"/>
        <color rgb="FF1F2A28"/>
        <rFont val="WenQuanYi Zen Hei"/>
        <family val="2"/>
      </rPr>
      <t xml:space="preserve">桃園市蘆竹區新興里文中路一段</t>
    </r>
    <r>
      <rPr>
        <sz val="10"/>
        <color rgb="FF1F2A28"/>
        <rFont val="Arial"/>
        <family val="0"/>
        <charset val="1"/>
      </rPr>
      <t xml:space="preserve">19</t>
    </r>
    <r>
      <rPr>
        <sz val="10"/>
        <color rgb="FF1F2A28"/>
        <rFont val="WenQuanYi Zen Hei"/>
        <family val="2"/>
      </rPr>
      <t xml:space="preserve">巷</t>
    </r>
    <r>
      <rPr>
        <sz val="10"/>
        <color rgb="FF1F2A28"/>
        <rFont val="Arial"/>
        <family val="0"/>
        <charset val="1"/>
      </rPr>
      <t xml:space="preserve">36</t>
    </r>
    <r>
      <rPr>
        <sz val="10"/>
        <color rgb="FF1F2A28"/>
        <rFont val="WenQuanYi Zen Hei"/>
        <family val="2"/>
      </rPr>
      <t xml:space="preserve">號</t>
    </r>
  </si>
  <si>
    <t xml:space="preserve">080 003 7789</t>
  </si>
  <si>
    <t xml:space="preserve">私立兒童星球美語短期補習班</t>
  </si>
  <si>
    <r>
      <rPr>
        <sz val="10"/>
        <color rgb="FF1F2A28"/>
        <rFont val="WenQuanYi Zen Hei"/>
        <family val="2"/>
      </rPr>
      <t xml:space="preserve">桃園市桃園區龍安里國豐十街</t>
    </r>
    <r>
      <rPr>
        <sz val="10"/>
        <color rgb="FF1F2A28"/>
        <rFont val="Arial"/>
        <family val="0"/>
        <charset val="1"/>
      </rPr>
      <t xml:space="preserve">258</t>
    </r>
    <r>
      <rPr>
        <sz val="10"/>
        <color rgb="FF1F2A28"/>
        <rFont val="WenQuanYi Zen Hei"/>
        <family val="2"/>
      </rPr>
      <t xml:space="preserve">號</t>
    </r>
  </si>
  <si>
    <t xml:space="preserve">03 360 0292</t>
  </si>
  <si>
    <r>
      <rPr>
        <sz val="10"/>
        <color rgb="FF1F2A28"/>
        <rFont val="WenQuanYi Zen Hei"/>
        <family val="2"/>
      </rPr>
      <t xml:space="preserve">喬登美語</t>
    </r>
    <r>
      <rPr>
        <sz val="10"/>
        <color rgb="FF1F2A28"/>
        <rFont val="Arial"/>
        <family val="0"/>
        <charset val="1"/>
      </rPr>
      <t xml:space="preserve">(</t>
    </r>
    <r>
      <rPr>
        <sz val="10"/>
        <color rgb="FF1F2A28"/>
        <rFont val="WenQuanYi Zen Hei"/>
        <family val="2"/>
      </rPr>
      <t xml:space="preserve">大成分校</t>
    </r>
    <r>
      <rPr>
        <sz val="10"/>
        <color rgb="FF1F2A28"/>
        <rFont val="Arial"/>
        <family val="0"/>
        <charset val="1"/>
      </rPr>
      <t xml:space="preserve">)</t>
    </r>
  </si>
  <si>
    <t xml:space="preserve">私立維一語文文理短期補習班</t>
  </si>
  <si>
    <r>
      <rPr>
        <sz val="10"/>
        <color rgb="FF1F2A28"/>
        <rFont val="WenQuanYi Zen Hei"/>
        <family val="2"/>
      </rPr>
      <t xml:space="preserve">桃園市八德區大成里福僑街</t>
    </r>
    <r>
      <rPr>
        <sz val="10"/>
        <color rgb="FF1F2A28"/>
        <rFont val="Arial"/>
        <family val="0"/>
        <charset val="1"/>
      </rPr>
      <t xml:space="preserve">39</t>
    </r>
    <r>
      <rPr>
        <sz val="10"/>
        <color rgb="FF1F2A28"/>
        <rFont val="WenQuanYi Zen Hei"/>
        <family val="2"/>
      </rPr>
      <t xml:space="preserve">號</t>
    </r>
  </si>
  <si>
    <t xml:space="preserve">03 371 4237</t>
  </si>
  <si>
    <t xml:space="preserve">wei.yi624@msa.hinet.net</t>
  </si>
  <si>
    <t xml:space="preserve">2011-07-18</t>
  </si>
  <si>
    <t xml:space="preserve">鄭銀福</t>
  </si>
  <si>
    <t xml:space="preserve">夏恩英語 桃園大成校</t>
  </si>
  <si>
    <r>
      <rPr>
        <sz val="10"/>
        <color rgb="FF1F2A28"/>
        <rFont val="WenQuanYi Zen Hei"/>
        <family val="2"/>
      </rPr>
      <t xml:space="preserve">桃園市八德區大和里建國路</t>
    </r>
    <r>
      <rPr>
        <sz val="10"/>
        <color rgb="FF1F2A28"/>
        <rFont val="Arial"/>
        <family val="0"/>
        <charset val="1"/>
      </rPr>
      <t xml:space="preserve">1110</t>
    </r>
    <r>
      <rPr>
        <sz val="10"/>
        <color rgb="FF1F2A28"/>
        <rFont val="WenQuanYi Zen Hei"/>
        <family val="2"/>
      </rPr>
      <t xml:space="preserve">號</t>
    </r>
  </si>
  <si>
    <t xml:space="preserve">03 363 7598</t>
  </si>
  <si>
    <t xml:space="preserve">桃園市私立艾普樂斯英語補習班</t>
  </si>
  <si>
    <t xml:space="preserve">私立艾普樂斯英語短期補習班</t>
  </si>
  <si>
    <r>
      <rPr>
        <sz val="10"/>
        <color rgb="FF1F2A28"/>
        <rFont val="WenQuanYi Zen Hei"/>
        <family val="2"/>
      </rPr>
      <t xml:space="preserve">桃園市八德區大成里大成街</t>
    </r>
    <r>
      <rPr>
        <sz val="10"/>
        <color rgb="FF1F2A28"/>
        <rFont val="Arial"/>
        <family val="0"/>
        <charset val="1"/>
      </rPr>
      <t xml:space="preserve">61</t>
    </r>
    <r>
      <rPr>
        <sz val="10"/>
        <color rgb="FF1F2A28"/>
        <rFont val="WenQuanYi Zen Hei"/>
        <family val="2"/>
      </rPr>
      <t xml:space="preserve">號 號</t>
    </r>
  </si>
  <si>
    <t xml:space="preserve">03 363 6276</t>
  </si>
  <si>
    <t xml:space="preserve">aplus033636276@yahoo.com.tw</t>
  </si>
  <si>
    <t xml:space="preserve">2004-11-26</t>
  </si>
  <si>
    <t xml:space="preserve">張愛琳</t>
  </si>
  <si>
    <r>
      <rPr>
        <sz val="10"/>
        <color rgb="FF1F2A28"/>
        <rFont val="Arial"/>
        <family val="0"/>
        <charset val="1"/>
      </rPr>
      <t xml:space="preserve">Live</t>
    </r>
    <r>
      <rPr>
        <sz val="10"/>
        <color rgb="FF1F2A28"/>
        <rFont val="WenQuanYi Zen Hei"/>
        <family val="2"/>
      </rPr>
      <t xml:space="preserve">互動美語桃園龍安分校（龍安甲子）</t>
    </r>
  </si>
  <si>
    <t xml:space="preserve">私立龍安甲子文理短期補習班</t>
  </si>
  <si>
    <r>
      <rPr>
        <sz val="10"/>
        <color rgb="FF1F2A28"/>
        <rFont val="WenQuanYi Zen Hei"/>
        <family val="2"/>
      </rPr>
      <t xml:space="preserve">桃園市桃園區龍安里國強十三街</t>
    </r>
    <r>
      <rPr>
        <sz val="10"/>
        <color rgb="FF1F2A28"/>
        <rFont val="Arial"/>
        <family val="0"/>
        <charset val="1"/>
      </rPr>
      <t xml:space="preserve">104</t>
    </r>
    <r>
      <rPr>
        <sz val="10"/>
        <color rgb="FF1F2A28"/>
        <rFont val="WenQuanYi Zen Hei"/>
        <family val="2"/>
      </rPr>
      <t xml:space="preserve">號</t>
    </r>
  </si>
  <si>
    <t xml:space="preserve">03 370 9123</t>
  </si>
  <si>
    <t xml:space="preserve">laserpda@gmail.com</t>
  </si>
  <si>
    <t xml:space="preserve">2025-01-06</t>
  </si>
  <si>
    <t xml:space="preserve">劉湘鈴</t>
  </si>
  <si>
    <r>
      <rPr>
        <sz val="10"/>
        <color rgb="FF1F2A28"/>
        <rFont val="WenQuanYi Zen Hei"/>
        <family val="2"/>
      </rPr>
      <t xml:space="preserve">經典補習班</t>
    </r>
    <r>
      <rPr>
        <sz val="10"/>
        <color rgb="FF1F2A28"/>
        <rFont val="Arial"/>
        <family val="0"/>
        <charset val="1"/>
      </rPr>
      <t xml:space="preserve">-</t>
    </r>
    <r>
      <rPr>
        <sz val="10"/>
        <color rgb="FF1F2A28"/>
        <rFont val="WenQuanYi Zen Hei"/>
        <family val="2"/>
      </rPr>
      <t xml:space="preserve">大成分校國小部</t>
    </r>
    <r>
      <rPr>
        <sz val="10"/>
        <color rgb="FF1F2A28"/>
        <rFont val="Arial"/>
        <family val="0"/>
        <charset val="1"/>
      </rPr>
      <t xml:space="preserve">(</t>
    </r>
    <r>
      <rPr>
        <sz val="10"/>
        <color rgb="FF1F2A28"/>
        <rFont val="WenQuanYi Zen Hei"/>
        <family val="2"/>
      </rPr>
      <t xml:space="preserve">徐薇英文</t>
    </r>
    <r>
      <rPr>
        <sz val="10"/>
        <color rgb="FF1F2A28"/>
        <rFont val="Arial"/>
        <family val="0"/>
        <charset val="1"/>
      </rPr>
      <t xml:space="preserve">)-</t>
    </r>
    <r>
      <rPr>
        <sz val="10"/>
        <color rgb="FF1F2A28"/>
        <rFont val="WenQuanYi Zen Hei"/>
        <family val="2"/>
      </rPr>
      <t xml:space="preserve">大成國小補習班</t>
    </r>
    <r>
      <rPr>
        <sz val="10"/>
        <color rgb="FF1F2A28"/>
        <rFont val="Arial"/>
        <family val="0"/>
        <charset val="1"/>
      </rPr>
      <t xml:space="preserve">/</t>
    </r>
    <r>
      <rPr>
        <sz val="10"/>
        <color rgb="FF1F2A28"/>
        <rFont val="WenQuanYi Zen Hei"/>
        <family val="2"/>
      </rPr>
      <t xml:space="preserve">八德數學班</t>
    </r>
    <r>
      <rPr>
        <sz val="10"/>
        <color rgb="FF1F2A28"/>
        <rFont val="Arial"/>
        <family val="0"/>
        <charset val="1"/>
      </rPr>
      <t xml:space="preserve">/</t>
    </r>
    <r>
      <rPr>
        <sz val="10"/>
        <color rgb="FF1F2A28"/>
        <rFont val="WenQuanYi Zen Hei"/>
        <family val="2"/>
      </rPr>
      <t xml:space="preserve">八德兒童美語</t>
    </r>
    <r>
      <rPr>
        <sz val="10"/>
        <color rgb="FF1F2A28"/>
        <rFont val="Arial"/>
        <family val="0"/>
        <charset val="1"/>
      </rPr>
      <t xml:space="preserve">/</t>
    </r>
    <r>
      <rPr>
        <sz val="10"/>
        <color rgb="FF1F2A28"/>
        <rFont val="WenQuanYi Zen Hei"/>
        <family val="2"/>
      </rPr>
      <t xml:space="preserve">八德作文班</t>
    </r>
    <r>
      <rPr>
        <sz val="10"/>
        <color rgb="FF1F2A28"/>
        <rFont val="Arial"/>
        <family val="0"/>
        <charset val="1"/>
      </rPr>
      <t xml:space="preserve">/</t>
    </r>
    <r>
      <rPr>
        <sz val="10"/>
        <color rgb="FF1F2A28"/>
        <rFont val="WenQuanYi Zen Hei"/>
        <family val="2"/>
      </rPr>
      <t xml:space="preserve">八德安親班</t>
    </r>
  </si>
  <si>
    <t xml:space="preserve">私立經典文理美語短期補習班</t>
  </si>
  <si>
    <r>
      <rPr>
        <sz val="10"/>
        <color rgb="FF1F2A28"/>
        <rFont val="WenQuanYi Zen Hei"/>
        <family val="2"/>
      </rPr>
      <t xml:space="preserve">桃園市八德區大成里大成街</t>
    </r>
    <r>
      <rPr>
        <sz val="10"/>
        <color rgb="FF1F2A28"/>
        <rFont val="Arial"/>
        <family val="0"/>
        <charset val="1"/>
      </rPr>
      <t xml:space="preserve">67</t>
    </r>
    <r>
      <rPr>
        <sz val="10"/>
        <color rgb="FF1F2A28"/>
        <rFont val="WenQuanYi Zen Hei"/>
        <family val="2"/>
      </rPr>
      <t xml:space="preserve">號</t>
    </r>
  </si>
  <si>
    <t xml:space="preserve">03 376 1116</t>
  </si>
  <si>
    <t xml:space="preserve">long168hair@gmail.com</t>
  </si>
  <si>
    <t xml:space="preserve">2005-01-31</t>
  </si>
  <si>
    <t xml:space="preserve">簡志銘</t>
  </si>
  <si>
    <t xml:space="preserve">承信短期美語補習班</t>
  </si>
  <si>
    <t xml:space="preserve">桃園市八德區</t>
  </si>
  <si>
    <r>
      <rPr>
        <sz val="10"/>
        <color rgb="FF1F2A28"/>
        <rFont val="WenQuanYi Zen Hei"/>
        <family val="2"/>
      </rPr>
      <t xml:space="preserve">佳祥文理短期補習班</t>
    </r>
    <r>
      <rPr>
        <sz val="10"/>
        <color rgb="FF1F2A28"/>
        <rFont val="Arial"/>
        <family val="0"/>
        <charset val="1"/>
      </rPr>
      <t xml:space="preserve">(</t>
    </r>
    <r>
      <rPr>
        <sz val="10"/>
        <color rgb="FF1F2A28"/>
        <rFont val="WenQuanYi Zen Hei"/>
        <family val="2"/>
      </rPr>
      <t xml:space="preserve">中興國中 永豐國中 桃園國中</t>
    </r>
    <r>
      <rPr>
        <sz val="10"/>
        <color rgb="FF1F2A28"/>
        <rFont val="Arial"/>
        <family val="0"/>
        <charset val="1"/>
      </rPr>
      <t xml:space="preserve">)</t>
    </r>
    <r>
      <rPr>
        <sz val="10"/>
        <color rgb="FF1F2A28"/>
        <rFont val="WenQuanYi Zen Hei"/>
        <family val="2"/>
      </rPr>
      <t xml:space="preserve">桃園國一先修 英文 數學 會考補習班 全科班 高一數學班</t>
    </r>
  </si>
  <si>
    <t xml:space="preserve">私立佳祥文理短期補習班</t>
  </si>
  <si>
    <r>
      <rPr>
        <sz val="10"/>
        <color rgb="FF1F2A28"/>
        <rFont val="WenQuanYi Zen Hei"/>
        <family val="2"/>
      </rPr>
      <t xml:space="preserve">桃園市桃園區龍鳳里國豐三街</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</si>
  <si>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03 379 5379</t>
  </si>
  <si>
    <t xml:space="preserve">peiwenlee0807@hotmail..com</t>
  </si>
  <si>
    <t xml:space="preserve">2010-10-28</t>
  </si>
  <si>
    <t xml:space="preserve">李佩紋</t>
  </si>
  <si>
    <t xml:space="preserve">私立柏林語文文理短期補習班</t>
  </si>
  <si>
    <r>
      <rPr>
        <sz val="10"/>
        <color rgb="FF1F2A28"/>
        <rFont val="WenQuanYi Zen Hei"/>
        <family val="2"/>
      </rPr>
      <t xml:space="preserve">桃園市桃園區龍鳳里龍安街</t>
    </r>
    <r>
      <rPr>
        <sz val="10"/>
        <color rgb="FF1F2A28"/>
        <rFont val="Arial"/>
        <family val="0"/>
        <charset val="1"/>
      </rPr>
      <t xml:space="preserve">119</t>
    </r>
    <r>
      <rPr>
        <sz val="10"/>
        <color rgb="FF1F2A28"/>
        <rFont val="WenQuanYi Zen Hei"/>
        <family val="2"/>
      </rPr>
      <t xml:space="preserve">號</t>
    </r>
    <r>
      <rPr>
        <sz val="10"/>
        <color rgb="FF1F2A28"/>
        <rFont val="Arial"/>
        <family val="0"/>
        <charset val="1"/>
      </rPr>
      <t xml:space="preserve">2 </t>
    </r>
    <r>
      <rPr>
        <sz val="10"/>
        <color rgb="FF1F2A28"/>
        <rFont val="WenQuanYi Zen Hei"/>
        <family val="2"/>
      </rPr>
      <t xml:space="preserve">樓</t>
    </r>
  </si>
  <si>
    <t xml:space="preserve">03 378 6458</t>
  </si>
  <si>
    <t xml:space="preserve">bolinei@outlook.com</t>
  </si>
  <si>
    <t xml:space="preserve">2009-11-16</t>
  </si>
  <si>
    <t xml:space="preserve">吳秉澤</t>
  </si>
  <si>
    <t xml:space="preserve">吉的堡美語</t>
  </si>
  <si>
    <t xml:space="preserve">私立立人文理短期補習班大成分班</t>
  </si>
  <si>
    <r>
      <rPr>
        <sz val="10"/>
        <color rgb="FF1F2A28"/>
        <rFont val="WenQuanYi Zen Hei"/>
        <family val="2"/>
      </rPr>
      <t xml:space="preserve">桃園市八德區大和里介壽路二段</t>
    </r>
    <r>
      <rPr>
        <sz val="10"/>
        <color rgb="FF1F2A28"/>
        <rFont val="Arial"/>
        <family val="0"/>
        <charset val="1"/>
      </rPr>
      <t xml:space="preserve">34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</si>
  <si>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kaikai721021@gmail.com</t>
  </si>
  <si>
    <t xml:space="preserve">2005-03-23</t>
  </si>
  <si>
    <t xml:space="preserve">曾旻愷</t>
  </si>
  <si>
    <t xml:space="preserve">孫家皓</t>
  </si>
  <si>
    <t xml:space="preserve">私立立天文理美語短期補習班</t>
  </si>
  <si>
    <r>
      <rPr>
        <sz val="10"/>
        <color rgb="FF1F2A28"/>
        <rFont val="WenQuanYi Zen Hei"/>
        <family val="2"/>
      </rPr>
      <t xml:space="preserve">桃園市八德區大和里介壽路二段</t>
    </r>
    <r>
      <rPr>
        <sz val="10"/>
        <color rgb="FF1F2A28"/>
        <rFont val="Arial"/>
        <family val="0"/>
        <charset val="1"/>
      </rPr>
      <t xml:space="preserve">34</t>
    </r>
    <r>
      <rPr>
        <sz val="10"/>
        <color rgb="FF1F2A28"/>
        <rFont val="WenQuanYi Zen Hei"/>
        <family val="2"/>
      </rPr>
      <t xml:space="preserve">號</t>
    </r>
  </si>
  <si>
    <t xml:space="preserve">03 371 1000</t>
  </si>
  <si>
    <t xml:space="preserve">奧斯汀美語桃園大湳二校</t>
  </si>
  <si>
    <t xml:space="preserve">私立葛萊文理短期補習班八德分班</t>
  </si>
  <si>
    <r>
      <rPr>
        <sz val="10"/>
        <color rgb="FF1F2A28"/>
        <rFont val="WenQuanYi Zen Hei"/>
        <family val="2"/>
      </rPr>
      <t xml:space="preserve">桃園市八德區大忠里介壽路一段</t>
    </r>
    <r>
      <rPr>
        <sz val="10"/>
        <color rgb="FF1F2A28"/>
        <rFont val="Arial"/>
        <family val="0"/>
        <charset val="1"/>
      </rPr>
      <t xml:space="preserve">985</t>
    </r>
    <r>
      <rPr>
        <sz val="10"/>
        <color rgb="FF1F2A28"/>
        <rFont val="WenQuanYi Zen Hei"/>
        <family val="2"/>
      </rPr>
      <t xml:space="preserve">號</t>
    </r>
  </si>
  <si>
    <t xml:space="preserve">03 361 0885</t>
  </si>
  <si>
    <t xml:space="preserve">today7624@gmail.com</t>
  </si>
  <si>
    <t xml:space="preserve">2023-07-21</t>
  </si>
  <si>
    <t xml:space="preserve">蘇哲平</t>
  </si>
  <si>
    <t xml:space="preserve">葉嘉茹</t>
  </si>
  <si>
    <t xml:space="preserve">冠軒美語數學作文短期補習班（龍安分校）</t>
  </si>
  <si>
    <t xml:space="preserve">私立冠軒美語數學作文短期補習班</t>
  </si>
  <si>
    <r>
      <rPr>
        <sz val="10"/>
        <color rgb="FF1F2A28"/>
        <rFont val="WenQuanYi Zen Hei"/>
        <family val="2"/>
      </rPr>
      <t xml:space="preserve">桃園市桃園區龍岡里上海路</t>
    </r>
    <r>
      <rPr>
        <sz val="10"/>
        <color rgb="FF1F2A28"/>
        <rFont val="Arial"/>
        <family val="0"/>
        <charset val="1"/>
      </rPr>
      <t xml:space="preserve">117</t>
    </r>
    <r>
      <rPr>
        <sz val="10"/>
        <color rgb="FF1F2A28"/>
        <rFont val="WenQuanYi Zen Hei"/>
        <family val="2"/>
      </rPr>
      <t xml:space="preserve">號</t>
    </r>
  </si>
  <si>
    <t xml:space="preserve">03 370 4558</t>
  </si>
  <si>
    <t xml:space="preserve">ty93650989@gmail.com</t>
  </si>
  <si>
    <t xml:space="preserve">2010-02-01</t>
  </si>
  <si>
    <t xml:space="preserve">詹珺羽</t>
  </si>
  <si>
    <t xml:space="preserve">吳孟珈</t>
  </si>
  <si>
    <r>
      <rPr>
        <sz val="10"/>
        <color rgb="FF1F2A28"/>
        <rFont val="WenQuanYi Zen Hei"/>
        <family val="2"/>
      </rPr>
      <t xml:space="preserve">冠昱補習班 （湖口國高中補習班）《國中全科班》</t>
    </r>
    <r>
      <rPr>
        <sz val="10"/>
        <color rgb="FF1F2A28"/>
        <rFont val="Arial"/>
        <family val="0"/>
        <charset val="1"/>
      </rPr>
      <t xml:space="preserve">1</t>
    </r>
    <r>
      <rPr>
        <sz val="10"/>
        <color rgb="FF1F2A28"/>
        <rFont val="WenQuanYi Zen Hei"/>
        <family val="2"/>
      </rPr>
      <t xml:space="preserve">對</t>
    </r>
    <r>
      <rPr>
        <sz val="10"/>
        <color rgb="FF1F2A28"/>
        <rFont val="Arial"/>
        <family val="0"/>
        <charset val="1"/>
      </rPr>
      <t xml:space="preserve">1</t>
    </r>
    <r>
      <rPr>
        <sz val="10"/>
        <color rgb="FF1F2A28"/>
        <rFont val="WenQuanYi Zen Hei"/>
        <family val="2"/>
      </rPr>
      <t xml:space="preserve">家教班｜全民英檢班｜私中衝刺班</t>
    </r>
  </si>
  <si>
    <t xml:space="preserve">新竹縣</t>
  </si>
  <si>
    <t xml:space="preserve">湖口鄉</t>
  </si>
  <si>
    <r>
      <rPr>
        <sz val="10"/>
        <color rgb="FF1F2A28"/>
        <rFont val="WenQuanYi Zen Hei"/>
        <family val="2"/>
      </rPr>
      <t xml:space="preserve">新竹縣湖口鄉中正村中正路二段</t>
    </r>
    <r>
      <rPr>
        <sz val="10"/>
        <color rgb="FF1F2A28"/>
        <rFont val="Arial"/>
        <family val="0"/>
        <charset val="1"/>
      </rPr>
      <t xml:space="preserve">340</t>
    </r>
    <r>
      <rPr>
        <sz val="10"/>
        <color rgb="FF1F2A28"/>
        <rFont val="WenQuanYi Zen Hei"/>
        <family val="2"/>
      </rPr>
      <t xml:space="preserve">號</t>
    </r>
  </si>
  <si>
    <t xml:space="preserve">03 599 1431</t>
  </si>
  <si>
    <t xml:space="preserve">佳音英語湖口校</t>
  </si>
  <si>
    <t xml:space="preserve">新竹縣私立宏潤文理短期補習班</t>
  </si>
  <si>
    <r>
      <rPr>
        <sz val="10"/>
        <color rgb="FF1F2A28"/>
        <rFont val="WenQuanYi Zen Hei"/>
        <family val="2"/>
      </rPr>
      <t xml:space="preserve">新竹縣湖口鄉愛勢村民族街</t>
    </r>
    <r>
      <rPr>
        <sz val="10"/>
        <color rgb="FF1F2A28"/>
        <rFont val="Arial"/>
        <family val="0"/>
        <charset val="1"/>
      </rPr>
      <t xml:space="preserve">175</t>
    </r>
    <r>
      <rPr>
        <sz val="10"/>
        <color rgb="FF1F2A28"/>
        <rFont val="WenQuanYi Zen Hei"/>
        <family val="2"/>
      </rPr>
      <t xml:space="preserve">號</t>
    </r>
  </si>
  <si>
    <t xml:space="preserve">03 699 3077</t>
  </si>
  <si>
    <t xml:space="preserve">hugo.joy.joy@gmail.com</t>
  </si>
  <si>
    <t xml:space="preserve">2020-09-28</t>
  </si>
  <si>
    <t xml:space="preserve">陳惠婷</t>
  </si>
  <si>
    <t xml:space="preserve">凱瑟琳美語文理補習班</t>
  </si>
  <si>
    <t xml:space="preserve">新竹縣私立凱瑟琳美語文理短期補習班</t>
  </si>
  <si>
    <r>
      <rPr>
        <sz val="10"/>
        <color rgb="FF1F2A28"/>
        <rFont val="WenQuanYi Zen Hei"/>
        <family val="2"/>
      </rPr>
      <t xml:space="preserve">新竹縣湖口鄉德盛村成功路</t>
    </r>
    <r>
      <rPr>
        <sz val="10"/>
        <color rgb="FF1F2A28"/>
        <rFont val="Arial"/>
        <family val="0"/>
        <charset val="1"/>
      </rPr>
      <t xml:space="preserve">62-1</t>
    </r>
    <r>
      <rPr>
        <sz val="10"/>
        <color rgb="FF1F2A28"/>
        <rFont val="WenQuanYi Zen Hei"/>
        <family val="2"/>
      </rPr>
      <t xml:space="preserve">號</t>
    </r>
  </si>
  <si>
    <t xml:space="preserve">03 599 1775</t>
  </si>
  <si>
    <t xml:space="preserve">catherine5991775@gmail.com</t>
  </si>
  <si>
    <t xml:space="preserve">2004-05-31</t>
  </si>
  <si>
    <t xml:space="preserve">涂美珍</t>
  </si>
  <si>
    <t xml:space="preserve">約拿美語短期補習班</t>
  </si>
  <si>
    <t xml:space="preserve">新竹縣私立約拿美語短期補習班</t>
  </si>
  <si>
    <t xml:space="preserve">關西鎮</t>
  </si>
  <si>
    <r>
      <rPr>
        <sz val="10"/>
        <color rgb="FF1F2A28"/>
        <rFont val="WenQuanYi Zen Hei"/>
        <family val="2"/>
      </rPr>
      <t xml:space="preserve">新竹縣關西鎮西安里正義路</t>
    </r>
    <r>
      <rPr>
        <sz val="10"/>
        <color rgb="FF1F2A28"/>
        <rFont val="Arial"/>
        <family val="0"/>
        <charset val="1"/>
      </rPr>
      <t xml:space="preserve">111</t>
    </r>
    <r>
      <rPr>
        <sz val="10"/>
        <color rgb="FF1F2A28"/>
        <rFont val="WenQuanYi Zen Hei"/>
        <family val="2"/>
      </rPr>
      <t xml:space="preserve">之</t>
    </r>
    <r>
      <rPr>
        <sz val="10"/>
        <color rgb="FF1F2A28"/>
        <rFont val="Arial"/>
        <family val="0"/>
        <charset val="1"/>
      </rPr>
      <t xml:space="preserve">6</t>
    </r>
    <r>
      <rPr>
        <sz val="10"/>
        <color rgb="FF1F2A28"/>
        <rFont val="WenQuanYi Zen Hei"/>
        <family val="2"/>
      </rPr>
      <t xml:space="preserve">號</t>
    </r>
  </si>
  <si>
    <t xml:space="preserve">03 517 1245</t>
  </si>
  <si>
    <t xml:space="preserve">eunipage@gmail.com</t>
  </si>
  <si>
    <t xml:space="preserve">2010-08-05</t>
  </si>
  <si>
    <t xml:space="preserve">鍾政良</t>
  </si>
  <si>
    <r>
      <rPr>
        <sz val="10"/>
        <color rgb="FF1F2A28"/>
        <rFont val="WenQuanYi Zen Hei"/>
        <family val="2"/>
      </rPr>
      <t xml:space="preserve">葛洛莉英語</t>
    </r>
    <r>
      <rPr>
        <sz val="10"/>
        <color rgb="FF1F2A28"/>
        <rFont val="Arial"/>
        <family val="0"/>
        <charset val="1"/>
      </rPr>
      <t xml:space="preserve">-</t>
    </r>
    <r>
      <rPr>
        <sz val="10"/>
        <color rgb="FF1F2A28"/>
        <rFont val="WenQuanYi Zen Hei"/>
        <family val="2"/>
      </rPr>
      <t xml:space="preserve">大竹校</t>
    </r>
    <r>
      <rPr>
        <sz val="10"/>
        <color rgb="FF1F2A28"/>
        <rFont val="Arial"/>
        <family val="0"/>
        <charset val="1"/>
      </rPr>
      <t xml:space="preserve">Da Chu(</t>
    </r>
    <r>
      <rPr>
        <sz val="10"/>
        <color rgb="FF1F2A28"/>
        <rFont val="WenQuanYi Zen Hei"/>
        <family val="2"/>
      </rPr>
      <t xml:space="preserve">大竹國小 新莊國小 新興國小 大華國小 五權國小</t>
    </r>
    <r>
      <rPr>
        <sz val="10"/>
        <color rgb="FF1F2A28"/>
        <rFont val="Arial"/>
        <family val="0"/>
        <charset val="1"/>
      </rPr>
      <t xml:space="preserve">)</t>
    </r>
    <r>
      <rPr>
        <sz val="10"/>
        <color rgb="FF1F2A28"/>
        <rFont val="WenQuanYi Zen Hei"/>
        <family val="2"/>
      </rPr>
      <t xml:space="preserve">大竹兒童美語 大竹英文補習班 大竹美語 蘆竹美語 小一新生 英文補習 國小英文 國中英文 高中英文</t>
    </r>
  </si>
  <si>
    <t xml:space="preserve">私立大灣美語短期補習班大竹分班</t>
  </si>
  <si>
    <r>
      <rPr>
        <sz val="10"/>
        <color rgb="FF1F2A28"/>
        <rFont val="WenQuanYi Zen Hei"/>
        <family val="2"/>
      </rPr>
      <t xml:space="preserve">桃園市蘆竹區大竹里大新路</t>
    </r>
    <r>
      <rPr>
        <sz val="10"/>
        <color rgb="FF1F2A28"/>
        <rFont val="Arial"/>
        <family val="0"/>
        <charset val="1"/>
      </rPr>
      <t xml:space="preserve">131</t>
    </r>
    <r>
      <rPr>
        <sz val="10"/>
        <color rgb="FF1F2A28"/>
        <rFont val="WenQuanYi Zen Hei"/>
        <family val="2"/>
      </rPr>
      <t xml:space="preserve">號</t>
    </r>
  </si>
  <si>
    <t xml:space="preserve">03 313 5130</t>
  </si>
  <si>
    <t xml:space="preserve">2006-06-19</t>
  </si>
  <si>
    <t xml:space="preserve">張鳳玶</t>
  </si>
  <si>
    <t xml:space="preserve">姚佳慈</t>
  </si>
  <si>
    <r>
      <rPr>
        <sz val="10"/>
        <color rgb="FF1F2A28"/>
        <rFont val="WenQuanYi Zen Hei"/>
        <family val="2"/>
      </rPr>
      <t xml:space="preserve">薪傳巨人升學文理補習班</t>
    </r>
    <r>
      <rPr>
        <sz val="10"/>
        <color rgb="FF1F2A28"/>
        <rFont val="Arial"/>
        <family val="0"/>
        <charset val="1"/>
      </rPr>
      <t xml:space="preserve">&amp;Live</t>
    </r>
    <r>
      <rPr>
        <sz val="10"/>
        <color rgb="FF1F2A28"/>
        <rFont val="WenQuanYi Zen Hei"/>
        <family val="2"/>
      </rPr>
      <t xml:space="preserve">互動美語湖口信勢分校</t>
    </r>
  </si>
  <si>
    <r>
      <rPr>
        <sz val="10"/>
        <color rgb="FF1F2A28"/>
        <rFont val="WenQuanYi Zen Hei"/>
        <family val="2"/>
      </rPr>
      <t xml:space="preserve">新竹縣湖口鄉中正村中山路一段</t>
    </r>
    <r>
      <rPr>
        <sz val="10"/>
        <color rgb="FF1F2A28"/>
        <rFont val="Arial"/>
        <family val="0"/>
        <charset val="1"/>
      </rPr>
      <t xml:space="preserve">588</t>
    </r>
    <r>
      <rPr>
        <sz val="10"/>
        <color rgb="FF1F2A28"/>
        <rFont val="WenQuanYi Zen Hei"/>
        <family val="2"/>
      </rPr>
      <t xml:space="preserve">號</t>
    </r>
  </si>
  <si>
    <t xml:space="preserve">03 590 6111</t>
  </si>
  <si>
    <r>
      <rPr>
        <sz val="10"/>
        <color rgb="FF1F2A28"/>
        <rFont val="Arial"/>
        <family val="0"/>
        <charset val="1"/>
      </rPr>
      <t xml:space="preserve">MPM</t>
    </r>
    <r>
      <rPr>
        <sz val="10"/>
        <color rgb="FF1F2A28"/>
        <rFont val="WenQuanYi Zen Hei"/>
        <family val="2"/>
      </rPr>
      <t xml:space="preserve">數學 常春藤英語 新埔分校</t>
    </r>
  </si>
  <si>
    <t xml:space="preserve">新埔鎮</t>
  </si>
  <si>
    <r>
      <rPr>
        <sz val="10"/>
        <color rgb="FF1F2A28"/>
        <rFont val="WenQuanYi Zen Hei"/>
        <family val="2"/>
      </rPr>
      <t xml:space="preserve">新竹縣新埔鎮四座里中正路</t>
    </r>
    <r>
      <rPr>
        <sz val="10"/>
        <color rgb="FF1F2A28"/>
        <rFont val="Arial"/>
        <family val="0"/>
        <charset val="1"/>
      </rPr>
      <t xml:space="preserve">192</t>
    </r>
    <r>
      <rPr>
        <sz val="10"/>
        <color rgb="FF1F2A28"/>
        <rFont val="WenQuanYi Zen Hei"/>
        <family val="2"/>
      </rPr>
      <t xml:space="preserve">號</t>
    </r>
  </si>
  <si>
    <t xml:space="preserve">03 589 7903</t>
  </si>
  <si>
    <r>
      <rPr>
        <sz val="10"/>
        <color rgb="FF1F2A28"/>
        <rFont val="WenQuanYi Zen Hei"/>
        <family val="2"/>
      </rPr>
      <t xml:space="preserve">愛美語關西分校</t>
    </r>
    <r>
      <rPr>
        <sz val="10"/>
        <color rgb="FF1F2A28"/>
        <rFont val="Arial"/>
        <family val="0"/>
        <charset val="1"/>
      </rPr>
      <t xml:space="preserve">-</t>
    </r>
    <r>
      <rPr>
        <sz val="10"/>
        <color rgb="FF1F2A28"/>
        <rFont val="WenQuanYi Zen Hei"/>
        <family val="2"/>
      </rPr>
      <t xml:space="preserve">立人文理補習班</t>
    </r>
  </si>
  <si>
    <t xml:space="preserve">新竹縣私立立人文理技藝短期補習班</t>
  </si>
  <si>
    <r>
      <rPr>
        <sz val="10"/>
        <color rgb="FF1F2A28"/>
        <rFont val="WenQuanYi Zen Hei"/>
        <family val="2"/>
      </rPr>
      <t xml:space="preserve">新竹縣關西鎮西安里北平路</t>
    </r>
    <r>
      <rPr>
        <sz val="10"/>
        <color rgb="FF1F2A28"/>
        <rFont val="Arial"/>
        <family val="0"/>
        <charset val="1"/>
      </rPr>
      <t xml:space="preserve">106</t>
    </r>
    <r>
      <rPr>
        <sz val="10"/>
        <color rgb="FF1F2A28"/>
        <rFont val="WenQuanYi Zen Hei"/>
        <family val="2"/>
      </rPr>
      <t xml:space="preserve">號</t>
    </r>
  </si>
  <si>
    <t xml:space="preserve">03 587 1670</t>
  </si>
  <si>
    <t xml:space="preserve">windwogi@gmail.com</t>
  </si>
  <si>
    <t xml:space="preserve">2010-01-25</t>
  </si>
  <si>
    <t xml:space="preserve">張榮勳</t>
  </si>
  <si>
    <t xml:space="preserve">大翰文理美語補習班</t>
  </si>
  <si>
    <t xml:space="preserve">私立哲思文理短期補習班</t>
  </si>
  <si>
    <r>
      <rPr>
        <sz val="10"/>
        <color rgb="FF1F2A28"/>
        <rFont val="WenQuanYi Zen Hei"/>
        <family val="2"/>
      </rPr>
      <t xml:space="preserve">桃園市觀音區草新里四維路</t>
    </r>
    <r>
      <rPr>
        <sz val="10"/>
        <color rgb="FF1F2A28"/>
        <rFont val="Arial"/>
        <family val="0"/>
        <charset val="1"/>
      </rPr>
      <t xml:space="preserve">29</t>
    </r>
    <r>
      <rPr>
        <sz val="10"/>
        <color rgb="FF1F2A28"/>
        <rFont val="WenQuanYi Zen Hei"/>
        <family val="2"/>
      </rPr>
      <t xml:space="preserve">號</t>
    </r>
  </si>
  <si>
    <t xml:space="preserve">zest.teacher@gmail.com</t>
  </si>
  <si>
    <t xml:space="preserve">2025-09-01</t>
  </si>
  <si>
    <t xml:space="preserve">葉琳珍</t>
  </si>
  <si>
    <t xml:space="preserve">奧斯汀美語 大竹分校</t>
  </si>
  <si>
    <t xml:space="preserve">私立光樹文理語文短期補習班</t>
  </si>
  <si>
    <r>
      <rPr>
        <sz val="10"/>
        <color rgb="FF1F2A28"/>
        <rFont val="WenQuanYi Zen Hei"/>
        <family val="2"/>
      </rPr>
      <t xml:space="preserve">桃園市蘆竹區大竹里大竹路</t>
    </r>
    <r>
      <rPr>
        <sz val="10"/>
        <color rgb="FF1F2A28"/>
        <rFont val="Arial"/>
        <family val="0"/>
        <charset val="1"/>
      </rPr>
      <t xml:space="preserve">600</t>
    </r>
    <r>
      <rPr>
        <sz val="10"/>
        <color rgb="FF1F2A28"/>
        <rFont val="WenQuanYi Zen Hei"/>
        <family val="2"/>
      </rPr>
      <t xml:space="preserve">號</t>
    </r>
  </si>
  <si>
    <t xml:space="preserve">03 313 1397</t>
  </si>
  <si>
    <t xml:space="preserve">yvonne11212@yahoo.com.tw</t>
  </si>
  <si>
    <t xml:space="preserve">2021-08-16</t>
  </si>
  <si>
    <t xml:space="preserve">呂曉芳</t>
  </si>
  <si>
    <r>
      <rPr>
        <sz val="10"/>
        <color rgb="FF1F2A28"/>
        <rFont val="Arial"/>
        <family val="0"/>
        <charset val="1"/>
      </rPr>
      <t xml:space="preserve">Danny Kids</t>
    </r>
    <r>
      <rPr>
        <sz val="10"/>
        <color rgb="FF1F2A28"/>
        <rFont val="WenQuanYi Zen Hei"/>
        <family val="2"/>
      </rPr>
      <t xml:space="preserve">丹尼互動美語湖口校區</t>
    </r>
  </si>
  <si>
    <t xml:space="preserve">新竹縣私立恒卓文理短期補習班</t>
  </si>
  <si>
    <r>
      <rPr>
        <sz val="10"/>
        <color rgb="FF1F2A28"/>
        <rFont val="WenQuanYi Zen Hei"/>
        <family val="2"/>
      </rPr>
      <t xml:space="preserve">新竹縣湖口鄉信勢村新湖路</t>
    </r>
    <r>
      <rPr>
        <sz val="10"/>
        <color rgb="FF1F2A28"/>
        <rFont val="Arial"/>
        <family val="0"/>
        <charset val="1"/>
      </rPr>
      <t xml:space="preserve">115</t>
    </r>
    <r>
      <rPr>
        <sz val="10"/>
        <color rgb="FF1F2A28"/>
        <rFont val="WenQuanYi Zen Hei"/>
        <family val="2"/>
      </rPr>
      <t xml:space="preserve">號</t>
    </r>
  </si>
  <si>
    <t xml:space="preserve">03 557 1805</t>
  </si>
  <si>
    <t xml:space="preserve">think.jasonwang@gmail.com</t>
  </si>
  <si>
    <t xml:space="preserve">2025-01-20</t>
  </si>
  <si>
    <t xml:space="preserve">王瀚陽</t>
  </si>
  <si>
    <t xml:space="preserve">王翰晨</t>
  </si>
  <si>
    <r>
      <rPr>
        <sz val="10"/>
        <color rgb="FF1F2A28"/>
        <rFont val="WenQuanYi Zen Hei"/>
        <family val="2"/>
      </rPr>
      <t xml:space="preserve">泓庭文理補習班</t>
    </r>
    <r>
      <rPr>
        <sz val="10"/>
        <color rgb="FF1F2A28"/>
        <rFont val="Arial"/>
        <family val="0"/>
        <charset val="1"/>
      </rPr>
      <t xml:space="preserve">-</t>
    </r>
    <r>
      <rPr>
        <sz val="10"/>
        <color rgb="FF1F2A28"/>
        <rFont val="WenQuanYi Zen Hei"/>
        <family val="2"/>
      </rPr>
      <t xml:space="preserve">皇家美語加盟校</t>
    </r>
  </si>
  <si>
    <t xml:space="preserve">私立泓庭文理短期補習班</t>
  </si>
  <si>
    <r>
      <rPr>
        <sz val="10"/>
        <color rgb="FF1F2A28"/>
        <rFont val="WenQuanYi Zen Hei"/>
        <family val="2"/>
      </rPr>
      <t xml:space="preserve">桃園市蘆竹區上竹里南竹路五段</t>
    </r>
    <r>
      <rPr>
        <sz val="10"/>
        <color rgb="FF1F2A28"/>
        <rFont val="Arial"/>
        <family val="0"/>
        <charset val="1"/>
      </rPr>
      <t xml:space="preserve">251</t>
    </r>
    <r>
      <rPr>
        <sz val="10"/>
        <color rgb="FF1F2A28"/>
        <rFont val="WenQuanYi Zen Hei"/>
        <family val="2"/>
      </rPr>
      <t xml:space="preserve">號</t>
    </r>
  </si>
  <si>
    <t xml:space="preserve">03 323 6345</t>
  </si>
  <si>
    <t xml:space="preserve">xcv33xcv@gmail.com</t>
  </si>
  <si>
    <t xml:space="preserve">2003-05-30</t>
  </si>
  <si>
    <t xml:space="preserve">陳弘庭</t>
  </si>
  <si>
    <r>
      <rPr>
        <sz val="10"/>
        <color rgb="FF1F2A28"/>
        <rFont val="WenQuanYi Zen Hei"/>
        <family val="2"/>
      </rPr>
      <t xml:space="preserve">博全</t>
    </r>
    <r>
      <rPr>
        <sz val="10"/>
        <color rgb="FF1F2A28"/>
        <rFont val="Arial"/>
        <family val="0"/>
        <charset val="1"/>
      </rPr>
      <t xml:space="preserve">-</t>
    </r>
    <r>
      <rPr>
        <sz val="10"/>
        <color rgb="FF1F2A28"/>
        <rFont val="WenQuanYi Zen Hei"/>
        <family val="2"/>
      </rPr>
      <t xml:space="preserve">空中美語觀音分校</t>
    </r>
  </si>
  <si>
    <t xml:space="preserve">私立博全美語文理短期補習班</t>
  </si>
  <si>
    <r>
      <rPr>
        <sz val="10"/>
        <color rgb="FF1F2A28"/>
        <rFont val="WenQuanYi Zen Hei"/>
        <family val="2"/>
      </rPr>
      <t xml:space="preserve">桃園市觀音區四維路</t>
    </r>
    <r>
      <rPr>
        <sz val="10"/>
        <color rgb="FF1F2A28"/>
        <rFont val="Arial"/>
        <family val="0"/>
        <charset val="1"/>
      </rPr>
      <t xml:space="preserve">12</t>
    </r>
    <r>
      <rPr>
        <sz val="10"/>
        <color rgb="FF1F2A28"/>
        <rFont val="WenQuanYi Zen Hei"/>
        <family val="2"/>
      </rPr>
      <t xml:space="preserve">號</t>
    </r>
  </si>
  <si>
    <t xml:space="preserve">03 438 9525</t>
  </si>
  <si>
    <t xml:space="preserve">gracechuchu2001@yahoo.com.tw</t>
  </si>
  <si>
    <t xml:space="preserve">2006-06-02</t>
  </si>
  <si>
    <t xml:space="preserve">朱雅玲</t>
  </si>
  <si>
    <t xml:space="preserve">佳仁美語才藝短期補習班</t>
  </si>
  <si>
    <r>
      <rPr>
        <sz val="10"/>
        <color rgb="FF1F2A28"/>
        <rFont val="WenQuanYi Zen Hei"/>
        <family val="2"/>
      </rPr>
      <t xml:space="preserve">新竹縣關西鎮北斗里中興路</t>
    </r>
    <r>
      <rPr>
        <sz val="10"/>
        <color rgb="FF1F2A28"/>
        <rFont val="Arial"/>
        <family val="0"/>
        <charset val="1"/>
      </rPr>
      <t xml:space="preserve">12</t>
    </r>
    <r>
      <rPr>
        <sz val="10"/>
        <color rgb="FF1F2A28"/>
        <rFont val="WenQuanYi Zen Hei"/>
        <family val="2"/>
      </rPr>
      <t xml:space="preserve">號</t>
    </r>
  </si>
  <si>
    <t xml:space="preserve">03 587 8600</t>
  </si>
  <si>
    <t xml:space="preserve">愛美語國際補習班</t>
  </si>
  <si>
    <t xml:space="preserve">新竹縣私立王浩文理短期補習班</t>
  </si>
  <si>
    <r>
      <rPr>
        <sz val="10"/>
        <color rgb="FF1F2A28"/>
        <rFont val="WenQuanYi Zen Hei"/>
        <family val="2"/>
      </rPr>
      <t xml:space="preserve">新竹縣湖口鄉信勢村明德街</t>
    </r>
    <r>
      <rPr>
        <sz val="10"/>
        <color rgb="FF1F2A28"/>
        <rFont val="Arial"/>
        <family val="0"/>
        <charset val="1"/>
      </rPr>
      <t xml:space="preserve">255</t>
    </r>
    <r>
      <rPr>
        <sz val="10"/>
        <color rgb="FF1F2A28"/>
        <rFont val="WenQuanYi Zen Hei"/>
        <family val="2"/>
      </rPr>
      <t xml:space="preserve">號</t>
    </r>
  </si>
  <si>
    <t xml:space="preserve">03 599 6007</t>
  </si>
  <si>
    <t xml:space="preserve">n121tw@yahoo.com.tw</t>
  </si>
  <si>
    <t xml:space="preserve">2019-09-24</t>
  </si>
  <si>
    <t xml:space="preserve">王順寬</t>
  </si>
  <si>
    <t xml:space="preserve">張靜怡</t>
  </si>
  <si>
    <t xml:space="preserve">葉老師美語教室</t>
  </si>
  <si>
    <t xml:space="preserve">私立葉老師美語短期補習班</t>
  </si>
  <si>
    <r>
      <rPr>
        <sz val="10"/>
        <color rgb="FF1F2A28"/>
        <rFont val="WenQuanYi Zen Hei"/>
        <family val="2"/>
      </rPr>
      <t xml:space="preserve">新竹縣湖口鄉信勢村明德街</t>
    </r>
    <r>
      <rPr>
        <sz val="10"/>
        <color rgb="FF1F2A28"/>
        <rFont val="Arial"/>
        <family val="0"/>
        <charset val="1"/>
      </rPr>
      <t xml:space="preserve">308</t>
    </r>
    <r>
      <rPr>
        <sz val="10"/>
        <color rgb="FF1F2A28"/>
        <rFont val="WenQuanYi Zen Hei"/>
        <family val="2"/>
      </rPr>
      <t xml:space="preserve">號</t>
    </r>
  </si>
  <si>
    <t xml:space="preserve">03 599 2756</t>
  </si>
  <si>
    <t xml:space="preserve">2007-10-15</t>
  </si>
  <si>
    <t xml:space="preserve">葉淑珍</t>
  </si>
  <si>
    <t xml:space="preserve">玉兔兒童課後照顧服務中心《新莊國小 大竹國小 大華國小》蘆竹安親班 蘆竹才藝班 蘆竹兒童美語 蘆竹兒童舞蹈 蘆竹暑期班</t>
  </si>
  <si>
    <r>
      <rPr>
        <sz val="10"/>
        <color rgb="FF1F2A28"/>
        <rFont val="WenQuanYi Zen Hei"/>
        <family val="2"/>
      </rPr>
      <t xml:space="preserve">桃園市蘆竹區大竹里南竹路五段</t>
    </r>
    <r>
      <rPr>
        <sz val="10"/>
        <color rgb="FF1F2A28"/>
        <rFont val="Arial"/>
        <family val="0"/>
        <charset val="1"/>
      </rPr>
      <t xml:space="preserve">222</t>
    </r>
    <r>
      <rPr>
        <sz val="10"/>
        <color rgb="FF1F2A28"/>
        <rFont val="WenQuanYi Zen Hei"/>
        <family val="2"/>
      </rPr>
      <t xml:space="preserve">號</t>
    </r>
  </si>
  <si>
    <t xml:space="preserve">03 323 2446</t>
  </si>
  <si>
    <r>
      <rPr>
        <sz val="10"/>
        <color rgb="FF1F2A28"/>
        <rFont val="Arial"/>
        <family val="0"/>
        <charset val="1"/>
      </rPr>
      <t xml:space="preserve">Flying Dolphin English(</t>
    </r>
    <r>
      <rPr>
        <sz val="10"/>
        <color rgb="FF1F2A28"/>
        <rFont val="WenQuanYi Zen Hei"/>
        <family val="2"/>
      </rPr>
      <t xml:space="preserve">博士登補習班</t>
    </r>
    <r>
      <rPr>
        <sz val="10"/>
        <color rgb="FF1F2A28"/>
        <rFont val="Arial"/>
        <family val="0"/>
        <charset val="1"/>
      </rPr>
      <t xml:space="preserve">)</t>
    </r>
  </si>
  <si>
    <t xml:space="preserve">私立博士登文理美語短期補習班</t>
  </si>
  <si>
    <r>
      <rPr>
        <sz val="10"/>
        <color rgb="FF1F2A28"/>
        <rFont val="WenQuanYi Zen Hei"/>
        <family val="2"/>
      </rPr>
      <t xml:space="preserve">桃園市觀音區草新里四維二街</t>
    </r>
    <r>
      <rPr>
        <sz val="10"/>
        <color rgb="FF1F2A28"/>
        <rFont val="Arial"/>
        <family val="0"/>
        <charset val="1"/>
      </rPr>
      <t xml:space="preserve">46</t>
    </r>
    <r>
      <rPr>
        <sz val="10"/>
        <color rgb="FF1F2A28"/>
        <rFont val="WenQuanYi Zen Hei"/>
        <family val="2"/>
      </rPr>
      <t xml:space="preserve">號</t>
    </r>
  </si>
  <si>
    <t xml:space="preserve">03 483 6316</t>
  </si>
  <si>
    <t xml:space="preserve">shawnlanch@gmail.com</t>
  </si>
  <si>
    <t xml:space="preserve">2006-05-05</t>
  </si>
  <si>
    <t xml:space="preserve">藍靖翔</t>
  </si>
  <si>
    <t xml:space="preserve">賴世雄美語 傅老師補習班</t>
  </si>
  <si>
    <t xml:space="preserve">新竹縣新埔鎮</t>
  </si>
  <si>
    <r>
      <rPr>
        <sz val="10"/>
        <color rgb="FF1F2A28"/>
        <rFont val="WenQuanYi Zen Hei"/>
        <family val="2"/>
      </rPr>
      <t xml:space="preserve">布蘭達美語</t>
    </r>
    <r>
      <rPr>
        <sz val="10"/>
        <color rgb="FF1F2A28"/>
        <rFont val="Arial"/>
        <family val="0"/>
        <charset val="1"/>
      </rPr>
      <t xml:space="preserve">-Brenda studio</t>
    </r>
  </si>
  <si>
    <t xml:space="preserve">私立布蘭達美語文理短期補習班</t>
  </si>
  <si>
    <r>
      <rPr>
        <sz val="10"/>
        <color rgb="FF1F2A28"/>
        <rFont val="WenQuanYi Zen Hei"/>
        <family val="2"/>
      </rPr>
      <t xml:space="preserve">桃園市觀音區草漯里忠孝路</t>
    </r>
    <r>
      <rPr>
        <sz val="10"/>
        <color rgb="FF1F2A28"/>
        <rFont val="Arial"/>
        <family val="0"/>
        <charset val="1"/>
      </rPr>
      <t xml:space="preserve">34</t>
    </r>
    <r>
      <rPr>
        <sz val="10"/>
        <color rgb="FF1F2A28"/>
        <rFont val="WenQuanYi Zen Hei"/>
        <family val="2"/>
      </rPr>
      <t xml:space="preserve">號</t>
    </r>
  </si>
  <si>
    <t xml:space="preserve">03 483 7499</t>
  </si>
  <si>
    <t xml:space="preserve">kf058917@gmail.com</t>
  </si>
  <si>
    <t xml:space="preserve">2010-05-05</t>
  </si>
  <si>
    <t xml:space="preserve">李明憲</t>
  </si>
  <si>
    <t xml:space="preserve">佳音英語關西校</t>
  </si>
  <si>
    <t xml:space="preserve">新竹縣私立文星文理短期補習班</t>
  </si>
  <si>
    <r>
      <rPr>
        <sz val="10"/>
        <color rgb="FF1F2A28"/>
        <rFont val="WenQuanYi Zen Hei"/>
        <family val="2"/>
      </rPr>
      <t xml:space="preserve">新竹縣關西鎮東安里大德街</t>
    </r>
    <r>
      <rPr>
        <sz val="10"/>
        <color rgb="FF1F2A28"/>
        <rFont val="Arial"/>
        <family val="0"/>
        <charset val="1"/>
      </rPr>
      <t xml:space="preserve">86</t>
    </r>
    <r>
      <rPr>
        <sz val="10"/>
        <color rgb="FF1F2A28"/>
        <rFont val="WenQuanYi Zen Hei"/>
        <family val="2"/>
      </rPr>
      <t xml:space="preserve">號</t>
    </r>
  </si>
  <si>
    <t xml:space="preserve">03 517 1630</t>
  </si>
  <si>
    <t xml:space="preserve">fred.chien@msa.hinet.net</t>
  </si>
  <si>
    <t xml:space="preserve">2009-01-14</t>
  </si>
  <si>
    <t xml:space="preserve">游碧玲</t>
  </si>
  <si>
    <t xml:space="preserve">錢正華</t>
  </si>
  <si>
    <t xml:space="preserve">15–20 km</t>
  </si>
  <si>
    <t xml:space="preserve">漢林美語短期補習班</t>
  </si>
  <si>
    <r>
      <rPr>
        <sz val="10"/>
        <color rgb="FF1F2A28"/>
        <rFont val="WenQuanYi Zen Hei"/>
        <family val="2"/>
      </rPr>
      <t xml:space="preserve">桃園市大園區埔心里埔心街</t>
    </r>
    <r>
      <rPr>
        <sz val="10"/>
        <color rgb="FF1F2A28"/>
        <rFont val="Arial"/>
        <family val="0"/>
        <charset val="1"/>
      </rPr>
      <t xml:space="preserve">99-5</t>
    </r>
    <r>
      <rPr>
        <sz val="10"/>
        <color rgb="FF1F2A28"/>
        <rFont val="WenQuanYi Zen Hei"/>
        <family val="2"/>
      </rPr>
      <t xml:space="preserve">號</t>
    </r>
  </si>
  <si>
    <t xml:space="preserve">03 381 3036</t>
  </si>
  <si>
    <t xml:space="preserve">私立佛利亞美語文理短期補習班</t>
  </si>
  <si>
    <r>
      <rPr>
        <sz val="10"/>
        <color rgb="FF1F2A28"/>
        <rFont val="WenQuanYi Zen Hei"/>
        <family val="2"/>
      </rPr>
      <t xml:space="preserve">桃園市大園區大園里和平一街</t>
    </r>
    <r>
      <rPr>
        <sz val="10"/>
        <color rgb="FF1F2A28"/>
        <rFont val="Arial"/>
        <family val="0"/>
        <charset val="1"/>
      </rPr>
      <t xml:space="preserve">17</t>
    </r>
    <r>
      <rPr>
        <sz val="10"/>
        <color rgb="FF1F2A28"/>
        <rFont val="WenQuanYi Zen Hei"/>
        <family val="2"/>
      </rPr>
      <t xml:space="preserve">號</t>
    </r>
  </si>
  <si>
    <t xml:space="preserve">03 386 0268</t>
  </si>
  <si>
    <t xml:space="preserve">kui8868@yahoo.com.tw</t>
  </si>
  <si>
    <t xml:space="preserve">2011-02-17</t>
  </si>
  <si>
    <t xml:space="preserve">陳名宗</t>
  </si>
  <si>
    <r>
      <rPr>
        <sz val="10"/>
        <color rgb="FF1F2A28"/>
        <rFont val="WenQuanYi Zen Hei"/>
        <family val="2"/>
      </rPr>
      <t xml:space="preserve">葛洛莉英語</t>
    </r>
    <r>
      <rPr>
        <sz val="10"/>
        <color rgb="FF1F2A28"/>
        <rFont val="Arial"/>
        <family val="0"/>
        <charset val="1"/>
      </rPr>
      <t xml:space="preserve">-</t>
    </r>
    <r>
      <rPr>
        <sz val="10"/>
        <color rgb="FF1F2A28"/>
        <rFont val="WenQuanYi Zen Hei"/>
        <family val="2"/>
      </rPr>
      <t xml:space="preserve">大園校 </t>
    </r>
    <r>
      <rPr>
        <sz val="10"/>
        <color rgb="FF1F2A28"/>
        <rFont val="Arial"/>
        <family val="0"/>
        <charset val="1"/>
      </rPr>
      <t xml:space="preserve">Da Yuan</t>
    </r>
  </si>
  <si>
    <t xml:space="preserve">私立葛洛莉英語會話短期補習班大園分班</t>
  </si>
  <si>
    <r>
      <rPr>
        <sz val="10"/>
        <color rgb="FF1F2A28"/>
        <rFont val="WenQuanYi Zen Hei"/>
        <family val="2"/>
      </rPr>
      <t xml:space="preserve">桃園市大園區大園里中正二街</t>
    </r>
    <r>
      <rPr>
        <sz val="10"/>
        <color rgb="FF1F2A28"/>
        <rFont val="Arial"/>
        <family val="0"/>
        <charset val="1"/>
      </rPr>
      <t xml:space="preserve">55</t>
    </r>
    <r>
      <rPr>
        <sz val="10"/>
        <color rgb="FF1F2A28"/>
        <rFont val="WenQuanYi Zen Hei"/>
        <family val="2"/>
      </rPr>
      <t xml:space="preserve">號</t>
    </r>
  </si>
  <si>
    <t xml:space="preserve">03 385 5081</t>
  </si>
  <si>
    <t xml:space="preserve">2007-03-29</t>
  </si>
  <si>
    <t xml:space="preserve">張鳳玶、張弘昌</t>
  </si>
  <si>
    <t xml:space="preserve">張弘昌</t>
  </si>
  <si>
    <r>
      <rPr>
        <sz val="10"/>
        <color rgb="FF1F2A28"/>
        <rFont val="WenQuanYi Zen Hei"/>
        <family val="2"/>
      </rPr>
      <t xml:space="preserve">群揚語文短期補習班</t>
    </r>
    <r>
      <rPr>
        <sz val="10"/>
        <color rgb="FF1F2A28"/>
        <rFont val="Arial"/>
        <family val="0"/>
        <charset val="1"/>
      </rPr>
      <t xml:space="preserve">(</t>
    </r>
    <r>
      <rPr>
        <sz val="10"/>
        <color rgb="FF1F2A28"/>
        <rFont val="WenQuanYi Zen Hei"/>
        <family val="2"/>
      </rPr>
      <t xml:space="preserve">大園國小 大園國中</t>
    </r>
    <r>
      <rPr>
        <sz val="10"/>
        <color rgb="FF1F2A28"/>
        <rFont val="Arial"/>
        <family val="0"/>
        <charset val="1"/>
      </rPr>
      <t xml:space="preserve">)</t>
    </r>
    <r>
      <rPr>
        <sz val="10"/>
        <color rgb="FF1F2A28"/>
        <rFont val="WenQuanYi Zen Hei"/>
        <family val="2"/>
      </rPr>
      <t xml:space="preserve">大園兒童美語 大園小一新生 大園正音班 大園課輔班 大園補習班</t>
    </r>
  </si>
  <si>
    <t xml:space="preserve">私立群揚語文短期補習班</t>
  </si>
  <si>
    <r>
      <rPr>
        <sz val="10"/>
        <color rgb="FF1F2A28"/>
        <rFont val="WenQuanYi Zen Hei"/>
        <family val="2"/>
      </rPr>
      <t xml:space="preserve">桃園市大園區大園里中正二街</t>
    </r>
    <r>
      <rPr>
        <sz val="10"/>
        <color rgb="FF1F2A28"/>
        <rFont val="Arial"/>
        <family val="0"/>
        <charset val="1"/>
      </rPr>
      <t xml:space="preserve">46</t>
    </r>
    <r>
      <rPr>
        <sz val="10"/>
        <color rgb="FF1F2A28"/>
        <rFont val="WenQuanYi Zen Hei"/>
        <family val="2"/>
      </rPr>
      <t xml:space="preserve">號</t>
    </r>
  </si>
  <si>
    <t xml:space="preserve">03 385 8920</t>
  </si>
  <si>
    <t xml:space="preserve">Chun.yang46@msa.hinet.net</t>
  </si>
  <si>
    <t xml:space="preserve">2007-09-11</t>
  </si>
  <si>
    <t xml:space="preserve">宋美蘭</t>
  </si>
  <si>
    <r>
      <rPr>
        <sz val="10"/>
        <color rgb="FF1F2A28"/>
        <rFont val="WenQuanYi Zen Hei"/>
        <family val="2"/>
      </rPr>
      <t xml:space="preserve">奧斯汀美語</t>
    </r>
    <r>
      <rPr>
        <sz val="10"/>
        <color rgb="FF1F2A28"/>
        <rFont val="Arial"/>
        <family val="0"/>
        <charset val="1"/>
      </rPr>
      <t xml:space="preserve">/MPM</t>
    </r>
    <r>
      <rPr>
        <sz val="10"/>
        <color rgb="FF1F2A28"/>
        <rFont val="WenQuanYi Zen Hei"/>
        <family val="2"/>
      </rPr>
      <t xml:space="preserve">數學</t>
    </r>
    <r>
      <rPr>
        <sz val="10"/>
        <color rgb="FF1F2A28"/>
        <rFont val="Arial"/>
        <family val="0"/>
        <charset val="1"/>
      </rPr>
      <t xml:space="preserve">_</t>
    </r>
    <r>
      <rPr>
        <sz val="10"/>
        <color rgb="FF1F2A28"/>
        <rFont val="WenQuanYi Zen Hei"/>
        <family val="2"/>
      </rPr>
      <t xml:space="preserve">桃園大園分校</t>
    </r>
  </si>
  <si>
    <t xml:space="preserve">私立二聖文理短期補習班</t>
  </si>
  <si>
    <r>
      <rPr>
        <sz val="10"/>
        <color rgb="FF1F2A28"/>
        <rFont val="WenQuanYi Zen Hei"/>
        <family val="2"/>
      </rPr>
      <t xml:space="preserve">桃園市大園區大園里中正二街</t>
    </r>
    <r>
      <rPr>
        <sz val="10"/>
        <color rgb="FF1F2A28"/>
        <rFont val="Arial"/>
        <family val="0"/>
        <charset val="1"/>
      </rPr>
      <t xml:space="preserve">39</t>
    </r>
    <r>
      <rPr>
        <sz val="10"/>
        <color rgb="FF1F2A28"/>
        <rFont val="WenQuanYi Zen Hei"/>
        <family val="2"/>
      </rPr>
      <t xml:space="preserve">號</t>
    </r>
  </si>
  <si>
    <t xml:space="preserve">03 386 8808</t>
  </si>
  <si>
    <t xml:space="preserve">a0970685568@gmail.com</t>
  </si>
  <si>
    <t xml:space="preserve">2023-10-02</t>
  </si>
  <si>
    <t xml:space="preserve">張敦堯</t>
  </si>
  <si>
    <t xml:space="preserve">惠翔語文短期補習班</t>
  </si>
  <si>
    <r>
      <rPr>
        <sz val="10"/>
        <color rgb="FF1F2A28"/>
        <rFont val="WenQuanYi Zen Hei"/>
        <family val="2"/>
      </rPr>
      <t xml:space="preserve">桃園市大園區田心里華興路</t>
    </r>
    <r>
      <rPr>
        <sz val="10"/>
        <color rgb="FF1F2A28"/>
        <rFont val="Arial"/>
        <family val="0"/>
        <charset val="1"/>
      </rPr>
      <t xml:space="preserve">50</t>
    </r>
    <r>
      <rPr>
        <sz val="10"/>
        <color rgb="FF1F2A28"/>
        <rFont val="WenQuanYi Zen Hei"/>
        <family val="2"/>
      </rPr>
      <t xml:space="preserve">號</t>
    </r>
  </si>
  <si>
    <t xml:space="preserve">03 385 9622</t>
  </si>
  <si>
    <t xml:space="preserve">雷克斯美語短期補習班</t>
  </si>
  <si>
    <r>
      <rPr>
        <sz val="10"/>
        <color rgb="FF1F2A28"/>
        <rFont val="WenQuanYi Zen Hei"/>
        <family val="2"/>
      </rPr>
      <t xml:space="preserve">桃園市觀音區觀音里中正路</t>
    </r>
    <r>
      <rPr>
        <sz val="10"/>
        <color rgb="FF1F2A28"/>
        <rFont val="Arial"/>
        <family val="0"/>
        <charset val="1"/>
      </rPr>
      <t xml:space="preserve">257</t>
    </r>
    <r>
      <rPr>
        <sz val="10"/>
        <color rgb="FF1F2A28"/>
        <rFont val="WenQuanYi Zen Hei"/>
        <family val="2"/>
      </rPr>
      <t xml:space="preserve">號</t>
    </r>
  </si>
  <si>
    <t xml:space="preserve">03 473 5266</t>
  </si>
  <si>
    <t xml:space="preserve">私立名慧美語珠心算短期補習班</t>
  </si>
  <si>
    <t xml:space="preserve">新北市</t>
  </si>
  <si>
    <t xml:space="preserve">鶯歌區</t>
  </si>
  <si>
    <r>
      <rPr>
        <sz val="10"/>
        <color rgb="FF1F2A28"/>
        <rFont val="WenQuanYi Zen Hei"/>
        <family val="2"/>
      </rPr>
      <t xml:space="preserve">鶯歌區二橋里高職西街</t>
    </r>
    <r>
      <rPr>
        <sz val="10"/>
        <color rgb="FF1F2A28"/>
        <rFont val="Arial"/>
        <family val="0"/>
        <charset val="1"/>
      </rPr>
      <t xml:space="preserve">108</t>
    </r>
    <r>
      <rPr>
        <sz val="10"/>
        <color rgb="FF1F2A28"/>
        <rFont val="WenQuanYi Zen Hei"/>
        <family val="2"/>
      </rPr>
      <t xml:space="preserve">號</t>
    </r>
  </si>
  <si>
    <t xml:space="preserve">02 8671 1832</t>
  </si>
  <si>
    <t xml:space="preserve">fujiyama@ms7.hinet.net</t>
  </si>
  <si>
    <t xml:space="preserve">2003-04-04</t>
  </si>
  <si>
    <t xml:space="preserve">許心宥</t>
  </si>
  <si>
    <t xml:space="preserve">吉的堡美語鶯歌二橋分校</t>
  </si>
  <si>
    <r>
      <rPr>
        <sz val="10"/>
        <color rgb="FF1F2A28"/>
        <rFont val="WenQuanYi Zen Hei"/>
        <family val="2"/>
      </rPr>
      <t xml:space="preserve">新北市鶯歌區二橋里高職西街</t>
    </r>
    <r>
      <rPr>
        <sz val="10"/>
        <color rgb="FF1F2A28"/>
        <rFont val="Arial"/>
        <family val="0"/>
        <charset val="1"/>
      </rPr>
      <t xml:space="preserve">108</t>
    </r>
    <r>
      <rPr>
        <sz val="10"/>
        <color rgb="FF1F2A28"/>
        <rFont val="WenQuanYi Zen Hei"/>
        <family val="2"/>
      </rPr>
      <t xml:space="preserve">號</t>
    </r>
  </si>
  <si>
    <t xml:space="preserve">02 8677 1832</t>
  </si>
  <si>
    <t xml:space="preserve">長頸鹿美語觀音分校</t>
  </si>
  <si>
    <t xml:space="preserve">私立先進美語數學短期補習班</t>
  </si>
  <si>
    <r>
      <rPr>
        <sz val="10"/>
        <color rgb="FF1F2A28"/>
        <rFont val="WenQuanYi Zen Hei"/>
        <family val="2"/>
      </rPr>
      <t xml:space="preserve">桃園市觀音區觀音里三民路</t>
    </r>
    <r>
      <rPr>
        <sz val="10"/>
        <color rgb="FF1F2A28"/>
        <rFont val="Arial"/>
        <family val="0"/>
        <charset val="1"/>
      </rPr>
      <t xml:space="preserve">43</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</si>
  <si>
    <t xml:space="preserve">03 473 3873</t>
  </si>
  <si>
    <t xml:space="preserve">lili650714@yahoo.com.tw</t>
  </si>
  <si>
    <t xml:space="preserve">2004-09-16</t>
  </si>
  <si>
    <t xml:space="preserve">徐立宗</t>
  </si>
  <si>
    <r>
      <rPr>
        <sz val="10"/>
        <color rgb="FF1F2A28"/>
        <rFont val="WenQuanYi Zen Hei"/>
        <family val="2"/>
      </rPr>
      <t xml:space="preserve">百勝外師美語教室</t>
    </r>
    <r>
      <rPr>
        <sz val="10"/>
        <color rgb="FF1F2A28"/>
        <rFont val="Arial"/>
        <family val="0"/>
        <charset val="1"/>
      </rPr>
      <t xml:space="preserve">&amp;</t>
    </r>
    <r>
      <rPr>
        <sz val="10"/>
        <color rgb="FF1F2A28"/>
        <rFont val="WenQuanYi Zen Hei"/>
        <family val="2"/>
      </rPr>
      <t xml:space="preserve">河合音樂教室</t>
    </r>
    <r>
      <rPr>
        <sz val="10"/>
        <color rgb="FF1F2A28"/>
        <rFont val="Arial"/>
        <family val="0"/>
        <charset val="1"/>
      </rPr>
      <t xml:space="preserve">-</t>
    </r>
    <r>
      <rPr>
        <sz val="10"/>
        <color rgb="FF1F2A28"/>
        <rFont val="WenQuanYi Zen Hei"/>
        <family val="2"/>
      </rPr>
      <t xml:space="preserve">大園英文補習班 大園音樂教室</t>
    </r>
    <r>
      <rPr>
        <sz val="10"/>
        <color rgb="FF1F2A28"/>
        <rFont val="Arial"/>
        <family val="0"/>
        <charset val="1"/>
      </rPr>
      <t xml:space="preserve">-</t>
    </r>
    <r>
      <rPr>
        <sz val="10"/>
        <color rgb="FF1F2A28"/>
        <rFont val="WenQuanYi Zen Hei"/>
        <family val="2"/>
      </rPr>
      <t xml:space="preserve">大園校</t>
    </r>
  </si>
  <si>
    <t xml:space="preserve">私立百勝文理語文技藝短期補習班</t>
  </si>
  <si>
    <r>
      <rPr>
        <sz val="10"/>
        <color rgb="FF1F2A28"/>
        <rFont val="WenQuanYi Zen Hei"/>
        <family val="2"/>
      </rPr>
      <t xml:space="preserve">桃園市大園區大園里新生路</t>
    </r>
    <r>
      <rPr>
        <sz val="10"/>
        <color rgb="FF1F2A28"/>
        <rFont val="Arial"/>
        <family val="0"/>
        <charset val="1"/>
      </rPr>
      <t xml:space="preserve">130</t>
    </r>
    <r>
      <rPr>
        <sz val="10"/>
        <color rgb="FF1F2A28"/>
        <rFont val="WenQuanYi Zen Hei"/>
        <family val="2"/>
      </rPr>
      <t xml:space="preserve">號</t>
    </r>
  </si>
  <si>
    <t xml:space="preserve">03 385 2169</t>
  </si>
  <si>
    <t xml:space="preserve">goddessstacytsao@gmail.com</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</si>
  <si>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</si>
  <si>
    <t xml:space="preserve">2015-12-16</t>
  </si>
  <si>
    <t xml:space="preserve">曹心怡</t>
  </si>
  <si>
    <t xml:space="preserve">私立米可美語短期補習班</t>
  </si>
  <si>
    <r>
      <rPr>
        <sz val="10"/>
        <color rgb="FF1F2A28"/>
        <rFont val="WenQuanYi Zen Hei"/>
        <family val="2"/>
      </rPr>
      <t xml:space="preserve">桃園市桃園區成功里桃三街</t>
    </r>
    <r>
      <rPr>
        <sz val="10"/>
        <color rgb="FF1F2A28"/>
        <rFont val="Arial"/>
        <family val="0"/>
        <charset val="1"/>
      </rPr>
      <t xml:space="preserve">62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</si>
  <si>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03 347 3366</t>
  </si>
  <si>
    <t xml:space="preserve">亞莉安美語短期補習班</t>
  </si>
  <si>
    <t xml:space="preserve">私立亞莉安美語短期補習班</t>
  </si>
  <si>
    <r>
      <rPr>
        <sz val="10"/>
        <color rgb="FF1F2A28"/>
        <rFont val="WenQuanYi Zen Hei"/>
        <family val="2"/>
      </rPr>
      <t xml:space="preserve">桃園市觀音區白玉里中興路</t>
    </r>
    <r>
      <rPr>
        <sz val="10"/>
        <color rgb="FF1F2A28"/>
        <rFont val="Arial"/>
        <family val="0"/>
        <charset val="1"/>
      </rPr>
      <t xml:space="preserve">44</t>
    </r>
    <r>
      <rPr>
        <sz val="10"/>
        <color rgb="FF1F2A28"/>
        <rFont val="WenQuanYi Zen Hei"/>
        <family val="2"/>
      </rPr>
      <t xml:space="preserve">號</t>
    </r>
  </si>
  <si>
    <t xml:space="preserve">03 473 4338</t>
  </si>
  <si>
    <t xml:space="preserve">jannie520520@gmail.com</t>
  </si>
  <si>
    <t xml:space="preserve">2005-06-20</t>
  </si>
  <si>
    <t xml:space="preserve">王芷渝</t>
  </si>
  <si>
    <t xml:space="preserve">葉添順</t>
  </si>
  <si>
    <t xml:space="preserve">雪米美語</t>
  </si>
  <si>
    <t xml:space="preserve">私立雪米文理短期補習班</t>
  </si>
  <si>
    <r>
      <rPr>
        <sz val="10"/>
        <color rgb="FF1F2A28"/>
        <rFont val="WenQuanYi Zen Hei"/>
        <family val="2"/>
      </rPr>
      <t xml:space="preserve">桃園市桃園區成功里桃一街</t>
    </r>
    <r>
      <rPr>
        <sz val="10"/>
        <color rgb="FF1F2A28"/>
        <rFont val="Arial"/>
        <family val="0"/>
        <charset val="1"/>
      </rPr>
      <t xml:space="preserve">87</t>
    </r>
    <r>
      <rPr>
        <sz val="10"/>
        <color rgb="FF1F2A28"/>
        <rFont val="WenQuanYi Zen Hei"/>
        <family val="2"/>
      </rPr>
      <t xml:space="preserve">號</t>
    </r>
  </si>
  <si>
    <t xml:space="preserve">03 333 9860</t>
  </si>
  <si>
    <t xml:space="preserve">s0921200685@gmail.com</t>
  </si>
  <si>
    <t xml:space="preserve">2022-05-02</t>
  </si>
  <si>
    <t xml:space="preserve">余承澐</t>
  </si>
  <si>
    <r>
      <rPr>
        <sz val="10"/>
        <color rgb="FF1F2A28"/>
        <rFont val="WenQuanYi Zen Hei"/>
        <family val="2"/>
      </rPr>
      <t xml:space="preserve">奧斯汀美語</t>
    </r>
    <r>
      <rPr>
        <sz val="10"/>
        <color rgb="FF1F2A28"/>
        <rFont val="Arial"/>
        <family val="0"/>
        <charset val="1"/>
      </rPr>
      <t xml:space="preserve">-</t>
    </r>
    <r>
      <rPr>
        <sz val="10"/>
        <color rgb="FF1F2A28"/>
        <rFont val="WenQuanYi Zen Hei"/>
        <family val="2"/>
      </rPr>
      <t xml:space="preserve">青溪分校</t>
    </r>
  </si>
  <si>
    <t xml:space="preserve">私立智森文理短期補習班</t>
  </si>
  <si>
    <r>
      <rPr>
        <sz val="10"/>
        <color rgb="FF1F2A28"/>
        <rFont val="WenQuanYi Zen Hei"/>
        <family val="2"/>
      </rPr>
      <t xml:space="preserve">桃園市桃園區三民里自強路</t>
    </r>
    <r>
      <rPr>
        <sz val="10"/>
        <color rgb="FF1F2A28"/>
        <rFont val="Arial"/>
        <family val="0"/>
        <charset val="1"/>
      </rPr>
      <t xml:space="preserve">77</t>
    </r>
    <r>
      <rPr>
        <sz val="10"/>
        <color rgb="FF1F2A28"/>
        <rFont val="WenQuanYi Zen Hei"/>
        <family val="2"/>
      </rPr>
      <t xml:space="preserve">號</t>
    </r>
  </si>
  <si>
    <t xml:space="preserve">03 331 1155</t>
  </si>
  <si>
    <t xml:space="preserve">vin568@ms68.hinet.net</t>
  </si>
  <si>
    <t xml:space="preserve">2023-08-21</t>
  </si>
  <si>
    <t xml:space="preserve">歐陽唯一</t>
  </si>
  <si>
    <t xml:space="preserve">吳佩珊</t>
  </si>
  <si>
    <r>
      <rPr>
        <sz val="10"/>
        <color rgb="FF1F2A28"/>
        <rFont val="WenQuanYi Zen Hei"/>
        <family val="2"/>
      </rPr>
      <t xml:space="preserve">長青文理語文珠算短期補習班</t>
    </r>
    <r>
      <rPr>
        <sz val="10"/>
        <color rgb="FF1F2A28"/>
        <rFont val="Arial"/>
        <family val="0"/>
        <charset val="1"/>
      </rPr>
      <t xml:space="preserve">/</t>
    </r>
    <r>
      <rPr>
        <sz val="10"/>
        <color rgb="FF1F2A28"/>
        <rFont val="WenQuanYi Zen Hei"/>
        <family val="2"/>
      </rPr>
      <t xml:space="preserve">國小安親班</t>
    </r>
  </si>
  <si>
    <t xml:space="preserve">私立長青文理語文珠算短期補習班</t>
  </si>
  <si>
    <r>
      <rPr>
        <sz val="10"/>
        <color rgb="FF1F2A28"/>
        <rFont val="WenQuanYi Zen Hei"/>
        <family val="2"/>
      </rPr>
      <t xml:space="preserve">新北市鶯歌區永昌里永明街</t>
    </r>
    <r>
      <rPr>
        <sz val="10"/>
        <color rgb="FF1F2A28"/>
        <rFont val="Arial"/>
        <family val="0"/>
        <charset val="1"/>
      </rPr>
      <t xml:space="preserve">71-1</t>
    </r>
    <r>
      <rPr>
        <sz val="10"/>
        <color rgb="FF1F2A28"/>
        <rFont val="WenQuanYi Zen Hei"/>
        <family val="2"/>
      </rPr>
      <t xml:space="preserve">號</t>
    </r>
  </si>
  <si>
    <t xml:space="preserve">02 2677 4265</t>
  </si>
  <si>
    <t xml:space="preserve">w040962@yahoo.com.tw</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</si>
  <si>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商類：珠算、心算、會計</t>
    </r>
  </si>
  <si>
    <t xml:space="preserve">2005-05-24</t>
  </si>
  <si>
    <t xml:space="preserve">王月麗</t>
  </si>
  <si>
    <t xml:space="preserve">冉懋槐</t>
  </si>
  <si>
    <t xml:space="preserve">私立葵思美語短期補習班</t>
  </si>
  <si>
    <r>
      <rPr>
        <sz val="10"/>
        <color rgb="FF1F2A28"/>
        <rFont val="WenQuanYi Zen Hei"/>
        <family val="2"/>
      </rPr>
      <t xml:space="preserve">桃園區莊敬里莊敬路一段</t>
    </r>
    <r>
      <rPr>
        <sz val="10"/>
        <color rgb="FF1F2A28"/>
        <rFont val="Arial"/>
        <family val="0"/>
        <charset val="1"/>
      </rPr>
      <t xml:space="preserve">210</t>
    </r>
    <r>
      <rPr>
        <sz val="10"/>
        <color rgb="FF1F2A28"/>
        <rFont val="WenQuanYi Zen Hei"/>
        <family val="2"/>
      </rPr>
      <t xml:space="preserve">巷</t>
    </r>
    <r>
      <rPr>
        <sz val="10"/>
        <color rgb="FF1F2A28"/>
        <rFont val="Arial"/>
        <family val="0"/>
        <charset val="1"/>
      </rPr>
      <t xml:space="preserve">59</t>
    </r>
    <r>
      <rPr>
        <sz val="10"/>
        <color rgb="FF1F2A28"/>
        <rFont val="WenQuanYi Zen Hei"/>
        <family val="2"/>
      </rPr>
      <t xml:space="preserve">號</t>
    </r>
  </si>
  <si>
    <t xml:space="preserve">03 317 3712</t>
  </si>
  <si>
    <r>
      <rPr>
        <sz val="10"/>
        <color rgb="FF1F2A28"/>
        <rFont val="WenQuanYi Zen Hei"/>
        <family val="2"/>
      </rPr>
      <t xml:space="preserve">私立樂捷文理技藝補習班</t>
    </r>
    <r>
      <rPr>
        <sz val="10"/>
        <color rgb="FF1F2A28"/>
        <rFont val="Arial"/>
        <family val="0"/>
        <charset val="1"/>
      </rPr>
      <t xml:space="preserve">/</t>
    </r>
    <r>
      <rPr>
        <sz val="10"/>
        <color rgb="FF1F2A28"/>
        <rFont val="WenQuanYi Zen Hei"/>
        <family val="2"/>
      </rPr>
      <t xml:space="preserve">國小</t>
    </r>
    <r>
      <rPr>
        <sz val="10"/>
        <color rgb="FF1F2A28"/>
        <rFont val="Arial"/>
        <family val="0"/>
        <charset val="1"/>
      </rPr>
      <t xml:space="preserve">/</t>
    </r>
    <r>
      <rPr>
        <sz val="10"/>
        <color rgb="FF1F2A28"/>
        <rFont val="WenQuanYi Zen Hei"/>
        <family val="2"/>
      </rPr>
      <t xml:space="preserve">國中</t>
    </r>
    <r>
      <rPr>
        <sz val="10"/>
        <color rgb="FF1F2A28"/>
        <rFont val="Arial"/>
        <family val="0"/>
        <charset val="1"/>
      </rPr>
      <t xml:space="preserve">/</t>
    </r>
    <r>
      <rPr>
        <sz val="10"/>
        <color rgb="FF1F2A28"/>
        <rFont val="WenQuanYi Zen Hei"/>
        <family val="2"/>
      </rPr>
      <t xml:space="preserve">高中</t>
    </r>
    <r>
      <rPr>
        <sz val="10"/>
        <color rgb="FF1F2A28"/>
        <rFont val="Arial"/>
        <family val="0"/>
        <charset val="1"/>
      </rPr>
      <t xml:space="preserve">-</t>
    </r>
    <r>
      <rPr>
        <sz val="10"/>
        <color rgb="FF1F2A28"/>
        <rFont val="WenQuanYi Zen Hei"/>
        <family val="2"/>
      </rPr>
      <t xml:space="preserve">桃園</t>
    </r>
    <r>
      <rPr>
        <sz val="10"/>
        <color rgb="FF1F2A28"/>
        <rFont val="Arial"/>
        <family val="0"/>
        <charset val="1"/>
      </rPr>
      <t xml:space="preserve">/</t>
    </r>
    <r>
      <rPr>
        <sz val="10"/>
        <color rgb="FF1F2A28"/>
        <rFont val="WenQuanYi Zen Hei"/>
        <family val="2"/>
      </rPr>
      <t xml:space="preserve">文昌</t>
    </r>
    <r>
      <rPr>
        <sz val="10"/>
        <color rgb="FF1F2A28"/>
        <rFont val="Arial"/>
        <family val="0"/>
        <charset val="1"/>
      </rPr>
      <t xml:space="preserve">/</t>
    </r>
    <r>
      <rPr>
        <sz val="10"/>
        <color rgb="FF1F2A28"/>
        <rFont val="WenQuanYi Zen Hei"/>
        <family val="2"/>
      </rPr>
      <t xml:space="preserve">慈文</t>
    </r>
    <r>
      <rPr>
        <sz val="10"/>
        <color rgb="FF1F2A28"/>
        <rFont val="Arial"/>
        <family val="0"/>
        <charset val="1"/>
      </rPr>
      <t xml:space="preserve">/</t>
    </r>
    <r>
      <rPr>
        <sz val="10"/>
        <color rgb="FF1F2A28"/>
        <rFont val="WenQuanYi Zen Hei"/>
        <family val="2"/>
      </rPr>
      <t xml:space="preserve">同德</t>
    </r>
    <r>
      <rPr>
        <sz val="10"/>
        <color rgb="FF1F2A28"/>
        <rFont val="Arial"/>
        <family val="0"/>
        <charset val="1"/>
      </rPr>
      <t xml:space="preserve">/</t>
    </r>
    <r>
      <rPr>
        <sz val="10"/>
        <color rgb="FF1F2A28"/>
        <rFont val="WenQuanYi Zen Hei"/>
        <family val="2"/>
      </rPr>
      <t xml:space="preserve">經國</t>
    </r>
    <r>
      <rPr>
        <sz val="10"/>
        <color rgb="FF1F2A28"/>
        <rFont val="Arial"/>
        <family val="0"/>
        <charset val="1"/>
      </rPr>
      <t xml:space="preserve">/</t>
    </r>
    <r>
      <rPr>
        <sz val="10"/>
        <color rgb="FF1F2A28"/>
        <rFont val="WenQuanYi Zen Hei"/>
        <family val="2"/>
      </rPr>
      <t xml:space="preserve">同德</t>
    </r>
    <r>
      <rPr>
        <sz val="10"/>
        <color rgb="FF1F2A28"/>
        <rFont val="Arial"/>
        <family val="0"/>
        <charset val="1"/>
      </rPr>
      <t xml:space="preserve">/</t>
    </r>
    <r>
      <rPr>
        <sz val="10"/>
        <color rgb="FF1F2A28"/>
        <rFont val="WenQuanYi Zen Hei"/>
        <family val="2"/>
      </rPr>
      <t xml:space="preserve">慈文</t>
    </r>
    <r>
      <rPr>
        <sz val="10"/>
        <color rgb="FF1F2A28"/>
        <rFont val="Arial"/>
        <family val="0"/>
        <charset val="1"/>
      </rPr>
      <t xml:space="preserve">/</t>
    </r>
    <r>
      <rPr>
        <sz val="10"/>
        <color rgb="FF1F2A28"/>
        <rFont val="WenQuanYi Zen Hei"/>
        <family val="2"/>
      </rPr>
      <t xml:space="preserve">同安</t>
    </r>
    <r>
      <rPr>
        <sz val="10"/>
        <color rgb="FF1F2A28"/>
        <rFont val="Arial"/>
        <family val="0"/>
        <charset val="1"/>
      </rPr>
      <t xml:space="preserve">/</t>
    </r>
    <r>
      <rPr>
        <sz val="10"/>
        <color rgb="FF1F2A28"/>
        <rFont val="WenQuanYi Zen Hei"/>
        <family val="2"/>
      </rPr>
      <t xml:space="preserve">莊敬</t>
    </r>
    <r>
      <rPr>
        <sz val="10"/>
        <color rgb="FF1F2A28"/>
        <rFont val="Arial"/>
        <family val="0"/>
        <charset val="1"/>
      </rPr>
      <t xml:space="preserve">/</t>
    </r>
    <r>
      <rPr>
        <sz val="10"/>
        <color rgb="FF1F2A28"/>
        <rFont val="WenQuanYi Zen Hei"/>
        <family val="2"/>
      </rPr>
      <t xml:space="preserve">新埔國中國小作文</t>
    </r>
    <r>
      <rPr>
        <sz val="10"/>
        <color rgb="FF1F2A28"/>
        <rFont val="Arial"/>
        <family val="0"/>
        <charset val="1"/>
      </rPr>
      <t xml:space="preserve">|</t>
    </r>
    <r>
      <rPr>
        <sz val="10"/>
        <color rgb="FF1F2A28"/>
        <rFont val="WenQuanYi Zen Hei"/>
        <family val="2"/>
      </rPr>
      <t xml:space="preserve">國中英文補習</t>
    </r>
    <r>
      <rPr>
        <sz val="10"/>
        <color rgb="FF1F2A28"/>
        <rFont val="Arial"/>
        <family val="0"/>
        <charset val="1"/>
      </rPr>
      <t xml:space="preserve">|</t>
    </r>
    <r>
      <rPr>
        <sz val="10"/>
        <color rgb="FF1F2A28"/>
        <rFont val="WenQuanYi Zen Hei"/>
        <family val="2"/>
      </rPr>
      <t xml:space="preserve">作文補習班</t>
    </r>
    <r>
      <rPr>
        <sz val="10"/>
        <color rgb="FF1F2A28"/>
        <rFont val="Arial"/>
        <family val="0"/>
        <charset val="1"/>
      </rPr>
      <t xml:space="preserve">|</t>
    </r>
    <r>
      <rPr>
        <sz val="10"/>
        <color rgb="FF1F2A28"/>
        <rFont val="WenQuanYi Zen Hei"/>
        <family val="2"/>
      </rPr>
      <t xml:space="preserve">國</t>
    </r>
    <r>
      <rPr>
        <sz val="10"/>
        <color rgb="FF1F2A28"/>
        <rFont val="Arial"/>
        <family val="0"/>
        <charset val="1"/>
      </rPr>
      <t xml:space="preserve">/</t>
    </r>
    <r>
      <rPr>
        <sz val="10"/>
        <color rgb="FF1F2A28"/>
        <rFont val="WenQuanYi Zen Hei"/>
        <family val="2"/>
      </rPr>
      <t xml:space="preserve">高中國文班</t>
    </r>
    <r>
      <rPr>
        <sz val="10"/>
        <color rgb="FF1F2A28"/>
        <rFont val="Arial"/>
        <family val="0"/>
        <charset val="1"/>
      </rPr>
      <t xml:space="preserve">|</t>
    </r>
    <r>
      <rPr>
        <sz val="10"/>
        <color rgb="FF1F2A28"/>
        <rFont val="WenQuanYi Zen Hei"/>
        <family val="2"/>
      </rPr>
      <t xml:space="preserve">國小美術教學</t>
    </r>
    <r>
      <rPr>
        <sz val="10"/>
        <color rgb="FF1F2A28"/>
        <rFont val="Arial"/>
        <family val="0"/>
        <charset val="1"/>
      </rPr>
      <t xml:space="preserve">|</t>
    </r>
    <r>
      <rPr>
        <sz val="10"/>
        <color rgb="FF1F2A28"/>
        <rFont val="WenQuanYi Zen Hei"/>
        <family val="2"/>
      </rPr>
      <t xml:space="preserve">國中自然補習</t>
    </r>
    <r>
      <rPr>
        <sz val="10"/>
        <color rgb="FF1F2A28"/>
        <rFont val="Arial"/>
        <family val="0"/>
        <charset val="1"/>
      </rPr>
      <t xml:space="preserve">|</t>
    </r>
    <r>
      <rPr>
        <sz val="10"/>
        <color rgb="FF1F2A28"/>
        <rFont val="WenQuanYi Zen Hei"/>
        <family val="2"/>
      </rPr>
      <t xml:space="preserve">英文補習班</t>
    </r>
    <r>
      <rPr>
        <sz val="10"/>
        <color rgb="FF1F2A28"/>
        <rFont val="Arial"/>
        <family val="0"/>
        <charset val="1"/>
      </rPr>
      <t xml:space="preserve">|</t>
    </r>
    <r>
      <rPr>
        <sz val="10"/>
        <color rgb="FF1F2A28"/>
        <rFont val="WenQuanYi Zen Hei"/>
        <family val="2"/>
      </rPr>
      <t xml:space="preserve">多元才藝</t>
    </r>
  </si>
  <si>
    <t xml:space="preserve">私立樂捷文理技藝短期補習班</t>
  </si>
  <si>
    <r>
      <rPr>
        <sz val="10"/>
        <color rgb="FF1F2A28"/>
        <rFont val="WenQuanYi Zen Hei"/>
        <family val="2"/>
      </rPr>
      <t xml:space="preserve">桃園市桃園區自強里莊敬路一段</t>
    </r>
    <r>
      <rPr>
        <sz val="10"/>
        <color rgb="FF1F2A28"/>
        <rFont val="Arial"/>
        <family val="0"/>
        <charset val="1"/>
      </rPr>
      <t xml:space="preserve">187</t>
    </r>
    <r>
      <rPr>
        <sz val="10"/>
        <color rgb="FF1F2A28"/>
        <rFont val="WenQuanYi Zen Hei"/>
        <family val="2"/>
      </rPr>
      <t xml:space="preserve">號</t>
    </r>
  </si>
  <si>
    <t xml:space="preserve">03 316 1791</t>
  </si>
  <si>
    <t xml:space="preserve">yifen@cycu.org.tw</t>
  </si>
  <si>
    <t xml:space="preserve">2024-04-25</t>
  </si>
  <si>
    <t xml:space="preserve">徐怡芬</t>
  </si>
  <si>
    <t xml:space="preserve">私立文建語文短期補習班</t>
  </si>
  <si>
    <t xml:space="preserve">私立芝麻村語文短期補習班</t>
  </si>
  <si>
    <r>
      <rPr>
        <sz val="10"/>
        <color rgb="FF1F2A28"/>
        <rFont val="WenQuanYi Zen Hei"/>
        <family val="2"/>
      </rPr>
      <t xml:space="preserve">新北市鶯歌區建國里國華路</t>
    </r>
    <r>
      <rPr>
        <sz val="10"/>
        <color rgb="FF1F2A28"/>
        <rFont val="Arial"/>
        <family val="0"/>
        <charset val="1"/>
      </rPr>
      <t xml:space="preserve">71</t>
    </r>
    <r>
      <rPr>
        <sz val="10"/>
        <color rgb="FF1F2A28"/>
        <rFont val="WenQuanYi Zen Hei"/>
        <family val="2"/>
      </rPr>
      <t xml:space="preserve">號</t>
    </r>
  </si>
  <si>
    <t xml:space="preserve">sesame_street@hotmail.com.tw</t>
  </si>
  <si>
    <t xml:space="preserve">2001-10-29</t>
  </si>
  <si>
    <t xml:space="preserve">張育婷</t>
  </si>
  <si>
    <t xml:space="preserve">黃小洋</t>
  </si>
  <si>
    <r>
      <rPr>
        <sz val="10"/>
        <color rgb="FF1F2A28"/>
        <rFont val="WenQuanYi Zen Hei"/>
        <family val="2"/>
      </rPr>
      <t xml:space="preserve">長頸鹿美語</t>
    </r>
    <r>
      <rPr>
        <sz val="10"/>
        <color rgb="FF1F2A28"/>
        <rFont val="Arial"/>
        <family val="0"/>
        <charset val="1"/>
      </rPr>
      <t xml:space="preserve">-</t>
    </r>
    <r>
      <rPr>
        <sz val="10"/>
        <color rgb="FF1F2A28"/>
        <rFont val="WenQuanYi Zen Hei"/>
        <family val="2"/>
      </rPr>
      <t xml:space="preserve">南崁光明分校 </t>
    </r>
    <r>
      <rPr>
        <sz val="10"/>
        <color rgb="FF1F2A28"/>
        <rFont val="Arial"/>
        <family val="0"/>
        <charset val="1"/>
      </rPr>
      <t xml:space="preserve">(</t>
    </r>
    <r>
      <rPr>
        <sz val="10"/>
        <color rgb="FF1F2A28"/>
        <rFont val="WenQuanYi Zen Hei"/>
        <family val="2"/>
      </rPr>
      <t xml:space="preserve">國中部</t>
    </r>
    <r>
      <rPr>
        <sz val="10"/>
        <color rgb="FF1F2A28"/>
        <rFont val="Arial"/>
        <family val="0"/>
        <charset val="1"/>
      </rPr>
      <t xml:space="preserve">/</t>
    </r>
    <r>
      <rPr>
        <sz val="10"/>
        <color rgb="FF1F2A28"/>
        <rFont val="WenQuanYi Zen Hei"/>
        <family val="2"/>
      </rPr>
      <t xml:space="preserve">英檢班</t>
    </r>
    <r>
      <rPr>
        <sz val="10"/>
        <color rgb="FF1F2A28"/>
        <rFont val="Arial"/>
        <family val="0"/>
        <charset val="1"/>
      </rPr>
      <t xml:space="preserve">)</t>
    </r>
  </si>
  <si>
    <t xml:space="preserve">私立宇成美語短期補習班光明分班</t>
  </si>
  <si>
    <r>
      <rPr>
        <sz val="10"/>
        <color rgb="FF1F2A28"/>
        <rFont val="WenQuanYi Zen Hei"/>
        <family val="2"/>
      </rPr>
      <t xml:space="preserve">桃園市蘆竹區福昌里南順七街</t>
    </r>
    <r>
      <rPr>
        <sz val="10"/>
        <color rgb="FF1F2A28"/>
        <rFont val="Arial"/>
        <family val="0"/>
        <charset val="1"/>
      </rPr>
      <t xml:space="preserve">24</t>
    </r>
    <r>
      <rPr>
        <sz val="10"/>
        <color rgb="FF1F2A28"/>
        <rFont val="WenQuanYi Zen Hei"/>
        <family val="2"/>
      </rPr>
      <t xml:space="preserve">號</t>
    </r>
  </si>
  <si>
    <t xml:space="preserve">03 321 3626</t>
  </si>
  <si>
    <t xml:space="preserve">kevin_becky@seed.net.tw</t>
  </si>
  <si>
    <t xml:space="preserve">2001-10-19</t>
  </si>
  <si>
    <t xml:space="preserve">蔡昇志</t>
  </si>
  <si>
    <t xml:space="preserve">劉幼蘭</t>
  </si>
  <si>
    <r>
      <rPr>
        <sz val="10"/>
        <color rgb="FF1F2A28"/>
        <rFont val="Arial"/>
        <family val="0"/>
        <charset val="1"/>
      </rPr>
      <t xml:space="preserve">Live</t>
    </r>
    <r>
      <rPr>
        <sz val="10"/>
        <color rgb="FF1F2A28"/>
        <rFont val="WenQuanYi Zen Hei"/>
        <family val="2"/>
      </rPr>
      <t xml:space="preserve">互動美語</t>
    </r>
    <r>
      <rPr>
        <sz val="10"/>
        <color rgb="FF1F2A28"/>
        <rFont val="Arial"/>
        <family val="0"/>
        <charset val="1"/>
      </rPr>
      <t xml:space="preserve">-</t>
    </r>
    <r>
      <rPr>
        <sz val="10"/>
        <color rgb="FF1F2A28"/>
        <rFont val="WenQuanYi Zen Hei"/>
        <family val="2"/>
      </rPr>
      <t xml:space="preserve">新北鶯歌分校</t>
    </r>
  </si>
  <si>
    <t xml:space="preserve">私立艾特文理短期補習班</t>
  </si>
  <si>
    <r>
      <rPr>
        <sz val="10"/>
        <color rgb="FF1F2A28"/>
        <rFont val="WenQuanYi Zen Hei"/>
        <family val="2"/>
      </rPr>
      <t xml:space="preserve">新北市鶯歌區南鶯里育英街</t>
    </r>
    <r>
      <rPr>
        <sz val="10"/>
        <color rgb="FF1F2A28"/>
        <rFont val="Arial"/>
        <family val="0"/>
        <charset val="1"/>
      </rPr>
      <t xml:space="preserve">43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</si>
  <si>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2022-07-20</t>
  </si>
  <si>
    <t xml:space="preserve">呂雅慧</t>
  </si>
  <si>
    <r>
      <rPr>
        <sz val="10"/>
        <color rgb="FF1F2A28"/>
        <rFont val="WenQuanYi Zen Hei"/>
        <family val="2"/>
      </rPr>
      <t xml:space="preserve">茱蒂美語文理短期補習</t>
    </r>
    <r>
      <rPr>
        <sz val="10"/>
        <color rgb="FF1F2A28"/>
        <rFont val="Arial"/>
        <family val="0"/>
        <charset val="1"/>
      </rPr>
      <t xml:space="preserve">(</t>
    </r>
    <r>
      <rPr>
        <sz val="10"/>
        <color rgb="FF1F2A28"/>
        <rFont val="WenQuanYi Zen Hei"/>
        <family val="2"/>
      </rPr>
      <t xml:space="preserve">建國國小 鶯歌國小</t>
    </r>
    <r>
      <rPr>
        <sz val="10"/>
        <color rgb="FF1F2A28"/>
        <rFont val="Arial"/>
        <family val="0"/>
        <charset val="1"/>
      </rPr>
      <t xml:space="preserve">)</t>
    </r>
    <r>
      <rPr>
        <sz val="10"/>
        <color rgb="FF1F2A28"/>
        <rFont val="WenQuanYi Zen Hei"/>
        <family val="2"/>
      </rPr>
      <t xml:space="preserve">鶯歌安親班</t>
    </r>
    <r>
      <rPr>
        <sz val="10"/>
        <color rgb="FF1F2A28"/>
        <rFont val="Arial"/>
        <family val="0"/>
        <charset val="1"/>
      </rPr>
      <t xml:space="preserve">/</t>
    </r>
    <r>
      <rPr>
        <sz val="10"/>
        <color rgb="FF1F2A28"/>
        <rFont val="WenQuanYi Zen Hei"/>
        <family val="2"/>
      </rPr>
      <t xml:space="preserve">鶯歌美語</t>
    </r>
    <r>
      <rPr>
        <sz val="10"/>
        <color rgb="FF1F2A28"/>
        <rFont val="Arial"/>
        <family val="0"/>
        <charset val="1"/>
      </rPr>
      <t xml:space="preserve">/</t>
    </r>
    <r>
      <rPr>
        <sz val="10"/>
        <color rgb="FF1F2A28"/>
        <rFont val="WenQuanYi Zen Hei"/>
        <family val="2"/>
      </rPr>
      <t xml:space="preserve">鶯歌英文</t>
    </r>
    <r>
      <rPr>
        <sz val="10"/>
        <color rgb="FF1F2A28"/>
        <rFont val="Arial"/>
        <family val="0"/>
        <charset val="1"/>
      </rPr>
      <t xml:space="preserve">/</t>
    </r>
    <r>
      <rPr>
        <sz val="10"/>
        <color rgb="FF1F2A28"/>
        <rFont val="WenQuanYi Zen Hei"/>
        <family val="2"/>
      </rPr>
      <t xml:space="preserve">鶯歌國中數學</t>
    </r>
    <r>
      <rPr>
        <sz val="10"/>
        <color rgb="FF1F2A28"/>
        <rFont val="Arial"/>
        <family val="0"/>
        <charset val="1"/>
      </rPr>
      <t xml:space="preserve">/</t>
    </r>
    <r>
      <rPr>
        <sz val="10"/>
        <color rgb="FF1F2A28"/>
        <rFont val="WenQuanYi Zen Hei"/>
        <family val="2"/>
      </rPr>
      <t xml:space="preserve">鶯歌國中理化</t>
    </r>
    <r>
      <rPr>
        <sz val="10"/>
        <color rgb="FF1F2A28"/>
        <rFont val="Arial"/>
        <family val="0"/>
        <charset val="1"/>
      </rPr>
      <t xml:space="preserve">/</t>
    </r>
    <r>
      <rPr>
        <sz val="10"/>
        <color rgb="FF1F2A28"/>
        <rFont val="WenQuanYi Zen Hei"/>
        <family val="2"/>
      </rPr>
      <t xml:space="preserve">鶯歌英檢補習班</t>
    </r>
  </si>
  <si>
    <r>
      <rPr>
        <sz val="10"/>
        <color rgb="FF1F2A28"/>
        <rFont val="WenQuanYi Zen Hei"/>
        <family val="2"/>
      </rPr>
      <t xml:space="preserve">私立茱蒂美語文理短期補習班 </t>
    </r>
    <r>
      <rPr>
        <sz val="10"/>
        <color rgb="FF1F2A28"/>
        <rFont val="Arial"/>
        <family val="0"/>
        <charset val="1"/>
      </rPr>
      <t xml:space="preserve">+ </t>
    </r>
    <r>
      <rPr>
        <sz val="10"/>
        <color rgb="FF1F2A28"/>
        <rFont val="WenQuanYi Zen Hei"/>
        <family val="2"/>
      </rPr>
      <t xml:space="preserve">私立優</t>
    </r>
    <r>
      <rPr>
        <sz val="10"/>
        <color rgb="FF1F2A28"/>
        <rFont val="Arial"/>
        <family val="0"/>
        <charset val="1"/>
      </rPr>
      <t xml:space="preserve">e</t>
    </r>
    <r>
      <rPr>
        <sz val="10"/>
        <color rgb="FF1F2A28"/>
        <rFont val="WenQuanYi Zen Hei"/>
        <family val="2"/>
      </rPr>
      <t xml:space="preserve">文理短期補習班</t>
    </r>
  </si>
  <si>
    <r>
      <rPr>
        <sz val="10"/>
        <color rgb="FF1F2A28"/>
        <rFont val="WenQuanYi Zen Hei"/>
        <family val="2"/>
      </rPr>
      <t xml:space="preserve">新北市鶯歌區南鶯里育英街</t>
    </r>
    <r>
      <rPr>
        <sz val="10"/>
        <color rgb="FF1F2A28"/>
        <rFont val="Arial"/>
        <family val="0"/>
        <charset val="1"/>
      </rPr>
      <t xml:space="preserve">21</t>
    </r>
    <r>
      <rPr>
        <sz val="10"/>
        <color rgb="FF1F2A28"/>
        <rFont val="WenQuanYi Zen Hei"/>
        <family val="2"/>
      </rPr>
      <t xml:space="preserve">號</t>
    </r>
  </si>
  <si>
    <t xml:space="preserve">02 2678 6559</t>
  </si>
  <si>
    <r>
      <rPr>
        <sz val="10"/>
        <color rgb="FF1F2A28"/>
        <rFont val="WenQuanYi Zen Hei"/>
        <family val="2"/>
      </rPr>
      <t xml:space="preserve">外語類 </t>
    </r>
    <r>
      <rPr>
        <sz val="10"/>
        <color rgb="FF1F2A28"/>
        <rFont val="Arial"/>
        <family val="0"/>
        <charset val="1"/>
      </rPr>
      <t xml:space="preserve">/ </t>
    </r>
    <r>
      <rPr>
        <sz val="10"/>
        <color rgb="FF1F2A28"/>
        <rFont val="WenQuanYi Zen Hei"/>
        <family val="2"/>
      </rPr>
      <t xml:space="preserve">文理類</t>
    </r>
  </si>
  <si>
    <t xml:space="preserve">2004-06-25</t>
  </si>
  <si>
    <t xml:space="preserve">林淑瑛</t>
  </si>
  <si>
    <r>
      <rPr>
        <sz val="10"/>
        <color rgb="FF1F2A28"/>
        <rFont val="WenQuanYi Zen Hei"/>
        <family val="2"/>
      </rPr>
      <t xml:space="preserve">鶯歌聖禾</t>
    </r>
    <r>
      <rPr>
        <sz val="10"/>
        <color rgb="FF1F2A28"/>
        <rFont val="Arial"/>
        <family val="0"/>
        <charset val="1"/>
      </rPr>
      <t xml:space="preserve">IvyEnglish-</t>
    </r>
    <r>
      <rPr>
        <sz val="10"/>
        <color rgb="FF1F2A28"/>
        <rFont val="WenQuanYi Zen Hei"/>
        <family val="2"/>
      </rPr>
      <t xml:space="preserve">新北鶯歌補習班 課輔班 安親班 推薦 國小</t>
    </r>
    <r>
      <rPr>
        <sz val="10"/>
        <color rgb="FF1F2A28"/>
        <rFont val="Arial"/>
        <family val="0"/>
        <charset val="1"/>
      </rPr>
      <t xml:space="preserve">/</t>
    </r>
    <r>
      <rPr>
        <sz val="10"/>
        <color rgb="FF1F2A28"/>
        <rFont val="WenQuanYi Zen Hei"/>
        <family val="2"/>
      </rPr>
      <t xml:space="preserve">兒童 美語班 英檢班 正音班 寒暑假夏令營 珠心算 自然發音班 外師主題課 麥塊電腦課 </t>
    </r>
    <r>
      <rPr>
        <sz val="10"/>
        <color rgb="FF1F2A28"/>
        <rFont val="Arial"/>
        <family val="0"/>
        <charset val="1"/>
      </rPr>
      <t xml:space="preserve">TutorABC</t>
    </r>
  </si>
  <si>
    <t xml:space="preserve">私立聖禾文理技藝短期補習班</t>
  </si>
  <si>
    <r>
      <rPr>
        <sz val="10"/>
        <color rgb="FF1F2A28"/>
        <rFont val="WenQuanYi Zen Hei"/>
        <family val="2"/>
      </rPr>
      <t xml:space="preserve">新北市鶯歌區南鶯里育英街</t>
    </r>
    <r>
      <rPr>
        <sz val="10"/>
        <color rgb="FF1F2A28"/>
        <rFont val="Arial"/>
        <family val="0"/>
        <charset val="1"/>
      </rPr>
      <t xml:space="preserve">19</t>
    </r>
    <r>
      <rPr>
        <sz val="10"/>
        <color rgb="FF1F2A28"/>
        <rFont val="WenQuanYi Zen Hei"/>
        <family val="2"/>
      </rPr>
      <t xml:space="preserve">號</t>
    </r>
  </si>
  <si>
    <t xml:space="preserve">02 8677 3222</t>
  </si>
  <si>
    <t xml:space="preserve">shengher8@gmail.com</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</si>
  <si>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商類：珠算、心算、會計</t>
    </r>
  </si>
  <si>
    <t xml:space="preserve">2005-09-10</t>
  </si>
  <si>
    <t xml:space="preserve">郭文英</t>
  </si>
  <si>
    <t xml:space="preserve">黃俊瑋</t>
  </si>
  <si>
    <t xml:space="preserve">學詮珠心算語文短期補習班</t>
  </si>
  <si>
    <r>
      <rPr>
        <sz val="10"/>
        <color rgb="FF1F2A28"/>
        <rFont val="WenQuanYi Zen Hei"/>
        <family val="2"/>
      </rPr>
      <t xml:space="preserve">新北市鶯歌區南鶯里育才街</t>
    </r>
    <r>
      <rPr>
        <sz val="10"/>
        <color rgb="FF1F2A28"/>
        <rFont val="Arial"/>
        <family val="0"/>
        <charset val="1"/>
      </rPr>
      <t xml:space="preserve">90</t>
    </r>
    <r>
      <rPr>
        <sz val="10"/>
        <color rgb="FF1F2A28"/>
        <rFont val="WenQuanYi Zen Hei"/>
        <family val="2"/>
      </rPr>
      <t xml:space="preserve">號</t>
    </r>
  </si>
  <si>
    <t xml:space="preserve">02 2678 6728</t>
  </si>
  <si>
    <r>
      <rPr>
        <sz val="10"/>
        <color rgb="FF1F2A28"/>
        <rFont val="WenQuanYi Zen Hei"/>
        <family val="2"/>
      </rPr>
      <t xml:space="preserve">長頸鹿美語</t>
    </r>
    <r>
      <rPr>
        <sz val="10"/>
        <color rgb="FF1F2A28"/>
        <rFont val="Arial"/>
        <family val="0"/>
        <charset val="1"/>
      </rPr>
      <t xml:space="preserve">-</t>
    </r>
    <r>
      <rPr>
        <sz val="10"/>
        <color rgb="FF1F2A28"/>
        <rFont val="WenQuanYi Zen Hei"/>
        <family val="2"/>
      </rPr>
      <t xml:space="preserve">南崁光明分校 </t>
    </r>
    <r>
      <rPr>
        <sz val="10"/>
        <color rgb="FF1F2A28"/>
        <rFont val="Arial"/>
        <family val="0"/>
        <charset val="1"/>
      </rPr>
      <t xml:space="preserve">(</t>
    </r>
    <r>
      <rPr>
        <sz val="10"/>
        <color rgb="FF1F2A28"/>
        <rFont val="WenQuanYi Zen Hei"/>
        <family val="2"/>
      </rPr>
      <t xml:space="preserve">宇成</t>
    </r>
    <r>
      <rPr>
        <sz val="10"/>
        <color rgb="FF1F2A28"/>
        <rFont val="Arial"/>
        <family val="0"/>
        <charset val="1"/>
      </rPr>
      <t xml:space="preserve">)</t>
    </r>
    <r>
      <rPr>
        <sz val="10"/>
        <color rgb="FF1F2A28"/>
        <rFont val="WenQuanYi Zen Hei"/>
        <family val="2"/>
      </rPr>
      <t xml:space="preserve">安親</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英檢</t>
    </r>
    <r>
      <rPr>
        <sz val="10"/>
        <color rgb="FF1F2A28"/>
        <rFont val="Arial"/>
        <family val="0"/>
        <charset val="1"/>
      </rPr>
      <t xml:space="preserve">/</t>
    </r>
    <r>
      <rPr>
        <sz val="10"/>
        <color rgb="FF1F2A28"/>
        <rFont val="WenQuanYi Zen Hei"/>
        <family val="2"/>
      </rPr>
      <t xml:space="preserve">國中</t>
    </r>
    <r>
      <rPr>
        <sz val="10"/>
        <color rgb="FF1F2A28"/>
        <rFont val="Arial"/>
        <family val="0"/>
        <charset val="1"/>
      </rPr>
      <t xml:space="preserve">/</t>
    </r>
    <r>
      <rPr>
        <sz val="10"/>
        <color rgb="FF1F2A28"/>
        <rFont val="WenQuanYi Zen Hei"/>
        <family val="2"/>
      </rPr>
      <t xml:space="preserve">國一先修</t>
    </r>
    <r>
      <rPr>
        <sz val="10"/>
        <color rgb="FF1F2A28"/>
        <rFont val="Arial"/>
        <family val="0"/>
        <charset val="1"/>
      </rPr>
      <t xml:space="preserve">/</t>
    </r>
    <r>
      <rPr>
        <sz val="10"/>
        <color rgb="FF1F2A28"/>
        <rFont val="WenQuanYi Zen Hei"/>
        <family val="2"/>
      </rPr>
      <t xml:space="preserve">升學</t>
    </r>
    <r>
      <rPr>
        <sz val="10"/>
        <color rgb="FF1F2A28"/>
        <rFont val="Arial"/>
        <family val="0"/>
        <charset val="1"/>
      </rPr>
      <t xml:space="preserve">/</t>
    </r>
    <r>
      <rPr>
        <sz val="10"/>
        <color rgb="FF1F2A28"/>
        <rFont val="WenQuanYi Zen Hei"/>
        <family val="2"/>
      </rPr>
      <t xml:space="preserve">私校專班</t>
    </r>
  </si>
  <si>
    <r>
      <rPr>
        <sz val="10"/>
        <color rgb="FF1F2A28"/>
        <rFont val="WenQuanYi Zen Hei"/>
        <family val="2"/>
      </rPr>
      <t xml:space="preserve">桃園市蘆竹區福昌里南昌路</t>
    </r>
    <r>
      <rPr>
        <sz val="10"/>
        <color rgb="FF1F2A28"/>
        <rFont val="Arial"/>
        <family val="0"/>
        <charset val="1"/>
      </rPr>
      <t xml:space="preserve">264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</si>
  <si>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03 312 2000</t>
  </si>
  <si>
    <r>
      <rPr>
        <sz val="10"/>
        <color rgb="FF1F2A28"/>
        <rFont val="WenQuanYi Zen Hei"/>
        <family val="2"/>
      </rPr>
      <t xml:space="preserve">奧斯汀美語 </t>
    </r>
    <r>
      <rPr>
        <sz val="10"/>
        <color rgb="FF1F2A28"/>
        <rFont val="Arial"/>
        <family val="0"/>
        <charset val="1"/>
      </rPr>
      <t xml:space="preserve">- </t>
    </r>
    <r>
      <rPr>
        <sz val="10"/>
        <color rgb="FF1F2A28"/>
        <rFont val="WenQuanYi Zen Hei"/>
        <family val="2"/>
      </rPr>
      <t xml:space="preserve">鶯歌建國分校 </t>
    </r>
    <r>
      <rPr>
        <sz val="10"/>
        <color rgb="FF1F2A28"/>
        <rFont val="Arial"/>
        <family val="0"/>
        <charset val="1"/>
      </rPr>
      <t xml:space="preserve">/ </t>
    </r>
    <r>
      <rPr>
        <sz val="10"/>
        <color rgb="FF1F2A28"/>
        <rFont val="WenQuanYi Zen Hei"/>
        <family val="2"/>
      </rPr>
      <t xml:space="preserve">私立京英文理短期補習班</t>
    </r>
  </si>
  <si>
    <r>
      <rPr>
        <sz val="10"/>
        <color rgb="FF1F2A28"/>
        <rFont val="WenQuanYi Zen Hei"/>
        <family val="2"/>
      </rPr>
      <t xml:space="preserve">私立京英文理短期補習班 </t>
    </r>
    <r>
      <rPr>
        <sz val="10"/>
        <color rgb="FF1F2A28"/>
        <rFont val="Arial"/>
        <family val="0"/>
        <charset val="1"/>
      </rPr>
      <t xml:space="preserve">+ </t>
    </r>
    <r>
      <rPr>
        <sz val="10"/>
        <color rgb="FF1F2A28"/>
        <rFont val="WenQuanYi Zen Hei"/>
        <family val="2"/>
      </rPr>
      <t xml:space="preserve">私立京英文理短期補習班</t>
    </r>
  </si>
  <si>
    <r>
      <rPr>
        <sz val="10"/>
        <color rgb="FF1F2A28"/>
        <rFont val="WenQuanYi Zen Hei"/>
        <family val="2"/>
      </rPr>
      <t xml:space="preserve">新北市鶯歌區南鶯里建國路</t>
    </r>
    <r>
      <rPr>
        <sz val="10"/>
        <color rgb="FF1F2A28"/>
        <rFont val="Arial"/>
        <family val="0"/>
        <charset val="1"/>
      </rPr>
      <t xml:space="preserve">210</t>
    </r>
    <r>
      <rPr>
        <sz val="10"/>
        <color rgb="FF1F2A28"/>
        <rFont val="WenQuanYi Zen Hei"/>
        <family val="2"/>
      </rPr>
      <t xml:space="preserve">巷</t>
    </r>
    <r>
      <rPr>
        <sz val="10"/>
        <color rgb="FF1F2A28"/>
        <rFont val="Arial"/>
        <family val="0"/>
        <charset val="1"/>
      </rPr>
      <t xml:space="preserve">4</t>
    </r>
    <r>
      <rPr>
        <sz val="10"/>
        <color rgb="FF1F2A28"/>
        <rFont val="WenQuanYi Zen Hei"/>
        <family val="2"/>
      </rPr>
      <t xml:space="preserve">號</t>
    </r>
  </si>
  <si>
    <t xml:space="preserve">02 2678 8587</t>
  </si>
  <si>
    <t xml:space="preserve">2023-12-06</t>
  </si>
  <si>
    <t xml:space="preserve">黃博淳</t>
  </si>
  <si>
    <r>
      <rPr>
        <sz val="10"/>
        <color rgb="FF1F2A28"/>
        <rFont val="WenQuanYi Zen Hei"/>
        <family val="2"/>
      </rPr>
      <t xml:space="preserve">大熊哥美語短期補習班 </t>
    </r>
    <r>
      <rPr>
        <sz val="10"/>
        <color rgb="FF1F2A28"/>
        <rFont val="Arial"/>
        <family val="0"/>
        <charset val="1"/>
      </rPr>
      <t xml:space="preserve">Big Brother Bear English School</t>
    </r>
  </si>
  <si>
    <t xml:space="preserve">大熊哥美語短期補習班</t>
  </si>
  <si>
    <r>
      <rPr>
        <sz val="10"/>
        <color rgb="FF1F2A28"/>
        <rFont val="WenQuanYi Zen Hei"/>
        <family val="2"/>
      </rPr>
      <t xml:space="preserve">新北市鶯歌區南鶯里育才街</t>
    </r>
    <r>
      <rPr>
        <sz val="10"/>
        <color rgb="FF1F2A28"/>
        <rFont val="Arial"/>
        <family val="0"/>
        <charset val="1"/>
      </rPr>
      <t xml:space="preserve">29</t>
    </r>
    <r>
      <rPr>
        <sz val="10"/>
        <color rgb="FF1F2A28"/>
        <rFont val="WenQuanYi Zen Hei"/>
        <family val="2"/>
      </rPr>
      <t xml:space="preserve">號</t>
    </r>
  </si>
  <si>
    <t xml:space="preserve">02 2670 7732</t>
  </si>
  <si>
    <t xml:space="preserve">bigbro.bear@msa.hinet.net</t>
  </si>
  <si>
    <t xml:space="preserve">2004-07-28</t>
  </si>
  <si>
    <t xml:space="preserve">張愛立刻</t>
  </si>
  <si>
    <t xml:space="preserve">高挺維</t>
  </si>
  <si>
    <r>
      <rPr>
        <sz val="10"/>
        <color rgb="FF1F2A28"/>
        <rFont val="WenQuanYi Zen Hei"/>
        <family val="2"/>
      </rPr>
      <t xml:space="preserve">文賢數理學苑</t>
    </r>
    <r>
      <rPr>
        <sz val="10"/>
        <color rgb="FF1F2A28"/>
        <rFont val="Arial"/>
        <family val="0"/>
        <charset val="1"/>
      </rPr>
      <t xml:space="preserve">-Live</t>
    </r>
    <r>
      <rPr>
        <sz val="10"/>
        <color rgb="FF1F2A28"/>
        <rFont val="WenQuanYi Zen Hei"/>
        <family val="2"/>
      </rPr>
      <t xml:space="preserve">互動美語</t>
    </r>
  </si>
  <si>
    <t xml:space="preserve">新竹縣私立文賢文理短期補習班</t>
  </si>
  <si>
    <t xml:space="preserve">竹北市</t>
  </si>
  <si>
    <r>
      <rPr>
        <sz val="10"/>
        <color rgb="FF1F2A28"/>
        <rFont val="WenQuanYi Zen Hei"/>
        <family val="2"/>
      </rPr>
      <t xml:space="preserve">新竹縣竹北市竹仁里中山路</t>
    </r>
    <r>
      <rPr>
        <sz val="10"/>
        <color rgb="FF1F2A28"/>
        <rFont val="Arial"/>
        <family val="0"/>
        <charset val="1"/>
      </rPr>
      <t xml:space="preserve">251</t>
    </r>
    <r>
      <rPr>
        <sz val="10"/>
        <color rgb="FF1F2A28"/>
        <rFont val="WenQuanYi Zen Hei"/>
        <family val="2"/>
      </rPr>
      <t xml:space="preserve">號</t>
    </r>
  </si>
  <si>
    <t xml:space="preserve">03 551 6586</t>
  </si>
  <si>
    <t xml:space="preserve">zchen4761@gmail.com</t>
  </si>
  <si>
    <t xml:space="preserve">2009-01-12</t>
  </si>
  <si>
    <t xml:space="preserve">呂家佳</t>
  </si>
  <si>
    <t xml:space="preserve">黃竣聖</t>
  </si>
  <si>
    <t xml:space="preserve">弋果美語新豐分校</t>
  </si>
  <si>
    <t xml:space="preserve">新竹縣私立張易文理短期補習班</t>
  </si>
  <si>
    <t xml:space="preserve">新豐鄉</t>
  </si>
  <si>
    <r>
      <rPr>
        <sz val="10"/>
        <color rgb="FF1F2A28"/>
        <rFont val="WenQuanYi Zen Hei"/>
        <family val="2"/>
      </rPr>
      <t xml:space="preserve">新竹縣新豐鄉忠孝村忠孝路</t>
    </r>
    <r>
      <rPr>
        <sz val="10"/>
        <color rgb="FF1F2A28"/>
        <rFont val="Arial"/>
        <family val="0"/>
        <charset val="1"/>
      </rPr>
      <t xml:space="preserve">129</t>
    </r>
    <r>
      <rPr>
        <sz val="10"/>
        <color rgb="FF1F2A28"/>
        <rFont val="WenQuanYi Zen Hei"/>
        <family val="2"/>
      </rPr>
      <t xml:space="preserve">號</t>
    </r>
  </si>
  <si>
    <t xml:space="preserve">03 557 7937</t>
  </si>
  <si>
    <t xml:space="preserve">twwsc26003@gmail.com</t>
  </si>
  <si>
    <t xml:space="preserve">2013-12-26</t>
  </si>
  <si>
    <t xml:space="preserve">張逸文</t>
  </si>
  <si>
    <t xml:space="preserve">劉素芸</t>
  </si>
  <si>
    <t xml:space="preserve">良門珠心算美語短期補習班</t>
  </si>
  <si>
    <t xml:space="preserve">私立良門珠心算美語短期補習班</t>
  </si>
  <si>
    <t xml:space="preserve">龜山區</t>
  </si>
  <si>
    <r>
      <rPr>
        <sz val="10"/>
        <color rgb="FF1F2A28"/>
        <rFont val="WenQuanYi Zen Hei"/>
        <family val="2"/>
      </rPr>
      <t xml:space="preserve">桃園市龜山區龜山里自強東路</t>
    </r>
    <r>
      <rPr>
        <sz val="10"/>
        <color rgb="FF1F2A28"/>
        <rFont val="Arial"/>
        <family val="0"/>
        <charset val="1"/>
      </rPr>
      <t xml:space="preserve">198</t>
    </r>
    <r>
      <rPr>
        <sz val="10"/>
        <color rgb="FF1F2A28"/>
        <rFont val="WenQuanYi Zen Hei"/>
        <family val="2"/>
      </rPr>
      <t xml:space="preserve">號</t>
    </r>
  </si>
  <si>
    <t xml:space="preserve">03 329 9280</t>
  </si>
  <si>
    <t xml:space="preserve">joan9336@gmail.com</t>
  </si>
  <si>
    <t xml:space="preserve">1999-04-02</t>
  </si>
  <si>
    <t xml:space="preserve">陳俊良</t>
  </si>
  <si>
    <t xml:space="preserve">姚嘉玲</t>
  </si>
  <si>
    <t xml:space="preserve">喬登美語 文興分校</t>
  </si>
  <si>
    <r>
      <rPr>
        <sz val="10"/>
        <color rgb="FF1F2A28"/>
        <rFont val="WenQuanYi Zen Hei"/>
        <family val="2"/>
      </rPr>
      <t xml:space="preserve">新竹縣私立蒔英文理短期補習班 </t>
    </r>
    <r>
      <rPr>
        <sz val="10"/>
        <color rgb="FF1F2A28"/>
        <rFont val="Arial"/>
        <family val="0"/>
        <charset val="1"/>
      </rPr>
      <t xml:space="preserve">+ </t>
    </r>
    <r>
      <rPr>
        <sz val="10"/>
        <color rgb="FF1F2A28"/>
        <rFont val="WenQuanYi Zen Hei"/>
        <family val="2"/>
      </rPr>
      <t xml:space="preserve">新竹縣私立學兒文理短期補習班</t>
    </r>
  </si>
  <si>
    <r>
      <rPr>
        <sz val="10"/>
        <color rgb="FF1F2A28"/>
        <rFont val="WenQuanYi Zen Hei"/>
        <family val="2"/>
      </rPr>
      <t xml:space="preserve">新竹縣竹北市隘口里高鐵九路</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</si>
  <si>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03 612 9009</t>
  </si>
  <si>
    <t xml:space="preserve">xion770611@gmail.com; aass123032@gmail.com</t>
  </si>
  <si>
    <t xml:space="preserve">2023-09-20</t>
  </si>
  <si>
    <t xml:space="preserve">曾詠茹</t>
  </si>
  <si>
    <t xml:space="preserve">蔡旻哲</t>
  </si>
  <si>
    <r>
      <rPr>
        <sz val="10"/>
        <color rgb="FF1F2A28"/>
        <rFont val="WenQuanYi Zen Hei"/>
        <family val="2"/>
      </rPr>
      <t xml:space="preserve">三之三芎林分校＜鉅林補習班＞格蘭英語</t>
    </r>
    <r>
      <rPr>
        <sz val="10"/>
        <color rgb="FF1F2A28"/>
        <rFont val="Arial"/>
        <family val="0"/>
        <charset val="1"/>
      </rPr>
      <t xml:space="preserve">/MPM</t>
    </r>
    <r>
      <rPr>
        <sz val="10"/>
        <color rgb="FF1F2A28"/>
        <rFont val="WenQuanYi Zen Hei"/>
        <family val="2"/>
      </rPr>
      <t xml:space="preserve">數學</t>
    </r>
  </si>
  <si>
    <t xml:space="preserve">新竹縣私立鉅林文理短期補習班</t>
  </si>
  <si>
    <t xml:space="preserve">芎林鄉</t>
  </si>
  <si>
    <r>
      <rPr>
        <sz val="10"/>
        <color rgb="FF1F2A28"/>
        <rFont val="WenQuanYi Zen Hei"/>
        <family val="2"/>
      </rPr>
      <t xml:space="preserve">新竹縣芎林鄉芎林村文昌街</t>
    </r>
    <r>
      <rPr>
        <sz val="10"/>
        <color rgb="FF1F2A28"/>
        <rFont val="Arial"/>
        <family val="0"/>
        <charset val="1"/>
      </rPr>
      <t xml:space="preserve">222</t>
    </r>
    <r>
      <rPr>
        <sz val="10"/>
        <color rgb="FF1F2A28"/>
        <rFont val="WenQuanYi Zen Hei"/>
        <family val="2"/>
      </rPr>
      <t xml:space="preserve">號</t>
    </r>
  </si>
  <si>
    <t xml:space="preserve">03 512 0033</t>
  </si>
  <si>
    <t xml:space="preserve">g5120033@yahoo.com.tw</t>
  </si>
  <si>
    <t xml:space="preserve">2006-07-19</t>
  </si>
  <si>
    <t xml:space="preserve">郝芮平</t>
  </si>
  <si>
    <t xml:space="preserve">互動美語山崎校</t>
  </si>
  <si>
    <t xml:space="preserve">極致教育股份有限公司附設新竹縣私立劉欣英文邱天數理山崎文理短期補習班</t>
  </si>
  <si>
    <r>
      <rPr>
        <sz val="10"/>
        <color rgb="FF1F2A28"/>
        <rFont val="WenQuanYi Zen Hei"/>
        <family val="2"/>
      </rPr>
      <t xml:space="preserve">新竹縣新豐鄉山崎村學府路</t>
    </r>
    <r>
      <rPr>
        <sz val="10"/>
        <color rgb="FF1F2A28"/>
        <rFont val="Arial"/>
        <family val="0"/>
        <charset val="1"/>
      </rPr>
      <t xml:space="preserve">70</t>
    </r>
    <r>
      <rPr>
        <sz val="10"/>
        <color rgb="FF1F2A28"/>
        <rFont val="WenQuanYi Zen Hei"/>
        <family val="2"/>
      </rPr>
      <t xml:space="preserve">號</t>
    </r>
  </si>
  <si>
    <t xml:space="preserve">03 557 2025</t>
  </si>
  <si>
    <t xml:space="preserve">besthr82952364@gmail.com</t>
  </si>
  <si>
    <t xml:space="preserve">2017-11-16</t>
  </si>
  <si>
    <r>
      <rPr>
        <sz val="10"/>
        <color rgb="FF1F2A28"/>
        <rFont val="WenQuanYi Zen Hei"/>
        <family val="2"/>
      </rPr>
      <t xml:space="preserve">極致教育股份有限公司 </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邱文卿</t>
    </r>
    <r>
      <rPr>
        <sz val="10"/>
        <color rgb="FF1F2A28"/>
        <rFont val="Arial"/>
        <family val="0"/>
        <charset val="1"/>
      </rPr>
      <t xml:space="preserve">)</t>
    </r>
  </si>
  <si>
    <t xml:space="preserve">邱屏樺</t>
  </si>
  <si>
    <t xml:space="preserve">文強文理語文短期補習班</t>
  </si>
  <si>
    <t xml:space="preserve">三峽區</t>
  </si>
  <si>
    <r>
      <rPr>
        <sz val="10"/>
        <color rgb="FF1F2A28"/>
        <rFont val="WenQuanYi Zen Hei"/>
        <family val="2"/>
      </rPr>
      <t xml:space="preserve">新北市三峽區中埔里弘園街</t>
    </r>
    <r>
      <rPr>
        <sz val="10"/>
        <color rgb="FF1F2A28"/>
        <rFont val="Arial"/>
        <family val="0"/>
        <charset val="1"/>
      </rPr>
      <t xml:space="preserve">36</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</si>
  <si>
    <t xml:space="preserve">02 8671 1066</t>
  </si>
  <si>
    <r>
      <rPr>
        <sz val="10"/>
        <color rgb="FF1F2A28"/>
        <rFont val="WenQuanYi Zen Hei"/>
        <family val="2"/>
      </rPr>
      <t xml:space="preserve">徐薇英文芎林文林分校</t>
    </r>
    <r>
      <rPr>
        <sz val="10"/>
        <color rgb="FF1F2A28"/>
        <rFont val="Arial"/>
        <family val="0"/>
        <charset val="1"/>
      </rPr>
      <t xml:space="preserve">-</t>
    </r>
    <r>
      <rPr>
        <sz val="10"/>
        <color rgb="FF1F2A28"/>
        <rFont val="WenQuanYi Zen Hei"/>
        <family val="2"/>
      </rPr>
      <t xml:space="preserve">文林文理才藝補習班</t>
    </r>
  </si>
  <si>
    <r>
      <rPr>
        <sz val="10"/>
        <color rgb="FF1F2A28"/>
        <rFont val="WenQuanYi Zen Hei"/>
        <family val="2"/>
      </rPr>
      <t xml:space="preserve">新竹縣芎林鄉文林村文德路</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</si>
  <si>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03 592 1000</t>
  </si>
  <si>
    <r>
      <rPr>
        <sz val="10"/>
        <color rgb="FF1F2A28"/>
        <rFont val="Arial"/>
        <family val="0"/>
        <charset val="1"/>
      </rPr>
      <t xml:space="preserve">Live</t>
    </r>
    <r>
      <rPr>
        <sz val="10"/>
        <color rgb="FF1F2A28"/>
        <rFont val="WenQuanYi Zen Hei"/>
        <family val="2"/>
      </rPr>
      <t xml:space="preserve">互動美語竹北文興分校 </t>
    </r>
    <r>
      <rPr>
        <sz val="10"/>
        <color rgb="FF1F2A28"/>
        <rFont val="Arial"/>
        <family val="0"/>
        <charset val="1"/>
      </rPr>
      <t xml:space="preserve">- </t>
    </r>
    <r>
      <rPr>
        <sz val="10"/>
        <color rgb="FF1F2A28"/>
        <rFont val="WenQuanYi Zen Hei"/>
        <family val="2"/>
      </rPr>
      <t xml:space="preserve">熠新</t>
    </r>
  </si>
  <si>
    <t xml:space="preserve">新竹縣私立熠新文理技藝短期補習班</t>
  </si>
  <si>
    <r>
      <rPr>
        <sz val="10"/>
        <color rgb="FF1F2A28"/>
        <rFont val="WenQuanYi Zen Hei"/>
        <family val="2"/>
      </rPr>
      <t xml:space="preserve">新竹縣竹北市隘口里隘口三街</t>
    </r>
    <r>
      <rPr>
        <sz val="10"/>
        <color rgb="FF1F2A28"/>
        <rFont val="Arial"/>
        <family val="0"/>
        <charset val="1"/>
      </rPr>
      <t xml:space="preserve">206</t>
    </r>
    <r>
      <rPr>
        <sz val="10"/>
        <color rgb="FF1F2A28"/>
        <rFont val="WenQuanYi Zen Hei"/>
        <family val="2"/>
      </rPr>
      <t xml:space="preserve">號</t>
    </r>
  </si>
  <si>
    <t xml:space="preserve">03 668 5581</t>
  </si>
  <si>
    <t xml:space="preserve">mintsaiyuan@gmail.com</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</si>
  <si>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資訊類</t>
    </r>
  </si>
  <si>
    <t xml:space="preserve">2026-04-27</t>
  </si>
  <si>
    <t xml:space="preserve">閔彩媛</t>
  </si>
  <si>
    <t xml:space="preserve">李秀茹</t>
  </si>
  <si>
    <r>
      <rPr>
        <sz val="10"/>
        <color rgb="FF1F2A28"/>
        <rFont val="WenQuanYi Zen Hei"/>
        <family val="2"/>
      </rPr>
      <t xml:space="preserve">文特蘭補習班｜菓林分校（菓林國小</t>
    </r>
    <r>
      <rPr>
        <sz val="10"/>
        <color rgb="FF1F2A28"/>
        <rFont val="Arial"/>
        <family val="0"/>
        <charset val="1"/>
      </rPr>
      <t xml:space="preserve">)</t>
    </r>
    <r>
      <rPr>
        <sz val="10"/>
        <color rgb="FF1F2A28"/>
        <rFont val="WenQuanYi Zen Hei"/>
        <family val="2"/>
      </rPr>
      <t xml:space="preserve">【國小安親課輔】【海豚鳥美語課程】【國中英數理化補習班】【升小一先修正音班】</t>
    </r>
  </si>
  <si>
    <t xml:space="preserve">私立文特蘭語文文理短期補習班</t>
  </si>
  <si>
    <r>
      <rPr>
        <sz val="10"/>
        <color rgb="FF1F2A28"/>
        <rFont val="WenQuanYi Zen Hei"/>
        <family val="2"/>
      </rPr>
      <t xml:space="preserve">桃園市大園區菓林里菓林路</t>
    </r>
    <r>
      <rPr>
        <sz val="10"/>
        <color rgb="FF1F2A28"/>
        <rFont val="Arial"/>
        <family val="0"/>
        <charset val="1"/>
      </rPr>
      <t xml:space="preserve">137</t>
    </r>
    <r>
      <rPr>
        <sz val="10"/>
        <color rgb="FF1F2A28"/>
        <rFont val="WenQuanYi Zen Hei"/>
        <family val="2"/>
      </rPr>
      <t xml:space="preserve">號</t>
    </r>
  </si>
  <si>
    <t xml:space="preserve">03 393 5427</t>
  </si>
  <si>
    <t xml:space="preserve">edward.you@msa.hinet.net</t>
  </si>
  <si>
    <t xml:space="preserve">2000-06-20</t>
  </si>
  <si>
    <t xml:space="preserve">曾淑娟</t>
  </si>
  <si>
    <t xml:space="preserve">高登波士頓語文文理短期補習班</t>
  </si>
  <si>
    <t xml:space="preserve">私立高登波士頓語文文理短期補習班</t>
  </si>
  <si>
    <r>
      <rPr>
        <sz val="10"/>
        <color rgb="FF1F2A28"/>
        <rFont val="WenQuanYi Zen Hei"/>
        <family val="2"/>
      </rPr>
      <t xml:space="preserve">新北市三峽區大同路</t>
    </r>
    <r>
      <rPr>
        <sz val="10"/>
        <color rgb="FF1F2A28"/>
        <rFont val="Arial"/>
        <family val="0"/>
        <charset val="1"/>
      </rPr>
      <t xml:space="preserve">143</t>
    </r>
    <r>
      <rPr>
        <sz val="10"/>
        <color rgb="FF1F2A28"/>
        <rFont val="WenQuanYi Zen Hei"/>
        <family val="2"/>
      </rPr>
      <t xml:space="preserve">號</t>
    </r>
  </si>
  <si>
    <t xml:space="preserve">02 8674 2866</t>
  </si>
  <si>
    <t xml:space="preserve">2012-05-21</t>
  </si>
  <si>
    <t xml:space="preserve">李品誼</t>
  </si>
  <si>
    <t xml:space="preserve">李鈺涵</t>
  </si>
  <si>
    <t xml:space="preserve">培淯語文短期補習班</t>
  </si>
  <si>
    <t xml:space="preserve">私立培淯語文短期補習班</t>
  </si>
  <si>
    <r>
      <rPr>
        <sz val="10"/>
        <color rgb="FF1F2A28"/>
        <rFont val="WenQuanYi Zen Hei"/>
        <family val="2"/>
      </rPr>
      <t xml:space="preserve">新北市三峽區中正里永安街</t>
    </r>
    <r>
      <rPr>
        <sz val="10"/>
        <color rgb="FF1F2A28"/>
        <rFont val="Arial"/>
        <family val="0"/>
        <charset val="1"/>
      </rPr>
      <t xml:space="preserve">188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</si>
  <si>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02 2672 1035</t>
  </si>
  <si>
    <t xml:space="preserve">dolphinkoko1124@gmail.com</t>
  </si>
  <si>
    <t xml:space="preserve">2008-09-21</t>
  </si>
  <si>
    <t xml:space="preserve">陳昰璇</t>
  </si>
  <si>
    <t xml:space="preserve">樂獅英語竹北興隆分校 國小國中高中英文補習班・自然發音・全民英檢 竹北英文補習班推薦</t>
  </si>
  <si>
    <r>
      <rPr>
        <sz val="10"/>
        <color rgb="FF1F2A28"/>
        <rFont val="WenQuanYi Zen Hei"/>
        <family val="2"/>
      </rPr>
      <t xml:space="preserve">新竹縣竹北市鹿場里文興路</t>
    </r>
    <r>
      <rPr>
        <sz val="10"/>
        <color rgb="FF1F2A28"/>
        <rFont val="Arial"/>
        <family val="0"/>
        <charset val="1"/>
      </rPr>
      <t xml:space="preserve">195</t>
    </r>
    <r>
      <rPr>
        <sz val="10"/>
        <color rgb="FF1F2A28"/>
        <rFont val="WenQuanYi Zen Hei"/>
        <family val="2"/>
      </rPr>
      <t xml:space="preserve">號</t>
    </r>
  </si>
  <si>
    <t xml:space="preserve">03 550 0887</t>
  </si>
  <si>
    <r>
      <rPr>
        <sz val="10"/>
        <color rgb="FF1F2A28"/>
        <rFont val="WenQuanYi Zen Hei"/>
        <family val="2"/>
      </rPr>
      <t xml:space="preserve">金蘋果語言中心</t>
    </r>
    <r>
      <rPr>
        <sz val="10"/>
        <color rgb="FF1F2A28"/>
        <rFont val="Arial"/>
        <family val="0"/>
        <charset val="1"/>
      </rPr>
      <t xml:space="preserve">-</t>
    </r>
    <r>
      <rPr>
        <sz val="10"/>
        <color rgb="FF1F2A28"/>
        <rFont val="WenQuanYi Zen Hei"/>
        <family val="2"/>
      </rPr>
      <t xml:space="preserve">竹北教室</t>
    </r>
  </si>
  <si>
    <t xml:space="preserve">新竹縣竹北市鹿場里成功十五街</t>
  </si>
  <si>
    <t xml:space="preserve">0956 521 333</t>
  </si>
  <si>
    <t xml:space="preserve">私立汶喬語文短期補習班</t>
  </si>
  <si>
    <r>
      <rPr>
        <sz val="10"/>
        <color rgb="FF1F2A28"/>
        <rFont val="WenQuanYi Zen Hei"/>
        <family val="2"/>
      </rPr>
      <t xml:space="preserve">新北市三峽區中正里大同路</t>
    </r>
    <r>
      <rPr>
        <sz val="10"/>
        <color rgb="FF1F2A28"/>
        <rFont val="Arial"/>
        <family val="0"/>
        <charset val="1"/>
      </rPr>
      <t xml:space="preserve">88</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</si>
  <si>
    <t xml:space="preserve">02 2674 2314</t>
  </si>
  <si>
    <t xml:space="preserve">私立資優英語會話短期補習班</t>
  </si>
  <si>
    <t xml:space="preserve">新竹縣私立資優文理短期補習班</t>
  </si>
  <si>
    <r>
      <rPr>
        <sz val="10"/>
        <color rgb="FF1F2A28"/>
        <rFont val="WenQuanYi Zen Hei"/>
        <family val="2"/>
      </rPr>
      <t xml:space="preserve">新竹縣竹北市新社里國盛街</t>
    </r>
    <r>
      <rPr>
        <sz val="10"/>
        <color rgb="FF1F2A28"/>
        <rFont val="Arial"/>
        <family val="0"/>
        <charset val="1"/>
      </rPr>
      <t xml:space="preserve">321</t>
    </r>
    <r>
      <rPr>
        <sz val="10"/>
        <color rgb="FF1F2A28"/>
        <rFont val="WenQuanYi Zen Hei"/>
        <family val="2"/>
      </rPr>
      <t xml:space="preserve">號</t>
    </r>
  </si>
  <si>
    <t xml:space="preserve">03 656 2878</t>
  </si>
  <si>
    <t xml:space="preserve">mei601011@gmail.com</t>
  </si>
  <si>
    <t xml:space="preserve">1985-11-27</t>
  </si>
  <si>
    <t xml:space="preserve">陳伯栩</t>
  </si>
  <si>
    <t xml:space="preserve">英文相關核准科目</t>
  </si>
  <si>
    <t xml:space="preserve">立案情形</t>
  </si>
  <si>
    <t xml:space="preserve">臺北市</t>
  </si>
  <si>
    <t xml:space="preserve">中山區</t>
  </si>
  <si>
    <t xml:space="preserve">何嘉仁文教事業股份有限公司附設臺北市私立智仁文理短期補習班</t>
  </si>
  <si>
    <r>
      <rPr>
        <sz val="10"/>
        <color rgb="FF1F2A28"/>
        <rFont val="WenQuanYi Zen Hei"/>
        <family val="2"/>
      </rPr>
      <t xml:space="preserve">中山區民權東路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107</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r>
      <rPr>
        <sz val="10"/>
        <color rgb="FF1F2A28"/>
        <rFont val="Arial"/>
        <family val="0"/>
        <charset val="1"/>
      </rPr>
      <t xml:space="preserve">7</t>
    </r>
    <r>
      <rPr>
        <sz val="10"/>
        <color rgb="FF1F2A28"/>
        <rFont val="WenQuanYi Zen Hei"/>
        <family val="2"/>
      </rPr>
      <t xml:space="preserve">樓、</t>
    </r>
    <r>
      <rPr>
        <sz val="10"/>
        <color rgb="FF1F2A28"/>
        <rFont val="Arial"/>
        <family val="0"/>
        <charset val="1"/>
      </rPr>
      <t xml:space="preserve">6</t>
    </r>
    <r>
      <rPr>
        <sz val="10"/>
        <color rgb="FF1F2A28"/>
        <rFont val="WenQuanYi Zen Hei"/>
        <family val="2"/>
      </rPr>
      <t xml:space="preserve">樓</t>
    </r>
  </si>
  <si>
    <t xml:space="preserve">25928378</t>
  </si>
  <si>
    <t xml:space="preserve">hs3381@hess.com.tw</t>
  </si>
  <si>
    <t xml:space="preserve">英語</t>
  </si>
  <si>
    <t xml:space="preserve">已立案</t>
  </si>
  <si>
    <t xml:space="preserve">2006-01-01</t>
  </si>
  <si>
    <t xml:space="preserve">秦鴻筠</t>
  </si>
  <si>
    <t xml:space="preserve">李易儒</t>
  </si>
  <si>
    <t xml:space="preserve">創勝文教股份有限公司附設臺北市私立創勝文教英語短期補習班</t>
  </si>
  <si>
    <r>
      <rPr>
        <sz val="10"/>
        <color rgb="FF1F2A28"/>
        <rFont val="WenQuanYi Zen Hei"/>
        <family val="2"/>
      </rPr>
      <t xml:space="preserve">中山區朱崙街</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2</t>
    </r>
  </si>
  <si>
    <t xml:space="preserve">27713072</t>
  </si>
  <si>
    <t xml:space="preserve">ntecontact@gmail.com</t>
  </si>
  <si>
    <t xml:space="preserve">英文</t>
  </si>
  <si>
    <t xml:space="preserve">2015-12-09</t>
  </si>
  <si>
    <t xml:space="preserve">王梓雯</t>
  </si>
  <si>
    <t xml:space="preserve">洪榆涵</t>
  </si>
  <si>
    <t xml:space="preserve">台灣拓人教育事業股份有限公司附設拓人文理短期補習班大直分班</t>
  </si>
  <si>
    <r>
      <rPr>
        <sz val="10"/>
        <color rgb="FF1F2A28"/>
        <rFont val="WenQuanYi Zen Hei"/>
        <family val="2"/>
      </rPr>
      <t xml:space="preserve">中山區明水路</t>
    </r>
    <r>
      <rPr>
        <sz val="10"/>
        <color rgb="FF1F2A28"/>
        <rFont val="Arial"/>
        <family val="0"/>
        <charset val="1"/>
      </rPr>
      <t xml:space="preserve">581</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弄</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</si>
  <si>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2533-9636</t>
  </si>
  <si>
    <t xml:space="preserve">tact.a001@msa.hinet.net</t>
  </si>
  <si>
    <t xml:space="preserve">2009-03-01</t>
  </si>
  <si>
    <t xml:space="preserve">李萬吉</t>
  </si>
  <si>
    <t xml:space="preserve">陳芝毓</t>
  </si>
  <si>
    <t xml:space="preserve">奇異松股份有限公司附設臺北市私立奇異鳥懷恩美語文理短期補習班</t>
  </si>
  <si>
    <r>
      <rPr>
        <sz val="10"/>
        <color rgb="FF1F2A28"/>
        <rFont val="WenQuanYi Zen Hei"/>
        <family val="2"/>
      </rPr>
      <t xml:space="preserve">中山區松江路</t>
    </r>
    <r>
      <rPr>
        <sz val="10"/>
        <color rgb="FF1F2A28"/>
        <rFont val="Arial"/>
        <family val="0"/>
        <charset val="1"/>
      </rPr>
      <t xml:space="preserve">293</t>
    </r>
    <r>
      <rPr>
        <sz val="10"/>
        <color rgb="FF1F2A28"/>
        <rFont val="WenQuanYi Zen Hei"/>
        <family val="2"/>
      </rPr>
      <t xml:space="preserve">之</t>
    </r>
    <r>
      <rPr>
        <sz val="10"/>
        <color rgb="FF1F2A28"/>
        <rFont val="Arial"/>
        <family val="0"/>
        <charset val="1"/>
      </rPr>
      <t xml:space="preserve">203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</si>
  <si>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25185186</t>
  </si>
  <si>
    <t xml:space="preserve">aes.sj5186@gmail.com</t>
  </si>
  <si>
    <t xml:space="preserve">2015-08-14</t>
  </si>
  <si>
    <r>
      <rPr>
        <sz val="10"/>
        <color rgb="FF1F2A28"/>
        <rFont val="WenQuanYi Zen Hei"/>
        <family val="2"/>
      </rPr>
      <t xml:space="preserve">奇異松股份有限公司</t>
    </r>
    <r>
      <rPr>
        <sz val="10"/>
        <color rgb="FF1F2A28"/>
        <rFont val="Arial"/>
        <family val="0"/>
        <charset val="1"/>
      </rPr>
      <t xml:space="preserve">(</t>
    </r>
    <r>
      <rPr>
        <sz val="10"/>
        <color rgb="FF1F2A28"/>
        <rFont val="WenQuanYi Zen Hei"/>
        <family val="2"/>
      </rPr>
      <t xml:space="preserve">林秀姿</t>
    </r>
    <r>
      <rPr>
        <sz val="10"/>
        <color rgb="FF1F2A28"/>
        <rFont val="Arial"/>
        <family val="0"/>
        <charset val="1"/>
      </rPr>
      <t xml:space="preserve">)</t>
    </r>
  </si>
  <si>
    <t xml:space="preserve">謝牧音</t>
  </si>
  <si>
    <t xml:space="preserve">安宸文教事業有限公司附設臺北市私立安宸文理短期補習班</t>
  </si>
  <si>
    <r>
      <rPr>
        <sz val="10"/>
        <color rgb="FF1F2A28"/>
        <rFont val="WenQuanYi Zen Hei"/>
        <family val="2"/>
      </rPr>
      <t xml:space="preserve">中山區松江路</t>
    </r>
    <r>
      <rPr>
        <sz val="10"/>
        <color rgb="FF1F2A28"/>
        <rFont val="Arial"/>
        <family val="0"/>
        <charset val="1"/>
      </rPr>
      <t xml:space="preserve">186</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</si>
  <si>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(02)-2100-1585</t>
  </si>
  <si>
    <t xml:space="preserve">cc186@meikoschool.com.tw</t>
  </si>
  <si>
    <t xml:space="preserve">2026-07-29</t>
  </si>
  <si>
    <r>
      <rPr>
        <sz val="10"/>
        <color rgb="FF1F2A28"/>
        <rFont val="WenQuanYi Zen Hei"/>
        <family val="2"/>
      </rPr>
      <t xml:space="preserve">安宸文教事業有限公司</t>
    </r>
    <r>
      <rPr>
        <sz val="10"/>
        <color rgb="FF1F2A28"/>
        <rFont val="Arial"/>
        <family val="0"/>
        <charset val="1"/>
      </rPr>
      <t xml:space="preserve">(</t>
    </r>
    <r>
      <rPr>
        <sz val="10"/>
        <color rgb="FF1F2A28"/>
        <rFont val="WenQuanYi Zen Hei"/>
        <family val="2"/>
      </rPr>
      <t xml:space="preserve">負責人：李淑宜</t>
    </r>
    <r>
      <rPr>
        <sz val="10"/>
        <color rgb="FF1F2A28"/>
        <rFont val="Arial"/>
        <family val="0"/>
        <charset val="1"/>
      </rPr>
      <t xml:space="preserve">)</t>
    </r>
  </si>
  <si>
    <t xml:space="preserve">李巧筠</t>
  </si>
  <si>
    <t xml:space="preserve">臺北市私立偉迪文理技藝短期補習班</t>
  </si>
  <si>
    <r>
      <rPr>
        <sz val="10"/>
        <color rgb="FF1F2A28"/>
        <rFont val="WenQuanYi Zen Hei"/>
        <family val="2"/>
      </rPr>
      <t xml:space="preserve">中山區長春路</t>
    </r>
    <r>
      <rPr>
        <sz val="10"/>
        <color rgb="FF1F2A28"/>
        <rFont val="Arial"/>
        <family val="0"/>
        <charset val="1"/>
      </rPr>
      <t xml:space="preserve">172</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</si>
  <si>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25060028</t>
  </si>
  <si>
    <t xml:space="preserve">tia34010741@gmail.com</t>
  </si>
  <si>
    <t xml:space="preserve">美語</t>
  </si>
  <si>
    <t xml:space="preserve">2003-10-01</t>
  </si>
  <si>
    <t xml:space="preserve">蘇正忻</t>
  </si>
  <si>
    <t xml:space="preserve">金莉軒</t>
  </si>
  <si>
    <t xml:space="preserve">臺北市私立傑聲語文短期補習班</t>
  </si>
  <si>
    <r>
      <rPr>
        <sz val="10"/>
        <color rgb="FF1F2A28"/>
        <rFont val="WenQuanYi Zen Hei"/>
        <family val="2"/>
      </rPr>
      <t xml:space="preserve">中山區明水路</t>
    </r>
    <r>
      <rPr>
        <sz val="10"/>
        <color rgb="FF1F2A28"/>
        <rFont val="Arial"/>
        <family val="0"/>
        <charset val="1"/>
      </rPr>
      <t xml:space="preserve">397</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弄</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</si>
  <si>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25328522</t>
  </si>
  <si>
    <t xml:space="preserve">ally@jasonschool.com.tw</t>
  </si>
  <si>
    <t xml:space="preserve">2003-05-01</t>
  </si>
  <si>
    <t xml:space="preserve">于維芝</t>
  </si>
  <si>
    <t xml:space="preserve">周吟倩</t>
  </si>
  <si>
    <t xml:space="preserve">臺北市私立冠英文理短期補習班南京分班</t>
  </si>
  <si>
    <r>
      <rPr>
        <sz val="10"/>
        <color rgb="FF1F2A28"/>
        <rFont val="WenQuanYi Zen Hei"/>
        <family val="2"/>
      </rPr>
      <t xml:space="preserve">中山區復興北路</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</si>
  <si>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27196265</t>
  </si>
  <si>
    <t xml:space="preserve">kenglish168@gmail.com</t>
  </si>
  <si>
    <t xml:space="preserve">2013-01-31</t>
  </si>
  <si>
    <t xml:space="preserve">王馨敏</t>
  </si>
  <si>
    <t xml:space="preserve">臺北市私立凱斯文理短期補習班</t>
  </si>
  <si>
    <r>
      <rPr>
        <sz val="10"/>
        <color rgb="FF1F2A28"/>
        <rFont val="WenQuanYi Zen Hei"/>
        <family val="2"/>
      </rPr>
      <t xml:space="preserve">中山區南京東路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樓及</t>
    </r>
    <r>
      <rPr>
        <sz val="10"/>
        <color rgb="FF1F2A28"/>
        <rFont val="Arial"/>
        <family val="0"/>
        <charset val="1"/>
      </rPr>
      <t xml:space="preserve">4</t>
    </r>
    <r>
      <rPr>
        <sz val="10"/>
        <color rgb="FF1F2A28"/>
        <rFont val="WenQuanYi Zen Hei"/>
        <family val="2"/>
      </rPr>
      <t xml:space="preserve">樓</t>
    </r>
  </si>
  <si>
    <t xml:space="preserve">02-25026622</t>
  </si>
  <si>
    <t xml:space="preserve">catsnj@catsedugroup.com.tw</t>
  </si>
  <si>
    <t xml:space="preserve">2002-09-01</t>
  </si>
  <si>
    <t xml:space="preserve">王永弘</t>
  </si>
  <si>
    <t xml:space="preserve">朱加君</t>
  </si>
  <si>
    <t xml:space="preserve">臺北市私立凱斯文理短期補習班大直分班</t>
  </si>
  <si>
    <r>
      <rPr>
        <sz val="10"/>
        <color rgb="FF1F2A28"/>
        <rFont val="WenQuanYi Zen Hei"/>
        <family val="2"/>
      </rPr>
      <t xml:space="preserve">中山區明水路</t>
    </r>
    <r>
      <rPr>
        <sz val="10"/>
        <color rgb="FF1F2A28"/>
        <rFont val="Arial"/>
        <family val="0"/>
        <charset val="1"/>
      </rPr>
      <t xml:space="preserve">565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</si>
  <si>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25329222</t>
  </si>
  <si>
    <t xml:space="preserve">alisa03220@gmail.com</t>
  </si>
  <si>
    <t xml:space="preserve">2013-04-24</t>
  </si>
  <si>
    <t xml:space="preserve">吳敏蘭</t>
  </si>
  <si>
    <t xml:space="preserve">臺北市私立喬誠語文短期補習班</t>
  </si>
  <si>
    <r>
      <rPr>
        <sz val="10"/>
        <color rgb="FF1F2A28"/>
        <rFont val="WenQuanYi Zen Hei"/>
        <family val="2"/>
      </rPr>
      <t xml:space="preserve">中山區民權東路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63</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r>
      <rPr>
        <sz val="10"/>
        <color rgb="FF1F2A28"/>
        <rFont val="Arial"/>
        <family val="0"/>
        <charset val="1"/>
      </rPr>
      <t xml:space="preserve">65</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</si>
  <si>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25181888</t>
  </si>
  <si>
    <t xml:space="preserve">fun117kimo@yahoo.com.tw</t>
  </si>
  <si>
    <t xml:space="preserve">2004-09-01</t>
  </si>
  <si>
    <t xml:space="preserve">郭清蓮</t>
  </si>
  <si>
    <t xml:space="preserve">臺北市私立安德信語文資訊短期補習班</t>
  </si>
  <si>
    <r>
      <rPr>
        <sz val="10"/>
        <color rgb="FF1F2A28"/>
        <rFont val="WenQuanYi Zen Hei"/>
        <family val="2"/>
      </rPr>
      <t xml:space="preserve">中山區北安路</t>
    </r>
    <r>
      <rPr>
        <sz val="10"/>
        <color rgb="FF1F2A28"/>
        <rFont val="Arial"/>
        <family val="0"/>
        <charset val="1"/>
      </rPr>
      <t xml:space="preserve">554</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樓、地下</t>
    </r>
    <r>
      <rPr>
        <sz val="10"/>
        <color rgb="FF1F2A28"/>
        <rFont val="Arial"/>
        <family val="0"/>
        <charset val="1"/>
      </rPr>
      <t xml:space="preserve">1</t>
    </r>
    <r>
      <rPr>
        <sz val="10"/>
        <color rgb="FF1F2A28"/>
        <rFont val="WenQuanYi Zen Hei"/>
        <family val="2"/>
      </rPr>
      <t xml:space="preserve">樓</t>
    </r>
  </si>
  <si>
    <t xml:space="preserve">25334700</t>
  </si>
  <si>
    <t xml:space="preserve">joydz4700@gmail.com</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</si>
  <si>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</si>
  <si>
    <t xml:space="preserve">2000-01-01</t>
  </si>
  <si>
    <t xml:space="preserve">鄧榮禎</t>
  </si>
  <si>
    <t xml:space="preserve">臺北市私立小朋友創意文理短期補習班</t>
  </si>
  <si>
    <r>
      <rPr>
        <sz val="10"/>
        <color rgb="FF1F2A28"/>
        <rFont val="WenQuanYi Zen Hei"/>
        <family val="2"/>
      </rPr>
      <t xml:space="preserve">中山區明水路</t>
    </r>
    <r>
      <rPr>
        <sz val="10"/>
        <color rgb="FF1F2A28"/>
        <rFont val="Arial"/>
        <family val="0"/>
        <charset val="1"/>
      </rPr>
      <t xml:space="preserve">397</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弄</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</si>
  <si>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(02)28059922</t>
  </si>
  <si>
    <t xml:space="preserve">Eyeleveldazhi@gmail.com</t>
  </si>
  <si>
    <t xml:space="preserve">2023-05-25</t>
  </si>
  <si>
    <t xml:space="preserve">蔡嘉琪</t>
  </si>
  <si>
    <t xml:space="preserve">臺北市私立得勝者文理短期補習班</t>
  </si>
  <si>
    <r>
      <rPr>
        <sz val="10"/>
        <color rgb="FF1F2A28"/>
        <rFont val="WenQuanYi Zen Hei"/>
        <family val="2"/>
      </rPr>
      <t xml:space="preserve">中山區龍江路</t>
    </r>
    <r>
      <rPr>
        <sz val="10"/>
        <color rgb="FF1F2A28"/>
        <rFont val="Arial"/>
        <family val="0"/>
        <charset val="1"/>
      </rPr>
      <t xml:space="preserve">377</t>
    </r>
    <r>
      <rPr>
        <sz val="10"/>
        <color rgb="FF1F2A28"/>
        <rFont val="WenQuanYi Zen Hei"/>
        <family val="2"/>
      </rPr>
      <t xml:space="preserve">巷</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</si>
  <si>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2504-7300</t>
  </si>
  <si>
    <t xml:space="preserve">2010-01-04</t>
  </si>
  <si>
    <t xml:space="preserve">郭献哲</t>
  </si>
  <si>
    <t xml:space="preserve">鍾伶俐</t>
  </si>
  <si>
    <t xml:space="preserve">臺北市私立快樂芳庭語文美術短期補習班</t>
  </si>
  <si>
    <r>
      <rPr>
        <sz val="10"/>
        <color rgb="FF1F2A28"/>
        <rFont val="WenQuanYi Zen Hei"/>
        <family val="2"/>
      </rPr>
      <t xml:space="preserve">中山區民權東路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58</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</si>
  <si>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25719899</t>
  </si>
  <si>
    <t xml:space="preserve">beatrice.beatricelin@gmail.com</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</si>
  <si>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美術、書法、攝影、美工設計、圍棋類</t>
    </r>
  </si>
  <si>
    <t xml:space="preserve">2001-05-01</t>
  </si>
  <si>
    <t xml:space="preserve">林碧合</t>
  </si>
  <si>
    <t xml:space="preserve">陳淑茹</t>
  </si>
  <si>
    <t xml:space="preserve">臺北市私立文盛文理短期補習班</t>
  </si>
  <si>
    <r>
      <rPr>
        <sz val="10"/>
        <color rgb="FF1F2A28"/>
        <rFont val="WenQuanYi Zen Hei"/>
        <family val="2"/>
      </rPr>
      <t xml:space="preserve">中山區復興北路</t>
    </r>
    <r>
      <rPr>
        <sz val="10"/>
        <color rgb="FF1F2A28"/>
        <rFont val="Arial"/>
        <family val="0"/>
        <charset val="1"/>
      </rPr>
      <t xml:space="preserve">430</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</si>
  <si>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2500-7586</t>
  </si>
  <si>
    <t xml:space="preserve">janelai0216@gmail.com</t>
  </si>
  <si>
    <t xml:space="preserve">2007-03-13</t>
  </si>
  <si>
    <t xml:space="preserve">王成正</t>
  </si>
  <si>
    <t xml:space="preserve">臺北市私立本能文理短期補習班</t>
  </si>
  <si>
    <r>
      <rPr>
        <sz val="10"/>
        <color rgb="FF1F2A28"/>
        <rFont val="WenQuanYi Zen Hei"/>
        <family val="2"/>
      </rPr>
      <t xml:space="preserve">中山區民權東路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43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</si>
  <si>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25082618</t>
  </si>
  <si>
    <t xml:space="preserve">wuchangbaby@gmail.com</t>
  </si>
  <si>
    <t xml:space="preserve">2009-07-01</t>
  </si>
  <si>
    <t xml:space="preserve">陳霈甄</t>
  </si>
  <si>
    <t xml:space="preserve">張歆立</t>
  </si>
  <si>
    <t xml:space="preserve">臺北市私立朵朵老師文理短期補習班</t>
  </si>
  <si>
    <r>
      <rPr>
        <sz val="10"/>
        <color rgb="FF1F2A28"/>
        <rFont val="WenQuanYi Zen Hei"/>
        <family val="2"/>
      </rPr>
      <t xml:space="preserve">中山區北安路</t>
    </r>
    <r>
      <rPr>
        <sz val="10"/>
        <color rgb="FF1F2A28"/>
        <rFont val="Arial"/>
        <family val="0"/>
        <charset val="1"/>
      </rPr>
      <t xml:space="preserve">630</t>
    </r>
    <r>
      <rPr>
        <sz val="10"/>
        <color rgb="FF1F2A28"/>
        <rFont val="WenQuanYi Zen Hei"/>
        <family val="2"/>
      </rPr>
      <t xml:space="preserve">巷</t>
    </r>
    <r>
      <rPr>
        <sz val="10"/>
        <color rgb="FF1F2A28"/>
        <rFont val="Arial"/>
        <family val="0"/>
        <charset val="1"/>
      </rPr>
      <t xml:space="preserve">25</t>
    </r>
    <r>
      <rPr>
        <sz val="10"/>
        <color rgb="FF1F2A28"/>
        <rFont val="WenQuanYi Zen Hei"/>
        <family val="2"/>
      </rPr>
      <t xml:space="preserve">弄</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</si>
  <si>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(02)8509-8858</t>
  </si>
  <si>
    <t xml:space="preserve">li.taitsung@gmail.com</t>
  </si>
  <si>
    <t xml:space="preserve">英文、國文、數學、科學</t>
  </si>
  <si>
    <t xml:space="preserve">2001-12-01</t>
  </si>
  <si>
    <t xml:space="preserve">黎岱宗</t>
  </si>
  <si>
    <t xml:space="preserve">蔡佩鈞</t>
  </si>
  <si>
    <t xml:space="preserve">臺北市私立琴生語文音樂短期補習班</t>
  </si>
  <si>
    <r>
      <rPr>
        <sz val="10"/>
        <color rgb="FF1F2A28"/>
        <rFont val="WenQuanYi Zen Hei"/>
        <family val="2"/>
      </rPr>
      <t xml:space="preserve">中山區北安路</t>
    </r>
    <r>
      <rPr>
        <sz val="10"/>
        <color rgb="FF1F2A28"/>
        <rFont val="Arial"/>
        <family val="0"/>
        <charset val="1"/>
      </rPr>
      <t xml:space="preserve">588</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</si>
  <si>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25320125</t>
  </si>
  <si>
    <t xml:space="preserve">cmd1@yamahacsm.com.tw</t>
  </si>
  <si>
    <t xml:space="preserve">1993-11-01</t>
  </si>
  <si>
    <t xml:space="preserve">梁啓慧</t>
  </si>
  <si>
    <t xml:space="preserve">徐智華</t>
  </si>
  <si>
    <t xml:space="preserve">臺北市私立睿智大直語文短期補習班</t>
  </si>
  <si>
    <r>
      <rPr>
        <sz val="10"/>
        <color rgb="FF1F2A28"/>
        <rFont val="WenQuanYi Zen Hei"/>
        <family val="2"/>
      </rPr>
      <t xml:space="preserve">中山區北安路</t>
    </r>
    <r>
      <rPr>
        <sz val="10"/>
        <color rgb="FF1F2A28"/>
        <rFont val="Arial"/>
        <family val="0"/>
        <charset val="1"/>
      </rPr>
      <t xml:space="preserve">608</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弄</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</si>
  <si>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25324761</t>
  </si>
  <si>
    <t xml:space="preserve">dazhiaces@gmail.com</t>
  </si>
  <si>
    <t xml:space="preserve">2007-06-27</t>
  </si>
  <si>
    <t xml:space="preserve">FRANCE RICHARD THOMAS</t>
  </si>
  <si>
    <t xml:space="preserve">吳雲潔</t>
  </si>
  <si>
    <t xml:space="preserve">臺北市私立科建語文文理短期補習班</t>
  </si>
  <si>
    <r>
      <rPr>
        <sz val="10"/>
        <color rgb="FF1F2A28"/>
        <rFont val="WenQuanYi Zen Hei"/>
        <family val="2"/>
      </rPr>
      <t xml:space="preserve">中山區松江路</t>
    </r>
    <r>
      <rPr>
        <sz val="10"/>
        <color rgb="FF1F2A28"/>
        <rFont val="Arial"/>
        <family val="0"/>
        <charset val="1"/>
      </rPr>
      <t xml:space="preserve">90</t>
    </r>
    <r>
      <rPr>
        <sz val="10"/>
        <color rgb="FF1F2A28"/>
        <rFont val="WenQuanYi Zen Hei"/>
        <family val="2"/>
      </rPr>
      <t xml:space="preserve">巷</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樓及地下室</t>
    </r>
  </si>
  <si>
    <t xml:space="preserve">25641600</t>
  </si>
  <si>
    <t xml:space="preserve">manager2k@kojen-els.com.tw</t>
  </si>
  <si>
    <t xml:space="preserve">1976-07-01</t>
  </si>
  <si>
    <t xml:space="preserve">李婉如</t>
  </si>
  <si>
    <t xml:space="preserve">臺北市私立科豆文理短期補習班</t>
  </si>
  <si>
    <r>
      <rPr>
        <sz val="10"/>
        <color rgb="FF1F2A28"/>
        <rFont val="WenQuanYi Zen Hei"/>
        <family val="2"/>
      </rPr>
      <t xml:space="preserve">中山區復興北路</t>
    </r>
    <r>
      <rPr>
        <sz val="10"/>
        <color rgb="FF1F2A28"/>
        <rFont val="Arial"/>
        <family val="0"/>
        <charset val="1"/>
      </rPr>
      <t xml:space="preserve">166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</si>
  <si>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27191913</t>
  </si>
  <si>
    <t xml:space="preserve">cuddle27222007@gmail.com</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</si>
  <si>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其他類</t>
    </r>
  </si>
  <si>
    <t xml:space="preserve">2014-07-28</t>
  </si>
  <si>
    <t xml:space="preserve">邱楷甯</t>
  </si>
  <si>
    <t xml:space="preserve">段輝陽</t>
  </si>
  <si>
    <t xml:space="preserve">臺北市私立艾沛思美語文理短期補習班</t>
  </si>
  <si>
    <r>
      <rPr>
        <sz val="10"/>
        <color rgb="FF1F2A28"/>
        <rFont val="WenQuanYi Zen Hei"/>
        <family val="2"/>
      </rPr>
      <t xml:space="preserve">中山區民權東路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</si>
  <si>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25150890</t>
  </si>
  <si>
    <t xml:space="preserve">ipaxschool@gmail.com</t>
  </si>
  <si>
    <t xml:space="preserve">2017-02-16</t>
  </si>
  <si>
    <t xml:space="preserve">楊宜真</t>
  </si>
  <si>
    <t xml:space="preserve">臺北市私立藝起玩文理技藝短期補習班</t>
  </si>
  <si>
    <r>
      <rPr>
        <sz val="10"/>
        <color rgb="FF1F2A28"/>
        <rFont val="WenQuanYi Zen Hei"/>
        <family val="2"/>
      </rPr>
      <t xml:space="preserve">中山區民權西路</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樓之</t>
    </r>
    <r>
      <rPr>
        <sz val="10"/>
        <color rgb="FF1F2A28"/>
        <rFont val="Arial"/>
        <family val="0"/>
        <charset val="1"/>
      </rPr>
      <t xml:space="preserve">5</t>
    </r>
  </si>
  <si>
    <t xml:space="preserve">0937429426</t>
  </si>
  <si>
    <t xml:space="preserve">tuttiarts.studio@gmail.com</t>
  </si>
  <si>
    <t xml:space="preserve">2024-12-06</t>
  </si>
  <si>
    <t xml:space="preserve">葉仰真</t>
  </si>
  <si>
    <t xml:space="preserve">臺北市私立貝斯語文短期補習班</t>
  </si>
  <si>
    <r>
      <rPr>
        <sz val="10"/>
        <color rgb="FF1F2A28"/>
        <rFont val="WenQuanYi Zen Hei"/>
        <family val="2"/>
      </rPr>
      <t xml:space="preserve">中山區南京東路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200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</si>
  <si>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27780408</t>
  </si>
  <si>
    <t xml:space="preserve">bethenglish1991@gmail.com</t>
  </si>
  <si>
    <t xml:space="preserve">2000-08-01</t>
  </si>
  <si>
    <t xml:space="preserve">王宗輝</t>
  </si>
  <si>
    <t xml:space="preserve">臺北市私立陸翁藝術美術技藝文理短期補習班</t>
  </si>
  <si>
    <r>
      <rPr>
        <sz val="10"/>
        <color rgb="FF1F2A28"/>
        <rFont val="WenQuanYi Zen Hei"/>
        <family val="2"/>
      </rPr>
      <t xml:space="preserve">中山區吉林路</t>
    </r>
    <r>
      <rPr>
        <sz val="10"/>
        <color rgb="FF1F2A28"/>
        <rFont val="Arial"/>
        <family val="0"/>
        <charset val="1"/>
      </rPr>
      <t xml:space="preserve">144</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</si>
  <si>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25681607</t>
  </si>
  <si>
    <t xml:space="preserve">luwengart@gmail.com</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</si>
  <si>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美術、書法、攝影、美工設計、圍棋類</t>
    </r>
  </si>
  <si>
    <t xml:space="preserve">2011-04-01</t>
  </si>
  <si>
    <t xml:space="preserve">陸孟新</t>
  </si>
  <si>
    <t xml:space="preserve">翁姍慧</t>
  </si>
  <si>
    <t xml:space="preserve">臺北市私立電哥英文文理短期補習班</t>
  </si>
  <si>
    <r>
      <rPr>
        <sz val="10"/>
        <color rgb="FF1F2A28"/>
        <rFont val="WenQuanYi Zen Hei"/>
        <family val="2"/>
      </rPr>
      <t xml:space="preserve">中山區明水路</t>
    </r>
    <r>
      <rPr>
        <sz val="10"/>
        <color rgb="FF1F2A28"/>
        <rFont val="Arial"/>
        <family val="0"/>
        <charset val="1"/>
      </rPr>
      <t xml:space="preserve">397</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弄</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樓及地下</t>
    </r>
    <r>
      <rPr>
        <sz val="10"/>
        <color rgb="FF1F2A28"/>
        <rFont val="Arial"/>
        <family val="0"/>
        <charset val="1"/>
      </rPr>
      <t xml:space="preserve">1</t>
    </r>
    <r>
      <rPr>
        <sz val="10"/>
        <color rgb="FF1F2A28"/>
        <rFont val="WenQuanYi Zen Hei"/>
        <family val="2"/>
      </rPr>
      <t xml:space="preserve">樓</t>
    </r>
  </si>
  <si>
    <t xml:space="preserve">25333520</t>
  </si>
  <si>
    <t xml:space="preserve">xdrive25336960@gmail.com</t>
  </si>
  <si>
    <t xml:space="preserve">2016-05-16</t>
  </si>
  <si>
    <t xml:space="preserve">廖奇峯</t>
  </si>
  <si>
    <t xml:space="preserve">茂榞科技股份有限公司附設臺北市私立以馬內利語文文理短期補習班大直分班</t>
  </si>
  <si>
    <r>
      <rPr>
        <sz val="10"/>
        <color rgb="FF1F2A28"/>
        <rFont val="WenQuanYi Zen Hei"/>
        <family val="2"/>
      </rPr>
      <t xml:space="preserve">中山區敬業一路</t>
    </r>
    <r>
      <rPr>
        <sz val="10"/>
        <color rgb="FF1F2A28"/>
        <rFont val="Arial"/>
        <family val="0"/>
        <charset val="1"/>
      </rPr>
      <t xml:space="preserve">58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</si>
  <si>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85020825</t>
  </si>
  <si>
    <t xml:space="preserve">putty_wu1@yahoo.com.tw</t>
  </si>
  <si>
    <t xml:space="preserve">2006-11-01</t>
  </si>
  <si>
    <t xml:space="preserve">鄧麗珊</t>
  </si>
  <si>
    <t xml:space="preserve">陳孝綱</t>
  </si>
  <si>
    <t xml:space="preserve">蔚藍教育有限公司附設臺北市私立蔚藍英語文理短期補習班</t>
  </si>
  <si>
    <r>
      <rPr>
        <sz val="10"/>
        <color rgb="FF1F2A28"/>
        <rFont val="WenQuanYi Zen Hei"/>
        <family val="2"/>
      </rPr>
      <t xml:space="preserve">中山區長春路</t>
    </r>
    <r>
      <rPr>
        <sz val="10"/>
        <color rgb="FF1F2A28"/>
        <rFont val="Arial"/>
        <family val="0"/>
        <charset val="1"/>
      </rPr>
      <t xml:space="preserve">89</t>
    </r>
    <r>
      <rPr>
        <sz val="10"/>
        <color rgb="FF1F2A28"/>
        <rFont val="WenQuanYi Zen Hei"/>
        <family val="2"/>
      </rPr>
      <t xml:space="preserve">之</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</si>
  <si>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0963523732</t>
  </si>
  <si>
    <t xml:space="preserve">amazingfutureenglishschool@gmail.com</t>
  </si>
  <si>
    <t xml:space="preserve">2023-03-17</t>
  </si>
  <si>
    <r>
      <rPr>
        <sz val="10"/>
        <color rgb="FF1F2A28"/>
        <rFont val="WenQuanYi Zen Hei"/>
        <family val="2"/>
      </rPr>
      <t xml:space="preserve">蔚藍教育有限公司</t>
    </r>
    <r>
      <rPr>
        <sz val="10"/>
        <color rgb="FF1F2A28"/>
        <rFont val="Arial"/>
        <family val="0"/>
        <charset val="1"/>
      </rPr>
      <t xml:space="preserve">(</t>
    </r>
    <r>
      <rPr>
        <sz val="10"/>
        <color rgb="FF1F2A28"/>
        <rFont val="WenQuanYi Zen Hei"/>
        <family val="2"/>
      </rPr>
      <t xml:space="preserve">鄭涼山</t>
    </r>
    <r>
      <rPr>
        <sz val="10"/>
        <color rgb="FF1F2A28"/>
        <rFont val="Arial"/>
        <family val="0"/>
        <charset val="1"/>
      </rPr>
      <t xml:space="preserve">)</t>
    </r>
  </si>
  <si>
    <t xml:space="preserve">鄭雅云</t>
  </si>
  <si>
    <t xml:space="preserve">財團法人味全文化教育基金會附設臺北市私立味全語文技藝短期補習班</t>
  </si>
  <si>
    <r>
      <rPr>
        <sz val="10"/>
        <color rgb="FF1F2A28"/>
        <rFont val="WenQuanYi Zen Hei"/>
        <family val="2"/>
      </rPr>
      <t xml:space="preserve">中山區松江路</t>
    </r>
    <r>
      <rPr>
        <sz val="10"/>
        <color rgb="FF1F2A28"/>
        <rFont val="Arial"/>
        <family val="0"/>
        <charset val="1"/>
      </rPr>
      <t xml:space="preserve">125</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</si>
  <si>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25065001</t>
  </si>
  <si>
    <t xml:space="preserve">wechild@yahoo.com.tw</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</si>
  <si>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商類：珠算、心算、會計</t>
    </r>
  </si>
  <si>
    <t xml:space="preserve">1984-05-09</t>
  </si>
  <si>
    <r>
      <rPr>
        <sz val="10"/>
        <color rgb="FF1F2A28"/>
        <rFont val="WenQuanYi Zen Hei"/>
        <family val="2"/>
      </rPr>
      <t xml:space="preserve">財團法人味全文化教育基金會</t>
    </r>
    <r>
      <rPr>
        <sz val="10"/>
        <color rgb="FF1F2A28"/>
        <rFont val="Arial"/>
        <family val="0"/>
        <charset val="1"/>
      </rPr>
      <t xml:space="preserve">(</t>
    </r>
    <r>
      <rPr>
        <sz val="10"/>
        <color rgb="FF1F2A28"/>
        <rFont val="WenQuanYi Zen Hei"/>
        <family val="2"/>
      </rPr>
      <t xml:space="preserve">張景涵</t>
    </r>
    <r>
      <rPr>
        <sz val="10"/>
        <color rgb="FF1F2A28"/>
        <rFont val="Arial"/>
        <family val="0"/>
        <charset val="1"/>
      </rPr>
      <t xml:space="preserve">)</t>
    </r>
  </si>
  <si>
    <t xml:space="preserve">陳俊吉</t>
  </si>
  <si>
    <t xml:space="preserve">中正區</t>
  </si>
  <si>
    <t xml:space="preserve">中國青年救國團附設臺北市私立勵德文理技藝短期補習班</t>
  </si>
  <si>
    <r>
      <rPr>
        <sz val="10"/>
        <color rgb="FF1F2A28"/>
        <rFont val="WenQuanYi Zen Hei"/>
        <family val="2"/>
      </rPr>
      <t xml:space="preserve">中正區忠孝西路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</si>
  <si>
    <t xml:space="preserve">23708248</t>
  </si>
  <si>
    <t xml:space="preserve">kcyc23708248@gmail.com</t>
  </si>
  <si>
    <t xml:space="preserve">2012-04-16</t>
  </si>
  <si>
    <t xml:space="preserve">中國青年救國團（負責人：楊朝祥）</t>
  </si>
  <si>
    <t xml:space="preserve">廖寶月</t>
  </si>
  <si>
    <t xml:space="preserve">中國青年救國團附設臺北市私立勵華文理技藝短期補習班</t>
  </si>
  <si>
    <r>
      <rPr>
        <sz val="10"/>
        <color rgb="FF1F2A28"/>
        <rFont val="WenQuanYi Zen Hei"/>
        <family val="2"/>
      </rPr>
      <t xml:space="preserve">中正區忠孝西路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</si>
  <si>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陳采帟</t>
  </si>
  <si>
    <t xml:space="preserve">中華語文國際教育股份有限公司附設臺北市私立中華語文短期補習班</t>
  </si>
  <si>
    <r>
      <rPr>
        <sz val="10"/>
        <color rgb="FF1F2A28"/>
        <rFont val="WenQuanYi Zen Hei"/>
        <family val="2"/>
      </rPr>
      <t xml:space="preserve">中正區羅斯福路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</si>
  <si>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23678228</t>
  </si>
  <si>
    <t xml:space="preserve">hr@tli.com.tw</t>
  </si>
  <si>
    <t xml:space="preserve">2011-06-01</t>
  </si>
  <si>
    <t xml:space="preserve">何再生</t>
  </si>
  <si>
    <t xml:space="preserve">錢澐</t>
  </si>
  <si>
    <t xml:space="preserve">中華語文國際教育股份有限公司附設臺北市私立靈呱語文短期補習班</t>
  </si>
  <si>
    <r>
      <rPr>
        <sz val="10"/>
        <color rgb="FF1F2A28"/>
        <rFont val="WenQuanYi Zen Hei"/>
        <family val="2"/>
      </rPr>
      <t xml:space="preserve">中正區羅斯福路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</si>
  <si>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23672112</t>
  </si>
  <si>
    <t xml:space="preserve">1990-04-20</t>
  </si>
  <si>
    <t xml:space="preserve">姜旻妮</t>
  </si>
  <si>
    <t xml:space="preserve">五倍紅寶石程式資訊教育股份有限公司附設臺北市私立五倍紅寶石文理技藝短期補習班</t>
  </si>
  <si>
    <r>
      <rPr>
        <sz val="10"/>
        <color rgb="FF1F2A28"/>
        <rFont val="WenQuanYi Zen Hei"/>
        <family val="2"/>
      </rPr>
      <t xml:space="preserve">中正區衡陽路</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</si>
  <si>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2331-5247</t>
  </si>
  <si>
    <t xml:space="preserve">course@5xcampus.com</t>
  </si>
  <si>
    <t xml:space="preserve">2017-02-01</t>
  </si>
  <si>
    <r>
      <rPr>
        <sz val="10"/>
        <color rgb="FF1F2A28"/>
        <rFont val="WenQuanYi Zen Hei"/>
        <family val="2"/>
      </rPr>
      <t xml:space="preserve">五倍紅寶石程式資訊教育股份有限公司</t>
    </r>
    <r>
      <rPr>
        <sz val="10"/>
        <color rgb="FF1F2A28"/>
        <rFont val="Arial"/>
        <family val="0"/>
        <charset val="1"/>
      </rPr>
      <t xml:space="preserve">:</t>
    </r>
    <r>
      <rPr>
        <sz val="10"/>
        <color rgb="FF1F2A28"/>
        <rFont val="WenQuanYi Zen Hei"/>
        <family val="2"/>
      </rPr>
      <t xml:space="preserve">高見龍</t>
    </r>
  </si>
  <si>
    <t xml:space="preserve">江玟錚</t>
  </si>
  <si>
    <t xml:space="preserve">佳學事業股份有限公司附設臺北市私立佳音文理短期補習班</t>
  </si>
  <si>
    <r>
      <rPr>
        <sz val="10"/>
        <color rgb="FF1F2A28"/>
        <rFont val="WenQuanYi Zen Hei"/>
        <family val="2"/>
      </rPr>
      <t xml:space="preserve">中正區牯嶺街</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</si>
  <si>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(02)2394-0171</t>
  </si>
  <si>
    <t xml:space="preserve">joy61@joy.com.tw</t>
  </si>
  <si>
    <t xml:space="preserve">1984-06-14</t>
  </si>
  <si>
    <t xml:space="preserve">佳學事業股份有限公司（負責人：陳平三）</t>
  </si>
  <si>
    <t xml:space="preserve">翁慧敏</t>
  </si>
  <si>
    <t xml:space="preserve">及幼文化出版股份有限公司附設臺北市私立哥大英語文理短期補習班金山分班</t>
  </si>
  <si>
    <r>
      <rPr>
        <sz val="10"/>
        <color rgb="FF1F2A28"/>
        <rFont val="WenQuanYi Zen Hei"/>
        <family val="2"/>
      </rPr>
      <t xml:space="preserve">中正區信義路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2</t>
    </r>
  </si>
  <si>
    <t xml:space="preserve">23410806</t>
  </si>
  <si>
    <t xml:space="preserve">sally.wu@columbiaenglish.com.tw</t>
  </si>
  <si>
    <t xml:space="preserve">2005-11-01</t>
  </si>
  <si>
    <r>
      <rPr>
        <sz val="10"/>
        <color rgb="FF1F2A28"/>
        <rFont val="WenQuanYi Zen Hei"/>
        <family val="2"/>
      </rPr>
      <t xml:space="preserve">及幼文化出版股份有限公司</t>
    </r>
    <r>
      <rPr>
        <sz val="10"/>
        <color rgb="FF1F2A28"/>
        <rFont val="Arial"/>
        <family val="0"/>
        <charset val="1"/>
      </rPr>
      <t xml:space="preserve">(</t>
    </r>
    <r>
      <rPr>
        <sz val="10"/>
        <color rgb="FF1F2A28"/>
        <rFont val="WenQuanYi Zen Hei"/>
        <family val="2"/>
      </rPr>
      <t xml:space="preserve">吳英偉</t>
    </r>
    <r>
      <rPr>
        <sz val="10"/>
        <color rgb="FF1F2A28"/>
        <rFont val="Arial"/>
        <family val="0"/>
        <charset val="1"/>
      </rPr>
      <t xml:space="preserve">)</t>
    </r>
  </si>
  <si>
    <t xml:space="preserve">吳佳儒</t>
  </si>
  <si>
    <t xml:space="preserve">島輝國際教育股份有限公司附設臺北市私立直覺職掘文理技藝短期補習班</t>
  </si>
  <si>
    <r>
      <rPr>
        <sz val="10"/>
        <color rgb="FF1F2A28"/>
        <rFont val="WenQuanYi Zen Hei"/>
        <family val="2"/>
      </rPr>
      <t xml:space="preserve">中正區許昌街</t>
    </r>
    <r>
      <rPr>
        <sz val="10"/>
        <color rgb="FF1F2A28"/>
        <rFont val="Arial"/>
        <family val="0"/>
        <charset val="1"/>
      </rPr>
      <t xml:space="preserve">24</t>
    </r>
    <r>
      <rPr>
        <sz val="10"/>
        <color rgb="FF1F2A28"/>
        <rFont val="WenQuanYi Zen Hei"/>
        <family val="2"/>
      </rPr>
      <t xml:space="preserve">之</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</si>
  <si>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0277026296</t>
  </si>
  <si>
    <t xml:space="preserve">vwsi.finanace@gmail.com</t>
  </si>
  <si>
    <t xml:space="preserve">2010-12-01</t>
  </si>
  <si>
    <t xml:space="preserve">島輝國際教育股份有限公司（負責人：賴予亭）</t>
  </si>
  <si>
    <t xml:space="preserve">賴信川</t>
  </si>
  <si>
    <t xml:space="preserve">巨匠電腦股份有限公司附設臺北市私立巨塑語文短期補習班</t>
  </si>
  <si>
    <r>
      <rPr>
        <sz val="10"/>
        <color rgb="FF1F2A28"/>
        <rFont val="WenQuanYi Zen Hei"/>
        <family val="2"/>
      </rPr>
      <t xml:space="preserve">中正區公園路</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2</t>
    </r>
  </si>
  <si>
    <t xml:space="preserve">(02)2370-4358</t>
  </si>
  <si>
    <t xml:space="preserve">KA_mailbox@pcschool.com.tw</t>
  </si>
  <si>
    <t xml:space="preserve">2005-02-23</t>
  </si>
  <si>
    <t xml:space="preserve">鍾梁權</t>
  </si>
  <si>
    <t xml:space="preserve">侯淑恩</t>
  </si>
  <si>
    <t xml:space="preserve">建儒科技文教有限公司附設臺北市私立建如文理短期補習班</t>
  </si>
  <si>
    <r>
      <rPr>
        <sz val="10"/>
        <color rgb="FF1F2A28"/>
        <rFont val="WenQuanYi Zen Hei"/>
        <family val="2"/>
      </rPr>
      <t xml:space="preserve">中正區懷寧街</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2</t>
    </r>
  </si>
  <si>
    <t xml:space="preserve">23811199</t>
  </si>
  <si>
    <t xml:space="preserve">weiting1203@hotmail.com</t>
  </si>
  <si>
    <r>
      <rPr>
        <sz val="10"/>
        <color rgb="FF1F2A28"/>
        <rFont val="WenQuanYi Zen Hei"/>
        <family val="2"/>
      </rPr>
      <t xml:space="preserve">建儒科技文教有限公司</t>
    </r>
    <r>
      <rPr>
        <sz val="10"/>
        <color rgb="FF1F2A28"/>
        <rFont val="Arial"/>
        <family val="0"/>
        <charset val="1"/>
      </rPr>
      <t xml:space="preserve">:</t>
    </r>
    <r>
      <rPr>
        <sz val="10"/>
        <color rgb="FF1F2A28"/>
        <rFont val="WenQuanYi Zen Hei"/>
        <family val="2"/>
      </rPr>
      <t xml:space="preserve">鄭積緯</t>
    </r>
  </si>
  <si>
    <t xml:space="preserve">周品延</t>
  </si>
  <si>
    <t xml:space="preserve">得勝者文教股份有限公司附設臺北市私立學信文理短期補習班</t>
  </si>
  <si>
    <r>
      <rPr>
        <sz val="10"/>
        <color rgb="FF1F2A28"/>
        <rFont val="WenQuanYi Zen Hei"/>
        <family val="2"/>
      </rPr>
      <t xml:space="preserve">中正區許昌街</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樓之</t>
    </r>
    <r>
      <rPr>
        <sz val="10"/>
        <color rgb="FF1F2A28"/>
        <rFont val="Arial"/>
        <family val="0"/>
        <charset val="1"/>
      </rPr>
      <t xml:space="preserve">1</t>
    </r>
  </si>
  <si>
    <t xml:space="preserve">23895212</t>
  </si>
  <si>
    <t xml:space="preserve">victorxhrxtaipei@gmail.com</t>
  </si>
  <si>
    <t xml:space="preserve">2010-10-05</t>
  </si>
  <si>
    <t xml:space="preserve">得勝者文教股份有限公司（負責人：劉駿豪）</t>
  </si>
  <si>
    <t xml:space="preserve">洪善容</t>
  </si>
  <si>
    <t xml:space="preserve">得勝者文教股份有限公司附設臺北市私立學勤文理短期補習班</t>
  </si>
  <si>
    <r>
      <rPr>
        <sz val="10"/>
        <color rgb="FF1F2A28"/>
        <rFont val="WenQuanYi Zen Hei"/>
        <family val="2"/>
      </rPr>
      <t xml:space="preserve">中正區許昌街</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樓之</t>
    </r>
    <r>
      <rPr>
        <sz val="10"/>
        <color rgb="FF1F2A28"/>
        <rFont val="Arial"/>
        <family val="0"/>
        <charset val="1"/>
      </rPr>
      <t xml:space="preserve">5</t>
    </r>
  </si>
  <si>
    <t xml:space="preserve">2010-08-31</t>
  </si>
  <si>
    <t xml:space="preserve">林培恩</t>
  </si>
  <si>
    <t xml:space="preserve">得勝者文教股份有限公司附設臺北市私立學善文理短期補習班</t>
  </si>
  <si>
    <r>
      <rPr>
        <sz val="10"/>
        <color rgb="FF1F2A28"/>
        <rFont val="WenQuanYi Zen Hei"/>
        <family val="2"/>
      </rPr>
      <t xml:space="preserve">中正區許昌街</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</si>
  <si>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蔡文宇</t>
  </si>
  <si>
    <t xml:space="preserve">戴爾文教有限公司附設臺北市私立戴爾美語短期補習班</t>
  </si>
  <si>
    <r>
      <rPr>
        <sz val="10"/>
        <color rgb="FF1F2A28"/>
        <rFont val="WenQuanYi Zen Hei"/>
        <family val="2"/>
      </rPr>
      <t xml:space="preserve">中正區漢口街</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t>
    </r>
    <r>
      <rPr>
        <sz val="10"/>
        <color rgb="FF1F2A28"/>
        <rFont val="Arial"/>
        <family val="0"/>
        <charset val="1"/>
      </rPr>
      <t xml:space="preserve">9</t>
    </r>
    <r>
      <rPr>
        <sz val="10"/>
        <color rgb="FF1F2A28"/>
        <rFont val="WenQuanYi Zen Hei"/>
        <family val="2"/>
      </rPr>
      <t xml:space="preserve">、</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t>
    </r>
  </si>
  <si>
    <t xml:space="preserve">23701686</t>
  </si>
  <si>
    <t xml:space="preserve">gigi581104@yahoo.com.tw</t>
  </si>
  <si>
    <t xml:space="preserve">2006-12-01</t>
  </si>
  <si>
    <r>
      <rPr>
        <sz val="10"/>
        <color rgb="FF1F2A28"/>
        <rFont val="WenQuanYi Zen Hei"/>
        <family val="2"/>
      </rPr>
      <t xml:space="preserve">戴爾文教有限公司</t>
    </r>
    <r>
      <rPr>
        <sz val="10"/>
        <color rgb="FF1F2A28"/>
        <rFont val="Arial"/>
        <family val="0"/>
        <charset val="1"/>
      </rPr>
      <t xml:space="preserve">(</t>
    </r>
    <r>
      <rPr>
        <sz val="10"/>
        <color rgb="FF1F2A28"/>
        <rFont val="WenQuanYi Zen Hei"/>
        <family val="2"/>
      </rPr>
      <t xml:space="preserve">負責人：徐承浩</t>
    </r>
    <r>
      <rPr>
        <sz val="10"/>
        <color rgb="FF1F2A28"/>
        <rFont val="Arial"/>
        <family val="0"/>
        <charset val="1"/>
      </rPr>
      <t xml:space="preserve">)</t>
    </r>
  </si>
  <si>
    <t xml:space="preserve">王恩普</t>
  </si>
  <si>
    <t xml:space="preserve">新視界國際文教顧問有限公司附設臺北市私立字神帝國英語文理短期補習班</t>
  </si>
  <si>
    <r>
      <rPr>
        <sz val="10"/>
        <color rgb="FF1F2A28"/>
        <rFont val="WenQuanYi Zen Hei"/>
        <family val="2"/>
      </rPr>
      <t xml:space="preserve">中正區許昌街</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</si>
  <si>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66177366</t>
  </si>
  <si>
    <t xml:space="preserve">meoldyeric@gmail.com</t>
  </si>
  <si>
    <t xml:space="preserve">2008-03-13</t>
  </si>
  <si>
    <r>
      <rPr>
        <sz val="10"/>
        <color rgb="FF1F2A28"/>
        <rFont val="WenQuanYi Zen Hei"/>
        <family val="2"/>
      </rPr>
      <t xml:space="preserve">新視界國際文教顧問有限公司</t>
    </r>
    <r>
      <rPr>
        <sz val="10"/>
        <color rgb="FF1F2A28"/>
        <rFont val="Arial"/>
        <family val="0"/>
        <charset val="1"/>
      </rPr>
      <t xml:space="preserve">(</t>
    </r>
    <r>
      <rPr>
        <sz val="10"/>
        <color rgb="FF1F2A28"/>
        <rFont val="WenQuanYi Zen Hei"/>
        <family val="2"/>
      </rPr>
      <t xml:space="preserve">負責人</t>
    </r>
    <r>
      <rPr>
        <sz val="10"/>
        <color rgb="FF1F2A28"/>
        <rFont val="Arial"/>
        <family val="0"/>
        <charset val="1"/>
      </rPr>
      <t xml:space="preserve">:</t>
    </r>
    <r>
      <rPr>
        <sz val="10"/>
        <color rgb="FF1F2A28"/>
        <rFont val="WenQuanYi Zen Hei"/>
        <family val="2"/>
      </rPr>
      <t xml:space="preserve">康俊隆</t>
    </r>
    <r>
      <rPr>
        <sz val="10"/>
        <color rgb="FF1F2A28"/>
        <rFont val="Arial"/>
        <family val="0"/>
        <charset val="1"/>
      </rPr>
      <t xml:space="preserve">)</t>
    </r>
  </si>
  <si>
    <t xml:space="preserve">康俊隆</t>
  </si>
  <si>
    <t xml:space="preserve">真善美文化藝術有限公司附設臺北市私立地球村中英日韓語短期補習班站前分班</t>
  </si>
  <si>
    <r>
      <rPr>
        <sz val="10"/>
        <color rgb="FF1F2A28"/>
        <rFont val="WenQuanYi Zen Hei"/>
        <family val="2"/>
      </rPr>
      <t xml:space="preserve">中正區館前路</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</si>
  <si>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02-23118369</t>
  </si>
  <si>
    <t xml:space="preserve">gvoedu888@gmail.com</t>
  </si>
  <si>
    <t xml:space="preserve">1989-05-23</t>
  </si>
  <si>
    <t xml:space="preserve">真善美文化藝術有限公司（負責人：鄧秋慧）</t>
  </si>
  <si>
    <t xml:space="preserve">陳琬茹</t>
  </si>
  <si>
    <t xml:space="preserve">科見文教資訊股份有限公司附設臺北市私立科見文理短期補習班和平分班</t>
  </si>
  <si>
    <r>
      <rPr>
        <sz val="10"/>
        <color rgb="FF1F2A28"/>
        <rFont val="WenQuanYi Zen Hei"/>
        <family val="2"/>
      </rPr>
      <t xml:space="preserve">中正區和平西路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29</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樓</t>
    </r>
  </si>
  <si>
    <t xml:space="preserve">(02)2309-3168</t>
  </si>
  <si>
    <t xml:space="preserve">manager1@kojen-els.com.tw</t>
  </si>
  <si>
    <t xml:space="preserve">1982-06-10</t>
  </si>
  <si>
    <r>
      <rPr>
        <sz val="10"/>
        <color rgb="FF1F2A28"/>
        <rFont val="WenQuanYi Zen Hei"/>
        <family val="2"/>
      </rPr>
      <t xml:space="preserve">科見文教資訊股份有限公司</t>
    </r>
    <r>
      <rPr>
        <sz val="10"/>
        <color rgb="FF1F2A28"/>
        <rFont val="Arial"/>
        <family val="0"/>
        <charset val="1"/>
      </rPr>
      <t xml:space="preserve">(</t>
    </r>
    <r>
      <rPr>
        <sz val="10"/>
        <color rgb="FF1F2A28"/>
        <rFont val="WenQuanYi Zen Hei"/>
        <family val="2"/>
      </rPr>
      <t xml:space="preserve">負責人侯光杰</t>
    </r>
    <r>
      <rPr>
        <sz val="10"/>
        <color rgb="FF1F2A28"/>
        <rFont val="Arial"/>
        <family val="0"/>
        <charset val="1"/>
      </rPr>
      <t xml:space="preserve">)</t>
    </r>
  </si>
  <si>
    <t xml:space="preserve">侯登見</t>
  </si>
  <si>
    <t xml:space="preserve">美加文化實業股份有限公司附設臺北市私立美加美美語短期補習班</t>
  </si>
  <si>
    <r>
      <rPr>
        <sz val="10"/>
        <color rgb="FF1F2A28"/>
        <rFont val="WenQuanYi Zen Hei"/>
        <family val="2"/>
      </rPr>
      <t xml:space="preserve">中正區館前路</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t>
    </r>
  </si>
  <si>
    <t xml:space="preserve">02-23811166</t>
  </si>
  <si>
    <t xml:space="preserve">davidtseng@merica.com.tw</t>
  </si>
  <si>
    <t xml:space="preserve">2003-02-01</t>
  </si>
  <si>
    <r>
      <rPr>
        <sz val="10"/>
        <color rgb="FF1F2A28"/>
        <rFont val="WenQuanYi Zen Hei"/>
        <family val="2"/>
      </rPr>
      <t xml:space="preserve">美加文化實業股份有限公司</t>
    </r>
    <r>
      <rPr>
        <sz val="10"/>
        <color rgb="FF1F2A28"/>
        <rFont val="Arial"/>
        <family val="0"/>
        <charset val="1"/>
      </rPr>
      <t xml:space="preserve">(</t>
    </r>
    <r>
      <rPr>
        <sz val="10"/>
        <color rgb="FF1F2A28"/>
        <rFont val="WenQuanYi Zen Hei"/>
        <family val="2"/>
      </rPr>
      <t xml:space="preserve">負責人：陳上春</t>
    </r>
    <r>
      <rPr>
        <sz val="10"/>
        <color rgb="FF1F2A28"/>
        <rFont val="Arial"/>
        <family val="0"/>
        <charset val="1"/>
      </rPr>
      <t xml:space="preserve">)</t>
    </r>
  </si>
  <si>
    <t xml:space="preserve">叢士傑</t>
  </si>
  <si>
    <t xml:space="preserve">臺北市私立中正伯樂文理技藝短期補習班</t>
  </si>
  <si>
    <r>
      <rPr>
        <sz val="10"/>
        <color rgb="FF1F2A28"/>
        <rFont val="WenQuanYi Zen Hei"/>
        <family val="2"/>
      </rPr>
      <t xml:space="preserve">中正區金華街</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</si>
  <si>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(02)3322-1522</t>
  </si>
  <si>
    <t xml:space="preserve">andrehsu123@gmail.com</t>
  </si>
  <si>
    <t xml:space="preserve">2014-09-30</t>
  </si>
  <si>
    <t xml:space="preserve">張孟雯</t>
  </si>
  <si>
    <t xml:space="preserve">許守林</t>
  </si>
  <si>
    <t xml:space="preserve">臺北市私立佳英英語文理技藝短期補習班</t>
  </si>
  <si>
    <r>
      <rPr>
        <sz val="10"/>
        <color rgb="FF1F2A28"/>
        <rFont val="WenQuanYi Zen Hei"/>
        <family val="2"/>
      </rPr>
      <t xml:space="preserve">中正區忠孝東路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112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</si>
  <si>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23224767</t>
  </si>
  <si>
    <t xml:space="preserve">gtv1252@yahoo.com.tw</t>
  </si>
  <si>
    <t xml:space="preserve">1993-04-27</t>
  </si>
  <si>
    <t xml:space="preserve">李小萍</t>
  </si>
  <si>
    <t xml:space="preserve">臺北市私立凱德語文短期補習班</t>
  </si>
  <si>
    <r>
      <rPr>
        <sz val="10"/>
        <color rgb="FF1F2A28"/>
        <rFont val="WenQuanYi Zen Hei"/>
        <family val="2"/>
      </rPr>
      <t xml:space="preserve">中正區羅斯福路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68</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</si>
  <si>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23961880</t>
  </si>
  <si>
    <t xml:space="preserve">hsiehailing2000@gmail.com</t>
  </si>
  <si>
    <t xml:space="preserve">2009-10-05</t>
  </si>
  <si>
    <t xml:space="preserve">謝艾伶</t>
  </si>
  <si>
    <t xml:space="preserve">臺北市私立劉媽媽語文短期補習班</t>
  </si>
  <si>
    <r>
      <rPr>
        <sz val="10"/>
        <color rgb="FF1F2A28"/>
        <rFont val="WenQuanYi Zen Hei"/>
        <family val="2"/>
      </rPr>
      <t xml:space="preserve">中正區寧波西街</t>
    </r>
    <r>
      <rPr>
        <sz val="10"/>
        <color rgb="FF1F2A28"/>
        <rFont val="Arial"/>
        <family val="0"/>
        <charset val="1"/>
      </rPr>
      <t xml:space="preserve">80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</si>
  <si>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0928107969</t>
  </si>
  <si>
    <t xml:space="preserve">1984-12-10</t>
  </si>
  <si>
    <t xml:space="preserve">劉林純美</t>
  </si>
  <si>
    <t xml:space="preserve">劉家郁</t>
  </si>
  <si>
    <t xml:space="preserve">臺北市私立同文館語文文理短期補習班</t>
  </si>
  <si>
    <r>
      <rPr>
        <sz val="10"/>
        <color rgb="FF1F2A28"/>
        <rFont val="WenQuanYi Zen Hei"/>
        <family val="2"/>
      </rPr>
      <t xml:space="preserve">中正區信義路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4</t>
    </r>
  </si>
  <si>
    <t xml:space="preserve">23937795</t>
  </si>
  <si>
    <t xml:space="preserve">tonwenkuan@gmail.com</t>
  </si>
  <si>
    <t xml:space="preserve">2005-08-01</t>
  </si>
  <si>
    <t xml:space="preserve">鄭仁雨</t>
  </si>
  <si>
    <t xml:space="preserve">涂鈺芳</t>
  </si>
  <si>
    <t xml:space="preserve">臺北市私立天肯外語美術文理技藝短期補習班</t>
  </si>
  <si>
    <r>
      <rPr>
        <sz val="10"/>
        <color rgb="FF1F2A28"/>
        <rFont val="WenQuanYi Zen Hei"/>
        <family val="2"/>
      </rPr>
      <t xml:space="preserve">中正區羅斯福路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272</t>
    </r>
    <r>
      <rPr>
        <sz val="10"/>
        <color rgb="FF1F2A28"/>
        <rFont val="WenQuanYi Zen Hei"/>
        <family val="2"/>
      </rPr>
      <t xml:space="preserve">號</t>
    </r>
    <r>
      <rPr>
        <sz val="10"/>
        <color rgb="FF1F2A28"/>
        <rFont val="Arial"/>
        <family val="0"/>
        <charset val="1"/>
      </rPr>
      <t xml:space="preserve">9</t>
    </r>
    <r>
      <rPr>
        <sz val="10"/>
        <color rgb="FF1F2A28"/>
        <rFont val="WenQuanYi Zen Hei"/>
        <family val="2"/>
      </rPr>
      <t xml:space="preserve">樓</t>
    </r>
  </si>
  <si>
    <t xml:space="preserve">23696180</t>
  </si>
  <si>
    <t xml:space="preserve">tianken.bonjour@gmail.com</t>
  </si>
  <si>
    <t xml:space="preserve">李欣怡</t>
  </si>
  <si>
    <t xml:space="preserve">臺北市私立學智文理短期補習班</t>
  </si>
  <si>
    <r>
      <rPr>
        <sz val="10"/>
        <color rgb="FF1F2A28"/>
        <rFont val="WenQuanYi Zen Hei"/>
        <family val="2"/>
      </rPr>
      <t xml:space="preserve">中正區許昌街</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樓之</t>
    </r>
    <r>
      <rPr>
        <sz val="10"/>
        <color rgb="FF1F2A28"/>
        <rFont val="Arial"/>
        <family val="0"/>
        <charset val="1"/>
      </rPr>
      <t xml:space="preserve">3</t>
    </r>
  </si>
  <si>
    <t xml:space="preserve">learn23895212@gmail.com</t>
  </si>
  <si>
    <t xml:space="preserve">劉君強</t>
  </si>
  <si>
    <t xml:space="preserve">臺北市私立小小林圍棋文理技藝短期補習班古亭分班</t>
  </si>
  <si>
    <r>
      <rPr>
        <sz val="10"/>
        <color rgb="FF1F2A28"/>
        <rFont val="WenQuanYi Zen Hei"/>
        <family val="2"/>
      </rPr>
      <t xml:space="preserve">中正區羅斯福路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70</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樓之</t>
    </r>
    <r>
      <rPr>
        <sz val="10"/>
        <color rgb="FF1F2A28"/>
        <rFont val="Arial"/>
        <family val="0"/>
        <charset val="1"/>
      </rPr>
      <t xml:space="preserve">5</t>
    </r>
  </si>
  <si>
    <t xml:space="preserve">2356-7337</t>
  </si>
  <si>
    <t xml:space="preserve">ron19890806@gmail.com</t>
  </si>
  <si>
    <t xml:space="preserve">2017-04-28</t>
  </si>
  <si>
    <t xml:space="preserve">林耕平</t>
  </si>
  <si>
    <t xml:space="preserve">周佳盈</t>
  </si>
  <si>
    <t xml:space="preserve">臺北市私立彭湘平英文文理技藝短期補習班</t>
  </si>
  <si>
    <r>
      <rPr>
        <sz val="10"/>
        <color rgb="FF1F2A28"/>
        <rFont val="WenQuanYi Zen Hei"/>
        <family val="2"/>
      </rPr>
      <t xml:space="preserve">中正區信義路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、之</t>
    </r>
    <r>
      <rPr>
        <sz val="10"/>
        <color rgb="FF1F2A28"/>
        <rFont val="Arial"/>
        <family val="0"/>
        <charset val="1"/>
      </rPr>
      <t xml:space="preserve">3</t>
    </r>
  </si>
  <si>
    <t xml:space="preserve">23517722</t>
  </si>
  <si>
    <t xml:space="preserve">f90841015@ntu.edu.tw</t>
  </si>
  <si>
    <t xml:space="preserve">2000-07-01</t>
  </si>
  <si>
    <t xml:space="preserve">徐嘉偉</t>
  </si>
  <si>
    <t xml:space="preserve">臺北市私立承淞語文文理短期補習班</t>
  </si>
  <si>
    <r>
      <rPr>
        <sz val="10"/>
        <color rgb="FF1F2A28"/>
        <rFont val="WenQuanYi Zen Hei"/>
        <family val="2"/>
      </rPr>
      <t xml:space="preserve">中正區杭州南路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14</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</si>
  <si>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23210826</t>
  </si>
  <si>
    <t xml:space="preserve">dongmen000@yahoo.com.tw</t>
  </si>
  <si>
    <t xml:space="preserve">2000-11-01</t>
  </si>
  <si>
    <t xml:space="preserve">廖彩絹</t>
  </si>
  <si>
    <t xml:space="preserve">林淑絹</t>
  </si>
  <si>
    <t xml:space="preserve">臺北市私立掘奇地文理技藝短期補習班</t>
  </si>
  <si>
    <r>
      <rPr>
        <sz val="10"/>
        <color rgb="FF1F2A28"/>
        <rFont val="WenQuanYi Zen Hei"/>
        <family val="2"/>
      </rPr>
      <t xml:space="preserve">中正區和平西路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90</t>
    </r>
    <r>
      <rPr>
        <sz val="10"/>
        <color rgb="FF1F2A28"/>
        <rFont val="WenQuanYi Zen Hei"/>
        <family val="2"/>
      </rPr>
      <t xml:space="preserve">巷</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</si>
  <si>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23016565</t>
  </si>
  <si>
    <t xml:space="preserve">justkids2016@gmail.com</t>
  </si>
  <si>
    <t xml:space="preserve">1992-01-01</t>
  </si>
  <si>
    <t xml:space="preserve">鐘語蓁</t>
  </si>
  <si>
    <t xml:space="preserve">臺北市私立文城古亭文理短期補習班</t>
  </si>
  <si>
    <r>
      <rPr>
        <sz val="10"/>
        <color rgb="FF1F2A28"/>
        <rFont val="WenQuanYi Zen Hei"/>
        <family val="2"/>
      </rPr>
      <t xml:space="preserve">中正區羅斯福路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70</t>
    </r>
    <r>
      <rPr>
        <sz val="10"/>
        <color rgb="FF1F2A28"/>
        <rFont val="WenQuanYi Zen Hei"/>
        <family val="2"/>
      </rPr>
      <t xml:space="preserve">號</t>
    </r>
    <r>
      <rPr>
        <sz val="10"/>
        <color rgb="FF1F2A28"/>
        <rFont val="Arial"/>
        <family val="0"/>
        <charset val="1"/>
      </rPr>
      <t xml:space="preserve">10</t>
    </r>
    <r>
      <rPr>
        <sz val="10"/>
        <color rgb="FF1F2A28"/>
        <rFont val="WenQuanYi Zen Hei"/>
        <family val="2"/>
      </rPr>
      <t xml:space="preserve">樓</t>
    </r>
  </si>
  <si>
    <t xml:space="preserve">(02)2369-1090</t>
  </si>
  <si>
    <t xml:space="preserve">joey.wang@wmch.net</t>
  </si>
  <si>
    <t xml:space="preserve">2011-01-28</t>
  </si>
  <si>
    <t xml:space="preserve">宋狄翰</t>
  </si>
  <si>
    <t xml:space="preserve">卓嘉惠</t>
  </si>
  <si>
    <t xml:space="preserve">臺北市私立新小學館文理短期補習班</t>
  </si>
  <si>
    <r>
      <rPr>
        <sz val="10"/>
        <color rgb="FF1F2A28"/>
        <rFont val="WenQuanYi Zen Hei"/>
        <family val="2"/>
      </rPr>
      <t xml:space="preserve">中正區漢口街</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140</t>
    </r>
    <r>
      <rPr>
        <sz val="10"/>
        <color rgb="FF1F2A28"/>
        <rFont val="WenQuanYi Zen Hei"/>
        <family val="2"/>
      </rPr>
      <t xml:space="preserve">、</t>
    </r>
    <r>
      <rPr>
        <sz val="10"/>
        <color rgb="FF1F2A28"/>
        <rFont val="Arial"/>
        <family val="0"/>
        <charset val="1"/>
      </rPr>
      <t xml:space="preserve">142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</si>
  <si>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23120259</t>
  </si>
  <si>
    <t xml:space="preserve">2005-05-01</t>
  </si>
  <si>
    <t xml:space="preserve">尉遲佩琪</t>
  </si>
  <si>
    <t xml:space="preserve">呂文中</t>
  </si>
  <si>
    <t xml:space="preserve">臺北市私立時代國際語文短期補習班</t>
  </si>
  <si>
    <r>
      <rPr>
        <sz val="10"/>
        <color rgb="FF1F2A28"/>
        <rFont val="WenQuanYi Zen Hei"/>
        <family val="2"/>
      </rPr>
      <t xml:space="preserve">中正區漢口街</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t>
    </r>
    <r>
      <rPr>
        <sz val="10"/>
        <color rgb="FF1F2A28"/>
        <rFont val="Arial"/>
        <family val="0"/>
        <charset val="1"/>
      </rPr>
      <t xml:space="preserve">9</t>
    </r>
    <r>
      <rPr>
        <sz val="10"/>
        <color rgb="FF1F2A28"/>
        <rFont val="WenQuanYi Zen Hei"/>
        <family val="2"/>
      </rPr>
      <t xml:space="preserve">、</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</si>
  <si>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0266178688</t>
  </si>
  <si>
    <t xml:space="preserve">rachel.chen@language-world.com.tw</t>
  </si>
  <si>
    <t xml:space="preserve">2004-04-01</t>
  </si>
  <si>
    <t xml:space="preserve">鄭陳秋玉</t>
  </si>
  <si>
    <t xml:space="preserve">鄭淑賢</t>
  </si>
  <si>
    <t xml:space="preserve">臺北市私立時代國際語文短期補習班館前二分班</t>
  </si>
  <si>
    <r>
      <rPr>
        <sz val="10"/>
        <color rgb="FF1F2A28"/>
        <rFont val="WenQuanYi Zen Hei"/>
        <family val="2"/>
      </rPr>
      <t xml:space="preserve">中正區館前路</t>
    </r>
    <r>
      <rPr>
        <sz val="10"/>
        <color rgb="FF1F2A28"/>
        <rFont val="Arial"/>
        <family val="0"/>
        <charset val="1"/>
      </rPr>
      <t xml:space="preserve">34</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t>
    </r>
  </si>
  <si>
    <t xml:space="preserve">66178688</t>
  </si>
  <si>
    <t xml:space="preserve">2009-02-23</t>
  </si>
  <si>
    <t xml:space="preserve">臺北市私立普樂馬文理短期補習班</t>
  </si>
  <si>
    <r>
      <rPr>
        <sz val="10"/>
        <color rgb="FF1F2A28"/>
        <rFont val="WenQuanYi Zen Hei"/>
        <family val="2"/>
      </rPr>
      <t xml:space="preserve">中正區牯嶺街</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</si>
  <si>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23568055</t>
  </si>
  <si>
    <t xml:space="preserve">peggy32325@hotmail.com</t>
  </si>
  <si>
    <t xml:space="preserve">2017-06-09</t>
  </si>
  <si>
    <t xml:space="preserve">廖梓杏</t>
  </si>
  <si>
    <t xml:space="preserve">呂易倫</t>
  </si>
  <si>
    <t xml:space="preserve">臺北市私立東門文理技藝短期補習班</t>
  </si>
  <si>
    <r>
      <rPr>
        <sz val="10"/>
        <color rgb="FF1F2A28"/>
        <rFont val="WenQuanYi Zen Hei"/>
        <family val="2"/>
      </rPr>
      <t xml:space="preserve">中正區仁愛路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24</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r>
      <rPr>
        <sz val="10"/>
        <color rgb="FF1F2A28"/>
        <rFont val="Arial"/>
        <family val="0"/>
        <charset val="1"/>
      </rPr>
      <t xml:space="preserve">6</t>
    </r>
    <r>
      <rPr>
        <sz val="10"/>
        <color rgb="FF1F2A28"/>
        <rFont val="WenQuanYi Zen Hei"/>
        <family val="2"/>
      </rPr>
      <t xml:space="preserve">樓</t>
    </r>
  </si>
  <si>
    <t xml:space="preserve">23432388</t>
  </si>
  <si>
    <t xml:space="preserve">may110303@gmail.com</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</si>
  <si>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商類：珠算、心算、會計</t>
    </r>
  </si>
  <si>
    <t xml:space="preserve">2014-05-13</t>
  </si>
  <si>
    <t xml:space="preserve">趙恩德</t>
  </si>
  <si>
    <t xml:space="preserve">臺北市私立柏典語文短期補習班</t>
  </si>
  <si>
    <r>
      <rPr>
        <sz val="10"/>
        <color rgb="FF1F2A28"/>
        <rFont val="WenQuanYi Zen Hei"/>
        <family val="2"/>
      </rPr>
      <t xml:space="preserve">中正區羅斯福路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168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2</t>
    </r>
  </si>
  <si>
    <t xml:space="preserve">02-23671204</t>
  </si>
  <si>
    <t xml:space="preserve">amychang@jumpstart.com.tw</t>
  </si>
  <si>
    <t xml:space="preserve">2003-01-01</t>
  </si>
  <si>
    <t xml:space="preserve">劉憶萱</t>
  </si>
  <si>
    <t xml:space="preserve">陳淑慧</t>
  </si>
  <si>
    <t xml:space="preserve">臺北市私立派特美語短期補習班</t>
  </si>
  <si>
    <r>
      <rPr>
        <sz val="10"/>
        <color rgb="FF1F2A28"/>
        <rFont val="WenQuanYi Zen Hei"/>
        <family val="2"/>
      </rPr>
      <t xml:space="preserve">中正區莒光路</t>
    </r>
    <r>
      <rPr>
        <sz val="10"/>
        <color rgb="FF1F2A28"/>
        <rFont val="Arial"/>
        <family val="0"/>
        <charset val="1"/>
      </rPr>
      <t xml:space="preserve">53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樓及西藏路</t>
    </r>
    <r>
      <rPr>
        <sz val="10"/>
        <color rgb="FF1F2A28"/>
        <rFont val="Arial"/>
        <family val="0"/>
        <charset val="1"/>
      </rPr>
      <t xml:space="preserve">62</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</si>
  <si>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23021121</t>
  </si>
  <si>
    <t xml:space="preserve">pat3659@gmail.com</t>
  </si>
  <si>
    <t xml:space="preserve">2013-07-10</t>
  </si>
  <si>
    <t xml:space="preserve">傅彥瑻</t>
  </si>
  <si>
    <t xml:space="preserve">臺北市私立湯姆貓語文短期補習班</t>
  </si>
  <si>
    <r>
      <rPr>
        <sz val="10"/>
        <color rgb="FF1F2A28"/>
        <rFont val="WenQuanYi Zen Hei"/>
        <family val="2"/>
      </rPr>
      <t xml:space="preserve">中正區羅斯福路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70</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樓之</t>
    </r>
    <r>
      <rPr>
        <sz val="10"/>
        <color rgb="FF1F2A28"/>
        <rFont val="Arial"/>
        <family val="0"/>
        <charset val="1"/>
      </rPr>
      <t xml:space="preserve">5</t>
    </r>
  </si>
  <si>
    <t xml:space="preserve">23914638</t>
  </si>
  <si>
    <t xml:space="preserve">katiewang317@gmail.com</t>
  </si>
  <si>
    <t xml:space="preserve">1999-05-01</t>
  </si>
  <si>
    <t xml:space="preserve">保羅</t>
  </si>
  <si>
    <t xml:space="preserve">王冠婷</t>
  </si>
  <si>
    <t xml:space="preserve">臺北市私立目的達語文短期補習班</t>
  </si>
  <si>
    <r>
      <rPr>
        <sz val="10"/>
        <color rgb="FF1F2A28"/>
        <rFont val="WenQuanYi Zen Hei"/>
        <family val="2"/>
      </rPr>
      <t xml:space="preserve">中正區晉江街</t>
    </r>
    <r>
      <rPr>
        <sz val="10"/>
        <color rgb="FF1F2A28"/>
        <rFont val="Arial"/>
        <family val="0"/>
        <charset val="1"/>
      </rPr>
      <t xml:space="preserve">89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</si>
  <si>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23670528</t>
  </si>
  <si>
    <t xml:space="preserve">muditaphasathai@gmail.com</t>
  </si>
  <si>
    <t xml:space="preserve">2013-03-20</t>
  </si>
  <si>
    <t xml:space="preserve">鄭惠珍</t>
  </si>
  <si>
    <t xml:space="preserve">臺北市私立維多莉亞韓語外語短期補習班</t>
  </si>
  <si>
    <r>
      <rPr>
        <sz val="10"/>
        <color rgb="FF1F2A28"/>
        <rFont val="WenQuanYi Zen Hei"/>
        <family val="2"/>
      </rPr>
      <t xml:space="preserve">中正區忠孝西路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21</t>
    </r>
    <r>
      <rPr>
        <sz val="10"/>
        <color rgb="FF1F2A28"/>
        <rFont val="WenQuanYi Zen Hei"/>
        <family val="2"/>
      </rPr>
      <t xml:space="preserve">樓之</t>
    </r>
    <r>
      <rPr>
        <sz val="10"/>
        <color rgb="FF1F2A28"/>
        <rFont val="Arial"/>
        <family val="0"/>
        <charset val="1"/>
      </rPr>
      <t xml:space="preserve">14</t>
    </r>
    <r>
      <rPr>
        <sz val="10"/>
        <color rgb="FF1F2A28"/>
        <rFont val="WenQuanYi Zen Hei"/>
        <family val="2"/>
      </rPr>
      <t xml:space="preserve">、之</t>
    </r>
    <r>
      <rPr>
        <sz val="10"/>
        <color rgb="FF1F2A28"/>
        <rFont val="Arial"/>
        <family val="0"/>
        <charset val="1"/>
      </rPr>
      <t xml:space="preserve">16</t>
    </r>
  </si>
  <si>
    <t xml:space="preserve">(02)2389-4550</t>
  </si>
  <si>
    <t xml:space="preserve">korean@vtk.com.tw</t>
  </si>
  <si>
    <t xml:space="preserve">2011-08-01</t>
  </si>
  <si>
    <t xml:space="preserve">李三財</t>
  </si>
  <si>
    <t xml:space="preserve">尹竹君</t>
  </si>
  <si>
    <t xml:space="preserve">臺北市私立繁田塾語文短期補習班</t>
  </si>
  <si>
    <r>
      <rPr>
        <sz val="10"/>
        <color rgb="FF1F2A28"/>
        <rFont val="WenQuanYi Zen Hei"/>
        <family val="2"/>
      </rPr>
      <t xml:space="preserve">中正區館前路</t>
    </r>
    <r>
      <rPr>
        <sz val="10"/>
        <color rgb="FF1F2A28"/>
        <rFont val="Arial"/>
        <family val="0"/>
        <charset val="1"/>
      </rPr>
      <t xml:space="preserve">43</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t>
    </r>
  </si>
  <si>
    <t xml:space="preserve">23312752</t>
  </si>
  <si>
    <t xml:space="preserve">official@handazyuku.com.tw</t>
  </si>
  <si>
    <t xml:space="preserve">2006-09-01</t>
  </si>
  <si>
    <t xml:space="preserve">繁田禮二</t>
  </si>
  <si>
    <t xml:space="preserve">張愛琪</t>
  </si>
  <si>
    <t xml:space="preserve">臺北市私立芝麻開門語文短期補習班</t>
  </si>
  <si>
    <r>
      <rPr>
        <sz val="10"/>
        <color rgb="FF1F2A28"/>
        <rFont val="WenQuanYi Zen Hei"/>
        <family val="2"/>
      </rPr>
      <t xml:space="preserve">中正區新生南路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138</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</si>
  <si>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02-23926495</t>
  </si>
  <si>
    <t xml:space="preserve">JC@opsesame.com</t>
  </si>
  <si>
    <t xml:space="preserve">2000-09-01</t>
  </si>
  <si>
    <t xml:space="preserve">邱泰元</t>
  </si>
  <si>
    <t xml:space="preserve">呂昭嬅</t>
  </si>
  <si>
    <t xml:space="preserve">臺北市私立青山語文短期補習班站前分班</t>
  </si>
  <si>
    <r>
      <rPr>
        <sz val="10"/>
        <color rgb="FF1F2A28"/>
        <rFont val="WenQuanYi Zen Hei"/>
        <family val="2"/>
      </rPr>
      <t xml:space="preserve">中正區忠孝西路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100</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t>
    </r>
  </si>
  <si>
    <t xml:space="preserve">23142222</t>
  </si>
  <si>
    <t xml:space="preserve">hsu86017989@yahoo.com.tw</t>
  </si>
  <si>
    <t xml:space="preserve">2009-04-01</t>
  </si>
  <si>
    <t xml:space="preserve">孫永明</t>
  </si>
  <si>
    <t xml:space="preserve">苑冠華</t>
  </si>
  <si>
    <t xml:space="preserve">財團法人中國青年服務事業文教基金會附設臺北市私立勵志文理技藝短期補習班</t>
  </si>
  <si>
    <r>
      <rPr>
        <sz val="10"/>
        <color rgb="FF1F2A28"/>
        <rFont val="WenQuanYi Zen Hei"/>
        <family val="2"/>
      </rPr>
      <t xml:space="preserve">中正區館前路</t>
    </r>
    <r>
      <rPr>
        <sz val="10"/>
        <color rgb="FF1F2A28"/>
        <rFont val="Arial"/>
        <family val="0"/>
        <charset val="1"/>
      </rPr>
      <t xml:space="preserve">45</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</si>
  <si>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2381-9165</t>
  </si>
  <si>
    <t xml:space="preserve">cysa@cyc.tw</t>
  </si>
  <si>
    <t xml:space="preserve">1991-01-28</t>
  </si>
  <si>
    <t xml:space="preserve">財團法人中國青年服務事業文教基金會（負責人：葛永光）</t>
  </si>
  <si>
    <t xml:space="preserve">李志玄</t>
  </si>
  <si>
    <t xml:space="preserve">財團法人語言訓練測驗中心附設臺北市私立新紀元語文短期補習班</t>
  </si>
  <si>
    <r>
      <rPr>
        <sz val="10"/>
        <color rgb="FF1F2A28"/>
        <rFont val="WenQuanYi Zen Hei"/>
        <family val="2"/>
      </rPr>
      <t xml:space="preserve">中正區羅斯福路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97</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</si>
  <si>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02-3322-1100</t>
  </si>
  <si>
    <t xml:space="preserve">lttc.li@lttc.ntu.edu.tw</t>
  </si>
  <si>
    <t xml:space="preserve">2002-02-01</t>
  </si>
  <si>
    <r>
      <rPr>
        <sz val="10"/>
        <color rgb="FF1F2A28"/>
        <rFont val="WenQuanYi Zen Hei"/>
        <family val="2"/>
      </rPr>
      <t xml:space="preserve">財團法人語言訓練測驗中心</t>
    </r>
    <r>
      <rPr>
        <sz val="10"/>
        <color rgb="FF1F2A28"/>
        <rFont val="Arial"/>
        <family val="0"/>
        <charset val="1"/>
      </rPr>
      <t xml:space="preserve">(</t>
    </r>
    <r>
      <rPr>
        <sz val="10"/>
        <color rgb="FF1F2A28"/>
        <rFont val="WenQuanYi Zen Hei"/>
        <family val="2"/>
      </rPr>
      <t xml:space="preserve">負責人：陳文章</t>
    </r>
    <r>
      <rPr>
        <sz val="10"/>
        <color rgb="FF1F2A28"/>
        <rFont val="Arial"/>
        <family val="0"/>
        <charset val="1"/>
      </rPr>
      <t xml:space="preserve">)</t>
    </r>
  </si>
  <si>
    <t xml:space="preserve">林君文</t>
  </si>
  <si>
    <t xml:space="preserve">里茲螞蟻文教有限公司附設臺北市私立里茲螞蟻文理短期補習班</t>
  </si>
  <si>
    <r>
      <rPr>
        <sz val="10"/>
        <color rgb="FF1F2A28"/>
        <rFont val="WenQuanYi Zen Hei"/>
        <family val="2"/>
      </rPr>
      <t xml:space="preserve">中正區南昌路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206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</si>
  <si>
    <t xml:space="preserve">(02)23684570</t>
  </si>
  <si>
    <t xml:space="preserve">service@leedsmayi.com.co</t>
  </si>
  <si>
    <t xml:space="preserve">2018-01-10</t>
  </si>
  <si>
    <t xml:space="preserve">里茲螞蟻文教有限公司，負責人：林芬瑜</t>
  </si>
  <si>
    <t xml:space="preserve">黃勵廷</t>
  </si>
  <si>
    <t xml:space="preserve">長頸鹿文化事業股份有限公司附設臺北市私立長頸鹿美語文理技藝短期補習班</t>
  </si>
  <si>
    <r>
      <rPr>
        <sz val="10"/>
        <color rgb="FF1F2A28"/>
        <rFont val="WenQuanYi Zen Hei"/>
        <family val="2"/>
      </rPr>
      <t xml:space="preserve">中正區忠孝東路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</si>
  <si>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55825168</t>
  </si>
  <si>
    <t xml:space="preserve">irene940512@yahoo.com.tw</t>
  </si>
  <si>
    <t xml:space="preserve">長頸鹿文化事業股份有限公司（負責人：魏忠香）</t>
  </si>
  <si>
    <t xml:space="preserve">孫玉貞</t>
  </si>
  <si>
    <t xml:space="preserve">信義區</t>
  </si>
  <si>
    <t xml:space="preserve">前才國際股份有限公司附設臺北市私立凱利文理技藝短期補習班</t>
  </si>
  <si>
    <r>
      <rPr>
        <sz val="10"/>
        <color rgb="FF1F2A28"/>
        <rFont val="WenQuanYi Zen Hei"/>
        <family val="2"/>
      </rPr>
      <t xml:space="preserve">信義區松仁路</t>
    </r>
    <r>
      <rPr>
        <sz val="10"/>
        <color rgb="FF1F2A28"/>
        <rFont val="Arial"/>
        <family val="0"/>
        <charset val="1"/>
      </rPr>
      <t xml:space="preserve">234</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</si>
  <si>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27206966</t>
  </si>
  <si>
    <t xml:space="preserve">Tianalk11@gmail.com</t>
  </si>
  <si>
    <t xml:space="preserve">2002-03-01</t>
  </si>
  <si>
    <t xml:space="preserve">吳美齡</t>
  </si>
  <si>
    <t xml:space="preserve">黃蘭玲</t>
  </si>
  <si>
    <t xml:space="preserve">明光文教事業股份有限公司附設臺北市私立明帆語文文理短期補習班</t>
  </si>
  <si>
    <r>
      <rPr>
        <sz val="10"/>
        <color rgb="FF1F2A28"/>
        <rFont val="WenQuanYi Zen Hei"/>
        <family val="2"/>
      </rPr>
      <t xml:space="preserve">信義區松德路</t>
    </r>
    <r>
      <rPr>
        <sz val="10"/>
        <color rgb="FF1F2A28"/>
        <rFont val="Arial"/>
        <family val="0"/>
        <charset val="1"/>
      </rPr>
      <t xml:space="preserve">110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樓、地下</t>
    </r>
    <r>
      <rPr>
        <sz val="10"/>
        <color rgb="FF1F2A28"/>
        <rFont val="Arial"/>
        <family val="0"/>
        <charset val="1"/>
      </rPr>
      <t xml:space="preserve">1</t>
    </r>
    <r>
      <rPr>
        <sz val="10"/>
        <color rgb="FF1F2A28"/>
        <rFont val="WenQuanYi Zen Hei"/>
        <family val="2"/>
      </rPr>
      <t xml:space="preserve">樓</t>
    </r>
  </si>
  <si>
    <t xml:space="preserve">(02)27581887</t>
  </si>
  <si>
    <t xml:space="preserve">public@meikoschool.com.tw</t>
  </si>
  <si>
    <t xml:space="preserve">2017-10-06</t>
  </si>
  <si>
    <r>
      <rPr>
        <sz val="10"/>
        <color rgb="FF1F2A28"/>
        <rFont val="WenQuanYi Zen Hei"/>
        <family val="2"/>
      </rPr>
      <t xml:space="preserve">明光文教事業股份有限公司</t>
    </r>
    <r>
      <rPr>
        <sz val="10"/>
        <color rgb="FF1F2A28"/>
        <rFont val="Arial"/>
        <family val="0"/>
        <charset val="1"/>
      </rPr>
      <t xml:space="preserve">(</t>
    </r>
    <r>
      <rPr>
        <sz val="10"/>
        <color rgb="FF1F2A28"/>
        <rFont val="WenQuanYi Zen Hei"/>
        <family val="2"/>
      </rPr>
      <t xml:space="preserve">楊佳叡</t>
    </r>
    <r>
      <rPr>
        <sz val="10"/>
        <color rgb="FF1F2A28"/>
        <rFont val="Arial"/>
        <family val="0"/>
        <charset val="1"/>
      </rPr>
      <t xml:space="preserve">)</t>
    </r>
  </si>
  <si>
    <t xml:space="preserve">黃婕寧</t>
  </si>
  <si>
    <t xml:space="preserve">臺北市私立一間故事文理短期補習班</t>
  </si>
  <si>
    <r>
      <rPr>
        <sz val="10"/>
        <color rgb="FF1F2A28"/>
        <rFont val="WenQuanYi Zen Hei"/>
        <family val="2"/>
      </rPr>
      <t xml:space="preserve">信義區光復南路</t>
    </r>
    <r>
      <rPr>
        <sz val="10"/>
        <color rgb="FF1F2A28"/>
        <rFont val="Arial"/>
        <family val="0"/>
        <charset val="1"/>
      </rPr>
      <t xml:space="preserve">417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及大安區光復南路</t>
    </r>
    <r>
      <rPr>
        <sz val="10"/>
        <color rgb="FF1F2A28"/>
        <rFont val="Arial"/>
        <family val="0"/>
        <charset val="1"/>
      </rPr>
      <t xml:space="preserve">422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</si>
  <si>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(02)27585801</t>
  </si>
  <si>
    <t xml:space="preserve">a0900273916@gmail.com</t>
  </si>
  <si>
    <t xml:space="preserve">2019-05-02</t>
  </si>
  <si>
    <t xml:space="preserve">涂毓芬</t>
  </si>
  <si>
    <t xml:space="preserve">臺北市私立亞伯拉罕語文短期補習班</t>
  </si>
  <si>
    <r>
      <rPr>
        <sz val="10"/>
        <color rgb="FF1F2A28"/>
        <rFont val="WenQuanYi Zen Hei"/>
        <family val="2"/>
      </rPr>
      <t xml:space="preserve">信義區忠孝東路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133</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樓及忠孝東路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133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</si>
  <si>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27611155</t>
  </si>
  <si>
    <t xml:space="preserve">t.julie.chueh@abraham-academy.com.tw</t>
  </si>
  <si>
    <t xml:space="preserve">2001-10-01</t>
  </si>
  <si>
    <t xml:space="preserve">郭沅櫂</t>
  </si>
  <si>
    <t xml:space="preserve">劉裕仁</t>
  </si>
  <si>
    <t xml:space="preserve">臺北市私立亞伯拉罕語文短期補習班一○一分班</t>
  </si>
  <si>
    <r>
      <rPr>
        <sz val="10"/>
        <color rgb="FF1F2A28"/>
        <rFont val="WenQuanYi Zen Hei"/>
        <family val="2"/>
      </rPr>
      <t xml:space="preserve">信義區忠孝東路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135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</si>
  <si>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2004-11-01</t>
  </si>
  <si>
    <t xml:space="preserve">崔全淂</t>
  </si>
  <si>
    <t xml:space="preserve">郭宛真</t>
  </si>
  <si>
    <t xml:space="preserve">臺北市私立保佑美語短期補習班</t>
  </si>
  <si>
    <r>
      <rPr>
        <sz val="10"/>
        <color rgb="FF1F2A28"/>
        <rFont val="WenQuanYi Zen Hei"/>
        <family val="2"/>
      </rPr>
      <t xml:space="preserve">信義區忠孝東路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492</t>
    </r>
    <r>
      <rPr>
        <sz val="10"/>
        <color rgb="FF1F2A28"/>
        <rFont val="WenQuanYi Zen Hei"/>
        <family val="2"/>
      </rPr>
      <t xml:space="preserve">巷</t>
    </r>
    <r>
      <rPr>
        <sz val="10"/>
        <color rgb="FF1F2A28"/>
        <rFont val="Arial"/>
        <family val="0"/>
        <charset val="1"/>
      </rPr>
      <t xml:space="preserve">4</t>
    </r>
    <r>
      <rPr>
        <sz val="10"/>
        <color rgb="FF1F2A28"/>
        <rFont val="WenQuanYi Zen Hei"/>
        <family val="2"/>
      </rPr>
      <t xml:space="preserve">號地下一樓、</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</si>
  <si>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27590414</t>
  </si>
  <si>
    <t xml:space="preserve">estela750721@gmail.com</t>
  </si>
  <si>
    <t xml:space="preserve">2003-06-01</t>
  </si>
  <si>
    <t xml:space="preserve">林志穎</t>
  </si>
  <si>
    <t xml:space="preserve">石思娜</t>
  </si>
  <si>
    <t xml:space="preserve">臺北市私立保程語文短期補習班</t>
  </si>
  <si>
    <r>
      <rPr>
        <sz val="10"/>
        <color rgb="FF1F2A28"/>
        <rFont val="WenQuanYi Zen Hei"/>
        <family val="2"/>
      </rPr>
      <t xml:space="preserve">信義區忠孝東路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482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2</t>
    </r>
  </si>
  <si>
    <t xml:space="preserve">27590129</t>
  </si>
  <si>
    <t xml:space="preserve">2010-11-01</t>
  </si>
  <si>
    <t xml:space="preserve">陳慧玫</t>
  </si>
  <si>
    <t xml:space="preserve">臺北市私立傑姆斯英語短期補習班</t>
  </si>
  <si>
    <r>
      <rPr>
        <sz val="10"/>
        <color rgb="FF1F2A28"/>
        <rFont val="WenQuanYi Zen Hei"/>
        <family val="2"/>
      </rPr>
      <t xml:space="preserve">信義區光復南路</t>
    </r>
    <r>
      <rPr>
        <sz val="10"/>
        <color rgb="FF1F2A28"/>
        <rFont val="Arial"/>
        <family val="0"/>
        <charset val="1"/>
      </rPr>
      <t xml:space="preserve">475</t>
    </r>
    <r>
      <rPr>
        <sz val="10"/>
        <color rgb="FF1F2A28"/>
        <rFont val="WenQuanYi Zen Hei"/>
        <family val="2"/>
      </rPr>
      <t xml:space="preserve">號</t>
    </r>
    <r>
      <rPr>
        <sz val="10"/>
        <color rgb="FF1F2A28"/>
        <rFont val="Arial"/>
        <family val="0"/>
        <charset val="1"/>
      </rPr>
      <t xml:space="preserve">11</t>
    </r>
    <r>
      <rPr>
        <sz val="10"/>
        <color rgb="FF1F2A28"/>
        <rFont val="WenQuanYi Zen Hei"/>
        <family val="2"/>
      </rPr>
      <t xml:space="preserve">樓之</t>
    </r>
    <r>
      <rPr>
        <sz val="10"/>
        <color rgb="FF1F2A28"/>
        <rFont val="Arial"/>
        <family val="0"/>
        <charset val="1"/>
      </rPr>
      <t xml:space="preserve">1</t>
    </r>
  </si>
  <si>
    <t xml:space="preserve">87717007</t>
  </si>
  <si>
    <t xml:space="preserve">james385977@yahoo.com.tw</t>
  </si>
  <si>
    <t xml:space="preserve">2010-05-04</t>
  </si>
  <si>
    <t xml:space="preserve">陳世帆</t>
  </si>
  <si>
    <t xml:space="preserve">臺北市私立凱諾語文短期補習班</t>
  </si>
  <si>
    <r>
      <rPr>
        <sz val="10"/>
        <color rgb="FF1F2A28"/>
        <rFont val="WenQuanYi Zen Hei"/>
        <family val="2"/>
      </rPr>
      <t xml:space="preserve">信義區松勤街</t>
    </r>
    <r>
      <rPr>
        <sz val="10"/>
        <color rgb="FF1F2A28"/>
        <rFont val="Arial"/>
        <family val="0"/>
        <charset val="1"/>
      </rPr>
      <t xml:space="preserve">47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</si>
  <si>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87800122</t>
  </si>
  <si>
    <t xml:space="preserve">judy0402@kimo.com</t>
  </si>
  <si>
    <t xml:space="preserve">遲惠茹</t>
  </si>
  <si>
    <t xml:space="preserve">邱信如</t>
  </si>
  <si>
    <t xml:space="preserve">臺北市私立博愛菁英語文文理短期補習班</t>
  </si>
  <si>
    <r>
      <rPr>
        <sz val="10"/>
        <color rgb="FF1F2A28"/>
        <rFont val="WenQuanYi Zen Hei"/>
        <family val="2"/>
      </rPr>
      <t xml:space="preserve">信義區松德路</t>
    </r>
    <r>
      <rPr>
        <sz val="10"/>
        <color rgb="FF1F2A28"/>
        <rFont val="Arial"/>
        <family val="0"/>
        <charset val="1"/>
      </rPr>
      <t xml:space="preserve">191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195</t>
    </r>
    <r>
      <rPr>
        <sz val="10"/>
        <color rgb="FF1F2A28"/>
        <rFont val="WenQuanYi Zen Hei"/>
        <family val="2"/>
      </rPr>
      <t xml:space="preserve">號、</t>
    </r>
    <r>
      <rPr>
        <sz val="10"/>
        <color rgb="FF1F2A28"/>
        <rFont val="Arial"/>
        <family val="0"/>
        <charset val="1"/>
      </rPr>
      <t xml:space="preserve">197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</si>
  <si>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27278428</t>
  </si>
  <si>
    <t xml:space="preserve">alina.hsieh@hess.com.tw</t>
  </si>
  <si>
    <t xml:space="preserve">2010-03-01</t>
  </si>
  <si>
    <t xml:space="preserve">張瓊云</t>
  </si>
  <si>
    <t xml:space="preserve">林淑雯</t>
  </si>
  <si>
    <t xml:space="preserve">臺北市私立奇蹟珠心算文理短期補習班</t>
  </si>
  <si>
    <r>
      <rPr>
        <sz val="10"/>
        <color rgb="FF1F2A28"/>
        <rFont val="WenQuanYi Zen Hei"/>
        <family val="2"/>
      </rPr>
      <t xml:space="preserve">信義區永吉路</t>
    </r>
    <r>
      <rPr>
        <sz val="10"/>
        <color rgb="FF1F2A28"/>
        <rFont val="Arial"/>
        <family val="0"/>
        <charset val="1"/>
      </rPr>
      <t xml:space="preserve">127</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</si>
  <si>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27643788</t>
  </si>
  <si>
    <t xml:space="preserve">chihyunn31@gmail.com</t>
  </si>
  <si>
    <t xml:space="preserve">張浩穎</t>
  </si>
  <si>
    <t xml:space="preserve">王煦涵</t>
  </si>
  <si>
    <t xml:space="preserve">臺北市私立孩子國文理技藝短期補習班三興分班</t>
  </si>
  <si>
    <r>
      <rPr>
        <sz val="10"/>
        <color rgb="FF1F2A28"/>
        <rFont val="WenQuanYi Zen Hei"/>
        <family val="2"/>
      </rPr>
      <t xml:space="preserve">信義區吳興街</t>
    </r>
    <r>
      <rPr>
        <sz val="10"/>
        <color rgb="FF1F2A28"/>
        <rFont val="Arial"/>
        <family val="0"/>
        <charset val="1"/>
      </rPr>
      <t xml:space="preserve">118</t>
    </r>
    <r>
      <rPr>
        <sz val="10"/>
        <color rgb="FF1F2A28"/>
        <rFont val="WenQuanYi Zen Hei"/>
        <family val="2"/>
      </rPr>
      <t xml:space="preserve">巷</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32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</si>
  <si>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87321313</t>
  </si>
  <si>
    <t xml:space="preserve">ramble99@gmail.com</t>
  </si>
  <si>
    <t xml:space="preserve">2007-07-23</t>
  </si>
  <si>
    <t xml:space="preserve">林世華</t>
  </si>
  <si>
    <t xml:space="preserve">陳英彥</t>
  </si>
  <si>
    <t xml:space="preserve">臺北市私立家仁英語電腦短期補習班</t>
  </si>
  <si>
    <r>
      <rPr>
        <sz val="10"/>
        <color rgb="FF1F2A28"/>
        <rFont val="WenQuanYi Zen Hei"/>
        <family val="2"/>
      </rPr>
      <t xml:space="preserve">信義區莊敬路</t>
    </r>
    <r>
      <rPr>
        <sz val="10"/>
        <color rgb="FF1F2A28"/>
        <rFont val="Arial"/>
        <family val="0"/>
        <charset val="1"/>
      </rPr>
      <t xml:space="preserve">225</t>
    </r>
    <r>
      <rPr>
        <sz val="10"/>
        <color rgb="FF1F2A28"/>
        <rFont val="WenQuanYi Zen Hei"/>
        <family val="2"/>
      </rPr>
      <t xml:space="preserve">號、</t>
    </r>
    <r>
      <rPr>
        <sz val="10"/>
        <color rgb="FF1F2A28"/>
        <rFont val="Arial"/>
        <family val="0"/>
        <charset val="1"/>
      </rPr>
      <t xml:space="preserve">227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</si>
  <si>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27225696</t>
  </si>
  <si>
    <t xml:space="preserve">hs2063@hess.com.tw</t>
  </si>
  <si>
    <t xml:space="preserve">1998-09-01</t>
  </si>
  <si>
    <t xml:space="preserve">朱嘉俊</t>
  </si>
  <si>
    <t xml:space="preserve">楊嘉正</t>
  </si>
  <si>
    <t xml:space="preserve">臺北市私立小領袖文理技藝短期補習班</t>
  </si>
  <si>
    <r>
      <rPr>
        <sz val="10"/>
        <color rgb="FF1F2A28"/>
        <rFont val="WenQuanYi Zen Hei"/>
        <family val="2"/>
      </rPr>
      <t xml:space="preserve">信義區莊敬路</t>
    </r>
    <r>
      <rPr>
        <sz val="10"/>
        <color rgb="FF1F2A28"/>
        <rFont val="Arial"/>
        <family val="0"/>
        <charset val="1"/>
      </rPr>
      <t xml:space="preserve">239</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</si>
  <si>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0287898118</t>
  </si>
  <si>
    <t xml:space="preserve">goman830@gmail.com</t>
  </si>
  <si>
    <t xml:space="preserve">2007-10-04</t>
  </si>
  <si>
    <t xml:space="preserve">曾偉傑</t>
  </si>
  <si>
    <t xml:space="preserve">臺北市私立崇德語文短期補習班</t>
  </si>
  <si>
    <r>
      <rPr>
        <sz val="10"/>
        <color rgb="FF1F2A28"/>
        <rFont val="WenQuanYi Zen Hei"/>
        <family val="2"/>
      </rPr>
      <t xml:space="preserve">信義區崇德街</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</si>
  <si>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27388070</t>
  </si>
  <si>
    <t xml:space="preserve">ctsesame@yahoo.com.tw</t>
  </si>
  <si>
    <t xml:space="preserve">2002-11-01</t>
  </si>
  <si>
    <t xml:space="preserve">吳錦英</t>
  </si>
  <si>
    <t xml:space="preserve">林怡玲</t>
  </si>
  <si>
    <t xml:space="preserve">臺北市私立建翔文理短期補習班</t>
  </si>
  <si>
    <r>
      <rPr>
        <sz val="10"/>
        <color rgb="FF1F2A28"/>
        <rFont val="WenQuanYi Zen Hei"/>
        <family val="2"/>
      </rPr>
      <t xml:space="preserve">信義區莊敬路</t>
    </r>
    <r>
      <rPr>
        <sz val="10"/>
        <color rgb="FF1F2A28"/>
        <rFont val="Arial"/>
        <family val="0"/>
        <charset val="1"/>
      </rPr>
      <t xml:space="preserve">341</t>
    </r>
    <r>
      <rPr>
        <sz val="10"/>
        <color rgb="FF1F2A28"/>
        <rFont val="WenQuanYi Zen Hei"/>
        <family val="2"/>
      </rPr>
      <t xml:space="preserve">巷</t>
    </r>
    <r>
      <rPr>
        <sz val="10"/>
        <color rgb="FF1F2A28"/>
        <rFont val="Arial"/>
        <family val="0"/>
        <charset val="1"/>
      </rPr>
      <t xml:space="preserve">4</t>
    </r>
    <r>
      <rPr>
        <sz val="10"/>
        <color rgb="FF1F2A28"/>
        <rFont val="WenQuanYi Zen Hei"/>
        <family val="2"/>
      </rPr>
      <t xml:space="preserve">弄</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</si>
  <si>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02-27238558</t>
  </si>
  <si>
    <t xml:space="preserve">irene9915@me.com</t>
  </si>
  <si>
    <t xml:space="preserve">徐凡茵</t>
  </si>
  <si>
    <t xml:space="preserve">林文森</t>
  </si>
  <si>
    <t xml:space="preserve">臺北市私立強森語文技藝短期補習班</t>
  </si>
  <si>
    <r>
      <rPr>
        <sz val="10"/>
        <color rgb="FF1F2A28"/>
        <rFont val="WenQuanYi Zen Hei"/>
        <family val="2"/>
      </rPr>
      <t xml:space="preserve">信義區忠孝東路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524</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弄</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</si>
  <si>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23463930</t>
  </si>
  <si>
    <t xml:space="preserve">jsenglish@livemail.tw</t>
  </si>
  <si>
    <t xml:space="preserve">2007-11-01</t>
  </si>
  <si>
    <t xml:space="preserve">林俊成</t>
  </si>
  <si>
    <t xml:space="preserve">臺北市私立新智匯文理技藝短期補習班</t>
  </si>
  <si>
    <r>
      <rPr>
        <sz val="10"/>
        <color rgb="FF1F2A28"/>
        <rFont val="WenQuanYi Zen Hei"/>
        <family val="2"/>
      </rPr>
      <t xml:space="preserve">信義區松山路</t>
    </r>
    <r>
      <rPr>
        <sz val="10"/>
        <color rgb="FF1F2A28"/>
        <rFont val="Arial"/>
        <family val="0"/>
        <charset val="1"/>
      </rPr>
      <t xml:space="preserve">287</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弄</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</si>
  <si>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27665019</t>
  </si>
  <si>
    <t xml:space="preserve">queen19831222@yahoo.com.tw</t>
  </si>
  <si>
    <t xml:space="preserve">2004-07-01</t>
  </si>
  <si>
    <t xml:space="preserve">鄭宇成</t>
  </si>
  <si>
    <t xml:space="preserve">臺北市私立新派文理短期補習班</t>
  </si>
  <si>
    <r>
      <rPr>
        <sz val="10"/>
        <color rgb="FF1F2A28"/>
        <rFont val="WenQuanYi Zen Hei"/>
        <family val="2"/>
      </rPr>
      <t xml:space="preserve">信義區永吉路</t>
    </r>
    <r>
      <rPr>
        <sz val="10"/>
        <color rgb="FF1F2A28"/>
        <rFont val="Arial"/>
        <family val="0"/>
        <charset val="1"/>
      </rPr>
      <t xml:space="preserve">358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</si>
  <si>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2765-6580</t>
  </si>
  <si>
    <t xml:space="preserve">nsenglish.tp@gmail.com</t>
  </si>
  <si>
    <t xml:space="preserve">2016-12-19</t>
  </si>
  <si>
    <t xml:space="preserve">洪聖涵</t>
  </si>
  <si>
    <t xml:space="preserve">臺北市私立星亞全腦語文短期補習班</t>
  </si>
  <si>
    <r>
      <rPr>
        <sz val="10"/>
        <color rgb="FF1F2A28"/>
        <rFont val="WenQuanYi Zen Hei"/>
        <family val="2"/>
      </rPr>
      <t xml:space="preserve">信義區永吉路</t>
    </r>
    <r>
      <rPr>
        <sz val="10"/>
        <color rgb="FF1F2A28"/>
        <rFont val="Arial"/>
        <family val="0"/>
        <charset val="1"/>
      </rPr>
      <t xml:space="preserve">115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</si>
  <si>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27603966</t>
  </si>
  <si>
    <t xml:space="preserve">asianstar117@gmail.com</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</si>
  <si>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音樂、舞蹈類</t>
    </r>
  </si>
  <si>
    <t xml:space="preserve">陳美雲</t>
  </si>
  <si>
    <t xml:space="preserve">臺北市私立柱石語文短期補習班</t>
  </si>
  <si>
    <r>
      <rPr>
        <sz val="10"/>
        <color rgb="FF1F2A28"/>
        <rFont val="WenQuanYi Zen Hei"/>
        <family val="2"/>
      </rPr>
      <t xml:space="preserve">信義區忠孝東路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133</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樓及</t>
    </r>
    <r>
      <rPr>
        <sz val="10"/>
        <color rgb="FF1F2A28"/>
        <rFont val="Arial"/>
        <family val="0"/>
        <charset val="1"/>
      </rPr>
      <t xml:space="preserve">7</t>
    </r>
    <r>
      <rPr>
        <sz val="10"/>
        <color rgb="FF1F2A28"/>
        <rFont val="WenQuanYi Zen Hei"/>
        <family val="2"/>
      </rPr>
      <t xml:space="preserve">樓</t>
    </r>
  </si>
  <si>
    <t xml:space="preserve">崔呂素梅</t>
  </si>
  <si>
    <t xml:space="preserve">王淑英</t>
  </si>
  <si>
    <t xml:space="preserve">臺北市私立楓澍美語文理技藝短期補習班</t>
  </si>
  <si>
    <r>
      <rPr>
        <sz val="10"/>
        <color rgb="FF1F2A28"/>
        <rFont val="WenQuanYi Zen Hei"/>
        <family val="2"/>
      </rPr>
      <t xml:space="preserve">信義區松德路</t>
    </r>
    <r>
      <rPr>
        <sz val="10"/>
        <color rgb="FF1F2A28"/>
        <rFont val="Arial"/>
        <family val="0"/>
        <charset val="1"/>
      </rPr>
      <t xml:space="preserve">170</t>
    </r>
    <r>
      <rPr>
        <sz val="10"/>
        <color rgb="FF1F2A28"/>
        <rFont val="WenQuanYi Zen Hei"/>
        <family val="2"/>
      </rPr>
      <t xml:space="preserve">之</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</si>
  <si>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(02)8789-8980</t>
  </si>
  <si>
    <t xml:space="preserve">mapletreela@gmail.com</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</si>
  <si>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商類：珠算、心算、會計</t>
    </r>
  </si>
  <si>
    <t xml:space="preserve">江咏怡</t>
  </si>
  <si>
    <t xml:space="preserve">江咏珊</t>
  </si>
  <si>
    <t xml:space="preserve">臺北市私立洪觀文理短期補習班</t>
  </si>
  <si>
    <r>
      <rPr>
        <sz val="10"/>
        <color rgb="FF1F2A28"/>
        <rFont val="WenQuanYi Zen Hei"/>
        <family val="2"/>
      </rPr>
      <t xml:space="preserve">信義區大道路</t>
    </r>
    <r>
      <rPr>
        <sz val="10"/>
        <color rgb="FF1F2A28"/>
        <rFont val="Arial"/>
        <family val="0"/>
        <charset val="1"/>
      </rPr>
      <t xml:space="preserve">42</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</si>
  <si>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27266441</t>
  </si>
  <si>
    <t xml:space="preserve">3hhsieh@gmail.com</t>
  </si>
  <si>
    <t xml:space="preserve">2003-11-01</t>
  </si>
  <si>
    <t xml:space="preserve">洪笙觀</t>
  </si>
  <si>
    <t xml:space="preserve">臺北市私立派普文理語文技藝短期補習班</t>
  </si>
  <si>
    <r>
      <rPr>
        <sz val="10"/>
        <color rgb="FF1F2A28"/>
        <rFont val="WenQuanYi Zen Hei"/>
        <family val="2"/>
      </rPr>
      <t xml:space="preserve">信義區松德路</t>
    </r>
    <r>
      <rPr>
        <sz val="10"/>
        <color rgb="FF1F2A28"/>
        <rFont val="Arial"/>
        <family val="0"/>
        <charset val="1"/>
      </rPr>
      <t xml:space="preserve">170</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178</t>
    </r>
    <r>
      <rPr>
        <sz val="10"/>
        <color rgb="FF1F2A28"/>
        <rFont val="WenQuanYi Zen Hei"/>
        <family val="2"/>
      </rPr>
      <t xml:space="preserve">之</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159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</si>
  <si>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27222506</t>
  </si>
  <si>
    <t xml:space="preserve">paultcj@gmail.com</t>
  </si>
  <si>
    <t xml:space="preserve">2001-06-01</t>
  </si>
  <si>
    <t xml:space="preserve">李極善</t>
  </si>
  <si>
    <t xml:space="preserve">臺北市私立海倫語文文理技藝短期補習班</t>
  </si>
  <si>
    <r>
      <rPr>
        <sz val="10"/>
        <color rgb="FF1F2A28"/>
        <rFont val="WenQuanYi Zen Hei"/>
        <family val="2"/>
      </rPr>
      <t xml:space="preserve">信義區松仁路</t>
    </r>
    <r>
      <rPr>
        <sz val="10"/>
        <color rgb="FF1F2A28"/>
        <rFont val="Arial"/>
        <family val="0"/>
        <charset val="1"/>
      </rPr>
      <t xml:space="preserve">240</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</si>
  <si>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27201651</t>
  </si>
  <si>
    <t xml:space="preserve">jmatthew1720@gmail.com</t>
  </si>
  <si>
    <t xml:space="preserve">2000-12-01</t>
  </si>
  <si>
    <t xml:space="preserve">晉安佑</t>
  </si>
  <si>
    <t xml:space="preserve">羅曉蓮</t>
  </si>
  <si>
    <t xml:space="preserve">臺北市私立澳爾美語文理短期補習班</t>
  </si>
  <si>
    <r>
      <rPr>
        <sz val="10"/>
        <color rgb="FF1F2A28"/>
        <rFont val="WenQuanYi Zen Hei"/>
        <family val="2"/>
      </rPr>
      <t xml:space="preserve">信義區松德路</t>
    </r>
    <r>
      <rPr>
        <sz val="10"/>
        <color rgb="FF1F2A28"/>
        <rFont val="Arial"/>
        <family val="0"/>
        <charset val="1"/>
      </rPr>
      <t xml:space="preserve">188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</si>
  <si>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(02)87891112</t>
  </si>
  <si>
    <t xml:space="preserve">wenlung1966@gmail.com</t>
  </si>
  <si>
    <t xml:space="preserve">2017-12-13</t>
  </si>
  <si>
    <t xml:space="preserve">張文龍</t>
  </si>
  <si>
    <t xml:space="preserve">徐韻怡</t>
  </si>
  <si>
    <t xml:space="preserve">臺北市私立甲英英語短期補習班</t>
  </si>
  <si>
    <r>
      <rPr>
        <sz val="10"/>
        <color rgb="FF1F2A28"/>
        <rFont val="WenQuanYi Zen Hei"/>
        <family val="2"/>
      </rPr>
      <t xml:space="preserve">信義區莊敬路</t>
    </r>
    <r>
      <rPr>
        <sz val="10"/>
        <color rgb="FF1F2A28"/>
        <rFont val="Arial"/>
        <family val="0"/>
        <charset val="1"/>
      </rPr>
      <t xml:space="preserve">325</t>
    </r>
    <r>
      <rPr>
        <sz val="10"/>
        <color rgb="FF1F2A28"/>
        <rFont val="WenQuanYi Zen Hei"/>
        <family val="2"/>
      </rPr>
      <t xml:space="preserve">巷</t>
    </r>
    <r>
      <rPr>
        <sz val="10"/>
        <color rgb="FF1F2A28"/>
        <rFont val="Arial"/>
        <family val="0"/>
        <charset val="1"/>
      </rPr>
      <t xml:space="preserve">37</t>
    </r>
    <r>
      <rPr>
        <sz val="10"/>
        <color rgb="FF1F2A28"/>
        <rFont val="WenQuanYi Zen Hei"/>
        <family val="2"/>
      </rPr>
      <t xml:space="preserve">及</t>
    </r>
    <r>
      <rPr>
        <sz val="10"/>
        <color rgb="FF1F2A28"/>
        <rFont val="Arial"/>
        <family val="0"/>
        <charset val="1"/>
      </rPr>
      <t xml:space="preserve">39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</si>
  <si>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27235259</t>
  </si>
  <si>
    <t xml:space="preserve">chuuchu0120@gmail.com</t>
  </si>
  <si>
    <t xml:space="preserve">1992-06-01</t>
  </si>
  <si>
    <t xml:space="preserve">黃筑</t>
  </si>
  <si>
    <t xml:space="preserve">黃坤平</t>
  </si>
  <si>
    <t xml:space="preserve">臺北市私立笛卡爾興雅技藝文理短期補習班</t>
  </si>
  <si>
    <r>
      <rPr>
        <sz val="10"/>
        <color rgb="FF1F2A28"/>
        <rFont val="WenQuanYi Zen Hei"/>
        <family val="2"/>
      </rPr>
      <t xml:space="preserve">信義區基隆路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37</t>
    </r>
    <r>
      <rPr>
        <sz val="10"/>
        <color rgb="FF1F2A28"/>
        <rFont val="WenQuanYi Zen Hei"/>
        <family val="2"/>
      </rPr>
      <t xml:space="preserve">巷</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</si>
  <si>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27425919</t>
  </si>
  <si>
    <t xml:space="preserve">feller0717@gmail.com</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</si>
  <si>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</si>
  <si>
    <t xml:space="preserve">陳俊隆</t>
  </si>
  <si>
    <t xml:space="preserve">張玉娟</t>
  </si>
  <si>
    <t xml:space="preserve">臺北市私立聖達文教文理短期補習班</t>
  </si>
  <si>
    <r>
      <rPr>
        <sz val="10"/>
        <color rgb="FF1F2A28"/>
        <rFont val="WenQuanYi Zen Hei"/>
        <family val="2"/>
      </rPr>
      <t xml:space="preserve">信義區光復南路</t>
    </r>
    <r>
      <rPr>
        <sz val="10"/>
        <color rgb="FF1F2A28"/>
        <rFont val="Arial"/>
        <family val="0"/>
        <charset val="1"/>
      </rPr>
      <t xml:space="preserve">419</t>
    </r>
    <r>
      <rPr>
        <sz val="10"/>
        <color rgb="FF1F2A28"/>
        <rFont val="WenQuanYi Zen Hei"/>
        <family val="2"/>
      </rPr>
      <t xml:space="preserve">巷</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</si>
  <si>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stevengao737373@gmail.com</t>
  </si>
  <si>
    <t xml:space="preserve">2011-01-01</t>
  </si>
  <si>
    <t xml:space="preserve">高向治</t>
  </si>
  <si>
    <t xml:space="preserve">劉玟妙</t>
  </si>
  <si>
    <t xml:space="preserve">臺北市私立艾力美語文理短期補習班</t>
  </si>
  <si>
    <r>
      <rPr>
        <sz val="10"/>
        <color rgb="FF1F2A28"/>
        <rFont val="WenQuanYi Zen Hei"/>
        <family val="2"/>
      </rPr>
      <t xml:space="preserve">信義區忠孝東路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559</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</si>
  <si>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27637060</t>
  </si>
  <si>
    <t xml:space="preserve">finance@alexeducationgroup.com</t>
  </si>
  <si>
    <t xml:space="preserve">2003-07-01</t>
  </si>
  <si>
    <t xml:space="preserve">吳昇靜</t>
  </si>
  <si>
    <t xml:space="preserve">臺北市私立鐵斯汀文理短期補習班</t>
  </si>
  <si>
    <r>
      <rPr>
        <sz val="10"/>
        <color rgb="FF1F2A28"/>
        <rFont val="WenQuanYi Zen Hei"/>
        <family val="2"/>
      </rPr>
      <t xml:space="preserve">信義區忠孝東路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1</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</si>
  <si>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27620134</t>
  </si>
  <si>
    <t xml:space="preserve">yixin27458822@gmail.com</t>
  </si>
  <si>
    <t xml:space="preserve">1999-11-01</t>
  </si>
  <si>
    <t xml:space="preserve">樊緗慈</t>
  </si>
  <si>
    <t xml:space="preserve">英協文教有限公司附設臺北市私立信義文理短期補習班</t>
  </si>
  <si>
    <r>
      <rPr>
        <sz val="10"/>
        <color rgb="FF1F2A28"/>
        <rFont val="WenQuanYi Zen Hei"/>
        <family val="2"/>
      </rPr>
      <t xml:space="preserve">信義區信義路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106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106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2</t>
    </r>
  </si>
  <si>
    <t xml:space="preserve">02-87221008</t>
  </si>
  <si>
    <t xml:space="preserve">Yufei.Huang@britishcouncil.org.tw</t>
  </si>
  <si>
    <t xml:space="preserve">2016-05-23</t>
  </si>
  <si>
    <r>
      <rPr>
        <sz val="10"/>
        <color rgb="FF1F2A28"/>
        <rFont val="WenQuanYi Zen Hei"/>
        <family val="2"/>
      </rPr>
      <t xml:space="preserve">英協文教有限公司</t>
    </r>
    <r>
      <rPr>
        <sz val="10"/>
        <color rgb="FF1F2A28"/>
        <rFont val="Arial"/>
        <family val="0"/>
        <charset val="1"/>
      </rPr>
      <t xml:space="preserve">(</t>
    </r>
    <r>
      <rPr>
        <sz val="10"/>
        <color rgb="FF1F2A28"/>
        <rFont val="WenQuanYi Zen Hei"/>
        <family val="2"/>
      </rPr>
      <t xml:space="preserve">安翠雅</t>
    </r>
    <r>
      <rPr>
        <sz val="10"/>
        <color rgb="FF1F2A28"/>
        <rFont val="Arial"/>
        <family val="0"/>
        <charset val="1"/>
      </rPr>
      <t xml:space="preserve">)</t>
    </r>
  </si>
  <si>
    <t xml:space="preserve">李盈璇</t>
  </si>
  <si>
    <t xml:space="preserve">藝勤有限公司附設臺北市私立兒童國際文理技藝短期補習班</t>
  </si>
  <si>
    <r>
      <rPr>
        <sz val="10"/>
        <color rgb="FF1F2A28"/>
        <rFont val="WenQuanYi Zen Hei"/>
        <family val="2"/>
      </rPr>
      <t xml:space="preserve">信義區仁愛路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520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2</t>
    </r>
    <r>
      <rPr>
        <sz val="10"/>
        <color rgb="FF1F2A28"/>
        <rFont val="WenQuanYi Zen Hei"/>
        <family val="2"/>
      </rPr>
      <t xml:space="preserve">樓</t>
    </r>
  </si>
  <si>
    <t xml:space="preserve">(02)27222020</t>
  </si>
  <si>
    <t xml:space="preserve">taipeikidsacademy@gmail.com</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</si>
  <si>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</si>
  <si>
    <t xml:space="preserve">2023-05-31</t>
  </si>
  <si>
    <t xml:space="preserve">謝佩如</t>
  </si>
  <si>
    <t xml:space="preserve">廖若瑄</t>
  </si>
  <si>
    <t xml:space="preserve">財團法人台北市中華基督教青年會附設臺北市私立永吉會所文理技藝短期補習班</t>
  </si>
  <si>
    <r>
      <rPr>
        <sz val="10"/>
        <color rgb="FF1F2A28"/>
        <rFont val="WenQuanYi Zen Hei"/>
        <family val="2"/>
      </rPr>
      <t xml:space="preserve">信義區永吉路</t>
    </r>
    <r>
      <rPr>
        <sz val="10"/>
        <color rgb="FF1F2A28"/>
        <rFont val="Arial"/>
        <family val="0"/>
        <charset val="1"/>
      </rPr>
      <t xml:space="preserve">500</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</si>
  <si>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27631261</t>
  </si>
  <si>
    <t xml:space="preserve">yongjilu500haoymca@gmail.com</t>
  </si>
  <si>
    <t xml:space="preserve">1984-04-03</t>
  </si>
  <si>
    <t xml:space="preserve">賴允亮</t>
  </si>
  <si>
    <t xml:space="preserve">蕭牧民</t>
  </si>
  <si>
    <t xml:space="preserve">陽光森林文教股份有限公司附設臺北市私立世貿語文短期補習班</t>
  </si>
  <si>
    <r>
      <rPr>
        <sz val="10"/>
        <color rgb="FF1F2A28"/>
        <rFont val="WenQuanYi Zen Hei"/>
        <family val="2"/>
      </rPr>
      <t xml:space="preserve">信義區基隆路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149</t>
    </r>
    <r>
      <rPr>
        <sz val="10"/>
        <color rgb="FF1F2A28"/>
        <rFont val="WenQuanYi Zen Hei"/>
        <family val="2"/>
      </rPr>
      <t xml:space="preserve">之</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149</t>
    </r>
    <r>
      <rPr>
        <sz val="10"/>
        <color rgb="FF1F2A28"/>
        <rFont val="WenQuanYi Zen Hei"/>
        <family val="2"/>
      </rPr>
      <t xml:space="preserve">之</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149</t>
    </r>
    <r>
      <rPr>
        <sz val="10"/>
        <color rgb="FF1F2A28"/>
        <rFont val="WenQuanYi Zen Hei"/>
        <family val="2"/>
      </rPr>
      <t xml:space="preserve">之</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</si>
  <si>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2739-1392</t>
  </si>
  <si>
    <t xml:space="preserve">sunshineedu@yahoo.com</t>
  </si>
  <si>
    <t xml:space="preserve">呂麗華</t>
  </si>
  <si>
    <t xml:space="preserve">馬昕怡</t>
  </si>
  <si>
    <t xml:space="preserve">陽光森林文教股份有限公司附設臺北市私立陽光森林信義文理短期補習班</t>
  </si>
  <si>
    <r>
      <rPr>
        <sz val="10"/>
        <color rgb="FF1F2A28"/>
        <rFont val="WenQuanYi Zen Hei"/>
        <family val="2"/>
      </rPr>
      <t xml:space="preserve">信義區基隆路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149</t>
    </r>
    <r>
      <rPr>
        <sz val="10"/>
        <color rgb="FF1F2A28"/>
        <rFont val="WenQuanYi Zen Hei"/>
        <family val="2"/>
      </rPr>
      <t xml:space="preserve">之</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149</t>
    </r>
    <r>
      <rPr>
        <sz val="10"/>
        <color rgb="FF1F2A28"/>
        <rFont val="WenQuanYi Zen Hei"/>
        <family val="2"/>
      </rPr>
      <t xml:space="preserve">之</t>
    </r>
    <r>
      <rPr>
        <sz val="10"/>
        <color rgb="FF1F2A28"/>
        <rFont val="Arial"/>
        <family val="0"/>
        <charset val="1"/>
      </rPr>
      <t xml:space="preserve">34</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149</t>
    </r>
    <r>
      <rPr>
        <sz val="10"/>
        <color rgb="FF1F2A28"/>
        <rFont val="WenQuanYi Zen Hei"/>
        <family val="2"/>
      </rPr>
      <t xml:space="preserve">之</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</si>
  <si>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2735-5358</t>
  </si>
  <si>
    <t xml:space="preserve">吳宜靜</t>
  </si>
  <si>
    <t xml:space="preserve">內湖區</t>
  </si>
  <si>
    <t xml:space="preserve">全方位文教有限公司附設臺北市私立金品升大文理短期補習班</t>
  </si>
  <si>
    <r>
      <rPr>
        <sz val="10"/>
        <color rgb="FF1F2A28"/>
        <rFont val="WenQuanYi Zen Hei"/>
        <family val="2"/>
      </rPr>
      <t xml:space="preserve">內湖區東湖路</t>
    </r>
    <r>
      <rPr>
        <sz val="10"/>
        <color rgb="FF1F2A28"/>
        <rFont val="Arial"/>
        <family val="0"/>
        <charset val="1"/>
      </rPr>
      <t xml:space="preserve">7</t>
    </r>
    <r>
      <rPr>
        <sz val="10"/>
        <color rgb="FF1F2A28"/>
        <rFont val="WenQuanYi Zen Hei"/>
        <family val="2"/>
      </rPr>
      <t xml:space="preserve">巷</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</si>
  <si>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02-26317777</t>
  </si>
  <si>
    <t xml:space="preserve">huiyihuang8103@gmail.com</t>
  </si>
  <si>
    <t xml:space="preserve">1997-07-01</t>
  </si>
  <si>
    <t xml:space="preserve">賴俊瑋</t>
  </si>
  <si>
    <t xml:space="preserve">郭瓊文</t>
  </si>
  <si>
    <t xml:space="preserve">凱莉文教股份有限公司附設臺北巿私立凱莉美語短期補習班</t>
  </si>
  <si>
    <r>
      <rPr>
        <sz val="10"/>
        <color rgb="FF1F2A28"/>
        <rFont val="WenQuanYi Zen Hei"/>
        <family val="2"/>
      </rPr>
      <t xml:space="preserve">內湖區成功路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61</t>
    </r>
    <r>
      <rPr>
        <sz val="10"/>
        <color rgb="FF1F2A28"/>
        <rFont val="WenQuanYi Zen Hei"/>
        <family val="2"/>
      </rPr>
      <t xml:space="preserve">巷</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樓及地下</t>
    </r>
    <r>
      <rPr>
        <sz val="10"/>
        <color rgb="FF1F2A28"/>
        <rFont val="Arial"/>
        <family val="0"/>
        <charset val="1"/>
      </rPr>
      <t xml:space="preserve">1</t>
    </r>
    <r>
      <rPr>
        <sz val="10"/>
        <color rgb="FF1F2A28"/>
        <rFont val="WenQuanYi Zen Hei"/>
        <family val="2"/>
      </rPr>
      <t xml:space="preserve">樓</t>
    </r>
  </si>
  <si>
    <t xml:space="preserve">87921515</t>
  </si>
  <si>
    <t xml:space="preserve">yvonne_0524@yahoo.com.tw</t>
  </si>
  <si>
    <r>
      <rPr>
        <sz val="10"/>
        <color rgb="FF1F2A28"/>
        <rFont val="WenQuanYi Zen Hei"/>
        <family val="2"/>
      </rPr>
      <t xml:space="preserve">凱莉文教股份有限公司</t>
    </r>
    <r>
      <rPr>
        <sz val="10"/>
        <color rgb="FF1F2A28"/>
        <rFont val="Arial"/>
        <family val="0"/>
        <charset val="1"/>
      </rPr>
      <t xml:space="preserve">(</t>
    </r>
    <r>
      <rPr>
        <sz val="10"/>
        <color rgb="FF1F2A28"/>
        <rFont val="WenQuanYi Zen Hei"/>
        <family val="2"/>
      </rPr>
      <t xml:space="preserve">負責人：顧邕</t>
    </r>
    <r>
      <rPr>
        <sz val="10"/>
        <color rgb="FF1F2A28"/>
        <rFont val="Arial"/>
        <family val="0"/>
        <charset val="1"/>
      </rPr>
      <t xml:space="preserve">)</t>
    </r>
  </si>
  <si>
    <t xml:space="preserve">顧邕</t>
  </si>
  <si>
    <t xml:space="preserve">巨匠電腦股份有限公司附設臺北市私立巨匠電腦文理技藝短期補習班內湖分班</t>
  </si>
  <si>
    <r>
      <rPr>
        <sz val="10"/>
        <color rgb="FF1F2A28"/>
        <rFont val="WenQuanYi Zen Hei"/>
        <family val="2"/>
      </rPr>
      <t xml:space="preserve">內湖區成功路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2 </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</si>
  <si>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(02)2795-3745</t>
  </si>
  <si>
    <t xml:space="preserve">bm_mailbox@pcschool.com.tw</t>
  </si>
  <si>
    <t xml:space="preserve">2004-08-01</t>
  </si>
  <si>
    <t xml:space="preserve">陳柏憲</t>
  </si>
  <si>
    <t xml:space="preserve">常裕事業股份有限公司附設臺北市私立知識樹學苑文理技藝短期補習班東湖分班</t>
  </si>
  <si>
    <r>
      <rPr>
        <sz val="10"/>
        <color rgb="FF1F2A28"/>
        <rFont val="WenQuanYi Zen Hei"/>
        <family val="2"/>
      </rPr>
      <t xml:space="preserve">內湖區東湖路</t>
    </r>
    <r>
      <rPr>
        <sz val="10"/>
        <color rgb="FF1F2A28"/>
        <rFont val="Arial"/>
        <family val="0"/>
        <charset val="1"/>
      </rPr>
      <t xml:space="preserve">113</t>
    </r>
    <r>
      <rPr>
        <sz val="10"/>
        <color rgb="FF1F2A28"/>
        <rFont val="WenQuanYi Zen Hei"/>
        <family val="2"/>
      </rPr>
      <t xml:space="preserve">巷</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</si>
  <si>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26316018</t>
  </si>
  <si>
    <t xml:space="preserve">ktree168@gmail.com</t>
  </si>
  <si>
    <r>
      <rPr>
        <sz val="10"/>
        <color rgb="FF1F2A28"/>
        <rFont val="WenQuanYi Zen Hei"/>
        <family val="2"/>
      </rPr>
      <t xml:space="preserve">常裕事業股份有限公司（負責人：李奇諺</t>
    </r>
    <r>
      <rPr>
        <sz val="10"/>
        <color rgb="FF1F2A28"/>
        <rFont val="Arial"/>
        <family val="0"/>
        <charset val="1"/>
      </rPr>
      <t xml:space="preserve">)</t>
    </r>
  </si>
  <si>
    <t xml:space="preserve">喬嘉瑜</t>
  </si>
  <si>
    <t xml:space="preserve">極合教育科技股份有限公司附設臺北巿私立極上一對一內湖文理短期補習班</t>
  </si>
  <si>
    <r>
      <rPr>
        <sz val="10"/>
        <color rgb="FF1F2A28"/>
        <rFont val="WenQuanYi Zen Hei"/>
        <family val="2"/>
      </rPr>
      <t xml:space="preserve">內湖區成功路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193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</si>
  <si>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27941929</t>
  </si>
  <si>
    <t xml:space="preserve">hr89150001@gmail.com</t>
  </si>
  <si>
    <t xml:space="preserve">2017-01-16</t>
  </si>
  <si>
    <r>
      <rPr>
        <sz val="10"/>
        <color rgb="FF1F2A28"/>
        <rFont val="WenQuanYi Zen Hei"/>
        <family val="2"/>
      </rPr>
      <t xml:space="preserve">極合教育科技股份有限公司</t>
    </r>
    <r>
      <rPr>
        <sz val="10"/>
        <color rgb="FF1F2A28"/>
        <rFont val="Arial"/>
        <family val="0"/>
        <charset val="1"/>
      </rPr>
      <t xml:space="preserve">(</t>
    </r>
    <r>
      <rPr>
        <sz val="10"/>
        <color rgb="FF1F2A28"/>
        <rFont val="WenQuanYi Zen Hei"/>
        <family val="2"/>
      </rPr>
      <t xml:space="preserve">負責人</t>
    </r>
    <r>
      <rPr>
        <sz val="10"/>
        <color rgb="FF1F2A28"/>
        <rFont val="Arial"/>
        <family val="0"/>
        <charset val="1"/>
      </rPr>
      <t xml:space="preserve">:</t>
    </r>
    <r>
      <rPr>
        <sz val="10"/>
        <color rgb="FF1F2A28"/>
        <rFont val="WenQuanYi Zen Hei"/>
        <family val="2"/>
      </rPr>
      <t xml:space="preserve">洪立屏</t>
    </r>
    <r>
      <rPr>
        <sz val="10"/>
        <color rgb="FF1F2A28"/>
        <rFont val="Arial"/>
        <family val="0"/>
        <charset val="1"/>
      </rPr>
      <t xml:space="preserve">)</t>
    </r>
  </si>
  <si>
    <t xml:space="preserve">楊舒婷</t>
  </si>
  <si>
    <t xml:space="preserve">洋學有限公司附設臺北市私立康寧文理短期補習班</t>
  </si>
  <si>
    <r>
      <rPr>
        <sz val="10"/>
        <color rgb="FF1F2A28"/>
        <rFont val="WenQuanYi Zen Hei"/>
        <family val="2"/>
      </rPr>
      <t xml:space="preserve">內湖區康寧路</t>
    </r>
    <r>
      <rPr>
        <sz val="10"/>
        <color rgb="FF1F2A28"/>
        <rFont val="Arial"/>
        <family val="0"/>
        <charset val="1"/>
      </rPr>
      <t xml:space="preserve">3</t>
    </r>
    <r>
      <rPr>
        <sz val="10"/>
        <color rgb="FF1F2A28"/>
        <rFont val="WenQuanYi Zen Hei"/>
        <family val="2"/>
      </rPr>
      <t xml:space="preserve">段 </t>
    </r>
    <r>
      <rPr>
        <sz val="10"/>
        <color rgb="FF1F2A28"/>
        <rFont val="Arial"/>
        <family val="0"/>
        <charset val="1"/>
      </rPr>
      <t xml:space="preserve">181</t>
    </r>
    <r>
      <rPr>
        <sz val="10"/>
        <color rgb="FF1F2A28"/>
        <rFont val="WenQuanYi Zen Hei"/>
        <family val="2"/>
      </rPr>
      <t xml:space="preserve">、</t>
    </r>
    <r>
      <rPr>
        <sz val="10"/>
        <color rgb="FF1F2A28"/>
        <rFont val="Arial"/>
        <family val="0"/>
        <charset val="1"/>
      </rPr>
      <t xml:space="preserve">183</t>
    </r>
    <r>
      <rPr>
        <sz val="10"/>
        <color rgb="FF1F2A28"/>
        <rFont val="WenQuanYi Zen Hei"/>
        <family val="2"/>
      </rPr>
      <t xml:space="preserve">、</t>
    </r>
    <r>
      <rPr>
        <sz val="10"/>
        <color rgb="FF1F2A28"/>
        <rFont val="Arial"/>
        <family val="0"/>
        <charset val="1"/>
      </rPr>
      <t xml:space="preserve">185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181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</si>
  <si>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26327505</t>
  </si>
  <si>
    <t xml:space="preserve">hs2046@hess.com.tw</t>
  </si>
  <si>
    <t xml:space="preserve">2004-02-01</t>
  </si>
  <si>
    <r>
      <rPr>
        <sz val="10"/>
        <color rgb="FF1F2A28"/>
        <rFont val="WenQuanYi Zen Hei"/>
        <family val="2"/>
      </rPr>
      <t xml:space="preserve">洋學有限公司</t>
    </r>
    <r>
      <rPr>
        <sz val="10"/>
        <color rgb="FF1F2A28"/>
        <rFont val="Arial"/>
        <family val="0"/>
        <charset val="1"/>
      </rPr>
      <t xml:space="preserve">(</t>
    </r>
    <r>
      <rPr>
        <sz val="10"/>
        <color rgb="FF1F2A28"/>
        <rFont val="WenQuanYi Zen Hei"/>
        <family val="2"/>
      </rPr>
      <t xml:space="preserve">勞德禎</t>
    </r>
    <r>
      <rPr>
        <sz val="10"/>
        <color rgb="FF1F2A28"/>
        <rFont val="Arial"/>
        <family val="0"/>
        <charset val="1"/>
      </rPr>
      <t xml:space="preserve">)</t>
    </r>
  </si>
  <si>
    <t xml:space="preserve">王佳馨</t>
  </si>
  <si>
    <t xml:space="preserve">瀚將教育科技股份有限公司附設臺北市私立百瀚內湖文理短期補習班</t>
  </si>
  <si>
    <r>
      <rPr>
        <sz val="10"/>
        <color rgb="FF1F2A28"/>
        <rFont val="WenQuanYi Zen Hei"/>
        <family val="2"/>
      </rPr>
      <t xml:space="preserve">內湖區文德路</t>
    </r>
    <r>
      <rPr>
        <sz val="10"/>
        <color rgb="FF1F2A28"/>
        <rFont val="Arial"/>
        <family val="0"/>
        <charset val="1"/>
      </rPr>
      <t xml:space="preserve">90</t>
    </r>
    <r>
      <rPr>
        <sz val="10"/>
        <color rgb="FF1F2A28"/>
        <rFont val="WenQuanYi Zen Hei"/>
        <family val="2"/>
      </rPr>
      <t xml:space="preserve">巷</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</si>
  <si>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26271038</t>
  </si>
  <si>
    <t xml:space="preserve">phhr@paihan.com.tw</t>
  </si>
  <si>
    <t xml:space="preserve">2010-09-01</t>
  </si>
  <si>
    <t xml:space="preserve">瀚將教育科技股份有限公司</t>
  </si>
  <si>
    <t xml:space="preserve">許哲豪</t>
  </si>
  <si>
    <t xml:space="preserve">瀚將教育科技股份有限公司附設臺北市私立百瀚東湖文理短期補習班</t>
  </si>
  <si>
    <r>
      <rPr>
        <sz val="10"/>
        <color rgb="FF1F2A28"/>
        <rFont val="WenQuanYi Zen Hei"/>
        <family val="2"/>
      </rPr>
      <t xml:space="preserve">內湖區東湖路</t>
    </r>
    <r>
      <rPr>
        <sz val="10"/>
        <color rgb="FF1F2A28"/>
        <rFont val="Arial"/>
        <family val="0"/>
        <charset val="1"/>
      </rPr>
      <t xml:space="preserve">113</t>
    </r>
    <r>
      <rPr>
        <sz val="10"/>
        <color rgb="FF1F2A28"/>
        <rFont val="WenQuanYi Zen Hei"/>
        <family val="2"/>
      </rPr>
      <t xml:space="preserve">巷</t>
    </r>
    <r>
      <rPr>
        <sz val="10"/>
        <color rgb="FF1F2A28"/>
        <rFont val="Arial"/>
        <family val="0"/>
        <charset val="1"/>
      </rPr>
      <t xml:space="preserve">95</t>
    </r>
    <r>
      <rPr>
        <sz val="10"/>
        <color rgb="FF1F2A28"/>
        <rFont val="WenQuanYi Zen Hei"/>
        <family val="2"/>
      </rPr>
      <t xml:space="preserve">弄</t>
    </r>
    <r>
      <rPr>
        <sz val="10"/>
        <color rgb="FF1F2A28"/>
        <rFont val="Arial"/>
        <family val="0"/>
        <charset val="1"/>
      </rPr>
      <t xml:space="preserve">145</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</si>
  <si>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26307258</t>
  </si>
  <si>
    <t xml:space="preserve">2001-01-01</t>
  </si>
  <si>
    <t xml:space="preserve">陳嬿鈴</t>
  </si>
  <si>
    <t xml:space="preserve">睿智文教事業有限公司附設臺北巿私立睿智文理短期補習班哈拉分班</t>
  </si>
  <si>
    <r>
      <rPr>
        <sz val="10"/>
        <color rgb="FF1F2A28"/>
        <rFont val="WenQuanYi Zen Hei"/>
        <family val="2"/>
      </rPr>
      <t xml:space="preserve">內湖區康寧路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72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</si>
  <si>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26329965</t>
  </si>
  <si>
    <t xml:space="preserve">donghuaces@gmail.com</t>
  </si>
  <si>
    <t xml:space="preserve">睿智文教事業有限公司（唐睿哲）</t>
  </si>
  <si>
    <t xml:space="preserve">李孟蓁</t>
  </si>
  <si>
    <t xml:space="preserve">睿智文教事業有限公司附設臺北巿私立睿智文理短期補習班東湖分班</t>
  </si>
  <si>
    <r>
      <rPr>
        <sz val="10"/>
        <color rgb="FF1F2A28"/>
        <rFont val="WenQuanYi Zen Hei"/>
        <family val="2"/>
      </rPr>
      <t xml:space="preserve">內湖區康寧路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72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</si>
  <si>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2002-06-01</t>
  </si>
  <si>
    <t xml:space="preserve">許喬欣</t>
  </si>
  <si>
    <t xml:space="preserve">臺北巿私立文城文理短期補習班麗山分班</t>
  </si>
  <si>
    <r>
      <rPr>
        <sz val="10"/>
        <color rgb="FF1F2A28"/>
        <rFont val="WenQuanYi Zen Hei"/>
        <family val="2"/>
      </rPr>
      <t xml:space="preserve">內湖區港華街</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</si>
  <si>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87978462</t>
  </si>
  <si>
    <t xml:space="preserve">2009-06-01</t>
  </si>
  <si>
    <t xml:space="preserve">楊品嘉</t>
  </si>
  <si>
    <t xml:space="preserve">臺北市私立上琪語文文理短期補習班</t>
  </si>
  <si>
    <r>
      <rPr>
        <sz val="10"/>
        <color rgb="FF1F2A28"/>
        <rFont val="WenQuanYi Zen Hei"/>
        <family val="2"/>
      </rPr>
      <t xml:space="preserve">內湖區成功路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61</t>
    </r>
    <r>
      <rPr>
        <sz val="10"/>
        <color rgb="FF1F2A28"/>
        <rFont val="WenQuanYi Zen Hei"/>
        <family val="2"/>
      </rPr>
      <t xml:space="preserve">巷</t>
    </r>
    <r>
      <rPr>
        <sz val="10"/>
        <color rgb="FF1F2A28"/>
        <rFont val="Arial"/>
        <family val="0"/>
        <charset val="1"/>
      </rPr>
      <t xml:space="preserve">32</t>
    </r>
    <r>
      <rPr>
        <sz val="10"/>
        <color rgb="FF1F2A28"/>
        <rFont val="WenQuanYi Zen Hei"/>
        <family val="2"/>
      </rPr>
      <t xml:space="preserve">弄</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</si>
  <si>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87921647</t>
  </si>
  <si>
    <t xml:space="preserve">geniechen0314@gmail.com</t>
  </si>
  <si>
    <t xml:space="preserve">2003-08-01</t>
  </si>
  <si>
    <t xml:space="preserve">陳秋惠</t>
  </si>
  <si>
    <t xml:space="preserve">臺北市私立伊力特美語短期補習班</t>
  </si>
  <si>
    <r>
      <rPr>
        <sz val="10"/>
        <color rgb="FF1F2A28"/>
        <rFont val="WenQuanYi Zen Hei"/>
        <family val="2"/>
      </rPr>
      <t xml:space="preserve">內湖區大湖山莊街</t>
    </r>
    <r>
      <rPr>
        <sz val="10"/>
        <color rgb="FF1F2A28"/>
        <rFont val="Arial"/>
        <family val="0"/>
        <charset val="1"/>
      </rPr>
      <t xml:space="preserve">185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</si>
  <si>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27936501</t>
  </si>
  <si>
    <t xml:space="preserve">meidah@yahoo.com</t>
  </si>
  <si>
    <t xml:space="preserve">仇沛芳</t>
  </si>
  <si>
    <t xml:space="preserve">劉慧長</t>
  </si>
  <si>
    <t xml:space="preserve">臺北市私立伊頓美語短期補習班</t>
  </si>
  <si>
    <r>
      <rPr>
        <sz val="10"/>
        <color rgb="FF1F2A28"/>
        <rFont val="WenQuanYi Zen Hei"/>
        <family val="2"/>
      </rPr>
      <t xml:space="preserve">內湖區金湖路</t>
    </r>
    <r>
      <rPr>
        <sz val="10"/>
        <color rgb="FF1F2A28"/>
        <rFont val="Arial"/>
        <family val="0"/>
        <charset val="1"/>
      </rPr>
      <t xml:space="preserve">401</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</si>
  <si>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26325616</t>
  </si>
  <si>
    <t xml:space="preserve">etonenglishschool@gmail.com</t>
  </si>
  <si>
    <t xml:space="preserve">2011-03-01</t>
  </si>
  <si>
    <t xml:space="preserve">曹君豪</t>
  </si>
  <si>
    <t xml:space="preserve">臺北市私立佩皮文理語文短期補習班</t>
  </si>
  <si>
    <r>
      <rPr>
        <sz val="10"/>
        <color rgb="FF1F2A28"/>
        <rFont val="WenQuanYi Zen Hei"/>
        <family val="2"/>
      </rPr>
      <t xml:space="preserve">內湖區成功路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61</t>
    </r>
    <r>
      <rPr>
        <sz val="10"/>
        <color rgb="FF1F2A28"/>
        <rFont val="WenQuanYi Zen Hei"/>
        <family val="2"/>
      </rPr>
      <t xml:space="preserve">巷</t>
    </r>
    <r>
      <rPr>
        <sz val="10"/>
        <color rgb="FF1F2A28"/>
        <rFont val="Arial"/>
        <family val="0"/>
        <charset val="1"/>
      </rPr>
      <t xml:space="preserve">37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</si>
  <si>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27938321</t>
  </si>
  <si>
    <t xml:space="preserve">蘇園程</t>
  </si>
  <si>
    <t xml:space="preserve">臺北市私立佳因語文短期補習班</t>
  </si>
  <si>
    <r>
      <rPr>
        <sz val="10"/>
        <color rgb="FF1F2A28"/>
        <rFont val="WenQuanYi Zen Hei"/>
        <family val="2"/>
      </rPr>
      <t xml:space="preserve">內湖區麗山街</t>
    </r>
    <r>
      <rPr>
        <sz val="10"/>
        <color rgb="FF1F2A28"/>
        <rFont val="Arial"/>
        <family val="0"/>
        <charset val="1"/>
      </rPr>
      <t xml:space="preserve">338</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</si>
  <si>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26580129</t>
  </si>
  <si>
    <t xml:space="preserve">joy91.joy91@msa.hinet.net</t>
  </si>
  <si>
    <t xml:space="preserve">1995-02-01</t>
  </si>
  <si>
    <t xml:space="preserve">王淑萍</t>
  </si>
  <si>
    <t xml:space="preserve">臺北市私立佳茵語文短期補習班</t>
  </si>
  <si>
    <r>
      <rPr>
        <sz val="10"/>
        <color rgb="FF1F2A28"/>
        <rFont val="WenQuanYi Zen Hei"/>
        <family val="2"/>
      </rPr>
      <t xml:space="preserve">內湖區麗山街</t>
    </r>
    <r>
      <rPr>
        <sz val="10"/>
        <color rgb="FF1F2A28"/>
        <rFont val="Arial"/>
        <family val="0"/>
        <charset val="1"/>
      </rPr>
      <t xml:space="preserve">338</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</si>
  <si>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2011-07-01</t>
  </si>
  <si>
    <t xml:space="preserve">曾方霓</t>
  </si>
  <si>
    <t xml:space="preserve">臺北市私立佳語半日語文資訊短期補習班</t>
  </si>
  <si>
    <r>
      <rPr>
        <sz val="10"/>
        <color rgb="FF1F2A28"/>
        <rFont val="WenQuanYi Zen Hei"/>
        <family val="2"/>
      </rPr>
      <t xml:space="preserve">內湖區麗山街</t>
    </r>
    <r>
      <rPr>
        <sz val="10"/>
        <color rgb="FF1F2A28"/>
        <rFont val="Arial"/>
        <family val="0"/>
        <charset val="1"/>
      </rPr>
      <t xml:space="preserve">338</t>
    </r>
    <r>
      <rPr>
        <sz val="10"/>
        <color rgb="FF1F2A28"/>
        <rFont val="WenQuanYi Zen Hei"/>
        <family val="2"/>
      </rPr>
      <t xml:space="preserve">巷</t>
    </r>
    <r>
      <rPr>
        <sz val="10"/>
        <color rgb="FF1F2A28"/>
        <rFont val="Arial"/>
        <family val="0"/>
        <charset val="1"/>
      </rPr>
      <t xml:space="preserve">20-22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</si>
  <si>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曾萬吉</t>
  </si>
  <si>
    <t xml:space="preserve">臺北市私立傳思文理技藝短期補習班</t>
  </si>
  <si>
    <r>
      <rPr>
        <sz val="10"/>
        <color rgb="FF1F2A28"/>
        <rFont val="WenQuanYi Zen Hei"/>
        <family val="2"/>
      </rPr>
      <t xml:space="preserve">內湖區康寧路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70</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1</t>
    </r>
    <r>
      <rPr>
        <sz val="10"/>
        <color rgb="FF1F2A28"/>
        <rFont val="WenQuanYi Zen Hei"/>
        <family val="2"/>
      </rPr>
      <t xml:space="preserve">樓</t>
    </r>
  </si>
  <si>
    <t xml:space="preserve">26339776</t>
  </si>
  <si>
    <t xml:space="preserve">acct@ckids.com.tw</t>
  </si>
  <si>
    <t xml:space="preserve">洪秋香</t>
  </si>
  <si>
    <t xml:space="preserve">臺北市私立傳斯文理技藝短期補習班</t>
  </si>
  <si>
    <r>
      <rPr>
        <sz val="10"/>
        <color rgb="FF1F2A28"/>
        <rFont val="WenQuanYi Zen Hei"/>
        <family val="2"/>
      </rPr>
      <t xml:space="preserve">內湖區民權東路</t>
    </r>
    <r>
      <rPr>
        <sz val="10"/>
        <color rgb="FF1F2A28"/>
        <rFont val="Arial"/>
        <family val="0"/>
        <charset val="1"/>
      </rPr>
      <t xml:space="preserve">6</t>
    </r>
    <r>
      <rPr>
        <sz val="10"/>
        <color rgb="FF1F2A28"/>
        <rFont val="WenQuanYi Zen Hei"/>
        <family val="2"/>
      </rPr>
      <t xml:space="preserve">段</t>
    </r>
    <r>
      <rPr>
        <sz val="10"/>
        <color rgb="FF1F2A28"/>
        <rFont val="Arial"/>
        <family val="0"/>
        <charset val="1"/>
      </rPr>
      <t xml:space="preserve">296</t>
    </r>
    <r>
      <rPr>
        <sz val="10"/>
        <color rgb="FF1F2A28"/>
        <rFont val="WenQuanYi Zen Hei"/>
        <family val="2"/>
      </rPr>
      <t xml:space="preserve">巷</t>
    </r>
    <r>
      <rPr>
        <sz val="10"/>
        <color rgb="FF1F2A28"/>
        <rFont val="Arial"/>
        <family val="0"/>
        <charset val="1"/>
      </rPr>
      <t xml:space="preserve">58</t>
    </r>
    <r>
      <rPr>
        <sz val="10"/>
        <color rgb="FF1F2A28"/>
        <rFont val="WenQuanYi Zen Hei"/>
        <family val="2"/>
      </rPr>
      <t xml:space="preserve">、</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</si>
  <si>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26307608</t>
  </si>
  <si>
    <t xml:space="preserve">iris@ckids.com.tw</t>
  </si>
  <si>
    <t xml:space="preserve">黃明月</t>
  </si>
  <si>
    <t xml:space="preserve">臺北市私立僑意文理短期補習班</t>
  </si>
  <si>
    <r>
      <rPr>
        <sz val="10"/>
        <color rgb="FF1F2A28"/>
        <rFont val="WenQuanYi Zen Hei"/>
        <family val="2"/>
      </rPr>
      <t xml:space="preserve">內湖區麗山街</t>
    </r>
    <r>
      <rPr>
        <sz val="10"/>
        <color rgb="FF1F2A28"/>
        <rFont val="Arial"/>
        <family val="0"/>
        <charset val="1"/>
      </rPr>
      <t xml:space="preserve">338</t>
    </r>
    <r>
      <rPr>
        <sz val="10"/>
        <color rgb="FF1F2A28"/>
        <rFont val="WenQuanYi Zen Hei"/>
        <family val="2"/>
      </rPr>
      <t xml:space="preserve">巷</t>
    </r>
    <r>
      <rPr>
        <sz val="10"/>
        <color rgb="FF1F2A28"/>
        <rFont val="Arial"/>
        <family val="0"/>
        <charset val="1"/>
      </rPr>
      <t xml:space="preserve">24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</si>
  <si>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0226572900</t>
  </si>
  <si>
    <t xml:space="preserve">a0989996194@gmail.com</t>
  </si>
  <si>
    <t xml:space="preserve">陳怡均</t>
  </si>
  <si>
    <t xml:space="preserve">臺北市私立全昇文理短期補習班</t>
  </si>
  <si>
    <r>
      <rPr>
        <sz val="10"/>
        <color rgb="FF1F2A28"/>
        <rFont val="WenQuanYi Zen Hei"/>
        <family val="2"/>
      </rPr>
      <t xml:space="preserve">內湖區星雲街</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</si>
  <si>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27935358</t>
  </si>
  <si>
    <t xml:space="preserve">angel02882000@yahoo.com.tw</t>
  </si>
  <si>
    <t xml:space="preserve">2010-06-01</t>
  </si>
  <si>
    <t xml:space="preserve">魯育誠</t>
  </si>
  <si>
    <t xml:space="preserve">游宏宇</t>
  </si>
  <si>
    <t xml:space="preserve">臺北市私立卡琳英語文理短期補習班</t>
  </si>
  <si>
    <r>
      <rPr>
        <sz val="10"/>
        <color rgb="FF1F2A28"/>
        <rFont val="WenQuanYi Zen Hei"/>
        <family val="2"/>
      </rPr>
      <t xml:space="preserve">內湖區星雲街</t>
    </r>
    <r>
      <rPr>
        <sz val="10"/>
        <color rgb="FF1F2A28"/>
        <rFont val="Arial"/>
        <family val="0"/>
        <charset val="1"/>
      </rPr>
      <t xml:space="preserve">128</t>
    </r>
    <r>
      <rPr>
        <sz val="10"/>
        <color rgb="FF1F2A28"/>
        <rFont val="WenQuanYi Zen Hei"/>
        <family val="2"/>
      </rPr>
      <t xml:space="preserve">號、</t>
    </r>
    <r>
      <rPr>
        <sz val="10"/>
        <color rgb="FF1F2A28"/>
        <rFont val="Arial"/>
        <family val="0"/>
        <charset val="1"/>
      </rPr>
      <t xml:space="preserve">132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</si>
  <si>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27948158</t>
  </si>
  <si>
    <t xml:space="preserve">carleenselc@hotmail.com</t>
  </si>
  <si>
    <t xml:space="preserve">2008-10-01</t>
  </si>
  <si>
    <t xml:space="preserve">洪雅興</t>
  </si>
  <si>
    <t xml:space="preserve">臺北市私立向日葵資優文理短期補習班</t>
  </si>
  <si>
    <r>
      <rPr>
        <sz val="10"/>
        <color rgb="FF1F2A28"/>
        <rFont val="WenQuanYi Zen Hei"/>
        <family val="2"/>
      </rPr>
      <t xml:space="preserve">內湖區內湖路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737</t>
    </r>
    <r>
      <rPr>
        <sz val="10"/>
        <color rgb="FF1F2A28"/>
        <rFont val="WenQuanYi Zen Hei"/>
        <family val="2"/>
      </rPr>
      <t xml:space="preserve">巷</t>
    </r>
    <r>
      <rPr>
        <sz val="10"/>
        <color rgb="FF1F2A28"/>
        <rFont val="Arial"/>
        <family val="0"/>
        <charset val="1"/>
      </rPr>
      <t xml:space="preserve">51</t>
    </r>
    <r>
      <rPr>
        <sz val="10"/>
        <color rgb="FF1F2A28"/>
        <rFont val="WenQuanYi Zen Hei"/>
        <family val="2"/>
      </rPr>
      <t xml:space="preserve">弄</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</si>
  <si>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27990903</t>
  </si>
  <si>
    <t xml:space="preserve">lingling10_27@yahoo.com.tw</t>
  </si>
  <si>
    <t xml:space="preserve">1995-11-01</t>
  </si>
  <si>
    <t xml:space="preserve">楊玲玲</t>
  </si>
  <si>
    <t xml:space="preserve">臺北市私立哈佛兒語文短期補習班</t>
  </si>
  <si>
    <r>
      <rPr>
        <sz val="10"/>
        <color rgb="FF1F2A28"/>
        <rFont val="WenQuanYi Zen Hei"/>
        <family val="2"/>
      </rPr>
      <t xml:space="preserve">內湖區文德路</t>
    </r>
    <r>
      <rPr>
        <sz val="10"/>
        <color rgb="FF1F2A28"/>
        <rFont val="Arial"/>
        <family val="0"/>
        <charset val="1"/>
      </rPr>
      <t xml:space="preserve">210</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8</t>
    </r>
    <r>
      <rPr>
        <sz val="10"/>
        <color rgb="FF1F2A28"/>
        <rFont val="WenQuanYi Zen Hei"/>
        <family val="2"/>
      </rPr>
      <t xml:space="preserve">之</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</si>
  <si>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26588004</t>
  </si>
  <si>
    <t xml:space="preserve">chen21082@gmail.com</t>
  </si>
  <si>
    <t xml:space="preserve">1998-01-01</t>
  </si>
  <si>
    <t xml:space="preserve">陳麟宇</t>
  </si>
  <si>
    <t xml:space="preserve">臺北市私立嘉成文理短期補習班</t>
  </si>
  <si>
    <r>
      <rPr>
        <sz val="10"/>
        <color rgb="FF1F2A28"/>
        <rFont val="WenQuanYi Zen Hei"/>
        <family val="2"/>
      </rPr>
      <t xml:space="preserve">內湖區成功路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166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</si>
  <si>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27942515</t>
  </si>
  <si>
    <t xml:space="preserve">hs2177@hess.com.tw</t>
  </si>
  <si>
    <t xml:space="preserve">武榮財</t>
  </si>
  <si>
    <t xml:space="preserve">李珮伃</t>
  </si>
  <si>
    <t xml:space="preserve">臺北市私立多元文理技藝短期補習班</t>
  </si>
  <si>
    <r>
      <rPr>
        <sz val="10"/>
        <color rgb="FF1F2A28"/>
        <rFont val="WenQuanYi Zen Hei"/>
        <family val="2"/>
      </rPr>
      <t xml:space="preserve">內湖區民權東路</t>
    </r>
    <r>
      <rPr>
        <sz val="10"/>
        <color rgb="FF1F2A28"/>
        <rFont val="Arial"/>
        <family val="0"/>
        <charset val="1"/>
      </rPr>
      <t xml:space="preserve">6</t>
    </r>
    <r>
      <rPr>
        <sz val="10"/>
        <color rgb="FF1F2A28"/>
        <rFont val="WenQuanYi Zen Hei"/>
        <family val="2"/>
      </rPr>
      <t xml:space="preserve">段</t>
    </r>
    <r>
      <rPr>
        <sz val="10"/>
        <color rgb="FF1F2A28"/>
        <rFont val="Arial"/>
        <family val="0"/>
        <charset val="1"/>
      </rPr>
      <t xml:space="preserve">110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112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</si>
  <si>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02-27926691</t>
  </si>
  <si>
    <t xml:space="preserve">diversifytw@gmail.com</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</si>
  <si>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商類：珠算、心算、會計</t>
    </r>
  </si>
  <si>
    <t xml:space="preserve">黃建仁</t>
  </si>
  <si>
    <t xml:space="preserve">臺北市私立奧斯福爾文理技藝短期補習班</t>
  </si>
  <si>
    <r>
      <rPr>
        <sz val="10"/>
        <color rgb="FF1F2A28"/>
        <rFont val="WenQuanYi Zen Hei"/>
        <family val="2"/>
      </rPr>
      <t xml:space="preserve">內湖區民權東路</t>
    </r>
    <r>
      <rPr>
        <sz val="10"/>
        <color rgb="FF1F2A28"/>
        <rFont val="Arial"/>
        <family val="0"/>
        <charset val="1"/>
      </rPr>
      <t xml:space="preserve">6</t>
    </r>
    <r>
      <rPr>
        <sz val="10"/>
        <color rgb="FF1F2A28"/>
        <rFont val="WenQuanYi Zen Hei"/>
        <family val="2"/>
      </rPr>
      <t xml:space="preserve">段</t>
    </r>
    <r>
      <rPr>
        <sz val="10"/>
        <color rgb="FF1F2A28"/>
        <rFont val="Arial"/>
        <family val="0"/>
        <charset val="1"/>
      </rPr>
      <t xml:space="preserve">296</t>
    </r>
    <r>
      <rPr>
        <sz val="10"/>
        <color rgb="FF1F2A28"/>
        <rFont val="WenQuanYi Zen Hei"/>
        <family val="2"/>
      </rPr>
      <t xml:space="preserve">巷</t>
    </r>
    <r>
      <rPr>
        <sz val="10"/>
        <color rgb="FF1F2A28"/>
        <rFont val="Arial"/>
        <family val="0"/>
        <charset val="1"/>
      </rPr>
      <t xml:space="preserve">66</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</si>
  <si>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26340258</t>
  </si>
  <si>
    <t xml:space="preserve">fanny@taipeioxford.com.tw</t>
  </si>
  <si>
    <t xml:space="preserve">1999-07-01</t>
  </si>
  <si>
    <t xml:space="preserve">謝煜志</t>
  </si>
  <si>
    <t xml:space="preserve">謝育霖</t>
  </si>
  <si>
    <t xml:space="preserve">臺北市私立小學堂文理短期補習班</t>
  </si>
  <si>
    <r>
      <rPr>
        <sz val="10"/>
        <color rgb="FF1F2A28"/>
        <rFont val="WenQuanYi Zen Hei"/>
        <family val="2"/>
      </rPr>
      <t xml:space="preserve">內湖區成功路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45</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</si>
  <si>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27903820</t>
  </si>
  <si>
    <t xml:space="preserve">christinatchsu@gmail.com</t>
  </si>
  <si>
    <t xml:space="preserve">徐德琴</t>
  </si>
  <si>
    <t xml:space="preserve">臺北市私立小湯拇美語短期補習班</t>
  </si>
  <si>
    <r>
      <rPr>
        <sz val="10"/>
        <color rgb="FF1F2A28"/>
        <rFont val="WenQuanYi Zen Hei"/>
        <family val="2"/>
      </rPr>
      <t xml:space="preserve">內湖區內湖路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355</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弄</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</si>
  <si>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27906863</t>
  </si>
  <si>
    <t xml:space="preserve">Tommyeschool@hotmail.com</t>
  </si>
  <si>
    <t xml:space="preserve">孫長福</t>
  </si>
  <si>
    <t xml:space="preserve">臺北市私立小琴房音樂藝術文理技藝短期補習班</t>
  </si>
  <si>
    <r>
      <rPr>
        <sz val="10"/>
        <color rgb="FF1F2A28"/>
        <rFont val="WenQuanYi Zen Hei"/>
        <family val="2"/>
      </rPr>
      <t xml:space="preserve">內湖區成功路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160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</si>
  <si>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27930898</t>
  </si>
  <si>
    <t xml:space="preserve">kaeling0313@gmail.com</t>
  </si>
  <si>
    <t xml:space="preserve">2004-06-01</t>
  </si>
  <si>
    <t xml:space="preserve">張鎧玲</t>
  </si>
  <si>
    <t xml:space="preserve">臺北市私立恩貝亞美語短期補習班</t>
  </si>
  <si>
    <r>
      <rPr>
        <sz val="10"/>
        <color rgb="FF1F2A28"/>
        <rFont val="WenQuanYi Zen Hei"/>
        <family val="2"/>
      </rPr>
      <t xml:space="preserve">內湖區金湖路</t>
    </r>
    <r>
      <rPr>
        <sz val="10"/>
        <color rgb="FF1F2A28"/>
        <rFont val="Arial"/>
        <family val="0"/>
        <charset val="1"/>
      </rPr>
      <t xml:space="preserve">179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</si>
  <si>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27916484</t>
  </si>
  <si>
    <t xml:space="preserve">enyaschool1791@gmail.com</t>
  </si>
  <si>
    <t xml:space="preserve">黃健源</t>
  </si>
  <si>
    <t xml:space="preserve">王淑吟</t>
  </si>
  <si>
    <t xml:space="preserve">臺北市私立恰克美語短期補習班</t>
  </si>
  <si>
    <r>
      <rPr>
        <sz val="10"/>
        <color rgb="FF1F2A28"/>
        <rFont val="WenQuanYi Zen Hei"/>
        <family val="2"/>
      </rPr>
      <t xml:space="preserve">內湖區大湖山莊街</t>
    </r>
    <r>
      <rPr>
        <sz val="10"/>
        <color rgb="FF1F2A28"/>
        <rFont val="Arial"/>
        <family val="0"/>
        <charset val="1"/>
      </rPr>
      <t xml:space="preserve">152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</si>
  <si>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27923831</t>
  </si>
  <si>
    <t xml:space="preserve">chuckamericanschool@gmail.com</t>
  </si>
  <si>
    <t xml:space="preserve">劉寶鳳</t>
  </si>
  <si>
    <t xml:space="preserve">劉玉燕</t>
  </si>
  <si>
    <t xml:space="preserve">臺北市私立愛笛語文短期補習班</t>
  </si>
  <si>
    <r>
      <rPr>
        <sz val="10"/>
        <color rgb="FF1F2A28"/>
        <rFont val="WenQuanYi Zen Hei"/>
        <family val="2"/>
      </rPr>
      <t xml:space="preserve">內湖區內湖路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348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</si>
  <si>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87911212</t>
  </si>
  <si>
    <t xml:space="preserve">idea.service.tw@gmail.com</t>
  </si>
  <si>
    <t xml:space="preserve">2008-09-01</t>
  </si>
  <si>
    <t xml:space="preserve">林嘉熙</t>
  </si>
  <si>
    <t xml:space="preserve">臺北市私立捲耳貓程式設計電腦文理短期補習班</t>
  </si>
  <si>
    <r>
      <rPr>
        <sz val="10"/>
        <color rgb="FF1F2A28"/>
        <rFont val="WenQuanYi Zen Hei"/>
        <family val="2"/>
      </rPr>
      <t xml:space="preserve">內湖區內湖路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313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樓及</t>
    </r>
    <r>
      <rPr>
        <sz val="10"/>
        <color rgb="FF1F2A28"/>
        <rFont val="Arial"/>
        <family val="0"/>
        <charset val="1"/>
      </rPr>
      <t xml:space="preserve">309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</si>
  <si>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(02)26598909</t>
  </si>
  <si>
    <t xml:space="preserve">codecat168@gmail.com</t>
  </si>
  <si>
    <t xml:space="preserve">2017-10-03</t>
  </si>
  <si>
    <t xml:space="preserve">馮士丞</t>
  </si>
  <si>
    <t xml:space="preserve">臺北市私立放心學美語文理短期補習班東湖分班</t>
  </si>
  <si>
    <r>
      <rPr>
        <sz val="10"/>
        <color rgb="FF1F2A28"/>
        <rFont val="WenQuanYi Zen Hei"/>
        <family val="2"/>
      </rPr>
      <t xml:space="preserve">內湖區東湖路</t>
    </r>
    <r>
      <rPr>
        <sz val="10"/>
        <color rgb="FF1F2A28"/>
        <rFont val="Arial"/>
        <family val="0"/>
        <charset val="1"/>
      </rPr>
      <t xml:space="preserve">113</t>
    </r>
    <r>
      <rPr>
        <sz val="10"/>
        <color rgb="FF1F2A28"/>
        <rFont val="WenQuanYi Zen Hei"/>
        <family val="2"/>
      </rPr>
      <t xml:space="preserve">巷</t>
    </r>
    <r>
      <rPr>
        <sz val="10"/>
        <color rgb="FF1F2A28"/>
        <rFont val="Arial"/>
        <family val="0"/>
        <charset val="1"/>
      </rPr>
      <t xml:space="preserve">95</t>
    </r>
    <r>
      <rPr>
        <sz val="10"/>
        <color rgb="FF1F2A28"/>
        <rFont val="WenQuanYi Zen Hei"/>
        <family val="2"/>
      </rPr>
      <t xml:space="preserve">弄</t>
    </r>
    <r>
      <rPr>
        <sz val="10"/>
        <color rgb="FF1F2A28"/>
        <rFont val="Arial"/>
        <family val="0"/>
        <charset val="1"/>
      </rPr>
      <t xml:space="preserve">153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</si>
  <si>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02-2631-5777</t>
  </si>
  <si>
    <t xml:space="preserve">sesamestreet2012@gmail.com</t>
  </si>
  <si>
    <t xml:space="preserve">2012-07-31</t>
  </si>
  <si>
    <t xml:space="preserve">廖蓉</t>
  </si>
  <si>
    <t xml:space="preserve">臺北市私立新湖文理短期補習班</t>
  </si>
  <si>
    <r>
      <rPr>
        <sz val="10"/>
        <color rgb="FF1F2A28"/>
        <rFont val="WenQuanYi Zen Hei"/>
        <family val="2"/>
      </rPr>
      <t xml:space="preserve">內湖區民權東路</t>
    </r>
    <r>
      <rPr>
        <sz val="10"/>
        <color rgb="FF1F2A28"/>
        <rFont val="Arial"/>
        <family val="0"/>
        <charset val="1"/>
      </rPr>
      <t xml:space="preserve">6</t>
    </r>
    <r>
      <rPr>
        <sz val="10"/>
        <color rgb="FF1F2A28"/>
        <rFont val="WenQuanYi Zen Hei"/>
        <family val="2"/>
      </rPr>
      <t xml:space="preserve">段</t>
    </r>
    <r>
      <rPr>
        <sz val="10"/>
        <color rgb="FF1F2A28"/>
        <rFont val="Arial"/>
        <family val="0"/>
        <charset val="1"/>
      </rPr>
      <t xml:space="preserve">123</t>
    </r>
    <r>
      <rPr>
        <sz val="10"/>
        <color rgb="FF1F2A28"/>
        <rFont val="WenQuanYi Zen Hei"/>
        <family val="2"/>
      </rPr>
      <t xml:space="preserve">巷</t>
    </r>
    <r>
      <rPr>
        <sz val="10"/>
        <color rgb="FF1F2A28"/>
        <rFont val="Arial"/>
        <family val="0"/>
        <charset val="1"/>
      </rPr>
      <t xml:space="preserve">34</t>
    </r>
    <r>
      <rPr>
        <sz val="10"/>
        <color rgb="FF1F2A28"/>
        <rFont val="WenQuanYi Zen Hei"/>
        <family val="2"/>
      </rPr>
      <t xml:space="preserve">弄</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</si>
  <si>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27917159</t>
  </si>
  <si>
    <t xml:space="preserve">hs2202@hess.com.tw</t>
  </si>
  <si>
    <t xml:space="preserve">2012-08-28</t>
  </si>
  <si>
    <t xml:space="preserve">鄭淑珍</t>
  </si>
  <si>
    <t xml:space="preserve">劉于瑄</t>
  </si>
  <si>
    <t xml:space="preserve">臺北市私立有欣語文短期補習班</t>
  </si>
  <si>
    <r>
      <rPr>
        <sz val="10"/>
        <color rgb="FF1F2A28"/>
        <rFont val="WenQuanYi Zen Hei"/>
        <family val="2"/>
      </rPr>
      <t xml:space="preserve">內湖區內湖路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148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 </t>
    </r>
    <r>
      <rPr>
        <sz val="10"/>
        <color rgb="FF1F2A28"/>
        <rFont val="Arial"/>
        <family val="0"/>
        <charset val="1"/>
      </rPr>
      <t xml:space="preserve">148</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</si>
  <si>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26577919</t>
  </si>
  <si>
    <t xml:space="preserve">hs2180@hess.com.tw</t>
  </si>
  <si>
    <t xml:space="preserve">2015-12-15</t>
  </si>
  <si>
    <t xml:space="preserve">徐靖梅</t>
  </si>
  <si>
    <t xml:space="preserve">洪譓</t>
  </si>
  <si>
    <t xml:space="preserve">臺北市私立查理布朗美語短期補習班</t>
  </si>
  <si>
    <r>
      <rPr>
        <sz val="10"/>
        <color rgb="FF1F2A28"/>
        <rFont val="WenQuanYi Zen Hei"/>
        <family val="2"/>
      </rPr>
      <t xml:space="preserve">內湖區成功路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174</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</si>
  <si>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87926412</t>
  </si>
  <si>
    <t xml:space="preserve">cho.k5@msa.hinet.net</t>
  </si>
  <si>
    <t xml:space="preserve">2004-03-01</t>
  </si>
  <si>
    <t xml:space="preserve">沈怡文</t>
  </si>
  <si>
    <t xml:space="preserve">臺北市私立歡樂花園語文技藝短期補習班</t>
  </si>
  <si>
    <r>
      <rPr>
        <sz val="10"/>
        <color rgb="FF1F2A28"/>
        <rFont val="WenQuanYi Zen Hei"/>
        <family val="2"/>
      </rPr>
      <t xml:space="preserve">內湖區環山路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24</t>
    </r>
    <r>
      <rPr>
        <sz val="10"/>
        <color rgb="FF1F2A28"/>
        <rFont val="WenQuanYi Zen Hei"/>
        <family val="2"/>
      </rPr>
      <t xml:space="preserve">巷</t>
    </r>
    <r>
      <rPr>
        <sz val="10"/>
        <color rgb="FF1F2A28"/>
        <rFont val="Arial"/>
        <family val="0"/>
        <charset val="1"/>
      </rPr>
      <t xml:space="preserve">34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</si>
  <si>
    <t xml:space="preserve">26573285</t>
  </si>
  <si>
    <t xml:space="preserve">happygarden100@gmail.com</t>
  </si>
  <si>
    <t xml:space="preserve">2011-12-15</t>
  </si>
  <si>
    <t xml:space="preserve">陳欣琦</t>
  </si>
  <si>
    <t xml:space="preserve">臺北市私立法思樂英語短期補習班</t>
  </si>
  <si>
    <r>
      <rPr>
        <sz val="10"/>
        <color rgb="FF1F2A28"/>
        <rFont val="WenQuanYi Zen Hei"/>
        <family val="2"/>
      </rPr>
      <t xml:space="preserve">內湖區康寧路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163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</si>
  <si>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26327250</t>
  </si>
  <si>
    <t xml:space="preserve">fhuang2012@hotmail.com</t>
  </si>
  <si>
    <t xml:space="preserve">2013-02-23</t>
  </si>
  <si>
    <t xml:space="preserve">黃鼎鈞</t>
  </si>
  <si>
    <t xml:space="preserve">臺北市私立波爾頓文理短期補習班</t>
  </si>
  <si>
    <r>
      <rPr>
        <sz val="10"/>
        <color rgb="FF1F2A28"/>
        <rFont val="WenQuanYi Zen Hei"/>
        <family val="2"/>
      </rPr>
      <t xml:space="preserve">內湖區康寧路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99</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弄</t>
    </r>
    <r>
      <rPr>
        <sz val="10"/>
        <color rgb="FF1F2A28"/>
        <rFont val="Arial"/>
        <family val="0"/>
        <charset val="1"/>
      </rPr>
      <t xml:space="preserve">12</t>
    </r>
    <r>
      <rPr>
        <sz val="10"/>
        <color rgb="FF1F2A28"/>
        <rFont val="WenQuanYi Zen Hei"/>
        <family val="2"/>
      </rPr>
      <t xml:space="preserve">號一樓</t>
    </r>
  </si>
  <si>
    <t xml:space="preserve">26329891</t>
  </si>
  <si>
    <t xml:space="preserve">derteresa@yahoo.com</t>
  </si>
  <si>
    <t xml:space="preserve">王旺德</t>
  </si>
  <si>
    <t xml:space="preserve">郭瑤萍</t>
  </si>
  <si>
    <t xml:space="preserve">臺北市私立琴苼音樂語文短期補習班</t>
  </si>
  <si>
    <r>
      <rPr>
        <sz val="10"/>
        <color rgb="FF1F2A28"/>
        <rFont val="WenQuanYi Zen Hei"/>
        <family val="2"/>
      </rPr>
      <t xml:space="preserve">內湖區成功路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61</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弄</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</si>
  <si>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27926220</t>
  </si>
  <si>
    <t xml:space="preserve">cmc1@yamahacsm.com.tw</t>
  </si>
  <si>
    <t xml:space="preserve">2007-07-05</t>
  </si>
  <si>
    <t xml:space="preserve">郭秀薇</t>
  </si>
  <si>
    <t xml:space="preserve">盧靜如</t>
  </si>
  <si>
    <t xml:space="preserve">臺北市私立睿智語文短期補習班麗山分班</t>
  </si>
  <si>
    <r>
      <rPr>
        <sz val="10"/>
        <color rgb="FF1F2A28"/>
        <rFont val="WenQuanYi Zen Hei"/>
        <family val="2"/>
      </rPr>
      <t xml:space="preserve">內湖區內湖路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387</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</si>
  <si>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26279297</t>
  </si>
  <si>
    <t xml:space="preserve">lishanaces@gmail.com</t>
  </si>
  <si>
    <t xml:space="preserve">2005-02-16</t>
  </si>
  <si>
    <t xml:space="preserve">Francerichard Thomas</t>
  </si>
  <si>
    <t xml:space="preserve">廖淑儀</t>
  </si>
  <si>
    <t xml:space="preserve">臺北市私立程果語文短期補習班</t>
  </si>
  <si>
    <r>
      <rPr>
        <sz val="10"/>
        <color rgb="FF1F2A28"/>
        <rFont val="WenQuanYi Zen Hei"/>
        <family val="2"/>
      </rPr>
      <t xml:space="preserve">內湖區東湖路</t>
    </r>
    <r>
      <rPr>
        <sz val="10"/>
        <color rgb="FF1F2A28"/>
        <rFont val="Arial"/>
        <family val="0"/>
        <charset val="1"/>
      </rPr>
      <t xml:space="preserve">119</t>
    </r>
    <r>
      <rPr>
        <sz val="10"/>
        <color rgb="FF1F2A28"/>
        <rFont val="WenQuanYi Zen Hei"/>
        <family val="2"/>
      </rPr>
      <t xml:space="preserve">巷</t>
    </r>
    <r>
      <rPr>
        <sz val="10"/>
        <color rgb="FF1F2A28"/>
        <rFont val="Arial"/>
        <family val="0"/>
        <charset val="1"/>
      </rPr>
      <t xml:space="preserve">50</t>
    </r>
    <r>
      <rPr>
        <sz val="10"/>
        <color rgb="FF1F2A28"/>
        <rFont val="WenQuanYi Zen Hei"/>
        <family val="2"/>
      </rPr>
      <t xml:space="preserve">弄</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</si>
  <si>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26322747</t>
  </si>
  <si>
    <t xml:space="preserve">brian.chen@eagledh.com</t>
  </si>
  <si>
    <t xml:space="preserve">2009-01-01</t>
  </si>
  <si>
    <t xml:space="preserve">陳昭均</t>
  </si>
  <si>
    <t xml:space="preserve">臺北市私立立湖文理短期補習班</t>
  </si>
  <si>
    <r>
      <rPr>
        <sz val="10"/>
        <color rgb="FF1F2A28"/>
        <rFont val="WenQuanYi Zen Hei"/>
        <family val="2"/>
      </rPr>
      <t xml:space="preserve">內湖區金龍路</t>
    </r>
    <r>
      <rPr>
        <sz val="10"/>
        <color rgb="FF1F2A28"/>
        <rFont val="Arial"/>
        <family val="0"/>
        <charset val="1"/>
      </rPr>
      <t xml:space="preserve">144</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</si>
  <si>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27940279</t>
  </si>
  <si>
    <t xml:space="preserve">林美珠</t>
  </si>
  <si>
    <t xml:space="preserve">林美玲</t>
  </si>
  <si>
    <t xml:space="preserve">臺北市私立童采文理技藝短期補習班</t>
  </si>
  <si>
    <r>
      <rPr>
        <sz val="10"/>
        <color rgb="FF1F2A28"/>
        <rFont val="WenQuanYi Zen Hei"/>
        <family val="2"/>
      </rPr>
      <t xml:space="preserve">內湖區康寧路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165</t>
    </r>
    <r>
      <rPr>
        <sz val="10"/>
        <color rgb="FF1F2A28"/>
        <rFont val="WenQuanYi Zen Hei"/>
        <family val="2"/>
      </rPr>
      <t xml:space="preserve">巷</t>
    </r>
    <r>
      <rPr>
        <sz val="10"/>
        <color rgb="FF1F2A28"/>
        <rFont val="Arial"/>
        <family val="0"/>
        <charset val="1"/>
      </rPr>
      <t xml:space="preserve">14</t>
    </r>
    <r>
      <rPr>
        <sz val="10"/>
        <color rgb="FF1F2A28"/>
        <rFont val="WenQuanYi Zen Hei"/>
        <family val="2"/>
      </rPr>
      <t xml:space="preserve">弄</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</si>
  <si>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02-26315726</t>
  </si>
  <si>
    <t xml:space="preserve">robin.jlc@msa.hinet.net</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</si>
  <si>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</si>
  <si>
    <t xml:space="preserve">1991-11-01</t>
  </si>
  <si>
    <t xml:space="preserve">陳瑞林</t>
  </si>
  <si>
    <t xml:space="preserve">陳芬瑜</t>
  </si>
  <si>
    <t xml:space="preserve">臺北市私立細拉音樂英文短期補習班</t>
  </si>
  <si>
    <r>
      <rPr>
        <sz val="10"/>
        <color rgb="FF1F2A28"/>
        <rFont val="WenQuanYi Zen Hei"/>
        <family val="2"/>
      </rPr>
      <t xml:space="preserve">內湖區康寧路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99</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弄</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</si>
  <si>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26317142</t>
  </si>
  <si>
    <t xml:space="preserve">yufenhope@gmail.com</t>
  </si>
  <si>
    <t xml:space="preserve">陳詩音</t>
  </si>
  <si>
    <t xml:space="preserve">臺北市私立育名文理技藝短期補習班</t>
  </si>
  <si>
    <r>
      <rPr>
        <sz val="10"/>
        <color rgb="FF1F2A28"/>
        <rFont val="WenQuanYi Zen Hei"/>
        <family val="2"/>
      </rPr>
      <t xml:space="preserve">內湖區內湖路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</si>
  <si>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2627-9450</t>
  </si>
  <si>
    <t xml:space="preserve">ym999.liu@msa.hinet.net</t>
  </si>
  <si>
    <t xml:space="preserve">劉秀梅</t>
  </si>
  <si>
    <t xml:space="preserve">劉秀如</t>
  </si>
  <si>
    <t xml:space="preserve">臺北市私立西湖文理短期補習班</t>
  </si>
  <si>
    <r>
      <rPr>
        <sz val="10"/>
        <color rgb="FF1F2A28"/>
        <rFont val="WenQuanYi Zen Hei"/>
        <family val="2"/>
      </rPr>
      <t xml:space="preserve">內湖區內湖路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575</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</si>
  <si>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(02)26573776</t>
  </si>
  <si>
    <t xml:space="preserve">shihuwenli@gmail.com</t>
  </si>
  <si>
    <t xml:space="preserve">2017-09-27</t>
  </si>
  <si>
    <t xml:space="preserve">陳建志</t>
  </si>
  <si>
    <t xml:space="preserve">林雪微</t>
  </si>
  <si>
    <t xml:space="preserve">臺北市私立諾貝兒文理技藝短期補習班</t>
  </si>
  <si>
    <r>
      <rPr>
        <sz val="10"/>
        <color rgb="FF1F2A28"/>
        <rFont val="WenQuanYi Zen Hei"/>
        <family val="2"/>
      </rPr>
      <t xml:space="preserve">內湖區金湖路</t>
    </r>
    <r>
      <rPr>
        <sz val="10"/>
        <color rgb="FF1F2A28"/>
        <rFont val="Arial"/>
        <family val="0"/>
        <charset val="1"/>
      </rPr>
      <t xml:space="preserve">419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395</t>
    </r>
    <r>
      <rPr>
        <sz val="10"/>
        <color rgb="FF1F2A28"/>
        <rFont val="WenQuanYi Zen Hei"/>
        <family val="2"/>
      </rPr>
      <t xml:space="preserve">、</t>
    </r>
    <r>
      <rPr>
        <sz val="10"/>
        <color rgb="FF1F2A28"/>
        <rFont val="Arial"/>
        <family val="0"/>
        <charset val="1"/>
      </rPr>
      <t xml:space="preserve">397</t>
    </r>
    <r>
      <rPr>
        <sz val="10"/>
        <color rgb="FF1F2A28"/>
        <rFont val="WenQuanYi Zen Hei"/>
        <family val="2"/>
      </rPr>
      <t xml:space="preserve">、</t>
    </r>
    <r>
      <rPr>
        <sz val="10"/>
        <color rgb="FF1F2A28"/>
        <rFont val="Arial"/>
        <family val="0"/>
        <charset val="1"/>
      </rPr>
      <t xml:space="preserve">399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樓、民權東路</t>
    </r>
    <r>
      <rPr>
        <sz val="10"/>
        <color rgb="FF1F2A28"/>
        <rFont val="Arial"/>
        <family val="0"/>
        <charset val="1"/>
      </rPr>
      <t xml:space="preserve">6</t>
    </r>
    <r>
      <rPr>
        <sz val="10"/>
        <color rgb="FF1F2A28"/>
        <rFont val="WenQuanYi Zen Hei"/>
        <family val="2"/>
      </rPr>
      <t xml:space="preserve">段</t>
    </r>
    <r>
      <rPr>
        <sz val="10"/>
        <color rgb="FF1F2A28"/>
        <rFont val="Arial"/>
        <family val="0"/>
        <charset val="1"/>
      </rPr>
      <t xml:space="preserve">489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</si>
  <si>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2633-0368</t>
  </si>
  <si>
    <t xml:space="preserve">janice81363@gmail.com</t>
  </si>
  <si>
    <t xml:space="preserve">2001-03-01</t>
  </si>
  <si>
    <t xml:space="preserve">賴榮貴</t>
  </si>
  <si>
    <t xml:space="preserve">蘇乃雲</t>
  </si>
  <si>
    <t xml:space="preserve">臺北市私立迪亞語文補習班</t>
  </si>
  <si>
    <r>
      <rPr>
        <sz val="10"/>
        <color rgb="FF1F2A28"/>
        <rFont val="WenQuanYi Zen Hei"/>
        <family val="2"/>
      </rPr>
      <t xml:space="preserve">內湖區東湖路</t>
    </r>
    <r>
      <rPr>
        <sz val="10"/>
        <color rgb="FF1F2A28"/>
        <rFont val="Arial"/>
        <family val="0"/>
        <charset val="1"/>
      </rPr>
      <t xml:space="preserve">113</t>
    </r>
    <r>
      <rPr>
        <sz val="10"/>
        <color rgb="FF1F2A28"/>
        <rFont val="WenQuanYi Zen Hei"/>
        <family val="2"/>
      </rPr>
      <t xml:space="preserve">巷</t>
    </r>
    <r>
      <rPr>
        <sz val="10"/>
        <color rgb="FF1F2A28"/>
        <rFont val="Arial"/>
        <family val="0"/>
        <charset val="1"/>
      </rPr>
      <t xml:space="preserve">58</t>
    </r>
    <r>
      <rPr>
        <sz val="10"/>
        <color rgb="FF1F2A28"/>
        <rFont val="WenQuanYi Zen Hei"/>
        <family val="2"/>
      </rPr>
      <t xml:space="preserve">、</t>
    </r>
    <r>
      <rPr>
        <sz val="10"/>
        <color rgb="FF1F2A28"/>
        <rFont val="Arial"/>
        <family val="0"/>
        <charset val="1"/>
      </rPr>
      <t xml:space="preserve">64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</si>
  <si>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26332165</t>
  </si>
  <si>
    <t xml:space="preserve">英語會話</t>
  </si>
  <si>
    <t xml:space="preserve">1991-08-01</t>
  </si>
  <si>
    <t xml:space="preserve">尹人秀</t>
  </si>
  <si>
    <t xml:space="preserve">臺北市私立逸毅非凡夏恩文理短期補習班</t>
  </si>
  <si>
    <r>
      <rPr>
        <sz val="10"/>
        <color rgb="FF1F2A28"/>
        <rFont val="WenQuanYi Zen Hei"/>
        <family val="2"/>
      </rPr>
      <t xml:space="preserve">內湖區東湖路</t>
    </r>
    <r>
      <rPr>
        <sz val="10"/>
        <color rgb="FF1F2A28"/>
        <rFont val="Arial"/>
        <family val="0"/>
        <charset val="1"/>
      </rPr>
      <t xml:space="preserve">7</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5</t>
    </r>
    <r>
      <rPr>
        <sz val="10"/>
        <color rgb="FF1F2A28"/>
        <rFont val="WenQuanYi Zen Hei"/>
        <family val="2"/>
      </rPr>
      <t xml:space="preserve">樓</t>
    </r>
  </si>
  <si>
    <t xml:space="preserve">26311089</t>
  </si>
  <si>
    <t xml:space="preserve">b28021@yahoo.com.tw</t>
  </si>
  <si>
    <t xml:space="preserve">1997-11-01</t>
  </si>
  <si>
    <t xml:space="preserve">陳逸恆</t>
  </si>
  <si>
    <t xml:space="preserve">張凱琪</t>
  </si>
  <si>
    <t xml:space="preserve">臺北市私立達群文理技藝短期補習班</t>
  </si>
  <si>
    <r>
      <rPr>
        <sz val="10"/>
        <color rgb="FF1F2A28"/>
        <rFont val="WenQuanYi Zen Hei"/>
        <family val="2"/>
      </rPr>
      <t xml:space="preserve">內湖區內湖路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411</t>
    </r>
    <r>
      <rPr>
        <sz val="10"/>
        <color rgb="FF1F2A28"/>
        <rFont val="WenQuanYi Zen Hei"/>
        <family val="2"/>
      </rPr>
      <t xml:space="preserve">巷</t>
    </r>
    <r>
      <rPr>
        <sz val="10"/>
        <color rgb="FF1F2A28"/>
        <rFont val="Arial"/>
        <family val="0"/>
        <charset val="1"/>
      </rPr>
      <t xml:space="preserve">76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411</t>
    </r>
    <r>
      <rPr>
        <sz val="10"/>
        <color rgb="FF1F2A28"/>
        <rFont val="WenQuanYi Zen Hei"/>
        <family val="2"/>
      </rPr>
      <t xml:space="preserve">巷</t>
    </r>
    <r>
      <rPr>
        <sz val="10"/>
        <color rgb="FF1F2A28"/>
        <rFont val="Arial"/>
        <family val="0"/>
        <charset val="1"/>
      </rPr>
      <t xml:space="preserve">80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</si>
  <si>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02-26592307</t>
  </si>
  <si>
    <t xml:space="preserve">aa0989542062@gmail.com</t>
  </si>
  <si>
    <t xml:space="preserve">楊娟娟</t>
  </si>
  <si>
    <t xml:space="preserve">黃堅良</t>
  </si>
  <si>
    <t xml:space="preserve">臺北市私立音樂樹技藝文理短期補習班</t>
  </si>
  <si>
    <r>
      <rPr>
        <sz val="10"/>
        <color rgb="FF1F2A28"/>
        <rFont val="WenQuanYi Zen Hei"/>
        <family val="2"/>
      </rPr>
      <t xml:space="preserve">內湖區成功路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61</t>
    </r>
    <r>
      <rPr>
        <sz val="10"/>
        <color rgb="FF1F2A28"/>
        <rFont val="WenQuanYi Zen Hei"/>
        <family val="2"/>
      </rPr>
      <t xml:space="preserve">巷</t>
    </r>
    <r>
      <rPr>
        <sz val="10"/>
        <color rgb="FF1F2A28"/>
        <rFont val="Arial"/>
        <family val="0"/>
        <charset val="1"/>
      </rPr>
      <t xml:space="preserve">30</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樓及地下</t>
    </r>
    <r>
      <rPr>
        <sz val="10"/>
        <color rgb="FF1F2A28"/>
        <rFont val="Arial"/>
        <family val="0"/>
        <charset val="1"/>
      </rPr>
      <t xml:space="preserve">1</t>
    </r>
    <r>
      <rPr>
        <sz val="10"/>
        <color rgb="FF1F2A28"/>
        <rFont val="WenQuanYi Zen Hei"/>
        <family val="2"/>
      </rPr>
      <t xml:space="preserve">樓</t>
    </r>
  </si>
  <si>
    <t xml:space="preserve">27934899</t>
  </si>
  <si>
    <t xml:space="preserve">吳慧君</t>
  </si>
  <si>
    <t xml:space="preserve">黃雪玲</t>
  </si>
  <si>
    <t xml:space="preserve">臺北市私立高明一對一文理短期補習班</t>
  </si>
  <si>
    <r>
      <rPr>
        <sz val="10"/>
        <color rgb="FF1F2A28"/>
        <rFont val="WenQuanYi Zen Hei"/>
        <family val="2"/>
      </rPr>
      <t xml:space="preserve">內湖區星雲街</t>
    </r>
    <r>
      <rPr>
        <sz val="10"/>
        <color rgb="FF1F2A28"/>
        <rFont val="Arial"/>
        <family val="0"/>
        <charset val="1"/>
      </rPr>
      <t xml:space="preserve">15</t>
    </r>
    <r>
      <rPr>
        <sz val="10"/>
        <color rgb="FF1F2A28"/>
        <rFont val="WenQuanYi Zen Hei"/>
        <family val="2"/>
      </rPr>
      <t xml:space="preserve">巷</t>
    </r>
    <r>
      <rPr>
        <sz val="10"/>
        <color rgb="FF1F2A28"/>
        <rFont val="Arial"/>
        <family val="0"/>
        <charset val="1"/>
      </rPr>
      <t xml:space="preserve">15</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樓、成功路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</si>
  <si>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27962045</t>
  </si>
  <si>
    <t xml:space="preserve">007.km101@gmail.com</t>
  </si>
  <si>
    <t xml:space="preserve">2009-11-01</t>
  </si>
  <si>
    <t xml:space="preserve">李文章</t>
  </si>
  <si>
    <t xml:space="preserve">陳椀楨</t>
  </si>
  <si>
    <t xml:space="preserve">臺北市私立高羊語文文理短期補習班</t>
  </si>
  <si>
    <r>
      <rPr>
        <sz val="10"/>
        <color rgb="FF1F2A28"/>
        <rFont val="WenQuanYi Zen Hei"/>
        <family val="2"/>
      </rPr>
      <t xml:space="preserve">內湖區內湖路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355</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弄</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</si>
  <si>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27954488</t>
  </si>
  <si>
    <t xml:space="preserve">zzkuo99@gmail.com</t>
  </si>
  <si>
    <t xml:space="preserve">2004-01-01</t>
  </si>
  <si>
    <t xml:space="preserve">楊淳雅</t>
  </si>
  <si>
    <t xml:space="preserve">茂榞科技股份有限公司附設臺北市私立以馬內利語文文理短期補習班內湖分班</t>
  </si>
  <si>
    <r>
      <rPr>
        <sz val="10"/>
        <color rgb="FF1F2A28"/>
        <rFont val="WenQuanYi Zen Hei"/>
        <family val="2"/>
      </rPr>
      <t xml:space="preserve">內湖區港華街</t>
    </r>
    <r>
      <rPr>
        <sz val="10"/>
        <color rgb="FF1F2A28"/>
        <rFont val="Arial"/>
        <family val="0"/>
        <charset val="1"/>
      </rPr>
      <t xml:space="preserve">137</t>
    </r>
    <r>
      <rPr>
        <sz val="10"/>
        <color rgb="FF1F2A28"/>
        <rFont val="WenQuanYi Zen Hei"/>
        <family val="2"/>
      </rPr>
      <t xml:space="preserve">、</t>
    </r>
    <r>
      <rPr>
        <sz val="10"/>
        <color rgb="FF1F2A28"/>
        <rFont val="Arial"/>
        <family val="0"/>
        <charset val="1"/>
      </rPr>
      <t xml:space="preserve">139</t>
    </r>
    <r>
      <rPr>
        <sz val="10"/>
        <color rgb="FF1F2A28"/>
        <rFont val="WenQuanYi Zen Hei"/>
        <family val="2"/>
      </rPr>
      <t xml:space="preserve">、</t>
    </r>
    <r>
      <rPr>
        <sz val="10"/>
        <color rgb="FF1F2A28"/>
        <rFont val="Arial"/>
        <family val="0"/>
        <charset val="1"/>
      </rPr>
      <t xml:space="preserve">141</t>
    </r>
    <r>
      <rPr>
        <sz val="10"/>
        <color rgb="FF1F2A28"/>
        <rFont val="WenQuanYi Zen Hei"/>
        <family val="2"/>
      </rPr>
      <t xml:space="preserve">、</t>
    </r>
    <r>
      <rPr>
        <sz val="10"/>
        <color rgb="FF1F2A28"/>
        <rFont val="Arial"/>
        <family val="0"/>
        <charset val="1"/>
      </rPr>
      <t xml:space="preserve">143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</si>
  <si>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26586777</t>
  </si>
  <si>
    <t xml:space="preserve">ieaneihustaff1@gmail.com</t>
  </si>
  <si>
    <r>
      <rPr>
        <sz val="10"/>
        <color rgb="FF1F2A28"/>
        <rFont val="WenQuanYi Zen Hei"/>
        <family val="2"/>
      </rPr>
      <t xml:space="preserve">茂榞科技股份有限公司</t>
    </r>
    <r>
      <rPr>
        <sz val="10"/>
        <color rgb="FF1F2A28"/>
        <rFont val="Arial"/>
        <family val="0"/>
        <charset val="1"/>
      </rPr>
      <t xml:space="preserve">(</t>
    </r>
    <r>
      <rPr>
        <sz val="10"/>
        <color rgb="FF1F2A28"/>
        <rFont val="WenQuanYi Zen Hei"/>
        <family val="2"/>
      </rPr>
      <t xml:space="preserve">鄧麗珊</t>
    </r>
    <r>
      <rPr>
        <sz val="10"/>
        <color rgb="FF1F2A28"/>
        <rFont val="Arial"/>
        <family val="0"/>
        <charset val="1"/>
      </rPr>
      <t xml:space="preserve">)</t>
    </r>
  </si>
  <si>
    <t xml:space="preserve">陳中鼎</t>
  </si>
  <si>
    <t xml:space="preserve">誠功文教股份有限公司附設臺北巿私立誠功語文短期補習班</t>
  </si>
  <si>
    <r>
      <rPr>
        <sz val="10"/>
        <color rgb="FF1F2A28"/>
        <rFont val="WenQuanYi Zen Hei"/>
        <family val="2"/>
      </rPr>
      <t xml:space="preserve">內湖區成功路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61</t>
    </r>
    <r>
      <rPr>
        <sz val="10"/>
        <color rgb="FF1F2A28"/>
        <rFont val="WenQuanYi Zen Hei"/>
        <family val="2"/>
      </rPr>
      <t xml:space="preserve">巷</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樓及地下</t>
    </r>
    <r>
      <rPr>
        <sz val="10"/>
        <color rgb="FF1F2A28"/>
        <rFont val="Arial"/>
        <family val="0"/>
        <charset val="1"/>
      </rPr>
      <t xml:space="preserve">1</t>
    </r>
    <r>
      <rPr>
        <sz val="10"/>
        <color rgb="FF1F2A28"/>
        <rFont val="WenQuanYi Zen Hei"/>
        <family val="2"/>
      </rPr>
      <t xml:space="preserve">樓</t>
    </r>
  </si>
  <si>
    <r>
      <rPr>
        <sz val="10"/>
        <color rgb="FF1F2A28"/>
        <rFont val="WenQuanYi Zen Hei"/>
        <family val="2"/>
      </rPr>
      <t xml:space="preserve">誠功文教股份有限公司</t>
    </r>
    <r>
      <rPr>
        <sz val="10"/>
        <color rgb="FF1F2A28"/>
        <rFont val="Arial"/>
        <family val="0"/>
        <charset val="1"/>
      </rPr>
      <t xml:space="preserve">(</t>
    </r>
    <r>
      <rPr>
        <sz val="10"/>
        <color rgb="FF1F2A28"/>
        <rFont val="WenQuanYi Zen Hei"/>
        <family val="2"/>
      </rPr>
      <t xml:space="preserve">負責人：紀怡嫻</t>
    </r>
    <r>
      <rPr>
        <sz val="10"/>
        <color rgb="FF1F2A28"/>
        <rFont val="Arial"/>
        <family val="0"/>
        <charset val="1"/>
      </rPr>
      <t xml:space="preserve">)</t>
    </r>
  </si>
  <si>
    <t xml:space="preserve">紀怡嫻</t>
  </si>
  <si>
    <t xml:space="preserve">金桐股份有限公司附設臺北市私立科見文理短期補習班成功一分班</t>
  </si>
  <si>
    <r>
      <rPr>
        <sz val="10"/>
        <color rgb="FF1F2A28"/>
        <rFont val="WenQuanYi Zen Hei"/>
        <family val="2"/>
      </rPr>
      <t xml:space="preserve">內湖區成功路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460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</si>
  <si>
    <t xml:space="preserve">26316285</t>
  </si>
  <si>
    <t xml:space="preserve">manager10a@kojen-els.com.tw</t>
  </si>
  <si>
    <t xml:space="preserve">張彩娥</t>
  </si>
  <si>
    <t xml:space="preserve">金桐股份有限公司附設臺北市私立科見文理短期補習班成功分班</t>
  </si>
  <si>
    <r>
      <rPr>
        <sz val="10"/>
        <color rgb="FF1F2A28"/>
        <rFont val="WenQuanYi Zen Hei"/>
        <family val="2"/>
      </rPr>
      <t xml:space="preserve">內湖區成功路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460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</si>
  <si>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26315979</t>
  </si>
  <si>
    <t xml:space="preserve">陳金滿</t>
  </si>
  <si>
    <t xml:space="preserve">雄玉文教有限公司附設臺北市私立恩愛地文理短期補習班</t>
  </si>
  <si>
    <r>
      <rPr>
        <sz val="10"/>
        <color rgb="FF1F2A28"/>
        <rFont val="WenQuanYi Zen Hei"/>
        <family val="2"/>
      </rPr>
      <t xml:space="preserve">內湖區民權東路</t>
    </r>
    <r>
      <rPr>
        <sz val="10"/>
        <color rgb="FF1F2A28"/>
        <rFont val="Arial"/>
        <family val="0"/>
        <charset val="1"/>
      </rPr>
      <t xml:space="preserve">6</t>
    </r>
    <r>
      <rPr>
        <sz val="10"/>
        <color rgb="FF1F2A28"/>
        <rFont val="WenQuanYi Zen Hei"/>
        <family val="2"/>
      </rPr>
      <t xml:space="preserve">段</t>
    </r>
    <r>
      <rPr>
        <sz val="10"/>
        <color rgb="FF1F2A28"/>
        <rFont val="Arial"/>
        <family val="0"/>
        <charset val="1"/>
      </rPr>
      <t xml:space="preserve">296</t>
    </r>
    <r>
      <rPr>
        <sz val="10"/>
        <color rgb="FF1F2A28"/>
        <rFont val="WenQuanYi Zen Hei"/>
        <family val="2"/>
      </rPr>
      <t xml:space="preserve">巷</t>
    </r>
    <r>
      <rPr>
        <sz val="10"/>
        <color rgb="FF1F2A28"/>
        <rFont val="Arial"/>
        <family val="0"/>
        <charset val="1"/>
      </rPr>
      <t xml:space="preserve">119</t>
    </r>
    <r>
      <rPr>
        <sz val="10"/>
        <color rgb="FF1F2A28"/>
        <rFont val="WenQuanYi Zen Hei"/>
        <family val="2"/>
      </rPr>
      <t xml:space="preserve">號及</t>
    </r>
    <r>
      <rPr>
        <sz val="10"/>
        <color rgb="FF1F2A28"/>
        <rFont val="Arial"/>
        <family val="0"/>
        <charset val="1"/>
      </rPr>
      <t xml:space="preserve">119</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</si>
  <si>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26330309</t>
  </si>
  <si>
    <t xml:space="preserve">neihu@mitenglish.com.tw</t>
  </si>
  <si>
    <t xml:space="preserve">馬永翔</t>
  </si>
  <si>
    <t xml:space="preserve">李青芬</t>
  </si>
  <si>
    <t xml:space="preserve">雄玉文教有限公司附設臺北市私立美台文理短期補習班</t>
  </si>
  <si>
    <r>
      <rPr>
        <sz val="10"/>
        <color rgb="FF1F2A28"/>
        <rFont val="WenQuanYi Zen Hei"/>
        <family val="2"/>
      </rPr>
      <t xml:space="preserve">內湖區民權東路</t>
    </r>
    <r>
      <rPr>
        <sz val="10"/>
        <color rgb="FF1F2A28"/>
        <rFont val="Arial"/>
        <family val="0"/>
        <charset val="1"/>
      </rPr>
      <t xml:space="preserve">6</t>
    </r>
    <r>
      <rPr>
        <sz val="10"/>
        <color rgb="FF1F2A28"/>
        <rFont val="WenQuanYi Zen Hei"/>
        <family val="2"/>
      </rPr>
      <t xml:space="preserve">段</t>
    </r>
    <r>
      <rPr>
        <sz val="10"/>
        <color rgb="FF1F2A28"/>
        <rFont val="Arial"/>
        <family val="0"/>
        <charset val="1"/>
      </rPr>
      <t xml:space="preserve">296</t>
    </r>
    <r>
      <rPr>
        <sz val="10"/>
        <color rgb="FF1F2A28"/>
        <rFont val="WenQuanYi Zen Hei"/>
        <family val="2"/>
      </rPr>
      <t xml:space="preserve">巷</t>
    </r>
    <r>
      <rPr>
        <sz val="10"/>
        <color rgb="FF1F2A28"/>
        <rFont val="Arial"/>
        <family val="0"/>
        <charset val="1"/>
      </rPr>
      <t xml:space="preserve">111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</si>
  <si>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謝夙婷</t>
  </si>
  <si>
    <t xml:space="preserve">飛德教育股份有限公司附設臺北市飛德語文短期補習班</t>
  </si>
  <si>
    <r>
      <rPr>
        <sz val="10"/>
        <color rgb="FF1F2A28"/>
        <rFont val="WenQuanYi Zen Hei"/>
        <family val="2"/>
      </rPr>
      <t xml:space="preserve">內湖區成功路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含</t>
    </r>
    <r>
      <rPr>
        <sz val="10"/>
        <color rgb="FF1F2A28"/>
        <rFont val="Arial"/>
        <family val="0"/>
        <charset val="1"/>
      </rPr>
      <t xml:space="preserve">1.2</t>
    </r>
    <r>
      <rPr>
        <sz val="10"/>
        <color rgb="FF1F2A28"/>
        <rFont val="WenQuanYi Zen Hei"/>
        <family val="2"/>
      </rPr>
      <t xml:space="preserve">層</t>
    </r>
    <r>
      <rPr>
        <sz val="10"/>
        <color rgb="FF1F2A28"/>
        <rFont val="Arial"/>
        <family val="0"/>
        <charset val="1"/>
      </rPr>
      <t xml:space="preserve">)</t>
    </r>
  </si>
  <si>
    <t xml:space="preserve">27917070</t>
  </si>
  <si>
    <t xml:space="preserve">neihu@further.tw</t>
  </si>
  <si>
    <t xml:space="preserve">2007-10-12</t>
  </si>
  <si>
    <r>
      <rPr>
        <sz val="10"/>
        <color rgb="FF1F2A28"/>
        <rFont val="WenQuanYi Zen Hei"/>
        <family val="2"/>
      </rPr>
      <t xml:space="preserve">飛德教育股份有限公司</t>
    </r>
    <r>
      <rPr>
        <sz val="10"/>
        <color rgb="FF1F2A28"/>
        <rFont val="Arial"/>
        <family val="0"/>
        <charset val="1"/>
      </rPr>
      <t xml:space="preserve">(</t>
    </r>
    <r>
      <rPr>
        <sz val="10"/>
        <color rgb="FF1F2A28"/>
        <rFont val="WenQuanYi Zen Hei"/>
        <family val="2"/>
      </rPr>
      <t xml:space="preserve">負責人</t>
    </r>
    <r>
      <rPr>
        <sz val="10"/>
        <color rgb="FF1F2A28"/>
        <rFont val="Arial"/>
        <family val="0"/>
        <charset val="1"/>
      </rPr>
      <t xml:space="preserve">:</t>
    </r>
    <r>
      <rPr>
        <sz val="10"/>
        <color rgb="FF1F2A28"/>
        <rFont val="WenQuanYi Zen Hei"/>
        <family val="2"/>
      </rPr>
      <t xml:space="preserve">駱人純</t>
    </r>
    <r>
      <rPr>
        <sz val="10"/>
        <color rgb="FF1F2A28"/>
        <rFont val="Arial"/>
        <family val="0"/>
        <charset val="1"/>
      </rPr>
      <t xml:space="preserve">)</t>
    </r>
  </si>
  <si>
    <t xml:space="preserve">邱敏菁</t>
  </si>
  <si>
    <t xml:space="preserve">驅勢文教事業有限公司附設臺北市私立驅勢語文短期補習班內湖分班</t>
  </si>
  <si>
    <r>
      <rPr>
        <sz val="10"/>
        <color rgb="FF1F2A28"/>
        <rFont val="WenQuanYi Zen Hei"/>
        <family val="2"/>
      </rPr>
      <t xml:space="preserve">內湖區內湖路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</si>
  <si>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77099713</t>
  </si>
  <si>
    <t xml:space="preserve">trinityneihu@gmail.com</t>
  </si>
  <si>
    <t xml:space="preserve">2013-01-11</t>
  </si>
  <si>
    <t xml:space="preserve">驅勢文教事業有限公司</t>
  </si>
  <si>
    <t xml:space="preserve">魏詩綺</t>
  </si>
  <si>
    <t xml:space="preserve">北投區</t>
  </si>
  <si>
    <t xml:space="preserve">臺北巿私立英軒皇家文理短期補習班</t>
  </si>
  <si>
    <r>
      <rPr>
        <sz val="10"/>
        <color rgb="FF1F2A28"/>
        <rFont val="WenQuanYi Zen Hei"/>
        <family val="2"/>
      </rPr>
      <t xml:space="preserve">北投區大業路</t>
    </r>
    <r>
      <rPr>
        <sz val="10"/>
        <color rgb="FF1F2A28"/>
        <rFont val="Arial"/>
        <family val="0"/>
        <charset val="1"/>
      </rPr>
      <t xml:space="preserve">582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584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</si>
  <si>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28985225</t>
  </si>
  <si>
    <t xml:space="preserve">royalengland@hotmail.com</t>
  </si>
  <si>
    <t xml:space="preserve">2008-01-31</t>
  </si>
  <si>
    <t xml:space="preserve">林育如</t>
  </si>
  <si>
    <t xml:space="preserve">林苑如</t>
  </si>
  <si>
    <t xml:space="preserve">臺北市私立乙世代美語文理短期補習班</t>
  </si>
  <si>
    <r>
      <rPr>
        <sz val="10"/>
        <color rgb="FF1F2A28"/>
        <rFont val="WenQuanYi Zen Hei"/>
        <family val="2"/>
      </rPr>
      <t xml:space="preserve">北投區中央北路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</si>
  <si>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28965173</t>
  </si>
  <si>
    <t xml:space="preserve">may16855@gmail.com</t>
  </si>
  <si>
    <t xml:space="preserve">2000-06-01</t>
  </si>
  <si>
    <t xml:space="preserve">林美慧</t>
  </si>
  <si>
    <t xml:space="preserve">臺北市私立何氏語文短期補習班</t>
  </si>
  <si>
    <r>
      <rPr>
        <sz val="10"/>
        <color rgb="FF1F2A28"/>
        <rFont val="WenQuanYi Zen Hei"/>
        <family val="2"/>
      </rPr>
      <t xml:space="preserve">北投區石牌路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</si>
  <si>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02-2823-4581</t>
  </si>
  <si>
    <t xml:space="preserve">orange0665@gmail.com</t>
  </si>
  <si>
    <t xml:space="preserve">1991-04-01</t>
  </si>
  <si>
    <t xml:space="preserve">朱慧蘭</t>
  </si>
  <si>
    <t xml:space="preserve">周秀英</t>
  </si>
  <si>
    <t xml:space="preserve">臺北市私立勤廬文理短期補習班</t>
  </si>
  <si>
    <r>
      <rPr>
        <sz val="10"/>
        <color rgb="FF1F2A28"/>
        <rFont val="WenQuanYi Zen Hei"/>
        <family val="2"/>
      </rPr>
      <t xml:space="preserve">北投區光明路</t>
    </r>
    <r>
      <rPr>
        <sz val="10"/>
        <color rgb="FF1F2A28"/>
        <rFont val="Arial"/>
        <family val="0"/>
        <charset val="1"/>
      </rPr>
      <t xml:space="preserve">218</t>
    </r>
    <r>
      <rPr>
        <sz val="10"/>
        <color rgb="FF1F2A28"/>
        <rFont val="WenQuanYi Zen Hei"/>
        <family val="2"/>
      </rPr>
      <t xml:space="preserve">之</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</si>
  <si>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28948933</t>
  </si>
  <si>
    <t xml:space="preserve">chinluschool@gmail.com</t>
  </si>
  <si>
    <t xml:space="preserve">2009-09-01</t>
  </si>
  <si>
    <t xml:space="preserve">徐榮燦</t>
  </si>
  <si>
    <t xml:space="preserve">臺北市私立名漢文理短期補習班</t>
  </si>
  <si>
    <r>
      <rPr>
        <sz val="10"/>
        <color rgb="FF1F2A28"/>
        <rFont val="WenQuanYi Zen Hei"/>
        <family val="2"/>
      </rPr>
      <t xml:space="preserve">北投區實踐街</t>
    </r>
    <r>
      <rPr>
        <sz val="10"/>
        <color rgb="FF1F2A28"/>
        <rFont val="Arial"/>
        <family val="0"/>
        <charset val="1"/>
      </rPr>
      <t xml:space="preserve">90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</si>
  <si>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28236559</t>
  </si>
  <si>
    <t xml:space="preserve">jeffrey510tw@yahoo.com</t>
  </si>
  <si>
    <t xml:space="preserve">江以倩</t>
  </si>
  <si>
    <t xml:space="preserve">臺北市私立奇異鳥音樂技藝文理短期補習班</t>
  </si>
  <si>
    <r>
      <rPr>
        <sz val="10"/>
        <color rgb="FF1F2A28"/>
        <rFont val="WenQuanYi Zen Hei"/>
        <family val="2"/>
      </rPr>
      <t xml:space="preserve">北投區西安街</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163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</si>
  <si>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28225668</t>
  </si>
  <si>
    <t xml:space="preserve">donaldmia@icloud.com</t>
  </si>
  <si>
    <t xml:space="preserve">2006-10-01</t>
  </si>
  <si>
    <t xml:space="preserve">程韻珊</t>
  </si>
  <si>
    <t xml:space="preserve">臺北市私立奧美加語文短期補習班</t>
  </si>
  <si>
    <r>
      <rPr>
        <sz val="10"/>
        <color rgb="FF1F2A28"/>
        <rFont val="WenQuanYi Zen Hei"/>
        <family val="2"/>
      </rPr>
      <t xml:space="preserve">北投區中央北路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173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</si>
  <si>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28927362</t>
  </si>
  <si>
    <t xml:space="preserve">olmeca.school@gmail.com</t>
  </si>
  <si>
    <t xml:space="preserve">吳志慧</t>
  </si>
  <si>
    <t xml:space="preserve">黃淑苓</t>
  </si>
  <si>
    <t xml:space="preserve">臺北市私立娣娜美語短期補習班</t>
  </si>
  <si>
    <r>
      <rPr>
        <sz val="10"/>
        <color rgb="FF1F2A28"/>
        <rFont val="WenQuanYi Zen Hei"/>
        <family val="2"/>
      </rPr>
      <t xml:space="preserve">北投區珠海路</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</si>
  <si>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0939946685</t>
  </si>
  <si>
    <t xml:space="preserve">chenmeimei7042@gmail.com</t>
  </si>
  <si>
    <t xml:space="preserve">2012-03-03</t>
  </si>
  <si>
    <t xml:space="preserve">洪浩昀</t>
  </si>
  <si>
    <t xml:space="preserve">廖陳羽桑</t>
  </si>
  <si>
    <t xml:space="preserve">臺北市私立安斯文理短期補習班</t>
  </si>
  <si>
    <r>
      <rPr>
        <sz val="10"/>
        <color rgb="FF1F2A28"/>
        <rFont val="WenQuanYi Zen Hei"/>
        <family val="2"/>
      </rPr>
      <t xml:space="preserve">北投區明德路</t>
    </r>
    <r>
      <rPr>
        <sz val="10"/>
        <color rgb="FF1F2A28"/>
        <rFont val="Arial"/>
        <family val="0"/>
        <charset val="1"/>
      </rPr>
      <t xml:space="preserve">253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</si>
  <si>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28233699</t>
  </si>
  <si>
    <t xml:space="preserve">a_0240@yahoo.com.tw</t>
  </si>
  <si>
    <t xml:space="preserve">鄧季稚</t>
  </si>
  <si>
    <t xml:space="preserve">臺北市私立宏科文理短期補習班</t>
  </si>
  <si>
    <r>
      <rPr>
        <sz val="10"/>
        <color rgb="FF1F2A28"/>
        <rFont val="WenQuanYi Zen Hei"/>
        <family val="2"/>
      </rPr>
      <t xml:space="preserve">北投區石牌路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95</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1</t>
    </r>
  </si>
  <si>
    <t xml:space="preserve">28281580</t>
  </si>
  <si>
    <t xml:space="preserve">ouchputt@gmail.com</t>
  </si>
  <si>
    <t xml:space="preserve">彭國維</t>
  </si>
  <si>
    <t xml:space="preserve">臺北市私立小蕃薯文理短期補習班</t>
  </si>
  <si>
    <r>
      <rPr>
        <sz val="10"/>
        <color rgb="FF1F2A28"/>
        <rFont val="WenQuanYi Zen Hei"/>
        <family val="2"/>
      </rPr>
      <t xml:space="preserve">北投區明德路</t>
    </r>
    <r>
      <rPr>
        <sz val="10"/>
        <color rgb="FF1F2A28"/>
        <rFont val="Arial"/>
        <family val="0"/>
        <charset val="1"/>
      </rPr>
      <t xml:space="preserve">255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</si>
  <si>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28277989</t>
  </si>
  <si>
    <t xml:space="preserve">syc800920@hotmail.com</t>
  </si>
  <si>
    <t xml:space="preserve">俞瑤萍</t>
  </si>
  <si>
    <t xml:space="preserve">臺北市私立揚聲語文音樂短期補習班</t>
  </si>
  <si>
    <r>
      <rPr>
        <sz val="10"/>
        <color rgb="FF1F2A28"/>
        <rFont val="WenQuanYi Zen Hei"/>
        <family val="2"/>
      </rPr>
      <t xml:space="preserve">北投區中央北路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111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</si>
  <si>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28959400</t>
  </si>
  <si>
    <t xml:space="preserve">soundrise168@yahoo.com.tw</t>
  </si>
  <si>
    <t xml:space="preserve">2000-04-01</t>
  </si>
  <si>
    <t xml:space="preserve">張雯華</t>
  </si>
  <si>
    <t xml:space="preserve">劉建成</t>
  </si>
  <si>
    <t xml:space="preserve">臺北市私立方馨文理短期補習班</t>
  </si>
  <si>
    <r>
      <rPr>
        <sz val="10"/>
        <color rgb="FF1F2A28"/>
        <rFont val="WenQuanYi Zen Hei"/>
        <family val="2"/>
      </rPr>
      <t xml:space="preserve">北投區明德路</t>
    </r>
    <r>
      <rPr>
        <sz val="10"/>
        <color rgb="FF1F2A28"/>
        <rFont val="Arial"/>
        <family val="0"/>
        <charset val="1"/>
      </rPr>
      <t xml:space="preserve">21</t>
    </r>
    <r>
      <rPr>
        <sz val="10"/>
        <color rgb="FF1F2A28"/>
        <rFont val="WenQuanYi Zen Hei"/>
        <family val="2"/>
      </rPr>
      <t xml:space="preserve">、</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</si>
  <si>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28288899</t>
  </si>
  <si>
    <t xml:space="preserve">mandyc1247@gmail.com</t>
  </si>
  <si>
    <t xml:space="preserve">2004-05-01</t>
  </si>
  <si>
    <t xml:space="preserve">張惠如</t>
  </si>
  <si>
    <t xml:space="preserve">許世哲</t>
  </si>
  <si>
    <t xml:space="preserve">臺北市私立星星文理短期補習班大業分班</t>
  </si>
  <si>
    <r>
      <rPr>
        <sz val="10"/>
        <color rgb="FF1F2A28"/>
        <rFont val="WenQuanYi Zen Hei"/>
        <family val="2"/>
      </rPr>
      <t xml:space="preserve">北投區大業路</t>
    </r>
    <r>
      <rPr>
        <sz val="10"/>
        <color rgb="FF1F2A28"/>
        <rFont val="Arial"/>
        <family val="0"/>
        <charset val="1"/>
      </rPr>
      <t xml:space="preserve">697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</si>
  <si>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(02)2898-8383</t>
  </si>
  <si>
    <t xml:space="preserve">yuchi84@hotmail.com</t>
  </si>
  <si>
    <t xml:space="preserve">2017-07-04</t>
  </si>
  <si>
    <t xml:space="preserve">虞琦</t>
  </si>
  <si>
    <t xml:space="preserve">徐巧怡</t>
  </si>
  <si>
    <t xml:space="preserve">臺北市私立橙林文理短期補習班</t>
  </si>
  <si>
    <r>
      <rPr>
        <sz val="10"/>
        <color rgb="FF1F2A28"/>
        <rFont val="WenQuanYi Zen Hei"/>
        <family val="2"/>
      </rPr>
      <t xml:space="preserve">北投區中央北路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46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</si>
  <si>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2897-7270</t>
  </si>
  <si>
    <t xml:space="preserve">pt160@yahoo.com.tw</t>
  </si>
  <si>
    <t xml:space="preserve">陳育綺</t>
  </si>
  <si>
    <t xml:space="preserve">陳文雅</t>
  </si>
  <si>
    <t xml:space="preserve">臺北市私立海森維爾語文短期補習班</t>
  </si>
  <si>
    <r>
      <rPr>
        <sz val="10"/>
        <color rgb="FF1F2A28"/>
        <rFont val="WenQuanYi Zen Hei"/>
        <family val="2"/>
      </rPr>
      <t xml:space="preserve">北投區中和街</t>
    </r>
    <r>
      <rPr>
        <sz val="10"/>
        <color rgb="FF1F2A28"/>
        <rFont val="Arial"/>
        <family val="0"/>
        <charset val="1"/>
      </rPr>
      <t xml:space="preserve">228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</si>
  <si>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 2894-3553</t>
  </si>
  <si>
    <t xml:space="preserve">hairisonfire228@gmail.com</t>
  </si>
  <si>
    <t xml:space="preserve">2012-01-11</t>
  </si>
  <si>
    <t xml:space="preserve">陳燕雪</t>
  </si>
  <si>
    <t xml:space="preserve">臺北市私立真常十童心圓文理短期補習班</t>
  </si>
  <si>
    <r>
      <rPr>
        <sz val="10"/>
        <color rgb="FF1F2A28"/>
        <rFont val="WenQuanYi Zen Hei"/>
        <family val="2"/>
      </rPr>
      <t xml:space="preserve">北投區吉利街</t>
    </r>
    <r>
      <rPr>
        <sz val="10"/>
        <color rgb="FF1F2A28"/>
        <rFont val="Arial"/>
        <family val="0"/>
        <charset val="1"/>
      </rPr>
      <t xml:space="preserve">123</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</si>
  <si>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28201688</t>
  </si>
  <si>
    <t xml:space="preserve">shan3377@ms29.hinet.net</t>
  </si>
  <si>
    <t xml:space="preserve">曹珊妃</t>
  </si>
  <si>
    <t xml:space="preserve">臺北市私立睿馬特文理短期補習班</t>
  </si>
  <si>
    <r>
      <rPr>
        <sz val="10"/>
        <color rgb="FF1F2A28"/>
        <rFont val="WenQuanYi Zen Hei"/>
        <family val="2"/>
      </rPr>
      <t xml:space="preserve">北投區實踐街</t>
    </r>
    <r>
      <rPr>
        <sz val="10"/>
        <color rgb="FF1F2A28"/>
        <rFont val="Arial"/>
        <family val="0"/>
        <charset val="1"/>
      </rPr>
      <t xml:space="preserve">73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</si>
  <si>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02-28226726</t>
  </si>
  <si>
    <t xml:space="preserve">remarcable.academy@gmail.com</t>
  </si>
  <si>
    <t xml:space="preserve">2013-10-24</t>
  </si>
  <si>
    <t xml:space="preserve">郭采熹</t>
  </si>
  <si>
    <t xml:space="preserve">郭雪卿</t>
  </si>
  <si>
    <t xml:space="preserve">臺北市私立立碁文理短期補習班</t>
  </si>
  <si>
    <r>
      <rPr>
        <sz val="10"/>
        <color rgb="FF1F2A28"/>
        <rFont val="WenQuanYi Zen Hei"/>
        <family val="2"/>
      </rPr>
      <t xml:space="preserve">北投區致遠二路</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</si>
  <si>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28206919</t>
  </si>
  <si>
    <t xml:space="preserve">2009-10-01</t>
  </si>
  <si>
    <t xml:space="preserve">徐采憶</t>
  </si>
  <si>
    <t xml:space="preserve">李明雪</t>
  </si>
  <si>
    <t xml:space="preserve">臺北市私立維中文理短期補習班</t>
  </si>
  <si>
    <r>
      <rPr>
        <sz val="10"/>
        <color rgb="FF1F2A28"/>
        <rFont val="WenQuanYi Zen Hei"/>
        <family val="2"/>
      </rPr>
      <t xml:space="preserve">北投區大業路</t>
    </r>
    <r>
      <rPr>
        <sz val="10"/>
        <color rgb="FF1F2A28"/>
        <rFont val="Arial"/>
        <family val="0"/>
        <charset val="1"/>
      </rPr>
      <t xml:space="preserve">711</t>
    </r>
    <r>
      <rPr>
        <sz val="10"/>
        <color rgb="FF1F2A28"/>
        <rFont val="WenQuanYi Zen Hei"/>
        <family val="2"/>
      </rPr>
      <t xml:space="preserve">、</t>
    </r>
    <r>
      <rPr>
        <sz val="10"/>
        <color rgb="FF1F2A28"/>
        <rFont val="Arial"/>
        <family val="0"/>
        <charset val="1"/>
      </rPr>
      <t xml:space="preserve">713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號</t>
    </r>
  </si>
  <si>
    <t xml:space="preserve">28950518</t>
  </si>
  <si>
    <t xml:space="preserve">weizhong711@gmail.com</t>
  </si>
  <si>
    <t xml:space="preserve">李文彬</t>
  </si>
  <si>
    <t xml:space="preserve">臺北市私立艾法貝納美語短期補習班</t>
  </si>
  <si>
    <r>
      <rPr>
        <sz val="10"/>
        <color rgb="FF1F2A28"/>
        <rFont val="WenQuanYi Zen Hei"/>
        <family val="2"/>
      </rPr>
      <t xml:space="preserve">北投區行義路</t>
    </r>
    <r>
      <rPr>
        <sz val="10"/>
        <color rgb="FF1F2A28"/>
        <rFont val="Arial"/>
        <family val="0"/>
        <charset val="1"/>
      </rPr>
      <t xml:space="preserve">10</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</si>
  <si>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02-2876-9011</t>
  </si>
  <si>
    <t xml:space="preserve">俞佩樺</t>
  </si>
  <si>
    <t xml:space="preserve">翁鈺鈞</t>
  </si>
  <si>
    <t xml:space="preserve">臺北市私立詮道文理短期補習班</t>
  </si>
  <si>
    <r>
      <rPr>
        <sz val="10"/>
        <color rgb="FF1F2A28"/>
        <rFont val="WenQuanYi Zen Hei"/>
        <family val="2"/>
      </rPr>
      <t xml:space="preserve">北投區中央北路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42</t>
    </r>
    <r>
      <rPr>
        <sz val="10"/>
        <color rgb="FF1F2A28"/>
        <rFont val="WenQuanYi Zen Hei"/>
        <family val="2"/>
      </rPr>
      <t xml:space="preserve">巷</t>
    </r>
    <r>
      <rPr>
        <sz val="10"/>
        <color rgb="FF1F2A28"/>
        <rFont val="Arial"/>
        <family val="0"/>
        <charset val="1"/>
      </rPr>
      <t xml:space="preserve">11</t>
    </r>
    <r>
      <rPr>
        <sz val="10"/>
        <color rgb="FF1F2A28"/>
        <rFont val="WenQuanYi Zen Hei"/>
        <family val="2"/>
      </rPr>
      <t xml:space="preserve">弄</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</si>
  <si>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28912245</t>
  </si>
  <si>
    <t xml:space="preserve">cjlead@gmail.com</t>
  </si>
  <si>
    <t xml:space="preserve">1992-05-01</t>
  </si>
  <si>
    <t xml:space="preserve">蔡承峰</t>
  </si>
  <si>
    <t xml:space="preserve">吳依珊</t>
  </si>
  <si>
    <t xml:space="preserve">臺北市私立郝老師語文短期補習班</t>
  </si>
  <si>
    <r>
      <rPr>
        <sz val="10"/>
        <color rgb="FF1F2A28"/>
        <rFont val="WenQuanYi Zen Hei"/>
        <family val="2"/>
      </rPr>
      <t xml:space="preserve">北投區中央北路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129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及</t>
    </r>
    <r>
      <rPr>
        <sz val="10"/>
        <color rgb="FF1F2A28"/>
        <rFont val="Arial"/>
        <family val="0"/>
        <charset val="1"/>
      </rPr>
      <t xml:space="preserve">131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</si>
  <si>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28981689</t>
  </si>
  <si>
    <t xml:space="preserve">yu.miao08082000@gmail.com</t>
  </si>
  <si>
    <t xml:space="preserve">吳小佩</t>
  </si>
  <si>
    <t xml:space="preserve">臺北市私立默式法美語短期補習班</t>
  </si>
  <si>
    <r>
      <rPr>
        <sz val="10"/>
        <color rgb="FF1F2A28"/>
        <rFont val="WenQuanYi Zen Hei"/>
        <family val="2"/>
      </rPr>
      <t xml:space="preserve">北投區裕民六路</t>
    </r>
    <r>
      <rPr>
        <sz val="10"/>
        <color rgb="FF1F2A28"/>
        <rFont val="Arial"/>
        <family val="0"/>
        <charset val="1"/>
      </rPr>
      <t xml:space="preserve">130</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</si>
  <si>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2821-1708</t>
  </si>
  <si>
    <t xml:space="preserve">sylang.tti@gmail.com</t>
  </si>
  <si>
    <t xml:space="preserve">2001-11-01</t>
  </si>
  <si>
    <t xml:space="preserve">鄭森騰</t>
  </si>
  <si>
    <t xml:space="preserve">魏韻寧</t>
  </si>
  <si>
    <t xml:space="preserve">臺北市私立鼎峰文理技藝短期補習班</t>
  </si>
  <si>
    <r>
      <rPr>
        <sz val="10"/>
        <color rgb="FF1F2A28"/>
        <rFont val="WenQuanYi Zen Hei"/>
        <family val="2"/>
      </rPr>
      <t xml:space="preserve">北投區中央北路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193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</si>
  <si>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28978700</t>
  </si>
  <si>
    <t xml:space="preserve">vt.yang.oho@gmail.com</t>
  </si>
  <si>
    <t xml:space="preserve">楊孝德</t>
  </si>
  <si>
    <t xml:space="preserve">楊文玉</t>
  </si>
  <si>
    <t xml:space="preserve">英協文教有限公司附設臺北市私立石牌一文理短期補習班</t>
  </si>
  <si>
    <r>
      <rPr>
        <sz val="10"/>
        <color rgb="FF1F2A28"/>
        <rFont val="WenQuanYi Zen Hei"/>
        <family val="2"/>
      </rPr>
      <t xml:space="preserve">北投區石牌路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188</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</si>
  <si>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(02)2828-1277</t>
  </si>
  <si>
    <t xml:space="preserve">2017-12-26</t>
  </si>
  <si>
    <t xml:space="preserve">安翠雅</t>
  </si>
  <si>
    <t xml:space="preserve">梁瓅文</t>
  </si>
  <si>
    <t xml:space="preserve">英協文教有限公司附設臺北市私立石牌文理短期補習班</t>
  </si>
  <si>
    <r>
      <rPr>
        <sz val="10"/>
        <color rgb="FF1F2A28"/>
        <rFont val="WenQuanYi Zen Hei"/>
        <family val="2"/>
      </rPr>
      <t xml:space="preserve">北投區石牌路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188</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樓之</t>
    </r>
    <r>
      <rPr>
        <sz val="10"/>
        <color rgb="FF1F2A28"/>
        <rFont val="Arial"/>
        <family val="0"/>
        <charset val="1"/>
      </rPr>
      <t xml:space="preserve">1</t>
    </r>
  </si>
  <si>
    <t xml:space="preserve">2828-1277</t>
  </si>
  <si>
    <t xml:space="preserve">2017-06-01</t>
  </si>
  <si>
    <t xml:space="preserve">英協文教有限公司，負責人：安翠雅</t>
  </si>
  <si>
    <t xml:space="preserve">邱甯</t>
  </si>
  <si>
    <t xml:space="preserve">財團法人台北市中華基督教青年會附設臺北市私立唭哩岸會館文理音樂舞蹈短期補習班</t>
  </si>
  <si>
    <r>
      <rPr>
        <sz val="10"/>
        <color rgb="FF1F2A28"/>
        <rFont val="WenQuanYi Zen Hei"/>
        <family val="2"/>
      </rPr>
      <t xml:space="preserve">北投區承德路</t>
    </r>
    <r>
      <rPr>
        <sz val="10"/>
        <color rgb="FF1F2A28"/>
        <rFont val="Arial"/>
        <family val="0"/>
        <charset val="1"/>
      </rPr>
      <t xml:space="preserve">7</t>
    </r>
    <r>
      <rPr>
        <sz val="10"/>
        <color rgb="FF1F2A28"/>
        <rFont val="WenQuanYi Zen Hei"/>
        <family val="2"/>
      </rPr>
      <t xml:space="preserve">段</t>
    </r>
    <r>
      <rPr>
        <sz val="10"/>
        <color rgb="FF1F2A28"/>
        <rFont val="Arial"/>
        <family val="0"/>
        <charset val="1"/>
      </rPr>
      <t xml:space="preserve">312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</si>
  <si>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28227070</t>
  </si>
  <si>
    <t xml:space="preserve">christal.ymca@gmail.com</t>
  </si>
  <si>
    <t xml:space="preserve">張郁伶</t>
  </si>
  <si>
    <t xml:space="preserve">南港區</t>
  </si>
  <si>
    <t xml:space="preserve">佳謙有限公司附設臺北市私立佳宇文理技藝短期補習班</t>
  </si>
  <si>
    <r>
      <rPr>
        <sz val="10"/>
        <color rgb="FF1F2A28"/>
        <rFont val="WenQuanYi Zen Hei"/>
        <family val="2"/>
      </rPr>
      <t xml:space="preserve">南港區研究院路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61</t>
    </r>
    <r>
      <rPr>
        <sz val="10"/>
        <color rgb="FF1F2A28"/>
        <rFont val="WenQuanYi Zen Hei"/>
        <family val="2"/>
      </rPr>
      <t xml:space="preserve">巷</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</si>
  <si>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27850233</t>
  </si>
  <si>
    <t xml:space="preserve">gn022192071219@gmail.com</t>
  </si>
  <si>
    <t xml:space="preserve">2008-05-01</t>
  </si>
  <si>
    <r>
      <rPr>
        <sz val="10"/>
        <color rgb="FF1F2A28"/>
        <rFont val="WenQuanYi Zen Hei"/>
        <family val="2"/>
      </rPr>
      <t xml:space="preserve">佳謙有限公司</t>
    </r>
    <r>
      <rPr>
        <sz val="10"/>
        <color rgb="FF1F2A28"/>
        <rFont val="Arial"/>
        <family val="0"/>
        <charset val="1"/>
      </rPr>
      <t xml:space="preserve">(</t>
    </r>
    <r>
      <rPr>
        <sz val="10"/>
        <color rgb="FF1F2A28"/>
        <rFont val="WenQuanYi Zen Hei"/>
        <family val="2"/>
      </rPr>
      <t xml:space="preserve">李惠珍</t>
    </r>
    <r>
      <rPr>
        <sz val="10"/>
        <color rgb="FF1F2A28"/>
        <rFont val="Arial"/>
        <family val="0"/>
        <charset val="1"/>
      </rPr>
      <t xml:space="preserve">)</t>
    </r>
  </si>
  <si>
    <t xml:space="preserve">張淑惠</t>
  </si>
  <si>
    <t xml:space="preserve">臺北市私立中研文理技藝短期補習班</t>
  </si>
  <si>
    <r>
      <rPr>
        <sz val="10"/>
        <color rgb="FF1F2A28"/>
        <rFont val="WenQuanYi Zen Hei"/>
        <family val="2"/>
      </rPr>
      <t xml:space="preserve">南港區研究院路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樓、本市南港區研究院路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樓、研究院路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12</t>
    </r>
    <r>
      <rPr>
        <sz val="10"/>
        <color rgb="FF1F2A28"/>
        <rFont val="WenQuanYi Zen Hei"/>
        <family val="2"/>
      </rPr>
      <t xml:space="preserve">巷</t>
    </r>
    <r>
      <rPr>
        <sz val="10"/>
        <color rgb="FF1F2A28"/>
        <rFont val="Arial"/>
        <family val="0"/>
        <charset val="1"/>
      </rPr>
      <t xml:space="preserve">14</t>
    </r>
    <r>
      <rPr>
        <sz val="10"/>
        <color rgb="FF1F2A28"/>
        <rFont val="WenQuanYi Zen Hei"/>
        <family val="2"/>
      </rPr>
      <t xml:space="preserve">弄</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12</t>
    </r>
    <r>
      <rPr>
        <sz val="10"/>
        <color rgb="FF1F2A28"/>
        <rFont val="WenQuanYi Zen Hei"/>
        <family val="2"/>
      </rPr>
      <t xml:space="preserve">巷</t>
    </r>
    <r>
      <rPr>
        <sz val="10"/>
        <color rgb="FF1F2A28"/>
        <rFont val="Arial"/>
        <family val="0"/>
        <charset val="1"/>
      </rPr>
      <t xml:space="preserve">14</t>
    </r>
    <r>
      <rPr>
        <sz val="10"/>
        <color rgb="FF1F2A28"/>
        <rFont val="WenQuanYi Zen Hei"/>
        <family val="2"/>
      </rPr>
      <t xml:space="preserve">弄</t>
    </r>
    <r>
      <rPr>
        <sz val="10"/>
        <color rgb="FF1F2A28"/>
        <rFont val="Arial"/>
        <family val="0"/>
        <charset val="1"/>
      </rPr>
      <t xml:space="preserve">24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</si>
  <si>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27882199</t>
  </si>
  <si>
    <t xml:space="preserve">a0939590072@gmail.com</t>
  </si>
  <si>
    <t xml:space="preserve">2002-05-01</t>
  </si>
  <si>
    <t xml:space="preserve">黃慧雯</t>
  </si>
  <si>
    <t xml:space="preserve">王尚箴</t>
  </si>
  <si>
    <t xml:space="preserve">臺北市私立劉益和文理短期補習班昆陽分班</t>
  </si>
  <si>
    <r>
      <rPr>
        <sz val="10"/>
        <color rgb="FF1F2A28"/>
        <rFont val="WenQuanYi Zen Hei"/>
        <family val="2"/>
      </rPr>
      <t xml:space="preserve">南港區忠孝東路</t>
    </r>
    <r>
      <rPr>
        <sz val="10"/>
        <color rgb="FF1F2A28"/>
        <rFont val="Arial"/>
        <family val="0"/>
        <charset val="1"/>
      </rPr>
      <t xml:space="preserve">6</t>
    </r>
    <r>
      <rPr>
        <sz val="10"/>
        <color rgb="FF1F2A28"/>
        <rFont val="WenQuanYi Zen Hei"/>
        <family val="2"/>
      </rPr>
      <t xml:space="preserve">段</t>
    </r>
    <r>
      <rPr>
        <sz val="10"/>
        <color rgb="FF1F2A28"/>
        <rFont val="Arial"/>
        <family val="0"/>
        <charset val="1"/>
      </rPr>
      <t xml:space="preserve">442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樓、昆陽街</t>
    </r>
    <r>
      <rPr>
        <sz val="10"/>
        <color rgb="FF1F2A28"/>
        <rFont val="Arial"/>
        <family val="0"/>
        <charset val="1"/>
      </rPr>
      <t xml:space="preserve">134</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樓、忠孝東路</t>
    </r>
    <r>
      <rPr>
        <sz val="10"/>
        <color rgb="FF1F2A28"/>
        <rFont val="Arial"/>
        <family val="0"/>
        <charset val="1"/>
      </rPr>
      <t xml:space="preserve">6</t>
    </r>
    <r>
      <rPr>
        <sz val="10"/>
        <color rgb="FF1F2A28"/>
        <rFont val="WenQuanYi Zen Hei"/>
        <family val="2"/>
      </rPr>
      <t xml:space="preserve">段</t>
    </r>
    <r>
      <rPr>
        <sz val="10"/>
        <color rgb="FF1F2A28"/>
        <rFont val="Arial"/>
        <family val="0"/>
        <charset val="1"/>
      </rPr>
      <t xml:space="preserve">458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</si>
  <si>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(02)2653-7118</t>
  </si>
  <si>
    <t xml:space="preserve">liu30268@ms77.hinet.net</t>
  </si>
  <si>
    <t xml:space="preserve">2009-09-06</t>
  </si>
  <si>
    <t xml:space="preserve">曾儀珊</t>
  </si>
  <si>
    <t xml:space="preserve">臺北市私立北崧語文文理短期補習班</t>
  </si>
  <si>
    <r>
      <rPr>
        <sz val="10"/>
        <color rgb="FF1F2A28"/>
        <rFont val="WenQuanYi Zen Hei"/>
        <family val="2"/>
      </rPr>
      <t xml:space="preserve">南港區忠孝東路</t>
    </r>
    <r>
      <rPr>
        <sz val="10"/>
        <color rgb="FF1F2A28"/>
        <rFont val="Arial"/>
        <family val="0"/>
        <charset val="1"/>
      </rPr>
      <t xml:space="preserve">6</t>
    </r>
    <r>
      <rPr>
        <sz val="10"/>
        <color rgb="FF1F2A28"/>
        <rFont val="WenQuanYi Zen Hei"/>
        <family val="2"/>
      </rPr>
      <t xml:space="preserve">段</t>
    </r>
    <r>
      <rPr>
        <sz val="10"/>
        <color rgb="FF1F2A28"/>
        <rFont val="Arial"/>
        <family val="0"/>
        <charset val="1"/>
      </rPr>
      <t xml:space="preserve">436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樓、昆陽街</t>
    </r>
    <r>
      <rPr>
        <sz val="10"/>
        <color rgb="FF1F2A28"/>
        <rFont val="Arial"/>
        <family val="0"/>
        <charset val="1"/>
      </rPr>
      <t xml:space="preserve">134</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樓、忠孝東路</t>
    </r>
    <r>
      <rPr>
        <sz val="10"/>
        <color rgb="FF1F2A28"/>
        <rFont val="Arial"/>
        <family val="0"/>
        <charset val="1"/>
      </rPr>
      <t xml:space="preserve">6</t>
    </r>
    <r>
      <rPr>
        <sz val="10"/>
        <color rgb="FF1F2A28"/>
        <rFont val="WenQuanYi Zen Hei"/>
        <family val="2"/>
      </rPr>
      <t xml:space="preserve">段</t>
    </r>
    <r>
      <rPr>
        <sz val="10"/>
        <color rgb="FF1F2A28"/>
        <rFont val="Arial"/>
        <family val="0"/>
        <charset val="1"/>
      </rPr>
      <t xml:space="preserve">436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</si>
  <si>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27887778</t>
  </si>
  <si>
    <t xml:space="preserve">taiwansle_2005@yahoo.com.tw</t>
  </si>
  <si>
    <t xml:space="preserve">1992-10-01</t>
  </si>
  <si>
    <t xml:space="preserve">鄭惠艷</t>
  </si>
  <si>
    <t xml:space="preserve">臺北市私立安格文理語文技藝短期補習班</t>
  </si>
  <si>
    <r>
      <rPr>
        <sz val="10"/>
        <color rgb="FF1F2A28"/>
        <rFont val="WenQuanYi Zen Hei"/>
        <family val="2"/>
      </rPr>
      <t xml:space="preserve">南港區研究院路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34</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樓、研究院路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34</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樓、研究院路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34</t>
    </r>
    <r>
      <rPr>
        <sz val="10"/>
        <color rgb="FF1F2A28"/>
        <rFont val="WenQuanYi Zen Hei"/>
        <family val="2"/>
      </rPr>
      <t xml:space="preserve">巷</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</si>
  <si>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2788-6416 2653-8138</t>
  </si>
  <si>
    <t xml:space="preserve">lynn7609@gmail.com</t>
  </si>
  <si>
    <t xml:space="preserve">廖婉妤</t>
  </si>
  <si>
    <t xml:space="preserve">李淑君</t>
  </si>
  <si>
    <t xml:space="preserve">臺北市私立弗利思特語文短期補習班</t>
  </si>
  <si>
    <r>
      <rPr>
        <sz val="10"/>
        <color rgb="FF1F2A28"/>
        <rFont val="WenQuanYi Zen Hei"/>
        <family val="2"/>
      </rPr>
      <t xml:space="preserve">南港區興中路</t>
    </r>
    <r>
      <rPr>
        <sz val="10"/>
        <color rgb="FF1F2A28"/>
        <rFont val="Arial"/>
        <family val="0"/>
        <charset val="1"/>
      </rPr>
      <t xml:space="preserve">12</t>
    </r>
    <r>
      <rPr>
        <sz val="10"/>
        <color rgb="FF1F2A28"/>
        <rFont val="WenQuanYi Zen Hei"/>
        <family val="2"/>
      </rPr>
      <t xml:space="preserve">巷</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</si>
  <si>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27892558</t>
  </si>
  <si>
    <t xml:space="preserve">m610820@yahoo.com.tw</t>
  </si>
  <si>
    <t xml:space="preserve">田承林</t>
  </si>
  <si>
    <t xml:space="preserve">陳曉燕</t>
  </si>
  <si>
    <t xml:space="preserve">臺北市私立鮑伯明美語文理短期補習班</t>
  </si>
  <si>
    <r>
      <rPr>
        <sz val="10"/>
        <color rgb="FF1F2A28"/>
        <rFont val="WenQuanYi Zen Hei"/>
        <family val="2"/>
      </rPr>
      <t xml:space="preserve">南港區興南街</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</si>
  <si>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26522107</t>
  </si>
  <si>
    <t xml:space="preserve">liangjeffrey@gmail.com</t>
  </si>
  <si>
    <t xml:space="preserve">2007-01-01</t>
  </si>
  <si>
    <t xml:space="preserve">梁佳慧</t>
  </si>
  <si>
    <t xml:space="preserve">士林區</t>
  </si>
  <si>
    <t xml:space="preserve">中華語文國際教育股份有限公司附設臺北市私立世華語文短期補習班</t>
  </si>
  <si>
    <r>
      <rPr>
        <sz val="10"/>
        <color rgb="FF1F2A28"/>
        <rFont val="WenQuanYi Zen Hei"/>
        <family val="2"/>
      </rPr>
      <t xml:space="preserve">士林區中山北路</t>
    </r>
    <r>
      <rPr>
        <sz val="10"/>
        <color rgb="FF1F2A28"/>
        <rFont val="Arial"/>
        <family val="0"/>
        <charset val="1"/>
      </rPr>
      <t xml:space="preserve">7</t>
    </r>
    <r>
      <rPr>
        <sz val="10"/>
        <color rgb="FF1F2A28"/>
        <rFont val="WenQuanYi Zen Hei"/>
        <family val="2"/>
      </rPr>
      <t xml:space="preserve">段</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</si>
  <si>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02-2871-7588</t>
  </si>
  <si>
    <t xml:space="preserve">2009-12-01</t>
  </si>
  <si>
    <r>
      <rPr>
        <sz val="10"/>
        <color rgb="FF1F2A28"/>
        <rFont val="WenQuanYi Zen Hei"/>
        <family val="2"/>
      </rPr>
      <t xml:space="preserve">中華語文國際教育股份有限公司</t>
    </r>
    <r>
      <rPr>
        <sz val="10"/>
        <color rgb="FF1F2A28"/>
        <rFont val="Arial"/>
        <family val="0"/>
        <charset val="1"/>
      </rPr>
      <t xml:space="preserve">(</t>
    </r>
    <r>
      <rPr>
        <sz val="10"/>
        <color rgb="FF1F2A28"/>
        <rFont val="WenQuanYi Zen Hei"/>
        <family val="2"/>
      </rPr>
      <t xml:space="preserve">何再生</t>
    </r>
    <r>
      <rPr>
        <sz val="10"/>
        <color rgb="FF1F2A28"/>
        <rFont val="Arial"/>
        <family val="0"/>
        <charset val="1"/>
      </rPr>
      <t xml:space="preserve">)</t>
    </r>
  </si>
  <si>
    <t xml:space="preserve">張蓮芬</t>
  </si>
  <si>
    <t xml:space="preserve">中華語文國際教育股份有限公司附設臺北市私立世華語文短期補習班忠誠分班</t>
  </si>
  <si>
    <r>
      <rPr>
        <sz val="10"/>
        <color rgb="FF1F2A28"/>
        <rFont val="WenQuanYi Zen Hei"/>
        <family val="2"/>
      </rPr>
      <t xml:space="preserve">士林區中山北路</t>
    </r>
    <r>
      <rPr>
        <sz val="10"/>
        <color rgb="FF1F2A28"/>
        <rFont val="Arial"/>
        <family val="0"/>
        <charset val="1"/>
      </rPr>
      <t xml:space="preserve">7</t>
    </r>
    <r>
      <rPr>
        <sz val="10"/>
        <color rgb="FF1F2A28"/>
        <rFont val="WenQuanYi Zen Hei"/>
        <family val="2"/>
      </rPr>
      <t xml:space="preserve">段</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</si>
  <si>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洪鼎晴</t>
  </si>
  <si>
    <t xml:space="preserve">亞太語文思辯股份有限公司附設臺北市私立亞太思辯語文短期補習班</t>
  </si>
  <si>
    <r>
      <rPr>
        <sz val="10"/>
        <color rgb="FF1F2A28"/>
        <rFont val="WenQuanYi Zen Hei"/>
        <family val="2"/>
      </rPr>
      <t xml:space="preserve">士林區天母東路</t>
    </r>
    <r>
      <rPr>
        <sz val="10"/>
        <color rgb="FF1F2A28"/>
        <rFont val="Arial"/>
        <family val="0"/>
        <charset val="1"/>
      </rPr>
      <t xml:space="preserve">43</t>
    </r>
    <r>
      <rPr>
        <sz val="10"/>
        <color rgb="FF1F2A28"/>
        <rFont val="WenQuanYi Zen Hei"/>
        <family val="2"/>
      </rPr>
      <t xml:space="preserve">巷</t>
    </r>
    <r>
      <rPr>
        <sz val="10"/>
        <color rgb="FF1F2A28"/>
        <rFont val="Arial"/>
        <family val="0"/>
        <charset val="1"/>
      </rPr>
      <t xml:space="preserve">4</t>
    </r>
    <r>
      <rPr>
        <sz val="10"/>
        <color rgb="FF1F2A28"/>
        <rFont val="WenQuanYi Zen Hei"/>
        <family val="2"/>
      </rPr>
      <t xml:space="preserve">弄</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</si>
  <si>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28761866</t>
  </si>
  <si>
    <t xml:space="preserve">info@asiandebateleague.com</t>
  </si>
  <si>
    <t xml:space="preserve">2012-10-31</t>
  </si>
  <si>
    <t xml:space="preserve">陳南光</t>
  </si>
  <si>
    <t xml:space="preserve">創英文教股份有限公司附設臺北市私立創英日語教室文理短期補習班</t>
  </si>
  <si>
    <r>
      <rPr>
        <sz val="10"/>
        <color rgb="FF1F2A28"/>
        <rFont val="WenQuanYi Zen Hei"/>
        <family val="2"/>
      </rPr>
      <t xml:space="preserve">士林區天母東路</t>
    </r>
    <r>
      <rPr>
        <sz val="10"/>
        <color rgb="FF1F2A28"/>
        <rFont val="Arial"/>
        <family val="0"/>
        <charset val="1"/>
      </rPr>
      <t xml:space="preserve">8</t>
    </r>
    <r>
      <rPr>
        <sz val="10"/>
        <color rgb="FF1F2A28"/>
        <rFont val="WenQuanYi Zen Hei"/>
        <family val="2"/>
      </rPr>
      <t xml:space="preserve">巷</t>
    </r>
    <r>
      <rPr>
        <sz val="10"/>
        <color rgb="FF1F2A28"/>
        <rFont val="Arial"/>
        <family val="0"/>
        <charset val="1"/>
      </rPr>
      <t xml:space="preserve">53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</si>
  <si>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28768477</t>
  </si>
  <si>
    <t xml:space="preserve">yuki@eocs.com.tw</t>
  </si>
  <si>
    <t xml:space="preserve">2004-10-01</t>
  </si>
  <si>
    <r>
      <rPr>
        <sz val="10"/>
        <color rgb="FF1F2A28"/>
        <rFont val="WenQuanYi Zen Hei"/>
        <family val="2"/>
      </rPr>
      <t xml:space="preserve">創英文教股份有限公司</t>
    </r>
    <r>
      <rPr>
        <sz val="10"/>
        <color rgb="FF1F2A28"/>
        <rFont val="Arial"/>
        <family val="0"/>
        <charset val="1"/>
      </rPr>
      <t xml:space="preserve">(</t>
    </r>
    <r>
      <rPr>
        <sz val="10"/>
        <color rgb="FF1F2A28"/>
        <rFont val="WenQuanYi Zen Hei"/>
        <family val="2"/>
      </rPr>
      <t xml:space="preserve">豊川忠紀</t>
    </r>
    <r>
      <rPr>
        <sz val="10"/>
        <color rgb="FF1F2A28"/>
        <rFont val="Arial"/>
        <family val="0"/>
        <charset val="1"/>
      </rPr>
      <t xml:space="preserve">)</t>
    </r>
  </si>
  <si>
    <t xml:space="preserve">姚明坤</t>
  </si>
  <si>
    <t xml:space="preserve">及幼文化出版股份有限公司附設臺北市私立哥大英語文理短期補習班天母二分班</t>
  </si>
  <si>
    <r>
      <rPr>
        <sz val="10"/>
        <color rgb="FF1F2A28"/>
        <rFont val="WenQuanYi Zen Hei"/>
        <family val="2"/>
      </rPr>
      <t xml:space="preserve">士林區天母西路</t>
    </r>
    <r>
      <rPr>
        <sz val="10"/>
        <color rgb="FF1F2A28"/>
        <rFont val="Arial"/>
        <family val="0"/>
        <charset val="1"/>
      </rPr>
      <t xml:space="preserve">46</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48</t>
    </r>
    <r>
      <rPr>
        <sz val="10"/>
        <color rgb="FF1F2A28"/>
        <rFont val="WenQuanYi Zen Hei"/>
        <family val="2"/>
      </rPr>
      <t xml:space="preserve">之</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</si>
  <si>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(02)28710108</t>
  </si>
  <si>
    <t xml:space="preserve">katrina.chang@columbiaenglish.com.tw</t>
  </si>
  <si>
    <t xml:space="preserve">2018-11-16</t>
  </si>
  <si>
    <t xml:space="preserve">王舜頤</t>
  </si>
  <si>
    <t xml:space="preserve">及幼文化出版股份有限公司附設臺北市私立哥大英語短期補習班天母一分班</t>
  </si>
  <si>
    <r>
      <rPr>
        <sz val="10"/>
        <color rgb="FF1F2A28"/>
        <rFont val="WenQuanYi Zen Hei"/>
        <family val="2"/>
      </rPr>
      <t xml:space="preserve">士林區天母西路</t>
    </r>
    <r>
      <rPr>
        <sz val="10"/>
        <color rgb="FF1F2A28"/>
        <rFont val="Arial"/>
        <family val="0"/>
        <charset val="1"/>
      </rPr>
      <t xml:space="preserve">46</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2</t>
    </r>
    <r>
      <rPr>
        <sz val="10"/>
        <color rgb="FF1F2A28"/>
        <rFont val="WenQuanYi Zen Hei"/>
        <family val="2"/>
      </rPr>
      <t xml:space="preserve">樓</t>
    </r>
  </si>
  <si>
    <t xml:space="preserve">2017-12-28</t>
  </si>
  <si>
    <t xml:space="preserve">張雅婷</t>
  </si>
  <si>
    <t xml:space="preserve">及幼文化出版股份有限公司附設臺北市私立哥大英語短期補習班天母分班</t>
  </si>
  <si>
    <r>
      <rPr>
        <sz val="10"/>
        <color rgb="FF1F2A28"/>
        <rFont val="WenQuanYi Zen Hei"/>
        <family val="2"/>
      </rPr>
      <t xml:space="preserve">士林區天母西路</t>
    </r>
    <r>
      <rPr>
        <sz val="10"/>
        <color rgb="FF1F2A28"/>
        <rFont val="Arial"/>
        <family val="0"/>
        <charset val="1"/>
      </rPr>
      <t xml:space="preserve">48</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</si>
  <si>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28710108</t>
  </si>
  <si>
    <t xml:space="preserve">2006-08-01</t>
  </si>
  <si>
    <t xml:space="preserve">李筱汶</t>
  </si>
  <si>
    <t xml:space="preserve">台北市私立亞東語文補習班</t>
  </si>
  <si>
    <r>
      <rPr>
        <sz val="10"/>
        <color rgb="FF1F2A28"/>
        <rFont val="WenQuanYi Zen Hei"/>
        <family val="2"/>
      </rPr>
      <t xml:space="preserve">士林區中山北路</t>
    </r>
    <r>
      <rPr>
        <sz val="10"/>
        <color rgb="FF1F2A28"/>
        <rFont val="Arial"/>
        <family val="0"/>
        <charset val="1"/>
      </rPr>
      <t xml:space="preserve">7</t>
    </r>
    <r>
      <rPr>
        <sz val="10"/>
        <color rgb="FF1F2A28"/>
        <rFont val="WenQuanYi Zen Hei"/>
        <family val="2"/>
      </rPr>
      <t xml:space="preserve">段</t>
    </r>
    <r>
      <rPr>
        <sz val="10"/>
        <color rgb="FF1F2A28"/>
        <rFont val="Arial"/>
        <family val="0"/>
        <charset val="1"/>
      </rPr>
      <t xml:space="preserve">41</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</si>
  <si>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28766350</t>
  </si>
  <si>
    <t xml:space="preserve">mousy840819@gmail.com</t>
  </si>
  <si>
    <t xml:space="preserve">潘錫祺</t>
  </si>
  <si>
    <t xml:space="preserve">台北駿台校股份有限公司附設臺北市私立駿台文理短期補習班</t>
  </si>
  <si>
    <r>
      <rPr>
        <sz val="10"/>
        <color rgb="FF1F2A28"/>
        <rFont val="WenQuanYi Zen Hei"/>
        <family val="2"/>
      </rPr>
      <t xml:space="preserve">士林區天玉街</t>
    </r>
    <r>
      <rPr>
        <sz val="10"/>
        <color rgb="FF1F2A28"/>
        <rFont val="Arial"/>
        <family val="0"/>
        <charset val="1"/>
      </rPr>
      <t xml:space="preserve">38</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6</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</si>
  <si>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28767111</t>
  </si>
  <si>
    <t xml:space="preserve">tsai@sundai-kaigai.jp</t>
  </si>
  <si>
    <t xml:space="preserve">2014-06-13</t>
  </si>
  <si>
    <r>
      <rPr>
        <sz val="10"/>
        <color rgb="FF1F2A28"/>
        <rFont val="WenQuanYi Zen Hei"/>
        <family val="2"/>
      </rPr>
      <t xml:space="preserve">台北駿台校股份有限公司</t>
    </r>
    <r>
      <rPr>
        <sz val="10"/>
        <color rgb="FF1F2A28"/>
        <rFont val="Arial"/>
        <family val="0"/>
        <charset val="1"/>
      </rPr>
      <t xml:space="preserve">(</t>
    </r>
    <r>
      <rPr>
        <sz val="10"/>
        <color rgb="FF1F2A28"/>
        <rFont val="WenQuanYi Zen Hei"/>
        <family val="2"/>
      </rPr>
      <t xml:space="preserve">山崎良子</t>
    </r>
    <r>
      <rPr>
        <sz val="10"/>
        <color rgb="FF1F2A28"/>
        <rFont val="Arial"/>
        <family val="0"/>
        <charset val="1"/>
      </rPr>
      <t xml:space="preserve">)</t>
    </r>
  </si>
  <si>
    <t xml:space="preserve">李敏慧</t>
  </si>
  <si>
    <t xml:space="preserve">台灣藝提股份有限公司附設臺北市私立藝提文理技藝短期補習班天母分班</t>
  </si>
  <si>
    <r>
      <rPr>
        <sz val="10"/>
        <color rgb="FF1F2A28"/>
        <rFont val="WenQuanYi Zen Hei"/>
        <family val="2"/>
      </rPr>
      <t xml:space="preserve">士林區天母東路</t>
    </r>
    <r>
      <rPr>
        <sz val="10"/>
        <color rgb="FF1F2A28"/>
        <rFont val="Arial"/>
        <family val="0"/>
        <charset val="1"/>
      </rPr>
      <t xml:space="preserve">61</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10</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</si>
  <si>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28747587</t>
  </si>
  <si>
    <t xml:space="preserve">ittti-kicks-taipei@ittti.com</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</si>
  <si>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電機、汽車修護、建築、工藝、製圖類</t>
    </r>
  </si>
  <si>
    <t xml:space="preserve">2014-07-17</t>
  </si>
  <si>
    <t xml:space="preserve">前田哲次</t>
  </si>
  <si>
    <t xml:space="preserve">羅世棠</t>
  </si>
  <si>
    <t xml:space="preserve">大樹國際文化企業股份有限公司附設臺北市私立蘭雅文理短期補習班</t>
  </si>
  <si>
    <r>
      <rPr>
        <sz val="10"/>
        <color rgb="FF1F2A28"/>
        <rFont val="WenQuanYi Zen Hei"/>
        <family val="2"/>
      </rPr>
      <t xml:space="preserve">士林區中山北路</t>
    </r>
    <r>
      <rPr>
        <sz val="10"/>
        <color rgb="FF1F2A28"/>
        <rFont val="Arial"/>
        <family val="0"/>
        <charset val="1"/>
      </rPr>
      <t xml:space="preserve">6</t>
    </r>
    <r>
      <rPr>
        <sz val="10"/>
        <color rgb="FF1F2A28"/>
        <rFont val="WenQuanYi Zen Hei"/>
        <family val="2"/>
      </rPr>
      <t xml:space="preserve">段</t>
    </r>
    <r>
      <rPr>
        <sz val="10"/>
        <color rgb="FF1F2A28"/>
        <rFont val="Arial"/>
        <family val="0"/>
        <charset val="1"/>
      </rPr>
      <t xml:space="preserve">246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</si>
  <si>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0277557500</t>
  </si>
  <si>
    <t xml:space="preserve">hr@bigbyte.com.tw</t>
  </si>
  <si>
    <t xml:space="preserve">2006-06-01</t>
  </si>
  <si>
    <t xml:space="preserve">林玉芳</t>
  </si>
  <si>
    <t xml:space="preserve">黃佩麗</t>
  </si>
  <si>
    <t xml:space="preserve">大樹國際文化企業股份有限公司附設臺北市私立賦力文理短期補習班</t>
  </si>
  <si>
    <r>
      <rPr>
        <sz val="10"/>
        <color rgb="FF1F2A28"/>
        <rFont val="WenQuanYi Zen Hei"/>
        <family val="2"/>
      </rPr>
      <t xml:space="preserve">士林區中山北路</t>
    </r>
    <r>
      <rPr>
        <sz val="10"/>
        <color rgb="FF1F2A28"/>
        <rFont val="Arial"/>
        <family val="0"/>
        <charset val="1"/>
      </rPr>
      <t xml:space="preserve">6</t>
    </r>
    <r>
      <rPr>
        <sz val="10"/>
        <color rgb="FF1F2A28"/>
        <rFont val="WenQuanYi Zen Hei"/>
        <family val="2"/>
      </rPr>
      <t xml:space="preserve">段</t>
    </r>
    <r>
      <rPr>
        <sz val="10"/>
        <color rgb="FF1F2A28"/>
        <rFont val="Arial"/>
        <family val="0"/>
        <charset val="1"/>
      </rPr>
      <t xml:space="preserve">248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</si>
  <si>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粘麗娟</t>
  </si>
  <si>
    <t xml:space="preserve">孔孟文化事業有限公司附設臺北市私立孔孟文理短期補習班</t>
  </si>
  <si>
    <r>
      <rPr>
        <sz val="10"/>
        <color rgb="FF1F2A28"/>
        <rFont val="WenQuanYi Zen Hei"/>
        <family val="2"/>
      </rPr>
      <t xml:space="preserve">士林區天母東路</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1</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</si>
  <si>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28767062</t>
  </si>
  <si>
    <t xml:space="preserve">dc-11153-01@kumon-km.com.tw</t>
  </si>
  <si>
    <t xml:space="preserve">孔孟文化事業有限公司（負責人：趙文瑜）</t>
  </si>
  <si>
    <t xml:space="preserve">羅懋德</t>
  </si>
  <si>
    <t xml:space="preserve">學研文教股份有限公司附設臺北市私立學研日文文理短期補習班</t>
  </si>
  <si>
    <r>
      <rPr>
        <sz val="10"/>
        <color rgb="FF1F2A28"/>
        <rFont val="WenQuanYi Zen Hei"/>
        <family val="2"/>
      </rPr>
      <t xml:space="preserve">士林區天母東路</t>
    </r>
    <r>
      <rPr>
        <sz val="10"/>
        <color rgb="FF1F2A28"/>
        <rFont val="Arial"/>
        <family val="0"/>
        <charset val="1"/>
      </rPr>
      <t xml:space="preserve">8</t>
    </r>
    <r>
      <rPr>
        <sz val="10"/>
        <color rgb="FF1F2A28"/>
        <rFont val="WenQuanYi Zen Hei"/>
        <family val="2"/>
      </rPr>
      <t xml:space="preserve">巷</t>
    </r>
    <r>
      <rPr>
        <sz val="10"/>
        <color rgb="FF1F2A28"/>
        <rFont val="Arial"/>
        <family val="0"/>
        <charset val="1"/>
      </rPr>
      <t xml:space="preserve">57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59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</si>
  <si>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02-2876-0037</t>
  </si>
  <si>
    <t xml:space="preserve">wen.y@waseaca.com</t>
  </si>
  <si>
    <t xml:space="preserve">2001-09-01</t>
  </si>
  <si>
    <t xml:space="preserve">荒谷博孝</t>
  </si>
  <si>
    <t xml:space="preserve">温瑋琦</t>
  </si>
  <si>
    <t xml:space="preserve">巨匠雲科技教育股份有限公司附設臺北市私立巨匠雲文理短期補習班士林分班</t>
  </si>
  <si>
    <r>
      <rPr>
        <sz val="10"/>
        <color rgb="FF1F2A28"/>
        <rFont val="WenQuanYi Zen Hei"/>
        <family val="2"/>
      </rPr>
      <t xml:space="preserve">士林區文林路</t>
    </r>
    <r>
      <rPr>
        <sz val="10"/>
        <color rgb="FF1F2A28"/>
        <rFont val="Arial"/>
        <family val="0"/>
        <charset val="1"/>
      </rPr>
      <t xml:space="preserve">340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</si>
  <si>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(02)28822908</t>
  </si>
  <si>
    <t xml:space="preserve">k01_mailbox@pcschool.com.tw</t>
  </si>
  <si>
    <t xml:space="preserve">2019-04-19</t>
  </si>
  <si>
    <t xml:space="preserve">詹雅芝</t>
  </si>
  <si>
    <t xml:space="preserve">復臨文教事業股份有限公司附設臺北市私立復臨卓越文理技藝短期補習班</t>
  </si>
  <si>
    <r>
      <rPr>
        <sz val="10"/>
        <color rgb="FF1F2A28"/>
        <rFont val="WenQuanYi Zen Hei"/>
        <family val="2"/>
      </rPr>
      <t xml:space="preserve">士林區美德街</t>
    </r>
    <r>
      <rPr>
        <sz val="10"/>
        <color rgb="FF1F2A28"/>
        <rFont val="Arial"/>
        <family val="0"/>
        <charset val="1"/>
      </rPr>
      <t xml:space="preserve">99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4</t>
    </r>
    <r>
      <rPr>
        <sz val="10"/>
        <color rgb="FF1F2A28"/>
        <rFont val="WenQuanYi Zen Hei"/>
        <family val="2"/>
      </rPr>
      <t xml:space="preserve">樓及</t>
    </r>
    <r>
      <rPr>
        <sz val="10"/>
        <color rgb="FF1F2A28"/>
        <rFont val="Arial"/>
        <family val="0"/>
        <charset val="1"/>
      </rPr>
      <t xml:space="preserve">5</t>
    </r>
    <r>
      <rPr>
        <sz val="10"/>
        <color rgb="FF1F2A28"/>
        <rFont val="WenQuanYi Zen Hei"/>
        <family val="2"/>
      </rPr>
      <t xml:space="preserve">樓</t>
    </r>
  </si>
  <si>
    <t xml:space="preserve">88664000</t>
  </si>
  <si>
    <t xml:space="preserve">cancy@primacy.org.tw</t>
  </si>
  <si>
    <t xml:space="preserve">2014-12-09</t>
  </si>
  <si>
    <t xml:space="preserve">復臨文教事業股份有限公司：斐雅馨</t>
  </si>
  <si>
    <t xml:space="preserve">王笠芹</t>
  </si>
  <si>
    <t xml:space="preserve">時代國際文教有限公司附設臺北市私立時代國際語文短期補習班士林二分班</t>
  </si>
  <si>
    <r>
      <rPr>
        <sz val="10"/>
        <color rgb="FF1F2A28"/>
        <rFont val="WenQuanYi Zen Hei"/>
        <family val="2"/>
      </rPr>
      <t xml:space="preserve">士林區中正路</t>
    </r>
    <r>
      <rPr>
        <sz val="10"/>
        <color rgb="FF1F2A28"/>
        <rFont val="Arial"/>
        <family val="0"/>
        <charset val="1"/>
      </rPr>
      <t xml:space="preserve">255</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</si>
  <si>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28815500</t>
  </si>
  <si>
    <t xml:space="preserve">poppy.tsai@language-world.com.tw</t>
  </si>
  <si>
    <t xml:space="preserve">2015-04-14</t>
  </si>
  <si>
    <r>
      <rPr>
        <sz val="10"/>
        <color rgb="FF1F2A28"/>
        <rFont val="WenQuanYi Zen Hei"/>
        <family val="2"/>
      </rPr>
      <t xml:space="preserve">時代國際文教有限公司</t>
    </r>
    <r>
      <rPr>
        <sz val="10"/>
        <color rgb="FF1F2A28"/>
        <rFont val="Arial"/>
        <family val="0"/>
        <charset val="1"/>
      </rPr>
      <t xml:space="preserve">(</t>
    </r>
    <r>
      <rPr>
        <sz val="10"/>
        <color rgb="FF1F2A28"/>
        <rFont val="WenQuanYi Zen Hei"/>
        <family val="2"/>
      </rPr>
      <t xml:space="preserve">鄭吉誠</t>
    </r>
    <r>
      <rPr>
        <sz val="10"/>
        <color rgb="FF1F2A28"/>
        <rFont val="Arial"/>
        <family val="0"/>
        <charset val="1"/>
      </rPr>
      <t xml:space="preserve">)</t>
    </r>
  </si>
  <si>
    <t xml:space="preserve">張傳永</t>
  </si>
  <si>
    <t xml:space="preserve">時代國際文教有限公司附設臺北市私立時代國際語文短期補習班士林分班</t>
  </si>
  <si>
    <r>
      <rPr>
        <sz val="10"/>
        <color rgb="FF1F2A28"/>
        <rFont val="WenQuanYi Zen Hei"/>
        <family val="2"/>
      </rPr>
      <t xml:space="preserve">士林區中正路</t>
    </r>
    <r>
      <rPr>
        <sz val="10"/>
        <color rgb="FF1F2A28"/>
        <rFont val="Arial"/>
        <family val="0"/>
        <charset val="1"/>
      </rPr>
      <t xml:space="preserve">255</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</si>
  <si>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鄭淑明</t>
  </si>
  <si>
    <t xml:space="preserve">智勝教育顧問有限公司附設臺北市私立大師國際文理短期補習班</t>
  </si>
  <si>
    <r>
      <rPr>
        <sz val="10"/>
        <color rgb="FF1F2A28"/>
        <rFont val="WenQuanYi Zen Hei"/>
        <family val="2"/>
      </rPr>
      <t xml:space="preserve">士林區天母東路</t>
    </r>
    <r>
      <rPr>
        <sz val="10"/>
        <color rgb="FF1F2A28"/>
        <rFont val="Arial"/>
        <family val="0"/>
        <charset val="1"/>
      </rPr>
      <t xml:space="preserve">6</t>
    </r>
    <r>
      <rPr>
        <sz val="10"/>
        <color rgb="FF1F2A28"/>
        <rFont val="WenQuanYi Zen Hei"/>
        <family val="2"/>
      </rPr>
      <t xml:space="preserve">之</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</si>
  <si>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0955068027 / 0922135135 / 0909098836</t>
  </si>
  <si>
    <t xml:space="preserve">kyao@prepmastersedu.com</t>
  </si>
  <si>
    <t xml:space="preserve">2019-10-07</t>
  </si>
  <si>
    <t xml:space="preserve">方爾豪</t>
  </si>
  <si>
    <t xml:space="preserve">概思文化有限公司附設臺北市私立概思語文短期補習班</t>
  </si>
  <si>
    <r>
      <rPr>
        <sz val="10"/>
        <color rgb="FF1F2A28"/>
        <rFont val="WenQuanYi Zen Hei"/>
        <family val="2"/>
      </rPr>
      <t xml:space="preserve">士林區中山北路</t>
    </r>
    <r>
      <rPr>
        <sz val="10"/>
        <color rgb="FF1F2A28"/>
        <rFont val="Arial"/>
        <family val="0"/>
        <charset val="1"/>
      </rPr>
      <t xml:space="preserve">6</t>
    </r>
    <r>
      <rPr>
        <sz val="10"/>
        <color rgb="FF1F2A28"/>
        <rFont val="WenQuanYi Zen Hei"/>
        <family val="2"/>
      </rPr>
      <t xml:space="preserve">段</t>
    </r>
    <r>
      <rPr>
        <sz val="10"/>
        <color rgb="FF1F2A28"/>
        <rFont val="Arial"/>
        <family val="0"/>
        <charset val="1"/>
      </rPr>
      <t xml:space="preserve">776</t>
    </r>
    <r>
      <rPr>
        <sz val="10"/>
        <color rgb="FF1F2A28"/>
        <rFont val="WenQuanYi Zen Hei"/>
        <family val="2"/>
      </rPr>
      <t xml:space="preserve">巷</t>
    </r>
    <r>
      <rPr>
        <sz val="10"/>
        <color rgb="FF1F2A28"/>
        <rFont val="Arial"/>
        <family val="0"/>
        <charset val="1"/>
      </rPr>
      <t xml:space="preserve">78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</si>
  <si>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2872-7367</t>
  </si>
  <si>
    <t xml:space="preserve">tianmu@allaboardenglish.com</t>
  </si>
  <si>
    <t xml:space="preserve">2016-06-27</t>
  </si>
  <si>
    <r>
      <rPr>
        <sz val="10"/>
        <color rgb="FF1F2A28"/>
        <rFont val="WenQuanYi Zen Hei"/>
        <family val="2"/>
      </rPr>
      <t xml:space="preserve">概思文化有限公司</t>
    </r>
    <r>
      <rPr>
        <sz val="10"/>
        <color rgb="FF1F2A28"/>
        <rFont val="Arial"/>
        <family val="0"/>
        <charset val="1"/>
      </rPr>
      <t xml:space="preserve">:ChristopherJamesHooker</t>
    </r>
  </si>
  <si>
    <t xml:space="preserve">林先麗</t>
  </si>
  <si>
    <t xml:space="preserve">社團法人中國青年救國團附設臺北市私立天德語文文理技藝短期補習班</t>
  </si>
  <si>
    <r>
      <rPr>
        <sz val="10"/>
        <color rgb="FF1F2A28"/>
        <rFont val="WenQuanYi Zen Hei"/>
        <family val="2"/>
      </rPr>
      <t xml:space="preserve">士林區中山北路</t>
    </r>
    <r>
      <rPr>
        <sz val="10"/>
        <color rgb="FF1F2A28"/>
        <rFont val="Arial"/>
        <family val="0"/>
        <charset val="1"/>
      </rPr>
      <t xml:space="preserve">7</t>
    </r>
    <r>
      <rPr>
        <sz val="10"/>
        <color rgb="FF1F2A28"/>
        <rFont val="WenQuanYi Zen Hei"/>
        <family val="2"/>
      </rPr>
      <t xml:space="preserve">段</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1</t>
    </r>
  </si>
  <si>
    <t xml:space="preserve">(02)28755085</t>
  </si>
  <si>
    <t xml:space="preserve">cyccysa23819165@gmail.com</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</si>
  <si>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電機、汽車修護、建築、工藝、製圖類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美容、美髮理髮類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商類：珠算、心算、會計</t>
    </r>
  </si>
  <si>
    <t xml:space="preserve">2019-01-23</t>
  </si>
  <si>
    <t xml:space="preserve">楊朝祥</t>
  </si>
  <si>
    <t xml:space="preserve">陳心怡</t>
  </si>
  <si>
    <t xml:space="preserve">科見文教資訊股份有限公司附設臺北市私立科見文理短期補習班</t>
  </si>
  <si>
    <r>
      <rPr>
        <sz val="10"/>
        <color rgb="FF1F2A28"/>
        <rFont val="WenQuanYi Zen Hei"/>
        <family val="2"/>
      </rPr>
      <t xml:space="preserve">士林區中正路</t>
    </r>
    <r>
      <rPr>
        <sz val="10"/>
        <color rgb="FF1F2A28"/>
        <rFont val="Arial"/>
        <family val="0"/>
        <charset val="1"/>
      </rPr>
      <t xml:space="preserve">288</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</si>
  <si>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28332979</t>
  </si>
  <si>
    <t xml:space="preserve">manager6a@kojen-els.com.tw</t>
  </si>
  <si>
    <t xml:space="preserve">侯光杰</t>
  </si>
  <si>
    <t xml:space="preserve">精英國際教育管理顧問股份有限公司附設臺北巿私立精英國際昱成文理技藝短期補習班</t>
  </si>
  <si>
    <r>
      <rPr>
        <sz val="10"/>
        <color rgb="FF1F2A28"/>
        <rFont val="WenQuanYi Zen Hei"/>
        <family val="2"/>
      </rPr>
      <t xml:space="preserve">士林區承德路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12</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</si>
  <si>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28866569</t>
  </si>
  <si>
    <t xml:space="preserve">yuch28866569@gmail.com</t>
  </si>
  <si>
    <r>
      <rPr>
        <sz val="10"/>
        <color rgb="FF1F2A28"/>
        <rFont val="WenQuanYi Zen Hei"/>
        <family val="2"/>
      </rPr>
      <t xml:space="preserve">精英國際教育管理顧問股份有限公司</t>
    </r>
    <r>
      <rPr>
        <sz val="10"/>
        <color rgb="FF1F2A28"/>
        <rFont val="Arial"/>
        <family val="0"/>
        <charset val="1"/>
      </rPr>
      <t xml:space="preserve">(</t>
    </r>
    <r>
      <rPr>
        <sz val="10"/>
        <color rgb="FF1F2A28"/>
        <rFont val="WenQuanYi Zen Hei"/>
        <family val="2"/>
      </rPr>
      <t xml:space="preserve">負責人：張書語</t>
    </r>
    <r>
      <rPr>
        <sz val="10"/>
        <color rgb="FF1F2A28"/>
        <rFont val="Arial"/>
        <family val="0"/>
        <charset val="1"/>
      </rPr>
      <t xml:space="preserve">)</t>
    </r>
  </si>
  <si>
    <t xml:space="preserve">劉育帆</t>
  </si>
  <si>
    <t xml:space="preserve">臺北市私立人合文理技藝短期補習班</t>
  </si>
  <si>
    <r>
      <rPr>
        <sz val="10"/>
        <color rgb="FF1F2A28"/>
        <rFont val="WenQuanYi Zen Hei"/>
        <family val="2"/>
      </rPr>
      <t xml:space="preserve">士林區士東路</t>
    </r>
    <r>
      <rPr>
        <sz val="10"/>
        <color rgb="FF1F2A28"/>
        <rFont val="Arial"/>
        <family val="0"/>
        <charset val="1"/>
      </rPr>
      <t xml:space="preserve">270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</si>
  <si>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28337409</t>
  </si>
  <si>
    <t xml:space="preserve">vivian721017@yahoo.com.tw</t>
  </si>
  <si>
    <t xml:space="preserve">張茹茵</t>
  </si>
  <si>
    <t xml:space="preserve">臺北市私立何迦仁文理短期補習班</t>
  </si>
  <si>
    <r>
      <rPr>
        <sz val="10"/>
        <color rgb="FF1F2A28"/>
        <rFont val="WenQuanYi Zen Hei"/>
        <family val="2"/>
      </rPr>
      <t xml:space="preserve">士林區天母北路</t>
    </r>
    <r>
      <rPr>
        <sz val="10"/>
        <color rgb="FF1F2A28"/>
        <rFont val="Arial"/>
        <family val="0"/>
        <charset val="1"/>
      </rPr>
      <t xml:space="preserve">42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</si>
  <si>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28723223</t>
  </si>
  <si>
    <t xml:space="preserve">grace.lin@hess.com.tw</t>
  </si>
  <si>
    <t xml:space="preserve">1990-08-08</t>
  </si>
  <si>
    <t xml:space="preserve">林福來</t>
  </si>
  <si>
    <t xml:space="preserve">臺北市私立佳誠文理短期補習班</t>
  </si>
  <si>
    <r>
      <rPr>
        <sz val="10"/>
        <color rgb="FF1F2A28"/>
        <rFont val="WenQuanYi Zen Hei"/>
        <family val="2"/>
      </rPr>
      <t xml:space="preserve">士林區忠誠路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171</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弄</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</si>
  <si>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28331606</t>
  </si>
  <si>
    <t xml:space="preserve">joyenglishtianmu@gmail.com</t>
  </si>
  <si>
    <t xml:space="preserve">1999-03-01</t>
  </si>
  <si>
    <t xml:space="preserve">葉馥瑋</t>
  </si>
  <si>
    <t xml:space="preserve">林淑真</t>
  </si>
  <si>
    <t xml:space="preserve">臺北市私立倍斯特文理短期補習班</t>
  </si>
  <si>
    <r>
      <rPr>
        <sz val="10"/>
        <color rgb="FF1F2A28"/>
        <rFont val="WenQuanYi Zen Hei"/>
        <family val="2"/>
      </rPr>
      <t xml:space="preserve">士林區延平北路</t>
    </r>
    <r>
      <rPr>
        <sz val="10"/>
        <color rgb="FF1F2A28"/>
        <rFont val="Arial"/>
        <family val="0"/>
        <charset val="1"/>
      </rPr>
      <t xml:space="preserve">6</t>
    </r>
    <r>
      <rPr>
        <sz val="10"/>
        <color rgb="FF1F2A28"/>
        <rFont val="WenQuanYi Zen Hei"/>
        <family val="2"/>
      </rPr>
      <t xml:space="preserve">段</t>
    </r>
    <r>
      <rPr>
        <sz val="10"/>
        <color rgb="FF1F2A28"/>
        <rFont val="Arial"/>
        <family val="0"/>
        <charset val="1"/>
      </rPr>
      <t xml:space="preserve">368</t>
    </r>
    <r>
      <rPr>
        <sz val="10"/>
        <color rgb="FF1F2A28"/>
        <rFont val="WenQuanYi Zen Hei"/>
        <family val="2"/>
      </rPr>
      <t xml:space="preserve">巷</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</si>
  <si>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28109428</t>
  </si>
  <si>
    <t xml:space="preserve">tristadfds@gmail.com</t>
  </si>
  <si>
    <t xml:space="preserve">2005-09-01</t>
  </si>
  <si>
    <t xml:space="preserve">邱義良</t>
  </si>
  <si>
    <t xml:space="preserve">臺北市私立傑克文理短期補習班</t>
  </si>
  <si>
    <r>
      <rPr>
        <sz val="10"/>
        <color rgb="FF1F2A28"/>
        <rFont val="WenQuanYi Zen Hei"/>
        <family val="2"/>
      </rPr>
      <t xml:space="preserve">士林區天玉街</t>
    </r>
    <r>
      <rPr>
        <sz val="10"/>
        <color rgb="FF1F2A28"/>
        <rFont val="Arial"/>
        <family val="0"/>
        <charset val="1"/>
      </rPr>
      <t xml:space="preserve">38</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</si>
  <si>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28749972</t>
  </si>
  <si>
    <t xml:space="preserve">taipeiaei888@gmail.com</t>
  </si>
  <si>
    <t xml:space="preserve">2014-08-28</t>
  </si>
  <si>
    <t xml:space="preserve">周之杰</t>
  </si>
  <si>
    <t xml:space="preserve">臺北市私立優點文理技藝短期補習班</t>
  </si>
  <si>
    <r>
      <rPr>
        <sz val="10"/>
        <color rgb="FF1F2A28"/>
        <rFont val="WenQuanYi Zen Hei"/>
        <family val="2"/>
      </rPr>
      <t xml:space="preserve">士林區德行東路</t>
    </r>
    <r>
      <rPr>
        <sz val="10"/>
        <color rgb="FF1F2A28"/>
        <rFont val="Arial"/>
        <family val="0"/>
        <charset val="1"/>
      </rPr>
      <t xml:space="preserve">306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</si>
  <si>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28316939</t>
  </si>
  <si>
    <t xml:space="preserve">陳信宏</t>
  </si>
  <si>
    <t xml:space="preserve">徐佳吟</t>
  </si>
  <si>
    <t xml:space="preserve">臺北市私立凱斯文理短期補習班天母二分班</t>
  </si>
  <si>
    <r>
      <rPr>
        <sz val="10"/>
        <color rgb="FF1F2A28"/>
        <rFont val="WenQuanYi Zen Hei"/>
        <family val="2"/>
      </rPr>
      <t xml:space="preserve">士林區天母西路</t>
    </r>
    <r>
      <rPr>
        <sz val="10"/>
        <color rgb="FF1F2A28"/>
        <rFont val="Arial"/>
        <family val="0"/>
        <charset val="1"/>
      </rPr>
      <t xml:space="preserve">65</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</si>
  <si>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28739666</t>
  </si>
  <si>
    <t xml:space="preserve">劉家倩</t>
  </si>
  <si>
    <t xml:space="preserve">臺北市私立凱斯文理短期補習班天母分班</t>
  </si>
  <si>
    <r>
      <rPr>
        <sz val="10"/>
        <color rgb="FF1F2A28"/>
        <rFont val="WenQuanYi Zen Hei"/>
        <family val="2"/>
      </rPr>
      <t xml:space="preserve">士林區天母西路</t>
    </r>
    <r>
      <rPr>
        <sz val="10"/>
        <color rgb="FF1F2A28"/>
        <rFont val="Arial"/>
        <family val="0"/>
        <charset val="1"/>
      </rPr>
      <t xml:space="preserve">65</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65</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</si>
  <si>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28711838</t>
  </si>
  <si>
    <t xml:space="preserve">2005-07-01</t>
  </si>
  <si>
    <t xml:space="preserve">林蒂</t>
  </si>
  <si>
    <t xml:space="preserve">臺北市私立凱斯文理短期補習班天玉分班</t>
  </si>
  <si>
    <r>
      <rPr>
        <sz val="10"/>
        <color rgb="FF1F2A28"/>
        <rFont val="WenQuanYi Zen Hei"/>
        <family val="2"/>
      </rPr>
      <t xml:space="preserve">士林區天玉街</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</si>
  <si>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卓逸芬</t>
  </si>
  <si>
    <t xml:space="preserve">臺北市私立博琳文理技藝短期補習班</t>
  </si>
  <si>
    <r>
      <rPr>
        <sz val="10"/>
        <color rgb="FF1F2A28"/>
        <rFont val="WenQuanYi Zen Hei"/>
        <family val="2"/>
      </rPr>
      <t xml:space="preserve">士林區中山北路</t>
    </r>
    <r>
      <rPr>
        <sz val="10"/>
        <color rgb="FF1F2A28"/>
        <rFont val="Arial"/>
        <family val="0"/>
        <charset val="1"/>
      </rPr>
      <t xml:space="preserve">7</t>
    </r>
    <r>
      <rPr>
        <sz val="10"/>
        <color rgb="FF1F2A28"/>
        <rFont val="WenQuanYi Zen Hei"/>
        <family val="2"/>
      </rPr>
      <t xml:space="preserve">段</t>
    </r>
    <r>
      <rPr>
        <sz val="10"/>
        <color rgb="FF1F2A28"/>
        <rFont val="Arial"/>
        <family val="0"/>
        <charset val="1"/>
      </rPr>
      <t xml:space="preserve">14</t>
    </r>
    <r>
      <rPr>
        <sz val="10"/>
        <color rgb="FF1F2A28"/>
        <rFont val="WenQuanYi Zen Hei"/>
        <family val="2"/>
      </rPr>
      <t xml:space="preserve">巷</t>
    </r>
    <r>
      <rPr>
        <sz val="10"/>
        <color rgb="FF1F2A28"/>
        <rFont val="Arial"/>
        <family val="0"/>
        <charset val="1"/>
      </rPr>
      <t xml:space="preserve">41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</si>
  <si>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28762687</t>
  </si>
  <si>
    <t xml:space="preserve">livia6618@gmail.com</t>
  </si>
  <si>
    <t xml:space="preserve">2013-03-13</t>
  </si>
  <si>
    <t xml:space="preserve">廖鈺婷</t>
  </si>
  <si>
    <t xml:space="preserve">臺北市私立喬星英文短期補習班</t>
  </si>
  <si>
    <r>
      <rPr>
        <sz val="10"/>
        <color rgb="FF1F2A28"/>
        <rFont val="WenQuanYi Zen Hei"/>
        <family val="2"/>
      </rPr>
      <t xml:space="preserve">士林區福華路</t>
    </r>
    <r>
      <rPr>
        <sz val="10"/>
        <color rgb="FF1F2A28"/>
        <rFont val="Arial"/>
        <family val="0"/>
        <charset val="1"/>
      </rPr>
      <t xml:space="preserve">166</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</si>
  <si>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28343036</t>
  </si>
  <si>
    <t xml:space="preserve">ayoenglish@gmail.com</t>
  </si>
  <si>
    <t xml:space="preserve">2014-01-21</t>
  </si>
  <si>
    <t xml:space="preserve">吳佳穎</t>
  </si>
  <si>
    <t xml:space="preserve">臺北市私立大聯盟文理短期補習班</t>
  </si>
  <si>
    <r>
      <rPr>
        <sz val="10"/>
        <color rgb="FF1F2A28"/>
        <rFont val="WenQuanYi Zen Hei"/>
        <family val="2"/>
      </rPr>
      <t xml:space="preserve">士林區永平街</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</si>
  <si>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0982821046</t>
  </si>
  <si>
    <t xml:space="preserve">mlb.28166576@gmail.com</t>
  </si>
  <si>
    <t xml:space="preserve">2010-10-01</t>
  </si>
  <si>
    <t xml:space="preserve">方榆斐</t>
  </si>
  <si>
    <t xml:space="preserve">臺北市私立天母之塾新館文理短期補習班</t>
  </si>
  <si>
    <r>
      <rPr>
        <sz val="10"/>
        <color rgb="FF1F2A28"/>
        <rFont val="WenQuanYi Zen Hei"/>
        <family val="2"/>
      </rPr>
      <t xml:space="preserve">士林區天母西路</t>
    </r>
    <r>
      <rPr>
        <sz val="10"/>
        <color rgb="FF1F2A28"/>
        <rFont val="Arial"/>
        <family val="0"/>
        <charset val="1"/>
      </rPr>
      <t xml:space="preserve">11</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</si>
  <si>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28710281</t>
  </si>
  <si>
    <t xml:space="preserve">viki0321viki@gmail.com</t>
  </si>
  <si>
    <t xml:space="preserve">2013-09-14</t>
  </si>
  <si>
    <t xml:space="preserve">高羽榛</t>
  </si>
  <si>
    <t xml:space="preserve">高丞希</t>
  </si>
  <si>
    <t xml:space="preserve">臺北市私立奧斯丁語文短期補習班</t>
  </si>
  <si>
    <r>
      <rPr>
        <sz val="10"/>
        <color rgb="FF1F2A28"/>
        <rFont val="WenQuanYi Zen Hei"/>
        <family val="2"/>
      </rPr>
      <t xml:space="preserve">士林區中山北路</t>
    </r>
    <r>
      <rPr>
        <sz val="10"/>
        <color rgb="FF1F2A28"/>
        <rFont val="Arial"/>
        <family val="0"/>
        <charset val="1"/>
      </rPr>
      <t xml:space="preserve">7</t>
    </r>
    <r>
      <rPr>
        <sz val="10"/>
        <color rgb="FF1F2A28"/>
        <rFont val="WenQuanYi Zen Hei"/>
        <family val="2"/>
      </rPr>
      <t xml:space="preserve">段</t>
    </r>
    <r>
      <rPr>
        <sz val="10"/>
        <color rgb="FF1F2A28"/>
        <rFont val="Arial"/>
        <family val="0"/>
        <charset val="1"/>
      </rPr>
      <t xml:space="preserve">14</t>
    </r>
    <r>
      <rPr>
        <sz val="10"/>
        <color rgb="FF1F2A28"/>
        <rFont val="WenQuanYi Zen Hei"/>
        <family val="2"/>
      </rPr>
      <t xml:space="preserve">巷</t>
    </r>
    <r>
      <rPr>
        <sz val="10"/>
        <color rgb="FF1F2A28"/>
        <rFont val="Arial"/>
        <family val="0"/>
        <charset val="1"/>
      </rPr>
      <t xml:space="preserve">37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</si>
  <si>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28738075</t>
  </si>
  <si>
    <t xml:space="preserve">giraffe123mt@gmail.com</t>
  </si>
  <si>
    <t xml:space="preserve">李政倫</t>
  </si>
  <si>
    <t xml:space="preserve">臺北市私立小葳文理短期補習班</t>
  </si>
  <si>
    <r>
      <rPr>
        <sz val="10"/>
        <color rgb="FF1F2A28"/>
        <rFont val="WenQuanYi Zen Hei"/>
        <family val="2"/>
      </rPr>
      <t xml:space="preserve">士林區葫蘆街</t>
    </r>
    <r>
      <rPr>
        <sz val="10"/>
        <color rgb="FF1F2A28"/>
        <rFont val="Arial"/>
        <family val="0"/>
        <charset val="1"/>
      </rPr>
      <t xml:space="preserve">138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</si>
  <si>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88111381</t>
  </si>
  <si>
    <t xml:space="preserve">emilywei0829@yahoo.com.tw</t>
  </si>
  <si>
    <t xml:space="preserve">莊又樺</t>
  </si>
  <si>
    <t xml:space="preserve">臺北市私立尼芮思文理短期補習班</t>
  </si>
  <si>
    <r>
      <rPr>
        <sz val="10"/>
        <color rgb="FF1F2A28"/>
        <rFont val="WenQuanYi Zen Hei"/>
        <family val="2"/>
      </rPr>
      <t xml:space="preserve">士林區天母西路</t>
    </r>
    <r>
      <rPr>
        <sz val="10"/>
        <color rgb="FF1F2A28"/>
        <rFont val="Arial"/>
        <family val="0"/>
        <charset val="1"/>
      </rPr>
      <t xml:space="preserve">5</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</si>
  <si>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(02)28719425</t>
  </si>
  <si>
    <t xml:space="preserve">ba035@joy.com.tw</t>
  </si>
  <si>
    <t xml:space="preserve">2018-06-04</t>
  </si>
  <si>
    <t xml:space="preserve">呂佳臻</t>
  </si>
  <si>
    <t xml:space="preserve">黃瑞姣</t>
  </si>
  <si>
    <t xml:space="preserve">臺北市私立思洛巽文理短期補習班</t>
  </si>
  <si>
    <r>
      <rPr>
        <sz val="10"/>
        <color rgb="FF1F2A28"/>
        <rFont val="WenQuanYi Zen Hei"/>
        <family val="2"/>
      </rPr>
      <t xml:space="preserve">士林區天玉街</t>
    </r>
    <r>
      <rPr>
        <sz val="10"/>
        <color rgb="FF1F2A28"/>
        <rFont val="Arial"/>
        <family val="0"/>
        <charset val="1"/>
      </rPr>
      <t xml:space="preserve">38</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弄</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</si>
  <si>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28747163</t>
  </si>
  <si>
    <t xml:space="preserve">skillsacademy.tw@gmail.com</t>
  </si>
  <si>
    <t xml:space="preserve">2018-09-19</t>
  </si>
  <si>
    <t xml:space="preserve">陳俊任</t>
  </si>
  <si>
    <t xml:space="preserve">臺北市私立思躍軟實力文理短期補習班</t>
  </si>
  <si>
    <r>
      <rPr>
        <sz val="10"/>
        <color rgb="FF1F2A28"/>
        <rFont val="WenQuanYi Zen Hei"/>
        <family val="2"/>
      </rPr>
      <t xml:space="preserve">士林區中山北路</t>
    </r>
    <r>
      <rPr>
        <sz val="10"/>
        <color rgb="FF1F2A28"/>
        <rFont val="Arial"/>
        <family val="0"/>
        <charset val="1"/>
      </rPr>
      <t xml:space="preserve">7</t>
    </r>
    <r>
      <rPr>
        <sz val="10"/>
        <color rgb="FF1F2A28"/>
        <rFont val="WenQuanYi Zen Hei"/>
        <family val="2"/>
      </rPr>
      <t xml:space="preserve">段</t>
    </r>
    <r>
      <rPr>
        <sz val="10"/>
        <color rgb="FF1F2A28"/>
        <rFont val="Arial"/>
        <family val="0"/>
        <charset val="1"/>
      </rPr>
      <t xml:space="preserve">55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</si>
  <si>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(02)28772352</t>
  </si>
  <si>
    <t xml:space="preserve">amber@ascenttw.com</t>
  </si>
  <si>
    <t xml:space="preserve">2023-05-23</t>
  </si>
  <si>
    <t xml:space="preserve">羅泰</t>
  </si>
  <si>
    <t xml:space="preserve">陳昱廷</t>
  </si>
  <si>
    <t xml:space="preserve">臺北市私立惠晟數理文理短期補習班</t>
  </si>
  <si>
    <r>
      <rPr>
        <sz val="10"/>
        <color rgb="FF1F2A28"/>
        <rFont val="WenQuanYi Zen Hei"/>
        <family val="2"/>
      </rPr>
      <t xml:space="preserve">士林區忠誠路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40</t>
    </r>
    <r>
      <rPr>
        <sz val="10"/>
        <color rgb="FF1F2A28"/>
        <rFont val="WenQuanYi Zen Hei"/>
        <family val="2"/>
      </rPr>
      <t xml:space="preserve">巷</t>
    </r>
    <r>
      <rPr>
        <sz val="10"/>
        <color rgb="FF1F2A28"/>
        <rFont val="Arial"/>
        <family val="0"/>
        <charset val="1"/>
      </rPr>
      <t xml:space="preserve">14</t>
    </r>
    <r>
      <rPr>
        <sz val="10"/>
        <color rgb="FF1F2A28"/>
        <rFont val="WenQuanYi Zen Hei"/>
        <family val="2"/>
      </rPr>
      <t xml:space="preserve">弄</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</si>
  <si>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28365645</t>
  </si>
  <si>
    <t xml:space="preserve">huichencs@yahoo.com.tw</t>
  </si>
  <si>
    <t xml:space="preserve">張聰順</t>
  </si>
  <si>
    <t xml:space="preserve">臺北市私立愛迪克語文短期補習班</t>
  </si>
  <si>
    <r>
      <rPr>
        <sz val="10"/>
        <color rgb="FF1F2A28"/>
        <rFont val="WenQuanYi Zen Hei"/>
        <family val="2"/>
      </rPr>
      <t xml:space="preserve">士林區中山北路</t>
    </r>
    <r>
      <rPr>
        <sz val="10"/>
        <color rgb="FF1F2A28"/>
        <rFont val="Arial"/>
        <family val="0"/>
        <charset val="1"/>
      </rPr>
      <t xml:space="preserve">7</t>
    </r>
    <r>
      <rPr>
        <sz val="10"/>
        <color rgb="FF1F2A28"/>
        <rFont val="WenQuanYi Zen Hei"/>
        <family val="2"/>
      </rPr>
      <t xml:space="preserve">段</t>
    </r>
    <r>
      <rPr>
        <sz val="10"/>
        <color rgb="FF1F2A28"/>
        <rFont val="Arial"/>
        <family val="0"/>
        <charset val="1"/>
      </rPr>
      <t xml:space="preserve">14</t>
    </r>
    <r>
      <rPr>
        <sz val="10"/>
        <color rgb="FF1F2A28"/>
        <rFont val="WenQuanYi Zen Hei"/>
        <family val="2"/>
      </rPr>
      <t xml:space="preserve">巷</t>
    </r>
    <r>
      <rPr>
        <sz val="10"/>
        <color rgb="FF1F2A28"/>
        <rFont val="Arial"/>
        <family val="0"/>
        <charset val="1"/>
      </rPr>
      <t xml:space="preserve">30</t>
    </r>
    <r>
      <rPr>
        <sz val="10"/>
        <color rgb="FF1F2A28"/>
        <rFont val="WenQuanYi Zen Hei"/>
        <family val="2"/>
      </rPr>
      <t xml:space="preserve">弄</t>
    </r>
    <r>
      <rPr>
        <sz val="10"/>
        <color rgb="FF1F2A28"/>
        <rFont val="Arial"/>
        <family val="0"/>
        <charset val="1"/>
      </rPr>
      <t xml:space="preserve">11</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</si>
  <si>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28743003</t>
  </si>
  <si>
    <t xml:space="preserve">18kschool@gmail.com</t>
  </si>
  <si>
    <t xml:space="preserve">洪鳳鴻</t>
  </si>
  <si>
    <t xml:space="preserve">張俊明</t>
  </si>
  <si>
    <t xml:space="preserve">臺北市私立文聲語文短期補習班</t>
  </si>
  <si>
    <r>
      <rPr>
        <sz val="10"/>
        <color rgb="FF1F2A28"/>
        <rFont val="WenQuanYi Zen Hei"/>
        <family val="2"/>
      </rPr>
      <t xml:space="preserve">士林區中正路</t>
    </r>
    <r>
      <rPr>
        <sz val="10"/>
        <color rgb="FF1F2A28"/>
        <rFont val="Arial"/>
        <family val="0"/>
        <charset val="1"/>
      </rPr>
      <t xml:space="preserve">322</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</si>
  <si>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28348325</t>
  </si>
  <si>
    <t xml:space="preserve">shinling@sesamevillage.tw</t>
  </si>
  <si>
    <t xml:space="preserve">1994-05-01</t>
  </si>
  <si>
    <t xml:space="preserve">沈瑞香</t>
  </si>
  <si>
    <t xml:space="preserve">臺北市私立明音音樂技藝文理短期補習班</t>
  </si>
  <si>
    <r>
      <rPr>
        <sz val="10"/>
        <color rgb="FF1F2A28"/>
        <rFont val="WenQuanYi Zen Hei"/>
        <family val="2"/>
      </rPr>
      <t xml:space="preserve">士林區忠誠路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118</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</si>
  <si>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0987-388-854</t>
  </si>
  <si>
    <t xml:space="preserve">akane.music.tw@gmail.com</t>
  </si>
  <si>
    <t xml:space="preserve">2026-07-02</t>
  </si>
  <si>
    <t xml:space="preserve">芳賀明音</t>
  </si>
  <si>
    <t xml:space="preserve">陳怡儒</t>
  </si>
  <si>
    <t xml:space="preserve">臺北市私立春藤語文短期補習班</t>
  </si>
  <si>
    <r>
      <rPr>
        <sz val="10"/>
        <color rgb="FF1F2A28"/>
        <rFont val="WenQuanYi Zen Hei"/>
        <family val="2"/>
      </rPr>
      <t xml:space="preserve">士林區天母東路</t>
    </r>
    <r>
      <rPr>
        <sz val="10"/>
        <color rgb="FF1F2A28"/>
        <rFont val="Arial"/>
        <family val="0"/>
        <charset val="1"/>
      </rPr>
      <t xml:space="preserve">57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</si>
  <si>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28763030</t>
  </si>
  <si>
    <t xml:space="preserve">admin@ivytree.com</t>
  </si>
  <si>
    <t xml:space="preserve">2012-04-06</t>
  </si>
  <si>
    <t xml:space="preserve">李宜容</t>
  </si>
  <si>
    <t xml:space="preserve">WARRICK LANTZ OWEN</t>
  </si>
  <si>
    <t xml:space="preserve">臺北市私立晟傑文理短期補習班</t>
  </si>
  <si>
    <r>
      <rPr>
        <sz val="10"/>
        <color rgb="FF1F2A28"/>
        <rFont val="WenQuanYi Zen Hei"/>
        <family val="2"/>
      </rPr>
      <t xml:space="preserve">士林區天母西路</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樓之</t>
    </r>
    <r>
      <rPr>
        <sz val="10"/>
        <color rgb="FF1F2A28"/>
        <rFont val="Arial"/>
        <family val="0"/>
        <charset val="1"/>
      </rPr>
      <t xml:space="preserve">3</t>
    </r>
  </si>
  <si>
    <t xml:space="preserve">(02)28747757</t>
  </si>
  <si>
    <t xml:space="preserve">admin@aeiprep.com</t>
  </si>
  <si>
    <t xml:space="preserve">2017-09-20</t>
  </si>
  <si>
    <t xml:space="preserve">王嘉薇</t>
  </si>
  <si>
    <t xml:space="preserve">林鶴年</t>
  </si>
  <si>
    <t xml:space="preserve">臺北市私立欣陽文理技藝短期補習班</t>
  </si>
  <si>
    <r>
      <rPr>
        <sz val="10"/>
        <color rgb="FF1F2A28"/>
        <rFont val="WenQuanYi Zen Hei"/>
        <family val="2"/>
      </rPr>
      <t xml:space="preserve">士林區福港街</t>
    </r>
    <r>
      <rPr>
        <sz val="10"/>
        <color rgb="FF1F2A28"/>
        <rFont val="Arial"/>
        <family val="0"/>
        <charset val="1"/>
      </rPr>
      <t xml:space="preserve">259</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</si>
  <si>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(02)2883-7028</t>
  </si>
  <si>
    <t xml:space="preserve">alier_maggie@yahoo.com.tw</t>
  </si>
  <si>
    <t xml:space="preserve">2026-04-13</t>
  </si>
  <si>
    <t xml:space="preserve">李俊毅</t>
  </si>
  <si>
    <t xml:space="preserve">臺北市私立泰安文理短期補習班</t>
  </si>
  <si>
    <r>
      <rPr>
        <sz val="10"/>
        <color rgb="FF1F2A28"/>
        <rFont val="WenQuanYi Zen Hei"/>
        <family val="2"/>
      </rPr>
      <t xml:space="preserve">士林區中山北路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829</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</si>
  <si>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28345782</t>
  </si>
  <si>
    <t xml:space="preserve">a10087350@gmail.com</t>
  </si>
  <si>
    <t xml:space="preserve">吳倩衡</t>
  </si>
  <si>
    <t xml:space="preserve">臺北市私立澄蒔文理技藝短期補習班</t>
  </si>
  <si>
    <r>
      <rPr>
        <sz val="10"/>
        <color rgb="FF1F2A28"/>
        <rFont val="WenQuanYi Zen Hei"/>
        <family val="2"/>
      </rPr>
      <t xml:space="preserve">士林區天母西路</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7</t>
    </r>
  </si>
  <si>
    <t xml:space="preserve">2876-1103</t>
  </si>
  <si>
    <t xml:space="preserve">lele227@gmail.com</t>
  </si>
  <si>
    <t xml:space="preserve">張貴富</t>
  </si>
  <si>
    <t xml:space="preserve">蔡佩璆</t>
  </si>
  <si>
    <t xml:space="preserve">臺北市私立玉承文理短期補習班</t>
  </si>
  <si>
    <r>
      <rPr>
        <sz val="10"/>
        <color rgb="FF1F2A28"/>
        <rFont val="WenQuanYi Zen Hei"/>
        <family val="2"/>
      </rPr>
      <t xml:space="preserve">士林區福港街</t>
    </r>
    <r>
      <rPr>
        <sz val="10"/>
        <color rgb="FF1F2A28"/>
        <rFont val="Arial"/>
        <family val="0"/>
        <charset val="1"/>
      </rPr>
      <t xml:space="preserve">160</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</si>
  <si>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(02)28839172</t>
  </si>
  <si>
    <t xml:space="preserve">ljmath2014@gmail.com</t>
  </si>
  <si>
    <t xml:space="preserve">2017-06-27</t>
  </si>
  <si>
    <t xml:space="preserve">鄭宜昌</t>
  </si>
  <si>
    <t xml:space="preserve">周廷純</t>
  </si>
  <si>
    <t xml:space="preserve">臺北市私立知冠文理短期補習班</t>
  </si>
  <si>
    <r>
      <rPr>
        <sz val="10"/>
        <color rgb="FF1F2A28"/>
        <rFont val="WenQuanYi Zen Hei"/>
        <family val="2"/>
      </rPr>
      <t xml:space="preserve">士林區福志路</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</si>
  <si>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02-28348966</t>
  </si>
  <si>
    <t xml:space="preserve">stotslynn@gmail.com</t>
  </si>
  <si>
    <t xml:space="preserve">2013-11-20</t>
  </si>
  <si>
    <t xml:space="preserve">林玉美</t>
  </si>
  <si>
    <t xml:space="preserve">黃雅玲</t>
  </si>
  <si>
    <t xml:space="preserve">臺北市私立立成文理技藝短期補習班</t>
  </si>
  <si>
    <r>
      <rPr>
        <sz val="10"/>
        <color rgb="FF1F2A28"/>
        <rFont val="WenQuanYi Zen Hei"/>
        <family val="2"/>
      </rPr>
      <t xml:space="preserve">士林區福華路</t>
    </r>
    <r>
      <rPr>
        <sz val="10"/>
        <color rgb="FF1F2A28"/>
        <rFont val="Arial"/>
        <family val="0"/>
        <charset val="1"/>
      </rPr>
      <t xml:space="preserve">139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</si>
  <si>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28386212</t>
  </si>
  <si>
    <t xml:space="preserve">beesart.taipei@gmail.com</t>
  </si>
  <si>
    <t xml:space="preserve">2010-04-01</t>
  </si>
  <si>
    <t xml:space="preserve">吳仲良</t>
  </si>
  <si>
    <t xml:space="preserve">臺北市私立維思敦文理短期補習班</t>
  </si>
  <si>
    <r>
      <rPr>
        <sz val="10"/>
        <color rgb="FF1F2A28"/>
        <rFont val="WenQuanYi Zen Hei"/>
        <family val="2"/>
      </rPr>
      <t xml:space="preserve">士林區天母西路</t>
    </r>
    <r>
      <rPr>
        <sz val="10"/>
        <color rgb="FF1F2A28"/>
        <rFont val="Arial"/>
        <family val="0"/>
        <charset val="1"/>
      </rPr>
      <t xml:space="preserve">5</t>
    </r>
    <r>
      <rPr>
        <sz val="10"/>
        <color rgb="FF1F2A28"/>
        <rFont val="WenQuanYi Zen Hei"/>
        <family val="2"/>
      </rPr>
      <t xml:space="preserve">巷</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</si>
  <si>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28740988</t>
  </si>
  <si>
    <t xml:space="preserve">f0816k0529@gmail.com</t>
  </si>
  <si>
    <t xml:space="preserve">2009-05-01</t>
  </si>
  <si>
    <t xml:space="preserve">黃美瑋</t>
  </si>
  <si>
    <t xml:space="preserve">臺北市私立美語思維語文短期補習班</t>
  </si>
  <si>
    <r>
      <rPr>
        <sz val="10"/>
        <color rgb="FF1F2A28"/>
        <rFont val="WenQuanYi Zen Hei"/>
        <family val="2"/>
      </rPr>
      <t xml:space="preserve">士林區天母北路</t>
    </r>
    <r>
      <rPr>
        <sz val="10"/>
        <color rgb="FF1F2A28"/>
        <rFont val="Arial"/>
        <family val="0"/>
        <charset val="1"/>
      </rPr>
      <t xml:space="preserve">51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53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</si>
  <si>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28746868</t>
  </si>
  <si>
    <t xml:space="preserve">vitalu0331@gmail.com</t>
  </si>
  <si>
    <t xml:space="preserve">呂孟儒</t>
  </si>
  <si>
    <t xml:space="preserve">臺北市私立翰群文理短期補習班</t>
  </si>
  <si>
    <r>
      <rPr>
        <sz val="10"/>
        <color rgb="FF1F2A28"/>
        <rFont val="WenQuanYi Zen Hei"/>
        <family val="2"/>
      </rPr>
      <t xml:space="preserve">士林區承德路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12</t>
    </r>
    <r>
      <rPr>
        <sz val="10"/>
        <color rgb="FF1F2A28"/>
        <rFont val="WenQuanYi Zen Hei"/>
        <family val="2"/>
      </rPr>
      <t xml:space="preserve">巷</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</si>
  <si>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28852160</t>
  </si>
  <si>
    <t xml:space="preserve">陳佩蘭</t>
  </si>
  <si>
    <t xml:space="preserve">陳如蘭</t>
  </si>
  <si>
    <t xml:space="preserve">臺北市私立聖利美語短期補習班</t>
  </si>
  <si>
    <r>
      <rPr>
        <sz val="10"/>
        <color rgb="FF1F2A28"/>
        <rFont val="WenQuanYi Zen Hei"/>
        <family val="2"/>
      </rPr>
      <t xml:space="preserve">士林區忠義街</t>
    </r>
    <r>
      <rPr>
        <sz val="10"/>
        <color rgb="FF1F2A28"/>
        <rFont val="Arial"/>
        <family val="0"/>
        <charset val="1"/>
      </rPr>
      <t xml:space="preserve">93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</si>
  <si>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28328903</t>
  </si>
  <si>
    <t xml:space="preserve">蕭雅菁</t>
  </si>
  <si>
    <t xml:space="preserve">臺北市私立菩提園文理短期補習班</t>
  </si>
  <si>
    <r>
      <rPr>
        <sz val="10"/>
        <color rgb="FF1F2A28"/>
        <rFont val="WenQuanYi Zen Hei"/>
        <family val="2"/>
      </rPr>
      <t xml:space="preserve">士林區華齡街</t>
    </r>
    <r>
      <rPr>
        <sz val="10"/>
        <color rgb="FF1F2A28"/>
        <rFont val="Arial"/>
        <family val="0"/>
        <charset val="1"/>
      </rPr>
      <t xml:space="preserve">73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</si>
  <si>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28801876</t>
  </si>
  <si>
    <t xml:space="preserve">zxczxc72@yahoo.com.tw</t>
  </si>
  <si>
    <t xml:space="preserve">陳姿伶</t>
  </si>
  <si>
    <t xml:space="preserve">臺北市私立藍月文理短期補習班</t>
  </si>
  <si>
    <r>
      <rPr>
        <sz val="10"/>
        <color rgb="FF1F2A28"/>
        <rFont val="WenQuanYi Zen Hei"/>
        <family val="2"/>
      </rPr>
      <t xml:space="preserve">士林區中山北路</t>
    </r>
    <r>
      <rPr>
        <sz val="10"/>
        <color rgb="FF1F2A28"/>
        <rFont val="Arial"/>
        <family val="0"/>
        <charset val="1"/>
      </rPr>
      <t xml:space="preserve">6</t>
    </r>
    <r>
      <rPr>
        <sz val="10"/>
        <color rgb="FF1F2A28"/>
        <rFont val="WenQuanYi Zen Hei"/>
        <family val="2"/>
      </rPr>
      <t xml:space="preserve">段</t>
    </r>
    <r>
      <rPr>
        <sz val="10"/>
        <color rgb="FF1F2A28"/>
        <rFont val="Arial"/>
        <family val="0"/>
        <charset val="1"/>
      </rPr>
      <t xml:space="preserve">35</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</si>
  <si>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(02)28360012</t>
  </si>
  <si>
    <t xml:space="preserve">bluemooninstitute0715@gmail.com</t>
  </si>
  <si>
    <t xml:space="preserve">2018-09-09</t>
  </si>
  <si>
    <t xml:space="preserve">陳文宏</t>
  </si>
  <si>
    <t xml:space="preserve">臺北市私立語新語文短期補習班</t>
  </si>
  <si>
    <r>
      <rPr>
        <sz val="10"/>
        <color rgb="FF1F2A28"/>
        <rFont val="WenQuanYi Zen Hei"/>
        <family val="2"/>
      </rPr>
      <t xml:space="preserve">士林區天母西路</t>
    </r>
    <r>
      <rPr>
        <sz val="10"/>
        <color rgb="FF1F2A28"/>
        <rFont val="Arial"/>
        <family val="0"/>
        <charset val="1"/>
      </rPr>
      <t xml:space="preserve">13</t>
    </r>
    <r>
      <rPr>
        <sz val="10"/>
        <color rgb="FF1F2A28"/>
        <rFont val="WenQuanYi Zen Hei"/>
        <family val="2"/>
      </rPr>
      <t xml:space="preserve">巷</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</si>
  <si>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28754215</t>
  </si>
  <si>
    <t xml:space="preserve">giraffe.tianmu2@gmail.com</t>
  </si>
  <si>
    <t xml:space="preserve">蕭志文</t>
  </si>
  <si>
    <t xml:space="preserve">鄭又萍</t>
  </si>
  <si>
    <t xml:space="preserve">臺北市私立誠悅文理短期補習班</t>
  </si>
  <si>
    <r>
      <rPr>
        <sz val="10"/>
        <color rgb="FF1F2A28"/>
        <rFont val="WenQuanYi Zen Hei"/>
        <family val="2"/>
      </rPr>
      <t xml:space="preserve">士林區德行東路</t>
    </r>
    <r>
      <rPr>
        <sz val="10"/>
        <color rgb="FF1F2A28"/>
        <rFont val="Arial"/>
        <family val="0"/>
        <charset val="1"/>
      </rPr>
      <t xml:space="preserve">312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</si>
  <si>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28369048</t>
  </si>
  <si>
    <t xml:space="preserve">陳文賢</t>
  </si>
  <si>
    <t xml:space="preserve">孫瑞檠</t>
  </si>
  <si>
    <t xml:space="preserve">臺北市私立諾仁文理短期補習班</t>
  </si>
  <si>
    <r>
      <rPr>
        <sz val="10"/>
        <color rgb="FF1F2A28"/>
        <rFont val="WenQuanYi Zen Hei"/>
        <family val="2"/>
      </rPr>
      <t xml:space="preserve">士林區永平街</t>
    </r>
    <r>
      <rPr>
        <sz val="10"/>
        <color rgb="FF1F2A28"/>
        <rFont val="Arial"/>
        <family val="0"/>
        <charset val="1"/>
      </rPr>
      <t xml:space="preserve">9</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弄</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</si>
  <si>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28123124</t>
  </si>
  <si>
    <t xml:space="preserve">nolan.28123124@gmail.com</t>
  </si>
  <si>
    <t xml:space="preserve">廖嘉琳</t>
  </si>
  <si>
    <t xml:space="preserve">臺北市私立貝多納語文文理美術珠心算短期補習班</t>
  </si>
  <si>
    <r>
      <rPr>
        <sz val="10"/>
        <color rgb="FF1F2A28"/>
        <rFont val="WenQuanYi Zen Hei"/>
        <family val="2"/>
      </rPr>
      <t xml:space="preserve">士林區華齡街</t>
    </r>
    <r>
      <rPr>
        <sz val="10"/>
        <color rgb="FF1F2A28"/>
        <rFont val="Arial"/>
        <family val="0"/>
        <charset val="1"/>
      </rPr>
      <t xml:space="preserve">53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</si>
  <si>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bettalo@hotmail.com</t>
  </si>
  <si>
    <t xml:space="preserve">張秀麗</t>
  </si>
  <si>
    <t xml:space="preserve">鄭淨元</t>
  </si>
  <si>
    <t xml:space="preserve">臺北市私立躍進跳跳熊語文補習班</t>
  </si>
  <si>
    <r>
      <rPr>
        <sz val="10"/>
        <color rgb="FF1F2A28"/>
        <rFont val="WenQuanYi Zen Hei"/>
        <family val="2"/>
      </rPr>
      <t xml:space="preserve">士林區士東路</t>
    </r>
    <r>
      <rPr>
        <sz val="10"/>
        <color rgb="FF1F2A28"/>
        <rFont val="Arial"/>
        <family val="0"/>
        <charset val="1"/>
      </rPr>
      <t xml:space="preserve">46</t>
    </r>
    <r>
      <rPr>
        <sz val="10"/>
        <color rgb="FF1F2A28"/>
        <rFont val="WenQuanYi Zen Hei"/>
        <family val="2"/>
      </rPr>
      <t xml:space="preserve">巷</t>
    </r>
    <r>
      <rPr>
        <sz val="10"/>
        <color rgb="FF1F2A28"/>
        <rFont val="Arial"/>
        <family val="0"/>
        <charset val="1"/>
      </rPr>
      <t xml:space="preserve">51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</si>
  <si>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28349215</t>
  </si>
  <si>
    <t xml:space="preserve">黃慶雄</t>
  </si>
  <si>
    <t xml:space="preserve">臺北市私立道思天母技藝文理短期補習班</t>
  </si>
  <si>
    <r>
      <rPr>
        <sz val="10"/>
        <color rgb="FF1F2A28"/>
        <rFont val="WenQuanYi Zen Hei"/>
        <family val="2"/>
      </rPr>
      <t xml:space="preserve">士林區天母北路</t>
    </r>
    <r>
      <rPr>
        <sz val="10"/>
        <color rgb="FF1F2A28"/>
        <rFont val="Arial"/>
        <family val="0"/>
        <charset val="1"/>
      </rPr>
      <t xml:space="preserve">61</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樓</t>
    </r>
  </si>
  <si>
    <t xml:space="preserve">(02)28731515</t>
  </si>
  <si>
    <t xml:space="preserve">diverse.preschool@gmail.com</t>
  </si>
  <si>
    <t xml:space="preserve">2017-09-13</t>
  </si>
  <si>
    <t xml:space="preserve">周慧芬</t>
  </si>
  <si>
    <t xml:space="preserve">賴雅芳</t>
  </si>
  <si>
    <t xml:space="preserve">臺北市私立道思技藝文理短期補習班</t>
  </si>
  <si>
    <r>
      <rPr>
        <sz val="10"/>
        <color rgb="FF1F2A28"/>
        <rFont val="WenQuanYi Zen Hei"/>
        <family val="2"/>
      </rPr>
      <t xml:space="preserve">士林區天母北路</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</si>
  <si>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28731558</t>
  </si>
  <si>
    <t xml:space="preserve">紀欣延</t>
  </si>
  <si>
    <t xml:space="preserve">臺北市私立金子集文理短期補習班</t>
  </si>
  <si>
    <r>
      <rPr>
        <sz val="10"/>
        <color rgb="FF1F2A28"/>
        <rFont val="WenQuanYi Zen Hei"/>
        <family val="2"/>
      </rPr>
      <t xml:space="preserve">士林區和豐街</t>
    </r>
    <r>
      <rPr>
        <sz val="10"/>
        <color rgb="FF1F2A28"/>
        <rFont val="Arial"/>
        <family val="0"/>
        <charset val="1"/>
      </rPr>
      <t xml:space="preserve">39</t>
    </r>
    <r>
      <rPr>
        <sz val="10"/>
        <color rgb="FF1F2A28"/>
        <rFont val="WenQuanYi Zen Hei"/>
        <family val="2"/>
      </rPr>
      <t xml:space="preserve">巷</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</si>
  <si>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28832210</t>
  </si>
  <si>
    <t xml:space="preserve">yang.janet@msa.hinet.net</t>
  </si>
  <si>
    <t xml:space="preserve">楊雅惠</t>
  </si>
  <si>
    <t xml:space="preserve">陳立教育事業股份有限公司附設臺北市私立陳立文理短期補習班士林分班</t>
  </si>
  <si>
    <r>
      <rPr>
        <sz val="10"/>
        <color rgb="FF1F2A28"/>
        <rFont val="WenQuanYi Zen Hei"/>
        <family val="2"/>
      </rPr>
      <t xml:space="preserve">士林區文林路</t>
    </r>
    <r>
      <rPr>
        <sz val="10"/>
        <color rgb="FF1F2A28"/>
        <rFont val="Arial"/>
        <family val="0"/>
        <charset val="1"/>
      </rPr>
      <t xml:space="preserve">342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及</t>
    </r>
    <r>
      <rPr>
        <sz val="10"/>
        <color rgb="FF1F2A28"/>
        <rFont val="Arial"/>
        <family val="0"/>
        <charset val="1"/>
      </rPr>
      <t xml:space="preserve">338</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樓之 </t>
    </r>
    <r>
      <rPr>
        <sz val="10"/>
        <color rgb="FF1F2A28"/>
        <rFont val="Arial"/>
        <family val="0"/>
        <charset val="1"/>
      </rPr>
      <t xml:space="preserve">3</t>
    </r>
  </si>
  <si>
    <t xml:space="preserve">28805767</t>
  </si>
  <si>
    <t xml:space="preserve">hrdata@chenliedu.com</t>
  </si>
  <si>
    <t xml:space="preserve">2009-04-10</t>
  </si>
  <si>
    <t xml:space="preserve">陳立教育事業股份有限公司</t>
  </si>
  <si>
    <t xml:space="preserve">賴怡萍</t>
  </si>
  <si>
    <t xml:space="preserve">陳立教育事業股份有限公司附設臺北市私立陳立文理短期補習班士林甲分班</t>
  </si>
  <si>
    <r>
      <rPr>
        <sz val="10"/>
        <color rgb="FF1F2A28"/>
        <rFont val="WenQuanYi Zen Hei"/>
        <family val="2"/>
      </rPr>
      <t xml:space="preserve">士林區文林路</t>
    </r>
    <r>
      <rPr>
        <sz val="10"/>
        <color rgb="FF1F2A28"/>
        <rFont val="Arial"/>
        <family val="0"/>
        <charset val="1"/>
      </rPr>
      <t xml:space="preserve">342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</si>
  <si>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r>
      <rPr>
        <sz val="10"/>
        <color rgb="FF1F2A28"/>
        <rFont val="WenQuanYi Zen Hei"/>
        <family val="2"/>
      </rPr>
      <t xml:space="preserve">陳立教育事業股份有限公司</t>
    </r>
    <r>
      <rPr>
        <sz val="10"/>
        <color rgb="FF1F2A28"/>
        <rFont val="Arial"/>
        <family val="0"/>
        <charset val="1"/>
      </rPr>
      <t xml:space="preserve">(</t>
    </r>
    <r>
      <rPr>
        <sz val="10"/>
        <color rgb="FF1F2A28"/>
        <rFont val="WenQuanYi Zen Hei"/>
        <family val="2"/>
      </rPr>
      <t xml:space="preserve">負責人：曾淑鈴</t>
    </r>
    <r>
      <rPr>
        <sz val="10"/>
        <color rgb="FF1F2A28"/>
        <rFont val="Arial"/>
        <family val="0"/>
        <charset val="1"/>
      </rPr>
      <t xml:space="preserve">)</t>
    </r>
  </si>
  <si>
    <t xml:space="preserve">楊堃平</t>
  </si>
  <si>
    <t xml:space="preserve">集歐管理顧問股份有限公司附設臺北市私立集歐斯語文短期補習班</t>
  </si>
  <si>
    <r>
      <rPr>
        <sz val="10"/>
        <color rgb="FF1F2A28"/>
        <rFont val="WenQuanYi Zen Hei"/>
        <family val="2"/>
      </rPr>
      <t xml:space="preserve">士林區中山北路</t>
    </r>
    <r>
      <rPr>
        <sz val="10"/>
        <color rgb="FF1F2A28"/>
        <rFont val="Arial"/>
        <family val="0"/>
        <charset val="1"/>
      </rPr>
      <t xml:space="preserve">7</t>
    </r>
    <r>
      <rPr>
        <sz val="10"/>
        <color rgb="FF1F2A28"/>
        <rFont val="WenQuanYi Zen Hei"/>
        <family val="2"/>
      </rPr>
      <t xml:space="preserve">段</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樓之</t>
    </r>
    <r>
      <rPr>
        <sz val="10"/>
        <color rgb="FF1F2A28"/>
        <rFont val="Arial"/>
        <family val="0"/>
        <charset val="1"/>
      </rPr>
      <t xml:space="preserve">3</t>
    </r>
  </si>
  <si>
    <t xml:space="preserve">28766152</t>
  </si>
  <si>
    <t xml:space="preserve">lillianpan@geos.com.tw</t>
  </si>
  <si>
    <t xml:space="preserve">林宜芳</t>
  </si>
  <si>
    <t xml:space="preserve">大同區</t>
  </si>
  <si>
    <t xml:space="preserve">臺北市私立亞美利家語文短期補習班</t>
  </si>
  <si>
    <r>
      <rPr>
        <sz val="10"/>
        <color rgb="FF1F2A28"/>
        <rFont val="WenQuanYi Zen Hei"/>
        <family val="2"/>
      </rPr>
      <t xml:space="preserve">大同區延平北路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202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</si>
  <si>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25575190</t>
  </si>
  <si>
    <t xml:space="preserve">amrc.american@gmail.com</t>
  </si>
  <si>
    <t xml:space="preserve">2014-05-05</t>
  </si>
  <si>
    <t xml:space="preserve">強如玉</t>
  </si>
  <si>
    <t xml:space="preserve">林靖哲</t>
  </si>
  <si>
    <t xml:space="preserve">臺北市私立佳新文理短期補習班</t>
  </si>
  <si>
    <r>
      <rPr>
        <sz val="10"/>
        <color rgb="FF1F2A28"/>
        <rFont val="WenQuanYi Zen Hei"/>
        <family val="2"/>
      </rPr>
      <t xml:space="preserve">大同區延平北路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116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</si>
  <si>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25531208</t>
  </si>
  <si>
    <t xml:space="preserve">joyschooldatong@gmail.com</t>
  </si>
  <si>
    <t xml:space="preserve">2011-05-01</t>
  </si>
  <si>
    <t xml:space="preserve">吳仲凱</t>
  </si>
  <si>
    <t xml:space="preserve">黃朝敏</t>
  </si>
  <si>
    <t xml:space="preserve">臺北市私立倍立語文短期補習班</t>
  </si>
  <si>
    <r>
      <rPr>
        <sz val="10"/>
        <color rgb="FF1F2A28"/>
        <rFont val="WenQuanYi Zen Hei"/>
        <family val="2"/>
      </rPr>
      <t xml:space="preserve">大同區重慶北路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181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</si>
  <si>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25980088</t>
  </si>
  <si>
    <t xml:space="preserve">roseview888@gmail.com</t>
  </si>
  <si>
    <t xml:space="preserve">陳朝棟</t>
  </si>
  <si>
    <t xml:space="preserve">陳貞臻</t>
  </si>
  <si>
    <t xml:space="preserve">臺北市私立創作家美語短期補習班</t>
  </si>
  <si>
    <r>
      <rPr>
        <sz val="10"/>
        <color rgb="FF1F2A28"/>
        <rFont val="WenQuanYi Zen Hei"/>
        <family val="2"/>
      </rPr>
      <t xml:space="preserve">大同區延平北路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247</t>
    </r>
    <r>
      <rPr>
        <sz val="10"/>
        <color rgb="FF1F2A28"/>
        <rFont val="WenQuanYi Zen Hei"/>
        <family val="2"/>
      </rPr>
      <t xml:space="preserve">巷</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</si>
  <si>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25577178</t>
  </si>
  <si>
    <t xml:space="preserve">tlc@ms94.url.com.tw</t>
  </si>
  <si>
    <t xml:space="preserve">1997-10-01</t>
  </si>
  <si>
    <t xml:space="preserve">劉瑞雲</t>
  </si>
  <si>
    <t xml:space="preserve">臺北市私立喬旭美語短期補習班</t>
  </si>
  <si>
    <r>
      <rPr>
        <sz val="10"/>
        <color rgb="FF1F2A28"/>
        <rFont val="WenQuanYi Zen Hei"/>
        <family val="2"/>
      </rPr>
      <t xml:space="preserve">大同區重慶北路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120</t>
    </r>
    <r>
      <rPr>
        <sz val="10"/>
        <color rgb="FF1F2A28"/>
        <rFont val="WenQuanYi Zen Hei"/>
        <family val="2"/>
      </rPr>
      <t xml:space="preserve">巷</t>
    </r>
    <r>
      <rPr>
        <sz val="10"/>
        <color rgb="FF1F2A28"/>
        <rFont val="Arial"/>
        <family val="0"/>
        <charset val="1"/>
      </rPr>
      <t xml:space="preserve">45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</si>
  <si>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02-25993681</t>
  </si>
  <si>
    <t xml:space="preserve">chyau6shiuh8@yahoo.com.tw</t>
  </si>
  <si>
    <t xml:space="preserve">2002-07-01</t>
  </si>
  <si>
    <t xml:space="preserve">吳正琦</t>
  </si>
  <si>
    <t xml:space="preserve">臺北市私立學立文理技藝短期補習班</t>
  </si>
  <si>
    <r>
      <rPr>
        <sz val="10"/>
        <color rgb="FF1F2A28"/>
        <rFont val="WenQuanYi Zen Hei"/>
        <family val="2"/>
      </rPr>
      <t xml:space="preserve">大同區寧夏路</t>
    </r>
    <r>
      <rPr>
        <sz val="10"/>
        <color rgb="FF1F2A28"/>
        <rFont val="Arial"/>
        <family val="0"/>
        <charset val="1"/>
      </rPr>
      <t xml:space="preserve">130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</si>
  <si>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25493588</t>
  </si>
  <si>
    <t xml:space="preserve">jordan25493588@gmail.com</t>
  </si>
  <si>
    <t xml:space="preserve">1999-08-01</t>
  </si>
  <si>
    <t xml:space="preserve">李秀蘭</t>
  </si>
  <si>
    <t xml:space="preserve">陳曦</t>
  </si>
  <si>
    <t xml:space="preserve">臺北市私立文芯文理短期補習班</t>
  </si>
  <si>
    <r>
      <rPr>
        <sz val="10"/>
        <color rgb="FF1F2A28"/>
        <rFont val="WenQuanYi Zen Hei"/>
        <family val="2"/>
      </rPr>
      <t xml:space="preserve">大同區重慶北路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191</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</si>
  <si>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25927382</t>
  </si>
  <si>
    <t xml:space="preserve">boban0938@gmail.com</t>
  </si>
  <si>
    <t xml:space="preserve">張文薺</t>
  </si>
  <si>
    <t xml:space="preserve">臺北市私立樺鑫文理短期補習班</t>
  </si>
  <si>
    <r>
      <rPr>
        <sz val="10"/>
        <color rgb="FF1F2A28"/>
        <rFont val="WenQuanYi Zen Hei"/>
        <family val="2"/>
      </rPr>
      <t xml:space="preserve">大同區承德路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2</t>
    </r>
  </si>
  <si>
    <t xml:space="preserve">25585680</t>
  </si>
  <si>
    <t xml:space="preserve">jon0935633383@gmail.com</t>
  </si>
  <si>
    <t xml:space="preserve">1995-05-01</t>
  </si>
  <si>
    <t xml:space="preserve">劉佩昕</t>
  </si>
  <si>
    <t xml:space="preserve">杜紀壯</t>
  </si>
  <si>
    <t xml:space="preserve">臺北市私立正新語文短期補習班</t>
  </si>
  <si>
    <r>
      <rPr>
        <sz val="10"/>
        <color rgb="FF1F2A28"/>
        <rFont val="WenQuanYi Zen Hei"/>
        <family val="2"/>
      </rPr>
      <t xml:space="preserve">大同區承德路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11</t>
    </r>
    <r>
      <rPr>
        <sz val="10"/>
        <color rgb="FF1F2A28"/>
        <rFont val="WenQuanYi Zen Hei"/>
        <family val="2"/>
      </rPr>
      <t xml:space="preserve">樓之</t>
    </r>
    <r>
      <rPr>
        <sz val="10"/>
        <color rgb="FF1F2A28"/>
        <rFont val="Arial"/>
        <family val="0"/>
        <charset val="1"/>
      </rPr>
      <t xml:space="preserve">4</t>
    </r>
  </si>
  <si>
    <t xml:space="preserve">25556456</t>
  </si>
  <si>
    <t xml:space="preserve">tleader5@ms17.hinet.net</t>
  </si>
  <si>
    <t xml:space="preserve">1986-11-03</t>
  </si>
  <si>
    <t xml:space="preserve">林新芳</t>
  </si>
  <si>
    <t xml:space="preserve">臺北市私立永瀚文理短期補習班</t>
  </si>
  <si>
    <r>
      <rPr>
        <sz val="10"/>
        <color rgb="FF1F2A28"/>
        <rFont val="WenQuanYi Zen Hei"/>
        <family val="2"/>
      </rPr>
      <t xml:space="preserve">大同區昌吉街</t>
    </r>
    <r>
      <rPr>
        <sz val="10"/>
        <color rgb="FF1F2A28"/>
        <rFont val="Arial"/>
        <family val="0"/>
        <charset val="1"/>
      </rPr>
      <t xml:space="preserve">132</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134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134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</si>
  <si>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25981818</t>
  </si>
  <si>
    <t xml:space="preserve">giraffedatong@gmail.com</t>
  </si>
  <si>
    <t xml:space="preserve">2002-12-01</t>
  </si>
  <si>
    <t xml:space="preserve">汪靜宜</t>
  </si>
  <si>
    <t xml:space="preserve">臺北市私立海蘿技藝文理短期補習班</t>
  </si>
  <si>
    <r>
      <rPr>
        <sz val="10"/>
        <color rgb="FF1F2A28"/>
        <rFont val="WenQuanYi Zen Hei"/>
        <family val="2"/>
      </rPr>
      <t xml:space="preserve">大同區延平北路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278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及</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2</t>
    </r>
  </si>
  <si>
    <t xml:space="preserve">(02)25532687</t>
  </si>
  <si>
    <t xml:space="preserve">pt102719@gmail.com</t>
  </si>
  <si>
    <t xml:space="preserve">2025-09-04</t>
  </si>
  <si>
    <t xml:space="preserve">蔡莉莉</t>
  </si>
  <si>
    <t xml:space="preserve">張祐誠</t>
  </si>
  <si>
    <t xml:space="preserve">臺北市私立科荐語文文理短期補習班</t>
  </si>
  <si>
    <r>
      <rPr>
        <sz val="10"/>
        <color rgb="FF1F2A28"/>
        <rFont val="WenQuanYi Zen Hei"/>
        <family val="2"/>
      </rPr>
      <t xml:space="preserve">大同區承德路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137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</si>
  <si>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25539652</t>
  </si>
  <si>
    <t xml:space="preserve">manager9a@kojen-els.com.tw</t>
  </si>
  <si>
    <t xml:space="preserve">1998-10-01</t>
  </si>
  <si>
    <t xml:space="preserve">李永瑜</t>
  </si>
  <si>
    <t xml:space="preserve">臺北市私立群偀文理短期補習班</t>
  </si>
  <si>
    <r>
      <rPr>
        <sz val="10"/>
        <color rgb="FF1F2A28"/>
        <rFont val="WenQuanYi Zen Hei"/>
        <family val="2"/>
      </rPr>
      <t xml:space="preserve">大同區敦煌路</t>
    </r>
    <r>
      <rPr>
        <sz val="10"/>
        <color rgb="FF1F2A28"/>
        <rFont val="Arial"/>
        <family val="0"/>
        <charset val="1"/>
      </rPr>
      <t xml:space="preserve">82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</si>
  <si>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25977863</t>
  </si>
  <si>
    <t xml:space="preserve">shc55914@gmail.com</t>
  </si>
  <si>
    <t xml:space="preserve">蘇筱喬</t>
  </si>
  <si>
    <t xml:space="preserve">臺北市私立青松文理補習班</t>
  </si>
  <si>
    <r>
      <rPr>
        <sz val="10"/>
        <color rgb="FF1F2A28"/>
        <rFont val="WenQuanYi Zen Hei"/>
        <family val="2"/>
      </rPr>
      <t xml:space="preserve">大同區重慶北路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137</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</si>
  <si>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25962305</t>
  </si>
  <si>
    <t xml:space="preserve">1991-07-01</t>
  </si>
  <si>
    <t xml:space="preserve">錢一春</t>
  </si>
  <si>
    <t xml:space="preserve">臺北市私立高明音樂文理短期補習班民權分班</t>
  </si>
  <si>
    <r>
      <rPr>
        <sz val="10"/>
        <color rgb="FF1F2A28"/>
        <rFont val="WenQuanYi Zen Hei"/>
        <family val="2"/>
      </rPr>
      <t xml:space="preserve">大同區民權西路</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</si>
  <si>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25979000</t>
  </si>
  <si>
    <t xml:space="preserve">008.km101@gmail.com</t>
  </si>
  <si>
    <t xml:space="preserve">李勁吾</t>
  </si>
  <si>
    <t xml:space="preserve">邱淑芳</t>
  </si>
  <si>
    <t xml:space="preserve">莫札爾特音樂語文短期補習班</t>
  </si>
  <si>
    <r>
      <rPr>
        <sz val="10"/>
        <color rgb="FF1F2A28"/>
        <rFont val="WenQuanYi Zen Hei"/>
        <family val="2"/>
      </rPr>
      <t xml:space="preserve">大同區哈密街</t>
    </r>
    <r>
      <rPr>
        <sz val="10"/>
        <color rgb="FF1F2A28"/>
        <rFont val="Arial"/>
        <family val="0"/>
        <charset val="1"/>
      </rPr>
      <t xml:space="preserve">59</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</si>
  <si>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25994582</t>
  </si>
  <si>
    <t xml:space="preserve">annie0900101127@gmail.com</t>
  </si>
  <si>
    <t xml:space="preserve">2005-10-01</t>
  </si>
  <si>
    <t xml:space="preserve">李惠瑩</t>
  </si>
  <si>
    <t xml:space="preserve">王相尹</t>
  </si>
  <si>
    <t xml:space="preserve">大安區</t>
  </si>
  <si>
    <t xml:space="preserve">世界公民文化發展股份有限公司附設臺北市私立數位世界語文短期補習班</t>
  </si>
  <si>
    <r>
      <rPr>
        <sz val="10"/>
        <color rgb="FF1F2A28"/>
        <rFont val="WenQuanYi Zen Hei"/>
        <family val="2"/>
      </rPr>
      <t xml:space="preserve">大安區復興南路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222</t>
    </r>
    <r>
      <rPr>
        <sz val="10"/>
        <color rgb="FF1F2A28"/>
        <rFont val="WenQuanYi Zen Hei"/>
        <family val="2"/>
      </rPr>
      <t xml:space="preserve">號</t>
    </r>
    <r>
      <rPr>
        <sz val="10"/>
        <color rgb="FF1F2A28"/>
        <rFont val="Arial"/>
        <family val="0"/>
        <charset val="1"/>
      </rPr>
      <t xml:space="preserve">10</t>
    </r>
    <r>
      <rPr>
        <sz val="10"/>
        <color rgb="FF1F2A28"/>
        <rFont val="WenQuanYi Zen Hei"/>
        <family val="2"/>
      </rPr>
      <t xml:space="preserve">樓之</t>
    </r>
    <r>
      <rPr>
        <sz val="10"/>
        <color rgb="FF1F2A28"/>
        <rFont val="Arial"/>
        <family val="0"/>
        <charset val="1"/>
      </rPr>
      <t xml:space="preserve">1</t>
    </r>
  </si>
  <si>
    <t xml:space="preserve">27215033</t>
  </si>
  <si>
    <t xml:space="preserve">ask@core-corner.com</t>
  </si>
  <si>
    <t xml:space="preserve">2007-09-14</t>
  </si>
  <si>
    <r>
      <rPr>
        <sz val="10"/>
        <color rgb="FF1F2A28"/>
        <rFont val="WenQuanYi Zen Hei"/>
        <family val="2"/>
      </rPr>
      <t xml:space="preserve">世界公民文化發展股份有限公司</t>
    </r>
    <r>
      <rPr>
        <sz val="10"/>
        <color rgb="FF1F2A28"/>
        <rFont val="Arial"/>
        <family val="0"/>
        <charset val="1"/>
      </rPr>
      <t xml:space="preserve">(</t>
    </r>
    <r>
      <rPr>
        <sz val="10"/>
        <color rgb="FF1F2A28"/>
        <rFont val="WenQuanYi Zen Hei"/>
        <family val="2"/>
      </rPr>
      <t xml:space="preserve">呂越尋</t>
    </r>
    <r>
      <rPr>
        <sz val="10"/>
        <color rgb="FF1F2A28"/>
        <rFont val="Arial"/>
        <family val="0"/>
        <charset val="1"/>
      </rPr>
      <t xml:space="preserve">)</t>
    </r>
  </si>
  <si>
    <t xml:space="preserve">彭仕宜</t>
  </si>
  <si>
    <t xml:space="preserve">中華民國象棋文化協會附設臺北市私立棋王文理技藝短期補習班</t>
  </si>
  <si>
    <r>
      <rPr>
        <sz val="10"/>
        <color rgb="FF1F2A28"/>
        <rFont val="WenQuanYi Zen Hei"/>
        <family val="2"/>
      </rPr>
      <t xml:space="preserve">大安區羅斯福路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</si>
  <si>
    <t xml:space="preserve">23656585</t>
  </si>
  <si>
    <t xml:space="preserve">cccsorgtw@gmail.com</t>
  </si>
  <si>
    <t xml:space="preserve">2013-10-14</t>
  </si>
  <si>
    <t xml:space="preserve">朱福龍</t>
  </si>
  <si>
    <t xml:space="preserve">朱照蓉</t>
  </si>
  <si>
    <t xml:space="preserve">五感計畫有限公司附設臺北市私立微笑音符文理技藝短期補習班</t>
  </si>
  <si>
    <r>
      <rPr>
        <sz val="10"/>
        <color rgb="FF1F2A28"/>
        <rFont val="WenQuanYi Zen Hei"/>
        <family val="2"/>
      </rPr>
      <t xml:space="preserve">大安區忠孝東路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88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2</t>
    </r>
  </si>
  <si>
    <t xml:space="preserve">27784633</t>
  </si>
  <si>
    <t xml:space="preserve">senseablestudio.hr@gmail.com</t>
  </si>
  <si>
    <t xml:space="preserve">2015-09-22</t>
  </si>
  <si>
    <r>
      <rPr>
        <sz val="10"/>
        <color rgb="FF1F2A28"/>
        <rFont val="WenQuanYi Zen Hei"/>
        <family val="2"/>
      </rPr>
      <t xml:space="preserve">五感計畫有限公司</t>
    </r>
    <r>
      <rPr>
        <sz val="10"/>
        <color rgb="FF1F2A28"/>
        <rFont val="Arial"/>
        <family val="0"/>
        <charset val="1"/>
      </rPr>
      <t xml:space="preserve">:</t>
    </r>
    <r>
      <rPr>
        <sz val="10"/>
        <color rgb="FF1F2A28"/>
        <rFont val="WenQuanYi Zen Hei"/>
        <family val="2"/>
      </rPr>
      <t xml:space="preserve">陳保文</t>
    </r>
  </si>
  <si>
    <t xml:space="preserve">陳保文</t>
  </si>
  <si>
    <t xml:space="preserve">五感計畫有限公司附設臺北市私立快樂音符文理技藝短期補習班</t>
  </si>
  <si>
    <r>
      <rPr>
        <sz val="10"/>
        <color rgb="FF1F2A28"/>
        <rFont val="WenQuanYi Zen Hei"/>
        <family val="2"/>
      </rPr>
      <t xml:space="preserve">大安區仁愛路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232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</si>
  <si>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02-27556165</t>
  </si>
  <si>
    <t xml:space="preserve">2017-02-07</t>
  </si>
  <si>
    <t xml:space="preserve">蔡雷</t>
  </si>
  <si>
    <t xml:space="preserve">何嘉仁文教事業股份有限公司附設臺北市私立新嘉文理短期補習班</t>
  </si>
  <si>
    <r>
      <rPr>
        <sz val="10"/>
        <color rgb="FF1F2A28"/>
        <rFont val="WenQuanYi Zen Hei"/>
        <family val="2"/>
      </rPr>
      <t xml:space="preserve">大安區信義路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230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</si>
  <si>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23959718</t>
  </si>
  <si>
    <t xml:space="preserve">hs3601@hess.com.tw</t>
  </si>
  <si>
    <t xml:space="preserve">何嘉仁文教事業股份有限公司附設臺北市私立興義文理短期補習班</t>
  </si>
  <si>
    <r>
      <rPr>
        <sz val="10"/>
        <color rgb="FF1F2A28"/>
        <rFont val="WenQuanYi Zen Hei"/>
        <family val="2"/>
      </rPr>
      <t xml:space="preserve">大安區信義路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260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258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3</t>
    </r>
  </si>
  <si>
    <t xml:space="preserve">27005163</t>
  </si>
  <si>
    <t xml:space="preserve">hs3711@hess.com.tw</t>
  </si>
  <si>
    <t xml:space="preserve">林怡廷</t>
  </si>
  <si>
    <t xml:space="preserve">佳學事業股份有限公司附設臺北市私立卓越文理短期補習班</t>
  </si>
  <si>
    <r>
      <rPr>
        <sz val="10"/>
        <color rgb="FF1F2A28"/>
        <rFont val="WenQuanYi Zen Hei"/>
        <family val="2"/>
      </rPr>
      <t xml:space="preserve">大安區安和路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106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</si>
  <si>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(02)23256617</t>
  </si>
  <si>
    <t xml:space="preserve">ja001@joyplus.com.tw</t>
  </si>
  <si>
    <t xml:space="preserve">2026-06-22</t>
  </si>
  <si>
    <r>
      <rPr>
        <sz val="10"/>
        <color rgb="FF1F2A28"/>
        <rFont val="WenQuanYi Zen Hei"/>
        <family val="2"/>
      </rPr>
      <t xml:space="preserve">佳學事業股份有限公司</t>
    </r>
    <r>
      <rPr>
        <sz val="10"/>
        <color rgb="FF1F2A28"/>
        <rFont val="Arial"/>
        <family val="0"/>
        <charset val="1"/>
      </rPr>
      <t xml:space="preserve">(</t>
    </r>
    <r>
      <rPr>
        <sz val="10"/>
        <color rgb="FF1F2A28"/>
        <rFont val="WenQuanYi Zen Hei"/>
        <family val="2"/>
      </rPr>
      <t xml:space="preserve">陳平三</t>
    </r>
    <r>
      <rPr>
        <sz val="10"/>
        <color rgb="FF1F2A28"/>
        <rFont val="Arial"/>
        <family val="0"/>
        <charset val="1"/>
      </rPr>
      <t xml:space="preserve">)</t>
    </r>
  </si>
  <si>
    <t xml:space="preserve">邱乃源</t>
  </si>
  <si>
    <t xml:space="preserve">佳學事業股份有限公司附設臺北市私立宏義文理短期補習班</t>
  </si>
  <si>
    <r>
      <rPr>
        <sz val="10"/>
        <color rgb="FF1F2A28"/>
        <rFont val="WenQuanYi Zen Hei"/>
        <family val="2"/>
      </rPr>
      <t xml:space="preserve">大安區信義路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208</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</si>
  <si>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23929826</t>
  </si>
  <si>
    <t xml:space="preserve">joy63@joy.com.tw</t>
  </si>
  <si>
    <t xml:space="preserve">楊雅婷</t>
  </si>
  <si>
    <t xml:space="preserve">光復艾克有限公司附設臺北市私立光復艾克菁英美語短期補習班</t>
  </si>
  <si>
    <r>
      <rPr>
        <sz val="10"/>
        <color rgb="FF1F2A28"/>
        <rFont val="WenQuanYi Zen Hei"/>
        <family val="2"/>
      </rPr>
      <t xml:space="preserve">大安區忠孝東路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310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2</t>
    </r>
  </si>
  <si>
    <t xml:space="preserve">27713655</t>
  </si>
  <si>
    <t xml:space="preserve">tina.shiau@ike.com.tw</t>
  </si>
  <si>
    <t xml:space="preserve">2012-08-01</t>
  </si>
  <si>
    <r>
      <rPr>
        <sz val="10"/>
        <color rgb="FF1F2A28"/>
        <rFont val="WenQuanYi Zen Hei"/>
        <family val="2"/>
      </rPr>
      <t xml:space="preserve">張詠翔</t>
    </r>
    <r>
      <rPr>
        <sz val="10"/>
        <color rgb="FF1F2A28"/>
        <rFont val="Arial"/>
        <family val="0"/>
        <charset val="1"/>
      </rPr>
      <t xml:space="preserve">JOE CHANG</t>
    </r>
  </si>
  <si>
    <t xml:space="preserve">郭秀環</t>
  </si>
  <si>
    <t xml:space="preserve">功學社音樂中心股份有限公司附設臺北市私立信義光復音樂語文短期補習班</t>
  </si>
  <si>
    <r>
      <rPr>
        <sz val="10"/>
        <color rgb="FF1F2A28"/>
        <rFont val="WenQuanYi Zen Hei"/>
        <family val="2"/>
      </rPr>
      <t xml:space="preserve">大安區光復南路</t>
    </r>
    <r>
      <rPr>
        <sz val="10"/>
        <color rgb="FF1F2A28"/>
        <rFont val="Arial"/>
        <family val="0"/>
        <charset val="1"/>
      </rPr>
      <t xml:space="preserve">612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</si>
  <si>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27016082</t>
  </si>
  <si>
    <t xml:space="preserve">acc5@khsmusic.com</t>
  </si>
  <si>
    <t xml:space="preserve">2010-02-22</t>
  </si>
  <si>
    <r>
      <rPr>
        <sz val="10"/>
        <color rgb="FF1F2A28"/>
        <rFont val="WenQuanYi Zen Hei"/>
        <family val="2"/>
      </rPr>
      <t xml:space="preserve">功學社音樂中心股份有限公司</t>
    </r>
    <r>
      <rPr>
        <sz val="10"/>
        <color rgb="FF1F2A28"/>
        <rFont val="Arial"/>
        <family val="0"/>
        <charset val="1"/>
      </rPr>
      <t xml:space="preserve">(</t>
    </r>
    <r>
      <rPr>
        <sz val="10"/>
        <color rgb="FF1F2A28"/>
        <rFont val="WenQuanYi Zen Hei"/>
        <family val="2"/>
      </rPr>
      <t xml:space="preserve">林志明</t>
    </r>
    <r>
      <rPr>
        <sz val="10"/>
        <color rgb="FF1F2A28"/>
        <rFont val="Arial"/>
        <family val="0"/>
        <charset val="1"/>
      </rPr>
      <t xml:space="preserve">)</t>
    </r>
  </si>
  <si>
    <t xml:space="preserve">李怡君</t>
  </si>
  <si>
    <t xml:space="preserve">功學社音樂中心股份有限公司附設臺北市私立崧南音樂語文短期補習班</t>
  </si>
  <si>
    <r>
      <rPr>
        <sz val="10"/>
        <color rgb="FF1F2A28"/>
        <rFont val="WenQuanYi Zen Hei"/>
        <family val="2"/>
      </rPr>
      <t xml:space="preserve">大安區光復南路</t>
    </r>
    <r>
      <rPr>
        <sz val="10"/>
        <color rgb="FF1F2A28"/>
        <rFont val="Arial"/>
        <family val="0"/>
        <charset val="1"/>
      </rPr>
      <t xml:space="preserve">612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2</t>
    </r>
  </si>
  <si>
    <t xml:space="preserve">功學社音樂中心股份有限公司</t>
  </si>
  <si>
    <t xml:space="preserve">張美華</t>
  </si>
  <si>
    <t xml:space="preserve">及幼文化出版股份有限公司附設臺北市私立哥大英語文理短期補習班仁愛分班</t>
  </si>
  <si>
    <r>
      <rPr>
        <sz val="10"/>
        <color rgb="FF1F2A28"/>
        <rFont val="WenQuanYi Zen Hei"/>
        <family val="2"/>
      </rPr>
      <t xml:space="preserve">大安區安和路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99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</si>
  <si>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2325-6600</t>
  </si>
  <si>
    <t xml:space="preserve">jennifer.lin@columbiaenglish.com.tw</t>
  </si>
  <si>
    <t xml:space="preserve">2010-02-04</t>
  </si>
  <si>
    <t xml:space="preserve">陳玉璇</t>
  </si>
  <si>
    <t xml:space="preserve">及幼文化出版股份有限公司附設臺北市私立哥大英語文理短期補習班光復一分班</t>
  </si>
  <si>
    <r>
      <rPr>
        <sz val="10"/>
        <color rgb="FF1F2A28"/>
        <rFont val="WenQuanYi Zen Hei"/>
        <family val="2"/>
      </rPr>
      <t xml:space="preserve">大安區光復南路</t>
    </r>
    <r>
      <rPr>
        <sz val="10"/>
        <color rgb="FF1F2A28"/>
        <rFont val="Arial"/>
        <family val="0"/>
        <charset val="1"/>
      </rPr>
      <t xml:space="preserve">244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</si>
  <si>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27711090</t>
  </si>
  <si>
    <t xml:space="preserve">gina.lin@columbiaenglish.com.tw</t>
  </si>
  <si>
    <t xml:space="preserve">2007-07-30</t>
  </si>
  <si>
    <t xml:space="preserve">謝欣妤</t>
  </si>
  <si>
    <t xml:space="preserve">及幼文化出版股份有限公司附設臺北市私立哥大英語文理短期補習班光復分班</t>
  </si>
  <si>
    <r>
      <rPr>
        <sz val="10"/>
        <color rgb="FF1F2A28"/>
        <rFont val="WenQuanYi Zen Hei"/>
        <family val="2"/>
      </rPr>
      <t xml:space="preserve">大安區光復南路</t>
    </r>
    <r>
      <rPr>
        <sz val="10"/>
        <color rgb="FF1F2A28"/>
        <rFont val="Arial"/>
        <family val="0"/>
        <charset val="1"/>
      </rPr>
      <t xml:space="preserve">240</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</si>
  <si>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黃煜婷</t>
  </si>
  <si>
    <t xml:space="preserve">及幼文化出版股份有限公司附設臺北市私立哥大英語文理短期補習班敦南一分班</t>
  </si>
  <si>
    <r>
      <rPr>
        <sz val="10"/>
        <color rgb="FF1F2A28"/>
        <rFont val="WenQuanYi Zen Hei"/>
        <family val="2"/>
      </rPr>
      <t xml:space="preserve">大安區敦化南路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192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</si>
  <si>
    <t xml:space="preserve">27312700</t>
  </si>
  <si>
    <t xml:space="preserve">edith.kao@columbiaenglish.com.tw</t>
  </si>
  <si>
    <t xml:space="preserve">兒童美語</t>
  </si>
  <si>
    <t xml:space="preserve">邢芷維</t>
  </si>
  <si>
    <t xml:space="preserve">及幼文化出版股份有限公司附設臺北市私立哥大英語文理短期補習班新生二分班</t>
  </si>
  <si>
    <r>
      <rPr>
        <sz val="10"/>
        <color rgb="FF1F2A28"/>
        <rFont val="WenQuanYi Zen Hei"/>
        <family val="2"/>
      </rPr>
      <t xml:space="preserve">大安區新生南路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4</t>
    </r>
  </si>
  <si>
    <t xml:space="preserve">23910808</t>
  </si>
  <si>
    <t xml:space="preserve">yvette.lee@columbiaenglish.com.tw</t>
  </si>
  <si>
    <t xml:space="preserve">2014-11-05</t>
  </si>
  <si>
    <t xml:space="preserve">林盈欣</t>
  </si>
  <si>
    <t xml:space="preserve">及幼文化出版股份有限公司附設臺北市私立哥大英語短期補習班</t>
  </si>
  <si>
    <r>
      <rPr>
        <sz val="10"/>
        <color rgb="FF1F2A28"/>
        <rFont val="WenQuanYi Zen Hei"/>
        <family val="2"/>
      </rPr>
      <t xml:space="preserve">大安區敦化南路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192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4</t>
    </r>
  </si>
  <si>
    <t xml:space="preserve">兒童英語</t>
  </si>
  <si>
    <t xml:space="preserve">高子晴</t>
  </si>
  <si>
    <t xml:space="preserve">及幼文化出版股份有限公司附設臺北市私立哥大英語短期補習班新生一分班</t>
  </si>
  <si>
    <r>
      <rPr>
        <sz val="10"/>
        <color rgb="FF1F2A28"/>
        <rFont val="WenQuanYi Zen Hei"/>
        <family val="2"/>
      </rPr>
      <t xml:space="preserve">大安區新生南路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2</t>
    </r>
  </si>
  <si>
    <t xml:space="preserve">温怡涵</t>
  </si>
  <si>
    <t xml:space="preserve">及幼文化出版股份有限公司附設臺北市私立哥大英語短期補習班新生三分班</t>
  </si>
  <si>
    <r>
      <rPr>
        <sz val="10"/>
        <color rgb="FF1F2A28"/>
        <rFont val="WenQuanYi Zen Hei"/>
        <family val="2"/>
      </rPr>
      <t xml:space="preserve">大安區新生南路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</si>
  <si>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23910800</t>
  </si>
  <si>
    <t xml:space="preserve">2015-09-25</t>
  </si>
  <si>
    <t xml:space="preserve">李婉綺</t>
  </si>
  <si>
    <t xml:space="preserve">及幼文化出版股份有限公司附設臺北市私立哥大英語短期補習班新生分班</t>
  </si>
  <si>
    <r>
      <rPr>
        <sz val="10"/>
        <color rgb="FF1F2A28"/>
        <rFont val="WenQuanYi Zen Hei"/>
        <family val="2"/>
      </rPr>
      <t xml:space="preserve">大安區新生南路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</si>
  <si>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陳韻雯</t>
  </si>
  <si>
    <t xml:space="preserve">嘉安教育有限公司附設臺北市私立恩愛悌文理短期補習班</t>
  </si>
  <si>
    <r>
      <rPr>
        <sz val="10"/>
        <color rgb="FF1F2A28"/>
        <rFont val="WenQuanYi Zen Hei"/>
        <family val="2"/>
      </rPr>
      <t xml:space="preserve">大安區羅斯福路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253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及</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2</t>
    </r>
  </si>
  <si>
    <t xml:space="preserve">23621124</t>
  </si>
  <si>
    <t xml:space="preserve">mikakayewang@mitenglish.com.tw</t>
  </si>
  <si>
    <t xml:space="preserve">2007-06-01</t>
  </si>
  <si>
    <t xml:space="preserve">嘉安教育有限公司</t>
  </si>
  <si>
    <t xml:space="preserve">王美嘉</t>
  </si>
  <si>
    <t xml:space="preserve">大樹國際文化企業股份有限公司附設臺北市私立大樹國際文理短期補習班</t>
  </si>
  <si>
    <r>
      <rPr>
        <sz val="10"/>
        <color rgb="FF1F2A28"/>
        <rFont val="WenQuanYi Zen Hei"/>
        <family val="2"/>
      </rPr>
      <t xml:space="preserve">大安區和平東路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86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86</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</si>
  <si>
    <t xml:space="preserve">謝馥婷</t>
  </si>
  <si>
    <t xml:space="preserve">大樹國際文化企業股份有限公司附設臺北市私立大樹新生文理短期補習班</t>
  </si>
  <si>
    <r>
      <rPr>
        <sz val="10"/>
        <color rgb="FF1F2A28"/>
        <rFont val="WenQuanYi Zen Hei"/>
        <family val="2"/>
      </rPr>
      <t xml:space="preserve">大安區新生南路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70</t>
    </r>
    <r>
      <rPr>
        <sz val="10"/>
        <color rgb="FF1F2A28"/>
        <rFont val="WenQuanYi Zen Hei"/>
        <family val="2"/>
      </rPr>
      <t xml:space="preserve">巷</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</si>
  <si>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2016-08-02</t>
  </si>
  <si>
    <t xml:space="preserve">林芷緹</t>
  </si>
  <si>
    <t xml:space="preserve">大樹國際文化企業股份有限公司附設臺北市私立新和文理短期補習班</t>
  </si>
  <si>
    <r>
      <rPr>
        <sz val="10"/>
        <color rgb="FF1F2A28"/>
        <rFont val="WenQuanYi Zen Hei"/>
        <family val="2"/>
      </rPr>
      <t xml:space="preserve">大安區新生南路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14</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</si>
  <si>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傅羿僑</t>
  </si>
  <si>
    <t xml:space="preserve">大樹國際文化企業股份有限公司附設臺北市私立龍安語文短期補習班</t>
  </si>
  <si>
    <r>
      <rPr>
        <sz val="10"/>
        <color rgb="FF1F2A28"/>
        <rFont val="WenQuanYi Zen Hei"/>
        <family val="2"/>
      </rPr>
      <t xml:space="preserve">大安區和平東路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18</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</si>
  <si>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02-2369-2868</t>
  </si>
  <si>
    <t xml:space="preserve">1997-08-01</t>
  </si>
  <si>
    <t xml:space="preserve">陳右臻</t>
  </si>
  <si>
    <t xml:space="preserve">學悟處教育科技有限公司附設臺北市私立學悟處一對一科技大樓文理短期補習班</t>
  </si>
  <si>
    <r>
      <rPr>
        <sz val="10"/>
        <color rgb="FF1F2A28"/>
        <rFont val="WenQuanYi Zen Hei"/>
        <family val="2"/>
      </rPr>
      <t xml:space="preserve">大安區和平東路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259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</si>
  <si>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(02)27038101</t>
  </si>
  <si>
    <t xml:space="preserve">caesarhsu9@gmail.com</t>
  </si>
  <si>
    <t xml:space="preserve">2024-11-12</t>
  </si>
  <si>
    <r>
      <rPr>
        <sz val="10"/>
        <color rgb="FF1F2A28"/>
        <rFont val="WenQuanYi Zen Hei"/>
        <family val="2"/>
      </rPr>
      <t xml:space="preserve">學悟處教育科技有限公司</t>
    </r>
    <r>
      <rPr>
        <sz val="10"/>
        <color rgb="FF1F2A28"/>
        <rFont val="Arial"/>
        <family val="0"/>
        <charset val="1"/>
      </rPr>
      <t xml:space="preserve">(</t>
    </r>
    <r>
      <rPr>
        <sz val="10"/>
        <color rgb="FF1F2A28"/>
        <rFont val="WenQuanYi Zen Hei"/>
        <family val="2"/>
      </rPr>
      <t xml:space="preserve">許肇揚</t>
    </r>
    <r>
      <rPr>
        <sz val="10"/>
        <color rgb="FF1F2A28"/>
        <rFont val="Arial"/>
        <family val="0"/>
        <charset val="1"/>
      </rPr>
      <t xml:space="preserve">)</t>
    </r>
  </si>
  <si>
    <t xml:space="preserve">蔡鴻逸</t>
  </si>
  <si>
    <t xml:space="preserve">學趣文教有限公司附設臺北市私立學趣文理技藝短期補習班</t>
  </si>
  <si>
    <r>
      <rPr>
        <sz val="10"/>
        <color rgb="FF1F2A28"/>
        <rFont val="WenQuanYi Zen Hei"/>
        <family val="2"/>
      </rPr>
      <t xml:space="preserve">大安區信義路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214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</si>
  <si>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27071668</t>
  </si>
  <si>
    <t xml:space="preserve">funlearning214@gmail.com</t>
  </si>
  <si>
    <r>
      <rPr>
        <sz val="10"/>
        <color rgb="FF1F2A28"/>
        <rFont val="WenQuanYi Zen Hei"/>
        <family val="2"/>
      </rPr>
      <t xml:space="preserve">學趣文教有限公司</t>
    </r>
    <r>
      <rPr>
        <sz val="10"/>
        <color rgb="FF1F2A28"/>
        <rFont val="Arial"/>
        <family val="0"/>
        <charset val="1"/>
      </rPr>
      <t xml:space="preserve">(</t>
    </r>
    <r>
      <rPr>
        <sz val="10"/>
        <color rgb="FF1F2A28"/>
        <rFont val="WenQuanYi Zen Hei"/>
        <family val="2"/>
      </rPr>
      <t xml:space="preserve">黃靖喬</t>
    </r>
    <r>
      <rPr>
        <sz val="10"/>
        <color rgb="FF1F2A28"/>
        <rFont val="Arial"/>
        <family val="0"/>
        <charset val="1"/>
      </rPr>
      <t xml:space="preserve">)</t>
    </r>
  </si>
  <si>
    <t xml:space="preserve">劉原彰</t>
  </si>
  <si>
    <t xml:space="preserve">小樹苗家庭教育股份有限公司附設臺北市私立檑克屋美語文理短期補習班安和分班</t>
  </si>
  <si>
    <r>
      <rPr>
        <sz val="10"/>
        <color rgb="FF1F2A28"/>
        <rFont val="WenQuanYi Zen Hei"/>
        <family val="2"/>
      </rPr>
      <t xml:space="preserve">大安區樂利路</t>
    </r>
    <r>
      <rPr>
        <sz val="10"/>
        <color rgb="FF1F2A28"/>
        <rFont val="Arial"/>
        <family val="0"/>
        <charset val="1"/>
      </rPr>
      <t xml:space="preserve">5</t>
    </r>
    <r>
      <rPr>
        <sz val="10"/>
        <color rgb="FF1F2A28"/>
        <rFont val="WenQuanYi Zen Hei"/>
        <family val="2"/>
      </rPr>
      <t xml:space="preserve">巷</t>
    </r>
    <r>
      <rPr>
        <sz val="10"/>
        <color rgb="FF1F2A28"/>
        <rFont val="Arial"/>
        <family val="0"/>
        <charset val="1"/>
      </rPr>
      <t xml:space="preserve">14</t>
    </r>
    <r>
      <rPr>
        <sz val="10"/>
        <color rgb="FF1F2A28"/>
        <rFont val="WenQuanYi Zen Hei"/>
        <family val="2"/>
      </rPr>
      <t xml:space="preserve">弄</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5</t>
    </r>
    <r>
      <rPr>
        <sz val="10"/>
        <color rgb="FF1F2A28"/>
        <rFont val="WenQuanYi Zen Hei"/>
        <family val="2"/>
      </rPr>
      <t xml:space="preserve">巷</t>
    </r>
    <r>
      <rPr>
        <sz val="10"/>
        <color rgb="FF1F2A28"/>
        <rFont val="Arial"/>
        <family val="0"/>
        <charset val="1"/>
      </rPr>
      <t xml:space="preserve">15</t>
    </r>
    <r>
      <rPr>
        <sz val="10"/>
        <color rgb="FF1F2A28"/>
        <rFont val="WenQuanYi Zen Hei"/>
        <family val="2"/>
      </rPr>
      <t xml:space="preserve">弄</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5</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</si>
  <si>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2378-2200</t>
  </si>
  <si>
    <t xml:space="preserve">lakewood@treehouse.com.tw</t>
  </si>
  <si>
    <t xml:space="preserve">2016-09-30</t>
  </si>
  <si>
    <t xml:space="preserve">小樹苗家庭教育股份有限公司</t>
  </si>
  <si>
    <t xml:space="preserve">孫薏婷</t>
  </si>
  <si>
    <t xml:space="preserve">巨匠電腦股份有限公司附設臺北市私立巨匠文理短期補習班忠孝分班</t>
  </si>
  <si>
    <r>
      <rPr>
        <sz val="10"/>
        <color rgb="FF1F2A28"/>
        <rFont val="WenQuanYi Zen Hei"/>
        <family val="2"/>
      </rPr>
      <t xml:space="preserve">大安區忠孝東路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169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</si>
  <si>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(02)8772-3266</t>
  </si>
  <si>
    <t xml:space="preserve">KC_mailbox@pcschool.com.tw</t>
  </si>
  <si>
    <t xml:space="preserve">2005-12-01</t>
  </si>
  <si>
    <t xml:space="preserve">陳慧玲</t>
  </si>
  <si>
    <t xml:space="preserve">戴爾文教有限公司附設臺北市私立戴爾美語短期補習班忠孝分班</t>
  </si>
  <si>
    <r>
      <rPr>
        <sz val="10"/>
        <color rgb="FF1F2A28"/>
        <rFont val="WenQuanYi Zen Hei"/>
        <family val="2"/>
      </rPr>
      <t xml:space="preserve">大安區忠孝東路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55</t>
    </r>
    <r>
      <rPr>
        <sz val="10"/>
        <color rgb="FF1F2A28"/>
        <rFont val="WenQuanYi Zen Hei"/>
        <family val="2"/>
      </rPr>
      <t xml:space="preserve">之</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</si>
  <si>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27781636</t>
  </si>
  <si>
    <t xml:space="preserve">2013-12-23</t>
  </si>
  <si>
    <r>
      <rPr>
        <sz val="10"/>
        <color rgb="FF1F2A28"/>
        <rFont val="WenQuanYi Zen Hei"/>
        <family val="2"/>
      </rPr>
      <t xml:space="preserve">戴爾文教有限公司</t>
    </r>
    <r>
      <rPr>
        <sz val="10"/>
        <color rgb="FF1F2A28"/>
        <rFont val="Arial"/>
        <family val="0"/>
        <charset val="1"/>
      </rPr>
      <t xml:space="preserve">(</t>
    </r>
    <r>
      <rPr>
        <sz val="10"/>
        <color rgb="FF1F2A28"/>
        <rFont val="WenQuanYi Zen Hei"/>
        <family val="2"/>
      </rPr>
      <t xml:space="preserve">徐承浩</t>
    </r>
    <r>
      <rPr>
        <sz val="10"/>
        <color rgb="FF1F2A28"/>
        <rFont val="Arial"/>
        <family val="0"/>
        <charset val="1"/>
      </rPr>
      <t xml:space="preserve">)</t>
    </r>
  </si>
  <si>
    <t xml:space="preserve">徐誼庭</t>
  </si>
  <si>
    <t xml:space="preserve">星雲國際教育有限公司附設臺北市私立增蘭光復文理短期補習班</t>
  </si>
  <si>
    <r>
      <rPr>
        <sz val="10"/>
        <color rgb="FF1F2A28"/>
        <rFont val="WenQuanYi Zen Hei"/>
        <family val="2"/>
      </rPr>
      <t xml:space="preserve">大安區光復南路</t>
    </r>
    <r>
      <rPr>
        <sz val="10"/>
        <color rgb="FF1F2A28"/>
        <rFont val="Arial"/>
        <family val="0"/>
        <charset val="1"/>
      </rPr>
      <t xml:space="preserve">296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3</t>
    </r>
  </si>
  <si>
    <t xml:space="preserve">27752585</t>
  </si>
  <si>
    <t xml:space="preserve">rita6614@gmail.com</t>
  </si>
  <si>
    <t xml:space="preserve">2008-01-01</t>
  </si>
  <si>
    <r>
      <rPr>
        <sz val="10"/>
        <color rgb="FF1F2A28"/>
        <rFont val="WenQuanYi Zen Hei"/>
        <family val="2"/>
      </rPr>
      <t xml:space="preserve">星雲國際教育有限公司</t>
    </r>
    <r>
      <rPr>
        <sz val="10"/>
        <color rgb="FF1F2A28"/>
        <rFont val="Arial"/>
        <family val="0"/>
        <charset val="1"/>
      </rPr>
      <t xml:space="preserve">,</t>
    </r>
    <r>
      <rPr>
        <sz val="10"/>
        <color rgb="FF1F2A28"/>
        <rFont val="WenQuanYi Zen Hei"/>
        <family val="2"/>
      </rPr>
      <t xml:space="preserve">負責人</t>
    </r>
    <r>
      <rPr>
        <sz val="10"/>
        <color rgb="FF1F2A28"/>
        <rFont val="Arial"/>
        <family val="0"/>
        <charset val="1"/>
      </rPr>
      <t xml:space="preserve">:</t>
    </r>
    <r>
      <rPr>
        <sz val="10"/>
        <color rgb="FF1F2A28"/>
        <rFont val="WenQuanYi Zen Hei"/>
        <family val="2"/>
      </rPr>
      <t xml:space="preserve">馬永翔</t>
    </r>
  </si>
  <si>
    <t xml:space="preserve">劉虹妤</t>
  </si>
  <si>
    <t xml:space="preserve">永翔教育顧問有限公司附設臺北市私立增蘭文理短期補習班</t>
  </si>
  <si>
    <r>
      <rPr>
        <sz val="10"/>
        <color rgb="FF1F2A28"/>
        <rFont val="WenQuanYi Zen Hei"/>
        <family val="2"/>
      </rPr>
      <t xml:space="preserve">大安區安和路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112</t>
    </r>
    <r>
      <rPr>
        <sz val="10"/>
        <color rgb="FF1F2A28"/>
        <rFont val="WenQuanYi Zen Hei"/>
        <family val="2"/>
      </rPr>
      <t xml:space="preserve">巷</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</si>
  <si>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23253882</t>
  </si>
  <si>
    <t xml:space="preserve">lesley@mitenglish.com.tw</t>
  </si>
  <si>
    <t xml:space="preserve">2003-12-01</t>
  </si>
  <si>
    <t xml:space="preserve">永翔教育顧問有限公司</t>
  </si>
  <si>
    <t xml:space="preserve">黃品瑜</t>
  </si>
  <si>
    <t xml:space="preserve">沃人家庭教育有限公司附設臺北市私立葛林屋美語文理短期補習班</t>
  </si>
  <si>
    <r>
      <rPr>
        <sz val="10"/>
        <color rgb="FF1F2A28"/>
        <rFont val="WenQuanYi Zen Hei"/>
        <family val="2"/>
      </rPr>
      <t xml:space="preserve">大安區樂利路</t>
    </r>
    <r>
      <rPr>
        <sz val="10"/>
        <color rgb="FF1F2A28"/>
        <rFont val="Arial"/>
        <family val="0"/>
        <charset val="1"/>
      </rPr>
      <t xml:space="preserve">5</t>
    </r>
    <r>
      <rPr>
        <sz val="10"/>
        <color rgb="FF1F2A28"/>
        <rFont val="WenQuanYi Zen Hei"/>
        <family val="2"/>
      </rPr>
      <t xml:space="preserve">巷</t>
    </r>
    <r>
      <rPr>
        <sz val="10"/>
        <color rgb="FF1F2A28"/>
        <rFont val="Arial"/>
        <family val="0"/>
        <charset val="1"/>
      </rPr>
      <t xml:space="preserve">14</t>
    </r>
    <r>
      <rPr>
        <sz val="10"/>
        <color rgb="FF1F2A28"/>
        <rFont val="WenQuanYi Zen Hei"/>
        <family val="2"/>
      </rPr>
      <t xml:space="preserve">弄</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5</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</si>
  <si>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23782200</t>
  </si>
  <si>
    <t xml:space="preserve">greenwood@treehouse.com.tw</t>
  </si>
  <si>
    <t xml:space="preserve">2005-03-01</t>
  </si>
  <si>
    <r>
      <rPr>
        <sz val="10"/>
        <color rgb="FF1F2A28"/>
        <rFont val="WenQuanYi Zen Hei"/>
        <family val="2"/>
      </rPr>
      <t xml:space="preserve">沃人家庭教育有限公司</t>
    </r>
    <r>
      <rPr>
        <sz val="10"/>
        <color rgb="FF1F2A28"/>
        <rFont val="Arial"/>
        <family val="0"/>
        <charset val="1"/>
      </rPr>
      <t xml:space="preserve">(</t>
    </r>
    <r>
      <rPr>
        <sz val="10"/>
        <color rgb="FF1F2A28"/>
        <rFont val="WenQuanYi Zen Hei"/>
        <family val="2"/>
      </rPr>
      <t xml:space="preserve">負責人：周小涵</t>
    </r>
    <r>
      <rPr>
        <sz val="10"/>
        <color rgb="FF1F2A28"/>
        <rFont val="Arial"/>
        <family val="0"/>
        <charset val="1"/>
      </rPr>
      <t xml:space="preserve">)</t>
    </r>
  </si>
  <si>
    <t xml:space="preserve">陳攸竹</t>
  </si>
  <si>
    <t xml:space="preserve">瀚將教育科技股份有限公司附設臺北市私立百瀚古亭文理短期補習班</t>
  </si>
  <si>
    <r>
      <rPr>
        <sz val="10"/>
        <color rgb="FF1F2A28"/>
        <rFont val="WenQuanYi Zen Hei"/>
        <family val="2"/>
      </rPr>
      <t xml:space="preserve">大安區和平東路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9</t>
    </r>
    <r>
      <rPr>
        <sz val="10"/>
        <color rgb="FF1F2A28"/>
        <rFont val="WenQuanYi Zen Hei"/>
        <family val="2"/>
      </rPr>
      <t xml:space="preserve">樓</t>
    </r>
  </si>
  <si>
    <t xml:space="preserve">23621606</t>
  </si>
  <si>
    <t xml:space="preserve">2012-05-22</t>
  </si>
  <si>
    <t xml:space="preserve">廖心楓</t>
  </si>
  <si>
    <t xml:space="preserve">瀚將教育科技股份有限公司附設臺北市私立百瀚大安文理短期補習班</t>
  </si>
  <si>
    <r>
      <rPr>
        <sz val="10"/>
        <color rgb="FF1F2A28"/>
        <rFont val="WenQuanYi Zen Hei"/>
        <family val="2"/>
      </rPr>
      <t xml:space="preserve">大安區信義路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202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</si>
  <si>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23253131</t>
  </si>
  <si>
    <t xml:space="preserve">2010-05-27</t>
  </si>
  <si>
    <r>
      <rPr>
        <sz val="10"/>
        <color rgb="FF1F2A28"/>
        <rFont val="WenQuanYi Zen Hei"/>
        <family val="2"/>
      </rPr>
      <t xml:space="preserve">瀚將教育科技股份有限公司</t>
    </r>
    <r>
      <rPr>
        <sz val="10"/>
        <color rgb="FF1F2A28"/>
        <rFont val="Arial"/>
        <family val="0"/>
        <charset val="1"/>
      </rPr>
      <t xml:space="preserve">(</t>
    </r>
    <r>
      <rPr>
        <sz val="10"/>
        <color rgb="FF1F2A28"/>
        <rFont val="WenQuanYi Zen Hei"/>
        <family val="2"/>
      </rPr>
      <t xml:space="preserve">許哲豪</t>
    </r>
    <r>
      <rPr>
        <sz val="10"/>
        <color rgb="FF1F2A28"/>
        <rFont val="Arial"/>
        <family val="0"/>
        <charset val="1"/>
      </rPr>
      <t xml:space="preserve">)</t>
    </r>
  </si>
  <si>
    <t xml:space="preserve">陳偌寧</t>
  </si>
  <si>
    <t xml:space="preserve">瀚思股份有限公司附設臺北市私立瀚思語文技藝短期補習班</t>
  </si>
  <si>
    <r>
      <rPr>
        <sz val="10"/>
        <color rgb="FF1F2A28"/>
        <rFont val="WenQuanYi Zen Hei"/>
        <family val="2"/>
      </rPr>
      <t xml:space="preserve">大安區新生南路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</si>
  <si>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23955952</t>
  </si>
  <si>
    <t xml:space="preserve">akidslink@yahoo.com.tw</t>
  </si>
  <si>
    <t xml:space="preserve">文佩倫</t>
  </si>
  <si>
    <t xml:space="preserve">陳盈君</t>
  </si>
  <si>
    <t xml:space="preserve">瀚思股份有限公司附設臺北市私立翰思語文美術短期補習班</t>
  </si>
  <si>
    <r>
      <rPr>
        <sz val="10"/>
        <color rgb="FF1F2A28"/>
        <rFont val="WenQuanYi Zen Hei"/>
        <family val="2"/>
      </rPr>
      <t xml:space="preserve">大安區新生南路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54</t>
    </r>
    <r>
      <rPr>
        <sz val="10"/>
        <color rgb="FF1F2A28"/>
        <rFont val="WenQuanYi Zen Hei"/>
        <family val="2"/>
      </rPr>
      <t xml:space="preserve">巷</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</si>
  <si>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may526_chan@yahoo.com.tw</t>
  </si>
  <si>
    <t xml:space="preserve">郭雅芳</t>
  </si>
  <si>
    <t xml:space="preserve">版圖有限公司附設臺北市私立版圖語文短期補習班</t>
  </si>
  <si>
    <r>
      <rPr>
        <sz val="10"/>
        <color rgb="FF1F2A28"/>
        <rFont val="WenQuanYi Zen Hei"/>
        <family val="2"/>
      </rPr>
      <t xml:space="preserve">大安區復興南路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157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</si>
  <si>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27011412</t>
  </si>
  <si>
    <t xml:space="preserve">scyang2@yahoo.com</t>
  </si>
  <si>
    <t xml:space="preserve">版圖有限公司</t>
  </si>
  <si>
    <t xml:space="preserve">劉菲菲</t>
  </si>
  <si>
    <t xml:space="preserve">空中美語文教事業股份有限公司附設臺北市私立空中美語語文短期補習班</t>
  </si>
  <si>
    <r>
      <rPr>
        <sz val="10"/>
        <color rgb="FF1F2A28"/>
        <rFont val="WenQuanYi Zen Hei"/>
        <family val="2"/>
      </rPr>
      <t xml:space="preserve">大安區和平東路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87</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</si>
  <si>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23913000</t>
  </si>
  <si>
    <t xml:space="preserve">forster.chang@english4u.com.tw</t>
  </si>
  <si>
    <t xml:space="preserve">2014-08-07</t>
  </si>
  <si>
    <t xml:space="preserve">胥宏達</t>
  </si>
  <si>
    <t xml:space="preserve">林承鶴</t>
  </si>
  <si>
    <t xml:space="preserve">美加文化實業股份有限公司附設臺北市私立小美加文理技藝短期補習班</t>
  </si>
  <si>
    <r>
      <rPr>
        <sz val="10"/>
        <color rgb="FF1F2A28"/>
        <rFont val="WenQuanYi Zen Hei"/>
        <family val="2"/>
      </rPr>
      <t xml:space="preserve">大安區新生南路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139</t>
    </r>
    <r>
      <rPr>
        <sz val="10"/>
        <color rgb="FF1F2A28"/>
        <rFont val="WenQuanYi Zen Hei"/>
        <family val="2"/>
      </rPr>
      <t xml:space="preserve">巷</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</si>
  <si>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02-2325-5990</t>
  </si>
  <si>
    <t xml:space="preserve">amanda@merica.com.tw</t>
  </si>
  <si>
    <t xml:space="preserve">2019-01-07</t>
  </si>
  <si>
    <t xml:space="preserve">美加文化實業股份有限公司（負責人：陳上春</t>
  </si>
  <si>
    <t xml:space="preserve">徐阡華</t>
  </si>
  <si>
    <t xml:space="preserve">美加文化實業股份有限公司附設臺北市私立小美加文理技藝短期補習班幸安分班</t>
  </si>
  <si>
    <r>
      <rPr>
        <sz val="10"/>
        <color rgb="FF1F2A28"/>
        <rFont val="WenQuanYi Zen Hei"/>
        <family val="2"/>
      </rPr>
      <t xml:space="preserve">大安區仁愛路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18</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1</t>
    </r>
    <r>
      <rPr>
        <sz val="10"/>
        <color rgb="FF1F2A28"/>
        <rFont val="WenQuanYi Zen Hei"/>
        <family val="2"/>
      </rPr>
      <t xml:space="preserve">樓之</t>
    </r>
    <r>
      <rPr>
        <sz val="10"/>
        <color rgb="FF1F2A28"/>
        <rFont val="Arial"/>
        <family val="0"/>
        <charset val="1"/>
      </rPr>
      <t xml:space="preserve">1</t>
    </r>
  </si>
  <si>
    <t xml:space="preserve">0958981415</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</si>
  <si>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美術、書法、攝影、美工設計、圍棋類</t>
    </r>
  </si>
  <si>
    <t xml:space="preserve">2025-09-03</t>
  </si>
  <si>
    <r>
      <rPr>
        <sz val="10"/>
        <color rgb="FF1F2A28"/>
        <rFont val="WenQuanYi Zen Hei"/>
        <family val="2"/>
      </rPr>
      <t xml:space="preserve">美加文化實業股份有限公司</t>
    </r>
    <r>
      <rPr>
        <sz val="10"/>
        <color rgb="FF1F2A28"/>
        <rFont val="Arial"/>
        <family val="0"/>
        <charset val="1"/>
      </rPr>
      <t xml:space="preserve">(</t>
    </r>
    <r>
      <rPr>
        <sz val="10"/>
        <color rgb="FF1F2A28"/>
        <rFont val="WenQuanYi Zen Hei"/>
        <family val="2"/>
      </rPr>
      <t xml:space="preserve">陳上春</t>
    </r>
    <r>
      <rPr>
        <sz val="10"/>
        <color rgb="FF1F2A28"/>
        <rFont val="Arial"/>
        <family val="0"/>
        <charset val="1"/>
      </rPr>
      <t xml:space="preserve">)</t>
    </r>
  </si>
  <si>
    <t xml:space="preserve">顏羽彤</t>
  </si>
  <si>
    <t xml:space="preserve">美好國際企業管理顧問有限公司附設臺北市私立美好國際語文短期補習班仁愛分班</t>
  </si>
  <si>
    <r>
      <rPr>
        <sz val="10"/>
        <color rgb="FF1F2A28"/>
        <rFont val="WenQuanYi Zen Hei"/>
        <family val="2"/>
      </rPr>
      <t xml:space="preserve">大安區復興南路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227</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2</t>
    </r>
  </si>
  <si>
    <t xml:space="preserve">87736828</t>
  </si>
  <si>
    <t xml:space="preserve">eie@eie.com.tw</t>
  </si>
  <si>
    <t xml:space="preserve">2016-04-07</t>
  </si>
  <si>
    <t xml:space="preserve">寸偉民</t>
  </si>
  <si>
    <t xml:space="preserve">殷必慈</t>
  </si>
  <si>
    <t xml:space="preserve">群筑教育有限公司附設臺北市私立群筑語文短期補習班</t>
  </si>
  <si>
    <r>
      <rPr>
        <sz val="10"/>
        <color rgb="FF1F2A28"/>
        <rFont val="WenQuanYi Zen Hei"/>
        <family val="2"/>
      </rPr>
      <t xml:space="preserve">大安區忠孝東路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</si>
  <si>
    <t xml:space="preserve">27813257</t>
  </si>
  <si>
    <t xml:space="preserve">cyunjhu@gmail.com</t>
  </si>
  <si>
    <t xml:space="preserve">2014-04-28</t>
  </si>
  <si>
    <r>
      <rPr>
        <sz val="10"/>
        <color rgb="FF1F2A28"/>
        <rFont val="WenQuanYi Zen Hei"/>
        <family val="2"/>
      </rPr>
      <t xml:space="preserve">群筑教育有限公司</t>
    </r>
    <r>
      <rPr>
        <sz val="10"/>
        <color rgb="FF1F2A28"/>
        <rFont val="Arial"/>
        <family val="0"/>
        <charset val="1"/>
      </rPr>
      <t xml:space="preserve">(</t>
    </r>
    <r>
      <rPr>
        <sz val="10"/>
        <color rgb="FF1F2A28"/>
        <rFont val="WenQuanYi Zen Hei"/>
        <family val="2"/>
      </rPr>
      <t xml:space="preserve">謝健群</t>
    </r>
    <r>
      <rPr>
        <sz val="10"/>
        <color rgb="FF1F2A28"/>
        <rFont val="Arial"/>
        <family val="0"/>
        <charset val="1"/>
      </rPr>
      <t xml:space="preserve">)</t>
    </r>
  </si>
  <si>
    <t xml:space="preserve">張雅筑</t>
  </si>
  <si>
    <t xml:space="preserve">臺北市私立乖乖文理音樂美術短期補習班</t>
  </si>
  <si>
    <r>
      <rPr>
        <sz val="10"/>
        <color rgb="FF1F2A28"/>
        <rFont val="WenQuanYi Zen Hei"/>
        <family val="2"/>
      </rPr>
      <t xml:space="preserve">大安區辛亥路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79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</si>
  <si>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23645533</t>
  </si>
  <si>
    <t xml:space="preserve">eva647191@gmail.com</t>
  </si>
  <si>
    <t xml:space="preserve">2010-07-20</t>
  </si>
  <si>
    <t xml:space="preserve">張瑜玲</t>
  </si>
  <si>
    <t xml:space="preserve">李佩玟</t>
  </si>
  <si>
    <t xml:space="preserve">臺北市私立何嘉仁文理短期補習班</t>
  </si>
  <si>
    <r>
      <rPr>
        <sz val="10"/>
        <color rgb="FF1F2A28"/>
        <rFont val="WenQuanYi Zen Hei"/>
        <family val="2"/>
      </rPr>
      <t xml:space="preserve">大安區和平東路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49</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樓、瑞安街</t>
    </r>
    <r>
      <rPr>
        <sz val="10"/>
        <color rgb="FF1F2A28"/>
        <rFont val="Arial"/>
        <family val="0"/>
        <charset val="1"/>
      </rPr>
      <t xml:space="preserve">276</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</si>
  <si>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27031118</t>
  </si>
  <si>
    <t xml:space="preserve">hs2001@hess.com.tw</t>
  </si>
  <si>
    <t xml:space="preserve">1984-06-02</t>
  </si>
  <si>
    <t xml:space="preserve">朱嘉宗</t>
  </si>
  <si>
    <t xml:space="preserve">辛瑋云</t>
  </si>
  <si>
    <t xml:space="preserve">臺北市私立佳盈文理短期補習班</t>
  </si>
  <si>
    <r>
      <rPr>
        <sz val="10"/>
        <color rgb="FF1F2A28"/>
        <rFont val="WenQuanYi Zen Hei"/>
        <family val="2"/>
      </rPr>
      <t xml:space="preserve">大安區辛亥路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</si>
  <si>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83691415</t>
  </si>
  <si>
    <t xml:space="preserve">ba032@joy.com.tw</t>
  </si>
  <si>
    <t xml:space="preserve">2010-02-09</t>
  </si>
  <si>
    <t xml:space="preserve">程國淵</t>
  </si>
  <si>
    <t xml:space="preserve">楊文菡</t>
  </si>
  <si>
    <t xml:space="preserve">臺北市私立信望愛美語短期補習班</t>
  </si>
  <si>
    <r>
      <rPr>
        <sz val="10"/>
        <color rgb="FF1F2A28"/>
        <rFont val="WenQuanYi Zen Hei"/>
        <family val="2"/>
      </rPr>
      <t xml:space="preserve">大安區敦化南路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172</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</si>
  <si>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27351211</t>
  </si>
  <si>
    <t xml:space="preserve">kidstart.gov@gmail.com</t>
  </si>
  <si>
    <t xml:space="preserve">簡秀華</t>
  </si>
  <si>
    <t xml:space="preserve">臺北市私立全才文理技藝短期補習班</t>
  </si>
  <si>
    <r>
      <rPr>
        <sz val="10"/>
        <color rgb="FF1F2A28"/>
        <rFont val="WenQuanYi Zen Hei"/>
        <family val="2"/>
      </rPr>
      <t xml:space="preserve">大安區信義路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199</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</si>
  <si>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27055346</t>
  </si>
  <si>
    <t xml:space="preserve">hsl88@yahoo.com.tw</t>
  </si>
  <si>
    <t xml:space="preserve">黃泱藍</t>
  </si>
  <si>
    <t xml:space="preserve">臺北市私立全禎文理短期補習班</t>
  </si>
  <si>
    <r>
      <rPr>
        <sz val="10"/>
        <color rgb="FF1F2A28"/>
        <rFont val="WenQuanYi Zen Hei"/>
        <family val="2"/>
      </rPr>
      <t xml:space="preserve">大安區復興南路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352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</si>
  <si>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(02)27087776</t>
  </si>
  <si>
    <t xml:space="preserve">maggiechang16@gmail.com</t>
  </si>
  <si>
    <t xml:space="preserve">2026-07-08</t>
  </si>
  <si>
    <t xml:space="preserve">邱御碩</t>
  </si>
  <si>
    <t xml:space="preserve">臺北市私立凱斯文理短期補習班仁愛分班</t>
  </si>
  <si>
    <r>
      <rPr>
        <sz val="10"/>
        <color rgb="FF1F2A28"/>
        <rFont val="WenQuanYi Zen Hei"/>
        <family val="2"/>
      </rPr>
      <t xml:space="preserve">大安區安和路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</si>
  <si>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27025959</t>
  </si>
  <si>
    <t xml:space="preserve">tiffanychang@catsedugroup.com.tw</t>
  </si>
  <si>
    <t xml:space="preserve">2011-11-14</t>
  </si>
  <si>
    <t xml:space="preserve">臺北市私立凱瑞莎美語文理短期補習班</t>
  </si>
  <si>
    <r>
      <rPr>
        <sz val="10"/>
        <color rgb="FF1F2A28"/>
        <rFont val="WenQuanYi Zen Hei"/>
        <family val="2"/>
      </rPr>
      <t xml:space="preserve">大安區延吉街</t>
    </r>
    <r>
      <rPr>
        <sz val="10"/>
        <color rgb="FF1F2A28"/>
        <rFont val="Arial"/>
        <family val="0"/>
        <charset val="1"/>
      </rPr>
      <t xml:space="preserve">257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</si>
  <si>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(02)2702-2828</t>
  </si>
  <si>
    <t xml:space="preserve">carisaschool@gmail.com</t>
  </si>
  <si>
    <t xml:space="preserve">2023-10-17</t>
  </si>
  <si>
    <t xml:space="preserve">高鈺茹</t>
  </si>
  <si>
    <t xml:space="preserve">李婉瑜</t>
  </si>
  <si>
    <t xml:space="preserve">臺北市私立凱登語文短期補習班</t>
  </si>
  <si>
    <r>
      <rPr>
        <sz val="10"/>
        <color rgb="FF1F2A28"/>
        <rFont val="WenQuanYi Zen Hei"/>
        <family val="2"/>
      </rPr>
      <t xml:space="preserve">大安區安和路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127</t>
    </r>
    <r>
      <rPr>
        <sz val="10"/>
        <color rgb="FF1F2A28"/>
        <rFont val="WenQuanYi Zen Hei"/>
        <family val="2"/>
      </rPr>
      <t xml:space="preserve">巷</t>
    </r>
    <r>
      <rPr>
        <sz val="10"/>
        <color rgb="FF1F2A28"/>
        <rFont val="Arial"/>
        <family val="0"/>
        <charset val="1"/>
      </rPr>
      <t xml:space="preserve">29</t>
    </r>
    <r>
      <rPr>
        <sz val="10"/>
        <color rgb="FF1F2A28"/>
        <rFont val="WenQuanYi Zen Hei"/>
        <family val="2"/>
      </rPr>
      <t xml:space="preserve">弄</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</si>
  <si>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27061515</t>
  </si>
  <si>
    <t xml:space="preserve">劉怡君</t>
  </si>
  <si>
    <t xml:space="preserve">林詩文</t>
  </si>
  <si>
    <t xml:space="preserve">臺北市私立勁寶兒語文技藝短期補習班</t>
  </si>
  <si>
    <r>
      <rPr>
        <sz val="10"/>
        <color rgb="FF1F2A28"/>
        <rFont val="WenQuanYi Zen Hei"/>
        <family val="2"/>
      </rPr>
      <t xml:space="preserve">大安區復興南路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76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</si>
  <si>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2711-1077</t>
  </si>
  <si>
    <t xml:space="preserve">gymbaby928@gmail.com</t>
  </si>
  <si>
    <t xml:space="preserve">儲瑄</t>
  </si>
  <si>
    <t xml:space="preserve">臺北市私立原點美學技藝文理短期補習班</t>
  </si>
  <si>
    <r>
      <rPr>
        <sz val="10"/>
        <color rgb="FF1F2A28"/>
        <rFont val="WenQuanYi Zen Hei"/>
        <family val="2"/>
      </rPr>
      <t xml:space="preserve">大安區信義路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200</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</si>
  <si>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(02)27060148</t>
  </si>
  <si>
    <t xml:space="preserve">originart78710@gmail.com</t>
  </si>
  <si>
    <t xml:space="preserve">2025-09-12</t>
  </si>
  <si>
    <t xml:space="preserve">黃士綸</t>
  </si>
  <si>
    <t xml:space="preserve">吳俊德</t>
  </si>
  <si>
    <t xml:space="preserve">臺北市私立史蒂芬外國語文短期補習班</t>
  </si>
  <si>
    <r>
      <rPr>
        <sz val="10"/>
        <color rgb="FF1F2A28"/>
        <rFont val="WenQuanYi Zen Hei"/>
        <family val="2"/>
      </rPr>
      <t xml:space="preserve">大安區忠孝東路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</si>
  <si>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27710088</t>
  </si>
  <si>
    <t xml:space="preserve">kate@whygo.com.tw</t>
  </si>
  <si>
    <t xml:space="preserve">劉世強</t>
  </si>
  <si>
    <t xml:space="preserve">鄧淇丰</t>
  </si>
  <si>
    <t xml:space="preserve">臺北市私立名學文理短期補習班</t>
  </si>
  <si>
    <r>
      <rPr>
        <sz val="10"/>
        <color rgb="FF1F2A28"/>
        <rFont val="WenQuanYi Zen Hei"/>
        <family val="2"/>
      </rPr>
      <t xml:space="preserve">大安區忠孝東路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155</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2</t>
    </r>
  </si>
  <si>
    <t xml:space="preserve">(02)27513624</t>
  </si>
  <si>
    <t xml:space="preserve">albee.chiang@primerica.com.tw</t>
  </si>
  <si>
    <t xml:space="preserve">張正宜</t>
  </si>
  <si>
    <t xml:space="preserve">臺北市私立哈比登英日語短期補習班</t>
  </si>
  <si>
    <r>
      <rPr>
        <sz val="10"/>
        <color rgb="FF1F2A28"/>
        <rFont val="WenQuanYi Zen Hei"/>
        <family val="2"/>
      </rPr>
      <t xml:space="preserve">大安區羅斯福路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335</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2</t>
    </r>
  </si>
  <si>
    <t xml:space="preserve">23656132</t>
  </si>
  <si>
    <t xml:space="preserve">happytop6132@gmail.com</t>
  </si>
  <si>
    <t xml:space="preserve">1993-01-01</t>
  </si>
  <si>
    <t xml:space="preserve">張淑卿</t>
  </si>
  <si>
    <t xml:space="preserve">臺北市私立啟動全英語短期補習班</t>
  </si>
  <si>
    <r>
      <rPr>
        <sz val="10"/>
        <color rgb="FF1F2A28"/>
        <rFont val="WenQuanYi Zen Hei"/>
        <family val="2"/>
      </rPr>
      <t xml:space="preserve">大安區羅斯福路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49</t>
    </r>
    <r>
      <rPr>
        <sz val="10"/>
        <color rgb="FF1F2A28"/>
        <rFont val="WenQuanYi Zen Hei"/>
        <family val="2"/>
      </rPr>
      <t xml:space="preserve">號</t>
    </r>
    <r>
      <rPr>
        <sz val="10"/>
        <color rgb="FF1F2A28"/>
        <rFont val="Arial"/>
        <family val="0"/>
        <charset val="1"/>
      </rPr>
      <t xml:space="preserve">10</t>
    </r>
    <r>
      <rPr>
        <sz val="10"/>
        <color rgb="FF1F2A28"/>
        <rFont val="WenQuanYi Zen Hei"/>
        <family val="2"/>
      </rPr>
      <t xml:space="preserve">樓</t>
    </r>
  </si>
  <si>
    <t xml:space="preserve">23217099</t>
  </si>
  <si>
    <t xml:space="preserve">joanne@activate.com.tw</t>
  </si>
  <si>
    <t xml:space="preserve">2013-05-28</t>
  </si>
  <si>
    <t xml:space="preserve">郭信</t>
  </si>
  <si>
    <t xml:space="preserve">臺北市私立嘟嘟美語文理短期補習班</t>
  </si>
  <si>
    <r>
      <rPr>
        <sz val="10"/>
        <color rgb="FF1F2A28"/>
        <rFont val="WenQuanYi Zen Hei"/>
        <family val="2"/>
      </rPr>
      <t xml:space="preserve">大安區光復南路</t>
    </r>
    <r>
      <rPr>
        <sz val="10"/>
        <color rgb="FF1F2A28"/>
        <rFont val="Arial"/>
        <family val="0"/>
        <charset val="1"/>
      </rPr>
      <t xml:space="preserve">96</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</si>
  <si>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87721785</t>
  </si>
  <si>
    <t xml:space="preserve">6852qg@gmail.com</t>
  </si>
  <si>
    <t xml:space="preserve">2002-07-26</t>
  </si>
  <si>
    <t xml:space="preserve">陳又宇</t>
  </si>
  <si>
    <t xml:space="preserve">臺北市私立固德文理短期補習班</t>
  </si>
  <si>
    <r>
      <rPr>
        <sz val="10"/>
        <color rgb="FF1F2A28"/>
        <rFont val="WenQuanYi Zen Hei"/>
        <family val="2"/>
      </rPr>
      <t xml:space="preserve">大安區新生南路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139</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</si>
  <si>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27551458</t>
  </si>
  <si>
    <t xml:space="preserve">a7000988@ms38.hinet.net</t>
  </si>
  <si>
    <t xml:space="preserve">2011-10-13</t>
  </si>
  <si>
    <t xml:space="preserve">陳逸勛</t>
  </si>
  <si>
    <t xml:space="preserve">陳恆中</t>
  </si>
  <si>
    <t xml:space="preserve">臺北市私立夏智信語文短期補習班</t>
  </si>
  <si>
    <r>
      <rPr>
        <sz val="10"/>
        <color rgb="FF1F2A28"/>
        <rFont val="WenQuanYi Zen Hei"/>
        <family val="2"/>
      </rPr>
      <t xml:space="preserve">大安區建國南路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195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</si>
  <si>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27016327</t>
  </si>
  <si>
    <t xml:space="preserve">lai.edu.tpe@gmail.com</t>
  </si>
  <si>
    <t xml:space="preserve">2001-04-01</t>
  </si>
  <si>
    <t xml:space="preserve">葉保國</t>
  </si>
  <si>
    <t xml:space="preserve">臺北市私立大忠語文短期補習班</t>
  </si>
  <si>
    <r>
      <rPr>
        <sz val="10"/>
        <color rgb="FF1F2A28"/>
        <rFont val="WenQuanYi Zen Hei"/>
        <family val="2"/>
      </rPr>
      <t xml:space="preserve">大安區忠孝東路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333</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</si>
  <si>
    <t xml:space="preserve">27765622</t>
  </si>
  <si>
    <t xml:space="preserve">hs2166@hess.com.tw</t>
  </si>
  <si>
    <t xml:space="preserve">2009-02-01</t>
  </si>
  <si>
    <t xml:space="preserve">何靜如</t>
  </si>
  <si>
    <t xml:space="preserve">林安怡</t>
  </si>
  <si>
    <t xml:space="preserve">臺北市私立天才巧克力塗鴉美術語文短期補習班</t>
  </si>
  <si>
    <r>
      <rPr>
        <sz val="10"/>
        <color rgb="FF1F2A28"/>
        <rFont val="WenQuanYi Zen Hei"/>
        <family val="2"/>
      </rPr>
      <t xml:space="preserve">大安區仁愛路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91</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</si>
  <si>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27313180</t>
  </si>
  <si>
    <t xml:space="preserve">tsai@tsaigallery.com</t>
  </si>
  <si>
    <t xml:space="preserve">蔡欣怡</t>
  </si>
  <si>
    <t xml:space="preserve">陳姿穎</t>
  </si>
  <si>
    <t xml:space="preserve">臺北市私立學聖文理短期補習班</t>
  </si>
  <si>
    <r>
      <rPr>
        <sz val="10"/>
        <color rgb="FF1F2A28"/>
        <rFont val="WenQuanYi Zen Hei"/>
        <family val="2"/>
      </rPr>
      <t xml:space="preserve">大安區安和路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49</t>
    </r>
    <r>
      <rPr>
        <sz val="10"/>
        <color rgb="FF1F2A28"/>
        <rFont val="WenQuanYi Zen Hei"/>
        <family val="2"/>
      </rPr>
      <t xml:space="preserve">巷</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3</t>
    </r>
  </si>
  <si>
    <t xml:space="preserve">02-87716108</t>
  </si>
  <si>
    <t xml:space="preserve">mathclub0203@gmail.com</t>
  </si>
  <si>
    <t xml:space="preserve">2010-04-02</t>
  </si>
  <si>
    <t xml:space="preserve">張宜蔆</t>
  </si>
  <si>
    <t xml:space="preserve">莊逸陽</t>
  </si>
  <si>
    <t xml:space="preserve">臺北市私立安德樂美語短期補習班</t>
  </si>
  <si>
    <r>
      <rPr>
        <sz val="10"/>
        <color rgb="FF1F2A28"/>
        <rFont val="WenQuanYi Zen Hei"/>
        <family val="2"/>
      </rPr>
      <t xml:space="preserve">大安區敦化南路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295</t>
    </r>
    <r>
      <rPr>
        <sz val="10"/>
        <color rgb="FF1F2A28"/>
        <rFont val="WenQuanYi Zen Hei"/>
        <family val="2"/>
      </rPr>
      <t xml:space="preserve">巷</t>
    </r>
    <r>
      <rPr>
        <sz val="10"/>
        <color rgb="FF1F2A28"/>
        <rFont val="Arial"/>
        <family val="0"/>
        <charset val="1"/>
      </rPr>
      <t xml:space="preserve">24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</si>
  <si>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27005457</t>
  </si>
  <si>
    <t xml:space="preserve">andrewamerican2012@gmail.com</t>
  </si>
  <si>
    <t xml:space="preserve">2006-03-01</t>
  </si>
  <si>
    <t xml:space="preserve">許玲薇</t>
  </si>
  <si>
    <t xml:space="preserve">臺北市私立宜修文理短期補習班</t>
  </si>
  <si>
    <r>
      <rPr>
        <sz val="10"/>
        <color rgb="FF1F2A28"/>
        <rFont val="WenQuanYi Zen Hei"/>
        <family val="2"/>
      </rPr>
      <t xml:space="preserve">大安區光復南路</t>
    </r>
    <r>
      <rPr>
        <sz val="10"/>
        <color rgb="FF1F2A28"/>
        <rFont val="Arial"/>
        <family val="0"/>
        <charset val="1"/>
      </rPr>
      <t xml:space="preserve">180</t>
    </r>
    <r>
      <rPr>
        <sz val="10"/>
        <color rgb="FF1F2A28"/>
        <rFont val="WenQuanYi Zen Hei"/>
        <family val="2"/>
      </rPr>
      <t xml:space="preserve">巷</t>
    </r>
    <r>
      <rPr>
        <sz val="10"/>
        <color rgb="FF1F2A28"/>
        <rFont val="Arial"/>
        <family val="0"/>
        <charset val="1"/>
      </rPr>
      <t xml:space="preserve">41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</si>
  <si>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27116068/27722232</t>
  </si>
  <si>
    <t xml:space="preserve">ehsiulearning@gmail.com</t>
  </si>
  <si>
    <t xml:space="preserve">1986-02-17</t>
  </si>
  <si>
    <t xml:space="preserve">樂宜修</t>
  </si>
  <si>
    <t xml:space="preserve">臺北市私立密西根文理短期補習班</t>
  </si>
  <si>
    <r>
      <rPr>
        <sz val="10"/>
        <color rgb="FF1F2A28"/>
        <rFont val="WenQuanYi Zen Hei"/>
        <family val="2"/>
      </rPr>
      <t xml:space="preserve">大安區信義路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222</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</si>
  <si>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23581131</t>
  </si>
  <si>
    <t xml:space="preserve">xinyixinsheng.eagle@gmail.com</t>
  </si>
  <si>
    <t xml:space="preserve">2010-08-09</t>
  </si>
  <si>
    <t xml:space="preserve">林尤敏</t>
  </si>
  <si>
    <t xml:space="preserve">林思瑩</t>
  </si>
  <si>
    <t xml:space="preserve">臺北市私立尚揚文理短期補習班</t>
  </si>
  <si>
    <r>
      <rPr>
        <sz val="10"/>
        <color rgb="FF1F2A28"/>
        <rFont val="WenQuanYi Zen Hei"/>
        <family val="2"/>
      </rPr>
      <t xml:space="preserve">大安區信義路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208</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6</t>
    </r>
    <r>
      <rPr>
        <sz val="10"/>
        <color rgb="FF1F2A28"/>
        <rFont val="WenQuanYi Zen Hei"/>
        <family val="2"/>
      </rPr>
      <t xml:space="preserve">樓之</t>
    </r>
    <r>
      <rPr>
        <sz val="10"/>
        <color rgb="FF1F2A28"/>
        <rFont val="Arial"/>
        <family val="0"/>
        <charset val="1"/>
      </rPr>
      <t xml:space="preserve">3</t>
    </r>
  </si>
  <si>
    <t xml:space="preserve">23515790</t>
  </si>
  <si>
    <t xml:space="preserve">shangyang1104@gmail.com</t>
  </si>
  <si>
    <t xml:space="preserve">1984-07-04</t>
  </si>
  <si>
    <t xml:space="preserve">楊少明</t>
  </si>
  <si>
    <t xml:space="preserve">楊麗鳳</t>
  </si>
  <si>
    <t xml:space="preserve">臺北市私立山姆叔叔美語短期補習班</t>
  </si>
  <si>
    <r>
      <rPr>
        <sz val="10"/>
        <color rgb="FF1F2A28"/>
        <rFont val="WenQuanYi Zen Hei"/>
        <family val="2"/>
      </rPr>
      <t xml:space="preserve">大安區大安路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132</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</si>
  <si>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27036832</t>
  </si>
  <si>
    <t xml:space="preserve">jenny1122520@yahoo.com.tw</t>
  </si>
  <si>
    <t xml:space="preserve">林靜怡</t>
  </si>
  <si>
    <t xml:space="preserve">臺北市私立弘人文理短期補習班</t>
  </si>
  <si>
    <r>
      <rPr>
        <sz val="10"/>
        <color rgb="FF1F2A28"/>
        <rFont val="WenQuanYi Zen Hei"/>
        <family val="2"/>
      </rPr>
      <t xml:space="preserve">大安區四維路</t>
    </r>
    <r>
      <rPr>
        <sz val="10"/>
        <color rgb="FF1F2A28"/>
        <rFont val="Arial"/>
        <family val="0"/>
        <charset val="1"/>
      </rPr>
      <t xml:space="preserve">170</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</si>
  <si>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27047899</t>
  </si>
  <si>
    <t xml:space="preserve">ellachen5678@gmail.com</t>
  </si>
  <si>
    <t xml:space="preserve">2008-12-01</t>
  </si>
  <si>
    <t xml:space="preserve">涂毓菲</t>
  </si>
  <si>
    <t xml:space="preserve">臺北市私立張老師英語短期補習班</t>
  </si>
  <si>
    <r>
      <rPr>
        <sz val="10"/>
        <color rgb="FF1F2A28"/>
        <rFont val="WenQuanYi Zen Hei"/>
        <family val="2"/>
      </rPr>
      <t xml:space="preserve">大安區復興南路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173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</si>
  <si>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27066401</t>
  </si>
  <si>
    <t xml:space="preserve">2008-04-01</t>
  </si>
  <si>
    <t xml:space="preserve">張華玲</t>
  </si>
  <si>
    <t xml:space="preserve">臺北市私立御學文理短期補習班</t>
  </si>
  <si>
    <r>
      <rPr>
        <sz val="10"/>
        <color rgb="FF1F2A28"/>
        <rFont val="WenQuanYi Zen Hei"/>
        <family val="2"/>
      </rPr>
      <t xml:space="preserve">大安區和平東路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70</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</si>
  <si>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27372637</t>
  </si>
  <si>
    <t xml:space="preserve">bb27695877@hotmail.com</t>
  </si>
  <si>
    <t xml:space="preserve">2010-01-12</t>
  </si>
  <si>
    <t xml:space="preserve">林祺曜</t>
  </si>
  <si>
    <t xml:space="preserve">賴怡方</t>
  </si>
  <si>
    <t xml:space="preserve">臺北市私立快樂瑪麗安美語短期補習班</t>
  </si>
  <si>
    <r>
      <rPr>
        <sz val="10"/>
        <color rgb="FF1F2A28"/>
        <rFont val="WenQuanYi Zen Hei"/>
        <family val="2"/>
      </rPr>
      <t xml:space="preserve">大安區和平東路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265</t>
    </r>
    <r>
      <rPr>
        <sz val="10"/>
        <color rgb="FF1F2A28"/>
        <rFont val="WenQuanYi Zen Hei"/>
        <family val="2"/>
      </rPr>
      <t xml:space="preserve">巷</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</si>
  <si>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27541975</t>
  </si>
  <si>
    <t xml:space="preserve">ta_an@happymarian.com.tw</t>
  </si>
  <si>
    <t xml:space="preserve">藍天鳳</t>
  </si>
  <si>
    <t xml:space="preserve">周敏文</t>
  </si>
  <si>
    <t xml:space="preserve">臺北市私立思躍軟實力文理短期補習班敦化分班</t>
  </si>
  <si>
    <r>
      <rPr>
        <sz val="10"/>
        <color rgb="FF1F2A28"/>
        <rFont val="WenQuanYi Zen Hei"/>
        <family val="2"/>
      </rPr>
      <t xml:space="preserve">大安區敦化南路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205</t>
    </r>
    <r>
      <rPr>
        <sz val="10"/>
        <color rgb="FF1F2A28"/>
        <rFont val="WenQuanYi Zen Hei"/>
        <family val="2"/>
      </rPr>
      <t xml:space="preserve">號</t>
    </r>
    <r>
      <rPr>
        <sz val="10"/>
        <color rgb="FF1F2A28"/>
        <rFont val="Arial"/>
        <family val="0"/>
        <charset val="1"/>
      </rPr>
      <t xml:space="preserve">10</t>
    </r>
    <r>
      <rPr>
        <sz val="10"/>
        <color rgb="FF1F2A28"/>
        <rFont val="WenQuanYi Zen Hei"/>
        <family val="2"/>
      </rPr>
      <t xml:space="preserve">樓</t>
    </r>
  </si>
  <si>
    <r>
      <rPr>
        <sz val="10"/>
        <color rgb="FF1F2A28"/>
        <rFont val="Arial"/>
        <family val="0"/>
        <charset val="1"/>
      </rPr>
      <t xml:space="preserve">(02)27210339</t>
    </r>
    <r>
      <rPr>
        <sz val="10"/>
        <color rgb="FF1F2A28"/>
        <rFont val="WenQuanYi Zen Hei"/>
        <family val="2"/>
      </rPr>
      <t xml:space="preserve">、</t>
    </r>
    <r>
      <rPr>
        <sz val="10"/>
        <color rgb="FF1F2A28"/>
        <rFont val="Arial"/>
        <family val="0"/>
        <charset val="1"/>
      </rPr>
      <t xml:space="preserve">0963381708</t>
    </r>
  </si>
  <si>
    <r>
      <rPr>
        <sz val="10"/>
        <color rgb="FF1F2A28"/>
        <rFont val="WenQuanYi Zen Hei"/>
        <family val="2"/>
      </rPr>
      <t xml:space="preserve">羅泰</t>
    </r>
    <r>
      <rPr>
        <sz val="10"/>
        <color rgb="FF1F2A28"/>
        <rFont val="Arial"/>
        <family val="0"/>
        <charset val="1"/>
      </rPr>
      <t xml:space="preserve">(PROCHAZKA TYLER DOUGLAS</t>
    </r>
    <r>
      <rPr>
        <sz val="10"/>
        <color rgb="FF1F2A28"/>
        <rFont val="WenQuanYi Zen Hei"/>
        <family val="2"/>
      </rPr>
      <t xml:space="preserve">）</t>
    </r>
  </si>
  <si>
    <t xml:space="preserve">李維</t>
  </si>
  <si>
    <t xml:space="preserve">臺北市私立怡童園文理技藝短期補習班</t>
  </si>
  <si>
    <r>
      <rPr>
        <sz val="10"/>
        <color rgb="FF1F2A28"/>
        <rFont val="WenQuanYi Zen Hei"/>
        <family val="2"/>
      </rPr>
      <t xml:space="preserve">大安區信義路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96</t>
    </r>
    <r>
      <rPr>
        <sz val="10"/>
        <color rgb="FF1F2A28"/>
        <rFont val="WenQuanYi Zen Hei"/>
        <family val="2"/>
      </rPr>
      <t xml:space="preserve">、</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</si>
  <si>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27046090</t>
  </si>
  <si>
    <t xml:space="preserve">janus@happykids.taipei</t>
  </si>
  <si>
    <t xml:space="preserve">1996-01-01</t>
  </si>
  <si>
    <t xml:space="preserve">陳崇儀</t>
  </si>
  <si>
    <t xml:space="preserve">張蓉真</t>
  </si>
  <si>
    <t xml:space="preserve">臺北市私立怡童園語文短期補習班信義分班</t>
  </si>
  <si>
    <r>
      <rPr>
        <sz val="10"/>
        <color rgb="FF1F2A28"/>
        <rFont val="WenQuanYi Zen Hei"/>
        <family val="2"/>
      </rPr>
      <t xml:space="preserve">大安區信義路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</si>
  <si>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2014-09-22</t>
  </si>
  <si>
    <t xml:space="preserve">臺北市私立悠瀞文理技藝短期補習班</t>
  </si>
  <si>
    <r>
      <rPr>
        <sz val="10"/>
        <color rgb="FF1F2A28"/>
        <rFont val="WenQuanYi Zen Hei"/>
        <family val="2"/>
      </rPr>
      <t xml:space="preserve">大安區光復南路</t>
    </r>
    <r>
      <rPr>
        <sz val="10"/>
        <color rgb="FF1F2A28"/>
        <rFont val="Arial"/>
        <family val="0"/>
        <charset val="1"/>
      </rPr>
      <t xml:space="preserve">390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</si>
  <si>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27313105</t>
  </si>
  <si>
    <t xml:space="preserve">quanguoxinsuan@gmail.com</t>
  </si>
  <si>
    <t xml:space="preserve">2012-07-20</t>
  </si>
  <si>
    <t xml:space="preserve">張學海</t>
  </si>
  <si>
    <t xml:space="preserve">臺北市私立愛心樹語文短期補習班</t>
  </si>
  <si>
    <r>
      <rPr>
        <sz val="10"/>
        <color rgb="FF1F2A28"/>
        <rFont val="WenQuanYi Zen Hei"/>
        <family val="2"/>
      </rPr>
      <t xml:space="preserve">大安區和平東路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297</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</si>
  <si>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27005503</t>
  </si>
  <si>
    <t xml:space="preserve">linyawei@gmail.com</t>
  </si>
  <si>
    <t xml:space="preserve">林雅微</t>
  </si>
  <si>
    <t xml:space="preserve">臺北市私立愛樂技藝文理短期補習班</t>
  </si>
  <si>
    <r>
      <rPr>
        <sz val="10"/>
        <color rgb="FF1F2A28"/>
        <rFont val="WenQuanYi Zen Hei"/>
        <family val="2"/>
      </rPr>
      <t xml:space="preserve">大安區大安路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65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</si>
  <si>
    <t xml:space="preserve">27312985</t>
  </si>
  <si>
    <t xml:space="preserve">spring16865@gmail.com</t>
  </si>
  <si>
    <t xml:space="preserve">倪洪泉</t>
  </si>
  <si>
    <t xml:space="preserve">臺北市私立成功精英文理短期補習班</t>
  </si>
  <si>
    <r>
      <rPr>
        <sz val="10"/>
        <color rgb="FF1F2A28"/>
        <rFont val="WenQuanYi Zen Hei"/>
        <family val="2"/>
      </rPr>
      <t xml:space="preserve">大安區四維路</t>
    </r>
    <r>
      <rPr>
        <sz val="10"/>
        <color rgb="FF1F2A28"/>
        <rFont val="Arial"/>
        <family val="0"/>
        <charset val="1"/>
      </rPr>
      <t xml:space="preserve">192</t>
    </r>
    <r>
      <rPr>
        <sz val="10"/>
        <color rgb="FF1F2A28"/>
        <rFont val="WenQuanYi Zen Hei"/>
        <family val="2"/>
      </rPr>
      <t xml:space="preserve">巷</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</si>
  <si>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0906795753,27037753</t>
  </si>
  <si>
    <t xml:space="preserve">emma.whung@gmail.com</t>
  </si>
  <si>
    <t xml:space="preserve">2007-08-01</t>
  </si>
  <si>
    <t xml:space="preserve">洪偉翰</t>
  </si>
  <si>
    <t xml:space="preserve">臺北市私立文藻語文短期補習班</t>
  </si>
  <si>
    <r>
      <rPr>
        <sz val="10"/>
        <color rgb="FF1F2A28"/>
        <rFont val="WenQuanYi Zen Hei"/>
        <family val="2"/>
      </rPr>
      <t xml:space="preserve">大安區羅斯福路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193</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</si>
  <si>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23635919</t>
  </si>
  <si>
    <t xml:space="preserve">1987-11-14</t>
  </si>
  <si>
    <t xml:space="preserve">蔣梅玲</t>
  </si>
  <si>
    <t xml:space="preserve">臺北市私立旭格語文文理短期補習班</t>
  </si>
  <si>
    <r>
      <rPr>
        <sz val="10"/>
        <color rgb="FF1F2A28"/>
        <rFont val="WenQuanYi Zen Hei"/>
        <family val="2"/>
      </rPr>
      <t xml:space="preserve">大安區安和路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127</t>
    </r>
    <r>
      <rPr>
        <sz val="10"/>
        <color rgb="FF1F2A28"/>
        <rFont val="WenQuanYi Zen Hei"/>
        <family val="2"/>
      </rPr>
      <t xml:space="preserve">巷</t>
    </r>
    <r>
      <rPr>
        <sz val="10"/>
        <color rgb="FF1F2A28"/>
        <rFont val="Arial"/>
        <family val="0"/>
        <charset val="1"/>
      </rPr>
      <t xml:space="preserve">27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</si>
  <si>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02-27015868</t>
  </si>
  <si>
    <t xml:space="preserve">2017-03-23</t>
  </si>
  <si>
    <t xml:space="preserve">張博翔</t>
  </si>
  <si>
    <t xml:space="preserve">方詩涵</t>
  </si>
  <si>
    <t xml:space="preserve">臺北市私立明慧文理短期補習班</t>
  </si>
  <si>
    <r>
      <rPr>
        <sz val="10"/>
        <color rgb="FF1F2A28"/>
        <rFont val="WenQuanYi Zen Hei"/>
        <family val="2"/>
      </rPr>
      <t xml:space="preserve">大安區和平東路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228</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</si>
  <si>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27321277</t>
  </si>
  <si>
    <t xml:space="preserve">1992-03-01</t>
  </si>
  <si>
    <t xml:space="preserve">郭博文</t>
  </si>
  <si>
    <t xml:space="preserve">臺北市私立時代國際語文短期補習班忠孝分班</t>
  </si>
  <si>
    <r>
      <rPr>
        <sz val="10"/>
        <color rgb="FF1F2A28"/>
        <rFont val="WenQuanYi Zen Hei"/>
        <family val="2"/>
      </rPr>
      <t xml:space="preserve">大安區忠孝東路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166</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</si>
  <si>
    <t xml:space="preserve">27752700</t>
  </si>
  <si>
    <t xml:space="preserve">emily@language-world.com.tw</t>
  </si>
  <si>
    <t xml:space="preserve">鄭吉誠</t>
  </si>
  <si>
    <t xml:space="preserve">臺北市私立景登語文短期補習班</t>
  </si>
  <si>
    <r>
      <rPr>
        <sz val="10"/>
        <color rgb="FF1F2A28"/>
        <rFont val="WenQuanYi Zen Hei"/>
        <family val="2"/>
      </rPr>
      <t xml:space="preserve">大安區和平東路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</si>
  <si>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23695022</t>
  </si>
  <si>
    <t xml:space="preserve">2000-10-01</t>
  </si>
  <si>
    <t xml:space="preserve">謝幸真</t>
  </si>
  <si>
    <t xml:space="preserve">臺北市私立曼哈頓語文短期補習班</t>
  </si>
  <si>
    <r>
      <rPr>
        <sz val="10"/>
        <color rgb="FF1F2A28"/>
        <rFont val="WenQuanYi Zen Hei"/>
        <family val="2"/>
      </rPr>
      <t xml:space="preserve">大安區忠孝東路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155</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3</t>
    </r>
  </si>
  <si>
    <t xml:space="preserve">27116369</t>
  </si>
  <si>
    <t xml:space="preserve">manhattan155@gmail.com</t>
  </si>
  <si>
    <t xml:space="preserve">簡文崇</t>
  </si>
  <si>
    <t xml:space="preserve">臺北市私立東翰英語美術短期補習班</t>
  </si>
  <si>
    <r>
      <rPr>
        <sz val="10"/>
        <color rgb="FF1F2A28"/>
        <rFont val="WenQuanYi Zen Hei"/>
        <family val="2"/>
      </rPr>
      <t xml:space="preserve">大安區和平東路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151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</si>
  <si>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27074488</t>
  </si>
  <si>
    <t xml:space="preserve">ailingenglish@yahoo.com.tw</t>
  </si>
  <si>
    <t xml:space="preserve">1991-01-02</t>
  </si>
  <si>
    <t xml:space="preserve">李愛玲</t>
  </si>
  <si>
    <t xml:space="preserve">梁美雪</t>
  </si>
  <si>
    <t xml:space="preserve">臺北市私立柏萊頓文理技藝短期補習班</t>
  </si>
  <si>
    <r>
      <rPr>
        <sz val="10"/>
        <color rgb="FF1F2A28"/>
        <rFont val="WenQuanYi Zen Hei"/>
        <family val="2"/>
      </rPr>
      <t xml:space="preserve">大安區安和路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90</t>
    </r>
    <r>
      <rPr>
        <sz val="10"/>
        <color rgb="FF1F2A28"/>
        <rFont val="WenQuanYi Zen Hei"/>
        <family val="2"/>
      </rPr>
      <t xml:space="preserve">巷</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</si>
  <si>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27016396</t>
  </si>
  <si>
    <t xml:space="preserve">linjuchang0921@yahoo.com.tw</t>
  </si>
  <si>
    <t xml:space="preserve">張伶如</t>
  </si>
  <si>
    <t xml:space="preserve">臺北市私立格登美語短期補習班</t>
  </si>
  <si>
    <r>
      <rPr>
        <sz val="10"/>
        <color rgb="FF1F2A28"/>
        <rFont val="WenQuanYi Zen Hei"/>
        <family val="2"/>
      </rPr>
      <t xml:space="preserve">大安區仁愛路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26</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號地下室</t>
    </r>
  </si>
  <si>
    <t xml:space="preserve">27548168</t>
  </si>
  <si>
    <t xml:space="preserve">goldenrenai@gmail.com</t>
  </si>
  <si>
    <t xml:space="preserve">潘仁成</t>
  </si>
  <si>
    <t xml:space="preserve">江蘭芬</t>
  </si>
  <si>
    <t xml:space="preserve">臺北市私立檑克屋美語文理短期補習班</t>
  </si>
  <si>
    <r>
      <rPr>
        <sz val="10"/>
        <color rgb="FF1F2A28"/>
        <rFont val="WenQuanYi Zen Hei"/>
        <family val="2"/>
      </rPr>
      <t xml:space="preserve">大安區樂利路</t>
    </r>
    <r>
      <rPr>
        <sz val="10"/>
        <color rgb="FF1F2A28"/>
        <rFont val="Arial"/>
        <family val="0"/>
        <charset val="1"/>
      </rPr>
      <t xml:space="preserve">5</t>
    </r>
    <r>
      <rPr>
        <sz val="10"/>
        <color rgb="FF1F2A28"/>
        <rFont val="WenQuanYi Zen Hei"/>
        <family val="2"/>
      </rPr>
      <t xml:space="preserve">巷</t>
    </r>
    <r>
      <rPr>
        <sz val="10"/>
        <color rgb="FF1F2A28"/>
        <rFont val="Arial"/>
        <family val="0"/>
        <charset val="1"/>
      </rPr>
      <t xml:space="preserve">14</t>
    </r>
    <r>
      <rPr>
        <sz val="10"/>
        <color rgb="FF1F2A28"/>
        <rFont val="WenQuanYi Zen Hei"/>
        <family val="2"/>
      </rPr>
      <t xml:space="preserve">弄</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</si>
  <si>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2014-11-11</t>
  </si>
  <si>
    <t xml:space="preserve">莊孟鈞</t>
  </si>
  <si>
    <t xml:space="preserve">吳俊儀</t>
  </si>
  <si>
    <t xml:space="preserve">臺北市私立汎美語文短期補習班</t>
  </si>
  <si>
    <r>
      <rPr>
        <sz val="10"/>
        <color rgb="FF1F2A28"/>
        <rFont val="WenQuanYi Zen Hei"/>
        <family val="2"/>
      </rPr>
      <t xml:space="preserve">大安區羅斯福路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253</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</si>
  <si>
    <t xml:space="preserve">23630649</t>
  </si>
  <si>
    <t xml:space="preserve">lilianfsy@gmail.com</t>
  </si>
  <si>
    <t xml:space="preserve">1986-08-20</t>
  </si>
  <si>
    <t xml:space="preserve">翁媚香</t>
  </si>
  <si>
    <t xml:space="preserve">臺北市私立活水文理短期補習班</t>
  </si>
  <si>
    <r>
      <rPr>
        <sz val="10"/>
        <color rgb="FF1F2A28"/>
        <rFont val="WenQuanYi Zen Hei"/>
        <family val="2"/>
      </rPr>
      <t xml:space="preserve">大安區和平東路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182</t>
    </r>
    <r>
      <rPr>
        <sz val="10"/>
        <color rgb="FF1F2A28"/>
        <rFont val="WenQuanYi Zen Hei"/>
        <family val="2"/>
      </rPr>
      <t xml:space="preserve">號</t>
    </r>
    <r>
      <rPr>
        <sz val="10"/>
        <color rgb="FF1F2A28"/>
        <rFont val="Arial"/>
        <family val="0"/>
        <charset val="1"/>
      </rPr>
      <t xml:space="preserve">10</t>
    </r>
    <r>
      <rPr>
        <sz val="10"/>
        <color rgb="FF1F2A28"/>
        <rFont val="WenQuanYi Zen Hei"/>
        <family val="2"/>
      </rPr>
      <t xml:space="preserve">樓</t>
    </r>
  </si>
  <si>
    <t xml:space="preserve">0911321942</t>
  </si>
  <si>
    <t xml:space="preserve">linlintsu5@gmail.com</t>
  </si>
  <si>
    <t xml:space="preserve">林凌芝</t>
  </si>
  <si>
    <t xml:space="preserve">臺北市私立漢華語文文理短期補習班</t>
  </si>
  <si>
    <r>
      <rPr>
        <sz val="10"/>
        <color rgb="FF1F2A28"/>
        <rFont val="WenQuanYi Zen Hei"/>
        <family val="2"/>
      </rPr>
      <t xml:space="preserve">大安區和平東路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115</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層之</t>
    </r>
    <r>
      <rPr>
        <sz val="10"/>
        <color rgb="FF1F2A28"/>
        <rFont val="Arial"/>
        <family val="0"/>
        <charset val="1"/>
      </rPr>
      <t xml:space="preserve">2</t>
    </r>
  </si>
  <si>
    <t xml:space="preserve">23519368</t>
  </si>
  <si>
    <t xml:space="preserve">ihi.tcsol@gmail.com</t>
  </si>
  <si>
    <t xml:space="preserve">2008-03-25</t>
  </si>
  <si>
    <t xml:space="preserve">褚家辰</t>
  </si>
  <si>
    <t xml:space="preserve">臺北市私立灝學文理短期補習班</t>
  </si>
  <si>
    <r>
      <rPr>
        <sz val="10"/>
        <color rgb="FF1F2A28"/>
        <rFont val="WenQuanYi Zen Hei"/>
        <family val="2"/>
      </rPr>
      <t xml:space="preserve">大安區和平東路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96</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</si>
  <si>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27338380</t>
  </si>
  <si>
    <t xml:space="preserve">ee8086@hotmail.com</t>
  </si>
  <si>
    <t xml:space="preserve">2009-03-26</t>
  </si>
  <si>
    <t xml:space="preserve">方嘉瑩</t>
  </si>
  <si>
    <t xml:space="preserve">王建智</t>
  </si>
  <si>
    <t xml:space="preserve">臺北市私立炫揚文理短期補習班</t>
  </si>
  <si>
    <r>
      <rPr>
        <sz val="10"/>
        <color rgb="FF1F2A28"/>
        <rFont val="WenQuanYi Zen Hei"/>
        <family val="2"/>
      </rPr>
      <t xml:space="preserve">大安區羅斯福路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171</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</si>
  <si>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02-23657056</t>
  </si>
  <si>
    <t xml:space="preserve">kuosung5566@gmail.com</t>
  </si>
  <si>
    <t xml:space="preserve">郭立揚</t>
  </si>
  <si>
    <t xml:space="preserve">宋炫奇</t>
  </si>
  <si>
    <t xml:space="preserve">臺北市私立睿升文理短期補習班</t>
  </si>
  <si>
    <r>
      <rPr>
        <sz val="10"/>
        <color rgb="FF1F2A28"/>
        <rFont val="WenQuanYi Zen Hei"/>
        <family val="2"/>
      </rPr>
      <t xml:space="preserve">大安區信義路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74</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</si>
  <si>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(02)23925500</t>
  </si>
  <si>
    <t xml:space="preserve">risenmath100@gmail.com</t>
  </si>
  <si>
    <t xml:space="preserve">2026-06-15</t>
  </si>
  <si>
    <t xml:space="preserve">謝紘銘</t>
  </si>
  <si>
    <t xml:space="preserve">潘允中</t>
  </si>
  <si>
    <t xml:space="preserve">臺北市私立睿升文理短期補習班信義分班</t>
  </si>
  <si>
    <r>
      <rPr>
        <sz val="10"/>
        <color rgb="FF1F2A28"/>
        <rFont val="WenQuanYi Zen Hei"/>
        <family val="2"/>
      </rPr>
      <t xml:space="preserve">大安區信義路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74</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</si>
  <si>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2026-06-12</t>
  </si>
  <si>
    <t xml:space="preserve">盧珈羽</t>
  </si>
  <si>
    <t xml:space="preserve">臺北市私立科健語文文理短期補習班</t>
  </si>
  <si>
    <r>
      <rPr>
        <sz val="10"/>
        <color rgb="FF1F2A28"/>
        <rFont val="WenQuanYi Zen Hei"/>
        <family val="2"/>
      </rPr>
      <t xml:space="preserve">大安區復興南路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360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3</t>
    </r>
  </si>
  <si>
    <t xml:space="preserve">23250168</t>
  </si>
  <si>
    <t xml:space="preserve">manager8a@kojen-els.com.tw</t>
  </si>
  <si>
    <t xml:space="preserve">1997-02-01</t>
  </si>
  <si>
    <t xml:space="preserve">侯光玲</t>
  </si>
  <si>
    <t xml:space="preserve">鄭雯心</t>
  </si>
  <si>
    <t xml:space="preserve">臺北市私立科箭語文文理短期補習班</t>
  </si>
  <si>
    <r>
      <rPr>
        <sz val="10"/>
        <color rgb="FF1F2A28"/>
        <rFont val="WenQuanYi Zen Hei"/>
        <family val="2"/>
      </rPr>
      <t xml:space="preserve">大安區羅斯福路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333</t>
    </r>
    <r>
      <rPr>
        <sz val="10"/>
        <color rgb="FF1F2A28"/>
        <rFont val="WenQuanYi Zen Hei"/>
        <family val="2"/>
      </rPr>
      <t xml:space="preserve">巷</t>
    </r>
    <r>
      <rPr>
        <sz val="10"/>
        <color rgb="FF1F2A28"/>
        <rFont val="Arial"/>
        <family val="0"/>
        <charset val="1"/>
      </rPr>
      <t xml:space="preserve">9</t>
    </r>
    <r>
      <rPr>
        <sz val="10"/>
        <color rgb="FF1F2A28"/>
        <rFont val="WenQuanYi Zen Hei"/>
        <family val="2"/>
      </rPr>
      <t xml:space="preserve">、</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</si>
  <si>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23623881</t>
  </si>
  <si>
    <t xml:space="preserve">manager5a@kojen-els.com.tw</t>
  </si>
  <si>
    <t xml:space="preserve">1990-12-24</t>
  </si>
  <si>
    <t xml:space="preserve">沈妙香</t>
  </si>
  <si>
    <t xml:space="preserve">臺北市私立米家文理短期補習班</t>
  </si>
  <si>
    <r>
      <rPr>
        <sz val="10"/>
        <color rgb="FF1F2A28"/>
        <rFont val="WenQuanYi Zen Hei"/>
        <family val="2"/>
      </rPr>
      <t xml:space="preserve">大安區大安路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80</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</si>
  <si>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(02)27529777</t>
  </si>
  <si>
    <t xml:space="preserve">mlkids.maker@gmail.com</t>
  </si>
  <si>
    <t xml:space="preserve">謝宜樺</t>
  </si>
  <si>
    <t xml:space="preserve">臺北市私立系統語文文理短期補習班</t>
  </si>
  <si>
    <r>
      <rPr>
        <sz val="10"/>
        <color rgb="FF1F2A28"/>
        <rFont val="WenQuanYi Zen Hei"/>
        <family val="2"/>
      </rPr>
      <t xml:space="preserve">大安區仁愛路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300</t>
    </r>
    <r>
      <rPr>
        <sz val="10"/>
        <color rgb="FF1F2A28"/>
        <rFont val="WenQuanYi Zen Hei"/>
        <family val="2"/>
      </rPr>
      <t xml:space="preserve">巷</t>
    </r>
    <r>
      <rPr>
        <sz val="10"/>
        <color rgb="FF1F2A28"/>
        <rFont val="Arial"/>
        <family val="0"/>
        <charset val="1"/>
      </rPr>
      <t xml:space="preserve">20</t>
    </r>
    <r>
      <rPr>
        <sz val="10"/>
        <color rgb="FF1F2A28"/>
        <rFont val="WenQuanYi Zen Hei"/>
        <family val="2"/>
      </rPr>
      <t xml:space="preserve">弄</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</si>
  <si>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27012305</t>
  </si>
  <si>
    <t xml:space="preserve">thesystemenglishschoolrenai@gmail.com</t>
  </si>
  <si>
    <t xml:space="preserve">2006-07-01</t>
  </si>
  <si>
    <t xml:space="preserve">張台琳</t>
  </si>
  <si>
    <t xml:space="preserve">張新琦</t>
  </si>
  <si>
    <t xml:space="preserve">臺北市私立美好國際語文短期補習班</t>
  </si>
  <si>
    <r>
      <rPr>
        <sz val="10"/>
        <color rgb="FF1F2A28"/>
        <rFont val="WenQuanYi Zen Hei"/>
        <family val="2"/>
      </rPr>
      <t xml:space="preserve">大安區復興南路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227</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</si>
  <si>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臺北市私立艾崴語文短期補習班</t>
  </si>
  <si>
    <r>
      <rPr>
        <sz val="10"/>
        <color rgb="FF1F2A28"/>
        <rFont val="WenQuanYi Zen Hei"/>
        <family val="2"/>
      </rPr>
      <t xml:space="preserve">大安區和平東路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297</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</si>
  <si>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27066958</t>
  </si>
  <si>
    <t xml:space="preserve">littlegreenenglish@gmail.com</t>
  </si>
  <si>
    <t xml:space="preserve">林怡君</t>
  </si>
  <si>
    <t xml:space="preserve">臺北市私立苙均文理美術短期補習班</t>
  </si>
  <si>
    <r>
      <rPr>
        <sz val="10"/>
        <color rgb="FF1F2A28"/>
        <rFont val="WenQuanYi Zen Hei"/>
        <family val="2"/>
      </rPr>
      <t xml:space="preserve">大安區復興南路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125</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</si>
  <si>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27546617</t>
  </si>
  <si>
    <t xml:space="preserve">tps88999@gmail.com</t>
  </si>
  <si>
    <t xml:space="preserve">蘇名珠</t>
  </si>
  <si>
    <t xml:space="preserve">臺北市私立英語大師語文短期補習班</t>
  </si>
  <si>
    <r>
      <rPr>
        <sz val="10"/>
        <color rgb="FF1F2A28"/>
        <rFont val="WenQuanYi Zen Hei"/>
        <family val="2"/>
      </rPr>
      <t xml:space="preserve">大安區和平東路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9</t>
    </r>
    <r>
      <rPr>
        <sz val="10"/>
        <color rgb="FF1F2A28"/>
        <rFont val="WenQuanYi Zen Hei"/>
        <family val="2"/>
      </rPr>
      <t xml:space="preserve">樓</t>
    </r>
  </si>
  <si>
    <t xml:space="preserve">23563731</t>
  </si>
  <si>
    <t xml:space="preserve">beattoefl@hotmail.com</t>
  </si>
  <si>
    <t xml:space="preserve">2010-07-27</t>
  </si>
  <si>
    <t xml:space="preserve">林文揚</t>
  </si>
  <si>
    <t xml:space="preserve">臺北市私立茱莉安摩爾美語音樂美術短期補習班</t>
  </si>
  <si>
    <r>
      <rPr>
        <sz val="10"/>
        <color rgb="FF1F2A28"/>
        <rFont val="WenQuanYi Zen Hei"/>
        <family val="2"/>
      </rPr>
      <t xml:space="preserve">大安區羅斯福路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283</t>
    </r>
    <r>
      <rPr>
        <sz val="10"/>
        <color rgb="FF1F2A28"/>
        <rFont val="WenQuanYi Zen Hei"/>
        <family val="2"/>
      </rPr>
      <t xml:space="preserve">巷</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</si>
  <si>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23645025</t>
  </si>
  <si>
    <t xml:space="preserve">more2364@gmail.com</t>
  </si>
  <si>
    <t xml:space="preserve">王文琪</t>
  </si>
  <si>
    <t xml:space="preserve">楊精傑</t>
  </si>
  <si>
    <t xml:space="preserve">臺北市私立莫大蔚語文短期補習班</t>
  </si>
  <si>
    <r>
      <rPr>
        <sz val="10"/>
        <color rgb="FF1F2A28"/>
        <rFont val="WenQuanYi Zen Hei"/>
        <family val="2"/>
      </rPr>
      <t xml:space="preserve">大安區和平東路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295</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</si>
  <si>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27846263</t>
  </si>
  <si>
    <t xml:space="preserve">jingtingnovak@yahoo.com.tw</t>
  </si>
  <si>
    <t xml:space="preserve">余靜婷</t>
  </si>
  <si>
    <t xml:space="preserve">臺北市私立莫大衛英語短期補習班</t>
  </si>
  <si>
    <r>
      <rPr>
        <sz val="10"/>
        <color rgb="FF1F2A28"/>
        <rFont val="WenQuanYi Zen Hei"/>
        <family val="2"/>
      </rPr>
      <t xml:space="preserve">大安區忠孝東路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155</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樓之</t>
    </r>
    <r>
      <rPr>
        <sz val="10"/>
        <color rgb="FF1F2A28"/>
        <rFont val="Arial"/>
        <family val="0"/>
        <charset val="1"/>
      </rPr>
      <t xml:space="preserve">1</t>
    </r>
  </si>
  <si>
    <t xml:space="preserve">27515477</t>
  </si>
  <si>
    <t xml:space="preserve">余莉亞</t>
  </si>
  <si>
    <t xml:space="preserve">臺北市私立蘋果巴士語文短期補習班</t>
  </si>
  <si>
    <r>
      <rPr>
        <sz val="10"/>
        <color rgb="FF1F2A28"/>
        <rFont val="WenQuanYi Zen Hei"/>
        <family val="2"/>
      </rPr>
      <t xml:space="preserve">大安區和平東路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216</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</si>
  <si>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23661357</t>
  </si>
  <si>
    <t xml:space="preserve">ybjuang@gmail.com</t>
  </si>
  <si>
    <t xml:space="preserve">王怜文</t>
  </si>
  <si>
    <t xml:space="preserve">臺北市私立解方美語文理短期補習班</t>
  </si>
  <si>
    <r>
      <rPr>
        <sz val="10"/>
        <color rgb="FF1F2A28"/>
        <rFont val="WenQuanYi Zen Hei"/>
        <family val="2"/>
      </rPr>
      <t xml:space="preserve">大安區和平東路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2</t>
    </r>
  </si>
  <si>
    <r>
      <rPr>
        <sz val="10"/>
        <color rgb="FF1F2A28"/>
        <rFont val="Arial"/>
        <family val="0"/>
        <charset val="1"/>
      </rPr>
      <t xml:space="preserve">0918781289 </t>
    </r>
    <r>
      <rPr>
        <sz val="10"/>
        <color rgb="FF1F2A28"/>
        <rFont val="WenQuanYi Zen Hei"/>
        <family val="2"/>
      </rPr>
      <t xml:space="preserve">、</t>
    </r>
    <r>
      <rPr>
        <sz val="10"/>
        <color rgb="FF1F2A28"/>
        <rFont val="Arial"/>
        <family val="0"/>
        <charset val="1"/>
      </rPr>
      <t xml:space="preserve">0909292502</t>
    </r>
  </si>
  <si>
    <t xml:space="preserve">jerimie.pelkey@gmail.com</t>
  </si>
  <si>
    <t xml:space="preserve">2025-10-21</t>
  </si>
  <si>
    <r>
      <rPr>
        <sz val="10"/>
        <color rgb="FF1F2A28"/>
        <rFont val="Arial"/>
        <family val="0"/>
        <charset val="1"/>
      </rPr>
      <t xml:space="preserve">PELKEY JERIMIE JAMES</t>
    </r>
    <r>
      <rPr>
        <sz val="10"/>
        <color rgb="FF1F2A28"/>
        <rFont val="WenQuanYi Zen Hei"/>
        <family val="2"/>
      </rPr>
      <t xml:space="preserve">（傑閔）</t>
    </r>
  </si>
  <si>
    <t xml:space="preserve">曾貽亦</t>
  </si>
  <si>
    <t xml:space="preserve">臺北市私立詠硯語文短期補習班</t>
  </si>
  <si>
    <r>
      <rPr>
        <sz val="10"/>
        <color rgb="FF1F2A28"/>
        <rFont val="WenQuanYi Zen Hei"/>
        <family val="2"/>
      </rPr>
      <t xml:space="preserve">大安區仁愛路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112</t>
    </r>
    <r>
      <rPr>
        <sz val="10"/>
        <color rgb="FF1F2A28"/>
        <rFont val="WenQuanYi Zen Hei"/>
        <family val="2"/>
      </rPr>
      <t xml:space="preserve">巷</t>
    </r>
    <r>
      <rPr>
        <sz val="10"/>
        <color rgb="FF1F2A28"/>
        <rFont val="Arial"/>
        <family val="0"/>
        <charset val="1"/>
      </rPr>
      <t xml:space="preserve">43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</si>
  <si>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27007737</t>
  </si>
  <si>
    <t xml:space="preserve">2001-08-01</t>
  </si>
  <si>
    <t xml:space="preserve">許馥均</t>
  </si>
  <si>
    <t xml:space="preserve">臺北市私立詠翔語文短期補習班</t>
  </si>
  <si>
    <r>
      <rPr>
        <sz val="10"/>
        <color rgb="FF1F2A28"/>
        <rFont val="WenQuanYi Zen Hei"/>
        <family val="2"/>
      </rPr>
      <t xml:space="preserve">大安區和平東路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3</t>
    </r>
  </si>
  <si>
    <t xml:space="preserve">劉家妤</t>
  </si>
  <si>
    <t xml:space="preserve">臺北市私立財富語文短期補習班</t>
  </si>
  <si>
    <r>
      <rPr>
        <sz val="10"/>
        <color rgb="FF1F2A28"/>
        <rFont val="WenQuanYi Zen Hei"/>
        <family val="2"/>
      </rPr>
      <t xml:space="preserve">大安區羅斯福路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277</t>
    </r>
    <r>
      <rPr>
        <sz val="10"/>
        <color rgb="FF1F2A28"/>
        <rFont val="WenQuanYi Zen Hei"/>
        <family val="2"/>
      </rPr>
      <t xml:space="preserve">之</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</si>
  <si>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23641015</t>
  </si>
  <si>
    <t xml:space="preserve">2004-06-14</t>
  </si>
  <si>
    <t xml:space="preserve">黃智成</t>
  </si>
  <si>
    <t xml:space="preserve">臺北市私立青山語文短期補習班</t>
  </si>
  <si>
    <r>
      <rPr>
        <sz val="10"/>
        <color rgb="FF1F2A28"/>
        <rFont val="WenQuanYi Zen Hei"/>
        <family val="2"/>
      </rPr>
      <t xml:space="preserve">大安區新生南路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</si>
  <si>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23661855</t>
  </si>
  <si>
    <t xml:space="preserve">chingshan20087373@gmail.com</t>
  </si>
  <si>
    <t xml:space="preserve">1991-09-01</t>
  </si>
  <si>
    <t xml:space="preserve">屠立華</t>
  </si>
  <si>
    <t xml:space="preserve">陳永忠</t>
  </si>
  <si>
    <t xml:space="preserve">臺北市私立頂極語文短期補習班</t>
  </si>
  <si>
    <r>
      <rPr>
        <sz val="10"/>
        <color rgb="FF1F2A28"/>
        <rFont val="WenQuanYi Zen Hei"/>
        <family val="2"/>
      </rPr>
      <t xml:space="preserve">大安區和平東路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216</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</si>
  <si>
    <t xml:space="preserve">23661026</t>
  </si>
  <si>
    <t xml:space="preserve">tien8bow@yahoo.com.tw</t>
  </si>
  <si>
    <t xml:space="preserve">2013-11-15</t>
  </si>
  <si>
    <t xml:space="preserve">劉本莊</t>
  </si>
  <si>
    <t xml:space="preserve">田方嫻</t>
  </si>
  <si>
    <t xml:space="preserve">臺北市私立黛安語文短期補習班</t>
  </si>
  <si>
    <r>
      <rPr>
        <sz val="10"/>
        <color rgb="FF1F2A28"/>
        <rFont val="WenQuanYi Zen Hei"/>
        <family val="2"/>
      </rPr>
      <t xml:space="preserve">大安區忠孝東路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155</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</si>
  <si>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27211510</t>
  </si>
  <si>
    <t xml:space="preserve">taipeiaei777@gmail.com</t>
  </si>
  <si>
    <t xml:space="preserve">2012-11-06</t>
  </si>
  <si>
    <t xml:space="preserve">林怡琪</t>
  </si>
  <si>
    <t xml:space="preserve">英塔克留遊學諮詢顧問有限公司附設臺北市私立愛學習語文文理短期補習班</t>
  </si>
  <si>
    <r>
      <rPr>
        <sz val="10"/>
        <color rgb="FF1F2A28"/>
        <rFont val="WenQuanYi Zen Hei"/>
        <family val="2"/>
      </rPr>
      <t xml:space="preserve">大安區忠孝東路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169</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</si>
  <si>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02-27783100</t>
  </si>
  <si>
    <t xml:space="preserve">Gini.hung@idp.com</t>
  </si>
  <si>
    <t xml:space="preserve">2015-07-03</t>
  </si>
  <si>
    <t xml:space="preserve">英塔克留遊學諮詢顧問有限公司</t>
  </si>
  <si>
    <t xml:space="preserve">洪郡憶</t>
  </si>
  <si>
    <t xml:space="preserve">茂榞科技股份有限公司附設臺北市私立以馬內利語文文理短期補習班</t>
  </si>
  <si>
    <r>
      <rPr>
        <sz val="10"/>
        <color rgb="FF1F2A28"/>
        <rFont val="WenQuanYi Zen Hei"/>
        <family val="2"/>
      </rPr>
      <t xml:space="preserve">大安區師大路</t>
    </r>
    <r>
      <rPr>
        <sz val="10"/>
        <color rgb="FF1F2A28"/>
        <rFont val="Arial"/>
        <family val="0"/>
        <charset val="1"/>
      </rPr>
      <t xml:space="preserve">64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</si>
  <si>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2369-7777</t>
  </si>
  <si>
    <t xml:space="preserve">tachang0812@yahoo.com.tw</t>
  </si>
  <si>
    <t xml:space="preserve">師凌培</t>
  </si>
  <si>
    <t xml:space="preserve">茂榞科技股份有限公司附設臺北市私立以馬內利語文短期補習班仁愛分班</t>
  </si>
  <si>
    <r>
      <rPr>
        <sz val="10"/>
        <color rgb="FF1F2A28"/>
        <rFont val="WenQuanYi Zen Hei"/>
        <family val="2"/>
      </rPr>
      <t xml:space="preserve">大安區仁愛路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306</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樓</t>
    </r>
  </si>
  <si>
    <t xml:space="preserve">27544223</t>
  </si>
  <si>
    <t xml:space="preserve">immanuelrenaistaff1@gmail.com</t>
  </si>
  <si>
    <t xml:space="preserve">徐采暘</t>
  </si>
  <si>
    <t xml:space="preserve">菁英雲教育科技股份有限公司附設臺北市私立菁英國際語文短期補習班公館分班</t>
  </si>
  <si>
    <r>
      <rPr>
        <sz val="10"/>
        <color rgb="FF1F2A28"/>
        <rFont val="WenQuanYi Zen Hei"/>
        <family val="2"/>
      </rPr>
      <t xml:space="preserve">大安區羅斯福路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335</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、之</t>
    </r>
    <r>
      <rPr>
        <sz val="10"/>
        <color rgb="FF1F2A28"/>
        <rFont val="Arial"/>
        <family val="0"/>
        <charset val="1"/>
      </rPr>
      <t xml:space="preserve">2</t>
    </r>
  </si>
  <si>
    <t xml:space="preserve">(02)2368-7755</t>
  </si>
  <si>
    <t xml:space="preserve">accountant@language-center.com.tw</t>
  </si>
  <si>
    <t xml:space="preserve">2010-08-23</t>
  </si>
  <si>
    <r>
      <rPr>
        <sz val="10"/>
        <color rgb="FF1F2A28"/>
        <rFont val="WenQuanYi Zen Hei"/>
        <family val="2"/>
      </rPr>
      <t xml:space="preserve">菁英雲教育科技股份有限公司</t>
    </r>
    <r>
      <rPr>
        <sz val="10"/>
        <color rgb="FF1F2A28"/>
        <rFont val="Arial"/>
        <family val="0"/>
        <charset val="1"/>
      </rPr>
      <t xml:space="preserve">(</t>
    </r>
    <r>
      <rPr>
        <sz val="10"/>
        <color rgb="FF1F2A28"/>
        <rFont val="WenQuanYi Zen Hei"/>
        <family val="2"/>
      </rPr>
      <t xml:space="preserve">蔣興強</t>
    </r>
    <r>
      <rPr>
        <sz val="10"/>
        <color rgb="FF1F2A28"/>
        <rFont val="Arial"/>
        <family val="0"/>
        <charset val="1"/>
      </rPr>
      <t xml:space="preserve">)</t>
    </r>
  </si>
  <si>
    <t xml:space="preserve">葉培鈞</t>
  </si>
  <si>
    <t xml:space="preserve">財團法人台北市華視文化教育基金會附設技藝語文短期補習班</t>
  </si>
  <si>
    <r>
      <rPr>
        <sz val="10"/>
        <color rgb="FF1F2A28"/>
        <rFont val="WenQuanYi Zen Hei"/>
        <family val="2"/>
      </rPr>
      <t xml:space="preserve">大安區光復南路</t>
    </r>
    <r>
      <rPr>
        <sz val="10"/>
        <color rgb="FF1F2A28"/>
        <rFont val="Arial"/>
        <family val="0"/>
        <charset val="1"/>
      </rPr>
      <t xml:space="preserve">72</t>
    </r>
    <r>
      <rPr>
        <sz val="10"/>
        <color rgb="FF1F2A28"/>
        <rFont val="WenQuanYi Zen Hei"/>
        <family val="2"/>
      </rPr>
      <t xml:space="preserve">巷</t>
    </r>
    <r>
      <rPr>
        <sz val="10"/>
        <color rgb="FF1F2A28"/>
        <rFont val="Arial"/>
        <family val="0"/>
        <charset val="1"/>
      </rPr>
      <t xml:space="preserve">73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</si>
  <si>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27756960#23</t>
  </si>
  <si>
    <t xml:space="preserve">cef.cts@ccef.org.tw</t>
  </si>
  <si>
    <t xml:space="preserve">1984-11-22</t>
  </si>
  <si>
    <t xml:space="preserve">周蓉生</t>
  </si>
  <si>
    <t xml:space="preserve">王明我</t>
  </si>
  <si>
    <t xml:space="preserve">陽光森林文教股份有限公司附設臺北市私立安東語文短期補習班</t>
  </si>
  <si>
    <r>
      <rPr>
        <sz val="10"/>
        <color rgb="FF1F2A28"/>
        <rFont val="WenQuanYi Zen Hei"/>
        <family val="2"/>
      </rPr>
      <t xml:space="preserve">大安區和平東路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60</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60</t>
    </r>
    <r>
      <rPr>
        <sz val="10"/>
        <color rgb="FF1F2A28"/>
        <rFont val="WenQuanYi Zen Hei"/>
        <family val="2"/>
      </rPr>
      <t xml:space="preserve">之</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60</t>
    </r>
    <r>
      <rPr>
        <sz val="10"/>
        <color rgb="FF1F2A28"/>
        <rFont val="WenQuanYi Zen Hei"/>
        <family val="2"/>
      </rPr>
      <t xml:space="preserve">之</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層）</t>
    </r>
  </si>
  <si>
    <t xml:space="preserve">2735-1908</t>
  </si>
  <si>
    <t xml:space="preserve">2008-02-15</t>
  </si>
  <si>
    <t xml:space="preserve">陽光森林文教股份有限公司</t>
  </si>
  <si>
    <t xml:space="preserve">李繼蘭</t>
  </si>
  <si>
    <t xml:space="preserve">陽光森林文教股份有限公司附設臺北市私立平和文理短期補習班</t>
  </si>
  <si>
    <r>
      <rPr>
        <sz val="10"/>
        <color rgb="FF1F2A28"/>
        <rFont val="WenQuanYi Zen Hei"/>
        <family val="2"/>
      </rPr>
      <t xml:space="preserve">大安區和平東路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60</t>
    </r>
    <r>
      <rPr>
        <sz val="10"/>
        <color rgb="FF1F2A28"/>
        <rFont val="WenQuanYi Zen Hei"/>
        <family val="2"/>
      </rPr>
      <t xml:space="preserve">之</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60</t>
    </r>
    <r>
      <rPr>
        <sz val="10"/>
        <color rgb="FF1F2A28"/>
        <rFont val="WenQuanYi Zen Hei"/>
        <family val="2"/>
      </rPr>
      <t xml:space="preserve">之</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</si>
  <si>
    <t xml:space="preserve">張慈芳</t>
  </si>
  <si>
    <t xml:space="preserve">集歐管理顧問股份有限公司附設臺北市私立大世界語文短期補習班</t>
  </si>
  <si>
    <r>
      <rPr>
        <sz val="10"/>
        <color rgb="FF1F2A28"/>
        <rFont val="WenQuanYi Zen Hei"/>
        <family val="2"/>
      </rPr>
      <t xml:space="preserve">大安區忠孝東路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212</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226</t>
    </r>
    <r>
      <rPr>
        <sz val="10"/>
        <color rgb="FF1F2A28"/>
        <rFont val="WenQuanYi Zen Hei"/>
        <family val="2"/>
      </rPr>
      <t xml:space="preserve">號</t>
    </r>
    <r>
      <rPr>
        <sz val="10"/>
        <color rgb="FF1F2A28"/>
        <rFont val="Arial"/>
        <family val="0"/>
        <charset val="1"/>
      </rPr>
      <t xml:space="preserve">10</t>
    </r>
    <r>
      <rPr>
        <sz val="10"/>
        <color rgb="FF1F2A28"/>
        <rFont val="WenQuanYi Zen Hei"/>
        <family val="2"/>
      </rPr>
      <t xml:space="preserve">樓</t>
    </r>
  </si>
  <si>
    <t xml:space="preserve">27407700</t>
  </si>
  <si>
    <r>
      <rPr>
        <sz val="10"/>
        <color rgb="FF1F2A28"/>
        <rFont val="WenQuanYi Zen Hei"/>
        <family val="2"/>
      </rPr>
      <t xml:space="preserve">集歐管理顧問有限公司</t>
    </r>
    <r>
      <rPr>
        <sz val="10"/>
        <color rgb="FF1F2A28"/>
        <rFont val="Arial"/>
        <family val="0"/>
        <charset val="1"/>
      </rPr>
      <t xml:space="preserve">(</t>
    </r>
    <r>
      <rPr>
        <sz val="10"/>
        <color rgb="FF1F2A28"/>
        <rFont val="WenQuanYi Zen Hei"/>
        <family val="2"/>
      </rPr>
      <t xml:space="preserve">負責人：林宜芳</t>
    </r>
    <r>
      <rPr>
        <sz val="10"/>
        <color rgb="FF1F2A28"/>
        <rFont val="Arial"/>
        <family val="0"/>
        <charset val="1"/>
      </rPr>
      <t xml:space="preserve">)</t>
    </r>
  </si>
  <si>
    <t xml:space="preserve">潘麗華</t>
  </si>
  <si>
    <t xml:space="preserve">文山區</t>
  </si>
  <si>
    <t xml:space="preserve">中國青年救國團附設臺北市私立成長文理技藝短期補習班</t>
  </si>
  <si>
    <r>
      <rPr>
        <sz val="10"/>
        <color rgb="FF1F2A28"/>
        <rFont val="WenQuanYi Zen Hei"/>
        <family val="2"/>
      </rPr>
      <t xml:space="preserve">文山區羅斯福路</t>
    </r>
    <r>
      <rPr>
        <sz val="10"/>
        <color rgb="FF1F2A28"/>
        <rFont val="Arial"/>
        <family val="0"/>
        <charset val="1"/>
      </rPr>
      <t xml:space="preserve">6</t>
    </r>
    <r>
      <rPr>
        <sz val="10"/>
        <color rgb="FF1F2A28"/>
        <rFont val="WenQuanYi Zen Hei"/>
        <family val="2"/>
      </rPr>
      <t xml:space="preserve">段</t>
    </r>
    <r>
      <rPr>
        <sz val="10"/>
        <color rgb="FF1F2A28"/>
        <rFont val="Arial"/>
        <family val="0"/>
        <charset val="1"/>
      </rPr>
      <t xml:space="preserve">136</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</si>
  <si>
    <t xml:space="preserve">86633516</t>
  </si>
  <si>
    <t xml:space="preserve">2005-06-01</t>
  </si>
  <si>
    <t xml:space="preserve">王瓊鎂</t>
  </si>
  <si>
    <t xml:space="preserve">富傳企業有限公司附設臺北市私立樹人文理短期補習班</t>
  </si>
  <si>
    <r>
      <rPr>
        <sz val="10"/>
        <color rgb="FF1F2A28"/>
        <rFont val="WenQuanYi Zen Hei"/>
        <family val="2"/>
      </rPr>
      <t xml:space="preserve">文山區景華街</t>
    </r>
    <r>
      <rPr>
        <sz val="10"/>
        <color rgb="FF1F2A28"/>
        <rFont val="Arial"/>
        <family val="0"/>
        <charset val="1"/>
      </rPr>
      <t xml:space="preserve">121</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弄</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樓、景華街</t>
    </r>
    <r>
      <rPr>
        <sz val="10"/>
        <color rgb="FF1F2A28"/>
        <rFont val="Arial"/>
        <family val="0"/>
        <charset val="1"/>
      </rPr>
      <t xml:space="preserve">121</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弄</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</si>
  <si>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29341212</t>
  </si>
  <si>
    <t xml:space="preserve">g29341212@gmail.com</t>
  </si>
  <si>
    <t xml:space="preserve">2010-10-04</t>
  </si>
  <si>
    <t xml:space="preserve">富傳企業有限公司（負責人：許美玲）</t>
  </si>
  <si>
    <t xml:space="preserve">宋子櫻</t>
  </si>
  <si>
    <t xml:space="preserve">瀚將教育科技股份有限公司附設臺北市私立百瀚木柵文理短期補習班</t>
  </si>
  <si>
    <r>
      <rPr>
        <sz val="10"/>
        <color rgb="FF1F2A28"/>
        <rFont val="WenQuanYi Zen Hei"/>
        <family val="2"/>
      </rPr>
      <t xml:space="preserve">文山區木柵路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96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2</t>
    </r>
  </si>
  <si>
    <t xml:space="preserve">29366672</t>
  </si>
  <si>
    <t xml:space="preserve">林筑云</t>
  </si>
  <si>
    <t xml:space="preserve">知行點文創事業股份有限公司附設臺北市私立景興文理短期補習班</t>
  </si>
  <si>
    <r>
      <rPr>
        <sz val="10"/>
        <color rgb="FF1F2A28"/>
        <rFont val="WenQuanYi Zen Hei"/>
        <family val="2"/>
      </rPr>
      <t xml:space="preserve">文山區景興路</t>
    </r>
    <r>
      <rPr>
        <sz val="10"/>
        <color rgb="FF1F2A28"/>
        <rFont val="Arial"/>
        <family val="0"/>
        <charset val="1"/>
      </rPr>
      <t xml:space="preserve">191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</si>
  <si>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r>
      <rPr>
        <sz val="10"/>
        <color rgb="FF1F2A28"/>
        <rFont val="Arial"/>
        <family val="0"/>
        <charset val="1"/>
      </rPr>
      <t xml:space="preserve">(02)77557500 </t>
    </r>
    <r>
      <rPr>
        <sz val="10"/>
        <color rgb="FF1F2A28"/>
        <rFont val="WenQuanYi Zen Hei"/>
        <family val="2"/>
      </rPr>
      <t xml:space="preserve">分機 </t>
    </r>
    <r>
      <rPr>
        <sz val="10"/>
        <color rgb="FF1F2A28"/>
        <rFont val="Arial"/>
        <family val="0"/>
        <charset val="1"/>
      </rPr>
      <t xml:space="preserve">6</t>
    </r>
  </si>
  <si>
    <t xml:space="preserve">英文、英文科學</t>
  </si>
  <si>
    <t xml:space="preserve">2022-09-13</t>
  </si>
  <si>
    <t xml:space="preserve">沈鈺儒</t>
  </si>
  <si>
    <t xml:space="preserve">臺北市私立三之三語文短期補習班</t>
  </si>
  <si>
    <r>
      <rPr>
        <sz val="10"/>
        <color rgb="FF1F2A28"/>
        <rFont val="WenQuanYi Zen Hei"/>
        <family val="2"/>
      </rPr>
      <t xml:space="preserve">文山區羅斯福路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218</t>
    </r>
    <r>
      <rPr>
        <sz val="10"/>
        <color rgb="FF1F2A28"/>
        <rFont val="WenQuanYi Zen Hei"/>
        <family val="2"/>
      </rPr>
      <t xml:space="preserve">巷</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</si>
  <si>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29314041</t>
  </si>
  <si>
    <t xml:space="preserve">forever3and3@gmail.com</t>
  </si>
  <si>
    <t xml:space="preserve">1992-06-03</t>
  </si>
  <si>
    <t xml:space="preserve">吳文宗</t>
  </si>
  <si>
    <t xml:space="preserve">葛惠</t>
  </si>
  <si>
    <t xml:space="preserve">臺北市私立何希英文短期補習班</t>
  </si>
  <si>
    <r>
      <rPr>
        <sz val="10"/>
        <color rgb="FF1F2A28"/>
        <rFont val="WenQuanYi Zen Hei"/>
        <family val="2"/>
      </rPr>
      <t xml:space="preserve">文山區羅斯福路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198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</si>
  <si>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89318916</t>
  </si>
  <si>
    <t xml:space="preserve">i5v8y7@yahoo.com</t>
  </si>
  <si>
    <t xml:space="preserve">吳健豪</t>
  </si>
  <si>
    <t xml:space="preserve">臺北市私立佳芸語文短期補習班</t>
  </si>
  <si>
    <r>
      <rPr>
        <sz val="10"/>
        <color rgb="FF1F2A28"/>
        <rFont val="WenQuanYi Zen Hei"/>
        <family val="2"/>
      </rPr>
      <t xml:space="preserve">文山區開元街</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</si>
  <si>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29379942</t>
  </si>
  <si>
    <t xml:space="preserve">giraffejohnny48@gmail.com</t>
  </si>
  <si>
    <t xml:space="preserve">林芸如</t>
  </si>
  <si>
    <t xml:space="preserve">臺北市私立凱鉅文理技藝短期補習班</t>
  </si>
  <si>
    <r>
      <rPr>
        <sz val="10"/>
        <color rgb="FF1F2A28"/>
        <rFont val="WenQuanYi Zen Hei"/>
        <family val="2"/>
      </rPr>
      <t xml:space="preserve">文山區木新路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310</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</si>
  <si>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22345939</t>
  </si>
  <si>
    <t xml:space="preserve">2006-04-01</t>
  </si>
  <si>
    <t xml:space="preserve">林辰宣</t>
  </si>
  <si>
    <t xml:space="preserve">林斐雯</t>
  </si>
  <si>
    <t xml:space="preserve">臺北市私立利群文理短期補習班</t>
  </si>
  <si>
    <r>
      <rPr>
        <sz val="10"/>
        <color rgb="FF1F2A28"/>
        <rFont val="WenQuanYi Zen Hei"/>
        <family val="2"/>
      </rPr>
      <t xml:space="preserve">文山區景福街</t>
    </r>
    <r>
      <rPr>
        <sz val="10"/>
        <color rgb="FF1F2A28"/>
        <rFont val="Arial"/>
        <family val="0"/>
        <charset val="1"/>
      </rPr>
      <t xml:space="preserve">3</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</si>
  <si>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29313940 0935780309 29439051</t>
  </si>
  <si>
    <t xml:space="preserve">lshjsh3@yahoo.com.tw</t>
  </si>
  <si>
    <t xml:space="preserve">張心慧</t>
  </si>
  <si>
    <t xml:space="preserve">臺北市私立加大文理短期補習班實踐分班</t>
  </si>
  <si>
    <r>
      <rPr>
        <sz val="10"/>
        <color rgb="FF1F2A28"/>
        <rFont val="WenQuanYi Zen Hei"/>
        <family val="2"/>
      </rPr>
      <t xml:space="preserve">文山區忠順街</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</si>
  <si>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29375673</t>
  </si>
  <si>
    <t xml:space="preserve">jackykidcastle@yahoo.com.tw</t>
  </si>
  <si>
    <t xml:space="preserve">賴小玲</t>
  </si>
  <si>
    <t xml:space="preserve">賴永昌</t>
  </si>
  <si>
    <t xml:space="preserve">臺北市私立加大文理短期補習班忠順分班</t>
  </si>
  <si>
    <r>
      <rPr>
        <sz val="10"/>
        <color rgb="FF1F2A28"/>
        <rFont val="WenQuanYi Zen Hei"/>
        <family val="2"/>
      </rPr>
      <t xml:space="preserve">文山區忠順街</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</si>
  <si>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2013-11-18</t>
  </si>
  <si>
    <t xml:space="preserve">黃雀雯</t>
  </si>
  <si>
    <t xml:space="preserve">臺北市私立加能文理短期補習班</t>
  </si>
  <si>
    <r>
      <rPr>
        <sz val="10"/>
        <color rgb="FF1F2A28"/>
        <rFont val="WenQuanYi Zen Hei"/>
        <family val="2"/>
      </rPr>
      <t xml:space="preserve">文山區萬隆街</t>
    </r>
    <r>
      <rPr>
        <sz val="10"/>
        <color rgb="FF1F2A28"/>
        <rFont val="Arial"/>
        <family val="0"/>
        <charset val="1"/>
      </rPr>
      <t xml:space="preserve">47</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</si>
  <si>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(02)29333993</t>
  </si>
  <si>
    <t xml:space="preserve">casey917@gmail.com</t>
  </si>
  <si>
    <t xml:space="preserve">2022-12-22</t>
  </si>
  <si>
    <t xml:space="preserve">林清雲</t>
  </si>
  <si>
    <t xml:space="preserve">臺北市私立吉一美語文理短期補習班</t>
  </si>
  <si>
    <r>
      <rPr>
        <sz val="10"/>
        <color rgb="FF1F2A28"/>
        <rFont val="WenQuanYi Zen Hei"/>
        <family val="2"/>
      </rPr>
      <t xml:space="preserve">文山區景華街</t>
    </r>
    <r>
      <rPr>
        <sz val="10"/>
        <color rgb="FF1F2A28"/>
        <rFont val="Arial"/>
        <family val="0"/>
        <charset val="1"/>
      </rPr>
      <t xml:space="preserve">126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127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</si>
  <si>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29311866</t>
  </si>
  <si>
    <t xml:space="preserve">icchou0609@gmail.com</t>
  </si>
  <si>
    <t xml:space="preserve">王淑玲</t>
  </si>
  <si>
    <t xml:space="preserve">周一青</t>
  </si>
  <si>
    <t xml:space="preserve">臺北市私立哥瓦納文理短期補習班</t>
  </si>
  <si>
    <r>
      <rPr>
        <sz val="10"/>
        <color rgb="FF1F2A28"/>
        <rFont val="WenQuanYi Zen Hei"/>
        <family val="2"/>
      </rPr>
      <t xml:space="preserve">文山區羅斯福路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170</t>
    </r>
    <r>
      <rPr>
        <sz val="10"/>
        <color rgb="FF1F2A28"/>
        <rFont val="WenQuanYi Zen Hei"/>
        <family val="2"/>
      </rPr>
      <t xml:space="preserve">巷</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</si>
  <si>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89313322</t>
  </si>
  <si>
    <t xml:space="preserve">gawana17153818@gmail.com</t>
  </si>
  <si>
    <t xml:space="preserve">1999-10-01</t>
  </si>
  <si>
    <t xml:space="preserve">丁秀英</t>
  </si>
  <si>
    <t xml:space="preserve">臺北市私立喬治亞文理短期補習班</t>
  </si>
  <si>
    <r>
      <rPr>
        <sz val="10"/>
        <color rgb="FF1F2A28"/>
        <rFont val="WenQuanYi Zen Hei"/>
        <family val="2"/>
      </rPr>
      <t xml:space="preserve">文山區羅斯福路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176</t>
    </r>
    <r>
      <rPr>
        <sz val="10"/>
        <color rgb="FF1F2A28"/>
        <rFont val="WenQuanYi Zen Hei"/>
        <family val="2"/>
      </rPr>
      <t xml:space="preserve">巷</t>
    </r>
    <r>
      <rPr>
        <sz val="10"/>
        <color rgb="FF1F2A28"/>
        <rFont val="Arial"/>
        <family val="0"/>
        <charset val="1"/>
      </rPr>
      <t xml:space="preserve">40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</si>
  <si>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86635023 86638023</t>
  </si>
  <si>
    <t xml:space="preserve">interso9661@gmail.com</t>
  </si>
  <si>
    <t xml:space="preserve">許世章</t>
  </si>
  <si>
    <t xml:space="preserve">金嘉磊</t>
  </si>
  <si>
    <t xml:space="preserve">臺北市私立嘉學語文短期補習班</t>
  </si>
  <si>
    <r>
      <rPr>
        <sz val="10"/>
        <color rgb="FF1F2A28"/>
        <rFont val="WenQuanYi Zen Hei"/>
        <family val="2"/>
      </rPr>
      <t xml:space="preserve">文山區興隆路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t>
    </r>
  </si>
  <si>
    <t xml:space="preserve">86635195</t>
  </si>
  <si>
    <t xml:space="preserve">hs2196@hess.com.tw</t>
  </si>
  <si>
    <t xml:space="preserve">2011-10-01</t>
  </si>
  <si>
    <t xml:space="preserve">蔡秀娥</t>
  </si>
  <si>
    <t xml:space="preserve">黃惠滿</t>
  </si>
  <si>
    <t xml:space="preserve">臺北市私立圃貝美語短期補習班</t>
  </si>
  <si>
    <r>
      <rPr>
        <sz val="10"/>
        <color rgb="FF1F2A28"/>
        <rFont val="WenQuanYi Zen Hei"/>
        <family val="2"/>
      </rPr>
      <t xml:space="preserve">文山區萬和街</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4</t>
    </r>
  </si>
  <si>
    <t xml:space="preserve">22399411</t>
  </si>
  <si>
    <t xml:space="preserve">葉淑敏</t>
  </si>
  <si>
    <t xml:space="preserve">臺北市私立奇異果藝術文理短期補習班</t>
  </si>
  <si>
    <r>
      <rPr>
        <sz val="10"/>
        <color rgb="FF1F2A28"/>
        <rFont val="WenQuanYi Zen Hei"/>
        <family val="2"/>
      </rPr>
      <t xml:space="preserve">文山區指南路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45</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弄</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樓、地下</t>
    </r>
    <r>
      <rPr>
        <sz val="10"/>
        <color rgb="FF1F2A28"/>
        <rFont val="Arial"/>
        <family val="0"/>
        <charset val="1"/>
      </rPr>
      <t xml:space="preserve">1</t>
    </r>
    <r>
      <rPr>
        <sz val="10"/>
        <color rgb="FF1F2A28"/>
        <rFont val="WenQuanYi Zen Hei"/>
        <family val="2"/>
      </rPr>
      <t xml:space="preserve">樓</t>
    </r>
  </si>
  <si>
    <t xml:space="preserve">22346507</t>
  </si>
  <si>
    <t xml:space="preserve">greentree0306@gmail.com</t>
  </si>
  <si>
    <t xml:space="preserve">美語、英文</t>
  </si>
  <si>
    <t xml:space="preserve">董庭妤</t>
  </si>
  <si>
    <t xml:space="preserve">臺北市私立子晨文理技藝短期補習班</t>
  </si>
  <si>
    <r>
      <rPr>
        <sz val="10"/>
        <color rgb="FF1F2A28"/>
        <rFont val="WenQuanYi Zen Hei"/>
        <family val="2"/>
      </rPr>
      <t xml:space="preserve">文山區木新路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127</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</si>
  <si>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0229370258</t>
  </si>
  <si>
    <t xml:space="preserve">pengjuichun@gmail.com</t>
  </si>
  <si>
    <t xml:space="preserve">彭瑞君</t>
  </si>
  <si>
    <t xml:space="preserve">方介松</t>
  </si>
  <si>
    <t xml:space="preserve">臺北市私立學正文理短期補習班木柵分班</t>
  </si>
  <si>
    <r>
      <rPr>
        <sz val="10"/>
        <color rgb="FF1F2A28"/>
        <rFont val="WenQuanYi Zen Hei"/>
        <family val="2"/>
      </rPr>
      <t xml:space="preserve">文山區興隆路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6</t>
    </r>
    <r>
      <rPr>
        <sz val="10"/>
        <color rgb="FF1F2A28"/>
        <rFont val="WenQuanYi Zen Hei"/>
        <family val="2"/>
      </rPr>
      <t xml:space="preserve">之</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6</t>
    </r>
    <r>
      <rPr>
        <sz val="10"/>
        <color rgb="FF1F2A28"/>
        <rFont val="WenQuanYi Zen Hei"/>
        <family val="2"/>
      </rPr>
      <t xml:space="preserve">之</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</si>
  <si>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29377471</t>
  </si>
  <si>
    <t xml:space="preserve">joymuza88@gmail.com</t>
  </si>
  <si>
    <t xml:space="preserve">孔祥玲</t>
  </si>
  <si>
    <t xml:space="preserve">臺北市私立巨星文理短期補習班</t>
  </si>
  <si>
    <r>
      <rPr>
        <sz val="10"/>
        <color rgb="FF1F2A28"/>
        <rFont val="WenQuanYi Zen Hei"/>
        <family val="2"/>
      </rPr>
      <t xml:space="preserve">文山區秀明路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66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樓、地下</t>
    </r>
    <r>
      <rPr>
        <sz val="10"/>
        <color rgb="FF1F2A28"/>
        <rFont val="Arial"/>
        <family val="0"/>
        <charset val="1"/>
      </rPr>
      <t xml:space="preserve">1</t>
    </r>
    <r>
      <rPr>
        <sz val="10"/>
        <color rgb="FF1F2A28"/>
        <rFont val="WenQuanYi Zen Hei"/>
        <family val="2"/>
      </rPr>
      <t xml:space="preserve">樓</t>
    </r>
  </si>
  <si>
    <t xml:space="preserve">29381987</t>
  </si>
  <si>
    <t xml:space="preserve">catherine516899@yahoo.com.tw</t>
  </si>
  <si>
    <t xml:space="preserve">康均瑤</t>
  </si>
  <si>
    <t xml:space="preserve">王泰利</t>
  </si>
  <si>
    <t xml:space="preserve">臺北市私立布穀鳥文理技藝短期補習班</t>
  </si>
  <si>
    <r>
      <rPr>
        <sz val="10"/>
        <color rgb="FF1F2A28"/>
        <rFont val="WenQuanYi Zen Hei"/>
        <family val="2"/>
      </rPr>
      <t xml:space="preserve">文山區福興路</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</si>
  <si>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29310708</t>
  </si>
  <si>
    <t xml:space="preserve">chensuhwa@gmail.com</t>
  </si>
  <si>
    <t xml:space="preserve">2002-01-01</t>
  </si>
  <si>
    <t xml:space="preserve">賴慧紋</t>
  </si>
  <si>
    <t xml:space="preserve">陳淑華</t>
  </si>
  <si>
    <t xml:space="preserve">臺北市私立幼兒館美語文理技藝補習班</t>
  </si>
  <si>
    <r>
      <rPr>
        <sz val="10"/>
        <color rgb="FF1F2A28"/>
        <rFont val="WenQuanYi Zen Hei"/>
        <family val="2"/>
      </rPr>
      <t xml:space="preserve">文山區木新路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132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</si>
  <si>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02-22341515</t>
  </si>
  <si>
    <t xml:space="preserve">alice33822@gmail.com</t>
  </si>
  <si>
    <t xml:space="preserve">張振華</t>
  </si>
  <si>
    <t xml:space="preserve">臺北市私立康霖語文短期補習班</t>
  </si>
  <si>
    <r>
      <rPr>
        <sz val="10"/>
        <color rgb="FF1F2A28"/>
        <rFont val="WenQuanYi Zen Hei"/>
        <family val="2"/>
      </rPr>
      <t xml:space="preserve">文山區景興路</t>
    </r>
    <r>
      <rPr>
        <sz val="10"/>
        <color rgb="FF1F2A28"/>
        <rFont val="Arial"/>
        <family val="0"/>
        <charset val="1"/>
      </rPr>
      <t xml:space="preserve">91</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</si>
  <si>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02-29345133</t>
  </si>
  <si>
    <t xml:space="preserve">yhweng.syd@gmail.com</t>
  </si>
  <si>
    <t xml:space="preserve">2005-04-01</t>
  </si>
  <si>
    <t xml:space="preserve">游雯伶</t>
  </si>
  <si>
    <t xml:space="preserve">翁伯仁</t>
  </si>
  <si>
    <t xml:space="preserve">臺北市私立思達國際菁英文理短期補習班</t>
  </si>
  <si>
    <r>
      <rPr>
        <sz val="10"/>
        <color rgb="FF1F2A28"/>
        <rFont val="WenQuanYi Zen Hei"/>
        <family val="2"/>
      </rPr>
      <t xml:space="preserve">文山區木新路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46</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46</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</si>
  <si>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29382762</t>
  </si>
  <si>
    <t xml:space="preserve">sam0927x@gmail.com</t>
  </si>
  <si>
    <t xml:space="preserve">2004-12-01</t>
  </si>
  <si>
    <t xml:space="preserve">汪子正</t>
  </si>
  <si>
    <t xml:space="preserve">金哲生</t>
  </si>
  <si>
    <t xml:space="preserve">臺北市私立文山語文短期補習班</t>
  </si>
  <si>
    <r>
      <rPr>
        <sz val="10"/>
        <color rgb="FF1F2A28"/>
        <rFont val="WenQuanYi Zen Hei"/>
        <family val="2"/>
      </rPr>
      <t xml:space="preserve">文山區羅斯福路</t>
    </r>
    <r>
      <rPr>
        <sz val="10"/>
        <color rgb="FF1F2A28"/>
        <rFont val="Arial"/>
        <family val="0"/>
        <charset val="1"/>
      </rPr>
      <t xml:space="preserve">6</t>
    </r>
    <r>
      <rPr>
        <sz val="10"/>
        <color rgb="FF1F2A28"/>
        <rFont val="WenQuanYi Zen Hei"/>
        <family val="2"/>
      </rPr>
      <t xml:space="preserve">段</t>
    </r>
    <r>
      <rPr>
        <sz val="10"/>
        <color rgb="FF1F2A28"/>
        <rFont val="Arial"/>
        <family val="0"/>
        <charset val="1"/>
      </rPr>
      <t xml:space="preserve">130</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</si>
  <si>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29306607</t>
  </si>
  <si>
    <t xml:space="preserve">hs2122@hess.com.tw</t>
  </si>
  <si>
    <t xml:space="preserve">2002-08-01</t>
  </si>
  <si>
    <t xml:space="preserve">蔡稚雷</t>
  </si>
  <si>
    <t xml:space="preserve">徐韻吟</t>
  </si>
  <si>
    <t xml:space="preserve">臺北市私立沙士比亞文理短期補習班</t>
  </si>
  <si>
    <r>
      <rPr>
        <sz val="10"/>
        <color rgb="FF1F2A28"/>
        <rFont val="WenQuanYi Zen Hei"/>
        <family val="2"/>
      </rPr>
      <t xml:space="preserve">文山區興隆路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277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t>
    </r>
  </si>
  <si>
    <t xml:space="preserve">29305991</t>
  </si>
  <si>
    <t xml:space="preserve">serenalc.chang@gmail.com</t>
  </si>
  <si>
    <t xml:space="preserve">張翎江</t>
  </si>
  <si>
    <t xml:space="preserve">張璇江</t>
  </si>
  <si>
    <t xml:space="preserve">臺北市私立泰迪文理技藝短期補習班</t>
  </si>
  <si>
    <r>
      <rPr>
        <sz val="10"/>
        <color rgb="FF1F2A28"/>
        <rFont val="WenQuanYi Zen Hei"/>
        <family val="2"/>
      </rPr>
      <t xml:space="preserve">文山區木新路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155</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樓</t>
    </r>
  </si>
  <si>
    <t xml:space="preserve">29383628</t>
  </si>
  <si>
    <t xml:space="preserve">taidyhighschool@gmail.com</t>
  </si>
  <si>
    <t xml:space="preserve">許敏良</t>
  </si>
  <si>
    <t xml:space="preserve">蕭孟鈐</t>
  </si>
  <si>
    <t xml:space="preserve">臺北市私立若桐文理技藝短期補習班</t>
  </si>
  <si>
    <r>
      <rPr>
        <sz val="10"/>
        <color rgb="FF1F2A28"/>
        <rFont val="WenQuanYi Zen Hei"/>
        <family val="2"/>
      </rPr>
      <t xml:space="preserve">文山區木新路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127</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</si>
  <si>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宋伊婷</t>
  </si>
  <si>
    <t xml:space="preserve">臺北市私立莎士比亞文理短期補習班</t>
  </si>
  <si>
    <r>
      <rPr>
        <sz val="10"/>
        <color rgb="FF1F2A28"/>
        <rFont val="WenQuanYi Zen Hei"/>
        <family val="2"/>
      </rPr>
      <t xml:space="preserve">文山區興隆路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105</t>
    </r>
    <r>
      <rPr>
        <sz val="10"/>
        <color rgb="FF1F2A28"/>
        <rFont val="WenQuanYi Zen Hei"/>
        <family val="2"/>
      </rPr>
      <t xml:space="preserve">巷</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</si>
  <si>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02-86617611</t>
  </si>
  <si>
    <t xml:space="preserve">臺北市私立豐橋美語短期補習班</t>
  </si>
  <si>
    <r>
      <rPr>
        <sz val="10"/>
        <color rgb="FF1F2A28"/>
        <rFont val="WenQuanYi Zen Hei"/>
        <family val="2"/>
      </rPr>
      <t xml:space="preserve">文山區景興路</t>
    </r>
    <r>
      <rPr>
        <sz val="10"/>
        <color rgb="FF1F2A28"/>
        <rFont val="Arial"/>
        <family val="0"/>
        <charset val="1"/>
      </rPr>
      <t xml:space="preserve">202</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</si>
  <si>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02-2933-5118</t>
  </si>
  <si>
    <t xml:space="preserve">ebs5118@yahoo.com.tw</t>
  </si>
  <si>
    <t xml:space="preserve">龔玲慧</t>
  </si>
  <si>
    <t xml:space="preserve">臺北市私立陽光森林語文短期補習班</t>
  </si>
  <si>
    <r>
      <rPr>
        <sz val="10"/>
        <color rgb="FF1F2A28"/>
        <rFont val="WenQuanYi Zen Hei"/>
        <family val="2"/>
      </rPr>
      <t xml:space="preserve">文山區興隆路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6</t>
    </r>
    <r>
      <rPr>
        <sz val="10"/>
        <color rgb="FF1F2A28"/>
        <rFont val="WenQuanYi Zen Hei"/>
        <family val="2"/>
      </rPr>
      <t xml:space="preserve">之</t>
    </r>
    <r>
      <rPr>
        <sz val="10"/>
        <color rgb="FF1F2A28"/>
        <rFont val="Arial"/>
        <family val="0"/>
        <charset val="1"/>
      </rPr>
      <t xml:space="preserve">11</t>
    </r>
    <r>
      <rPr>
        <sz val="10"/>
        <color rgb="FF1F2A28"/>
        <rFont val="WenQuanYi Zen Hei"/>
        <family val="2"/>
      </rPr>
      <t xml:space="preserve">、</t>
    </r>
    <r>
      <rPr>
        <sz val="10"/>
        <color rgb="FF1F2A28"/>
        <rFont val="Arial"/>
        <family val="0"/>
        <charset val="1"/>
      </rPr>
      <t xml:space="preserve">6</t>
    </r>
    <r>
      <rPr>
        <sz val="10"/>
        <color rgb="FF1F2A28"/>
        <rFont val="WenQuanYi Zen Hei"/>
        <family val="2"/>
      </rPr>
      <t xml:space="preserve">之</t>
    </r>
    <r>
      <rPr>
        <sz val="10"/>
        <color rgb="FF1F2A28"/>
        <rFont val="Arial"/>
        <family val="0"/>
        <charset val="1"/>
      </rPr>
      <t xml:space="preserve">12</t>
    </r>
    <r>
      <rPr>
        <sz val="10"/>
        <color rgb="FF1F2A28"/>
        <rFont val="WenQuanYi Zen Hei"/>
        <family val="2"/>
      </rPr>
      <t xml:space="preserve">、</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B1</t>
    </r>
  </si>
  <si>
    <t xml:space="preserve">8661-0803</t>
  </si>
  <si>
    <t xml:space="preserve">盧婉瑞</t>
  </si>
  <si>
    <t xml:space="preserve">萊恩菲爾國際教育有限公司附設臺北市私立萊恩柏斯文理技藝短期補習班</t>
  </si>
  <si>
    <r>
      <rPr>
        <sz val="10"/>
        <color rgb="FF1F2A28"/>
        <rFont val="WenQuanYi Zen Hei"/>
        <family val="2"/>
      </rPr>
      <t xml:space="preserve">文山區興隆路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6</t>
    </r>
    <r>
      <rPr>
        <sz val="10"/>
        <color rgb="FF1F2A28"/>
        <rFont val="WenQuanYi Zen Hei"/>
        <family val="2"/>
      </rPr>
      <t xml:space="preserve">之</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</si>
  <si>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29390907</t>
  </si>
  <si>
    <t xml:space="preserve">eaglewenshan02@gmail.com</t>
  </si>
  <si>
    <t xml:space="preserve">2012-01-03</t>
  </si>
  <si>
    <t xml:space="preserve">陳佩娟</t>
  </si>
  <si>
    <t xml:space="preserve">陽光森林文教股份有限公司附設臺北市私立揚光森林欣隆文理短期補習班</t>
  </si>
  <si>
    <r>
      <rPr>
        <sz val="10"/>
        <color rgb="FF1F2A28"/>
        <rFont val="WenQuanYi Zen Hei"/>
        <family val="2"/>
      </rPr>
      <t xml:space="preserve">文山區木柵路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127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</si>
  <si>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2936-0903</t>
  </si>
  <si>
    <t xml:space="preserve">陽光森林文教股份有限公司（負責人：呂麗華）</t>
  </si>
  <si>
    <t xml:space="preserve">陽光森林文教股份有限公司附設臺北市私立揚光森林語文短期補習班</t>
  </si>
  <si>
    <r>
      <rPr>
        <sz val="10"/>
        <color rgb="FF1F2A28"/>
        <rFont val="WenQuanYi Zen Hei"/>
        <family val="2"/>
      </rPr>
      <t xml:space="preserve">文山區興隆路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145</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</si>
  <si>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2234-3858</t>
  </si>
  <si>
    <t xml:space="preserve">郭伊玲</t>
  </si>
  <si>
    <t xml:space="preserve">陽光森林文教股份有限公司附設臺北市私立揚光森林語文短期補習班興隆分班</t>
  </si>
  <si>
    <r>
      <rPr>
        <sz val="10"/>
        <color rgb="FF1F2A28"/>
        <rFont val="WenQuanYi Zen Hei"/>
        <family val="2"/>
      </rPr>
      <t xml:space="preserve">文山區興隆路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145</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</si>
  <si>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陳怡君</t>
  </si>
  <si>
    <t xml:space="preserve">陽光森林文教股份有限公司附設臺北市私立洋光小子語文短期補習班</t>
  </si>
  <si>
    <r>
      <rPr>
        <sz val="10"/>
        <color rgb="FF1F2A28"/>
        <rFont val="WenQuanYi Zen Hei"/>
        <family val="2"/>
      </rPr>
      <t xml:space="preserve">文山區興隆路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145</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</si>
  <si>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2010-08-01</t>
  </si>
  <si>
    <t xml:space="preserve">李曼琪</t>
  </si>
  <si>
    <t xml:space="preserve">陽光森林文教股份有限公司附設臺北市私立陽光小子語文短期補習班</t>
  </si>
  <si>
    <r>
      <rPr>
        <sz val="10"/>
        <color rgb="FF1F2A28"/>
        <rFont val="WenQuanYi Zen Hei"/>
        <family val="2"/>
      </rPr>
      <t xml:space="preserve">文山區忠順街</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</si>
  <si>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劉怡伶</t>
  </si>
  <si>
    <t xml:space="preserve">陽光森林文教股份有限公司附設臺北市私立陽光森林欣隆文理短期補習班</t>
  </si>
  <si>
    <r>
      <rPr>
        <sz val="10"/>
        <color rgb="FF1F2A28"/>
        <rFont val="WenQuanYi Zen Hei"/>
        <family val="2"/>
      </rPr>
      <t xml:space="preserve">文山區木柵路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127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</si>
  <si>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29360903</t>
  </si>
  <si>
    <t xml:space="preserve">許雅智</t>
  </si>
  <si>
    <t xml:space="preserve">松山區</t>
  </si>
  <si>
    <t xml:space="preserve">及幼文化出版股份有限公司附設臺北市私立哥大英語文理短期補習班民生分班</t>
  </si>
  <si>
    <r>
      <rPr>
        <sz val="10"/>
        <color rgb="FF1F2A28"/>
        <rFont val="WenQuanYi Zen Hei"/>
        <family val="2"/>
      </rPr>
      <t xml:space="preserve">松山區民生東路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2</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樓</t>
    </r>
  </si>
  <si>
    <t xml:space="preserve">27690700</t>
  </si>
  <si>
    <t xml:space="preserve">carol.tai@columbiaenglish.com.tw</t>
  </si>
  <si>
    <t xml:space="preserve">戴妤庭</t>
  </si>
  <si>
    <t xml:space="preserve">台灣拓人教育事業股份有限公司附設拓人文理補習班民生分班</t>
  </si>
  <si>
    <r>
      <rPr>
        <sz val="10"/>
        <color rgb="FF1F2A28"/>
        <rFont val="WenQuanYi Zen Hei"/>
        <family val="2"/>
      </rPr>
      <t xml:space="preserve">松山區光復北路</t>
    </r>
    <r>
      <rPr>
        <sz val="10"/>
        <color rgb="FF1F2A28"/>
        <rFont val="Arial"/>
        <family val="0"/>
        <charset val="1"/>
      </rPr>
      <t xml:space="preserve">196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</si>
  <si>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02-2545-8592</t>
  </si>
  <si>
    <t xml:space="preserve">朱祐慶</t>
  </si>
  <si>
    <t xml:space="preserve">喜樂泉源股份有限公司附設臺北市私立希伯崙文理技藝短期補習班敦化分班</t>
  </si>
  <si>
    <r>
      <rPr>
        <sz val="10"/>
        <color rgb="FF1F2A28"/>
        <rFont val="WenQuanYi Zen Hei"/>
        <family val="2"/>
      </rPr>
      <t xml:space="preserve">松山區敦化南路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80</t>
    </r>
    <r>
      <rPr>
        <sz val="10"/>
        <color rgb="FF1F2A28"/>
        <rFont val="WenQuanYi Zen Hei"/>
        <family val="2"/>
      </rPr>
      <t xml:space="preserve">巷</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</si>
  <si>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87710343</t>
  </si>
  <si>
    <t xml:space="preserve">eric_hsu@liveabc.com</t>
  </si>
  <si>
    <t xml:space="preserve">喜樂泉源股份有限公司</t>
  </si>
  <si>
    <t xml:space="preserve">寇亞容</t>
  </si>
  <si>
    <t xml:space="preserve">喜樂泉源股份有限公司附設臺北市私立希伯崙文理短期補習班</t>
  </si>
  <si>
    <r>
      <rPr>
        <sz val="10"/>
        <color rgb="FF1F2A28"/>
        <rFont val="WenQuanYi Zen Hei"/>
        <family val="2"/>
      </rPr>
      <t xml:space="preserve">松山區敦化南路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80</t>
    </r>
    <r>
      <rPr>
        <sz val="10"/>
        <color rgb="FF1F2A28"/>
        <rFont val="WenQuanYi Zen Hei"/>
        <family val="2"/>
      </rPr>
      <t xml:space="preserve">巷</t>
    </r>
    <r>
      <rPr>
        <sz val="10"/>
        <color rgb="FF1F2A28"/>
        <rFont val="Arial"/>
        <family val="0"/>
        <charset val="1"/>
      </rPr>
      <t xml:space="preserve">44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</si>
  <si>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25782626</t>
  </si>
  <si>
    <t xml:space="preserve">鄭俊琪</t>
  </si>
  <si>
    <t xml:space="preserve">許志鈞</t>
  </si>
  <si>
    <t xml:space="preserve">瀚將教育科技股份有限公司附設臺北市私立百瀚敦南文理短期補習班</t>
  </si>
  <si>
    <r>
      <rPr>
        <sz val="10"/>
        <color rgb="FF1F2A28"/>
        <rFont val="WenQuanYi Zen Hei"/>
        <family val="2"/>
      </rPr>
      <t xml:space="preserve">松山區八德路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12</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弄</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</si>
  <si>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25790811</t>
  </si>
  <si>
    <t xml:space="preserve">2009-08-01</t>
  </si>
  <si>
    <r>
      <rPr>
        <sz val="10"/>
        <color rgb="FF1F2A28"/>
        <rFont val="WenQuanYi Zen Hei"/>
        <family val="2"/>
      </rPr>
      <t xml:space="preserve">瀚將教育科技股份有限公司</t>
    </r>
    <r>
      <rPr>
        <sz val="10"/>
        <color rgb="FF1F2A28"/>
        <rFont val="Arial"/>
        <family val="0"/>
        <charset val="1"/>
      </rPr>
      <t xml:space="preserve">(</t>
    </r>
    <r>
      <rPr>
        <sz val="10"/>
        <color rgb="FF1F2A28"/>
        <rFont val="WenQuanYi Zen Hei"/>
        <family val="2"/>
      </rPr>
      <t xml:space="preserve">負責人</t>
    </r>
    <r>
      <rPr>
        <sz val="10"/>
        <color rgb="FF1F2A28"/>
        <rFont val="Arial"/>
        <family val="0"/>
        <charset val="1"/>
      </rPr>
      <t xml:space="preserve">:</t>
    </r>
    <r>
      <rPr>
        <sz val="10"/>
        <color rgb="FF1F2A28"/>
        <rFont val="WenQuanYi Zen Hei"/>
        <family val="2"/>
      </rPr>
      <t xml:space="preserve">許哲豪</t>
    </r>
    <r>
      <rPr>
        <sz val="10"/>
        <color rgb="FF1F2A28"/>
        <rFont val="Arial"/>
        <family val="0"/>
        <charset val="1"/>
      </rPr>
      <t xml:space="preserve">)</t>
    </r>
  </si>
  <si>
    <t xml:space="preserve">邱珮瑜</t>
  </si>
  <si>
    <t xml:space="preserve">繆思學苑股份有限公司附設臺北市私立繆思英語學苑文理短期補習班</t>
  </si>
  <si>
    <r>
      <rPr>
        <sz val="10"/>
        <color rgb="FF1F2A28"/>
        <rFont val="WenQuanYi Zen Hei"/>
        <family val="2"/>
      </rPr>
      <t xml:space="preserve">松山區南京東路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163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</si>
  <si>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27491799</t>
  </si>
  <si>
    <t xml:space="preserve">museenglish.ec@gmail.com</t>
  </si>
  <si>
    <t xml:space="preserve">2017-02-13</t>
  </si>
  <si>
    <t xml:space="preserve">駱靖元</t>
  </si>
  <si>
    <t xml:space="preserve">吳佩砡</t>
  </si>
  <si>
    <t xml:space="preserve">臺北市私立中法語言短期補習班</t>
  </si>
  <si>
    <r>
      <rPr>
        <sz val="10"/>
        <color rgb="FF1F2A28"/>
        <rFont val="WenQuanYi Zen Hei"/>
        <family val="2"/>
      </rPr>
      <t xml:space="preserve">松山區南京東路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278</t>
    </r>
    <r>
      <rPr>
        <sz val="10"/>
        <color rgb="FF1F2A28"/>
        <rFont val="WenQuanYi Zen Hei"/>
        <family val="2"/>
      </rPr>
      <t xml:space="preserve">號</t>
    </r>
    <r>
      <rPr>
        <sz val="10"/>
        <color rgb="FF1F2A28"/>
        <rFont val="Arial"/>
        <family val="0"/>
        <charset val="1"/>
      </rPr>
      <t xml:space="preserve">10</t>
    </r>
    <r>
      <rPr>
        <sz val="10"/>
        <color rgb="FF1F2A28"/>
        <rFont val="WenQuanYi Zen Hei"/>
        <family val="2"/>
      </rPr>
      <t xml:space="preserve">樓</t>
    </r>
  </si>
  <si>
    <t xml:space="preserve">27517087</t>
  </si>
  <si>
    <t xml:space="preserve">eurocentretaiwan@yahoo.com.tw</t>
  </si>
  <si>
    <t xml:space="preserve">隋信華</t>
  </si>
  <si>
    <t xml:space="preserve">臺北市私立倍得語文短期補習班</t>
  </si>
  <si>
    <r>
      <rPr>
        <sz val="10"/>
        <color rgb="FF1F2A28"/>
        <rFont val="WenQuanYi Zen Hei"/>
        <family val="2"/>
      </rPr>
      <t xml:space="preserve">松山區民生東路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106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</si>
  <si>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27182489</t>
  </si>
  <si>
    <t xml:space="preserve">l7100135@gmail.com</t>
  </si>
  <si>
    <t xml:space="preserve">宋靜瑋</t>
  </si>
  <si>
    <t xml:space="preserve">臺北市私立克里斯語文短期補習班</t>
  </si>
  <si>
    <r>
      <rPr>
        <sz val="10"/>
        <color rgb="FF1F2A28"/>
        <rFont val="WenQuanYi Zen Hei"/>
        <family val="2"/>
      </rPr>
      <t xml:space="preserve">松山區敦化北路</t>
    </r>
    <r>
      <rPr>
        <sz val="10"/>
        <color rgb="FF1F2A28"/>
        <rFont val="Arial"/>
        <family val="0"/>
        <charset val="1"/>
      </rPr>
      <t xml:space="preserve">155</t>
    </r>
    <r>
      <rPr>
        <sz val="10"/>
        <color rgb="FF1F2A28"/>
        <rFont val="WenQuanYi Zen Hei"/>
        <family val="2"/>
      </rPr>
      <t xml:space="preserve">巷</t>
    </r>
    <r>
      <rPr>
        <sz val="10"/>
        <color rgb="FF1F2A28"/>
        <rFont val="Arial"/>
        <family val="0"/>
        <charset val="1"/>
      </rPr>
      <t xml:space="preserve">97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95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</si>
  <si>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(02)27180220</t>
  </si>
  <si>
    <t xml:space="preserve">minsheng.tp@eagletw.com</t>
  </si>
  <si>
    <t xml:space="preserve">2017-10-24</t>
  </si>
  <si>
    <t xml:space="preserve">廖育志</t>
  </si>
  <si>
    <t xml:space="preserve">臺北市私立加語語文短期補習班</t>
  </si>
  <si>
    <r>
      <rPr>
        <sz val="10"/>
        <color rgb="FF1F2A28"/>
        <rFont val="WenQuanYi Zen Hei"/>
        <family val="2"/>
      </rPr>
      <t xml:space="preserve">松山區南京東路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</si>
  <si>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27151300</t>
  </si>
  <si>
    <t xml:space="preserve">lcsharedisc@gmail.com</t>
  </si>
  <si>
    <t xml:space="preserve">黃朝杰</t>
  </si>
  <si>
    <t xml:space="preserve">吳巧文</t>
  </si>
  <si>
    <t xml:space="preserve">臺北市私立呂方文理短期補習班</t>
  </si>
  <si>
    <r>
      <rPr>
        <sz val="10"/>
        <color rgb="FF1F2A28"/>
        <rFont val="WenQuanYi Zen Hei"/>
        <family val="2"/>
      </rPr>
      <t xml:space="preserve">松山區八德路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150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</si>
  <si>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25792549</t>
  </si>
  <si>
    <t xml:space="preserve">lu1819@gmail.com</t>
  </si>
  <si>
    <t xml:space="preserve">2016-01-12</t>
  </si>
  <si>
    <t xml:space="preserve">呂昆樺</t>
  </si>
  <si>
    <t xml:space="preserve">臺北市私立和風語文短期補習班</t>
  </si>
  <si>
    <r>
      <rPr>
        <sz val="10"/>
        <color rgb="FF1F2A28"/>
        <rFont val="WenQuanYi Zen Hei"/>
        <family val="2"/>
      </rPr>
      <t xml:space="preserve">松山區南京東路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</si>
  <si>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2546-0465</t>
  </si>
  <si>
    <t xml:space="preserve">wafu60@hotmail.com</t>
  </si>
  <si>
    <t xml:space="preserve">1991-10-01</t>
  </si>
  <si>
    <t xml:space="preserve">李錦華</t>
  </si>
  <si>
    <t xml:space="preserve">黃伯雄</t>
  </si>
  <si>
    <t xml:space="preserve">臺北市私立嘉維語文短期補習班</t>
  </si>
  <si>
    <r>
      <rPr>
        <sz val="10"/>
        <color rgb="FF1F2A28"/>
        <rFont val="WenQuanYi Zen Hei"/>
        <family val="2"/>
      </rPr>
      <t xml:space="preserve">松山區三民路</t>
    </r>
    <r>
      <rPr>
        <sz val="10"/>
        <color rgb="FF1F2A28"/>
        <rFont val="Arial"/>
        <family val="0"/>
        <charset val="1"/>
      </rPr>
      <t xml:space="preserve">9</t>
    </r>
    <r>
      <rPr>
        <sz val="10"/>
        <color rgb="FF1F2A28"/>
        <rFont val="WenQuanYi Zen Hei"/>
        <family val="2"/>
      </rPr>
      <t xml:space="preserve">之</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9</t>
    </r>
    <r>
      <rPr>
        <sz val="10"/>
        <color rgb="FF1F2A28"/>
        <rFont val="WenQuanYi Zen Hei"/>
        <family val="2"/>
      </rPr>
      <t xml:space="preserve">之</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9</t>
    </r>
    <r>
      <rPr>
        <sz val="10"/>
        <color rgb="FF1F2A28"/>
        <rFont val="WenQuanYi Zen Hei"/>
        <family val="2"/>
      </rPr>
      <t xml:space="preserve">之</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</si>
  <si>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27648858</t>
  </si>
  <si>
    <t xml:space="preserve">amy.huang@hess.com.tw</t>
  </si>
  <si>
    <t xml:space="preserve">2003-04-01</t>
  </si>
  <si>
    <t xml:space="preserve">張丹鳳</t>
  </si>
  <si>
    <t xml:space="preserve">劉芷菲</t>
  </si>
  <si>
    <t xml:space="preserve">臺北市私立大衛美語文理短期補習班</t>
  </si>
  <si>
    <r>
      <rPr>
        <sz val="10"/>
        <color rgb="FF1F2A28"/>
        <rFont val="WenQuanYi Zen Hei"/>
        <family val="2"/>
      </rPr>
      <t xml:space="preserve">松山區南京東路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260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</si>
  <si>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27116889</t>
  </si>
  <si>
    <t xml:space="preserve">fs@david.com.tw</t>
  </si>
  <si>
    <t xml:space="preserve">1999-09-01</t>
  </si>
  <si>
    <t xml:space="preserve">游鄞蔚</t>
  </si>
  <si>
    <t xml:space="preserve">陳穆蓉</t>
  </si>
  <si>
    <t xml:space="preserve">臺北市私立奇點創意文理短期補習班南京分班</t>
  </si>
  <si>
    <r>
      <rPr>
        <sz val="10"/>
        <color rgb="FF1F2A28"/>
        <rFont val="WenQuanYi Zen Hei"/>
        <family val="2"/>
      </rPr>
      <t xml:space="preserve">松山區南京東路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</si>
  <si>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27486259</t>
  </si>
  <si>
    <t xml:space="preserve">singularmaker@gmail.com</t>
  </si>
  <si>
    <t xml:space="preserve">曹冠亮</t>
  </si>
  <si>
    <t xml:space="preserve">臺北市私立學霖文理珠心算短期補習班</t>
  </si>
  <si>
    <r>
      <rPr>
        <sz val="10"/>
        <color rgb="FF1F2A28"/>
        <rFont val="WenQuanYi Zen Hei"/>
        <family val="2"/>
      </rPr>
      <t xml:space="preserve">松山區延壽街</t>
    </r>
    <r>
      <rPr>
        <sz val="10"/>
        <color rgb="FF1F2A28"/>
        <rFont val="Arial"/>
        <family val="0"/>
        <charset val="1"/>
      </rPr>
      <t xml:space="preserve">159</t>
    </r>
    <r>
      <rPr>
        <sz val="10"/>
        <color rgb="FF1F2A28"/>
        <rFont val="WenQuanYi Zen Hei"/>
        <family val="2"/>
      </rPr>
      <t xml:space="preserve">號及</t>
    </r>
    <r>
      <rPr>
        <sz val="10"/>
        <color rgb="FF1F2A28"/>
        <rFont val="Arial"/>
        <family val="0"/>
        <charset val="1"/>
      </rPr>
      <t xml:space="preserve">163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</si>
  <si>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27455849</t>
  </si>
  <si>
    <t xml:space="preserve">陳秀瑜</t>
  </si>
  <si>
    <t xml:space="preserve">臺北市私立寰宇教育文理技藝電腦短期補習班</t>
  </si>
  <si>
    <r>
      <rPr>
        <sz val="10"/>
        <color rgb="FF1F2A28"/>
        <rFont val="WenQuanYi Zen Hei"/>
        <family val="2"/>
      </rPr>
      <t xml:space="preserve">松山區南京東路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270</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 </t>
    </r>
    <r>
      <rPr>
        <sz val="10"/>
        <color rgb="FF1F2A28"/>
        <rFont val="Arial"/>
        <family val="0"/>
        <charset val="1"/>
      </rPr>
      <t xml:space="preserve">7</t>
    </r>
    <r>
      <rPr>
        <sz val="10"/>
        <color rgb="FF1F2A28"/>
        <rFont val="WenQuanYi Zen Hei"/>
        <family val="2"/>
      </rPr>
      <t xml:space="preserve">樓之</t>
    </r>
    <r>
      <rPr>
        <sz val="10"/>
        <color rgb="FF1F2A28"/>
        <rFont val="Arial"/>
        <family val="0"/>
        <charset val="1"/>
      </rPr>
      <t xml:space="preserve">2</t>
    </r>
  </si>
  <si>
    <t xml:space="preserve">27522255</t>
  </si>
  <si>
    <t xml:space="preserve">globalchild.hr@gmail.com</t>
  </si>
  <si>
    <t xml:space="preserve">龔美慧</t>
  </si>
  <si>
    <t xml:space="preserve">紀沈佑</t>
  </si>
  <si>
    <t xml:space="preserve">臺北市私立小學者美語文理短期補習班</t>
  </si>
  <si>
    <r>
      <rPr>
        <sz val="10"/>
        <color rgb="FF1F2A28"/>
        <rFont val="WenQuanYi Zen Hei"/>
        <family val="2"/>
      </rPr>
      <t xml:space="preserve">松山區富錦街</t>
    </r>
    <r>
      <rPr>
        <sz val="10"/>
        <color rgb="FF1F2A28"/>
        <rFont val="Arial"/>
        <family val="0"/>
        <charset val="1"/>
      </rPr>
      <t xml:space="preserve">401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</si>
  <si>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2764-5837</t>
  </si>
  <si>
    <t xml:space="preserve">hwu0327littlescholar@gmail.com</t>
  </si>
  <si>
    <t xml:space="preserve">2000-05-01</t>
  </si>
  <si>
    <t xml:space="preserve">吳惠玲</t>
  </si>
  <si>
    <t xml:space="preserve">臺北市私立小恩笛文理短期補習班</t>
  </si>
  <si>
    <r>
      <rPr>
        <sz val="10"/>
        <color rgb="FF1F2A28"/>
        <rFont val="WenQuanYi Zen Hei"/>
        <family val="2"/>
      </rPr>
      <t xml:space="preserve">松山區敦化北路</t>
    </r>
    <r>
      <rPr>
        <sz val="10"/>
        <color rgb="FF1F2A28"/>
        <rFont val="Arial"/>
        <family val="0"/>
        <charset val="1"/>
      </rPr>
      <t xml:space="preserve">145</t>
    </r>
    <r>
      <rPr>
        <sz val="10"/>
        <color rgb="FF1F2A28"/>
        <rFont val="WenQuanYi Zen Hei"/>
        <family val="2"/>
      </rPr>
      <t xml:space="preserve">巷</t>
    </r>
    <r>
      <rPr>
        <sz val="10"/>
        <color rgb="FF1F2A28"/>
        <rFont val="Arial"/>
        <family val="0"/>
        <charset val="1"/>
      </rPr>
      <t xml:space="preserve">46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</si>
  <si>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27180079</t>
  </si>
  <si>
    <t xml:space="preserve">jenny2003chen@gmail.com</t>
  </si>
  <si>
    <t xml:space="preserve">2007-06-15</t>
  </si>
  <si>
    <t xml:space="preserve">陳政娟</t>
  </si>
  <si>
    <t xml:space="preserve">吳昀珊</t>
  </si>
  <si>
    <t xml:space="preserve">臺北市私立小松樹文理短期補習班</t>
  </si>
  <si>
    <r>
      <rPr>
        <sz val="10"/>
        <color rgb="FF1F2A28"/>
        <rFont val="WenQuanYi Zen Hei"/>
        <family val="2"/>
      </rPr>
      <t xml:space="preserve">松山區富錦街</t>
    </r>
    <r>
      <rPr>
        <sz val="10"/>
        <color rgb="FF1F2A28"/>
        <rFont val="Arial"/>
        <family val="0"/>
        <charset val="1"/>
      </rPr>
      <t xml:space="preserve">474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</si>
  <si>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(02)27655600</t>
  </si>
  <si>
    <t xml:space="preserve">carensheu@gmail.com</t>
  </si>
  <si>
    <t xml:space="preserve">2018-02-12</t>
  </si>
  <si>
    <t xml:space="preserve">許凱倫</t>
  </si>
  <si>
    <t xml:space="preserve">臺北市私立建康文理短期補習班</t>
  </si>
  <si>
    <r>
      <rPr>
        <sz val="10"/>
        <color rgb="FF1F2A28"/>
        <rFont val="WenQuanYi Zen Hei"/>
        <family val="2"/>
      </rPr>
      <t xml:space="preserve">松山區健康路</t>
    </r>
    <r>
      <rPr>
        <sz val="10"/>
        <color rgb="FF1F2A28"/>
        <rFont val="Arial"/>
        <family val="0"/>
        <charset val="1"/>
      </rPr>
      <t xml:space="preserve">237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</si>
  <si>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27423298</t>
  </si>
  <si>
    <t xml:space="preserve">hs2225@hess.com.tw</t>
  </si>
  <si>
    <t xml:space="preserve">謝媛安</t>
  </si>
  <si>
    <t xml:space="preserve">臺北市私立弘一語文短期補習班</t>
  </si>
  <si>
    <r>
      <rPr>
        <sz val="10"/>
        <color rgb="FF1F2A28"/>
        <rFont val="WenQuanYi Zen Hei"/>
        <family val="2"/>
      </rPr>
      <t xml:space="preserve">松山區光復南路</t>
    </r>
    <r>
      <rPr>
        <sz val="10"/>
        <color rgb="FF1F2A28"/>
        <rFont val="Arial"/>
        <family val="0"/>
        <charset val="1"/>
      </rPr>
      <t xml:space="preserve">46</t>
    </r>
    <r>
      <rPr>
        <sz val="10"/>
        <color rgb="FF1F2A28"/>
        <rFont val="WenQuanYi Zen Hei"/>
        <family val="2"/>
      </rPr>
      <t xml:space="preserve">巷</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</si>
  <si>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25794752</t>
  </si>
  <si>
    <t xml:space="preserve">kfhmivy@yahoo.com.tw</t>
  </si>
  <si>
    <t xml:space="preserve">黃瑞蓮</t>
  </si>
  <si>
    <t xml:space="preserve">臺北市私立弘新語文短期補習班</t>
  </si>
  <si>
    <r>
      <rPr>
        <sz val="10"/>
        <color rgb="FF1F2A28"/>
        <rFont val="WenQuanYi Zen Hei"/>
        <family val="2"/>
      </rPr>
      <t xml:space="preserve">松山區光復南路</t>
    </r>
    <r>
      <rPr>
        <sz val="10"/>
        <color rgb="FF1F2A28"/>
        <rFont val="Arial"/>
        <family val="0"/>
        <charset val="1"/>
      </rPr>
      <t xml:space="preserve">46</t>
    </r>
    <r>
      <rPr>
        <sz val="10"/>
        <color rgb="FF1F2A28"/>
        <rFont val="WenQuanYi Zen Hei"/>
        <family val="2"/>
      </rPr>
      <t xml:space="preserve">巷</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</si>
  <si>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史書綾</t>
  </si>
  <si>
    <t xml:space="preserve">臺北市私立弘榮語文短期補習班</t>
  </si>
  <si>
    <r>
      <rPr>
        <sz val="10"/>
        <color rgb="FF1F2A28"/>
        <rFont val="WenQuanYi Zen Hei"/>
        <family val="2"/>
      </rPr>
      <t xml:space="preserve">松山區光復南路</t>
    </r>
    <r>
      <rPr>
        <sz val="10"/>
        <color rgb="FF1F2A28"/>
        <rFont val="Arial"/>
        <family val="0"/>
        <charset val="1"/>
      </rPr>
      <t xml:space="preserve">46</t>
    </r>
    <r>
      <rPr>
        <sz val="10"/>
        <color rgb="FF1F2A28"/>
        <rFont val="WenQuanYi Zen Hei"/>
        <family val="2"/>
      </rPr>
      <t xml:space="preserve">巷</t>
    </r>
    <r>
      <rPr>
        <sz val="10"/>
        <color rgb="FF1F2A28"/>
        <rFont val="Arial"/>
        <family val="0"/>
        <charset val="1"/>
      </rPr>
      <t xml:space="preserve">29</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</si>
  <si>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邵鈺婷</t>
  </si>
  <si>
    <t xml:space="preserve">臺北市私立弘興美語短期補習班</t>
  </si>
  <si>
    <r>
      <rPr>
        <sz val="10"/>
        <color rgb="FF1F2A28"/>
        <rFont val="WenQuanYi Zen Hei"/>
        <family val="2"/>
      </rPr>
      <t xml:space="preserve">松山區光復南路</t>
    </r>
    <r>
      <rPr>
        <sz val="10"/>
        <color rgb="FF1F2A28"/>
        <rFont val="Arial"/>
        <family val="0"/>
        <charset val="1"/>
      </rPr>
      <t xml:space="preserve">46</t>
    </r>
    <r>
      <rPr>
        <sz val="10"/>
        <color rgb="FF1F2A28"/>
        <rFont val="WenQuanYi Zen Hei"/>
        <family val="2"/>
      </rPr>
      <t xml:space="preserve">巷</t>
    </r>
    <r>
      <rPr>
        <sz val="10"/>
        <color rgb="FF1F2A28"/>
        <rFont val="Arial"/>
        <family val="0"/>
        <charset val="1"/>
      </rPr>
      <t xml:space="preserve">19</t>
    </r>
    <r>
      <rPr>
        <sz val="10"/>
        <color rgb="FF1F2A28"/>
        <rFont val="WenQuanYi Zen Hei"/>
        <family val="2"/>
      </rPr>
      <t xml:space="preserve">、</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</si>
  <si>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劉美玲</t>
  </si>
  <si>
    <t xml:space="preserve">臺北市私立復星文理短期補習班</t>
  </si>
  <si>
    <r>
      <rPr>
        <sz val="10"/>
        <color rgb="FF1F2A28"/>
        <rFont val="WenQuanYi Zen Hei"/>
        <family val="2"/>
      </rPr>
      <t xml:space="preserve">松山區民權東路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106</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弄</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</si>
  <si>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87705058</t>
  </si>
  <si>
    <t xml:space="preserve">yumimi3205@gmail.com</t>
  </si>
  <si>
    <t xml:space="preserve">陳民璐</t>
  </si>
  <si>
    <t xml:space="preserve">吳佳芳</t>
  </si>
  <si>
    <t xml:space="preserve">臺北市私立恩迪文理短期補習班健康分班</t>
  </si>
  <si>
    <r>
      <rPr>
        <sz val="10"/>
        <color rgb="FF1F2A28"/>
        <rFont val="WenQuanYi Zen Hei"/>
        <family val="2"/>
      </rPr>
      <t xml:space="preserve">松山區延壽街</t>
    </r>
    <r>
      <rPr>
        <sz val="10"/>
        <color rgb="FF1F2A28"/>
        <rFont val="Arial"/>
        <family val="0"/>
        <charset val="1"/>
      </rPr>
      <t xml:space="preserve">330</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弄</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</si>
  <si>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25288982</t>
  </si>
  <si>
    <t xml:space="preserve">chenth@gmail.com</t>
  </si>
  <si>
    <t xml:space="preserve">2014-11-01</t>
  </si>
  <si>
    <t xml:space="preserve">陳子浩</t>
  </si>
  <si>
    <t xml:space="preserve">鄭婉如</t>
  </si>
  <si>
    <t xml:space="preserve">臺北市私立恩迪文理短期補習班民族分班</t>
  </si>
  <si>
    <r>
      <rPr>
        <sz val="10"/>
        <color rgb="FF1F2A28"/>
        <rFont val="WenQuanYi Zen Hei"/>
        <family val="2"/>
      </rPr>
      <t xml:space="preserve">松山區民生東路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97</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弄</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</si>
  <si>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27181839</t>
  </si>
  <si>
    <t xml:space="preserve">陳志行</t>
  </si>
  <si>
    <t xml:space="preserve">曾鼎元</t>
  </si>
  <si>
    <t xml:space="preserve">臺北市私立敦品文理短期補習班</t>
  </si>
  <si>
    <r>
      <rPr>
        <sz val="10"/>
        <color rgb="FF1F2A28"/>
        <rFont val="WenQuanYi Zen Hei"/>
        <family val="2"/>
      </rPr>
      <t xml:space="preserve">松山區南京東路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251</t>
    </r>
    <r>
      <rPr>
        <sz val="10"/>
        <color rgb="FF1F2A28"/>
        <rFont val="WenQuanYi Zen Hei"/>
        <family val="2"/>
      </rPr>
      <t xml:space="preserve">巷</t>
    </r>
    <r>
      <rPr>
        <sz val="10"/>
        <color rgb="FF1F2A28"/>
        <rFont val="Arial"/>
        <family val="0"/>
        <charset val="1"/>
      </rPr>
      <t xml:space="preserve">22</t>
    </r>
    <r>
      <rPr>
        <sz val="10"/>
        <color rgb="FF1F2A28"/>
        <rFont val="WenQuanYi Zen Hei"/>
        <family val="2"/>
      </rPr>
      <t xml:space="preserve">弄</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40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</si>
  <si>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(02)25288689</t>
  </si>
  <si>
    <t xml:space="preserve">giraffe@dunpin.com.tw</t>
  </si>
  <si>
    <t xml:space="preserve">簡詩婷</t>
  </si>
  <si>
    <t xml:space="preserve">臺北市私立李悟文理短期補習班</t>
  </si>
  <si>
    <r>
      <rPr>
        <sz val="10"/>
        <color rgb="FF1F2A28"/>
        <rFont val="WenQuanYi Zen Hei"/>
        <family val="2"/>
      </rPr>
      <t xml:space="preserve">松山區八德路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12</t>
    </r>
    <r>
      <rPr>
        <sz val="10"/>
        <color rgb="FF1F2A28"/>
        <rFont val="WenQuanYi Zen Hei"/>
        <family val="2"/>
      </rPr>
      <t xml:space="preserve">巷</t>
    </r>
    <r>
      <rPr>
        <sz val="10"/>
        <color rgb="FF1F2A28"/>
        <rFont val="Arial"/>
        <family val="0"/>
        <charset val="1"/>
      </rPr>
      <t xml:space="preserve">51</t>
    </r>
    <r>
      <rPr>
        <sz val="10"/>
        <color rgb="FF1F2A28"/>
        <rFont val="WenQuanYi Zen Hei"/>
        <family val="2"/>
      </rPr>
      <t xml:space="preserve">弄</t>
    </r>
    <r>
      <rPr>
        <sz val="10"/>
        <color rgb="FF1F2A28"/>
        <rFont val="Arial"/>
        <family val="0"/>
        <charset val="1"/>
      </rPr>
      <t xml:space="preserve">34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</si>
  <si>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25773553</t>
  </si>
  <si>
    <t xml:space="preserve">lw88339098@gmail.com</t>
  </si>
  <si>
    <t xml:space="preserve">施佳儂</t>
  </si>
  <si>
    <t xml:space="preserve">臺北市私立梧桐樹語言文理補習班</t>
  </si>
  <si>
    <r>
      <rPr>
        <sz val="10"/>
        <color rgb="FF1F2A28"/>
        <rFont val="WenQuanYi Zen Hei"/>
        <family val="2"/>
      </rPr>
      <t xml:space="preserve">松山區延壽街</t>
    </r>
    <r>
      <rPr>
        <sz val="10"/>
        <color rgb="FF1F2A28"/>
        <rFont val="Arial"/>
        <family val="0"/>
        <charset val="1"/>
      </rPr>
      <t xml:space="preserve">330</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</si>
  <si>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27696506, 0958318618</t>
  </si>
  <si>
    <t xml:space="preserve">englishwu88@gmail.com</t>
  </si>
  <si>
    <t xml:space="preserve">2012-11-07</t>
  </si>
  <si>
    <t xml:space="preserve">吳丞泳</t>
  </si>
  <si>
    <t xml:space="preserve">臺北市私立沐恩文理短期補習班</t>
  </si>
  <si>
    <r>
      <rPr>
        <sz val="10"/>
        <color rgb="FF1F2A28"/>
        <rFont val="WenQuanYi Zen Hei"/>
        <family val="2"/>
      </rPr>
      <t xml:space="preserve">松山區健康路</t>
    </r>
    <r>
      <rPr>
        <sz val="10"/>
        <color rgb="FF1F2A28"/>
        <rFont val="Arial"/>
        <family val="0"/>
        <charset val="1"/>
      </rPr>
      <t xml:space="preserve">15</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</si>
  <si>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(02)25450103</t>
  </si>
  <si>
    <t xml:space="preserve">sai919mon@gmail.com</t>
  </si>
  <si>
    <t xml:space="preserve">2025-11-27</t>
  </si>
  <si>
    <t xml:space="preserve">蔡沂瑾</t>
  </si>
  <si>
    <t xml:space="preserve">臺北市私立派爾思文理技藝短期補習班</t>
  </si>
  <si>
    <r>
      <rPr>
        <sz val="10"/>
        <color rgb="FF1F2A28"/>
        <rFont val="WenQuanYi Zen Hei"/>
        <family val="2"/>
      </rPr>
      <t xml:space="preserve">松山區南京東路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251</t>
    </r>
    <r>
      <rPr>
        <sz val="10"/>
        <color rgb="FF1F2A28"/>
        <rFont val="WenQuanYi Zen Hei"/>
        <family val="2"/>
      </rPr>
      <t xml:space="preserve">巷</t>
    </r>
    <r>
      <rPr>
        <sz val="10"/>
        <color rgb="FF1F2A28"/>
        <rFont val="Arial"/>
        <family val="0"/>
        <charset val="1"/>
      </rPr>
      <t xml:space="preserve">24</t>
    </r>
    <r>
      <rPr>
        <sz val="10"/>
        <color rgb="FF1F2A28"/>
        <rFont val="WenQuanYi Zen Hei"/>
        <family val="2"/>
      </rPr>
      <t xml:space="preserve">弄</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</si>
  <si>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27562110</t>
  </si>
  <si>
    <t xml:space="preserve">2003-09-01</t>
  </si>
  <si>
    <t xml:space="preserve">賴美芳</t>
  </si>
  <si>
    <t xml:space="preserve">林詹健</t>
  </si>
  <si>
    <t xml:space="preserve">臺北市私立畢達奇文理短期補習班</t>
  </si>
  <si>
    <r>
      <rPr>
        <sz val="10"/>
        <color rgb="FF1F2A28"/>
        <rFont val="WenQuanYi Zen Hei"/>
        <family val="2"/>
      </rPr>
      <t xml:space="preserve">松山區南京東路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120</t>
    </r>
    <r>
      <rPr>
        <sz val="10"/>
        <color rgb="FF1F2A28"/>
        <rFont val="WenQuanYi Zen Hei"/>
        <family val="2"/>
      </rPr>
      <t xml:space="preserve">巷</t>
    </r>
    <r>
      <rPr>
        <sz val="10"/>
        <color rgb="FF1F2A28"/>
        <rFont val="Arial"/>
        <family val="0"/>
        <charset val="1"/>
      </rPr>
      <t xml:space="preserve">29</t>
    </r>
    <r>
      <rPr>
        <sz val="10"/>
        <color rgb="FF1F2A28"/>
        <rFont val="WenQuanYi Zen Hei"/>
        <family val="2"/>
      </rPr>
      <t xml:space="preserve">弄</t>
    </r>
    <r>
      <rPr>
        <sz val="10"/>
        <color rgb="FF1F2A28"/>
        <rFont val="Arial"/>
        <family val="0"/>
        <charset val="1"/>
      </rPr>
      <t xml:space="preserve">14</t>
    </r>
    <r>
      <rPr>
        <sz val="10"/>
        <color rgb="FF1F2A28"/>
        <rFont val="WenQuanYi Zen Hei"/>
        <family val="2"/>
      </rPr>
      <t xml:space="preserve">號</t>
    </r>
  </si>
  <si>
    <t xml:space="preserve">25771786</t>
  </si>
  <si>
    <t xml:space="preserve">dotdot25789177@gmail.com</t>
  </si>
  <si>
    <t xml:space="preserve">王育華</t>
  </si>
  <si>
    <t xml:space="preserve">陳信誠</t>
  </si>
  <si>
    <t xml:space="preserve">臺北市私立睿智語文文理短期補習班</t>
  </si>
  <si>
    <r>
      <rPr>
        <sz val="10"/>
        <color rgb="FF1F2A28"/>
        <rFont val="WenQuanYi Zen Hei"/>
        <family val="2"/>
      </rPr>
      <t xml:space="preserve">松山區光復北路</t>
    </r>
    <r>
      <rPr>
        <sz val="10"/>
        <color rgb="FF1F2A28"/>
        <rFont val="Arial"/>
        <family val="0"/>
        <charset val="1"/>
      </rPr>
      <t xml:space="preserve">230</t>
    </r>
    <r>
      <rPr>
        <sz val="10"/>
        <color rgb="FF1F2A28"/>
        <rFont val="WenQuanYi Zen Hei"/>
        <family val="2"/>
      </rPr>
      <t xml:space="preserve">巷</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</si>
  <si>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27151177</t>
  </si>
  <si>
    <t xml:space="preserve">minshengaces@gmail.com</t>
  </si>
  <si>
    <t xml:space="preserve">廖文菁</t>
  </si>
  <si>
    <t xml:space="preserve">臺北市私立睿智語文短期補習班一分班</t>
  </si>
  <si>
    <r>
      <rPr>
        <sz val="10"/>
        <color rgb="FF1F2A28"/>
        <rFont val="WenQuanYi Zen Hei"/>
        <family val="2"/>
      </rPr>
      <t xml:space="preserve">松山區光復北路</t>
    </r>
    <r>
      <rPr>
        <sz val="10"/>
        <color rgb="FF1F2A28"/>
        <rFont val="Arial"/>
        <family val="0"/>
        <charset val="1"/>
      </rPr>
      <t xml:space="preserve">230</t>
    </r>
    <r>
      <rPr>
        <sz val="10"/>
        <color rgb="FF1F2A28"/>
        <rFont val="WenQuanYi Zen Hei"/>
        <family val="2"/>
      </rPr>
      <t xml:space="preserve">巷</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</si>
  <si>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李欣蕙</t>
  </si>
  <si>
    <t xml:space="preserve">臺北市私立睿智語文短期補習班二分班</t>
  </si>
  <si>
    <r>
      <rPr>
        <sz val="10"/>
        <color rgb="FF1F2A28"/>
        <rFont val="WenQuanYi Zen Hei"/>
        <family val="2"/>
      </rPr>
      <t xml:space="preserve">松山區光復北路</t>
    </r>
    <r>
      <rPr>
        <sz val="10"/>
        <color rgb="FF1F2A28"/>
        <rFont val="Arial"/>
        <family val="0"/>
        <charset val="1"/>
      </rPr>
      <t xml:space="preserve">230</t>
    </r>
    <r>
      <rPr>
        <sz val="10"/>
        <color rgb="FF1F2A28"/>
        <rFont val="WenQuanYi Zen Hei"/>
        <family val="2"/>
      </rPr>
      <t xml:space="preserve">巷</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</si>
  <si>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杜金美</t>
  </si>
  <si>
    <t xml:space="preserve">臺北市私立第一志願短期補習班延壽分班</t>
  </si>
  <si>
    <r>
      <rPr>
        <sz val="10"/>
        <color rgb="FF1F2A28"/>
        <rFont val="WenQuanYi Zen Hei"/>
        <family val="2"/>
      </rPr>
      <t xml:space="preserve">松山區延壽街</t>
    </r>
    <r>
      <rPr>
        <sz val="10"/>
        <color rgb="FF1F2A28"/>
        <rFont val="Arial"/>
        <family val="0"/>
        <charset val="1"/>
      </rPr>
      <t xml:space="preserve">418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</si>
  <si>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27535785</t>
  </si>
  <si>
    <t xml:space="preserve">no1888@hotmail.com.tw</t>
  </si>
  <si>
    <t xml:space="preserve">邱美玲</t>
  </si>
  <si>
    <t xml:space="preserve">蕭力州</t>
  </si>
  <si>
    <t xml:space="preserve">臺北市私立米可文理短期補習班</t>
  </si>
  <si>
    <r>
      <rPr>
        <sz val="10"/>
        <color rgb="FF1F2A28"/>
        <rFont val="WenQuanYi Zen Hei"/>
        <family val="2"/>
      </rPr>
      <t xml:space="preserve">松山區富錦街</t>
    </r>
    <r>
      <rPr>
        <sz val="10"/>
        <color rgb="FF1F2A28"/>
        <rFont val="Arial"/>
        <family val="0"/>
        <charset val="1"/>
      </rPr>
      <t xml:space="preserve">365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</si>
  <si>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02-27635879</t>
  </si>
  <si>
    <t xml:space="preserve">diean0430@gmail.com</t>
  </si>
  <si>
    <t xml:space="preserve">張宜芳</t>
  </si>
  <si>
    <t xml:space="preserve">臺北市私立聖馬特文理短期補習班</t>
  </si>
  <si>
    <r>
      <rPr>
        <sz val="10"/>
        <color rgb="FF1F2A28"/>
        <rFont val="WenQuanYi Zen Hei"/>
        <family val="2"/>
      </rPr>
      <t xml:space="preserve">松山區富錦街</t>
    </r>
    <r>
      <rPr>
        <sz val="10"/>
        <color rgb="FF1F2A28"/>
        <rFont val="Arial"/>
        <family val="0"/>
        <charset val="1"/>
      </rPr>
      <t xml:space="preserve">491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</si>
  <si>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27681152</t>
  </si>
  <si>
    <t xml:space="preserve">cjcheng608@gmail.com</t>
  </si>
  <si>
    <t xml:space="preserve">2001-01-04</t>
  </si>
  <si>
    <t xml:space="preserve">程淑莞</t>
  </si>
  <si>
    <t xml:space="preserve">臺北市私立艾可文理短期補習班</t>
  </si>
  <si>
    <r>
      <rPr>
        <sz val="10"/>
        <color rgb="FF1F2A28"/>
        <rFont val="WenQuanYi Zen Hei"/>
        <family val="2"/>
      </rPr>
      <t xml:space="preserve">松山區民生東路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41</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</si>
  <si>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27667778</t>
  </si>
  <si>
    <t xml:space="preserve">王心妤</t>
  </si>
  <si>
    <t xml:space="preserve">臺北市私立英華語文技藝短期補習班</t>
  </si>
  <si>
    <r>
      <rPr>
        <sz val="10"/>
        <color rgb="FF1F2A28"/>
        <rFont val="WenQuanYi Zen Hei"/>
        <family val="2"/>
      </rPr>
      <t xml:space="preserve">松山區富錦街</t>
    </r>
    <r>
      <rPr>
        <sz val="10"/>
        <color rgb="FF1F2A28"/>
        <rFont val="Arial"/>
        <family val="0"/>
        <charset val="1"/>
      </rPr>
      <t xml:space="preserve">356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</si>
  <si>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25285975</t>
  </si>
  <si>
    <t xml:space="preserve">janechai88@hotmail.com</t>
  </si>
  <si>
    <t xml:space="preserve">蔡孟君</t>
  </si>
  <si>
    <t xml:space="preserve">臺北市私立菲比美語短期補習班</t>
  </si>
  <si>
    <r>
      <rPr>
        <sz val="10"/>
        <color rgb="FF1F2A28"/>
        <rFont val="WenQuanYi Zen Hei"/>
        <family val="2"/>
      </rPr>
      <t xml:space="preserve">松山區南京東路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147</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</si>
  <si>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27534566</t>
  </si>
  <si>
    <t xml:space="preserve">jajakids934@gmail.com</t>
  </si>
  <si>
    <t xml:space="preserve">盧妙蓮</t>
  </si>
  <si>
    <t xml:space="preserve">臺北市私立蘭斯洛特語文短期補習班</t>
  </si>
  <si>
    <r>
      <rPr>
        <sz val="10"/>
        <color rgb="FF1F2A28"/>
        <rFont val="WenQuanYi Zen Hei"/>
        <family val="2"/>
      </rPr>
      <t xml:space="preserve">松山區延壽街</t>
    </r>
    <r>
      <rPr>
        <sz val="10"/>
        <color rgb="FF1F2A28"/>
        <rFont val="Arial"/>
        <family val="0"/>
        <charset val="1"/>
      </rPr>
      <t xml:space="preserve">351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368</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樓</t>
    </r>
  </si>
  <si>
    <t xml:space="preserve">27458576</t>
  </si>
  <si>
    <t xml:space="preserve">lancelot587@gmail.com</t>
  </si>
  <si>
    <t xml:space="preserve">王文中</t>
  </si>
  <si>
    <t xml:space="preserve">陳文玲</t>
  </si>
  <si>
    <t xml:space="preserve">臺北市私立西斯頓語文文理短期補習班</t>
  </si>
  <si>
    <r>
      <rPr>
        <sz val="10"/>
        <color rgb="FF1F2A28"/>
        <rFont val="WenQuanYi Zen Hei"/>
        <family val="2"/>
      </rPr>
      <t xml:space="preserve">松山區健康路</t>
    </r>
    <r>
      <rPr>
        <sz val="10"/>
        <color rgb="FF1F2A28"/>
        <rFont val="Arial"/>
        <family val="0"/>
        <charset val="1"/>
      </rPr>
      <t xml:space="preserve">8</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</si>
  <si>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25452110</t>
  </si>
  <si>
    <t xml:space="preserve">thesystemenglishschool@gmail.com</t>
  </si>
  <si>
    <t xml:space="preserve">臺北市私立賀瑞美語技藝短期補習班南京分班</t>
  </si>
  <si>
    <r>
      <rPr>
        <sz val="10"/>
        <color rgb="FF1F2A28"/>
        <rFont val="WenQuanYi Zen Hei"/>
        <family val="2"/>
      </rPr>
      <t xml:space="preserve">松山區健康路</t>
    </r>
    <r>
      <rPr>
        <sz val="10"/>
        <color rgb="FF1F2A28"/>
        <rFont val="Arial"/>
        <family val="0"/>
        <charset val="1"/>
      </rPr>
      <t xml:space="preserve">58</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58</t>
    </r>
    <r>
      <rPr>
        <sz val="10"/>
        <color rgb="FF1F2A28"/>
        <rFont val="WenQuanYi Zen Hei"/>
        <family val="2"/>
      </rPr>
      <t xml:space="preserve">巷</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</si>
  <si>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87125502</t>
  </si>
  <si>
    <t xml:space="preserve">hurray2015@gmail.com</t>
  </si>
  <si>
    <t xml:space="preserve">2007-06-20</t>
  </si>
  <si>
    <t xml:space="preserve">鄭錦雪</t>
  </si>
  <si>
    <t xml:space="preserve">汝孟瑤</t>
  </si>
  <si>
    <t xml:space="preserve">臺北市私立軟實力文理短期補習班</t>
  </si>
  <si>
    <r>
      <rPr>
        <sz val="10"/>
        <color rgb="FF1F2A28"/>
        <rFont val="WenQuanYi Zen Hei"/>
        <family val="2"/>
      </rPr>
      <t xml:space="preserve">松山區南京東路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</si>
  <si>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27152352</t>
  </si>
  <si>
    <t xml:space="preserve">ascent@ubitaiwan.org</t>
  </si>
  <si>
    <t xml:space="preserve">呂宥聖</t>
  </si>
  <si>
    <t xml:space="preserve">臺北市私立關心語文短期補習班</t>
  </si>
  <si>
    <r>
      <rPr>
        <sz val="10"/>
        <color rgb="FF1F2A28"/>
        <rFont val="WenQuanYi Zen Hei"/>
        <family val="2"/>
      </rPr>
      <t xml:space="preserve">松山區敦化北路</t>
    </r>
    <r>
      <rPr>
        <sz val="10"/>
        <color rgb="FF1F2A28"/>
        <rFont val="Arial"/>
        <family val="0"/>
        <charset val="1"/>
      </rPr>
      <t xml:space="preserve">141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</si>
  <si>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87705850</t>
  </si>
  <si>
    <t xml:space="preserve">wee.care@msa.hinet.net</t>
  </si>
  <si>
    <t xml:space="preserve">蕭漢妮</t>
  </si>
  <si>
    <t xml:space="preserve">楊珮青</t>
  </si>
  <si>
    <t xml:space="preserve">英協文教有限公司附設臺北市私立松山一文理短期補習班</t>
  </si>
  <si>
    <r>
      <rPr>
        <sz val="10"/>
        <color rgb="FF1F2A28"/>
        <rFont val="WenQuanYi Zen Hei"/>
        <family val="2"/>
      </rPr>
      <t xml:space="preserve">松山區民生東路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101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及</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2</t>
    </r>
  </si>
  <si>
    <t xml:space="preserve">(02)27180226</t>
  </si>
  <si>
    <t xml:space="preserve">兒童英語、成人英語</t>
  </si>
  <si>
    <t xml:space="preserve">2023-01-04</t>
  </si>
  <si>
    <t xml:space="preserve">高育婕</t>
  </si>
  <si>
    <t xml:space="preserve">英協文教有限公司附設臺北市私立松山文理短期補習班</t>
  </si>
  <si>
    <r>
      <rPr>
        <sz val="10"/>
        <color rgb="FF1F2A28"/>
        <rFont val="WenQuanYi Zen Hei"/>
        <family val="2"/>
      </rPr>
      <t xml:space="preserve">松山區民生東路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101</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及</t>
    </r>
    <r>
      <rPr>
        <sz val="10"/>
        <color rgb="FF1F2A28"/>
        <rFont val="Arial"/>
        <family val="0"/>
        <charset val="1"/>
      </rPr>
      <t xml:space="preserve">4</t>
    </r>
    <r>
      <rPr>
        <sz val="10"/>
        <color rgb="FF1F2A28"/>
        <rFont val="WenQuanYi Zen Hei"/>
        <family val="2"/>
      </rPr>
      <t xml:space="preserve">樓共用部分</t>
    </r>
  </si>
  <si>
    <t xml:space="preserve">2023-02-21</t>
  </si>
  <si>
    <t xml:space="preserve">王凱琳</t>
  </si>
  <si>
    <t xml:space="preserve">語城文化股份有限公司附設臺北市私立語城文理短期補習班</t>
  </si>
  <si>
    <r>
      <rPr>
        <sz val="10"/>
        <color rgb="FF1F2A28"/>
        <rFont val="WenQuanYi Zen Hei"/>
        <family val="2"/>
      </rPr>
      <t xml:space="preserve">松山區八德路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437</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弄</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</si>
  <si>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02-27118800</t>
  </si>
  <si>
    <t xml:space="preserve">Sophie.hsu@eagletw.com</t>
  </si>
  <si>
    <r>
      <rPr>
        <sz val="10"/>
        <color rgb="FF1F2A28"/>
        <rFont val="WenQuanYi Zen Hei"/>
        <family val="2"/>
      </rPr>
      <t xml:space="preserve">語城文化股份有限公司</t>
    </r>
    <r>
      <rPr>
        <sz val="10"/>
        <color rgb="FF1F2A28"/>
        <rFont val="Arial"/>
        <family val="0"/>
        <charset val="1"/>
      </rPr>
      <t xml:space="preserve">(</t>
    </r>
    <r>
      <rPr>
        <sz val="10"/>
        <color rgb="FF1F2A28"/>
        <rFont val="WenQuanYi Zen Hei"/>
        <family val="2"/>
      </rPr>
      <t xml:space="preserve">魏玉萍</t>
    </r>
    <r>
      <rPr>
        <sz val="10"/>
        <color rgb="FF1F2A28"/>
        <rFont val="Arial"/>
        <family val="0"/>
        <charset val="1"/>
      </rPr>
      <t xml:space="preserve">)</t>
    </r>
  </si>
  <si>
    <t xml:space="preserve">莊宗勳</t>
  </si>
  <si>
    <t xml:space="preserve">萬華區</t>
  </si>
  <si>
    <t xml:space="preserve">台北市私立中華基督教青年會附設文理技藝綜合短期補習班</t>
  </si>
  <si>
    <r>
      <rPr>
        <sz val="10"/>
        <color rgb="FF1F2A28"/>
        <rFont val="WenQuanYi Zen Hei"/>
        <family val="2"/>
      </rPr>
      <t xml:space="preserve">萬華區昆明街</t>
    </r>
    <r>
      <rPr>
        <sz val="10"/>
        <color rgb="FF1F2A28"/>
        <rFont val="Arial"/>
        <family val="0"/>
        <charset val="1"/>
      </rPr>
      <t xml:space="preserve">290</t>
    </r>
    <r>
      <rPr>
        <sz val="10"/>
        <color rgb="FF1F2A28"/>
        <rFont val="WenQuanYi Zen Hei"/>
        <family val="2"/>
      </rPr>
      <t xml:space="preserve">號</t>
    </r>
  </si>
  <si>
    <t xml:space="preserve">23610271</t>
  </si>
  <si>
    <t xml:space="preserve">ymcawh@gmail.com</t>
  </si>
  <si>
    <t xml:space="preserve">1961-07-01</t>
  </si>
  <si>
    <t xml:space="preserve">顏文妍</t>
  </si>
  <si>
    <t xml:space="preserve">臺北市私立世昕英語短期補習班</t>
  </si>
  <si>
    <r>
      <rPr>
        <sz val="10"/>
        <color rgb="FF1F2A28"/>
        <rFont val="WenQuanYi Zen Hei"/>
        <family val="2"/>
      </rPr>
      <t xml:space="preserve">萬華區東園街</t>
    </r>
    <r>
      <rPr>
        <sz val="10"/>
        <color rgb="FF1F2A28"/>
        <rFont val="Arial"/>
        <family val="0"/>
        <charset val="1"/>
      </rPr>
      <t xml:space="preserve">141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</si>
  <si>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2301-9538</t>
  </si>
  <si>
    <t xml:space="preserve">BA002@joy.com.tw</t>
  </si>
  <si>
    <t xml:space="preserve">1996-12-01</t>
  </si>
  <si>
    <t xml:space="preserve">黃品淞</t>
  </si>
  <si>
    <t xml:space="preserve">臺北市私立仁光語文短期補習班</t>
  </si>
  <si>
    <r>
      <rPr>
        <sz val="10"/>
        <color rgb="FF1F2A28"/>
        <rFont val="WenQuanYi Zen Hei"/>
        <family val="2"/>
      </rPr>
      <t xml:space="preserve">萬華區西園路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207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3</t>
    </r>
  </si>
  <si>
    <t xml:space="preserve">23325453</t>
  </si>
  <si>
    <t xml:space="preserve">si.yun@msa.hinet.net</t>
  </si>
  <si>
    <t xml:space="preserve">洪梅香</t>
  </si>
  <si>
    <t xml:space="preserve">臺北市私立偉人英語文理短期補習班</t>
  </si>
  <si>
    <r>
      <rPr>
        <sz val="10"/>
        <color rgb="FF1F2A28"/>
        <rFont val="WenQuanYi Zen Hei"/>
        <family val="2"/>
      </rPr>
      <t xml:space="preserve">萬華區中華路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192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、之</t>
    </r>
    <r>
      <rPr>
        <sz val="10"/>
        <color rgb="FF1F2A28"/>
        <rFont val="Arial"/>
        <family val="0"/>
        <charset val="1"/>
      </rPr>
      <t xml:space="preserve">3</t>
    </r>
  </si>
  <si>
    <t xml:space="preserve">23112907</t>
  </si>
  <si>
    <t xml:space="preserve">ping200206@yahoo.com</t>
  </si>
  <si>
    <t xml:space="preserve">1980-04-23</t>
  </si>
  <si>
    <t xml:space="preserve">陳平</t>
  </si>
  <si>
    <t xml:space="preserve">臺北市私立凱程文理短期補習班</t>
  </si>
  <si>
    <r>
      <rPr>
        <sz val="10"/>
        <color rgb="FF1F2A28"/>
        <rFont val="WenQuanYi Zen Hei"/>
        <family val="2"/>
      </rPr>
      <t xml:space="preserve">萬華區東園街</t>
    </r>
    <r>
      <rPr>
        <sz val="10"/>
        <color rgb="FF1F2A28"/>
        <rFont val="Arial"/>
        <family val="0"/>
        <charset val="1"/>
      </rPr>
      <t xml:space="preserve">73</t>
    </r>
    <r>
      <rPr>
        <sz val="10"/>
        <color rgb="FF1F2A28"/>
        <rFont val="WenQuanYi Zen Hei"/>
        <family val="2"/>
      </rPr>
      <t xml:space="preserve">巷</t>
    </r>
    <r>
      <rPr>
        <sz val="10"/>
        <color rgb="FF1F2A28"/>
        <rFont val="Arial"/>
        <family val="0"/>
        <charset val="1"/>
      </rPr>
      <t xml:space="preserve">84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樓及地下</t>
    </r>
    <r>
      <rPr>
        <sz val="10"/>
        <color rgb="FF1F2A28"/>
        <rFont val="Arial"/>
        <family val="0"/>
        <charset val="1"/>
      </rPr>
      <t xml:space="preserve">1</t>
    </r>
    <r>
      <rPr>
        <sz val="10"/>
        <color rgb="FF1F2A28"/>
        <rFont val="WenQuanYi Zen Hei"/>
        <family val="2"/>
      </rPr>
      <t xml:space="preserve">樓</t>
    </r>
  </si>
  <si>
    <t xml:space="preserve">23397996</t>
  </si>
  <si>
    <t xml:space="preserve">xooy0784@yahoo.com.tw</t>
  </si>
  <si>
    <t xml:space="preserve">林妍里</t>
  </si>
  <si>
    <t xml:space="preserve">林姝柔</t>
  </si>
  <si>
    <t xml:space="preserve">臺北市私立台清交文理短期補習班</t>
  </si>
  <si>
    <r>
      <rPr>
        <sz val="10"/>
        <color rgb="FF1F2A28"/>
        <rFont val="WenQuanYi Zen Hei"/>
        <family val="2"/>
      </rPr>
      <t xml:space="preserve">萬華區萬大路</t>
    </r>
    <r>
      <rPr>
        <sz val="10"/>
        <color rgb="FF1F2A28"/>
        <rFont val="Arial"/>
        <family val="0"/>
        <charset val="1"/>
      </rPr>
      <t xml:space="preserve">345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</si>
  <si>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(02)2332-2988</t>
  </si>
  <si>
    <t xml:space="preserve">96323008hu@gmail.com</t>
  </si>
  <si>
    <t xml:space="preserve">2022-07-19</t>
  </si>
  <si>
    <t xml:space="preserve">鄭胡美香</t>
  </si>
  <si>
    <t xml:space="preserve">臺北市私立宇聲語文音樂短期補習班</t>
  </si>
  <si>
    <r>
      <rPr>
        <sz val="10"/>
        <color rgb="FF1F2A28"/>
        <rFont val="WenQuanYi Zen Hei"/>
        <family val="2"/>
      </rPr>
      <t xml:space="preserve">萬華區國興路</t>
    </r>
    <r>
      <rPr>
        <sz val="10"/>
        <color rgb="FF1F2A28"/>
        <rFont val="Arial"/>
        <family val="0"/>
        <charset val="1"/>
      </rPr>
      <t xml:space="preserve">92</t>
    </r>
    <r>
      <rPr>
        <sz val="10"/>
        <color rgb="FF1F2A28"/>
        <rFont val="WenQuanYi Zen Hei"/>
        <family val="2"/>
      </rPr>
      <t xml:space="preserve">之</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樓、國興路</t>
    </r>
    <r>
      <rPr>
        <sz val="10"/>
        <color rgb="FF1F2A28"/>
        <rFont val="Arial"/>
        <family val="0"/>
        <charset val="1"/>
      </rPr>
      <t xml:space="preserve">90</t>
    </r>
    <r>
      <rPr>
        <sz val="10"/>
        <color rgb="FF1F2A28"/>
        <rFont val="WenQuanYi Zen Hei"/>
        <family val="2"/>
      </rPr>
      <t xml:space="preserve">之</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</si>
  <si>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(02)23014718</t>
  </si>
  <si>
    <t xml:space="preserve">meitocity@gmail.com</t>
  </si>
  <si>
    <t xml:space="preserve">1992-07-01</t>
  </si>
  <si>
    <t xml:space="preserve">黃淑燕</t>
  </si>
  <si>
    <t xml:space="preserve">詹宇欣</t>
  </si>
  <si>
    <t xml:space="preserve">臺北市私立德易至文理語文短期補習班</t>
  </si>
  <si>
    <r>
      <rPr>
        <sz val="10"/>
        <color rgb="FF1F2A28"/>
        <rFont val="WenQuanYi Zen Hei"/>
        <family val="2"/>
      </rPr>
      <t xml:space="preserve">萬華區中華路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78</t>
    </r>
    <r>
      <rPr>
        <sz val="10"/>
        <color rgb="FF1F2A28"/>
        <rFont val="WenQuanYi Zen Hei"/>
        <family val="2"/>
      </rPr>
      <t xml:space="preserve">號</t>
    </r>
    <r>
      <rPr>
        <sz val="10"/>
        <color rgb="FF1F2A28"/>
        <rFont val="Arial"/>
        <family val="0"/>
        <charset val="1"/>
      </rPr>
      <t xml:space="preserve">11</t>
    </r>
    <r>
      <rPr>
        <sz val="10"/>
        <color rgb="FF1F2A28"/>
        <rFont val="WenQuanYi Zen Hei"/>
        <family val="2"/>
      </rPr>
      <t xml:space="preserve">樓</t>
    </r>
  </si>
  <si>
    <t xml:space="preserve">23120390</t>
  </si>
  <si>
    <t xml:space="preserve">german@skys.com.tw</t>
  </si>
  <si>
    <t xml:space="preserve">2016-12-23</t>
  </si>
  <si>
    <t xml:space="preserve">侯淑慧</t>
  </si>
  <si>
    <t xml:space="preserve">侯兆豐</t>
  </si>
  <si>
    <t xml:space="preserve">臺北市私立歡樂文理短期補習班</t>
  </si>
  <si>
    <r>
      <rPr>
        <sz val="10"/>
        <color rgb="FF1F2A28"/>
        <rFont val="WenQuanYi Zen Hei"/>
        <family val="2"/>
      </rPr>
      <t xml:space="preserve">萬華區中華路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428</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</si>
  <si>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23375845</t>
  </si>
  <si>
    <t xml:space="preserve">albee7469@gmail.com</t>
  </si>
  <si>
    <t xml:space="preserve">謝千涵</t>
  </si>
  <si>
    <t xml:space="preserve">臺北市私立瑪格語文短期補習班</t>
  </si>
  <si>
    <r>
      <rPr>
        <sz val="10"/>
        <color rgb="FF1F2A28"/>
        <rFont val="WenQuanYi Zen Hei"/>
        <family val="2"/>
      </rPr>
      <t xml:space="preserve">萬華區貴陽街</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79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</si>
  <si>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23753344</t>
  </si>
  <si>
    <t xml:space="preserve">ba027@joy.com.tw</t>
  </si>
  <si>
    <t xml:space="preserve">廖華芝</t>
  </si>
  <si>
    <t xml:space="preserve">臺北市私立立能英語文理短期補習班</t>
  </si>
  <si>
    <r>
      <rPr>
        <sz val="10"/>
        <color rgb="FF1F2A28"/>
        <rFont val="WenQuanYi Zen Hei"/>
        <family val="2"/>
      </rPr>
      <t xml:space="preserve">萬華區東園街</t>
    </r>
    <r>
      <rPr>
        <sz val="10"/>
        <color rgb="FF1F2A28"/>
        <rFont val="Arial"/>
        <family val="0"/>
        <charset val="1"/>
      </rPr>
      <t xml:space="preserve">196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194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</si>
  <si>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02-23395058</t>
  </si>
  <si>
    <t xml:space="preserve">a091786784188@gmail.com</t>
  </si>
  <si>
    <t xml:space="preserve">葉書妤</t>
  </si>
  <si>
    <t xml:space="preserve">臺北市私立立達文理短期補習班</t>
  </si>
  <si>
    <r>
      <rPr>
        <sz val="10"/>
        <color rgb="FF1F2A28"/>
        <rFont val="WenQuanYi Zen Hei"/>
        <family val="2"/>
      </rPr>
      <t xml:space="preserve">萬華區中華路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160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</si>
  <si>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23117227</t>
  </si>
  <si>
    <t xml:space="preserve">jimhungchi@yahoo.com.tw</t>
  </si>
  <si>
    <t xml:space="preserve">2014-12-01</t>
  </si>
  <si>
    <t xml:space="preserve">洪乾祐</t>
  </si>
  <si>
    <t xml:space="preserve">張家媛</t>
  </si>
  <si>
    <t xml:space="preserve">臺北市私立育辰文理短期補習班</t>
  </si>
  <si>
    <r>
      <rPr>
        <sz val="10"/>
        <color rgb="FF1F2A28"/>
        <rFont val="WenQuanYi Zen Hei"/>
        <family val="2"/>
      </rPr>
      <t xml:space="preserve">萬華區東園街</t>
    </r>
    <r>
      <rPr>
        <sz val="10"/>
        <color rgb="FF1F2A28"/>
        <rFont val="Arial"/>
        <family val="0"/>
        <charset val="1"/>
      </rPr>
      <t xml:space="preserve">73</t>
    </r>
    <r>
      <rPr>
        <sz val="10"/>
        <color rgb="FF1F2A28"/>
        <rFont val="WenQuanYi Zen Hei"/>
        <family val="2"/>
      </rPr>
      <t xml:space="preserve">巷</t>
    </r>
    <r>
      <rPr>
        <sz val="10"/>
        <color rgb="FF1F2A28"/>
        <rFont val="Arial"/>
        <family val="0"/>
        <charset val="1"/>
      </rPr>
      <t xml:space="preserve">102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104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</si>
  <si>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23331652</t>
  </si>
  <si>
    <t xml:space="preserve">sheep5453@gmail.com</t>
  </si>
  <si>
    <t xml:space="preserve">潘智嘉</t>
  </si>
  <si>
    <t xml:space="preserve">潘婧祺</t>
  </si>
  <si>
    <t xml:space="preserve">臺北市私立艾菲爾情境文理短期補習班</t>
  </si>
  <si>
    <r>
      <rPr>
        <sz val="10"/>
        <color rgb="FF1F2A28"/>
        <rFont val="WenQuanYi Zen Hei"/>
        <family val="2"/>
      </rPr>
      <t xml:space="preserve">萬華區東園街</t>
    </r>
    <r>
      <rPr>
        <sz val="10"/>
        <color rgb="FF1F2A28"/>
        <rFont val="Arial"/>
        <family val="0"/>
        <charset val="1"/>
      </rPr>
      <t xml:space="preserve">73</t>
    </r>
    <r>
      <rPr>
        <sz val="10"/>
        <color rgb="FF1F2A28"/>
        <rFont val="WenQuanYi Zen Hei"/>
        <family val="2"/>
      </rPr>
      <t xml:space="preserve">巷</t>
    </r>
    <r>
      <rPr>
        <sz val="10"/>
        <color rgb="FF1F2A28"/>
        <rFont val="Arial"/>
        <family val="0"/>
        <charset val="1"/>
      </rPr>
      <t xml:space="preserve">70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</si>
  <si>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02-23379481</t>
  </si>
  <si>
    <t xml:space="preserve">b23379481@gmail.com</t>
  </si>
  <si>
    <t xml:space="preserve">2011-07-25</t>
  </si>
  <si>
    <t xml:space="preserve">鍾美娟</t>
  </si>
  <si>
    <t xml:space="preserve">蕭凱騰</t>
  </si>
  <si>
    <t xml:space="preserve">臺北市私立貝爾士文理短期補習班</t>
  </si>
  <si>
    <r>
      <rPr>
        <sz val="10"/>
        <color rgb="FF1F2A28"/>
        <rFont val="WenQuanYi Zen Hei"/>
        <family val="2"/>
      </rPr>
      <t xml:space="preserve">萬華區中華路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192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</si>
  <si>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23753132</t>
  </si>
  <si>
    <t xml:space="preserve">aeginalin@gmail.com</t>
  </si>
  <si>
    <t xml:space="preserve">2007-03-14</t>
  </si>
  <si>
    <t xml:space="preserve">臺北市私立超人文理珠心算短期補習班西園分班</t>
  </si>
  <si>
    <r>
      <rPr>
        <sz val="10"/>
        <color rgb="FF1F2A28"/>
        <rFont val="WenQuanYi Zen Hei"/>
        <family val="2"/>
      </rPr>
      <t xml:space="preserve">萬華區西園路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103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</si>
  <si>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23369969</t>
  </si>
  <si>
    <t xml:space="preserve">wu.ss811@yahoo.com.tw</t>
  </si>
  <si>
    <t xml:space="preserve">2013-07-25</t>
  </si>
  <si>
    <t xml:space="preserve">吳宥絲</t>
  </si>
  <si>
    <t xml:space="preserve">臺北市私立金苗文理短期補習班</t>
  </si>
  <si>
    <r>
      <rPr>
        <sz val="10"/>
        <color rgb="FF1F2A28"/>
        <rFont val="WenQuanYi Zen Hei"/>
        <family val="2"/>
      </rPr>
      <t xml:space="preserve">萬華區萬大路</t>
    </r>
    <r>
      <rPr>
        <sz val="10"/>
        <color rgb="FF1F2A28"/>
        <rFont val="Arial"/>
        <family val="0"/>
        <charset val="1"/>
      </rPr>
      <t xml:space="preserve">272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</si>
  <si>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23375166</t>
  </si>
  <si>
    <t xml:space="preserve">giraffe.wanda@msa.hinet.net</t>
  </si>
  <si>
    <t xml:space="preserve">鄭盧淑珍</t>
  </si>
  <si>
    <t xml:space="preserve">臺北市私立隆華文理技藝短期補習班</t>
  </si>
  <si>
    <r>
      <rPr>
        <sz val="10"/>
        <color rgb="FF1F2A28"/>
        <rFont val="WenQuanYi Zen Hei"/>
        <family val="2"/>
      </rPr>
      <t xml:space="preserve">萬華區西藏路</t>
    </r>
    <r>
      <rPr>
        <sz val="10"/>
        <color rgb="FF1F2A28"/>
        <rFont val="Arial"/>
        <family val="0"/>
        <charset val="1"/>
      </rPr>
      <t xml:space="preserve">239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</si>
  <si>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(02)2339-2488</t>
  </si>
  <si>
    <t xml:space="preserve">giraffe2339@gmail.com</t>
  </si>
  <si>
    <t xml:space="preserve">吳政隆</t>
  </si>
  <si>
    <t xml:space="preserve">尚呈文理語文短期補習班</t>
  </si>
  <si>
    <r>
      <rPr>
        <sz val="10"/>
        <color rgb="FF1F2A28"/>
        <rFont val="WenQuanYi Zen Hei"/>
        <family val="2"/>
      </rPr>
      <t xml:space="preserve">三峽區學成路</t>
    </r>
    <r>
      <rPr>
        <sz val="10"/>
        <color rgb="FF1F2A28"/>
        <rFont val="Arial"/>
        <family val="0"/>
        <charset val="1"/>
      </rPr>
      <t xml:space="preserve">269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層、二層</t>
    </r>
  </si>
  <si>
    <t xml:space="preserve">(02)2679-7666</t>
  </si>
  <si>
    <t xml:space="preserve">julie@englobal.co</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</si>
  <si>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</si>
  <si>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2013-12-18</t>
  </si>
  <si>
    <t xml:space="preserve">朱俐</t>
  </si>
  <si>
    <t xml:space="preserve">梁豪夫</t>
  </si>
  <si>
    <t xml:space="preserve">欣育全語文短期補習班</t>
  </si>
  <si>
    <r>
      <rPr>
        <sz val="10"/>
        <color rgb="FF1F2A28"/>
        <rFont val="WenQuanYi Zen Hei"/>
        <family val="2"/>
      </rPr>
      <t xml:space="preserve">三峽區長泰街</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</si>
  <si>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(02)2674-8181</t>
  </si>
  <si>
    <t xml:space="preserve">y26748181@yahoo.com.tw</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</si>
  <si>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</si>
  <si>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2014-10-23</t>
  </si>
  <si>
    <t xml:space="preserve">張春重</t>
  </si>
  <si>
    <t xml:space="preserve">楊麗玲</t>
  </si>
  <si>
    <t xml:space="preserve">璟瀚文理短期補習班</t>
  </si>
  <si>
    <r>
      <rPr>
        <sz val="10"/>
        <color rgb="FF1F2A28"/>
        <rFont val="WenQuanYi Zen Hei"/>
        <family val="2"/>
      </rPr>
      <t xml:space="preserve">三峽區中山路</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</si>
  <si>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(02)2672-2238</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</si>
  <si>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國文、英文、數學、自然</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</si>
  <si>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2012-11-19</t>
  </si>
  <si>
    <t xml:space="preserve">彭惠玲</t>
  </si>
  <si>
    <t xml:space="preserve">私立全恩語文短期補習班</t>
  </si>
  <si>
    <r>
      <rPr>
        <sz val="10"/>
        <color rgb="FF1F2A28"/>
        <rFont val="WenQuanYi Zen Hei"/>
        <family val="2"/>
      </rPr>
      <t xml:space="preserve">三峽區中華路</t>
    </r>
    <r>
      <rPr>
        <sz val="10"/>
        <color rgb="FF1F2A28"/>
        <rFont val="Arial"/>
        <family val="0"/>
        <charset val="1"/>
      </rPr>
      <t xml:space="preserve">53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</si>
  <si>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(02)86742221</t>
  </si>
  <si>
    <t xml:space="preserve">2016-03-25</t>
  </si>
  <si>
    <t xml:space="preserve">忻恩榆</t>
  </si>
  <si>
    <t xml:space="preserve">私立加合文理語文短期補習班</t>
  </si>
  <si>
    <r>
      <rPr>
        <sz val="10"/>
        <color rgb="FF1F2A28"/>
        <rFont val="WenQuanYi Zen Hei"/>
        <family val="2"/>
      </rPr>
      <t xml:space="preserve">三峽區大同路</t>
    </r>
    <r>
      <rPr>
        <sz val="10"/>
        <color rgb="FF1F2A28"/>
        <rFont val="Arial"/>
        <family val="0"/>
        <charset val="1"/>
      </rPr>
      <t xml:space="preserve">48</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弄</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</si>
  <si>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(02)2674-1567</t>
  </si>
  <si>
    <t xml:space="preserve">jh26741567@yahoo.com.tw</t>
  </si>
  <si>
    <t xml:space="preserve">2014-11-28</t>
  </si>
  <si>
    <t xml:space="preserve">蘇梅蓉</t>
  </si>
  <si>
    <t xml:space="preserve">私立勵學文理語文短期補習班</t>
  </si>
  <si>
    <r>
      <rPr>
        <sz val="10"/>
        <color rgb="FF1F2A28"/>
        <rFont val="WenQuanYi Zen Hei"/>
        <family val="2"/>
      </rPr>
      <t xml:space="preserve">三峽區大學路</t>
    </r>
    <r>
      <rPr>
        <sz val="10"/>
        <color rgb="FF1F2A28"/>
        <rFont val="Arial"/>
        <family val="0"/>
        <charset val="1"/>
      </rPr>
      <t xml:space="preserve">95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</si>
  <si>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(02)86712618</t>
  </si>
  <si>
    <t xml:space="preserve">davidchuchen@yahoo.com.tw</t>
  </si>
  <si>
    <t xml:space="preserve">英、數、美語</t>
  </si>
  <si>
    <t xml:space="preserve">2015-09-16</t>
  </si>
  <si>
    <t xml:space="preserve">邱盛文</t>
  </si>
  <si>
    <t xml:space="preserve">私立卡爾登語文短期補習班</t>
  </si>
  <si>
    <r>
      <rPr>
        <sz val="10"/>
        <color rgb="FF1F2A28"/>
        <rFont val="WenQuanYi Zen Hei"/>
        <family val="2"/>
      </rPr>
      <t xml:space="preserve">三峽區復興路</t>
    </r>
    <r>
      <rPr>
        <sz val="10"/>
        <color rgb="FF1F2A28"/>
        <rFont val="Arial"/>
        <family val="0"/>
        <charset val="1"/>
      </rPr>
      <t xml:space="preserve">57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</si>
  <si>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26737788</t>
  </si>
  <si>
    <t xml:space="preserve">2000-07-29</t>
  </si>
  <si>
    <t xml:space="preserve">周侯勳</t>
  </si>
  <si>
    <t xml:space="preserve">鍾淑楨</t>
  </si>
  <si>
    <r>
      <rPr>
        <sz val="10"/>
        <color rgb="FF1F2A28"/>
        <rFont val="WenQuanYi Zen Hei"/>
        <family val="2"/>
      </rPr>
      <t xml:space="preserve">三峽區永安街</t>
    </r>
    <r>
      <rPr>
        <sz val="10"/>
        <color rgb="FF1F2A28"/>
        <rFont val="Arial"/>
        <family val="0"/>
        <charset val="1"/>
      </rPr>
      <t xml:space="preserve">188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</si>
  <si>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(02)26721035</t>
  </si>
  <si>
    <t xml:space="preserve">私立夏杰北大文理語文短期補習班</t>
  </si>
  <si>
    <r>
      <rPr>
        <sz val="10"/>
        <color rgb="FF1F2A28"/>
        <rFont val="WenQuanYi Zen Hei"/>
        <family val="2"/>
      </rPr>
      <t xml:space="preserve">三峽區大學路</t>
    </r>
    <r>
      <rPr>
        <sz val="10"/>
        <color rgb="FF1F2A28"/>
        <rFont val="Arial"/>
        <family val="0"/>
        <charset val="1"/>
      </rPr>
      <t xml:space="preserve">93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</si>
  <si>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(02)2671-0049</t>
  </si>
  <si>
    <t xml:space="preserve">cgbc100104@yahoo.com.tw</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</si>
  <si>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</si>
  <si>
    <t xml:space="preserve">2014-01-16</t>
  </si>
  <si>
    <t xml:space="preserve">黃舒婷</t>
  </si>
  <si>
    <t xml:space="preserve">私立孔夫子語文短期補習班</t>
  </si>
  <si>
    <r>
      <rPr>
        <sz val="10"/>
        <color rgb="FF1F2A28"/>
        <rFont val="WenQuanYi Zen Hei"/>
        <family val="2"/>
      </rPr>
      <t xml:space="preserve">三峽區民生街</t>
    </r>
    <r>
      <rPr>
        <sz val="10"/>
        <color rgb="FF1F2A28"/>
        <rFont val="Arial"/>
        <family val="0"/>
        <charset val="1"/>
      </rPr>
      <t xml:space="preserve">152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152</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</si>
  <si>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(02)86720463</t>
  </si>
  <si>
    <t xml:space="preserve">2015-10-05</t>
  </si>
  <si>
    <t xml:space="preserve">周基中</t>
  </si>
  <si>
    <t xml:space="preserve">黃淑敏</t>
  </si>
  <si>
    <t xml:space="preserve">私立小甜甜語文短期補習班</t>
  </si>
  <si>
    <r>
      <rPr>
        <sz val="10"/>
        <color rgb="FF1F2A28"/>
        <rFont val="WenQuanYi Zen Hei"/>
        <family val="2"/>
      </rPr>
      <t xml:space="preserve">三峽區中山路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130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</si>
  <si>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(02)26715961</t>
  </si>
  <si>
    <t xml:space="preserve">f58940024@gmail.com</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</si>
  <si>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</si>
  <si>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2008-10-29</t>
  </si>
  <si>
    <t xml:space="preserve">劉明錫</t>
  </si>
  <si>
    <t xml:space="preserve">私立山拇叔叔文理短期補習班</t>
  </si>
  <si>
    <r>
      <rPr>
        <sz val="10"/>
        <color rgb="FF1F2A28"/>
        <rFont val="WenQuanYi Zen Hei"/>
        <family val="2"/>
      </rPr>
      <t xml:space="preserve">三峽區學勤路</t>
    </r>
    <r>
      <rPr>
        <sz val="10"/>
        <color rgb="FF1F2A28"/>
        <rFont val="Arial"/>
        <family val="0"/>
        <charset val="1"/>
      </rPr>
      <t xml:space="preserve">125</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樓</t>
    </r>
  </si>
  <si>
    <t xml:space="preserve">(02)8671-2899</t>
  </si>
  <si>
    <t xml:space="preserve">usasacc@gmail.com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</si>
  <si>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英語、國語、數學</t>
    </r>
    <r>
      <rPr>
        <sz val="10"/>
        <color rgb="FF1F2A28"/>
        <rFont val="Arial"/>
        <family val="0"/>
        <charset val="1"/>
      </rPr>
      <t xml:space="preserve">)</t>
    </r>
  </si>
  <si>
    <t xml:space="preserve">2003-11-26</t>
  </si>
  <si>
    <t xml:space="preserve">陳錦富</t>
  </si>
  <si>
    <t xml:space="preserve">陳韻茹</t>
  </si>
  <si>
    <t xml:space="preserve">私立崴尼爾文理語文短期補習班</t>
  </si>
  <si>
    <r>
      <rPr>
        <sz val="10"/>
        <color rgb="FF1F2A28"/>
        <rFont val="WenQuanYi Zen Hei"/>
        <family val="2"/>
      </rPr>
      <t xml:space="preserve">三峽區大學路</t>
    </r>
    <r>
      <rPr>
        <sz val="10"/>
        <color rgb="FF1F2A28"/>
        <rFont val="Arial"/>
        <family val="0"/>
        <charset val="1"/>
      </rPr>
      <t xml:space="preserve">75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77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</si>
  <si>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(02)2674-1777</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</si>
  <si>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國、英、數、自然、社會</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)7</t>
    </r>
    <r>
      <rPr>
        <sz val="10"/>
        <color rgb="FF1F2A28"/>
        <rFont val="WenQuanYi Zen Hei"/>
        <family val="2"/>
      </rPr>
      <t xml:space="preserve">班</t>
    </r>
  </si>
  <si>
    <t xml:space="preserve">2013-03-08</t>
  </si>
  <si>
    <t xml:space="preserve">廖宇明</t>
  </si>
  <si>
    <t xml:space="preserve">私立朝陽文理語文短期補習班</t>
  </si>
  <si>
    <r>
      <rPr>
        <sz val="10"/>
        <color rgb="FF1F2A28"/>
        <rFont val="WenQuanYi Zen Hei"/>
        <family val="2"/>
      </rPr>
      <t xml:space="preserve">三峽區民族街</t>
    </r>
    <r>
      <rPr>
        <sz val="10"/>
        <color rgb="FF1F2A28"/>
        <rFont val="Arial"/>
        <family val="0"/>
        <charset val="1"/>
      </rPr>
      <t xml:space="preserve">100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</si>
  <si>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(02)2672-2168</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</si>
  <si>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英文、數學、理化</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</si>
  <si>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2006-01-23</t>
  </si>
  <si>
    <t xml:space="preserve">李湘凌</t>
  </si>
  <si>
    <t xml:space="preserve">陳碧霞</t>
  </si>
  <si>
    <t xml:space="preserve">私立東橙文理語文珠心算短期補習班</t>
  </si>
  <si>
    <r>
      <rPr>
        <sz val="10"/>
        <color rgb="FF1F2A28"/>
        <rFont val="WenQuanYi Zen Hei"/>
        <family val="2"/>
      </rPr>
      <t xml:space="preserve">三峽區大德路</t>
    </r>
    <r>
      <rPr>
        <sz val="10"/>
        <color rgb="FF1F2A28"/>
        <rFont val="Arial"/>
        <family val="0"/>
        <charset val="1"/>
      </rPr>
      <t xml:space="preserve">119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</si>
  <si>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(02)2673-7676</t>
  </si>
  <si>
    <t xml:space="preserve">iedward2013@gmail.com</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</si>
  <si>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英文作文</t>
    </r>
    <r>
      <rPr>
        <sz val="10"/>
        <color rgb="FF1F2A28"/>
        <rFont val="Arial"/>
        <family val="0"/>
        <charset val="1"/>
      </rPr>
      <t xml:space="preserve">)</t>
    </r>
  </si>
  <si>
    <t xml:space="preserve">2014-12-18</t>
  </si>
  <si>
    <t xml:space="preserve">呂芳龍</t>
  </si>
  <si>
    <t xml:space="preserve">林姿盈</t>
  </si>
  <si>
    <t xml:space="preserve">私立泰葳爾美語短期補習班</t>
  </si>
  <si>
    <r>
      <rPr>
        <sz val="10"/>
        <color rgb="FF1F2A28"/>
        <rFont val="WenQuanYi Zen Hei"/>
        <family val="2"/>
      </rPr>
      <t xml:space="preserve">三峽區大學路</t>
    </r>
    <r>
      <rPr>
        <sz val="10"/>
        <color rgb="FF1F2A28"/>
        <rFont val="Arial"/>
        <family val="0"/>
        <charset val="1"/>
      </rPr>
      <t xml:space="preserve">79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</si>
  <si>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(02)8671-3577</t>
  </si>
  <si>
    <t xml:space="preserve">live200@ymail.com</t>
  </si>
  <si>
    <t xml:space="preserve">2013-07-22</t>
  </si>
  <si>
    <t xml:space="preserve">魏筠臻</t>
  </si>
  <si>
    <t xml:space="preserve">私立浩陞文理短期補習班</t>
  </si>
  <si>
    <r>
      <rPr>
        <sz val="10"/>
        <color rgb="FF1F2A28"/>
        <rFont val="WenQuanYi Zen Hei"/>
        <family val="2"/>
      </rPr>
      <t xml:space="preserve">三峽區大同路</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</si>
  <si>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(02)2671-4896</t>
  </si>
  <si>
    <t xml:space="preserve">2003-04-09</t>
  </si>
  <si>
    <t xml:space="preserve">私立真成語文文理短期補習班</t>
  </si>
  <si>
    <r>
      <rPr>
        <sz val="10"/>
        <color rgb="FF1F2A28"/>
        <rFont val="WenQuanYi Zen Hei"/>
        <family val="2"/>
      </rPr>
      <t xml:space="preserve">三峽區中華路</t>
    </r>
    <r>
      <rPr>
        <sz val="10"/>
        <color rgb="FF1F2A28"/>
        <rFont val="Arial"/>
        <family val="0"/>
        <charset val="1"/>
      </rPr>
      <t xml:space="preserve">44</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</si>
  <si>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(02)26736388</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</si>
  <si>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數、英、理</t>
    </r>
    <r>
      <rPr>
        <sz val="10"/>
        <color rgb="FF1F2A28"/>
        <rFont val="Arial"/>
        <family val="0"/>
        <charset val="1"/>
      </rPr>
      <t xml:space="preserve">)</t>
    </r>
  </si>
  <si>
    <t xml:space="preserve">2007-10-31</t>
  </si>
  <si>
    <t xml:space="preserve">呂淑真</t>
  </si>
  <si>
    <t xml:space="preserve">詹庭瑀</t>
  </si>
  <si>
    <t xml:space="preserve">私立立晟文理語文短期補習班</t>
  </si>
  <si>
    <r>
      <rPr>
        <sz val="10"/>
        <color rgb="FF1F2A28"/>
        <rFont val="WenQuanYi Zen Hei"/>
        <family val="2"/>
      </rPr>
      <t xml:space="preserve">三峽區文化路</t>
    </r>
    <r>
      <rPr>
        <sz val="10"/>
        <color rgb="FF1F2A28"/>
        <rFont val="Arial"/>
        <family val="0"/>
        <charset val="1"/>
      </rPr>
      <t xml:space="preserve">65</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</si>
  <si>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(02)26721533</t>
  </si>
  <si>
    <t xml:space="preserve">max26721533@gmail.com</t>
  </si>
  <si>
    <t xml:space="preserve">2009-03-11</t>
  </si>
  <si>
    <t xml:space="preserve">王亨達</t>
  </si>
  <si>
    <t xml:space="preserve">許煌奇</t>
  </si>
  <si>
    <t xml:space="preserve">私立精華文理語文短期補習班</t>
  </si>
  <si>
    <r>
      <rPr>
        <sz val="10"/>
        <color rgb="FF1F2A28"/>
        <rFont val="WenQuanYi Zen Hei"/>
        <family val="2"/>
      </rPr>
      <t xml:space="preserve">三峽區中正路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210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</si>
  <si>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(02)2674-2139</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</si>
  <si>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英文、數學、自然與生活科技</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</si>
  <si>
    <t xml:space="preserve">2013-11-19</t>
  </si>
  <si>
    <t xml:space="preserve">任盈盈</t>
  </si>
  <si>
    <t xml:space="preserve">劉介宇</t>
  </si>
  <si>
    <t xml:space="preserve">私立群英語文短期補習班</t>
  </si>
  <si>
    <r>
      <rPr>
        <sz val="10"/>
        <color rgb="FF1F2A28"/>
        <rFont val="WenQuanYi Zen Hei"/>
        <family val="2"/>
      </rPr>
      <t xml:space="preserve">三峽區弘園街</t>
    </r>
    <r>
      <rPr>
        <sz val="10"/>
        <color rgb="FF1F2A28"/>
        <rFont val="Arial"/>
        <family val="0"/>
        <charset val="1"/>
      </rPr>
      <t xml:space="preserve">36</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</si>
  <si>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(02)26743177</t>
  </si>
  <si>
    <t xml:space="preserve">tanchhengti@gmail.com</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</si>
  <si>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t>
    </r>
    <r>
      <rPr>
        <sz val="10"/>
        <color rgb="FF1F2A28"/>
        <rFont val="Arial"/>
        <family val="0"/>
        <charset val="1"/>
      </rPr>
      <t xml:space="preserve">)</t>
    </r>
  </si>
  <si>
    <t xml:space="preserve">2005-08-04</t>
  </si>
  <si>
    <t xml:space="preserve">黃素雲</t>
  </si>
  <si>
    <t xml:space="preserve">陳清智</t>
  </si>
  <si>
    <t xml:space="preserve">私立胡老師文理語文短期補習班</t>
  </si>
  <si>
    <r>
      <rPr>
        <sz val="10"/>
        <color rgb="FF1F2A28"/>
        <rFont val="WenQuanYi Zen Hei"/>
        <family val="2"/>
      </rPr>
      <t xml:space="preserve">三峽區中華路</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3</t>
    </r>
  </si>
  <si>
    <t xml:space="preserve">(02)26729689</t>
  </si>
  <si>
    <t xml:space="preserve">2005-04-15</t>
  </si>
  <si>
    <t xml:space="preserve">秦漢清</t>
  </si>
  <si>
    <t xml:space="preserve">胡文娟</t>
  </si>
  <si>
    <t xml:space="preserve">私立若瑟英語短期補習班</t>
  </si>
  <si>
    <r>
      <rPr>
        <sz val="10"/>
        <color rgb="FF1F2A28"/>
        <rFont val="WenQuanYi Zen Hei"/>
        <family val="2"/>
      </rPr>
      <t xml:space="preserve">三峽區學成路</t>
    </r>
    <r>
      <rPr>
        <sz val="10"/>
        <color rgb="FF1F2A28"/>
        <rFont val="Arial"/>
        <family val="0"/>
        <charset val="1"/>
      </rPr>
      <t xml:space="preserve">271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</si>
  <si>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(02)8672-2275</t>
  </si>
  <si>
    <t xml:space="preserve">shane.sh2@gmail.com</t>
  </si>
  <si>
    <t xml:space="preserve">2009-09-22</t>
  </si>
  <si>
    <t xml:space="preserve">黃嬋娟</t>
  </si>
  <si>
    <t xml:space="preserve">蔡毓瑞</t>
  </si>
  <si>
    <t xml:space="preserve">私立蒔育文理技藝短期補習班</t>
  </si>
  <si>
    <r>
      <rPr>
        <sz val="10"/>
        <color rgb="FF1F2A28"/>
        <rFont val="WenQuanYi Zen Hei"/>
        <family val="2"/>
      </rPr>
      <t xml:space="preserve">三峽區溪東路</t>
    </r>
    <r>
      <rPr>
        <sz val="10"/>
        <color rgb="FF1F2A28"/>
        <rFont val="Arial"/>
        <family val="0"/>
        <charset val="1"/>
      </rPr>
      <t xml:space="preserve">209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</si>
  <si>
    <t xml:space="preserve">0939923719</t>
  </si>
  <si>
    <t xml:space="preserve">f939923719@gmail.com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</si>
  <si>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兒童美語</t>
    </r>
    <r>
      <rPr>
        <sz val="10"/>
        <color rgb="FF1F2A28"/>
        <rFont val="Arial"/>
        <family val="0"/>
        <charset val="1"/>
      </rPr>
      <t xml:space="preserve">)</t>
    </r>
  </si>
  <si>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家政、插花、烹飪類</t>
    </r>
  </si>
  <si>
    <t xml:space="preserve">2006-12-25</t>
  </si>
  <si>
    <t xml:space="preserve">陳淑娟</t>
  </si>
  <si>
    <t xml:space="preserve">李滄益</t>
  </si>
  <si>
    <t xml:space="preserve">私立蕎育文理語文技藝短期補習班</t>
  </si>
  <si>
    <r>
      <rPr>
        <sz val="10"/>
        <color rgb="FF1F2A28"/>
        <rFont val="WenQuanYi Zen Hei"/>
        <family val="2"/>
      </rPr>
      <t xml:space="preserve">三峽區大學路</t>
    </r>
    <r>
      <rPr>
        <sz val="10"/>
        <color rgb="FF1F2A28"/>
        <rFont val="Arial"/>
        <family val="0"/>
        <charset val="1"/>
      </rPr>
      <t xml:space="preserve">106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</si>
  <si>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(02)86726048</t>
  </si>
  <si>
    <t xml:space="preserve">cliff9055@yahoo.com.tw</t>
  </si>
  <si>
    <t xml:space="preserve">2009-08-12</t>
  </si>
  <si>
    <t xml:space="preserve">葉國淵</t>
  </si>
  <si>
    <t xml:space="preserve">李秋燕</t>
  </si>
  <si>
    <t xml:space="preserve">私立蘋果村語文文理短期補習班</t>
  </si>
  <si>
    <r>
      <rPr>
        <sz val="10"/>
        <color rgb="FF1F2A28"/>
        <rFont val="WenQuanYi Zen Hei"/>
        <family val="2"/>
      </rPr>
      <t xml:space="preserve">三峽區大德路</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58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</si>
  <si>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(02)26732761</t>
  </si>
  <si>
    <t xml:space="preserve">2011-07-14</t>
  </si>
  <si>
    <t xml:space="preserve">陳淑麗</t>
  </si>
  <si>
    <t xml:space="preserve">陳怡玲</t>
  </si>
  <si>
    <t xml:space="preserve">私立鍾老師珠心算文理短期補習班</t>
  </si>
  <si>
    <r>
      <rPr>
        <sz val="10"/>
        <color rgb="FF1F2A28"/>
        <rFont val="WenQuanYi Zen Hei"/>
        <family val="2"/>
      </rPr>
      <t xml:space="preserve">三峽區中華路</t>
    </r>
    <r>
      <rPr>
        <sz val="10"/>
        <color rgb="FF1F2A28"/>
        <rFont val="Arial"/>
        <family val="0"/>
        <charset val="1"/>
      </rPr>
      <t xml:space="preserve">75</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t>
    </r>
    <r>
      <rPr>
        <sz val="10"/>
        <color rgb="FF1F2A28"/>
        <rFont val="Arial"/>
        <family val="0"/>
        <charset val="1"/>
      </rPr>
      <t xml:space="preserve">19</t>
    </r>
    <r>
      <rPr>
        <sz val="10"/>
        <color rgb="FF1F2A28"/>
        <rFont val="WenQuanYi Zen Hei"/>
        <family val="2"/>
      </rPr>
      <t xml:space="preserve">、</t>
    </r>
    <r>
      <rPr>
        <sz val="10"/>
        <color rgb="FF1F2A28"/>
        <rFont val="Arial"/>
        <family val="0"/>
        <charset val="1"/>
      </rPr>
      <t xml:space="preserve">21</t>
    </r>
    <r>
      <rPr>
        <sz val="10"/>
        <color rgb="FF1F2A28"/>
        <rFont val="WenQuanYi Zen Hei"/>
        <family val="2"/>
      </rPr>
      <t xml:space="preserve">號</t>
    </r>
  </si>
  <si>
    <t xml:space="preserve">(02)26730097</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</si>
  <si>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</si>
  <si>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2003-11-25</t>
  </si>
  <si>
    <t xml:space="preserve">把明德</t>
  </si>
  <si>
    <t xml:space="preserve">鍾健美</t>
  </si>
  <si>
    <t xml:space="preserve">私立韋德文理短期補習班</t>
  </si>
  <si>
    <r>
      <rPr>
        <sz val="10"/>
        <color rgb="FF1F2A28"/>
        <rFont val="WenQuanYi Zen Hei"/>
        <family val="2"/>
      </rPr>
      <t xml:space="preserve">三峽區大學路</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</si>
  <si>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(02)26710026</t>
  </si>
  <si>
    <t xml:space="preserve">2024-03-19</t>
  </si>
  <si>
    <t xml:space="preserve">李韋達</t>
  </si>
  <si>
    <t xml:space="preserve">翁玉存</t>
  </si>
  <si>
    <t xml:space="preserve">私立韋達語文文理短期補習班</t>
  </si>
  <si>
    <r>
      <rPr>
        <sz val="10"/>
        <color rgb="FF1F2A28"/>
        <rFont val="WenQuanYi Zen Hei"/>
        <family val="2"/>
      </rPr>
      <t xml:space="preserve">三峽區國學街</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</si>
  <si>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(02)35012008</t>
  </si>
  <si>
    <t xml:space="preserve">2010-02-23</t>
  </si>
  <si>
    <t xml:space="preserve">私立鼎瀚北大文理技藝短期補習班</t>
  </si>
  <si>
    <r>
      <rPr>
        <sz val="10"/>
        <color rgb="FF1F2A28"/>
        <rFont val="WenQuanYi Zen Hei"/>
        <family val="2"/>
      </rPr>
      <t xml:space="preserve">三峽區國光街</t>
    </r>
    <r>
      <rPr>
        <sz val="10"/>
        <color rgb="FF1F2A28"/>
        <rFont val="Arial"/>
        <family val="0"/>
        <charset val="1"/>
      </rPr>
      <t xml:space="preserve">37</t>
    </r>
    <r>
      <rPr>
        <sz val="10"/>
        <color rgb="FF1F2A28"/>
        <rFont val="WenQuanYi Zen Hei"/>
        <family val="2"/>
      </rPr>
      <t xml:space="preserve">巷</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</si>
  <si>
    <t xml:space="preserve">0955775656</t>
  </si>
  <si>
    <t xml:space="preserve">2024-08-05</t>
  </si>
  <si>
    <t xml:space="preserve">陳霈緁</t>
  </si>
  <si>
    <t xml:space="preserve">彭百瑞</t>
  </si>
  <si>
    <t xml:space="preserve">米淇文理技藝短期補習班</t>
  </si>
  <si>
    <r>
      <rPr>
        <sz val="10"/>
        <color rgb="FF1F2A28"/>
        <rFont val="WenQuanYi Zen Hei"/>
        <family val="2"/>
      </rPr>
      <t xml:space="preserve">三峽區民族街</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</si>
  <si>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(02)2673-7664</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</si>
  <si>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t>
    </r>
    <r>
      <rPr>
        <sz val="10"/>
        <color rgb="FF1F2A28"/>
        <rFont val="Arial"/>
        <family val="0"/>
        <charset val="1"/>
      </rPr>
      <t xml:space="preserve">)</t>
    </r>
  </si>
  <si>
    <t xml:space="preserve">2002-07-29</t>
  </si>
  <si>
    <t xml:space="preserve">陳艾淇</t>
  </si>
  <si>
    <t xml:space="preserve">辭修學校財團法人新北市私立辭修高級中學附設外語短期補習班</t>
  </si>
  <si>
    <r>
      <rPr>
        <sz val="10"/>
        <color rgb="FF1F2A28"/>
        <rFont val="WenQuanYi Zen Hei"/>
        <family val="2"/>
      </rPr>
      <t xml:space="preserve">三峽區溪東路</t>
    </r>
    <r>
      <rPr>
        <sz val="10"/>
        <color rgb="FF1F2A28"/>
        <rFont val="Arial"/>
        <family val="0"/>
        <charset val="1"/>
      </rPr>
      <t xml:space="preserve">251</t>
    </r>
    <r>
      <rPr>
        <sz val="10"/>
        <color rgb="FF1F2A28"/>
        <rFont val="WenQuanYi Zen Hei"/>
        <family val="2"/>
      </rPr>
      <t xml:space="preserve">號</t>
    </r>
  </si>
  <si>
    <t xml:space="preserve">8676-1277#322</t>
  </si>
  <si>
    <t xml:space="preserve">ydho@tsshs.ntpc.edu.tw</t>
  </si>
  <si>
    <t xml:space="preserve">2000-10-03</t>
  </si>
  <si>
    <t xml:space="preserve">陳履安</t>
  </si>
  <si>
    <t xml:space="preserve">三芝區</t>
  </si>
  <si>
    <t xml:space="preserve">私立敦品文理語文短期補習班</t>
  </si>
  <si>
    <r>
      <rPr>
        <sz val="10"/>
        <color rgb="FF1F2A28"/>
        <rFont val="WenQuanYi Zen Hei"/>
        <family val="2"/>
      </rPr>
      <t xml:space="preserve">三芝區中山路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</si>
  <si>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(02)26363213</t>
  </si>
  <si>
    <t xml:space="preserve">2003-07-28</t>
  </si>
  <si>
    <t xml:space="preserve">曾淑宜</t>
  </si>
  <si>
    <t xml:space="preserve">私立敦璦文理語文短期補習班</t>
  </si>
  <si>
    <r>
      <rPr>
        <sz val="10"/>
        <color rgb="FF1F2A28"/>
        <rFont val="WenQuanYi Zen Hei"/>
        <family val="2"/>
      </rPr>
      <t xml:space="preserve">三芝區長春街</t>
    </r>
    <r>
      <rPr>
        <sz val="10"/>
        <color rgb="FF1F2A28"/>
        <rFont val="Arial"/>
        <family val="0"/>
        <charset val="1"/>
      </rPr>
      <t xml:space="preserve">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10(</t>
    </r>
    <r>
      <rPr>
        <sz val="10"/>
        <color rgb="FF1F2A28"/>
        <rFont val="WenQuanYi Zen Hei"/>
        <family val="2"/>
      </rPr>
      <t xml:space="preserve">由</t>
    </r>
    <r>
      <rPr>
        <sz val="10"/>
        <color rgb="FF1F2A28"/>
        <rFont val="Arial"/>
        <family val="0"/>
        <charset val="1"/>
      </rPr>
      <t xml:space="preserve">8</t>
    </r>
    <r>
      <rPr>
        <sz val="10"/>
        <color rgb="FF1F2A28"/>
        <rFont val="WenQuanYi Zen Hei"/>
        <family val="2"/>
      </rPr>
      <t xml:space="preserve">、</t>
    </r>
    <r>
      <rPr>
        <sz val="10"/>
        <color rgb="FF1F2A28"/>
        <rFont val="Arial"/>
        <family val="0"/>
        <charset val="1"/>
      </rPr>
      <t xml:space="preserve">10</t>
    </r>
    <r>
      <rPr>
        <sz val="10"/>
        <color rgb="FF1F2A28"/>
        <rFont val="WenQuanYi Zen Hei"/>
        <family val="2"/>
      </rPr>
      <t xml:space="preserve">號門牌合併</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</si>
  <si>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(02)26365630</t>
  </si>
  <si>
    <t xml:space="preserve">sesamehelen@gmail.com</t>
  </si>
  <si>
    <t xml:space="preserve">2006-02-20</t>
  </si>
  <si>
    <t xml:space="preserve">許慧如</t>
  </si>
  <si>
    <t xml:space="preserve">私立陽光生活美語短期補習班</t>
  </si>
  <si>
    <r>
      <rPr>
        <sz val="10"/>
        <color rgb="FF1F2A28"/>
        <rFont val="WenQuanYi Zen Hei"/>
        <family val="2"/>
      </rPr>
      <t xml:space="preserve">三芝區中正路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18</t>
    </r>
    <r>
      <rPr>
        <sz val="10"/>
        <color rgb="FF1F2A28"/>
        <rFont val="WenQuanYi Zen Hei"/>
        <family val="2"/>
      </rPr>
      <t xml:space="preserve">巷</t>
    </r>
    <r>
      <rPr>
        <sz val="10"/>
        <color rgb="FF1F2A28"/>
        <rFont val="Arial"/>
        <family val="0"/>
        <charset val="1"/>
      </rPr>
      <t xml:space="preserve">48</t>
    </r>
    <r>
      <rPr>
        <sz val="10"/>
        <color rgb="FF1F2A28"/>
        <rFont val="WenQuanYi Zen Hei"/>
        <family val="2"/>
      </rPr>
      <t xml:space="preserve">、</t>
    </r>
    <r>
      <rPr>
        <sz val="10"/>
        <color rgb="FF1F2A28"/>
        <rFont val="Arial"/>
        <family val="0"/>
        <charset val="1"/>
      </rPr>
      <t xml:space="preserve">50</t>
    </r>
    <r>
      <rPr>
        <sz val="10"/>
        <color rgb="FF1F2A28"/>
        <rFont val="WenQuanYi Zen Hei"/>
        <family val="2"/>
      </rPr>
      <t xml:space="preserve">號</t>
    </r>
  </si>
  <si>
    <t xml:space="preserve">26363132</t>
  </si>
  <si>
    <t xml:space="preserve">kenting15@yahoo.com.tw</t>
  </si>
  <si>
    <t xml:space="preserve">2006-03-23</t>
  </si>
  <si>
    <t xml:space="preserve">陳加雯</t>
  </si>
  <si>
    <t xml:space="preserve">三重區</t>
  </si>
  <si>
    <t xml:space="preserve">上鼎文理語文短期補習班</t>
  </si>
  <si>
    <r>
      <rPr>
        <sz val="10"/>
        <color rgb="FF1F2A28"/>
        <rFont val="WenQuanYi Zen Hei"/>
        <family val="2"/>
      </rPr>
      <t xml:space="preserve">三重區五華街</t>
    </r>
    <r>
      <rPr>
        <sz val="10"/>
        <color rgb="FF1F2A28"/>
        <rFont val="Arial"/>
        <family val="0"/>
        <charset val="1"/>
      </rPr>
      <t xml:space="preserve">187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189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205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</si>
  <si>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(02)2857-7878</t>
  </si>
  <si>
    <t xml:space="preserve">jls189@ms72.hinet.net</t>
  </si>
  <si>
    <t xml:space="preserve">廖煥彬</t>
  </si>
  <si>
    <t xml:space="preserve">廖欽釧</t>
  </si>
  <si>
    <t xml:space="preserve">中國青年救國團附設文北語文技藝短期補習班</t>
  </si>
  <si>
    <r>
      <rPr>
        <sz val="10"/>
        <color rgb="FF1F2A28"/>
        <rFont val="WenQuanYi Zen Hei"/>
        <family val="2"/>
      </rPr>
      <t xml:space="preserve">三重區重新路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</si>
  <si>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(02)2989-5286</t>
  </si>
  <si>
    <t xml:space="preserve">sccycedm@gmail.com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</si>
  <si>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</si>
  <si>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縫紉類</t>
    </r>
    <r>
      <rPr>
        <sz val="10"/>
        <color rgb="FF1F2A28"/>
        <rFont val="Arial"/>
        <family val="0"/>
        <charset val="1"/>
      </rPr>
      <t xml:space="preserve">,</t>
    </r>
    <r>
      <rPr>
        <sz val="10"/>
        <color rgb="FF1F2A28"/>
        <rFont val="WenQuanYi Zen Hei"/>
        <family val="2"/>
      </rPr>
      <t xml:space="preserve">美容、美髮理髮類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商類：珠算、心算、會計</t>
    </r>
    <r>
      <rPr>
        <sz val="10"/>
        <color rgb="FF1F2A28"/>
        <rFont val="Arial"/>
        <family val="0"/>
        <charset val="1"/>
      </rPr>
      <t xml:space="preserve">,</t>
    </r>
    <r>
      <rPr>
        <sz val="10"/>
        <color rgb="FF1F2A28"/>
        <rFont val="WenQuanYi Zen Hei"/>
        <family val="2"/>
      </rPr>
      <t xml:space="preserve">瑜珈類</t>
    </r>
    <r>
      <rPr>
        <sz val="10"/>
        <color rgb="FF1F2A28"/>
        <rFont val="Arial"/>
        <family val="0"/>
        <charset val="1"/>
      </rPr>
      <t xml:space="preserve">,</t>
    </r>
    <r>
      <rPr>
        <sz val="10"/>
        <color rgb="FF1F2A28"/>
        <rFont val="WenQuanYi Zen Hei"/>
        <family val="2"/>
      </rPr>
      <t xml:space="preserve">其他類</t>
    </r>
  </si>
  <si>
    <t xml:space="preserve">2014-07-30</t>
  </si>
  <si>
    <t xml:space="preserve">許耀宗</t>
  </si>
  <si>
    <t xml:space="preserve">全盈文理語文短期補習班</t>
  </si>
  <si>
    <r>
      <rPr>
        <sz val="10"/>
        <color rgb="FF1F2A28"/>
        <rFont val="WenQuanYi Zen Hei"/>
        <family val="2"/>
      </rPr>
      <t xml:space="preserve">三重區安慶街</t>
    </r>
    <r>
      <rPr>
        <sz val="10"/>
        <color rgb="FF1F2A28"/>
        <rFont val="Arial"/>
        <family val="0"/>
        <charset val="1"/>
      </rPr>
      <t xml:space="preserve">285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樓、重陽路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5</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弄</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</si>
  <si>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(02)29840231</t>
  </si>
  <si>
    <t xml:space="preserve">2006-10-19</t>
  </si>
  <si>
    <t xml:space="preserve">林秀英</t>
  </si>
  <si>
    <t xml:space="preserve">陸芬郁</t>
  </si>
  <si>
    <t xml:space="preserve">國際地球村有限公司附設環球地球村語文短期補習班</t>
  </si>
  <si>
    <r>
      <rPr>
        <sz val="10"/>
        <color rgb="FF1F2A28"/>
        <rFont val="WenQuanYi Zen Hei"/>
        <family val="2"/>
      </rPr>
      <t xml:space="preserve">三重區重新路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5</t>
    </r>
  </si>
  <si>
    <t xml:space="preserve">29861599</t>
  </si>
  <si>
    <t xml:space="preserve">2007-07-03</t>
  </si>
  <si>
    <t xml:space="preserve">鄧秋慧</t>
  </si>
  <si>
    <t xml:space="preserve">紀君儀</t>
  </si>
  <si>
    <t xml:space="preserve">威斯康語文短期補習班</t>
  </si>
  <si>
    <r>
      <rPr>
        <sz val="10"/>
        <color rgb="FF1F2A28"/>
        <rFont val="WenQuanYi Zen Hei"/>
        <family val="2"/>
      </rPr>
      <t xml:space="preserve">三重區集賢路</t>
    </r>
    <r>
      <rPr>
        <sz val="10"/>
        <color rgb="FF1F2A28"/>
        <rFont val="Arial"/>
        <family val="0"/>
        <charset val="1"/>
      </rPr>
      <t xml:space="preserve">87</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樓含夾層</t>
    </r>
  </si>
  <si>
    <t xml:space="preserve">(02)82877366</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</si>
  <si>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)k</t>
    </r>
    <r>
      <rPr>
        <sz val="10"/>
        <color rgb="FF1F2A28"/>
        <rFont val="WenQuanYi Zen Hei"/>
        <family val="2"/>
      </rPr>
      <t xml:space="preserve">班、語文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)l</t>
    </r>
    <r>
      <rPr>
        <sz val="10"/>
        <color rgb="FF1F2A28"/>
        <rFont val="WenQuanYi Zen Hei"/>
        <family val="2"/>
      </rPr>
      <t xml:space="preserve">班</t>
    </r>
  </si>
  <si>
    <t xml:space="preserve">2012-07-10</t>
  </si>
  <si>
    <t xml:space="preserve">簡欣怡</t>
  </si>
  <si>
    <t xml:space="preserve">學悟處文理語文短期補習班</t>
  </si>
  <si>
    <r>
      <rPr>
        <sz val="10"/>
        <color rgb="FF1F2A28"/>
        <rFont val="WenQuanYi Zen Hei"/>
        <family val="2"/>
      </rPr>
      <t xml:space="preserve">三重區五華街</t>
    </r>
    <r>
      <rPr>
        <sz val="10"/>
        <color rgb="FF1F2A28"/>
        <rFont val="Arial"/>
        <family val="0"/>
        <charset val="1"/>
      </rPr>
      <t xml:space="preserve">125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</si>
  <si>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(02)2985-6101</t>
  </si>
  <si>
    <t xml:space="preserve">英語、英、數、自、國、歷史、地理、公民</t>
  </si>
  <si>
    <t xml:space="preserve">2016-03-09</t>
  </si>
  <si>
    <t xml:space="preserve">許肇揚</t>
  </si>
  <si>
    <t xml:space="preserve">安尼爾厚德文理語文短期補習班</t>
  </si>
  <si>
    <r>
      <rPr>
        <sz val="10"/>
        <color rgb="FF1F2A28"/>
        <rFont val="WenQuanYi Zen Hei"/>
        <family val="2"/>
      </rPr>
      <t xml:space="preserve">三重區忠孝路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85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85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</si>
  <si>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(02)89856801</t>
  </si>
  <si>
    <t xml:space="preserve">2002-11-06</t>
  </si>
  <si>
    <t xml:space="preserve">林慧慈</t>
  </si>
  <si>
    <t xml:space="preserve">蔣佳潔</t>
  </si>
  <si>
    <t xml:space="preserve">巨匠電腦股份有限公司三重美語分公司附設鉅匠美語短期補習班</t>
  </si>
  <si>
    <r>
      <rPr>
        <sz val="10"/>
        <color rgb="FF1F2A28"/>
        <rFont val="WenQuanYi Zen Hei"/>
        <family val="2"/>
      </rPr>
      <t xml:space="preserve">三重區重新路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</si>
  <si>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(02)8988-3003</t>
  </si>
  <si>
    <t xml:space="preserve">KD_mailbox@pcschool.com.tw</t>
  </si>
  <si>
    <t xml:space="preserve">2007-01-23</t>
  </si>
  <si>
    <t xml:space="preserve">王棟</t>
  </si>
  <si>
    <t xml:space="preserve">建兒樂語文美術珠心算短期補習班</t>
  </si>
  <si>
    <r>
      <rPr>
        <sz val="10"/>
        <color rgb="FF1F2A28"/>
        <rFont val="WenQuanYi Zen Hei"/>
        <family val="2"/>
      </rPr>
      <t xml:space="preserve">三重區大智街</t>
    </r>
    <r>
      <rPr>
        <sz val="10"/>
        <color rgb="FF1F2A28"/>
        <rFont val="Arial"/>
        <family val="0"/>
        <charset val="1"/>
      </rPr>
      <t xml:space="preserve">155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</si>
  <si>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(02)29862199</t>
  </si>
  <si>
    <t xml:space="preserve">lydia931982878@gmail.com</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</si>
  <si>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商類：珠算、心算、會計</t>
    </r>
  </si>
  <si>
    <t xml:space="preserve">2002-03-28</t>
  </si>
  <si>
    <t xml:space="preserve">劉秉逢</t>
  </si>
  <si>
    <t xml:space="preserve">德利語文文理短期補習班</t>
  </si>
  <si>
    <r>
      <rPr>
        <sz val="10"/>
        <color rgb="FF1F2A28"/>
        <rFont val="WenQuanYi Zen Hei"/>
        <family val="2"/>
      </rPr>
      <t xml:space="preserve">三重區三民街</t>
    </r>
    <r>
      <rPr>
        <sz val="10"/>
        <color rgb="FF1F2A28"/>
        <rFont val="Arial"/>
        <family val="0"/>
        <charset val="1"/>
      </rPr>
      <t xml:space="preserve">143</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143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</si>
  <si>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2988-4876</t>
  </si>
  <si>
    <t xml:space="preserve">joy29884876@gmail.com</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</si>
  <si>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國語、英文、數學、自然、社會、作文</t>
    </r>
    <r>
      <rPr>
        <sz val="10"/>
        <color rgb="FF1F2A28"/>
        <rFont val="Arial"/>
        <family val="0"/>
        <charset val="1"/>
      </rPr>
      <t xml:space="preserve">)</t>
    </r>
  </si>
  <si>
    <t xml:space="preserve">1999-08-07</t>
  </si>
  <si>
    <t xml:space="preserve">陳堅源</t>
  </si>
  <si>
    <t xml:space="preserve">陳思涵</t>
  </si>
  <si>
    <t xml:space="preserve">快樂窩語文文理短期補習班</t>
  </si>
  <si>
    <r>
      <rPr>
        <sz val="10"/>
        <color rgb="FF1F2A28"/>
        <rFont val="WenQuanYi Zen Hei"/>
        <family val="2"/>
      </rPr>
      <t xml:space="preserve">三重區仁愛街</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</si>
  <si>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(02)29771685</t>
  </si>
  <si>
    <t xml:space="preserve">HHE20150901@hotmail.com</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</si>
  <si>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英文、義大利語</t>
    </r>
    <r>
      <rPr>
        <sz val="10"/>
        <color rgb="FF1F2A28"/>
        <rFont val="Arial"/>
        <family val="0"/>
        <charset val="1"/>
      </rPr>
      <t xml:space="preserve">)</t>
    </r>
  </si>
  <si>
    <t xml:space="preserve">2011-03-07</t>
  </si>
  <si>
    <t xml:space="preserve">吳佳瑩</t>
  </si>
  <si>
    <t xml:space="preserve">愛迪生文理語文短期補習班</t>
  </si>
  <si>
    <r>
      <rPr>
        <sz val="10"/>
        <color rgb="FF1F2A28"/>
        <rFont val="WenQuanYi Zen Hei"/>
        <family val="2"/>
      </rPr>
      <t xml:space="preserve">三重區永福街</t>
    </r>
    <r>
      <rPr>
        <sz val="10"/>
        <color rgb="FF1F2A28"/>
        <rFont val="Arial"/>
        <family val="0"/>
        <charset val="1"/>
      </rPr>
      <t xml:space="preserve">111</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</si>
  <si>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(02)82871731</t>
  </si>
  <si>
    <t xml:space="preserve">law50032@hotmail.com</t>
  </si>
  <si>
    <t xml:space="preserve">2006-06-08</t>
  </si>
  <si>
    <t xml:space="preserve">丁楷鑫</t>
  </si>
  <si>
    <t xml:space="preserve">劉子瑜</t>
  </si>
  <si>
    <t xml:space="preserve">新中山語文文理短期補習班</t>
  </si>
  <si>
    <r>
      <rPr>
        <sz val="10"/>
        <color rgb="FF1F2A28"/>
        <rFont val="WenQuanYi Zen Hei"/>
        <family val="2"/>
      </rPr>
      <t xml:space="preserve">三重區信義西街</t>
    </r>
    <r>
      <rPr>
        <sz val="10"/>
        <color rgb="FF1F2A28"/>
        <rFont val="Arial"/>
        <family val="0"/>
        <charset val="1"/>
      </rPr>
      <t xml:space="preserve">102</t>
    </r>
    <r>
      <rPr>
        <sz val="10"/>
        <color rgb="FF1F2A28"/>
        <rFont val="WenQuanYi Zen Hei"/>
        <family val="2"/>
      </rPr>
      <t xml:space="preserve">號、</t>
    </r>
    <r>
      <rPr>
        <sz val="10"/>
        <color rgb="FF1F2A28"/>
        <rFont val="Arial"/>
        <family val="0"/>
        <charset val="1"/>
      </rPr>
      <t xml:space="preserve">114</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</si>
  <si>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(02)29719521</t>
  </si>
  <si>
    <t xml:space="preserve">fenny90514@yahoo.com.tw</t>
  </si>
  <si>
    <t xml:space="preserve">2002-03-22</t>
  </si>
  <si>
    <t xml:space="preserve">甘國雄</t>
  </si>
  <si>
    <t xml:space="preserve">王韵琪</t>
  </si>
  <si>
    <t xml:space="preserve">新邦仁語文文理短期補習班</t>
  </si>
  <si>
    <r>
      <rPr>
        <sz val="10"/>
        <color rgb="FF1F2A28"/>
        <rFont val="WenQuanYi Zen Hei"/>
        <family val="2"/>
      </rPr>
      <t xml:space="preserve">三重區大同南路</t>
    </r>
    <r>
      <rPr>
        <sz val="10"/>
        <color rgb="FF1F2A28"/>
        <rFont val="Arial"/>
        <family val="0"/>
        <charset val="1"/>
      </rPr>
      <t xml:space="preserve">146</t>
    </r>
    <r>
      <rPr>
        <sz val="10"/>
        <color rgb="FF1F2A28"/>
        <rFont val="WenQuanYi Zen Hei"/>
        <family val="2"/>
      </rPr>
      <t xml:space="preserve">巷</t>
    </r>
    <r>
      <rPr>
        <sz val="10"/>
        <color rgb="FF1F2A28"/>
        <rFont val="Arial"/>
        <family val="0"/>
        <charset val="1"/>
      </rPr>
      <t xml:space="preserve">65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</si>
  <si>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(02)89731459</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</si>
  <si>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英文、自然</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</si>
  <si>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2007-12-07</t>
  </si>
  <si>
    <t xml:space="preserve">莊雪清</t>
  </si>
  <si>
    <t xml:space="preserve">朱茜瑜</t>
  </si>
  <si>
    <t xml:space="preserve">晉毅語文短期補習班</t>
  </si>
  <si>
    <r>
      <rPr>
        <sz val="10"/>
        <color rgb="FF1F2A28"/>
        <rFont val="WenQuanYi Zen Hei"/>
        <family val="2"/>
      </rPr>
      <t xml:space="preserve">三重區重新路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</si>
  <si>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02-2979-1212</t>
  </si>
  <si>
    <t xml:space="preserve">chris.cht@msa.hinet.net</t>
  </si>
  <si>
    <t xml:space="preserve">2002-10-29</t>
  </si>
  <si>
    <t xml:space="preserve">張崇恩</t>
  </si>
  <si>
    <t xml:space="preserve">智仁文理語文短期補習班</t>
  </si>
  <si>
    <r>
      <rPr>
        <sz val="10"/>
        <color rgb="FF1F2A28"/>
        <rFont val="WenQuanYi Zen Hei"/>
        <family val="2"/>
      </rPr>
      <t xml:space="preserve">三重區永福街</t>
    </r>
    <r>
      <rPr>
        <sz val="10"/>
        <color rgb="FF1F2A28"/>
        <rFont val="Arial"/>
        <family val="0"/>
        <charset val="1"/>
      </rPr>
      <t xml:space="preserve">89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</si>
  <si>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(02)22801781</t>
  </si>
  <si>
    <t xml:space="preserve">siujin220@gmail.com</t>
  </si>
  <si>
    <t xml:space="preserve">2012-12-06</t>
  </si>
  <si>
    <t xml:space="preserve">李秀金</t>
  </si>
  <si>
    <t xml:space="preserve">郭建谷</t>
  </si>
  <si>
    <t xml:space="preserve">欣學士文理語文短期補習班</t>
  </si>
  <si>
    <r>
      <rPr>
        <sz val="10"/>
        <color rgb="FF1F2A28"/>
        <rFont val="WenQuanYi Zen Hei"/>
        <family val="2"/>
      </rPr>
      <t xml:space="preserve">三重區五華街</t>
    </r>
    <r>
      <rPr>
        <sz val="10"/>
        <color rgb="FF1F2A28"/>
        <rFont val="Arial"/>
        <family val="0"/>
        <charset val="1"/>
      </rPr>
      <t xml:space="preserve">203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</si>
  <si>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(02)28579582</t>
  </si>
  <si>
    <t xml:space="preserve">emily740911@hotmail.om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</si>
  <si>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國文、英文、數學、自然、社會</t>
    </r>
    <r>
      <rPr>
        <sz val="10"/>
        <color rgb="FF1F2A28"/>
        <rFont val="Arial"/>
        <family val="0"/>
        <charset val="1"/>
      </rPr>
      <t xml:space="preserve">)</t>
    </r>
  </si>
  <si>
    <t xml:space="preserve">2003-12-31</t>
  </si>
  <si>
    <t xml:space="preserve">張瓊月</t>
  </si>
  <si>
    <t xml:space="preserve">永悅文理語文短期補習班</t>
  </si>
  <si>
    <r>
      <rPr>
        <sz val="10"/>
        <color rgb="FF1F2A28"/>
        <rFont val="WenQuanYi Zen Hei"/>
        <family val="2"/>
      </rPr>
      <t xml:space="preserve">三重區自強路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81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</si>
  <si>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(02)29713520</t>
  </si>
  <si>
    <t xml:space="preserve">hughlin96@gmail.com</t>
  </si>
  <si>
    <t xml:space="preserve">2006-11-06</t>
  </si>
  <si>
    <t xml:space="preserve">林嘉祥</t>
  </si>
  <si>
    <t xml:space="preserve">溫帝美語短期補習班</t>
  </si>
  <si>
    <r>
      <rPr>
        <sz val="10"/>
        <color rgb="FF1F2A28"/>
        <rFont val="WenQuanYi Zen Hei"/>
        <family val="2"/>
      </rPr>
      <t xml:space="preserve">三重區光明路</t>
    </r>
    <r>
      <rPr>
        <sz val="10"/>
        <color rgb="FF1F2A28"/>
        <rFont val="Arial"/>
        <family val="0"/>
        <charset val="1"/>
      </rPr>
      <t xml:space="preserve">117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</si>
  <si>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(02)29761579</t>
  </si>
  <si>
    <t xml:space="preserve">2010-10-25</t>
  </si>
  <si>
    <t xml:space="preserve">王雅文</t>
  </si>
  <si>
    <t xml:space="preserve">王國龍</t>
  </si>
  <si>
    <t xml:space="preserve">煒群文理語文短期補習班</t>
  </si>
  <si>
    <r>
      <rPr>
        <sz val="10"/>
        <color rgb="FF1F2A28"/>
        <rFont val="WenQuanYi Zen Hei"/>
        <family val="2"/>
      </rPr>
      <t xml:space="preserve">三重區重陽路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</si>
  <si>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(02)29854828</t>
  </si>
  <si>
    <t xml:space="preserve">2011-09-08</t>
  </si>
  <si>
    <t xml:space="preserve">楊明潭</t>
  </si>
  <si>
    <t xml:space="preserve">沈玉珮</t>
  </si>
  <si>
    <t xml:space="preserve">皇家達文理技藝短期補習班</t>
  </si>
  <si>
    <r>
      <rPr>
        <sz val="10"/>
        <color rgb="FF1F2A28"/>
        <rFont val="WenQuanYi Zen Hei"/>
        <family val="2"/>
      </rPr>
      <t xml:space="preserve">三重區五華街</t>
    </r>
    <r>
      <rPr>
        <sz val="10"/>
        <color rgb="FF1F2A28"/>
        <rFont val="Arial"/>
        <family val="0"/>
        <charset val="1"/>
      </rPr>
      <t xml:space="preserve">141</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</si>
  <si>
    <t xml:space="preserve">(02)28579426</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</si>
  <si>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國文、英文、數學、自然、社會</t>
    </r>
    <r>
      <rPr>
        <sz val="10"/>
        <color rgb="FF1F2A28"/>
        <rFont val="Arial"/>
        <family val="0"/>
        <charset val="1"/>
      </rPr>
      <t xml:space="preserve">)</t>
    </r>
    <r>
      <rPr>
        <sz val="10"/>
        <color rgb="FF1F2A28"/>
        <rFont val="WenQuanYi Zen Hei"/>
        <family val="2"/>
      </rPr>
      <t xml:space="preserve">、美語</t>
    </r>
  </si>
  <si>
    <t xml:space="preserve">2007-03-19</t>
  </si>
  <si>
    <t xml:space="preserve">王詩韻</t>
  </si>
  <si>
    <t xml:space="preserve">碩晟文理語文短期補習班</t>
  </si>
  <si>
    <r>
      <rPr>
        <sz val="10"/>
        <color rgb="FF1F2A28"/>
        <rFont val="WenQuanYi Zen Hei"/>
        <family val="2"/>
      </rPr>
      <t xml:space="preserve">三重區三和路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20</t>
    </r>
    <r>
      <rPr>
        <sz val="10"/>
        <color rgb="FF1F2A28"/>
        <rFont val="WenQuanYi Zen Hei"/>
        <family val="2"/>
      </rPr>
      <t xml:space="preserve">巷</t>
    </r>
    <r>
      <rPr>
        <sz val="10"/>
        <color rgb="FF1F2A28"/>
        <rFont val="Arial"/>
        <family val="0"/>
        <charset val="1"/>
      </rPr>
      <t xml:space="preserve">112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99</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</si>
  <si>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(02)29849842</t>
  </si>
  <si>
    <t xml:space="preserve">success.ou@gmail.com</t>
  </si>
  <si>
    <t xml:space="preserve">2010-12-24</t>
  </si>
  <si>
    <t xml:space="preserve">歐明鑫</t>
  </si>
  <si>
    <t xml:space="preserve">徐珮珊</t>
  </si>
  <si>
    <t xml:space="preserve">碩譽語文文理短期補習班</t>
  </si>
  <si>
    <r>
      <rPr>
        <sz val="10"/>
        <color rgb="FF1F2A28"/>
        <rFont val="WenQuanYi Zen Hei"/>
        <family val="2"/>
      </rPr>
      <t xml:space="preserve">三重區三陽路</t>
    </r>
    <r>
      <rPr>
        <sz val="10"/>
        <color rgb="FF1F2A28"/>
        <rFont val="Arial"/>
        <family val="0"/>
        <charset val="1"/>
      </rPr>
      <t xml:space="preserve">115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117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119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</si>
  <si>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(02)29800212</t>
  </si>
  <si>
    <t xml:space="preserve">giraffe29005@gmail.com</t>
  </si>
  <si>
    <t xml:space="preserve">2002-06-24</t>
  </si>
  <si>
    <t xml:space="preserve">蔡銘聰</t>
  </si>
  <si>
    <t xml:space="preserve">私立來恩美語文理短期補習班</t>
  </si>
  <si>
    <r>
      <rPr>
        <sz val="10"/>
        <color rgb="FF1F2A28"/>
        <rFont val="WenQuanYi Zen Hei"/>
        <family val="2"/>
      </rPr>
      <t xml:space="preserve">三重區永福街</t>
    </r>
    <r>
      <rPr>
        <sz val="10"/>
        <color rgb="FF1F2A28"/>
        <rFont val="Arial"/>
        <family val="0"/>
        <charset val="1"/>
      </rPr>
      <t xml:space="preserve">149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樓、地下</t>
    </r>
    <r>
      <rPr>
        <sz val="10"/>
        <color rgb="FF1F2A28"/>
        <rFont val="Arial"/>
        <family val="0"/>
        <charset val="1"/>
      </rPr>
      <t xml:space="preserve">1</t>
    </r>
    <r>
      <rPr>
        <sz val="10"/>
        <color rgb="FF1F2A28"/>
        <rFont val="WenQuanYi Zen Hei"/>
        <family val="2"/>
      </rPr>
      <t xml:space="preserve">樓</t>
    </r>
  </si>
  <si>
    <t xml:space="preserve">(02)22870680</t>
  </si>
  <si>
    <t xml:space="preserve">mingtuan@hotmail.com</t>
  </si>
  <si>
    <t xml:space="preserve">2005-06-30</t>
  </si>
  <si>
    <t xml:space="preserve">范銘鍛</t>
  </si>
  <si>
    <t xml:space="preserve">私立冠元語文短期補習班</t>
  </si>
  <si>
    <r>
      <rPr>
        <sz val="10"/>
        <color rgb="FF1F2A28"/>
        <rFont val="WenQuanYi Zen Hei"/>
        <family val="2"/>
      </rPr>
      <t xml:space="preserve">三重區中華路</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</si>
  <si>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(02)8982-0013</t>
  </si>
  <si>
    <t xml:space="preserve">chenpeian0902@gmail.com</t>
  </si>
  <si>
    <t xml:space="preserve">2007-12-18</t>
  </si>
  <si>
    <t xml:space="preserve">張桂芬</t>
  </si>
  <si>
    <t xml:space="preserve">陳秋水</t>
  </si>
  <si>
    <t xml:space="preserve">私立創勝語文文理短期補習班</t>
  </si>
  <si>
    <r>
      <rPr>
        <sz val="10"/>
        <color rgb="FF1F2A28"/>
        <rFont val="WenQuanYi Zen Hei"/>
        <family val="2"/>
      </rPr>
      <t xml:space="preserve">三重區力行路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179</t>
    </r>
    <r>
      <rPr>
        <sz val="10"/>
        <color rgb="FF1F2A28"/>
        <rFont val="WenQuanYi Zen Hei"/>
        <family val="2"/>
      </rPr>
      <t xml:space="preserve">巷</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</si>
  <si>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(02)29863077</t>
  </si>
  <si>
    <r>
      <rPr>
        <sz val="10"/>
        <color rgb="FF1F2A28"/>
        <rFont val="WenQuanYi Zen Hei"/>
        <family val="2"/>
      </rPr>
      <t xml:space="preserve">英文、文理</t>
    </r>
    <r>
      <rPr>
        <sz val="10"/>
        <color rgb="FF1F2A28"/>
        <rFont val="Arial"/>
        <family val="0"/>
        <charset val="1"/>
      </rPr>
      <t xml:space="preserve">(</t>
    </r>
    <r>
      <rPr>
        <sz val="10"/>
        <color rgb="FF1F2A28"/>
        <rFont val="WenQuanYi Zen Hei"/>
        <family val="2"/>
      </rPr>
      <t xml:space="preserve">英、數</t>
    </r>
    <r>
      <rPr>
        <sz val="10"/>
        <color rgb="FF1F2A28"/>
        <rFont val="Arial"/>
        <family val="0"/>
        <charset val="1"/>
      </rPr>
      <t xml:space="preserve">)</t>
    </r>
  </si>
  <si>
    <t xml:space="preserve">2011-06-21</t>
  </si>
  <si>
    <t xml:space="preserve">許珂振</t>
  </si>
  <si>
    <t xml:space="preserve">私立加令英語文理補習班</t>
  </si>
  <si>
    <r>
      <rPr>
        <sz val="10"/>
        <color rgb="FF1F2A28"/>
        <rFont val="WenQuanYi Zen Hei"/>
        <family val="2"/>
      </rPr>
      <t xml:space="preserve">三重區正義北路</t>
    </r>
    <r>
      <rPr>
        <sz val="10"/>
        <color rgb="FF1F2A28"/>
        <rFont val="Arial"/>
        <family val="0"/>
        <charset val="1"/>
      </rPr>
      <t xml:space="preserve">279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281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</si>
  <si>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 89827020</t>
  </si>
  <si>
    <t xml:space="preserve">milly.sc1@gmail.com</t>
  </si>
  <si>
    <t xml:space="preserve">1999-12-30</t>
  </si>
  <si>
    <t xml:space="preserve">洪春梅</t>
  </si>
  <si>
    <t xml:space="preserve">私立博仕文理語文短期補習班</t>
  </si>
  <si>
    <r>
      <rPr>
        <sz val="10"/>
        <color rgb="FF1F2A28"/>
        <rFont val="WenQuanYi Zen Hei"/>
        <family val="2"/>
      </rPr>
      <t xml:space="preserve">三重區碧華街</t>
    </r>
    <r>
      <rPr>
        <sz val="10"/>
        <color rgb="FF1F2A28"/>
        <rFont val="Arial"/>
        <family val="0"/>
        <charset val="1"/>
      </rPr>
      <t xml:space="preserve">259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</si>
  <si>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(02)28571289</t>
  </si>
  <si>
    <t xml:space="preserve">carolyn1216888@gmail.com</t>
  </si>
  <si>
    <t xml:space="preserve">2005-10-21</t>
  </si>
  <si>
    <t xml:space="preserve">陳佳佳</t>
  </si>
  <si>
    <t xml:space="preserve">趙廉崴</t>
  </si>
  <si>
    <t xml:space="preserve">私立向品語文文理短期補習班</t>
  </si>
  <si>
    <r>
      <rPr>
        <sz val="10"/>
        <color rgb="FF1F2A28"/>
        <rFont val="WenQuanYi Zen Hei"/>
        <family val="2"/>
      </rPr>
      <t xml:space="preserve">三重區三和路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132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樓、自強路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105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</si>
  <si>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(02)22806988</t>
  </si>
  <si>
    <t xml:space="preserve">2016-07-05</t>
  </si>
  <si>
    <t xml:space="preserve">李知碩</t>
  </si>
  <si>
    <t xml:space="preserve">私立哈佛學園文理美語短期補習班</t>
  </si>
  <si>
    <r>
      <rPr>
        <sz val="10"/>
        <color rgb="FF1F2A28"/>
        <rFont val="WenQuanYi Zen Hei"/>
        <family val="2"/>
      </rPr>
      <t xml:space="preserve">三重區自由街</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</si>
  <si>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(02)29872674</t>
  </si>
  <si>
    <t xml:space="preserve">2014-08-08</t>
  </si>
  <si>
    <t xml:space="preserve">廖佳妮</t>
  </si>
  <si>
    <t xml:space="preserve">廖浚羽</t>
  </si>
  <si>
    <t xml:space="preserve">私立哈佛學苑文理美語短期補習班</t>
  </si>
  <si>
    <r>
      <rPr>
        <sz val="10"/>
        <color rgb="FF1F2A28"/>
        <rFont val="WenQuanYi Zen Hei"/>
        <family val="2"/>
      </rPr>
      <t xml:space="preserve">三重區重陽路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52</t>
    </r>
    <r>
      <rPr>
        <sz val="10"/>
        <color rgb="FF1F2A28"/>
        <rFont val="WenQuanYi Zen Hei"/>
        <family val="2"/>
      </rPr>
      <t xml:space="preserve">巷</t>
    </r>
    <r>
      <rPr>
        <sz val="10"/>
        <color rgb="FF1F2A28"/>
        <rFont val="Arial"/>
        <family val="0"/>
        <charset val="1"/>
      </rPr>
      <t xml:space="preserve">83</t>
    </r>
    <r>
      <rPr>
        <sz val="10"/>
        <color rgb="FF1F2A28"/>
        <rFont val="WenQuanYi Zen Hei"/>
        <family val="2"/>
      </rPr>
      <t xml:space="preserve">弄</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</si>
  <si>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(02)89859715</t>
  </si>
  <si>
    <t xml:space="preserve">2009-02-16</t>
  </si>
  <si>
    <t xml:space="preserve">顏志杰</t>
  </si>
  <si>
    <t xml:space="preserve">私立哈嘍美語文理短期補習班</t>
  </si>
  <si>
    <r>
      <rPr>
        <sz val="10"/>
        <color rgb="FF1F2A28"/>
        <rFont val="WenQuanYi Zen Hei"/>
        <family val="2"/>
      </rPr>
      <t xml:space="preserve">三重區中正北路</t>
    </r>
    <r>
      <rPr>
        <sz val="10"/>
        <color rgb="FF1F2A28"/>
        <rFont val="Arial"/>
        <family val="0"/>
        <charset val="1"/>
      </rPr>
      <t xml:space="preserve">25</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</si>
  <si>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0286699889</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</si>
  <si>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國文、英文、數學、社會、理化</t>
    </r>
    <r>
      <rPr>
        <sz val="10"/>
        <color rgb="FF1F2A28"/>
        <rFont val="Arial"/>
        <family val="0"/>
        <charset val="1"/>
      </rPr>
      <t xml:space="preserve">)</t>
    </r>
  </si>
  <si>
    <t xml:space="preserve">2024-07-04</t>
  </si>
  <si>
    <t xml:space="preserve">饒湘嬿</t>
  </si>
  <si>
    <t xml:space="preserve">鄒珊珊</t>
  </si>
  <si>
    <t xml:space="preserve">私立唐吉君英語會話短期補習班</t>
  </si>
  <si>
    <r>
      <rPr>
        <sz val="10"/>
        <color rgb="FF1F2A28"/>
        <rFont val="WenQuanYi Zen Hei"/>
        <family val="2"/>
      </rPr>
      <t xml:space="preserve">三重區洛陽街</t>
    </r>
    <r>
      <rPr>
        <sz val="10"/>
        <color rgb="FF1F2A28"/>
        <rFont val="Arial"/>
        <family val="0"/>
        <charset val="1"/>
      </rPr>
      <t xml:space="preserve">45</t>
    </r>
    <r>
      <rPr>
        <sz val="10"/>
        <color rgb="FF1F2A28"/>
        <rFont val="WenQuanYi Zen Hei"/>
        <family val="2"/>
      </rPr>
      <t xml:space="preserve">巷</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</si>
  <si>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(02)29881174</t>
  </si>
  <si>
    <t xml:space="preserve">erin.tang@tjj.com.tw</t>
  </si>
  <si>
    <t xml:space="preserve">1986-07-01</t>
  </si>
  <si>
    <t xml:space="preserve">唐燮清</t>
  </si>
  <si>
    <t xml:space="preserve">私立喬大文理語文短期補習班</t>
  </si>
  <si>
    <r>
      <rPr>
        <sz val="10"/>
        <color rgb="FF1F2A28"/>
        <rFont val="WenQuanYi Zen Hei"/>
        <family val="2"/>
      </rPr>
      <t xml:space="preserve">三重區中正北路</t>
    </r>
    <r>
      <rPr>
        <sz val="10"/>
        <color rgb="FF1F2A28"/>
        <rFont val="Arial"/>
        <family val="0"/>
        <charset val="1"/>
      </rPr>
      <t xml:space="preserve">133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135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</si>
  <si>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(02)29860811</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</si>
  <si>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數學、英文</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</si>
  <si>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2004-11-04</t>
  </si>
  <si>
    <t xml:space="preserve">許文齡</t>
  </si>
  <si>
    <t xml:space="preserve">陳萱瑄</t>
  </si>
  <si>
    <t xml:space="preserve">私立奕佰文理短期補習班</t>
  </si>
  <si>
    <r>
      <rPr>
        <sz val="10"/>
        <color rgb="FF1F2A28"/>
        <rFont val="WenQuanYi Zen Hei"/>
        <family val="2"/>
      </rPr>
      <t xml:space="preserve">三重區永福街</t>
    </r>
    <r>
      <rPr>
        <sz val="10"/>
        <color rgb="FF1F2A28"/>
        <rFont val="Arial"/>
        <family val="0"/>
        <charset val="1"/>
      </rPr>
      <t xml:space="preserve">43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</si>
  <si>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(02)2287-0785</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</si>
  <si>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英語會話</t>
    </r>
    <r>
      <rPr>
        <sz val="10"/>
        <color rgb="FF1F2A28"/>
        <rFont val="Arial"/>
        <family val="0"/>
        <charset val="1"/>
      </rPr>
      <t xml:space="preserve">)</t>
    </r>
  </si>
  <si>
    <t xml:space="preserve">1989-04-01</t>
  </si>
  <si>
    <t xml:space="preserve">江奕萱</t>
  </si>
  <si>
    <t xml:space="preserve">私立奧森文理語文短期補習班</t>
  </si>
  <si>
    <r>
      <rPr>
        <sz val="10"/>
        <color rgb="FF1F2A28"/>
        <rFont val="WenQuanYi Zen Hei"/>
        <family val="2"/>
      </rPr>
      <t xml:space="preserve">三重區集美街</t>
    </r>
    <r>
      <rPr>
        <sz val="10"/>
        <color rgb="FF1F2A28"/>
        <rFont val="Arial"/>
        <family val="0"/>
        <charset val="1"/>
      </rPr>
      <t xml:space="preserve">112</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</si>
  <si>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(02)8976-1929</t>
  </si>
  <si>
    <t xml:space="preserve">bw_admin@mail2000.com.tw</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</si>
  <si>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t>
    </r>
    <r>
      <rPr>
        <sz val="10"/>
        <color rgb="FF1F2A28"/>
        <rFont val="Arial"/>
        <family val="0"/>
        <charset val="1"/>
      </rPr>
      <t xml:space="preserve">)</t>
    </r>
  </si>
  <si>
    <t xml:space="preserve">2008-03-05</t>
  </si>
  <si>
    <t xml:space="preserve">林岱美</t>
  </si>
  <si>
    <t xml:space="preserve">私立好思文理短期補習班</t>
  </si>
  <si>
    <r>
      <rPr>
        <sz val="10"/>
        <color rgb="FF1F2A28"/>
        <rFont val="WenQuanYi Zen Hei"/>
        <family val="2"/>
      </rPr>
      <t xml:space="preserve">三重區仁義街</t>
    </r>
    <r>
      <rPr>
        <sz val="10"/>
        <color rgb="FF1F2A28"/>
        <rFont val="Arial"/>
        <family val="0"/>
        <charset val="1"/>
      </rPr>
      <t xml:space="preserve">399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</si>
  <si>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2855-9298</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</si>
  <si>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國文、英文、數學、社會、自然</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</si>
  <si>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2021-08-04</t>
  </si>
  <si>
    <t xml:space="preserve">王誌男</t>
  </si>
  <si>
    <t xml:space="preserve">吳中甯</t>
  </si>
  <si>
    <t xml:space="preserve">私立威明美語短期補習班</t>
  </si>
  <si>
    <r>
      <rPr>
        <sz val="10"/>
        <color rgb="FF1F2A28"/>
        <rFont val="WenQuanYi Zen Hei"/>
        <family val="2"/>
      </rPr>
      <t xml:space="preserve">三重區信義西街</t>
    </r>
    <r>
      <rPr>
        <sz val="10"/>
        <color rgb="FF1F2A28"/>
        <rFont val="Arial"/>
        <family val="0"/>
        <charset val="1"/>
      </rPr>
      <t xml:space="preserve">118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</si>
  <si>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29881848</t>
  </si>
  <si>
    <t xml:space="preserve">wamin25899@yahoo.com.tw</t>
  </si>
  <si>
    <t xml:space="preserve">2000-01-17</t>
  </si>
  <si>
    <t xml:space="preserve">劉永明</t>
  </si>
  <si>
    <t xml:space="preserve">鄭弘杰</t>
  </si>
  <si>
    <t xml:space="preserve">私立尼可文理美語短期補習班</t>
  </si>
  <si>
    <r>
      <rPr>
        <sz val="10"/>
        <color rgb="FF1F2A28"/>
        <rFont val="WenQuanYi Zen Hei"/>
        <family val="2"/>
      </rPr>
      <t xml:space="preserve">三重區福德北路</t>
    </r>
    <r>
      <rPr>
        <sz val="10"/>
        <color rgb="FF1F2A28"/>
        <rFont val="Arial"/>
        <family val="0"/>
        <charset val="1"/>
      </rPr>
      <t xml:space="preserve">46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</si>
  <si>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(02)29706018</t>
  </si>
  <si>
    <t xml:space="preserve">meihui5129@yahoo.com.tw</t>
  </si>
  <si>
    <r>
      <rPr>
        <sz val="10"/>
        <color rgb="FF1F2A28"/>
        <rFont val="Arial"/>
        <family val="0"/>
        <charset val="1"/>
      </rPr>
      <t xml:space="preserve">(</t>
    </r>
    <r>
      <rPr>
        <sz val="10"/>
        <color rgb="FF1F2A28"/>
        <rFont val="WenQuanYi Zen Hei"/>
        <family val="2"/>
      </rPr>
      <t xml:space="preserve">數學、英文</t>
    </r>
    <r>
      <rPr>
        <sz val="10"/>
        <color rgb="FF1F2A28"/>
        <rFont val="Arial"/>
        <family val="0"/>
        <charset val="1"/>
      </rPr>
      <t xml:space="preserve">)</t>
    </r>
    <r>
      <rPr>
        <sz val="10"/>
        <color rgb="FF1F2A28"/>
        <rFont val="WenQuanYi Zen Hei"/>
        <family val="2"/>
      </rPr>
      <t xml:space="preserve">、美語</t>
    </r>
  </si>
  <si>
    <t xml:space="preserve">2012-04-24</t>
  </si>
  <si>
    <t xml:space="preserve">郭美惠</t>
  </si>
  <si>
    <t xml:space="preserve">私立德瑄文理語文短期補習班</t>
  </si>
  <si>
    <r>
      <rPr>
        <sz val="10"/>
        <color rgb="FF1F2A28"/>
        <rFont val="WenQuanYi Zen Hei"/>
        <family val="2"/>
      </rPr>
      <t xml:space="preserve">三重區重新路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1</t>
    </r>
  </si>
  <si>
    <t xml:space="preserve">0935775223</t>
  </si>
  <si>
    <t xml:space="preserve">kenny@teammax.com.tw</t>
  </si>
  <si>
    <t xml:space="preserve">2016-08-18</t>
  </si>
  <si>
    <t xml:space="preserve">趙致平</t>
  </si>
  <si>
    <t xml:space="preserve">郭春生</t>
  </si>
  <si>
    <t xml:space="preserve">私立惠文領袖文理技藝短期補習班</t>
  </si>
  <si>
    <r>
      <rPr>
        <sz val="10"/>
        <color rgb="FF1F2A28"/>
        <rFont val="WenQuanYi Zen Hei"/>
        <family val="2"/>
      </rPr>
      <t xml:space="preserve">三重區五華街</t>
    </r>
    <r>
      <rPr>
        <sz val="10"/>
        <color rgb="FF1F2A28"/>
        <rFont val="Arial"/>
        <family val="0"/>
        <charset val="1"/>
      </rPr>
      <t xml:space="preserve">149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207</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t>
    </r>
    <r>
      <rPr>
        <sz val="10"/>
        <color rgb="FF1F2A28"/>
        <rFont val="Arial"/>
        <family val="0"/>
        <charset val="1"/>
      </rPr>
      <t xml:space="preserve">6</t>
    </r>
    <r>
      <rPr>
        <sz val="10"/>
        <color rgb="FF1F2A28"/>
        <rFont val="WenQuanYi Zen Hei"/>
        <family val="2"/>
      </rPr>
      <t xml:space="preserve">樓</t>
    </r>
  </si>
  <si>
    <t xml:space="preserve">(02)2857-0307</t>
  </si>
  <si>
    <t xml:space="preserve">2006-07-24</t>
  </si>
  <si>
    <t xml:space="preserve">劉惠文</t>
  </si>
  <si>
    <t xml:space="preserve">私立揚邦文理語文音樂美術珠心算短期補習班</t>
  </si>
  <si>
    <r>
      <rPr>
        <sz val="10"/>
        <color rgb="FF1F2A28"/>
        <rFont val="WenQuanYi Zen Hei"/>
        <family val="2"/>
      </rPr>
      <t xml:space="preserve">三重區重陽路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34</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34</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</si>
  <si>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(02)29855548</t>
  </si>
  <si>
    <t xml:space="preserve">2000-01-03</t>
  </si>
  <si>
    <t xml:space="preserve">戴秋屏</t>
  </si>
  <si>
    <t xml:space="preserve">私立文彥語文短期補習班</t>
  </si>
  <si>
    <r>
      <rPr>
        <sz val="10"/>
        <color rgb="FF1F2A28"/>
        <rFont val="WenQuanYi Zen Hei"/>
        <family val="2"/>
      </rPr>
      <t xml:space="preserve">三重區重陽路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34</t>
    </r>
    <r>
      <rPr>
        <sz val="10"/>
        <color rgb="FF1F2A28"/>
        <rFont val="WenQuanYi Zen Hei"/>
        <family val="2"/>
      </rPr>
      <t xml:space="preserve">、</t>
    </r>
    <r>
      <rPr>
        <sz val="10"/>
        <color rgb="FF1F2A28"/>
        <rFont val="Arial"/>
        <family val="0"/>
        <charset val="1"/>
      </rPr>
      <t xml:space="preserve">36</t>
    </r>
    <r>
      <rPr>
        <sz val="10"/>
        <color rgb="FF1F2A28"/>
        <rFont val="WenQuanYi Zen Hei"/>
        <family val="2"/>
      </rPr>
      <t xml:space="preserve">、</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</si>
  <si>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2007-08-02</t>
  </si>
  <si>
    <t xml:space="preserve">徐陳藝玲</t>
  </si>
  <si>
    <t xml:space="preserve">私立新學林文理語文短期補習班</t>
  </si>
  <si>
    <r>
      <rPr>
        <sz val="10"/>
        <color rgb="FF1F2A28"/>
        <rFont val="WenQuanYi Zen Hei"/>
        <family val="2"/>
      </rPr>
      <t xml:space="preserve">三重區仁義街</t>
    </r>
    <r>
      <rPr>
        <sz val="10"/>
        <color rgb="FF1F2A28"/>
        <rFont val="Arial"/>
        <family val="0"/>
        <charset val="1"/>
      </rPr>
      <t xml:space="preserve">230</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樓、仁義街</t>
    </r>
    <r>
      <rPr>
        <sz val="10"/>
        <color rgb="FF1F2A28"/>
        <rFont val="Arial"/>
        <family val="0"/>
        <charset val="1"/>
      </rPr>
      <t xml:space="preserve">234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</si>
  <si>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(02)29899072</t>
  </si>
  <si>
    <t xml:space="preserve">nsl29883120@yahoo.com.tw</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</si>
  <si>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</si>
  <si>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2001-01-17</t>
  </si>
  <si>
    <t xml:space="preserve">許淑玲</t>
  </si>
  <si>
    <t xml:space="preserve">楊紫軒</t>
  </si>
  <si>
    <t xml:space="preserve">私立新永福文理語文珠心算作文美術短期補習班</t>
  </si>
  <si>
    <r>
      <rPr>
        <sz val="10"/>
        <color rgb="FF1F2A28"/>
        <rFont val="WenQuanYi Zen Hei"/>
        <family val="2"/>
      </rPr>
      <t xml:space="preserve">三重區下竹圍街</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</si>
  <si>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(02)22869049</t>
  </si>
  <si>
    <t xml:space="preserve">2011-06-30</t>
  </si>
  <si>
    <t xml:space="preserve">林月瑛</t>
  </si>
  <si>
    <t xml:space="preserve">私立旻登美語補習班</t>
  </si>
  <si>
    <r>
      <rPr>
        <sz val="10"/>
        <color rgb="FF1F2A28"/>
        <rFont val="WenQuanYi Zen Hei"/>
        <family val="2"/>
      </rPr>
      <t xml:space="preserve">三重區頂崁街</t>
    </r>
    <r>
      <rPr>
        <sz val="10"/>
        <color rgb="FF1F2A28"/>
        <rFont val="Arial"/>
        <family val="0"/>
        <charset val="1"/>
      </rPr>
      <t xml:space="preserve">234</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</si>
  <si>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29840007</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</si>
  <si>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英文、數學、自然</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</si>
  <si>
    <t xml:space="preserve">1997-12-01</t>
  </si>
  <si>
    <t xml:space="preserve">李登榮</t>
  </si>
  <si>
    <t xml:space="preserve">蔡旻雅</t>
  </si>
  <si>
    <t xml:space="preserve">私立晨翔文理短期補習班</t>
  </si>
  <si>
    <r>
      <rPr>
        <sz val="10"/>
        <color rgb="FF1F2A28"/>
        <rFont val="WenQuanYi Zen Hei"/>
        <family val="2"/>
      </rPr>
      <t xml:space="preserve">三重區集美街</t>
    </r>
    <r>
      <rPr>
        <sz val="10"/>
        <color rgb="FF1F2A28"/>
        <rFont val="Arial"/>
        <family val="0"/>
        <charset val="1"/>
      </rPr>
      <t xml:space="preserve">112</t>
    </r>
    <r>
      <rPr>
        <sz val="10"/>
        <color rgb="FF1F2A28"/>
        <rFont val="WenQuanYi Zen Hei"/>
        <family val="2"/>
      </rPr>
      <t xml:space="preserve">巷</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</si>
  <si>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0916969979</t>
  </si>
  <si>
    <t xml:space="preserve">2024-08-14</t>
  </si>
  <si>
    <t xml:space="preserve">林清華</t>
  </si>
  <si>
    <t xml:space="preserve">龔星臣</t>
  </si>
  <si>
    <t xml:space="preserve">私立森林希語語文文理短期補習班</t>
  </si>
  <si>
    <r>
      <rPr>
        <sz val="10"/>
        <color rgb="FF1F2A28"/>
        <rFont val="WenQuanYi Zen Hei"/>
        <family val="2"/>
      </rPr>
      <t xml:space="preserve">三重區秀江街</t>
    </r>
    <r>
      <rPr>
        <sz val="10"/>
        <color rgb="FF1F2A28"/>
        <rFont val="Arial"/>
        <family val="0"/>
        <charset val="1"/>
      </rPr>
      <t xml:space="preserve">120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</si>
  <si>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(02)29770468</t>
  </si>
  <si>
    <t xml:space="preserve">2010-07-26</t>
  </si>
  <si>
    <t xml:space="preserve">白若伶</t>
  </si>
  <si>
    <t xml:space="preserve">蘇文晞</t>
  </si>
  <si>
    <t xml:space="preserve">私立樂獅文理語文短期補習班</t>
  </si>
  <si>
    <r>
      <rPr>
        <sz val="10"/>
        <color rgb="FF1F2A28"/>
        <rFont val="WenQuanYi Zen Hei"/>
        <family val="2"/>
      </rPr>
      <t xml:space="preserve">三重區進安街</t>
    </r>
    <r>
      <rPr>
        <sz val="10"/>
        <color rgb="FF1F2A28"/>
        <rFont val="Arial"/>
        <family val="0"/>
        <charset val="1"/>
      </rPr>
      <t xml:space="preserve">190</t>
    </r>
    <r>
      <rPr>
        <sz val="10"/>
        <color rgb="FF1F2A28"/>
        <rFont val="WenQuanYi Zen Hei"/>
        <family val="2"/>
      </rPr>
      <t xml:space="preserve">、</t>
    </r>
    <r>
      <rPr>
        <sz val="10"/>
        <color rgb="FF1F2A28"/>
        <rFont val="Arial"/>
        <family val="0"/>
        <charset val="1"/>
      </rPr>
      <t xml:space="preserve">192</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</si>
  <si>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(02)82872875</t>
  </si>
  <si>
    <t xml:space="preserve">happylionwuhwa@gmail.com</t>
  </si>
  <si>
    <t xml:space="preserve">2016-07-20</t>
  </si>
  <si>
    <t xml:space="preserve">黃士育</t>
  </si>
  <si>
    <t xml:space="preserve">私立樂獨兒文理技藝短期補習班</t>
  </si>
  <si>
    <r>
      <rPr>
        <sz val="10"/>
        <color rgb="FF1F2A28"/>
        <rFont val="WenQuanYi Zen Hei"/>
        <family val="2"/>
      </rPr>
      <t xml:space="preserve">三重區重陽路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69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</si>
  <si>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0282812068</t>
  </si>
  <si>
    <t xml:space="preserve">chiaoartspace@gmail.com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</si>
  <si>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國文、英文、數學、社會、自然</t>
    </r>
    <r>
      <rPr>
        <sz val="10"/>
        <color rgb="FF1F2A28"/>
        <rFont val="Arial"/>
        <family val="0"/>
        <charset val="1"/>
      </rPr>
      <t xml:space="preserve">)</t>
    </r>
  </si>
  <si>
    <t xml:space="preserve">2021-11-10</t>
  </si>
  <si>
    <t xml:space="preserve">祝瑋翎</t>
  </si>
  <si>
    <t xml:space="preserve">私立歐汎文理短期補習班</t>
  </si>
  <si>
    <r>
      <rPr>
        <sz val="10"/>
        <color rgb="FF1F2A28"/>
        <rFont val="WenQuanYi Zen Hei"/>
        <family val="2"/>
      </rPr>
      <t xml:space="preserve">三重區重陽路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126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128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</si>
  <si>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0972054015</t>
  </si>
  <si>
    <t xml:space="preserve">2024-08-26</t>
  </si>
  <si>
    <t xml:space="preserve">歐修汎</t>
  </si>
  <si>
    <t xml:space="preserve">私立池科文理語文短期補習班</t>
  </si>
  <si>
    <r>
      <rPr>
        <sz val="10"/>
        <color rgb="FF1F2A28"/>
        <rFont val="WenQuanYi Zen Hei"/>
        <family val="2"/>
      </rPr>
      <t xml:space="preserve">三重區溪尾街</t>
    </r>
    <r>
      <rPr>
        <sz val="10"/>
        <color rgb="FF1F2A28"/>
        <rFont val="Arial"/>
        <family val="0"/>
        <charset val="1"/>
      </rPr>
      <t xml:space="preserve">113</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113</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123</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</si>
  <si>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(02)8985-1072</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</si>
  <si>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國文、英語、數學、自然與生活科技</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</si>
  <si>
    <t xml:space="preserve">2014-04-16</t>
  </si>
  <si>
    <t xml:space="preserve">洪青輝</t>
  </si>
  <si>
    <t xml:space="preserve">葉煌仁</t>
  </si>
  <si>
    <t xml:space="preserve">私立洪堯順美術語文短期補習班</t>
  </si>
  <si>
    <r>
      <rPr>
        <sz val="10"/>
        <color rgb="FF1F2A28"/>
        <rFont val="WenQuanYi Zen Hei"/>
        <family val="2"/>
      </rPr>
      <t xml:space="preserve">三重區自強路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85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</si>
  <si>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(02)2986-2563</t>
  </si>
  <si>
    <t xml:space="preserve">2011-10-12</t>
  </si>
  <si>
    <t xml:space="preserve">洪堯順</t>
  </si>
  <si>
    <t xml:space="preserve">陳佑朋</t>
  </si>
  <si>
    <t xml:space="preserve">私立浩瀚文理語文短期補習班</t>
  </si>
  <si>
    <r>
      <rPr>
        <sz val="10"/>
        <color rgb="FF1F2A28"/>
        <rFont val="WenQuanYi Zen Hei"/>
        <family val="2"/>
      </rPr>
      <t xml:space="preserve">三重區忠孝路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</si>
  <si>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(02)29863232</t>
  </si>
  <si>
    <t xml:space="preserve">2007-02-14</t>
  </si>
  <si>
    <t xml:space="preserve">盧又溱</t>
  </si>
  <si>
    <t xml:space="preserve">徐宏全</t>
  </si>
  <si>
    <t xml:space="preserve">私立清華數理語文文理短期補習班</t>
  </si>
  <si>
    <r>
      <rPr>
        <sz val="10"/>
        <color rgb="FF1F2A28"/>
        <rFont val="WenQuanYi Zen Hei"/>
        <family val="2"/>
      </rPr>
      <t xml:space="preserve">三重區集美街</t>
    </r>
    <r>
      <rPr>
        <sz val="10"/>
        <color rgb="FF1F2A28"/>
        <rFont val="Arial"/>
        <family val="0"/>
        <charset val="1"/>
      </rPr>
      <t xml:space="preserve">112</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、集美街</t>
    </r>
    <r>
      <rPr>
        <sz val="10"/>
        <color rgb="FF1F2A28"/>
        <rFont val="Arial"/>
        <family val="0"/>
        <charset val="1"/>
      </rPr>
      <t xml:space="preserve">122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</si>
  <si>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(02)89721678</t>
  </si>
  <si>
    <t xml:space="preserve">2009-06-18</t>
  </si>
  <si>
    <t xml:space="preserve">私立王大衛文理語文短期補習班</t>
  </si>
  <si>
    <r>
      <rPr>
        <sz val="10"/>
        <color rgb="FF1F2A28"/>
        <rFont val="WenQuanYi Zen Hei"/>
        <family val="2"/>
      </rPr>
      <t xml:space="preserve">三重區介壽路</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層</t>
    </r>
    <r>
      <rPr>
        <sz val="10"/>
        <color rgb="FF1F2A28"/>
        <rFont val="Arial"/>
        <family val="0"/>
        <charset val="1"/>
      </rPr>
      <t xml:space="preserve">)</t>
    </r>
  </si>
  <si>
    <t xml:space="preserve">(02)29747331</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</si>
  <si>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國文、英文、數學、自然、社會）、文理</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</si>
  <si>
    <t xml:space="preserve">2008-01-03</t>
  </si>
  <si>
    <t xml:space="preserve">王祥義</t>
  </si>
  <si>
    <t xml:space="preserve">私立珩蓁語文文理美術短期補習班</t>
  </si>
  <si>
    <r>
      <rPr>
        <sz val="10"/>
        <color rgb="FF1F2A28"/>
        <rFont val="WenQuanYi Zen Hei"/>
        <family val="2"/>
      </rPr>
      <t xml:space="preserve">三重區重新路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</si>
  <si>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(02)29741212</t>
  </si>
  <si>
    <t xml:space="preserve">jack_yeh398@yahoo.com.tw</t>
  </si>
  <si>
    <t xml:space="preserve">2013-02-21</t>
  </si>
  <si>
    <t xml:space="preserve">葉子才</t>
  </si>
  <si>
    <t xml:space="preserve">私立盒子文理語文短期補習班</t>
  </si>
  <si>
    <r>
      <rPr>
        <sz val="10"/>
        <color rgb="FF1F2A28"/>
        <rFont val="WenQuanYi Zen Hei"/>
        <family val="2"/>
      </rPr>
      <t xml:space="preserve">三重區正義北路</t>
    </r>
    <r>
      <rPr>
        <sz val="10"/>
        <color rgb="FF1F2A28"/>
        <rFont val="Arial"/>
        <family val="0"/>
        <charset val="1"/>
      </rPr>
      <t xml:space="preserve">279</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1</t>
    </r>
  </si>
  <si>
    <t xml:space="preserve">(02)2985-5046</t>
  </si>
  <si>
    <t xml:space="preserve">ai61207@yahoo.com.tw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</si>
  <si>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t>
    </r>
    <r>
      <rPr>
        <sz val="10"/>
        <color rgb="FF1F2A28"/>
        <rFont val="Arial"/>
        <family val="0"/>
        <charset val="1"/>
      </rPr>
      <t xml:space="preserve">)</t>
    </r>
  </si>
  <si>
    <t xml:space="preserve">2007-12-13</t>
  </si>
  <si>
    <t xml:space="preserve">戴典諭</t>
  </si>
  <si>
    <t xml:space="preserve">陳美玉</t>
  </si>
  <si>
    <t xml:space="preserve">私立維德文理語文短期補習班</t>
  </si>
  <si>
    <r>
      <rPr>
        <sz val="10"/>
        <color rgb="FF1F2A28"/>
        <rFont val="WenQuanYi Zen Hei"/>
        <family val="2"/>
      </rPr>
      <t xml:space="preserve">三重區忠孝路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131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</si>
  <si>
    <t xml:space="preserve">02-8981-0142</t>
  </si>
  <si>
    <t xml:space="preserve">mouse88.chen@msa.hinet.net</t>
  </si>
  <si>
    <t xml:space="preserve">1991-07-04</t>
  </si>
  <si>
    <t xml:space="preserve">陳俊宇</t>
  </si>
  <si>
    <t xml:space="preserve">私立育庠英文短期補習班</t>
  </si>
  <si>
    <r>
      <rPr>
        <sz val="10"/>
        <color rgb="FF1F2A28"/>
        <rFont val="WenQuanYi Zen Hei"/>
        <family val="2"/>
      </rPr>
      <t xml:space="preserve">三重區正義北路</t>
    </r>
    <r>
      <rPr>
        <sz val="10"/>
        <color rgb="FF1F2A28"/>
        <rFont val="Arial"/>
        <family val="0"/>
        <charset val="1"/>
      </rPr>
      <t xml:space="preserve">154</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</si>
  <si>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(02)29860325</t>
  </si>
  <si>
    <t xml:space="preserve">wupeter@seed.net.tw</t>
  </si>
  <si>
    <t xml:space="preserve">2007-06-06</t>
  </si>
  <si>
    <t xml:space="preserve">吳子源</t>
  </si>
  <si>
    <t xml:space="preserve">陳婉玲</t>
  </si>
  <si>
    <t xml:space="preserve">私立育晟語文短期補習班</t>
  </si>
  <si>
    <r>
      <rPr>
        <sz val="10"/>
        <color rgb="FF1F2A28"/>
        <rFont val="WenQuanYi Zen Hei"/>
        <family val="2"/>
      </rPr>
      <t xml:space="preserve">三重區重陽路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66</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</si>
  <si>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(02)29817199</t>
  </si>
  <si>
    <t xml:space="preserve">2001-09-10</t>
  </si>
  <si>
    <t xml:space="preserve">周欣欣</t>
  </si>
  <si>
    <t xml:space="preserve">私立育林文理語文珠心算短期補習班</t>
  </si>
  <si>
    <r>
      <rPr>
        <sz val="10"/>
        <color rgb="FF1F2A28"/>
        <rFont val="WenQuanYi Zen Hei"/>
        <family val="2"/>
      </rPr>
      <t xml:space="preserve">三重區自由街</t>
    </r>
    <r>
      <rPr>
        <sz val="10"/>
        <color rgb="FF1F2A28"/>
        <rFont val="Arial"/>
        <family val="0"/>
        <charset val="1"/>
      </rPr>
      <t xml:space="preserve">17</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號</t>
    </r>
  </si>
  <si>
    <t xml:space="preserve">22986-3466</t>
  </si>
  <si>
    <t xml:space="preserve">2006-06-22</t>
  </si>
  <si>
    <t xml:space="preserve">陳書宇</t>
  </si>
  <si>
    <t xml:space="preserve">汪宗賢</t>
  </si>
  <si>
    <t xml:space="preserve">私立育苗資優文理語文短期補習班</t>
  </si>
  <si>
    <r>
      <rPr>
        <sz val="10"/>
        <color rgb="FF1F2A28"/>
        <rFont val="WenQuanYi Zen Hei"/>
        <family val="2"/>
      </rPr>
      <t xml:space="preserve">三重區三和路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79</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由</t>
    </r>
    <r>
      <rPr>
        <sz val="10"/>
        <color rgb="FF1F2A28"/>
        <rFont val="Arial"/>
        <family val="0"/>
        <charset val="1"/>
      </rPr>
      <t xml:space="preserve">79</t>
    </r>
    <r>
      <rPr>
        <sz val="10"/>
        <color rgb="FF1F2A28"/>
        <rFont val="WenQuanYi Zen Hei"/>
        <family val="2"/>
      </rPr>
      <t xml:space="preserve">、</t>
    </r>
    <r>
      <rPr>
        <sz val="10"/>
        <color rgb="FF1F2A28"/>
        <rFont val="Arial"/>
        <family val="0"/>
        <charset val="1"/>
      </rPr>
      <t xml:space="preserve">81</t>
    </r>
    <r>
      <rPr>
        <sz val="10"/>
        <color rgb="FF1F2A28"/>
        <rFont val="WenQuanYi Zen Hei"/>
        <family val="2"/>
      </rPr>
      <t xml:space="preserve">號各</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79</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層共</t>
    </r>
    <r>
      <rPr>
        <sz val="10"/>
        <color rgb="FF1F2A28"/>
        <rFont val="Arial"/>
        <family val="0"/>
        <charset val="1"/>
      </rPr>
      <t xml:space="preserve">3</t>
    </r>
    <r>
      <rPr>
        <sz val="10"/>
        <color rgb="FF1F2A28"/>
        <rFont val="WenQuanYi Zen Hei"/>
        <family val="2"/>
      </rPr>
      <t xml:space="preserve">戶合併</t>
    </r>
    <r>
      <rPr>
        <sz val="10"/>
        <color rgb="FF1F2A28"/>
        <rFont val="Arial"/>
        <family val="0"/>
        <charset val="1"/>
      </rPr>
      <t xml:space="preserve">)</t>
    </r>
  </si>
  <si>
    <t xml:space="preserve">(02)29767887</t>
  </si>
  <si>
    <t xml:space="preserve">tinkao88@gmail.com</t>
  </si>
  <si>
    <t xml:space="preserve">英文、數學、自然與生活科技、英語</t>
  </si>
  <si>
    <t xml:space="preserve">高琮婷</t>
  </si>
  <si>
    <t xml:space="preserve">私立育麒文理技藝短期補習班</t>
  </si>
  <si>
    <r>
      <rPr>
        <sz val="10"/>
        <color rgb="FF1F2A28"/>
        <rFont val="WenQuanYi Zen Hei"/>
        <family val="2"/>
      </rPr>
      <t xml:space="preserve">三重區集美街</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</si>
  <si>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89722600</t>
  </si>
  <si>
    <t xml:space="preserve">linchiya@gmail.com</t>
  </si>
  <si>
    <t xml:space="preserve">2001-09-03</t>
  </si>
  <si>
    <t xml:space="preserve">林志洋</t>
  </si>
  <si>
    <t xml:space="preserve">私立良育語文電腦短期補習班</t>
  </si>
  <si>
    <r>
      <rPr>
        <sz val="10"/>
        <color rgb="FF1F2A28"/>
        <rFont val="WenQuanYi Zen Hei"/>
        <family val="2"/>
      </rPr>
      <t xml:space="preserve">三重區重陽路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36</t>
    </r>
    <r>
      <rPr>
        <sz val="10"/>
        <color rgb="FF1F2A28"/>
        <rFont val="WenQuanYi Zen Hei"/>
        <family val="2"/>
      </rPr>
      <t xml:space="preserve">、</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24</t>
    </r>
    <r>
      <rPr>
        <sz val="10"/>
        <color rgb="FF1F2A28"/>
        <rFont val="WenQuanYi Zen Hei"/>
        <family val="2"/>
      </rPr>
      <t xml:space="preserve">、</t>
    </r>
    <r>
      <rPr>
        <sz val="10"/>
        <color rgb="FF1F2A28"/>
        <rFont val="Arial"/>
        <family val="0"/>
        <charset val="1"/>
      </rPr>
      <t xml:space="preserve">26</t>
    </r>
    <r>
      <rPr>
        <sz val="10"/>
        <color rgb="FF1F2A28"/>
        <rFont val="WenQuanYi Zen Hei"/>
        <family val="2"/>
      </rPr>
      <t xml:space="preserve">、</t>
    </r>
    <r>
      <rPr>
        <sz val="10"/>
        <color rgb="FF1F2A28"/>
        <rFont val="Arial"/>
        <family val="0"/>
        <charset val="1"/>
      </rPr>
      <t xml:space="preserve">36</t>
    </r>
    <r>
      <rPr>
        <sz val="10"/>
        <color rgb="FF1F2A28"/>
        <rFont val="WenQuanYi Zen Hei"/>
        <family val="2"/>
      </rPr>
      <t xml:space="preserve">、</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4</t>
    </r>
    <r>
      <rPr>
        <sz val="10"/>
        <color rgb="FF1F2A28"/>
        <rFont val="WenQuanYi Zen Hei"/>
        <family val="2"/>
      </rPr>
      <t xml:space="preserve">樓</t>
    </r>
    <r>
      <rPr>
        <sz val="10"/>
        <color rgb="FF1F2A28"/>
        <rFont val="Arial"/>
        <family val="0"/>
        <charset val="1"/>
      </rPr>
      <t xml:space="preserve">)</t>
    </r>
  </si>
  <si>
    <t xml:space="preserve">(02)29855508</t>
  </si>
  <si>
    <t xml:space="preserve">私立芝蔴街忠孝語文短期補習班</t>
  </si>
  <si>
    <r>
      <rPr>
        <sz val="10"/>
        <color rgb="FF1F2A28"/>
        <rFont val="WenQuanYi Zen Hei"/>
        <family val="2"/>
      </rPr>
      <t xml:space="preserve">三重區忠孝路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t>
    </r>
    <r>
      <rPr>
        <sz val="10"/>
        <color rgb="FF1F2A28"/>
        <rFont val="WenQuanYi Zen Hei"/>
        <family val="2"/>
      </rPr>
      <t xml:space="preserve">樓夾層</t>
    </r>
  </si>
  <si>
    <t xml:space="preserve">29823388</t>
  </si>
  <si>
    <t xml:space="preserve">1998-06-30</t>
  </si>
  <si>
    <t xml:space="preserve">黃陳雲卿</t>
  </si>
  <si>
    <t xml:space="preserve">私立讚源文理短期補習班</t>
  </si>
  <si>
    <r>
      <rPr>
        <sz val="10"/>
        <color rgb="FF1F2A28"/>
        <rFont val="WenQuanYi Zen Hei"/>
        <family val="2"/>
      </rPr>
      <t xml:space="preserve">三重區正義北路</t>
    </r>
    <r>
      <rPr>
        <sz val="10"/>
        <color rgb="FF1F2A28"/>
        <rFont val="Arial"/>
        <family val="0"/>
        <charset val="1"/>
      </rPr>
      <t xml:space="preserve">218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</si>
  <si>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(02)8988-2016</t>
  </si>
  <si>
    <t xml:space="preserve">2010-09-13</t>
  </si>
  <si>
    <t xml:space="preserve">林頴芳</t>
  </si>
  <si>
    <t xml:space="preserve">左沐晨</t>
  </si>
  <si>
    <t xml:space="preserve">科踐語文文理短期補習班</t>
  </si>
  <si>
    <r>
      <rPr>
        <sz val="10"/>
        <color rgb="FF1F2A28"/>
        <rFont val="WenQuanYi Zen Hei"/>
        <family val="2"/>
      </rPr>
      <t xml:space="preserve">三重區重新路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t>
    </r>
    <r>
      <rPr>
        <sz val="10"/>
        <color rgb="FF1F2A28"/>
        <rFont val="WenQuanYi Zen Hei"/>
        <family val="2"/>
      </rPr>
      <t xml:space="preserve">之</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</si>
  <si>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(02)29712097</t>
  </si>
  <si>
    <t xml:space="preserve">manager_sc@kojen-els.com.tw</t>
  </si>
  <si>
    <t xml:space="preserve">2008-05-26</t>
  </si>
  <si>
    <t xml:space="preserve">許素芬</t>
  </si>
  <si>
    <t xml:space="preserve">立全語文文理短期補習班</t>
  </si>
  <si>
    <r>
      <rPr>
        <sz val="10"/>
        <color rgb="FF1F2A28"/>
        <rFont val="WenQuanYi Zen Hei"/>
        <family val="2"/>
      </rPr>
      <t xml:space="preserve">三重區仁愛街</t>
    </r>
    <r>
      <rPr>
        <sz val="10"/>
        <color rgb="FF1F2A28"/>
        <rFont val="Arial"/>
        <family val="0"/>
        <charset val="1"/>
      </rPr>
      <t xml:space="preserve">367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</si>
  <si>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(02)89828799</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</si>
  <si>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t>
    </r>
    <r>
      <rPr>
        <sz val="10"/>
        <color rgb="FF1F2A28"/>
        <rFont val="Arial"/>
        <family val="0"/>
        <charset val="1"/>
      </rPr>
      <t xml:space="preserve">)</t>
    </r>
  </si>
  <si>
    <t xml:space="preserve">2014-09-01</t>
  </si>
  <si>
    <t xml:space="preserve">鍾開文</t>
  </si>
  <si>
    <t xml:space="preserve">吳秋萍</t>
  </si>
  <si>
    <t xml:space="preserve">精英國際教育管理顧問股份有限公司附設私立威妮斯特堡語文文理短期補習班</t>
  </si>
  <si>
    <r>
      <rPr>
        <sz val="10"/>
        <color rgb="FF1F2A28"/>
        <rFont val="WenQuanYi Zen Hei"/>
        <family val="2"/>
      </rPr>
      <t xml:space="preserve">三重區三信路</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</si>
  <si>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(02)28579988</t>
  </si>
  <si>
    <t xml:space="preserve">2009-03-29</t>
  </si>
  <si>
    <t xml:space="preserve">張書語</t>
  </si>
  <si>
    <t xml:space="preserve">董宛欣</t>
  </si>
  <si>
    <t xml:space="preserve">精英國際教育管理顧問股份有限公司附設精英國際重陽文理語文珠心算美術短期補習班</t>
  </si>
  <si>
    <r>
      <rPr>
        <sz val="10"/>
        <color rgb="FF1F2A28"/>
        <rFont val="WenQuanYi Zen Hei"/>
        <family val="2"/>
      </rPr>
      <t xml:space="preserve">三重區中正北路</t>
    </r>
    <r>
      <rPr>
        <sz val="10"/>
        <color rgb="FF1F2A28"/>
        <rFont val="Arial"/>
        <family val="0"/>
        <charset val="1"/>
      </rPr>
      <t xml:space="preserve">188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</si>
  <si>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(02)29716976</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</si>
  <si>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英、數、自、國、社</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t>
    </r>
    <r>
      <rPr>
        <sz val="10"/>
        <color rgb="FF1F2A28"/>
        <rFont val="Arial"/>
        <family val="0"/>
        <charset val="1"/>
      </rPr>
      <t xml:space="preserve">)</t>
    </r>
  </si>
  <si>
    <t xml:space="preserve">陳曉珊</t>
  </si>
  <si>
    <t xml:space="preserve">綸堡國際教育股份有限公司附設綸堡美語文理短期補習班</t>
  </si>
  <si>
    <r>
      <rPr>
        <sz val="10"/>
        <color rgb="FF1F2A28"/>
        <rFont val="WenQuanYi Zen Hei"/>
        <family val="2"/>
      </rPr>
      <t xml:space="preserve">三重區大智街</t>
    </r>
    <r>
      <rPr>
        <sz val="10"/>
        <color rgb="FF1F2A28"/>
        <rFont val="Arial"/>
        <family val="0"/>
        <charset val="1"/>
      </rPr>
      <t xml:space="preserve">94</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</si>
  <si>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(02)29832635</t>
  </si>
  <si>
    <t xml:space="preserve">2006-01-04</t>
  </si>
  <si>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何鉅凱</t>
    </r>
  </si>
  <si>
    <t xml:space="preserve">黃榮鉅</t>
  </si>
  <si>
    <t xml:space="preserve">綺響音樂語文美術補習班</t>
  </si>
  <si>
    <r>
      <rPr>
        <sz val="10"/>
        <color rgb="FF1F2A28"/>
        <rFont val="WenQuanYi Zen Hei"/>
        <family val="2"/>
      </rPr>
      <t xml:space="preserve">三重區三民街</t>
    </r>
    <r>
      <rPr>
        <sz val="10"/>
        <color rgb="FF1F2A28"/>
        <rFont val="Arial"/>
        <family val="0"/>
        <charset val="1"/>
      </rPr>
      <t xml:space="preserve">316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門牌整編</t>
    </r>
    <r>
      <rPr>
        <sz val="10"/>
        <color rgb="FF1F2A28"/>
        <rFont val="Arial"/>
        <family val="0"/>
        <charset val="1"/>
      </rPr>
      <t xml:space="preserve">)</t>
    </r>
  </si>
  <si>
    <t xml:space="preserve">29857831</t>
  </si>
  <si>
    <t xml:space="preserve">a55135kimo@yahoo.com.tw</t>
  </si>
  <si>
    <t xml:space="preserve">1999-07-08</t>
  </si>
  <si>
    <t xml:space="preserve">段子誥</t>
  </si>
  <si>
    <t xml:space="preserve">黃胤蓉</t>
  </si>
  <si>
    <t xml:space="preserve">聯成電腦股份有限公司附設私立聯成三重文理技藝短期補習班</t>
  </si>
  <si>
    <r>
      <rPr>
        <sz val="10"/>
        <color rgb="FF1F2A28"/>
        <rFont val="WenQuanYi Zen Hei"/>
        <family val="2"/>
      </rPr>
      <t xml:space="preserve">三重區正義北路</t>
    </r>
    <r>
      <rPr>
        <sz val="10"/>
        <color rgb="FF1F2A28"/>
        <rFont val="Arial"/>
        <family val="0"/>
        <charset val="1"/>
      </rPr>
      <t xml:space="preserve">27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層</t>
    </r>
    <r>
      <rPr>
        <sz val="10"/>
        <color rgb="FF1F2A28"/>
        <rFont val="Arial"/>
        <family val="0"/>
        <charset val="1"/>
      </rPr>
      <t xml:space="preserve">)</t>
    </r>
  </si>
  <si>
    <t xml:space="preserve">(02)8983-8802</t>
  </si>
  <si>
    <t xml:space="preserve">lccnet50@gmail.com</t>
  </si>
  <si>
    <t xml:space="preserve">2010-05-03</t>
  </si>
  <si>
    <t xml:space="preserve">鍾聖智</t>
  </si>
  <si>
    <t xml:space="preserve">鄭怡恩</t>
  </si>
  <si>
    <t xml:space="preserve">育群文理語文短期補習班</t>
  </si>
  <si>
    <r>
      <rPr>
        <sz val="10"/>
        <color rgb="FF1F2A28"/>
        <rFont val="WenQuanYi Zen Hei"/>
        <family val="2"/>
      </rPr>
      <t xml:space="preserve">三重區溪尾街</t>
    </r>
    <r>
      <rPr>
        <sz val="10"/>
        <color rgb="FF1F2A28"/>
        <rFont val="Arial"/>
        <family val="0"/>
        <charset val="1"/>
      </rPr>
      <t xml:space="preserve">123</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113</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</si>
  <si>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(02)29811933</t>
  </si>
  <si>
    <t xml:space="preserve">yuchun123123@yahoo.com.tw</t>
  </si>
  <si>
    <t xml:space="preserve">2004-04-20</t>
  </si>
  <si>
    <t xml:space="preserve">陳美秀</t>
  </si>
  <si>
    <t xml:space="preserve">葉若蕎</t>
  </si>
  <si>
    <t xml:space="preserve">艾美樂文理語文短期補習班</t>
  </si>
  <si>
    <r>
      <rPr>
        <sz val="10"/>
        <color rgb="FF1F2A28"/>
        <rFont val="WenQuanYi Zen Hei"/>
        <family val="2"/>
      </rPr>
      <t xml:space="preserve">三重區集美街</t>
    </r>
    <r>
      <rPr>
        <sz val="10"/>
        <color rgb="FF1F2A28"/>
        <rFont val="Arial"/>
        <family val="0"/>
        <charset val="1"/>
      </rPr>
      <t xml:space="preserve">126</t>
    </r>
    <r>
      <rPr>
        <sz val="10"/>
        <color rgb="FF1F2A28"/>
        <rFont val="WenQuanYi Zen Hei"/>
        <family val="2"/>
      </rPr>
      <t xml:space="preserve">巷</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</si>
  <si>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(02)29753373</t>
  </si>
  <si>
    <t xml:space="preserve">2007-09-04</t>
  </si>
  <si>
    <t xml:space="preserve">胡張淑玲</t>
  </si>
  <si>
    <t xml:space="preserve">黃若帆</t>
  </si>
  <si>
    <t xml:space="preserve">英帆文理語文電腦音樂美術珠算短期補習班</t>
  </si>
  <si>
    <r>
      <rPr>
        <sz val="10"/>
        <color rgb="FF1F2A28"/>
        <rFont val="WenQuanYi Zen Hei"/>
        <family val="2"/>
      </rPr>
      <t xml:space="preserve">三重區重陽路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</si>
  <si>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(02)2985-4828</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</si>
  <si>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商類：珠算、心算、會計</t>
    </r>
  </si>
  <si>
    <t xml:space="preserve">高麗惠</t>
  </si>
  <si>
    <t xml:space="preserve">英權文理語文電腦美術珠心算短期補習班</t>
  </si>
  <si>
    <r>
      <rPr>
        <sz val="10"/>
        <color rgb="FF1F2A28"/>
        <rFont val="WenQuanYi Zen Hei"/>
        <family val="2"/>
      </rPr>
      <t xml:space="preserve">三重區三賢街</t>
    </r>
    <r>
      <rPr>
        <sz val="10"/>
        <color rgb="FF1F2A28"/>
        <rFont val="Arial"/>
        <family val="0"/>
        <charset val="1"/>
      </rPr>
      <t xml:space="preserve">117</t>
    </r>
    <r>
      <rPr>
        <sz val="10"/>
        <color rgb="FF1F2A28"/>
        <rFont val="WenQuanYi Zen Hei"/>
        <family val="2"/>
      </rPr>
      <t xml:space="preserve">、</t>
    </r>
    <r>
      <rPr>
        <sz val="10"/>
        <color rgb="FF1F2A28"/>
        <rFont val="Arial"/>
        <family val="0"/>
        <charset val="1"/>
      </rPr>
      <t xml:space="preserve">119</t>
    </r>
    <r>
      <rPr>
        <sz val="10"/>
        <color rgb="FF1F2A28"/>
        <rFont val="WenQuanYi Zen Hei"/>
        <family val="2"/>
      </rPr>
      <t xml:space="preserve">、</t>
    </r>
    <r>
      <rPr>
        <sz val="10"/>
        <color rgb="FF1F2A28"/>
        <rFont val="Arial"/>
        <family val="0"/>
        <charset val="1"/>
      </rPr>
      <t xml:space="preserve">121</t>
    </r>
    <r>
      <rPr>
        <sz val="10"/>
        <color rgb="FF1F2A28"/>
        <rFont val="WenQuanYi Zen Hei"/>
        <family val="2"/>
      </rPr>
      <t xml:space="preserve">、</t>
    </r>
    <r>
      <rPr>
        <sz val="10"/>
        <color rgb="FF1F2A28"/>
        <rFont val="Arial"/>
        <family val="0"/>
        <charset val="1"/>
      </rPr>
      <t xml:space="preserve">123</t>
    </r>
    <r>
      <rPr>
        <sz val="10"/>
        <color rgb="FF1F2A28"/>
        <rFont val="WenQuanYi Zen Hei"/>
        <family val="2"/>
      </rPr>
      <t xml:space="preserve">號各</t>
    </r>
    <r>
      <rPr>
        <sz val="10"/>
        <color rgb="FF1F2A28"/>
        <rFont val="Arial"/>
        <family val="0"/>
        <charset val="1"/>
      </rPr>
      <t xml:space="preserve">1</t>
    </r>
    <r>
      <rPr>
        <sz val="10"/>
        <color rgb="FF1F2A28"/>
        <rFont val="WenQuanYi Zen Hei"/>
        <family val="2"/>
      </rPr>
      <t xml:space="preserve">樓</t>
    </r>
  </si>
  <si>
    <t xml:space="preserve">(02)2848-1666</t>
  </si>
  <si>
    <t xml:space="preserve">2013-08-28</t>
  </si>
  <si>
    <t xml:space="preserve">周欣霞</t>
  </si>
  <si>
    <t xml:space="preserve">茱莉亞文理語文珠心算美術短期補習班</t>
  </si>
  <si>
    <r>
      <rPr>
        <sz val="10"/>
        <color rgb="FF1F2A28"/>
        <rFont val="WenQuanYi Zen Hei"/>
        <family val="2"/>
      </rPr>
      <t xml:space="preserve">三重區三民街</t>
    </r>
    <r>
      <rPr>
        <sz val="10"/>
        <color rgb="FF1F2A28"/>
        <rFont val="Arial"/>
        <family val="0"/>
        <charset val="1"/>
      </rPr>
      <t xml:space="preserve">175</t>
    </r>
    <r>
      <rPr>
        <sz val="10"/>
        <color rgb="FF1F2A28"/>
        <rFont val="WenQuanYi Zen Hei"/>
        <family val="2"/>
      </rPr>
      <t xml:space="preserve">巷</t>
    </r>
    <r>
      <rPr>
        <sz val="10"/>
        <color rgb="FF1F2A28"/>
        <rFont val="Arial"/>
        <family val="0"/>
        <charset val="1"/>
      </rPr>
      <t xml:space="preserve">27</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樓、重陽路二段</t>
    </r>
    <r>
      <rPr>
        <sz val="10"/>
        <color rgb="FF1F2A28"/>
        <rFont val="Arial"/>
        <family val="0"/>
        <charset val="1"/>
      </rPr>
      <t xml:space="preserve">52</t>
    </r>
    <r>
      <rPr>
        <sz val="10"/>
        <color rgb="FF1F2A28"/>
        <rFont val="WenQuanYi Zen Hei"/>
        <family val="2"/>
      </rPr>
      <t xml:space="preserve">巷</t>
    </r>
    <r>
      <rPr>
        <sz val="10"/>
        <color rgb="FF1F2A28"/>
        <rFont val="Arial"/>
        <family val="0"/>
        <charset val="1"/>
      </rPr>
      <t xml:space="preserve">83</t>
    </r>
    <r>
      <rPr>
        <sz val="10"/>
        <color rgb="FF1F2A28"/>
        <rFont val="WenQuanYi Zen Hei"/>
        <family val="2"/>
      </rPr>
      <t xml:space="preserve">弄</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</si>
  <si>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(02)29850500</t>
  </si>
  <si>
    <t xml:space="preserve">juilliard97@yahoo.com.tw</t>
  </si>
  <si>
    <t xml:space="preserve">2015-12-01</t>
  </si>
  <si>
    <t xml:space="preserve">林聖琪</t>
  </si>
  <si>
    <t xml:space="preserve">菁紅文理美語短期補習班</t>
  </si>
  <si>
    <r>
      <rPr>
        <sz val="10"/>
        <color rgb="FF1F2A28"/>
        <rFont val="WenQuanYi Zen Hei"/>
        <family val="2"/>
      </rPr>
      <t xml:space="preserve">三重區仁愛街</t>
    </r>
    <r>
      <rPr>
        <sz val="10"/>
        <color rgb="FF1F2A28"/>
        <rFont val="Arial"/>
        <family val="0"/>
        <charset val="1"/>
      </rPr>
      <t xml:space="preserve">507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</si>
  <si>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(02)89827185</t>
  </si>
  <si>
    <t xml:space="preserve">nina89825900@gamil.com</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</si>
  <si>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國文、英文、數學、社會、自然</t>
    </r>
    <r>
      <rPr>
        <sz val="10"/>
        <color rgb="FF1F2A28"/>
        <rFont val="Arial"/>
        <family val="0"/>
        <charset val="1"/>
      </rPr>
      <t xml:space="preserve">)</t>
    </r>
  </si>
  <si>
    <t xml:space="preserve">2015-10-26</t>
  </si>
  <si>
    <t xml:space="preserve">吳敏菁</t>
  </si>
  <si>
    <t xml:space="preserve">蓁品文理技藝短期補習班</t>
  </si>
  <si>
    <r>
      <rPr>
        <sz val="10"/>
        <color rgb="FF1F2A28"/>
        <rFont val="WenQuanYi Zen Hei"/>
        <family val="2"/>
      </rPr>
      <t xml:space="preserve">三重區民生街</t>
    </r>
    <r>
      <rPr>
        <sz val="10"/>
        <color rgb="FF1F2A28"/>
        <rFont val="Arial"/>
        <family val="0"/>
        <charset val="1"/>
      </rPr>
      <t xml:space="preserve">61</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</si>
  <si>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(02)29867100</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</si>
  <si>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國語、英語、數學、自然與生活科技、社會</t>
    </r>
    <r>
      <rPr>
        <sz val="10"/>
        <color rgb="FF1F2A28"/>
        <rFont val="Arial"/>
        <family val="0"/>
        <charset val="1"/>
      </rPr>
      <t xml:space="preserve">)</t>
    </r>
  </si>
  <si>
    <t xml:space="preserve">2009-08-05</t>
  </si>
  <si>
    <t xml:space="preserve">邱品蓁</t>
  </si>
  <si>
    <t xml:space="preserve">諾貝爾優等文理語文短期補習班</t>
  </si>
  <si>
    <r>
      <rPr>
        <sz val="10"/>
        <color rgb="FF1F2A28"/>
        <rFont val="WenQuanYi Zen Hei"/>
        <family val="2"/>
      </rPr>
      <t xml:space="preserve">三重區永福街</t>
    </r>
    <r>
      <rPr>
        <sz val="10"/>
        <color rgb="FF1F2A28"/>
        <rFont val="Arial"/>
        <family val="0"/>
        <charset val="1"/>
      </rPr>
      <t xml:space="preserve">46</t>
    </r>
    <r>
      <rPr>
        <sz val="10"/>
        <color rgb="FF1F2A28"/>
        <rFont val="WenQuanYi Zen Hei"/>
        <family val="2"/>
      </rPr>
      <t xml:space="preserve">巷</t>
    </r>
    <r>
      <rPr>
        <sz val="10"/>
        <color rgb="FF1F2A28"/>
        <rFont val="Arial"/>
        <family val="0"/>
        <charset val="1"/>
      </rPr>
      <t xml:space="preserve">41</t>
    </r>
    <r>
      <rPr>
        <sz val="10"/>
        <color rgb="FF1F2A28"/>
        <rFont val="WenQuanYi Zen Hei"/>
        <family val="2"/>
      </rPr>
      <t xml:space="preserve">弄</t>
    </r>
    <r>
      <rPr>
        <sz val="10"/>
        <color rgb="FF1F2A28"/>
        <rFont val="Arial"/>
        <family val="0"/>
        <charset val="1"/>
      </rPr>
      <t xml:space="preserve">59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</si>
  <si>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(02)82873985</t>
  </si>
  <si>
    <t xml:space="preserve">rebeccabae@msn.com</t>
  </si>
  <si>
    <t xml:space="preserve">2016-04-12</t>
  </si>
  <si>
    <t xml:space="preserve">林曉玢</t>
  </si>
  <si>
    <t xml:space="preserve">林安忠</t>
  </si>
  <si>
    <t xml:space="preserve">諾貝爾資優文理語文短期補習班</t>
  </si>
  <si>
    <r>
      <rPr>
        <sz val="10"/>
        <color rgb="FF1F2A28"/>
        <rFont val="WenQuanYi Zen Hei"/>
        <family val="2"/>
      </rPr>
      <t xml:space="preserve">三重區永福街</t>
    </r>
    <r>
      <rPr>
        <sz val="10"/>
        <color rgb="FF1F2A28"/>
        <rFont val="Arial"/>
        <family val="0"/>
        <charset val="1"/>
      </rPr>
      <t xml:space="preserve">46</t>
    </r>
    <r>
      <rPr>
        <sz val="10"/>
        <color rgb="FF1F2A28"/>
        <rFont val="WenQuanYi Zen Hei"/>
        <family val="2"/>
      </rPr>
      <t xml:space="preserve">巷</t>
    </r>
    <r>
      <rPr>
        <sz val="10"/>
        <color rgb="FF1F2A28"/>
        <rFont val="Arial"/>
        <family val="0"/>
        <charset val="1"/>
      </rPr>
      <t xml:space="preserve">41</t>
    </r>
    <r>
      <rPr>
        <sz val="10"/>
        <color rgb="FF1F2A28"/>
        <rFont val="WenQuanYi Zen Hei"/>
        <family val="2"/>
      </rPr>
      <t xml:space="preserve">弄</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</si>
  <si>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r>
      <rPr>
        <sz val="10"/>
        <color rgb="FF1F2A28"/>
        <rFont val="Arial"/>
        <family val="0"/>
        <charset val="1"/>
      </rPr>
      <t xml:space="preserve">(</t>
    </r>
    <r>
      <rPr>
        <sz val="10"/>
        <color rgb="FF1F2A28"/>
        <rFont val="WenQuanYi Zen Hei"/>
        <family val="2"/>
      </rPr>
      <t xml:space="preserve">國文、英文、數學</t>
    </r>
    <r>
      <rPr>
        <sz val="10"/>
        <color rgb="FF1F2A28"/>
        <rFont val="Arial"/>
        <family val="0"/>
        <charset val="1"/>
      </rPr>
      <t xml:space="preserve">)</t>
    </r>
    <r>
      <rPr>
        <sz val="10"/>
        <color rgb="FF1F2A28"/>
        <rFont val="WenQuanYi Zen Hei"/>
        <family val="2"/>
      </rPr>
      <t xml:space="preserve">、美語</t>
    </r>
  </si>
  <si>
    <t xml:space="preserve">譽翰文理技藝短期補習班</t>
  </si>
  <si>
    <r>
      <rPr>
        <sz val="10"/>
        <color rgb="FF1F2A28"/>
        <rFont val="WenQuanYi Zen Hei"/>
        <family val="2"/>
      </rPr>
      <t xml:space="preserve">三重區重陽路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83</t>
    </r>
    <r>
      <rPr>
        <sz val="10"/>
        <color rgb="FF1F2A28"/>
        <rFont val="WenQuanYi Zen Hei"/>
        <family val="2"/>
      </rPr>
      <t xml:space="preserve">、</t>
    </r>
    <r>
      <rPr>
        <sz val="10"/>
        <color rgb="FF1F2A28"/>
        <rFont val="Arial"/>
        <family val="0"/>
        <charset val="1"/>
      </rPr>
      <t xml:space="preserve">85</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、正義北路</t>
    </r>
    <r>
      <rPr>
        <sz val="10"/>
        <color rgb="FF1F2A28"/>
        <rFont val="Arial"/>
        <family val="0"/>
        <charset val="1"/>
      </rPr>
      <t xml:space="preserve">364</t>
    </r>
    <r>
      <rPr>
        <sz val="10"/>
        <color rgb="FF1F2A28"/>
        <rFont val="WenQuanYi Zen Hei"/>
        <family val="2"/>
      </rPr>
      <t xml:space="preserve">巷</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</si>
  <si>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(02)8982-9111</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</si>
  <si>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</si>
  <si>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2013-07-01</t>
  </si>
  <si>
    <t xml:space="preserve">楊小慧</t>
  </si>
  <si>
    <t xml:space="preserve">頂尖文理語文短期補習班</t>
  </si>
  <si>
    <r>
      <rPr>
        <sz val="10"/>
        <color rgb="FF1F2A28"/>
        <rFont val="WenQuanYi Zen Hei"/>
        <family val="2"/>
      </rPr>
      <t xml:space="preserve">三重區三民街</t>
    </r>
    <r>
      <rPr>
        <sz val="10"/>
        <color rgb="FF1F2A28"/>
        <rFont val="Arial"/>
        <family val="0"/>
        <charset val="1"/>
      </rPr>
      <t xml:space="preserve">77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</si>
  <si>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(02)29858819</t>
  </si>
  <si>
    <t xml:space="preserve">2011-07-21</t>
  </si>
  <si>
    <t xml:space="preserve">李逸芳</t>
  </si>
  <si>
    <t xml:space="preserve">鼎文文教有限公司附設私立鼎文文理短期補習班</t>
  </si>
  <si>
    <r>
      <rPr>
        <sz val="10"/>
        <color rgb="FF1F2A28"/>
        <rFont val="WenQuanYi Zen Hei"/>
        <family val="2"/>
      </rPr>
      <t xml:space="preserve">三重區三賢街</t>
    </r>
    <r>
      <rPr>
        <sz val="10"/>
        <color rgb="FF1F2A28"/>
        <rFont val="Arial"/>
        <family val="0"/>
        <charset val="1"/>
      </rPr>
      <t xml:space="preserve">103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</si>
  <si>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0228559185</t>
  </si>
  <si>
    <t xml:space="preserve">2026-07-28</t>
  </si>
  <si>
    <r>
      <rPr>
        <sz val="10"/>
        <color rgb="FF1F2A28"/>
        <rFont val="Arial"/>
        <family val="0"/>
        <charset val="1"/>
      </rPr>
      <t xml:space="preserve">:</t>
    </r>
    <r>
      <rPr>
        <sz val="10"/>
        <color rgb="FF1F2A28"/>
        <rFont val="WenQuanYi Zen Hei"/>
        <family val="2"/>
      </rPr>
      <t xml:space="preserve">陳彥良</t>
    </r>
  </si>
  <si>
    <t xml:space="preserve">黃士哲</t>
  </si>
  <si>
    <t xml:space="preserve">鼎盛語文電腦短期補習班</t>
  </si>
  <si>
    <r>
      <rPr>
        <sz val="10"/>
        <color rgb="FF1F2A28"/>
        <rFont val="WenQuanYi Zen Hei"/>
        <family val="2"/>
      </rPr>
      <t xml:space="preserve">三重區力行路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148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</si>
  <si>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(02)22803385</t>
  </si>
  <si>
    <t xml:space="preserve">2008-11-12</t>
  </si>
  <si>
    <t xml:space="preserve">呂乾雄</t>
  </si>
  <si>
    <t xml:space="preserve">林恭德</t>
  </si>
  <si>
    <t xml:space="preserve">中和區</t>
  </si>
  <si>
    <t xml:space="preserve">中正群英文理語文短期補習班</t>
  </si>
  <si>
    <r>
      <rPr>
        <sz val="10"/>
        <color rgb="FF1F2A28"/>
        <rFont val="WenQuanYi Zen Hei"/>
        <family val="2"/>
      </rPr>
      <t xml:space="preserve">中和區捷運路</t>
    </r>
    <r>
      <rPr>
        <sz val="10"/>
        <color rgb="FF1F2A28"/>
        <rFont val="Arial"/>
        <family val="0"/>
        <charset val="1"/>
      </rPr>
      <t xml:space="preserve">85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95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層及地下</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</si>
  <si>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(02)29401412</t>
  </si>
  <si>
    <t xml:space="preserve">h51223@yahoo.com.tw</t>
  </si>
  <si>
    <t xml:space="preserve">英文、英、數、國、自</t>
  </si>
  <si>
    <t xml:space="preserve">2011-03-25</t>
  </si>
  <si>
    <t xml:space="preserve">劉宏毅</t>
  </si>
  <si>
    <t xml:space="preserve">曹涵舟</t>
  </si>
  <si>
    <t xml:space="preserve">嘉煌語文短期補習班</t>
  </si>
  <si>
    <r>
      <rPr>
        <sz val="10"/>
        <color rgb="FF1F2A28"/>
        <rFont val="WenQuanYi Zen Hei"/>
        <family val="2"/>
      </rPr>
      <t xml:space="preserve">中和區光華街</t>
    </r>
    <r>
      <rPr>
        <sz val="10"/>
        <color rgb="FF1F2A28"/>
        <rFont val="Arial"/>
        <family val="0"/>
        <charset val="1"/>
      </rPr>
      <t xml:space="preserve">1</t>
    </r>
    <r>
      <rPr>
        <sz val="10"/>
        <color rgb="FF1F2A28"/>
        <rFont val="WenQuanYi Zen Hei"/>
        <family val="2"/>
      </rPr>
      <t xml:space="preserve">號及</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、中山路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r>
      <rPr>
        <sz val="10"/>
        <color rgb="FF1F2A28"/>
        <rFont val="Arial"/>
        <family val="0"/>
        <charset val="1"/>
      </rPr>
      <t xml:space="preserve">69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</si>
  <si>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(02)2244-6566</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</si>
  <si>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</si>
  <si>
    <t xml:space="preserve">2009-06-26</t>
  </si>
  <si>
    <t xml:space="preserve">陳秋娟</t>
  </si>
  <si>
    <t xml:space="preserve">李欣玉</t>
  </si>
  <si>
    <t xml:space="preserve">幼華文理語文珠心算短期補習班</t>
  </si>
  <si>
    <r>
      <rPr>
        <sz val="10"/>
        <color rgb="FF1F2A28"/>
        <rFont val="WenQuanYi Zen Hei"/>
        <family val="2"/>
      </rPr>
      <t xml:space="preserve">中和區民治街</t>
    </r>
    <r>
      <rPr>
        <sz val="10"/>
        <color rgb="FF1F2A28"/>
        <rFont val="Arial"/>
        <family val="0"/>
        <charset val="1"/>
      </rPr>
      <t xml:space="preserve">4</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</si>
  <si>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(02)2223-6161</t>
  </si>
  <si>
    <t xml:space="preserve">mt0933201271@yahoo.com.tw</t>
  </si>
  <si>
    <t xml:space="preserve">2013-07-24</t>
  </si>
  <si>
    <t xml:space="preserve">焦玲</t>
  </si>
  <si>
    <t xml:space="preserve">沈維婷</t>
  </si>
  <si>
    <t xml:space="preserve">弘聲文理語文短期補習班</t>
  </si>
  <si>
    <r>
      <rPr>
        <sz val="10"/>
        <color rgb="FF1F2A28"/>
        <rFont val="WenQuanYi Zen Hei"/>
        <family val="2"/>
      </rPr>
      <t xml:space="preserve">中和區員山路</t>
    </r>
    <r>
      <rPr>
        <sz val="10"/>
        <color rgb="FF1F2A28"/>
        <rFont val="Arial"/>
        <family val="0"/>
        <charset val="1"/>
      </rPr>
      <t xml:space="preserve">160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</si>
  <si>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(02)2221-1058</t>
  </si>
  <si>
    <t xml:space="preserve">yuiopyang@Yahoo.com.tw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</si>
  <si>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</si>
  <si>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1997-05-23</t>
  </si>
  <si>
    <t xml:space="preserve">徐暘</t>
  </si>
  <si>
    <t xml:space="preserve">周貴英</t>
  </si>
  <si>
    <t xml:space="preserve">文苑語文短期補習班</t>
  </si>
  <si>
    <r>
      <rPr>
        <sz val="10"/>
        <color rgb="FF1F2A28"/>
        <rFont val="WenQuanYi Zen Hei"/>
        <family val="2"/>
      </rPr>
      <t xml:space="preserve">中和區復興路</t>
    </r>
    <r>
      <rPr>
        <sz val="10"/>
        <color rgb="FF1F2A28"/>
        <rFont val="Arial"/>
        <family val="0"/>
        <charset val="1"/>
      </rPr>
      <t xml:space="preserve">260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</si>
  <si>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(02)22430881</t>
  </si>
  <si>
    <t xml:space="preserve">2005-10-04</t>
  </si>
  <si>
    <t xml:space="preserve">藍月敏</t>
  </si>
  <si>
    <t xml:space="preserve">黃寯瀚</t>
  </si>
  <si>
    <t xml:space="preserve">景新美語短期補習班</t>
  </si>
  <si>
    <r>
      <rPr>
        <sz val="10"/>
        <color rgb="FF1F2A28"/>
        <rFont val="WenQuanYi Zen Hei"/>
        <family val="2"/>
      </rPr>
      <t xml:space="preserve">中和區景平路</t>
    </r>
    <r>
      <rPr>
        <sz val="10"/>
        <color rgb="FF1F2A28"/>
        <rFont val="Arial"/>
        <family val="0"/>
        <charset val="1"/>
      </rPr>
      <t xml:space="preserve">71-6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-3</t>
    </r>
  </si>
  <si>
    <t xml:space="preserve">(02)29491249</t>
  </si>
  <si>
    <t xml:space="preserve">2005-10-25</t>
  </si>
  <si>
    <t xml:space="preserve">林淑瑤</t>
  </si>
  <si>
    <t xml:space="preserve">洪雅慧</t>
  </si>
  <si>
    <t xml:space="preserve">森堡文理語文短期補習班</t>
  </si>
  <si>
    <r>
      <rPr>
        <sz val="10"/>
        <color rgb="FF1F2A28"/>
        <rFont val="WenQuanYi Zen Hei"/>
        <family val="2"/>
      </rPr>
      <t xml:space="preserve">中和區宜安路</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</si>
  <si>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(02)29480699</t>
  </si>
  <si>
    <t xml:space="preserve">treehouse.mail@gmail.com</t>
  </si>
  <si>
    <r>
      <rPr>
        <sz val="10"/>
        <color rgb="FF1F2A28"/>
        <rFont val="WenQuanYi Zen Hei"/>
        <family val="2"/>
      </rPr>
      <t xml:space="preserve">英語、</t>
    </r>
    <r>
      <rPr>
        <sz val="10"/>
        <color rgb="FF1F2A28"/>
        <rFont val="Arial"/>
        <family val="0"/>
        <charset val="1"/>
      </rPr>
      <t xml:space="preserve">(</t>
    </r>
    <r>
      <rPr>
        <sz val="10"/>
        <color rgb="FF1F2A28"/>
        <rFont val="WenQuanYi Zen Hei"/>
        <family val="2"/>
      </rPr>
      <t xml:space="preserve">國、理、英</t>
    </r>
    <r>
      <rPr>
        <sz val="10"/>
        <color rgb="FF1F2A28"/>
        <rFont val="Arial"/>
        <family val="0"/>
        <charset val="1"/>
      </rPr>
      <t xml:space="preserve">)</t>
    </r>
  </si>
  <si>
    <t xml:space="preserve">2012-05-01</t>
  </si>
  <si>
    <t xml:space="preserve">程保翔</t>
  </si>
  <si>
    <t xml:space="preserve">林秋燕</t>
  </si>
  <si>
    <t xml:space="preserve">私立享亮珠算美術語文短期補習班</t>
  </si>
  <si>
    <r>
      <rPr>
        <sz val="10"/>
        <color rgb="FF1F2A28"/>
        <rFont val="WenQuanYi Zen Hei"/>
        <family val="2"/>
      </rPr>
      <t xml:space="preserve">中和區圓通路</t>
    </r>
    <r>
      <rPr>
        <sz val="10"/>
        <color rgb="FF1F2A28"/>
        <rFont val="Arial"/>
        <family val="0"/>
        <charset val="1"/>
      </rPr>
      <t xml:space="preserve">403</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403</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</si>
  <si>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(02)22433751</t>
  </si>
  <si>
    <t xml:space="preserve">uu810313@gmail.com</t>
  </si>
  <si>
    <t xml:space="preserve">2001-10-22</t>
  </si>
  <si>
    <t xml:space="preserve">詹秀鳳</t>
  </si>
  <si>
    <t xml:space="preserve">鄭惠心</t>
  </si>
  <si>
    <t xml:space="preserve">私立但以理語文珠算短期補習班</t>
  </si>
  <si>
    <r>
      <rPr>
        <sz val="10"/>
        <color rgb="FF1F2A28"/>
        <rFont val="WenQuanYi Zen Hei"/>
        <family val="2"/>
      </rPr>
      <t xml:space="preserve">中和區民享街</t>
    </r>
    <r>
      <rPr>
        <sz val="10"/>
        <color rgb="FF1F2A28"/>
        <rFont val="Arial"/>
        <family val="0"/>
        <charset val="1"/>
      </rPr>
      <t xml:space="preserve">116</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</si>
  <si>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(02)2222-7059</t>
  </si>
  <si>
    <t xml:space="preserve">todaniel31@gmail.com</t>
  </si>
  <si>
    <t xml:space="preserve">2003-05-09</t>
  </si>
  <si>
    <t xml:space="preserve">李俊逸</t>
  </si>
  <si>
    <t xml:space="preserve">黃育珍</t>
  </si>
  <si>
    <t xml:space="preserve">私立佳欣文理技藝短期補習班</t>
  </si>
  <si>
    <r>
      <rPr>
        <sz val="10"/>
        <color rgb="FF1F2A28"/>
        <rFont val="WenQuanYi Zen Hei"/>
        <family val="2"/>
      </rPr>
      <t xml:space="preserve">中和區景平路</t>
    </r>
    <r>
      <rPr>
        <sz val="10"/>
        <color rgb="FF1F2A28"/>
        <rFont val="Arial"/>
        <family val="0"/>
        <charset val="1"/>
      </rPr>
      <t xml:space="preserve">501</t>
    </r>
    <r>
      <rPr>
        <sz val="10"/>
        <color rgb="FF1F2A28"/>
        <rFont val="WenQuanYi Zen Hei"/>
        <family val="2"/>
      </rPr>
      <t xml:space="preserve">號、</t>
    </r>
    <r>
      <rPr>
        <sz val="10"/>
        <color rgb="FF1F2A28"/>
        <rFont val="Arial"/>
        <family val="0"/>
        <charset val="1"/>
      </rPr>
      <t xml:space="preserve">501</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507</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</si>
  <si>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(02)22436668</t>
  </si>
  <si>
    <t xml:space="preserve">shan66@ms8.hinet.net</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</si>
  <si>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商類：珠算、心算、會計</t>
    </r>
    <r>
      <rPr>
        <sz val="10"/>
        <color rgb="FF1F2A28"/>
        <rFont val="Arial"/>
        <family val="0"/>
        <charset val="1"/>
      </rPr>
      <t xml:space="preserve">,</t>
    </r>
    <r>
      <rPr>
        <sz val="10"/>
        <color rgb="FF1F2A28"/>
        <rFont val="WenQuanYi Zen Hei"/>
        <family val="2"/>
      </rPr>
      <t xml:space="preserve">其他類</t>
    </r>
  </si>
  <si>
    <t xml:space="preserve">2002-11-15</t>
  </si>
  <si>
    <t xml:space="preserve">李正杉</t>
  </si>
  <si>
    <t xml:space="preserve">私立保進文理技藝短期補習班</t>
  </si>
  <si>
    <r>
      <rPr>
        <sz val="10"/>
        <color rgb="FF1F2A28"/>
        <rFont val="WenQuanYi Zen Hei"/>
        <family val="2"/>
      </rPr>
      <t xml:space="preserve">中和區民享街</t>
    </r>
    <r>
      <rPr>
        <sz val="10"/>
        <color rgb="FF1F2A28"/>
        <rFont val="Arial"/>
        <family val="0"/>
        <charset val="1"/>
      </rPr>
      <t xml:space="preserve">92</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</si>
  <si>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(02)8221-4799</t>
  </si>
  <si>
    <t xml:space="preserve">wlyly@ms8.url.com.tw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</si>
  <si>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數學、國語、英語、自然與生活科技</t>
    </r>
    <r>
      <rPr>
        <sz val="10"/>
        <color rgb="FF1F2A28"/>
        <rFont val="Arial"/>
        <family val="0"/>
        <charset val="1"/>
      </rPr>
      <t xml:space="preserve">)</t>
    </r>
  </si>
  <si>
    <t xml:space="preserve">2010-05-21</t>
  </si>
  <si>
    <t xml:space="preserve">鄭智元</t>
  </si>
  <si>
    <t xml:space="preserve">吳健誠</t>
  </si>
  <si>
    <t xml:space="preserve">私立保進松柏語文短期補習班</t>
  </si>
  <si>
    <r>
      <rPr>
        <sz val="10"/>
        <color rgb="FF1F2A28"/>
        <rFont val="WenQuanYi Zen Hei"/>
        <family val="2"/>
      </rPr>
      <t xml:space="preserve">中和區國光街</t>
    </r>
    <r>
      <rPr>
        <sz val="10"/>
        <color rgb="FF1F2A28"/>
        <rFont val="Arial"/>
        <family val="0"/>
        <charset val="1"/>
      </rPr>
      <t xml:space="preserve">112</t>
    </r>
    <r>
      <rPr>
        <sz val="10"/>
        <color rgb="FF1F2A28"/>
        <rFont val="WenQuanYi Zen Hei"/>
        <family val="2"/>
      </rPr>
      <t xml:space="preserve">巷</t>
    </r>
    <r>
      <rPr>
        <sz val="10"/>
        <color rgb="FF1F2A28"/>
        <rFont val="Arial"/>
        <family val="0"/>
        <charset val="1"/>
      </rPr>
      <t xml:space="preserve">44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</si>
  <si>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(02)2952-2578</t>
  </si>
  <si>
    <t xml:space="preserve">2014-08-14</t>
  </si>
  <si>
    <t xml:space="preserve">吳碧芳</t>
  </si>
  <si>
    <t xml:space="preserve">盧敘君</t>
  </si>
  <si>
    <t xml:space="preserve">私立全功文理短期補習班</t>
  </si>
  <si>
    <r>
      <rPr>
        <sz val="10"/>
        <color rgb="FF1F2A28"/>
        <rFont val="WenQuanYi Zen Hei"/>
        <family val="2"/>
      </rPr>
      <t xml:space="preserve">中和區民享街</t>
    </r>
    <r>
      <rPr>
        <sz val="10"/>
        <color rgb="FF1F2A28"/>
        <rFont val="Arial"/>
        <family val="0"/>
        <charset val="1"/>
      </rPr>
      <t xml:space="preserve">116</t>
    </r>
    <r>
      <rPr>
        <sz val="10"/>
        <color rgb="FF1F2A28"/>
        <rFont val="WenQuanYi Zen Hei"/>
        <family val="2"/>
      </rPr>
      <t xml:space="preserve">巷</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</si>
  <si>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(02)22252255</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</si>
  <si>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數學、英文、自然</t>
    </r>
    <r>
      <rPr>
        <sz val="10"/>
        <color rgb="FF1F2A28"/>
        <rFont val="Arial"/>
        <family val="0"/>
        <charset val="1"/>
      </rPr>
      <t xml:space="preserve">)</t>
    </r>
  </si>
  <si>
    <t xml:space="preserve">2005-04-29</t>
  </si>
  <si>
    <t xml:space="preserve">林俊宏</t>
  </si>
  <si>
    <t xml:space="preserve">私立全慧文理短期補習班</t>
  </si>
  <si>
    <r>
      <rPr>
        <sz val="10"/>
        <color rgb="FF1F2A28"/>
        <rFont val="WenQuanYi Zen Hei"/>
        <family val="2"/>
      </rPr>
      <t xml:space="preserve">中和區廣福路</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</si>
  <si>
    <t xml:space="preserve">0222460069</t>
  </si>
  <si>
    <t xml:space="preserve">2024-06-24</t>
  </si>
  <si>
    <t xml:space="preserve">林義泰</t>
  </si>
  <si>
    <t xml:space="preserve">蕭必光</t>
  </si>
  <si>
    <t xml:space="preserve">私立冠霖語文短期補習班</t>
  </si>
  <si>
    <r>
      <rPr>
        <sz val="10"/>
        <color rgb="FF1F2A28"/>
        <rFont val="WenQuanYi Zen Hei"/>
        <family val="2"/>
      </rPr>
      <t xml:space="preserve">中和區復興路</t>
    </r>
    <r>
      <rPr>
        <sz val="10"/>
        <color rgb="FF1F2A28"/>
        <rFont val="Arial"/>
        <family val="0"/>
        <charset val="1"/>
      </rPr>
      <t xml:space="preserve">263</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</si>
  <si>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(02)22474006</t>
  </si>
  <si>
    <t xml:space="preserve">gl22474006@gmail.com</t>
  </si>
  <si>
    <t xml:space="preserve">2002-11-12</t>
  </si>
  <si>
    <t xml:space="preserve">李明德</t>
  </si>
  <si>
    <t xml:space="preserve">私立創意蘋果文理語文短期補習班</t>
  </si>
  <si>
    <r>
      <rPr>
        <sz val="10"/>
        <color rgb="FF1F2A28"/>
        <rFont val="WenQuanYi Zen Hei"/>
        <family val="2"/>
      </rPr>
      <t xml:space="preserve">中和區圓通路</t>
    </r>
    <r>
      <rPr>
        <sz val="10"/>
        <color rgb="FF1F2A28"/>
        <rFont val="Arial"/>
        <family val="0"/>
        <charset val="1"/>
      </rPr>
      <t xml:space="preserve">367</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</si>
  <si>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(02)2246-0906</t>
  </si>
  <si>
    <t xml:space="preserve">capple9876@gmail.com</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</si>
  <si>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英、自然、數學、國文</t>
    </r>
    <r>
      <rPr>
        <sz val="10"/>
        <color rgb="FF1F2A28"/>
        <rFont val="Arial"/>
        <family val="0"/>
        <charset val="1"/>
      </rPr>
      <t xml:space="preserve">)</t>
    </r>
  </si>
  <si>
    <t xml:space="preserve">2012-06-05</t>
  </si>
  <si>
    <t xml:space="preserve">丁紀寧</t>
  </si>
  <si>
    <t xml:space="preserve">廖秀婕</t>
  </si>
  <si>
    <t xml:space="preserve">私立北一學苑文理短期補習班</t>
  </si>
  <si>
    <r>
      <rPr>
        <sz val="10"/>
        <color rgb="FF1F2A28"/>
        <rFont val="WenQuanYi Zen Hei"/>
        <family val="2"/>
      </rPr>
      <t xml:space="preserve">中和區民樂路</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</si>
  <si>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(02)22288899</t>
  </si>
  <si>
    <t xml:space="preserve">2016-03-30</t>
  </si>
  <si>
    <t xml:space="preserve">翁玉珍</t>
  </si>
  <si>
    <t xml:space="preserve">蔡舒宇</t>
  </si>
  <si>
    <t xml:space="preserve">私立奇樂斯語文短期補習班</t>
  </si>
  <si>
    <r>
      <rPr>
        <sz val="10"/>
        <color rgb="FF1F2A28"/>
        <rFont val="WenQuanYi Zen Hei"/>
        <family val="2"/>
      </rPr>
      <t xml:space="preserve">中和區連勝街</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</si>
  <si>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(02)2242-8812</t>
  </si>
  <si>
    <t xml:space="preserve">2013-02-26</t>
  </si>
  <si>
    <t xml:space="preserve">温陸婉茵</t>
  </si>
  <si>
    <t xml:space="preserve">私立奕軒語文短期補習班</t>
  </si>
  <si>
    <r>
      <rPr>
        <sz val="10"/>
        <color rgb="FF1F2A28"/>
        <rFont val="WenQuanYi Zen Hei"/>
        <family val="2"/>
      </rPr>
      <t xml:space="preserve">中和區民樂路</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</si>
  <si>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(02)22286082</t>
  </si>
  <si>
    <t xml:space="preserve">2010-09-10</t>
  </si>
  <si>
    <t xml:space="preserve">吳耀軒</t>
  </si>
  <si>
    <t xml:space="preserve">私立學悟處自強文理短期補習班</t>
  </si>
  <si>
    <r>
      <rPr>
        <sz val="10"/>
        <color rgb="FF1F2A28"/>
        <rFont val="WenQuanYi Zen Hei"/>
        <family val="2"/>
      </rPr>
      <t xml:space="preserve">中和區莒光路</t>
    </r>
    <r>
      <rPr>
        <sz val="10"/>
        <color rgb="FF1F2A28"/>
        <rFont val="Arial"/>
        <family val="0"/>
        <charset val="1"/>
      </rPr>
      <t xml:space="preserve">185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179</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177</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</si>
  <si>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(02)2226-7426</t>
  </si>
  <si>
    <t xml:space="preserve">caesar@td101.com</t>
  </si>
  <si>
    <t xml:space="preserve">2013-09-05</t>
  </si>
  <si>
    <t xml:space="preserve">簡于倩</t>
  </si>
  <si>
    <t xml:space="preserve">私立實踐文理語文短期補習班</t>
  </si>
  <si>
    <r>
      <rPr>
        <sz val="10"/>
        <color rgb="FF1F2A28"/>
        <rFont val="WenQuanYi Zen Hei"/>
        <family val="2"/>
      </rPr>
      <t xml:space="preserve">中和區中正路</t>
    </r>
    <r>
      <rPr>
        <sz val="10"/>
        <color rgb="FF1F2A28"/>
        <rFont val="Arial"/>
        <family val="0"/>
        <charset val="1"/>
      </rPr>
      <t xml:space="preserve">78</t>
    </r>
    <r>
      <rPr>
        <sz val="10"/>
        <color rgb="FF1F2A28"/>
        <rFont val="WenQuanYi Zen Hei"/>
        <family val="2"/>
      </rPr>
      <t xml:space="preserve">號地下一樓</t>
    </r>
  </si>
  <si>
    <t xml:space="preserve">(02)22462222</t>
  </si>
  <si>
    <t xml:space="preserve">2009-02-05</t>
  </si>
  <si>
    <t xml:space="preserve">褚宏銘</t>
  </si>
  <si>
    <t xml:space="preserve">廖繼薇</t>
  </si>
  <si>
    <t xml:space="preserve">私立康田語文文理短期補習班</t>
  </si>
  <si>
    <r>
      <rPr>
        <sz val="10"/>
        <color rgb="FF1F2A28"/>
        <rFont val="WenQuanYi Zen Hei"/>
        <family val="2"/>
      </rPr>
      <t xml:space="preserve">中和區連勝街</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</si>
  <si>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(02)2249-9907</t>
  </si>
  <si>
    <t xml:space="preserve">champion16889@gmail.com</t>
  </si>
  <si>
    <t xml:space="preserve">2013-12-11</t>
  </si>
  <si>
    <t xml:space="preserve">陳文彬</t>
  </si>
  <si>
    <t xml:space="preserve">簡士祐</t>
  </si>
  <si>
    <t xml:space="preserve">私立德一文理語文短期補習班</t>
  </si>
  <si>
    <r>
      <rPr>
        <sz val="10"/>
        <color rgb="FF1F2A28"/>
        <rFont val="WenQuanYi Zen Hei"/>
        <family val="2"/>
      </rPr>
      <t xml:space="preserve">中和區新生街</t>
    </r>
    <r>
      <rPr>
        <sz val="10"/>
        <color rgb="FF1F2A28"/>
        <rFont val="Arial"/>
        <family val="0"/>
        <charset val="1"/>
      </rPr>
      <t xml:space="preserve">112</t>
    </r>
    <r>
      <rPr>
        <sz val="10"/>
        <color rgb="FF1F2A28"/>
        <rFont val="WenQuanYi Zen Hei"/>
        <family val="2"/>
      </rPr>
      <t xml:space="preserve">巷</t>
    </r>
    <r>
      <rPr>
        <sz val="10"/>
        <color rgb="FF1F2A28"/>
        <rFont val="Arial"/>
        <family val="0"/>
        <charset val="1"/>
      </rPr>
      <t xml:space="preserve">29</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</si>
  <si>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(02)8228-1889</t>
  </si>
  <si>
    <t xml:space="preserve">jifeng.info@msa.hinet.net</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</si>
  <si>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</si>
  <si>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2014-03-12</t>
  </si>
  <si>
    <t xml:space="preserve">蔡素珠</t>
  </si>
  <si>
    <t xml:space="preserve">私立快樂瑪麗安美語短期補習班</t>
  </si>
  <si>
    <r>
      <rPr>
        <sz val="10"/>
        <color rgb="FF1F2A28"/>
        <rFont val="WenQuanYi Zen Hei"/>
        <family val="2"/>
      </rPr>
      <t xml:space="preserve">中和區中安街</t>
    </r>
    <r>
      <rPr>
        <sz val="10"/>
        <color rgb="FF1F2A28"/>
        <rFont val="Arial"/>
        <family val="0"/>
        <charset val="1"/>
      </rPr>
      <t xml:space="preserve">98</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100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</si>
  <si>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8660-0122</t>
  </si>
  <si>
    <t xml:space="preserve">1998-08-10</t>
  </si>
  <si>
    <t xml:space="preserve">陳家楹</t>
  </si>
  <si>
    <t xml:space="preserve">黃玉柔</t>
  </si>
  <si>
    <t xml:space="preserve">私立思邁特國際美語短期補習班</t>
  </si>
  <si>
    <r>
      <rPr>
        <sz val="10"/>
        <color rgb="FF1F2A28"/>
        <rFont val="WenQuanYi Zen Hei"/>
        <family val="2"/>
      </rPr>
      <t xml:space="preserve">中和區新生街</t>
    </r>
    <r>
      <rPr>
        <sz val="10"/>
        <color rgb="FF1F2A28"/>
        <rFont val="Arial"/>
        <family val="0"/>
        <charset val="1"/>
      </rPr>
      <t xml:space="preserve">186</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弄</t>
    </r>
    <r>
      <rPr>
        <sz val="10"/>
        <color rgb="FF1F2A28"/>
        <rFont val="Arial"/>
        <family val="0"/>
        <charset val="1"/>
      </rPr>
      <t xml:space="preserve">11-1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</si>
  <si>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(02)2222-9810</t>
  </si>
  <si>
    <t xml:space="preserve">senglitw@yahoo.com.tw</t>
  </si>
  <si>
    <t xml:space="preserve">2008-12-03</t>
  </si>
  <si>
    <t xml:space="preserve">麥雯媛</t>
  </si>
  <si>
    <t xml:space="preserve">賴麗雲</t>
  </si>
  <si>
    <t xml:space="preserve">私立愛迪爾語文文理短期補習班</t>
  </si>
  <si>
    <r>
      <rPr>
        <sz val="10"/>
        <color rgb="FF1F2A28"/>
        <rFont val="WenQuanYi Zen Hei"/>
        <family val="2"/>
      </rPr>
      <t xml:space="preserve">中和區 員山路</t>
    </r>
    <r>
      <rPr>
        <sz val="10"/>
        <color rgb="FF1F2A28"/>
        <rFont val="Arial"/>
        <family val="0"/>
        <charset val="1"/>
      </rPr>
      <t xml:space="preserve">446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</si>
  <si>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(02)22268717</t>
  </si>
  <si>
    <t xml:space="preserve">英文、數學、自然、英文</t>
  </si>
  <si>
    <t xml:space="preserve">徐安樂</t>
  </si>
  <si>
    <t xml:space="preserve">私立捷英文理語文短期補習班</t>
  </si>
  <si>
    <r>
      <rPr>
        <sz val="10"/>
        <color rgb="FF1F2A28"/>
        <rFont val="WenQuanYi Zen Hei"/>
        <family val="2"/>
      </rPr>
      <t xml:space="preserve">中和區景新街</t>
    </r>
    <r>
      <rPr>
        <sz val="10"/>
        <color rgb="FF1F2A28"/>
        <rFont val="Arial"/>
        <family val="0"/>
        <charset val="1"/>
      </rPr>
      <t xml:space="preserve">347</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</si>
  <si>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(02)29400349</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</si>
  <si>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數、英</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</si>
  <si>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2006-04-13</t>
  </si>
  <si>
    <t xml:space="preserve">劉麗香</t>
  </si>
  <si>
    <t xml:space="preserve">私立文聖成果文理短期補習班</t>
  </si>
  <si>
    <r>
      <rPr>
        <sz val="10"/>
        <color rgb="FF1F2A28"/>
        <rFont val="WenQuanYi Zen Hei"/>
        <family val="2"/>
      </rPr>
      <t xml:space="preserve">中和區員山路</t>
    </r>
    <r>
      <rPr>
        <sz val="10"/>
        <color rgb="FF1F2A28"/>
        <rFont val="Arial"/>
        <family val="0"/>
        <charset val="1"/>
      </rPr>
      <t xml:space="preserve">389</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389</t>
    </r>
    <r>
      <rPr>
        <sz val="10"/>
        <color rgb="FF1F2A28"/>
        <rFont val="WenQuanYi Zen Hei"/>
        <family val="2"/>
      </rPr>
      <t xml:space="preserve">號、</t>
    </r>
    <r>
      <rPr>
        <sz val="10"/>
        <color rgb="FF1F2A28"/>
        <rFont val="Arial"/>
        <family val="0"/>
        <charset val="1"/>
      </rPr>
      <t xml:space="preserve">389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</si>
  <si>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(02)22257853</t>
  </si>
  <si>
    <t xml:space="preserve">2008-04-24</t>
  </si>
  <si>
    <t xml:space="preserve">吳宗穎</t>
  </si>
  <si>
    <t xml:space="preserve">私立新俞語文文理短期補習班</t>
  </si>
  <si>
    <r>
      <rPr>
        <sz val="10"/>
        <color rgb="FF1F2A28"/>
        <rFont val="WenQuanYi Zen Hei"/>
        <family val="2"/>
      </rPr>
      <t xml:space="preserve">中和區圓通路</t>
    </r>
    <r>
      <rPr>
        <sz val="10"/>
        <color rgb="FF1F2A28"/>
        <rFont val="Arial"/>
        <family val="0"/>
        <charset val="1"/>
      </rPr>
      <t xml:space="preserve">45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</si>
  <si>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(02)82453900</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</si>
  <si>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數學、英文</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</si>
  <si>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2003-10-02</t>
  </si>
  <si>
    <t xml:space="preserve">梁嘉玲</t>
  </si>
  <si>
    <t xml:space="preserve">許淑婷</t>
  </si>
  <si>
    <t xml:space="preserve">私立新學成美語作文珠心算文理技藝短期補習班</t>
  </si>
  <si>
    <r>
      <rPr>
        <sz val="10"/>
        <color rgb="FF1F2A28"/>
        <rFont val="WenQuanYi Zen Hei"/>
        <family val="2"/>
      </rPr>
      <t xml:space="preserve">中和區員山路</t>
    </r>
    <r>
      <rPr>
        <sz val="10"/>
        <color rgb="FF1F2A28"/>
        <rFont val="Arial"/>
        <family val="0"/>
        <charset val="1"/>
      </rPr>
      <t xml:space="preserve">169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</si>
  <si>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(02)8221-3663</t>
  </si>
  <si>
    <t xml:space="preserve">sucandy1218@gmail.com</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</si>
  <si>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</si>
  <si>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2009-05-11</t>
  </si>
  <si>
    <t xml:space="preserve">蘇玉鳳</t>
  </si>
  <si>
    <t xml:space="preserve">黃乙芮</t>
  </si>
  <si>
    <t xml:space="preserve">私立春池文理技藝短期補習班</t>
  </si>
  <si>
    <r>
      <rPr>
        <sz val="10"/>
        <color rgb="FF1F2A28"/>
        <rFont val="WenQuanYi Zen Hei"/>
        <family val="2"/>
      </rPr>
      <t xml:space="preserve">中和區宜安路</t>
    </r>
    <r>
      <rPr>
        <sz val="10"/>
        <color rgb="FF1F2A28"/>
        <rFont val="Arial"/>
        <family val="0"/>
        <charset val="1"/>
      </rPr>
      <t xml:space="preserve">112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3</t>
    </r>
  </si>
  <si>
    <t xml:space="preserve">3233-8909</t>
  </si>
  <si>
    <t xml:space="preserve">wang@sp-store.com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</si>
  <si>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國語、英文、數學、理化</t>
    </r>
    <r>
      <rPr>
        <sz val="10"/>
        <color rgb="FF1F2A28"/>
        <rFont val="Arial"/>
        <family val="0"/>
        <charset val="1"/>
      </rPr>
      <t xml:space="preserve">)</t>
    </r>
  </si>
  <si>
    <t xml:space="preserve">劉美伶</t>
  </si>
  <si>
    <t xml:space="preserve">陳玫秀</t>
  </si>
  <si>
    <t xml:space="preserve">私立格林希爾文理技藝短期補習班</t>
  </si>
  <si>
    <r>
      <rPr>
        <sz val="10"/>
        <color rgb="FF1F2A28"/>
        <rFont val="WenQuanYi Zen Hei"/>
        <family val="2"/>
      </rPr>
      <t xml:space="preserve">中和區宜安路</t>
    </r>
    <r>
      <rPr>
        <sz val="10"/>
        <color rgb="FF1F2A28"/>
        <rFont val="Arial"/>
        <family val="0"/>
        <charset val="1"/>
      </rPr>
      <t xml:space="preserve">112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2</t>
    </r>
  </si>
  <si>
    <t xml:space="preserve">02-32338909</t>
  </si>
  <si>
    <t xml:space="preserve">黃湘妘</t>
  </si>
  <si>
    <t xml:space="preserve">私立格瑞特語文短期補習班</t>
  </si>
  <si>
    <r>
      <rPr>
        <sz val="10"/>
        <color rgb="FF1F2A28"/>
        <rFont val="WenQuanYi Zen Hei"/>
        <family val="2"/>
      </rPr>
      <t xml:space="preserve">中和區連勝街</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</si>
  <si>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(02)82455533</t>
  </si>
  <si>
    <t xml:space="preserve">great.a1@msa.hinet.net</t>
  </si>
  <si>
    <t xml:space="preserve">2004-10-05</t>
  </si>
  <si>
    <t xml:space="preserve">林晏仲</t>
  </si>
  <si>
    <t xml:space="preserve">私立格蘭事業股份有限公司附設戰勝英語文理短期補習班</t>
  </si>
  <si>
    <r>
      <rPr>
        <sz val="10"/>
        <color rgb="FF1F2A28"/>
        <rFont val="WenQuanYi Zen Hei"/>
        <family val="2"/>
      </rPr>
      <t xml:space="preserve">中和區中正路</t>
    </r>
    <r>
      <rPr>
        <sz val="10"/>
        <color rgb="FF1F2A28"/>
        <rFont val="Arial"/>
        <family val="0"/>
        <charset val="1"/>
      </rPr>
      <t xml:space="preserve">803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</si>
  <si>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(02)8227-6690</t>
  </si>
  <si>
    <t xml:space="preserve">jh@gram.com.tw</t>
  </si>
  <si>
    <t xml:space="preserve">2005-10-13</t>
  </si>
  <si>
    <t xml:space="preserve">蘇兆威</t>
  </si>
  <si>
    <t xml:space="preserve">陳玉玲</t>
  </si>
  <si>
    <t xml:space="preserve">私立桂冠文理語文短期補習班</t>
  </si>
  <si>
    <r>
      <rPr>
        <sz val="10"/>
        <color rgb="FF1F2A28"/>
        <rFont val="WenQuanYi Zen Hei"/>
        <family val="2"/>
      </rPr>
      <t xml:space="preserve">中和區圓通路</t>
    </r>
    <r>
      <rPr>
        <sz val="10"/>
        <color rgb="FF1F2A28"/>
        <rFont val="Arial"/>
        <family val="0"/>
        <charset val="1"/>
      </rPr>
      <t xml:space="preserve">240</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</si>
  <si>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2246-7828</t>
  </si>
  <si>
    <t xml:space="preserve">1995-05-05</t>
  </si>
  <si>
    <t xml:space="preserve">徐翠穗</t>
  </si>
  <si>
    <t xml:space="preserve">私立永宜文理語文短期補習班</t>
  </si>
  <si>
    <r>
      <rPr>
        <sz val="10"/>
        <color rgb="FF1F2A28"/>
        <rFont val="WenQuanYi Zen Hei"/>
        <family val="2"/>
      </rPr>
      <t xml:space="preserve">中和區漢生東路</t>
    </r>
    <r>
      <rPr>
        <sz val="10"/>
        <color rgb="FF1F2A28"/>
        <rFont val="Arial"/>
        <family val="0"/>
        <charset val="1"/>
      </rPr>
      <t xml:space="preserve">368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層</t>
    </r>
    <r>
      <rPr>
        <sz val="10"/>
        <color rgb="FF1F2A28"/>
        <rFont val="Arial"/>
        <family val="0"/>
        <charset val="1"/>
      </rPr>
      <t xml:space="preserve">)</t>
    </r>
  </si>
  <si>
    <t xml:space="preserve">(02)22263158</t>
  </si>
  <si>
    <t xml:space="preserve">ire.school3158@gamil.com</t>
  </si>
  <si>
    <t xml:space="preserve">2006-06-07</t>
  </si>
  <si>
    <t xml:space="preserve">林聖玫</t>
  </si>
  <si>
    <t xml:space="preserve">林碧麗</t>
  </si>
  <si>
    <t xml:space="preserve">私立永愛文理語文短期補習班</t>
  </si>
  <si>
    <r>
      <rPr>
        <sz val="10"/>
        <color rgb="FF1F2A28"/>
        <rFont val="WenQuanYi Zen Hei"/>
        <family val="2"/>
      </rPr>
      <t xml:space="preserve">中和區秀朗路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</si>
  <si>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(02)89419867</t>
  </si>
  <si>
    <t xml:space="preserve">yungai168@yahoo.com.tw</t>
  </si>
  <si>
    <t xml:space="preserve">國、英、數、自、社會、美語</t>
  </si>
  <si>
    <t xml:space="preserve">陳素卿</t>
  </si>
  <si>
    <t xml:space="preserve">陳思潔</t>
  </si>
  <si>
    <t xml:space="preserve">私立永綸文理技藝短期補習班</t>
  </si>
  <si>
    <r>
      <rPr>
        <sz val="10"/>
        <color rgb="FF1F2A28"/>
        <rFont val="WenQuanYi Zen Hei"/>
        <family val="2"/>
      </rPr>
      <t xml:space="preserve">中和區員山路</t>
    </r>
    <r>
      <rPr>
        <sz val="10"/>
        <color rgb="FF1F2A28"/>
        <rFont val="Arial"/>
        <family val="0"/>
        <charset val="1"/>
      </rPr>
      <t xml:space="preserve">265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</si>
  <si>
    <t xml:space="preserve">(02)2225-9913</t>
  </si>
  <si>
    <t xml:space="preserve">2019-01-28</t>
  </si>
  <si>
    <t xml:space="preserve">王建祥</t>
  </si>
  <si>
    <t xml:space="preserve">私立洋基文理語文短期補習班</t>
  </si>
  <si>
    <r>
      <rPr>
        <sz val="10"/>
        <color rgb="FF1F2A28"/>
        <rFont val="WenQuanYi Zen Hei"/>
        <family val="2"/>
      </rPr>
      <t xml:space="preserve">中和區復興路</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含</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</si>
  <si>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(02)29461468</t>
  </si>
  <si>
    <t xml:space="preserve">ykhwang2003@gmail.com</t>
  </si>
  <si>
    <t xml:space="preserve">2005-12-07</t>
  </si>
  <si>
    <t xml:space="preserve">方淑芬</t>
  </si>
  <si>
    <t xml:space="preserve">黃運廣</t>
  </si>
  <si>
    <t xml:space="preserve">私立田成語文文理短期補習班</t>
  </si>
  <si>
    <r>
      <rPr>
        <sz val="10"/>
        <color rgb="FF1F2A28"/>
        <rFont val="WenQuanYi Zen Hei"/>
        <family val="2"/>
      </rPr>
      <t xml:space="preserve">中和區中山路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170</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</si>
  <si>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(02)22252760</t>
  </si>
  <si>
    <t xml:space="preserve">tienchenschool@gmail.com</t>
  </si>
  <si>
    <t xml:space="preserve">2009-07-17</t>
  </si>
  <si>
    <t xml:space="preserve">田為誠</t>
  </si>
  <si>
    <t xml:space="preserve">私立百家語文文理短期補習班</t>
  </si>
  <si>
    <r>
      <rPr>
        <sz val="10"/>
        <color rgb="FF1F2A28"/>
        <rFont val="WenQuanYi Zen Hei"/>
        <family val="2"/>
      </rPr>
      <t xml:space="preserve">中和區景安路</t>
    </r>
    <r>
      <rPr>
        <sz val="10"/>
        <color rgb="FF1F2A28"/>
        <rFont val="Arial"/>
        <family val="0"/>
        <charset val="1"/>
      </rPr>
      <t xml:space="preserve">231</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</si>
  <si>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29462680</t>
  </si>
  <si>
    <t xml:space="preserve">baijao231@yahoo.com.tw</t>
  </si>
  <si>
    <t xml:space="preserve">英文、英文、數學</t>
  </si>
  <si>
    <t xml:space="preserve">1990-02-09</t>
  </si>
  <si>
    <t xml:space="preserve">陳春香</t>
  </si>
  <si>
    <t xml:space="preserve">私立科翰文理語文短期補習班</t>
  </si>
  <si>
    <r>
      <rPr>
        <sz val="10"/>
        <color rgb="FF1F2A28"/>
        <rFont val="WenQuanYi Zen Hei"/>
        <family val="2"/>
      </rPr>
      <t xml:space="preserve">中和區莒光路</t>
    </r>
    <r>
      <rPr>
        <sz val="10"/>
        <color rgb="FF1F2A28"/>
        <rFont val="Arial"/>
        <family val="0"/>
        <charset val="1"/>
      </rPr>
      <t xml:space="preserve">138</t>
    </r>
    <r>
      <rPr>
        <sz val="10"/>
        <color rgb="FF1F2A28"/>
        <rFont val="WenQuanYi Zen Hei"/>
        <family val="2"/>
      </rPr>
      <t xml:space="preserve">、</t>
    </r>
    <r>
      <rPr>
        <sz val="10"/>
        <color rgb="FF1F2A28"/>
        <rFont val="Arial"/>
        <family val="0"/>
        <charset val="1"/>
      </rPr>
      <t xml:space="preserve">140</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</si>
  <si>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(02)89641222</t>
  </si>
  <si>
    <t xml:space="preserve">美語、國、英、數、理</t>
  </si>
  <si>
    <t xml:space="preserve">2015-11-30</t>
  </si>
  <si>
    <t xml:space="preserve">吳猷文</t>
  </si>
  <si>
    <t xml:space="preserve">楊繡綺</t>
  </si>
  <si>
    <t xml:space="preserve">私立科迪思語文短期補習班</t>
  </si>
  <si>
    <r>
      <rPr>
        <sz val="10"/>
        <color rgb="FF1F2A28"/>
        <rFont val="WenQuanYi Zen Hei"/>
        <family val="2"/>
      </rPr>
      <t xml:space="preserve">中和區民生街</t>
    </r>
    <r>
      <rPr>
        <sz val="10"/>
        <color rgb="FF1F2A28"/>
        <rFont val="Arial"/>
        <family val="0"/>
        <charset val="1"/>
      </rPr>
      <t xml:space="preserve">35</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弄</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</si>
  <si>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(02)29958952</t>
  </si>
  <si>
    <t xml:space="preserve">石承安</t>
  </si>
  <si>
    <t xml:space="preserve">私立立聖語文珠心算短期補習班</t>
  </si>
  <si>
    <r>
      <rPr>
        <sz val="10"/>
        <color rgb="FF1F2A28"/>
        <rFont val="WenQuanYi Zen Hei"/>
        <family val="2"/>
      </rPr>
      <t xml:space="preserve">中和區南山路</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</si>
  <si>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(02)2242-8773</t>
  </si>
  <si>
    <t xml:space="preserve">an0610tw@yahoo.com.tw</t>
  </si>
  <si>
    <t xml:space="preserve">1997-12-26</t>
  </si>
  <si>
    <t xml:space="preserve">劉安如</t>
  </si>
  <si>
    <t xml:space="preserve">洪萬安</t>
  </si>
  <si>
    <t xml:space="preserve">私立維京人文理技藝短期補習班</t>
  </si>
  <si>
    <r>
      <rPr>
        <sz val="10"/>
        <color rgb="FF1F2A28"/>
        <rFont val="WenQuanYi Zen Hei"/>
        <family val="2"/>
      </rPr>
      <t xml:space="preserve">中和區民安街</t>
    </r>
    <r>
      <rPr>
        <sz val="10"/>
        <color rgb="FF1F2A28"/>
        <rFont val="Arial"/>
        <family val="0"/>
        <charset val="1"/>
      </rPr>
      <t xml:space="preserve">42</t>
    </r>
    <r>
      <rPr>
        <sz val="10"/>
        <color rgb="FF1F2A28"/>
        <rFont val="WenQuanYi Zen Hei"/>
        <family val="2"/>
      </rPr>
      <t xml:space="preserve">巷</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</si>
  <si>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(02)2223-6638</t>
  </si>
  <si>
    <t xml:space="preserve">imwim163pc@gmail.com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</si>
  <si>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國文、英文、數學、自然</t>
    </r>
    <r>
      <rPr>
        <sz val="10"/>
        <color rgb="FF1F2A28"/>
        <rFont val="Arial"/>
        <family val="0"/>
        <charset val="1"/>
      </rPr>
      <t xml:space="preserve">)</t>
    </r>
  </si>
  <si>
    <t xml:space="preserve">2013-09-25</t>
  </si>
  <si>
    <t xml:space="preserve">龔姿燕</t>
  </si>
  <si>
    <t xml:space="preserve">私立美季美語短期補習班</t>
  </si>
  <si>
    <r>
      <rPr>
        <sz val="10"/>
        <color rgb="FF1F2A28"/>
        <rFont val="WenQuanYi Zen Hei"/>
        <family val="2"/>
      </rPr>
      <t xml:space="preserve">中和區民德路</t>
    </r>
    <r>
      <rPr>
        <sz val="10"/>
        <color rgb="FF1F2A28"/>
        <rFont val="Arial"/>
        <family val="0"/>
        <charset val="1"/>
      </rPr>
      <t xml:space="preserve">322</t>
    </r>
    <r>
      <rPr>
        <sz val="10"/>
        <color rgb="FF1F2A28"/>
        <rFont val="WenQuanYi Zen Hei"/>
        <family val="2"/>
      </rPr>
      <t xml:space="preserve">號、</t>
    </r>
    <r>
      <rPr>
        <sz val="10"/>
        <color rgb="FF1F2A28"/>
        <rFont val="Arial"/>
        <family val="0"/>
        <charset val="1"/>
      </rPr>
      <t xml:space="preserve">326</t>
    </r>
    <r>
      <rPr>
        <sz val="10"/>
        <color rgb="FF1F2A28"/>
        <rFont val="WenQuanYi Zen Hei"/>
        <family val="2"/>
      </rPr>
      <t xml:space="preserve">號、</t>
    </r>
    <r>
      <rPr>
        <sz val="10"/>
        <color rgb="FF1F2A28"/>
        <rFont val="Arial"/>
        <family val="0"/>
        <charset val="1"/>
      </rPr>
      <t xml:space="preserve">328</t>
    </r>
    <r>
      <rPr>
        <sz val="10"/>
        <color rgb="FF1F2A28"/>
        <rFont val="WenQuanYi Zen Hei"/>
        <family val="2"/>
      </rPr>
      <t xml:space="preserve">號、</t>
    </r>
    <r>
      <rPr>
        <sz val="10"/>
        <color rgb="FF1F2A28"/>
        <rFont val="Arial"/>
        <family val="0"/>
        <charset val="1"/>
      </rPr>
      <t xml:space="preserve">330</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、壽德街</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</si>
  <si>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(02)2958-4422</t>
  </si>
  <si>
    <t xml:space="preserve">2007-06-13</t>
  </si>
  <si>
    <t xml:space="preserve">王韻珊</t>
  </si>
  <si>
    <t xml:space="preserve">私立自強語文文理短期補習班</t>
  </si>
  <si>
    <r>
      <rPr>
        <sz val="10"/>
        <color rgb="FF1F2A28"/>
        <rFont val="WenQuanYi Zen Hei"/>
        <family val="2"/>
      </rPr>
      <t xml:space="preserve">中和區莒光路</t>
    </r>
    <r>
      <rPr>
        <sz val="10"/>
        <color rgb="FF1F2A28"/>
        <rFont val="Arial"/>
        <family val="0"/>
        <charset val="1"/>
      </rPr>
      <t xml:space="preserve">177</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樓、莒光路</t>
    </r>
    <r>
      <rPr>
        <sz val="10"/>
        <color rgb="FF1F2A28"/>
        <rFont val="Arial"/>
        <family val="0"/>
        <charset val="1"/>
      </rPr>
      <t xml:space="preserve">175</t>
    </r>
    <r>
      <rPr>
        <sz val="10"/>
        <color rgb="FF1F2A28"/>
        <rFont val="WenQuanYi Zen Hei"/>
        <family val="2"/>
      </rPr>
      <t xml:space="preserve">之</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</si>
  <si>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22236190</t>
  </si>
  <si>
    <t xml:space="preserve">bb015@Joy.com.tw</t>
  </si>
  <si>
    <t xml:space="preserve">2003-08-28</t>
  </si>
  <si>
    <t xml:space="preserve">私立花米路美語短期補習班</t>
  </si>
  <si>
    <r>
      <rPr>
        <sz val="10"/>
        <color rgb="FF1F2A28"/>
        <rFont val="WenQuanYi Zen Hei"/>
        <family val="2"/>
      </rPr>
      <t xml:space="preserve">中和區興南路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159</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號</t>
    </r>
  </si>
  <si>
    <t xml:space="preserve">(02)29477885</t>
  </si>
  <si>
    <t xml:space="preserve">2004-01-13</t>
  </si>
  <si>
    <t xml:space="preserve">林玉華</t>
  </si>
  <si>
    <t xml:space="preserve">陳思如</t>
  </si>
  <si>
    <t xml:space="preserve">私立英格學苑語文短期補習班</t>
  </si>
  <si>
    <r>
      <rPr>
        <sz val="10"/>
        <color rgb="FF1F2A28"/>
        <rFont val="WenQuanYi Zen Hei"/>
        <family val="2"/>
      </rPr>
      <t xml:space="preserve">中和區立人街</t>
    </r>
    <r>
      <rPr>
        <sz val="10"/>
        <color rgb="FF1F2A28"/>
        <rFont val="Arial"/>
        <family val="0"/>
        <charset val="1"/>
      </rPr>
      <t xml:space="preserve">57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57</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</si>
  <si>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(02)89421978</t>
  </si>
  <si>
    <t xml:space="preserve">englishhousea2s3@gmail.co</t>
  </si>
  <si>
    <t xml:space="preserve">2009-10-28</t>
  </si>
  <si>
    <t xml:space="preserve">楊希文</t>
  </si>
  <si>
    <t xml:space="preserve">私立茁壯園文理語文短期補習班</t>
  </si>
  <si>
    <r>
      <rPr>
        <sz val="10"/>
        <color rgb="FF1F2A28"/>
        <rFont val="WenQuanYi Zen Hei"/>
        <family val="2"/>
      </rPr>
      <t xml:space="preserve">中和區民生街</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</si>
  <si>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(02)8951-3859</t>
  </si>
  <si>
    <t xml:space="preserve">2013-11-26</t>
  </si>
  <si>
    <t xml:space="preserve">陳玲黛</t>
  </si>
  <si>
    <t xml:space="preserve">鄭夙凱</t>
  </si>
  <si>
    <t xml:space="preserve">私立茂騰文理語文短期補習班</t>
  </si>
  <si>
    <r>
      <rPr>
        <sz val="10"/>
        <color rgb="FF1F2A28"/>
        <rFont val="WenQuanYi Zen Hei"/>
        <family val="2"/>
      </rPr>
      <t xml:space="preserve">中和區中山路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225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</si>
  <si>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(02)82458621</t>
  </si>
  <si>
    <t xml:space="preserve">2012-05-17</t>
  </si>
  <si>
    <t xml:space="preserve">蕭正雄</t>
  </si>
  <si>
    <t xml:space="preserve">私立茱莉安語文短期補習班</t>
  </si>
  <si>
    <r>
      <rPr>
        <sz val="10"/>
        <color rgb="FF1F2A28"/>
        <rFont val="WenQuanYi Zen Hei"/>
        <family val="2"/>
      </rPr>
      <t xml:space="preserve">中和區興南路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56</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</si>
  <si>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(02)29495671</t>
  </si>
  <si>
    <t xml:space="preserve">2005-10-20</t>
  </si>
  <si>
    <t xml:space="preserve">楊文明</t>
  </si>
  <si>
    <t xml:space="preserve">楊麗萍</t>
  </si>
  <si>
    <t xml:space="preserve">私立財團法人南山學園教育基金會附設南山文理語文短期補習班</t>
  </si>
  <si>
    <r>
      <rPr>
        <sz val="10"/>
        <color rgb="FF1F2A28"/>
        <rFont val="WenQuanYi Zen Hei"/>
        <family val="2"/>
      </rPr>
      <t xml:space="preserve">中和區廣福路</t>
    </r>
    <r>
      <rPr>
        <sz val="10"/>
        <color rgb="FF1F2A28"/>
        <rFont val="Arial"/>
        <family val="0"/>
        <charset val="1"/>
      </rPr>
      <t xml:space="preserve">53</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</si>
  <si>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(02)22453000</t>
  </si>
  <si>
    <t xml:space="preserve">malina@nssh.ntpc.edu.tw</t>
  </si>
  <si>
    <t xml:space="preserve">英文、自然、數學</t>
  </si>
  <si>
    <t xml:space="preserve">2010-02-12</t>
  </si>
  <si>
    <t xml:space="preserve">王繼光</t>
  </si>
  <si>
    <t xml:space="preserve">盧宣利</t>
  </si>
  <si>
    <t xml:space="preserve">私立金典文理語文短期補習班</t>
  </si>
  <si>
    <r>
      <rPr>
        <sz val="10"/>
        <color rgb="FF1F2A28"/>
        <rFont val="WenQuanYi Zen Hei"/>
        <family val="2"/>
      </rPr>
      <t xml:space="preserve">中和區復興路</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</si>
  <si>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(02)29490711</t>
  </si>
  <si>
    <t xml:space="preserve">esa000058@gmail.com</t>
  </si>
  <si>
    <t xml:space="preserve">國、英、數、自然、社會、美語</t>
  </si>
  <si>
    <t xml:space="preserve">2007-06-05</t>
  </si>
  <si>
    <t xml:space="preserve">鄧茗芳</t>
  </si>
  <si>
    <t xml:space="preserve">私立金橋文理短期補習班</t>
  </si>
  <si>
    <r>
      <rPr>
        <sz val="10"/>
        <color rgb="FF1F2A28"/>
        <rFont val="WenQuanYi Zen Hei"/>
        <family val="2"/>
      </rPr>
      <t xml:space="preserve">中和區復興路</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69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</si>
  <si>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(02)22424648</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</si>
  <si>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數學、國語、美語、物理</t>
    </r>
    <r>
      <rPr>
        <sz val="10"/>
        <color rgb="FF1F2A28"/>
        <rFont val="Arial"/>
        <family val="0"/>
        <charset val="1"/>
      </rPr>
      <t xml:space="preserve">)</t>
    </r>
  </si>
  <si>
    <t xml:space="preserve">2016-04-21</t>
  </si>
  <si>
    <t xml:space="preserve">劉雪霓</t>
  </si>
  <si>
    <t xml:space="preserve">私立長榮文理語文短期補習班</t>
  </si>
  <si>
    <r>
      <rPr>
        <sz val="10"/>
        <color rgb="FF1F2A28"/>
        <rFont val="WenQuanYi Zen Hei"/>
        <family val="2"/>
      </rPr>
      <t xml:space="preserve">中和區圓通路</t>
    </r>
    <r>
      <rPr>
        <sz val="10"/>
        <color rgb="FF1F2A28"/>
        <rFont val="Arial"/>
        <family val="0"/>
        <charset val="1"/>
      </rPr>
      <t xml:space="preserve">252</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之</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252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252</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</si>
  <si>
    <t xml:space="preserve">(02)22400858</t>
  </si>
  <si>
    <t xml:space="preserve">k22400858@yahoo.com.tw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</si>
  <si>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</si>
  <si>
    <t xml:space="preserve">2004-08-09</t>
  </si>
  <si>
    <t xml:space="preserve">邱玉晶</t>
  </si>
  <si>
    <t xml:space="preserve">鄭振國</t>
  </si>
  <si>
    <t xml:space="preserve">私立點亮教育文理技藝短期補習班</t>
  </si>
  <si>
    <r>
      <rPr>
        <sz val="10"/>
        <color rgb="FF1F2A28"/>
        <rFont val="WenQuanYi Zen Hei"/>
        <family val="2"/>
      </rPr>
      <t xml:space="preserve">中和區忠孝街</t>
    </r>
    <r>
      <rPr>
        <sz val="10"/>
        <color rgb="FF1F2A28"/>
        <rFont val="Arial"/>
        <family val="0"/>
        <charset val="1"/>
      </rPr>
      <t xml:space="preserve">101</t>
    </r>
    <r>
      <rPr>
        <sz val="10"/>
        <color rgb="FF1F2A28"/>
        <rFont val="WenQuanYi Zen Hei"/>
        <family val="2"/>
      </rPr>
      <t xml:space="preserve">巷</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及興南路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93</t>
    </r>
    <r>
      <rPr>
        <sz val="10"/>
        <color rgb="FF1F2A28"/>
        <rFont val="WenQuanYi Zen Hei"/>
        <family val="2"/>
      </rPr>
      <t xml:space="preserve">巷</t>
    </r>
    <r>
      <rPr>
        <sz val="10"/>
        <color rgb="FF1F2A28"/>
        <rFont val="Arial"/>
        <family val="0"/>
        <charset val="1"/>
      </rPr>
      <t xml:space="preserve">89</t>
    </r>
    <r>
      <rPr>
        <sz val="10"/>
        <color rgb="FF1F2A28"/>
        <rFont val="WenQuanYi Zen Hei"/>
        <family val="2"/>
      </rPr>
      <t xml:space="preserve">弄</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</si>
  <si>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8668-9889</t>
  </si>
  <si>
    <t xml:space="preserve">brightyou.xn@gmail.com</t>
  </si>
  <si>
    <t xml:space="preserve">2020-10-28</t>
  </si>
  <si>
    <t xml:space="preserve">張簡燦宇</t>
  </si>
  <si>
    <t xml:space="preserve">五股區</t>
  </si>
  <si>
    <t xml:space="preserve">學華語文短期補習班</t>
  </si>
  <si>
    <r>
      <rPr>
        <sz val="10"/>
        <color rgb="FF1F2A28"/>
        <rFont val="WenQuanYi Zen Hei"/>
        <family val="2"/>
      </rPr>
      <t xml:space="preserve">五股區工商路</t>
    </r>
    <r>
      <rPr>
        <sz val="10"/>
        <color rgb="FF1F2A28"/>
        <rFont val="Arial"/>
        <family val="0"/>
        <charset val="1"/>
      </rPr>
      <t xml:space="preserve">156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</si>
  <si>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(02)8295-8448</t>
  </si>
  <si>
    <t xml:space="preserve">hsuehhua2000@yahoo.com.tw</t>
  </si>
  <si>
    <t xml:space="preserve">2005-06-29</t>
  </si>
  <si>
    <t xml:space="preserve">汪湧</t>
  </si>
  <si>
    <t xml:space="preserve">星辰文理語文短期補習班</t>
  </si>
  <si>
    <r>
      <rPr>
        <sz val="10"/>
        <color rgb="FF1F2A28"/>
        <rFont val="WenQuanYi Zen Hei"/>
        <family val="2"/>
      </rPr>
      <t xml:space="preserve">五股區成泰路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577</t>
    </r>
    <r>
      <rPr>
        <sz val="10"/>
        <color rgb="FF1F2A28"/>
        <rFont val="WenQuanYi Zen Hei"/>
        <family val="2"/>
      </rPr>
      <t xml:space="preserve">巷</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</si>
  <si>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(02)22912731</t>
  </si>
  <si>
    <t xml:space="preserve">kk222912731@yahoo.com.tw</t>
  </si>
  <si>
    <t xml:space="preserve">2015-11-05</t>
  </si>
  <si>
    <t xml:space="preserve">陳柏維</t>
  </si>
  <si>
    <t xml:space="preserve">私立何嘉仁文教事業股份有限公司附設成泰文理短期補習班</t>
  </si>
  <si>
    <r>
      <rPr>
        <sz val="10"/>
        <color rgb="FF1F2A28"/>
        <rFont val="WenQuanYi Zen Hei"/>
        <family val="2"/>
      </rPr>
      <t xml:space="preserve">五股區成泰路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91</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</si>
  <si>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(02)8295-3356</t>
  </si>
  <si>
    <t xml:space="preserve">hs3736@hess.com.tw</t>
  </si>
  <si>
    <t xml:space="preserve">2009-06-15</t>
  </si>
  <si>
    <t xml:space="preserve">黃毓媜</t>
  </si>
  <si>
    <t xml:space="preserve">私立凱怡語文短期補習班</t>
  </si>
  <si>
    <r>
      <rPr>
        <sz val="10"/>
        <color rgb="FF1F2A28"/>
        <rFont val="WenQuanYi Zen Hei"/>
        <family val="2"/>
      </rPr>
      <t xml:space="preserve">五股區成泰路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170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</si>
  <si>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2291-7692</t>
  </si>
  <si>
    <t xml:space="preserve">1999-02-02</t>
  </si>
  <si>
    <t xml:space="preserve">王家盈</t>
  </si>
  <si>
    <t xml:space="preserve">林少萱</t>
  </si>
  <si>
    <t xml:space="preserve">私立勝華新家文理語文短期補習班</t>
  </si>
  <si>
    <r>
      <rPr>
        <sz val="10"/>
        <color rgb="FF1F2A28"/>
        <rFont val="WenQuanYi Zen Hei"/>
        <family val="2"/>
      </rPr>
      <t xml:space="preserve">五股區民義路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42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</si>
  <si>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(02)22916044</t>
  </si>
  <si>
    <t xml:space="preserve">2012-02-08</t>
  </si>
  <si>
    <t xml:space="preserve">毛蜀琄</t>
  </si>
  <si>
    <t xml:space="preserve">私立古今文化文理技藝短期補習班</t>
  </si>
  <si>
    <r>
      <rPr>
        <sz val="10"/>
        <color rgb="FF1F2A28"/>
        <rFont val="WenQuanYi Zen Hei"/>
        <family val="2"/>
      </rPr>
      <t xml:space="preserve">五股區芳洲二路</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</si>
  <si>
    <t xml:space="preserve">0222925174</t>
  </si>
  <si>
    <t xml:space="preserve">2024-07-15</t>
  </si>
  <si>
    <t xml:space="preserve">李瑛斐</t>
  </si>
  <si>
    <t xml:space="preserve">李瑛琳</t>
  </si>
  <si>
    <t xml:space="preserve">私立合之和文理短期補習班</t>
  </si>
  <si>
    <r>
      <rPr>
        <sz val="10"/>
        <color rgb="FF1F2A28"/>
        <rFont val="WenQuanYi Zen Hei"/>
        <family val="2"/>
      </rPr>
      <t xml:space="preserve">五股區成泰路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317</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319</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樓及地下</t>
    </r>
    <r>
      <rPr>
        <sz val="10"/>
        <color rgb="FF1F2A28"/>
        <rFont val="Arial"/>
        <family val="0"/>
        <charset val="1"/>
      </rPr>
      <t xml:space="preserve">1</t>
    </r>
    <r>
      <rPr>
        <sz val="10"/>
        <color rgb="FF1F2A28"/>
        <rFont val="WenQuanYi Zen Hei"/>
        <family val="2"/>
      </rPr>
      <t xml:space="preserve">樓</t>
    </r>
  </si>
  <si>
    <t xml:space="preserve">(02)22918822</t>
  </si>
  <si>
    <t xml:space="preserve">m3893m3893@yahoo.com.tw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</si>
  <si>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</si>
  <si>
    <t xml:space="preserve">2002-10-09</t>
  </si>
  <si>
    <t xml:space="preserve">林安婕</t>
  </si>
  <si>
    <t xml:space="preserve">私立奕學文理語文短期補習班</t>
  </si>
  <si>
    <r>
      <rPr>
        <sz val="10"/>
        <color rgb="FF1F2A28"/>
        <rFont val="WenQuanYi Zen Hei"/>
        <family val="2"/>
      </rPr>
      <t xml:space="preserve">五股區自強路</t>
    </r>
    <r>
      <rPr>
        <sz val="10"/>
        <color rgb="FF1F2A28"/>
        <rFont val="Arial"/>
        <family val="0"/>
        <charset val="1"/>
      </rPr>
      <t xml:space="preserve">70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</si>
  <si>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(02)8295-6670</t>
  </si>
  <si>
    <t xml:space="preserve">elearn1205@gmail.com</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</si>
  <si>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國文、英文、數學、理化</t>
    </r>
    <r>
      <rPr>
        <sz val="10"/>
        <color rgb="FF1F2A28"/>
        <rFont val="Arial"/>
        <family val="0"/>
        <charset val="1"/>
      </rPr>
      <t xml:space="preserve">)</t>
    </r>
  </si>
  <si>
    <t xml:space="preserve">2015-03-12</t>
  </si>
  <si>
    <t xml:space="preserve">陳寶源</t>
  </si>
  <si>
    <t xml:space="preserve">私立學良文理短期補習班</t>
  </si>
  <si>
    <r>
      <rPr>
        <sz val="10"/>
        <color rgb="FF1F2A28"/>
        <rFont val="WenQuanYi Zen Hei"/>
        <family val="2"/>
      </rPr>
      <t xml:space="preserve">五股區水碓路</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</si>
  <si>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22937277</t>
  </si>
  <si>
    <t xml:space="preserve">babycomeonbaby@yahoo.com.tw</t>
  </si>
  <si>
    <t xml:space="preserve">英、數、國、理</t>
  </si>
  <si>
    <t xml:space="preserve">2000-10-13</t>
  </si>
  <si>
    <t xml:space="preserve">陳月娟</t>
  </si>
  <si>
    <t xml:space="preserve">陳曼玲</t>
  </si>
  <si>
    <t xml:space="preserve">私立岑瀚語文文理短期補習班</t>
  </si>
  <si>
    <r>
      <rPr>
        <sz val="10"/>
        <color rgb="FF1F2A28"/>
        <rFont val="WenQuanYi Zen Hei"/>
        <family val="2"/>
      </rPr>
      <t xml:space="preserve">五股區成泰路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219</t>
    </r>
    <r>
      <rPr>
        <sz val="10"/>
        <color rgb="FF1F2A28"/>
        <rFont val="WenQuanYi Zen Hei"/>
        <family val="2"/>
      </rPr>
      <t xml:space="preserve">之</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</si>
  <si>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(02)2291-0187</t>
  </si>
  <si>
    <t xml:space="preserve">changct0063@gmail.com</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</si>
  <si>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數學、自然與生活科技、英文</t>
    </r>
    <r>
      <rPr>
        <sz val="10"/>
        <color rgb="FF1F2A28"/>
        <rFont val="Arial"/>
        <family val="0"/>
        <charset val="1"/>
      </rPr>
      <t xml:space="preserve">)</t>
    </r>
  </si>
  <si>
    <t xml:space="preserve">2014-04-10</t>
  </si>
  <si>
    <t xml:space="preserve">王素銀</t>
  </si>
  <si>
    <t xml:space="preserve">私立德育文理語文短期補習班</t>
  </si>
  <si>
    <r>
      <rPr>
        <sz val="10"/>
        <color rgb="FF1F2A28"/>
        <rFont val="WenQuanYi Zen Hei"/>
        <family val="2"/>
      </rPr>
      <t xml:space="preserve">五股區自強路</t>
    </r>
    <r>
      <rPr>
        <sz val="10"/>
        <color rgb="FF1F2A28"/>
        <rFont val="Arial"/>
        <family val="0"/>
        <charset val="1"/>
      </rPr>
      <t xml:space="preserve">101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103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</si>
  <si>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(02)22921350</t>
  </si>
  <si>
    <t xml:space="preserve">2005-12-15</t>
  </si>
  <si>
    <t xml:space="preserve">黃碧珠</t>
  </si>
  <si>
    <t xml:space="preserve">私立振宏文理技藝短期補習班</t>
  </si>
  <si>
    <r>
      <rPr>
        <sz val="10"/>
        <color rgb="FF1F2A28"/>
        <rFont val="WenQuanYi Zen Hei"/>
        <family val="2"/>
      </rPr>
      <t xml:space="preserve">五股區自強路</t>
    </r>
    <r>
      <rPr>
        <sz val="10"/>
        <color rgb="FF1F2A28"/>
        <rFont val="Arial"/>
        <family val="0"/>
        <charset val="1"/>
      </rPr>
      <t xml:space="preserve">76</t>
    </r>
    <r>
      <rPr>
        <sz val="10"/>
        <color rgb="FF1F2A28"/>
        <rFont val="WenQuanYi Zen Hei"/>
        <family val="2"/>
      </rPr>
      <t xml:space="preserve">號、</t>
    </r>
    <r>
      <rPr>
        <sz val="10"/>
        <color rgb="FF1F2A28"/>
        <rFont val="Arial"/>
        <family val="0"/>
        <charset val="1"/>
      </rPr>
      <t xml:space="preserve">78</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</si>
  <si>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2292-6018</t>
  </si>
  <si>
    <t xml:space="preserve">Straitop@tpts6.seed.net.tw</t>
  </si>
  <si>
    <t xml:space="preserve">1999-05-14</t>
  </si>
  <si>
    <t xml:space="preserve">李威達</t>
  </si>
  <si>
    <t xml:space="preserve">江殷萩</t>
  </si>
  <si>
    <t xml:space="preserve">私立振鋒文理技藝短期補習班</t>
  </si>
  <si>
    <r>
      <rPr>
        <sz val="10"/>
        <color rgb="FF1F2A28"/>
        <rFont val="WenQuanYi Zen Hei"/>
        <family val="2"/>
      </rPr>
      <t xml:space="preserve">五股區明德路</t>
    </r>
    <r>
      <rPr>
        <sz val="10"/>
        <color rgb="FF1F2A28"/>
        <rFont val="Arial"/>
        <family val="0"/>
        <charset val="1"/>
      </rPr>
      <t xml:space="preserve">73</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</si>
  <si>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straitop@tpts6.seed.net.tw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</si>
  <si>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國文、英文、數學、理化</t>
    </r>
    <r>
      <rPr>
        <sz val="10"/>
        <color rgb="FF1F2A28"/>
        <rFont val="Arial"/>
        <family val="0"/>
        <charset val="1"/>
      </rPr>
      <t xml:space="preserve">)</t>
    </r>
  </si>
  <si>
    <t xml:space="preserve">1993-04-13</t>
  </si>
  <si>
    <t xml:space="preserve">李冠德</t>
  </si>
  <si>
    <t xml:space="preserve">私立昱欣美語短期補習班</t>
  </si>
  <si>
    <r>
      <rPr>
        <sz val="10"/>
        <color rgb="FF1F2A28"/>
        <rFont val="WenQuanYi Zen Hei"/>
        <family val="2"/>
      </rPr>
      <t xml:space="preserve">五股區成泰路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543</t>
    </r>
    <r>
      <rPr>
        <sz val="10"/>
        <color rgb="FF1F2A28"/>
        <rFont val="WenQuanYi Zen Hei"/>
        <family val="2"/>
      </rPr>
      <t xml:space="preserve">巷</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</si>
  <si>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(02)22913362</t>
  </si>
  <si>
    <t xml:space="preserve">China0709@yahoo.com.tw</t>
  </si>
  <si>
    <t xml:space="preserve">陳致逸</t>
  </si>
  <si>
    <t xml:space="preserve">陳至理</t>
  </si>
  <si>
    <t xml:space="preserve">私立智冠文理語文短期補習班</t>
  </si>
  <si>
    <r>
      <rPr>
        <sz val="10"/>
        <color rgb="FF1F2A28"/>
        <rFont val="WenQuanYi Zen Hei"/>
        <family val="2"/>
      </rPr>
      <t xml:space="preserve">五股區成泰路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102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</si>
  <si>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(02)2292-5678</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</si>
  <si>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理、數、英</t>
    </r>
    <r>
      <rPr>
        <sz val="10"/>
        <color rgb="FF1F2A28"/>
        <rFont val="Arial"/>
        <family val="0"/>
        <charset val="1"/>
      </rPr>
      <t xml:space="preserve">)</t>
    </r>
  </si>
  <si>
    <t xml:space="preserve">2010-05-31</t>
  </si>
  <si>
    <t xml:space="preserve">黃明輝</t>
  </si>
  <si>
    <r>
      <rPr>
        <sz val="10"/>
        <color rgb="FF1F2A28"/>
        <rFont val="WenQuanYi Zen Hei"/>
        <family val="2"/>
      </rPr>
      <t xml:space="preserve">私立河合成州音樂語文短期補習班</t>
    </r>
    <r>
      <rPr>
        <sz val="10"/>
        <color rgb="FF1F2A28"/>
        <rFont val="Arial"/>
        <family val="0"/>
        <charset val="1"/>
      </rPr>
      <t xml:space="preserve">(</t>
    </r>
    <r>
      <rPr>
        <sz val="10"/>
        <color rgb="FF1F2A28"/>
        <rFont val="WenQuanYi Zen Hei"/>
        <family val="2"/>
      </rPr>
      <t xml:space="preserve">經營情形待查證</t>
    </r>
    <r>
      <rPr>
        <sz val="10"/>
        <color rgb="FF1F2A28"/>
        <rFont val="Arial"/>
        <family val="0"/>
        <charset val="1"/>
      </rPr>
      <t xml:space="preserve">)</t>
    </r>
  </si>
  <si>
    <r>
      <rPr>
        <sz val="10"/>
        <color rgb="FF1F2A28"/>
        <rFont val="WenQuanYi Zen Hei"/>
        <family val="2"/>
      </rPr>
      <t xml:space="preserve">五股區成泰路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543</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</si>
  <si>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(02)2291-2424</t>
  </si>
  <si>
    <t xml:space="preserve">2014-07-07</t>
  </si>
  <si>
    <t xml:space="preserve">許哲偉</t>
  </si>
  <si>
    <t xml:space="preserve">私立潔恩英語短期補習班</t>
  </si>
  <si>
    <r>
      <rPr>
        <sz val="10"/>
        <color rgb="FF1F2A28"/>
        <rFont val="WenQuanYi Zen Hei"/>
        <family val="2"/>
      </rPr>
      <t xml:space="preserve">五股區工商路</t>
    </r>
    <r>
      <rPr>
        <sz val="10"/>
        <color rgb="FF1F2A28"/>
        <rFont val="Arial"/>
        <family val="0"/>
        <charset val="1"/>
      </rPr>
      <t xml:space="preserve">135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</si>
  <si>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(02)82922547</t>
  </si>
  <si>
    <t xml:space="preserve">2011-09-13</t>
  </si>
  <si>
    <t xml:space="preserve">謝馥合</t>
  </si>
  <si>
    <t xml:space="preserve">私立瑪莉美語短期補習班</t>
  </si>
  <si>
    <r>
      <rPr>
        <sz val="10"/>
        <color rgb="FF1F2A28"/>
        <rFont val="WenQuanYi Zen Hei"/>
        <family val="2"/>
      </rPr>
      <t xml:space="preserve">五股區民義路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2</t>
    </r>
  </si>
  <si>
    <t xml:space="preserve">(02)2293-0306</t>
  </si>
  <si>
    <t xml:space="preserve">mavicschool888@gmail.com</t>
  </si>
  <si>
    <t xml:space="preserve">2011-05-25</t>
  </si>
  <si>
    <t xml:space="preserve">陳周源</t>
  </si>
  <si>
    <t xml:space="preserve">八里區</t>
  </si>
  <si>
    <t xml:space="preserve">兩岸心動力國際教育文化有限公司附設私立愛智塾文理短期補習班</t>
  </si>
  <si>
    <r>
      <rPr>
        <sz val="10"/>
        <color rgb="FF1F2A28"/>
        <rFont val="WenQuanYi Zen Hei"/>
        <family val="2"/>
      </rPr>
      <t xml:space="preserve">八里區中山路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53</t>
    </r>
    <r>
      <rPr>
        <sz val="10"/>
        <color rgb="FF1F2A28"/>
        <rFont val="WenQuanYi Zen Hei"/>
        <family val="2"/>
      </rPr>
      <t xml:space="preserve">號</t>
    </r>
  </si>
  <si>
    <t xml:space="preserve">(02)26100429</t>
  </si>
  <si>
    <t xml:space="preserve">2006-01-20</t>
  </si>
  <si>
    <t xml:space="preserve">周慶寧</t>
  </si>
  <si>
    <t xml:space="preserve">黃昕絜</t>
  </si>
  <si>
    <t xml:space="preserve">私立佳優文理語文短期補習班</t>
  </si>
  <si>
    <r>
      <rPr>
        <sz val="10"/>
        <color rgb="FF1F2A28"/>
        <rFont val="WenQuanYi Zen Hei"/>
        <family val="2"/>
      </rPr>
      <t xml:space="preserve">八里區中山路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227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</si>
  <si>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(02)2610-2528</t>
  </si>
  <si>
    <t xml:space="preserve">2007-06-22</t>
  </si>
  <si>
    <t xml:space="preserve">徐苑瑜</t>
  </si>
  <si>
    <t xml:space="preserve">私立佳泓珠心算美語文理短期補習班</t>
  </si>
  <si>
    <r>
      <rPr>
        <sz val="10"/>
        <color rgb="FF1F2A28"/>
        <rFont val="WenQuanYi Zen Hei"/>
        <family val="2"/>
      </rPr>
      <t xml:space="preserve">八里區中山路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540</t>
    </r>
    <r>
      <rPr>
        <sz val="10"/>
        <color rgb="FF1F2A28"/>
        <rFont val="WenQuanYi Zen Hei"/>
        <family val="2"/>
      </rPr>
      <t xml:space="preserve">巷</t>
    </r>
    <r>
      <rPr>
        <sz val="10"/>
        <color rgb="FF1F2A28"/>
        <rFont val="Arial"/>
        <family val="0"/>
        <charset val="1"/>
      </rPr>
      <t xml:space="preserve">9</t>
    </r>
    <r>
      <rPr>
        <sz val="10"/>
        <color rgb="FF1F2A28"/>
        <rFont val="WenQuanYi Zen Hei"/>
        <family val="2"/>
      </rPr>
      <t xml:space="preserve">弄</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</si>
  <si>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(02)26191700</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</si>
  <si>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t>
    </r>
    <r>
      <rPr>
        <sz val="10"/>
        <color rgb="FF1F2A28"/>
        <rFont val="Arial"/>
        <family val="0"/>
        <charset val="1"/>
      </rPr>
      <t xml:space="preserve">)</t>
    </r>
    <r>
      <rPr>
        <sz val="10"/>
        <color rgb="FF1F2A28"/>
        <rFont val="WenQuanYi Zen Hei"/>
        <family val="2"/>
      </rPr>
      <t xml:space="preserve">、美語</t>
    </r>
  </si>
  <si>
    <t xml:space="preserve">2004-05-12</t>
  </si>
  <si>
    <t xml:space="preserve">張美惠</t>
  </si>
  <si>
    <t xml:space="preserve">張陳弘</t>
  </si>
  <si>
    <t xml:space="preserve">私立大楊老師文理語文短期補習班</t>
  </si>
  <si>
    <r>
      <rPr>
        <sz val="10"/>
        <color rgb="FF1F2A28"/>
        <rFont val="WenQuanYi Zen Hei"/>
        <family val="2"/>
      </rPr>
      <t xml:space="preserve">八里區中華路二段</t>
    </r>
    <r>
      <rPr>
        <sz val="10"/>
        <color rgb="FF1F2A28"/>
        <rFont val="Arial"/>
        <family val="0"/>
        <charset val="1"/>
      </rPr>
      <t xml:space="preserve">302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</si>
  <si>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(02)86304016</t>
  </si>
  <si>
    <t xml:space="preserve">2004-12-08</t>
  </si>
  <si>
    <t xml:space="preserve">楊淑惠</t>
  </si>
  <si>
    <t xml:space="preserve">私立小精靈文理語文短期補習班</t>
  </si>
  <si>
    <r>
      <rPr>
        <sz val="10"/>
        <color rgb="FF1F2A28"/>
        <rFont val="WenQuanYi Zen Hei"/>
        <family val="2"/>
      </rPr>
      <t xml:space="preserve">八里區中華路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308</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弄</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</si>
  <si>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(02)8630-5127,(02)2610-6663</t>
  </si>
  <si>
    <t xml:space="preserve">cindy_5127@yahoo.com.tw</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</si>
  <si>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英、數、自然</t>
    </r>
    <r>
      <rPr>
        <sz val="10"/>
        <color rgb="FF1F2A28"/>
        <rFont val="Arial"/>
        <family val="0"/>
        <charset val="1"/>
      </rPr>
      <t xml:space="preserve">)</t>
    </r>
  </si>
  <si>
    <t xml:space="preserve">2005-04-14</t>
  </si>
  <si>
    <t xml:space="preserve">黃欣如</t>
  </si>
  <si>
    <t xml:space="preserve">康淑娟</t>
  </si>
  <si>
    <t xml:space="preserve">私立快樂芝麻語文短期補習班</t>
  </si>
  <si>
    <r>
      <rPr>
        <sz val="10"/>
        <color rgb="FF1F2A28"/>
        <rFont val="WenQuanYi Zen Hei"/>
        <family val="2"/>
      </rPr>
      <t xml:space="preserve">八里區龍米路三段</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</si>
  <si>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(02)86303636</t>
  </si>
  <si>
    <t xml:space="preserve">linda@happykids.tw</t>
  </si>
  <si>
    <t xml:space="preserve">2012-05-11</t>
  </si>
  <si>
    <t xml:space="preserve">魏紫庭</t>
  </si>
  <si>
    <t xml:space="preserve">私立晉昇文理語文短期補習班</t>
  </si>
  <si>
    <r>
      <rPr>
        <sz val="10"/>
        <color rgb="FF1F2A28"/>
        <rFont val="WenQuanYi Zen Hei"/>
        <family val="2"/>
      </rPr>
      <t xml:space="preserve">八里區中山路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</si>
  <si>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(02)2610-6671</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</si>
  <si>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t>
    </r>
    <r>
      <rPr>
        <sz val="10"/>
        <color rgb="FF1F2A28"/>
        <rFont val="Arial"/>
        <family val="0"/>
        <charset val="1"/>
      </rPr>
      <t xml:space="preserve">)</t>
    </r>
  </si>
  <si>
    <t xml:space="preserve">陳美玲</t>
  </si>
  <si>
    <t xml:space="preserve">薛慎宗</t>
  </si>
  <si>
    <t xml:space="preserve">私立格爾語文文理短期補習班</t>
  </si>
  <si>
    <r>
      <rPr>
        <sz val="10"/>
        <color rgb="FF1F2A28"/>
        <rFont val="WenQuanYi Zen Hei"/>
        <family val="2"/>
      </rPr>
      <t xml:space="preserve">八里區中山路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213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</si>
  <si>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(02)8630-4645</t>
  </si>
  <si>
    <t xml:space="preserve">2014-07-16</t>
  </si>
  <si>
    <t xml:space="preserve">李佳陵</t>
  </si>
  <si>
    <t xml:space="preserve">私立玩音樂音樂語文短期補習班</t>
  </si>
  <si>
    <r>
      <rPr>
        <sz val="10"/>
        <color rgb="FF1F2A28"/>
        <rFont val="WenQuanYi Zen Hei"/>
        <family val="2"/>
      </rPr>
      <t xml:space="preserve">八里區中山路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171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</si>
  <si>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(02)86304255</t>
  </si>
  <si>
    <t xml:space="preserve">梁豪旺</t>
  </si>
  <si>
    <t xml:space="preserve">邁克斯文理語文短期補習班</t>
  </si>
  <si>
    <r>
      <rPr>
        <sz val="10"/>
        <color rgb="FF1F2A28"/>
        <rFont val="WenQuanYi Zen Hei"/>
        <family val="2"/>
      </rPr>
      <t xml:space="preserve">八里區中山路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406</t>
    </r>
    <r>
      <rPr>
        <sz val="10"/>
        <color rgb="FF1F2A28"/>
        <rFont val="WenQuanYi Zen Hei"/>
        <family val="2"/>
      </rPr>
      <t xml:space="preserve">巷</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</si>
  <si>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(02)86301009</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</si>
  <si>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</si>
  <si>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2011-09-09</t>
  </si>
  <si>
    <t xml:space="preserve">林承業</t>
  </si>
  <si>
    <t xml:space="preserve">土城區</t>
  </si>
  <si>
    <t xml:space="preserve">中國青年救國團附設明得語文技藝短期補習班</t>
  </si>
  <si>
    <r>
      <rPr>
        <sz val="10"/>
        <color rgb="FF1F2A28"/>
        <rFont val="WenQuanYi Zen Hei"/>
        <family val="2"/>
      </rPr>
      <t xml:space="preserve">土城區明德路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137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</si>
  <si>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(02)8261-5080</t>
  </si>
  <si>
    <t xml:space="preserve">82615080edm@gmail.com</t>
  </si>
  <si>
    <t xml:space="preserve">李亦婕</t>
  </si>
  <si>
    <t xml:space="preserve">寶兒文理語文短期補習班</t>
  </si>
  <si>
    <r>
      <rPr>
        <sz val="10"/>
        <color rgb="FF1F2A28"/>
        <rFont val="WenQuanYi Zen Hei"/>
        <family val="2"/>
      </rPr>
      <t xml:space="preserve">土城區水源街</t>
    </r>
    <r>
      <rPr>
        <sz val="10"/>
        <color rgb="FF1F2A28"/>
        <rFont val="Arial"/>
        <family val="0"/>
        <charset val="1"/>
      </rPr>
      <t xml:space="preserve">32</t>
    </r>
    <r>
      <rPr>
        <sz val="10"/>
        <color rgb="FF1F2A28"/>
        <rFont val="WenQuanYi Zen Hei"/>
        <family val="2"/>
      </rPr>
      <t xml:space="preserve">巷</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</si>
  <si>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(02)22703425</t>
  </si>
  <si>
    <t xml:space="preserve">2015-09-03</t>
  </si>
  <si>
    <t xml:space="preserve">陶春輝</t>
  </si>
  <si>
    <t xml:space="preserve">新北市私立德品珠心算語文短期補習班</t>
  </si>
  <si>
    <r>
      <rPr>
        <sz val="10"/>
        <color rgb="FF1F2A28"/>
        <rFont val="WenQuanYi Zen Hei"/>
        <family val="2"/>
      </rPr>
      <t xml:space="preserve">土城區永安街</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32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</si>
  <si>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(02)22683028</t>
  </si>
  <si>
    <t xml:space="preserve">2014-10-20</t>
  </si>
  <si>
    <t xml:space="preserve">馬鈺淇</t>
  </si>
  <si>
    <t xml:space="preserve">陳美惠</t>
  </si>
  <si>
    <t xml:space="preserve">玖玠文教有限公司附設私立玖岳文理短期補習班</t>
  </si>
  <si>
    <r>
      <rPr>
        <sz val="10"/>
        <color rgb="FF1F2A28"/>
        <rFont val="WenQuanYi Zen Hei"/>
        <family val="2"/>
      </rPr>
      <t xml:space="preserve">土城區明德路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54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</si>
  <si>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(02)22669100</t>
  </si>
  <si>
    <t xml:space="preserve">2015-07-23</t>
  </si>
  <si>
    <t xml:space="preserve">黃貽瑄</t>
  </si>
  <si>
    <t xml:space="preserve">福禧文教有限公司附設私立福禧文理短期補習班</t>
  </si>
  <si>
    <r>
      <rPr>
        <sz val="10"/>
        <color rgb="FF1F2A28"/>
        <rFont val="WenQuanYi Zen Hei"/>
        <family val="2"/>
      </rPr>
      <t xml:space="preserve">土城區裕民路</t>
    </r>
    <r>
      <rPr>
        <sz val="10"/>
        <color rgb="FF1F2A28"/>
        <rFont val="Arial"/>
        <family val="0"/>
        <charset val="1"/>
      </rPr>
      <t xml:space="preserve">161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</si>
  <si>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0222708901</t>
  </si>
  <si>
    <t xml:space="preserve">2024-08-13</t>
  </si>
  <si>
    <t xml:space="preserve">吳楚雲</t>
  </si>
  <si>
    <t xml:space="preserve">黃啟齡</t>
  </si>
  <si>
    <t xml:space="preserve">私立仁信文理語文珠算短期補習班</t>
  </si>
  <si>
    <r>
      <rPr>
        <sz val="10"/>
        <color rgb="FF1F2A28"/>
        <rFont val="WenQuanYi Zen Hei"/>
        <family val="2"/>
      </rPr>
      <t xml:space="preserve">土城區仁愛路</t>
    </r>
    <r>
      <rPr>
        <sz val="10"/>
        <color rgb="FF1F2A28"/>
        <rFont val="Arial"/>
        <family val="0"/>
        <charset val="1"/>
      </rPr>
      <t xml:space="preserve">6</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</si>
  <si>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22702779</t>
  </si>
  <si>
    <t xml:space="preserve">a0926000113@gmail.com</t>
  </si>
  <si>
    <t xml:space="preserve">1998-08-20</t>
  </si>
  <si>
    <t xml:space="preserve">林秀玲</t>
  </si>
  <si>
    <t xml:space="preserve">私立休士頓語文短期補習班</t>
  </si>
  <si>
    <r>
      <rPr>
        <sz val="10"/>
        <color rgb="FF1F2A28"/>
        <rFont val="WenQuanYi Zen Hei"/>
        <family val="2"/>
      </rPr>
      <t xml:space="preserve">土城區明德路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74</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</si>
  <si>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22633066</t>
  </si>
  <si>
    <t xml:space="preserve">ling06@principal.com.tw</t>
  </si>
  <si>
    <t xml:space="preserve">2000-09-08</t>
  </si>
  <si>
    <t xml:space="preserve">江又毅</t>
  </si>
  <si>
    <t xml:space="preserve">謝玫芳</t>
  </si>
  <si>
    <t xml:space="preserve">私立佳來語文珠心算短期補習班</t>
  </si>
  <si>
    <r>
      <rPr>
        <sz val="10"/>
        <color rgb="FF1F2A28"/>
        <rFont val="WenQuanYi Zen Hei"/>
        <family val="2"/>
      </rPr>
      <t xml:space="preserve">土城區清水路</t>
    </r>
    <r>
      <rPr>
        <sz val="10"/>
        <color rgb="FF1F2A28"/>
        <rFont val="Arial"/>
        <family val="0"/>
        <charset val="1"/>
      </rPr>
      <t xml:space="preserve">241</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</si>
  <si>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22656658</t>
  </si>
  <si>
    <t xml:space="preserve">2000-04-13</t>
  </si>
  <si>
    <t xml:space="preserve">林建成</t>
  </si>
  <si>
    <t xml:space="preserve">李玉惠</t>
  </si>
  <si>
    <t xml:space="preserve">私立優生生活語文短期補習班</t>
  </si>
  <si>
    <r>
      <rPr>
        <sz val="10"/>
        <color rgb="FF1F2A28"/>
        <rFont val="WenQuanYi Zen Hei"/>
        <family val="2"/>
      </rPr>
      <t xml:space="preserve">土城區清水路</t>
    </r>
    <r>
      <rPr>
        <sz val="10"/>
        <color rgb="FF1F2A28"/>
        <rFont val="Arial"/>
        <family val="0"/>
        <charset val="1"/>
      </rPr>
      <t xml:space="preserve">245</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</si>
  <si>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(02)2260-2162</t>
  </si>
  <si>
    <t xml:space="preserve">us1305@yahoo.com.tw</t>
  </si>
  <si>
    <t xml:space="preserve">2014-07-15</t>
  </si>
  <si>
    <t xml:space="preserve">楊美惠</t>
  </si>
  <si>
    <t xml:space="preserve">私立再興文理語文珠心算短期補習班</t>
  </si>
  <si>
    <r>
      <rPr>
        <sz val="10"/>
        <color rgb="FF1F2A28"/>
        <rFont val="WenQuanYi Zen Hei"/>
        <family val="2"/>
      </rPr>
      <t xml:space="preserve">土城區學成路</t>
    </r>
    <r>
      <rPr>
        <sz val="10"/>
        <color rgb="FF1F2A28"/>
        <rFont val="Arial"/>
        <family val="0"/>
        <charset val="1"/>
      </rPr>
      <t xml:space="preserve">58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</si>
  <si>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22703930</t>
  </si>
  <si>
    <t xml:space="preserve">wade.kung@gmail.com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</si>
  <si>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</si>
  <si>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2000-05-18</t>
  </si>
  <si>
    <t xml:space="preserve">孔祥榮</t>
  </si>
  <si>
    <t xml:space="preserve">私立凱思語文短期補習班</t>
  </si>
  <si>
    <r>
      <rPr>
        <sz val="10"/>
        <color rgb="FF1F2A28"/>
        <rFont val="WenQuanYi Zen Hei"/>
        <family val="2"/>
      </rPr>
      <t xml:space="preserve">土城區學府路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164</t>
    </r>
    <r>
      <rPr>
        <sz val="10"/>
        <color rgb="FF1F2A28"/>
        <rFont val="WenQuanYi Zen Hei"/>
        <family val="2"/>
      </rPr>
      <t xml:space="preserve">巷</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</si>
  <si>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(02)22612015</t>
  </si>
  <si>
    <t xml:space="preserve">ks22612015@gmail.com</t>
  </si>
  <si>
    <t xml:space="preserve">2016-06-14</t>
  </si>
  <si>
    <t xml:space="preserve">劉叡蓁</t>
  </si>
  <si>
    <t xml:space="preserve">私立加分好空間文理技藝短期補習班</t>
  </si>
  <si>
    <r>
      <rPr>
        <sz val="10"/>
        <color rgb="FF1F2A28"/>
        <rFont val="WenQuanYi Zen Hei"/>
        <family val="2"/>
      </rPr>
      <t xml:space="preserve">土城區學府路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191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</si>
  <si>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0282620210</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</si>
  <si>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國語、英文、數學、社會、自然</t>
    </r>
    <r>
      <rPr>
        <sz val="10"/>
        <color rgb="FF1F2A28"/>
        <rFont val="Arial"/>
        <family val="0"/>
        <charset val="1"/>
      </rPr>
      <t xml:space="preserve">)</t>
    </r>
  </si>
  <si>
    <t xml:space="preserve">2024-07-05</t>
  </si>
  <si>
    <t xml:space="preserve">蘇毓婷</t>
  </si>
  <si>
    <t xml:space="preserve">私立勁陞文理語文短期補習班</t>
  </si>
  <si>
    <r>
      <rPr>
        <sz val="10"/>
        <color rgb="FF1F2A28"/>
        <rFont val="WenQuanYi Zen Hei"/>
        <family val="2"/>
      </rPr>
      <t xml:space="preserve">土城區中正路</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3</t>
    </r>
  </si>
  <si>
    <t xml:space="preserve">(02)22635881</t>
  </si>
  <si>
    <t xml:space="preserve">lp54810@ms17.hinet.net</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</si>
  <si>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英、數、自、國</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</si>
  <si>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蔡淑華</t>
  </si>
  <si>
    <t xml:space="preserve">賴國賢</t>
  </si>
  <si>
    <t xml:space="preserve">私立北極星英語文理技藝短期補習班</t>
  </si>
  <si>
    <r>
      <rPr>
        <sz val="10"/>
        <color rgb="FF1F2A28"/>
        <rFont val="WenQuanYi Zen Hei"/>
        <family val="2"/>
      </rPr>
      <t xml:space="preserve">土城區學成路</t>
    </r>
    <r>
      <rPr>
        <sz val="10"/>
        <color rgb="FF1F2A28"/>
        <rFont val="Arial"/>
        <family val="0"/>
        <charset val="1"/>
      </rPr>
      <t xml:space="preserve">165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167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169</t>
    </r>
    <r>
      <rPr>
        <sz val="10"/>
        <color rgb="FF1F2A28"/>
        <rFont val="WenQuanYi Zen Hei"/>
        <family val="2"/>
      </rPr>
      <t xml:space="preserve">號 </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171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</si>
  <si>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(02)82620851</t>
  </si>
  <si>
    <t xml:space="preserve">polestarei@hotmail.com</t>
  </si>
  <si>
    <t xml:space="preserve">2004-06-30</t>
  </si>
  <si>
    <t xml:space="preserve">周淑惠</t>
  </si>
  <si>
    <t xml:space="preserve">丁淑芬</t>
  </si>
  <si>
    <t xml:space="preserve">私立吉爾馬丁美語短期補習班</t>
  </si>
  <si>
    <r>
      <rPr>
        <sz val="10"/>
        <color rgb="FF1F2A28"/>
        <rFont val="WenQuanYi Zen Hei"/>
        <family val="2"/>
      </rPr>
      <t xml:space="preserve">土城區學府路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98</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</si>
  <si>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(02)82620528</t>
  </si>
  <si>
    <t xml:space="preserve">2006-05-26</t>
  </si>
  <si>
    <t xml:space="preserve">李麗雲</t>
  </si>
  <si>
    <t xml:space="preserve">李麗華</t>
  </si>
  <si>
    <t xml:space="preserve">私立吉瑞語文短期補習班</t>
  </si>
  <si>
    <r>
      <rPr>
        <sz val="10"/>
        <color rgb="FF1F2A28"/>
        <rFont val="WenQuanYi Zen Hei"/>
        <family val="2"/>
      </rPr>
      <t xml:space="preserve">土城區學士路</t>
    </r>
    <r>
      <rPr>
        <sz val="10"/>
        <color rgb="FF1F2A28"/>
        <rFont val="Arial"/>
        <family val="0"/>
        <charset val="1"/>
      </rPr>
      <t xml:space="preserve">12</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</si>
  <si>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(02)82625882</t>
  </si>
  <si>
    <t xml:space="preserve">江珊</t>
  </si>
  <si>
    <t xml:space="preserve">私立大樹語文文理短期補習班</t>
  </si>
  <si>
    <r>
      <rPr>
        <sz val="10"/>
        <color rgb="FF1F2A28"/>
        <rFont val="WenQuanYi Zen Hei"/>
        <family val="2"/>
      </rPr>
      <t xml:space="preserve">土城區明德路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58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</si>
  <si>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(02)2262-6772</t>
  </si>
  <si>
    <t xml:space="preserve">s1023shu@hotmail.com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</si>
  <si>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國文、英文、數學、自然與生活科技</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</si>
  <si>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2014-11-04</t>
  </si>
  <si>
    <t xml:space="preserve">張曉薇</t>
  </si>
  <si>
    <t xml:space="preserve">私立大漢文理語文短期補習班</t>
  </si>
  <si>
    <r>
      <rPr>
        <sz val="10"/>
        <color rgb="FF1F2A28"/>
        <rFont val="WenQuanYi Zen Hei"/>
        <family val="2"/>
      </rPr>
      <t xml:space="preserve">土城區延和路</t>
    </r>
    <r>
      <rPr>
        <sz val="10"/>
        <color rgb="FF1F2A28"/>
        <rFont val="Arial"/>
        <family val="0"/>
        <charset val="1"/>
      </rPr>
      <t xml:space="preserve">152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</si>
  <si>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(02)22665050</t>
  </si>
  <si>
    <t xml:space="preserve">2011-05-30</t>
  </si>
  <si>
    <t xml:space="preserve">鍾筱雯</t>
  </si>
  <si>
    <t xml:space="preserve">私立大鷹語文短期補習班</t>
  </si>
  <si>
    <r>
      <rPr>
        <sz val="10"/>
        <color rgb="FF1F2A28"/>
        <rFont val="WenQuanYi Zen Hei"/>
        <family val="2"/>
      </rPr>
      <t xml:space="preserve">土城區學府路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120</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</si>
  <si>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(02)22623659</t>
  </si>
  <si>
    <t xml:space="preserve">2006-11-20</t>
  </si>
  <si>
    <t xml:space="preserve">林子鐘</t>
  </si>
  <si>
    <t xml:space="preserve">私立學府語文美術短期補習班</t>
  </si>
  <si>
    <r>
      <rPr>
        <sz val="10"/>
        <color rgb="FF1F2A28"/>
        <rFont val="WenQuanYi Zen Hei"/>
        <family val="2"/>
      </rPr>
      <t xml:space="preserve">土城區學府路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120</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98</t>
    </r>
    <r>
      <rPr>
        <sz val="10"/>
        <color rgb="FF1F2A28"/>
        <rFont val="WenQuanYi Zen Hei"/>
        <family val="2"/>
      </rPr>
      <t xml:space="preserve">巷</t>
    </r>
    <r>
      <rPr>
        <sz val="10"/>
        <color rgb="FF1F2A28"/>
        <rFont val="Arial"/>
        <family val="0"/>
        <charset val="1"/>
      </rPr>
      <t xml:space="preserve">19</t>
    </r>
    <r>
      <rPr>
        <sz val="10"/>
        <color rgb="FF1F2A28"/>
        <rFont val="WenQuanYi Zen Hei"/>
        <family val="2"/>
      </rPr>
      <t xml:space="preserve">號</t>
    </r>
  </si>
  <si>
    <t xml:space="preserve">(02)8262-2184</t>
  </si>
  <si>
    <t xml:space="preserve">pei_chih215@yahoo.com.tw</t>
  </si>
  <si>
    <t xml:space="preserve">2004-08-02</t>
  </si>
  <si>
    <t xml:space="preserve">吳沛芝</t>
  </si>
  <si>
    <t xml:space="preserve">謝玉菁</t>
  </si>
  <si>
    <t xml:space="preserve">私立宏文文理語文短期補習班</t>
  </si>
  <si>
    <r>
      <rPr>
        <sz val="10"/>
        <color rgb="FF1F2A28"/>
        <rFont val="WenQuanYi Zen Hei"/>
        <family val="2"/>
      </rPr>
      <t xml:space="preserve">土城區中央路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269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</si>
  <si>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(02)82627090</t>
  </si>
  <si>
    <t xml:space="preserve">t22701800@yahoo.com.tw</t>
  </si>
  <si>
    <t xml:space="preserve">2006-10-11</t>
  </si>
  <si>
    <t xml:space="preserve">鄭榮元</t>
  </si>
  <si>
    <t xml:space="preserve">私立尖端珠心算美語文理技藝短期補習班</t>
  </si>
  <si>
    <r>
      <rPr>
        <sz val="10"/>
        <color rgb="FF1F2A28"/>
        <rFont val="WenQuanYi Zen Hei"/>
        <family val="2"/>
      </rPr>
      <t xml:space="preserve">土城區清水路</t>
    </r>
    <r>
      <rPr>
        <sz val="10"/>
        <color rgb="FF1F2A28"/>
        <rFont val="Arial"/>
        <family val="0"/>
        <charset val="1"/>
      </rPr>
      <t xml:space="preserve">280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</si>
  <si>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22733001</t>
  </si>
  <si>
    <t xml:space="preserve">top3745@yahoo.com.tw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</si>
  <si>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國文、數學、美語、社會、自然</t>
    </r>
    <r>
      <rPr>
        <sz val="10"/>
        <color rgb="FF1F2A28"/>
        <rFont val="Arial"/>
        <family val="0"/>
        <charset val="1"/>
      </rPr>
      <t xml:space="preserve">)</t>
    </r>
  </si>
  <si>
    <t xml:space="preserve">2001-04-06</t>
  </si>
  <si>
    <t xml:space="preserve">周瑜凌</t>
  </si>
  <si>
    <t xml:space="preserve">張光慧</t>
  </si>
  <si>
    <t xml:space="preserve">私立愛登堡文理語文短期補習班</t>
  </si>
  <si>
    <r>
      <rPr>
        <sz val="10"/>
        <color rgb="FF1F2A28"/>
        <rFont val="WenQuanYi Zen Hei"/>
        <family val="2"/>
      </rPr>
      <t xml:space="preserve">土城區興城路</t>
    </r>
    <r>
      <rPr>
        <sz val="10"/>
        <color rgb="FF1F2A28"/>
        <rFont val="Arial"/>
        <family val="0"/>
        <charset val="1"/>
      </rPr>
      <t xml:space="preserve">75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77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</si>
  <si>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(02)22624567</t>
  </si>
  <si>
    <t xml:space="preserve">adamburg.sonia@gmail.com</t>
  </si>
  <si>
    <t xml:space="preserve">2002-12-26</t>
  </si>
  <si>
    <t xml:space="preserve">王瓊媛</t>
  </si>
  <si>
    <t xml:space="preserve">余正齡</t>
  </si>
  <si>
    <t xml:space="preserve">私立愛笛亞文理技藝短期補習班</t>
  </si>
  <si>
    <r>
      <rPr>
        <sz val="10"/>
        <color rgb="FF1F2A28"/>
        <rFont val="WenQuanYi Zen Hei"/>
        <family val="2"/>
      </rPr>
      <t xml:space="preserve">土城區中央路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191</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樓之</t>
    </r>
    <r>
      <rPr>
        <sz val="10"/>
        <color rgb="FF1F2A28"/>
        <rFont val="Arial"/>
        <family val="0"/>
        <charset val="1"/>
      </rPr>
      <t xml:space="preserve">2</t>
    </r>
  </si>
  <si>
    <t xml:space="preserve">2263-7395</t>
  </si>
  <si>
    <t xml:space="preserve">ideal22637395@gmail.com</t>
  </si>
  <si>
    <t xml:space="preserve">2020-05-29</t>
  </si>
  <si>
    <t xml:space="preserve">朱立鈞</t>
  </si>
  <si>
    <t xml:space="preserve">曾嘉茵</t>
  </si>
  <si>
    <t xml:space="preserve">私立文軒文理短期補習班</t>
  </si>
  <si>
    <r>
      <rPr>
        <sz val="10"/>
        <color rgb="FF1F2A28"/>
        <rFont val="WenQuanYi Zen Hei"/>
        <family val="2"/>
      </rPr>
      <t xml:space="preserve">土城區金城路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251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</si>
  <si>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(02)2270-6090</t>
  </si>
  <si>
    <t xml:space="preserve">2005-05-19</t>
  </si>
  <si>
    <t xml:space="preserve">陳信安</t>
  </si>
  <si>
    <t xml:space="preserve">余怡君</t>
  </si>
  <si>
    <t xml:space="preserve">私立旗揚珠心算文理語文技藝短期補習班</t>
  </si>
  <si>
    <r>
      <rPr>
        <sz val="10"/>
        <color rgb="FF1F2A28"/>
        <rFont val="WenQuanYi Zen Hei"/>
        <family val="2"/>
      </rPr>
      <t xml:space="preserve">土城區延和路</t>
    </r>
    <r>
      <rPr>
        <sz val="10"/>
        <color rgb="FF1F2A28"/>
        <rFont val="Arial"/>
        <family val="0"/>
        <charset val="1"/>
      </rPr>
      <t xml:space="preserve">38</t>
    </r>
    <r>
      <rPr>
        <sz val="10"/>
        <color rgb="FF1F2A28"/>
        <rFont val="WenQuanYi Zen Hei"/>
        <family val="2"/>
      </rPr>
      <t xml:space="preserve">及</t>
    </r>
    <r>
      <rPr>
        <sz val="10"/>
        <color rgb="FF1F2A28"/>
        <rFont val="Arial"/>
        <family val="0"/>
        <charset val="1"/>
      </rPr>
      <t xml:space="preserve">40</t>
    </r>
    <r>
      <rPr>
        <sz val="10"/>
        <color rgb="FF1F2A28"/>
        <rFont val="WenQuanYi Zen Hei"/>
        <family val="2"/>
      </rPr>
      <t xml:space="preserve">號各</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</si>
  <si>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(02)22631777</t>
  </si>
  <si>
    <t xml:space="preserve">a22631777@gmail.com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</si>
  <si>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</si>
  <si>
    <t xml:space="preserve">2002-09-23</t>
  </si>
  <si>
    <t xml:space="preserve">李淑貞</t>
  </si>
  <si>
    <t xml:space="preserve">杜麗琴</t>
  </si>
  <si>
    <t xml:space="preserve">私立樹德文理語文短期補習班</t>
  </si>
  <si>
    <r>
      <rPr>
        <sz val="10"/>
        <color rgb="FF1F2A28"/>
        <rFont val="WenQuanYi Zen Hei"/>
        <family val="2"/>
      </rPr>
      <t xml:space="preserve">土城區裕民路</t>
    </r>
    <r>
      <rPr>
        <sz val="10"/>
        <color rgb="FF1F2A28"/>
        <rFont val="Arial"/>
        <family val="0"/>
        <charset val="1"/>
      </rPr>
      <t xml:space="preserve">114</t>
    </r>
    <r>
      <rPr>
        <sz val="10"/>
        <color rgb="FF1F2A28"/>
        <rFont val="WenQuanYi Zen Hei"/>
        <family val="2"/>
      </rPr>
      <t xml:space="preserve">巷</t>
    </r>
    <r>
      <rPr>
        <sz val="10"/>
        <color rgb="FF1F2A28"/>
        <rFont val="Arial"/>
        <family val="0"/>
        <charset val="1"/>
      </rPr>
      <t xml:space="preserve">31</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</si>
  <si>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(02)2270-3828</t>
  </si>
  <si>
    <t xml:space="preserve">shuder88601@gmail.com</t>
  </si>
  <si>
    <t xml:space="preserve">2010-11-29</t>
  </si>
  <si>
    <t xml:space="preserve">吳美玲</t>
  </si>
  <si>
    <t xml:space="preserve">李珮汝</t>
  </si>
  <si>
    <t xml:space="preserve">私立樺老師英語短期補習班</t>
  </si>
  <si>
    <r>
      <rPr>
        <sz val="10"/>
        <color rgb="FF1F2A28"/>
        <rFont val="WenQuanYi Zen Hei"/>
        <family val="2"/>
      </rPr>
      <t xml:space="preserve">土城區金城路三段</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</si>
  <si>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(02)82733811</t>
  </si>
  <si>
    <t xml:space="preserve">dianes168@gmail.com</t>
  </si>
  <si>
    <t xml:space="preserve">2004-04-02</t>
  </si>
  <si>
    <t xml:space="preserve">鄒彥華</t>
  </si>
  <si>
    <t xml:space="preserve">私立正化文理語文短期補習班</t>
  </si>
  <si>
    <r>
      <rPr>
        <sz val="10"/>
        <color rgb="FF1F2A28"/>
        <rFont val="WenQuanYi Zen Hei"/>
        <family val="2"/>
      </rPr>
      <t xml:space="preserve">土城區清水路</t>
    </r>
    <r>
      <rPr>
        <sz val="10"/>
        <color rgb="FF1F2A28"/>
        <rFont val="Arial"/>
        <family val="0"/>
        <charset val="1"/>
      </rPr>
      <t xml:space="preserve">209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</si>
  <si>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(02)2262-6769</t>
  </si>
  <si>
    <t xml:space="preserve">BB094@joy.com.tw</t>
  </si>
  <si>
    <t xml:space="preserve">2009-02-11</t>
  </si>
  <si>
    <t xml:space="preserve">黃美華</t>
  </si>
  <si>
    <t xml:space="preserve">羅美鈴</t>
  </si>
  <si>
    <t xml:space="preserve">私立泰瑞莎文理語文短期補習班</t>
  </si>
  <si>
    <r>
      <rPr>
        <sz val="10"/>
        <color rgb="FF1F2A28"/>
        <rFont val="WenQuanYi Zen Hei"/>
        <family val="2"/>
      </rPr>
      <t xml:space="preserve">土城區明德路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199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201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</si>
  <si>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(02)2264-0456</t>
  </si>
  <si>
    <t xml:space="preserve">chen21@hotmail.com</t>
  </si>
  <si>
    <t xml:space="preserve">2004-11-12</t>
  </si>
  <si>
    <t xml:space="preserve">陳瑩珍</t>
  </si>
  <si>
    <t xml:space="preserve">私立清華瀚翔文理語文短期補習班</t>
  </si>
  <si>
    <r>
      <rPr>
        <sz val="10"/>
        <color rgb="FF1F2A28"/>
        <rFont val="WenQuanYi Zen Hei"/>
        <family val="2"/>
      </rPr>
      <t xml:space="preserve">土城區忠義路</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32</t>
    </r>
    <r>
      <rPr>
        <sz val="10"/>
        <color rgb="FF1F2A28"/>
        <rFont val="WenQuanYi Zen Hei"/>
        <family val="2"/>
      </rPr>
      <t xml:space="preserve">號各</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</si>
  <si>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(02)22685267</t>
  </si>
  <si>
    <t xml:space="preserve">sammilin_momo@yahoo.com.tw</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</si>
  <si>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國、英、數、理</t>
    </r>
    <r>
      <rPr>
        <sz val="10"/>
        <color rgb="FF1F2A28"/>
        <rFont val="Arial"/>
        <family val="0"/>
        <charset val="1"/>
      </rPr>
      <t xml:space="preserve">)</t>
    </r>
  </si>
  <si>
    <t xml:space="preserve">2011-05-10</t>
  </si>
  <si>
    <t xml:space="preserve">陳秀清</t>
  </si>
  <si>
    <t xml:space="preserve">私立瀚翔文理語文短期補習班</t>
  </si>
  <si>
    <r>
      <rPr>
        <sz val="10"/>
        <color rgb="FF1F2A28"/>
        <rFont val="WenQuanYi Zen Hei"/>
        <family val="2"/>
      </rPr>
      <t xml:space="preserve">土城區中央路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191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</si>
  <si>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(02)22685260</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</si>
  <si>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國文、英文、數學、自然與生活科技、社會</t>
    </r>
    <r>
      <rPr>
        <sz val="10"/>
        <color rgb="FF1F2A28"/>
        <rFont val="Arial"/>
        <family val="0"/>
        <charset val="1"/>
      </rPr>
      <t xml:space="preserve">)</t>
    </r>
  </si>
  <si>
    <t xml:space="preserve">2012-09-26</t>
  </si>
  <si>
    <t xml:space="preserve">張裕波</t>
  </si>
  <si>
    <t xml:space="preserve">私立田馥真寶貝熊文理短期補習班</t>
  </si>
  <si>
    <r>
      <rPr>
        <sz val="10"/>
        <color rgb="FF1F2A28"/>
        <rFont val="WenQuanYi Zen Hei"/>
        <family val="2"/>
      </rPr>
      <t xml:space="preserve">土城區裕民路</t>
    </r>
    <r>
      <rPr>
        <sz val="10"/>
        <color rgb="FF1F2A28"/>
        <rFont val="Arial"/>
        <family val="0"/>
        <charset val="1"/>
      </rPr>
      <t xml:space="preserve">114</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</si>
  <si>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0970398333</t>
  </si>
  <si>
    <t xml:space="preserve">2024-09-03</t>
  </si>
  <si>
    <t xml:space="preserve">田雅涵</t>
  </si>
  <si>
    <t xml:space="preserve">林妍芝</t>
  </si>
  <si>
    <t xml:space="preserve">私立立登文理語文珠心算短期補習班</t>
  </si>
  <si>
    <r>
      <rPr>
        <sz val="10"/>
        <color rgb="FF1F2A28"/>
        <rFont val="WenQuanYi Zen Hei"/>
        <family val="2"/>
      </rPr>
      <t xml:space="preserve">土城區金城路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</si>
  <si>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(02)22609798</t>
  </si>
  <si>
    <t xml:space="preserve">peter630206@hotmail.com.tw</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</si>
  <si>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英語、數學、理化</t>
    </r>
    <r>
      <rPr>
        <sz val="10"/>
        <color rgb="FF1F2A28"/>
        <rFont val="Arial"/>
        <family val="0"/>
        <charset val="1"/>
      </rPr>
      <t xml:space="preserve">)</t>
    </r>
  </si>
  <si>
    <t xml:space="preserve">2010-09-02</t>
  </si>
  <si>
    <t xml:space="preserve">郭勝義</t>
  </si>
  <si>
    <t xml:space="preserve">私立耕圖語文文理短期補習班</t>
  </si>
  <si>
    <r>
      <rPr>
        <sz val="10"/>
        <color rgb="FF1F2A28"/>
        <rFont val="WenQuanYi Zen Hei"/>
        <family val="2"/>
      </rPr>
      <t xml:space="preserve">土城區青仁路</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</si>
  <si>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(02)82625591</t>
  </si>
  <si>
    <t xml:space="preserve">kao.fang@msa.hinet.net</t>
  </si>
  <si>
    <t xml:space="preserve">2015-08-11</t>
  </si>
  <si>
    <t xml:space="preserve">梁秀娥</t>
  </si>
  <si>
    <t xml:space="preserve">沈玼玎</t>
  </si>
  <si>
    <t xml:space="preserve">私立興華語文珠心算美術短期補習班</t>
  </si>
  <si>
    <r>
      <rPr>
        <sz val="10"/>
        <color rgb="FF1F2A28"/>
        <rFont val="WenQuanYi Zen Hei"/>
        <family val="2"/>
      </rPr>
      <t xml:space="preserve">土城區延和路</t>
    </r>
    <r>
      <rPr>
        <sz val="10"/>
        <color rgb="FF1F2A28"/>
        <rFont val="Arial"/>
        <family val="0"/>
        <charset val="1"/>
      </rPr>
      <t xml:space="preserve">180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</si>
  <si>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(02)2273--5233</t>
  </si>
  <si>
    <t xml:space="preserve">gc22735233@yahoo.com.tw</t>
  </si>
  <si>
    <t xml:space="preserve">2013-06-28</t>
  </si>
  <si>
    <t xml:space="preserve">焦婷</t>
  </si>
  <si>
    <t xml:space="preserve">張芳琴</t>
  </si>
  <si>
    <t xml:space="preserve">私立詠冠語文短期補習班</t>
  </si>
  <si>
    <r>
      <rPr>
        <sz val="10"/>
        <color rgb="FF1F2A28"/>
        <rFont val="WenQuanYi Zen Hei"/>
        <family val="2"/>
      </rPr>
      <t xml:space="preserve">土城區延和路</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</si>
  <si>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(02)22627766</t>
  </si>
  <si>
    <t xml:space="preserve">ashun950223@gmail.com</t>
  </si>
  <si>
    <t xml:space="preserve">2004-03-05</t>
  </si>
  <si>
    <t xml:space="preserve">黃彥騰</t>
  </si>
  <si>
    <t xml:space="preserve">私立豪萱語文短期補習班</t>
  </si>
  <si>
    <r>
      <rPr>
        <sz val="10"/>
        <color rgb="FF1F2A28"/>
        <rFont val="WenQuanYi Zen Hei"/>
        <family val="2"/>
      </rPr>
      <t xml:space="preserve">土城區延和路</t>
    </r>
    <r>
      <rPr>
        <sz val="10"/>
        <color rgb="FF1F2A28"/>
        <rFont val="Arial"/>
        <family val="0"/>
        <charset val="1"/>
      </rPr>
      <t xml:space="preserve">27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</si>
  <si>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(02)22736557</t>
  </si>
  <si>
    <t xml:space="preserve">2009-10-07</t>
  </si>
  <si>
    <t xml:space="preserve">蘇嫈雯</t>
  </si>
  <si>
    <t xml:space="preserve">夏玲玲</t>
  </si>
  <si>
    <t xml:space="preserve">私立領袖文理語文短期補習班</t>
  </si>
  <si>
    <r>
      <rPr>
        <sz val="10"/>
        <color rgb="FF1F2A28"/>
        <rFont val="WenQuanYi Zen Hei"/>
        <family val="2"/>
      </rPr>
      <t xml:space="preserve">土城區學成路</t>
    </r>
    <r>
      <rPr>
        <sz val="10"/>
        <color rgb="FF1F2A28"/>
        <rFont val="Arial"/>
        <family val="0"/>
        <charset val="1"/>
      </rPr>
      <t xml:space="preserve">96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樓及地下</t>
    </r>
    <r>
      <rPr>
        <sz val="10"/>
        <color rgb="FF1F2A28"/>
        <rFont val="Arial"/>
        <family val="0"/>
        <charset val="1"/>
      </rPr>
      <t xml:space="preserve">1</t>
    </r>
    <r>
      <rPr>
        <sz val="10"/>
        <color rgb="FF1F2A28"/>
        <rFont val="WenQuanYi Zen Hei"/>
        <family val="2"/>
      </rPr>
      <t xml:space="preserve">樓</t>
    </r>
  </si>
  <si>
    <t xml:space="preserve">(02)2263-1490</t>
  </si>
  <si>
    <t xml:space="preserve">2013-09-04</t>
  </si>
  <si>
    <t xml:space="preserve">吳桓</t>
  </si>
  <si>
    <t xml:space="preserve">簡敏安</t>
  </si>
  <si>
    <t xml:space="preserve">私立麥子電腦語文短期補習班</t>
  </si>
  <si>
    <r>
      <rPr>
        <sz val="10"/>
        <color rgb="FF1F2A28"/>
        <rFont val="WenQuanYi Zen Hei"/>
        <family val="2"/>
      </rPr>
      <t xml:space="preserve">土城區裕民路</t>
    </r>
    <r>
      <rPr>
        <sz val="10"/>
        <color rgb="FF1F2A28"/>
        <rFont val="Arial"/>
        <family val="0"/>
        <charset val="1"/>
      </rPr>
      <t xml:space="preserve">187</t>
    </r>
    <r>
      <rPr>
        <sz val="10"/>
        <color rgb="FF1F2A28"/>
        <rFont val="WenQuanYi Zen Hei"/>
        <family val="2"/>
      </rPr>
      <t xml:space="preserve">、</t>
    </r>
    <r>
      <rPr>
        <sz val="10"/>
        <color rgb="FF1F2A28"/>
        <rFont val="Arial"/>
        <family val="0"/>
        <charset val="1"/>
      </rPr>
      <t xml:space="preserve">189</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</si>
  <si>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(02)22708877</t>
  </si>
  <si>
    <t xml:space="preserve">myteam.english@msa.hinet.net</t>
  </si>
  <si>
    <t xml:space="preserve">楊美君</t>
  </si>
  <si>
    <t xml:space="preserve">科凡語文短期補習班</t>
  </si>
  <si>
    <r>
      <rPr>
        <sz val="10"/>
        <color rgb="FF1F2A28"/>
        <rFont val="WenQuanYi Zen Hei"/>
        <family val="2"/>
      </rPr>
      <t xml:space="preserve">土城區廣興街</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</si>
  <si>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(02)89663355</t>
  </si>
  <si>
    <t xml:space="preserve">applelo1@hotmail.com</t>
  </si>
  <si>
    <t xml:space="preserve">羅芷梨</t>
  </si>
  <si>
    <t xml:space="preserve">新店區</t>
  </si>
  <si>
    <r>
      <rPr>
        <sz val="10"/>
        <color rgb="FF1F2A28"/>
        <rFont val="Arial"/>
        <family val="0"/>
        <charset val="1"/>
      </rPr>
      <t xml:space="preserve">Absoiute Jolly Academy </t>
    </r>
    <r>
      <rPr>
        <sz val="10"/>
        <color rgb="FF1F2A28"/>
        <rFont val="WenQuanYi Zen Hei"/>
        <family val="2"/>
      </rPr>
      <t xml:space="preserve">艾傑國際教育文理短期補習班</t>
    </r>
  </si>
  <si>
    <r>
      <rPr>
        <sz val="10"/>
        <color rgb="FF1F2A28"/>
        <rFont val="WenQuanYi Zen Hei"/>
        <family val="2"/>
      </rPr>
      <t xml:space="preserve">新店區青山路</t>
    </r>
    <r>
      <rPr>
        <sz val="10"/>
        <color rgb="FF1F2A28"/>
        <rFont val="Arial"/>
        <family val="0"/>
        <charset val="1"/>
      </rPr>
      <t xml:space="preserve">158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</si>
  <si>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(02)8211-1788</t>
  </si>
  <si>
    <t xml:space="preserve">team@dreampexeducation.com</t>
  </si>
  <si>
    <t xml:space="preserve">林家瑜</t>
  </si>
  <si>
    <t xml:space="preserve">何嘉仁文教事業股份有限公司附設私立嘉康文理短期補習班</t>
  </si>
  <si>
    <r>
      <rPr>
        <sz val="10"/>
        <color rgb="FF1F2A28"/>
        <rFont val="WenQuanYi Zen Hei"/>
        <family val="2"/>
      </rPr>
      <t xml:space="preserve">新店區安德街</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樓、安康路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130</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</si>
  <si>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(02)22126491</t>
  </si>
  <si>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秦鴻筠</t>
    </r>
  </si>
  <si>
    <t xml:space="preserve">劉懿瑩</t>
  </si>
  <si>
    <t xml:space="preserve">前鋒文理短期補習班</t>
  </si>
  <si>
    <r>
      <rPr>
        <sz val="10"/>
        <color rgb="FF1F2A28"/>
        <rFont val="WenQuanYi Zen Hei"/>
        <family val="2"/>
      </rPr>
      <t xml:space="preserve">新店區安康路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148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150</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</si>
  <si>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0955191956</t>
  </si>
  <si>
    <t xml:space="preserve">2005-09-13</t>
  </si>
  <si>
    <t xml:space="preserve">李佳瑾</t>
  </si>
  <si>
    <t xml:space="preserve">力學文理語文短期補習班</t>
  </si>
  <si>
    <r>
      <rPr>
        <sz val="10"/>
        <color rgb="FF1F2A28"/>
        <rFont val="WenQuanYi Zen Hei"/>
        <family val="2"/>
      </rPr>
      <t xml:space="preserve">新店區中華路</t>
    </r>
    <r>
      <rPr>
        <sz val="10"/>
        <color rgb="FF1F2A28"/>
        <rFont val="Arial"/>
        <family val="0"/>
        <charset val="1"/>
      </rPr>
      <t xml:space="preserve">54</t>
    </r>
    <r>
      <rPr>
        <sz val="10"/>
        <color rgb="FF1F2A28"/>
        <rFont val="WenQuanYi Zen Hei"/>
        <family val="2"/>
      </rPr>
      <t xml:space="preserve">巷</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</si>
  <si>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(02)29101961</t>
  </si>
  <si>
    <t xml:space="preserve">powerstudy22@gmail.com</t>
  </si>
  <si>
    <t xml:space="preserve">美語、英、數、理</t>
  </si>
  <si>
    <t xml:space="preserve">2015-08-24</t>
  </si>
  <si>
    <t xml:space="preserve">吳佳琪</t>
  </si>
  <si>
    <r>
      <rPr>
        <sz val="10"/>
        <color rgb="FF1F2A28"/>
        <rFont val="WenQuanYi Zen Hei"/>
        <family val="2"/>
      </rPr>
      <t xml:space="preserve">台灣拓人教育事業股份有限公司附設拓人</t>
    </r>
    <r>
      <rPr>
        <sz val="10"/>
        <color rgb="FF1F2A28"/>
        <rFont val="Arial"/>
        <family val="0"/>
        <charset val="1"/>
      </rPr>
      <t xml:space="preserve">5</t>
    </r>
    <r>
      <rPr>
        <sz val="10"/>
        <color rgb="FF1F2A28"/>
        <rFont val="WenQuanYi Zen Hei"/>
        <family val="2"/>
      </rPr>
      <t xml:space="preserve">文理語文短期補習班</t>
    </r>
  </si>
  <si>
    <r>
      <rPr>
        <sz val="10"/>
        <color rgb="FF1F2A28"/>
        <rFont val="WenQuanYi Zen Hei"/>
        <family val="2"/>
      </rPr>
      <t xml:space="preserve">新店區中興路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248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</si>
  <si>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(02)86650008</t>
  </si>
  <si>
    <t xml:space="preserve">2009-12-18</t>
  </si>
  <si>
    <t xml:space="preserve">葉虹秀</t>
  </si>
  <si>
    <t xml:space="preserve">嘉民語文文理短期補習班</t>
  </si>
  <si>
    <r>
      <rPr>
        <sz val="10"/>
        <color rgb="FF1F2A28"/>
        <rFont val="WenQuanYi Zen Hei"/>
        <family val="2"/>
      </rPr>
      <t xml:space="preserve">新店區三民路</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22</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22</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</si>
  <si>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(02)2918-1056</t>
  </si>
  <si>
    <t xml:space="preserve">hs2217@hess.com.tw</t>
  </si>
  <si>
    <t xml:space="preserve">2015-08-27</t>
  </si>
  <si>
    <t xml:space="preserve">劉雅雯</t>
  </si>
  <si>
    <t xml:space="preserve">陳詩薇</t>
  </si>
  <si>
    <t xml:space="preserve">好好語文文理短期補習班</t>
  </si>
  <si>
    <r>
      <rPr>
        <sz val="10"/>
        <color rgb="FF1F2A28"/>
        <rFont val="WenQuanYi Zen Hei"/>
        <family val="2"/>
      </rPr>
      <t xml:space="preserve">新店區達觀路</t>
    </r>
    <r>
      <rPr>
        <sz val="10"/>
        <color rgb="FF1F2A28"/>
        <rFont val="Arial"/>
        <family val="0"/>
        <charset val="1"/>
      </rPr>
      <t xml:space="preserve">6</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樓、地下</t>
    </r>
    <r>
      <rPr>
        <sz val="10"/>
        <color rgb="FF1F2A28"/>
        <rFont val="Arial"/>
        <family val="0"/>
        <charset val="1"/>
      </rPr>
      <t xml:space="preserve">1</t>
    </r>
    <r>
      <rPr>
        <sz val="10"/>
        <color rgb="FF1F2A28"/>
        <rFont val="WenQuanYi Zen Hei"/>
        <family val="2"/>
      </rPr>
      <t xml:space="preserve">樓之</t>
    </r>
    <r>
      <rPr>
        <sz val="10"/>
        <color rgb="FF1F2A28"/>
        <rFont val="Arial"/>
        <family val="0"/>
        <charset val="1"/>
      </rPr>
      <t xml:space="preserve">1</t>
    </r>
  </si>
  <si>
    <t xml:space="preserve">(02)2213-5960</t>
  </si>
  <si>
    <t xml:space="preserve">hbjimmy@ms21.hinet.net</t>
  </si>
  <si>
    <t xml:space="preserve">2013-06-17</t>
  </si>
  <si>
    <t xml:space="preserve">張沛縈</t>
  </si>
  <si>
    <t xml:space="preserve">張浚洧</t>
  </si>
  <si>
    <t xml:space="preserve">安祐語文短期補習班</t>
  </si>
  <si>
    <r>
      <rPr>
        <sz val="10"/>
        <color rgb="FF1F2A28"/>
        <rFont val="WenQuanYi Zen Hei"/>
        <family val="2"/>
      </rPr>
      <t xml:space="preserve">新店區安和路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134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</si>
  <si>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(02)89432271</t>
  </si>
  <si>
    <t xml:space="preserve">2005-01-03</t>
  </si>
  <si>
    <t xml:space="preserve">林曉菁</t>
  </si>
  <si>
    <t xml:space="preserve">林子傑</t>
  </si>
  <si>
    <t xml:space="preserve">巨匠電腦股份有限公司附設私立巨匠北新文理技藝短期補習班</t>
  </si>
  <si>
    <r>
      <rPr>
        <sz val="10"/>
        <color rgb="FF1F2A28"/>
        <rFont val="WenQuanYi Zen Hei"/>
        <family val="2"/>
      </rPr>
      <t xml:space="preserve">新店區北新路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89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</si>
  <si>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(02)2911-0886</t>
  </si>
  <si>
    <t xml:space="preserve">KZ_mailbox@pcschool.com.tw</t>
  </si>
  <si>
    <t xml:space="preserve">2013-12-19</t>
  </si>
  <si>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鍾梁權</t>
    </r>
  </si>
  <si>
    <t xml:space="preserve">羅玉晴</t>
  </si>
  <si>
    <t xml:space="preserve">橙果語文文理短期補習班</t>
  </si>
  <si>
    <r>
      <rPr>
        <sz val="10"/>
        <color rgb="FF1F2A28"/>
        <rFont val="WenQuanYi Zen Hei"/>
        <family val="2"/>
      </rPr>
      <t xml:space="preserve">新店區永華街</t>
    </r>
    <r>
      <rPr>
        <sz val="10"/>
        <color rgb="FF1F2A28"/>
        <rFont val="Arial"/>
        <family val="0"/>
        <charset val="1"/>
      </rPr>
      <t xml:space="preserve">55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</si>
  <si>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(02)2917-8822</t>
  </si>
  <si>
    <t xml:space="preserve">ach1001188@gmail.com</t>
  </si>
  <si>
    <t xml:space="preserve">2011-12-19</t>
  </si>
  <si>
    <t xml:space="preserve">饒思丞</t>
  </si>
  <si>
    <t xml:space="preserve">漢光語文短期補習班</t>
  </si>
  <si>
    <r>
      <rPr>
        <sz val="10"/>
        <color rgb="FF1F2A28"/>
        <rFont val="WenQuanYi Zen Hei"/>
        <family val="2"/>
      </rPr>
      <t xml:space="preserve">新店區安康路三段</t>
    </r>
    <r>
      <rPr>
        <sz val="10"/>
        <color rgb="FF1F2A28"/>
        <rFont val="Arial"/>
        <family val="0"/>
        <charset val="1"/>
      </rPr>
      <t xml:space="preserve">275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</si>
  <si>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(02)22157938</t>
  </si>
  <si>
    <t xml:space="preserve">a22157938@gmail.com</t>
  </si>
  <si>
    <t xml:space="preserve">游麗珍</t>
  </si>
  <si>
    <t xml:space="preserve">炫媽咪語文短期補習班</t>
  </si>
  <si>
    <r>
      <rPr>
        <sz val="10"/>
        <color rgb="FF1F2A28"/>
        <rFont val="WenQuanYi Zen Hei"/>
        <family val="2"/>
      </rPr>
      <t xml:space="preserve">新店區中興路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201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</si>
  <si>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(02)8911-2955</t>
  </si>
  <si>
    <t xml:space="preserve">2013-09-16</t>
  </si>
  <si>
    <t xml:space="preserve">李曼莉</t>
  </si>
  <si>
    <t xml:space="preserve">莊然欣</t>
  </si>
  <si>
    <t xml:space="preserve">牛津橋美語短期補習班</t>
  </si>
  <si>
    <r>
      <rPr>
        <sz val="10"/>
        <color rgb="FF1F2A28"/>
        <rFont val="WenQuanYi Zen Hei"/>
        <family val="2"/>
      </rPr>
      <t xml:space="preserve">新店區中興路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168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</si>
  <si>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(02)29161930</t>
  </si>
  <si>
    <t xml:space="preserve">2005-07-12</t>
  </si>
  <si>
    <t xml:space="preserve">陳鍵文</t>
  </si>
  <si>
    <t xml:space="preserve">睿智七張語文短期補習班</t>
  </si>
  <si>
    <r>
      <rPr>
        <sz val="10"/>
        <color rgb="FF1F2A28"/>
        <rFont val="WenQuanYi Zen Hei"/>
        <family val="2"/>
      </rPr>
      <t xml:space="preserve">新店區北新路二段</t>
    </r>
    <r>
      <rPr>
        <sz val="10"/>
        <color rgb="FF1F2A28"/>
        <rFont val="Arial"/>
        <family val="0"/>
        <charset val="1"/>
      </rPr>
      <t xml:space="preserve">230</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號地下一層之</t>
    </r>
    <r>
      <rPr>
        <sz val="10"/>
        <color rgb="FF1F2A28"/>
        <rFont val="Arial"/>
        <family val="0"/>
        <charset val="1"/>
      </rPr>
      <t xml:space="preserve">3</t>
    </r>
    <r>
      <rPr>
        <sz val="10"/>
        <color rgb="FF1F2A28"/>
        <rFont val="WenQuanYi Zen Hei"/>
        <family val="2"/>
      </rPr>
      <t xml:space="preserve">、之</t>
    </r>
    <r>
      <rPr>
        <sz val="10"/>
        <color rgb="FF1F2A28"/>
        <rFont val="Arial"/>
        <family val="0"/>
        <charset val="1"/>
      </rPr>
      <t xml:space="preserve">4</t>
    </r>
    <r>
      <rPr>
        <sz val="10"/>
        <color rgb="FF1F2A28"/>
        <rFont val="WenQuanYi Zen Hei"/>
        <family val="2"/>
      </rPr>
      <t xml:space="preserve">、之</t>
    </r>
    <r>
      <rPr>
        <sz val="10"/>
        <color rgb="FF1F2A28"/>
        <rFont val="Arial"/>
        <family val="0"/>
        <charset val="1"/>
      </rPr>
      <t xml:space="preserve">5</t>
    </r>
  </si>
  <si>
    <t xml:space="preserve">(02)29140800</t>
  </si>
  <si>
    <t xml:space="preserve">hsintienaces@gmail.com</t>
  </si>
  <si>
    <t xml:space="preserve">2008-10-11</t>
  </si>
  <si>
    <t xml:space="preserve">唐睿哲</t>
  </si>
  <si>
    <t xml:space="preserve">蘇倩儀</t>
  </si>
  <si>
    <t xml:space="preserve">私立三之三語文短期補習班</t>
  </si>
  <si>
    <r>
      <rPr>
        <sz val="10"/>
        <color rgb="FF1F2A28"/>
        <rFont val="WenQuanYi Zen Hei"/>
        <family val="2"/>
      </rPr>
      <t xml:space="preserve">新店區北宜路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</si>
  <si>
    <t xml:space="preserve">(02)8665-9872</t>
  </si>
  <si>
    <t xml:space="preserve">jpatty5959@yahoo.com.tw</t>
  </si>
  <si>
    <t xml:space="preserve">2010-12-23</t>
  </si>
  <si>
    <t xml:space="preserve">黃淑芬</t>
  </si>
  <si>
    <t xml:space="preserve">私立傳龍珠心算美語技藝短期補習班</t>
  </si>
  <si>
    <r>
      <rPr>
        <sz val="10"/>
        <color rgb="FF1F2A28"/>
        <rFont val="WenQuanYi Zen Hei"/>
        <family val="2"/>
      </rPr>
      <t xml:space="preserve">新店區中正路</t>
    </r>
    <r>
      <rPr>
        <sz val="10"/>
        <color rgb="FF1F2A28"/>
        <rFont val="Arial"/>
        <family val="0"/>
        <charset val="1"/>
      </rPr>
      <t xml:space="preserve">117</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</si>
  <si>
    <t xml:space="preserve">(02)29181878</t>
  </si>
  <si>
    <t xml:space="preserve">gl777email@gmail.com</t>
  </si>
  <si>
    <t xml:space="preserve">2008-10-22</t>
  </si>
  <si>
    <t xml:space="preserve">私立冠銘語文短期補習班</t>
  </si>
  <si>
    <r>
      <rPr>
        <sz val="10"/>
        <color rgb="FF1F2A28"/>
        <rFont val="WenQuanYi Zen Hei"/>
        <family val="2"/>
      </rPr>
      <t xml:space="preserve">新店區建國路</t>
    </r>
    <r>
      <rPr>
        <sz val="10"/>
        <color rgb="FF1F2A28"/>
        <rFont val="Arial"/>
        <family val="0"/>
        <charset val="1"/>
      </rPr>
      <t xml:space="preserve">150</t>
    </r>
    <r>
      <rPr>
        <sz val="10"/>
        <color rgb="FF1F2A28"/>
        <rFont val="WenQuanYi Zen Hei"/>
        <family val="2"/>
      </rPr>
      <t xml:space="preserve">號、</t>
    </r>
    <r>
      <rPr>
        <sz val="10"/>
        <color rgb="FF1F2A28"/>
        <rFont val="Arial"/>
        <family val="0"/>
        <charset val="1"/>
      </rPr>
      <t xml:space="preserve">150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</si>
  <si>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(02)86653558</t>
  </si>
  <si>
    <t xml:space="preserve">judy168_wu@hotmail.com</t>
  </si>
  <si>
    <t xml:space="preserve">2007-09-26</t>
  </si>
  <si>
    <t xml:space="preserve">李芳慈</t>
  </si>
  <si>
    <t xml:space="preserve">私立冠馳語文短期補習班</t>
  </si>
  <si>
    <r>
      <rPr>
        <sz val="10"/>
        <color rgb="FF1F2A28"/>
        <rFont val="WenQuanYi Zen Hei"/>
        <family val="2"/>
      </rPr>
      <t xml:space="preserve">新店區二十張路</t>
    </r>
    <r>
      <rPr>
        <sz val="10"/>
        <color rgb="FF1F2A28"/>
        <rFont val="Arial"/>
        <family val="0"/>
        <charset val="1"/>
      </rPr>
      <t xml:space="preserve">93</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與</t>
    </r>
    <r>
      <rPr>
        <sz val="10"/>
        <color rgb="FF1F2A28"/>
        <rFont val="Arial"/>
        <family val="0"/>
        <charset val="1"/>
      </rPr>
      <t xml:space="preserve">91</t>
    </r>
    <r>
      <rPr>
        <sz val="10"/>
        <color rgb="FF1F2A28"/>
        <rFont val="WenQuanYi Zen Hei"/>
        <family val="2"/>
      </rPr>
      <t xml:space="preserve">號合併</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95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樓、自立街</t>
    </r>
    <r>
      <rPr>
        <sz val="10"/>
        <color rgb="FF1F2A28"/>
        <rFont val="Arial"/>
        <family val="0"/>
        <charset val="1"/>
      </rPr>
      <t xml:space="preserve">45</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</si>
  <si>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2011-06-24</t>
  </si>
  <si>
    <t xml:space="preserve">吳淑惠</t>
  </si>
  <si>
    <t xml:space="preserve">張鴻仁</t>
  </si>
  <si>
    <t xml:space="preserve">私立冠龍語文短期補習班</t>
  </si>
  <si>
    <r>
      <rPr>
        <sz val="10"/>
        <color rgb="FF1F2A28"/>
        <rFont val="WenQuanYi Zen Hei"/>
        <family val="2"/>
      </rPr>
      <t xml:space="preserve">新店區建國路</t>
    </r>
    <r>
      <rPr>
        <sz val="10"/>
        <color rgb="FF1F2A28"/>
        <rFont val="Arial"/>
        <family val="0"/>
        <charset val="1"/>
      </rPr>
      <t xml:space="preserve">150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</si>
  <si>
    <t xml:space="preserve">02-86653558</t>
  </si>
  <si>
    <t xml:space="preserve">2006-01-24</t>
  </si>
  <si>
    <t xml:space="preserve">私立博安美語電腦文理技藝短期補習班</t>
  </si>
  <si>
    <r>
      <rPr>
        <sz val="10"/>
        <color rgb="FF1F2A28"/>
        <rFont val="WenQuanYi Zen Hei"/>
        <family val="2"/>
      </rPr>
      <t xml:space="preserve">新店區光華街</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</si>
  <si>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(02)22112577</t>
  </si>
  <si>
    <t xml:space="preserve">annleewang@hotmail.com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</si>
  <si>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英文、自然</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</si>
  <si>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其他類</t>
    </r>
  </si>
  <si>
    <t xml:space="preserve">2008-03-20</t>
  </si>
  <si>
    <t xml:space="preserve">王邑媗</t>
  </si>
  <si>
    <t xml:space="preserve">楊尚昱</t>
  </si>
  <si>
    <t xml:space="preserve">私立吉尼語文短期補習班</t>
  </si>
  <si>
    <r>
      <rPr>
        <sz val="10"/>
        <color rgb="FF1F2A28"/>
        <rFont val="WenQuanYi Zen Hei"/>
        <family val="2"/>
      </rPr>
      <t xml:space="preserve">新店區中華路</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</si>
  <si>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(02)29106606</t>
  </si>
  <si>
    <t xml:space="preserve">ginischool@yahoo.com.tw</t>
  </si>
  <si>
    <t xml:space="preserve">2003-10-28</t>
  </si>
  <si>
    <t xml:space="preserve">張亶飛寶鳥</t>
  </si>
  <si>
    <t xml:space="preserve">私立向日葵學苑文理美語短期補習班</t>
  </si>
  <si>
    <r>
      <rPr>
        <sz val="10"/>
        <color rgb="FF1F2A28"/>
        <rFont val="WenQuanYi Zen Hei"/>
        <family val="2"/>
      </rPr>
      <t xml:space="preserve">新店區北宜路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123</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</si>
  <si>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(02)2917-1223</t>
  </si>
  <si>
    <t xml:space="preserve">2014-02-27</t>
  </si>
  <si>
    <t xml:space="preserve">陳純良</t>
  </si>
  <si>
    <t xml:space="preserve">私立喬依斯語文短期補習班</t>
  </si>
  <si>
    <r>
      <rPr>
        <sz val="10"/>
        <color rgb="FF1F2A28"/>
        <rFont val="WenQuanYi Zen Hei"/>
        <family val="2"/>
      </rPr>
      <t xml:space="preserve">新店區安民街</t>
    </r>
    <r>
      <rPr>
        <sz val="10"/>
        <color rgb="FF1F2A28"/>
        <rFont val="Arial"/>
        <family val="0"/>
        <charset val="1"/>
      </rPr>
      <t xml:space="preserve">139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、地下</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</si>
  <si>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(02)22123340</t>
  </si>
  <si>
    <t xml:space="preserve">2007-09-03</t>
  </si>
  <si>
    <t xml:space="preserve">張亦芬</t>
  </si>
  <si>
    <t xml:space="preserve">私立威斯頓文理語文短期補習班</t>
  </si>
  <si>
    <r>
      <rPr>
        <sz val="10"/>
        <color rgb="FF1F2A28"/>
        <rFont val="WenQuanYi Zen Hei"/>
        <family val="2"/>
      </rPr>
      <t xml:space="preserve">新店區三民路</t>
    </r>
    <r>
      <rPr>
        <sz val="10"/>
        <color rgb="FF1F2A28"/>
        <rFont val="Arial"/>
        <family val="0"/>
        <charset val="1"/>
      </rPr>
      <t xml:space="preserve">32-1</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</si>
  <si>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(02)2918-2346</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</si>
  <si>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國、英、數、自然、社會</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</si>
  <si>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1993-05-13</t>
  </si>
  <si>
    <t xml:space="preserve">馮志興</t>
  </si>
  <si>
    <t xml:space="preserve">馮正剛</t>
  </si>
  <si>
    <t xml:space="preserve">私立寶加尼文理美語短期補習班</t>
  </si>
  <si>
    <r>
      <rPr>
        <sz val="10"/>
        <color rgb="FF1F2A28"/>
        <rFont val="WenQuanYi Zen Hei"/>
        <family val="2"/>
      </rPr>
      <t xml:space="preserve">新店區安康路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149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</si>
  <si>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0911022697</t>
  </si>
  <si>
    <t xml:space="preserve">bonniehsu55@hotmail.com</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</si>
  <si>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t>
    </r>
    <r>
      <rPr>
        <sz val="10"/>
        <color rgb="FF1F2A28"/>
        <rFont val="Arial"/>
        <family val="0"/>
        <charset val="1"/>
      </rPr>
      <t xml:space="preserve">)</t>
    </r>
  </si>
  <si>
    <t xml:space="preserve">2007-08-08</t>
  </si>
  <si>
    <t xml:space="preserve">徐皓菁</t>
  </si>
  <si>
    <t xml:space="preserve">私立尼斯堡文理短期補習班</t>
  </si>
  <si>
    <r>
      <rPr>
        <sz val="10"/>
        <color rgb="FF1F2A28"/>
        <rFont val="WenQuanYi Zen Hei"/>
        <family val="2"/>
      </rPr>
      <t xml:space="preserve">新店區百忍街</t>
    </r>
    <r>
      <rPr>
        <sz val="10"/>
        <color rgb="FF1F2A28"/>
        <rFont val="Arial"/>
        <family val="0"/>
        <charset val="1"/>
      </rPr>
      <t xml:space="preserve">29</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弄</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</si>
  <si>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(02)8218-7139</t>
  </si>
  <si>
    <t xml:space="preserve">nesburg82187139@yahoo.com.tw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</si>
  <si>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英文、國文、數學、自然與生活科技</t>
    </r>
    <r>
      <rPr>
        <sz val="10"/>
        <color rgb="FF1F2A28"/>
        <rFont val="Arial"/>
        <family val="0"/>
        <charset val="1"/>
      </rPr>
      <t xml:space="preserve">)</t>
    </r>
  </si>
  <si>
    <t xml:space="preserve">2008-06-09</t>
  </si>
  <si>
    <t xml:space="preserve">劉子緯</t>
  </si>
  <si>
    <t xml:space="preserve">私立快樂美樂蒂美語短期補習班</t>
  </si>
  <si>
    <r>
      <rPr>
        <sz val="10"/>
        <color rgb="FF1F2A28"/>
        <rFont val="WenQuanYi Zen Hei"/>
        <family val="2"/>
      </rPr>
      <t xml:space="preserve">新店區北宜路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82</t>
    </r>
    <r>
      <rPr>
        <sz val="10"/>
        <color rgb="FF1F2A28"/>
        <rFont val="WenQuanYi Zen Hei"/>
        <family val="2"/>
      </rPr>
      <t xml:space="preserve">之</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樓及地下</t>
    </r>
    <r>
      <rPr>
        <sz val="10"/>
        <color rgb="FF1F2A28"/>
        <rFont val="Arial"/>
        <family val="0"/>
        <charset val="1"/>
      </rPr>
      <t xml:space="preserve">1</t>
    </r>
    <r>
      <rPr>
        <sz val="10"/>
        <color rgb="FF1F2A28"/>
        <rFont val="WenQuanYi Zen Hei"/>
        <family val="2"/>
      </rPr>
      <t xml:space="preserve">樓</t>
    </r>
  </si>
  <si>
    <t xml:space="preserve">(02)2217-4567</t>
  </si>
  <si>
    <t xml:space="preserve">shiping64@gmail.com</t>
  </si>
  <si>
    <t xml:space="preserve">陳京生</t>
  </si>
  <si>
    <t xml:space="preserve">私立成銘文理語文美術短期補習班</t>
  </si>
  <si>
    <r>
      <rPr>
        <sz val="10"/>
        <color rgb="FF1F2A28"/>
        <rFont val="WenQuanYi Zen Hei"/>
        <family val="2"/>
      </rPr>
      <t xml:space="preserve">新店區北宜路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124</t>
    </r>
    <r>
      <rPr>
        <sz val="10"/>
        <color rgb="FF1F2A28"/>
        <rFont val="WenQuanYi Zen Hei"/>
        <family val="2"/>
      </rPr>
      <t xml:space="preserve">、</t>
    </r>
    <r>
      <rPr>
        <sz val="10"/>
        <color rgb="FF1F2A28"/>
        <rFont val="Arial"/>
        <family val="0"/>
        <charset val="1"/>
      </rPr>
      <t xml:space="preserve">126</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各地下</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</si>
  <si>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(02)29122248</t>
  </si>
  <si>
    <t xml:space="preserve">chenminginnovation126@gmail.com</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</si>
  <si>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t>
    </r>
    <r>
      <rPr>
        <sz val="10"/>
        <color rgb="FF1F2A28"/>
        <rFont val="WenQuanYi Zen Hei"/>
        <family val="2"/>
      </rPr>
      <t xml:space="preserve">英、數</t>
    </r>
    <r>
      <rPr>
        <sz val="10"/>
        <color rgb="FF1F2A28"/>
        <rFont val="Arial"/>
        <family val="0"/>
        <charset val="1"/>
      </rPr>
      <t xml:space="preserve">)</t>
    </r>
  </si>
  <si>
    <t xml:space="preserve">2012-07-09</t>
  </si>
  <si>
    <t xml:space="preserve">鄭明珊</t>
  </si>
  <si>
    <t xml:space="preserve">私立捷思圓語文文理短期補習班</t>
  </si>
  <si>
    <r>
      <rPr>
        <sz val="10"/>
        <color rgb="FF1F2A28"/>
        <rFont val="WenQuanYi Zen Hei"/>
        <family val="2"/>
      </rPr>
      <t xml:space="preserve">新店區安康路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172</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</si>
  <si>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(02)86666443</t>
  </si>
  <si>
    <t xml:space="preserve">邱雨霞</t>
  </si>
  <si>
    <t xml:space="preserve">私立捷進英語會話短期補習班</t>
  </si>
  <si>
    <r>
      <rPr>
        <sz val="10"/>
        <color rgb="FF1F2A28"/>
        <rFont val="WenQuanYi Zen Hei"/>
        <family val="2"/>
      </rPr>
      <t xml:space="preserve">新店區北新路一段</t>
    </r>
    <r>
      <rPr>
        <sz val="10"/>
        <color rgb="FF1F2A28"/>
        <rFont val="Arial"/>
        <family val="0"/>
        <charset val="1"/>
      </rPr>
      <t xml:space="preserve">333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</si>
  <si>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(02)29189765</t>
  </si>
  <si>
    <t xml:space="preserve">sd@gram.com.tw</t>
  </si>
  <si>
    <t xml:space="preserve">1988-05-17</t>
  </si>
  <si>
    <t xml:space="preserve">李天輔</t>
  </si>
  <si>
    <t xml:space="preserve">私立新佳語文短期補習班</t>
  </si>
  <si>
    <r>
      <rPr>
        <sz val="10"/>
        <color rgb="FF1F2A28"/>
        <rFont val="WenQuanYi Zen Hei"/>
        <family val="2"/>
      </rPr>
      <t xml:space="preserve">新店區安和路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111</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</si>
  <si>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2947-5418</t>
  </si>
  <si>
    <t xml:space="preserve">koala_890520@yahoo.com.tw</t>
  </si>
  <si>
    <t xml:space="preserve">陳義培</t>
  </si>
  <si>
    <t xml:space="preserve">紀芊妤</t>
  </si>
  <si>
    <t xml:space="preserve">私立新田文理語文短期補習班</t>
  </si>
  <si>
    <r>
      <rPr>
        <sz val="10"/>
        <color rgb="FF1F2A28"/>
        <rFont val="WenQuanYi Zen Hei"/>
        <family val="2"/>
      </rPr>
      <t xml:space="preserve">新店區北新路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82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2</t>
    </r>
  </si>
  <si>
    <t xml:space="preserve">(02)89110011</t>
  </si>
  <si>
    <t xml:space="preserve">studygd66@yahoo.com.tw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</si>
  <si>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英文、數學、理化、國文、社會</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</si>
  <si>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2004-03-03</t>
  </si>
  <si>
    <t xml:space="preserve">賁采怡</t>
  </si>
  <si>
    <t xml:space="preserve">私立新視野文理短期補習班</t>
  </si>
  <si>
    <r>
      <rPr>
        <sz val="10"/>
        <color rgb="FF1F2A28"/>
        <rFont val="WenQuanYi Zen Hei"/>
        <family val="2"/>
      </rPr>
      <t xml:space="preserve">新店區北新路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251</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</si>
  <si>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0912679568</t>
  </si>
  <si>
    <t xml:space="preserve">2024-08-02</t>
  </si>
  <si>
    <t xml:space="preserve">詹富程</t>
  </si>
  <si>
    <t xml:space="preserve">私立新進階文理語文珠心算短期補習班</t>
  </si>
  <si>
    <r>
      <rPr>
        <sz val="10"/>
        <color rgb="FF1F2A28"/>
        <rFont val="WenQuanYi Zen Hei"/>
        <family val="2"/>
      </rPr>
      <t xml:space="preserve">新店區建國路</t>
    </r>
    <r>
      <rPr>
        <sz val="10"/>
        <color rgb="FF1F2A28"/>
        <rFont val="Arial"/>
        <family val="0"/>
        <charset val="1"/>
      </rPr>
      <t xml:space="preserve">156</t>
    </r>
    <r>
      <rPr>
        <sz val="10"/>
        <color rgb="FF1F2A28"/>
        <rFont val="WenQuanYi Zen Hei"/>
        <family val="2"/>
      </rPr>
      <t xml:space="preserve">、</t>
    </r>
    <r>
      <rPr>
        <sz val="10"/>
        <color rgb="FF1F2A28"/>
        <rFont val="Arial"/>
        <family val="0"/>
        <charset val="1"/>
      </rPr>
      <t xml:space="preserve">158</t>
    </r>
    <r>
      <rPr>
        <sz val="10"/>
        <color rgb="FF1F2A28"/>
        <rFont val="WenQuanYi Zen Hei"/>
        <family val="2"/>
      </rPr>
      <t xml:space="preserve">、</t>
    </r>
    <r>
      <rPr>
        <sz val="10"/>
        <color rgb="FF1F2A28"/>
        <rFont val="Arial"/>
        <family val="0"/>
        <charset val="1"/>
      </rPr>
      <t xml:space="preserve">160</t>
    </r>
    <r>
      <rPr>
        <sz val="10"/>
        <color rgb="FF1F2A28"/>
        <rFont val="WenQuanYi Zen Hei"/>
        <family val="2"/>
      </rPr>
      <t xml:space="preserve">、</t>
    </r>
    <r>
      <rPr>
        <sz val="10"/>
        <color rgb="FF1F2A28"/>
        <rFont val="Arial"/>
        <family val="0"/>
        <charset val="1"/>
      </rPr>
      <t xml:space="preserve">162</t>
    </r>
    <r>
      <rPr>
        <sz val="10"/>
        <color rgb="FF1F2A28"/>
        <rFont val="WenQuanYi Zen Hei"/>
        <family val="2"/>
      </rPr>
      <t xml:space="preserve">號各</t>
    </r>
    <r>
      <rPr>
        <sz val="10"/>
        <color rgb="FF1F2A28"/>
        <rFont val="Arial"/>
        <family val="0"/>
        <charset val="1"/>
      </rPr>
      <t xml:space="preserve">2</t>
    </r>
    <r>
      <rPr>
        <sz val="10"/>
        <color rgb="FF1F2A28"/>
        <rFont val="WenQuanYi Zen Hei"/>
        <family val="2"/>
      </rPr>
      <t xml:space="preserve">樓</t>
    </r>
  </si>
  <si>
    <t xml:space="preserve">02-2915-1307</t>
  </si>
  <si>
    <t xml:space="preserve">mnchen7@gmail.com</t>
  </si>
  <si>
    <t xml:space="preserve">英文、美語</t>
  </si>
  <si>
    <t xml:space="preserve">2015-06-17</t>
  </si>
  <si>
    <t xml:space="preserve">陳銘男</t>
  </si>
  <si>
    <t xml:space="preserve">游峯</t>
  </si>
  <si>
    <t xml:space="preserve">私立昕航美語電腦文理技藝短期補習班</t>
  </si>
  <si>
    <r>
      <rPr>
        <sz val="10"/>
        <color rgb="FF1F2A28"/>
        <rFont val="WenQuanYi Zen Hei"/>
        <family val="2"/>
      </rPr>
      <t xml:space="preserve">新店區安德街</t>
    </r>
    <r>
      <rPr>
        <sz val="10"/>
        <color rgb="FF1F2A28"/>
        <rFont val="Arial"/>
        <family val="0"/>
        <charset val="1"/>
      </rPr>
      <t xml:space="preserve">46</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46</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46</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</si>
  <si>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(02)22127278</t>
  </si>
  <si>
    <t xml:space="preserve">2002-04-16</t>
  </si>
  <si>
    <t xml:space="preserve">楊翌民</t>
  </si>
  <si>
    <t xml:space="preserve">張麗惠</t>
  </si>
  <si>
    <t xml:space="preserve">私立柏克萊文理短期補習班</t>
  </si>
  <si>
    <r>
      <rPr>
        <sz val="10"/>
        <color rgb="FF1F2A28"/>
        <rFont val="WenQuanYi Zen Hei"/>
        <family val="2"/>
      </rPr>
      <t xml:space="preserve">新店區永平街</t>
    </r>
    <r>
      <rPr>
        <sz val="10"/>
        <color rgb="FF1F2A28"/>
        <rFont val="Arial"/>
        <family val="0"/>
        <charset val="1"/>
      </rPr>
      <t xml:space="preserve">16</t>
    </r>
    <r>
      <rPr>
        <sz val="10"/>
        <color rgb="FF1F2A28"/>
        <rFont val="WenQuanYi Zen Hei"/>
        <family val="2"/>
      </rPr>
      <t xml:space="preserve">巷</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</si>
  <si>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(02)86689977</t>
  </si>
  <si>
    <t xml:space="preserve">ohn550829@gmail.com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</si>
  <si>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英文、數學</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國文、英文、數學、社會、自然</t>
    </r>
    <r>
      <rPr>
        <sz val="10"/>
        <color rgb="FF1F2A28"/>
        <rFont val="Arial"/>
        <family val="0"/>
        <charset val="1"/>
      </rPr>
      <t xml:space="preserve">)</t>
    </r>
  </si>
  <si>
    <t xml:space="preserve">2005-12-30</t>
  </si>
  <si>
    <t xml:space="preserve">林錫敦</t>
  </si>
  <si>
    <t xml:space="preserve">私立漢聲文理語文短期補習班</t>
  </si>
  <si>
    <r>
      <rPr>
        <sz val="10"/>
        <color rgb="FF1F2A28"/>
        <rFont val="WenQuanYi Zen Hei"/>
        <family val="2"/>
      </rPr>
      <t xml:space="preserve">新店區三民路</t>
    </r>
    <r>
      <rPr>
        <sz val="10"/>
        <color rgb="FF1F2A28"/>
        <rFont val="Arial"/>
        <family val="0"/>
        <charset val="1"/>
      </rPr>
      <t xml:space="preserve">34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</si>
  <si>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(02)29185000</t>
  </si>
  <si>
    <t xml:space="preserve">tsai0612@yahoo.com.tw</t>
  </si>
  <si>
    <r>
      <rPr>
        <sz val="10"/>
        <color rgb="FF1F2A28"/>
        <rFont val="Arial"/>
        <family val="0"/>
        <charset val="1"/>
      </rPr>
      <t xml:space="preserve">(</t>
    </r>
    <r>
      <rPr>
        <sz val="10"/>
        <color rgb="FF1F2A28"/>
        <rFont val="WenQuanYi Zen Hei"/>
        <family val="2"/>
      </rPr>
      <t xml:space="preserve">英文、數學</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t>
    </r>
    <r>
      <rPr>
        <sz val="10"/>
        <color rgb="FF1F2A28"/>
        <rFont val="Arial"/>
        <family val="0"/>
        <charset val="1"/>
      </rPr>
      <t xml:space="preserve">)</t>
    </r>
  </si>
  <si>
    <t xml:space="preserve">2013-02-07</t>
  </si>
  <si>
    <t xml:space="preserve">蔡旻純</t>
  </si>
  <si>
    <t xml:space="preserve">私立漢華文理語文短期補習班</t>
  </si>
  <si>
    <r>
      <rPr>
        <sz val="10"/>
        <color rgb="FF1F2A28"/>
        <rFont val="WenQuanYi Zen Hei"/>
        <family val="2"/>
      </rPr>
      <t xml:space="preserve">新店區安忠路</t>
    </r>
    <r>
      <rPr>
        <sz val="10"/>
        <color rgb="FF1F2A28"/>
        <rFont val="Arial"/>
        <family val="0"/>
        <charset val="1"/>
      </rPr>
      <t xml:space="preserve">57</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t>
    </r>
    <r>
      <rPr>
        <sz val="10"/>
        <color rgb="FF1F2A28"/>
        <rFont val="WenQuanYi Zen Hei"/>
        <family val="2"/>
      </rPr>
      <t xml:space="preserve">之</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</si>
  <si>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(02)8666-0808</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</si>
  <si>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</si>
  <si>
    <t xml:space="preserve">鄭偉</t>
  </si>
  <si>
    <t xml:space="preserve">私立炫豐語文技藝短期補習班</t>
  </si>
  <si>
    <r>
      <rPr>
        <sz val="10"/>
        <color rgb="FF1F2A28"/>
        <rFont val="WenQuanYi Zen Hei"/>
        <family val="2"/>
      </rPr>
      <t xml:space="preserve">新店區民族路</t>
    </r>
    <r>
      <rPr>
        <sz val="10"/>
        <color rgb="FF1F2A28"/>
        <rFont val="Arial"/>
        <family val="0"/>
        <charset val="1"/>
      </rPr>
      <t xml:space="preserve">85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</si>
  <si>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(02)2915-9933</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</si>
  <si>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商類：珠算、心算、會計</t>
    </r>
    <r>
      <rPr>
        <sz val="10"/>
        <color rgb="FF1F2A28"/>
        <rFont val="Arial"/>
        <family val="0"/>
        <charset val="1"/>
      </rPr>
      <t xml:space="preserve">,</t>
    </r>
    <r>
      <rPr>
        <sz val="10"/>
        <color rgb="FF1F2A28"/>
        <rFont val="WenQuanYi Zen Hei"/>
        <family val="2"/>
      </rPr>
      <t xml:space="preserve">其他類</t>
    </r>
  </si>
  <si>
    <t xml:space="preserve">2016-04-20</t>
  </si>
  <si>
    <t xml:space="preserve">陳禮輝</t>
  </si>
  <si>
    <t xml:space="preserve">私立無敵堡語文短期補習班</t>
  </si>
  <si>
    <r>
      <rPr>
        <sz val="10"/>
        <color rgb="FF1F2A28"/>
        <rFont val="WenQuanYi Zen Hei"/>
        <family val="2"/>
      </rPr>
      <t xml:space="preserve">新店區安德街</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</si>
  <si>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22115476</t>
  </si>
  <si>
    <t xml:space="preserve">ayder471@gmail.com</t>
  </si>
  <si>
    <t xml:space="preserve">2001-11-16</t>
  </si>
  <si>
    <t xml:space="preserve">李憲</t>
  </si>
  <si>
    <t xml:space="preserve">賴惠秋</t>
  </si>
  <si>
    <t xml:space="preserve">私立甄妮露斯語文短期補習班</t>
  </si>
  <si>
    <r>
      <rPr>
        <sz val="10"/>
        <color rgb="FF1F2A28"/>
        <rFont val="WenQuanYi Zen Hei"/>
        <family val="2"/>
      </rPr>
      <t xml:space="preserve">新店區中正路</t>
    </r>
    <r>
      <rPr>
        <sz val="10"/>
        <color rgb="FF1F2A28"/>
        <rFont val="Arial"/>
        <family val="0"/>
        <charset val="1"/>
      </rPr>
      <t xml:space="preserve">127</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</si>
  <si>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(02)29136532</t>
  </si>
  <si>
    <t xml:space="preserve">2009-11-19</t>
  </si>
  <si>
    <t xml:space="preserve">曹曉青</t>
  </si>
  <si>
    <t xml:space="preserve">裘有涵</t>
  </si>
  <si>
    <t xml:space="preserve">私立立群中正文理語文短期補習班</t>
  </si>
  <si>
    <r>
      <rPr>
        <sz val="10"/>
        <color rgb="FF1F2A28"/>
        <rFont val="WenQuanYi Zen Hei"/>
        <family val="2"/>
      </rPr>
      <t xml:space="preserve">新店區三民路</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</si>
  <si>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(02)29170025</t>
  </si>
  <si>
    <r>
      <rPr>
        <sz val="10"/>
        <color rgb="FF1F2A28"/>
        <rFont val="Arial"/>
        <family val="0"/>
        <charset val="1"/>
      </rPr>
      <t xml:space="preserve">(</t>
    </r>
    <r>
      <rPr>
        <sz val="10"/>
        <color rgb="FF1F2A28"/>
        <rFont val="WenQuanYi Zen Hei"/>
        <family val="2"/>
      </rPr>
      <t xml:space="preserve">國、英、數、自然、社會</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</si>
  <si>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2013-01-04</t>
  </si>
  <si>
    <t xml:space="preserve">鍾鳳雯</t>
  </si>
  <si>
    <t xml:space="preserve">黃培芳</t>
  </si>
  <si>
    <t xml:space="preserve">私立立群文理語文短期補習班</t>
  </si>
  <si>
    <r>
      <rPr>
        <sz val="10"/>
        <color rgb="FF1F2A28"/>
        <rFont val="WenQuanYi Zen Hei"/>
        <family val="2"/>
      </rPr>
      <t xml:space="preserve">新店區中正路</t>
    </r>
    <r>
      <rPr>
        <sz val="10"/>
        <color rgb="FF1F2A28"/>
        <rFont val="Arial"/>
        <family val="0"/>
        <charset val="1"/>
      </rPr>
      <t xml:space="preserve">190</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t>
    </r>
    <r>
      <rPr>
        <sz val="10"/>
        <color rgb="FF1F2A28"/>
        <rFont val="Arial"/>
        <family val="0"/>
        <charset val="1"/>
      </rPr>
      <t xml:space="preserve">7</t>
    </r>
    <r>
      <rPr>
        <sz val="10"/>
        <color rgb="FF1F2A28"/>
        <rFont val="WenQuanYi Zen Hei"/>
        <family val="2"/>
      </rPr>
      <t xml:space="preserve">樓</t>
    </r>
  </si>
  <si>
    <t xml:space="preserve">29173276</t>
  </si>
  <si>
    <r>
      <rPr>
        <sz val="10"/>
        <color rgb="FF1F2A28"/>
        <rFont val="WenQuanYi Zen Hei"/>
        <family val="2"/>
      </rPr>
      <t xml:space="preserve">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</si>
  <si>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1991-12-26</t>
  </si>
  <si>
    <t xml:space="preserve">私立紅橙文理語文短期補習班</t>
  </si>
  <si>
    <r>
      <rPr>
        <sz val="10"/>
        <color rgb="FF1F2A28"/>
        <rFont val="WenQuanYi Zen Hei"/>
        <family val="2"/>
      </rPr>
      <t xml:space="preserve">新店區安和路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60</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</si>
  <si>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(02)29415727</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</si>
  <si>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</si>
  <si>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2010-09-29</t>
  </si>
  <si>
    <t xml:space="preserve">楊家幼</t>
  </si>
  <si>
    <t xml:space="preserve">李澄穗</t>
  </si>
  <si>
    <t xml:space="preserve">私立維克美語短期補習班</t>
  </si>
  <si>
    <r>
      <rPr>
        <sz val="10"/>
        <color rgb="FF1F2A28"/>
        <rFont val="WenQuanYi Zen Hei"/>
        <family val="2"/>
      </rPr>
      <t xml:space="preserve">新店區二十張路</t>
    </r>
    <r>
      <rPr>
        <sz val="10"/>
        <color rgb="FF1F2A28"/>
        <rFont val="Arial"/>
        <family val="0"/>
        <charset val="1"/>
      </rPr>
      <t xml:space="preserve">139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</si>
  <si>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(02)2219-7837</t>
  </si>
  <si>
    <t xml:space="preserve">2003-03-21</t>
  </si>
  <si>
    <t xml:space="preserve">私立艾德生美語短期補習班</t>
  </si>
  <si>
    <r>
      <rPr>
        <sz val="10"/>
        <color rgb="FF1F2A28"/>
        <rFont val="WenQuanYi Zen Hei"/>
        <family val="2"/>
      </rPr>
      <t xml:space="preserve">新店區錦秀路</t>
    </r>
    <r>
      <rPr>
        <sz val="10"/>
        <color rgb="FF1F2A28"/>
        <rFont val="Arial"/>
        <family val="0"/>
        <charset val="1"/>
      </rPr>
      <t xml:space="preserve">41</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</si>
  <si>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(02)22150766</t>
  </si>
  <si>
    <t xml:space="preserve">may510321@gmail.com</t>
  </si>
  <si>
    <t xml:space="preserve">2004-07-27</t>
  </si>
  <si>
    <t xml:space="preserve">高煥武</t>
  </si>
  <si>
    <t xml:space="preserve">蔡秀媚</t>
  </si>
  <si>
    <t xml:space="preserve">私立英格雷語文短期補習班</t>
  </si>
  <si>
    <r>
      <rPr>
        <sz val="10"/>
        <color rgb="FF1F2A28"/>
        <rFont val="WenQuanYi Zen Hei"/>
        <family val="2"/>
      </rPr>
      <t xml:space="preserve">新店區安康路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172</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</si>
  <si>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(02)86669324</t>
  </si>
  <si>
    <t xml:space="preserve">oeqw@yahoo.com</t>
  </si>
  <si>
    <t xml:space="preserve">2009-04-09</t>
  </si>
  <si>
    <t xml:space="preserve">林美惠</t>
  </si>
  <si>
    <t xml:space="preserve">私立賴世雄智網文教股份有限公司附設賴世雄語文短期補習班</t>
  </si>
  <si>
    <r>
      <rPr>
        <sz val="10"/>
        <color rgb="FF1F2A28"/>
        <rFont val="WenQuanYi Zen Hei"/>
        <family val="2"/>
      </rPr>
      <t xml:space="preserve">新店區北新路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291</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</si>
  <si>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(02)29181355</t>
  </si>
  <si>
    <t xml:space="preserve">xindianpeterbear@gmail.com</t>
  </si>
  <si>
    <t xml:space="preserve">2010-05-17</t>
  </si>
  <si>
    <t xml:space="preserve">賴世雄</t>
  </si>
  <si>
    <t xml:space="preserve">林明郁</t>
  </si>
  <si>
    <t xml:space="preserve">私立陽光森林文教股份有限公司台北縣分公司附設陽光森林新一語文短期補習班</t>
  </si>
  <si>
    <r>
      <rPr>
        <sz val="10"/>
        <color rgb="FF1F2A28"/>
        <rFont val="WenQuanYi Zen Hei"/>
        <family val="2"/>
      </rPr>
      <t xml:space="preserve">新店區建國路</t>
    </r>
    <r>
      <rPr>
        <sz val="10"/>
        <color rgb="FF1F2A28"/>
        <rFont val="Arial"/>
        <family val="0"/>
        <charset val="1"/>
      </rPr>
      <t xml:space="preserve">178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及</t>
    </r>
    <r>
      <rPr>
        <sz val="10"/>
        <color rgb="FF1F2A28"/>
        <rFont val="Arial"/>
        <family val="0"/>
        <charset val="1"/>
      </rPr>
      <t xml:space="preserve">198</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</si>
  <si>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8665-5078</t>
  </si>
  <si>
    <t xml:space="preserve">2004-05-04</t>
  </si>
  <si>
    <t xml:space="preserve">蔣瑞容</t>
  </si>
  <si>
    <t xml:space="preserve">私立陽光森林文教股份有限公司臺北縣分公司附設陽光森林新二語文短期補習班</t>
  </si>
  <si>
    <r>
      <rPr>
        <sz val="10"/>
        <color rgb="FF1F2A28"/>
        <rFont val="WenQuanYi Zen Hei"/>
        <family val="2"/>
      </rPr>
      <t xml:space="preserve">新店區建國路</t>
    </r>
    <r>
      <rPr>
        <sz val="10"/>
        <color rgb="FF1F2A28"/>
        <rFont val="Arial"/>
        <family val="0"/>
        <charset val="1"/>
      </rPr>
      <t xml:space="preserve">172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</si>
  <si>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8665-0506</t>
  </si>
  <si>
    <t xml:space="preserve">2011-08-25</t>
  </si>
  <si>
    <t xml:space="preserve">程秋蘭</t>
  </si>
  <si>
    <t xml:space="preserve">私立馬修書房美語短期補習班</t>
  </si>
  <si>
    <r>
      <rPr>
        <sz val="10"/>
        <color rgb="FF1F2A28"/>
        <rFont val="WenQuanYi Zen Hei"/>
        <family val="2"/>
      </rPr>
      <t xml:space="preserve">新店區建國路</t>
    </r>
    <r>
      <rPr>
        <sz val="10"/>
        <color rgb="FF1F2A28"/>
        <rFont val="Arial"/>
        <family val="0"/>
        <charset val="1"/>
      </rPr>
      <t xml:space="preserve">33</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</si>
  <si>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(02)89193511</t>
  </si>
  <si>
    <t xml:space="preserve">私立高才生文理語文短期補習班</t>
  </si>
  <si>
    <r>
      <rPr>
        <sz val="10"/>
        <color rgb="FF1F2A28"/>
        <rFont val="WenQuanYi Zen Hei"/>
        <family val="2"/>
      </rPr>
      <t xml:space="preserve">新店區北新路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158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</si>
  <si>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(02)29141233</t>
  </si>
  <si>
    <t xml:space="preserve">013.km101@gmail.com</t>
  </si>
  <si>
    <t xml:space="preserve">陳癸綸</t>
  </si>
  <si>
    <t xml:space="preserve">柯佩德</t>
  </si>
  <si>
    <t xml:space="preserve">私立鼎立文創語文短期補習班</t>
  </si>
  <si>
    <r>
      <rPr>
        <sz val="10"/>
        <color rgb="FF1F2A28"/>
        <rFont val="WenQuanYi Zen Hei"/>
        <family val="2"/>
      </rPr>
      <t xml:space="preserve">新店區安忠路</t>
    </r>
    <r>
      <rPr>
        <sz val="10"/>
        <color rgb="FF1F2A28"/>
        <rFont val="Arial"/>
        <family val="0"/>
        <charset val="1"/>
      </rPr>
      <t xml:space="preserve">57</t>
    </r>
    <r>
      <rPr>
        <sz val="10"/>
        <color rgb="FF1F2A28"/>
        <rFont val="WenQuanYi Zen Hei"/>
        <family val="2"/>
      </rPr>
      <t xml:space="preserve">巷</t>
    </r>
    <r>
      <rPr>
        <sz val="10"/>
        <color rgb="FF1F2A28"/>
        <rFont val="Arial"/>
        <family val="0"/>
        <charset val="1"/>
      </rPr>
      <t xml:space="preserve">26</t>
    </r>
    <r>
      <rPr>
        <sz val="10"/>
        <color rgb="FF1F2A28"/>
        <rFont val="WenQuanYi Zen Hei"/>
        <family val="2"/>
      </rPr>
      <t xml:space="preserve">弄</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</si>
  <si>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(02)2212-0850</t>
  </si>
  <si>
    <t xml:space="preserve">nina850707@gmail.com</t>
  </si>
  <si>
    <t xml:space="preserve">2013-08-26</t>
  </si>
  <si>
    <t xml:space="preserve">周蓓玗</t>
  </si>
  <si>
    <t xml:space="preserve">維寧國際有限公司附設維寧國際文理技藝短期補習班</t>
  </si>
  <si>
    <r>
      <rPr>
        <sz val="10"/>
        <color rgb="FF1F2A28"/>
        <rFont val="WenQuanYi Zen Hei"/>
        <family val="2"/>
      </rPr>
      <t xml:space="preserve">新店區寶橋路</t>
    </r>
    <r>
      <rPr>
        <sz val="10"/>
        <color rgb="FF1F2A28"/>
        <rFont val="Arial"/>
        <family val="0"/>
        <charset val="1"/>
      </rPr>
      <t xml:space="preserve">88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</si>
  <si>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2913-5200</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</si>
  <si>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商類：珠算、心算、會計</t>
    </r>
    <r>
      <rPr>
        <sz val="10"/>
        <color rgb="FF1F2A28"/>
        <rFont val="Arial"/>
        <family val="0"/>
        <charset val="1"/>
      </rPr>
      <t xml:space="preserve">,</t>
    </r>
    <r>
      <rPr>
        <sz val="10"/>
        <color rgb="FF1F2A28"/>
        <rFont val="WenQuanYi Zen Hei"/>
        <family val="2"/>
      </rPr>
      <t xml:space="preserve">瑜珈類</t>
    </r>
    <r>
      <rPr>
        <sz val="10"/>
        <color rgb="FF1F2A28"/>
        <rFont val="Arial"/>
        <family val="0"/>
        <charset val="1"/>
      </rPr>
      <t xml:space="preserve">,</t>
    </r>
    <r>
      <rPr>
        <sz val="10"/>
        <color rgb="FF1F2A28"/>
        <rFont val="WenQuanYi Zen Hei"/>
        <family val="2"/>
      </rPr>
      <t xml:space="preserve">其他類</t>
    </r>
  </si>
  <si>
    <t xml:space="preserve">2021-12-28</t>
  </si>
  <si>
    <t xml:space="preserve">喻琬真</t>
  </si>
  <si>
    <t xml:space="preserve">陽光森林文教股份有限公司附設私立陽光森林文理技藝短期補習班</t>
  </si>
  <si>
    <r>
      <rPr>
        <sz val="10"/>
        <color rgb="FF1F2A28"/>
        <rFont val="WenQuanYi Zen Hei"/>
        <family val="2"/>
      </rPr>
      <t xml:space="preserve">新店區民權路</t>
    </r>
    <r>
      <rPr>
        <sz val="10"/>
        <color rgb="FF1F2A28"/>
        <rFont val="Arial"/>
        <family val="0"/>
        <charset val="1"/>
      </rPr>
      <t xml:space="preserve">95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95</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</si>
  <si>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2913-7669</t>
  </si>
  <si>
    <t xml:space="preserve">1999-11-19</t>
  </si>
  <si>
    <t xml:space="preserve">熊佩萱</t>
  </si>
  <si>
    <t xml:space="preserve">霏汎語文文理短期補習班</t>
  </si>
  <si>
    <r>
      <rPr>
        <sz val="10"/>
        <color rgb="FF1F2A28"/>
        <rFont val="WenQuanYi Zen Hei"/>
        <family val="2"/>
      </rPr>
      <t xml:space="preserve">新店區三民路</t>
    </r>
    <r>
      <rPr>
        <sz val="10"/>
        <color rgb="FF1F2A28"/>
        <rFont val="Arial"/>
        <family val="0"/>
        <charset val="1"/>
      </rPr>
      <t xml:space="preserve">22</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</si>
  <si>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(02)29114587</t>
  </si>
  <si>
    <t xml:space="preserve">fairfuns@gmail.com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</si>
  <si>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國、英、數、自</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t>
    </r>
    <r>
      <rPr>
        <sz val="10"/>
        <color rgb="FF1F2A28"/>
        <rFont val="Arial"/>
        <family val="0"/>
        <charset val="1"/>
      </rPr>
      <t xml:space="preserve">)</t>
    </r>
  </si>
  <si>
    <t xml:space="preserve">2011-06-02</t>
  </si>
  <si>
    <t xml:space="preserve">卓雲可</t>
  </si>
  <si>
    <t xml:space="preserve">陳孟汎</t>
  </si>
  <si>
    <t xml:space="preserve">新莊區</t>
  </si>
  <si>
    <t xml:space="preserve">中國青年救國團附設私立中安文理技藝短期補習班</t>
  </si>
  <si>
    <r>
      <rPr>
        <sz val="10"/>
        <color rgb="FF1F2A28"/>
        <rFont val="WenQuanYi Zen Hei"/>
        <family val="2"/>
      </rPr>
      <t xml:space="preserve">新莊區中港路</t>
    </r>
    <r>
      <rPr>
        <sz val="10"/>
        <color rgb="FF1F2A28"/>
        <rFont val="Arial"/>
        <family val="0"/>
        <charset val="1"/>
      </rPr>
      <t xml:space="preserve">306</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r>
      <rPr>
        <sz val="10"/>
        <color rgb="FF1F2A28"/>
        <rFont val="Arial"/>
        <family val="0"/>
        <charset val="1"/>
      </rPr>
      <t xml:space="preserve">308</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</si>
  <si>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(02)2992-4913</t>
  </si>
  <si>
    <t xml:space="preserve">xzcycedm@gmail.com</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</si>
  <si>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法政類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美容、美髮理髮類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商類：珠算、心算、會計</t>
    </r>
    <r>
      <rPr>
        <sz val="10"/>
        <color rgb="FF1F2A28"/>
        <rFont val="Arial"/>
        <family val="0"/>
        <charset val="1"/>
      </rPr>
      <t xml:space="preserve">,</t>
    </r>
    <r>
      <rPr>
        <sz val="10"/>
        <color rgb="FF1F2A28"/>
        <rFont val="WenQuanYi Zen Hei"/>
        <family val="2"/>
      </rPr>
      <t xml:space="preserve">瑜珈類</t>
    </r>
    <r>
      <rPr>
        <sz val="10"/>
        <color rgb="FF1F2A28"/>
        <rFont val="Arial"/>
        <family val="0"/>
        <charset val="1"/>
      </rPr>
      <t xml:space="preserve">,</t>
    </r>
    <r>
      <rPr>
        <sz val="10"/>
        <color rgb="FF1F2A28"/>
        <rFont val="WenQuanYi Zen Hei"/>
        <family val="2"/>
      </rPr>
      <t xml:space="preserve">其他類</t>
    </r>
  </si>
  <si>
    <t xml:space="preserve">2011-10-06</t>
  </si>
  <si>
    <t xml:space="preserve">胡瑜軒</t>
  </si>
  <si>
    <t xml:space="preserve">全方位菁英語文文理短期補習班</t>
  </si>
  <si>
    <r>
      <rPr>
        <sz val="10"/>
        <color rgb="FF1F2A28"/>
        <rFont val="WenQuanYi Zen Hei"/>
        <family val="2"/>
      </rPr>
      <t xml:space="preserve">新莊區富國路</t>
    </r>
    <r>
      <rPr>
        <sz val="10"/>
        <color rgb="FF1F2A28"/>
        <rFont val="Arial"/>
        <family val="0"/>
        <charset val="1"/>
      </rPr>
      <t xml:space="preserve">22</t>
    </r>
    <r>
      <rPr>
        <sz val="10"/>
        <color rgb="FF1F2A28"/>
        <rFont val="WenQuanYi Zen Hei"/>
        <family val="2"/>
      </rPr>
      <t xml:space="preserve">巷</t>
    </r>
    <r>
      <rPr>
        <sz val="10"/>
        <color rgb="FF1F2A28"/>
        <rFont val="Arial"/>
        <family val="0"/>
        <charset val="1"/>
      </rPr>
      <t xml:space="preserve">11</t>
    </r>
    <r>
      <rPr>
        <sz val="10"/>
        <color rgb="FF1F2A28"/>
        <rFont val="WenQuanYi Zen Hei"/>
        <family val="2"/>
      </rPr>
      <t xml:space="preserve">、</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</si>
  <si>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r>
      <rPr>
        <sz val="10"/>
        <color rgb="FF1F2A28"/>
        <rFont val="Arial"/>
        <family val="0"/>
        <charset val="1"/>
      </rPr>
      <t xml:space="preserve">(02)29081931</t>
    </r>
    <r>
      <rPr>
        <sz val="10"/>
        <color rgb="FF1F2A28"/>
        <rFont val="WenQuanYi Zen Hei"/>
        <family val="2"/>
      </rPr>
      <t xml:space="preserve">、</t>
    </r>
    <r>
      <rPr>
        <sz val="10"/>
        <color rgb="FF1F2A28"/>
        <rFont val="Arial"/>
        <family val="0"/>
        <charset val="1"/>
      </rPr>
      <t xml:space="preserve">29024561</t>
    </r>
  </si>
  <si>
    <t xml:space="preserve">2007-02-09</t>
  </si>
  <si>
    <t xml:space="preserve">蔡登旭</t>
  </si>
  <si>
    <t xml:space="preserve">創曄文理語文短期補習班</t>
  </si>
  <si>
    <r>
      <rPr>
        <sz val="10"/>
        <color rgb="FF1F2A28"/>
        <rFont val="WenQuanYi Zen Hei"/>
        <family val="2"/>
      </rPr>
      <t xml:space="preserve">新莊區中榮街</t>
    </r>
    <r>
      <rPr>
        <sz val="10"/>
        <color rgb="FF1F2A28"/>
        <rFont val="Arial"/>
        <family val="0"/>
        <charset val="1"/>
      </rPr>
      <t xml:space="preserve">56</t>
    </r>
    <r>
      <rPr>
        <sz val="10"/>
        <color rgb="FF1F2A28"/>
        <rFont val="WenQuanYi Zen Hei"/>
        <family val="2"/>
      </rPr>
      <t xml:space="preserve">巷</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58-1</t>
    </r>
    <r>
      <rPr>
        <sz val="10"/>
        <color rgb="FF1F2A28"/>
        <rFont val="WenQuanYi Zen Hei"/>
        <family val="2"/>
      </rPr>
      <t xml:space="preserve">號</t>
    </r>
  </si>
  <si>
    <t xml:space="preserve">(02)22777885</t>
  </si>
  <si>
    <t xml:space="preserve">handsome412@gmail.com</t>
  </si>
  <si>
    <t xml:space="preserve">2005-09-20</t>
  </si>
  <si>
    <t xml:space="preserve">王力慷</t>
  </si>
  <si>
    <t xml:space="preserve">呂俐慧</t>
  </si>
  <si>
    <t xml:space="preserve">創造菁英文理短期補習班</t>
  </si>
  <si>
    <r>
      <rPr>
        <sz val="10"/>
        <color rgb="FF1F2A28"/>
        <rFont val="WenQuanYi Zen Hei"/>
        <family val="2"/>
      </rPr>
      <t xml:space="preserve">新莊區中正路</t>
    </r>
    <r>
      <rPr>
        <sz val="10"/>
        <color rgb="FF1F2A28"/>
        <rFont val="Arial"/>
        <family val="0"/>
        <charset val="1"/>
      </rPr>
      <t xml:space="preserve">736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層至</t>
    </r>
    <r>
      <rPr>
        <sz val="10"/>
        <color rgb="FF1F2A28"/>
        <rFont val="Arial"/>
        <family val="0"/>
        <charset val="1"/>
      </rPr>
      <t xml:space="preserve">3</t>
    </r>
    <r>
      <rPr>
        <sz val="10"/>
        <color rgb="FF1F2A28"/>
        <rFont val="WenQuanYi Zen Hei"/>
        <family val="2"/>
      </rPr>
      <t xml:space="preserve">層</t>
    </r>
    <r>
      <rPr>
        <sz val="10"/>
        <color rgb="FF1F2A28"/>
        <rFont val="Arial"/>
        <family val="0"/>
        <charset val="1"/>
      </rPr>
      <t xml:space="preserve">)</t>
    </r>
  </si>
  <si>
    <t xml:space="preserve">(02)2904-9615</t>
  </si>
  <si>
    <t xml:space="preserve">2010-02-08</t>
  </si>
  <si>
    <t xml:space="preserve">劉宜佳</t>
  </si>
  <si>
    <t xml:space="preserve">勵誠文理技藝短期補習班</t>
  </si>
  <si>
    <r>
      <rPr>
        <sz val="10"/>
        <color rgb="FF1F2A28"/>
        <rFont val="WenQuanYi Zen Hei"/>
        <family val="2"/>
      </rPr>
      <t xml:space="preserve">新莊區中平路</t>
    </r>
    <r>
      <rPr>
        <sz val="10"/>
        <color rgb="FF1F2A28"/>
        <rFont val="Arial"/>
        <family val="0"/>
        <charset val="1"/>
      </rPr>
      <t xml:space="preserve">270</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</si>
  <si>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(02)29925476</t>
  </si>
  <si>
    <t xml:space="preserve">zhougongpei@gmail.com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</si>
  <si>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數學、國語、英文、社會、自然與生活科技</t>
    </r>
    <r>
      <rPr>
        <sz val="10"/>
        <color rgb="FF1F2A28"/>
        <rFont val="Arial"/>
        <family val="0"/>
        <charset val="1"/>
      </rPr>
      <t xml:space="preserve">)</t>
    </r>
  </si>
  <si>
    <t xml:space="preserve">2004-01-09</t>
  </si>
  <si>
    <t xml:space="preserve">周功培</t>
  </si>
  <si>
    <t xml:space="preserve">張芷榕</t>
  </si>
  <si>
    <r>
      <rPr>
        <sz val="10"/>
        <color rgb="FF1F2A28"/>
        <rFont val="WenQuanYi Zen Hei"/>
        <family val="2"/>
      </rPr>
      <t xml:space="preserve">台灣拓人教育事業股份有限公司附設拓人</t>
    </r>
    <r>
      <rPr>
        <sz val="10"/>
        <color rgb="FF1F2A28"/>
        <rFont val="Arial"/>
        <family val="0"/>
        <charset val="1"/>
      </rPr>
      <t xml:space="preserve">6</t>
    </r>
    <r>
      <rPr>
        <sz val="10"/>
        <color rgb="FF1F2A28"/>
        <rFont val="WenQuanYi Zen Hei"/>
        <family val="2"/>
      </rPr>
      <t xml:space="preserve">文理語文短期補習班</t>
    </r>
  </si>
  <si>
    <r>
      <rPr>
        <sz val="10"/>
        <color rgb="FF1F2A28"/>
        <rFont val="WenQuanYi Zen Hei"/>
        <family val="2"/>
      </rPr>
      <t xml:space="preserve">新莊區龍安路</t>
    </r>
    <r>
      <rPr>
        <sz val="10"/>
        <color rgb="FF1F2A28"/>
        <rFont val="Arial"/>
        <family val="0"/>
        <charset val="1"/>
      </rPr>
      <t xml:space="preserve">69</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r>
      <rPr>
        <sz val="10"/>
        <color rgb="FF1F2A28"/>
        <rFont val="Arial"/>
        <family val="0"/>
        <charset val="1"/>
      </rPr>
      <t xml:space="preserve">)</t>
    </r>
  </si>
  <si>
    <t xml:space="preserve">(02)2901-7576</t>
  </si>
  <si>
    <t xml:space="preserve">2009-12-03</t>
  </si>
  <si>
    <t xml:space="preserve">郭進興</t>
  </si>
  <si>
    <t xml:space="preserve">吉米貝爾語文短期補習班</t>
  </si>
  <si>
    <r>
      <rPr>
        <sz val="10"/>
        <color rgb="FF1F2A28"/>
        <rFont val="WenQuanYi Zen Hei"/>
        <family val="2"/>
      </rPr>
      <t xml:space="preserve">新莊區昌平街</t>
    </r>
    <r>
      <rPr>
        <sz val="10"/>
        <color rgb="FF1F2A28"/>
        <rFont val="Arial"/>
        <family val="0"/>
        <charset val="1"/>
      </rPr>
      <t xml:space="preserve">31</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</si>
  <si>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89931818</t>
  </si>
  <si>
    <t xml:space="preserve">jjimbearschooltw@yahoo.com.tw</t>
  </si>
  <si>
    <t xml:space="preserve">2001-11-26</t>
  </si>
  <si>
    <t xml:space="preserve">廖清源</t>
  </si>
  <si>
    <t xml:space="preserve">喬聖語文短期補習班</t>
  </si>
  <si>
    <r>
      <rPr>
        <sz val="10"/>
        <color rgb="FF1F2A28"/>
        <rFont val="WenQuanYi Zen Hei"/>
        <family val="2"/>
      </rPr>
      <t xml:space="preserve">新莊區中原路</t>
    </r>
    <r>
      <rPr>
        <sz val="10"/>
        <color rgb="FF1F2A28"/>
        <rFont val="Arial"/>
        <family val="0"/>
        <charset val="1"/>
      </rPr>
      <t xml:space="preserve">127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2</t>
    </r>
  </si>
  <si>
    <t xml:space="preserve">(02)89916897</t>
  </si>
  <si>
    <t xml:space="preserve">papajordan8991@gmail.com</t>
  </si>
  <si>
    <t xml:space="preserve">2006-01-11</t>
  </si>
  <si>
    <t xml:space="preserve">林坤樹</t>
  </si>
  <si>
    <t xml:space="preserve">趙小意</t>
  </si>
  <si>
    <t xml:space="preserve">地球村出版有限公司附設私立中正地球村文理短期補習班</t>
  </si>
  <si>
    <r>
      <rPr>
        <sz val="10"/>
        <color rgb="FF1F2A28"/>
        <rFont val="WenQuanYi Zen Hei"/>
        <family val="2"/>
      </rPr>
      <t xml:space="preserve">新莊區中正路</t>
    </r>
    <r>
      <rPr>
        <sz val="10"/>
        <color rgb="FF1F2A28"/>
        <rFont val="Arial"/>
        <family val="0"/>
        <charset val="1"/>
      </rPr>
      <t xml:space="preserve">317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</si>
  <si>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2206-5577</t>
  </si>
  <si>
    <t xml:space="preserve">王晨</t>
  </si>
  <si>
    <t xml:space="preserve">夏恩國際教育股份有限公司附設夏恩昌榮語文短期補習班</t>
  </si>
  <si>
    <r>
      <rPr>
        <sz val="10"/>
        <color rgb="FF1F2A28"/>
        <rFont val="WenQuanYi Zen Hei"/>
        <family val="2"/>
      </rPr>
      <t xml:space="preserve">新莊區中原路</t>
    </r>
    <r>
      <rPr>
        <sz val="10"/>
        <color rgb="FF1F2A28"/>
        <rFont val="Arial"/>
        <family val="0"/>
        <charset val="1"/>
      </rPr>
      <t xml:space="preserve">109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3</t>
    </r>
  </si>
  <si>
    <t xml:space="preserve">(02)8994-1238</t>
  </si>
  <si>
    <t xml:space="preserve">sestcl@shane.com.tw</t>
  </si>
  <si>
    <t xml:space="preserve">2004-05-10</t>
  </si>
  <si>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李光斌</t>
    </r>
  </si>
  <si>
    <t xml:space="preserve">鄧宇雯</t>
  </si>
  <si>
    <t xml:space="preserve">大鵬鳥文理語文短期補習班</t>
  </si>
  <si>
    <r>
      <rPr>
        <sz val="10"/>
        <color rgb="FF1F2A28"/>
        <rFont val="WenQuanYi Zen Hei"/>
        <family val="2"/>
      </rPr>
      <t xml:space="preserve">新莊區中原路</t>
    </r>
    <r>
      <rPr>
        <sz val="10"/>
        <color rgb="FF1F2A28"/>
        <rFont val="Arial"/>
        <family val="0"/>
        <charset val="1"/>
      </rPr>
      <t xml:space="preserve">83</t>
    </r>
    <r>
      <rPr>
        <sz val="10"/>
        <color rgb="FF1F2A28"/>
        <rFont val="WenQuanYi Zen Hei"/>
        <family val="2"/>
      </rPr>
      <t xml:space="preserve">、</t>
    </r>
    <r>
      <rPr>
        <sz val="10"/>
        <color rgb="FF1F2A28"/>
        <rFont val="Arial"/>
        <family val="0"/>
        <charset val="1"/>
      </rPr>
      <t xml:space="preserve">85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</si>
  <si>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(02)8991-1988</t>
  </si>
  <si>
    <t xml:space="preserve">cuteamy65@gmail.com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</si>
  <si>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國語、英文、數學</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國語、英文、數學、社會、自然與生活科技</t>
    </r>
    <r>
      <rPr>
        <sz val="10"/>
        <color rgb="FF1F2A28"/>
        <rFont val="Arial"/>
        <family val="0"/>
        <charset val="1"/>
      </rPr>
      <t xml:space="preserve">)</t>
    </r>
  </si>
  <si>
    <t xml:space="preserve">2005-05-05</t>
  </si>
  <si>
    <t xml:space="preserve">李秝臻</t>
  </si>
  <si>
    <t xml:space="preserve">簡賢婷</t>
  </si>
  <si>
    <t xml:space="preserve">大鵬鳥登峰語文短期補習班</t>
  </si>
  <si>
    <r>
      <rPr>
        <sz val="10"/>
        <color rgb="FF1F2A28"/>
        <rFont val="WenQuanYi Zen Hei"/>
        <family val="2"/>
      </rPr>
      <t xml:space="preserve">新莊區民安路</t>
    </r>
    <r>
      <rPr>
        <sz val="10"/>
        <color rgb="FF1F2A28"/>
        <rFont val="Arial"/>
        <family val="0"/>
        <charset val="1"/>
      </rPr>
      <t xml:space="preserve">332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</si>
  <si>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22065718</t>
  </si>
  <si>
    <t xml:space="preserve">yai1008@hotmail.com</t>
  </si>
  <si>
    <t xml:space="preserve">2005-07-07</t>
  </si>
  <si>
    <t xml:space="preserve">張宮燕</t>
  </si>
  <si>
    <t xml:space="preserve">李雅蓉</t>
  </si>
  <si>
    <t xml:space="preserve">巧依斯語文短期補習班</t>
  </si>
  <si>
    <r>
      <rPr>
        <sz val="10"/>
        <color rgb="FF1F2A28"/>
        <rFont val="WenQuanYi Zen Hei"/>
        <family val="2"/>
      </rPr>
      <t xml:space="preserve">新莊區五工二路</t>
    </r>
    <r>
      <rPr>
        <sz val="10"/>
        <color rgb="FF1F2A28"/>
        <rFont val="Arial"/>
        <family val="0"/>
        <charset val="1"/>
      </rPr>
      <t xml:space="preserve">50</t>
    </r>
    <r>
      <rPr>
        <sz val="10"/>
        <color rgb="FF1F2A28"/>
        <rFont val="WenQuanYi Zen Hei"/>
        <family val="2"/>
      </rPr>
      <t xml:space="preserve">巷</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</si>
  <si>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(02)2298-9254</t>
  </si>
  <si>
    <t xml:space="preserve">gracechen162@yahoo.com.tw</t>
  </si>
  <si>
    <t xml:space="preserve">2012-06-07</t>
  </si>
  <si>
    <t xml:space="preserve">陳秋旭</t>
  </si>
  <si>
    <t xml:space="preserve">王朝慶</t>
  </si>
  <si>
    <t xml:space="preserve">巨匠電腦股份有限公司新莊分公司附設巨四電腦美語短期補習班</t>
  </si>
  <si>
    <r>
      <rPr>
        <sz val="10"/>
        <color rgb="FF1F2A28"/>
        <rFont val="WenQuanYi Zen Hei"/>
        <family val="2"/>
      </rPr>
      <t xml:space="preserve">新莊區中正路</t>
    </r>
    <r>
      <rPr>
        <sz val="10"/>
        <color rgb="FF1F2A28"/>
        <rFont val="Arial"/>
        <family val="0"/>
        <charset val="1"/>
      </rPr>
      <t xml:space="preserve">234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</si>
  <si>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(02)2997-2963</t>
  </si>
  <si>
    <t xml:space="preserve">KM_mailbox@pcschool.com.tw</t>
  </si>
  <si>
    <t xml:space="preserve">2004-08-10</t>
  </si>
  <si>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鍾梁權</t>
    </r>
  </si>
  <si>
    <t xml:space="preserve">鄭惠云</t>
  </si>
  <si>
    <t xml:space="preserve">巨匠電腦股份有限公司附設私立巨匠電腦文理技藝短期補習班新莊分班</t>
  </si>
  <si>
    <r>
      <rPr>
        <sz val="10"/>
        <color rgb="FF1F2A28"/>
        <rFont val="WenQuanYi Zen Hei"/>
        <family val="2"/>
      </rPr>
      <t xml:space="preserve">新莊區中正路</t>
    </r>
    <r>
      <rPr>
        <sz val="10"/>
        <color rgb="FF1F2A28"/>
        <rFont val="Arial"/>
        <family val="0"/>
        <charset val="1"/>
      </rPr>
      <t xml:space="preserve">287</t>
    </r>
    <r>
      <rPr>
        <sz val="10"/>
        <color rgb="FF1F2A28"/>
        <rFont val="WenQuanYi Zen Hei"/>
        <family val="2"/>
      </rPr>
      <t xml:space="preserve">、</t>
    </r>
    <r>
      <rPr>
        <sz val="10"/>
        <color rgb="FF1F2A28"/>
        <rFont val="Arial"/>
        <family val="0"/>
        <charset val="1"/>
      </rPr>
      <t xml:space="preserve">289</t>
    </r>
    <r>
      <rPr>
        <sz val="10"/>
        <color rgb="FF1F2A28"/>
        <rFont val="WenQuanYi Zen Hei"/>
        <family val="2"/>
      </rPr>
      <t xml:space="preserve">號各</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</si>
  <si>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(02)22031186</t>
  </si>
  <si>
    <t xml:space="preserve">df_mailbox@pcschool.com.tw</t>
  </si>
  <si>
    <t xml:space="preserve">2010-01-29</t>
  </si>
  <si>
    <t xml:space="preserve">侯佩吟</t>
  </si>
  <si>
    <t xml:space="preserve">巨登榮富文理語文短期補習班</t>
  </si>
  <si>
    <r>
      <rPr>
        <sz val="10"/>
        <color rgb="FF1F2A28"/>
        <rFont val="WenQuanYi Zen Hei"/>
        <family val="2"/>
      </rPr>
      <t xml:space="preserve">新莊區中榮街</t>
    </r>
    <r>
      <rPr>
        <sz val="10"/>
        <color rgb="FF1F2A28"/>
        <rFont val="Arial"/>
        <family val="0"/>
        <charset val="1"/>
      </rPr>
      <t xml:space="preserve">118</t>
    </r>
    <r>
      <rPr>
        <sz val="10"/>
        <color rgb="FF1F2A28"/>
        <rFont val="WenQuanYi Zen Hei"/>
        <family val="2"/>
      </rPr>
      <t xml:space="preserve">、</t>
    </r>
    <r>
      <rPr>
        <sz val="10"/>
        <color rgb="FF1F2A28"/>
        <rFont val="Arial"/>
        <family val="0"/>
        <charset val="1"/>
      </rPr>
      <t xml:space="preserve">120</t>
    </r>
    <r>
      <rPr>
        <sz val="10"/>
        <color rgb="FF1F2A28"/>
        <rFont val="WenQuanYi Zen Hei"/>
        <family val="2"/>
      </rPr>
      <t xml:space="preserve">、</t>
    </r>
    <r>
      <rPr>
        <sz val="10"/>
        <color rgb="FF1F2A28"/>
        <rFont val="Arial"/>
        <family val="0"/>
        <charset val="1"/>
      </rPr>
      <t xml:space="preserve">124</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、中榮街</t>
    </r>
    <r>
      <rPr>
        <sz val="10"/>
        <color rgb="FF1F2A28"/>
        <rFont val="Arial"/>
        <family val="0"/>
        <charset val="1"/>
      </rPr>
      <t xml:space="preserve">122</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152</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號（各</t>
    </r>
    <r>
      <rPr>
        <sz val="10"/>
        <color rgb="FF1F2A28"/>
        <rFont val="Arial"/>
        <family val="0"/>
        <charset val="1"/>
      </rPr>
      <t xml:space="preserve">1</t>
    </r>
    <r>
      <rPr>
        <sz val="10"/>
        <color rgb="FF1F2A28"/>
        <rFont val="WenQuanYi Zen Hei"/>
        <family val="2"/>
      </rPr>
      <t xml:space="preserve">樓）</t>
    </r>
  </si>
  <si>
    <t xml:space="preserve">(02)8993-1898</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</si>
  <si>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英文、數學、理化、自然、生物、國文、社會</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</si>
  <si>
    <t xml:space="preserve">2014-09-18</t>
  </si>
  <si>
    <t xml:space="preserve">高志綸</t>
  </si>
  <si>
    <t xml:space="preserve">巨采文理語文短期補習班</t>
  </si>
  <si>
    <r>
      <rPr>
        <sz val="10"/>
        <color rgb="FF1F2A28"/>
        <rFont val="WenQuanYi Zen Hei"/>
        <family val="2"/>
      </rPr>
      <t xml:space="preserve">新莊區建安街</t>
    </r>
    <r>
      <rPr>
        <sz val="10"/>
        <color rgb="FF1F2A28"/>
        <rFont val="Arial"/>
        <family val="0"/>
        <charset val="1"/>
      </rPr>
      <t xml:space="preserve">121</t>
    </r>
    <r>
      <rPr>
        <sz val="10"/>
        <color rgb="FF1F2A28"/>
        <rFont val="WenQuanYi Zen Hei"/>
        <family val="2"/>
      </rPr>
      <t xml:space="preserve">巷</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</si>
  <si>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(02)22071016</t>
  </si>
  <si>
    <t xml:space="preserve">a0961111895@gmail.com</t>
  </si>
  <si>
    <t xml:space="preserve">2006-04-03</t>
  </si>
  <si>
    <t xml:space="preserve">顏詩晏</t>
  </si>
  <si>
    <t xml:space="preserve">康為美語文理短期補習班</t>
  </si>
  <si>
    <r>
      <rPr>
        <sz val="10"/>
        <color rgb="FF1F2A28"/>
        <rFont val="WenQuanYi Zen Hei"/>
        <family val="2"/>
      </rPr>
      <t xml:space="preserve">新莊區昌平街</t>
    </r>
    <r>
      <rPr>
        <sz val="10"/>
        <color rgb="FF1F2A28"/>
        <rFont val="Arial"/>
        <family val="0"/>
        <charset val="1"/>
      </rPr>
      <t xml:space="preserve">84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</si>
  <si>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(02)2992-3589</t>
  </si>
  <si>
    <t xml:space="preserve">AIEA.CPSchool@gmail.com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</si>
  <si>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國文、英文、數學、社會、自然</t>
    </r>
    <r>
      <rPr>
        <sz val="10"/>
        <color rgb="FF1F2A28"/>
        <rFont val="Arial"/>
        <family val="0"/>
        <charset val="1"/>
      </rPr>
      <t xml:space="preserve">)</t>
    </r>
    <r>
      <rPr>
        <sz val="10"/>
        <color rgb="FF1F2A28"/>
        <rFont val="WenQuanYi Zen Hei"/>
        <family val="2"/>
      </rPr>
      <t xml:space="preserve">、美語</t>
    </r>
  </si>
  <si>
    <t xml:space="preserve">2016-09-02</t>
  </si>
  <si>
    <t xml:space="preserve">張朝順</t>
  </si>
  <si>
    <t xml:space="preserve">建欣文理語文短期補習班</t>
  </si>
  <si>
    <r>
      <rPr>
        <sz val="10"/>
        <color rgb="FF1F2A28"/>
        <rFont val="WenQuanYi Zen Hei"/>
        <family val="2"/>
      </rPr>
      <t xml:space="preserve">新莊區自立街</t>
    </r>
    <r>
      <rPr>
        <sz val="10"/>
        <color rgb="FF1F2A28"/>
        <rFont val="Arial"/>
        <family val="0"/>
        <charset val="1"/>
      </rPr>
      <t xml:space="preserve">232</t>
    </r>
    <r>
      <rPr>
        <sz val="10"/>
        <color rgb="FF1F2A28"/>
        <rFont val="WenQuanYi Zen Hei"/>
        <family val="2"/>
      </rPr>
      <t xml:space="preserve">、</t>
    </r>
    <r>
      <rPr>
        <sz val="10"/>
        <color rgb="FF1F2A28"/>
        <rFont val="Arial"/>
        <family val="0"/>
        <charset val="1"/>
      </rPr>
      <t xml:space="preserve">234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</si>
  <si>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(02)8993-1837</t>
  </si>
  <si>
    <t xml:space="preserve">2008-09-23</t>
  </si>
  <si>
    <t xml:space="preserve">張素娟</t>
  </si>
  <si>
    <t xml:space="preserve">恆大文理短期補習班</t>
  </si>
  <si>
    <r>
      <rPr>
        <sz val="10"/>
        <color rgb="FF1F2A28"/>
        <rFont val="WenQuanYi Zen Hei"/>
        <family val="2"/>
      </rPr>
      <t xml:space="preserve">新莊區新泰路</t>
    </r>
    <r>
      <rPr>
        <sz val="10"/>
        <color rgb="FF1F2A28"/>
        <rFont val="Arial"/>
        <family val="0"/>
        <charset val="1"/>
      </rPr>
      <t xml:space="preserve">340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</si>
  <si>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2996-1102</t>
  </si>
  <si>
    <t xml:space="preserve">take540611@gmail.com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</si>
  <si>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國文、英文、數學、理化、歷史、地理、生健、地球科學</t>
    </r>
    <r>
      <rPr>
        <sz val="10"/>
        <color rgb="FF1F2A28"/>
        <rFont val="Arial"/>
        <family val="0"/>
        <charset val="1"/>
      </rPr>
      <t xml:space="preserve">)</t>
    </r>
  </si>
  <si>
    <t xml:space="preserve">1993-09-01</t>
  </si>
  <si>
    <t xml:space="preserve">黃彰德</t>
  </si>
  <si>
    <t xml:space="preserve">惠文文理語文短期補習班</t>
  </si>
  <si>
    <r>
      <rPr>
        <sz val="10"/>
        <color rgb="FF1F2A28"/>
        <rFont val="WenQuanYi Zen Hei"/>
        <family val="2"/>
      </rPr>
      <t xml:space="preserve">新莊區西盛街</t>
    </r>
    <r>
      <rPr>
        <sz val="10"/>
        <color rgb="FF1F2A28"/>
        <rFont val="Arial"/>
        <family val="0"/>
        <charset val="1"/>
      </rPr>
      <t xml:space="preserve">170</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併</t>
    </r>
    <r>
      <rPr>
        <sz val="10"/>
        <color rgb="FF1F2A28"/>
        <rFont val="Arial"/>
        <family val="0"/>
        <charset val="1"/>
      </rPr>
      <t xml:space="preserve">170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</si>
  <si>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(02)22050606</t>
  </si>
  <si>
    <t xml:space="preserve">2008-03-27</t>
  </si>
  <si>
    <t xml:space="preserve">沈可馨</t>
  </si>
  <si>
    <t xml:space="preserve">探索者文教事業股份有限公司附設私立探索者文理技藝短期補習班</t>
  </si>
  <si>
    <r>
      <rPr>
        <sz val="10"/>
        <color rgb="FF1F2A28"/>
        <rFont val="WenQuanYi Zen Hei"/>
        <family val="2"/>
      </rPr>
      <t xml:space="preserve">新莊區中富街</t>
    </r>
    <r>
      <rPr>
        <sz val="10"/>
        <color rgb="FF1F2A28"/>
        <rFont val="Arial"/>
        <family val="0"/>
        <charset val="1"/>
      </rPr>
      <t xml:space="preserve">96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100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</si>
  <si>
    <t xml:space="preserve">8521-7736</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</si>
  <si>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</si>
  <si>
    <t xml:space="preserve">2021-07-30</t>
  </si>
  <si>
    <t xml:space="preserve">蔡文華</t>
  </si>
  <si>
    <t xml:space="preserve">新萊斯特文理語文短期補習班</t>
  </si>
  <si>
    <r>
      <rPr>
        <sz val="10"/>
        <color rgb="FF1F2A28"/>
        <rFont val="WenQuanYi Zen Hei"/>
        <family val="2"/>
      </rPr>
      <t xml:space="preserve">新莊區民安路</t>
    </r>
    <r>
      <rPr>
        <sz val="10"/>
        <color rgb="FF1F2A28"/>
        <rFont val="Arial"/>
        <family val="0"/>
        <charset val="1"/>
      </rPr>
      <t xml:space="preserve">270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270</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272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272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</si>
  <si>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(02)22015611</t>
  </si>
  <si>
    <t xml:space="preserve">michelle670920@yahoo.com.tw</t>
  </si>
  <si>
    <t xml:space="preserve">2015-10-12</t>
  </si>
  <si>
    <t xml:space="preserve">蔡貴妃</t>
  </si>
  <si>
    <t xml:space="preserve">陳佩玲</t>
  </si>
  <si>
    <t xml:space="preserve">是優文理語文短期補習班</t>
  </si>
  <si>
    <r>
      <rPr>
        <sz val="10"/>
        <color rgb="FF1F2A28"/>
        <rFont val="WenQuanYi Zen Hei"/>
        <family val="2"/>
      </rPr>
      <t xml:space="preserve">新莊區昌平街</t>
    </r>
    <r>
      <rPr>
        <sz val="10"/>
        <color rgb="FF1F2A28"/>
        <rFont val="Arial"/>
        <family val="0"/>
        <charset val="1"/>
      </rPr>
      <t xml:space="preserve">53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55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59</t>
    </r>
    <r>
      <rPr>
        <sz val="10"/>
        <color rgb="FF1F2A28"/>
        <rFont val="WenQuanYi Zen Hei"/>
        <family val="2"/>
      </rPr>
      <t xml:space="preserve">巷</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樓、昌明街</t>
    </r>
    <r>
      <rPr>
        <sz val="10"/>
        <color rgb="FF1F2A28"/>
        <rFont val="Arial"/>
        <family val="0"/>
        <charset val="1"/>
      </rPr>
      <t xml:space="preserve">76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72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</si>
  <si>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(02)2277-2066</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</si>
  <si>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國語、英文、數學、自然與生活科技、社會</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</si>
  <si>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2007-03-08</t>
  </si>
  <si>
    <t xml:space="preserve">楊嬿平</t>
  </si>
  <si>
    <t xml:space="preserve">智勝學苑語文文理短期補習班</t>
  </si>
  <si>
    <r>
      <rPr>
        <sz val="10"/>
        <color rgb="FF1F2A28"/>
        <rFont val="WenQuanYi Zen Hei"/>
        <family val="2"/>
      </rPr>
      <t xml:space="preserve">新莊區中和街</t>
    </r>
    <r>
      <rPr>
        <sz val="10"/>
        <color rgb="FF1F2A28"/>
        <rFont val="Arial"/>
        <family val="0"/>
        <charset val="1"/>
      </rPr>
      <t xml:space="preserve">155</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</si>
  <si>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(02)8991-0930</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</si>
  <si>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</si>
  <si>
    <t xml:space="preserve">2014-07-10</t>
  </si>
  <si>
    <t xml:space="preserve">謝筠庭</t>
  </si>
  <si>
    <t xml:space="preserve">智文迪美語短期補習班</t>
  </si>
  <si>
    <r>
      <rPr>
        <sz val="10"/>
        <color rgb="FF1F2A28"/>
        <rFont val="WenQuanYi Zen Hei"/>
        <family val="2"/>
      </rPr>
      <t xml:space="preserve">新莊區中信街</t>
    </r>
    <r>
      <rPr>
        <sz val="10"/>
        <color rgb="FF1F2A28"/>
        <rFont val="Arial"/>
        <family val="0"/>
        <charset val="1"/>
      </rPr>
      <t xml:space="preserve">172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</si>
  <si>
    <t xml:space="preserve">8521-5108</t>
  </si>
  <si>
    <t xml:space="preserve">happymarian.hc@gmail.com</t>
  </si>
  <si>
    <t xml:space="preserve">2000-08-21</t>
  </si>
  <si>
    <t xml:space="preserve">吳憶雯</t>
  </si>
  <si>
    <t xml:space="preserve">根基文理短期補習班</t>
  </si>
  <si>
    <r>
      <rPr>
        <sz val="10"/>
        <color rgb="FF1F2A28"/>
        <rFont val="WenQuanYi Zen Hei"/>
        <family val="2"/>
      </rPr>
      <t xml:space="preserve">新莊區中正路</t>
    </r>
    <r>
      <rPr>
        <sz val="10"/>
        <color rgb="FF1F2A28"/>
        <rFont val="Arial"/>
        <family val="0"/>
        <charset val="1"/>
      </rPr>
      <t xml:space="preserve">160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</si>
  <si>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(02)2277-2201</t>
  </si>
  <si>
    <t xml:space="preserve">service@1x1.com.tw</t>
  </si>
  <si>
    <t xml:space="preserve">2006-03-10</t>
  </si>
  <si>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尤宏文</t>
    </r>
  </si>
  <si>
    <t xml:space="preserve">尤宏文</t>
  </si>
  <si>
    <t xml:space="preserve">森林藝術技藝文理短期補習班</t>
  </si>
  <si>
    <r>
      <rPr>
        <sz val="10"/>
        <color rgb="FF1F2A28"/>
        <rFont val="WenQuanYi Zen Hei"/>
        <family val="2"/>
      </rPr>
      <t xml:space="preserve">新莊區中港路</t>
    </r>
    <r>
      <rPr>
        <sz val="10"/>
        <color rgb="FF1F2A28"/>
        <rFont val="Arial"/>
        <family val="0"/>
        <charset val="1"/>
      </rPr>
      <t xml:space="preserve">409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</si>
  <si>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(02)8991-1934</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</si>
  <si>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國語、英文、數學、自然、社會</t>
    </r>
    <r>
      <rPr>
        <sz val="10"/>
        <color rgb="FF1F2A28"/>
        <rFont val="Arial"/>
        <family val="0"/>
        <charset val="1"/>
      </rPr>
      <t xml:space="preserve">)</t>
    </r>
  </si>
  <si>
    <t xml:space="preserve">2014-12-03</t>
  </si>
  <si>
    <t xml:space="preserve">陳鏡伊</t>
  </si>
  <si>
    <t xml:space="preserve">欣名門文理語文短期補習班</t>
  </si>
  <si>
    <r>
      <rPr>
        <sz val="10"/>
        <color rgb="FF1F2A28"/>
        <rFont val="WenQuanYi Zen Hei"/>
        <family val="2"/>
      </rPr>
      <t xml:space="preserve">新莊區民安西路</t>
    </r>
    <r>
      <rPr>
        <sz val="10"/>
        <color rgb="FF1F2A28"/>
        <rFont val="Arial"/>
        <family val="0"/>
        <charset val="1"/>
      </rPr>
      <t xml:space="preserve">212</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</si>
  <si>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(02)82012589</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</si>
  <si>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英、自然、數、國</t>
    </r>
    <r>
      <rPr>
        <sz val="10"/>
        <color rgb="FF1F2A28"/>
        <rFont val="Arial"/>
        <family val="0"/>
        <charset val="1"/>
      </rPr>
      <t xml:space="preserve">)</t>
    </r>
  </si>
  <si>
    <t xml:space="preserve">2009-09-23</t>
  </si>
  <si>
    <t xml:space="preserve">陸珩</t>
  </si>
  <si>
    <t xml:space="preserve">泓昇文理語文短期補習班</t>
  </si>
  <si>
    <r>
      <rPr>
        <sz val="10"/>
        <color rgb="FF1F2A28"/>
        <rFont val="WenQuanYi Zen Hei"/>
        <family val="2"/>
      </rPr>
      <t xml:space="preserve">新莊區龍安路</t>
    </r>
    <r>
      <rPr>
        <sz val="10"/>
        <color rgb="FF1F2A28"/>
        <rFont val="Arial"/>
        <family val="0"/>
        <charset val="1"/>
      </rPr>
      <t xml:space="preserve">477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479</t>
    </r>
    <r>
      <rPr>
        <sz val="10"/>
        <color rgb="FF1F2A28"/>
        <rFont val="WenQuanYi Zen Hei"/>
        <family val="2"/>
      </rPr>
      <t xml:space="preserve">號</t>
    </r>
  </si>
  <si>
    <t xml:space="preserve">(02)22066862</t>
  </si>
  <si>
    <t xml:space="preserve">2006-08-14</t>
  </si>
  <si>
    <t xml:space="preserve">李姿萍</t>
  </si>
  <si>
    <t xml:space="preserve">陳宗健</t>
  </si>
  <si>
    <t xml:space="preserve">私立伊貝妮美語美術短期補習班</t>
  </si>
  <si>
    <r>
      <rPr>
        <sz val="10"/>
        <color rgb="FF1F2A28"/>
        <rFont val="WenQuanYi Zen Hei"/>
        <family val="2"/>
      </rPr>
      <t xml:space="preserve">新莊區新泰路</t>
    </r>
    <r>
      <rPr>
        <sz val="10"/>
        <color rgb="FF1F2A28"/>
        <rFont val="Arial"/>
        <family val="0"/>
        <charset val="1"/>
      </rPr>
      <t xml:space="preserve">255</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</si>
  <si>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(02)89913143</t>
  </si>
  <si>
    <t xml:space="preserve">ling12111012@gamil.com</t>
  </si>
  <si>
    <t xml:space="preserve">2010-03-17</t>
  </si>
  <si>
    <t xml:space="preserve">陳薇任</t>
  </si>
  <si>
    <t xml:space="preserve">私立伯特文理美語短期補習班</t>
  </si>
  <si>
    <r>
      <rPr>
        <sz val="10"/>
        <color rgb="FF1F2A28"/>
        <rFont val="WenQuanYi Zen Hei"/>
        <family val="2"/>
      </rPr>
      <t xml:space="preserve">新莊區西盛街</t>
    </r>
    <r>
      <rPr>
        <sz val="10"/>
        <color rgb="FF1F2A28"/>
        <rFont val="Arial"/>
        <family val="0"/>
        <charset val="1"/>
      </rPr>
      <t xml:space="preserve">388</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</si>
  <si>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(02)2205-1609</t>
  </si>
  <si>
    <t xml:space="preserve">2006-07-20</t>
  </si>
  <si>
    <t xml:space="preserve">楊上立</t>
  </si>
  <si>
    <t xml:space="preserve">黃薰嫻</t>
  </si>
  <si>
    <t xml:space="preserve">私立佶爾語文短期補習班</t>
  </si>
  <si>
    <r>
      <rPr>
        <sz val="10"/>
        <color rgb="FF1F2A28"/>
        <rFont val="WenQuanYi Zen Hei"/>
        <family val="2"/>
      </rPr>
      <t xml:space="preserve">新莊區公園一路</t>
    </r>
    <r>
      <rPr>
        <sz val="10"/>
        <color rgb="FF1F2A28"/>
        <rFont val="Arial"/>
        <family val="0"/>
        <charset val="1"/>
      </rPr>
      <t xml:space="preserve">82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</si>
  <si>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(02)2990-0488</t>
  </si>
  <si>
    <t xml:space="preserve">2005-09-23</t>
  </si>
  <si>
    <t xml:space="preserve">遲淑月</t>
  </si>
  <si>
    <t xml:space="preserve">王靜嫻</t>
  </si>
  <si>
    <t xml:space="preserve">私立倩倩技藝文理短期補習班</t>
  </si>
  <si>
    <r>
      <rPr>
        <sz val="10"/>
        <color rgb="FF1F2A28"/>
        <rFont val="WenQuanYi Zen Hei"/>
        <family val="2"/>
      </rPr>
      <t xml:space="preserve">新莊區瓊泰路</t>
    </r>
    <r>
      <rPr>
        <sz val="10"/>
        <color rgb="FF1F2A28"/>
        <rFont val="Arial"/>
        <family val="0"/>
        <charset val="1"/>
      </rPr>
      <t xml:space="preserve">137</t>
    </r>
    <r>
      <rPr>
        <sz val="10"/>
        <color rgb="FF1F2A28"/>
        <rFont val="WenQuanYi Zen Hei"/>
        <family val="2"/>
      </rPr>
      <t xml:space="preserve">、</t>
    </r>
    <r>
      <rPr>
        <sz val="10"/>
        <color rgb="FF1F2A28"/>
        <rFont val="Arial"/>
        <family val="0"/>
        <charset val="1"/>
      </rPr>
      <t xml:space="preserve">139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</si>
  <si>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(02)22032452</t>
  </si>
  <si>
    <t xml:space="preserve">giraffe22032452@gmail.com</t>
  </si>
  <si>
    <t xml:space="preserve">2004-03-04</t>
  </si>
  <si>
    <t xml:space="preserve">王家倩</t>
  </si>
  <si>
    <t xml:space="preserve">私立傑恩語文文理短期補習班</t>
  </si>
  <si>
    <r>
      <rPr>
        <sz val="10"/>
        <color rgb="FF1F2A28"/>
        <rFont val="WenQuanYi Zen Hei"/>
        <family val="2"/>
      </rPr>
      <t xml:space="preserve">新莊區裕民街</t>
    </r>
    <r>
      <rPr>
        <sz val="10"/>
        <color rgb="FF1F2A28"/>
        <rFont val="Arial"/>
        <family val="0"/>
        <charset val="1"/>
      </rPr>
      <t xml:space="preserve">103</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</si>
  <si>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(02)29013058</t>
  </si>
  <si>
    <t xml:space="preserve">geminisandy@hotmail.com</t>
  </si>
  <si>
    <t xml:space="preserve">2016-04-29</t>
  </si>
  <si>
    <t xml:space="preserve">蔡鳳鳳</t>
  </si>
  <si>
    <t xml:space="preserve">私立傑斯文理語文短期補習班</t>
  </si>
  <si>
    <r>
      <rPr>
        <sz val="10"/>
        <color rgb="FF1F2A28"/>
        <rFont val="WenQuanYi Zen Hei"/>
        <family val="2"/>
      </rPr>
      <t xml:space="preserve">新莊區中和街</t>
    </r>
    <r>
      <rPr>
        <sz val="10"/>
        <color rgb="FF1F2A28"/>
        <rFont val="Arial"/>
        <family val="0"/>
        <charset val="1"/>
      </rPr>
      <t xml:space="preserve">186</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</si>
  <si>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(02)29982068</t>
  </si>
  <si>
    <t xml:space="preserve">sonjalin@gmail.com</t>
  </si>
  <si>
    <t xml:space="preserve">徐鳳連</t>
  </si>
  <si>
    <t xml:space="preserve">陳品榮</t>
  </si>
  <si>
    <t xml:space="preserve">私立冠智文教有限公司附設冠智文理短期補習班</t>
  </si>
  <si>
    <r>
      <rPr>
        <sz val="10"/>
        <color rgb="FF1F2A28"/>
        <rFont val="WenQuanYi Zen Hei"/>
        <family val="2"/>
      </rPr>
      <t xml:space="preserve">新莊區中和街</t>
    </r>
    <r>
      <rPr>
        <sz val="10"/>
        <color rgb="FF1F2A28"/>
        <rFont val="Arial"/>
        <family val="0"/>
        <charset val="1"/>
      </rPr>
      <t xml:space="preserve">155</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</si>
  <si>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(02)22760031</t>
  </si>
  <si>
    <t xml:space="preserve">jp155@meikoschool.com.tw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</si>
  <si>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國文、英文、數學、自然、社會</t>
    </r>
    <r>
      <rPr>
        <sz val="10"/>
        <color rgb="FF1F2A28"/>
        <rFont val="Arial"/>
        <family val="0"/>
        <charset val="1"/>
      </rPr>
      <t xml:space="preserve">)</t>
    </r>
  </si>
  <si>
    <t xml:space="preserve">2010-10-07</t>
  </si>
  <si>
    <t xml:space="preserve">陳彥良</t>
  </si>
  <si>
    <t xml:space="preserve">陳怡潔</t>
  </si>
  <si>
    <t xml:space="preserve">私立勝閎文理語文短期補習班</t>
  </si>
  <si>
    <r>
      <rPr>
        <sz val="10"/>
        <color rgb="FF1F2A28"/>
        <rFont val="WenQuanYi Zen Hei"/>
        <family val="2"/>
      </rPr>
      <t xml:space="preserve">新莊區中華路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</si>
  <si>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(02)2277-1933</t>
  </si>
  <si>
    <t xml:space="preserve">2014-04-21</t>
  </si>
  <si>
    <t xml:space="preserve">吳堂煌</t>
  </si>
  <si>
    <t xml:space="preserve">私立卉森文理短期補習班</t>
  </si>
  <si>
    <r>
      <rPr>
        <sz val="10"/>
        <color rgb="FF1F2A28"/>
        <rFont val="WenQuanYi Zen Hei"/>
        <family val="2"/>
      </rPr>
      <t xml:space="preserve">新莊區中和街</t>
    </r>
    <r>
      <rPr>
        <sz val="10"/>
        <color rgb="FF1F2A28"/>
        <rFont val="Arial"/>
        <family val="0"/>
        <charset val="1"/>
      </rPr>
      <t xml:space="preserve">59</t>
    </r>
    <r>
      <rPr>
        <sz val="10"/>
        <color rgb="FF1F2A28"/>
        <rFont val="WenQuanYi Zen Hei"/>
        <family val="2"/>
      </rPr>
      <t xml:space="preserve">巷</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</si>
  <si>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(02)22760142</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</si>
  <si>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國文、英文、數學、自然、社會</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</si>
  <si>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2009-03-25</t>
  </si>
  <si>
    <t xml:space="preserve">康秀莉</t>
  </si>
  <si>
    <t xml:space="preserve">陳書毅</t>
  </si>
  <si>
    <t xml:space="preserve">私立卓藝文理技藝短期補習班</t>
  </si>
  <si>
    <r>
      <rPr>
        <sz val="10"/>
        <color rgb="FF1F2A28"/>
        <rFont val="WenQuanYi Zen Hei"/>
        <family val="2"/>
      </rPr>
      <t xml:space="preserve">新莊區榮華路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97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層及第</t>
    </r>
    <r>
      <rPr>
        <sz val="10"/>
        <color rgb="FF1F2A28"/>
        <rFont val="Arial"/>
        <family val="0"/>
        <charset val="1"/>
      </rPr>
      <t xml:space="preserve">1</t>
    </r>
    <r>
      <rPr>
        <sz val="10"/>
        <color rgb="FF1F2A28"/>
        <rFont val="WenQuanYi Zen Hei"/>
        <family val="2"/>
      </rPr>
      <t xml:space="preserve">層夾層</t>
    </r>
    <r>
      <rPr>
        <sz val="10"/>
        <color rgb="FF1F2A28"/>
        <rFont val="Arial"/>
        <family val="0"/>
        <charset val="1"/>
      </rPr>
      <t xml:space="preserve">)</t>
    </r>
  </si>
  <si>
    <t xml:space="preserve">0919541991</t>
  </si>
  <si>
    <t xml:space="preserve">2024-11-14</t>
  </si>
  <si>
    <t xml:space="preserve">郭子薇</t>
  </si>
  <si>
    <t xml:space="preserve">私立博新文理語文短期補習班</t>
  </si>
  <si>
    <r>
      <rPr>
        <sz val="10"/>
        <color rgb="FF1F2A28"/>
        <rFont val="WenQuanYi Zen Hei"/>
        <family val="2"/>
      </rPr>
      <t xml:space="preserve">新莊區富國路</t>
    </r>
    <r>
      <rPr>
        <sz val="10"/>
        <color rgb="FF1F2A28"/>
        <rFont val="Arial"/>
        <family val="0"/>
        <charset val="1"/>
      </rPr>
      <t xml:space="preserve">100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</si>
  <si>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(02)22063411</t>
  </si>
  <si>
    <t xml:space="preserve">emily1112kimo@yahoo.com.tw</t>
  </si>
  <si>
    <t xml:space="preserve">2007-08-14</t>
  </si>
  <si>
    <t xml:space="preserve">童巧曲</t>
  </si>
  <si>
    <t xml:space="preserve">金潔慶</t>
  </si>
  <si>
    <t xml:space="preserve">私立喜得英語短期補習班</t>
  </si>
  <si>
    <r>
      <rPr>
        <sz val="10"/>
        <color rgb="FF1F2A28"/>
        <rFont val="WenQuanYi Zen Hei"/>
        <family val="2"/>
      </rPr>
      <t xml:space="preserve">新莊區昌平街</t>
    </r>
    <r>
      <rPr>
        <sz val="10"/>
        <color rgb="FF1F2A28"/>
        <rFont val="Arial"/>
        <family val="0"/>
        <charset val="1"/>
      </rPr>
      <t xml:space="preserve">31</t>
    </r>
    <r>
      <rPr>
        <sz val="10"/>
        <color rgb="FF1F2A28"/>
        <rFont val="WenQuanYi Zen Hei"/>
        <family val="2"/>
      </rPr>
      <t xml:space="preserve">巷</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</si>
  <si>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(02)29923994</t>
  </si>
  <si>
    <t xml:space="preserve">2003-06-12</t>
  </si>
  <si>
    <t xml:space="preserve">蘇鈺珊</t>
  </si>
  <si>
    <t xml:space="preserve">私立夢想家美語短期補習班</t>
  </si>
  <si>
    <r>
      <rPr>
        <sz val="10"/>
        <color rgb="FF1F2A28"/>
        <rFont val="WenQuanYi Zen Hei"/>
        <family val="2"/>
      </rPr>
      <t xml:space="preserve">新莊區裕民街</t>
    </r>
    <r>
      <rPr>
        <sz val="10"/>
        <color rgb="FF1F2A28"/>
        <rFont val="Arial"/>
        <family val="0"/>
        <charset val="1"/>
      </rPr>
      <t xml:space="preserve">130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</si>
  <si>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(02)29018265</t>
  </si>
  <si>
    <t xml:space="preserve">2006-07-13</t>
  </si>
  <si>
    <t xml:space="preserve">蕭孚中</t>
  </si>
  <si>
    <t xml:space="preserve">李承傑</t>
  </si>
  <si>
    <t xml:space="preserve">私立大蘋果美語文理短期補習班</t>
  </si>
  <si>
    <r>
      <rPr>
        <sz val="10"/>
        <color rgb="FF1F2A28"/>
        <rFont val="WenQuanYi Zen Hei"/>
        <family val="2"/>
      </rPr>
      <t xml:space="preserve">新莊區中和街</t>
    </r>
    <r>
      <rPr>
        <sz val="10"/>
        <color rgb="FF1F2A28"/>
        <rFont val="Arial"/>
        <family val="0"/>
        <charset val="1"/>
      </rPr>
      <t xml:space="preserve">155</t>
    </r>
    <r>
      <rPr>
        <sz val="10"/>
        <color rgb="FF1F2A28"/>
        <rFont val="WenQuanYi Zen Hei"/>
        <family val="2"/>
      </rPr>
      <t xml:space="preserve">巷</t>
    </r>
    <r>
      <rPr>
        <sz val="10"/>
        <color rgb="FF1F2A28"/>
        <rFont val="Arial"/>
        <family val="0"/>
        <charset val="1"/>
      </rPr>
      <t xml:space="preserve">24</t>
    </r>
    <r>
      <rPr>
        <sz val="10"/>
        <color rgb="FF1F2A28"/>
        <rFont val="WenQuanYi Zen Hei"/>
        <family val="2"/>
      </rPr>
      <t xml:space="preserve">弄</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</si>
  <si>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(02)29924966</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</si>
  <si>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國、英、理、數</t>
    </r>
    <r>
      <rPr>
        <sz val="10"/>
        <color rgb="FF1F2A28"/>
        <rFont val="Arial"/>
        <family val="0"/>
        <charset val="1"/>
      </rPr>
      <t xml:space="preserve">)</t>
    </r>
  </si>
  <si>
    <t xml:space="preserve">2012-08-27</t>
  </si>
  <si>
    <t xml:space="preserve">蔡明秀</t>
  </si>
  <si>
    <t xml:space="preserve">私立好學園文理美語珠心算短期補習班</t>
  </si>
  <si>
    <r>
      <rPr>
        <sz val="10"/>
        <color rgb="FF1F2A28"/>
        <rFont val="WenQuanYi Zen Hei"/>
        <family val="2"/>
      </rPr>
      <t xml:space="preserve">新莊區新泰路</t>
    </r>
    <r>
      <rPr>
        <sz val="10"/>
        <color rgb="FF1F2A28"/>
        <rFont val="Arial"/>
        <family val="0"/>
        <charset val="1"/>
      </rPr>
      <t xml:space="preserve">225</t>
    </r>
    <r>
      <rPr>
        <sz val="10"/>
        <color rgb="FF1F2A28"/>
        <rFont val="WenQuanYi Zen Hei"/>
        <family val="2"/>
      </rPr>
      <t xml:space="preserve">巷</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</si>
  <si>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(02)29905989</t>
  </si>
  <si>
    <t xml:space="preserve">goodschool225@gmail.com</t>
  </si>
  <si>
    <t xml:space="preserve">2010-11-24</t>
  </si>
  <si>
    <t xml:space="preserve">楊惠真</t>
  </si>
  <si>
    <t xml:space="preserve">私立學城文理語文短期補習班</t>
  </si>
  <si>
    <r>
      <rPr>
        <sz val="10"/>
        <color rgb="FF1F2A28"/>
        <rFont val="WenQuanYi Zen Hei"/>
        <family val="2"/>
      </rPr>
      <t xml:space="preserve">新莊區中港路</t>
    </r>
    <r>
      <rPr>
        <sz val="10"/>
        <color rgb="FF1F2A28"/>
        <rFont val="Arial"/>
        <family val="0"/>
        <charset val="1"/>
      </rPr>
      <t xml:space="preserve">70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樓含夾層</t>
    </r>
    <r>
      <rPr>
        <sz val="10"/>
        <color rgb="FF1F2A28"/>
        <rFont val="Arial"/>
        <family val="0"/>
        <charset val="1"/>
      </rPr>
      <t xml:space="preserve">)</t>
    </r>
  </si>
  <si>
    <t xml:space="preserve">2994-0675</t>
  </si>
  <si>
    <t xml:space="preserve">1998-12-07</t>
  </si>
  <si>
    <t xml:space="preserve">陳伯欣</t>
  </si>
  <si>
    <t xml:space="preserve">私立學昇文理語文短期補習班</t>
  </si>
  <si>
    <r>
      <rPr>
        <sz val="10"/>
        <color rgb="FF1F2A28"/>
        <rFont val="WenQuanYi Zen Hei"/>
        <family val="2"/>
      </rPr>
      <t xml:space="preserve">新莊區中港路</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63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</si>
  <si>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(02)29979939</t>
  </si>
  <si>
    <t xml:space="preserve">李雨芳</t>
  </si>
  <si>
    <t xml:space="preserve">私立學林文理語文短期補習班</t>
  </si>
  <si>
    <r>
      <rPr>
        <sz val="10"/>
        <color rgb="FF1F2A28"/>
        <rFont val="WenQuanYi Zen Hei"/>
        <family val="2"/>
      </rPr>
      <t xml:space="preserve">新莊區中平路</t>
    </r>
    <r>
      <rPr>
        <sz val="10"/>
        <color rgb="FF1F2A28"/>
        <rFont val="Arial"/>
        <family val="0"/>
        <charset val="1"/>
      </rPr>
      <t xml:space="preserve">110</t>
    </r>
    <r>
      <rPr>
        <sz val="10"/>
        <color rgb="FF1F2A28"/>
        <rFont val="WenQuanYi Zen Hei"/>
        <family val="2"/>
      </rPr>
      <t xml:space="preserve">巷</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</si>
  <si>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(02)29988656</t>
  </si>
  <si>
    <t xml:space="preserve">sw29988656@gmail.com</t>
  </si>
  <si>
    <t xml:space="preserve">2011-07-15</t>
  </si>
  <si>
    <t xml:space="preserve">詹濬峰</t>
  </si>
  <si>
    <t xml:space="preserve">私立學譽美語文理短期補習班</t>
  </si>
  <si>
    <r>
      <rPr>
        <sz val="10"/>
        <color rgb="FF1F2A28"/>
        <rFont val="WenQuanYi Zen Hei"/>
        <family val="2"/>
      </rPr>
      <t xml:space="preserve">新莊區中港路</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</si>
  <si>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(02)29977218</t>
  </si>
  <si>
    <t xml:space="preserve">pb29977218@gmail.com</t>
  </si>
  <si>
    <t xml:space="preserve">朱建明</t>
  </si>
  <si>
    <t xml:space="preserve">邱雯玲</t>
  </si>
  <si>
    <t xml:space="preserve">私立安可語文補習班</t>
  </si>
  <si>
    <r>
      <rPr>
        <sz val="10"/>
        <color rgb="FF1F2A28"/>
        <rFont val="WenQuanYi Zen Hei"/>
        <family val="2"/>
      </rPr>
      <t xml:space="preserve">新莊區昌隆街</t>
    </r>
    <r>
      <rPr>
        <sz val="10"/>
        <color rgb="FF1F2A28"/>
        <rFont val="Arial"/>
        <family val="0"/>
        <charset val="1"/>
      </rPr>
      <t xml:space="preserve">027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</si>
  <si>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29908082</t>
  </si>
  <si>
    <t xml:space="preserve">giccs.suhua@gmail.com</t>
  </si>
  <si>
    <t xml:space="preserve">2000-06-29</t>
  </si>
  <si>
    <t xml:space="preserve">林素華</t>
  </si>
  <si>
    <t xml:space="preserve">林冠達</t>
  </si>
  <si>
    <t xml:space="preserve">私立宏錡文理珠心算電腦語文美術音樂短期補習班</t>
  </si>
  <si>
    <r>
      <rPr>
        <sz val="10"/>
        <color rgb="FF1F2A28"/>
        <rFont val="WenQuanYi Zen Hei"/>
        <family val="2"/>
      </rPr>
      <t xml:space="preserve">新莊區中和街</t>
    </r>
    <r>
      <rPr>
        <sz val="10"/>
        <color rgb="FF1F2A28"/>
        <rFont val="Arial"/>
        <family val="0"/>
        <charset val="1"/>
      </rPr>
      <t xml:space="preserve">191</t>
    </r>
    <r>
      <rPr>
        <sz val="10"/>
        <color rgb="FF1F2A28"/>
        <rFont val="WenQuanYi Zen Hei"/>
        <family val="2"/>
      </rPr>
      <t xml:space="preserve">巷</t>
    </r>
    <r>
      <rPr>
        <sz val="10"/>
        <color rgb="FF1F2A28"/>
        <rFont val="Arial"/>
        <family val="0"/>
        <charset val="1"/>
      </rPr>
      <t xml:space="preserve">53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樓及中和街</t>
    </r>
    <r>
      <rPr>
        <sz val="10"/>
        <color rgb="FF1F2A28"/>
        <rFont val="Arial"/>
        <family val="0"/>
        <charset val="1"/>
      </rPr>
      <t xml:space="preserve">155</t>
    </r>
    <r>
      <rPr>
        <sz val="10"/>
        <color rgb="FF1F2A28"/>
        <rFont val="WenQuanYi Zen Hei"/>
        <family val="2"/>
      </rPr>
      <t xml:space="preserve">巷</t>
    </r>
    <r>
      <rPr>
        <sz val="10"/>
        <color rgb="FF1F2A28"/>
        <rFont val="Arial"/>
        <family val="0"/>
        <charset val="1"/>
      </rPr>
      <t xml:space="preserve">24</t>
    </r>
    <r>
      <rPr>
        <sz val="10"/>
        <color rgb="FF1F2A28"/>
        <rFont val="WenQuanYi Zen Hei"/>
        <family val="2"/>
      </rPr>
      <t xml:space="preserve">弄</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</si>
  <si>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(02)29947231</t>
  </si>
  <si>
    <t xml:space="preserve">weiwei9834@gmail.com</t>
  </si>
  <si>
    <t xml:space="preserve">2004-09-10</t>
  </si>
  <si>
    <t xml:space="preserve">代表人：許耀堂</t>
  </si>
  <si>
    <t xml:space="preserve">葉亞薇</t>
  </si>
  <si>
    <t xml:space="preserve">私立小巨人文理電腦語言短期補習班</t>
  </si>
  <si>
    <r>
      <rPr>
        <sz val="10"/>
        <color rgb="FF1F2A28"/>
        <rFont val="WenQuanYi Zen Hei"/>
        <family val="2"/>
      </rPr>
      <t xml:space="preserve">新莊區中和街</t>
    </r>
    <r>
      <rPr>
        <sz val="10"/>
        <color rgb="FF1F2A28"/>
        <rFont val="Arial"/>
        <family val="0"/>
        <charset val="1"/>
      </rPr>
      <t xml:space="preserve">59</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</si>
  <si>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(02)29915554</t>
  </si>
  <si>
    <t xml:space="preserve">2003-08-14</t>
  </si>
  <si>
    <t xml:space="preserve">蕭博仁</t>
  </si>
  <si>
    <t xml:space="preserve">私立康唯美語文理短期補習班</t>
  </si>
  <si>
    <r>
      <rPr>
        <sz val="10"/>
        <color rgb="FF1F2A28"/>
        <rFont val="WenQuanYi Zen Hei"/>
        <family val="2"/>
      </rPr>
      <t xml:space="preserve">新莊區中原路</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</si>
  <si>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29964978</t>
  </si>
  <si>
    <t xml:space="preserve">2023-12-23</t>
  </si>
  <si>
    <t xml:space="preserve">張長展</t>
  </si>
  <si>
    <t xml:space="preserve">私立建中外語教育文理短期補習班</t>
  </si>
  <si>
    <r>
      <rPr>
        <sz val="10"/>
        <color rgb="FF1F2A28"/>
        <rFont val="WenQuanYi Zen Hei"/>
        <family val="2"/>
      </rPr>
      <t xml:space="preserve">新莊區昌平街</t>
    </r>
    <r>
      <rPr>
        <sz val="10"/>
        <color rgb="FF1F2A28"/>
        <rFont val="Arial"/>
        <family val="0"/>
        <charset val="1"/>
      </rPr>
      <t xml:space="preserve">82</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弄</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</si>
  <si>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0229964023</t>
  </si>
  <si>
    <t xml:space="preserve">2026-08-03</t>
  </si>
  <si>
    <t xml:space="preserve">張鈞傑</t>
  </si>
  <si>
    <t xml:space="preserve">陳韻雅</t>
  </si>
  <si>
    <t xml:space="preserve">私立建智文理語文短期補習班</t>
  </si>
  <si>
    <r>
      <rPr>
        <sz val="10"/>
        <color rgb="FF1F2A28"/>
        <rFont val="WenQuanYi Zen Hei"/>
        <family val="2"/>
      </rPr>
      <t xml:space="preserve">新莊區中正路</t>
    </r>
    <r>
      <rPr>
        <sz val="10"/>
        <color rgb="FF1F2A28"/>
        <rFont val="Arial"/>
        <family val="0"/>
        <charset val="1"/>
      </rPr>
      <t xml:space="preserve">742</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弄</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樓、新北大道</t>
    </r>
    <r>
      <rPr>
        <sz val="10"/>
        <color rgb="FF1F2A28"/>
        <rFont val="Arial"/>
        <family val="0"/>
        <charset val="1"/>
      </rPr>
      <t xml:space="preserve">7</t>
    </r>
    <r>
      <rPr>
        <sz val="10"/>
        <color rgb="FF1F2A28"/>
        <rFont val="WenQuanYi Zen Hei"/>
        <family val="2"/>
      </rPr>
      <t xml:space="preserve">段</t>
    </r>
    <r>
      <rPr>
        <sz val="10"/>
        <color rgb="FF1F2A28"/>
        <rFont val="Arial"/>
        <family val="0"/>
        <charset val="1"/>
      </rPr>
      <t xml:space="preserve">850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樓及地下</t>
    </r>
    <r>
      <rPr>
        <sz val="10"/>
        <color rgb="FF1F2A28"/>
        <rFont val="Arial"/>
        <family val="0"/>
        <charset val="1"/>
      </rPr>
      <t xml:space="preserve">1</t>
    </r>
    <r>
      <rPr>
        <sz val="10"/>
        <color rgb="FF1F2A28"/>
        <rFont val="WenQuanYi Zen Hei"/>
        <family val="2"/>
      </rPr>
      <t xml:space="preserve">樓</t>
    </r>
  </si>
  <si>
    <t xml:space="preserve">29069773</t>
  </si>
  <si>
    <t xml:space="preserve">1997-06-11</t>
  </si>
  <si>
    <t xml:space="preserve">私立必勝文理技藝短期補習班</t>
  </si>
  <si>
    <r>
      <rPr>
        <sz val="10"/>
        <color rgb="FF1F2A28"/>
        <rFont val="WenQuanYi Zen Hei"/>
        <family val="2"/>
      </rPr>
      <t xml:space="preserve">新莊區瓊泰路</t>
    </r>
    <r>
      <rPr>
        <sz val="10"/>
        <color rgb="FF1F2A28"/>
        <rFont val="Arial"/>
        <family val="0"/>
        <charset val="1"/>
      </rPr>
      <t xml:space="preserve">167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</si>
  <si>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(02)22054956</t>
  </si>
  <si>
    <t xml:space="preserve">c22031295@yahoo.com.tw</t>
  </si>
  <si>
    <t xml:space="preserve">2002-09-04</t>
  </si>
  <si>
    <t xml:space="preserve">林麗雯</t>
  </si>
  <si>
    <t xml:space="preserve">黃琳幀</t>
  </si>
  <si>
    <t xml:space="preserve">私立惠園美語文理短期補習班</t>
  </si>
  <si>
    <r>
      <rPr>
        <sz val="10"/>
        <color rgb="FF1F2A28"/>
        <rFont val="WenQuanYi Zen Hei"/>
        <family val="2"/>
      </rPr>
      <t xml:space="preserve">新莊區裕民街</t>
    </r>
    <r>
      <rPr>
        <sz val="10"/>
        <color rgb="FF1F2A28"/>
        <rFont val="Arial"/>
        <family val="0"/>
        <charset val="1"/>
      </rPr>
      <t xml:space="preserve">54</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</si>
  <si>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(02)29011708</t>
  </si>
  <si>
    <t xml:space="preserve">劉素蘭</t>
  </si>
  <si>
    <t xml:space="preserve">黃雅萍</t>
  </si>
  <si>
    <t xml:space="preserve">私立意蕓國際股份有限公司附設康加美語文理短期補習班</t>
  </si>
  <si>
    <r>
      <rPr>
        <sz val="10"/>
        <color rgb="FF1F2A28"/>
        <rFont val="WenQuanYi Zen Hei"/>
        <family val="2"/>
      </rPr>
      <t xml:space="preserve">新莊區昌平街</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樓及地下</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</si>
  <si>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(02)29900016</t>
  </si>
  <si>
    <t xml:space="preserve">windsorxjeducation@gmail.com</t>
  </si>
  <si>
    <t xml:space="preserve">英文、英語</t>
  </si>
  <si>
    <t xml:space="preserve">2012-10-19</t>
  </si>
  <si>
    <t xml:space="preserve">杜凡</t>
  </si>
  <si>
    <t xml:space="preserve">古家衛</t>
  </si>
  <si>
    <t xml:space="preserve">私立意蕓國際股份有限公司附設溫莎公爵美語文理短期補習班</t>
  </si>
  <si>
    <r>
      <rPr>
        <sz val="10"/>
        <color rgb="FF1F2A28"/>
        <rFont val="WenQuanYi Zen Hei"/>
        <family val="2"/>
      </rPr>
      <t xml:space="preserve">新莊區中和街</t>
    </r>
    <r>
      <rPr>
        <sz val="10"/>
        <color rgb="FF1F2A28"/>
        <rFont val="Arial"/>
        <family val="0"/>
        <charset val="1"/>
      </rPr>
      <t xml:space="preserve">155</t>
    </r>
    <r>
      <rPr>
        <sz val="10"/>
        <color rgb="FF1F2A28"/>
        <rFont val="WenQuanYi Zen Hei"/>
        <family val="2"/>
      </rPr>
      <t xml:space="preserve">巷</t>
    </r>
    <r>
      <rPr>
        <sz val="10"/>
        <color rgb="FF1F2A28"/>
        <rFont val="Arial"/>
        <family val="0"/>
        <charset val="1"/>
      </rPr>
      <t xml:space="preserve">24</t>
    </r>
    <r>
      <rPr>
        <sz val="10"/>
        <color rgb="FF1F2A28"/>
        <rFont val="WenQuanYi Zen Hei"/>
        <family val="2"/>
      </rPr>
      <t xml:space="preserve">弄</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</si>
  <si>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(02)29927061</t>
  </si>
  <si>
    <t xml:space="preserve">美語、英、數</t>
  </si>
  <si>
    <t xml:space="preserve">2011-03-24</t>
  </si>
  <si>
    <t xml:space="preserve">私立慢慢文理短期補習班</t>
  </si>
  <si>
    <r>
      <rPr>
        <sz val="10"/>
        <color rgb="FF1F2A28"/>
        <rFont val="WenQuanYi Zen Hei"/>
        <family val="2"/>
      </rPr>
      <t xml:space="preserve">新莊區富國路</t>
    </r>
    <r>
      <rPr>
        <sz val="10"/>
        <color rgb="FF1F2A28"/>
        <rFont val="Arial"/>
        <family val="0"/>
        <charset val="1"/>
      </rPr>
      <t xml:space="preserve">102</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</si>
  <si>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0222020257</t>
  </si>
  <si>
    <t xml:space="preserve">letsdoitba102@gmail.com</t>
  </si>
  <si>
    <t xml:space="preserve">2024-08-12</t>
  </si>
  <si>
    <t xml:space="preserve">陳建廷</t>
  </si>
  <si>
    <t xml:space="preserve">簡嘉瑜</t>
  </si>
  <si>
    <t xml:space="preserve">私立成德菁英文理語文短期補習班</t>
  </si>
  <si>
    <r>
      <rPr>
        <sz val="10"/>
        <color rgb="FF1F2A28"/>
        <rFont val="WenQuanYi Zen Hei"/>
        <family val="2"/>
      </rPr>
      <t xml:space="preserve">新莊區四維路</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</si>
  <si>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(02)2205-5799</t>
  </si>
  <si>
    <t xml:space="preserve">yehmailing@gmail.com</t>
  </si>
  <si>
    <t xml:space="preserve">葉麥玲</t>
  </si>
  <si>
    <t xml:space="preserve">私立捷士安語文珠心算短期補習班</t>
  </si>
  <si>
    <r>
      <rPr>
        <sz val="10"/>
        <color rgb="FF1F2A28"/>
        <rFont val="WenQuanYi Zen Hei"/>
        <family val="2"/>
      </rPr>
      <t xml:space="preserve">新莊區瓊泰路</t>
    </r>
    <r>
      <rPr>
        <sz val="10"/>
        <color rgb="FF1F2A28"/>
        <rFont val="Arial"/>
        <family val="0"/>
        <charset val="1"/>
      </rPr>
      <t xml:space="preserve">177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</si>
  <si>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(02)2203-8168</t>
  </si>
  <si>
    <t xml:space="preserve">2001-10-15</t>
  </si>
  <si>
    <t xml:space="preserve">黃韋翔</t>
  </si>
  <si>
    <t xml:space="preserve">趙月桃</t>
  </si>
  <si>
    <t xml:space="preserve">私立捷能語文短期補習班</t>
  </si>
  <si>
    <r>
      <rPr>
        <sz val="10"/>
        <color rgb="FF1F2A28"/>
        <rFont val="WenQuanYi Zen Hei"/>
        <family val="2"/>
      </rPr>
      <t xml:space="preserve">新莊區龍安路</t>
    </r>
    <r>
      <rPr>
        <sz val="10"/>
        <color rgb="FF1F2A28"/>
        <rFont val="Arial"/>
        <family val="0"/>
        <charset val="1"/>
      </rPr>
      <t xml:space="preserve">461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</si>
  <si>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(02)22047630</t>
  </si>
  <si>
    <t xml:space="preserve">2008-12-09</t>
  </si>
  <si>
    <t xml:space="preserve">張巧霞</t>
  </si>
  <si>
    <t xml:space="preserve">劉家宏</t>
  </si>
  <si>
    <t xml:space="preserve">私立文仲語文短期補習班</t>
  </si>
  <si>
    <r>
      <rPr>
        <sz val="10"/>
        <color rgb="FF1F2A28"/>
        <rFont val="WenQuanYi Zen Hei"/>
        <family val="2"/>
      </rPr>
      <t xml:space="preserve">新莊區中正路</t>
    </r>
    <r>
      <rPr>
        <sz val="10"/>
        <color rgb="FF1F2A28"/>
        <rFont val="Arial"/>
        <family val="0"/>
        <charset val="1"/>
      </rPr>
      <t xml:space="preserve">149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</si>
  <si>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(02)29947799</t>
  </si>
  <si>
    <t xml:space="preserve">cady570726@kimo.com</t>
  </si>
  <si>
    <t xml:space="preserve">2004-08-18</t>
  </si>
  <si>
    <t xml:space="preserve">張啟致</t>
  </si>
  <si>
    <t xml:space="preserve">姜瑞玲</t>
  </si>
  <si>
    <t xml:space="preserve">私立文政文理語文短期補習班</t>
  </si>
  <si>
    <r>
      <rPr>
        <sz val="10"/>
        <color rgb="FF1F2A28"/>
        <rFont val="WenQuanYi Zen Hei"/>
        <family val="2"/>
      </rPr>
      <t xml:space="preserve">新莊區民安路</t>
    </r>
    <r>
      <rPr>
        <sz val="10"/>
        <color rgb="FF1F2A28"/>
        <rFont val="Arial"/>
        <family val="0"/>
        <charset val="1"/>
      </rPr>
      <t xml:space="preserve">292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292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</si>
  <si>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2206-4240</t>
  </si>
  <si>
    <t xml:space="preserve">lisafeng11@yahoo.com.tw</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</si>
  <si>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英文、數學</t>
    </r>
    <r>
      <rPr>
        <sz val="10"/>
        <color rgb="FF1F2A28"/>
        <rFont val="Arial"/>
        <family val="0"/>
        <charset val="1"/>
      </rPr>
      <t xml:space="preserve">)</t>
    </r>
  </si>
  <si>
    <t xml:space="preserve">2000-08-25</t>
  </si>
  <si>
    <t xml:space="preserve">馮麗香</t>
  </si>
  <si>
    <t xml:space="preserve">私立新文林語文短期補習班</t>
  </si>
  <si>
    <r>
      <rPr>
        <sz val="10"/>
        <color rgb="FF1F2A28"/>
        <rFont val="WenQuanYi Zen Hei"/>
        <family val="2"/>
      </rPr>
      <t xml:space="preserve">新莊區成功街</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</si>
  <si>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(02)2202-8571</t>
  </si>
  <si>
    <t xml:space="preserve">吳秋萱</t>
  </si>
  <si>
    <t xml:space="preserve">私立新昌隆文教有限公司附設佳玢英語短期補習班</t>
  </si>
  <si>
    <r>
      <rPr>
        <sz val="10"/>
        <color rgb="FF1F2A28"/>
        <rFont val="WenQuanYi Zen Hei"/>
        <family val="2"/>
      </rPr>
      <t xml:space="preserve">新莊區中華路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162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</si>
  <si>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(02)2277-4468</t>
  </si>
  <si>
    <t xml:space="preserve">2008-06-03</t>
  </si>
  <si>
    <r>
      <rPr>
        <sz val="10"/>
        <color rgb="FF1F2A28"/>
        <rFont val="WenQuanYi Zen Hei"/>
        <family val="2"/>
      </rPr>
      <t xml:space="preserve">石玫</t>
    </r>
    <r>
      <rPr>
        <sz val="10"/>
        <color rgb="FF1F2A28"/>
        <rFont val="Arial"/>
        <family val="0"/>
        <charset val="1"/>
      </rPr>
      <t xml:space="preserve">(</t>
    </r>
    <r>
      <rPr>
        <sz val="10"/>
        <color rgb="FF1F2A28"/>
        <rFont val="WenQuanYi Zen Hei"/>
        <family val="2"/>
      </rPr>
      <t xml:space="preserve">王芬</t>
    </r>
    <r>
      <rPr>
        <sz val="10"/>
        <color rgb="FF1F2A28"/>
        <rFont val="Arial"/>
        <family val="0"/>
        <charset val="1"/>
      </rPr>
      <t xml:space="preserve">)</t>
    </r>
  </si>
  <si>
    <t xml:space="preserve">黃琇鈺</t>
  </si>
  <si>
    <t xml:space="preserve">私立東煌美語短期補習班</t>
  </si>
  <si>
    <r>
      <rPr>
        <sz val="10"/>
        <color rgb="FF1F2A28"/>
        <rFont val="WenQuanYi Zen Hei"/>
        <family val="2"/>
      </rPr>
      <t xml:space="preserve">新莊區公園一路</t>
    </r>
    <r>
      <rPr>
        <sz val="10"/>
        <color rgb="FF1F2A28"/>
        <rFont val="Arial"/>
        <family val="0"/>
        <charset val="1"/>
      </rPr>
      <t xml:space="preserve">58</t>
    </r>
    <r>
      <rPr>
        <sz val="10"/>
        <color rgb="FF1F2A28"/>
        <rFont val="WenQuanYi Zen Hei"/>
        <family val="2"/>
      </rPr>
      <t xml:space="preserve">、</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</si>
  <si>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(02)22772109</t>
  </si>
  <si>
    <t xml:space="preserve">cflwinnie@hotmail.com</t>
  </si>
  <si>
    <t xml:space="preserve">鄭林淑娥</t>
  </si>
  <si>
    <t xml:space="preserve">鄭鳳玲</t>
  </si>
  <si>
    <t xml:space="preserve">私立格登語文短期補習班</t>
  </si>
  <si>
    <r>
      <rPr>
        <sz val="10"/>
        <color rgb="FF1F2A28"/>
        <rFont val="WenQuanYi Zen Hei"/>
        <family val="2"/>
      </rPr>
      <t xml:space="preserve">新莊區中信街</t>
    </r>
    <r>
      <rPr>
        <sz val="10"/>
        <color rgb="FF1F2A28"/>
        <rFont val="Arial"/>
        <family val="0"/>
        <charset val="1"/>
      </rPr>
      <t xml:space="preserve">109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2</t>
    </r>
  </si>
  <si>
    <t xml:space="preserve">2990-9966</t>
  </si>
  <si>
    <t xml:space="preserve">bowjinn9966@yahoo.com.tw</t>
  </si>
  <si>
    <t xml:space="preserve">2000-08-04</t>
  </si>
  <si>
    <t xml:space="preserve">蔡秀吟</t>
  </si>
  <si>
    <t xml:space="preserve">陳佳真</t>
  </si>
  <si>
    <t xml:space="preserve">私立森卉文理短期補習班</t>
  </si>
  <si>
    <r>
      <rPr>
        <sz val="10"/>
        <color rgb="FF1F2A28"/>
        <rFont val="WenQuanYi Zen Hei"/>
        <family val="2"/>
      </rPr>
      <t xml:space="preserve">新莊區中和街</t>
    </r>
    <r>
      <rPr>
        <sz val="10"/>
        <color rgb="FF1F2A28"/>
        <rFont val="Arial"/>
        <family val="0"/>
        <charset val="1"/>
      </rPr>
      <t xml:space="preserve">155</t>
    </r>
    <r>
      <rPr>
        <sz val="10"/>
        <color rgb="FF1F2A28"/>
        <rFont val="WenQuanYi Zen Hei"/>
        <family val="2"/>
      </rPr>
      <t xml:space="preserve">巷</t>
    </r>
    <r>
      <rPr>
        <sz val="10"/>
        <color rgb="FF1F2A28"/>
        <rFont val="Arial"/>
        <family val="0"/>
        <charset val="1"/>
      </rPr>
      <t xml:space="preserve">24</t>
    </r>
    <r>
      <rPr>
        <sz val="10"/>
        <color rgb="FF1F2A28"/>
        <rFont val="WenQuanYi Zen Hei"/>
        <family val="2"/>
      </rPr>
      <t xml:space="preserve">弄</t>
    </r>
    <r>
      <rPr>
        <sz val="10"/>
        <color rgb="FF1F2A28"/>
        <rFont val="Arial"/>
        <family val="0"/>
        <charset val="1"/>
      </rPr>
      <t xml:space="preserve">34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樓、中和街</t>
    </r>
    <r>
      <rPr>
        <sz val="10"/>
        <color rgb="FF1F2A28"/>
        <rFont val="Arial"/>
        <family val="0"/>
        <charset val="1"/>
      </rPr>
      <t xml:space="preserve">191</t>
    </r>
    <r>
      <rPr>
        <sz val="10"/>
        <color rgb="FF1F2A28"/>
        <rFont val="WenQuanYi Zen Hei"/>
        <family val="2"/>
      </rPr>
      <t xml:space="preserve">巷</t>
    </r>
    <r>
      <rPr>
        <sz val="10"/>
        <color rgb="FF1F2A28"/>
        <rFont val="Arial"/>
        <family val="0"/>
        <charset val="1"/>
      </rPr>
      <t xml:space="preserve">65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</si>
  <si>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2998-2102</t>
  </si>
  <si>
    <t xml:space="preserve">tsuki0820@hotmail.com</t>
  </si>
  <si>
    <t xml:space="preserve">2001-02-12</t>
  </si>
  <si>
    <t xml:space="preserve">私立楷模文理語文技藝短期補習班</t>
  </si>
  <si>
    <r>
      <rPr>
        <sz val="10"/>
        <color rgb="FF1F2A28"/>
        <rFont val="WenQuanYi Zen Hei"/>
        <family val="2"/>
      </rPr>
      <t xml:space="preserve">新莊區八德街</t>
    </r>
    <r>
      <rPr>
        <sz val="10"/>
        <color rgb="FF1F2A28"/>
        <rFont val="Arial"/>
        <family val="0"/>
        <charset val="1"/>
      </rPr>
      <t xml:space="preserve">15</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號、民安路</t>
    </r>
    <r>
      <rPr>
        <sz val="10"/>
        <color rgb="FF1F2A28"/>
        <rFont val="Arial"/>
        <family val="0"/>
        <charset val="1"/>
      </rPr>
      <t xml:space="preserve">179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</si>
  <si>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(02)22045045</t>
  </si>
  <si>
    <t xml:space="preserve">2006-08-18</t>
  </si>
  <si>
    <t xml:space="preserve">廖建華</t>
  </si>
  <si>
    <t xml:space="preserve">陳自薇</t>
  </si>
  <si>
    <t xml:space="preserve">私立榮富英語短期補習班</t>
  </si>
  <si>
    <r>
      <rPr>
        <sz val="10"/>
        <color rgb="FF1F2A28"/>
        <rFont val="WenQuanYi Zen Hei"/>
        <family val="2"/>
      </rPr>
      <t xml:space="preserve">新莊區中和街</t>
    </r>
    <r>
      <rPr>
        <sz val="10"/>
        <color rgb="FF1F2A28"/>
        <rFont val="Arial"/>
        <family val="0"/>
        <charset val="1"/>
      </rPr>
      <t xml:space="preserve">155</t>
    </r>
    <r>
      <rPr>
        <sz val="10"/>
        <color rgb="FF1F2A28"/>
        <rFont val="WenQuanYi Zen Hei"/>
        <family val="2"/>
      </rPr>
      <t xml:space="preserve">巷</t>
    </r>
    <r>
      <rPr>
        <sz val="10"/>
        <color rgb="FF1F2A28"/>
        <rFont val="Arial"/>
        <family val="0"/>
        <charset val="1"/>
      </rPr>
      <t xml:space="preserve">24</t>
    </r>
    <r>
      <rPr>
        <sz val="10"/>
        <color rgb="FF1F2A28"/>
        <rFont val="WenQuanYi Zen Hei"/>
        <family val="2"/>
      </rPr>
      <t xml:space="preserve">弄</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</si>
  <si>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8992-0088</t>
  </si>
  <si>
    <t xml:space="preserve">2000-10-26</t>
  </si>
  <si>
    <t xml:space="preserve">吳華冑</t>
  </si>
  <si>
    <t xml:space="preserve">私立歐巴瑪語文短期補習班</t>
  </si>
  <si>
    <r>
      <rPr>
        <sz val="10"/>
        <color rgb="FF1F2A28"/>
        <rFont val="WenQuanYi Zen Hei"/>
        <family val="2"/>
      </rPr>
      <t xml:space="preserve">新莊區昌平街</t>
    </r>
    <r>
      <rPr>
        <sz val="10"/>
        <color rgb="FF1F2A28"/>
        <rFont val="Arial"/>
        <family val="0"/>
        <charset val="1"/>
      </rPr>
      <t xml:space="preserve">82</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弄</t>
    </r>
    <r>
      <rPr>
        <sz val="10"/>
        <color rgb="FF1F2A28"/>
        <rFont val="Arial"/>
        <family val="0"/>
        <charset val="1"/>
      </rPr>
      <t xml:space="preserve">12</t>
    </r>
    <r>
      <rPr>
        <sz val="10"/>
        <color rgb="FF1F2A28"/>
        <rFont val="WenQuanYi Zen Hei"/>
        <family val="2"/>
      </rPr>
      <t xml:space="preserve">號</t>
    </r>
  </si>
  <si>
    <t xml:space="preserve">(02)22773314</t>
  </si>
  <si>
    <t xml:space="preserve">margaret.chang1@gmail.com</t>
  </si>
  <si>
    <t xml:space="preserve">2009-04-20</t>
  </si>
  <si>
    <t xml:space="preserve">廖德華</t>
  </si>
  <si>
    <t xml:space="preserve">私立煜文文理語文短期補習班</t>
  </si>
  <si>
    <r>
      <rPr>
        <sz val="10"/>
        <color rgb="FF1F2A28"/>
        <rFont val="WenQuanYi Zen Hei"/>
        <family val="2"/>
      </rPr>
      <t xml:space="preserve">新莊區中和街</t>
    </r>
    <r>
      <rPr>
        <sz val="10"/>
        <color rgb="FF1F2A28"/>
        <rFont val="Arial"/>
        <family val="0"/>
        <charset val="1"/>
      </rPr>
      <t xml:space="preserve">59</t>
    </r>
    <r>
      <rPr>
        <sz val="10"/>
        <color rgb="FF1F2A28"/>
        <rFont val="WenQuanYi Zen Hei"/>
        <family val="2"/>
      </rPr>
      <t xml:space="preserve">巷</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</si>
  <si>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(02)29931394</t>
  </si>
  <si>
    <t xml:space="preserve">cc04052003@gmail.com</t>
  </si>
  <si>
    <t xml:space="preserve">2009-07-20</t>
  </si>
  <si>
    <t xml:space="preserve">顏正怡</t>
  </si>
  <si>
    <t xml:space="preserve">私立瑋上文理語文短期補習班</t>
  </si>
  <si>
    <r>
      <rPr>
        <sz val="10"/>
        <color rgb="FF1F2A28"/>
        <rFont val="WenQuanYi Zen Hei"/>
        <family val="2"/>
      </rPr>
      <t xml:space="preserve">新莊區福樂街</t>
    </r>
    <r>
      <rPr>
        <sz val="10"/>
        <color rgb="FF1F2A28"/>
        <rFont val="Arial"/>
        <family val="0"/>
        <charset val="1"/>
      </rPr>
      <t xml:space="preserve">88</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</si>
  <si>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(02)89919270</t>
  </si>
  <si>
    <t xml:space="preserve">林麗珠</t>
  </si>
  <si>
    <t xml:space="preserve">私立瑪麗安娜文理語文短期補習班</t>
  </si>
  <si>
    <r>
      <rPr>
        <sz val="10"/>
        <color rgb="FF1F2A28"/>
        <rFont val="WenQuanYi Zen Hei"/>
        <family val="2"/>
      </rPr>
      <t xml:space="preserve">新莊區昌平街</t>
    </r>
    <r>
      <rPr>
        <sz val="10"/>
        <color rgb="FF1F2A28"/>
        <rFont val="Arial"/>
        <family val="0"/>
        <charset val="1"/>
      </rPr>
      <t xml:space="preserve">82</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</si>
  <si>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(02)2990-6500</t>
  </si>
  <si>
    <t xml:space="preserve">marryandanna@gmail.com</t>
  </si>
  <si>
    <t xml:space="preserve">2015-11-12</t>
  </si>
  <si>
    <t xml:space="preserve">劉俊良</t>
  </si>
  <si>
    <t xml:space="preserve">劉育安</t>
  </si>
  <si>
    <t xml:space="preserve">私立碩宇電腦語文短期補習班</t>
  </si>
  <si>
    <r>
      <rPr>
        <sz val="10"/>
        <color rgb="FF1F2A28"/>
        <rFont val="WenQuanYi Zen Hei"/>
        <family val="2"/>
      </rPr>
      <t xml:space="preserve">新莊區中港路</t>
    </r>
    <r>
      <rPr>
        <sz val="10"/>
        <color rgb="FF1F2A28"/>
        <rFont val="Arial"/>
        <family val="0"/>
        <charset val="1"/>
      </rPr>
      <t xml:space="preserve">531</t>
    </r>
    <r>
      <rPr>
        <sz val="10"/>
        <color rgb="FF1F2A28"/>
        <rFont val="WenQuanYi Zen Hei"/>
        <family val="2"/>
      </rPr>
      <t xml:space="preserve">巷</t>
    </r>
    <r>
      <rPr>
        <sz val="10"/>
        <color rgb="FF1F2A28"/>
        <rFont val="Arial"/>
        <family val="0"/>
        <charset val="1"/>
      </rPr>
      <t xml:space="preserve">156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</si>
  <si>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(02)29961980</t>
  </si>
  <si>
    <t xml:space="preserve">rongfu.live@gmail.com</t>
  </si>
  <si>
    <t xml:space="preserve">2004-04-22</t>
  </si>
  <si>
    <t xml:space="preserve">陳琬菁</t>
  </si>
  <si>
    <t xml:space="preserve">葉豐碩</t>
  </si>
  <si>
    <t xml:space="preserve">私立立言文理技藝短期補習班</t>
  </si>
  <si>
    <r>
      <rPr>
        <sz val="10"/>
        <color rgb="FF1F2A28"/>
        <rFont val="WenQuanYi Zen Hei"/>
        <family val="2"/>
      </rPr>
      <t xml:space="preserve">新莊區新泰路</t>
    </r>
    <r>
      <rPr>
        <sz val="10"/>
        <color rgb="FF1F2A28"/>
        <rFont val="Arial"/>
        <family val="0"/>
        <charset val="1"/>
      </rPr>
      <t xml:space="preserve">265</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</si>
  <si>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(02)29933050</t>
  </si>
  <si>
    <t xml:space="preserve">yoy299@gmail.com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</si>
  <si>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國、英文、數、理化、史地</t>
    </r>
    <r>
      <rPr>
        <sz val="10"/>
        <color rgb="FF1F2A28"/>
        <rFont val="Arial"/>
        <family val="0"/>
        <charset val="1"/>
      </rPr>
      <t xml:space="preserve">)</t>
    </r>
  </si>
  <si>
    <t xml:space="preserve">2004-04-21</t>
  </si>
  <si>
    <t xml:space="preserve">羅佳韋</t>
  </si>
  <si>
    <t xml:space="preserve">羅永正</t>
  </si>
  <si>
    <t xml:space="preserve">私立童星語文短期補習班</t>
  </si>
  <si>
    <r>
      <rPr>
        <sz val="10"/>
        <color rgb="FF1F2A28"/>
        <rFont val="WenQuanYi Zen Hei"/>
        <family val="2"/>
      </rPr>
      <t xml:space="preserve">新莊區中和街</t>
    </r>
    <r>
      <rPr>
        <sz val="10"/>
        <color rgb="FF1F2A28"/>
        <rFont val="Arial"/>
        <family val="0"/>
        <charset val="1"/>
      </rPr>
      <t xml:space="preserve">118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</si>
  <si>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(02)89923058</t>
  </si>
  <si>
    <t xml:space="preserve">2002-11-11</t>
  </si>
  <si>
    <t xml:space="preserve">林芬貞</t>
  </si>
  <si>
    <t xml:space="preserve">陳佩鈴</t>
  </si>
  <si>
    <t xml:space="preserve">私立緯林美語文理短期補習班</t>
  </si>
  <si>
    <r>
      <rPr>
        <sz val="10"/>
        <color rgb="FF1F2A28"/>
        <rFont val="WenQuanYi Zen Hei"/>
        <family val="2"/>
      </rPr>
      <t xml:space="preserve">新莊區新樹路</t>
    </r>
    <r>
      <rPr>
        <sz val="10"/>
        <color rgb="FF1F2A28"/>
        <rFont val="Arial"/>
        <family val="0"/>
        <charset val="1"/>
      </rPr>
      <t xml:space="preserve">629</t>
    </r>
    <r>
      <rPr>
        <sz val="10"/>
        <color rgb="FF1F2A28"/>
        <rFont val="WenQuanYi Zen Hei"/>
        <family val="2"/>
      </rPr>
      <t xml:space="preserve">號、</t>
    </r>
    <r>
      <rPr>
        <sz val="10"/>
        <color rgb="FF1F2A28"/>
        <rFont val="Arial"/>
        <family val="0"/>
        <charset val="1"/>
      </rPr>
      <t xml:space="preserve">631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r>
      <rPr>
        <sz val="10"/>
        <color rgb="FF1F2A28"/>
        <rFont val="Arial"/>
        <family val="0"/>
        <charset val="1"/>
      </rPr>
      <t xml:space="preserve">)</t>
    </r>
  </si>
  <si>
    <t xml:space="preserve">(02)22076272</t>
  </si>
  <si>
    <t xml:space="preserve">appleyu830@gmail.com</t>
  </si>
  <si>
    <t xml:space="preserve">2012-09-17</t>
  </si>
  <si>
    <t xml:space="preserve">范文星</t>
  </si>
  <si>
    <t xml:space="preserve">曾柏豪</t>
  </si>
  <si>
    <t xml:space="preserve">私立群耀語文短期補習班</t>
  </si>
  <si>
    <r>
      <rPr>
        <sz val="10"/>
        <color rgb="FF1F2A28"/>
        <rFont val="WenQuanYi Zen Hei"/>
        <family val="2"/>
      </rPr>
      <t xml:space="preserve">新莊區幸褔路</t>
    </r>
    <r>
      <rPr>
        <sz val="10"/>
        <color rgb="FF1F2A28"/>
        <rFont val="Arial"/>
        <family val="0"/>
        <charset val="1"/>
      </rPr>
      <t xml:space="preserve">745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</si>
  <si>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(02)22772373</t>
  </si>
  <si>
    <t xml:space="preserve">ch1101ch1101@yahoo.com.tw</t>
  </si>
  <si>
    <t xml:space="preserve">2006-05-18</t>
  </si>
  <si>
    <t xml:space="preserve">陳康玲</t>
  </si>
  <si>
    <t xml:space="preserve">李盈潔</t>
  </si>
  <si>
    <t xml:space="preserve">私立聖桀珠心算語文文理短期補習班</t>
  </si>
  <si>
    <r>
      <rPr>
        <sz val="10"/>
        <color rgb="FF1F2A28"/>
        <rFont val="WenQuanYi Zen Hei"/>
        <family val="2"/>
      </rPr>
      <t xml:space="preserve">新莊區中華路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210</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樓、昌平街</t>
    </r>
    <r>
      <rPr>
        <sz val="10"/>
        <color rgb="FF1F2A28"/>
        <rFont val="Arial"/>
        <family val="0"/>
        <charset val="1"/>
      </rPr>
      <t xml:space="preserve">41</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</si>
  <si>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(02)8994-5168</t>
  </si>
  <si>
    <t xml:space="preserve">S.J1688@yahoo.com.tw</t>
  </si>
  <si>
    <t xml:space="preserve">2012-02-14</t>
  </si>
  <si>
    <t xml:space="preserve">楊畹靚</t>
  </si>
  <si>
    <t xml:space="preserve">私立育誠文理短期補習班</t>
  </si>
  <si>
    <r>
      <rPr>
        <sz val="10"/>
        <color rgb="FF1F2A28"/>
        <rFont val="WenQuanYi Zen Hei"/>
        <family val="2"/>
      </rPr>
      <t xml:space="preserve">新莊區中和街</t>
    </r>
    <r>
      <rPr>
        <sz val="10"/>
        <color rgb="FF1F2A28"/>
        <rFont val="Arial"/>
        <family val="0"/>
        <charset val="1"/>
      </rPr>
      <t xml:space="preserve">186</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</si>
  <si>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(02)2990-8384</t>
  </si>
  <si>
    <t xml:space="preserve">jianjhong.zhongping@gmail.com</t>
  </si>
  <si>
    <t xml:space="preserve">2012-12-03</t>
  </si>
  <si>
    <t xml:space="preserve">張育誠</t>
  </si>
  <si>
    <t xml:space="preserve">李志文</t>
  </si>
  <si>
    <t xml:space="preserve">私立菁鋒文理短期補習班</t>
  </si>
  <si>
    <r>
      <rPr>
        <sz val="10"/>
        <color rgb="FF1F2A28"/>
        <rFont val="WenQuanYi Zen Hei"/>
        <family val="2"/>
      </rPr>
      <t xml:space="preserve">新莊區民安西路</t>
    </r>
    <r>
      <rPr>
        <sz val="10"/>
        <color rgb="FF1F2A28"/>
        <rFont val="Arial"/>
        <family val="0"/>
        <charset val="1"/>
      </rPr>
      <t xml:space="preserve">143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149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151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</si>
  <si>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(02)29069773</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</si>
  <si>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國語、英文、數學、社會、自然、理化</t>
    </r>
    <r>
      <rPr>
        <sz val="10"/>
        <color rgb="FF1F2A28"/>
        <rFont val="Arial"/>
        <family val="0"/>
        <charset val="1"/>
      </rPr>
      <t xml:space="preserve">)</t>
    </r>
  </si>
  <si>
    <t xml:space="preserve">2012-02-13</t>
  </si>
  <si>
    <t xml:space="preserve">鐘秋弦</t>
  </si>
  <si>
    <t xml:space="preserve">王艾安</t>
  </si>
  <si>
    <t xml:space="preserve">私立萊斯特文理語文短期補習班</t>
  </si>
  <si>
    <r>
      <rPr>
        <sz val="10"/>
        <color rgb="FF1F2A28"/>
        <rFont val="WenQuanYi Zen Hei"/>
        <family val="2"/>
      </rPr>
      <t xml:space="preserve">新莊區民安西路</t>
    </r>
    <r>
      <rPr>
        <sz val="10"/>
        <color rgb="FF1F2A28"/>
        <rFont val="Arial"/>
        <family val="0"/>
        <charset val="1"/>
      </rPr>
      <t xml:space="preserve">144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146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</si>
  <si>
    <t xml:space="preserve">(02)29029881</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</si>
  <si>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</si>
  <si>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2008-11-21</t>
  </si>
  <si>
    <t xml:space="preserve">林柔均</t>
  </si>
  <si>
    <t xml:space="preserve">私立蒂芬妮文理短期補習班</t>
  </si>
  <si>
    <r>
      <rPr>
        <sz val="10"/>
        <color rgb="FF1F2A28"/>
        <rFont val="WenQuanYi Zen Hei"/>
        <family val="2"/>
      </rPr>
      <t xml:space="preserve">新莊區新泰路</t>
    </r>
    <r>
      <rPr>
        <sz val="10"/>
        <color rgb="FF1F2A28"/>
        <rFont val="Arial"/>
        <family val="0"/>
        <charset val="1"/>
      </rPr>
      <t xml:space="preserve">132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</si>
  <si>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(02)29922051</t>
  </si>
  <si>
    <t xml:space="preserve">gramsc@livemail.tw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</si>
  <si>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國文、英文、數學、自然與生活科技</t>
    </r>
    <r>
      <rPr>
        <sz val="10"/>
        <color rgb="FF1F2A28"/>
        <rFont val="Arial"/>
        <family val="0"/>
        <charset val="1"/>
      </rPr>
      <t xml:space="preserve">)</t>
    </r>
  </si>
  <si>
    <t xml:space="preserve">周姿妙</t>
  </si>
  <si>
    <t xml:space="preserve">私立蘿拉美語短期補習班</t>
  </si>
  <si>
    <r>
      <rPr>
        <sz val="10"/>
        <color rgb="FF1F2A28"/>
        <rFont val="WenQuanYi Zen Hei"/>
        <family val="2"/>
      </rPr>
      <t xml:space="preserve">新莊區中正路</t>
    </r>
    <r>
      <rPr>
        <sz val="10"/>
        <color rgb="FF1F2A28"/>
        <rFont val="Arial"/>
        <family val="0"/>
        <charset val="1"/>
      </rPr>
      <t xml:space="preserve">881</t>
    </r>
    <r>
      <rPr>
        <sz val="10"/>
        <color rgb="FF1F2A28"/>
        <rFont val="WenQuanYi Zen Hei"/>
        <family val="2"/>
      </rPr>
      <t xml:space="preserve">之</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</si>
  <si>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(02)29044080</t>
  </si>
  <si>
    <t xml:space="preserve">lauratai@tigeraunt.com</t>
  </si>
  <si>
    <t xml:space="preserve">2007-11-20</t>
  </si>
  <si>
    <t xml:space="preserve">戴玲慧</t>
  </si>
  <si>
    <t xml:space="preserve">私立資優文理短期補習班</t>
  </si>
  <si>
    <r>
      <rPr>
        <sz val="10"/>
        <color rgb="FF1F2A28"/>
        <rFont val="WenQuanYi Zen Hei"/>
        <family val="2"/>
      </rPr>
      <t xml:space="preserve">新莊區新莊區瓊泰路</t>
    </r>
    <r>
      <rPr>
        <sz val="10"/>
        <color rgb="FF1F2A28"/>
        <rFont val="Arial"/>
        <family val="0"/>
        <charset val="1"/>
      </rPr>
      <t xml:space="preserve">115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133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</si>
  <si>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2009-11-15</t>
  </si>
  <si>
    <t xml:space="preserve">陳嘉琳</t>
  </si>
  <si>
    <t xml:space="preserve">私立迎加語文短期補習班</t>
  </si>
  <si>
    <r>
      <rPr>
        <sz val="10"/>
        <color rgb="FF1F2A28"/>
        <rFont val="WenQuanYi Zen Hei"/>
        <family val="2"/>
      </rPr>
      <t xml:space="preserve">新莊區雙鳳路</t>
    </r>
    <r>
      <rPr>
        <sz val="10"/>
        <color rgb="FF1F2A28"/>
        <rFont val="Arial"/>
        <family val="0"/>
        <charset val="1"/>
      </rPr>
      <t xml:space="preserve">108</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</si>
  <si>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(02)29015769</t>
  </si>
  <si>
    <t xml:space="preserve">701590601@yahoo.com.tw</t>
  </si>
  <si>
    <t xml:space="preserve">2015-08-25</t>
  </si>
  <si>
    <t xml:space="preserve">簡銘勳</t>
  </si>
  <si>
    <t xml:space="preserve">私立金建語文短期補習班</t>
  </si>
  <si>
    <r>
      <rPr>
        <sz val="10"/>
        <color rgb="FF1F2A28"/>
        <rFont val="WenQuanYi Zen Hei"/>
        <family val="2"/>
      </rPr>
      <t xml:space="preserve">新莊區建安街</t>
    </r>
    <r>
      <rPr>
        <sz val="10"/>
        <color rgb="FF1F2A28"/>
        <rFont val="Arial"/>
        <family val="0"/>
        <charset val="1"/>
      </rPr>
      <t xml:space="preserve">121</t>
    </r>
    <r>
      <rPr>
        <sz val="10"/>
        <color rgb="FF1F2A28"/>
        <rFont val="WenQuanYi Zen Hei"/>
        <family val="2"/>
      </rPr>
      <t xml:space="preserve">巷</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</si>
  <si>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22060153</t>
  </si>
  <si>
    <t xml:space="preserve">giraffe154@yahoo.com.tw</t>
  </si>
  <si>
    <t xml:space="preserve">1999-08-09</t>
  </si>
  <si>
    <t xml:space="preserve">馮秀美</t>
  </si>
  <si>
    <t xml:space="preserve">辛凱萍</t>
  </si>
  <si>
    <t xml:space="preserve">私立陳曦文理語文短期補習班</t>
  </si>
  <si>
    <r>
      <rPr>
        <sz val="10"/>
        <color rgb="FF1F2A28"/>
        <rFont val="WenQuanYi Zen Hei"/>
        <family val="2"/>
      </rPr>
      <t xml:space="preserve">新莊區成功街</t>
    </r>
    <r>
      <rPr>
        <sz val="10"/>
        <color rgb="FF1F2A28"/>
        <rFont val="Arial"/>
        <family val="0"/>
        <charset val="1"/>
      </rPr>
      <t xml:space="preserve">24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</si>
  <si>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(02)2208-1733</t>
  </si>
  <si>
    <t xml:space="preserve">csee1733@gmail.com</t>
  </si>
  <si>
    <t xml:space="preserve">2012-01-19</t>
  </si>
  <si>
    <t xml:space="preserve">宋秉祐</t>
  </si>
  <si>
    <t xml:space="preserve">鄭智瑋</t>
  </si>
  <si>
    <t xml:space="preserve">私立雅喜娜語文文理短期補習班</t>
  </si>
  <si>
    <r>
      <rPr>
        <sz val="10"/>
        <color rgb="FF1F2A28"/>
        <rFont val="WenQuanYi Zen Hei"/>
        <family val="2"/>
      </rPr>
      <t xml:space="preserve">新莊區五工三路</t>
    </r>
    <r>
      <rPr>
        <sz val="10"/>
        <color rgb="FF1F2A28"/>
        <rFont val="Arial"/>
        <family val="0"/>
        <charset val="1"/>
      </rPr>
      <t xml:space="preserve">78</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</si>
  <si>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(02)89902478</t>
  </si>
  <si>
    <t xml:space="preserve">athena2298@gmail.com</t>
  </si>
  <si>
    <t xml:space="preserve">張彩文</t>
  </si>
  <si>
    <t xml:space="preserve">馬大又</t>
  </si>
  <si>
    <t xml:space="preserve">私立青園語文短期補習班</t>
  </si>
  <si>
    <r>
      <rPr>
        <sz val="10"/>
        <color rgb="FF1F2A28"/>
        <rFont val="WenQuanYi Zen Hei"/>
        <family val="2"/>
      </rPr>
      <t xml:space="preserve">新莊區中平路</t>
    </r>
    <r>
      <rPr>
        <sz val="10"/>
        <color rgb="FF1F2A28"/>
        <rFont val="Arial"/>
        <family val="0"/>
        <charset val="1"/>
      </rPr>
      <t xml:space="preserve">180</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樓</t>
    </r>
  </si>
  <si>
    <t xml:space="preserve">(02)29921681</t>
  </si>
  <si>
    <t xml:space="preserve">陳科名</t>
  </si>
  <si>
    <t xml:space="preserve">陳敏惠</t>
  </si>
  <si>
    <t xml:space="preserve">私立飛岳文理短期補習班</t>
  </si>
  <si>
    <r>
      <rPr>
        <sz val="10"/>
        <color rgb="FF1F2A28"/>
        <rFont val="WenQuanYi Zen Hei"/>
        <family val="2"/>
      </rPr>
      <t xml:space="preserve">新莊區龍安路</t>
    </r>
    <r>
      <rPr>
        <sz val="10"/>
        <color rgb="FF1F2A28"/>
        <rFont val="Arial"/>
        <family val="0"/>
        <charset val="1"/>
      </rPr>
      <t xml:space="preserve">69</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層、夾層</t>
    </r>
    <r>
      <rPr>
        <sz val="10"/>
        <color rgb="FF1F2A28"/>
        <rFont val="Arial"/>
        <family val="0"/>
        <charset val="1"/>
      </rPr>
      <t xml:space="preserve">)</t>
    </r>
  </si>
  <si>
    <t xml:space="preserve">0229020208</t>
  </si>
  <si>
    <t xml:space="preserve">2025-03-03</t>
  </si>
  <si>
    <t xml:space="preserve">王榆鈞</t>
  </si>
  <si>
    <t xml:space="preserve">私立高升文理技藝短期補習班</t>
  </si>
  <si>
    <r>
      <rPr>
        <sz val="10"/>
        <color rgb="FF1F2A28"/>
        <rFont val="WenQuanYi Zen Hei"/>
        <family val="2"/>
      </rPr>
      <t xml:space="preserve">新莊區中港路</t>
    </r>
    <r>
      <rPr>
        <sz val="10"/>
        <color rgb="FF1F2A28"/>
        <rFont val="Arial"/>
        <family val="0"/>
        <charset val="1"/>
      </rPr>
      <t xml:space="preserve">64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</si>
  <si>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(02)2996-1820</t>
  </si>
  <si>
    <t xml:space="preserve">maggiee@seed.net.tw</t>
  </si>
  <si>
    <t xml:space="preserve">2006-02-09</t>
  </si>
  <si>
    <t xml:space="preserve">何秀梅</t>
  </si>
  <si>
    <t xml:space="preserve">閔浩祥</t>
  </si>
  <si>
    <t xml:space="preserve">私立魔力文理語文短期補習班</t>
  </si>
  <si>
    <r>
      <rPr>
        <sz val="10"/>
        <color rgb="FF1F2A28"/>
        <rFont val="WenQuanYi Zen Hei"/>
        <family val="2"/>
      </rPr>
      <t xml:space="preserve">新莊區中榮街</t>
    </r>
    <r>
      <rPr>
        <sz val="10"/>
        <color rgb="FF1F2A28"/>
        <rFont val="Arial"/>
        <family val="0"/>
        <charset val="1"/>
      </rPr>
      <t xml:space="preserve">152</t>
    </r>
    <r>
      <rPr>
        <sz val="10"/>
        <color rgb="FF1F2A28"/>
        <rFont val="WenQuanYi Zen Hei"/>
        <family val="2"/>
      </rPr>
      <t xml:space="preserve">巷</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</si>
  <si>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(02)8991-3547</t>
  </si>
  <si>
    <t xml:space="preserve">magic3547@yahoo.com.tw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</si>
  <si>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數學、英文</t>
    </r>
    <r>
      <rPr>
        <sz val="10"/>
        <color rgb="FF1F2A28"/>
        <rFont val="Arial"/>
        <family val="0"/>
        <charset val="1"/>
      </rPr>
      <t xml:space="preserve">)</t>
    </r>
  </si>
  <si>
    <t xml:space="preserve">2012-01-18</t>
  </si>
  <si>
    <t xml:space="preserve">張惠美</t>
  </si>
  <si>
    <t xml:space="preserve">私立黃老師文理語文短期補習班</t>
  </si>
  <si>
    <r>
      <rPr>
        <sz val="10"/>
        <color rgb="FF1F2A28"/>
        <rFont val="WenQuanYi Zen Hei"/>
        <family val="2"/>
      </rPr>
      <t xml:space="preserve">新莊區五工三路</t>
    </r>
    <r>
      <rPr>
        <sz val="10"/>
        <color rgb="FF1F2A28"/>
        <rFont val="Arial"/>
        <family val="0"/>
        <charset val="1"/>
      </rPr>
      <t xml:space="preserve">94</t>
    </r>
    <r>
      <rPr>
        <sz val="10"/>
        <color rgb="FF1F2A28"/>
        <rFont val="WenQuanYi Zen Hei"/>
        <family val="2"/>
      </rPr>
      <t xml:space="preserve">巷</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</si>
  <si>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(02)89904311</t>
  </si>
  <si>
    <t xml:space="preserve">2005-04-22</t>
  </si>
  <si>
    <t xml:space="preserve">黃智宏</t>
  </si>
  <si>
    <t xml:space="preserve">私立龍學文理語文短期補習班</t>
  </si>
  <si>
    <r>
      <rPr>
        <sz val="10"/>
        <color rgb="FF1F2A28"/>
        <rFont val="WenQuanYi Zen Hei"/>
        <family val="2"/>
      </rPr>
      <t xml:space="preserve">新莊區龍安路</t>
    </r>
    <r>
      <rPr>
        <sz val="10"/>
        <color rgb="FF1F2A28"/>
        <rFont val="Arial"/>
        <family val="0"/>
        <charset val="1"/>
      </rPr>
      <t xml:space="preserve">112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</si>
  <si>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2903-2628</t>
  </si>
  <si>
    <t xml:space="preserve">2001-05-22</t>
  </si>
  <si>
    <t xml:space="preserve">洪尚廉</t>
  </si>
  <si>
    <t xml:space="preserve">私立龍安文教有限公司附設佳韺英語短期補習班</t>
  </si>
  <si>
    <r>
      <rPr>
        <sz val="10"/>
        <color rgb="FF1F2A28"/>
        <rFont val="WenQuanYi Zen Hei"/>
        <family val="2"/>
      </rPr>
      <t xml:space="preserve">新莊區龍安路</t>
    </r>
    <r>
      <rPr>
        <sz val="10"/>
        <color rgb="FF1F2A28"/>
        <rFont val="Arial"/>
        <family val="0"/>
        <charset val="1"/>
      </rPr>
      <t xml:space="preserve">114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</si>
  <si>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(02)29085178</t>
  </si>
  <si>
    <t xml:space="preserve">joybb019@gmail.com</t>
  </si>
  <si>
    <t xml:space="preserve">2006-04-10</t>
  </si>
  <si>
    <t xml:space="preserve">石玫王芬</t>
  </si>
  <si>
    <t xml:space="preserve">科見昌平語文文理美術短期補習班</t>
  </si>
  <si>
    <r>
      <rPr>
        <sz val="10"/>
        <color rgb="FF1F2A28"/>
        <rFont val="WenQuanYi Zen Hei"/>
        <family val="2"/>
      </rPr>
      <t xml:space="preserve">新莊區昌平街</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</si>
  <si>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(02)2993-7573</t>
  </si>
  <si>
    <t xml:space="preserve">manager_hc@kojen-els.com.tw</t>
  </si>
  <si>
    <t xml:space="preserve">2002-08-26</t>
  </si>
  <si>
    <t xml:space="preserve">楊紹謙</t>
  </si>
  <si>
    <t xml:space="preserve">科辰語文短期補習班</t>
  </si>
  <si>
    <r>
      <rPr>
        <sz val="10"/>
        <color rgb="FF1F2A28"/>
        <rFont val="WenQuanYi Zen Hei"/>
        <family val="2"/>
      </rPr>
      <t xml:space="preserve">新莊區成功街</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</si>
  <si>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(02)22047594</t>
  </si>
  <si>
    <t xml:space="preserve">kechen@hotmail.com.tw</t>
  </si>
  <si>
    <t xml:space="preserve">2009-01-21</t>
  </si>
  <si>
    <t xml:space="preserve">張馨文</t>
  </si>
  <si>
    <t xml:space="preserve">林珮萱</t>
  </si>
  <si>
    <t xml:space="preserve">緯盛文化股份有限公司附設英勝文理語文技藝短期補習班</t>
  </si>
  <si>
    <r>
      <rPr>
        <sz val="10"/>
        <color rgb="FF1F2A28"/>
        <rFont val="WenQuanYi Zen Hei"/>
        <family val="2"/>
      </rPr>
      <t xml:space="preserve">新莊區富貴路</t>
    </r>
    <r>
      <rPr>
        <sz val="10"/>
        <color rgb="FF1F2A28"/>
        <rFont val="Arial"/>
        <family val="0"/>
        <charset val="1"/>
      </rPr>
      <t xml:space="preserve">88</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</si>
  <si>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(02)85213736</t>
  </si>
  <si>
    <t xml:space="preserve">2016-01-22</t>
  </si>
  <si>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楊明潭</t>
    </r>
  </si>
  <si>
    <t xml:space="preserve">周瑋琪</t>
  </si>
  <si>
    <t xml:space="preserve">美加語文短期補習班</t>
  </si>
  <si>
    <r>
      <rPr>
        <sz val="10"/>
        <color rgb="FF1F2A28"/>
        <rFont val="WenQuanYi Zen Hei"/>
        <family val="2"/>
      </rPr>
      <t xml:space="preserve">新莊區雙鳳路</t>
    </r>
    <r>
      <rPr>
        <sz val="10"/>
        <color rgb="FF1F2A28"/>
        <rFont val="Arial"/>
        <family val="0"/>
        <charset val="1"/>
      </rPr>
      <t xml:space="preserve">134</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層及夾層</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r>
      <rPr>
        <sz val="10"/>
        <color rgb="FF1F2A28"/>
        <rFont val="WenQuanYi Zen Hei"/>
        <family val="2"/>
      </rPr>
      <t xml:space="preserve">、新北大道</t>
    </r>
    <r>
      <rPr>
        <sz val="10"/>
        <color rgb="FF1F2A28"/>
        <rFont val="Arial"/>
        <family val="0"/>
        <charset val="1"/>
      </rPr>
      <t xml:space="preserve">7</t>
    </r>
    <r>
      <rPr>
        <sz val="10"/>
        <color rgb="FF1F2A28"/>
        <rFont val="WenQuanYi Zen Hei"/>
        <family val="2"/>
      </rPr>
      <t xml:space="preserve">段</t>
    </r>
    <r>
      <rPr>
        <sz val="10"/>
        <color rgb="FF1F2A28"/>
        <rFont val="Arial"/>
        <family val="0"/>
        <charset val="1"/>
      </rPr>
      <t xml:space="preserve">301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</si>
  <si>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(02)29018683</t>
  </si>
  <si>
    <t xml:space="preserve">cindyyyyy0201@gmail.com</t>
  </si>
  <si>
    <t xml:space="preserve">2010-08-20</t>
  </si>
  <si>
    <t xml:space="preserve">蕭美玲</t>
  </si>
  <si>
    <t xml:space="preserve">簡郡萱</t>
  </si>
  <si>
    <t xml:space="preserve">華倫文理短期補習班</t>
  </si>
  <si>
    <r>
      <rPr>
        <sz val="10"/>
        <color rgb="FF1F2A28"/>
        <rFont val="WenQuanYi Zen Hei"/>
        <family val="2"/>
      </rPr>
      <t xml:space="preserve">新莊區鳳山街</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</si>
  <si>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29012929</t>
  </si>
  <si>
    <t xml:space="preserve">kenzon2003@gmail.com</t>
  </si>
  <si>
    <t xml:space="preserve">英文、數學</t>
  </si>
  <si>
    <t xml:space="preserve">2000-01-24</t>
  </si>
  <si>
    <t xml:space="preserve">李秀霞</t>
  </si>
  <si>
    <t xml:space="preserve">蒙特瑞美語短期補習班</t>
  </si>
  <si>
    <r>
      <rPr>
        <sz val="10"/>
        <color rgb="FF1F2A28"/>
        <rFont val="WenQuanYi Zen Hei"/>
        <family val="2"/>
      </rPr>
      <t xml:space="preserve">新莊區中榮街</t>
    </r>
    <r>
      <rPr>
        <sz val="10"/>
        <color rgb="FF1F2A28"/>
        <rFont val="Arial"/>
        <family val="0"/>
        <charset val="1"/>
      </rPr>
      <t xml:space="preserve">27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</si>
  <si>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(02)29903196</t>
  </si>
  <si>
    <t xml:space="preserve">monterey98100@gmail.com</t>
  </si>
  <si>
    <t xml:space="preserve">諸玉葦</t>
  </si>
  <si>
    <t xml:space="preserve">蔣老師文理短期補習班</t>
  </si>
  <si>
    <r>
      <rPr>
        <sz val="10"/>
        <color rgb="FF1F2A28"/>
        <rFont val="WenQuanYi Zen Hei"/>
        <family val="2"/>
      </rPr>
      <t xml:space="preserve">新莊區福海街</t>
    </r>
    <r>
      <rPr>
        <sz val="10"/>
        <color rgb="FF1F2A28"/>
        <rFont val="Arial"/>
        <family val="0"/>
        <charset val="1"/>
      </rPr>
      <t xml:space="preserve">24</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</si>
  <si>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(02)2202-3757</t>
  </si>
  <si>
    <t xml:space="preserve">蔣宗君</t>
  </si>
  <si>
    <t xml:space="preserve">進化文理短期補習班</t>
  </si>
  <si>
    <r>
      <rPr>
        <sz val="10"/>
        <color rgb="FF1F2A28"/>
        <rFont val="WenQuanYi Zen Hei"/>
        <family val="2"/>
      </rPr>
      <t xml:space="preserve">新莊區中原路</t>
    </r>
    <r>
      <rPr>
        <sz val="10"/>
        <color rgb="FF1F2A28"/>
        <rFont val="Arial"/>
        <family val="0"/>
        <charset val="1"/>
      </rPr>
      <t xml:space="preserve">321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層及夾層</t>
    </r>
    <r>
      <rPr>
        <sz val="10"/>
        <color rgb="FF1F2A28"/>
        <rFont val="Arial"/>
        <family val="0"/>
        <charset val="1"/>
      </rPr>
      <t xml:space="preserve">)</t>
    </r>
  </si>
  <si>
    <t xml:space="preserve">8993-3344</t>
  </si>
  <si>
    <t xml:space="preserve">abc1239955@hotmail.com</t>
  </si>
  <si>
    <t xml:space="preserve">2010-03-13</t>
  </si>
  <si>
    <t xml:space="preserve">何冠廷</t>
  </si>
  <si>
    <t xml:space="preserve">長陞文理語文電腦短期補習班</t>
  </si>
  <si>
    <r>
      <rPr>
        <sz val="10"/>
        <color rgb="FF1F2A28"/>
        <rFont val="WenQuanYi Zen Hei"/>
        <family val="2"/>
      </rPr>
      <t xml:space="preserve">新莊區中和街</t>
    </r>
    <r>
      <rPr>
        <sz val="10"/>
        <color rgb="FF1F2A28"/>
        <rFont val="Arial"/>
        <family val="0"/>
        <charset val="1"/>
      </rPr>
      <t xml:space="preserve">155</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</si>
  <si>
    <t xml:space="preserve">(02)22762788</t>
  </si>
  <si>
    <t xml:space="preserve">cseo2788@gmail.com</t>
  </si>
  <si>
    <t xml:space="preserve">2007-03-12</t>
  </si>
  <si>
    <t xml:space="preserve">許恒睿</t>
  </si>
  <si>
    <t xml:space="preserve">板橋區</t>
  </si>
  <si>
    <t xml:space="preserve">中國青年救國團附設板慶文理技藝短期補習班</t>
  </si>
  <si>
    <r>
      <rPr>
        <sz val="10"/>
        <color rgb="FF1F2A28"/>
        <rFont val="WenQuanYi Zen Hei"/>
        <family val="2"/>
      </rPr>
      <t xml:space="preserve">板橋區重慶路</t>
    </r>
    <r>
      <rPr>
        <sz val="10"/>
        <color rgb="FF1F2A28"/>
        <rFont val="Arial"/>
        <family val="0"/>
        <charset val="1"/>
      </rPr>
      <t xml:space="preserve">66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</si>
  <si>
    <t xml:space="preserve">(02)2969-2161</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</si>
  <si>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縫紉類</t>
    </r>
    <r>
      <rPr>
        <sz val="10"/>
        <color rgb="FF1F2A28"/>
        <rFont val="Arial"/>
        <family val="0"/>
        <charset val="1"/>
      </rPr>
      <t xml:space="preserve">,</t>
    </r>
    <r>
      <rPr>
        <sz val="10"/>
        <color rgb="FF1F2A28"/>
        <rFont val="WenQuanYi Zen Hei"/>
        <family val="2"/>
      </rPr>
      <t xml:space="preserve">美容、美髮理髮類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商類：珠算、心算、會計</t>
    </r>
    <r>
      <rPr>
        <sz val="10"/>
        <color rgb="FF1F2A28"/>
        <rFont val="Arial"/>
        <family val="0"/>
        <charset val="1"/>
      </rPr>
      <t xml:space="preserve">,</t>
    </r>
    <r>
      <rPr>
        <sz val="10"/>
        <color rgb="FF1F2A28"/>
        <rFont val="WenQuanYi Zen Hei"/>
        <family val="2"/>
      </rPr>
      <t xml:space="preserve">瑜珈類</t>
    </r>
    <r>
      <rPr>
        <sz val="10"/>
        <color rgb="FF1F2A28"/>
        <rFont val="Arial"/>
        <family val="0"/>
        <charset val="1"/>
      </rPr>
      <t xml:space="preserve">,</t>
    </r>
    <r>
      <rPr>
        <sz val="10"/>
        <color rgb="FF1F2A28"/>
        <rFont val="WenQuanYi Zen Hei"/>
        <family val="2"/>
      </rPr>
      <t xml:space="preserve">其他類</t>
    </r>
  </si>
  <si>
    <t xml:space="preserve">2018-09-18</t>
  </si>
  <si>
    <t xml:space="preserve">胡美琴</t>
  </si>
  <si>
    <t xml:space="preserve">中國青年救國團附設私立幼獅語文短期補習班</t>
  </si>
  <si>
    <r>
      <rPr>
        <sz val="10"/>
        <color rgb="FF1F2A28"/>
        <rFont val="WenQuanYi Zen Hei"/>
        <family val="2"/>
      </rPr>
      <t xml:space="preserve">板橋區文化路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334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</si>
  <si>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22597472edm@gmail.com</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</si>
  <si>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縫紉類</t>
    </r>
    <r>
      <rPr>
        <sz val="10"/>
        <color rgb="FF1F2A28"/>
        <rFont val="Arial"/>
        <family val="0"/>
        <charset val="1"/>
      </rPr>
      <t xml:space="preserve">,</t>
    </r>
    <r>
      <rPr>
        <sz val="10"/>
        <color rgb="FF1F2A28"/>
        <rFont val="WenQuanYi Zen Hei"/>
        <family val="2"/>
      </rPr>
      <t xml:space="preserve">美容、美髮理髮類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商類：珠算、心算、會計</t>
    </r>
    <r>
      <rPr>
        <sz val="10"/>
        <color rgb="FF1F2A28"/>
        <rFont val="Arial"/>
        <family val="0"/>
        <charset val="1"/>
      </rPr>
      <t xml:space="preserve">,</t>
    </r>
    <r>
      <rPr>
        <sz val="10"/>
        <color rgb="FF1F2A28"/>
        <rFont val="WenQuanYi Zen Hei"/>
        <family val="2"/>
      </rPr>
      <t xml:space="preserve">瑜珈類</t>
    </r>
  </si>
  <si>
    <t xml:space="preserve">1997-06-23</t>
  </si>
  <si>
    <t xml:space="preserve">黃湘喻</t>
  </si>
  <si>
    <t xml:space="preserve">卓越資優文理美語短期補習班</t>
  </si>
  <si>
    <r>
      <rPr>
        <sz val="10"/>
        <color rgb="FF1F2A28"/>
        <rFont val="WenQuanYi Zen Hei"/>
        <family val="2"/>
      </rPr>
      <t xml:space="preserve">板橋區雙十路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47</t>
    </r>
    <r>
      <rPr>
        <sz val="10"/>
        <color rgb="FF1F2A28"/>
        <rFont val="WenQuanYi Zen Hei"/>
        <family val="2"/>
      </rPr>
      <t xml:space="preserve">巷</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</si>
  <si>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(02)22525828</t>
  </si>
  <si>
    <t xml:space="preserve">as22525828@gmail.com</t>
  </si>
  <si>
    <t xml:space="preserve">2008-12-18</t>
  </si>
  <si>
    <t xml:space="preserve">徐永檀</t>
  </si>
  <si>
    <t xml:space="preserve">邵韻如</t>
  </si>
  <si>
    <t xml:space="preserve">博義文教事業股份有限公司附設私立文鼎語文文理短期補習班</t>
  </si>
  <si>
    <r>
      <rPr>
        <sz val="10"/>
        <color rgb="FF1F2A28"/>
        <rFont val="WenQuanYi Zen Hei"/>
        <family val="2"/>
      </rPr>
      <t xml:space="preserve">板橋區文化路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86</t>
    </r>
    <r>
      <rPr>
        <sz val="10"/>
        <color rgb="FF1F2A28"/>
        <rFont val="WenQuanYi Zen Hei"/>
        <family val="2"/>
      </rPr>
      <t xml:space="preserve">、</t>
    </r>
    <r>
      <rPr>
        <sz val="10"/>
        <color rgb="FF1F2A28"/>
        <rFont val="Arial"/>
        <family val="0"/>
        <charset val="1"/>
      </rPr>
      <t xml:space="preserve">88</t>
    </r>
    <r>
      <rPr>
        <sz val="10"/>
        <color rgb="FF1F2A28"/>
        <rFont val="WenQuanYi Zen Hei"/>
        <family val="2"/>
      </rPr>
      <t xml:space="preserve">、</t>
    </r>
    <r>
      <rPr>
        <sz val="10"/>
        <color rgb="FF1F2A28"/>
        <rFont val="Arial"/>
        <family val="0"/>
        <charset val="1"/>
      </rPr>
      <t xml:space="preserve">90</t>
    </r>
    <r>
      <rPr>
        <sz val="10"/>
        <color rgb="FF1F2A28"/>
        <rFont val="WenQuanYi Zen Hei"/>
        <family val="2"/>
      </rPr>
      <t xml:space="preserve">、</t>
    </r>
    <r>
      <rPr>
        <sz val="10"/>
        <color rgb="FF1F2A28"/>
        <rFont val="Arial"/>
        <family val="0"/>
        <charset val="1"/>
      </rPr>
      <t xml:space="preserve">92</t>
    </r>
    <r>
      <rPr>
        <sz val="10"/>
        <color rgb="FF1F2A28"/>
        <rFont val="WenQuanYi Zen Hei"/>
        <family val="2"/>
      </rPr>
      <t xml:space="preserve">、</t>
    </r>
    <r>
      <rPr>
        <sz val="10"/>
        <color rgb="FF1F2A28"/>
        <rFont val="Arial"/>
        <family val="0"/>
        <charset val="1"/>
      </rPr>
      <t xml:space="preserve">96</t>
    </r>
    <r>
      <rPr>
        <sz val="10"/>
        <color rgb="FF1F2A28"/>
        <rFont val="WenQuanYi Zen Hei"/>
        <family val="2"/>
      </rPr>
      <t xml:space="preserve">、</t>
    </r>
    <r>
      <rPr>
        <sz val="10"/>
        <color rgb="FF1F2A28"/>
        <rFont val="Arial"/>
        <family val="0"/>
        <charset val="1"/>
      </rPr>
      <t xml:space="preserve">98</t>
    </r>
    <r>
      <rPr>
        <sz val="10"/>
        <color rgb="FF1F2A28"/>
        <rFont val="WenQuanYi Zen Hei"/>
        <family val="2"/>
      </rPr>
      <t xml:space="preserve">、</t>
    </r>
    <r>
      <rPr>
        <sz val="10"/>
        <color rgb="FF1F2A28"/>
        <rFont val="Arial"/>
        <family val="0"/>
        <charset val="1"/>
      </rPr>
      <t xml:space="preserve">100</t>
    </r>
    <r>
      <rPr>
        <sz val="10"/>
        <color rgb="FF1F2A28"/>
        <rFont val="WenQuanYi Zen Hei"/>
        <family val="2"/>
      </rPr>
      <t xml:space="preserve">號各</t>
    </r>
    <r>
      <rPr>
        <sz val="10"/>
        <color rgb="FF1F2A28"/>
        <rFont val="Arial"/>
        <family val="0"/>
        <charset val="1"/>
      </rPr>
      <t xml:space="preserve">4</t>
    </r>
    <r>
      <rPr>
        <sz val="10"/>
        <color rgb="FF1F2A28"/>
        <rFont val="WenQuanYi Zen Hei"/>
        <family val="2"/>
      </rPr>
      <t xml:space="preserve">樓</t>
    </r>
  </si>
  <si>
    <t xml:space="preserve">(02)22592736</t>
  </si>
  <si>
    <t xml:space="preserve">hs2193@hess.com.tw</t>
  </si>
  <si>
    <t xml:space="preserve">2010-11-09</t>
  </si>
  <si>
    <t xml:space="preserve">簡怡君</t>
  </si>
  <si>
    <t xml:space="preserve">楊岢勳</t>
  </si>
  <si>
    <t xml:space="preserve">地球村出版有限公司附設私立地球村語文文理短期補習班</t>
  </si>
  <si>
    <r>
      <rPr>
        <sz val="10"/>
        <color rgb="FF1F2A28"/>
        <rFont val="WenQuanYi Zen Hei"/>
        <family val="2"/>
      </rPr>
      <t xml:space="preserve">板橋區中山路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</si>
  <si>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(02)29649146</t>
  </si>
  <si>
    <t xml:space="preserve">蔡培源</t>
  </si>
  <si>
    <t xml:space="preserve">大中語文短期補習班</t>
  </si>
  <si>
    <r>
      <rPr>
        <sz val="10"/>
        <color rgb="FF1F2A28"/>
        <rFont val="WenQuanYi Zen Hei"/>
        <family val="2"/>
      </rPr>
      <t xml:space="preserve">板橋區大仁街</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</si>
  <si>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02-89658611</t>
  </si>
  <si>
    <t xml:space="preserve">snyder.shane@msa.hinet.net</t>
  </si>
  <si>
    <t xml:space="preserve">2001-11-23</t>
  </si>
  <si>
    <t xml:space="preserve">丘宗景</t>
  </si>
  <si>
    <t xml:space="preserve">學友語文文理短期補習班</t>
  </si>
  <si>
    <r>
      <rPr>
        <sz val="10"/>
        <color rgb="FF1F2A28"/>
        <rFont val="WenQuanYi Zen Hei"/>
        <family val="2"/>
      </rPr>
      <t xml:space="preserve">板橋區中正路</t>
    </r>
    <r>
      <rPr>
        <sz val="10"/>
        <color rgb="FF1F2A28"/>
        <rFont val="Arial"/>
        <family val="0"/>
        <charset val="1"/>
      </rPr>
      <t xml:space="preserve">11-1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</si>
  <si>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(02)89653288</t>
  </si>
  <si>
    <t xml:space="preserve">2005-01-04</t>
  </si>
  <si>
    <t xml:space="preserve">胡芳滿</t>
  </si>
  <si>
    <t xml:space="preserve">學悟處一對一重慶教室文理短期補習班</t>
  </si>
  <si>
    <r>
      <rPr>
        <sz val="10"/>
        <color rgb="FF1F2A28"/>
        <rFont val="WenQuanYi Zen Hei"/>
        <family val="2"/>
      </rPr>
      <t xml:space="preserve">板橋區重慶路</t>
    </r>
    <r>
      <rPr>
        <sz val="10"/>
        <color rgb="FF1F2A28"/>
        <rFont val="Arial"/>
        <family val="0"/>
        <charset val="1"/>
      </rPr>
      <t xml:space="preserve">250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含</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r>
      <rPr>
        <sz val="10"/>
        <color rgb="FF1F2A28"/>
        <rFont val="Arial"/>
        <family val="0"/>
        <charset val="1"/>
      </rPr>
      <t xml:space="preserve">)</t>
    </r>
  </si>
  <si>
    <t xml:space="preserve">(02)2961-5101</t>
  </si>
  <si>
    <t xml:space="preserve">2019-04-25</t>
  </si>
  <si>
    <t xml:space="preserve">郭忠豪</t>
  </si>
  <si>
    <t xml:space="preserve">寰宇創新教育股份有限公司附設私立寰宇文理短期補習班</t>
  </si>
  <si>
    <r>
      <rPr>
        <sz val="10"/>
        <color rgb="FF1F2A28"/>
        <rFont val="WenQuanYi Zen Hei"/>
        <family val="2"/>
      </rPr>
      <t xml:space="preserve">板橋區文化路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182</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弄</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</si>
  <si>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0222508899</t>
  </si>
  <si>
    <t xml:space="preserve">2026-07-21</t>
  </si>
  <si>
    <t xml:space="preserve">蔡崇華</t>
  </si>
  <si>
    <t xml:space="preserve">張齡之</t>
  </si>
  <si>
    <t xml:space="preserve">小寶貝珠心算語文短期補習班</t>
  </si>
  <si>
    <r>
      <rPr>
        <sz val="10"/>
        <color rgb="FF1F2A28"/>
        <rFont val="WenQuanYi Zen Hei"/>
        <family val="2"/>
      </rPr>
      <t xml:space="preserve">板橋區文化路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32</t>
    </r>
    <r>
      <rPr>
        <sz val="10"/>
        <color rgb="FF1F2A28"/>
        <rFont val="WenQuanYi Zen Hei"/>
        <family val="2"/>
      </rPr>
      <t xml:space="preserve">巷</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r>
      <rPr>
        <sz val="10"/>
        <color rgb="FF1F2A28"/>
        <rFont val="Arial"/>
        <family val="0"/>
        <charset val="1"/>
      </rPr>
      <t xml:space="preserve">)</t>
    </r>
  </si>
  <si>
    <t xml:space="preserve">2966-4109</t>
  </si>
  <si>
    <t xml:space="preserve">baubei14@gmail.com</t>
  </si>
  <si>
    <t xml:space="preserve">曾惠婧</t>
  </si>
  <si>
    <t xml:space="preserve">張喬思</t>
  </si>
  <si>
    <t xml:space="preserve">山姆叔叔文理短期補習班</t>
  </si>
  <si>
    <r>
      <rPr>
        <sz val="10"/>
        <color rgb="FF1F2A28"/>
        <rFont val="WenQuanYi Zen Hei"/>
        <family val="2"/>
      </rPr>
      <t xml:space="preserve">板橋區文化路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348</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</si>
  <si>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(02)8251-3898</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</si>
  <si>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美語、國語、數學</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</si>
  <si>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鍾玉婷</t>
  </si>
  <si>
    <t xml:space="preserve">巧可麗語文短期補習班</t>
  </si>
  <si>
    <r>
      <rPr>
        <sz val="10"/>
        <color rgb="FF1F2A28"/>
        <rFont val="WenQuanYi Zen Hei"/>
        <family val="2"/>
      </rPr>
      <t xml:space="preserve">板橋區文聖街</t>
    </r>
    <r>
      <rPr>
        <sz val="10"/>
        <color rgb="FF1F2A28"/>
        <rFont val="Arial"/>
        <family val="0"/>
        <charset val="1"/>
      </rPr>
      <t xml:space="preserve">73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</si>
  <si>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(02)2254-5050</t>
  </si>
  <si>
    <t xml:space="preserve">5050@chocolates.com.tw</t>
  </si>
  <si>
    <t xml:space="preserve">2013-08-05</t>
  </si>
  <si>
    <t xml:space="preserve">韓采珊</t>
  </si>
  <si>
    <t xml:space="preserve">巨匠電腦股份有限公司板橋分公司附設巨匠美語短期補習班</t>
  </si>
  <si>
    <r>
      <rPr>
        <sz val="10"/>
        <color rgb="FF1F2A28"/>
        <rFont val="WenQuanYi Zen Hei"/>
        <family val="2"/>
      </rPr>
      <t xml:space="preserve">板橋區中山路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</si>
  <si>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(02)89520768</t>
  </si>
  <si>
    <t xml:space="preserve">KB_mailbox@pcschool.com.tw</t>
  </si>
  <si>
    <t xml:space="preserve">2005-11-15</t>
  </si>
  <si>
    <t xml:space="preserve">李明儒</t>
  </si>
  <si>
    <t xml:space="preserve">幾何文理語文短期補習班</t>
  </si>
  <si>
    <r>
      <rPr>
        <sz val="10"/>
        <color rgb="FF1F2A28"/>
        <rFont val="WenQuanYi Zen Hei"/>
        <family val="2"/>
      </rPr>
      <t xml:space="preserve">板橋區中山路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100</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t>
    </r>
  </si>
  <si>
    <t xml:space="preserve">(02)89518610</t>
  </si>
  <si>
    <t xml:space="preserve">2006-02-10</t>
  </si>
  <si>
    <t xml:space="preserve">何永聰</t>
  </si>
  <si>
    <t xml:space="preserve">康羲學苑語文文理短期補習班</t>
  </si>
  <si>
    <r>
      <rPr>
        <sz val="10"/>
        <color rgb="FF1F2A28"/>
        <rFont val="WenQuanYi Zen Hei"/>
        <family val="2"/>
      </rPr>
      <t xml:space="preserve">板橋區英士路</t>
    </r>
    <r>
      <rPr>
        <sz val="10"/>
        <color rgb="FF1F2A28"/>
        <rFont val="Arial"/>
        <family val="0"/>
        <charset val="1"/>
      </rPr>
      <t xml:space="preserve">26</t>
    </r>
    <r>
      <rPr>
        <sz val="10"/>
        <color rgb="FF1F2A28"/>
        <rFont val="WenQuanYi Zen Hei"/>
        <family val="2"/>
      </rPr>
      <t xml:space="preserve">、</t>
    </r>
    <r>
      <rPr>
        <sz val="10"/>
        <color rgb="FF1F2A28"/>
        <rFont val="Arial"/>
        <family val="0"/>
        <charset val="1"/>
      </rPr>
      <t xml:space="preserve">45</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</si>
  <si>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(02)-82588333</t>
  </si>
  <si>
    <t xml:space="preserve">chiemhwa@yahoo.com.tw</t>
  </si>
  <si>
    <t xml:space="preserve">李洛妍</t>
  </si>
  <si>
    <t xml:space="preserve">戴博洋</t>
  </si>
  <si>
    <t xml:space="preserve">德芬妮美語文理短期補習班</t>
  </si>
  <si>
    <r>
      <rPr>
        <sz val="10"/>
        <color rgb="FF1F2A28"/>
        <rFont val="WenQuanYi Zen Hei"/>
        <family val="2"/>
      </rPr>
      <t xml:space="preserve">板橋區仁化街</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</si>
  <si>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(02)82528078</t>
  </si>
  <si>
    <t xml:space="preserve">英數、美語、英、數</t>
  </si>
  <si>
    <t xml:space="preserve">2006-04-28</t>
  </si>
  <si>
    <t xml:space="preserve">邱惠珍</t>
  </si>
  <si>
    <t xml:space="preserve">愛奧尼文理短期補習班</t>
  </si>
  <si>
    <r>
      <rPr>
        <sz val="10"/>
        <color rgb="FF1F2A28"/>
        <rFont val="WenQuanYi Zen Hei"/>
        <family val="2"/>
      </rPr>
      <t xml:space="preserve">板橋區雙十路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47</t>
    </r>
    <r>
      <rPr>
        <sz val="10"/>
        <color rgb="FF1F2A28"/>
        <rFont val="WenQuanYi Zen Hei"/>
        <family val="2"/>
      </rPr>
      <t xml:space="preserve">巷</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33</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</si>
  <si>
    <t xml:space="preserve">(02)2257-6767</t>
  </si>
  <si>
    <t xml:space="preserve">2002-09-05</t>
  </si>
  <si>
    <t xml:space="preserve">李郁芳</t>
  </si>
  <si>
    <t xml:space="preserve">捷升文理語文短期補習班</t>
  </si>
  <si>
    <r>
      <rPr>
        <sz val="10"/>
        <color rgb="FF1F2A28"/>
        <rFont val="WenQuanYi Zen Hei"/>
        <family val="2"/>
      </rPr>
      <t xml:space="preserve">板橋區篤行路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161</t>
    </r>
    <r>
      <rPr>
        <sz val="10"/>
        <color rgb="FF1F2A28"/>
        <rFont val="WenQuanYi Zen Hei"/>
        <family val="2"/>
      </rPr>
      <t xml:space="preserve">巷</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樓、金門街</t>
    </r>
    <r>
      <rPr>
        <sz val="10"/>
        <color rgb="FF1F2A28"/>
        <rFont val="Arial"/>
        <family val="0"/>
        <charset val="1"/>
      </rPr>
      <t xml:space="preserve">256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</si>
  <si>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(02)26879688</t>
  </si>
  <si>
    <t xml:space="preserve">jason.english@msa.hinet.net</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</si>
  <si>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</si>
  <si>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2011-06-10</t>
  </si>
  <si>
    <t xml:space="preserve">江淑惠</t>
  </si>
  <si>
    <t xml:space="preserve">黃頌平</t>
  </si>
  <si>
    <t xml:space="preserve">文城教育學院文理短期補習班</t>
  </si>
  <si>
    <r>
      <rPr>
        <sz val="10"/>
        <color rgb="FF1F2A28"/>
        <rFont val="WenQuanYi Zen Hei"/>
        <family val="2"/>
      </rPr>
      <t xml:space="preserve">板橋區府中路</t>
    </r>
    <r>
      <rPr>
        <sz val="10"/>
        <color rgb="FF1F2A28"/>
        <rFont val="Arial"/>
        <family val="0"/>
        <charset val="1"/>
      </rPr>
      <t xml:space="preserve">29</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29</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</si>
  <si>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(02)8965-3555</t>
  </si>
  <si>
    <t xml:space="preserve">bq89653555@wmch.net</t>
  </si>
  <si>
    <t xml:space="preserve">1999-01-12</t>
  </si>
  <si>
    <t xml:space="preserve">董昭華</t>
  </si>
  <si>
    <t xml:space="preserve">徐志華</t>
  </si>
  <si>
    <t xml:space="preserve">新芯語文文理短期補習班</t>
  </si>
  <si>
    <r>
      <rPr>
        <sz val="10"/>
        <color rgb="FF1F2A28"/>
        <rFont val="WenQuanYi Zen Hei"/>
        <family val="2"/>
      </rPr>
      <t xml:space="preserve">板橋區校前街</t>
    </r>
    <r>
      <rPr>
        <sz val="10"/>
        <color rgb="FF1F2A28"/>
        <rFont val="Arial"/>
        <family val="0"/>
        <charset val="1"/>
      </rPr>
      <t xml:space="preserve">46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</si>
  <si>
    <t xml:space="preserve">(02)89524000</t>
  </si>
  <si>
    <t xml:space="preserve">amc89524000@gmail.com</t>
  </si>
  <si>
    <t xml:space="preserve">2007-01-17</t>
  </si>
  <si>
    <t xml:space="preserve">洪麗婷</t>
  </si>
  <si>
    <t xml:space="preserve">格群股份有限公司附設格群文理短期補習班</t>
  </si>
  <si>
    <r>
      <rPr>
        <sz val="10"/>
        <color rgb="FF1F2A28"/>
        <rFont val="WenQuanYi Zen Hei"/>
        <family val="2"/>
      </rPr>
      <t xml:space="preserve">板橋區莊敬路</t>
    </r>
    <r>
      <rPr>
        <sz val="10"/>
        <color rgb="FF1F2A28"/>
        <rFont val="Arial"/>
        <family val="0"/>
        <charset val="1"/>
      </rPr>
      <t xml:space="preserve">73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樓、莊敬路</t>
    </r>
    <r>
      <rPr>
        <sz val="10"/>
        <color rgb="FF1F2A28"/>
        <rFont val="Arial"/>
        <family val="0"/>
        <charset val="1"/>
      </rPr>
      <t xml:space="preserve">25</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層、夾層</t>
    </r>
    <r>
      <rPr>
        <sz val="10"/>
        <color rgb="FF1F2A28"/>
        <rFont val="Arial"/>
        <family val="0"/>
        <charset val="1"/>
      </rPr>
      <t xml:space="preserve">)</t>
    </r>
  </si>
  <si>
    <t xml:space="preserve">82528282</t>
  </si>
  <si>
    <t xml:space="preserve">2023-02-09</t>
  </si>
  <si>
    <t xml:space="preserve">李俞屏</t>
  </si>
  <si>
    <t xml:space="preserve">吳家誠</t>
  </si>
  <si>
    <t xml:space="preserve">欣園文理技藝短期補習班</t>
  </si>
  <si>
    <r>
      <rPr>
        <sz val="10"/>
        <color rgb="FF1F2A28"/>
        <rFont val="WenQuanYi Zen Hei"/>
        <family val="2"/>
      </rPr>
      <t xml:space="preserve">板橋區北門街</t>
    </r>
    <r>
      <rPr>
        <sz val="10"/>
        <color rgb="FF1F2A28"/>
        <rFont val="Arial"/>
        <family val="0"/>
        <charset val="1"/>
      </rPr>
      <t xml:space="preserve">46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層及</t>
    </r>
    <r>
      <rPr>
        <sz val="10"/>
        <color rgb="FF1F2A28"/>
        <rFont val="Arial"/>
        <family val="0"/>
        <charset val="1"/>
      </rPr>
      <t xml:space="preserve">46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</si>
  <si>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(02)89697926</t>
  </si>
  <si>
    <t xml:space="preserve">a920323@yahoo.com.tw</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</si>
  <si>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商類：珠算、心算、會計</t>
    </r>
    <r>
      <rPr>
        <sz val="10"/>
        <color rgb="FF1F2A28"/>
        <rFont val="Arial"/>
        <family val="0"/>
        <charset val="1"/>
      </rPr>
      <t xml:space="preserve">,</t>
    </r>
    <r>
      <rPr>
        <sz val="10"/>
        <color rgb="FF1F2A28"/>
        <rFont val="WenQuanYi Zen Hei"/>
        <family val="2"/>
      </rPr>
      <t xml:space="preserve">其他類</t>
    </r>
  </si>
  <si>
    <t xml:space="preserve">2009-01-15</t>
  </si>
  <si>
    <t xml:space="preserve">張晏慈</t>
  </si>
  <si>
    <t xml:space="preserve">許琬琪</t>
  </si>
  <si>
    <t xml:space="preserve">永錡語文短期補習班</t>
  </si>
  <si>
    <r>
      <rPr>
        <sz val="10"/>
        <color rgb="FF1F2A28"/>
        <rFont val="WenQuanYi Zen Hei"/>
        <family val="2"/>
      </rPr>
      <t xml:space="preserve">板橋區金門街</t>
    </r>
    <r>
      <rPr>
        <sz val="10"/>
        <color rgb="FF1F2A28"/>
        <rFont val="Arial"/>
        <family val="0"/>
        <charset val="1"/>
      </rPr>
      <t xml:space="preserve">358</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372</t>
    </r>
    <r>
      <rPr>
        <sz val="10"/>
        <color rgb="FF1F2A28"/>
        <rFont val="WenQuanYi Zen Hei"/>
        <family val="2"/>
      </rPr>
      <t xml:space="preserve">巷</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</si>
  <si>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r>
      <rPr>
        <sz val="10"/>
        <color rgb="FF1F2A28"/>
        <rFont val="Arial"/>
        <family val="0"/>
        <charset val="1"/>
      </rPr>
      <t xml:space="preserve">(02)22035888</t>
    </r>
    <r>
      <rPr>
        <sz val="10"/>
        <color rgb="FF1F2A28"/>
        <rFont val="WenQuanYi Zen Hei"/>
        <family val="2"/>
      </rPr>
      <t xml:space="preserve">、</t>
    </r>
    <r>
      <rPr>
        <sz val="10"/>
        <color rgb="FF1F2A28"/>
        <rFont val="Arial"/>
        <family val="0"/>
        <charset val="1"/>
      </rPr>
      <t xml:space="preserve">26860993</t>
    </r>
  </si>
  <si>
    <t xml:space="preserve">2003-05-21</t>
  </si>
  <si>
    <t xml:space="preserve">許耀堂</t>
  </si>
  <si>
    <t xml:space="preserve">邱立妍</t>
  </si>
  <si>
    <t xml:space="preserve">泰格文理技藝短期補習班</t>
  </si>
  <si>
    <r>
      <rPr>
        <sz val="10"/>
        <color rgb="FF1F2A28"/>
        <rFont val="WenQuanYi Zen Hei"/>
        <family val="2"/>
      </rPr>
      <t xml:space="preserve">板橋區溪崑一街</t>
    </r>
    <r>
      <rPr>
        <sz val="10"/>
        <color rgb="FF1F2A28"/>
        <rFont val="Arial"/>
        <family val="0"/>
        <charset val="1"/>
      </rPr>
      <t xml:space="preserve">80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由</t>
    </r>
    <r>
      <rPr>
        <sz val="10"/>
        <color rgb="FF1F2A28"/>
        <rFont val="Arial"/>
        <family val="0"/>
        <charset val="1"/>
      </rPr>
      <t xml:space="preserve">80</t>
    </r>
    <r>
      <rPr>
        <sz val="10"/>
        <color rgb="FF1F2A28"/>
        <rFont val="WenQuanYi Zen Hei"/>
        <family val="2"/>
      </rPr>
      <t xml:space="preserve">、</t>
    </r>
    <r>
      <rPr>
        <sz val="10"/>
        <color rgb="FF1F2A28"/>
        <rFont val="Arial"/>
        <family val="0"/>
        <charset val="1"/>
      </rPr>
      <t xml:space="preserve">82</t>
    </r>
    <r>
      <rPr>
        <sz val="10"/>
        <color rgb="FF1F2A28"/>
        <rFont val="WenQuanYi Zen Hei"/>
        <family val="2"/>
      </rPr>
      <t xml:space="preserve">號整編</t>
    </r>
    <r>
      <rPr>
        <sz val="10"/>
        <color rgb="FF1F2A28"/>
        <rFont val="Arial"/>
        <family val="0"/>
        <charset val="1"/>
      </rPr>
      <t xml:space="preserve">)</t>
    </r>
  </si>
  <si>
    <t xml:space="preserve">02-2683-0327</t>
  </si>
  <si>
    <t xml:space="preserve">2006-11-02</t>
  </si>
  <si>
    <t xml:space="preserve">傅馨儀</t>
  </si>
  <si>
    <t xml:space="preserve">曾淳暄</t>
  </si>
  <si>
    <t xml:space="preserve">浩民文理語文短期補習班</t>
  </si>
  <si>
    <r>
      <rPr>
        <sz val="10"/>
        <color rgb="FF1F2A28"/>
        <rFont val="WenQuanYi Zen Hei"/>
        <family val="2"/>
      </rPr>
      <t xml:space="preserve">板橋區漢生東路</t>
    </r>
    <r>
      <rPr>
        <sz val="10"/>
        <color rgb="FF1F2A28"/>
        <rFont val="Arial"/>
        <family val="0"/>
        <charset val="1"/>
      </rPr>
      <t xml:space="preserve">309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311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</si>
  <si>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0229558921</t>
  </si>
  <si>
    <t xml:space="preserve">2005-03-17</t>
  </si>
  <si>
    <t xml:space="preserve">滿額有限公司附設滿滿文理短期補習班</t>
  </si>
  <si>
    <r>
      <rPr>
        <sz val="10"/>
        <color rgb="FF1F2A28"/>
        <rFont val="WenQuanYi Zen Hei"/>
        <family val="2"/>
      </rPr>
      <t xml:space="preserve">板橋區忠孝路</t>
    </r>
    <r>
      <rPr>
        <sz val="10"/>
        <color rgb="FF1F2A28"/>
        <rFont val="Arial"/>
        <family val="0"/>
        <charset val="1"/>
      </rPr>
      <t xml:space="preserve">124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層</t>
    </r>
  </si>
  <si>
    <t xml:space="preserve">29517300</t>
  </si>
  <si>
    <t xml:space="preserve">2022-11-14</t>
  </si>
  <si>
    <t xml:space="preserve">張荃堃</t>
  </si>
  <si>
    <t xml:space="preserve">呂姵葶</t>
  </si>
  <si>
    <t xml:space="preserve">澄石文理語文短期補習班</t>
  </si>
  <si>
    <r>
      <rPr>
        <sz val="10"/>
        <color rgb="FF1F2A28"/>
        <rFont val="WenQuanYi Zen Hei"/>
        <family val="2"/>
      </rPr>
      <t xml:space="preserve">板橋區文化路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125</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</si>
  <si>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(02)22588189</t>
  </si>
  <si>
    <t xml:space="preserve">lilyscherrry031912@gmail.com</t>
  </si>
  <si>
    <t xml:space="preserve">美語、國文、英文、數學、自然</t>
  </si>
  <si>
    <t xml:space="preserve">2016-08-03</t>
  </si>
  <si>
    <t xml:space="preserve">徐君婷</t>
  </si>
  <si>
    <t xml:space="preserve">瑋倢英文文理短期補習班</t>
  </si>
  <si>
    <r>
      <rPr>
        <sz val="10"/>
        <color rgb="FF1F2A28"/>
        <rFont val="WenQuanYi Zen Hei"/>
        <family val="2"/>
      </rPr>
      <t xml:space="preserve">板橋區實踐路</t>
    </r>
    <r>
      <rPr>
        <sz val="10"/>
        <color rgb="FF1F2A28"/>
        <rFont val="Arial"/>
        <family val="0"/>
        <charset val="1"/>
      </rPr>
      <t xml:space="preserve">93</t>
    </r>
    <r>
      <rPr>
        <sz val="10"/>
        <color rgb="FF1F2A28"/>
        <rFont val="WenQuanYi Zen Hei"/>
        <family val="2"/>
      </rPr>
      <t xml:space="preserve">巷</t>
    </r>
    <r>
      <rPr>
        <sz val="10"/>
        <color rgb="FF1F2A28"/>
        <rFont val="Arial"/>
        <family val="0"/>
        <charset val="1"/>
      </rPr>
      <t xml:space="preserve">68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70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70</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</si>
  <si>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(02)2961-0528</t>
  </si>
  <si>
    <t xml:space="preserve">weichieh8888@gmail.com</t>
  </si>
  <si>
    <t xml:space="preserve">2011-09-28</t>
  </si>
  <si>
    <t xml:space="preserve">陳秀旻</t>
  </si>
  <si>
    <t xml:space="preserve">陳淑芬</t>
  </si>
  <si>
    <t xml:space="preserve">禾梓有限公司附設掌握技藝文理短期補習班</t>
  </si>
  <si>
    <r>
      <rPr>
        <sz val="10"/>
        <color rgb="FF1F2A28"/>
        <rFont val="WenQuanYi Zen Hei"/>
        <family val="2"/>
      </rPr>
      <t xml:space="preserve">板橋區文德路</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</si>
  <si>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(02)2251-1388</t>
  </si>
  <si>
    <t xml:space="preserve">ascendanceenglish@gmail.com</t>
  </si>
  <si>
    <t xml:space="preserve">2010-07-28</t>
  </si>
  <si>
    <t xml:space="preserve">蔡哲佳</t>
  </si>
  <si>
    <t xml:space="preserve">顧駿</t>
  </si>
  <si>
    <r>
      <rPr>
        <sz val="10"/>
        <color rgb="FF1F2A28"/>
        <rFont val="WenQuanYi Zen Hei"/>
        <family val="2"/>
      </rPr>
      <t xml:space="preserve">私立</t>
    </r>
    <r>
      <rPr>
        <sz val="10"/>
        <color rgb="FF1F2A28"/>
        <rFont val="Arial"/>
        <family val="0"/>
        <charset val="1"/>
      </rPr>
      <t xml:space="preserve">111</t>
    </r>
    <r>
      <rPr>
        <sz val="10"/>
        <color rgb="FF1F2A28"/>
        <rFont val="WenQuanYi Zen Hei"/>
        <family val="2"/>
      </rPr>
      <t xml:space="preserve">美語短期補習班</t>
    </r>
  </si>
  <si>
    <r>
      <rPr>
        <sz val="10"/>
        <color rgb="FF1F2A28"/>
        <rFont val="WenQuanYi Zen Hei"/>
        <family val="2"/>
      </rPr>
      <t xml:space="preserve">板橋區永豐街</t>
    </r>
    <r>
      <rPr>
        <sz val="10"/>
        <color rgb="FF1F2A28"/>
        <rFont val="Arial"/>
        <family val="0"/>
        <charset val="1"/>
      </rPr>
      <t xml:space="preserve">107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</si>
  <si>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(02)89515558</t>
  </si>
  <si>
    <t xml:space="preserve">2002-01-15</t>
  </si>
  <si>
    <t xml:space="preserve">康博誠</t>
  </si>
  <si>
    <t xml:space="preserve">私立三之三百分百文理語文短期補習班</t>
  </si>
  <si>
    <r>
      <rPr>
        <sz val="10"/>
        <color rgb="FF1F2A28"/>
        <rFont val="WenQuanYi Zen Hei"/>
        <family val="2"/>
      </rPr>
      <t xml:space="preserve">板橋區陽明街</t>
    </r>
    <r>
      <rPr>
        <sz val="10"/>
        <color rgb="FF1F2A28"/>
        <rFont val="Arial"/>
        <family val="0"/>
        <charset val="1"/>
      </rPr>
      <t xml:space="preserve">281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281</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</si>
  <si>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(02)2250-6656</t>
  </si>
  <si>
    <t xml:space="preserve">fon9923@gmail.com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</si>
  <si>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英文、國文、數學</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</si>
  <si>
    <t xml:space="preserve">王妙如</t>
  </si>
  <si>
    <t xml:space="preserve">私立世學文理技藝短期補習班</t>
  </si>
  <si>
    <r>
      <rPr>
        <sz val="10"/>
        <color rgb="FF1F2A28"/>
        <rFont val="WenQuanYi Zen Hei"/>
        <family val="2"/>
      </rPr>
      <t xml:space="preserve">板橋區合宜路</t>
    </r>
    <r>
      <rPr>
        <sz val="10"/>
        <color rgb="FF1F2A28"/>
        <rFont val="Arial"/>
        <family val="0"/>
        <charset val="1"/>
      </rPr>
      <t xml:space="preserve">179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層級其夾層</t>
    </r>
    <r>
      <rPr>
        <sz val="10"/>
        <color rgb="FF1F2A28"/>
        <rFont val="Arial"/>
        <family val="0"/>
        <charset val="1"/>
      </rPr>
      <t xml:space="preserve">)</t>
    </r>
  </si>
  <si>
    <t xml:space="preserve">0229687553</t>
  </si>
  <si>
    <t xml:space="preserve">2024-11-13</t>
  </si>
  <si>
    <t xml:space="preserve">黃暉鈞</t>
  </si>
  <si>
    <t xml:space="preserve">私立中華文理短期補習班</t>
  </si>
  <si>
    <r>
      <rPr>
        <sz val="10"/>
        <color rgb="FF1F2A28"/>
        <rFont val="WenQuanYi Zen Hei"/>
        <family val="2"/>
      </rPr>
      <t xml:space="preserve">板橋區文化路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188</t>
    </r>
    <r>
      <rPr>
        <sz val="10"/>
        <color rgb="FF1F2A28"/>
        <rFont val="WenQuanYi Zen Hei"/>
        <family val="2"/>
      </rPr>
      <t xml:space="preserve">巷</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188</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弄</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</si>
  <si>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22523388</t>
  </si>
  <si>
    <t xml:space="preserve">j92322001@yahoo.com.tw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</si>
  <si>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國、英、數、理</t>
    </r>
    <r>
      <rPr>
        <sz val="10"/>
        <color rgb="FF1F2A28"/>
        <rFont val="Arial"/>
        <family val="0"/>
        <charset val="1"/>
      </rPr>
      <t xml:space="preserve">)</t>
    </r>
  </si>
  <si>
    <t xml:space="preserve">王明德</t>
  </si>
  <si>
    <t xml:space="preserve">私立今恩美語短期補習班</t>
  </si>
  <si>
    <r>
      <rPr>
        <sz val="10"/>
        <color rgb="FF1F2A28"/>
        <rFont val="WenQuanYi Zen Hei"/>
        <family val="2"/>
      </rPr>
      <t xml:space="preserve">板橋區莒光路</t>
    </r>
    <r>
      <rPr>
        <sz val="10"/>
        <color rgb="FF1F2A28"/>
        <rFont val="Arial"/>
        <family val="0"/>
        <charset val="1"/>
      </rPr>
      <t xml:space="preserve">165</t>
    </r>
    <r>
      <rPr>
        <sz val="10"/>
        <color rgb="FF1F2A28"/>
        <rFont val="WenQuanYi Zen Hei"/>
        <family val="2"/>
      </rPr>
      <t xml:space="preserve">巷</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22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</si>
  <si>
    <t xml:space="preserve">(02)82588303</t>
  </si>
  <si>
    <t xml:space="preserve">alvin8448@yahoo.com.tw</t>
  </si>
  <si>
    <t xml:space="preserve">2008-07-19</t>
  </si>
  <si>
    <t xml:space="preserve">陸軍豪</t>
  </si>
  <si>
    <t xml:space="preserve">潘小琦</t>
  </si>
  <si>
    <t xml:space="preserve">私立企鵝村美語文理短期補習班</t>
  </si>
  <si>
    <r>
      <rPr>
        <sz val="10"/>
        <color rgb="FF1F2A28"/>
        <rFont val="WenQuanYi Zen Hei"/>
        <family val="2"/>
      </rPr>
      <t xml:space="preserve">板橋區光明街</t>
    </r>
    <r>
      <rPr>
        <sz val="10"/>
        <color rgb="FF1F2A28"/>
        <rFont val="Arial"/>
        <family val="0"/>
        <charset val="1"/>
      </rPr>
      <t xml:space="preserve">68-2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</si>
  <si>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(02)29637600</t>
  </si>
  <si>
    <t xml:space="preserve">jaylin123456@yahoo.com.tw</t>
  </si>
  <si>
    <t xml:space="preserve">2003-04-03</t>
  </si>
  <si>
    <t xml:space="preserve">雷芳芳</t>
  </si>
  <si>
    <t xml:space="preserve">私立信愛望語文短期補習班</t>
  </si>
  <si>
    <r>
      <rPr>
        <sz val="10"/>
        <color rgb="FF1F2A28"/>
        <rFont val="WenQuanYi Zen Hei"/>
        <family val="2"/>
      </rPr>
      <t xml:space="preserve">板橋區和平路</t>
    </r>
    <r>
      <rPr>
        <sz val="10"/>
        <color rgb="FF1F2A28"/>
        <rFont val="Arial"/>
        <family val="0"/>
        <charset val="1"/>
      </rPr>
      <t xml:space="preserve">174</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</si>
  <si>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(02)29566110</t>
  </si>
  <si>
    <t xml:space="preserve">tony810116@hotmail.com</t>
  </si>
  <si>
    <t xml:space="preserve">2003-11-21</t>
  </si>
  <si>
    <t xml:space="preserve">李瑞華</t>
  </si>
  <si>
    <t xml:space="preserve">私立倍思特文理語文短期補習班</t>
  </si>
  <si>
    <r>
      <rPr>
        <sz val="10"/>
        <color rgb="FF1F2A28"/>
        <rFont val="WenQuanYi Zen Hei"/>
        <family val="2"/>
      </rPr>
      <t xml:space="preserve">板橋區溪北路</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</si>
  <si>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(02)26816896 0973966758</t>
  </si>
  <si>
    <t xml:space="preserve">best.a16888@gmail.com</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</si>
  <si>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英、數、自然</t>
    </r>
    <r>
      <rPr>
        <sz val="10"/>
        <color rgb="FF1F2A28"/>
        <rFont val="Arial"/>
        <family val="0"/>
        <charset val="1"/>
      </rPr>
      <t xml:space="preserve">)</t>
    </r>
  </si>
  <si>
    <t xml:space="preserve">2005-02-18</t>
  </si>
  <si>
    <t xml:space="preserve">蔡家豪</t>
  </si>
  <si>
    <t xml:space="preserve">私立優昇文理語文短期補習班</t>
  </si>
  <si>
    <r>
      <rPr>
        <sz val="10"/>
        <color rgb="FF1F2A28"/>
        <rFont val="WenQuanYi Zen Hei"/>
        <family val="2"/>
      </rPr>
      <t xml:space="preserve">板橋區光明街</t>
    </r>
    <r>
      <rPr>
        <sz val="10"/>
        <color rgb="FF1F2A28"/>
        <rFont val="Arial"/>
        <family val="0"/>
        <charset val="1"/>
      </rPr>
      <t xml:space="preserve">126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</si>
  <si>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(02)8953-0610</t>
  </si>
  <si>
    <t xml:space="preserve">raymondchc@gmail.com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</si>
  <si>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國語、英文、數學、自然、社會</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</si>
  <si>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2003-11-06</t>
  </si>
  <si>
    <t xml:space="preserve">陳信漳</t>
  </si>
  <si>
    <t xml:space="preserve">盧秀鳳</t>
  </si>
  <si>
    <t xml:space="preserve">私立優沛兒語文短期補習班</t>
  </si>
  <si>
    <r>
      <rPr>
        <sz val="10"/>
        <color rgb="FF1F2A28"/>
        <rFont val="WenQuanYi Zen Hei"/>
        <family val="2"/>
      </rPr>
      <t xml:space="preserve">板橋區文化路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432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</si>
  <si>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(02)22523667</t>
  </si>
  <si>
    <t xml:space="preserve">ciacurtis@gmail.com</t>
  </si>
  <si>
    <t xml:space="preserve">2009-03-09</t>
  </si>
  <si>
    <t xml:space="preserve">陳宥伊</t>
  </si>
  <si>
    <t xml:space="preserve">私立優越資優文理語文短期補習班</t>
  </si>
  <si>
    <r>
      <rPr>
        <sz val="10"/>
        <color rgb="FF1F2A28"/>
        <rFont val="WenQuanYi Zen Hei"/>
        <family val="2"/>
      </rPr>
      <t xml:space="preserve">板橋區漢生東路</t>
    </r>
    <r>
      <rPr>
        <sz val="10"/>
        <color rgb="FF1F2A28"/>
        <rFont val="Arial"/>
        <family val="0"/>
        <charset val="1"/>
      </rPr>
      <t xml:space="preserve">309</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</si>
  <si>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(02)29611542</t>
  </si>
  <si>
    <t xml:space="preserve">洪葦苓</t>
  </si>
  <si>
    <t xml:space="preserve">私立優閱文理短期補習班</t>
  </si>
  <si>
    <r>
      <rPr>
        <sz val="10"/>
        <color rgb="FF1F2A28"/>
        <rFont val="WenQuanYi Zen Hei"/>
        <family val="2"/>
      </rPr>
      <t xml:space="preserve">板橋區光明街</t>
    </r>
    <r>
      <rPr>
        <sz val="10"/>
        <color rgb="FF1F2A28"/>
        <rFont val="Arial"/>
        <family val="0"/>
        <charset val="1"/>
      </rPr>
      <t xml:space="preserve">108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112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</si>
  <si>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(02)8953-0910</t>
  </si>
  <si>
    <t xml:space="preserve">2004-07-07</t>
  </si>
  <si>
    <t xml:space="preserve">吳婷婷</t>
  </si>
  <si>
    <t xml:space="preserve">私立元鼎語文短期補習班</t>
  </si>
  <si>
    <r>
      <rPr>
        <sz val="10"/>
        <color rgb="FF1F2A28"/>
        <rFont val="WenQuanYi Zen Hei"/>
        <family val="2"/>
      </rPr>
      <t xml:space="preserve">板橋區中正路</t>
    </r>
    <r>
      <rPr>
        <sz val="10"/>
        <color rgb="FF1F2A28"/>
        <rFont val="Arial"/>
        <family val="0"/>
        <charset val="1"/>
      </rPr>
      <t xml:space="preserve">37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</si>
  <si>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(02)29651642</t>
  </si>
  <si>
    <t xml:space="preserve">2009-09-16</t>
  </si>
  <si>
    <t xml:space="preserve">邱秀蘭</t>
  </si>
  <si>
    <t xml:space="preserve">梁美玲</t>
  </si>
  <si>
    <t xml:space="preserve">私立全加文理語文短期補習班</t>
  </si>
  <si>
    <r>
      <rPr>
        <sz val="10"/>
        <color rgb="FF1F2A28"/>
        <rFont val="WenQuanYi Zen Hei"/>
        <family val="2"/>
      </rPr>
      <t xml:space="preserve">板橋區文化路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182</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弄</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</si>
  <si>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(02)22585158</t>
  </si>
  <si>
    <t xml:space="preserve">a0909130565@gmail.com</t>
  </si>
  <si>
    <t xml:space="preserve">英數、美語</t>
  </si>
  <si>
    <t xml:space="preserve">2009-07-22</t>
  </si>
  <si>
    <t xml:space="preserve">楊妙如</t>
  </si>
  <si>
    <t xml:space="preserve">陳君亮</t>
  </si>
  <si>
    <t xml:space="preserve">私立凱帝堡語文文理短期補習班</t>
  </si>
  <si>
    <r>
      <rPr>
        <sz val="10"/>
        <color rgb="FF1F2A28"/>
        <rFont val="WenQuanYi Zen Hei"/>
        <family val="2"/>
      </rPr>
      <t xml:space="preserve">板橋區中正路</t>
    </r>
    <r>
      <rPr>
        <sz val="10"/>
        <color rgb="FF1F2A28"/>
        <rFont val="Arial"/>
        <family val="0"/>
        <charset val="1"/>
      </rPr>
      <t xml:space="preserve">1</t>
    </r>
    <r>
      <rPr>
        <sz val="10"/>
        <color rgb="FF1F2A28"/>
        <rFont val="WenQuanYi Zen Hei"/>
        <family val="2"/>
      </rPr>
      <t xml:space="preserve">巷</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</si>
  <si>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29665418</t>
  </si>
  <si>
    <t xml:space="preserve">kidcastle29665418@gmail.com</t>
  </si>
  <si>
    <t xml:space="preserve">陳雅慧</t>
  </si>
  <si>
    <t xml:space="preserve">許勝凱</t>
  </si>
  <si>
    <t xml:space="preserve">私立加州美語文理短期補習班</t>
  </si>
  <si>
    <r>
      <rPr>
        <sz val="10"/>
        <color rgb="FF1F2A28"/>
        <rFont val="WenQuanYi Zen Hei"/>
        <family val="2"/>
      </rPr>
      <t xml:space="preserve">板橋區成功路</t>
    </r>
    <r>
      <rPr>
        <sz val="10"/>
        <color rgb="FF1F2A28"/>
        <rFont val="Arial"/>
        <family val="0"/>
        <charset val="1"/>
      </rPr>
      <t xml:space="preserve">51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</si>
  <si>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(02)29642900</t>
  </si>
  <si>
    <t xml:space="preserve">cels.taipei@msa.hinet.net</t>
  </si>
  <si>
    <t xml:space="preserve">2008-10-07</t>
  </si>
  <si>
    <t xml:space="preserve">林燦仁</t>
  </si>
  <si>
    <t xml:space="preserve">私立勝文文理語文短期補習班</t>
  </si>
  <si>
    <r>
      <rPr>
        <sz val="10"/>
        <color rgb="FF1F2A28"/>
        <rFont val="WenQuanYi Zen Hei"/>
        <family val="2"/>
      </rPr>
      <t xml:space="preserve">板橋區和平路</t>
    </r>
    <r>
      <rPr>
        <sz val="10"/>
        <color rgb="FF1F2A28"/>
        <rFont val="Arial"/>
        <family val="0"/>
        <charset val="1"/>
      </rPr>
      <t xml:space="preserve">101</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、國慶路</t>
    </r>
    <r>
      <rPr>
        <sz val="10"/>
        <color rgb="FF1F2A28"/>
        <rFont val="Arial"/>
        <family val="0"/>
        <charset val="1"/>
      </rPr>
      <t xml:space="preserve">163</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r>
      <rPr>
        <sz val="10"/>
        <color rgb="FF1F2A28"/>
        <rFont val="Arial"/>
        <family val="0"/>
        <charset val="1"/>
      </rPr>
      <t xml:space="preserve">)</t>
    </r>
  </si>
  <si>
    <t xml:space="preserve">29618545</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</si>
  <si>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國、數、英、社</t>
    </r>
    <r>
      <rPr>
        <sz val="10"/>
        <color rgb="FF1F2A28"/>
        <rFont val="Arial"/>
        <family val="0"/>
        <charset val="1"/>
      </rPr>
      <t xml:space="preserve">)</t>
    </r>
  </si>
  <si>
    <t xml:space="preserve">2001-06-29</t>
  </si>
  <si>
    <t xml:space="preserve">連文欣</t>
  </si>
  <si>
    <t xml:space="preserve">私立勤易文理短期補習班</t>
  </si>
  <si>
    <r>
      <rPr>
        <sz val="10"/>
        <color rgb="FF1F2A28"/>
        <rFont val="WenQuanYi Zen Hei"/>
        <family val="2"/>
      </rPr>
      <t xml:space="preserve">板橋區文化路一段</t>
    </r>
    <r>
      <rPr>
        <sz val="10"/>
        <color rgb="FF1F2A28"/>
        <rFont val="Arial"/>
        <family val="0"/>
        <charset val="1"/>
      </rPr>
      <t xml:space="preserve">293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</si>
  <si>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(02)2257-3633</t>
  </si>
  <si>
    <t xml:space="preserve">2005-05-03</t>
  </si>
  <si>
    <t xml:space="preserve">葉惠玲</t>
  </si>
  <si>
    <t xml:space="preserve">楊琇琄</t>
  </si>
  <si>
    <t xml:space="preserve">私立卓越文理美語短期補習班</t>
  </si>
  <si>
    <r>
      <rPr>
        <sz val="10"/>
        <color rgb="FF1F2A28"/>
        <rFont val="WenQuanYi Zen Hei"/>
        <family val="2"/>
      </rPr>
      <t xml:space="preserve">板橋區中山路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100</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</si>
  <si>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2956-0106</t>
  </si>
  <si>
    <t xml:space="preserve">1998-01-02</t>
  </si>
  <si>
    <t xml:space="preserve">吳佳嬬</t>
  </si>
  <si>
    <t xml:space="preserve">私立南加大美語文理短期補習班</t>
  </si>
  <si>
    <r>
      <rPr>
        <sz val="10"/>
        <color rgb="FF1F2A28"/>
        <rFont val="WenQuanYi Zen Hei"/>
        <family val="2"/>
      </rPr>
      <t xml:space="preserve">板橋區長安街</t>
    </r>
    <r>
      <rPr>
        <sz val="10"/>
        <color rgb="FF1F2A28"/>
        <rFont val="Arial"/>
        <family val="0"/>
        <charset val="1"/>
      </rPr>
      <t xml:space="preserve">138</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弄</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</si>
  <si>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(02)29647572</t>
  </si>
  <si>
    <t xml:space="preserve">abc0921886839@gmail.com</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</si>
  <si>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</si>
  <si>
    <t xml:space="preserve">2008-03-17</t>
  </si>
  <si>
    <t xml:space="preserve">李玉蘭</t>
  </si>
  <si>
    <t xml:space="preserve">林宜瑾</t>
  </si>
  <si>
    <r>
      <rPr>
        <sz val="10"/>
        <color rgb="FF1F2A28"/>
        <rFont val="WenQuanYi Zen Hei"/>
        <family val="2"/>
      </rPr>
      <t xml:space="preserve">私立卡爾斯登語文短期補習班</t>
    </r>
    <r>
      <rPr>
        <sz val="10"/>
        <color rgb="FF1F2A28"/>
        <rFont val="Arial"/>
        <family val="0"/>
        <charset val="1"/>
      </rPr>
      <t xml:space="preserve">(</t>
    </r>
    <r>
      <rPr>
        <sz val="10"/>
        <color rgb="FF1F2A28"/>
        <rFont val="WenQuanYi Zen Hei"/>
        <family val="2"/>
      </rPr>
      <t xml:space="preserve">經營情形待查證</t>
    </r>
    <r>
      <rPr>
        <sz val="10"/>
        <color rgb="FF1F2A28"/>
        <rFont val="Arial"/>
        <family val="0"/>
        <charset val="1"/>
      </rPr>
      <t xml:space="preserve">)</t>
    </r>
  </si>
  <si>
    <r>
      <rPr>
        <sz val="10"/>
        <color rgb="FF1F2A28"/>
        <rFont val="WenQuanYi Zen Hei"/>
        <family val="2"/>
      </rPr>
      <t xml:space="preserve">板橋區莊敬路</t>
    </r>
    <r>
      <rPr>
        <sz val="10"/>
        <color rgb="FF1F2A28"/>
        <rFont val="Arial"/>
        <family val="0"/>
        <charset val="1"/>
      </rPr>
      <t xml:space="preserve">42</t>
    </r>
    <r>
      <rPr>
        <sz val="10"/>
        <color rgb="FF1F2A28"/>
        <rFont val="WenQuanYi Zen Hei"/>
        <family val="2"/>
      </rPr>
      <t xml:space="preserve">之</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</si>
  <si>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(02)22539941</t>
  </si>
  <si>
    <t xml:space="preserve">2010-05-30</t>
  </si>
  <si>
    <t xml:space="preserve">劉蘇美櫻</t>
  </si>
  <si>
    <t xml:space="preserve">章家宜</t>
  </si>
  <si>
    <t xml:space="preserve">私立及幼文化出版股份有限公司附設哥大英語短期補習班</t>
  </si>
  <si>
    <r>
      <rPr>
        <sz val="10"/>
        <color rgb="FF1F2A28"/>
        <rFont val="WenQuanYi Zen Hei"/>
        <family val="2"/>
      </rPr>
      <t xml:space="preserve">板橋區文化路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430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</si>
  <si>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(02)2253-5000</t>
  </si>
  <si>
    <t xml:space="preserve">2014-08-21</t>
  </si>
  <si>
    <t xml:space="preserve">代表人：吳英偉</t>
  </si>
  <si>
    <t xml:space="preserve">林佩萱</t>
  </si>
  <si>
    <t xml:space="preserve">私立吉尼士美語短期補習班</t>
  </si>
  <si>
    <r>
      <rPr>
        <sz val="10"/>
        <color rgb="FF1F2A28"/>
        <rFont val="WenQuanYi Zen Hei"/>
        <family val="2"/>
      </rPr>
      <t xml:space="preserve">板橋區篤行路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</si>
  <si>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(02)26826100</t>
  </si>
  <si>
    <t xml:space="preserve">gary23ho@gmail.com</t>
  </si>
  <si>
    <t xml:space="preserve">2002-10-15</t>
  </si>
  <si>
    <t xml:space="preserve">何慧敏</t>
  </si>
  <si>
    <t xml:space="preserve">私立名冠文理語文短期補習班</t>
  </si>
  <si>
    <r>
      <rPr>
        <sz val="10"/>
        <color rgb="FF1F2A28"/>
        <rFont val="WenQuanYi Zen Hei"/>
        <family val="2"/>
      </rPr>
      <t xml:space="preserve">板橋區永豐街</t>
    </r>
    <r>
      <rPr>
        <sz val="10"/>
        <color rgb="FF1F2A28"/>
        <rFont val="Arial"/>
        <family val="0"/>
        <charset val="1"/>
      </rPr>
      <t xml:space="preserve">49</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</si>
  <si>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(02)2958-2588</t>
  </si>
  <si>
    <t xml:space="preserve">kids9520@yahoo.com.tw</t>
  </si>
  <si>
    <t xml:space="preserve">羅英弘</t>
  </si>
  <si>
    <t xml:space="preserve">私立名洋文理語文短期補習班</t>
  </si>
  <si>
    <r>
      <rPr>
        <sz val="10"/>
        <color rgb="FF1F2A28"/>
        <rFont val="WenQuanYi Zen Hei"/>
        <family val="2"/>
      </rPr>
      <t xml:space="preserve">板橋區僑中二街</t>
    </r>
    <r>
      <rPr>
        <sz val="10"/>
        <color rgb="FF1F2A28"/>
        <rFont val="Arial"/>
        <family val="0"/>
        <charset val="1"/>
      </rPr>
      <t xml:space="preserve">104</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12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102</t>
    </r>
    <r>
      <rPr>
        <sz val="10"/>
        <color rgb="FF1F2A28"/>
        <rFont val="WenQuanYi Zen Hei"/>
        <family val="2"/>
      </rPr>
      <t xml:space="preserve">巷</t>
    </r>
    <r>
      <rPr>
        <sz val="10"/>
        <color rgb="FF1F2A28"/>
        <rFont val="Arial"/>
        <family val="0"/>
        <charset val="1"/>
      </rPr>
      <t xml:space="preserve">26</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</si>
  <si>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(02)2960-6016</t>
  </si>
  <si>
    <t xml:space="preserve">yu.sheng6768@gmail.com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</si>
  <si>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國語、數學、理化、英語、自然與生活科技、社會</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</si>
  <si>
    <t xml:space="preserve">2010-11-08</t>
  </si>
  <si>
    <t xml:space="preserve">魏淑英</t>
  </si>
  <si>
    <t xml:space="preserve">私立名賢語文文理補習班</t>
  </si>
  <si>
    <r>
      <rPr>
        <sz val="10"/>
        <color rgb="FF1F2A28"/>
        <rFont val="WenQuanYi Zen Hei"/>
        <family val="2"/>
      </rPr>
      <t xml:space="preserve">板橋區文聖街</t>
    </r>
    <r>
      <rPr>
        <sz val="10"/>
        <color rgb="FF1F2A28"/>
        <rFont val="Arial"/>
        <family val="0"/>
        <charset val="1"/>
      </rPr>
      <t xml:space="preserve">101</t>
    </r>
    <r>
      <rPr>
        <sz val="10"/>
        <color rgb="FF1F2A28"/>
        <rFont val="WenQuanYi Zen Hei"/>
        <family val="2"/>
      </rPr>
      <t xml:space="preserve">巷</t>
    </r>
    <r>
      <rPr>
        <sz val="10"/>
        <color rgb="FF1F2A28"/>
        <rFont val="Arial"/>
        <family val="0"/>
        <charset val="1"/>
      </rPr>
      <t xml:space="preserve">011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</si>
  <si>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8253-7678</t>
  </si>
  <si>
    <t xml:space="preserve">ming.ren168@gmail.com</t>
  </si>
  <si>
    <t xml:space="preserve">2001-11-08</t>
  </si>
  <si>
    <t xml:space="preserve">林炎孝</t>
  </si>
  <si>
    <t xml:space="preserve">呂欣雯</t>
  </si>
  <si>
    <t xml:space="preserve">私立呂怡學文理技藝短期補習班</t>
  </si>
  <si>
    <r>
      <rPr>
        <sz val="10"/>
        <color rgb="FF1F2A28"/>
        <rFont val="WenQuanYi Zen Hei"/>
        <family val="2"/>
      </rPr>
      <t xml:space="preserve">板橋區僑中二街</t>
    </r>
    <r>
      <rPr>
        <sz val="10"/>
        <color rgb="FF1F2A28"/>
        <rFont val="Arial"/>
        <family val="0"/>
        <charset val="1"/>
      </rPr>
      <t xml:space="preserve">48</t>
    </r>
    <r>
      <rPr>
        <sz val="10"/>
        <color rgb="FF1F2A28"/>
        <rFont val="WenQuanYi Zen Hei"/>
        <family val="2"/>
      </rPr>
      <t xml:space="preserve">巷</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r>
      <rPr>
        <sz val="10"/>
        <color rgb="FF1F2A28"/>
        <rFont val="WenQuanYi Zen Hei"/>
        <family val="2"/>
      </rPr>
      <t xml:space="preserve">、大觀路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38</t>
    </r>
    <r>
      <rPr>
        <sz val="10"/>
        <color rgb="FF1F2A28"/>
        <rFont val="WenQuanYi Zen Hei"/>
        <family val="2"/>
      </rPr>
      <t xml:space="preserve">巷</t>
    </r>
    <r>
      <rPr>
        <sz val="10"/>
        <color rgb="FF1F2A28"/>
        <rFont val="Arial"/>
        <family val="0"/>
        <charset val="1"/>
      </rPr>
      <t xml:space="preserve">156</t>
    </r>
    <r>
      <rPr>
        <sz val="10"/>
        <color rgb="FF1F2A28"/>
        <rFont val="WenQuanYi Zen Hei"/>
        <family val="2"/>
      </rPr>
      <t xml:space="preserve">弄</t>
    </r>
    <r>
      <rPr>
        <sz val="10"/>
        <color rgb="FF1F2A28"/>
        <rFont val="Arial"/>
        <family val="0"/>
        <charset val="1"/>
      </rPr>
      <t xml:space="preserve">210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</si>
  <si>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(02)2969-5777</t>
  </si>
  <si>
    <t xml:space="preserve">luyixue2015@gmail.com</t>
  </si>
  <si>
    <t xml:space="preserve">2012-05-09</t>
  </si>
  <si>
    <t xml:space="preserve">呂怡虹</t>
  </si>
  <si>
    <t xml:space="preserve">陳沛麗</t>
  </si>
  <si>
    <t xml:space="preserve">私立哈佛菁英文理語文短期補習班</t>
  </si>
  <si>
    <r>
      <rPr>
        <sz val="10"/>
        <color rgb="FF1F2A28"/>
        <rFont val="WenQuanYi Zen Hei"/>
        <family val="2"/>
      </rPr>
      <t xml:space="preserve">板橋區實踐路</t>
    </r>
    <r>
      <rPr>
        <sz val="10"/>
        <color rgb="FF1F2A28"/>
        <rFont val="Arial"/>
        <family val="0"/>
        <charset val="1"/>
      </rPr>
      <t xml:space="preserve">132</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</si>
  <si>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(02)2959-8007</t>
  </si>
  <si>
    <t xml:space="preserve">suniwell888@yahoo.com.tw</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</si>
  <si>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英文、數學、理化</t>
    </r>
    <r>
      <rPr>
        <sz val="10"/>
        <color rgb="FF1F2A28"/>
        <rFont val="Arial"/>
        <family val="0"/>
        <charset val="1"/>
      </rPr>
      <t xml:space="preserve">)</t>
    </r>
  </si>
  <si>
    <t xml:space="preserve">2013-10-16</t>
  </si>
  <si>
    <t xml:space="preserve">李麗娟</t>
  </si>
  <si>
    <t xml:space="preserve">私立喬思美語短期補習班</t>
  </si>
  <si>
    <r>
      <rPr>
        <sz val="10"/>
        <color rgb="FF1F2A28"/>
        <rFont val="WenQuanYi Zen Hei"/>
        <family val="2"/>
      </rPr>
      <t xml:space="preserve">板橋區雙十路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47</t>
    </r>
    <r>
      <rPr>
        <sz val="10"/>
        <color rgb="FF1F2A28"/>
        <rFont val="WenQuanYi Zen Hei"/>
        <family val="2"/>
      </rPr>
      <t xml:space="preserve">巷</t>
    </r>
    <r>
      <rPr>
        <sz val="10"/>
        <color rgb="FF1F2A28"/>
        <rFont val="Arial"/>
        <family val="0"/>
        <charset val="1"/>
      </rPr>
      <t xml:space="preserve">51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r>
      <rPr>
        <sz val="10"/>
        <color rgb="FF1F2A28"/>
        <rFont val="Arial"/>
        <family val="0"/>
        <charset val="1"/>
      </rPr>
      <t xml:space="preserve">)</t>
    </r>
  </si>
  <si>
    <t xml:space="preserve">(02)82595971</t>
  </si>
  <si>
    <t xml:space="preserve">2008-02-20</t>
  </si>
  <si>
    <t xml:space="preserve">徐淑芬</t>
  </si>
  <si>
    <t xml:space="preserve">王慧茹</t>
  </si>
  <si>
    <t xml:space="preserve">私立喬登美語會話短期補習班</t>
  </si>
  <si>
    <r>
      <rPr>
        <sz val="10"/>
        <color rgb="FF1F2A28"/>
        <rFont val="WenQuanYi Zen Hei"/>
        <family val="2"/>
      </rPr>
      <t xml:space="preserve">板橋區龍泉街</t>
    </r>
    <r>
      <rPr>
        <sz val="10"/>
        <color rgb="FF1F2A28"/>
        <rFont val="Arial"/>
        <family val="0"/>
        <charset val="1"/>
      </rPr>
      <t xml:space="preserve">55</t>
    </r>
    <r>
      <rPr>
        <sz val="10"/>
        <color rgb="FF1F2A28"/>
        <rFont val="WenQuanYi Zen Hei"/>
        <family val="2"/>
      </rPr>
      <t xml:space="preserve">巷</t>
    </r>
    <r>
      <rPr>
        <sz val="10"/>
        <color rgb="FF1F2A28"/>
        <rFont val="Arial"/>
        <family val="0"/>
        <charset val="1"/>
      </rPr>
      <t xml:space="preserve">38</t>
    </r>
    <r>
      <rPr>
        <sz val="10"/>
        <color rgb="FF1F2A28"/>
        <rFont val="WenQuanYi Zen Hei"/>
        <family val="2"/>
      </rPr>
      <t xml:space="preserve">弄</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</si>
  <si>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2255-8988</t>
  </si>
  <si>
    <t xml:space="preserve">candy553802@yahoo.com.tw</t>
  </si>
  <si>
    <t xml:space="preserve">1989-09-01</t>
  </si>
  <si>
    <t xml:space="preserve">林銘聰</t>
  </si>
  <si>
    <t xml:space="preserve">張彩薇</t>
  </si>
  <si>
    <t xml:space="preserve">私立嘉瑛英語文理短期補習班</t>
  </si>
  <si>
    <r>
      <rPr>
        <sz val="10"/>
        <color rgb="FF1F2A28"/>
        <rFont val="WenQuanYi Zen Hei"/>
        <family val="2"/>
      </rPr>
      <t xml:space="preserve">板橋區和平路</t>
    </r>
    <r>
      <rPr>
        <sz val="10"/>
        <color rgb="FF1F2A28"/>
        <rFont val="Arial"/>
        <family val="0"/>
        <charset val="1"/>
      </rPr>
      <t xml:space="preserve">188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</si>
  <si>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89612120</t>
  </si>
  <si>
    <t xml:space="preserve">judy_540196@yahoo.com.tw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</si>
  <si>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t>
    </r>
    <r>
      <rPr>
        <sz val="10"/>
        <color rgb="FF1F2A28"/>
        <rFont val="Arial"/>
        <family val="0"/>
        <charset val="1"/>
      </rPr>
      <t xml:space="preserve">)</t>
    </r>
  </si>
  <si>
    <t xml:space="preserve">2014-08-22</t>
  </si>
  <si>
    <t xml:space="preserve">私立四季美語會話短期補習班</t>
  </si>
  <si>
    <r>
      <rPr>
        <sz val="10"/>
        <color rgb="FF1F2A28"/>
        <rFont val="WenQuanYi Zen Hei"/>
        <family val="2"/>
      </rPr>
      <t xml:space="preserve">板橋區忠孝路</t>
    </r>
    <r>
      <rPr>
        <sz val="10"/>
        <color rgb="FF1F2A28"/>
        <rFont val="Arial"/>
        <family val="0"/>
        <charset val="1"/>
      </rPr>
      <t xml:space="preserve">103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</si>
  <si>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29512122</t>
  </si>
  <si>
    <t xml:space="preserve">fsae@ms63.hinet.net</t>
  </si>
  <si>
    <t xml:space="preserve">1992-10-23</t>
  </si>
  <si>
    <t xml:space="preserve">朱瑞玲</t>
  </si>
  <si>
    <t xml:space="preserve">私立國光珠心算文理語文短期補習班</t>
  </si>
  <si>
    <r>
      <rPr>
        <sz val="10"/>
        <color rgb="FF1F2A28"/>
        <rFont val="WenQuanYi Zen Hei"/>
        <family val="2"/>
      </rPr>
      <t xml:space="preserve">板橋區中正路</t>
    </r>
    <r>
      <rPr>
        <sz val="10"/>
        <color rgb="FF1F2A28"/>
        <rFont val="Arial"/>
        <family val="0"/>
        <charset val="1"/>
      </rPr>
      <t xml:space="preserve">325</t>
    </r>
    <r>
      <rPr>
        <sz val="10"/>
        <color rgb="FF1F2A28"/>
        <rFont val="WenQuanYi Zen Hei"/>
        <family val="2"/>
      </rPr>
      <t xml:space="preserve">巷</t>
    </r>
    <r>
      <rPr>
        <sz val="10"/>
        <color rgb="FF1F2A28"/>
        <rFont val="Arial"/>
        <family val="0"/>
        <charset val="1"/>
      </rPr>
      <t xml:space="preserve">43-1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</si>
  <si>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8965-3456</t>
  </si>
  <si>
    <t xml:space="preserve">g89653456@gmail.com</t>
  </si>
  <si>
    <t xml:space="preserve">2001-07-10</t>
  </si>
  <si>
    <t xml:space="preserve">陳玟靜</t>
  </si>
  <si>
    <t xml:space="preserve">私立埃森美語文理短期補習班</t>
  </si>
  <si>
    <r>
      <rPr>
        <sz val="10"/>
        <color rgb="FF1F2A28"/>
        <rFont val="WenQuanYi Zen Hei"/>
        <family val="2"/>
      </rPr>
      <t xml:space="preserve">板橋區中正路</t>
    </r>
    <r>
      <rPr>
        <sz val="10"/>
        <color rgb="FF1F2A28"/>
        <rFont val="Arial"/>
        <family val="0"/>
        <charset val="1"/>
      </rPr>
      <t xml:space="preserve">89</t>
    </r>
    <r>
      <rPr>
        <sz val="10"/>
        <color rgb="FF1F2A28"/>
        <rFont val="WenQuanYi Zen Hei"/>
        <family val="2"/>
      </rPr>
      <t xml:space="preserve">巷</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</si>
  <si>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0972253022</t>
  </si>
  <si>
    <t xml:space="preserve">2026-06-25</t>
  </si>
  <si>
    <t xml:space="preserve">埃森克里斯</t>
  </si>
  <si>
    <t xml:space="preserve">王姿婷</t>
  </si>
  <si>
    <t xml:space="preserve">私立士新語文短期補習班</t>
  </si>
  <si>
    <r>
      <rPr>
        <sz val="10"/>
        <color rgb="FF1F2A28"/>
        <rFont val="WenQuanYi Zen Hei"/>
        <family val="2"/>
      </rPr>
      <t xml:space="preserve">板橋區大智街</t>
    </r>
    <r>
      <rPr>
        <sz val="10"/>
        <color rgb="FF1F2A28"/>
        <rFont val="Arial"/>
        <family val="0"/>
        <charset val="1"/>
      </rPr>
      <t xml:space="preserve">48</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</si>
  <si>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(02)29516628</t>
  </si>
  <si>
    <t xml:space="preserve">洪語彤</t>
  </si>
  <si>
    <t xml:space="preserve">私立大世紀語文短期補習班</t>
  </si>
  <si>
    <r>
      <rPr>
        <sz val="10"/>
        <color rgb="FF1F2A28"/>
        <rFont val="WenQuanYi Zen Hei"/>
        <family val="2"/>
      </rPr>
      <t xml:space="preserve">板橋區成都街</t>
    </r>
    <r>
      <rPr>
        <sz val="10"/>
        <color rgb="FF1F2A28"/>
        <rFont val="Arial"/>
        <family val="0"/>
        <charset val="1"/>
      </rPr>
      <t xml:space="preserve">111</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r>
      <rPr>
        <sz val="10"/>
        <color rgb="FF1F2A28"/>
        <rFont val="Arial"/>
        <family val="0"/>
        <charset val="1"/>
      </rPr>
      <t xml:space="preserve">6</t>
    </r>
    <r>
      <rPr>
        <sz val="10"/>
        <color rgb="FF1F2A28"/>
        <rFont val="WenQuanYi Zen Hei"/>
        <family val="2"/>
      </rPr>
      <t xml:space="preserve">樓</t>
    </r>
  </si>
  <si>
    <t xml:space="preserve">29519097</t>
  </si>
  <si>
    <t xml:space="preserve">yfc43tw@gmail.com</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</si>
  <si>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美語會話</t>
    </r>
    <r>
      <rPr>
        <sz val="10"/>
        <color rgb="FF1F2A28"/>
        <rFont val="Arial"/>
        <family val="0"/>
        <charset val="1"/>
      </rPr>
      <t xml:space="preserve">)</t>
    </r>
  </si>
  <si>
    <t xml:space="preserve">陳營富</t>
  </si>
  <si>
    <t xml:space="preserve">私立大兒堡技藝文理短期補習班</t>
  </si>
  <si>
    <r>
      <rPr>
        <sz val="10"/>
        <color rgb="FF1F2A28"/>
        <rFont val="WenQuanYi Zen Hei"/>
        <family val="2"/>
      </rPr>
      <t xml:space="preserve">板橋區光明街</t>
    </r>
    <r>
      <rPr>
        <sz val="10"/>
        <color rgb="FF1F2A28"/>
        <rFont val="Arial"/>
        <family val="0"/>
        <charset val="1"/>
      </rPr>
      <t xml:space="preserve">128</t>
    </r>
    <r>
      <rPr>
        <sz val="10"/>
        <color rgb="FF1F2A28"/>
        <rFont val="WenQuanYi Zen Hei"/>
        <family val="2"/>
      </rPr>
      <t xml:space="preserve">、</t>
    </r>
    <r>
      <rPr>
        <sz val="10"/>
        <color rgb="FF1F2A28"/>
        <rFont val="Arial"/>
        <family val="0"/>
        <charset val="1"/>
      </rPr>
      <t xml:space="preserve">128</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130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</si>
  <si>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(02)2958-7187</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</si>
  <si>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會話</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文法</t>
    </r>
    <r>
      <rPr>
        <sz val="10"/>
        <color rgb="FF1F2A28"/>
        <rFont val="Arial"/>
        <family val="0"/>
        <charset val="1"/>
      </rPr>
      <t xml:space="preserve">)</t>
    </r>
  </si>
  <si>
    <t xml:space="preserve">林翠玉</t>
  </si>
  <si>
    <t xml:space="preserve">張凱淇</t>
  </si>
  <si>
    <t xml:space="preserve">私立大未來美語短期補習班</t>
  </si>
  <si>
    <r>
      <rPr>
        <sz val="10"/>
        <color rgb="FF1F2A28"/>
        <rFont val="WenQuanYi Zen Hei"/>
        <family val="2"/>
      </rPr>
      <t xml:space="preserve">板橋區互助街</t>
    </r>
    <r>
      <rPr>
        <sz val="10"/>
        <color rgb="FF1F2A28"/>
        <rFont val="Arial"/>
        <family val="0"/>
        <charset val="1"/>
      </rPr>
      <t xml:space="preserve">27</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</si>
  <si>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(02)225-69109</t>
  </si>
  <si>
    <t xml:space="preserve">2003-04-29</t>
  </si>
  <si>
    <t xml:space="preserve">王惠莉</t>
  </si>
  <si>
    <t xml:space="preserve">私立好學生美語文理短期補習班</t>
  </si>
  <si>
    <r>
      <rPr>
        <sz val="10"/>
        <color rgb="FF1F2A28"/>
        <rFont val="WenQuanYi Zen Hei"/>
        <family val="2"/>
      </rPr>
      <t xml:space="preserve">板橋區和平路</t>
    </r>
    <r>
      <rPr>
        <sz val="10"/>
        <color rgb="FF1F2A28"/>
        <rFont val="Arial"/>
        <family val="0"/>
        <charset val="1"/>
      </rPr>
      <t xml:space="preserve">182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</si>
  <si>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(02)29627027</t>
  </si>
  <si>
    <t xml:space="preserve">tengchun@ms11.hinet.net</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</si>
  <si>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t>
    </r>
    <r>
      <rPr>
        <sz val="10"/>
        <color rgb="FF1F2A28"/>
        <rFont val="Arial"/>
        <family val="0"/>
        <charset val="1"/>
      </rPr>
      <t xml:space="preserve">)</t>
    </r>
  </si>
  <si>
    <t xml:space="preserve">2004-08-06</t>
  </si>
  <si>
    <t xml:space="preserve">鄧俊如</t>
  </si>
  <si>
    <t xml:space="preserve">私立如是文理技藝短期補習班</t>
  </si>
  <si>
    <r>
      <rPr>
        <sz val="10"/>
        <color rgb="FF1F2A28"/>
        <rFont val="WenQuanYi Zen Hei"/>
        <family val="2"/>
      </rPr>
      <t xml:space="preserve">板橋區篤行路</t>
    </r>
    <r>
      <rPr>
        <sz val="10"/>
        <color rgb="FF1F2A28"/>
        <rFont val="Arial"/>
        <family val="0"/>
        <charset val="1"/>
      </rPr>
      <t xml:space="preserve">3</t>
    </r>
    <r>
      <rPr>
        <sz val="10"/>
        <color rgb="FF1F2A28"/>
        <rFont val="WenQuanYi Zen Hei"/>
        <family val="2"/>
      </rPr>
      <t xml:space="preserve">段玉平巷</t>
    </r>
    <r>
      <rPr>
        <sz val="10"/>
        <color rgb="FF1F2A28"/>
        <rFont val="Arial"/>
        <family val="0"/>
        <charset val="1"/>
      </rPr>
      <t xml:space="preserve">73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</si>
  <si>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(02)2675-8669</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</si>
  <si>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國文、英文、數學、社會、自然</t>
    </r>
    <r>
      <rPr>
        <sz val="10"/>
        <color rgb="FF1F2A28"/>
        <rFont val="Arial"/>
        <family val="0"/>
        <charset val="1"/>
      </rPr>
      <t xml:space="preserve">)</t>
    </r>
  </si>
  <si>
    <t xml:space="preserve">2018-12-19</t>
  </si>
  <si>
    <t xml:space="preserve">簡壽宏</t>
  </si>
  <si>
    <t xml:space="preserve">簡毓潔</t>
  </si>
  <si>
    <t xml:space="preserve">私立如苗兒童創作學苑語文短期補習班</t>
  </si>
  <si>
    <r>
      <rPr>
        <sz val="10"/>
        <color rgb="FF1F2A28"/>
        <rFont val="WenQuanYi Zen Hei"/>
        <family val="2"/>
      </rPr>
      <t xml:space="preserve">板橋區建國街</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</si>
  <si>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(02)2272-3523</t>
  </si>
  <si>
    <t xml:space="preserve">2013-07-11</t>
  </si>
  <si>
    <t xml:space="preserve">呂玉玲</t>
  </si>
  <si>
    <t xml:space="preserve">私立孩子堡文理語文短期補習班</t>
  </si>
  <si>
    <r>
      <rPr>
        <sz val="10"/>
        <color rgb="FF1F2A28"/>
        <rFont val="WenQuanYi Zen Hei"/>
        <family val="2"/>
      </rPr>
      <t xml:space="preserve">板橋區文德路</t>
    </r>
    <r>
      <rPr>
        <sz val="10"/>
        <color rgb="FF1F2A28"/>
        <rFont val="Arial"/>
        <family val="0"/>
        <charset val="1"/>
      </rPr>
      <t xml:space="preserve">21</t>
    </r>
    <r>
      <rPr>
        <sz val="10"/>
        <color rgb="FF1F2A28"/>
        <rFont val="WenQuanYi Zen Hei"/>
        <family val="2"/>
      </rPr>
      <t xml:space="preserve">、</t>
    </r>
    <r>
      <rPr>
        <sz val="10"/>
        <color rgb="FF1F2A28"/>
        <rFont val="Arial"/>
        <family val="0"/>
        <charset val="1"/>
      </rPr>
      <t xml:space="preserve">23</t>
    </r>
    <r>
      <rPr>
        <sz val="10"/>
        <color rgb="FF1F2A28"/>
        <rFont val="WenQuanYi Zen Hei"/>
        <family val="2"/>
      </rPr>
      <t xml:space="preserve">號各</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41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</si>
  <si>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(02)8257-1837</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</si>
  <si>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數學、英文、自然與生活科技</t>
    </r>
    <r>
      <rPr>
        <sz val="10"/>
        <color rgb="FF1F2A28"/>
        <rFont val="Arial"/>
        <family val="0"/>
        <charset val="1"/>
      </rPr>
      <t xml:space="preserve">)</t>
    </r>
  </si>
  <si>
    <t xml:space="preserve">2009-03-19</t>
  </si>
  <si>
    <t xml:space="preserve">郭惠貞</t>
  </si>
  <si>
    <t xml:space="preserve">郭惠琪</t>
  </si>
  <si>
    <t xml:space="preserve">私立學一文理美語短期補習班</t>
  </si>
  <si>
    <r>
      <rPr>
        <sz val="10"/>
        <color rgb="FF1F2A28"/>
        <rFont val="WenQuanYi Zen Hei"/>
        <family val="2"/>
      </rPr>
      <t xml:space="preserve">板橋區三民路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125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125-1</t>
    </r>
    <r>
      <rPr>
        <sz val="10"/>
        <color rgb="FF1F2A28"/>
        <rFont val="WenQuanYi Zen Hei"/>
        <family val="2"/>
      </rPr>
      <t xml:space="preserve">、</t>
    </r>
    <r>
      <rPr>
        <sz val="10"/>
        <color rgb="FF1F2A28"/>
        <rFont val="Arial"/>
        <family val="0"/>
        <charset val="1"/>
      </rPr>
      <t xml:space="preserve">127-1</t>
    </r>
    <r>
      <rPr>
        <sz val="10"/>
        <color rgb="FF1F2A28"/>
        <rFont val="WenQuanYi Zen Hei"/>
        <family val="2"/>
      </rPr>
      <t xml:space="preserve">、</t>
    </r>
    <r>
      <rPr>
        <sz val="10"/>
        <color rgb="FF1F2A28"/>
        <rFont val="Arial"/>
        <family val="0"/>
        <charset val="1"/>
      </rPr>
      <t xml:space="preserve">129-1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125-2</t>
    </r>
    <r>
      <rPr>
        <sz val="10"/>
        <color rgb="FF1F2A28"/>
        <rFont val="WenQuanYi Zen Hei"/>
        <family val="2"/>
      </rPr>
      <t xml:space="preserve">、</t>
    </r>
    <r>
      <rPr>
        <sz val="10"/>
        <color rgb="FF1F2A28"/>
        <rFont val="Arial"/>
        <family val="0"/>
        <charset val="1"/>
      </rPr>
      <t xml:space="preserve">127-2</t>
    </r>
    <r>
      <rPr>
        <sz val="10"/>
        <color rgb="FF1F2A28"/>
        <rFont val="WenQuanYi Zen Hei"/>
        <family val="2"/>
      </rPr>
      <t xml:space="preserve">、</t>
    </r>
    <r>
      <rPr>
        <sz val="10"/>
        <color rgb="FF1F2A28"/>
        <rFont val="Arial"/>
        <family val="0"/>
        <charset val="1"/>
      </rPr>
      <t xml:space="preserve">129-2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125-3</t>
    </r>
    <r>
      <rPr>
        <sz val="10"/>
        <color rgb="FF1F2A28"/>
        <rFont val="WenQuanYi Zen Hei"/>
        <family val="2"/>
      </rPr>
      <t xml:space="preserve">、</t>
    </r>
    <r>
      <rPr>
        <sz val="10"/>
        <color rgb="FF1F2A28"/>
        <rFont val="Arial"/>
        <family val="0"/>
        <charset val="1"/>
      </rPr>
      <t xml:space="preserve">127-3</t>
    </r>
    <r>
      <rPr>
        <sz val="10"/>
        <color rgb="FF1F2A28"/>
        <rFont val="WenQuanYi Zen Hei"/>
        <family val="2"/>
      </rPr>
      <t xml:space="preserve">、</t>
    </r>
    <r>
      <rPr>
        <sz val="10"/>
        <color rgb="FF1F2A28"/>
        <rFont val="Arial"/>
        <family val="0"/>
        <charset val="1"/>
      </rPr>
      <t xml:space="preserve">129-3</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</si>
  <si>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(02)29626979</t>
  </si>
  <si>
    <t xml:space="preserve">sfs1860@ms22.hinet.net</t>
  </si>
  <si>
    <t xml:space="preserve">2002-09-24</t>
  </si>
  <si>
    <t xml:space="preserve">張振亨</t>
  </si>
  <si>
    <t xml:space="preserve">周采瑩</t>
  </si>
  <si>
    <t xml:space="preserve">私立學盟文理語文短期補習班</t>
  </si>
  <si>
    <r>
      <rPr>
        <sz val="10"/>
        <color rgb="FF1F2A28"/>
        <rFont val="WenQuanYi Zen Hei"/>
        <family val="2"/>
      </rPr>
      <t xml:space="preserve">板橋區永豐街</t>
    </r>
    <r>
      <rPr>
        <sz val="10"/>
        <color rgb="FF1F2A28"/>
        <rFont val="Arial"/>
        <family val="0"/>
        <charset val="1"/>
      </rPr>
      <t xml:space="preserve">38</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49</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7</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7</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7</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r>
      <rPr>
        <sz val="10"/>
        <color rgb="FF1F2A28"/>
        <rFont val="Arial"/>
        <family val="0"/>
        <charset val="1"/>
      </rPr>
      <t xml:space="preserve">)</t>
    </r>
  </si>
  <si>
    <t xml:space="preserve">(02)29550497</t>
  </si>
  <si>
    <t xml:space="preserve">黃皇源</t>
  </si>
  <si>
    <t xml:space="preserve">私立宏大電腦語文短期補習班</t>
  </si>
  <si>
    <r>
      <rPr>
        <sz val="10"/>
        <color rgb="FF1F2A28"/>
        <rFont val="WenQuanYi Zen Hei"/>
        <family val="2"/>
      </rPr>
      <t xml:space="preserve">板橋區中正路</t>
    </r>
    <r>
      <rPr>
        <sz val="10"/>
        <color rgb="FF1F2A28"/>
        <rFont val="Arial"/>
        <family val="0"/>
        <charset val="1"/>
      </rPr>
      <t xml:space="preserve">275</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</si>
  <si>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(02)22721840</t>
  </si>
  <si>
    <t xml:space="preserve">2003-02-11</t>
  </si>
  <si>
    <t xml:space="preserve">邱愛珠</t>
  </si>
  <si>
    <t xml:space="preserve">私立密蘇里語文文理短期補習班</t>
  </si>
  <si>
    <r>
      <rPr>
        <sz val="10"/>
        <color rgb="FF1F2A28"/>
        <rFont val="WenQuanYi Zen Hei"/>
        <family val="2"/>
      </rPr>
      <t xml:space="preserve">板橋區金門街</t>
    </r>
    <r>
      <rPr>
        <sz val="10"/>
        <color rgb="FF1F2A28"/>
        <rFont val="Arial"/>
        <family val="0"/>
        <charset val="1"/>
      </rPr>
      <t xml:space="preserve">258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 、</t>
    </r>
    <r>
      <rPr>
        <sz val="10"/>
        <color rgb="FF1F2A28"/>
        <rFont val="Arial"/>
        <family val="0"/>
        <charset val="1"/>
      </rPr>
      <t xml:space="preserve">297</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297</t>
    </r>
    <r>
      <rPr>
        <sz val="10"/>
        <color rgb="FF1F2A28"/>
        <rFont val="WenQuanYi Zen Hei"/>
        <family val="2"/>
      </rPr>
      <t xml:space="preserve">巷</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</si>
  <si>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(02)26750320</t>
  </si>
  <si>
    <t xml:space="preserve">陳惠琴</t>
  </si>
  <si>
    <t xml:space="preserve">私立小奈米語文文理短期補習班</t>
  </si>
  <si>
    <r>
      <rPr>
        <sz val="10"/>
        <color rgb="FF1F2A28"/>
        <rFont val="WenQuanYi Zen Hei"/>
        <family val="2"/>
      </rPr>
      <t xml:space="preserve">板橋區四川路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23</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25</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4</t>
    </r>
    <r>
      <rPr>
        <sz val="10"/>
        <color rgb="FF1F2A28"/>
        <rFont val="WenQuanYi Zen Hei"/>
        <family val="2"/>
      </rPr>
      <t xml:space="preserve">樓</t>
    </r>
    <r>
      <rPr>
        <sz val="10"/>
        <color rgb="FF1F2A28"/>
        <rFont val="Arial"/>
        <family val="0"/>
        <charset val="1"/>
      </rPr>
      <t xml:space="preserve">)</t>
    </r>
  </si>
  <si>
    <t xml:space="preserve">(02)8966-4504</t>
  </si>
  <si>
    <t xml:space="preserve">bowjinn4504@gmail.com</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</si>
  <si>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t>
    </r>
    <r>
      <rPr>
        <sz val="10"/>
        <color rgb="FF1F2A28"/>
        <rFont val="Arial"/>
        <family val="0"/>
        <charset val="1"/>
      </rPr>
      <t xml:space="preserve">)</t>
    </r>
  </si>
  <si>
    <t xml:space="preserve">2011-12-21</t>
  </si>
  <si>
    <t xml:space="preserve">江明哲</t>
  </si>
  <si>
    <t xml:space="preserve">王嘉慶</t>
  </si>
  <si>
    <t xml:space="preserve">私立小百科語文珠算短期補習班</t>
  </si>
  <si>
    <r>
      <rPr>
        <sz val="10"/>
        <color rgb="FF1F2A28"/>
        <rFont val="WenQuanYi Zen Hei"/>
        <family val="2"/>
      </rPr>
      <t xml:space="preserve">板橋區莊敬路</t>
    </r>
    <r>
      <rPr>
        <sz val="10"/>
        <color rgb="FF1F2A28"/>
        <rFont val="Arial"/>
        <family val="0"/>
        <charset val="1"/>
      </rPr>
      <t xml:space="preserve">75</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</si>
  <si>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(02)22505587</t>
  </si>
  <si>
    <t xml:space="preserve">2002-04-01</t>
  </si>
  <si>
    <t xml:space="preserve">楊鳳真</t>
  </si>
  <si>
    <t xml:space="preserve">私立建一語文短期補習班</t>
  </si>
  <si>
    <r>
      <rPr>
        <sz val="10"/>
        <color rgb="FF1F2A28"/>
        <rFont val="WenQuanYi Zen Hei"/>
        <family val="2"/>
      </rPr>
      <t xml:space="preserve">板橋區光武街</t>
    </r>
    <r>
      <rPr>
        <sz val="10"/>
        <color rgb="FF1F2A28"/>
        <rFont val="Arial"/>
        <family val="0"/>
        <charset val="1"/>
      </rPr>
      <t xml:space="preserve">118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</si>
  <si>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(02)22541002</t>
  </si>
  <si>
    <t xml:space="preserve">1997-01-06</t>
  </si>
  <si>
    <t xml:space="preserve">萬淑媛</t>
  </si>
  <si>
    <t xml:space="preserve">私立建聖文理語文珠心算短期補習班</t>
  </si>
  <si>
    <r>
      <rPr>
        <sz val="10"/>
        <color rgb="FF1F2A28"/>
        <rFont val="WenQuanYi Zen Hei"/>
        <family val="2"/>
      </rPr>
      <t xml:space="preserve">板橋區和平路</t>
    </r>
    <r>
      <rPr>
        <sz val="10"/>
        <color rgb="FF1F2A28"/>
        <rFont val="Arial"/>
        <family val="0"/>
        <charset val="1"/>
      </rPr>
      <t xml:space="preserve">99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</si>
  <si>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(02)89515985</t>
  </si>
  <si>
    <t xml:space="preserve">superevan1113@gmail.com</t>
  </si>
  <si>
    <t xml:space="preserve">2012-08-09</t>
  </si>
  <si>
    <t xml:space="preserve">卓訓良</t>
  </si>
  <si>
    <t xml:space="preserve">私立弘華文理語文短期補習班</t>
  </si>
  <si>
    <r>
      <rPr>
        <sz val="10"/>
        <color rgb="FF1F2A28"/>
        <rFont val="WenQuanYi Zen Hei"/>
        <family val="2"/>
      </rPr>
      <t xml:space="preserve">板橋區忠孝路</t>
    </r>
    <r>
      <rPr>
        <sz val="10"/>
        <color rgb="FF1F2A28"/>
        <rFont val="Arial"/>
        <family val="0"/>
        <charset val="1"/>
      </rPr>
      <t xml:space="preserve">103</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</si>
  <si>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(02)29523636</t>
  </si>
  <si>
    <t xml:space="preserve">hcf54888@yahoo.com.tw</t>
  </si>
  <si>
    <t xml:space="preserve">2005-05-12</t>
  </si>
  <si>
    <t xml:space="preserve">黃啟斐</t>
  </si>
  <si>
    <t xml:space="preserve">私立心和平文理語文短期補習班</t>
  </si>
  <si>
    <r>
      <rPr>
        <sz val="10"/>
        <color rgb="FF1F2A28"/>
        <rFont val="WenQuanYi Zen Hei"/>
        <family val="2"/>
      </rPr>
      <t xml:space="preserve">板橋區民權路</t>
    </r>
    <r>
      <rPr>
        <sz val="10"/>
        <color rgb="FF1F2A28"/>
        <rFont val="Arial"/>
        <family val="0"/>
        <charset val="1"/>
      </rPr>
      <t xml:space="preserve">202</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弄</t>
    </r>
    <r>
      <rPr>
        <sz val="10"/>
        <color rgb="FF1F2A28"/>
        <rFont val="Arial"/>
        <family val="0"/>
        <charset val="1"/>
      </rPr>
      <t xml:space="preserve">70-3</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</si>
  <si>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(02)2965-8318</t>
  </si>
  <si>
    <t xml:space="preserve">英語、美語</t>
  </si>
  <si>
    <t xml:space="preserve">2012-11-27</t>
  </si>
  <si>
    <t xml:space="preserve">沈恩加</t>
  </si>
  <si>
    <t xml:space="preserve">李式金</t>
  </si>
  <si>
    <t xml:space="preserve">私立怡寶語文短期補習班</t>
  </si>
  <si>
    <r>
      <rPr>
        <sz val="10"/>
        <color rgb="FF1F2A28"/>
        <rFont val="WenQuanYi Zen Hei"/>
        <family val="2"/>
      </rPr>
      <t xml:space="preserve">板橋區四川路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245</t>
    </r>
    <r>
      <rPr>
        <sz val="10"/>
        <color rgb="FF1F2A28"/>
        <rFont val="WenQuanYi Zen Hei"/>
        <family val="2"/>
      </rPr>
      <t xml:space="preserve">巷</t>
    </r>
    <r>
      <rPr>
        <sz val="10"/>
        <color rgb="FF1F2A28"/>
        <rFont val="Arial"/>
        <family val="0"/>
        <charset val="1"/>
      </rPr>
      <t xml:space="preserve">77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105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</si>
  <si>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26758864</t>
  </si>
  <si>
    <t xml:space="preserve">candy59910@gmail.com</t>
  </si>
  <si>
    <t xml:space="preserve">1998-12-23</t>
  </si>
  <si>
    <t xml:space="preserve">陳俊霖</t>
  </si>
  <si>
    <t xml:space="preserve">私立悅群文理美語技藝短期補習班</t>
  </si>
  <si>
    <r>
      <rPr>
        <sz val="10"/>
        <color rgb="FF1F2A28"/>
        <rFont val="WenQuanYi Zen Hei"/>
        <family val="2"/>
      </rPr>
      <t xml:space="preserve">板橋區漢生東路</t>
    </r>
    <r>
      <rPr>
        <sz val="10"/>
        <color rgb="FF1F2A28"/>
        <rFont val="Arial"/>
        <family val="0"/>
        <charset val="1"/>
      </rPr>
      <t xml:space="preserve">311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</si>
  <si>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(02)29517824</t>
  </si>
  <si>
    <t xml:space="preserve">yeskid2951@yesnatural.com.tw</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</si>
  <si>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國文、英文、數學、自然與生活科技</t>
    </r>
    <r>
      <rPr>
        <sz val="10"/>
        <color rgb="FF1F2A28"/>
        <rFont val="Arial"/>
        <family val="0"/>
        <charset val="1"/>
      </rPr>
      <t xml:space="preserve">)</t>
    </r>
  </si>
  <si>
    <t xml:space="preserve">2012-09-13</t>
  </si>
  <si>
    <t xml:space="preserve">林鴻忠</t>
  </si>
  <si>
    <t xml:space="preserve">祝慧慧</t>
  </si>
  <si>
    <t xml:space="preserve">私立愛唯兒語文短期補習班</t>
  </si>
  <si>
    <r>
      <rPr>
        <sz val="10"/>
        <color rgb="FF1F2A28"/>
        <rFont val="WenQuanYi Zen Hei"/>
        <family val="2"/>
      </rPr>
      <t xml:space="preserve">板橋區大同街</t>
    </r>
    <r>
      <rPr>
        <sz val="10"/>
        <color rgb="FF1F2A28"/>
        <rFont val="Arial"/>
        <family val="0"/>
        <charset val="1"/>
      </rPr>
      <t xml:space="preserve">50</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樓</t>
    </r>
  </si>
  <si>
    <t xml:space="preserve">(02)82512888</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</si>
  <si>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)C</t>
    </r>
    <r>
      <rPr>
        <sz val="10"/>
        <color rgb="FF1F2A28"/>
        <rFont val="WenQuanYi Zen Hei"/>
        <family val="2"/>
      </rPr>
      <t xml:space="preserve">班、語文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)A</t>
    </r>
    <r>
      <rPr>
        <sz val="10"/>
        <color rgb="FF1F2A28"/>
        <rFont val="WenQuanYi Zen Hei"/>
        <family val="2"/>
      </rPr>
      <t xml:space="preserve">班、語文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)B</t>
    </r>
    <r>
      <rPr>
        <sz val="10"/>
        <color rgb="FF1F2A28"/>
        <rFont val="WenQuanYi Zen Hei"/>
        <family val="2"/>
      </rPr>
      <t xml:space="preserve">班</t>
    </r>
  </si>
  <si>
    <t xml:space="preserve">黃愛喜</t>
  </si>
  <si>
    <t xml:space="preserve">私立愛彌兒美語文理技藝短期補習班</t>
  </si>
  <si>
    <r>
      <rPr>
        <sz val="10"/>
        <color rgb="FF1F2A28"/>
        <rFont val="WenQuanYi Zen Hei"/>
        <family val="2"/>
      </rPr>
      <t xml:space="preserve">板橋區永豐街</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45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</si>
  <si>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2954-1585</t>
  </si>
  <si>
    <t xml:space="preserve">1991-04-11</t>
  </si>
  <si>
    <t xml:space="preserve">林進雄</t>
  </si>
  <si>
    <t xml:space="preserve">陳麗英</t>
  </si>
  <si>
    <t xml:space="preserve">私立戴爾科學作品語文短期補習班</t>
  </si>
  <si>
    <r>
      <rPr>
        <sz val="10"/>
        <color rgb="FF1F2A28"/>
        <rFont val="WenQuanYi Zen Hei"/>
        <family val="2"/>
      </rPr>
      <t xml:space="preserve">板橋區忠孝路</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</si>
  <si>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(02)29537779</t>
  </si>
  <si>
    <t xml:space="preserve">2007-11-15</t>
  </si>
  <si>
    <t xml:space="preserve">許凱雄</t>
  </si>
  <si>
    <t xml:space="preserve">私立捷勝語文珠心算文理補習班</t>
  </si>
  <si>
    <r>
      <rPr>
        <sz val="10"/>
        <color rgb="FF1F2A28"/>
        <rFont val="WenQuanYi Zen Hei"/>
        <family val="2"/>
      </rPr>
      <t xml:space="preserve">板橋區英士路</t>
    </r>
    <r>
      <rPr>
        <sz val="10"/>
        <color rgb="FF1F2A28"/>
        <rFont val="Arial"/>
        <family val="0"/>
        <charset val="1"/>
      </rPr>
      <t xml:space="preserve">39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</si>
  <si>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22542727</t>
  </si>
  <si>
    <t xml:space="preserve">英、自</t>
  </si>
  <si>
    <t xml:space="preserve">1999-12-22</t>
  </si>
  <si>
    <t xml:space="preserve">陳俞安</t>
  </si>
  <si>
    <t xml:space="preserve">私立接觸語文短期補習班</t>
  </si>
  <si>
    <r>
      <rPr>
        <sz val="10"/>
        <color rgb="FF1F2A28"/>
        <rFont val="WenQuanYi Zen Hei"/>
        <family val="2"/>
      </rPr>
      <t xml:space="preserve">板橋區漢生東路</t>
    </r>
    <r>
      <rPr>
        <sz val="10"/>
        <color rgb="FF1F2A28"/>
        <rFont val="Arial"/>
        <family val="0"/>
        <charset val="1"/>
      </rPr>
      <t xml:space="preserve">299</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</si>
  <si>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(02)29553770</t>
  </si>
  <si>
    <t xml:space="preserve">chialiulouis@gmail.com</t>
  </si>
  <si>
    <t xml:space="preserve">2005-06-17</t>
  </si>
  <si>
    <t xml:space="preserve">劉家運</t>
  </si>
  <si>
    <t xml:space="preserve">私立文堡語文短期補習班</t>
  </si>
  <si>
    <r>
      <rPr>
        <sz val="10"/>
        <color rgb="FF1F2A28"/>
        <rFont val="WenQuanYi Zen Hei"/>
        <family val="2"/>
      </rPr>
      <t xml:space="preserve">板橋區永豐街</t>
    </r>
    <r>
      <rPr>
        <sz val="10"/>
        <color rgb="FF1F2A28"/>
        <rFont val="Arial"/>
        <family val="0"/>
        <charset val="1"/>
      </rPr>
      <t xml:space="preserve">120</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樓、永豐街</t>
    </r>
    <r>
      <rPr>
        <sz val="10"/>
        <color rgb="FF1F2A28"/>
        <rFont val="Arial"/>
        <family val="0"/>
        <charset val="1"/>
      </rPr>
      <t xml:space="preserve">120</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</si>
  <si>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(02)29632550</t>
  </si>
  <si>
    <t xml:space="preserve">2008-05-22</t>
  </si>
  <si>
    <t xml:space="preserve">吳泰泉</t>
  </si>
  <si>
    <t xml:space="preserve">林金英</t>
  </si>
  <si>
    <t xml:space="preserve">私立文德文理語文短期補習班</t>
  </si>
  <si>
    <r>
      <rPr>
        <sz val="10"/>
        <color rgb="FF1F2A28"/>
        <rFont val="WenQuanYi Zen Hei"/>
        <family val="2"/>
      </rPr>
      <t xml:space="preserve">板橋區互助街</t>
    </r>
    <r>
      <rPr>
        <sz val="10"/>
        <color rgb="FF1F2A28"/>
        <rFont val="Arial"/>
        <family val="0"/>
        <charset val="1"/>
      </rPr>
      <t xml:space="preserve">100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由</t>
    </r>
    <r>
      <rPr>
        <sz val="10"/>
        <color rgb="FF1F2A28"/>
        <rFont val="Arial"/>
        <family val="0"/>
        <charset val="1"/>
      </rPr>
      <t xml:space="preserve">100</t>
    </r>
    <r>
      <rPr>
        <sz val="10"/>
        <color rgb="FF1F2A28"/>
        <rFont val="WenQuanYi Zen Hei"/>
        <family val="2"/>
      </rPr>
      <t xml:space="preserve">、</t>
    </r>
    <r>
      <rPr>
        <sz val="10"/>
        <color rgb="FF1F2A28"/>
        <rFont val="Arial"/>
        <family val="0"/>
        <charset val="1"/>
      </rPr>
      <t xml:space="preserve">102</t>
    </r>
    <r>
      <rPr>
        <sz val="10"/>
        <color rgb="FF1F2A28"/>
        <rFont val="WenQuanYi Zen Hei"/>
        <family val="2"/>
      </rPr>
      <t xml:space="preserve">號合併</t>
    </r>
    <r>
      <rPr>
        <sz val="10"/>
        <color rgb="FF1F2A28"/>
        <rFont val="Arial"/>
        <family val="0"/>
        <charset val="1"/>
      </rPr>
      <t xml:space="preserve">)</t>
    </r>
  </si>
  <si>
    <t xml:space="preserve">22559892</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</si>
  <si>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</si>
  <si>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2000-05-25</t>
  </si>
  <si>
    <t xml:space="preserve">王香勻</t>
  </si>
  <si>
    <t xml:space="preserve">私立文德珠心算文理語文短期補習班</t>
  </si>
  <si>
    <r>
      <rPr>
        <sz val="10"/>
        <color rgb="FF1F2A28"/>
        <rFont val="WenQuanYi Zen Hei"/>
        <family val="2"/>
      </rPr>
      <t xml:space="preserve">板橋區英士路</t>
    </r>
    <r>
      <rPr>
        <sz val="10"/>
        <color rgb="FF1F2A28"/>
        <rFont val="Arial"/>
        <family val="0"/>
        <charset val="1"/>
      </rPr>
      <t xml:space="preserve">76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</si>
  <si>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8258-3465</t>
  </si>
  <si>
    <t xml:space="preserve">w82583465@gmail.com</t>
  </si>
  <si>
    <t xml:space="preserve">王盈璇</t>
  </si>
  <si>
    <t xml:space="preserve">私立文煜文理語文短期補習班</t>
  </si>
  <si>
    <r>
      <rPr>
        <sz val="10"/>
        <color rgb="FF1F2A28"/>
        <rFont val="WenQuanYi Zen Hei"/>
        <family val="2"/>
      </rPr>
      <t xml:space="preserve">板橋區大觀路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樓、大觀路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22</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、大觀路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</si>
  <si>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(02)2275-4556</t>
  </si>
  <si>
    <t xml:space="preserve">aa0952303520@gmail.com</t>
  </si>
  <si>
    <t xml:space="preserve">2007-08-29</t>
  </si>
  <si>
    <t xml:space="preserve">廖松男</t>
  </si>
  <si>
    <t xml:space="preserve">黃郁青</t>
  </si>
  <si>
    <t xml:space="preserve">私立新亞洲文理語文美術音樂短期補習班</t>
  </si>
  <si>
    <r>
      <rPr>
        <sz val="10"/>
        <color rgb="FF1F2A28"/>
        <rFont val="WenQuanYi Zen Hei"/>
        <family val="2"/>
      </rPr>
      <t xml:space="preserve">板橋區文化路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182</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弄</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樓、板橋區莊敬路</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</si>
  <si>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(02)22548040</t>
  </si>
  <si>
    <t xml:space="preserve">newasia.eschool@msa.hinet.net</t>
  </si>
  <si>
    <t xml:space="preserve">2002-11-21</t>
  </si>
  <si>
    <t xml:space="preserve">周大鎮</t>
  </si>
  <si>
    <t xml:space="preserve">陳冠吟</t>
  </si>
  <si>
    <t xml:space="preserve">私立新今日文理短期補習班</t>
  </si>
  <si>
    <r>
      <rPr>
        <sz val="10"/>
        <color rgb="FF1F2A28"/>
        <rFont val="WenQuanYi Zen Hei"/>
        <family val="2"/>
      </rPr>
      <t xml:space="preserve">板橋區西門街</t>
    </r>
    <r>
      <rPr>
        <sz val="10"/>
        <color rgb="FF1F2A28"/>
        <rFont val="Arial"/>
        <family val="0"/>
        <charset val="1"/>
      </rPr>
      <t xml:space="preserve">18-5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</si>
  <si>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(02)29670443</t>
  </si>
  <si>
    <t xml:space="preserve">a09522849@yahoo.com.tw</t>
  </si>
  <si>
    <t xml:space="preserve">2003-09-15</t>
  </si>
  <si>
    <t xml:space="preserve">徐珮綺</t>
  </si>
  <si>
    <t xml:space="preserve">私立新卡爾斯登語文文理短期補習班</t>
  </si>
  <si>
    <r>
      <rPr>
        <sz val="10"/>
        <color rgb="FF1F2A28"/>
        <rFont val="WenQuanYi Zen Hei"/>
        <family val="2"/>
      </rPr>
      <t xml:space="preserve">板橋區莊敬路</t>
    </r>
    <r>
      <rPr>
        <sz val="10"/>
        <color rgb="FF1F2A28"/>
        <rFont val="Arial"/>
        <family val="0"/>
        <charset val="1"/>
      </rPr>
      <t xml:space="preserve">42</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</si>
  <si>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02-2255-0117</t>
  </si>
  <si>
    <t xml:space="preserve">karstenenglish42@gmail.com</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</si>
  <si>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英文、國文作文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英文、數學</t>
    </r>
    <r>
      <rPr>
        <sz val="10"/>
        <color rgb="FF1F2A28"/>
        <rFont val="Arial"/>
        <family val="0"/>
        <charset val="1"/>
      </rPr>
      <t xml:space="preserve">)</t>
    </r>
  </si>
  <si>
    <t xml:space="preserve">2013-09-26</t>
  </si>
  <si>
    <t xml:space="preserve">吳淦鴻</t>
  </si>
  <si>
    <t xml:space="preserve">陳怡如</t>
  </si>
  <si>
    <t xml:space="preserve">私立新戴爾英文短期補習班</t>
  </si>
  <si>
    <r>
      <rPr>
        <sz val="10"/>
        <color rgb="FF1F2A28"/>
        <rFont val="WenQuanYi Zen Hei"/>
        <family val="2"/>
      </rPr>
      <t xml:space="preserve">板橋區中山路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</si>
  <si>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(02)2953-0999</t>
  </si>
  <si>
    <t xml:space="preserve">褚泰瑋</t>
  </si>
  <si>
    <t xml:space="preserve">楊舒晴</t>
  </si>
  <si>
    <t xml:space="preserve">私立日勝文理語文短期補習班</t>
  </si>
  <si>
    <r>
      <rPr>
        <sz val="10"/>
        <color rgb="FF1F2A28"/>
        <rFont val="WenQuanYi Zen Hei"/>
        <family val="2"/>
      </rPr>
      <t xml:space="preserve">板橋區漢生東路</t>
    </r>
    <r>
      <rPr>
        <sz val="10"/>
        <color rgb="FF1F2A28"/>
        <rFont val="Arial"/>
        <family val="0"/>
        <charset val="1"/>
      </rPr>
      <t xml:space="preserve">313</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弄</t>
    </r>
    <r>
      <rPr>
        <sz val="10"/>
        <color rgb="FF1F2A28"/>
        <rFont val="Arial"/>
        <family val="0"/>
        <charset val="1"/>
      </rPr>
      <t xml:space="preserve">42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</si>
  <si>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(02)29517707</t>
  </si>
  <si>
    <t xml:space="preserve">2016-05-05</t>
  </si>
  <si>
    <t xml:space="preserve">尹俊傑</t>
  </si>
  <si>
    <t xml:space="preserve">藍佩文</t>
  </si>
  <si>
    <t xml:space="preserve">私立日閱語文短期補習班</t>
  </si>
  <si>
    <r>
      <rPr>
        <sz val="10"/>
        <color rgb="FF1F2A28"/>
        <rFont val="WenQuanYi Zen Hei"/>
        <family val="2"/>
      </rPr>
      <t xml:space="preserve">板橋區漢生東路</t>
    </r>
    <r>
      <rPr>
        <sz val="10"/>
        <color rgb="FF1F2A28"/>
        <rFont val="Arial"/>
        <family val="0"/>
        <charset val="1"/>
      </rPr>
      <t xml:space="preserve">309</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</si>
  <si>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22648041</t>
  </si>
  <si>
    <t xml:space="preserve">1999-03-19</t>
  </si>
  <si>
    <t xml:space="preserve">張東明</t>
  </si>
  <si>
    <t xml:space="preserve">私立昇科語文文理短期補習班</t>
  </si>
  <si>
    <r>
      <rPr>
        <sz val="10"/>
        <color rgb="FF1F2A28"/>
        <rFont val="WenQuanYi Zen Hei"/>
        <family val="2"/>
      </rPr>
      <t xml:space="preserve">板橋區文化路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86</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</si>
  <si>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(02)8258-6286</t>
  </si>
  <si>
    <t xml:space="preserve">shengko168@gmail.com</t>
  </si>
  <si>
    <t xml:space="preserve">2010-06-14</t>
  </si>
  <si>
    <t xml:space="preserve">李鴻斌</t>
  </si>
  <si>
    <t xml:space="preserve">謝騰輝</t>
  </si>
  <si>
    <t xml:space="preserve">私立易宸文理英語短期補習班</t>
  </si>
  <si>
    <r>
      <rPr>
        <sz val="10"/>
        <color rgb="FF1F2A28"/>
        <rFont val="WenQuanYi Zen Hei"/>
        <family val="2"/>
      </rPr>
      <t xml:space="preserve">板橋區金門街</t>
    </r>
    <r>
      <rPr>
        <sz val="10"/>
        <color rgb="FF1F2A28"/>
        <rFont val="Arial"/>
        <family val="0"/>
        <charset val="1"/>
      </rPr>
      <t xml:space="preserve">165</t>
    </r>
    <r>
      <rPr>
        <sz val="10"/>
        <color rgb="FF1F2A28"/>
        <rFont val="WenQuanYi Zen Hei"/>
        <family val="2"/>
      </rPr>
      <t xml:space="preserve">號、</t>
    </r>
    <r>
      <rPr>
        <sz val="10"/>
        <color rgb="FF1F2A28"/>
        <rFont val="Arial"/>
        <family val="0"/>
        <charset val="1"/>
      </rPr>
      <t xml:space="preserve">167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</si>
  <si>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(02)8675-3389</t>
  </si>
  <si>
    <t xml:space="preserve">shane.shulin.@yahoo.com.tw</t>
  </si>
  <si>
    <t xml:space="preserve">王鈴鳳</t>
  </si>
  <si>
    <t xml:space="preserve">劉明鑫</t>
  </si>
  <si>
    <t xml:space="preserve">私立春福文理語文短期補習班</t>
  </si>
  <si>
    <r>
      <rPr>
        <sz val="10"/>
        <color rgb="FF1F2A28"/>
        <rFont val="WenQuanYi Zen Hei"/>
        <family val="2"/>
      </rPr>
      <t xml:space="preserve">板橋區重慶路</t>
    </r>
    <r>
      <rPr>
        <sz val="10"/>
        <color rgb="FF1F2A28"/>
        <rFont val="Arial"/>
        <family val="0"/>
        <charset val="1"/>
      </rPr>
      <t xml:space="preserve">245</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</si>
  <si>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(02)89512426</t>
  </si>
  <si>
    <t xml:space="preserve">sophieshc53@gmail.com</t>
  </si>
  <si>
    <t xml:space="preserve">2003-07-03</t>
  </si>
  <si>
    <t xml:space="preserve">陳秀慧</t>
  </si>
  <si>
    <t xml:space="preserve">私立晨祐兒童學苑文理語文短期補習班</t>
  </si>
  <si>
    <r>
      <rPr>
        <sz val="10"/>
        <color rgb="FF1F2A28"/>
        <rFont val="WenQuanYi Zen Hei"/>
        <family val="2"/>
      </rPr>
      <t xml:space="preserve">板橋區文化路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322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</si>
  <si>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(02)22566983</t>
  </si>
  <si>
    <t xml:space="preserve">英文、英、數</t>
  </si>
  <si>
    <t xml:space="preserve">2007-09-25</t>
  </si>
  <si>
    <t xml:space="preserve">蔡誼馨</t>
  </si>
  <si>
    <t xml:space="preserve">私立智勝文理語文短期補習班</t>
  </si>
  <si>
    <r>
      <rPr>
        <sz val="10"/>
        <color rgb="FF1F2A28"/>
        <rFont val="WenQuanYi Zen Hei"/>
        <family val="2"/>
      </rPr>
      <t xml:space="preserve">板橋區懷德街</t>
    </r>
    <r>
      <rPr>
        <sz val="10"/>
        <color rgb="FF1F2A28"/>
        <rFont val="Arial"/>
        <family val="0"/>
        <charset val="1"/>
      </rPr>
      <t xml:space="preserve">174</t>
    </r>
    <r>
      <rPr>
        <sz val="10"/>
        <color rgb="FF1F2A28"/>
        <rFont val="WenQuanYi Zen Hei"/>
        <family val="2"/>
      </rPr>
      <t xml:space="preserve">巷</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</si>
  <si>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(02)22535462</t>
  </si>
  <si>
    <t xml:space="preserve">maggiechang55@gmail.com</t>
  </si>
  <si>
    <t xml:space="preserve">2012-12-21</t>
  </si>
  <si>
    <t xml:space="preserve">張郁琳</t>
  </si>
  <si>
    <t xml:space="preserve">私立李勤語文文理短期補習班</t>
  </si>
  <si>
    <r>
      <rPr>
        <sz val="10"/>
        <color rgb="FF1F2A28"/>
        <rFont val="WenQuanYi Zen Hei"/>
        <family val="2"/>
      </rPr>
      <t xml:space="preserve">板橋區文化路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319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層</t>
    </r>
    <r>
      <rPr>
        <sz val="10"/>
        <color rgb="FF1F2A28"/>
        <rFont val="Arial"/>
        <family val="0"/>
        <charset val="1"/>
      </rPr>
      <t xml:space="preserve">)</t>
    </r>
  </si>
  <si>
    <t xml:space="preserve">(02)0989766002</t>
  </si>
  <si>
    <t xml:space="preserve">英語、英語、數學、自然與生活科技</t>
  </si>
  <si>
    <t xml:space="preserve">閻文龍</t>
  </si>
  <si>
    <t xml:space="preserve">李恩欣</t>
  </si>
  <si>
    <t xml:space="preserve">私立李老師語文短期補習班</t>
  </si>
  <si>
    <r>
      <rPr>
        <sz val="10"/>
        <color rgb="FF1F2A28"/>
        <rFont val="WenQuanYi Zen Hei"/>
        <family val="2"/>
      </rPr>
      <t xml:space="preserve">板橋區中山路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533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</si>
  <si>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(02)29592000</t>
  </si>
  <si>
    <t xml:space="preserve">2011-01-26</t>
  </si>
  <si>
    <t xml:space="preserve">李淑麗</t>
  </si>
  <si>
    <t xml:space="preserve">私立杜克文理美語短期補習班</t>
  </si>
  <si>
    <r>
      <rPr>
        <sz val="10"/>
        <color rgb="FF1F2A28"/>
        <rFont val="WenQuanYi Zen Hei"/>
        <family val="2"/>
      </rPr>
      <t xml:space="preserve">板橋區僑中一街</t>
    </r>
    <r>
      <rPr>
        <sz val="10"/>
        <color rgb="FF1F2A28"/>
        <rFont val="Arial"/>
        <family val="0"/>
        <charset val="1"/>
      </rPr>
      <t xml:space="preserve">124</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弄</t>
    </r>
    <r>
      <rPr>
        <sz val="10"/>
        <color rgb="FF1F2A28"/>
        <rFont val="Arial"/>
        <family val="0"/>
        <charset val="1"/>
      </rPr>
      <t xml:space="preserve">12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16</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</si>
  <si>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r>
      <rPr>
        <sz val="10"/>
        <color rgb="FF1F2A28"/>
        <rFont val="Arial"/>
        <family val="0"/>
        <charset val="1"/>
      </rPr>
      <t xml:space="preserve">(02)29692577</t>
    </r>
    <r>
      <rPr>
        <sz val="10"/>
        <color rgb="FF1F2A28"/>
        <rFont val="WenQuanYi Zen Hei"/>
        <family val="2"/>
      </rPr>
      <t xml:space="preserve">、</t>
    </r>
    <r>
      <rPr>
        <sz val="10"/>
        <color rgb="FF1F2A28"/>
        <rFont val="Arial"/>
        <family val="0"/>
        <charset val="1"/>
      </rPr>
      <t xml:space="preserve">29652828</t>
    </r>
  </si>
  <si>
    <t xml:space="preserve">grace660624@gmail.com</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</si>
  <si>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英文、數學、作文</t>
    </r>
    <r>
      <rPr>
        <sz val="10"/>
        <color rgb="FF1F2A28"/>
        <rFont val="Arial"/>
        <family val="0"/>
        <charset val="1"/>
      </rPr>
      <t xml:space="preserve">)</t>
    </r>
  </si>
  <si>
    <t xml:space="preserve">2009-07-13</t>
  </si>
  <si>
    <t xml:space="preserve">吳建甫</t>
  </si>
  <si>
    <t xml:space="preserve">黃漾綺</t>
  </si>
  <si>
    <t xml:space="preserve">私立板新文理語文短期補習班</t>
  </si>
  <si>
    <r>
      <rPr>
        <sz val="10"/>
        <color rgb="FF1F2A28"/>
        <rFont val="WenQuanYi Zen Hei"/>
        <family val="2"/>
      </rPr>
      <t xml:space="preserve">板橋區中山路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293</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</si>
  <si>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(02)77306685</t>
  </si>
  <si>
    <t xml:space="preserve">banxin.school@gmail.com</t>
  </si>
  <si>
    <t xml:space="preserve">國文、自然、英語、數學</t>
  </si>
  <si>
    <t xml:space="preserve">2009-11-13</t>
  </si>
  <si>
    <t xml:space="preserve">許哲華</t>
  </si>
  <si>
    <t xml:space="preserve">私立樂品學文理短期補習班</t>
  </si>
  <si>
    <r>
      <rPr>
        <sz val="10"/>
        <color rgb="FF1F2A28"/>
        <rFont val="WenQuanYi Zen Hei"/>
        <family val="2"/>
      </rPr>
      <t xml:space="preserve">板橋區莊敬路</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</si>
  <si>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2250-2121</t>
  </si>
  <si>
    <t xml:space="preserve">jiangcui@sesamevillage.tw</t>
  </si>
  <si>
    <t xml:space="preserve">2013-06-04</t>
  </si>
  <si>
    <t xml:space="preserve">張萱</t>
  </si>
  <si>
    <t xml:space="preserve">私立正牛津語文短期補習班</t>
  </si>
  <si>
    <r>
      <rPr>
        <sz val="10"/>
        <color rgb="FF1F2A28"/>
        <rFont val="WenQuanYi Zen Hei"/>
        <family val="2"/>
      </rPr>
      <t xml:space="preserve">板橋區中正路</t>
    </r>
    <r>
      <rPr>
        <sz val="10"/>
        <color rgb="FF1F2A28"/>
        <rFont val="Arial"/>
        <family val="0"/>
        <charset val="1"/>
      </rPr>
      <t xml:space="preserve">274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</si>
  <si>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(02)29677899</t>
  </si>
  <si>
    <t xml:space="preserve">oxford520520@gmail.com</t>
  </si>
  <si>
    <t xml:space="preserve">2002-01-03</t>
  </si>
  <si>
    <t xml:space="preserve">黃梅欣</t>
  </si>
  <si>
    <t xml:space="preserve">私立比恩語文短期補習班</t>
  </si>
  <si>
    <r>
      <rPr>
        <sz val="10"/>
        <color rgb="FF1F2A28"/>
        <rFont val="WenQuanYi Zen Hei"/>
        <family val="2"/>
      </rPr>
      <t xml:space="preserve">板橋區文化路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120</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</si>
  <si>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(02)2252-7032</t>
  </si>
  <si>
    <t xml:space="preserve">bien@bien-languages.com</t>
  </si>
  <si>
    <t xml:space="preserve">簡郁芯</t>
  </si>
  <si>
    <t xml:space="preserve">私立永昇文理語文短期補習班</t>
  </si>
  <si>
    <r>
      <rPr>
        <sz val="10"/>
        <color rgb="FF1F2A28"/>
        <rFont val="WenQuanYi Zen Hei"/>
        <family val="2"/>
      </rPr>
      <t xml:space="preserve">板橋區陽明街</t>
    </r>
    <r>
      <rPr>
        <sz val="10"/>
        <color rgb="FF1F2A28"/>
        <rFont val="Arial"/>
        <family val="0"/>
        <charset val="1"/>
      </rPr>
      <t xml:space="preserve">128</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</si>
  <si>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22596488</t>
  </si>
  <si>
    <t xml:space="preserve">leelight888@gmail.com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</si>
  <si>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國文、英文、數學、理化</t>
    </r>
    <r>
      <rPr>
        <sz val="10"/>
        <color rgb="FF1F2A28"/>
        <rFont val="Arial"/>
        <family val="0"/>
        <charset val="1"/>
      </rPr>
      <t xml:space="preserve">)</t>
    </r>
    <r>
      <rPr>
        <sz val="10"/>
        <color rgb="FF1F2A28"/>
        <rFont val="WenQuanYi Zen Hei"/>
        <family val="2"/>
      </rPr>
      <t xml:space="preserve">、美語</t>
    </r>
  </si>
  <si>
    <t xml:space="preserve">2004-03-29</t>
  </si>
  <si>
    <t xml:space="preserve">呂水清</t>
  </si>
  <si>
    <t xml:space="preserve">私立江鋒英文語文文理短期補習班</t>
  </si>
  <si>
    <r>
      <rPr>
        <sz val="10"/>
        <color rgb="FF1F2A28"/>
        <rFont val="WenQuanYi Zen Hei"/>
        <family val="2"/>
      </rPr>
      <t xml:space="preserve">板橋區漢生東路</t>
    </r>
    <r>
      <rPr>
        <sz val="10"/>
        <color rgb="FF1F2A28"/>
        <rFont val="Arial"/>
        <family val="0"/>
        <charset val="1"/>
      </rPr>
      <t xml:space="preserve">179</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</si>
  <si>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(02)89530220</t>
  </si>
  <si>
    <t xml:space="preserve">f1213256@gmail.com</t>
  </si>
  <si>
    <t xml:space="preserve">美語、英文、歷史</t>
  </si>
  <si>
    <t xml:space="preserve">2016-07-26</t>
  </si>
  <si>
    <t xml:space="preserve">江振鋒</t>
  </si>
  <si>
    <t xml:space="preserve">私立海山菁英語文短期補習班</t>
  </si>
  <si>
    <r>
      <rPr>
        <sz val="10"/>
        <color rgb="FF1F2A28"/>
        <rFont val="WenQuanYi Zen Hei"/>
        <family val="2"/>
      </rPr>
      <t xml:space="preserve">板橋區漢生東路</t>
    </r>
    <r>
      <rPr>
        <sz val="10"/>
        <color rgb="FF1F2A28"/>
        <rFont val="Arial"/>
        <family val="0"/>
        <charset val="1"/>
      </rPr>
      <t xml:space="preserve">279</t>
    </r>
    <r>
      <rPr>
        <sz val="10"/>
        <color rgb="FF1F2A28"/>
        <rFont val="WenQuanYi Zen Hei"/>
        <family val="2"/>
      </rPr>
      <t xml:space="preserve">巷</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30-1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</si>
  <si>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(02)29511626</t>
  </si>
  <si>
    <t xml:space="preserve">2005-09-28</t>
  </si>
  <si>
    <t xml:space="preserve">吳孔祥</t>
  </si>
  <si>
    <t xml:space="preserve">私立溫馨美語短期補習班</t>
  </si>
  <si>
    <r>
      <rPr>
        <sz val="10"/>
        <color rgb="FF1F2A28"/>
        <rFont val="WenQuanYi Zen Hei"/>
        <family val="2"/>
      </rPr>
      <t xml:space="preserve">板橋區裕民街</t>
    </r>
    <r>
      <rPr>
        <sz val="10"/>
        <color rgb="FF1F2A28"/>
        <rFont val="Arial"/>
        <family val="0"/>
        <charset val="1"/>
      </rPr>
      <t xml:space="preserve">128</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</si>
  <si>
    <t xml:space="preserve">(02)22574311</t>
  </si>
  <si>
    <t xml:space="preserve">lung720828@gmail.com</t>
  </si>
  <si>
    <t xml:space="preserve">2003-01-14</t>
  </si>
  <si>
    <t xml:space="preserve">吳秉隆</t>
  </si>
  <si>
    <t xml:space="preserve">私立為登語文短期補習班</t>
  </si>
  <si>
    <r>
      <rPr>
        <sz val="10"/>
        <color rgb="FF1F2A28"/>
        <rFont val="WenQuanYi Zen Hei"/>
        <family val="2"/>
      </rPr>
      <t xml:space="preserve">板橋區英士路</t>
    </r>
    <r>
      <rPr>
        <sz val="10"/>
        <color rgb="FF1F2A28"/>
        <rFont val="Arial"/>
        <family val="0"/>
        <charset val="1"/>
      </rPr>
      <t xml:space="preserve">58</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樓、陽明街</t>
    </r>
    <r>
      <rPr>
        <sz val="10"/>
        <color rgb="FF1F2A28"/>
        <rFont val="Arial"/>
        <family val="0"/>
        <charset val="1"/>
      </rPr>
      <t xml:space="preserve">279</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</si>
  <si>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(02)8257-2977</t>
  </si>
  <si>
    <t xml:space="preserve">widen2008@yahoo.com.tw</t>
  </si>
  <si>
    <t xml:space="preserve">2013-08-14</t>
  </si>
  <si>
    <t xml:space="preserve">蔡翠芳</t>
  </si>
  <si>
    <t xml:space="preserve">私立班尼斯語文短期補習班</t>
  </si>
  <si>
    <r>
      <rPr>
        <sz val="10"/>
        <color rgb="FF1F2A28"/>
        <rFont val="WenQuanYi Zen Hei"/>
        <family val="2"/>
      </rPr>
      <t xml:space="preserve">板橋區雙十路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143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</si>
  <si>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(02)22588856</t>
  </si>
  <si>
    <t xml:space="preserve">topsesame@gmail.com</t>
  </si>
  <si>
    <t xml:space="preserve">2005-03-09</t>
  </si>
  <si>
    <t xml:space="preserve">張雅萍</t>
  </si>
  <si>
    <t xml:space="preserve">私立生活美語村文理語文短期補習班</t>
  </si>
  <si>
    <r>
      <rPr>
        <sz val="10"/>
        <color rgb="FF1F2A28"/>
        <rFont val="WenQuanYi Zen Hei"/>
        <family val="2"/>
      </rPr>
      <t xml:space="preserve">板橋區漢生東路</t>
    </r>
    <r>
      <rPr>
        <sz val="10"/>
        <color rgb="FF1F2A28"/>
        <rFont val="Arial"/>
        <family val="0"/>
        <charset val="1"/>
      </rPr>
      <t xml:space="preserve">350</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樓、</t>
    </r>
    <r>
      <rPr>
        <sz val="10"/>
        <color rgb="FF1F2A28"/>
        <rFont val="Arial"/>
        <family val="0"/>
        <charset val="1"/>
      </rPr>
      <t xml:space="preserve">339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</si>
  <si>
    <t xml:space="preserve">(02)2964-6599</t>
  </si>
  <si>
    <t xml:space="preserve">husallan0703@hotmial.com</t>
  </si>
  <si>
    <t xml:space="preserve">2004-03-24</t>
  </si>
  <si>
    <t xml:space="preserve">許運通</t>
  </si>
  <si>
    <t xml:space="preserve">許雅倫</t>
  </si>
  <si>
    <t xml:space="preserve">私立睿智板新語文短期補習班</t>
  </si>
  <si>
    <r>
      <rPr>
        <sz val="10"/>
        <color rgb="FF1F2A28"/>
        <rFont val="WenQuanYi Zen Hei"/>
        <family val="2"/>
      </rPr>
      <t xml:space="preserve">板橋區中山路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293</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</si>
  <si>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(02)8953-4455</t>
  </si>
  <si>
    <t xml:space="preserve">bqacesenglish@gmail.com</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</si>
  <si>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</si>
  <si>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2012-06-26</t>
  </si>
  <si>
    <t xml:space="preserve">林凱志</t>
  </si>
  <si>
    <t xml:space="preserve">陳宥傑</t>
  </si>
  <si>
    <t xml:space="preserve">私立科建語文文理短期補習班</t>
  </si>
  <si>
    <r>
      <rPr>
        <sz val="10"/>
        <color rgb="FF1F2A28"/>
        <rFont val="WenQuanYi Zen Hei"/>
        <family val="2"/>
      </rPr>
      <t xml:space="preserve">板橋區中山路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69</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t>
    </r>
    <r>
      <rPr>
        <sz val="10"/>
        <color rgb="FF1F2A28"/>
        <rFont val="Arial"/>
        <family val="0"/>
        <charset val="1"/>
      </rPr>
      <t xml:space="preserve">9</t>
    </r>
    <r>
      <rPr>
        <sz val="10"/>
        <color rgb="FF1F2A28"/>
        <rFont val="WenQuanYi Zen Hei"/>
        <family val="2"/>
      </rPr>
      <t xml:space="preserve">樓</t>
    </r>
  </si>
  <si>
    <t xml:space="preserve">29596558</t>
  </si>
  <si>
    <t xml:space="preserve">manager_panchiao@kojen-els.com.tw</t>
  </si>
  <si>
    <t xml:space="preserve">1998-12-31</t>
  </si>
  <si>
    <t xml:space="preserve">私立科德語文文理短期補習班</t>
  </si>
  <si>
    <r>
      <rPr>
        <sz val="10"/>
        <color rgb="FF1F2A28"/>
        <rFont val="WenQuanYi Zen Hei"/>
        <family val="2"/>
      </rPr>
      <t xml:space="preserve">板橋區實踐路</t>
    </r>
    <r>
      <rPr>
        <sz val="10"/>
        <color rgb="FF1F2A28"/>
        <rFont val="Arial"/>
        <family val="0"/>
        <charset val="1"/>
      </rPr>
      <t xml:space="preserve">163-1</t>
    </r>
    <r>
      <rPr>
        <sz val="10"/>
        <color rgb="FF1F2A28"/>
        <rFont val="WenQuanYi Zen Hei"/>
        <family val="2"/>
      </rPr>
      <t xml:space="preserve">、</t>
    </r>
    <r>
      <rPr>
        <sz val="10"/>
        <color rgb="FF1F2A28"/>
        <rFont val="Arial"/>
        <family val="0"/>
        <charset val="1"/>
      </rPr>
      <t xml:space="preserve">165-1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</si>
  <si>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(02)89529000</t>
  </si>
  <si>
    <t xml:space="preserve">wjj0922003350@gmail.com</t>
  </si>
  <si>
    <t xml:space="preserve">2003-03-04</t>
  </si>
  <si>
    <t xml:space="preserve">鄭琦文</t>
  </si>
  <si>
    <t xml:space="preserve">張雅蕾</t>
  </si>
  <si>
    <t xml:space="preserve">私立稚暉文理語文短期補習班</t>
  </si>
  <si>
    <r>
      <rPr>
        <sz val="10"/>
        <color rgb="FF1F2A28"/>
        <rFont val="WenQuanYi Zen Hei"/>
        <family val="2"/>
      </rPr>
      <t xml:space="preserve">板橋區貴興路</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68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</si>
  <si>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(02)29592397</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</si>
  <si>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作文、英文</t>
    </r>
    <r>
      <rPr>
        <sz val="10"/>
        <color rgb="FF1F2A28"/>
        <rFont val="Arial"/>
        <family val="0"/>
        <charset val="1"/>
      </rPr>
      <t xml:space="preserve">)</t>
    </r>
  </si>
  <si>
    <t xml:space="preserve">2005-03-24</t>
  </si>
  <si>
    <t xml:space="preserve">賴林錦秀</t>
  </si>
  <si>
    <t xml:space="preserve">賴建愷</t>
  </si>
  <si>
    <t xml:space="preserve">私立立達英語短期補習班</t>
  </si>
  <si>
    <r>
      <rPr>
        <sz val="10"/>
        <color rgb="FF1F2A28"/>
        <rFont val="WenQuanYi Zen Hei"/>
        <family val="2"/>
      </rPr>
      <t xml:space="preserve">板橋區實踐路</t>
    </r>
    <r>
      <rPr>
        <sz val="10"/>
        <color rgb="FF1F2A28"/>
        <rFont val="Arial"/>
        <family val="0"/>
        <charset val="1"/>
      </rPr>
      <t xml:space="preserve">145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145</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</si>
  <si>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(02)29630937</t>
  </si>
  <si>
    <t xml:space="preserve">djsenglish@mac.com</t>
  </si>
  <si>
    <t xml:space="preserve">陳曉琪</t>
  </si>
  <si>
    <t xml:space="preserve">私立經綸文理語文短期補習班</t>
  </si>
  <si>
    <r>
      <rPr>
        <sz val="10"/>
        <color rgb="FF1F2A28"/>
        <rFont val="WenQuanYi Zen Hei"/>
        <family val="2"/>
      </rPr>
      <t xml:space="preserve">板橋區雙十路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66</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68</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</si>
  <si>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(02)8251-2255</t>
  </si>
  <si>
    <t xml:space="preserve">tsuiwanhou@gmail.com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</si>
  <si>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英文、數學</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</si>
  <si>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2004-10-15</t>
  </si>
  <si>
    <t xml:space="preserve">施姿良</t>
  </si>
  <si>
    <t xml:space="preserve">崔婉厚</t>
  </si>
  <si>
    <t xml:space="preserve">私立羅美文理語文短期補習班</t>
  </si>
  <si>
    <r>
      <rPr>
        <sz val="10"/>
        <color rgb="FF1F2A28"/>
        <rFont val="WenQuanYi Zen Hei"/>
        <family val="2"/>
      </rPr>
      <t xml:space="preserve">板橋區和平路</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</si>
  <si>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(02)8951-6370</t>
  </si>
  <si>
    <t xml:space="preserve">2012-06-20</t>
  </si>
  <si>
    <t xml:space="preserve">田馨</t>
  </si>
  <si>
    <t xml:space="preserve">私立耀昇文理語文短期補習班</t>
  </si>
  <si>
    <r>
      <rPr>
        <sz val="10"/>
        <color rgb="FF1F2A28"/>
        <rFont val="WenQuanYi Zen Hei"/>
        <family val="2"/>
      </rPr>
      <t xml:space="preserve">板橋區實踐路</t>
    </r>
    <r>
      <rPr>
        <sz val="10"/>
        <color rgb="FF1F2A28"/>
        <rFont val="Arial"/>
        <family val="0"/>
        <charset val="1"/>
      </rPr>
      <t xml:space="preserve">132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</si>
  <si>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(02)29576561</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</si>
  <si>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英語、國語</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數學、英文、自然、社會</t>
    </r>
    <r>
      <rPr>
        <sz val="10"/>
        <color rgb="FF1F2A28"/>
        <rFont val="Arial"/>
        <family val="0"/>
        <charset val="1"/>
      </rPr>
      <t xml:space="preserve">)</t>
    </r>
  </si>
  <si>
    <t xml:space="preserve">私立聖路易文理珠心算美術語文短期補習班</t>
  </si>
  <si>
    <r>
      <rPr>
        <sz val="10"/>
        <color rgb="FF1F2A28"/>
        <rFont val="WenQuanYi Zen Hei"/>
        <family val="2"/>
      </rPr>
      <t xml:space="preserve">板橋區南雅南路二段</t>
    </r>
    <r>
      <rPr>
        <sz val="10"/>
        <color rgb="FF1F2A28"/>
        <rFont val="Arial"/>
        <family val="0"/>
        <charset val="1"/>
      </rPr>
      <t xml:space="preserve">144</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3</t>
    </r>
  </si>
  <si>
    <t xml:space="preserve">(02)89666917~8</t>
  </si>
  <si>
    <t xml:space="preserve">st_361@yahoo.com.tw</t>
  </si>
  <si>
    <t xml:space="preserve">2004-10-20</t>
  </si>
  <si>
    <t xml:space="preserve">黃宗源</t>
  </si>
  <si>
    <t xml:space="preserve">私立育加文理美語短期補習班</t>
  </si>
  <si>
    <r>
      <rPr>
        <sz val="10"/>
        <color rgb="FF1F2A28"/>
        <rFont val="WenQuanYi Zen Hei"/>
        <family val="2"/>
      </rPr>
      <t xml:space="preserve">板橋區中正路</t>
    </r>
    <r>
      <rPr>
        <sz val="10"/>
        <color rgb="FF1F2A28"/>
        <rFont val="Arial"/>
        <family val="0"/>
        <charset val="1"/>
      </rPr>
      <t xml:space="preserve">27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</si>
  <si>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(02)8968-1755</t>
  </si>
  <si>
    <t xml:space="preserve">lee11289@gmail.com</t>
  </si>
  <si>
    <t xml:space="preserve">2012-09-21</t>
  </si>
  <si>
    <t xml:space="preserve">李偉誠</t>
  </si>
  <si>
    <t xml:space="preserve">私立育豪菁英文理語文短期補習班</t>
  </si>
  <si>
    <r>
      <rPr>
        <sz val="10"/>
        <color rgb="FF1F2A28"/>
        <rFont val="WenQuanYi Zen Hei"/>
        <family val="2"/>
      </rPr>
      <t xml:space="preserve">板橋區中山路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293</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2</t>
    </r>
  </si>
  <si>
    <t xml:space="preserve">(02)77337890</t>
  </si>
  <si>
    <t xml:space="preserve">yuhao.elite@gmail.com</t>
  </si>
  <si>
    <t xml:space="preserve">林奕蓁</t>
  </si>
  <si>
    <t xml:space="preserve">私立育豪資優文理語文短期補習班</t>
  </si>
  <si>
    <r>
      <rPr>
        <sz val="10"/>
        <color rgb="FF1F2A28"/>
        <rFont val="WenQuanYi Zen Hei"/>
        <family val="2"/>
      </rPr>
      <t xml:space="preserve">板橋區中山路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293</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</si>
  <si>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(02)29549996</t>
  </si>
  <si>
    <t xml:space="preserve">yuhao.gifted@gmail.com</t>
  </si>
  <si>
    <t xml:space="preserve">自然、數學、國文、英語</t>
  </si>
  <si>
    <t xml:space="preserve">2009-12-04</t>
  </si>
  <si>
    <t xml:space="preserve">許文宗</t>
  </si>
  <si>
    <t xml:space="preserve">私立致理語文作文短期補習班</t>
  </si>
  <si>
    <r>
      <rPr>
        <sz val="10"/>
        <color rgb="FF1F2A28"/>
        <rFont val="WenQuanYi Zen Hei"/>
        <family val="2"/>
      </rPr>
      <t xml:space="preserve">板橋區介壽街</t>
    </r>
    <r>
      <rPr>
        <sz val="10"/>
        <color rgb="FF1F2A28"/>
        <rFont val="Arial"/>
        <family val="0"/>
        <charset val="1"/>
      </rPr>
      <t xml:space="preserve">80</t>
    </r>
    <r>
      <rPr>
        <sz val="10"/>
        <color rgb="FF1F2A28"/>
        <rFont val="WenQuanYi Zen Hei"/>
        <family val="2"/>
      </rPr>
      <t xml:space="preserve">號</t>
    </r>
    <r>
      <rPr>
        <sz val="10"/>
        <color rgb="FF1F2A28"/>
        <rFont val="Arial"/>
        <family val="0"/>
        <charset val="1"/>
      </rPr>
      <t xml:space="preserve">2F</t>
    </r>
    <r>
      <rPr>
        <sz val="10"/>
        <color rgb="FF1F2A28"/>
        <rFont val="WenQuanYi Zen Hei"/>
        <family val="2"/>
      </rPr>
      <t xml:space="preserve">、</t>
    </r>
    <r>
      <rPr>
        <sz val="10"/>
        <color rgb="FF1F2A28"/>
        <rFont val="Arial"/>
        <family val="0"/>
        <charset val="1"/>
      </rPr>
      <t xml:space="preserve">82</t>
    </r>
    <r>
      <rPr>
        <sz val="10"/>
        <color rgb="FF1F2A28"/>
        <rFont val="WenQuanYi Zen Hei"/>
        <family val="2"/>
      </rPr>
      <t xml:space="preserve">號</t>
    </r>
    <r>
      <rPr>
        <sz val="10"/>
        <color rgb="FF1F2A28"/>
        <rFont val="Arial"/>
        <family val="0"/>
        <charset val="1"/>
      </rPr>
      <t xml:space="preserve">2F</t>
    </r>
  </si>
  <si>
    <t xml:space="preserve">(02)2257-3270</t>
  </si>
  <si>
    <t xml:space="preserve">goddowndown@gmail.com</t>
  </si>
  <si>
    <t xml:space="preserve">2008-08-06</t>
  </si>
  <si>
    <t xml:space="preserve">陳碧容</t>
  </si>
  <si>
    <t xml:space="preserve">黃崑瑋</t>
  </si>
  <si>
    <t xml:space="preserve">私立艾樂兒音樂舞蹈語文短期補習班</t>
  </si>
  <si>
    <r>
      <rPr>
        <sz val="10"/>
        <color rgb="FF1F2A28"/>
        <rFont val="WenQuanYi Zen Hei"/>
        <family val="2"/>
      </rPr>
      <t xml:space="preserve">板橋區文化路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182</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弄</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</si>
  <si>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(02)2255-0020</t>
  </si>
  <si>
    <t xml:space="preserve">2012-11-30</t>
  </si>
  <si>
    <t xml:space="preserve">陳歆喬</t>
  </si>
  <si>
    <t xml:space="preserve">陳臻蓉</t>
  </si>
  <si>
    <t xml:space="preserve">私立若仁語文短期補習班</t>
  </si>
  <si>
    <r>
      <rPr>
        <sz val="10"/>
        <color rgb="FF1F2A28"/>
        <rFont val="WenQuanYi Zen Hei"/>
        <family val="2"/>
      </rPr>
      <t xml:space="preserve">板橋區莊敬路</t>
    </r>
    <r>
      <rPr>
        <sz val="10"/>
        <color rgb="FF1F2A28"/>
        <rFont val="Arial"/>
        <family val="0"/>
        <charset val="1"/>
      </rPr>
      <t xml:space="preserve">46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</si>
  <si>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(02)82512111</t>
  </si>
  <si>
    <t xml:space="preserve">ruoh55@yahoo.com.tw</t>
  </si>
  <si>
    <t xml:space="preserve">2012-01-05</t>
  </si>
  <si>
    <t xml:space="preserve">陳景賜</t>
  </si>
  <si>
    <t xml:space="preserve">黃乙玲</t>
  </si>
  <si>
    <t xml:space="preserve">私立英代外語文理短期補習班</t>
  </si>
  <si>
    <r>
      <rPr>
        <sz val="10"/>
        <color rgb="FF1F2A28"/>
        <rFont val="WenQuanYi Zen Hei"/>
        <family val="2"/>
      </rPr>
      <t xml:space="preserve">板橋區中山路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</si>
  <si>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(02)2951-3319</t>
  </si>
  <si>
    <t xml:space="preserve">eva@egl.com.tw</t>
  </si>
  <si>
    <t xml:space="preserve">2013-04-02</t>
  </si>
  <si>
    <t xml:space="preserve">吳冠儀</t>
  </si>
  <si>
    <t xml:space="preserve">李雲華</t>
  </si>
  <si>
    <t xml:space="preserve">私立英捷文理短期補習班</t>
  </si>
  <si>
    <r>
      <rPr>
        <sz val="10"/>
        <color rgb="FF1F2A28"/>
        <rFont val="WenQuanYi Zen Hei"/>
        <family val="2"/>
      </rPr>
      <t xml:space="preserve">板橋區四川路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1</t>
    </r>
    <r>
      <rPr>
        <sz val="10"/>
        <color rgb="FF1F2A28"/>
        <rFont val="WenQuanYi Zen Hei"/>
        <family val="2"/>
      </rPr>
      <t xml:space="preserve">層夾層</t>
    </r>
    <r>
      <rPr>
        <sz val="10"/>
        <color rgb="FF1F2A28"/>
        <rFont val="Arial"/>
        <family val="0"/>
        <charset val="1"/>
      </rPr>
      <t xml:space="preserve">)</t>
    </r>
  </si>
  <si>
    <t xml:space="preserve">0229506105</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</si>
  <si>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t>
    </r>
    <r>
      <rPr>
        <sz val="10"/>
        <color rgb="FF1F2A28"/>
        <rFont val="Arial"/>
        <family val="0"/>
        <charset val="1"/>
      </rPr>
      <t xml:space="preserve">)</t>
    </r>
  </si>
  <si>
    <t xml:space="preserve">2024-07-29</t>
  </si>
  <si>
    <t xml:space="preserve">王筠喬</t>
  </si>
  <si>
    <t xml:space="preserve">私立菩提文理語文短期補習班</t>
  </si>
  <si>
    <r>
      <rPr>
        <sz val="10"/>
        <color rgb="FF1F2A28"/>
        <rFont val="WenQuanYi Zen Hei"/>
        <family val="2"/>
      </rPr>
      <t xml:space="preserve">板橋區金門街</t>
    </r>
    <r>
      <rPr>
        <sz val="10"/>
        <color rgb="FF1F2A28"/>
        <rFont val="Arial"/>
        <family val="0"/>
        <charset val="1"/>
      </rPr>
      <t xml:space="preserve">251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</si>
  <si>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(02)26842525</t>
  </si>
  <si>
    <t xml:space="preserve">tonnytoy0724@gmail.com</t>
  </si>
  <si>
    <t xml:space="preserve">2016-03-16</t>
  </si>
  <si>
    <t xml:space="preserve">鄧建泰</t>
  </si>
  <si>
    <t xml:space="preserve">私立蘇格拉底美語文理短期補習班</t>
  </si>
  <si>
    <r>
      <rPr>
        <sz val="10"/>
        <color rgb="FF1F2A28"/>
        <rFont val="WenQuanYi Zen Hei"/>
        <family val="2"/>
      </rPr>
      <t xml:space="preserve">板橋區莒光路</t>
    </r>
    <r>
      <rPr>
        <sz val="10"/>
        <color rgb="FF1F2A28"/>
        <rFont val="Arial"/>
        <family val="0"/>
        <charset val="1"/>
      </rPr>
      <t xml:space="preserve">211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213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215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</si>
  <si>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(02)8258-5511</t>
  </si>
  <si>
    <t xml:space="preserve">socrates_kids@yahoo.com.tw</t>
  </si>
  <si>
    <t xml:space="preserve">2003-01-09</t>
  </si>
  <si>
    <t xml:space="preserve">王淑蓮</t>
  </si>
  <si>
    <t xml:space="preserve">私立詠喆文理語文短期補習班</t>
  </si>
  <si>
    <r>
      <rPr>
        <sz val="10"/>
        <color rgb="FF1F2A28"/>
        <rFont val="WenQuanYi Zen Hei"/>
        <family val="2"/>
      </rPr>
      <t xml:space="preserve">板橋區漢生東路</t>
    </r>
    <r>
      <rPr>
        <sz val="10"/>
        <color rgb="FF1F2A28"/>
        <rFont val="Arial"/>
        <family val="0"/>
        <charset val="1"/>
      </rPr>
      <t xml:space="preserve">319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</si>
  <si>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(02)89525050</t>
  </si>
  <si>
    <t xml:space="preserve">tact.fc006@gmail.com</t>
  </si>
  <si>
    <t xml:space="preserve">2011-08-02</t>
  </si>
  <si>
    <t xml:space="preserve">徐健鳴</t>
  </si>
  <si>
    <t xml:space="preserve">私立詠文文理語文短期補習班</t>
  </si>
  <si>
    <r>
      <rPr>
        <sz val="10"/>
        <color rgb="FF1F2A28"/>
        <rFont val="WenQuanYi Zen Hei"/>
        <family val="2"/>
      </rPr>
      <t xml:space="preserve">板橋區中正路</t>
    </r>
    <r>
      <rPr>
        <sz val="10"/>
        <color rgb="FF1F2A28"/>
        <rFont val="Arial"/>
        <family val="0"/>
        <charset val="1"/>
      </rPr>
      <t xml:space="preserve">221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</si>
  <si>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(02)29650062</t>
  </si>
  <si>
    <t xml:space="preserve">hs2178@hess.com.tw</t>
  </si>
  <si>
    <t xml:space="preserve">2009-11-25</t>
  </si>
  <si>
    <t xml:space="preserve">郭慧姝</t>
  </si>
  <si>
    <t xml:space="preserve">私立詹浩教育股份有限公司附設詹浩文理短期補習班</t>
  </si>
  <si>
    <r>
      <rPr>
        <sz val="10"/>
        <color rgb="FF1F2A28"/>
        <rFont val="WenQuanYi Zen Hei"/>
        <family val="2"/>
      </rPr>
      <t xml:space="preserve">板橋區府中路</t>
    </r>
    <r>
      <rPr>
        <sz val="10"/>
        <color rgb="FF1F2A28"/>
        <rFont val="Arial"/>
        <family val="0"/>
        <charset val="1"/>
      </rPr>
      <t xml:space="preserve">29-1</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</si>
  <si>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2969-3322</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</si>
  <si>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國文、英文、數學、自然與生活科技、社會</t>
    </r>
    <r>
      <rPr>
        <sz val="10"/>
        <color rgb="FF1F2A28"/>
        <rFont val="Arial"/>
        <family val="0"/>
        <charset val="1"/>
      </rPr>
      <t xml:space="preserve">)</t>
    </r>
  </si>
  <si>
    <t xml:space="preserve">陳麗娟</t>
  </si>
  <si>
    <t xml:space="preserve">江丹吟</t>
  </si>
  <si>
    <t xml:space="preserve">私立諾亞文理語文短期補習班</t>
  </si>
  <si>
    <r>
      <rPr>
        <sz val="10"/>
        <color rgb="FF1F2A28"/>
        <rFont val="WenQuanYi Zen Hei"/>
        <family val="2"/>
      </rPr>
      <t xml:space="preserve">板橋區建國街</t>
    </r>
    <r>
      <rPr>
        <sz val="10"/>
        <color rgb="FF1F2A28"/>
        <rFont val="Arial"/>
        <family val="0"/>
        <charset val="1"/>
      </rPr>
      <t xml:space="preserve">54</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</si>
  <si>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(02)2965-5863</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</si>
  <si>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美語會話作文</t>
    </r>
    <r>
      <rPr>
        <sz val="10"/>
        <color rgb="FF1F2A28"/>
        <rFont val="Arial"/>
        <family val="0"/>
        <charset val="1"/>
      </rPr>
      <t xml:space="preserve">))</t>
    </r>
  </si>
  <si>
    <t xml:space="preserve">2013-10-08</t>
  </si>
  <si>
    <t xml:space="preserve">周庭玉</t>
  </si>
  <si>
    <t xml:space="preserve">劉長青</t>
  </si>
  <si>
    <t xml:space="preserve">私立超人珠心算文理語文技藝短期補習班</t>
  </si>
  <si>
    <r>
      <rPr>
        <sz val="10"/>
        <color rgb="FF1F2A28"/>
        <rFont val="WenQuanYi Zen Hei"/>
        <family val="2"/>
      </rPr>
      <t xml:space="preserve">板橋區文化路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</si>
  <si>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02-29607000</t>
  </si>
  <si>
    <t xml:space="preserve">s29607000@gmail.com</t>
  </si>
  <si>
    <t xml:space="preserve">2000-04-14</t>
  </si>
  <si>
    <t xml:space="preserve">王偉志</t>
  </si>
  <si>
    <t xml:space="preserve">私立超越美語文理短期補習班</t>
  </si>
  <si>
    <r>
      <rPr>
        <sz val="10"/>
        <color rgb="FF1F2A28"/>
        <rFont val="WenQuanYi Zen Hei"/>
        <family val="2"/>
      </rPr>
      <t xml:space="preserve">板橋區互助街</t>
    </r>
    <r>
      <rPr>
        <sz val="10"/>
        <color rgb="FF1F2A28"/>
        <rFont val="Arial"/>
        <family val="0"/>
        <charset val="1"/>
      </rPr>
      <t xml:space="preserve">47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</si>
  <si>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22587282</t>
  </si>
  <si>
    <t xml:space="preserve">b0912261893@gmail.com.tw</t>
  </si>
  <si>
    <t xml:space="preserve">2001-02-08</t>
  </si>
  <si>
    <t xml:space="preserve">郭雅珍</t>
  </si>
  <si>
    <t xml:space="preserve">私立辛恩文理短期補習班</t>
  </si>
  <si>
    <r>
      <rPr>
        <sz val="10"/>
        <color rgb="FF1F2A28"/>
        <rFont val="WenQuanYi Zen Hei"/>
        <family val="2"/>
      </rPr>
      <t xml:space="preserve">板橋區金門街</t>
    </r>
    <r>
      <rPr>
        <sz val="10"/>
        <color rgb="FF1F2A28"/>
        <rFont val="Arial"/>
        <family val="0"/>
        <charset val="1"/>
      </rPr>
      <t xml:space="preserve">204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206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208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</si>
  <si>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2683-3835</t>
  </si>
  <si>
    <t xml:space="preserve">2000-06-27</t>
  </si>
  <si>
    <t xml:space="preserve">沈慧津</t>
  </si>
  <si>
    <t xml:space="preserve">沈慧芳</t>
  </si>
  <si>
    <t xml:space="preserve">私立逸安文理語文短期補習班</t>
  </si>
  <si>
    <r>
      <rPr>
        <sz val="10"/>
        <color rgb="FF1F2A28"/>
        <rFont val="WenQuanYi Zen Hei"/>
        <family val="2"/>
      </rPr>
      <t xml:space="preserve">板橋區重慶路</t>
    </r>
    <r>
      <rPr>
        <sz val="10"/>
        <color rgb="FF1F2A28"/>
        <rFont val="Arial"/>
        <family val="0"/>
        <charset val="1"/>
      </rPr>
      <t xml:space="preserve">192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</si>
  <si>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(02)2951-2260</t>
  </si>
  <si>
    <t xml:space="preserve">shanepc4@gmail.com</t>
  </si>
  <si>
    <t xml:space="preserve">郭建德</t>
  </si>
  <si>
    <t xml:space="preserve">私立陽光森林文教股份有限公司台北縣分公司附設文化文理語文短期補習班</t>
  </si>
  <si>
    <r>
      <rPr>
        <sz val="10"/>
        <color rgb="FF1F2A28"/>
        <rFont val="WenQuanYi Zen Hei"/>
        <family val="2"/>
      </rPr>
      <t xml:space="preserve">板橋區文化路二段</t>
    </r>
    <r>
      <rPr>
        <sz val="10"/>
        <color rgb="FF1F2A28"/>
        <rFont val="Arial"/>
        <family val="0"/>
        <charset val="1"/>
      </rPr>
      <t xml:space="preserve">342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</si>
  <si>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2250-6177</t>
  </si>
  <si>
    <t xml:space="preserve">2008-09-08</t>
  </si>
  <si>
    <t xml:space="preserve">孔祥君</t>
  </si>
  <si>
    <t xml:space="preserve">私立陽光森林文教股份有限公司台北縣分公司附設楊光森林語文短期補習班</t>
  </si>
  <si>
    <r>
      <rPr>
        <sz val="10"/>
        <color rgb="FF1F2A28"/>
        <rFont val="WenQuanYi Zen Hei"/>
        <family val="2"/>
      </rPr>
      <t xml:space="preserve">板橋區三民路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215</t>
    </r>
    <r>
      <rPr>
        <sz val="10"/>
        <color rgb="FF1F2A28"/>
        <rFont val="WenQuanYi Zen Hei"/>
        <family val="2"/>
      </rPr>
      <t xml:space="preserve">、</t>
    </r>
    <r>
      <rPr>
        <sz val="10"/>
        <color rgb="FF1F2A28"/>
        <rFont val="Arial"/>
        <family val="0"/>
        <charset val="1"/>
      </rPr>
      <t xml:space="preserve">217</t>
    </r>
    <r>
      <rPr>
        <sz val="10"/>
        <color rgb="FF1F2A28"/>
        <rFont val="WenQuanYi Zen Hei"/>
        <family val="2"/>
      </rPr>
      <t xml:space="preserve">、</t>
    </r>
    <r>
      <rPr>
        <sz val="10"/>
        <color rgb="FF1F2A28"/>
        <rFont val="Arial"/>
        <family val="0"/>
        <charset val="1"/>
      </rPr>
      <t xml:space="preserve">219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</si>
  <si>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2955-5576</t>
  </si>
  <si>
    <t xml:space="preserve">2004-05-28</t>
  </si>
  <si>
    <t xml:space="preserve">沈秀慧</t>
  </si>
  <si>
    <t xml:space="preserve">私立雅森語文短期補習班</t>
  </si>
  <si>
    <r>
      <rPr>
        <sz val="10"/>
        <color rgb="FF1F2A28"/>
        <rFont val="WenQuanYi Zen Hei"/>
        <family val="2"/>
      </rPr>
      <t xml:space="preserve">板橋區英士路</t>
    </r>
    <r>
      <rPr>
        <sz val="10"/>
        <color rgb="FF1F2A28"/>
        <rFont val="Arial"/>
        <family val="0"/>
        <charset val="1"/>
      </rPr>
      <t xml:space="preserve">49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</si>
  <si>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(02)22589338</t>
  </si>
  <si>
    <t xml:space="preserve">2005-07-22</t>
  </si>
  <si>
    <t xml:space="preserve">方鈞立</t>
  </si>
  <si>
    <t xml:space="preserve">方綉媚</t>
  </si>
  <si>
    <t xml:space="preserve">私立頂碩興業有限公司附設頂碩語文短期補習班</t>
  </si>
  <si>
    <r>
      <rPr>
        <sz val="10"/>
        <color rgb="FF1F2A28"/>
        <rFont val="WenQuanYi Zen Hei"/>
        <family val="2"/>
      </rPr>
      <t xml:space="preserve">板橋區莒光路</t>
    </r>
    <r>
      <rPr>
        <sz val="10"/>
        <color rgb="FF1F2A28"/>
        <rFont val="Arial"/>
        <family val="0"/>
        <charset val="1"/>
      </rPr>
      <t xml:space="preserve">165</t>
    </r>
    <r>
      <rPr>
        <sz val="10"/>
        <color rgb="FF1F2A28"/>
        <rFont val="WenQuanYi Zen Hei"/>
        <family val="2"/>
      </rPr>
      <t xml:space="preserve">巷</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28</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158</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r>
      <rPr>
        <sz val="10"/>
        <color rgb="FF1F2A28"/>
        <rFont val="Arial"/>
        <family val="0"/>
        <charset val="1"/>
      </rPr>
      <t xml:space="preserve">)</t>
    </r>
  </si>
  <si>
    <t xml:space="preserve">(02)2258-3666</t>
  </si>
  <si>
    <t xml:space="preserve">2016-08-23</t>
  </si>
  <si>
    <t xml:space="preserve">林奎佑</t>
  </si>
  <si>
    <t xml:space="preserve">私立領袖新菁英文理語文短期補習班</t>
  </si>
  <si>
    <r>
      <rPr>
        <sz val="10"/>
        <color rgb="FF1F2A28"/>
        <rFont val="WenQuanYi Zen Hei"/>
        <family val="2"/>
      </rPr>
      <t xml:space="preserve">板橋區溪北路</t>
    </r>
    <r>
      <rPr>
        <sz val="10"/>
        <color rgb="FF1F2A28"/>
        <rFont val="Arial"/>
        <family val="0"/>
        <charset val="1"/>
      </rPr>
      <t xml:space="preserve">43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45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</si>
  <si>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(02)2684-1490</t>
  </si>
  <si>
    <t xml:space="preserve">2010-07-22</t>
  </si>
  <si>
    <t xml:space="preserve">王耀德</t>
  </si>
  <si>
    <t xml:space="preserve">陳柏亨</t>
  </si>
  <si>
    <t xml:space="preserve">私立驊仁文理語文短期補習班</t>
  </si>
  <si>
    <r>
      <rPr>
        <sz val="10"/>
        <color rgb="FF1F2A28"/>
        <rFont val="WenQuanYi Zen Hei"/>
        <family val="2"/>
      </rPr>
      <t xml:space="preserve">板橋區三民路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145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145</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153</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</si>
  <si>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29500097</t>
  </si>
  <si>
    <t xml:space="preserve">a121115374@yahoo.com.tw</t>
  </si>
  <si>
    <r>
      <rPr>
        <sz val="10"/>
        <color rgb="FF1F2A28"/>
        <rFont val="WenQuanYi Zen Hei"/>
        <family val="2"/>
      </rPr>
      <t xml:space="preserve">英文、文理</t>
    </r>
    <r>
      <rPr>
        <sz val="10"/>
        <color rgb="FF1F2A28"/>
        <rFont val="Arial"/>
        <family val="0"/>
        <charset val="1"/>
      </rPr>
      <t xml:space="preserve">(</t>
    </r>
    <r>
      <rPr>
        <sz val="10"/>
        <color rgb="FF1F2A28"/>
        <rFont val="WenQuanYi Zen Hei"/>
        <family val="2"/>
      </rPr>
      <t xml:space="preserve">英文、數學、理化</t>
    </r>
    <r>
      <rPr>
        <sz val="10"/>
        <color rgb="FF1F2A28"/>
        <rFont val="Arial"/>
        <family val="0"/>
        <charset val="1"/>
      </rPr>
      <t xml:space="preserve">)</t>
    </r>
  </si>
  <si>
    <t xml:space="preserve">2002-03-26</t>
  </si>
  <si>
    <t xml:space="preserve">徐芝鵬</t>
  </si>
  <si>
    <t xml:space="preserve">私立鴻安語文文理短期補習班</t>
  </si>
  <si>
    <r>
      <rPr>
        <sz val="10"/>
        <color rgb="FF1F2A28"/>
        <rFont val="WenQuanYi Zen Hei"/>
        <family val="2"/>
      </rPr>
      <t xml:space="preserve">板橋區陽明街</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</si>
  <si>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(02)22589593</t>
  </si>
  <si>
    <t xml:space="preserve">2007-04-25</t>
  </si>
  <si>
    <t xml:space="preserve">傅讚鑫</t>
  </si>
  <si>
    <t xml:space="preserve">科爾美語短期補習班</t>
  </si>
  <si>
    <r>
      <rPr>
        <sz val="10"/>
        <color rgb="FF1F2A28"/>
        <rFont val="WenQuanYi Zen Hei"/>
        <family val="2"/>
      </rPr>
      <t xml:space="preserve">板橋區金門街</t>
    </r>
    <r>
      <rPr>
        <sz val="10"/>
        <color rgb="FF1F2A28"/>
        <rFont val="Arial"/>
        <family val="0"/>
        <charset val="1"/>
      </rPr>
      <t xml:space="preserve">248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</si>
  <si>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(02)2681-4141</t>
  </si>
  <si>
    <t xml:space="preserve">chiouwannshen6@gmail.com</t>
  </si>
  <si>
    <t xml:space="preserve">2013-06-10</t>
  </si>
  <si>
    <t xml:space="preserve">邱泰源</t>
  </si>
  <si>
    <t xml:space="preserve">繆思英語學苑文理短期補習班</t>
  </si>
  <si>
    <r>
      <rPr>
        <sz val="10"/>
        <color rgb="FF1F2A28"/>
        <rFont val="WenQuanYi Zen Hei"/>
        <family val="2"/>
      </rPr>
      <t xml:space="preserve">板橋區文化路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182</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弄</t>
    </r>
    <r>
      <rPr>
        <sz val="10"/>
        <color rgb="FF1F2A28"/>
        <rFont val="Arial"/>
        <family val="0"/>
        <charset val="1"/>
      </rPr>
      <t xml:space="preserve">79</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樓之</t>
    </r>
    <r>
      <rPr>
        <sz val="10"/>
        <color rgb="FF1F2A28"/>
        <rFont val="Arial"/>
        <family val="0"/>
        <charset val="1"/>
      </rPr>
      <t xml:space="preserve">1</t>
    </r>
  </si>
  <si>
    <t xml:space="preserve">(02)2258-9898</t>
  </si>
  <si>
    <t xml:space="preserve">learn@muse-english.com.tw</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</si>
  <si>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數學、英文</t>
    </r>
    <r>
      <rPr>
        <sz val="10"/>
        <color rgb="FF1F2A28"/>
        <rFont val="Arial"/>
        <family val="0"/>
        <charset val="1"/>
      </rPr>
      <t xml:space="preserve">)</t>
    </r>
  </si>
  <si>
    <t xml:space="preserve">2010-02-26</t>
  </si>
  <si>
    <t xml:space="preserve">育慈文理語文短期補習班</t>
  </si>
  <si>
    <r>
      <rPr>
        <sz val="10"/>
        <color rgb="FF1F2A28"/>
        <rFont val="WenQuanYi Zen Hei"/>
        <family val="2"/>
      </rPr>
      <t xml:space="preserve">板橋區金門街</t>
    </r>
    <r>
      <rPr>
        <sz val="10"/>
        <color rgb="FF1F2A28"/>
        <rFont val="Arial"/>
        <family val="0"/>
        <charset val="1"/>
      </rPr>
      <t xml:space="preserve">215</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弄</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</si>
  <si>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(02)26838100</t>
  </si>
  <si>
    <t xml:space="preserve">國、英、數、自、美語</t>
  </si>
  <si>
    <t xml:space="preserve">黃教群</t>
  </si>
  <si>
    <t xml:space="preserve">黃惠萍</t>
  </si>
  <si>
    <t xml:space="preserve">菁英雲教育科技股份有限公司附設菁英國際語文文理短期補習班</t>
  </si>
  <si>
    <r>
      <rPr>
        <sz val="10"/>
        <color rgb="FF1F2A28"/>
        <rFont val="WenQuanYi Zen Hei"/>
        <family val="2"/>
      </rPr>
      <t xml:space="preserve">板橋區中山路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</si>
  <si>
    <t xml:space="preserve">(02)2952-6600</t>
  </si>
  <si>
    <t xml:space="preserve">2005-07-11</t>
  </si>
  <si>
    <t xml:space="preserve">蔣興強</t>
  </si>
  <si>
    <t xml:space="preserve">吳雅坤</t>
  </si>
  <si>
    <t xml:space="preserve">華文文理短期補習班</t>
  </si>
  <si>
    <r>
      <rPr>
        <sz val="10"/>
        <color rgb="FF1F2A28"/>
        <rFont val="WenQuanYi Zen Hei"/>
        <family val="2"/>
      </rPr>
      <t xml:space="preserve">板橋區莒光路</t>
    </r>
    <r>
      <rPr>
        <sz val="10"/>
        <color rgb="FF1F2A28"/>
        <rFont val="Arial"/>
        <family val="0"/>
        <charset val="1"/>
      </rPr>
      <t xml:space="preserve">158</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165</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r>
      <rPr>
        <sz val="10"/>
        <color rgb="FF1F2A28"/>
        <rFont val="WenQuanYi Zen Hei"/>
        <family val="2"/>
      </rPr>
      <t xml:space="preserve">及</t>
    </r>
    <r>
      <rPr>
        <sz val="10"/>
        <color rgb="FF1F2A28"/>
        <rFont val="Arial"/>
        <family val="0"/>
        <charset val="1"/>
      </rPr>
      <t xml:space="preserve">2</t>
    </r>
    <r>
      <rPr>
        <sz val="10"/>
        <color rgb="FF1F2A28"/>
        <rFont val="WenQuanYi Zen Hei"/>
        <family val="2"/>
      </rPr>
      <t xml:space="preserve">樓</t>
    </r>
  </si>
  <si>
    <t xml:space="preserve">2253-0012</t>
  </si>
  <si>
    <t xml:space="preserve">huawen2001@yahoo.com.tw</t>
  </si>
  <si>
    <t xml:space="preserve">1990-05-01</t>
  </si>
  <si>
    <t xml:space="preserve">李健武</t>
  </si>
  <si>
    <t xml:space="preserve">楊瑞麟</t>
  </si>
  <si>
    <t xml:space="preserve">藝林美術語文短期補習班</t>
  </si>
  <si>
    <r>
      <rPr>
        <sz val="10"/>
        <color rgb="FF1F2A28"/>
        <rFont val="WenQuanYi Zen Hei"/>
        <family val="2"/>
      </rPr>
      <t xml:space="preserve">板橋區重慶路</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</si>
  <si>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(02)22722228</t>
  </si>
  <si>
    <t xml:space="preserve">趙茂東</t>
  </si>
  <si>
    <t xml:space="preserve">財團法人台北市中華基督教青年會附設板新會所文理語文技藝短期補習班</t>
  </si>
  <si>
    <r>
      <rPr>
        <sz val="10"/>
        <color rgb="FF1F2A28"/>
        <rFont val="WenQuanYi Zen Hei"/>
        <family val="2"/>
      </rPr>
      <t xml:space="preserve">板橋區板新路</t>
    </r>
    <r>
      <rPr>
        <sz val="10"/>
        <color rgb="FF1F2A28"/>
        <rFont val="Arial"/>
        <family val="0"/>
        <charset val="1"/>
      </rPr>
      <t xml:space="preserve">27</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樓</t>
    </r>
  </si>
  <si>
    <t xml:space="preserve">(02)2963-7400</t>
  </si>
  <si>
    <t xml:space="preserve">ymcabs27@gmail.com</t>
  </si>
  <si>
    <t xml:space="preserve">2010-04-12</t>
  </si>
  <si>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賴允亮</t>
    </r>
  </si>
  <si>
    <t xml:space="preserve">江詩凱</t>
  </si>
  <si>
    <t xml:space="preserve">陳立教育事業股份有限公司附設私立陳立文理短期補習班板橋分班</t>
  </si>
  <si>
    <r>
      <rPr>
        <sz val="10"/>
        <color rgb="FF1F2A28"/>
        <rFont val="WenQuanYi Zen Hei"/>
        <family val="2"/>
      </rPr>
      <t xml:space="preserve">板橋區府中路</t>
    </r>
    <r>
      <rPr>
        <sz val="10"/>
        <color rgb="FF1F2A28"/>
        <rFont val="Arial"/>
        <family val="0"/>
        <charset val="1"/>
      </rPr>
      <t xml:space="preserve">29</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</si>
  <si>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0229681213</t>
  </si>
  <si>
    <t xml:space="preserve">2025-03-11</t>
  </si>
  <si>
    <t xml:space="preserve">曾淑鈴</t>
  </si>
  <si>
    <t xml:space="preserve">蕭采彤</t>
  </si>
  <si>
    <t xml:space="preserve">鼎立語文珠算文理短期補習班</t>
  </si>
  <si>
    <r>
      <rPr>
        <sz val="10"/>
        <color rgb="FF1F2A28"/>
        <rFont val="WenQuanYi Zen Hei"/>
        <family val="2"/>
      </rPr>
      <t xml:space="preserve">板橋區重慶路</t>
    </r>
    <r>
      <rPr>
        <sz val="10"/>
        <color rgb="FF1F2A28"/>
        <rFont val="Arial"/>
        <family val="0"/>
        <charset val="1"/>
      </rPr>
      <t xml:space="preserve">198</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樓</t>
    </r>
  </si>
  <si>
    <t xml:space="preserve">29531866</t>
  </si>
  <si>
    <t xml:space="preserve">beverly316886@hotmail.com</t>
  </si>
  <si>
    <t xml:space="preserve">1996-10-15</t>
  </si>
  <si>
    <t xml:space="preserve">李彗菱</t>
  </si>
  <si>
    <t xml:space="preserve">許峻銨</t>
  </si>
  <si>
    <t xml:space="preserve">林口區</t>
  </si>
  <si>
    <t xml:space="preserve">五花果教育股份有限公司附設私立木林森文理技藝短期補習班</t>
  </si>
  <si>
    <r>
      <rPr>
        <sz val="10"/>
        <color rgb="FF1F2A28"/>
        <rFont val="WenQuanYi Zen Hei"/>
        <family val="2"/>
      </rPr>
      <t xml:space="preserve">林口區文化北路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276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</si>
  <si>
    <t xml:space="preserve">0226087520</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</si>
  <si>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美術、書法、攝影、美工設計、圍棋類</t>
    </r>
  </si>
  <si>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曹毓安</t>
    </r>
  </si>
  <si>
    <t xml:space="preserve">王彥勻</t>
  </si>
  <si>
    <t xml:space="preserve">京群文理語文短期補習班</t>
  </si>
  <si>
    <r>
      <rPr>
        <sz val="10"/>
        <color rgb="FF1F2A28"/>
        <rFont val="WenQuanYi Zen Hei"/>
        <family val="2"/>
      </rPr>
      <t xml:space="preserve">林口區竹林路</t>
    </r>
    <r>
      <rPr>
        <sz val="10"/>
        <color rgb="FF1F2A28"/>
        <rFont val="Arial"/>
        <family val="0"/>
        <charset val="1"/>
      </rPr>
      <t xml:space="preserve">155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157</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</si>
  <si>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(02)2601-1177</t>
  </si>
  <si>
    <t xml:space="preserve">kidcastle_linkou@gmail.com</t>
  </si>
  <si>
    <t xml:space="preserve">2012-03-16</t>
  </si>
  <si>
    <t xml:space="preserve">蔡繼志</t>
  </si>
  <si>
    <t xml:space="preserve">何嘉仁文教事業股份有限公司附設私立日光文理短期補習班</t>
  </si>
  <si>
    <r>
      <rPr>
        <sz val="10"/>
        <color rgb="FF1F2A28"/>
        <rFont val="WenQuanYi Zen Hei"/>
        <family val="2"/>
      </rPr>
      <t xml:space="preserve">林口區文化一路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層</t>
    </r>
  </si>
  <si>
    <t xml:space="preserve">02-2609-1646</t>
  </si>
  <si>
    <t xml:space="preserve">歐綵琪</t>
  </si>
  <si>
    <t xml:space="preserve">克利鷗語文短期補習班</t>
  </si>
  <si>
    <r>
      <rPr>
        <sz val="10"/>
        <color rgb="FF1F2A28"/>
        <rFont val="WenQuanYi Zen Hei"/>
        <family val="2"/>
      </rPr>
      <t xml:space="preserve">林口區文化三路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32</t>
    </r>
    <r>
      <rPr>
        <sz val="10"/>
        <color rgb="FF1F2A28"/>
        <rFont val="WenQuanYi Zen Hei"/>
        <family val="2"/>
      </rPr>
      <t xml:space="preserve">之</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32</t>
    </r>
    <r>
      <rPr>
        <sz val="10"/>
        <color rgb="FF1F2A28"/>
        <rFont val="WenQuanYi Zen Hei"/>
        <family val="2"/>
      </rPr>
      <t xml:space="preserve">之</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</si>
  <si>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(02)26015025</t>
  </si>
  <si>
    <t xml:space="preserve">clio.linkou@gmail.com</t>
  </si>
  <si>
    <t xml:space="preserve">2012-08-13</t>
  </si>
  <si>
    <t xml:space="preserve">連葉秀蓮</t>
  </si>
  <si>
    <t xml:space="preserve">張登祿</t>
  </si>
  <si>
    <t xml:space="preserve">妙升股份有限公司附設私立三心麗林文裡技藝短期補習班</t>
  </si>
  <si>
    <r>
      <rPr>
        <sz val="10"/>
        <color rgb="FF1F2A28"/>
        <rFont val="WenQuanYi Zen Hei"/>
        <family val="2"/>
      </rPr>
      <t xml:space="preserve">林口區八德路</t>
    </r>
    <r>
      <rPr>
        <sz val="10"/>
        <color rgb="FF1F2A28"/>
        <rFont val="Arial"/>
        <family val="0"/>
        <charset val="1"/>
      </rPr>
      <t xml:space="preserve">20</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</si>
  <si>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0226069976</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</si>
  <si>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國文、英文、數學、社會、自然</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國文、英文、數學、社會</t>
    </r>
    <r>
      <rPr>
        <sz val="10"/>
        <color rgb="FF1F2A28"/>
        <rFont val="Arial"/>
        <family val="0"/>
        <charset val="1"/>
      </rPr>
      <t xml:space="preserve">)</t>
    </r>
  </si>
  <si>
    <t xml:space="preserve">2026-06-29</t>
  </si>
  <si>
    <t xml:space="preserve">陳萬中</t>
  </si>
  <si>
    <t xml:space="preserve">陳力豪</t>
  </si>
  <si>
    <t xml:space="preserve">敏智語文短期補習班</t>
  </si>
  <si>
    <r>
      <rPr>
        <sz val="10"/>
        <color rgb="FF1F2A28"/>
        <rFont val="WenQuanYi Zen Hei"/>
        <family val="2"/>
      </rPr>
      <t xml:space="preserve">林口區文化三路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211</t>
    </r>
    <r>
      <rPr>
        <sz val="10"/>
        <color rgb="FF1F2A28"/>
        <rFont val="WenQuanYi Zen Hei"/>
        <family val="2"/>
      </rPr>
      <t xml:space="preserve">巷</t>
    </r>
    <r>
      <rPr>
        <sz val="10"/>
        <color rgb="FF1F2A28"/>
        <rFont val="Arial"/>
        <family val="0"/>
        <charset val="1"/>
      </rPr>
      <t xml:space="preserve">71</t>
    </r>
    <r>
      <rPr>
        <sz val="10"/>
        <color rgb="FF1F2A28"/>
        <rFont val="WenQuanYi Zen Hei"/>
        <family val="2"/>
      </rPr>
      <t xml:space="preserve">、</t>
    </r>
    <r>
      <rPr>
        <sz val="10"/>
        <color rgb="FF1F2A28"/>
        <rFont val="Arial"/>
        <family val="0"/>
        <charset val="1"/>
      </rPr>
      <t xml:space="preserve">73</t>
    </r>
    <r>
      <rPr>
        <sz val="10"/>
        <color rgb="FF1F2A28"/>
        <rFont val="WenQuanYi Zen Hei"/>
        <family val="2"/>
      </rPr>
      <t xml:space="preserve">號各</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</si>
  <si>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(02)26088192</t>
  </si>
  <si>
    <t xml:space="preserve">2012-01-10</t>
  </si>
  <si>
    <t xml:space="preserve">林佳鋒</t>
  </si>
  <si>
    <t xml:space="preserve">楊格美語短期補習班</t>
  </si>
  <si>
    <r>
      <rPr>
        <sz val="10"/>
        <color rgb="FF1F2A28"/>
        <rFont val="WenQuanYi Zen Hei"/>
        <family val="2"/>
      </rPr>
      <t xml:space="preserve">林口區中山路</t>
    </r>
    <r>
      <rPr>
        <sz val="10"/>
        <color rgb="FF1F2A28"/>
        <rFont val="Arial"/>
        <family val="0"/>
        <charset val="1"/>
      </rPr>
      <t xml:space="preserve">97</t>
    </r>
    <r>
      <rPr>
        <sz val="10"/>
        <color rgb="FF1F2A28"/>
        <rFont val="WenQuanYi Zen Hei"/>
        <family val="2"/>
      </rPr>
      <t xml:space="preserve">巷</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</si>
  <si>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(02)26023737</t>
  </si>
  <si>
    <t xml:space="preserve">2002-04-30</t>
  </si>
  <si>
    <t xml:space="preserve">楊銀蘭</t>
  </si>
  <si>
    <t xml:space="preserve">榮曜文理語文短期補習班</t>
  </si>
  <si>
    <r>
      <rPr>
        <sz val="10"/>
        <color rgb="FF1F2A28"/>
        <rFont val="WenQuanYi Zen Hei"/>
        <family val="2"/>
      </rPr>
      <t xml:space="preserve">林口區民權路</t>
    </r>
    <r>
      <rPr>
        <sz val="10"/>
        <color rgb="FF1F2A28"/>
        <rFont val="Arial"/>
        <family val="0"/>
        <charset val="1"/>
      </rPr>
      <t xml:space="preserve">102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r>
      <rPr>
        <sz val="10"/>
        <color rgb="FF1F2A28"/>
        <rFont val="Arial"/>
        <family val="0"/>
        <charset val="1"/>
      </rPr>
      <t xml:space="preserve">)</t>
    </r>
  </si>
  <si>
    <t xml:space="preserve">(02)26086102</t>
  </si>
  <si>
    <t xml:space="preserve">joylinkou@gmail.com</t>
  </si>
  <si>
    <t xml:space="preserve">2013-01-10</t>
  </si>
  <si>
    <t xml:space="preserve">陳淑卿</t>
  </si>
  <si>
    <t xml:space="preserve">董瑞人</t>
  </si>
  <si>
    <t xml:space="preserve">漢密爾頓教育股份有限公司附設私立傑根文理技藝短期補習班</t>
  </si>
  <si>
    <r>
      <rPr>
        <sz val="10"/>
        <color rgb="FF1F2A28"/>
        <rFont val="WenQuanYi Zen Hei"/>
        <family val="2"/>
      </rPr>
      <t xml:space="preserve">林口區文化一路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83</t>
    </r>
    <r>
      <rPr>
        <sz val="10"/>
        <color rgb="FF1F2A28"/>
        <rFont val="WenQuanYi Zen Hei"/>
        <family val="2"/>
      </rPr>
      <t xml:space="preserve">巷</t>
    </r>
    <r>
      <rPr>
        <sz val="10"/>
        <color rgb="FF1F2A28"/>
        <rFont val="Arial"/>
        <family val="0"/>
        <charset val="1"/>
      </rPr>
      <t xml:space="preserve">14</t>
    </r>
    <r>
      <rPr>
        <sz val="10"/>
        <color rgb="FF1F2A28"/>
        <rFont val="WenQuanYi Zen Hei"/>
        <family val="2"/>
      </rPr>
      <t xml:space="preserve">弄</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25</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</si>
  <si>
    <t xml:space="preserve">0226093355</t>
  </si>
  <si>
    <t xml:space="preserve">2025-01-17</t>
  </si>
  <si>
    <t xml:space="preserve">李孟穎</t>
  </si>
  <si>
    <t xml:space="preserve">邱穎岑</t>
  </si>
  <si>
    <t xml:space="preserve">環愛國際教育管理顧問股份有限公司附設私立昇揚文理語文短期補習班</t>
  </si>
  <si>
    <r>
      <rPr>
        <sz val="10"/>
        <color rgb="FF1F2A28"/>
        <rFont val="WenQuanYi Zen Hei"/>
        <family val="2"/>
      </rPr>
      <t xml:space="preserve">林口區八德路</t>
    </r>
    <r>
      <rPr>
        <sz val="10"/>
        <color rgb="FF1F2A28"/>
        <rFont val="Arial"/>
        <family val="0"/>
        <charset val="1"/>
      </rPr>
      <t xml:space="preserve">18</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</si>
  <si>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(02)26093810</t>
  </si>
  <si>
    <t xml:space="preserve">team.link50@gmail.com</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</si>
  <si>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英文、作文</t>
    </r>
    <r>
      <rPr>
        <sz val="10"/>
        <color rgb="FF1F2A28"/>
        <rFont val="Arial"/>
        <family val="0"/>
        <charset val="1"/>
      </rPr>
      <t xml:space="preserve">)</t>
    </r>
  </si>
  <si>
    <t xml:space="preserve">2015-07-14</t>
  </si>
  <si>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陳和順</t>
    </r>
  </si>
  <si>
    <t xml:space="preserve">李慈惠</t>
  </si>
  <si>
    <t xml:space="preserve">私立也加語文短期補習班</t>
  </si>
  <si>
    <r>
      <rPr>
        <sz val="10"/>
        <color rgb="FF1F2A28"/>
        <rFont val="WenQuanYi Zen Hei"/>
        <family val="2"/>
      </rPr>
      <t xml:space="preserve">林口區八德路</t>
    </r>
    <r>
      <rPr>
        <sz val="10"/>
        <color rgb="FF1F2A28"/>
        <rFont val="Arial"/>
        <family val="0"/>
        <charset val="1"/>
      </rPr>
      <t xml:space="preserve">20</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</si>
  <si>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(02)26092993</t>
  </si>
  <si>
    <t xml:space="preserve">李冠翰</t>
  </si>
  <si>
    <t xml:space="preserve">張雪玉</t>
  </si>
  <si>
    <t xml:space="preserve">私立兆林語文短期補習班</t>
  </si>
  <si>
    <r>
      <rPr>
        <sz val="10"/>
        <color rgb="FF1F2A28"/>
        <rFont val="WenQuanYi Zen Hei"/>
        <family val="2"/>
      </rPr>
      <t xml:space="preserve">林口區中正路</t>
    </r>
    <r>
      <rPr>
        <sz val="10"/>
        <color rgb="FF1F2A28"/>
        <rFont val="Arial"/>
        <family val="0"/>
        <charset val="1"/>
      </rPr>
      <t xml:space="preserve">517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</si>
  <si>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(02)2602-1122</t>
  </si>
  <si>
    <t xml:space="preserve">2014-06-06</t>
  </si>
  <si>
    <t xml:space="preserve">蕭惠燕</t>
  </si>
  <si>
    <t xml:space="preserve">私立劍橋文理語文短期補習班</t>
  </si>
  <si>
    <r>
      <rPr>
        <sz val="10"/>
        <color rgb="FF1F2A28"/>
        <rFont val="WenQuanYi Zen Hei"/>
        <family val="2"/>
      </rPr>
      <t xml:space="preserve">林口區文化一路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41</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樓</t>
    </r>
  </si>
  <si>
    <t xml:space="preserve">(02)2600-0157</t>
  </si>
  <si>
    <t xml:space="preserve">2008-04-17</t>
  </si>
  <si>
    <t xml:space="preserve">許憲騰</t>
  </si>
  <si>
    <t xml:space="preserve">陳正倫</t>
  </si>
  <si>
    <t xml:space="preserve">私立加倍佳語文短期補習班</t>
  </si>
  <si>
    <r>
      <rPr>
        <sz val="10"/>
        <color rgb="FF1F2A28"/>
        <rFont val="WenQuanYi Zen Hei"/>
        <family val="2"/>
      </rPr>
      <t xml:space="preserve">林口區民權路</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</si>
  <si>
    <t xml:space="preserve">(02)2608-7927</t>
  </si>
  <si>
    <t xml:space="preserve">2012-10-04</t>
  </si>
  <si>
    <t xml:space="preserve">吳佳蓉</t>
  </si>
  <si>
    <t xml:space="preserve">私立勁學文理語文短期補習班</t>
  </si>
  <si>
    <r>
      <rPr>
        <sz val="10"/>
        <color rgb="FF1F2A28"/>
        <rFont val="WenQuanYi Zen Hei"/>
        <family val="2"/>
      </rPr>
      <t xml:space="preserve">林口區新生街</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</si>
  <si>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02-26024991</t>
  </si>
  <si>
    <t xml:space="preserve">math.mie@gmail.com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</si>
  <si>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</si>
  <si>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林瑞新</t>
  </si>
  <si>
    <t xml:space="preserve">私立吉米領袖語文短期補習班</t>
  </si>
  <si>
    <r>
      <rPr>
        <sz val="10"/>
        <color rgb="FF1F2A28"/>
        <rFont val="WenQuanYi Zen Hei"/>
        <family val="2"/>
      </rPr>
      <t xml:space="preserve">林口區忠孝路</t>
    </r>
    <r>
      <rPr>
        <sz val="10"/>
        <color rgb="FF1F2A28"/>
        <rFont val="Arial"/>
        <family val="0"/>
        <charset val="1"/>
      </rPr>
      <t xml:space="preserve">380</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r>
      <rPr>
        <sz val="10"/>
        <color rgb="FF1F2A28"/>
        <rFont val="Arial"/>
        <family val="0"/>
        <charset val="1"/>
      </rPr>
      <t xml:space="preserve">)</t>
    </r>
  </si>
  <si>
    <t xml:space="preserve">(02)26005563</t>
  </si>
  <si>
    <t xml:space="preserve">2011-08-08</t>
  </si>
  <si>
    <t xml:space="preserve">張雅玲</t>
  </si>
  <si>
    <t xml:space="preserve">私立多益文理語文圍棋珠心算短期補習班</t>
  </si>
  <si>
    <r>
      <rPr>
        <sz val="10"/>
        <color rgb="FF1F2A28"/>
        <rFont val="WenQuanYi Zen Hei"/>
        <family val="2"/>
      </rPr>
      <t xml:space="preserve">林口區公園路</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</si>
  <si>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(02)26092587</t>
  </si>
  <si>
    <t xml:space="preserve">2014-03-04</t>
  </si>
  <si>
    <t xml:space="preserve">陳淑女</t>
  </si>
  <si>
    <t xml:space="preserve">孔繁星</t>
  </si>
  <si>
    <t xml:space="preserve">私立學優語文短期補習班</t>
  </si>
  <si>
    <r>
      <rPr>
        <sz val="10"/>
        <color rgb="FF1F2A28"/>
        <rFont val="WenQuanYi Zen Hei"/>
        <family val="2"/>
      </rPr>
      <t xml:space="preserve">林口區麗園一街</t>
    </r>
    <r>
      <rPr>
        <sz val="10"/>
        <color rgb="FF1F2A28"/>
        <rFont val="Arial"/>
        <family val="0"/>
        <charset val="1"/>
      </rPr>
      <t xml:space="preserve">6</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樓之</t>
    </r>
    <r>
      <rPr>
        <sz val="10"/>
        <color rgb="FF1F2A28"/>
        <rFont val="Arial"/>
        <family val="0"/>
        <charset val="1"/>
      </rPr>
      <t xml:space="preserve">2</t>
    </r>
  </si>
  <si>
    <t xml:space="preserve">(02)2609-1581</t>
  </si>
  <si>
    <t xml:space="preserve">wes@learningfirst.com.tw</t>
  </si>
  <si>
    <t xml:space="preserve">2015-02-12</t>
  </si>
  <si>
    <t xml:space="preserve">林逸涵</t>
  </si>
  <si>
    <t xml:space="preserve">私立宏揚語文文理短期補習班</t>
  </si>
  <si>
    <r>
      <rPr>
        <sz val="10"/>
        <color rgb="FF1F2A28"/>
        <rFont val="WenQuanYi Zen Hei"/>
        <family val="2"/>
      </rPr>
      <t xml:space="preserve">林口區佳林路</t>
    </r>
    <r>
      <rPr>
        <sz val="10"/>
        <color rgb="FF1F2A28"/>
        <rFont val="Arial"/>
        <family val="0"/>
        <charset val="1"/>
      </rPr>
      <t xml:space="preserve">162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含夾層</t>
    </r>
    <r>
      <rPr>
        <sz val="10"/>
        <color rgb="FF1F2A28"/>
        <rFont val="Arial"/>
        <family val="0"/>
        <charset val="1"/>
      </rPr>
      <t xml:space="preserve">)</t>
    </r>
  </si>
  <si>
    <t xml:space="preserve">(02)26017760</t>
  </si>
  <si>
    <t xml:space="preserve">2003-04-10</t>
  </si>
  <si>
    <t xml:space="preserve">王文雄</t>
  </si>
  <si>
    <t xml:space="preserve">陳美貞</t>
  </si>
  <si>
    <t xml:space="preserve">私立思躍軟實力文理短期補習班</t>
  </si>
  <si>
    <r>
      <rPr>
        <sz val="10"/>
        <color rgb="FF1F2A28"/>
        <rFont val="WenQuanYi Zen Hei"/>
        <family val="2"/>
      </rPr>
      <t xml:space="preserve">林口區文化二路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96</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</si>
  <si>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(02)5574-0068</t>
  </si>
  <si>
    <t xml:space="preserve">244welldone@gmail.com</t>
  </si>
  <si>
    <t xml:space="preserve">2014-01-23</t>
  </si>
  <si>
    <t xml:space="preserve">陳妮妮</t>
  </si>
  <si>
    <t xml:space="preserve">私立愛林語文美術珠心算短期補習班</t>
  </si>
  <si>
    <r>
      <rPr>
        <sz val="10"/>
        <color rgb="FF1F2A28"/>
        <rFont val="WenQuanYi Zen Hei"/>
        <family val="2"/>
      </rPr>
      <t xml:space="preserve">林口區公園路</t>
    </r>
    <r>
      <rPr>
        <sz val="10"/>
        <color rgb="FF1F2A28"/>
        <rFont val="Arial"/>
        <family val="0"/>
        <charset val="1"/>
      </rPr>
      <t xml:space="preserve">45</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</si>
  <si>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(02)26097628</t>
  </si>
  <si>
    <t xml:space="preserve">2012-05-25</t>
  </si>
  <si>
    <t xml:space="preserve">孫福忠</t>
  </si>
  <si>
    <t xml:space="preserve">林淑芬</t>
  </si>
  <si>
    <t xml:space="preserve">私立捷森文理技藝短期補習班</t>
  </si>
  <si>
    <r>
      <rPr>
        <sz val="10"/>
        <color rgb="FF1F2A28"/>
        <rFont val="WenQuanYi Zen Hei"/>
        <family val="2"/>
      </rPr>
      <t xml:space="preserve">林口區三民路</t>
    </r>
    <r>
      <rPr>
        <sz val="10"/>
        <color rgb="FF1F2A28"/>
        <rFont val="Arial"/>
        <family val="0"/>
        <charset val="1"/>
      </rPr>
      <t xml:space="preserve">111</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</si>
  <si>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2609-5609</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</si>
  <si>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數學、國語、社會、自然與生活科技、英語、西班牙文</t>
    </r>
    <r>
      <rPr>
        <sz val="10"/>
        <color rgb="FF1F2A28"/>
        <rFont val="Arial"/>
        <family val="0"/>
        <charset val="1"/>
      </rPr>
      <t xml:space="preserve">)</t>
    </r>
  </si>
  <si>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美術、書法、攝影、美工設計、圍棋類</t>
    </r>
  </si>
  <si>
    <t xml:space="preserve">2021-09-08</t>
  </si>
  <si>
    <t xml:space="preserve">張惠文</t>
  </si>
  <si>
    <t xml:space="preserve">顏正錡</t>
  </si>
  <si>
    <t xml:space="preserve">私立新全方位文理美語短期補習班</t>
  </si>
  <si>
    <r>
      <rPr>
        <sz val="10"/>
        <color rgb="FF1F2A28"/>
        <rFont val="WenQuanYi Zen Hei"/>
        <family val="2"/>
      </rPr>
      <t xml:space="preserve">林口區中興街</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</si>
  <si>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(02)8601-2889</t>
  </si>
  <si>
    <t xml:space="preserve">banbancandy@yahoo.com.tw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</si>
  <si>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數學、英文</t>
    </r>
    <r>
      <rPr>
        <sz val="10"/>
        <color rgb="FF1F2A28"/>
        <rFont val="Arial"/>
        <family val="0"/>
        <charset val="1"/>
      </rPr>
      <t xml:space="preserve">)</t>
    </r>
    <r>
      <rPr>
        <sz val="10"/>
        <color rgb="FF1F2A28"/>
        <rFont val="WenQuanYi Zen Hei"/>
        <family val="2"/>
      </rPr>
      <t xml:space="preserve">、美語</t>
    </r>
  </si>
  <si>
    <t xml:space="preserve">2013-12-09</t>
  </si>
  <si>
    <t xml:space="preserve">蘇惠婷</t>
  </si>
  <si>
    <t xml:space="preserve">私立新豪文理短期補習班</t>
  </si>
  <si>
    <r>
      <rPr>
        <sz val="10"/>
        <color rgb="FF1F2A28"/>
        <rFont val="WenQuanYi Zen Hei"/>
        <family val="2"/>
      </rPr>
      <t xml:space="preserve">林口區民權路</t>
    </r>
    <r>
      <rPr>
        <sz val="10"/>
        <color rgb="FF1F2A28"/>
        <rFont val="Arial"/>
        <family val="0"/>
        <charset val="1"/>
      </rPr>
      <t xml:space="preserve">66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</si>
  <si>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0226005753</t>
  </si>
  <si>
    <t xml:space="preserve">2026-08-06</t>
  </si>
  <si>
    <t xml:space="preserve">蔡立宸</t>
  </si>
  <si>
    <t xml:space="preserve">唐枋谷</t>
  </si>
  <si>
    <t xml:space="preserve">私立樂奕文理短期補習班</t>
  </si>
  <si>
    <r>
      <rPr>
        <sz val="10"/>
        <color rgb="FF1F2A28"/>
        <rFont val="WenQuanYi Zen Hei"/>
        <family val="2"/>
      </rPr>
      <t xml:space="preserve">林口區忠孝路</t>
    </r>
    <r>
      <rPr>
        <sz val="10"/>
        <color rgb="FF1F2A28"/>
        <rFont val="Arial"/>
        <family val="0"/>
        <charset val="1"/>
      </rPr>
      <t xml:space="preserve">503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r>
      <rPr>
        <sz val="10"/>
        <color rgb="FF1F2A28"/>
        <rFont val="Arial"/>
        <family val="0"/>
        <charset val="1"/>
      </rPr>
      <t xml:space="preserve">)</t>
    </r>
  </si>
  <si>
    <t xml:space="preserve">0226000550</t>
  </si>
  <si>
    <t xml:space="preserve">洪瑋</t>
  </si>
  <si>
    <t xml:space="preserve">林佳卉</t>
  </si>
  <si>
    <t xml:space="preserve">私立濱川國際語文短期補習班</t>
  </si>
  <si>
    <r>
      <rPr>
        <sz val="10"/>
        <color rgb="FF1F2A28"/>
        <rFont val="WenQuanYi Zen Hei"/>
        <family val="2"/>
      </rPr>
      <t xml:space="preserve">林口區文化二路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20</t>
    </r>
    <r>
      <rPr>
        <sz val="10"/>
        <color rgb="FF1F2A28"/>
        <rFont val="WenQuanYi Zen Hei"/>
        <family val="2"/>
      </rPr>
      <t xml:space="preserve">巷</t>
    </r>
    <r>
      <rPr>
        <sz val="10"/>
        <color rgb="FF1F2A28"/>
        <rFont val="Arial"/>
        <family val="0"/>
        <charset val="1"/>
      </rPr>
      <t xml:space="preserve">47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</si>
  <si>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(02)26005542</t>
  </si>
  <si>
    <t xml:space="preserve">istudy.linkou@msa.hinet.net</t>
  </si>
  <si>
    <t xml:space="preserve">2015-11-25</t>
  </si>
  <si>
    <t xml:space="preserve">陳科維</t>
  </si>
  <si>
    <t xml:space="preserve">私立睿智忠孝語文短期補習班</t>
  </si>
  <si>
    <r>
      <rPr>
        <sz val="10"/>
        <color rgb="FF1F2A28"/>
        <rFont val="WenQuanYi Zen Hei"/>
        <family val="2"/>
      </rPr>
      <t xml:space="preserve">林口區忠孝路</t>
    </r>
    <r>
      <rPr>
        <sz val="10"/>
        <color rgb="FF1F2A28"/>
        <rFont val="Arial"/>
        <family val="0"/>
        <charset val="1"/>
      </rPr>
      <t xml:space="preserve">504</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</si>
  <si>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(02)26068131</t>
  </si>
  <si>
    <t xml:space="preserve">aceslinkou@gmail.com</t>
  </si>
  <si>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唐睿哲</t>
    </r>
  </si>
  <si>
    <t xml:space="preserve">林芷伃</t>
  </si>
  <si>
    <t xml:space="preserve">私立蓁凱寧文理技藝短期補習班東湖分校</t>
  </si>
  <si>
    <r>
      <rPr>
        <sz val="10"/>
        <color rgb="FF1F2A28"/>
        <rFont val="WenQuanYi Zen Hei"/>
        <family val="2"/>
      </rPr>
      <t xml:space="preserve">林口區四維路</t>
    </r>
    <r>
      <rPr>
        <sz val="10"/>
        <color rgb="FF1F2A28"/>
        <rFont val="Arial"/>
        <family val="0"/>
        <charset val="1"/>
      </rPr>
      <t xml:space="preserve">186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層</t>
    </r>
    <r>
      <rPr>
        <sz val="10"/>
        <color rgb="FF1F2A28"/>
        <rFont val="Arial"/>
        <family val="0"/>
        <charset val="1"/>
      </rPr>
      <t xml:space="preserve">)</t>
    </r>
  </si>
  <si>
    <t xml:space="preserve">0222222882</t>
  </si>
  <si>
    <t xml:space="preserve">2026-08-07</t>
  </si>
  <si>
    <t xml:space="preserve">黃盈凱</t>
  </si>
  <si>
    <t xml:space="preserve">私立讀樂樂語文短期補習班</t>
  </si>
  <si>
    <r>
      <rPr>
        <sz val="10"/>
        <color rgb="FF1F2A28"/>
        <rFont val="WenQuanYi Zen Hei"/>
        <family val="2"/>
      </rPr>
      <t xml:space="preserve">林口區文化二路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20</t>
    </r>
    <r>
      <rPr>
        <sz val="10"/>
        <color rgb="FF1F2A28"/>
        <rFont val="WenQuanYi Zen Hei"/>
        <family val="2"/>
      </rPr>
      <t xml:space="preserve">巷</t>
    </r>
    <r>
      <rPr>
        <sz val="10"/>
        <color rgb="FF1F2A28"/>
        <rFont val="Arial"/>
        <family val="0"/>
        <charset val="1"/>
      </rPr>
      <t xml:space="preserve">25</t>
    </r>
    <r>
      <rPr>
        <sz val="10"/>
        <color rgb="FF1F2A28"/>
        <rFont val="WenQuanYi Zen Hei"/>
        <family val="2"/>
      </rPr>
      <t xml:space="preserve">弄</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1</t>
    </r>
    <r>
      <rPr>
        <sz val="10"/>
        <color rgb="FF1F2A28"/>
        <rFont val="WenQuanYi Zen Hei"/>
        <family val="2"/>
      </rPr>
      <t xml:space="preserve">樓之</t>
    </r>
    <r>
      <rPr>
        <sz val="10"/>
        <color rgb="FF1F2A28"/>
        <rFont val="Arial"/>
        <family val="0"/>
        <charset val="1"/>
      </rPr>
      <t xml:space="preserve">3</t>
    </r>
  </si>
  <si>
    <t xml:space="preserve">(02)2609-5339</t>
  </si>
  <si>
    <t xml:space="preserve">liuliu_tw@yahoo.com</t>
  </si>
  <si>
    <t xml:space="preserve">私立貝爾語文短期補習班</t>
  </si>
  <si>
    <r>
      <rPr>
        <sz val="10"/>
        <color rgb="FF1F2A28"/>
        <rFont val="WenQuanYi Zen Hei"/>
        <family val="2"/>
      </rPr>
      <t xml:space="preserve">林口區中正路</t>
    </r>
    <r>
      <rPr>
        <sz val="10"/>
        <color rgb="FF1F2A28"/>
        <rFont val="Arial"/>
        <family val="0"/>
        <charset val="1"/>
      </rPr>
      <t xml:space="preserve">280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</si>
  <si>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(02)26031778</t>
  </si>
  <si>
    <t xml:space="preserve">郭欣伊</t>
  </si>
  <si>
    <t xml:space="preserve">私立雨田語文短期補習班</t>
  </si>
  <si>
    <r>
      <rPr>
        <sz val="10"/>
        <color rgb="FF1F2A28"/>
        <rFont val="WenQuanYi Zen Hei"/>
        <family val="2"/>
      </rPr>
      <t xml:space="preserve">林口區中山路</t>
    </r>
    <r>
      <rPr>
        <sz val="10"/>
        <color rgb="FF1F2A28"/>
        <rFont val="Arial"/>
        <family val="0"/>
        <charset val="1"/>
      </rPr>
      <t xml:space="preserve">552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</si>
  <si>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(02)86018077</t>
  </si>
  <si>
    <t xml:space="preserve">leiandwang552@gmail.com</t>
  </si>
  <si>
    <t xml:space="preserve">2014-10-29</t>
  </si>
  <si>
    <t xml:space="preserve">王玉潔</t>
  </si>
  <si>
    <t xml:space="preserve">私立雲森文理語文短期補習班</t>
  </si>
  <si>
    <r>
      <rPr>
        <sz val="10"/>
        <color rgb="FF1F2A28"/>
        <rFont val="WenQuanYi Zen Hei"/>
        <family val="2"/>
      </rPr>
      <t xml:space="preserve">林口區中山路</t>
    </r>
    <r>
      <rPr>
        <sz val="10"/>
        <color rgb="FF1F2A28"/>
        <rFont val="Arial"/>
        <family val="0"/>
        <charset val="1"/>
      </rPr>
      <t xml:space="preserve">188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3</t>
    </r>
  </si>
  <si>
    <t xml:space="preserve">(02)26015794</t>
  </si>
  <si>
    <t xml:space="preserve">林秀玫</t>
  </si>
  <si>
    <t xml:space="preserve">艾爾文創有限公司附設私立放學趣文理技藝短期補習班</t>
  </si>
  <si>
    <r>
      <rPr>
        <sz val="10"/>
        <color rgb="FF1F2A28"/>
        <rFont val="WenQuanYi Zen Hei"/>
        <family val="2"/>
      </rPr>
      <t xml:space="preserve">林口區文化北路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266</t>
    </r>
    <r>
      <rPr>
        <sz val="10"/>
        <color rgb="FF1F2A28"/>
        <rFont val="WenQuanYi Zen Hei"/>
        <family val="2"/>
      </rPr>
      <t xml:space="preserve">、</t>
    </r>
    <r>
      <rPr>
        <sz val="10"/>
        <color rgb="FF1F2A28"/>
        <rFont val="Arial"/>
        <family val="0"/>
        <charset val="1"/>
      </rPr>
      <t xml:space="preserve">268</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</si>
  <si>
    <t xml:space="preserve">26006777</t>
  </si>
  <si>
    <t xml:space="preserve">2023-08-25</t>
  </si>
  <si>
    <t xml:space="preserve">艾蜜莉語文短期補習班</t>
  </si>
  <si>
    <r>
      <rPr>
        <sz val="10"/>
        <color rgb="FF1F2A28"/>
        <rFont val="WenQuanYi Zen Hei"/>
        <family val="2"/>
      </rPr>
      <t xml:space="preserve">林口區仁愛路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408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層</t>
    </r>
    <r>
      <rPr>
        <sz val="10"/>
        <color rgb="FF1F2A28"/>
        <rFont val="Arial"/>
        <family val="0"/>
        <charset val="1"/>
      </rPr>
      <t xml:space="preserve">)</t>
    </r>
  </si>
  <si>
    <t xml:space="preserve">(02)26016683</t>
  </si>
  <si>
    <t xml:space="preserve">2006-09-05</t>
  </si>
  <si>
    <t xml:space="preserve">曹頤荷</t>
  </si>
  <si>
    <t xml:space="preserve">徐筠修</t>
  </si>
  <si>
    <t xml:space="preserve">蓁凱寧文理技藝短期補習班</t>
  </si>
  <si>
    <r>
      <rPr>
        <sz val="10"/>
        <color rgb="FF1F2A28"/>
        <rFont val="WenQuanYi Zen Hei"/>
        <family val="2"/>
      </rPr>
      <t xml:space="preserve">林口區四維路</t>
    </r>
    <r>
      <rPr>
        <sz val="10"/>
        <color rgb="FF1F2A28"/>
        <rFont val="Arial"/>
        <family val="0"/>
        <charset val="1"/>
      </rPr>
      <t xml:space="preserve">245</t>
    </r>
    <r>
      <rPr>
        <sz val="10"/>
        <color rgb="FF1F2A28"/>
        <rFont val="WenQuanYi Zen Hei"/>
        <family val="2"/>
      </rPr>
      <t xml:space="preserve">巷</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25</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1</t>
    </r>
    <r>
      <rPr>
        <sz val="10"/>
        <color rgb="FF1F2A28"/>
        <rFont val="WenQuanYi Zen Hei"/>
        <family val="2"/>
      </rPr>
      <t xml:space="preserve">樓及夾層</t>
    </r>
    <r>
      <rPr>
        <sz val="10"/>
        <color rgb="FF1F2A28"/>
        <rFont val="Arial"/>
        <family val="0"/>
        <charset val="1"/>
      </rPr>
      <t xml:space="preserve">)</t>
    </r>
  </si>
  <si>
    <t xml:space="preserve">(02)2602-8711</t>
  </si>
  <si>
    <t xml:space="preserve">eugene.soktw@gmail.com</t>
  </si>
  <si>
    <t xml:space="preserve">2018-05-07</t>
  </si>
  <si>
    <t xml:space="preserve">陳韻如</t>
  </si>
  <si>
    <t xml:space="preserve">裕元文教有限公司附設私立裕元文理短期補習班</t>
  </si>
  <si>
    <r>
      <rPr>
        <sz val="10"/>
        <color rgb="FF1F2A28"/>
        <rFont val="WenQuanYi Zen Hei"/>
        <family val="2"/>
      </rPr>
      <t xml:space="preserve">林口區文化三路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635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</si>
  <si>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0226096257</t>
  </si>
  <si>
    <t xml:space="preserve">2024-08-20</t>
  </si>
  <si>
    <t xml:space="preserve">周錞汝</t>
  </si>
  <si>
    <t xml:space="preserve">樹林區</t>
  </si>
  <si>
    <t xml:space="preserve">中國青年救國團附設樹興文理技藝短期補習班</t>
  </si>
  <si>
    <r>
      <rPr>
        <sz val="10"/>
        <color rgb="FF1F2A28"/>
        <rFont val="WenQuanYi Zen Hei"/>
        <family val="2"/>
      </rPr>
      <t xml:space="preserve">樹林區中山路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276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</si>
  <si>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(02)2687-8200</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</si>
  <si>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縫紉類</t>
    </r>
    <r>
      <rPr>
        <sz val="10"/>
        <color rgb="FF1F2A28"/>
        <rFont val="Arial"/>
        <family val="0"/>
        <charset val="1"/>
      </rPr>
      <t xml:space="preserve">,</t>
    </r>
    <r>
      <rPr>
        <sz val="10"/>
        <color rgb="FF1F2A28"/>
        <rFont val="WenQuanYi Zen Hei"/>
        <family val="2"/>
      </rPr>
      <t xml:space="preserve">美容、美髮理髮類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瑜珈類</t>
    </r>
    <r>
      <rPr>
        <sz val="10"/>
        <color rgb="FF1F2A28"/>
        <rFont val="Arial"/>
        <family val="0"/>
        <charset val="1"/>
      </rPr>
      <t xml:space="preserve">,</t>
    </r>
    <r>
      <rPr>
        <sz val="10"/>
        <color rgb="FF1F2A28"/>
        <rFont val="WenQuanYi Zen Hei"/>
        <family val="2"/>
      </rPr>
      <t xml:space="preserve">其他類</t>
    </r>
  </si>
  <si>
    <t xml:space="preserve">2018-11-28</t>
  </si>
  <si>
    <t xml:space="preserve">鄭涴心</t>
  </si>
  <si>
    <t xml:space="preserve">企鵝家族美語短期補習班</t>
  </si>
  <si>
    <r>
      <rPr>
        <sz val="10"/>
        <color rgb="FF1F2A28"/>
        <rFont val="WenQuanYi Zen Hei"/>
        <family val="2"/>
      </rPr>
      <t xml:space="preserve">樹林區復興路</t>
    </r>
    <r>
      <rPr>
        <sz val="10"/>
        <color rgb="FF1F2A28"/>
        <rFont val="Arial"/>
        <family val="0"/>
        <charset val="1"/>
      </rPr>
      <t xml:space="preserve">266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</si>
  <si>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(02)26813091</t>
  </si>
  <si>
    <t xml:space="preserve">2002-08-13</t>
  </si>
  <si>
    <t xml:space="preserve">劉倖如</t>
  </si>
  <si>
    <t xml:space="preserve">劉睿航</t>
  </si>
  <si>
    <t xml:space="preserve">學人電腦語文短期補習班</t>
  </si>
  <si>
    <r>
      <rPr>
        <sz val="10"/>
        <color rgb="FF1F2A28"/>
        <rFont val="WenQuanYi Zen Hei"/>
        <family val="2"/>
      </rPr>
      <t xml:space="preserve">樹林區三福街</t>
    </r>
    <r>
      <rPr>
        <sz val="10"/>
        <color rgb="FF1F2A28"/>
        <rFont val="Arial"/>
        <family val="0"/>
        <charset val="1"/>
      </rPr>
      <t xml:space="preserve">85</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</si>
  <si>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26892292</t>
  </si>
  <si>
    <t xml:space="preserve">1999-07-09</t>
  </si>
  <si>
    <t xml:space="preserve">徐俞錚</t>
  </si>
  <si>
    <t xml:space="preserve">格言英語文理短期補習班</t>
  </si>
  <si>
    <r>
      <rPr>
        <sz val="10"/>
        <color rgb="FF1F2A28"/>
        <rFont val="WenQuanYi Zen Hei"/>
        <family val="2"/>
      </rPr>
      <t xml:space="preserve">樹林區後站街</t>
    </r>
    <r>
      <rPr>
        <sz val="10"/>
        <color rgb="FF1F2A28"/>
        <rFont val="Arial"/>
        <family val="0"/>
        <charset val="1"/>
      </rPr>
      <t xml:space="preserve">3</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t>
    </r>
    <r>
      <rPr>
        <sz val="10"/>
        <color rgb="FF1F2A28"/>
        <rFont val="Arial"/>
        <family val="0"/>
        <charset val="1"/>
      </rPr>
      <t xml:space="preserve">9</t>
    </r>
    <r>
      <rPr>
        <sz val="10"/>
        <color rgb="FF1F2A28"/>
        <rFont val="WenQuanYi Zen Hei"/>
        <family val="2"/>
      </rPr>
      <t xml:space="preserve">樓</t>
    </r>
  </si>
  <si>
    <t xml:space="preserve">26827630</t>
  </si>
  <si>
    <t xml:space="preserve">sl@gram.com.tw</t>
  </si>
  <si>
    <t xml:space="preserve">1996-11-08</t>
  </si>
  <si>
    <t xml:space="preserve">林麗卿</t>
  </si>
  <si>
    <t xml:space="preserve">蘇兆聖</t>
  </si>
  <si>
    <t xml:space="preserve">私立佳世基語文短期補習班</t>
  </si>
  <si>
    <r>
      <rPr>
        <sz val="10"/>
        <color rgb="FF1F2A28"/>
        <rFont val="WenQuanYi Zen Hei"/>
        <family val="2"/>
      </rPr>
      <t xml:space="preserve">樹林區復興路</t>
    </r>
    <r>
      <rPr>
        <sz val="10"/>
        <color rgb="FF1F2A28"/>
        <rFont val="Arial"/>
        <family val="0"/>
        <charset val="1"/>
      </rPr>
      <t xml:space="preserve">260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、育英街</t>
    </r>
    <r>
      <rPr>
        <sz val="10"/>
        <color rgb="FF1F2A28"/>
        <rFont val="Arial"/>
        <family val="0"/>
        <charset val="1"/>
      </rPr>
      <t xml:space="preserve">165</t>
    </r>
    <r>
      <rPr>
        <sz val="10"/>
        <color rgb="FF1F2A28"/>
        <rFont val="WenQuanYi Zen Hei"/>
        <family val="2"/>
      </rPr>
      <t xml:space="preserve">巷</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</si>
  <si>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(02)2683-2141</t>
  </si>
  <si>
    <t xml:space="preserve">kellystai1234@gmail.com</t>
  </si>
  <si>
    <t xml:space="preserve">蔡佳容</t>
  </si>
  <si>
    <t xml:space="preserve">宋思婷</t>
  </si>
  <si>
    <t xml:space="preserve">私立傑勝文理語文短期補習班</t>
  </si>
  <si>
    <r>
      <rPr>
        <sz val="10"/>
        <color rgb="FF1F2A28"/>
        <rFont val="WenQuanYi Zen Hei"/>
        <family val="2"/>
      </rPr>
      <t xml:space="preserve">樹林區中華路</t>
    </r>
    <r>
      <rPr>
        <sz val="10"/>
        <color rgb="FF1F2A28"/>
        <rFont val="Arial"/>
        <family val="0"/>
        <charset val="1"/>
      </rPr>
      <t xml:space="preserve">125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</si>
  <si>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(02)8685-5586</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</si>
  <si>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國文、英文、數學、自然、社會</t>
    </r>
    <r>
      <rPr>
        <sz val="10"/>
        <color rgb="FF1F2A28"/>
        <rFont val="Arial"/>
        <family val="0"/>
        <charset val="1"/>
      </rPr>
      <t xml:space="preserve">)</t>
    </r>
  </si>
  <si>
    <t xml:space="preserve">2016-07-22</t>
  </si>
  <si>
    <t xml:space="preserve">謝佳揚</t>
  </si>
  <si>
    <t xml:space="preserve">私立傑升美語文理短期補習班</t>
  </si>
  <si>
    <r>
      <rPr>
        <sz val="10"/>
        <color rgb="FF1F2A28"/>
        <rFont val="WenQuanYi Zen Hei"/>
        <family val="2"/>
      </rPr>
      <t xml:space="preserve">樹林區太元街</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</si>
  <si>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86869486</t>
  </si>
  <si>
    <t xml:space="preserve">charlotte20150620@gmail.com</t>
  </si>
  <si>
    <t xml:space="preserve">1997-09-01</t>
  </si>
  <si>
    <t xml:space="preserve">郭美伶</t>
  </si>
  <si>
    <t xml:space="preserve">私立全球學苑文理英語短期補習班</t>
  </si>
  <si>
    <r>
      <rPr>
        <sz val="10"/>
        <color rgb="FF1F2A28"/>
        <rFont val="WenQuanYi Zen Hei"/>
        <family val="2"/>
      </rPr>
      <t xml:space="preserve">樹林區千歲街</t>
    </r>
    <r>
      <rPr>
        <sz val="10"/>
        <color rgb="FF1F2A28"/>
        <rFont val="Arial"/>
        <family val="0"/>
        <charset val="1"/>
      </rPr>
      <t xml:space="preserve">72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</si>
  <si>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(02)8687-4888</t>
  </si>
  <si>
    <t xml:space="preserve">數、英、國、英語</t>
  </si>
  <si>
    <t xml:space="preserve">何秀滿</t>
  </si>
  <si>
    <t xml:space="preserve">私立創馨文理短期補習班</t>
  </si>
  <si>
    <r>
      <rPr>
        <sz val="10"/>
        <color rgb="FF1F2A28"/>
        <rFont val="WenQuanYi Zen Hei"/>
        <family val="2"/>
      </rPr>
      <t xml:space="preserve">樹林區文化街</t>
    </r>
    <r>
      <rPr>
        <sz val="10"/>
        <color rgb="FF1F2A28"/>
        <rFont val="Arial"/>
        <family val="0"/>
        <charset val="1"/>
      </rPr>
      <t xml:space="preserve">65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</si>
  <si>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(02)2675-7873</t>
  </si>
  <si>
    <t xml:space="preserve">csi4edu@gmail.com</t>
  </si>
  <si>
    <t xml:space="preserve">鄒湘平</t>
  </si>
  <si>
    <t xml:space="preserve">鄒瑄</t>
  </si>
  <si>
    <t xml:space="preserve">私立吳限成雅文理短期補習班</t>
  </si>
  <si>
    <r>
      <rPr>
        <sz val="10"/>
        <color rgb="FF1F2A28"/>
        <rFont val="WenQuanYi Zen Hei"/>
        <family val="2"/>
      </rPr>
      <t xml:space="preserve">樹林區學成路</t>
    </r>
    <r>
      <rPr>
        <sz val="10"/>
        <color rgb="FF1F2A28"/>
        <rFont val="Arial"/>
        <family val="0"/>
        <charset val="1"/>
      </rPr>
      <t xml:space="preserve">507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層及夾層</t>
    </r>
    <r>
      <rPr>
        <sz val="10"/>
        <color rgb="FF1F2A28"/>
        <rFont val="Arial"/>
        <family val="0"/>
        <charset val="1"/>
      </rPr>
      <t xml:space="preserve">)</t>
    </r>
  </si>
  <si>
    <t xml:space="preserve">2024-07-01</t>
  </si>
  <si>
    <t xml:space="preserve">蔣承翰</t>
  </si>
  <si>
    <t xml:space="preserve">徐崇傑</t>
  </si>
  <si>
    <t xml:space="preserve">私立夏綠蒂美語文理短期補習班</t>
  </si>
  <si>
    <r>
      <rPr>
        <sz val="10"/>
        <color rgb="FF1F2A28"/>
        <rFont val="WenQuanYi Zen Hei"/>
        <family val="2"/>
      </rPr>
      <t xml:space="preserve">樹林區復興路</t>
    </r>
    <r>
      <rPr>
        <sz val="10"/>
        <color rgb="FF1F2A28"/>
        <rFont val="Arial"/>
        <family val="0"/>
        <charset val="1"/>
      </rPr>
      <t xml:space="preserve">270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272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274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</si>
  <si>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(02)26750100</t>
  </si>
  <si>
    <t xml:space="preserve">lindahuang0403@yahoo.com.tw</t>
  </si>
  <si>
    <t xml:space="preserve">黃嘉玲</t>
  </si>
  <si>
    <t xml:space="preserve">私立大象語文補習班</t>
  </si>
  <si>
    <r>
      <rPr>
        <sz val="10"/>
        <color rgb="FF1F2A28"/>
        <rFont val="WenQuanYi Zen Hei"/>
        <family val="2"/>
      </rPr>
      <t xml:space="preserve">樹林區中華路</t>
    </r>
    <r>
      <rPr>
        <sz val="10"/>
        <color rgb="FF1F2A28"/>
        <rFont val="Arial"/>
        <family val="0"/>
        <charset val="1"/>
      </rPr>
      <t xml:space="preserve">217</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</si>
  <si>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86843696</t>
  </si>
  <si>
    <t xml:space="preserve">美語、公民</t>
  </si>
  <si>
    <t xml:space="preserve">2002-07-10</t>
  </si>
  <si>
    <t xml:space="preserve">吳宗獻</t>
  </si>
  <si>
    <t xml:space="preserve">吳蕙妤</t>
  </si>
  <si>
    <t xml:space="preserve">私立孫奇文理美語短期補習班</t>
  </si>
  <si>
    <r>
      <rPr>
        <sz val="10"/>
        <color rgb="FF1F2A28"/>
        <rFont val="WenQuanYi Zen Hei"/>
        <family val="2"/>
      </rPr>
      <t xml:space="preserve">樹林區保安街</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</si>
  <si>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(02)26886060</t>
  </si>
  <si>
    <t xml:space="preserve">w26886060@hotmail.com</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</si>
  <si>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英、數</t>
    </r>
    <r>
      <rPr>
        <sz val="10"/>
        <color rgb="FF1F2A28"/>
        <rFont val="Arial"/>
        <family val="0"/>
        <charset val="1"/>
      </rPr>
      <t xml:space="preserve">)</t>
    </r>
  </si>
  <si>
    <t xml:space="preserve">2007-10-08</t>
  </si>
  <si>
    <t xml:space="preserve">黃瑋琳</t>
  </si>
  <si>
    <t xml:space="preserve">柯雪媛</t>
  </si>
  <si>
    <t xml:space="preserve">私立安德葳美語短期補習班</t>
  </si>
  <si>
    <r>
      <rPr>
        <sz val="10"/>
        <color rgb="FF1F2A28"/>
        <rFont val="WenQuanYi Zen Hei"/>
        <family val="2"/>
      </rPr>
      <t xml:space="preserve">樹林區佳園路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</si>
  <si>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(02)2680-4576</t>
  </si>
  <si>
    <t xml:space="preserve">lily7light@gmail.com</t>
  </si>
  <si>
    <t xml:space="preserve">2008-03-26</t>
  </si>
  <si>
    <t xml:space="preserve">徐昕語</t>
  </si>
  <si>
    <t xml:space="preserve">廖馥宣</t>
  </si>
  <si>
    <t xml:space="preserve">私立富雅語文短期補習班</t>
  </si>
  <si>
    <r>
      <rPr>
        <sz val="10"/>
        <color rgb="FF1F2A28"/>
        <rFont val="WenQuanYi Zen Hei"/>
        <family val="2"/>
      </rPr>
      <t xml:space="preserve">樹林區地政街</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</si>
  <si>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(02)26689689</t>
  </si>
  <si>
    <t xml:space="preserve">2011-03-14</t>
  </si>
  <si>
    <t xml:space="preserve">許為庠</t>
  </si>
  <si>
    <t xml:space="preserve">簡依婷</t>
  </si>
  <si>
    <t xml:space="preserve">私立得堡文理短期補習班</t>
  </si>
  <si>
    <r>
      <rPr>
        <sz val="10"/>
        <color rgb="FF1F2A28"/>
        <rFont val="WenQuanYi Zen Hei"/>
        <family val="2"/>
      </rPr>
      <t xml:space="preserve">樹林區復興路</t>
    </r>
    <r>
      <rPr>
        <sz val="10"/>
        <color rgb="FF1F2A28"/>
        <rFont val="Arial"/>
        <family val="0"/>
        <charset val="1"/>
      </rPr>
      <t xml:space="preserve">287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r>
      <rPr>
        <sz val="10"/>
        <color rgb="FF1F2A28"/>
        <rFont val="WenQuanYi Zen Hei"/>
        <family val="2"/>
      </rPr>
      <t xml:space="preserve">由</t>
    </r>
    <r>
      <rPr>
        <sz val="10"/>
        <color rgb="FF1F2A28"/>
        <rFont val="Arial"/>
        <family val="0"/>
        <charset val="1"/>
      </rPr>
      <t xml:space="preserve">287</t>
    </r>
    <r>
      <rPr>
        <sz val="10"/>
        <color rgb="FF1F2A28"/>
        <rFont val="WenQuanYi Zen Hei"/>
        <family val="2"/>
      </rPr>
      <t xml:space="preserve">、</t>
    </r>
    <r>
      <rPr>
        <sz val="10"/>
        <color rgb="FF1F2A28"/>
        <rFont val="Arial"/>
        <family val="0"/>
        <charset val="1"/>
      </rPr>
      <t xml:space="preserve">289</t>
    </r>
    <r>
      <rPr>
        <sz val="10"/>
        <color rgb="FF1F2A28"/>
        <rFont val="WenQuanYi Zen Hei"/>
        <family val="2"/>
      </rPr>
      <t xml:space="preserve">號合併</t>
    </r>
    <r>
      <rPr>
        <sz val="10"/>
        <color rgb="FF1F2A28"/>
        <rFont val="Arial"/>
        <family val="0"/>
        <charset val="1"/>
      </rPr>
      <t xml:space="preserve">)</t>
    </r>
  </si>
  <si>
    <t xml:space="preserve">26833118</t>
  </si>
  <si>
    <t xml:space="preserve">1996-01-05</t>
  </si>
  <si>
    <t xml:space="preserve">陳秀如</t>
  </si>
  <si>
    <t xml:space="preserve">私立德堡美語短期補習班</t>
  </si>
  <si>
    <r>
      <rPr>
        <sz val="10"/>
        <color rgb="FF1F2A28"/>
        <rFont val="WenQuanYi Zen Hei"/>
        <family val="2"/>
      </rPr>
      <t xml:space="preserve">樹林區復興路</t>
    </r>
    <r>
      <rPr>
        <sz val="10"/>
        <color rgb="FF1F2A28"/>
        <rFont val="Arial"/>
        <family val="0"/>
        <charset val="1"/>
      </rPr>
      <t xml:space="preserve">242-1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</si>
  <si>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26750600</t>
  </si>
  <si>
    <t xml:space="preserve">1998-04-07</t>
  </si>
  <si>
    <t xml:space="preserve">陳貴添</t>
  </si>
  <si>
    <t xml:space="preserve">葉明良</t>
  </si>
  <si>
    <t xml:space="preserve">私立快樂地文理語文美術音樂珠心算短期補習班</t>
  </si>
  <si>
    <r>
      <rPr>
        <sz val="10"/>
        <color rgb="FF1F2A28"/>
        <rFont val="WenQuanYi Zen Hei"/>
        <family val="2"/>
      </rPr>
      <t xml:space="preserve">樹林區大同街</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</si>
  <si>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(02)86845006</t>
  </si>
  <si>
    <t xml:space="preserve">2011-08-10</t>
  </si>
  <si>
    <t xml:space="preserve">陳韻筑</t>
  </si>
  <si>
    <t xml:space="preserve">私立拓致文理語文短期補習班</t>
  </si>
  <si>
    <r>
      <rPr>
        <sz val="10"/>
        <color rgb="FF1F2A28"/>
        <rFont val="WenQuanYi Zen Hei"/>
        <family val="2"/>
      </rPr>
      <t xml:space="preserve">樹林區大成路</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r>
      <rPr>
        <sz val="10"/>
        <color rgb="FF1F2A28"/>
        <rFont val="Arial"/>
        <family val="0"/>
        <charset val="1"/>
      </rPr>
      <t xml:space="preserve">)</t>
    </r>
  </si>
  <si>
    <t xml:space="preserve">(02)3501-9669</t>
  </si>
  <si>
    <t xml:space="preserve">tact.fc005@gmail.com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</si>
  <si>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國文、英文、數學、理化</t>
    </r>
    <r>
      <rPr>
        <sz val="10"/>
        <color rgb="FF1F2A28"/>
        <rFont val="Arial"/>
        <family val="0"/>
        <charset val="1"/>
      </rPr>
      <t xml:space="preserve">)</t>
    </r>
    <r>
      <rPr>
        <sz val="10"/>
        <color rgb="FF1F2A28"/>
        <rFont val="WenQuanYi Zen Hei"/>
        <family val="2"/>
      </rPr>
      <t xml:space="preserve">、英文</t>
    </r>
  </si>
  <si>
    <t xml:space="preserve">2015-11-11</t>
  </si>
  <si>
    <t xml:space="preserve">蕭文禮</t>
  </si>
  <si>
    <t xml:space="preserve">私立捷越文理技藝短期補習班</t>
  </si>
  <si>
    <r>
      <rPr>
        <sz val="10"/>
        <color rgb="FF1F2A28"/>
        <rFont val="WenQuanYi Zen Hei"/>
        <family val="2"/>
      </rPr>
      <t xml:space="preserve">樹林區保安街</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165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</si>
  <si>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(02)26853050</t>
  </si>
  <si>
    <t xml:space="preserve">jieyue26853050@gmail.com</t>
  </si>
  <si>
    <t xml:space="preserve">文理美語</t>
  </si>
  <si>
    <t xml:space="preserve">陳專宏</t>
  </si>
  <si>
    <t xml:space="preserve">王珊娸</t>
  </si>
  <si>
    <t xml:space="preserve">私立文林長頸鹿語文文理短期補習班</t>
  </si>
  <si>
    <r>
      <rPr>
        <sz val="10"/>
        <color rgb="FF1F2A28"/>
        <rFont val="WenQuanYi Zen Hei"/>
        <family val="2"/>
      </rPr>
      <t xml:space="preserve">樹林區千歲街</t>
    </r>
    <r>
      <rPr>
        <sz val="10"/>
        <color rgb="FF1F2A28"/>
        <rFont val="Arial"/>
        <family val="0"/>
        <charset val="1"/>
      </rPr>
      <t xml:space="preserve">80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</si>
  <si>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(02)2684-6418</t>
  </si>
  <si>
    <t xml:space="preserve">oxz952@gmail.com</t>
  </si>
  <si>
    <t xml:space="preserve">2000-09-02</t>
  </si>
  <si>
    <t xml:space="preserve">鄭文婷</t>
  </si>
  <si>
    <t xml:space="preserve">蔡淑珍</t>
  </si>
  <si>
    <t xml:space="preserve">私立文澤文理短期補習班</t>
  </si>
  <si>
    <r>
      <rPr>
        <sz val="10"/>
        <color rgb="FF1F2A28"/>
        <rFont val="WenQuanYi Zen Hei"/>
        <family val="2"/>
      </rPr>
      <t xml:space="preserve">樹林區長壽街</t>
    </r>
    <r>
      <rPr>
        <sz val="10"/>
        <color rgb="FF1F2A28"/>
        <rFont val="Arial"/>
        <family val="0"/>
        <charset val="1"/>
      </rPr>
      <t xml:space="preserve">15</t>
    </r>
    <r>
      <rPr>
        <sz val="10"/>
        <color rgb="FF1F2A28"/>
        <rFont val="WenQuanYi Zen Hei"/>
        <family val="2"/>
      </rPr>
      <t xml:space="preserve">之</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</si>
  <si>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0975116889</t>
  </si>
  <si>
    <t xml:space="preserve">2026-07-24</t>
  </si>
  <si>
    <t xml:space="preserve">吳昀柔</t>
  </si>
  <si>
    <t xml:space="preserve">私立瑞比特美語短期補習班</t>
  </si>
  <si>
    <r>
      <rPr>
        <sz val="10"/>
        <color rgb="FF1F2A28"/>
        <rFont val="WenQuanYi Zen Hei"/>
        <family val="2"/>
      </rPr>
      <t xml:space="preserve">樹林區保安街</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115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</si>
  <si>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(02)26885878</t>
  </si>
  <si>
    <t xml:space="preserve">manou0427@hotmail.com</t>
  </si>
  <si>
    <t xml:space="preserve">2009-09-02</t>
  </si>
  <si>
    <t xml:space="preserve">林倩如</t>
  </si>
  <si>
    <t xml:space="preserve">私立當代私塾美語短期補習班</t>
  </si>
  <si>
    <r>
      <rPr>
        <sz val="10"/>
        <color rgb="FF1F2A28"/>
        <rFont val="WenQuanYi Zen Hei"/>
        <family val="2"/>
      </rPr>
      <t xml:space="preserve">樹林區啟智街</t>
    </r>
    <r>
      <rPr>
        <sz val="10"/>
        <color rgb="FF1F2A28"/>
        <rFont val="Arial"/>
        <family val="0"/>
        <charset val="1"/>
      </rPr>
      <t xml:space="preserve">135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</si>
  <si>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(02)26753065</t>
  </si>
  <si>
    <t xml:space="preserve">羅怡華</t>
  </si>
  <si>
    <t xml:space="preserve">私立維吉尼亞文理語文短期補習班</t>
  </si>
  <si>
    <r>
      <rPr>
        <sz val="10"/>
        <color rgb="FF1F2A28"/>
        <rFont val="WenQuanYi Zen Hei"/>
        <family val="2"/>
      </rPr>
      <t xml:space="preserve">樹林區太平路</t>
    </r>
    <r>
      <rPr>
        <sz val="10"/>
        <color rgb="FF1F2A28"/>
        <rFont val="Arial"/>
        <family val="0"/>
        <charset val="1"/>
      </rPr>
      <t xml:space="preserve">87</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</si>
  <si>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(02)86861566</t>
  </si>
  <si>
    <t xml:space="preserve">國文、英文、數學、自然、美語</t>
  </si>
  <si>
    <t xml:space="preserve">2015-04-24</t>
  </si>
  <si>
    <t xml:space="preserve">邱明新</t>
  </si>
  <si>
    <t xml:space="preserve">私立育德英語短期補習班</t>
  </si>
  <si>
    <r>
      <rPr>
        <sz val="10"/>
        <color rgb="FF1F2A28"/>
        <rFont val="WenQuanYi Zen Hei"/>
        <family val="2"/>
      </rPr>
      <t xml:space="preserve">樹林區育德街</t>
    </r>
    <r>
      <rPr>
        <sz val="10"/>
        <color rgb="FF1F2A28"/>
        <rFont val="Arial"/>
        <family val="0"/>
        <charset val="1"/>
      </rPr>
      <t xml:space="preserve">27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</si>
  <si>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26800060</t>
  </si>
  <si>
    <t xml:space="preserve">1998-08-18</t>
  </si>
  <si>
    <t xml:space="preserve">楊佳穎</t>
  </si>
  <si>
    <t xml:space="preserve">趙乾江</t>
  </si>
  <si>
    <t xml:space="preserve">私立花旗文理語文珠心算短期補習班</t>
  </si>
  <si>
    <r>
      <rPr>
        <sz val="10"/>
        <color rgb="FF1F2A28"/>
        <rFont val="WenQuanYi Zen Hei"/>
        <family val="2"/>
      </rPr>
      <t xml:space="preserve">樹林區保安街</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</si>
  <si>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(02)26764898</t>
  </si>
  <si>
    <t xml:space="preserve">ya510817@yahoo.com.tw</t>
  </si>
  <si>
    <t xml:space="preserve">2015-09-23</t>
  </si>
  <si>
    <t xml:space="preserve">葉貞伶</t>
  </si>
  <si>
    <t xml:space="preserve">何旻珊</t>
  </si>
  <si>
    <t xml:space="preserve">私立荷馬文理語文短期補習班</t>
  </si>
  <si>
    <r>
      <rPr>
        <sz val="10"/>
        <color rgb="FF1F2A28"/>
        <rFont val="WenQuanYi Zen Hei"/>
        <family val="2"/>
      </rPr>
      <t xml:space="preserve">樹林區大有路</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樓</t>
    </r>
    <r>
      <rPr>
        <sz val="10"/>
        <color rgb="FF1F2A28"/>
        <rFont val="Arial"/>
        <family val="0"/>
        <charset val="1"/>
      </rPr>
      <t xml:space="preserve">)</t>
    </r>
  </si>
  <si>
    <t xml:space="preserve">(02)35017319</t>
  </si>
  <si>
    <t xml:space="preserve">陳鴻文</t>
  </si>
  <si>
    <t xml:space="preserve">王淑慧</t>
  </si>
  <si>
    <t xml:space="preserve">私立話匣子語文短期補習班</t>
  </si>
  <si>
    <r>
      <rPr>
        <sz val="10"/>
        <color rgb="FF1F2A28"/>
        <rFont val="WenQuanYi Zen Hei"/>
        <family val="2"/>
      </rPr>
      <t xml:space="preserve">樹林區大成路</t>
    </r>
    <r>
      <rPr>
        <sz val="10"/>
        <color rgb="FF1F2A28"/>
        <rFont val="Arial"/>
        <family val="0"/>
        <charset val="1"/>
      </rPr>
      <t xml:space="preserve">353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</si>
  <si>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(02)35017243</t>
  </si>
  <si>
    <t xml:space="preserve">smartpeterenglish168@gmail.com</t>
  </si>
  <si>
    <t xml:space="preserve">2013-03-19</t>
  </si>
  <si>
    <t xml:space="preserve">周雪森</t>
  </si>
  <si>
    <t xml:space="preserve">私立超人學府文理語文短期補習班</t>
  </si>
  <si>
    <r>
      <rPr>
        <sz val="10"/>
        <color rgb="FF1F2A28"/>
        <rFont val="WenQuanYi Zen Hei"/>
        <family val="2"/>
      </rPr>
      <t xml:space="preserve">樹林區太平路</t>
    </r>
    <r>
      <rPr>
        <sz val="10"/>
        <color rgb="FF1F2A28"/>
        <rFont val="Arial"/>
        <family val="0"/>
        <charset val="1"/>
      </rPr>
      <t xml:space="preserve">56</t>
    </r>
    <r>
      <rPr>
        <sz val="10"/>
        <color rgb="FF1F2A28"/>
        <rFont val="WenQuanYi Zen Hei"/>
        <family val="2"/>
      </rPr>
      <t xml:space="preserve">巷</t>
    </r>
    <r>
      <rPr>
        <sz val="10"/>
        <color rgb="FF1F2A28"/>
        <rFont val="Arial"/>
        <family val="0"/>
        <charset val="1"/>
      </rPr>
      <t xml:space="preserve">27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</si>
  <si>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paoyu.chiu@msa.hinet.net</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</si>
  <si>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t>
    </r>
    <r>
      <rPr>
        <sz val="10"/>
        <color rgb="FF1F2A28"/>
        <rFont val="Arial"/>
        <family val="0"/>
        <charset val="1"/>
      </rPr>
      <t xml:space="preserve">)</t>
    </r>
    <r>
      <rPr>
        <sz val="10"/>
        <color rgb="FF1F2A28"/>
        <rFont val="WenQuanYi Zen Hei"/>
        <family val="2"/>
      </rPr>
      <t xml:space="preserve">、美語</t>
    </r>
  </si>
  <si>
    <t xml:space="preserve">邱寶幼</t>
  </si>
  <si>
    <t xml:space="preserve">芳華美語短期補習班</t>
  </si>
  <si>
    <r>
      <rPr>
        <sz val="10"/>
        <color rgb="FF1F2A28"/>
        <rFont val="WenQuanYi Zen Hei"/>
        <family val="2"/>
      </rPr>
      <t xml:space="preserve">樹林區復興路</t>
    </r>
    <r>
      <rPr>
        <sz val="10"/>
        <color rgb="FF1F2A28"/>
        <rFont val="Arial"/>
        <family val="0"/>
        <charset val="1"/>
      </rPr>
      <t xml:space="preserve">130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</si>
  <si>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(02)86872318</t>
  </si>
  <si>
    <t xml:space="preserve">2003-10-23</t>
  </si>
  <si>
    <t xml:space="preserve">劉立平</t>
  </si>
  <si>
    <t xml:space="preserve">劉剛佑</t>
  </si>
  <si>
    <t xml:space="preserve">陳樺英文文理短期補習班</t>
  </si>
  <si>
    <r>
      <rPr>
        <sz val="10"/>
        <color rgb="FF1F2A28"/>
        <rFont val="WenQuanYi Zen Hei"/>
        <family val="2"/>
      </rPr>
      <t xml:space="preserve">樹林區文化街</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</si>
  <si>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(02)26756699</t>
  </si>
  <si>
    <t xml:space="preserve">陳靜怡</t>
  </si>
  <si>
    <t xml:space="preserve">謝承業</t>
  </si>
  <si>
    <t xml:space="preserve">雅學苑語文文理短期補習班</t>
  </si>
  <si>
    <r>
      <rPr>
        <sz val="10"/>
        <color rgb="FF1F2A28"/>
        <rFont val="WenQuanYi Zen Hei"/>
        <family val="2"/>
      </rPr>
      <t xml:space="preserve">樹林區保安街</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167</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</si>
  <si>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(02)2676-5656</t>
  </si>
  <si>
    <t xml:space="preserve">mitsukochao@gmail.com</t>
  </si>
  <si>
    <t xml:space="preserve">2004-11-23</t>
  </si>
  <si>
    <t xml:space="preserve">趙廷甄</t>
  </si>
  <si>
    <t xml:space="preserve">永和區</t>
  </si>
  <si>
    <t xml:space="preserve">中國青年救國團附設中永語文技藝短期補習班</t>
  </si>
  <si>
    <r>
      <rPr>
        <sz val="10"/>
        <color rgb="FF1F2A28"/>
        <rFont val="WenQuanYi Zen Hei"/>
        <family val="2"/>
      </rPr>
      <t xml:space="preserve">永和區中正路</t>
    </r>
    <r>
      <rPr>
        <sz val="10"/>
        <color rgb="FF1F2A28"/>
        <rFont val="Arial"/>
        <family val="0"/>
        <charset val="1"/>
      </rPr>
      <t xml:space="preserve">65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實際為</t>
    </r>
    <r>
      <rPr>
        <sz val="10"/>
        <color rgb="FF1F2A28"/>
        <rFont val="Arial"/>
        <family val="0"/>
        <charset val="1"/>
      </rPr>
      <t xml:space="preserve">63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樓及</t>
    </r>
    <r>
      <rPr>
        <sz val="10"/>
        <color rgb="FF1F2A28"/>
        <rFont val="Arial"/>
        <family val="0"/>
        <charset val="1"/>
      </rPr>
      <t xml:space="preserve">65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樓合併</t>
    </r>
    <r>
      <rPr>
        <sz val="10"/>
        <color rgb="FF1F2A28"/>
        <rFont val="Arial"/>
        <family val="0"/>
        <charset val="1"/>
      </rPr>
      <t xml:space="preserve">)</t>
    </r>
  </si>
  <si>
    <t xml:space="preserve">(02)8943-3782</t>
  </si>
  <si>
    <t xml:space="preserve">cycsg.edm@gmail.com</t>
  </si>
  <si>
    <t xml:space="preserve">2006-01-13</t>
  </si>
  <si>
    <t xml:space="preserve">林佩君</t>
  </si>
  <si>
    <t xml:space="preserve">博浩語文文理短期補習班</t>
  </si>
  <si>
    <r>
      <rPr>
        <sz val="10"/>
        <color rgb="FF1F2A28"/>
        <rFont val="WenQuanYi Zen Hei"/>
        <family val="2"/>
      </rPr>
      <t xml:space="preserve">永和區民權路</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樓、民權路</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樓、民權路</t>
    </r>
    <r>
      <rPr>
        <sz val="10"/>
        <color rgb="FF1F2A28"/>
        <rFont val="Arial"/>
        <family val="0"/>
        <charset val="1"/>
      </rPr>
      <t xml:space="preserve">29</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</si>
  <si>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(02)2946-2508</t>
  </si>
  <si>
    <t xml:space="preserve">1996-03-13</t>
  </si>
  <si>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勞靜芳</t>
    </r>
  </si>
  <si>
    <t xml:space="preserve">謝瑞峰</t>
  </si>
  <si>
    <t xml:space="preserve">好朋友文理短期補習班</t>
  </si>
  <si>
    <r>
      <rPr>
        <sz val="10"/>
        <color rgb="FF1F2A28"/>
        <rFont val="WenQuanYi Zen Hei"/>
        <family val="2"/>
      </rPr>
      <t xml:space="preserve">永和區民生路</t>
    </r>
    <r>
      <rPr>
        <sz val="10"/>
        <color rgb="FF1F2A28"/>
        <rFont val="Arial"/>
        <family val="0"/>
        <charset val="1"/>
      </rPr>
      <t xml:space="preserve">46</t>
    </r>
    <r>
      <rPr>
        <sz val="10"/>
        <color rgb="FF1F2A28"/>
        <rFont val="WenQuanYi Zen Hei"/>
        <family val="2"/>
      </rPr>
      <t xml:space="preserve">巷</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</si>
  <si>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(02)2947-2292</t>
  </si>
  <si>
    <t xml:space="preserve">dennis.leo183@gmail.com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</si>
  <si>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國文、英文、數學、自然、社會</t>
    </r>
    <r>
      <rPr>
        <sz val="10"/>
        <color rgb="FF1F2A28"/>
        <rFont val="Arial"/>
        <family val="0"/>
        <charset val="1"/>
      </rPr>
      <t xml:space="preserve">)4</t>
    </r>
    <r>
      <rPr>
        <sz val="10"/>
        <color rgb="FF1F2A28"/>
        <rFont val="WenQuanYi Zen Hei"/>
        <family val="2"/>
      </rPr>
      <t xml:space="preserve">班</t>
    </r>
  </si>
  <si>
    <t xml:space="preserve">2003-03-26</t>
  </si>
  <si>
    <t xml:space="preserve">張業祺</t>
  </si>
  <si>
    <t xml:space="preserve">家功場文理短期補習班</t>
  </si>
  <si>
    <r>
      <rPr>
        <sz val="10"/>
        <color rgb="FF1F2A28"/>
        <rFont val="WenQuanYi Zen Hei"/>
        <family val="2"/>
      </rPr>
      <t xml:space="preserve">永和區中山路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328</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</si>
  <si>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(02)86609266</t>
  </si>
  <si>
    <t xml:space="preserve">vickylovemath@gmail.com</t>
  </si>
  <si>
    <t xml:space="preserve">2013-05-22</t>
  </si>
  <si>
    <t xml:space="preserve">蔣章麒</t>
  </si>
  <si>
    <t xml:space="preserve">小熊波波語文文理美術短期補習班</t>
  </si>
  <si>
    <r>
      <rPr>
        <sz val="10"/>
        <color rgb="FF1F2A28"/>
        <rFont val="WenQuanYi Zen Hei"/>
        <family val="2"/>
      </rPr>
      <t xml:space="preserve">永和區竹林路</t>
    </r>
    <r>
      <rPr>
        <sz val="10"/>
        <color rgb="FF1F2A28"/>
        <rFont val="Arial"/>
        <family val="0"/>
        <charset val="1"/>
      </rPr>
      <t xml:space="preserve">76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72</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</si>
  <si>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(02)2921-1586</t>
  </si>
  <si>
    <t xml:space="preserve">林玉坪</t>
  </si>
  <si>
    <t xml:space="preserve">巨匠電腦股份有限公司附設私立巨匠電腦文理技藝短期補習班永和一分班</t>
  </si>
  <si>
    <r>
      <rPr>
        <sz val="10"/>
        <color rgb="FF1F2A28"/>
        <rFont val="WenQuanYi Zen Hei"/>
        <family val="2"/>
      </rPr>
      <t xml:space="preserve">永和區中正路</t>
    </r>
    <r>
      <rPr>
        <sz val="10"/>
        <color rgb="FF1F2A28"/>
        <rFont val="Arial"/>
        <family val="0"/>
        <charset val="1"/>
      </rPr>
      <t xml:space="preserve">746</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</si>
  <si>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(02)29230556</t>
  </si>
  <si>
    <t xml:space="preserve">KE_mailbox@pcschool.com.tw</t>
  </si>
  <si>
    <t xml:space="preserve">2008-02-14</t>
  </si>
  <si>
    <t xml:space="preserve">許瑞貞</t>
  </si>
  <si>
    <r>
      <rPr>
        <sz val="10"/>
        <color rgb="FF1F2A28"/>
        <rFont val="WenQuanYi Zen Hei"/>
        <family val="2"/>
      </rPr>
      <t xml:space="preserve">巨登</t>
    </r>
    <r>
      <rPr>
        <sz val="10"/>
        <color rgb="FF1F2A28"/>
        <rFont val="Arial"/>
        <family val="0"/>
        <charset val="1"/>
      </rPr>
      <t xml:space="preserve">5</t>
    </r>
    <r>
      <rPr>
        <sz val="10"/>
        <color rgb="FF1F2A28"/>
        <rFont val="WenQuanYi Zen Hei"/>
        <family val="2"/>
      </rPr>
      <t xml:space="preserve">文理語文短期補習班</t>
    </r>
  </si>
  <si>
    <r>
      <rPr>
        <sz val="10"/>
        <color rgb="FF1F2A28"/>
        <rFont val="WenQuanYi Zen Hei"/>
        <family val="2"/>
      </rPr>
      <t xml:space="preserve">永和區中山路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213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</si>
  <si>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(02)86607889</t>
  </si>
  <si>
    <r>
      <rPr>
        <sz val="10"/>
        <color rgb="FF1F2A28"/>
        <rFont val="Arial"/>
        <family val="0"/>
        <charset val="1"/>
      </rPr>
      <t xml:space="preserve">(</t>
    </r>
    <r>
      <rPr>
        <sz val="10"/>
        <color rgb="FF1F2A28"/>
        <rFont val="WenQuanYi Zen Hei"/>
        <family val="2"/>
      </rPr>
      <t xml:space="preserve">英文、數學、理化</t>
    </r>
    <r>
      <rPr>
        <sz val="10"/>
        <color rgb="FF1F2A28"/>
        <rFont val="Arial"/>
        <family val="0"/>
        <charset val="1"/>
      </rPr>
      <t xml:space="preserve">)</t>
    </r>
    <r>
      <rPr>
        <sz val="10"/>
        <color rgb="FF1F2A28"/>
        <rFont val="WenQuanYi Zen Hei"/>
        <family val="2"/>
      </rPr>
      <t xml:space="preserve">、英語</t>
    </r>
  </si>
  <si>
    <t xml:space="preserve">郭雅清</t>
  </si>
  <si>
    <t xml:space="preserve">陳浤銓</t>
  </si>
  <si>
    <t xml:space="preserve">快樂馬莉安文理短期補習班</t>
  </si>
  <si>
    <r>
      <rPr>
        <sz val="10"/>
        <color rgb="FF1F2A28"/>
        <rFont val="WenQuanYi Zen Hei"/>
        <family val="2"/>
      </rPr>
      <t xml:space="preserve">永和區竹林路</t>
    </r>
    <r>
      <rPr>
        <sz val="10"/>
        <color rgb="FF1F2A28"/>
        <rFont val="Arial"/>
        <family val="0"/>
        <charset val="1"/>
      </rPr>
      <t xml:space="preserve">176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</si>
  <si>
    <t xml:space="preserve">2929-4589</t>
  </si>
  <si>
    <t xml:space="preserve">1994-07-18</t>
  </si>
  <si>
    <t xml:space="preserve">劉德萍</t>
  </si>
  <si>
    <t xml:space="preserve">成實文理語文短期補習班</t>
  </si>
  <si>
    <r>
      <rPr>
        <sz val="10"/>
        <color rgb="FF1F2A28"/>
        <rFont val="WenQuanYi Zen Hei"/>
        <family val="2"/>
      </rPr>
      <t xml:space="preserve">永和區永利路</t>
    </r>
    <r>
      <rPr>
        <sz val="10"/>
        <color rgb="FF1F2A28"/>
        <rFont val="Arial"/>
        <family val="0"/>
        <charset val="1"/>
      </rPr>
      <t xml:space="preserve">90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</si>
  <si>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(02)29286000</t>
  </si>
  <si>
    <t xml:space="preserve">2011-11-04</t>
  </si>
  <si>
    <t xml:space="preserve">周維利</t>
  </si>
  <si>
    <t xml:space="preserve">秦庭強</t>
  </si>
  <si>
    <t xml:space="preserve">柏克萊美語文理短期補習班</t>
  </si>
  <si>
    <r>
      <rPr>
        <sz val="10"/>
        <color rgb="FF1F2A28"/>
        <rFont val="WenQuanYi Zen Hei"/>
        <family val="2"/>
      </rPr>
      <t xml:space="preserve">永和區保福路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138</t>
    </r>
    <r>
      <rPr>
        <sz val="10"/>
        <color rgb="FF1F2A28"/>
        <rFont val="WenQuanYi Zen Hei"/>
        <family val="2"/>
      </rPr>
      <t xml:space="preserve">、</t>
    </r>
    <r>
      <rPr>
        <sz val="10"/>
        <color rgb="FF1F2A28"/>
        <rFont val="Arial"/>
        <family val="0"/>
        <charset val="1"/>
      </rPr>
      <t xml:space="preserve">142</t>
    </r>
    <r>
      <rPr>
        <sz val="10"/>
        <color rgb="FF1F2A28"/>
        <rFont val="WenQuanYi Zen Hei"/>
        <family val="2"/>
      </rPr>
      <t xml:space="preserve">、</t>
    </r>
    <r>
      <rPr>
        <sz val="10"/>
        <color rgb="FF1F2A28"/>
        <rFont val="Arial"/>
        <family val="0"/>
        <charset val="1"/>
      </rPr>
      <t xml:space="preserve">146</t>
    </r>
    <r>
      <rPr>
        <sz val="10"/>
        <color rgb="FF1F2A28"/>
        <rFont val="WenQuanYi Zen Hei"/>
        <family val="2"/>
      </rPr>
      <t xml:space="preserve">號各</t>
    </r>
    <r>
      <rPr>
        <sz val="10"/>
        <color rgb="FF1F2A28"/>
        <rFont val="Arial"/>
        <family val="0"/>
        <charset val="1"/>
      </rPr>
      <t xml:space="preserve">1</t>
    </r>
    <r>
      <rPr>
        <sz val="10"/>
        <color rgb="FF1F2A28"/>
        <rFont val="WenQuanYi Zen Hei"/>
        <family val="2"/>
      </rPr>
      <t xml:space="preserve">樓</t>
    </r>
  </si>
  <si>
    <t xml:space="preserve">2923-2913</t>
  </si>
  <si>
    <t xml:space="preserve">bkl.chai@msa.hinet.net</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</si>
  <si>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英文、數學、理化</t>
    </r>
    <r>
      <rPr>
        <sz val="10"/>
        <color rgb="FF1F2A28"/>
        <rFont val="Arial"/>
        <family val="0"/>
        <charset val="1"/>
      </rPr>
      <t xml:space="preserve">)</t>
    </r>
    <r>
      <rPr>
        <sz val="10"/>
        <color rgb="FF1F2A28"/>
        <rFont val="WenQuanYi Zen Hei"/>
        <family val="2"/>
      </rPr>
      <t xml:space="preserve">、美語</t>
    </r>
  </si>
  <si>
    <t xml:space="preserve">2000-05-26</t>
  </si>
  <si>
    <t xml:space="preserve">張月華</t>
  </si>
  <si>
    <t xml:space="preserve">當代語文短期補習班</t>
  </si>
  <si>
    <r>
      <rPr>
        <sz val="10"/>
        <color rgb="FF1F2A28"/>
        <rFont val="WenQuanYi Zen Hei"/>
        <family val="2"/>
      </rPr>
      <t xml:space="preserve">永和區得和路</t>
    </r>
    <r>
      <rPr>
        <sz val="10"/>
        <color rgb="FF1F2A28"/>
        <rFont val="Arial"/>
        <family val="0"/>
        <charset val="1"/>
      </rPr>
      <t xml:space="preserve">192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</si>
  <si>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29461241</t>
  </si>
  <si>
    <t xml:space="preserve">1987-01-01</t>
  </si>
  <si>
    <t xml:space="preserve">張黎予</t>
  </si>
  <si>
    <t xml:space="preserve">睿明英語短期補習班</t>
  </si>
  <si>
    <r>
      <rPr>
        <sz val="10"/>
        <color rgb="FF1F2A28"/>
        <rFont val="WenQuanYi Zen Hei"/>
        <family val="2"/>
      </rPr>
      <t xml:space="preserve">永和區得和路</t>
    </r>
    <r>
      <rPr>
        <sz val="10"/>
        <color rgb="FF1F2A28"/>
        <rFont val="Arial"/>
        <family val="0"/>
        <charset val="1"/>
      </rPr>
      <t xml:space="preserve">247</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</si>
  <si>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(02)22315578</t>
  </si>
  <si>
    <t xml:space="preserve">2002-12-03</t>
  </si>
  <si>
    <t xml:space="preserve">葉玫君</t>
  </si>
  <si>
    <t xml:space="preserve">私立上華文理語文短期補習班</t>
  </si>
  <si>
    <r>
      <rPr>
        <sz val="10"/>
        <color rgb="FF1F2A28"/>
        <rFont val="WenQuanYi Zen Hei"/>
        <family val="2"/>
      </rPr>
      <t xml:space="preserve">永和區中山路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160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及</t>
    </r>
    <r>
      <rPr>
        <sz val="10"/>
        <color rgb="FF1F2A28"/>
        <rFont val="Arial"/>
        <family val="0"/>
        <charset val="1"/>
      </rPr>
      <t xml:space="preserve">168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172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</si>
  <si>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(02)2233-1643</t>
  </si>
  <si>
    <t xml:space="preserve">2008-11-18</t>
  </si>
  <si>
    <t xml:space="preserve">劉秀美</t>
  </si>
  <si>
    <t xml:space="preserve">何尚儒</t>
  </si>
  <si>
    <t xml:space="preserve">私立中信文理語文音樂短期補習班</t>
  </si>
  <si>
    <r>
      <rPr>
        <sz val="10"/>
        <color rgb="FF1F2A28"/>
        <rFont val="WenQuanYi Zen Hei"/>
        <family val="2"/>
      </rPr>
      <t xml:space="preserve">永和區竹林路</t>
    </r>
    <r>
      <rPr>
        <sz val="10"/>
        <color rgb="FF1F2A28"/>
        <rFont val="Arial"/>
        <family val="0"/>
        <charset val="1"/>
      </rPr>
      <t xml:space="preserve">91</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t>
    </r>
    <r>
      <rPr>
        <sz val="10"/>
        <color rgb="FF1F2A28"/>
        <rFont val="Arial"/>
        <family val="0"/>
        <charset val="1"/>
      </rPr>
      <t xml:space="preserve">7</t>
    </r>
    <r>
      <rPr>
        <sz val="10"/>
        <color rgb="FF1F2A28"/>
        <rFont val="WenQuanYi Zen Hei"/>
        <family val="2"/>
      </rPr>
      <t xml:space="preserve">號各</t>
    </r>
    <r>
      <rPr>
        <sz val="10"/>
        <color rgb="FF1F2A28"/>
        <rFont val="Arial"/>
        <family val="0"/>
        <charset val="1"/>
      </rPr>
      <t xml:space="preserve">1</t>
    </r>
    <r>
      <rPr>
        <sz val="10"/>
        <color rgb="FF1F2A28"/>
        <rFont val="WenQuanYi Zen Hei"/>
        <family val="2"/>
      </rPr>
      <t xml:space="preserve">樓</t>
    </r>
  </si>
  <si>
    <t xml:space="preserve">(02)8927-2000</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</si>
  <si>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英文、數學</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</si>
  <si>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陳家麒</t>
  </si>
  <si>
    <t xml:space="preserve">楊瑋茹</t>
  </si>
  <si>
    <t xml:space="preserve">私立仁碩語文文理短期補習班</t>
  </si>
  <si>
    <r>
      <rPr>
        <sz val="10"/>
        <color rgb="FF1F2A28"/>
        <rFont val="WenQuanYi Zen Hei"/>
        <family val="2"/>
      </rPr>
      <t xml:space="preserve">永和區民權路</t>
    </r>
    <r>
      <rPr>
        <sz val="10"/>
        <color rgb="FF1F2A28"/>
        <rFont val="Arial"/>
        <family val="0"/>
        <charset val="1"/>
      </rPr>
      <t xml:space="preserve">39</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樓</t>
    </r>
  </si>
  <si>
    <t xml:space="preserve">(02)29491217</t>
  </si>
  <si>
    <t xml:space="preserve">jogy0717@gmail.com</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</si>
  <si>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國文、英文、數學、社會、自然與生活科技</t>
    </r>
    <r>
      <rPr>
        <sz val="10"/>
        <color rgb="FF1F2A28"/>
        <rFont val="Arial"/>
        <family val="0"/>
        <charset val="1"/>
      </rPr>
      <t xml:space="preserve">)</t>
    </r>
  </si>
  <si>
    <t xml:space="preserve">李冠賢</t>
  </si>
  <si>
    <t xml:space="preserve">私立凱新美語短期補習班</t>
  </si>
  <si>
    <r>
      <rPr>
        <sz val="10"/>
        <color rgb="FF1F2A28"/>
        <rFont val="WenQuanYi Zen Hei"/>
        <family val="2"/>
      </rPr>
      <t xml:space="preserve">永和區保順路</t>
    </r>
    <r>
      <rPr>
        <sz val="10"/>
        <color rgb="FF1F2A28"/>
        <rFont val="Arial"/>
        <family val="0"/>
        <charset val="1"/>
      </rPr>
      <t xml:space="preserve">53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</si>
  <si>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(02)8231-3003</t>
  </si>
  <si>
    <t xml:space="preserve">shihching1027@gmail.com</t>
  </si>
  <si>
    <t xml:space="preserve">2004-07-02</t>
  </si>
  <si>
    <t xml:space="preserve">周月英</t>
  </si>
  <si>
    <t xml:space="preserve">私立夏悅英語短期補習班</t>
  </si>
  <si>
    <r>
      <rPr>
        <sz val="10"/>
        <color rgb="FF1F2A28"/>
        <rFont val="WenQuanYi Zen Hei"/>
        <family val="2"/>
      </rPr>
      <t xml:space="preserve">永和區中正路</t>
    </r>
    <r>
      <rPr>
        <sz val="10"/>
        <color rgb="FF1F2A28"/>
        <rFont val="Arial"/>
        <family val="0"/>
        <charset val="1"/>
      </rPr>
      <t xml:space="preserve">608</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</si>
  <si>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89216808</t>
  </si>
  <si>
    <t xml:space="preserve">2000-03-01</t>
  </si>
  <si>
    <t xml:space="preserve">江國禎</t>
  </si>
  <si>
    <t xml:space="preserve">私立奧林匹克資優文理語文短期補習班</t>
  </si>
  <si>
    <r>
      <rPr>
        <sz val="10"/>
        <color rgb="FF1F2A28"/>
        <rFont val="WenQuanYi Zen Hei"/>
        <family val="2"/>
      </rPr>
      <t xml:space="preserve">永和區福和路</t>
    </r>
    <r>
      <rPr>
        <sz val="10"/>
        <color rgb="FF1F2A28"/>
        <rFont val="Arial"/>
        <family val="0"/>
        <charset val="1"/>
      </rPr>
      <t xml:space="preserve">213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</si>
  <si>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(02)29214189</t>
  </si>
  <si>
    <t xml:space="preserve">2016-02-24</t>
  </si>
  <si>
    <t xml:space="preserve">郭亞鑫</t>
  </si>
  <si>
    <t xml:space="preserve">陳依凡</t>
  </si>
  <si>
    <t xml:space="preserve">私立學兒樂語文珠算短期補習班</t>
  </si>
  <si>
    <r>
      <rPr>
        <sz val="10"/>
        <color rgb="FF1F2A28"/>
        <rFont val="WenQuanYi Zen Hei"/>
        <family val="2"/>
      </rPr>
      <t xml:space="preserve">永和區秀安街</t>
    </r>
    <r>
      <rPr>
        <sz val="10"/>
        <color rgb="FF1F2A28"/>
        <rFont val="Arial"/>
        <family val="0"/>
        <charset val="1"/>
      </rPr>
      <t xml:space="preserve">7</t>
    </r>
    <r>
      <rPr>
        <sz val="10"/>
        <color rgb="FF1F2A28"/>
        <rFont val="WenQuanYi Zen Hei"/>
        <family val="2"/>
      </rPr>
      <t xml:space="preserve">號</t>
    </r>
  </si>
  <si>
    <t xml:space="preserve">(02)89219546</t>
  </si>
  <si>
    <t xml:space="preserve">hazel751203@gmail.com</t>
  </si>
  <si>
    <t xml:space="preserve">2002-10-01</t>
  </si>
  <si>
    <t xml:space="preserve">胡裕新</t>
  </si>
  <si>
    <t xml:space="preserve">吳臻婗</t>
  </si>
  <si>
    <t xml:space="preserve">私立安加語文珠算短期補習班</t>
  </si>
  <si>
    <r>
      <rPr>
        <sz val="10"/>
        <color rgb="FF1F2A28"/>
        <rFont val="WenQuanYi Zen Hei"/>
        <family val="2"/>
      </rPr>
      <t xml:space="preserve">永和區竹林路</t>
    </r>
    <r>
      <rPr>
        <sz val="10"/>
        <color rgb="FF1F2A28"/>
        <rFont val="Arial"/>
        <family val="0"/>
        <charset val="1"/>
      </rPr>
      <t xml:space="preserve">115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樓；永和區竹林路</t>
    </r>
    <r>
      <rPr>
        <sz val="10"/>
        <color rgb="FF1F2A28"/>
        <rFont val="Arial"/>
        <family val="0"/>
        <charset val="1"/>
      </rPr>
      <t xml:space="preserve">109</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</si>
  <si>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89266888</t>
  </si>
  <si>
    <t xml:space="preserve">615719@yahoo.com.tw</t>
  </si>
  <si>
    <t xml:space="preserve">沈書玉</t>
  </si>
  <si>
    <t xml:space="preserve">私立小畫家文理語文美術短期補習班</t>
  </si>
  <si>
    <r>
      <rPr>
        <sz val="10"/>
        <color rgb="FF1F2A28"/>
        <rFont val="WenQuanYi Zen Hei"/>
        <family val="2"/>
      </rPr>
      <t xml:space="preserve">永和區秀安街</t>
    </r>
    <r>
      <rPr>
        <sz val="10"/>
        <color rgb="FF1F2A28"/>
        <rFont val="Arial"/>
        <family val="0"/>
        <charset val="1"/>
      </rPr>
      <t xml:space="preserve">19</t>
    </r>
    <r>
      <rPr>
        <sz val="10"/>
        <color rgb="FF1F2A28"/>
        <rFont val="WenQuanYi Zen Hei"/>
        <family val="2"/>
      </rPr>
      <t xml:space="preserve">號、秀朗路一段</t>
    </r>
    <r>
      <rPr>
        <sz val="10"/>
        <color rgb="FF1F2A28"/>
        <rFont val="Arial"/>
        <family val="0"/>
        <charset val="1"/>
      </rPr>
      <t xml:space="preserve">110</t>
    </r>
    <r>
      <rPr>
        <sz val="10"/>
        <color rgb="FF1F2A28"/>
        <rFont val="WenQuanYi Zen Hei"/>
        <family val="2"/>
      </rPr>
      <t xml:space="preserve">、</t>
    </r>
    <r>
      <rPr>
        <sz val="10"/>
        <color rgb="FF1F2A28"/>
        <rFont val="Arial"/>
        <family val="0"/>
        <charset val="1"/>
      </rPr>
      <t xml:space="preserve">173</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</si>
  <si>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3233-3560</t>
  </si>
  <si>
    <t xml:space="preserve">paohsi36@gmail.com.tw</t>
  </si>
  <si>
    <t xml:space="preserve">2001-05-23</t>
  </si>
  <si>
    <t xml:space="preserve">許寶惜</t>
  </si>
  <si>
    <t xml:space="preserve">私立常松生物科技股份有限公司附設臺北縣小太陽美學語文音樂珠算短期補習班</t>
  </si>
  <si>
    <r>
      <rPr>
        <sz val="10"/>
        <color rgb="FF1F2A28"/>
        <rFont val="WenQuanYi Zen Hei"/>
        <family val="2"/>
      </rPr>
      <t xml:space="preserve">永和區仁愛路</t>
    </r>
    <r>
      <rPr>
        <sz val="10"/>
        <color rgb="FF1F2A28"/>
        <rFont val="Arial"/>
        <family val="0"/>
        <charset val="1"/>
      </rPr>
      <t xml:space="preserve">306</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弄</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</si>
  <si>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(02)22315998*9</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</si>
  <si>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商類：珠算、心算、會計</t>
    </r>
  </si>
  <si>
    <t xml:space="preserve">2010-08-16</t>
  </si>
  <si>
    <t xml:space="preserve">楊揚</t>
  </si>
  <si>
    <t xml:space="preserve">蔡宜珮</t>
  </si>
  <si>
    <t xml:space="preserve">私立快樂村文理語文短期補習班</t>
  </si>
  <si>
    <r>
      <rPr>
        <sz val="10"/>
        <color rgb="FF1F2A28"/>
        <rFont val="WenQuanYi Zen Hei"/>
        <family val="2"/>
      </rPr>
      <t xml:space="preserve">永和區秀安街</t>
    </r>
    <r>
      <rPr>
        <sz val="10"/>
        <color rgb="FF1F2A28"/>
        <rFont val="Arial"/>
        <family val="0"/>
        <charset val="1"/>
      </rPr>
      <t xml:space="preserve">5</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</si>
  <si>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(02)89230188</t>
  </si>
  <si>
    <t xml:space="preserve">sondrataiwan@gmail.com</t>
  </si>
  <si>
    <t xml:space="preserve">2016-02-22</t>
  </si>
  <si>
    <t xml:space="preserve">黃紀釗</t>
  </si>
  <si>
    <t xml:space="preserve">盧巧紋</t>
  </si>
  <si>
    <t xml:space="preserve">私立愉耳美語短期補習班</t>
  </si>
  <si>
    <r>
      <rPr>
        <sz val="10"/>
        <color rgb="FF1F2A28"/>
        <rFont val="WenQuanYi Zen Hei"/>
        <family val="2"/>
      </rPr>
      <t xml:space="preserve">永和區水源街</t>
    </r>
    <r>
      <rPr>
        <sz val="10"/>
        <color rgb="FF1F2A28"/>
        <rFont val="Arial"/>
        <family val="0"/>
        <charset val="1"/>
      </rPr>
      <t xml:space="preserve">43</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</si>
  <si>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(02)2926-6647</t>
  </si>
  <si>
    <t xml:space="preserve">2015-02-09</t>
  </si>
  <si>
    <t xml:space="preserve">陳巧婕</t>
  </si>
  <si>
    <t xml:space="preserve">私立文穩的文理短期補習班</t>
  </si>
  <si>
    <r>
      <rPr>
        <sz val="10"/>
        <color rgb="FF1F2A28"/>
        <rFont val="WenQuanYi Zen Hei"/>
        <family val="2"/>
      </rPr>
      <t xml:space="preserve">永和區福和路</t>
    </r>
    <r>
      <rPr>
        <sz val="10"/>
        <color rgb="FF1F2A28"/>
        <rFont val="Arial"/>
        <family val="0"/>
        <charset val="1"/>
      </rPr>
      <t xml:space="preserve">157</t>
    </r>
    <r>
      <rPr>
        <sz val="10"/>
        <color rgb="FF1F2A28"/>
        <rFont val="WenQuanYi Zen Hei"/>
        <family val="2"/>
      </rPr>
      <t xml:space="preserve">號</t>
    </r>
    <r>
      <rPr>
        <sz val="10"/>
        <color rgb="FF1F2A28"/>
        <rFont val="Arial"/>
        <family val="0"/>
        <charset val="1"/>
      </rPr>
      <t xml:space="preserve">10</t>
    </r>
    <r>
      <rPr>
        <sz val="10"/>
        <color rgb="FF1F2A28"/>
        <rFont val="WenQuanYi Zen Hei"/>
        <family val="2"/>
      </rPr>
      <t xml:space="preserve">樓</t>
    </r>
  </si>
  <si>
    <t xml:space="preserve">0280211086</t>
  </si>
  <si>
    <t xml:space="preserve">張賴任</t>
  </si>
  <si>
    <t xml:space="preserve">張皓鈞</t>
  </si>
  <si>
    <t xml:space="preserve">私立新佳美文理語文短期補習班</t>
  </si>
  <si>
    <r>
      <rPr>
        <sz val="10"/>
        <color rgb="FF1F2A28"/>
        <rFont val="WenQuanYi Zen Hei"/>
        <family val="2"/>
      </rPr>
      <t xml:space="preserve">永和區中正路</t>
    </r>
    <r>
      <rPr>
        <sz val="10"/>
        <color rgb="FF1F2A28"/>
        <rFont val="Arial"/>
        <family val="0"/>
        <charset val="1"/>
      </rPr>
      <t xml:space="preserve">412</t>
    </r>
    <r>
      <rPr>
        <sz val="10"/>
        <color rgb="FF1F2A28"/>
        <rFont val="WenQuanYi Zen Hei"/>
        <family val="2"/>
      </rPr>
      <t xml:space="preserve">巷</t>
    </r>
    <r>
      <rPr>
        <sz val="10"/>
        <color rgb="FF1F2A28"/>
        <rFont val="Arial"/>
        <family val="0"/>
        <charset val="1"/>
      </rPr>
      <t xml:space="preserve">4</t>
    </r>
    <r>
      <rPr>
        <sz val="10"/>
        <color rgb="FF1F2A28"/>
        <rFont val="WenQuanYi Zen Hei"/>
        <family val="2"/>
      </rPr>
      <t xml:space="preserve">弄</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</si>
  <si>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(02)2928-7789</t>
  </si>
  <si>
    <t xml:space="preserve">yaoldtoo@gmail.com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</si>
  <si>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國語、英文、數學、自然與生活科技、社會</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</si>
  <si>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2009-10-26</t>
  </si>
  <si>
    <t xml:space="preserve">葉政侃</t>
  </si>
  <si>
    <t xml:space="preserve">私立易智堡文理語文短期補習班</t>
  </si>
  <si>
    <r>
      <rPr>
        <sz val="10"/>
        <color rgb="FF1F2A28"/>
        <rFont val="WenQuanYi Zen Hei"/>
        <family val="2"/>
      </rPr>
      <t xml:space="preserve">永和區竹林路</t>
    </r>
    <r>
      <rPr>
        <sz val="10"/>
        <color rgb="FF1F2A28"/>
        <rFont val="Arial"/>
        <family val="0"/>
        <charset val="1"/>
      </rPr>
      <t xml:space="preserve">85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</si>
  <si>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(02)8928-3693</t>
  </si>
  <si>
    <t xml:space="preserve">2001-01-15</t>
  </si>
  <si>
    <t xml:space="preserve">許時興</t>
  </si>
  <si>
    <t xml:space="preserve">蔡俊男</t>
  </si>
  <si>
    <t xml:space="preserve">私立晨暉語文文理短期補習班</t>
  </si>
  <si>
    <r>
      <rPr>
        <sz val="10"/>
        <color rgb="FF1F2A28"/>
        <rFont val="WenQuanYi Zen Hei"/>
        <family val="2"/>
      </rPr>
      <t xml:space="preserve">永和區得和路</t>
    </r>
    <r>
      <rPr>
        <sz val="10"/>
        <color rgb="FF1F2A28"/>
        <rFont val="Arial"/>
        <family val="0"/>
        <charset val="1"/>
      </rPr>
      <t xml:space="preserve">243</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</si>
  <si>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(02)29273385</t>
  </si>
  <si>
    <t xml:space="preserve">2007-09-29</t>
  </si>
  <si>
    <t xml:space="preserve">侯志宏</t>
  </si>
  <si>
    <t xml:space="preserve">私立智慧樹美語短期補習班</t>
  </si>
  <si>
    <r>
      <rPr>
        <sz val="10"/>
        <color rgb="FF1F2A28"/>
        <rFont val="WenQuanYi Zen Hei"/>
        <family val="2"/>
      </rPr>
      <t xml:space="preserve">永和區安樂路</t>
    </r>
    <r>
      <rPr>
        <sz val="10"/>
        <color rgb="FF1F2A28"/>
        <rFont val="Arial"/>
        <family val="0"/>
        <charset val="1"/>
      </rPr>
      <t xml:space="preserve">148</t>
    </r>
    <r>
      <rPr>
        <sz val="10"/>
        <color rgb="FF1F2A28"/>
        <rFont val="WenQuanYi Zen Hei"/>
        <family val="2"/>
      </rPr>
      <t xml:space="preserve">號及</t>
    </r>
    <r>
      <rPr>
        <sz val="10"/>
        <color rgb="FF1F2A28"/>
        <rFont val="Arial"/>
        <family val="0"/>
        <charset val="1"/>
      </rPr>
      <t xml:space="preserve">150</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154</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</si>
  <si>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(02)2943-6090</t>
  </si>
  <si>
    <t xml:space="preserve">戴昱晞</t>
  </si>
  <si>
    <t xml:space="preserve">私立杰城文理短期補習班</t>
  </si>
  <si>
    <r>
      <rPr>
        <sz val="10"/>
        <color rgb="FF1F2A28"/>
        <rFont val="WenQuanYi Zen Hei"/>
        <family val="2"/>
      </rPr>
      <t xml:space="preserve">永和區中正路</t>
    </r>
    <r>
      <rPr>
        <sz val="10"/>
        <color rgb="FF1F2A28"/>
        <rFont val="Arial"/>
        <family val="0"/>
        <charset val="1"/>
      </rPr>
      <t xml:space="preserve">476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層及</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</si>
  <si>
    <t xml:space="preserve">0222331895</t>
  </si>
  <si>
    <t xml:space="preserve">2025-02-20</t>
  </si>
  <si>
    <t xml:space="preserve">周杰逸</t>
  </si>
  <si>
    <t xml:space="preserve">陳冠劭</t>
  </si>
  <si>
    <t xml:space="preserve">私立橙芯文理短期補習班</t>
  </si>
  <si>
    <r>
      <rPr>
        <sz val="10"/>
        <color rgb="FF1F2A28"/>
        <rFont val="WenQuanYi Zen Hei"/>
        <family val="2"/>
      </rPr>
      <t xml:space="preserve">永和區民權路</t>
    </r>
    <r>
      <rPr>
        <sz val="10"/>
        <color rgb="FF1F2A28"/>
        <rFont val="Arial"/>
        <family val="0"/>
        <charset val="1"/>
      </rPr>
      <t xml:space="preserve">55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</si>
  <si>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(02)2940-0189</t>
  </si>
  <si>
    <t xml:space="preserve">蕭韋民</t>
  </si>
  <si>
    <t xml:space="preserve">私立欣儀語文短期補習班</t>
  </si>
  <si>
    <r>
      <rPr>
        <sz val="10"/>
        <color rgb="FF1F2A28"/>
        <rFont val="WenQuanYi Zen Hei"/>
        <family val="2"/>
      </rPr>
      <t xml:space="preserve">永和區中正路</t>
    </r>
    <r>
      <rPr>
        <sz val="10"/>
        <color rgb="FF1F2A28"/>
        <rFont val="Arial"/>
        <family val="0"/>
        <charset val="1"/>
      </rPr>
      <t xml:space="preserve">368</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弄</t>
    </r>
    <r>
      <rPr>
        <sz val="10"/>
        <color rgb="FF1F2A28"/>
        <rFont val="Arial"/>
        <family val="0"/>
        <charset val="1"/>
      </rPr>
      <t xml:space="preserve">82</t>
    </r>
    <r>
      <rPr>
        <sz val="10"/>
        <color rgb="FF1F2A28"/>
        <rFont val="WenQuanYi Zen Hei"/>
        <family val="2"/>
      </rPr>
      <t xml:space="preserve">號</t>
    </r>
  </si>
  <si>
    <t xml:space="preserve">(02)89237697</t>
  </si>
  <si>
    <t xml:space="preserve">2007-01-29</t>
  </si>
  <si>
    <t xml:space="preserve">林郁惠</t>
  </si>
  <si>
    <t xml:space="preserve">沈敏華</t>
  </si>
  <si>
    <t xml:space="preserve">私立正樺文理語文短期補習班</t>
  </si>
  <si>
    <r>
      <rPr>
        <sz val="10"/>
        <color rgb="FF1F2A28"/>
        <rFont val="WenQuanYi Zen Hei"/>
        <family val="2"/>
      </rPr>
      <t xml:space="preserve">永和區保生路</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</si>
  <si>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(02)2233-1997</t>
  </si>
  <si>
    <t xml:space="preserve">j22331997@gmail.com</t>
  </si>
  <si>
    <t xml:space="preserve">2006-08-09</t>
  </si>
  <si>
    <t xml:space="preserve">黃佳琪</t>
  </si>
  <si>
    <t xml:space="preserve">私立正華文理語文短期補習班</t>
  </si>
  <si>
    <r>
      <rPr>
        <sz val="10"/>
        <color rgb="FF1F2A28"/>
        <rFont val="WenQuanYi Zen Hei"/>
        <family val="2"/>
      </rPr>
      <t xml:space="preserve">永和區保生路</t>
    </r>
    <r>
      <rPr>
        <sz val="10"/>
        <color rgb="FF1F2A28"/>
        <rFont val="Arial"/>
        <family val="0"/>
        <charset val="1"/>
      </rPr>
      <t xml:space="preserve">36</t>
    </r>
    <r>
      <rPr>
        <sz val="10"/>
        <color rgb="FF1F2A28"/>
        <rFont val="WenQuanYi Zen Hei"/>
        <family val="2"/>
      </rPr>
      <t xml:space="preserve">號及</t>
    </r>
    <r>
      <rPr>
        <sz val="10"/>
        <color rgb="FF1F2A28"/>
        <rFont val="Arial"/>
        <family val="0"/>
        <charset val="1"/>
      </rPr>
      <t xml:space="preserve">38</t>
    </r>
    <r>
      <rPr>
        <sz val="10"/>
        <color rgb="FF1F2A28"/>
        <rFont val="WenQuanYi Zen Hei"/>
        <family val="2"/>
      </rPr>
      <t xml:space="preserve">號各一、二層</t>
    </r>
  </si>
  <si>
    <t xml:space="preserve">(02)22331997</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</si>
  <si>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法政類</t>
    </r>
  </si>
  <si>
    <t xml:space="preserve">錢思齊</t>
  </si>
  <si>
    <t xml:space="preserve">私立睿智永和文理短期補習班</t>
  </si>
  <si>
    <r>
      <rPr>
        <sz val="10"/>
        <color rgb="FF1F2A28"/>
        <rFont val="WenQuanYi Zen Hei"/>
        <family val="2"/>
      </rPr>
      <t xml:space="preserve">永和區中正路</t>
    </r>
    <r>
      <rPr>
        <sz val="10"/>
        <color rgb="FF1F2A28"/>
        <rFont val="Arial"/>
        <family val="0"/>
        <charset val="1"/>
      </rPr>
      <t xml:space="preserve">253</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2</t>
    </r>
  </si>
  <si>
    <t xml:space="preserve">(02)29280158</t>
  </si>
  <si>
    <t xml:space="preserve">acesyh58@gmail.com</t>
  </si>
  <si>
    <t xml:space="preserve">2004-11-10</t>
  </si>
  <si>
    <t xml:space="preserve">林千巧</t>
  </si>
  <si>
    <t xml:space="preserve">私立知識樹語文短期補習班</t>
  </si>
  <si>
    <r>
      <rPr>
        <sz val="10"/>
        <color rgb="FF1F2A28"/>
        <rFont val="WenQuanYi Zen Hei"/>
        <family val="2"/>
      </rPr>
      <t xml:space="preserve">永和區安樂路</t>
    </r>
    <r>
      <rPr>
        <sz val="10"/>
        <color rgb="FF1F2A28"/>
        <rFont val="Arial"/>
        <family val="0"/>
        <charset val="1"/>
      </rPr>
      <t xml:space="preserve">152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</si>
  <si>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(02)2949-3627</t>
  </si>
  <si>
    <t xml:space="preserve">2013-03-05</t>
  </si>
  <si>
    <t xml:space="preserve">王俐雯</t>
  </si>
  <si>
    <t xml:space="preserve">私立碩捷美語文理短期補習班</t>
  </si>
  <si>
    <r>
      <rPr>
        <sz val="10"/>
        <color rgb="FF1F2A28"/>
        <rFont val="WenQuanYi Zen Hei"/>
        <family val="2"/>
      </rPr>
      <t xml:space="preserve">永和區民權路</t>
    </r>
    <r>
      <rPr>
        <sz val="10"/>
        <color rgb="FF1F2A28"/>
        <rFont val="Arial"/>
        <family val="0"/>
        <charset val="1"/>
      </rPr>
      <t xml:space="preserve">53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3</t>
    </r>
  </si>
  <si>
    <t xml:space="preserve">0229495052</t>
  </si>
  <si>
    <t xml:space="preserve">y29495052@gmail.com</t>
  </si>
  <si>
    <t xml:space="preserve">美語、英、數、理、國</t>
  </si>
  <si>
    <t xml:space="preserve">2011-01-13</t>
  </si>
  <si>
    <t xml:space="preserve">楊重羿</t>
  </si>
  <si>
    <t xml:space="preserve">私立禾登文理短期補習班</t>
  </si>
  <si>
    <r>
      <rPr>
        <sz val="10"/>
        <color rgb="FF1F2A28"/>
        <rFont val="WenQuanYi Zen Hei"/>
        <family val="2"/>
      </rPr>
      <t xml:space="preserve">永和區永利路</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合併</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48</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t>
    </r>
  </si>
  <si>
    <t xml:space="preserve">(02)89219733</t>
  </si>
  <si>
    <t xml:space="preserve">2003-07-21</t>
  </si>
  <si>
    <t xml:space="preserve">劉星</t>
  </si>
  <si>
    <t xml:space="preserve">私立穩成文理短期補習班</t>
  </si>
  <si>
    <r>
      <rPr>
        <sz val="10"/>
        <color rgb="FF1F2A28"/>
        <rFont val="WenQuanYi Zen Hei"/>
        <family val="2"/>
      </rPr>
      <t xml:space="preserve">永和區福和路</t>
    </r>
    <r>
      <rPr>
        <sz val="10"/>
        <color rgb="FF1F2A28"/>
        <rFont val="Arial"/>
        <family val="0"/>
        <charset val="1"/>
      </rPr>
      <t xml:space="preserve">289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</si>
  <si>
    <t xml:space="preserve">0222310582</t>
  </si>
  <si>
    <t xml:space="preserve">2025-09-19</t>
  </si>
  <si>
    <t xml:space="preserve">陳柔綾</t>
  </si>
  <si>
    <t xml:space="preserve">私立立盛語文文理短期補習班</t>
  </si>
  <si>
    <r>
      <rPr>
        <sz val="10"/>
        <color rgb="FF1F2A28"/>
        <rFont val="WenQuanYi Zen Hei"/>
        <family val="2"/>
      </rPr>
      <t xml:space="preserve">永和區民權路</t>
    </r>
    <r>
      <rPr>
        <sz val="10"/>
        <color rgb="FF1F2A28"/>
        <rFont val="Arial"/>
        <family val="0"/>
        <charset val="1"/>
      </rPr>
      <t xml:space="preserve">36</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</si>
  <si>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(02)86689969</t>
  </si>
  <si>
    <t xml:space="preserve">國、英、數、理、英文</t>
  </si>
  <si>
    <t xml:space="preserve">劉文智</t>
  </si>
  <si>
    <t xml:space="preserve">陳煜靜</t>
  </si>
  <si>
    <t xml:space="preserve">私立精英文理短期補習班</t>
  </si>
  <si>
    <r>
      <rPr>
        <sz val="10"/>
        <color rgb="FF1F2A28"/>
        <rFont val="WenQuanYi Zen Hei"/>
        <family val="2"/>
      </rPr>
      <t xml:space="preserve">永和區福和路</t>
    </r>
    <r>
      <rPr>
        <sz val="10"/>
        <color rgb="FF1F2A28"/>
        <rFont val="Arial"/>
        <family val="0"/>
        <charset val="1"/>
      </rPr>
      <t xml:space="preserve">213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</si>
  <si>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(02)29209756</t>
  </si>
  <si>
    <t xml:space="preserve">1996-06-03</t>
  </si>
  <si>
    <t xml:space="preserve">劉恆君</t>
  </si>
  <si>
    <t xml:space="preserve">私立育田文理短期補習班</t>
  </si>
  <si>
    <r>
      <rPr>
        <sz val="10"/>
        <color rgb="FF1F2A28"/>
        <rFont val="WenQuanYi Zen Hei"/>
        <family val="2"/>
      </rPr>
      <t xml:space="preserve">永和區得和路</t>
    </r>
    <r>
      <rPr>
        <sz val="10"/>
        <color rgb="FF1F2A28"/>
        <rFont val="Arial"/>
        <family val="0"/>
        <charset val="1"/>
      </rPr>
      <t xml:space="preserve">411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</si>
  <si>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(02)8660-3398</t>
  </si>
  <si>
    <t xml:space="preserve">amy5882003@gmail.com</t>
  </si>
  <si>
    <t xml:space="preserve">2012-11-20</t>
  </si>
  <si>
    <t xml:space="preserve">古美鳳</t>
  </si>
  <si>
    <t xml:space="preserve">古美香</t>
  </si>
  <si>
    <t xml:space="preserve">私立育英階文理語文短期補習班</t>
  </si>
  <si>
    <r>
      <rPr>
        <sz val="10"/>
        <color rgb="FF1F2A28"/>
        <rFont val="WenQuanYi Zen Hei"/>
        <family val="2"/>
      </rPr>
      <t xml:space="preserve">永和區得和路</t>
    </r>
    <r>
      <rPr>
        <sz val="10"/>
        <color rgb="FF1F2A28"/>
        <rFont val="Arial"/>
        <family val="0"/>
        <charset val="1"/>
      </rPr>
      <t xml:space="preserve">281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,273</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r>
      <rPr>
        <sz val="10"/>
        <color rgb="FF1F2A28"/>
        <rFont val="Arial"/>
        <family val="0"/>
        <charset val="1"/>
      </rPr>
      <t xml:space="preserve">7</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7</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7</t>
    </r>
    <r>
      <rPr>
        <sz val="10"/>
        <color rgb="FF1F2A28"/>
        <rFont val="WenQuanYi Zen Hei"/>
        <family val="2"/>
      </rPr>
      <t xml:space="preserve">樓之</t>
    </r>
    <r>
      <rPr>
        <sz val="10"/>
        <color rgb="FF1F2A28"/>
        <rFont val="Arial"/>
        <family val="0"/>
        <charset val="1"/>
      </rPr>
      <t xml:space="preserve">3</t>
    </r>
  </si>
  <si>
    <t xml:space="preserve">(02)8921-7288</t>
  </si>
  <si>
    <t xml:space="preserve">my.step@msa.hinet.net</t>
  </si>
  <si>
    <r>
      <rPr>
        <sz val="10"/>
        <color rgb="FF1F2A28"/>
        <rFont val="WenQuanYi Zen Hei"/>
        <family val="2"/>
      </rPr>
      <t xml:space="preserve">英文、文理</t>
    </r>
    <r>
      <rPr>
        <sz val="10"/>
        <color rgb="FF1F2A28"/>
        <rFont val="Arial"/>
        <family val="0"/>
        <charset val="1"/>
      </rPr>
      <t xml:space="preserve">(</t>
    </r>
    <r>
      <rPr>
        <sz val="10"/>
        <color rgb="FF1F2A28"/>
        <rFont val="WenQuanYi Zen Hei"/>
        <family val="2"/>
      </rPr>
      <t xml:space="preserve">國、英、數、自然</t>
    </r>
    <r>
      <rPr>
        <sz val="10"/>
        <color rgb="FF1F2A28"/>
        <rFont val="Arial"/>
        <family val="0"/>
        <charset val="1"/>
      </rPr>
      <t xml:space="preserve">)</t>
    </r>
  </si>
  <si>
    <t xml:space="preserve">2002-10-02</t>
  </si>
  <si>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吳家樓</t>
    </r>
  </si>
  <si>
    <t xml:space="preserve">吳家樓</t>
  </si>
  <si>
    <t xml:space="preserve">私立莫菲語文短期補習班</t>
  </si>
  <si>
    <r>
      <rPr>
        <sz val="10"/>
        <color rgb="FF1F2A28"/>
        <rFont val="WenQuanYi Zen Hei"/>
        <family val="2"/>
      </rPr>
      <t xml:space="preserve">永和區保生路</t>
    </r>
    <r>
      <rPr>
        <sz val="10"/>
        <color rgb="FF1F2A28"/>
        <rFont val="Arial"/>
        <family val="0"/>
        <charset val="1"/>
      </rPr>
      <t xml:space="preserve">24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</si>
  <si>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(02)89216611</t>
  </si>
  <si>
    <t xml:space="preserve">murphy.english@yahoo.com.tw</t>
  </si>
  <si>
    <t xml:space="preserve">2003-06-19</t>
  </si>
  <si>
    <t xml:space="preserve">陳建利</t>
  </si>
  <si>
    <t xml:space="preserve">私立萬勝文理語文短期補習班</t>
  </si>
  <si>
    <r>
      <rPr>
        <sz val="10"/>
        <color rgb="FF1F2A28"/>
        <rFont val="WenQuanYi Zen Hei"/>
        <family val="2"/>
      </rPr>
      <t xml:space="preserve">永和區福和路</t>
    </r>
    <r>
      <rPr>
        <sz val="10"/>
        <color rgb="FF1F2A28"/>
        <rFont val="Arial"/>
        <family val="0"/>
        <charset val="1"/>
      </rPr>
      <t xml:space="preserve">165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t>
    </r>
    <r>
      <rPr>
        <sz val="10"/>
        <color rgb="FF1F2A28"/>
        <rFont val="Arial"/>
        <family val="0"/>
        <charset val="1"/>
      </rPr>
      <t xml:space="preserve">6</t>
    </r>
    <r>
      <rPr>
        <sz val="10"/>
        <color rgb="FF1F2A28"/>
        <rFont val="WenQuanYi Zen Hei"/>
        <family val="2"/>
      </rPr>
      <t xml:space="preserve">樓</t>
    </r>
  </si>
  <si>
    <t xml:space="preserve">2929-8345</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</si>
  <si>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英、數、自、國</t>
    </r>
    <r>
      <rPr>
        <sz val="10"/>
        <color rgb="FF1F2A28"/>
        <rFont val="Arial"/>
        <family val="0"/>
        <charset val="1"/>
      </rPr>
      <t xml:space="preserve">)</t>
    </r>
  </si>
  <si>
    <t xml:space="preserve">1995-10-28</t>
  </si>
  <si>
    <t xml:space="preserve">高本為</t>
  </si>
  <si>
    <t xml:space="preserve">張人驊</t>
  </si>
  <si>
    <t xml:space="preserve">私立貝林語文短期補習班</t>
  </si>
  <si>
    <r>
      <rPr>
        <sz val="10"/>
        <color rgb="FF1F2A28"/>
        <rFont val="WenQuanYi Zen Hei"/>
        <family val="2"/>
      </rPr>
      <t xml:space="preserve">永和區福和路</t>
    </r>
    <r>
      <rPr>
        <sz val="10"/>
        <color rgb="FF1F2A28"/>
        <rFont val="Arial"/>
        <family val="0"/>
        <charset val="1"/>
      </rPr>
      <t xml:space="preserve">160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</si>
  <si>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89281234</t>
  </si>
  <si>
    <t xml:space="preserve">andrea.dct@msa.hinet.net</t>
  </si>
  <si>
    <t xml:space="preserve">2000-10-17</t>
  </si>
  <si>
    <t xml:space="preserve">王怡真</t>
  </si>
  <si>
    <t xml:space="preserve">楊婷婷</t>
  </si>
  <si>
    <t xml:space="preserve">私立資優哈佛語文珠心算短期補習班</t>
  </si>
  <si>
    <r>
      <rPr>
        <sz val="10"/>
        <color rgb="FF1F2A28"/>
        <rFont val="WenQuanYi Zen Hei"/>
        <family val="2"/>
      </rPr>
      <t xml:space="preserve">永和區民權路</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</si>
  <si>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(02)29481918</t>
  </si>
  <si>
    <t xml:space="preserve">2005-04-25</t>
  </si>
  <si>
    <t xml:space="preserve">林詠溱</t>
  </si>
  <si>
    <t xml:space="preserve">林雅芳</t>
  </si>
  <si>
    <t xml:space="preserve">私立資訊地球村語文有限公司附設國際村語文短期補習班</t>
  </si>
  <si>
    <r>
      <rPr>
        <sz val="10"/>
        <color rgb="FF1F2A28"/>
        <rFont val="WenQuanYi Zen Hei"/>
        <family val="2"/>
      </rPr>
      <t xml:space="preserve">永和區永和路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306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</si>
  <si>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2927-7848</t>
  </si>
  <si>
    <t xml:space="preserve">1993-12-30</t>
  </si>
  <si>
    <t xml:space="preserve">陳中義</t>
  </si>
  <si>
    <t xml:space="preserve">許瑋筑</t>
  </si>
  <si>
    <t xml:space="preserve">私立連升文理短期補習班</t>
  </si>
  <si>
    <r>
      <rPr>
        <sz val="10"/>
        <color rgb="FF1F2A28"/>
        <rFont val="WenQuanYi Zen Hei"/>
        <family val="2"/>
      </rPr>
      <t xml:space="preserve">永和區福和路</t>
    </r>
    <r>
      <rPr>
        <sz val="10"/>
        <color rgb="FF1F2A28"/>
        <rFont val="Arial"/>
        <family val="0"/>
        <charset val="1"/>
      </rPr>
      <t xml:space="preserve">147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149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</si>
  <si>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英文、國語、數學、社會、自然</t>
    </r>
    <r>
      <rPr>
        <sz val="10"/>
        <color rgb="FF1F2A28"/>
        <rFont val="Arial"/>
        <family val="0"/>
        <charset val="1"/>
      </rPr>
      <t xml:space="preserve">)</t>
    </r>
  </si>
  <si>
    <t xml:space="preserve">2021-03-10</t>
  </si>
  <si>
    <t xml:space="preserve">連冠傑</t>
  </si>
  <si>
    <t xml:space="preserve">私立達億文理短期補習班</t>
  </si>
  <si>
    <r>
      <rPr>
        <sz val="10"/>
        <color rgb="FF1F2A28"/>
        <rFont val="WenQuanYi Zen Hei"/>
        <family val="2"/>
      </rPr>
      <t xml:space="preserve">永和區民權路</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2</t>
    </r>
    <r>
      <rPr>
        <sz val="10"/>
        <color rgb="FF1F2A28"/>
        <rFont val="WenQuanYi Zen Hei"/>
        <family val="2"/>
      </rPr>
      <t xml:space="preserve">樓</t>
    </r>
  </si>
  <si>
    <t xml:space="preserve">(02)29413792</t>
  </si>
  <si>
    <r>
      <rPr>
        <sz val="10"/>
        <color rgb="FF1F2A28"/>
        <rFont val="Arial"/>
        <family val="0"/>
        <charset val="1"/>
      </rPr>
      <t xml:space="preserve">(</t>
    </r>
    <r>
      <rPr>
        <sz val="10"/>
        <color rgb="FF1F2A28"/>
        <rFont val="WenQuanYi Zen Hei"/>
        <family val="2"/>
      </rPr>
      <t xml:space="preserve">國語、英文、數學、自然與生活科技</t>
    </r>
    <r>
      <rPr>
        <sz val="10"/>
        <color rgb="FF1F2A28"/>
        <rFont val="Arial"/>
        <family val="0"/>
        <charset val="1"/>
      </rPr>
      <t xml:space="preserve">)</t>
    </r>
  </si>
  <si>
    <t xml:space="preserve">2013-02-04</t>
  </si>
  <si>
    <t xml:space="preserve">沈靈靈香</t>
  </si>
  <si>
    <t xml:space="preserve">私立金恩語文短期補習班</t>
  </si>
  <si>
    <r>
      <rPr>
        <sz val="10"/>
        <color rgb="FF1F2A28"/>
        <rFont val="WenQuanYi Zen Hei"/>
        <family val="2"/>
      </rPr>
      <t xml:space="preserve">永和區民權路</t>
    </r>
    <r>
      <rPr>
        <sz val="10"/>
        <color rgb="FF1F2A28"/>
        <rFont val="Arial"/>
        <family val="0"/>
        <charset val="1"/>
      </rPr>
      <t xml:space="preserve">36</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</si>
  <si>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(02)29470262</t>
  </si>
  <si>
    <t xml:space="preserve">私立鐘韻永福語文珠算短期補習班</t>
  </si>
  <si>
    <r>
      <rPr>
        <sz val="10"/>
        <color rgb="FF1F2A28"/>
        <rFont val="WenQuanYi Zen Hei"/>
        <family val="2"/>
      </rPr>
      <t xml:space="preserve">永和區福和路</t>
    </r>
    <r>
      <rPr>
        <sz val="10"/>
        <color rgb="FF1F2A28"/>
        <rFont val="Arial"/>
        <family val="0"/>
        <charset val="1"/>
      </rPr>
      <t xml:space="preserve">182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r>
      <rPr>
        <sz val="10"/>
        <color rgb="FF1F2A28"/>
        <rFont val="Arial"/>
        <family val="0"/>
        <charset val="1"/>
      </rPr>
      <t xml:space="preserve">184</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</si>
  <si>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29262691</t>
  </si>
  <si>
    <t xml:space="preserve">crchen1211@gmail.com</t>
  </si>
  <si>
    <t xml:space="preserve">1995-02-13</t>
  </si>
  <si>
    <t xml:space="preserve">黃月珠</t>
  </si>
  <si>
    <t xml:space="preserve">私立鴻飛文理語文短期補習班</t>
  </si>
  <si>
    <r>
      <rPr>
        <sz val="10"/>
        <color rgb="FF1F2A28"/>
        <rFont val="WenQuanYi Zen Hei"/>
        <family val="2"/>
      </rPr>
      <t xml:space="preserve">永和區竹林路</t>
    </r>
    <r>
      <rPr>
        <sz val="10"/>
        <color rgb="FF1F2A28"/>
        <rFont val="Arial"/>
        <family val="0"/>
        <charset val="1"/>
      </rPr>
      <t xml:space="preserve">170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174</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</si>
  <si>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(02)2921-0100</t>
  </si>
  <si>
    <t xml:space="preserve">somatesomates@gmail.com</t>
  </si>
  <si>
    <t xml:space="preserve">陳盈如</t>
  </si>
  <si>
    <t xml:space="preserve">遲冬青</t>
  </si>
  <si>
    <t xml:space="preserve">私立點石文理語文短期補習班</t>
  </si>
  <si>
    <r>
      <rPr>
        <sz val="10"/>
        <color rgb="FF1F2A28"/>
        <rFont val="WenQuanYi Zen Hei"/>
        <family val="2"/>
      </rPr>
      <t xml:space="preserve">永和區永元路</t>
    </r>
    <r>
      <rPr>
        <sz val="10"/>
        <color rgb="FF1F2A28"/>
        <rFont val="Arial"/>
        <family val="0"/>
        <charset val="1"/>
      </rPr>
      <t xml:space="preserve">107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</si>
  <si>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(02)2926-1711</t>
  </si>
  <si>
    <t xml:space="preserve">tuoren.te@gmail.com</t>
  </si>
  <si>
    <t xml:space="preserve">2012-04-12</t>
  </si>
  <si>
    <t xml:space="preserve">鄭意澂</t>
  </si>
  <si>
    <t xml:space="preserve">育苗語文短期補習班</t>
  </si>
  <si>
    <r>
      <rPr>
        <sz val="10"/>
        <color rgb="FF1F2A28"/>
        <rFont val="WenQuanYi Zen Hei"/>
        <family val="2"/>
      </rPr>
      <t xml:space="preserve">永和區林森路</t>
    </r>
    <r>
      <rPr>
        <sz val="10"/>
        <color rgb="FF1F2A28"/>
        <rFont val="Arial"/>
        <family val="0"/>
        <charset val="1"/>
      </rPr>
      <t xml:space="preserve">40</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弄</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</si>
  <si>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(02)29273965</t>
  </si>
  <si>
    <t xml:space="preserve">2011-01-21</t>
  </si>
  <si>
    <t xml:space="preserve">趙雁君</t>
  </si>
  <si>
    <t xml:space="preserve">英世代語文短期補習班</t>
  </si>
  <si>
    <r>
      <rPr>
        <sz val="10"/>
        <color rgb="FF1F2A28"/>
        <rFont val="WenQuanYi Zen Hei"/>
        <family val="2"/>
      </rPr>
      <t xml:space="preserve">永和區文化路</t>
    </r>
    <r>
      <rPr>
        <sz val="10"/>
        <color rgb="FF1F2A28"/>
        <rFont val="Arial"/>
        <family val="0"/>
        <charset val="1"/>
      </rPr>
      <t xml:space="preserve">188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</si>
  <si>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29255599</t>
  </si>
  <si>
    <t xml:space="preserve">2000-04-27</t>
  </si>
  <si>
    <t xml:space="preserve">廖千慧</t>
  </si>
  <si>
    <t xml:space="preserve">菲妮克思美語短期補習班</t>
  </si>
  <si>
    <r>
      <rPr>
        <sz val="10"/>
        <color rgb="FF1F2A28"/>
        <rFont val="WenQuanYi Zen Hei"/>
        <family val="2"/>
      </rPr>
      <t xml:space="preserve">永和區保福路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88</t>
    </r>
    <r>
      <rPr>
        <sz val="10"/>
        <color rgb="FF1F2A28"/>
        <rFont val="WenQuanYi Zen Hei"/>
        <family val="2"/>
      </rPr>
      <t xml:space="preserve">巷</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</si>
  <si>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(02)22331505</t>
  </si>
  <si>
    <t xml:space="preserve">T4576841@gmail.com</t>
  </si>
  <si>
    <t xml:space="preserve">2008-06-22</t>
  </si>
  <si>
    <t xml:space="preserve">黃秀英</t>
  </si>
  <si>
    <t xml:space="preserve">鄭老師語文短期補習班</t>
  </si>
  <si>
    <r>
      <rPr>
        <sz val="10"/>
        <color rgb="FF1F2A28"/>
        <rFont val="WenQuanYi Zen Hei"/>
        <family val="2"/>
      </rPr>
      <t xml:space="preserve">永和區竹林路</t>
    </r>
    <r>
      <rPr>
        <sz val="10"/>
        <color rgb="FF1F2A28"/>
        <rFont val="Arial"/>
        <family val="0"/>
        <charset val="1"/>
      </rPr>
      <t xml:space="preserve">83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</si>
  <si>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(02)8925-1616</t>
  </si>
  <si>
    <t xml:space="preserve">qookelly0521@yahoo.com.tw</t>
  </si>
  <si>
    <t xml:space="preserve">鄭敏芳</t>
  </si>
  <si>
    <t xml:space="preserve">陽光森林文教股份有限公司臺北縣分公司附設揚光森林語文短期補習班</t>
  </si>
  <si>
    <r>
      <rPr>
        <sz val="10"/>
        <color rgb="FF1F2A28"/>
        <rFont val="WenQuanYi Zen Hei"/>
        <family val="2"/>
      </rPr>
      <t xml:space="preserve">永和區中正路</t>
    </r>
    <r>
      <rPr>
        <sz val="10"/>
        <color rgb="FF1F2A28"/>
        <rFont val="Arial"/>
        <family val="0"/>
        <charset val="1"/>
      </rPr>
      <t xml:space="preserve">226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</si>
  <si>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8923-3388</t>
  </si>
  <si>
    <t xml:space="preserve">張尹齡</t>
  </si>
  <si>
    <t xml:space="preserve">陽光森林文教股份有限公司臺北縣分公司附設陽光小子語文短期補習班</t>
  </si>
  <si>
    <r>
      <rPr>
        <sz val="10"/>
        <color rgb="FF1F2A28"/>
        <rFont val="WenQuanYi Zen Hei"/>
        <family val="2"/>
      </rPr>
      <t xml:space="preserve">永和區中正路</t>
    </r>
    <r>
      <rPr>
        <sz val="10"/>
        <color rgb="FF1F2A28"/>
        <rFont val="Arial"/>
        <family val="0"/>
        <charset val="1"/>
      </rPr>
      <t xml:space="preserve">226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</si>
  <si>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沈珮如</t>
  </si>
  <si>
    <t xml:space="preserve">陽光森林文教股份有限公司附設私立洋光森林文理短期補習班</t>
  </si>
  <si>
    <r>
      <rPr>
        <sz val="10"/>
        <color rgb="FF1F2A28"/>
        <rFont val="WenQuanYi Zen Hei"/>
        <family val="2"/>
      </rPr>
      <t xml:space="preserve">永和區中正路</t>
    </r>
    <r>
      <rPr>
        <sz val="10"/>
        <color rgb="FF1F2A28"/>
        <rFont val="Arial"/>
        <family val="0"/>
        <charset val="1"/>
      </rPr>
      <t xml:space="preserve">65</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t>
    </r>
    <r>
      <rPr>
        <sz val="10"/>
        <color rgb="FF1F2A28"/>
        <rFont val="Arial"/>
        <family val="0"/>
        <charset val="1"/>
      </rPr>
      <t xml:space="preserve">(63</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樓及</t>
    </r>
    <r>
      <rPr>
        <sz val="10"/>
        <color rgb="FF1F2A28"/>
        <rFont val="Arial"/>
        <family val="0"/>
        <charset val="1"/>
      </rPr>
      <t xml:space="preserve">65</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樓併戶</t>
    </r>
    <r>
      <rPr>
        <sz val="10"/>
        <color rgb="FF1F2A28"/>
        <rFont val="Arial"/>
        <family val="0"/>
        <charset val="1"/>
      </rPr>
      <t xml:space="preserve">)</t>
    </r>
  </si>
  <si>
    <t xml:space="preserve">8921-6767</t>
  </si>
  <si>
    <t xml:space="preserve">2004-05-03</t>
  </si>
  <si>
    <t xml:space="preserve">林家綺</t>
  </si>
  <si>
    <t xml:space="preserve">高鼎文理短期補習班</t>
  </si>
  <si>
    <r>
      <rPr>
        <sz val="10"/>
        <color rgb="FF1F2A28"/>
        <rFont val="WenQuanYi Zen Hei"/>
        <family val="2"/>
      </rPr>
      <t xml:space="preserve">永和區福和路</t>
    </r>
    <r>
      <rPr>
        <sz val="10"/>
        <color rgb="FF1F2A28"/>
        <rFont val="Arial"/>
        <family val="0"/>
        <charset val="1"/>
      </rPr>
      <t xml:space="preserve">129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129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</si>
  <si>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(02)2929-3333</t>
  </si>
  <si>
    <t xml:space="preserve">2018-04-19</t>
  </si>
  <si>
    <t xml:space="preserve">邱淑萍</t>
  </si>
  <si>
    <t xml:space="preserve">祁鳳翔</t>
  </si>
  <si>
    <t xml:space="preserve">汐止區</t>
  </si>
  <si>
    <t xml:space="preserve">中國青年救國團附設汐科語文電腦烹飪美容舞蹈短期補習班</t>
  </si>
  <si>
    <r>
      <rPr>
        <sz val="10"/>
        <color rgb="FF1F2A28"/>
        <rFont val="WenQuanYi Zen Hei"/>
        <family val="2"/>
      </rPr>
      <t xml:space="preserve">汐止區新興路</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</si>
  <si>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(02)26429750</t>
  </si>
  <si>
    <t xml:space="preserve">170702@cyc.tw</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</si>
  <si>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美容、美髮理髮類</t>
    </r>
    <r>
      <rPr>
        <sz val="10"/>
        <color rgb="FF1F2A28"/>
        <rFont val="Arial"/>
        <family val="0"/>
        <charset val="1"/>
      </rPr>
      <t xml:space="preserve">,</t>
    </r>
    <r>
      <rPr>
        <sz val="10"/>
        <color rgb="FF1F2A28"/>
        <rFont val="WenQuanYi Zen Hei"/>
        <family val="2"/>
      </rPr>
      <t xml:space="preserve">音樂、舞蹈類</t>
    </r>
  </si>
  <si>
    <t xml:space="preserve">童珮綺</t>
  </si>
  <si>
    <t xml:space="preserve">何嘉仁文教事業股份有限公司附設私立新台文理技藝短期補習班</t>
  </si>
  <si>
    <r>
      <rPr>
        <sz val="10"/>
        <color rgb="FF1F2A28"/>
        <rFont val="WenQuanYi Zen Hei"/>
        <family val="2"/>
      </rPr>
      <t xml:space="preserve">汐止區新台五路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7</t>
    </r>
    <r>
      <rPr>
        <sz val="10"/>
        <color rgb="FF1F2A28"/>
        <rFont val="WenQuanYi Zen Hei"/>
        <family val="2"/>
      </rPr>
      <t xml:space="preserve">、</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樓、忠孝東路</t>
    </r>
    <r>
      <rPr>
        <sz val="10"/>
        <color rgb="FF1F2A28"/>
        <rFont val="Arial"/>
        <family val="0"/>
        <charset val="1"/>
      </rPr>
      <t xml:space="preserve">208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208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</si>
  <si>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(02)86918741</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</si>
  <si>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商類：珠算、心算、會計</t>
    </r>
    <r>
      <rPr>
        <sz val="10"/>
        <color rgb="FF1F2A28"/>
        <rFont val="Arial"/>
        <family val="0"/>
        <charset val="1"/>
      </rPr>
      <t xml:space="preserve">,</t>
    </r>
    <r>
      <rPr>
        <sz val="10"/>
        <color rgb="FF1F2A28"/>
        <rFont val="WenQuanYi Zen Hei"/>
        <family val="2"/>
      </rPr>
      <t xml:space="preserve">其他類</t>
    </r>
  </si>
  <si>
    <t xml:space="preserve">許雅涵</t>
  </si>
  <si>
    <t xml:space="preserve">佳盈英語文理短期補習班</t>
  </si>
  <si>
    <r>
      <rPr>
        <sz val="10"/>
        <color rgb="FF1F2A28"/>
        <rFont val="WenQuanYi Zen Hei"/>
        <family val="2"/>
      </rPr>
      <t xml:space="preserve">汐止區莊敬街</t>
    </r>
    <r>
      <rPr>
        <sz val="10"/>
        <color rgb="FF1F2A28"/>
        <rFont val="Arial"/>
        <family val="0"/>
        <charset val="1"/>
      </rPr>
      <t xml:space="preserve">130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</si>
  <si>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26497438</t>
  </si>
  <si>
    <t xml:space="preserve">joy.julia@msa.hinet.net</t>
  </si>
  <si>
    <t xml:space="preserve">1998-04-28</t>
  </si>
  <si>
    <t xml:space="preserve">蔡孟嘉</t>
  </si>
  <si>
    <t xml:space="preserve">廖寶鴻</t>
  </si>
  <si>
    <t xml:space="preserve">光曜文理語文短期補習班</t>
  </si>
  <si>
    <r>
      <rPr>
        <sz val="10"/>
        <color rgb="FF1F2A28"/>
        <rFont val="WenQuanYi Zen Hei"/>
        <family val="2"/>
      </rPr>
      <t xml:space="preserve">汐止區建成路</t>
    </r>
    <r>
      <rPr>
        <sz val="10"/>
        <color rgb="FF1F2A28"/>
        <rFont val="Arial"/>
        <family val="0"/>
        <charset val="1"/>
      </rPr>
      <t xml:space="preserve">39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</si>
  <si>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(02)26485386</t>
  </si>
  <si>
    <t xml:space="preserve">周怡雯</t>
  </si>
  <si>
    <t xml:space="preserve">黃福昌</t>
  </si>
  <si>
    <t xml:space="preserve">學成文理短期補習班</t>
  </si>
  <si>
    <r>
      <rPr>
        <sz val="10"/>
        <color rgb="FF1F2A28"/>
        <rFont val="WenQuanYi Zen Hei"/>
        <family val="2"/>
      </rPr>
      <t xml:space="preserve">汐止區樟樹二路</t>
    </r>
    <r>
      <rPr>
        <sz val="10"/>
        <color rgb="FF1F2A28"/>
        <rFont val="Arial"/>
        <family val="0"/>
        <charset val="1"/>
      </rPr>
      <t xml:space="preserve">106</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</si>
  <si>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26415515</t>
  </si>
  <si>
    <t xml:space="preserve">hcc541677@gmail.com</t>
  </si>
  <si>
    <t xml:space="preserve">文理（英文、數學、自然）</t>
  </si>
  <si>
    <t xml:space="preserve">黃慶淙</t>
  </si>
  <si>
    <t xml:space="preserve">崴爾森文理美語短期補習班</t>
  </si>
  <si>
    <r>
      <rPr>
        <sz val="10"/>
        <color rgb="FF1F2A28"/>
        <rFont val="WenQuanYi Zen Hei"/>
        <family val="2"/>
      </rPr>
      <t xml:space="preserve">汐止區仁愛路</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樓、秀峰路</t>
    </r>
    <r>
      <rPr>
        <sz val="10"/>
        <color rgb="FF1F2A28"/>
        <rFont val="Arial"/>
        <family val="0"/>
        <charset val="1"/>
      </rPr>
      <t xml:space="preserve">101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</si>
  <si>
    <t xml:space="preserve">(02)8642-3326</t>
  </si>
  <si>
    <t xml:space="preserve">2009-12-15</t>
  </si>
  <si>
    <t xml:space="preserve">劉燕珠</t>
  </si>
  <si>
    <t xml:space="preserve">李進益</t>
  </si>
  <si>
    <t xml:space="preserve">愛生堡美語短期補習班</t>
  </si>
  <si>
    <r>
      <rPr>
        <sz val="10"/>
        <color rgb="FF1F2A28"/>
        <rFont val="WenQuanYi Zen Hei"/>
        <family val="2"/>
      </rPr>
      <t xml:space="preserve">汐止區仁愛路</t>
    </r>
    <r>
      <rPr>
        <sz val="10"/>
        <color rgb="FF1F2A28"/>
        <rFont val="Arial"/>
        <family val="0"/>
        <charset val="1"/>
      </rPr>
      <t xml:space="preserve">124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</si>
  <si>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(02)86919589</t>
  </si>
  <si>
    <t xml:space="preserve">甯麗臻</t>
  </si>
  <si>
    <t xml:space="preserve">政大文理短期補習班</t>
  </si>
  <si>
    <r>
      <rPr>
        <sz val="10"/>
        <color rgb="FF1F2A28"/>
        <rFont val="WenQuanYi Zen Hei"/>
        <family val="2"/>
      </rPr>
      <t xml:space="preserve">汐止區樟樹二路</t>
    </r>
    <r>
      <rPr>
        <sz val="10"/>
        <color rgb="FF1F2A28"/>
        <rFont val="Arial"/>
        <family val="0"/>
        <charset val="1"/>
      </rPr>
      <t xml:space="preserve">108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</si>
  <si>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02-26478287</t>
  </si>
  <si>
    <t xml:space="preserve">go2647.go2500@gmail.com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</si>
  <si>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</si>
  <si>
    <t xml:space="preserve">劉麗卿</t>
  </si>
  <si>
    <t xml:space="preserve">私立一二三文理語文短期補習班</t>
  </si>
  <si>
    <r>
      <rPr>
        <sz val="10"/>
        <color rgb="FF1F2A28"/>
        <rFont val="WenQuanYi Zen Hei"/>
        <family val="2"/>
      </rPr>
      <t xml:space="preserve">汐止區連興街</t>
    </r>
    <r>
      <rPr>
        <sz val="10"/>
        <color rgb="FF1F2A28"/>
        <rFont val="Arial"/>
        <family val="0"/>
        <charset val="1"/>
      </rPr>
      <t xml:space="preserve">46</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</si>
  <si>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(02)26478111</t>
  </si>
  <si>
    <t xml:space="preserve">s123apst@yahoo.com.tw</t>
  </si>
  <si>
    <t xml:space="preserve">2011-08-04</t>
  </si>
  <si>
    <t xml:space="preserve">陳天洲</t>
  </si>
  <si>
    <t xml:space="preserve">袁心怡</t>
  </si>
  <si>
    <t xml:space="preserve">私立佳廣文理技藝短期補習班</t>
  </si>
  <si>
    <r>
      <rPr>
        <sz val="10"/>
        <color rgb="FF1F2A28"/>
        <rFont val="WenQuanYi Zen Hei"/>
        <family val="2"/>
      </rPr>
      <t xml:space="preserve">汐止區新台五路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159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</si>
  <si>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0226497438</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</si>
  <si>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國文、英文、數學、社會、自然</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</si>
  <si>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2026-07-07</t>
  </si>
  <si>
    <t xml:space="preserve">蔡至軒</t>
  </si>
  <si>
    <t xml:space="preserve">私立北大文理語文短期補習班</t>
  </si>
  <si>
    <r>
      <rPr>
        <sz val="10"/>
        <color rgb="FF1F2A28"/>
        <rFont val="WenQuanYi Zen Hei"/>
        <family val="2"/>
      </rPr>
      <t xml:space="preserve">汐止區新台五路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8</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</si>
  <si>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2643-5565</t>
  </si>
  <si>
    <t xml:space="preserve">peita2726@yahoo.com.tw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</si>
  <si>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英、數、自然</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t>
    </r>
    <r>
      <rPr>
        <sz val="10"/>
        <color rgb="FF1F2A28"/>
        <rFont val="Arial"/>
        <family val="0"/>
        <charset val="1"/>
      </rPr>
      <t xml:space="preserve">)</t>
    </r>
  </si>
  <si>
    <t xml:space="preserve">1990-09-22</t>
  </si>
  <si>
    <t xml:space="preserve">朱淑滿</t>
  </si>
  <si>
    <t xml:space="preserve">王秀玲</t>
  </si>
  <si>
    <t xml:space="preserve">私立唯爾文理語文短期補習班</t>
  </si>
  <si>
    <r>
      <rPr>
        <sz val="10"/>
        <color rgb="FF1F2A28"/>
        <rFont val="WenQuanYi Zen Hei"/>
        <family val="2"/>
      </rPr>
      <t xml:space="preserve">汐止區中興路</t>
    </r>
    <r>
      <rPr>
        <sz val="10"/>
        <color rgb="FF1F2A28"/>
        <rFont val="Arial"/>
        <family val="0"/>
        <charset val="1"/>
      </rPr>
      <t xml:space="preserve">142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</si>
  <si>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(02)89631428</t>
  </si>
  <si>
    <t xml:space="preserve">wellschool@gmail.com</t>
  </si>
  <si>
    <t xml:space="preserve">2015-05-21</t>
  </si>
  <si>
    <t xml:space="preserve">私立如皇文理短期補習班</t>
  </si>
  <si>
    <r>
      <rPr>
        <sz val="10"/>
        <color rgb="FF1F2A28"/>
        <rFont val="WenQuanYi Zen Hei"/>
        <family val="2"/>
      </rPr>
      <t xml:space="preserve">汐止區建成路</t>
    </r>
    <r>
      <rPr>
        <sz val="10"/>
        <color rgb="FF1F2A28"/>
        <rFont val="Arial"/>
        <family val="0"/>
        <charset val="1"/>
      </rPr>
      <t xml:space="preserve">56</t>
    </r>
    <r>
      <rPr>
        <sz val="10"/>
        <color rgb="FF1F2A28"/>
        <rFont val="WenQuanYi Zen Hei"/>
        <family val="2"/>
      </rPr>
      <t xml:space="preserve">巷</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41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43(1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45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</si>
  <si>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(02)8691-0888</t>
  </si>
  <si>
    <t xml:space="preserve">蔡鄭玉如</t>
  </si>
  <si>
    <t xml:space="preserve">私立威爾森文理美語短期補習班</t>
  </si>
  <si>
    <r>
      <rPr>
        <sz val="10"/>
        <color rgb="FF1F2A28"/>
        <rFont val="WenQuanYi Zen Hei"/>
        <family val="2"/>
      </rPr>
      <t xml:space="preserve">汐止區仁愛路</t>
    </r>
    <r>
      <rPr>
        <sz val="10"/>
        <color rgb="FF1F2A28"/>
        <rFont val="Arial"/>
        <family val="0"/>
        <charset val="1"/>
      </rPr>
      <t xml:space="preserve">101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樓、仁愛路</t>
    </r>
    <r>
      <rPr>
        <sz val="10"/>
        <color rgb="FF1F2A28"/>
        <rFont val="Arial"/>
        <family val="0"/>
        <charset val="1"/>
      </rPr>
      <t xml:space="preserve">106</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</si>
  <si>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(02)86423326</t>
  </si>
  <si>
    <t xml:space="preserve">2006-09-04</t>
  </si>
  <si>
    <t xml:space="preserve">私立學力文理語文短期補習班</t>
  </si>
  <si>
    <r>
      <rPr>
        <sz val="10"/>
        <color rgb="FF1F2A28"/>
        <rFont val="WenQuanYi Zen Hei"/>
        <family val="2"/>
      </rPr>
      <t xml:space="preserve">汐止區秀峰路</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</si>
  <si>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(02)86921757</t>
  </si>
  <si>
    <t xml:space="preserve">angle_eric@hotmail.com</t>
  </si>
  <si>
    <t xml:space="preserve">邱景禧</t>
  </si>
  <si>
    <t xml:space="preserve">私立學叡語文短期補習班</t>
  </si>
  <si>
    <r>
      <rPr>
        <sz val="10"/>
        <color rgb="FF1F2A28"/>
        <rFont val="WenQuanYi Zen Hei"/>
        <family val="2"/>
      </rPr>
      <t xml:space="preserve">汐止區明峰街</t>
    </r>
    <r>
      <rPr>
        <sz val="10"/>
        <color rgb="FF1F2A28"/>
        <rFont val="Arial"/>
        <family val="0"/>
        <charset val="1"/>
      </rPr>
      <t xml:space="preserve">210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</si>
  <si>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(02)26925160</t>
  </si>
  <si>
    <t xml:space="preserve">邊晟鈺</t>
  </si>
  <si>
    <t xml:space="preserve">私立寶喆語文短期補習班</t>
  </si>
  <si>
    <r>
      <rPr>
        <sz val="10"/>
        <color rgb="FF1F2A28"/>
        <rFont val="WenQuanYi Zen Hei"/>
        <family val="2"/>
      </rPr>
      <t xml:space="preserve">汐止區復興路</t>
    </r>
    <r>
      <rPr>
        <sz val="10"/>
        <color rgb="FF1F2A28"/>
        <rFont val="Arial"/>
        <family val="0"/>
        <charset val="1"/>
      </rPr>
      <t xml:space="preserve">48</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</si>
  <si>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(02)26411253</t>
  </si>
  <si>
    <t xml:space="preserve">2012-03-05</t>
  </si>
  <si>
    <t xml:space="preserve">唐博齊</t>
  </si>
  <si>
    <t xml:space="preserve">唐維澤</t>
  </si>
  <si>
    <t xml:space="preserve">私立小學館語文短期補習班</t>
  </si>
  <si>
    <r>
      <rPr>
        <sz val="10"/>
        <color rgb="FF1F2A28"/>
        <rFont val="WenQuanYi Zen Hei"/>
        <family val="2"/>
      </rPr>
      <t xml:space="preserve">汐止區仁愛路</t>
    </r>
    <r>
      <rPr>
        <sz val="10"/>
        <color rgb="FF1F2A28"/>
        <rFont val="Arial"/>
        <family val="0"/>
        <charset val="1"/>
      </rPr>
      <t xml:space="preserve">63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</si>
  <si>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(02)2647-2178</t>
  </si>
  <si>
    <t xml:space="preserve">呂慧萍</t>
  </si>
  <si>
    <t xml:space="preserve">莊喬連</t>
  </si>
  <si>
    <t xml:space="preserve">私立崇樂文理技藝短期補習班</t>
  </si>
  <si>
    <r>
      <rPr>
        <sz val="10"/>
        <color rgb="FF1F2A28"/>
        <rFont val="WenQuanYi Zen Hei"/>
        <family val="2"/>
      </rPr>
      <t xml:space="preserve">汐止區建成路</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層</t>
    </r>
    <r>
      <rPr>
        <sz val="10"/>
        <color rgb="FF1F2A28"/>
        <rFont val="Arial"/>
        <family val="0"/>
        <charset val="1"/>
      </rPr>
      <t xml:space="preserve">)</t>
    </r>
  </si>
  <si>
    <t xml:space="preserve">0226490737</t>
  </si>
  <si>
    <t xml:space="preserve">林峻霆</t>
  </si>
  <si>
    <t xml:space="preserve">私立建成文理語文工程管理短期補習班</t>
  </si>
  <si>
    <r>
      <rPr>
        <sz val="10"/>
        <color rgb="FF1F2A28"/>
        <rFont val="WenQuanYi Zen Hei"/>
        <family val="2"/>
      </rPr>
      <t xml:space="preserve">汐止區建成路</t>
    </r>
    <r>
      <rPr>
        <sz val="10"/>
        <color rgb="FF1F2A28"/>
        <rFont val="Arial"/>
        <family val="0"/>
        <charset val="1"/>
      </rPr>
      <t xml:space="preserve">56</t>
    </r>
    <r>
      <rPr>
        <sz val="10"/>
        <color rgb="FF1F2A28"/>
        <rFont val="WenQuanYi Zen Hei"/>
        <family val="2"/>
      </rPr>
      <t xml:space="preserve">巷</t>
    </r>
    <r>
      <rPr>
        <sz val="10"/>
        <color rgb="FF1F2A28"/>
        <rFont val="Arial"/>
        <family val="0"/>
        <charset val="1"/>
      </rPr>
      <t xml:space="preserve">69</t>
    </r>
    <r>
      <rPr>
        <sz val="10"/>
        <color rgb="FF1F2A28"/>
        <rFont val="WenQuanYi Zen Hei"/>
        <family val="2"/>
      </rPr>
      <t xml:space="preserve">弄</t>
    </r>
    <r>
      <rPr>
        <sz val="10"/>
        <color rgb="FF1F2A28"/>
        <rFont val="Arial"/>
        <family val="0"/>
        <charset val="1"/>
      </rPr>
      <t xml:space="preserve">7</t>
    </r>
    <r>
      <rPr>
        <sz val="10"/>
        <color rgb="FF1F2A28"/>
        <rFont val="WenQuanYi Zen Hei"/>
        <family val="2"/>
      </rPr>
      <t xml:space="preserve">、</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</si>
  <si>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(02)264-16427</t>
  </si>
  <si>
    <t xml:space="preserve">2011-04-29</t>
  </si>
  <si>
    <t xml:space="preserve">陳耀宏</t>
  </si>
  <si>
    <t xml:space="preserve">私立德蕾莎文理語文技藝短期補習班</t>
  </si>
  <si>
    <r>
      <rPr>
        <sz val="10"/>
        <color rgb="FF1F2A28"/>
        <rFont val="WenQuanYi Zen Hei"/>
        <family val="2"/>
      </rPr>
      <t xml:space="preserve">汐止區福德一路</t>
    </r>
    <r>
      <rPr>
        <sz val="10"/>
        <color rgb="FF1F2A28"/>
        <rFont val="Arial"/>
        <family val="0"/>
        <charset val="1"/>
      </rPr>
      <t xml:space="preserve">258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、原興路</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樓、原興路</t>
    </r>
    <r>
      <rPr>
        <sz val="10"/>
        <color rgb="FF1F2A28"/>
        <rFont val="Arial"/>
        <family val="0"/>
        <charset val="1"/>
      </rPr>
      <t xml:space="preserve">51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</si>
  <si>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(02)8693-1953</t>
  </si>
  <si>
    <t xml:space="preserve">2003-04-22</t>
  </si>
  <si>
    <t xml:space="preserve">蔣碧桃</t>
  </si>
  <si>
    <t xml:space="preserve">邱立中</t>
  </si>
  <si>
    <t xml:space="preserve">私立恩佑文理技藝短期補習班</t>
  </si>
  <si>
    <r>
      <rPr>
        <sz val="10"/>
        <color rgb="FF1F2A28"/>
        <rFont val="WenQuanYi Zen Hei"/>
        <family val="2"/>
      </rPr>
      <t xml:space="preserve">汐止區大同路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196</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</si>
  <si>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(02)26481389</t>
  </si>
  <si>
    <t xml:space="preserve">2010-04-27</t>
  </si>
  <si>
    <t xml:space="preserve">林純如</t>
  </si>
  <si>
    <t xml:space="preserve">私立愛麗兒文理語文美術珠心算短期補習班</t>
  </si>
  <si>
    <r>
      <rPr>
        <sz val="10"/>
        <color rgb="FF1F2A28"/>
        <rFont val="WenQuanYi Zen Hei"/>
        <family val="2"/>
      </rPr>
      <t xml:space="preserve">汐止區中興路</t>
    </r>
    <r>
      <rPr>
        <sz val="10"/>
        <color rgb="FF1F2A28"/>
        <rFont val="Arial"/>
        <family val="0"/>
        <charset val="1"/>
      </rPr>
      <t xml:space="preserve">150</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</si>
  <si>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(02)26927174</t>
  </si>
  <si>
    <t xml:space="preserve">alier.school@msa.hinet.net</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</si>
  <si>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國文、英文、數學、自然、社會</t>
    </r>
    <r>
      <rPr>
        <sz val="10"/>
        <color rgb="FF1F2A28"/>
        <rFont val="Arial"/>
        <family val="0"/>
        <charset val="1"/>
      </rPr>
      <t xml:space="preserve">)</t>
    </r>
  </si>
  <si>
    <t xml:space="preserve">李敏華</t>
  </si>
  <si>
    <t xml:space="preserve">私立汎宇文理語文短期補習班</t>
  </si>
  <si>
    <r>
      <rPr>
        <sz val="10"/>
        <color rgb="FF1F2A28"/>
        <rFont val="WenQuanYi Zen Hei"/>
        <family val="2"/>
      </rPr>
      <t xml:space="preserve">汐止區仁愛路</t>
    </r>
    <r>
      <rPr>
        <sz val="10"/>
        <color rgb="FF1F2A28"/>
        <rFont val="Arial"/>
        <family val="0"/>
        <charset val="1"/>
      </rPr>
      <t xml:space="preserve">197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</si>
  <si>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(02)86918691</t>
  </si>
  <si>
    <t xml:space="preserve">panyu.school@gmail.com</t>
  </si>
  <si>
    <t xml:space="preserve">黃瑞榮</t>
  </si>
  <si>
    <t xml:space="preserve">王瑲懌</t>
  </si>
  <si>
    <t xml:space="preserve">私立汐欣語文文理短期補習班</t>
  </si>
  <si>
    <r>
      <rPr>
        <sz val="10"/>
        <color rgb="FF1F2A28"/>
        <rFont val="WenQuanYi Zen Hei"/>
        <family val="2"/>
      </rPr>
      <t xml:space="preserve">汐止區大同路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196</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t>
    </r>
  </si>
  <si>
    <t xml:space="preserve">(02)86910510</t>
  </si>
  <si>
    <t xml:space="preserve">sijhih.datong@msa.hinet.net</t>
  </si>
  <si>
    <t xml:space="preserve">2006-05-01</t>
  </si>
  <si>
    <t xml:space="preserve">曹桓豪</t>
  </si>
  <si>
    <t xml:space="preserve">林玉佩</t>
  </si>
  <si>
    <t xml:space="preserve">私立睿智新台語文短期補習班</t>
  </si>
  <si>
    <r>
      <rPr>
        <sz val="10"/>
        <color rgb="FF1F2A28"/>
        <rFont val="WenQuanYi Zen Hei"/>
        <family val="2"/>
      </rPr>
      <t xml:space="preserve">汐止區新台五路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207</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</si>
  <si>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(02)26419929</t>
  </si>
  <si>
    <t xml:space="preserve">xizhiaces@gmail.com</t>
  </si>
  <si>
    <t xml:space="preserve">2009-08-03</t>
  </si>
  <si>
    <t xml:space="preserve">高子琁</t>
  </si>
  <si>
    <t xml:space="preserve">私立立強文理語文短期補習班</t>
  </si>
  <si>
    <r>
      <rPr>
        <sz val="10"/>
        <color rgb="FF1F2A28"/>
        <rFont val="WenQuanYi Zen Hei"/>
        <family val="2"/>
      </rPr>
      <t xml:space="preserve">汐止區民族三街</t>
    </r>
    <r>
      <rPr>
        <sz val="10"/>
        <color rgb="FF1F2A28"/>
        <rFont val="Arial"/>
        <family val="0"/>
        <charset val="1"/>
      </rPr>
      <t xml:space="preserve">54</t>
    </r>
    <r>
      <rPr>
        <sz val="10"/>
        <color rgb="FF1F2A28"/>
        <rFont val="WenQuanYi Zen Hei"/>
        <family val="2"/>
      </rPr>
      <t xml:space="preserve">號</t>
    </r>
  </si>
  <si>
    <t xml:space="preserve">(02)26956479</t>
  </si>
  <si>
    <t xml:space="preserve">陳輝強</t>
  </si>
  <si>
    <t xml:space="preserve">劉敏慧</t>
  </si>
  <si>
    <t xml:space="preserve">私立精英學園文理語文短期補習班</t>
  </si>
  <si>
    <r>
      <rPr>
        <sz val="10"/>
        <color rgb="FF1F2A28"/>
        <rFont val="WenQuanYi Zen Hei"/>
        <family val="2"/>
      </rPr>
      <t xml:space="preserve">汐止區大同路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240</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8</t>
    </r>
    <r>
      <rPr>
        <sz val="10"/>
        <color rgb="FF1F2A28"/>
        <rFont val="WenQuanYi Zen Hei"/>
        <family val="2"/>
      </rPr>
      <t xml:space="preserve">樓之</t>
    </r>
    <r>
      <rPr>
        <sz val="10"/>
        <color rgb="FF1F2A28"/>
        <rFont val="Arial"/>
        <family val="0"/>
        <charset val="1"/>
      </rPr>
      <t xml:space="preserve">3</t>
    </r>
  </si>
  <si>
    <t xml:space="preserve">(02)26486689</t>
  </si>
  <si>
    <t xml:space="preserve">peita6689@yahoo.com.tw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</si>
  <si>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英文、數學、自然與生活科技</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t>
    </r>
    <r>
      <rPr>
        <sz val="10"/>
        <color rgb="FF1F2A28"/>
        <rFont val="Arial"/>
        <family val="0"/>
        <charset val="1"/>
      </rPr>
      <t xml:space="preserve">)</t>
    </r>
  </si>
  <si>
    <t xml:space="preserve">2012-01-20</t>
  </si>
  <si>
    <t xml:space="preserve">蔡其昌</t>
  </si>
  <si>
    <t xml:space="preserve">私立艾瑪麗文理技藝短期補習班</t>
  </si>
  <si>
    <r>
      <rPr>
        <sz val="10"/>
        <color rgb="FF1F2A28"/>
        <rFont val="WenQuanYi Zen Hei"/>
        <family val="2"/>
      </rPr>
      <t xml:space="preserve">汐止區仁愛路</t>
    </r>
    <r>
      <rPr>
        <sz val="10"/>
        <color rgb="FF1F2A28"/>
        <rFont val="Arial"/>
        <family val="0"/>
        <charset val="1"/>
      </rPr>
      <t xml:space="preserve">99</t>
    </r>
    <r>
      <rPr>
        <sz val="10"/>
        <color rgb="FF1F2A28"/>
        <rFont val="WenQuanYi Zen Hei"/>
        <family val="2"/>
      </rPr>
      <t xml:space="preserve">號</t>
    </r>
  </si>
  <si>
    <t xml:space="preserve">(02)8691-5521</t>
  </si>
  <si>
    <t xml:space="preserve">sho.fon33@gmail.com</t>
  </si>
  <si>
    <t xml:space="preserve">2003-11-07</t>
  </si>
  <si>
    <t xml:space="preserve">柯媚菁</t>
  </si>
  <si>
    <t xml:space="preserve">私立芝蔴城語文短期補習班</t>
  </si>
  <si>
    <r>
      <rPr>
        <sz val="10"/>
        <color rgb="FF1F2A28"/>
        <rFont val="WenQuanYi Zen Hei"/>
        <family val="2"/>
      </rPr>
      <t xml:space="preserve">汐止區新台五路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152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</si>
  <si>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(02)2647-8689</t>
  </si>
  <si>
    <t xml:space="preserve">2014-05-20</t>
  </si>
  <si>
    <t xml:space="preserve">江保樺</t>
  </si>
  <si>
    <t xml:space="preserve">私立英葛瑞文理語文短期補習班</t>
  </si>
  <si>
    <r>
      <rPr>
        <sz val="10"/>
        <color rgb="FF1F2A28"/>
        <rFont val="WenQuanYi Zen Hei"/>
        <family val="2"/>
      </rPr>
      <t xml:space="preserve">汐止區明峰街</t>
    </r>
    <r>
      <rPr>
        <sz val="10"/>
        <color rgb="FF1F2A28"/>
        <rFont val="Arial"/>
        <family val="0"/>
        <charset val="1"/>
      </rPr>
      <t xml:space="preserve">297</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弄</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</si>
  <si>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(02)26953091</t>
  </si>
  <si>
    <t xml:space="preserve">sharon.ingree@gmail.com</t>
  </si>
  <si>
    <t xml:space="preserve">陸修樂</t>
  </si>
  <si>
    <t xml:space="preserve">私立華一語文文理短期補習班</t>
  </si>
  <si>
    <r>
      <rPr>
        <sz val="10"/>
        <color rgb="FF1F2A28"/>
        <rFont val="WenQuanYi Zen Hei"/>
        <family val="2"/>
      </rPr>
      <t xml:space="preserve">汐止區明峰街</t>
    </r>
    <r>
      <rPr>
        <sz val="10"/>
        <color rgb="FF1F2A28"/>
        <rFont val="Arial"/>
        <family val="0"/>
        <charset val="1"/>
      </rPr>
      <t xml:space="preserve">190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192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196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</si>
  <si>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(02)2965-3829</t>
  </si>
  <si>
    <t xml:space="preserve">yuminghsien@yahoo.com.tw</t>
  </si>
  <si>
    <t xml:space="preserve">2002-01-31</t>
  </si>
  <si>
    <t xml:space="preserve">江淑華</t>
  </si>
  <si>
    <t xml:space="preserve">私立葉赫文理語文短期補習班</t>
  </si>
  <si>
    <r>
      <rPr>
        <sz val="10"/>
        <color rgb="FF1F2A28"/>
        <rFont val="WenQuanYi Zen Hei"/>
        <family val="2"/>
      </rPr>
      <t xml:space="preserve">汐止區連興街</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</si>
  <si>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(02)86918700</t>
  </si>
  <si>
    <t xml:space="preserve">yeho1022tim@gmail.com</t>
  </si>
  <si>
    <t xml:space="preserve">2010-08-02</t>
  </si>
  <si>
    <t xml:space="preserve">葉玉堂</t>
  </si>
  <si>
    <t xml:space="preserve">私立蘋菓美語文理短期補習班</t>
  </si>
  <si>
    <r>
      <rPr>
        <sz val="10"/>
        <color rgb="FF1F2A28"/>
        <rFont val="WenQuanYi Zen Hei"/>
        <family val="2"/>
      </rPr>
      <t xml:space="preserve">汐止區忠孝東路</t>
    </r>
    <r>
      <rPr>
        <sz val="10"/>
        <color rgb="FF1F2A28"/>
        <rFont val="Arial"/>
        <family val="0"/>
        <charset val="1"/>
      </rPr>
      <t xml:space="preserve">402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</si>
  <si>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(02)86481237</t>
  </si>
  <si>
    <t xml:space="preserve">swei6679@gmail.com</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</si>
  <si>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英、國、自然與生活科技</t>
    </r>
    <r>
      <rPr>
        <sz val="10"/>
        <color rgb="FF1F2A28"/>
        <rFont val="Arial"/>
        <family val="0"/>
        <charset val="1"/>
      </rPr>
      <t xml:space="preserve">)</t>
    </r>
  </si>
  <si>
    <t xml:space="preserve">2007-11-06</t>
  </si>
  <si>
    <t xml:space="preserve">魏伶真</t>
  </si>
  <si>
    <t xml:space="preserve">張宗元</t>
  </si>
  <si>
    <t xml:space="preserve">私立許杜楊文理美語短期補習班</t>
  </si>
  <si>
    <r>
      <rPr>
        <sz val="10"/>
        <color rgb="FF1F2A28"/>
        <rFont val="WenQuanYi Zen Hei"/>
        <family val="2"/>
      </rPr>
      <t xml:space="preserve">汐止區新興路</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</si>
  <si>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(02)26475288</t>
  </si>
  <si>
    <t xml:space="preserve">longju2004@yahoo.com.tw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</si>
  <si>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、美語</t>
    </r>
  </si>
  <si>
    <t xml:space="preserve">2005-02-03</t>
  </si>
  <si>
    <t xml:space="preserve">許杜楊</t>
  </si>
  <si>
    <t xml:space="preserve">陳泉翰</t>
  </si>
  <si>
    <t xml:space="preserve">私立貝迪菲教育事業有限公司附設貝迪菲美語文理短期補習班</t>
  </si>
  <si>
    <r>
      <rPr>
        <sz val="10"/>
        <color rgb="FF1F2A28"/>
        <rFont val="WenQuanYi Zen Hei"/>
        <family val="2"/>
      </rPr>
      <t xml:space="preserve">汐止區仁愛路</t>
    </r>
    <r>
      <rPr>
        <sz val="10"/>
        <color rgb="FF1F2A28"/>
        <rFont val="Arial"/>
        <family val="0"/>
        <charset val="1"/>
      </rPr>
      <t xml:space="preserve">97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</si>
  <si>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(02)26488686</t>
  </si>
  <si>
    <t xml:space="preserve">2016-06-01</t>
  </si>
  <si>
    <t xml:space="preserve">劉芷伶</t>
  </si>
  <si>
    <t xml:space="preserve">私立超群語文短期補習班</t>
  </si>
  <si>
    <r>
      <rPr>
        <sz val="10"/>
        <color rgb="FF1F2A28"/>
        <rFont val="WenQuanYi Zen Hei"/>
        <family val="2"/>
      </rPr>
      <t xml:space="preserve">汐止區民權路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81</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t>
    </r>
    <r>
      <rPr>
        <sz val="10"/>
        <color rgb="FF1F2A28"/>
        <rFont val="Arial"/>
        <family val="0"/>
        <charset val="1"/>
      </rPr>
      <t xml:space="preserve">8</t>
    </r>
    <r>
      <rPr>
        <sz val="10"/>
        <color rgb="FF1F2A28"/>
        <rFont val="WenQuanYi Zen Hei"/>
        <family val="2"/>
      </rPr>
      <t xml:space="preserve">號</t>
    </r>
  </si>
  <si>
    <t xml:space="preserve">26402857</t>
  </si>
  <si>
    <t xml:space="preserve">陳慶文</t>
  </si>
  <si>
    <t xml:space="preserve">私立錦程文理語文短期補習班</t>
  </si>
  <si>
    <r>
      <rPr>
        <sz val="10"/>
        <color rgb="FF1F2A28"/>
        <rFont val="WenQuanYi Zen Hei"/>
        <family val="2"/>
      </rPr>
      <t xml:space="preserve">汐止區忠孝東路</t>
    </r>
    <r>
      <rPr>
        <sz val="10"/>
        <color rgb="FF1F2A28"/>
        <rFont val="Arial"/>
        <family val="0"/>
        <charset val="1"/>
      </rPr>
      <t xml:space="preserve">314</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312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</si>
  <si>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(02)26430387</t>
  </si>
  <si>
    <t xml:space="preserve">czw0794@yahoo.com.tw</t>
  </si>
  <si>
    <t xml:space="preserve">2009-04-06</t>
  </si>
  <si>
    <t xml:space="preserve">張祖旺</t>
  </si>
  <si>
    <t xml:space="preserve">私立雄英文理短期補習班</t>
  </si>
  <si>
    <r>
      <rPr>
        <sz val="10"/>
        <color rgb="FF1F2A28"/>
        <rFont val="WenQuanYi Zen Hei"/>
        <family val="2"/>
      </rPr>
      <t xml:space="preserve">汐止區大同路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240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2</t>
    </r>
  </si>
  <si>
    <t xml:space="preserve">2649-7979</t>
  </si>
  <si>
    <t xml:space="preserve">2020-07-13</t>
  </si>
  <si>
    <t xml:space="preserve">利庭瑋</t>
  </si>
  <si>
    <t xml:space="preserve">私立震撼文理技藝短期補習班</t>
  </si>
  <si>
    <r>
      <rPr>
        <sz val="10"/>
        <color rgb="FF1F2A28"/>
        <rFont val="WenQuanYi Zen Hei"/>
        <family val="2"/>
      </rPr>
      <t xml:space="preserve">汐止區中興路</t>
    </r>
    <r>
      <rPr>
        <sz val="10"/>
        <color rgb="FF1F2A28"/>
        <rFont val="Arial"/>
        <family val="0"/>
        <charset val="1"/>
      </rPr>
      <t xml:space="preserve">150</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</si>
  <si>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(02)2694-4811</t>
  </si>
  <si>
    <r>
      <rPr>
        <sz val="10"/>
        <color rgb="FF1F2A28"/>
        <rFont val="Arial"/>
        <family val="0"/>
        <charset val="1"/>
      </rPr>
      <t xml:space="preserve">(</t>
    </r>
    <r>
      <rPr>
        <sz val="10"/>
        <color rgb="FF1F2A28"/>
        <rFont val="WenQuanYi Zen Hei"/>
        <family val="2"/>
      </rPr>
      <t xml:space="preserve">國文、英文、數學、自然與生活科技、社會</t>
    </r>
    <r>
      <rPr>
        <sz val="10"/>
        <color rgb="FF1F2A28"/>
        <rFont val="Arial"/>
        <family val="0"/>
        <charset val="1"/>
      </rPr>
      <t xml:space="preserve">)</t>
    </r>
  </si>
  <si>
    <t xml:space="preserve">2006-09-25</t>
  </si>
  <si>
    <t xml:space="preserve">張玉如</t>
  </si>
  <si>
    <t xml:space="preserve">私立靜宜文理短期補習班</t>
  </si>
  <si>
    <r>
      <rPr>
        <sz val="10"/>
        <color rgb="FF1F2A28"/>
        <rFont val="WenQuanYi Zen Hei"/>
        <family val="2"/>
      </rPr>
      <t xml:space="preserve">汐止區樟樹一路</t>
    </r>
    <r>
      <rPr>
        <sz val="10"/>
        <color rgb="FF1F2A28"/>
        <rFont val="Arial"/>
        <family val="0"/>
        <charset val="1"/>
      </rPr>
      <t xml:space="preserve">141</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19</t>
    </r>
    <r>
      <rPr>
        <sz val="10"/>
        <color rgb="FF1F2A28"/>
        <rFont val="WenQuanYi Zen Hei"/>
        <family val="2"/>
      </rPr>
      <t xml:space="preserve">號</t>
    </r>
  </si>
  <si>
    <t xml:space="preserve">(02)86919510</t>
  </si>
  <si>
    <t xml:space="preserve">dt98yam@gmail.com</t>
  </si>
  <si>
    <t xml:space="preserve">張靜宜</t>
  </si>
  <si>
    <t xml:space="preserve">蔡智賢</t>
  </si>
  <si>
    <t xml:space="preserve">私立麗景文理語文短期補習班</t>
  </si>
  <si>
    <r>
      <rPr>
        <sz val="10"/>
        <color rgb="FF1F2A28"/>
        <rFont val="WenQuanYi Zen Hei"/>
        <family val="2"/>
      </rPr>
      <t xml:space="preserve">汐止區仁愛路</t>
    </r>
    <r>
      <rPr>
        <sz val="10"/>
        <color rgb="FF1F2A28"/>
        <rFont val="Arial"/>
        <family val="0"/>
        <charset val="1"/>
      </rPr>
      <t xml:space="preserve">320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</si>
  <si>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(02)2647-0100</t>
  </si>
  <si>
    <t xml:space="preserve">ruby0328@msn.com</t>
  </si>
  <si>
    <t xml:space="preserve">黃姿華</t>
  </si>
  <si>
    <t xml:space="preserve">科揚文理短期補習班</t>
  </si>
  <si>
    <r>
      <rPr>
        <sz val="10"/>
        <color rgb="FF1F2A28"/>
        <rFont val="WenQuanYi Zen Hei"/>
        <family val="2"/>
      </rPr>
      <t xml:space="preserve">汐止區大同路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446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層及夾層</t>
    </r>
    <r>
      <rPr>
        <sz val="10"/>
        <color rgb="FF1F2A28"/>
        <rFont val="Arial"/>
        <family val="0"/>
        <charset val="1"/>
      </rPr>
      <t xml:space="preserve">)</t>
    </r>
  </si>
  <si>
    <t xml:space="preserve">(02)2647-0206</t>
  </si>
  <si>
    <t xml:space="preserve">2018-08-30</t>
  </si>
  <si>
    <t xml:space="preserve">凃俊杰</t>
  </si>
  <si>
    <t xml:space="preserve">周倩如</t>
  </si>
  <si>
    <t xml:space="preserve">童圓語文短期補習班</t>
  </si>
  <si>
    <r>
      <rPr>
        <sz val="10"/>
        <color rgb="FF1F2A28"/>
        <rFont val="WenQuanYi Zen Hei"/>
        <family val="2"/>
      </rPr>
      <t xml:space="preserve">汐止區民族二街</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樓、</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樓</t>
    </r>
  </si>
  <si>
    <t xml:space="preserve">(02)26958510</t>
  </si>
  <si>
    <t xml:space="preserve">2011-10-17</t>
  </si>
  <si>
    <t xml:space="preserve">曾琡惠</t>
  </si>
  <si>
    <t xml:space="preserve">周澤安</t>
  </si>
  <si>
    <t xml:space="preserve">群洋文理語文短期補習班</t>
  </si>
  <si>
    <r>
      <rPr>
        <sz val="10"/>
        <color rgb="FF1F2A28"/>
        <rFont val="WenQuanYi Zen Hei"/>
        <family val="2"/>
      </rPr>
      <t xml:space="preserve">汐止區明峰街</t>
    </r>
    <r>
      <rPr>
        <sz val="10"/>
        <color rgb="FF1F2A28"/>
        <rFont val="Arial"/>
        <family val="0"/>
        <charset val="1"/>
      </rPr>
      <t xml:space="preserve">298</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</si>
  <si>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(0226950037</t>
  </si>
  <si>
    <t xml:space="preserve">國、英、數、自、社、英文</t>
  </si>
  <si>
    <t xml:space="preserve">2016-04-28</t>
  </si>
  <si>
    <t xml:space="preserve">謝麗貞</t>
  </si>
  <si>
    <t xml:space="preserve">楊心瑜</t>
  </si>
  <si>
    <t xml:space="preserve">泰山區</t>
  </si>
  <si>
    <t xml:space="preserve">啟淯文理短期補習班</t>
  </si>
  <si>
    <r>
      <rPr>
        <sz val="10"/>
        <color rgb="FF1F2A28"/>
        <rFont val="WenQuanYi Zen Hei"/>
        <family val="2"/>
      </rPr>
      <t xml:space="preserve">泰山區中央路</t>
    </r>
    <r>
      <rPr>
        <sz val="10"/>
        <color rgb="FF1F2A28"/>
        <rFont val="Arial"/>
        <family val="0"/>
        <charset val="1"/>
      </rPr>
      <t xml:space="preserve">9</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</si>
  <si>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(02)29060223</t>
  </si>
  <si>
    <t xml:space="preserve">shu581210@hotmail.com</t>
  </si>
  <si>
    <t xml:space="preserve">許麗鄉</t>
  </si>
  <si>
    <t xml:space="preserve">劉興邦</t>
  </si>
  <si>
    <t xml:space="preserve">喬安語文短期補習班</t>
  </si>
  <si>
    <r>
      <rPr>
        <sz val="10"/>
        <color rgb="FF1F2A28"/>
        <rFont val="WenQuanYi Zen Hei"/>
        <family val="2"/>
      </rPr>
      <t xml:space="preserve">泰山區明志路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142</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3</t>
    </r>
  </si>
  <si>
    <t xml:space="preserve">(02)22091680</t>
  </si>
  <si>
    <t xml:space="preserve">papa.jordans@msa.hinet.net</t>
  </si>
  <si>
    <t xml:space="preserve">黃滿足</t>
  </si>
  <si>
    <t xml:space="preserve">均明語文文理短期補習班</t>
  </si>
  <si>
    <r>
      <rPr>
        <sz val="10"/>
        <color rgb="FF1F2A28"/>
        <rFont val="WenQuanYi Zen Hei"/>
        <family val="2"/>
      </rPr>
      <t xml:space="preserve">泰山區辭修路</t>
    </r>
    <r>
      <rPr>
        <sz val="10"/>
        <color rgb="FF1F2A28"/>
        <rFont val="Arial"/>
        <family val="0"/>
        <charset val="1"/>
      </rPr>
      <t xml:space="preserve">10</t>
    </r>
    <r>
      <rPr>
        <sz val="10"/>
        <color rgb="FF1F2A28"/>
        <rFont val="WenQuanYi Zen Hei"/>
        <family val="2"/>
      </rPr>
      <t xml:space="preserve">之</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</si>
  <si>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(02)2297-8803</t>
  </si>
  <si>
    <t xml:space="preserve">sherry699805@gmail.com</t>
  </si>
  <si>
    <t xml:space="preserve">2006-11-21</t>
  </si>
  <si>
    <t xml:space="preserve">陳慧娟</t>
  </si>
  <si>
    <t xml:space="preserve">安奇兒美術音樂美語短期補習班</t>
  </si>
  <si>
    <r>
      <rPr>
        <sz val="10"/>
        <color rgb="FF1F2A28"/>
        <rFont val="WenQuanYi Zen Hei"/>
        <family val="2"/>
      </rPr>
      <t xml:space="preserve">泰山區全興路</t>
    </r>
    <r>
      <rPr>
        <sz val="10"/>
        <color rgb="FF1F2A28"/>
        <rFont val="Arial"/>
        <family val="0"/>
        <charset val="1"/>
      </rPr>
      <t xml:space="preserve">25</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</si>
  <si>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(02)29003800</t>
  </si>
  <si>
    <t xml:space="preserve">2011-08-24</t>
  </si>
  <si>
    <t xml:space="preserve">宋靜儀</t>
  </si>
  <si>
    <t xml:space="preserve">私立吉米士文理語文短期補習班</t>
  </si>
  <si>
    <r>
      <rPr>
        <sz val="10"/>
        <color rgb="FF1F2A28"/>
        <rFont val="WenQuanYi Zen Hei"/>
        <family val="2"/>
      </rPr>
      <t xml:space="preserve">泰山區泰林路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240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</si>
  <si>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(02)22978033</t>
  </si>
  <si>
    <t xml:space="preserve">aaa4076@gmail.com</t>
  </si>
  <si>
    <t xml:space="preserve">李慧穎</t>
  </si>
  <si>
    <t xml:space="preserve">私立啟淯學園文理短期補習班</t>
  </si>
  <si>
    <r>
      <rPr>
        <sz val="10"/>
        <color rgb="FF1F2A28"/>
        <rFont val="WenQuanYi Zen Hei"/>
        <family val="2"/>
      </rPr>
      <t xml:space="preserve">泰山區新民路</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38</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</si>
  <si>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(02)2906-0223</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</si>
  <si>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英文、數學、社會、生活、自然、國文</t>
    </r>
    <r>
      <rPr>
        <sz val="10"/>
        <color rgb="FF1F2A28"/>
        <rFont val="Arial"/>
        <family val="0"/>
        <charset val="1"/>
      </rPr>
      <t xml:space="preserve">)</t>
    </r>
  </si>
  <si>
    <t xml:space="preserve">2014-11-26</t>
  </si>
  <si>
    <t xml:space="preserve">私立熊媽媽文理短期補習班</t>
  </si>
  <si>
    <r>
      <rPr>
        <sz val="10"/>
        <color rgb="FF1F2A28"/>
        <rFont val="WenQuanYi Zen Hei"/>
        <family val="2"/>
      </rPr>
      <t xml:space="preserve">泰山區公園路</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</si>
  <si>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(02)29098338</t>
  </si>
  <si>
    <t xml:space="preserve">薛璧淳</t>
  </si>
  <si>
    <t xml:space="preserve">謝郁君</t>
  </si>
  <si>
    <t xml:space="preserve">私立登賢語文短期補習班</t>
  </si>
  <si>
    <r>
      <rPr>
        <sz val="10"/>
        <color rgb="FF1F2A28"/>
        <rFont val="WenQuanYi Zen Hei"/>
        <family val="2"/>
      </rPr>
      <t xml:space="preserve">泰山區泰林路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139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</si>
  <si>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(02)85315210</t>
  </si>
  <si>
    <t xml:space="preserve">a85315210@Gmail.com</t>
  </si>
  <si>
    <t xml:space="preserve">蒲麗琳</t>
  </si>
  <si>
    <t xml:space="preserve">私立研文文理語文短期補習班</t>
  </si>
  <si>
    <r>
      <rPr>
        <sz val="10"/>
        <color rgb="FF1F2A28"/>
        <rFont val="WenQuanYi Zen Hei"/>
        <family val="2"/>
      </rPr>
      <t xml:space="preserve">泰山區全興路</t>
    </r>
    <r>
      <rPr>
        <sz val="10"/>
        <color rgb="FF1F2A28"/>
        <rFont val="Arial"/>
        <family val="0"/>
        <charset val="1"/>
      </rPr>
      <t xml:space="preserve">25</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t>
    </r>
    <r>
      <rPr>
        <sz val="10"/>
        <color rgb="FF1F2A28"/>
        <rFont val="Arial"/>
        <family val="0"/>
        <charset val="1"/>
      </rPr>
      <t xml:space="preserve">14</t>
    </r>
    <r>
      <rPr>
        <sz val="10"/>
        <color rgb="FF1F2A28"/>
        <rFont val="WenQuanYi Zen Hei"/>
        <family val="2"/>
      </rPr>
      <t xml:space="preserve">、</t>
    </r>
    <r>
      <rPr>
        <sz val="10"/>
        <color rgb="FF1F2A28"/>
        <rFont val="Arial"/>
        <family val="0"/>
        <charset val="1"/>
      </rPr>
      <t xml:space="preserve">16</t>
    </r>
    <r>
      <rPr>
        <sz val="10"/>
        <color rgb="FF1F2A28"/>
        <rFont val="WenQuanYi Zen Hei"/>
        <family val="2"/>
      </rPr>
      <t xml:space="preserve">號各</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</si>
  <si>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(02)22967530</t>
  </si>
  <si>
    <t xml:space="preserve">carol8122001@yahoo.com.tw</t>
  </si>
  <si>
    <t xml:space="preserve">2006-06-29</t>
  </si>
  <si>
    <t xml:space="preserve">陳穎瑩</t>
  </si>
  <si>
    <t xml:space="preserve">林美蘭</t>
  </si>
  <si>
    <t xml:space="preserve">私立立勤文理語文電腦短期補習班</t>
  </si>
  <si>
    <r>
      <rPr>
        <sz val="10"/>
        <color rgb="FF1F2A28"/>
        <rFont val="WenQuanYi Zen Hei"/>
        <family val="2"/>
      </rPr>
      <t xml:space="preserve">泰山區民生路</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</si>
  <si>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(02)2909-2324</t>
  </si>
  <si>
    <t xml:space="preserve">p16162@seed.net.tw</t>
  </si>
  <si>
    <t xml:space="preserve">2006-07-17</t>
  </si>
  <si>
    <t xml:space="preserve">蕭施源</t>
  </si>
  <si>
    <t xml:space="preserve">簡廷倫</t>
  </si>
  <si>
    <t xml:space="preserve">私立耕筑文理語文短期補習班</t>
  </si>
  <si>
    <r>
      <rPr>
        <sz val="10"/>
        <color rgb="FF1F2A28"/>
        <rFont val="WenQuanYi Zen Hei"/>
        <family val="2"/>
      </rPr>
      <t xml:space="preserve">泰山區仁愛路</t>
    </r>
    <r>
      <rPr>
        <sz val="10"/>
        <color rgb="FF1F2A28"/>
        <rFont val="Arial"/>
        <family val="0"/>
        <charset val="1"/>
      </rPr>
      <t xml:space="preserve">6</t>
    </r>
    <r>
      <rPr>
        <sz val="10"/>
        <color rgb="FF1F2A28"/>
        <rFont val="WenQuanYi Zen Hei"/>
        <family val="2"/>
      </rPr>
      <t xml:space="preserve">巷</t>
    </r>
    <r>
      <rPr>
        <sz val="10"/>
        <color rgb="FF1F2A28"/>
        <rFont val="Arial"/>
        <family val="0"/>
        <charset val="1"/>
      </rPr>
      <t xml:space="preserve">36</t>
    </r>
    <r>
      <rPr>
        <sz val="10"/>
        <color rgb="FF1F2A28"/>
        <rFont val="WenQuanYi Zen Hei"/>
        <family val="2"/>
      </rPr>
      <t xml:space="preserve">、</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</si>
  <si>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(02)29091891</t>
  </si>
  <si>
    <t xml:space="preserve">2006-10-18</t>
  </si>
  <si>
    <t xml:space="preserve">黃秀枝</t>
  </si>
  <si>
    <t xml:space="preserve">私立聖汶文理技藝短期補習班</t>
  </si>
  <si>
    <r>
      <rPr>
        <sz val="10"/>
        <color rgb="FF1F2A28"/>
        <rFont val="WenQuanYi Zen Hei"/>
        <family val="2"/>
      </rPr>
      <t xml:space="preserve">泰山區明志路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65</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</si>
  <si>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(02)22965667</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</si>
  <si>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國文、英語、數學</t>
    </r>
    <r>
      <rPr>
        <sz val="10"/>
        <color rgb="FF1F2A28"/>
        <rFont val="Arial"/>
        <family val="0"/>
        <charset val="1"/>
      </rPr>
      <t xml:space="preserve">)</t>
    </r>
  </si>
  <si>
    <t xml:space="preserve">2005-08-25</t>
  </si>
  <si>
    <t xml:space="preserve">廖元浩</t>
  </si>
  <si>
    <t xml:space="preserve">私立致元文理語文短期補習班</t>
  </si>
  <si>
    <r>
      <rPr>
        <sz val="10"/>
        <color rgb="FF1F2A28"/>
        <rFont val="WenQuanYi Zen Hei"/>
        <family val="2"/>
      </rPr>
      <t xml:space="preserve">泰山區明志路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175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</si>
  <si>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(02)29089578</t>
  </si>
  <si>
    <t xml:space="preserve">amc.jy001@msa.hinet.net</t>
  </si>
  <si>
    <t xml:space="preserve">林足</t>
  </si>
  <si>
    <t xml:space="preserve">私立藍天文理語文短期補習班</t>
  </si>
  <si>
    <r>
      <rPr>
        <sz val="10"/>
        <color rgb="FF1F2A28"/>
        <rFont val="WenQuanYi Zen Hei"/>
        <family val="2"/>
      </rPr>
      <t xml:space="preserve">泰山區仁愛路</t>
    </r>
    <r>
      <rPr>
        <sz val="10"/>
        <color rgb="FF1F2A28"/>
        <rFont val="Arial"/>
        <family val="0"/>
        <charset val="1"/>
      </rPr>
      <t xml:space="preserve">36</t>
    </r>
    <r>
      <rPr>
        <sz val="10"/>
        <color rgb="FF1F2A28"/>
        <rFont val="WenQuanYi Zen Hei"/>
        <family val="2"/>
      </rPr>
      <t xml:space="preserve">之</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36</t>
    </r>
    <r>
      <rPr>
        <sz val="10"/>
        <color rgb="FF1F2A28"/>
        <rFont val="WenQuanYi Zen Hei"/>
        <family val="2"/>
      </rPr>
      <t xml:space="preserve">之</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</si>
  <si>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(02)29090420</t>
  </si>
  <si>
    <t xml:space="preserve">qqq455021@gmail.com</t>
  </si>
  <si>
    <t xml:space="preserve">2005-03-18</t>
  </si>
  <si>
    <t xml:space="preserve">沈美妗</t>
  </si>
  <si>
    <t xml:space="preserve">私立高勝文理語文短期補習班</t>
  </si>
  <si>
    <r>
      <rPr>
        <sz val="10"/>
        <color rgb="FF1F2A28"/>
        <rFont val="WenQuanYi Zen Hei"/>
        <family val="2"/>
      </rPr>
      <t xml:space="preserve">泰山區仁愛路</t>
    </r>
    <r>
      <rPr>
        <sz val="10"/>
        <color rgb="FF1F2A28"/>
        <rFont val="Arial"/>
        <family val="0"/>
        <charset val="1"/>
      </rPr>
      <t xml:space="preserve">6</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弄</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</si>
  <si>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(02)85312848</t>
  </si>
  <si>
    <t xml:space="preserve">axz131@gmail.com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</si>
  <si>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t>
    </r>
    <r>
      <rPr>
        <sz val="10"/>
        <color rgb="FF1F2A28"/>
        <rFont val="Arial"/>
        <family val="0"/>
        <charset val="1"/>
      </rPr>
      <t xml:space="preserve">)</t>
    </r>
    <r>
      <rPr>
        <sz val="10"/>
        <color rgb="FF1F2A28"/>
        <rFont val="WenQuanYi Zen Hei"/>
        <family val="2"/>
      </rPr>
      <t xml:space="preserve">、英文</t>
    </r>
  </si>
  <si>
    <t xml:space="preserve">2005-12-16</t>
  </si>
  <si>
    <t xml:space="preserve">羅宇勝</t>
  </si>
  <si>
    <t xml:space="preserve">聯大陳頡文理語文短期補習班</t>
  </si>
  <si>
    <r>
      <rPr>
        <sz val="10"/>
        <color rgb="FF1F2A28"/>
        <rFont val="WenQuanYi Zen Hei"/>
        <family val="2"/>
      </rPr>
      <t xml:space="preserve">泰山區中港西路</t>
    </r>
    <r>
      <rPr>
        <sz val="10"/>
        <color rgb="FF1F2A28"/>
        <rFont val="Arial"/>
        <family val="0"/>
        <charset val="1"/>
      </rPr>
      <t xml:space="preserve">498</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</si>
  <si>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(02)2900-0985</t>
  </si>
  <si>
    <t xml:space="preserve">giraffe9337@gmail.com</t>
  </si>
  <si>
    <t xml:space="preserve">2015-08-26</t>
  </si>
  <si>
    <t xml:space="preserve">陳慶星</t>
  </si>
  <si>
    <t xml:space="preserve">曾清芳</t>
  </si>
  <si>
    <t xml:space="preserve">華菂文理短期補習班</t>
  </si>
  <si>
    <r>
      <rPr>
        <sz val="10"/>
        <color rgb="FF1F2A28"/>
        <rFont val="WenQuanYi Zen Hei"/>
        <family val="2"/>
      </rPr>
      <t xml:space="preserve">泰山區民生路</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</si>
  <si>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(02)2297-0808</t>
  </si>
  <si>
    <t xml:space="preserve">csee8484@gmail.com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</si>
  <si>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國文、數學、英文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國語、英文、數學、自然</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國文、數學、英文、自然</t>
    </r>
    <r>
      <rPr>
        <sz val="10"/>
        <color rgb="FF1F2A28"/>
        <rFont val="Arial"/>
        <family val="0"/>
        <charset val="1"/>
      </rPr>
      <t xml:space="preserve">)</t>
    </r>
  </si>
  <si>
    <t xml:space="preserve">2012-02-10</t>
  </si>
  <si>
    <t xml:space="preserve">張進毅</t>
  </si>
  <si>
    <t xml:space="preserve">吳宜芳</t>
  </si>
  <si>
    <t xml:space="preserve">藍艾比文理語文珠心算技藝短期補習班</t>
  </si>
  <si>
    <r>
      <rPr>
        <sz val="10"/>
        <color rgb="FF1F2A28"/>
        <rFont val="WenQuanYi Zen Hei"/>
        <family val="2"/>
      </rPr>
      <t xml:space="preserve">泰山區明志路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101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</si>
  <si>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(02)22965878</t>
  </si>
  <si>
    <t xml:space="preserve">elshalom.tw@yahoo.com.tw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</si>
  <si>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</si>
  <si>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2006-02-08</t>
  </si>
  <si>
    <t xml:space="preserve">藍曉詩</t>
  </si>
  <si>
    <t xml:space="preserve">蔡大偉</t>
  </si>
  <si>
    <t xml:space="preserve">淡水區</t>
  </si>
  <si>
    <t xml:space="preserve">上賀語文文理短期補習班</t>
  </si>
  <si>
    <r>
      <rPr>
        <sz val="10"/>
        <color rgb="FF1F2A28"/>
        <rFont val="WenQuanYi Zen Hei"/>
        <family val="2"/>
      </rPr>
      <t xml:space="preserve">淡水區民族路</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t>
    </r>
    <r>
      <rPr>
        <sz val="10"/>
        <color rgb="FF1F2A28"/>
        <rFont val="Arial"/>
        <family val="0"/>
        <charset val="1"/>
      </rPr>
      <t xml:space="preserve">10</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</si>
  <si>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(02)2624-1262</t>
  </si>
  <si>
    <t xml:space="preserve">junbow870216@gmail.com</t>
  </si>
  <si>
    <t xml:space="preserve">曹竣堡</t>
  </si>
  <si>
    <t xml:space="preserve">吉米語文文理短期補習班</t>
  </si>
  <si>
    <r>
      <rPr>
        <sz val="10"/>
        <color rgb="FF1F2A28"/>
        <rFont val="WenQuanYi Zen Hei"/>
        <family val="2"/>
      </rPr>
      <t xml:space="preserve">淡水區水源街</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122</t>
    </r>
    <r>
      <rPr>
        <sz val="10"/>
        <color rgb="FF1F2A28"/>
        <rFont val="WenQuanYi Zen Hei"/>
        <family val="2"/>
      </rPr>
      <t xml:space="preserve">巷</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</si>
  <si>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(02)26264777</t>
  </si>
  <si>
    <t xml:space="preserve">mslee.education@gmail.com</t>
  </si>
  <si>
    <t xml:space="preserve">詹承恩</t>
  </si>
  <si>
    <t xml:space="preserve">吾米創發文理技藝短期補習班</t>
  </si>
  <si>
    <r>
      <rPr>
        <sz val="10"/>
        <color rgb="FF1F2A28"/>
        <rFont val="WenQuanYi Zen Hei"/>
        <family val="2"/>
      </rPr>
      <t xml:space="preserve">淡水區後洲路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111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</si>
  <si>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28052898</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</si>
  <si>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</si>
  <si>
    <t xml:space="preserve">2023-12-07</t>
  </si>
  <si>
    <t xml:space="preserve">張惠莉</t>
  </si>
  <si>
    <t xml:space="preserve">張宸誌</t>
  </si>
  <si>
    <t xml:space="preserve">國花語文短期補習班</t>
  </si>
  <si>
    <r>
      <rPr>
        <sz val="10"/>
        <color rgb="FF1F2A28"/>
        <rFont val="WenQuanYi Zen Hei"/>
        <family val="2"/>
      </rPr>
      <t xml:space="preserve">淡水區中山北路一段</t>
    </r>
    <r>
      <rPr>
        <sz val="10"/>
        <color rgb="FF1F2A28"/>
        <rFont val="Arial"/>
        <family val="0"/>
        <charset val="1"/>
      </rPr>
      <t xml:space="preserve">45</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號</t>
    </r>
  </si>
  <si>
    <t xml:space="preserve">(02)26220168</t>
  </si>
  <si>
    <t xml:space="preserve">2008-08-12</t>
  </si>
  <si>
    <t xml:space="preserve">蔡鎧安</t>
  </si>
  <si>
    <t xml:space="preserve">張靜芬</t>
  </si>
  <si>
    <t xml:space="preserve">學華文教股份有限公司附設大得勝文理短期補習班</t>
  </si>
  <si>
    <r>
      <rPr>
        <sz val="10"/>
        <color rgb="FF1F2A28"/>
        <rFont val="WenQuanYi Zen Hei"/>
        <family val="2"/>
      </rPr>
      <t xml:space="preserve">淡水區沙崙路</t>
    </r>
    <r>
      <rPr>
        <sz val="10"/>
        <color rgb="FF1F2A28"/>
        <rFont val="Arial"/>
        <family val="0"/>
        <charset val="1"/>
      </rPr>
      <t xml:space="preserve">131</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弄</t>
    </r>
    <r>
      <rPr>
        <sz val="10"/>
        <color rgb="FF1F2A28"/>
        <rFont val="Arial"/>
        <family val="0"/>
        <charset val="1"/>
      </rPr>
      <t xml:space="preserve">1</t>
    </r>
    <r>
      <rPr>
        <sz val="10"/>
        <color rgb="FF1F2A28"/>
        <rFont val="WenQuanYi Zen Hei"/>
        <family val="2"/>
      </rPr>
      <t xml:space="preserve">號</t>
    </r>
  </si>
  <si>
    <t xml:space="preserve">(02)2805-0230</t>
  </si>
  <si>
    <t xml:space="preserve">2007-10-17</t>
  </si>
  <si>
    <t xml:space="preserve">李知麟</t>
  </si>
  <si>
    <t xml:space="preserve">未來國際領袖有限公司附設私立唯寶文理短期補習班</t>
  </si>
  <si>
    <r>
      <rPr>
        <sz val="10"/>
        <color rgb="FF1F2A28"/>
        <rFont val="WenQuanYi Zen Hei"/>
        <family val="2"/>
      </rPr>
      <t xml:space="preserve">淡水區沙崙路</t>
    </r>
    <r>
      <rPr>
        <sz val="10"/>
        <color rgb="FF1F2A28"/>
        <rFont val="Arial"/>
        <family val="0"/>
        <charset val="1"/>
      </rPr>
      <t xml:space="preserve">131</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弄</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</si>
  <si>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(02)28053765</t>
  </si>
  <si>
    <t xml:space="preserve">well.baby@msa.hinet.net</t>
  </si>
  <si>
    <t xml:space="preserve">2013-01-08</t>
  </si>
  <si>
    <t xml:space="preserve">李雅玲</t>
  </si>
  <si>
    <t xml:space="preserve">私立北耘語文文理短期補習班</t>
  </si>
  <si>
    <r>
      <rPr>
        <sz val="10"/>
        <color rgb="FF1F2A28"/>
        <rFont val="WenQuanYi Zen Hei"/>
        <family val="2"/>
      </rPr>
      <t xml:space="preserve">淡水區北新路</t>
    </r>
    <r>
      <rPr>
        <sz val="10"/>
        <color rgb="FF1F2A28"/>
        <rFont val="Arial"/>
        <family val="0"/>
        <charset val="1"/>
      </rPr>
      <t xml:space="preserve">128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</si>
  <si>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(02)26201148</t>
  </si>
  <si>
    <t xml:space="preserve">英文、作文</t>
  </si>
  <si>
    <t xml:space="preserve">2015-07-31</t>
  </si>
  <si>
    <t xml:space="preserve">張綺芳</t>
  </si>
  <si>
    <t xml:space="preserve">私立可爾維德文理語文美術短期補習班</t>
  </si>
  <si>
    <r>
      <rPr>
        <sz val="10"/>
        <color rgb="FF1F2A28"/>
        <rFont val="WenQuanYi Zen Hei"/>
        <family val="2"/>
      </rPr>
      <t xml:space="preserve">淡水區中正東路</t>
    </r>
    <r>
      <rPr>
        <sz val="10"/>
        <color rgb="FF1F2A28"/>
        <rFont val="Arial"/>
        <family val="0"/>
        <charset val="1"/>
      </rPr>
      <t xml:space="preserve">35</t>
    </r>
    <r>
      <rPr>
        <sz val="10"/>
        <color rgb="FF1F2A28"/>
        <rFont val="WenQuanYi Zen Hei"/>
        <family val="2"/>
      </rPr>
      <t xml:space="preserve">巷</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</si>
  <si>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(02)2620-0858</t>
  </si>
  <si>
    <t xml:space="preserve">hs888823@yahoo.com.tw</t>
  </si>
  <si>
    <t xml:space="preserve">2012-10-17</t>
  </si>
  <si>
    <t xml:space="preserve">顏美麗</t>
  </si>
  <si>
    <t xml:space="preserve">私立品臻語文文理短期補習班</t>
  </si>
  <si>
    <r>
      <rPr>
        <sz val="10"/>
        <color rgb="FF1F2A28"/>
        <rFont val="WenQuanYi Zen Hei"/>
        <family val="2"/>
      </rPr>
      <t xml:space="preserve">淡水區大義街</t>
    </r>
    <r>
      <rPr>
        <sz val="10"/>
        <color rgb="FF1F2A28"/>
        <rFont val="Arial"/>
        <family val="0"/>
        <charset val="1"/>
      </rPr>
      <t xml:space="preserve">29</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15</t>
    </r>
    <r>
      <rPr>
        <sz val="10"/>
        <color rgb="FF1F2A28"/>
        <rFont val="WenQuanYi Zen Hei"/>
        <family val="2"/>
      </rPr>
      <t xml:space="preserve">號</t>
    </r>
  </si>
  <si>
    <t xml:space="preserve">(02)26281889</t>
  </si>
  <si>
    <t xml:space="preserve">康正雄</t>
  </si>
  <si>
    <t xml:space="preserve">康竽臻</t>
  </si>
  <si>
    <t xml:space="preserve">私立地球村語文資訊有限公司附設數位地球村語文電腦短期補習班</t>
  </si>
  <si>
    <r>
      <rPr>
        <sz val="10"/>
        <color rgb="FF1F2A28"/>
        <rFont val="WenQuanYi Zen Hei"/>
        <family val="2"/>
      </rPr>
      <t xml:space="preserve">淡水區學府路</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</si>
  <si>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2622-3651</t>
  </si>
  <si>
    <t xml:space="preserve">李盈蓁</t>
  </si>
  <si>
    <t xml:space="preserve">私立子維文理短期補習班</t>
  </si>
  <si>
    <r>
      <rPr>
        <sz val="10"/>
        <color rgb="FF1F2A28"/>
        <rFont val="WenQuanYi Zen Hei"/>
        <family val="2"/>
      </rPr>
      <t xml:space="preserve">淡水區中山北路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187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r>
      <rPr>
        <sz val="10"/>
        <color rgb="FF1F2A28"/>
        <rFont val="Arial"/>
        <family val="0"/>
        <charset val="1"/>
      </rPr>
      <t xml:space="preserve">189</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</si>
  <si>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(02)26206122</t>
  </si>
  <si>
    <r>
      <rPr>
        <sz val="10"/>
        <color rgb="FF1F2A28"/>
        <rFont val="WenQuanYi Zen Hei"/>
        <family val="2"/>
      </rPr>
      <t xml:space="preserve">文裡</t>
    </r>
    <r>
      <rPr>
        <sz val="10"/>
        <color rgb="FF1F2A28"/>
        <rFont val="Arial"/>
        <family val="0"/>
        <charset val="1"/>
      </rPr>
      <t xml:space="preserve">(</t>
    </r>
    <r>
      <rPr>
        <sz val="10"/>
        <color rgb="FF1F2A28"/>
        <rFont val="WenQuanYi Zen Hei"/>
        <family val="2"/>
      </rPr>
      <t xml:space="preserve">英文、作文</t>
    </r>
    <r>
      <rPr>
        <sz val="10"/>
        <color rgb="FF1F2A28"/>
        <rFont val="Arial"/>
        <family val="0"/>
        <charset val="1"/>
      </rPr>
      <t xml:space="preserve">)</t>
    </r>
  </si>
  <si>
    <t xml:space="preserve">連薏萍</t>
  </si>
  <si>
    <t xml:space="preserve">私立專業文理語文短期補習班</t>
  </si>
  <si>
    <r>
      <rPr>
        <sz val="10"/>
        <color rgb="FF1F2A28"/>
        <rFont val="WenQuanYi Zen Hei"/>
        <family val="2"/>
      </rPr>
      <t xml:space="preserve">淡水區新民街</t>
    </r>
    <r>
      <rPr>
        <sz val="10"/>
        <color rgb="FF1F2A28"/>
        <rFont val="Arial"/>
        <family val="0"/>
        <charset val="1"/>
      </rPr>
      <t xml:space="preserve">162</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</si>
  <si>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0226230781</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</si>
  <si>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英文、自然</t>
    </r>
    <r>
      <rPr>
        <sz val="10"/>
        <color rgb="FF1F2A28"/>
        <rFont val="Arial"/>
        <family val="0"/>
        <charset val="1"/>
      </rPr>
      <t xml:space="preserve">)</t>
    </r>
  </si>
  <si>
    <t xml:space="preserve">2007-08-06</t>
  </si>
  <si>
    <t xml:space="preserve">林秀華</t>
  </si>
  <si>
    <t xml:space="preserve">私立小孩子創意有限公司附設小孩子文理美術短期補習班</t>
  </si>
  <si>
    <r>
      <rPr>
        <sz val="10"/>
        <color rgb="FF1F2A28"/>
        <rFont val="WenQuanYi Zen Hei"/>
        <family val="2"/>
      </rPr>
      <t xml:space="preserve">淡水區新興街</t>
    </r>
    <r>
      <rPr>
        <sz val="10"/>
        <color rgb="FF1F2A28"/>
        <rFont val="Arial"/>
        <family val="0"/>
        <charset val="1"/>
      </rPr>
      <t xml:space="preserve">53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r>
      <rPr>
        <sz val="10"/>
        <color rgb="FF1F2A28"/>
        <rFont val="Arial"/>
        <family val="0"/>
        <charset val="1"/>
      </rPr>
      <t xml:space="preserve">53</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55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</si>
  <si>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(02)2626-0025</t>
  </si>
  <si>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侯文渡</t>
    </r>
  </si>
  <si>
    <t xml:space="preserve">林昀儒</t>
  </si>
  <si>
    <t xml:space="preserve">私立小托福文理語文短期補習班</t>
  </si>
  <si>
    <r>
      <rPr>
        <sz val="10"/>
        <color rgb="FF1F2A28"/>
        <rFont val="WenQuanYi Zen Hei"/>
        <family val="2"/>
      </rPr>
      <t xml:space="preserve">淡水區民族路</t>
    </r>
    <r>
      <rPr>
        <sz val="10"/>
        <color rgb="FF1F2A28"/>
        <rFont val="Arial"/>
        <family val="0"/>
        <charset val="1"/>
      </rPr>
      <t xml:space="preserve">10</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</si>
  <si>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(02)88094966</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</si>
  <si>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</si>
  <si>
    <t xml:space="preserve">郝賀賡</t>
  </si>
  <si>
    <t xml:space="preserve">私立快樂家族文理技藝短期補習班</t>
  </si>
  <si>
    <r>
      <rPr>
        <sz val="10"/>
        <color rgb="FF1F2A28"/>
        <rFont val="WenQuanYi Zen Hei"/>
        <family val="2"/>
      </rPr>
      <t xml:space="preserve">淡水區八勢一街</t>
    </r>
    <r>
      <rPr>
        <sz val="10"/>
        <color rgb="FF1F2A28"/>
        <rFont val="Arial"/>
        <family val="0"/>
        <charset val="1"/>
      </rPr>
      <t xml:space="preserve">40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</si>
  <si>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(02)2808-5878</t>
  </si>
  <si>
    <t xml:space="preserve">kl.land@msa.hinet.net</t>
  </si>
  <si>
    <t xml:space="preserve">2007-11-16</t>
  </si>
  <si>
    <t xml:space="preserve">康淑惠</t>
  </si>
  <si>
    <t xml:space="preserve">陳嘉源</t>
  </si>
  <si>
    <t xml:space="preserve">私立數學糖文理語文短期補習班</t>
  </si>
  <si>
    <r>
      <rPr>
        <sz val="10"/>
        <color rgb="FF1F2A28"/>
        <rFont val="WenQuanYi Zen Hei"/>
        <family val="2"/>
      </rPr>
      <t xml:space="preserve">淡水區民權路</t>
    </r>
    <r>
      <rPr>
        <sz val="10"/>
        <color rgb="FF1F2A28"/>
        <rFont val="Arial"/>
        <family val="0"/>
        <charset val="1"/>
      </rPr>
      <t xml:space="preserve">40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</si>
  <si>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(02)28083253</t>
  </si>
  <si>
    <t xml:space="preserve">2004-12-29</t>
  </si>
  <si>
    <t xml:space="preserve">林儀秋</t>
  </si>
  <si>
    <t xml:space="preserve">王少璞</t>
  </si>
  <si>
    <t xml:space="preserve">私立普登文理語文短期補習班</t>
  </si>
  <si>
    <r>
      <rPr>
        <sz val="10"/>
        <color rgb="FF1F2A28"/>
        <rFont val="WenQuanYi Zen Hei"/>
        <family val="2"/>
      </rPr>
      <t xml:space="preserve">淡水區大仁街</t>
    </r>
    <r>
      <rPr>
        <sz val="10"/>
        <color rgb="FF1F2A28"/>
        <rFont val="Arial"/>
        <family val="0"/>
        <charset val="1"/>
      </rPr>
      <t xml:space="preserve">65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69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</si>
  <si>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(02)26236577</t>
  </si>
  <si>
    <t xml:space="preserve">2015-07-20</t>
  </si>
  <si>
    <t xml:space="preserve">張煜誠</t>
  </si>
  <si>
    <t xml:space="preserve">張雅惠</t>
  </si>
  <si>
    <t xml:space="preserve">私立曾光天生美語文理短期補習班</t>
  </si>
  <si>
    <r>
      <rPr>
        <sz val="10"/>
        <color rgb="FF1F2A28"/>
        <rFont val="WenQuanYi Zen Hei"/>
        <family val="2"/>
      </rPr>
      <t xml:space="preserve">淡水區沙崙路</t>
    </r>
    <r>
      <rPr>
        <sz val="10"/>
        <color rgb="FF1F2A28"/>
        <rFont val="Arial"/>
        <family val="0"/>
        <charset val="1"/>
      </rPr>
      <t xml:space="preserve">214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</si>
  <si>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(02)2805-4698</t>
  </si>
  <si>
    <t xml:space="preserve">2012-05-08</t>
  </si>
  <si>
    <t xml:space="preserve">曾義舒</t>
  </si>
  <si>
    <t xml:space="preserve">葉明利</t>
  </si>
  <si>
    <t xml:space="preserve">私立李恩文理語文電腦短期補習班</t>
  </si>
  <si>
    <r>
      <rPr>
        <sz val="10"/>
        <color rgb="FF1F2A28"/>
        <rFont val="WenQuanYi Zen Hei"/>
        <family val="2"/>
      </rPr>
      <t xml:space="preserve">淡水區新民街</t>
    </r>
    <r>
      <rPr>
        <sz val="10"/>
        <color rgb="FF1F2A28"/>
        <rFont val="Arial"/>
        <family val="0"/>
        <charset val="1"/>
      </rPr>
      <t xml:space="preserve">76</t>
    </r>
    <r>
      <rPr>
        <sz val="10"/>
        <color rgb="FF1F2A28"/>
        <rFont val="WenQuanYi Zen Hei"/>
        <family val="2"/>
      </rPr>
      <t xml:space="preserve">巷</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</si>
  <si>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(02)2629-0826</t>
  </si>
  <si>
    <t xml:space="preserve">leonteacher@gmail.com</t>
  </si>
  <si>
    <t xml:space="preserve">李建志</t>
  </si>
  <si>
    <t xml:space="preserve">私立松柏文理語文短期補習班</t>
  </si>
  <si>
    <r>
      <rPr>
        <sz val="10"/>
        <color rgb="FF1F2A28"/>
        <rFont val="WenQuanYi Zen Hei"/>
        <family val="2"/>
      </rPr>
      <t xml:space="preserve">淡水區中山北路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259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及</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7</t>
    </r>
  </si>
  <si>
    <t xml:space="preserve">(02)26264252</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</si>
  <si>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英、理</t>
    </r>
    <r>
      <rPr>
        <sz val="10"/>
        <color rgb="FF1F2A28"/>
        <rFont val="Arial"/>
        <family val="0"/>
        <charset val="1"/>
      </rPr>
      <t xml:space="preserve">)</t>
    </r>
  </si>
  <si>
    <t xml:space="preserve">2010-12-16</t>
  </si>
  <si>
    <t xml:space="preserve">張芝菱</t>
  </si>
  <si>
    <t xml:space="preserve">私立樂興語文短期補習班</t>
  </si>
  <si>
    <r>
      <rPr>
        <sz val="10"/>
        <color rgb="FF1F2A28"/>
        <rFont val="WenQuanYi Zen Hei"/>
        <family val="2"/>
      </rPr>
      <t xml:space="preserve">淡水區新興街</t>
    </r>
    <r>
      <rPr>
        <sz val="10"/>
        <color rgb="FF1F2A28"/>
        <rFont val="Arial"/>
        <family val="0"/>
        <charset val="1"/>
      </rPr>
      <t xml:space="preserve">41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</si>
  <si>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(02)2629-4878</t>
  </si>
  <si>
    <t xml:space="preserve">2007-11-26</t>
  </si>
  <si>
    <t xml:space="preserve">李欣儒</t>
  </si>
  <si>
    <t xml:space="preserve">私立欣市培兒文理語文短期補習班</t>
  </si>
  <si>
    <r>
      <rPr>
        <sz val="10"/>
        <color rgb="FF1F2A28"/>
        <rFont val="WenQuanYi Zen Hei"/>
        <family val="2"/>
      </rPr>
      <t xml:space="preserve">淡水區中山北路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188</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及</t>
    </r>
    <r>
      <rPr>
        <sz val="10"/>
        <color rgb="FF1F2A28"/>
        <rFont val="Arial"/>
        <family val="0"/>
        <charset val="1"/>
      </rPr>
      <t xml:space="preserve">188</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</si>
  <si>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(02)2626-2020</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</si>
  <si>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</si>
  <si>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2015-02-04</t>
  </si>
  <si>
    <t xml:space="preserve">許華欣</t>
  </si>
  <si>
    <t xml:space="preserve">匡吉蕾</t>
  </si>
  <si>
    <t xml:space="preserve">私立殷普文理美語短期補習班</t>
  </si>
  <si>
    <r>
      <rPr>
        <sz val="10"/>
        <color rgb="FF1F2A28"/>
        <rFont val="WenQuanYi Zen Hei"/>
        <family val="2"/>
      </rPr>
      <t xml:space="preserve">淡水區新春街</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</si>
  <si>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(02)26255533</t>
  </si>
  <si>
    <t xml:space="preserve">input5533@gmail.com</t>
  </si>
  <si>
    <t xml:space="preserve">王玉婷</t>
  </si>
  <si>
    <t xml:space="preserve">私立比傑文理美語短期補習班</t>
  </si>
  <si>
    <r>
      <rPr>
        <sz val="10"/>
        <color rgb="FF1F2A28"/>
        <rFont val="WenQuanYi Zen Hei"/>
        <family val="2"/>
      </rPr>
      <t xml:space="preserve">淡水區新春街</t>
    </r>
    <r>
      <rPr>
        <sz val="10"/>
        <color rgb="FF1F2A28"/>
        <rFont val="Arial"/>
        <family val="0"/>
        <charset val="1"/>
      </rPr>
      <t xml:space="preserve">190</t>
    </r>
    <r>
      <rPr>
        <sz val="10"/>
        <color rgb="FF1F2A28"/>
        <rFont val="WenQuanYi Zen Hei"/>
        <family val="2"/>
      </rPr>
      <t xml:space="preserve">號、</t>
    </r>
    <r>
      <rPr>
        <sz val="10"/>
        <color rgb="FF1F2A28"/>
        <rFont val="Arial"/>
        <family val="0"/>
        <charset val="1"/>
      </rPr>
      <t xml:space="preserve">190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t>
    </r>
  </si>
  <si>
    <t xml:space="preserve">(02)26256368</t>
  </si>
  <si>
    <t xml:space="preserve">美語、數、英、自然</t>
  </si>
  <si>
    <t xml:space="preserve">蘇慧玲</t>
  </si>
  <si>
    <t xml:space="preserve">私立滬星文理技藝短期補習班</t>
  </si>
  <si>
    <r>
      <rPr>
        <sz val="10"/>
        <color rgb="FF1F2A28"/>
        <rFont val="WenQuanYi Zen Hei"/>
        <family val="2"/>
      </rPr>
      <t xml:space="preserve">淡水區崁頂三路</t>
    </r>
    <r>
      <rPr>
        <sz val="10"/>
        <color rgb="FF1F2A28"/>
        <rFont val="Arial"/>
        <family val="0"/>
        <charset val="1"/>
      </rPr>
      <t xml:space="preserve">93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99</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99</t>
    </r>
    <r>
      <rPr>
        <sz val="10"/>
        <color rgb="FF1F2A28"/>
        <rFont val="WenQuanYi Zen Hei"/>
        <family val="2"/>
      </rPr>
      <t xml:space="preserve">之</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</si>
  <si>
    <t xml:space="preserve">0911338765</t>
  </si>
  <si>
    <t xml:space="preserve">2026-08-12</t>
  </si>
  <si>
    <t xml:space="preserve">金芑</t>
  </si>
  <si>
    <t xml:space="preserve">許書維</t>
  </si>
  <si>
    <t xml:space="preserve">私立狄克森語文短期補習班</t>
  </si>
  <si>
    <r>
      <rPr>
        <sz val="10"/>
        <color rgb="FF1F2A28"/>
        <rFont val="WenQuanYi Zen Hei"/>
        <family val="2"/>
      </rPr>
      <t xml:space="preserve">淡水區民族路</t>
    </r>
    <r>
      <rPr>
        <sz val="10"/>
        <color rgb="FF1F2A28"/>
        <rFont val="Arial"/>
        <family val="0"/>
        <charset val="1"/>
      </rPr>
      <t xml:space="preserve">50</t>
    </r>
    <r>
      <rPr>
        <sz val="10"/>
        <color rgb="FF1F2A28"/>
        <rFont val="WenQuanYi Zen Hei"/>
        <family val="2"/>
      </rPr>
      <t xml:space="preserve">巷</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</si>
  <si>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(02)28083739</t>
  </si>
  <si>
    <t xml:space="preserve">nozkidz.bsb@nozkidz.com</t>
  </si>
  <si>
    <t xml:space="preserve">2004-06-03</t>
  </si>
  <si>
    <t xml:space="preserve">林英美</t>
  </si>
  <si>
    <t xml:space="preserve">王淑芬</t>
  </si>
  <si>
    <t xml:space="preserve">私立育橋文理技藝短期補習班</t>
  </si>
  <si>
    <r>
      <rPr>
        <sz val="10"/>
        <color rgb="FF1F2A28"/>
        <rFont val="WenQuanYi Zen Hei"/>
        <family val="2"/>
      </rPr>
      <t xml:space="preserve">淡水區水源街</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160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</si>
  <si>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(02)86313606</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</si>
  <si>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國文、英文、數學、自然、社會、歷史、地理、公民</t>
    </r>
    <r>
      <rPr>
        <sz val="10"/>
        <color rgb="FF1F2A28"/>
        <rFont val="Arial"/>
        <family val="0"/>
        <charset val="1"/>
      </rPr>
      <t xml:space="preserve">)</t>
    </r>
  </si>
  <si>
    <t xml:space="preserve">張景翔</t>
  </si>
  <si>
    <t xml:space="preserve">私立載思語文短期補習班</t>
  </si>
  <si>
    <r>
      <rPr>
        <sz val="10"/>
        <color rgb="FF1F2A28"/>
        <rFont val="WenQuanYi Zen Hei"/>
        <family val="2"/>
      </rPr>
      <t xml:space="preserve">淡水區自強路</t>
    </r>
    <r>
      <rPr>
        <sz val="10"/>
        <color rgb="FF1F2A28"/>
        <rFont val="Arial"/>
        <family val="0"/>
        <charset val="1"/>
      </rPr>
      <t xml:space="preserve">369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</si>
  <si>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(02)28095661</t>
  </si>
  <si>
    <t xml:space="preserve">2002-02-19</t>
  </si>
  <si>
    <t xml:space="preserve">李艷嬋</t>
  </si>
  <si>
    <t xml:space="preserve">劉逸真</t>
  </si>
  <si>
    <t xml:space="preserve">私立銘將語文短期補習班</t>
  </si>
  <si>
    <r>
      <rPr>
        <sz val="10"/>
        <color rgb="FF1F2A28"/>
        <rFont val="WenQuanYi Zen Hei"/>
        <family val="2"/>
      </rPr>
      <t xml:space="preserve">淡水區沙崙路</t>
    </r>
    <r>
      <rPr>
        <sz val="10"/>
        <color rgb="FF1F2A28"/>
        <rFont val="Arial"/>
        <family val="0"/>
        <charset val="1"/>
      </rPr>
      <t xml:space="preserve">181</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號</t>
    </r>
  </si>
  <si>
    <t xml:space="preserve">(02)2805-5165</t>
  </si>
  <si>
    <t xml:space="preserve">謝金孟</t>
  </si>
  <si>
    <t xml:space="preserve">私立閣英嵐文理語文短期補習班</t>
  </si>
  <si>
    <r>
      <rPr>
        <sz val="10"/>
        <color rgb="FF1F2A28"/>
        <rFont val="WenQuanYi Zen Hei"/>
        <family val="2"/>
      </rPr>
      <t xml:space="preserve">淡水區民族路</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</si>
  <si>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(02)2809-8411</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</si>
  <si>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國文、英文、數學、自然、社會</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</si>
  <si>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2015-11-24</t>
  </si>
  <si>
    <t xml:space="preserve">施淑芬</t>
  </si>
  <si>
    <t xml:space="preserve">私立麥克新民文理語文短期補習班</t>
  </si>
  <si>
    <r>
      <rPr>
        <sz val="10"/>
        <color rgb="FF1F2A28"/>
        <rFont val="WenQuanYi Zen Hei"/>
        <family val="2"/>
      </rPr>
      <t xml:space="preserve">淡水區新民街</t>
    </r>
    <r>
      <rPr>
        <sz val="10"/>
        <color rgb="FF1F2A28"/>
        <rFont val="Arial"/>
        <family val="0"/>
        <charset val="1"/>
      </rPr>
      <t xml:space="preserve">120</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</si>
  <si>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(02)26261010</t>
  </si>
  <si>
    <t xml:space="preserve">英文、數學、國文、自然與生活科技、美語</t>
  </si>
  <si>
    <t xml:space="preserve">2008-02-26</t>
  </si>
  <si>
    <t xml:space="preserve">吳承恩</t>
  </si>
  <si>
    <t xml:space="preserve">陳兆慶</t>
  </si>
  <si>
    <t xml:space="preserve">私立黃鶯美語短期補習班</t>
  </si>
  <si>
    <r>
      <rPr>
        <sz val="10"/>
        <color rgb="FF1F2A28"/>
        <rFont val="WenQuanYi Zen Hei"/>
        <family val="2"/>
      </rPr>
      <t xml:space="preserve">淡水區中正路</t>
    </r>
    <r>
      <rPr>
        <sz val="10"/>
        <color rgb="FF1F2A28"/>
        <rFont val="Arial"/>
        <family val="0"/>
        <charset val="1"/>
      </rPr>
      <t xml:space="preserve">272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</si>
  <si>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(02)26228833</t>
  </si>
  <si>
    <t xml:space="preserve">carl9182@gmail.com</t>
  </si>
  <si>
    <t xml:space="preserve">2007-06-08</t>
  </si>
  <si>
    <t xml:space="preserve">張東亮</t>
  </si>
  <si>
    <t xml:space="preserve">黃如英</t>
  </si>
  <si>
    <t xml:space="preserve">精英國際教育管理顧問股份有限公司附設私立卓越國際技藝文理短期補習班</t>
  </si>
  <si>
    <r>
      <rPr>
        <sz val="10"/>
        <color rgb="FF1F2A28"/>
        <rFont val="WenQuanYi Zen Hei"/>
        <family val="2"/>
      </rPr>
      <t xml:space="preserve">淡水區水源街</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157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</si>
  <si>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(02)26265466</t>
  </si>
  <si>
    <t xml:space="preserve">elite000004e@yahoo.com.tw</t>
  </si>
  <si>
    <t xml:space="preserve">2011-10-03</t>
  </si>
  <si>
    <t xml:space="preserve">曾惟辰</t>
  </si>
  <si>
    <t xml:space="preserve">精英國際教育管理顧問股份有限公司附設精英國際卓越文理語文珠心算美工設計短期補習班</t>
  </si>
  <si>
    <r>
      <rPr>
        <sz val="10"/>
        <color rgb="FF1F2A28"/>
        <rFont val="WenQuanYi Zen Hei"/>
        <family val="2"/>
      </rPr>
      <t xml:space="preserve">淡水區水源街</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157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</si>
  <si>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(02)26217667</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</si>
  <si>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英文、數學、自然與生活科技、國文、社會、語文</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英文、數學、自然與生活科技、國文、社會</t>
    </r>
    <r>
      <rPr>
        <sz val="10"/>
        <color rgb="FF1F2A28"/>
        <rFont val="Arial"/>
        <family val="0"/>
        <charset val="1"/>
      </rPr>
      <t xml:space="preserve">)</t>
    </r>
  </si>
  <si>
    <t xml:space="preserve">2015-04-08</t>
  </si>
  <si>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張書語</t>
    </r>
  </si>
  <si>
    <t xml:space="preserve">劉俊昇</t>
  </si>
  <si>
    <t xml:space="preserve">精英國際教育管理顧問股份有限公司附設萊恩得語文短期補習班</t>
  </si>
  <si>
    <r>
      <rPr>
        <sz val="10"/>
        <color rgb="FF1F2A28"/>
        <rFont val="WenQuanYi Zen Hei"/>
        <family val="2"/>
      </rPr>
      <t xml:space="preserve">淡水區民族路</t>
    </r>
    <r>
      <rPr>
        <sz val="10"/>
        <color rgb="FF1F2A28"/>
        <rFont val="Arial"/>
        <family val="0"/>
        <charset val="1"/>
      </rPr>
      <t xml:space="preserve">50</t>
    </r>
    <r>
      <rPr>
        <sz val="10"/>
        <color rgb="FF1F2A28"/>
        <rFont val="WenQuanYi Zen Hei"/>
        <family val="2"/>
      </rPr>
      <t xml:space="preserve">巷</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</si>
  <si>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(02)28082839</t>
  </si>
  <si>
    <t xml:space="preserve">林偉力</t>
  </si>
  <si>
    <t xml:space="preserve">芝加哥美語短期補習班</t>
  </si>
  <si>
    <r>
      <rPr>
        <sz val="10"/>
        <color rgb="FF1F2A28"/>
        <rFont val="WenQuanYi Zen Hei"/>
        <family val="2"/>
      </rPr>
      <t xml:space="preserve">淡水區中山北路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149</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</si>
  <si>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26238914</t>
  </si>
  <si>
    <t xml:space="preserve">2001-12-13</t>
  </si>
  <si>
    <t xml:space="preserve">巴梅莉</t>
  </si>
  <si>
    <t xml:space="preserve">淡水區新市</t>
  </si>
  <si>
    <t xml:space="preserve">私立思韡文理技藝短期補習班</t>
  </si>
  <si>
    <r>
      <rPr>
        <sz val="10"/>
        <color rgb="FF1F2A28"/>
        <rFont val="WenQuanYi Zen Hei"/>
        <family val="2"/>
      </rPr>
      <t xml:space="preserve">淡水區新市一路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101</t>
    </r>
    <r>
      <rPr>
        <sz val="10"/>
        <color rgb="FF1F2A28"/>
        <rFont val="WenQuanYi Zen Hei"/>
        <family val="2"/>
      </rPr>
      <t xml:space="preserve">巷</t>
    </r>
    <r>
      <rPr>
        <sz val="10"/>
        <color rgb="FF1F2A28"/>
        <rFont val="Arial"/>
        <family val="0"/>
        <charset val="1"/>
      </rPr>
      <t xml:space="preserve">138</t>
    </r>
    <r>
      <rPr>
        <sz val="10"/>
        <color rgb="FF1F2A28"/>
        <rFont val="WenQuanYi Zen Hei"/>
        <family val="2"/>
      </rPr>
      <t xml:space="preserve">號、</t>
    </r>
    <r>
      <rPr>
        <sz val="10"/>
        <color rgb="FF1F2A28"/>
        <rFont val="Arial"/>
        <family val="0"/>
        <charset val="1"/>
      </rPr>
      <t xml:space="preserve">158</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1</t>
    </r>
    <r>
      <rPr>
        <sz val="10"/>
        <color rgb="FF1F2A28"/>
        <rFont val="WenQuanYi Zen Hei"/>
        <family val="2"/>
      </rPr>
      <t xml:space="preserve">樓及夾層</t>
    </r>
    <r>
      <rPr>
        <sz val="10"/>
        <color rgb="FF1F2A28"/>
        <rFont val="Arial"/>
        <family val="0"/>
        <charset val="1"/>
      </rPr>
      <t xml:space="preserve">)</t>
    </r>
  </si>
  <si>
    <t xml:space="preserve">(02)8631-6620</t>
  </si>
  <si>
    <t xml:space="preserve">thewaylearningcenter@gmail.com</t>
  </si>
  <si>
    <t xml:space="preserve">2014-01-09</t>
  </si>
  <si>
    <t xml:space="preserve">曾華彥</t>
  </si>
  <si>
    <t xml:space="preserve">深坑區</t>
  </si>
  <si>
    <t xml:space="preserve">彩虹園文理短期補習班</t>
  </si>
  <si>
    <r>
      <rPr>
        <sz val="10"/>
        <color rgb="FF1F2A28"/>
        <rFont val="WenQuanYi Zen Hei"/>
        <family val="2"/>
      </rPr>
      <t xml:space="preserve">深坑區文化街</t>
    </r>
    <r>
      <rPr>
        <sz val="10"/>
        <color rgb="FF1F2A28"/>
        <rFont val="Arial"/>
        <family val="0"/>
        <charset val="1"/>
      </rPr>
      <t xml:space="preserve">110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</si>
  <si>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(02)26641660</t>
  </si>
  <si>
    <t xml:space="preserve">domenic6957@gmail.com</t>
  </si>
  <si>
    <t xml:space="preserve">2002-12-27</t>
  </si>
  <si>
    <t xml:space="preserve">謝汶甫</t>
  </si>
  <si>
    <t xml:space="preserve">私立伯斯特文理語文短期補習班</t>
  </si>
  <si>
    <r>
      <rPr>
        <sz val="10"/>
        <color rgb="FF1F2A28"/>
        <rFont val="WenQuanYi Zen Hei"/>
        <family val="2"/>
      </rPr>
      <t xml:space="preserve">深坑區埔新街</t>
    </r>
    <r>
      <rPr>
        <sz val="10"/>
        <color rgb="FF1F2A28"/>
        <rFont val="Arial"/>
        <family val="0"/>
        <charset val="1"/>
      </rPr>
      <t xml:space="preserve">59</t>
    </r>
    <r>
      <rPr>
        <sz val="10"/>
        <color rgb="FF1F2A28"/>
        <rFont val="WenQuanYi Zen Hei"/>
        <family val="2"/>
      </rPr>
      <t xml:space="preserve">號</t>
    </r>
  </si>
  <si>
    <t xml:space="preserve">(02)26623399</t>
  </si>
  <si>
    <t xml:space="preserve">dminghui@ms9.hinet.net</t>
  </si>
  <si>
    <t xml:space="preserve">賴錫勳</t>
  </si>
  <si>
    <t xml:space="preserve">戴銘輝</t>
  </si>
  <si>
    <t xml:space="preserve">私立新第一文理美語珠心算圍棋音樂美術書法短期補習班</t>
  </si>
  <si>
    <r>
      <rPr>
        <sz val="10"/>
        <color rgb="FF1F2A28"/>
        <rFont val="WenQuanYi Zen Hei"/>
        <family val="2"/>
      </rPr>
      <t xml:space="preserve">深坑區文化街</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</si>
  <si>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(02)26624238</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</si>
  <si>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英語、數學、理化</t>
    </r>
    <r>
      <rPr>
        <sz val="10"/>
        <color rgb="FF1F2A28"/>
        <rFont val="Arial"/>
        <family val="0"/>
        <charset val="1"/>
      </rPr>
      <t xml:space="preserve">)</t>
    </r>
  </si>
  <si>
    <t xml:space="preserve">2011-11-08</t>
  </si>
  <si>
    <t xml:space="preserve">洪明德</t>
  </si>
  <si>
    <t xml:space="preserve">王碧雪</t>
  </si>
  <si>
    <t xml:space="preserve">私立艾美英語短期補習班</t>
  </si>
  <si>
    <r>
      <rPr>
        <sz val="10"/>
        <color rgb="FF1F2A28"/>
        <rFont val="WenQuanYi Zen Hei"/>
        <family val="2"/>
      </rPr>
      <t xml:space="preserve">深坑區埔新街</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</si>
  <si>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(02)26621681</t>
  </si>
  <si>
    <t xml:space="preserve">2011-05-16</t>
  </si>
  <si>
    <t xml:space="preserve">王維元</t>
  </si>
  <si>
    <t xml:space="preserve">許俊唯</t>
  </si>
  <si>
    <t xml:space="preserve">私立詠翎文理短期補習班</t>
  </si>
  <si>
    <r>
      <rPr>
        <sz val="10"/>
        <color rgb="FF1F2A28"/>
        <rFont val="WenQuanYi Zen Hei"/>
        <family val="2"/>
      </rPr>
      <t xml:space="preserve">深坑區埔新街</t>
    </r>
    <r>
      <rPr>
        <sz val="10"/>
        <color rgb="FF1F2A28"/>
        <rFont val="Arial"/>
        <family val="0"/>
        <charset val="1"/>
      </rPr>
      <t xml:space="preserve">90</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r>
      <rPr>
        <sz val="10"/>
        <color rgb="FF1F2A28"/>
        <rFont val="Arial"/>
        <family val="0"/>
        <charset val="1"/>
      </rPr>
      <t xml:space="preserve">)</t>
    </r>
  </si>
  <si>
    <t xml:space="preserve">(02)2664-5865</t>
  </si>
  <si>
    <t xml:space="preserve">bb091@joy.com.tw</t>
  </si>
  <si>
    <t xml:space="preserve">2008-01-28</t>
  </si>
  <si>
    <t xml:space="preserve">周庭媛</t>
  </si>
  <si>
    <t xml:space="preserve">黃宸漢</t>
  </si>
  <si>
    <t xml:space="preserve">瑞芳區</t>
  </si>
  <si>
    <t xml:space="preserve">私立喬福語文短期補習班</t>
  </si>
  <si>
    <r>
      <rPr>
        <sz val="10"/>
        <color rgb="FF1F2A28"/>
        <rFont val="WenQuanYi Zen Hei"/>
        <family val="2"/>
      </rPr>
      <t xml:space="preserve">瑞芳區中正路</t>
    </r>
    <r>
      <rPr>
        <sz val="10"/>
        <color rgb="FF1F2A28"/>
        <rFont val="Arial"/>
        <family val="0"/>
        <charset val="1"/>
      </rPr>
      <t xml:space="preserve">63</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r>
      <rPr>
        <sz val="10"/>
        <color rgb="FF1F2A28"/>
        <rFont val="Arial"/>
        <family val="0"/>
        <charset val="1"/>
      </rPr>
      <t xml:space="preserve">63-1</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</si>
  <si>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(02)24061108</t>
  </si>
  <si>
    <t xml:space="preserve">calvin1688@me.com</t>
  </si>
  <si>
    <t xml:space="preserve">2003-07-24</t>
  </si>
  <si>
    <t xml:space="preserve">楊程皓</t>
  </si>
  <si>
    <t xml:space="preserve">何淑媛</t>
  </si>
  <si>
    <t xml:space="preserve">私立雪兒文理美語短期補習班</t>
  </si>
  <si>
    <r>
      <rPr>
        <sz val="10"/>
        <color rgb="FF1F2A28"/>
        <rFont val="WenQuanYi Zen Hei"/>
        <family val="2"/>
      </rPr>
      <t xml:space="preserve">瑞芳區三爪子坑路</t>
    </r>
    <r>
      <rPr>
        <sz val="10"/>
        <color rgb="FF1F2A28"/>
        <rFont val="Arial"/>
        <family val="0"/>
        <charset val="1"/>
      </rPr>
      <t xml:space="preserve">89</t>
    </r>
    <r>
      <rPr>
        <sz val="10"/>
        <color rgb="FF1F2A28"/>
        <rFont val="WenQuanYi Zen Hei"/>
        <family val="2"/>
      </rPr>
      <t xml:space="preserve">之</t>
    </r>
    <r>
      <rPr>
        <sz val="10"/>
        <color rgb="FF1F2A28"/>
        <rFont val="Arial"/>
        <family val="0"/>
        <charset val="1"/>
      </rPr>
      <t xml:space="preserve">14</t>
    </r>
    <r>
      <rPr>
        <sz val="10"/>
        <color rgb="FF1F2A28"/>
        <rFont val="WenQuanYi Zen Hei"/>
        <family val="2"/>
      </rPr>
      <t xml:space="preserve">號</t>
    </r>
  </si>
  <si>
    <t xml:space="preserve">(02)24970462</t>
  </si>
  <si>
    <t xml:space="preserve">namehelen@gmail.com</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</si>
  <si>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英文、數學、理化</t>
    </r>
    <r>
      <rPr>
        <sz val="10"/>
        <color rgb="FF1F2A28"/>
        <rFont val="Arial"/>
        <family val="0"/>
        <charset val="1"/>
      </rPr>
      <t xml:space="preserve">)</t>
    </r>
  </si>
  <si>
    <t xml:space="preserve">2004-07-30</t>
  </si>
  <si>
    <t xml:space="preserve">林雪娥</t>
  </si>
  <si>
    <t xml:space="preserve">吳徵衛</t>
  </si>
  <si>
    <t xml:space="preserve">萬里區</t>
  </si>
  <si>
    <t xml:space="preserve">私立天心文理語文短期補習班</t>
  </si>
  <si>
    <r>
      <rPr>
        <sz val="10"/>
        <color rgb="FF1F2A28"/>
        <rFont val="WenQuanYi Zen Hei"/>
        <family val="2"/>
      </rPr>
      <t xml:space="preserve">萬里區瑪鋉下街</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</si>
  <si>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(02)24924742</t>
  </si>
  <si>
    <t xml:space="preserve">國、英、數、自、社、美語</t>
  </si>
  <si>
    <t xml:space="preserve">2015-11-26</t>
  </si>
  <si>
    <t xml:space="preserve">祝莉婕</t>
  </si>
  <si>
    <t xml:space="preserve">私立波比語文短期補習班</t>
  </si>
  <si>
    <r>
      <rPr>
        <sz val="10"/>
        <color rgb="FF1F2A28"/>
        <rFont val="WenQuanYi Zen Hei"/>
        <family val="2"/>
      </rPr>
      <t xml:space="preserve">萬里區野柳村港東路</t>
    </r>
    <r>
      <rPr>
        <sz val="10"/>
        <color rgb="FF1F2A28"/>
        <rFont val="Arial"/>
        <family val="0"/>
        <charset val="1"/>
      </rPr>
      <t xml:space="preserve">327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</si>
  <si>
    <t xml:space="preserve">0937-830-852</t>
  </si>
  <si>
    <t xml:space="preserve">Yehliu69@yahoo.com.tw</t>
  </si>
  <si>
    <t xml:space="preserve">英語、英文</t>
  </si>
  <si>
    <t xml:space="preserve">2006-04-21</t>
  </si>
  <si>
    <t xml:space="preserve">許舒婷</t>
  </si>
  <si>
    <t xml:space="preserve">林于婷</t>
  </si>
  <si>
    <t xml:space="preserve">蘆洲區</t>
  </si>
  <si>
    <t xml:space="preserve">中國青年救國團附設集賢語文美容插花太極拳瑜珈短期補習班</t>
  </si>
  <si>
    <r>
      <rPr>
        <sz val="10"/>
        <color rgb="FF1F2A28"/>
        <rFont val="WenQuanYi Zen Hei"/>
        <family val="2"/>
      </rPr>
      <t xml:space="preserve">蘆洲區集賢路</t>
    </r>
    <r>
      <rPr>
        <sz val="10"/>
        <color rgb="FF1F2A28"/>
        <rFont val="Arial"/>
        <family val="0"/>
        <charset val="1"/>
      </rPr>
      <t xml:space="preserve">401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</si>
  <si>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(02)8285-9528</t>
  </si>
  <si>
    <t xml:space="preserve">lzcycedm@gmail.com</t>
  </si>
  <si>
    <t xml:space="preserve">2012-10-09</t>
  </si>
  <si>
    <t xml:space="preserve">巫詩敏</t>
  </si>
  <si>
    <t xml:space="preserve">佳美文理語文短期補習班</t>
  </si>
  <si>
    <r>
      <rPr>
        <sz val="10"/>
        <color rgb="FF1F2A28"/>
        <rFont val="WenQuanYi Zen Hei"/>
        <family val="2"/>
      </rPr>
      <t xml:space="preserve">蘆洲區中正路</t>
    </r>
    <r>
      <rPr>
        <sz val="10"/>
        <color rgb="FF1F2A28"/>
        <rFont val="Arial"/>
        <family val="0"/>
        <charset val="1"/>
      </rPr>
      <t xml:space="preserve">150-1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150-2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</si>
  <si>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(02)2847-1984</t>
  </si>
  <si>
    <t xml:space="preserve">bb063@joy.com.tw</t>
  </si>
  <si>
    <t xml:space="preserve">楊惠茹</t>
  </si>
  <si>
    <t xml:space="preserve">全方位英語文理技藝短期補習班</t>
  </si>
  <si>
    <r>
      <rPr>
        <sz val="10"/>
        <color rgb="FF1F2A28"/>
        <rFont val="WenQuanYi Zen Hei"/>
        <family val="2"/>
      </rPr>
      <t xml:space="preserve">蘆洲區長安街</t>
    </r>
    <r>
      <rPr>
        <sz val="10"/>
        <color rgb="FF1F2A28"/>
        <rFont val="Arial"/>
        <family val="0"/>
        <charset val="1"/>
      </rPr>
      <t xml:space="preserve">299</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</si>
  <si>
    <t xml:space="preserve">(02)22857808</t>
  </si>
  <si>
    <t xml:space="preserve">allaspect.english@gmail.com</t>
  </si>
  <si>
    <t xml:space="preserve">2008-05-29</t>
  </si>
  <si>
    <t xml:space="preserve">陳柔桑</t>
  </si>
  <si>
    <t xml:space="preserve">卓昇文理語文短期補習班</t>
  </si>
  <si>
    <r>
      <rPr>
        <sz val="10"/>
        <color rgb="FF1F2A28"/>
        <rFont val="WenQuanYi Zen Hei"/>
        <family val="2"/>
      </rPr>
      <t xml:space="preserve">蘆洲區民權路</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</si>
  <si>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(02)8282-3353</t>
  </si>
  <si>
    <t xml:space="preserve">mmj100school@gmail.com</t>
  </si>
  <si>
    <t xml:space="preserve">李珈樺</t>
  </si>
  <si>
    <t xml:space="preserve">潘俊良</t>
  </si>
  <si>
    <t xml:space="preserve">品亮語文文理短期補習班</t>
  </si>
  <si>
    <r>
      <rPr>
        <sz val="10"/>
        <color rgb="FF1F2A28"/>
        <rFont val="WenQuanYi Zen Hei"/>
        <family val="2"/>
      </rPr>
      <t xml:space="preserve">蘆洲區民族路</t>
    </r>
    <r>
      <rPr>
        <sz val="10"/>
        <color rgb="FF1F2A28"/>
        <rFont val="Arial"/>
        <family val="0"/>
        <charset val="1"/>
      </rPr>
      <t xml:space="preserve">472</t>
    </r>
    <r>
      <rPr>
        <sz val="10"/>
        <color rgb="FF1F2A28"/>
        <rFont val="WenQuanYi Zen Hei"/>
        <family val="2"/>
      </rPr>
      <t xml:space="preserve">號、</t>
    </r>
    <r>
      <rPr>
        <sz val="10"/>
        <color rgb="FF1F2A28"/>
        <rFont val="Arial"/>
        <family val="0"/>
        <charset val="1"/>
      </rPr>
      <t xml:space="preserve">478</t>
    </r>
    <r>
      <rPr>
        <sz val="10"/>
        <color rgb="FF1F2A28"/>
        <rFont val="WenQuanYi Zen Hei"/>
        <family val="2"/>
      </rPr>
      <t xml:space="preserve">號、</t>
    </r>
    <r>
      <rPr>
        <sz val="10"/>
        <color rgb="FF1F2A28"/>
        <rFont val="Arial"/>
        <family val="0"/>
        <charset val="1"/>
      </rPr>
      <t xml:space="preserve">480</t>
    </r>
    <r>
      <rPr>
        <sz val="10"/>
        <color rgb="FF1F2A28"/>
        <rFont val="WenQuanYi Zen Hei"/>
        <family val="2"/>
      </rPr>
      <t xml:space="preserve">號、</t>
    </r>
    <r>
      <rPr>
        <sz val="10"/>
        <color rgb="FF1F2A28"/>
        <rFont val="Arial"/>
        <family val="0"/>
        <charset val="1"/>
      </rPr>
      <t xml:space="preserve">486</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</si>
  <si>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(02)22822982</t>
  </si>
  <si>
    <t xml:space="preserve">sunnykittywu@yahoo.com.tw</t>
  </si>
  <si>
    <t xml:space="preserve">2012-02-15</t>
  </si>
  <si>
    <t xml:space="preserve">葉嘉銘</t>
  </si>
  <si>
    <t xml:space="preserve">吳欣倫</t>
  </si>
  <si>
    <t xml:space="preserve">喬治亞語文文理短期補習班</t>
  </si>
  <si>
    <r>
      <rPr>
        <sz val="10"/>
        <color rgb="FF1F2A28"/>
        <rFont val="WenQuanYi Zen Hei"/>
        <family val="2"/>
      </rPr>
      <t xml:space="preserve">蘆洲區永康街</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樓及地下</t>
    </r>
    <r>
      <rPr>
        <sz val="10"/>
        <color rgb="FF1F2A28"/>
        <rFont val="Arial"/>
        <family val="0"/>
        <charset val="1"/>
      </rPr>
      <t xml:space="preserve">1</t>
    </r>
    <r>
      <rPr>
        <sz val="10"/>
        <color rgb="FF1F2A28"/>
        <rFont val="WenQuanYi Zen Hei"/>
        <family val="2"/>
      </rPr>
      <t xml:space="preserve">樓</t>
    </r>
  </si>
  <si>
    <t xml:space="preserve">(02)2288-9569</t>
  </si>
  <si>
    <t xml:space="preserve">2002-04-09</t>
  </si>
  <si>
    <t xml:space="preserve">廖宏毅</t>
  </si>
  <si>
    <t xml:space="preserve">嘉美語文短期補習班</t>
  </si>
  <si>
    <r>
      <rPr>
        <sz val="10"/>
        <color rgb="FF1F2A28"/>
        <rFont val="WenQuanYi Zen Hei"/>
        <family val="2"/>
      </rPr>
      <t xml:space="preserve">蘆洲區民權路</t>
    </r>
    <r>
      <rPr>
        <sz val="10"/>
        <color rgb="FF1F2A28"/>
        <rFont val="Arial"/>
        <family val="0"/>
        <charset val="1"/>
      </rPr>
      <t xml:space="preserve">121</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</si>
  <si>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(02)2285-9282</t>
  </si>
  <si>
    <t xml:space="preserve">hs1006@hess.com.tw</t>
  </si>
  <si>
    <t xml:space="preserve">2014-09-10</t>
  </si>
  <si>
    <t xml:space="preserve">陳文莉</t>
  </si>
  <si>
    <t xml:space="preserve">許容甄</t>
  </si>
  <si>
    <t xml:space="preserve">奧利維亞語文短期補習班</t>
  </si>
  <si>
    <r>
      <rPr>
        <sz val="10"/>
        <color rgb="FF1F2A28"/>
        <rFont val="WenQuanYi Zen Hei"/>
        <family val="2"/>
      </rPr>
      <t xml:space="preserve">蘆洲區光復路</t>
    </r>
    <r>
      <rPr>
        <sz val="10"/>
        <color rgb="FF1F2A28"/>
        <rFont val="Arial"/>
        <family val="0"/>
        <charset val="1"/>
      </rPr>
      <t xml:space="preserve">92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層</t>
    </r>
    <r>
      <rPr>
        <sz val="10"/>
        <color rgb="FF1F2A28"/>
        <rFont val="Arial"/>
        <family val="0"/>
        <charset val="1"/>
      </rPr>
      <t xml:space="preserve">)</t>
    </r>
  </si>
  <si>
    <t xml:space="preserve">(02)82858205</t>
  </si>
  <si>
    <t xml:space="preserve">2009-09-17</t>
  </si>
  <si>
    <t xml:space="preserve">楊惠美</t>
  </si>
  <si>
    <t xml:space="preserve">宗志數學語文文理短期補習班</t>
  </si>
  <si>
    <r>
      <rPr>
        <sz val="10"/>
        <color rgb="FF1F2A28"/>
        <rFont val="WenQuanYi Zen Hei"/>
        <family val="2"/>
      </rPr>
      <t xml:space="preserve">蘆洲區中正路</t>
    </r>
    <r>
      <rPr>
        <sz val="10"/>
        <color rgb="FF1F2A28"/>
        <rFont val="Arial"/>
        <family val="0"/>
        <charset val="1"/>
      </rPr>
      <t xml:space="preserve">177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179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</si>
  <si>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(02)8285-3933</t>
  </si>
  <si>
    <t xml:space="preserve">2015-04-17</t>
  </si>
  <si>
    <t xml:space="preserve">趙翊帆</t>
  </si>
  <si>
    <t xml:space="preserve">宸鎔語文珠算短期補習班</t>
  </si>
  <si>
    <r>
      <rPr>
        <sz val="10"/>
        <color rgb="FF1F2A28"/>
        <rFont val="WenQuanYi Zen Hei"/>
        <family val="2"/>
      </rPr>
      <t xml:space="preserve">蘆洲區鷺江街</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</si>
  <si>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(02)82816276</t>
  </si>
  <si>
    <t xml:space="preserve">2002-08-20</t>
  </si>
  <si>
    <t xml:space="preserve">曾淑雲</t>
  </si>
  <si>
    <t xml:space="preserve">小鷺鷥文理語文短期補習班</t>
  </si>
  <si>
    <r>
      <rPr>
        <sz val="10"/>
        <color rgb="FF1F2A28"/>
        <rFont val="WenQuanYi Zen Hei"/>
        <family val="2"/>
      </rPr>
      <t xml:space="preserve">蘆洲區民權路</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</si>
  <si>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(02)82852927</t>
  </si>
  <si>
    <t xml:space="preserve">fanny0961@hotmail.com</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</si>
  <si>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</si>
  <si>
    <t xml:space="preserve">2013-03-06</t>
  </si>
  <si>
    <t xml:space="preserve">黃嘉莉</t>
  </si>
  <si>
    <t xml:space="preserve">愛維爾珠心算語文文理短期補習班</t>
  </si>
  <si>
    <r>
      <rPr>
        <sz val="10"/>
        <color rgb="FF1F2A28"/>
        <rFont val="WenQuanYi Zen Hei"/>
        <family val="2"/>
      </rPr>
      <t xml:space="preserve">蘆洲區長安街</t>
    </r>
    <r>
      <rPr>
        <sz val="10"/>
        <color rgb="FF1F2A28"/>
        <rFont val="Arial"/>
        <family val="0"/>
        <charset val="1"/>
      </rPr>
      <t xml:space="preserve">301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</si>
  <si>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(02)28486701</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</si>
  <si>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國語、英文、數學、社會、自然</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數學、英文</t>
    </r>
    <r>
      <rPr>
        <sz val="10"/>
        <color rgb="FF1F2A28"/>
        <rFont val="Arial"/>
        <family val="0"/>
        <charset val="1"/>
      </rPr>
      <t xml:space="preserve">)</t>
    </r>
  </si>
  <si>
    <t xml:space="preserve">2006-07-28</t>
  </si>
  <si>
    <t xml:space="preserve">陳淑琴</t>
  </si>
  <si>
    <t xml:space="preserve">新華爾街美語文理短期補習班</t>
  </si>
  <si>
    <r>
      <rPr>
        <sz val="10"/>
        <color rgb="FF1F2A28"/>
        <rFont val="WenQuanYi Zen Hei"/>
        <family val="2"/>
      </rPr>
      <t xml:space="preserve">蘆洲區光榮路</t>
    </r>
    <r>
      <rPr>
        <sz val="10"/>
        <color rgb="FF1F2A28"/>
        <rFont val="Arial"/>
        <family val="0"/>
        <charset val="1"/>
      </rPr>
      <t xml:space="preserve">100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</si>
  <si>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8283-8000</t>
  </si>
  <si>
    <t xml:space="preserve">gaujie560406@yahoo.com.tw</t>
  </si>
  <si>
    <t xml:space="preserve">2006-06-26</t>
  </si>
  <si>
    <t xml:space="preserve">陳正芬</t>
  </si>
  <si>
    <t xml:space="preserve">智道文理語文短期補習班</t>
  </si>
  <si>
    <r>
      <rPr>
        <sz val="10"/>
        <color rgb="FF1F2A28"/>
        <rFont val="WenQuanYi Zen Hei"/>
        <family val="2"/>
      </rPr>
      <t xml:space="preserve">蘆洲區長樂路</t>
    </r>
    <r>
      <rPr>
        <sz val="10"/>
        <color rgb="FF1F2A28"/>
        <rFont val="Arial"/>
        <family val="0"/>
        <charset val="1"/>
      </rPr>
      <t xml:space="preserve">231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</si>
  <si>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(02)2282-1010</t>
  </si>
  <si>
    <t xml:space="preserve">tact.f013@gmail.com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</si>
  <si>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全科</t>
    </r>
    <r>
      <rPr>
        <sz val="10"/>
        <color rgb="FF1F2A28"/>
        <rFont val="Arial"/>
        <family val="0"/>
        <charset val="1"/>
      </rPr>
      <t xml:space="preserve">)(</t>
    </r>
    <r>
      <rPr>
        <sz val="10"/>
        <color rgb="FF1F2A28"/>
        <rFont val="WenQuanYi Zen Hei"/>
        <family val="2"/>
      </rPr>
      <t xml:space="preserve">國英數理</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</si>
  <si>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2013-06-25</t>
  </si>
  <si>
    <t xml:space="preserve">李書綺</t>
  </si>
  <si>
    <t xml:space="preserve">鄧庭安</t>
  </si>
  <si>
    <t xml:space="preserve">清華文理語文短期補習班</t>
  </si>
  <si>
    <r>
      <rPr>
        <sz val="10"/>
        <color rgb="FF1F2A28"/>
        <rFont val="WenQuanYi Zen Hei"/>
        <family val="2"/>
      </rPr>
      <t xml:space="preserve">蘆洲區民權路</t>
    </r>
    <r>
      <rPr>
        <sz val="10"/>
        <color rgb="FF1F2A28"/>
        <rFont val="Arial"/>
        <family val="0"/>
        <charset val="1"/>
      </rPr>
      <t xml:space="preserve">132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</si>
  <si>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(02)28475468</t>
  </si>
  <si>
    <t xml:space="preserve">jeffery0730@gmail.com</t>
  </si>
  <si>
    <t xml:space="preserve">英文、數學、自然、國文、地理、歷史、公民、英語</t>
  </si>
  <si>
    <t xml:space="preserve">2016-01-30</t>
  </si>
  <si>
    <t xml:space="preserve">毛逸夫</t>
  </si>
  <si>
    <t xml:space="preserve">環愛語文短期補習班</t>
  </si>
  <si>
    <r>
      <rPr>
        <sz val="10"/>
        <color rgb="FF1F2A28"/>
        <rFont val="WenQuanYi Zen Hei"/>
        <family val="2"/>
      </rPr>
      <t xml:space="preserve">蘆洲區長安街</t>
    </r>
    <r>
      <rPr>
        <sz val="10"/>
        <color rgb="FF1F2A28"/>
        <rFont val="Arial"/>
        <family val="0"/>
        <charset val="1"/>
      </rPr>
      <t xml:space="preserve">379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</si>
  <si>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(02)28470618</t>
  </si>
  <si>
    <t xml:space="preserve">huanaitw@yahoo.com.tw</t>
  </si>
  <si>
    <t xml:space="preserve">1999-06-17</t>
  </si>
  <si>
    <t xml:space="preserve">張淑津</t>
  </si>
  <si>
    <t xml:space="preserve">睿晟文理短期補習班</t>
  </si>
  <si>
    <r>
      <rPr>
        <sz val="10"/>
        <color rgb="FF1F2A28"/>
        <rFont val="WenQuanYi Zen Hei"/>
        <family val="2"/>
      </rPr>
      <t xml:space="preserve">蘆洲區長興路</t>
    </r>
    <r>
      <rPr>
        <sz val="10"/>
        <color rgb="FF1F2A28"/>
        <rFont val="Arial"/>
        <family val="0"/>
        <charset val="1"/>
      </rPr>
      <t xml:space="preserve">296</t>
    </r>
    <r>
      <rPr>
        <sz val="10"/>
        <color rgb="FF1F2A28"/>
        <rFont val="WenQuanYi Zen Hei"/>
        <family val="2"/>
      </rPr>
      <t xml:space="preserve">之</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</si>
  <si>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02-82812608</t>
  </si>
  <si>
    <t xml:space="preserve">raychen.school@msa.hinet.net</t>
  </si>
  <si>
    <t xml:space="preserve">余金燕</t>
  </si>
  <si>
    <t xml:space="preserve">林秀美</t>
  </si>
  <si>
    <t xml:space="preserve">私立佳恩文理美語美術短期補習班</t>
  </si>
  <si>
    <r>
      <rPr>
        <sz val="10"/>
        <color rgb="FF1F2A28"/>
        <rFont val="WenQuanYi Zen Hei"/>
        <family val="2"/>
      </rPr>
      <t xml:space="preserve">蘆洲區光榮路</t>
    </r>
    <r>
      <rPr>
        <sz val="10"/>
        <color rgb="FF1F2A28"/>
        <rFont val="Arial"/>
        <family val="0"/>
        <charset val="1"/>
      </rPr>
      <t xml:space="preserve">101</t>
    </r>
    <r>
      <rPr>
        <sz val="10"/>
        <color rgb="FF1F2A28"/>
        <rFont val="WenQuanYi Zen Hei"/>
        <family val="2"/>
      </rPr>
      <t xml:space="preserve">巷</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</si>
  <si>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(02)2289-9948</t>
  </si>
  <si>
    <t xml:space="preserve">chearly2015@gmail.com</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</si>
  <si>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英、數、自然、國文</t>
    </r>
    <r>
      <rPr>
        <sz val="10"/>
        <color rgb="FF1F2A28"/>
        <rFont val="Arial"/>
        <family val="0"/>
        <charset val="1"/>
      </rPr>
      <t xml:space="preserve">)</t>
    </r>
  </si>
  <si>
    <t xml:space="preserve">2006-01-18</t>
  </si>
  <si>
    <t xml:space="preserve">楊峟霖</t>
  </si>
  <si>
    <t xml:space="preserve">楊志弘</t>
  </si>
  <si>
    <t xml:space="preserve">私立佳格文理美語美術音樂短期補習班</t>
  </si>
  <si>
    <r>
      <rPr>
        <sz val="10"/>
        <color rgb="FF1F2A28"/>
        <rFont val="WenQuanYi Zen Hei"/>
        <family val="2"/>
      </rPr>
      <t xml:space="preserve">蘆洲區光榮路</t>
    </r>
    <r>
      <rPr>
        <sz val="10"/>
        <color rgb="FF1F2A28"/>
        <rFont val="Arial"/>
        <family val="0"/>
        <charset val="1"/>
      </rPr>
      <t xml:space="preserve">90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</si>
  <si>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(02)2848-9333</t>
  </si>
  <si>
    <t xml:space="preserve">chearly2015@gmail.tw</t>
  </si>
  <si>
    <t xml:space="preserve">陳昀緹</t>
  </si>
  <si>
    <t xml:space="preserve">私立全國文理語文短期補習班</t>
  </si>
  <si>
    <r>
      <rPr>
        <sz val="10"/>
        <color rgb="FF1F2A28"/>
        <rFont val="WenQuanYi Zen Hei"/>
        <family val="2"/>
      </rPr>
      <t xml:space="preserve">蘆洲區民生街</t>
    </r>
    <r>
      <rPr>
        <sz val="10"/>
        <color rgb="FF1F2A28"/>
        <rFont val="Arial"/>
        <family val="0"/>
        <charset val="1"/>
      </rPr>
      <t xml:space="preserve">97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</si>
  <si>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(02)22811181</t>
  </si>
  <si>
    <t xml:space="preserve">uncle75111@yahoo.com.tw</t>
  </si>
  <si>
    <t xml:space="preserve">2006-09-29</t>
  </si>
  <si>
    <t xml:space="preserve">許國堂</t>
  </si>
  <si>
    <t xml:space="preserve">私立冠鈞文理語文短期補習班</t>
  </si>
  <si>
    <r>
      <rPr>
        <sz val="10"/>
        <color rgb="FF1F2A28"/>
        <rFont val="WenQuanYi Zen Hei"/>
        <family val="2"/>
      </rPr>
      <t xml:space="preserve">蘆洲區長安街</t>
    </r>
    <r>
      <rPr>
        <sz val="10"/>
        <color rgb="FF1F2A28"/>
        <rFont val="Arial"/>
        <family val="0"/>
        <charset val="1"/>
      </rPr>
      <t xml:space="preserve">240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242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246</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</si>
  <si>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(02)22885125</t>
  </si>
  <si>
    <t xml:space="preserve">huanais@yahoo.com.tw</t>
  </si>
  <si>
    <t xml:space="preserve">2006-01-07</t>
  </si>
  <si>
    <t xml:space="preserve">私立博仁語文文理短期補習班</t>
  </si>
  <si>
    <r>
      <rPr>
        <sz val="10"/>
        <color rgb="FF1F2A28"/>
        <rFont val="WenQuanYi Zen Hei"/>
        <family val="2"/>
      </rPr>
      <t xml:space="preserve">蘆洲區長安街</t>
    </r>
    <r>
      <rPr>
        <sz val="10"/>
        <color rgb="FF1F2A28"/>
        <rFont val="Arial"/>
        <family val="0"/>
        <charset val="1"/>
      </rPr>
      <t xml:space="preserve">313</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</si>
  <si>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(02)82855208</t>
  </si>
  <si>
    <t xml:space="preserve">2005-09-07</t>
  </si>
  <si>
    <t xml:space="preserve">陳信豪</t>
  </si>
  <si>
    <t xml:space="preserve">私立史丹力語文短期補習班</t>
  </si>
  <si>
    <r>
      <rPr>
        <sz val="10"/>
        <color rgb="FF1F2A28"/>
        <rFont val="WenQuanYi Zen Hei"/>
        <family val="2"/>
      </rPr>
      <t xml:space="preserve">蘆洲區光榮路</t>
    </r>
    <r>
      <rPr>
        <sz val="10"/>
        <color rgb="FF1F2A28"/>
        <rFont val="Arial"/>
        <family val="0"/>
        <charset val="1"/>
      </rPr>
      <t xml:space="preserve">94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</si>
  <si>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(02)2847-9900</t>
  </si>
  <si>
    <t xml:space="preserve">2006-09-26</t>
  </si>
  <si>
    <t xml:space="preserve">徐莉蘋</t>
  </si>
  <si>
    <t xml:space="preserve">私立向益文理珠心算短期補習班</t>
  </si>
  <si>
    <r>
      <rPr>
        <sz val="10"/>
        <color rgb="FF1F2A28"/>
        <rFont val="WenQuanYi Zen Hei"/>
        <family val="2"/>
      </rPr>
      <t xml:space="preserve">蘆洲區永安南路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328</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弄</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樓、地下</t>
    </r>
    <r>
      <rPr>
        <sz val="10"/>
        <color rgb="FF1F2A28"/>
        <rFont val="Arial"/>
        <family val="0"/>
        <charset val="1"/>
      </rPr>
      <t xml:space="preserve">1</t>
    </r>
    <r>
      <rPr>
        <sz val="10"/>
        <color rgb="FF1F2A28"/>
        <rFont val="WenQuanYi Zen Hei"/>
        <family val="2"/>
      </rPr>
      <t xml:space="preserve">樓</t>
    </r>
  </si>
  <si>
    <t xml:space="preserve">(02)22850335</t>
  </si>
  <si>
    <t xml:space="preserve">2005-10-26</t>
  </si>
  <si>
    <t xml:space="preserve">柳蕙萍</t>
  </si>
  <si>
    <t xml:space="preserve">私立君維教育文理短期補習班</t>
  </si>
  <si>
    <r>
      <rPr>
        <sz val="10"/>
        <color rgb="FF1F2A28"/>
        <rFont val="WenQuanYi Zen Hei"/>
        <family val="2"/>
      </rPr>
      <t xml:space="preserve">蘆洲區光榮路</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</si>
  <si>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0939842984</t>
  </si>
  <si>
    <t xml:space="preserve">2026-06-26</t>
  </si>
  <si>
    <t xml:space="preserve">洪雅惠</t>
  </si>
  <si>
    <t xml:space="preserve">私立品赫文理短期補習班</t>
  </si>
  <si>
    <r>
      <rPr>
        <sz val="10"/>
        <color rgb="FF1F2A28"/>
        <rFont val="WenQuanYi Zen Hei"/>
        <family val="2"/>
      </rPr>
      <t xml:space="preserve">蘆洲區中正路</t>
    </r>
    <r>
      <rPr>
        <sz val="10"/>
        <color rgb="FF1F2A28"/>
        <rFont val="Arial"/>
        <family val="0"/>
        <charset val="1"/>
      </rPr>
      <t xml:space="preserve">131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層</t>
    </r>
    <r>
      <rPr>
        <sz val="10"/>
        <color rgb="FF1F2A28"/>
        <rFont val="Arial"/>
        <family val="0"/>
        <charset val="1"/>
      </rPr>
      <t xml:space="preserve">)</t>
    </r>
  </si>
  <si>
    <t xml:space="preserve">0282816008</t>
  </si>
  <si>
    <t xml:space="preserve">tamroneducation@gmail.com</t>
  </si>
  <si>
    <t xml:space="preserve">沈維國</t>
  </si>
  <si>
    <t xml:space="preserve">孫千琇</t>
  </si>
  <si>
    <t xml:space="preserve">私立喬鈴文理語文短期補習班</t>
  </si>
  <si>
    <r>
      <rPr>
        <sz val="10"/>
        <color rgb="FF1F2A28"/>
        <rFont val="WenQuanYi Zen Hei"/>
        <family val="2"/>
      </rPr>
      <t xml:space="preserve">蘆洲區長安街</t>
    </r>
    <r>
      <rPr>
        <sz val="10"/>
        <color rgb="FF1F2A28"/>
        <rFont val="Arial"/>
        <family val="0"/>
        <charset val="1"/>
      </rPr>
      <t xml:space="preserve">109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111</t>
    </r>
    <r>
      <rPr>
        <sz val="10"/>
        <color rgb="FF1F2A28"/>
        <rFont val="WenQuanYi Zen Hei"/>
        <family val="2"/>
      </rPr>
      <t xml:space="preserve">巷</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</si>
  <si>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(02)2283-5054</t>
  </si>
  <si>
    <r>
      <rPr>
        <sz val="10"/>
        <color rgb="FF1F2A28"/>
        <rFont val="Arial"/>
        <family val="0"/>
        <charset val="1"/>
      </rPr>
      <t xml:space="preserve">(</t>
    </r>
    <r>
      <rPr>
        <sz val="10"/>
        <color rgb="FF1F2A28"/>
        <rFont val="WenQuanYi Zen Hei"/>
        <family val="2"/>
      </rPr>
      <t xml:space="preserve">國文、英文、數學、自然、社會</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</si>
  <si>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1993-06-11</t>
  </si>
  <si>
    <t xml:space="preserve">王雅萱</t>
  </si>
  <si>
    <t xml:space="preserve">私立培恩文理語文短期補習班</t>
  </si>
  <si>
    <r>
      <rPr>
        <sz val="10"/>
        <color rgb="FF1F2A28"/>
        <rFont val="WenQuanYi Zen Hei"/>
        <family val="2"/>
      </rPr>
      <t xml:space="preserve">蘆洲區中正路</t>
    </r>
    <r>
      <rPr>
        <sz val="10"/>
        <color rgb="FF1F2A28"/>
        <rFont val="Arial"/>
        <family val="0"/>
        <charset val="1"/>
      </rPr>
      <t xml:space="preserve">125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</si>
  <si>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(02)22853000</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</si>
  <si>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t>
    </r>
    <r>
      <rPr>
        <sz val="10"/>
        <color rgb="FF1F2A28"/>
        <rFont val="Arial"/>
        <family val="0"/>
        <charset val="1"/>
      </rPr>
      <t xml:space="preserve">)</t>
    </r>
  </si>
  <si>
    <t xml:space="preserve">陳宗志</t>
  </si>
  <si>
    <t xml:space="preserve">私立宏騰文理語文短期補習班</t>
  </si>
  <si>
    <r>
      <rPr>
        <sz val="10"/>
        <color rgb="FF1F2A28"/>
        <rFont val="WenQuanYi Zen Hei"/>
        <family val="2"/>
      </rPr>
      <t xml:space="preserve">蘆洲區長安街</t>
    </r>
    <r>
      <rPr>
        <sz val="10"/>
        <color rgb="FF1F2A28"/>
        <rFont val="Arial"/>
        <family val="0"/>
        <charset val="1"/>
      </rPr>
      <t xml:space="preserve">269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</si>
  <si>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(02)2288-3063</t>
  </si>
  <si>
    <t xml:space="preserve">liupifeng2000@yahoo.com.tw</t>
  </si>
  <si>
    <t xml:space="preserve">2010-06-10</t>
  </si>
  <si>
    <t xml:space="preserve">王伶玲</t>
  </si>
  <si>
    <t xml:space="preserve">劉碧芳</t>
  </si>
  <si>
    <t xml:space="preserve">私立小亨利文理語文短期補習班</t>
  </si>
  <si>
    <r>
      <rPr>
        <sz val="10"/>
        <color rgb="FF1F2A28"/>
        <rFont val="WenQuanYi Zen Hei"/>
        <family val="2"/>
      </rPr>
      <t xml:space="preserve">蘆洲區光明路</t>
    </r>
    <r>
      <rPr>
        <sz val="10"/>
        <color rgb="FF1F2A28"/>
        <rFont val="Arial"/>
        <family val="0"/>
        <charset val="1"/>
      </rPr>
      <t xml:space="preserve">139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</si>
  <si>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(02)22899672</t>
  </si>
  <si>
    <t xml:space="preserve">tel22899672@gmail.com</t>
  </si>
  <si>
    <t xml:space="preserve">2005-08-09</t>
  </si>
  <si>
    <t xml:space="preserve">黃郁穎</t>
  </si>
  <si>
    <t xml:space="preserve">私立德愛文理語文短期補習班</t>
  </si>
  <si>
    <r>
      <rPr>
        <sz val="10"/>
        <color rgb="FF1F2A28"/>
        <rFont val="WenQuanYi Zen Hei"/>
        <family val="2"/>
      </rPr>
      <t xml:space="preserve">蘆洲區集賢路</t>
    </r>
    <r>
      <rPr>
        <sz val="10"/>
        <color rgb="FF1F2A28"/>
        <rFont val="Arial"/>
        <family val="0"/>
        <charset val="1"/>
      </rPr>
      <t xml:space="preserve">224</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</si>
  <si>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(02)2289-3986</t>
  </si>
  <si>
    <t xml:space="preserve">isabelle5549@gmail.com</t>
  </si>
  <si>
    <t xml:space="preserve">邱美倫</t>
  </si>
  <si>
    <t xml:space="preserve">私立成翰文理短期補習班</t>
  </si>
  <si>
    <r>
      <rPr>
        <sz val="10"/>
        <color rgb="FF1F2A28"/>
        <rFont val="WenQuanYi Zen Hei"/>
        <family val="2"/>
      </rPr>
      <t xml:space="preserve">蘆洲區中山一路</t>
    </r>
    <r>
      <rPr>
        <sz val="10"/>
        <color rgb="FF1F2A28"/>
        <rFont val="Arial"/>
        <family val="0"/>
        <charset val="1"/>
      </rPr>
      <t xml:space="preserve">293</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</si>
  <si>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(02)82858880</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</si>
  <si>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國、英、數、自然、社會</t>
    </r>
    <r>
      <rPr>
        <sz val="10"/>
        <color rgb="FF1F2A28"/>
        <rFont val="Arial"/>
        <family val="0"/>
        <charset val="1"/>
      </rPr>
      <t xml:space="preserve">)</t>
    </r>
  </si>
  <si>
    <t xml:space="preserve">蕭羽唐</t>
  </si>
  <si>
    <t xml:space="preserve">私立易果語文短期補習班</t>
  </si>
  <si>
    <r>
      <rPr>
        <sz val="10"/>
        <color rgb="FF1F2A28"/>
        <rFont val="WenQuanYi Zen Hei"/>
        <family val="2"/>
      </rPr>
      <t xml:space="preserve">蘆洲區長樂路</t>
    </r>
    <r>
      <rPr>
        <sz val="10"/>
        <color rgb="FF1F2A28"/>
        <rFont val="Arial"/>
        <family val="0"/>
        <charset val="1"/>
      </rPr>
      <t xml:space="preserve">106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106</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</si>
  <si>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(02)2289-0217</t>
  </si>
  <si>
    <t xml:space="preserve">chungyi.nt@eagletw.com</t>
  </si>
  <si>
    <t xml:space="preserve">2011-08-23</t>
  </si>
  <si>
    <t xml:space="preserve">楊伸崇</t>
  </si>
  <si>
    <t xml:space="preserve">私立智揚文理語文短期補習班</t>
  </si>
  <si>
    <r>
      <rPr>
        <sz val="10"/>
        <color rgb="FF1F2A28"/>
        <rFont val="WenQuanYi Zen Hei"/>
        <family val="2"/>
      </rPr>
      <t xml:space="preserve">蘆洲區長安街</t>
    </r>
    <r>
      <rPr>
        <sz val="10"/>
        <color rgb="FF1F2A28"/>
        <rFont val="Arial"/>
        <family val="0"/>
        <charset val="1"/>
      </rPr>
      <t xml:space="preserve">137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139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</si>
  <si>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(02)8286-9365</t>
  </si>
  <si>
    <t xml:space="preserve">chinsheng100@yahoo.com.tw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</si>
  <si>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自社國英數</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</si>
  <si>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2013-05-06</t>
  </si>
  <si>
    <t xml:space="preserve">陳許京荣</t>
  </si>
  <si>
    <t xml:space="preserve">陳英倩</t>
  </si>
  <si>
    <t xml:space="preserve">私立欣蓓文理技藝短期補習班</t>
  </si>
  <si>
    <r>
      <rPr>
        <sz val="10"/>
        <color rgb="FF1F2A28"/>
        <rFont val="WenQuanYi Zen Hei"/>
        <family val="2"/>
      </rPr>
      <t xml:space="preserve">蘆洲區中正路</t>
    </r>
    <r>
      <rPr>
        <sz val="10"/>
        <color rgb="FF1F2A28"/>
        <rFont val="Arial"/>
        <family val="0"/>
        <charset val="1"/>
      </rPr>
      <t xml:space="preserve">129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131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133</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</si>
  <si>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(02)8282-6470</t>
  </si>
  <si>
    <t xml:space="preserve">jackli219@gmail.com</t>
  </si>
  <si>
    <t xml:space="preserve">1998-12-02</t>
  </si>
  <si>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李建龍</t>
    </r>
  </si>
  <si>
    <t xml:space="preserve">李建龍</t>
  </si>
  <si>
    <t xml:space="preserve">私立泰恩文理短期補習班</t>
  </si>
  <si>
    <r>
      <rPr>
        <sz val="10"/>
        <color rgb="FF1F2A28"/>
        <rFont val="WenQuanYi Zen Hei"/>
        <family val="2"/>
      </rPr>
      <t xml:space="preserve">蘆洲區光華路</t>
    </r>
    <r>
      <rPr>
        <sz val="10"/>
        <color rgb="FF1F2A28"/>
        <rFont val="Arial"/>
        <family val="0"/>
        <charset val="1"/>
      </rPr>
      <t xml:space="preserve">70</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</si>
  <si>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(02)2282-1899</t>
  </si>
  <si>
    <t xml:space="preserve">jackieobasi@gmail.com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</si>
  <si>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、技藝</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</si>
  <si>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2004-09-27</t>
  </si>
  <si>
    <t xml:space="preserve">林素珍</t>
  </si>
  <si>
    <t xml:space="preserve">許淑卿</t>
  </si>
  <si>
    <t xml:space="preserve">私立派星星文理短期補習班</t>
  </si>
  <si>
    <r>
      <rPr>
        <sz val="10"/>
        <color rgb="FF1F2A28"/>
        <rFont val="WenQuanYi Zen Hei"/>
        <family val="2"/>
      </rPr>
      <t xml:space="preserve">蘆洲區長安街</t>
    </r>
    <r>
      <rPr>
        <sz val="10"/>
        <color rgb="FF1F2A28"/>
        <rFont val="Arial"/>
        <family val="0"/>
        <charset val="1"/>
      </rPr>
      <t xml:space="preserve">313</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各</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</si>
  <si>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jade0330@yahoo.com.tw</t>
  </si>
  <si>
    <t xml:space="preserve">2015-03-18</t>
  </si>
  <si>
    <t xml:space="preserve">黃綺玉</t>
  </si>
  <si>
    <t xml:space="preserve">私立瀚儒文理語文短期補習班</t>
  </si>
  <si>
    <r>
      <rPr>
        <sz val="10"/>
        <color rgb="FF1F2A28"/>
        <rFont val="WenQuanYi Zen Hei"/>
        <family val="2"/>
      </rPr>
      <t xml:space="preserve">蘆洲區長興路</t>
    </r>
    <r>
      <rPr>
        <sz val="10"/>
        <color rgb="FF1F2A28"/>
        <rFont val="Arial"/>
        <family val="0"/>
        <charset val="1"/>
      </rPr>
      <t xml:space="preserve">201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</si>
  <si>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(02)82858265</t>
  </si>
  <si>
    <t xml:space="preserve">skyhata@gmail.com</t>
  </si>
  <si>
    <t xml:space="preserve">2015-03-20</t>
  </si>
  <si>
    <t xml:space="preserve">吳相儒</t>
  </si>
  <si>
    <t xml:space="preserve">私立立翊語文短期補習班</t>
  </si>
  <si>
    <r>
      <rPr>
        <sz val="10"/>
        <color rgb="FF1F2A28"/>
        <rFont val="WenQuanYi Zen Hei"/>
        <family val="2"/>
      </rPr>
      <t xml:space="preserve">蘆洲區中正路</t>
    </r>
    <r>
      <rPr>
        <sz val="10"/>
        <color rgb="FF1F2A28"/>
        <rFont val="Arial"/>
        <family val="0"/>
        <charset val="1"/>
      </rPr>
      <t xml:space="preserve">202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</si>
  <si>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22882127</t>
  </si>
  <si>
    <t xml:space="preserve">2000-03-22</t>
  </si>
  <si>
    <t xml:space="preserve">游竹立</t>
  </si>
  <si>
    <t xml:space="preserve">施慈敏</t>
  </si>
  <si>
    <t xml:space="preserve">私立群翊文理語文短期補習班</t>
  </si>
  <si>
    <r>
      <rPr>
        <sz val="10"/>
        <color rgb="FF1F2A28"/>
        <rFont val="WenQuanYi Zen Hei"/>
        <family val="2"/>
      </rPr>
      <t xml:space="preserve">蘆洲區民權路</t>
    </r>
    <r>
      <rPr>
        <sz val="10"/>
        <color rgb="FF1F2A28"/>
        <rFont val="Arial"/>
        <family val="0"/>
        <charset val="1"/>
      </rPr>
      <t xml:space="preserve">131</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</si>
  <si>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(02)2847-5888</t>
  </si>
  <si>
    <t xml:space="preserve">mayin916@yahoo.com.tw</t>
  </si>
  <si>
    <t xml:space="preserve">2008-09-30</t>
  </si>
  <si>
    <t xml:space="preserve">偕美英</t>
  </si>
  <si>
    <t xml:space="preserve">私立艾卡兒文理語文短期補習班</t>
  </si>
  <si>
    <r>
      <rPr>
        <sz val="10"/>
        <color rgb="FF1F2A28"/>
        <rFont val="WenQuanYi Zen Hei"/>
        <family val="2"/>
      </rPr>
      <t xml:space="preserve">蘆洲區光榮路</t>
    </r>
    <r>
      <rPr>
        <sz val="10"/>
        <color rgb="FF1F2A28"/>
        <rFont val="Arial"/>
        <family val="0"/>
        <charset val="1"/>
      </rPr>
      <t xml:space="preserve">118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</si>
  <si>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(02)2288-9077</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</si>
  <si>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英文、數學、自然與生活科技</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</si>
  <si>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2015-01-27</t>
  </si>
  <si>
    <t xml:space="preserve">顏卉頤</t>
  </si>
  <si>
    <t xml:space="preserve">張意馨</t>
  </si>
  <si>
    <t xml:space="preserve">私立蓓格美語文理技藝短期補習班</t>
  </si>
  <si>
    <r>
      <rPr>
        <sz val="10"/>
        <color rgb="FF1F2A28"/>
        <rFont val="WenQuanYi Zen Hei"/>
        <family val="2"/>
      </rPr>
      <t xml:space="preserve">蘆洲區長興路</t>
    </r>
    <r>
      <rPr>
        <sz val="10"/>
        <color rgb="FF1F2A28"/>
        <rFont val="Arial"/>
        <family val="0"/>
        <charset val="1"/>
      </rPr>
      <t xml:space="preserve">301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</si>
  <si>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(02)8282-8775</t>
  </si>
  <si>
    <t xml:space="preserve">廖俐怡</t>
  </si>
  <si>
    <t xml:space="preserve">私立藝蓴英語音樂短期補習班</t>
  </si>
  <si>
    <r>
      <rPr>
        <sz val="10"/>
        <color rgb="FF1F2A28"/>
        <rFont val="WenQuanYi Zen Hei"/>
        <family val="2"/>
      </rPr>
      <t xml:space="preserve">蘆洲區民族路</t>
    </r>
    <r>
      <rPr>
        <sz val="10"/>
        <color rgb="FF1F2A28"/>
        <rFont val="Arial"/>
        <family val="0"/>
        <charset val="1"/>
      </rPr>
      <t xml:space="preserve">536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</si>
  <si>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(02)22810363</t>
  </si>
  <si>
    <t xml:space="preserve">action590@gmail.com</t>
  </si>
  <si>
    <t xml:space="preserve">1993-04-07</t>
  </si>
  <si>
    <t xml:space="preserve">吳國飛</t>
  </si>
  <si>
    <t xml:space="preserve">私立財團法人功學社學術獎助基金會附設鷺洲音樂文理短期補習班</t>
  </si>
  <si>
    <r>
      <rPr>
        <sz val="10"/>
        <color rgb="FF1F2A28"/>
        <rFont val="WenQuanYi Zen Hei"/>
        <family val="2"/>
      </rPr>
      <t xml:space="preserve">蘆洲區中山二路</t>
    </r>
    <r>
      <rPr>
        <sz val="10"/>
        <color rgb="FF1F2A28"/>
        <rFont val="Arial"/>
        <family val="0"/>
        <charset val="1"/>
      </rPr>
      <t xml:space="preserve">162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</si>
  <si>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(02)8283-8255</t>
  </si>
  <si>
    <t xml:space="preserve">b217@khsmusic.com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</si>
  <si>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</si>
  <si>
    <t xml:space="preserve">林志明</t>
  </si>
  <si>
    <t xml:space="preserve">許瓊瑜</t>
  </si>
  <si>
    <t xml:space="preserve">私立迦美文理語文短期補習班</t>
  </si>
  <si>
    <r>
      <rPr>
        <sz val="10"/>
        <color rgb="FF1F2A28"/>
        <rFont val="WenQuanYi Zen Hei"/>
        <family val="2"/>
      </rPr>
      <t xml:space="preserve">蘆洲區中正路</t>
    </r>
    <r>
      <rPr>
        <sz val="10"/>
        <color rgb="FF1F2A28"/>
        <rFont val="Arial"/>
        <family val="0"/>
        <charset val="1"/>
      </rPr>
      <t xml:space="preserve">369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</si>
  <si>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(02)82821912</t>
  </si>
  <si>
    <t xml:space="preserve">irene27126@gmail.com</t>
  </si>
  <si>
    <t xml:space="preserve">2014-02-06</t>
  </si>
  <si>
    <t xml:space="preserve">陳淑蕙</t>
  </si>
  <si>
    <t xml:space="preserve">私立邦成文理語文短期補習班</t>
  </si>
  <si>
    <r>
      <rPr>
        <sz val="10"/>
        <color rgb="FF1F2A28"/>
        <rFont val="WenQuanYi Zen Hei"/>
        <family val="2"/>
      </rPr>
      <t xml:space="preserve">蘆洲區中華街</t>
    </r>
    <r>
      <rPr>
        <sz val="10"/>
        <color rgb="FF1F2A28"/>
        <rFont val="Arial"/>
        <family val="0"/>
        <charset val="1"/>
      </rPr>
      <t xml:space="preserve">83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</si>
  <si>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(02)82820211</t>
  </si>
  <si>
    <t xml:space="preserve">k53512@yahoo.com.tw</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</si>
  <si>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t>
    </r>
    <r>
      <rPr>
        <sz val="10"/>
        <color rgb="FF1F2A28"/>
        <rFont val="Arial"/>
        <family val="0"/>
        <charset val="1"/>
      </rPr>
      <t xml:space="preserve">)</t>
    </r>
  </si>
  <si>
    <t xml:space="preserve">2009-11-20</t>
  </si>
  <si>
    <t xml:space="preserve">鄭再鐘</t>
  </si>
  <si>
    <t xml:space="preserve">王維瑛</t>
  </si>
  <si>
    <t xml:space="preserve">私立飛騰文理語文短期補習班</t>
  </si>
  <si>
    <r>
      <rPr>
        <sz val="10"/>
        <color rgb="FF1F2A28"/>
        <rFont val="WenQuanYi Zen Hei"/>
        <family val="2"/>
      </rPr>
      <t xml:space="preserve">蘆洲區光華路</t>
    </r>
    <r>
      <rPr>
        <sz val="10"/>
        <color rgb="FF1F2A28"/>
        <rFont val="Arial"/>
        <family val="0"/>
        <charset val="1"/>
      </rPr>
      <t xml:space="preserve">72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</si>
  <si>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(02)82857337</t>
  </si>
  <si>
    <t xml:space="preserve">FeiTeng1581@gmail.com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</si>
  <si>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t>
    </r>
    <r>
      <rPr>
        <sz val="10"/>
        <color rgb="FF1F2A28"/>
        <rFont val="Arial"/>
        <family val="0"/>
        <charset val="1"/>
      </rPr>
      <t xml:space="preserve">)</t>
    </r>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</si>
  <si>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t xml:space="preserve">2002-06-30</t>
  </si>
  <si>
    <t xml:space="preserve">周亞珊</t>
  </si>
  <si>
    <t xml:space="preserve">科見文教資訊股份有限公司附設私立科見文理短期補習班</t>
  </si>
  <si>
    <r>
      <rPr>
        <sz val="10"/>
        <color rgb="FF1F2A28"/>
        <rFont val="WenQuanYi Zen Hei"/>
        <family val="2"/>
      </rPr>
      <t xml:space="preserve">蘆洲區民族路</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</si>
  <si>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(02)2283-7889</t>
  </si>
  <si>
    <t xml:space="preserve">manager_lc@kojen-els.com.tw</t>
  </si>
  <si>
    <t xml:space="preserve">2010-11-22</t>
  </si>
  <si>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侯光杰</t>
    </r>
  </si>
  <si>
    <t xml:space="preserve">謝明茹</t>
  </si>
  <si>
    <t xml:space="preserve">精英國際教育管理顧問股份有限公司附設私立凱文英語短期補習班</t>
  </si>
  <si>
    <r>
      <rPr>
        <sz val="10"/>
        <color rgb="FF1F2A28"/>
        <rFont val="WenQuanYi Zen Hei"/>
        <family val="2"/>
      </rPr>
      <t xml:space="preserve">蘆洲區長安街</t>
    </r>
    <r>
      <rPr>
        <sz val="10"/>
        <color rgb="FF1F2A28"/>
        <rFont val="Arial"/>
        <family val="0"/>
        <charset val="1"/>
      </rPr>
      <t xml:space="preserve">178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</si>
  <si>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02-22883585</t>
  </si>
  <si>
    <t xml:space="preserve">elitehg03@gmail.com</t>
  </si>
  <si>
    <t xml:space="preserve">陳孟瑛</t>
  </si>
  <si>
    <t xml:space="preserve">維多利亞文理短期補習班</t>
  </si>
  <si>
    <r>
      <rPr>
        <sz val="10"/>
        <color rgb="FF1F2A28"/>
        <rFont val="WenQuanYi Zen Hei"/>
        <family val="2"/>
      </rPr>
      <t xml:space="preserve">蘆洲區長安街</t>
    </r>
    <r>
      <rPr>
        <sz val="10"/>
        <color rgb="FF1F2A28"/>
        <rFont val="Arial"/>
        <family val="0"/>
        <charset val="1"/>
      </rPr>
      <t xml:space="preserve">288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</si>
  <si>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(02)2848-2181</t>
  </si>
  <si>
    <t xml:space="preserve">1996-06-11</t>
  </si>
  <si>
    <t xml:space="preserve">林儀忠</t>
  </si>
  <si>
    <t xml:space="preserve">王惠怡</t>
  </si>
  <si>
    <t xml:space="preserve">群倫文理語文短期補習班</t>
  </si>
  <si>
    <r>
      <rPr>
        <sz val="10"/>
        <color rgb="FF1F2A28"/>
        <rFont val="WenQuanYi Zen Hei"/>
        <family val="2"/>
      </rPr>
      <t xml:space="preserve">蘆洲區民權路</t>
    </r>
    <r>
      <rPr>
        <sz val="10"/>
        <color rgb="FF1F2A28"/>
        <rFont val="Arial"/>
        <family val="0"/>
        <charset val="1"/>
      </rPr>
      <t xml:space="preserve">6</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6</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號等</t>
    </r>
    <r>
      <rPr>
        <sz val="10"/>
        <color rgb="FF1F2A28"/>
        <rFont val="Arial"/>
        <family val="0"/>
        <charset val="1"/>
      </rPr>
      <t xml:space="preserve">(</t>
    </r>
    <r>
      <rPr>
        <sz val="10"/>
        <color rgb="FF1F2A28"/>
        <rFont val="WenQuanYi Zen Hei"/>
        <family val="2"/>
      </rPr>
      <t xml:space="preserve">共用部分</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</si>
  <si>
    <t xml:space="preserve">(02)28485678</t>
  </si>
  <si>
    <t xml:space="preserve">nes2848@yahoo.com.tw</t>
  </si>
  <si>
    <t xml:space="preserve">2007-04-27</t>
  </si>
  <si>
    <t xml:space="preserve">黃孟淑</t>
  </si>
  <si>
    <t xml:space="preserve">耀華文理語文短期補習班</t>
  </si>
  <si>
    <r>
      <rPr>
        <sz val="10"/>
        <color rgb="FF1F2A28"/>
        <rFont val="WenQuanYi Zen Hei"/>
        <family val="2"/>
      </rPr>
      <t xml:space="preserve">蘆洲區光復路</t>
    </r>
    <r>
      <rPr>
        <sz val="10"/>
        <color rgb="FF1F2A28"/>
        <rFont val="Arial"/>
        <family val="0"/>
        <charset val="1"/>
      </rPr>
      <t xml:space="preserve">41</t>
    </r>
    <r>
      <rPr>
        <sz val="10"/>
        <color rgb="FF1F2A28"/>
        <rFont val="WenQuanYi Zen Hei"/>
        <family val="2"/>
      </rPr>
      <t xml:space="preserve">巷</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</si>
  <si>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(02)22895759</t>
  </si>
  <si>
    <t xml:space="preserve">crush302@gmail.com</t>
  </si>
  <si>
    <t xml:space="preserve">林金綉</t>
  </si>
  <si>
    <t xml:space="preserve">草莓園文理技藝短期補習班</t>
  </si>
  <si>
    <r>
      <rPr>
        <sz val="10"/>
        <color rgb="FF1F2A28"/>
        <rFont val="WenQuanYi Zen Hei"/>
        <family val="2"/>
      </rPr>
      <t xml:space="preserve">蘆洲區水湳街</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</si>
  <si>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(02)8282-1969</t>
  </si>
  <si>
    <t xml:space="preserve">kidschool2005@gmail.com</t>
  </si>
  <si>
    <t xml:space="preserve">葉嘉樑</t>
  </si>
  <si>
    <t xml:space="preserve">金站文理語文短期補習班</t>
  </si>
  <si>
    <r>
      <rPr>
        <sz val="10"/>
        <color rgb="FF1F2A28"/>
        <rFont val="WenQuanYi Zen Hei"/>
        <family val="2"/>
      </rPr>
      <t xml:space="preserve">蘆洲區民族路</t>
    </r>
    <r>
      <rPr>
        <sz val="10"/>
        <color rgb="FF1F2A28"/>
        <rFont val="Arial"/>
        <family val="0"/>
        <charset val="1"/>
      </rPr>
      <t xml:space="preserve">466</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</si>
  <si>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(02)28470356</t>
  </si>
  <si>
    <t xml:space="preserve">jinzhan28470356@gmail.com</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</si>
  <si>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t>
    </r>
    <r>
      <rPr>
        <sz val="10"/>
        <color rgb="FF1F2A28"/>
        <rFont val="Arial"/>
        <family val="0"/>
        <charset val="1"/>
      </rPr>
      <t xml:space="preserve">)</t>
    </r>
  </si>
  <si>
    <t xml:space="preserve">2011-05-03</t>
  </si>
  <si>
    <t xml:space="preserve">李世鎮</t>
  </si>
  <si>
    <t xml:space="preserve">馬理蘭文理語文短期補習班</t>
  </si>
  <si>
    <r>
      <rPr>
        <sz val="10"/>
        <color rgb="FF1F2A28"/>
        <rFont val="WenQuanYi Zen Hei"/>
        <family val="2"/>
      </rPr>
      <t xml:space="preserve">蘆洲區長興路</t>
    </r>
    <r>
      <rPr>
        <sz val="10"/>
        <color rgb="FF1F2A28"/>
        <rFont val="Arial"/>
        <family val="0"/>
        <charset val="1"/>
      </rPr>
      <t xml:space="preserve">299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</si>
  <si>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r>
      <rPr>
        <sz val="10"/>
        <color rgb="FF1F2A28"/>
        <rFont val="Arial"/>
        <family val="0"/>
        <charset val="1"/>
      </rPr>
      <t xml:space="preserve">(02)22822896</t>
    </r>
    <r>
      <rPr>
        <sz val="10"/>
        <color rgb="FF1F2A28"/>
        <rFont val="WenQuanYi Zen Hei"/>
        <family val="2"/>
      </rPr>
      <t xml:space="preserve">、</t>
    </r>
    <r>
      <rPr>
        <sz val="10"/>
        <color rgb="FF1F2A28"/>
        <rFont val="Arial"/>
        <family val="0"/>
        <charset val="1"/>
      </rPr>
      <t xml:space="preserve">(02)28472555</t>
    </r>
  </si>
  <si>
    <t xml:space="preserve">jiajian2005@gmail.com</t>
  </si>
  <si>
    <t xml:space="preserve">2012-10-24</t>
  </si>
  <si>
    <t xml:space="preserve">張玉清</t>
  </si>
  <si>
    <t xml:space="preserve">林佳禾</t>
  </si>
  <si>
    <t xml:space="preserve">貢寮區</t>
  </si>
  <si>
    <t xml:space="preserve">私立郭秋燕文理美語珠心算短期補習班</t>
  </si>
  <si>
    <r>
      <rPr>
        <sz val="10"/>
        <color rgb="FF1F2A28"/>
        <rFont val="WenQuanYi Zen Hei"/>
        <family val="2"/>
      </rPr>
      <t xml:space="preserve">貢寮區新港街</t>
    </r>
    <r>
      <rPr>
        <sz val="10"/>
        <color rgb="FF1F2A28"/>
        <rFont val="Arial"/>
        <family val="0"/>
        <charset val="1"/>
      </rPr>
      <t xml:space="preserve">31</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</si>
  <si>
    <t xml:space="preserve">(02)24902065</t>
  </si>
  <si>
    <t xml:space="preserve">2009-04-16</t>
  </si>
  <si>
    <t xml:space="preserve">郭秋燕</t>
  </si>
  <si>
    <t xml:space="preserve">金山區</t>
  </si>
  <si>
    <t xml:space="preserve">新世紀語文短期補習班</t>
  </si>
  <si>
    <r>
      <rPr>
        <sz val="10"/>
        <color rgb="FF1F2A28"/>
        <rFont val="WenQuanYi Zen Hei"/>
        <family val="2"/>
      </rPr>
      <t xml:space="preserve">金山區文化三路</t>
    </r>
    <r>
      <rPr>
        <sz val="10"/>
        <color rgb="FF1F2A28"/>
        <rFont val="Arial"/>
        <family val="0"/>
        <charset val="1"/>
      </rPr>
      <t xml:space="preserve">39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</si>
  <si>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(02)2498-7561</t>
  </si>
  <si>
    <t xml:space="preserve">2012-05-14</t>
  </si>
  <si>
    <t xml:space="preserve">嚴美雅</t>
  </si>
  <si>
    <t xml:space="preserve">私立威思頓文理語文短期補習班</t>
  </si>
  <si>
    <r>
      <rPr>
        <sz val="10"/>
        <color rgb="FF1F2A28"/>
        <rFont val="WenQuanYi Zen Hei"/>
        <family val="2"/>
      </rPr>
      <t xml:space="preserve">金山區美田村文化三路</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</si>
  <si>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(02)24984828</t>
  </si>
  <si>
    <t xml:space="preserve">2002-07-09</t>
  </si>
  <si>
    <t xml:space="preserve">陳季妍</t>
  </si>
  <si>
    <t xml:space="preserve">私立擎學文理語文短期補習班</t>
  </si>
  <si>
    <r>
      <rPr>
        <sz val="10"/>
        <color rgb="FF1F2A28"/>
        <rFont val="WenQuanYi Zen Hei"/>
        <family val="2"/>
      </rPr>
      <t xml:space="preserve">金山區中山路</t>
    </r>
    <r>
      <rPr>
        <sz val="10"/>
        <color rgb="FF1F2A28"/>
        <rFont val="Arial"/>
        <family val="0"/>
        <charset val="1"/>
      </rPr>
      <t xml:space="preserve">279</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</si>
  <si>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(02)24988885</t>
  </si>
  <si>
    <t xml:space="preserve">2009-09-28</t>
  </si>
  <si>
    <t xml:space="preserve">張泰元</t>
  </si>
  <si>
    <t xml:space="preserve">私立新知文理語文短期補習班</t>
  </si>
  <si>
    <r>
      <rPr>
        <sz val="10"/>
        <color rgb="FF1F2A28"/>
        <rFont val="WenQuanYi Zen Hei"/>
        <family val="2"/>
      </rPr>
      <t xml:space="preserve">金山區中正路</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</si>
  <si>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(02)24081191</t>
  </si>
  <si>
    <t xml:space="preserve">李秀英</t>
  </si>
  <si>
    <t xml:space="preserve">私立泓品文理語文短期補習班</t>
  </si>
  <si>
    <r>
      <rPr>
        <sz val="10"/>
        <color rgb="FF1F2A28"/>
        <rFont val="WenQuanYi Zen Hei"/>
        <family val="2"/>
      </rPr>
      <t xml:space="preserve">金山區仁愛路</t>
    </r>
    <r>
      <rPr>
        <sz val="10"/>
        <color rgb="FF1F2A28"/>
        <rFont val="Arial"/>
        <family val="0"/>
        <charset val="1"/>
      </rPr>
      <t xml:space="preserve">23</t>
    </r>
    <r>
      <rPr>
        <sz val="10"/>
        <color rgb="FF1F2A28"/>
        <rFont val="WenQuanYi Zen Hei"/>
        <family val="2"/>
      </rPr>
      <t xml:space="preserve">號</t>
    </r>
  </si>
  <si>
    <t xml:space="preserve">(02)24989599</t>
  </si>
  <si>
    <t xml:space="preserve">張桓楚</t>
  </si>
  <si>
    <t xml:space="preserve">私立精英國際金美文理語文珠心算美術短期補習班</t>
  </si>
  <si>
    <r>
      <rPr>
        <sz val="10"/>
        <color rgb="FF1F2A28"/>
        <rFont val="WenQuanYi Zen Hei"/>
        <family val="2"/>
      </rPr>
      <t xml:space="preserve">金山區中正路</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樓、四維路</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</si>
  <si>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(02)24989316</t>
  </si>
  <si>
    <t xml:space="preserve">嚴雅惠</t>
  </si>
  <si>
    <t xml:space="preserve">兆宇文理短期補習班</t>
  </si>
  <si>
    <r>
      <rPr>
        <sz val="10"/>
        <color rgb="FF1F2A28"/>
        <rFont val="WenQuanYi Zen Hei"/>
        <family val="2"/>
      </rPr>
      <t xml:space="preserve">鶯歌區南雅路</t>
    </r>
    <r>
      <rPr>
        <sz val="10"/>
        <color rgb="FF1F2A28"/>
        <rFont val="Arial"/>
        <family val="0"/>
        <charset val="1"/>
      </rPr>
      <t xml:space="preserve">419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421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</si>
  <si>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(02)2670-1999</t>
  </si>
  <si>
    <t xml:space="preserve">2014-05-15</t>
  </si>
  <si>
    <t xml:space="preserve">陳慶瑋</t>
  </si>
  <si>
    <r>
      <rPr>
        <sz val="10"/>
        <color rgb="FF1F2A28"/>
        <rFont val="WenQuanYi Zen Hei"/>
        <family val="2"/>
      </rPr>
      <t xml:space="preserve">鶯歌區育才街</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</si>
  <si>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(02)2670-7732</t>
  </si>
  <si>
    <t xml:space="preserve">新精英文理語文短期補習班</t>
  </si>
  <si>
    <r>
      <rPr>
        <sz val="10"/>
        <color rgb="FF1F2A28"/>
        <rFont val="WenQuanYi Zen Hei"/>
        <family val="2"/>
      </rPr>
      <t xml:space="preserve">鶯歌區永明街</t>
    </r>
    <r>
      <rPr>
        <sz val="10"/>
        <color rgb="FF1F2A28"/>
        <rFont val="Arial"/>
        <family val="0"/>
        <charset val="1"/>
      </rPr>
      <t xml:space="preserve">73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5</t>
    </r>
    <r>
      <rPr>
        <sz val="10"/>
        <color rgb="FF1F2A28"/>
        <rFont val="WenQuanYi Zen Hei"/>
        <family val="2"/>
      </rPr>
      <t xml:space="preserve">樓</t>
    </r>
    <r>
      <rPr>
        <sz val="10"/>
        <color rgb="FF1F2A28"/>
        <rFont val="Arial"/>
        <family val="0"/>
        <charset val="1"/>
      </rPr>
      <t xml:space="preserve">)</t>
    </r>
  </si>
  <si>
    <t xml:space="preserve">(02)26781111</t>
  </si>
  <si>
    <t xml:space="preserve">英文、國、英、理</t>
  </si>
  <si>
    <t xml:space="preserve">2008-09-19</t>
  </si>
  <si>
    <t xml:space="preserve">暘德語文短期補習班</t>
  </si>
  <si>
    <r>
      <rPr>
        <sz val="10"/>
        <color rgb="FF1F2A28"/>
        <rFont val="WenQuanYi Zen Hei"/>
        <family val="2"/>
      </rPr>
      <t xml:space="preserve">鶯歌區尖山埔路</t>
    </r>
    <r>
      <rPr>
        <sz val="10"/>
        <color rgb="FF1F2A28"/>
        <rFont val="Arial"/>
        <family val="0"/>
        <charset val="1"/>
      </rPr>
      <t xml:space="preserve">163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,183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</si>
  <si>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r>
      <rPr>
        <sz val="10"/>
        <color rgb="FF1F2A28"/>
        <rFont val="Arial"/>
        <family val="0"/>
        <charset val="1"/>
      </rPr>
      <t xml:space="preserve">(02)26788000</t>
    </r>
    <r>
      <rPr>
        <sz val="10"/>
        <color rgb="FF1F2A28"/>
        <rFont val="WenQuanYi Zen Hei"/>
        <family val="2"/>
      </rPr>
      <t xml:space="preserve">、</t>
    </r>
    <r>
      <rPr>
        <sz val="10"/>
        <color rgb="FF1F2A28"/>
        <rFont val="Arial"/>
        <family val="0"/>
        <charset val="1"/>
      </rPr>
      <t xml:space="preserve">(02)26799000</t>
    </r>
  </si>
  <si>
    <t xml:space="preserve">amy@englobal.co</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</si>
  <si>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國語、英文、數學、自然與生活科技、社會</t>
    </r>
    <r>
      <rPr>
        <sz val="10"/>
        <color rgb="FF1F2A28"/>
        <rFont val="Arial"/>
        <family val="0"/>
        <charset val="1"/>
      </rPr>
      <t xml:space="preserve">)</t>
    </r>
  </si>
  <si>
    <t xml:space="preserve">陳臣偉</t>
  </si>
  <si>
    <r>
      <rPr>
        <sz val="10"/>
        <color rgb="FF1F2A28"/>
        <rFont val="WenQuanYi Zen Hei"/>
        <family val="2"/>
      </rPr>
      <t xml:space="preserve">鶯歌區高職西街</t>
    </r>
    <r>
      <rPr>
        <sz val="10"/>
        <color rgb="FF1F2A28"/>
        <rFont val="Arial"/>
        <family val="0"/>
        <charset val="1"/>
      </rPr>
      <t xml:space="preserve">106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108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</si>
  <si>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(02)86771832</t>
  </si>
  <si>
    <t xml:space="preserve">私立山鉧叔叔語文短期補習班</t>
  </si>
  <si>
    <r>
      <rPr>
        <sz val="10"/>
        <color rgb="FF1F2A28"/>
        <rFont val="WenQuanYi Zen Hei"/>
        <family val="2"/>
      </rPr>
      <t xml:space="preserve">鶯歌區仁愛路</t>
    </r>
    <r>
      <rPr>
        <sz val="10"/>
        <color rgb="FF1F2A28"/>
        <rFont val="Arial"/>
        <family val="0"/>
        <charset val="1"/>
      </rPr>
      <t xml:space="preserve">66</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</si>
  <si>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(02)86782899</t>
  </si>
  <si>
    <t xml:space="preserve">2012-03-08</t>
  </si>
  <si>
    <t xml:space="preserve">陳盈男</t>
  </si>
  <si>
    <t xml:space="preserve">私立我的文理短期補習班</t>
  </si>
  <si>
    <r>
      <rPr>
        <sz val="10"/>
        <color rgb="FF1F2A28"/>
        <rFont val="WenQuanYi Zen Hei"/>
        <family val="2"/>
      </rPr>
      <t xml:space="preserve">鶯歌區建國路</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</si>
  <si>
    <t xml:space="preserve">(02)26772004</t>
  </si>
  <si>
    <t xml:space="preserve">myworldenglish04@gmail.com</t>
  </si>
  <si>
    <t xml:space="preserve">林定諺</t>
  </si>
  <si>
    <t xml:space="preserve">王澄心</t>
  </si>
  <si>
    <r>
      <rPr>
        <sz val="10"/>
        <color rgb="FF1F2A28"/>
        <rFont val="WenQuanYi Zen Hei"/>
        <family val="2"/>
      </rPr>
      <t xml:space="preserve">鶯歌區高職西街</t>
    </r>
    <r>
      <rPr>
        <sz val="10"/>
        <color rgb="FF1F2A28"/>
        <rFont val="Arial"/>
        <family val="0"/>
        <charset val="1"/>
      </rPr>
      <t xml:space="preserve">45</t>
    </r>
    <r>
      <rPr>
        <sz val="10"/>
        <color rgb="FF1F2A28"/>
        <rFont val="WenQuanYi Zen Hei"/>
        <family val="2"/>
      </rPr>
      <t xml:space="preserve">、</t>
    </r>
    <r>
      <rPr>
        <sz val="10"/>
        <color rgb="FF1F2A28"/>
        <rFont val="Arial"/>
        <family val="0"/>
        <charset val="1"/>
      </rPr>
      <t xml:space="preserve">47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</si>
  <si>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(02)2677-7345</t>
  </si>
  <si>
    <t xml:space="preserve">2002-10-17</t>
  </si>
  <si>
    <t xml:space="preserve">李士傑</t>
  </si>
  <si>
    <t xml:space="preserve">私立文盛文理語文珠心算短期補習班</t>
  </si>
  <si>
    <r>
      <rPr>
        <sz val="10"/>
        <color rgb="FF1F2A28"/>
        <rFont val="WenQuanYi Zen Hei"/>
        <family val="2"/>
      </rPr>
      <t xml:space="preserve">鶯歌區鳳鳴路</t>
    </r>
    <r>
      <rPr>
        <sz val="10"/>
        <color rgb="FF1F2A28"/>
        <rFont val="Arial"/>
        <family val="0"/>
        <charset val="1"/>
      </rPr>
      <t xml:space="preserve">13</t>
    </r>
    <r>
      <rPr>
        <sz val="10"/>
        <color rgb="FF1F2A28"/>
        <rFont val="WenQuanYi Zen Hei"/>
        <family val="2"/>
      </rPr>
      <t xml:space="preserve">、</t>
    </r>
    <r>
      <rPr>
        <sz val="10"/>
        <color rgb="FF1F2A28"/>
        <rFont val="Arial"/>
        <family val="0"/>
        <charset val="1"/>
      </rPr>
      <t xml:space="preserve">19</t>
    </r>
    <r>
      <rPr>
        <sz val="10"/>
        <color rgb="FF1F2A28"/>
        <rFont val="WenQuanYi Zen Hei"/>
        <family val="2"/>
      </rPr>
      <t xml:space="preserve">、</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因門牌整編</t>
    </r>
    <r>
      <rPr>
        <sz val="10"/>
        <color rgb="FF1F2A28"/>
        <rFont val="Arial"/>
        <family val="0"/>
        <charset val="1"/>
      </rPr>
      <t xml:space="preserve">)</t>
    </r>
  </si>
  <si>
    <t xml:space="preserve">(02)26782678</t>
  </si>
  <si>
    <t xml:space="preserve">陳瑞勝</t>
  </si>
  <si>
    <t xml:space="preserve">鍾玉美</t>
  </si>
  <si>
    <t xml:space="preserve">私立智耀文理語文短期補習班</t>
  </si>
  <si>
    <r>
      <rPr>
        <sz val="10"/>
        <color rgb="FF1F2A28"/>
        <rFont val="WenQuanYi Zen Hei"/>
        <family val="2"/>
      </rPr>
      <t xml:space="preserve">鶯歌區德昌二街</t>
    </r>
    <r>
      <rPr>
        <sz val="10"/>
        <color rgb="FF1F2A28"/>
        <rFont val="Arial"/>
        <family val="0"/>
        <charset val="1"/>
      </rPr>
      <t xml:space="preserve">19</t>
    </r>
    <r>
      <rPr>
        <sz val="10"/>
        <color rgb="FF1F2A28"/>
        <rFont val="WenQuanYi Zen Hei"/>
        <family val="2"/>
      </rPr>
      <t xml:space="preserve">號</t>
    </r>
  </si>
  <si>
    <t xml:space="preserve">(02)26788284</t>
  </si>
  <si>
    <t xml:space="preserve">kkk8100@yahoo.com.tw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</si>
  <si>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數學、英文</t>
    </r>
    <r>
      <rPr>
        <sz val="10"/>
        <color rgb="FF1F2A28"/>
        <rFont val="Arial"/>
        <family val="0"/>
        <charset val="1"/>
      </rPr>
      <t xml:space="preserve">)</t>
    </r>
  </si>
  <si>
    <t xml:space="preserve">2007-12-01</t>
  </si>
  <si>
    <t xml:space="preserve">楊峰銓</t>
  </si>
  <si>
    <t xml:space="preserve">林偉文</t>
  </si>
  <si>
    <t xml:space="preserve">私立流利語文短期補習班</t>
  </si>
  <si>
    <r>
      <rPr>
        <sz val="10"/>
        <color rgb="FF1F2A28"/>
        <rFont val="WenQuanYi Zen Hei"/>
        <family val="2"/>
      </rPr>
      <t xml:space="preserve">鶯歌區永明街</t>
    </r>
    <r>
      <rPr>
        <sz val="10"/>
        <color rgb="FF1F2A28"/>
        <rFont val="Arial"/>
        <family val="0"/>
        <charset val="1"/>
      </rPr>
      <t xml:space="preserve">67-1</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樓、地下</t>
    </r>
    <r>
      <rPr>
        <sz val="10"/>
        <color rgb="FF1F2A28"/>
        <rFont val="Arial"/>
        <family val="0"/>
        <charset val="1"/>
      </rPr>
      <t xml:space="preserve">1</t>
    </r>
    <r>
      <rPr>
        <sz val="10"/>
        <color rgb="FF1F2A28"/>
        <rFont val="WenQuanYi Zen Hei"/>
        <family val="2"/>
      </rPr>
      <t xml:space="preserve">樓</t>
    </r>
  </si>
  <si>
    <t xml:space="preserve">(02)86775455</t>
  </si>
  <si>
    <t xml:space="preserve">蘇柏菘</t>
  </si>
  <si>
    <t xml:space="preserve">蘇峪嫻</t>
  </si>
  <si>
    <t xml:space="preserve">私立美德生文理短期補習班</t>
  </si>
  <si>
    <r>
      <rPr>
        <sz val="10"/>
        <color rgb="FF1F2A28"/>
        <rFont val="WenQuanYi Zen Hei"/>
        <family val="2"/>
      </rPr>
      <t xml:space="preserve">鶯歌區鶯桃路</t>
    </r>
    <r>
      <rPr>
        <sz val="10"/>
        <color rgb="FF1F2A28"/>
        <rFont val="Arial"/>
        <family val="0"/>
        <charset val="1"/>
      </rPr>
      <t xml:space="preserve">129</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弄</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</si>
  <si>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(02)8677-5536</t>
  </si>
  <si>
    <t xml:space="preserve">卓瑞萍</t>
  </si>
  <si>
    <t xml:space="preserve">王歆語</t>
  </si>
  <si>
    <r>
      <rPr>
        <sz val="10"/>
        <color rgb="FF1F2A28"/>
        <rFont val="WenQuanYi Zen Hei"/>
        <family val="2"/>
      </rPr>
      <t xml:space="preserve">鶯歌區育英街</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</si>
  <si>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(02)26705317</t>
  </si>
  <si>
    <r>
      <rPr>
        <sz val="10"/>
        <color rgb="FF1F2A28"/>
        <rFont val="WenQuanYi Zen Hei"/>
        <family val="2"/>
      </rPr>
      <t xml:space="preserve">鶯歌區國華路</t>
    </r>
    <r>
      <rPr>
        <sz val="10"/>
        <color rgb="FF1F2A28"/>
        <rFont val="Arial"/>
        <family val="0"/>
        <charset val="1"/>
      </rPr>
      <t xml:space="preserve">71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</si>
  <si>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(02)26774771</t>
  </si>
  <si>
    <t xml:space="preserve">私立茱蒂美語文理短期補習班</t>
  </si>
  <si>
    <r>
      <rPr>
        <sz val="10"/>
        <color rgb="FF1F2A28"/>
        <rFont val="WenQuanYi Zen Hei"/>
        <family val="2"/>
      </rPr>
      <t xml:space="preserve">鶯歌區育英街</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</si>
  <si>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(02)26786559</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</si>
  <si>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國、英、數、社、自</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</si>
  <si>
    <r>
      <rPr>
        <sz val="10"/>
        <color rgb="FF1F2A28"/>
        <rFont val="WenQuanYi Zen Hei"/>
        <family val="2"/>
      </rPr>
      <t xml:space="preserve">鶯歌區永明街</t>
    </r>
    <r>
      <rPr>
        <sz val="10"/>
        <color rgb="FF1F2A28"/>
        <rFont val="Arial"/>
        <family val="0"/>
        <charset val="1"/>
      </rPr>
      <t xml:space="preserve">71</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5</t>
    </r>
    <r>
      <rPr>
        <sz val="10"/>
        <color rgb="FF1F2A28"/>
        <rFont val="WenQuanYi Zen Hei"/>
        <family val="2"/>
      </rPr>
      <t xml:space="preserve">樓</t>
    </r>
  </si>
  <si>
    <t xml:space="preserve">(02)26774265</t>
  </si>
  <si>
    <r>
      <rPr>
        <sz val="10"/>
        <color rgb="FF1F2A28"/>
        <rFont val="WenQuanYi Zen Hei"/>
        <family val="2"/>
      </rPr>
      <t xml:space="preserve">語文</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英文、數學、自然</t>
    </r>
    <r>
      <rPr>
        <sz val="10"/>
        <color rgb="FF1F2A28"/>
        <rFont val="Arial"/>
        <family val="0"/>
        <charset val="1"/>
      </rPr>
      <t xml:space="preserve">)</t>
    </r>
  </si>
  <si>
    <t xml:space="preserve">中國青年救國團桃園市團務指導委員會附設私立救國團文理技藝短期補習班中壢分班</t>
  </si>
  <si>
    <r>
      <rPr>
        <sz val="10"/>
        <color rgb="FF1F2A28"/>
        <rFont val="WenQuanYi Zen Hei"/>
        <family val="2"/>
      </rPr>
      <t xml:space="preserve">中壢區元化路</t>
    </r>
    <r>
      <rPr>
        <sz val="10"/>
        <color rgb="FF1F2A28"/>
        <rFont val="Arial"/>
        <family val="0"/>
        <charset val="1"/>
      </rPr>
      <t xml:space="preserve">226</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</si>
  <si>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(03)4250492</t>
  </si>
  <si>
    <t xml:space="preserve">cyc4250492@cyc.tw</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</si>
  <si>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美容、美髮理髮類</t>
    </r>
    <r>
      <rPr>
        <sz val="10"/>
        <color rgb="FF1F2A28"/>
        <rFont val="Arial"/>
        <family val="0"/>
        <charset val="1"/>
      </rPr>
      <t xml:space="preserve">,</t>
    </r>
    <r>
      <rPr>
        <sz val="10"/>
        <color rgb="FF1F2A28"/>
        <rFont val="WenQuanYi Zen Hei"/>
        <family val="2"/>
      </rPr>
      <t xml:space="preserve">美術、書法、攝影、美工設計、圍棋類</t>
    </r>
  </si>
  <si>
    <t xml:space="preserve">余果萍</t>
  </si>
  <si>
    <t xml:space="preserve">謝文斌</t>
  </si>
  <si>
    <t xml:space="preserve">勝恩教育有限公司附設私立勝芯語文文理短期補習班</t>
  </si>
  <si>
    <r>
      <rPr>
        <sz val="10"/>
        <color rgb="FF1F2A28"/>
        <rFont val="WenQuanYi Zen Hei"/>
        <family val="2"/>
      </rPr>
      <t xml:space="preserve">中壢區長春路</t>
    </r>
    <r>
      <rPr>
        <sz val="10"/>
        <color rgb="FF1F2A28"/>
        <rFont val="Arial"/>
        <family val="0"/>
        <charset val="1"/>
      </rPr>
      <t xml:space="preserve">130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</si>
  <si>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(03)4628805</t>
  </si>
  <si>
    <t xml:space="preserve">nl4628805@meikoschool.com.tw</t>
  </si>
  <si>
    <t xml:space="preserve">2021-03-31</t>
  </si>
  <si>
    <t xml:space="preserve">葉貞玲</t>
  </si>
  <si>
    <t xml:space="preserve">卓悅文教有限公司附設私立博悅文理短期補習班</t>
  </si>
  <si>
    <r>
      <rPr>
        <sz val="10"/>
        <color rgb="FF1F2A28"/>
        <rFont val="WenQuanYi Zen Hei"/>
        <family val="2"/>
      </rPr>
      <t xml:space="preserve">中壢區領航北路二段</t>
    </r>
    <r>
      <rPr>
        <sz val="10"/>
        <color rgb="FF1F2A28"/>
        <rFont val="Arial"/>
        <family val="0"/>
        <charset val="1"/>
      </rPr>
      <t xml:space="preserve">167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</si>
  <si>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(03)3810886</t>
  </si>
  <si>
    <t xml:space="preserve">qp0886@meikoschool.com.tw</t>
  </si>
  <si>
    <t xml:space="preserve">美語、英數理、英數自</t>
  </si>
  <si>
    <t xml:space="preserve">2026-03-12</t>
  </si>
  <si>
    <t xml:space="preserve">游建銘</t>
  </si>
  <si>
    <t xml:space="preserve">邱梓甯</t>
  </si>
  <si>
    <t xml:space="preserve">品宏事業有限公司附設私立品宏文理短期補習班</t>
  </si>
  <si>
    <r>
      <rPr>
        <sz val="10"/>
        <color rgb="FF1F2A28"/>
        <rFont val="WenQuanYi Zen Hei"/>
        <family val="2"/>
      </rPr>
      <t xml:space="preserve">中壢區富裕街</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</si>
  <si>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(03)4350106</t>
  </si>
  <si>
    <t xml:space="preserve">kimolee@meikoschool.com.tw</t>
  </si>
  <si>
    <t xml:space="preserve">英文數學自然、英檢班</t>
  </si>
  <si>
    <t xml:space="preserve">2022-07-01</t>
  </si>
  <si>
    <t xml:space="preserve">李京謀</t>
  </si>
  <si>
    <t xml:space="preserve">威學文教有限公司附設私立雋立文理語文數學短期補習班</t>
  </si>
  <si>
    <r>
      <rPr>
        <sz val="10"/>
        <color rgb="FF1F2A28"/>
        <rFont val="WenQuanYi Zen Hei"/>
        <family val="2"/>
      </rPr>
      <t xml:space="preserve">中壢區自強四路</t>
    </r>
    <r>
      <rPr>
        <sz val="10"/>
        <color rgb="FF1F2A28"/>
        <rFont val="Arial"/>
        <family val="0"/>
        <charset val="1"/>
      </rPr>
      <t xml:space="preserve">73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</si>
  <si>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(03)4629195</t>
  </si>
  <si>
    <t xml:space="preserve">eeaa1213@gmail.com</t>
  </si>
  <si>
    <t xml:space="preserve">國英數自社、美語</t>
  </si>
  <si>
    <t xml:space="preserve">2021-11-25</t>
  </si>
  <si>
    <t xml:space="preserve">黃莉媛</t>
  </si>
  <si>
    <t xml:space="preserve">學生閣有限公司附設私立夏恩惟登文理語文短期補習班</t>
  </si>
  <si>
    <r>
      <rPr>
        <sz val="10"/>
        <color rgb="FF1F2A28"/>
        <rFont val="WenQuanYi Zen Hei"/>
        <family val="2"/>
      </rPr>
      <t xml:space="preserve">中壢區福德路</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</si>
  <si>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(03)451-5120</t>
  </si>
  <si>
    <t xml:space="preserve">shane.ty11@gmail.com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</si>
  <si>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數理英</t>
    </r>
    <r>
      <rPr>
        <sz val="10"/>
        <color rgb="FF1F2A28"/>
        <rFont val="Arial"/>
        <family val="0"/>
        <charset val="1"/>
      </rPr>
      <t xml:space="preserve">)</t>
    </r>
    <r>
      <rPr>
        <sz val="10"/>
        <color rgb="FF1F2A28"/>
        <rFont val="WenQuanYi Zen Hei"/>
        <family val="2"/>
      </rPr>
      <t xml:space="preserve">、美語</t>
    </r>
  </si>
  <si>
    <t xml:space="preserve">施恩李普康</t>
  </si>
  <si>
    <t xml:space="preserve">林佳燕</t>
  </si>
  <si>
    <t xml:space="preserve">巨匠電腦股份有限公司附設私立巨二文理短期補習班</t>
  </si>
  <si>
    <r>
      <rPr>
        <sz val="10"/>
        <color rgb="FF1F2A28"/>
        <rFont val="WenQuanYi Zen Hei"/>
        <family val="2"/>
      </rPr>
      <t xml:space="preserve">中壢區中山路</t>
    </r>
    <r>
      <rPr>
        <sz val="10"/>
        <color rgb="FF1F2A28"/>
        <rFont val="Arial"/>
        <family val="0"/>
        <charset val="1"/>
      </rPr>
      <t xml:space="preserve">111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</si>
  <si>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(03)4263488</t>
  </si>
  <si>
    <t xml:space="preserve">KT_mailbox@pcschool.com.tw</t>
  </si>
  <si>
    <t xml:space="preserve">2013-05-01</t>
  </si>
  <si>
    <t xml:space="preserve">徐子峯</t>
  </si>
  <si>
    <t xml:space="preserve">思敏教育有限公司附設私立思敏青園文理短期補習班</t>
  </si>
  <si>
    <r>
      <rPr>
        <sz val="10"/>
        <color rgb="FF1F2A28"/>
        <rFont val="WenQuanYi Zen Hei"/>
        <family val="2"/>
      </rPr>
      <t xml:space="preserve">中壢區青昇路</t>
    </r>
    <r>
      <rPr>
        <sz val="10"/>
        <color rgb="FF1F2A28"/>
        <rFont val="Arial"/>
        <family val="0"/>
        <charset val="1"/>
      </rPr>
      <t xml:space="preserve">278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</si>
  <si>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0939416331</t>
  </si>
  <si>
    <t xml:space="preserve">Chingfang222@gmail.com</t>
  </si>
  <si>
    <t xml:space="preserve">2026-08-19</t>
  </si>
  <si>
    <t xml:space="preserve">思敏教育有限公司</t>
  </si>
  <si>
    <t xml:space="preserve">曾靜芳</t>
  </si>
  <si>
    <t xml:space="preserve">戴爾美語教育科技事業股份有限公司附設私立戴爾語文短期補習班</t>
  </si>
  <si>
    <r>
      <rPr>
        <sz val="10"/>
        <color rgb="FF1F2A28"/>
        <rFont val="WenQuanYi Zen Hei"/>
        <family val="2"/>
      </rPr>
      <t xml:space="preserve">中壢區中山路</t>
    </r>
    <r>
      <rPr>
        <sz val="10"/>
        <color rgb="FF1F2A28"/>
        <rFont val="Arial"/>
        <family val="0"/>
        <charset val="1"/>
      </rPr>
      <t xml:space="preserve">141</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</si>
  <si>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(03)4251213</t>
  </si>
  <si>
    <t xml:space="preserve">service@all-english.com.tw</t>
  </si>
  <si>
    <t xml:space="preserve">2015-03-31</t>
  </si>
  <si>
    <t xml:space="preserve">褚為誼</t>
  </si>
  <si>
    <t xml:space="preserve">徐國廷</t>
  </si>
  <si>
    <t xml:space="preserve">真善美文化藝術有限公司附設私立地球村語文短期補習班</t>
  </si>
  <si>
    <r>
      <rPr>
        <sz val="10"/>
        <color rgb="FF1F2A28"/>
        <rFont val="WenQuanYi Zen Hei"/>
        <family val="2"/>
      </rPr>
      <t xml:space="preserve">中壢區中正路</t>
    </r>
    <r>
      <rPr>
        <sz val="10"/>
        <color rgb="FF1F2A28"/>
        <rFont val="Arial"/>
        <family val="0"/>
        <charset val="1"/>
      </rPr>
      <t xml:space="preserve">82</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t>
    </r>
    <r>
      <rPr>
        <sz val="10"/>
        <color rgb="FF1F2A28"/>
        <rFont val="Arial"/>
        <family val="0"/>
        <charset val="1"/>
      </rPr>
      <t xml:space="preserve">8</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及</t>
    </r>
    <r>
      <rPr>
        <sz val="10"/>
        <color rgb="FF1F2A28"/>
        <rFont val="Arial"/>
        <family val="0"/>
        <charset val="1"/>
      </rPr>
      <t xml:space="preserve">9</t>
    </r>
    <r>
      <rPr>
        <sz val="10"/>
        <color rgb="FF1F2A28"/>
        <rFont val="WenQuanYi Zen Hei"/>
        <family val="2"/>
      </rPr>
      <t xml:space="preserve">樓、</t>
    </r>
    <r>
      <rPr>
        <sz val="10"/>
        <color rgb="FF1F2A28"/>
        <rFont val="Arial"/>
        <family val="0"/>
        <charset val="1"/>
      </rPr>
      <t xml:space="preserve">9</t>
    </r>
    <r>
      <rPr>
        <sz val="10"/>
        <color rgb="FF1F2A28"/>
        <rFont val="WenQuanYi Zen Hei"/>
        <family val="2"/>
      </rPr>
      <t xml:space="preserve">樓之</t>
    </r>
    <r>
      <rPr>
        <sz val="10"/>
        <color rgb="FF1F2A28"/>
        <rFont val="Arial"/>
        <family val="0"/>
        <charset val="1"/>
      </rPr>
      <t xml:space="preserve">1</t>
    </r>
  </si>
  <si>
    <t xml:space="preserve">(03)4252476 4252477</t>
  </si>
  <si>
    <t xml:space="preserve">李品嫻</t>
  </si>
  <si>
    <t xml:space="preserve">私立一信文理語文數學短期補習班</t>
  </si>
  <si>
    <r>
      <rPr>
        <sz val="10"/>
        <color rgb="FF1F2A28"/>
        <rFont val="WenQuanYi Zen Hei"/>
        <family val="2"/>
      </rPr>
      <t xml:space="preserve">中壢區榮民路</t>
    </r>
    <r>
      <rPr>
        <sz val="10"/>
        <color rgb="FF1F2A28"/>
        <rFont val="Arial"/>
        <family val="0"/>
        <charset val="1"/>
      </rPr>
      <t xml:space="preserve">147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</si>
  <si>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(03)4639269</t>
  </si>
  <si>
    <t xml:space="preserve">ishin147@gmail.com</t>
  </si>
  <si>
    <t xml:space="preserve">2007-05-21</t>
  </si>
  <si>
    <t xml:space="preserve">張芷毓</t>
  </si>
  <si>
    <t xml:space="preserve">王彥㨗</t>
  </si>
  <si>
    <t xml:space="preserve">私立上課囉文理短期補習班</t>
  </si>
  <si>
    <r>
      <rPr>
        <sz val="10"/>
        <color rgb="FF1F2A28"/>
        <rFont val="WenQuanYi Zen Hei"/>
        <family val="2"/>
      </rPr>
      <t xml:space="preserve">中壢區皓東街</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</si>
  <si>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(03)4520908</t>
  </si>
  <si>
    <t xml:space="preserve">alwaysrs@gmail.com</t>
  </si>
  <si>
    <t xml:space="preserve">2024-06-18</t>
  </si>
  <si>
    <t xml:space="preserve">陳政君</t>
  </si>
  <si>
    <t xml:space="preserve">黃信豪</t>
  </si>
  <si>
    <t xml:space="preserve">私立乖乖文理技藝短期補習班</t>
  </si>
  <si>
    <r>
      <rPr>
        <sz val="10"/>
        <color rgb="FF1F2A28"/>
        <rFont val="WenQuanYi Zen Hei"/>
        <family val="2"/>
      </rPr>
      <t xml:space="preserve">中壢區內定二街</t>
    </r>
    <r>
      <rPr>
        <sz val="10"/>
        <color rgb="FF1F2A28"/>
        <rFont val="Arial"/>
        <family val="0"/>
        <charset val="1"/>
      </rPr>
      <t xml:space="preserve">139</t>
    </r>
    <r>
      <rPr>
        <sz val="10"/>
        <color rgb="FF1F2A28"/>
        <rFont val="WenQuanYi Zen Hei"/>
        <family val="2"/>
      </rPr>
      <t xml:space="preserve">巷</t>
    </r>
    <r>
      <rPr>
        <sz val="10"/>
        <color rgb="FF1F2A28"/>
        <rFont val="Arial"/>
        <family val="0"/>
        <charset val="1"/>
      </rPr>
      <t xml:space="preserve">121</t>
    </r>
    <r>
      <rPr>
        <sz val="10"/>
        <color rgb="FF1F2A28"/>
        <rFont val="WenQuanYi Zen Hei"/>
        <family val="2"/>
      </rPr>
      <t xml:space="preserve">弄</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</si>
  <si>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(03)4557237</t>
  </si>
  <si>
    <t xml:space="preserve">joh6771@gmail.com</t>
  </si>
  <si>
    <t xml:space="preserve">2022-08-11</t>
  </si>
  <si>
    <t xml:space="preserve">張櫂烜</t>
  </si>
  <si>
    <t xml:space="preserve">私立亘成文理語文珠心算短期補習班</t>
  </si>
  <si>
    <r>
      <rPr>
        <sz val="10"/>
        <color rgb="FF1F2A28"/>
        <rFont val="WenQuanYi Zen Hei"/>
        <family val="2"/>
      </rPr>
      <t xml:space="preserve">中壢區長沙路</t>
    </r>
    <r>
      <rPr>
        <sz val="10"/>
        <color rgb="FF1F2A28"/>
        <rFont val="Arial"/>
        <family val="0"/>
        <charset val="1"/>
      </rPr>
      <t xml:space="preserve">121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</si>
  <si>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(03)4590123</t>
  </si>
  <si>
    <t xml:space="preserve">ssr525050@gmail.com</t>
  </si>
  <si>
    <t xml:space="preserve">2018-06-25</t>
  </si>
  <si>
    <t xml:space="preserve">謝曉慧</t>
  </si>
  <si>
    <t xml:space="preserve">私立亞勒芬美語短期補習班</t>
  </si>
  <si>
    <r>
      <rPr>
        <sz val="10"/>
        <color rgb="FF1F2A28"/>
        <rFont val="WenQuanYi Zen Hei"/>
        <family val="2"/>
      </rPr>
      <t xml:space="preserve">中壢區慈惠三街</t>
    </r>
    <r>
      <rPr>
        <sz val="10"/>
        <color rgb="FF1F2A28"/>
        <rFont val="Arial"/>
        <family val="0"/>
        <charset val="1"/>
      </rPr>
      <t xml:space="preserve">153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</si>
  <si>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(03)2805522</t>
  </si>
  <si>
    <t xml:space="preserve">xinjie.ty@eagletw.com</t>
  </si>
  <si>
    <t xml:space="preserve">2015-02-06</t>
  </si>
  <si>
    <t xml:space="preserve">彭柏祥</t>
  </si>
  <si>
    <t xml:space="preserve">私立人仁數學語文短期補習班</t>
  </si>
  <si>
    <r>
      <rPr>
        <sz val="10"/>
        <color rgb="FF1F2A28"/>
        <rFont val="WenQuanYi Zen Hei"/>
        <family val="2"/>
      </rPr>
      <t xml:space="preserve">中壢區中山東路三段</t>
    </r>
    <r>
      <rPr>
        <sz val="10"/>
        <color rgb="FF1F2A28"/>
        <rFont val="Arial"/>
        <family val="0"/>
        <charset val="1"/>
      </rPr>
      <t xml:space="preserve">329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</si>
  <si>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(03)4360168</t>
  </si>
  <si>
    <t xml:space="preserve">a4163189@gmail.com</t>
  </si>
  <si>
    <t xml:space="preserve">2010-12-14</t>
  </si>
  <si>
    <t xml:space="preserve">楊新輝</t>
  </si>
  <si>
    <t xml:space="preserve">私立企鵝家族文理短期補習班國際分班</t>
  </si>
  <si>
    <r>
      <rPr>
        <sz val="10"/>
        <color rgb="FF1F2A28"/>
        <rFont val="WenQuanYi Zen Hei"/>
        <family val="2"/>
      </rPr>
      <t xml:space="preserve">中壢區自立三街</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樓及</t>
    </r>
    <r>
      <rPr>
        <sz val="10"/>
        <color rgb="FF1F2A28"/>
        <rFont val="Arial"/>
        <family val="0"/>
        <charset val="1"/>
      </rPr>
      <t xml:space="preserve">5</t>
    </r>
    <r>
      <rPr>
        <sz val="10"/>
        <color rgb="FF1F2A28"/>
        <rFont val="WenQuanYi Zen Hei"/>
        <family val="2"/>
      </rPr>
      <t xml:space="preserve">樓</t>
    </r>
  </si>
  <si>
    <t xml:space="preserve">(03)4550553</t>
  </si>
  <si>
    <t xml:space="preserve">ivanchung1964@gmail.com</t>
  </si>
  <si>
    <t xml:space="preserve">鍾叡賜</t>
  </si>
  <si>
    <t xml:space="preserve">楊淑雯</t>
  </si>
  <si>
    <t xml:space="preserve">私立企鵝家族語文數學科學短期補習班</t>
  </si>
  <si>
    <r>
      <rPr>
        <sz val="10"/>
        <color rgb="FF1F2A28"/>
        <rFont val="WenQuanYi Zen Hei"/>
        <family val="2"/>
      </rPr>
      <t xml:space="preserve">中壢區莊敬路</t>
    </r>
    <r>
      <rPr>
        <sz val="10"/>
        <color rgb="FF1F2A28"/>
        <rFont val="Arial"/>
        <family val="0"/>
        <charset val="1"/>
      </rPr>
      <t xml:space="preserve">730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</si>
  <si>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2019-07-19</t>
  </si>
  <si>
    <t xml:space="preserve">私立何嘉仁樂福美語短期補習班</t>
  </si>
  <si>
    <r>
      <rPr>
        <sz val="10"/>
        <color rgb="FF1F2A28"/>
        <rFont val="WenQuanYi Zen Hei"/>
        <family val="2"/>
      </rPr>
      <t xml:space="preserve">中壢區中豐北路</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</si>
  <si>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(03)4223123</t>
  </si>
  <si>
    <t xml:space="preserve">hs2234@hess.com.tw</t>
  </si>
  <si>
    <t xml:space="preserve">2021-04-26</t>
  </si>
  <si>
    <t xml:space="preserve">朱國禎</t>
  </si>
  <si>
    <t xml:space="preserve">范如惠</t>
  </si>
  <si>
    <t xml:space="preserve">私立佳安語文文理數學短期補習班</t>
  </si>
  <si>
    <r>
      <rPr>
        <sz val="10"/>
        <color rgb="FF1F2A28"/>
        <rFont val="WenQuanYi Zen Hei"/>
        <family val="2"/>
      </rPr>
      <t xml:space="preserve">中壢區中央西路二段</t>
    </r>
    <r>
      <rPr>
        <sz val="10"/>
        <color rgb="FF1F2A28"/>
        <rFont val="Arial"/>
        <family val="0"/>
        <charset val="1"/>
      </rPr>
      <t xml:space="preserve">106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</si>
  <si>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(03)4943718</t>
  </si>
  <si>
    <t xml:space="preserve">funyulan@gmail.com</t>
  </si>
  <si>
    <t xml:space="preserve">房鈺蘭</t>
  </si>
  <si>
    <t xml:space="preserve">私立佳瑞英語短期補習班</t>
  </si>
  <si>
    <r>
      <rPr>
        <sz val="10"/>
        <color rgb="FF1F2A28"/>
        <rFont val="WenQuanYi Zen Hei"/>
        <family val="2"/>
      </rPr>
      <t xml:space="preserve">中壢區治平街</t>
    </r>
    <r>
      <rPr>
        <sz val="10"/>
        <color rgb="FF1F2A28"/>
        <rFont val="Arial"/>
        <family val="0"/>
        <charset val="1"/>
      </rPr>
      <t xml:space="preserve">41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</si>
  <si>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(03)4664141</t>
  </si>
  <si>
    <t xml:space="preserve">cy.joyenglish@gmail.com</t>
  </si>
  <si>
    <t xml:space="preserve">2009-05-18</t>
  </si>
  <si>
    <t xml:space="preserve">張瑞成</t>
  </si>
  <si>
    <t xml:space="preserve">私立修博文理短期補習班</t>
  </si>
  <si>
    <r>
      <rPr>
        <sz val="10"/>
        <color rgb="FF1F2A28"/>
        <rFont val="WenQuanYi Zen Hei"/>
        <family val="2"/>
      </rPr>
      <t xml:space="preserve">中壢區成功路</t>
    </r>
    <r>
      <rPr>
        <sz val="10"/>
        <color rgb="FF1F2A28"/>
        <rFont val="Arial"/>
        <family val="0"/>
        <charset val="1"/>
      </rPr>
      <t xml:space="preserve">79</t>
    </r>
    <r>
      <rPr>
        <sz val="10"/>
        <color rgb="FF1F2A28"/>
        <rFont val="WenQuanYi Zen Hei"/>
        <family val="2"/>
      </rPr>
      <t xml:space="preserve">巷</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</si>
  <si>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(03)4336377</t>
  </si>
  <si>
    <t xml:space="preserve">skwu5068@gmail.com</t>
  </si>
  <si>
    <t xml:space="preserve">2004-02-15</t>
  </si>
  <si>
    <t xml:space="preserve">吳緒楷</t>
  </si>
  <si>
    <t xml:space="preserve">私立優立方語文數學短期補習班</t>
  </si>
  <si>
    <r>
      <rPr>
        <sz val="10"/>
        <color rgb="FF1F2A28"/>
        <rFont val="WenQuanYi Zen Hei"/>
        <family val="2"/>
      </rPr>
      <t xml:space="preserve">中壢區青商路</t>
    </r>
    <r>
      <rPr>
        <sz val="10"/>
        <color rgb="FF1F2A28"/>
        <rFont val="Arial"/>
        <family val="0"/>
        <charset val="1"/>
      </rPr>
      <t xml:space="preserve">28</t>
    </r>
    <r>
      <rPr>
        <sz val="10"/>
        <color rgb="FF1F2A28"/>
        <rFont val="WenQuanYi Zen Hei"/>
        <family val="2"/>
      </rPr>
      <t xml:space="preserve">及</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</si>
  <si>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(03)4532648</t>
  </si>
  <si>
    <t xml:space="preserve">qingdakidcastle@gmail.com</t>
  </si>
  <si>
    <t xml:space="preserve">2020-07-03</t>
  </si>
  <si>
    <t xml:space="preserve">徐明蔚</t>
  </si>
  <si>
    <t xml:space="preserve">徐銘佑</t>
  </si>
  <si>
    <t xml:space="preserve">私立光華英語會話短期補習班</t>
  </si>
  <si>
    <r>
      <rPr>
        <sz val="10"/>
        <color rgb="FF1F2A28"/>
        <rFont val="WenQuanYi Zen Hei"/>
        <family val="2"/>
      </rPr>
      <t xml:space="preserve">中壢區慈惠三街</t>
    </r>
    <r>
      <rPr>
        <sz val="10"/>
        <color rgb="FF1F2A28"/>
        <rFont val="Arial"/>
        <family val="0"/>
        <charset val="1"/>
      </rPr>
      <t xml:space="preserve">133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</si>
  <si>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(03)4915087</t>
  </si>
  <si>
    <t xml:space="preserve">1984-05-15</t>
  </si>
  <si>
    <t xml:space="preserve">私立冠奕文理短期補習班</t>
  </si>
  <si>
    <r>
      <rPr>
        <sz val="10"/>
        <color rgb="FF1F2A28"/>
        <rFont val="WenQuanYi Zen Hei"/>
        <family val="2"/>
      </rPr>
      <t xml:space="preserve">中壢區林森路</t>
    </r>
    <r>
      <rPr>
        <sz val="10"/>
        <color rgb="FF1F2A28"/>
        <rFont val="Arial"/>
        <family val="0"/>
        <charset val="1"/>
      </rPr>
      <t xml:space="preserve">43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4</t>
    </r>
    <r>
      <rPr>
        <sz val="10"/>
        <color rgb="FF1F2A28"/>
        <rFont val="WenQuanYi Zen Hei"/>
        <family val="2"/>
      </rPr>
      <t xml:space="preserve">樓</t>
    </r>
  </si>
  <si>
    <t xml:space="preserve">(03)4594798 03-4595500</t>
  </si>
  <si>
    <t xml:space="preserve">chengsen2005@gmail.com</t>
  </si>
  <si>
    <t xml:space="preserve">陳光瑞</t>
  </si>
  <si>
    <r>
      <rPr>
        <sz val="10"/>
        <color rgb="FF1F2A28"/>
        <rFont val="WenQuanYi Zen Hei"/>
        <family val="2"/>
      </rPr>
      <t xml:space="preserve">中壢區榮民南路</t>
    </r>
    <r>
      <rPr>
        <sz val="10"/>
        <color rgb="FF1F2A28"/>
        <rFont val="Arial"/>
        <family val="0"/>
        <charset val="1"/>
      </rPr>
      <t xml:space="preserve">224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</si>
  <si>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(03)4668629</t>
  </si>
  <si>
    <t xml:space="preserve">私立凱伊英語短期補習班</t>
  </si>
  <si>
    <r>
      <rPr>
        <sz val="10"/>
        <color rgb="FF1F2A28"/>
        <rFont val="WenQuanYi Zen Hei"/>
        <family val="2"/>
      </rPr>
      <t xml:space="preserve">中壢區大安街</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</si>
  <si>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(03)4578504</t>
  </si>
  <si>
    <t xml:space="preserve">kayliu0702@gmail.com</t>
  </si>
  <si>
    <t xml:space="preserve">2015-03-24</t>
  </si>
  <si>
    <t xml:space="preserve">劉怡希</t>
  </si>
  <si>
    <t xml:space="preserve">私立創思學習文理數學語文短期補習班</t>
  </si>
  <si>
    <r>
      <rPr>
        <sz val="10"/>
        <color rgb="FF1F2A28"/>
        <rFont val="WenQuanYi Zen Hei"/>
        <family val="2"/>
      </rPr>
      <t xml:space="preserve">中壢區中北路二段</t>
    </r>
    <r>
      <rPr>
        <sz val="10"/>
        <color rgb="FF1F2A28"/>
        <rFont val="Arial"/>
        <family val="0"/>
        <charset val="1"/>
      </rPr>
      <t xml:space="preserve">228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t>
    </r>
    <r>
      <rPr>
        <sz val="10"/>
        <color rgb="FF1F2A28"/>
        <rFont val="Arial"/>
        <family val="0"/>
        <charset val="1"/>
      </rPr>
      <t xml:space="preserve">226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</si>
  <si>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(03)2842777</t>
  </si>
  <si>
    <t xml:space="preserve">shachima2016@gmail.com</t>
  </si>
  <si>
    <t xml:space="preserve">數學自然英文、數學英文理化、美語</t>
  </si>
  <si>
    <t xml:space="preserve">2018-05-23</t>
  </si>
  <si>
    <t xml:space="preserve">邱予</t>
  </si>
  <si>
    <t xml:space="preserve">徐勝明</t>
  </si>
  <si>
    <t xml:space="preserve">私立力成數學語文短期補習班</t>
  </si>
  <si>
    <r>
      <rPr>
        <sz val="10"/>
        <color rgb="FF1F2A28"/>
        <rFont val="WenQuanYi Zen Hei"/>
        <family val="2"/>
      </rPr>
      <t xml:space="preserve">中壢區福德路</t>
    </r>
    <r>
      <rPr>
        <sz val="10"/>
        <color rgb="FF1F2A28"/>
        <rFont val="Arial"/>
        <family val="0"/>
        <charset val="1"/>
      </rPr>
      <t xml:space="preserve">112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</si>
  <si>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(03)4554645</t>
  </si>
  <si>
    <t xml:space="preserve">p19670610@gmail.com</t>
  </si>
  <si>
    <t xml:space="preserve">2020-10-20</t>
  </si>
  <si>
    <t xml:space="preserve">陶真珠</t>
  </si>
  <si>
    <t xml:space="preserve">私立勵德語文文理短期補習班</t>
  </si>
  <si>
    <r>
      <rPr>
        <sz val="10"/>
        <color rgb="FF1F2A28"/>
        <rFont val="WenQuanYi Zen Hei"/>
        <family val="2"/>
      </rPr>
      <t xml:space="preserve">中壢區新興路</t>
    </r>
    <r>
      <rPr>
        <sz val="10"/>
        <color rgb="FF1F2A28"/>
        <rFont val="Arial"/>
        <family val="0"/>
        <charset val="1"/>
      </rPr>
      <t xml:space="preserve">162</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</si>
  <si>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(03)4589787</t>
  </si>
  <si>
    <t xml:space="preserve">mettle@ldclass.com.tw</t>
  </si>
  <si>
    <t xml:space="preserve">2016-01-14</t>
  </si>
  <si>
    <t xml:space="preserve">林建孚</t>
  </si>
  <si>
    <t xml:space="preserve">私立勵成文理短期補習班東興分班</t>
  </si>
  <si>
    <r>
      <rPr>
        <sz val="10"/>
        <color rgb="FF1F2A28"/>
        <rFont val="WenQuanYi Zen Hei"/>
        <family val="2"/>
      </rPr>
      <t xml:space="preserve">中壢區廣州路</t>
    </r>
    <r>
      <rPr>
        <sz val="10"/>
        <color rgb="FF1F2A28"/>
        <rFont val="Arial"/>
        <family val="0"/>
        <charset val="1"/>
      </rPr>
      <t xml:space="preserve">85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</si>
  <si>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(03)4281505</t>
  </si>
  <si>
    <t xml:space="preserve">ada650624@yahoo.com.tw</t>
  </si>
  <si>
    <t xml:space="preserve">2003-06-17</t>
  </si>
  <si>
    <t xml:space="preserve">蔡婉君</t>
  </si>
  <si>
    <t xml:space="preserve">陳大成</t>
  </si>
  <si>
    <t xml:space="preserve">私立北一文理美語短期補習班</t>
  </si>
  <si>
    <r>
      <rPr>
        <sz val="10"/>
        <color rgb="FF1F2A28"/>
        <rFont val="WenQuanYi Zen Hei"/>
        <family val="2"/>
      </rPr>
      <t xml:space="preserve">中壢區永信路</t>
    </r>
    <r>
      <rPr>
        <sz val="10"/>
        <color rgb="FF1F2A28"/>
        <rFont val="Arial"/>
        <family val="0"/>
        <charset val="1"/>
      </rPr>
      <t xml:space="preserve">211</t>
    </r>
    <r>
      <rPr>
        <sz val="10"/>
        <color rgb="FF1F2A28"/>
        <rFont val="WenQuanYi Zen Hei"/>
        <family val="2"/>
      </rPr>
      <t xml:space="preserve">號</t>
    </r>
    <r>
      <rPr>
        <sz val="10"/>
        <color rgb="FF1F2A28"/>
        <rFont val="Arial"/>
        <family val="0"/>
        <charset val="1"/>
      </rPr>
      <t xml:space="preserve">3-4</t>
    </r>
    <r>
      <rPr>
        <sz val="10"/>
        <color rgb="FF1F2A28"/>
        <rFont val="WenQuanYi Zen Hei"/>
        <family val="2"/>
      </rPr>
      <t xml:space="preserve">樓及</t>
    </r>
    <r>
      <rPr>
        <sz val="10"/>
        <color rgb="FF1F2A28"/>
        <rFont val="Arial"/>
        <family val="0"/>
        <charset val="1"/>
      </rPr>
      <t xml:space="preserve">213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</si>
  <si>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(03)4250055</t>
  </si>
  <si>
    <t xml:space="preserve">peii.qingpu@gmail.com</t>
  </si>
  <si>
    <t xml:space="preserve">美語、國英數自</t>
  </si>
  <si>
    <t xml:space="preserve">2019-04-15</t>
  </si>
  <si>
    <t xml:space="preserve">楊婕恩</t>
  </si>
  <si>
    <t xml:space="preserve">私立卡爾維特語文珠心算數學文理短期補習班</t>
  </si>
  <si>
    <r>
      <rPr>
        <sz val="10"/>
        <color rgb="FF1F2A28"/>
        <rFont val="WenQuanYi Zen Hei"/>
        <family val="2"/>
      </rPr>
      <t xml:space="preserve">中壢區中豐路</t>
    </r>
    <r>
      <rPr>
        <sz val="10"/>
        <color rgb="FF1F2A28"/>
        <rFont val="Arial"/>
        <family val="0"/>
        <charset val="1"/>
      </rPr>
      <t xml:space="preserve">49</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弄</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樓及</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</si>
  <si>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(03)4269420</t>
  </si>
  <si>
    <t xml:space="preserve">boss551028@gmail.com</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</si>
  <si>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</si>
  <si>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李健昌</t>
  </si>
  <si>
    <t xml:space="preserve">私立史丹佛數學美語文理短期補習班</t>
  </si>
  <si>
    <r>
      <rPr>
        <sz val="10"/>
        <color rgb="FF1F2A28"/>
        <rFont val="WenQuanYi Zen Hei"/>
        <family val="2"/>
      </rPr>
      <t xml:space="preserve">中壢區榮民南路</t>
    </r>
    <r>
      <rPr>
        <sz val="10"/>
        <color rgb="FF1F2A28"/>
        <rFont val="Arial"/>
        <family val="0"/>
        <charset val="1"/>
      </rPr>
      <t xml:space="preserve">215</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</si>
  <si>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(03)4374676</t>
  </si>
  <si>
    <t xml:space="preserve">2000-11-21</t>
  </si>
  <si>
    <t xml:space="preserve">黃文杰</t>
  </si>
  <si>
    <t xml:space="preserve">私立史考特新世界美語短期補習班</t>
  </si>
  <si>
    <r>
      <rPr>
        <sz val="10"/>
        <color rgb="FF1F2A28"/>
        <rFont val="WenQuanYi Zen Hei"/>
        <family val="2"/>
      </rPr>
      <t xml:space="preserve">中壢區致遠一路</t>
    </r>
    <r>
      <rPr>
        <sz val="10"/>
        <color rgb="FF1F2A28"/>
        <rFont val="Arial"/>
        <family val="0"/>
        <charset val="1"/>
      </rPr>
      <t xml:space="preserve">206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樓及致遠二路</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</si>
  <si>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(03)4533040</t>
  </si>
  <si>
    <t xml:space="preserve">nwehr@newworldenglish.com</t>
  </si>
  <si>
    <t xml:space="preserve">2015-03-06</t>
  </si>
  <si>
    <t xml:space="preserve">林品潔</t>
  </si>
  <si>
    <t xml:space="preserve">彭意景</t>
  </si>
  <si>
    <t xml:space="preserve">私立史蒂文語文文理短期補習班</t>
  </si>
  <si>
    <r>
      <rPr>
        <sz val="10"/>
        <color rgb="FF1F2A28"/>
        <rFont val="WenQuanYi Zen Hei"/>
        <family val="2"/>
      </rPr>
      <t xml:space="preserve">中壢區廣州路</t>
    </r>
    <r>
      <rPr>
        <sz val="10"/>
        <color rgb="FF1F2A28"/>
        <rFont val="Arial"/>
        <family val="0"/>
        <charset val="1"/>
      </rPr>
      <t xml:space="preserve">95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</si>
  <si>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(03)4685227</t>
  </si>
  <si>
    <t xml:space="preserve">jack911144@gmail.com</t>
  </si>
  <si>
    <t xml:space="preserve">2018-10-29</t>
  </si>
  <si>
    <t xml:space="preserve">黃意雯</t>
  </si>
  <si>
    <t xml:space="preserve">黃聖崴</t>
  </si>
  <si>
    <t xml:space="preserve">私立吉多語文文理短期補習班</t>
  </si>
  <si>
    <r>
      <rPr>
        <sz val="10"/>
        <color rgb="FF1F2A28"/>
        <rFont val="WenQuanYi Zen Hei"/>
        <family val="2"/>
      </rPr>
      <t xml:space="preserve">中壢區大安街</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</si>
  <si>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(03)4288325</t>
  </si>
  <si>
    <t xml:space="preserve">eileen04110224@yahoo.com.tw</t>
  </si>
  <si>
    <t xml:space="preserve">2012-09-25</t>
  </si>
  <si>
    <t xml:space="preserve">黃韻心</t>
  </si>
  <si>
    <t xml:space="preserve">劉宴伶</t>
  </si>
  <si>
    <r>
      <rPr>
        <sz val="10"/>
        <color rgb="FF1F2A28"/>
        <rFont val="WenQuanYi Zen Hei"/>
        <family val="2"/>
      </rPr>
      <t xml:space="preserve">中壢區青商路</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</si>
  <si>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0910757767</t>
  </si>
  <si>
    <t xml:space="preserve">國英數社自、英語</t>
  </si>
  <si>
    <t xml:space="preserve">私立同學家文理短期補習班小綠屋分班</t>
  </si>
  <si>
    <r>
      <rPr>
        <sz val="10"/>
        <color rgb="FF1F2A28"/>
        <rFont val="WenQuanYi Zen Hei"/>
        <family val="2"/>
      </rPr>
      <t xml:space="preserve">中壢區青埔路二段</t>
    </r>
    <r>
      <rPr>
        <sz val="10"/>
        <color rgb="FF1F2A28"/>
        <rFont val="Arial"/>
        <family val="0"/>
        <charset val="1"/>
      </rPr>
      <t xml:space="preserve">388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</si>
  <si>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(03)2870962</t>
  </si>
  <si>
    <t xml:space="preserve">英語、國英數自社</t>
  </si>
  <si>
    <t xml:space="preserve">2025-11-12</t>
  </si>
  <si>
    <t xml:space="preserve">吳沛璇</t>
  </si>
  <si>
    <r>
      <rPr>
        <sz val="10"/>
        <color rgb="FF1F2A28"/>
        <rFont val="WenQuanYi Zen Hei"/>
        <family val="2"/>
      </rPr>
      <t xml:space="preserve">中壢區文化路</t>
    </r>
    <r>
      <rPr>
        <sz val="10"/>
        <color rgb="FF1F2A28"/>
        <rFont val="Arial"/>
        <family val="0"/>
        <charset val="1"/>
      </rPr>
      <t xml:space="preserve">345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</si>
  <si>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(03)4552850</t>
  </si>
  <si>
    <t xml:space="preserve">leechihshuo@gmail.com</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</si>
  <si>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</si>
  <si>
    <t xml:space="preserve">2015-12-29</t>
  </si>
  <si>
    <t xml:space="preserve">王彥文</t>
  </si>
  <si>
    <t xml:space="preserve">私立向品語文文理短期補習班中壢新生分班</t>
  </si>
  <si>
    <r>
      <rPr>
        <sz val="10"/>
        <color rgb="FF1F2A28"/>
        <rFont val="WenQuanYi Zen Hei"/>
        <family val="2"/>
      </rPr>
      <t xml:space="preserve">中壢區新生路</t>
    </r>
    <r>
      <rPr>
        <sz val="10"/>
        <color rgb="FF1F2A28"/>
        <rFont val="Arial"/>
        <family val="0"/>
        <charset val="1"/>
      </rPr>
      <t xml:space="preserve">299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</si>
  <si>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(03)4226976</t>
  </si>
  <si>
    <t xml:space="preserve">xpchungli@gmail.com</t>
  </si>
  <si>
    <t xml:space="preserve">2018-10-01</t>
  </si>
  <si>
    <t xml:space="preserve">張梵耘</t>
  </si>
  <si>
    <t xml:space="preserve">私立和陽美語珠算短期補習班</t>
  </si>
  <si>
    <r>
      <rPr>
        <sz val="10"/>
        <color rgb="FF1F2A28"/>
        <rFont val="WenQuanYi Zen Hei"/>
        <family val="2"/>
      </rPr>
      <t xml:space="preserve">中壢區力行北街</t>
    </r>
    <r>
      <rPr>
        <sz val="10"/>
        <color rgb="FF1F2A28"/>
        <rFont val="Arial"/>
        <family val="0"/>
        <charset val="1"/>
      </rPr>
      <t xml:space="preserve">79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</si>
  <si>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(03)4387333</t>
  </si>
  <si>
    <t xml:space="preserve">hoyoung_class@yahoo.com.tw</t>
  </si>
  <si>
    <t xml:space="preserve">黃淑英</t>
  </si>
  <si>
    <t xml:space="preserve">吳嘉創</t>
  </si>
  <si>
    <t xml:space="preserve">私立唯恩文理技藝短期補習班</t>
  </si>
  <si>
    <r>
      <rPr>
        <sz val="10"/>
        <color rgb="FF1F2A28"/>
        <rFont val="WenQuanYi Zen Hei"/>
        <family val="2"/>
      </rPr>
      <t xml:space="preserve">中壢區中北路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76</t>
    </r>
    <r>
      <rPr>
        <sz val="10"/>
        <color rgb="FF1F2A28"/>
        <rFont val="WenQuanYi Zen Hei"/>
        <family val="2"/>
      </rPr>
      <t xml:space="preserve">巷</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</si>
  <si>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(03)4679808 4589565</t>
  </si>
  <si>
    <t xml:space="preserve">a911213973@yahoo.com.tw</t>
  </si>
  <si>
    <t xml:space="preserve">2002-09-09</t>
  </si>
  <si>
    <t xml:space="preserve">張鎮在</t>
  </si>
  <si>
    <t xml:space="preserve">私立喬加優美語數學短期補習班</t>
  </si>
  <si>
    <r>
      <rPr>
        <sz val="10"/>
        <color rgb="FF1F2A28"/>
        <rFont val="WenQuanYi Zen Hei"/>
        <family val="2"/>
      </rPr>
      <t xml:space="preserve">中壢區慈惠三街</t>
    </r>
    <r>
      <rPr>
        <sz val="10"/>
        <color rgb="FF1F2A28"/>
        <rFont val="Arial"/>
        <family val="0"/>
        <charset val="1"/>
      </rPr>
      <t xml:space="preserve">115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</si>
  <si>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(03)4273033</t>
  </si>
  <si>
    <t xml:space="preserve">kelly69620@gmail.com</t>
  </si>
  <si>
    <t xml:space="preserve">林志豪</t>
  </si>
  <si>
    <t xml:space="preserve">私立喬安娜語文文理短期補習班</t>
  </si>
  <si>
    <r>
      <rPr>
        <sz val="10"/>
        <color rgb="FF1F2A28"/>
        <rFont val="WenQuanYi Zen Hei"/>
        <family val="2"/>
      </rPr>
      <t xml:space="preserve">中壢區林森路</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</si>
  <si>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(03)4590181</t>
  </si>
  <si>
    <t xml:space="preserve">chiujoanne2013@gmail.com</t>
  </si>
  <si>
    <t xml:space="preserve">2009-09-11</t>
  </si>
  <si>
    <t xml:space="preserve">邱碧惠</t>
  </si>
  <si>
    <t xml:space="preserve">邱士哲</t>
  </si>
  <si>
    <t xml:space="preserve">私立國興美語短期補習班</t>
  </si>
  <si>
    <r>
      <rPr>
        <sz val="10"/>
        <color rgb="FF1F2A28"/>
        <rFont val="WenQuanYi Zen Hei"/>
        <family val="2"/>
      </rPr>
      <t xml:space="preserve">中壢區興隆六街</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</si>
  <si>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(03)4263322</t>
  </si>
  <si>
    <t xml:space="preserve">yuenpatty@hotmail.com</t>
  </si>
  <si>
    <t xml:space="preserve">中級美語、初級美語、高級美語</t>
  </si>
  <si>
    <t xml:space="preserve">2006-01-17</t>
  </si>
  <si>
    <t xml:space="preserve">任瑋珍</t>
  </si>
  <si>
    <t xml:space="preserve">李國成</t>
  </si>
  <si>
    <t xml:space="preserve">私立埼安語文文理短期補習班</t>
  </si>
  <si>
    <r>
      <rPr>
        <sz val="10"/>
        <color rgb="FF1F2A28"/>
        <rFont val="WenQuanYi Zen Hei"/>
        <family val="2"/>
      </rPr>
      <t xml:space="preserve">中壢區中央西路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148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</si>
  <si>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03-4920207</t>
  </si>
  <si>
    <t xml:space="preserve">sinming.live@gmail.com</t>
  </si>
  <si>
    <t xml:space="preserve">2012-07-05</t>
  </si>
  <si>
    <t xml:space="preserve">陳君慈</t>
  </si>
  <si>
    <t xml:space="preserve">私立大安美語短期補習班</t>
  </si>
  <si>
    <r>
      <rPr>
        <sz val="10"/>
        <color rgb="FF1F2A28"/>
        <rFont val="WenQuanYi Zen Hei"/>
        <family val="2"/>
      </rPr>
      <t xml:space="preserve">中壢區成功路</t>
    </r>
    <r>
      <rPr>
        <sz val="10"/>
        <color rgb="FF1F2A28"/>
        <rFont val="Arial"/>
        <family val="0"/>
        <charset val="1"/>
      </rPr>
      <t xml:space="preserve">159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</si>
  <si>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(03)-4915087</t>
  </si>
  <si>
    <t xml:space="preserve">古乾璟</t>
  </si>
  <si>
    <t xml:space="preserve">私立大綠蒂語文數學短期補習班</t>
  </si>
  <si>
    <r>
      <rPr>
        <sz val="10"/>
        <color rgb="FF1F2A28"/>
        <rFont val="WenQuanYi Zen Hei"/>
        <family val="2"/>
      </rPr>
      <t xml:space="preserve">中壢區仁慈路</t>
    </r>
    <r>
      <rPr>
        <sz val="10"/>
        <color rgb="FF1F2A28"/>
        <rFont val="Arial"/>
        <family val="0"/>
        <charset val="1"/>
      </rPr>
      <t xml:space="preserve">136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樓及仁美四街</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</si>
  <si>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(03)4665566</t>
  </si>
  <si>
    <t xml:space="preserve">green.bean4666767@gmail.com</t>
  </si>
  <si>
    <t xml:space="preserve">徐婉菁</t>
  </si>
  <si>
    <t xml:space="preserve">葛正珮</t>
  </si>
  <si>
    <t xml:space="preserve">私立大衛美語會話短期補習班</t>
  </si>
  <si>
    <r>
      <rPr>
        <sz val="10"/>
        <color rgb="FF1F2A28"/>
        <rFont val="WenQuanYi Zen Hei"/>
        <family val="2"/>
      </rPr>
      <t xml:space="preserve">中壢區永樂路</t>
    </r>
    <r>
      <rPr>
        <sz val="10"/>
        <color rgb="FF1F2A28"/>
        <rFont val="Arial"/>
        <family val="0"/>
        <charset val="1"/>
      </rPr>
      <t xml:space="preserve">11</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</si>
  <si>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(03)4252040</t>
  </si>
  <si>
    <t xml:space="preserve">chungli@david.com.tw</t>
  </si>
  <si>
    <t xml:space="preserve">古昌富</t>
  </si>
  <si>
    <t xml:space="preserve">古永誌</t>
  </si>
  <si>
    <t xml:space="preserve">私立威佛文理語文數學短期補習班</t>
  </si>
  <si>
    <r>
      <rPr>
        <sz val="10"/>
        <color rgb="FF1F2A28"/>
        <rFont val="WenQuanYi Zen Hei"/>
        <family val="2"/>
      </rPr>
      <t xml:space="preserve">中壢區成都路</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</si>
  <si>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(03)4578777</t>
  </si>
  <si>
    <t xml:space="preserve">ns0931139866@icloud.com</t>
  </si>
  <si>
    <t xml:space="preserve">胡舒蔓</t>
  </si>
  <si>
    <t xml:space="preserve">林威宇</t>
  </si>
  <si>
    <r>
      <rPr>
        <sz val="10"/>
        <color rgb="FF1F2A28"/>
        <rFont val="WenQuanYi Zen Hei"/>
        <family val="2"/>
      </rPr>
      <t xml:space="preserve">中壢區中正路四段</t>
    </r>
    <r>
      <rPr>
        <sz val="10"/>
        <color rgb="FF1F2A28"/>
        <rFont val="Arial"/>
        <family val="0"/>
        <charset val="1"/>
      </rPr>
      <t xml:space="preserve">66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</si>
  <si>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(03)4080369</t>
  </si>
  <si>
    <t xml:space="preserve">私立學聖文理語文數學短期補習班</t>
  </si>
  <si>
    <r>
      <rPr>
        <sz val="10"/>
        <color rgb="FF1F2A28"/>
        <rFont val="WenQuanYi Zen Hei"/>
        <family val="2"/>
      </rPr>
      <t xml:space="preserve">中壢區復華七街</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39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</si>
  <si>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(03)4333007</t>
  </si>
  <si>
    <t xml:space="preserve">small.rain.y2k.5@yahoo.com.tw</t>
  </si>
  <si>
    <t xml:space="preserve">2014-03-27</t>
  </si>
  <si>
    <t xml:space="preserve">曾宇震</t>
  </si>
  <si>
    <t xml:space="preserve">私立學育文理數學語文短期補習班</t>
  </si>
  <si>
    <r>
      <rPr>
        <sz val="10"/>
        <color rgb="FF1F2A28"/>
        <rFont val="WenQuanYi Zen Hei"/>
        <family val="2"/>
      </rPr>
      <t xml:space="preserve">中壢區自強六路</t>
    </r>
    <r>
      <rPr>
        <sz val="10"/>
        <color rgb="FF1F2A28"/>
        <rFont val="Arial"/>
        <family val="0"/>
        <charset val="1"/>
      </rPr>
      <t xml:space="preserve">55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53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樓及復華街</t>
    </r>
    <r>
      <rPr>
        <sz val="10"/>
        <color rgb="FF1F2A28"/>
        <rFont val="Arial"/>
        <family val="0"/>
        <charset val="1"/>
      </rPr>
      <t xml:space="preserve">212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</si>
  <si>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(03)4616518</t>
  </si>
  <si>
    <t xml:space="preserve">s410482@gmail.com</t>
  </si>
  <si>
    <t xml:space="preserve">2012-08-07</t>
  </si>
  <si>
    <t xml:space="preserve">吳國暐</t>
  </si>
  <si>
    <t xml:space="preserve">私立學育文理短期補習班育才分班</t>
  </si>
  <si>
    <r>
      <rPr>
        <sz val="10"/>
        <color rgb="FF1F2A28"/>
        <rFont val="WenQuanYi Zen Hei"/>
        <family val="2"/>
      </rPr>
      <t xml:space="preserve">中壢區文化路</t>
    </r>
    <r>
      <rPr>
        <sz val="10"/>
        <color rgb="FF1F2A28"/>
        <rFont val="Arial"/>
        <family val="0"/>
        <charset val="1"/>
      </rPr>
      <t xml:space="preserve">140</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</si>
  <si>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(03)4511560</t>
  </si>
  <si>
    <t xml:space="preserve">wuassistant8@gmail.com</t>
  </si>
  <si>
    <t xml:space="preserve">2023-10-25</t>
  </si>
  <si>
    <t xml:space="preserve">蔡嘉琳</t>
  </si>
  <si>
    <t xml:space="preserve">私立宋分文理短期補習班</t>
  </si>
  <si>
    <r>
      <rPr>
        <sz val="10"/>
        <color rgb="FF1F2A28"/>
        <rFont val="WenQuanYi Zen Hei"/>
        <family val="2"/>
      </rPr>
      <t xml:space="preserve">中壢區復華九街</t>
    </r>
    <r>
      <rPr>
        <sz val="10"/>
        <color rgb="FF1F2A28"/>
        <rFont val="Arial"/>
        <family val="0"/>
        <charset val="1"/>
      </rPr>
      <t xml:space="preserve">99</t>
    </r>
    <r>
      <rPr>
        <sz val="10"/>
        <color rgb="FF1F2A28"/>
        <rFont val="WenQuanYi Zen Hei"/>
        <family val="2"/>
      </rPr>
      <t xml:space="preserve">、</t>
    </r>
    <r>
      <rPr>
        <sz val="10"/>
        <color rgb="FF1F2A28"/>
        <rFont val="Arial"/>
        <family val="0"/>
        <charset val="1"/>
      </rPr>
      <t xml:space="preserve">101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</si>
  <si>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(03)4510450</t>
  </si>
  <si>
    <t xml:space="preserve">h062318@yahoo.com.tw</t>
  </si>
  <si>
    <t xml:space="preserve">美語、國英數、國英數自社</t>
  </si>
  <si>
    <t xml:space="preserve">2025-11-04</t>
  </si>
  <si>
    <t xml:space="preserve">宋家榮</t>
  </si>
  <si>
    <t xml:space="preserve">私立小小讀書家文理短期補習班</t>
  </si>
  <si>
    <r>
      <rPr>
        <sz val="10"/>
        <color rgb="FF1F2A28"/>
        <rFont val="WenQuanYi Zen Hei"/>
        <family val="2"/>
      </rPr>
      <t xml:space="preserve">中壢區長樂五街</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</si>
  <si>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0984-101848</t>
  </si>
  <si>
    <t xml:space="preserve">ciaciayuyu@gmail.com</t>
  </si>
  <si>
    <t xml:space="preserve">2026-02-02</t>
  </si>
  <si>
    <t xml:space="preserve">游惠晴</t>
  </si>
  <si>
    <t xml:space="preserve">私立小珠子珠心算語文文理短期補習班</t>
  </si>
  <si>
    <r>
      <rPr>
        <sz val="10"/>
        <color rgb="FF1F2A28"/>
        <rFont val="WenQuanYi Zen Hei"/>
        <family val="2"/>
      </rPr>
      <t xml:space="preserve">中壢區清泉街</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</si>
  <si>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(03)4685189</t>
  </si>
  <si>
    <t xml:space="preserve">kueilin6077@gmail.com</t>
  </si>
  <si>
    <t xml:space="preserve">2004-09-15</t>
  </si>
  <si>
    <t xml:space="preserve">陳藝范</t>
  </si>
  <si>
    <t xml:space="preserve">黃貴琳</t>
  </si>
  <si>
    <t xml:space="preserve">私立嶺先語文文理數學短期補習班</t>
  </si>
  <si>
    <r>
      <rPr>
        <sz val="10"/>
        <color rgb="FF1F2A28"/>
        <rFont val="WenQuanYi Zen Hei"/>
        <family val="2"/>
      </rPr>
      <t xml:space="preserve">中壢區松智路</t>
    </r>
    <r>
      <rPr>
        <sz val="10"/>
        <color rgb="FF1F2A28"/>
        <rFont val="Arial"/>
        <family val="0"/>
        <charset val="1"/>
      </rPr>
      <t xml:space="preserve">57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</si>
  <si>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(03)4207885</t>
  </si>
  <si>
    <t xml:space="preserve">sharewell2010@yahoo.com.tw</t>
  </si>
  <si>
    <r>
      <rPr>
        <sz val="10"/>
        <color rgb="FF1F2A28"/>
        <rFont val="WenQuanYi Zen Hei"/>
        <family val="2"/>
      </rPr>
      <t xml:space="preserve">國中文理科</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1</t>
    </r>
    <r>
      <rPr>
        <sz val="10"/>
        <color rgb="FF1F2A28"/>
        <rFont val="WenQuanYi Zen Hei"/>
        <family val="2"/>
      </rPr>
      <t xml:space="preserve">班、數學</t>
    </r>
    <r>
      <rPr>
        <sz val="10"/>
        <color rgb="FF1F2A28"/>
        <rFont val="Arial"/>
        <family val="0"/>
        <charset val="1"/>
      </rPr>
      <t xml:space="preserve">1</t>
    </r>
    <r>
      <rPr>
        <sz val="10"/>
        <color rgb="FF1F2A28"/>
        <rFont val="WenQuanYi Zen Hei"/>
        <family val="2"/>
      </rPr>
      <t xml:space="preserve">班、自然</t>
    </r>
    <r>
      <rPr>
        <sz val="10"/>
        <color rgb="FF1F2A28"/>
        <rFont val="Arial"/>
        <family val="0"/>
        <charset val="1"/>
      </rPr>
      <t xml:space="preserve">1</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、美語</t>
    </r>
  </si>
  <si>
    <t xml:space="preserve">2021-09-06</t>
  </si>
  <si>
    <t xml:space="preserve">郭慶弘</t>
  </si>
  <si>
    <t xml:space="preserve">私立巧圓技藝文理短期補習班</t>
  </si>
  <si>
    <r>
      <rPr>
        <sz val="10"/>
        <color rgb="FF1F2A28"/>
        <rFont val="WenQuanYi Zen Hei"/>
        <family val="2"/>
      </rPr>
      <t xml:space="preserve">中壢區文化二路</t>
    </r>
    <r>
      <rPr>
        <sz val="10"/>
        <color rgb="FF1F2A28"/>
        <rFont val="Arial"/>
        <family val="0"/>
        <charset val="1"/>
      </rPr>
      <t xml:space="preserve">309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</si>
  <si>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(03)4555272</t>
  </si>
  <si>
    <t xml:space="preserve">a0938056389@gmail.com</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</si>
  <si>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商類：珠算、心算、會計</t>
    </r>
    <r>
      <rPr>
        <sz val="10"/>
        <color rgb="FF1F2A28"/>
        <rFont val="Arial"/>
        <family val="0"/>
        <charset val="1"/>
      </rPr>
      <t xml:space="preserve">,</t>
    </r>
    <r>
      <rPr>
        <sz val="10"/>
        <color rgb="FF1F2A28"/>
        <rFont val="WenQuanYi Zen Hei"/>
        <family val="2"/>
      </rPr>
      <t xml:space="preserve">其他類</t>
    </r>
  </si>
  <si>
    <t xml:space="preserve">2021-04-23</t>
  </si>
  <si>
    <t xml:space="preserve">李念榮</t>
  </si>
  <si>
    <t xml:space="preserve">私立布羅卡美語短期補習班</t>
  </si>
  <si>
    <r>
      <rPr>
        <sz val="10"/>
        <color rgb="FF1F2A28"/>
        <rFont val="WenQuanYi Zen Hei"/>
        <family val="2"/>
      </rPr>
      <t xml:space="preserve">中壢區昆明街</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</si>
  <si>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(03)4682165</t>
  </si>
  <si>
    <t xml:space="preserve">美語、英數自</t>
  </si>
  <si>
    <t xml:space="preserve">朱雲瑛</t>
  </si>
  <si>
    <t xml:space="preserve">胡惠芸</t>
  </si>
  <si>
    <t xml:space="preserve">私立幸福日光美語短期補習班</t>
  </si>
  <si>
    <r>
      <rPr>
        <sz val="10"/>
        <color rgb="FF1F2A28"/>
        <rFont val="WenQuanYi Zen Hei"/>
        <family val="2"/>
      </rPr>
      <t xml:space="preserve">中壢區元生三街</t>
    </r>
    <r>
      <rPr>
        <sz val="10"/>
        <color rgb="FF1F2A28"/>
        <rFont val="Arial"/>
        <family val="0"/>
        <charset val="1"/>
      </rPr>
      <t xml:space="preserve">99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</si>
  <si>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(03)4341099</t>
  </si>
  <si>
    <t xml:space="preserve">hs2219@hess.com.tw</t>
  </si>
  <si>
    <t xml:space="preserve">潘瀅潔</t>
  </si>
  <si>
    <t xml:space="preserve">私立康翔語文文理短期補習班</t>
  </si>
  <si>
    <r>
      <rPr>
        <sz val="10"/>
        <color rgb="FF1F2A28"/>
        <rFont val="WenQuanYi Zen Hei"/>
        <family val="2"/>
      </rPr>
      <t xml:space="preserve">中壢區長沙路</t>
    </r>
    <r>
      <rPr>
        <sz val="10"/>
        <color rgb="FF1F2A28"/>
        <rFont val="Arial"/>
        <family val="0"/>
        <charset val="1"/>
      </rPr>
      <t xml:space="preserve">136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樓夾層及</t>
    </r>
    <r>
      <rPr>
        <sz val="10"/>
        <color rgb="FF1F2A28"/>
        <rFont val="Arial"/>
        <family val="0"/>
        <charset val="1"/>
      </rPr>
      <t xml:space="preserve">2-3</t>
    </r>
    <r>
      <rPr>
        <sz val="10"/>
        <color rgb="FF1F2A28"/>
        <rFont val="WenQuanYi Zen Hei"/>
        <family val="2"/>
      </rPr>
      <t xml:space="preserve">樓</t>
    </r>
  </si>
  <si>
    <t xml:space="preserve">(03)4583338</t>
  </si>
  <si>
    <t xml:space="preserve">e90702002@gmail.com</t>
  </si>
  <si>
    <t xml:space="preserve">2014-07-09</t>
  </si>
  <si>
    <t xml:space="preserve">李冠儀</t>
  </si>
  <si>
    <t xml:space="preserve">私立建展美語短期補習班</t>
  </si>
  <si>
    <r>
      <rPr>
        <sz val="10"/>
        <color rgb="FF1F2A28"/>
        <rFont val="WenQuanYi Zen Hei"/>
        <family val="2"/>
      </rPr>
      <t xml:space="preserve">中壢區成章四街</t>
    </r>
    <r>
      <rPr>
        <sz val="10"/>
        <color rgb="FF1F2A28"/>
        <rFont val="Arial"/>
        <family val="0"/>
        <charset val="1"/>
      </rPr>
      <t xml:space="preserve">93.95.97</t>
    </r>
    <r>
      <rPr>
        <sz val="10"/>
        <color rgb="FF1F2A28"/>
        <rFont val="WenQuanYi Zen Hei"/>
        <family val="2"/>
      </rPr>
      <t xml:space="preserve">號一樓</t>
    </r>
  </si>
  <si>
    <t xml:space="preserve">(03)4518866</t>
  </si>
  <si>
    <t xml:space="preserve">neili@sesamevillage.tw</t>
  </si>
  <si>
    <t xml:space="preserve">2007-04-10</t>
  </si>
  <si>
    <t xml:space="preserve">張瑞煥</t>
  </si>
  <si>
    <t xml:space="preserve">謝毅雯</t>
  </si>
  <si>
    <t xml:space="preserve">私立建智文理美語數學短期補習班</t>
  </si>
  <si>
    <r>
      <rPr>
        <sz val="10"/>
        <color rgb="FF1F2A28"/>
        <rFont val="WenQuanYi Zen Hei"/>
        <family val="2"/>
      </rPr>
      <t xml:space="preserve">中壢區中山東路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68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</si>
  <si>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(03)4666785</t>
  </si>
  <si>
    <t xml:space="preserve">jian_zhi_168@yahoo.com</t>
  </si>
  <si>
    <t xml:space="preserve">1998-11-23</t>
  </si>
  <si>
    <t xml:space="preserve">杜元趙</t>
  </si>
  <si>
    <t xml:space="preserve">曾昱琳</t>
  </si>
  <si>
    <t xml:space="preserve">私立弘盛文理英語技藝短期補習班</t>
  </si>
  <si>
    <r>
      <rPr>
        <sz val="10"/>
        <color rgb="FF1F2A28"/>
        <rFont val="WenQuanYi Zen Hei"/>
        <family val="2"/>
      </rPr>
      <t xml:space="preserve">中壢區榮民路</t>
    </r>
    <r>
      <rPr>
        <sz val="10"/>
        <color rgb="FF1F2A28"/>
        <rFont val="Arial"/>
        <family val="0"/>
        <charset val="1"/>
      </rPr>
      <t xml:space="preserve">103</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</si>
  <si>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(03)4519666</t>
  </si>
  <si>
    <t xml:space="preserve">cathy.shiaw@msa.hinet.net</t>
  </si>
  <si>
    <t xml:space="preserve">國英數自社、英語</t>
  </si>
  <si>
    <t xml:space="preserve">2004-06-10</t>
  </si>
  <si>
    <t xml:space="preserve">李佳蕙</t>
  </si>
  <si>
    <t xml:space="preserve">私立彩曦文理語文短期補習班</t>
  </si>
  <si>
    <r>
      <rPr>
        <sz val="10"/>
        <color rgb="FF1F2A28"/>
        <rFont val="WenQuanYi Zen Hei"/>
        <family val="2"/>
      </rPr>
      <t xml:space="preserve">中壢區領航南路二段</t>
    </r>
    <r>
      <rPr>
        <sz val="10"/>
        <color rgb="FF1F2A28"/>
        <rFont val="Arial"/>
        <family val="0"/>
        <charset val="1"/>
      </rPr>
      <t xml:space="preserve">211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r>
      <rPr>
        <sz val="10"/>
        <color rgb="FF1F2A28"/>
        <rFont val="Arial"/>
        <family val="0"/>
        <charset val="1"/>
      </rPr>
      <t xml:space="preserve">201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</si>
  <si>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(03)2873334</t>
  </si>
  <si>
    <t xml:space="preserve">emilychen5168@gmail.com</t>
  </si>
  <si>
    <t xml:space="preserve">英數自、英語</t>
  </si>
  <si>
    <t xml:space="preserve">2019-06-14</t>
  </si>
  <si>
    <t xml:space="preserve">張琇清</t>
  </si>
  <si>
    <t xml:space="preserve">陳采緁</t>
  </si>
  <si>
    <t xml:space="preserve">私立彭老師美語文理短期補習班</t>
  </si>
  <si>
    <r>
      <rPr>
        <sz val="10"/>
        <color rgb="FF1F2A28"/>
        <rFont val="WenQuanYi Zen Hei"/>
        <family val="2"/>
      </rPr>
      <t xml:space="preserve">中壢區龍平里中正五路</t>
    </r>
    <r>
      <rPr>
        <sz val="10"/>
        <color rgb="FF1F2A28"/>
        <rFont val="Arial"/>
        <family val="0"/>
        <charset val="1"/>
      </rPr>
      <t xml:space="preserve">117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t>
    </r>
    <r>
      <rPr>
        <sz val="10"/>
        <color rgb="FF1F2A28"/>
        <rFont val="Arial"/>
        <family val="0"/>
        <charset val="1"/>
      </rPr>
      <t xml:space="preserve">109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</si>
  <si>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(03)4666932</t>
  </si>
  <si>
    <t xml:space="preserve">mpeng1@hotmail.com</t>
  </si>
  <si>
    <t xml:space="preserve">2001-07-06</t>
  </si>
  <si>
    <t xml:space="preserve">彭如萍</t>
  </si>
  <si>
    <t xml:space="preserve">彭如文</t>
  </si>
  <si>
    <t xml:space="preserve">私立御言文理短期補習班</t>
  </si>
  <si>
    <r>
      <rPr>
        <sz val="10"/>
        <color rgb="FF1F2A28"/>
        <rFont val="WenQuanYi Zen Hei"/>
        <family val="2"/>
      </rPr>
      <t xml:space="preserve">中壢區復華十一街</t>
    </r>
    <r>
      <rPr>
        <sz val="10"/>
        <color rgb="FF1F2A28"/>
        <rFont val="Arial"/>
        <family val="0"/>
        <charset val="1"/>
      </rPr>
      <t xml:space="preserve">51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</si>
  <si>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(03)4616177</t>
  </si>
  <si>
    <t xml:space="preserve">tact.tynl@gmail.com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</si>
  <si>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國英數自</t>
    </r>
    <r>
      <rPr>
        <sz val="10"/>
        <color rgb="FF1F2A28"/>
        <rFont val="Arial"/>
        <family val="0"/>
        <charset val="1"/>
      </rPr>
      <t xml:space="preserve">)</t>
    </r>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國英數理</t>
    </r>
    <r>
      <rPr>
        <sz val="10"/>
        <color rgb="FF1F2A28"/>
        <rFont val="Arial"/>
        <family val="0"/>
        <charset val="1"/>
      </rPr>
      <t xml:space="preserve">)</t>
    </r>
  </si>
  <si>
    <t xml:space="preserve">2021-09-28</t>
  </si>
  <si>
    <t xml:space="preserve">楊晴慧</t>
  </si>
  <si>
    <t xml:space="preserve">私立德川語文短期補習班</t>
  </si>
  <si>
    <r>
      <rPr>
        <sz val="10"/>
        <color rgb="FF1F2A28"/>
        <rFont val="WenQuanYi Zen Hei"/>
        <family val="2"/>
      </rPr>
      <t xml:space="preserve">中壢區復興路</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</si>
  <si>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(03)4257360</t>
  </si>
  <si>
    <t xml:space="preserve">mbstar1214@gmail.com</t>
  </si>
  <si>
    <t xml:space="preserve">2011-01-24</t>
  </si>
  <si>
    <t xml:space="preserve">柘植美幸</t>
  </si>
  <si>
    <t xml:space="preserve">李隆</t>
  </si>
  <si>
    <t xml:space="preserve">私立心夢想文理短期補習班</t>
  </si>
  <si>
    <r>
      <rPr>
        <sz val="10"/>
        <color rgb="FF1F2A28"/>
        <rFont val="WenQuanYi Zen Hei"/>
        <family val="2"/>
      </rPr>
      <t xml:space="preserve">中壢區福州一街</t>
    </r>
    <r>
      <rPr>
        <sz val="10"/>
        <color rgb="FF1F2A28"/>
        <rFont val="Arial"/>
        <family val="0"/>
        <charset val="1"/>
      </rPr>
      <t xml:space="preserve">76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</si>
  <si>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(03)4527722</t>
  </si>
  <si>
    <t xml:space="preserve">salashsu@gmail.com</t>
  </si>
  <si>
    <t xml:space="preserve">1997-02-14</t>
  </si>
  <si>
    <t xml:space="preserve">許禾恩</t>
  </si>
  <si>
    <t xml:space="preserve">謝東義</t>
  </si>
  <si>
    <t xml:space="preserve">私立心夢想文理短期補習班後興分班</t>
  </si>
  <si>
    <r>
      <rPr>
        <sz val="10"/>
        <color rgb="FF1F2A28"/>
        <rFont val="WenQuanYi Zen Hei"/>
        <family val="2"/>
      </rPr>
      <t xml:space="preserve">中壢區後興路一段</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(2-4</t>
    </r>
    <r>
      <rPr>
        <sz val="10"/>
        <color rgb="FF1F2A28"/>
        <rFont val="WenQuanYi Zen Hei"/>
        <family val="2"/>
      </rPr>
      <t xml:space="preserve">樓</t>
    </r>
    <r>
      <rPr>
        <sz val="10"/>
        <color rgb="FF1F2A28"/>
        <rFont val="Arial"/>
        <family val="0"/>
        <charset val="1"/>
      </rPr>
      <t xml:space="preserve">)</t>
    </r>
  </si>
  <si>
    <t xml:space="preserve">(03)4661905</t>
  </si>
  <si>
    <t xml:space="preserve">2025-03-17</t>
  </si>
  <si>
    <t xml:space="preserve">胡創治</t>
  </si>
  <si>
    <t xml:space="preserve">私立心夢想文理短期補習班新明分班</t>
  </si>
  <si>
    <r>
      <rPr>
        <sz val="10"/>
        <color rgb="FF1F2A28"/>
        <rFont val="WenQuanYi Zen Hei"/>
        <family val="2"/>
      </rPr>
      <t xml:space="preserve">中壢區中央西路二段</t>
    </r>
    <r>
      <rPr>
        <sz val="10"/>
        <color rgb="FF1F2A28"/>
        <rFont val="Arial"/>
        <family val="0"/>
        <charset val="1"/>
      </rPr>
      <t xml:space="preserve">108</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</si>
  <si>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(03)4939933</t>
  </si>
  <si>
    <t xml:space="preserve">2024-10-25</t>
  </si>
  <si>
    <t xml:space="preserve">私立心苑文理短期補習班</t>
  </si>
  <si>
    <r>
      <rPr>
        <sz val="10"/>
        <color rgb="FF1F2A28"/>
        <rFont val="WenQuanYi Zen Hei"/>
        <family val="2"/>
      </rPr>
      <t xml:space="preserve">中壢區青商路</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</si>
  <si>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(03)2875835</t>
  </si>
  <si>
    <t xml:space="preserve">heart2875835@gmail.com</t>
  </si>
  <si>
    <t xml:space="preserve">胡桂琦</t>
  </si>
  <si>
    <t xml:space="preserve">私立思塾數學語文文理短期補習班</t>
  </si>
  <si>
    <r>
      <rPr>
        <sz val="10"/>
        <color rgb="FF1F2A28"/>
        <rFont val="WenQuanYi Zen Hei"/>
        <family val="2"/>
      </rPr>
      <t xml:space="preserve">中壢區元化路二段</t>
    </r>
    <r>
      <rPr>
        <sz val="10"/>
        <color rgb="FF1F2A28"/>
        <rFont val="Arial"/>
        <family val="0"/>
        <charset val="1"/>
      </rPr>
      <t xml:space="preserve">68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</si>
  <si>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(03)2807755</t>
  </si>
  <si>
    <t xml:space="preserve">2020-01-13</t>
  </si>
  <si>
    <t xml:space="preserve">私立恆心數學美語文理短期補習班</t>
  </si>
  <si>
    <r>
      <rPr>
        <sz val="10"/>
        <color rgb="FF1F2A28"/>
        <rFont val="WenQuanYi Zen Hei"/>
        <family val="2"/>
      </rPr>
      <t xml:space="preserve">中壢區廣州路</t>
    </r>
    <r>
      <rPr>
        <sz val="10"/>
        <color rgb="FF1F2A28"/>
        <rFont val="Arial"/>
        <family val="0"/>
        <charset val="1"/>
      </rPr>
      <t xml:space="preserve">107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</si>
  <si>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(03)4580877</t>
  </si>
  <si>
    <t xml:space="preserve">美語、英文數學</t>
  </si>
  <si>
    <t xml:space="preserve">2015-02-13</t>
  </si>
  <si>
    <t xml:space="preserve">陳胤溥</t>
  </si>
  <si>
    <t xml:space="preserve">私立愛加倍文理短期補習班</t>
  </si>
  <si>
    <r>
      <rPr>
        <sz val="10"/>
        <color rgb="FF1F2A28"/>
        <rFont val="WenQuanYi Zen Hei"/>
        <family val="2"/>
      </rPr>
      <t xml:space="preserve">中壢區龍興里</t>
    </r>
    <r>
      <rPr>
        <sz val="10"/>
        <color rgb="FF1F2A28"/>
        <rFont val="Arial"/>
        <family val="0"/>
        <charset val="1"/>
      </rPr>
      <t xml:space="preserve">15</t>
    </r>
    <r>
      <rPr>
        <sz val="10"/>
        <color rgb="FF1F2A28"/>
        <rFont val="WenQuanYi Zen Hei"/>
        <family val="2"/>
      </rPr>
      <t xml:space="preserve">鄰興元路</t>
    </r>
    <r>
      <rPr>
        <sz val="10"/>
        <color rgb="FF1F2A28"/>
        <rFont val="Arial"/>
        <family val="0"/>
        <charset val="1"/>
      </rPr>
      <t xml:space="preserve">151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</si>
  <si>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(03)4682815 ; 0952856012</t>
  </si>
  <si>
    <t xml:space="preserve">youtrue2002ivy@yahoo.com.tw</t>
  </si>
  <si>
    <t xml:space="preserve">2007-01-16</t>
  </si>
  <si>
    <t xml:space="preserve">邱于珍</t>
  </si>
  <si>
    <t xml:space="preserve">陳重佑</t>
  </si>
  <si>
    <t xml:space="preserve">私立愛玩藝翻轉教室技藝文理短期補習班</t>
  </si>
  <si>
    <r>
      <rPr>
        <sz val="10"/>
        <color rgb="FF1F2A28"/>
        <rFont val="WenQuanYi Zen Hei"/>
        <family val="2"/>
      </rPr>
      <t xml:space="preserve">中壢區文智路</t>
    </r>
    <r>
      <rPr>
        <sz val="10"/>
        <color rgb="FF1F2A28"/>
        <rFont val="Arial"/>
        <family val="0"/>
        <charset val="1"/>
      </rPr>
      <t xml:space="preserve">138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樓及文德路</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</si>
  <si>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(03)2872788</t>
  </si>
  <si>
    <t xml:space="preserve">funstuffaec@gmail.com</t>
  </si>
  <si>
    <t xml:space="preserve">美語數學自然</t>
  </si>
  <si>
    <t xml:space="preserve">莊江鎭</t>
  </si>
  <si>
    <t xml:space="preserve">黃苡瑄</t>
  </si>
  <si>
    <t xml:space="preserve">私立愛苙薇文理短期補習班</t>
  </si>
  <si>
    <r>
      <rPr>
        <sz val="10"/>
        <color rgb="FF1F2A28"/>
        <rFont val="WenQuanYi Zen Hei"/>
        <family val="2"/>
      </rPr>
      <t xml:space="preserve">中壢區林森路</t>
    </r>
    <r>
      <rPr>
        <sz val="10"/>
        <color rgb="FF1F2A28"/>
        <rFont val="Arial"/>
        <family val="0"/>
        <charset val="1"/>
      </rPr>
      <t xml:space="preserve">187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</si>
  <si>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(03)4679391</t>
  </si>
  <si>
    <t xml:space="preserve">w.e.studio1827@gmail.com</t>
  </si>
  <si>
    <t xml:space="preserve">2022-08-15</t>
  </si>
  <si>
    <t xml:space="preserve">王羽萱</t>
  </si>
  <si>
    <t xml:space="preserve">私立成果文理語文短期補習班</t>
  </si>
  <si>
    <r>
      <rPr>
        <sz val="10"/>
        <color rgb="FF1F2A28"/>
        <rFont val="WenQuanYi Zen Hei"/>
        <family val="2"/>
      </rPr>
      <t xml:space="preserve">中壢區衡陽街</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</si>
  <si>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(03)4580923</t>
  </si>
  <si>
    <t xml:space="preserve">fashion4580923@gmail.com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</si>
  <si>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r>
      <rPr>
        <sz val="10"/>
        <color rgb="FF1F2A28"/>
        <rFont val="WenQuanYi Zen Hei"/>
        <family val="2"/>
      </rPr>
      <t xml:space="preserve">、美語</t>
    </r>
  </si>
  <si>
    <t xml:space="preserve">2009-08-19</t>
  </si>
  <si>
    <t xml:space="preserve">劉穎儒</t>
  </si>
  <si>
    <t xml:space="preserve">私立成果文理語文短期補習班龍岡分班</t>
  </si>
  <si>
    <r>
      <rPr>
        <sz val="10"/>
        <color rgb="FF1F2A28"/>
        <rFont val="WenQuanYi Zen Hei"/>
        <family val="2"/>
      </rPr>
      <t xml:space="preserve">中壢區中龍街</t>
    </r>
    <r>
      <rPr>
        <sz val="10"/>
        <color rgb="FF1F2A28"/>
        <rFont val="Arial"/>
        <family val="0"/>
        <charset val="1"/>
      </rPr>
      <t xml:space="preserve">37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</si>
  <si>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(03)4375151</t>
  </si>
  <si>
    <t xml:space="preserve">2015-08-06</t>
  </si>
  <si>
    <t xml:space="preserve">張婉庭</t>
  </si>
  <si>
    <t xml:space="preserve">私立拓德數學文理語文短期補習班</t>
  </si>
  <si>
    <r>
      <rPr>
        <sz val="10"/>
        <color rgb="FF1F2A28"/>
        <rFont val="WenQuanYi Zen Hei"/>
        <family val="2"/>
      </rPr>
      <t xml:space="preserve">中壢區新生路</t>
    </r>
    <r>
      <rPr>
        <sz val="10"/>
        <color rgb="FF1F2A28"/>
        <rFont val="Arial"/>
        <family val="0"/>
        <charset val="1"/>
      </rPr>
      <t xml:space="preserve">303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</si>
  <si>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(03)4260569</t>
  </si>
  <si>
    <t xml:space="preserve">tfc063@gmail.com</t>
  </si>
  <si>
    <t xml:space="preserve">數英自、數英理、美語</t>
  </si>
  <si>
    <t xml:space="preserve">2020-04-08</t>
  </si>
  <si>
    <t xml:space="preserve">鄭宇伸</t>
  </si>
  <si>
    <t xml:space="preserve">私立掄元語文文理短期補習班</t>
  </si>
  <si>
    <r>
      <rPr>
        <sz val="10"/>
        <color rgb="FF1F2A28"/>
        <rFont val="WenQuanYi Zen Hei"/>
        <family val="2"/>
      </rPr>
      <t xml:space="preserve">中壢區松智二街</t>
    </r>
    <r>
      <rPr>
        <sz val="10"/>
        <color rgb="FF1F2A28"/>
        <rFont val="Arial"/>
        <family val="0"/>
        <charset val="1"/>
      </rPr>
      <t xml:space="preserve">128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</si>
  <si>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(03)4202862</t>
  </si>
  <si>
    <t xml:space="preserve">chongping@yahoo.com.tw</t>
  </si>
  <si>
    <t xml:space="preserve">2010-01-21</t>
  </si>
  <si>
    <t xml:space="preserve">郭雅玲</t>
  </si>
  <si>
    <t xml:space="preserve">私立掄元語文文理短期補習班中平分班</t>
  </si>
  <si>
    <r>
      <rPr>
        <sz val="10"/>
        <color rgb="FF1F2A28"/>
        <rFont val="WenQuanYi Zen Hei"/>
        <family val="2"/>
      </rPr>
      <t xml:space="preserve">中壢區松勇路</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</si>
  <si>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(03)4203223</t>
  </si>
  <si>
    <t xml:space="preserve">jordan_chongping@yahoo.com.tw</t>
  </si>
  <si>
    <t xml:space="preserve">2017-09-15</t>
  </si>
  <si>
    <t xml:space="preserve">郭守正</t>
  </si>
  <si>
    <t xml:space="preserve">私立放學堂文理短期補習班</t>
  </si>
  <si>
    <r>
      <rPr>
        <sz val="10"/>
        <color rgb="FF1F2A28"/>
        <rFont val="WenQuanYi Zen Hei"/>
        <family val="2"/>
      </rPr>
      <t xml:space="preserve">中壢區復華街</t>
    </r>
    <r>
      <rPr>
        <sz val="10"/>
        <color rgb="FF1F2A28"/>
        <rFont val="Arial"/>
        <family val="0"/>
        <charset val="1"/>
      </rPr>
      <t xml:space="preserve">253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</si>
  <si>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(03)4559225</t>
  </si>
  <si>
    <t xml:space="preserve">dragon5899@gmail.com</t>
  </si>
  <si>
    <t xml:space="preserve">英數自、美語</t>
  </si>
  <si>
    <t xml:space="preserve">黃瀅憶</t>
  </si>
  <si>
    <t xml:space="preserve">蔡龍儀</t>
  </si>
  <si>
    <t xml:space="preserve">私立文傑語文珠算短期補習班</t>
  </si>
  <si>
    <r>
      <rPr>
        <sz val="10"/>
        <color rgb="FF1F2A28"/>
        <rFont val="WenQuanYi Zen Hei"/>
        <family val="2"/>
      </rPr>
      <t xml:space="preserve">中壢區中山東路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339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</si>
  <si>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(03)4668687</t>
  </si>
  <si>
    <t xml:space="preserve">addwin.wjg@gmail.com</t>
  </si>
  <si>
    <t xml:space="preserve">2001-06-20</t>
  </si>
  <si>
    <t xml:space="preserve">翁清文</t>
  </si>
  <si>
    <t xml:space="preserve">梁道隆</t>
  </si>
  <si>
    <t xml:space="preserve">私立文智語文數學短期補習班</t>
  </si>
  <si>
    <r>
      <rPr>
        <sz val="10"/>
        <color rgb="FF1F2A28"/>
        <rFont val="WenQuanYi Zen Hei"/>
        <family val="2"/>
      </rPr>
      <t xml:space="preserve">中壢區文化二路</t>
    </r>
    <r>
      <rPr>
        <sz val="10"/>
        <color rgb="FF1F2A28"/>
        <rFont val="Arial"/>
        <family val="0"/>
        <charset val="1"/>
      </rPr>
      <t xml:space="preserve">340</t>
    </r>
    <r>
      <rPr>
        <sz val="10"/>
        <color rgb="FF1F2A28"/>
        <rFont val="WenQuanYi Zen Hei"/>
        <family val="2"/>
      </rPr>
      <t xml:space="preserve">號</t>
    </r>
    <r>
      <rPr>
        <sz val="10"/>
        <color rgb="FF1F2A28"/>
        <rFont val="Arial"/>
        <family val="0"/>
        <charset val="1"/>
      </rPr>
      <t xml:space="preserve">3F</t>
    </r>
  </si>
  <si>
    <t xml:space="preserve">(03)4356007</t>
  </si>
  <si>
    <t xml:space="preserve">wg6007@yahoo.com.tw</t>
  </si>
  <si>
    <t xml:space="preserve">2008-07-31</t>
  </si>
  <si>
    <t xml:space="preserve">邱聖倫</t>
  </si>
  <si>
    <t xml:space="preserve">私立文森語文文理短期補習班</t>
  </si>
  <si>
    <r>
      <rPr>
        <sz val="10"/>
        <color rgb="FF1F2A28"/>
        <rFont val="WenQuanYi Zen Hei"/>
        <family val="2"/>
      </rPr>
      <t xml:space="preserve">中壢區榮民南路</t>
    </r>
    <r>
      <rPr>
        <sz val="10"/>
        <color rgb="FF1F2A28"/>
        <rFont val="Arial"/>
        <family val="0"/>
        <charset val="1"/>
      </rPr>
      <t xml:space="preserve">231</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弄</t>
    </r>
    <r>
      <rPr>
        <sz val="10"/>
        <color rgb="FF1F2A28"/>
        <rFont val="Arial"/>
        <family val="0"/>
        <charset val="1"/>
      </rPr>
      <t xml:space="preserve">54</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</si>
  <si>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(03)4366858</t>
  </si>
  <si>
    <t xml:space="preserve">cy541112@yahoo.com.tw</t>
  </si>
  <si>
    <t xml:space="preserve">2007-11-08</t>
  </si>
  <si>
    <t xml:space="preserve">楊淑華</t>
  </si>
  <si>
    <t xml:space="preserve">李翊菱</t>
  </si>
  <si>
    <t xml:space="preserve">私立文緯文理短期補習班</t>
  </si>
  <si>
    <r>
      <rPr>
        <sz val="10"/>
        <color rgb="FF1F2A28"/>
        <rFont val="WenQuanYi Zen Hei"/>
        <family val="2"/>
      </rPr>
      <t xml:space="preserve">中壢區松德路</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</si>
  <si>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(03)4905530</t>
  </si>
  <si>
    <t xml:space="preserve">johnny301099@yahoo.com.tw</t>
  </si>
  <si>
    <t xml:space="preserve">2020-10-22</t>
  </si>
  <si>
    <t xml:space="preserve">廖文國</t>
  </si>
  <si>
    <t xml:space="preserve">私立新諾奧美語文理短期補習班</t>
  </si>
  <si>
    <r>
      <rPr>
        <sz val="10"/>
        <color rgb="FF1F2A28"/>
        <rFont val="WenQuanYi Zen Hei"/>
        <family val="2"/>
      </rPr>
      <t xml:space="preserve">中壢區成都路</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樓及潮州街</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</si>
  <si>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(03)4597599</t>
  </si>
  <si>
    <t xml:space="preserve">shellyhsiang@yahoo.com.tw</t>
  </si>
  <si>
    <t xml:space="preserve">2015-06-18</t>
  </si>
  <si>
    <t xml:space="preserve">向玲麟</t>
  </si>
  <si>
    <t xml:space="preserve">私立新驛文理數學語文音樂短期補習班</t>
  </si>
  <si>
    <r>
      <rPr>
        <sz val="10"/>
        <color rgb="FF1F2A28"/>
        <rFont val="WenQuanYi Zen Hei"/>
        <family val="2"/>
      </rPr>
      <t xml:space="preserve">中壢區強國路</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4-5</t>
    </r>
    <r>
      <rPr>
        <sz val="10"/>
        <color rgb="FF1F2A28"/>
        <rFont val="WenQuanYi Zen Hei"/>
        <family val="2"/>
      </rPr>
      <t xml:space="preserve">樓</t>
    </r>
  </si>
  <si>
    <t xml:space="preserve">(03)435-2323</t>
  </si>
  <si>
    <t xml:space="preserve">newstation2018@gmail.com</t>
  </si>
  <si>
    <t xml:space="preserve">2018-04-27</t>
  </si>
  <si>
    <t xml:space="preserve">施志恆</t>
  </si>
  <si>
    <t xml:space="preserve">范振光</t>
  </si>
  <si>
    <t xml:space="preserve">私立方華內歷數學語文文理短期補習班</t>
  </si>
  <si>
    <r>
      <rPr>
        <sz val="10"/>
        <color rgb="FF1F2A28"/>
        <rFont val="WenQuanYi Zen Hei"/>
        <family val="2"/>
      </rPr>
      <t xml:space="preserve">中壢區復華一街</t>
    </r>
    <r>
      <rPr>
        <sz val="10"/>
        <color rgb="FF1F2A28"/>
        <rFont val="Arial"/>
        <family val="0"/>
        <charset val="1"/>
      </rPr>
      <t xml:space="preserve">80</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r>
      <rPr>
        <sz val="10"/>
        <color rgb="FF1F2A28"/>
        <rFont val="Arial"/>
        <family val="0"/>
        <charset val="1"/>
      </rPr>
      <t xml:space="preserve">(1</t>
    </r>
    <r>
      <rPr>
        <sz val="10"/>
        <color rgb="FF1F2A28"/>
        <rFont val="WenQuanYi Zen Hei"/>
        <family val="2"/>
      </rPr>
      <t xml:space="preserve">樓部分</t>
    </r>
    <r>
      <rPr>
        <sz val="10"/>
        <color rgb="FF1F2A28"/>
        <rFont val="Arial"/>
        <family val="0"/>
        <charset val="1"/>
      </rPr>
      <t xml:space="preserve">)</t>
    </r>
  </si>
  <si>
    <t xml:space="preserve">(03)4555080</t>
  </si>
  <si>
    <t xml:space="preserve">jean56688@yahoo.com.tw</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</si>
  <si>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數英自</t>
    </r>
    <r>
      <rPr>
        <sz val="10"/>
        <color rgb="FF1F2A28"/>
        <rFont val="Arial"/>
        <family val="0"/>
        <charset val="1"/>
      </rPr>
      <t xml:space="preserve">)</t>
    </r>
  </si>
  <si>
    <t xml:space="preserve">吳宜臻</t>
  </si>
  <si>
    <t xml:space="preserve">邱向晟</t>
  </si>
  <si>
    <t xml:space="preserve">私立方華文理技藝短期補習班青埔旗艦分班</t>
  </si>
  <si>
    <r>
      <rPr>
        <sz val="10"/>
        <color rgb="FF1F2A28"/>
        <rFont val="WenQuanYi Zen Hei"/>
        <family val="2"/>
      </rPr>
      <t xml:space="preserve">中壢區致遠一路</t>
    </r>
    <r>
      <rPr>
        <sz val="10"/>
        <color rgb="FF1F2A28"/>
        <rFont val="Arial"/>
        <family val="0"/>
        <charset val="1"/>
      </rPr>
      <t xml:space="preserve">262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</si>
  <si>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03-4223966</t>
  </si>
  <si>
    <t xml:space="preserve">ling10101@gmail.com</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</si>
  <si>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其他類</t>
    </r>
  </si>
  <si>
    <t xml:space="preserve">2019-12-03</t>
  </si>
  <si>
    <t xml:space="preserve">方琳</t>
  </si>
  <si>
    <t xml:space="preserve">私立方華文理短期補習班東興分班</t>
  </si>
  <si>
    <r>
      <rPr>
        <sz val="10"/>
        <color rgb="FF1F2A28"/>
        <rFont val="WenQuanYi Zen Hei"/>
        <family val="2"/>
      </rPr>
      <t xml:space="preserve">中壢區衡陽街</t>
    </r>
    <r>
      <rPr>
        <sz val="10"/>
        <color rgb="FF1F2A28"/>
        <rFont val="Arial"/>
        <family val="0"/>
        <charset val="1"/>
      </rPr>
      <t xml:space="preserve">83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</si>
  <si>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(03)4288548</t>
  </si>
  <si>
    <t xml:space="preserve">funwahq@gmail.com</t>
  </si>
  <si>
    <t xml:space="preserve">英數自、英數理、美語</t>
  </si>
  <si>
    <t xml:space="preserve">2024-07-11</t>
  </si>
  <si>
    <t xml:space="preserve">楊宜隆</t>
  </si>
  <si>
    <t xml:space="preserve">私立方華文理短期補習班青埔分班</t>
  </si>
  <si>
    <r>
      <rPr>
        <sz val="10"/>
        <color rgb="FF1F2A28"/>
        <rFont val="WenQuanYi Zen Hei"/>
        <family val="2"/>
      </rPr>
      <t xml:space="preserve">中壢區永信路</t>
    </r>
    <r>
      <rPr>
        <sz val="10"/>
        <color rgb="FF1F2A28"/>
        <rFont val="Arial"/>
        <family val="0"/>
        <charset val="1"/>
      </rPr>
      <t xml:space="preserve">211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213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</si>
  <si>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(03)2870689</t>
  </si>
  <si>
    <t xml:space="preserve">美語、英數理</t>
  </si>
  <si>
    <t xml:space="preserve">2018-12-20</t>
  </si>
  <si>
    <t xml:space="preserve">鍾羽思</t>
  </si>
  <si>
    <t xml:space="preserve">私立旋轉木馬美語短期補習班</t>
  </si>
  <si>
    <r>
      <rPr>
        <sz val="10"/>
        <color rgb="FF1F2A28"/>
        <rFont val="WenQuanYi Zen Hei"/>
        <family val="2"/>
      </rPr>
      <t xml:space="preserve">中壢區忠孝路</t>
    </r>
    <r>
      <rPr>
        <sz val="10"/>
        <color rgb="FF1F2A28"/>
        <rFont val="Arial"/>
        <family val="0"/>
        <charset val="1"/>
      </rPr>
      <t xml:space="preserve">294</t>
    </r>
    <r>
      <rPr>
        <sz val="10"/>
        <color rgb="FF1F2A28"/>
        <rFont val="WenQuanYi Zen Hei"/>
        <family val="2"/>
      </rPr>
      <t xml:space="preserve">號</t>
    </r>
    <r>
      <rPr>
        <sz val="10"/>
        <color rgb="FF1F2A28"/>
        <rFont val="Arial"/>
        <family val="0"/>
        <charset val="1"/>
      </rPr>
      <t xml:space="preserve">1-2F</t>
    </r>
  </si>
  <si>
    <t xml:space="preserve">(03)4354750</t>
  </si>
  <si>
    <t xml:space="preserve">machilus1121@gmail.com</t>
  </si>
  <si>
    <t xml:space="preserve">2006-10-02</t>
  </si>
  <si>
    <t xml:space="preserve">陳秀鳳</t>
  </si>
  <si>
    <t xml:space="preserve">私立易立語文心算美術短期補習班</t>
  </si>
  <si>
    <r>
      <rPr>
        <sz val="10"/>
        <color rgb="FF1F2A28"/>
        <rFont val="WenQuanYi Zen Hei"/>
        <family val="2"/>
      </rPr>
      <t xml:space="preserve">中壢區成章三街</t>
    </r>
    <r>
      <rPr>
        <sz val="10"/>
        <color rgb="FF1F2A28"/>
        <rFont val="Arial"/>
        <family val="0"/>
        <charset val="1"/>
      </rPr>
      <t xml:space="preserve">80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</si>
  <si>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(03)4558679</t>
  </si>
  <si>
    <t xml:space="preserve">aalliiccee0311@gmail.com</t>
  </si>
  <si>
    <t xml:space="preserve">2018-03-01</t>
  </si>
  <si>
    <t xml:space="preserve">陳欣儀</t>
  </si>
  <si>
    <t xml:space="preserve">私立星星語文文理短期補習班</t>
  </si>
  <si>
    <r>
      <rPr>
        <sz val="10"/>
        <color rgb="FF1F2A28"/>
        <rFont val="WenQuanYi Zen Hei"/>
        <family val="2"/>
      </rPr>
      <t xml:space="preserve">中壢區榮安十三街</t>
    </r>
    <r>
      <rPr>
        <sz val="10"/>
        <color rgb="FF1F2A28"/>
        <rFont val="Arial"/>
        <family val="0"/>
        <charset val="1"/>
      </rPr>
      <t xml:space="preserve">208</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樓及</t>
    </r>
    <r>
      <rPr>
        <sz val="10"/>
        <color rgb="FF1F2A28"/>
        <rFont val="Arial"/>
        <family val="0"/>
        <charset val="1"/>
      </rPr>
      <t xml:space="preserve">201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</si>
  <si>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(03)4552825</t>
  </si>
  <si>
    <t xml:space="preserve">amanda.sheng@gmail.com</t>
  </si>
  <si>
    <t xml:space="preserve">盛怡中</t>
  </si>
  <si>
    <t xml:space="preserve">私立春天英語會話短期補習班</t>
  </si>
  <si>
    <r>
      <rPr>
        <sz val="10"/>
        <color rgb="FF1F2A28"/>
        <rFont val="WenQuanYi Zen Hei"/>
        <family val="2"/>
      </rPr>
      <t xml:space="preserve">中壢區民享街</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</si>
  <si>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2004-08-04</t>
  </si>
  <si>
    <t xml:space="preserve">私立春荷文理短期補習班</t>
  </si>
  <si>
    <r>
      <rPr>
        <sz val="10"/>
        <color rgb="FF1F2A28"/>
        <rFont val="WenQuanYi Zen Hei"/>
        <family val="2"/>
      </rPr>
      <t xml:space="preserve">中壢區普光二街</t>
    </r>
    <r>
      <rPr>
        <sz val="10"/>
        <color rgb="FF1F2A28"/>
        <rFont val="Arial"/>
        <family val="0"/>
        <charset val="1"/>
      </rPr>
      <t xml:space="preserve">88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</si>
  <si>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(03)2830416</t>
  </si>
  <si>
    <t xml:space="preserve">teacherccxie@gmail.com</t>
  </si>
  <si>
    <t xml:space="preserve">2025-05-26</t>
  </si>
  <si>
    <t xml:space="preserve">謝怡婷</t>
  </si>
  <si>
    <t xml:space="preserve">私立昱強文理語文技藝短期補習班</t>
  </si>
  <si>
    <r>
      <rPr>
        <sz val="10"/>
        <color rgb="FF1F2A28"/>
        <rFont val="WenQuanYi Zen Hei"/>
        <family val="2"/>
      </rPr>
      <t xml:space="preserve">中壢區文化二路</t>
    </r>
    <r>
      <rPr>
        <sz val="10"/>
        <color rgb="FF1F2A28"/>
        <rFont val="Arial"/>
        <family val="0"/>
        <charset val="1"/>
      </rPr>
      <t xml:space="preserve">311</t>
    </r>
    <r>
      <rPr>
        <sz val="10"/>
        <color rgb="FF1F2A28"/>
        <rFont val="WenQuanYi Zen Hei"/>
        <family val="2"/>
      </rPr>
      <t xml:space="preserve">號</t>
    </r>
    <r>
      <rPr>
        <sz val="10"/>
        <color rgb="FF1F2A28"/>
        <rFont val="Arial"/>
        <family val="0"/>
        <charset val="1"/>
      </rPr>
      <t xml:space="preserve">1-4F</t>
    </r>
  </si>
  <si>
    <t xml:space="preserve">(03)4551444</t>
  </si>
  <si>
    <t xml:space="preserve">a134.a134@msa.hinet.net</t>
  </si>
  <si>
    <t xml:space="preserve">鍾栯豪</t>
  </si>
  <si>
    <t xml:space="preserve">私立晴和語文文理短期補習班</t>
  </si>
  <si>
    <r>
      <rPr>
        <sz val="10"/>
        <color rgb="FF1F2A28"/>
        <rFont val="WenQuanYi Zen Hei"/>
        <family val="2"/>
      </rPr>
      <t xml:space="preserve">中壢區中央東路</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</si>
  <si>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(03)4255895</t>
  </si>
  <si>
    <t xml:space="preserve">madlyg1115@gmail.com</t>
  </si>
  <si>
    <t xml:space="preserve">數英自</t>
  </si>
  <si>
    <t xml:space="preserve">2015-10-21</t>
  </si>
  <si>
    <t xml:space="preserve">劉曉茹</t>
  </si>
  <si>
    <t xml:space="preserve">私立朵兒英文短期補習班</t>
  </si>
  <si>
    <r>
      <rPr>
        <sz val="10"/>
        <color rgb="FF1F2A28"/>
        <rFont val="WenQuanYi Zen Hei"/>
        <family val="2"/>
      </rPr>
      <t xml:space="preserve">中壢區林森路</t>
    </r>
    <r>
      <rPr>
        <sz val="10"/>
        <color rgb="FF1F2A28"/>
        <rFont val="Arial"/>
        <family val="0"/>
        <charset val="1"/>
      </rPr>
      <t xml:space="preserve">122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</si>
  <si>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(03)2751899</t>
  </si>
  <si>
    <t xml:space="preserve">doorenglishplay@gmail.com</t>
  </si>
  <si>
    <t xml:space="preserve">2017-12-15</t>
  </si>
  <si>
    <t xml:space="preserve">曾鉛順</t>
  </si>
  <si>
    <t xml:space="preserve">私立林森樹屋文理短期補習班</t>
  </si>
  <si>
    <r>
      <rPr>
        <sz val="10"/>
        <color rgb="FF1F2A28"/>
        <rFont val="WenQuanYi Zen Hei"/>
        <family val="2"/>
      </rPr>
      <t xml:space="preserve">中壢區志航街</t>
    </r>
    <r>
      <rPr>
        <sz val="10"/>
        <color rgb="FF1F2A28"/>
        <rFont val="Arial"/>
        <family val="0"/>
        <charset val="1"/>
      </rPr>
      <t xml:space="preserve">160</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</si>
  <si>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(03)4577255</t>
  </si>
  <si>
    <t xml:space="preserve">英文、美語初階、美語進階</t>
  </si>
  <si>
    <t xml:space="preserve">2006-12-27</t>
  </si>
  <si>
    <t xml:space="preserve">田碧燕</t>
  </si>
  <si>
    <t xml:space="preserve">私立柏克萊語文數學短期補習班</t>
  </si>
  <si>
    <r>
      <rPr>
        <sz val="10"/>
        <color rgb="FF1F2A28"/>
        <rFont val="WenQuanYi Zen Hei"/>
        <family val="2"/>
      </rPr>
      <t xml:space="preserve">中壢區龍陵路</t>
    </r>
    <r>
      <rPr>
        <sz val="10"/>
        <color rgb="FF1F2A28"/>
        <rFont val="Arial"/>
        <family val="0"/>
        <charset val="1"/>
      </rPr>
      <t xml:space="preserve">197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</si>
  <si>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(03)4682626</t>
  </si>
  <si>
    <t xml:space="preserve">h67168245@gmail.com</t>
  </si>
  <si>
    <t xml:space="preserve">2020-11-16</t>
  </si>
  <si>
    <t xml:space="preserve">周孟涵</t>
  </si>
  <si>
    <t xml:space="preserve">私立柏德美語短期補習班</t>
  </si>
  <si>
    <r>
      <rPr>
        <sz val="10"/>
        <color rgb="FF1F2A28"/>
        <rFont val="WenQuanYi Zen Hei"/>
        <family val="2"/>
      </rPr>
      <t xml:space="preserve">中壢區中北路</t>
    </r>
    <r>
      <rPr>
        <sz val="10"/>
        <color rgb="FF1F2A28"/>
        <rFont val="Arial"/>
        <family val="0"/>
        <charset val="1"/>
      </rPr>
      <t xml:space="preserve">137</t>
    </r>
    <r>
      <rPr>
        <sz val="10"/>
        <color rgb="FF1F2A28"/>
        <rFont val="WenQuanYi Zen Hei"/>
        <family val="2"/>
      </rPr>
      <t xml:space="preserve">及</t>
    </r>
    <r>
      <rPr>
        <sz val="10"/>
        <color rgb="FF1F2A28"/>
        <rFont val="Arial"/>
        <family val="0"/>
        <charset val="1"/>
      </rPr>
      <t xml:space="preserve">139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</si>
  <si>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(03)4363066</t>
  </si>
  <si>
    <t xml:space="preserve">yeh4953@gmail.com</t>
  </si>
  <si>
    <t xml:space="preserve">2002-07-04</t>
  </si>
  <si>
    <t xml:space="preserve">陳國欽</t>
  </si>
  <si>
    <t xml:space="preserve">私立格拉斯文理短期補習班</t>
  </si>
  <si>
    <r>
      <rPr>
        <sz val="10"/>
        <color rgb="FF1F2A28"/>
        <rFont val="WenQuanYi Zen Hei"/>
        <family val="2"/>
      </rPr>
      <t xml:space="preserve">中壢區中明路</t>
    </r>
    <r>
      <rPr>
        <sz val="10"/>
        <color rgb="FF1F2A28"/>
        <rFont val="Arial"/>
        <family val="0"/>
        <charset val="1"/>
      </rPr>
      <t xml:space="preserve">69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</si>
  <si>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(03)4950186</t>
  </si>
  <si>
    <t xml:space="preserve">Cynthiatea888@gmail.com</t>
  </si>
  <si>
    <t xml:space="preserve">2025-06-16</t>
  </si>
  <si>
    <t xml:space="preserve">邱嵐攸</t>
  </si>
  <si>
    <t xml:space="preserve">私立格翼文理短期補習班</t>
  </si>
  <si>
    <r>
      <rPr>
        <sz val="10"/>
        <color rgb="FF1F2A28"/>
        <rFont val="WenQuanYi Zen Hei"/>
        <family val="2"/>
      </rPr>
      <t xml:space="preserve">中壢區華愛街</t>
    </r>
    <r>
      <rPr>
        <sz val="10"/>
        <color rgb="FF1F2A28"/>
        <rFont val="Arial"/>
        <family val="0"/>
        <charset val="1"/>
      </rPr>
      <t xml:space="preserve">59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</si>
  <si>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(03)4567757</t>
  </si>
  <si>
    <t xml:space="preserve">austinhx88@gmail.com</t>
  </si>
  <si>
    <t xml:space="preserve">英語、美語、國英數自社</t>
  </si>
  <si>
    <t xml:space="preserve">2024-11-27</t>
  </si>
  <si>
    <t xml:space="preserve">賴佩佳</t>
  </si>
  <si>
    <t xml:space="preserve">私立極光菈兒文理短期補習班</t>
  </si>
  <si>
    <r>
      <rPr>
        <sz val="10"/>
        <color rgb="FF1F2A28"/>
        <rFont val="WenQuanYi Zen Hei"/>
        <family val="2"/>
      </rPr>
      <t xml:space="preserve">中壢區中榮路</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</si>
  <si>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(03)4225418</t>
  </si>
  <si>
    <t xml:space="preserve">tseching1114@gmail.com</t>
  </si>
  <si>
    <t xml:space="preserve">2011-03-02</t>
  </si>
  <si>
    <t xml:space="preserve">李映嬅</t>
  </si>
  <si>
    <t xml:space="preserve">私立橘諾美語文理短期補習班</t>
  </si>
  <si>
    <r>
      <rPr>
        <sz val="10"/>
        <color rgb="FF1F2A28"/>
        <rFont val="WenQuanYi Zen Hei"/>
        <family val="2"/>
      </rPr>
      <t xml:space="preserve">中壢區西園路</t>
    </r>
    <r>
      <rPr>
        <sz val="10"/>
        <color rgb="FF1F2A28"/>
        <rFont val="Arial"/>
        <family val="0"/>
        <charset val="1"/>
      </rPr>
      <t xml:space="preserve">92-1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</si>
  <si>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(03)4550522</t>
  </si>
  <si>
    <t xml:space="preserve">mj20091015@gmail.com</t>
  </si>
  <si>
    <t xml:space="preserve">美語、國英數自社</t>
  </si>
  <si>
    <t xml:space="preserve">2009-03-07</t>
  </si>
  <si>
    <t xml:space="preserve">蔡智雯</t>
  </si>
  <si>
    <t xml:space="preserve">私立欣明英語會話短期補習班</t>
  </si>
  <si>
    <r>
      <rPr>
        <sz val="10"/>
        <color rgb="FF1F2A28"/>
        <rFont val="WenQuanYi Zen Hei"/>
        <family val="2"/>
      </rPr>
      <t xml:space="preserve">中壢區中新路</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</si>
  <si>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(03)4922320</t>
  </si>
  <si>
    <t xml:space="preserve">1984-08-14</t>
  </si>
  <si>
    <t xml:space="preserve">張鳳珊</t>
  </si>
  <si>
    <t xml:space="preserve">游苑鈴</t>
  </si>
  <si>
    <t xml:space="preserve">私立武欣文理短期補習班</t>
  </si>
  <si>
    <r>
      <rPr>
        <sz val="10"/>
        <color rgb="FF1F2A28"/>
        <rFont val="WenQuanYi Zen Hei"/>
        <family val="2"/>
      </rPr>
      <t xml:space="preserve">中壢區過嶺路一段</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</si>
  <si>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(03)4206781</t>
  </si>
  <si>
    <t xml:space="preserve">wuhsing2024@gmail.com</t>
  </si>
  <si>
    <t xml:space="preserve">2024-03-13</t>
  </si>
  <si>
    <t xml:space="preserve">呂嘉興</t>
  </si>
  <si>
    <t xml:space="preserve">私立沐恩文理短期補習班</t>
  </si>
  <si>
    <r>
      <rPr>
        <sz val="10"/>
        <color rgb="FF1F2A28"/>
        <rFont val="WenQuanYi Zen Hei"/>
        <family val="2"/>
      </rPr>
      <t xml:space="preserve">中壢區長江路</t>
    </r>
    <r>
      <rPr>
        <sz val="10"/>
        <color rgb="FF1F2A28"/>
        <rFont val="Arial"/>
        <family val="0"/>
        <charset val="1"/>
      </rPr>
      <t xml:space="preserve">27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</si>
  <si>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(03)4266364</t>
  </si>
  <si>
    <t xml:space="preserve">moonenglish2022@gmail.com</t>
  </si>
  <si>
    <t xml:space="preserve">2023-06-06</t>
  </si>
  <si>
    <t xml:space="preserve">吳謹邑</t>
  </si>
  <si>
    <t xml:space="preserve">私立泥禾藝術美術美語短期補習班</t>
  </si>
  <si>
    <r>
      <rPr>
        <sz val="10"/>
        <color rgb="FF1F2A28"/>
        <rFont val="WenQuanYi Zen Hei"/>
        <family val="2"/>
      </rPr>
      <t xml:space="preserve">中壢區 苑平街</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</si>
  <si>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(03)4591778</t>
  </si>
  <si>
    <t xml:space="preserve">a0922930769@gmail.com</t>
  </si>
  <si>
    <t xml:space="preserve">2017-01-17</t>
  </si>
  <si>
    <t xml:space="preserve">王柔方</t>
  </si>
  <si>
    <t xml:space="preserve">私立津煜文理短期補習班</t>
  </si>
  <si>
    <r>
      <rPr>
        <sz val="10"/>
        <color rgb="FF1F2A28"/>
        <rFont val="WenQuanYi Zen Hei"/>
        <family val="2"/>
      </rPr>
      <t xml:space="preserve">中壢區金鋒街</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</si>
  <si>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 4659022</t>
  </si>
  <si>
    <t xml:space="preserve">jinhwaschool@gmail.com</t>
  </si>
  <si>
    <t xml:space="preserve">2000-10-23</t>
  </si>
  <si>
    <t xml:space="preserve">梁津煜</t>
  </si>
  <si>
    <t xml:space="preserve">私立津煜文理短期補習班普仁分班</t>
  </si>
  <si>
    <r>
      <rPr>
        <sz val="10"/>
        <color rgb="FF1F2A28"/>
        <rFont val="WenQuanYi Zen Hei"/>
        <family val="2"/>
      </rPr>
      <t xml:space="preserve">中壢區普光二街</t>
    </r>
    <r>
      <rPr>
        <sz val="10"/>
        <color rgb="FF1F2A28"/>
        <rFont val="Arial"/>
        <family val="0"/>
        <charset val="1"/>
      </rPr>
      <t xml:space="preserve">85</t>
    </r>
    <r>
      <rPr>
        <sz val="10"/>
        <color rgb="FF1F2A28"/>
        <rFont val="WenQuanYi Zen Hei"/>
        <family val="2"/>
      </rPr>
      <t xml:space="preserve">巷</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</si>
  <si>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(03)4562617</t>
  </si>
  <si>
    <t xml:space="preserve">2023-09-28</t>
  </si>
  <si>
    <t xml:space="preserve">梁庭瑋</t>
  </si>
  <si>
    <t xml:space="preserve">私立海華語文文理音樂短期補習班</t>
  </si>
  <si>
    <r>
      <rPr>
        <sz val="10"/>
        <color rgb="FF1F2A28"/>
        <rFont val="WenQuanYi Zen Hei"/>
        <family val="2"/>
      </rPr>
      <t xml:space="preserve">中壢區慈惠三街</t>
    </r>
    <r>
      <rPr>
        <sz val="10"/>
        <color rgb="FF1F2A28"/>
        <rFont val="Arial"/>
        <family val="0"/>
        <charset val="1"/>
      </rPr>
      <t xml:space="preserve">138</t>
    </r>
    <r>
      <rPr>
        <sz val="10"/>
        <color rgb="FF1F2A28"/>
        <rFont val="WenQuanYi Zen Hei"/>
        <family val="2"/>
      </rPr>
      <t xml:space="preserve">號</t>
    </r>
    <r>
      <rPr>
        <sz val="10"/>
        <color rgb="FF1F2A28"/>
        <rFont val="Arial"/>
        <family val="0"/>
        <charset val="1"/>
      </rPr>
      <t xml:space="preserve">1-2F</t>
    </r>
  </si>
  <si>
    <t xml:space="preserve">(03)4256746</t>
  </si>
  <si>
    <t xml:space="preserve">hardakay@gmail.com</t>
  </si>
  <si>
    <t xml:space="preserve">2014-12-10</t>
  </si>
  <si>
    <t xml:space="preserve">莊家瑞</t>
  </si>
  <si>
    <t xml:space="preserve">徐舜芳</t>
  </si>
  <si>
    <t xml:space="preserve">私立燈塔美語會話短期補習班</t>
  </si>
  <si>
    <r>
      <rPr>
        <sz val="10"/>
        <color rgb="FF1F2A28"/>
        <rFont val="WenQuanYi Zen Hei"/>
        <family val="2"/>
      </rPr>
      <t xml:space="preserve">中壢區金山</t>
    </r>
    <r>
      <rPr>
        <sz val="10"/>
        <color rgb="FF1F2A28"/>
        <rFont val="Arial"/>
        <family val="0"/>
        <charset val="1"/>
      </rPr>
      <t xml:space="preserve">2</t>
    </r>
    <r>
      <rPr>
        <sz val="10"/>
        <color rgb="FF1F2A28"/>
        <rFont val="WenQuanYi Zen Hei"/>
        <family val="2"/>
      </rPr>
      <t xml:space="preserve">街</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</si>
  <si>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(03)4283455</t>
  </si>
  <si>
    <t xml:space="preserve">lhacdemy@yahoo.com.tw</t>
  </si>
  <si>
    <t xml:space="preserve">2002-08-12</t>
  </si>
  <si>
    <t xml:space="preserve">田素美</t>
  </si>
  <si>
    <t xml:space="preserve">田素萍</t>
  </si>
  <si>
    <t xml:space="preserve">私立瑞吉歐文理語文數學短期補習班</t>
  </si>
  <si>
    <r>
      <rPr>
        <sz val="10"/>
        <color rgb="FF1F2A28"/>
        <rFont val="WenQuanYi Zen Hei"/>
        <family val="2"/>
      </rPr>
      <t xml:space="preserve">中壢區榮安一街</t>
    </r>
    <r>
      <rPr>
        <sz val="10"/>
        <color rgb="FF1F2A28"/>
        <rFont val="Arial"/>
        <family val="0"/>
        <charset val="1"/>
      </rPr>
      <t xml:space="preserve">221</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樓及</t>
    </r>
    <r>
      <rPr>
        <sz val="10"/>
        <color rgb="FF1F2A28"/>
        <rFont val="Arial"/>
        <family val="0"/>
        <charset val="1"/>
      </rPr>
      <t xml:space="preserve">225</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</si>
  <si>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(03)4351513</t>
  </si>
  <si>
    <t xml:space="preserve">reggioscience@gmail.com</t>
  </si>
  <si>
    <t xml:space="preserve">英數理、美語</t>
  </si>
  <si>
    <t xml:space="preserve">2016-06-20</t>
  </si>
  <si>
    <t xml:space="preserve">王慧璞</t>
  </si>
  <si>
    <t xml:space="preserve">私立白馬語文短期補習班</t>
  </si>
  <si>
    <r>
      <rPr>
        <sz val="10"/>
        <color rgb="FF1F2A28"/>
        <rFont val="WenQuanYi Zen Hei"/>
        <family val="2"/>
      </rPr>
      <t xml:space="preserve">中壢區三光路</t>
    </r>
    <r>
      <rPr>
        <sz val="10"/>
        <color rgb="FF1F2A28"/>
        <rFont val="Arial"/>
        <family val="0"/>
        <charset val="1"/>
      </rPr>
      <t xml:space="preserve">158</t>
    </r>
    <r>
      <rPr>
        <sz val="10"/>
        <color rgb="FF1F2A28"/>
        <rFont val="WenQuanYi Zen Hei"/>
        <family val="2"/>
      </rPr>
      <t xml:space="preserve">巷</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</si>
  <si>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(03)4938338</t>
  </si>
  <si>
    <t xml:space="preserve">mica_tseng@yahoo.com.tw</t>
  </si>
  <si>
    <t xml:space="preserve">曾迎春</t>
  </si>
  <si>
    <t xml:space="preserve">私立百合精緻美語短期補習班</t>
  </si>
  <si>
    <r>
      <rPr>
        <sz val="10"/>
        <color rgb="FF1F2A28"/>
        <rFont val="WenQuanYi Zen Hei"/>
        <family val="2"/>
      </rPr>
      <t xml:space="preserve">中壢區廣州路</t>
    </r>
    <r>
      <rPr>
        <sz val="10"/>
        <color rgb="FF1F2A28"/>
        <rFont val="Arial"/>
        <family val="0"/>
        <charset val="1"/>
      </rPr>
      <t xml:space="preserve">130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</si>
  <si>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(03)4685958</t>
  </si>
  <si>
    <t xml:space="preserve">bravo4685958@gmail.com</t>
  </si>
  <si>
    <t xml:space="preserve">2004-01-07</t>
  </si>
  <si>
    <t xml:space="preserve">楊立仁</t>
  </si>
  <si>
    <t xml:space="preserve">私立盛彬文理語文短期補習班</t>
  </si>
  <si>
    <r>
      <rPr>
        <sz val="10"/>
        <color rgb="FF1F2A28"/>
        <rFont val="WenQuanYi Zen Hei"/>
        <family val="2"/>
      </rPr>
      <t xml:space="preserve">中壢區富村街</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樓、富裕街</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</si>
  <si>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(03)4635263</t>
  </si>
  <si>
    <t xml:space="preserve">lwhite01@ms32.hinet.net</t>
  </si>
  <si>
    <t xml:space="preserve">2007-05-02</t>
  </si>
  <si>
    <t xml:space="preserve">吳志鍇</t>
  </si>
  <si>
    <t xml:space="preserve">李柎梓</t>
  </si>
  <si>
    <r>
      <rPr>
        <sz val="10"/>
        <color rgb="FF1F2A28"/>
        <rFont val="WenQuanYi Zen Hei"/>
        <family val="2"/>
      </rPr>
      <t xml:space="preserve">中壢區松勇路</t>
    </r>
    <r>
      <rPr>
        <sz val="10"/>
        <color rgb="FF1F2A28"/>
        <rFont val="Arial"/>
        <family val="0"/>
        <charset val="1"/>
      </rPr>
      <t xml:space="preserve">39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</si>
  <si>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(03)4200817</t>
  </si>
  <si>
    <t xml:space="preserve">私立睿瑪語文音樂美術短期補習班</t>
  </si>
  <si>
    <r>
      <rPr>
        <sz val="10"/>
        <color rgb="FF1F2A28"/>
        <rFont val="WenQuanYi Zen Hei"/>
        <family val="2"/>
      </rPr>
      <t xml:space="preserve">中壢區福星六街</t>
    </r>
    <r>
      <rPr>
        <sz val="10"/>
        <color rgb="FF1F2A28"/>
        <rFont val="Arial"/>
        <family val="0"/>
        <charset val="1"/>
      </rPr>
      <t xml:space="preserve">70</t>
    </r>
    <r>
      <rPr>
        <sz val="10"/>
        <color rgb="FF1F2A28"/>
        <rFont val="WenQuanYi Zen Hei"/>
        <family val="2"/>
      </rPr>
      <t xml:space="preserve">號</t>
    </r>
    <r>
      <rPr>
        <sz val="10"/>
        <color rgb="FF1F2A28"/>
        <rFont val="Arial"/>
        <family val="0"/>
        <charset val="1"/>
      </rPr>
      <t xml:space="preserve">5F</t>
    </r>
  </si>
  <si>
    <t xml:space="preserve">(03)4625915</t>
  </si>
  <si>
    <t xml:space="preserve">estc.tiskyo@gmail.com</t>
  </si>
  <si>
    <t xml:space="preserve">陳耀成</t>
  </si>
  <si>
    <t xml:space="preserve">私立知新數學語文短期補習班</t>
  </si>
  <si>
    <r>
      <rPr>
        <sz val="10"/>
        <color rgb="FF1F2A28"/>
        <rFont val="WenQuanYi Zen Hei"/>
        <family val="2"/>
      </rPr>
      <t xml:space="preserve">中壢區成都路</t>
    </r>
    <r>
      <rPr>
        <sz val="10"/>
        <color rgb="FF1F2A28"/>
        <rFont val="Arial"/>
        <family val="0"/>
        <charset val="1"/>
      </rPr>
      <t xml:space="preserve">54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</si>
  <si>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(03)4688055</t>
  </si>
  <si>
    <t xml:space="preserve">yuchun3151@gmail.com</t>
  </si>
  <si>
    <t xml:space="preserve">美語中級、美語初級</t>
  </si>
  <si>
    <t xml:space="preserve">2021-10-18</t>
  </si>
  <si>
    <t xml:space="preserve">劉俞君</t>
  </si>
  <si>
    <r>
      <rPr>
        <sz val="10"/>
        <color rgb="FF1F2A28"/>
        <rFont val="WenQuanYi Zen Hei"/>
        <family val="2"/>
      </rPr>
      <t xml:space="preserve">中壢區中正路四段</t>
    </r>
    <r>
      <rPr>
        <sz val="10"/>
        <color rgb="FF1F2A28"/>
        <rFont val="Arial"/>
        <family val="0"/>
        <charset val="1"/>
      </rPr>
      <t xml:space="preserve">88</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</si>
  <si>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(03)4984115</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</si>
  <si>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數英</t>
    </r>
    <r>
      <rPr>
        <sz val="10"/>
        <color rgb="FF1F2A28"/>
        <rFont val="Arial"/>
        <family val="0"/>
        <charset val="1"/>
      </rPr>
      <t xml:space="preserve">)</t>
    </r>
  </si>
  <si>
    <r>
      <rPr>
        <sz val="10"/>
        <color rgb="FF1F2A28"/>
        <rFont val="WenQuanYi Zen Hei"/>
        <family val="2"/>
      </rPr>
      <t xml:space="preserve">中壢區中正路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107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</si>
  <si>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(03)4980101</t>
  </si>
  <si>
    <t xml:space="preserve">美語初級、美語中級、英數理</t>
  </si>
  <si>
    <t xml:space="preserve">私立福克斯文理短期補習班旗艦分班</t>
  </si>
  <si>
    <r>
      <rPr>
        <sz val="10"/>
        <color rgb="FF1F2A28"/>
        <rFont val="WenQuanYi Zen Hei"/>
        <family val="2"/>
      </rPr>
      <t xml:space="preserve">中壢區中豐路</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</si>
  <si>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(03)4250321</t>
  </si>
  <si>
    <t xml:space="preserve">tim6868tw@gmail.com</t>
  </si>
  <si>
    <t xml:space="preserve">2023-01-10</t>
  </si>
  <si>
    <t xml:space="preserve">葉誼箴</t>
  </si>
  <si>
    <t xml:space="preserve">陳昞如</t>
  </si>
  <si>
    <t xml:space="preserve">私立福克斯文理短期補習班致遠分班</t>
  </si>
  <si>
    <r>
      <rPr>
        <sz val="10"/>
        <color rgb="FF1F2A28"/>
        <rFont val="WenQuanYi Zen Hei"/>
        <family val="2"/>
      </rPr>
      <t xml:space="preserve">中壢區致遠一路</t>
    </r>
    <r>
      <rPr>
        <sz val="10"/>
        <color rgb="FF1F2A28"/>
        <rFont val="Arial"/>
        <family val="0"/>
        <charset val="1"/>
      </rPr>
      <t xml:space="preserve">276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t>
    </r>
    <r>
      <rPr>
        <sz val="10"/>
        <color rgb="FF1F2A28"/>
        <rFont val="Arial"/>
        <family val="0"/>
        <charset val="1"/>
      </rPr>
      <t xml:space="preserve">278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</si>
  <si>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(03)2870630</t>
  </si>
  <si>
    <t xml:space="preserve">2023-11-01</t>
  </si>
  <si>
    <t xml:space="preserve">張嘉麟</t>
  </si>
  <si>
    <t xml:space="preserve">私立秀明語文文理短期補習班</t>
  </si>
  <si>
    <r>
      <rPr>
        <sz val="10"/>
        <color rgb="FF1F2A28"/>
        <rFont val="WenQuanYi Zen Hei"/>
        <family val="2"/>
      </rPr>
      <t xml:space="preserve">中壢區領航北路二段</t>
    </r>
    <r>
      <rPr>
        <sz val="10"/>
        <color rgb="FF1F2A28"/>
        <rFont val="Arial"/>
        <family val="0"/>
        <charset val="1"/>
      </rPr>
      <t xml:space="preserve">239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</si>
  <si>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(03)4221738</t>
  </si>
  <si>
    <t xml:space="preserve">leaderping@yahoo.com</t>
  </si>
  <si>
    <t xml:space="preserve">英語、英數自</t>
  </si>
  <si>
    <t xml:space="preserve">林錦華</t>
  </si>
  <si>
    <t xml:space="preserve">陳建丞</t>
  </si>
  <si>
    <t xml:space="preserve">私立科喬美語文理短期補習班</t>
  </si>
  <si>
    <r>
      <rPr>
        <sz val="10"/>
        <color rgb="FF1F2A28"/>
        <rFont val="WenQuanYi Zen Hei"/>
        <family val="2"/>
      </rPr>
      <t xml:space="preserve">中壢區榮民南路</t>
    </r>
    <r>
      <rPr>
        <sz val="10"/>
        <color rgb="FF1F2A28"/>
        <rFont val="Arial"/>
        <family val="0"/>
        <charset val="1"/>
      </rPr>
      <t xml:space="preserve">278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</si>
  <si>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(03)4566272</t>
  </si>
  <si>
    <t xml:space="preserve">S122355662@gmail.com</t>
  </si>
  <si>
    <t xml:space="preserve">2006-06-20</t>
  </si>
  <si>
    <t xml:space="preserve">李炫宗</t>
  </si>
  <si>
    <t xml:space="preserve">蔡林曌暋</t>
  </si>
  <si>
    <t xml:space="preserve">私立綠光語文文理短期補習班</t>
  </si>
  <si>
    <r>
      <rPr>
        <sz val="10"/>
        <color rgb="FF1F2A28"/>
        <rFont val="WenQuanYi Zen Hei"/>
        <family val="2"/>
      </rPr>
      <t xml:space="preserve">中壢區林森路</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</si>
  <si>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(03)4683660</t>
  </si>
  <si>
    <t xml:space="preserve">hamasakibest@hotmail.com</t>
  </si>
  <si>
    <t xml:space="preserve">2011-05-19</t>
  </si>
  <si>
    <t xml:space="preserve">曾大軒</t>
  </si>
  <si>
    <t xml:space="preserve">私立美昇語文珠算文理短期補習班</t>
  </si>
  <si>
    <r>
      <rPr>
        <sz val="10"/>
        <color rgb="FF1F2A28"/>
        <rFont val="WenQuanYi Zen Hei"/>
        <family val="2"/>
      </rPr>
      <t xml:space="preserve">中壢區中山東路三段</t>
    </r>
    <r>
      <rPr>
        <sz val="10"/>
        <color rgb="FF1F2A28"/>
        <rFont val="Arial"/>
        <family val="0"/>
        <charset val="1"/>
      </rPr>
      <t xml:space="preserve">341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t>
    </r>
    <r>
      <rPr>
        <sz val="10"/>
        <color rgb="FF1F2A28"/>
        <rFont val="Arial"/>
        <family val="0"/>
        <charset val="1"/>
      </rPr>
      <t xml:space="preserve">343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</si>
  <si>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(03)4360739</t>
  </si>
  <si>
    <t xml:space="preserve">2003-11-27</t>
  </si>
  <si>
    <t xml:space="preserve">翁素真</t>
  </si>
  <si>
    <t xml:space="preserve">私立翱翔美語短期補習班</t>
  </si>
  <si>
    <r>
      <rPr>
        <sz val="10"/>
        <color rgb="FF1F2A28"/>
        <rFont val="WenQuanYi Zen Hei"/>
        <family val="2"/>
      </rPr>
      <t xml:space="preserve">中壢區福州路</t>
    </r>
    <r>
      <rPr>
        <sz val="10"/>
        <color rgb="FF1F2A28"/>
        <rFont val="Arial"/>
        <family val="0"/>
        <charset val="1"/>
      </rPr>
      <t xml:space="preserve">150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</si>
  <si>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(03)4686006</t>
  </si>
  <si>
    <t xml:space="preserve">rayable@hotmail.com</t>
  </si>
  <si>
    <t xml:space="preserve">私立聖堡登英語會話短期補習班</t>
  </si>
  <si>
    <r>
      <rPr>
        <sz val="10"/>
        <color rgb="FF1F2A28"/>
        <rFont val="WenQuanYi Zen Hei"/>
        <family val="2"/>
      </rPr>
      <t xml:space="preserve">中壢區中央西路二段</t>
    </r>
    <r>
      <rPr>
        <sz val="10"/>
        <color rgb="FF1F2A28"/>
        <rFont val="Arial"/>
        <family val="0"/>
        <charset val="1"/>
      </rPr>
      <t xml:space="preserve">154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154</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</si>
  <si>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(03)4025238</t>
  </si>
  <si>
    <t xml:space="preserve">summerhs@ms27.hinet.net</t>
  </si>
  <si>
    <t xml:space="preserve">1998-12-28</t>
  </si>
  <si>
    <t xml:space="preserve">張郡麟</t>
  </si>
  <si>
    <t xml:space="preserve">施美如</t>
  </si>
  <si>
    <t xml:space="preserve">私立育大語文文理美術短期補習班</t>
  </si>
  <si>
    <r>
      <rPr>
        <sz val="10"/>
        <color rgb="FF1F2A28"/>
        <rFont val="WenQuanYi Zen Hei"/>
        <family val="2"/>
      </rPr>
      <t xml:space="preserve">中壢區少康二街</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</si>
  <si>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(03)4589218</t>
  </si>
  <si>
    <t xml:space="preserve">vicky0915171531@gmail.com</t>
  </si>
  <si>
    <t xml:space="preserve">美語、英數</t>
  </si>
  <si>
    <t xml:space="preserve">2017-03-02</t>
  </si>
  <si>
    <t xml:space="preserve">梁育琪</t>
  </si>
  <si>
    <t xml:space="preserve">王巧妮</t>
  </si>
  <si>
    <t xml:space="preserve">私立育成語文文理短期補習班</t>
  </si>
  <si>
    <r>
      <rPr>
        <sz val="10"/>
        <color rgb="FF1F2A28"/>
        <rFont val="WenQuanYi Zen Hei"/>
        <family val="2"/>
      </rPr>
      <t xml:space="preserve">中壢區復華三街</t>
    </r>
    <r>
      <rPr>
        <sz val="10"/>
        <color rgb="FF1F2A28"/>
        <rFont val="Arial"/>
        <family val="0"/>
        <charset val="1"/>
      </rPr>
      <t xml:space="preserve">33</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</si>
  <si>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(03)4551750</t>
  </si>
  <si>
    <t xml:space="preserve">_chen1314@yahoo.com.tw</t>
  </si>
  <si>
    <t xml:space="preserve">徐俊峰</t>
  </si>
  <si>
    <t xml:space="preserve">私立育欣語文數學短期補習班</t>
  </si>
  <si>
    <r>
      <rPr>
        <sz val="10"/>
        <color rgb="FF1F2A28"/>
        <rFont val="WenQuanYi Zen Hei"/>
        <family val="2"/>
      </rPr>
      <t xml:space="preserve">中壢區榮安十三街</t>
    </r>
    <r>
      <rPr>
        <sz val="10"/>
        <color rgb="FF1F2A28"/>
        <rFont val="Arial"/>
        <family val="0"/>
        <charset val="1"/>
      </rPr>
      <t xml:space="preserve">68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</si>
  <si>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(03)4632728</t>
  </si>
  <si>
    <t xml:space="preserve">buy4815@gmail.com</t>
  </si>
  <si>
    <t xml:space="preserve">美語、美語英檢班、美語菁英</t>
  </si>
  <si>
    <t xml:space="preserve">2007-03-15</t>
  </si>
  <si>
    <t xml:space="preserve">張馨尹</t>
  </si>
  <si>
    <t xml:space="preserve">私立致廷美語短期補習班</t>
  </si>
  <si>
    <r>
      <rPr>
        <sz val="10"/>
        <color rgb="FF1F2A28"/>
        <rFont val="WenQuanYi Zen Hei"/>
        <family val="2"/>
      </rPr>
      <t xml:space="preserve">中壢區成功路</t>
    </r>
    <r>
      <rPr>
        <sz val="10"/>
        <color rgb="FF1F2A28"/>
        <rFont val="Arial"/>
        <family val="0"/>
        <charset val="1"/>
      </rPr>
      <t xml:space="preserve">79</t>
    </r>
    <r>
      <rPr>
        <sz val="10"/>
        <color rgb="FF1F2A28"/>
        <rFont val="WenQuanYi Zen Hei"/>
        <family val="2"/>
      </rPr>
      <t xml:space="preserve">巷</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</si>
  <si>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(03)4518916</t>
  </si>
  <si>
    <t xml:space="preserve">mssmlnf@gmail.com</t>
  </si>
  <si>
    <r>
      <rPr>
        <sz val="10"/>
        <color rgb="FF1F2A28"/>
        <rFont val="WenQuanYi Zen Hei"/>
        <family val="2"/>
      </rPr>
      <t xml:space="preserve">美語科</t>
    </r>
    <r>
      <rPr>
        <sz val="10"/>
        <color rgb="FF1F2A28"/>
        <rFont val="Arial"/>
        <family val="0"/>
        <charset val="1"/>
      </rPr>
      <t xml:space="preserve">A</t>
    </r>
    <r>
      <rPr>
        <sz val="10"/>
        <color rgb="FF1F2A28"/>
        <rFont val="WenQuanYi Zen Hei"/>
        <family val="2"/>
      </rPr>
      <t xml:space="preserve">班、美語科</t>
    </r>
    <r>
      <rPr>
        <sz val="10"/>
        <color rgb="FF1F2A28"/>
        <rFont val="Arial"/>
        <family val="0"/>
        <charset val="1"/>
      </rPr>
      <t xml:space="preserve">B</t>
    </r>
    <r>
      <rPr>
        <sz val="10"/>
        <color rgb="FF1F2A28"/>
        <rFont val="WenQuanYi Zen Hei"/>
        <family val="2"/>
      </rPr>
      <t xml:space="preserve">班</t>
    </r>
  </si>
  <si>
    <t xml:space="preserve">2006-06-12</t>
  </si>
  <si>
    <t xml:space="preserve">游少蓮</t>
  </si>
  <si>
    <t xml:space="preserve">盧瑞雯</t>
  </si>
  <si>
    <t xml:space="preserve">私立興儒數學語文文理短期補習班</t>
  </si>
  <si>
    <r>
      <rPr>
        <sz val="10"/>
        <color rgb="FF1F2A28"/>
        <rFont val="WenQuanYi Zen Hei"/>
        <family val="2"/>
      </rPr>
      <t xml:space="preserve">中壢區中平路</t>
    </r>
    <r>
      <rPr>
        <sz val="10"/>
        <color rgb="FF1F2A28"/>
        <rFont val="Arial"/>
        <family val="0"/>
        <charset val="1"/>
      </rPr>
      <t xml:space="preserve">177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</si>
  <si>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(03)4223828</t>
  </si>
  <si>
    <t xml:space="preserve">chiuchihfeng@hotmail.com</t>
  </si>
  <si>
    <t xml:space="preserve">2012-04-18</t>
  </si>
  <si>
    <t xml:space="preserve">趙明夫</t>
  </si>
  <si>
    <t xml:space="preserve">楊昌憲</t>
  </si>
  <si>
    <t xml:space="preserve">私立興儒數學語文文理短期補習班內壢分班</t>
  </si>
  <si>
    <r>
      <rPr>
        <sz val="10"/>
        <color rgb="FF1F2A28"/>
        <rFont val="WenQuanYi Zen Hei"/>
        <family val="2"/>
      </rPr>
      <t xml:space="preserve">中壢區信義路</t>
    </r>
    <r>
      <rPr>
        <sz val="10"/>
        <color rgb="FF1F2A28"/>
        <rFont val="Arial"/>
        <family val="0"/>
        <charset val="1"/>
      </rPr>
      <t xml:space="preserve">99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</si>
  <si>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(03)4341199</t>
  </si>
  <si>
    <t xml:space="preserve">kayinortin@hotmail.com</t>
  </si>
  <si>
    <t xml:space="preserve">2020-05-28</t>
  </si>
  <si>
    <t xml:space="preserve">莊雅惟</t>
  </si>
  <si>
    <t xml:space="preserve">私立興儒語文文理短期補習班東興分班</t>
  </si>
  <si>
    <r>
      <rPr>
        <sz val="10"/>
        <color rgb="FF1F2A28"/>
        <rFont val="WenQuanYi Zen Hei"/>
        <family val="2"/>
      </rPr>
      <t xml:space="preserve">中壢區廣州路</t>
    </r>
    <r>
      <rPr>
        <sz val="10"/>
        <color rgb="FF1F2A28"/>
        <rFont val="Arial"/>
        <family val="0"/>
        <charset val="1"/>
      </rPr>
      <t xml:space="preserve">75</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</si>
  <si>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(03)4595777</t>
  </si>
  <si>
    <t xml:space="preserve">vansen1026@yahoo.com.tw</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</si>
  <si>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、美語</t>
    </r>
  </si>
  <si>
    <t xml:space="preserve">2015-04-15</t>
  </si>
  <si>
    <t xml:space="preserve">邱彥鈞</t>
  </si>
  <si>
    <r>
      <rPr>
        <sz val="10"/>
        <color rgb="FF1F2A28"/>
        <rFont val="WenQuanYi Zen Hei"/>
        <family val="2"/>
      </rPr>
      <t xml:space="preserve">中壢區衡陽街</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</si>
  <si>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范姜莉婷</t>
  </si>
  <si>
    <t xml:space="preserve">私立艾貝思美語文理短期補習班</t>
  </si>
  <si>
    <r>
      <rPr>
        <sz val="10"/>
        <color rgb="FF1F2A28"/>
        <rFont val="WenQuanYi Zen Hei"/>
        <family val="2"/>
      </rPr>
      <t xml:space="preserve">中壢區龍岡路二段</t>
    </r>
    <r>
      <rPr>
        <sz val="10"/>
        <color rgb="FF1F2A28"/>
        <rFont val="Arial"/>
        <family val="0"/>
        <charset val="1"/>
      </rPr>
      <t xml:space="preserve">321</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</si>
  <si>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(03)4576607</t>
  </si>
  <si>
    <t xml:space="preserve">chingliu2003@hotmail.com</t>
  </si>
  <si>
    <t xml:space="preserve">2020-01-02</t>
  </si>
  <si>
    <t xml:space="preserve">劉恒青</t>
  </si>
  <si>
    <t xml:space="preserve">鍾秀花</t>
  </si>
  <si>
    <t xml:space="preserve">私立芙洛拉英語短期補習班</t>
  </si>
  <si>
    <r>
      <rPr>
        <sz val="10"/>
        <color rgb="FF1F2A28"/>
        <rFont val="WenQuanYi Zen Hei"/>
        <family val="2"/>
      </rPr>
      <t xml:space="preserve">中壢區龍泉街</t>
    </r>
    <r>
      <rPr>
        <sz val="10"/>
        <color rgb="FF1F2A28"/>
        <rFont val="Arial"/>
        <family val="0"/>
        <charset val="1"/>
      </rPr>
      <t xml:space="preserve">58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</si>
  <si>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0912252921</t>
  </si>
  <si>
    <t xml:space="preserve">flora921@yahoo.com</t>
  </si>
  <si>
    <t xml:space="preserve">2009-03-23</t>
  </si>
  <si>
    <t xml:space="preserve">朱美玲</t>
  </si>
  <si>
    <t xml:space="preserve">私立英普力美語短期補習班</t>
  </si>
  <si>
    <r>
      <rPr>
        <sz val="10"/>
        <color rgb="FF1F2A28"/>
        <rFont val="WenQuanYi Zen Hei"/>
        <family val="2"/>
      </rPr>
      <t xml:space="preserve">中壢區榮安</t>
    </r>
    <r>
      <rPr>
        <sz val="10"/>
        <color rgb="FF1F2A28"/>
        <rFont val="Arial"/>
        <family val="0"/>
        <charset val="1"/>
      </rPr>
      <t xml:space="preserve">13</t>
    </r>
    <r>
      <rPr>
        <sz val="10"/>
        <color rgb="FF1F2A28"/>
        <rFont val="WenQuanYi Zen Hei"/>
        <family val="2"/>
      </rPr>
      <t xml:space="preserve">街</t>
    </r>
    <r>
      <rPr>
        <sz val="10"/>
        <color rgb="FF1F2A28"/>
        <rFont val="Arial"/>
        <family val="0"/>
        <charset val="1"/>
      </rPr>
      <t xml:space="preserve">216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</si>
  <si>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(03)4358267</t>
  </si>
  <si>
    <t xml:space="preserve">simply.english216@gmail.com</t>
  </si>
  <si>
    <t xml:space="preserve">2002-07-18</t>
  </si>
  <si>
    <t xml:space="preserve">譚中岳</t>
  </si>
  <si>
    <t xml:space="preserve">私立英格斯堡美語數學文理短期補習班</t>
  </si>
  <si>
    <r>
      <rPr>
        <sz val="10"/>
        <color rgb="FF1F2A28"/>
        <rFont val="WenQuanYi Zen Hei"/>
        <family val="2"/>
      </rPr>
      <t xml:space="preserve">中壢區治平街</t>
    </r>
    <r>
      <rPr>
        <sz val="10"/>
        <color rgb="FF1F2A28"/>
        <rFont val="Arial"/>
        <family val="0"/>
        <charset val="1"/>
      </rPr>
      <t xml:space="preserve">40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</si>
  <si>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(03)2706699</t>
  </si>
  <si>
    <t xml:space="preserve">Jackysct@gmail.com</t>
  </si>
  <si>
    <t xml:space="preserve">2014-12-31</t>
  </si>
  <si>
    <t xml:space="preserve">私立英達語文數學短期補習班</t>
  </si>
  <si>
    <r>
      <rPr>
        <sz val="10"/>
        <color rgb="FF1F2A28"/>
        <rFont val="WenQuanYi Zen Hei"/>
        <family val="2"/>
      </rPr>
      <t xml:space="preserve">中壢區長樂街</t>
    </r>
    <r>
      <rPr>
        <sz val="10"/>
        <color rgb="FF1F2A28"/>
        <rFont val="Arial"/>
        <family val="0"/>
        <charset val="1"/>
      </rPr>
      <t xml:space="preserve">78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樓及復華九街</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樓及復華九街</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</si>
  <si>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(03)4514945</t>
  </si>
  <si>
    <t xml:space="preserve">giraffe4514945@gmail.com</t>
  </si>
  <si>
    <t xml:space="preserve">2015-09-09</t>
  </si>
  <si>
    <t xml:space="preserve">許弼傑</t>
  </si>
  <si>
    <t xml:space="preserve">張宜絨</t>
  </si>
  <si>
    <t xml:space="preserve">私立菁英美語短期補習班</t>
  </si>
  <si>
    <r>
      <rPr>
        <sz val="10"/>
        <color rgb="FF1F2A28"/>
        <rFont val="WenQuanYi Zen Hei"/>
        <family val="2"/>
      </rPr>
      <t xml:space="preserve">中壢區新明路</t>
    </r>
    <r>
      <rPr>
        <sz val="10"/>
        <color rgb="FF1F2A28"/>
        <rFont val="Arial"/>
        <family val="0"/>
        <charset val="1"/>
      </rPr>
      <t xml:space="preserve">129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</si>
  <si>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(03)2811318</t>
  </si>
  <si>
    <t xml:space="preserve">a2811319@hotmail.com</t>
  </si>
  <si>
    <t xml:space="preserve">劉佳樺</t>
  </si>
  <si>
    <t xml:space="preserve">私立華盛頓語文文理短期補習班</t>
  </si>
  <si>
    <r>
      <rPr>
        <sz val="10"/>
        <color rgb="FF1F2A28"/>
        <rFont val="WenQuanYi Zen Hei"/>
        <family val="2"/>
      </rPr>
      <t xml:space="preserve">中壢區生明街</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1-2F</t>
    </r>
  </si>
  <si>
    <t xml:space="preserve">(03)4682008</t>
  </si>
  <si>
    <t xml:space="preserve">washedusch1993@gmail.com</t>
  </si>
  <si>
    <t xml:space="preserve">2013-10-11</t>
  </si>
  <si>
    <t xml:space="preserve">鄭書麟</t>
  </si>
  <si>
    <t xml:space="preserve">蘇靜雯</t>
  </si>
  <si>
    <t xml:space="preserve">私立華秀文理美語短期補習班</t>
  </si>
  <si>
    <r>
      <rPr>
        <sz val="10"/>
        <color rgb="FF1F2A28"/>
        <rFont val="WenQuanYi Zen Hei"/>
        <family val="2"/>
      </rPr>
      <t xml:space="preserve">中壢區中央西路二段</t>
    </r>
    <r>
      <rPr>
        <sz val="10"/>
        <color rgb="FF1F2A28"/>
        <rFont val="Arial"/>
        <family val="0"/>
        <charset val="1"/>
      </rPr>
      <t xml:space="preserve">88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</si>
  <si>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(03)4923977</t>
  </si>
  <si>
    <t xml:space="preserve">陳貴民</t>
  </si>
  <si>
    <t xml:space="preserve">陳貴平</t>
  </si>
  <si>
    <t xml:space="preserve">私立葛洛莉英語會話短期補習班</t>
  </si>
  <si>
    <r>
      <rPr>
        <sz val="10"/>
        <color rgb="FF1F2A28"/>
        <rFont val="WenQuanYi Zen Hei"/>
        <family val="2"/>
      </rPr>
      <t xml:space="preserve">中壢區中正路</t>
    </r>
    <r>
      <rPr>
        <sz val="10"/>
        <color rgb="FF1F2A28"/>
        <rFont val="Arial"/>
        <family val="0"/>
        <charset val="1"/>
      </rPr>
      <t xml:space="preserve">82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</si>
  <si>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(03)4932805</t>
  </si>
  <si>
    <t xml:space="preserve">1993-02-01</t>
  </si>
  <si>
    <t xml:space="preserve">何尹萍</t>
  </si>
  <si>
    <t xml:space="preserve">私立蒙特利英語文理短期補習班</t>
  </si>
  <si>
    <r>
      <rPr>
        <sz val="10"/>
        <color rgb="FF1F2A28"/>
        <rFont val="WenQuanYi Zen Hei"/>
        <family val="2"/>
      </rPr>
      <t xml:space="preserve">中壢區文化二路</t>
    </r>
    <r>
      <rPr>
        <sz val="10"/>
        <color rgb="FF1F2A28"/>
        <rFont val="Arial"/>
        <family val="0"/>
        <charset val="1"/>
      </rPr>
      <t xml:space="preserve">99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</si>
  <si>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(03)4519777</t>
  </si>
  <si>
    <t xml:space="preserve">BB101@joy.com.tw</t>
  </si>
  <si>
    <t xml:space="preserve">2020-05-19</t>
  </si>
  <si>
    <t xml:space="preserve">江佳霖</t>
  </si>
  <si>
    <t xml:space="preserve">張方馨</t>
  </si>
  <si>
    <t xml:space="preserve">私立蕭博士文理短期補習班</t>
  </si>
  <si>
    <r>
      <rPr>
        <sz val="10"/>
        <color rgb="FF1F2A28"/>
        <rFont val="WenQuanYi Zen Hei"/>
        <family val="2"/>
      </rPr>
      <t xml:space="preserve">中壢區福州一街</t>
    </r>
    <r>
      <rPr>
        <sz val="10"/>
        <color rgb="FF1F2A28"/>
        <rFont val="Arial"/>
        <family val="0"/>
        <charset val="1"/>
      </rPr>
      <t xml:space="preserve">70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</si>
  <si>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(03)4517123</t>
  </si>
  <si>
    <t xml:space="preserve">hsumika0223@gmail.com</t>
  </si>
  <si>
    <t xml:space="preserve">美語、英文數學自然</t>
  </si>
  <si>
    <t xml:space="preserve">2024-10-15</t>
  </si>
  <si>
    <t xml:space="preserve">徐辰瑄</t>
  </si>
  <si>
    <t xml:space="preserve">私立蘇菲雅美語文理短期補習班</t>
  </si>
  <si>
    <r>
      <rPr>
        <sz val="10"/>
        <color rgb="FF1F2A28"/>
        <rFont val="WenQuanYi Zen Hei"/>
        <family val="2"/>
      </rPr>
      <t xml:space="preserve">中壢區華美一路</t>
    </r>
    <r>
      <rPr>
        <sz val="10"/>
        <color rgb="FF1F2A28"/>
        <rFont val="Arial"/>
        <family val="0"/>
        <charset val="1"/>
      </rPr>
      <t xml:space="preserve">116</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</si>
  <si>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(03)4372588</t>
  </si>
  <si>
    <t xml:space="preserve">josephar@ms55.hinet.net</t>
  </si>
  <si>
    <t xml:space="preserve">2006-12-26</t>
  </si>
  <si>
    <t xml:space="preserve">林秋賢</t>
  </si>
  <si>
    <t xml:space="preserve">徐俊芳</t>
  </si>
  <si>
    <t xml:space="preserve">私立詠浩語文文理短期補習班</t>
  </si>
  <si>
    <r>
      <rPr>
        <sz val="10"/>
        <color rgb="FF1F2A28"/>
        <rFont val="WenQuanYi Zen Hei"/>
        <family val="2"/>
      </rPr>
      <t xml:space="preserve">中壢區興仁路二段</t>
    </r>
    <r>
      <rPr>
        <sz val="10"/>
        <color rgb="FF1F2A28"/>
        <rFont val="Arial"/>
        <family val="0"/>
        <charset val="1"/>
      </rPr>
      <t xml:space="preserve">16</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樓及興仁路二段</t>
    </r>
    <r>
      <rPr>
        <sz val="10"/>
        <color rgb="FF1F2A28"/>
        <rFont val="Arial"/>
        <family val="0"/>
        <charset val="1"/>
      </rPr>
      <t xml:space="preserve">19</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</si>
  <si>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(03)4629685</t>
  </si>
  <si>
    <t xml:space="preserve">urperfect_yh@yahoo.com.tw</t>
  </si>
  <si>
    <t xml:space="preserve">美語、國英數社自</t>
  </si>
  <si>
    <t xml:space="preserve">廖欣儀</t>
  </si>
  <si>
    <t xml:space="preserve">私立貝爾美語文理短期補習班</t>
  </si>
  <si>
    <r>
      <rPr>
        <sz val="10"/>
        <color rgb="FF1F2A28"/>
        <rFont val="WenQuanYi Zen Hei"/>
        <family val="2"/>
      </rPr>
      <t xml:space="preserve">中壢區中福路</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</si>
  <si>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(03)4610119</t>
  </si>
  <si>
    <t xml:space="preserve">bear.live.abc@gmail.com</t>
  </si>
  <si>
    <t xml:space="preserve">2000-07-07</t>
  </si>
  <si>
    <t xml:space="preserve">陳玉禎</t>
  </si>
  <si>
    <t xml:space="preserve">私立贏球美語文理短期補習班</t>
  </si>
  <si>
    <r>
      <rPr>
        <sz val="10"/>
        <color rgb="FF1F2A28"/>
        <rFont val="WenQuanYi Zen Hei"/>
        <family val="2"/>
      </rPr>
      <t xml:space="preserve">中壢區龍福路</t>
    </r>
    <r>
      <rPr>
        <sz val="10"/>
        <color rgb="FF1F2A28"/>
        <rFont val="Arial"/>
        <family val="0"/>
        <charset val="1"/>
      </rPr>
      <t xml:space="preserve">212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</si>
  <si>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(03)4363125</t>
  </si>
  <si>
    <t xml:space="preserve">globa_b_k@yahoo.com.tw</t>
  </si>
  <si>
    <t xml:space="preserve">2007-09-27</t>
  </si>
  <si>
    <t xml:space="preserve">張真沁</t>
  </si>
  <si>
    <t xml:space="preserve">私立辰星文理短期補習班領航旗艦分班</t>
  </si>
  <si>
    <r>
      <rPr>
        <sz val="10"/>
        <color rgb="FF1F2A28"/>
        <rFont val="WenQuanYi Zen Hei"/>
        <family val="2"/>
      </rPr>
      <t xml:space="preserve">中壢區領航南路二段</t>
    </r>
    <r>
      <rPr>
        <sz val="10"/>
        <color rgb="FF1F2A28"/>
        <rFont val="Arial"/>
        <family val="0"/>
        <charset val="1"/>
      </rPr>
      <t xml:space="preserve">231</t>
    </r>
    <r>
      <rPr>
        <sz val="10"/>
        <color rgb="FF1F2A28"/>
        <rFont val="WenQuanYi Zen Hei"/>
        <family val="2"/>
      </rPr>
      <t xml:space="preserve">、</t>
    </r>
    <r>
      <rPr>
        <sz val="10"/>
        <color rgb="FF1F2A28"/>
        <rFont val="Arial"/>
        <family val="0"/>
        <charset val="1"/>
      </rPr>
      <t xml:space="preserve">233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</si>
  <si>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(03)2870989</t>
  </si>
  <si>
    <t xml:space="preserve">joinsunrise3858@gmail.com</t>
  </si>
  <si>
    <t xml:space="preserve">2024-06-28</t>
  </si>
  <si>
    <t xml:space="preserve">李翠穎</t>
  </si>
  <si>
    <t xml:space="preserve">彭于庭</t>
  </si>
  <si>
    <t xml:space="preserve">私立達文西美術美語數學文理短期補習班</t>
  </si>
  <si>
    <r>
      <rPr>
        <sz val="10"/>
        <color rgb="FF1F2A28"/>
        <rFont val="WenQuanYi Zen Hei"/>
        <family val="2"/>
      </rPr>
      <t xml:space="preserve">中壢區福德路</t>
    </r>
    <r>
      <rPr>
        <sz val="10"/>
        <color rgb="FF1F2A28"/>
        <rFont val="Arial"/>
        <family val="0"/>
        <charset val="1"/>
      </rPr>
      <t xml:space="preserve">121</t>
    </r>
    <r>
      <rPr>
        <sz val="10"/>
        <color rgb="FF1F2A28"/>
        <rFont val="WenQuanYi Zen Hei"/>
        <family val="2"/>
      </rPr>
      <t xml:space="preserve">及</t>
    </r>
    <r>
      <rPr>
        <sz val="10"/>
        <color rgb="FF1F2A28"/>
        <rFont val="Arial"/>
        <family val="0"/>
        <charset val="1"/>
      </rPr>
      <t xml:space="preserve">123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</si>
  <si>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(03)4618389</t>
  </si>
  <si>
    <t xml:space="preserve">housefriend181888@yahoo.com.tw</t>
  </si>
  <si>
    <t xml:space="preserve">陳明雄</t>
  </si>
  <si>
    <t xml:space="preserve">私立達達美語文理短期補習班</t>
  </si>
  <si>
    <r>
      <rPr>
        <sz val="10"/>
        <color rgb="FF1F2A28"/>
        <rFont val="WenQuanYi Zen Hei"/>
        <family val="2"/>
      </rPr>
      <t xml:space="preserve">中壢區執信一街</t>
    </r>
    <r>
      <rPr>
        <sz val="10"/>
        <color rgb="FF1F2A28"/>
        <rFont val="Arial"/>
        <family val="0"/>
        <charset val="1"/>
      </rPr>
      <t xml:space="preserve">153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</si>
  <si>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(03)4598808</t>
  </si>
  <si>
    <t xml:space="preserve">skyinjohn@yahoo.com.tw</t>
  </si>
  <si>
    <t xml:space="preserve">陳修平</t>
  </si>
  <si>
    <t xml:space="preserve">私立金學堂英語短期補習班</t>
  </si>
  <si>
    <r>
      <rPr>
        <sz val="10"/>
        <color rgb="FF1F2A28"/>
        <rFont val="WenQuanYi Zen Hei"/>
        <family val="2"/>
      </rPr>
      <t xml:space="preserve">中壢區中山路</t>
    </r>
    <r>
      <rPr>
        <sz val="10"/>
        <color rgb="FF1F2A28"/>
        <rFont val="Arial"/>
        <family val="0"/>
        <charset val="1"/>
      </rPr>
      <t xml:space="preserve">138</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</si>
  <si>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(03)2805266</t>
  </si>
  <si>
    <t xml:space="preserve">ge6f138@gmail.com</t>
  </si>
  <si>
    <r>
      <rPr>
        <sz val="10"/>
        <color rgb="FF1F2A28"/>
        <rFont val="WenQuanYi Zen Hei"/>
        <family val="2"/>
      </rPr>
      <t xml:space="preserve">全民英檢初級</t>
    </r>
    <r>
      <rPr>
        <sz val="10"/>
        <color rgb="FF1F2A28"/>
        <rFont val="Arial"/>
        <family val="0"/>
        <charset val="1"/>
      </rPr>
      <t xml:space="preserve">2</t>
    </r>
    <r>
      <rPr>
        <sz val="10"/>
        <color rgb="FF1F2A28"/>
        <rFont val="WenQuanYi Zen Hei"/>
        <family val="2"/>
      </rPr>
      <t xml:space="preserve">班、中級２班、高級１班；聽力１班、寫作１班</t>
    </r>
  </si>
  <si>
    <t xml:space="preserve">2012-08-17</t>
  </si>
  <si>
    <t xml:space="preserve">邱恬琳</t>
  </si>
  <si>
    <t xml:space="preserve">私立長林美語短期補習班中壢分班</t>
  </si>
  <si>
    <r>
      <rPr>
        <sz val="10"/>
        <color rgb="FF1F2A28"/>
        <rFont val="WenQuanYi Zen Hei"/>
        <family val="2"/>
      </rPr>
      <t xml:space="preserve">中壢區普慶路</t>
    </r>
    <r>
      <rPr>
        <sz val="10"/>
        <color rgb="FF1F2A28"/>
        <rFont val="Arial"/>
        <family val="0"/>
        <charset val="1"/>
      </rPr>
      <t xml:space="preserve">19</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</si>
  <si>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0987377163</t>
  </si>
  <si>
    <t xml:space="preserve">1652kq@gmail.com</t>
  </si>
  <si>
    <t xml:space="preserve">2012-02-02</t>
  </si>
  <si>
    <t xml:space="preserve">林惠齡</t>
  </si>
  <si>
    <t xml:space="preserve">林中杰</t>
  </si>
  <si>
    <t xml:space="preserve">私立關鍵學習語文短期補習班</t>
  </si>
  <si>
    <r>
      <rPr>
        <sz val="10"/>
        <color rgb="FF1F2A28"/>
        <rFont val="WenQuanYi Zen Hei"/>
        <family val="2"/>
      </rPr>
      <t xml:space="preserve">中壢區長沙路</t>
    </r>
    <r>
      <rPr>
        <sz val="10"/>
        <color rgb="FF1F2A28"/>
        <rFont val="Arial"/>
        <family val="0"/>
        <charset val="1"/>
      </rPr>
      <t xml:space="preserve">176</t>
    </r>
    <r>
      <rPr>
        <sz val="10"/>
        <color rgb="FF1F2A28"/>
        <rFont val="WenQuanYi Zen Hei"/>
        <family val="2"/>
      </rPr>
      <t xml:space="preserve">號</t>
    </r>
    <r>
      <rPr>
        <sz val="10"/>
        <color rgb="FF1F2A28"/>
        <rFont val="Arial"/>
        <family val="0"/>
        <charset val="1"/>
      </rPr>
      <t xml:space="preserve">1F</t>
    </r>
  </si>
  <si>
    <t xml:space="preserve">(03)467-0699</t>
  </si>
  <si>
    <t xml:space="preserve">unnamed780831@gmail.com</t>
  </si>
  <si>
    <t xml:space="preserve">2004-12-13</t>
  </si>
  <si>
    <t xml:space="preserve">郭主光</t>
  </si>
  <si>
    <t xml:space="preserve">私立陽昇美語短期補習班</t>
  </si>
  <si>
    <r>
      <rPr>
        <sz val="10"/>
        <color rgb="FF1F2A28"/>
        <rFont val="WenQuanYi Zen Hei"/>
        <family val="2"/>
      </rPr>
      <t xml:space="preserve">中壢區福州一街</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</si>
  <si>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(03)4512138</t>
  </si>
  <si>
    <t xml:space="preserve">梁信源</t>
  </si>
  <si>
    <t xml:space="preserve">陳淑娥</t>
  </si>
  <si>
    <t xml:space="preserve">私立霆磊文理短期補習班</t>
  </si>
  <si>
    <r>
      <rPr>
        <sz val="10"/>
        <color rgb="FF1F2A28"/>
        <rFont val="WenQuanYi Zen Hei"/>
        <family val="2"/>
      </rPr>
      <t xml:space="preserve">中壢區治平街</t>
    </r>
    <r>
      <rPr>
        <sz val="10"/>
        <color rgb="FF1F2A28"/>
        <rFont val="Arial"/>
        <family val="0"/>
        <charset val="1"/>
      </rPr>
      <t xml:space="preserve">41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</si>
  <si>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(03)4656194</t>
  </si>
  <si>
    <t xml:space="preserve">2023-07-18</t>
  </si>
  <si>
    <t xml:space="preserve">何佳惠</t>
  </si>
  <si>
    <t xml:space="preserve">私立頂尖資優數學語文文理短期補習班</t>
  </si>
  <si>
    <r>
      <rPr>
        <sz val="10"/>
        <color rgb="FF1F2A28"/>
        <rFont val="WenQuanYi Zen Hei"/>
        <family val="2"/>
      </rPr>
      <t xml:space="preserve">中壢區廣州路</t>
    </r>
    <r>
      <rPr>
        <sz val="10"/>
        <color rgb="FF1F2A28"/>
        <rFont val="Arial"/>
        <family val="0"/>
        <charset val="1"/>
      </rPr>
      <t xml:space="preserve">139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</si>
  <si>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(03)4681605</t>
  </si>
  <si>
    <t xml:space="preserve">shuchen@topmathbest.com.tw</t>
  </si>
  <si>
    <t xml:space="preserve">2021-12-14</t>
  </si>
  <si>
    <t xml:space="preserve">陳淑貞</t>
  </si>
  <si>
    <t xml:space="preserve">顏子鈞</t>
  </si>
  <si>
    <t xml:space="preserve">私立頌博識文理短期補習班</t>
  </si>
  <si>
    <r>
      <rPr>
        <sz val="10"/>
        <color rgb="FF1F2A28"/>
        <rFont val="WenQuanYi Zen Hei"/>
        <family val="2"/>
      </rPr>
      <t xml:space="preserve">中壢區福州二街</t>
    </r>
    <r>
      <rPr>
        <sz val="10"/>
        <color rgb="FF1F2A28"/>
        <rFont val="Arial"/>
        <family val="0"/>
        <charset val="1"/>
      </rPr>
      <t xml:space="preserve">417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樓及福安二街</t>
    </r>
    <r>
      <rPr>
        <sz val="10"/>
        <color rgb="FF1F2A28"/>
        <rFont val="Arial"/>
        <family val="0"/>
        <charset val="1"/>
      </rPr>
      <t xml:space="preserve">5</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</si>
  <si>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(03)4333440</t>
  </si>
  <si>
    <t xml:space="preserve">pjeven9063@gmail.com</t>
  </si>
  <si>
    <t xml:space="preserve">2023-01-31</t>
  </si>
  <si>
    <t xml:space="preserve">謝依雯</t>
  </si>
  <si>
    <t xml:space="preserve">宋曉明</t>
  </si>
  <si>
    <r>
      <rPr>
        <sz val="10"/>
        <color rgb="FF1F2A28"/>
        <rFont val="WenQuanYi Zen Hei"/>
        <family val="2"/>
      </rPr>
      <t xml:space="preserve">中壢區廣州路</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</si>
  <si>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(03)4683339</t>
  </si>
  <si>
    <t xml:space="preserve">feitengliaoyu@hotmail.com</t>
  </si>
  <si>
    <t xml:space="preserve">2018-03-15</t>
  </si>
  <si>
    <t xml:space="preserve">王智琦</t>
  </si>
  <si>
    <t xml:space="preserve">林哲毅</t>
  </si>
  <si>
    <t xml:space="preserve">私立高明語文文理短期補習班</t>
  </si>
  <si>
    <r>
      <rPr>
        <sz val="10"/>
        <color rgb="FF1F2A28"/>
        <rFont val="WenQuanYi Zen Hei"/>
        <family val="2"/>
      </rPr>
      <t xml:space="preserve">中壢區龍勇路</t>
    </r>
    <r>
      <rPr>
        <sz val="10"/>
        <color rgb="FF1F2A28"/>
        <rFont val="Arial"/>
        <family val="0"/>
        <charset val="1"/>
      </rPr>
      <t xml:space="preserve">121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</si>
  <si>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(03)4580580</t>
  </si>
  <si>
    <t xml:space="preserve">mendy725@hotmail.com</t>
  </si>
  <si>
    <t xml:space="preserve">劉依婷</t>
  </si>
  <si>
    <t xml:space="preserve">私立鳳橋文理語文數學短期補習班</t>
  </si>
  <si>
    <r>
      <rPr>
        <sz val="10"/>
        <color rgb="FF1F2A28"/>
        <rFont val="WenQuanYi Zen Hei"/>
        <family val="2"/>
      </rPr>
      <t xml:space="preserve">中壢區永順三街</t>
    </r>
    <r>
      <rPr>
        <sz val="10"/>
        <color rgb="FF1F2A28"/>
        <rFont val="Arial"/>
        <family val="0"/>
        <charset val="1"/>
      </rPr>
      <t xml:space="preserve">58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</si>
  <si>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(03)2872627</t>
  </si>
  <si>
    <t xml:space="preserve">feitengjiaoyu@hotmail.com</t>
  </si>
  <si>
    <t xml:space="preserve">2018-09-10</t>
  </si>
  <si>
    <t xml:space="preserve">王智琪</t>
  </si>
  <si>
    <t xml:space="preserve">私立鵬遠文理數學美語短期補習班</t>
  </si>
  <si>
    <r>
      <rPr>
        <sz val="10"/>
        <color rgb="FF1F2A28"/>
        <rFont val="WenQuanYi Zen Hei"/>
        <family val="2"/>
      </rPr>
      <t xml:space="preserve">中壢區民權路</t>
    </r>
    <r>
      <rPr>
        <sz val="10"/>
        <color rgb="FF1F2A28"/>
        <rFont val="Arial"/>
        <family val="0"/>
        <charset val="1"/>
      </rPr>
      <t xml:space="preserve">80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</si>
  <si>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(03)4929885</t>
  </si>
  <si>
    <t xml:space="preserve">reginhung@gmail.com</t>
  </si>
  <si>
    <t xml:space="preserve">2021-03-18</t>
  </si>
  <si>
    <t xml:space="preserve">黃欣憶</t>
  </si>
  <si>
    <t xml:space="preserve">洪棟材</t>
  </si>
  <si>
    <t xml:space="preserve">立儒教育事業股份有限公司附設私立自強文理技藝短期補習班</t>
  </si>
  <si>
    <r>
      <rPr>
        <sz val="10"/>
        <color rgb="FF1F2A28"/>
        <rFont val="WenQuanYi Zen Hei"/>
        <family val="2"/>
      </rPr>
      <t xml:space="preserve">中壢區興農路</t>
    </r>
    <r>
      <rPr>
        <sz val="10"/>
        <color rgb="FF1F2A28"/>
        <rFont val="Arial"/>
        <family val="0"/>
        <charset val="1"/>
      </rPr>
      <t xml:space="preserve">125</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</si>
  <si>
    <t xml:space="preserve">(03)4633535</t>
  </si>
  <si>
    <t xml:space="preserve">lijueducation@gmail.com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</si>
  <si>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、美語</t>
    </r>
  </si>
  <si>
    <t xml:space="preserve">2021-06-11</t>
  </si>
  <si>
    <t xml:space="preserve">陳正儒</t>
  </si>
  <si>
    <t xml:space="preserve">菁英國際文教事業有限公司桃園分公司附設私立菁英國際英日語短期補習班中壢分班</t>
  </si>
  <si>
    <r>
      <rPr>
        <sz val="10"/>
        <color rgb="FF1F2A28"/>
        <rFont val="WenQuanYi Zen Hei"/>
        <family val="2"/>
      </rPr>
      <t xml:space="preserve">中壢區中山路</t>
    </r>
    <r>
      <rPr>
        <sz val="10"/>
        <color rgb="FF1F2A28"/>
        <rFont val="Arial"/>
        <family val="0"/>
        <charset val="1"/>
      </rPr>
      <t xml:space="preserve">111</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</si>
  <si>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(03)426-6300</t>
  </si>
  <si>
    <t xml:space="preserve">黃碧雲</t>
  </si>
  <si>
    <t xml:space="preserve">萌客股份有限公司附設私立萌客外語短期補習班</t>
  </si>
  <si>
    <r>
      <rPr>
        <sz val="10"/>
        <color rgb="FF1F2A28"/>
        <rFont val="WenQuanYi Zen Hei"/>
        <family val="2"/>
      </rPr>
      <t xml:space="preserve">中壢區中山路</t>
    </r>
    <r>
      <rPr>
        <sz val="10"/>
        <color rgb="FF1F2A28"/>
        <rFont val="Arial"/>
        <family val="0"/>
        <charset val="1"/>
      </rPr>
      <t xml:space="preserve">185</t>
    </r>
    <r>
      <rPr>
        <sz val="10"/>
        <color rgb="FF1F2A28"/>
        <rFont val="WenQuanYi Zen Hei"/>
        <family val="2"/>
      </rPr>
      <t xml:space="preserve">號</t>
    </r>
    <r>
      <rPr>
        <sz val="10"/>
        <color rgb="FF1F2A28"/>
        <rFont val="Arial"/>
        <family val="0"/>
        <charset val="1"/>
      </rPr>
      <t xml:space="preserve">4-5</t>
    </r>
    <r>
      <rPr>
        <sz val="10"/>
        <color rgb="FF1F2A28"/>
        <rFont val="WenQuanYi Zen Hei"/>
        <family val="2"/>
      </rPr>
      <t xml:space="preserve">樓</t>
    </r>
  </si>
  <si>
    <t xml:space="preserve">(03)2805270</t>
  </si>
  <si>
    <t xml:space="preserve">mkreversal@gmail.com</t>
  </si>
  <si>
    <t xml:space="preserve">2019-08-21</t>
  </si>
  <si>
    <t xml:space="preserve">姜正文</t>
  </si>
  <si>
    <t xml:space="preserve">逗點國際教育事業股份有限公司附設私立逗點文理短期補習班</t>
  </si>
  <si>
    <r>
      <rPr>
        <sz val="10"/>
        <color rgb="FF1F2A28"/>
        <rFont val="WenQuanYi Zen Hei"/>
        <family val="2"/>
      </rPr>
      <t xml:space="preserve">中壢區致遠一路</t>
    </r>
    <r>
      <rPr>
        <sz val="10"/>
        <color rgb="FF1F2A28"/>
        <rFont val="Arial"/>
        <family val="0"/>
        <charset val="1"/>
      </rPr>
      <t xml:space="preserve">208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樓及新生路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</si>
  <si>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(03)4533073</t>
  </si>
  <si>
    <t xml:space="preserve">英數理、英數生、美語</t>
  </si>
  <si>
    <t xml:space="preserve">2009-06-22</t>
  </si>
  <si>
    <t xml:space="preserve">李安琇</t>
  </si>
  <si>
    <t xml:space="preserve">逗點國際教育事業股份有限公司附設私立逗點文理短期補習班森耀分班</t>
  </si>
  <si>
    <r>
      <rPr>
        <sz val="10"/>
        <color rgb="FF1F2A28"/>
        <rFont val="WenQuanYi Zen Hei"/>
        <family val="2"/>
      </rPr>
      <t xml:space="preserve">中壢區忠勤街</t>
    </r>
    <r>
      <rPr>
        <sz val="10"/>
        <color rgb="FF1F2A28"/>
        <rFont val="Arial"/>
        <family val="0"/>
        <charset val="1"/>
      </rPr>
      <t xml:space="preserve">92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</si>
  <si>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(03)4610000</t>
  </si>
  <si>
    <t xml:space="preserve">nini.h@commainnov.com</t>
  </si>
  <si>
    <t xml:space="preserve">2007-08-27</t>
  </si>
  <si>
    <t xml:space="preserve">古欣平</t>
  </si>
  <si>
    <t xml:space="preserve">驅勢文教事業有限公司附設私立叄壹語文短期補習班</t>
  </si>
  <si>
    <r>
      <rPr>
        <sz val="10"/>
        <color rgb="FF1F2A28"/>
        <rFont val="WenQuanYi Zen Hei"/>
        <family val="2"/>
      </rPr>
      <t xml:space="preserve">中壢區中山路</t>
    </r>
    <r>
      <rPr>
        <sz val="10"/>
        <color rgb="FF1F2A28"/>
        <rFont val="Arial"/>
        <family val="0"/>
        <charset val="1"/>
      </rPr>
      <t xml:space="preserve">88</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</si>
  <si>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(03)4277190</t>
  </si>
  <si>
    <t xml:space="preserve">trinity.chungli@tlc.tw</t>
  </si>
  <si>
    <t xml:space="preserve">2013-03-04</t>
  </si>
  <si>
    <t xml:space="preserve">鄭志鵬</t>
  </si>
  <si>
    <t xml:space="preserve">倪嘉語</t>
  </si>
  <si>
    <t xml:space="preserve">高明一對一學習有限公司附設私立高銘一對一文理數學語文電腦短期補習班</t>
  </si>
  <si>
    <r>
      <rPr>
        <sz val="10"/>
        <color rgb="FF1F2A28"/>
        <rFont val="WenQuanYi Zen Hei"/>
        <family val="2"/>
      </rPr>
      <t xml:space="preserve">中壢區中山路</t>
    </r>
    <r>
      <rPr>
        <sz val="10"/>
        <color rgb="FF1F2A28"/>
        <rFont val="Arial"/>
        <family val="0"/>
        <charset val="1"/>
      </rPr>
      <t xml:space="preserve">141</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</si>
  <si>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(03)4223661</t>
  </si>
  <si>
    <t xml:space="preserve">022.km101@gmail.com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</si>
  <si>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數英自</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數英理</t>
    </r>
    <r>
      <rPr>
        <sz val="10"/>
        <color rgb="FF1F2A28"/>
        <rFont val="Arial"/>
        <family val="0"/>
        <charset val="1"/>
      </rPr>
      <t xml:space="preserve">)</t>
    </r>
    <r>
      <rPr>
        <sz val="10"/>
        <color rgb="FF1F2A28"/>
        <rFont val="WenQuanYi Zen Hei"/>
        <family val="2"/>
      </rPr>
      <t xml:space="preserve">、美語</t>
    </r>
  </si>
  <si>
    <t xml:space="preserve">2021-10-08</t>
  </si>
  <si>
    <t xml:space="preserve">趙憶文</t>
  </si>
  <si>
    <t xml:space="preserve">高明一對一學習有限公司附設私立高銘一對一文理短期補習班內壢分班</t>
  </si>
  <si>
    <r>
      <rPr>
        <sz val="10"/>
        <color rgb="FF1F2A28"/>
        <rFont val="WenQuanYi Zen Hei"/>
        <family val="2"/>
      </rPr>
      <t xml:space="preserve">中壢區信義路</t>
    </r>
    <r>
      <rPr>
        <sz val="10"/>
        <color rgb="FF1F2A28"/>
        <rFont val="Arial"/>
        <family val="0"/>
        <charset val="1"/>
      </rPr>
      <t xml:space="preserve">115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</si>
  <si>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(03)4526333</t>
  </si>
  <si>
    <t xml:space="preserve">025.km101@gmail.com</t>
  </si>
  <si>
    <t xml:space="preserve">2025-11-13</t>
  </si>
  <si>
    <t xml:space="preserve">謝忠儒</t>
  </si>
  <si>
    <t xml:space="preserve">朝陽富元教育股份有限公司附設私立朝揚文理短期補習班大成分班</t>
  </si>
  <si>
    <r>
      <rPr>
        <sz val="10"/>
        <color rgb="FF1F2A28"/>
        <rFont val="WenQuanYi Zen Hei"/>
        <family val="2"/>
      </rPr>
      <t xml:space="preserve">八德區忠勇街</t>
    </r>
    <r>
      <rPr>
        <sz val="10"/>
        <color rgb="FF1F2A28"/>
        <rFont val="Arial"/>
        <family val="0"/>
        <charset val="1"/>
      </rPr>
      <t xml:space="preserve">339-3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</si>
  <si>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(03)3759299</t>
  </si>
  <si>
    <t xml:space="preserve">jy3169958@gmail.com</t>
  </si>
  <si>
    <r>
      <rPr>
        <sz val="10"/>
        <color rgb="FF1F2A28"/>
        <rFont val="WenQuanYi Zen Hei"/>
        <family val="2"/>
      </rPr>
      <t xml:space="preserve">美語、國中文理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科</t>
    </r>
  </si>
  <si>
    <t xml:space="preserve">2011-04-12</t>
  </si>
  <si>
    <t xml:space="preserve">鄭一鳴</t>
  </si>
  <si>
    <t xml:space="preserve">顏國益</t>
  </si>
  <si>
    <t xml:space="preserve">私立三希堂文理短期補習班永興分班</t>
  </si>
  <si>
    <r>
      <rPr>
        <sz val="10"/>
        <color rgb="FF1F2A28"/>
        <rFont val="WenQuanYi Zen Hei"/>
        <family val="2"/>
      </rPr>
      <t xml:space="preserve">八德區永興街</t>
    </r>
    <r>
      <rPr>
        <sz val="10"/>
        <color rgb="FF1F2A28"/>
        <rFont val="Arial"/>
        <family val="0"/>
        <charset val="1"/>
      </rPr>
      <t xml:space="preserve">94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</si>
  <si>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(03)3793558</t>
  </si>
  <si>
    <t xml:space="preserve">wanchih617@gmail.com</t>
  </si>
  <si>
    <t xml:space="preserve">2011-09-15</t>
  </si>
  <si>
    <t xml:space="preserve">陳立翔</t>
  </si>
  <si>
    <t xml:space="preserve">謝宛芝</t>
  </si>
  <si>
    <t xml:space="preserve">私立三希堂文理美語數學短期補習班</t>
  </si>
  <si>
    <r>
      <rPr>
        <sz val="10"/>
        <color rgb="FF1F2A28"/>
        <rFont val="WenQuanYi Zen Hei"/>
        <family val="2"/>
      </rPr>
      <t xml:space="preserve">八德區高城八街</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</si>
  <si>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(03)3798088</t>
  </si>
  <si>
    <r>
      <rPr>
        <sz val="10"/>
        <color rgb="FF1F2A28"/>
        <rFont val="WenQuanYi Zen Hei"/>
        <family val="2"/>
      </rPr>
      <t xml:space="preserve">美語、國中文理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科、高中文理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科</t>
    </r>
  </si>
  <si>
    <t xml:space="preserve">2018-04-26</t>
  </si>
  <si>
    <t xml:space="preserve">私立仁涵文理短期補習班</t>
  </si>
  <si>
    <r>
      <rPr>
        <sz val="10"/>
        <color rgb="FF1F2A28"/>
        <rFont val="WenQuanYi Zen Hei"/>
        <family val="2"/>
      </rPr>
      <t xml:space="preserve">八德區永福西街</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</si>
  <si>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(03)3660329</t>
  </si>
  <si>
    <t xml:space="preserve">renhanwenchuang@gmail.com</t>
  </si>
  <si>
    <t xml:space="preserve">英檢、英文</t>
  </si>
  <si>
    <t xml:space="preserve">2026-03-09</t>
  </si>
  <si>
    <t xml:space="preserve">劉叡穎</t>
  </si>
  <si>
    <t xml:space="preserve">私立佳恩語文數學文理短期補習班</t>
  </si>
  <si>
    <r>
      <rPr>
        <sz val="10"/>
        <color rgb="FF1F2A28"/>
        <rFont val="WenQuanYi Zen Hei"/>
        <family val="2"/>
      </rPr>
      <t xml:space="preserve">八德區忠勇西街</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</si>
  <si>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(03)3638866</t>
  </si>
  <si>
    <t xml:space="preserve">ntugavin@gmail.com</t>
  </si>
  <si>
    <t xml:space="preserve">初階英文、基礎英文</t>
  </si>
  <si>
    <t xml:space="preserve">2020-12-16</t>
  </si>
  <si>
    <t xml:space="preserve">楊昇頴</t>
  </si>
  <si>
    <t xml:space="preserve">私立傑克森美語短期補習班</t>
  </si>
  <si>
    <r>
      <rPr>
        <sz val="10"/>
        <color rgb="FF1F2A28"/>
        <rFont val="WenQuanYi Zen Hei"/>
        <family val="2"/>
      </rPr>
      <t xml:space="preserve">八德區興豐路</t>
    </r>
    <r>
      <rPr>
        <sz val="10"/>
        <color rgb="FF1F2A28"/>
        <rFont val="Arial"/>
        <family val="0"/>
        <charset val="1"/>
      </rPr>
      <t xml:space="preserve">261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</si>
  <si>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(03)3680002</t>
  </si>
  <si>
    <t xml:space="preserve">we022003@yahoo.com.tw</t>
  </si>
  <si>
    <t xml:space="preserve">梁舒瑩</t>
  </si>
  <si>
    <t xml:space="preserve">私立傑聖升文文理短期補習班</t>
  </si>
  <si>
    <r>
      <rPr>
        <sz val="10"/>
        <color rgb="FF1F2A28"/>
        <rFont val="WenQuanYi Zen Hei"/>
        <family val="2"/>
      </rPr>
      <t xml:space="preserve">八德區福僑街</t>
    </r>
    <r>
      <rPr>
        <sz val="10"/>
        <color rgb="FF1F2A28"/>
        <rFont val="Arial"/>
        <family val="0"/>
        <charset val="1"/>
      </rPr>
      <t xml:space="preserve">62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</si>
  <si>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0938772938</t>
  </si>
  <si>
    <t xml:space="preserve">shengwen2023@gmail.com</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</si>
  <si>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初級</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t>
    </r>
    <r>
      <rPr>
        <sz val="10"/>
        <color rgb="FF1F2A28"/>
        <rFont val="WenQuanYi Zen Hei"/>
        <family val="2"/>
      </rPr>
      <t xml:space="preserve">進階</t>
    </r>
    <r>
      <rPr>
        <sz val="10"/>
        <color rgb="FF1F2A28"/>
        <rFont val="Arial"/>
        <family val="0"/>
        <charset val="1"/>
      </rPr>
      <t xml:space="preserve">)</t>
    </r>
    <r>
      <rPr>
        <sz val="10"/>
        <color rgb="FF1F2A28"/>
        <rFont val="WenQuanYi Zen Hei"/>
        <family val="2"/>
      </rPr>
      <t xml:space="preserve">科、文理丙</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科、文理甲</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科、文理乙</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科</t>
    </r>
  </si>
  <si>
    <t xml:space="preserve">2023-05-04</t>
  </si>
  <si>
    <t xml:space="preserve">陳宥蓁</t>
  </si>
  <si>
    <t xml:space="preserve">私立凱旋英語短期補習班</t>
  </si>
  <si>
    <r>
      <rPr>
        <sz val="10"/>
        <color rgb="FF1F2A28"/>
        <rFont val="WenQuanYi Zen Hei"/>
        <family val="2"/>
      </rPr>
      <t xml:space="preserve">八德區介壽路二段</t>
    </r>
    <r>
      <rPr>
        <sz val="10"/>
        <color rgb="FF1F2A28"/>
        <rFont val="Arial"/>
        <family val="0"/>
        <charset val="1"/>
      </rPr>
      <t xml:space="preserve">933</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</si>
  <si>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(03)3659533</t>
  </si>
  <si>
    <t xml:space="preserve">2004-08-31</t>
  </si>
  <si>
    <t xml:space="preserve">呂振亞</t>
  </si>
  <si>
    <t xml:space="preserve">陳斌倪</t>
  </si>
  <si>
    <t xml:space="preserve">私立利百加美語數學短期補習班</t>
  </si>
  <si>
    <r>
      <rPr>
        <sz val="10"/>
        <color rgb="FF1F2A28"/>
        <rFont val="WenQuanYi Zen Hei"/>
        <family val="2"/>
      </rPr>
      <t xml:space="preserve">八德區東勇二路</t>
    </r>
    <r>
      <rPr>
        <sz val="10"/>
        <color rgb="FF1F2A28"/>
        <rFont val="Arial"/>
        <family val="0"/>
        <charset val="1"/>
      </rPr>
      <t xml:space="preserve">105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</si>
  <si>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(03)3625877</t>
  </si>
  <si>
    <t xml:space="preserve">ief557@gmail.com</t>
  </si>
  <si>
    <t xml:space="preserve">黃正安</t>
  </si>
  <si>
    <t xml:space="preserve">私立吳老師文理美語短期補習班</t>
  </si>
  <si>
    <r>
      <rPr>
        <sz val="10"/>
        <color rgb="FF1F2A28"/>
        <rFont val="WenQuanYi Zen Hei"/>
        <family val="2"/>
      </rPr>
      <t xml:space="preserve">八德區高城八街</t>
    </r>
    <r>
      <rPr>
        <sz val="10"/>
        <color rgb="FF1F2A28"/>
        <rFont val="Arial"/>
        <family val="0"/>
        <charset val="1"/>
      </rPr>
      <t xml:space="preserve">31-1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</si>
  <si>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(03)3691990</t>
  </si>
  <si>
    <t xml:space="preserve">a0932932230@gmail.com</t>
  </si>
  <si>
    <t xml:space="preserve">美語、英</t>
  </si>
  <si>
    <t xml:space="preserve">吳家烽</t>
  </si>
  <si>
    <t xml:space="preserve">私立喬恩美語文理短期補習班</t>
  </si>
  <si>
    <r>
      <rPr>
        <sz val="10"/>
        <color rgb="FF1F2A28"/>
        <rFont val="WenQuanYi Zen Hei"/>
        <family val="2"/>
      </rPr>
      <t xml:space="preserve">八德區忠勇街</t>
    </r>
    <r>
      <rPr>
        <sz val="10"/>
        <color rgb="FF1F2A28"/>
        <rFont val="Arial"/>
        <family val="0"/>
        <charset val="1"/>
      </rPr>
      <t xml:space="preserve">348</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</si>
  <si>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(03)3759955</t>
  </si>
  <si>
    <t xml:space="preserve">a0972878023@gmail.com</t>
  </si>
  <si>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初階</t>
    </r>
    <r>
      <rPr>
        <sz val="10"/>
        <color rgb="FF1F2A28"/>
        <rFont val="Arial"/>
        <family val="0"/>
        <charset val="1"/>
      </rPr>
      <t xml:space="preserve">)</t>
    </r>
    <r>
      <rPr>
        <sz val="10"/>
        <color rgb="FF1F2A28"/>
        <rFont val="WenQuanYi Zen Hei"/>
        <family val="2"/>
      </rPr>
      <t xml:space="preserve">科、英文</t>
    </r>
    <r>
      <rPr>
        <sz val="10"/>
        <color rgb="FF1F2A28"/>
        <rFont val="Arial"/>
        <family val="0"/>
        <charset val="1"/>
      </rPr>
      <t xml:space="preserve">(</t>
    </r>
    <r>
      <rPr>
        <sz val="10"/>
        <color rgb="FF1F2A28"/>
        <rFont val="WenQuanYi Zen Hei"/>
        <family val="2"/>
      </rPr>
      <t xml:space="preserve">中階</t>
    </r>
    <r>
      <rPr>
        <sz val="10"/>
        <color rgb="FF1F2A28"/>
        <rFont val="Arial"/>
        <family val="0"/>
        <charset val="1"/>
      </rPr>
      <t xml:space="preserve">)</t>
    </r>
    <r>
      <rPr>
        <sz val="10"/>
        <color rgb="FF1F2A28"/>
        <rFont val="WenQuanYi Zen Hei"/>
        <family val="2"/>
      </rPr>
      <t xml:space="preserve">科</t>
    </r>
  </si>
  <si>
    <t xml:space="preserve">2023-03-31</t>
  </si>
  <si>
    <t xml:space="preserve">李安富</t>
  </si>
  <si>
    <t xml:space="preserve">私立嘉全語文短期補習班</t>
  </si>
  <si>
    <r>
      <rPr>
        <sz val="10"/>
        <color rgb="FF1F2A28"/>
        <rFont val="WenQuanYi Zen Hei"/>
        <family val="2"/>
      </rPr>
      <t xml:space="preserve">八德區大忠街</t>
    </r>
    <r>
      <rPr>
        <sz val="10"/>
        <color rgb="FF1F2A28"/>
        <rFont val="Arial"/>
        <family val="0"/>
        <charset val="1"/>
      </rPr>
      <t xml:space="preserve">88</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</si>
  <si>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(03)366-0958</t>
  </si>
  <si>
    <t xml:space="preserve">hs2226@hess.com.tw</t>
  </si>
  <si>
    <t xml:space="preserve">美語進階班、美語初級班</t>
  </si>
  <si>
    <t xml:space="preserve">2020-10-12</t>
  </si>
  <si>
    <t xml:space="preserve">謝芳珮</t>
  </si>
  <si>
    <t xml:space="preserve">私立嘉成文理短期補習班</t>
  </si>
  <si>
    <r>
      <rPr>
        <sz val="10"/>
        <color rgb="FF1F2A28"/>
        <rFont val="WenQuanYi Zen Hei"/>
        <family val="2"/>
      </rPr>
      <t xml:space="preserve">八德區介壽路一段</t>
    </r>
    <r>
      <rPr>
        <sz val="10"/>
        <color rgb="FF1F2A28"/>
        <rFont val="Arial"/>
        <family val="0"/>
        <charset val="1"/>
      </rPr>
      <t xml:space="preserve">919</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3</t>
    </r>
  </si>
  <si>
    <t xml:space="preserve">(03)3662598</t>
  </si>
  <si>
    <t xml:space="preserve">hs2249@hess.com.tw</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</si>
  <si>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初級</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t>
    </r>
    <r>
      <rPr>
        <sz val="10"/>
        <color rgb="FF1F2A28"/>
        <rFont val="WenQuanYi Zen Hei"/>
        <family val="2"/>
      </rPr>
      <t xml:space="preserve">進階</t>
    </r>
    <r>
      <rPr>
        <sz val="10"/>
        <color rgb="FF1F2A28"/>
        <rFont val="Arial"/>
        <family val="0"/>
        <charset val="1"/>
      </rPr>
      <t xml:space="preserve">)</t>
    </r>
    <r>
      <rPr>
        <sz val="10"/>
        <color rgb="FF1F2A28"/>
        <rFont val="WenQuanYi Zen Hei"/>
        <family val="2"/>
      </rPr>
      <t xml:space="preserve">科</t>
    </r>
  </si>
  <si>
    <t xml:space="preserve">2024-02-26</t>
  </si>
  <si>
    <t xml:space="preserve">梁麗蘋</t>
  </si>
  <si>
    <t xml:space="preserve">私立大智文理短期補習班</t>
  </si>
  <si>
    <r>
      <rPr>
        <sz val="10"/>
        <color rgb="FF1F2A28"/>
        <rFont val="WenQuanYi Zen Hei"/>
        <family val="2"/>
      </rPr>
      <t xml:space="preserve">八德區廣福路</t>
    </r>
    <r>
      <rPr>
        <sz val="10"/>
        <color rgb="FF1F2A28"/>
        <rFont val="Arial"/>
        <family val="0"/>
        <charset val="1"/>
      </rPr>
      <t xml:space="preserve">26</t>
    </r>
    <r>
      <rPr>
        <sz val="10"/>
        <color rgb="FF1F2A28"/>
        <rFont val="WenQuanYi Zen Hei"/>
        <family val="2"/>
      </rPr>
      <t xml:space="preserve">、</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</si>
  <si>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(03)3641316</t>
  </si>
  <si>
    <t xml:space="preserve">Joantseng38@gmail.com</t>
  </si>
  <si>
    <r>
      <rPr>
        <sz val="10"/>
        <color rgb="FF1F2A28"/>
        <rFont val="WenQuanYi Zen Hei"/>
        <family val="2"/>
      </rPr>
      <t xml:space="preserve">美語、文理科</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</si>
  <si>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2001-01-03</t>
  </si>
  <si>
    <t xml:space="preserve">曾秀枝</t>
  </si>
  <si>
    <t xml:space="preserve">劉瓊芬</t>
  </si>
  <si>
    <t xml:space="preserve">私立大金華英語會話短期補習班</t>
  </si>
  <si>
    <r>
      <rPr>
        <sz val="10"/>
        <color rgb="FF1F2A28"/>
        <rFont val="WenQuanYi Zen Hei"/>
        <family val="2"/>
      </rPr>
      <t xml:space="preserve">八德區忠孝街</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45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</si>
  <si>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(03)3621853</t>
  </si>
  <si>
    <t xml:space="preserve">2000-01-26</t>
  </si>
  <si>
    <t xml:space="preserve">黃憲煜</t>
  </si>
  <si>
    <t xml:space="preserve">周蕙梅</t>
  </si>
  <si>
    <t xml:space="preserve">私立學盈語文文理短期補習班</t>
  </si>
  <si>
    <r>
      <rPr>
        <sz val="10"/>
        <color rgb="FF1F2A28"/>
        <rFont val="WenQuanYi Zen Hei"/>
        <family val="2"/>
      </rPr>
      <t xml:space="preserve">八德區廣興路</t>
    </r>
    <r>
      <rPr>
        <sz val="10"/>
        <color rgb="FF1F2A28"/>
        <rFont val="Arial"/>
        <family val="0"/>
        <charset val="1"/>
      </rPr>
      <t xml:space="preserve">71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</si>
  <si>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(03)3686071</t>
  </si>
  <si>
    <t xml:space="preserve">wenwen3686071@gmail.com</t>
  </si>
  <si>
    <t xml:space="preserve">2017-10-05</t>
  </si>
  <si>
    <t xml:space="preserve">溫慧芸</t>
  </si>
  <si>
    <t xml:space="preserve">黃妍蓁</t>
  </si>
  <si>
    <t xml:space="preserve">私立學睿數學語文文理短期補習班</t>
  </si>
  <si>
    <r>
      <rPr>
        <sz val="10"/>
        <color rgb="FF1F2A28"/>
        <rFont val="WenQuanYi Zen Hei"/>
        <family val="2"/>
      </rPr>
      <t xml:space="preserve">八德區永豐路</t>
    </r>
    <r>
      <rPr>
        <sz val="10"/>
        <color rgb="FF1F2A28"/>
        <rFont val="Arial"/>
        <family val="0"/>
        <charset val="1"/>
      </rPr>
      <t xml:space="preserve">572</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</si>
  <si>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(03)3795570</t>
  </si>
  <si>
    <t xml:space="preserve">arrow950441@gmail.com</t>
  </si>
  <si>
    <r>
      <rPr>
        <sz val="10"/>
        <color rgb="FF1F2A28"/>
        <rFont val="WenQuanYi Zen Hei"/>
        <family val="2"/>
      </rPr>
      <t xml:space="preserve">美語、國中文理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科</t>
    </r>
  </si>
  <si>
    <t xml:space="preserve">2018-10-19</t>
  </si>
  <si>
    <t xml:space="preserve">邱梅欣</t>
  </si>
  <si>
    <t xml:space="preserve">私立學而樂美語短期補習班</t>
  </si>
  <si>
    <r>
      <rPr>
        <sz val="10"/>
        <color rgb="FF1F2A28"/>
        <rFont val="WenQuanYi Zen Hei"/>
        <family val="2"/>
      </rPr>
      <t xml:space="preserve">八德區瑞發街</t>
    </r>
    <r>
      <rPr>
        <sz val="10"/>
        <color rgb="FF1F2A28"/>
        <rFont val="Arial"/>
        <family val="0"/>
        <charset val="1"/>
      </rPr>
      <t xml:space="preserve">107</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弄</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1-2F</t>
    </r>
  </si>
  <si>
    <t xml:space="preserve">(03)3680855</t>
  </si>
  <si>
    <t xml:space="preserve">fwvnet@ms17.hinet.net</t>
  </si>
  <si>
    <t xml:space="preserve">2006-09-12</t>
  </si>
  <si>
    <t xml:space="preserve">查貴蘭</t>
  </si>
  <si>
    <t xml:space="preserve">私立小蒲公英數學文理美語作文短期補習班</t>
  </si>
  <si>
    <r>
      <rPr>
        <sz val="10"/>
        <color rgb="FF1F2A28"/>
        <rFont val="WenQuanYi Zen Hei"/>
        <family val="2"/>
      </rPr>
      <t xml:space="preserve">八德區大勇里東勇二路</t>
    </r>
    <r>
      <rPr>
        <sz val="10"/>
        <color rgb="FF1F2A28"/>
        <rFont val="Arial"/>
        <family val="0"/>
        <charset val="1"/>
      </rPr>
      <t xml:space="preserve">53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r>
      <rPr>
        <sz val="10"/>
        <color rgb="FF1F2A28"/>
        <rFont val="Arial"/>
        <family val="0"/>
        <charset val="1"/>
      </rPr>
      <t xml:space="preserve">(1</t>
    </r>
    <r>
      <rPr>
        <sz val="10"/>
        <color rgb="FF1F2A28"/>
        <rFont val="WenQuanYi Zen Hei"/>
        <family val="2"/>
      </rPr>
      <t xml:space="preserve">樓部分</t>
    </r>
    <r>
      <rPr>
        <sz val="10"/>
        <color rgb="FF1F2A28"/>
        <rFont val="Arial"/>
        <family val="0"/>
        <charset val="1"/>
      </rPr>
      <t xml:space="preserve">)</t>
    </r>
  </si>
  <si>
    <t xml:space="preserve">03-3714489</t>
  </si>
  <si>
    <t xml:space="preserve">cyyang6453@gmail.com</t>
  </si>
  <si>
    <t xml:space="preserve">美語、英語、英文</t>
  </si>
  <si>
    <t xml:space="preserve">2012-02-23</t>
  </si>
  <si>
    <t xml:space="preserve">楊朝元</t>
  </si>
  <si>
    <t xml:space="preserve">陳雅婷</t>
  </si>
  <si>
    <t xml:space="preserve">私立崙晟文理美語短期補習班</t>
  </si>
  <si>
    <r>
      <rPr>
        <sz val="10"/>
        <color rgb="FF1F2A28"/>
        <rFont val="WenQuanYi Zen Hei"/>
        <family val="2"/>
      </rPr>
      <t xml:space="preserve">八德區華康街</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</si>
  <si>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(03)2171234</t>
  </si>
  <si>
    <t xml:space="preserve">lunchen888@yahoo.com.tw</t>
  </si>
  <si>
    <t xml:space="preserve">2008-10-06</t>
  </si>
  <si>
    <t xml:space="preserve">秦劍邦</t>
  </si>
  <si>
    <t xml:space="preserve">陳維材</t>
  </si>
  <si>
    <t xml:space="preserve">私立承信美語短期補習班</t>
  </si>
  <si>
    <r>
      <rPr>
        <sz val="10"/>
        <color rgb="FF1F2A28"/>
        <rFont val="WenQuanYi Zen Hei"/>
        <family val="2"/>
      </rPr>
      <t xml:space="preserve">八德區建國路</t>
    </r>
    <r>
      <rPr>
        <sz val="10"/>
        <color rgb="FF1F2A28"/>
        <rFont val="Arial"/>
        <family val="0"/>
        <charset val="1"/>
      </rPr>
      <t xml:space="preserve">1126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</si>
  <si>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(03)3641915</t>
  </si>
  <si>
    <t xml:space="preserve">Mailone999@yahoo.com.tw</t>
  </si>
  <si>
    <t xml:space="preserve">2004-07-23</t>
  </si>
  <si>
    <t xml:space="preserve">林育麒</t>
  </si>
  <si>
    <t xml:space="preserve">私立文心數學語文短期補習班</t>
  </si>
  <si>
    <r>
      <rPr>
        <sz val="10"/>
        <color rgb="FF1F2A28"/>
        <rFont val="WenQuanYi Zen Hei"/>
        <family val="2"/>
      </rPr>
      <t xml:space="preserve">八德區大忠街</t>
    </r>
    <r>
      <rPr>
        <sz val="10"/>
        <color rgb="FF1F2A28"/>
        <rFont val="Arial"/>
        <family val="0"/>
        <charset val="1"/>
      </rPr>
      <t xml:space="preserve">82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</si>
  <si>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(03)3768787</t>
  </si>
  <si>
    <t xml:space="preserve">jennylee156166@gmail.com</t>
  </si>
  <si>
    <t xml:space="preserve">美語初級、美語中級</t>
  </si>
  <si>
    <t xml:space="preserve">2019-12-09</t>
  </si>
  <si>
    <t xml:space="preserve">李春珍</t>
  </si>
  <si>
    <t xml:space="preserve">私立文言文理短期補習班</t>
  </si>
  <si>
    <r>
      <rPr>
        <sz val="10"/>
        <color rgb="FF1F2A28"/>
        <rFont val="WenQuanYi Zen Hei"/>
        <family val="2"/>
      </rPr>
      <t xml:space="preserve">八德區中正路</t>
    </r>
    <r>
      <rPr>
        <sz val="10"/>
        <color rgb="FF1F2A28"/>
        <rFont val="Arial"/>
        <family val="0"/>
        <charset val="1"/>
      </rPr>
      <t xml:space="preserve">145</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</si>
  <si>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3731427</t>
  </si>
  <si>
    <t xml:space="preserve">s-school@yahoo.com.tw</t>
  </si>
  <si>
    <t xml:space="preserve">2022-02-08</t>
  </si>
  <si>
    <t xml:space="preserve">柯奕名</t>
  </si>
  <si>
    <t xml:space="preserve">張筠喬</t>
  </si>
  <si>
    <t xml:space="preserve">私立文鼎語文文理短期補習班</t>
  </si>
  <si>
    <r>
      <rPr>
        <sz val="10"/>
        <color rgb="FF1F2A28"/>
        <rFont val="WenQuanYi Zen Hei"/>
        <family val="2"/>
      </rPr>
      <t xml:space="preserve">八德區忠勇五街</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</si>
  <si>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(03)3661993</t>
  </si>
  <si>
    <t xml:space="preserve">a0976281712@gmail.com</t>
  </si>
  <si>
    <r>
      <rPr>
        <sz val="10"/>
        <color rgb="FF1F2A28"/>
        <rFont val="WenQuanYi Zen Hei"/>
        <family val="2"/>
      </rPr>
      <t xml:space="preserve">國一文理</t>
    </r>
    <r>
      <rPr>
        <sz val="10"/>
        <color rgb="FF1F2A28"/>
        <rFont val="Arial"/>
        <family val="0"/>
        <charset val="1"/>
      </rPr>
      <t xml:space="preserve">(</t>
    </r>
    <r>
      <rPr>
        <sz val="10"/>
        <color rgb="FF1F2A28"/>
        <rFont val="WenQuanYi Zen Hei"/>
        <family val="2"/>
      </rPr>
      <t xml:space="preserve">國英數</t>
    </r>
    <r>
      <rPr>
        <sz val="10"/>
        <color rgb="FF1F2A28"/>
        <rFont val="Arial"/>
        <family val="0"/>
        <charset val="1"/>
      </rPr>
      <t xml:space="preserve">)</t>
    </r>
    <r>
      <rPr>
        <sz val="10"/>
        <color rgb="FF1F2A28"/>
        <rFont val="WenQuanYi Zen Hei"/>
        <family val="2"/>
      </rPr>
      <t xml:space="preserve">科、國二文理</t>
    </r>
    <r>
      <rPr>
        <sz val="10"/>
        <color rgb="FF1F2A28"/>
        <rFont val="Arial"/>
        <family val="0"/>
        <charset val="1"/>
      </rPr>
      <t xml:space="preserve">(</t>
    </r>
    <r>
      <rPr>
        <sz val="10"/>
        <color rgb="FF1F2A28"/>
        <rFont val="WenQuanYi Zen Hei"/>
        <family val="2"/>
      </rPr>
      <t xml:space="preserve">國英數</t>
    </r>
    <r>
      <rPr>
        <sz val="10"/>
        <color rgb="FF1F2A28"/>
        <rFont val="Arial"/>
        <family val="0"/>
        <charset val="1"/>
      </rPr>
      <t xml:space="preserve">)</t>
    </r>
    <r>
      <rPr>
        <sz val="10"/>
        <color rgb="FF1F2A28"/>
        <rFont val="WenQuanYi Zen Hei"/>
        <family val="2"/>
      </rPr>
      <t xml:space="preserve">科、國三文理</t>
    </r>
    <r>
      <rPr>
        <sz val="10"/>
        <color rgb="FF1F2A28"/>
        <rFont val="Arial"/>
        <family val="0"/>
        <charset val="1"/>
      </rPr>
      <t xml:space="preserve">(</t>
    </r>
    <r>
      <rPr>
        <sz val="10"/>
        <color rgb="FF1F2A28"/>
        <rFont val="WenQuanYi Zen Hei"/>
        <family val="2"/>
      </rPr>
      <t xml:space="preserve">國英數</t>
    </r>
    <r>
      <rPr>
        <sz val="10"/>
        <color rgb="FF1F2A28"/>
        <rFont val="Arial"/>
        <family val="0"/>
        <charset val="1"/>
      </rPr>
      <t xml:space="preserve">)</t>
    </r>
    <r>
      <rPr>
        <sz val="10"/>
        <color rgb="FF1F2A28"/>
        <rFont val="WenQuanYi Zen Hei"/>
        <family val="2"/>
      </rPr>
      <t xml:space="preserve">科、英語</t>
    </r>
  </si>
  <si>
    <t xml:space="preserve">2022-03-29</t>
  </si>
  <si>
    <t xml:space="preserve">邱韻唏</t>
  </si>
  <si>
    <t xml:space="preserve">私立斐然語文數學短期補習班</t>
  </si>
  <si>
    <r>
      <rPr>
        <sz val="10"/>
        <color rgb="FF1F2A28"/>
        <rFont val="WenQuanYi Zen Hei"/>
        <family val="2"/>
      </rPr>
      <t xml:space="preserve">八德區建興街</t>
    </r>
    <r>
      <rPr>
        <sz val="10"/>
        <color rgb="FF1F2A28"/>
        <rFont val="Arial"/>
        <family val="0"/>
        <charset val="1"/>
      </rPr>
      <t xml:space="preserve">79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</si>
  <si>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(03)3651171</t>
  </si>
  <si>
    <t xml:space="preserve">nachs520@gmail.com</t>
  </si>
  <si>
    <t xml:space="preserve">2010-05-13</t>
  </si>
  <si>
    <t xml:space="preserve">張金凌</t>
  </si>
  <si>
    <t xml:space="preserve">王佾清</t>
  </si>
  <si>
    <t xml:space="preserve">私立昇華文理短期補習班</t>
  </si>
  <si>
    <r>
      <rPr>
        <sz val="10"/>
        <color rgb="FF1F2A28"/>
        <rFont val="WenQuanYi Zen Hei"/>
        <family val="2"/>
      </rPr>
      <t xml:space="preserve">八德區廣福路</t>
    </r>
    <r>
      <rPr>
        <sz val="10"/>
        <color rgb="FF1F2A28"/>
        <rFont val="Arial"/>
        <family val="0"/>
        <charset val="1"/>
      </rPr>
      <t xml:space="preserve">20</t>
    </r>
    <r>
      <rPr>
        <sz val="10"/>
        <color rgb="FF1F2A28"/>
        <rFont val="WenQuanYi Zen Hei"/>
        <family val="2"/>
      </rPr>
      <t xml:space="preserve">巷</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</si>
  <si>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(03)2181391</t>
  </si>
  <si>
    <t xml:space="preserve">202011debby@gmail.com</t>
  </si>
  <si>
    <t xml:space="preserve">王黛芬</t>
  </si>
  <si>
    <t xml:space="preserve">林孟薇</t>
  </si>
  <si>
    <t xml:space="preserve">私立智碩文理短期補習班</t>
  </si>
  <si>
    <r>
      <rPr>
        <sz val="10"/>
        <color rgb="FF1F2A28"/>
        <rFont val="WenQuanYi Zen Hei"/>
        <family val="2"/>
      </rPr>
      <t xml:space="preserve">八德區忠勇街</t>
    </r>
    <r>
      <rPr>
        <sz val="10"/>
        <color rgb="FF1F2A28"/>
        <rFont val="Arial"/>
        <family val="0"/>
        <charset val="1"/>
      </rPr>
      <t xml:space="preserve">339-1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</si>
  <si>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(03)3615999</t>
  </si>
  <si>
    <t xml:space="preserve">chiuwanru@yahoo.com.tw</t>
  </si>
  <si>
    <t xml:space="preserve">邱琬茹</t>
  </si>
  <si>
    <t xml:space="preserve">私立東華文理短期補習班</t>
  </si>
  <si>
    <r>
      <rPr>
        <sz val="10"/>
        <color rgb="FF1F2A28"/>
        <rFont val="WenQuanYi Zen Hei"/>
        <family val="2"/>
      </rPr>
      <t xml:space="preserve">八德區廣福路</t>
    </r>
    <r>
      <rPr>
        <sz val="10"/>
        <color rgb="FF1F2A28"/>
        <rFont val="Arial"/>
        <family val="0"/>
        <charset val="1"/>
      </rPr>
      <t xml:space="preserve">20</t>
    </r>
    <r>
      <rPr>
        <sz val="10"/>
        <color rgb="FF1F2A28"/>
        <rFont val="WenQuanYi Zen Hei"/>
        <family val="2"/>
      </rPr>
      <t xml:space="preserve">巷</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</si>
  <si>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r>
      <rPr>
        <sz val="10"/>
        <color rgb="FF1F2A28"/>
        <rFont val="WenQuanYi Zen Hei"/>
        <family val="2"/>
      </rPr>
      <t xml:space="preserve">英文</t>
    </r>
    <r>
      <rPr>
        <sz val="10"/>
        <color rgb="FF1F2A28"/>
        <rFont val="Arial"/>
        <family val="0"/>
        <charset val="1"/>
      </rPr>
      <t xml:space="preserve">(A-H</t>
    </r>
    <r>
      <rPr>
        <sz val="10"/>
        <color rgb="FF1F2A28"/>
        <rFont val="WenQuanYi Zen Hei"/>
        <family val="2"/>
      </rPr>
      <t xml:space="preserve">、</t>
    </r>
    <r>
      <rPr>
        <sz val="10"/>
        <color rgb="FF1F2A28"/>
        <rFont val="Arial"/>
        <family val="0"/>
        <charset val="1"/>
      </rPr>
      <t xml:space="preserve">O-R)</t>
    </r>
    <r>
      <rPr>
        <sz val="10"/>
        <color rgb="FF1F2A28"/>
        <rFont val="WenQuanYi Zen Hei"/>
        <family val="2"/>
      </rPr>
      <t xml:space="preserve">科、英文</t>
    </r>
    <r>
      <rPr>
        <sz val="10"/>
        <color rgb="FF1F2A28"/>
        <rFont val="Arial"/>
        <family val="0"/>
        <charset val="1"/>
      </rPr>
      <t xml:space="preserve">(I-N)</t>
    </r>
    <r>
      <rPr>
        <sz val="10"/>
        <color rgb="FF1F2A28"/>
        <rFont val="WenQuanYi Zen Hei"/>
        <family val="2"/>
      </rPr>
      <t xml:space="preserve">科</t>
    </r>
  </si>
  <si>
    <t xml:space="preserve">2003-12-03</t>
  </si>
  <si>
    <t xml:space="preserve">莊茜</t>
  </si>
  <si>
    <t xml:space="preserve">私立格格文理短期補習班</t>
  </si>
  <si>
    <r>
      <rPr>
        <sz val="10"/>
        <color rgb="FF1F2A28"/>
        <rFont val="WenQuanYi Zen Hei"/>
        <family val="2"/>
      </rPr>
      <t xml:space="preserve">八德區建德路</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</si>
  <si>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(03)3688677</t>
  </si>
  <si>
    <t xml:space="preserve">gege334032@gmail.com</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</si>
  <si>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科、英語</t>
    </r>
  </si>
  <si>
    <t xml:space="preserve">2025-08-07</t>
  </si>
  <si>
    <t xml:space="preserve">呂琬婕</t>
  </si>
  <si>
    <r>
      <rPr>
        <sz val="10"/>
        <color rgb="FF1F2A28"/>
        <rFont val="WenQuanYi Zen Hei"/>
        <family val="2"/>
      </rPr>
      <t xml:space="preserve">八德區中興街</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</si>
  <si>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(03)3680022</t>
  </si>
  <si>
    <r>
      <rPr>
        <sz val="10"/>
        <color rgb="FF1F2A28"/>
        <rFont val="WenQuanYi Zen Hei"/>
        <family val="2"/>
      </rPr>
      <t xml:space="preserve">英語、國中文理科</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</si>
  <si>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私立楷俐文理短期補習班</t>
  </si>
  <si>
    <r>
      <rPr>
        <sz val="10"/>
        <color rgb="FF1F2A28"/>
        <rFont val="WenQuanYi Zen Hei"/>
        <family val="2"/>
      </rPr>
      <t xml:space="preserve">八德區自強街</t>
    </r>
    <r>
      <rPr>
        <sz val="10"/>
        <color rgb="FF1F2A28"/>
        <rFont val="Arial"/>
        <family val="0"/>
        <charset val="1"/>
      </rPr>
      <t xml:space="preserve">59</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</si>
  <si>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(03)3673333</t>
  </si>
  <si>
    <t xml:space="preserve">tydayoung2026@gmail.com</t>
  </si>
  <si>
    <t xml:space="preserve">馬琬珺</t>
  </si>
  <si>
    <t xml:space="preserve">私立楷麒文理語文短期補習班</t>
  </si>
  <si>
    <r>
      <rPr>
        <sz val="10"/>
        <color rgb="FF1F2A28"/>
        <rFont val="WenQuanYi Zen Hei"/>
        <family val="2"/>
      </rPr>
      <t xml:space="preserve">八德區興豐路</t>
    </r>
    <r>
      <rPr>
        <sz val="10"/>
        <color rgb="FF1F2A28"/>
        <rFont val="Arial"/>
        <family val="0"/>
        <charset val="1"/>
      </rPr>
      <t xml:space="preserve">283</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</si>
  <si>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(03)3652695</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</si>
  <si>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英數國</t>
    </r>
    <r>
      <rPr>
        <sz val="10"/>
        <color rgb="FF1F2A28"/>
        <rFont val="Arial"/>
        <family val="0"/>
        <charset val="1"/>
      </rPr>
      <t xml:space="preserve">)</t>
    </r>
  </si>
  <si>
    <t xml:space="preserve">2009-02-26</t>
  </si>
  <si>
    <t xml:space="preserve">柯朝盛</t>
  </si>
  <si>
    <t xml:space="preserve">李廖維</t>
  </si>
  <si>
    <t xml:space="preserve">私立樂恩語文珠算數學文理短期補習班</t>
  </si>
  <si>
    <r>
      <rPr>
        <sz val="10"/>
        <color rgb="FF1F2A28"/>
        <rFont val="WenQuanYi Zen Hei"/>
        <family val="2"/>
      </rPr>
      <t xml:space="preserve">八德區廣福路</t>
    </r>
    <r>
      <rPr>
        <sz val="10"/>
        <color rgb="FF1F2A28"/>
        <rFont val="Arial"/>
        <family val="0"/>
        <charset val="1"/>
      </rPr>
      <t xml:space="preserve">93</t>
    </r>
    <r>
      <rPr>
        <sz val="10"/>
        <color rgb="FF1F2A28"/>
        <rFont val="WenQuanYi Zen Hei"/>
        <family val="2"/>
      </rPr>
      <t xml:space="preserve">巷</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</si>
  <si>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(03)3643456</t>
  </si>
  <si>
    <r>
      <rPr>
        <sz val="10"/>
        <color rgb="FF1F2A28"/>
        <rFont val="WenQuanYi Zen Hei"/>
        <family val="2"/>
      </rPr>
      <t xml:space="preserve">美語、高中文理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</si>
  <si>
    <t xml:space="preserve">2021-10-26</t>
  </si>
  <si>
    <t xml:space="preserve">私立歐克思美語短期補習班</t>
  </si>
  <si>
    <r>
      <rPr>
        <sz val="10"/>
        <color rgb="FF1F2A28"/>
        <rFont val="WenQuanYi Zen Hei"/>
        <family val="2"/>
      </rPr>
      <t xml:space="preserve">八德區忠勇街</t>
    </r>
    <r>
      <rPr>
        <sz val="10"/>
        <color rgb="FF1F2A28"/>
        <rFont val="Arial"/>
        <family val="0"/>
        <charset val="1"/>
      </rPr>
      <t xml:space="preserve">359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</si>
  <si>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(03)3670720</t>
  </si>
  <si>
    <t xml:space="preserve">claire20351@yahoo.com.tw</t>
  </si>
  <si>
    <t xml:space="preserve">2011-08-11</t>
  </si>
  <si>
    <t xml:space="preserve">歐克思</t>
  </si>
  <si>
    <t xml:space="preserve">王政德</t>
  </si>
  <si>
    <t xml:space="preserve">私立沐樂文理技藝短期補習班</t>
  </si>
  <si>
    <r>
      <rPr>
        <sz val="10"/>
        <color rgb="FF1F2A28"/>
        <rFont val="WenQuanYi Zen Hei"/>
        <family val="2"/>
      </rPr>
      <t xml:space="preserve">八德區豐田三路</t>
    </r>
    <r>
      <rPr>
        <sz val="10"/>
        <color rgb="FF1F2A28"/>
        <rFont val="Arial"/>
        <family val="0"/>
        <charset val="1"/>
      </rPr>
      <t xml:space="preserve">71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</si>
  <si>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t>
  </si>
  <si>
    <t xml:space="preserve">Halus651109@gmail.com</t>
  </si>
  <si>
    <t xml:space="preserve">2024-04-10</t>
  </si>
  <si>
    <t xml:space="preserve">廖廷嶧</t>
  </si>
  <si>
    <t xml:space="preserve">陳彥螢</t>
  </si>
  <si>
    <t xml:space="preserve">私立波卡英語文理短期補習班</t>
  </si>
  <si>
    <r>
      <rPr>
        <sz val="10"/>
        <color rgb="FF1F2A28"/>
        <rFont val="WenQuanYi Zen Hei"/>
        <family val="2"/>
      </rPr>
      <t xml:space="preserve">八德區豐田三路</t>
    </r>
    <r>
      <rPr>
        <sz val="10"/>
        <color rgb="FF1F2A28"/>
        <rFont val="Arial"/>
        <family val="0"/>
        <charset val="1"/>
      </rPr>
      <t xml:space="preserve">93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</si>
  <si>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(03)3681384</t>
  </si>
  <si>
    <t xml:space="preserve">y3m6paul@gmail.com</t>
  </si>
  <si>
    <r>
      <rPr>
        <sz val="10"/>
        <color rgb="FF1F2A28"/>
        <rFont val="WenQuanYi Zen Hei"/>
        <family val="2"/>
      </rPr>
      <t xml:space="preserve">美語、文理科</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、英語</t>
    </r>
  </si>
  <si>
    <t xml:space="preserve">2026-01-08</t>
  </si>
  <si>
    <t xml:space="preserve">王克恭</t>
  </si>
  <si>
    <t xml:space="preserve">私立派森文理技藝短期補習班</t>
  </si>
  <si>
    <r>
      <rPr>
        <sz val="10"/>
        <color rgb="FF1F2A28"/>
        <rFont val="WenQuanYi Zen Hei"/>
        <family val="2"/>
      </rPr>
      <t xml:space="preserve">八德區豐田六路</t>
    </r>
    <r>
      <rPr>
        <sz val="10"/>
        <color rgb="FF1F2A28"/>
        <rFont val="Arial"/>
        <family val="0"/>
        <charset val="1"/>
      </rPr>
      <t xml:space="preserve">51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</si>
  <si>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(03)3732099</t>
  </si>
  <si>
    <t xml:space="preserve">lof1001@gmail.com</t>
  </si>
  <si>
    <t xml:space="preserve">邱紫婷</t>
  </si>
  <si>
    <t xml:space="preserve">私立湯瑪士文理短期補習班</t>
  </si>
  <si>
    <r>
      <rPr>
        <sz val="10"/>
        <color rgb="FF1F2A28"/>
        <rFont val="WenQuanYi Zen Hei"/>
        <family val="2"/>
      </rPr>
      <t xml:space="preserve">八德區中山路</t>
    </r>
    <r>
      <rPr>
        <sz val="10"/>
        <color rgb="FF1F2A28"/>
        <rFont val="Arial"/>
        <family val="0"/>
        <charset val="1"/>
      </rPr>
      <t xml:space="preserve">117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</si>
  <si>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(03)3732003</t>
  </si>
  <si>
    <t xml:space="preserve">d038458@hotmail.com</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</si>
  <si>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科</t>
    </r>
  </si>
  <si>
    <t xml:space="preserve">2024-06-13</t>
  </si>
  <si>
    <t xml:space="preserve">黃詩婷</t>
  </si>
  <si>
    <t xml:space="preserve">葉睿涵</t>
  </si>
  <si>
    <t xml:space="preserve">私立溫德爾文理短期補習班</t>
  </si>
  <si>
    <r>
      <rPr>
        <sz val="10"/>
        <color rgb="FF1F2A28"/>
        <rFont val="WenQuanYi Zen Hei"/>
        <family val="2"/>
      </rPr>
      <t xml:space="preserve">八德區東勇街</t>
    </r>
    <r>
      <rPr>
        <sz val="10"/>
        <color rgb="FF1F2A28"/>
        <rFont val="Arial"/>
        <family val="0"/>
        <charset val="1"/>
      </rPr>
      <t xml:space="preserve">35</t>
    </r>
    <r>
      <rPr>
        <sz val="10"/>
        <color rgb="FF1F2A28"/>
        <rFont val="WenQuanYi Zen Hei"/>
        <family val="2"/>
      </rPr>
      <t xml:space="preserve">巷</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</si>
  <si>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(03)3618681</t>
  </si>
  <si>
    <t xml:space="preserve">wdf7577@yahoo.com.tw</t>
  </si>
  <si>
    <r>
      <rPr>
        <sz val="10"/>
        <color rgb="FF1F2A28"/>
        <rFont val="WenQuanYi Zen Hei"/>
        <family val="2"/>
      </rPr>
      <t xml:space="preserve">文理</t>
    </r>
    <r>
      <rPr>
        <sz val="10"/>
        <color rgb="FF1F2A28"/>
        <rFont val="Arial"/>
        <family val="0"/>
        <charset val="1"/>
      </rPr>
      <t xml:space="preserve">A(</t>
    </r>
    <r>
      <rPr>
        <sz val="10"/>
        <color rgb="FF1F2A28"/>
        <rFont val="WenQuanYi Zen Hei"/>
        <family val="2"/>
      </rPr>
      <t xml:space="preserve">英文、數學</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B(</t>
    </r>
    <r>
      <rPr>
        <sz val="10"/>
        <color rgb="FF1F2A28"/>
        <rFont val="WenQuanYi Zen Hei"/>
        <family val="2"/>
      </rPr>
      <t xml:space="preserve">英文、數學</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C(</t>
    </r>
    <r>
      <rPr>
        <sz val="10"/>
        <color rgb="FF1F2A28"/>
        <rFont val="WenQuanYi Zen Hei"/>
        <family val="2"/>
      </rPr>
      <t xml:space="preserve">英文、數學</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D(</t>
    </r>
    <r>
      <rPr>
        <sz val="10"/>
        <color rgb="FF1F2A28"/>
        <rFont val="WenQuanYi Zen Hei"/>
        <family val="2"/>
      </rPr>
      <t xml:space="preserve">英文、數學</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E(</t>
    </r>
    <r>
      <rPr>
        <sz val="10"/>
        <color rgb="FF1F2A28"/>
        <rFont val="WenQuanYi Zen Hei"/>
        <family val="2"/>
      </rPr>
      <t xml:space="preserve">英文、數學</t>
    </r>
    <r>
      <rPr>
        <sz val="10"/>
        <color rgb="FF1F2A28"/>
        <rFont val="Arial"/>
        <family val="0"/>
        <charset val="1"/>
      </rPr>
      <t xml:space="preserve">)</t>
    </r>
  </si>
  <si>
    <t xml:space="preserve">2017-12-20</t>
  </si>
  <si>
    <t xml:space="preserve">周憶青</t>
  </si>
  <si>
    <t xml:space="preserve">私立瀚學文理美語短期補習班</t>
  </si>
  <si>
    <r>
      <rPr>
        <sz val="10"/>
        <color rgb="FF1F2A28"/>
        <rFont val="WenQuanYi Zen Hei"/>
        <family val="2"/>
      </rPr>
      <t xml:space="preserve">八德區介壽路二段</t>
    </r>
    <r>
      <rPr>
        <sz val="10"/>
        <color rgb="FF1F2A28"/>
        <rFont val="Arial"/>
        <family val="0"/>
        <charset val="1"/>
      </rPr>
      <t xml:space="preserve">927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樓及</t>
    </r>
    <r>
      <rPr>
        <sz val="10"/>
        <color rgb="FF1F2A28"/>
        <rFont val="Arial"/>
        <family val="0"/>
        <charset val="1"/>
      </rPr>
      <t xml:space="preserve">933</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</si>
  <si>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(03)3683368</t>
  </si>
  <si>
    <t xml:space="preserve">wang530813@gmail.com</t>
  </si>
  <si>
    <r>
      <rPr>
        <sz val="10"/>
        <color rgb="FF1F2A28"/>
        <rFont val="WenQuanYi Zen Hei"/>
        <family val="2"/>
      </rPr>
      <t xml:space="preserve">美語、國英數自社</t>
    </r>
    <r>
      <rPr>
        <sz val="10"/>
        <color rgb="FF1F2A28"/>
        <rFont val="Arial"/>
        <family val="0"/>
        <charset val="1"/>
      </rPr>
      <t xml:space="preserve">)</t>
    </r>
  </si>
  <si>
    <t xml:space="preserve">2005-05-06</t>
  </si>
  <si>
    <t xml:space="preserve">王雅芬</t>
  </si>
  <si>
    <t xml:space="preserve">私立琳恩語文數學文理短期補習班</t>
  </si>
  <si>
    <r>
      <rPr>
        <sz val="10"/>
        <color rgb="FF1F2A28"/>
        <rFont val="WenQuanYi Zen Hei"/>
        <family val="2"/>
      </rPr>
      <t xml:space="preserve">八德區中山路</t>
    </r>
    <r>
      <rPr>
        <sz val="10"/>
        <color rgb="FF1F2A28"/>
        <rFont val="Arial"/>
        <family val="0"/>
        <charset val="1"/>
      </rPr>
      <t xml:space="preserve">128</t>
    </r>
    <r>
      <rPr>
        <sz val="10"/>
        <color rgb="FF1F2A28"/>
        <rFont val="WenQuanYi Zen Hei"/>
        <family val="2"/>
      </rPr>
      <t xml:space="preserve">巷</t>
    </r>
    <r>
      <rPr>
        <sz val="10"/>
        <color rgb="FF1F2A28"/>
        <rFont val="Arial"/>
        <family val="0"/>
        <charset val="1"/>
      </rPr>
      <t xml:space="preserve">31</t>
    </r>
    <r>
      <rPr>
        <sz val="10"/>
        <color rgb="FF1F2A28"/>
        <rFont val="WenQuanYi Zen Hei"/>
        <family val="2"/>
      </rPr>
      <t xml:space="preserve">弄</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樓、中興街</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</si>
  <si>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r>
      <rPr>
        <sz val="10"/>
        <color rgb="FF1F2A28"/>
        <rFont val="WenQuanYi Zen Hei"/>
        <family val="2"/>
      </rPr>
      <t xml:space="preserve">文理</t>
    </r>
    <r>
      <rPr>
        <sz val="10"/>
        <color rgb="FF1F2A28"/>
        <rFont val="Arial"/>
        <family val="0"/>
        <charset val="1"/>
      </rPr>
      <t xml:space="preserve">B</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英、數、理化</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班、文理</t>
    </r>
    <r>
      <rPr>
        <sz val="10"/>
        <color rgb="FF1F2A28"/>
        <rFont val="Arial"/>
        <family val="0"/>
        <charset val="1"/>
      </rPr>
      <t xml:space="preserve">A</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英、數、生物</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C</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英、數、理化</t>
    </r>
    <r>
      <rPr>
        <sz val="10"/>
        <color rgb="FF1F2A28"/>
        <rFont val="Arial"/>
        <family val="0"/>
        <charset val="1"/>
      </rPr>
      <t xml:space="preserve">)</t>
    </r>
  </si>
  <si>
    <t xml:space="preserve">2021-09-03</t>
  </si>
  <si>
    <t xml:space="preserve">陳怡禎</t>
  </si>
  <si>
    <t xml:space="preserve">私立皇家國豐語文數學短期補習班</t>
  </si>
  <si>
    <r>
      <rPr>
        <sz val="10"/>
        <color rgb="FF1F2A28"/>
        <rFont val="WenQuanYi Zen Hei"/>
        <family val="2"/>
      </rPr>
      <t xml:space="preserve">八德區國豐六街</t>
    </r>
    <r>
      <rPr>
        <sz val="10"/>
        <color rgb="FF1F2A28"/>
        <rFont val="Arial"/>
        <family val="0"/>
        <charset val="1"/>
      </rPr>
      <t xml:space="preserve">25</t>
    </r>
    <r>
      <rPr>
        <sz val="10"/>
        <color rgb="FF1F2A28"/>
        <rFont val="WenQuanYi Zen Hei"/>
        <family val="2"/>
      </rPr>
      <t xml:space="preserve">號一樓</t>
    </r>
  </si>
  <si>
    <t xml:space="preserve">(03)364-3110</t>
  </si>
  <si>
    <t xml:space="preserve">maggie1303tw@yahoo.com.tw</t>
  </si>
  <si>
    <r>
      <rPr>
        <sz val="10"/>
        <color rgb="FF1F2A28"/>
        <rFont val="WenQuanYi Zen Hei"/>
        <family val="2"/>
      </rPr>
      <t xml:space="preserve">英文</t>
    </r>
    <r>
      <rPr>
        <sz val="10"/>
        <color rgb="FF1F2A28"/>
        <rFont val="Arial"/>
        <family val="0"/>
        <charset val="1"/>
      </rPr>
      <t xml:space="preserve">(R1.R3.R5.R9)</t>
    </r>
  </si>
  <si>
    <t xml:space="preserve">2020-02-13</t>
  </si>
  <si>
    <t xml:space="preserve">游財祿</t>
  </si>
  <si>
    <t xml:space="preserve">李佳真</t>
  </si>
  <si>
    <t xml:space="preserve">私立碩苑美語短期補習班</t>
  </si>
  <si>
    <r>
      <rPr>
        <sz val="10"/>
        <color rgb="FF1F2A28"/>
        <rFont val="WenQuanYi Zen Hei"/>
        <family val="2"/>
      </rPr>
      <t xml:space="preserve">八德區忠勇街</t>
    </r>
    <r>
      <rPr>
        <sz val="10"/>
        <color rgb="FF1F2A28"/>
        <rFont val="Arial"/>
        <family val="0"/>
        <charset val="1"/>
      </rPr>
      <t xml:space="preserve">371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</si>
  <si>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(03)3779022</t>
  </si>
  <si>
    <t xml:space="preserve">a0909058602@gmail.com</t>
  </si>
  <si>
    <t xml:space="preserve">2002-01-09</t>
  </si>
  <si>
    <t xml:space="preserve">黃俊宏</t>
  </si>
  <si>
    <t xml:space="preserve">私立福僑數學語文短期補習班</t>
  </si>
  <si>
    <r>
      <rPr>
        <sz val="10"/>
        <color rgb="FF1F2A28"/>
        <rFont val="WenQuanYi Zen Hei"/>
        <family val="2"/>
      </rPr>
      <t xml:space="preserve">八德區福僑街</t>
    </r>
    <r>
      <rPr>
        <sz val="10"/>
        <color rgb="FF1F2A28"/>
        <rFont val="Arial"/>
        <family val="0"/>
        <charset val="1"/>
      </rPr>
      <t xml:space="preserve">81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</si>
  <si>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(03)3626155</t>
  </si>
  <si>
    <t xml:space="preserve">amyshiu6687@gmail.com</t>
  </si>
  <si>
    <t xml:space="preserve">2019-04-01</t>
  </si>
  <si>
    <t xml:space="preserve">徐美蓮</t>
  </si>
  <si>
    <t xml:space="preserve">私立立人文理短期補習班大忠分班</t>
  </si>
  <si>
    <r>
      <rPr>
        <sz val="10"/>
        <color rgb="FF1F2A28"/>
        <rFont val="WenQuanYi Zen Hei"/>
        <family val="2"/>
      </rPr>
      <t xml:space="preserve">八德區忠孝街</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</si>
  <si>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(03)3630960</t>
  </si>
  <si>
    <t xml:space="preserve">2010-08-18</t>
  </si>
  <si>
    <t xml:space="preserve">王欣儀</t>
  </si>
  <si>
    <r>
      <rPr>
        <sz val="10"/>
        <color rgb="FF1F2A28"/>
        <rFont val="WenQuanYi Zen Hei"/>
        <family val="2"/>
      </rPr>
      <t xml:space="preserve">八德區介壽路二段</t>
    </r>
    <r>
      <rPr>
        <sz val="10"/>
        <color rgb="FF1F2A28"/>
        <rFont val="Arial"/>
        <family val="0"/>
        <charset val="1"/>
      </rPr>
      <t xml:space="preserve">34</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</si>
  <si>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(03)3715050</t>
  </si>
  <si>
    <t xml:space="preserve">私立米卡洛美語短期補習班</t>
  </si>
  <si>
    <r>
      <rPr>
        <sz val="10"/>
        <color rgb="FF1F2A28"/>
        <rFont val="WenQuanYi Zen Hei"/>
        <family val="2"/>
      </rPr>
      <t xml:space="preserve">八德區大忠街</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58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號</t>
    </r>
  </si>
  <si>
    <t xml:space="preserve">(03)3759975</t>
  </si>
  <si>
    <t xml:space="preserve">long168hair@yaoo.com.tw</t>
  </si>
  <si>
    <t xml:space="preserve">2008-06-18</t>
  </si>
  <si>
    <t xml:space="preserve">曾嘉琪</t>
  </si>
  <si>
    <t xml:space="preserve">私立經典大成文理語文短期補習班</t>
  </si>
  <si>
    <r>
      <rPr>
        <sz val="10"/>
        <color rgb="FF1F2A28"/>
        <rFont val="WenQuanYi Zen Hei"/>
        <family val="2"/>
      </rPr>
      <t xml:space="preserve">八德區和平路</t>
    </r>
    <r>
      <rPr>
        <sz val="10"/>
        <color rgb="FF1F2A28"/>
        <rFont val="Arial"/>
        <family val="0"/>
        <charset val="1"/>
      </rPr>
      <t xml:space="preserve">253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</si>
  <si>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(03)3641666</t>
  </si>
  <si>
    <t xml:space="preserve">long168hair@yahoo.com.tw</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</si>
  <si>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科、英語</t>
    </r>
    <r>
      <rPr>
        <sz val="10"/>
        <color rgb="FF1F2A28"/>
        <rFont val="Arial"/>
        <family val="0"/>
        <charset val="1"/>
      </rPr>
      <t xml:space="preserve">(</t>
    </r>
    <r>
      <rPr>
        <sz val="10"/>
        <color rgb="FF1F2A28"/>
        <rFont val="WenQuanYi Zen Hei"/>
        <family val="2"/>
      </rPr>
      <t xml:space="preserve">英檢</t>
    </r>
    <r>
      <rPr>
        <sz val="10"/>
        <color rgb="FF1F2A28"/>
        <rFont val="Arial"/>
        <family val="0"/>
        <charset val="1"/>
      </rPr>
      <t xml:space="preserve">)</t>
    </r>
  </si>
  <si>
    <t xml:space="preserve">2017-01-03</t>
  </si>
  <si>
    <t xml:space="preserve">簡志賢</t>
  </si>
  <si>
    <r>
      <rPr>
        <sz val="10"/>
        <color rgb="FF1F2A28"/>
        <rFont val="WenQuanYi Zen Hei"/>
        <family val="2"/>
      </rPr>
      <t xml:space="preserve">八德區大成街</t>
    </r>
    <r>
      <rPr>
        <sz val="10"/>
        <color rgb="FF1F2A28"/>
        <rFont val="Arial"/>
        <family val="0"/>
        <charset val="1"/>
      </rPr>
      <t xml:space="preserve">67</t>
    </r>
    <r>
      <rPr>
        <sz val="10"/>
        <color rgb="FF1F2A28"/>
        <rFont val="WenQuanYi Zen Hei"/>
        <family val="2"/>
      </rPr>
      <t xml:space="preserve">號及</t>
    </r>
    <r>
      <rPr>
        <sz val="10"/>
        <color rgb="FF1F2A28"/>
        <rFont val="Arial"/>
        <family val="0"/>
        <charset val="1"/>
      </rPr>
      <t xml:space="preserve">69</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</si>
  <si>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(03)3637251</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</si>
  <si>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</si>
  <si>
    <t xml:space="preserve">私立經緯文理美語短期補習班</t>
  </si>
  <si>
    <r>
      <rPr>
        <sz val="10"/>
        <color rgb="FF1F2A28"/>
        <rFont val="WenQuanYi Zen Hei"/>
        <family val="2"/>
      </rPr>
      <t xml:space="preserve">八德區永豐路</t>
    </r>
    <r>
      <rPr>
        <sz val="10"/>
        <color rgb="FF1F2A28"/>
        <rFont val="Arial"/>
        <family val="0"/>
        <charset val="1"/>
      </rPr>
      <t xml:space="preserve">601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</si>
  <si>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(03)3701116</t>
  </si>
  <si>
    <t xml:space="preserve">jasonjason0709@gmail.com</t>
  </si>
  <si>
    <t xml:space="preserve">2007-10-09</t>
  </si>
  <si>
    <t xml:space="preserve">李家華</t>
  </si>
  <si>
    <t xml:space="preserve">蔡洧泰</t>
  </si>
  <si>
    <r>
      <rPr>
        <sz val="10"/>
        <color rgb="FF1F2A28"/>
        <rFont val="WenQuanYi Zen Hei"/>
        <family val="2"/>
      </rPr>
      <t xml:space="preserve">八德區福僑街</t>
    </r>
    <r>
      <rPr>
        <sz val="10"/>
        <color rgb="FF1F2A28"/>
        <rFont val="Arial"/>
        <family val="0"/>
        <charset val="1"/>
      </rPr>
      <t xml:space="preserve">39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</si>
  <si>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(03)3714238</t>
  </si>
  <si>
    <t xml:space="preserve">私立育昇大成文理語文短期補習班</t>
  </si>
  <si>
    <r>
      <rPr>
        <sz val="10"/>
        <color rgb="FF1F2A28"/>
        <rFont val="WenQuanYi Zen Hei"/>
        <family val="2"/>
      </rPr>
      <t xml:space="preserve">八德區忠勇街</t>
    </r>
    <r>
      <rPr>
        <sz val="10"/>
        <color rgb="FF1F2A28"/>
        <rFont val="Arial"/>
        <family val="0"/>
        <charset val="1"/>
      </rPr>
      <t xml:space="preserve">60</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</si>
  <si>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(03)3765350</t>
  </si>
  <si>
    <t xml:space="preserve">ysdc3765350@gmail.com</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</si>
  <si>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國英數自</t>
    </r>
    <r>
      <rPr>
        <sz val="10"/>
        <color rgb="FF1F2A28"/>
        <rFont val="Arial"/>
        <family val="0"/>
        <charset val="1"/>
      </rPr>
      <t xml:space="preserve">)</t>
    </r>
    <r>
      <rPr>
        <sz val="10"/>
        <color rgb="FF1F2A28"/>
        <rFont val="WenQuanYi Zen Hei"/>
        <family val="2"/>
      </rPr>
      <t xml:space="preserve">、美語</t>
    </r>
  </si>
  <si>
    <t xml:space="preserve">2015-11-20</t>
  </si>
  <si>
    <t xml:space="preserve">林錫洲</t>
  </si>
  <si>
    <t xml:space="preserve">私立致勝文理美語短期補習班</t>
  </si>
  <si>
    <r>
      <rPr>
        <sz val="10"/>
        <color rgb="FF1F2A28"/>
        <rFont val="WenQuanYi Zen Hei"/>
        <family val="2"/>
      </rPr>
      <t xml:space="preserve">八德區建興街</t>
    </r>
    <r>
      <rPr>
        <sz val="10"/>
        <color rgb="FF1F2A28"/>
        <rFont val="Arial"/>
        <family val="0"/>
        <charset val="1"/>
      </rPr>
      <t xml:space="preserve">9</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</si>
  <si>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(03)3652765</t>
  </si>
  <si>
    <t xml:space="preserve">andy.s1598@gmail.com</t>
  </si>
  <si>
    <t xml:space="preserve">2003-01-22</t>
  </si>
  <si>
    <t xml:space="preserve">楊俞暖</t>
  </si>
  <si>
    <r>
      <rPr>
        <sz val="10"/>
        <color rgb="FF1F2A28"/>
        <rFont val="WenQuanYi Zen Hei"/>
        <family val="2"/>
      </rPr>
      <t xml:space="preserve">八德區大成街</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</si>
  <si>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(03)3636276</t>
  </si>
  <si>
    <r>
      <rPr>
        <sz val="10"/>
        <color rgb="FF1F2A28"/>
        <rFont val="WenQuanYi Zen Hei"/>
        <family val="2"/>
      </rPr>
      <t xml:space="preserve">八德區介壽路一段</t>
    </r>
    <r>
      <rPr>
        <sz val="10"/>
        <color rgb="FF1F2A28"/>
        <rFont val="Arial"/>
        <family val="0"/>
        <charset val="1"/>
      </rPr>
      <t xml:space="preserve">985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</si>
  <si>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(03)3610885</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</si>
  <si>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科</t>
    </r>
  </si>
  <si>
    <t xml:space="preserve">私立葛萊文理美語短期補習班</t>
  </si>
  <si>
    <r>
      <rPr>
        <sz val="10"/>
        <color rgb="FF1F2A28"/>
        <rFont val="WenQuanYi Zen Hei"/>
        <family val="2"/>
      </rPr>
      <t xml:space="preserve">八德區大忠街</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</si>
  <si>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(03)3660997</t>
  </si>
  <si>
    <t xml:space="preserve">Claude3310@gmail.com</t>
  </si>
  <si>
    <r>
      <rPr>
        <sz val="10"/>
        <color rgb="FF1F2A28"/>
        <rFont val="WenQuanYi Zen Hei"/>
        <family val="2"/>
      </rPr>
      <t xml:space="preserve">文理英數自</t>
    </r>
    <r>
      <rPr>
        <sz val="10"/>
        <color rgb="FF1F2A28"/>
        <rFont val="Arial"/>
        <family val="0"/>
        <charset val="1"/>
      </rPr>
      <t xml:space="preserve">(</t>
    </r>
    <r>
      <rPr>
        <sz val="10"/>
        <color rgb="FF1F2A28"/>
        <rFont val="WenQuanYi Zen Hei"/>
        <family val="2"/>
      </rPr>
      <t xml:space="preserve">甲</t>
    </r>
    <r>
      <rPr>
        <sz val="10"/>
        <color rgb="FF1F2A28"/>
        <rFont val="Arial"/>
        <family val="0"/>
        <charset val="1"/>
      </rPr>
      <t xml:space="preserve">)</t>
    </r>
    <r>
      <rPr>
        <sz val="10"/>
        <color rgb="FF1F2A28"/>
        <rFont val="WenQuanYi Zen Hei"/>
        <family val="2"/>
      </rPr>
      <t xml:space="preserve">、美語初級</t>
    </r>
    <r>
      <rPr>
        <sz val="10"/>
        <color rgb="FF1F2A28"/>
        <rFont val="Arial"/>
        <family val="0"/>
        <charset val="1"/>
      </rPr>
      <t xml:space="preserve">(A.B)</t>
    </r>
    <r>
      <rPr>
        <sz val="10"/>
        <color rgb="FF1F2A28"/>
        <rFont val="WenQuanYi Zen Hei"/>
        <family val="2"/>
      </rPr>
      <t xml:space="preserve">、文理英數自</t>
    </r>
    <r>
      <rPr>
        <sz val="10"/>
        <color rgb="FF1F2A28"/>
        <rFont val="Arial"/>
        <family val="0"/>
        <charset val="1"/>
      </rPr>
      <t xml:space="preserve">(</t>
    </r>
    <r>
      <rPr>
        <sz val="10"/>
        <color rgb="FF1F2A28"/>
        <rFont val="WenQuanYi Zen Hei"/>
        <family val="2"/>
      </rPr>
      <t xml:space="preserve">丙</t>
    </r>
    <r>
      <rPr>
        <sz val="10"/>
        <color rgb="FF1F2A28"/>
        <rFont val="Arial"/>
        <family val="0"/>
        <charset val="1"/>
      </rPr>
      <t xml:space="preserve">)</t>
    </r>
    <r>
      <rPr>
        <sz val="10"/>
        <color rgb="FF1F2A28"/>
        <rFont val="WenQuanYi Zen Hei"/>
        <family val="2"/>
      </rPr>
      <t xml:space="preserve">、美語進階</t>
    </r>
    <r>
      <rPr>
        <sz val="10"/>
        <color rgb="FF1F2A28"/>
        <rFont val="Arial"/>
        <family val="0"/>
        <charset val="1"/>
      </rPr>
      <t xml:space="preserve">(A.B)</t>
    </r>
    <r>
      <rPr>
        <sz val="10"/>
        <color rgb="FF1F2A28"/>
        <rFont val="WenQuanYi Zen Hei"/>
        <family val="2"/>
      </rPr>
      <t xml:space="preserve">、文理英數自</t>
    </r>
    <r>
      <rPr>
        <sz val="10"/>
        <color rgb="FF1F2A28"/>
        <rFont val="Arial"/>
        <family val="0"/>
        <charset val="1"/>
      </rPr>
      <t xml:space="preserve">(</t>
    </r>
    <r>
      <rPr>
        <sz val="10"/>
        <color rgb="FF1F2A28"/>
        <rFont val="WenQuanYi Zen Hei"/>
        <family val="2"/>
      </rPr>
      <t xml:space="preserve">乙</t>
    </r>
    <r>
      <rPr>
        <sz val="10"/>
        <color rgb="FF1F2A28"/>
        <rFont val="Arial"/>
        <family val="0"/>
        <charset val="1"/>
      </rPr>
      <t xml:space="preserve">)</t>
    </r>
  </si>
  <si>
    <t xml:space="preserve">2020-03-24</t>
  </si>
  <si>
    <t xml:space="preserve">私立葳士頓美語短期補習班</t>
  </si>
  <si>
    <r>
      <rPr>
        <sz val="10"/>
        <color rgb="FF1F2A28"/>
        <rFont val="WenQuanYi Zen Hei"/>
        <family val="2"/>
      </rPr>
      <t xml:space="preserve">八德區忠勇一街</t>
    </r>
    <r>
      <rPr>
        <sz val="10"/>
        <color rgb="FF1F2A28"/>
        <rFont val="Arial"/>
        <family val="0"/>
        <charset val="1"/>
      </rPr>
      <t xml:space="preserve">37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</si>
  <si>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(03)3645691</t>
  </si>
  <si>
    <t xml:space="preserve">wisdomlanguageinstitute@gmail.com</t>
  </si>
  <si>
    <t xml:space="preserve">2012-11-28</t>
  </si>
  <si>
    <t xml:space="preserve">林應欽</t>
  </si>
  <si>
    <t xml:space="preserve">陳慧菊</t>
  </si>
  <si>
    <t xml:space="preserve">私立貝貝鹿美語短期補習班</t>
  </si>
  <si>
    <r>
      <rPr>
        <sz val="10"/>
        <color rgb="FF1F2A28"/>
        <rFont val="WenQuanYi Zen Hei"/>
        <family val="2"/>
      </rPr>
      <t xml:space="preserve">八德區介壽路二段</t>
    </r>
    <r>
      <rPr>
        <sz val="10"/>
        <color rgb="FF1F2A28"/>
        <rFont val="Arial"/>
        <family val="0"/>
        <charset val="1"/>
      </rPr>
      <t xml:space="preserve">933</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</si>
  <si>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(03)3731198</t>
  </si>
  <si>
    <t xml:space="preserve">giraffe3731198@gmail.com</t>
  </si>
  <si>
    <t xml:space="preserve">2003-04-14</t>
  </si>
  <si>
    <t xml:space="preserve">郭瑀</t>
  </si>
  <si>
    <t xml:space="preserve">私立賦有文理短期補習班大忠分班</t>
  </si>
  <si>
    <r>
      <rPr>
        <sz val="10"/>
        <color rgb="FF1F2A28"/>
        <rFont val="WenQuanYi Zen Hei"/>
        <family val="2"/>
      </rPr>
      <t xml:space="preserve">八德區大忠街</t>
    </r>
    <r>
      <rPr>
        <sz val="10"/>
        <color rgb="FF1F2A28"/>
        <rFont val="Arial"/>
        <family val="0"/>
        <charset val="1"/>
      </rPr>
      <t xml:space="preserve">44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</si>
  <si>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(03)3665030</t>
  </si>
  <si>
    <t xml:space="preserve">fullyou@so-net.net.tw</t>
  </si>
  <si>
    <t xml:space="preserve">2026-08-28</t>
  </si>
  <si>
    <t xml:space="preserve">吳政昌</t>
  </si>
  <si>
    <t xml:space="preserve">林子萱</t>
  </si>
  <si>
    <t xml:space="preserve">私立賦有文理語文數學短期補習班</t>
  </si>
  <si>
    <r>
      <rPr>
        <sz val="10"/>
        <color rgb="FF1F2A28"/>
        <rFont val="WenQuanYi Zen Hei"/>
        <family val="2"/>
      </rPr>
      <t xml:space="preserve">八德區廣福路</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</si>
  <si>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(03)3618237</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</si>
  <si>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英語、數學、國語、自然、社會</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英語、數學、自然</t>
    </r>
    <r>
      <rPr>
        <sz val="10"/>
        <color rgb="FF1F2A28"/>
        <rFont val="Arial"/>
        <family val="0"/>
        <charset val="1"/>
      </rPr>
      <t xml:space="preserve">)</t>
    </r>
    <r>
      <rPr>
        <sz val="10"/>
        <color rgb="FF1F2A28"/>
        <rFont val="WenQuanYi Zen Hei"/>
        <family val="2"/>
      </rPr>
      <t xml:space="preserve">、美語</t>
    </r>
  </si>
  <si>
    <t xml:space="preserve">蔡昱澂</t>
  </si>
  <si>
    <t xml:space="preserve">私立達拉米文理短期補習班</t>
  </si>
  <si>
    <r>
      <rPr>
        <sz val="10"/>
        <color rgb="FF1F2A28"/>
        <rFont val="WenQuanYi Zen Hei"/>
        <family val="2"/>
      </rPr>
      <t xml:space="preserve">八德區興豐路</t>
    </r>
    <r>
      <rPr>
        <sz val="10"/>
        <color rgb="FF1F2A28"/>
        <rFont val="Arial"/>
        <family val="0"/>
        <charset val="1"/>
      </rPr>
      <t xml:space="preserve">213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</si>
  <si>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(03)3681750</t>
  </si>
  <si>
    <t xml:space="preserve">bemyself.elaine@gmail.com</t>
  </si>
  <si>
    <t xml:space="preserve">2026-06-17</t>
  </si>
  <si>
    <t xml:space="preserve">李嘉仁</t>
  </si>
  <si>
    <t xml:space="preserve">李依如</t>
  </si>
  <si>
    <t xml:space="preserve">私立釩宇語文短期補習班</t>
  </si>
  <si>
    <r>
      <rPr>
        <sz val="10"/>
        <color rgb="FF1F2A28"/>
        <rFont val="WenQuanYi Zen Hei"/>
        <family val="2"/>
      </rPr>
      <t xml:space="preserve">八德區介壽路二段</t>
    </r>
    <r>
      <rPr>
        <sz val="10"/>
        <color rgb="FF1F2A28"/>
        <rFont val="Arial"/>
        <family val="0"/>
        <charset val="1"/>
      </rPr>
      <t xml:space="preserve">933</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</si>
  <si>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(03)3688108</t>
  </si>
  <si>
    <t xml:space="preserve">stan403@gmail.com</t>
  </si>
  <si>
    <t xml:space="preserve">2008-06-05</t>
  </si>
  <si>
    <t xml:space="preserve">陳錫勳</t>
  </si>
  <si>
    <t xml:space="preserve">私立開普美語作文短期補習班</t>
  </si>
  <si>
    <r>
      <rPr>
        <sz val="10"/>
        <color rgb="FF1F2A28"/>
        <rFont val="WenQuanYi Zen Hei"/>
        <family val="2"/>
      </rPr>
      <t xml:space="preserve">八德區大忠街</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</si>
  <si>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(03)3772388</t>
  </si>
  <si>
    <t xml:space="preserve">2001-12-04</t>
  </si>
  <si>
    <t xml:space="preserve">尚俊美</t>
  </si>
  <si>
    <t xml:space="preserve">私立集賢作文美語短期補習班</t>
  </si>
  <si>
    <r>
      <rPr>
        <sz val="10"/>
        <color rgb="FF1F2A28"/>
        <rFont val="WenQuanYi Zen Hei"/>
        <family val="2"/>
      </rPr>
      <t xml:space="preserve">八德區高城八街</t>
    </r>
    <r>
      <rPr>
        <sz val="10"/>
        <color rgb="FF1F2A28"/>
        <rFont val="Arial"/>
        <family val="0"/>
        <charset val="1"/>
      </rPr>
      <t xml:space="preserve">19</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1-2F</t>
    </r>
  </si>
  <si>
    <t xml:space="preserve">(03)3601433</t>
  </si>
  <si>
    <t xml:space="preserve">dancebook@yahoo.com.tw</t>
  </si>
  <si>
    <t xml:space="preserve">2006-08-11</t>
  </si>
  <si>
    <t xml:space="preserve">呂美梅</t>
  </si>
  <si>
    <t xml:space="preserve">私立黃老師美語數學文理短期補習班</t>
  </si>
  <si>
    <r>
      <rPr>
        <sz val="10"/>
        <color rgb="FF1F2A28"/>
        <rFont val="WenQuanYi Zen Hei"/>
        <family val="2"/>
      </rPr>
      <t xml:space="preserve">八德區介壽路一段</t>
    </r>
    <r>
      <rPr>
        <sz val="10"/>
        <color rgb="FF1F2A28"/>
        <rFont val="Arial"/>
        <family val="0"/>
        <charset val="1"/>
      </rPr>
      <t xml:space="preserve">645</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弄</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</si>
  <si>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(03)3638613</t>
  </si>
  <si>
    <t xml:space="preserve">huang491219@yahoo.com.tw</t>
  </si>
  <si>
    <t xml:space="preserve">1998-01-08</t>
  </si>
  <si>
    <t xml:space="preserve">黃淑盈</t>
  </si>
  <si>
    <t xml:space="preserve">私立黎恩文理短期補習班</t>
  </si>
  <si>
    <r>
      <rPr>
        <sz val="10"/>
        <color rgb="FF1F2A28"/>
        <rFont val="WenQuanYi Zen Hei"/>
        <family val="2"/>
      </rPr>
      <t xml:space="preserve">八德區豐吉路</t>
    </r>
    <r>
      <rPr>
        <sz val="10"/>
        <color rgb="FF1F2A28"/>
        <rFont val="Arial"/>
        <family val="0"/>
        <charset val="1"/>
      </rPr>
      <t xml:space="preserve">388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</si>
  <si>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(03)3686623</t>
  </si>
  <si>
    <t xml:space="preserve">disken90@gmail.com</t>
  </si>
  <si>
    <t xml:space="preserve">2026-04-22</t>
  </si>
  <si>
    <t xml:space="preserve">邱瑞隆</t>
  </si>
  <si>
    <t xml:space="preserve">私立龍階美語短期補習班</t>
  </si>
  <si>
    <r>
      <rPr>
        <sz val="10"/>
        <color rgb="FF1F2A28"/>
        <rFont val="WenQuanYi Zen Hei"/>
        <family val="2"/>
      </rPr>
      <t xml:space="preserve">八德區忠勇街</t>
    </r>
    <r>
      <rPr>
        <sz val="10"/>
        <color rgb="FF1F2A28"/>
        <rFont val="Arial"/>
        <family val="0"/>
        <charset val="1"/>
      </rPr>
      <t xml:space="preserve">373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</si>
  <si>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(03)3764695</t>
  </si>
  <si>
    <t xml:space="preserve">2001-05-30</t>
  </si>
  <si>
    <t xml:space="preserve">陳淑珠</t>
  </si>
  <si>
    <t xml:space="preserve">陳斯婷</t>
  </si>
  <si>
    <t xml:space="preserve">格馳股份有限公司附設私立格馳文理短期補習班</t>
  </si>
  <si>
    <r>
      <rPr>
        <sz val="10"/>
        <color rgb="FF1F2A28"/>
        <rFont val="WenQuanYi Zen Hei"/>
        <family val="2"/>
      </rPr>
      <t xml:space="preserve">大園區致祥一街</t>
    </r>
    <r>
      <rPr>
        <sz val="10"/>
        <color rgb="FF1F2A28"/>
        <rFont val="Arial"/>
        <family val="0"/>
        <charset val="1"/>
      </rPr>
      <t xml:space="preserve">130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</si>
  <si>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(03)2878686</t>
  </si>
  <si>
    <t xml:space="preserve">Maxjino@gmail.com</t>
  </si>
  <si>
    <t xml:space="preserve">陳振榮</t>
  </si>
  <si>
    <r>
      <rPr>
        <sz val="10"/>
        <color rgb="FF1F2A28"/>
        <rFont val="WenQuanYi Zen Hei"/>
        <family val="2"/>
      </rPr>
      <t xml:space="preserve">大園區和平一街</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</si>
  <si>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(03)3860268</t>
  </si>
  <si>
    <r>
      <rPr>
        <sz val="10"/>
        <color rgb="FF1F2A28"/>
        <rFont val="WenQuanYi Zen Hei"/>
        <family val="2"/>
      </rPr>
      <t xml:space="preserve">英文、美語</t>
    </r>
    <r>
      <rPr>
        <sz val="10"/>
        <color rgb="FF1F2A28"/>
        <rFont val="Arial"/>
        <family val="0"/>
        <charset val="1"/>
      </rPr>
      <t xml:space="preserve">A</t>
    </r>
    <r>
      <rPr>
        <sz val="10"/>
        <color rgb="FF1F2A28"/>
        <rFont val="WenQuanYi Zen Hei"/>
        <family val="2"/>
      </rPr>
      <t xml:space="preserve">班、美語</t>
    </r>
    <r>
      <rPr>
        <sz val="10"/>
        <color rgb="FF1F2A28"/>
        <rFont val="Arial"/>
        <family val="0"/>
        <charset val="1"/>
      </rPr>
      <t xml:space="preserve">B</t>
    </r>
    <r>
      <rPr>
        <sz val="10"/>
        <color rgb="FF1F2A28"/>
        <rFont val="WenQuanYi Zen Hei"/>
        <family val="2"/>
      </rPr>
      <t xml:space="preserve">班</t>
    </r>
  </si>
  <si>
    <t xml:space="preserve">私立保進美語數學短期補習班</t>
  </si>
  <si>
    <r>
      <rPr>
        <sz val="10"/>
        <color rgb="FF1F2A28"/>
        <rFont val="WenQuanYi Zen Hei"/>
        <family val="2"/>
      </rPr>
      <t xml:space="preserve">大園區中正東路</t>
    </r>
    <r>
      <rPr>
        <sz val="10"/>
        <color rgb="FF1F2A28"/>
        <rFont val="Arial"/>
        <family val="0"/>
        <charset val="1"/>
      </rPr>
      <t xml:space="preserve">160</t>
    </r>
    <r>
      <rPr>
        <sz val="10"/>
        <color rgb="FF1F2A28"/>
        <rFont val="WenQuanYi Zen Hei"/>
        <family val="2"/>
      </rPr>
      <t xml:space="preserve">巷</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</si>
  <si>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(03)3865500</t>
  </si>
  <si>
    <t xml:space="preserve">bowjinn.5500@gmail.com</t>
  </si>
  <si>
    <t xml:space="preserve">2015-10-16</t>
  </si>
  <si>
    <t xml:space="preserve">許明旗</t>
  </si>
  <si>
    <t xml:space="preserve">私立史考特新世界文理短期補習班新生友善分班</t>
  </si>
  <si>
    <r>
      <rPr>
        <sz val="10"/>
        <color rgb="FF1F2A28"/>
        <rFont val="WenQuanYi Zen Hei"/>
        <family val="2"/>
      </rPr>
      <t xml:space="preserve">大園區新生路四段</t>
    </r>
    <r>
      <rPr>
        <sz val="10"/>
        <color rgb="FF1F2A28"/>
        <rFont val="Arial"/>
        <family val="0"/>
        <charset val="1"/>
      </rPr>
      <t xml:space="preserve">97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樓前半部及</t>
    </r>
    <r>
      <rPr>
        <sz val="10"/>
        <color rgb="FF1F2A28"/>
        <rFont val="Arial"/>
        <family val="0"/>
        <charset val="1"/>
      </rPr>
      <t xml:space="preserve">4</t>
    </r>
    <r>
      <rPr>
        <sz val="10"/>
        <color rgb="FF1F2A28"/>
        <rFont val="WenQuanYi Zen Hei"/>
        <family val="2"/>
      </rPr>
      <t xml:space="preserve">樓</t>
    </r>
  </si>
  <si>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初階</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高階</t>
    </r>
    <r>
      <rPr>
        <sz val="10"/>
        <color rgb="FF1F2A28"/>
        <rFont val="Arial"/>
        <family val="0"/>
        <charset val="1"/>
      </rPr>
      <t xml:space="preserve">)</t>
    </r>
  </si>
  <si>
    <t xml:space="preserve">2026-01-19</t>
  </si>
  <si>
    <t xml:space="preserve">林修宇</t>
  </si>
  <si>
    <t xml:space="preserve">私立史考特新世界美語村文理短期補習班</t>
  </si>
  <si>
    <r>
      <rPr>
        <sz val="10"/>
        <color rgb="FF1F2A28"/>
        <rFont val="WenQuanYi Zen Hei"/>
        <family val="2"/>
      </rPr>
      <t xml:space="preserve">大園區致遠街</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</si>
  <si>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2025-10-22</t>
  </si>
  <si>
    <t xml:space="preserve">蕭子瑜</t>
  </si>
  <si>
    <t xml:space="preserve">私立吉爾堡文理短期補習班</t>
  </si>
  <si>
    <r>
      <rPr>
        <sz val="10"/>
        <color rgb="FF1F2A28"/>
        <rFont val="WenQuanYi Zen Hei"/>
        <family val="2"/>
      </rPr>
      <t xml:space="preserve">大園區公園路一段</t>
    </r>
    <r>
      <rPr>
        <sz val="10"/>
        <color rgb="FF1F2A28"/>
        <rFont val="Arial"/>
        <family val="0"/>
        <charset val="1"/>
      </rPr>
      <t xml:space="preserve">53</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</si>
  <si>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(03)2870633</t>
  </si>
  <si>
    <t xml:space="preserve">performming@gmail.com</t>
  </si>
  <si>
    <t xml:space="preserve">美語、國中英文</t>
  </si>
  <si>
    <t xml:space="preserve">2024-10-11</t>
  </si>
  <si>
    <t xml:space="preserve">陽芊茹</t>
  </si>
  <si>
    <t xml:space="preserve">私立夏杰文理短期補習班</t>
  </si>
  <si>
    <r>
      <rPr>
        <sz val="10"/>
        <color rgb="FF1F2A28"/>
        <rFont val="WenQuanYi Zen Hei"/>
        <family val="2"/>
      </rPr>
      <t xml:space="preserve">大園區新生路四段</t>
    </r>
    <r>
      <rPr>
        <sz val="10"/>
        <color rgb="FF1F2A28"/>
        <rFont val="Arial"/>
        <family val="0"/>
        <charset val="1"/>
      </rPr>
      <t xml:space="preserve">141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</si>
  <si>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(03)2872928</t>
  </si>
  <si>
    <t xml:space="preserve">cnw0128@gmail.com</t>
  </si>
  <si>
    <r>
      <rPr>
        <sz val="10"/>
        <color rgb="FF1F2A28"/>
        <rFont val="WenQuanYi Zen Hei"/>
        <family val="2"/>
      </rPr>
      <t xml:space="preserve">高中英文、國中文理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、英語</t>
    </r>
  </si>
  <si>
    <t xml:space="preserve">2025-05-12</t>
  </si>
  <si>
    <t xml:space="preserve">項杰</t>
  </si>
  <si>
    <t xml:space="preserve">私立奧爾斯文理短期補習班</t>
  </si>
  <si>
    <r>
      <rPr>
        <sz val="10"/>
        <color rgb="FF1F2A28"/>
        <rFont val="WenQuanYi Zen Hei"/>
        <family val="2"/>
      </rPr>
      <t xml:space="preserve">大園區青昇二街</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</si>
  <si>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(03)2870378</t>
  </si>
  <si>
    <t xml:space="preserve">owls.oursclass@gmail.com</t>
  </si>
  <si>
    <r>
      <rPr>
        <sz val="10"/>
        <color rgb="FF1F2A28"/>
        <rFont val="WenQuanYi Zen Hei"/>
        <family val="2"/>
      </rPr>
      <t xml:space="preserve">國小文理科</t>
    </r>
    <r>
      <rPr>
        <sz val="10"/>
        <color rgb="FF1F2A28"/>
        <rFont val="Arial"/>
        <family val="0"/>
        <charset val="1"/>
      </rPr>
      <t xml:space="preserve">(</t>
    </r>
    <r>
      <rPr>
        <sz val="10"/>
        <color rgb="FF1F2A28"/>
        <rFont val="WenQuanYi Zen Hei"/>
        <family val="2"/>
      </rPr>
      <t xml:space="preserve">國語、英語、數學、自然、社會，各</t>
    </r>
    <r>
      <rPr>
        <sz val="10"/>
        <color rgb="FF1F2A28"/>
        <rFont val="Arial"/>
        <family val="0"/>
        <charset val="1"/>
      </rPr>
      <t xml:space="preserve">2</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、國中文理科</t>
    </r>
    <r>
      <rPr>
        <sz val="10"/>
        <color rgb="FF1F2A28"/>
        <rFont val="Arial"/>
        <family val="0"/>
        <charset val="1"/>
      </rPr>
      <t xml:space="preserve">(</t>
    </r>
    <r>
      <rPr>
        <sz val="10"/>
        <color rgb="FF1F2A28"/>
        <rFont val="WenQuanYi Zen Hei"/>
        <family val="2"/>
      </rPr>
      <t xml:space="preserve">國文、英文、數學、自然、社會，各</t>
    </r>
    <r>
      <rPr>
        <sz val="10"/>
        <color rgb="FF1F2A28"/>
        <rFont val="Arial"/>
        <family val="0"/>
        <charset val="1"/>
      </rPr>
      <t xml:space="preserve">1</t>
    </r>
    <r>
      <rPr>
        <sz val="10"/>
        <color rgb="FF1F2A28"/>
        <rFont val="WenQuanYi Zen Hei"/>
        <family val="2"/>
      </rPr>
      <t xml:space="preserve">班</t>
    </r>
    <r>
      <rPr>
        <sz val="10"/>
        <color rgb="FF1F2A28"/>
        <rFont val="Arial"/>
        <family val="0"/>
        <charset val="1"/>
      </rPr>
      <t xml:space="preserve">)</t>
    </r>
  </si>
  <si>
    <t xml:space="preserve">2025-09-08</t>
  </si>
  <si>
    <t xml:space="preserve">陳韋中</t>
  </si>
  <si>
    <t xml:space="preserve">陳睿騏</t>
  </si>
  <si>
    <t xml:space="preserve">私立奧詩卡珠心算美語短期補習班</t>
  </si>
  <si>
    <r>
      <rPr>
        <sz val="10"/>
        <color rgb="FF1F2A28"/>
        <rFont val="WenQuanYi Zen Hei"/>
        <family val="2"/>
      </rPr>
      <t xml:space="preserve">大園區菓林路</t>
    </r>
    <r>
      <rPr>
        <sz val="10"/>
        <color rgb="FF1F2A28"/>
        <rFont val="Arial"/>
        <family val="0"/>
        <charset val="1"/>
      </rPr>
      <t xml:space="preserve">155</t>
    </r>
    <r>
      <rPr>
        <sz val="10"/>
        <color rgb="FF1F2A28"/>
        <rFont val="WenQuanYi Zen Hei"/>
        <family val="2"/>
      </rPr>
      <t xml:space="preserve">巷</t>
    </r>
    <r>
      <rPr>
        <sz val="10"/>
        <color rgb="FF1F2A28"/>
        <rFont val="Arial"/>
        <family val="0"/>
        <charset val="1"/>
      </rPr>
      <t xml:space="preserve">28</t>
    </r>
    <r>
      <rPr>
        <sz val="10"/>
        <color rgb="FF1F2A28"/>
        <rFont val="WenQuanYi Zen Hei"/>
        <family val="2"/>
      </rPr>
      <t xml:space="preserve">弄</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</si>
  <si>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(03)3933963</t>
  </si>
  <si>
    <t xml:space="preserve">a0910910230@gmail.com</t>
  </si>
  <si>
    <t xml:space="preserve">2003-09-25</t>
  </si>
  <si>
    <t xml:space="preserve">陳彥秀</t>
  </si>
  <si>
    <t xml:space="preserve">董麗珍</t>
  </si>
  <si>
    <t xml:space="preserve">私立巨鯨文理語文短期補習班</t>
  </si>
  <si>
    <r>
      <rPr>
        <sz val="10"/>
        <color rgb="FF1F2A28"/>
        <rFont val="WenQuanYi Zen Hei"/>
        <family val="2"/>
      </rPr>
      <t xml:space="preserve">大園區中山南路</t>
    </r>
    <r>
      <rPr>
        <sz val="10"/>
        <color rgb="FF1F2A28"/>
        <rFont val="Arial"/>
        <family val="0"/>
        <charset val="1"/>
      </rPr>
      <t xml:space="preserve">257-1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</si>
  <si>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r>
      <rPr>
        <sz val="10"/>
        <color rgb="FF1F2A28"/>
        <rFont val="Arial"/>
        <family val="0"/>
        <charset val="1"/>
      </rPr>
      <t xml:space="preserve">(03)3858655</t>
    </r>
    <r>
      <rPr>
        <sz val="10"/>
        <color rgb="FF1F2A28"/>
        <rFont val="WenQuanYi Zen Hei"/>
        <family val="2"/>
      </rPr>
      <t xml:space="preserve">、</t>
    </r>
    <r>
      <rPr>
        <sz val="10"/>
        <color rgb="FF1F2A28"/>
        <rFont val="Arial"/>
        <family val="0"/>
        <charset val="1"/>
      </rPr>
      <t xml:space="preserve">33858656</t>
    </r>
  </si>
  <si>
    <t xml:space="preserve">bigchen6688@gmail.com</t>
  </si>
  <si>
    <t xml:space="preserve">2003-10-21</t>
  </si>
  <si>
    <t xml:space="preserve">陳俊德</t>
  </si>
  <si>
    <t xml:space="preserve">黃麗鶯</t>
  </si>
  <si>
    <r>
      <rPr>
        <sz val="10"/>
        <color rgb="FF1F2A28"/>
        <rFont val="WenQuanYi Zen Hei"/>
        <family val="2"/>
      </rPr>
      <t xml:space="preserve">大園區大華一街</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</si>
  <si>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0900187246</t>
  </si>
  <si>
    <t xml:space="preserve">私立惠翔語文短期補習班</t>
  </si>
  <si>
    <r>
      <rPr>
        <sz val="10"/>
        <color rgb="FF1F2A28"/>
        <rFont val="WenQuanYi Zen Hei"/>
        <family val="2"/>
      </rPr>
      <t xml:space="preserve">大園區田心村華興路</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</si>
  <si>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(03)3868075</t>
  </si>
  <si>
    <t xml:space="preserve">c89010@yahoo.com.tw</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</si>
  <si>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t>
    </r>
    <r>
      <rPr>
        <sz val="10"/>
        <color rgb="FF1F2A28"/>
        <rFont val="Arial"/>
        <family val="0"/>
        <charset val="1"/>
      </rPr>
      <t xml:space="preserve">C</t>
    </r>
    <r>
      <rPr>
        <sz val="10"/>
        <color rgb="FF1F2A28"/>
        <rFont val="WenQuanYi Zen Hei"/>
        <family val="2"/>
      </rPr>
      <t xml:space="preserve">班、美語</t>
    </r>
    <r>
      <rPr>
        <sz val="10"/>
        <color rgb="FF1F2A28"/>
        <rFont val="Arial"/>
        <family val="0"/>
        <charset val="1"/>
      </rPr>
      <t xml:space="preserve">D</t>
    </r>
    <r>
      <rPr>
        <sz val="10"/>
        <color rgb="FF1F2A28"/>
        <rFont val="WenQuanYi Zen Hei"/>
        <family val="2"/>
      </rPr>
      <t xml:space="preserve">班</t>
    </r>
  </si>
  <si>
    <t xml:space="preserve">陳松峰</t>
  </si>
  <si>
    <r>
      <rPr>
        <sz val="10"/>
        <color rgb="FF1F2A28"/>
        <rFont val="WenQuanYi Zen Hei"/>
        <family val="2"/>
      </rPr>
      <t xml:space="preserve">大園區菓林路</t>
    </r>
    <r>
      <rPr>
        <sz val="10"/>
        <color rgb="FF1F2A28"/>
        <rFont val="Arial"/>
        <family val="0"/>
        <charset val="1"/>
      </rPr>
      <t xml:space="preserve">137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</si>
  <si>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(03)3935427</t>
  </si>
  <si>
    <t xml:space="preserve">私立新耀文理短期補習班</t>
  </si>
  <si>
    <r>
      <rPr>
        <sz val="10"/>
        <color rgb="FF1F2A28"/>
        <rFont val="WenQuanYi Zen Hei"/>
        <family val="2"/>
      </rPr>
      <t xml:space="preserve">大園區中正二街</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</si>
  <si>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(03)3852895</t>
  </si>
  <si>
    <t xml:space="preserve">giraffe.dayuan@gmail.com</t>
  </si>
  <si>
    <t xml:space="preserve">吳庭禎</t>
  </si>
  <si>
    <t xml:space="preserve">林霈涵</t>
  </si>
  <si>
    <t xml:space="preserve">私立未來家文理短期補習班</t>
  </si>
  <si>
    <r>
      <rPr>
        <sz val="10"/>
        <color rgb="FF1F2A28"/>
        <rFont val="WenQuanYi Zen Hei"/>
        <family val="2"/>
      </rPr>
      <t xml:space="preserve">大園區大華一街</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</si>
  <si>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(03)2878669</t>
  </si>
  <si>
    <t xml:space="preserve">Futureplus2023@gmail.com</t>
  </si>
  <si>
    <t xml:space="preserve">2025-02-26</t>
  </si>
  <si>
    <t xml:space="preserve">鍾明男</t>
  </si>
  <si>
    <t xml:space="preserve">蘇千慈</t>
  </si>
  <si>
    <t xml:space="preserve">私立樂呈文理短期補習班</t>
  </si>
  <si>
    <r>
      <rPr>
        <sz val="10"/>
        <color rgb="FF1F2A28"/>
        <rFont val="WenQuanYi Zen Hei"/>
        <family val="2"/>
      </rPr>
      <t xml:space="preserve">大園區新興路</t>
    </r>
    <r>
      <rPr>
        <sz val="10"/>
        <color rgb="FF1F2A28"/>
        <rFont val="Arial"/>
        <family val="0"/>
        <charset val="1"/>
      </rPr>
      <t xml:space="preserve">109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</si>
  <si>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(03)3857998</t>
  </si>
  <si>
    <t xml:space="preserve">cheyen1226@gmail.com</t>
  </si>
  <si>
    <t xml:space="preserve">國中英文</t>
  </si>
  <si>
    <t xml:space="preserve">2025-01-03</t>
  </si>
  <si>
    <t xml:space="preserve">莊哲彥</t>
  </si>
  <si>
    <t xml:space="preserve">郭涵禎</t>
  </si>
  <si>
    <t xml:space="preserve">私立樂與澄文理短期補習班</t>
  </si>
  <si>
    <r>
      <rPr>
        <sz val="10"/>
        <color rgb="FF1F2A28"/>
        <rFont val="WenQuanYi Zen Hei"/>
        <family val="2"/>
      </rPr>
      <t xml:space="preserve">大園區領航北路四段</t>
    </r>
    <r>
      <rPr>
        <sz val="10"/>
        <color rgb="FF1F2A28"/>
        <rFont val="Arial"/>
        <family val="0"/>
        <charset val="1"/>
      </rPr>
      <t xml:space="preserve">150-1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</si>
  <si>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0972280013</t>
  </si>
  <si>
    <t xml:space="preserve">lechengart@gmail.com</t>
  </si>
  <si>
    <t xml:space="preserve">2025-12-02</t>
  </si>
  <si>
    <t xml:space="preserve">邱立欣</t>
  </si>
  <si>
    <t xml:space="preserve">私立漫思文理短期補習班</t>
  </si>
  <si>
    <r>
      <rPr>
        <sz val="10"/>
        <color rgb="FF1F2A28"/>
        <rFont val="WenQuanYi Zen Hei"/>
        <family val="2"/>
      </rPr>
      <t xml:space="preserve">大園區新生路四段</t>
    </r>
    <r>
      <rPr>
        <sz val="10"/>
        <color rgb="FF1F2A28"/>
        <rFont val="Arial"/>
        <family val="0"/>
        <charset val="1"/>
      </rPr>
      <t xml:space="preserve">77</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</si>
  <si>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(03)2872760</t>
  </si>
  <si>
    <t xml:space="preserve">math20240701@gmail.com</t>
  </si>
  <si>
    <t xml:space="preserve">2025-02-13</t>
  </si>
  <si>
    <t xml:space="preserve">陳志華</t>
  </si>
  <si>
    <t xml:space="preserve">私立潘朵拉語文文理短期補習班</t>
  </si>
  <si>
    <r>
      <rPr>
        <sz val="10"/>
        <color rgb="FF1F2A28"/>
        <rFont val="WenQuanYi Zen Hei"/>
        <family val="2"/>
      </rPr>
      <t xml:space="preserve">大園區菓林路</t>
    </r>
    <r>
      <rPr>
        <sz val="10"/>
        <color rgb="FF1F2A28"/>
        <rFont val="Arial"/>
        <family val="0"/>
        <charset val="1"/>
      </rPr>
      <t xml:space="preserve">59</t>
    </r>
    <r>
      <rPr>
        <sz val="10"/>
        <color rgb="FF1F2A28"/>
        <rFont val="WenQuanYi Zen Hei"/>
        <family val="2"/>
      </rPr>
      <t xml:space="preserve">巷</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</si>
  <si>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(03)3937533</t>
  </si>
  <si>
    <t xml:space="preserve">2007-01-18</t>
  </si>
  <si>
    <t xml:space="preserve">莊偉志</t>
  </si>
  <si>
    <t xml:space="preserve">莊偉城</t>
  </si>
  <si>
    <r>
      <rPr>
        <sz val="10"/>
        <color rgb="FF1F2A28"/>
        <rFont val="WenQuanYi Zen Hei"/>
        <family val="2"/>
      </rPr>
      <t xml:space="preserve">大園區領航北路三段</t>
    </r>
    <r>
      <rPr>
        <sz val="10"/>
        <color rgb="FF1F2A28"/>
        <rFont val="Arial"/>
        <family val="0"/>
        <charset val="1"/>
      </rPr>
      <t xml:space="preserve">223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</si>
  <si>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(03)2870170</t>
  </si>
  <si>
    <r>
      <rPr>
        <sz val="10"/>
        <color rgb="FF1F2A28"/>
        <rFont val="WenQuanYi Zen Hei"/>
        <family val="2"/>
      </rPr>
      <t xml:space="preserve">大園區新生路</t>
    </r>
    <r>
      <rPr>
        <sz val="10"/>
        <color rgb="FF1F2A28"/>
        <rFont val="Arial"/>
        <family val="0"/>
        <charset val="1"/>
      </rPr>
      <t xml:space="preserve">130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</si>
  <si>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(03)3850390</t>
  </si>
  <si>
    <r>
      <rPr>
        <sz val="10"/>
        <color rgb="FF1F2A28"/>
        <rFont val="WenQuanYi Zen Hei"/>
        <family val="2"/>
      </rPr>
      <t xml:space="preserve">美語、國中文理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</si>
  <si>
    <t xml:space="preserve">私立皇室文理短期補習班</t>
  </si>
  <si>
    <r>
      <rPr>
        <sz val="10"/>
        <color rgb="FF1F2A28"/>
        <rFont val="WenQuanYi Zen Hei"/>
        <family val="2"/>
      </rPr>
      <t xml:space="preserve">大園區科一街</t>
    </r>
    <r>
      <rPr>
        <sz val="10"/>
        <color rgb="FF1F2A28"/>
        <rFont val="Arial"/>
        <family val="0"/>
        <charset val="1"/>
      </rPr>
      <t xml:space="preserve">165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</si>
  <si>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(03)3860289</t>
  </si>
  <si>
    <t xml:space="preserve">vanguard.lc.edu@gmail.com</t>
  </si>
  <si>
    <r>
      <rPr>
        <sz val="10"/>
        <color rgb="FF1F2A28"/>
        <rFont val="WenQuanYi Zen Hei"/>
        <family val="2"/>
      </rPr>
      <t xml:space="preserve">美語、英語</t>
    </r>
    <r>
      <rPr>
        <sz val="10"/>
        <color rgb="FF1F2A28"/>
        <rFont val="Arial"/>
        <family val="0"/>
        <charset val="1"/>
      </rPr>
      <t xml:space="preserve">(</t>
    </r>
    <r>
      <rPr>
        <sz val="10"/>
        <color rgb="FF1F2A28"/>
        <rFont val="WenQuanYi Zen Hei"/>
        <family val="2"/>
      </rPr>
      <t xml:space="preserve">英檢證照</t>
    </r>
    <r>
      <rPr>
        <sz val="10"/>
        <color rgb="FF1F2A28"/>
        <rFont val="Arial"/>
        <family val="0"/>
        <charset val="1"/>
      </rPr>
      <t xml:space="preserve">1</t>
    </r>
    <r>
      <rPr>
        <sz val="10"/>
        <color rgb="FF1F2A28"/>
        <rFont val="WenQuanYi Zen Hei"/>
        <family val="2"/>
      </rPr>
      <t xml:space="preserve">班、多益證照</t>
    </r>
    <r>
      <rPr>
        <sz val="10"/>
        <color rgb="FF1F2A28"/>
        <rFont val="Arial"/>
        <family val="0"/>
        <charset val="1"/>
      </rPr>
      <t xml:space="preserve">4</t>
    </r>
    <r>
      <rPr>
        <sz val="10"/>
        <color rgb="FF1F2A28"/>
        <rFont val="WenQuanYi Zen Hei"/>
        <family val="2"/>
      </rPr>
      <t xml:space="preserve">班</t>
    </r>
    <r>
      <rPr>
        <sz val="10"/>
        <color rgb="FF1F2A28"/>
        <rFont val="Arial"/>
        <family val="0"/>
        <charset val="1"/>
      </rPr>
      <t xml:space="preserve">)</t>
    </r>
  </si>
  <si>
    <t xml:space="preserve">2025-07-25</t>
  </si>
  <si>
    <t xml:space="preserve">陳璽豔</t>
  </si>
  <si>
    <r>
      <rPr>
        <sz val="10"/>
        <color rgb="FF1F2A28"/>
        <rFont val="WenQuanYi Zen Hei"/>
        <family val="2"/>
      </rPr>
      <t xml:space="preserve">大園區大成路二段</t>
    </r>
    <r>
      <rPr>
        <sz val="10"/>
        <color rgb="FF1F2A28"/>
        <rFont val="Arial"/>
        <family val="0"/>
        <charset val="1"/>
      </rPr>
      <t xml:space="preserve">39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</si>
  <si>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(03)2877727</t>
  </si>
  <si>
    <r>
      <rPr>
        <sz val="10"/>
        <color rgb="FF1F2A28"/>
        <rFont val="WenQuanYi Zen Hei"/>
        <family val="2"/>
      </rPr>
      <t xml:space="preserve">大園區中正二街</t>
    </r>
    <r>
      <rPr>
        <sz val="10"/>
        <color rgb="FF1F2A28"/>
        <rFont val="Arial"/>
        <family val="0"/>
        <charset val="1"/>
      </rPr>
      <t xml:space="preserve">46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</si>
  <si>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(03)3840762</t>
  </si>
  <si>
    <t xml:space="preserve">私立聖堡登英語文理短期補習班青埔分班</t>
  </si>
  <si>
    <r>
      <rPr>
        <sz val="10"/>
        <color rgb="FF1F2A28"/>
        <rFont val="WenQuanYi Zen Hei"/>
        <family val="2"/>
      </rPr>
      <t xml:space="preserve">大園區致成路</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</si>
  <si>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032878126</t>
  </si>
  <si>
    <t xml:space="preserve">2025-12-12</t>
  </si>
  <si>
    <t xml:space="preserve">私立荼荼舞蹈空間技藝文理短期補習班</t>
  </si>
  <si>
    <r>
      <rPr>
        <sz val="10"/>
        <color rgb="FF1F2A28"/>
        <rFont val="WenQuanYi Zen Hei"/>
        <family val="2"/>
      </rPr>
      <t xml:space="preserve">大園區大成路一段</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</si>
  <si>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(03)2877555</t>
  </si>
  <si>
    <t xml:space="preserve">will101zs@gmail.com</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</si>
  <si>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初階</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中階</t>
    </r>
    <r>
      <rPr>
        <sz val="10"/>
        <color rgb="FF1F2A28"/>
        <rFont val="Arial"/>
        <family val="0"/>
        <charset val="1"/>
      </rPr>
      <t xml:space="preserve">)</t>
    </r>
  </si>
  <si>
    <t xml:space="preserve">2024-02-23</t>
  </si>
  <si>
    <t xml:space="preserve">曾文譽</t>
  </si>
  <si>
    <t xml:space="preserve">私立華鐸美語文理短期補習班</t>
  </si>
  <si>
    <r>
      <rPr>
        <sz val="10"/>
        <color rgb="FF1F2A28"/>
        <rFont val="WenQuanYi Zen Hei"/>
        <family val="2"/>
      </rPr>
      <t xml:space="preserve">大園區中山南路</t>
    </r>
    <r>
      <rPr>
        <sz val="10"/>
        <color rgb="FF1F2A28"/>
        <rFont val="Arial"/>
        <family val="0"/>
        <charset val="1"/>
      </rPr>
      <t xml:space="preserve">247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</si>
  <si>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(03)3842694</t>
  </si>
  <si>
    <t xml:space="preserve">fjohn520@yahoo.com.tw</t>
  </si>
  <si>
    <t xml:space="preserve">2006-09-22</t>
  </si>
  <si>
    <t xml:space="preserve">林淑慧</t>
  </si>
  <si>
    <t xml:space="preserve">張敏泓</t>
  </si>
  <si>
    <r>
      <rPr>
        <sz val="10"/>
        <color rgb="FF1F2A28"/>
        <rFont val="WenQuanYi Zen Hei"/>
        <family val="2"/>
      </rPr>
      <t xml:space="preserve">大園區中正二街</t>
    </r>
    <r>
      <rPr>
        <sz val="10"/>
        <color rgb="FF1F2A28"/>
        <rFont val="Arial"/>
        <family val="0"/>
        <charset val="1"/>
      </rPr>
      <t xml:space="preserve">55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</si>
  <si>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(03)4951790</t>
  </si>
  <si>
    <t xml:space="preserve">私立蒙特瑞英語文理短期補習班</t>
  </si>
  <si>
    <r>
      <rPr>
        <sz val="10"/>
        <color rgb="FF1F2A28"/>
        <rFont val="WenQuanYi Zen Hei"/>
        <family val="2"/>
      </rPr>
      <t xml:space="preserve">大園區新生路四段</t>
    </r>
    <r>
      <rPr>
        <sz val="10"/>
        <color rgb="FF1F2A28"/>
        <rFont val="Arial"/>
        <family val="0"/>
        <charset val="1"/>
      </rPr>
      <t xml:space="preserve">137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</si>
  <si>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(03)4221486</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</si>
  <si>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英數</t>
    </r>
    <r>
      <rPr>
        <sz val="10"/>
        <color rgb="FF1F2A28"/>
        <rFont val="Arial"/>
        <family val="0"/>
        <charset val="1"/>
      </rPr>
      <t xml:space="preserve">)</t>
    </r>
    <r>
      <rPr>
        <sz val="10"/>
        <color rgb="FF1F2A28"/>
        <rFont val="WenQuanYi Zen Hei"/>
        <family val="2"/>
      </rPr>
      <t xml:space="preserve">、英語</t>
    </r>
  </si>
  <si>
    <t xml:space="preserve">2025-06-04</t>
  </si>
  <si>
    <t xml:space="preserve">李玟燕</t>
  </si>
  <si>
    <t xml:space="preserve">私立蓋文文理語文短期補習班</t>
  </si>
  <si>
    <r>
      <rPr>
        <sz val="10"/>
        <color rgb="FF1F2A28"/>
        <rFont val="WenQuanYi Zen Hei"/>
        <family val="2"/>
      </rPr>
      <t xml:space="preserve">大園區新生路四段</t>
    </r>
    <r>
      <rPr>
        <sz val="10"/>
        <color rgb="FF1F2A28"/>
        <rFont val="Arial"/>
        <family val="0"/>
        <charset val="1"/>
      </rPr>
      <t xml:space="preserve">127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</si>
  <si>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(03)2873651</t>
  </si>
  <si>
    <t xml:space="preserve">austin.qingpu@msa.hinet.net</t>
  </si>
  <si>
    <r>
      <rPr>
        <sz val="10"/>
        <color rgb="FF1F2A28"/>
        <rFont val="WenQuanYi Zen Hei"/>
        <family val="2"/>
      </rPr>
      <t xml:space="preserve">文理甲</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、文理乙</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、文理丙</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、美語初級、美語進階</t>
    </r>
  </si>
  <si>
    <t xml:space="preserve">2020-10-07</t>
  </si>
  <si>
    <t xml:space="preserve">林芳如</t>
  </si>
  <si>
    <t xml:space="preserve">私立賦華文理技藝短期補習班</t>
  </si>
  <si>
    <r>
      <rPr>
        <sz val="10"/>
        <color rgb="FF1F2A28"/>
        <rFont val="WenQuanYi Zen Hei"/>
        <family val="2"/>
      </rPr>
      <t xml:space="preserve">大園區大智路</t>
    </r>
    <r>
      <rPr>
        <sz val="10"/>
        <color rgb="FF1F2A28"/>
        <rFont val="Arial"/>
        <family val="0"/>
        <charset val="1"/>
      </rPr>
      <t xml:space="preserve">89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</si>
  <si>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(03)2878898</t>
  </si>
  <si>
    <t xml:space="preserve">candice11020@gmail.com</t>
  </si>
  <si>
    <r>
      <rPr>
        <sz val="10"/>
        <color rgb="FF1F2A28"/>
        <rFont val="WenQuanYi Zen Hei"/>
        <family val="2"/>
      </rPr>
      <t xml:space="preserve">國小文理科</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2</t>
    </r>
    <r>
      <rPr>
        <sz val="10"/>
        <color rgb="FF1F2A28"/>
        <rFont val="WenQuanYi Zen Hei"/>
        <family val="2"/>
      </rPr>
      <t xml:space="preserve">班、數學</t>
    </r>
    <r>
      <rPr>
        <sz val="10"/>
        <color rgb="FF1F2A28"/>
        <rFont val="Arial"/>
        <family val="0"/>
        <charset val="1"/>
      </rPr>
      <t xml:space="preserve">3</t>
    </r>
    <r>
      <rPr>
        <sz val="10"/>
        <color rgb="FF1F2A28"/>
        <rFont val="WenQuanYi Zen Hei"/>
        <family val="2"/>
      </rPr>
      <t xml:space="preserve">班、自然</t>
    </r>
    <r>
      <rPr>
        <sz val="10"/>
        <color rgb="FF1F2A28"/>
        <rFont val="Arial"/>
        <family val="0"/>
        <charset val="1"/>
      </rPr>
      <t xml:space="preserve">2</t>
    </r>
    <r>
      <rPr>
        <sz val="10"/>
        <color rgb="FF1F2A28"/>
        <rFont val="WenQuanYi Zen Hei"/>
        <family val="2"/>
      </rPr>
      <t xml:space="preserve">班、作文</t>
    </r>
    <r>
      <rPr>
        <sz val="10"/>
        <color rgb="FF1F2A28"/>
        <rFont val="Arial"/>
        <family val="0"/>
        <charset val="1"/>
      </rPr>
      <t xml:space="preserve">1</t>
    </r>
    <r>
      <rPr>
        <sz val="10"/>
        <color rgb="FF1F2A28"/>
        <rFont val="WenQuanYi Zen Hei"/>
        <family val="2"/>
      </rPr>
      <t xml:space="preserve">班</t>
    </r>
    <r>
      <rPr>
        <sz val="10"/>
        <color rgb="FF1F2A28"/>
        <rFont val="Arial"/>
        <family val="0"/>
        <charset val="1"/>
      </rPr>
      <t xml:space="preserve">)</t>
    </r>
  </si>
  <si>
    <t xml:space="preserve">古堃燕</t>
  </si>
  <si>
    <t xml:space="preserve">黃琪雅</t>
  </si>
  <si>
    <t xml:space="preserve">私立辰星文理短期補習班</t>
  </si>
  <si>
    <r>
      <rPr>
        <sz val="10"/>
        <color rgb="FF1F2A28"/>
        <rFont val="WenQuanYi Zen Hei"/>
        <family val="2"/>
      </rPr>
      <t xml:space="preserve">大園區致遠一路</t>
    </r>
    <r>
      <rPr>
        <sz val="10"/>
        <color rgb="FF1F2A28"/>
        <rFont val="Arial"/>
        <family val="0"/>
        <charset val="1"/>
      </rPr>
      <t xml:space="preserve">65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</si>
  <si>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(03)2872765</t>
  </si>
  <si>
    <t xml:space="preserve">tracy88888@msn.com</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</si>
  <si>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、高中文理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、美語初級班、美語中級班、美語進階班</t>
    </r>
  </si>
  <si>
    <t xml:space="preserve">2021-08-11</t>
  </si>
  <si>
    <t xml:space="preserve">王晨燕</t>
  </si>
  <si>
    <t xml:space="preserve">私立青峰文理短期補習班</t>
  </si>
  <si>
    <r>
      <rPr>
        <sz val="10"/>
        <color rgb="FF1F2A28"/>
        <rFont val="WenQuanYi Zen Hei"/>
        <family val="2"/>
      </rPr>
      <t xml:space="preserve">大園區青峰路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168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</si>
  <si>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(03)2872633</t>
  </si>
  <si>
    <t xml:space="preserve">Qing168feng@gmail.com</t>
  </si>
  <si>
    <t xml:space="preserve">2023-11-13</t>
  </si>
  <si>
    <t xml:space="preserve">林慧娟</t>
  </si>
  <si>
    <r>
      <rPr>
        <sz val="10"/>
        <color rgb="FF1F2A28"/>
        <rFont val="WenQuanYi Zen Hei"/>
        <family val="2"/>
      </rPr>
      <t xml:space="preserve">大園區大勇路</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2-5</t>
    </r>
    <r>
      <rPr>
        <sz val="10"/>
        <color rgb="FF1F2A28"/>
        <rFont val="WenQuanYi Zen Hei"/>
        <family val="2"/>
      </rPr>
      <t xml:space="preserve">樓</t>
    </r>
  </si>
  <si>
    <t xml:space="preserve">(03)2878335</t>
  </si>
  <si>
    <r>
      <rPr>
        <sz val="10"/>
        <color rgb="FF1F2A28"/>
        <rFont val="WenQuanYi Zen Hei"/>
        <family val="2"/>
      </rPr>
      <t xml:space="preserve">美語、國中文理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、高中文理</t>
    </r>
    <r>
      <rPr>
        <sz val="10"/>
        <color rgb="FF1F2A28"/>
        <rFont val="Arial"/>
        <family val="0"/>
        <charset val="1"/>
      </rPr>
      <t xml:space="preserve">(</t>
    </r>
    <r>
      <rPr>
        <sz val="10"/>
        <color rgb="FF1F2A28"/>
        <rFont val="WenQuanYi Zen Hei"/>
        <family val="2"/>
      </rPr>
      <t xml:space="preserve">英數</t>
    </r>
    <r>
      <rPr>
        <sz val="10"/>
        <color rgb="FF1F2A28"/>
        <rFont val="Arial"/>
        <family val="0"/>
        <charset val="1"/>
      </rPr>
      <t xml:space="preserve">)</t>
    </r>
  </si>
  <si>
    <t xml:space="preserve">精英國際教育管理顧問股份有限公司附設私立精湛文理短期補習班</t>
  </si>
  <si>
    <r>
      <rPr>
        <sz val="10"/>
        <color rgb="FF1F2A28"/>
        <rFont val="WenQuanYi Zen Hei"/>
        <family val="2"/>
      </rPr>
      <t xml:space="preserve">大園區菓林路</t>
    </r>
    <r>
      <rPr>
        <sz val="10"/>
        <color rgb="FF1F2A28"/>
        <rFont val="Arial"/>
        <family val="0"/>
        <charset val="1"/>
      </rPr>
      <t xml:space="preserve">119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</si>
  <si>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(03)3832697</t>
  </si>
  <si>
    <t xml:space="preserve">elite0000957@gmail.com</t>
  </si>
  <si>
    <t xml:space="preserve">2020-08-11</t>
  </si>
  <si>
    <t xml:space="preserve">王麗瓔</t>
  </si>
  <si>
    <t xml:space="preserve">華鈞文教事業股份有限公司附設私立華鈞文理短期補習班</t>
  </si>
  <si>
    <r>
      <rPr>
        <sz val="10"/>
        <color rgb="FF1F2A28"/>
        <rFont val="WenQuanYi Zen Hei"/>
        <family val="2"/>
      </rPr>
      <t xml:space="preserve">大園區新生路四段</t>
    </r>
    <r>
      <rPr>
        <sz val="10"/>
        <color rgb="FF1F2A28"/>
        <rFont val="Arial"/>
        <family val="0"/>
        <charset val="1"/>
      </rPr>
      <t xml:space="preserve">121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123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樓部分</t>
    </r>
  </si>
  <si>
    <t xml:space="preserve">(03)2872985</t>
  </si>
  <si>
    <t xml:space="preserve">Qingpu.ty@eagletw.com</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</si>
  <si>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低年級</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中年級</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高年級</t>
    </r>
    <r>
      <rPr>
        <sz val="10"/>
        <color rgb="FF1F2A28"/>
        <rFont val="Arial"/>
        <family val="0"/>
        <charset val="1"/>
      </rPr>
      <t xml:space="preserve">)</t>
    </r>
  </si>
  <si>
    <t xml:space="preserve">2023-11-07</t>
  </si>
  <si>
    <t xml:space="preserve">甘禮維</t>
  </si>
  <si>
    <r>
      <rPr>
        <sz val="10"/>
        <color rgb="FF1F2A28"/>
        <rFont val="WenQuanYi Zen Hei"/>
        <family val="2"/>
      </rPr>
      <t xml:space="preserve">大園區大勇路</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</si>
  <si>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(03)2873931</t>
  </si>
  <si>
    <t xml:space="preserve">逗點國際教育事業股份有限公司附設私立逗點文理短期補習班方舟分班</t>
  </si>
  <si>
    <r>
      <rPr>
        <sz val="10"/>
        <color rgb="FF1F2A28"/>
        <rFont val="WenQuanYi Zen Hei"/>
        <family val="2"/>
      </rPr>
      <t xml:space="preserve">大園區大觀路</t>
    </r>
    <r>
      <rPr>
        <sz val="10"/>
        <color rgb="FF1F2A28"/>
        <rFont val="Arial"/>
        <family val="0"/>
        <charset val="1"/>
      </rPr>
      <t xml:space="preserve">995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部分</t>
    </r>
    <r>
      <rPr>
        <sz val="10"/>
        <color rgb="FF1F2A28"/>
        <rFont val="Arial"/>
        <family val="0"/>
        <charset val="1"/>
      </rPr>
      <t xml:space="preserve">)</t>
    </r>
    <r>
      <rPr>
        <sz val="10"/>
        <color rgb="FF1F2A28"/>
        <rFont val="WenQuanYi Zen Hei"/>
        <family val="2"/>
      </rPr>
      <t xml:space="preserve">及</t>
    </r>
    <r>
      <rPr>
        <sz val="10"/>
        <color rgb="FF1F2A28"/>
        <rFont val="Arial"/>
        <family val="0"/>
        <charset val="1"/>
      </rPr>
      <t xml:space="preserve">2</t>
    </r>
    <r>
      <rPr>
        <sz val="10"/>
        <color rgb="FF1F2A28"/>
        <rFont val="WenQuanYi Zen Hei"/>
        <family val="2"/>
      </rPr>
      <t xml:space="preserve">樓</t>
    </r>
  </si>
  <si>
    <t xml:space="preserve">(03)3840850</t>
  </si>
  <si>
    <t xml:space="preserve">2018-09-27</t>
  </si>
  <si>
    <t xml:space="preserve">林思誼</t>
  </si>
  <si>
    <t xml:space="preserve">逗點國際教育事業股份有限公司附設私立逗點文理短期補習班晨光分班</t>
  </si>
  <si>
    <r>
      <rPr>
        <sz val="10"/>
        <color rgb="FF1F2A28"/>
        <rFont val="WenQuanYi Zen Hei"/>
        <family val="2"/>
      </rPr>
      <t xml:space="preserve">大園區中正二街</t>
    </r>
    <r>
      <rPr>
        <sz val="10"/>
        <color rgb="FF1F2A28"/>
        <rFont val="Arial"/>
        <family val="0"/>
        <charset val="1"/>
      </rPr>
      <t xml:space="preserve">69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</si>
  <si>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(03)3868911</t>
  </si>
  <si>
    <t xml:space="preserve">2015-11-23</t>
  </si>
  <si>
    <t xml:space="preserve">余羿賢</t>
  </si>
  <si>
    <t xml:space="preserve">環愛國際教育管理顧問股份有限公司附設私立迪卡爾美語文理短期補習班</t>
  </si>
  <si>
    <r>
      <rPr>
        <sz val="10"/>
        <color rgb="FF1F2A28"/>
        <rFont val="WenQuanYi Zen Hei"/>
        <family val="2"/>
      </rPr>
      <t xml:space="preserve">大溪區僑愛一街</t>
    </r>
    <r>
      <rPr>
        <sz val="10"/>
        <color rgb="FF1F2A28"/>
        <rFont val="Arial"/>
        <family val="0"/>
        <charset val="1"/>
      </rPr>
      <t xml:space="preserve">2</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</si>
  <si>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(03)3072970</t>
  </si>
  <si>
    <t xml:space="preserve">dsc3072969@gmail.com</t>
  </si>
  <si>
    <t xml:space="preserve">洪禎穗</t>
  </si>
  <si>
    <t xml:space="preserve">私立仁和佳佳文理短期補習班</t>
  </si>
  <si>
    <r>
      <rPr>
        <sz val="10"/>
        <color rgb="FF1F2A28"/>
        <rFont val="WenQuanYi Zen Hei"/>
        <family val="2"/>
      </rPr>
      <t xml:space="preserve">大溪區仁和七街</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</si>
  <si>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(03)3807320</t>
  </si>
  <si>
    <t xml:space="preserve">lean3807320@yahoo.com.tw</t>
  </si>
  <si>
    <r>
      <rPr>
        <sz val="10"/>
        <color rgb="FF1F2A28"/>
        <rFont val="WenQuanYi Zen Hei"/>
        <family val="2"/>
      </rPr>
      <t xml:space="preserve">英語、國中</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</si>
  <si>
    <t xml:space="preserve">2025-09-16</t>
  </si>
  <si>
    <t xml:space="preserve">邱嘉家</t>
  </si>
  <si>
    <t xml:space="preserve">私立仁和美語短期補習班</t>
  </si>
  <si>
    <r>
      <rPr>
        <sz val="10"/>
        <color rgb="FF1F2A28"/>
        <rFont val="WenQuanYi Zen Hei"/>
        <family val="2"/>
      </rPr>
      <t xml:space="preserve">大溪區仁和二街</t>
    </r>
    <r>
      <rPr>
        <sz val="10"/>
        <color rgb="FF1F2A28"/>
        <rFont val="Arial"/>
        <family val="0"/>
        <charset val="1"/>
      </rPr>
      <t xml:space="preserve">125</t>
    </r>
    <r>
      <rPr>
        <sz val="10"/>
        <color rgb="FF1F2A28"/>
        <rFont val="WenQuanYi Zen Hei"/>
        <family val="2"/>
      </rPr>
      <t xml:space="preserve">、</t>
    </r>
    <r>
      <rPr>
        <sz val="10"/>
        <color rgb="FF1F2A28"/>
        <rFont val="Arial"/>
        <family val="0"/>
        <charset val="1"/>
      </rPr>
      <t xml:space="preserve">127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</si>
  <si>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(03)3806988</t>
  </si>
  <si>
    <t xml:space="preserve">iustdoit0308@gmail.com</t>
  </si>
  <si>
    <t xml:space="preserve">美語高級班、美語初級班、美語英檢班、美語中級班</t>
  </si>
  <si>
    <t xml:space="preserve">2014-08-20</t>
  </si>
  <si>
    <t xml:space="preserve">蔡佩玲</t>
  </si>
  <si>
    <t xml:space="preserve">私立僑城英語數學文理短期補習班</t>
  </si>
  <si>
    <r>
      <rPr>
        <sz val="10"/>
        <color rgb="FF1F2A28"/>
        <rFont val="WenQuanYi Zen Hei"/>
        <family val="2"/>
      </rPr>
      <t xml:space="preserve">大溪區仁善街</t>
    </r>
    <r>
      <rPr>
        <sz val="10"/>
        <color rgb="FF1F2A28"/>
        <rFont val="Arial"/>
        <family val="0"/>
        <charset val="1"/>
      </rPr>
      <t xml:space="preserve">96</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</si>
  <si>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(03)3906770</t>
  </si>
  <si>
    <t xml:space="preserve">singam0819@gmail.com</t>
  </si>
  <si>
    <r>
      <rPr>
        <sz val="10"/>
        <color rgb="FF1F2A28"/>
        <rFont val="WenQuanYi Zen Hei"/>
        <family val="2"/>
      </rPr>
      <t xml:space="preserve">英語、文理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t>
    </r>
    <r>
      <rPr>
        <sz val="10"/>
        <color rgb="FF1F2A28"/>
        <rFont val="Arial"/>
        <family val="0"/>
        <charset val="1"/>
      </rPr>
      <t xml:space="preserve">)</t>
    </r>
  </si>
  <si>
    <t xml:space="preserve">2014-02-12</t>
  </si>
  <si>
    <t xml:space="preserve">盧子豪</t>
  </si>
  <si>
    <t xml:space="preserve">舒貝兒．里慕伊</t>
  </si>
  <si>
    <t xml:space="preserve">私立凱濼美語文理短期補習班</t>
  </si>
  <si>
    <r>
      <rPr>
        <sz val="10"/>
        <color rgb="FF1F2A28"/>
        <rFont val="WenQuanYi Zen Hei"/>
        <family val="2"/>
      </rPr>
      <t xml:space="preserve">大溪區介壽路</t>
    </r>
    <r>
      <rPr>
        <sz val="10"/>
        <color rgb="FF1F2A28"/>
        <rFont val="Arial"/>
        <family val="0"/>
        <charset val="1"/>
      </rPr>
      <t xml:space="preserve">212</t>
    </r>
    <r>
      <rPr>
        <sz val="10"/>
        <color rgb="FF1F2A28"/>
        <rFont val="WenQuanYi Zen Hei"/>
        <family val="2"/>
      </rPr>
      <t xml:space="preserve">巷</t>
    </r>
    <r>
      <rPr>
        <sz val="10"/>
        <color rgb="FF1F2A28"/>
        <rFont val="Arial"/>
        <family val="0"/>
        <charset val="1"/>
      </rPr>
      <t xml:space="preserve">70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</si>
  <si>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(03)3803369</t>
  </si>
  <si>
    <t xml:space="preserve">jojoapr@gmail.com</t>
  </si>
  <si>
    <r>
      <rPr>
        <sz val="10"/>
        <color rgb="FF1F2A28"/>
        <rFont val="WenQuanYi Zen Hei"/>
        <family val="2"/>
      </rPr>
      <t xml:space="preserve">兒童美語</t>
    </r>
    <r>
      <rPr>
        <sz val="10"/>
        <color rgb="FF1F2A28"/>
        <rFont val="Arial"/>
        <family val="0"/>
        <charset val="1"/>
      </rPr>
      <t xml:space="preserve">(ABC)</t>
    </r>
    <r>
      <rPr>
        <sz val="10"/>
        <color rgb="FF1F2A28"/>
        <rFont val="WenQuanYi Zen Hei"/>
        <family val="2"/>
      </rPr>
      <t xml:space="preserve">、英檢</t>
    </r>
    <r>
      <rPr>
        <sz val="10"/>
        <color rgb="FF1F2A28"/>
        <rFont val="Arial"/>
        <family val="0"/>
        <charset val="1"/>
      </rPr>
      <t xml:space="preserve">(AB)2</t>
    </r>
    <r>
      <rPr>
        <sz val="10"/>
        <color rgb="FF1F2A28"/>
        <rFont val="WenQuanYi Zen Hei"/>
        <family val="2"/>
      </rPr>
      <t xml:space="preserve">班、數理</t>
    </r>
    <r>
      <rPr>
        <sz val="10"/>
        <color rgb="FF1F2A28"/>
        <rFont val="Arial"/>
        <family val="0"/>
        <charset val="1"/>
      </rPr>
      <t xml:space="preserve">(</t>
    </r>
    <r>
      <rPr>
        <sz val="10"/>
        <color rgb="FF1F2A28"/>
        <rFont val="WenQuanYi Zen Hei"/>
        <family val="2"/>
      </rPr>
      <t xml:space="preserve">數學</t>
    </r>
    <r>
      <rPr>
        <sz val="10"/>
        <color rgb="FF1F2A28"/>
        <rFont val="Arial"/>
        <family val="0"/>
        <charset val="1"/>
      </rPr>
      <t xml:space="preserve">(AB)</t>
    </r>
    <r>
      <rPr>
        <sz val="10"/>
        <color rgb="FF1F2A28"/>
        <rFont val="WenQuanYi Zen Hei"/>
        <family val="2"/>
      </rPr>
      <t xml:space="preserve">、英檢</t>
    </r>
    <r>
      <rPr>
        <sz val="10"/>
        <color rgb="FF1F2A28"/>
        <rFont val="Arial"/>
        <family val="0"/>
        <charset val="1"/>
      </rPr>
      <t xml:space="preserve">B</t>
    </r>
    <r>
      <rPr>
        <sz val="10"/>
        <color rgb="FF1F2A28"/>
        <rFont val="WenQuanYi Zen Hei"/>
        <family val="2"/>
      </rPr>
      <t xml:space="preserve">、英檢</t>
    </r>
    <r>
      <rPr>
        <sz val="10"/>
        <color rgb="FF1F2A28"/>
        <rFont val="Arial"/>
        <family val="0"/>
        <charset val="1"/>
      </rPr>
      <t xml:space="preserve">A</t>
    </r>
  </si>
  <si>
    <t xml:space="preserve">2020-03-19</t>
  </si>
  <si>
    <t xml:space="preserve">劉羿蘭</t>
  </si>
  <si>
    <t xml:space="preserve">私立哲青文理短期補習班仁和分班</t>
  </si>
  <si>
    <r>
      <rPr>
        <sz val="10"/>
        <color rgb="FF1F2A28"/>
        <rFont val="WenQuanYi Zen Hei"/>
        <family val="2"/>
      </rPr>
      <t xml:space="preserve">大溪區仁和七街</t>
    </r>
    <r>
      <rPr>
        <sz val="10"/>
        <color rgb="FF1F2A28"/>
        <rFont val="Arial"/>
        <family val="0"/>
        <charset val="1"/>
      </rPr>
      <t xml:space="preserve">49</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</si>
  <si>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(03)3895750</t>
  </si>
  <si>
    <t xml:space="preserve">jy3071313@gmail.com</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</si>
  <si>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</si>
  <si>
    <t xml:space="preserve">2016-10-21</t>
  </si>
  <si>
    <t xml:space="preserve">黃庭浩</t>
  </si>
  <si>
    <t xml:space="preserve">私立培元文理短期補習班</t>
  </si>
  <si>
    <r>
      <rPr>
        <sz val="10"/>
        <color rgb="FF1F2A28"/>
        <rFont val="WenQuanYi Zen Hei"/>
        <family val="2"/>
      </rPr>
      <t xml:space="preserve">大溪區仁和七街</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</si>
  <si>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(03)3893334</t>
  </si>
  <si>
    <t xml:space="preserve">py3893334@gmail.com</t>
  </si>
  <si>
    <t xml:space="preserve">英數班、英數理班</t>
  </si>
  <si>
    <t xml:space="preserve">2006-10-14</t>
  </si>
  <si>
    <t xml:space="preserve">孟繁皓</t>
  </si>
  <si>
    <t xml:space="preserve">楊晟譽</t>
  </si>
  <si>
    <t xml:space="preserve">私立埼安語文文理短期補習班僑愛分班</t>
  </si>
  <si>
    <r>
      <rPr>
        <sz val="10"/>
        <color rgb="FF1F2A28"/>
        <rFont val="WenQuanYi Zen Hei"/>
        <family val="2"/>
      </rPr>
      <t xml:space="preserve">大溪區僑愛一街</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</si>
  <si>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(03)3900456</t>
  </si>
  <si>
    <t xml:space="preserve">chiaoai.live@gmail.com</t>
  </si>
  <si>
    <r>
      <rPr>
        <sz val="10"/>
        <color rgb="FF1F2A28"/>
        <rFont val="WenQuanYi Zen Hei"/>
        <family val="2"/>
      </rPr>
      <t xml:space="preserve">美語、文理甲班</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</si>
  <si>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2005-07-29</t>
  </si>
  <si>
    <t xml:space="preserve">謝美如</t>
  </si>
  <si>
    <t xml:space="preserve">私立大正語文文理短期補習班</t>
  </si>
  <si>
    <r>
      <rPr>
        <sz val="10"/>
        <color rgb="FF1F2A28"/>
        <rFont val="WenQuanYi Zen Hei"/>
        <family val="2"/>
      </rPr>
      <t xml:space="preserve">大溪區登龍路</t>
    </r>
    <r>
      <rPr>
        <sz val="10"/>
        <color rgb="FF1F2A28"/>
        <rFont val="Arial"/>
        <family val="0"/>
        <charset val="1"/>
      </rPr>
      <t xml:space="preserve">5-5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</si>
  <si>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03-3877712</t>
  </si>
  <si>
    <t xml:space="preserve">monica@singbwo.com.tw</t>
  </si>
  <si>
    <t xml:space="preserve">2010-11-16</t>
  </si>
  <si>
    <t xml:space="preserve">莊惠玲</t>
  </si>
  <si>
    <t xml:space="preserve">私立安森爾文理短期補習班</t>
  </si>
  <si>
    <r>
      <rPr>
        <sz val="10"/>
        <color rgb="FF1F2A28"/>
        <rFont val="WenQuanYi Zen Hei"/>
        <family val="2"/>
      </rPr>
      <t xml:space="preserve">大溪區仁和七街</t>
    </r>
    <r>
      <rPr>
        <sz val="10"/>
        <color rgb="FF1F2A28"/>
        <rFont val="Arial"/>
        <family val="0"/>
        <charset val="1"/>
      </rPr>
      <t xml:space="preserve">253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部分</t>
    </r>
    <r>
      <rPr>
        <sz val="10"/>
        <color rgb="FF1F2A28"/>
        <rFont val="Arial"/>
        <family val="0"/>
        <charset val="1"/>
      </rPr>
      <t xml:space="preserve">)</t>
    </r>
    <r>
      <rPr>
        <sz val="10"/>
        <color rgb="FF1F2A28"/>
        <rFont val="WenQuanYi Zen Hei"/>
        <family val="2"/>
      </rPr>
      <t xml:space="preserve">及</t>
    </r>
    <r>
      <rPr>
        <sz val="10"/>
        <color rgb="FF1F2A28"/>
        <rFont val="Arial"/>
        <family val="0"/>
        <charset val="1"/>
      </rPr>
      <t xml:space="preserve">2-4</t>
    </r>
    <r>
      <rPr>
        <sz val="10"/>
        <color rgb="FF1F2A28"/>
        <rFont val="WenQuanYi Zen Hei"/>
        <family val="2"/>
      </rPr>
      <t xml:space="preserve">樓</t>
    </r>
  </si>
  <si>
    <t xml:space="preserve">(03)3900903</t>
  </si>
  <si>
    <t xml:space="preserve">beautiful73731@yahoo.com.tw</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</si>
  <si>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</si>
  <si>
    <t xml:space="preserve">徐雅玲</t>
  </si>
  <si>
    <t xml:space="preserve">私立愛學習文理語文數學心算短期補習班</t>
  </si>
  <si>
    <r>
      <rPr>
        <sz val="10"/>
        <color rgb="FF1F2A28"/>
        <rFont val="WenQuanYi Zen Hei"/>
        <family val="2"/>
      </rPr>
      <t xml:space="preserve">大溪區員林路一段</t>
    </r>
    <r>
      <rPr>
        <sz val="10"/>
        <color rgb="FF1F2A28"/>
        <rFont val="Arial"/>
        <family val="0"/>
        <charset val="1"/>
      </rPr>
      <t xml:space="preserve">229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部分</t>
    </r>
    <r>
      <rPr>
        <sz val="10"/>
        <color rgb="FF1F2A28"/>
        <rFont val="Arial"/>
        <family val="0"/>
        <charset val="1"/>
      </rPr>
      <t xml:space="preserve">)</t>
    </r>
    <r>
      <rPr>
        <sz val="10"/>
        <color rgb="FF1F2A28"/>
        <rFont val="WenQuanYi Zen Hei"/>
        <family val="2"/>
      </rPr>
      <t xml:space="preserve">及</t>
    </r>
    <r>
      <rPr>
        <sz val="10"/>
        <color rgb="FF1F2A28"/>
        <rFont val="Arial"/>
        <family val="0"/>
        <charset val="1"/>
      </rPr>
      <t xml:space="preserve">2-4</t>
    </r>
    <r>
      <rPr>
        <sz val="10"/>
        <color rgb="FF1F2A28"/>
        <rFont val="WenQuanYi Zen Hei"/>
        <family val="2"/>
      </rPr>
      <t xml:space="preserve">樓</t>
    </r>
  </si>
  <si>
    <t xml:space="preserve">(03)3809885</t>
  </si>
  <si>
    <t xml:space="preserve">demi5423demi5423@yahoo.com.tw</t>
  </si>
  <si>
    <t xml:space="preserve">2018-08-08</t>
  </si>
  <si>
    <t xml:space="preserve">許色棉</t>
  </si>
  <si>
    <t xml:space="preserve">羅浚瑋</t>
  </si>
  <si>
    <r>
      <rPr>
        <sz val="10"/>
        <color rgb="FF1F2A28"/>
        <rFont val="WenQuanYi Zen Hei"/>
        <family val="2"/>
      </rPr>
      <t xml:space="preserve">大溪區三元一街</t>
    </r>
    <r>
      <rPr>
        <sz val="10"/>
        <color rgb="FF1F2A28"/>
        <rFont val="Arial"/>
        <family val="0"/>
        <charset val="1"/>
      </rPr>
      <t xml:space="preserve">49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</si>
  <si>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(03)3909559</t>
  </si>
  <si>
    <r>
      <rPr>
        <sz val="10"/>
        <color rgb="FF1F2A28"/>
        <rFont val="WenQuanYi Zen Hei"/>
        <family val="2"/>
      </rPr>
      <t xml:space="preserve">美語</t>
    </r>
    <r>
      <rPr>
        <sz val="10"/>
        <color rgb="FF1F2A28"/>
        <rFont val="Arial"/>
        <family val="0"/>
        <charset val="1"/>
      </rPr>
      <t xml:space="preserve">B</t>
    </r>
    <r>
      <rPr>
        <sz val="10"/>
        <color rgb="FF1F2A28"/>
        <rFont val="WenQuanYi Zen Hei"/>
        <family val="2"/>
      </rPr>
      <t xml:space="preserve">班、美語</t>
    </r>
    <r>
      <rPr>
        <sz val="10"/>
        <color rgb="FF1F2A28"/>
        <rFont val="Arial"/>
        <family val="0"/>
        <charset val="1"/>
      </rPr>
      <t xml:space="preserve">A</t>
    </r>
    <r>
      <rPr>
        <sz val="10"/>
        <color rgb="FF1F2A28"/>
        <rFont val="WenQuanYi Zen Hei"/>
        <family val="2"/>
      </rPr>
      <t xml:space="preserve">班</t>
    </r>
  </si>
  <si>
    <t xml:space="preserve">私立橙采文理語文短期補習班</t>
  </si>
  <si>
    <r>
      <rPr>
        <sz val="10"/>
        <color rgb="FF1F2A28"/>
        <rFont val="WenQuanYi Zen Hei"/>
        <family val="2"/>
      </rPr>
      <t xml:space="preserve">大溪區士香街</t>
    </r>
    <r>
      <rPr>
        <sz val="10"/>
        <color rgb="FF1F2A28"/>
        <rFont val="Arial"/>
        <family val="0"/>
        <charset val="1"/>
      </rPr>
      <t xml:space="preserve">129</t>
    </r>
    <r>
      <rPr>
        <sz val="10"/>
        <color rgb="FF1F2A28"/>
        <rFont val="WenQuanYi Zen Hei"/>
        <family val="2"/>
      </rPr>
      <t xml:space="preserve">號</t>
    </r>
    <r>
      <rPr>
        <sz val="10"/>
        <color rgb="FF1F2A28"/>
        <rFont val="Arial"/>
        <family val="0"/>
        <charset val="1"/>
      </rPr>
      <t xml:space="preserve">3-4</t>
    </r>
    <r>
      <rPr>
        <sz val="10"/>
        <color rgb="FF1F2A28"/>
        <rFont val="WenQuanYi Zen Hei"/>
        <family val="2"/>
      </rPr>
      <t xml:space="preserve">樓</t>
    </r>
  </si>
  <si>
    <t xml:space="preserve">(03)3802275</t>
  </si>
  <si>
    <t xml:space="preserve">ruby3802275@gmail.com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</si>
  <si>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科、美語科</t>
    </r>
  </si>
  <si>
    <t xml:space="preserve">2016-08-29</t>
  </si>
  <si>
    <t xml:space="preserve">莊貿凱</t>
  </si>
  <si>
    <t xml:space="preserve">凌欽華</t>
  </si>
  <si>
    <t xml:space="preserve">私立武陵高手文理美語短期補習班</t>
  </si>
  <si>
    <r>
      <rPr>
        <sz val="10"/>
        <color rgb="FF1F2A28"/>
        <rFont val="WenQuanYi Zen Hei"/>
        <family val="2"/>
      </rPr>
      <t xml:space="preserve">大溪區信義路</t>
    </r>
    <r>
      <rPr>
        <sz val="10"/>
        <color rgb="FF1F2A28"/>
        <rFont val="Arial"/>
        <family val="0"/>
        <charset val="1"/>
      </rPr>
      <t xml:space="preserve">102</t>
    </r>
    <r>
      <rPr>
        <sz val="10"/>
        <color rgb="FF1F2A28"/>
        <rFont val="WenQuanYi Zen Hei"/>
        <family val="2"/>
      </rPr>
      <t xml:space="preserve">巷</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</si>
  <si>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(03)3874359</t>
  </si>
  <si>
    <t xml:space="preserve">chien9848@yahoo.com.tw</t>
  </si>
  <si>
    <t xml:space="preserve">2009-07-28</t>
  </si>
  <si>
    <t xml:space="preserve">陳秀惠</t>
  </si>
  <si>
    <t xml:space="preserve">陳瑞蘭</t>
  </si>
  <si>
    <t xml:space="preserve">私立沛文文理短期補習班</t>
  </si>
  <si>
    <r>
      <rPr>
        <sz val="10"/>
        <color rgb="FF1F2A28"/>
        <rFont val="WenQuanYi Zen Hei"/>
        <family val="2"/>
      </rPr>
      <t xml:space="preserve">大溪區僑愛一街</t>
    </r>
    <r>
      <rPr>
        <sz val="10"/>
        <color rgb="FF1F2A28"/>
        <rFont val="Arial"/>
        <family val="0"/>
        <charset val="1"/>
      </rPr>
      <t xml:space="preserve">46</t>
    </r>
    <r>
      <rPr>
        <sz val="10"/>
        <color rgb="FF1F2A28"/>
        <rFont val="WenQuanYi Zen Hei"/>
        <family val="2"/>
      </rPr>
      <t xml:space="preserve">巷</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</si>
  <si>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(03)3800838</t>
  </si>
  <si>
    <t xml:space="preserve">a9064538@gmail.com</t>
  </si>
  <si>
    <r>
      <rPr>
        <sz val="10"/>
        <color rgb="FF1F2A28"/>
        <rFont val="WenQuanYi Zen Hei"/>
        <family val="2"/>
      </rPr>
      <t xml:space="preserve">美語、國中文理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</si>
  <si>
    <t xml:space="preserve">2026-05-28</t>
  </si>
  <si>
    <t xml:space="preserve">楊沛綺</t>
  </si>
  <si>
    <r>
      <rPr>
        <sz val="10"/>
        <color rgb="FF1F2A28"/>
        <rFont val="WenQuanYi Zen Hei"/>
        <family val="2"/>
      </rPr>
      <t xml:space="preserve">大溪區仁善三街</t>
    </r>
    <r>
      <rPr>
        <sz val="10"/>
        <color rgb="FF1F2A28"/>
        <rFont val="Arial"/>
        <family val="0"/>
        <charset val="1"/>
      </rPr>
      <t xml:space="preserve">142</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</si>
  <si>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(03)3900868</t>
  </si>
  <si>
    <t xml:space="preserve">私立立凱英語數學短期補習班</t>
  </si>
  <si>
    <r>
      <rPr>
        <sz val="10"/>
        <color rgb="FF1F2A28"/>
        <rFont val="WenQuanYi Zen Hei"/>
        <family val="2"/>
      </rPr>
      <t xml:space="preserve">大溪區員林路二段</t>
    </r>
    <r>
      <rPr>
        <sz val="10"/>
        <color rgb="FF1F2A28"/>
        <rFont val="Arial"/>
        <family val="0"/>
        <charset val="1"/>
      </rPr>
      <t xml:space="preserve">416</t>
    </r>
    <r>
      <rPr>
        <sz val="10"/>
        <color rgb="FF1F2A28"/>
        <rFont val="WenQuanYi Zen Hei"/>
        <family val="2"/>
      </rPr>
      <t xml:space="preserve">巷</t>
    </r>
    <r>
      <rPr>
        <sz val="10"/>
        <color rgb="FF1F2A28"/>
        <rFont val="Arial"/>
        <family val="0"/>
        <charset val="1"/>
      </rPr>
      <t xml:space="preserve">40</t>
    </r>
    <r>
      <rPr>
        <sz val="10"/>
        <color rgb="FF1F2A28"/>
        <rFont val="WenQuanYi Zen Hei"/>
        <family val="2"/>
      </rPr>
      <t xml:space="preserve">弄</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</si>
  <si>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(03)3802303</t>
  </si>
  <si>
    <t xml:space="preserve">dorisys93@gmail.com</t>
  </si>
  <si>
    <t xml:space="preserve">2015-09-07</t>
  </si>
  <si>
    <t xml:space="preserve">謝采秦</t>
  </si>
  <si>
    <r>
      <rPr>
        <sz val="10"/>
        <color rgb="FF1F2A28"/>
        <rFont val="WenQuanYi Zen Hei"/>
        <family val="2"/>
      </rPr>
      <t xml:space="preserve">大溪區仁德七街</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</si>
  <si>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(03)3807073</t>
  </si>
  <si>
    <t xml:space="preserve">私立維思登語文短期補習班田心分班</t>
  </si>
  <si>
    <r>
      <rPr>
        <sz val="10"/>
        <color rgb="FF1F2A28"/>
        <rFont val="WenQuanYi Zen Hei"/>
        <family val="2"/>
      </rPr>
      <t xml:space="preserve">大溪區文化路</t>
    </r>
    <r>
      <rPr>
        <sz val="10"/>
        <color rgb="FF1F2A28"/>
        <rFont val="Arial"/>
        <family val="0"/>
        <charset val="1"/>
      </rPr>
      <t xml:space="preserve">105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</si>
  <si>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(03)3871898</t>
  </si>
  <si>
    <t xml:space="preserve">李宗俊</t>
  </si>
  <si>
    <t xml:space="preserve">徐詠翔</t>
  </si>
  <si>
    <r>
      <rPr>
        <sz val="10"/>
        <color rgb="FF1F2A28"/>
        <rFont val="WenQuanYi Zen Hei"/>
        <family val="2"/>
      </rPr>
      <t xml:space="preserve">大溪區中正路</t>
    </r>
    <r>
      <rPr>
        <sz val="10"/>
        <color rgb="FF1F2A28"/>
        <rFont val="Arial"/>
        <family val="0"/>
        <charset val="1"/>
      </rPr>
      <t xml:space="preserve">45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</si>
  <si>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(03)3886962</t>
  </si>
  <si>
    <t xml:space="preserve">私立芸軒文理技藝短期補習班仁和分班</t>
  </si>
  <si>
    <r>
      <rPr>
        <sz val="10"/>
        <color rgb="FF1F2A28"/>
        <rFont val="WenQuanYi Zen Hei"/>
        <family val="2"/>
      </rPr>
      <t xml:space="preserve">大溪區埔頂路一段</t>
    </r>
    <r>
      <rPr>
        <sz val="10"/>
        <color rgb="FF1F2A28"/>
        <rFont val="Arial"/>
        <family val="0"/>
        <charset val="1"/>
      </rPr>
      <t xml:space="preserve">146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</si>
  <si>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(03)3893046</t>
  </si>
  <si>
    <t xml:space="preserve">amy_cute_QQ@hotmail.com</t>
  </si>
  <si>
    <t xml:space="preserve">美語初級班、美語進階班</t>
  </si>
  <si>
    <t xml:space="preserve">郭靜芸</t>
  </si>
  <si>
    <t xml:space="preserve">石于軒</t>
  </si>
  <si>
    <t xml:space="preserve">私立英傑美語短期補習班</t>
  </si>
  <si>
    <r>
      <rPr>
        <sz val="10"/>
        <color rgb="FF1F2A28"/>
        <rFont val="WenQuanYi Zen Hei"/>
        <family val="2"/>
      </rPr>
      <t xml:space="preserve">大溪區仁和東街</t>
    </r>
    <r>
      <rPr>
        <sz val="10"/>
        <color rgb="FF1F2A28"/>
        <rFont val="Arial"/>
        <family val="0"/>
        <charset val="1"/>
      </rPr>
      <t xml:space="preserve">101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</si>
  <si>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(03)3075399</t>
  </si>
  <si>
    <t xml:space="preserve">a0978225789@gmail.com</t>
  </si>
  <si>
    <t xml:space="preserve">2008-11-25</t>
  </si>
  <si>
    <t xml:space="preserve">林建樑</t>
  </si>
  <si>
    <t xml:space="preserve">私立藤峰數學美語短期補習班</t>
  </si>
  <si>
    <r>
      <rPr>
        <sz val="10"/>
        <color rgb="FF1F2A28"/>
        <rFont val="WenQuanYi Zen Hei"/>
        <family val="2"/>
      </rPr>
      <t xml:space="preserve">大溪區仁和七街</t>
    </r>
    <r>
      <rPr>
        <sz val="10"/>
        <color rgb="FF1F2A28"/>
        <rFont val="Arial"/>
        <family val="0"/>
        <charset val="1"/>
      </rPr>
      <t xml:space="preserve">280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</si>
  <si>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(03)3803933</t>
  </si>
  <si>
    <t xml:space="preserve">keiko_x522@yahoo.com.tw</t>
  </si>
  <si>
    <t xml:space="preserve">2015-11-06</t>
  </si>
  <si>
    <t xml:space="preserve">田雅齡</t>
  </si>
  <si>
    <t xml:space="preserve">蔡甄玲</t>
  </si>
  <si>
    <t xml:space="preserve">私立貝特美語短期補習班</t>
  </si>
  <si>
    <r>
      <rPr>
        <sz val="10"/>
        <color rgb="FF1F2A28"/>
        <rFont val="WenQuanYi Zen Hei"/>
        <family val="2"/>
      </rPr>
      <t xml:space="preserve">大溪區公園路</t>
    </r>
    <r>
      <rPr>
        <sz val="10"/>
        <color rgb="FF1F2A28"/>
        <rFont val="Arial"/>
        <family val="0"/>
        <charset val="1"/>
      </rPr>
      <t xml:space="preserve">143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</si>
  <si>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(03)3070838</t>
  </si>
  <si>
    <t xml:space="preserve">Christiehuang75@hotmail.com</t>
  </si>
  <si>
    <t xml:space="preserve">2007-12-05</t>
  </si>
  <si>
    <t xml:space="preserve">黃偉苓</t>
  </si>
  <si>
    <t xml:space="preserve">私立銓心語文短期補習班</t>
  </si>
  <si>
    <r>
      <rPr>
        <sz val="10"/>
        <color rgb="FF1F2A28"/>
        <rFont val="WenQuanYi Zen Hei"/>
        <family val="2"/>
      </rPr>
      <t xml:space="preserve">大溪區仁和路一段</t>
    </r>
    <r>
      <rPr>
        <sz val="10"/>
        <color rgb="FF1F2A28"/>
        <rFont val="Arial"/>
        <family val="0"/>
        <charset val="1"/>
      </rPr>
      <t xml:space="preserve">97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</si>
  <si>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(03)3808607</t>
  </si>
  <si>
    <t xml:space="preserve">2009-05-06</t>
  </si>
  <si>
    <t xml:space="preserve">鍾怡婷</t>
  </si>
  <si>
    <t xml:space="preserve">朱瑩融</t>
  </si>
  <si>
    <r>
      <rPr>
        <sz val="10"/>
        <color rgb="FF1F2A28"/>
        <rFont val="WenQuanYi Zen Hei"/>
        <family val="2"/>
      </rPr>
      <t xml:space="preserve">大溪區三元三街</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</si>
  <si>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(03)3909931</t>
  </si>
  <si>
    <t xml:space="preserve">私立頂強數學語文短期補習班</t>
  </si>
  <si>
    <r>
      <rPr>
        <sz val="10"/>
        <color rgb="FF1F2A28"/>
        <rFont val="WenQuanYi Zen Hei"/>
        <family val="2"/>
      </rPr>
      <t xml:space="preserve">大溪區中華路</t>
    </r>
    <r>
      <rPr>
        <sz val="10"/>
        <color rgb="FF1F2A28"/>
        <rFont val="Arial"/>
        <family val="0"/>
        <charset val="1"/>
      </rPr>
      <t xml:space="preserve">201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</si>
  <si>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(03)3871812</t>
  </si>
  <si>
    <t xml:space="preserve">2006-10-23</t>
  </si>
  <si>
    <t xml:space="preserve">李宗麟</t>
  </si>
  <si>
    <t xml:space="preserve">勝騰國際文化有限公司附設私立孟林文理短期補習班</t>
  </si>
  <si>
    <r>
      <rPr>
        <sz val="10"/>
        <color rgb="FF1F2A28"/>
        <rFont val="WenQuanYi Zen Hei"/>
        <family val="2"/>
      </rPr>
      <t xml:space="preserve">平鎮區廣德街</t>
    </r>
    <r>
      <rPr>
        <sz val="10"/>
        <color rgb="FF1F2A28"/>
        <rFont val="Arial"/>
        <family val="0"/>
        <charset val="1"/>
      </rPr>
      <t xml:space="preserve">196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</si>
  <si>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(03)4931308</t>
  </si>
  <si>
    <t xml:space="preserve">Ethen1129889@gmail.com</t>
  </si>
  <si>
    <t xml:space="preserve">2024-09-04</t>
  </si>
  <si>
    <t xml:space="preserve">邱泰峰</t>
  </si>
  <si>
    <t xml:space="preserve">環愛國際教育管理顧問股份有限公司附設私立大方文理短期補習班龍安分班</t>
  </si>
  <si>
    <r>
      <rPr>
        <sz val="10"/>
        <color rgb="FF1F2A28"/>
        <rFont val="WenQuanYi Zen Hei"/>
        <family val="2"/>
      </rPr>
      <t xml:space="preserve">平鎮區龍南路</t>
    </r>
    <r>
      <rPr>
        <sz val="10"/>
        <color rgb="FF1F2A28"/>
        <rFont val="Arial"/>
        <family val="0"/>
        <charset val="1"/>
      </rPr>
      <t xml:space="preserve">430</t>
    </r>
    <r>
      <rPr>
        <sz val="10"/>
        <color rgb="FF1F2A28"/>
        <rFont val="WenQuanYi Zen Hei"/>
        <family val="2"/>
      </rPr>
      <t xml:space="preserve">巷</t>
    </r>
    <r>
      <rPr>
        <sz val="10"/>
        <color rgb="FF1F2A28"/>
        <rFont val="Arial"/>
        <family val="0"/>
        <charset val="1"/>
      </rPr>
      <t xml:space="preserve">65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</si>
  <si>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(03)4607711</t>
  </si>
  <si>
    <t xml:space="preserve">2025-04-23</t>
  </si>
  <si>
    <t xml:space="preserve">薛佩伃</t>
  </si>
  <si>
    <t xml:space="preserve">環愛國際教育管理顧問股份有限公司附設私立大方美語數學短期補習班</t>
  </si>
  <si>
    <r>
      <rPr>
        <sz val="10"/>
        <color rgb="FF1F2A28"/>
        <rFont val="WenQuanYi Zen Hei"/>
        <family val="2"/>
      </rPr>
      <t xml:space="preserve">平鎮區龍安路</t>
    </r>
    <r>
      <rPr>
        <sz val="10"/>
        <color rgb="FF1F2A28"/>
        <rFont val="Arial"/>
        <family val="0"/>
        <charset val="1"/>
      </rPr>
      <t xml:space="preserve">155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</si>
  <si>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2019-12-06</t>
  </si>
  <si>
    <t xml:space="preserve">許翠真</t>
  </si>
  <si>
    <t xml:space="preserve">私立一千英文文理短期補習班</t>
  </si>
  <si>
    <r>
      <rPr>
        <sz val="10"/>
        <color rgb="FF1F2A28"/>
        <rFont val="WenQuanYi Zen Hei"/>
        <family val="2"/>
      </rPr>
      <t xml:space="preserve">平鎮區振興路</t>
    </r>
    <r>
      <rPr>
        <sz val="10"/>
        <color rgb="FF1F2A28"/>
        <rFont val="Arial"/>
        <family val="0"/>
        <charset val="1"/>
      </rPr>
      <t xml:space="preserve">59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2</t>
    </r>
    <r>
      <rPr>
        <sz val="10"/>
        <color rgb="FF1F2A28"/>
        <rFont val="WenQuanYi Zen Hei"/>
        <family val="2"/>
      </rPr>
      <t xml:space="preserve">樓部分</t>
    </r>
  </si>
  <si>
    <t xml:space="preserve">(03)4592258</t>
  </si>
  <si>
    <t xml:space="preserve">ycliu@callutheran.edu</t>
  </si>
  <si>
    <t xml:space="preserve">高中英文、國中英文、國中會考英文、英檢證照</t>
  </si>
  <si>
    <t xml:space="preserve">劉奕謙</t>
  </si>
  <si>
    <r>
      <rPr>
        <sz val="10"/>
        <color rgb="FF1F2A28"/>
        <rFont val="WenQuanYi Zen Hei"/>
        <family val="2"/>
      </rPr>
      <t xml:space="preserve">平鎮區文化街</t>
    </r>
    <r>
      <rPr>
        <sz val="10"/>
        <color rgb="FF1F2A28"/>
        <rFont val="Arial"/>
        <family val="0"/>
        <charset val="1"/>
      </rPr>
      <t xml:space="preserve">86</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</si>
  <si>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(03)2810128</t>
  </si>
  <si>
    <t xml:space="preserve">私立二十一世紀美語短期補習班</t>
  </si>
  <si>
    <r>
      <rPr>
        <sz val="10"/>
        <color rgb="FF1F2A28"/>
        <rFont val="WenQuanYi Zen Hei"/>
        <family val="2"/>
      </rPr>
      <t xml:space="preserve">平鎮區文化街</t>
    </r>
    <r>
      <rPr>
        <sz val="10"/>
        <color rgb="FF1F2A28"/>
        <rFont val="Arial"/>
        <family val="0"/>
        <charset val="1"/>
      </rPr>
      <t xml:space="preserve">204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</si>
  <si>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(03)4910226</t>
  </si>
  <si>
    <t xml:space="preserve">2000-12-05</t>
  </si>
  <si>
    <t xml:space="preserve">李銀鳳</t>
  </si>
  <si>
    <t xml:space="preserve">私立佳峯英語會話短期補習班</t>
  </si>
  <si>
    <r>
      <rPr>
        <sz val="10"/>
        <color rgb="FF1F2A28"/>
        <rFont val="WenQuanYi Zen Hei"/>
        <family val="2"/>
      </rPr>
      <t xml:space="preserve">平鎮區文化街</t>
    </r>
    <r>
      <rPr>
        <sz val="10"/>
        <color rgb="FF1F2A28"/>
        <rFont val="Arial"/>
        <family val="0"/>
        <charset val="1"/>
      </rPr>
      <t xml:space="preserve">235</t>
    </r>
    <r>
      <rPr>
        <sz val="10"/>
        <color rgb="FF1F2A28"/>
        <rFont val="WenQuanYi Zen Hei"/>
        <family val="2"/>
      </rPr>
      <t xml:space="preserve">號</t>
    </r>
    <r>
      <rPr>
        <sz val="10"/>
        <color rgb="FF1F2A28"/>
        <rFont val="Arial"/>
        <family val="0"/>
        <charset val="1"/>
      </rPr>
      <t xml:space="preserve">2-3F,237</t>
    </r>
    <r>
      <rPr>
        <sz val="10"/>
        <color rgb="FF1F2A28"/>
        <rFont val="WenQuanYi Zen Hei"/>
        <family val="2"/>
      </rPr>
      <t xml:space="preserve">號</t>
    </r>
    <r>
      <rPr>
        <sz val="10"/>
        <color rgb="FF1F2A28"/>
        <rFont val="Arial"/>
        <family val="0"/>
        <charset val="1"/>
      </rPr>
      <t xml:space="preserve">2-3F</t>
    </r>
  </si>
  <si>
    <t xml:space="preserve">(03)4026766</t>
  </si>
  <si>
    <t xml:space="preserve">bb089@joy.com.tw</t>
  </si>
  <si>
    <t xml:space="preserve">2007-05-04</t>
  </si>
  <si>
    <t xml:space="preserve">陳惠琬</t>
  </si>
  <si>
    <t xml:space="preserve">私立佳昌語文數學文理短期補習班</t>
  </si>
  <si>
    <r>
      <rPr>
        <sz val="10"/>
        <color rgb="FF1F2A28"/>
        <rFont val="WenQuanYi Zen Hei"/>
        <family val="2"/>
      </rPr>
      <t xml:space="preserve">平鎮區中豐路南勢二段</t>
    </r>
    <r>
      <rPr>
        <sz val="10"/>
        <color rgb="FF1F2A28"/>
        <rFont val="Arial"/>
        <family val="0"/>
        <charset val="1"/>
      </rPr>
      <t xml:space="preserve">239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</si>
  <si>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(03)4031267</t>
  </si>
  <si>
    <t xml:space="preserve">hun.chin22@gmail.com</t>
  </si>
  <si>
    <t xml:space="preserve">2017-01-09</t>
  </si>
  <si>
    <t xml:space="preserve">陳美珍</t>
  </si>
  <si>
    <t xml:space="preserve">私立傑出語文短期補習班</t>
  </si>
  <si>
    <r>
      <rPr>
        <sz val="10"/>
        <color rgb="FF1F2A28"/>
        <rFont val="WenQuanYi Zen Hei"/>
        <family val="2"/>
      </rPr>
      <t xml:space="preserve">平鎮區延平路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178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</si>
  <si>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(03)4936144</t>
  </si>
  <si>
    <t xml:space="preserve">michong29@gmail.com</t>
  </si>
  <si>
    <t xml:space="preserve">1998-01-13</t>
  </si>
  <si>
    <t xml:space="preserve">萬啟后</t>
  </si>
  <si>
    <t xml:space="preserve">私立創價美語短期補習班</t>
  </si>
  <si>
    <r>
      <rPr>
        <sz val="10"/>
        <color rgb="FF1F2A28"/>
        <rFont val="WenQuanYi Zen Hei"/>
        <family val="2"/>
      </rPr>
      <t xml:space="preserve">平鎮區平東路</t>
    </r>
    <r>
      <rPr>
        <sz val="10"/>
        <color rgb="FF1F2A28"/>
        <rFont val="Arial"/>
        <family val="0"/>
        <charset val="1"/>
      </rPr>
      <t xml:space="preserve">84</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</si>
  <si>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(03)4601859</t>
  </si>
  <si>
    <t xml:space="preserve">a0919247307@gmail.com</t>
  </si>
  <si>
    <t xml:space="preserve">2002-05-17</t>
  </si>
  <si>
    <t xml:space="preserve">李美燕</t>
  </si>
  <si>
    <t xml:space="preserve">私立力揚文理語文短期補習班</t>
  </si>
  <si>
    <r>
      <rPr>
        <sz val="10"/>
        <color rgb="FF1F2A28"/>
        <rFont val="WenQuanYi Zen Hei"/>
        <family val="2"/>
      </rPr>
      <t xml:space="preserve">平鎮區平東路</t>
    </r>
    <r>
      <rPr>
        <sz val="10"/>
        <color rgb="FF1F2A28"/>
        <rFont val="Arial"/>
        <family val="0"/>
        <charset val="1"/>
      </rPr>
      <t xml:space="preserve">297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</si>
  <si>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(03)4506126</t>
  </si>
  <si>
    <t xml:space="preserve">michelllelin@gmail.com</t>
  </si>
  <si>
    <t xml:space="preserve">2004-05-19</t>
  </si>
  <si>
    <t xml:space="preserve">林慧菁</t>
  </si>
  <si>
    <t xml:space="preserve">葉時彰</t>
  </si>
  <si>
    <t xml:space="preserve">私立功學文理語文自然科學短期補習班</t>
  </si>
  <si>
    <r>
      <rPr>
        <sz val="10"/>
        <color rgb="FF1F2A28"/>
        <rFont val="WenQuanYi Zen Hei"/>
        <family val="2"/>
      </rPr>
      <t xml:space="preserve">平鎮區中豐路南勢二段</t>
    </r>
    <r>
      <rPr>
        <sz val="10"/>
        <color rgb="FF1F2A28"/>
        <rFont val="Arial"/>
        <family val="0"/>
        <charset val="1"/>
      </rPr>
      <t xml:space="preserve">381</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</si>
  <si>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(03)4399450</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</si>
  <si>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</si>
  <si>
    <t xml:space="preserve">2017-10-23</t>
  </si>
  <si>
    <r>
      <rPr>
        <sz val="10"/>
        <color rgb="FF1F2A28"/>
        <rFont val="WenQuanYi Zen Hei"/>
        <family val="2"/>
      </rPr>
      <t xml:space="preserve">平鎮區廣德街</t>
    </r>
    <r>
      <rPr>
        <sz val="10"/>
        <color rgb="FF1F2A28"/>
        <rFont val="Arial"/>
        <family val="0"/>
        <charset val="1"/>
      </rPr>
      <t xml:space="preserve">93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</si>
  <si>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(03)4922061</t>
  </si>
  <si>
    <t xml:space="preserve">私立勵成語文文理短期補習班</t>
  </si>
  <si>
    <r>
      <rPr>
        <sz val="10"/>
        <color rgb="FF1F2A28"/>
        <rFont val="WenQuanYi Zen Hei"/>
        <family val="2"/>
      </rPr>
      <t xml:space="preserve">平鎮區延平路一段</t>
    </r>
    <r>
      <rPr>
        <sz val="10"/>
        <color rgb="FF1F2A28"/>
        <rFont val="Arial"/>
        <family val="0"/>
        <charset val="1"/>
      </rPr>
      <t xml:space="preserve">146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4</t>
    </r>
    <r>
      <rPr>
        <sz val="10"/>
        <color rgb="FF1F2A28"/>
        <rFont val="WenQuanYi Zen Hei"/>
        <family val="2"/>
      </rPr>
      <t xml:space="preserve">樓及夾層</t>
    </r>
  </si>
  <si>
    <t xml:space="preserve">(03)4227870</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</si>
  <si>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班、美語</t>
    </r>
    <r>
      <rPr>
        <sz val="10"/>
        <color rgb="FF1F2A28"/>
        <rFont val="Arial"/>
        <family val="0"/>
        <charset val="1"/>
      </rPr>
      <t xml:space="preserve">B</t>
    </r>
    <r>
      <rPr>
        <sz val="10"/>
        <color rgb="FF1F2A28"/>
        <rFont val="WenQuanYi Zen Hei"/>
        <family val="2"/>
      </rPr>
      <t xml:space="preserve">班</t>
    </r>
  </si>
  <si>
    <t xml:space="preserve">私立博儒文理美語珠算短期補習班</t>
  </si>
  <si>
    <r>
      <rPr>
        <sz val="10"/>
        <color rgb="FF1F2A28"/>
        <rFont val="WenQuanYi Zen Hei"/>
        <family val="2"/>
      </rPr>
      <t xml:space="preserve">平鎮區湧光路</t>
    </r>
    <r>
      <rPr>
        <sz val="10"/>
        <color rgb="FF1F2A28"/>
        <rFont val="Arial"/>
        <family val="0"/>
        <charset val="1"/>
      </rPr>
      <t xml:space="preserve">2</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弄</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</si>
  <si>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(03)4696465</t>
  </si>
  <si>
    <t xml:space="preserve">wendypeng523@gmail.com</t>
  </si>
  <si>
    <t xml:space="preserve">2005-04-07</t>
  </si>
  <si>
    <t xml:space="preserve">鄧美容</t>
  </si>
  <si>
    <r>
      <rPr>
        <sz val="10"/>
        <color rgb="FF1F2A28"/>
        <rFont val="WenQuanYi Zen Hei"/>
        <family val="2"/>
      </rPr>
      <t xml:space="preserve">私立喬加樂美語數學文理短期補習班</t>
    </r>
    <r>
      <rPr>
        <sz val="10"/>
        <color rgb="FF1F2A28"/>
        <rFont val="Arial"/>
        <family val="0"/>
        <charset val="1"/>
      </rPr>
      <t xml:space="preserve">-</t>
    </r>
    <r>
      <rPr>
        <sz val="10"/>
        <color rgb="FF1F2A28"/>
        <rFont val="WenQuanYi Zen Hei"/>
        <family val="2"/>
      </rPr>
      <t xml:space="preserve">平鎮分班</t>
    </r>
  </si>
  <si>
    <r>
      <rPr>
        <sz val="10"/>
        <color rgb="FF1F2A28"/>
        <rFont val="WenQuanYi Zen Hei"/>
        <family val="2"/>
      </rPr>
      <t xml:space="preserve">平鎮區和平路</t>
    </r>
    <r>
      <rPr>
        <sz val="10"/>
        <color rgb="FF1F2A28"/>
        <rFont val="Arial"/>
        <family val="0"/>
        <charset val="1"/>
      </rPr>
      <t xml:space="preserve">148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</si>
  <si>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(03)4570452</t>
  </si>
  <si>
    <t xml:space="preserve">葉慧君</t>
  </si>
  <si>
    <t xml:space="preserve">吳曜雯</t>
  </si>
  <si>
    <t xml:space="preserve">私立嘉分文理短期補習班</t>
  </si>
  <si>
    <r>
      <rPr>
        <sz val="10"/>
        <color rgb="FF1F2A28"/>
        <rFont val="WenQuanYi Zen Hei"/>
        <family val="2"/>
      </rPr>
      <t xml:space="preserve">平鎮區環南路三段</t>
    </r>
    <r>
      <rPr>
        <sz val="10"/>
        <color rgb="FF1F2A28"/>
        <rFont val="Arial"/>
        <family val="0"/>
        <charset val="1"/>
      </rPr>
      <t xml:space="preserve">53-1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</si>
  <si>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(03)4579669</t>
  </si>
  <si>
    <t xml:space="preserve">Hs2253@hess.com.tw</t>
  </si>
  <si>
    <r>
      <rPr>
        <sz val="10"/>
        <color rgb="FF1F2A28"/>
        <rFont val="WenQuanYi Zen Hei"/>
        <family val="2"/>
      </rPr>
      <t xml:space="preserve">美語</t>
    </r>
    <r>
      <rPr>
        <sz val="10"/>
        <color rgb="FF1F2A28"/>
        <rFont val="Arial"/>
        <family val="0"/>
        <charset val="1"/>
      </rPr>
      <t xml:space="preserve">(IA)</t>
    </r>
    <r>
      <rPr>
        <sz val="10"/>
        <color rgb="FF1F2A28"/>
        <rFont val="WenQuanYi Zen Hei"/>
        <family val="2"/>
      </rPr>
      <t xml:space="preserve">、美語</t>
    </r>
    <r>
      <rPr>
        <sz val="10"/>
        <color rgb="FF1F2A28"/>
        <rFont val="Arial"/>
        <family val="0"/>
        <charset val="1"/>
      </rPr>
      <t xml:space="preserve">(ESL)</t>
    </r>
    <r>
      <rPr>
        <sz val="10"/>
        <color rgb="FF1F2A28"/>
        <rFont val="WenQuanYi Zen Hei"/>
        <family val="2"/>
      </rPr>
      <t xml:space="preserve">、美語</t>
    </r>
    <r>
      <rPr>
        <sz val="10"/>
        <color rgb="FF1F2A28"/>
        <rFont val="Arial"/>
        <family val="0"/>
        <charset val="1"/>
      </rPr>
      <t xml:space="preserve">(THP)</t>
    </r>
  </si>
  <si>
    <t xml:space="preserve">2024-06-20</t>
  </si>
  <si>
    <t xml:space="preserve">潘玉如</t>
  </si>
  <si>
    <r>
      <rPr>
        <sz val="10"/>
        <color rgb="FF1F2A28"/>
        <rFont val="WenQuanYi Zen Hei"/>
        <family val="2"/>
      </rPr>
      <t xml:space="preserve">平鎮區金陵路三段</t>
    </r>
    <r>
      <rPr>
        <sz val="10"/>
        <color rgb="FF1F2A28"/>
        <rFont val="Arial"/>
        <family val="0"/>
        <charset val="1"/>
      </rPr>
      <t xml:space="preserve">150</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弄</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</si>
  <si>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(03)4589120</t>
  </si>
  <si>
    <t xml:space="preserve">私立大格文理語文短期補習班</t>
  </si>
  <si>
    <r>
      <rPr>
        <sz val="10"/>
        <color rgb="FF1F2A28"/>
        <rFont val="WenQuanYi Zen Hei"/>
        <family val="2"/>
      </rPr>
      <t xml:space="preserve">平鎮區廣成街</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</si>
  <si>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(03)4922280</t>
  </si>
  <si>
    <t xml:space="preserve">fudan.live@gmail.com</t>
  </si>
  <si>
    <t xml:space="preserve">私立大銘語文文理數學短期補習班</t>
  </si>
  <si>
    <r>
      <rPr>
        <sz val="10"/>
        <color rgb="FF1F2A28"/>
        <rFont val="WenQuanYi Zen Hei"/>
        <family val="2"/>
      </rPr>
      <t xml:space="preserve">平鎮區廣西路</t>
    </r>
    <r>
      <rPr>
        <sz val="10"/>
        <color rgb="FF1F2A28"/>
        <rFont val="Arial"/>
        <family val="0"/>
        <charset val="1"/>
      </rPr>
      <t xml:space="preserve">30</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1~2F</t>
    </r>
    <r>
      <rPr>
        <sz val="10"/>
        <color rgb="FF1F2A28"/>
        <rFont val="WenQuanYi Zen Hei"/>
        <family val="2"/>
      </rPr>
      <t xml:space="preserve">及</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</si>
  <si>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(03)4912269</t>
  </si>
  <si>
    <t xml:space="preserve">weiyun0218@gmail.com</t>
  </si>
  <si>
    <t xml:space="preserve">2008-07-16</t>
  </si>
  <si>
    <t xml:space="preserve">劉駿宏</t>
  </si>
  <si>
    <t xml:space="preserve">私立天力文理短期補習班</t>
  </si>
  <si>
    <r>
      <rPr>
        <sz val="10"/>
        <color rgb="FF1F2A28"/>
        <rFont val="WenQuanYi Zen Hei"/>
        <family val="2"/>
      </rPr>
      <t xml:space="preserve">平鎮區平東路</t>
    </r>
    <r>
      <rPr>
        <sz val="10"/>
        <color rgb="FF1F2A28"/>
        <rFont val="Arial"/>
        <family val="0"/>
        <charset val="1"/>
      </rPr>
      <t xml:space="preserve">134-3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</si>
  <si>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(03)4606645</t>
  </si>
  <si>
    <t xml:space="preserve">grantis0109@gmail.com</t>
  </si>
  <si>
    <t xml:space="preserve">2009-11-24</t>
  </si>
  <si>
    <t xml:space="preserve">廖美瓊</t>
  </si>
  <si>
    <t xml:space="preserve">曹毓君</t>
  </si>
  <si>
    <t xml:space="preserve">私立奇果數學語文短期補習班</t>
  </si>
  <si>
    <r>
      <rPr>
        <sz val="10"/>
        <color rgb="FF1F2A28"/>
        <rFont val="WenQuanYi Zen Hei"/>
        <family val="2"/>
      </rPr>
      <t xml:space="preserve">平鎮區廣義街</t>
    </r>
    <r>
      <rPr>
        <sz val="10"/>
        <color rgb="FF1F2A28"/>
        <rFont val="Arial"/>
        <family val="0"/>
        <charset val="1"/>
      </rPr>
      <t xml:space="preserve">25</t>
    </r>
    <r>
      <rPr>
        <sz val="10"/>
        <color rgb="FF1F2A28"/>
        <rFont val="WenQuanYi Zen Hei"/>
        <family val="2"/>
      </rPr>
      <t xml:space="preserve">巷</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</si>
  <si>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(03)4939292</t>
  </si>
  <si>
    <t xml:space="preserve">carolhsu18@yahoo.com.tw</t>
  </si>
  <si>
    <t xml:space="preserve">2018-05-15</t>
  </si>
  <si>
    <t xml:space="preserve">許秀甘</t>
  </si>
  <si>
    <t xml:space="preserve">梁財榮</t>
  </si>
  <si>
    <t xml:space="preserve">私立奈特爾美語文理數學作文美術短期補習班</t>
  </si>
  <si>
    <r>
      <rPr>
        <sz val="10"/>
        <color rgb="FF1F2A28"/>
        <rFont val="WenQuanYi Zen Hei"/>
        <family val="2"/>
      </rPr>
      <t xml:space="preserve">平鎮區義興街</t>
    </r>
    <r>
      <rPr>
        <sz val="10"/>
        <color rgb="FF1F2A28"/>
        <rFont val="Arial"/>
        <family val="0"/>
        <charset val="1"/>
      </rPr>
      <t xml:space="preserve">46</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</si>
  <si>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(03)4013327</t>
  </si>
  <si>
    <t xml:space="preserve">Neter.tw@gmail.com</t>
  </si>
  <si>
    <t xml:space="preserve">林峻葳</t>
  </si>
  <si>
    <t xml:space="preserve">私立學堡美語文理音樂短期補習班</t>
  </si>
  <si>
    <r>
      <rPr>
        <sz val="10"/>
        <color rgb="FF1F2A28"/>
        <rFont val="WenQuanYi Zen Hei"/>
        <family val="2"/>
      </rPr>
      <t xml:space="preserve">平鎮區中豐路南勢二段</t>
    </r>
    <r>
      <rPr>
        <sz val="10"/>
        <color rgb="FF1F2A28"/>
        <rFont val="Arial"/>
        <family val="0"/>
        <charset val="1"/>
      </rPr>
      <t xml:space="preserve">297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</si>
  <si>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(03)4398855</t>
  </si>
  <si>
    <t xml:space="preserve">鍾昇華</t>
  </si>
  <si>
    <t xml:space="preserve">私立學盟文理美語短期補習班</t>
  </si>
  <si>
    <r>
      <rPr>
        <sz val="10"/>
        <color rgb="FF1F2A28"/>
        <rFont val="WenQuanYi Zen Hei"/>
        <family val="2"/>
      </rPr>
      <t xml:space="preserve">平鎮區環南路</t>
    </r>
    <r>
      <rPr>
        <sz val="10"/>
        <color rgb="FF1F2A28"/>
        <rFont val="Arial"/>
        <family val="0"/>
        <charset val="1"/>
      </rPr>
      <t xml:space="preserve">411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及</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2,415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</si>
  <si>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(03)4010177</t>
  </si>
  <si>
    <t xml:space="preserve">F65391@gmail.com</t>
  </si>
  <si>
    <t xml:space="preserve">2005-08-29</t>
  </si>
  <si>
    <t xml:space="preserve">馮文傑</t>
  </si>
  <si>
    <t xml:space="preserve">私立寶美美語短期補習班</t>
  </si>
  <si>
    <r>
      <rPr>
        <sz val="10"/>
        <color rgb="FF1F2A28"/>
        <rFont val="WenQuanYi Zen Hei"/>
        <family val="2"/>
      </rPr>
      <t xml:space="preserve">平鎮區龍南路</t>
    </r>
    <r>
      <rPr>
        <sz val="10"/>
        <color rgb="FF1F2A28"/>
        <rFont val="Arial"/>
        <family val="0"/>
        <charset val="1"/>
      </rPr>
      <t xml:space="preserve">353</t>
    </r>
    <r>
      <rPr>
        <sz val="10"/>
        <color rgb="FF1F2A28"/>
        <rFont val="WenQuanYi Zen Hei"/>
        <family val="2"/>
      </rPr>
      <t xml:space="preserve">巷</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</si>
  <si>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0910522399</t>
  </si>
  <si>
    <t xml:space="preserve">wenchang601224@gmail.com</t>
  </si>
  <si>
    <t xml:space="preserve">2000-03-06</t>
  </si>
  <si>
    <t xml:space="preserve">莊淑華</t>
  </si>
  <si>
    <t xml:space="preserve">楊玉華</t>
  </si>
  <si>
    <t xml:space="preserve">私立小奶爸美語技藝短期補習班</t>
  </si>
  <si>
    <r>
      <rPr>
        <sz val="10"/>
        <color rgb="FF1F2A28"/>
        <rFont val="WenQuanYi Zen Hei"/>
        <family val="2"/>
      </rPr>
      <t xml:space="preserve">平鎮區工業南路</t>
    </r>
    <r>
      <rPr>
        <sz val="10"/>
        <color rgb="FF1F2A28"/>
        <rFont val="Arial"/>
        <family val="0"/>
        <charset val="1"/>
      </rPr>
      <t xml:space="preserve">53</t>
    </r>
    <r>
      <rPr>
        <sz val="10"/>
        <color rgb="FF1F2A28"/>
        <rFont val="WenQuanYi Zen Hei"/>
        <family val="2"/>
      </rPr>
      <t xml:space="preserve">巷</t>
    </r>
    <r>
      <rPr>
        <sz val="10"/>
        <color rgb="FF1F2A28"/>
        <rFont val="Arial"/>
        <family val="0"/>
        <charset val="1"/>
      </rPr>
      <t xml:space="preserve">30</t>
    </r>
    <r>
      <rPr>
        <sz val="10"/>
        <color rgb="FF1F2A28"/>
        <rFont val="WenQuanYi Zen Hei"/>
        <family val="2"/>
      </rPr>
      <t xml:space="preserve">弄</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1~2F</t>
    </r>
  </si>
  <si>
    <t xml:space="preserve">(03)4193895</t>
  </si>
  <si>
    <t xml:space="preserve">randy1020520804@gmail.com</t>
  </si>
  <si>
    <t xml:space="preserve">2008-08-01</t>
  </si>
  <si>
    <t xml:space="preserve">朱濬璟</t>
  </si>
  <si>
    <r>
      <rPr>
        <sz val="10"/>
        <color rgb="FF1F2A28"/>
        <rFont val="WenQuanYi Zen Hei"/>
        <family val="2"/>
      </rPr>
      <t xml:space="preserve">平鎮區文化街</t>
    </r>
    <r>
      <rPr>
        <sz val="10"/>
        <color rgb="FF1F2A28"/>
        <rFont val="Arial"/>
        <family val="0"/>
        <charset val="1"/>
      </rPr>
      <t xml:space="preserve">63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</si>
  <si>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(03)4932615</t>
  </si>
  <si>
    <r>
      <rPr>
        <sz val="10"/>
        <color rgb="FF1F2A28"/>
        <rFont val="WenQuanYi Zen Hei"/>
        <family val="2"/>
      </rPr>
      <t xml:space="preserve">平鎮區湧安路</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</si>
  <si>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(03)4192435</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</si>
  <si>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t>
    </r>
    <r>
      <rPr>
        <sz val="10"/>
        <color rgb="FF1F2A28"/>
        <rFont val="Arial"/>
        <family val="0"/>
        <charset val="1"/>
      </rPr>
      <t xml:space="preserve">C</t>
    </r>
    <r>
      <rPr>
        <sz val="10"/>
        <color rgb="FF1F2A28"/>
        <rFont val="WenQuanYi Zen Hei"/>
        <family val="2"/>
      </rPr>
      <t xml:space="preserve">、</t>
    </r>
    <r>
      <rPr>
        <sz val="10"/>
        <color rgb="FF1F2A28"/>
        <rFont val="Arial"/>
        <family val="0"/>
        <charset val="1"/>
      </rPr>
      <t xml:space="preserve">D</t>
    </r>
    <r>
      <rPr>
        <sz val="10"/>
        <color rgb="FF1F2A28"/>
        <rFont val="WenQuanYi Zen Hei"/>
        <family val="2"/>
      </rPr>
      <t xml:space="preserve">、</t>
    </r>
    <r>
      <rPr>
        <sz val="10"/>
        <color rgb="FF1F2A28"/>
        <rFont val="Arial"/>
        <family val="0"/>
        <charset val="1"/>
      </rPr>
      <t xml:space="preserve">E)</t>
    </r>
  </si>
  <si>
    <t xml:space="preserve">私立崴森文理短期補習班</t>
  </si>
  <si>
    <r>
      <rPr>
        <sz val="10"/>
        <color rgb="FF1F2A28"/>
        <rFont val="WenQuanYi Zen Hei"/>
        <family val="2"/>
      </rPr>
      <t xml:space="preserve">平鎮區中豐路南勢二段</t>
    </r>
    <r>
      <rPr>
        <sz val="10"/>
        <color rgb="FF1F2A28"/>
        <rFont val="Arial"/>
        <family val="0"/>
        <charset val="1"/>
      </rPr>
      <t xml:space="preserve">293</t>
    </r>
    <r>
      <rPr>
        <sz val="10"/>
        <color rgb="FF1F2A28"/>
        <rFont val="WenQuanYi Zen Hei"/>
        <family val="2"/>
      </rPr>
      <t xml:space="preserve">、</t>
    </r>
    <r>
      <rPr>
        <sz val="10"/>
        <color rgb="FF1F2A28"/>
        <rFont val="Arial"/>
        <family val="0"/>
        <charset val="1"/>
      </rPr>
      <t xml:space="preserve">295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</si>
  <si>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(03)4396989</t>
  </si>
  <si>
    <t xml:space="preserve">mjc4396989@gmail.com</t>
  </si>
  <si>
    <r>
      <rPr>
        <sz val="10"/>
        <color rgb="FF1F2A28"/>
        <rFont val="WenQuanYi Zen Hei"/>
        <family val="2"/>
      </rPr>
      <t xml:space="preserve">美語、國中文理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科</t>
    </r>
  </si>
  <si>
    <t xml:space="preserve">2019-06-13</t>
  </si>
  <si>
    <t xml:space="preserve">巫佳紋</t>
  </si>
  <si>
    <t xml:space="preserve">私立巴赫音樂美語短期補習班</t>
  </si>
  <si>
    <r>
      <rPr>
        <sz val="10"/>
        <color rgb="FF1F2A28"/>
        <rFont val="WenQuanYi Zen Hei"/>
        <family val="2"/>
      </rPr>
      <t xml:space="preserve">平鎮區延平路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292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</si>
  <si>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(03)4951489</t>
  </si>
  <si>
    <t xml:space="preserve">bach.robot@gmail.com</t>
  </si>
  <si>
    <t xml:space="preserve">2006-12-29</t>
  </si>
  <si>
    <t xml:space="preserve">林寶衣</t>
  </si>
  <si>
    <t xml:space="preserve">高慧珊</t>
  </si>
  <si>
    <t xml:space="preserve">私立廷和語文文理短期補習班</t>
  </si>
  <si>
    <r>
      <rPr>
        <sz val="10"/>
        <color rgb="FF1F2A28"/>
        <rFont val="WenQuanYi Zen Hei"/>
        <family val="2"/>
      </rPr>
      <t xml:space="preserve">平鎮區延平路一段</t>
    </r>
    <r>
      <rPr>
        <sz val="10"/>
        <color rgb="FF1F2A28"/>
        <rFont val="Arial"/>
        <family val="0"/>
        <charset val="1"/>
      </rPr>
      <t xml:space="preserve">146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</si>
  <si>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(03)4270388</t>
  </si>
  <si>
    <t xml:space="preserve">2012-10-08</t>
  </si>
  <si>
    <t xml:space="preserve">彭智民</t>
  </si>
  <si>
    <t xml:space="preserve">孫智薇</t>
  </si>
  <si>
    <r>
      <rPr>
        <sz val="10"/>
        <color rgb="FF1F2A28"/>
        <rFont val="WenQuanYi Zen Hei"/>
        <family val="2"/>
      </rPr>
      <t xml:space="preserve">平鎮區文化街</t>
    </r>
    <r>
      <rPr>
        <sz val="10"/>
        <color rgb="FF1F2A28"/>
        <rFont val="Arial"/>
        <family val="0"/>
        <charset val="1"/>
      </rPr>
      <t xml:space="preserve">72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</si>
  <si>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(03)4938800</t>
  </si>
  <si>
    <t xml:space="preserve">私立建成文理語文短期補習班</t>
  </si>
  <si>
    <r>
      <rPr>
        <sz val="10"/>
        <color rgb="FF1F2A28"/>
        <rFont val="WenQuanYi Zen Hei"/>
        <family val="2"/>
      </rPr>
      <t xml:space="preserve">平鎮區長沙街</t>
    </r>
    <r>
      <rPr>
        <sz val="10"/>
        <color rgb="FF1F2A28"/>
        <rFont val="Arial"/>
        <family val="0"/>
        <charset val="1"/>
      </rPr>
      <t xml:space="preserve">46</t>
    </r>
    <r>
      <rPr>
        <sz val="10"/>
        <color rgb="FF1F2A28"/>
        <rFont val="WenQuanYi Zen Hei"/>
        <family val="2"/>
      </rPr>
      <t xml:space="preserve">巷</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</si>
  <si>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(03)4391461</t>
  </si>
  <si>
    <t xml:space="preserve">b4654321@ms35.hinet.net</t>
  </si>
  <si>
    <t xml:space="preserve">1999-02-23</t>
  </si>
  <si>
    <t xml:space="preserve">葉寶傳</t>
  </si>
  <si>
    <t xml:space="preserve">私立思塾文理短期補習班文化分班</t>
  </si>
  <si>
    <r>
      <rPr>
        <sz val="10"/>
        <color rgb="FF1F2A28"/>
        <rFont val="WenQuanYi Zen Hei"/>
        <family val="2"/>
      </rPr>
      <t xml:space="preserve">平鎮區廣德街</t>
    </r>
    <r>
      <rPr>
        <sz val="10"/>
        <color rgb="FF1F2A28"/>
        <rFont val="Arial"/>
        <family val="0"/>
        <charset val="1"/>
      </rPr>
      <t xml:space="preserve">179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</si>
  <si>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(03)4932828</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</si>
  <si>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科、高中文理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科、美語</t>
    </r>
  </si>
  <si>
    <t xml:space="preserve">2025-07-17</t>
  </si>
  <si>
    <t xml:space="preserve">高華成</t>
  </si>
  <si>
    <t xml:space="preserve">私立愛因斯坦文理短期補習班</t>
  </si>
  <si>
    <r>
      <rPr>
        <sz val="10"/>
        <color rgb="FF1F2A28"/>
        <rFont val="WenQuanYi Zen Hei"/>
        <family val="2"/>
      </rPr>
      <t xml:space="preserve">平鎮區復旦路二段</t>
    </r>
    <r>
      <rPr>
        <sz val="10"/>
        <color rgb="FF1F2A28"/>
        <rFont val="Arial"/>
        <family val="0"/>
        <charset val="1"/>
      </rPr>
      <t xml:space="preserve">211</t>
    </r>
    <r>
      <rPr>
        <sz val="10"/>
        <color rgb="FF1F2A28"/>
        <rFont val="WenQuanYi Zen Hei"/>
        <family val="2"/>
      </rPr>
      <t xml:space="preserve">巷</t>
    </r>
    <r>
      <rPr>
        <sz val="10"/>
        <color rgb="FF1F2A28"/>
        <rFont val="Arial"/>
        <family val="0"/>
        <charset val="1"/>
      </rPr>
      <t xml:space="preserve">27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</si>
  <si>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(03)4946226</t>
  </si>
  <si>
    <t xml:space="preserve">phn2001.tw@gmail.com</t>
  </si>
  <si>
    <t xml:space="preserve">潘定康</t>
  </si>
  <si>
    <t xml:space="preserve">私立成育文理語文短期補習班</t>
  </si>
  <si>
    <r>
      <rPr>
        <sz val="10"/>
        <color rgb="FF1F2A28"/>
        <rFont val="WenQuanYi Zen Hei"/>
        <family val="2"/>
      </rPr>
      <t xml:space="preserve">平鎮區新華北路</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</si>
  <si>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(03)4603534</t>
  </si>
  <si>
    <t xml:space="preserve">5864085@yahoo.com.tw</t>
  </si>
  <si>
    <t xml:space="preserve">呂萱</t>
  </si>
  <si>
    <t xml:space="preserve">私立房角石文理語文數學短期補習班</t>
  </si>
  <si>
    <r>
      <rPr>
        <sz val="10"/>
        <color rgb="FF1F2A28"/>
        <rFont val="WenQuanYi Zen Hei"/>
        <family val="2"/>
      </rPr>
      <t xml:space="preserve">平鎮區賦梅路</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</si>
  <si>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(03)4938600</t>
  </si>
  <si>
    <t xml:space="preserve">jw4949611@yahoo.com.tw</t>
  </si>
  <si>
    <t xml:space="preserve">2019-10-18</t>
  </si>
  <si>
    <t xml:space="preserve">卓志玉</t>
  </si>
  <si>
    <t xml:space="preserve">私立文騰文理語文數學短期補習班</t>
  </si>
  <si>
    <r>
      <rPr>
        <sz val="10"/>
        <color rgb="FF1F2A28"/>
        <rFont val="WenQuanYi Zen Hei"/>
        <family val="2"/>
      </rPr>
      <t xml:space="preserve">平鎮區環南路</t>
    </r>
    <r>
      <rPr>
        <sz val="10"/>
        <color rgb="FF1F2A28"/>
        <rFont val="Arial"/>
        <family val="0"/>
        <charset val="1"/>
      </rPr>
      <t xml:space="preserve">341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</si>
  <si>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03-4026698</t>
  </si>
  <si>
    <t xml:space="preserve">wenteng168@yahoo.com</t>
  </si>
  <si>
    <r>
      <rPr>
        <sz val="10"/>
        <color rgb="FF1F2A28"/>
        <rFont val="WenQuanYi Zen Hei"/>
        <family val="2"/>
      </rPr>
      <t xml:space="preserve">國英數自</t>
    </r>
    <r>
      <rPr>
        <sz val="10"/>
        <color rgb="FF1F2A28"/>
        <rFont val="Arial"/>
        <family val="0"/>
        <charset val="1"/>
      </rPr>
      <t xml:space="preserve">(</t>
    </r>
    <r>
      <rPr>
        <sz val="10"/>
        <color rgb="FF1F2A28"/>
        <rFont val="WenQuanYi Zen Hei"/>
        <family val="2"/>
      </rPr>
      <t xml:space="preserve">理</t>
    </r>
    <r>
      <rPr>
        <sz val="10"/>
        <color rgb="FF1F2A28"/>
        <rFont val="Arial"/>
        <family val="0"/>
        <charset val="1"/>
      </rPr>
      <t xml:space="preserve">)</t>
    </r>
    <r>
      <rPr>
        <sz val="10"/>
        <color rgb="FF1F2A28"/>
        <rFont val="WenQuanYi Zen Hei"/>
        <family val="2"/>
      </rPr>
      <t xml:space="preserve">、國英數自、美語</t>
    </r>
  </si>
  <si>
    <t xml:space="preserve">2014-10-16</t>
  </si>
  <si>
    <t xml:space="preserve">何孟峻</t>
  </si>
  <si>
    <t xml:space="preserve">私立新全晟語文文理短期補習班</t>
  </si>
  <si>
    <r>
      <rPr>
        <sz val="10"/>
        <color rgb="FF1F2A28"/>
        <rFont val="WenQuanYi Zen Hei"/>
        <family val="2"/>
      </rPr>
      <t xml:space="preserve">平鎮區中豐路</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</si>
  <si>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(03)4931900</t>
  </si>
  <si>
    <t xml:space="preserve">success20161101@gmail.com</t>
  </si>
  <si>
    <t xml:space="preserve">美語、國英數、自然英語</t>
  </si>
  <si>
    <t xml:space="preserve">2017-07-28</t>
  </si>
  <si>
    <t xml:space="preserve">吳品騰</t>
  </si>
  <si>
    <t xml:space="preserve">私立新吉的堡美語珠算短期補習班</t>
  </si>
  <si>
    <r>
      <rPr>
        <sz val="10"/>
        <color rgb="FF1F2A28"/>
        <rFont val="WenQuanYi Zen Hei"/>
        <family val="2"/>
      </rPr>
      <t xml:space="preserve">平鎮區新榮路</t>
    </r>
    <r>
      <rPr>
        <sz val="10"/>
        <color rgb="FF1F2A28"/>
        <rFont val="Arial"/>
        <family val="0"/>
        <charset val="1"/>
      </rPr>
      <t xml:space="preserve">16</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號及</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</si>
  <si>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(03)4926106</t>
  </si>
  <si>
    <t xml:space="preserve">a26095562@yahoo.com.tw</t>
  </si>
  <si>
    <t xml:space="preserve">李啟川</t>
  </si>
  <si>
    <t xml:space="preserve">私立新興數學語文短期補習班</t>
  </si>
  <si>
    <r>
      <rPr>
        <sz val="10"/>
        <color rgb="FF1F2A28"/>
        <rFont val="WenQuanYi Zen Hei"/>
        <family val="2"/>
      </rPr>
      <t xml:space="preserve">平鎮區新興路</t>
    </r>
    <r>
      <rPr>
        <sz val="10"/>
        <color rgb="FF1F2A28"/>
        <rFont val="Arial"/>
        <family val="0"/>
        <charset val="1"/>
      </rPr>
      <t xml:space="preserve">88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</si>
  <si>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(03)4914258</t>
  </si>
  <si>
    <t xml:space="preserve">2020-05-22</t>
  </si>
  <si>
    <t xml:space="preserve">張文敏</t>
  </si>
  <si>
    <t xml:space="preserve">楊家芸</t>
  </si>
  <si>
    <t xml:space="preserve">私立方華文理短期補習班復旦分班</t>
  </si>
  <si>
    <r>
      <rPr>
        <sz val="10"/>
        <color rgb="FF1F2A28"/>
        <rFont val="WenQuanYi Zen Hei"/>
        <family val="2"/>
      </rPr>
      <t xml:space="preserve">平鎮區廣達里</t>
    </r>
    <r>
      <rPr>
        <sz val="10"/>
        <color rgb="FF1F2A28"/>
        <rFont val="Arial"/>
        <family val="0"/>
        <charset val="1"/>
      </rPr>
      <t xml:space="preserve">15</t>
    </r>
    <r>
      <rPr>
        <sz val="10"/>
        <color rgb="FF1F2A28"/>
        <rFont val="WenQuanYi Zen Hei"/>
        <family val="2"/>
      </rPr>
      <t xml:space="preserve">鄰廣平街</t>
    </r>
    <r>
      <rPr>
        <sz val="10"/>
        <color rgb="FF1F2A28"/>
        <rFont val="Arial"/>
        <family val="0"/>
        <charset val="1"/>
      </rPr>
      <t xml:space="preserve">70</t>
    </r>
    <r>
      <rPr>
        <sz val="10"/>
        <color rgb="FF1F2A28"/>
        <rFont val="WenQuanYi Zen Hei"/>
        <family val="2"/>
      </rPr>
      <t xml:space="preserve">號</t>
    </r>
    <r>
      <rPr>
        <sz val="10"/>
        <color rgb="FF1F2A28"/>
        <rFont val="Arial"/>
        <family val="0"/>
        <charset val="1"/>
      </rPr>
      <t xml:space="preserve">1,2,3</t>
    </r>
    <r>
      <rPr>
        <sz val="10"/>
        <color rgb="FF1F2A28"/>
        <rFont val="WenQuanYi Zen Hei"/>
        <family val="2"/>
      </rPr>
      <t xml:space="preserve">樓</t>
    </r>
  </si>
  <si>
    <t xml:space="preserve">(03)4937888</t>
  </si>
  <si>
    <t xml:space="preserve">2013-09-27</t>
  </si>
  <si>
    <t xml:space="preserve">林詩晴</t>
  </si>
  <si>
    <t xml:space="preserve">私立旭揚文理短期補習班</t>
  </si>
  <si>
    <r>
      <rPr>
        <sz val="10"/>
        <color rgb="FF1F2A28"/>
        <rFont val="WenQuanYi Zen Hei"/>
        <family val="2"/>
      </rPr>
      <t xml:space="preserve">平鎮區平東路</t>
    </r>
    <r>
      <rPr>
        <sz val="10"/>
        <color rgb="FF1F2A28"/>
        <rFont val="Arial"/>
        <family val="0"/>
        <charset val="1"/>
      </rPr>
      <t xml:space="preserve">86</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弄</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</si>
  <si>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(03)4505876</t>
  </si>
  <si>
    <t xml:space="preserve">sunrise.kid@msa.hinet.net</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</si>
  <si>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班、美語</t>
    </r>
    <r>
      <rPr>
        <sz val="10"/>
        <color rgb="FF1F2A28"/>
        <rFont val="Arial"/>
        <family val="0"/>
        <charset val="1"/>
      </rPr>
      <t xml:space="preserve">C</t>
    </r>
    <r>
      <rPr>
        <sz val="10"/>
        <color rgb="FF1F2A28"/>
        <rFont val="WenQuanYi Zen Hei"/>
        <family val="2"/>
      </rPr>
      <t xml:space="preserve">、</t>
    </r>
    <r>
      <rPr>
        <sz val="10"/>
        <color rgb="FF1F2A28"/>
        <rFont val="Arial"/>
        <family val="0"/>
        <charset val="1"/>
      </rPr>
      <t xml:space="preserve">D</t>
    </r>
    <r>
      <rPr>
        <sz val="10"/>
        <color rgb="FF1F2A28"/>
        <rFont val="WenQuanYi Zen Hei"/>
        <family val="2"/>
      </rPr>
      <t xml:space="preserve">、</t>
    </r>
    <r>
      <rPr>
        <sz val="10"/>
        <color rgb="FF1F2A28"/>
        <rFont val="Arial"/>
        <family val="0"/>
        <charset val="1"/>
      </rPr>
      <t xml:space="preserve">E</t>
    </r>
    <r>
      <rPr>
        <sz val="10"/>
        <color rgb="FF1F2A28"/>
        <rFont val="WenQuanYi Zen Hei"/>
        <family val="2"/>
      </rPr>
      <t xml:space="preserve">、</t>
    </r>
    <r>
      <rPr>
        <sz val="10"/>
        <color rgb="FF1F2A28"/>
        <rFont val="Arial"/>
        <family val="0"/>
        <charset val="1"/>
      </rPr>
      <t xml:space="preserve">F</t>
    </r>
    <r>
      <rPr>
        <sz val="10"/>
        <color rgb="FF1F2A28"/>
        <rFont val="WenQuanYi Zen Hei"/>
        <family val="2"/>
      </rPr>
      <t xml:space="preserve">班</t>
    </r>
  </si>
  <si>
    <t xml:space="preserve">2022-04-15</t>
  </si>
  <si>
    <t xml:space="preserve">呂振益</t>
  </si>
  <si>
    <r>
      <rPr>
        <sz val="10"/>
        <color rgb="FF1F2A28"/>
        <rFont val="WenQuanYi Zen Hei"/>
        <family val="2"/>
      </rPr>
      <t xml:space="preserve">平鎮區環南路</t>
    </r>
    <r>
      <rPr>
        <sz val="10"/>
        <color rgb="FF1F2A28"/>
        <rFont val="Arial"/>
        <family val="0"/>
        <charset val="1"/>
      </rPr>
      <t xml:space="preserve">66</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弄</t>
    </r>
    <r>
      <rPr>
        <sz val="10"/>
        <color rgb="FF1F2A28"/>
        <rFont val="Arial"/>
        <family val="0"/>
        <charset val="1"/>
      </rPr>
      <t xml:space="preserve">14</t>
    </r>
    <r>
      <rPr>
        <sz val="10"/>
        <color rgb="FF1F2A28"/>
        <rFont val="WenQuanYi Zen Hei"/>
        <family val="2"/>
      </rPr>
      <t xml:space="preserve">衖</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</si>
  <si>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私立普利斯堡英語會話短期補習班</t>
  </si>
  <si>
    <r>
      <rPr>
        <sz val="10"/>
        <color rgb="FF1F2A28"/>
        <rFont val="WenQuanYi Zen Hei"/>
        <family val="2"/>
      </rPr>
      <t xml:space="preserve">平鎮區延平路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430</t>
    </r>
    <r>
      <rPr>
        <sz val="10"/>
        <color rgb="FF1F2A28"/>
        <rFont val="WenQuanYi Zen Hei"/>
        <family val="2"/>
      </rPr>
      <t xml:space="preserve">巷</t>
    </r>
    <r>
      <rPr>
        <sz val="10"/>
        <color rgb="FF1F2A28"/>
        <rFont val="Arial"/>
        <family val="0"/>
        <charset val="1"/>
      </rPr>
      <t xml:space="preserve">30</t>
    </r>
    <r>
      <rPr>
        <sz val="10"/>
        <color rgb="FF1F2A28"/>
        <rFont val="WenQuanYi Zen Hei"/>
        <family val="2"/>
      </rPr>
      <t xml:space="preserve">弄</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</si>
  <si>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(03)4029370</t>
  </si>
  <si>
    <t xml:space="preserve">mandy04@principal.com.tw</t>
  </si>
  <si>
    <t xml:space="preserve">1999-04-07</t>
  </si>
  <si>
    <t xml:space="preserve">胡玉娟</t>
  </si>
  <si>
    <t xml:space="preserve">私立林華語文文理短期補習班</t>
  </si>
  <si>
    <r>
      <rPr>
        <sz val="10"/>
        <color rgb="FF1F2A28"/>
        <rFont val="WenQuanYi Zen Hei"/>
        <family val="2"/>
      </rPr>
      <t xml:space="preserve">平鎮區廣平街</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</si>
  <si>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(03)4933303</t>
  </si>
  <si>
    <t xml:space="preserve">lrj1967@ms53.hinet.net</t>
  </si>
  <si>
    <t xml:space="preserve">2009-11-05</t>
  </si>
  <si>
    <t xml:space="preserve">冷茜華</t>
  </si>
  <si>
    <t xml:space="preserve">袁志成</t>
  </si>
  <si>
    <t xml:space="preserve">私立林錦文理英語數學短期補習班</t>
  </si>
  <si>
    <r>
      <rPr>
        <sz val="10"/>
        <color rgb="FF1F2A28"/>
        <rFont val="WenQuanYi Zen Hei"/>
        <family val="2"/>
      </rPr>
      <t xml:space="preserve">平鎮區文化街</t>
    </r>
    <r>
      <rPr>
        <sz val="10"/>
        <color rgb="FF1F2A28"/>
        <rFont val="Arial"/>
        <family val="0"/>
        <charset val="1"/>
      </rPr>
      <t xml:space="preserve">193</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</si>
  <si>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(03)2810857</t>
  </si>
  <si>
    <t xml:space="preserve">jekicc2016@gmail.com</t>
  </si>
  <si>
    <r>
      <rPr>
        <sz val="10"/>
        <color rgb="FF1F2A28"/>
        <rFont val="WenQuanYi Zen Hei"/>
        <family val="2"/>
      </rPr>
      <t xml:space="preserve">英文</t>
    </r>
    <r>
      <rPr>
        <sz val="10"/>
        <color rgb="FF1F2A28"/>
        <rFont val="Arial"/>
        <family val="0"/>
        <charset val="1"/>
      </rPr>
      <t xml:space="preserve">3</t>
    </r>
    <r>
      <rPr>
        <sz val="10"/>
        <color rgb="FF1F2A28"/>
        <rFont val="WenQuanYi Zen Hei"/>
        <family val="2"/>
      </rPr>
      <t xml:space="preserve">班數學</t>
    </r>
    <r>
      <rPr>
        <sz val="10"/>
        <color rgb="FF1F2A28"/>
        <rFont val="Arial"/>
        <family val="0"/>
        <charset val="1"/>
      </rPr>
      <t xml:space="preserve">3</t>
    </r>
    <r>
      <rPr>
        <sz val="10"/>
        <color rgb="FF1F2A28"/>
        <rFont val="WenQuanYi Zen Hei"/>
        <family val="2"/>
      </rPr>
      <t xml:space="preserve">班理化</t>
    </r>
    <r>
      <rPr>
        <sz val="10"/>
        <color rgb="FF1F2A28"/>
        <rFont val="Arial"/>
        <family val="0"/>
        <charset val="1"/>
      </rPr>
      <t xml:space="preserve">2</t>
    </r>
    <r>
      <rPr>
        <sz val="10"/>
        <color rgb="FF1F2A28"/>
        <rFont val="WenQuanYi Zen Hei"/>
        <family val="2"/>
      </rPr>
      <t xml:space="preserve">班、英語</t>
    </r>
  </si>
  <si>
    <t xml:space="preserve">2019-07-15</t>
  </si>
  <si>
    <t xml:space="preserve">林欣茹</t>
  </si>
  <si>
    <t xml:space="preserve">陳徵哲</t>
  </si>
  <si>
    <t xml:space="preserve">私立洙泗語文文理短期補習班</t>
  </si>
  <si>
    <r>
      <rPr>
        <sz val="10"/>
        <color rgb="FF1F2A28"/>
        <rFont val="WenQuanYi Zen Hei"/>
        <family val="2"/>
      </rPr>
      <t xml:space="preserve">平鎮區中豐路山頂段</t>
    </r>
    <r>
      <rPr>
        <sz val="10"/>
        <color rgb="FF1F2A28"/>
        <rFont val="Arial"/>
        <family val="0"/>
        <charset val="1"/>
      </rPr>
      <t xml:space="preserve">302</t>
    </r>
    <r>
      <rPr>
        <sz val="10"/>
        <color rgb="FF1F2A28"/>
        <rFont val="WenQuanYi Zen Hei"/>
        <family val="2"/>
      </rPr>
      <t xml:space="preserve">巷</t>
    </r>
    <r>
      <rPr>
        <sz val="10"/>
        <color rgb="FF1F2A28"/>
        <rFont val="Arial"/>
        <family val="0"/>
        <charset val="1"/>
      </rPr>
      <t xml:space="preserve">11</t>
    </r>
    <r>
      <rPr>
        <sz val="10"/>
        <color rgb="FF1F2A28"/>
        <rFont val="WenQuanYi Zen Hei"/>
        <family val="2"/>
      </rPr>
      <t xml:space="preserve">弄</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7-1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7-2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</si>
  <si>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(03)4697109</t>
  </si>
  <si>
    <t xml:space="preserve">2003-12-26</t>
  </si>
  <si>
    <t xml:space="preserve">張啟明</t>
  </si>
  <si>
    <t xml:space="preserve">鄧傑敦</t>
  </si>
  <si>
    <t xml:space="preserve">私立清大美語文理短期補習班</t>
  </si>
  <si>
    <r>
      <rPr>
        <sz val="10"/>
        <color rgb="FF1F2A28"/>
        <rFont val="WenQuanYi Zen Hei"/>
        <family val="2"/>
      </rPr>
      <t xml:space="preserve">平鎮區金陵路二段</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</si>
  <si>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(03)4582613</t>
  </si>
  <si>
    <t xml:space="preserve">chin.da.740901@gmail.com</t>
  </si>
  <si>
    <t xml:space="preserve">1998-12-11</t>
  </si>
  <si>
    <t xml:space="preserve">宋麗容</t>
  </si>
  <si>
    <t xml:space="preserve">周宛萱</t>
  </si>
  <si>
    <t xml:space="preserve">私立漢揚文理語文短期補習班</t>
  </si>
  <si>
    <r>
      <rPr>
        <sz val="10"/>
        <color rgb="FF1F2A28"/>
        <rFont val="WenQuanYi Zen Hei"/>
        <family val="2"/>
      </rPr>
      <t xml:space="preserve">平鎮區德育路</t>
    </r>
    <r>
      <rPr>
        <sz val="10"/>
        <color rgb="FF1F2A28"/>
        <rFont val="Arial"/>
        <family val="0"/>
        <charset val="1"/>
      </rPr>
      <t xml:space="preserve">243</t>
    </r>
    <r>
      <rPr>
        <sz val="10"/>
        <color rgb="FF1F2A28"/>
        <rFont val="WenQuanYi Zen Hei"/>
        <family val="2"/>
      </rPr>
      <t xml:space="preserve">號</t>
    </r>
    <r>
      <rPr>
        <sz val="10"/>
        <color rgb="FF1F2A28"/>
        <rFont val="Arial"/>
        <family val="0"/>
        <charset val="1"/>
      </rPr>
      <t xml:space="preserve">1-2F</t>
    </r>
  </si>
  <si>
    <t xml:space="preserve">(03)4593313</t>
  </si>
  <si>
    <t xml:space="preserve">Leem38481@gmail.com</t>
  </si>
  <si>
    <t xml:space="preserve">李聖權</t>
  </si>
  <si>
    <t xml:space="preserve">私立王牌珠心算語文短期補習班</t>
  </si>
  <si>
    <r>
      <rPr>
        <sz val="10"/>
        <color rgb="FF1F2A28"/>
        <rFont val="WenQuanYi Zen Hei"/>
        <family val="2"/>
      </rPr>
      <t xml:space="preserve">平鎮區文化街</t>
    </r>
    <r>
      <rPr>
        <sz val="10"/>
        <color rgb="FF1F2A28"/>
        <rFont val="Arial"/>
        <family val="0"/>
        <charset val="1"/>
      </rPr>
      <t xml:space="preserve">209</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</si>
  <si>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(03)2811690</t>
  </si>
  <si>
    <t xml:space="preserve">amy3224843@yahoo.com.tw</t>
  </si>
  <si>
    <t xml:space="preserve">2008-04-03</t>
  </si>
  <si>
    <t xml:space="preserve">吳秀琴</t>
  </si>
  <si>
    <t xml:space="preserve">林輝任</t>
  </si>
  <si>
    <t xml:space="preserve">私立瑞思美語短期補習班</t>
  </si>
  <si>
    <r>
      <rPr>
        <sz val="10"/>
        <color rgb="FF1F2A28"/>
        <rFont val="WenQuanYi Zen Hei"/>
        <family val="2"/>
      </rPr>
      <t xml:space="preserve">平鎮區平東路</t>
    </r>
    <r>
      <rPr>
        <sz val="10"/>
        <color rgb="FF1F2A28"/>
        <rFont val="Arial"/>
        <family val="0"/>
        <charset val="1"/>
      </rPr>
      <t xml:space="preserve">77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</si>
  <si>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(03)4609955</t>
  </si>
  <si>
    <t xml:space="preserve">resachung@yahoo.com</t>
  </si>
  <si>
    <t xml:space="preserve">鍾育蓉</t>
  </si>
  <si>
    <t xml:space="preserve">私立祥恩文理短期補習班</t>
  </si>
  <si>
    <r>
      <rPr>
        <sz val="10"/>
        <color rgb="FF1F2A28"/>
        <rFont val="WenQuanYi Zen Hei"/>
        <family val="2"/>
      </rPr>
      <t xml:space="preserve">平鎮區新興路</t>
    </r>
    <r>
      <rPr>
        <sz val="10"/>
        <color rgb="FF1F2A28"/>
        <rFont val="Arial"/>
        <family val="0"/>
        <charset val="1"/>
      </rPr>
      <t xml:space="preserve">72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</si>
  <si>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(03)4929225</t>
  </si>
  <si>
    <t xml:space="preserve">seansenglishschool@gmail.com</t>
  </si>
  <si>
    <r>
      <rPr>
        <sz val="10"/>
        <color rgb="FF1F2A28"/>
        <rFont val="WenQuanYi Zen Hei"/>
        <family val="2"/>
      </rPr>
      <t xml:space="preserve">美語</t>
    </r>
    <r>
      <rPr>
        <sz val="10"/>
        <color rgb="FF1F2A28"/>
        <rFont val="Arial"/>
        <family val="0"/>
        <charset val="1"/>
      </rPr>
      <t xml:space="preserve">(C)</t>
    </r>
    <r>
      <rPr>
        <sz val="10"/>
        <color rgb="FF1F2A28"/>
        <rFont val="WenQuanYi Zen Hei"/>
        <family val="2"/>
      </rPr>
      <t xml:space="preserve">科、美語</t>
    </r>
    <r>
      <rPr>
        <sz val="10"/>
        <color rgb="FF1F2A28"/>
        <rFont val="Arial"/>
        <family val="0"/>
        <charset val="1"/>
      </rPr>
      <t xml:space="preserve">(AB)</t>
    </r>
    <r>
      <rPr>
        <sz val="10"/>
        <color rgb="FF1F2A28"/>
        <rFont val="WenQuanYi Zen Hei"/>
        <family val="2"/>
      </rPr>
      <t xml:space="preserve">科、國中文理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t>
    </r>
    <r>
      <rPr>
        <sz val="10"/>
        <color rgb="FF1F2A28"/>
        <rFont val="WenQuanYi Zen Hei"/>
        <family val="2"/>
      </rPr>
      <t xml:space="preserve">全民英檢</t>
    </r>
    <r>
      <rPr>
        <sz val="10"/>
        <color rgb="FF1F2A28"/>
        <rFont val="Arial"/>
        <family val="0"/>
        <charset val="1"/>
      </rPr>
      <t xml:space="preserve">)</t>
    </r>
    <r>
      <rPr>
        <sz val="10"/>
        <color rgb="FF1F2A28"/>
        <rFont val="WenQuanYi Zen Hei"/>
        <family val="2"/>
      </rPr>
      <t xml:space="preserve">科</t>
    </r>
  </si>
  <si>
    <t xml:space="preserve">范姜淑敏</t>
  </si>
  <si>
    <t xml:space="preserve">私立祥恩文理短期補習班恆美分班</t>
  </si>
  <si>
    <r>
      <rPr>
        <sz val="10"/>
        <color rgb="FF1F2A28"/>
        <rFont val="WenQuanYi Zen Hei"/>
        <family val="2"/>
      </rPr>
      <t xml:space="preserve">平鎮區環南路</t>
    </r>
    <r>
      <rPr>
        <sz val="10"/>
        <color rgb="FF1F2A28"/>
        <rFont val="Arial"/>
        <family val="0"/>
        <charset val="1"/>
      </rPr>
      <t xml:space="preserve">457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</si>
  <si>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(03)4930925</t>
  </si>
  <si>
    <t xml:space="preserve">范祥恩</t>
  </si>
  <si>
    <t xml:space="preserve">私立福克斯文理語文數學短期補習班義興分班</t>
  </si>
  <si>
    <r>
      <rPr>
        <sz val="10"/>
        <color rgb="FF1F2A28"/>
        <rFont val="WenQuanYi Zen Hei"/>
        <family val="2"/>
      </rPr>
      <t xml:space="preserve">平鎮區義興街</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</si>
  <si>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(03)4913887</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</si>
  <si>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、美語</t>
    </r>
  </si>
  <si>
    <t xml:space="preserve">2021-09-13</t>
  </si>
  <si>
    <t xml:space="preserve">詹怡茹</t>
  </si>
  <si>
    <t xml:space="preserve">私立福克斯文理語文短期補習班</t>
  </si>
  <si>
    <r>
      <rPr>
        <sz val="10"/>
        <color rgb="FF1F2A28"/>
        <rFont val="WenQuanYi Zen Hei"/>
        <family val="2"/>
      </rPr>
      <t xml:space="preserve">平鎮區廣德街</t>
    </r>
    <r>
      <rPr>
        <sz val="10"/>
        <color rgb="FF1F2A28"/>
        <rFont val="Arial"/>
        <family val="0"/>
        <charset val="1"/>
      </rPr>
      <t xml:space="preserve">268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</si>
  <si>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(03)4927711</t>
  </si>
  <si>
    <t xml:space="preserve">2010-11-30</t>
  </si>
  <si>
    <t xml:space="preserve">私立維也納音樂語文短期補習班</t>
  </si>
  <si>
    <r>
      <rPr>
        <sz val="10"/>
        <color rgb="FF1F2A28"/>
        <rFont val="WenQuanYi Zen Hei"/>
        <family val="2"/>
      </rPr>
      <t xml:space="preserve">平鎮區中豐路南勢二段</t>
    </r>
    <r>
      <rPr>
        <sz val="10"/>
        <color rgb="FF1F2A28"/>
        <rFont val="Arial"/>
        <family val="0"/>
        <charset val="1"/>
      </rPr>
      <t xml:space="preserve">143</t>
    </r>
    <r>
      <rPr>
        <sz val="10"/>
        <color rgb="FF1F2A28"/>
        <rFont val="WenQuanYi Zen Hei"/>
        <family val="2"/>
      </rPr>
      <t xml:space="preserve">號</t>
    </r>
    <r>
      <rPr>
        <sz val="10"/>
        <color rgb="FF1F2A28"/>
        <rFont val="Arial"/>
        <family val="0"/>
        <charset val="1"/>
      </rPr>
      <t xml:space="preserve">2-5</t>
    </r>
    <r>
      <rPr>
        <sz val="10"/>
        <color rgb="FF1F2A28"/>
        <rFont val="WenQuanYi Zen Hei"/>
        <family val="2"/>
      </rPr>
      <t xml:space="preserve">樓</t>
    </r>
  </si>
  <si>
    <t xml:space="preserve">(03)4395128</t>
  </si>
  <si>
    <t xml:space="preserve">olliann143@gmail.com</t>
  </si>
  <si>
    <t xml:space="preserve">2009-12-30</t>
  </si>
  <si>
    <t xml:space="preserve">邱家瑜</t>
  </si>
  <si>
    <t xml:space="preserve">吳予榛</t>
  </si>
  <si>
    <t xml:space="preserve">私立美爾頓美語短期補習班</t>
  </si>
  <si>
    <t xml:space="preserve">平鎮區新光路四段一七七號二樓</t>
  </si>
  <si>
    <t xml:space="preserve">(03)4396622</t>
  </si>
  <si>
    <t xml:space="preserve">melton.kid@gmail.com</t>
  </si>
  <si>
    <t xml:space="preserve">2002-04-12</t>
  </si>
  <si>
    <t xml:space="preserve">鄧佩玲</t>
  </si>
  <si>
    <t xml:space="preserve">私立翊成文理短期補習班</t>
  </si>
  <si>
    <r>
      <rPr>
        <sz val="10"/>
        <color rgb="FF1F2A28"/>
        <rFont val="WenQuanYi Zen Hei"/>
        <family val="2"/>
      </rPr>
      <t xml:space="preserve">平鎮區延平路一段</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</si>
  <si>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(03)4271250</t>
  </si>
  <si>
    <t xml:space="preserve">es4271250@gmail.com</t>
  </si>
  <si>
    <r>
      <rPr>
        <sz val="10"/>
        <color rgb="FF1F2A28"/>
        <rFont val="WenQuanYi Zen Hei"/>
        <family val="2"/>
      </rPr>
      <t xml:space="preserve">英語、文理國一</t>
    </r>
    <r>
      <rPr>
        <sz val="10"/>
        <color rgb="FF1F2A28"/>
        <rFont val="Arial"/>
        <family val="0"/>
        <charset val="1"/>
      </rPr>
      <t xml:space="preserve">(</t>
    </r>
    <r>
      <rPr>
        <sz val="10"/>
        <color rgb="FF1F2A28"/>
        <rFont val="WenQuanYi Zen Hei"/>
        <family val="2"/>
      </rPr>
      <t xml:space="preserve">國英數自</t>
    </r>
    <r>
      <rPr>
        <sz val="10"/>
        <color rgb="FF1F2A28"/>
        <rFont val="Arial"/>
        <family val="0"/>
        <charset val="1"/>
      </rPr>
      <t xml:space="preserve">)</t>
    </r>
    <r>
      <rPr>
        <sz val="10"/>
        <color rgb="FF1F2A28"/>
        <rFont val="WenQuanYi Zen Hei"/>
        <family val="2"/>
      </rPr>
      <t xml:space="preserve">、文理國二</t>
    </r>
    <r>
      <rPr>
        <sz val="10"/>
        <color rgb="FF1F2A28"/>
        <rFont val="Arial"/>
        <family val="0"/>
        <charset val="1"/>
      </rPr>
      <t xml:space="preserve">(</t>
    </r>
    <r>
      <rPr>
        <sz val="10"/>
        <color rgb="FF1F2A28"/>
        <rFont val="WenQuanYi Zen Hei"/>
        <family val="2"/>
      </rPr>
      <t xml:space="preserve">國英數自</t>
    </r>
    <r>
      <rPr>
        <sz val="10"/>
        <color rgb="FF1F2A28"/>
        <rFont val="Arial"/>
        <family val="0"/>
        <charset val="1"/>
      </rPr>
      <t xml:space="preserve">)</t>
    </r>
    <r>
      <rPr>
        <sz val="10"/>
        <color rgb="FF1F2A28"/>
        <rFont val="WenQuanYi Zen Hei"/>
        <family val="2"/>
      </rPr>
      <t xml:space="preserve">、文理國三</t>
    </r>
    <r>
      <rPr>
        <sz val="10"/>
        <color rgb="FF1F2A28"/>
        <rFont val="Arial"/>
        <family val="0"/>
        <charset val="1"/>
      </rPr>
      <t xml:space="preserve">(</t>
    </r>
    <r>
      <rPr>
        <sz val="10"/>
        <color rgb="FF1F2A28"/>
        <rFont val="WenQuanYi Zen Hei"/>
        <family val="2"/>
      </rPr>
      <t xml:space="preserve">國英數自</t>
    </r>
    <r>
      <rPr>
        <sz val="10"/>
        <color rgb="FF1F2A28"/>
        <rFont val="Arial"/>
        <family val="0"/>
        <charset val="1"/>
      </rPr>
      <t xml:space="preserve">)</t>
    </r>
  </si>
  <si>
    <t xml:space="preserve">2022-01-19</t>
  </si>
  <si>
    <t xml:space="preserve">戴邦雲</t>
  </si>
  <si>
    <t xml:space="preserve">張國彥</t>
  </si>
  <si>
    <t xml:space="preserve">私立翔安美語珠心算短期補習班</t>
  </si>
  <si>
    <r>
      <rPr>
        <sz val="10"/>
        <color rgb="FF1F2A28"/>
        <rFont val="WenQuanYi Zen Hei"/>
        <family val="2"/>
      </rPr>
      <t xml:space="preserve">平鎮區工業南路</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</si>
  <si>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(03)4193058</t>
  </si>
  <si>
    <t xml:space="preserve">kid-castle@yahoo.com.tw</t>
  </si>
  <si>
    <t xml:space="preserve">2000-12-18</t>
  </si>
  <si>
    <t xml:space="preserve">戴興雄</t>
  </si>
  <si>
    <r>
      <rPr>
        <sz val="10"/>
        <color rgb="FF1F2A28"/>
        <rFont val="WenQuanYi Zen Hei"/>
        <family val="2"/>
      </rPr>
      <t xml:space="preserve">平鎮區金陵路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377-2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</si>
  <si>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(03)4288883</t>
  </si>
  <si>
    <t xml:space="preserve">私立聖芬騰美語短期補習班</t>
  </si>
  <si>
    <r>
      <rPr>
        <sz val="10"/>
        <color rgb="FF1F2A28"/>
        <rFont val="WenQuanYi Zen Hei"/>
        <family val="2"/>
      </rPr>
      <t xml:space="preserve">平鎮區廣泰路</t>
    </r>
    <r>
      <rPr>
        <sz val="10"/>
        <color rgb="FF1F2A28"/>
        <rFont val="Arial"/>
        <family val="0"/>
        <charset val="1"/>
      </rPr>
      <t xml:space="preserve">227</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</si>
  <si>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(03)4926080</t>
  </si>
  <si>
    <t xml:space="preserve">ugoxxto@hotmail.com</t>
  </si>
  <si>
    <t xml:space="preserve">2009-07-08</t>
  </si>
  <si>
    <t xml:space="preserve">凌士田</t>
  </si>
  <si>
    <t xml:space="preserve">私立育傑文理語文短期補習班</t>
  </si>
  <si>
    <r>
      <rPr>
        <sz val="10"/>
        <color rgb="FF1F2A28"/>
        <rFont val="WenQuanYi Zen Hei"/>
        <family val="2"/>
      </rPr>
      <t xml:space="preserve">平鎮區龍南路</t>
    </r>
    <r>
      <rPr>
        <sz val="10"/>
        <color rgb="FF1F2A28"/>
        <rFont val="Arial"/>
        <family val="0"/>
        <charset val="1"/>
      </rPr>
      <t xml:space="preserve">211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</si>
  <si>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(03)4507587</t>
  </si>
  <si>
    <t xml:space="preserve">chiffonsung@gmail.com</t>
  </si>
  <si>
    <t xml:space="preserve">美語、作文</t>
  </si>
  <si>
    <t xml:space="preserve">2012-06-29</t>
  </si>
  <si>
    <t xml:space="preserve">宋婷芳</t>
  </si>
  <si>
    <t xml:space="preserve">私立育林文理語文短期補習班</t>
  </si>
  <si>
    <r>
      <rPr>
        <sz val="10"/>
        <color rgb="FF1F2A28"/>
        <rFont val="WenQuanYi Zen Hei"/>
        <family val="2"/>
      </rPr>
      <t xml:space="preserve">平鎮區振興西路</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樓及</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</si>
  <si>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(03)402-9901</t>
  </si>
  <si>
    <t xml:space="preserve">zyknowhow@yahoo.com.tw</t>
  </si>
  <si>
    <t xml:space="preserve">1999-04-20</t>
  </si>
  <si>
    <t xml:space="preserve">李育槿</t>
  </si>
  <si>
    <t xml:space="preserve">私立興儒語文文理數學短期補習班文化分班</t>
  </si>
  <si>
    <r>
      <rPr>
        <sz val="10"/>
        <color rgb="FF1F2A28"/>
        <rFont val="WenQuanYi Zen Hei"/>
        <family val="2"/>
      </rPr>
      <t xml:space="preserve">平鎮區文化街</t>
    </r>
    <r>
      <rPr>
        <sz val="10"/>
        <color rgb="FF1F2A28"/>
        <rFont val="Arial"/>
        <family val="0"/>
        <charset val="1"/>
      </rPr>
      <t xml:space="preserve">307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</si>
  <si>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(03)4949111</t>
  </si>
  <si>
    <t xml:space="preserve">hongjie.hsiao@msa.hinet.net</t>
  </si>
  <si>
    <t xml:space="preserve">2015-07-17</t>
  </si>
  <si>
    <t xml:space="preserve">蕭宏傑</t>
  </si>
  <si>
    <t xml:space="preserve">私立艾唯特美語短期補習班</t>
  </si>
  <si>
    <r>
      <rPr>
        <sz val="10"/>
        <color rgb="FF1F2A28"/>
        <rFont val="WenQuanYi Zen Hei"/>
        <family val="2"/>
      </rPr>
      <t xml:space="preserve">平鎮區文化街</t>
    </r>
    <r>
      <rPr>
        <sz val="10"/>
        <color rgb="FF1F2A28"/>
        <rFont val="Arial"/>
        <family val="0"/>
        <charset val="1"/>
      </rPr>
      <t xml:space="preserve">199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</si>
  <si>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(03)4950501</t>
  </si>
  <si>
    <t xml:space="preserve">tinaloveskids@yahoo.com.tw</t>
  </si>
  <si>
    <t xml:space="preserve">華志仁</t>
  </si>
  <si>
    <t xml:space="preserve">私立艾美加美語短期補習班</t>
  </si>
  <si>
    <r>
      <rPr>
        <sz val="10"/>
        <color rgb="FF1F2A28"/>
        <rFont val="WenQuanYi Zen Hei"/>
        <family val="2"/>
      </rPr>
      <t xml:space="preserve">平鎮區中豐路南勢</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251</t>
    </r>
    <r>
      <rPr>
        <sz val="10"/>
        <color rgb="FF1F2A28"/>
        <rFont val="WenQuanYi Zen Hei"/>
        <family val="2"/>
      </rPr>
      <t xml:space="preserve">巷</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</si>
  <si>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(03)4031378</t>
  </si>
  <si>
    <t xml:space="preserve">april.hrs12@gmail.com</t>
  </si>
  <si>
    <t xml:space="preserve">2013-05-24</t>
  </si>
  <si>
    <t xml:space="preserve">謝瑞雪</t>
  </si>
  <si>
    <t xml:space="preserve">私立莎酈絲美語文理短期補習班</t>
  </si>
  <si>
    <r>
      <rPr>
        <sz val="10"/>
        <color rgb="FF1F2A28"/>
        <rFont val="WenQuanYi Zen Hei"/>
        <family val="2"/>
      </rPr>
      <t xml:space="preserve">平鎮區南京路</t>
    </r>
    <r>
      <rPr>
        <sz val="10"/>
        <color rgb="FF1F2A28"/>
        <rFont val="Arial"/>
        <family val="0"/>
        <charset val="1"/>
      </rPr>
      <t xml:space="preserve">125</t>
    </r>
    <r>
      <rPr>
        <sz val="10"/>
        <color rgb="FF1F2A28"/>
        <rFont val="WenQuanYi Zen Hei"/>
        <family val="2"/>
      </rPr>
      <t xml:space="preserve">巷</t>
    </r>
    <r>
      <rPr>
        <sz val="10"/>
        <color rgb="FF1F2A28"/>
        <rFont val="Arial"/>
        <family val="0"/>
        <charset val="1"/>
      </rPr>
      <t xml:space="preserve">43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</si>
  <si>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(03)4031099</t>
  </si>
  <si>
    <t xml:space="preserve">soonwei5154@gmail.com</t>
  </si>
  <si>
    <t xml:space="preserve">孫菁穗</t>
  </si>
  <si>
    <t xml:space="preserve">私立華岡語文短期補習班</t>
  </si>
  <si>
    <r>
      <rPr>
        <sz val="10"/>
        <color rgb="FF1F2A28"/>
        <rFont val="WenQuanYi Zen Hei"/>
        <family val="2"/>
      </rPr>
      <t xml:space="preserve">平鎮區廣平街</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</si>
  <si>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(03)4945355</t>
  </si>
  <si>
    <t xml:space="preserve">ip868@yahoo.com.tw</t>
  </si>
  <si>
    <t xml:space="preserve">林惠玟</t>
  </si>
  <si>
    <t xml:space="preserve">私立葉老師文理美語短期補習班龍壽分班</t>
  </si>
  <si>
    <r>
      <rPr>
        <sz val="10"/>
        <color rgb="FF1F2A28"/>
        <rFont val="WenQuanYi Zen Hei"/>
        <family val="2"/>
      </rPr>
      <t xml:space="preserve">平鎮區龍德路</t>
    </r>
    <r>
      <rPr>
        <sz val="10"/>
        <color rgb="FF1F2A28"/>
        <rFont val="Arial"/>
        <family val="0"/>
        <charset val="1"/>
      </rPr>
      <t xml:space="preserve">141</t>
    </r>
    <r>
      <rPr>
        <sz val="10"/>
        <color rgb="FF1F2A28"/>
        <rFont val="WenQuanYi Zen Hei"/>
        <family val="2"/>
      </rPr>
      <t xml:space="preserve">號</t>
    </r>
    <r>
      <rPr>
        <sz val="10"/>
        <color rgb="FF1F2A28"/>
        <rFont val="Arial"/>
        <family val="0"/>
        <charset val="1"/>
      </rPr>
      <t xml:space="preserve">2-5</t>
    </r>
    <r>
      <rPr>
        <sz val="10"/>
        <color rgb="FF1F2A28"/>
        <rFont val="WenQuanYi Zen Hei"/>
        <family val="2"/>
      </rPr>
      <t xml:space="preserve">樓</t>
    </r>
  </si>
  <si>
    <t xml:space="preserve">(03)4609494</t>
  </si>
  <si>
    <t xml:space="preserve">laipee7@gmail.com</t>
  </si>
  <si>
    <t xml:space="preserve">賴永宏</t>
  </si>
  <si>
    <t xml:space="preserve">賴彥均</t>
  </si>
  <si>
    <r>
      <rPr>
        <sz val="10"/>
        <color rgb="FF1F2A28"/>
        <rFont val="WenQuanYi Zen Hei"/>
        <family val="2"/>
      </rPr>
      <t xml:space="preserve">平鎮區金陵路二段</t>
    </r>
    <r>
      <rPr>
        <sz val="10"/>
        <color rgb="FF1F2A28"/>
        <rFont val="Arial"/>
        <family val="0"/>
        <charset val="1"/>
      </rPr>
      <t xml:space="preserve">360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</si>
  <si>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(03)4570932</t>
  </si>
  <si>
    <t xml:space="preserve">私立裕登美語文理短期補習班</t>
  </si>
  <si>
    <r>
      <rPr>
        <sz val="10"/>
        <color rgb="FF1F2A28"/>
        <rFont val="WenQuanYi Zen Hei"/>
        <family val="2"/>
      </rPr>
      <t xml:space="preserve">平鎮區新光路四段</t>
    </r>
    <r>
      <rPr>
        <sz val="10"/>
        <color rgb="FF1F2A28"/>
        <rFont val="Arial"/>
        <family val="0"/>
        <charset val="1"/>
      </rPr>
      <t xml:space="preserve">161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</si>
  <si>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(03)4396316</t>
  </si>
  <si>
    <t xml:space="preserve">Melton.kid@gmail.com</t>
  </si>
  <si>
    <t xml:space="preserve">初級美語、中級美語</t>
  </si>
  <si>
    <t xml:space="preserve">2020-11-23</t>
  </si>
  <si>
    <t xml:space="preserve">鄧詠溱</t>
  </si>
  <si>
    <t xml:space="preserve">私立誠熙文理短期補習班</t>
  </si>
  <si>
    <r>
      <rPr>
        <sz val="10"/>
        <color rgb="FF1F2A28"/>
        <rFont val="WenQuanYi Zen Hei"/>
        <family val="2"/>
      </rPr>
      <t xml:space="preserve">平鎮區振平街</t>
    </r>
    <r>
      <rPr>
        <sz val="10"/>
        <color rgb="FF1F2A28"/>
        <rFont val="Arial"/>
        <family val="0"/>
        <charset val="1"/>
      </rPr>
      <t xml:space="preserve">96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</si>
  <si>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(03)4577726</t>
  </si>
  <si>
    <t xml:space="preserve">wer75639@gmail.com</t>
  </si>
  <si>
    <r>
      <rPr>
        <sz val="10"/>
        <color rgb="FF1F2A28"/>
        <rFont val="WenQuanYi Zen Hei"/>
        <family val="2"/>
      </rPr>
      <t xml:space="preserve">高中文理</t>
    </r>
    <r>
      <rPr>
        <sz val="10"/>
        <color rgb="FF1F2A28"/>
        <rFont val="Arial"/>
        <family val="0"/>
        <charset val="1"/>
      </rPr>
      <t xml:space="preserve">(</t>
    </r>
    <r>
      <rPr>
        <sz val="10"/>
        <color rgb="FF1F2A28"/>
        <rFont val="WenQuanYi Zen Hei"/>
        <family val="2"/>
      </rPr>
      <t xml:space="preserve">國英數自</t>
    </r>
    <r>
      <rPr>
        <sz val="10"/>
        <color rgb="FF1F2A28"/>
        <rFont val="Arial"/>
        <family val="0"/>
        <charset val="1"/>
      </rPr>
      <t xml:space="preserve">)</t>
    </r>
    <r>
      <rPr>
        <sz val="10"/>
        <color rgb="FF1F2A28"/>
        <rFont val="WenQuanYi Zen Hei"/>
        <family val="2"/>
      </rPr>
      <t xml:space="preserve">、美語、國中文理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</si>
  <si>
    <t xml:space="preserve">2025-12-31</t>
  </si>
  <si>
    <t xml:space="preserve">陳偉禎</t>
  </si>
  <si>
    <t xml:space="preserve">私立誠禎文理短期補習班</t>
  </si>
  <si>
    <r>
      <rPr>
        <sz val="10"/>
        <color rgb="FF1F2A28"/>
        <rFont val="WenQuanYi Zen Hei"/>
        <family val="2"/>
      </rPr>
      <t xml:space="preserve">平鎮區中豐路</t>
    </r>
    <r>
      <rPr>
        <sz val="10"/>
        <color rgb="FF1F2A28"/>
        <rFont val="Arial"/>
        <family val="0"/>
        <charset val="1"/>
      </rPr>
      <t xml:space="preserve">269</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</si>
  <si>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(03)4573800</t>
  </si>
  <si>
    <t xml:space="preserve">apple7687oo@gmail.com</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</si>
  <si>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科、高中文理</t>
    </r>
    <r>
      <rPr>
        <sz val="10"/>
        <color rgb="FF1F2A28"/>
        <rFont val="Arial"/>
        <family val="0"/>
        <charset val="1"/>
      </rPr>
      <t xml:space="preserve">(</t>
    </r>
    <r>
      <rPr>
        <sz val="10"/>
        <color rgb="FF1F2A28"/>
        <rFont val="WenQuanYi Zen Hei"/>
        <family val="2"/>
      </rPr>
      <t xml:space="preserve">國數英物</t>
    </r>
    <r>
      <rPr>
        <sz val="10"/>
        <color rgb="FF1F2A28"/>
        <rFont val="Arial"/>
        <family val="0"/>
        <charset val="1"/>
      </rPr>
      <t xml:space="preserve">)</t>
    </r>
    <r>
      <rPr>
        <sz val="10"/>
        <color rgb="FF1F2A28"/>
        <rFont val="WenQuanYi Zen Hei"/>
        <family val="2"/>
      </rPr>
      <t xml:space="preserve">科</t>
    </r>
  </si>
  <si>
    <t xml:space="preserve">2022-06-20</t>
  </si>
  <si>
    <t xml:space="preserve">邱馨玉</t>
  </si>
  <si>
    <r>
      <rPr>
        <sz val="10"/>
        <color rgb="FF1F2A28"/>
        <rFont val="WenQuanYi Zen Hei"/>
        <family val="2"/>
      </rPr>
      <t xml:space="preserve">平鎮區復興街</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</si>
  <si>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0912252612</t>
  </si>
  <si>
    <t xml:space="preserve">私立長青博儒文理美語短期補習班</t>
  </si>
  <si>
    <r>
      <rPr>
        <sz val="10"/>
        <color rgb="FF1F2A28"/>
        <rFont val="WenQuanYi Zen Hei"/>
        <family val="2"/>
      </rPr>
      <t xml:space="preserve">平鎮區湧光路</t>
    </r>
    <r>
      <rPr>
        <sz val="10"/>
        <color rgb="FF1F2A28"/>
        <rFont val="Arial"/>
        <family val="0"/>
        <charset val="1"/>
      </rPr>
      <t xml:space="preserve">2</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弄</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</si>
  <si>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Fn19850731@hotmail.com.tw</t>
  </si>
  <si>
    <t xml:space="preserve">彭筱棻</t>
  </si>
  <si>
    <t xml:space="preserve">彭筱雯</t>
  </si>
  <si>
    <t xml:space="preserve">私立閎墨文理短期補習班</t>
  </si>
  <si>
    <r>
      <rPr>
        <sz val="10"/>
        <color rgb="FF1F2A28"/>
        <rFont val="WenQuanYi Zen Hei"/>
        <family val="2"/>
      </rPr>
      <t xml:space="preserve">平鎮區育達路</t>
    </r>
    <r>
      <rPr>
        <sz val="10"/>
        <color rgb="FF1F2A28"/>
        <rFont val="Arial"/>
        <family val="0"/>
        <charset val="1"/>
      </rPr>
      <t xml:space="preserve">245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</si>
  <si>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(03)4933948</t>
  </si>
  <si>
    <t xml:space="preserve">HongM06186@gmail.com</t>
  </si>
  <si>
    <r>
      <rPr>
        <sz val="10"/>
        <color rgb="FF1F2A28"/>
        <rFont val="WenQuanYi Zen Hei"/>
        <family val="2"/>
      </rPr>
      <t xml:space="preserve">英檢</t>
    </r>
    <r>
      <rPr>
        <sz val="10"/>
        <color rgb="FF1F2A28"/>
        <rFont val="Arial"/>
        <family val="0"/>
        <charset val="1"/>
      </rPr>
      <t xml:space="preserve">(</t>
    </r>
    <r>
      <rPr>
        <sz val="10"/>
        <color rgb="FF1F2A28"/>
        <rFont val="WenQuanYi Zen Hei"/>
        <family val="2"/>
      </rPr>
      <t xml:space="preserve">初級</t>
    </r>
    <r>
      <rPr>
        <sz val="10"/>
        <color rgb="FF1F2A28"/>
        <rFont val="Arial"/>
        <family val="0"/>
        <charset val="1"/>
      </rPr>
      <t xml:space="preserve">)</t>
    </r>
    <r>
      <rPr>
        <sz val="10"/>
        <color rgb="FF1F2A28"/>
        <rFont val="WenQuanYi Zen Hei"/>
        <family val="2"/>
      </rPr>
      <t xml:space="preserve">科、英檢</t>
    </r>
    <r>
      <rPr>
        <sz val="10"/>
        <color rgb="FF1F2A28"/>
        <rFont val="Arial"/>
        <family val="0"/>
        <charset val="1"/>
      </rPr>
      <t xml:space="preserve">(</t>
    </r>
    <r>
      <rPr>
        <sz val="10"/>
        <color rgb="FF1F2A28"/>
        <rFont val="WenQuanYi Zen Hei"/>
        <family val="2"/>
      </rPr>
      <t xml:space="preserve">入門</t>
    </r>
    <r>
      <rPr>
        <sz val="10"/>
        <color rgb="FF1F2A28"/>
        <rFont val="Arial"/>
        <family val="0"/>
        <charset val="1"/>
      </rPr>
      <t xml:space="preserve">)</t>
    </r>
    <r>
      <rPr>
        <sz val="10"/>
        <color rgb="FF1F2A28"/>
        <rFont val="WenQuanYi Zen Hei"/>
        <family val="2"/>
      </rPr>
      <t xml:space="preserve">科、文理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科</t>
    </r>
  </si>
  <si>
    <t xml:space="preserve">2022-06-16</t>
  </si>
  <si>
    <t xml:space="preserve">洪苓娟</t>
  </si>
  <si>
    <t xml:space="preserve">私立隆慶英語短期補習班</t>
  </si>
  <si>
    <r>
      <rPr>
        <sz val="10"/>
        <color rgb="FF1F2A28"/>
        <rFont val="WenQuanYi Zen Hei"/>
        <family val="2"/>
      </rPr>
      <t xml:space="preserve">平鎮區新光路</t>
    </r>
    <r>
      <rPr>
        <sz val="10"/>
        <color rgb="FF1F2A28"/>
        <rFont val="Arial"/>
        <family val="0"/>
        <charset val="1"/>
      </rPr>
      <t xml:space="preserve">17</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弄</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</si>
  <si>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(03)4910004</t>
  </si>
  <si>
    <t xml:space="preserve">sdj208@gmail.com</t>
  </si>
  <si>
    <t xml:space="preserve">1993-12-01</t>
  </si>
  <si>
    <t xml:space="preserve">宋瑞美</t>
  </si>
  <si>
    <t xml:space="preserve">宋狄潔</t>
  </si>
  <si>
    <r>
      <rPr>
        <sz val="10"/>
        <color rgb="FF1F2A28"/>
        <rFont val="WenQuanYi Zen Hei"/>
        <family val="2"/>
      </rPr>
      <t xml:space="preserve">平鎮區文化街</t>
    </r>
    <r>
      <rPr>
        <sz val="10"/>
        <color rgb="FF1F2A28"/>
        <rFont val="Arial"/>
        <family val="0"/>
        <charset val="1"/>
      </rPr>
      <t xml:space="preserve">180</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</si>
  <si>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(03)4935080</t>
  </si>
  <si>
    <t xml:space="preserve">私立馨勵德文理語文數學短期補習班</t>
  </si>
  <si>
    <r>
      <rPr>
        <sz val="10"/>
        <color rgb="FF1F2A28"/>
        <rFont val="WenQuanYi Zen Hei"/>
        <family val="2"/>
      </rPr>
      <t xml:space="preserve">平鎮區廣德街</t>
    </r>
    <r>
      <rPr>
        <sz val="10"/>
        <color rgb="FF1F2A28"/>
        <rFont val="Arial"/>
        <family val="0"/>
        <charset val="1"/>
      </rPr>
      <t xml:space="preserve">192</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</si>
  <si>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(03)4952520</t>
  </si>
  <si>
    <t xml:space="preserve">id4son@gmail.com</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</si>
  <si>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班</t>
    </r>
  </si>
  <si>
    <t xml:space="preserve">常皓源</t>
  </si>
  <si>
    <t xml:space="preserve">私立黃昊文理美語短期補習班</t>
  </si>
  <si>
    <r>
      <rPr>
        <sz val="10"/>
        <color rgb="FF1F2A28"/>
        <rFont val="WenQuanYi Zen Hei"/>
        <family val="2"/>
      </rPr>
      <t xml:space="preserve">平鎮區環南路</t>
    </r>
    <r>
      <rPr>
        <sz val="10"/>
        <color rgb="FF1F2A28"/>
        <rFont val="Arial"/>
        <family val="0"/>
        <charset val="1"/>
      </rPr>
      <t xml:space="preserve">209-1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</si>
  <si>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(03)2810782</t>
  </si>
  <si>
    <t xml:space="preserve">duck0331@msn.com</t>
  </si>
  <si>
    <t xml:space="preserve">黃信華</t>
  </si>
  <si>
    <r>
      <rPr>
        <sz val="10"/>
        <color rgb="FF1F2A28"/>
        <rFont val="WenQuanYi Zen Hei"/>
        <family val="2"/>
      </rPr>
      <t xml:space="preserve">新屋區新生五街</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</si>
  <si>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(03)477-9789</t>
  </si>
  <si>
    <r>
      <rPr>
        <sz val="10"/>
        <color rgb="FF1F2A28"/>
        <rFont val="WenQuanYi Zen Hei"/>
        <family val="2"/>
      </rPr>
      <t xml:space="preserve">新屋區中正一街</t>
    </r>
    <r>
      <rPr>
        <sz val="10"/>
        <color rgb="FF1F2A28"/>
        <rFont val="Arial"/>
        <family val="0"/>
        <charset val="1"/>
      </rPr>
      <t xml:space="preserve">26</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</si>
  <si>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(03)4771886</t>
  </si>
  <si>
    <t xml:space="preserve">私立滌凡特語文文理短期補習班</t>
  </si>
  <si>
    <r>
      <rPr>
        <sz val="10"/>
        <color rgb="FF1F2A28"/>
        <rFont val="WenQuanYi Zen Hei"/>
        <family val="2"/>
      </rPr>
      <t xml:space="preserve">新屋區新生三街</t>
    </r>
    <r>
      <rPr>
        <sz val="10"/>
        <color rgb="FF1F2A28"/>
        <rFont val="Arial"/>
        <family val="0"/>
        <charset val="1"/>
      </rPr>
      <t xml:space="preserve">88</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</si>
  <si>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(03)4774468</t>
  </si>
  <si>
    <t xml:space="preserve">a4774498@gmail.com</t>
  </si>
  <si>
    <t xml:space="preserve">2006-11-29</t>
  </si>
  <si>
    <t xml:space="preserve">詹淑玲</t>
  </si>
  <si>
    <t xml:space="preserve">彭仁信</t>
  </si>
  <si>
    <t xml:space="preserve">私立群創美語文理短期補習班</t>
  </si>
  <si>
    <r>
      <rPr>
        <sz val="10"/>
        <color rgb="FF1F2A28"/>
        <rFont val="WenQuanYi Zen Hei"/>
        <family val="2"/>
      </rPr>
      <t xml:space="preserve">新屋區中正路</t>
    </r>
    <r>
      <rPr>
        <sz val="10"/>
        <color rgb="FF1F2A28"/>
        <rFont val="Arial"/>
        <family val="0"/>
        <charset val="1"/>
      </rPr>
      <t xml:space="preserve">208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</si>
  <si>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(03)4970071</t>
  </si>
  <si>
    <t xml:space="preserve">lvu88456@yahoo.com.tw</t>
  </si>
  <si>
    <t xml:space="preserve">張瓊泉</t>
  </si>
  <si>
    <t xml:space="preserve">鍾豐縈</t>
  </si>
  <si>
    <t xml:space="preserve">私立輔仁文理美語數學短期補習班</t>
  </si>
  <si>
    <r>
      <rPr>
        <sz val="10"/>
        <color rgb="FF1F2A28"/>
        <rFont val="WenQuanYi Zen Hei"/>
        <family val="2"/>
      </rPr>
      <t xml:space="preserve">新屋區中華路</t>
    </r>
    <r>
      <rPr>
        <sz val="10"/>
        <color rgb="FF1F2A28"/>
        <rFont val="Arial"/>
        <family val="0"/>
        <charset val="1"/>
      </rPr>
      <t xml:space="preserve">321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</si>
  <si>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(03)4776242</t>
  </si>
  <si>
    <t xml:space="preserve">qq3570@yahoo.com.tw</t>
  </si>
  <si>
    <t xml:space="preserve">1996-03-28</t>
  </si>
  <si>
    <t xml:space="preserve">余明武</t>
  </si>
  <si>
    <r>
      <rPr>
        <sz val="10"/>
        <color rgb="FF1F2A28"/>
        <rFont val="WenQuanYi Zen Hei"/>
        <family val="2"/>
      </rPr>
      <t xml:space="preserve">新屋區新興街</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1F</t>
    </r>
  </si>
  <si>
    <t xml:space="preserve">0926941955</t>
  </si>
  <si>
    <t xml:space="preserve">中國青年救國團桃園市團務指導委員會附設私立救國團文理技藝短期補習班</t>
  </si>
  <si>
    <r>
      <rPr>
        <sz val="10"/>
        <color rgb="FF1F2A28"/>
        <rFont val="WenQuanYi Zen Hei"/>
        <family val="2"/>
      </rPr>
      <t xml:space="preserve">桃園區成功路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9-14</t>
    </r>
    <r>
      <rPr>
        <sz val="10"/>
        <color rgb="FF1F2A28"/>
        <rFont val="WenQuanYi Zen Hei"/>
        <family val="2"/>
      </rPr>
      <t xml:space="preserve">樓</t>
    </r>
  </si>
  <si>
    <t xml:space="preserve">(03)3332153</t>
  </si>
  <si>
    <t xml:space="preserve">cyc3332153@cyc.tw</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</si>
  <si>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美容、美髮理髮類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商類：珠算、心算、會計</t>
    </r>
    <r>
      <rPr>
        <sz val="10"/>
        <color rgb="FF1F2A28"/>
        <rFont val="Arial"/>
        <family val="0"/>
        <charset val="1"/>
      </rPr>
      <t xml:space="preserve">,</t>
    </r>
    <r>
      <rPr>
        <sz val="10"/>
        <color rgb="FF1F2A28"/>
        <rFont val="WenQuanYi Zen Hei"/>
        <family val="2"/>
      </rPr>
      <t xml:space="preserve">其他類</t>
    </r>
  </si>
  <si>
    <t xml:space="preserve">1999-05-03</t>
  </si>
  <si>
    <t xml:space="preserve">劉韋汝</t>
  </si>
  <si>
    <t xml:space="preserve">中國青年救國團桃園市團務指導委員會附設私立救國團文理技藝短期補習班藝文分班</t>
  </si>
  <si>
    <r>
      <rPr>
        <sz val="10"/>
        <color rgb="FF1F2A28"/>
        <rFont val="WenQuanYi Zen Hei"/>
        <family val="2"/>
      </rPr>
      <t xml:space="preserve">桃園區中正路</t>
    </r>
    <r>
      <rPr>
        <sz val="10"/>
        <color rgb="FF1F2A28"/>
        <rFont val="Arial"/>
        <family val="0"/>
        <charset val="1"/>
      </rPr>
      <t xml:space="preserve">1071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</si>
  <si>
    <t xml:space="preserve">(03)3164222</t>
  </si>
  <si>
    <t xml:space="preserve">cyc3164222@cyc.tw</t>
  </si>
  <si>
    <t xml:space="preserve">2019-04-17</t>
  </si>
  <si>
    <t xml:space="preserve">呂仲伶</t>
  </si>
  <si>
    <t xml:space="preserve">何嘉仁文教事業股份有限公司桃園分公司附設私立智祥語文短期補習班</t>
  </si>
  <si>
    <r>
      <rPr>
        <sz val="10"/>
        <color rgb="FF1F2A28"/>
        <rFont val="WenQuanYi Zen Hei"/>
        <family val="2"/>
      </rPr>
      <t xml:space="preserve">桃園區三民路三段</t>
    </r>
    <r>
      <rPr>
        <sz val="10"/>
        <color rgb="FF1F2A28"/>
        <rFont val="Arial"/>
        <family val="0"/>
        <charset val="1"/>
      </rPr>
      <t xml:space="preserve">182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</si>
  <si>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(03)3372652</t>
  </si>
  <si>
    <t xml:space="preserve">hs3471@hess.com.tw</t>
  </si>
  <si>
    <t xml:space="preserve">2006-10-20</t>
  </si>
  <si>
    <t xml:space="preserve">鄭岢欣</t>
  </si>
  <si>
    <t xml:space="preserve">何嘉仁文教事業股份有限公司附設私立智妍英語短期補習班</t>
  </si>
  <si>
    <r>
      <rPr>
        <sz val="10"/>
        <color rgb="FF1F2A28"/>
        <rFont val="WenQuanYi Zen Hei"/>
        <family val="2"/>
      </rPr>
      <t xml:space="preserve">桃園區中正路</t>
    </r>
    <r>
      <rPr>
        <sz val="10"/>
        <color rgb="FF1F2A28"/>
        <rFont val="Arial"/>
        <family val="0"/>
        <charset val="1"/>
      </rPr>
      <t xml:space="preserve">1249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</si>
  <si>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(03)3580811</t>
  </si>
  <si>
    <t xml:space="preserve">hs3731@hess.com.tw</t>
  </si>
  <si>
    <t xml:space="preserve">英語初級班、英語中級班、英語高級班</t>
  </si>
  <si>
    <t xml:space="preserve">2006-01-25</t>
  </si>
  <si>
    <t xml:space="preserve">陳彥婷</t>
  </si>
  <si>
    <t xml:space="preserve">劍橋國際留遊學有限公司附設私立劍橋國際語文短期補習班</t>
  </si>
  <si>
    <r>
      <rPr>
        <sz val="10"/>
        <color rgb="FF1F2A28"/>
        <rFont val="WenQuanYi Zen Hei"/>
        <family val="2"/>
      </rPr>
      <t xml:space="preserve">桃園區大業路一段</t>
    </r>
    <r>
      <rPr>
        <sz val="10"/>
        <color rgb="FF1F2A28"/>
        <rFont val="Arial"/>
        <family val="0"/>
        <charset val="1"/>
      </rPr>
      <t xml:space="preserve">126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</si>
  <si>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(03)3550011</t>
  </si>
  <si>
    <t xml:space="preserve">henrychang@jlcambridge.com</t>
  </si>
  <si>
    <t xml:space="preserve">生活美語</t>
  </si>
  <si>
    <t xml:space="preserve">2016-04-27</t>
  </si>
  <si>
    <t xml:space="preserve">張程皓</t>
  </si>
  <si>
    <t xml:space="preserve">台灣拓人教育事業股份有限公司附設私立拓人文理語文短期補習班</t>
  </si>
  <si>
    <r>
      <rPr>
        <sz val="10"/>
        <color rgb="FF1F2A28"/>
        <rFont val="WenQuanYi Zen Hei"/>
        <family val="2"/>
      </rPr>
      <t xml:space="preserve">桃園區同德六街</t>
    </r>
    <r>
      <rPr>
        <sz val="10"/>
        <color rgb="FF1F2A28"/>
        <rFont val="Arial"/>
        <family val="0"/>
        <charset val="1"/>
      </rPr>
      <t xml:space="preserve">153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</si>
  <si>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(03)3462858</t>
  </si>
  <si>
    <t xml:space="preserve">2014-06-27</t>
  </si>
  <si>
    <t xml:space="preserve">陳品卉</t>
  </si>
  <si>
    <t xml:space="preserve">奧斯汀文化事業有限公司私立大業文理短期補習班</t>
  </si>
  <si>
    <r>
      <rPr>
        <sz val="10"/>
        <color rgb="FF1F2A28"/>
        <rFont val="WenQuanYi Zen Hei"/>
        <family val="2"/>
      </rPr>
      <t xml:space="preserve">桃園區大業路一段</t>
    </r>
    <r>
      <rPr>
        <sz val="10"/>
        <color rgb="FF1F2A28"/>
        <rFont val="Arial"/>
        <family val="0"/>
        <charset val="1"/>
      </rPr>
      <t xml:space="preserve">277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</si>
  <si>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(03)3172209</t>
  </si>
  <si>
    <t xml:space="preserve">austinenglish1688@gmail.com</t>
  </si>
  <si>
    <r>
      <rPr>
        <sz val="10"/>
        <color rgb="FF1F2A28"/>
        <rFont val="WenQuanYi Zen Hei"/>
        <family val="2"/>
      </rPr>
      <t xml:space="preserve">美語、國中文理科</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</si>
  <si>
    <t xml:space="preserve">2026-05-11</t>
  </si>
  <si>
    <t xml:space="preserve">奧斯汀文化事業有限公司附設私立大有文理短期補習班</t>
  </si>
  <si>
    <r>
      <rPr>
        <sz val="10"/>
        <color rgb="FF1F2A28"/>
        <rFont val="WenQuanYi Zen Hei"/>
        <family val="2"/>
      </rPr>
      <t xml:space="preserve">桃園區大有路</t>
    </r>
    <r>
      <rPr>
        <sz val="10"/>
        <color rgb="FF1F2A28"/>
        <rFont val="Arial"/>
        <family val="0"/>
        <charset val="1"/>
      </rPr>
      <t xml:space="preserve">362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</si>
  <si>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(03)3625860</t>
  </si>
  <si>
    <t xml:space="preserve">詹前琰</t>
  </si>
  <si>
    <t xml:space="preserve">宇創新國際有限公司附設私立科奇美語文理短期補習班</t>
  </si>
  <si>
    <r>
      <rPr>
        <sz val="10"/>
        <color rgb="FF1F2A28"/>
        <rFont val="WenQuanYi Zen Hei"/>
        <family val="2"/>
      </rPr>
      <t xml:space="preserve">桃園區同德十一街</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</si>
  <si>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(03)3587771</t>
  </si>
  <si>
    <t xml:space="preserve">amber7218@gmail.com</t>
  </si>
  <si>
    <r>
      <rPr>
        <sz val="10"/>
        <color rgb="FF1F2A28"/>
        <rFont val="WenQuanYi Zen Hei"/>
        <family val="2"/>
      </rPr>
      <t xml:space="preserve">翱翔美語科、奔馳美語科、五感教育美語科、國中文理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r>
      <rPr>
        <sz val="10"/>
        <color rgb="FF1F2A28"/>
        <rFont val="WenQuanYi Zen Hei"/>
        <family val="2"/>
      </rPr>
      <t xml:space="preserve">科</t>
    </r>
  </si>
  <si>
    <t xml:space="preserve">2007-03-26</t>
  </si>
  <si>
    <t xml:space="preserve">陳茵琪</t>
  </si>
  <si>
    <t xml:space="preserve">巨匠電腦股份有限公司附設私立巨將美語短期補習班</t>
  </si>
  <si>
    <r>
      <rPr>
        <sz val="10"/>
        <color rgb="FF1F2A28"/>
        <rFont val="WenQuanYi Zen Hei"/>
        <family val="2"/>
      </rPr>
      <t xml:space="preserve">桃園區大同路</t>
    </r>
    <r>
      <rPr>
        <sz val="10"/>
        <color rgb="FF1F2A28"/>
        <rFont val="Arial"/>
        <family val="0"/>
        <charset val="1"/>
      </rPr>
      <t xml:space="preserve">24</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</si>
  <si>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(03)3314963</t>
  </si>
  <si>
    <t xml:space="preserve">KF_mailbox@pcschool.com.tw</t>
  </si>
  <si>
    <t xml:space="preserve">1987-07-31</t>
  </si>
  <si>
    <t xml:space="preserve">郭又寧</t>
  </si>
  <si>
    <t xml:space="preserve">弋果文化事業股份有限公司附設私立弋果美語文理數學短期補習班</t>
  </si>
  <si>
    <r>
      <rPr>
        <sz val="10"/>
        <color rgb="FF1F2A28"/>
        <rFont val="WenQuanYi Zen Hei"/>
        <family val="2"/>
      </rPr>
      <t xml:space="preserve">桃園區國光街</t>
    </r>
    <r>
      <rPr>
        <sz val="10"/>
        <color rgb="FF1F2A28"/>
        <rFont val="Arial"/>
        <family val="0"/>
        <charset val="1"/>
      </rPr>
      <t xml:space="preserve">132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</si>
  <si>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(03)3315018</t>
  </si>
  <si>
    <t xml:space="preserve">qingxi.taoyuan@gmail.com</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</si>
  <si>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低年級</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中年級</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高年級</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數學、英文、自然</t>
    </r>
    <r>
      <rPr>
        <sz val="10"/>
        <color rgb="FF1F2A28"/>
        <rFont val="Arial"/>
        <family val="0"/>
        <charset val="1"/>
      </rPr>
      <t xml:space="preserve">)</t>
    </r>
  </si>
  <si>
    <t xml:space="preserve">2021-08-06</t>
  </si>
  <si>
    <t xml:space="preserve">曹明驥</t>
  </si>
  <si>
    <t xml:space="preserve">林詩祥</t>
  </si>
  <si>
    <t xml:space="preserve">弋果文化事業股份有限公司附設私立譯果語文文理數學短期補習班</t>
  </si>
  <si>
    <r>
      <rPr>
        <sz val="10"/>
        <color rgb="FF1F2A28"/>
        <rFont val="WenQuanYi Zen Hei"/>
        <family val="2"/>
      </rPr>
      <t xml:space="preserve">桃園區中正路</t>
    </r>
    <r>
      <rPr>
        <sz val="10"/>
        <color rgb="FF1F2A28"/>
        <rFont val="Arial"/>
        <family val="0"/>
        <charset val="1"/>
      </rPr>
      <t xml:space="preserve">1367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</si>
  <si>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(03)3161603</t>
  </si>
  <si>
    <t xml:space="preserve">petite.lee@eagletw.com</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</si>
  <si>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高級</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初級</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中級</t>
    </r>
    <r>
      <rPr>
        <sz val="10"/>
        <color rgb="FF1F2A28"/>
        <rFont val="Arial"/>
        <family val="0"/>
        <charset val="1"/>
      </rPr>
      <t xml:space="preserve">)</t>
    </r>
  </si>
  <si>
    <t xml:space="preserve">2019-06-04</t>
  </si>
  <si>
    <t xml:space="preserve">王沿尹</t>
  </si>
  <si>
    <t xml:space="preserve">數位聯成股份有限公司附設私立聯成一語文短期補習班</t>
  </si>
  <si>
    <r>
      <rPr>
        <sz val="10"/>
        <color rgb="FF1F2A28"/>
        <rFont val="WenQuanYi Zen Hei"/>
        <family val="2"/>
      </rPr>
      <t xml:space="preserve">桃園區大同路</t>
    </r>
    <r>
      <rPr>
        <sz val="10"/>
        <color rgb="FF1F2A28"/>
        <rFont val="Arial"/>
        <family val="0"/>
        <charset val="1"/>
      </rPr>
      <t xml:space="preserve">77-2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</si>
  <si>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(03)3332901</t>
  </si>
  <si>
    <t xml:space="preserve">james@abcgo.com.tw</t>
  </si>
  <si>
    <t xml:space="preserve">2018-05-25</t>
  </si>
  <si>
    <t xml:space="preserve">孫筱咪</t>
  </si>
  <si>
    <t xml:space="preserve">斐然文教有限公司附設私立頂級文理短期補習班</t>
  </si>
  <si>
    <r>
      <rPr>
        <sz val="10"/>
        <color rgb="FF1F2A28"/>
        <rFont val="WenQuanYi Zen Hei"/>
        <family val="2"/>
      </rPr>
      <t xml:space="preserve">桃園區國際路一段</t>
    </r>
    <r>
      <rPr>
        <sz val="10"/>
        <color rgb="FF1F2A28"/>
        <rFont val="Arial"/>
        <family val="0"/>
        <charset val="1"/>
      </rPr>
      <t xml:space="preserve">1106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</si>
  <si>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(03)2206525</t>
  </si>
  <si>
    <t xml:space="preserve">chungshan.ty@gmail.com</t>
  </si>
  <si>
    <t xml:space="preserve">2018-12-22</t>
  </si>
  <si>
    <t xml:space="preserve">楊翊珮</t>
  </si>
  <si>
    <t xml:space="preserve">新貴個別指導股份有限公司附設私立新貴同得文理語文數學短期補習班</t>
  </si>
  <si>
    <r>
      <rPr>
        <sz val="10"/>
        <color rgb="FF1F2A28"/>
        <rFont val="WenQuanYi Zen Hei"/>
        <family val="2"/>
      </rPr>
      <t xml:space="preserve">桃園區中埔二街</t>
    </r>
    <r>
      <rPr>
        <sz val="10"/>
        <color rgb="FF1F2A28"/>
        <rFont val="Arial"/>
        <family val="0"/>
        <charset val="1"/>
      </rPr>
      <t xml:space="preserve">220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</si>
  <si>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(03)3467799</t>
  </si>
  <si>
    <t xml:space="preserve">sh91229@gmail.com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</si>
  <si>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、美語</t>
    </r>
  </si>
  <si>
    <t xml:space="preserve">2021-11-11</t>
  </si>
  <si>
    <t xml:space="preserve">詹朝賢</t>
  </si>
  <si>
    <t xml:space="preserve">莊涵君</t>
  </si>
  <si>
    <t xml:space="preserve">明光文化有限公司附設私立明光語文文理短期補習班</t>
  </si>
  <si>
    <r>
      <rPr>
        <sz val="10"/>
        <color rgb="FF1F2A28"/>
        <rFont val="WenQuanYi Zen Hei"/>
        <family val="2"/>
      </rPr>
      <t xml:space="preserve">桃園區大興西路一段</t>
    </r>
    <r>
      <rPr>
        <sz val="10"/>
        <color rgb="FF1F2A28"/>
        <rFont val="Arial"/>
        <family val="0"/>
        <charset val="1"/>
      </rPr>
      <t xml:space="preserve">319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</si>
  <si>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(03)3461919</t>
  </si>
  <si>
    <t xml:space="preserve">m3461919@meikoschool.com.tw</t>
  </si>
  <si>
    <t xml:space="preserve">2019-01-10</t>
  </si>
  <si>
    <t xml:space="preserve">葉力綱</t>
  </si>
  <si>
    <t xml:space="preserve">李薊吟</t>
  </si>
  <si>
    <t xml:space="preserve">明光文教事業股份有限公司私立明翰文理短期補習班</t>
  </si>
  <si>
    <r>
      <rPr>
        <sz val="10"/>
        <color rgb="FF1F2A28"/>
        <rFont val="WenQuanYi Zen Hei"/>
        <family val="2"/>
      </rPr>
      <t xml:space="preserve">桃園區國際路二段</t>
    </r>
    <r>
      <rPr>
        <sz val="10"/>
        <color rgb="FF1F2A28"/>
        <rFont val="Arial"/>
        <family val="0"/>
        <charset val="1"/>
      </rPr>
      <t xml:space="preserve">146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</si>
  <si>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(03)3780307</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</si>
  <si>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科、文理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r>
      <rPr>
        <sz val="10"/>
        <color rgb="FF1F2A28"/>
        <rFont val="WenQuanYi Zen Hei"/>
        <family val="2"/>
      </rPr>
      <t xml:space="preserve">科</t>
    </r>
  </si>
  <si>
    <t xml:space="preserve">2025-07-15</t>
  </si>
  <si>
    <t xml:space="preserve">楊佳叡</t>
  </si>
  <si>
    <t xml:space="preserve">郭建廷</t>
  </si>
  <si>
    <t xml:space="preserve">時代國際文教有限公司附設私立時代國際語文短期補習班</t>
  </si>
  <si>
    <r>
      <rPr>
        <sz val="10"/>
        <color rgb="FF1F2A28"/>
        <rFont val="WenQuanYi Zen Hei"/>
        <family val="2"/>
      </rPr>
      <t xml:space="preserve">桃園區大同路</t>
    </r>
    <r>
      <rPr>
        <sz val="10"/>
        <color rgb="FF1F2A28"/>
        <rFont val="Arial"/>
        <family val="0"/>
        <charset val="1"/>
      </rPr>
      <t xml:space="preserve">41</t>
    </r>
    <r>
      <rPr>
        <sz val="10"/>
        <color rgb="FF1F2A28"/>
        <rFont val="WenQuanYi Zen Hei"/>
        <family val="2"/>
      </rPr>
      <t xml:space="preserve">號</t>
    </r>
    <r>
      <rPr>
        <sz val="10"/>
        <color rgb="FF1F2A28"/>
        <rFont val="Arial"/>
        <family val="0"/>
        <charset val="1"/>
      </rPr>
      <t xml:space="preserve">6-7</t>
    </r>
    <r>
      <rPr>
        <sz val="10"/>
        <color rgb="FF1F2A28"/>
        <rFont val="WenQuanYi Zen Hei"/>
        <family val="2"/>
      </rPr>
      <t xml:space="preserve">樓</t>
    </r>
  </si>
  <si>
    <t xml:space="preserve">(03)3335777</t>
  </si>
  <si>
    <t xml:space="preserve">cindy.wu@language-world.com.tw</t>
  </si>
  <si>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會話</t>
    </r>
    <r>
      <rPr>
        <sz val="10"/>
        <color rgb="FF1F2A28"/>
        <rFont val="Arial"/>
        <family val="0"/>
        <charset val="1"/>
      </rPr>
      <t xml:space="preserve">)</t>
    </r>
    <r>
      <rPr>
        <sz val="10"/>
        <color rgb="FF1F2A28"/>
        <rFont val="WenQuanYi Zen Hei"/>
        <family val="2"/>
      </rPr>
      <t xml:space="preserve">科、英文</t>
    </r>
    <r>
      <rPr>
        <sz val="10"/>
        <color rgb="FF1F2A28"/>
        <rFont val="Arial"/>
        <family val="0"/>
        <charset val="1"/>
      </rPr>
      <t xml:space="preserve">(</t>
    </r>
    <r>
      <rPr>
        <sz val="10"/>
        <color rgb="FF1F2A28"/>
        <rFont val="WenQuanYi Zen Hei"/>
        <family val="2"/>
      </rPr>
      <t xml:space="preserve">托福</t>
    </r>
    <r>
      <rPr>
        <sz val="10"/>
        <color rgb="FF1F2A28"/>
        <rFont val="Arial"/>
        <family val="0"/>
        <charset val="1"/>
      </rPr>
      <t xml:space="preserve">)</t>
    </r>
    <r>
      <rPr>
        <sz val="10"/>
        <color rgb="FF1F2A28"/>
        <rFont val="WenQuanYi Zen Hei"/>
        <family val="2"/>
      </rPr>
      <t xml:space="preserve">科、英文</t>
    </r>
    <r>
      <rPr>
        <sz val="10"/>
        <color rgb="FF1F2A28"/>
        <rFont val="Arial"/>
        <family val="0"/>
        <charset val="1"/>
      </rPr>
      <t xml:space="preserve">(</t>
    </r>
    <r>
      <rPr>
        <sz val="10"/>
        <color rgb="FF1F2A28"/>
        <rFont val="WenQuanYi Zen Hei"/>
        <family val="2"/>
      </rPr>
      <t xml:space="preserve">雅思</t>
    </r>
    <r>
      <rPr>
        <sz val="10"/>
        <color rgb="FF1F2A28"/>
        <rFont val="Arial"/>
        <family val="0"/>
        <charset val="1"/>
      </rPr>
      <t xml:space="preserve">)</t>
    </r>
    <r>
      <rPr>
        <sz val="10"/>
        <color rgb="FF1F2A28"/>
        <rFont val="WenQuanYi Zen Hei"/>
        <family val="2"/>
      </rPr>
      <t xml:space="preserve">科、英文</t>
    </r>
    <r>
      <rPr>
        <sz val="10"/>
        <color rgb="FF1F2A28"/>
        <rFont val="Arial"/>
        <family val="0"/>
        <charset val="1"/>
      </rPr>
      <t xml:space="preserve">(</t>
    </r>
    <r>
      <rPr>
        <sz val="10"/>
        <color rgb="FF1F2A28"/>
        <rFont val="WenQuanYi Zen Hei"/>
        <family val="2"/>
      </rPr>
      <t xml:space="preserve">寫作</t>
    </r>
    <r>
      <rPr>
        <sz val="10"/>
        <color rgb="FF1F2A28"/>
        <rFont val="Arial"/>
        <family val="0"/>
        <charset val="1"/>
      </rPr>
      <t xml:space="preserve">)</t>
    </r>
    <r>
      <rPr>
        <sz val="10"/>
        <color rgb="FF1F2A28"/>
        <rFont val="WenQuanYi Zen Hei"/>
        <family val="2"/>
      </rPr>
      <t xml:space="preserve">科、英文</t>
    </r>
    <r>
      <rPr>
        <sz val="10"/>
        <color rgb="FF1F2A28"/>
        <rFont val="Arial"/>
        <family val="0"/>
        <charset val="1"/>
      </rPr>
      <t xml:space="preserve">(</t>
    </r>
    <r>
      <rPr>
        <sz val="10"/>
        <color rgb="FF1F2A28"/>
        <rFont val="WenQuanYi Zen Hei"/>
        <family val="2"/>
      </rPr>
      <t xml:space="preserve">多益</t>
    </r>
    <r>
      <rPr>
        <sz val="10"/>
        <color rgb="FF1F2A28"/>
        <rFont val="Arial"/>
        <family val="0"/>
        <charset val="1"/>
      </rPr>
      <t xml:space="preserve">)</t>
    </r>
    <r>
      <rPr>
        <sz val="10"/>
        <color rgb="FF1F2A28"/>
        <rFont val="WenQuanYi Zen Hei"/>
        <family val="2"/>
      </rPr>
      <t xml:space="preserve">科、英文</t>
    </r>
    <r>
      <rPr>
        <sz val="10"/>
        <color rgb="FF1F2A28"/>
        <rFont val="Arial"/>
        <family val="0"/>
        <charset val="1"/>
      </rPr>
      <t xml:space="preserve">(</t>
    </r>
    <r>
      <rPr>
        <sz val="10"/>
        <color rgb="FF1F2A28"/>
        <rFont val="WenQuanYi Zen Hei"/>
        <family val="2"/>
      </rPr>
      <t xml:space="preserve">文法</t>
    </r>
    <r>
      <rPr>
        <sz val="10"/>
        <color rgb="FF1F2A28"/>
        <rFont val="Arial"/>
        <family val="0"/>
        <charset val="1"/>
      </rPr>
      <t xml:space="preserve">)</t>
    </r>
    <r>
      <rPr>
        <sz val="10"/>
        <color rgb="FF1F2A28"/>
        <rFont val="WenQuanYi Zen Hei"/>
        <family val="2"/>
      </rPr>
      <t xml:space="preserve">科</t>
    </r>
  </si>
  <si>
    <t xml:space="preserve">2011-04-22</t>
  </si>
  <si>
    <t xml:space="preserve">吳欣嬡</t>
  </si>
  <si>
    <t xml:space="preserve">朝陽富元教育股份有限公司附設私立朝揚文理語文短期補習班大有分班</t>
  </si>
  <si>
    <r>
      <rPr>
        <sz val="10"/>
        <color rgb="FF1F2A28"/>
        <rFont val="WenQuanYi Zen Hei"/>
        <family val="2"/>
      </rPr>
      <t xml:space="preserve">桃園區大有路</t>
    </r>
    <r>
      <rPr>
        <sz val="10"/>
        <color rgb="FF1F2A28"/>
        <rFont val="Arial"/>
        <family val="0"/>
        <charset val="1"/>
      </rPr>
      <t xml:space="preserve">300</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樓及</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</si>
  <si>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(03)3563415</t>
  </si>
  <si>
    <r>
      <rPr>
        <sz val="10"/>
        <color rgb="FF1F2A28"/>
        <rFont val="WenQuanYi Zen Hei"/>
        <family val="2"/>
      </rPr>
      <t xml:space="preserve">國小文理</t>
    </r>
    <r>
      <rPr>
        <sz val="10"/>
        <color rgb="FF1F2A28"/>
        <rFont val="Arial"/>
        <family val="0"/>
        <charset val="1"/>
      </rPr>
      <t xml:space="preserve">(</t>
    </r>
    <r>
      <rPr>
        <sz val="10"/>
        <color rgb="FF1F2A28"/>
        <rFont val="WenQuanYi Zen Hei"/>
        <family val="2"/>
      </rPr>
      <t xml:space="preserve">國語、美語、數學</t>
    </r>
    <r>
      <rPr>
        <sz val="10"/>
        <color rgb="FF1F2A28"/>
        <rFont val="Arial"/>
        <family val="0"/>
        <charset val="1"/>
      </rPr>
      <t xml:space="preserve">)</t>
    </r>
    <r>
      <rPr>
        <sz val="10"/>
        <color rgb="FF1F2A28"/>
        <rFont val="WenQuanYi Zen Hei"/>
        <family val="2"/>
      </rPr>
      <t xml:space="preserve">科、國小文理</t>
    </r>
    <r>
      <rPr>
        <sz val="10"/>
        <color rgb="FF1F2A28"/>
        <rFont val="Arial"/>
        <family val="0"/>
        <charset val="1"/>
      </rPr>
      <t xml:space="preserve">(</t>
    </r>
    <r>
      <rPr>
        <sz val="10"/>
        <color rgb="FF1F2A28"/>
        <rFont val="WenQuanYi Zen Hei"/>
        <family val="2"/>
      </rPr>
      <t xml:space="preserve">國語、美語、數學、自然、社會</t>
    </r>
    <r>
      <rPr>
        <sz val="10"/>
        <color rgb="FF1F2A28"/>
        <rFont val="Arial"/>
        <family val="0"/>
        <charset val="1"/>
      </rPr>
      <t xml:space="preserve">)</t>
    </r>
    <r>
      <rPr>
        <sz val="10"/>
        <color rgb="FF1F2A28"/>
        <rFont val="WenQuanYi Zen Hei"/>
        <family val="2"/>
      </rPr>
      <t xml:space="preserve">科、國中文理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科、美語</t>
    </r>
  </si>
  <si>
    <t xml:space="preserve">黃曉琪</t>
  </si>
  <si>
    <t xml:space="preserve">朝陽富元教育股份有限公司附設私立朝揚文理語文短期補習班建國分班</t>
  </si>
  <si>
    <r>
      <rPr>
        <sz val="10"/>
        <color rgb="FF1F2A28"/>
        <rFont val="WenQuanYi Zen Hei"/>
        <family val="2"/>
      </rPr>
      <t xml:space="preserve">桃園區介新街</t>
    </r>
    <r>
      <rPr>
        <sz val="10"/>
        <color rgb="FF1F2A28"/>
        <rFont val="Arial"/>
        <family val="0"/>
        <charset val="1"/>
      </rPr>
      <t xml:space="preserve">83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</si>
  <si>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(03)3771211</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</si>
  <si>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國文、數學、自然、英文</t>
    </r>
    <r>
      <rPr>
        <sz val="10"/>
        <color rgb="FF1F2A28"/>
        <rFont val="Arial"/>
        <family val="0"/>
        <charset val="1"/>
      </rPr>
      <t xml:space="preserve">)</t>
    </r>
    <r>
      <rPr>
        <sz val="10"/>
        <color rgb="FF1F2A28"/>
        <rFont val="WenQuanYi Zen Hei"/>
        <family val="2"/>
      </rPr>
      <t xml:space="preserve">、美語</t>
    </r>
  </si>
  <si>
    <t xml:space="preserve">2019-04-11</t>
  </si>
  <si>
    <t xml:space="preserve">朝陽富元教育股份有限公司附設私立朝揚文理語文短期補習班福豐分班</t>
  </si>
  <si>
    <r>
      <rPr>
        <sz val="10"/>
        <color rgb="FF1F2A28"/>
        <rFont val="WenQuanYi Zen Hei"/>
        <family val="2"/>
      </rPr>
      <t xml:space="preserve">桃園區延平路</t>
    </r>
    <r>
      <rPr>
        <sz val="10"/>
        <color rgb="FF1F2A28"/>
        <rFont val="Arial"/>
        <family val="0"/>
        <charset val="1"/>
      </rPr>
      <t xml:space="preserve">211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</si>
  <si>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(03)3711011</t>
  </si>
  <si>
    <r>
      <rPr>
        <sz val="10"/>
        <color rgb="FF1F2A28"/>
        <rFont val="WenQuanYi Zen Hei"/>
        <family val="2"/>
      </rPr>
      <t xml:space="preserve">國文、英文、數學、自然、社會各</t>
    </r>
    <r>
      <rPr>
        <sz val="10"/>
        <color rgb="FF1F2A28"/>
        <rFont val="Arial"/>
        <family val="0"/>
        <charset val="1"/>
      </rPr>
      <t xml:space="preserve">3</t>
    </r>
    <r>
      <rPr>
        <sz val="10"/>
        <color rgb="FF1F2A28"/>
        <rFont val="WenQuanYi Zen Hei"/>
        <family val="2"/>
      </rPr>
      <t xml:space="preserve">班、美語</t>
    </r>
  </si>
  <si>
    <t xml:space="preserve">2008-12-16</t>
  </si>
  <si>
    <t xml:space="preserve">詹翔宇</t>
  </si>
  <si>
    <t xml:space="preserve">朝陽富元教育股份有限公司附設私立朝揚林肯數學文理語文短期補習班</t>
  </si>
  <si>
    <r>
      <rPr>
        <sz val="10"/>
        <color rgb="FF1F2A28"/>
        <rFont val="WenQuanYi Zen Hei"/>
        <family val="2"/>
      </rPr>
      <t xml:space="preserve">桃園區自強路</t>
    </r>
    <r>
      <rPr>
        <sz val="10"/>
        <color rgb="FF1F2A28"/>
        <rFont val="Arial"/>
        <family val="0"/>
        <charset val="1"/>
      </rPr>
      <t xml:space="preserve">85</t>
    </r>
    <r>
      <rPr>
        <sz val="10"/>
        <color rgb="FF1F2A28"/>
        <rFont val="WenQuanYi Zen Hei"/>
        <family val="2"/>
      </rPr>
      <t xml:space="preserve">、</t>
    </r>
    <r>
      <rPr>
        <sz val="10"/>
        <color rgb="FF1F2A28"/>
        <rFont val="Arial"/>
        <family val="0"/>
        <charset val="1"/>
      </rPr>
      <t xml:space="preserve">87</t>
    </r>
    <r>
      <rPr>
        <sz val="10"/>
        <color rgb="FF1F2A28"/>
        <rFont val="WenQuanYi Zen Hei"/>
        <family val="2"/>
      </rPr>
      <t xml:space="preserve">、</t>
    </r>
    <r>
      <rPr>
        <sz val="10"/>
        <color rgb="FF1F2A28"/>
        <rFont val="Arial"/>
        <family val="0"/>
        <charset val="1"/>
      </rPr>
      <t xml:space="preserve">89</t>
    </r>
    <r>
      <rPr>
        <sz val="10"/>
        <color rgb="FF1F2A28"/>
        <rFont val="WenQuanYi Zen Hei"/>
        <family val="2"/>
      </rPr>
      <t xml:space="preserve">、</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樓及中山東路</t>
    </r>
    <r>
      <rPr>
        <sz val="10"/>
        <color rgb="FF1F2A28"/>
        <rFont val="Arial"/>
        <family val="0"/>
        <charset val="1"/>
      </rPr>
      <t xml:space="preserve">151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</si>
  <si>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(03)333-9099</t>
  </si>
  <si>
    <t xml:space="preserve">國文、英文、數學、自然、社會、美語</t>
  </si>
  <si>
    <t xml:space="preserve">2009-06-12</t>
  </si>
  <si>
    <t xml:space="preserve">施文婷</t>
  </si>
  <si>
    <t xml:space="preserve">朝陽富元教育股份有限公司附設私立皇家菁英文理短期補習班</t>
  </si>
  <si>
    <r>
      <rPr>
        <sz val="10"/>
        <color rgb="FF1F2A28"/>
        <rFont val="WenQuanYi Zen Hei"/>
        <family val="2"/>
      </rPr>
      <t xml:space="preserve">桃園區同德二街</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</si>
  <si>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(03)3573568</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</si>
  <si>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國語、美語、數學</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國語、美語、數學、自然、社會</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國文、英文、數學、自然、社會</t>
    </r>
    <r>
      <rPr>
        <sz val="10"/>
        <color rgb="FF1F2A28"/>
        <rFont val="Arial"/>
        <family val="0"/>
        <charset val="1"/>
      </rPr>
      <t xml:space="preserve">)</t>
    </r>
  </si>
  <si>
    <t xml:space="preserve">2003-12-08</t>
  </si>
  <si>
    <t xml:space="preserve">賴雅鈴</t>
  </si>
  <si>
    <t xml:space="preserve">核心學習教育有限公司附設私立沛沅文理短期補習班</t>
  </si>
  <si>
    <r>
      <rPr>
        <sz val="10"/>
        <color rgb="FF1F2A28"/>
        <rFont val="WenQuanYi Zen Hei"/>
        <family val="2"/>
      </rPr>
      <t xml:space="preserve">桃園區中山東路</t>
    </r>
    <r>
      <rPr>
        <sz val="10"/>
        <color rgb="FF1F2A28"/>
        <rFont val="Arial"/>
        <family val="0"/>
        <charset val="1"/>
      </rPr>
      <t xml:space="preserve">97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</si>
  <si>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(03)3326730</t>
  </si>
  <si>
    <r>
      <rPr>
        <sz val="10"/>
        <color rgb="FF1F2A28"/>
        <rFont val="WenQuanYi Zen Hei"/>
        <family val="2"/>
      </rPr>
      <t xml:space="preserve">美語、國中文理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科、高中文理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科</t>
    </r>
  </si>
  <si>
    <t xml:space="preserve">2025-01-23</t>
  </si>
  <si>
    <t xml:space="preserve">陳培芝</t>
  </si>
  <si>
    <t xml:space="preserve">極合教育科技股份有限公司附設私立極上一對一站前文理短期補習班</t>
  </si>
  <si>
    <r>
      <rPr>
        <sz val="10"/>
        <color rgb="FF1F2A28"/>
        <rFont val="WenQuanYi Zen Hei"/>
        <family val="2"/>
      </rPr>
      <t xml:space="preserve">桃園區成功路一段</t>
    </r>
    <r>
      <rPr>
        <sz val="10"/>
        <color rgb="FF1F2A28"/>
        <rFont val="Arial"/>
        <family val="0"/>
        <charset val="1"/>
      </rPr>
      <t xml:space="preserve">31</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</si>
  <si>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(03)3360850</t>
  </si>
  <si>
    <t xml:space="preserve">2020-12-30</t>
  </si>
  <si>
    <t xml:space="preserve">洪立屏</t>
  </si>
  <si>
    <t xml:space="preserve">湯秀珊</t>
  </si>
  <si>
    <t xml:space="preserve">私立一修語文數學短期補習班</t>
  </si>
  <si>
    <r>
      <rPr>
        <sz val="10"/>
        <color rgb="FF1F2A28"/>
        <rFont val="WenQuanYi Zen Hei"/>
        <family val="2"/>
      </rPr>
      <t xml:space="preserve">桃園區吉昌街</t>
    </r>
    <r>
      <rPr>
        <sz val="10"/>
        <color rgb="FF1F2A28"/>
        <rFont val="Arial"/>
        <family val="0"/>
        <charset val="1"/>
      </rPr>
      <t xml:space="preserve">94,96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</si>
  <si>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(03)2200515</t>
  </si>
  <si>
    <t xml:space="preserve">kuolung.yang@gmail.com</t>
  </si>
  <si>
    <t xml:space="preserve">1998-03-09</t>
  </si>
  <si>
    <t xml:space="preserve">陳麗如</t>
  </si>
  <si>
    <t xml:space="preserve">楊國龍</t>
  </si>
  <si>
    <t xml:space="preserve">私立一文美語文理短期補習班</t>
  </si>
  <si>
    <r>
      <rPr>
        <sz val="10"/>
        <color rgb="FF1F2A28"/>
        <rFont val="WenQuanYi Zen Hei"/>
        <family val="2"/>
      </rPr>
      <t xml:space="preserve">桃園區復興路</t>
    </r>
    <r>
      <rPr>
        <sz val="10"/>
        <color rgb="FF1F2A28"/>
        <rFont val="Arial"/>
        <family val="0"/>
        <charset val="1"/>
      </rPr>
      <t xml:space="preserve">322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</si>
  <si>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(03)3345377</t>
  </si>
  <si>
    <t xml:space="preserve">ewun322@gmail.com</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</si>
  <si>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國數英自</t>
    </r>
    <r>
      <rPr>
        <sz val="10"/>
        <color rgb="FF1F2A28"/>
        <rFont val="Arial"/>
        <family val="0"/>
        <charset val="1"/>
      </rPr>
      <t xml:space="preserve">)</t>
    </r>
  </si>
  <si>
    <t xml:space="preserve">吳嘉軒</t>
  </si>
  <si>
    <t xml:space="preserve">私立三民文理數學美語短期補習班</t>
  </si>
  <si>
    <r>
      <rPr>
        <sz val="10"/>
        <color rgb="FF1F2A28"/>
        <rFont val="WenQuanYi Zen Hei"/>
        <family val="2"/>
      </rPr>
      <t xml:space="preserve">桃園區中山北路</t>
    </r>
    <r>
      <rPr>
        <sz val="10"/>
        <color rgb="FF1F2A28"/>
        <rFont val="Arial"/>
        <family val="0"/>
        <charset val="1"/>
      </rPr>
      <t xml:space="preserve">138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樓、莒光街</t>
    </r>
    <r>
      <rPr>
        <sz val="10"/>
        <color rgb="FF1F2A28"/>
        <rFont val="Arial"/>
        <family val="0"/>
        <charset val="1"/>
      </rPr>
      <t xml:space="preserve">36-1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36-2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</si>
  <si>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(03)3344750</t>
  </si>
  <si>
    <t xml:space="preserve">lap0909@yahoo.com.tw</t>
  </si>
  <si>
    <t xml:space="preserve">2009-03-04</t>
  </si>
  <si>
    <t xml:space="preserve">溫佩霓</t>
  </si>
  <si>
    <t xml:space="preserve">呂宗展</t>
  </si>
  <si>
    <t xml:space="preserve">私立三民文理數學美語短期補習班大業分班</t>
  </si>
  <si>
    <r>
      <rPr>
        <sz val="10"/>
        <color rgb="FF1F2A28"/>
        <rFont val="WenQuanYi Zen Hei"/>
        <family val="2"/>
      </rPr>
      <t xml:space="preserve">桃園區大業路一段</t>
    </r>
    <r>
      <rPr>
        <sz val="10"/>
        <color rgb="FF1F2A28"/>
        <rFont val="Arial"/>
        <family val="0"/>
        <charset val="1"/>
      </rPr>
      <t xml:space="preserve">125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</si>
  <si>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(03)3386366</t>
  </si>
  <si>
    <t xml:space="preserve">Giraffe10002@yahoo.com.tw</t>
  </si>
  <si>
    <t xml:space="preserve">2010-10-21</t>
  </si>
  <si>
    <t xml:space="preserve">溫志軒</t>
  </si>
  <si>
    <t xml:space="preserve">私立上華文理語文數學短期補習班</t>
  </si>
  <si>
    <r>
      <rPr>
        <sz val="10"/>
        <color rgb="FF1F2A28"/>
        <rFont val="WenQuanYi Zen Hei"/>
        <family val="2"/>
      </rPr>
      <t xml:space="preserve">桃園區同德六街</t>
    </r>
    <r>
      <rPr>
        <sz val="10"/>
        <color rgb="FF1F2A28"/>
        <rFont val="Arial"/>
        <family val="0"/>
        <charset val="1"/>
      </rPr>
      <t xml:space="preserve">148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</si>
  <si>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(03)3571243</t>
  </si>
  <si>
    <t xml:space="preserve">peilin928928@gmail.com</t>
  </si>
  <si>
    <t xml:space="preserve">陳沛琳</t>
  </si>
  <si>
    <t xml:space="preserve">陳秋如</t>
  </si>
  <si>
    <t xml:space="preserve">私立中山英才文理短期補習班</t>
  </si>
  <si>
    <r>
      <rPr>
        <sz val="10"/>
        <color rgb="FF1F2A28"/>
        <rFont val="WenQuanYi Zen Hei"/>
        <family val="2"/>
      </rPr>
      <t xml:space="preserve">桃園區國際路一段</t>
    </r>
    <r>
      <rPr>
        <sz val="10"/>
        <color rgb="FF1F2A28"/>
        <rFont val="Arial"/>
        <family val="0"/>
        <charset val="1"/>
      </rPr>
      <t xml:space="preserve">1026</t>
    </r>
    <r>
      <rPr>
        <sz val="10"/>
        <color rgb="FF1F2A28"/>
        <rFont val="WenQuanYi Zen Hei"/>
        <family val="2"/>
      </rPr>
      <t xml:space="preserve">巷</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</si>
  <si>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(03)2289015</t>
  </si>
  <si>
    <t xml:space="preserve">mandy21831@gmail.com</t>
  </si>
  <si>
    <t xml:space="preserve">2009-06-16</t>
  </si>
  <si>
    <t xml:space="preserve">陳春龍</t>
  </si>
  <si>
    <t xml:space="preserve">私立乘究文理美語數學短期補習班</t>
  </si>
  <si>
    <r>
      <rPr>
        <sz val="10"/>
        <color rgb="FF1F2A28"/>
        <rFont val="WenQuanYi Zen Hei"/>
        <family val="2"/>
      </rPr>
      <t xml:space="preserve">桃園區經國路</t>
    </r>
    <r>
      <rPr>
        <sz val="10"/>
        <color rgb="FF1F2A28"/>
        <rFont val="Arial"/>
        <family val="0"/>
        <charset val="1"/>
      </rPr>
      <t xml:space="preserve">280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</si>
  <si>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(03)3251200</t>
  </si>
  <si>
    <t xml:space="preserve">2017-08-10</t>
  </si>
  <si>
    <t xml:space="preserve">徐凱</t>
  </si>
  <si>
    <t xml:space="preserve">私立九歌美語作文珠心算短期補習班</t>
  </si>
  <si>
    <r>
      <rPr>
        <sz val="10"/>
        <color rgb="FF1F2A28"/>
        <rFont val="WenQuanYi Zen Hei"/>
        <family val="2"/>
      </rPr>
      <t xml:space="preserve">桃園區昆明路</t>
    </r>
    <r>
      <rPr>
        <sz val="10"/>
        <color rgb="FF1F2A28"/>
        <rFont val="Arial"/>
        <family val="0"/>
        <charset val="1"/>
      </rPr>
      <t xml:space="preserve">142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4</t>
    </r>
    <r>
      <rPr>
        <sz val="10"/>
        <color rgb="FF1F2A28"/>
        <rFont val="WenQuanYi Zen Hei"/>
        <family val="2"/>
      </rPr>
      <t xml:space="preserve">樓</t>
    </r>
  </si>
  <si>
    <t xml:space="preserve">(03)3676757</t>
  </si>
  <si>
    <t xml:space="preserve">a0933938126@gmail.com</t>
  </si>
  <si>
    <t xml:space="preserve">2002-12-09</t>
  </si>
  <si>
    <t xml:space="preserve">陳香桃</t>
  </si>
  <si>
    <t xml:space="preserve">陳漢東</t>
  </si>
  <si>
    <t xml:space="preserve">私立佑晉美語數學短期補習班</t>
  </si>
  <si>
    <r>
      <rPr>
        <sz val="10"/>
        <color rgb="FF1F2A28"/>
        <rFont val="WenQuanYi Zen Hei"/>
        <family val="2"/>
      </rPr>
      <t xml:space="preserve">桃園區龍泉二街</t>
    </r>
    <r>
      <rPr>
        <sz val="10"/>
        <color rgb="FF1F2A28"/>
        <rFont val="Arial"/>
        <family val="0"/>
        <charset val="1"/>
      </rPr>
      <t xml:space="preserve">66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</si>
  <si>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(03)2170197</t>
  </si>
  <si>
    <t xml:space="preserve">elleen@superfish.ath.cx</t>
  </si>
  <si>
    <t xml:space="preserve">初級美語、中級美語、會話美語</t>
  </si>
  <si>
    <t xml:space="preserve">2005-07-13</t>
  </si>
  <si>
    <t xml:space="preserve">劉宜萱</t>
  </si>
  <si>
    <t xml:space="preserve">私立佳基語文數學短期補習班</t>
  </si>
  <si>
    <r>
      <rPr>
        <sz val="10"/>
        <color rgb="FF1F2A28"/>
        <rFont val="WenQuanYi Zen Hei"/>
        <family val="2"/>
      </rPr>
      <t xml:space="preserve">桃園區同安街</t>
    </r>
    <r>
      <rPr>
        <sz val="10"/>
        <color rgb="FF1F2A28"/>
        <rFont val="Arial"/>
        <family val="0"/>
        <charset val="1"/>
      </rPr>
      <t xml:space="preserve">92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</si>
  <si>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(03)3166999</t>
  </si>
  <si>
    <t xml:space="preserve">2011-10-20</t>
  </si>
  <si>
    <t xml:space="preserve">徐啓凱</t>
  </si>
  <si>
    <t xml:space="preserve">私立佳有文理語文數學短期補習班</t>
  </si>
  <si>
    <r>
      <rPr>
        <sz val="10"/>
        <color rgb="FF1F2A28"/>
        <rFont val="WenQuanYi Zen Hei"/>
        <family val="2"/>
      </rPr>
      <t xml:space="preserve">桃園區大有路</t>
    </r>
    <r>
      <rPr>
        <sz val="10"/>
        <color rgb="FF1F2A28"/>
        <rFont val="Arial"/>
        <family val="0"/>
        <charset val="1"/>
      </rPr>
      <t xml:space="preserve">457</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</si>
  <si>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(03)3561898</t>
  </si>
  <si>
    <t xml:space="preserve">2016-03-11</t>
  </si>
  <si>
    <t xml:space="preserve">張珮瀅</t>
  </si>
  <si>
    <t xml:space="preserve">私立佳盈英語短期補習班</t>
  </si>
  <si>
    <r>
      <rPr>
        <sz val="10"/>
        <color rgb="FF1F2A28"/>
        <rFont val="WenQuanYi Zen Hei"/>
        <family val="2"/>
      </rPr>
      <t xml:space="preserve">桃園區中山北路</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</si>
  <si>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(03)3371149</t>
  </si>
  <si>
    <t xml:space="preserve">2000-01-07</t>
  </si>
  <si>
    <t xml:space="preserve">許碧方</t>
  </si>
  <si>
    <t xml:space="preserve">私立保羅優質美語短期補習班</t>
  </si>
  <si>
    <r>
      <rPr>
        <sz val="10"/>
        <color rgb="FF1F2A28"/>
        <rFont val="WenQuanYi Zen Hei"/>
        <family val="2"/>
      </rPr>
      <t xml:space="preserve">桃園區同安街</t>
    </r>
    <r>
      <rPr>
        <sz val="10"/>
        <color rgb="FF1F2A28"/>
        <rFont val="Arial"/>
        <family val="0"/>
        <charset val="1"/>
      </rPr>
      <t xml:space="preserve">548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</si>
  <si>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(03)3571652</t>
  </si>
  <si>
    <t xml:space="preserve">bittersweet6188@gmail.com</t>
  </si>
  <si>
    <t xml:space="preserve">黃寶添</t>
  </si>
  <si>
    <t xml:space="preserve">李玉璇</t>
  </si>
  <si>
    <t xml:space="preserve">私立信義數學文理語文短期補習班</t>
  </si>
  <si>
    <r>
      <rPr>
        <sz val="10"/>
        <color rgb="FF1F2A28"/>
        <rFont val="WenQuanYi Zen Hei"/>
        <family val="2"/>
      </rPr>
      <t xml:space="preserve">桃園區民富二街</t>
    </r>
    <r>
      <rPr>
        <sz val="10"/>
        <color rgb="FF1F2A28"/>
        <rFont val="Arial"/>
        <family val="0"/>
        <charset val="1"/>
      </rPr>
      <t xml:space="preserve">8</t>
    </r>
    <r>
      <rPr>
        <sz val="10"/>
        <color rgb="FF1F2A28"/>
        <rFont val="WenQuanYi Zen Hei"/>
        <family val="2"/>
      </rPr>
      <t xml:space="preserve">巷</t>
    </r>
    <r>
      <rPr>
        <sz val="10"/>
        <color rgb="FF1F2A28"/>
        <rFont val="Arial"/>
        <family val="0"/>
        <charset val="1"/>
      </rPr>
      <t xml:space="preserve">71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</si>
  <si>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(03)3564588</t>
  </si>
  <si>
    <t xml:space="preserve">yaping531218@gmail.com</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</si>
  <si>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初級</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t>
    </r>
    <r>
      <rPr>
        <sz val="10"/>
        <color rgb="FF1F2A28"/>
        <rFont val="WenQuanYi Zen Hei"/>
        <family val="2"/>
      </rPr>
      <t xml:space="preserve">中級</t>
    </r>
    <r>
      <rPr>
        <sz val="10"/>
        <color rgb="FF1F2A28"/>
        <rFont val="Arial"/>
        <family val="0"/>
        <charset val="1"/>
      </rPr>
      <t xml:space="preserve">)</t>
    </r>
    <r>
      <rPr>
        <sz val="10"/>
        <color rgb="FF1F2A28"/>
        <rFont val="WenQuanYi Zen Hei"/>
        <family val="2"/>
      </rPr>
      <t xml:space="preserve">科</t>
    </r>
  </si>
  <si>
    <t xml:space="preserve">2019-03-06</t>
  </si>
  <si>
    <t xml:space="preserve">邱雅萍</t>
  </si>
  <si>
    <t xml:space="preserve">陳俞卉</t>
  </si>
  <si>
    <t xml:space="preserve">私立偉華英語會話短期補習班</t>
  </si>
  <si>
    <r>
      <rPr>
        <sz val="10"/>
        <color rgb="FF1F2A28"/>
        <rFont val="WenQuanYi Zen Hei"/>
        <family val="2"/>
      </rPr>
      <t xml:space="preserve">桃園區成功路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37-1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</si>
  <si>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1984-10-24</t>
  </si>
  <si>
    <t xml:space="preserve">楊采溶</t>
  </si>
  <si>
    <t xml:space="preserve">私立傑生語文數學文理短期補習班</t>
  </si>
  <si>
    <r>
      <rPr>
        <sz val="10"/>
        <color rgb="FF1F2A28"/>
        <rFont val="WenQuanYi Zen Hei"/>
        <family val="2"/>
      </rPr>
      <t xml:space="preserve">桃園區長春路</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</si>
  <si>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(03)3353027</t>
  </si>
  <si>
    <t xml:space="preserve">jennychen0307@gmail.com</t>
  </si>
  <si>
    <t xml:space="preserve">2019-02-22</t>
  </si>
  <si>
    <t xml:space="preserve">莊念慈</t>
  </si>
  <si>
    <t xml:space="preserve">私立傑聖大興文理技藝短期補習班</t>
  </si>
  <si>
    <r>
      <rPr>
        <sz val="10"/>
        <color rgb="FF1F2A28"/>
        <rFont val="WenQuanYi Zen Hei"/>
        <family val="2"/>
      </rPr>
      <t xml:space="preserve">桃園區大興西路二段</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</si>
  <si>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(03)2150515</t>
  </si>
  <si>
    <t xml:space="preserve">dele.yang@gmail.com</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</si>
  <si>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初級</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t>
    </r>
    <r>
      <rPr>
        <sz val="10"/>
        <color rgb="FF1F2A28"/>
        <rFont val="WenQuanYi Zen Hei"/>
        <family val="2"/>
      </rPr>
      <t xml:space="preserve">進階</t>
    </r>
    <r>
      <rPr>
        <sz val="10"/>
        <color rgb="FF1F2A28"/>
        <rFont val="Arial"/>
        <family val="0"/>
        <charset val="1"/>
      </rPr>
      <t xml:space="preserve">)</t>
    </r>
    <r>
      <rPr>
        <sz val="10"/>
        <color rgb="FF1F2A28"/>
        <rFont val="WenQuanYi Zen Hei"/>
        <family val="2"/>
      </rPr>
      <t xml:space="preserve">科、文理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科</t>
    </r>
  </si>
  <si>
    <t xml:space="preserve">2023-03-24</t>
  </si>
  <si>
    <t xml:space="preserve">朱慧萍</t>
  </si>
  <si>
    <t xml:space="preserve">私立傑聖文理語文短期補習班</t>
  </si>
  <si>
    <r>
      <rPr>
        <sz val="10"/>
        <color rgb="FF1F2A28"/>
        <rFont val="WenQuanYi Zen Hei"/>
        <family val="2"/>
      </rPr>
      <t xml:space="preserve">桃園區中正路</t>
    </r>
    <r>
      <rPr>
        <sz val="10"/>
        <color rgb="FF1F2A28"/>
        <rFont val="Arial"/>
        <family val="0"/>
        <charset val="1"/>
      </rPr>
      <t xml:space="preserve">784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</si>
  <si>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(03)3257356</t>
  </si>
  <si>
    <t xml:space="preserve">2016-09-20</t>
  </si>
  <si>
    <t xml:space="preserve">楊德理</t>
  </si>
  <si>
    <t xml:space="preserve">私立優勢國際美語數學短期補習班</t>
  </si>
  <si>
    <r>
      <rPr>
        <sz val="10"/>
        <color rgb="FF1F2A28"/>
        <rFont val="WenQuanYi Zen Hei"/>
        <family val="2"/>
      </rPr>
      <t xml:space="preserve">桃園區宏昌十二街</t>
    </r>
    <r>
      <rPr>
        <sz val="10"/>
        <color rgb="FF1F2A28"/>
        <rFont val="Arial"/>
        <family val="0"/>
        <charset val="1"/>
      </rPr>
      <t xml:space="preserve">504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</si>
  <si>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(03)2288678</t>
  </si>
  <si>
    <t xml:space="preserve">a0923661768@gmail.com</t>
  </si>
  <si>
    <t xml:space="preserve">游玉環</t>
  </si>
  <si>
    <t xml:space="preserve">私立優尼可語文文理短期補習班</t>
  </si>
  <si>
    <r>
      <rPr>
        <sz val="10"/>
        <color rgb="FF1F2A28"/>
        <rFont val="WenQuanYi Zen Hei"/>
        <family val="2"/>
      </rPr>
      <t xml:space="preserve">桃園區大有路</t>
    </r>
    <r>
      <rPr>
        <sz val="10"/>
        <color rgb="FF1F2A28"/>
        <rFont val="Arial"/>
        <family val="0"/>
        <charset val="1"/>
      </rPr>
      <t xml:space="preserve">547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</si>
  <si>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(03)3576191</t>
  </si>
  <si>
    <t xml:space="preserve">tlarry6688@gmail.com</t>
  </si>
  <si>
    <t xml:space="preserve">2008-06-11</t>
  </si>
  <si>
    <t xml:space="preserve">蔡振峰</t>
  </si>
  <si>
    <t xml:space="preserve">私立元智美語技藝短期補習班</t>
  </si>
  <si>
    <r>
      <rPr>
        <sz val="10"/>
        <color rgb="FF1F2A28"/>
        <rFont val="WenQuanYi Zen Hei"/>
        <family val="2"/>
      </rPr>
      <t xml:space="preserve">桃園區新埔十街</t>
    </r>
    <r>
      <rPr>
        <sz val="10"/>
        <color rgb="FF1F2A28"/>
        <rFont val="Arial"/>
        <family val="0"/>
        <charset val="1"/>
      </rPr>
      <t xml:space="preserve">4</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</si>
  <si>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(03)-3553483</t>
  </si>
  <si>
    <t xml:space="preserve">q132su@yahoo.com.tw</t>
  </si>
  <si>
    <t xml:space="preserve">2006-03-24</t>
  </si>
  <si>
    <t xml:space="preserve">蘇美玲</t>
  </si>
  <si>
    <t xml:space="preserve">吳玉娟</t>
  </si>
  <si>
    <t xml:space="preserve">私立光宇教育文理短期補習班</t>
  </si>
  <si>
    <r>
      <rPr>
        <sz val="10"/>
        <color rgb="FF1F2A28"/>
        <rFont val="WenQuanYi Zen Hei"/>
        <family val="2"/>
      </rPr>
      <t xml:space="preserve">桃園區南平路</t>
    </r>
    <r>
      <rPr>
        <sz val="10"/>
        <color rgb="FF1F2A28"/>
        <rFont val="Arial"/>
        <family val="0"/>
        <charset val="1"/>
      </rPr>
      <t xml:space="preserve">477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</si>
  <si>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(03)3162268</t>
  </si>
  <si>
    <t xml:space="preserve">jeffrey3390@gmail.com</t>
  </si>
  <si>
    <t xml:space="preserve">陳彥廷</t>
  </si>
  <si>
    <t xml:space="preserve">私立克蘿伊語文短期補習班</t>
  </si>
  <si>
    <r>
      <rPr>
        <sz val="10"/>
        <color rgb="FF1F2A28"/>
        <rFont val="WenQuanYi Zen Hei"/>
        <family val="2"/>
      </rPr>
      <t xml:space="preserve">桃園區國際路一段</t>
    </r>
    <r>
      <rPr>
        <sz val="10"/>
        <color rgb="FF1F2A28"/>
        <rFont val="Arial"/>
        <family val="0"/>
        <charset val="1"/>
      </rPr>
      <t xml:space="preserve">1091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</si>
  <si>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(03)3603038</t>
  </si>
  <si>
    <t xml:space="preserve">pisces.chloe@msa.hinet.net</t>
  </si>
  <si>
    <t xml:space="preserve">2011-04-27</t>
  </si>
  <si>
    <t xml:space="preserve">余鴻志</t>
  </si>
  <si>
    <t xml:space="preserve">黃川燕</t>
  </si>
  <si>
    <t xml:space="preserve">私立全宇文理短期補習班</t>
  </si>
  <si>
    <r>
      <rPr>
        <sz val="10"/>
        <color rgb="FF1F2A28"/>
        <rFont val="WenQuanYi Zen Hei"/>
        <family val="2"/>
      </rPr>
      <t xml:space="preserve">桃園區中埔一街</t>
    </r>
    <r>
      <rPr>
        <sz val="10"/>
        <color rgb="FF1F2A28"/>
        <rFont val="Arial"/>
        <family val="0"/>
        <charset val="1"/>
      </rPr>
      <t xml:space="preserve">88</t>
    </r>
    <r>
      <rPr>
        <sz val="10"/>
        <color rgb="FF1F2A28"/>
        <rFont val="WenQuanYi Zen Hei"/>
        <family val="2"/>
      </rPr>
      <t xml:space="preserve">巷</t>
    </r>
    <r>
      <rPr>
        <sz val="10"/>
        <color rgb="FF1F2A28"/>
        <rFont val="Arial"/>
        <family val="0"/>
        <charset val="1"/>
      </rPr>
      <t xml:space="preserve">80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</si>
  <si>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(03)2160681</t>
  </si>
  <si>
    <t xml:space="preserve">kaihui0818@gmail.com</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</si>
  <si>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初級</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中級</t>
    </r>
    <r>
      <rPr>
        <sz val="10"/>
        <color rgb="FF1F2A28"/>
        <rFont val="Arial"/>
        <family val="0"/>
        <charset val="1"/>
      </rPr>
      <t xml:space="preserve">)</t>
    </r>
  </si>
  <si>
    <t xml:space="preserve">2021-05-03</t>
  </si>
  <si>
    <t xml:space="preserve">曹凱惠</t>
  </si>
  <si>
    <t xml:space="preserve">私立全晶櫻文理短期補習班</t>
  </si>
  <si>
    <r>
      <rPr>
        <sz val="10"/>
        <color rgb="FF1F2A28"/>
        <rFont val="WenQuanYi Zen Hei"/>
        <family val="2"/>
      </rPr>
      <t xml:space="preserve">桃園區大業路二段</t>
    </r>
    <r>
      <rPr>
        <sz val="10"/>
        <color rgb="FF1F2A28"/>
        <rFont val="Arial"/>
        <family val="0"/>
        <charset val="1"/>
      </rPr>
      <t xml:space="preserve">210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</si>
  <si>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(03)3569966</t>
  </si>
  <si>
    <t xml:space="preserve">eplus0527shane@gmail.com</t>
  </si>
  <si>
    <r>
      <rPr>
        <sz val="10"/>
        <color rgb="FF1F2A28"/>
        <rFont val="WenQuanYi Zen Hei"/>
        <family val="2"/>
      </rPr>
      <t xml:space="preserve">英語、國中文理科</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、國中文理科</t>
    </r>
    <r>
      <rPr>
        <sz val="10"/>
        <color rgb="FF1F2A28"/>
        <rFont val="Arial"/>
        <family val="0"/>
        <charset val="1"/>
      </rPr>
      <t xml:space="preserve">(</t>
    </r>
    <r>
      <rPr>
        <sz val="10"/>
        <color rgb="FF1F2A28"/>
        <rFont val="WenQuanYi Zen Hei"/>
        <family val="2"/>
      </rPr>
      <t xml:space="preserve">國英數自</t>
    </r>
    <r>
      <rPr>
        <sz val="10"/>
        <color rgb="FF1F2A28"/>
        <rFont val="Arial"/>
        <family val="0"/>
        <charset val="1"/>
      </rPr>
      <t xml:space="preserve">)</t>
    </r>
    <r>
      <rPr>
        <sz val="10"/>
        <color rgb="FF1F2A28"/>
        <rFont val="WenQuanYi Zen Hei"/>
        <family val="2"/>
      </rPr>
      <t xml:space="preserve">、國中文理科</t>
    </r>
    <r>
      <rPr>
        <sz val="10"/>
        <color rgb="FF1F2A28"/>
        <rFont val="Arial"/>
        <family val="0"/>
        <charset val="1"/>
      </rPr>
      <t xml:space="preserve">(</t>
    </r>
    <r>
      <rPr>
        <sz val="10"/>
        <color rgb="FF1F2A28"/>
        <rFont val="WenQuanYi Zen Hei"/>
        <family val="2"/>
      </rPr>
      <t xml:space="preserve">國英數</t>
    </r>
    <r>
      <rPr>
        <sz val="10"/>
        <color rgb="FF1F2A28"/>
        <rFont val="Arial"/>
        <family val="0"/>
        <charset val="1"/>
      </rPr>
      <t xml:space="preserve">)</t>
    </r>
  </si>
  <si>
    <t xml:space="preserve">2026-05-27</t>
  </si>
  <si>
    <t xml:space="preserve">楊霓</t>
  </si>
  <si>
    <t xml:space="preserve">私立冠倫文理美語美術短期補習班</t>
  </si>
  <si>
    <r>
      <rPr>
        <sz val="10"/>
        <color rgb="FF1F2A28"/>
        <rFont val="WenQuanYi Zen Hei"/>
        <family val="2"/>
      </rPr>
      <t xml:space="preserve">桃園區龍壽街</t>
    </r>
    <r>
      <rPr>
        <sz val="10"/>
        <color rgb="FF1F2A28"/>
        <rFont val="Arial"/>
        <family val="0"/>
        <charset val="1"/>
      </rPr>
      <t xml:space="preserve">70.72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</si>
  <si>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(03)3706060</t>
  </si>
  <si>
    <t xml:space="preserve">volleyer93@yahoo.com.tw</t>
  </si>
  <si>
    <t xml:space="preserve">2004-11-03</t>
  </si>
  <si>
    <t xml:space="preserve">龔品樹</t>
  </si>
  <si>
    <r>
      <rPr>
        <sz val="10"/>
        <color rgb="FF1F2A28"/>
        <rFont val="WenQuanYi Zen Hei"/>
        <family val="2"/>
      </rPr>
      <t xml:space="preserve">桃園區上海路</t>
    </r>
    <r>
      <rPr>
        <sz val="10"/>
        <color rgb="FF1F2A28"/>
        <rFont val="Arial"/>
        <family val="0"/>
        <charset val="1"/>
      </rPr>
      <t xml:space="preserve">117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</si>
  <si>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(03)3704558</t>
  </si>
  <si>
    <t xml:space="preserve">私立利百加語文數學短期補習班龍山分班</t>
  </si>
  <si>
    <r>
      <rPr>
        <sz val="10"/>
        <color rgb="FF1F2A28"/>
        <rFont val="WenQuanYi Zen Hei"/>
        <family val="2"/>
      </rPr>
      <t xml:space="preserve">桃園區龍泉二街</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樓、龍城三街</t>
    </r>
    <r>
      <rPr>
        <sz val="10"/>
        <color rgb="FF1F2A28"/>
        <rFont val="Arial"/>
        <family val="0"/>
        <charset val="1"/>
      </rPr>
      <t xml:space="preserve">43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47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</si>
  <si>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(03)3799605</t>
  </si>
  <si>
    <t xml:space="preserve">a0912242531@gmail.com</t>
  </si>
  <si>
    <t xml:space="preserve">2004-11-19</t>
  </si>
  <si>
    <t xml:space="preserve">黃鈴耀</t>
  </si>
  <si>
    <t xml:space="preserve">黃莉涵</t>
  </si>
  <si>
    <t xml:space="preserve">私立創思學習文理數學語文短期補習班市府分班</t>
  </si>
  <si>
    <r>
      <rPr>
        <sz val="10"/>
        <color rgb="FF1F2A28"/>
        <rFont val="WenQuanYi Zen Hei"/>
        <family val="2"/>
      </rPr>
      <t xml:space="preserve">桃園區中山路</t>
    </r>
    <r>
      <rPr>
        <sz val="10"/>
        <color rgb="FF1F2A28"/>
        <rFont val="Arial"/>
        <family val="0"/>
        <charset val="1"/>
      </rPr>
      <t xml:space="preserve">468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</si>
  <si>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(03)3312777</t>
  </si>
  <si>
    <t xml:space="preserve">jackyucchi@gmail.com</t>
  </si>
  <si>
    <t xml:space="preserve">英文、理化、英文</t>
  </si>
  <si>
    <t xml:space="preserve">2020-10-29</t>
  </si>
  <si>
    <t xml:space="preserve">私立勁草美語短期補習班</t>
  </si>
  <si>
    <r>
      <rPr>
        <sz val="10"/>
        <color rgb="FF1F2A28"/>
        <rFont val="WenQuanYi Zen Hei"/>
        <family val="2"/>
      </rPr>
      <t xml:space="preserve">桃園區宏昌六街</t>
    </r>
    <r>
      <rPr>
        <sz val="10"/>
        <color rgb="FF1F2A28"/>
        <rFont val="Arial"/>
        <family val="0"/>
        <charset val="1"/>
      </rPr>
      <t xml:space="preserve">262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樓及泰昌</t>
    </r>
    <r>
      <rPr>
        <sz val="10"/>
        <color rgb="FF1F2A28"/>
        <rFont val="Arial"/>
        <family val="0"/>
        <charset val="1"/>
      </rPr>
      <t xml:space="preserve">12</t>
    </r>
    <r>
      <rPr>
        <sz val="10"/>
        <color rgb="FF1F2A28"/>
        <rFont val="WenQuanYi Zen Hei"/>
        <family val="2"/>
      </rPr>
      <t xml:space="preserve">街</t>
    </r>
    <r>
      <rPr>
        <sz val="10"/>
        <color rgb="FF1F2A28"/>
        <rFont val="Arial"/>
        <family val="0"/>
        <charset val="1"/>
      </rPr>
      <t xml:space="preserve">127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</si>
  <si>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(03)2205260</t>
  </si>
  <si>
    <t xml:space="preserve">yun4728@gmail.com</t>
  </si>
  <si>
    <t xml:space="preserve">黃碧珍</t>
  </si>
  <si>
    <t xml:space="preserve">游玉蓮</t>
  </si>
  <si>
    <t xml:space="preserve">私立勳動文理短期補習班</t>
  </si>
  <si>
    <r>
      <rPr>
        <sz val="10"/>
        <color rgb="FF1F2A28"/>
        <rFont val="WenQuanYi Zen Hei"/>
        <family val="2"/>
      </rPr>
      <t xml:space="preserve">桃園區正光路</t>
    </r>
    <r>
      <rPr>
        <sz val="10"/>
        <color rgb="FF1F2A28"/>
        <rFont val="Arial"/>
        <family val="0"/>
        <charset val="1"/>
      </rPr>
      <t xml:space="preserve">708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</si>
  <si>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(03)2151333</t>
  </si>
  <si>
    <t xml:space="preserve">smallming0326@yahoo.com.tw</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</si>
  <si>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、英語</t>
    </r>
  </si>
  <si>
    <t xml:space="preserve">2026-07-30</t>
  </si>
  <si>
    <t xml:space="preserve">李信蒼</t>
  </si>
  <si>
    <t xml:space="preserve">私立北一文理美語數學短期補習班慈文分班</t>
  </si>
  <si>
    <r>
      <rPr>
        <sz val="10"/>
        <color rgb="FF1F2A28"/>
        <rFont val="WenQuanYi Zen Hei"/>
        <family val="2"/>
      </rPr>
      <t xml:space="preserve">桃園區大興西路二段</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</si>
  <si>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(03)2150055</t>
  </si>
  <si>
    <t xml:space="preserve">peii.tzuwen@gmail.com</t>
  </si>
  <si>
    <r>
      <rPr>
        <sz val="10"/>
        <color rgb="FF1F2A28"/>
        <rFont val="WenQuanYi Zen Hei"/>
        <family val="2"/>
      </rPr>
      <t xml:space="preserve">高年級私中</t>
    </r>
    <r>
      <rPr>
        <sz val="10"/>
        <color rgb="FF1F2A28"/>
        <rFont val="Arial"/>
        <family val="0"/>
        <charset val="1"/>
      </rPr>
      <t xml:space="preserve">(</t>
    </r>
    <r>
      <rPr>
        <sz val="10"/>
        <color rgb="FF1F2A28"/>
        <rFont val="WenQuanYi Zen Hei"/>
        <family val="2"/>
      </rPr>
      <t xml:space="preserve">國、英、數</t>
    </r>
    <r>
      <rPr>
        <sz val="10"/>
        <color rgb="FF1F2A28"/>
        <rFont val="Arial"/>
        <family val="0"/>
        <charset val="1"/>
      </rPr>
      <t xml:space="preserve">)</t>
    </r>
    <r>
      <rPr>
        <sz val="10"/>
        <color rgb="FF1F2A28"/>
        <rFont val="WenQuanYi Zen Hei"/>
        <family val="2"/>
      </rPr>
      <t xml:space="preserve">、美語</t>
    </r>
  </si>
  <si>
    <t xml:space="preserve">2021-08-27</t>
  </si>
  <si>
    <t xml:space="preserve">簡伶伃</t>
  </si>
  <si>
    <t xml:space="preserve">私立南加達美語文理短期補習班</t>
  </si>
  <si>
    <r>
      <rPr>
        <sz val="10"/>
        <color rgb="FF1F2A28"/>
        <rFont val="WenQuanYi Zen Hei"/>
        <family val="2"/>
      </rPr>
      <t xml:space="preserve">桃園區莊一街</t>
    </r>
    <r>
      <rPr>
        <sz val="10"/>
        <color rgb="FF1F2A28"/>
        <rFont val="Arial"/>
        <family val="0"/>
        <charset val="1"/>
      </rPr>
      <t xml:space="preserve">152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</si>
  <si>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(03)2160314</t>
  </si>
  <si>
    <t xml:space="preserve">tsengcoral@gmail.com</t>
  </si>
  <si>
    <t xml:space="preserve">曾鈺珊</t>
  </si>
  <si>
    <t xml:space="preserve">黃智銘</t>
  </si>
  <si>
    <t xml:space="preserve">私立又福美語短期補習班</t>
  </si>
  <si>
    <r>
      <rPr>
        <sz val="10"/>
        <color rgb="FF1F2A28"/>
        <rFont val="WenQuanYi Zen Hei"/>
        <family val="2"/>
      </rPr>
      <t xml:space="preserve">桃園區國際路一段</t>
    </r>
    <r>
      <rPr>
        <sz val="10"/>
        <color rgb="FF1F2A28"/>
        <rFont val="Arial"/>
        <family val="0"/>
        <charset val="1"/>
      </rPr>
      <t xml:space="preserve">1124</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號及</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</si>
  <si>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(03)2201292-(03)2289232</t>
  </si>
  <si>
    <t xml:space="preserve">bb054@joy.com.tw</t>
  </si>
  <si>
    <t xml:space="preserve">2012-04-11</t>
  </si>
  <si>
    <t xml:space="preserve">邱欣蘭</t>
  </si>
  <si>
    <t xml:space="preserve">私立可娃拉美語短期補習班</t>
  </si>
  <si>
    <r>
      <rPr>
        <sz val="10"/>
        <color rgb="FF1F2A28"/>
        <rFont val="WenQuanYi Zen Hei"/>
        <family val="2"/>
      </rPr>
      <t xml:space="preserve">桃園區民生路</t>
    </r>
    <r>
      <rPr>
        <sz val="10"/>
        <color rgb="FF1F2A28"/>
        <rFont val="Arial"/>
        <family val="0"/>
        <charset val="1"/>
      </rPr>
      <t xml:space="preserve">667</t>
    </r>
    <r>
      <rPr>
        <sz val="10"/>
        <color rgb="FF1F2A28"/>
        <rFont val="WenQuanYi Zen Hei"/>
        <family val="2"/>
      </rPr>
      <t xml:space="preserve">、</t>
    </r>
    <r>
      <rPr>
        <sz val="10"/>
        <color rgb="FF1F2A28"/>
        <rFont val="Arial"/>
        <family val="0"/>
        <charset val="1"/>
      </rPr>
      <t xml:space="preserve">669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</si>
  <si>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(03)3167137</t>
  </si>
  <si>
    <t xml:space="preserve">a09537952152@gmail.com</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</si>
  <si>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初級</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中級</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進階</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全民英檢</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成人</t>
    </r>
    <r>
      <rPr>
        <sz val="10"/>
        <color rgb="FF1F2A28"/>
        <rFont val="Arial"/>
        <family val="0"/>
        <charset val="1"/>
      </rPr>
      <t xml:space="preserve">)</t>
    </r>
  </si>
  <si>
    <t xml:space="preserve">何欣融</t>
  </si>
  <si>
    <t xml:space="preserve">張芷苑</t>
  </si>
  <si>
    <t xml:space="preserve">私立吉優美語數學短期補習班</t>
  </si>
  <si>
    <r>
      <rPr>
        <sz val="10"/>
        <color rgb="FF1F2A28"/>
        <rFont val="WenQuanYi Zen Hei"/>
        <family val="2"/>
      </rPr>
      <t xml:space="preserve">桃園區昆明路</t>
    </r>
    <r>
      <rPr>
        <sz val="10"/>
        <color rgb="FF1F2A28"/>
        <rFont val="Arial"/>
        <family val="0"/>
        <charset val="1"/>
      </rPr>
      <t xml:space="preserve">80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</si>
  <si>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(03)3757818</t>
  </si>
  <si>
    <t xml:space="preserve">linahsu61@gmail.com</t>
  </si>
  <si>
    <t xml:space="preserve">2015-02-26</t>
  </si>
  <si>
    <t xml:space="preserve">許麗娜</t>
  </si>
  <si>
    <t xml:space="preserve">簡玉惠</t>
  </si>
  <si>
    <t xml:space="preserve">私立吾師數學美語珠心算短期補習班</t>
  </si>
  <si>
    <r>
      <rPr>
        <sz val="10"/>
        <color rgb="FF1F2A28"/>
        <rFont val="WenQuanYi Zen Hei"/>
        <family val="2"/>
      </rPr>
      <t xml:space="preserve">桃園區朝陽街一段</t>
    </r>
    <r>
      <rPr>
        <sz val="10"/>
        <color rgb="FF1F2A28"/>
        <rFont val="Arial"/>
        <family val="0"/>
        <charset val="1"/>
      </rPr>
      <t xml:space="preserve">49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</si>
  <si>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03-3345397</t>
  </si>
  <si>
    <t xml:space="preserve">0963061579h@gmail.com</t>
  </si>
  <si>
    <t xml:space="preserve">1991-11-04</t>
  </si>
  <si>
    <t xml:space="preserve">黃福華</t>
  </si>
  <si>
    <t xml:space="preserve">私立喬杰文理短期補習班</t>
  </si>
  <si>
    <r>
      <rPr>
        <sz val="10"/>
        <color rgb="FF1F2A28"/>
        <rFont val="WenQuanYi Zen Hei"/>
        <family val="2"/>
      </rPr>
      <t xml:space="preserve">桃園區桃鶯路</t>
    </r>
    <r>
      <rPr>
        <sz val="10"/>
        <color rgb="FF1F2A28"/>
        <rFont val="Arial"/>
        <family val="0"/>
        <charset val="1"/>
      </rPr>
      <t xml:space="preserve">231</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</si>
  <si>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(03)3613229</t>
  </si>
  <si>
    <t xml:space="preserve">joja077067@gmail.com</t>
  </si>
  <si>
    <r>
      <rPr>
        <sz val="10"/>
        <color rgb="FF1F2A28"/>
        <rFont val="WenQuanYi Zen Hei"/>
        <family val="2"/>
      </rPr>
      <t xml:space="preserve">美語、國中文理科</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、高中文理科</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</si>
  <si>
    <t xml:space="preserve">2026-01-14</t>
  </si>
  <si>
    <t xml:space="preserve">楊銘杰</t>
  </si>
  <si>
    <t xml:space="preserve">私立喬豐文理數學語文短期補習班</t>
  </si>
  <si>
    <r>
      <rPr>
        <sz val="10"/>
        <color rgb="FF1F2A28"/>
        <rFont val="WenQuanYi Zen Hei"/>
        <family val="2"/>
      </rPr>
      <t xml:space="preserve">桃園區陽明十街</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</si>
  <si>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(03)3676999</t>
  </si>
  <si>
    <t xml:space="preserve">dondateacher@yahoo.com.tw</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</si>
  <si>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t>
    </r>
    <r>
      <rPr>
        <sz val="10"/>
        <color rgb="FF1F2A28"/>
        <rFont val="Arial"/>
        <family val="0"/>
        <charset val="1"/>
      </rPr>
      <t xml:space="preserve">)</t>
    </r>
  </si>
  <si>
    <t xml:space="preserve">林文善</t>
  </si>
  <si>
    <t xml:space="preserve">私立嘉和語文短期補習班</t>
  </si>
  <si>
    <r>
      <rPr>
        <sz val="10"/>
        <color rgb="FF1F2A28"/>
        <rFont val="WenQuanYi Zen Hei"/>
        <family val="2"/>
      </rPr>
      <t xml:space="preserve">桃園區吉昌街</t>
    </r>
    <r>
      <rPr>
        <sz val="10"/>
        <color rgb="FF1F2A28"/>
        <rFont val="Arial"/>
        <family val="0"/>
        <charset val="1"/>
      </rPr>
      <t xml:space="preserve">220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</si>
  <si>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(03)3603625</t>
  </si>
  <si>
    <t xml:space="preserve">hs2176@hess.com.tw</t>
  </si>
  <si>
    <r>
      <rPr>
        <sz val="10"/>
        <color rgb="FF1F2A28"/>
        <rFont val="WenQuanYi Zen Hei"/>
        <family val="2"/>
      </rPr>
      <t xml:space="preserve">美語</t>
    </r>
    <r>
      <rPr>
        <sz val="10"/>
        <color rgb="FF1F2A28"/>
        <rFont val="Arial"/>
        <family val="0"/>
        <charset val="1"/>
      </rPr>
      <t xml:space="preserve">(B</t>
    </r>
    <r>
      <rPr>
        <sz val="10"/>
        <color rgb="FF1F2A28"/>
        <rFont val="WenQuanYi Zen Hei"/>
        <family val="2"/>
      </rPr>
      <t xml:space="preserve">及</t>
    </r>
    <r>
      <rPr>
        <sz val="10"/>
        <color rgb="FF1F2A28"/>
        <rFont val="Arial"/>
        <family val="0"/>
        <charset val="1"/>
      </rPr>
      <t xml:space="preserve">E</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(C</t>
    </r>
    <r>
      <rPr>
        <sz val="10"/>
        <color rgb="FF1F2A28"/>
        <rFont val="WenQuanYi Zen Hei"/>
        <family val="2"/>
      </rPr>
      <t xml:space="preserve">及</t>
    </r>
    <r>
      <rPr>
        <sz val="10"/>
        <color rgb="FF1F2A28"/>
        <rFont val="Arial"/>
        <family val="0"/>
        <charset val="1"/>
      </rPr>
      <t xml:space="preserve">F</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及</t>
    </r>
    <r>
      <rPr>
        <sz val="10"/>
        <color rgb="FF1F2A28"/>
        <rFont val="Arial"/>
        <family val="0"/>
        <charset val="1"/>
      </rPr>
      <t xml:space="preserve">D</t>
    </r>
    <r>
      <rPr>
        <sz val="10"/>
        <color rgb="FF1F2A28"/>
        <rFont val="WenQuanYi Zen Hei"/>
        <family val="2"/>
      </rPr>
      <t xml:space="preserve">班</t>
    </r>
    <r>
      <rPr>
        <sz val="10"/>
        <color rgb="FF1F2A28"/>
        <rFont val="Arial"/>
        <family val="0"/>
        <charset val="1"/>
      </rPr>
      <t xml:space="preserve">)</t>
    </r>
  </si>
  <si>
    <t xml:space="preserve">2010-03-15</t>
  </si>
  <si>
    <t xml:space="preserve">胡文靜</t>
  </si>
  <si>
    <t xml:space="preserve">胡文濤</t>
  </si>
  <si>
    <t xml:space="preserve">私立嘉宇文理短期補習班</t>
  </si>
  <si>
    <r>
      <rPr>
        <sz val="10"/>
        <color rgb="FF1F2A28"/>
        <rFont val="WenQuanYi Zen Hei"/>
        <family val="2"/>
      </rPr>
      <t xml:space="preserve">桃園區中埔一街</t>
    </r>
    <r>
      <rPr>
        <sz val="10"/>
        <color rgb="FF1F2A28"/>
        <rFont val="Arial"/>
        <family val="0"/>
        <charset val="1"/>
      </rPr>
      <t xml:space="preserve">88</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</si>
  <si>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(03)3021959</t>
  </si>
  <si>
    <t xml:space="preserve">hs2229@hess.com.tw</t>
  </si>
  <si>
    <r>
      <rPr>
        <sz val="10"/>
        <color rgb="FF1F2A28"/>
        <rFont val="WenQuanYi Zen Hei"/>
        <family val="2"/>
      </rPr>
      <t xml:space="preserve">美語初級</t>
    </r>
    <r>
      <rPr>
        <sz val="10"/>
        <color rgb="FF1F2A28"/>
        <rFont val="Arial"/>
        <family val="0"/>
        <charset val="1"/>
      </rPr>
      <t xml:space="preserve">(kids World)</t>
    </r>
    <r>
      <rPr>
        <sz val="10"/>
        <color rgb="FF1F2A28"/>
        <rFont val="WenQuanYi Zen Hei"/>
        <family val="2"/>
      </rPr>
      <t xml:space="preserve">科、美語進階</t>
    </r>
    <r>
      <rPr>
        <sz val="10"/>
        <color rgb="FF1F2A28"/>
        <rFont val="Arial"/>
        <family val="0"/>
        <charset val="1"/>
      </rPr>
      <t xml:space="preserve">(ESL)</t>
    </r>
    <r>
      <rPr>
        <sz val="10"/>
        <color rgb="FF1F2A28"/>
        <rFont val="WenQuanYi Zen Hei"/>
        <family val="2"/>
      </rPr>
      <t xml:space="preserve">科</t>
    </r>
  </si>
  <si>
    <t xml:space="preserve">2020-05-07</t>
  </si>
  <si>
    <t xml:space="preserve">私立坮大文理短期補習班南平分班</t>
  </si>
  <si>
    <r>
      <rPr>
        <sz val="10"/>
        <color rgb="FF1F2A28"/>
        <rFont val="WenQuanYi Zen Hei"/>
        <family val="2"/>
      </rPr>
      <t xml:space="preserve">桃園區中埔六街</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</si>
  <si>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03-3565599</t>
  </si>
  <si>
    <t xml:space="preserve">danielnicole0519@gmail.com</t>
  </si>
  <si>
    <t xml:space="preserve">2001-08-07</t>
  </si>
  <si>
    <t xml:space="preserve">葉倫銀</t>
  </si>
  <si>
    <t xml:space="preserve">葉立傑</t>
  </si>
  <si>
    <t xml:space="preserve">私立士群語文數學文理短期補習班</t>
  </si>
  <si>
    <r>
      <rPr>
        <sz val="10"/>
        <color rgb="FF1F2A28"/>
        <rFont val="WenQuanYi Zen Hei"/>
        <family val="2"/>
      </rPr>
      <t xml:space="preserve">桃園區國聖一街</t>
    </r>
    <r>
      <rPr>
        <sz val="10"/>
        <color rgb="FF1F2A28"/>
        <rFont val="Arial"/>
        <family val="0"/>
        <charset val="1"/>
      </rPr>
      <t xml:space="preserve">168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</si>
  <si>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(03)3781818</t>
  </si>
  <si>
    <t xml:space="preserve">ckchungshan168@gmail.com</t>
  </si>
  <si>
    <r>
      <rPr>
        <sz val="10"/>
        <color rgb="FF1F2A28"/>
        <rFont val="WenQuanYi Zen Hei"/>
        <family val="2"/>
      </rPr>
      <t xml:space="preserve">英語</t>
    </r>
    <r>
      <rPr>
        <sz val="10"/>
        <color rgb="FF1F2A28"/>
        <rFont val="Arial"/>
        <family val="0"/>
        <charset val="1"/>
      </rPr>
      <t xml:space="preserve">(A/B</t>
    </r>
    <r>
      <rPr>
        <sz val="10"/>
        <color rgb="FF1F2A28"/>
        <rFont val="WenQuanYi Zen Hei"/>
        <family val="2"/>
      </rPr>
      <t xml:space="preserve">初階班</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(C/D</t>
    </r>
    <r>
      <rPr>
        <sz val="10"/>
        <color rgb="FF1F2A28"/>
        <rFont val="WenQuanYi Zen Hei"/>
        <family val="2"/>
      </rPr>
      <t xml:space="preserve">中階班</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(E/F</t>
    </r>
    <r>
      <rPr>
        <sz val="10"/>
        <color rgb="FF1F2A28"/>
        <rFont val="WenQuanYi Zen Hei"/>
        <family val="2"/>
      </rPr>
      <t xml:space="preserve">高階班</t>
    </r>
    <r>
      <rPr>
        <sz val="10"/>
        <color rgb="FF1F2A28"/>
        <rFont val="Arial"/>
        <family val="0"/>
        <charset val="1"/>
      </rPr>
      <t xml:space="preserve">)</t>
    </r>
    <r>
      <rPr>
        <sz val="10"/>
        <color rgb="FF1F2A28"/>
        <rFont val="WenQuanYi Zen Hei"/>
        <family val="2"/>
      </rPr>
      <t xml:space="preserve">、文理英文</t>
    </r>
  </si>
  <si>
    <t xml:space="preserve">2020-07-23</t>
  </si>
  <si>
    <t xml:space="preserve">林芮安</t>
  </si>
  <si>
    <t xml:space="preserve">私立壹加壹語文數學珠心算短期補習班</t>
  </si>
  <si>
    <r>
      <rPr>
        <sz val="10"/>
        <color rgb="FF1F2A28"/>
        <rFont val="WenQuanYi Zen Hei"/>
        <family val="2"/>
      </rPr>
      <t xml:space="preserve">桃園區吉昌街</t>
    </r>
    <r>
      <rPr>
        <sz val="10"/>
        <color rgb="FF1F2A28"/>
        <rFont val="Arial"/>
        <family val="0"/>
        <charset val="1"/>
      </rPr>
      <t xml:space="preserve">210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</si>
  <si>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(03)3920173</t>
  </si>
  <si>
    <t xml:space="preserve">sinpon8888@yahoo.com.tw</t>
  </si>
  <si>
    <t xml:space="preserve">2009-10-13</t>
  </si>
  <si>
    <t xml:space="preserve">賴佳伶</t>
  </si>
  <si>
    <t xml:space="preserve">私立大文豪語文文理短期補習班</t>
  </si>
  <si>
    <r>
      <rPr>
        <sz val="10"/>
        <color rgb="FF1F2A28"/>
        <rFont val="WenQuanYi Zen Hei"/>
        <family val="2"/>
      </rPr>
      <t xml:space="preserve">桃園區大興西路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</si>
  <si>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(03)3022768-9</t>
  </si>
  <si>
    <t xml:space="preserve">gonobel@seed.net.tw</t>
  </si>
  <si>
    <t xml:space="preserve">2007-01-22</t>
  </si>
  <si>
    <t xml:space="preserve">紀佩君</t>
  </si>
  <si>
    <t xml:space="preserve">私立大業喬陽文理美語數學短期補習班</t>
  </si>
  <si>
    <r>
      <rPr>
        <sz val="10"/>
        <color rgb="FF1F2A28"/>
        <rFont val="WenQuanYi Zen Hei"/>
        <family val="2"/>
      </rPr>
      <t xml:space="preserve">桃園區民光東路</t>
    </r>
    <r>
      <rPr>
        <sz val="10"/>
        <color rgb="FF1F2A28"/>
        <rFont val="Arial"/>
        <family val="0"/>
        <charset val="1"/>
      </rPr>
      <t xml:space="preserve">264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r>
      <rPr>
        <sz val="10"/>
        <color rgb="FF1F2A28"/>
        <rFont val="Arial"/>
        <family val="0"/>
        <charset val="1"/>
      </rPr>
      <t xml:space="preserve">266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r>
      <rPr>
        <sz val="10"/>
        <color rgb="FF1F2A28"/>
        <rFont val="Arial"/>
        <family val="0"/>
        <charset val="1"/>
      </rPr>
      <t xml:space="preserve">268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</si>
  <si>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(03)3584250</t>
  </si>
  <si>
    <t xml:space="preserve">chiayinfanfan@gmail.com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</si>
  <si>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自數英</t>
    </r>
    <r>
      <rPr>
        <sz val="10"/>
        <color rgb="FF1F2A28"/>
        <rFont val="Arial"/>
        <family val="0"/>
        <charset val="1"/>
      </rPr>
      <t xml:space="preserve">)</t>
    </r>
    <r>
      <rPr>
        <sz val="10"/>
        <color rgb="FF1F2A28"/>
        <rFont val="WenQuanYi Zen Hei"/>
        <family val="2"/>
      </rPr>
      <t xml:space="preserve">、美語</t>
    </r>
  </si>
  <si>
    <t xml:space="preserve">2013-06-14</t>
  </si>
  <si>
    <t xml:space="preserve">范嘉茵</t>
  </si>
  <si>
    <t xml:space="preserve">駱穎穎</t>
  </si>
  <si>
    <t xml:space="preserve">私立大灣美語短期補習班</t>
  </si>
  <si>
    <r>
      <rPr>
        <sz val="10"/>
        <color rgb="FF1F2A28"/>
        <rFont val="WenQuanYi Zen Hei"/>
        <family val="2"/>
      </rPr>
      <t xml:space="preserve">桃園區同安街</t>
    </r>
    <r>
      <rPr>
        <sz val="10"/>
        <color rgb="FF1F2A28"/>
        <rFont val="Arial"/>
        <family val="0"/>
        <charset val="1"/>
      </rPr>
      <t xml:space="preserve">336</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</si>
  <si>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李素惠</t>
  </si>
  <si>
    <t xml:space="preserve">私立大灣美語短期補習班大業分班</t>
  </si>
  <si>
    <r>
      <rPr>
        <sz val="10"/>
        <color rgb="FF1F2A28"/>
        <rFont val="WenQuanYi Zen Hei"/>
        <family val="2"/>
      </rPr>
      <t xml:space="preserve">桃園區大業路一段</t>
    </r>
    <r>
      <rPr>
        <sz val="10"/>
        <color rgb="FF1F2A28"/>
        <rFont val="Arial"/>
        <family val="0"/>
        <charset val="1"/>
      </rPr>
      <t xml:space="preserve">351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</si>
  <si>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2007-01-24</t>
  </si>
  <si>
    <t xml:space="preserve">林若安</t>
  </si>
  <si>
    <t xml:space="preserve">私立大立昇文理語文短期補習班同安分班</t>
  </si>
  <si>
    <r>
      <rPr>
        <sz val="10"/>
        <color rgb="FF1F2A28"/>
        <rFont val="WenQuanYi Zen Hei"/>
        <family val="2"/>
      </rPr>
      <t xml:space="preserve">桃園區同德十一街</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</si>
  <si>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(03)3580770</t>
  </si>
  <si>
    <t xml:space="preserve">Sunrisekidcastle@yahoo.com.tw</t>
  </si>
  <si>
    <t xml:space="preserve">2015-12-17</t>
  </si>
  <si>
    <t xml:space="preserve">呂理平</t>
  </si>
  <si>
    <t xml:space="preserve">陳宇薇</t>
  </si>
  <si>
    <t xml:space="preserve">私立大立昇美語短期補習班</t>
  </si>
  <si>
    <r>
      <rPr>
        <sz val="10"/>
        <color rgb="FF1F2A28"/>
        <rFont val="WenQuanYi Zen Hei"/>
        <family val="2"/>
      </rPr>
      <t xml:space="preserve">桃園區新埔八街</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</si>
  <si>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(03)3263550</t>
  </si>
  <si>
    <t xml:space="preserve">私立大立昇語文短期補習班莊敬分班</t>
  </si>
  <si>
    <r>
      <rPr>
        <sz val="10"/>
        <color rgb="FF1F2A28"/>
        <rFont val="WenQuanYi Zen Hei"/>
        <family val="2"/>
      </rPr>
      <t xml:space="preserve">桃園區莊一街</t>
    </r>
    <r>
      <rPr>
        <sz val="10"/>
        <color rgb="FF1F2A28"/>
        <rFont val="Arial"/>
        <family val="0"/>
        <charset val="1"/>
      </rPr>
      <t xml:space="preserve">118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</si>
  <si>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033263550</t>
  </si>
  <si>
    <t xml:space="preserve">albert541003@gmail.com</t>
  </si>
  <si>
    <t xml:space="preserve">2007-09-07</t>
  </si>
  <si>
    <t xml:space="preserve">林錦雲</t>
  </si>
  <si>
    <t xml:space="preserve">私立大韋文理語文美術珠心算短期補習班</t>
  </si>
  <si>
    <r>
      <rPr>
        <sz val="10"/>
        <color rgb="FF1F2A28"/>
        <rFont val="WenQuanYi Zen Hei"/>
        <family val="2"/>
      </rPr>
      <t xml:space="preserve">桃園區延平路</t>
    </r>
    <r>
      <rPr>
        <sz val="10"/>
        <color rgb="FF1F2A28"/>
        <rFont val="Arial"/>
        <family val="0"/>
        <charset val="1"/>
      </rPr>
      <t xml:space="preserve">110-1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</si>
  <si>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(03)3622222</t>
  </si>
  <si>
    <t xml:space="preserve">shutzuyang@gmail.com</t>
  </si>
  <si>
    <t xml:space="preserve">2008-07-30</t>
  </si>
  <si>
    <t xml:space="preserve">楊淑姿</t>
  </si>
  <si>
    <t xml:space="preserve">私立奇瓦迪文理短期補習班</t>
  </si>
  <si>
    <r>
      <rPr>
        <sz val="10"/>
        <color rgb="FF1F2A28"/>
        <rFont val="WenQuanYi Zen Hei"/>
        <family val="2"/>
      </rPr>
      <t xml:space="preserve">桃園區國際路一段</t>
    </r>
    <r>
      <rPr>
        <sz val="10"/>
        <color rgb="FF1F2A28"/>
        <rFont val="Arial"/>
        <family val="0"/>
        <charset val="1"/>
      </rPr>
      <t xml:space="preserve">1057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</si>
  <si>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03-3441920</t>
  </si>
  <si>
    <t xml:space="preserve">ninie1211@yahoo.com.tw</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</si>
  <si>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基礎</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t>
    </r>
    <r>
      <rPr>
        <sz val="10"/>
        <color rgb="FF1F2A28"/>
        <rFont val="WenQuanYi Zen Hei"/>
        <family val="2"/>
      </rPr>
      <t xml:space="preserve">中級</t>
    </r>
    <r>
      <rPr>
        <sz val="10"/>
        <color rgb="FF1F2A28"/>
        <rFont val="Arial"/>
        <family val="0"/>
        <charset val="1"/>
      </rPr>
      <t xml:space="preserve">)</t>
    </r>
    <r>
      <rPr>
        <sz val="10"/>
        <color rgb="FF1F2A28"/>
        <rFont val="WenQuanYi Zen Hei"/>
        <family val="2"/>
      </rPr>
      <t xml:space="preserve">科</t>
    </r>
  </si>
  <si>
    <t xml:space="preserve">2001-10-09</t>
  </si>
  <si>
    <t xml:space="preserve">張莉玲</t>
  </si>
  <si>
    <t xml:space="preserve">私立奇異鳥平安文理短期補習班</t>
  </si>
  <si>
    <r>
      <rPr>
        <sz val="10"/>
        <color rgb="FF1F2A28"/>
        <rFont val="WenQuanYi Zen Hei"/>
        <family val="2"/>
      </rPr>
      <t xml:space="preserve">桃園區縣府路</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</si>
  <si>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(03)3472977</t>
  </si>
  <si>
    <t xml:space="preserve">aes.ty3584598@gmail.com</t>
  </si>
  <si>
    <r>
      <rPr>
        <sz val="10"/>
        <color rgb="FF1F2A28"/>
        <rFont val="WenQuanYi Zen Hei"/>
        <family val="2"/>
      </rPr>
      <t xml:space="preserve">英語、文理</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科</t>
    </r>
  </si>
  <si>
    <t xml:space="preserve">2023-06-20</t>
  </si>
  <si>
    <t xml:space="preserve">許敏員</t>
  </si>
  <si>
    <t xml:space="preserve">褚淑貞</t>
  </si>
  <si>
    <t xml:space="preserve">私立奧斯汀文理短期補習班國際教育分班</t>
  </si>
  <si>
    <r>
      <rPr>
        <sz val="10"/>
        <color rgb="FF1F2A28"/>
        <rFont val="WenQuanYi Zen Hei"/>
        <family val="2"/>
      </rPr>
      <t xml:space="preserve">桃園區莊一街</t>
    </r>
    <r>
      <rPr>
        <sz val="10"/>
        <color rgb="FF1F2A28"/>
        <rFont val="Arial"/>
        <family val="0"/>
        <charset val="1"/>
      </rPr>
      <t xml:space="preserve">108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</si>
  <si>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(03)3027789</t>
  </si>
  <si>
    <t xml:space="preserve">austinclaire0505@gmail.com</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</si>
  <si>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英文、數學、自然</t>
    </r>
    <r>
      <rPr>
        <sz val="10"/>
        <color rgb="FF1F2A28"/>
        <rFont val="Arial"/>
        <family val="0"/>
        <charset val="1"/>
      </rPr>
      <t xml:space="preserve">)</t>
    </r>
  </si>
  <si>
    <t xml:space="preserve">2022-03-15</t>
  </si>
  <si>
    <t xml:space="preserve">黃可盈</t>
  </si>
  <si>
    <t xml:space="preserve">陳秝家</t>
  </si>
  <si>
    <t xml:space="preserve">私立奧斯汀美語作文短期補習班</t>
  </si>
  <si>
    <r>
      <rPr>
        <sz val="10"/>
        <color rgb="FF1F2A28"/>
        <rFont val="WenQuanYi Zen Hei"/>
        <family val="2"/>
      </rPr>
      <t xml:space="preserve">桃園區莊一街</t>
    </r>
    <r>
      <rPr>
        <sz val="10"/>
        <color rgb="FF1F2A28"/>
        <rFont val="Arial"/>
        <family val="0"/>
        <charset val="1"/>
      </rPr>
      <t xml:space="preserve">82</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</si>
  <si>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(03)3578833</t>
  </si>
  <si>
    <t xml:space="preserve">austin.english@msa.hinet.net</t>
  </si>
  <si>
    <t xml:space="preserve">2013-08-27</t>
  </si>
  <si>
    <t xml:space="preserve">私立奧斯汀美語作文短期補習班菁英領袖分班</t>
  </si>
  <si>
    <r>
      <rPr>
        <sz val="10"/>
        <color rgb="FF1F2A28"/>
        <rFont val="WenQuanYi Zen Hei"/>
        <family val="2"/>
      </rPr>
      <t xml:space="preserve">桃園區莊一街</t>
    </r>
    <r>
      <rPr>
        <sz val="10"/>
        <color rgb="FF1F2A28"/>
        <rFont val="Arial"/>
        <family val="0"/>
        <charset val="1"/>
      </rPr>
      <t xml:space="preserve">112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</si>
  <si>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(03)3018822</t>
  </si>
  <si>
    <t xml:space="preserve">2018-08-13</t>
  </si>
  <si>
    <t xml:space="preserve">陳妍君</t>
  </si>
  <si>
    <t xml:space="preserve">私立奧首華文理短期補習班快樂分班</t>
  </si>
  <si>
    <r>
      <rPr>
        <sz val="10"/>
        <color rgb="FF1F2A28"/>
        <rFont val="WenQuanYi Zen Hei"/>
        <family val="2"/>
      </rPr>
      <t xml:space="preserve">桃園區大有路</t>
    </r>
    <r>
      <rPr>
        <sz val="10"/>
        <color rgb="FF1F2A28"/>
        <rFont val="Arial"/>
        <family val="0"/>
        <charset val="1"/>
      </rPr>
      <t xml:space="preserve">715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</si>
  <si>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(03)3587231</t>
  </si>
  <si>
    <t xml:space="preserve">Ba871100@gmail.com</t>
  </si>
  <si>
    <t xml:space="preserve">2024-01-23</t>
  </si>
  <si>
    <t xml:space="preserve">蔡濰媄</t>
  </si>
  <si>
    <t xml:space="preserve">吳欣哲</t>
  </si>
  <si>
    <t xml:space="preserve">私立如合學語文文理短期補習班</t>
  </si>
  <si>
    <r>
      <rPr>
        <sz val="10"/>
        <color rgb="FF1F2A28"/>
        <rFont val="WenQuanYi Zen Hei"/>
        <family val="2"/>
      </rPr>
      <t xml:space="preserve">桃園區國際路一段</t>
    </r>
    <r>
      <rPr>
        <sz val="10"/>
        <color rgb="FF1F2A28"/>
        <rFont val="Arial"/>
        <family val="0"/>
        <charset val="1"/>
      </rPr>
      <t xml:space="preserve">1193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</si>
  <si>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(03)3780123</t>
  </si>
  <si>
    <t xml:space="preserve">gram.tycs@gmail.com</t>
  </si>
  <si>
    <t xml:space="preserve">2016-11-30</t>
  </si>
  <si>
    <t xml:space="preserve">李奕輝</t>
  </si>
  <si>
    <t xml:space="preserve">邱宛鈺</t>
  </si>
  <si>
    <t xml:space="preserve">私立子曰美語數學自然短期補習班</t>
  </si>
  <si>
    <r>
      <rPr>
        <sz val="10"/>
        <color rgb="FF1F2A28"/>
        <rFont val="WenQuanYi Zen Hei"/>
        <family val="2"/>
      </rPr>
      <t xml:space="preserve">桃園區樹林九街</t>
    </r>
    <r>
      <rPr>
        <sz val="10"/>
        <color rgb="FF1F2A28"/>
        <rFont val="Arial"/>
        <family val="0"/>
        <charset val="1"/>
      </rPr>
      <t xml:space="preserve">71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</si>
  <si>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(03)3679027</t>
  </si>
  <si>
    <t xml:space="preserve">kenny901003@yahoo.com.tw</t>
  </si>
  <si>
    <t xml:space="preserve">2007-05-30</t>
  </si>
  <si>
    <t xml:space="preserve">簡志宏</t>
  </si>
  <si>
    <t xml:space="preserve">曾淳怡</t>
  </si>
  <si>
    <t xml:space="preserve">私立孚思文理短期補習班</t>
  </si>
  <si>
    <r>
      <rPr>
        <sz val="10"/>
        <color rgb="FF1F2A28"/>
        <rFont val="WenQuanYi Zen Hei"/>
        <family val="2"/>
      </rPr>
      <t xml:space="preserve">桃園區同德六街</t>
    </r>
    <r>
      <rPr>
        <sz val="10"/>
        <color rgb="FF1F2A28"/>
        <rFont val="Arial"/>
        <family val="0"/>
        <charset val="1"/>
      </rPr>
      <t xml:space="preserve">142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</si>
  <si>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(03)3160880</t>
  </si>
  <si>
    <t xml:space="preserve">2025fox.yiwen@gmail.com</t>
  </si>
  <si>
    <t xml:space="preserve">2025-06-30</t>
  </si>
  <si>
    <t xml:space="preserve">詹芳雯</t>
  </si>
  <si>
    <t xml:space="preserve">私立學林美語短期補習班</t>
  </si>
  <si>
    <r>
      <rPr>
        <sz val="10"/>
        <color rgb="FF1F2A28"/>
        <rFont val="WenQuanYi Zen Hei"/>
        <family val="2"/>
      </rPr>
      <t xml:space="preserve">桃園區昆明路</t>
    </r>
    <r>
      <rPr>
        <sz val="10"/>
        <color rgb="FF1F2A28"/>
        <rFont val="Arial"/>
        <family val="0"/>
        <charset val="1"/>
      </rPr>
      <t xml:space="preserve">124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</si>
  <si>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(03)3618682</t>
  </si>
  <si>
    <t xml:space="preserve">sylviayang0302@gmail.com</t>
  </si>
  <si>
    <t xml:space="preserve">2004-05-13</t>
  </si>
  <si>
    <t xml:space="preserve">楊綠湄</t>
  </si>
  <si>
    <t xml:space="preserve">楊仕婷</t>
  </si>
  <si>
    <t xml:space="preserve">私立宇凡文理短期補習班快樂分班</t>
  </si>
  <si>
    <r>
      <rPr>
        <sz val="10"/>
        <color rgb="FF1F2A28"/>
        <rFont val="WenQuanYi Zen Hei"/>
        <family val="2"/>
      </rPr>
      <t xml:space="preserve">桃園區大有路</t>
    </r>
    <r>
      <rPr>
        <sz val="10"/>
        <color rgb="FF1F2A28"/>
        <rFont val="Arial"/>
        <family val="0"/>
        <charset val="1"/>
      </rPr>
      <t xml:space="preserve">731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</si>
  <si>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(03)3251192</t>
  </si>
  <si>
    <t xml:space="preserve">ohmydear88@gmail.com</t>
  </si>
  <si>
    <t xml:space="preserve">2026-06-18</t>
  </si>
  <si>
    <t xml:space="preserve">吳炫澂</t>
  </si>
  <si>
    <t xml:space="preserve">楊舒雅</t>
  </si>
  <si>
    <t xml:space="preserve">私立宇凡文理語文短期補習班</t>
  </si>
  <si>
    <r>
      <rPr>
        <sz val="10"/>
        <color rgb="FF1F2A28"/>
        <rFont val="WenQuanYi Zen Hei"/>
        <family val="2"/>
      </rPr>
      <t xml:space="preserve">桃園區大有路</t>
    </r>
    <r>
      <rPr>
        <sz val="10"/>
        <color rgb="FF1F2A28"/>
        <rFont val="Arial"/>
        <family val="0"/>
        <charset val="1"/>
      </rPr>
      <t xml:space="preserve">684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</si>
  <si>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私立安傑立美語短期補習班</t>
  </si>
  <si>
    <r>
      <rPr>
        <sz val="10"/>
        <color rgb="FF1F2A28"/>
        <rFont val="WenQuanYi Zen Hei"/>
        <family val="2"/>
      </rPr>
      <t xml:space="preserve">桃園區天祥五街</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</si>
  <si>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(03)3461226</t>
  </si>
  <si>
    <t xml:space="preserve">penny.annie522@gmail.com</t>
  </si>
  <si>
    <t xml:space="preserve">2006-11-07</t>
  </si>
  <si>
    <t xml:space="preserve">徐郁潔</t>
  </si>
  <si>
    <t xml:space="preserve">徐嘉妤</t>
  </si>
  <si>
    <t xml:space="preserve">私立宏利數學文理語文短期補習班</t>
  </si>
  <si>
    <r>
      <rPr>
        <sz val="10"/>
        <color rgb="FF1F2A28"/>
        <rFont val="WenQuanYi Zen Hei"/>
        <family val="2"/>
      </rPr>
      <t xml:space="preserve">桃園區宏昌十二街</t>
    </r>
    <r>
      <rPr>
        <sz val="10"/>
        <color rgb="FF1F2A28"/>
        <rFont val="Arial"/>
        <family val="0"/>
        <charset val="1"/>
      </rPr>
      <t xml:space="preserve">532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</si>
  <si>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(03)2203201</t>
  </si>
  <si>
    <t xml:space="preserve">h3306001@gmail.com</t>
  </si>
  <si>
    <t xml:space="preserve">2019-02-25</t>
  </si>
  <si>
    <t xml:space="preserve">魏美鳳</t>
  </si>
  <si>
    <t xml:space="preserve">私立宏昌美語短期補習班</t>
  </si>
  <si>
    <r>
      <rPr>
        <sz val="10"/>
        <color rgb="FF1F2A28"/>
        <rFont val="WenQuanYi Zen Hei"/>
        <family val="2"/>
      </rPr>
      <t xml:space="preserve">桃園區宏昌八街</t>
    </r>
    <r>
      <rPr>
        <sz val="10"/>
        <color rgb="FF1F2A28"/>
        <rFont val="Arial"/>
        <family val="0"/>
        <charset val="1"/>
      </rPr>
      <t xml:space="preserve">71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</si>
  <si>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(03)3703123</t>
  </si>
  <si>
    <t xml:space="preserve">families203@gmail.com</t>
  </si>
  <si>
    <t xml:space="preserve">陳燕輝</t>
  </si>
  <si>
    <t xml:space="preserve">私立小育昇美語短期補習班</t>
  </si>
  <si>
    <r>
      <rPr>
        <sz val="10"/>
        <color rgb="FF1F2A28"/>
        <rFont val="WenQuanYi Zen Hei"/>
        <family val="2"/>
      </rPr>
      <t xml:space="preserve">桃園區昆明路</t>
    </r>
    <r>
      <rPr>
        <sz val="10"/>
        <color rgb="FF1F2A28"/>
        <rFont val="Arial"/>
        <family val="0"/>
        <charset val="1"/>
      </rPr>
      <t xml:space="preserve">138</t>
    </r>
    <r>
      <rPr>
        <sz val="10"/>
        <color rgb="FF1F2A28"/>
        <rFont val="WenQuanYi Zen Hei"/>
        <family val="2"/>
      </rPr>
      <t xml:space="preserve">巷</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</si>
  <si>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(03)2180058</t>
  </si>
  <si>
    <t xml:space="preserve">littleyusheng@gmail.com</t>
  </si>
  <si>
    <t xml:space="preserve">楊枝萬</t>
  </si>
  <si>
    <t xml:space="preserve">李佩玲</t>
  </si>
  <si>
    <t xml:space="preserve">私立小蒲公英數學文理美語作文短期補習班永順分班</t>
  </si>
  <si>
    <r>
      <rPr>
        <sz val="10"/>
        <color rgb="FF1F2A28"/>
        <rFont val="WenQuanYi Zen Hei"/>
        <family val="2"/>
      </rPr>
      <t xml:space="preserve">桃園區永順街</t>
    </r>
    <r>
      <rPr>
        <sz val="10"/>
        <color rgb="FF1F2A28"/>
        <rFont val="Arial"/>
        <family val="0"/>
        <charset val="1"/>
      </rPr>
      <t xml:space="preserve">79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</si>
  <si>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(03)2151247</t>
  </si>
  <si>
    <t xml:space="preserve">dandelionyses@gmail.com</t>
  </si>
  <si>
    <t xml:space="preserve">英文、數學、自然、美語</t>
  </si>
  <si>
    <t xml:space="preserve">2020-12-07</t>
  </si>
  <si>
    <t xml:space="preserve">尤鈞儀</t>
  </si>
  <si>
    <t xml:space="preserve">私立小魔毯語文文理短期補習班</t>
  </si>
  <si>
    <r>
      <rPr>
        <sz val="10"/>
        <color rgb="FF1F2A28"/>
        <rFont val="WenQuanYi Zen Hei"/>
        <family val="2"/>
      </rPr>
      <t xml:space="preserve">桃園區國光街</t>
    </r>
    <r>
      <rPr>
        <sz val="10"/>
        <color rgb="FF1F2A28"/>
        <rFont val="Arial"/>
        <family val="0"/>
        <charset val="1"/>
      </rPr>
      <t xml:space="preserve">104-1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</si>
  <si>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(03)3471588</t>
  </si>
  <si>
    <t xml:space="preserve">hym08221130@yahoo.com.tw</t>
  </si>
  <si>
    <t xml:space="preserve">2007-02-15</t>
  </si>
  <si>
    <t xml:space="preserve">黃玉美</t>
  </si>
  <si>
    <t xml:space="preserve">私立尚品語文文理短期補習班</t>
  </si>
  <si>
    <r>
      <rPr>
        <sz val="10"/>
        <color rgb="FF1F2A28"/>
        <rFont val="WenQuanYi Zen Hei"/>
        <family val="2"/>
      </rPr>
      <t xml:space="preserve">桃園區中埔一街</t>
    </r>
    <r>
      <rPr>
        <sz val="10"/>
        <color rgb="FF1F2A28"/>
        <rFont val="Arial"/>
        <family val="0"/>
        <charset val="1"/>
      </rPr>
      <t xml:space="preserve">129</t>
    </r>
    <r>
      <rPr>
        <sz val="10"/>
        <color rgb="FF1F2A28"/>
        <rFont val="WenQuanYi Zen Hei"/>
        <family val="2"/>
      </rPr>
      <t xml:space="preserve">號</t>
    </r>
    <r>
      <rPr>
        <sz val="10"/>
        <color rgb="FF1F2A28"/>
        <rFont val="Arial"/>
        <family val="0"/>
        <charset val="1"/>
      </rPr>
      <t xml:space="preserve">4-5</t>
    </r>
    <r>
      <rPr>
        <sz val="10"/>
        <color rgb="FF1F2A28"/>
        <rFont val="WenQuanYi Zen Hei"/>
        <family val="2"/>
      </rPr>
      <t xml:space="preserve">樓</t>
    </r>
  </si>
  <si>
    <t xml:space="preserve">(03)3468585</t>
  </si>
  <si>
    <t xml:space="preserve">cly1112@gmail.com</t>
  </si>
  <si>
    <r>
      <rPr>
        <sz val="10"/>
        <color rgb="FF1F2A28"/>
        <rFont val="WenQuanYi Zen Hei"/>
        <family val="2"/>
      </rPr>
      <t xml:space="preserve">美語、國中美語</t>
    </r>
    <r>
      <rPr>
        <sz val="10"/>
        <color rgb="FF1F2A28"/>
        <rFont val="Arial"/>
        <family val="0"/>
        <charset val="1"/>
      </rPr>
      <t xml:space="preserve">(</t>
    </r>
    <r>
      <rPr>
        <sz val="10"/>
        <color rgb="FF1F2A28"/>
        <rFont val="WenQuanYi Zen Hei"/>
        <family val="2"/>
      </rPr>
      <t xml:space="preserve">基礎</t>
    </r>
    <r>
      <rPr>
        <sz val="10"/>
        <color rgb="FF1F2A28"/>
        <rFont val="Arial"/>
        <family val="0"/>
        <charset val="1"/>
      </rPr>
      <t xml:space="preserve">)</t>
    </r>
    <r>
      <rPr>
        <sz val="10"/>
        <color rgb="FF1F2A28"/>
        <rFont val="WenQuanYi Zen Hei"/>
        <family val="2"/>
      </rPr>
      <t xml:space="preserve">科、國中美語</t>
    </r>
    <r>
      <rPr>
        <sz val="10"/>
        <color rgb="FF1F2A28"/>
        <rFont val="Arial"/>
        <family val="0"/>
        <charset val="1"/>
      </rPr>
      <t xml:space="preserve">(</t>
    </r>
    <r>
      <rPr>
        <sz val="10"/>
        <color rgb="FF1F2A28"/>
        <rFont val="WenQuanYi Zen Hei"/>
        <family val="2"/>
      </rPr>
      <t xml:space="preserve">進階</t>
    </r>
    <r>
      <rPr>
        <sz val="10"/>
        <color rgb="FF1F2A28"/>
        <rFont val="Arial"/>
        <family val="0"/>
        <charset val="1"/>
      </rPr>
      <t xml:space="preserve">)</t>
    </r>
    <r>
      <rPr>
        <sz val="10"/>
        <color rgb="FF1F2A28"/>
        <rFont val="WenQuanYi Zen Hei"/>
        <family val="2"/>
      </rPr>
      <t xml:space="preserve">科</t>
    </r>
  </si>
  <si>
    <t xml:space="preserve">楊嘉玲</t>
  </si>
  <si>
    <t xml:space="preserve">吳立偉</t>
  </si>
  <si>
    <t xml:space="preserve">私立尚德語文文理短期補習班</t>
  </si>
  <si>
    <r>
      <rPr>
        <sz val="10"/>
        <color rgb="FF1F2A28"/>
        <rFont val="WenQuanYi Zen Hei"/>
        <family val="2"/>
      </rPr>
      <t xml:space="preserve">桃園區中埔一街</t>
    </r>
    <r>
      <rPr>
        <sz val="10"/>
        <color rgb="FF1F2A28"/>
        <rFont val="Arial"/>
        <family val="0"/>
        <charset val="1"/>
      </rPr>
      <t xml:space="preserve">121</t>
    </r>
    <r>
      <rPr>
        <sz val="10"/>
        <color rgb="FF1F2A28"/>
        <rFont val="WenQuanYi Zen Hei"/>
        <family val="2"/>
      </rPr>
      <t xml:space="preserve">號</t>
    </r>
    <r>
      <rPr>
        <sz val="10"/>
        <color rgb="FF1F2A28"/>
        <rFont val="Arial"/>
        <family val="0"/>
        <charset val="1"/>
      </rPr>
      <t xml:space="preserve">1.2.5</t>
    </r>
    <r>
      <rPr>
        <sz val="10"/>
        <color rgb="FF1F2A28"/>
        <rFont val="WenQuanYi Zen Hei"/>
        <family val="2"/>
      </rPr>
      <t xml:space="preserve">樓及</t>
    </r>
    <r>
      <rPr>
        <sz val="10"/>
        <color rgb="FF1F2A28"/>
        <rFont val="Arial"/>
        <family val="0"/>
        <charset val="1"/>
      </rPr>
      <t xml:space="preserve">123</t>
    </r>
    <r>
      <rPr>
        <sz val="10"/>
        <color rgb="FF1F2A28"/>
        <rFont val="WenQuanYi Zen Hei"/>
        <family val="2"/>
      </rPr>
      <t xml:space="preserve">號</t>
    </r>
    <r>
      <rPr>
        <sz val="10"/>
        <color rgb="FF1F2A28"/>
        <rFont val="Arial"/>
        <family val="0"/>
        <charset val="1"/>
      </rPr>
      <t xml:space="preserve">2.5</t>
    </r>
    <r>
      <rPr>
        <sz val="10"/>
        <color rgb="FF1F2A28"/>
        <rFont val="WenQuanYi Zen Hei"/>
        <family val="2"/>
      </rPr>
      <t xml:space="preserve">樓</t>
    </r>
  </si>
  <si>
    <t xml:space="preserve">033468585</t>
  </si>
  <si>
    <t xml:space="preserve">美語基礎班、美語進階班、國中美語、美語高級班</t>
  </si>
  <si>
    <t xml:space="preserve">2013-12-30</t>
  </si>
  <si>
    <t xml:space="preserve">李宗彥</t>
  </si>
  <si>
    <t xml:space="preserve">私立尼爾森美語短期補習班</t>
  </si>
  <si>
    <r>
      <rPr>
        <sz val="10"/>
        <color rgb="FF1F2A28"/>
        <rFont val="WenQuanYi Zen Hei"/>
        <family val="2"/>
      </rPr>
      <t xml:space="preserve">桃園區春日路</t>
    </r>
    <r>
      <rPr>
        <sz val="10"/>
        <color rgb="FF1F2A28"/>
        <rFont val="Arial"/>
        <family val="0"/>
        <charset val="1"/>
      </rPr>
      <t xml:space="preserve">134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</si>
  <si>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(03)3322504</t>
  </si>
  <si>
    <t xml:space="preserve">powernelson98@gmail.com</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</si>
  <si>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混齡初級</t>
    </r>
    <r>
      <rPr>
        <sz val="10"/>
        <color rgb="FF1F2A28"/>
        <rFont val="Arial"/>
        <family val="0"/>
        <charset val="1"/>
      </rPr>
      <t xml:space="preserve">)</t>
    </r>
    <r>
      <rPr>
        <sz val="10"/>
        <color rgb="FF1F2A28"/>
        <rFont val="WenQuanYi Zen Hei"/>
        <family val="2"/>
      </rPr>
      <t xml:space="preserve">、美語、國中文理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科</t>
    </r>
  </si>
  <si>
    <t xml:space="preserve">2001-12-27</t>
  </si>
  <si>
    <t xml:space="preserve">李桂鳳</t>
  </si>
  <si>
    <t xml:space="preserve">黃小芬</t>
  </si>
  <si>
    <t xml:space="preserve">私立尼爾森致學文理短期補習班</t>
  </si>
  <si>
    <r>
      <rPr>
        <sz val="10"/>
        <color rgb="FF1F2A28"/>
        <rFont val="WenQuanYi Zen Hei"/>
        <family val="2"/>
      </rPr>
      <t xml:space="preserve">桃園區中山東路</t>
    </r>
    <r>
      <rPr>
        <sz val="10"/>
        <color rgb="FF1F2A28"/>
        <rFont val="Arial"/>
        <family val="0"/>
        <charset val="1"/>
      </rPr>
      <t xml:space="preserve">54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</si>
  <si>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(03)3380913</t>
  </si>
  <si>
    <t xml:space="preserve">lobetocool@gmail.com</t>
  </si>
  <si>
    <r>
      <rPr>
        <sz val="10"/>
        <color rgb="FF1F2A28"/>
        <rFont val="WenQuanYi Zen Hei"/>
        <family val="2"/>
      </rPr>
      <t xml:space="preserve">英語、高中文理科</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、國中文理科</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</si>
  <si>
    <t xml:space="preserve">邱嘉芬</t>
  </si>
  <si>
    <t xml:space="preserve">私立崴廉文理短期補習班</t>
  </si>
  <si>
    <r>
      <rPr>
        <sz val="10"/>
        <color rgb="FF1F2A28"/>
        <rFont val="WenQuanYi Zen Hei"/>
        <family val="2"/>
      </rPr>
      <t xml:space="preserve">桃園區大有路</t>
    </r>
    <r>
      <rPr>
        <sz val="10"/>
        <color rgb="FF1F2A28"/>
        <rFont val="Arial"/>
        <family val="0"/>
        <charset val="1"/>
      </rPr>
      <t xml:space="preserve">300</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</si>
  <si>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0937177205</t>
  </si>
  <si>
    <t xml:space="preserve">2006-06-09</t>
  </si>
  <si>
    <t xml:space="preserve">私立巴比美語短期補習班</t>
  </si>
  <si>
    <r>
      <rPr>
        <sz val="10"/>
        <color rgb="FF1F2A28"/>
        <rFont val="WenQuanYi Zen Hei"/>
        <family val="2"/>
      </rPr>
      <t xml:space="preserve">桃園區莊二街</t>
    </r>
    <r>
      <rPr>
        <sz val="10"/>
        <color rgb="FF1F2A28"/>
        <rFont val="Arial"/>
        <family val="0"/>
        <charset val="1"/>
      </rPr>
      <t xml:space="preserve">156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</si>
  <si>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(03)2161338</t>
  </si>
  <si>
    <t xml:space="preserve">joylin36@gmail.com</t>
  </si>
  <si>
    <t xml:space="preserve">林婷玉</t>
  </si>
  <si>
    <t xml:space="preserve">私立帝逵文理技藝短期補習班</t>
  </si>
  <si>
    <r>
      <rPr>
        <sz val="10"/>
        <color rgb="FF1F2A28"/>
        <rFont val="WenQuanYi Zen Hei"/>
        <family val="2"/>
      </rPr>
      <t xml:space="preserve">桃園區同安街</t>
    </r>
    <r>
      <rPr>
        <sz val="10"/>
        <color rgb="FF1F2A28"/>
        <rFont val="Arial"/>
        <family val="0"/>
        <charset val="1"/>
      </rPr>
      <t xml:space="preserve">529</t>
    </r>
    <r>
      <rPr>
        <sz val="10"/>
        <color rgb="FF1F2A28"/>
        <rFont val="WenQuanYi Zen Hei"/>
        <family val="2"/>
      </rPr>
      <t xml:space="preserve">、</t>
    </r>
    <r>
      <rPr>
        <sz val="10"/>
        <color rgb="FF1F2A28"/>
        <rFont val="Arial"/>
        <family val="0"/>
        <charset val="1"/>
      </rPr>
      <t xml:space="preserve">531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</si>
  <si>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(03)3580969</t>
  </si>
  <si>
    <t xml:space="preserve">deardikui358@gmail.com</t>
  </si>
  <si>
    <t xml:space="preserve">2022-05-27</t>
  </si>
  <si>
    <t xml:space="preserve">簡綉停</t>
  </si>
  <si>
    <t xml:space="preserve">簡毓伶</t>
  </si>
  <si>
    <t xml:space="preserve">私立康妮斯語文短期補習班</t>
  </si>
  <si>
    <r>
      <rPr>
        <sz val="10"/>
        <color rgb="FF1F2A28"/>
        <rFont val="WenQuanYi Zen Hei"/>
        <family val="2"/>
      </rPr>
      <t xml:space="preserve">桃園區大同路</t>
    </r>
    <r>
      <rPr>
        <sz val="10"/>
        <color rgb="FF1F2A28"/>
        <rFont val="Arial"/>
        <family val="0"/>
        <charset val="1"/>
      </rPr>
      <t xml:space="preserve">123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</si>
  <si>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(03)375-4033</t>
  </si>
  <si>
    <t xml:space="preserve">yangmin.chaoshun@gmail.com</t>
  </si>
  <si>
    <t xml:space="preserve">2005-10-06</t>
  </si>
  <si>
    <t xml:space="preserve">張朝舜</t>
  </si>
  <si>
    <t xml:space="preserve">私立康萊爾美語短期補習班</t>
  </si>
  <si>
    <r>
      <rPr>
        <sz val="10"/>
        <color rgb="FF1F2A28"/>
        <rFont val="WenQuanYi Zen Hei"/>
        <family val="2"/>
      </rPr>
      <t xml:space="preserve">桃園區力行路</t>
    </r>
    <r>
      <rPr>
        <sz val="10"/>
        <color rgb="FF1F2A28"/>
        <rFont val="Arial"/>
        <family val="0"/>
        <charset val="1"/>
      </rPr>
      <t xml:space="preserve">328</t>
    </r>
    <r>
      <rPr>
        <sz val="10"/>
        <color rgb="FF1F2A28"/>
        <rFont val="WenQuanYi Zen Hei"/>
        <family val="2"/>
      </rPr>
      <t xml:space="preserve">巷</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</si>
  <si>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(03)3026889</t>
  </si>
  <si>
    <t xml:space="preserve">cornells@ms34.hinet.net</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</si>
  <si>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班、美語</t>
    </r>
    <r>
      <rPr>
        <sz val="10"/>
        <color rgb="FF1F2A28"/>
        <rFont val="Arial"/>
        <family val="0"/>
        <charset val="1"/>
      </rPr>
      <t xml:space="preserve">B</t>
    </r>
    <r>
      <rPr>
        <sz val="10"/>
        <color rgb="FF1F2A28"/>
        <rFont val="WenQuanYi Zen Hei"/>
        <family val="2"/>
      </rPr>
      <t xml:space="preserve">班、美語</t>
    </r>
    <r>
      <rPr>
        <sz val="10"/>
        <color rgb="FF1F2A28"/>
        <rFont val="Arial"/>
        <family val="0"/>
        <charset val="1"/>
      </rPr>
      <t xml:space="preserve">C</t>
    </r>
    <r>
      <rPr>
        <sz val="10"/>
        <color rgb="FF1F2A28"/>
        <rFont val="WenQuanYi Zen Hei"/>
        <family val="2"/>
      </rPr>
      <t xml:space="preserve">班、美語</t>
    </r>
    <r>
      <rPr>
        <sz val="10"/>
        <color rgb="FF1F2A28"/>
        <rFont val="Arial"/>
        <family val="0"/>
        <charset val="1"/>
      </rPr>
      <t xml:space="preserve">D</t>
    </r>
    <r>
      <rPr>
        <sz val="10"/>
        <color rgb="FF1F2A28"/>
        <rFont val="WenQuanYi Zen Hei"/>
        <family val="2"/>
      </rPr>
      <t xml:space="preserve">班、美語</t>
    </r>
    <r>
      <rPr>
        <sz val="10"/>
        <color rgb="FF1F2A28"/>
        <rFont val="Arial"/>
        <family val="0"/>
        <charset val="1"/>
      </rPr>
      <t xml:space="preserve">E</t>
    </r>
    <r>
      <rPr>
        <sz val="10"/>
        <color rgb="FF1F2A28"/>
        <rFont val="WenQuanYi Zen Hei"/>
        <family val="2"/>
      </rPr>
      <t xml:space="preserve">班、美語</t>
    </r>
    <r>
      <rPr>
        <sz val="10"/>
        <color rgb="FF1F2A28"/>
        <rFont val="Arial"/>
        <family val="0"/>
        <charset val="1"/>
      </rPr>
      <t xml:space="preserve">F</t>
    </r>
    <r>
      <rPr>
        <sz val="10"/>
        <color rgb="FF1F2A28"/>
        <rFont val="WenQuanYi Zen Hei"/>
        <family val="2"/>
      </rPr>
      <t xml:space="preserve">班、美語</t>
    </r>
    <r>
      <rPr>
        <sz val="10"/>
        <color rgb="FF1F2A28"/>
        <rFont val="Arial"/>
        <family val="0"/>
        <charset val="1"/>
      </rPr>
      <t xml:space="preserve">G</t>
    </r>
    <r>
      <rPr>
        <sz val="10"/>
        <color rgb="FF1F2A28"/>
        <rFont val="WenQuanYi Zen Hei"/>
        <family val="2"/>
      </rPr>
      <t xml:space="preserve">班、美語</t>
    </r>
    <r>
      <rPr>
        <sz val="10"/>
        <color rgb="FF1F2A28"/>
        <rFont val="Arial"/>
        <family val="0"/>
        <charset val="1"/>
      </rPr>
      <t xml:space="preserve">H</t>
    </r>
    <r>
      <rPr>
        <sz val="10"/>
        <color rgb="FF1F2A28"/>
        <rFont val="WenQuanYi Zen Hei"/>
        <family val="2"/>
      </rPr>
      <t xml:space="preserve">班、美語</t>
    </r>
    <r>
      <rPr>
        <sz val="10"/>
        <color rgb="FF1F2A28"/>
        <rFont val="Arial"/>
        <family val="0"/>
        <charset val="1"/>
      </rPr>
      <t xml:space="preserve">I</t>
    </r>
    <r>
      <rPr>
        <sz val="10"/>
        <color rgb="FF1F2A28"/>
        <rFont val="WenQuanYi Zen Hei"/>
        <family val="2"/>
      </rPr>
      <t xml:space="preserve">班、美語</t>
    </r>
    <r>
      <rPr>
        <sz val="10"/>
        <color rgb="FF1F2A28"/>
        <rFont val="Arial"/>
        <family val="0"/>
        <charset val="1"/>
      </rPr>
      <t xml:space="preserve">J</t>
    </r>
    <r>
      <rPr>
        <sz val="10"/>
        <color rgb="FF1F2A28"/>
        <rFont val="WenQuanYi Zen Hei"/>
        <family val="2"/>
      </rPr>
      <t xml:space="preserve">班</t>
    </r>
  </si>
  <si>
    <t xml:space="preserve">2014-07-25</t>
  </si>
  <si>
    <t xml:space="preserve">謝崑永</t>
  </si>
  <si>
    <t xml:space="preserve">簡淑芬</t>
  </si>
  <si>
    <t xml:space="preserve">私立建國語文短期補習班</t>
  </si>
  <si>
    <r>
      <rPr>
        <sz val="10"/>
        <color rgb="FF1F2A28"/>
        <rFont val="WenQuanYi Zen Hei"/>
        <family val="2"/>
      </rPr>
      <t xml:space="preserve">桃園區延平路</t>
    </r>
    <r>
      <rPr>
        <sz val="10"/>
        <color rgb="FF1F2A28"/>
        <rFont val="Arial"/>
        <family val="0"/>
        <charset val="1"/>
      </rPr>
      <t xml:space="preserve">201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</si>
  <si>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(03)3630351</t>
  </si>
  <si>
    <t xml:space="preserve">jianguo3630351@gmail.com</t>
  </si>
  <si>
    <r>
      <rPr>
        <sz val="10"/>
        <color rgb="FF1F2A28"/>
        <rFont val="WenQuanYi Zen Hei"/>
        <family val="2"/>
      </rPr>
      <t xml:space="preserve">美語初級</t>
    </r>
    <r>
      <rPr>
        <sz val="10"/>
        <color rgb="FF1F2A28"/>
        <rFont val="Arial"/>
        <family val="0"/>
        <charset val="1"/>
      </rPr>
      <t xml:space="preserve">A</t>
    </r>
    <r>
      <rPr>
        <sz val="10"/>
        <color rgb="FF1F2A28"/>
        <rFont val="WenQuanYi Zen Hei"/>
        <family val="2"/>
      </rPr>
      <t xml:space="preserve">、美語初級</t>
    </r>
    <r>
      <rPr>
        <sz val="10"/>
        <color rgb="FF1F2A28"/>
        <rFont val="Arial"/>
        <family val="0"/>
        <charset val="1"/>
      </rPr>
      <t xml:space="preserve">B</t>
    </r>
    <r>
      <rPr>
        <sz val="10"/>
        <color rgb="FF1F2A28"/>
        <rFont val="WenQuanYi Zen Hei"/>
        <family val="2"/>
      </rPr>
      <t xml:space="preserve">、美語中級</t>
    </r>
    <r>
      <rPr>
        <sz val="10"/>
        <color rgb="FF1F2A28"/>
        <rFont val="Arial"/>
        <family val="0"/>
        <charset val="1"/>
      </rPr>
      <t xml:space="preserve">A</t>
    </r>
    <r>
      <rPr>
        <sz val="10"/>
        <color rgb="FF1F2A28"/>
        <rFont val="WenQuanYi Zen Hei"/>
        <family val="2"/>
      </rPr>
      <t xml:space="preserve">、美語中級</t>
    </r>
    <r>
      <rPr>
        <sz val="10"/>
        <color rgb="FF1F2A28"/>
        <rFont val="Arial"/>
        <family val="0"/>
        <charset val="1"/>
      </rPr>
      <t xml:space="preserve">B</t>
    </r>
    <r>
      <rPr>
        <sz val="10"/>
        <color rgb="FF1F2A28"/>
        <rFont val="WenQuanYi Zen Hei"/>
        <family val="2"/>
      </rPr>
      <t xml:space="preserve">、全民英檢、成人美語</t>
    </r>
  </si>
  <si>
    <t xml:space="preserve">2020-05-08</t>
  </si>
  <si>
    <t xml:space="preserve">游湘渝</t>
  </si>
  <si>
    <t xml:space="preserve">私立弘羽文理短期補習班</t>
  </si>
  <si>
    <r>
      <rPr>
        <sz val="10"/>
        <color rgb="FF1F2A28"/>
        <rFont val="WenQuanYi Zen Hei"/>
        <family val="2"/>
      </rPr>
      <t xml:space="preserve">桃園區永順街</t>
    </r>
    <r>
      <rPr>
        <sz val="10"/>
        <color rgb="FF1F2A28"/>
        <rFont val="Arial"/>
        <family val="0"/>
        <charset val="1"/>
      </rPr>
      <t xml:space="preserve">88</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</si>
  <si>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(03)2150385</t>
  </si>
  <si>
    <t xml:space="preserve">chen.hueling@gmail.com</t>
  </si>
  <si>
    <r>
      <rPr>
        <sz val="10"/>
        <color rgb="FF1F2A28"/>
        <rFont val="WenQuanYi Zen Hei"/>
        <family val="2"/>
      </rPr>
      <t xml:space="preserve">英語、國中文理科</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、高中文理科</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</si>
  <si>
    <t xml:space="preserve">2026-02-12</t>
  </si>
  <si>
    <t xml:space="preserve">私立彗來文理技藝短期補習班</t>
  </si>
  <si>
    <r>
      <rPr>
        <sz val="10"/>
        <color rgb="FF1F2A28"/>
        <rFont val="WenQuanYi Zen Hei"/>
        <family val="2"/>
      </rPr>
      <t xml:space="preserve">桃園區桃園區敬二街</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</si>
  <si>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(03)3170180</t>
  </si>
  <si>
    <t xml:space="preserve">giraffezj2023@gmail.com</t>
  </si>
  <si>
    <r>
      <rPr>
        <sz val="10"/>
        <color rgb="FF1F2A28"/>
        <rFont val="WenQuanYi Zen Hei"/>
        <family val="2"/>
      </rPr>
      <t xml:space="preserve">美語、國中文理科</t>
    </r>
    <r>
      <rPr>
        <sz val="10"/>
        <color rgb="FF1F2A28"/>
        <rFont val="Arial"/>
        <family val="0"/>
        <charset val="1"/>
      </rPr>
      <t xml:space="preserve">(</t>
    </r>
    <r>
      <rPr>
        <sz val="10"/>
        <color rgb="FF1F2A28"/>
        <rFont val="WenQuanYi Zen Hei"/>
        <family val="2"/>
      </rPr>
      <t xml:space="preserve">英文、數學、自然</t>
    </r>
    <r>
      <rPr>
        <sz val="10"/>
        <color rgb="FF1F2A28"/>
        <rFont val="Arial"/>
        <family val="0"/>
        <charset val="1"/>
      </rPr>
      <t xml:space="preserve">)</t>
    </r>
  </si>
  <si>
    <t xml:space="preserve">詹志煒</t>
  </si>
  <si>
    <t xml:space="preserve">王巧穎</t>
  </si>
  <si>
    <t xml:space="preserve">私立德宬語文數學文理短期補習班</t>
  </si>
  <si>
    <r>
      <rPr>
        <sz val="10"/>
        <color rgb="FF1F2A28"/>
        <rFont val="WenQuanYi Zen Hei"/>
        <family val="2"/>
      </rPr>
      <t xml:space="preserve">桃園區同德二街</t>
    </r>
    <r>
      <rPr>
        <sz val="10"/>
        <color rgb="FF1F2A28"/>
        <rFont val="Arial"/>
        <family val="0"/>
        <charset val="1"/>
      </rPr>
      <t xml:space="preserve">47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</si>
  <si>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(03)3551405</t>
  </si>
  <si>
    <t xml:space="preserve">rc9994@gmail.com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</si>
  <si>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數自英</t>
    </r>
    <r>
      <rPr>
        <sz val="10"/>
        <color rgb="FF1F2A28"/>
        <rFont val="Arial"/>
        <family val="0"/>
        <charset val="1"/>
      </rPr>
      <t xml:space="preserve">)</t>
    </r>
    <r>
      <rPr>
        <sz val="10"/>
        <color rgb="FF1F2A28"/>
        <rFont val="WenQuanYi Zen Hei"/>
        <family val="2"/>
      </rPr>
      <t xml:space="preserve">、美語</t>
    </r>
  </si>
  <si>
    <t xml:space="preserve">陳宥鈞</t>
  </si>
  <si>
    <t xml:space="preserve">私立必勝文理美語數學短期補習班</t>
  </si>
  <si>
    <r>
      <rPr>
        <sz val="10"/>
        <color rgb="FF1F2A28"/>
        <rFont val="WenQuanYi Zen Hei"/>
        <family val="2"/>
      </rPr>
      <t xml:space="preserve">桃園區延平路</t>
    </r>
    <r>
      <rPr>
        <sz val="10"/>
        <color rgb="FF1F2A28"/>
        <rFont val="Arial"/>
        <family val="0"/>
        <charset val="1"/>
      </rPr>
      <t xml:space="preserve">232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</si>
  <si>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(03)3765050</t>
  </si>
  <si>
    <t xml:space="preserve">camel419@gmail.com</t>
  </si>
  <si>
    <t xml:space="preserve">2006-07-05</t>
  </si>
  <si>
    <t xml:space="preserve">楊朝欽</t>
  </si>
  <si>
    <r>
      <rPr>
        <sz val="10"/>
        <color rgb="FF1F2A28"/>
        <rFont val="WenQuanYi Zen Hei"/>
        <family val="2"/>
      </rPr>
      <t xml:space="preserve">桃園區大興西路二段</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5</t>
    </r>
  </si>
  <si>
    <t xml:space="preserve">(03)3018159</t>
  </si>
  <si>
    <t xml:space="preserve">albertchiu56@yahoo.com.tw</t>
  </si>
  <si>
    <t xml:space="preserve">2010-06-04</t>
  </si>
  <si>
    <t xml:space="preserve">邱國鈞</t>
  </si>
  <si>
    <t xml:space="preserve">私立思純國際珠心算美語文理短期補習班</t>
  </si>
  <si>
    <r>
      <rPr>
        <sz val="10"/>
        <color rgb="FF1F2A28"/>
        <rFont val="WenQuanYi Zen Hei"/>
        <family val="2"/>
      </rPr>
      <t xml:space="preserve">桃園區中正路</t>
    </r>
    <r>
      <rPr>
        <sz val="10"/>
        <color rgb="FF1F2A28"/>
        <rFont val="Arial"/>
        <family val="0"/>
        <charset val="1"/>
      </rPr>
      <t xml:space="preserve">573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</si>
  <si>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(03)3352520</t>
  </si>
  <si>
    <t xml:space="preserve">黃多梅</t>
  </si>
  <si>
    <t xml:space="preserve">歐國欽</t>
  </si>
  <si>
    <t xml:space="preserve">私立思維文理美語短期補習班</t>
  </si>
  <si>
    <r>
      <rPr>
        <sz val="10"/>
        <color rgb="FF1F2A28"/>
        <rFont val="WenQuanYi Zen Hei"/>
        <family val="2"/>
      </rPr>
      <t xml:space="preserve">桃園區信光路</t>
    </r>
    <r>
      <rPr>
        <sz val="10"/>
        <color rgb="FF1F2A28"/>
        <rFont val="Arial"/>
        <family val="0"/>
        <charset val="1"/>
      </rPr>
      <t xml:space="preserve">118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</si>
  <si>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(03)3381715</t>
  </si>
  <si>
    <t xml:space="preserve">劉育哲</t>
  </si>
  <si>
    <t xml:space="preserve">林清山</t>
  </si>
  <si>
    <t xml:space="preserve">私立悅迪語文文理短期補習班</t>
  </si>
  <si>
    <r>
      <rPr>
        <sz val="10"/>
        <color rgb="FF1F2A28"/>
        <rFont val="WenQuanYi Zen Hei"/>
        <family val="2"/>
      </rPr>
      <t xml:space="preserve">桃園區大業路二段</t>
    </r>
    <r>
      <rPr>
        <sz val="10"/>
        <color rgb="FF1F2A28"/>
        <rFont val="Arial"/>
        <family val="0"/>
        <charset val="1"/>
      </rPr>
      <t xml:space="preserve">216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t>
    </r>
    <r>
      <rPr>
        <sz val="10"/>
        <color rgb="FF1F2A28"/>
        <rFont val="Arial"/>
        <family val="0"/>
        <charset val="1"/>
      </rPr>
      <t xml:space="preserve">214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</si>
  <si>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(03)3550728</t>
  </si>
  <si>
    <t xml:space="preserve">freered1006@gmail.com</t>
  </si>
  <si>
    <t xml:space="preserve">2009-10-08</t>
  </si>
  <si>
    <t xml:space="preserve">林惠蘭</t>
  </si>
  <si>
    <t xml:space="preserve">秦士媚</t>
  </si>
  <si>
    <t xml:space="preserve">私立惠而華文理短期補習班</t>
  </si>
  <si>
    <r>
      <rPr>
        <sz val="10"/>
        <color rgb="FF1F2A28"/>
        <rFont val="WenQuanYi Zen Hei"/>
        <family val="2"/>
      </rPr>
      <t xml:space="preserve">桃園區中正三街</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</si>
  <si>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(03)3330075</t>
  </si>
  <si>
    <t xml:space="preserve">linda83tw@gmail.com</t>
  </si>
  <si>
    <t xml:space="preserve">2007-11-27</t>
  </si>
  <si>
    <t xml:space="preserve">李彤</t>
  </si>
  <si>
    <t xml:space="preserve">私立愛法兒文理短期補習班</t>
  </si>
  <si>
    <r>
      <rPr>
        <sz val="10"/>
        <color rgb="FF1F2A28"/>
        <rFont val="WenQuanYi Zen Hei"/>
        <family val="2"/>
      </rPr>
      <t xml:space="preserve">桃園區中正路</t>
    </r>
    <r>
      <rPr>
        <sz val="10"/>
        <color rgb="FF1F2A28"/>
        <rFont val="Arial"/>
        <family val="0"/>
        <charset val="1"/>
      </rPr>
      <t xml:space="preserve">1320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</si>
  <si>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(03)3178666</t>
  </si>
  <si>
    <t xml:space="preserve">nausicaa200@yahoo.com.tw</t>
  </si>
  <si>
    <t xml:space="preserve">2016-11-01</t>
  </si>
  <si>
    <t xml:space="preserve">洪宛秀</t>
  </si>
  <si>
    <t xml:space="preserve">私立愷睿中山文理短期補習班</t>
  </si>
  <si>
    <r>
      <rPr>
        <sz val="10"/>
        <color rgb="FF1F2A28"/>
        <rFont val="WenQuanYi Zen Hei"/>
        <family val="2"/>
      </rPr>
      <t xml:space="preserve">桃園區國際路一段</t>
    </r>
    <r>
      <rPr>
        <sz val="10"/>
        <color rgb="FF1F2A28"/>
        <rFont val="Arial"/>
        <family val="0"/>
        <charset val="1"/>
      </rPr>
      <t xml:space="preserve">1179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</si>
  <si>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(03)3441355</t>
  </si>
  <si>
    <t xml:space="preserve">xonderce1116@gmail.com</t>
  </si>
  <si>
    <r>
      <rPr>
        <sz val="10"/>
        <color rgb="FF1F2A28"/>
        <rFont val="WenQuanYi Zen Hei"/>
        <family val="2"/>
      </rPr>
      <t xml:space="preserve">國中文理科</t>
    </r>
    <r>
      <rPr>
        <sz val="10"/>
        <color rgb="FF1F2A28"/>
        <rFont val="Arial"/>
        <family val="0"/>
        <charset val="1"/>
      </rPr>
      <t xml:space="preserve">(</t>
    </r>
    <r>
      <rPr>
        <sz val="10"/>
        <color rgb="FF1F2A28"/>
        <rFont val="WenQuanYi Zen Hei"/>
        <family val="2"/>
      </rPr>
      <t xml:space="preserve">國英數自</t>
    </r>
    <r>
      <rPr>
        <sz val="10"/>
        <color rgb="FF1F2A28"/>
        <rFont val="Arial"/>
        <family val="0"/>
        <charset val="1"/>
      </rPr>
      <t xml:space="preserve">)</t>
    </r>
  </si>
  <si>
    <t xml:space="preserve">2019-07-25</t>
  </si>
  <si>
    <t xml:space="preserve">彭怡甄</t>
  </si>
  <si>
    <t xml:space="preserve">王俊凱</t>
  </si>
  <si>
    <t xml:space="preserve">私立慈園文理美語數學短期補習班</t>
  </si>
  <si>
    <r>
      <rPr>
        <sz val="10"/>
        <color rgb="FF1F2A28"/>
        <rFont val="WenQuanYi Zen Hei"/>
        <family val="2"/>
      </rPr>
      <t xml:space="preserve">桃園區榮華街</t>
    </r>
    <r>
      <rPr>
        <sz val="10"/>
        <color rgb="FF1F2A28"/>
        <rFont val="Arial"/>
        <family val="0"/>
        <charset val="1"/>
      </rPr>
      <t xml:space="preserve">64</t>
    </r>
    <r>
      <rPr>
        <sz val="10"/>
        <color rgb="FF1F2A28"/>
        <rFont val="WenQuanYi Zen Hei"/>
        <family val="2"/>
      </rPr>
      <t xml:space="preserve">巷</t>
    </r>
    <r>
      <rPr>
        <sz val="10"/>
        <color rgb="FF1F2A28"/>
        <rFont val="Arial"/>
        <family val="0"/>
        <charset val="1"/>
      </rPr>
      <t xml:space="preserve">116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</si>
  <si>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(03)3660297</t>
  </si>
  <si>
    <t xml:space="preserve">a0989663670@gmail.com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</si>
  <si>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、美語</t>
    </r>
  </si>
  <si>
    <t xml:space="preserve">2002-03-21</t>
  </si>
  <si>
    <t xml:space="preserve">陳喬靖</t>
  </si>
  <si>
    <t xml:space="preserve">私立托瑪斯美語短期補習班</t>
  </si>
  <si>
    <r>
      <rPr>
        <sz val="10"/>
        <color rgb="FF1F2A28"/>
        <rFont val="WenQuanYi Zen Hei"/>
        <family val="2"/>
      </rPr>
      <t xml:space="preserve">桃園區中山東路</t>
    </r>
    <r>
      <rPr>
        <sz val="10"/>
        <color rgb="FF1F2A28"/>
        <rFont val="Arial"/>
        <family val="0"/>
        <charset val="1"/>
      </rPr>
      <t xml:space="preserve">219</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</si>
  <si>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(03)3334555</t>
  </si>
  <si>
    <t xml:space="preserve">chuthoma@gmail.com</t>
  </si>
  <si>
    <t xml:space="preserve">2013-09-06</t>
  </si>
  <si>
    <t xml:space="preserve">朱文清</t>
  </si>
  <si>
    <r>
      <rPr>
        <sz val="10"/>
        <color rgb="FF1F2A28"/>
        <rFont val="WenQuanYi Zen Hei"/>
        <family val="2"/>
      </rPr>
      <t xml:space="preserve">桃園區自強路</t>
    </r>
    <r>
      <rPr>
        <sz val="10"/>
        <color rgb="FF1F2A28"/>
        <rFont val="Arial"/>
        <family val="0"/>
        <charset val="1"/>
      </rPr>
      <t xml:space="preserve">135</t>
    </r>
    <r>
      <rPr>
        <sz val="10"/>
        <color rgb="FF1F2A28"/>
        <rFont val="WenQuanYi Zen Hei"/>
        <family val="2"/>
      </rPr>
      <t xml:space="preserve">號、</t>
    </r>
    <r>
      <rPr>
        <sz val="10"/>
        <color rgb="FF1F2A28"/>
        <rFont val="Arial"/>
        <family val="0"/>
        <charset val="1"/>
      </rPr>
      <t xml:space="preserve">135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</si>
  <si>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(03)3377655</t>
  </si>
  <si>
    <t xml:space="preserve">tact.fc011@gmail.com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</si>
  <si>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國、英、數、理化</t>
    </r>
    <r>
      <rPr>
        <sz val="10"/>
        <color rgb="FF1F2A28"/>
        <rFont val="Arial"/>
        <family val="0"/>
        <charset val="1"/>
      </rPr>
      <t xml:space="preserve">)</t>
    </r>
    <r>
      <rPr>
        <sz val="10"/>
        <color rgb="FF1F2A28"/>
        <rFont val="WenQuanYi Zen Hei"/>
        <family val="2"/>
      </rPr>
      <t xml:space="preserve">、英語</t>
    </r>
  </si>
  <si>
    <t xml:space="preserve">2014-06-19</t>
  </si>
  <si>
    <t xml:space="preserve">蕭鈺嬌</t>
  </si>
  <si>
    <t xml:space="preserve">私立振揚美語珠心算短期補習班</t>
  </si>
  <si>
    <r>
      <rPr>
        <sz val="10"/>
        <color rgb="FF1F2A28"/>
        <rFont val="WenQuanYi Zen Hei"/>
        <family val="2"/>
      </rPr>
      <t xml:space="preserve">桃園區龍祥街</t>
    </r>
    <r>
      <rPr>
        <sz val="10"/>
        <color rgb="FF1F2A28"/>
        <rFont val="Arial"/>
        <family val="0"/>
        <charset val="1"/>
      </rPr>
      <t xml:space="preserve">88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</si>
  <si>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(03)3785739</t>
  </si>
  <si>
    <t xml:space="preserve">amy501113@gmail.com</t>
  </si>
  <si>
    <t xml:space="preserve">2003-03-19</t>
  </si>
  <si>
    <t xml:space="preserve">徐夢如</t>
  </si>
  <si>
    <t xml:space="preserve">張秀菊</t>
  </si>
  <si>
    <t xml:space="preserve">私立文山美語文理短期補習班</t>
  </si>
  <si>
    <r>
      <rPr>
        <sz val="10"/>
        <color rgb="FF1F2A28"/>
        <rFont val="WenQuanYi Zen Hei"/>
        <family val="2"/>
      </rPr>
      <t xml:space="preserve">桃園區力行路</t>
    </r>
    <r>
      <rPr>
        <sz val="10"/>
        <color rgb="FF1F2A28"/>
        <rFont val="Arial"/>
        <family val="0"/>
        <charset val="1"/>
      </rPr>
      <t xml:space="preserve">610</t>
    </r>
    <r>
      <rPr>
        <sz val="10"/>
        <color rgb="FF1F2A28"/>
        <rFont val="WenQuanYi Zen Hei"/>
        <family val="2"/>
      </rPr>
      <t xml:space="preserve">、</t>
    </r>
    <r>
      <rPr>
        <sz val="10"/>
        <color rgb="FF1F2A28"/>
        <rFont val="Arial"/>
        <family val="0"/>
        <charset val="1"/>
      </rPr>
      <t xml:space="preserve">612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</si>
  <si>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(03)3608038</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</si>
  <si>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初級</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t>
    </r>
    <r>
      <rPr>
        <sz val="10"/>
        <color rgb="FF1F2A28"/>
        <rFont val="WenQuanYi Zen Hei"/>
        <family val="2"/>
      </rPr>
      <t xml:space="preserve">中級</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t>
    </r>
    <r>
      <rPr>
        <sz val="10"/>
        <color rgb="FF1F2A28"/>
        <rFont val="WenQuanYi Zen Hei"/>
        <family val="2"/>
      </rPr>
      <t xml:space="preserve">高級</t>
    </r>
    <r>
      <rPr>
        <sz val="10"/>
        <color rgb="FF1F2A28"/>
        <rFont val="Arial"/>
        <family val="0"/>
        <charset val="1"/>
      </rPr>
      <t xml:space="preserve">)</t>
    </r>
    <r>
      <rPr>
        <sz val="10"/>
        <color rgb="FF1F2A28"/>
        <rFont val="WenQuanYi Zen Hei"/>
        <family val="2"/>
      </rPr>
      <t xml:space="preserve">科</t>
    </r>
  </si>
  <si>
    <t xml:space="preserve">2024-07-03</t>
  </si>
  <si>
    <t xml:space="preserve">邱怡靜</t>
  </si>
  <si>
    <t xml:space="preserve">私立文恩文理短期補習班</t>
  </si>
  <si>
    <r>
      <rPr>
        <sz val="10"/>
        <color rgb="FF1F2A28"/>
        <rFont val="WenQuanYi Zen Hei"/>
        <family val="2"/>
      </rPr>
      <t xml:space="preserve">桃園區延平路</t>
    </r>
    <r>
      <rPr>
        <sz val="10"/>
        <color rgb="FF1F2A28"/>
        <rFont val="Arial"/>
        <family val="0"/>
        <charset val="1"/>
      </rPr>
      <t xml:space="preserve">168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</si>
  <si>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(03)2180570</t>
  </si>
  <si>
    <t xml:space="preserve">wending164@gmail.com</t>
  </si>
  <si>
    <t xml:space="preserve">簡筱娳</t>
  </si>
  <si>
    <t xml:space="preserve">私立文燁美語短期補習班</t>
  </si>
  <si>
    <r>
      <rPr>
        <sz val="10"/>
        <color rgb="FF1F2A28"/>
        <rFont val="WenQuanYi Zen Hei"/>
        <family val="2"/>
      </rPr>
      <t xml:space="preserve">桃園區昆明路</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</si>
  <si>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私立新冠智文理語文數學短期補習班</t>
  </si>
  <si>
    <r>
      <rPr>
        <sz val="10"/>
        <color rgb="FF1F2A28"/>
        <rFont val="WenQuanYi Zen Hei"/>
        <family val="2"/>
      </rPr>
      <t xml:space="preserve">桃園區東國街</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</si>
  <si>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03-3346345</t>
  </si>
  <si>
    <t xml:space="preserve">jjay0318@gmail.com</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</si>
  <si>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數學、英文、自然</t>
    </r>
    <r>
      <rPr>
        <sz val="10"/>
        <color rgb="FF1F2A28"/>
        <rFont val="Arial"/>
        <family val="0"/>
        <charset val="1"/>
      </rPr>
      <t xml:space="preserve">)</t>
    </r>
  </si>
  <si>
    <t xml:space="preserve">2020-06-02</t>
  </si>
  <si>
    <t xml:space="preserve">陳金葉</t>
  </si>
  <si>
    <t xml:space="preserve">張以璿</t>
  </si>
  <si>
    <t xml:space="preserve">私立新非凡語文短期補習班</t>
  </si>
  <si>
    <r>
      <rPr>
        <sz val="10"/>
        <color rgb="FF1F2A28"/>
        <rFont val="WenQuanYi Zen Hei"/>
        <family val="2"/>
      </rPr>
      <t xml:space="preserve">桃園區民有五街</t>
    </r>
    <r>
      <rPr>
        <sz val="10"/>
        <color rgb="FF1F2A28"/>
        <rFont val="Arial"/>
        <family val="0"/>
        <charset val="1"/>
      </rPr>
      <t xml:space="preserve">257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樓之</t>
    </r>
    <r>
      <rPr>
        <sz val="10"/>
        <color rgb="FF1F2A28"/>
        <rFont val="Arial"/>
        <family val="0"/>
        <charset val="1"/>
      </rPr>
      <t xml:space="preserve">1</t>
    </r>
  </si>
  <si>
    <t xml:space="preserve">(03)3177061</t>
  </si>
  <si>
    <t xml:space="preserve">a1314422681@gmail.com</t>
  </si>
  <si>
    <t xml:space="preserve">國英</t>
  </si>
  <si>
    <t xml:space="preserve">黃秋燕</t>
  </si>
  <si>
    <t xml:space="preserve">劉益智</t>
  </si>
  <si>
    <t xml:space="preserve">私立日昇文理短期補習班</t>
  </si>
  <si>
    <r>
      <rPr>
        <sz val="10"/>
        <color rgb="FF1F2A28"/>
        <rFont val="WenQuanYi Zen Hei"/>
        <family val="2"/>
      </rPr>
      <t xml:space="preserve">桃園區埔新路</t>
    </r>
    <r>
      <rPr>
        <sz val="10"/>
        <color rgb="FF1F2A28"/>
        <rFont val="Arial"/>
        <family val="0"/>
        <charset val="1"/>
      </rPr>
      <t xml:space="preserve">24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</si>
  <si>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(03)3330008</t>
  </si>
  <si>
    <t xml:space="preserve">sun3251093@yahoo.com.tw</t>
  </si>
  <si>
    <t xml:space="preserve">1997-05-19</t>
  </si>
  <si>
    <t xml:space="preserve">呂理旺</t>
  </si>
  <si>
    <t xml:space="preserve">私立昊亮文理語文短期補習班</t>
  </si>
  <si>
    <r>
      <rPr>
        <sz val="10"/>
        <color rgb="FF1F2A28"/>
        <rFont val="WenQuanYi Zen Hei"/>
        <family val="2"/>
      </rPr>
      <t xml:space="preserve">桃園區中華路</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及</t>
    </r>
    <r>
      <rPr>
        <sz val="10"/>
        <color rgb="FF1F2A28"/>
        <rFont val="Arial"/>
        <family val="0"/>
        <charset val="1"/>
      </rPr>
      <t xml:space="preserve">8</t>
    </r>
    <r>
      <rPr>
        <sz val="10"/>
        <color rgb="FF1F2A28"/>
        <rFont val="WenQuanYi Zen Hei"/>
        <family val="2"/>
      </rPr>
      <t xml:space="preserve">樓之</t>
    </r>
    <r>
      <rPr>
        <sz val="10"/>
        <color rgb="FF1F2A28"/>
        <rFont val="Arial"/>
        <family val="0"/>
        <charset val="1"/>
      </rPr>
      <t xml:space="preserve">2</t>
    </r>
  </si>
  <si>
    <t xml:space="preserve">(03)3390956</t>
  </si>
  <si>
    <t xml:space="preserve">yeachili@yahoo.com.tw</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</si>
  <si>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國數物</t>
    </r>
    <r>
      <rPr>
        <sz val="10"/>
        <color rgb="FF1F2A28"/>
        <rFont val="Arial"/>
        <family val="0"/>
        <charset val="1"/>
      </rPr>
      <t xml:space="preserve">)1</t>
    </r>
    <r>
      <rPr>
        <sz val="10"/>
        <color rgb="FF1F2A28"/>
        <rFont val="WenQuanYi Zen Hei"/>
        <family val="2"/>
      </rPr>
      <t xml:space="preserve">班、文理</t>
    </r>
    <r>
      <rPr>
        <sz val="10"/>
        <color rgb="FF1F2A28"/>
        <rFont val="Arial"/>
        <family val="0"/>
        <charset val="1"/>
      </rPr>
      <t xml:space="preserve">(</t>
    </r>
    <r>
      <rPr>
        <sz val="10"/>
        <color rgb="FF1F2A28"/>
        <rFont val="WenQuanYi Zen Hei"/>
        <family val="2"/>
      </rPr>
      <t xml:space="preserve">英數物</t>
    </r>
    <r>
      <rPr>
        <sz val="10"/>
        <color rgb="FF1F2A28"/>
        <rFont val="Arial"/>
        <family val="0"/>
        <charset val="1"/>
      </rPr>
      <t xml:space="preserve">)1</t>
    </r>
    <r>
      <rPr>
        <sz val="10"/>
        <color rgb="FF1F2A28"/>
        <rFont val="WenQuanYi Zen Hei"/>
        <family val="2"/>
      </rPr>
      <t xml:space="preserve">班</t>
    </r>
  </si>
  <si>
    <t xml:space="preserve">林昊德</t>
  </si>
  <si>
    <t xml:space="preserve">李雅琪</t>
  </si>
  <si>
    <t xml:space="preserve">私立昊德大有文理語文短期補習班</t>
  </si>
  <si>
    <r>
      <rPr>
        <sz val="10"/>
        <color rgb="FF1F2A28"/>
        <rFont val="WenQuanYi Zen Hei"/>
        <family val="2"/>
      </rPr>
      <t xml:space="preserve">桃園區大有路</t>
    </r>
    <r>
      <rPr>
        <sz val="10"/>
        <color rgb="FF1F2A28"/>
        <rFont val="Arial"/>
        <family val="0"/>
        <charset val="1"/>
      </rPr>
      <t xml:space="preserve">212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</si>
  <si>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(03)3390511</t>
  </si>
  <si>
    <r>
      <rPr>
        <sz val="10"/>
        <color rgb="FF1F2A28"/>
        <rFont val="WenQuanYi Zen Hei"/>
        <family val="2"/>
      </rPr>
      <t xml:space="preserve">國中美語、國中文理</t>
    </r>
    <r>
      <rPr>
        <sz val="10"/>
        <color rgb="FF1F2A28"/>
        <rFont val="Arial"/>
        <family val="0"/>
        <charset val="1"/>
      </rPr>
      <t xml:space="preserve">(</t>
    </r>
    <r>
      <rPr>
        <sz val="10"/>
        <color rgb="FF1F2A28"/>
        <rFont val="WenQuanYi Zen Hei"/>
        <family val="2"/>
      </rPr>
      <t xml:space="preserve">國英數理</t>
    </r>
    <r>
      <rPr>
        <sz val="10"/>
        <color rgb="FF1F2A28"/>
        <rFont val="Arial"/>
        <family val="0"/>
        <charset val="1"/>
      </rPr>
      <t xml:space="preserve">)</t>
    </r>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國英數生</t>
    </r>
    <r>
      <rPr>
        <sz val="10"/>
        <color rgb="FF1F2A28"/>
        <rFont val="Arial"/>
        <family val="0"/>
        <charset val="1"/>
      </rPr>
      <t xml:space="preserve">)</t>
    </r>
  </si>
  <si>
    <t xml:space="preserve">2011-06-16</t>
  </si>
  <si>
    <t xml:space="preserve">顏曉華</t>
  </si>
  <si>
    <t xml:space="preserve">私立昊德文理語文短期補習班</t>
  </si>
  <si>
    <r>
      <rPr>
        <sz val="10"/>
        <color rgb="FF1F2A28"/>
        <rFont val="WenQuanYi Zen Hei"/>
        <family val="2"/>
      </rPr>
      <t xml:space="preserve">桃園區復興路</t>
    </r>
    <r>
      <rPr>
        <sz val="10"/>
        <color rgb="FF1F2A28"/>
        <rFont val="Arial"/>
        <family val="0"/>
        <charset val="1"/>
      </rPr>
      <t xml:space="preserve">186</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樓及</t>
    </r>
    <r>
      <rPr>
        <sz val="10"/>
        <color rgb="FF1F2A28"/>
        <rFont val="Arial"/>
        <family val="0"/>
        <charset val="1"/>
      </rPr>
      <t xml:space="preserve">7</t>
    </r>
    <r>
      <rPr>
        <sz val="10"/>
        <color rgb="FF1F2A28"/>
        <rFont val="WenQuanYi Zen Hei"/>
        <family val="2"/>
      </rPr>
      <t xml:space="preserve">樓</t>
    </r>
  </si>
  <si>
    <r>
      <rPr>
        <sz val="10"/>
        <color rgb="FF1F2A28"/>
        <rFont val="WenQuanYi Zen Hei"/>
        <family val="2"/>
      </rPr>
      <t xml:space="preserve">國中文理科</t>
    </r>
    <r>
      <rPr>
        <sz val="10"/>
        <color rgb="FF1F2A28"/>
        <rFont val="Arial"/>
        <family val="0"/>
        <charset val="1"/>
      </rPr>
      <t xml:space="preserve">(</t>
    </r>
    <r>
      <rPr>
        <sz val="10"/>
        <color rgb="FF1F2A28"/>
        <rFont val="WenQuanYi Zen Hei"/>
        <family val="2"/>
      </rPr>
      <t xml:space="preserve">國英數社自</t>
    </r>
    <r>
      <rPr>
        <sz val="10"/>
        <color rgb="FF1F2A28"/>
        <rFont val="Arial"/>
        <family val="0"/>
        <charset val="1"/>
      </rPr>
      <t xml:space="preserve">)</t>
    </r>
    <r>
      <rPr>
        <sz val="10"/>
        <color rgb="FF1F2A28"/>
        <rFont val="WenQuanYi Zen Hei"/>
        <family val="2"/>
      </rPr>
      <t xml:space="preserve">、高中文理科</t>
    </r>
    <r>
      <rPr>
        <sz val="10"/>
        <color rgb="FF1F2A28"/>
        <rFont val="Arial"/>
        <family val="0"/>
        <charset val="1"/>
      </rPr>
      <t xml:space="preserve">(</t>
    </r>
    <r>
      <rPr>
        <sz val="10"/>
        <color rgb="FF1F2A28"/>
        <rFont val="WenQuanYi Zen Hei"/>
        <family val="2"/>
      </rPr>
      <t xml:space="preserve">國英數社自</t>
    </r>
    <r>
      <rPr>
        <sz val="10"/>
        <color rgb="FF1F2A28"/>
        <rFont val="Arial"/>
        <family val="0"/>
        <charset val="1"/>
      </rPr>
      <t xml:space="preserve">)</t>
    </r>
    <r>
      <rPr>
        <sz val="10"/>
        <color rgb="FF1F2A28"/>
        <rFont val="WenQuanYi Zen Hei"/>
        <family val="2"/>
      </rPr>
      <t xml:space="preserve">、美語</t>
    </r>
  </si>
  <si>
    <t xml:space="preserve">1995-11-03</t>
  </si>
  <si>
    <t xml:space="preserve">林昆東</t>
  </si>
  <si>
    <t xml:space="preserve">私立昊德藝文文理短期補習班</t>
  </si>
  <si>
    <r>
      <rPr>
        <sz val="10"/>
        <color rgb="FF1F2A28"/>
        <rFont val="WenQuanYi Zen Hei"/>
        <family val="2"/>
      </rPr>
      <t xml:space="preserve">桃園區中正路</t>
    </r>
    <r>
      <rPr>
        <sz val="10"/>
        <color rgb="FF1F2A28"/>
        <rFont val="Arial"/>
        <family val="0"/>
        <charset val="1"/>
      </rPr>
      <t xml:space="preserve">720</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</si>
  <si>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(03)3580758</t>
  </si>
  <si>
    <t xml:space="preserve">2025-04-17</t>
  </si>
  <si>
    <t xml:space="preserve">私立明冠語文文理短期補習班</t>
  </si>
  <si>
    <r>
      <rPr>
        <sz val="10"/>
        <color rgb="FF1F2A28"/>
        <rFont val="WenQuanYi Zen Hei"/>
        <family val="2"/>
      </rPr>
      <t xml:space="preserve">桃園區忠</t>
    </r>
    <r>
      <rPr>
        <sz val="10"/>
        <color rgb="FF1F2A28"/>
        <rFont val="Arial"/>
        <family val="0"/>
        <charset val="1"/>
      </rPr>
      <t xml:space="preserve">2</t>
    </r>
    <r>
      <rPr>
        <sz val="10"/>
        <color rgb="FF1F2A28"/>
        <rFont val="WenQuanYi Zen Hei"/>
        <family val="2"/>
      </rPr>
      <t xml:space="preserve">路</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</si>
  <si>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(03)3356877 3356958</t>
  </si>
  <si>
    <t xml:space="preserve">a0952296921@gmail.com</t>
  </si>
  <si>
    <t xml:space="preserve">2002-08-02</t>
  </si>
  <si>
    <t xml:space="preserve">黃凡維</t>
  </si>
  <si>
    <t xml:space="preserve">黃紫泓</t>
  </si>
  <si>
    <t xml:space="preserve">私立晉儒語文數學短期補習班</t>
  </si>
  <si>
    <r>
      <rPr>
        <sz val="10"/>
        <color rgb="FF1F2A28"/>
        <rFont val="WenQuanYi Zen Hei"/>
        <family val="2"/>
      </rPr>
      <t xml:space="preserve">桃園區延平路</t>
    </r>
    <r>
      <rPr>
        <sz val="10"/>
        <color rgb="FF1F2A28"/>
        <rFont val="Arial"/>
        <family val="0"/>
        <charset val="1"/>
      </rPr>
      <t xml:space="preserve">210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</si>
  <si>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(03)3665066</t>
  </si>
  <si>
    <t xml:space="preserve">amy.konwen@gmail.com</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</si>
  <si>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高級班</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初級班</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中級班</t>
    </r>
    <r>
      <rPr>
        <sz val="10"/>
        <color rgb="FF1F2A28"/>
        <rFont val="Arial"/>
        <family val="0"/>
        <charset val="1"/>
      </rPr>
      <t xml:space="preserve">)</t>
    </r>
  </si>
  <si>
    <t xml:space="preserve">2020-10-23</t>
  </si>
  <si>
    <t xml:space="preserve">賴岑姍</t>
  </si>
  <si>
    <t xml:space="preserve">私立普林斯頓語文數學短期補習班</t>
  </si>
  <si>
    <r>
      <rPr>
        <sz val="10"/>
        <color rgb="FF1F2A28"/>
        <rFont val="WenQuanYi Zen Hei"/>
        <family val="2"/>
      </rPr>
      <t xml:space="preserve">桃園區國際路一段</t>
    </r>
    <r>
      <rPr>
        <sz val="10"/>
        <color rgb="FF1F2A28"/>
        <rFont val="Arial"/>
        <family val="0"/>
        <charset val="1"/>
      </rPr>
      <t xml:space="preserve">1095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</si>
  <si>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(03)3705382</t>
  </si>
  <si>
    <t xml:space="preserve">Princeton3705382@gmail.com</t>
  </si>
  <si>
    <t xml:space="preserve">2015-04-28</t>
  </si>
  <si>
    <t xml:space="preserve">黃建興</t>
  </si>
  <si>
    <t xml:space="preserve">私立智墨文理短期補習班</t>
  </si>
  <si>
    <r>
      <rPr>
        <sz val="10"/>
        <color rgb="FF1F2A28"/>
        <rFont val="WenQuanYi Zen Hei"/>
        <family val="2"/>
      </rPr>
      <t xml:space="preserve">桃園區文中路</t>
    </r>
    <r>
      <rPr>
        <sz val="10"/>
        <color rgb="FF1F2A28"/>
        <rFont val="Arial"/>
        <family val="0"/>
        <charset val="1"/>
      </rPr>
      <t xml:space="preserve">133</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</si>
  <si>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(03)2170037</t>
  </si>
  <si>
    <t xml:space="preserve">2023-07-25</t>
  </si>
  <si>
    <t xml:space="preserve">林思旻</t>
  </si>
  <si>
    <r>
      <rPr>
        <sz val="10"/>
        <color rgb="FF1F2A28"/>
        <rFont val="WenQuanYi Zen Hei"/>
        <family val="2"/>
      </rPr>
      <t xml:space="preserve">桃園區自強路</t>
    </r>
    <r>
      <rPr>
        <sz val="10"/>
        <color rgb="FF1F2A28"/>
        <rFont val="Arial"/>
        <family val="0"/>
        <charset val="1"/>
      </rPr>
      <t xml:space="preserve">77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</si>
  <si>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(03)3311155</t>
  </si>
  <si>
    <t xml:space="preserve">私立書藝美術語文短期補習班</t>
  </si>
  <si>
    <r>
      <rPr>
        <sz val="10"/>
        <color rgb="FF1F2A28"/>
        <rFont val="WenQuanYi Zen Hei"/>
        <family val="2"/>
      </rPr>
      <t xml:space="preserve">桃園區同安街</t>
    </r>
    <r>
      <rPr>
        <sz val="10"/>
        <color rgb="FF1F2A28"/>
        <rFont val="Arial"/>
        <family val="0"/>
        <charset val="1"/>
      </rPr>
      <t xml:space="preserve">27</t>
    </r>
    <r>
      <rPr>
        <sz val="10"/>
        <color rgb="FF1F2A28"/>
        <rFont val="WenQuanYi Zen Hei"/>
        <family val="2"/>
      </rPr>
      <t xml:space="preserve">、</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</si>
  <si>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(03)3560825</t>
  </si>
  <si>
    <t xml:space="preserve">sweet.vivien@msa.hinet.net</t>
  </si>
  <si>
    <t xml:space="preserve">曾己芳</t>
  </si>
  <si>
    <t xml:space="preserve">私立李勳數學文理短期補習班</t>
  </si>
  <si>
    <r>
      <rPr>
        <sz val="10"/>
        <color rgb="FF1F2A28"/>
        <rFont val="WenQuanYi Zen Hei"/>
        <family val="2"/>
      </rPr>
      <t xml:space="preserve">桃園區龍安街</t>
    </r>
    <r>
      <rPr>
        <sz val="10"/>
        <color rgb="FF1F2A28"/>
        <rFont val="Arial"/>
        <family val="0"/>
        <charset val="1"/>
      </rPr>
      <t xml:space="preserve">112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118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</si>
  <si>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(03)3441133</t>
  </si>
  <si>
    <t xml:space="preserve">lisyun.m@gmail.com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</si>
  <si>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國英數自</t>
    </r>
    <r>
      <rPr>
        <sz val="10"/>
        <color rgb="FF1F2A28"/>
        <rFont val="Arial"/>
        <family val="0"/>
        <charset val="1"/>
      </rPr>
      <t xml:space="preserve">)</t>
    </r>
  </si>
  <si>
    <t xml:space="preserve">2014-02-21</t>
  </si>
  <si>
    <t xml:space="preserve">俞貴榕</t>
  </si>
  <si>
    <t xml:space="preserve">私立李紹陽文理語文短期補習班</t>
  </si>
  <si>
    <r>
      <rPr>
        <sz val="10"/>
        <color rgb="FF1F2A28"/>
        <rFont val="WenQuanYi Zen Hei"/>
        <family val="2"/>
      </rPr>
      <t xml:space="preserve">桃園區育樂街</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3-6</t>
    </r>
    <r>
      <rPr>
        <sz val="10"/>
        <color rgb="FF1F2A28"/>
        <rFont val="WenQuanYi Zen Hei"/>
        <family val="2"/>
      </rPr>
      <t xml:space="preserve">樓</t>
    </r>
  </si>
  <si>
    <t xml:space="preserve">(03)3367333</t>
  </si>
  <si>
    <t xml:space="preserve">readwrite.sylee@gmail.com</t>
  </si>
  <si>
    <t xml:space="preserve">李怡樂</t>
  </si>
  <si>
    <t xml:space="preserve">黃美慧</t>
  </si>
  <si>
    <t xml:space="preserve">私立李紹陽文理語文短期補習班中正分班</t>
  </si>
  <si>
    <r>
      <rPr>
        <sz val="10"/>
        <color rgb="FF1F2A28"/>
        <rFont val="WenQuanYi Zen Hei"/>
        <family val="2"/>
      </rPr>
      <t xml:space="preserve">桃園區大興西路一段</t>
    </r>
    <r>
      <rPr>
        <sz val="10"/>
        <color rgb="FF1F2A28"/>
        <rFont val="Arial"/>
        <family val="0"/>
        <charset val="1"/>
      </rPr>
      <t xml:space="preserve">161</t>
    </r>
    <r>
      <rPr>
        <sz val="10"/>
        <color rgb="FF1F2A28"/>
        <rFont val="WenQuanYi Zen Hei"/>
        <family val="2"/>
      </rPr>
      <t xml:space="preserve">號</t>
    </r>
    <r>
      <rPr>
        <sz val="10"/>
        <color rgb="FF1F2A28"/>
        <rFont val="Arial"/>
        <family val="0"/>
        <charset val="1"/>
      </rPr>
      <t xml:space="preserve">2-5</t>
    </r>
    <r>
      <rPr>
        <sz val="10"/>
        <color rgb="FF1F2A28"/>
        <rFont val="WenQuanYi Zen Hei"/>
        <family val="2"/>
      </rPr>
      <t xml:space="preserve">樓</t>
    </r>
  </si>
  <si>
    <t xml:space="preserve">(03)3569886</t>
  </si>
  <si>
    <r>
      <rPr>
        <sz val="10"/>
        <color rgb="FF1F2A28"/>
        <rFont val="WenQuanYi Zen Hei"/>
        <family val="2"/>
      </rPr>
      <t xml:space="preserve">國中文理科</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、高中文理科</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、美語</t>
    </r>
  </si>
  <si>
    <t xml:space="preserve">林易臻</t>
  </si>
  <si>
    <t xml:space="preserve">私立李紹陽文理語文短期補習班升大學站前分班</t>
  </si>
  <si>
    <r>
      <rPr>
        <sz val="10"/>
        <color rgb="FF1F2A28"/>
        <rFont val="WenQuanYi Zen Hei"/>
        <family val="2"/>
      </rPr>
      <t xml:space="preserve">桃園區復興路</t>
    </r>
    <r>
      <rPr>
        <sz val="10"/>
        <color rgb="FF1F2A28"/>
        <rFont val="Arial"/>
        <family val="0"/>
        <charset val="1"/>
      </rPr>
      <t xml:space="preserve">110</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</si>
  <si>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(03)334-8555</t>
  </si>
  <si>
    <r>
      <rPr>
        <sz val="10"/>
        <color rgb="FF1F2A28"/>
        <rFont val="WenQuanYi Zen Hei"/>
        <family val="2"/>
      </rPr>
      <t xml:space="preserve">高一文理</t>
    </r>
    <r>
      <rPr>
        <sz val="10"/>
        <color rgb="FF1F2A28"/>
        <rFont val="Arial"/>
        <family val="0"/>
        <charset val="1"/>
      </rPr>
      <t xml:space="preserve">(</t>
    </r>
    <r>
      <rPr>
        <sz val="10"/>
        <color rgb="FF1F2A28"/>
        <rFont val="WenQuanYi Zen Hei"/>
        <family val="2"/>
      </rPr>
      <t xml:space="preserve">國、英、數、理化、社會</t>
    </r>
    <r>
      <rPr>
        <sz val="10"/>
        <color rgb="FF1F2A28"/>
        <rFont val="Arial"/>
        <family val="0"/>
        <charset val="1"/>
      </rPr>
      <t xml:space="preserve">)</t>
    </r>
    <r>
      <rPr>
        <sz val="10"/>
        <color rgb="FF1F2A28"/>
        <rFont val="WenQuanYi Zen Hei"/>
        <family val="2"/>
      </rPr>
      <t xml:space="preserve">、文理自然組</t>
    </r>
    <r>
      <rPr>
        <sz val="10"/>
        <color rgb="FF1F2A28"/>
        <rFont val="Arial"/>
        <family val="0"/>
        <charset val="1"/>
      </rPr>
      <t xml:space="preserve">(</t>
    </r>
    <r>
      <rPr>
        <sz val="10"/>
        <color rgb="FF1F2A28"/>
        <rFont val="WenQuanYi Zen Hei"/>
        <family val="2"/>
      </rPr>
      <t xml:space="preserve">國、英、數、理化</t>
    </r>
    <r>
      <rPr>
        <sz val="10"/>
        <color rgb="FF1F2A28"/>
        <rFont val="Arial"/>
        <family val="0"/>
        <charset val="1"/>
      </rPr>
      <t xml:space="preserve">)</t>
    </r>
    <r>
      <rPr>
        <sz val="10"/>
        <color rgb="FF1F2A28"/>
        <rFont val="WenQuanYi Zen Hei"/>
        <family val="2"/>
      </rPr>
      <t xml:space="preserve">、文理社會組</t>
    </r>
    <r>
      <rPr>
        <sz val="10"/>
        <color rgb="FF1F2A28"/>
        <rFont val="Arial"/>
        <family val="0"/>
        <charset val="1"/>
      </rPr>
      <t xml:space="preserve">(</t>
    </r>
    <r>
      <rPr>
        <sz val="10"/>
        <color rgb="FF1F2A28"/>
        <rFont val="WenQuanYi Zen Hei"/>
        <family val="2"/>
      </rPr>
      <t xml:space="preserve">國、英、數、社會</t>
    </r>
    <r>
      <rPr>
        <sz val="10"/>
        <color rgb="FF1F2A28"/>
        <rFont val="Arial"/>
        <family val="0"/>
        <charset val="1"/>
      </rPr>
      <t xml:space="preserve">)</t>
    </r>
  </si>
  <si>
    <t xml:space="preserve">2011-04-18</t>
  </si>
  <si>
    <t xml:space="preserve">莊嘉豪</t>
  </si>
  <si>
    <t xml:space="preserve">私立李紹陽文理語文短期補習班同德分班</t>
  </si>
  <si>
    <r>
      <rPr>
        <sz val="10"/>
        <color rgb="FF1F2A28"/>
        <rFont val="WenQuanYi Zen Hei"/>
        <family val="2"/>
      </rPr>
      <t xml:space="preserve">桃園區永安北路</t>
    </r>
    <r>
      <rPr>
        <sz val="10"/>
        <color rgb="FF1F2A28"/>
        <rFont val="Arial"/>
        <family val="0"/>
        <charset val="1"/>
      </rPr>
      <t xml:space="preserve">280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</si>
  <si>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(03)3586222</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</si>
  <si>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國英數理</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國英數生</t>
    </r>
    <r>
      <rPr>
        <sz val="10"/>
        <color rgb="FF1F2A28"/>
        <rFont val="Arial"/>
        <family val="0"/>
        <charset val="1"/>
      </rPr>
      <t xml:space="preserve">)</t>
    </r>
  </si>
  <si>
    <t xml:space="preserve">劉美芳</t>
  </si>
  <si>
    <t xml:space="preserve">私立李紹陽西門文理短期補習班</t>
  </si>
  <si>
    <r>
      <rPr>
        <sz val="10"/>
        <color rgb="FF1F2A28"/>
        <rFont val="WenQuanYi Zen Hei"/>
        <family val="2"/>
      </rPr>
      <t xml:space="preserve">桃園區中山路</t>
    </r>
    <r>
      <rPr>
        <sz val="10"/>
        <color rgb="FF1F2A28"/>
        <rFont val="Arial"/>
        <family val="0"/>
        <charset val="1"/>
      </rPr>
      <t xml:space="preserve">382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</si>
  <si>
    <t xml:space="preserve">2022-09-26</t>
  </si>
  <si>
    <t xml:space="preserve">林靖秧</t>
  </si>
  <si>
    <t xml:space="preserve">私立東區美語珠心算短期補習班</t>
  </si>
  <si>
    <r>
      <rPr>
        <sz val="10"/>
        <color rgb="FF1F2A28"/>
        <rFont val="WenQuanYi Zen Hei"/>
        <family val="2"/>
      </rPr>
      <t xml:space="preserve">桃園區桃二街</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</si>
  <si>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0911880152</t>
  </si>
  <si>
    <t xml:space="preserve">ss1939s@gmail.com</t>
  </si>
  <si>
    <t xml:space="preserve">2000-08-03</t>
  </si>
  <si>
    <t xml:space="preserve">鍾捷如</t>
  </si>
  <si>
    <t xml:space="preserve">私立柏喬美語短期補習班</t>
  </si>
  <si>
    <r>
      <rPr>
        <sz val="10"/>
        <color rgb="FF1F2A28"/>
        <rFont val="WenQuanYi Zen Hei"/>
        <family val="2"/>
      </rPr>
      <t xml:space="preserve">桃園區吉昌街</t>
    </r>
    <r>
      <rPr>
        <sz val="10"/>
        <color rgb="FF1F2A28"/>
        <rFont val="Arial"/>
        <family val="0"/>
        <charset val="1"/>
      </rPr>
      <t xml:space="preserve">214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</si>
  <si>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(03)3921957</t>
  </si>
  <si>
    <t xml:space="preserve">2008-02-18</t>
  </si>
  <si>
    <t xml:space="preserve">樂汝珊</t>
  </si>
  <si>
    <t xml:space="preserve">樂啟聖</t>
  </si>
  <si>
    <r>
      <rPr>
        <sz val="10"/>
        <color rgb="FF1F2A28"/>
        <rFont val="WenQuanYi Zen Hei"/>
        <family val="2"/>
      </rPr>
      <t xml:space="preserve">桃園區龍安街</t>
    </r>
    <r>
      <rPr>
        <sz val="10"/>
        <color rgb="FF1F2A28"/>
        <rFont val="Arial"/>
        <family val="0"/>
        <charset val="1"/>
      </rPr>
      <t xml:space="preserve">119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</si>
  <si>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(03)3786458</t>
  </si>
  <si>
    <t xml:space="preserve">私立楷育文理短期補習班</t>
  </si>
  <si>
    <r>
      <rPr>
        <sz val="10"/>
        <color rgb="FF1F2A28"/>
        <rFont val="WenQuanYi Zen Hei"/>
        <family val="2"/>
      </rPr>
      <t xml:space="preserve">桃園區宏昌六街</t>
    </r>
    <r>
      <rPr>
        <sz val="10"/>
        <color rgb="FF1F2A28"/>
        <rFont val="Arial"/>
        <family val="0"/>
        <charset val="1"/>
      </rPr>
      <t xml:space="preserve">296</t>
    </r>
    <r>
      <rPr>
        <sz val="10"/>
        <color rgb="FF1F2A28"/>
        <rFont val="WenQuanYi Zen Hei"/>
        <family val="2"/>
      </rPr>
      <t xml:space="preserve">、</t>
    </r>
    <r>
      <rPr>
        <sz val="10"/>
        <color rgb="FF1F2A28"/>
        <rFont val="Arial"/>
        <family val="0"/>
        <charset val="1"/>
      </rPr>
      <t xml:space="preserve">298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</si>
  <si>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(03)2205068</t>
  </si>
  <si>
    <t xml:space="preserve">KaiChiu.work@gmail.com</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</si>
  <si>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基礎</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進階</t>
    </r>
    <r>
      <rPr>
        <sz val="10"/>
        <color rgb="FF1F2A28"/>
        <rFont val="Arial"/>
        <family val="0"/>
        <charset val="1"/>
      </rPr>
      <t xml:space="preserve">)</t>
    </r>
  </si>
  <si>
    <t xml:space="preserve">劉怡靜</t>
  </si>
  <si>
    <t xml:space="preserve">私立樂倪文理短期補習班</t>
  </si>
  <si>
    <r>
      <rPr>
        <sz val="10"/>
        <color rgb="FF1F2A28"/>
        <rFont val="WenQuanYi Zen Hei"/>
        <family val="2"/>
      </rPr>
      <t xml:space="preserve">桃園區文中一路</t>
    </r>
    <r>
      <rPr>
        <sz val="10"/>
        <color rgb="FF1F2A28"/>
        <rFont val="Arial"/>
        <family val="0"/>
        <charset val="1"/>
      </rPr>
      <t xml:space="preserve">88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</si>
  <si>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(03)2172868</t>
  </si>
  <si>
    <t xml:space="preserve">becky81520@gmail.com</t>
  </si>
  <si>
    <t xml:space="preserve">2025-03-06</t>
  </si>
  <si>
    <t xml:space="preserve">楊舒媚</t>
  </si>
  <si>
    <r>
      <rPr>
        <sz val="10"/>
        <color rgb="FF1F2A28"/>
        <rFont val="WenQuanYi Zen Hei"/>
        <family val="2"/>
      </rPr>
      <t xml:space="preserve">桃園區莊敬路一段</t>
    </r>
    <r>
      <rPr>
        <sz val="10"/>
        <color rgb="FF1F2A28"/>
        <rFont val="Arial"/>
        <family val="0"/>
        <charset val="1"/>
      </rPr>
      <t xml:space="preserve">187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</si>
  <si>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(03)3161791</t>
  </si>
  <si>
    <t xml:space="preserve">私立樂生活美語短期補習班</t>
  </si>
  <si>
    <r>
      <rPr>
        <sz val="10"/>
        <color rgb="FF1F2A28"/>
        <rFont val="WenQuanYi Zen Hei"/>
        <family val="2"/>
      </rPr>
      <t xml:space="preserve">桃園區新埔八街</t>
    </r>
    <r>
      <rPr>
        <sz val="10"/>
        <color rgb="FF1F2A28"/>
        <rFont val="Arial"/>
        <family val="0"/>
        <charset val="1"/>
      </rPr>
      <t xml:space="preserve">97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</si>
  <si>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(03)3587809</t>
  </si>
  <si>
    <t xml:space="preserve">happylandenglish@gmail.com</t>
  </si>
  <si>
    <t xml:space="preserve">江竹玲</t>
  </si>
  <si>
    <t xml:space="preserve">私立橙久文理技藝短期補習班</t>
  </si>
  <si>
    <r>
      <rPr>
        <sz val="10"/>
        <color rgb="FF1F2A28"/>
        <rFont val="WenQuanYi Zen Hei"/>
        <family val="2"/>
      </rPr>
      <t xml:space="preserve">桃園區大連二街</t>
    </r>
    <r>
      <rPr>
        <sz val="10"/>
        <color rgb="FF1F2A28"/>
        <rFont val="Arial"/>
        <family val="0"/>
        <charset val="1"/>
      </rPr>
      <t xml:space="preserve">166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180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</si>
  <si>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(03)317-9008</t>
  </si>
  <si>
    <t xml:space="preserve">keikociou325@gmail.com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</si>
  <si>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科、美語</t>
    </r>
  </si>
  <si>
    <t xml:space="preserve">2023-11-08</t>
  </si>
  <si>
    <t xml:space="preserve">温雙卉</t>
  </si>
  <si>
    <t xml:space="preserve">郭佳雯</t>
  </si>
  <si>
    <t xml:space="preserve">私立欣華英語會話短期補習班</t>
  </si>
  <si>
    <r>
      <rPr>
        <sz val="10"/>
        <color rgb="FF1F2A28"/>
        <rFont val="WenQuanYi Zen Hei"/>
        <family val="2"/>
      </rPr>
      <t xml:space="preserve">桃園區三民路三段</t>
    </r>
    <r>
      <rPr>
        <sz val="10"/>
        <color rgb="FF1F2A28"/>
        <rFont val="Arial"/>
        <family val="0"/>
        <charset val="1"/>
      </rPr>
      <t xml:space="preserve">237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</si>
  <si>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(03)3328971</t>
  </si>
  <si>
    <t xml:space="preserve">1996-10-18</t>
  </si>
  <si>
    <t xml:space="preserve">陳惠怡</t>
  </si>
  <si>
    <t xml:space="preserve">私立正見文理語文短期補習班</t>
  </si>
  <si>
    <r>
      <rPr>
        <sz val="10"/>
        <color rgb="FF1F2A28"/>
        <rFont val="WenQuanYi Zen Hei"/>
        <family val="2"/>
      </rPr>
      <t xml:space="preserve">桃園區吉昌街</t>
    </r>
    <r>
      <rPr>
        <sz val="10"/>
        <color rgb="FF1F2A28"/>
        <rFont val="Arial"/>
        <family val="0"/>
        <charset val="1"/>
      </rPr>
      <t xml:space="preserve">206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</si>
  <si>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(03)3606618</t>
  </si>
  <si>
    <t xml:space="preserve">tact.taoyuan50@gmail.com</t>
  </si>
  <si>
    <r>
      <rPr>
        <sz val="10"/>
        <color rgb="FF1F2A28"/>
        <rFont val="WenQuanYi Zen Hei"/>
        <family val="2"/>
      </rPr>
      <t xml:space="preserve">文理科高中</t>
    </r>
    <r>
      <rPr>
        <sz val="10"/>
        <color rgb="FF1F2A28"/>
        <rFont val="Arial"/>
        <family val="0"/>
        <charset val="1"/>
      </rPr>
      <t xml:space="preserve">A</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國、英、數、理</t>
    </r>
    <r>
      <rPr>
        <sz val="10"/>
        <color rgb="FF1F2A28"/>
        <rFont val="Arial"/>
        <family val="0"/>
        <charset val="1"/>
      </rPr>
      <t xml:space="preserve">)</t>
    </r>
    <r>
      <rPr>
        <sz val="10"/>
        <color rgb="FF1F2A28"/>
        <rFont val="WenQuanYi Zen Hei"/>
        <family val="2"/>
      </rPr>
      <t xml:space="preserve">、文理科國中</t>
    </r>
    <r>
      <rPr>
        <sz val="10"/>
        <color rgb="FF1F2A28"/>
        <rFont val="Arial"/>
        <family val="0"/>
        <charset val="1"/>
      </rPr>
      <t xml:space="preserve">B</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國、英、數、理</t>
    </r>
    <r>
      <rPr>
        <sz val="10"/>
        <color rgb="FF1F2A28"/>
        <rFont val="Arial"/>
        <family val="0"/>
        <charset val="1"/>
      </rPr>
      <t xml:space="preserve">)</t>
    </r>
    <r>
      <rPr>
        <sz val="10"/>
        <color rgb="FF1F2A28"/>
        <rFont val="WenQuanYi Zen Hei"/>
        <family val="2"/>
      </rPr>
      <t xml:space="preserve">、美語</t>
    </r>
  </si>
  <si>
    <t xml:space="preserve">2015-01-20</t>
  </si>
  <si>
    <t xml:space="preserve">蔡畯霖</t>
  </si>
  <si>
    <t xml:space="preserve">私立永學語文數學短期補習班</t>
  </si>
  <si>
    <r>
      <rPr>
        <sz val="10"/>
        <color rgb="FF1F2A28"/>
        <rFont val="WenQuanYi Zen Hei"/>
        <family val="2"/>
      </rPr>
      <t xml:space="preserve">桃園區明德街</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</si>
  <si>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(03)3026919</t>
  </si>
  <si>
    <t xml:space="preserve">henzx0906@gmail.com</t>
  </si>
  <si>
    <t xml:space="preserve">2021-09-10</t>
  </si>
  <si>
    <t xml:space="preserve">卓翰生</t>
  </si>
  <si>
    <t xml:space="preserve">私立永旭美語短期補習班</t>
  </si>
  <si>
    <r>
      <rPr>
        <sz val="10"/>
        <color rgb="FF1F2A28"/>
        <rFont val="WenQuanYi Zen Hei"/>
        <family val="2"/>
      </rPr>
      <t xml:space="preserve">桃園區國際路一段</t>
    </r>
    <r>
      <rPr>
        <sz val="10"/>
        <color rgb="FF1F2A28"/>
        <rFont val="Arial"/>
        <family val="0"/>
        <charset val="1"/>
      </rPr>
      <t xml:space="preserve">1083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</si>
  <si>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(03)360-3099</t>
  </si>
  <si>
    <t xml:space="preserve">hotairballoon888@gmail.com</t>
  </si>
  <si>
    <t xml:space="preserve">高玉貞</t>
  </si>
  <si>
    <t xml:space="preserve">私立永祥美語短期補習班</t>
  </si>
  <si>
    <r>
      <rPr>
        <sz val="10"/>
        <color rgb="FF1F2A28"/>
        <rFont val="WenQuanYi Zen Hei"/>
        <family val="2"/>
      </rPr>
      <t xml:space="preserve">桃園區中正三街</t>
    </r>
    <r>
      <rPr>
        <sz val="10"/>
        <color rgb="FF1F2A28"/>
        <rFont val="Arial"/>
        <family val="0"/>
        <charset val="1"/>
      </rPr>
      <t xml:space="preserve">270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</si>
  <si>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(03)3326809</t>
  </si>
  <si>
    <t xml:space="preserve">hs1040@hess.com.tw</t>
  </si>
  <si>
    <t xml:space="preserve">2000-12-28</t>
  </si>
  <si>
    <t xml:space="preserve">郭淑娟</t>
  </si>
  <si>
    <t xml:space="preserve">李詩乾</t>
  </si>
  <si>
    <t xml:space="preserve">私立洛荋得美語短期補習班</t>
  </si>
  <si>
    <r>
      <rPr>
        <sz val="10"/>
        <color rgb="FF1F2A28"/>
        <rFont val="WenQuanYi Zen Hei"/>
        <family val="2"/>
      </rPr>
      <t xml:space="preserve">桃園區莊一街</t>
    </r>
    <r>
      <rPr>
        <sz val="10"/>
        <color rgb="FF1F2A28"/>
        <rFont val="Arial"/>
        <family val="0"/>
        <charset val="1"/>
      </rPr>
      <t xml:space="preserve">180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</si>
  <si>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(03)2151336</t>
  </si>
  <si>
    <t xml:space="preserve">terriym985@gmail.com</t>
  </si>
  <si>
    <t xml:space="preserve">樓于嫚</t>
  </si>
  <si>
    <t xml:space="preserve">私立津橋美語短期補習班</t>
  </si>
  <si>
    <r>
      <rPr>
        <sz val="10"/>
        <color rgb="FF1F2A28"/>
        <rFont val="WenQuanYi Zen Hei"/>
        <family val="2"/>
      </rPr>
      <t xml:space="preserve">桃園區民有東路</t>
    </r>
    <r>
      <rPr>
        <sz val="10"/>
        <color rgb="FF1F2A28"/>
        <rFont val="Arial"/>
        <family val="0"/>
        <charset val="1"/>
      </rPr>
      <t xml:space="preserve">1</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</si>
  <si>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325-9969</t>
  </si>
  <si>
    <t xml:space="preserve">camschool_t@yahoo.com.tw</t>
  </si>
  <si>
    <t xml:space="preserve">2014-02-25</t>
  </si>
  <si>
    <t xml:space="preserve">李英美</t>
  </si>
  <si>
    <t xml:space="preserve">私立浩克英語文理短期補習班</t>
  </si>
  <si>
    <r>
      <rPr>
        <sz val="10"/>
        <color rgb="FF1F2A28"/>
        <rFont val="WenQuanYi Zen Hei"/>
        <family val="2"/>
      </rPr>
      <t xml:space="preserve">桃園區大業路一段</t>
    </r>
    <r>
      <rPr>
        <sz val="10"/>
        <color rgb="FF1F2A28"/>
        <rFont val="Arial"/>
        <family val="0"/>
        <charset val="1"/>
      </rPr>
      <t xml:space="preserve">279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</si>
  <si>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(03)3560639</t>
  </si>
  <si>
    <t xml:space="preserve">zhiweisteam@gmail.com</t>
  </si>
  <si>
    <t xml:space="preserve">2026-04-24</t>
  </si>
  <si>
    <t xml:space="preserve">施鴻祥</t>
  </si>
  <si>
    <t xml:space="preserve">沈靖庭</t>
  </si>
  <si>
    <t xml:space="preserve">私立温老師文理數學美語短期補習班</t>
  </si>
  <si>
    <r>
      <rPr>
        <sz val="10"/>
        <color rgb="FF1F2A28"/>
        <rFont val="WenQuanYi Zen Hei"/>
        <family val="2"/>
      </rPr>
      <t xml:space="preserve">桃園區中山北路</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93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</si>
  <si>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(03)3339593</t>
  </si>
  <si>
    <t xml:space="preserve">英文、數學、自然、國文、美語</t>
  </si>
  <si>
    <t xml:space="preserve">2004-06-08</t>
  </si>
  <si>
    <t xml:space="preserve">温佩霓</t>
  </si>
  <si>
    <t xml:space="preserve">温佩珊</t>
  </si>
  <si>
    <t xml:space="preserve">私立溫暖小樹文理短期補習班</t>
  </si>
  <si>
    <r>
      <rPr>
        <sz val="10"/>
        <color rgb="FF1F2A28"/>
        <rFont val="WenQuanYi Zen Hei"/>
        <family val="2"/>
      </rPr>
      <t xml:space="preserve">桃園區經國路</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2</t>
    </r>
  </si>
  <si>
    <t xml:space="preserve">(03)3575820</t>
  </si>
  <si>
    <t xml:space="preserve">cctiffany0617@gmail.com</t>
  </si>
  <si>
    <t xml:space="preserve">2025-06-25</t>
  </si>
  <si>
    <t xml:space="preserve">邱鈺瑾</t>
  </si>
  <si>
    <t xml:space="preserve">私立潘達語文文理短期補習班</t>
  </si>
  <si>
    <r>
      <rPr>
        <sz val="10"/>
        <color rgb="FF1F2A28"/>
        <rFont val="WenQuanYi Zen Hei"/>
        <family val="2"/>
      </rPr>
      <t xml:space="preserve">桃園區永順街</t>
    </r>
    <r>
      <rPr>
        <sz val="10"/>
        <color rgb="FF1F2A28"/>
        <rFont val="Arial"/>
        <family val="0"/>
        <charset val="1"/>
      </rPr>
      <t xml:space="preserve">95</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</si>
  <si>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(03)3020356</t>
  </si>
  <si>
    <t xml:space="preserve">pandaschool113@gmail.com</t>
  </si>
  <si>
    <t xml:space="preserve">2014-09-19</t>
  </si>
  <si>
    <t xml:space="preserve">潘怡辰</t>
  </si>
  <si>
    <r>
      <rPr>
        <sz val="10"/>
        <color rgb="FF1F2A28"/>
        <rFont val="WenQuanYi Zen Hei"/>
        <family val="2"/>
      </rPr>
      <t xml:space="preserve">桃園區龍泉六街</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</si>
  <si>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(03)3709247</t>
  </si>
  <si>
    <t xml:space="preserve">私立理捷英文短期補習班</t>
  </si>
  <si>
    <r>
      <rPr>
        <sz val="10"/>
        <color rgb="FF1F2A28"/>
        <rFont val="WenQuanYi Zen Hei"/>
        <family val="2"/>
      </rPr>
      <t xml:space="preserve">桃園區南豐街</t>
    </r>
    <r>
      <rPr>
        <sz val="10"/>
        <color rgb="FF1F2A28"/>
        <rFont val="Arial"/>
        <family val="0"/>
        <charset val="1"/>
      </rPr>
      <t xml:space="preserve">245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</si>
  <si>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(03)3711008</t>
  </si>
  <si>
    <t xml:space="preserve">lejetenglish@gmail.com</t>
  </si>
  <si>
    <r>
      <rPr>
        <sz val="10"/>
        <color rgb="FF1F2A28"/>
        <rFont val="WenQuanYi Zen Hei"/>
        <family val="2"/>
      </rPr>
      <t xml:space="preserve">英語</t>
    </r>
    <r>
      <rPr>
        <sz val="10"/>
        <color rgb="FF1F2A28"/>
        <rFont val="Arial"/>
        <family val="0"/>
        <charset val="1"/>
      </rPr>
      <t xml:space="preserve">(</t>
    </r>
    <r>
      <rPr>
        <sz val="10"/>
        <color rgb="FF1F2A28"/>
        <rFont val="WenQuanYi Zen Hei"/>
        <family val="2"/>
      </rPr>
      <t xml:space="preserve">進階</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r>
      <rPr>
        <sz val="10"/>
        <color rgb="FF1F2A28"/>
        <rFont val="WenQuanYi Zen Hei"/>
        <family val="2"/>
      </rPr>
      <t xml:space="preserve">精修</t>
    </r>
    <r>
      <rPr>
        <sz val="10"/>
        <color rgb="FF1F2A28"/>
        <rFont val="Arial"/>
        <family val="0"/>
        <charset val="1"/>
      </rPr>
      <t xml:space="preserve">)</t>
    </r>
  </si>
  <si>
    <t xml:space="preserve">2019-10-15</t>
  </si>
  <si>
    <t xml:space="preserve">張馥蘭</t>
  </si>
  <si>
    <t xml:space="preserve">私立琢思文理語文數學短期補習班</t>
  </si>
  <si>
    <r>
      <rPr>
        <sz val="10"/>
        <color rgb="FF1F2A28"/>
        <rFont val="WenQuanYi Zen Hei"/>
        <family val="2"/>
      </rPr>
      <t xml:space="preserve">桃園區宏昌七街</t>
    </r>
    <r>
      <rPr>
        <sz val="10"/>
        <color rgb="FF1F2A28"/>
        <rFont val="Arial"/>
        <family val="0"/>
        <charset val="1"/>
      </rPr>
      <t xml:space="preserve">83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</si>
  <si>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(03)2203536</t>
  </si>
  <si>
    <t xml:space="preserve">orchid41095@gmail.com</t>
  </si>
  <si>
    <t xml:space="preserve">2015-05-01</t>
  </si>
  <si>
    <t xml:space="preserve">戴杰明</t>
  </si>
  <si>
    <t xml:space="preserve">管佈雲</t>
  </si>
  <si>
    <t xml:space="preserve">私立瑋人文理數學語文短期補習班</t>
  </si>
  <si>
    <r>
      <rPr>
        <sz val="10"/>
        <color rgb="FF1F2A28"/>
        <rFont val="WenQuanYi Zen Hei"/>
        <family val="2"/>
      </rPr>
      <t xml:space="preserve">桃園區中平路</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2</t>
    </r>
  </si>
  <si>
    <t xml:space="preserve">(03)2288456</t>
  </si>
  <si>
    <t xml:space="preserve">kuopapasunshine1418@gmail.com</t>
  </si>
  <si>
    <t xml:space="preserve">2002-01-07</t>
  </si>
  <si>
    <t xml:space="preserve">郭恩魁</t>
  </si>
  <si>
    <t xml:space="preserve">私立瑞汀美語短期補習班</t>
  </si>
  <si>
    <r>
      <rPr>
        <sz val="10"/>
        <color rgb="FF1F2A28"/>
        <rFont val="WenQuanYi Zen Hei"/>
        <family val="2"/>
      </rPr>
      <t xml:space="preserve">桃園區南平路</t>
    </r>
    <r>
      <rPr>
        <sz val="10"/>
        <color rgb="FF1F2A28"/>
        <rFont val="Arial"/>
        <family val="0"/>
        <charset val="1"/>
      </rPr>
      <t xml:space="preserve">423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</si>
  <si>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(03)3151172</t>
  </si>
  <si>
    <t xml:space="preserve">stellayangg@hotmail.com</t>
  </si>
  <si>
    <t xml:space="preserve">2009-12-07</t>
  </si>
  <si>
    <t xml:space="preserve">陳渾林</t>
  </si>
  <si>
    <t xml:space="preserve">蔣玉萍</t>
  </si>
  <si>
    <t xml:space="preserve">私立瑪利歐英語短期補習班</t>
  </si>
  <si>
    <r>
      <rPr>
        <sz val="10"/>
        <color rgb="FF1F2A28"/>
        <rFont val="WenQuanYi Zen Hei"/>
        <family val="2"/>
      </rPr>
      <t xml:space="preserve">桃園區大有路</t>
    </r>
    <r>
      <rPr>
        <sz val="10"/>
        <color rgb="FF1F2A28"/>
        <rFont val="Arial"/>
        <family val="0"/>
        <charset val="1"/>
      </rPr>
      <t xml:space="preserve">300</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</si>
  <si>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(03)3163328</t>
  </si>
  <si>
    <t xml:space="preserve">2010-09-07</t>
  </si>
  <si>
    <t xml:space="preserve">王韻雅</t>
  </si>
  <si>
    <t xml:space="preserve">私立皇家貝爾文理語文數學短期補習班</t>
  </si>
  <si>
    <r>
      <rPr>
        <sz val="10"/>
        <color rgb="FF1F2A28"/>
        <rFont val="WenQuanYi Zen Hei"/>
        <family val="2"/>
      </rPr>
      <t xml:space="preserve">桃園區樹林七街</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</si>
  <si>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(03)3630301</t>
  </si>
  <si>
    <t xml:space="preserve">royal.bear106@msa.himet.net</t>
  </si>
  <si>
    <t xml:space="preserve">2017-05-01</t>
  </si>
  <si>
    <t xml:space="preserve">蔡幸芳</t>
  </si>
  <si>
    <t xml:space="preserve">陳姿玲</t>
  </si>
  <si>
    <t xml:space="preserve">私立福克斯文理短期補習班小檜溪分班</t>
  </si>
  <si>
    <r>
      <rPr>
        <sz val="10"/>
        <color rgb="FF1F2A28"/>
        <rFont val="WenQuanYi Zen Hei"/>
        <family val="2"/>
      </rPr>
      <t xml:space="preserve">桃園區中央街</t>
    </r>
    <r>
      <rPr>
        <sz val="10"/>
        <color rgb="FF1F2A28"/>
        <rFont val="Arial"/>
        <family val="0"/>
        <charset val="1"/>
      </rPr>
      <t xml:space="preserve">519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521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</si>
  <si>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(03)3380906</t>
  </si>
  <si>
    <r>
      <rPr>
        <sz val="10"/>
        <color rgb="FF1F2A28"/>
        <rFont val="WenQuanYi Zen Hei"/>
        <family val="2"/>
      </rPr>
      <t xml:space="preserve">混齡美語科、國中文理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科、美語</t>
    </r>
  </si>
  <si>
    <t xml:space="preserve">2025-10-09</t>
  </si>
  <si>
    <t xml:space="preserve">任仲夫</t>
  </si>
  <si>
    <t xml:space="preserve">私立福華英語會話短期補習班</t>
  </si>
  <si>
    <r>
      <rPr>
        <sz val="10"/>
        <color rgb="FF1F2A28"/>
        <rFont val="WenQuanYi Zen Hei"/>
        <family val="2"/>
      </rPr>
      <t xml:space="preserve">桃園區坤成街</t>
    </r>
    <r>
      <rPr>
        <sz val="10"/>
        <color rgb="FF1F2A28"/>
        <rFont val="Arial"/>
        <family val="0"/>
        <charset val="1"/>
      </rPr>
      <t xml:space="preserve">57</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</si>
  <si>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(03)3569218</t>
  </si>
  <si>
    <t xml:space="preserve">frobel_a2@yahoo.com.tw</t>
  </si>
  <si>
    <t xml:space="preserve">1999-07-19</t>
  </si>
  <si>
    <t xml:space="preserve">楊筌詒</t>
  </si>
  <si>
    <t xml:space="preserve">私立福豐喬豐文理數學語文短期補習班</t>
  </si>
  <si>
    <r>
      <rPr>
        <sz val="10"/>
        <color rgb="FF1F2A28"/>
        <rFont val="WenQuanYi Zen Hei"/>
        <family val="2"/>
      </rPr>
      <t xml:space="preserve">桃園區延平路</t>
    </r>
    <r>
      <rPr>
        <sz val="10"/>
        <color rgb="FF1F2A28"/>
        <rFont val="Arial"/>
        <family val="0"/>
        <charset val="1"/>
      </rPr>
      <t xml:space="preserve">217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</si>
  <si>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(03)3615151</t>
  </si>
  <si>
    <t xml:space="preserve">2011-11-16</t>
  </si>
  <si>
    <t xml:space="preserve">洪儀君</t>
  </si>
  <si>
    <t xml:space="preserve">私立科恩美語短期補習班</t>
  </si>
  <si>
    <r>
      <rPr>
        <sz val="10"/>
        <color rgb="FF1F2A28"/>
        <rFont val="WenQuanYi Zen Hei"/>
        <family val="2"/>
      </rPr>
      <t xml:space="preserve">桃園區國豐六街</t>
    </r>
    <r>
      <rPr>
        <sz val="10"/>
        <color rgb="FF1F2A28"/>
        <rFont val="Arial"/>
        <family val="0"/>
        <charset val="1"/>
      </rPr>
      <t xml:space="preserve">71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</si>
  <si>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0958645886</t>
  </si>
  <si>
    <t xml:space="preserve">katy56888@gmail.com</t>
  </si>
  <si>
    <t xml:space="preserve">2004-09-06</t>
  </si>
  <si>
    <t xml:space="preserve">陳佩芳</t>
  </si>
  <si>
    <t xml:space="preserve">私立立德菁英語文數學短期補習班</t>
  </si>
  <si>
    <r>
      <rPr>
        <sz val="10"/>
        <color rgb="FF1F2A28"/>
        <rFont val="WenQuanYi Zen Hei"/>
        <family val="2"/>
      </rPr>
      <t xml:space="preserve">桃園區龍鳳三街</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1F</t>
    </r>
  </si>
  <si>
    <t xml:space="preserve">(03)3700111</t>
  </si>
  <si>
    <t xml:space="preserve">jordanlongan42@yahoo.com.tw</t>
  </si>
  <si>
    <t xml:space="preserve">2016-05-10</t>
  </si>
  <si>
    <t xml:space="preserve">陳明祥</t>
  </si>
  <si>
    <t xml:space="preserve">私立立維文理語文短期補習班</t>
  </si>
  <si>
    <r>
      <rPr>
        <sz val="10"/>
        <color rgb="FF1F2A28"/>
        <rFont val="WenQuanYi Zen Hei"/>
        <family val="2"/>
      </rPr>
      <t xml:space="preserve">桃園區大豐路</t>
    </r>
    <r>
      <rPr>
        <sz val="10"/>
        <color rgb="FF1F2A28"/>
        <rFont val="Arial"/>
        <family val="0"/>
        <charset val="1"/>
      </rPr>
      <t xml:space="preserve">97</t>
    </r>
    <r>
      <rPr>
        <sz val="10"/>
        <color rgb="FF1F2A28"/>
        <rFont val="WenQuanYi Zen Hei"/>
        <family val="2"/>
      </rPr>
      <t xml:space="preserve">號及</t>
    </r>
    <r>
      <rPr>
        <sz val="10"/>
        <color rgb="FF1F2A28"/>
        <rFont val="Arial"/>
        <family val="0"/>
        <charset val="1"/>
      </rPr>
      <t xml:space="preserve">97-1</t>
    </r>
    <r>
      <rPr>
        <sz val="10"/>
        <color rgb="FF1F2A28"/>
        <rFont val="WenQuanYi Zen Hei"/>
        <family val="2"/>
      </rPr>
      <t xml:space="preserve">號</t>
    </r>
  </si>
  <si>
    <t xml:space="preserve">(03)2188711</t>
  </si>
  <si>
    <t xml:space="preserve">poni1815@yahoo.com.tw</t>
  </si>
  <si>
    <t xml:space="preserve">2019-11-15</t>
  </si>
  <si>
    <t xml:space="preserve">蔡儒賢</t>
  </si>
  <si>
    <t xml:space="preserve">杜虹君</t>
  </si>
  <si>
    <t xml:space="preserve">私立立育文理語文短期補習班</t>
  </si>
  <si>
    <r>
      <rPr>
        <sz val="10"/>
        <color rgb="FF1F2A28"/>
        <rFont val="WenQuanYi Zen Hei"/>
        <family val="2"/>
      </rPr>
      <t xml:space="preserve">桃園區南平路</t>
    </r>
    <r>
      <rPr>
        <sz val="10"/>
        <color rgb="FF1F2A28"/>
        <rFont val="Arial"/>
        <family val="0"/>
        <charset val="1"/>
      </rPr>
      <t xml:space="preserve">502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</si>
  <si>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(03)3168150</t>
  </si>
  <si>
    <t xml:space="preserve">anita19990211@yahoo.com.tw</t>
  </si>
  <si>
    <t xml:space="preserve">2009-01-19</t>
  </si>
  <si>
    <t xml:space="preserve">鍾易余</t>
  </si>
  <si>
    <t xml:space="preserve">私立立進電腦美語文理短期補習班</t>
  </si>
  <si>
    <r>
      <rPr>
        <sz val="10"/>
        <color rgb="FF1F2A28"/>
        <rFont val="WenQuanYi Zen Hei"/>
        <family val="2"/>
      </rPr>
      <t xml:space="preserve">桃園區同安街</t>
    </r>
    <r>
      <rPr>
        <sz val="10"/>
        <color rgb="FF1F2A28"/>
        <rFont val="Arial"/>
        <family val="0"/>
        <charset val="1"/>
      </rPr>
      <t xml:space="preserve">550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</si>
  <si>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(03)3570003</t>
  </si>
  <si>
    <t xml:space="preserve">rubytungan@gmail.com</t>
  </si>
  <si>
    <t xml:space="preserve">李朝文</t>
  </si>
  <si>
    <t xml:space="preserve">陳紫瑄</t>
  </si>
  <si>
    <t xml:space="preserve">私立童欣文理技藝短期補習班</t>
  </si>
  <si>
    <r>
      <rPr>
        <sz val="10"/>
        <color rgb="FF1F2A28"/>
        <rFont val="WenQuanYi Zen Hei"/>
        <family val="2"/>
      </rPr>
      <t xml:space="preserve">桃園區同安街</t>
    </r>
    <r>
      <rPr>
        <sz val="10"/>
        <color rgb="FF1F2A28"/>
        <rFont val="Arial"/>
        <family val="0"/>
        <charset val="1"/>
      </rPr>
      <t xml:space="preserve">39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</si>
  <si>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(03)3575553</t>
  </si>
  <si>
    <t xml:space="preserve">ox886@yahoo.com.tw</t>
  </si>
  <si>
    <r>
      <rPr>
        <sz val="10"/>
        <color rgb="FF1F2A28"/>
        <rFont val="WenQuanYi Zen Hei"/>
        <family val="2"/>
      </rPr>
      <t xml:space="preserve">文理科</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</si>
  <si>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其他類</t>
    </r>
  </si>
  <si>
    <t xml:space="preserve">盧盈君</t>
  </si>
  <si>
    <t xml:space="preserve">朱欣儀</t>
  </si>
  <si>
    <t xml:space="preserve">私立精緻語文短期補習班</t>
  </si>
  <si>
    <r>
      <rPr>
        <sz val="10"/>
        <color rgb="FF1F2A28"/>
        <rFont val="WenQuanYi Zen Hei"/>
        <family val="2"/>
      </rPr>
      <t xml:space="preserve">桃園區館後一街</t>
    </r>
    <r>
      <rPr>
        <sz val="10"/>
        <color rgb="FF1F2A28"/>
        <rFont val="Arial"/>
        <family val="0"/>
        <charset val="1"/>
      </rPr>
      <t xml:space="preserve">10</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</si>
  <si>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(03)3326752</t>
  </si>
  <si>
    <t xml:space="preserve">ab612020ab20@yahoo.com.tw</t>
  </si>
  <si>
    <t xml:space="preserve">2010-09-06</t>
  </si>
  <si>
    <t xml:space="preserve">楊士佳</t>
  </si>
  <si>
    <t xml:space="preserve">私立約瑟芬美語短期補習班</t>
  </si>
  <si>
    <t xml:space="preserve">桃園區民光東路二七○號一樓及夾層</t>
  </si>
  <si>
    <t xml:space="preserve">(03)3350530 3173652</t>
  </si>
  <si>
    <t xml:space="preserve">t0918329587@gmail.com</t>
  </si>
  <si>
    <t xml:space="preserve">2000-02-17</t>
  </si>
  <si>
    <t xml:space="preserve">陳詩屏</t>
  </si>
  <si>
    <t xml:space="preserve">曾明崑</t>
  </si>
  <si>
    <t xml:space="preserve">私立總部奧斯汀美語文理短期補習班</t>
  </si>
  <si>
    <r>
      <rPr>
        <sz val="10"/>
        <color rgb="FF1F2A28"/>
        <rFont val="WenQuanYi Zen Hei"/>
        <family val="2"/>
      </rPr>
      <t xml:space="preserve">桃園區大業路二段</t>
    </r>
    <r>
      <rPr>
        <sz val="10"/>
        <color rgb="FF1F2A28"/>
        <rFont val="Arial"/>
        <family val="0"/>
        <charset val="1"/>
      </rPr>
      <t xml:space="preserve">155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</si>
  <si>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(03)3579529</t>
  </si>
  <si>
    <t xml:space="preserve">edodoriswang@gmail.com</t>
  </si>
  <si>
    <t xml:space="preserve">2014-12-25</t>
  </si>
  <si>
    <t xml:space="preserve">王怡兜</t>
  </si>
  <si>
    <t xml:space="preserve">私立翰樺文理短期補習班</t>
  </si>
  <si>
    <r>
      <rPr>
        <sz val="10"/>
        <color rgb="FF1F2A28"/>
        <rFont val="WenQuanYi Zen Hei"/>
        <family val="2"/>
      </rPr>
      <t xml:space="preserve">桃園區復興路</t>
    </r>
    <r>
      <rPr>
        <sz val="10"/>
        <color rgb="FF1F2A28"/>
        <rFont val="Arial"/>
        <family val="0"/>
        <charset val="1"/>
      </rPr>
      <t xml:space="preserve">317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</si>
  <si>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(03)3392612</t>
  </si>
  <si>
    <t xml:space="preserve">kev670417@yahoo.com.tw</t>
  </si>
  <si>
    <t xml:space="preserve">2002-11-13</t>
  </si>
  <si>
    <t xml:space="preserve">唐英凱</t>
  </si>
  <si>
    <t xml:space="preserve">私立育全文理短期補習班</t>
  </si>
  <si>
    <r>
      <rPr>
        <sz val="10"/>
        <color rgb="FF1F2A28"/>
        <rFont val="WenQuanYi Zen Hei"/>
        <family val="2"/>
      </rPr>
      <t xml:space="preserve">桃園區寶慶路</t>
    </r>
    <r>
      <rPr>
        <sz val="10"/>
        <color rgb="FF1F2A28"/>
        <rFont val="Arial"/>
        <family val="0"/>
        <charset val="1"/>
      </rPr>
      <t xml:space="preserve">498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</si>
  <si>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(03)3018781</t>
  </si>
  <si>
    <t xml:space="preserve">yuck7181@yahoo.com.tw</t>
  </si>
  <si>
    <r>
      <rPr>
        <sz val="10"/>
        <color rgb="FF1F2A28"/>
        <rFont val="WenQuanYi Zen Hei"/>
        <family val="2"/>
      </rPr>
      <t xml:space="preserve">文理</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英文、作文、數學</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C</t>
    </r>
    <r>
      <rPr>
        <sz val="10"/>
        <color rgb="FF1F2A28"/>
        <rFont val="WenQuanYi Zen Hei"/>
        <family val="2"/>
      </rPr>
      <t xml:space="preserve">、</t>
    </r>
    <r>
      <rPr>
        <sz val="10"/>
        <color rgb="FF1F2A28"/>
        <rFont val="Arial"/>
        <family val="0"/>
        <charset val="1"/>
      </rPr>
      <t xml:space="preserve">D(</t>
    </r>
    <r>
      <rPr>
        <sz val="10"/>
        <color rgb="FF1F2A28"/>
        <rFont val="WenQuanYi Zen Hei"/>
        <family val="2"/>
      </rPr>
      <t xml:space="preserve">英文、作文、數學</t>
    </r>
    <r>
      <rPr>
        <sz val="10"/>
        <color rgb="FF1F2A28"/>
        <rFont val="Arial"/>
        <family val="0"/>
        <charset val="1"/>
      </rPr>
      <t xml:space="preserve">)</t>
    </r>
  </si>
  <si>
    <t xml:space="preserve">2018-09-06</t>
  </si>
  <si>
    <t xml:space="preserve">張進偉</t>
  </si>
  <si>
    <t xml:space="preserve">徐向純</t>
  </si>
  <si>
    <t xml:space="preserve">私立育昇文理數學美語自然短期補習班</t>
  </si>
  <si>
    <r>
      <rPr>
        <sz val="10"/>
        <color rgb="FF1F2A28"/>
        <rFont val="WenQuanYi Zen Hei"/>
        <family val="2"/>
      </rPr>
      <t xml:space="preserve">桃園區陽明</t>
    </r>
    <r>
      <rPr>
        <sz val="10"/>
        <color rgb="FF1F2A28"/>
        <rFont val="Arial"/>
        <family val="0"/>
        <charset val="1"/>
      </rPr>
      <t xml:space="preserve">9</t>
    </r>
    <r>
      <rPr>
        <sz val="10"/>
        <color rgb="FF1F2A28"/>
        <rFont val="WenQuanYi Zen Hei"/>
        <family val="2"/>
      </rPr>
      <t xml:space="preserve">街</t>
    </r>
    <r>
      <rPr>
        <sz val="10"/>
        <color rgb="FF1F2A28"/>
        <rFont val="Arial"/>
        <family val="0"/>
        <charset val="1"/>
      </rPr>
      <t xml:space="preserve">45</t>
    </r>
    <r>
      <rPr>
        <sz val="10"/>
        <color rgb="FF1F2A28"/>
        <rFont val="WenQuanYi Zen Hei"/>
        <family val="2"/>
      </rPr>
      <t xml:space="preserve">號及</t>
    </r>
    <r>
      <rPr>
        <sz val="10"/>
        <color rgb="FF1F2A28"/>
        <rFont val="Arial"/>
        <family val="0"/>
        <charset val="1"/>
      </rPr>
      <t xml:space="preserve">47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43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</si>
  <si>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(03)3645050</t>
  </si>
  <si>
    <t xml:space="preserve">ys3645050@yahoo.com.tw</t>
  </si>
  <si>
    <t xml:space="preserve">2001-12-06</t>
  </si>
  <si>
    <t xml:space="preserve">陳信宇</t>
  </si>
  <si>
    <t xml:space="preserve">私立育華語文文理數學短期補習班</t>
  </si>
  <si>
    <r>
      <rPr>
        <sz val="10"/>
        <color rgb="FF1F2A28"/>
        <rFont val="WenQuanYi Zen Hei"/>
        <family val="2"/>
      </rPr>
      <t xml:space="preserve">桃園區昆明路</t>
    </r>
    <r>
      <rPr>
        <sz val="10"/>
        <color rgb="FF1F2A28"/>
        <rFont val="Arial"/>
        <family val="0"/>
        <charset val="1"/>
      </rPr>
      <t xml:space="preserve">138</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</si>
  <si>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(03)3674566</t>
  </si>
  <si>
    <t xml:space="preserve">stevencorinna33@gmail.com</t>
  </si>
  <si>
    <t xml:space="preserve">1998-09-22</t>
  </si>
  <si>
    <t xml:space="preserve">葉美鈴</t>
  </si>
  <si>
    <t xml:space="preserve">私立興人數學文理語文短期補習班</t>
  </si>
  <si>
    <r>
      <rPr>
        <sz val="10"/>
        <color rgb="FF1F2A28"/>
        <rFont val="WenQuanYi Zen Hei"/>
        <family val="2"/>
      </rPr>
      <t xml:space="preserve">桃園區中山東路</t>
    </r>
    <r>
      <rPr>
        <sz val="10"/>
        <color rgb="FF1F2A28"/>
        <rFont val="Arial"/>
        <family val="0"/>
        <charset val="1"/>
      </rPr>
      <t xml:space="preserve">173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</si>
  <si>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(03)3315450</t>
  </si>
  <si>
    <t xml:space="preserve">smart03110710@yahoo.com.tw</t>
  </si>
  <si>
    <t xml:space="preserve">2015-05-27</t>
  </si>
  <si>
    <t xml:space="preserve">黃筠婷</t>
  </si>
  <si>
    <t xml:space="preserve">林文傑</t>
  </si>
  <si>
    <t xml:space="preserve">私立興儒數學語文文理短期補習班市府分班</t>
  </si>
  <si>
    <r>
      <rPr>
        <sz val="10"/>
        <color rgb="FF1F2A28"/>
        <rFont val="WenQuanYi Zen Hei"/>
        <family val="2"/>
      </rPr>
      <t xml:space="preserve">桃園區復興路</t>
    </r>
    <r>
      <rPr>
        <sz val="10"/>
        <color rgb="FF1F2A28"/>
        <rFont val="Arial"/>
        <family val="0"/>
        <charset val="1"/>
      </rPr>
      <t xml:space="preserve">445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445</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</si>
  <si>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033349333</t>
  </si>
  <si>
    <r>
      <rPr>
        <sz val="10"/>
        <color rgb="FF1F2A28"/>
        <rFont val="WenQuanYi Zen Hei"/>
        <family val="2"/>
      </rPr>
      <t xml:space="preserve">高中文理科</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、國中文理科</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、美語</t>
    </r>
  </si>
  <si>
    <t xml:space="preserve">2020-04-14</t>
  </si>
  <si>
    <t xml:space="preserve">張永承</t>
  </si>
  <si>
    <t xml:space="preserve">私立興儒文理短期補習班大有分班</t>
  </si>
  <si>
    <r>
      <rPr>
        <sz val="10"/>
        <color rgb="FF1F2A28"/>
        <rFont val="WenQuanYi Zen Hei"/>
        <family val="2"/>
      </rPr>
      <t xml:space="preserve">桃園區大業路一段</t>
    </r>
    <r>
      <rPr>
        <sz val="10"/>
        <color rgb="FF1F2A28"/>
        <rFont val="Arial"/>
        <family val="0"/>
        <charset val="1"/>
      </rPr>
      <t xml:space="preserve">316-3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316-6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</si>
  <si>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(03)3587700</t>
  </si>
  <si>
    <t xml:space="preserve">dyhsinru@gmail.com</t>
  </si>
  <si>
    <t xml:space="preserve">2025-08-19</t>
  </si>
  <si>
    <t xml:space="preserve">卓欣諺</t>
  </si>
  <si>
    <t xml:space="preserve">私立興儒文理短期補習班市府二分班</t>
  </si>
  <si>
    <r>
      <rPr>
        <sz val="10"/>
        <color rgb="FF1F2A28"/>
        <rFont val="WenQuanYi Zen Hei"/>
        <family val="2"/>
      </rPr>
      <t xml:space="preserve">桃園區復興路</t>
    </r>
    <r>
      <rPr>
        <sz val="10"/>
        <color rgb="FF1F2A28"/>
        <rFont val="Arial"/>
        <family val="0"/>
        <charset val="1"/>
      </rPr>
      <t xml:space="preserve">393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</si>
  <si>
    <t xml:space="preserve">(03)3349333</t>
  </si>
  <si>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科</t>
    </r>
  </si>
  <si>
    <t xml:space="preserve">劉致吟</t>
  </si>
  <si>
    <t xml:space="preserve">私立興儒文理短期補習班藝文分班</t>
  </si>
  <si>
    <r>
      <rPr>
        <sz val="10"/>
        <color rgb="FF1F2A28"/>
        <rFont val="WenQuanYi Zen Hei"/>
        <family val="2"/>
      </rPr>
      <t xml:space="preserve">桃園區大興西路一段</t>
    </r>
    <r>
      <rPr>
        <sz val="10"/>
        <color rgb="FF1F2A28"/>
        <rFont val="Arial"/>
        <family val="0"/>
        <charset val="1"/>
      </rPr>
      <t xml:space="preserve">218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220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</si>
  <si>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(03)2717322</t>
  </si>
  <si>
    <t xml:space="preserve">hsinru.yiwen@gmail.com</t>
  </si>
  <si>
    <r>
      <rPr>
        <sz val="10"/>
        <color rgb="FF1F2A28"/>
        <rFont val="WenQuanYi Zen Hei"/>
        <family val="2"/>
      </rPr>
      <t xml:space="preserve">美語、高中文理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科、國中文理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科</t>
    </r>
  </si>
  <si>
    <t xml:space="preserve">陳茵慈</t>
  </si>
  <si>
    <t xml:space="preserve">私立艾蜜絲美語短期補習班</t>
  </si>
  <si>
    <r>
      <rPr>
        <sz val="10"/>
        <color rgb="FF1F2A28"/>
        <rFont val="WenQuanYi Zen Hei"/>
        <family val="2"/>
      </rPr>
      <t xml:space="preserve">桃園區吉昌街</t>
    </r>
    <r>
      <rPr>
        <sz val="10"/>
        <color rgb="FF1F2A28"/>
        <rFont val="Arial"/>
        <family val="0"/>
        <charset val="1"/>
      </rPr>
      <t xml:space="preserve">106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t>
    </r>
    <r>
      <rPr>
        <sz val="10"/>
        <color rgb="FF1F2A28"/>
        <rFont val="Arial"/>
        <family val="0"/>
        <charset val="1"/>
      </rPr>
      <t xml:space="preserve">108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</si>
  <si>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(03)-2207005</t>
  </si>
  <si>
    <t xml:space="preserve">amysenglishstudio@yahoo.com.tw</t>
  </si>
  <si>
    <t xml:space="preserve">楊惠瑜</t>
  </si>
  <si>
    <t xml:space="preserve">私立芙西爾美語文理短期補習班</t>
  </si>
  <si>
    <r>
      <rPr>
        <sz val="10"/>
        <color rgb="FF1F2A28"/>
        <rFont val="WenQuanYi Zen Hei"/>
        <family val="2"/>
      </rPr>
      <t xml:space="preserve">桃園區龍泉</t>
    </r>
    <r>
      <rPr>
        <sz val="10"/>
        <color rgb="FF1F2A28"/>
        <rFont val="Arial"/>
        <family val="0"/>
        <charset val="1"/>
      </rPr>
      <t xml:space="preserve">5</t>
    </r>
    <r>
      <rPr>
        <sz val="10"/>
        <color rgb="FF1F2A28"/>
        <rFont val="WenQuanYi Zen Hei"/>
        <family val="2"/>
      </rPr>
      <t xml:space="preserve">街</t>
    </r>
    <r>
      <rPr>
        <sz val="10"/>
        <color rgb="FF1F2A28"/>
        <rFont val="Arial"/>
        <family val="0"/>
        <charset val="1"/>
      </rPr>
      <t xml:space="preserve">88</t>
    </r>
    <r>
      <rPr>
        <sz val="10"/>
        <color rgb="FF1F2A28"/>
        <rFont val="WenQuanYi Zen Hei"/>
        <family val="2"/>
      </rPr>
      <t xml:space="preserve">及</t>
    </r>
    <r>
      <rPr>
        <sz val="10"/>
        <color rgb="FF1F2A28"/>
        <rFont val="Arial"/>
        <family val="0"/>
        <charset val="1"/>
      </rPr>
      <t xml:space="preserve">90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</si>
  <si>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(03)3786059</t>
  </si>
  <si>
    <t xml:space="preserve">a0935187226@gmail.com</t>
  </si>
  <si>
    <t xml:space="preserve">黃志紅</t>
  </si>
  <si>
    <t xml:space="preserve">陳嘉霖</t>
  </si>
  <si>
    <t xml:space="preserve">私立芸瀚文理短期補習班</t>
  </si>
  <si>
    <r>
      <rPr>
        <sz val="10"/>
        <color rgb="FF1F2A28"/>
        <rFont val="WenQuanYi Zen Hei"/>
        <family val="2"/>
      </rPr>
      <t xml:space="preserve">桃園區延平路</t>
    </r>
    <r>
      <rPr>
        <sz val="10"/>
        <color rgb="FF1F2A28"/>
        <rFont val="Arial"/>
        <family val="0"/>
        <charset val="1"/>
      </rPr>
      <t xml:space="preserve">102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</si>
  <si>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(03)3752242</t>
  </si>
  <si>
    <t xml:space="preserve">yhen102102102@gmail.com</t>
  </si>
  <si>
    <t xml:space="preserve">2003-02-06</t>
  </si>
  <si>
    <t xml:space="preserve">陳穎欣</t>
  </si>
  <si>
    <t xml:space="preserve">私立英之奇美語文理短期補習班</t>
  </si>
  <si>
    <r>
      <rPr>
        <sz val="10"/>
        <color rgb="FF1F2A28"/>
        <rFont val="WenQuanYi Zen Hei"/>
        <family val="2"/>
      </rPr>
      <t xml:space="preserve">桃園區南平路</t>
    </r>
    <r>
      <rPr>
        <sz val="10"/>
        <color rgb="FF1F2A28"/>
        <rFont val="Arial"/>
        <family val="0"/>
        <charset val="1"/>
      </rPr>
      <t xml:space="preserve">421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</si>
  <si>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(03)3580888</t>
  </si>
  <si>
    <t xml:space="preserve">English.legends.tyc@gmail.com</t>
  </si>
  <si>
    <t xml:space="preserve">2004-01-16</t>
  </si>
  <si>
    <t xml:space="preserve">陳泰安</t>
  </si>
  <si>
    <t xml:space="preserve">私立英加語文數學短期補習班</t>
  </si>
  <si>
    <r>
      <rPr>
        <sz val="10"/>
        <color rgb="FF1F2A28"/>
        <rFont val="WenQuanYi Zen Hei"/>
        <family val="2"/>
      </rPr>
      <t xml:space="preserve">桃園區大有路</t>
    </r>
    <r>
      <rPr>
        <sz val="10"/>
        <color rgb="FF1F2A28"/>
        <rFont val="Arial"/>
        <family val="0"/>
        <charset val="1"/>
      </rPr>
      <t xml:space="preserve">511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</si>
  <si>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(03)326-1111</t>
  </si>
  <si>
    <t xml:space="preserve">frances.yang@seed.net.com</t>
  </si>
  <si>
    <t xml:space="preserve">英語高級、英語中級、英語初級</t>
  </si>
  <si>
    <t xml:space="preserve">2012-03-29</t>
  </si>
  <si>
    <t xml:space="preserve">楊淑芳</t>
  </si>
  <si>
    <t xml:space="preserve">高治文</t>
  </si>
  <si>
    <t xml:space="preserve">私立英學文理短期補習班</t>
  </si>
  <si>
    <r>
      <rPr>
        <sz val="10"/>
        <color rgb="FF1F2A28"/>
        <rFont val="WenQuanYi Zen Hei"/>
        <family val="2"/>
      </rPr>
      <t xml:space="preserve">桃園區延平路</t>
    </r>
    <r>
      <rPr>
        <sz val="10"/>
        <color rgb="FF1F2A28"/>
        <rFont val="Arial"/>
        <family val="0"/>
        <charset val="1"/>
      </rPr>
      <t xml:space="preserve">228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樓及樹林五街</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</si>
  <si>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(03)3777722</t>
  </si>
  <si>
    <t xml:space="preserve">a0928874506@gmail.com</t>
  </si>
  <si>
    <t xml:space="preserve">2005-12-21</t>
  </si>
  <si>
    <t xml:space="preserve">呂欣浩</t>
  </si>
  <si>
    <t xml:space="preserve">私立莘苗文理短期補習班</t>
  </si>
  <si>
    <r>
      <rPr>
        <sz val="10"/>
        <color rgb="FF1F2A28"/>
        <rFont val="WenQuanYi Zen Hei"/>
        <family val="2"/>
      </rPr>
      <t xml:space="preserve">桃園區泰昌八街</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</si>
  <si>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(03)2289855</t>
  </si>
  <si>
    <t xml:space="preserve">starseedling112@gmail.com</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</si>
  <si>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初階</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t>
    </r>
    <r>
      <rPr>
        <sz val="10"/>
        <color rgb="FF1F2A28"/>
        <rFont val="WenQuanYi Zen Hei"/>
        <family val="2"/>
      </rPr>
      <t xml:space="preserve">進階</t>
    </r>
    <r>
      <rPr>
        <sz val="10"/>
        <color rgb="FF1F2A28"/>
        <rFont val="Arial"/>
        <family val="0"/>
        <charset val="1"/>
      </rPr>
      <t xml:space="preserve">)</t>
    </r>
    <r>
      <rPr>
        <sz val="10"/>
        <color rgb="FF1F2A28"/>
        <rFont val="WenQuanYi Zen Hei"/>
        <family val="2"/>
      </rPr>
      <t xml:space="preserve">科、文理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r>
      <rPr>
        <sz val="10"/>
        <color rgb="FF1F2A28"/>
        <rFont val="WenQuanYi Zen Hei"/>
        <family val="2"/>
      </rPr>
      <t xml:space="preserve">科</t>
    </r>
  </si>
  <si>
    <t xml:space="preserve">王雯倩</t>
  </si>
  <si>
    <t xml:space="preserve">私立菓子文理技藝短期補習班</t>
  </si>
  <si>
    <r>
      <rPr>
        <sz val="10"/>
        <color rgb="FF1F2A28"/>
        <rFont val="WenQuanYi Zen Hei"/>
        <family val="2"/>
      </rPr>
      <t xml:space="preserve">桃園區桃二街</t>
    </r>
    <r>
      <rPr>
        <sz val="10"/>
        <color rgb="FF1F2A28"/>
        <rFont val="Arial"/>
        <family val="0"/>
        <charset val="1"/>
      </rPr>
      <t xml:space="preserve">58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</si>
  <si>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0937600129</t>
  </si>
  <si>
    <t xml:space="preserve">chloesu0419@gmail.com</t>
  </si>
  <si>
    <t xml:space="preserve">美語、美語會話</t>
  </si>
  <si>
    <t xml:space="preserve">2026-07-31</t>
  </si>
  <si>
    <t xml:space="preserve">蘇盈如</t>
  </si>
  <si>
    <t xml:space="preserve">私立華府語文短期補習班</t>
  </si>
  <si>
    <r>
      <rPr>
        <sz val="10"/>
        <color rgb="FF1F2A28"/>
        <rFont val="WenQuanYi Zen Hei"/>
        <family val="2"/>
      </rPr>
      <t xml:space="preserve">桃園區新埔六街</t>
    </r>
    <r>
      <rPr>
        <sz val="10"/>
        <color rgb="FF1F2A28"/>
        <rFont val="Arial"/>
        <family val="0"/>
        <charset val="1"/>
      </rPr>
      <t xml:space="preserve">77</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樓之</t>
    </r>
    <r>
      <rPr>
        <sz val="10"/>
        <color rgb="FF1F2A28"/>
        <rFont val="Arial"/>
        <family val="0"/>
        <charset val="1"/>
      </rPr>
      <t xml:space="preserve">1</t>
    </r>
  </si>
  <si>
    <t xml:space="preserve">(03)3167786</t>
  </si>
  <si>
    <t xml:space="preserve">dclangcc@gmail.com</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</si>
  <si>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多益</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基礎</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托福</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文法寫作</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中級</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高級</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雅思</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英檢</t>
    </r>
    <r>
      <rPr>
        <sz val="10"/>
        <color rgb="FF1F2A28"/>
        <rFont val="Arial"/>
        <family val="0"/>
        <charset val="1"/>
      </rPr>
      <t xml:space="preserve">)</t>
    </r>
  </si>
  <si>
    <t xml:space="preserve">2018-07-30</t>
  </si>
  <si>
    <t xml:space="preserve">陳宜鶴</t>
  </si>
  <si>
    <t xml:space="preserve">私立華葳美語短期補習班</t>
  </si>
  <si>
    <r>
      <rPr>
        <sz val="10"/>
        <color rgb="FF1F2A28"/>
        <rFont val="WenQuanYi Zen Hei"/>
        <family val="2"/>
      </rPr>
      <t xml:space="preserve">桃園區經國路</t>
    </r>
    <r>
      <rPr>
        <sz val="10"/>
        <color rgb="FF1F2A28"/>
        <rFont val="Arial"/>
        <family val="0"/>
        <charset val="1"/>
      </rPr>
      <t xml:space="preserve">525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</si>
  <si>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(03)3580805</t>
  </si>
  <si>
    <t xml:space="preserve">dawsontu@hotmail.com</t>
  </si>
  <si>
    <t xml:space="preserve">張復山</t>
  </si>
  <si>
    <t xml:space="preserve">私立萊恩英語短期補習班</t>
  </si>
  <si>
    <r>
      <rPr>
        <sz val="10"/>
        <color rgb="FF1F2A28"/>
        <rFont val="WenQuanYi Zen Hei"/>
        <family val="2"/>
      </rPr>
      <t xml:space="preserve">桃園區大業路一段</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</si>
  <si>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(03)3574385</t>
  </si>
  <si>
    <t xml:space="preserve">1999-08-23</t>
  </si>
  <si>
    <t xml:space="preserve">何筱雯</t>
  </si>
  <si>
    <t xml:space="preserve">張芷瑄</t>
  </si>
  <si>
    <t xml:space="preserve">私立葛洛莉英語短期補習班武陵分班</t>
  </si>
  <si>
    <r>
      <rPr>
        <sz val="10"/>
        <color rgb="FF1F2A28"/>
        <rFont val="WenQuanYi Zen Hei"/>
        <family val="2"/>
      </rPr>
      <t xml:space="preserve">桃園區泰昌十一街</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含</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4</t>
    </r>
    <r>
      <rPr>
        <sz val="10"/>
        <color rgb="FF1F2A28"/>
        <rFont val="WenQuanYi Zen Hei"/>
        <family val="2"/>
      </rPr>
      <t xml:space="preserve">樓夾層</t>
    </r>
    <r>
      <rPr>
        <sz val="10"/>
        <color rgb="FF1F2A28"/>
        <rFont val="Arial"/>
        <family val="0"/>
        <charset val="1"/>
      </rPr>
      <t xml:space="preserve">)</t>
    </r>
  </si>
  <si>
    <t xml:space="preserve">私立藝文美語短期補習班</t>
  </si>
  <si>
    <r>
      <rPr>
        <sz val="10"/>
        <color rgb="FF1F2A28"/>
        <rFont val="WenQuanYi Zen Hei"/>
        <family val="2"/>
      </rPr>
      <t xml:space="preserve">桃園區新埔八街</t>
    </r>
    <r>
      <rPr>
        <sz val="10"/>
        <color rgb="FF1F2A28"/>
        <rFont val="Arial"/>
        <family val="0"/>
        <charset val="1"/>
      </rPr>
      <t xml:space="preserve">85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</si>
  <si>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(03)3171706</t>
  </si>
  <si>
    <t xml:space="preserve">s926405@mail.yzu.edu.tw</t>
  </si>
  <si>
    <t xml:space="preserve">2010-11-23</t>
  </si>
  <si>
    <t xml:space="preserve">黃白琪</t>
  </si>
  <si>
    <t xml:space="preserve">私立衛斯理文理語文短期補習班</t>
  </si>
  <si>
    <r>
      <rPr>
        <sz val="10"/>
        <color rgb="FF1F2A28"/>
        <rFont val="WenQuanYi Zen Hei"/>
        <family val="2"/>
      </rPr>
      <t xml:space="preserve">桃園區大興西璐三段</t>
    </r>
    <r>
      <rPr>
        <sz val="10"/>
        <color rgb="FF1F2A28"/>
        <rFont val="Arial"/>
        <family val="0"/>
        <charset val="1"/>
      </rPr>
      <t xml:space="preserve">166</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</si>
  <si>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(03)3018836</t>
  </si>
  <si>
    <t xml:space="preserve">piggy929@gmail.com</t>
  </si>
  <si>
    <r>
      <rPr>
        <sz val="10"/>
        <color rgb="FF1F2A28"/>
        <rFont val="WenQuanYi Zen Hei"/>
        <family val="2"/>
      </rPr>
      <t xml:space="preserve">美語</t>
    </r>
    <r>
      <rPr>
        <sz val="10"/>
        <color rgb="FF1F2A28"/>
        <rFont val="Arial"/>
        <family val="0"/>
        <charset val="1"/>
      </rPr>
      <t xml:space="preserve">C1(</t>
    </r>
    <r>
      <rPr>
        <sz val="10"/>
        <color rgb="FF1F2A28"/>
        <rFont val="WenQuanYi Zen Hei"/>
        <family val="2"/>
      </rPr>
      <t xml:space="preserve">初階</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A(</t>
    </r>
    <r>
      <rPr>
        <sz val="10"/>
        <color rgb="FF1F2A28"/>
        <rFont val="WenQuanYi Zen Hei"/>
        <family val="2"/>
      </rPr>
      <t xml:space="preserve">初階</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B(</t>
    </r>
    <r>
      <rPr>
        <sz val="10"/>
        <color rgb="FF1F2A28"/>
        <rFont val="WenQuanYi Zen Hei"/>
        <family val="2"/>
      </rPr>
      <t xml:space="preserve">初階</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C(</t>
    </r>
    <r>
      <rPr>
        <sz val="10"/>
        <color rgb="FF1F2A28"/>
        <rFont val="WenQuanYi Zen Hei"/>
        <family val="2"/>
      </rPr>
      <t xml:space="preserve">初階</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A1(</t>
    </r>
    <r>
      <rPr>
        <sz val="10"/>
        <color rgb="FF1F2A28"/>
        <rFont val="WenQuanYi Zen Hei"/>
        <family val="2"/>
      </rPr>
      <t xml:space="preserve">初階</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B1(</t>
    </r>
    <r>
      <rPr>
        <sz val="10"/>
        <color rgb="FF1F2A28"/>
        <rFont val="WenQuanYi Zen Hei"/>
        <family val="2"/>
      </rPr>
      <t xml:space="preserve">初階</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A2(</t>
    </r>
    <r>
      <rPr>
        <sz val="10"/>
        <color rgb="FF1F2A28"/>
        <rFont val="WenQuanYi Zen Hei"/>
        <family val="2"/>
      </rPr>
      <t xml:space="preserve">中階</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B2(</t>
    </r>
    <r>
      <rPr>
        <sz val="10"/>
        <color rgb="FF1F2A28"/>
        <rFont val="WenQuanYi Zen Hei"/>
        <family val="2"/>
      </rPr>
      <t xml:space="preserve">中階</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A3(</t>
    </r>
    <r>
      <rPr>
        <sz val="10"/>
        <color rgb="FF1F2A28"/>
        <rFont val="WenQuanYi Zen Hei"/>
        <family val="2"/>
      </rPr>
      <t xml:space="preserve">高階</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B3(</t>
    </r>
    <r>
      <rPr>
        <sz val="10"/>
        <color rgb="FF1F2A28"/>
        <rFont val="WenQuanYi Zen Hei"/>
        <family val="2"/>
      </rPr>
      <t xml:space="preserve">高階</t>
    </r>
    <r>
      <rPr>
        <sz val="10"/>
        <color rgb="FF1F2A28"/>
        <rFont val="Arial"/>
        <family val="0"/>
        <charset val="1"/>
      </rPr>
      <t xml:space="preserve">)</t>
    </r>
    <r>
      <rPr>
        <sz val="10"/>
        <color rgb="FF1F2A28"/>
        <rFont val="WenQuanYi Zen Hei"/>
        <family val="2"/>
      </rPr>
      <t xml:space="preserve">科</t>
    </r>
  </si>
  <si>
    <t xml:space="preserve">2023-05-01</t>
  </si>
  <si>
    <t xml:space="preserve">林麗容</t>
  </si>
  <si>
    <t xml:space="preserve">呂郁屏</t>
  </si>
  <si>
    <t xml:space="preserve">私立西門甲子文理短期補習班</t>
  </si>
  <si>
    <r>
      <rPr>
        <sz val="10"/>
        <color rgb="FF1F2A28"/>
        <rFont val="WenQuanYi Zen Hei"/>
        <family val="2"/>
      </rPr>
      <t xml:space="preserve">桃園區中福街</t>
    </r>
    <r>
      <rPr>
        <sz val="10"/>
        <color rgb="FF1F2A28"/>
        <rFont val="Arial"/>
        <family val="0"/>
        <charset val="1"/>
      </rPr>
      <t xml:space="preserve">54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</si>
  <si>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(03)3360060</t>
  </si>
  <si>
    <t xml:space="preserve">nuxybz@hotmail.com</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</si>
  <si>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初級</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t>
    </r>
    <r>
      <rPr>
        <sz val="10"/>
        <color rgb="FF1F2A28"/>
        <rFont val="WenQuanYi Zen Hei"/>
        <family val="2"/>
      </rPr>
      <t xml:space="preserve">中級</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t>
    </r>
    <r>
      <rPr>
        <sz val="10"/>
        <color rgb="FF1F2A28"/>
        <rFont val="WenQuanYi Zen Hei"/>
        <family val="2"/>
      </rPr>
      <t xml:space="preserve">進階</t>
    </r>
    <r>
      <rPr>
        <sz val="10"/>
        <color rgb="FF1F2A28"/>
        <rFont val="Arial"/>
        <family val="0"/>
        <charset val="1"/>
      </rPr>
      <t xml:space="preserve">)</t>
    </r>
    <r>
      <rPr>
        <sz val="10"/>
        <color rgb="FF1F2A28"/>
        <rFont val="WenQuanYi Zen Hei"/>
        <family val="2"/>
      </rPr>
      <t xml:space="preserve">科、國中文理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科、高中文理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科</t>
    </r>
  </si>
  <si>
    <t xml:space="preserve">2023-10-04</t>
  </si>
  <si>
    <t xml:space="preserve">游昱陽</t>
  </si>
  <si>
    <t xml:space="preserve">私立西雅圖美日語短期補習班</t>
  </si>
  <si>
    <r>
      <rPr>
        <sz val="10"/>
        <color rgb="FF1F2A28"/>
        <rFont val="WenQuanYi Zen Hei"/>
        <family val="2"/>
      </rPr>
      <t xml:space="preserve">桃園區縣府路</t>
    </r>
    <r>
      <rPr>
        <sz val="10"/>
        <color rgb="FF1F2A28"/>
        <rFont val="Arial"/>
        <family val="0"/>
        <charset val="1"/>
      </rPr>
      <t xml:space="preserve">332-2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</si>
  <si>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(03)3345008</t>
  </si>
  <si>
    <t xml:space="preserve">graham@seattle.com.tw</t>
  </si>
  <si>
    <t xml:space="preserve">2008-06-20</t>
  </si>
  <si>
    <t xml:space="preserve">武若男</t>
  </si>
  <si>
    <t xml:space="preserve">黃淑媛</t>
  </si>
  <si>
    <t xml:space="preserve">私立親欣語文短期補習班</t>
  </si>
  <si>
    <r>
      <rPr>
        <sz val="10"/>
        <color rgb="FF1F2A28"/>
        <rFont val="WenQuanYi Zen Hei"/>
        <family val="2"/>
      </rPr>
      <t xml:space="preserve">桃園區長春路</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</si>
  <si>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(03)3337068</t>
  </si>
  <si>
    <t xml:space="preserve">boss224466@gmail.com</t>
  </si>
  <si>
    <t xml:space="preserve">2001-08-23</t>
  </si>
  <si>
    <t xml:space="preserve">劉緣鶴</t>
  </si>
  <si>
    <t xml:space="preserve">私立諾貝爾文理語文短期補習班</t>
  </si>
  <si>
    <r>
      <rPr>
        <sz val="10"/>
        <color rgb="FF1F2A28"/>
        <rFont val="WenQuanYi Zen Hei"/>
        <family val="2"/>
      </rPr>
      <t xml:space="preserve">桃園區中山北路</t>
    </r>
    <r>
      <rPr>
        <sz val="10"/>
        <color rgb="FF1F2A28"/>
        <rFont val="Arial"/>
        <family val="0"/>
        <charset val="1"/>
      </rPr>
      <t xml:space="preserve">45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</si>
  <si>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(03)3352456</t>
  </si>
  <si>
    <t xml:space="preserve">邱淑良</t>
  </si>
  <si>
    <t xml:space="preserve">私立貝兒語文文理短期補習班</t>
  </si>
  <si>
    <r>
      <rPr>
        <sz val="10"/>
        <color rgb="FF1F2A28"/>
        <rFont val="WenQuanYi Zen Hei"/>
        <family val="2"/>
      </rPr>
      <t xml:space="preserve">桃園區力行路</t>
    </r>
    <r>
      <rPr>
        <sz val="10"/>
        <color rgb="FF1F2A28"/>
        <rFont val="Arial"/>
        <family val="0"/>
        <charset val="1"/>
      </rPr>
      <t xml:space="preserve">729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</si>
  <si>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(03)3603268</t>
  </si>
  <si>
    <t xml:space="preserve">frobel.tu@msa.hinet.net</t>
  </si>
  <si>
    <t xml:space="preserve">2022-10-19</t>
  </si>
  <si>
    <t xml:space="preserve">徐駿傑</t>
  </si>
  <si>
    <t xml:space="preserve">曹玉花</t>
  </si>
  <si>
    <t xml:space="preserve">私立貝多芬語文珠心算短期補習班</t>
  </si>
  <si>
    <r>
      <rPr>
        <sz val="10"/>
        <color rgb="FF1F2A28"/>
        <rFont val="WenQuanYi Zen Hei"/>
        <family val="2"/>
      </rPr>
      <t xml:space="preserve">桃園區正光街</t>
    </r>
    <r>
      <rPr>
        <sz val="10"/>
        <color rgb="FF1F2A28"/>
        <rFont val="Arial"/>
        <family val="0"/>
        <charset val="1"/>
      </rPr>
      <t xml:space="preserve">122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</si>
  <si>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(03)3358380</t>
  </si>
  <si>
    <t xml:space="preserve">youliwenbaba@yahoo.com.tw</t>
  </si>
  <si>
    <t xml:space="preserve">2009-10-06</t>
  </si>
  <si>
    <t xml:space="preserve">戴士堃</t>
  </si>
  <si>
    <t xml:space="preserve">私立超群英語會話短期補習班</t>
  </si>
  <si>
    <r>
      <rPr>
        <sz val="10"/>
        <color rgb="FF1F2A28"/>
        <rFont val="WenQuanYi Zen Hei"/>
        <family val="2"/>
      </rPr>
      <t xml:space="preserve">桃園區民權路</t>
    </r>
    <r>
      <rPr>
        <sz val="10"/>
        <color rgb="FF1F2A28"/>
        <rFont val="Arial"/>
        <family val="0"/>
        <charset val="1"/>
      </rPr>
      <t xml:space="preserve">25</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</si>
  <si>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(03)3347015</t>
  </si>
  <si>
    <t xml:space="preserve">helencatcat1017@gmail.com</t>
  </si>
  <si>
    <t xml:space="preserve">1986-05-03</t>
  </si>
  <si>
    <t xml:space="preserve">張馨潔</t>
  </si>
  <si>
    <t xml:space="preserve">私立辰學語文文理數學短期補習班</t>
  </si>
  <si>
    <r>
      <rPr>
        <sz val="10"/>
        <color rgb="FF1F2A28"/>
        <rFont val="WenQuanYi Zen Hei"/>
        <family val="2"/>
      </rPr>
      <t xml:space="preserve">桃園區莊一街</t>
    </r>
    <r>
      <rPr>
        <sz val="10"/>
        <color rgb="FF1F2A28"/>
        <rFont val="Arial"/>
        <family val="0"/>
        <charset val="1"/>
      </rPr>
      <t xml:space="preserve">110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</si>
  <si>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(03)3013459</t>
  </si>
  <si>
    <t xml:space="preserve">coldunicorn@hotmail.com</t>
  </si>
  <si>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、美語</t>
    </r>
  </si>
  <si>
    <t xml:space="preserve">曾昱霖</t>
  </si>
  <si>
    <t xml:space="preserve">韓礎宇</t>
  </si>
  <si>
    <t xml:space="preserve">私立達頂語文文理短期補習班</t>
  </si>
  <si>
    <r>
      <rPr>
        <sz val="10"/>
        <color rgb="FF1F2A28"/>
        <rFont val="WenQuanYi Zen Hei"/>
        <family val="2"/>
      </rPr>
      <t xml:space="preserve">桃園區中平路</t>
    </r>
    <r>
      <rPr>
        <sz val="10"/>
        <color rgb="FF1F2A28"/>
        <rFont val="Arial"/>
        <family val="0"/>
        <charset val="1"/>
      </rPr>
      <t xml:space="preserve">97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</si>
  <si>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(03)2201139</t>
  </si>
  <si>
    <t xml:space="preserve">katja565811@gmail.com</t>
  </si>
  <si>
    <t xml:space="preserve">2007-08-17</t>
  </si>
  <si>
    <t xml:space="preserve">謝美慧</t>
  </si>
  <si>
    <t xml:space="preserve">私立邱珮筠英語短期補習班</t>
  </si>
  <si>
    <r>
      <rPr>
        <sz val="10"/>
        <color rgb="FF1F2A28"/>
        <rFont val="WenQuanYi Zen Hei"/>
        <family val="2"/>
      </rPr>
      <t xml:space="preserve">桃園區宏昌十二街</t>
    </r>
    <r>
      <rPr>
        <sz val="10"/>
        <color rgb="FF1F2A28"/>
        <rFont val="Arial"/>
        <family val="0"/>
        <charset val="1"/>
      </rPr>
      <t xml:space="preserve">588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</si>
  <si>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(03)3782396</t>
  </si>
  <si>
    <t xml:space="preserve">chiyu0115@gmail.com</t>
  </si>
  <si>
    <t xml:space="preserve">邱珮筠</t>
  </si>
  <si>
    <t xml:space="preserve">私立酷科學美語文理短期補習班</t>
  </si>
  <si>
    <r>
      <rPr>
        <sz val="10"/>
        <color rgb="FF1F2A28"/>
        <rFont val="WenQuanYi Zen Hei"/>
        <family val="2"/>
      </rPr>
      <t xml:space="preserve">桃園區中埔一街</t>
    </r>
    <r>
      <rPr>
        <sz val="10"/>
        <color rgb="FF1F2A28"/>
        <rFont val="Arial"/>
        <family val="0"/>
        <charset val="1"/>
      </rPr>
      <t xml:space="preserve">88</t>
    </r>
    <r>
      <rPr>
        <sz val="10"/>
        <color rgb="FF1F2A28"/>
        <rFont val="WenQuanYi Zen Hei"/>
        <family val="2"/>
      </rPr>
      <t xml:space="preserve">巷</t>
    </r>
    <r>
      <rPr>
        <sz val="10"/>
        <color rgb="FF1F2A28"/>
        <rFont val="Arial"/>
        <family val="0"/>
        <charset val="1"/>
      </rPr>
      <t xml:space="preserve">72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</si>
  <si>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03-3011598</t>
  </si>
  <si>
    <t xml:space="preserve">olive1229@hotmail.com</t>
  </si>
  <si>
    <t xml:space="preserve">2017-11-29</t>
  </si>
  <si>
    <t xml:space="preserve">陳祈羽</t>
  </si>
  <si>
    <t xml:space="preserve">私立采慧英語文理短期補習班</t>
  </si>
  <si>
    <r>
      <rPr>
        <sz val="10"/>
        <color rgb="FF1F2A28"/>
        <rFont val="WenQuanYi Zen Hei"/>
        <family val="2"/>
      </rPr>
      <t xml:space="preserve">桃園區民光東路</t>
    </r>
    <r>
      <rPr>
        <sz val="10"/>
        <color rgb="FF1F2A28"/>
        <rFont val="Arial"/>
        <family val="0"/>
        <charset val="1"/>
      </rPr>
      <t xml:space="preserve">158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</si>
  <si>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(03)3165813</t>
  </si>
  <si>
    <t xml:space="preserve">caihui.english@gmail.com</t>
  </si>
  <si>
    <t xml:space="preserve">2025-08-20</t>
  </si>
  <si>
    <t xml:space="preserve">張嘉妤</t>
  </si>
  <si>
    <t xml:space="preserve">陳采琪</t>
  </si>
  <si>
    <t xml:space="preserve">私立采色尾巴文理技藝短期補習班</t>
  </si>
  <si>
    <r>
      <rPr>
        <sz val="10"/>
        <color rgb="FF1F2A28"/>
        <rFont val="WenQuanYi Zen Hei"/>
        <family val="2"/>
      </rPr>
      <t xml:space="preserve">桃園區文中三路</t>
    </r>
    <r>
      <rPr>
        <sz val="10"/>
        <color rgb="FF1F2A28"/>
        <rFont val="Arial"/>
        <family val="0"/>
        <charset val="1"/>
      </rPr>
      <t xml:space="preserve">58-1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</si>
  <si>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0912223686</t>
  </si>
  <si>
    <t xml:space="preserve">ctart2025@gmail.com</t>
  </si>
  <si>
    <t xml:space="preserve">2025-04-16</t>
  </si>
  <si>
    <t xml:space="preserve">張季萍</t>
  </si>
  <si>
    <t xml:space="preserve">私立金頭腦資優教育文理技藝短期補習班</t>
  </si>
  <si>
    <r>
      <rPr>
        <sz val="10"/>
        <color rgb="FF1F2A28"/>
        <rFont val="WenQuanYi Zen Hei"/>
        <family val="2"/>
      </rPr>
      <t xml:space="preserve">桃園區中埔一街</t>
    </r>
    <r>
      <rPr>
        <sz val="10"/>
        <color rgb="FF1F2A28"/>
        <rFont val="Arial"/>
        <family val="0"/>
        <charset val="1"/>
      </rPr>
      <t xml:space="preserve">86</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</si>
  <si>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(03)3020208</t>
  </si>
  <si>
    <t xml:space="preserve">goldbrain863@gmail.com</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</si>
  <si>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科、英語</t>
    </r>
  </si>
  <si>
    <t xml:space="preserve">盧俊諺</t>
  </si>
  <si>
    <t xml:space="preserve">私立鐘老師語文短期補習班</t>
  </si>
  <si>
    <r>
      <rPr>
        <sz val="10"/>
        <color rgb="FF1F2A28"/>
        <rFont val="WenQuanYi Zen Hei"/>
        <family val="2"/>
      </rPr>
      <t xml:space="preserve">桃園區復興路</t>
    </r>
    <r>
      <rPr>
        <sz val="10"/>
        <color rgb="FF1F2A28"/>
        <rFont val="Arial"/>
        <family val="0"/>
        <charset val="1"/>
      </rPr>
      <t xml:space="preserve">112</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樓之</t>
    </r>
    <r>
      <rPr>
        <sz val="10"/>
        <color rgb="FF1F2A28"/>
        <rFont val="Arial"/>
        <family val="0"/>
        <charset val="1"/>
      </rPr>
      <t xml:space="preserve">3</t>
    </r>
  </si>
  <si>
    <t xml:space="preserve">(03)3360926</t>
  </si>
  <si>
    <t xml:space="preserve">鍾麗琴</t>
  </si>
  <si>
    <t xml:space="preserve">私立陞恩美語文理短期補習班</t>
  </si>
  <si>
    <r>
      <rPr>
        <sz val="10"/>
        <color rgb="FF1F2A28"/>
        <rFont val="WenQuanYi Zen Hei"/>
        <family val="2"/>
      </rPr>
      <t xml:space="preserve">桃園區青溪里</t>
    </r>
    <r>
      <rPr>
        <sz val="10"/>
        <color rgb="FF1F2A28"/>
        <rFont val="Arial"/>
        <family val="0"/>
        <charset val="1"/>
      </rPr>
      <t xml:space="preserve">28</t>
    </r>
    <r>
      <rPr>
        <sz val="10"/>
        <color rgb="FF1F2A28"/>
        <rFont val="WenQuanYi Zen Hei"/>
        <family val="2"/>
      </rPr>
      <t xml:space="preserve">鄰自強路</t>
    </r>
    <r>
      <rPr>
        <sz val="10"/>
        <color rgb="FF1F2A28"/>
        <rFont val="Arial"/>
        <family val="0"/>
        <charset val="1"/>
      </rPr>
      <t xml:space="preserve">163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</si>
  <si>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(03)339-0158</t>
  </si>
  <si>
    <t xml:space="preserve">Norman.kn.tang@gmail.com</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</si>
  <si>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科、美語科</t>
    </r>
    <r>
      <rPr>
        <sz val="10"/>
        <color rgb="FF1F2A28"/>
        <rFont val="Arial"/>
        <family val="0"/>
        <charset val="1"/>
      </rPr>
      <t xml:space="preserve">(</t>
    </r>
    <r>
      <rPr>
        <sz val="10"/>
        <color rgb="FF1F2A28"/>
        <rFont val="WenQuanYi Zen Hei"/>
        <family val="2"/>
      </rPr>
      <t xml:space="preserve">混齡</t>
    </r>
    <r>
      <rPr>
        <sz val="10"/>
        <color rgb="FF1F2A28"/>
        <rFont val="Arial"/>
        <family val="0"/>
        <charset val="1"/>
      </rPr>
      <t xml:space="preserve">)</t>
    </r>
    <r>
      <rPr>
        <sz val="10"/>
        <color rgb="FF1F2A28"/>
        <rFont val="WenQuanYi Zen Hei"/>
        <family val="2"/>
      </rPr>
      <t xml:space="preserve">、美語</t>
    </r>
  </si>
  <si>
    <t xml:space="preserve">2013-07-15</t>
  </si>
  <si>
    <t xml:space="preserve">唐國男</t>
  </si>
  <si>
    <t xml:space="preserve">私立雙博士美語短期補習班</t>
  </si>
  <si>
    <r>
      <rPr>
        <sz val="10"/>
        <color rgb="FF1F2A28"/>
        <rFont val="WenQuanYi Zen Hei"/>
        <family val="2"/>
      </rPr>
      <t xml:space="preserve">桃園區宏昌七街</t>
    </r>
    <r>
      <rPr>
        <sz val="10"/>
        <color rgb="FF1F2A28"/>
        <rFont val="Arial"/>
        <family val="0"/>
        <charset val="1"/>
      </rPr>
      <t xml:space="preserve">45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</si>
  <si>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(03)2288783</t>
  </si>
  <si>
    <t xml:space="preserve">george.choua@gmail.com</t>
  </si>
  <si>
    <t xml:space="preserve">2011-11-30</t>
  </si>
  <si>
    <t xml:space="preserve">陳韻芳</t>
  </si>
  <si>
    <t xml:space="preserve">私立雙輝文理短期補習班</t>
  </si>
  <si>
    <r>
      <rPr>
        <sz val="10"/>
        <color rgb="FF1F2A28"/>
        <rFont val="WenQuanYi Zen Hei"/>
        <family val="2"/>
      </rPr>
      <t xml:space="preserve">桃園區新埔八街</t>
    </r>
    <r>
      <rPr>
        <sz val="10"/>
        <color rgb="FF1F2A28"/>
        <rFont val="Arial"/>
        <family val="0"/>
        <charset val="1"/>
      </rPr>
      <t xml:space="preserve">103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</si>
  <si>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(03)3563502</t>
  </si>
  <si>
    <t xml:space="preserve">songyang102899@gmail.com</t>
  </si>
  <si>
    <t xml:space="preserve">2022-02-18</t>
  </si>
  <si>
    <t xml:space="preserve">楊文輝</t>
  </si>
  <si>
    <t xml:space="preserve">私立霍斯英語文理短期補習班</t>
  </si>
  <si>
    <r>
      <rPr>
        <sz val="10"/>
        <color rgb="FF1F2A28"/>
        <rFont val="WenQuanYi Zen Hei"/>
        <family val="2"/>
      </rPr>
      <t xml:space="preserve">桃園區國光街</t>
    </r>
    <r>
      <rPr>
        <sz val="10"/>
        <color rgb="FF1F2A28"/>
        <rFont val="Arial"/>
        <family val="0"/>
        <charset val="1"/>
      </rPr>
      <t xml:space="preserve">66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</si>
  <si>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(03)3356060</t>
  </si>
  <si>
    <t xml:space="preserve">horseenglish001@gmail.com</t>
  </si>
  <si>
    <r>
      <rPr>
        <sz val="10"/>
        <color rgb="FF1F2A28"/>
        <rFont val="WenQuanYi Zen Hei"/>
        <family val="2"/>
      </rPr>
      <t xml:space="preserve">國中文理科</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1</t>
    </r>
    <r>
      <rPr>
        <sz val="10"/>
        <color rgb="FF1F2A28"/>
        <rFont val="WenQuanYi Zen Hei"/>
        <family val="2"/>
      </rPr>
      <t xml:space="preserve">班、數學</t>
    </r>
    <r>
      <rPr>
        <sz val="10"/>
        <color rgb="FF1F2A28"/>
        <rFont val="Arial"/>
        <family val="0"/>
        <charset val="1"/>
      </rPr>
      <t xml:space="preserve">1</t>
    </r>
    <r>
      <rPr>
        <sz val="10"/>
        <color rgb="FF1F2A28"/>
        <rFont val="WenQuanYi Zen Hei"/>
        <family val="2"/>
      </rPr>
      <t xml:space="preserve">班、國文</t>
    </r>
    <r>
      <rPr>
        <sz val="10"/>
        <color rgb="FF1F2A28"/>
        <rFont val="Arial"/>
        <family val="0"/>
        <charset val="1"/>
      </rPr>
      <t xml:space="preserve">1</t>
    </r>
    <r>
      <rPr>
        <sz val="10"/>
        <color rgb="FF1F2A28"/>
        <rFont val="WenQuanYi Zen Hei"/>
        <family val="2"/>
      </rPr>
      <t xml:space="preserve">班、自然</t>
    </r>
    <r>
      <rPr>
        <sz val="10"/>
        <color rgb="FF1F2A28"/>
        <rFont val="Arial"/>
        <family val="0"/>
        <charset val="1"/>
      </rPr>
      <t xml:space="preserve">1</t>
    </r>
    <r>
      <rPr>
        <sz val="10"/>
        <color rgb="FF1F2A28"/>
        <rFont val="WenQuanYi Zen Hei"/>
        <family val="2"/>
      </rPr>
      <t xml:space="preserve">班、社會</t>
    </r>
    <r>
      <rPr>
        <sz val="10"/>
        <color rgb="FF1F2A28"/>
        <rFont val="Arial"/>
        <family val="0"/>
        <charset val="1"/>
      </rPr>
      <t xml:space="preserve">1</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、國中文理科</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1</t>
    </r>
    <r>
      <rPr>
        <sz val="10"/>
        <color rgb="FF1F2A28"/>
        <rFont val="WenQuanYi Zen Hei"/>
        <family val="2"/>
      </rPr>
      <t xml:space="preserve">班、數學</t>
    </r>
    <r>
      <rPr>
        <sz val="10"/>
        <color rgb="FF1F2A28"/>
        <rFont val="Arial"/>
        <family val="0"/>
        <charset val="1"/>
      </rPr>
      <t xml:space="preserve">1</t>
    </r>
    <r>
      <rPr>
        <sz val="10"/>
        <color rgb="FF1F2A28"/>
        <rFont val="WenQuanYi Zen Hei"/>
        <family val="2"/>
      </rPr>
      <t xml:space="preserve">班、國文</t>
    </r>
    <r>
      <rPr>
        <sz val="10"/>
        <color rgb="FF1F2A28"/>
        <rFont val="Arial"/>
        <family val="0"/>
        <charset val="1"/>
      </rPr>
      <t xml:space="preserve">1</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、國中文理科</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2</t>
    </r>
    <r>
      <rPr>
        <sz val="10"/>
        <color rgb="FF1F2A28"/>
        <rFont val="WenQuanYi Zen Hei"/>
        <family val="2"/>
      </rPr>
      <t xml:space="preserve">班、數學</t>
    </r>
    <r>
      <rPr>
        <sz val="10"/>
        <color rgb="FF1F2A28"/>
        <rFont val="Arial"/>
        <family val="0"/>
        <charset val="1"/>
      </rPr>
      <t xml:space="preserve">2</t>
    </r>
    <r>
      <rPr>
        <sz val="10"/>
        <color rgb="FF1F2A28"/>
        <rFont val="WenQuanYi Zen Hei"/>
        <family val="2"/>
      </rPr>
      <t xml:space="preserve">班、國文</t>
    </r>
    <r>
      <rPr>
        <sz val="10"/>
        <color rgb="FF1F2A28"/>
        <rFont val="Arial"/>
        <family val="0"/>
        <charset val="1"/>
      </rPr>
      <t xml:space="preserve">2</t>
    </r>
    <r>
      <rPr>
        <sz val="10"/>
        <color rgb="FF1F2A28"/>
        <rFont val="WenQuanYi Zen Hei"/>
        <family val="2"/>
      </rPr>
      <t xml:space="preserve">班、自然</t>
    </r>
    <r>
      <rPr>
        <sz val="10"/>
        <color rgb="FF1F2A28"/>
        <rFont val="Arial"/>
        <family val="0"/>
        <charset val="1"/>
      </rPr>
      <t xml:space="preserve">1</t>
    </r>
    <r>
      <rPr>
        <sz val="10"/>
        <color rgb="FF1F2A28"/>
        <rFont val="WenQuanYi Zen Hei"/>
        <family val="2"/>
      </rPr>
      <t xml:space="preserve">班、社會</t>
    </r>
    <r>
      <rPr>
        <sz val="10"/>
        <color rgb="FF1F2A28"/>
        <rFont val="Arial"/>
        <family val="0"/>
        <charset val="1"/>
      </rPr>
      <t xml:space="preserve">1</t>
    </r>
    <r>
      <rPr>
        <sz val="10"/>
        <color rgb="FF1F2A28"/>
        <rFont val="WenQuanYi Zen Hei"/>
        <family val="2"/>
      </rPr>
      <t xml:space="preserve">班</t>
    </r>
    <r>
      <rPr>
        <sz val="10"/>
        <color rgb="FF1F2A28"/>
        <rFont val="Arial"/>
        <family val="0"/>
        <charset val="1"/>
      </rPr>
      <t xml:space="preserve">)</t>
    </r>
  </si>
  <si>
    <t xml:space="preserve">梁家維</t>
  </si>
  <si>
    <t xml:space="preserve">私立顗可文理語文短期補習班</t>
  </si>
  <si>
    <r>
      <rPr>
        <sz val="10"/>
        <color rgb="FF1F2A28"/>
        <rFont val="WenQuanYi Zen Hei"/>
        <family val="2"/>
      </rPr>
      <t xml:space="preserve">桃園區中正路</t>
    </r>
    <r>
      <rPr>
        <sz val="10"/>
        <color rgb="FF1F2A28"/>
        <rFont val="Arial"/>
        <family val="0"/>
        <charset val="1"/>
      </rPr>
      <t xml:space="preserve">902</t>
    </r>
    <r>
      <rPr>
        <sz val="10"/>
        <color rgb="FF1F2A28"/>
        <rFont val="WenQuanYi Zen Hei"/>
        <family val="2"/>
      </rPr>
      <t xml:space="preserve">、</t>
    </r>
    <r>
      <rPr>
        <sz val="10"/>
        <color rgb="FF1F2A28"/>
        <rFont val="Arial"/>
        <family val="0"/>
        <charset val="1"/>
      </rPr>
      <t xml:space="preserve">902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</si>
  <si>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(03)3260033</t>
  </si>
  <si>
    <t xml:space="preserve">eaglekids99@gmail.com</t>
  </si>
  <si>
    <r>
      <rPr>
        <sz val="10"/>
        <color rgb="FF1F2A28"/>
        <rFont val="WenQuanYi Zen Hei"/>
        <family val="2"/>
      </rPr>
      <t xml:space="preserve">初級英語、文理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、進階英語</t>
    </r>
  </si>
  <si>
    <t xml:space="preserve">2007-09-13</t>
  </si>
  <si>
    <t xml:space="preserve">黎璟葳</t>
  </si>
  <si>
    <r>
      <rPr>
        <sz val="10"/>
        <color rgb="FF1F2A28"/>
        <rFont val="WenQuanYi Zen Hei"/>
        <family val="2"/>
      </rPr>
      <t xml:space="preserve">林</t>
    </r>
    <r>
      <rPr>
        <sz val="10"/>
        <color rgb="FF1F2A28"/>
        <rFont val="Arial"/>
        <family val="0"/>
        <charset val="1"/>
      </rPr>
      <t xml:space="preserve">?</t>
    </r>
    <r>
      <rPr>
        <sz val="10"/>
        <color rgb="FF1F2A28"/>
        <rFont val="WenQuanYi Zen Hei"/>
        <family val="2"/>
      </rPr>
      <t xml:space="preserve">綸</t>
    </r>
  </si>
  <si>
    <t xml:space="preserve">私立風禾日光語文數學短期補習班</t>
  </si>
  <si>
    <r>
      <rPr>
        <sz val="10"/>
        <color rgb="FF1F2A28"/>
        <rFont val="WenQuanYi Zen Hei"/>
        <family val="2"/>
      </rPr>
      <t xml:space="preserve">桃園區慈文路</t>
    </r>
    <r>
      <rPr>
        <sz val="10"/>
        <color rgb="FF1F2A28"/>
        <rFont val="Arial"/>
        <family val="0"/>
        <charset val="1"/>
      </rPr>
      <t xml:space="preserve">666</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</si>
  <si>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(03)2161556</t>
  </si>
  <si>
    <t xml:space="preserve">hs2230@hess.com.tw</t>
  </si>
  <si>
    <t xml:space="preserve">2021-10-06</t>
  </si>
  <si>
    <t xml:space="preserve">曾佩琪</t>
  </si>
  <si>
    <t xml:space="preserve">私立高傑英語數學電腦文理短期補習班</t>
  </si>
  <si>
    <r>
      <rPr>
        <sz val="10"/>
        <color rgb="FF1F2A28"/>
        <rFont val="WenQuanYi Zen Hei"/>
        <family val="2"/>
      </rPr>
      <t xml:space="preserve">桃園區中埔一街</t>
    </r>
    <r>
      <rPr>
        <sz val="10"/>
        <color rgb="FF1F2A28"/>
        <rFont val="Arial"/>
        <family val="0"/>
        <charset val="1"/>
      </rPr>
      <t xml:space="preserve">155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t>
    </r>
    <r>
      <rPr>
        <sz val="10"/>
        <color rgb="FF1F2A28"/>
        <rFont val="Arial"/>
        <family val="0"/>
        <charset val="1"/>
      </rPr>
      <t xml:space="preserve">167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</si>
  <si>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(03)3250077</t>
  </si>
  <si>
    <t xml:space="preserve">gaujie.a334@msa.hinet.net</t>
  </si>
  <si>
    <r>
      <rPr>
        <sz val="10"/>
        <color rgb="FF1F2A28"/>
        <rFont val="WenQuanYi Zen Hei"/>
        <family val="2"/>
      </rPr>
      <t xml:space="preserve">英語、國中文理</t>
    </r>
    <r>
      <rPr>
        <sz val="10"/>
        <color rgb="FF1F2A28"/>
        <rFont val="Arial"/>
        <family val="0"/>
        <charset val="1"/>
      </rPr>
      <t xml:space="preserve">(</t>
    </r>
    <r>
      <rPr>
        <sz val="10"/>
        <color rgb="FF1F2A28"/>
        <rFont val="WenQuanYi Zen Hei"/>
        <family val="2"/>
      </rPr>
      <t xml:space="preserve">國、英、自、數</t>
    </r>
    <r>
      <rPr>
        <sz val="10"/>
        <color rgb="FF1F2A28"/>
        <rFont val="Arial"/>
        <family val="0"/>
        <charset val="1"/>
      </rPr>
      <t xml:space="preserve">)</t>
    </r>
  </si>
  <si>
    <t xml:space="preserve">1999-04-27</t>
  </si>
  <si>
    <t xml:space="preserve">王鵬輝</t>
  </si>
  <si>
    <t xml:space="preserve">王姵璇</t>
  </si>
  <si>
    <t xml:space="preserve">私立高陞英語會話短期補習班</t>
  </si>
  <si>
    <r>
      <rPr>
        <sz val="10"/>
        <color rgb="FF1F2A28"/>
        <rFont val="WenQuanYi Zen Hei"/>
        <family val="2"/>
      </rPr>
      <t xml:space="preserve">桃園區中山北路</t>
    </r>
    <r>
      <rPr>
        <sz val="10"/>
        <color rgb="FF1F2A28"/>
        <rFont val="Arial"/>
        <family val="0"/>
        <charset val="1"/>
      </rPr>
      <t xml:space="preserve">45</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</si>
  <si>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(03)3348851</t>
  </si>
  <si>
    <t xml:space="preserve">1988-05-12</t>
  </si>
  <si>
    <t xml:space="preserve">邱峻達</t>
  </si>
  <si>
    <t xml:space="preserve">私立高階得人文理美語短期補習班</t>
  </si>
  <si>
    <r>
      <rPr>
        <sz val="10"/>
        <color rgb="FF1F2A28"/>
        <rFont val="WenQuanYi Zen Hei"/>
        <family val="2"/>
      </rPr>
      <t xml:space="preserve">桃園區大興路</t>
    </r>
    <r>
      <rPr>
        <sz val="10"/>
        <color rgb="FF1F2A28"/>
        <rFont val="Arial"/>
        <family val="0"/>
        <charset val="1"/>
      </rPr>
      <t xml:space="preserve">247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</si>
  <si>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(03)3562757</t>
  </si>
  <si>
    <t xml:space="preserve">u486160111@yahoo.com.tw</t>
  </si>
  <si>
    <t xml:space="preserve">2007-12-27</t>
  </si>
  <si>
    <t xml:space="preserve">黃永良</t>
  </si>
  <si>
    <t xml:space="preserve">私立麥思特彼斯文理語文數學短期補習班</t>
  </si>
  <si>
    <r>
      <rPr>
        <sz val="10"/>
        <color rgb="FF1F2A28"/>
        <rFont val="WenQuanYi Zen Hei"/>
        <family val="2"/>
      </rPr>
      <t xml:space="preserve">桃園區經國路</t>
    </r>
    <r>
      <rPr>
        <sz val="10"/>
        <color rgb="FF1F2A28"/>
        <rFont val="Arial"/>
        <family val="0"/>
        <charset val="1"/>
      </rPr>
      <t xml:space="preserve">242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</si>
  <si>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(03)356-7457</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</si>
  <si>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數學、英文、自然</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t>
    </r>
    <r>
      <rPr>
        <sz val="10"/>
        <color rgb="FF1F2A28"/>
        <rFont val="Arial"/>
        <family val="0"/>
        <charset val="1"/>
      </rPr>
      <t xml:space="preserve">C</t>
    </r>
    <r>
      <rPr>
        <sz val="10"/>
        <color rgb="FF1F2A28"/>
        <rFont val="WenQuanYi Zen Hei"/>
        <family val="2"/>
      </rPr>
      <t xml:space="preserve">、</t>
    </r>
    <r>
      <rPr>
        <sz val="10"/>
        <color rgb="FF1F2A28"/>
        <rFont val="Arial"/>
        <family val="0"/>
        <charset val="1"/>
      </rPr>
      <t xml:space="preserve">D)</t>
    </r>
  </si>
  <si>
    <t xml:space="preserve">2020-10-05</t>
  </si>
  <si>
    <t xml:space="preserve">都興振</t>
  </si>
  <si>
    <t xml:space="preserve">程優科技股份有限公司附設私立程優文理短期補習班莊敬分班</t>
  </si>
  <si>
    <r>
      <rPr>
        <sz val="10"/>
        <color rgb="FF1F2A28"/>
        <rFont val="WenQuanYi Zen Hei"/>
        <family val="2"/>
      </rPr>
      <t xml:space="preserve">桃園區莊一街</t>
    </r>
    <r>
      <rPr>
        <sz val="10"/>
        <color rgb="FF1F2A28"/>
        <rFont val="Arial"/>
        <family val="0"/>
        <charset val="1"/>
      </rPr>
      <t xml:space="preserve">102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</si>
  <si>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(03)3013360</t>
  </si>
  <si>
    <r>
      <rPr>
        <sz val="10"/>
        <color rgb="FF1F2A28"/>
        <rFont val="WenQuanYi Zen Hei"/>
        <family val="2"/>
      </rPr>
      <t xml:space="preserve">文理</t>
    </r>
    <r>
      <rPr>
        <sz val="10"/>
        <color rgb="FF1F2A28"/>
        <rFont val="Arial"/>
        <family val="0"/>
        <charset val="1"/>
      </rPr>
      <t xml:space="preserve">A</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國語、數學、美語</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B</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國語、數學、自然、社會、美語</t>
    </r>
    <r>
      <rPr>
        <sz val="10"/>
        <color rgb="FF1F2A28"/>
        <rFont val="Arial"/>
        <family val="0"/>
        <charset val="1"/>
      </rPr>
      <t xml:space="preserve">)</t>
    </r>
  </si>
  <si>
    <t xml:space="preserve">2001-11-09</t>
  </si>
  <si>
    <t xml:space="preserve">陳瀚棟</t>
  </si>
  <si>
    <t xml:space="preserve">黃曉玟</t>
  </si>
  <si>
    <t xml:space="preserve">立譜文教興業有限公司附設私立立譜語文數學短期補習班</t>
  </si>
  <si>
    <r>
      <rPr>
        <sz val="10"/>
        <color rgb="FF1F2A28"/>
        <rFont val="WenQuanYi Zen Hei"/>
        <family val="2"/>
      </rPr>
      <t xml:space="preserve">桃園區永順街</t>
    </r>
    <r>
      <rPr>
        <sz val="10"/>
        <color rgb="FF1F2A28"/>
        <rFont val="Arial"/>
        <family val="0"/>
        <charset val="1"/>
      </rPr>
      <t xml:space="preserve">113-1</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r>
      <rPr>
        <sz val="10"/>
        <color rgb="FF1F2A28"/>
        <rFont val="Arial"/>
        <family val="0"/>
        <charset val="1"/>
      </rPr>
      <t xml:space="preserve">117</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</si>
  <si>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(03)3013981</t>
  </si>
  <si>
    <t xml:space="preserve">chungshan2.ty@gmail.com</t>
  </si>
  <si>
    <t xml:space="preserve">2016-12-06</t>
  </si>
  <si>
    <t xml:space="preserve">楊書鳳</t>
  </si>
  <si>
    <t xml:space="preserve">粒豆美語文教股份有限公司附設私立粒豆文理短期補習班</t>
  </si>
  <si>
    <r>
      <rPr>
        <sz val="10"/>
        <color rgb="FF1F2A28"/>
        <rFont val="WenQuanYi Zen Hei"/>
        <family val="2"/>
      </rPr>
      <t xml:space="preserve">桃園區正光一街</t>
    </r>
    <r>
      <rPr>
        <sz val="10"/>
        <color rgb="FF1F2A28"/>
        <rFont val="Arial"/>
        <family val="0"/>
        <charset val="1"/>
      </rPr>
      <t xml:space="preserve">100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</si>
  <si>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(03)3600330</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</si>
  <si>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初級</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t>
    </r>
    <r>
      <rPr>
        <sz val="10"/>
        <color rgb="FF1F2A28"/>
        <rFont val="WenQuanYi Zen Hei"/>
        <family val="2"/>
      </rPr>
      <t xml:space="preserve">中級</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t>
    </r>
    <r>
      <rPr>
        <sz val="10"/>
        <color rgb="FF1F2A28"/>
        <rFont val="WenQuanYi Zen Hei"/>
        <family val="2"/>
      </rPr>
      <t xml:space="preserve">進階</t>
    </r>
    <r>
      <rPr>
        <sz val="10"/>
        <color rgb="FF1F2A28"/>
        <rFont val="Arial"/>
        <family val="0"/>
        <charset val="1"/>
      </rPr>
      <t xml:space="preserve">)</t>
    </r>
    <r>
      <rPr>
        <sz val="10"/>
        <color rgb="FF1F2A28"/>
        <rFont val="WenQuanYi Zen Hei"/>
        <family val="2"/>
      </rPr>
      <t xml:space="preserve">科</t>
    </r>
  </si>
  <si>
    <t xml:space="preserve">2022-12-26</t>
  </si>
  <si>
    <t xml:space="preserve">高毓苹</t>
  </si>
  <si>
    <t xml:space="preserve">陳逸璇</t>
  </si>
  <si>
    <t xml:space="preserve">菁英國際文教事業有限公司桃園分公司附設私立菁英國際語文短期補習班</t>
  </si>
  <si>
    <r>
      <rPr>
        <sz val="10"/>
        <color rgb="FF1F2A28"/>
        <rFont val="WenQuanYi Zen Hei"/>
        <family val="2"/>
      </rPr>
      <t xml:space="preserve">桃園區復興路</t>
    </r>
    <r>
      <rPr>
        <sz val="10"/>
        <color rgb="FF1F2A28"/>
        <rFont val="Arial"/>
        <family val="0"/>
        <charset val="1"/>
      </rPr>
      <t xml:space="preserve">180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</si>
  <si>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(03)333-1444</t>
  </si>
  <si>
    <t xml:space="preserve">2008-01-08</t>
  </si>
  <si>
    <t xml:space="preserve">洪宥羽</t>
  </si>
  <si>
    <t xml:space="preserve">財團法人天主教德來會附設私立鳴遠美語短期補習班</t>
  </si>
  <si>
    <r>
      <rPr>
        <sz val="10"/>
        <color rgb="FF1F2A28"/>
        <rFont val="WenQuanYi Zen Hei"/>
        <family val="2"/>
      </rPr>
      <t xml:space="preserve">桃園區三民路一段</t>
    </r>
    <r>
      <rPr>
        <sz val="10"/>
        <color rgb="FF1F2A28"/>
        <rFont val="Arial"/>
        <family val="0"/>
        <charset val="1"/>
      </rPr>
      <t xml:space="preserve">26</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</si>
  <si>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(03)3323351</t>
  </si>
  <si>
    <t xml:space="preserve">phoepedora@gmail.com</t>
  </si>
  <si>
    <t xml:space="preserve">2008-07-04</t>
  </si>
  <si>
    <t xml:space="preserve">趙玉妹</t>
  </si>
  <si>
    <t xml:space="preserve">曾炫美</t>
  </si>
  <si>
    <t xml:space="preserve">驅勢文教事業有限公司附設私立聖三一語文短期補習班</t>
  </si>
  <si>
    <r>
      <rPr>
        <sz val="10"/>
        <color rgb="FF1F2A28"/>
        <rFont val="WenQuanYi Zen Hei"/>
        <family val="2"/>
      </rPr>
      <t xml:space="preserve">桃園區大同路</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10</t>
    </r>
  </si>
  <si>
    <t xml:space="preserve">(03)3366790</t>
  </si>
  <si>
    <t xml:space="preserve">trinity.taoyuan111@gmail.com</t>
  </si>
  <si>
    <t xml:space="preserve">英檢</t>
  </si>
  <si>
    <t xml:space="preserve">李曉雯</t>
  </si>
  <si>
    <t xml:space="preserve">高明一對一學習有限公司私立高銘一對一文理短期補習班桃園分班</t>
  </si>
  <si>
    <r>
      <rPr>
        <sz val="10"/>
        <color rgb="FF1F2A28"/>
        <rFont val="WenQuanYi Zen Hei"/>
        <family val="2"/>
      </rPr>
      <t xml:space="preserve">桃園區大同路</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</si>
  <si>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(03)3378000</t>
  </si>
  <si>
    <t xml:space="preserve">023.km101@gmail.com</t>
  </si>
  <si>
    <r>
      <rPr>
        <sz val="10"/>
        <color rgb="FF1F2A28"/>
        <rFont val="WenQuanYi Zen Hei"/>
        <family val="2"/>
      </rPr>
      <t xml:space="preserve">美語、國中文理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科、高中文理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r>
      <rPr>
        <sz val="10"/>
        <color rgb="FF1F2A28"/>
        <rFont val="WenQuanYi Zen Hei"/>
        <family val="2"/>
      </rPr>
      <t xml:space="preserve">科</t>
    </r>
  </si>
  <si>
    <t xml:space="preserve">2023-09-08</t>
  </si>
  <si>
    <t xml:space="preserve">陳奕廷</t>
  </si>
  <si>
    <t xml:space="preserve">高明一對一學習有限公司附設私立高銘一對一文理短期補習班慈文分班</t>
  </si>
  <si>
    <r>
      <rPr>
        <sz val="10"/>
        <color rgb="FF1F2A28"/>
        <rFont val="WenQuanYi Zen Hei"/>
        <family val="2"/>
      </rPr>
      <t xml:space="preserve">桃園區中正路</t>
    </r>
    <r>
      <rPr>
        <sz val="10"/>
        <color rgb="FF1F2A28"/>
        <rFont val="Arial"/>
        <family val="0"/>
        <charset val="1"/>
      </rPr>
      <t xml:space="preserve">905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</si>
  <si>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(03)3556888</t>
  </si>
  <si>
    <t xml:space="preserve">024.km101@gmail.com</t>
  </si>
  <si>
    <r>
      <rPr>
        <sz val="10"/>
        <color rgb="FF1F2A28"/>
        <rFont val="WenQuanYi Zen Hei"/>
        <family val="2"/>
      </rPr>
      <t xml:space="preserve">高中文理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r>
      <rPr>
        <sz val="10"/>
        <color rgb="FF1F2A28"/>
        <rFont val="WenQuanYi Zen Hei"/>
        <family val="2"/>
      </rPr>
      <t xml:space="preserve">科、國中文理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科、美語</t>
    </r>
  </si>
  <si>
    <t xml:space="preserve">2023-06-15</t>
  </si>
  <si>
    <t xml:space="preserve">洪嘉聰</t>
  </si>
  <si>
    <t xml:space="preserve">桃園區鎮</t>
  </si>
  <si>
    <t xml:space="preserve">朝陽富元教育股份有限公司附設私立朝揚米其文理短期補習班</t>
  </si>
  <si>
    <r>
      <rPr>
        <sz val="10"/>
        <color rgb="FF1F2A28"/>
        <rFont val="WenQuanYi Zen Hei"/>
        <family val="2"/>
      </rPr>
      <t xml:space="preserve">桃園區鎮撫街</t>
    </r>
    <r>
      <rPr>
        <sz val="10"/>
        <color rgb="FF1F2A28"/>
        <rFont val="Arial"/>
        <family val="0"/>
        <charset val="1"/>
      </rPr>
      <t xml:space="preserve">122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</si>
  <si>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(03)336-5660</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</si>
  <si>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國語、美語、數學</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國語、美語、數學、自然、社會</t>
    </r>
    <r>
      <rPr>
        <sz val="10"/>
        <color rgb="FF1F2A28"/>
        <rFont val="Arial"/>
        <family val="0"/>
        <charset val="1"/>
      </rPr>
      <t xml:space="preserve">)</t>
    </r>
  </si>
  <si>
    <t xml:space="preserve">呂鈺蟬</t>
  </si>
  <si>
    <t xml:space="preserve">私立比利美語短期補習班</t>
  </si>
  <si>
    <r>
      <rPr>
        <sz val="10"/>
        <color rgb="FF1F2A28"/>
        <rFont val="WenQuanYi Zen Hei"/>
        <family val="2"/>
      </rPr>
      <t xml:space="preserve">桃園區鎮二街</t>
    </r>
    <r>
      <rPr>
        <sz val="10"/>
        <color rgb="FF1F2A28"/>
        <rFont val="Arial"/>
        <family val="0"/>
        <charset val="1"/>
      </rPr>
      <t xml:space="preserve">113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</si>
  <si>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(03)3372555</t>
  </si>
  <si>
    <t xml:space="preserve">kangkckimo@gmail.com</t>
  </si>
  <si>
    <t xml:space="preserve">2002-12-25</t>
  </si>
  <si>
    <t xml:space="preserve">康凱鈞</t>
  </si>
  <si>
    <t xml:space="preserve">私立青溪文理語文短期補習班</t>
  </si>
  <si>
    <r>
      <rPr>
        <sz val="10"/>
        <color rgb="FF1F2A28"/>
        <rFont val="WenQuanYi Zen Hei"/>
        <family val="2"/>
      </rPr>
      <t xml:space="preserve">桃園區鎮撫街</t>
    </r>
    <r>
      <rPr>
        <sz val="10"/>
        <color rgb="FF1F2A28"/>
        <rFont val="Arial"/>
        <family val="0"/>
        <charset val="1"/>
      </rPr>
      <t xml:space="preserve">42-1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</si>
  <si>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(03)331-7885</t>
  </si>
  <si>
    <t xml:space="preserve">zoechou1@gmail.com</t>
  </si>
  <si>
    <t xml:space="preserve">2007-07-04</t>
  </si>
  <si>
    <t xml:space="preserve">李堃弘</t>
  </si>
  <si>
    <t xml:space="preserve">張雅森</t>
  </si>
  <si>
    <t xml:space="preserve">私立青溪格蘭英語文理短期補習班</t>
  </si>
  <si>
    <r>
      <rPr>
        <sz val="10"/>
        <color rgb="FF1F2A28"/>
        <rFont val="WenQuanYi Zen Hei"/>
        <family val="2"/>
      </rPr>
      <t xml:space="preserve">桃園區鎮撫街</t>
    </r>
    <r>
      <rPr>
        <sz val="10"/>
        <color rgb="FF1F2A28"/>
        <rFont val="Arial"/>
        <family val="0"/>
        <charset val="1"/>
      </rPr>
      <t xml:space="preserve">97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</si>
  <si>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(03)3338256</t>
  </si>
  <si>
    <t xml:space="preserve">cs@gram.com.tw</t>
  </si>
  <si>
    <r>
      <rPr>
        <sz val="10"/>
        <color rgb="FF1F2A28"/>
        <rFont val="WenQuanYi Zen Hei"/>
        <family val="2"/>
      </rPr>
      <t xml:space="preserve">英語、文理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</si>
  <si>
    <t xml:space="preserve">郭雪惠</t>
  </si>
  <si>
    <t xml:space="preserve">施娟鳳</t>
  </si>
  <si>
    <r>
      <rPr>
        <sz val="10"/>
        <color rgb="FF1F2A28"/>
        <rFont val="WenQuanYi Zen Hei"/>
        <family val="2"/>
      </rPr>
      <t xml:space="preserve">桃園市桃園區國豐十街</t>
    </r>
    <r>
      <rPr>
        <sz val="10"/>
        <color rgb="FF1F2A28"/>
        <rFont val="Arial"/>
        <family val="0"/>
        <charset val="1"/>
      </rPr>
      <t xml:space="preserve">258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</si>
  <si>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(03)3600292</t>
  </si>
  <si>
    <t xml:space="preserve">brendahuang55@gmail.com</t>
  </si>
  <si>
    <t xml:space="preserve">李政耿</t>
  </si>
  <si>
    <t xml:space="preserve">李惠琴</t>
  </si>
  <si>
    <t xml:space="preserve">私立狀元教室文理數學短期補習班</t>
  </si>
  <si>
    <r>
      <rPr>
        <sz val="10"/>
        <color rgb="FF1F2A28"/>
        <rFont val="WenQuanYi Zen Hei"/>
        <family val="2"/>
      </rPr>
      <t xml:space="preserve">桃園市蘆竹區大新路</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</si>
  <si>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(03)3236261</t>
  </si>
  <si>
    <t xml:space="preserve">glay6219@gmail.com</t>
  </si>
  <si>
    <r>
      <rPr>
        <sz val="10"/>
        <color rgb="FF1F2A28"/>
        <rFont val="WenQuanYi Zen Hei"/>
        <family val="2"/>
      </rPr>
      <t xml:space="preserve">美語、國中文理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、高中文理</t>
    </r>
    <r>
      <rPr>
        <sz val="10"/>
        <color rgb="FF1F2A28"/>
        <rFont val="Arial"/>
        <family val="0"/>
        <charset val="1"/>
      </rPr>
      <t xml:space="preserve">(</t>
    </r>
    <r>
      <rPr>
        <sz val="10"/>
        <color rgb="FF1F2A28"/>
        <rFont val="WenQuanYi Zen Hei"/>
        <family val="2"/>
      </rPr>
      <t xml:space="preserve">英數物化</t>
    </r>
    <r>
      <rPr>
        <sz val="10"/>
        <color rgb="FF1F2A28"/>
        <rFont val="Arial"/>
        <family val="0"/>
        <charset val="1"/>
      </rPr>
      <t xml:space="preserve">)</t>
    </r>
  </si>
  <si>
    <t xml:space="preserve">1996-12-24</t>
  </si>
  <si>
    <t xml:space="preserve">涂書華</t>
  </si>
  <si>
    <t xml:space="preserve">陸蕙貽</t>
  </si>
  <si>
    <t xml:space="preserve">勝騰國際文化有限公司附設私立勝騰文理短期補習班</t>
  </si>
  <si>
    <r>
      <rPr>
        <sz val="10"/>
        <color rgb="FF1F2A28"/>
        <rFont val="WenQuanYi Zen Hei"/>
        <family val="2"/>
      </rPr>
      <t xml:space="preserve">楊梅區環東路</t>
    </r>
    <r>
      <rPr>
        <sz val="10"/>
        <color rgb="FF1F2A28"/>
        <rFont val="Arial"/>
        <family val="0"/>
        <charset val="1"/>
      </rPr>
      <t xml:space="preserve">489</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</si>
  <si>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(03)4882208</t>
  </si>
  <si>
    <t xml:space="preserve">ethen1129889@gmail.com</t>
  </si>
  <si>
    <t xml:space="preserve">2025-03-14</t>
  </si>
  <si>
    <t xml:space="preserve">吳湘涵</t>
  </si>
  <si>
    <r>
      <rPr>
        <sz val="10"/>
        <color rgb="FF1F2A28"/>
        <rFont val="WenQuanYi Zen Hei"/>
        <family val="2"/>
      </rPr>
      <t xml:space="preserve">楊梅區四維路</t>
    </r>
    <r>
      <rPr>
        <sz val="10"/>
        <color rgb="FF1F2A28"/>
        <rFont val="Arial"/>
        <family val="0"/>
        <charset val="1"/>
      </rPr>
      <t xml:space="preserve">160</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</si>
  <si>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(03)4811177</t>
  </si>
  <si>
    <t xml:space="preserve">環愛國際教育管理顧問股份有限公司附設私立承恩語文數學短期補習班瑞塘分班</t>
  </si>
  <si>
    <r>
      <rPr>
        <sz val="10"/>
        <color rgb="FF1F2A28"/>
        <rFont val="WenQuanYi Zen Hei"/>
        <family val="2"/>
      </rPr>
      <t xml:space="preserve">楊梅區瑞溪路二段</t>
    </r>
    <r>
      <rPr>
        <sz val="10"/>
        <color rgb="FF1F2A28"/>
        <rFont val="Arial"/>
        <family val="0"/>
        <charset val="1"/>
      </rPr>
      <t xml:space="preserve">92</t>
    </r>
    <r>
      <rPr>
        <sz val="10"/>
        <color rgb="FF1F2A28"/>
        <rFont val="WenQuanYi Zen Hei"/>
        <family val="2"/>
      </rPr>
      <t xml:space="preserve">號</t>
    </r>
    <r>
      <rPr>
        <sz val="10"/>
        <color rgb="FF1F2A28"/>
        <rFont val="Arial"/>
        <family val="0"/>
        <charset val="1"/>
      </rPr>
      <t xml:space="preserve">1-4F</t>
    </r>
  </si>
  <si>
    <t xml:space="preserve">(03)4819409</t>
  </si>
  <si>
    <t xml:space="preserve">陳穎榛</t>
  </si>
  <si>
    <t xml:space="preserve">私立佳樂語文短期補習班</t>
  </si>
  <si>
    <r>
      <rPr>
        <sz val="10"/>
        <color rgb="FF1F2A28"/>
        <rFont val="WenQuanYi Zen Hei"/>
        <family val="2"/>
      </rPr>
      <t xml:space="preserve">楊梅區楊新北路</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</si>
  <si>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(03)4851313</t>
  </si>
  <si>
    <t xml:space="preserve">BB115@joy.com.tw</t>
  </si>
  <si>
    <t xml:space="preserve">2020-06-29</t>
  </si>
  <si>
    <t xml:space="preserve">張翔舒</t>
  </si>
  <si>
    <r>
      <rPr>
        <sz val="10"/>
        <color rgb="FF1F2A28"/>
        <rFont val="WenQuanYi Zen Hei"/>
        <family val="2"/>
      </rPr>
      <t xml:space="preserve">楊梅區大平街</t>
    </r>
    <r>
      <rPr>
        <sz val="10"/>
        <color rgb="FF1F2A28"/>
        <rFont val="Arial"/>
        <family val="0"/>
        <charset val="1"/>
      </rPr>
      <t xml:space="preserve">126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</si>
  <si>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(03)4854778</t>
  </si>
  <si>
    <r>
      <rPr>
        <sz val="10"/>
        <color rgb="FF1F2A28"/>
        <rFont val="WenQuanYi Zen Hei"/>
        <family val="2"/>
      </rPr>
      <t xml:space="preserve">楊梅區大成路</t>
    </r>
    <r>
      <rPr>
        <sz val="10"/>
        <color rgb="FF1F2A28"/>
        <rFont val="Arial"/>
        <family val="0"/>
        <charset val="1"/>
      </rPr>
      <t xml:space="preserve">109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</si>
  <si>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034756310</t>
  </si>
  <si>
    <r>
      <rPr>
        <sz val="10"/>
        <color rgb="FF1F2A28"/>
        <rFont val="WenQuanYi Zen Hei"/>
        <family val="2"/>
      </rPr>
      <t xml:space="preserve">楊梅區大模街</t>
    </r>
    <r>
      <rPr>
        <sz val="10"/>
        <color rgb="FF1F2A28"/>
        <rFont val="Arial"/>
        <family val="0"/>
        <charset val="1"/>
      </rPr>
      <t xml:space="preserve">57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</si>
  <si>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(03)4784062 4787708</t>
  </si>
  <si>
    <t xml:space="preserve">私立傳騏文理短期補習班</t>
  </si>
  <si>
    <r>
      <rPr>
        <sz val="10"/>
        <color rgb="FF1F2A28"/>
        <rFont val="WenQuanYi Zen Hei"/>
        <family val="2"/>
      </rPr>
      <t xml:space="preserve">楊梅區新農街</t>
    </r>
    <r>
      <rPr>
        <sz val="10"/>
        <color rgb="FF1F2A28"/>
        <rFont val="Arial"/>
        <family val="0"/>
        <charset val="1"/>
      </rPr>
      <t xml:space="preserve">483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</si>
  <si>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(03)4780458</t>
  </si>
  <si>
    <t xml:space="preserve">huihsuanchen8557@gmail.com</t>
  </si>
  <si>
    <t xml:space="preserve">2017-04-21</t>
  </si>
  <si>
    <t xml:space="preserve">陳慧萱</t>
  </si>
  <si>
    <t xml:space="preserve">私立儸頡絲語文短期補習班</t>
  </si>
  <si>
    <r>
      <rPr>
        <sz val="10"/>
        <color rgb="FF1F2A28"/>
        <rFont val="WenQuanYi Zen Hei"/>
        <family val="2"/>
      </rPr>
      <t xml:space="preserve">楊梅區新農街</t>
    </r>
    <r>
      <rPr>
        <sz val="10"/>
        <color rgb="FF1F2A28"/>
        <rFont val="Arial"/>
        <family val="0"/>
        <charset val="1"/>
      </rPr>
      <t xml:space="preserve">427</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</si>
  <si>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(03)4881802</t>
  </si>
  <si>
    <t xml:space="preserve">1f1090@yahoo.com.tw</t>
  </si>
  <si>
    <t xml:space="preserve">2014-05-16</t>
  </si>
  <si>
    <t xml:space="preserve">楊淑燕</t>
  </si>
  <si>
    <t xml:space="preserve">廖逸柔</t>
  </si>
  <si>
    <t xml:space="preserve">私立冠荏語文數學文理短期補習班</t>
  </si>
  <si>
    <r>
      <rPr>
        <sz val="10"/>
        <color rgb="FF1F2A28"/>
        <rFont val="WenQuanYi Zen Hei"/>
        <family val="2"/>
      </rPr>
      <t xml:space="preserve">楊梅區三民路</t>
    </r>
    <r>
      <rPr>
        <sz val="10"/>
        <color rgb="FF1F2A28"/>
        <rFont val="Arial"/>
        <family val="0"/>
        <charset val="1"/>
      </rPr>
      <t xml:space="preserve">57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</si>
  <si>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(03)482-1133</t>
  </si>
  <si>
    <t xml:space="preserve">te10980225435@gmail.com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</si>
  <si>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數自英</t>
    </r>
    <r>
      <rPr>
        <sz val="10"/>
        <color rgb="FF1F2A28"/>
        <rFont val="Arial"/>
        <family val="0"/>
        <charset val="1"/>
      </rPr>
      <t xml:space="preserve">)</t>
    </r>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數理英</t>
    </r>
    <r>
      <rPr>
        <sz val="10"/>
        <color rgb="FF1F2A28"/>
        <rFont val="Arial"/>
        <family val="0"/>
        <charset val="1"/>
      </rPr>
      <t xml:space="preserve">)</t>
    </r>
  </si>
  <si>
    <t xml:space="preserve">2020-09-14</t>
  </si>
  <si>
    <t xml:space="preserve">張維麟</t>
  </si>
  <si>
    <r>
      <rPr>
        <sz val="10"/>
        <color rgb="FF1F2A28"/>
        <rFont val="WenQuanYi Zen Hei"/>
        <family val="2"/>
      </rPr>
      <t xml:space="preserve">楊梅區永寧路</t>
    </r>
    <r>
      <rPr>
        <sz val="10"/>
        <color rgb="FF1F2A28"/>
        <rFont val="Arial"/>
        <family val="0"/>
        <charset val="1"/>
      </rPr>
      <t xml:space="preserve">1</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</si>
  <si>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(03)4854650</t>
  </si>
  <si>
    <t xml:space="preserve">私立凱思英語文理短期補習班新農分班</t>
  </si>
  <si>
    <r>
      <rPr>
        <sz val="10"/>
        <color rgb="FF1F2A28"/>
        <rFont val="WenQuanYi Zen Hei"/>
        <family val="2"/>
      </rPr>
      <t xml:space="preserve">楊梅區新農街二段</t>
    </r>
    <r>
      <rPr>
        <sz val="10"/>
        <color rgb="FF1F2A28"/>
        <rFont val="Arial"/>
        <family val="0"/>
        <charset val="1"/>
      </rPr>
      <t xml:space="preserve">200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</si>
  <si>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(03)4820815</t>
  </si>
  <si>
    <t xml:space="preserve">2020-06-24</t>
  </si>
  <si>
    <t xml:space="preserve">魏文媛</t>
  </si>
  <si>
    <r>
      <rPr>
        <sz val="10"/>
        <color rgb="FF1F2A28"/>
        <rFont val="WenQuanYi Zen Hei"/>
        <family val="2"/>
      </rPr>
      <t xml:space="preserve">楊梅區埔心里新興街</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41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</si>
  <si>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(03)4817643</t>
  </si>
  <si>
    <t xml:space="preserve">私立博士兒文理語文短期補習班</t>
  </si>
  <si>
    <r>
      <rPr>
        <sz val="10"/>
        <color rgb="FF1F2A28"/>
        <rFont val="WenQuanYi Zen Hei"/>
        <family val="2"/>
      </rPr>
      <t xml:space="preserve">楊梅區瑞溪路ㄧ段</t>
    </r>
    <r>
      <rPr>
        <sz val="10"/>
        <color rgb="FF1F2A28"/>
        <rFont val="Arial"/>
        <family val="0"/>
        <charset val="1"/>
      </rPr>
      <t xml:space="preserve">281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</si>
  <si>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(03)4315677</t>
  </si>
  <si>
    <t xml:space="preserve">fourthr.chou@msa.hinet.net</t>
  </si>
  <si>
    <t xml:space="preserve">美語、數學英文自然</t>
  </si>
  <si>
    <t xml:space="preserve">2006-10-03</t>
  </si>
  <si>
    <t xml:space="preserve">周大智</t>
  </si>
  <si>
    <t xml:space="preserve">私立博文文理美語短期補習班</t>
  </si>
  <si>
    <r>
      <rPr>
        <sz val="10"/>
        <color rgb="FF1F2A28"/>
        <rFont val="WenQuanYi Zen Hei"/>
        <family val="2"/>
      </rPr>
      <t xml:space="preserve">楊梅區瑞溪路一段</t>
    </r>
    <r>
      <rPr>
        <sz val="10"/>
        <color rgb="FF1F2A28"/>
        <rFont val="Arial"/>
        <family val="0"/>
        <charset val="1"/>
      </rPr>
      <t xml:space="preserve">97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</si>
  <si>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(03)4316880</t>
  </si>
  <si>
    <t xml:space="preserve">fh4813019@gmail.com</t>
  </si>
  <si>
    <r>
      <rPr>
        <sz val="10"/>
        <color rgb="FF1F2A28"/>
        <rFont val="WenQuanYi Zen Hei"/>
        <family val="2"/>
      </rPr>
      <t xml:space="preserve">美語</t>
    </r>
    <r>
      <rPr>
        <sz val="10"/>
        <color rgb="FF1F2A28"/>
        <rFont val="Arial"/>
        <family val="0"/>
        <charset val="1"/>
      </rPr>
      <t xml:space="preserve">A.B</t>
    </r>
    <r>
      <rPr>
        <sz val="10"/>
        <color rgb="FF1F2A28"/>
        <rFont val="WenQuanYi Zen Hei"/>
        <family val="2"/>
      </rPr>
      <t xml:space="preserve">班、美語</t>
    </r>
    <r>
      <rPr>
        <sz val="10"/>
        <color rgb="FF1F2A28"/>
        <rFont val="Arial"/>
        <family val="0"/>
        <charset val="1"/>
      </rPr>
      <t xml:space="preserve">C</t>
    </r>
    <r>
      <rPr>
        <sz val="10"/>
        <color rgb="FF1F2A28"/>
        <rFont val="WenQuanYi Zen Hei"/>
        <family val="2"/>
      </rPr>
      <t xml:space="preserve">班</t>
    </r>
  </si>
  <si>
    <t xml:space="preserve">2005-12-08</t>
  </si>
  <si>
    <t xml:space="preserve">龔筠晴</t>
  </si>
  <si>
    <t xml:space="preserve">詹智鈞</t>
  </si>
  <si>
    <t xml:space="preserve">私立唐風文理美語短期補習班</t>
  </si>
  <si>
    <r>
      <rPr>
        <sz val="10"/>
        <color rgb="FF1F2A28"/>
        <rFont val="WenQuanYi Zen Hei"/>
        <family val="2"/>
      </rPr>
      <t xml:space="preserve">楊梅區楊新北路</t>
    </r>
    <r>
      <rPr>
        <sz val="10"/>
        <color rgb="FF1F2A28"/>
        <rFont val="Arial"/>
        <family val="0"/>
        <charset val="1"/>
      </rPr>
      <t xml:space="preserve">21</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弄</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</si>
  <si>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(03)4787411</t>
  </si>
  <si>
    <t xml:space="preserve">supertankenglish@gmail.com</t>
  </si>
  <si>
    <t xml:space="preserve">2015-06-10</t>
  </si>
  <si>
    <t xml:space="preserve">彭莉娟</t>
  </si>
  <si>
    <r>
      <rPr>
        <sz val="10"/>
        <color rgb="FF1F2A28"/>
        <rFont val="WenQuanYi Zen Hei"/>
        <family val="2"/>
      </rPr>
      <t xml:space="preserve">楊梅區大平街</t>
    </r>
    <r>
      <rPr>
        <sz val="10"/>
        <color rgb="FF1F2A28"/>
        <rFont val="Arial"/>
        <family val="0"/>
        <charset val="1"/>
      </rPr>
      <t xml:space="preserve">85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</si>
  <si>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(03)4854477</t>
  </si>
  <si>
    <r>
      <rPr>
        <sz val="10"/>
        <color rgb="FF1F2A28"/>
        <rFont val="WenQuanYi Zen Hei"/>
        <family val="2"/>
      </rPr>
      <t xml:space="preserve">楊梅區四維路</t>
    </r>
    <r>
      <rPr>
        <sz val="10"/>
        <color rgb="FF1F2A28"/>
        <rFont val="Arial"/>
        <family val="0"/>
        <charset val="1"/>
      </rPr>
      <t xml:space="preserve">62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</si>
  <si>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(03)4810548</t>
  </si>
  <si>
    <t xml:space="preserve">私立學文文理短期補習班</t>
  </si>
  <si>
    <r>
      <rPr>
        <sz val="10"/>
        <color rgb="FF1F2A28"/>
        <rFont val="WenQuanYi Zen Hei"/>
        <family val="2"/>
      </rPr>
      <t xml:space="preserve">楊梅區校前路</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</si>
  <si>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(03)4883232</t>
  </si>
  <si>
    <t xml:space="preserve">Jesica540224@yahoo.com</t>
  </si>
  <si>
    <t xml:space="preserve">2023-05-29</t>
  </si>
  <si>
    <t xml:space="preserve">何玉嬌</t>
  </si>
  <si>
    <t xml:space="preserve">陳承駿</t>
  </si>
  <si>
    <t xml:space="preserve">私立小瓢蟲美語短期補習班</t>
  </si>
  <si>
    <r>
      <rPr>
        <sz val="10"/>
        <color rgb="FF1F2A28"/>
        <rFont val="WenQuanYi Zen Hei"/>
        <family val="2"/>
      </rPr>
      <t xml:space="preserve">楊梅區中山北路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265</t>
    </r>
    <r>
      <rPr>
        <sz val="10"/>
        <color rgb="FF1F2A28"/>
        <rFont val="WenQuanYi Zen Hei"/>
        <family val="2"/>
      </rPr>
      <t xml:space="preserve">巷</t>
    </r>
    <r>
      <rPr>
        <sz val="10"/>
        <color rgb="FF1F2A28"/>
        <rFont val="Arial"/>
        <family val="0"/>
        <charset val="1"/>
      </rPr>
      <t xml:space="preserve">48</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</si>
  <si>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(03)4829479</t>
  </si>
  <si>
    <t xml:space="preserve">ladybug.eng@gmail.com</t>
  </si>
  <si>
    <t xml:space="preserve">1999-03-24</t>
  </si>
  <si>
    <t xml:space="preserve">王徐杏芳</t>
  </si>
  <si>
    <t xml:space="preserve">呂元皓</t>
  </si>
  <si>
    <t xml:space="preserve">私立小荳荳美語文理音樂短期補習班</t>
  </si>
  <si>
    <r>
      <rPr>
        <sz val="10"/>
        <color rgb="FF1F2A28"/>
        <rFont val="WenQuanYi Zen Hei"/>
        <family val="2"/>
      </rPr>
      <t xml:space="preserve">楊梅區大模街</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</si>
  <si>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(03)2888889</t>
  </si>
  <si>
    <t xml:space="preserve">a1001111@ms34.hinet.net</t>
  </si>
  <si>
    <t xml:space="preserve">林鳳珠</t>
  </si>
  <si>
    <t xml:space="preserve">私立崇文文理美語短期補習班</t>
  </si>
  <si>
    <r>
      <rPr>
        <sz val="10"/>
        <color rgb="FF1F2A28"/>
        <rFont val="WenQuanYi Zen Hei"/>
        <family val="2"/>
      </rPr>
      <t xml:space="preserve">楊梅區裕榮路</t>
    </r>
    <r>
      <rPr>
        <sz val="10"/>
        <color rgb="FF1F2A28"/>
        <rFont val="Arial"/>
        <family val="0"/>
        <charset val="1"/>
      </rPr>
      <t xml:space="preserve">108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</si>
  <si>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(03)4200608</t>
  </si>
  <si>
    <t xml:space="preserve">loyu1101@gmail.com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</si>
  <si>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r>
      <rPr>
        <sz val="10"/>
        <color rgb="FF1F2A28"/>
        <rFont val="WenQuanYi Zen Hei"/>
        <family val="2"/>
      </rPr>
      <t xml:space="preserve">、美語、文理</t>
    </r>
    <r>
      <rPr>
        <sz val="10"/>
        <color rgb="FF1F2A28"/>
        <rFont val="Arial"/>
        <family val="0"/>
        <charset val="1"/>
      </rPr>
      <t xml:space="preserve">(</t>
    </r>
    <r>
      <rPr>
        <sz val="10"/>
        <color rgb="FF1F2A28"/>
        <rFont val="WenQuanYi Zen Hei"/>
        <family val="2"/>
      </rPr>
      <t xml:space="preserve">英數</t>
    </r>
    <r>
      <rPr>
        <sz val="10"/>
        <color rgb="FF1F2A28"/>
        <rFont val="Arial"/>
        <family val="0"/>
        <charset val="1"/>
      </rPr>
      <t xml:space="preserve">)</t>
    </r>
  </si>
  <si>
    <t xml:space="preserve">2002-07-21</t>
  </si>
  <si>
    <t xml:space="preserve">葉斯雄</t>
  </si>
  <si>
    <t xml:space="preserve">劉佳里</t>
  </si>
  <si>
    <t xml:space="preserve">私立康鑫文理語文短期補習班</t>
  </si>
  <si>
    <r>
      <rPr>
        <sz val="10"/>
        <color rgb="FF1F2A28"/>
        <rFont val="WenQuanYi Zen Hei"/>
        <family val="2"/>
      </rPr>
      <t xml:space="preserve">楊梅區萬大路</t>
    </r>
    <r>
      <rPr>
        <sz val="10"/>
        <color rgb="FF1F2A28"/>
        <rFont val="Arial"/>
        <family val="0"/>
        <charset val="1"/>
      </rPr>
      <t xml:space="preserve">138</t>
    </r>
    <r>
      <rPr>
        <sz val="10"/>
        <color rgb="FF1F2A28"/>
        <rFont val="WenQuanYi Zen Hei"/>
        <family val="2"/>
      </rPr>
      <t xml:space="preserve">巷</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</si>
  <si>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(03)4812211</t>
  </si>
  <si>
    <t xml:space="preserve">2001-08-28</t>
  </si>
  <si>
    <t xml:space="preserve">施逸嫻</t>
  </si>
  <si>
    <t xml:space="preserve">魏俊智</t>
  </si>
  <si>
    <r>
      <rPr>
        <sz val="10"/>
        <color rgb="FF1F2A28"/>
        <rFont val="WenQuanYi Zen Hei"/>
        <family val="2"/>
      </rPr>
      <t xml:space="preserve">楊梅區楊新路四段</t>
    </r>
    <r>
      <rPr>
        <sz val="10"/>
        <color rgb="FF1F2A28"/>
        <rFont val="Arial"/>
        <family val="0"/>
        <charset val="1"/>
      </rPr>
      <t xml:space="preserve">37</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弄</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</si>
  <si>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(03)2889060</t>
  </si>
  <si>
    <t xml:space="preserve">私立愛利克絲語文短期補習班</t>
  </si>
  <si>
    <r>
      <rPr>
        <sz val="10"/>
        <color rgb="FF1F2A28"/>
        <rFont val="WenQuanYi Zen Hei"/>
        <family val="2"/>
      </rPr>
      <t xml:space="preserve">楊梅區三民北路</t>
    </r>
    <r>
      <rPr>
        <sz val="10"/>
        <color rgb="FF1F2A28"/>
        <rFont val="Arial"/>
        <family val="0"/>
        <charset val="1"/>
      </rPr>
      <t xml:space="preserve">138</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</si>
  <si>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(03)4853618</t>
  </si>
  <si>
    <t xml:space="preserve">ankolio@gmail.com</t>
  </si>
  <si>
    <t xml:space="preserve">2020-01-30</t>
  </si>
  <si>
    <t xml:space="preserve">謝旻均</t>
  </si>
  <si>
    <t xml:space="preserve">私立愛尼歐美語數學短期補習班</t>
  </si>
  <si>
    <r>
      <rPr>
        <sz val="10"/>
        <color rgb="FF1F2A28"/>
        <rFont val="WenQuanYi Zen Hei"/>
        <family val="2"/>
      </rPr>
      <t xml:space="preserve">楊梅區新富十街</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</si>
  <si>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(03)4723533</t>
  </si>
  <si>
    <t xml:space="preserve">gina12011201@yahoo.com.tw</t>
  </si>
  <si>
    <t xml:space="preserve">2011-03-30</t>
  </si>
  <si>
    <t xml:space="preserve">許詩環</t>
  </si>
  <si>
    <t xml:space="preserve">許禮傑</t>
  </si>
  <si>
    <t xml:space="preserve">私立政大聯合文理短期補習班</t>
  </si>
  <si>
    <r>
      <rPr>
        <sz val="10"/>
        <color rgb="FF1F2A28"/>
        <rFont val="WenQuanYi Zen Hei"/>
        <family val="2"/>
      </rPr>
      <t xml:space="preserve">楊梅區大平街</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</si>
  <si>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(03)4752830</t>
  </si>
  <si>
    <t xml:space="preserve">彭曉苓</t>
  </si>
  <si>
    <t xml:space="preserve">曾文琪</t>
  </si>
  <si>
    <t xml:space="preserve">私立文勝文理短期補習班</t>
  </si>
  <si>
    <r>
      <rPr>
        <sz val="10"/>
        <color rgb="FF1F2A28"/>
        <rFont val="WenQuanYi Zen Hei"/>
        <family val="2"/>
      </rPr>
      <t xml:space="preserve">楊梅區文化街</t>
    </r>
    <r>
      <rPr>
        <sz val="10"/>
        <color rgb="FF1F2A28"/>
        <rFont val="Arial"/>
        <family val="0"/>
        <charset val="1"/>
      </rPr>
      <t xml:space="preserve">347</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</si>
  <si>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(03)4812084</t>
  </si>
  <si>
    <t xml:space="preserve">yosh20000102@gmail.com</t>
  </si>
  <si>
    <t xml:space="preserve">2001-03-27</t>
  </si>
  <si>
    <t xml:space="preserve">龔士峻</t>
  </si>
  <si>
    <t xml:space="preserve">私立文名文理短期補習班</t>
  </si>
  <si>
    <r>
      <rPr>
        <sz val="10"/>
        <color rgb="FF1F2A28"/>
        <rFont val="WenQuanYi Zen Hei"/>
        <family val="2"/>
      </rPr>
      <t xml:space="preserve">楊梅區新農街</t>
    </r>
    <r>
      <rPr>
        <sz val="10"/>
        <color rgb="FF1F2A28"/>
        <rFont val="Arial"/>
        <family val="0"/>
        <charset val="1"/>
      </rPr>
      <t xml:space="preserve">410</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</si>
  <si>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(03)4880816</t>
  </si>
  <si>
    <t xml:space="preserve">tigereng32666@gmail.com</t>
  </si>
  <si>
    <t xml:space="preserve">2025-05-13</t>
  </si>
  <si>
    <t xml:space="preserve">王杏心</t>
  </si>
  <si>
    <t xml:space="preserve">私立文揚文理短期補習班</t>
  </si>
  <si>
    <r>
      <rPr>
        <sz val="10"/>
        <color rgb="FF1F2A28"/>
        <rFont val="WenQuanYi Zen Hei"/>
        <family val="2"/>
      </rPr>
      <t xml:space="preserve">楊梅區瑞溪路一段</t>
    </r>
    <r>
      <rPr>
        <sz val="10"/>
        <color rgb="FF1F2A28"/>
        <rFont val="Arial"/>
        <family val="0"/>
        <charset val="1"/>
      </rPr>
      <t xml:space="preserve">113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樓及突出物</t>
    </r>
    <r>
      <rPr>
        <sz val="10"/>
        <color rgb="FF1F2A28"/>
        <rFont val="Arial"/>
        <family val="0"/>
        <charset val="1"/>
      </rPr>
      <t xml:space="preserve">1</t>
    </r>
    <r>
      <rPr>
        <sz val="10"/>
        <color rgb="FF1F2A28"/>
        <rFont val="WenQuanYi Zen Hei"/>
        <family val="2"/>
      </rPr>
      <t xml:space="preserve">層</t>
    </r>
  </si>
  <si>
    <t xml:space="preserve">(03)4311580</t>
  </si>
  <si>
    <t xml:space="preserve">2025-10-29</t>
  </si>
  <si>
    <t xml:space="preserve">林鼎淵</t>
  </si>
  <si>
    <t xml:space="preserve">私立新璇龍美語數學短期補習班</t>
  </si>
  <si>
    <r>
      <rPr>
        <sz val="10"/>
        <color rgb="FF1F2A28"/>
        <rFont val="WenQuanYi Zen Hei"/>
        <family val="2"/>
      </rPr>
      <t xml:space="preserve">楊梅區瑞福街</t>
    </r>
    <r>
      <rPr>
        <sz val="10"/>
        <color rgb="FF1F2A28"/>
        <rFont val="Arial"/>
        <family val="0"/>
        <charset val="1"/>
      </rPr>
      <t xml:space="preserve">122</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</si>
  <si>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(03)4828695</t>
  </si>
  <si>
    <t xml:space="preserve">great5576@yahoo.com.tw</t>
  </si>
  <si>
    <t xml:space="preserve">2014-03-28</t>
  </si>
  <si>
    <t xml:space="preserve">劉覲嘉</t>
  </si>
  <si>
    <t xml:space="preserve">劉宴嘉</t>
  </si>
  <si>
    <r>
      <rPr>
        <sz val="10"/>
        <color rgb="FF1F2A28"/>
        <rFont val="WenQuanYi Zen Hei"/>
        <family val="2"/>
      </rPr>
      <t xml:space="preserve">楊梅區大平街</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</si>
  <si>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(03)4783105</t>
  </si>
  <si>
    <t xml:space="preserve">私立李紹陽揚眉文理語文數學短期補習班</t>
  </si>
  <si>
    <r>
      <rPr>
        <sz val="10"/>
        <color rgb="FF1F2A28"/>
        <rFont val="WenQuanYi Zen Hei"/>
        <family val="2"/>
      </rPr>
      <t xml:space="preserve">楊梅區大平街</t>
    </r>
    <r>
      <rPr>
        <sz val="10"/>
        <color rgb="FF1F2A28"/>
        <rFont val="Arial"/>
        <family val="0"/>
        <charset val="1"/>
      </rPr>
      <t xml:space="preserve">86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</si>
  <si>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(03)4850053</t>
  </si>
  <si>
    <t xml:space="preserve">劉昌諭</t>
  </si>
  <si>
    <t xml:space="preserve">私立林老師美語珠心算短期補習班</t>
  </si>
  <si>
    <r>
      <rPr>
        <sz val="10"/>
        <color rgb="FF1F2A28"/>
        <rFont val="WenQuanYi Zen Hei"/>
        <family val="2"/>
      </rPr>
      <t xml:space="preserve">楊梅區自立街</t>
    </r>
    <r>
      <rPr>
        <sz val="10"/>
        <color rgb="FF1F2A28"/>
        <rFont val="Arial"/>
        <family val="0"/>
        <charset val="1"/>
      </rPr>
      <t xml:space="preserve">89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</si>
  <si>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(03)4755110</t>
  </si>
  <si>
    <t xml:space="preserve">nailseal@yahoo.com.tw</t>
  </si>
  <si>
    <t xml:space="preserve">2001-06-06</t>
  </si>
  <si>
    <t xml:space="preserve">林美麗</t>
  </si>
  <si>
    <t xml:space="preserve">私立欣奕語文文理短期補習班</t>
  </si>
  <si>
    <r>
      <rPr>
        <sz val="10"/>
        <color rgb="FF1F2A28"/>
        <rFont val="WenQuanYi Zen Hei"/>
        <family val="2"/>
      </rPr>
      <t xml:space="preserve">楊梅區新農街</t>
    </r>
    <r>
      <rPr>
        <sz val="10"/>
        <color rgb="FF1F2A28"/>
        <rFont val="Arial"/>
        <family val="0"/>
        <charset val="1"/>
      </rPr>
      <t xml:space="preserve">280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</si>
  <si>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(03)2889710</t>
  </si>
  <si>
    <t xml:space="preserve">h368456@yahoo.com.tw</t>
  </si>
  <si>
    <t xml:space="preserve">莊春玉</t>
  </si>
  <si>
    <t xml:space="preserve">私立欣田美語文理短期補習班</t>
  </si>
  <si>
    <r>
      <rPr>
        <sz val="10"/>
        <color rgb="FF1F2A28"/>
        <rFont val="WenQuanYi Zen Hei"/>
        <family val="2"/>
      </rPr>
      <t xml:space="preserve">楊梅區瑞溪路一段</t>
    </r>
    <r>
      <rPr>
        <sz val="10"/>
        <color rgb="FF1F2A28"/>
        <rFont val="Arial"/>
        <family val="0"/>
        <charset val="1"/>
      </rPr>
      <t xml:space="preserve">107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</si>
  <si>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(03)4313000</t>
  </si>
  <si>
    <t xml:space="preserve">arctic2239@yahoo.com.tw</t>
  </si>
  <si>
    <t xml:space="preserve">2013-02-05</t>
  </si>
  <si>
    <t xml:space="preserve">戴美珍</t>
  </si>
  <si>
    <t xml:space="preserve">私立民方文理短期補習班</t>
  </si>
  <si>
    <r>
      <rPr>
        <sz val="10"/>
        <color rgb="FF1F2A28"/>
        <rFont val="WenQuanYi Zen Hei"/>
        <family val="2"/>
      </rPr>
      <t xml:space="preserve">楊梅區中山北路一段</t>
    </r>
    <r>
      <rPr>
        <sz val="10"/>
        <color rgb="FF1F2A28"/>
        <rFont val="Arial"/>
        <family val="0"/>
        <charset val="1"/>
      </rPr>
      <t xml:space="preserve">390</t>
    </r>
    <r>
      <rPr>
        <sz val="10"/>
        <color rgb="FF1F2A28"/>
        <rFont val="WenQuanYi Zen Hei"/>
        <family val="2"/>
      </rPr>
      <t xml:space="preserve">巷</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樓及</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</si>
  <si>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(03)4781854</t>
  </si>
  <si>
    <t xml:space="preserve">sarah6.chung@msa.hinet.net</t>
  </si>
  <si>
    <t xml:space="preserve">2001-06-18</t>
  </si>
  <si>
    <t xml:space="preserve">鍾有芳</t>
  </si>
  <si>
    <t xml:space="preserve">吳爵光</t>
  </si>
  <si>
    <t xml:space="preserve">私立汶莘文理短期補習班</t>
  </si>
  <si>
    <r>
      <rPr>
        <sz val="10"/>
        <color rgb="FF1F2A28"/>
        <rFont val="WenQuanYi Zen Hei"/>
        <family val="2"/>
      </rPr>
      <t xml:space="preserve">楊梅區瑞溪路一段</t>
    </r>
    <r>
      <rPr>
        <sz val="10"/>
        <color rgb="FF1F2A28"/>
        <rFont val="Arial"/>
        <family val="0"/>
        <charset val="1"/>
      </rPr>
      <t xml:space="preserve">95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</si>
  <si>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(03)4311326</t>
  </si>
  <si>
    <t xml:space="preserve">2024-12-12</t>
  </si>
  <si>
    <t xml:space="preserve">葉逸馨</t>
  </si>
  <si>
    <t xml:space="preserve">私立海狸加那大英語短期補習班</t>
  </si>
  <si>
    <r>
      <rPr>
        <sz val="10"/>
        <color rgb="FF1F2A28"/>
        <rFont val="WenQuanYi Zen Hei"/>
        <family val="2"/>
      </rPr>
      <t xml:space="preserve">楊梅區新農街</t>
    </r>
    <r>
      <rPr>
        <sz val="10"/>
        <color rgb="FF1F2A28"/>
        <rFont val="Arial"/>
        <family val="0"/>
        <charset val="1"/>
      </rPr>
      <t xml:space="preserve">553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</si>
  <si>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(03)2889922</t>
  </si>
  <si>
    <t xml:space="preserve">beaverces553@gmail.com</t>
  </si>
  <si>
    <t xml:space="preserve">2016-06-24</t>
  </si>
  <si>
    <t xml:space="preserve">阮莉蘋</t>
  </si>
  <si>
    <t xml:space="preserve">私立海頓文理語文短期補習班</t>
  </si>
  <si>
    <r>
      <rPr>
        <sz val="10"/>
        <color rgb="FF1F2A28"/>
        <rFont val="WenQuanYi Zen Hei"/>
        <family val="2"/>
      </rPr>
      <t xml:space="preserve">楊梅區民族路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107</t>
    </r>
    <r>
      <rPr>
        <sz val="10"/>
        <color rgb="FF1F2A28"/>
        <rFont val="WenQuanYi Zen Hei"/>
        <family val="2"/>
      </rPr>
      <t xml:space="preserve">巷</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1~4F</t>
    </r>
  </si>
  <si>
    <t xml:space="preserve">(03)4207033</t>
  </si>
  <si>
    <t xml:space="preserve">rice-pan@hotmail.com</t>
  </si>
  <si>
    <t xml:space="preserve">2008-07-29</t>
  </si>
  <si>
    <t xml:space="preserve">李文煥</t>
  </si>
  <si>
    <r>
      <rPr>
        <sz val="10"/>
        <color rgb="FF1F2A28"/>
        <rFont val="WenQuanYi Zen Hei"/>
        <family val="2"/>
      </rPr>
      <t xml:space="preserve">楊梅區梅高路</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</si>
  <si>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(03)4882055</t>
  </si>
  <si>
    <r>
      <rPr>
        <sz val="10"/>
        <color rgb="FF1F2A28"/>
        <rFont val="WenQuanYi Zen Hei"/>
        <family val="2"/>
      </rPr>
      <t xml:space="preserve">楊梅區大平街</t>
    </r>
    <r>
      <rPr>
        <sz val="10"/>
        <color rgb="FF1F2A28"/>
        <rFont val="Arial"/>
        <family val="0"/>
        <charset val="1"/>
      </rPr>
      <t xml:space="preserve">62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</si>
  <si>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(03)4750803</t>
  </si>
  <si>
    <t xml:space="preserve">數自英、美語</t>
  </si>
  <si>
    <t xml:space="preserve">私立火星美語美術短期補習班</t>
  </si>
  <si>
    <r>
      <rPr>
        <sz val="10"/>
        <color rgb="FF1F2A28"/>
        <rFont val="WenQuanYi Zen Hei"/>
        <family val="2"/>
      </rPr>
      <t xml:space="preserve">楊梅區瑞溪路一段</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</si>
  <si>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(03)4311005</t>
  </si>
  <si>
    <t xml:space="preserve">a0918022376@gmail.com</t>
  </si>
  <si>
    <t xml:space="preserve">黃雅琪</t>
  </si>
  <si>
    <t xml:space="preserve">黃雅琴</t>
  </si>
  <si>
    <t xml:space="preserve">私立瑞溪英語短期補習班</t>
  </si>
  <si>
    <r>
      <rPr>
        <sz val="10"/>
        <color rgb="FF1F2A28"/>
        <rFont val="WenQuanYi Zen Hei"/>
        <family val="2"/>
      </rPr>
      <t xml:space="preserve">楊梅區瑞溪路一段</t>
    </r>
    <r>
      <rPr>
        <sz val="10"/>
        <color rgb="FF1F2A28"/>
        <rFont val="Arial"/>
        <family val="0"/>
        <charset val="1"/>
      </rPr>
      <t xml:space="preserve">317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</si>
  <si>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2019-11-26</t>
  </si>
  <si>
    <t xml:space="preserve">江慧雯</t>
  </si>
  <si>
    <t xml:space="preserve">江寶倪</t>
  </si>
  <si>
    <t xml:space="preserve">私立瑞蒙文理短期補習班</t>
  </si>
  <si>
    <r>
      <rPr>
        <sz val="10"/>
        <color rgb="FF1F2A28"/>
        <rFont val="WenQuanYi Zen Hei"/>
        <family val="2"/>
      </rPr>
      <t xml:space="preserve">楊梅區中山北路二段</t>
    </r>
    <r>
      <rPr>
        <sz val="10"/>
        <color rgb="FF1F2A28"/>
        <rFont val="Arial"/>
        <family val="0"/>
        <charset val="1"/>
      </rPr>
      <t xml:space="preserve">208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</si>
  <si>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(03)4821840</t>
  </si>
  <si>
    <t xml:space="preserve">mina051973@yahoo.com.tw</t>
  </si>
  <si>
    <t xml:space="preserve">2026-07-03</t>
  </si>
  <si>
    <t xml:space="preserve">黃奕嘉</t>
  </si>
  <si>
    <t xml:space="preserve">私立百威美語短期補習班</t>
  </si>
  <si>
    <r>
      <rPr>
        <sz val="10"/>
        <color rgb="FF1F2A28"/>
        <rFont val="WenQuanYi Zen Hei"/>
        <family val="2"/>
      </rPr>
      <t xml:space="preserve">楊梅區新成路</t>
    </r>
    <r>
      <rPr>
        <sz val="10"/>
        <color rgb="FF1F2A28"/>
        <rFont val="Arial"/>
        <family val="0"/>
        <charset val="1"/>
      </rPr>
      <t xml:space="preserve">121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</si>
  <si>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(03)4850537</t>
  </si>
  <si>
    <t xml:space="preserve">ivy00518@yahoo.com.tw</t>
  </si>
  <si>
    <t xml:space="preserve">2014-11-06</t>
  </si>
  <si>
    <t xml:space="preserve">林晏辰</t>
  </si>
  <si>
    <t xml:space="preserve">周嘉怡</t>
  </si>
  <si>
    <t xml:space="preserve">私立睿緯文理語文短期補習班</t>
  </si>
  <si>
    <r>
      <rPr>
        <sz val="10"/>
        <color rgb="FF1F2A28"/>
        <rFont val="WenQuanYi Zen Hei"/>
        <family val="2"/>
      </rPr>
      <t xml:space="preserve">楊梅區裕榮路</t>
    </r>
    <r>
      <rPr>
        <sz val="10"/>
        <color rgb="FF1F2A28"/>
        <rFont val="Arial"/>
        <family val="0"/>
        <charset val="1"/>
      </rPr>
      <t xml:space="preserve">114</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</si>
  <si>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(03)4201676</t>
  </si>
  <si>
    <t xml:space="preserve">2020-11-09</t>
  </si>
  <si>
    <t xml:space="preserve">私立福斯得語文文理短期補習班</t>
  </si>
  <si>
    <r>
      <rPr>
        <sz val="10"/>
        <color rgb="FF1F2A28"/>
        <rFont val="WenQuanYi Zen Hei"/>
        <family val="2"/>
      </rPr>
      <t xml:space="preserve">楊梅區瑞溪路一段</t>
    </r>
    <r>
      <rPr>
        <sz val="10"/>
        <color rgb="FF1F2A28"/>
        <rFont val="Arial"/>
        <family val="0"/>
        <charset val="1"/>
      </rPr>
      <t xml:space="preserve">261</t>
    </r>
    <r>
      <rPr>
        <sz val="10"/>
        <color rgb="FF1F2A28"/>
        <rFont val="WenQuanYi Zen Hei"/>
        <family val="2"/>
      </rPr>
      <t xml:space="preserve">號</t>
    </r>
    <r>
      <rPr>
        <sz val="10"/>
        <color rgb="FF1F2A28"/>
        <rFont val="Arial"/>
        <family val="0"/>
        <charset val="1"/>
      </rPr>
      <t xml:space="preserve">1-4F</t>
    </r>
  </si>
  <si>
    <t xml:space="preserve">(03)4814392</t>
  </si>
  <si>
    <t xml:space="preserve">first4814392@gmail.com</t>
  </si>
  <si>
    <t xml:space="preserve">梁德華</t>
  </si>
  <si>
    <t xml:space="preserve">私立立群數學文理語文短期補習班</t>
  </si>
  <si>
    <r>
      <rPr>
        <sz val="10"/>
        <color rgb="FF1F2A28"/>
        <rFont val="WenQuanYi Zen Hei"/>
        <family val="2"/>
      </rPr>
      <t xml:space="preserve">楊梅區新農街</t>
    </r>
    <r>
      <rPr>
        <sz val="10"/>
        <color rgb="FF1F2A28"/>
        <rFont val="Arial"/>
        <family val="0"/>
        <charset val="1"/>
      </rPr>
      <t xml:space="preserve">268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</si>
  <si>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(03)4880123</t>
  </si>
  <si>
    <t xml:space="preserve">tp17659@gmail.com</t>
  </si>
  <si>
    <t xml:space="preserve">2018-10-18</t>
  </si>
  <si>
    <t xml:space="preserve">葉宜婷</t>
  </si>
  <si>
    <t xml:space="preserve">私立維瑞英語會話短期補習班</t>
  </si>
  <si>
    <r>
      <rPr>
        <sz val="10"/>
        <color rgb="FF1F2A28"/>
        <rFont val="WenQuanYi Zen Hei"/>
        <family val="2"/>
      </rPr>
      <t xml:space="preserve">楊梅區瑞溪路二段</t>
    </r>
    <r>
      <rPr>
        <sz val="10"/>
        <color rgb="FF1F2A28"/>
        <rFont val="Arial"/>
        <family val="0"/>
        <charset val="1"/>
      </rPr>
      <t xml:space="preserve">141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t>
    </r>
    <r>
      <rPr>
        <sz val="10"/>
        <color rgb="FF1F2A28"/>
        <rFont val="Arial"/>
        <family val="0"/>
        <charset val="1"/>
      </rPr>
      <t xml:space="preserve">3</t>
    </r>
    <r>
      <rPr>
        <sz val="10"/>
        <color rgb="FF1F2A28"/>
        <rFont val="WenQuanYi Zen Hei"/>
        <family val="2"/>
      </rPr>
      <t xml:space="preserve">樓部分</t>
    </r>
  </si>
  <si>
    <t xml:space="preserve">2003-06-09</t>
  </si>
  <si>
    <t xml:space="preserve">劉采瑩</t>
  </si>
  <si>
    <r>
      <rPr>
        <sz val="10"/>
        <color rgb="FF1F2A28"/>
        <rFont val="WenQuanYi Zen Hei"/>
        <family val="2"/>
      </rPr>
      <t xml:space="preserve">楊梅區永寧路</t>
    </r>
    <r>
      <rPr>
        <sz val="10"/>
        <color rgb="FF1F2A28"/>
        <rFont val="Arial"/>
        <family val="0"/>
        <charset val="1"/>
      </rPr>
      <t xml:space="preserve">17</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</si>
  <si>
    <t xml:space="preserve">(03)4880637</t>
  </si>
  <si>
    <t xml:space="preserve">私立胡桃鉗美語短期補習班</t>
  </si>
  <si>
    <r>
      <rPr>
        <sz val="10"/>
        <color rgb="FF1F2A28"/>
        <rFont val="WenQuanYi Zen Hei"/>
        <family val="2"/>
      </rPr>
      <t xml:space="preserve">楊梅區中山北路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87</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</si>
  <si>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(03)4314260</t>
  </si>
  <si>
    <t xml:space="preserve">yangmei688@yahoo.com</t>
  </si>
  <si>
    <t xml:space="preserve">2005-08-26</t>
  </si>
  <si>
    <t xml:space="preserve">黃聖亭</t>
  </si>
  <si>
    <t xml:space="preserve">沈芸貞</t>
  </si>
  <si>
    <t xml:space="preserve">私立艾可思文理短期補習班</t>
  </si>
  <si>
    <r>
      <rPr>
        <sz val="10"/>
        <color rgb="FF1F2A28"/>
        <rFont val="WenQuanYi Zen Hei"/>
        <family val="2"/>
      </rPr>
      <t xml:space="preserve">楊梅區新農街</t>
    </r>
    <r>
      <rPr>
        <sz val="10"/>
        <color rgb="FF1F2A28"/>
        <rFont val="Arial"/>
        <family val="0"/>
        <charset val="1"/>
      </rPr>
      <t xml:space="preserve">512</t>
    </r>
    <r>
      <rPr>
        <sz val="10"/>
        <color rgb="FF1F2A28"/>
        <rFont val="WenQuanYi Zen Hei"/>
        <family val="2"/>
      </rPr>
      <t xml:space="preserve">及</t>
    </r>
    <r>
      <rPr>
        <sz val="10"/>
        <color rgb="FF1F2A28"/>
        <rFont val="Arial"/>
        <family val="0"/>
        <charset val="1"/>
      </rPr>
      <t xml:space="preserve">516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</si>
  <si>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(03)4881199</t>
  </si>
  <si>
    <t xml:space="preserve">ymaustine666@gmail.com</t>
  </si>
  <si>
    <t xml:space="preserve">2026-02-13</t>
  </si>
  <si>
    <t xml:space="preserve">黃玲玲</t>
  </si>
  <si>
    <t xml:space="preserve">私立莊老師文理語文短期補習班</t>
  </si>
  <si>
    <r>
      <rPr>
        <sz val="10"/>
        <color rgb="FF1F2A28"/>
        <rFont val="WenQuanYi Zen Hei"/>
        <family val="2"/>
      </rPr>
      <t xml:space="preserve">楊梅區信義街</t>
    </r>
    <r>
      <rPr>
        <sz val="10"/>
        <color rgb="FF1F2A28"/>
        <rFont val="Arial"/>
        <family val="0"/>
        <charset val="1"/>
      </rPr>
      <t xml:space="preserve">151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</si>
  <si>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(03)4725989</t>
  </si>
  <si>
    <t xml:space="preserve">rex.weber@kimo.com</t>
  </si>
  <si>
    <t xml:space="preserve">2011-11-10</t>
  </si>
  <si>
    <t xml:space="preserve">莊蕙宜</t>
  </si>
  <si>
    <t xml:space="preserve">私立華碩文理短期補習班</t>
  </si>
  <si>
    <r>
      <rPr>
        <sz val="10"/>
        <color rgb="FF1F2A28"/>
        <rFont val="WenQuanYi Zen Hei"/>
        <family val="2"/>
      </rPr>
      <t xml:space="preserve">楊梅區新農街</t>
    </r>
    <r>
      <rPr>
        <sz val="10"/>
        <color rgb="FF1F2A28"/>
        <rFont val="Arial"/>
        <family val="0"/>
        <charset val="1"/>
      </rPr>
      <t xml:space="preserve">338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</si>
  <si>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(03)288-8450</t>
  </si>
  <si>
    <t xml:space="preserve">huashouschool@gmail.com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</si>
  <si>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國英數理</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數英自國</t>
    </r>
    <r>
      <rPr>
        <sz val="10"/>
        <color rgb="FF1F2A28"/>
        <rFont val="Arial"/>
        <family val="0"/>
        <charset val="1"/>
      </rPr>
      <t xml:space="preserve">)</t>
    </r>
    <r>
      <rPr>
        <sz val="10"/>
        <color rgb="FF1F2A28"/>
        <rFont val="WenQuanYi Zen Hei"/>
        <family val="2"/>
      </rPr>
      <t xml:space="preserve">、美語</t>
    </r>
  </si>
  <si>
    <t xml:space="preserve">2009-09-03</t>
  </si>
  <si>
    <t xml:space="preserve">鄭鴻達</t>
  </si>
  <si>
    <t xml:space="preserve">私立諾亞楊明文理短期補習班</t>
  </si>
  <si>
    <r>
      <rPr>
        <sz val="10"/>
        <color rgb="FF1F2A28"/>
        <rFont val="WenQuanYi Zen Hei"/>
        <family val="2"/>
      </rPr>
      <t xml:space="preserve">楊梅區新農街</t>
    </r>
    <r>
      <rPr>
        <sz val="10"/>
        <color rgb="FF1F2A28"/>
        <rFont val="Arial"/>
        <family val="0"/>
        <charset val="1"/>
      </rPr>
      <t xml:space="preserve">415</t>
    </r>
    <r>
      <rPr>
        <sz val="10"/>
        <color rgb="FF1F2A28"/>
        <rFont val="WenQuanYi Zen Hei"/>
        <family val="2"/>
      </rPr>
      <t xml:space="preserve">號</t>
    </r>
    <r>
      <rPr>
        <sz val="10"/>
        <color rgb="FF1F2A28"/>
        <rFont val="Arial"/>
        <family val="0"/>
        <charset val="1"/>
      </rPr>
      <t xml:space="preserve">2-5</t>
    </r>
    <r>
      <rPr>
        <sz val="10"/>
        <color rgb="FF1F2A28"/>
        <rFont val="WenQuanYi Zen Hei"/>
        <family val="2"/>
      </rPr>
      <t xml:space="preserve">樓</t>
    </r>
  </si>
  <si>
    <t xml:space="preserve">(03)4855050</t>
  </si>
  <si>
    <t xml:space="preserve">noahym5050@gmail.com</t>
  </si>
  <si>
    <t xml:space="preserve">英數理、英數、美語</t>
  </si>
  <si>
    <t xml:space="preserve">王瑞萍</t>
  </si>
  <si>
    <t xml:space="preserve">羅玉容</t>
  </si>
  <si>
    <t xml:space="preserve">私立諾亞美語文理短期補習班</t>
  </si>
  <si>
    <r>
      <rPr>
        <sz val="10"/>
        <color rgb="FF1F2A28"/>
        <rFont val="WenQuanYi Zen Hei"/>
        <family val="2"/>
      </rPr>
      <t xml:space="preserve">楊梅區自立街</t>
    </r>
    <r>
      <rPr>
        <sz val="10"/>
        <color rgb="FF1F2A28"/>
        <rFont val="Arial"/>
        <family val="0"/>
        <charset val="1"/>
      </rPr>
      <t xml:space="preserve">160</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</si>
  <si>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(03)4855555</t>
  </si>
  <si>
    <t xml:space="preserve">noah.english@msa.hinet.net</t>
  </si>
  <si>
    <t xml:space="preserve">美語、英數理、英數</t>
  </si>
  <si>
    <t xml:space="preserve">私立貝福美語短期補習班</t>
  </si>
  <si>
    <r>
      <rPr>
        <sz val="10"/>
        <color rgb="FF1F2A28"/>
        <rFont val="WenQuanYi Zen Hei"/>
        <family val="2"/>
      </rPr>
      <t xml:space="preserve">楊梅區萬大路</t>
    </r>
    <r>
      <rPr>
        <sz val="10"/>
        <color rgb="FF1F2A28"/>
        <rFont val="Arial"/>
        <family val="0"/>
        <charset val="1"/>
      </rPr>
      <t xml:space="preserve">152</t>
    </r>
    <r>
      <rPr>
        <sz val="10"/>
        <color rgb="FF1F2A28"/>
        <rFont val="WenQuanYi Zen Hei"/>
        <family val="2"/>
      </rPr>
      <t xml:space="preserve">巷</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</si>
  <si>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(03)4518489</t>
  </si>
  <si>
    <t xml:space="preserve">ipevo97982@gmail.com</t>
  </si>
  <si>
    <t xml:space="preserve">陳元英</t>
  </si>
  <si>
    <t xml:space="preserve">私立金捷升數學語文文理短期補習班</t>
  </si>
  <si>
    <r>
      <rPr>
        <sz val="10"/>
        <color rgb="FF1F2A28"/>
        <rFont val="WenQuanYi Zen Hei"/>
        <family val="2"/>
      </rPr>
      <t xml:space="preserve">楊梅區中山路</t>
    </r>
    <r>
      <rPr>
        <sz val="10"/>
        <color rgb="FF1F2A28"/>
        <rFont val="Arial"/>
        <family val="0"/>
        <charset val="1"/>
      </rPr>
      <t xml:space="preserve">121</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</si>
  <si>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(03)4788965</t>
  </si>
  <si>
    <t xml:space="preserve">4882070@gmail.com</t>
  </si>
  <si>
    <t xml:space="preserve">數英、美語、數英理</t>
  </si>
  <si>
    <t xml:space="preserve">黃雪娥</t>
  </si>
  <si>
    <t xml:space="preserve">私立鉌焮文理短期補習班</t>
  </si>
  <si>
    <r>
      <rPr>
        <sz val="10"/>
        <color rgb="FF1F2A28"/>
        <rFont val="WenQuanYi Zen Hei"/>
        <family val="2"/>
      </rPr>
      <t xml:space="preserve">楊梅區新農街</t>
    </r>
    <r>
      <rPr>
        <sz val="10"/>
        <color rgb="FF1F2A28"/>
        <rFont val="Arial"/>
        <family val="0"/>
        <charset val="1"/>
      </rPr>
      <t xml:space="preserve">487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</si>
  <si>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(03)4789183</t>
  </si>
  <si>
    <t xml:space="preserve">haxin333@gmail.com</t>
  </si>
  <si>
    <t xml:space="preserve">2001-11-15</t>
  </si>
  <si>
    <t xml:space="preserve">徐莉綺</t>
  </si>
  <si>
    <t xml:space="preserve">楊玉安</t>
  </si>
  <si>
    <t xml:space="preserve">私立雅威文理短期補習班</t>
  </si>
  <si>
    <r>
      <rPr>
        <sz val="10"/>
        <color rgb="FF1F2A28"/>
        <rFont val="WenQuanYi Zen Hei"/>
        <family val="2"/>
      </rPr>
      <t xml:space="preserve">楊梅區裕成路</t>
    </r>
    <r>
      <rPr>
        <sz val="10"/>
        <color rgb="FF1F2A28"/>
        <rFont val="Arial"/>
        <family val="0"/>
        <charset val="1"/>
      </rPr>
      <t xml:space="preserve">150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</si>
  <si>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(03)4826085</t>
  </si>
  <si>
    <t xml:space="preserve">yu880209@gmail.com</t>
  </si>
  <si>
    <t xml:space="preserve">2009-05-20</t>
  </si>
  <si>
    <t xml:space="preserve">陳效禹</t>
  </si>
  <si>
    <t xml:space="preserve">私立順能文理美語短期補習班</t>
  </si>
  <si>
    <r>
      <rPr>
        <sz val="10"/>
        <color rgb="FF1F2A28"/>
        <rFont val="WenQuanYi Zen Hei"/>
        <family val="2"/>
      </rPr>
      <t xml:space="preserve">楊梅區校前路</t>
    </r>
    <r>
      <rPr>
        <sz val="10"/>
        <color rgb="FF1F2A28"/>
        <rFont val="Arial"/>
        <family val="0"/>
        <charset val="1"/>
      </rPr>
      <t xml:space="preserve">34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</si>
  <si>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(03)4787221</t>
  </si>
  <si>
    <t xml:space="preserve">pzyang.tw@gmail.com</t>
  </si>
  <si>
    <t xml:space="preserve">楊沁玲</t>
  </si>
  <si>
    <r>
      <rPr>
        <sz val="10"/>
        <color rgb="FF1F2A28"/>
        <rFont val="WenQuanYi Zen Hei"/>
        <family val="2"/>
      </rPr>
      <t xml:space="preserve">楊梅區信義街</t>
    </r>
    <r>
      <rPr>
        <sz val="10"/>
        <color rgb="FF1F2A28"/>
        <rFont val="Arial"/>
        <family val="0"/>
        <charset val="1"/>
      </rPr>
      <t xml:space="preserve">231</t>
    </r>
    <r>
      <rPr>
        <sz val="10"/>
        <color rgb="FF1F2A28"/>
        <rFont val="WenQuanYi Zen Hei"/>
        <family val="2"/>
      </rPr>
      <t xml:space="preserve">號</t>
    </r>
    <r>
      <rPr>
        <sz val="10"/>
        <color rgb="FF1F2A28"/>
        <rFont val="Arial"/>
        <family val="0"/>
        <charset val="1"/>
      </rPr>
      <t xml:space="preserve">1-2F</t>
    </r>
  </si>
  <si>
    <t xml:space="preserve">(03)4721249</t>
  </si>
  <si>
    <t xml:space="preserve">私立騭德文理短期補習班</t>
  </si>
  <si>
    <r>
      <rPr>
        <sz val="10"/>
        <color rgb="FF1F2A28"/>
        <rFont val="WenQuanYi Zen Hei"/>
        <family val="2"/>
      </rPr>
      <t xml:space="preserve">楊梅區校前路</t>
    </r>
    <r>
      <rPr>
        <sz val="10"/>
        <color rgb="FF1F2A28"/>
        <rFont val="Arial"/>
        <family val="0"/>
        <charset val="1"/>
      </rPr>
      <t xml:space="preserve">22</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</si>
  <si>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(03)4882552</t>
  </si>
  <si>
    <t xml:space="preserve">a0922723689@gmail.com</t>
  </si>
  <si>
    <t xml:space="preserve">2024-12-13</t>
  </si>
  <si>
    <t xml:space="preserve">彭邱春枝</t>
  </si>
  <si>
    <t xml:space="preserve">張吉綾</t>
  </si>
  <si>
    <t xml:space="preserve">中國青年救國團桃園市團務指導委員會附設私立救國團文理技藝短期補習班南崁分班</t>
  </si>
  <si>
    <r>
      <rPr>
        <sz val="10"/>
        <color rgb="FF1F2A28"/>
        <rFont val="WenQuanYi Zen Hei"/>
        <family val="2"/>
      </rPr>
      <t xml:space="preserve">蘆竹區吉林路</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3-4</t>
    </r>
    <r>
      <rPr>
        <sz val="10"/>
        <color rgb="FF1F2A28"/>
        <rFont val="WenQuanYi Zen Hei"/>
        <family val="2"/>
      </rPr>
      <t xml:space="preserve">樓</t>
    </r>
  </si>
  <si>
    <t xml:space="preserve">(03)2129313</t>
  </si>
  <si>
    <t xml:space="preserve">170606@cyc.tw</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</si>
  <si>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瑜珈類</t>
    </r>
  </si>
  <si>
    <t xml:space="preserve">2016-09-22</t>
  </si>
  <si>
    <t xml:space="preserve">陳俊男</t>
  </si>
  <si>
    <t xml:space="preserve">巨匠電腦股份有限公司附設私立巨強美語短期補習班</t>
  </si>
  <si>
    <r>
      <rPr>
        <sz val="10"/>
        <color rgb="FF1F2A28"/>
        <rFont val="WenQuanYi Zen Hei"/>
        <family val="2"/>
      </rPr>
      <t xml:space="preserve">蘆竹區中正路</t>
    </r>
    <r>
      <rPr>
        <sz val="10"/>
        <color rgb="FF1F2A28"/>
        <rFont val="Arial"/>
        <family val="0"/>
        <charset val="1"/>
      </rPr>
      <t xml:space="preserve">116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</si>
  <si>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(03)2120680</t>
  </si>
  <si>
    <t xml:space="preserve">k18_mailbox@pcschool.com.tw</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</si>
  <si>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發音</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多益</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文法</t>
    </r>
    <r>
      <rPr>
        <sz val="10"/>
        <color rgb="FF1F2A28"/>
        <rFont val="Arial"/>
        <family val="0"/>
        <charset val="1"/>
      </rPr>
      <t xml:space="preserve">)</t>
    </r>
  </si>
  <si>
    <t xml:space="preserve">2003-07-23</t>
  </si>
  <si>
    <t xml:space="preserve">陳緗淇</t>
  </si>
  <si>
    <t xml:space="preserve">弋果文化事業股份有限公司附設私立艾美語文文理數學短期補習班</t>
  </si>
  <si>
    <r>
      <rPr>
        <sz val="10"/>
        <color rgb="FF1F2A28"/>
        <rFont val="WenQuanYi Zen Hei"/>
        <family val="2"/>
      </rPr>
      <t xml:space="preserve">蘆竹區忠孝西路</t>
    </r>
    <r>
      <rPr>
        <sz val="10"/>
        <color rgb="FF1F2A28"/>
        <rFont val="Arial"/>
        <family val="0"/>
        <charset val="1"/>
      </rPr>
      <t xml:space="preserve">60</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</si>
  <si>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(03)2126286</t>
  </si>
  <si>
    <t xml:space="preserve">iver.chiu@eagletw.com</t>
  </si>
  <si>
    <r>
      <rPr>
        <sz val="10"/>
        <color rgb="FF1F2A28"/>
        <rFont val="WenQuanYi Zen Hei"/>
        <family val="2"/>
      </rPr>
      <t xml:space="preserve">美語、國中文理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</si>
  <si>
    <t xml:space="preserve">2015-11-02</t>
  </si>
  <si>
    <t xml:space="preserve">邱韻宜</t>
  </si>
  <si>
    <t xml:space="preserve">愛可米國際文化有限公司附設私立愛學苑文理技藝短期補習班</t>
  </si>
  <si>
    <r>
      <rPr>
        <sz val="10"/>
        <color rgb="FF1F2A28"/>
        <rFont val="WenQuanYi Zen Hei"/>
        <family val="2"/>
      </rPr>
      <t xml:space="preserve">蘆竹區大新一街</t>
    </r>
    <r>
      <rPr>
        <sz val="10"/>
        <color rgb="FF1F2A28"/>
        <rFont val="Arial"/>
        <family val="0"/>
        <charset val="1"/>
      </rPr>
      <t xml:space="preserve">124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樓及大新三街</t>
    </r>
    <r>
      <rPr>
        <sz val="10"/>
        <color rgb="FF1F2A28"/>
        <rFont val="Arial"/>
        <family val="0"/>
        <charset val="1"/>
      </rPr>
      <t xml:space="preserve">201</t>
    </r>
    <r>
      <rPr>
        <sz val="10"/>
        <color rgb="FF1F2A28"/>
        <rFont val="WenQuanYi Zen Hei"/>
        <family val="2"/>
      </rPr>
      <t xml:space="preserve">巷</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</si>
  <si>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0919284051</t>
  </si>
  <si>
    <t xml:space="preserve">a880702@hotmail.com</t>
  </si>
  <si>
    <t xml:space="preserve">國中英文、美語</t>
  </si>
  <si>
    <t xml:space="preserve">2021-07-16</t>
  </si>
  <si>
    <t xml:space="preserve">吳雅筑</t>
  </si>
  <si>
    <t xml:space="preserve">私立上格美語短期補習班</t>
  </si>
  <si>
    <r>
      <rPr>
        <sz val="10"/>
        <color rgb="FF1F2A28"/>
        <rFont val="WenQuanYi Zen Hei"/>
        <family val="2"/>
      </rPr>
      <t xml:space="preserve">蘆竹區中福村一鄰上興路</t>
    </r>
    <r>
      <rPr>
        <sz val="10"/>
        <color rgb="FF1F2A28"/>
        <rFont val="Arial"/>
        <family val="0"/>
        <charset val="1"/>
      </rPr>
      <t xml:space="preserve">110</t>
    </r>
    <r>
      <rPr>
        <sz val="10"/>
        <color rgb="FF1F2A28"/>
        <rFont val="WenQuanYi Zen Hei"/>
        <family val="2"/>
      </rPr>
      <t xml:space="preserve">號三樓</t>
    </r>
  </si>
  <si>
    <t xml:space="preserve">(03)3135500</t>
  </si>
  <si>
    <t xml:space="preserve">green.kid@msa.hinet.net</t>
  </si>
  <si>
    <t xml:space="preserve">2004-07-29</t>
  </si>
  <si>
    <t xml:space="preserve">邱顯舜</t>
  </si>
  <si>
    <t xml:space="preserve">曾瓊華</t>
  </si>
  <si>
    <t xml:space="preserve">私立上韋語文文理短期補習班</t>
  </si>
  <si>
    <r>
      <rPr>
        <sz val="10"/>
        <color rgb="FF1F2A28"/>
        <rFont val="WenQuanYi Zen Hei"/>
        <family val="2"/>
      </rPr>
      <t xml:space="preserve">蘆竹區南順二街</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</si>
  <si>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(03)2227816</t>
  </si>
  <si>
    <t xml:space="preserve">aklover0811@gmail.com</t>
  </si>
  <si>
    <t xml:space="preserve">2016-11-17</t>
  </si>
  <si>
    <t xml:space="preserve">黃韋傑</t>
  </si>
  <si>
    <t xml:space="preserve">私立丫丫英語短期補習班</t>
  </si>
  <si>
    <r>
      <rPr>
        <sz val="10"/>
        <color rgb="FF1F2A28"/>
        <rFont val="WenQuanYi Zen Hei"/>
        <family val="2"/>
      </rPr>
      <t xml:space="preserve">蘆竹區長春路</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</si>
  <si>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0920196679</t>
  </si>
  <si>
    <t xml:space="preserve">yayalucia@yahoo.com.tw</t>
  </si>
  <si>
    <t xml:space="preserve">英語初級班、英語會話班</t>
  </si>
  <si>
    <t xml:space="preserve">2000-10-21</t>
  </si>
  <si>
    <t xml:space="preserve">李珊珊</t>
  </si>
  <si>
    <t xml:space="preserve">私立亞卡迪亞美語短期補習班</t>
  </si>
  <si>
    <r>
      <rPr>
        <sz val="10"/>
        <color rgb="FF1F2A28"/>
        <rFont val="WenQuanYi Zen Hei"/>
        <family val="2"/>
      </rPr>
      <t xml:space="preserve">蘆竹區南順六街</t>
    </r>
    <r>
      <rPr>
        <sz val="10"/>
        <color rgb="FF1F2A28"/>
        <rFont val="Arial"/>
        <family val="0"/>
        <charset val="1"/>
      </rPr>
      <t xml:space="preserve">59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</si>
  <si>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(03)3226123</t>
  </si>
  <si>
    <t xml:space="preserve">tiny_ro55@yahoo.com.tw</t>
  </si>
  <si>
    <t xml:space="preserve">林錦芬</t>
  </si>
  <si>
    <t xml:space="preserve">私立伊豆龍美語短期補習班</t>
  </si>
  <si>
    <r>
      <rPr>
        <sz val="10"/>
        <color rgb="FF1F2A28"/>
        <rFont val="WenQuanYi Zen Hei"/>
        <family val="2"/>
      </rPr>
      <t xml:space="preserve">蘆竹區南竹路一段</t>
    </r>
    <r>
      <rPr>
        <sz val="10"/>
        <color rgb="FF1F2A28"/>
        <rFont val="Arial"/>
        <family val="0"/>
        <charset val="1"/>
      </rPr>
      <t xml:space="preserve">98</t>
    </r>
    <r>
      <rPr>
        <sz val="10"/>
        <color rgb="FF1F2A28"/>
        <rFont val="WenQuanYi Zen Hei"/>
        <family val="2"/>
      </rPr>
      <t xml:space="preserve">巷</t>
    </r>
    <r>
      <rPr>
        <sz val="10"/>
        <color rgb="FF1F2A28"/>
        <rFont val="Arial"/>
        <family val="0"/>
        <charset val="1"/>
      </rPr>
      <t xml:space="preserve">34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</si>
  <si>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(03)3521743</t>
  </si>
  <si>
    <t xml:space="preserve">美語初級、美語中級、美語高級</t>
  </si>
  <si>
    <t xml:space="preserve">2005-01-17</t>
  </si>
  <si>
    <t xml:space="preserve">陳思佳</t>
  </si>
  <si>
    <t xml:space="preserve">私立信華美語文理短期補習班</t>
  </si>
  <si>
    <r>
      <rPr>
        <sz val="10"/>
        <color rgb="FF1F2A28"/>
        <rFont val="WenQuanYi Zen Hei"/>
        <family val="2"/>
      </rPr>
      <t xml:space="preserve">蘆竹區南福街</t>
    </r>
    <r>
      <rPr>
        <sz val="10"/>
        <color rgb="FF1F2A28"/>
        <rFont val="Arial"/>
        <family val="0"/>
        <charset val="1"/>
      </rPr>
      <t xml:space="preserve">60</t>
    </r>
    <r>
      <rPr>
        <sz val="10"/>
        <color rgb="FF1F2A28"/>
        <rFont val="WenQuanYi Zen Hei"/>
        <family val="2"/>
      </rPr>
      <t xml:space="preserve">巷</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</si>
  <si>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(03)3117300</t>
  </si>
  <si>
    <t xml:space="preserve">anguschiou2003@yahoo.com.tw</t>
  </si>
  <si>
    <t xml:space="preserve">2010-12-09</t>
  </si>
  <si>
    <t xml:space="preserve">吳育華</t>
  </si>
  <si>
    <t xml:space="preserve">私立信華美語文理短期補習班光明分班</t>
  </si>
  <si>
    <r>
      <rPr>
        <sz val="10"/>
        <color rgb="FF1F2A28"/>
        <rFont val="WenQuanYi Zen Hei"/>
        <family val="2"/>
      </rPr>
      <t xml:space="preserve">蘆竹區南順七街</t>
    </r>
    <r>
      <rPr>
        <sz val="10"/>
        <color rgb="FF1F2A28"/>
        <rFont val="Arial"/>
        <family val="0"/>
        <charset val="1"/>
      </rPr>
      <t xml:space="preserve">46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</si>
  <si>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(03)3113600</t>
  </si>
  <si>
    <t xml:space="preserve">2007-12-20</t>
  </si>
  <si>
    <t xml:space="preserve">游筱雯</t>
  </si>
  <si>
    <r>
      <rPr>
        <sz val="10"/>
        <color rgb="FF1F2A28"/>
        <rFont val="WenQuanYi Zen Hei"/>
        <family val="2"/>
      </rPr>
      <t xml:space="preserve">蘆竹區大竹路</t>
    </r>
    <r>
      <rPr>
        <sz val="10"/>
        <color rgb="FF1F2A28"/>
        <rFont val="Arial"/>
        <family val="0"/>
        <charset val="1"/>
      </rPr>
      <t xml:space="preserve">600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</si>
  <si>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(03)2756561</t>
  </si>
  <si>
    <r>
      <rPr>
        <sz val="10"/>
        <color rgb="FF1F2A28"/>
        <rFont val="WenQuanYi Zen Hei"/>
        <family val="2"/>
      </rPr>
      <t xml:space="preserve">英文、文理</t>
    </r>
    <r>
      <rPr>
        <sz val="10"/>
        <color rgb="FF1F2A28"/>
        <rFont val="Arial"/>
        <family val="0"/>
        <charset val="1"/>
      </rPr>
      <t xml:space="preserve">ABC(</t>
    </r>
    <r>
      <rPr>
        <sz val="10"/>
        <color rgb="FF1F2A28"/>
        <rFont val="WenQuanYi Zen Hei"/>
        <family val="2"/>
      </rPr>
      <t xml:space="preserve">英數</t>
    </r>
    <r>
      <rPr>
        <sz val="10"/>
        <color rgb="FF1F2A28"/>
        <rFont val="Arial"/>
        <family val="0"/>
        <charset val="1"/>
      </rPr>
      <t xml:space="preserve">)</t>
    </r>
  </si>
  <si>
    <t xml:space="preserve">私立全球文教文理數學語文短期補習班</t>
  </si>
  <si>
    <r>
      <rPr>
        <sz val="10"/>
        <color rgb="FF1F2A28"/>
        <rFont val="WenQuanYi Zen Hei"/>
        <family val="2"/>
      </rPr>
      <t xml:space="preserve">蘆竹區南崁路一段</t>
    </r>
    <r>
      <rPr>
        <sz val="10"/>
        <color rgb="FF1F2A28"/>
        <rFont val="Arial"/>
        <family val="0"/>
        <charset val="1"/>
      </rPr>
      <t xml:space="preserve">77</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</si>
  <si>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03-3221577</t>
  </si>
  <si>
    <t xml:space="preserve">aglobe.study@gmail.com</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</si>
  <si>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數英</t>
    </r>
    <r>
      <rPr>
        <sz val="10"/>
        <color rgb="FF1F2A28"/>
        <rFont val="Arial"/>
        <family val="0"/>
        <charset val="1"/>
      </rPr>
      <t xml:space="preserve">)</t>
    </r>
    <r>
      <rPr>
        <sz val="10"/>
        <color rgb="FF1F2A28"/>
        <rFont val="WenQuanYi Zen Hei"/>
        <family val="2"/>
      </rPr>
      <t xml:space="preserve">、美語</t>
    </r>
  </si>
  <si>
    <t xml:space="preserve">2011-11-28</t>
  </si>
  <si>
    <t xml:space="preserve">李奕蓁</t>
  </si>
  <si>
    <t xml:space="preserve">私立全理數學語文文理短期補習班</t>
  </si>
  <si>
    <r>
      <rPr>
        <sz val="10"/>
        <color rgb="FF1F2A28"/>
        <rFont val="WenQuanYi Zen Hei"/>
        <family val="2"/>
      </rPr>
      <t xml:space="preserve">蘆竹區南昌路</t>
    </r>
    <r>
      <rPr>
        <sz val="10"/>
        <color rgb="FF1F2A28"/>
        <rFont val="Arial"/>
        <family val="0"/>
        <charset val="1"/>
      </rPr>
      <t xml:space="preserve">236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</si>
  <si>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(03)2129578</t>
  </si>
  <si>
    <t xml:space="preserve">p973035@gmail.com</t>
  </si>
  <si>
    <t xml:space="preserve">2004-07-05</t>
  </si>
  <si>
    <t xml:space="preserve">蕭富祥</t>
  </si>
  <si>
    <t xml:space="preserve">私立冠雄文理短期補習班</t>
  </si>
  <si>
    <r>
      <rPr>
        <sz val="10"/>
        <color rgb="FF1F2A28"/>
        <rFont val="WenQuanYi Zen Hei"/>
        <family val="2"/>
      </rPr>
      <t xml:space="preserve">蘆竹區長壽三街</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</si>
  <si>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(03)3112099</t>
  </si>
  <si>
    <t xml:space="preserve">tina19977851@gmail.com</t>
  </si>
  <si>
    <t xml:space="preserve">英語、國中英文</t>
  </si>
  <si>
    <t xml:space="preserve">2009-01-10</t>
  </si>
  <si>
    <t xml:space="preserve">張昆雄</t>
  </si>
  <si>
    <t xml:space="preserve">張雅湄</t>
  </si>
  <si>
    <t xml:space="preserve">私立創意國文理語文數學美術短期補習班</t>
  </si>
  <si>
    <r>
      <rPr>
        <sz val="10"/>
        <color rgb="FF1F2A28"/>
        <rFont val="WenQuanYi Zen Hei"/>
        <family val="2"/>
      </rPr>
      <t xml:space="preserve">蘆竹區長春路</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</si>
  <si>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(03)2227833</t>
  </si>
  <si>
    <t xml:space="preserve">cooperone0814@gmail.com</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</si>
  <si>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、高中文理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、美語</t>
    </r>
  </si>
  <si>
    <t xml:space="preserve">2021-08-30</t>
  </si>
  <si>
    <t xml:space="preserve">洪正一</t>
  </si>
  <si>
    <t xml:space="preserve">私立南崁文城文理短期補習班</t>
  </si>
  <si>
    <r>
      <rPr>
        <sz val="10"/>
        <color rgb="FF1F2A28"/>
        <rFont val="WenQuanYi Zen Hei"/>
        <family val="2"/>
      </rPr>
      <t xml:space="preserve">蘆竹區南崁路</t>
    </r>
    <r>
      <rPr>
        <sz val="10"/>
        <color rgb="FF1F2A28"/>
        <rFont val="Arial"/>
        <family val="0"/>
        <charset val="1"/>
      </rPr>
      <t xml:space="preserve">265</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、之</t>
    </r>
    <r>
      <rPr>
        <sz val="10"/>
        <color rgb="FF1F2A28"/>
        <rFont val="Arial"/>
        <family val="0"/>
        <charset val="1"/>
      </rPr>
      <t xml:space="preserve">7</t>
    </r>
  </si>
  <si>
    <t xml:space="preserve">(03)2123321</t>
  </si>
  <si>
    <t xml:space="preserve">nkwinchamp@gmail.com</t>
  </si>
  <si>
    <t xml:space="preserve">2014-08-27</t>
  </si>
  <si>
    <t xml:space="preserve">歐家瑋</t>
  </si>
  <si>
    <t xml:space="preserve">李雨倩</t>
  </si>
  <si>
    <t xml:space="preserve">私立南華英語會話短期補習班</t>
  </si>
  <si>
    <r>
      <rPr>
        <sz val="10"/>
        <color rgb="FF1F2A28"/>
        <rFont val="WenQuanYi Zen Hei"/>
        <family val="2"/>
      </rPr>
      <t xml:space="preserve">蘆竹區南竹路一段</t>
    </r>
    <r>
      <rPr>
        <sz val="10"/>
        <color rgb="FF1F2A28"/>
        <rFont val="Arial"/>
        <family val="0"/>
        <charset val="1"/>
      </rPr>
      <t xml:space="preserve">98</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</si>
  <si>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梁信淯</t>
  </si>
  <si>
    <t xml:space="preserve">私立問鼎文理語文短期補習班</t>
  </si>
  <si>
    <r>
      <rPr>
        <sz val="10"/>
        <color rgb="FF1F2A28"/>
        <rFont val="WenQuanYi Zen Hei"/>
        <family val="2"/>
      </rPr>
      <t xml:space="preserve">蘆竹區南竹路一段</t>
    </r>
    <r>
      <rPr>
        <sz val="10"/>
        <color rgb="FF1F2A28"/>
        <rFont val="Arial"/>
        <family val="0"/>
        <charset val="1"/>
      </rPr>
      <t xml:space="preserve">112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</si>
  <si>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(03)3221116</t>
  </si>
  <si>
    <t xml:space="preserve">2015-02-25</t>
  </si>
  <si>
    <t xml:space="preserve">葉淑芬</t>
  </si>
  <si>
    <t xml:space="preserve">私立啟迪美語短期補習班</t>
  </si>
  <si>
    <r>
      <rPr>
        <sz val="10"/>
        <color rgb="FF1F2A28"/>
        <rFont val="WenQuanYi Zen Hei"/>
        <family val="2"/>
      </rPr>
      <t xml:space="preserve">蘆竹區奉化路</t>
    </r>
    <r>
      <rPr>
        <sz val="10"/>
        <color rgb="FF1F2A28"/>
        <rFont val="Arial"/>
        <family val="0"/>
        <charset val="1"/>
      </rPr>
      <t xml:space="preserve">145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樓、南順六街</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</si>
  <si>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(03)2222797</t>
  </si>
  <si>
    <t xml:space="preserve">2006-06-16</t>
  </si>
  <si>
    <t xml:space="preserve">洪國龍</t>
  </si>
  <si>
    <t xml:space="preserve">私立嘉維美語短期補習班</t>
  </si>
  <si>
    <r>
      <rPr>
        <sz val="10"/>
        <color rgb="FF1F2A28"/>
        <rFont val="WenQuanYi Zen Hei"/>
        <family val="2"/>
      </rPr>
      <t xml:space="preserve">蘆竹區中山路</t>
    </r>
    <r>
      <rPr>
        <sz val="10"/>
        <color rgb="FF1F2A28"/>
        <rFont val="Arial"/>
        <family val="0"/>
        <charset val="1"/>
      </rPr>
      <t xml:space="preserve">187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</si>
  <si>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(03)2120908</t>
  </si>
  <si>
    <t xml:space="preserve">hs2123@hess.com.tw</t>
  </si>
  <si>
    <t xml:space="preserve">初級美語、中級美語、高級美語</t>
  </si>
  <si>
    <t xml:space="preserve">2008-02-25</t>
  </si>
  <si>
    <t xml:space="preserve">黃俊賢</t>
  </si>
  <si>
    <t xml:space="preserve">陳佩霞</t>
  </si>
  <si>
    <t xml:space="preserve">私立夏福爾美語短期補習班</t>
  </si>
  <si>
    <r>
      <rPr>
        <sz val="10"/>
        <color rgb="FF1F2A28"/>
        <rFont val="WenQuanYi Zen Hei"/>
        <family val="2"/>
      </rPr>
      <t xml:space="preserve">蘆竹區南竹路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71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</si>
  <si>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(03)3213529</t>
  </si>
  <si>
    <t xml:space="preserve">may5888228@yahoo.com.tw</t>
  </si>
  <si>
    <t xml:space="preserve">2003-05-02</t>
  </si>
  <si>
    <t xml:space="preserve">梁詠澖</t>
  </si>
  <si>
    <t xml:space="preserve">梁啟智</t>
  </si>
  <si>
    <r>
      <rPr>
        <sz val="10"/>
        <color rgb="FF1F2A28"/>
        <rFont val="WenQuanYi Zen Hei"/>
        <family val="2"/>
      </rPr>
      <t xml:space="preserve">蘆竹區大新路</t>
    </r>
    <r>
      <rPr>
        <sz val="10"/>
        <color rgb="FF1F2A28"/>
        <rFont val="Arial"/>
        <family val="0"/>
        <charset val="1"/>
      </rPr>
      <t xml:space="preserve">129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t>
    </r>
    <r>
      <rPr>
        <sz val="10"/>
        <color rgb="FF1F2A28"/>
        <rFont val="Arial"/>
        <family val="0"/>
        <charset val="1"/>
      </rPr>
      <t xml:space="preserve">131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</si>
  <si>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(03)3135130</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</si>
  <si>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初階</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進階</t>
    </r>
    <r>
      <rPr>
        <sz val="10"/>
        <color rgb="FF1F2A28"/>
        <rFont val="Arial"/>
        <family val="0"/>
        <charset val="1"/>
      </rPr>
      <t xml:space="preserve">)</t>
    </r>
  </si>
  <si>
    <t xml:space="preserve">私立大興數學語文短期補習班</t>
  </si>
  <si>
    <r>
      <rPr>
        <sz val="10"/>
        <color rgb="FF1F2A28"/>
        <rFont val="WenQuanYi Zen Hei"/>
        <family val="2"/>
      </rPr>
      <t xml:space="preserve">蘆竹區大興十四街</t>
    </r>
    <r>
      <rPr>
        <sz val="10"/>
        <color rgb="FF1F2A28"/>
        <rFont val="Arial"/>
        <family val="0"/>
        <charset val="1"/>
      </rPr>
      <t xml:space="preserve">129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</si>
  <si>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(03)3138479</t>
  </si>
  <si>
    <t xml:space="preserve">a0928131961@gmail.com</t>
  </si>
  <si>
    <t xml:space="preserve">2020-02-11</t>
  </si>
  <si>
    <t xml:space="preserve">徐碧月</t>
  </si>
  <si>
    <t xml:space="preserve">私立奇士威文理短期補習班</t>
  </si>
  <si>
    <r>
      <rPr>
        <sz val="10"/>
        <color rgb="FF1F2A28"/>
        <rFont val="WenQuanYi Zen Hei"/>
        <family val="2"/>
      </rPr>
      <t xml:space="preserve">蘆竹區南上路</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</si>
  <si>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(03)3119567</t>
  </si>
  <si>
    <t xml:space="preserve">superlucky229@gmail.com</t>
  </si>
  <si>
    <t xml:space="preserve">張佳珮</t>
  </si>
  <si>
    <t xml:space="preserve">私立好好學堂文理短期補習班</t>
  </si>
  <si>
    <r>
      <rPr>
        <sz val="10"/>
        <color rgb="FF1F2A28"/>
        <rFont val="WenQuanYi Zen Hei"/>
        <family val="2"/>
      </rPr>
      <t xml:space="preserve">蘆竹區長春路</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</si>
  <si>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(03)3520579</t>
  </si>
  <si>
    <t xml:space="preserve">mr.maxlsc@gmail.com</t>
  </si>
  <si>
    <r>
      <rPr>
        <sz val="10"/>
        <color rgb="FF1F2A28"/>
        <rFont val="WenQuanYi Zen Hei"/>
        <family val="2"/>
      </rPr>
      <t xml:space="preserve">美語初級</t>
    </r>
    <r>
      <rPr>
        <sz val="10"/>
        <color rgb="FF1F2A28"/>
        <rFont val="Arial"/>
        <family val="0"/>
        <charset val="1"/>
      </rPr>
      <t xml:space="preserve">(ABCDE)</t>
    </r>
    <r>
      <rPr>
        <sz val="10"/>
        <color rgb="FF1F2A28"/>
        <rFont val="WenQuanYi Zen Hei"/>
        <family val="2"/>
      </rPr>
      <t xml:space="preserve">、英文中級</t>
    </r>
    <r>
      <rPr>
        <sz val="10"/>
        <color rgb="FF1F2A28"/>
        <rFont val="Arial"/>
        <family val="0"/>
        <charset val="1"/>
      </rPr>
      <t xml:space="preserve">(ABC)</t>
    </r>
  </si>
  <si>
    <t xml:space="preserve">林書群</t>
  </si>
  <si>
    <t xml:space="preserve">私立如苑文理短期補習班</t>
  </si>
  <si>
    <r>
      <rPr>
        <sz val="10"/>
        <color rgb="FF1F2A28"/>
        <rFont val="WenQuanYi Zen Hei"/>
        <family val="2"/>
      </rPr>
      <t xml:space="preserve">蘆竹區南昌路</t>
    </r>
    <r>
      <rPr>
        <sz val="10"/>
        <color rgb="FF1F2A28"/>
        <rFont val="Arial"/>
        <family val="0"/>
        <charset val="1"/>
      </rPr>
      <t xml:space="preserve">226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</si>
  <si>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(03)3522300</t>
  </si>
  <si>
    <t xml:space="preserve">asyouwish.ty@gmail.com</t>
  </si>
  <si>
    <t xml:space="preserve">2015-12-28</t>
  </si>
  <si>
    <t xml:space="preserve">林美諭</t>
  </si>
  <si>
    <t xml:space="preserve">林于喬</t>
  </si>
  <si>
    <t xml:space="preserve">私立學優美語心算補習班</t>
  </si>
  <si>
    <r>
      <rPr>
        <sz val="10"/>
        <color rgb="FF1F2A28"/>
        <rFont val="WenQuanYi Zen Hei"/>
        <family val="2"/>
      </rPr>
      <t xml:space="preserve">蘆竹區中山路</t>
    </r>
    <r>
      <rPr>
        <sz val="10"/>
        <color rgb="FF1F2A28"/>
        <rFont val="Arial"/>
        <family val="0"/>
        <charset val="1"/>
      </rPr>
      <t xml:space="preserve">43</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</si>
  <si>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r>
      <rPr>
        <sz val="10"/>
        <color rgb="FF1F2A28"/>
        <rFont val="Arial"/>
        <family val="0"/>
        <charset val="1"/>
      </rPr>
      <t xml:space="preserve">(03)3220541</t>
    </r>
    <r>
      <rPr>
        <sz val="10"/>
        <color rgb="FF1F2A28"/>
        <rFont val="WenQuanYi Zen Hei"/>
        <family val="2"/>
      </rPr>
      <t xml:space="preserve">、</t>
    </r>
    <r>
      <rPr>
        <sz val="10"/>
        <color rgb="FF1F2A28"/>
        <rFont val="Arial"/>
        <family val="0"/>
        <charset val="1"/>
      </rPr>
      <t xml:space="preserve">(03)3213210</t>
    </r>
  </si>
  <si>
    <t xml:space="preserve">2003-11-04</t>
  </si>
  <si>
    <t xml:space="preserve">王麗卿</t>
  </si>
  <si>
    <t xml:space="preserve">私立學鴻美語文理短期補習班</t>
  </si>
  <si>
    <r>
      <rPr>
        <sz val="10"/>
        <color rgb="FF1F2A28"/>
        <rFont val="WenQuanYi Zen Hei"/>
        <family val="2"/>
      </rPr>
      <t xml:space="preserve">蘆竹區明光街</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15-1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</si>
  <si>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(03)3131431</t>
  </si>
  <si>
    <t xml:space="preserve">DaZhuVictory@gmail.com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</si>
  <si>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英數生</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英數生史</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英數理史</t>
    </r>
    <r>
      <rPr>
        <sz val="10"/>
        <color rgb="FF1F2A28"/>
        <rFont val="Arial"/>
        <family val="0"/>
        <charset val="1"/>
      </rPr>
      <t xml:space="preserve">)</t>
    </r>
    <r>
      <rPr>
        <sz val="10"/>
        <color rgb="FF1F2A28"/>
        <rFont val="WenQuanYi Zen Hei"/>
        <family val="2"/>
      </rPr>
      <t xml:space="preserve">、美語</t>
    </r>
  </si>
  <si>
    <t xml:space="preserve">2017-09-18</t>
  </si>
  <si>
    <t xml:space="preserve">羅立凱</t>
  </si>
  <si>
    <t xml:space="preserve">私立宇成美語文理短期補習班</t>
  </si>
  <si>
    <r>
      <rPr>
        <sz val="10"/>
        <color rgb="FF1F2A28"/>
        <rFont val="WenQuanYi Zen Hei"/>
        <family val="2"/>
      </rPr>
      <t xml:space="preserve">蘆竹區南興村南昌路</t>
    </r>
    <r>
      <rPr>
        <sz val="10"/>
        <color rgb="FF1F2A28"/>
        <rFont val="Arial"/>
        <family val="0"/>
        <charset val="1"/>
      </rPr>
      <t xml:space="preserve">250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264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</si>
  <si>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(03)3115-118</t>
  </si>
  <si>
    <t xml:space="preserve">2000-03-21</t>
  </si>
  <si>
    <r>
      <rPr>
        <sz val="10"/>
        <color rgb="FF1F2A28"/>
        <rFont val="WenQuanYi Zen Hei"/>
        <family val="2"/>
      </rPr>
      <t xml:space="preserve">蘆竹區南順七街</t>
    </r>
    <r>
      <rPr>
        <sz val="10"/>
        <color rgb="FF1F2A28"/>
        <rFont val="Arial"/>
        <family val="0"/>
        <charset val="1"/>
      </rPr>
      <t xml:space="preserve">24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</si>
  <si>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(03)321-3626</t>
  </si>
  <si>
    <t xml:space="preserve">私立安博語文短期補習班</t>
  </si>
  <si>
    <r>
      <rPr>
        <sz val="10"/>
        <color rgb="FF1F2A28"/>
        <rFont val="WenQuanYi Zen Hei"/>
        <family val="2"/>
      </rPr>
      <t xml:space="preserve">蘆竹區吉林路</t>
    </r>
    <r>
      <rPr>
        <sz val="10"/>
        <color rgb="FF1F2A28"/>
        <rFont val="Arial"/>
        <family val="0"/>
        <charset val="1"/>
      </rPr>
      <t xml:space="preserve">24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</si>
  <si>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(03)2128711</t>
  </si>
  <si>
    <t xml:space="preserve">bb043@joy.com.tw</t>
  </si>
  <si>
    <t xml:space="preserve">2008-08-27</t>
  </si>
  <si>
    <t xml:space="preserve">柴季華</t>
  </si>
  <si>
    <t xml:space="preserve">私立安杰昇語文文理短期補習班</t>
  </si>
  <si>
    <r>
      <rPr>
        <sz val="10"/>
        <color rgb="FF1F2A28"/>
        <rFont val="WenQuanYi Zen Hei"/>
        <family val="2"/>
      </rPr>
      <t xml:space="preserve">蘆竹區南福街</t>
    </r>
    <r>
      <rPr>
        <sz val="10"/>
        <color rgb="FF1F2A28"/>
        <rFont val="Arial"/>
        <family val="0"/>
        <charset val="1"/>
      </rPr>
      <t xml:space="preserve">60</t>
    </r>
    <r>
      <rPr>
        <sz val="10"/>
        <color rgb="FF1F2A28"/>
        <rFont val="WenQuanYi Zen Hei"/>
        <family val="2"/>
      </rPr>
      <t xml:space="preserve">巷</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</si>
  <si>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(03)3220100</t>
  </si>
  <si>
    <t xml:space="preserve">Jasonwei.chief@gmail.com</t>
  </si>
  <si>
    <r>
      <rPr>
        <sz val="10"/>
        <color rgb="FF1F2A28"/>
        <rFont val="WenQuanYi Zen Hei"/>
        <family val="2"/>
      </rPr>
      <t xml:space="preserve">兒童美語</t>
    </r>
    <r>
      <rPr>
        <sz val="10"/>
        <color rgb="FF1F2A28"/>
        <rFont val="Arial"/>
        <family val="0"/>
        <charset val="1"/>
      </rPr>
      <t xml:space="preserve">(</t>
    </r>
    <r>
      <rPr>
        <sz val="10"/>
        <color rgb="FF1F2A28"/>
        <rFont val="WenQuanYi Zen Hei"/>
        <family val="2"/>
      </rPr>
      <t xml:space="preserve">初級</t>
    </r>
    <r>
      <rPr>
        <sz val="10"/>
        <color rgb="FF1F2A28"/>
        <rFont val="Arial"/>
        <family val="0"/>
        <charset val="1"/>
      </rPr>
      <t xml:space="preserve">)</t>
    </r>
    <r>
      <rPr>
        <sz val="10"/>
        <color rgb="FF1F2A28"/>
        <rFont val="WenQuanYi Zen Hei"/>
        <family val="2"/>
      </rPr>
      <t xml:space="preserve">、兒童美語</t>
    </r>
    <r>
      <rPr>
        <sz val="10"/>
        <color rgb="FF1F2A28"/>
        <rFont val="Arial"/>
        <family val="0"/>
        <charset val="1"/>
      </rPr>
      <t xml:space="preserve">(</t>
    </r>
    <r>
      <rPr>
        <sz val="10"/>
        <color rgb="FF1F2A28"/>
        <rFont val="WenQuanYi Zen Hei"/>
        <family val="2"/>
      </rPr>
      <t xml:space="preserve">中級</t>
    </r>
    <r>
      <rPr>
        <sz val="10"/>
        <color rgb="FF1F2A28"/>
        <rFont val="Arial"/>
        <family val="0"/>
        <charset val="1"/>
      </rPr>
      <t xml:space="preserve">)</t>
    </r>
    <r>
      <rPr>
        <sz val="10"/>
        <color rgb="FF1F2A28"/>
        <rFont val="WenQuanYi Zen Hei"/>
        <family val="2"/>
      </rPr>
      <t xml:space="preserve">、兒童美語</t>
    </r>
    <r>
      <rPr>
        <sz val="10"/>
        <color rgb="FF1F2A28"/>
        <rFont val="Arial"/>
        <family val="0"/>
        <charset val="1"/>
      </rPr>
      <t xml:space="preserve">(</t>
    </r>
    <r>
      <rPr>
        <sz val="10"/>
        <color rgb="FF1F2A28"/>
        <rFont val="WenQuanYi Zen Hei"/>
        <family val="2"/>
      </rPr>
      <t xml:space="preserve">高級</t>
    </r>
    <r>
      <rPr>
        <sz val="10"/>
        <color rgb="FF1F2A28"/>
        <rFont val="Arial"/>
        <family val="0"/>
        <charset val="1"/>
      </rPr>
      <t xml:space="preserve">)</t>
    </r>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</si>
  <si>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2021-10-20</t>
  </si>
  <si>
    <t xml:space="preserve">魏宏傑</t>
  </si>
  <si>
    <t xml:space="preserve">私立安誠文理語文數學短期補習班</t>
  </si>
  <si>
    <r>
      <rPr>
        <sz val="10"/>
        <color rgb="FF1F2A28"/>
        <rFont val="WenQuanYi Zen Hei"/>
        <family val="2"/>
      </rPr>
      <t xml:space="preserve">蘆竹區南福街</t>
    </r>
    <r>
      <rPr>
        <sz val="10"/>
        <color rgb="FF1F2A28"/>
        <rFont val="Arial"/>
        <family val="0"/>
        <charset val="1"/>
      </rPr>
      <t xml:space="preserve">27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</si>
  <si>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(03)3115431</t>
  </si>
  <si>
    <t xml:space="preserve">formonkey2007@gmail.com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</si>
  <si>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數學、英文、自然</t>
    </r>
    <r>
      <rPr>
        <sz val="10"/>
        <color rgb="FF1F2A28"/>
        <rFont val="Arial"/>
        <family val="0"/>
        <charset val="1"/>
      </rPr>
      <t xml:space="preserve">)</t>
    </r>
    <r>
      <rPr>
        <sz val="10"/>
        <color rgb="FF1F2A28"/>
        <rFont val="WenQuanYi Zen Hei"/>
        <family val="2"/>
      </rPr>
      <t xml:space="preserve">、美語</t>
    </r>
  </si>
  <si>
    <t xml:space="preserve">2005-10-17</t>
  </si>
  <si>
    <t xml:space="preserve">徐淑婷</t>
  </si>
  <si>
    <t xml:space="preserve">私立宏大美語數學文理短期補習班</t>
  </si>
  <si>
    <r>
      <rPr>
        <sz val="10"/>
        <color rgb="FF1F2A28"/>
        <rFont val="WenQuanYi Zen Hei"/>
        <family val="2"/>
      </rPr>
      <t xml:space="preserve">蘆竹區中山路</t>
    </r>
    <r>
      <rPr>
        <sz val="10"/>
        <color rgb="FF1F2A28"/>
        <rFont val="Arial"/>
        <family val="0"/>
        <charset val="1"/>
      </rPr>
      <t xml:space="preserve">125</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4</t>
    </r>
    <r>
      <rPr>
        <sz val="10"/>
        <color rgb="FF1F2A28"/>
        <rFont val="WenQuanYi Zen Hei"/>
        <family val="2"/>
      </rPr>
      <t xml:space="preserve">樓</t>
    </r>
  </si>
  <si>
    <t xml:space="preserve">(03)3117378</t>
  </si>
  <si>
    <t xml:space="preserve">attain543@yahoo.com.tw</t>
  </si>
  <si>
    <t xml:space="preserve">2003-06-06</t>
  </si>
  <si>
    <t xml:space="preserve">劉國興</t>
  </si>
  <si>
    <t xml:space="preserve">劉立興</t>
  </si>
  <si>
    <t xml:space="preserve">私立宏海文理短期補習班</t>
  </si>
  <si>
    <r>
      <rPr>
        <sz val="10"/>
        <color rgb="FF1F2A28"/>
        <rFont val="WenQuanYi Zen Hei"/>
        <family val="2"/>
      </rPr>
      <t xml:space="preserve">蘆竹區中山北街</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</si>
  <si>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(03)3220616</t>
  </si>
  <si>
    <t xml:space="preserve">ssssun2@gmail.com</t>
  </si>
  <si>
    <t xml:space="preserve">楊大慶</t>
  </si>
  <si>
    <t xml:space="preserve">黃郁芳</t>
  </si>
  <si>
    <t xml:space="preserve">私立宏育文理語文數學短期補習班</t>
  </si>
  <si>
    <r>
      <rPr>
        <sz val="10"/>
        <color rgb="FF1F2A28"/>
        <rFont val="WenQuanYi Zen Hei"/>
        <family val="2"/>
      </rPr>
      <t xml:space="preserve">蘆竹區長壽三街</t>
    </r>
    <r>
      <rPr>
        <sz val="10"/>
        <color rgb="FF1F2A28"/>
        <rFont val="Arial"/>
        <family val="0"/>
        <charset val="1"/>
      </rPr>
      <t xml:space="preserve">40</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</si>
  <si>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(03)3217666</t>
  </si>
  <si>
    <t xml:space="preserve">wulisa1011@yahoo.com.tw</t>
  </si>
  <si>
    <t xml:space="preserve">邱鴻森</t>
  </si>
  <si>
    <t xml:space="preserve">私立宏軒文理短期補習班</t>
  </si>
  <si>
    <r>
      <rPr>
        <sz val="10"/>
        <color rgb="FF1F2A28"/>
        <rFont val="WenQuanYi Zen Hei"/>
        <family val="2"/>
      </rPr>
      <t xml:space="preserve">蘆竹區中山路</t>
    </r>
    <r>
      <rPr>
        <sz val="10"/>
        <color rgb="FF1F2A28"/>
        <rFont val="Arial"/>
        <family val="0"/>
        <charset val="1"/>
      </rPr>
      <t xml:space="preserve">76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</si>
  <si>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(03)2225088</t>
  </si>
  <si>
    <r>
      <rPr>
        <sz val="10"/>
        <color rgb="FF1F2A28"/>
        <rFont val="WenQuanYi Zen Hei"/>
        <family val="2"/>
      </rPr>
      <t xml:space="preserve">國中文理科</t>
    </r>
    <r>
      <rPr>
        <sz val="10"/>
        <color rgb="FF1F2A28"/>
        <rFont val="Arial"/>
        <family val="0"/>
        <charset val="1"/>
      </rPr>
      <t xml:space="preserve">(</t>
    </r>
    <r>
      <rPr>
        <sz val="10"/>
        <color rgb="FF1F2A28"/>
        <rFont val="WenQuanYi Zen Hei"/>
        <family val="2"/>
      </rPr>
      <t xml:space="preserve">國、英、數、自、社，各</t>
    </r>
    <r>
      <rPr>
        <sz val="10"/>
        <color rgb="FF1F2A28"/>
        <rFont val="Arial"/>
        <family val="0"/>
        <charset val="1"/>
      </rPr>
      <t xml:space="preserve">3</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、美語</t>
    </r>
  </si>
  <si>
    <t xml:space="preserve">2018-09-20</t>
  </si>
  <si>
    <t xml:space="preserve">私立宜圓文理短期補習班</t>
  </si>
  <si>
    <r>
      <rPr>
        <sz val="10"/>
        <color rgb="FF1F2A28"/>
        <rFont val="WenQuanYi Zen Hei"/>
        <family val="2"/>
      </rPr>
      <t xml:space="preserve">蘆竹區奉化路</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</si>
  <si>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(03)3219315</t>
  </si>
  <si>
    <t xml:space="preserve">fy522@funyale.net</t>
  </si>
  <si>
    <t xml:space="preserve">2009-04-14</t>
  </si>
  <si>
    <t xml:space="preserve">高金菊</t>
  </si>
  <si>
    <t xml:space="preserve">私立帝爾美語短期補習班</t>
  </si>
  <si>
    <r>
      <rPr>
        <sz val="10"/>
        <color rgb="FF1F2A28"/>
        <rFont val="WenQuanYi Zen Hei"/>
        <family val="2"/>
      </rPr>
      <t xml:space="preserve">蘆竹區吉林路</t>
    </r>
    <r>
      <rPr>
        <sz val="10"/>
        <color rgb="FF1F2A28"/>
        <rFont val="Arial"/>
        <family val="0"/>
        <charset val="1"/>
      </rPr>
      <t xml:space="preserve">139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</si>
  <si>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(03)2127566</t>
  </si>
  <si>
    <t xml:space="preserve">美語基礎班、美語中級班</t>
  </si>
  <si>
    <t xml:space="preserve">熊映芬</t>
  </si>
  <si>
    <t xml:space="preserve">張貴群</t>
  </si>
  <si>
    <t xml:space="preserve">私立康橋美語會話短期補習班</t>
  </si>
  <si>
    <r>
      <rPr>
        <sz val="10"/>
        <color rgb="FF1F2A28"/>
        <rFont val="WenQuanYi Zen Hei"/>
        <family val="2"/>
      </rPr>
      <t xml:space="preserve">蘆竹區五福村</t>
    </r>
    <r>
      <rPr>
        <sz val="10"/>
        <color rgb="FF1F2A28"/>
        <rFont val="Arial"/>
        <family val="0"/>
        <charset val="1"/>
      </rPr>
      <t xml:space="preserve">7</t>
    </r>
    <r>
      <rPr>
        <sz val="10"/>
        <color rgb="FF1F2A28"/>
        <rFont val="WenQuanYi Zen Hei"/>
        <family val="2"/>
      </rPr>
      <t xml:space="preserve">鄰五福路</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</si>
  <si>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(03)3119989</t>
  </si>
  <si>
    <t xml:space="preserve">carissa95@gmail.com.tw</t>
  </si>
  <si>
    <t xml:space="preserve">2011-12-06</t>
  </si>
  <si>
    <t xml:space="preserve">李鶯鶯</t>
  </si>
  <si>
    <t xml:space="preserve">楊青芬</t>
  </si>
  <si>
    <t xml:space="preserve">私立弘人文理短期補習班</t>
  </si>
  <si>
    <r>
      <rPr>
        <sz val="10"/>
        <color rgb="FF1F2A28"/>
        <rFont val="WenQuanYi Zen Hei"/>
        <family val="2"/>
      </rPr>
      <t xml:space="preserve">蘆竹區中山北街</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</si>
  <si>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(03)3525108</t>
  </si>
  <si>
    <t xml:space="preserve">nccumichael1027@gmail.com</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</si>
  <si>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1</t>
    </r>
    <r>
      <rPr>
        <sz val="10"/>
        <color rgb="FF1F2A28"/>
        <rFont val="WenQuanYi Zen Hei"/>
        <family val="2"/>
      </rPr>
      <t xml:space="preserve">班、國文</t>
    </r>
    <r>
      <rPr>
        <sz val="10"/>
        <color rgb="FF1F2A28"/>
        <rFont val="Arial"/>
        <family val="0"/>
        <charset val="1"/>
      </rPr>
      <t xml:space="preserve">1</t>
    </r>
    <r>
      <rPr>
        <sz val="10"/>
        <color rgb="FF1F2A28"/>
        <rFont val="WenQuanYi Zen Hei"/>
        <family val="2"/>
      </rPr>
      <t xml:space="preserve">班、社會</t>
    </r>
    <r>
      <rPr>
        <sz val="10"/>
        <color rgb="FF1F2A28"/>
        <rFont val="Arial"/>
        <family val="0"/>
        <charset val="1"/>
      </rPr>
      <t xml:space="preserve">1</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、高中文理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2</t>
    </r>
    <r>
      <rPr>
        <sz val="10"/>
        <color rgb="FF1F2A28"/>
        <rFont val="WenQuanYi Zen Hei"/>
        <family val="2"/>
      </rPr>
      <t xml:space="preserve">班、化學</t>
    </r>
    <r>
      <rPr>
        <sz val="10"/>
        <color rgb="FF1F2A28"/>
        <rFont val="Arial"/>
        <family val="0"/>
        <charset val="1"/>
      </rPr>
      <t xml:space="preserve">1</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、國小文理</t>
    </r>
    <r>
      <rPr>
        <sz val="10"/>
        <color rgb="FF1F2A28"/>
        <rFont val="Arial"/>
        <family val="0"/>
        <charset val="1"/>
      </rPr>
      <t xml:space="preserve">(</t>
    </r>
    <r>
      <rPr>
        <sz val="10"/>
        <color rgb="FF1F2A28"/>
        <rFont val="WenQuanYi Zen Hei"/>
        <family val="2"/>
      </rPr>
      <t xml:space="preserve">國語</t>
    </r>
    <r>
      <rPr>
        <sz val="10"/>
        <color rgb="FF1F2A28"/>
        <rFont val="Arial"/>
        <family val="0"/>
        <charset val="1"/>
      </rPr>
      <t xml:space="preserve">1</t>
    </r>
    <r>
      <rPr>
        <sz val="10"/>
        <color rgb="FF1F2A28"/>
        <rFont val="WenQuanYi Zen Hei"/>
        <family val="2"/>
      </rPr>
      <t xml:space="preserve">班、英語</t>
    </r>
    <r>
      <rPr>
        <sz val="10"/>
        <color rgb="FF1F2A28"/>
        <rFont val="Arial"/>
        <family val="0"/>
        <charset val="1"/>
      </rPr>
      <t xml:space="preserve">1</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、高中文理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1</t>
    </r>
    <r>
      <rPr>
        <sz val="10"/>
        <color rgb="FF1F2A28"/>
        <rFont val="WenQuanYi Zen Hei"/>
        <family val="2"/>
      </rPr>
      <t xml:space="preserve">班、物理</t>
    </r>
    <r>
      <rPr>
        <sz val="10"/>
        <color rgb="FF1F2A28"/>
        <rFont val="Arial"/>
        <family val="0"/>
        <charset val="1"/>
      </rPr>
      <t xml:space="preserve">3</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2</t>
    </r>
    <r>
      <rPr>
        <sz val="10"/>
        <color rgb="FF1F2A28"/>
        <rFont val="WenQuanYi Zen Hei"/>
        <family val="2"/>
      </rPr>
      <t xml:space="preserve">班、自然</t>
    </r>
    <r>
      <rPr>
        <sz val="10"/>
        <color rgb="FF1F2A28"/>
        <rFont val="Arial"/>
        <family val="0"/>
        <charset val="1"/>
      </rPr>
      <t xml:space="preserve">1</t>
    </r>
    <r>
      <rPr>
        <sz val="10"/>
        <color rgb="FF1F2A28"/>
        <rFont val="WenQuanYi Zen Hei"/>
        <family val="2"/>
      </rPr>
      <t xml:space="preserve">班</t>
    </r>
    <r>
      <rPr>
        <sz val="10"/>
        <color rgb="FF1F2A28"/>
        <rFont val="Arial"/>
        <family val="0"/>
        <charset val="1"/>
      </rPr>
      <t xml:space="preserve">)</t>
    </r>
  </si>
  <si>
    <t xml:space="preserve">2010-07-05</t>
  </si>
  <si>
    <t xml:space="preserve">陳勇志</t>
  </si>
  <si>
    <t xml:space="preserve">私立得勝語文文理短期補習班</t>
  </si>
  <si>
    <r>
      <rPr>
        <sz val="10"/>
        <color rgb="FF1F2A28"/>
        <rFont val="WenQuanYi Zen Hei"/>
        <family val="2"/>
      </rPr>
      <t xml:space="preserve">蘆竹區新福街</t>
    </r>
    <r>
      <rPr>
        <sz val="10"/>
        <color rgb="FF1F2A28"/>
        <rFont val="Arial"/>
        <family val="0"/>
        <charset val="1"/>
      </rPr>
      <t xml:space="preserve">321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</si>
  <si>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(03)3131456</t>
  </si>
  <si>
    <t xml:space="preserve">simi0128@gmail.com</t>
  </si>
  <si>
    <t xml:space="preserve">2002-12-19</t>
  </si>
  <si>
    <t xml:space="preserve">鄭珮瑀</t>
  </si>
  <si>
    <t xml:space="preserve">私立思生活文理短期補習班</t>
  </si>
  <si>
    <r>
      <rPr>
        <sz val="10"/>
        <color rgb="FF1F2A28"/>
        <rFont val="WenQuanYi Zen Hei"/>
        <family val="2"/>
      </rPr>
      <t xml:space="preserve">蘆竹區中山路</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樓前半部</t>
    </r>
  </si>
  <si>
    <t xml:space="preserve">(03)2122020</t>
  </si>
  <si>
    <t xml:space="preserve">super2122020@gmail.com</t>
  </si>
  <si>
    <t xml:space="preserve">2025-07-21</t>
  </si>
  <si>
    <t xml:space="preserve">劉維豐</t>
  </si>
  <si>
    <t xml:space="preserve">私立慢步音樂技藝文理短期補習班</t>
  </si>
  <si>
    <r>
      <rPr>
        <sz val="10"/>
        <color rgb="FF1F2A28"/>
        <rFont val="WenQuanYi Zen Hei"/>
        <family val="2"/>
      </rPr>
      <t xml:space="preserve">蘆竹區中山路</t>
    </r>
    <r>
      <rPr>
        <sz val="10"/>
        <color rgb="FF1F2A28"/>
        <rFont val="Arial"/>
        <family val="0"/>
        <charset val="1"/>
      </rPr>
      <t xml:space="preserve">18</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</si>
  <si>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(03)2221170</t>
  </si>
  <si>
    <t xml:space="preserve">joelikestar@gmail.com</t>
  </si>
  <si>
    <t xml:space="preserve">2026-08-11</t>
  </si>
  <si>
    <t xml:space="preserve">許宛濃</t>
  </si>
  <si>
    <t xml:space="preserve">私立拓宇文理語文短期補習班</t>
  </si>
  <si>
    <r>
      <rPr>
        <sz val="10"/>
        <color rgb="FF1F2A28"/>
        <rFont val="WenQuanYi Zen Hei"/>
        <family val="2"/>
      </rPr>
      <t xml:space="preserve">蘆竹區長春路</t>
    </r>
    <r>
      <rPr>
        <sz val="10"/>
        <color rgb="FF1F2A28"/>
        <rFont val="Arial"/>
        <family val="0"/>
        <charset val="1"/>
      </rPr>
      <t xml:space="preserve">83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</si>
  <si>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(03)3112332</t>
  </si>
  <si>
    <t xml:space="preserve">tact.nkcc@gmail.com</t>
  </si>
  <si>
    <t xml:space="preserve">余芬</t>
  </si>
  <si>
    <t xml:space="preserve">私立拓源文理語文短期補習班</t>
  </si>
  <si>
    <r>
      <rPr>
        <sz val="10"/>
        <color rgb="FF1F2A28"/>
        <rFont val="WenQuanYi Zen Hei"/>
        <family val="2"/>
      </rPr>
      <t xml:space="preserve">蘆竹區南順四街</t>
    </r>
    <r>
      <rPr>
        <sz val="10"/>
        <color rgb="FF1F2A28"/>
        <rFont val="Arial"/>
        <family val="0"/>
        <charset val="1"/>
      </rPr>
      <t xml:space="preserve">39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</si>
  <si>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(03)3229777</t>
  </si>
  <si>
    <t xml:space="preserve">tact.nkgm@gmail.com</t>
  </si>
  <si>
    <t xml:space="preserve">林文國</t>
  </si>
  <si>
    <t xml:space="preserve">私立摩爾美語文理短期補習班</t>
  </si>
  <si>
    <r>
      <rPr>
        <sz val="10"/>
        <color rgb="FF1F2A28"/>
        <rFont val="WenQuanYi Zen Hei"/>
        <family val="2"/>
      </rPr>
      <t xml:space="preserve">蘆竹區長壽三街</t>
    </r>
    <r>
      <rPr>
        <sz val="10"/>
        <color rgb="FF1F2A28"/>
        <rFont val="Arial"/>
        <family val="0"/>
        <charset val="1"/>
      </rPr>
      <t xml:space="preserve">24</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樓及</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</si>
  <si>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(03)3127977</t>
  </si>
  <si>
    <t xml:space="preserve">monicaliao2000@yahoo.com.tw</t>
  </si>
  <si>
    <t xml:space="preserve">2010-07-08</t>
  </si>
  <si>
    <t xml:space="preserve">李宜佩</t>
  </si>
  <si>
    <t xml:space="preserve">私立文化學園數學語文短期補習班</t>
  </si>
  <si>
    <r>
      <rPr>
        <sz val="10"/>
        <color rgb="FF1F2A28"/>
        <rFont val="WenQuanYi Zen Hei"/>
        <family val="2"/>
      </rPr>
      <t xml:space="preserve">蘆竹區南山路三段</t>
    </r>
    <r>
      <rPr>
        <sz val="10"/>
        <color rgb="FF1F2A28"/>
        <rFont val="Arial"/>
        <family val="0"/>
        <charset val="1"/>
      </rPr>
      <t xml:space="preserve">271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</si>
  <si>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(03)3242685</t>
  </si>
  <si>
    <t xml:space="preserve">lfcdms88@yahoo.com.tw</t>
  </si>
  <si>
    <t xml:space="preserve">陳靜子</t>
  </si>
  <si>
    <t xml:space="preserve">私立斯恩數學語文短期補習班</t>
  </si>
  <si>
    <r>
      <rPr>
        <sz val="10"/>
        <color rgb="FF1F2A28"/>
        <rFont val="WenQuanYi Zen Hei"/>
        <family val="2"/>
      </rPr>
      <t xml:space="preserve">蘆竹區吉林路</t>
    </r>
    <r>
      <rPr>
        <sz val="10"/>
        <color rgb="FF1F2A28"/>
        <rFont val="Arial"/>
        <family val="0"/>
        <charset val="1"/>
      </rPr>
      <t xml:space="preserve">119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</si>
  <si>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(03)3129300</t>
  </si>
  <si>
    <t xml:space="preserve">sandyacer666666@gmail.com</t>
  </si>
  <si>
    <t xml:space="preserve">2020-02-06</t>
  </si>
  <si>
    <t xml:space="preserve">黃莉莉</t>
  </si>
  <si>
    <t xml:space="preserve">黃文成</t>
  </si>
  <si>
    <t xml:space="preserve">私立新奧林匹亞數學美語文理短期補習班</t>
  </si>
  <si>
    <r>
      <rPr>
        <sz val="10"/>
        <color rgb="FF1F2A28"/>
        <rFont val="WenQuanYi Zen Hei"/>
        <family val="2"/>
      </rPr>
      <t xml:space="preserve">蘆竹區中正路</t>
    </r>
    <r>
      <rPr>
        <sz val="10"/>
        <color rgb="FF1F2A28"/>
        <rFont val="Arial"/>
        <family val="0"/>
        <charset val="1"/>
      </rPr>
      <t xml:space="preserve">346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</si>
  <si>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(03)2120256</t>
  </si>
  <si>
    <t xml:space="preserve">olpcg@gmail.com</t>
  </si>
  <si>
    <t xml:space="preserve">2017-05-11</t>
  </si>
  <si>
    <t xml:space="preserve">私立方呈文理短期補習班</t>
  </si>
  <si>
    <r>
      <rPr>
        <sz val="10"/>
        <color rgb="FF1F2A28"/>
        <rFont val="WenQuanYi Zen Hei"/>
        <family val="2"/>
      </rPr>
      <t xml:space="preserve">蘆竹區五福六路</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</si>
  <si>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(03)3211023</t>
  </si>
  <si>
    <t xml:space="preserve">funchenlearning@gmail.com</t>
  </si>
  <si>
    <t xml:space="preserve">私立旗艦美語數學短期補習班</t>
  </si>
  <si>
    <r>
      <rPr>
        <sz val="10"/>
        <color rgb="FF1F2A28"/>
        <rFont val="WenQuanYi Zen Hei"/>
        <family val="2"/>
      </rPr>
      <t xml:space="preserve">蘆竹區南竹路一段</t>
    </r>
    <r>
      <rPr>
        <sz val="10"/>
        <color rgb="FF1F2A28"/>
        <rFont val="Arial"/>
        <family val="0"/>
        <charset val="1"/>
      </rPr>
      <t xml:space="preserve">97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</si>
  <si>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(03)3220319</t>
  </si>
  <si>
    <t xml:space="preserve">2016-07-06</t>
  </si>
  <si>
    <t xml:space="preserve">范欣梅</t>
  </si>
  <si>
    <r>
      <rPr>
        <sz val="10"/>
        <color rgb="FF1F2A28"/>
        <rFont val="WenQuanYi Zen Hei"/>
        <family val="2"/>
      </rPr>
      <t xml:space="preserve">蘆竹區長壽三街</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</si>
  <si>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(03)3217377</t>
  </si>
  <si>
    <t xml:space="preserve">2009-08-14</t>
  </si>
  <si>
    <t xml:space="preserve">張佩先</t>
  </si>
  <si>
    <t xml:space="preserve">私立東野學堂文理語文數學短期補習班</t>
  </si>
  <si>
    <r>
      <rPr>
        <sz val="10"/>
        <color rgb="FF1F2A28"/>
        <rFont val="WenQuanYi Zen Hei"/>
        <family val="2"/>
      </rPr>
      <t xml:space="preserve">蘆竹區長壽三街</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</si>
  <si>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(03)2220321</t>
  </si>
  <si>
    <t xml:space="preserve">miamia959@yahoo.com.tw</t>
  </si>
  <si>
    <t xml:space="preserve">美語、高中英數理、國中英數理</t>
  </si>
  <si>
    <t xml:space="preserve">2019-06-25</t>
  </si>
  <si>
    <t xml:space="preserve">陳念宗</t>
  </si>
  <si>
    <t xml:space="preserve">蔡崴崴</t>
  </si>
  <si>
    <t xml:space="preserve">私立樂語文理短期補習班</t>
  </si>
  <si>
    <r>
      <rPr>
        <sz val="10"/>
        <color rgb="FF1F2A28"/>
        <rFont val="WenQuanYi Zen Hei"/>
        <family val="2"/>
      </rPr>
      <t xml:space="preserve">蘆竹區忠孝西路</t>
    </r>
    <r>
      <rPr>
        <sz val="10"/>
        <color rgb="FF1F2A28"/>
        <rFont val="Arial"/>
        <family val="0"/>
        <charset val="1"/>
      </rPr>
      <t xml:space="preserve">51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</si>
  <si>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(03)2220058</t>
  </si>
  <si>
    <t xml:space="preserve">emilyyang0211@gmail.com</t>
  </si>
  <si>
    <r>
      <rPr>
        <sz val="10"/>
        <color rgb="FF1F2A28"/>
        <rFont val="WenQuanYi Zen Hei"/>
        <family val="2"/>
      </rPr>
      <t xml:space="preserve">美語、英語、國中文理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</si>
  <si>
    <t xml:space="preserve">2025-01-22</t>
  </si>
  <si>
    <t xml:space="preserve">楊彤芸</t>
  </si>
  <si>
    <t xml:space="preserve">私立沛思文理短期補習班</t>
  </si>
  <si>
    <r>
      <rPr>
        <sz val="10"/>
        <color rgb="FF1F2A28"/>
        <rFont val="WenQuanYi Zen Hei"/>
        <family val="2"/>
      </rPr>
      <t xml:space="preserve">蘆竹區福祿一街</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</si>
  <si>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(03)3126918</t>
  </si>
  <si>
    <t xml:space="preserve">s434200244201@gmail.com</t>
  </si>
  <si>
    <r>
      <rPr>
        <sz val="10"/>
        <color rgb="FF1F2A28"/>
        <rFont val="WenQuanYi Zen Hei"/>
        <family val="2"/>
      </rPr>
      <t xml:space="preserve">英語、國中文理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</si>
  <si>
    <t xml:space="preserve">陳昶宇</t>
  </si>
  <si>
    <r>
      <rPr>
        <sz val="10"/>
        <color rgb="FF1F2A28"/>
        <rFont val="WenQuanYi Zen Hei"/>
        <family val="2"/>
      </rPr>
      <t xml:space="preserve">蘆竹區南竹路五段</t>
    </r>
    <r>
      <rPr>
        <sz val="10"/>
        <color rgb="FF1F2A28"/>
        <rFont val="Arial"/>
        <family val="0"/>
        <charset val="1"/>
      </rPr>
      <t xml:space="preserve">251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</si>
  <si>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(03)3236345</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</si>
  <si>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數英</t>
    </r>
    <r>
      <rPr>
        <sz val="10"/>
        <color rgb="FF1F2A28"/>
        <rFont val="Arial"/>
        <family val="0"/>
        <charset val="1"/>
      </rPr>
      <t xml:space="preserve">)</t>
    </r>
  </si>
  <si>
    <t xml:space="preserve">私立淇奧數學語文短期補習班</t>
  </si>
  <si>
    <r>
      <rPr>
        <sz val="10"/>
        <color rgb="FF1F2A28"/>
        <rFont val="WenQuanYi Zen Hei"/>
        <family val="2"/>
      </rPr>
      <t xml:space="preserve">蘆竹區南順一街</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</si>
  <si>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(03)3111890</t>
  </si>
  <si>
    <t xml:space="preserve">t3111890@gmail.com</t>
  </si>
  <si>
    <t xml:space="preserve">美語初級班、美語中級班</t>
  </si>
  <si>
    <t xml:space="preserve">湯濘菊</t>
  </si>
  <si>
    <t xml:space="preserve">謝築薽</t>
  </si>
  <si>
    <t xml:space="preserve">私立牧德文理短期補習班</t>
  </si>
  <si>
    <r>
      <rPr>
        <sz val="10"/>
        <color rgb="FF1F2A28"/>
        <rFont val="WenQuanYi Zen Hei"/>
        <family val="2"/>
      </rPr>
      <t xml:space="preserve">蘆竹區忠孝西路</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</si>
  <si>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(03)2228923</t>
  </si>
  <si>
    <t xml:space="preserve">brightmoodnest@gmail.com</t>
  </si>
  <si>
    <t xml:space="preserve">2026-01-02</t>
  </si>
  <si>
    <t xml:space="preserve">吳開凡</t>
  </si>
  <si>
    <t xml:space="preserve">郭姿苓</t>
  </si>
  <si>
    <t xml:space="preserve">私立班笛斯文理語文短期補習班</t>
  </si>
  <si>
    <r>
      <rPr>
        <sz val="10"/>
        <color rgb="FF1F2A28"/>
        <rFont val="WenQuanYi Zen Hei"/>
        <family val="2"/>
      </rPr>
      <t xml:space="preserve">蘆竹區大福路</t>
    </r>
    <r>
      <rPr>
        <sz val="10"/>
        <color rgb="FF1F2A28"/>
        <rFont val="Arial"/>
        <family val="0"/>
        <charset val="1"/>
      </rPr>
      <t xml:space="preserve">386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樓及大竹路</t>
    </r>
    <r>
      <rPr>
        <sz val="10"/>
        <color rgb="FF1F2A28"/>
        <rFont val="Arial"/>
        <family val="0"/>
        <charset val="1"/>
      </rPr>
      <t xml:space="preserve">495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</si>
  <si>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(03)3139797</t>
  </si>
  <si>
    <t xml:space="preserve">a3236128@gmail.com</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</si>
  <si>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英數國</t>
    </r>
    <r>
      <rPr>
        <sz val="10"/>
        <color rgb="FF1F2A28"/>
        <rFont val="Arial"/>
        <family val="0"/>
        <charset val="1"/>
      </rPr>
      <t xml:space="preserve">)</t>
    </r>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英數國理</t>
    </r>
    <r>
      <rPr>
        <sz val="10"/>
        <color rgb="FF1F2A28"/>
        <rFont val="Arial"/>
        <family val="0"/>
        <charset val="1"/>
      </rPr>
      <t xml:space="preserve">)</t>
    </r>
    <r>
      <rPr>
        <sz val="10"/>
        <color rgb="FF1F2A28"/>
        <rFont val="WenQuanYi Zen Hei"/>
        <family val="2"/>
      </rPr>
      <t xml:space="preserve">、美語</t>
    </r>
  </si>
  <si>
    <t xml:space="preserve">2016-12-12</t>
  </si>
  <si>
    <t xml:space="preserve">黃于珊</t>
  </si>
  <si>
    <t xml:space="preserve">蔡函妤</t>
  </si>
  <si>
    <t xml:space="preserve">私立瑞彼特文理短期補習班</t>
  </si>
  <si>
    <r>
      <rPr>
        <sz val="10"/>
        <color rgb="FF1F2A28"/>
        <rFont val="WenQuanYi Zen Hei"/>
        <family val="2"/>
      </rPr>
      <t xml:space="preserve">蘆竹區長春路</t>
    </r>
    <r>
      <rPr>
        <sz val="10"/>
        <color rgb="FF1F2A28"/>
        <rFont val="Arial"/>
        <family val="0"/>
        <charset val="1"/>
      </rPr>
      <t xml:space="preserve">73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</si>
  <si>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(03)3128200</t>
  </si>
  <si>
    <t xml:space="preserve">2016-03-08</t>
  </si>
  <si>
    <t xml:space="preserve">鍾庭歡</t>
  </si>
  <si>
    <t xml:space="preserve">私立環球文理短期補習班</t>
  </si>
  <si>
    <r>
      <rPr>
        <sz val="10"/>
        <color rgb="FF1F2A28"/>
        <rFont val="WenQuanYi Zen Hei"/>
        <family val="2"/>
      </rPr>
      <t xml:space="preserve">蘆竹區吉林路</t>
    </r>
    <r>
      <rPr>
        <sz val="10"/>
        <color rgb="FF1F2A28"/>
        <rFont val="Arial"/>
        <family val="0"/>
        <charset val="1"/>
      </rPr>
      <t xml:space="preserve">141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</si>
  <si>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(03)2220607</t>
  </si>
  <si>
    <t xml:space="preserve">uni2220607@gmail.com</t>
  </si>
  <si>
    <t xml:space="preserve">2012-01-31</t>
  </si>
  <si>
    <t xml:space="preserve">紀圲睿</t>
  </si>
  <si>
    <t xml:space="preserve">私立福崁英語短期補習班</t>
  </si>
  <si>
    <r>
      <rPr>
        <sz val="10"/>
        <color rgb="FF1F2A28"/>
        <rFont val="WenQuanYi Zen Hei"/>
        <family val="2"/>
      </rPr>
      <t xml:space="preserve">蘆竹區光復路</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</si>
  <si>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(03)3119666</t>
  </si>
  <si>
    <t xml:space="preserve">frobel.a05@msa.hinet.net</t>
  </si>
  <si>
    <r>
      <rPr>
        <sz val="10"/>
        <color rgb="FF1F2A28"/>
        <rFont val="WenQuanYi Zen Hei"/>
        <family val="2"/>
      </rPr>
      <t xml:space="preserve">英語會話科</t>
    </r>
    <r>
      <rPr>
        <sz val="10"/>
        <color rgb="FF1F2A28"/>
        <rFont val="Arial"/>
        <family val="0"/>
        <charset val="1"/>
      </rPr>
      <t xml:space="preserve">(</t>
    </r>
    <r>
      <rPr>
        <sz val="10"/>
        <color rgb="FF1F2A28"/>
        <rFont val="WenQuanYi Zen Hei"/>
        <family val="2"/>
      </rPr>
      <t xml:space="preserve">初級</t>
    </r>
    <r>
      <rPr>
        <sz val="10"/>
        <color rgb="FF1F2A28"/>
        <rFont val="Arial"/>
        <family val="0"/>
        <charset val="1"/>
      </rPr>
      <t xml:space="preserve">2</t>
    </r>
    <r>
      <rPr>
        <sz val="10"/>
        <color rgb="FF1F2A28"/>
        <rFont val="WenQuanYi Zen Hei"/>
        <family val="2"/>
      </rPr>
      <t xml:space="preserve">班、中級</t>
    </r>
    <r>
      <rPr>
        <sz val="10"/>
        <color rgb="FF1F2A28"/>
        <rFont val="Arial"/>
        <family val="0"/>
        <charset val="1"/>
      </rPr>
      <t xml:space="preserve">1</t>
    </r>
    <r>
      <rPr>
        <sz val="10"/>
        <color rgb="FF1F2A28"/>
        <rFont val="WenQuanYi Zen Hei"/>
        <family val="2"/>
      </rPr>
      <t xml:space="preserve">班、高級</t>
    </r>
    <r>
      <rPr>
        <sz val="10"/>
        <color rgb="FF1F2A28"/>
        <rFont val="Arial"/>
        <family val="0"/>
        <charset val="1"/>
      </rPr>
      <t xml:space="preserve">1</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、英語會話科</t>
    </r>
    <r>
      <rPr>
        <sz val="10"/>
        <color rgb="FF1F2A28"/>
        <rFont val="Arial"/>
        <family val="0"/>
        <charset val="1"/>
      </rPr>
      <t xml:space="preserve">(</t>
    </r>
    <r>
      <rPr>
        <sz val="10"/>
        <color rgb="FF1F2A28"/>
        <rFont val="WenQuanYi Zen Hei"/>
        <family val="2"/>
      </rPr>
      <t xml:space="preserve">成人班</t>
    </r>
    <r>
      <rPr>
        <sz val="10"/>
        <color rgb="FF1F2A28"/>
        <rFont val="Arial"/>
        <family val="0"/>
        <charset val="1"/>
      </rPr>
      <t xml:space="preserve">)</t>
    </r>
    <r>
      <rPr>
        <sz val="10"/>
        <color rgb="FF1F2A28"/>
        <rFont val="WenQuanYi Zen Hei"/>
        <family val="2"/>
      </rPr>
      <t xml:space="preserve">、英語會話科</t>
    </r>
    <r>
      <rPr>
        <sz val="10"/>
        <color rgb="FF1F2A28"/>
        <rFont val="Arial"/>
        <family val="0"/>
        <charset val="1"/>
      </rPr>
      <t xml:space="preserve">(</t>
    </r>
    <r>
      <rPr>
        <sz val="10"/>
        <color rgb="FF1F2A28"/>
        <rFont val="WenQuanYi Zen Hei"/>
        <family val="2"/>
      </rPr>
      <t xml:space="preserve">初級</t>
    </r>
    <r>
      <rPr>
        <sz val="10"/>
        <color rgb="FF1F2A28"/>
        <rFont val="Arial"/>
        <family val="0"/>
        <charset val="1"/>
      </rPr>
      <t xml:space="preserve">1</t>
    </r>
    <r>
      <rPr>
        <sz val="10"/>
        <color rgb="FF1F2A28"/>
        <rFont val="WenQuanYi Zen Hei"/>
        <family val="2"/>
      </rPr>
      <t xml:space="preserve">班、中級</t>
    </r>
    <r>
      <rPr>
        <sz val="10"/>
        <color rgb="FF1F2A28"/>
        <rFont val="Arial"/>
        <family val="0"/>
        <charset val="1"/>
      </rPr>
      <t xml:space="preserve">2</t>
    </r>
    <r>
      <rPr>
        <sz val="10"/>
        <color rgb="FF1F2A28"/>
        <rFont val="WenQuanYi Zen Hei"/>
        <family val="2"/>
      </rPr>
      <t xml:space="preserve">班、高級</t>
    </r>
    <r>
      <rPr>
        <sz val="10"/>
        <color rgb="FF1F2A28"/>
        <rFont val="Arial"/>
        <family val="0"/>
        <charset val="1"/>
      </rPr>
      <t xml:space="preserve">1</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、英語會話科</t>
    </r>
    <r>
      <rPr>
        <sz val="10"/>
        <color rgb="FF1F2A28"/>
        <rFont val="Arial"/>
        <family val="0"/>
        <charset val="1"/>
      </rPr>
      <t xml:space="preserve">(</t>
    </r>
    <r>
      <rPr>
        <sz val="10"/>
        <color rgb="FF1F2A28"/>
        <rFont val="WenQuanYi Zen Hei"/>
        <family val="2"/>
      </rPr>
      <t xml:space="preserve">初級</t>
    </r>
    <r>
      <rPr>
        <sz val="10"/>
        <color rgb="FF1F2A28"/>
        <rFont val="Arial"/>
        <family val="0"/>
        <charset val="1"/>
      </rPr>
      <t xml:space="preserve">1</t>
    </r>
    <r>
      <rPr>
        <sz val="10"/>
        <color rgb="FF1F2A28"/>
        <rFont val="WenQuanYi Zen Hei"/>
        <family val="2"/>
      </rPr>
      <t xml:space="preserve">班、中級</t>
    </r>
    <r>
      <rPr>
        <sz val="10"/>
        <color rgb="FF1F2A28"/>
        <rFont val="Arial"/>
        <family val="0"/>
        <charset val="1"/>
      </rPr>
      <t xml:space="preserve">1</t>
    </r>
    <r>
      <rPr>
        <sz val="10"/>
        <color rgb="FF1F2A28"/>
        <rFont val="WenQuanYi Zen Hei"/>
        <family val="2"/>
      </rPr>
      <t xml:space="preserve">班、高級</t>
    </r>
    <r>
      <rPr>
        <sz val="10"/>
        <color rgb="FF1F2A28"/>
        <rFont val="Arial"/>
        <family val="0"/>
        <charset val="1"/>
      </rPr>
      <t xml:space="preserve">2</t>
    </r>
    <r>
      <rPr>
        <sz val="10"/>
        <color rgb="FF1F2A28"/>
        <rFont val="WenQuanYi Zen Hei"/>
        <family val="2"/>
      </rPr>
      <t xml:space="preserve">班</t>
    </r>
    <r>
      <rPr>
        <sz val="10"/>
        <color rgb="FF1F2A28"/>
        <rFont val="Arial"/>
        <family val="0"/>
        <charset val="1"/>
      </rPr>
      <t xml:space="preserve">)</t>
    </r>
  </si>
  <si>
    <t xml:space="preserve">2002-06-28</t>
  </si>
  <si>
    <t xml:space="preserve">黃幸如</t>
  </si>
  <si>
    <t xml:space="preserve">邱奕祺</t>
  </si>
  <si>
    <t xml:space="preserve">私立禾程語文短期補習班</t>
  </si>
  <si>
    <r>
      <rPr>
        <sz val="10"/>
        <color rgb="FF1F2A28"/>
        <rFont val="WenQuanYi Zen Hei"/>
        <family val="2"/>
      </rPr>
      <t xml:space="preserve">蘆竹區中正路</t>
    </r>
    <r>
      <rPr>
        <sz val="10"/>
        <color rgb="FF1F2A28"/>
        <rFont val="Arial"/>
        <family val="0"/>
        <charset val="1"/>
      </rPr>
      <t xml:space="preserve">297</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</si>
  <si>
    <t xml:space="preserve">(03)3528488</t>
  </si>
  <si>
    <t xml:space="preserve">leah19770529@yahoo.com.tw</t>
  </si>
  <si>
    <t xml:space="preserve">劉若誼</t>
  </si>
  <si>
    <t xml:space="preserve">私立科錥語文短期補習班</t>
  </si>
  <si>
    <r>
      <rPr>
        <sz val="10"/>
        <color rgb="FF1F2A28"/>
        <rFont val="WenQuanYi Zen Hei"/>
        <family val="2"/>
      </rPr>
      <t xml:space="preserve">蘆竹區吉林路</t>
    </r>
    <r>
      <rPr>
        <sz val="10"/>
        <color rgb="FF1F2A28"/>
        <rFont val="Arial"/>
        <family val="0"/>
        <charset val="1"/>
      </rPr>
      <t xml:space="preserve">128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</si>
  <si>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(03)2222859</t>
  </si>
  <si>
    <t xml:space="preserve">suenyeech@gmail.com</t>
  </si>
  <si>
    <t xml:space="preserve">2013-05-08</t>
  </si>
  <si>
    <t xml:space="preserve">周家菲</t>
  </si>
  <si>
    <t xml:space="preserve">私立立人文理短期補習班錦興分班</t>
  </si>
  <si>
    <r>
      <rPr>
        <sz val="10"/>
        <color rgb="FF1F2A28"/>
        <rFont val="WenQuanYi Zen Hei"/>
        <family val="2"/>
      </rPr>
      <t xml:space="preserve">蘆竹區南平街</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58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</si>
  <si>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(03)321-8799</t>
  </si>
  <si>
    <r>
      <rPr>
        <sz val="10"/>
        <color rgb="FF1F2A28"/>
        <rFont val="WenQuanYi Zen Hei"/>
        <family val="2"/>
      </rPr>
      <t xml:space="preserve">美語、國中文理科</t>
    </r>
    <r>
      <rPr>
        <sz val="10"/>
        <color rgb="FF1F2A28"/>
        <rFont val="Arial"/>
        <family val="0"/>
        <charset val="1"/>
      </rPr>
      <t xml:space="preserve">(</t>
    </r>
    <r>
      <rPr>
        <sz val="10"/>
        <color rgb="FF1F2A28"/>
        <rFont val="WenQuanYi Zen Hei"/>
        <family val="2"/>
      </rPr>
      <t xml:space="preserve">數英自</t>
    </r>
    <r>
      <rPr>
        <sz val="10"/>
        <color rgb="FF1F2A28"/>
        <rFont val="Arial"/>
        <family val="0"/>
        <charset val="1"/>
      </rPr>
      <t xml:space="preserve">)</t>
    </r>
  </si>
  <si>
    <t xml:space="preserve">李炎運</t>
  </si>
  <si>
    <t xml:space="preserve">私立立人文理語文短期補習班</t>
  </si>
  <si>
    <r>
      <rPr>
        <sz val="10"/>
        <color rgb="FF1F2A28"/>
        <rFont val="WenQuanYi Zen Hei"/>
        <family val="2"/>
      </rPr>
      <t xml:space="preserve">蘆竹區南竹路一段</t>
    </r>
    <r>
      <rPr>
        <sz val="10"/>
        <color rgb="FF1F2A28"/>
        <rFont val="Arial"/>
        <family val="0"/>
        <charset val="1"/>
      </rPr>
      <t xml:space="preserve">63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2</t>
    </r>
  </si>
  <si>
    <t xml:space="preserve">(03)3211869</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</si>
  <si>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、英語</t>
    </r>
  </si>
  <si>
    <t xml:space="preserve">2012-01-09</t>
  </si>
  <si>
    <t xml:space="preserve">李佩珊</t>
  </si>
  <si>
    <t xml:space="preserve">私立立笙文理語文短期補習班</t>
  </si>
  <si>
    <r>
      <rPr>
        <sz val="10"/>
        <color rgb="FF1F2A28"/>
        <rFont val="WenQuanYi Zen Hei"/>
        <family val="2"/>
      </rPr>
      <t xml:space="preserve">蘆竹區光明路一段</t>
    </r>
    <r>
      <rPr>
        <sz val="10"/>
        <color rgb="FF1F2A28"/>
        <rFont val="Arial"/>
        <family val="0"/>
        <charset val="1"/>
      </rPr>
      <t xml:space="preserve">108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</si>
  <si>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(03)2221941</t>
  </si>
  <si>
    <t xml:space="preserve">leaderkidz@gmail.com</t>
  </si>
  <si>
    <t xml:space="preserve">吳棋明</t>
  </si>
  <si>
    <t xml:space="preserve">吳佩君</t>
  </si>
  <si>
    <t xml:space="preserve">私立維多利亞語文短期補習班</t>
  </si>
  <si>
    <r>
      <rPr>
        <sz val="10"/>
        <color rgb="FF1F2A28"/>
        <rFont val="WenQuanYi Zen Hei"/>
        <family val="2"/>
      </rPr>
      <t xml:space="preserve">蘆竹區中正路</t>
    </r>
    <r>
      <rPr>
        <sz val="10"/>
        <color rgb="FF1F2A28"/>
        <rFont val="Arial"/>
        <family val="0"/>
        <charset val="1"/>
      </rPr>
      <t xml:space="preserve">303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2</t>
    </r>
  </si>
  <si>
    <t xml:space="preserve">(03)3119889</t>
  </si>
  <si>
    <t xml:space="preserve">victoria3119889@gmail.com</t>
  </si>
  <si>
    <t xml:space="preserve">進階美語、基礎美語</t>
  </si>
  <si>
    <t xml:space="preserve">2016-03-18</t>
  </si>
  <si>
    <t xml:space="preserve">陳彥萍</t>
  </si>
  <si>
    <t xml:space="preserve">私立維妮兒語文數學文理短期補習班</t>
  </si>
  <si>
    <r>
      <rPr>
        <sz val="10"/>
        <color rgb="FF1F2A28"/>
        <rFont val="WenQuanYi Zen Hei"/>
        <family val="2"/>
      </rPr>
      <t xml:space="preserve">蘆竹區大同街</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4-5</t>
    </r>
    <r>
      <rPr>
        <sz val="10"/>
        <color rgb="FF1F2A28"/>
        <rFont val="WenQuanYi Zen Hei"/>
        <family val="2"/>
      </rPr>
      <t xml:space="preserve">樓</t>
    </r>
  </si>
  <si>
    <t xml:space="preserve">2711122</t>
  </si>
  <si>
    <t xml:space="preserve">ruby2711122@gmail.com</t>
  </si>
  <si>
    <t xml:space="preserve">2017-08-31</t>
  </si>
  <si>
    <t xml:space="preserve">黃安妮</t>
  </si>
  <si>
    <t xml:space="preserve">黃曉謙</t>
  </si>
  <si>
    <t xml:space="preserve">私立艾倪爾語文短期補習班</t>
  </si>
  <si>
    <r>
      <rPr>
        <sz val="10"/>
        <color rgb="FF1F2A28"/>
        <rFont val="WenQuanYi Zen Hei"/>
        <family val="2"/>
      </rPr>
      <t xml:space="preserve">蘆竹區長春路</t>
    </r>
    <r>
      <rPr>
        <sz val="10"/>
        <color rgb="FF1F2A28"/>
        <rFont val="Arial"/>
        <family val="0"/>
        <charset val="1"/>
      </rPr>
      <t xml:space="preserve">71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</si>
  <si>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(03)3225858</t>
  </si>
  <si>
    <t xml:space="preserve">kellytin3598@gmail.com</t>
  </si>
  <si>
    <t xml:space="preserve">劉碩傑</t>
  </si>
  <si>
    <t xml:space="preserve">私立英博語文短期補習班</t>
  </si>
  <si>
    <r>
      <rPr>
        <sz val="10"/>
        <color rgb="FF1F2A28"/>
        <rFont val="WenQuanYi Zen Hei"/>
        <family val="2"/>
      </rPr>
      <t xml:space="preserve">蘆竹區長壽三街</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</si>
  <si>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(03)3528058</t>
  </si>
  <si>
    <t xml:space="preserve">s8961018@yahoo.com.tw</t>
  </si>
  <si>
    <t xml:space="preserve">曹宏廷</t>
  </si>
  <si>
    <t xml:space="preserve">私立茁壯文理短期補習班</t>
  </si>
  <si>
    <r>
      <rPr>
        <sz val="10"/>
        <color rgb="FF1F2A28"/>
        <rFont val="WenQuanYi Zen Hei"/>
        <family val="2"/>
      </rPr>
      <t xml:space="preserve">蘆竹區南竹路五段</t>
    </r>
    <r>
      <rPr>
        <sz val="10"/>
        <color rgb="FF1F2A28"/>
        <rFont val="Arial"/>
        <family val="0"/>
        <charset val="1"/>
      </rPr>
      <t xml:space="preserve">210</t>
    </r>
    <r>
      <rPr>
        <sz val="10"/>
        <color rgb="FF1F2A28"/>
        <rFont val="WenQuanYi Zen Hei"/>
        <family val="2"/>
      </rPr>
      <t xml:space="preserve">巷</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</si>
  <si>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(03)3236142</t>
  </si>
  <si>
    <t xml:space="preserve">vivianshiu68@yahoo.com.tw</t>
  </si>
  <si>
    <r>
      <rPr>
        <sz val="10"/>
        <color rgb="FF1F2A28"/>
        <rFont val="WenQuanYi Zen Hei"/>
        <family val="2"/>
      </rPr>
      <t xml:space="preserve">國中美語、國中文理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</si>
  <si>
    <t xml:space="preserve">2002-01-14</t>
  </si>
  <si>
    <t xml:space="preserve">謝俊凱</t>
  </si>
  <si>
    <t xml:space="preserve">私立華德語文音樂美術短期補習班</t>
  </si>
  <si>
    <r>
      <rPr>
        <sz val="10"/>
        <color rgb="FF1F2A28"/>
        <rFont val="WenQuanYi Zen Hei"/>
        <family val="2"/>
      </rPr>
      <t xml:space="preserve">蘆竹區吉林路</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</si>
  <si>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(03)2129100</t>
  </si>
  <si>
    <t xml:space="preserve">lulu2510711@gmail.com</t>
  </si>
  <si>
    <t xml:space="preserve">2016-12-14</t>
  </si>
  <si>
    <t xml:space="preserve">葉柏君</t>
  </si>
  <si>
    <t xml:space="preserve">李盈盈</t>
  </si>
  <si>
    <t xml:space="preserve">私立華格語文短期補習班</t>
  </si>
  <si>
    <r>
      <rPr>
        <sz val="10"/>
        <color rgb="FF1F2A28"/>
        <rFont val="WenQuanYi Zen Hei"/>
        <family val="2"/>
      </rPr>
      <t xml:space="preserve">蘆竹區吉林路</t>
    </r>
    <r>
      <rPr>
        <sz val="10"/>
        <color rgb="FF1F2A28"/>
        <rFont val="Arial"/>
        <family val="0"/>
        <charset val="1"/>
      </rPr>
      <t xml:space="preserve">145</t>
    </r>
    <r>
      <rPr>
        <sz val="10"/>
        <color rgb="FF1F2A28"/>
        <rFont val="WenQuanYi Zen Hei"/>
        <family val="2"/>
      </rPr>
      <t xml:space="preserve">、</t>
    </r>
    <r>
      <rPr>
        <sz val="10"/>
        <color rgb="FF1F2A28"/>
        <rFont val="Arial"/>
        <family val="0"/>
        <charset val="1"/>
      </rPr>
      <t xml:space="preserve">147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</si>
  <si>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(03)2222535</t>
  </si>
  <si>
    <t xml:space="preserve">coco.sunny@hotmail.com</t>
  </si>
  <si>
    <t xml:space="preserve">2008-03-19</t>
  </si>
  <si>
    <t xml:space="preserve">陳采吟</t>
  </si>
  <si>
    <t xml:space="preserve">私立蜻蜓美語短期補習班</t>
  </si>
  <si>
    <r>
      <rPr>
        <sz val="10"/>
        <color rgb="FF1F2A28"/>
        <rFont val="WenQuanYi Zen Hei"/>
        <family val="2"/>
      </rPr>
      <t xml:space="preserve">蘆竹區海山路</t>
    </r>
    <r>
      <rPr>
        <sz val="10"/>
        <color rgb="FF1F2A28"/>
        <rFont val="Arial"/>
        <family val="0"/>
        <charset val="1"/>
      </rPr>
      <t xml:space="preserve">240</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</si>
  <si>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03-3242804</t>
  </si>
  <si>
    <t xml:space="preserve">u9531@ms33.hinet.net</t>
  </si>
  <si>
    <t xml:space="preserve">2003-09-24</t>
  </si>
  <si>
    <t xml:space="preserve">蔡婕羚</t>
  </si>
  <si>
    <t xml:space="preserve">私立逸學文理語文數學短期補習班</t>
  </si>
  <si>
    <r>
      <rPr>
        <sz val="10"/>
        <color rgb="FF1F2A28"/>
        <rFont val="WenQuanYi Zen Hei"/>
        <family val="2"/>
      </rPr>
      <t xml:space="preserve">蘆竹區光明路一段</t>
    </r>
    <r>
      <rPr>
        <sz val="10"/>
        <color rgb="FF1F2A28"/>
        <rFont val="Arial"/>
        <family val="0"/>
        <charset val="1"/>
      </rPr>
      <t xml:space="preserve">132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</si>
  <si>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(03)2229338</t>
  </si>
  <si>
    <t xml:space="preserve">naluto8254@gmail.com</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</si>
  <si>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班、文理</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數學、英文、生物</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C</t>
    </r>
    <r>
      <rPr>
        <sz val="10"/>
        <color rgb="FF1F2A28"/>
        <rFont val="WenQuanYi Zen Hei"/>
        <family val="2"/>
      </rPr>
      <t xml:space="preserve">、</t>
    </r>
    <r>
      <rPr>
        <sz val="10"/>
        <color rgb="FF1F2A28"/>
        <rFont val="Arial"/>
        <family val="0"/>
        <charset val="1"/>
      </rPr>
      <t xml:space="preserve">D</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數學、英文、理化</t>
    </r>
    <r>
      <rPr>
        <sz val="10"/>
        <color rgb="FF1F2A28"/>
        <rFont val="Arial"/>
        <family val="0"/>
        <charset val="1"/>
      </rPr>
      <t xml:space="preserve">)</t>
    </r>
  </si>
  <si>
    <t xml:space="preserve">趙逸翔</t>
  </si>
  <si>
    <t xml:space="preserve">私立金榜數學美語文理短期補習班</t>
  </si>
  <si>
    <r>
      <rPr>
        <sz val="10"/>
        <color rgb="FF1F2A28"/>
        <rFont val="WenQuanYi Zen Hei"/>
        <family val="2"/>
      </rPr>
      <t xml:space="preserve">蘆竹區新福街</t>
    </r>
    <r>
      <rPr>
        <sz val="10"/>
        <color rgb="FF1F2A28"/>
        <rFont val="Arial"/>
        <family val="0"/>
        <charset val="1"/>
      </rPr>
      <t xml:space="preserve">135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</si>
  <si>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(03)3137123</t>
  </si>
  <si>
    <t xml:space="preserve">jinbang3137123@gmail.com</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</si>
  <si>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英數</t>
    </r>
    <r>
      <rPr>
        <sz val="10"/>
        <color rgb="FF1F2A28"/>
        <rFont val="Arial"/>
        <family val="0"/>
        <charset val="1"/>
      </rPr>
      <t xml:space="preserve">)</t>
    </r>
    <r>
      <rPr>
        <sz val="10"/>
        <color rgb="FF1F2A28"/>
        <rFont val="WenQuanYi Zen Hei"/>
        <family val="2"/>
      </rPr>
      <t xml:space="preserve">、美語、國中文理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</si>
  <si>
    <t xml:space="preserve">2010-05-28</t>
  </si>
  <si>
    <t xml:space="preserve">沈惠宜</t>
  </si>
  <si>
    <t xml:space="preserve">私立長源英語會話短期補習班</t>
  </si>
  <si>
    <r>
      <rPr>
        <sz val="10"/>
        <color rgb="FF1F2A28"/>
        <rFont val="WenQuanYi Zen Hei"/>
        <family val="2"/>
      </rPr>
      <t xml:space="preserve">蘆竹區南華一街</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</si>
  <si>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(03)2122070</t>
  </si>
  <si>
    <t xml:space="preserve">daisy05@principal.com.tw</t>
  </si>
  <si>
    <r>
      <rPr>
        <sz val="10"/>
        <color rgb="FF1F2A28"/>
        <rFont val="WenQuanYi Zen Hei"/>
        <family val="2"/>
      </rPr>
      <t xml:space="preserve">英語</t>
    </r>
    <r>
      <rPr>
        <sz val="10"/>
        <color rgb="FF1F2A28"/>
        <rFont val="Arial"/>
        <family val="0"/>
        <charset val="1"/>
      </rPr>
      <t xml:space="preserve">(</t>
    </r>
    <r>
      <rPr>
        <sz val="10"/>
        <color rgb="FF1F2A28"/>
        <rFont val="WenQuanYi Zen Hei"/>
        <family val="2"/>
      </rPr>
      <t xml:space="preserve">發音</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r>
      <rPr>
        <sz val="10"/>
        <color rgb="FF1F2A28"/>
        <rFont val="WenQuanYi Zen Hei"/>
        <family val="2"/>
      </rPr>
      <t xml:space="preserve">初級</t>
    </r>
    <r>
      <rPr>
        <sz val="10"/>
        <color rgb="FF1F2A28"/>
        <rFont val="Arial"/>
        <family val="0"/>
        <charset val="1"/>
      </rPr>
      <t xml:space="preserve">)</t>
    </r>
    <r>
      <rPr>
        <sz val="10"/>
        <color rgb="FF1F2A28"/>
        <rFont val="WenQuanYi Zen Hei"/>
        <family val="2"/>
      </rPr>
      <t xml:space="preserve">、英語</t>
    </r>
    <r>
      <rPr>
        <sz val="10"/>
        <color rgb="FF1F2A28"/>
        <rFont val="Arial"/>
        <family val="0"/>
        <charset val="1"/>
      </rPr>
      <t xml:space="preserve">(</t>
    </r>
    <r>
      <rPr>
        <sz val="10"/>
        <color rgb="FF1F2A28"/>
        <rFont val="WenQuanYi Zen Hei"/>
        <family val="2"/>
      </rPr>
      <t xml:space="preserve">寫作</t>
    </r>
    <r>
      <rPr>
        <sz val="10"/>
        <color rgb="FF1F2A28"/>
        <rFont val="Arial"/>
        <family val="0"/>
        <charset val="1"/>
      </rPr>
      <t xml:space="preserve">)</t>
    </r>
  </si>
  <si>
    <t xml:space="preserve">2001-11-30</t>
  </si>
  <si>
    <t xml:space="preserve">蔡淑真</t>
  </si>
  <si>
    <t xml:space="preserve">私立陳家蓁語文短期補習班</t>
  </si>
  <si>
    <r>
      <rPr>
        <sz val="10"/>
        <color rgb="FF1F2A28"/>
        <rFont val="WenQuanYi Zen Hei"/>
        <family val="2"/>
      </rPr>
      <t xml:space="preserve">蘆竹區中山路</t>
    </r>
    <r>
      <rPr>
        <sz val="10"/>
        <color rgb="FF1F2A28"/>
        <rFont val="Arial"/>
        <family val="0"/>
        <charset val="1"/>
      </rPr>
      <t xml:space="preserve">43</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</si>
  <si>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(03)3223383</t>
  </si>
  <si>
    <t xml:space="preserve">cynthia6537@gmail.com</t>
  </si>
  <si>
    <t xml:space="preserve">2013-03-15</t>
  </si>
  <si>
    <t xml:space="preserve">劉盈均</t>
  </si>
  <si>
    <t xml:space="preserve">私立集文文理短期補習班</t>
  </si>
  <si>
    <r>
      <rPr>
        <sz val="10"/>
        <color rgb="FF1F2A28"/>
        <rFont val="WenQuanYi Zen Hei"/>
        <family val="2"/>
      </rPr>
      <t xml:space="preserve">蘆竹區中正路</t>
    </r>
    <r>
      <rPr>
        <sz val="10"/>
        <color rgb="FF1F2A28"/>
        <rFont val="Arial"/>
        <family val="0"/>
        <charset val="1"/>
      </rPr>
      <t xml:space="preserve">301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2</t>
    </r>
  </si>
  <si>
    <t xml:space="preserve">(03)3120400</t>
  </si>
  <si>
    <t xml:space="preserve">eric06230211@gmail.com</t>
  </si>
  <si>
    <t xml:space="preserve">2024-09-24</t>
  </si>
  <si>
    <t xml:space="preserve">曾薇潔</t>
  </si>
  <si>
    <t xml:space="preserve">私立集英文理美語短期補習班</t>
  </si>
  <si>
    <r>
      <rPr>
        <sz val="10"/>
        <color rgb="FF1F2A28"/>
        <rFont val="WenQuanYi Zen Hei"/>
        <family val="2"/>
      </rPr>
      <t xml:space="preserve">蘆竹區南竹路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98</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</si>
  <si>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(03)3129888</t>
  </si>
  <si>
    <t xml:space="preserve">3129888@gmail.com</t>
  </si>
  <si>
    <t xml:space="preserve">2003-12-04</t>
  </si>
  <si>
    <t xml:space="preserve">李秉蓁</t>
  </si>
  <si>
    <t xml:space="preserve">私立雷恩斯語文短期補習班</t>
  </si>
  <si>
    <r>
      <rPr>
        <sz val="10"/>
        <color rgb="FF1F2A28"/>
        <rFont val="WenQuanYi Zen Hei"/>
        <family val="2"/>
      </rPr>
      <t xml:space="preserve">蘆竹區吉林路</t>
    </r>
    <r>
      <rPr>
        <sz val="10"/>
        <color rgb="FF1F2A28"/>
        <rFont val="Arial"/>
        <family val="0"/>
        <charset val="1"/>
      </rPr>
      <t xml:space="preserve">121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</si>
  <si>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英語進階、英語基礎、國高中英語檢定班</t>
  </si>
  <si>
    <t xml:space="preserve">2009-11-11</t>
  </si>
  <si>
    <t xml:space="preserve">游委婷</t>
  </si>
  <si>
    <t xml:space="preserve">私立風格美語短期補習班</t>
  </si>
  <si>
    <r>
      <rPr>
        <sz val="10"/>
        <color rgb="FF1F2A28"/>
        <rFont val="WenQuanYi Zen Hei"/>
        <family val="2"/>
      </rPr>
      <t xml:space="preserve">蘆竹區南順七街</t>
    </r>
    <r>
      <rPr>
        <sz val="10"/>
        <color rgb="FF1F2A28"/>
        <rFont val="Arial"/>
        <family val="0"/>
        <charset val="1"/>
      </rPr>
      <t xml:space="preserve">66</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</si>
  <si>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(03)2129695</t>
  </si>
  <si>
    <t xml:space="preserve">joan682333@yahoo.com.tw</t>
  </si>
  <si>
    <t xml:space="preserve">2006-05-08</t>
  </si>
  <si>
    <t xml:space="preserve">劉素瓊</t>
  </si>
  <si>
    <t xml:space="preserve">私立高仲文理語文短期補習班</t>
  </si>
  <si>
    <r>
      <rPr>
        <sz val="10"/>
        <color rgb="FF1F2A28"/>
        <rFont val="WenQuanYi Zen Hei"/>
        <family val="2"/>
      </rPr>
      <t xml:space="preserve">蘆竹區大竹路</t>
    </r>
    <r>
      <rPr>
        <sz val="10"/>
        <color rgb="FF1F2A28"/>
        <rFont val="Arial"/>
        <family val="0"/>
        <charset val="1"/>
      </rPr>
      <t xml:space="preserve">529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</si>
  <si>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(03)3230992</t>
  </si>
  <si>
    <t xml:space="preserve">leaflucy2025@gmail.com</t>
  </si>
  <si>
    <t xml:space="preserve">游雅鈞</t>
  </si>
  <si>
    <t xml:space="preserve">私立鴻碩文理短期補習班</t>
  </si>
  <si>
    <r>
      <rPr>
        <sz val="10"/>
        <color rgb="FF1F2A28"/>
        <rFont val="WenQuanYi Zen Hei"/>
        <family val="2"/>
      </rPr>
      <t xml:space="preserve">蘆竹區海湖東路</t>
    </r>
    <r>
      <rPr>
        <sz val="10"/>
        <color rgb="FF1F2A28"/>
        <rFont val="Arial"/>
        <family val="0"/>
        <charset val="1"/>
      </rPr>
      <t xml:space="preserve">191</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</si>
  <si>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(03)3542580</t>
  </si>
  <si>
    <t xml:space="preserve">amy0902335089@gmail.com</t>
  </si>
  <si>
    <t xml:space="preserve">2012-11-16</t>
  </si>
  <si>
    <t xml:space="preserve">許哲源</t>
  </si>
  <si>
    <t xml:space="preserve">私立麗森文理短期補習班</t>
  </si>
  <si>
    <r>
      <rPr>
        <sz val="10"/>
        <color rgb="FF1F2A28"/>
        <rFont val="WenQuanYi Zen Hei"/>
        <family val="2"/>
      </rPr>
      <t xml:space="preserve">蘆竹區中山路</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</si>
  <si>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(03)3111668</t>
  </si>
  <si>
    <t xml:space="preserve">李慧怡</t>
  </si>
  <si>
    <t xml:space="preserve">私立黃杰語文文理短期補習班</t>
  </si>
  <si>
    <r>
      <rPr>
        <sz val="10"/>
        <color rgb="FF1F2A28"/>
        <rFont val="WenQuanYi Zen Hei"/>
        <family val="2"/>
      </rPr>
      <t xml:space="preserve">蘆竹區吉林路</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</si>
  <si>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(03)3256327</t>
  </si>
  <si>
    <t xml:space="preserve">shrewishrita@yahoo.com.tw</t>
  </si>
  <si>
    <t xml:space="preserve">美語、英數自、英</t>
  </si>
  <si>
    <t xml:space="preserve">2019-12-24</t>
  </si>
  <si>
    <t xml:space="preserve">楊蕙禎</t>
  </si>
  <si>
    <t xml:space="preserve">群曜事業有限公司附設私立小劍橋文理美語短期補習班</t>
  </si>
  <si>
    <r>
      <rPr>
        <sz val="10"/>
        <color rgb="FF1F2A28"/>
        <rFont val="WenQuanYi Zen Hei"/>
        <family val="2"/>
      </rPr>
      <t xml:space="preserve">蘆竹區海山路</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</si>
  <si>
    <t xml:space="preserve">(03)3247767</t>
  </si>
  <si>
    <t xml:space="preserve">office1314@yahoo.com.tw</t>
  </si>
  <si>
    <r>
      <rPr>
        <sz val="10"/>
        <color rgb="FF1F2A28"/>
        <rFont val="WenQuanYi Zen Hei"/>
        <family val="2"/>
      </rPr>
      <t xml:space="preserve">美語、國中文理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國英數社生</t>
    </r>
    <r>
      <rPr>
        <sz val="10"/>
        <color rgb="FF1F2A28"/>
        <rFont val="Arial"/>
        <family val="0"/>
        <charset val="1"/>
      </rPr>
      <t xml:space="preserve">)</t>
    </r>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</si>
  <si>
    <t xml:space="preserve">2012-07-11</t>
  </si>
  <si>
    <t xml:space="preserve">徐月珠</t>
  </si>
  <si>
    <t xml:space="preserve">茱莉亞文教事業有限公司附設私立愛樂文理技藝短期補習班</t>
  </si>
  <si>
    <r>
      <rPr>
        <sz val="10"/>
        <color rgb="FF1F2A28"/>
        <rFont val="WenQuanYi Zen Hei"/>
        <family val="2"/>
      </rPr>
      <t xml:space="preserve">蘆竹區忠孝西路</t>
    </r>
    <r>
      <rPr>
        <sz val="10"/>
        <color rgb="FF1F2A28"/>
        <rFont val="Arial"/>
        <family val="0"/>
        <charset val="1"/>
      </rPr>
      <t xml:space="preserve">39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</si>
  <si>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(03)3222096</t>
  </si>
  <si>
    <t xml:space="preserve">julia456220@gmail.com</t>
  </si>
  <si>
    <r>
      <rPr>
        <sz val="10"/>
        <color rgb="FF1F2A28"/>
        <rFont val="WenQuanYi Zen Hei"/>
        <family val="2"/>
      </rPr>
      <t xml:space="preserve">國小文理科</t>
    </r>
    <r>
      <rPr>
        <sz val="10"/>
        <color rgb="FF1F2A28"/>
        <rFont val="Arial"/>
        <family val="0"/>
        <charset val="1"/>
      </rPr>
      <t xml:space="preserve">(</t>
    </r>
    <r>
      <rPr>
        <sz val="10"/>
        <color rgb="FF1F2A28"/>
        <rFont val="WenQuanYi Zen Hei"/>
        <family val="2"/>
      </rPr>
      <t xml:space="preserve">數學、美語、國語、社會，各</t>
    </r>
    <r>
      <rPr>
        <sz val="10"/>
        <color rgb="FF1F2A28"/>
        <rFont val="Arial"/>
        <family val="0"/>
        <charset val="1"/>
      </rPr>
      <t xml:space="preserve">2</t>
    </r>
    <r>
      <rPr>
        <sz val="10"/>
        <color rgb="FF1F2A28"/>
        <rFont val="WenQuanYi Zen Hei"/>
        <family val="2"/>
      </rPr>
      <t xml:space="preserve">班</t>
    </r>
    <r>
      <rPr>
        <sz val="10"/>
        <color rgb="FF1F2A28"/>
        <rFont val="Arial"/>
        <family val="0"/>
        <charset val="1"/>
      </rPr>
      <t xml:space="preserve">)</t>
    </r>
  </si>
  <si>
    <t xml:space="preserve">2024-04-17</t>
  </si>
  <si>
    <t xml:space="preserve">黃孝承</t>
  </si>
  <si>
    <t xml:space="preserve">鄒乙寧</t>
  </si>
  <si>
    <t xml:space="preserve">驅勢文教事業有限公司附設私立三合一語文短期補習班</t>
  </si>
  <si>
    <r>
      <rPr>
        <sz val="10"/>
        <color rgb="FF1F2A28"/>
        <rFont val="WenQuanYi Zen Hei"/>
        <family val="2"/>
      </rPr>
      <t xml:space="preserve">蘆竹區南崁路一段</t>
    </r>
    <r>
      <rPr>
        <sz val="10"/>
        <color rgb="FF1F2A28"/>
        <rFont val="Arial"/>
        <family val="0"/>
        <charset val="1"/>
      </rPr>
      <t xml:space="preserve">77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79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</si>
  <si>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(03)3122323</t>
  </si>
  <si>
    <t xml:space="preserve">trinna@wkedu.com.tw</t>
  </si>
  <si>
    <t xml:space="preserve">2007-10-11</t>
  </si>
  <si>
    <t xml:space="preserve">黃美雲</t>
  </si>
  <si>
    <r>
      <rPr>
        <sz val="10"/>
        <color rgb="FF1F2A28"/>
        <rFont val="WenQuanYi Zen Hei"/>
        <family val="2"/>
      </rPr>
      <t xml:space="preserve">觀音區中興路</t>
    </r>
    <r>
      <rPr>
        <sz val="10"/>
        <color rgb="FF1F2A28"/>
        <rFont val="Arial"/>
        <family val="0"/>
        <charset val="1"/>
      </rPr>
      <t xml:space="preserve">44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</si>
  <si>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(03)4734338</t>
  </si>
  <si>
    <r>
      <rPr>
        <sz val="10"/>
        <color rgb="FF1F2A28"/>
        <rFont val="WenQuanYi Zen Hei"/>
        <family val="2"/>
      </rPr>
      <t xml:space="preserve">觀音區三民路</t>
    </r>
    <r>
      <rPr>
        <sz val="10"/>
        <color rgb="FF1F2A28"/>
        <rFont val="Arial"/>
        <family val="0"/>
        <charset val="1"/>
      </rPr>
      <t xml:space="preserve">43</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樓及</t>
    </r>
    <r>
      <rPr>
        <sz val="10"/>
        <color rgb="FF1F2A28"/>
        <rFont val="Arial"/>
        <family val="0"/>
        <charset val="1"/>
      </rPr>
      <t xml:space="preserve">40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</si>
  <si>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(03)4733873</t>
  </si>
  <si>
    <r>
      <rPr>
        <sz val="10"/>
        <color rgb="FF1F2A28"/>
        <rFont val="WenQuanYi Zen Hei"/>
        <family val="2"/>
      </rPr>
      <t xml:space="preserve">觀音區四維路</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樓和</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</si>
  <si>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(03)4389525</t>
  </si>
  <si>
    <r>
      <rPr>
        <sz val="10"/>
        <color rgb="FF1F2A28"/>
        <rFont val="WenQuanYi Zen Hei"/>
        <family val="2"/>
      </rPr>
      <t xml:space="preserve">觀音區草漯村四維二街</t>
    </r>
    <r>
      <rPr>
        <sz val="10"/>
        <color rgb="FF1F2A28"/>
        <rFont val="Arial"/>
        <family val="0"/>
        <charset val="1"/>
      </rPr>
      <t xml:space="preserve">46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</si>
  <si>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034836316</t>
  </si>
  <si>
    <r>
      <rPr>
        <sz val="10"/>
        <color rgb="FF1F2A28"/>
        <rFont val="WenQuanYi Zen Hei"/>
        <family val="2"/>
      </rPr>
      <t xml:space="preserve">觀音區四維路</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</si>
  <si>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(03)4160053</t>
  </si>
  <si>
    <r>
      <rPr>
        <sz val="10"/>
        <color rgb="FF1F2A28"/>
        <rFont val="WenQuanYi Zen Hei"/>
        <family val="2"/>
      </rPr>
      <t xml:space="preserve">英語、國中文理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科</t>
    </r>
  </si>
  <si>
    <t xml:space="preserve">私立大英美語文理短期補習班</t>
  </si>
  <si>
    <r>
      <rPr>
        <sz val="10"/>
        <color rgb="FF1F2A28"/>
        <rFont val="WenQuanYi Zen Hei"/>
        <family val="2"/>
      </rPr>
      <t xml:space="preserve">觀音區新坡村文中路</t>
    </r>
    <r>
      <rPr>
        <sz val="10"/>
        <color rgb="FF1F2A28"/>
        <rFont val="Arial"/>
        <family val="0"/>
        <charset val="1"/>
      </rPr>
      <t xml:space="preserve">66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</si>
  <si>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(03)4080262</t>
  </si>
  <si>
    <t xml:space="preserve">victorsung2012@gmail.com</t>
  </si>
  <si>
    <t xml:space="preserve">2003-03-06</t>
  </si>
  <si>
    <t xml:space="preserve">宋飛龍</t>
  </si>
  <si>
    <t xml:space="preserve">私立威妮斯語文數學文理短期補習班</t>
  </si>
  <si>
    <r>
      <rPr>
        <sz val="10"/>
        <color rgb="FF1F2A28"/>
        <rFont val="WenQuanYi Zen Hei"/>
        <family val="2"/>
      </rPr>
      <t xml:space="preserve">觀音區新生路</t>
    </r>
    <r>
      <rPr>
        <sz val="10"/>
        <color rgb="FF1F2A28"/>
        <rFont val="Arial"/>
        <family val="0"/>
        <charset val="1"/>
      </rPr>
      <t xml:space="preserve">136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</si>
  <si>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(03)2825599</t>
  </si>
  <si>
    <t xml:space="preserve">2825599@gmail.com</t>
  </si>
  <si>
    <t xml:space="preserve">2020-11-11</t>
  </si>
  <si>
    <t xml:space="preserve">林忠毅</t>
  </si>
  <si>
    <t xml:space="preserve">許婷妮</t>
  </si>
  <si>
    <t xml:space="preserve">私立巨群文理美語短期補習班</t>
  </si>
  <si>
    <r>
      <rPr>
        <sz val="10"/>
        <color rgb="FF1F2A28"/>
        <rFont val="WenQuanYi Zen Hei"/>
        <family val="2"/>
      </rPr>
      <t xml:space="preserve">觀音區四維路</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</si>
  <si>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(03)4830396</t>
  </si>
  <si>
    <t xml:space="preserve">h0939909217@gmail.com</t>
  </si>
  <si>
    <t xml:space="preserve">2011-12-14</t>
  </si>
  <si>
    <t xml:space="preserve">許時榮</t>
  </si>
  <si>
    <t xml:space="preserve">陳銀萍</t>
  </si>
  <si>
    <r>
      <rPr>
        <sz val="10"/>
        <color rgb="FF1F2A28"/>
        <rFont val="WenQuanYi Zen Hei"/>
        <family val="2"/>
      </rPr>
      <t xml:space="preserve">觀音區中山路二段</t>
    </r>
    <r>
      <rPr>
        <sz val="10"/>
        <color rgb="FF1F2A28"/>
        <rFont val="Arial"/>
        <family val="0"/>
        <charset val="1"/>
      </rPr>
      <t xml:space="preserve">522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2</t>
    </r>
  </si>
  <si>
    <t xml:space="preserve">(03)4980741</t>
  </si>
  <si>
    <r>
      <rPr>
        <sz val="10"/>
        <color rgb="FF1F2A28"/>
        <rFont val="WenQuanYi Zen Hei"/>
        <family val="2"/>
      </rPr>
      <t xml:space="preserve">觀音區忠孝路</t>
    </r>
    <r>
      <rPr>
        <sz val="10"/>
        <color rgb="FF1F2A28"/>
        <rFont val="Arial"/>
        <family val="0"/>
        <charset val="1"/>
      </rPr>
      <t xml:space="preserve">34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</si>
  <si>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(03)4837499</t>
  </si>
  <si>
    <r>
      <rPr>
        <sz val="10"/>
        <color rgb="FF1F2A28"/>
        <rFont val="WenQuanYi Zen Hei"/>
        <family val="2"/>
      </rPr>
      <t xml:space="preserve">觀音區大同村中山路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763</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</si>
  <si>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(03)4987666</t>
  </si>
  <si>
    <t xml:space="preserve">私立愛樂棻音樂語文短期補習班</t>
  </si>
  <si>
    <r>
      <rPr>
        <sz val="10"/>
        <color rgb="FF1F2A28"/>
        <rFont val="WenQuanYi Zen Hei"/>
        <family val="2"/>
      </rPr>
      <t xml:space="preserve">觀音區草漯村九如ㄧ街</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</si>
  <si>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(03)4836275</t>
  </si>
  <si>
    <t xml:space="preserve">stop0828@hotmail.com</t>
  </si>
  <si>
    <t xml:space="preserve">2009-11-23</t>
  </si>
  <si>
    <t xml:space="preserve">李本誠</t>
  </si>
  <si>
    <t xml:space="preserve">李冠廷</t>
  </si>
  <si>
    <t xml:space="preserve">私立晶華美語文理短期補習班</t>
  </si>
  <si>
    <r>
      <rPr>
        <sz val="10"/>
        <color rgb="FF1F2A28"/>
        <rFont val="WenQuanYi Zen Hei"/>
        <family val="2"/>
      </rPr>
      <t xml:space="preserve">觀音區草新里新生路</t>
    </r>
    <r>
      <rPr>
        <sz val="10"/>
        <color rgb="FF1F2A28"/>
        <rFont val="Arial"/>
        <family val="0"/>
        <charset val="1"/>
      </rPr>
      <t xml:space="preserve">1641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</si>
  <si>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(03)4836655</t>
  </si>
  <si>
    <t xml:space="preserve">s326339@yahoo.com.tw</t>
  </si>
  <si>
    <t xml:space="preserve">2014-10-30</t>
  </si>
  <si>
    <t xml:space="preserve">黃定宇</t>
  </si>
  <si>
    <t xml:space="preserve">黃詩昀</t>
  </si>
  <si>
    <t xml:space="preserve">私立芝加哥語文文理短期補習班</t>
  </si>
  <si>
    <r>
      <rPr>
        <sz val="10"/>
        <color rgb="FF1F2A28"/>
        <rFont val="WenQuanYi Zen Hei"/>
        <family val="2"/>
      </rPr>
      <t xml:space="preserve">觀音區中山路二段</t>
    </r>
    <r>
      <rPr>
        <sz val="10"/>
        <color rgb="FF1F2A28"/>
        <rFont val="Arial"/>
        <family val="0"/>
        <charset val="1"/>
      </rPr>
      <t xml:space="preserve">813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</si>
  <si>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(03)4595825</t>
  </si>
  <si>
    <t xml:space="preserve">a473chang@yahoo.com.tw</t>
  </si>
  <si>
    <t xml:space="preserve">張玉華</t>
  </si>
  <si>
    <t xml:space="preserve">私立草新文理短期補習班</t>
  </si>
  <si>
    <r>
      <rPr>
        <sz val="10"/>
        <color rgb="FF1F2A28"/>
        <rFont val="WenQuanYi Zen Hei"/>
        <family val="2"/>
      </rPr>
      <t xml:space="preserve">觀音區新生路</t>
    </r>
    <r>
      <rPr>
        <sz val="10"/>
        <color rgb="FF1F2A28"/>
        <rFont val="Arial"/>
        <family val="0"/>
        <charset val="1"/>
      </rPr>
      <t xml:space="preserve">1711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</si>
  <si>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(03)4389577</t>
  </si>
  <si>
    <t xml:space="preserve">h0958196737@gmail.com</t>
  </si>
  <si>
    <t xml:space="preserve">張玉玲</t>
  </si>
  <si>
    <t xml:space="preserve">鍾文豐</t>
  </si>
  <si>
    <t xml:space="preserve">私立陳群文理美語短期補習班</t>
  </si>
  <si>
    <r>
      <rPr>
        <sz val="10"/>
        <color rgb="FF1F2A28"/>
        <rFont val="WenQuanYi Zen Hei"/>
        <family val="2"/>
      </rPr>
      <t xml:space="preserve">觀音區中正路</t>
    </r>
    <r>
      <rPr>
        <sz val="10"/>
        <color rgb="FF1F2A28"/>
        <rFont val="Arial"/>
        <family val="0"/>
        <charset val="1"/>
      </rPr>
      <t xml:space="preserve">221</t>
    </r>
    <r>
      <rPr>
        <sz val="10"/>
        <color rgb="FF1F2A28"/>
        <rFont val="WenQuanYi Zen Hei"/>
        <family val="2"/>
      </rPr>
      <t xml:space="preserve">巷</t>
    </r>
    <r>
      <rPr>
        <sz val="10"/>
        <color rgb="FF1F2A28"/>
        <rFont val="Arial"/>
        <family val="0"/>
        <charset val="1"/>
      </rPr>
      <t xml:space="preserve">66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</si>
  <si>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(03)4737984</t>
  </si>
  <si>
    <t xml:space="preserve">m0978020808@yahoo.com.tw</t>
  </si>
  <si>
    <t xml:space="preserve">2007-03-18</t>
  </si>
  <si>
    <t xml:space="preserve">陳頤謙</t>
  </si>
  <si>
    <t xml:space="preserve">楊惠晴</t>
  </si>
  <si>
    <t xml:space="preserve">私立鼎豐語文文理短期補習班</t>
  </si>
  <si>
    <r>
      <rPr>
        <sz val="10"/>
        <color rgb="FF1F2A28"/>
        <rFont val="WenQuanYi Zen Hei"/>
        <family val="2"/>
      </rPr>
      <t xml:space="preserve">觀音區新生路</t>
    </r>
    <r>
      <rPr>
        <sz val="10"/>
        <color rgb="FF1F2A28"/>
        <rFont val="Arial"/>
        <family val="0"/>
        <charset val="1"/>
      </rPr>
      <t xml:space="preserve">1549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</si>
  <si>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(03)4389558</t>
  </si>
  <si>
    <t xml:space="preserve">egp665@yahoo.com.tw</t>
  </si>
  <si>
    <t xml:space="preserve">2009-03-17</t>
  </si>
  <si>
    <t xml:space="preserve">私立佳陞英語短期補習班</t>
  </si>
  <si>
    <r>
      <rPr>
        <sz val="10"/>
        <color rgb="FF1F2A28"/>
        <rFont val="WenQuanYi Zen Hei"/>
        <family val="2"/>
      </rPr>
      <t xml:space="preserve">龍潭區神龍路</t>
    </r>
    <r>
      <rPr>
        <sz val="10"/>
        <color rgb="FF1F2A28"/>
        <rFont val="Arial"/>
        <family val="0"/>
        <charset val="1"/>
      </rPr>
      <t xml:space="preserve">178</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</si>
  <si>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(03)4700689</t>
  </si>
  <si>
    <t xml:space="preserve">BB093@joy.com.tw</t>
  </si>
  <si>
    <t xml:space="preserve">2008-09-17</t>
  </si>
  <si>
    <t xml:space="preserve">劉惠雯</t>
  </si>
  <si>
    <t xml:space="preserve">賴曉莉</t>
  </si>
  <si>
    <t xml:space="preserve">私立元品語文文理短期補習班</t>
  </si>
  <si>
    <r>
      <rPr>
        <sz val="10"/>
        <color rgb="FF1F2A28"/>
        <rFont val="WenQuanYi Zen Hei"/>
        <family val="2"/>
      </rPr>
      <t xml:space="preserve">龍潭區中興路</t>
    </r>
    <r>
      <rPr>
        <sz val="10"/>
        <color rgb="FF1F2A28"/>
        <rFont val="Arial"/>
        <family val="0"/>
        <charset val="1"/>
      </rPr>
      <t xml:space="preserve">336</t>
    </r>
    <r>
      <rPr>
        <sz val="10"/>
        <color rgb="FF1F2A28"/>
        <rFont val="WenQuanYi Zen Hei"/>
        <family val="2"/>
      </rPr>
      <t xml:space="preserve">巷</t>
    </r>
    <r>
      <rPr>
        <sz val="10"/>
        <color rgb="FF1F2A28"/>
        <rFont val="Arial"/>
        <family val="0"/>
        <charset val="1"/>
      </rPr>
      <t xml:space="preserve">92</t>
    </r>
    <r>
      <rPr>
        <sz val="10"/>
        <color rgb="FF1F2A28"/>
        <rFont val="WenQuanYi Zen Hei"/>
        <family val="2"/>
      </rPr>
      <t xml:space="preserve">弄</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</si>
  <si>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(03)4704698</t>
  </si>
  <si>
    <t xml:space="preserve">jdc92066@yahoo.com.tw</t>
  </si>
  <si>
    <t xml:space="preserve">2007-08-28</t>
  </si>
  <si>
    <t xml:space="preserve">蘇大杰</t>
  </si>
  <si>
    <t xml:space="preserve">吳美靜</t>
  </si>
  <si>
    <t xml:space="preserve">私立凱英文理語文短期補習班</t>
  </si>
  <si>
    <r>
      <rPr>
        <sz val="10"/>
        <color rgb="FF1F2A28"/>
        <rFont val="WenQuanYi Zen Hei"/>
        <family val="2"/>
      </rPr>
      <t xml:space="preserve">龍潭區神龍路</t>
    </r>
    <r>
      <rPr>
        <sz val="10"/>
        <color rgb="FF1F2A28"/>
        <rFont val="Arial"/>
        <family val="0"/>
        <charset val="1"/>
      </rPr>
      <t xml:space="preserve">290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</si>
  <si>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(03)4899652</t>
  </si>
  <si>
    <t xml:space="preserve">kute5858588@yahoo.com.tw</t>
  </si>
  <si>
    <t xml:space="preserve">許敬涵</t>
  </si>
  <si>
    <t xml:space="preserve">私立劉昊語文文理短期補習班</t>
  </si>
  <si>
    <r>
      <rPr>
        <sz val="10"/>
        <color rgb="FF1F2A28"/>
        <rFont val="WenQuanYi Zen Hei"/>
        <family val="2"/>
      </rPr>
      <t xml:space="preserve">龍潭區中正路</t>
    </r>
    <r>
      <rPr>
        <sz val="10"/>
        <color rgb="FF1F2A28"/>
        <rFont val="Arial"/>
        <family val="0"/>
        <charset val="1"/>
      </rPr>
      <t xml:space="preserve">211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</si>
  <si>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(03)4896608</t>
  </si>
  <si>
    <t xml:space="preserve">Liu.zc@msa.hinet.net</t>
  </si>
  <si>
    <t xml:space="preserve">2010-11-12</t>
  </si>
  <si>
    <t xml:space="preserve">劉子見</t>
  </si>
  <si>
    <t xml:space="preserve">私立千平美語短期補習班</t>
  </si>
  <si>
    <r>
      <rPr>
        <sz val="10"/>
        <color rgb="FF1F2A28"/>
        <rFont val="WenQuanYi Zen Hei"/>
        <family val="2"/>
      </rPr>
      <t xml:space="preserve">龍潭區龍星村大同路</t>
    </r>
    <r>
      <rPr>
        <sz val="10"/>
        <color rgb="FF1F2A28"/>
        <rFont val="Arial"/>
        <family val="0"/>
        <charset val="1"/>
      </rPr>
      <t xml:space="preserve">192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</si>
  <si>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(03)4803679</t>
  </si>
  <si>
    <t xml:space="preserve">2007-05-11</t>
  </si>
  <si>
    <t xml:space="preserve">郭仁發</t>
  </si>
  <si>
    <t xml:space="preserve">私立博士鳥語文短期補習班</t>
  </si>
  <si>
    <r>
      <rPr>
        <sz val="10"/>
        <color rgb="FF1F2A28"/>
        <rFont val="WenQuanYi Zen Hei"/>
        <family val="2"/>
      </rPr>
      <t xml:space="preserve">龍潭區金龍路</t>
    </r>
    <r>
      <rPr>
        <sz val="10"/>
        <color rgb="FF1F2A28"/>
        <rFont val="Arial"/>
        <family val="0"/>
        <charset val="1"/>
      </rPr>
      <t xml:space="preserve">347</t>
    </r>
    <r>
      <rPr>
        <sz val="10"/>
        <color rgb="FF1F2A28"/>
        <rFont val="WenQuanYi Zen Hei"/>
        <family val="2"/>
      </rPr>
      <t xml:space="preserve">巷</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</si>
  <si>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(03)4892082</t>
  </si>
  <si>
    <t xml:space="preserve">b94003953@yahoo.com.tw</t>
  </si>
  <si>
    <t xml:space="preserve">2013-08-30</t>
  </si>
  <si>
    <t xml:space="preserve">黃崇森</t>
  </si>
  <si>
    <t xml:space="preserve">黃昱翔</t>
  </si>
  <si>
    <t xml:space="preserve">私立哈比美語短期補習班</t>
  </si>
  <si>
    <r>
      <rPr>
        <sz val="10"/>
        <color rgb="FF1F2A28"/>
        <rFont val="WenQuanYi Zen Hei"/>
        <family val="2"/>
      </rPr>
      <t xml:space="preserve">龍潭區東龍路</t>
    </r>
    <r>
      <rPr>
        <sz val="10"/>
        <color rgb="FF1F2A28"/>
        <rFont val="Arial"/>
        <family val="0"/>
        <charset val="1"/>
      </rPr>
      <t xml:space="preserve">185</t>
    </r>
    <r>
      <rPr>
        <sz val="10"/>
        <color rgb="FF1F2A28"/>
        <rFont val="WenQuanYi Zen Hei"/>
        <family val="2"/>
      </rPr>
      <t xml:space="preserve">號</t>
    </r>
  </si>
  <si>
    <t xml:space="preserve">(03)4990600</t>
  </si>
  <si>
    <t xml:space="preserve">kate_weng@yahoo.com.tw</t>
  </si>
  <si>
    <t xml:space="preserve">翁玉燕</t>
  </si>
  <si>
    <t xml:space="preserve">私立啟程文理短期補習班</t>
  </si>
  <si>
    <r>
      <rPr>
        <sz val="10"/>
        <color rgb="FF1F2A28"/>
        <rFont val="WenQuanYi Zen Hei"/>
        <family val="2"/>
      </rPr>
      <t xml:space="preserve">龍潭區中正路</t>
    </r>
    <r>
      <rPr>
        <sz val="10"/>
        <color rgb="FF1F2A28"/>
        <rFont val="Arial"/>
        <family val="0"/>
        <charset val="1"/>
      </rPr>
      <t xml:space="preserve">185</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</si>
  <si>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(03)4797058</t>
  </si>
  <si>
    <t xml:space="preserve">liveabclongtan@gmail.com</t>
  </si>
  <si>
    <t xml:space="preserve">國英數自社、美語、全民英檢班、英數自</t>
  </si>
  <si>
    <t xml:space="preserve">2024-01-16</t>
  </si>
  <si>
    <t xml:space="preserve">詹菁裕</t>
  </si>
  <si>
    <t xml:space="preserve">呂佩蓓</t>
  </si>
  <si>
    <t xml:space="preserve">私立喜樂語文文理短期補習班</t>
  </si>
  <si>
    <r>
      <rPr>
        <sz val="10"/>
        <color rgb="FF1F2A28"/>
        <rFont val="WenQuanYi Zen Hei"/>
        <family val="2"/>
      </rPr>
      <t xml:space="preserve">龍潭區龍青路</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</si>
  <si>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(03)4892536 0939850523</t>
  </si>
  <si>
    <t xml:space="preserve">happy4892537@gmail.com</t>
  </si>
  <si>
    <r>
      <rPr>
        <sz val="10"/>
        <color rgb="FF1F2A28"/>
        <rFont val="WenQuanYi Zen Hei"/>
        <family val="2"/>
      </rPr>
      <t xml:space="preserve">美語、國中文理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r>
      <rPr>
        <sz val="10"/>
        <color rgb="FF1F2A28"/>
        <rFont val="WenQuanYi Zen Hei"/>
        <family val="2"/>
      </rPr>
      <t xml:space="preserve">科</t>
    </r>
  </si>
  <si>
    <t xml:space="preserve">2002-05-21</t>
  </si>
  <si>
    <t xml:space="preserve">郭握榮</t>
  </si>
  <si>
    <t xml:space="preserve">何春槐</t>
  </si>
  <si>
    <t xml:space="preserve">私立嘉煌文理短期補習班</t>
  </si>
  <si>
    <r>
      <rPr>
        <sz val="10"/>
        <color rgb="FF1F2A28"/>
        <rFont val="WenQuanYi Zen Hei"/>
        <family val="2"/>
      </rPr>
      <t xml:space="preserve">龍潭區五福街</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</si>
  <si>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(03)499-5221</t>
  </si>
  <si>
    <t xml:space="preserve">hs2106@hess.com.tw</t>
  </si>
  <si>
    <t xml:space="preserve">2001-05-11</t>
  </si>
  <si>
    <t xml:space="preserve">何蕙君</t>
  </si>
  <si>
    <r>
      <rPr>
        <sz val="10"/>
        <color rgb="FF1F2A28"/>
        <rFont val="WenQuanYi Zen Hei"/>
        <family val="2"/>
      </rPr>
      <t xml:space="preserve">龍潭區百年五街</t>
    </r>
    <r>
      <rPr>
        <sz val="10"/>
        <color rgb="FF1F2A28"/>
        <rFont val="Arial"/>
        <family val="0"/>
        <charset val="1"/>
      </rPr>
      <t xml:space="preserve">43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</si>
  <si>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(03)4802263</t>
  </si>
  <si>
    <t xml:space="preserve">私立天堂鳥英語短期補習班</t>
  </si>
  <si>
    <r>
      <rPr>
        <sz val="10"/>
        <color rgb="FF1F2A28"/>
        <rFont val="WenQuanYi Zen Hei"/>
        <family val="2"/>
      </rPr>
      <t xml:space="preserve">龍潭區中正路</t>
    </r>
    <r>
      <rPr>
        <sz val="10"/>
        <color rgb="FF1F2A28"/>
        <rFont val="Arial"/>
        <family val="0"/>
        <charset val="1"/>
      </rPr>
      <t xml:space="preserve">471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</si>
  <si>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(03)4808088</t>
  </si>
  <si>
    <t xml:space="preserve">panda_start@yahoo.com.tw</t>
  </si>
  <si>
    <t xml:space="preserve">2020-12-08</t>
  </si>
  <si>
    <t xml:space="preserve">張健理</t>
  </si>
  <si>
    <t xml:space="preserve">駱博群</t>
  </si>
  <si>
    <t xml:space="preserve">私立學鈞數學語文短期補習班</t>
  </si>
  <si>
    <r>
      <rPr>
        <sz val="10"/>
        <color rgb="FF1F2A28"/>
        <rFont val="WenQuanYi Zen Hei"/>
        <family val="2"/>
      </rPr>
      <t xml:space="preserve">龍潭區民族路</t>
    </r>
    <r>
      <rPr>
        <sz val="10"/>
        <color rgb="FF1F2A28"/>
        <rFont val="Arial"/>
        <family val="0"/>
        <charset val="1"/>
      </rPr>
      <t xml:space="preserve">264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</si>
  <si>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(03)4090439</t>
  </si>
  <si>
    <t xml:space="preserve">hahehooocloud@gmail.com</t>
  </si>
  <si>
    <t xml:space="preserve">蔡子雲</t>
  </si>
  <si>
    <t xml:space="preserve">私立宏澤美語短期補習班</t>
  </si>
  <si>
    <r>
      <rPr>
        <sz val="10"/>
        <color rgb="FF1F2A28"/>
        <rFont val="WenQuanYi Zen Hei"/>
        <family val="2"/>
      </rPr>
      <t xml:space="preserve">龍潭區中豐路</t>
    </r>
    <r>
      <rPr>
        <sz val="10"/>
        <color rgb="FF1F2A28"/>
        <rFont val="Arial"/>
        <family val="0"/>
        <charset val="1"/>
      </rPr>
      <t xml:space="preserve">695</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</si>
  <si>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(03)4896861</t>
  </si>
  <si>
    <t xml:space="preserve">james880920@gmail.com</t>
  </si>
  <si>
    <t xml:space="preserve">2005-01-14</t>
  </si>
  <si>
    <t xml:space="preserve">翁茂瀛</t>
  </si>
  <si>
    <r>
      <rPr>
        <sz val="10"/>
        <color rgb="FF1F2A28"/>
        <rFont val="WenQuanYi Zen Hei"/>
        <family val="2"/>
      </rPr>
      <t xml:space="preserve">龍潭區民族路</t>
    </r>
    <r>
      <rPr>
        <sz val="10"/>
        <color rgb="FF1F2A28"/>
        <rFont val="Arial"/>
        <family val="0"/>
        <charset val="1"/>
      </rPr>
      <t xml:space="preserve">265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</si>
  <si>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(03)4801553</t>
  </si>
  <si>
    <r>
      <rPr>
        <sz val="10"/>
        <color rgb="FF1F2A28"/>
        <rFont val="WenQuanYi Zen Hei"/>
        <family val="2"/>
      </rPr>
      <t xml:space="preserve">龍潭區三林村民族路</t>
    </r>
    <r>
      <rPr>
        <sz val="10"/>
        <color rgb="FF1F2A28"/>
        <rFont val="Arial"/>
        <family val="0"/>
        <charset val="1"/>
      </rPr>
      <t xml:space="preserve">294</t>
    </r>
    <r>
      <rPr>
        <sz val="10"/>
        <color rgb="FF1F2A28"/>
        <rFont val="WenQuanYi Zen Hei"/>
        <family val="2"/>
      </rPr>
      <t xml:space="preserve">巷</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</si>
  <si>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(03)4795610</t>
  </si>
  <si>
    <t xml:space="preserve">私立新超強珠算美語文理短期補習班</t>
  </si>
  <si>
    <r>
      <rPr>
        <sz val="10"/>
        <color rgb="FF1F2A28"/>
        <rFont val="WenQuanYi Zen Hei"/>
        <family val="2"/>
      </rPr>
      <t xml:space="preserve">龍潭區中興路</t>
    </r>
    <r>
      <rPr>
        <sz val="10"/>
        <color rgb="FF1F2A28"/>
        <rFont val="Arial"/>
        <family val="0"/>
        <charset val="1"/>
      </rPr>
      <t xml:space="preserve">336</t>
    </r>
    <r>
      <rPr>
        <sz val="10"/>
        <color rgb="FF1F2A28"/>
        <rFont val="WenQuanYi Zen Hei"/>
        <family val="2"/>
      </rPr>
      <t xml:space="preserve">巷</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</si>
  <si>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(03)4991091</t>
  </si>
  <si>
    <t xml:space="preserve">chaoquang1@gmail.com</t>
  </si>
  <si>
    <t xml:space="preserve">2000-07-26</t>
  </si>
  <si>
    <t xml:space="preserve">曾冠茂</t>
  </si>
  <si>
    <t xml:space="preserve">私立方碩文理英語短期補習班</t>
  </si>
  <si>
    <r>
      <rPr>
        <sz val="10"/>
        <color rgb="FF1F2A28"/>
        <rFont val="WenQuanYi Zen Hei"/>
        <family val="2"/>
      </rPr>
      <t xml:space="preserve">龍潭區龍星村</t>
    </r>
    <r>
      <rPr>
        <sz val="10"/>
        <color rgb="FF1F2A28"/>
        <rFont val="Arial"/>
        <family val="0"/>
        <charset val="1"/>
      </rPr>
      <t xml:space="preserve">10</t>
    </r>
    <r>
      <rPr>
        <sz val="10"/>
        <color rgb="FF1F2A28"/>
        <rFont val="WenQuanYi Zen Hei"/>
        <family val="2"/>
      </rPr>
      <t xml:space="preserve">鄰龍華路</t>
    </r>
    <r>
      <rPr>
        <sz val="10"/>
        <color rgb="FF1F2A28"/>
        <rFont val="Arial"/>
        <family val="0"/>
        <charset val="1"/>
      </rPr>
      <t xml:space="preserve">242</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</si>
  <si>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(03)4892863</t>
  </si>
  <si>
    <t xml:space="preserve">carol08302001@yahoo.com.tw</t>
  </si>
  <si>
    <t xml:space="preserve">2007-01-11</t>
  </si>
  <si>
    <t xml:space="preserve">邱文麗</t>
  </si>
  <si>
    <t xml:space="preserve">私立方華文理短期補習班雙龍分班</t>
  </si>
  <si>
    <r>
      <rPr>
        <sz val="10"/>
        <color rgb="FF1F2A28"/>
        <rFont val="WenQuanYi Zen Hei"/>
        <family val="2"/>
      </rPr>
      <t xml:space="preserve">龍潭區神龍路</t>
    </r>
    <r>
      <rPr>
        <sz val="10"/>
        <color rgb="FF1F2A28"/>
        <rFont val="Arial"/>
        <family val="0"/>
        <charset val="1"/>
      </rPr>
      <t xml:space="preserve">278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</si>
  <si>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(03)4991246</t>
  </si>
  <si>
    <t xml:space="preserve">a0913760615@gmail.com</t>
  </si>
  <si>
    <t xml:space="preserve">2002-12-11</t>
  </si>
  <si>
    <t xml:space="preserve">張閔芳</t>
  </si>
  <si>
    <t xml:space="preserve">私立方華獅王語文數學短期補習班</t>
  </si>
  <si>
    <r>
      <rPr>
        <sz val="10"/>
        <color rgb="FF1F2A28"/>
        <rFont val="WenQuanYi Zen Hei"/>
        <family val="2"/>
      </rPr>
      <t xml:space="preserve">龍潭區龍星村</t>
    </r>
    <r>
      <rPr>
        <sz val="10"/>
        <color rgb="FF1F2A28"/>
        <rFont val="Arial"/>
        <family val="0"/>
        <charset val="1"/>
      </rPr>
      <t xml:space="preserve">11</t>
    </r>
    <r>
      <rPr>
        <sz val="10"/>
        <color rgb="FF1F2A28"/>
        <rFont val="WenQuanYi Zen Hei"/>
        <family val="2"/>
      </rPr>
      <t xml:space="preserve">鄰東龍路</t>
    </r>
    <r>
      <rPr>
        <sz val="10"/>
        <color rgb="FF1F2A28"/>
        <rFont val="Arial"/>
        <family val="0"/>
        <charset val="1"/>
      </rPr>
      <t xml:space="preserve">92</t>
    </r>
    <r>
      <rPr>
        <sz val="10"/>
        <color rgb="FF1F2A28"/>
        <rFont val="WenQuanYi Zen Hei"/>
        <family val="2"/>
      </rPr>
      <t xml:space="preserve">號</t>
    </r>
    <r>
      <rPr>
        <sz val="10"/>
        <color rgb="FF1F2A28"/>
        <rFont val="Arial"/>
        <family val="0"/>
        <charset val="1"/>
      </rPr>
      <t xml:space="preserve">1-3F</t>
    </r>
  </si>
  <si>
    <t xml:space="preserve">(03)4891889</t>
  </si>
  <si>
    <t xml:space="preserve">余福爾</t>
  </si>
  <si>
    <t xml:space="preserve">私立晨揚文理語文短期補習班</t>
  </si>
  <si>
    <r>
      <rPr>
        <sz val="10"/>
        <color rgb="FF1F2A28"/>
        <rFont val="WenQuanYi Zen Hei"/>
        <family val="2"/>
      </rPr>
      <t xml:space="preserve">龍潭區神龍路</t>
    </r>
    <r>
      <rPr>
        <sz val="10"/>
        <color rgb="FF1F2A28"/>
        <rFont val="Arial"/>
        <family val="0"/>
        <charset val="1"/>
      </rPr>
      <t xml:space="preserve">228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</si>
  <si>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(03)4092086</t>
  </si>
  <si>
    <t xml:space="preserve">a034092086@gmail.com</t>
  </si>
  <si>
    <t xml:space="preserve">國英數自、英數、美語、國英數生</t>
  </si>
  <si>
    <t xml:space="preserve">2015-11-04</t>
  </si>
  <si>
    <t xml:space="preserve">陳淑美</t>
  </si>
  <si>
    <t xml:space="preserve">許雅嵐</t>
  </si>
  <si>
    <t xml:space="preserve">私立栩格美語短期補習班</t>
  </si>
  <si>
    <r>
      <rPr>
        <sz val="10"/>
        <color rgb="FF1F2A28"/>
        <rFont val="WenQuanYi Zen Hei"/>
        <family val="2"/>
      </rPr>
      <t xml:space="preserve">龍潭區中正路</t>
    </r>
    <r>
      <rPr>
        <sz val="10"/>
        <color rgb="FF1F2A28"/>
        <rFont val="Arial"/>
        <family val="0"/>
        <charset val="1"/>
      </rPr>
      <t xml:space="preserve">179</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弄</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</si>
  <si>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(03)4992588</t>
  </si>
  <si>
    <t xml:space="preserve">beaconacademytw@gmail.com</t>
  </si>
  <si>
    <t xml:space="preserve">盧美君</t>
  </si>
  <si>
    <t xml:space="preserve">私立格西文理短期補習班</t>
  </si>
  <si>
    <r>
      <rPr>
        <sz val="10"/>
        <color rgb="FF1F2A28"/>
        <rFont val="WenQuanYi Zen Hei"/>
        <family val="2"/>
      </rPr>
      <t xml:space="preserve">龍潭區神龍路</t>
    </r>
    <r>
      <rPr>
        <sz val="10"/>
        <color rgb="FF1F2A28"/>
        <rFont val="Arial"/>
        <family val="0"/>
        <charset val="1"/>
      </rPr>
      <t xml:space="preserve">361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363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樓及</t>
    </r>
    <r>
      <rPr>
        <sz val="10"/>
        <color rgb="FF1F2A28"/>
        <rFont val="Arial"/>
        <family val="0"/>
        <charset val="1"/>
      </rPr>
      <t xml:space="preserve">355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</si>
  <si>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(03)4896769</t>
  </si>
  <si>
    <t xml:space="preserve">hermosa102222@gmail.com</t>
  </si>
  <si>
    <r>
      <rPr>
        <sz val="10"/>
        <color rgb="FF1F2A28"/>
        <rFont val="WenQuanYi Zen Hei"/>
        <family val="2"/>
      </rPr>
      <t xml:space="preserve">國英數自</t>
    </r>
    <r>
      <rPr>
        <sz val="10"/>
        <color rgb="FF1F2A28"/>
        <rFont val="Arial"/>
        <family val="0"/>
        <charset val="1"/>
      </rPr>
      <t xml:space="preserve">/</t>
    </r>
    <r>
      <rPr>
        <sz val="10"/>
        <color rgb="FF1F2A28"/>
        <rFont val="WenQuanYi Zen Hei"/>
        <family val="2"/>
      </rPr>
      <t xml:space="preserve">生物、美語、美語會話班</t>
    </r>
  </si>
  <si>
    <t xml:space="preserve">2010-11-03</t>
  </si>
  <si>
    <t xml:space="preserve">李姵萱</t>
  </si>
  <si>
    <t xml:space="preserve">私立樂讀英語會話短期補習班</t>
  </si>
  <si>
    <r>
      <rPr>
        <sz val="10"/>
        <color rgb="FF1F2A28"/>
        <rFont val="WenQuanYi Zen Hei"/>
        <family val="2"/>
      </rPr>
      <t xml:space="preserve">龍潭區五福街</t>
    </r>
    <r>
      <rPr>
        <sz val="10"/>
        <color rgb="FF1F2A28"/>
        <rFont val="Arial"/>
        <family val="0"/>
        <charset val="1"/>
      </rPr>
      <t xml:space="preserve">15</t>
    </r>
    <r>
      <rPr>
        <sz val="10"/>
        <color rgb="FF1F2A28"/>
        <rFont val="WenQuanYi Zen Hei"/>
        <family val="2"/>
      </rPr>
      <t xml:space="preserve">巷</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</si>
  <si>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0907780010</t>
  </si>
  <si>
    <t xml:space="preserve">crescent0701@gmail.com</t>
  </si>
  <si>
    <t xml:space="preserve">2019-03-28</t>
  </si>
  <si>
    <t xml:space="preserve">荊華</t>
  </si>
  <si>
    <t xml:space="preserve">私立正恩百年文理技藝短期補習班</t>
  </si>
  <si>
    <r>
      <rPr>
        <sz val="10"/>
        <color rgb="FF1F2A28"/>
        <rFont val="WenQuanYi Zen Hei"/>
        <family val="2"/>
      </rPr>
      <t xml:space="preserve">龍潭區百年三街</t>
    </r>
    <r>
      <rPr>
        <sz val="10"/>
        <color rgb="FF1F2A28"/>
        <rFont val="Arial"/>
        <family val="0"/>
        <charset val="1"/>
      </rPr>
      <t xml:space="preserve">37</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</si>
  <si>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(03)4801898</t>
  </si>
  <si>
    <t xml:space="preserve">jhengen0318@gmail.com</t>
  </si>
  <si>
    <t xml:space="preserve">2025-03-04</t>
  </si>
  <si>
    <t xml:space="preserve">吳嫦娥</t>
  </si>
  <si>
    <t xml:space="preserve">梁維芳</t>
  </si>
  <si>
    <t xml:space="preserve">私立溫格爾文理短期補習班</t>
  </si>
  <si>
    <r>
      <rPr>
        <sz val="10"/>
        <color rgb="FF1F2A28"/>
        <rFont val="WenQuanYi Zen Hei"/>
        <family val="2"/>
      </rPr>
      <t xml:space="preserve">龍潭區龍華路一段</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</si>
  <si>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(03)4898181</t>
  </si>
  <si>
    <t xml:space="preserve">sheensheen489@yahoo.com.tw</t>
  </si>
  <si>
    <t xml:space="preserve">2018-03-04</t>
  </si>
  <si>
    <t xml:space="preserve">李思亭</t>
  </si>
  <si>
    <t xml:space="preserve">私立漢鉅文理語文數學短期補習班</t>
  </si>
  <si>
    <r>
      <rPr>
        <sz val="10"/>
        <color rgb="FF1F2A28"/>
        <rFont val="WenQuanYi Zen Hei"/>
        <family val="2"/>
      </rPr>
      <t xml:space="preserve">龍潭區光明路</t>
    </r>
    <r>
      <rPr>
        <sz val="10"/>
        <color rgb="FF1F2A28"/>
        <rFont val="Arial"/>
        <family val="0"/>
        <charset val="1"/>
      </rPr>
      <t xml:space="preserve">23</t>
    </r>
    <r>
      <rPr>
        <sz val="10"/>
        <color rgb="FF1F2A28"/>
        <rFont val="WenQuanYi Zen Hei"/>
        <family val="2"/>
      </rPr>
      <t xml:space="preserve">巷</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</si>
  <si>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(03)4705653</t>
  </si>
  <si>
    <t xml:space="preserve">hanjiu239@gmail.com</t>
  </si>
  <si>
    <t xml:space="preserve">美語、英文數學理化</t>
  </si>
  <si>
    <t xml:space="preserve">2011-12-01</t>
  </si>
  <si>
    <t xml:space="preserve">蕭志豪</t>
  </si>
  <si>
    <r>
      <rPr>
        <sz val="10"/>
        <color rgb="FF1F2A28"/>
        <rFont val="WenQuanYi Zen Hei"/>
        <family val="2"/>
      </rPr>
      <t xml:space="preserve">龍潭區龍華路</t>
    </r>
    <r>
      <rPr>
        <sz val="10"/>
        <color rgb="FF1F2A28"/>
        <rFont val="Arial"/>
        <family val="0"/>
        <charset val="1"/>
      </rPr>
      <t xml:space="preserve">365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</si>
  <si>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(03)409-0901</t>
  </si>
  <si>
    <t xml:space="preserve">私立芮宇文理短期補習班</t>
  </si>
  <si>
    <r>
      <rPr>
        <sz val="10"/>
        <color rgb="FF1F2A28"/>
        <rFont val="WenQuanYi Zen Hei"/>
        <family val="2"/>
      </rPr>
      <t xml:space="preserve">龍潭區大同路</t>
    </r>
    <r>
      <rPr>
        <sz val="10"/>
        <color rgb="FF1F2A28"/>
        <rFont val="Arial"/>
        <family val="0"/>
        <charset val="1"/>
      </rPr>
      <t xml:space="preserve">168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</si>
  <si>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0988313096</t>
  </si>
  <si>
    <t xml:space="preserve">ccsh202212@gmail.com</t>
  </si>
  <si>
    <t xml:space="preserve">2022-12-09</t>
  </si>
  <si>
    <t xml:space="preserve">鍾芷羚</t>
  </si>
  <si>
    <t xml:space="preserve">私立葉氏文理語文短期補習班</t>
  </si>
  <si>
    <r>
      <rPr>
        <sz val="10"/>
        <color rgb="FF1F2A28"/>
        <rFont val="WenQuanYi Zen Hei"/>
        <family val="2"/>
      </rPr>
      <t xml:space="preserve">龍潭區國聯街</t>
    </r>
    <r>
      <rPr>
        <sz val="10"/>
        <color rgb="FF1F2A28"/>
        <rFont val="Arial"/>
        <family val="0"/>
        <charset val="1"/>
      </rPr>
      <t xml:space="preserve">85</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弄</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</si>
  <si>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(03)4705570</t>
  </si>
  <si>
    <t xml:space="preserve">yes3648763@gmail.com</t>
  </si>
  <si>
    <t xml:space="preserve">2008-06-26</t>
  </si>
  <si>
    <t xml:space="preserve">葉國杰</t>
  </si>
  <si>
    <t xml:space="preserve">羅雅芳</t>
  </si>
  <si>
    <t xml:space="preserve">私立葳林文理短期補習班</t>
  </si>
  <si>
    <r>
      <rPr>
        <sz val="10"/>
        <color rgb="FF1F2A28"/>
        <rFont val="WenQuanYi Zen Hei"/>
        <family val="2"/>
      </rPr>
      <t xml:space="preserve">龍潭區中興路</t>
    </r>
    <r>
      <rPr>
        <sz val="10"/>
        <color rgb="FF1F2A28"/>
        <rFont val="Arial"/>
        <family val="0"/>
        <charset val="1"/>
      </rPr>
      <t xml:space="preserve">211</t>
    </r>
    <r>
      <rPr>
        <sz val="10"/>
        <color rgb="FF1F2A28"/>
        <rFont val="WenQuanYi Zen Hei"/>
        <family val="2"/>
      </rPr>
      <t xml:space="preserve">巷</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</si>
  <si>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(03)4798181</t>
  </si>
  <si>
    <t xml:space="preserve">hn48567@gmail.com</t>
  </si>
  <si>
    <t xml:space="preserve">邱于家</t>
  </si>
  <si>
    <r>
      <rPr>
        <sz val="10"/>
        <color rgb="FF1F2A28"/>
        <rFont val="WenQuanYi Zen Hei"/>
        <family val="2"/>
      </rPr>
      <t xml:space="preserve">龍潭區武漢路</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</si>
  <si>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(03)4990697</t>
  </si>
  <si>
    <r>
      <rPr>
        <sz val="10"/>
        <color rgb="FF1F2A28"/>
        <rFont val="WenQuanYi Zen Hei"/>
        <family val="2"/>
      </rPr>
      <t xml:space="preserve">龍潭區武漢路</t>
    </r>
    <r>
      <rPr>
        <sz val="10"/>
        <color rgb="FF1F2A28"/>
        <rFont val="Arial"/>
        <family val="0"/>
        <charset val="1"/>
      </rPr>
      <t xml:space="preserve">86</t>
    </r>
    <r>
      <rPr>
        <sz val="10"/>
        <color rgb="FF1F2A28"/>
        <rFont val="WenQuanYi Zen Hei"/>
        <family val="2"/>
      </rPr>
      <t xml:space="preserve">號１</t>
    </r>
    <r>
      <rPr>
        <sz val="10"/>
        <color rgb="FF1F2A28"/>
        <rFont val="Arial"/>
        <family val="0"/>
        <charset val="1"/>
      </rPr>
      <t xml:space="preserve">-3 </t>
    </r>
    <r>
      <rPr>
        <sz val="10"/>
        <color rgb="FF1F2A28"/>
        <rFont val="WenQuanYi Zen Hei"/>
        <family val="2"/>
      </rPr>
      <t xml:space="preserve">樓</t>
    </r>
  </si>
  <si>
    <t xml:space="preserve">(03)4890689</t>
  </si>
  <si>
    <t xml:space="preserve">私立頂龍美語文理短期補習班</t>
  </si>
  <si>
    <r>
      <rPr>
        <sz val="10"/>
        <color rgb="FF1F2A28"/>
        <rFont val="WenQuanYi Zen Hei"/>
        <family val="2"/>
      </rPr>
      <t xml:space="preserve">龍潭區龍祥村干城路</t>
    </r>
    <r>
      <rPr>
        <sz val="10"/>
        <color rgb="FF1F2A28"/>
        <rFont val="Arial"/>
        <family val="0"/>
        <charset val="1"/>
      </rPr>
      <t xml:space="preserve">188</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</si>
  <si>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(03)4803895</t>
  </si>
  <si>
    <t xml:space="preserve">top4803895@yahoo.com.tw</t>
  </si>
  <si>
    <t xml:space="preserve">國一英數理班、國三英數理班、兒童美語、國二英數理班</t>
  </si>
  <si>
    <t xml:space="preserve">2006-06-14</t>
  </si>
  <si>
    <t xml:space="preserve">范國華</t>
  </si>
  <si>
    <t xml:space="preserve">蔡明錡</t>
  </si>
  <si>
    <t xml:space="preserve">私立高峰文理語文技藝短期補習班</t>
  </si>
  <si>
    <r>
      <rPr>
        <sz val="10"/>
        <color rgb="FF1F2A28"/>
        <rFont val="WenQuanYi Zen Hei"/>
        <family val="2"/>
      </rPr>
      <t xml:space="preserve">龍潭區龍華路</t>
    </r>
    <r>
      <rPr>
        <sz val="10"/>
        <color rgb="FF1F2A28"/>
        <rFont val="Arial"/>
        <family val="0"/>
        <charset val="1"/>
      </rPr>
      <t xml:space="preserve">323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樓及</t>
    </r>
    <r>
      <rPr>
        <sz val="10"/>
        <color rgb="FF1F2A28"/>
        <rFont val="Arial"/>
        <family val="0"/>
        <charset val="1"/>
      </rPr>
      <t xml:space="preserve">325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</si>
  <si>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(03)4095550</t>
  </si>
  <si>
    <t xml:space="preserve">hsu.liangmei@gmail.com</t>
  </si>
  <si>
    <t xml:space="preserve">2007-05-31</t>
  </si>
  <si>
    <t xml:space="preserve">劉文喜</t>
  </si>
  <si>
    <t xml:space="preserve">私立高老師美語文理短期補習班</t>
  </si>
  <si>
    <r>
      <rPr>
        <sz val="10"/>
        <color rgb="FF1F2A28"/>
        <rFont val="WenQuanYi Zen Hei"/>
        <family val="2"/>
      </rPr>
      <t xml:space="preserve">龍潭區龍青路</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</si>
  <si>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(03)4893728</t>
  </si>
  <si>
    <t xml:space="preserve">teacher.kao7618@seed.net.tw</t>
  </si>
  <si>
    <t xml:space="preserve">2006-08-25</t>
  </si>
  <si>
    <t xml:space="preserve">高于婷</t>
  </si>
  <si>
    <t xml:space="preserve">宋乾禎</t>
  </si>
  <si>
    <t xml:space="preserve">私立鼎文美語短期補習班</t>
  </si>
  <si>
    <r>
      <rPr>
        <sz val="10"/>
        <color rgb="FF1F2A28"/>
        <rFont val="WenQuanYi Zen Hei"/>
        <family val="2"/>
      </rPr>
      <t xml:space="preserve">龍潭區神龍路</t>
    </r>
    <r>
      <rPr>
        <sz val="10"/>
        <color rgb="FF1F2A28"/>
        <rFont val="Arial"/>
        <family val="0"/>
        <charset val="1"/>
      </rPr>
      <t xml:space="preserve">53</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弄</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</si>
  <si>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(03)4803470</t>
  </si>
  <si>
    <t xml:space="preserve">鄒明珠</t>
  </si>
  <si>
    <t xml:space="preserve">溫素玲</t>
  </si>
  <si>
    <t xml:space="preserve">私立龍祥語文數學自然短期補習班</t>
  </si>
  <si>
    <r>
      <rPr>
        <sz val="10"/>
        <color rgb="FF1F2A28"/>
        <rFont val="WenQuanYi Zen Hei"/>
        <family val="2"/>
      </rPr>
      <t xml:space="preserve">龍潭區中正路</t>
    </r>
    <r>
      <rPr>
        <sz val="10"/>
        <color rgb="FF1F2A28"/>
        <rFont val="Arial"/>
        <family val="0"/>
        <charset val="1"/>
      </rPr>
      <t xml:space="preserve">221</t>
    </r>
    <r>
      <rPr>
        <sz val="10"/>
        <color rgb="FF1F2A28"/>
        <rFont val="WenQuanYi Zen Hei"/>
        <family val="2"/>
      </rPr>
      <t xml:space="preserve">號</t>
    </r>
    <r>
      <rPr>
        <sz val="10"/>
        <color rgb="FF1F2A28"/>
        <rFont val="Arial"/>
        <family val="0"/>
        <charset val="1"/>
      </rPr>
      <t xml:space="preserve">3-4</t>
    </r>
    <r>
      <rPr>
        <sz val="10"/>
        <color rgb="FF1F2A28"/>
        <rFont val="WenQuanYi Zen Hei"/>
        <family val="2"/>
      </rPr>
      <t xml:space="preserve">樓</t>
    </r>
  </si>
  <si>
    <t xml:space="preserve">(03)4806690</t>
  </si>
  <si>
    <t xml:space="preserve">longtankids@yahoo.com.tw</t>
  </si>
  <si>
    <t xml:space="preserve">生活美語、全民英檢</t>
  </si>
  <si>
    <t xml:space="preserve">呂雨桐</t>
  </si>
  <si>
    <t xml:space="preserve">呂自中</t>
  </si>
  <si>
    <r>
      <rPr>
        <sz val="10"/>
        <color rgb="FF1F2A28"/>
        <rFont val="WenQuanYi Zen Hei"/>
        <family val="2"/>
      </rPr>
      <t xml:space="preserve">龍潭區梅龍路</t>
    </r>
    <r>
      <rPr>
        <sz val="10"/>
        <color rgb="FF1F2A28"/>
        <rFont val="Arial"/>
        <family val="0"/>
        <charset val="1"/>
      </rPr>
      <t xml:space="preserve">500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</si>
  <si>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(03)4791109</t>
  </si>
  <si>
    <t xml:space="preserve">私立龍誠語文數學自然短期補習班</t>
  </si>
  <si>
    <r>
      <rPr>
        <sz val="10"/>
        <color rgb="FF1F2A28"/>
        <rFont val="WenQuanYi Zen Hei"/>
        <family val="2"/>
      </rPr>
      <t xml:space="preserve">龍潭區中豐路</t>
    </r>
    <r>
      <rPr>
        <sz val="10"/>
        <color rgb="FF1F2A28"/>
        <rFont val="Arial"/>
        <family val="0"/>
        <charset val="1"/>
      </rPr>
      <t xml:space="preserve">351</t>
    </r>
    <r>
      <rPr>
        <sz val="10"/>
        <color rgb="FF1F2A28"/>
        <rFont val="WenQuanYi Zen Hei"/>
        <family val="2"/>
      </rPr>
      <t xml:space="preserve">號及</t>
    </r>
    <r>
      <rPr>
        <sz val="10"/>
        <color rgb="FF1F2A28"/>
        <rFont val="Arial"/>
        <family val="0"/>
        <charset val="1"/>
      </rPr>
      <t xml:space="preserve">353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</si>
  <si>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(03)4802001</t>
  </si>
  <si>
    <t xml:space="preserve">美語、英檢</t>
  </si>
  <si>
    <t xml:space="preserve">李世蕙</t>
  </si>
  <si>
    <t xml:space="preserve">私立龍鳳英語會話短期補習班</t>
  </si>
  <si>
    <r>
      <rPr>
        <sz val="10"/>
        <color rgb="FF1F2A28"/>
        <rFont val="WenQuanYi Zen Hei"/>
        <family val="2"/>
      </rPr>
      <t xml:space="preserve">龍潭區中正路</t>
    </r>
    <r>
      <rPr>
        <sz val="10"/>
        <color rgb="FF1F2A28"/>
        <rFont val="Arial"/>
        <family val="0"/>
        <charset val="1"/>
      </rPr>
      <t xml:space="preserve">242</t>
    </r>
    <r>
      <rPr>
        <sz val="10"/>
        <color rgb="FF1F2A28"/>
        <rFont val="WenQuanYi Zen Hei"/>
        <family val="2"/>
      </rPr>
      <t xml:space="preserve">巷</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</si>
  <si>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2004-03-30</t>
  </si>
  <si>
    <t xml:space="preserve">張國琍</t>
  </si>
  <si>
    <t xml:space="preserve">張慧蘋</t>
  </si>
  <si>
    <t xml:space="preserve">何嘉仁文教事業股份有限公司附設私立華亞文理短期補習班</t>
  </si>
  <si>
    <r>
      <rPr>
        <sz val="10"/>
        <color rgb="FF1F2A28"/>
        <rFont val="WenQuanYi Zen Hei"/>
        <family val="2"/>
      </rPr>
      <t xml:space="preserve">龜山區華亞三路</t>
    </r>
    <r>
      <rPr>
        <sz val="10"/>
        <color rgb="FF1F2A28"/>
        <rFont val="Arial"/>
        <family val="0"/>
        <charset val="1"/>
      </rPr>
      <t xml:space="preserve">39</t>
    </r>
    <r>
      <rPr>
        <sz val="10"/>
        <color rgb="FF1F2A28"/>
        <rFont val="WenQuanYi Zen Hei"/>
        <family val="2"/>
      </rPr>
      <t xml:space="preserve">巷</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</si>
  <si>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(03)3281555</t>
  </si>
  <si>
    <t xml:space="preserve">hs3743@hess.com.tw</t>
  </si>
  <si>
    <t xml:space="preserve">2022-05-19</t>
  </si>
  <si>
    <t xml:space="preserve">林瑞娟</t>
  </si>
  <si>
    <t xml:space="preserve">品學文教事業股份有限公司附設私立文青優品文理短期補習班</t>
  </si>
  <si>
    <r>
      <rPr>
        <sz val="10"/>
        <color rgb="FF1F2A28"/>
        <rFont val="WenQuanYi Zen Hei"/>
        <family val="2"/>
      </rPr>
      <t xml:space="preserve">龜山區樂善二路</t>
    </r>
    <r>
      <rPr>
        <sz val="10"/>
        <color rgb="FF1F2A28"/>
        <rFont val="Arial"/>
        <family val="0"/>
        <charset val="1"/>
      </rPr>
      <t xml:space="preserve">820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r>
      <rPr>
        <sz val="10"/>
        <color rgb="FF1F2A28"/>
        <rFont val="Arial"/>
        <family val="0"/>
        <charset val="1"/>
      </rPr>
      <t xml:space="preserve">822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</si>
  <si>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(03)3271151</t>
  </si>
  <si>
    <t xml:space="preserve">psaustin820@gmail.com</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</si>
  <si>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、英語、美語</t>
    </r>
  </si>
  <si>
    <t xml:space="preserve">2025-09-05</t>
  </si>
  <si>
    <t xml:space="preserve">李建國</t>
  </si>
  <si>
    <t xml:space="preserve">學智文化有限公司私立品誠文理短期補習班</t>
  </si>
  <si>
    <r>
      <rPr>
        <sz val="10"/>
        <color rgb="FF1F2A28"/>
        <rFont val="WenQuanYi Zen Hei"/>
        <family val="2"/>
      </rPr>
      <t xml:space="preserve">龜山區文化二路</t>
    </r>
    <r>
      <rPr>
        <sz val="10"/>
        <color rgb="FF1F2A28"/>
        <rFont val="Arial"/>
        <family val="0"/>
        <charset val="1"/>
      </rPr>
      <t xml:space="preserve">52</t>
    </r>
    <r>
      <rPr>
        <sz val="10"/>
        <color rgb="FF1F2A28"/>
        <rFont val="WenQuanYi Zen Hei"/>
        <family val="2"/>
      </rPr>
      <t xml:space="preserve">巷</t>
    </r>
    <r>
      <rPr>
        <sz val="10"/>
        <color rgb="FF1F2A28"/>
        <rFont val="Arial"/>
        <family val="0"/>
        <charset val="1"/>
      </rPr>
      <t xml:space="preserve">59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</si>
  <si>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(03)3971750</t>
  </si>
  <si>
    <t xml:space="preserve">mk033971750@gmail.com</t>
  </si>
  <si>
    <t xml:space="preserve">2026-05-26</t>
  </si>
  <si>
    <t xml:space="preserve">曾品媛</t>
  </si>
  <si>
    <t xml:space="preserve">張舒婷</t>
  </si>
  <si>
    <t xml:space="preserve">崝藝術股份有限公司附設私立崝藝術技藝文理短期補習班</t>
  </si>
  <si>
    <r>
      <rPr>
        <sz val="10"/>
        <color rgb="FF1F2A28"/>
        <rFont val="WenQuanYi Zen Hei"/>
        <family val="2"/>
      </rPr>
      <t xml:space="preserve">龜山區文吉路</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</si>
  <si>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(03)3974679</t>
  </si>
  <si>
    <t xml:space="preserve">zheng.art.edu@gmail.com</t>
  </si>
  <si>
    <t xml:space="preserve">2024-08-29</t>
  </si>
  <si>
    <t xml:space="preserve">林怡秀</t>
  </si>
  <si>
    <t xml:space="preserve">莊力穎</t>
  </si>
  <si>
    <t xml:space="preserve">新葵愛國際文教有限公司附設私立葵愛文理短期補習班</t>
  </si>
  <si>
    <r>
      <rPr>
        <sz val="10"/>
        <color rgb="FF1F2A28"/>
        <rFont val="WenQuanYi Zen Hei"/>
        <family val="2"/>
      </rPr>
      <t xml:space="preserve">龜山區文興路</t>
    </r>
    <r>
      <rPr>
        <sz val="10"/>
        <color rgb="FF1F2A28"/>
        <rFont val="Arial"/>
        <family val="0"/>
        <charset val="1"/>
      </rPr>
      <t xml:space="preserve">219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</si>
  <si>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(03)3971064</t>
  </si>
  <si>
    <t xml:space="preserve">JEIE033971064@gmail.com</t>
  </si>
  <si>
    <t xml:space="preserve">盧沛函</t>
  </si>
  <si>
    <t xml:space="preserve">私立丞格英語會話短期補習班</t>
  </si>
  <si>
    <r>
      <rPr>
        <sz val="10"/>
        <color rgb="FF1F2A28"/>
        <rFont val="WenQuanYi Zen Hei"/>
        <family val="2"/>
      </rPr>
      <t xml:space="preserve">龜山區文昌一街</t>
    </r>
    <r>
      <rPr>
        <sz val="10"/>
        <color rgb="FF1F2A28"/>
        <rFont val="Arial"/>
        <family val="0"/>
        <charset val="1"/>
      </rPr>
      <t xml:space="preserve">88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</si>
  <si>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(03)3979150</t>
  </si>
  <si>
    <t xml:space="preserve">megan03@principal.com.tw</t>
  </si>
  <si>
    <t xml:space="preserve">2012-11-23</t>
  </si>
  <si>
    <t xml:space="preserve">楊慶鐘</t>
  </si>
  <si>
    <t xml:space="preserve">林孟典</t>
  </si>
  <si>
    <t xml:space="preserve">私立亞斯大美語數學文理短期補習班</t>
  </si>
  <si>
    <r>
      <rPr>
        <sz val="10"/>
        <color rgb="FF1F2A28"/>
        <rFont val="WenQuanYi Zen Hei"/>
        <family val="2"/>
      </rPr>
      <t xml:space="preserve">龜山區自強西路</t>
    </r>
    <r>
      <rPr>
        <sz val="10"/>
        <color rgb="FF1F2A28"/>
        <rFont val="Arial"/>
        <family val="0"/>
        <charset val="1"/>
      </rPr>
      <t xml:space="preserve">124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</si>
  <si>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(03)3195866</t>
  </si>
  <si>
    <t xml:space="preserve">astone@ast2018.net</t>
  </si>
  <si>
    <t xml:space="preserve">2018-10-22</t>
  </si>
  <si>
    <t xml:space="preserve">俞欣伶</t>
  </si>
  <si>
    <t xml:space="preserve">俞麗文</t>
  </si>
  <si>
    <t xml:space="preserve">私立伊芮卡文理短期補習班</t>
  </si>
  <si>
    <r>
      <rPr>
        <sz val="10"/>
        <color rgb="FF1F2A28"/>
        <rFont val="WenQuanYi Zen Hei"/>
        <family val="2"/>
      </rPr>
      <t xml:space="preserve">龜山區文吉路</t>
    </r>
    <r>
      <rPr>
        <sz val="10"/>
        <color rgb="FF1F2A28"/>
        <rFont val="Arial"/>
        <family val="0"/>
        <charset val="1"/>
      </rPr>
      <t xml:space="preserve">115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</si>
  <si>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(03)3289118</t>
  </si>
  <si>
    <t xml:space="preserve">eureka.edu.tw@gmail.com</t>
  </si>
  <si>
    <t xml:space="preserve">2025-06-24</t>
  </si>
  <si>
    <t xml:space="preserve">許晴雯</t>
  </si>
  <si>
    <t xml:space="preserve">私立元陽珠心算美語短期補習班</t>
  </si>
  <si>
    <r>
      <rPr>
        <sz val="10"/>
        <color rgb="FF1F2A28"/>
        <rFont val="WenQuanYi Zen Hei"/>
        <family val="2"/>
      </rPr>
      <t xml:space="preserve">龜山區明德路</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</si>
  <si>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(03)3501913</t>
  </si>
  <si>
    <t xml:space="preserve">wenchen119@yahoo.com.tw</t>
  </si>
  <si>
    <t xml:space="preserve">2005-03-14</t>
  </si>
  <si>
    <t xml:space="preserve">游文程</t>
  </si>
  <si>
    <t xml:space="preserve">陳虹華</t>
  </si>
  <si>
    <t xml:space="preserve">私立兆聖文理短期補習班</t>
  </si>
  <si>
    <r>
      <rPr>
        <sz val="10"/>
        <color rgb="FF1F2A28"/>
        <rFont val="WenQuanYi Zen Hei"/>
        <family val="2"/>
      </rPr>
      <t xml:space="preserve">龜山區南祥路</t>
    </r>
    <r>
      <rPr>
        <sz val="10"/>
        <color rgb="FF1F2A28"/>
        <rFont val="Arial"/>
        <family val="0"/>
        <charset val="1"/>
      </rPr>
      <t xml:space="preserve">81</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</si>
  <si>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(03)3226167</t>
  </si>
  <si>
    <t xml:space="preserve">jhaosheng3226167@gmail.com</t>
  </si>
  <si>
    <r>
      <rPr>
        <sz val="10"/>
        <color rgb="FF1F2A28"/>
        <rFont val="WenQuanYi Zen Hei"/>
        <family val="2"/>
      </rPr>
      <t xml:space="preserve">美語、國中文理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、高中文理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</si>
  <si>
    <t xml:space="preserve">洪昌隆</t>
  </si>
  <si>
    <t xml:space="preserve">私立助亦語文短期補習班</t>
  </si>
  <si>
    <r>
      <rPr>
        <sz val="10"/>
        <color rgb="FF1F2A28"/>
        <rFont val="WenQuanYi Zen Hei"/>
        <family val="2"/>
      </rPr>
      <t xml:space="preserve">龜山區明仁路</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</si>
  <si>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(03)3192006</t>
  </si>
  <si>
    <t xml:space="preserve">shanety9@gmail.com</t>
  </si>
  <si>
    <t xml:space="preserve">2019-03-12</t>
  </si>
  <si>
    <t xml:space="preserve">陳柏宏</t>
  </si>
  <si>
    <t xml:space="preserve">蘇維敏</t>
  </si>
  <si>
    <t xml:space="preserve">私立南英珠心算數學美語語文文理短期補習班</t>
  </si>
  <si>
    <r>
      <rPr>
        <sz val="10"/>
        <color rgb="FF1F2A28"/>
        <rFont val="WenQuanYi Zen Hei"/>
        <family val="2"/>
      </rPr>
      <t xml:space="preserve">龜山區忠義路二段</t>
    </r>
    <r>
      <rPr>
        <sz val="10"/>
        <color rgb="FF1F2A28"/>
        <rFont val="Arial"/>
        <family val="0"/>
        <charset val="1"/>
      </rPr>
      <t xml:space="preserve">489</t>
    </r>
    <r>
      <rPr>
        <sz val="10"/>
        <color rgb="FF1F2A28"/>
        <rFont val="WenQuanYi Zen Hei"/>
        <family val="2"/>
      </rPr>
      <t xml:space="preserve">巷</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</si>
  <si>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(03)3978839</t>
  </si>
  <si>
    <t xml:space="preserve">a0935656268@gmail.com</t>
  </si>
  <si>
    <t xml:space="preserve">曾玉貝</t>
  </si>
  <si>
    <t xml:space="preserve">曾以琳</t>
  </si>
  <si>
    <t xml:space="preserve">私立向心力文理短期補習班</t>
  </si>
  <si>
    <r>
      <rPr>
        <sz val="10"/>
        <color rgb="FF1F2A28"/>
        <rFont val="WenQuanYi Zen Hei"/>
        <family val="2"/>
      </rPr>
      <t xml:space="preserve">龜山區同心一路</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</si>
  <si>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(03)3509319</t>
  </si>
  <si>
    <t xml:space="preserve">melodywu54128@yahoo.com.tw</t>
  </si>
  <si>
    <t xml:space="preserve">2025-01-09</t>
  </si>
  <si>
    <t xml:space="preserve">吳昊胤</t>
  </si>
  <si>
    <t xml:space="preserve">私立嘉思英語短期補習班</t>
  </si>
  <si>
    <r>
      <rPr>
        <sz val="10"/>
        <color rgb="FF1F2A28"/>
        <rFont val="WenQuanYi Zen Hei"/>
        <family val="2"/>
      </rPr>
      <t xml:space="preserve">龜山區中山街</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</si>
  <si>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(03)3201868</t>
  </si>
  <si>
    <t xml:space="preserve">eoyfamily@gmail.com</t>
  </si>
  <si>
    <t xml:space="preserve">周佳賢</t>
  </si>
  <si>
    <t xml:space="preserve">私立嘉晉文理語文短期補習班</t>
  </si>
  <si>
    <r>
      <rPr>
        <sz val="10"/>
        <color rgb="FF1F2A28"/>
        <rFont val="WenQuanYi Zen Hei"/>
        <family val="2"/>
      </rPr>
      <t xml:space="preserve">龜山區文化七路</t>
    </r>
    <r>
      <rPr>
        <sz val="10"/>
        <color rgb="FF1F2A28"/>
        <rFont val="Arial"/>
        <family val="0"/>
        <charset val="1"/>
      </rPr>
      <t xml:space="preserve">89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</si>
  <si>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(03)3273435</t>
  </si>
  <si>
    <t xml:space="preserve">hs2214@hess.com.tw</t>
  </si>
  <si>
    <t xml:space="preserve">2015-02-11</t>
  </si>
  <si>
    <t xml:space="preserve">楊雅如</t>
  </si>
  <si>
    <t xml:space="preserve">私立大謹英語文理短期補習班</t>
  </si>
  <si>
    <r>
      <rPr>
        <sz val="10"/>
        <color rgb="FF1F2A28"/>
        <rFont val="WenQuanYi Zen Hei"/>
        <family val="2"/>
      </rPr>
      <t xml:space="preserve">龜山區萬壽路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267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t>
    </r>
    <r>
      <rPr>
        <sz val="10"/>
        <color rgb="FF1F2A28"/>
        <rFont val="Arial"/>
        <family val="0"/>
        <charset val="1"/>
      </rPr>
      <t xml:space="preserve">269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271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</si>
  <si>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(02)82003776-7</t>
  </si>
  <si>
    <t xml:space="preserve">BB079@joy.com.tw</t>
  </si>
  <si>
    <t xml:space="preserve">吳政霖</t>
  </si>
  <si>
    <t xml:space="preserve">莊珮萱</t>
  </si>
  <si>
    <t xml:space="preserve">私立天鉞文理語文短期補習班</t>
  </si>
  <si>
    <r>
      <rPr>
        <sz val="10"/>
        <color rgb="FF1F2A28"/>
        <rFont val="WenQuanYi Zen Hei"/>
        <family val="2"/>
      </rPr>
      <t xml:space="preserve">龜山區龍鳳街</t>
    </r>
    <r>
      <rPr>
        <sz val="10"/>
        <color rgb="FF1F2A28"/>
        <rFont val="Arial"/>
        <family val="0"/>
        <charset val="1"/>
      </rPr>
      <t xml:space="preserve">32</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</si>
  <si>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(02) 82097196</t>
  </si>
  <si>
    <t xml:space="preserve">landy610530@gmail.com</t>
  </si>
  <si>
    <r>
      <rPr>
        <sz val="10"/>
        <color rgb="FF1F2A28"/>
        <rFont val="WenQuanYi Zen Hei"/>
        <family val="2"/>
      </rPr>
      <t xml:space="preserve">文理科</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英文、數學、自然</t>
    </r>
    <r>
      <rPr>
        <sz val="10"/>
        <color rgb="FF1F2A28"/>
        <rFont val="Arial"/>
        <family val="0"/>
        <charset val="1"/>
      </rPr>
      <t xml:space="preserve">)</t>
    </r>
    <r>
      <rPr>
        <sz val="10"/>
        <color rgb="FF1F2A28"/>
        <rFont val="WenQuanYi Zen Hei"/>
        <family val="2"/>
      </rPr>
      <t xml:space="preserve">、文理科</t>
    </r>
    <r>
      <rPr>
        <sz val="10"/>
        <color rgb="FF1F2A28"/>
        <rFont val="Arial"/>
        <family val="0"/>
        <charset val="1"/>
      </rPr>
      <t xml:space="preserve">C</t>
    </r>
    <r>
      <rPr>
        <sz val="10"/>
        <color rgb="FF1F2A28"/>
        <rFont val="WenQuanYi Zen Hei"/>
        <family val="2"/>
      </rPr>
      <t xml:space="preserve">班</t>
    </r>
    <r>
      <rPr>
        <sz val="10"/>
        <color rgb="FF1F2A28"/>
        <rFont val="Arial"/>
        <family val="0"/>
        <charset val="1"/>
      </rPr>
      <t xml:space="preserve">(</t>
    </r>
    <r>
      <rPr>
        <sz val="10"/>
        <color rgb="FF1F2A28"/>
        <rFont val="WenQuanYi Zen Hei"/>
        <family val="2"/>
      </rPr>
      <t xml:space="preserve">國文、英文、數學、自然、社會</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班</t>
    </r>
  </si>
  <si>
    <t xml:space="preserve">2022-02-07</t>
  </si>
  <si>
    <t xml:space="preserve">戴淑女</t>
  </si>
  <si>
    <t xml:space="preserve">私立學揚美語數學文理短期補習班</t>
  </si>
  <si>
    <r>
      <rPr>
        <sz val="10"/>
        <color rgb="FF1F2A28"/>
        <rFont val="WenQuanYi Zen Hei"/>
        <family val="2"/>
      </rPr>
      <t xml:space="preserve">龜山區南上路</t>
    </r>
    <r>
      <rPr>
        <sz val="10"/>
        <color rgb="FF1F2A28"/>
        <rFont val="Arial"/>
        <family val="0"/>
        <charset val="1"/>
      </rPr>
      <t xml:space="preserve">88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5</t>
    </r>
    <r>
      <rPr>
        <sz val="10"/>
        <color rgb="FF1F2A28"/>
        <rFont val="WenQuanYi Zen Hei"/>
        <family val="2"/>
      </rPr>
      <t xml:space="preserve">樓</t>
    </r>
  </si>
  <si>
    <t xml:space="preserve">(03)2121616</t>
  </si>
  <si>
    <t xml:space="preserve">gina.ky@msa.hinet.net</t>
  </si>
  <si>
    <t xml:space="preserve">2001-09-28</t>
  </si>
  <si>
    <t xml:space="preserve">康傳富</t>
  </si>
  <si>
    <t xml:space="preserve">葉小菁</t>
  </si>
  <si>
    <t xml:space="preserve">私立宏學文理數學美語短期補習班</t>
  </si>
  <si>
    <r>
      <rPr>
        <sz val="10"/>
        <color rgb="FF1F2A28"/>
        <rFont val="WenQuanYi Zen Hei"/>
        <family val="2"/>
      </rPr>
      <t xml:space="preserve">龜山區明仁路</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2-5</t>
    </r>
    <r>
      <rPr>
        <sz val="10"/>
        <color rgb="FF1F2A28"/>
        <rFont val="WenQuanYi Zen Hei"/>
        <family val="2"/>
      </rPr>
      <t xml:space="preserve">樓</t>
    </r>
  </si>
  <si>
    <t xml:space="preserve">(03)3494581</t>
  </si>
  <si>
    <t xml:space="preserve">zhan3434581@yahoo.com.tw</t>
  </si>
  <si>
    <t xml:space="preserve">2010-03-04</t>
  </si>
  <si>
    <t xml:space="preserve">詹水清</t>
  </si>
  <si>
    <t xml:space="preserve">余友琪</t>
  </si>
  <si>
    <t xml:space="preserve">私立小太陽英語會話短期補習班</t>
  </si>
  <si>
    <r>
      <rPr>
        <sz val="10"/>
        <color rgb="FF1F2A28"/>
        <rFont val="WenQuanYi Zen Hei"/>
        <family val="2"/>
      </rPr>
      <t xml:space="preserve">龜山區中興路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63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</si>
  <si>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(03)3508788</t>
  </si>
  <si>
    <t xml:space="preserve">1998-09-23</t>
  </si>
  <si>
    <t xml:space="preserve">陳若蕎</t>
  </si>
  <si>
    <t xml:space="preserve">私立才華文理短期補習班</t>
  </si>
  <si>
    <r>
      <rPr>
        <sz val="10"/>
        <color rgb="FF1F2A28"/>
        <rFont val="WenQuanYi Zen Hei"/>
        <family val="2"/>
      </rPr>
      <t xml:space="preserve">龜山區復興二路</t>
    </r>
    <r>
      <rPr>
        <sz val="10"/>
        <color rgb="FF1F2A28"/>
        <rFont val="Arial"/>
        <family val="0"/>
        <charset val="1"/>
      </rPr>
      <t xml:space="preserve">85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</si>
  <si>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(03)3184070</t>
  </si>
  <si>
    <t xml:space="preserve">caferichlin@gmail.com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</si>
  <si>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英文、數學、自然</t>
    </r>
    <r>
      <rPr>
        <sz val="10"/>
        <color rgb="FF1F2A28"/>
        <rFont val="Arial"/>
        <family val="0"/>
        <charset val="1"/>
      </rPr>
      <t xml:space="preserve">)</t>
    </r>
    <r>
      <rPr>
        <sz val="10"/>
        <color rgb="FF1F2A28"/>
        <rFont val="WenQuanYi Zen Hei"/>
        <family val="2"/>
      </rPr>
      <t xml:space="preserve">、美語</t>
    </r>
  </si>
  <si>
    <t xml:space="preserve">2022-07-07</t>
  </si>
  <si>
    <t xml:space="preserve">林奕穎</t>
  </si>
  <si>
    <t xml:space="preserve">陳宜鄉</t>
  </si>
  <si>
    <t xml:space="preserve">私立捷升文理美語短期補習班</t>
  </si>
  <si>
    <r>
      <rPr>
        <sz val="10"/>
        <color rgb="FF1F2A28"/>
        <rFont val="WenQuanYi Zen Hei"/>
        <family val="2"/>
      </rPr>
      <t xml:space="preserve">龜山區南上路</t>
    </r>
    <r>
      <rPr>
        <sz val="10"/>
        <color rgb="FF1F2A28"/>
        <rFont val="Arial"/>
        <family val="0"/>
        <charset val="1"/>
      </rPr>
      <t xml:space="preserve">92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</si>
  <si>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(03)3112788</t>
  </si>
  <si>
    <t xml:space="preserve">lydiahsu1226@gmail.com</t>
  </si>
  <si>
    <t xml:space="preserve">許綸茵</t>
  </si>
  <si>
    <t xml:space="preserve">私立擁抱文理短期補習班</t>
  </si>
  <si>
    <r>
      <rPr>
        <sz val="10"/>
        <color rgb="FF1F2A28"/>
        <rFont val="WenQuanYi Zen Hei"/>
        <family val="2"/>
      </rPr>
      <t xml:space="preserve">龜山區文吉路</t>
    </r>
    <r>
      <rPr>
        <sz val="10"/>
        <color rgb="FF1F2A28"/>
        <rFont val="Arial"/>
        <family val="0"/>
        <charset val="1"/>
      </rPr>
      <t xml:space="preserve">133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</si>
  <si>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(03)3973033</t>
  </si>
  <si>
    <t xml:space="preserve">pug8773@gmail.com</t>
  </si>
  <si>
    <t xml:space="preserve">梁佳媛</t>
  </si>
  <si>
    <t xml:space="preserve">朱建勲</t>
  </si>
  <si>
    <t xml:space="preserve">私立新世紀語文短期補習班</t>
  </si>
  <si>
    <r>
      <rPr>
        <sz val="10"/>
        <color rgb="FF1F2A28"/>
        <rFont val="WenQuanYi Zen Hei"/>
        <family val="2"/>
      </rPr>
      <t xml:space="preserve">龜山區文七一街</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</si>
  <si>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(03)3278276</t>
  </si>
  <si>
    <t xml:space="preserve">kidcastle_changgung@yahoo.com.tw</t>
  </si>
  <si>
    <t xml:space="preserve">2020-02-20</t>
  </si>
  <si>
    <t xml:space="preserve">私立新基礎語文數學短期補習班</t>
  </si>
  <si>
    <r>
      <rPr>
        <sz val="10"/>
        <color rgb="FF1F2A28"/>
        <rFont val="WenQuanYi Zen Hei"/>
        <family val="2"/>
      </rPr>
      <t xml:space="preserve">龜山區文三二街</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</si>
  <si>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(03)3275167</t>
  </si>
  <si>
    <t xml:space="preserve">foundation683@gmail.com</t>
  </si>
  <si>
    <t xml:space="preserve">2008-07-21</t>
  </si>
  <si>
    <t xml:space="preserve">莊美鑾</t>
  </si>
  <si>
    <t xml:space="preserve">曾華盛</t>
  </si>
  <si>
    <t xml:space="preserve">私立日日青晨文理短期補習班</t>
  </si>
  <si>
    <r>
      <rPr>
        <sz val="10"/>
        <color rgb="FF1F2A28"/>
        <rFont val="WenQuanYi Zen Hei"/>
        <family val="2"/>
      </rPr>
      <t xml:space="preserve">龜山區樂善二路</t>
    </r>
    <r>
      <rPr>
        <sz val="10"/>
        <color rgb="FF1F2A28"/>
        <rFont val="Arial"/>
        <family val="0"/>
        <charset val="1"/>
      </rPr>
      <t xml:space="preserve">427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含夾層</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429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含夾層</t>
    </r>
    <r>
      <rPr>
        <sz val="10"/>
        <color rgb="FF1F2A28"/>
        <rFont val="Arial"/>
        <family val="0"/>
        <charset val="1"/>
      </rPr>
      <t xml:space="preserve">)</t>
    </r>
  </si>
  <si>
    <t xml:space="preserve">(03)3278243</t>
  </si>
  <si>
    <t xml:space="preserve">Dylanchang0016@gmail.com</t>
  </si>
  <si>
    <t xml:space="preserve">2025-02-11</t>
  </si>
  <si>
    <t xml:space="preserve">張宇晨</t>
  </si>
  <si>
    <t xml:space="preserve">私立昂里文理美語短期補習班</t>
  </si>
  <si>
    <r>
      <rPr>
        <sz val="10"/>
        <color rgb="FF1F2A28"/>
        <rFont val="WenQuanYi Zen Hei"/>
        <family val="2"/>
      </rPr>
      <t xml:space="preserve">龜山區頂興路</t>
    </r>
    <r>
      <rPr>
        <sz val="10"/>
        <color rgb="FF1F2A28"/>
        <rFont val="Arial"/>
        <family val="0"/>
        <charset val="1"/>
      </rPr>
      <t xml:space="preserve">157</t>
    </r>
    <r>
      <rPr>
        <sz val="10"/>
        <color rgb="FF1F2A28"/>
        <rFont val="WenQuanYi Zen Hei"/>
        <family val="2"/>
      </rPr>
      <t xml:space="preserve">巷</t>
    </r>
    <r>
      <rPr>
        <sz val="10"/>
        <color rgb="FF1F2A28"/>
        <rFont val="Arial"/>
        <family val="0"/>
        <charset val="1"/>
      </rPr>
      <t xml:space="preserve">38</t>
    </r>
    <r>
      <rPr>
        <sz val="10"/>
        <color rgb="FF1F2A28"/>
        <rFont val="WenQuanYi Zen Hei"/>
        <family val="2"/>
      </rPr>
      <t xml:space="preserve">弄</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</si>
  <si>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(03)3590234</t>
  </si>
  <si>
    <t xml:space="preserve">林黃銘</t>
  </si>
  <si>
    <t xml:space="preserve">林育靖</t>
  </si>
  <si>
    <t xml:space="preserve">私立智惟語文文理短期補習班</t>
  </si>
  <si>
    <r>
      <rPr>
        <sz val="10"/>
        <color rgb="FF1F2A28"/>
        <rFont val="WenQuanYi Zen Hei"/>
        <family val="2"/>
      </rPr>
      <t xml:space="preserve">龜山區文興路</t>
    </r>
    <r>
      <rPr>
        <sz val="10"/>
        <color rgb="FF1F2A28"/>
        <rFont val="Arial"/>
        <family val="0"/>
        <charset val="1"/>
      </rPr>
      <t xml:space="preserve">146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</si>
  <si>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(03)3961712</t>
  </si>
  <si>
    <t xml:space="preserve">2007-01-15</t>
  </si>
  <si>
    <t xml:space="preserve">私立有形有色文理技藝短期補習班</t>
  </si>
  <si>
    <r>
      <rPr>
        <sz val="10"/>
        <color rgb="FF1F2A28"/>
        <rFont val="WenQuanYi Zen Hei"/>
        <family val="2"/>
      </rPr>
      <t xml:space="preserve">龜山區長慶三街</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79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</si>
  <si>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(03)3971377</t>
  </si>
  <si>
    <t xml:space="preserve">lia867602@yahoo.com.tw</t>
  </si>
  <si>
    <t xml:space="preserve">2022-11-11</t>
  </si>
  <si>
    <t xml:space="preserve">何美莉</t>
  </si>
  <si>
    <t xml:space="preserve">私立格林威治英語短期補習班</t>
  </si>
  <si>
    <r>
      <rPr>
        <sz val="10"/>
        <color rgb="FF1F2A28"/>
        <rFont val="WenQuanYi Zen Hei"/>
        <family val="2"/>
      </rPr>
      <t xml:space="preserve">龜山區長慶三街</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</si>
  <si>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(03)3972622</t>
  </si>
  <si>
    <t xml:space="preserve">Jasmine.h429@gmail.com</t>
  </si>
  <si>
    <t xml:space="preserve">黃素馨</t>
  </si>
  <si>
    <t xml:space="preserve">私立樂學英語文理短期補習班</t>
  </si>
  <si>
    <r>
      <rPr>
        <sz val="10"/>
        <color rgb="FF1F2A28"/>
        <rFont val="WenQuanYi Zen Hei"/>
        <family val="2"/>
      </rPr>
      <t xml:space="preserve">龜山區樂學路</t>
    </r>
    <r>
      <rPr>
        <sz val="10"/>
        <color rgb="FF1F2A28"/>
        <rFont val="Arial"/>
        <family val="0"/>
        <charset val="1"/>
      </rPr>
      <t xml:space="preserve">339</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</si>
  <si>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(03)3271791</t>
  </si>
  <si>
    <t xml:space="preserve">2021-11-24</t>
  </si>
  <si>
    <t xml:space="preserve">莊閎雯</t>
  </si>
  <si>
    <t xml:space="preserve">私立樂智英語文理短期補習班</t>
  </si>
  <si>
    <r>
      <rPr>
        <sz val="10"/>
        <color rgb="FF1F2A28"/>
        <rFont val="WenQuanYi Zen Hei"/>
        <family val="2"/>
      </rPr>
      <t xml:space="preserve">龜山區文東五街</t>
    </r>
    <r>
      <rPr>
        <sz val="10"/>
        <color rgb="FF1F2A28"/>
        <rFont val="Arial"/>
        <family val="0"/>
        <charset val="1"/>
      </rPr>
      <t xml:space="preserve">78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</si>
  <si>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(03)397-0509</t>
  </si>
  <si>
    <r>
      <rPr>
        <sz val="10"/>
        <color rgb="FF1F2A28"/>
        <rFont val="WenQuanYi Zen Hei"/>
        <family val="2"/>
      </rPr>
      <t xml:space="preserve">國小文理科</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、國中文理科</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、英語</t>
    </r>
  </si>
  <si>
    <t xml:space="preserve">2023-10-31</t>
  </si>
  <si>
    <t xml:space="preserve">何姵絨</t>
  </si>
  <si>
    <t xml:space="preserve">私立樂樂家文理短期補習班</t>
  </si>
  <si>
    <r>
      <rPr>
        <sz val="10"/>
        <color rgb="FF1F2A28"/>
        <rFont val="WenQuanYi Zen Hei"/>
        <family val="2"/>
      </rPr>
      <t xml:space="preserve">龜山區復興二路</t>
    </r>
    <r>
      <rPr>
        <sz val="10"/>
        <color rgb="FF1F2A28"/>
        <rFont val="Arial"/>
        <family val="0"/>
        <charset val="1"/>
      </rPr>
      <t xml:space="preserve">131</t>
    </r>
    <r>
      <rPr>
        <sz val="10"/>
        <color rgb="FF1F2A28"/>
        <rFont val="WenQuanYi Zen Hei"/>
        <family val="2"/>
      </rPr>
      <t xml:space="preserve">巷</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</si>
  <si>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(03)3973315</t>
  </si>
  <si>
    <t xml:space="preserve">giraffewenshing@gmail.com</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</si>
  <si>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進階</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初級</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中級</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高級</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初階</t>
    </r>
    <r>
      <rPr>
        <sz val="10"/>
        <color rgb="FF1F2A28"/>
        <rFont val="Arial"/>
        <family val="0"/>
        <charset val="1"/>
      </rPr>
      <t xml:space="preserve">)</t>
    </r>
    <r>
      <rPr>
        <sz val="10"/>
        <color rgb="FF1F2A28"/>
        <rFont val="WenQuanYi Zen Hei"/>
        <family val="2"/>
      </rPr>
      <t xml:space="preserve">、文理科</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</si>
  <si>
    <t xml:space="preserve">蔡惠蓉</t>
  </si>
  <si>
    <t xml:space="preserve">楊雅茗</t>
  </si>
  <si>
    <t xml:space="preserve">私立樂青英語文理短期補習班</t>
  </si>
  <si>
    <r>
      <rPr>
        <sz val="10"/>
        <color rgb="FF1F2A28"/>
        <rFont val="WenQuanYi Zen Hei"/>
        <family val="2"/>
      </rPr>
      <t xml:space="preserve">龜山區文化二路</t>
    </r>
    <r>
      <rPr>
        <sz val="10"/>
        <color rgb="FF1F2A28"/>
        <rFont val="Arial"/>
        <family val="0"/>
        <charset val="1"/>
      </rPr>
      <t xml:space="preserve">526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</si>
  <si>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(03)3970221</t>
  </si>
  <si>
    <r>
      <rPr>
        <sz val="10"/>
        <color rgb="FF1F2A28"/>
        <rFont val="WenQuanYi Zen Hei"/>
        <family val="2"/>
      </rPr>
      <t xml:space="preserve">英語、文理</t>
    </r>
    <r>
      <rPr>
        <sz val="10"/>
        <color rgb="FF1F2A28"/>
        <rFont val="Arial"/>
        <family val="0"/>
        <charset val="1"/>
      </rPr>
      <t xml:space="preserve">(</t>
    </r>
    <r>
      <rPr>
        <sz val="10"/>
        <color rgb="FF1F2A28"/>
        <rFont val="WenQuanYi Zen Hei"/>
        <family val="2"/>
      </rPr>
      <t xml:space="preserve">國英數生活</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</si>
  <si>
    <t xml:space="preserve">2024-06-12</t>
  </si>
  <si>
    <t xml:space="preserve">私立橡樹果美語文理短期補習班</t>
  </si>
  <si>
    <r>
      <rPr>
        <sz val="10"/>
        <color rgb="FF1F2A28"/>
        <rFont val="WenQuanYi Zen Hei"/>
        <family val="2"/>
      </rPr>
      <t xml:space="preserve">龜山區文化三路</t>
    </r>
    <r>
      <rPr>
        <sz val="10"/>
        <color rgb="FF1F2A28"/>
        <rFont val="Arial"/>
        <family val="0"/>
        <charset val="1"/>
      </rPr>
      <t xml:space="preserve">20</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</si>
  <si>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0983292870</t>
  </si>
  <si>
    <t xml:space="preserve">acornsclass77@gmail.com</t>
  </si>
  <si>
    <t xml:space="preserve">2026-07-06</t>
  </si>
  <si>
    <t xml:space="preserve">包沁玄</t>
  </si>
  <si>
    <t xml:space="preserve">私立欣育全語文文理短期補習班</t>
  </si>
  <si>
    <r>
      <rPr>
        <sz val="10"/>
        <color rgb="FF1F2A28"/>
        <rFont val="WenQuanYi Zen Hei"/>
        <family val="2"/>
      </rPr>
      <t xml:space="preserve">龜山區萬壽路一段</t>
    </r>
    <r>
      <rPr>
        <sz val="10"/>
        <color rgb="FF1F2A28"/>
        <rFont val="Arial"/>
        <family val="0"/>
        <charset val="1"/>
      </rPr>
      <t xml:space="preserve">203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</si>
  <si>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(02)82098181</t>
  </si>
  <si>
    <t xml:space="preserve">ycks8181@yahoo.com.tw</t>
  </si>
  <si>
    <t xml:space="preserve">2018-01-16</t>
  </si>
  <si>
    <t xml:space="preserve">李彩歆</t>
  </si>
  <si>
    <t xml:space="preserve">私立浤昇文理短期補習班</t>
  </si>
  <si>
    <r>
      <rPr>
        <sz val="10"/>
        <color rgb="FF1F2A28"/>
        <rFont val="WenQuanYi Zen Hei"/>
        <family val="2"/>
      </rPr>
      <t xml:space="preserve">龜山區文吉路</t>
    </r>
    <r>
      <rPr>
        <sz val="10"/>
        <color rgb="FF1F2A28"/>
        <rFont val="Arial"/>
        <family val="0"/>
        <charset val="1"/>
      </rPr>
      <t xml:space="preserve">120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116</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</si>
  <si>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(03)3975757</t>
  </si>
  <si>
    <t xml:space="preserve">hs.0913593075@gmail.com</t>
  </si>
  <si>
    <r>
      <rPr>
        <sz val="10"/>
        <color rgb="FF1F2A28"/>
        <rFont val="WenQuanYi Zen Hei"/>
        <family val="2"/>
      </rPr>
      <t xml:space="preserve">英語、文理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、英文</t>
    </r>
  </si>
  <si>
    <t xml:space="preserve">曾皓麟</t>
  </si>
  <si>
    <t xml:space="preserve">私立浤瀚文理短期補習班</t>
  </si>
  <si>
    <r>
      <rPr>
        <sz val="10"/>
        <color rgb="FF1F2A28"/>
        <rFont val="WenQuanYi Zen Hei"/>
        <family val="2"/>
      </rPr>
      <t xml:space="preserve">龜山區樂善二路</t>
    </r>
    <r>
      <rPr>
        <sz val="10"/>
        <color rgb="FF1F2A28"/>
        <rFont val="Arial"/>
        <family val="0"/>
        <charset val="1"/>
      </rPr>
      <t xml:space="preserve">457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</si>
  <si>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(03)3280385</t>
  </si>
  <si>
    <t xml:space="preserve">honghancramschool@gmail.com</t>
  </si>
  <si>
    <r>
      <rPr>
        <sz val="10"/>
        <color rgb="FF1F2A28"/>
        <rFont val="WenQuanYi Zen Hei"/>
        <family val="2"/>
      </rPr>
      <t xml:space="preserve">文理科</t>
    </r>
    <r>
      <rPr>
        <sz val="10"/>
        <color rgb="FF1F2A28"/>
        <rFont val="Arial"/>
        <family val="0"/>
        <charset val="1"/>
      </rPr>
      <t xml:space="preserve">(</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、英語</t>
    </r>
  </si>
  <si>
    <t xml:space="preserve">2025-07-29</t>
  </si>
  <si>
    <t xml:space="preserve">童彥澤</t>
  </si>
  <si>
    <t xml:space="preserve">私立瑞苗美語文理短期補習班</t>
  </si>
  <si>
    <r>
      <rPr>
        <sz val="10"/>
        <color rgb="FF1F2A28"/>
        <rFont val="WenQuanYi Zen Hei"/>
        <family val="2"/>
      </rPr>
      <t xml:space="preserve">龜山區文德路</t>
    </r>
    <r>
      <rPr>
        <sz val="10"/>
        <color rgb="FF1F2A28"/>
        <rFont val="Arial"/>
        <family val="0"/>
        <charset val="1"/>
      </rPr>
      <t xml:space="preserve">86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</si>
  <si>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(03)3277066</t>
  </si>
  <si>
    <t xml:space="preserve">2025offfice@gmail.com</t>
  </si>
  <si>
    <t xml:space="preserve">2015-11-09</t>
  </si>
  <si>
    <t xml:space="preserve">羅玉函</t>
  </si>
  <si>
    <t xml:space="preserve">私立瘋美語短期補習班</t>
  </si>
  <si>
    <r>
      <rPr>
        <sz val="10"/>
        <color rgb="FF1F2A28"/>
        <rFont val="WenQuanYi Zen Hei"/>
        <family val="2"/>
      </rPr>
      <t xml:space="preserve">龜山區復興北路</t>
    </r>
    <r>
      <rPr>
        <sz val="10"/>
        <color rgb="FF1F2A28"/>
        <rFont val="Arial"/>
        <family val="0"/>
        <charset val="1"/>
      </rPr>
      <t xml:space="preserve">90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</si>
  <si>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(03)3961411</t>
  </si>
  <si>
    <t xml:space="preserve">cureeq@hotmail.com</t>
  </si>
  <si>
    <t xml:space="preserve">張珈瑜</t>
  </si>
  <si>
    <t xml:space="preserve">私立研心文理短期補習班</t>
  </si>
  <si>
    <r>
      <rPr>
        <sz val="10"/>
        <color rgb="FF1F2A28"/>
        <rFont val="WenQuanYi Zen Hei"/>
        <family val="2"/>
      </rPr>
      <t xml:space="preserve">龜山區文東五街</t>
    </r>
    <r>
      <rPr>
        <sz val="10"/>
        <color rgb="FF1F2A28"/>
        <rFont val="Arial"/>
        <family val="0"/>
        <charset val="1"/>
      </rPr>
      <t xml:space="preserve">121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123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樓及文化七路</t>
    </r>
    <r>
      <rPr>
        <sz val="10"/>
        <color rgb="FF1F2A28"/>
        <rFont val="Arial"/>
        <family val="0"/>
        <charset val="1"/>
      </rPr>
      <t xml:space="preserve">96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</si>
  <si>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(03)3271830</t>
  </si>
  <si>
    <t xml:space="preserve">irene65w@gmail.com</t>
  </si>
  <si>
    <t xml:space="preserve">2020-04-16</t>
  </si>
  <si>
    <t xml:space="preserve">蔡敦豪</t>
  </si>
  <si>
    <t xml:space="preserve">私立童研文理語文美語音樂短期補習班</t>
  </si>
  <si>
    <r>
      <rPr>
        <sz val="10"/>
        <color rgb="FF1F2A28"/>
        <rFont val="WenQuanYi Zen Hei"/>
        <family val="2"/>
      </rPr>
      <t xml:space="preserve">龜山區文化一路</t>
    </r>
    <r>
      <rPr>
        <sz val="10"/>
        <color rgb="FF1F2A28"/>
        <rFont val="Arial"/>
        <family val="0"/>
        <charset val="1"/>
      </rPr>
      <t xml:space="preserve">10</t>
    </r>
    <r>
      <rPr>
        <sz val="10"/>
        <color rgb="FF1F2A28"/>
        <rFont val="WenQuanYi Zen Hei"/>
        <family val="2"/>
      </rPr>
      <t xml:space="preserve">巷</t>
    </r>
    <r>
      <rPr>
        <sz val="10"/>
        <color rgb="FF1F2A28"/>
        <rFont val="Arial"/>
        <family val="0"/>
        <charset val="1"/>
      </rPr>
      <t xml:space="preserve">42</t>
    </r>
    <r>
      <rPr>
        <sz val="10"/>
        <color rgb="FF1F2A28"/>
        <rFont val="WenQuanYi Zen Hei"/>
        <family val="2"/>
      </rPr>
      <t xml:space="preserve">弄</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2</t>
    </r>
    <r>
      <rPr>
        <sz val="10"/>
        <color rgb="FF1F2A28"/>
        <rFont val="WenQuanYi Zen Hei"/>
        <family val="2"/>
      </rPr>
      <t xml:space="preserve">樓後段</t>
    </r>
  </si>
  <si>
    <t xml:space="preserve">(03)3183029</t>
  </si>
  <si>
    <t xml:space="preserve">joseph0112@yahoo.com.tw</t>
  </si>
  <si>
    <t xml:space="preserve">2009-09-29</t>
  </si>
  <si>
    <t xml:space="preserve">顧孝偉</t>
  </si>
  <si>
    <t xml:space="preserve">私立紅寶山美語珠算短期補習班</t>
  </si>
  <si>
    <r>
      <rPr>
        <sz val="10"/>
        <color rgb="FF1F2A28"/>
        <rFont val="WenQuanYi Zen Hei"/>
        <family val="2"/>
      </rPr>
      <t xml:space="preserve">龜山區紅寶</t>
    </r>
    <r>
      <rPr>
        <sz val="10"/>
        <color rgb="FF1F2A28"/>
        <rFont val="Arial"/>
        <family val="0"/>
        <charset val="1"/>
      </rPr>
      <t xml:space="preserve">3</t>
    </r>
    <r>
      <rPr>
        <sz val="10"/>
        <color rgb="FF1F2A28"/>
        <rFont val="WenQuanYi Zen Hei"/>
        <family val="2"/>
      </rPr>
      <t xml:space="preserve">街</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</si>
  <si>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(03)3504628</t>
  </si>
  <si>
    <t xml:space="preserve">j1123060870@gmail.com</t>
  </si>
  <si>
    <t xml:space="preserve">私立索爾英語文理短期補習班</t>
  </si>
  <si>
    <r>
      <rPr>
        <sz val="10"/>
        <color rgb="FF1F2A28"/>
        <rFont val="WenQuanYi Zen Hei"/>
        <family val="2"/>
      </rPr>
      <t xml:space="preserve">龜山區樂善二路</t>
    </r>
    <r>
      <rPr>
        <sz val="10"/>
        <color rgb="FF1F2A28"/>
        <rFont val="Arial"/>
        <family val="0"/>
        <charset val="1"/>
      </rPr>
      <t xml:space="preserve">503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</si>
  <si>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(03)3972966</t>
  </si>
  <si>
    <t xml:space="preserve">鄧家宇</t>
  </si>
  <si>
    <t xml:space="preserve">私立群倫文理語文短期補習班</t>
  </si>
  <si>
    <r>
      <rPr>
        <sz val="10"/>
        <color rgb="FF1F2A28"/>
        <rFont val="WenQuanYi Zen Hei"/>
        <family val="2"/>
      </rPr>
      <t xml:space="preserve">龜山區頂興路</t>
    </r>
    <r>
      <rPr>
        <sz val="10"/>
        <color rgb="FF1F2A28"/>
        <rFont val="Arial"/>
        <family val="0"/>
        <charset val="1"/>
      </rPr>
      <t xml:space="preserve">2</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</si>
  <si>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(03)3191227</t>
  </si>
  <si>
    <t xml:space="preserve">fionpan1010@gmail.com</t>
  </si>
  <si>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英數自</t>
    </r>
    <r>
      <rPr>
        <sz val="10"/>
        <color rgb="FF1F2A28"/>
        <rFont val="Arial"/>
        <family val="0"/>
        <charset val="1"/>
      </rPr>
      <t xml:space="preserve">)</t>
    </r>
    <r>
      <rPr>
        <sz val="10"/>
        <color rgb="FF1F2A28"/>
        <rFont val="WenQuanYi Zen Hei"/>
        <family val="2"/>
      </rPr>
      <t xml:space="preserve">科、文理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t>
    </r>
    <r>
      <rPr>
        <sz val="10"/>
        <color rgb="FF1F2A28"/>
        <rFont val="WenQuanYi Zen Hei"/>
        <family val="2"/>
      </rPr>
      <t xml:space="preserve">初級</t>
    </r>
    <r>
      <rPr>
        <sz val="10"/>
        <color rgb="FF1F2A28"/>
        <rFont val="Arial"/>
        <family val="0"/>
        <charset val="1"/>
      </rPr>
      <t xml:space="preserve">)</t>
    </r>
    <r>
      <rPr>
        <sz val="10"/>
        <color rgb="FF1F2A28"/>
        <rFont val="WenQuanYi Zen Hei"/>
        <family val="2"/>
      </rPr>
      <t xml:space="preserve">科、美語</t>
    </r>
    <r>
      <rPr>
        <sz val="10"/>
        <color rgb="FF1F2A28"/>
        <rFont val="Arial"/>
        <family val="0"/>
        <charset val="1"/>
      </rPr>
      <t xml:space="preserve">(</t>
    </r>
    <r>
      <rPr>
        <sz val="10"/>
        <color rgb="FF1F2A28"/>
        <rFont val="WenQuanYi Zen Hei"/>
        <family val="2"/>
      </rPr>
      <t xml:space="preserve">進階</t>
    </r>
    <r>
      <rPr>
        <sz val="10"/>
        <color rgb="FF1F2A28"/>
        <rFont val="Arial"/>
        <family val="0"/>
        <charset val="1"/>
      </rPr>
      <t xml:space="preserve">)</t>
    </r>
    <r>
      <rPr>
        <sz val="10"/>
        <color rgb="FF1F2A28"/>
        <rFont val="WenQuanYi Zen Hei"/>
        <family val="2"/>
      </rPr>
      <t xml:space="preserve">科</t>
    </r>
  </si>
  <si>
    <t xml:space="preserve">1998-05-19</t>
  </si>
  <si>
    <t xml:space="preserve">黃啟峰</t>
  </si>
  <si>
    <t xml:space="preserve">潘麗民</t>
  </si>
  <si>
    <t xml:space="preserve">私立翰萱美語短期補習班</t>
  </si>
  <si>
    <r>
      <rPr>
        <sz val="10"/>
        <color rgb="FF1F2A28"/>
        <rFont val="WenQuanYi Zen Hei"/>
        <family val="2"/>
      </rPr>
      <t xml:space="preserve">龜山區頂興路</t>
    </r>
    <r>
      <rPr>
        <sz val="10"/>
        <color rgb="FF1F2A28"/>
        <rFont val="Arial"/>
        <family val="0"/>
        <charset val="1"/>
      </rPr>
      <t xml:space="preserve">34-2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</si>
  <si>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(03)3195588</t>
  </si>
  <si>
    <t xml:space="preserve">2006-05-10</t>
  </si>
  <si>
    <t xml:space="preserve">黃建中</t>
  </si>
  <si>
    <t xml:space="preserve">江映虹</t>
  </si>
  <si>
    <t xml:space="preserve">私立育明數學語文短期補習班</t>
  </si>
  <si>
    <r>
      <rPr>
        <sz val="10"/>
        <color rgb="FF1F2A28"/>
        <rFont val="WenQuanYi Zen Hei"/>
        <family val="2"/>
      </rPr>
      <t xml:space="preserve">龜山區南上路</t>
    </r>
    <r>
      <rPr>
        <sz val="10"/>
        <color rgb="FF1F2A28"/>
        <rFont val="Arial"/>
        <family val="0"/>
        <charset val="1"/>
      </rPr>
      <t xml:space="preserve">90</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</si>
  <si>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(03)2126881</t>
  </si>
  <si>
    <t xml:space="preserve">saidsay@ms81.hotmaul.com</t>
  </si>
  <si>
    <t xml:space="preserve">2009-07-24</t>
  </si>
  <si>
    <t xml:space="preserve">劉俊麟</t>
  </si>
  <si>
    <t xml:space="preserve">許祥偉</t>
  </si>
  <si>
    <r>
      <rPr>
        <sz val="10"/>
        <color rgb="FF1F2A28"/>
        <rFont val="WenQuanYi Zen Hei"/>
        <family val="2"/>
      </rPr>
      <t xml:space="preserve">龜山區自強東路</t>
    </r>
    <r>
      <rPr>
        <sz val="10"/>
        <color rgb="FF1F2A28"/>
        <rFont val="Arial"/>
        <family val="0"/>
        <charset val="1"/>
      </rPr>
      <t xml:space="preserve">198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</si>
  <si>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(03)3299280</t>
  </si>
  <si>
    <t xml:space="preserve">私立艾兒瑪語文短期補習班</t>
  </si>
  <si>
    <r>
      <rPr>
        <sz val="10"/>
        <color rgb="FF1F2A28"/>
        <rFont val="WenQuanYi Zen Hei"/>
        <family val="2"/>
      </rPr>
      <t xml:space="preserve">龜山區興華五街</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</si>
  <si>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(03)3975468</t>
  </si>
  <si>
    <t xml:space="preserve">anber17@hotmail.com</t>
  </si>
  <si>
    <t xml:space="preserve">2012-07-23</t>
  </si>
  <si>
    <t xml:space="preserve">紅宣任</t>
  </si>
  <si>
    <t xml:space="preserve">私立茁躍語文短期補習班</t>
  </si>
  <si>
    <r>
      <rPr>
        <sz val="10"/>
        <color rgb="FF1F2A28"/>
        <rFont val="WenQuanYi Zen Hei"/>
        <family val="2"/>
      </rPr>
      <t xml:space="preserve">龜山區光峯路</t>
    </r>
    <r>
      <rPr>
        <sz val="10"/>
        <color rgb="FF1F2A28"/>
        <rFont val="Arial"/>
        <family val="0"/>
        <charset val="1"/>
      </rPr>
      <t xml:space="preserve">281</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</si>
  <si>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(03)3204543</t>
  </si>
  <si>
    <t xml:space="preserve">wendy19911225@gmail.com</t>
  </si>
  <si>
    <t xml:space="preserve">2019-06-28</t>
  </si>
  <si>
    <t xml:space="preserve">劉曦文</t>
  </si>
  <si>
    <t xml:space="preserve">劉衍葶</t>
  </si>
  <si>
    <t xml:space="preserve">私立薪傳數學語文文理短期補習班</t>
  </si>
  <si>
    <r>
      <rPr>
        <sz val="10"/>
        <color rgb="FF1F2A28"/>
        <rFont val="WenQuanYi Zen Hei"/>
        <family val="2"/>
      </rPr>
      <t xml:space="preserve">龜山區文化二路</t>
    </r>
    <r>
      <rPr>
        <sz val="10"/>
        <color rgb="FF1F2A28"/>
        <rFont val="Arial"/>
        <family val="0"/>
        <charset val="1"/>
      </rPr>
      <t xml:space="preserve">30</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</si>
  <si>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(03)3272902</t>
  </si>
  <si>
    <t xml:space="preserve">sharon.kumon.tw@gmail.com</t>
  </si>
  <si>
    <t xml:space="preserve">2021-12-23</t>
  </si>
  <si>
    <t xml:space="preserve">陳琪樺</t>
  </si>
  <si>
    <t xml:space="preserve">私立蘿芙莉文理短期補習班</t>
  </si>
  <si>
    <r>
      <rPr>
        <sz val="10"/>
        <color rgb="FF1F2A28"/>
        <rFont val="WenQuanYi Zen Hei"/>
        <family val="2"/>
      </rPr>
      <t xml:space="preserve">龜山區中興路一段</t>
    </r>
    <r>
      <rPr>
        <sz val="10"/>
        <color rgb="FF1F2A28"/>
        <rFont val="Arial"/>
        <family val="0"/>
        <charset val="1"/>
      </rPr>
      <t xml:space="preserve">109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</si>
  <si>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(03)3505643</t>
  </si>
  <si>
    <t xml:space="preserve">hsyjason@gmail.com</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</si>
  <si>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、美語、高中文理</t>
    </r>
    <r>
      <rPr>
        <sz val="10"/>
        <color rgb="FF1F2A28"/>
        <rFont val="Arial"/>
        <family val="0"/>
        <charset val="1"/>
      </rPr>
      <t xml:space="preserve">(</t>
    </r>
    <r>
      <rPr>
        <sz val="10"/>
        <color rgb="FF1F2A28"/>
        <rFont val="WenQuanYi Zen Hei"/>
        <family val="2"/>
      </rPr>
      <t xml:space="preserve">英數物化國</t>
    </r>
    <r>
      <rPr>
        <sz val="10"/>
        <color rgb="FF1F2A28"/>
        <rFont val="Arial"/>
        <family val="0"/>
        <charset val="1"/>
      </rPr>
      <t xml:space="preserve">)</t>
    </r>
  </si>
  <si>
    <t xml:space="preserve">黃聖淵</t>
  </si>
  <si>
    <t xml:space="preserve">邱敬宜</t>
  </si>
  <si>
    <t xml:space="preserve">私立親親語文數學短期補習班</t>
  </si>
  <si>
    <r>
      <rPr>
        <sz val="10"/>
        <color rgb="FF1F2A28"/>
        <rFont val="WenQuanYi Zen Hei"/>
        <family val="2"/>
      </rPr>
      <t xml:space="preserve">龜山區光峯路</t>
    </r>
    <r>
      <rPr>
        <sz val="10"/>
        <color rgb="FF1F2A28"/>
        <rFont val="Arial"/>
        <family val="0"/>
        <charset val="1"/>
      </rPr>
      <t xml:space="preserve">246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</si>
  <si>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(03)3506111</t>
  </si>
  <si>
    <t xml:space="preserve">私立貓頭鷹文理語文短期補習班</t>
  </si>
  <si>
    <r>
      <rPr>
        <sz val="10"/>
        <color rgb="FF1F2A28"/>
        <rFont val="WenQuanYi Zen Hei"/>
        <family val="2"/>
      </rPr>
      <t xml:space="preserve">龜山區文化七路</t>
    </r>
    <r>
      <rPr>
        <sz val="10"/>
        <color rgb="FF1F2A28"/>
        <rFont val="Arial"/>
        <family val="0"/>
        <charset val="1"/>
      </rPr>
      <t xml:space="preserve">181</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弄</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</si>
  <si>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(03)3279131</t>
  </si>
  <si>
    <t xml:space="preserve">wangminghsu@gmail.com</t>
  </si>
  <si>
    <t xml:space="preserve">黃意娟</t>
  </si>
  <si>
    <t xml:space="preserve">私立賦予藝術文理技藝短期補習班</t>
  </si>
  <si>
    <r>
      <rPr>
        <sz val="10"/>
        <color rgb="FF1F2A28"/>
        <rFont val="WenQuanYi Zen Hei"/>
        <family val="2"/>
      </rPr>
      <t xml:space="preserve">龜山區文青路</t>
    </r>
    <r>
      <rPr>
        <sz val="10"/>
        <color rgb="FF1F2A28"/>
        <rFont val="Arial"/>
        <family val="0"/>
        <charset val="1"/>
      </rPr>
      <t xml:space="preserve">197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</si>
  <si>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(03)3186750</t>
  </si>
  <si>
    <t xml:space="preserve">panmay801108@gmail.com</t>
  </si>
  <si>
    <t xml:space="preserve">潘家榆</t>
  </si>
  <si>
    <t xml:space="preserve">私立賴芹文理語文短期補習班</t>
  </si>
  <si>
    <r>
      <rPr>
        <sz val="10"/>
        <color rgb="FF1F2A28"/>
        <rFont val="WenQuanYi Zen Hei"/>
        <family val="2"/>
      </rPr>
      <t xml:space="preserve">龜山區文昌二街</t>
    </r>
    <r>
      <rPr>
        <sz val="10"/>
        <color rgb="FF1F2A28"/>
        <rFont val="Arial"/>
        <family val="0"/>
        <charset val="1"/>
      </rPr>
      <t xml:space="preserve">70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</si>
  <si>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(03)3182437</t>
  </si>
  <si>
    <t xml:space="preserve">laichin3182437@gmail.com</t>
  </si>
  <si>
    <t xml:space="preserve">2011-12-23</t>
  </si>
  <si>
    <t xml:space="preserve">鍾百誠</t>
  </si>
  <si>
    <t xml:space="preserve">賴郁君</t>
  </si>
  <si>
    <t xml:space="preserve">私立辰果美語文理短期補習班</t>
  </si>
  <si>
    <r>
      <rPr>
        <sz val="10"/>
        <color rgb="FF1F2A28"/>
        <rFont val="WenQuanYi Zen Hei"/>
        <family val="2"/>
      </rPr>
      <t xml:space="preserve">龜山區光峯路</t>
    </r>
    <r>
      <rPr>
        <sz val="10"/>
        <color rgb="FF1F2A28"/>
        <rFont val="Arial"/>
        <family val="0"/>
        <charset val="1"/>
      </rPr>
      <t xml:space="preserve">212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232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236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</si>
  <si>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(03)3290026</t>
  </si>
  <si>
    <t xml:space="preserve">clouds4welldone@gmail.com</t>
  </si>
  <si>
    <t xml:space="preserve">張愛茹</t>
  </si>
  <si>
    <t xml:space="preserve">私立辰果美語文理短期補習班文青分班</t>
  </si>
  <si>
    <r>
      <rPr>
        <sz val="10"/>
        <color rgb="FF1F2A28"/>
        <rFont val="WenQuanYi Zen Hei"/>
        <family val="2"/>
      </rPr>
      <t xml:space="preserve">龜山區樂善二路</t>
    </r>
    <r>
      <rPr>
        <sz val="10"/>
        <color rgb="FF1F2A28"/>
        <rFont val="Arial"/>
        <family val="0"/>
        <charset val="1"/>
      </rPr>
      <t xml:space="preserve">652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</si>
  <si>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(03)3979652</t>
  </si>
  <si>
    <t xml:space="preserve">2026-04-17</t>
  </si>
  <si>
    <t xml:space="preserve">周亞塘</t>
  </si>
  <si>
    <t xml:space="preserve">私立道勤美語數學文理短期補習班</t>
  </si>
  <si>
    <r>
      <rPr>
        <sz val="10"/>
        <color rgb="FF1F2A28"/>
        <rFont val="WenQuanYi Zen Hei"/>
        <family val="2"/>
      </rPr>
      <t xml:space="preserve">龜山區自強東路</t>
    </r>
    <r>
      <rPr>
        <sz val="10"/>
        <color rgb="FF1F2A28"/>
        <rFont val="Arial"/>
        <family val="0"/>
        <charset val="1"/>
      </rPr>
      <t xml:space="preserve">113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</si>
  <si>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(03)3508555</t>
  </si>
  <si>
    <t xml:space="preserve">j0955418688@yahoo.com.tw</t>
  </si>
  <si>
    <t xml:space="preserve">2000-11-06</t>
  </si>
  <si>
    <t xml:space="preserve">黃鈺淳</t>
  </si>
  <si>
    <t xml:space="preserve">私立銓儒美術語文短期補習班</t>
  </si>
  <si>
    <r>
      <rPr>
        <sz val="10"/>
        <color rgb="FF1F2A28"/>
        <rFont val="WenQuanYi Zen Hei"/>
        <family val="2"/>
      </rPr>
      <t xml:space="preserve">龜山區忠誠街</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</si>
  <si>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(03)3495549</t>
  </si>
  <si>
    <t xml:space="preserve">nateboy123tw@gmail.com</t>
  </si>
  <si>
    <t xml:space="preserve">黃偉仁</t>
  </si>
  <si>
    <t xml:space="preserve">黃俊騰</t>
  </si>
  <si>
    <t xml:space="preserve">私立飛揚語文短期補習班</t>
  </si>
  <si>
    <r>
      <rPr>
        <sz val="10"/>
        <color rgb="FF1F2A28"/>
        <rFont val="WenQuanYi Zen Hei"/>
        <family val="2"/>
      </rPr>
      <t xml:space="preserve">龜山區明仁路</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</si>
  <si>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(03)3494563</t>
  </si>
  <si>
    <t xml:space="preserve">2008-06-16</t>
  </si>
  <si>
    <t xml:space="preserve">朱怡芬</t>
  </si>
  <si>
    <t xml:space="preserve">私立首步英語短期補習班</t>
  </si>
  <si>
    <r>
      <rPr>
        <sz val="10"/>
        <color rgb="FF1F2A28"/>
        <rFont val="WenQuanYi Zen Hei"/>
        <family val="2"/>
      </rPr>
      <t xml:space="preserve">龜山區文化二路</t>
    </r>
    <r>
      <rPr>
        <sz val="10"/>
        <color rgb="FF1F2A28"/>
        <rFont val="Arial"/>
        <family val="0"/>
        <charset val="1"/>
      </rPr>
      <t xml:space="preserve">38</t>
    </r>
    <r>
      <rPr>
        <sz val="10"/>
        <color rgb="FF1F2A28"/>
        <rFont val="WenQuanYi Zen Hei"/>
        <family val="2"/>
      </rPr>
      <t xml:space="preserve">之</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</si>
  <si>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(03)3183811</t>
  </si>
  <si>
    <t xml:space="preserve">first.school03@gmail.com</t>
  </si>
  <si>
    <t xml:space="preserve">馬維瑛</t>
  </si>
  <si>
    <t xml:space="preserve">李淑玲</t>
  </si>
  <si>
    <t xml:space="preserve">私立高盛文理短期補習班</t>
  </si>
  <si>
    <r>
      <rPr>
        <sz val="10"/>
        <color rgb="FF1F2A28"/>
        <rFont val="WenQuanYi Zen Hei"/>
        <family val="2"/>
      </rPr>
      <t xml:space="preserve">龜山區樂善二路</t>
    </r>
    <r>
      <rPr>
        <sz val="10"/>
        <color rgb="FF1F2A28"/>
        <rFont val="Arial"/>
        <family val="0"/>
        <charset val="1"/>
      </rPr>
      <t xml:space="preserve">541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</si>
  <si>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(03)3282845</t>
  </si>
  <si>
    <t xml:space="preserve">happy.prosper.828@gmail.com</t>
  </si>
  <si>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國英數自社</t>
    </r>
    <r>
      <rPr>
        <sz val="10"/>
        <color rgb="FF1F2A28"/>
        <rFont val="Arial"/>
        <family val="0"/>
        <charset val="1"/>
      </rPr>
      <t xml:space="preserve">)</t>
    </r>
    <r>
      <rPr>
        <sz val="10"/>
        <color rgb="FF1F2A28"/>
        <rFont val="WenQuanYi Zen Hei"/>
        <family val="2"/>
      </rPr>
      <t xml:space="preserve">、美語、英語</t>
    </r>
  </si>
  <si>
    <t xml:space="preserve">2024-11-26</t>
  </si>
  <si>
    <t xml:space="preserve">高如彥</t>
  </si>
  <si>
    <t xml:space="preserve">私立麥克叔叔文理語文短期補習班</t>
  </si>
  <si>
    <r>
      <rPr>
        <sz val="10"/>
        <color rgb="FF1F2A28"/>
        <rFont val="WenQuanYi Zen Hei"/>
        <family val="2"/>
      </rPr>
      <t xml:space="preserve">龜山區公園路</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</si>
  <si>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(03)3271779</t>
  </si>
  <si>
    <t xml:space="preserve">tstc90@hotmail.com</t>
  </si>
  <si>
    <t xml:space="preserve">2010-02-05</t>
  </si>
  <si>
    <t xml:space="preserve">施航典</t>
  </si>
  <si>
    <t xml:space="preserve">私立黃亮文理短期補習班</t>
  </si>
  <si>
    <r>
      <rPr>
        <sz val="10"/>
        <color rgb="FF1F2A28"/>
        <rFont val="WenQuanYi Zen Hei"/>
        <family val="2"/>
      </rPr>
      <t xml:space="preserve">龜山區文化七路</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</si>
  <si>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(03)3270668</t>
  </si>
  <si>
    <t xml:space="preserve">math.leader@msa.hinet.net</t>
  </si>
  <si>
    <t xml:space="preserve">2025-12-19</t>
  </si>
  <si>
    <t xml:space="preserve">黃賴胤</t>
  </si>
  <si>
    <t xml:space="preserve">陳憶文</t>
  </si>
  <si>
    <t xml:space="preserve">私立黃亮文理短期補習班文華分班</t>
  </si>
  <si>
    <r>
      <rPr>
        <sz val="10"/>
        <color rgb="FF1F2A28"/>
        <rFont val="WenQuanYi Zen Hei"/>
        <family val="2"/>
      </rPr>
      <t xml:space="preserve">龜山區文化七路</t>
    </r>
    <r>
      <rPr>
        <sz val="10"/>
        <color rgb="FF1F2A28"/>
        <rFont val="Arial"/>
        <family val="0"/>
        <charset val="1"/>
      </rPr>
      <t xml:space="preserve">167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</si>
  <si>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(03)3270660</t>
  </si>
  <si>
    <t xml:space="preserve">私立黃亮文理短期補習班長庚分班</t>
  </si>
  <si>
    <r>
      <rPr>
        <sz val="10"/>
        <color rgb="FF1F2A28"/>
        <rFont val="WenQuanYi Zen Hei"/>
        <family val="2"/>
      </rPr>
      <t xml:space="preserve">龜山區文德路</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</si>
  <si>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(03)3270006</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</si>
  <si>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中級</t>
    </r>
    <r>
      <rPr>
        <sz val="10"/>
        <color rgb="FF1F2A28"/>
        <rFont val="Arial"/>
        <family val="0"/>
        <charset val="1"/>
      </rPr>
      <t xml:space="preserve">)</t>
    </r>
    <r>
      <rPr>
        <sz val="10"/>
        <color rgb="FF1F2A28"/>
        <rFont val="WenQuanYi Zen Hei"/>
        <family val="2"/>
      </rPr>
      <t xml:space="preserve">、文理</t>
    </r>
    <r>
      <rPr>
        <sz val="10"/>
        <color rgb="FF1F2A28"/>
        <rFont val="Arial"/>
        <family val="0"/>
        <charset val="1"/>
      </rPr>
      <t xml:space="preserve">(</t>
    </r>
    <r>
      <rPr>
        <sz val="10"/>
        <color rgb="FF1F2A28"/>
        <rFont val="WenQuanYi Zen Hei"/>
        <family val="2"/>
      </rPr>
      <t xml:space="preserve">英數理</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初級</t>
    </r>
    <r>
      <rPr>
        <sz val="10"/>
        <color rgb="FF1F2A28"/>
        <rFont val="Arial"/>
        <family val="0"/>
        <charset val="1"/>
      </rPr>
      <t xml:space="preserve">)</t>
    </r>
  </si>
  <si>
    <t xml:space="preserve">2011-12-28</t>
  </si>
  <si>
    <t xml:space="preserve">黃世熙</t>
  </si>
  <si>
    <t xml:space="preserve">青山塾股份有限公司附設私立青山塾文理短期補習班</t>
  </si>
  <si>
    <r>
      <rPr>
        <sz val="10"/>
        <color rgb="FF1F2A28"/>
        <rFont val="WenQuanYi Zen Hei"/>
        <family val="2"/>
      </rPr>
      <t xml:space="preserve">龜山區文青路</t>
    </r>
    <r>
      <rPr>
        <sz val="10"/>
        <color rgb="FF1F2A28"/>
        <rFont val="Arial"/>
        <family val="0"/>
        <charset val="1"/>
      </rPr>
      <t xml:space="preserve">195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</si>
  <si>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(03)3277582</t>
  </si>
  <si>
    <t xml:space="preserve">chingshanshu@gmail.com</t>
  </si>
  <si>
    <r>
      <rPr>
        <sz val="10"/>
        <color rgb="FF1F2A28"/>
        <rFont val="WenQuanYi Zen Hei"/>
        <family val="2"/>
      </rPr>
      <t xml:space="preserve">國小文理</t>
    </r>
    <r>
      <rPr>
        <sz val="10"/>
        <color rgb="FF1F2A28"/>
        <rFont val="Arial"/>
        <family val="0"/>
        <charset val="1"/>
      </rPr>
      <t xml:space="preserve">(</t>
    </r>
    <r>
      <rPr>
        <sz val="10"/>
        <color rgb="FF1F2A28"/>
        <rFont val="WenQuanYi Zen Hei"/>
        <family val="2"/>
      </rPr>
      <t xml:space="preserve">國語、美語、數學、自然、社會</t>
    </r>
    <r>
      <rPr>
        <sz val="10"/>
        <color rgb="FF1F2A28"/>
        <rFont val="Arial"/>
        <family val="0"/>
        <charset val="1"/>
      </rPr>
      <t xml:space="preserve">)</t>
    </r>
    <r>
      <rPr>
        <sz val="10"/>
        <color rgb="FF1F2A28"/>
        <rFont val="WenQuanYi Zen Hei"/>
        <family val="2"/>
      </rPr>
      <t xml:space="preserve">、國中文理</t>
    </r>
    <r>
      <rPr>
        <sz val="10"/>
        <color rgb="FF1F2A28"/>
        <rFont val="Arial"/>
        <family val="0"/>
        <charset val="1"/>
      </rPr>
      <t xml:space="preserve">(</t>
    </r>
    <r>
      <rPr>
        <sz val="10"/>
        <color rgb="FF1F2A28"/>
        <rFont val="WenQuanYi Zen Hei"/>
        <family val="2"/>
      </rPr>
      <t xml:space="preserve">國文、英文、數學、自然、社會</t>
    </r>
    <r>
      <rPr>
        <sz val="10"/>
        <color rgb="FF1F2A28"/>
        <rFont val="Arial"/>
        <family val="0"/>
        <charset val="1"/>
      </rPr>
      <t xml:space="preserve">)</t>
    </r>
    <r>
      <rPr>
        <sz val="10"/>
        <color rgb="FF1F2A28"/>
        <rFont val="WenQuanYi Zen Hei"/>
        <family val="2"/>
      </rPr>
      <t xml:space="preserve">、高中文理</t>
    </r>
    <r>
      <rPr>
        <sz val="10"/>
        <color rgb="FF1F2A28"/>
        <rFont val="Arial"/>
        <family val="0"/>
        <charset val="1"/>
      </rPr>
      <t xml:space="preserve">(</t>
    </r>
    <r>
      <rPr>
        <sz val="10"/>
        <color rgb="FF1F2A28"/>
        <rFont val="WenQuanYi Zen Hei"/>
        <family val="2"/>
      </rPr>
      <t xml:space="preserve">英文、數學</t>
    </r>
    <r>
      <rPr>
        <sz val="10"/>
        <color rgb="FF1F2A28"/>
        <rFont val="Arial"/>
        <family val="0"/>
        <charset val="1"/>
      </rPr>
      <t xml:space="preserve">)</t>
    </r>
  </si>
  <si>
    <t xml:space="preserve">2022-05-30</t>
  </si>
  <si>
    <t xml:space="preserve">劉永元</t>
  </si>
  <si>
    <t xml:space="preserve">臺中市</t>
  </si>
  <si>
    <t xml:space="preserve">中國青年救國團台中市團委會附設台中市私立北屯美語電腦烹飪舞蹈短期補習班</t>
  </si>
  <si>
    <r>
      <rPr>
        <sz val="10"/>
        <color rgb="FF1F2A28"/>
        <rFont val="Arial"/>
        <family val="0"/>
        <charset val="1"/>
      </rPr>
      <t xml:space="preserve">406</t>
    </r>
    <r>
      <rPr>
        <sz val="10"/>
        <color rgb="FF1F2A28"/>
        <rFont val="WenQuanYi Zen Hei"/>
        <family val="2"/>
      </rPr>
      <t xml:space="preserve">台中市北屯區文心路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821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</si>
  <si>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(04)24922116</t>
  </si>
  <si>
    <t xml:space="preserve">cyc22492118@cyc.tw</t>
  </si>
  <si>
    <r>
      <rPr>
        <sz val="10"/>
        <color rgb="FF1F2A28"/>
        <rFont val="WenQuanYi Zen Hei"/>
        <family val="2"/>
      </rPr>
      <t xml:space="preserve">美語</t>
    </r>
    <r>
      <rPr>
        <sz val="10"/>
        <color rgb="FF1F2A28"/>
        <rFont val="Arial"/>
        <family val="0"/>
        <charset val="1"/>
      </rPr>
      <t xml:space="preserve">31.82</t>
    </r>
    <r>
      <rPr>
        <sz val="10"/>
        <color rgb="FF1F2A28"/>
        <rFont val="WenQuanYi Zen Hei"/>
        <family val="2"/>
      </rPr>
      <t xml:space="preserve">、美語</t>
    </r>
    <r>
      <rPr>
        <sz val="10"/>
        <color rgb="FF1F2A28"/>
        <rFont val="Arial"/>
        <family val="0"/>
        <charset val="1"/>
      </rPr>
      <t xml:space="preserve">20.10</t>
    </r>
  </si>
  <si>
    <t xml:space="preserve">2008-06-30</t>
  </si>
  <si>
    <t xml:space="preserve">中國青年救國團台中市團委會法代：藍涂育</t>
  </si>
  <si>
    <t xml:space="preserve">卓進權</t>
  </si>
  <si>
    <t xml:space="preserve">何嘉仁文教事業股份有限公司附設臺中市私立嘉陞英語短期補習班</t>
  </si>
  <si>
    <r>
      <rPr>
        <sz val="10"/>
        <color rgb="FF1F2A28"/>
        <rFont val="Arial"/>
        <family val="0"/>
        <charset val="1"/>
      </rPr>
      <t xml:space="preserve">403</t>
    </r>
    <r>
      <rPr>
        <sz val="10"/>
        <color rgb="FF1F2A28"/>
        <rFont val="WenQuanYi Zen Hei"/>
        <family val="2"/>
      </rPr>
      <t xml:space="preserve">台中市西區三民路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181</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</si>
  <si>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(04)22256000</t>
  </si>
  <si>
    <t xml:space="preserve">hs3341@hess.com.tw</t>
  </si>
  <si>
    <r>
      <rPr>
        <sz val="10"/>
        <color rgb="FF1F2A28"/>
        <rFont val="WenQuanYi Zen Hei"/>
        <family val="2"/>
      </rPr>
      <t xml:space="preserve">英語</t>
    </r>
    <r>
      <rPr>
        <sz val="10"/>
        <color rgb="FF1F2A28"/>
        <rFont val="Arial"/>
        <family val="0"/>
        <charset val="1"/>
      </rPr>
      <t xml:space="preserve">29.26</t>
    </r>
    <r>
      <rPr>
        <sz val="10"/>
        <color rgb="FF1F2A28"/>
        <rFont val="WenQuanYi Zen Hei"/>
        <family val="2"/>
      </rPr>
      <t xml:space="preserve">、英語</t>
    </r>
    <r>
      <rPr>
        <sz val="10"/>
        <color rgb="FF1F2A28"/>
        <rFont val="Arial"/>
        <family val="0"/>
        <charset val="1"/>
      </rPr>
      <t xml:space="preserve">21.15</t>
    </r>
    <r>
      <rPr>
        <sz val="10"/>
        <color rgb="FF1F2A28"/>
        <rFont val="WenQuanYi Zen Hei"/>
        <family val="2"/>
      </rPr>
      <t xml:space="preserve">、英語</t>
    </r>
    <r>
      <rPr>
        <sz val="10"/>
        <color rgb="FF1F2A28"/>
        <rFont val="Arial"/>
        <family val="0"/>
        <charset val="1"/>
      </rPr>
      <t xml:space="preserve">28.34</t>
    </r>
    <r>
      <rPr>
        <sz val="10"/>
        <color rgb="FF1F2A28"/>
        <rFont val="WenQuanYi Zen Hei"/>
        <family val="2"/>
      </rPr>
      <t xml:space="preserve">、英語</t>
    </r>
    <r>
      <rPr>
        <sz val="10"/>
        <color rgb="FF1F2A28"/>
        <rFont val="Arial"/>
        <family val="0"/>
        <charset val="1"/>
      </rPr>
      <t xml:space="preserve">26.29</t>
    </r>
  </si>
  <si>
    <t xml:space="preserve">2005-05-30</t>
  </si>
  <si>
    <t xml:space="preserve">黃麗茹</t>
  </si>
  <si>
    <t xml:space="preserve">學獅教育股份有限公司附設臺中市私立樂獅美語短期補習班</t>
  </si>
  <si>
    <r>
      <rPr>
        <sz val="10"/>
        <color rgb="FF1F2A28"/>
        <rFont val="Arial"/>
        <family val="0"/>
        <charset val="1"/>
      </rPr>
      <t xml:space="preserve">402</t>
    </r>
    <r>
      <rPr>
        <sz val="10"/>
        <color rgb="FF1F2A28"/>
        <rFont val="WenQuanYi Zen Hei"/>
        <family val="2"/>
      </rPr>
      <t xml:space="preserve">臺中市南區福田路</t>
    </r>
    <r>
      <rPr>
        <sz val="10"/>
        <color rgb="FF1F2A28"/>
        <rFont val="Arial"/>
        <family val="0"/>
        <charset val="1"/>
      </rPr>
      <t xml:space="preserve">70</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</si>
  <si>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04-22655800</t>
  </si>
  <si>
    <t xml:space="preserve">shuyi2021@gmail.com</t>
  </si>
  <si>
    <t xml:space="preserve">2002-09-19</t>
  </si>
  <si>
    <r>
      <rPr>
        <sz val="10"/>
        <color rgb="FF1F2A28"/>
        <rFont val="WenQuanYi Zen Hei"/>
        <family val="2"/>
      </rPr>
      <t xml:space="preserve">學獅教育股份有限公司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劉竺亞</t>
    </r>
    <r>
      <rPr>
        <sz val="10"/>
        <color rgb="FF1F2A28"/>
        <rFont val="Arial"/>
        <family val="0"/>
        <charset val="1"/>
      </rPr>
      <t xml:space="preserve">)</t>
    </r>
  </si>
  <si>
    <t xml:space="preserve">黃紀如</t>
  </si>
  <si>
    <t xml:space="preserve">巨匠電腦股份有限公司台中三民美語分公司附設臺中市私立鉅匠美語短期補習班</t>
  </si>
  <si>
    <r>
      <rPr>
        <sz val="10"/>
        <color rgb="FF1F2A28"/>
        <rFont val="Arial"/>
        <family val="0"/>
        <charset val="1"/>
      </rPr>
      <t xml:space="preserve">404</t>
    </r>
    <r>
      <rPr>
        <sz val="10"/>
        <color rgb="FF1F2A28"/>
        <rFont val="WenQuanYi Zen Hei"/>
        <family val="2"/>
      </rPr>
      <t xml:space="preserve">臺中市北區三民路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117-4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</si>
  <si>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(04)22210166</t>
  </si>
  <si>
    <t xml:space="preserve">KP_mailbox@pcschool.com.tw</t>
  </si>
  <si>
    <r>
      <rPr>
        <sz val="10"/>
        <color rgb="FF1F2A28"/>
        <rFont val="WenQuanYi Zen Hei"/>
        <family val="2"/>
      </rPr>
      <t xml:space="preserve">美語</t>
    </r>
    <r>
      <rPr>
        <sz val="10"/>
        <color rgb="FF1F2A28"/>
        <rFont val="Arial"/>
        <family val="0"/>
        <charset val="1"/>
      </rPr>
      <t xml:space="preserve">G38.16</t>
    </r>
    <r>
      <rPr>
        <sz val="10"/>
        <color rgb="FF1F2A28"/>
        <rFont val="WenQuanYi Zen Hei"/>
        <family val="2"/>
      </rPr>
      <t xml:space="preserve">、美語</t>
    </r>
    <r>
      <rPr>
        <sz val="10"/>
        <color rgb="FF1F2A28"/>
        <rFont val="Arial"/>
        <family val="0"/>
        <charset val="1"/>
      </rPr>
      <t xml:space="preserve">B20.96</t>
    </r>
    <r>
      <rPr>
        <sz val="10"/>
        <color rgb="FF1F2A28"/>
        <rFont val="WenQuanYi Zen Hei"/>
        <family val="2"/>
      </rPr>
      <t xml:space="preserve">、美語</t>
    </r>
    <r>
      <rPr>
        <sz val="10"/>
        <color rgb="FF1F2A28"/>
        <rFont val="Arial"/>
        <family val="0"/>
        <charset val="1"/>
      </rPr>
      <t xml:space="preserve">A38.16</t>
    </r>
    <r>
      <rPr>
        <sz val="10"/>
        <color rgb="FF1F2A28"/>
        <rFont val="WenQuanYi Zen Hei"/>
        <family val="2"/>
      </rPr>
      <t xml:space="preserve">、美語</t>
    </r>
    <r>
      <rPr>
        <sz val="10"/>
        <color rgb="FF1F2A28"/>
        <rFont val="Arial"/>
        <family val="0"/>
        <charset val="1"/>
      </rPr>
      <t xml:space="preserve">C11.77</t>
    </r>
    <r>
      <rPr>
        <sz val="10"/>
        <color rgb="FF1F2A28"/>
        <rFont val="WenQuanYi Zen Hei"/>
        <family val="2"/>
      </rPr>
      <t xml:space="preserve">、美語</t>
    </r>
    <r>
      <rPr>
        <sz val="10"/>
        <color rgb="FF1F2A28"/>
        <rFont val="Arial"/>
        <family val="0"/>
        <charset val="1"/>
      </rPr>
      <t xml:space="preserve">E37.97</t>
    </r>
    <r>
      <rPr>
        <sz val="10"/>
        <color rgb="FF1F2A28"/>
        <rFont val="WenQuanYi Zen Hei"/>
        <family val="2"/>
      </rPr>
      <t xml:space="preserve">、美語</t>
    </r>
    <r>
      <rPr>
        <sz val="10"/>
        <color rgb="FF1F2A28"/>
        <rFont val="Arial"/>
        <family val="0"/>
        <charset val="1"/>
      </rPr>
      <t xml:space="preserve">D38.16</t>
    </r>
    <r>
      <rPr>
        <sz val="10"/>
        <color rgb="FF1F2A28"/>
        <rFont val="WenQuanYi Zen Hei"/>
        <family val="2"/>
      </rPr>
      <t xml:space="preserve">、美語</t>
    </r>
    <r>
      <rPr>
        <sz val="10"/>
        <color rgb="FF1F2A28"/>
        <rFont val="Arial"/>
        <family val="0"/>
        <charset val="1"/>
      </rPr>
      <t xml:space="preserve">F20.96</t>
    </r>
  </si>
  <si>
    <t xml:space="preserve">林奐伊</t>
  </si>
  <si>
    <t xml:space="preserve">康乃爾英語股份有限公司附設臺中市私立康乃爾英語會話短期補習班</t>
  </si>
  <si>
    <r>
      <rPr>
        <sz val="10"/>
        <color rgb="FF1F2A28"/>
        <rFont val="Arial"/>
        <family val="0"/>
        <charset val="1"/>
      </rPr>
      <t xml:space="preserve">402</t>
    </r>
    <r>
      <rPr>
        <sz val="10"/>
        <color rgb="FF1F2A28"/>
        <rFont val="WenQuanYi Zen Hei"/>
        <family val="2"/>
      </rPr>
      <t xml:space="preserve">臺中市南區南門路</t>
    </r>
    <r>
      <rPr>
        <sz val="10"/>
        <color rgb="FF1F2A28"/>
        <rFont val="Arial"/>
        <family val="0"/>
        <charset val="1"/>
      </rPr>
      <t xml:space="preserve">35</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</si>
  <si>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(04)22855231</t>
  </si>
  <si>
    <r>
      <rPr>
        <sz val="10"/>
        <color rgb="FF1F2A28"/>
        <rFont val="WenQuanYi Zen Hei"/>
        <family val="2"/>
      </rPr>
      <t xml:space="preserve">英語會話</t>
    </r>
    <r>
      <rPr>
        <sz val="10"/>
        <color rgb="FF1F2A28"/>
        <rFont val="Arial"/>
        <family val="0"/>
        <charset val="1"/>
      </rPr>
      <t xml:space="preserve">52.8</t>
    </r>
    <r>
      <rPr>
        <sz val="10"/>
        <color rgb="FF1F2A28"/>
        <rFont val="WenQuanYi Zen Hei"/>
        <family val="2"/>
      </rPr>
      <t xml:space="preserve">㎡各</t>
    </r>
    <r>
      <rPr>
        <sz val="10"/>
        <color rgb="FF1F2A28"/>
        <rFont val="Arial"/>
        <family val="0"/>
        <charset val="1"/>
      </rPr>
      <t xml:space="preserve">10</t>
    </r>
    <r>
      <rPr>
        <sz val="10"/>
        <color rgb="FF1F2A28"/>
        <rFont val="WenQuanYi Zen Hei"/>
        <family val="2"/>
      </rPr>
      <t xml:space="preserve">小時各</t>
    </r>
    <r>
      <rPr>
        <sz val="10"/>
        <color rgb="FF1F2A28"/>
        <rFont val="Arial"/>
        <family val="0"/>
        <charset val="1"/>
      </rPr>
      <t xml:space="preserve">20</t>
    </r>
    <r>
      <rPr>
        <sz val="10"/>
        <color rgb="FF1F2A28"/>
        <rFont val="WenQuanYi Zen Hei"/>
        <family val="2"/>
      </rPr>
      <t xml:space="preserve">人、英語會話</t>
    </r>
    <r>
      <rPr>
        <sz val="10"/>
        <color rgb="FF1F2A28"/>
        <rFont val="Arial"/>
        <family val="0"/>
        <charset val="1"/>
      </rPr>
      <t xml:space="preserve">27.67</t>
    </r>
    <r>
      <rPr>
        <sz val="10"/>
        <color rgb="FF1F2A28"/>
        <rFont val="WenQuanYi Zen Hei"/>
        <family val="2"/>
      </rPr>
      <t xml:space="preserve">㎡各</t>
    </r>
    <r>
      <rPr>
        <sz val="10"/>
        <color rgb="FF1F2A28"/>
        <rFont val="Arial"/>
        <family val="0"/>
        <charset val="1"/>
      </rPr>
      <t xml:space="preserve">10</t>
    </r>
    <r>
      <rPr>
        <sz val="10"/>
        <color rgb="FF1F2A28"/>
        <rFont val="WenQuanYi Zen Hei"/>
        <family val="2"/>
      </rPr>
      <t xml:space="preserve">小時各</t>
    </r>
    <r>
      <rPr>
        <sz val="10"/>
        <color rgb="FF1F2A28"/>
        <rFont val="Arial"/>
        <family val="0"/>
        <charset val="1"/>
      </rPr>
      <t xml:space="preserve">20</t>
    </r>
    <r>
      <rPr>
        <sz val="10"/>
        <color rgb="FF1F2A28"/>
        <rFont val="WenQuanYi Zen Hei"/>
        <family val="2"/>
      </rPr>
      <t xml:space="preserve">人、英語會話</t>
    </r>
    <r>
      <rPr>
        <sz val="10"/>
        <color rgb="FF1F2A28"/>
        <rFont val="Arial"/>
        <family val="0"/>
        <charset val="1"/>
      </rPr>
      <t xml:space="preserve">62.68</t>
    </r>
    <r>
      <rPr>
        <sz val="10"/>
        <color rgb="FF1F2A28"/>
        <rFont val="WenQuanYi Zen Hei"/>
        <family val="2"/>
      </rPr>
      <t xml:space="preserve">㎡各</t>
    </r>
    <r>
      <rPr>
        <sz val="10"/>
        <color rgb="FF1F2A28"/>
        <rFont val="Arial"/>
        <family val="0"/>
        <charset val="1"/>
      </rPr>
      <t xml:space="preserve">10</t>
    </r>
    <r>
      <rPr>
        <sz val="10"/>
        <color rgb="FF1F2A28"/>
        <rFont val="WenQuanYi Zen Hei"/>
        <family val="2"/>
      </rPr>
      <t xml:space="preserve">小時各</t>
    </r>
    <r>
      <rPr>
        <sz val="10"/>
        <color rgb="FF1F2A28"/>
        <rFont val="Arial"/>
        <family val="0"/>
        <charset val="1"/>
      </rPr>
      <t xml:space="preserve">20</t>
    </r>
    <r>
      <rPr>
        <sz val="10"/>
        <color rgb="FF1F2A28"/>
        <rFont val="WenQuanYi Zen Hei"/>
        <family val="2"/>
      </rPr>
      <t xml:space="preserve">人、英語會話</t>
    </r>
    <r>
      <rPr>
        <sz val="10"/>
        <color rgb="FF1F2A28"/>
        <rFont val="Arial"/>
        <family val="0"/>
        <charset val="1"/>
      </rPr>
      <t xml:space="preserve">31.95</t>
    </r>
    <r>
      <rPr>
        <sz val="10"/>
        <color rgb="FF1F2A28"/>
        <rFont val="WenQuanYi Zen Hei"/>
        <family val="2"/>
      </rPr>
      <t xml:space="preserve">㎡各</t>
    </r>
    <r>
      <rPr>
        <sz val="10"/>
        <color rgb="FF1F2A28"/>
        <rFont val="Arial"/>
        <family val="0"/>
        <charset val="1"/>
      </rPr>
      <t xml:space="preserve">10</t>
    </r>
    <r>
      <rPr>
        <sz val="10"/>
        <color rgb="FF1F2A28"/>
        <rFont val="WenQuanYi Zen Hei"/>
        <family val="2"/>
      </rPr>
      <t xml:space="preserve">小時各</t>
    </r>
    <r>
      <rPr>
        <sz val="10"/>
        <color rgb="FF1F2A28"/>
        <rFont val="Arial"/>
        <family val="0"/>
        <charset val="1"/>
      </rPr>
      <t xml:space="preserve">20</t>
    </r>
    <r>
      <rPr>
        <sz val="10"/>
        <color rgb="FF1F2A28"/>
        <rFont val="WenQuanYi Zen Hei"/>
        <family val="2"/>
      </rPr>
      <t xml:space="preserve">人、英語會話</t>
    </r>
    <r>
      <rPr>
        <sz val="10"/>
        <color rgb="FF1F2A28"/>
        <rFont val="Arial"/>
        <family val="0"/>
        <charset val="1"/>
      </rPr>
      <t xml:space="preserve">35.5</t>
    </r>
    <r>
      <rPr>
        <sz val="10"/>
        <color rgb="FF1F2A28"/>
        <rFont val="WenQuanYi Zen Hei"/>
        <family val="2"/>
      </rPr>
      <t xml:space="preserve">㎡各</t>
    </r>
    <r>
      <rPr>
        <sz val="10"/>
        <color rgb="FF1F2A28"/>
        <rFont val="Arial"/>
        <family val="0"/>
        <charset val="1"/>
      </rPr>
      <t xml:space="preserve">10</t>
    </r>
    <r>
      <rPr>
        <sz val="10"/>
        <color rgb="FF1F2A28"/>
        <rFont val="WenQuanYi Zen Hei"/>
        <family val="2"/>
      </rPr>
      <t xml:space="preserve">小時各</t>
    </r>
    <r>
      <rPr>
        <sz val="10"/>
        <color rgb="FF1F2A28"/>
        <rFont val="Arial"/>
        <family val="0"/>
        <charset val="1"/>
      </rPr>
      <t xml:space="preserve">20</t>
    </r>
    <r>
      <rPr>
        <sz val="10"/>
        <color rgb="FF1F2A28"/>
        <rFont val="WenQuanYi Zen Hei"/>
        <family val="2"/>
      </rPr>
      <t xml:space="preserve">人、英語會話</t>
    </r>
    <r>
      <rPr>
        <sz val="10"/>
        <color rgb="FF1F2A28"/>
        <rFont val="Arial"/>
        <family val="0"/>
        <charset val="1"/>
      </rPr>
      <t xml:space="preserve">19.8</t>
    </r>
    <r>
      <rPr>
        <sz val="10"/>
        <color rgb="FF1F2A28"/>
        <rFont val="WenQuanYi Zen Hei"/>
        <family val="2"/>
      </rPr>
      <t xml:space="preserve">㎡各</t>
    </r>
    <r>
      <rPr>
        <sz val="10"/>
        <color rgb="FF1F2A28"/>
        <rFont val="Arial"/>
        <family val="0"/>
        <charset val="1"/>
      </rPr>
      <t xml:space="preserve">10</t>
    </r>
    <r>
      <rPr>
        <sz val="10"/>
        <color rgb="FF1F2A28"/>
        <rFont val="WenQuanYi Zen Hei"/>
        <family val="2"/>
      </rPr>
      <t xml:space="preserve">小時各</t>
    </r>
    <r>
      <rPr>
        <sz val="10"/>
        <color rgb="FF1F2A28"/>
        <rFont val="Arial"/>
        <family val="0"/>
        <charset val="1"/>
      </rPr>
      <t xml:space="preserve">20</t>
    </r>
    <r>
      <rPr>
        <sz val="10"/>
        <color rgb="FF1F2A28"/>
        <rFont val="WenQuanYi Zen Hei"/>
        <family val="2"/>
      </rPr>
      <t xml:space="preserve">人</t>
    </r>
  </si>
  <si>
    <t xml:space="preserve">2005-06-02</t>
  </si>
  <si>
    <r>
      <rPr>
        <sz val="10"/>
        <color rgb="FF1F2A28"/>
        <rFont val="WenQuanYi Zen Hei"/>
        <family val="2"/>
      </rPr>
      <t xml:space="preserve">康乃爾英語股份有限公司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陳碧華</t>
    </r>
    <r>
      <rPr>
        <sz val="10"/>
        <color rgb="FF1F2A28"/>
        <rFont val="Arial"/>
        <family val="0"/>
        <charset val="1"/>
      </rPr>
      <t xml:space="preserve">)</t>
    </r>
  </si>
  <si>
    <t xml:space="preserve">陳碧華</t>
  </si>
  <si>
    <t xml:space="preserve">康培士英語諮詢顧問有限公司附設臺中市私立康培士語文短期補習班</t>
  </si>
  <si>
    <r>
      <rPr>
        <sz val="10"/>
        <color rgb="FF1F2A28"/>
        <rFont val="Arial"/>
        <family val="0"/>
        <charset val="1"/>
      </rPr>
      <t xml:space="preserve">408</t>
    </r>
    <r>
      <rPr>
        <sz val="10"/>
        <color rgb="FF1F2A28"/>
        <rFont val="WenQuanYi Zen Hei"/>
        <family val="2"/>
      </rPr>
      <t xml:space="preserve">台中市南屯區大進街</t>
    </r>
    <r>
      <rPr>
        <sz val="10"/>
        <color rgb="FF1F2A28"/>
        <rFont val="Arial"/>
        <family val="0"/>
        <charset val="1"/>
      </rPr>
      <t xml:space="preserve">490</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6</t>
    </r>
    <r>
      <rPr>
        <sz val="10"/>
        <color rgb="FF1F2A28"/>
        <rFont val="WenQuanYi Zen Hei"/>
        <family val="2"/>
      </rPr>
      <t xml:space="preserve">樓之</t>
    </r>
    <r>
      <rPr>
        <sz val="10"/>
        <color rgb="FF1F2A28"/>
        <rFont val="Arial"/>
        <family val="0"/>
        <charset val="1"/>
      </rPr>
      <t xml:space="preserve">2</t>
    </r>
  </si>
  <si>
    <t xml:space="preserve">(04)23193988</t>
  </si>
  <si>
    <t xml:space="preserve">service@comp.com.tw</t>
  </si>
  <si>
    <t xml:space="preserve">2007-06-25</t>
  </si>
  <si>
    <t xml:space="preserve">康培士英語諮詢顧問有限公司、負責人：余武森</t>
  </si>
  <si>
    <t xml:space="preserve">潘寬正</t>
  </si>
  <si>
    <t xml:space="preserve">愛格特有限公司附設台中市私立愛格特美語短期補習班</t>
  </si>
  <si>
    <r>
      <rPr>
        <sz val="10"/>
        <color rgb="FF1F2A28"/>
        <rFont val="Arial"/>
        <family val="0"/>
        <charset val="1"/>
      </rPr>
      <t xml:space="preserve">406</t>
    </r>
    <r>
      <rPr>
        <sz val="10"/>
        <color rgb="FF1F2A28"/>
        <rFont val="WenQuanYi Zen Hei"/>
        <family val="2"/>
      </rPr>
      <t xml:space="preserve">台中市北屯區陳平一街</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</si>
  <si>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(04)22952257</t>
  </si>
  <si>
    <t xml:space="preserve">actor80648992@gmail.com</t>
  </si>
  <si>
    <t xml:space="preserve">2004-08-12</t>
  </si>
  <si>
    <r>
      <rPr>
        <sz val="10"/>
        <color rgb="FF1F2A28"/>
        <rFont val="WenQuanYi Zen Hei"/>
        <family val="2"/>
      </rPr>
      <t xml:space="preserve">愛格特有限公司</t>
    </r>
    <r>
      <rPr>
        <sz val="10"/>
        <color rgb="FF1F2A28"/>
        <rFont val="Arial"/>
        <family val="0"/>
        <charset val="1"/>
      </rPr>
      <t xml:space="preserve">(</t>
    </r>
    <r>
      <rPr>
        <sz val="10"/>
        <color rgb="FF1F2A28"/>
        <rFont val="WenQuanYi Zen Hei"/>
        <family val="2"/>
      </rPr>
      <t xml:space="preserve">法代</t>
    </r>
    <r>
      <rPr>
        <sz val="10"/>
        <color rgb="FF1F2A28"/>
        <rFont val="Arial"/>
        <family val="0"/>
        <charset val="1"/>
      </rPr>
      <t xml:space="preserve">:</t>
    </r>
    <r>
      <rPr>
        <sz val="10"/>
        <color rgb="FF1F2A28"/>
        <rFont val="WenQuanYi Zen Hei"/>
        <family val="2"/>
      </rPr>
      <t xml:space="preserve">許耀輝</t>
    </r>
    <r>
      <rPr>
        <sz val="10"/>
        <color rgb="FF1F2A28"/>
        <rFont val="Arial"/>
        <family val="0"/>
        <charset val="1"/>
      </rPr>
      <t xml:space="preserve">)</t>
    </r>
  </si>
  <si>
    <t xml:space="preserve">許耀輝</t>
  </si>
  <si>
    <t xml:space="preserve">敦展文教事業有限公司附設臺中市私立鑫快樂文理附設技藝短期補習班</t>
  </si>
  <si>
    <r>
      <rPr>
        <sz val="10"/>
        <color rgb="FF1F2A28"/>
        <rFont val="Arial"/>
        <family val="0"/>
        <charset val="1"/>
      </rPr>
      <t xml:space="preserve">408</t>
    </r>
    <r>
      <rPr>
        <sz val="10"/>
        <color rgb="FF1F2A28"/>
        <rFont val="WenQuanYi Zen Hei"/>
        <family val="2"/>
      </rPr>
      <t xml:space="preserve">台中市南屯區永春東路</t>
    </r>
    <r>
      <rPr>
        <sz val="10"/>
        <color rgb="FF1F2A28"/>
        <rFont val="Arial"/>
        <family val="0"/>
        <charset val="1"/>
      </rPr>
      <t xml:space="preserve">251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</si>
  <si>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04-24758488</t>
  </si>
  <si>
    <t xml:space="preserve">a638527412003@gmail.com</t>
  </si>
  <si>
    <t xml:space="preserve">英文、生活美語會話</t>
  </si>
  <si>
    <t xml:space="preserve">2010-12-10</t>
  </si>
  <si>
    <r>
      <rPr>
        <sz val="10"/>
        <color rgb="FF1F2A28"/>
        <rFont val="WenQuanYi Zen Hei"/>
        <family val="2"/>
      </rPr>
      <t xml:space="preserve">敦展文教事業有限公司，負責人</t>
    </r>
    <r>
      <rPr>
        <sz val="10"/>
        <color rgb="FF1F2A28"/>
        <rFont val="Arial"/>
        <family val="0"/>
        <charset val="1"/>
      </rPr>
      <t xml:space="preserve">:</t>
    </r>
    <r>
      <rPr>
        <sz val="10"/>
        <color rgb="FF1F2A28"/>
        <rFont val="WenQuanYi Zen Hei"/>
        <family val="2"/>
      </rPr>
      <t xml:space="preserve">余奕臻</t>
    </r>
  </si>
  <si>
    <t xml:space="preserve">林國灶</t>
  </si>
  <si>
    <t xml:space="preserve">格蘭事業股份有限公司臺中文心分公司附設臺中市私立格言英語會話短期補習班</t>
  </si>
  <si>
    <r>
      <rPr>
        <sz val="10"/>
        <color rgb="FF1F2A28"/>
        <rFont val="Arial"/>
        <family val="0"/>
        <charset val="1"/>
      </rPr>
      <t xml:space="preserve">406</t>
    </r>
    <r>
      <rPr>
        <sz val="10"/>
        <color rgb="FF1F2A28"/>
        <rFont val="WenQuanYi Zen Hei"/>
        <family val="2"/>
      </rPr>
      <t xml:space="preserve">台中市北屯區河北路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113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</si>
  <si>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04-22417770</t>
  </si>
  <si>
    <t xml:space="preserve">carry0910@gmail.com</t>
  </si>
  <si>
    <r>
      <rPr>
        <sz val="10"/>
        <color rgb="FF1F2A28"/>
        <rFont val="WenQuanYi Zen Hei"/>
        <family val="2"/>
      </rPr>
      <t xml:space="preserve">英語</t>
    </r>
    <r>
      <rPr>
        <sz val="10"/>
        <color rgb="FF1F2A28"/>
        <rFont val="Arial"/>
        <family val="0"/>
        <charset val="1"/>
      </rPr>
      <t xml:space="preserve">28.15</t>
    </r>
    <r>
      <rPr>
        <sz val="10"/>
        <color rgb="FF1F2A28"/>
        <rFont val="WenQuanYi Zen Hei"/>
        <family val="2"/>
      </rPr>
      <t xml:space="preserve">、英語</t>
    </r>
    <r>
      <rPr>
        <sz val="10"/>
        <color rgb="FF1F2A28"/>
        <rFont val="Arial"/>
        <family val="0"/>
        <charset val="1"/>
      </rPr>
      <t xml:space="preserve">21.64</t>
    </r>
    <r>
      <rPr>
        <sz val="10"/>
        <color rgb="FF1F2A28"/>
        <rFont val="WenQuanYi Zen Hei"/>
        <family val="2"/>
      </rPr>
      <t xml:space="preserve">、英語</t>
    </r>
    <r>
      <rPr>
        <sz val="10"/>
        <color rgb="FF1F2A28"/>
        <rFont val="Arial"/>
        <family val="0"/>
        <charset val="1"/>
      </rPr>
      <t xml:space="preserve">19.51</t>
    </r>
    <r>
      <rPr>
        <sz val="10"/>
        <color rgb="FF1F2A28"/>
        <rFont val="WenQuanYi Zen Hei"/>
        <family val="2"/>
      </rPr>
      <t xml:space="preserve">、英語</t>
    </r>
    <r>
      <rPr>
        <sz val="10"/>
        <color rgb="FF1F2A28"/>
        <rFont val="Arial"/>
        <family val="0"/>
        <charset val="1"/>
      </rPr>
      <t xml:space="preserve">28.52</t>
    </r>
    <r>
      <rPr>
        <sz val="10"/>
        <color rgb="FF1F2A28"/>
        <rFont val="WenQuanYi Zen Hei"/>
        <family val="2"/>
      </rPr>
      <t xml:space="preserve">、英語</t>
    </r>
    <r>
      <rPr>
        <sz val="10"/>
        <color rgb="FF1F2A28"/>
        <rFont val="Arial"/>
        <family val="0"/>
        <charset val="1"/>
      </rPr>
      <t xml:space="preserve">19.50</t>
    </r>
    <r>
      <rPr>
        <sz val="10"/>
        <color rgb="FF1F2A28"/>
        <rFont val="WenQuanYi Zen Hei"/>
        <family val="2"/>
      </rPr>
      <t xml:space="preserve">、英語</t>
    </r>
    <r>
      <rPr>
        <sz val="10"/>
        <color rgb="FF1F2A28"/>
        <rFont val="Arial"/>
        <family val="0"/>
        <charset val="1"/>
      </rPr>
      <t xml:space="preserve">25.42</t>
    </r>
    <r>
      <rPr>
        <sz val="10"/>
        <color rgb="FF1F2A28"/>
        <rFont val="WenQuanYi Zen Hei"/>
        <family val="2"/>
      </rPr>
      <t xml:space="preserve">、英語</t>
    </r>
    <r>
      <rPr>
        <sz val="10"/>
        <color rgb="FF1F2A28"/>
        <rFont val="Arial"/>
        <family val="0"/>
        <charset val="1"/>
      </rPr>
      <t xml:space="preserve">32.83</t>
    </r>
    <r>
      <rPr>
        <sz val="10"/>
        <color rgb="FF1F2A28"/>
        <rFont val="WenQuanYi Zen Hei"/>
        <family val="2"/>
      </rPr>
      <t xml:space="preserve">、英語</t>
    </r>
    <r>
      <rPr>
        <sz val="10"/>
        <color rgb="FF1F2A28"/>
        <rFont val="Arial"/>
        <family val="0"/>
        <charset val="1"/>
      </rPr>
      <t xml:space="preserve">25.55</t>
    </r>
  </si>
  <si>
    <t xml:space="preserve">2003-03-14</t>
  </si>
  <si>
    <t xml:space="preserve">格蘭事業股份有限公司臺中文心分公司法定代理人：黃經芬</t>
  </si>
  <si>
    <t xml:space="preserve">王姿芳</t>
  </si>
  <si>
    <t xml:space="preserve">私立三玄美語短期補習班</t>
  </si>
  <si>
    <r>
      <rPr>
        <sz val="10"/>
        <color rgb="FF1F2A28"/>
        <rFont val="Arial"/>
        <family val="0"/>
        <charset val="1"/>
      </rPr>
      <t xml:space="preserve">404</t>
    </r>
    <r>
      <rPr>
        <sz val="10"/>
        <color rgb="FF1F2A28"/>
        <rFont val="WenQuanYi Zen Hei"/>
        <family val="2"/>
      </rPr>
      <t xml:space="preserve">台中市北區青島東街</t>
    </r>
    <r>
      <rPr>
        <sz val="10"/>
        <color rgb="FF1F2A28"/>
        <rFont val="Arial"/>
        <family val="0"/>
        <charset val="1"/>
      </rPr>
      <t xml:space="preserve">37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</si>
  <si>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(04)22981116</t>
  </si>
  <si>
    <r>
      <rPr>
        <sz val="10"/>
        <color rgb="FF1F2A28"/>
        <rFont val="WenQuanYi Zen Hei"/>
        <family val="2"/>
      </rPr>
      <t xml:space="preserve">英語</t>
    </r>
    <r>
      <rPr>
        <sz val="10"/>
        <color rgb="FF1F2A28"/>
        <rFont val="Arial"/>
        <family val="0"/>
        <charset val="1"/>
      </rPr>
      <t xml:space="preserve">14.50</t>
    </r>
    <r>
      <rPr>
        <sz val="10"/>
        <color rgb="FF1F2A28"/>
        <rFont val="WenQuanYi Zen Hei"/>
        <family val="2"/>
      </rPr>
      <t xml:space="preserve">、英語</t>
    </r>
    <r>
      <rPr>
        <sz val="10"/>
        <color rgb="FF1F2A28"/>
        <rFont val="Arial"/>
        <family val="0"/>
        <charset val="1"/>
      </rPr>
      <t xml:space="preserve">19.82</t>
    </r>
  </si>
  <si>
    <t xml:space="preserve">2009-03-02</t>
  </si>
  <si>
    <t xml:space="preserve">劉俊華</t>
  </si>
  <si>
    <t xml:space="preserve">林佩玲</t>
  </si>
  <si>
    <t xml:space="preserve">私立佳佳英語會話短期補習班</t>
  </si>
  <si>
    <r>
      <rPr>
        <sz val="10"/>
        <color rgb="FF1F2A28"/>
        <rFont val="Arial"/>
        <family val="0"/>
        <charset val="1"/>
      </rPr>
      <t xml:space="preserve">408</t>
    </r>
    <r>
      <rPr>
        <sz val="10"/>
        <color rgb="FF1F2A28"/>
        <rFont val="WenQuanYi Zen Hei"/>
        <family val="2"/>
      </rPr>
      <t xml:space="preserve">台中市南屯區黎明路一段</t>
    </r>
    <r>
      <rPr>
        <sz val="10"/>
        <color rgb="FF1F2A28"/>
        <rFont val="Arial"/>
        <family val="0"/>
        <charset val="1"/>
      </rPr>
      <t xml:space="preserve">37</t>
    </r>
    <r>
      <rPr>
        <sz val="10"/>
        <color rgb="FF1F2A28"/>
        <rFont val="WenQuanYi Zen Hei"/>
        <family val="2"/>
      </rPr>
      <t xml:space="preserve">巷</t>
    </r>
    <r>
      <rPr>
        <sz val="10"/>
        <color rgb="FF1F2A28"/>
        <rFont val="Arial"/>
        <family val="0"/>
        <charset val="1"/>
      </rPr>
      <t xml:space="preserve">126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</si>
  <si>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04-24791601</t>
  </si>
  <si>
    <t xml:space="preserve">1994-02-22</t>
  </si>
  <si>
    <t xml:space="preserve">楊釆遂</t>
  </si>
  <si>
    <t xml:space="preserve">私立佳臻英語會話短期補習班</t>
  </si>
  <si>
    <r>
      <rPr>
        <sz val="10"/>
        <color rgb="FF1F2A28"/>
        <rFont val="Arial"/>
        <family val="0"/>
        <charset val="1"/>
      </rPr>
      <t xml:space="preserve">403</t>
    </r>
    <r>
      <rPr>
        <sz val="10"/>
        <color rgb="FF1F2A28"/>
        <rFont val="WenQuanYi Zen Hei"/>
        <family val="2"/>
      </rPr>
      <t xml:space="preserve">台中市西區五權五街</t>
    </r>
    <r>
      <rPr>
        <sz val="10"/>
        <color rgb="FF1F2A28"/>
        <rFont val="Arial"/>
        <family val="0"/>
        <charset val="1"/>
      </rPr>
      <t xml:space="preserve">129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樓及</t>
    </r>
    <r>
      <rPr>
        <sz val="10"/>
        <color rgb="FF1F2A28"/>
        <rFont val="Arial"/>
        <family val="0"/>
        <charset val="1"/>
      </rPr>
      <t xml:space="preserve">127</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</si>
  <si>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04-23787087</t>
  </si>
  <si>
    <t xml:space="preserve">joy23787087@yahoo.com.tw</t>
  </si>
  <si>
    <t xml:space="preserve">2000-09-19</t>
  </si>
  <si>
    <t xml:space="preserve">江家妤</t>
  </si>
  <si>
    <t xml:space="preserve">私立佳音英語會話短期補習班</t>
  </si>
  <si>
    <r>
      <rPr>
        <sz val="10"/>
        <color rgb="FF1F2A28"/>
        <rFont val="Arial"/>
        <family val="0"/>
        <charset val="1"/>
      </rPr>
      <t xml:space="preserve">403</t>
    </r>
    <r>
      <rPr>
        <sz val="10"/>
        <color rgb="FF1F2A28"/>
        <rFont val="WenQuanYi Zen Hei"/>
        <family val="2"/>
      </rPr>
      <t xml:space="preserve">台中市西區三民路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176</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</si>
  <si>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04-22272788</t>
  </si>
  <si>
    <t xml:space="preserve">dns@ms21.hinet.net</t>
  </si>
  <si>
    <t xml:space="preserve">1992-08-20</t>
  </si>
  <si>
    <t xml:space="preserve">邱煜珊</t>
  </si>
  <si>
    <t xml:space="preserve">私立優數美語會話短期補習班</t>
  </si>
  <si>
    <r>
      <rPr>
        <sz val="10"/>
        <color rgb="FF1F2A28"/>
        <rFont val="Arial"/>
        <family val="0"/>
        <charset val="1"/>
      </rPr>
      <t xml:space="preserve">408</t>
    </r>
    <r>
      <rPr>
        <sz val="10"/>
        <color rgb="FF1F2A28"/>
        <rFont val="WenQuanYi Zen Hei"/>
        <family val="2"/>
      </rPr>
      <t xml:space="preserve">臺中市南屯區黎明路一段</t>
    </r>
    <r>
      <rPr>
        <sz val="10"/>
        <color rgb="FF1F2A28"/>
        <rFont val="Arial"/>
        <family val="0"/>
        <charset val="1"/>
      </rPr>
      <t xml:space="preserve">1001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</si>
  <si>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04-23897824</t>
  </si>
  <si>
    <t xml:space="preserve">2000-05-30</t>
  </si>
  <si>
    <t xml:space="preserve">邱宥芳</t>
  </si>
  <si>
    <t xml:space="preserve">私立吉富爾美語會話短期補習班</t>
  </si>
  <si>
    <r>
      <rPr>
        <sz val="10"/>
        <color rgb="FF1F2A28"/>
        <rFont val="Arial"/>
        <family val="0"/>
        <charset val="1"/>
      </rPr>
      <t xml:space="preserve">406</t>
    </r>
    <r>
      <rPr>
        <sz val="10"/>
        <color rgb="FF1F2A28"/>
        <rFont val="WenQuanYi Zen Hei"/>
        <family val="2"/>
      </rPr>
      <t xml:space="preserve">台中市北屯區興安路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290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</si>
  <si>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(04)22437666</t>
  </si>
  <si>
    <t xml:space="preserve">guardiandawn1981@gmail.com</t>
  </si>
  <si>
    <r>
      <rPr>
        <sz val="10"/>
        <color rgb="FF1F2A28"/>
        <rFont val="WenQuanYi Zen Hei"/>
        <family val="2"/>
      </rPr>
      <t xml:space="preserve">美語</t>
    </r>
    <r>
      <rPr>
        <sz val="10"/>
        <color rgb="FF1F2A28"/>
        <rFont val="Arial"/>
        <family val="0"/>
        <charset val="1"/>
      </rPr>
      <t xml:space="preserve">27.81</t>
    </r>
    <r>
      <rPr>
        <sz val="10"/>
        <color rgb="FF1F2A28"/>
        <rFont val="WenQuanYi Zen Hei"/>
        <family val="2"/>
      </rPr>
      <t xml:space="preserve">、美語</t>
    </r>
    <r>
      <rPr>
        <sz val="10"/>
        <color rgb="FF1F2A28"/>
        <rFont val="Arial"/>
        <family val="0"/>
        <charset val="1"/>
      </rPr>
      <t xml:space="preserve">37.56</t>
    </r>
  </si>
  <si>
    <t xml:space="preserve">2005-11-04</t>
  </si>
  <si>
    <t xml:space="preserve">陳惠萍</t>
  </si>
  <si>
    <t xml:space="preserve">私立哥倫比亞美語短期補習班</t>
  </si>
  <si>
    <r>
      <rPr>
        <sz val="10"/>
        <color rgb="FF1F2A28"/>
        <rFont val="Arial"/>
        <family val="0"/>
        <charset val="1"/>
      </rPr>
      <t xml:space="preserve">403</t>
    </r>
    <r>
      <rPr>
        <sz val="10"/>
        <color rgb="FF1F2A28"/>
        <rFont val="WenQuanYi Zen Hei"/>
        <family val="2"/>
      </rPr>
      <t xml:space="preserve">台中市西區五權西五街</t>
    </r>
    <r>
      <rPr>
        <sz val="10"/>
        <color rgb="FF1F2A28"/>
        <rFont val="Arial"/>
        <family val="0"/>
        <charset val="1"/>
      </rPr>
      <t xml:space="preserve">129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</si>
  <si>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04-23730065</t>
  </si>
  <si>
    <t xml:space="preserve">cas.school@msa.hinet.net</t>
  </si>
  <si>
    <r>
      <rPr>
        <sz val="10"/>
        <color rgb="FF1F2A28"/>
        <rFont val="WenQuanYi Zen Hei"/>
        <family val="2"/>
      </rPr>
      <t xml:space="preserve">美語</t>
    </r>
    <r>
      <rPr>
        <sz val="10"/>
        <color rgb="FF1F2A28"/>
        <rFont val="Arial"/>
        <family val="0"/>
        <charset val="1"/>
      </rPr>
      <t xml:space="preserve">38.73</t>
    </r>
    <r>
      <rPr>
        <sz val="10"/>
        <color rgb="FF1F2A28"/>
        <rFont val="WenQuanYi Zen Hei"/>
        <family val="2"/>
      </rPr>
      <t xml:space="preserve">、美語</t>
    </r>
    <r>
      <rPr>
        <sz val="10"/>
        <color rgb="FF1F2A28"/>
        <rFont val="Arial"/>
        <family val="0"/>
        <charset val="1"/>
      </rPr>
      <t xml:space="preserve">36.25</t>
    </r>
    <r>
      <rPr>
        <sz val="10"/>
        <color rgb="FF1F2A28"/>
        <rFont val="WenQuanYi Zen Hei"/>
        <family val="2"/>
      </rPr>
      <t xml:space="preserve">、美語</t>
    </r>
    <r>
      <rPr>
        <sz val="10"/>
        <color rgb="FF1F2A28"/>
        <rFont val="Arial"/>
        <family val="0"/>
        <charset val="1"/>
      </rPr>
      <t xml:space="preserve">16.41</t>
    </r>
    <r>
      <rPr>
        <sz val="10"/>
        <color rgb="FF1F2A28"/>
        <rFont val="WenQuanYi Zen Hei"/>
        <family val="2"/>
      </rPr>
      <t xml:space="preserve">、美語</t>
    </r>
    <r>
      <rPr>
        <sz val="10"/>
        <color rgb="FF1F2A28"/>
        <rFont val="Arial"/>
        <family val="0"/>
        <charset val="1"/>
      </rPr>
      <t xml:space="preserve">29.65</t>
    </r>
    <r>
      <rPr>
        <sz val="10"/>
        <color rgb="FF1F2A28"/>
        <rFont val="WenQuanYi Zen Hei"/>
        <family val="2"/>
      </rPr>
      <t xml:space="preserve">、美語</t>
    </r>
    <r>
      <rPr>
        <sz val="10"/>
        <color rgb="FF1F2A28"/>
        <rFont val="Arial"/>
        <family val="0"/>
        <charset val="1"/>
      </rPr>
      <t xml:space="preserve">17.30</t>
    </r>
    <r>
      <rPr>
        <sz val="10"/>
        <color rgb="FF1F2A28"/>
        <rFont val="WenQuanYi Zen Hei"/>
        <family val="2"/>
      </rPr>
      <t xml:space="preserve">、美語</t>
    </r>
    <r>
      <rPr>
        <sz val="10"/>
        <color rgb="FF1F2A28"/>
        <rFont val="Arial"/>
        <family val="0"/>
        <charset val="1"/>
      </rPr>
      <t xml:space="preserve">20.18</t>
    </r>
  </si>
  <si>
    <t xml:space="preserve">2001-01-02</t>
  </si>
  <si>
    <t xml:space="preserve">陳善華</t>
  </si>
  <si>
    <t xml:space="preserve">汪湘淇</t>
  </si>
  <si>
    <t xml:space="preserve">私立唐代英英語會話短期補習班</t>
  </si>
  <si>
    <r>
      <rPr>
        <sz val="10"/>
        <color rgb="FF1F2A28"/>
        <rFont val="Arial"/>
        <family val="0"/>
        <charset val="1"/>
      </rPr>
      <t xml:space="preserve">403</t>
    </r>
    <r>
      <rPr>
        <sz val="10"/>
        <color rgb="FF1F2A28"/>
        <rFont val="WenQuanYi Zen Hei"/>
        <family val="2"/>
      </rPr>
      <t xml:space="preserve">台中市西區三民路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191</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3</t>
    </r>
  </si>
  <si>
    <t xml:space="preserve">04-22282087</t>
  </si>
  <si>
    <t xml:space="preserve">etstartw@gmail.com</t>
  </si>
  <si>
    <t xml:space="preserve">1995-01-24</t>
  </si>
  <si>
    <t xml:space="preserve">甘鎮臺</t>
  </si>
  <si>
    <t xml:space="preserve">唐代英</t>
  </si>
  <si>
    <t xml:space="preserve">私立國瓏美語會話短期補習班</t>
  </si>
  <si>
    <r>
      <rPr>
        <sz val="10"/>
        <color rgb="FF1F2A28"/>
        <rFont val="Arial"/>
        <family val="0"/>
        <charset val="1"/>
      </rPr>
      <t xml:space="preserve">401</t>
    </r>
    <r>
      <rPr>
        <sz val="10"/>
        <color rgb="FF1F2A28"/>
        <rFont val="WenQuanYi Zen Hei"/>
        <family val="2"/>
      </rPr>
      <t xml:space="preserve">台中市東區進化路</t>
    </r>
    <r>
      <rPr>
        <sz val="10"/>
        <color rgb="FF1F2A28"/>
        <rFont val="Arial"/>
        <family val="0"/>
        <charset val="1"/>
      </rPr>
      <t xml:space="preserve">218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</si>
  <si>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04-23602699</t>
  </si>
  <si>
    <t xml:space="preserve">2001-07-03</t>
  </si>
  <si>
    <t xml:space="preserve">吳美味</t>
  </si>
  <si>
    <t xml:space="preserve">私立天下文理短期補習班</t>
  </si>
  <si>
    <r>
      <rPr>
        <sz val="10"/>
        <color rgb="FF1F2A28"/>
        <rFont val="Arial"/>
        <family val="0"/>
        <charset val="1"/>
      </rPr>
      <t xml:space="preserve">408</t>
    </r>
    <r>
      <rPr>
        <sz val="10"/>
        <color rgb="FF1F2A28"/>
        <rFont val="WenQuanYi Zen Hei"/>
        <family val="2"/>
      </rPr>
      <t xml:space="preserve">台中市南屯區大英西一街</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</si>
  <si>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(04)24716500</t>
  </si>
  <si>
    <t xml:space="preserve">supal1030@gmail.com</t>
  </si>
  <si>
    <t xml:space="preserve">2005-01-19</t>
  </si>
  <si>
    <t xml:space="preserve">蘇敏惠</t>
  </si>
  <si>
    <t xml:space="preserve">私立山姆叔叔美語短期補習班</t>
  </si>
  <si>
    <r>
      <rPr>
        <sz val="10"/>
        <color rgb="FF1F2A28"/>
        <rFont val="Arial"/>
        <family val="0"/>
        <charset val="1"/>
      </rPr>
      <t xml:space="preserve">406</t>
    </r>
    <r>
      <rPr>
        <sz val="10"/>
        <color rgb="FF1F2A28"/>
        <rFont val="WenQuanYi Zen Hei"/>
        <family val="2"/>
      </rPr>
      <t xml:space="preserve">台中市北屯區北平路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</si>
  <si>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(04)22385278</t>
  </si>
  <si>
    <t xml:space="preserve">2004-03-19</t>
  </si>
  <si>
    <t xml:space="preserve">楊惠珍</t>
  </si>
  <si>
    <t xml:space="preserve">楊馥榮</t>
  </si>
  <si>
    <t xml:space="preserve">私立巨日文理短期補習班</t>
  </si>
  <si>
    <r>
      <rPr>
        <sz val="10"/>
        <color rgb="FF1F2A28"/>
        <rFont val="Arial"/>
        <family val="0"/>
        <charset val="1"/>
      </rPr>
      <t xml:space="preserve">406</t>
    </r>
    <r>
      <rPr>
        <sz val="10"/>
        <color rgb="FF1F2A28"/>
        <rFont val="WenQuanYi Zen Hei"/>
        <family val="2"/>
      </rPr>
      <t xml:space="preserve">台中市北屯區文昌東四街</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</si>
  <si>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(04)22363989</t>
  </si>
  <si>
    <r>
      <rPr>
        <sz val="10"/>
        <color rgb="FF1F2A28"/>
        <rFont val="WenQuanYi Zen Hei"/>
        <family val="2"/>
      </rPr>
      <t xml:space="preserve">美語</t>
    </r>
    <r>
      <rPr>
        <sz val="10"/>
        <color rgb="FF1F2A28"/>
        <rFont val="Arial"/>
        <family val="0"/>
        <charset val="1"/>
      </rPr>
      <t xml:space="preserve">22.19</t>
    </r>
    <r>
      <rPr>
        <sz val="10"/>
        <color rgb="FF1F2A28"/>
        <rFont val="WenQuanYi Zen Hei"/>
        <family val="2"/>
      </rPr>
      <t xml:space="preserve">、英文</t>
    </r>
    <r>
      <rPr>
        <sz val="10"/>
        <color rgb="FF1F2A28"/>
        <rFont val="Arial"/>
        <family val="0"/>
        <charset val="1"/>
      </rPr>
      <t xml:space="preserve">22.19</t>
    </r>
  </si>
  <si>
    <t xml:space="preserve">2006-12-14</t>
  </si>
  <si>
    <t xml:space="preserve">丁舒慧</t>
  </si>
  <si>
    <t xml:space="preserve">史尚豐</t>
  </si>
  <si>
    <t xml:space="preserve">私立才碩英語、數學短期補習班</t>
  </si>
  <si>
    <r>
      <rPr>
        <sz val="10"/>
        <color rgb="FF1F2A28"/>
        <rFont val="Arial"/>
        <family val="0"/>
        <charset val="1"/>
      </rPr>
      <t xml:space="preserve">406</t>
    </r>
    <r>
      <rPr>
        <sz val="10"/>
        <color rgb="FF1F2A28"/>
        <rFont val="WenQuanYi Zen Hei"/>
        <family val="2"/>
      </rPr>
      <t xml:space="preserve">台中市北屯區松竹路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86</t>
    </r>
    <r>
      <rPr>
        <sz val="10"/>
        <color rgb="FF1F2A28"/>
        <rFont val="WenQuanYi Zen Hei"/>
        <family val="2"/>
      </rPr>
      <t xml:space="preserve">巷</t>
    </r>
    <r>
      <rPr>
        <sz val="10"/>
        <color rgb="FF1F2A28"/>
        <rFont val="Arial"/>
        <family val="0"/>
        <charset val="1"/>
      </rPr>
      <t xml:space="preserve">28</t>
    </r>
    <r>
      <rPr>
        <sz val="10"/>
        <color rgb="FF1F2A28"/>
        <rFont val="WenQuanYi Zen Hei"/>
        <family val="2"/>
      </rPr>
      <t xml:space="preserve">弄</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</si>
  <si>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(04)22471590</t>
  </si>
  <si>
    <t xml:space="preserve">2005-05-10</t>
  </si>
  <si>
    <t xml:space="preserve">張素珠</t>
  </si>
  <si>
    <t xml:space="preserve">饒瑞玟</t>
  </si>
  <si>
    <t xml:space="preserve">私立旌旗美語會話短期補習班</t>
  </si>
  <si>
    <r>
      <rPr>
        <sz val="10"/>
        <color rgb="FF1F2A28"/>
        <rFont val="Arial"/>
        <family val="0"/>
        <charset val="1"/>
      </rPr>
      <t xml:space="preserve">406</t>
    </r>
    <r>
      <rPr>
        <sz val="10"/>
        <color rgb="FF1F2A28"/>
        <rFont val="WenQuanYi Zen Hei"/>
        <family val="2"/>
      </rPr>
      <t xml:space="preserve">台中市北屯區軍福</t>
    </r>
    <r>
      <rPr>
        <sz val="10"/>
        <color rgb="FF1F2A28"/>
        <rFont val="Arial"/>
        <family val="0"/>
        <charset val="1"/>
      </rPr>
      <t xml:space="preserve">19</t>
    </r>
    <r>
      <rPr>
        <sz val="10"/>
        <color rgb="FF1F2A28"/>
        <rFont val="WenQuanYi Zen Hei"/>
        <family val="2"/>
      </rPr>
      <t xml:space="preserve">路</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</si>
  <si>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(04)22398158</t>
  </si>
  <si>
    <t xml:space="preserve">許惠貞</t>
  </si>
  <si>
    <t xml:space="preserve">私立早稻田英日語會話短期補習班</t>
  </si>
  <si>
    <r>
      <rPr>
        <sz val="10"/>
        <color rgb="FF1F2A28"/>
        <rFont val="Arial"/>
        <family val="0"/>
        <charset val="1"/>
      </rPr>
      <t xml:space="preserve">402</t>
    </r>
    <r>
      <rPr>
        <sz val="10"/>
        <color rgb="FF1F2A28"/>
        <rFont val="WenQuanYi Zen Hei"/>
        <family val="2"/>
      </rPr>
      <t xml:space="preserve">台中市南區忠明南路</t>
    </r>
    <r>
      <rPr>
        <sz val="10"/>
        <color rgb="FF1F2A28"/>
        <rFont val="Arial"/>
        <family val="0"/>
        <charset val="1"/>
      </rPr>
      <t xml:space="preserve">1211</t>
    </r>
    <r>
      <rPr>
        <sz val="10"/>
        <color rgb="FF1F2A28"/>
        <rFont val="WenQuanYi Zen Hei"/>
        <family val="2"/>
      </rPr>
      <t xml:space="preserve">、</t>
    </r>
    <r>
      <rPr>
        <sz val="10"/>
        <color rgb="FF1F2A28"/>
        <rFont val="Arial"/>
        <family val="0"/>
        <charset val="1"/>
      </rPr>
      <t xml:space="preserve">1213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樓、夾層</t>
    </r>
  </si>
  <si>
    <t xml:space="preserve">04-22859665</t>
  </si>
  <si>
    <t xml:space="preserve">1997-01-21</t>
  </si>
  <si>
    <t xml:space="preserve">施繼堯</t>
  </si>
  <si>
    <t xml:space="preserve">私立榮蕙美語會話短期補習班</t>
  </si>
  <si>
    <r>
      <rPr>
        <sz val="10"/>
        <color rgb="FF1F2A28"/>
        <rFont val="Arial"/>
        <family val="0"/>
        <charset val="1"/>
      </rPr>
      <t xml:space="preserve">406</t>
    </r>
    <r>
      <rPr>
        <sz val="10"/>
        <color rgb="FF1F2A28"/>
        <rFont val="WenQuanYi Zen Hei"/>
        <family val="2"/>
      </rPr>
      <t xml:space="preserve">台中市北屯區東山路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146</t>
    </r>
    <r>
      <rPr>
        <sz val="10"/>
        <color rgb="FF1F2A28"/>
        <rFont val="WenQuanYi Zen Hei"/>
        <family val="2"/>
      </rPr>
      <t xml:space="preserve">號</t>
    </r>
    <r>
      <rPr>
        <sz val="10"/>
        <color rgb="FF1F2A28"/>
        <rFont val="Arial"/>
        <family val="0"/>
        <charset val="1"/>
      </rPr>
      <t xml:space="preserve">-16-17(1~4</t>
    </r>
    <r>
      <rPr>
        <sz val="10"/>
        <color rgb="FF1F2A28"/>
        <rFont val="WenQuanYi Zen Hei"/>
        <family val="2"/>
      </rPr>
      <t xml:space="preserve">樓</t>
    </r>
    <r>
      <rPr>
        <sz val="10"/>
        <color rgb="FF1F2A28"/>
        <rFont val="Arial"/>
        <family val="0"/>
        <charset val="1"/>
      </rPr>
      <t xml:space="preserve">)</t>
    </r>
  </si>
  <si>
    <t xml:space="preserve">(04)24378055</t>
  </si>
  <si>
    <t xml:space="preserve">2004-10-12</t>
  </si>
  <si>
    <t xml:space="preserve">何賢德</t>
  </si>
  <si>
    <t xml:space="preserve">私立瑪歇爾美語會話短期補習班</t>
  </si>
  <si>
    <r>
      <rPr>
        <sz val="10"/>
        <color rgb="FF1F2A28"/>
        <rFont val="Arial"/>
        <family val="0"/>
        <charset val="1"/>
      </rPr>
      <t xml:space="preserve">408</t>
    </r>
    <r>
      <rPr>
        <sz val="10"/>
        <color rgb="FF1F2A28"/>
        <rFont val="WenQuanYi Zen Hei"/>
        <family val="2"/>
      </rPr>
      <t xml:space="preserve">台中市南屯區大墩十一街</t>
    </r>
    <r>
      <rPr>
        <sz val="10"/>
        <color rgb="FF1F2A28"/>
        <rFont val="Arial"/>
        <family val="0"/>
        <charset val="1"/>
      </rPr>
      <t xml:space="preserve">376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</si>
  <si>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04-22556457</t>
  </si>
  <si>
    <t xml:space="preserve">marshallalicekang@gmail.com</t>
  </si>
  <si>
    <t xml:space="preserve">美語會話</t>
  </si>
  <si>
    <t xml:space="preserve">2001-04-24</t>
  </si>
  <si>
    <t xml:space="preserve">陳威廷</t>
  </si>
  <si>
    <t xml:space="preserve">陳冠廷</t>
  </si>
  <si>
    <t xml:space="preserve">私立當代美語會話短期補習班</t>
  </si>
  <si>
    <r>
      <rPr>
        <sz val="10"/>
        <color rgb="FF1F2A28"/>
        <rFont val="Arial"/>
        <family val="0"/>
        <charset val="1"/>
      </rPr>
      <t xml:space="preserve">408</t>
    </r>
    <r>
      <rPr>
        <sz val="10"/>
        <color rgb="FF1F2A28"/>
        <rFont val="WenQuanYi Zen Hei"/>
        <family val="2"/>
      </rPr>
      <t xml:space="preserve">台中市南屯區大墩十街</t>
    </r>
    <r>
      <rPr>
        <sz val="10"/>
        <color rgb="FF1F2A28"/>
        <rFont val="Arial"/>
        <family val="0"/>
        <charset val="1"/>
      </rPr>
      <t xml:space="preserve">262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</si>
  <si>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04-37040606</t>
  </si>
  <si>
    <t xml:space="preserve">2004-03-10</t>
  </si>
  <si>
    <t xml:space="preserve">徐雀玲</t>
  </si>
  <si>
    <t xml:space="preserve">私立科羅拉多英語會話短期補習班</t>
  </si>
  <si>
    <r>
      <rPr>
        <sz val="10"/>
        <color rgb="FF1F2A28"/>
        <rFont val="Arial"/>
        <family val="0"/>
        <charset val="1"/>
      </rPr>
      <t xml:space="preserve">403</t>
    </r>
    <r>
      <rPr>
        <sz val="10"/>
        <color rgb="FF1F2A28"/>
        <rFont val="WenQuanYi Zen Hei"/>
        <family val="2"/>
      </rPr>
      <t xml:space="preserve">台中市西區忠誠街</t>
    </r>
    <r>
      <rPr>
        <sz val="10"/>
        <color rgb="FF1F2A28"/>
        <rFont val="Arial"/>
        <family val="0"/>
        <charset val="1"/>
      </rPr>
      <t xml:space="preserve">109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</si>
  <si>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(04)23269139</t>
  </si>
  <si>
    <r>
      <rPr>
        <sz val="10"/>
        <color rgb="FF1F2A28"/>
        <rFont val="WenQuanYi Zen Hei"/>
        <family val="2"/>
      </rPr>
      <t xml:space="preserve">英文</t>
    </r>
    <r>
      <rPr>
        <sz val="10"/>
        <color rgb="FF1F2A28"/>
        <rFont val="Arial"/>
        <family val="0"/>
        <charset val="1"/>
      </rPr>
      <t xml:space="preserve">21.66</t>
    </r>
    <r>
      <rPr>
        <sz val="10"/>
        <color rgb="FF1F2A28"/>
        <rFont val="WenQuanYi Zen Hei"/>
        <family val="2"/>
      </rPr>
      <t xml:space="preserve">、英文</t>
    </r>
    <r>
      <rPr>
        <sz val="10"/>
        <color rgb="FF1F2A28"/>
        <rFont val="Arial"/>
        <family val="0"/>
        <charset val="1"/>
      </rPr>
      <t xml:space="preserve">22.24</t>
    </r>
  </si>
  <si>
    <t xml:space="preserve">吳國忠、吳佩如</t>
  </si>
  <si>
    <t xml:space="preserve">吳佩如</t>
  </si>
  <si>
    <t xml:space="preserve">私立精睿文理短期補習班</t>
  </si>
  <si>
    <r>
      <rPr>
        <sz val="10"/>
        <color rgb="FF1F2A28"/>
        <rFont val="Arial"/>
        <family val="0"/>
        <charset val="1"/>
      </rPr>
      <t xml:space="preserve">406</t>
    </r>
    <r>
      <rPr>
        <sz val="10"/>
        <color rgb="FF1F2A28"/>
        <rFont val="WenQuanYi Zen Hei"/>
        <family val="2"/>
      </rPr>
      <t xml:space="preserve">台中市北屯區中清路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467</t>
    </r>
    <r>
      <rPr>
        <sz val="10"/>
        <color rgb="FF1F2A28"/>
        <rFont val="WenQuanYi Zen Hei"/>
        <family val="2"/>
      </rPr>
      <t xml:space="preserve">號</t>
    </r>
    <r>
      <rPr>
        <sz val="10"/>
        <color rgb="FF1F2A28"/>
        <rFont val="Arial"/>
        <family val="0"/>
        <charset val="1"/>
      </rPr>
      <t xml:space="preserve">B1</t>
    </r>
    <r>
      <rPr>
        <sz val="10"/>
        <color rgb="FF1F2A28"/>
        <rFont val="WenQuanYi Zen Hei"/>
        <family val="2"/>
      </rPr>
      <t xml:space="preserve">樓</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469</t>
    </r>
    <r>
      <rPr>
        <sz val="10"/>
        <color rgb="FF1F2A28"/>
        <rFont val="WenQuanYi Zen Hei"/>
        <family val="2"/>
      </rPr>
      <t xml:space="preserve">號</t>
    </r>
    <r>
      <rPr>
        <sz val="10"/>
        <color rgb="FF1F2A28"/>
        <rFont val="Arial"/>
        <family val="0"/>
        <charset val="1"/>
      </rPr>
      <t xml:space="preserve">B1</t>
    </r>
    <r>
      <rPr>
        <sz val="10"/>
        <color rgb="FF1F2A28"/>
        <rFont val="WenQuanYi Zen Hei"/>
        <family val="2"/>
      </rPr>
      <t xml:space="preserve">樓</t>
    </r>
    <r>
      <rPr>
        <sz val="10"/>
        <color rgb="FF1F2A28"/>
        <rFont val="Arial"/>
        <family val="0"/>
        <charset val="1"/>
      </rPr>
      <t xml:space="preserve">1-3</t>
    </r>
    <r>
      <rPr>
        <sz val="10"/>
        <color rgb="FF1F2A28"/>
        <rFont val="WenQuanYi Zen Hei"/>
        <family val="2"/>
      </rPr>
      <t xml:space="preserve">樓</t>
    </r>
  </si>
  <si>
    <t xml:space="preserve">(04)22939678</t>
  </si>
  <si>
    <r>
      <rPr>
        <sz val="10"/>
        <color rgb="FF1F2A28"/>
        <rFont val="WenQuanYi Zen Hei"/>
        <family val="2"/>
      </rPr>
      <t xml:space="preserve">美語</t>
    </r>
    <r>
      <rPr>
        <sz val="10"/>
        <color rgb="FF1F2A28"/>
        <rFont val="Arial"/>
        <family val="0"/>
        <charset val="1"/>
      </rPr>
      <t xml:space="preserve">17.84</t>
    </r>
    <r>
      <rPr>
        <sz val="10"/>
        <color rgb="FF1F2A28"/>
        <rFont val="WenQuanYi Zen Hei"/>
        <family val="2"/>
      </rPr>
      <t xml:space="preserve">、美語</t>
    </r>
    <r>
      <rPr>
        <sz val="10"/>
        <color rgb="FF1F2A28"/>
        <rFont val="Arial"/>
        <family val="0"/>
        <charset val="1"/>
      </rPr>
      <t xml:space="preserve">30.28</t>
    </r>
    <r>
      <rPr>
        <sz val="10"/>
        <color rgb="FF1F2A28"/>
        <rFont val="WenQuanYi Zen Hei"/>
        <family val="2"/>
      </rPr>
      <t xml:space="preserve">、美語</t>
    </r>
    <r>
      <rPr>
        <sz val="10"/>
        <color rgb="FF1F2A28"/>
        <rFont val="Arial"/>
        <family val="0"/>
        <charset val="1"/>
      </rPr>
      <t xml:space="preserve">16.54</t>
    </r>
    <r>
      <rPr>
        <sz val="10"/>
        <color rgb="FF1F2A28"/>
        <rFont val="WenQuanYi Zen Hei"/>
        <family val="2"/>
      </rPr>
      <t xml:space="preserve">、美語</t>
    </r>
    <r>
      <rPr>
        <sz val="10"/>
        <color rgb="FF1F2A28"/>
        <rFont val="Arial"/>
        <family val="0"/>
        <charset val="1"/>
      </rPr>
      <t xml:space="preserve">21.2</t>
    </r>
    <r>
      <rPr>
        <sz val="10"/>
        <color rgb="FF1F2A28"/>
        <rFont val="WenQuanYi Zen Hei"/>
        <family val="2"/>
      </rPr>
      <t xml:space="preserve">、美語</t>
    </r>
    <r>
      <rPr>
        <sz val="10"/>
        <color rgb="FF1F2A28"/>
        <rFont val="Arial"/>
        <family val="0"/>
        <charset val="1"/>
      </rPr>
      <t xml:space="preserve">30.64</t>
    </r>
    <r>
      <rPr>
        <sz val="10"/>
        <color rgb="FF1F2A28"/>
        <rFont val="WenQuanYi Zen Hei"/>
        <family val="2"/>
      </rPr>
      <t xml:space="preserve">、美語</t>
    </r>
    <r>
      <rPr>
        <sz val="10"/>
        <color rgb="FF1F2A28"/>
        <rFont val="Arial"/>
        <family val="0"/>
        <charset val="1"/>
      </rPr>
      <t xml:space="preserve">15.14</t>
    </r>
  </si>
  <si>
    <t xml:space="preserve">2007-12-24</t>
  </si>
  <si>
    <t xml:space="preserve">林之詠</t>
  </si>
  <si>
    <t xml:space="preserve">私立約瑟分美語會話短期補習班</t>
  </si>
  <si>
    <r>
      <rPr>
        <sz val="10"/>
        <color rgb="FF1F2A28"/>
        <rFont val="Arial"/>
        <family val="0"/>
        <charset val="1"/>
      </rPr>
      <t xml:space="preserve">406</t>
    </r>
    <r>
      <rPr>
        <sz val="10"/>
        <color rgb="FF1F2A28"/>
        <rFont val="WenQuanYi Zen Hei"/>
        <family val="2"/>
      </rPr>
      <t xml:space="preserve">台中市北屯區安順東五街</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</si>
  <si>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0983750293</t>
  </si>
  <si>
    <t xml:space="preserve">mmandy0829tw@yahoo.com.tw</t>
  </si>
  <si>
    <t xml:space="preserve">2004-05-05</t>
  </si>
  <si>
    <t xml:space="preserve">鄭惠祝</t>
  </si>
  <si>
    <t xml:space="preserve">私立聖禾文理短期補習班</t>
  </si>
  <si>
    <r>
      <rPr>
        <sz val="10"/>
        <color rgb="FF1F2A28"/>
        <rFont val="Arial"/>
        <family val="0"/>
        <charset val="1"/>
      </rPr>
      <t xml:space="preserve">408</t>
    </r>
    <r>
      <rPr>
        <sz val="10"/>
        <color rgb="FF1F2A28"/>
        <rFont val="WenQuanYi Zen Hei"/>
        <family val="2"/>
      </rPr>
      <t xml:space="preserve">台中市南屯區大昌街</t>
    </r>
    <r>
      <rPr>
        <sz val="10"/>
        <color rgb="FF1F2A28"/>
        <rFont val="Arial"/>
        <family val="0"/>
        <charset val="1"/>
      </rPr>
      <t xml:space="preserve">525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</si>
  <si>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(04)23197419</t>
  </si>
  <si>
    <t xml:space="preserve">yehwanglin7@yahoo.com.tw</t>
  </si>
  <si>
    <r>
      <rPr>
        <sz val="10"/>
        <color rgb="FF1F2A28"/>
        <rFont val="WenQuanYi Zen Hei"/>
        <family val="2"/>
      </rPr>
      <t xml:space="preserve">英文</t>
    </r>
    <r>
      <rPr>
        <sz val="10"/>
        <color rgb="FF1F2A28"/>
        <rFont val="Arial"/>
        <family val="0"/>
        <charset val="1"/>
      </rPr>
      <t xml:space="preserve">A</t>
    </r>
    <r>
      <rPr>
        <sz val="10"/>
        <color rgb="FF1F2A28"/>
        <rFont val="WenQuanYi Zen Hei"/>
        <family val="2"/>
      </rPr>
      <t xml:space="preserve">、英文</t>
    </r>
    <r>
      <rPr>
        <sz val="10"/>
        <color rgb="FF1F2A28"/>
        <rFont val="Arial"/>
        <family val="0"/>
        <charset val="1"/>
      </rPr>
      <t xml:space="preserve">B</t>
    </r>
  </si>
  <si>
    <t xml:space="preserve">2005-07-08</t>
  </si>
  <si>
    <t xml:space="preserve">林惠娟</t>
  </si>
  <si>
    <t xml:space="preserve">私立肯妮頓美語短期補習班</t>
  </si>
  <si>
    <r>
      <rPr>
        <sz val="10"/>
        <color rgb="FF1F2A28"/>
        <rFont val="Arial"/>
        <family val="0"/>
        <charset val="1"/>
      </rPr>
      <t xml:space="preserve">407</t>
    </r>
    <r>
      <rPr>
        <sz val="10"/>
        <color rgb="FF1F2A28"/>
        <rFont val="WenQuanYi Zen Hei"/>
        <family val="2"/>
      </rPr>
      <t xml:space="preserve">台中市西屯區永福路</t>
    </r>
    <r>
      <rPr>
        <sz val="10"/>
        <color rgb="FF1F2A28"/>
        <rFont val="Arial"/>
        <family val="0"/>
        <charset val="1"/>
      </rPr>
      <t xml:space="preserve">118</t>
    </r>
    <r>
      <rPr>
        <sz val="10"/>
        <color rgb="FF1F2A28"/>
        <rFont val="WenQuanYi Zen Hei"/>
        <family val="2"/>
      </rPr>
      <t xml:space="preserve">巷</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</si>
  <si>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(04)24639161</t>
  </si>
  <si>
    <r>
      <rPr>
        <sz val="10"/>
        <color rgb="FF1F2A28"/>
        <rFont val="WenQuanYi Zen Hei"/>
        <family val="2"/>
      </rPr>
      <t xml:space="preserve">美語</t>
    </r>
    <r>
      <rPr>
        <sz val="10"/>
        <color rgb="FF1F2A28"/>
        <rFont val="Arial"/>
        <family val="0"/>
        <charset val="1"/>
      </rPr>
      <t xml:space="preserve">9.19</t>
    </r>
    <r>
      <rPr>
        <sz val="10"/>
        <color rgb="FF1F2A28"/>
        <rFont val="WenQuanYi Zen Hei"/>
        <family val="2"/>
      </rPr>
      <t xml:space="preserve">、美語</t>
    </r>
    <r>
      <rPr>
        <sz val="10"/>
        <color rgb="FF1F2A28"/>
        <rFont val="Arial"/>
        <family val="0"/>
        <charset val="1"/>
      </rPr>
      <t xml:space="preserve">15.4</t>
    </r>
  </si>
  <si>
    <t xml:space="preserve">2006-12-08</t>
  </si>
  <si>
    <t xml:space="preserve">陶玉苓代表</t>
  </si>
  <si>
    <t xml:space="preserve">林佳儒</t>
  </si>
  <si>
    <t xml:space="preserve">私立育心美語會話短期補習班</t>
  </si>
  <si>
    <r>
      <rPr>
        <sz val="10"/>
        <color rgb="FF1F2A28"/>
        <rFont val="Arial"/>
        <family val="0"/>
        <charset val="1"/>
      </rPr>
      <t xml:space="preserve">408</t>
    </r>
    <r>
      <rPr>
        <sz val="10"/>
        <color rgb="FF1F2A28"/>
        <rFont val="WenQuanYi Zen Hei"/>
        <family val="2"/>
      </rPr>
      <t xml:space="preserve">台中市南屯區南屯路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235</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</si>
  <si>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(04)24735607</t>
  </si>
  <si>
    <r>
      <rPr>
        <sz val="10"/>
        <color rgb="FF1F2A28"/>
        <rFont val="WenQuanYi Zen Hei"/>
        <family val="2"/>
      </rPr>
      <t xml:space="preserve">美語</t>
    </r>
    <r>
      <rPr>
        <sz val="10"/>
        <color rgb="FF1F2A28"/>
        <rFont val="Arial"/>
        <family val="0"/>
        <charset val="1"/>
      </rPr>
      <t xml:space="preserve">15.17</t>
    </r>
    <r>
      <rPr>
        <sz val="10"/>
        <color rgb="FF1F2A28"/>
        <rFont val="WenQuanYi Zen Hei"/>
        <family val="2"/>
      </rPr>
      <t xml:space="preserve">、美語</t>
    </r>
    <r>
      <rPr>
        <sz val="10"/>
        <color rgb="FF1F2A28"/>
        <rFont val="Arial"/>
        <family val="0"/>
        <charset val="1"/>
      </rPr>
      <t xml:space="preserve">13.83</t>
    </r>
    <r>
      <rPr>
        <sz val="10"/>
        <color rgb="FF1F2A28"/>
        <rFont val="WenQuanYi Zen Hei"/>
        <family val="2"/>
      </rPr>
      <t xml:space="preserve">、美語</t>
    </r>
    <r>
      <rPr>
        <sz val="10"/>
        <color rgb="FF1F2A28"/>
        <rFont val="Arial"/>
        <family val="0"/>
        <charset val="1"/>
      </rPr>
      <t xml:space="preserve">7.03</t>
    </r>
  </si>
  <si>
    <t xml:space="preserve">2007-02-05</t>
  </si>
  <si>
    <t xml:space="preserve">賴秀如</t>
  </si>
  <si>
    <t xml:space="preserve">賴姿雯</t>
  </si>
  <si>
    <t xml:space="preserve">私立英皇美語會話短期補習班</t>
  </si>
  <si>
    <r>
      <rPr>
        <sz val="10"/>
        <color rgb="FF1F2A28"/>
        <rFont val="Arial"/>
        <family val="0"/>
        <charset val="1"/>
      </rPr>
      <t xml:space="preserve">408</t>
    </r>
    <r>
      <rPr>
        <sz val="10"/>
        <color rgb="FF1F2A28"/>
        <rFont val="WenQuanYi Zen Hei"/>
        <family val="2"/>
      </rPr>
      <t xml:space="preserve">台中市南屯區南屯路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235</t>
    </r>
    <r>
      <rPr>
        <sz val="10"/>
        <color rgb="FF1F2A28"/>
        <rFont val="WenQuanYi Zen Hei"/>
        <family val="2"/>
      </rPr>
      <t xml:space="preserve">巷</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</si>
  <si>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04-24755865</t>
  </si>
  <si>
    <t xml:space="preserve">kingsland_school@yahoo.com.tw</t>
  </si>
  <si>
    <t xml:space="preserve">2002-08-05</t>
  </si>
  <si>
    <t xml:space="preserve">梁淑芬</t>
  </si>
  <si>
    <t xml:space="preserve">陳瀅如</t>
  </si>
  <si>
    <t xml:space="preserve">私立茱麗亞美語會話短期補習班</t>
  </si>
  <si>
    <r>
      <rPr>
        <sz val="10"/>
        <color rgb="FF1F2A28"/>
        <rFont val="Arial"/>
        <family val="0"/>
        <charset val="1"/>
      </rPr>
      <t xml:space="preserve">408</t>
    </r>
    <r>
      <rPr>
        <sz val="10"/>
        <color rgb="FF1F2A28"/>
        <rFont val="WenQuanYi Zen Hei"/>
        <family val="2"/>
      </rPr>
      <t xml:space="preserve">台中市南屯區大進街</t>
    </r>
    <r>
      <rPr>
        <sz val="10"/>
        <color rgb="FF1F2A28"/>
        <rFont val="Arial"/>
        <family val="0"/>
        <charset val="1"/>
      </rPr>
      <t xml:space="preserve">565</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</si>
  <si>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04-23101138</t>
  </si>
  <si>
    <t xml:space="preserve">HelenHelen1221@hotmail.com</t>
  </si>
  <si>
    <t xml:space="preserve">2002-04-17</t>
  </si>
  <si>
    <t xml:space="preserve">蔡瑋婷</t>
  </si>
  <si>
    <t xml:space="preserve">私立華勝頓美語會話短期補習班</t>
  </si>
  <si>
    <r>
      <rPr>
        <sz val="10"/>
        <color rgb="FF1F2A28"/>
        <rFont val="Arial"/>
        <family val="0"/>
        <charset val="1"/>
      </rPr>
      <t xml:space="preserve">406</t>
    </r>
    <r>
      <rPr>
        <sz val="10"/>
        <color rgb="FF1F2A28"/>
        <rFont val="WenQuanYi Zen Hei"/>
        <family val="2"/>
      </rPr>
      <t xml:space="preserve">台中市北屯區安順東五街</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3~4</t>
    </r>
    <r>
      <rPr>
        <sz val="10"/>
        <color rgb="FF1F2A28"/>
        <rFont val="WenQuanYi Zen Hei"/>
        <family val="2"/>
      </rPr>
      <t xml:space="preserve">樓</t>
    </r>
  </si>
  <si>
    <t xml:space="preserve">04-22411505</t>
  </si>
  <si>
    <t xml:space="preserve">louise13776@yahoo.com.tw</t>
  </si>
  <si>
    <t xml:space="preserve">羅文貴</t>
  </si>
  <si>
    <t xml:space="preserve">呂佳玲</t>
  </si>
  <si>
    <t xml:space="preserve">私立那蒂雅美語會話短期補習班</t>
  </si>
  <si>
    <r>
      <rPr>
        <sz val="10"/>
        <color rgb="FF1F2A28"/>
        <rFont val="Arial"/>
        <family val="0"/>
        <charset val="1"/>
      </rPr>
      <t xml:space="preserve">408</t>
    </r>
    <r>
      <rPr>
        <sz val="10"/>
        <color rgb="FF1F2A28"/>
        <rFont val="WenQuanYi Zen Hei"/>
        <family val="2"/>
      </rPr>
      <t xml:space="preserve">台中市南屯區大墩路</t>
    </r>
    <r>
      <rPr>
        <sz val="10"/>
        <color rgb="FF1F2A28"/>
        <rFont val="Arial"/>
        <family val="0"/>
        <charset val="1"/>
      </rPr>
      <t xml:space="preserve">385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</si>
  <si>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(04)24752338</t>
  </si>
  <si>
    <r>
      <rPr>
        <sz val="10"/>
        <color rgb="FF1F2A28"/>
        <rFont val="WenQuanYi Zen Hei"/>
        <family val="2"/>
      </rPr>
      <t xml:space="preserve">美語</t>
    </r>
    <r>
      <rPr>
        <sz val="10"/>
        <color rgb="FF1F2A28"/>
        <rFont val="Arial"/>
        <family val="0"/>
        <charset val="1"/>
      </rPr>
      <t xml:space="preserve">14.95</t>
    </r>
    <r>
      <rPr>
        <sz val="10"/>
        <color rgb="FF1F2A28"/>
        <rFont val="WenQuanYi Zen Hei"/>
        <family val="2"/>
      </rPr>
      <t xml:space="preserve">、美語</t>
    </r>
    <r>
      <rPr>
        <sz val="10"/>
        <color rgb="FF1F2A28"/>
        <rFont val="Arial"/>
        <family val="0"/>
        <charset val="1"/>
      </rPr>
      <t xml:space="preserve">8.56</t>
    </r>
  </si>
  <si>
    <t xml:space="preserve">汪美宇</t>
  </si>
  <si>
    <t xml:space="preserve">私立邦妮屋文理美術短期補習班</t>
  </si>
  <si>
    <r>
      <rPr>
        <sz val="10"/>
        <color rgb="FF1F2A28"/>
        <rFont val="Arial"/>
        <family val="0"/>
        <charset val="1"/>
      </rPr>
      <t xml:space="preserve">406</t>
    </r>
    <r>
      <rPr>
        <sz val="10"/>
        <color rgb="FF1F2A28"/>
        <rFont val="WenQuanYi Zen Hei"/>
        <family val="2"/>
      </rPr>
      <t xml:space="preserve">台中市北屯區平德路</t>
    </r>
    <r>
      <rPr>
        <sz val="10"/>
        <color rgb="FF1F2A28"/>
        <rFont val="Arial"/>
        <family val="0"/>
        <charset val="1"/>
      </rPr>
      <t xml:space="preserve">168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</si>
  <si>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(04)22951096</t>
  </si>
  <si>
    <r>
      <rPr>
        <sz val="10"/>
        <color rgb="FF1F2A28"/>
        <rFont val="WenQuanYi Zen Hei"/>
        <family val="2"/>
      </rPr>
      <t xml:space="preserve">英語</t>
    </r>
    <r>
      <rPr>
        <sz val="10"/>
        <color rgb="FF1F2A28"/>
        <rFont val="Arial"/>
        <family val="0"/>
        <charset val="1"/>
      </rPr>
      <t xml:space="preserve">28.86</t>
    </r>
  </si>
  <si>
    <t xml:space="preserve">2006-02-15</t>
  </si>
  <si>
    <t xml:space="preserve">劉寶玲</t>
  </si>
  <si>
    <t xml:space="preserve">私立飛梭美語短期補習班</t>
  </si>
  <si>
    <r>
      <rPr>
        <sz val="10"/>
        <color rgb="FF1F2A28"/>
        <rFont val="Arial"/>
        <family val="0"/>
        <charset val="1"/>
      </rPr>
      <t xml:space="preserve">408</t>
    </r>
    <r>
      <rPr>
        <sz val="10"/>
        <color rgb="FF1F2A28"/>
        <rFont val="WenQuanYi Zen Hei"/>
        <family val="2"/>
      </rPr>
      <t xml:space="preserve">台中市南屯區大進街</t>
    </r>
    <r>
      <rPr>
        <sz val="10"/>
        <color rgb="FF1F2A28"/>
        <rFont val="Arial"/>
        <family val="0"/>
        <charset val="1"/>
      </rPr>
      <t xml:space="preserve">665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</si>
  <si>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04-23190552</t>
  </si>
  <si>
    <t xml:space="preserve">shuttleeng2021@gmail.com</t>
  </si>
  <si>
    <t xml:space="preserve">2000-06-12</t>
  </si>
  <si>
    <t xml:space="preserve">趙敏亨</t>
  </si>
  <si>
    <t xml:space="preserve">私立麥斯特美語短期補習班</t>
  </si>
  <si>
    <r>
      <rPr>
        <sz val="10"/>
        <color rgb="FF1F2A28"/>
        <rFont val="Arial"/>
        <family val="0"/>
        <charset val="1"/>
      </rPr>
      <t xml:space="preserve">406</t>
    </r>
    <r>
      <rPr>
        <sz val="10"/>
        <color rgb="FF1F2A28"/>
        <rFont val="WenQuanYi Zen Hei"/>
        <family val="2"/>
      </rPr>
      <t xml:space="preserve">台中市北屯區軍福十三路</t>
    </r>
    <r>
      <rPr>
        <sz val="10"/>
        <color rgb="FF1F2A28"/>
        <rFont val="Arial"/>
        <family val="0"/>
        <charset val="1"/>
      </rPr>
      <t xml:space="preserve">385</t>
    </r>
    <r>
      <rPr>
        <sz val="10"/>
        <color rgb="FF1F2A28"/>
        <rFont val="WenQuanYi Zen Hei"/>
        <family val="2"/>
      </rPr>
      <t xml:space="preserve">號</t>
    </r>
    <r>
      <rPr>
        <sz val="10"/>
        <color rgb="FF1F2A28"/>
        <rFont val="Arial"/>
        <family val="0"/>
        <charset val="1"/>
      </rPr>
      <t xml:space="preserve">1-4F</t>
    </r>
  </si>
  <si>
    <t xml:space="preserve">(04)22913955</t>
  </si>
  <si>
    <t xml:space="preserve">2004-10-31</t>
  </si>
  <si>
    <t xml:space="preserve">李瑞瑛</t>
  </si>
  <si>
    <t xml:space="preserve">臺中市私立世藝文理短期補習班</t>
  </si>
  <si>
    <r>
      <rPr>
        <sz val="10"/>
        <color rgb="FF1F2A28"/>
        <rFont val="Arial"/>
        <family val="0"/>
        <charset val="1"/>
      </rPr>
      <t xml:space="preserve">406</t>
    </r>
    <r>
      <rPr>
        <sz val="10"/>
        <color rgb="FF1F2A28"/>
        <rFont val="WenQuanYi Zen Hei"/>
        <family val="2"/>
      </rPr>
      <t xml:space="preserve">台中市北屯區旅順路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</si>
  <si>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(04)22915725</t>
  </si>
  <si>
    <t xml:space="preserve">2005-01-20</t>
  </si>
  <si>
    <t xml:space="preserve">臺中市私立伯爵美語附設美術短期補習班</t>
  </si>
  <si>
    <r>
      <rPr>
        <sz val="10"/>
        <color rgb="FF1F2A28"/>
        <rFont val="Arial"/>
        <family val="0"/>
        <charset val="1"/>
      </rPr>
      <t xml:space="preserve">406</t>
    </r>
    <r>
      <rPr>
        <sz val="10"/>
        <color rgb="FF1F2A28"/>
        <rFont val="WenQuanYi Zen Hei"/>
        <family val="2"/>
      </rPr>
      <t xml:space="preserve">台中市北屯區平德路</t>
    </r>
    <r>
      <rPr>
        <sz val="10"/>
        <color rgb="FF1F2A28"/>
        <rFont val="Arial"/>
        <family val="0"/>
        <charset val="1"/>
      </rPr>
      <t xml:space="preserve">142</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1~2F</t>
    </r>
  </si>
  <si>
    <t xml:space="preserve">04-22916017</t>
  </si>
  <si>
    <r>
      <rPr>
        <sz val="10"/>
        <color rgb="FF1F2A28"/>
        <rFont val="WenQuanYi Zen Hei"/>
        <family val="2"/>
      </rPr>
      <t xml:space="preserve">美語</t>
    </r>
    <r>
      <rPr>
        <sz val="10"/>
        <color rgb="FF1F2A28"/>
        <rFont val="Arial"/>
        <family val="0"/>
        <charset val="1"/>
      </rPr>
      <t xml:space="preserve">13.08</t>
    </r>
    <r>
      <rPr>
        <sz val="10"/>
        <color rgb="FF1F2A28"/>
        <rFont val="WenQuanYi Zen Hei"/>
        <family val="2"/>
      </rPr>
      <t xml:space="preserve">、美語</t>
    </r>
    <r>
      <rPr>
        <sz val="10"/>
        <color rgb="FF1F2A28"/>
        <rFont val="Arial"/>
        <family val="0"/>
        <charset val="1"/>
      </rPr>
      <t xml:space="preserve">18.86</t>
    </r>
  </si>
  <si>
    <t xml:space="preserve">2008-11-03</t>
  </si>
  <si>
    <t xml:space="preserve">宋孫郁</t>
  </si>
  <si>
    <t xml:space="preserve">陳美蘭</t>
  </si>
  <si>
    <t xml:space="preserve">臺中市私立冠達美語短期補習班</t>
  </si>
  <si>
    <r>
      <rPr>
        <sz val="10"/>
        <color rgb="FF1F2A28"/>
        <rFont val="Arial"/>
        <family val="0"/>
        <charset val="1"/>
      </rPr>
      <t xml:space="preserve">408</t>
    </r>
    <r>
      <rPr>
        <sz val="10"/>
        <color rgb="FF1F2A28"/>
        <rFont val="WenQuanYi Zen Hei"/>
        <family val="2"/>
      </rPr>
      <t xml:space="preserve">台中市南屯區永春東路</t>
    </r>
    <r>
      <rPr>
        <sz val="10"/>
        <color rgb="FF1F2A28"/>
        <rFont val="Arial"/>
        <family val="0"/>
        <charset val="1"/>
      </rPr>
      <t xml:space="preserve">361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樓、夾層、</t>
    </r>
    <r>
      <rPr>
        <sz val="10"/>
        <color rgb="FF1F2A28"/>
        <rFont val="Arial"/>
        <family val="0"/>
        <charset val="1"/>
      </rPr>
      <t xml:space="preserve">2</t>
    </r>
    <r>
      <rPr>
        <sz val="10"/>
        <color rgb="FF1F2A28"/>
        <rFont val="WenQuanYi Zen Hei"/>
        <family val="2"/>
      </rPr>
      <t xml:space="preserve">樓</t>
    </r>
  </si>
  <si>
    <t xml:space="preserve">04-24722191</t>
  </si>
  <si>
    <t xml:space="preserve">ntjennifer@hotmail.com</t>
  </si>
  <si>
    <r>
      <rPr>
        <sz val="10"/>
        <color rgb="FF1F2A28"/>
        <rFont val="WenQuanYi Zen Hei"/>
        <family val="2"/>
      </rPr>
      <t xml:space="preserve">美語</t>
    </r>
    <r>
      <rPr>
        <sz val="10"/>
        <color rgb="FF1F2A28"/>
        <rFont val="Arial"/>
        <family val="0"/>
        <charset val="1"/>
      </rPr>
      <t xml:space="preserve">22.93</t>
    </r>
    <r>
      <rPr>
        <sz val="10"/>
        <color rgb="FF1F2A28"/>
        <rFont val="WenQuanYi Zen Hei"/>
        <family val="2"/>
      </rPr>
      <t xml:space="preserve">、美語</t>
    </r>
    <r>
      <rPr>
        <sz val="10"/>
        <color rgb="FF1F2A28"/>
        <rFont val="Arial"/>
        <family val="0"/>
        <charset val="1"/>
      </rPr>
      <t xml:space="preserve">23.65</t>
    </r>
    <r>
      <rPr>
        <sz val="10"/>
        <color rgb="FF1F2A28"/>
        <rFont val="WenQuanYi Zen Hei"/>
        <family val="2"/>
      </rPr>
      <t xml:space="preserve">、美語</t>
    </r>
    <r>
      <rPr>
        <sz val="10"/>
        <color rgb="FF1F2A28"/>
        <rFont val="Arial"/>
        <family val="0"/>
        <charset val="1"/>
      </rPr>
      <t xml:space="preserve">22.33</t>
    </r>
  </si>
  <si>
    <t xml:space="preserve">王靜雯</t>
  </si>
  <si>
    <t xml:space="preserve">臺中市私立力行英語會話短期補習班</t>
  </si>
  <si>
    <r>
      <rPr>
        <sz val="10"/>
        <color rgb="FF1F2A28"/>
        <rFont val="Arial"/>
        <family val="0"/>
        <charset val="1"/>
      </rPr>
      <t xml:space="preserve">404</t>
    </r>
    <r>
      <rPr>
        <sz val="10"/>
        <color rgb="FF1F2A28"/>
        <rFont val="WenQuanYi Zen Hei"/>
        <family val="2"/>
      </rPr>
      <t xml:space="preserve">台中市北區篤行路</t>
    </r>
    <r>
      <rPr>
        <sz val="10"/>
        <color rgb="FF1F2A28"/>
        <rFont val="Arial"/>
        <family val="0"/>
        <charset val="1"/>
      </rPr>
      <t xml:space="preserve">385</t>
    </r>
    <r>
      <rPr>
        <sz val="10"/>
        <color rgb="FF1F2A28"/>
        <rFont val="WenQuanYi Zen Hei"/>
        <family val="2"/>
      </rPr>
      <t xml:space="preserve">之</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</si>
  <si>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04-22018181</t>
  </si>
  <si>
    <r>
      <rPr>
        <sz val="10"/>
        <color rgb="FF1F2A28"/>
        <rFont val="WenQuanYi Zen Hei"/>
        <family val="2"/>
      </rPr>
      <t xml:space="preserve">英語、幼兒美語</t>
    </r>
    <r>
      <rPr>
        <sz val="10"/>
        <color rgb="FF1F2A28"/>
        <rFont val="Arial"/>
        <family val="0"/>
        <charset val="1"/>
      </rPr>
      <t xml:space="preserve">15.48</t>
    </r>
  </si>
  <si>
    <t xml:space="preserve">1997-10-06</t>
  </si>
  <si>
    <t xml:space="preserve">許碧純</t>
  </si>
  <si>
    <t xml:space="preserve">許瑞紋</t>
  </si>
  <si>
    <t xml:space="preserve">臺中市私立南瓜英語會話短期補習班</t>
  </si>
  <si>
    <r>
      <rPr>
        <sz val="10"/>
        <color rgb="FF1F2A28"/>
        <rFont val="Arial"/>
        <family val="0"/>
        <charset val="1"/>
      </rPr>
      <t xml:space="preserve">402</t>
    </r>
    <r>
      <rPr>
        <sz val="10"/>
        <color rgb="FF1F2A28"/>
        <rFont val="WenQuanYi Zen Hei"/>
        <family val="2"/>
      </rPr>
      <t xml:space="preserve">臺中市南區德富路</t>
    </r>
    <r>
      <rPr>
        <sz val="10"/>
        <color rgb="FF1F2A28"/>
        <rFont val="Arial"/>
        <family val="0"/>
        <charset val="1"/>
      </rPr>
      <t xml:space="preserve">97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</si>
  <si>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04-22652878</t>
  </si>
  <si>
    <r>
      <rPr>
        <sz val="10"/>
        <color rgb="FF1F2A28"/>
        <rFont val="WenQuanYi Zen Hei"/>
        <family val="2"/>
      </rPr>
      <t xml:space="preserve">英語會話成人班、英語會話國小班</t>
    </r>
    <r>
      <rPr>
        <sz val="10"/>
        <color rgb="FF1F2A28"/>
        <rFont val="Arial"/>
        <family val="0"/>
        <charset val="1"/>
      </rPr>
      <t xml:space="preserve">(</t>
    </r>
    <r>
      <rPr>
        <sz val="10"/>
        <color rgb="FF1F2A28"/>
        <rFont val="WenQuanYi Zen Hei"/>
        <family val="2"/>
      </rPr>
      <t xml:space="preserve">英語教學、作業寫作、團康活動</t>
    </r>
    <r>
      <rPr>
        <sz val="10"/>
        <color rgb="FF1F2A28"/>
        <rFont val="Arial"/>
        <family val="0"/>
        <charset val="1"/>
      </rPr>
      <t xml:space="preserve">)</t>
    </r>
  </si>
  <si>
    <t xml:space="preserve">2002-01-16</t>
  </si>
  <si>
    <t xml:space="preserve">湯國光</t>
  </si>
  <si>
    <t xml:space="preserve">臺中市私立可倪美語會話短期補習班</t>
  </si>
  <si>
    <r>
      <rPr>
        <sz val="10"/>
        <color rgb="FF1F2A28"/>
        <rFont val="Arial"/>
        <family val="0"/>
        <charset val="1"/>
      </rPr>
      <t xml:space="preserve">404</t>
    </r>
    <r>
      <rPr>
        <sz val="10"/>
        <color rgb="FF1F2A28"/>
        <rFont val="WenQuanYi Zen Hei"/>
        <family val="2"/>
      </rPr>
      <t xml:space="preserve">臺中市北區陝西路</t>
    </r>
    <r>
      <rPr>
        <sz val="10"/>
        <color rgb="FF1F2A28"/>
        <rFont val="Arial"/>
        <family val="0"/>
        <charset val="1"/>
      </rPr>
      <t xml:space="preserve">59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</si>
  <si>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(04)22936033</t>
  </si>
  <si>
    <t xml:space="preserve">美語、幼兒美語</t>
  </si>
  <si>
    <t xml:space="preserve">2004-12-14</t>
  </si>
  <si>
    <t xml:space="preserve">楊志豪</t>
  </si>
  <si>
    <t xml:space="preserve">臺中市私立台中佳音英語會話短期補習班</t>
  </si>
  <si>
    <r>
      <rPr>
        <sz val="10"/>
        <color rgb="FF1F2A28"/>
        <rFont val="Arial"/>
        <family val="0"/>
        <charset val="1"/>
      </rPr>
      <t xml:space="preserve">401</t>
    </r>
    <r>
      <rPr>
        <sz val="10"/>
        <color rgb="FF1F2A28"/>
        <rFont val="WenQuanYi Zen Hei"/>
        <family val="2"/>
      </rPr>
      <t xml:space="preserve">台中市東區信義街</t>
    </r>
    <r>
      <rPr>
        <sz val="10"/>
        <color rgb="FF1F2A28"/>
        <rFont val="Arial"/>
        <family val="0"/>
        <charset val="1"/>
      </rPr>
      <t xml:space="preserve">39</t>
    </r>
    <r>
      <rPr>
        <sz val="10"/>
        <color rgb="FF1F2A28"/>
        <rFont val="WenQuanYi Zen Hei"/>
        <family val="2"/>
      </rPr>
      <t xml:space="preserve">、</t>
    </r>
    <r>
      <rPr>
        <sz val="10"/>
        <color rgb="FF1F2A28"/>
        <rFont val="Arial"/>
        <family val="0"/>
        <charset val="1"/>
      </rPr>
      <t xml:space="preserve">41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</si>
  <si>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04-22239468</t>
  </si>
  <si>
    <t xml:space="preserve">katherine123951@icloud.com</t>
  </si>
  <si>
    <t xml:space="preserve">1996-01-17</t>
  </si>
  <si>
    <t xml:space="preserve">王宗裕</t>
  </si>
  <si>
    <t xml:space="preserve">臺中市私立嘉新語文短期補習班</t>
  </si>
  <si>
    <r>
      <rPr>
        <sz val="10"/>
        <color rgb="FF1F2A28"/>
        <rFont val="Arial"/>
        <family val="0"/>
        <charset val="1"/>
      </rPr>
      <t xml:space="preserve">408</t>
    </r>
    <r>
      <rPr>
        <sz val="10"/>
        <color rgb="FF1F2A28"/>
        <rFont val="WenQuanYi Zen Hei"/>
        <family val="2"/>
      </rPr>
      <t xml:space="preserve">台中市南屯區文心路一段</t>
    </r>
    <r>
      <rPr>
        <sz val="10"/>
        <color rgb="FF1F2A28"/>
        <rFont val="Arial"/>
        <family val="0"/>
        <charset val="1"/>
      </rPr>
      <t xml:space="preserve">272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</si>
  <si>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(04)24726800</t>
  </si>
  <si>
    <t xml:space="preserve">vicky.chang@hess.com.tw</t>
  </si>
  <si>
    <r>
      <rPr>
        <sz val="10"/>
        <color rgb="FF1F2A28"/>
        <rFont val="WenQuanYi Zen Hei"/>
        <family val="2"/>
      </rPr>
      <t xml:space="preserve">英語</t>
    </r>
    <r>
      <rPr>
        <sz val="10"/>
        <color rgb="FF1F2A28"/>
        <rFont val="Arial"/>
        <family val="0"/>
        <charset val="1"/>
      </rPr>
      <t xml:space="preserve">29.46</t>
    </r>
    <r>
      <rPr>
        <sz val="10"/>
        <color rgb="FF1F2A28"/>
        <rFont val="WenQuanYi Zen Hei"/>
        <family val="2"/>
      </rPr>
      <t xml:space="preserve">、英語</t>
    </r>
    <r>
      <rPr>
        <sz val="10"/>
        <color rgb="FF1F2A28"/>
        <rFont val="Arial"/>
        <family val="0"/>
        <charset val="1"/>
      </rPr>
      <t xml:space="preserve">28.16</t>
    </r>
    <r>
      <rPr>
        <sz val="10"/>
        <color rgb="FF1F2A28"/>
        <rFont val="WenQuanYi Zen Hei"/>
        <family val="2"/>
      </rPr>
      <t xml:space="preserve">、英語</t>
    </r>
    <r>
      <rPr>
        <sz val="10"/>
        <color rgb="FF1F2A28"/>
        <rFont val="Arial"/>
        <family val="0"/>
        <charset val="1"/>
      </rPr>
      <t xml:space="preserve">24.29</t>
    </r>
    <r>
      <rPr>
        <sz val="10"/>
        <color rgb="FF1F2A28"/>
        <rFont val="WenQuanYi Zen Hei"/>
        <family val="2"/>
      </rPr>
      <t xml:space="preserve">、英語</t>
    </r>
    <r>
      <rPr>
        <sz val="10"/>
        <color rgb="FF1F2A28"/>
        <rFont val="Arial"/>
        <family val="0"/>
        <charset val="1"/>
      </rPr>
      <t xml:space="preserve">25.31</t>
    </r>
    <r>
      <rPr>
        <sz val="10"/>
        <color rgb="FF1F2A28"/>
        <rFont val="WenQuanYi Zen Hei"/>
        <family val="2"/>
      </rPr>
      <t xml:space="preserve">、英語</t>
    </r>
    <r>
      <rPr>
        <sz val="10"/>
        <color rgb="FF1F2A28"/>
        <rFont val="Arial"/>
        <family val="0"/>
        <charset val="1"/>
      </rPr>
      <t xml:space="preserve">25.80</t>
    </r>
  </si>
  <si>
    <t xml:space="preserve">林月美</t>
  </si>
  <si>
    <t xml:space="preserve">臺中市私立嘉讚語文短期補習班</t>
  </si>
  <si>
    <r>
      <rPr>
        <sz val="10"/>
        <color rgb="FF1F2A28"/>
        <rFont val="Arial"/>
        <family val="0"/>
        <charset val="1"/>
      </rPr>
      <t xml:space="preserve">402</t>
    </r>
    <r>
      <rPr>
        <sz val="10"/>
        <color rgb="FF1F2A28"/>
        <rFont val="WenQuanYi Zen Hei"/>
        <family val="2"/>
      </rPr>
      <t xml:space="preserve">臺中市南區福田路</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</si>
  <si>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(04)22621299</t>
  </si>
  <si>
    <t xml:space="preserve">hs2185@hess.com.tw</t>
  </si>
  <si>
    <r>
      <rPr>
        <sz val="10"/>
        <color rgb="FF1F2A28"/>
        <rFont val="WenQuanYi Zen Hei"/>
        <family val="2"/>
      </rPr>
      <t xml:space="preserve">英語</t>
    </r>
    <r>
      <rPr>
        <sz val="10"/>
        <color rgb="FF1F2A28"/>
        <rFont val="Arial"/>
        <family val="0"/>
        <charset val="1"/>
      </rPr>
      <t xml:space="preserve">22.86</t>
    </r>
    <r>
      <rPr>
        <sz val="10"/>
        <color rgb="FF1F2A28"/>
        <rFont val="WenQuanYi Zen Hei"/>
        <family val="2"/>
      </rPr>
      <t xml:space="preserve">、英語</t>
    </r>
    <r>
      <rPr>
        <sz val="10"/>
        <color rgb="FF1F2A28"/>
        <rFont val="Arial"/>
        <family val="0"/>
        <charset val="1"/>
      </rPr>
      <t xml:space="preserve">20.37</t>
    </r>
    <r>
      <rPr>
        <sz val="10"/>
        <color rgb="FF1F2A28"/>
        <rFont val="WenQuanYi Zen Hei"/>
        <family val="2"/>
      </rPr>
      <t xml:space="preserve">、英語</t>
    </r>
    <r>
      <rPr>
        <sz val="10"/>
        <color rgb="FF1F2A28"/>
        <rFont val="Arial"/>
        <family val="0"/>
        <charset val="1"/>
      </rPr>
      <t xml:space="preserve">24.89</t>
    </r>
  </si>
  <si>
    <t xml:space="preserve">2010-03-29</t>
  </si>
  <si>
    <t xml:space="preserve">陳明珠代表、陳姿雅</t>
  </si>
  <si>
    <t xml:space="preserve">賴靜怡</t>
  </si>
  <si>
    <t xml:space="preserve">臺中市私立大聖美語會話短期補習班</t>
  </si>
  <si>
    <r>
      <rPr>
        <sz val="10"/>
        <color rgb="FF1F2A28"/>
        <rFont val="Arial"/>
        <family val="0"/>
        <charset val="1"/>
      </rPr>
      <t xml:space="preserve">408</t>
    </r>
    <r>
      <rPr>
        <sz val="10"/>
        <color rgb="FF1F2A28"/>
        <rFont val="WenQuanYi Zen Hei"/>
        <family val="2"/>
      </rPr>
      <t xml:space="preserve">臺中市南屯區溝墘里大聖街</t>
    </r>
    <r>
      <rPr>
        <sz val="10"/>
        <color rgb="FF1F2A28"/>
        <rFont val="Arial"/>
        <family val="0"/>
        <charset val="1"/>
      </rPr>
      <t xml:space="preserve">354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</si>
  <si>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04-23257013</t>
  </si>
  <si>
    <t xml:space="preserve">great@g-language.com.tw</t>
  </si>
  <si>
    <t xml:space="preserve">1998-09-07</t>
  </si>
  <si>
    <t xml:space="preserve">葉少枝</t>
  </si>
  <si>
    <t xml:space="preserve">臺中市私立威爾斯英語會話短期補習班</t>
  </si>
  <si>
    <r>
      <rPr>
        <sz val="10"/>
        <color rgb="FF1F2A28"/>
        <rFont val="Arial"/>
        <family val="0"/>
        <charset val="1"/>
      </rPr>
      <t xml:space="preserve">404</t>
    </r>
    <r>
      <rPr>
        <sz val="10"/>
        <color rgb="FF1F2A28"/>
        <rFont val="WenQuanYi Zen Hei"/>
        <family val="2"/>
      </rPr>
      <t xml:space="preserve">台中市北區雙十路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40</t>
    </r>
    <r>
      <rPr>
        <sz val="10"/>
        <color rgb="FF1F2A28"/>
        <rFont val="WenQuanYi Zen Hei"/>
        <family val="2"/>
      </rPr>
      <t xml:space="preserve">巷</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</si>
  <si>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04-22317523</t>
  </si>
  <si>
    <t xml:space="preserve">enrque1120@yahoo.com.tw</t>
  </si>
  <si>
    <t xml:space="preserve">2001-11-05</t>
  </si>
  <si>
    <t xml:space="preserve">何珮甄</t>
  </si>
  <si>
    <t xml:space="preserve">臺中市私立子揚美語短期補習班</t>
  </si>
  <si>
    <r>
      <rPr>
        <sz val="10"/>
        <color rgb="FF1F2A28"/>
        <rFont val="Arial"/>
        <family val="0"/>
        <charset val="1"/>
      </rPr>
      <t xml:space="preserve">402</t>
    </r>
    <r>
      <rPr>
        <sz val="10"/>
        <color rgb="FF1F2A28"/>
        <rFont val="WenQuanYi Zen Hei"/>
        <family val="2"/>
      </rPr>
      <t xml:space="preserve">臺中市南區建成路</t>
    </r>
    <r>
      <rPr>
        <sz val="10"/>
        <color rgb="FF1F2A28"/>
        <rFont val="Arial"/>
        <family val="0"/>
        <charset val="1"/>
      </rPr>
      <t xml:space="preserve">1100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</si>
  <si>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04-22860097</t>
  </si>
  <si>
    <t xml:space="preserve">perfect4139@gmail.com</t>
  </si>
  <si>
    <t xml:space="preserve">1999-07-02</t>
  </si>
  <si>
    <t xml:space="preserve">翁嘉鴻</t>
  </si>
  <si>
    <t xml:space="preserve">臺中市私立小風車文理短期補習班</t>
  </si>
  <si>
    <r>
      <rPr>
        <sz val="10"/>
        <color rgb="FF1F2A28"/>
        <rFont val="Arial"/>
        <family val="0"/>
        <charset val="1"/>
      </rPr>
      <t xml:space="preserve">408</t>
    </r>
    <r>
      <rPr>
        <sz val="10"/>
        <color rgb="FF1F2A28"/>
        <rFont val="WenQuanYi Zen Hei"/>
        <family val="2"/>
      </rPr>
      <t xml:space="preserve">台中市南屯區大墩十一街</t>
    </r>
    <r>
      <rPr>
        <sz val="10"/>
        <color rgb="FF1F2A28"/>
        <rFont val="Arial"/>
        <family val="0"/>
        <charset val="1"/>
      </rPr>
      <t xml:space="preserve">267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</si>
  <si>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(04)23204177</t>
  </si>
  <si>
    <t xml:space="preserve">許嘉珍</t>
  </si>
  <si>
    <t xml:space="preserve">邱佳蘋</t>
  </si>
  <si>
    <t xml:space="preserve">臺中市私立心象美語會話短期補習班</t>
  </si>
  <si>
    <r>
      <rPr>
        <sz val="10"/>
        <color rgb="FF1F2A28"/>
        <rFont val="Arial"/>
        <family val="0"/>
        <charset val="1"/>
      </rPr>
      <t xml:space="preserve">402</t>
    </r>
    <r>
      <rPr>
        <sz val="10"/>
        <color rgb="FF1F2A28"/>
        <rFont val="WenQuanYi Zen Hei"/>
        <family val="2"/>
      </rPr>
      <t xml:space="preserve">臺中市南區五權南路</t>
    </r>
    <r>
      <rPr>
        <sz val="10"/>
        <color rgb="FF1F2A28"/>
        <rFont val="Arial"/>
        <family val="0"/>
        <charset val="1"/>
      </rPr>
      <t xml:space="preserve">306</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</si>
  <si>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(04)22625776</t>
  </si>
  <si>
    <t xml:space="preserve">a0931493483@gmail.com</t>
  </si>
  <si>
    <t xml:space="preserve">2007-01-02</t>
  </si>
  <si>
    <t xml:space="preserve">黃楟方</t>
  </si>
  <si>
    <t xml:space="preserve">黃以璇</t>
  </si>
  <si>
    <t xml:space="preserve">臺中市私立思諾美語短期補習班</t>
  </si>
  <si>
    <r>
      <rPr>
        <sz val="10"/>
        <color rgb="FF1F2A28"/>
        <rFont val="Arial"/>
        <family val="0"/>
        <charset val="1"/>
      </rPr>
      <t xml:space="preserve">406</t>
    </r>
    <r>
      <rPr>
        <sz val="10"/>
        <color rgb="FF1F2A28"/>
        <rFont val="WenQuanYi Zen Hei"/>
        <family val="2"/>
      </rPr>
      <t xml:space="preserve">台中市北屯區熱河路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146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</si>
  <si>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(04)22449988</t>
  </si>
  <si>
    <t xml:space="preserve">吳思穎</t>
  </si>
  <si>
    <t xml:space="preserve">臺中市私立成功英日語會話短期職業補習班</t>
  </si>
  <si>
    <r>
      <rPr>
        <sz val="10"/>
        <color rgb="FF1F2A28"/>
        <rFont val="Arial"/>
        <family val="0"/>
        <charset val="1"/>
      </rPr>
      <t xml:space="preserve">400</t>
    </r>
    <r>
      <rPr>
        <sz val="10"/>
        <color rgb="FF1F2A28"/>
        <rFont val="WenQuanYi Zen Hei"/>
        <family val="2"/>
      </rPr>
      <t xml:space="preserve">台中市中區綠川東街</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10</t>
    </r>
    <r>
      <rPr>
        <sz val="10"/>
        <color rgb="FF1F2A28"/>
        <rFont val="WenQuanYi Zen Hei"/>
        <family val="2"/>
      </rPr>
      <t xml:space="preserve">樓</t>
    </r>
    <r>
      <rPr>
        <sz val="10"/>
        <color rgb="FF1F2A28"/>
        <rFont val="Arial"/>
        <family val="0"/>
        <charset val="1"/>
      </rPr>
      <t xml:space="preserve">5</t>
    </r>
    <r>
      <rPr>
        <sz val="10"/>
        <color rgb="FF1F2A28"/>
        <rFont val="WenQuanYi Zen Hei"/>
        <family val="2"/>
      </rPr>
      <t xml:space="preserve">、</t>
    </r>
    <r>
      <rPr>
        <sz val="10"/>
        <color rgb="FF1F2A28"/>
        <rFont val="Arial"/>
        <family val="0"/>
        <charset val="1"/>
      </rPr>
      <t xml:space="preserve">6</t>
    </r>
    <r>
      <rPr>
        <sz val="10"/>
        <color rgb="FF1F2A28"/>
        <rFont val="WenQuanYi Zen Hei"/>
        <family val="2"/>
      </rPr>
      <t xml:space="preserve">、</t>
    </r>
    <r>
      <rPr>
        <sz val="10"/>
        <color rgb="FF1F2A28"/>
        <rFont val="Arial"/>
        <family val="0"/>
        <charset val="1"/>
      </rPr>
      <t xml:space="preserve">9</t>
    </r>
    <r>
      <rPr>
        <sz val="10"/>
        <color rgb="FF1F2A28"/>
        <rFont val="WenQuanYi Zen Hei"/>
        <family val="2"/>
      </rPr>
      <t xml:space="preserve">室</t>
    </r>
  </si>
  <si>
    <t xml:space="preserve">04-22253111</t>
  </si>
  <si>
    <t xml:space="preserve">1981-11-23</t>
  </si>
  <si>
    <t xml:space="preserve">鄭根陣</t>
  </si>
  <si>
    <t xml:space="preserve">臺中市私立斯普林美語美術珠心算短期補習班</t>
  </si>
  <si>
    <r>
      <rPr>
        <sz val="10"/>
        <color rgb="FF1F2A28"/>
        <rFont val="Arial"/>
        <family val="0"/>
        <charset val="1"/>
      </rPr>
      <t xml:space="preserve">402</t>
    </r>
    <r>
      <rPr>
        <sz val="10"/>
        <color rgb="FF1F2A28"/>
        <rFont val="WenQuanYi Zen Hei"/>
        <family val="2"/>
      </rPr>
      <t xml:space="preserve">臺中市南區五權南路</t>
    </r>
    <r>
      <rPr>
        <sz val="10"/>
        <color rgb="FF1F2A28"/>
        <rFont val="Arial"/>
        <family val="0"/>
        <charset val="1"/>
      </rPr>
      <t xml:space="preserve">661-1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</si>
  <si>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(04)22614346</t>
  </si>
  <si>
    <t xml:space="preserve">bigapple618@yahoo.com.tw</t>
  </si>
  <si>
    <r>
      <rPr>
        <sz val="10"/>
        <color rgb="FF1F2A28"/>
        <rFont val="WenQuanYi Zen Hei"/>
        <family val="2"/>
      </rPr>
      <t xml:space="preserve">美語</t>
    </r>
    <r>
      <rPr>
        <sz val="10"/>
        <color rgb="FF1F2A28"/>
        <rFont val="Arial"/>
        <family val="0"/>
        <charset val="1"/>
      </rPr>
      <t xml:space="preserve">41.64</t>
    </r>
  </si>
  <si>
    <t xml:space="preserve">2009-09-09</t>
  </si>
  <si>
    <t xml:space="preserve">張國鈞</t>
  </si>
  <si>
    <t xml:space="preserve">黃美淩</t>
  </si>
  <si>
    <t xml:space="preserve">臺中市私立新康乃爾英語會話短期補習班</t>
  </si>
  <si>
    <r>
      <rPr>
        <sz val="10"/>
        <color rgb="FF1F2A28"/>
        <rFont val="Arial"/>
        <family val="0"/>
        <charset val="1"/>
      </rPr>
      <t xml:space="preserve">402</t>
    </r>
    <r>
      <rPr>
        <sz val="10"/>
        <color rgb="FF1F2A28"/>
        <rFont val="WenQuanYi Zen Hei"/>
        <family val="2"/>
      </rPr>
      <t xml:space="preserve">臺中市南區國光路</t>
    </r>
    <r>
      <rPr>
        <sz val="10"/>
        <color rgb="FF1F2A28"/>
        <rFont val="Arial"/>
        <family val="0"/>
        <charset val="1"/>
      </rPr>
      <t xml:space="preserve">218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</si>
  <si>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04-22833018</t>
  </si>
  <si>
    <t xml:space="preserve">1992-12-10</t>
  </si>
  <si>
    <t xml:space="preserve">林芷芸</t>
  </si>
  <si>
    <t xml:space="preserve">臺中市私立牛噸英日語短期補習班</t>
  </si>
  <si>
    <r>
      <rPr>
        <sz val="10"/>
        <color rgb="FF1F2A28"/>
        <rFont val="Arial"/>
        <family val="0"/>
        <charset val="1"/>
      </rPr>
      <t xml:space="preserve">403</t>
    </r>
    <r>
      <rPr>
        <sz val="10"/>
        <color rgb="FF1F2A28"/>
        <rFont val="WenQuanYi Zen Hei"/>
        <family val="2"/>
      </rPr>
      <t xml:space="preserve">台中市西區博館三街</t>
    </r>
    <r>
      <rPr>
        <sz val="10"/>
        <color rgb="FF1F2A28"/>
        <rFont val="Arial"/>
        <family val="0"/>
        <charset val="1"/>
      </rPr>
      <t xml:space="preserve">86</t>
    </r>
    <r>
      <rPr>
        <sz val="10"/>
        <color rgb="FF1F2A28"/>
        <rFont val="WenQuanYi Zen Hei"/>
        <family val="2"/>
      </rPr>
      <t xml:space="preserve">號</t>
    </r>
    <r>
      <rPr>
        <sz val="10"/>
        <color rgb="FF1F2A28"/>
        <rFont val="Arial"/>
        <family val="0"/>
        <charset val="1"/>
      </rPr>
      <t xml:space="preserve">4-5</t>
    </r>
    <r>
      <rPr>
        <sz val="10"/>
        <color rgb="FF1F2A28"/>
        <rFont val="WenQuanYi Zen Hei"/>
        <family val="2"/>
      </rPr>
      <t xml:space="preserve">樓</t>
    </r>
  </si>
  <si>
    <t xml:space="preserve">(04)23222256</t>
  </si>
  <si>
    <t xml:space="preserve">dobby.hsu@neac.com.tw</t>
  </si>
  <si>
    <t xml:space="preserve">2004-11-22</t>
  </si>
  <si>
    <t xml:space="preserve">范庭王兪</t>
  </si>
  <si>
    <t xml:space="preserve">王琇娟</t>
  </si>
  <si>
    <t xml:space="preserve">臺中市私立瑞比特美語短期補習班</t>
  </si>
  <si>
    <r>
      <rPr>
        <sz val="10"/>
        <color rgb="FF1F2A28"/>
        <rFont val="Arial"/>
        <family val="0"/>
        <charset val="1"/>
      </rPr>
      <t xml:space="preserve">404</t>
    </r>
    <r>
      <rPr>
        <sz val="10"/>
        <color rgb="FF1F2A28"/>
        <rFont val="WenQuanYi Zen Hei"/>
        <family val="2"/>
      </rPr>
      <t xml:space="preserve">台中市北區雙十路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40</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1-3F</t>
    </r>
  </si>
  <si>
    <t xml:space="preserve">(04)22388963</t>
  </si>
  <si>
    <t xml:space="preserve">2004-11-17</t>
  </si>
  <si>
    <t xml:space="preserve">黃貞菱</t>
  </si>
  <si>
    <t xml:space="preserve">臺中市私立祥意文理短期補習班</t>
  </si>
  <si>
    <r>
      <rPr>
        <sz val="10"/>
        <color rgb="FF1F2A28"/>
        <rFont val="Arial"/>
        <family val="0"/>
        <charset val="1"/>
      </rPr>
      <t xml:space="preserve">403</t>
    </r>
    <r>
      <rPr>
        <sz val="10"/>
        <color rgb="FF1F2A28"/>
        <rFont val="WenQuanYi Zen Hei"/>
        <family val="2"/>
      </rPr>
      <t xml:space="preserve">台中市西區五權七街</t>
    </r>
    <r>
      <rPr>
        <sz val="10"/>
        <color rgb="FF1F2A28"/>
        <rFont val="Arial"/>
        <family val="0"/>
        <charset val="1"/>
      </rPr>
      <t xml:space="preserve">130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</si>
  <si>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04-23715666</t>
  </si>
  <si>
    <t xml:space="preserve">k2k.mpm@msa.hinet.net</t>
  </si>
  <si>
    <r>
      <rPr>
        <sz val="10"/>
        <color rgb="FF1F2A28"/>
        <rFont val="WenQuanYi Zen Hei"/>
        <family val="2"/>
      </rPr>
      <t xml:space="preserve">美語</t>
    </r>
    <r>
      <rPr>
        <sz val="10"/>
        <color rgb="FF1F2A28"/>
        <rFont val="Arial"/>
        <family val="0"/>
        <charset val="1"/>
      </rPr>
      <t xml:space="preserve">7</t>
    </r>
    <r>
      <rPr>
        <sz val="10"/>
        <color rgb="FF1F2A28"/>
        <rFont val="WenQuanYi Zen Hei"/>
        <family val="2"/>
      </rPr>
      <t xml:space="preserve">小時、家庭作業寫作</t>
    </r>
    <r>
      <rPr>
        <sz val="10"/>
        <color rgb="FF1F2A28"/>
        <rFont val="Arial"/>
        <family val="0"/>
        <charset val="1"/>
      </rPr>
      <t xml:space="preserve">5</t>
    </r>
    <r>
      <rPr>
        <sz val="10"/>
        <color rgb="FF1F2A28"/>
        <rFont val="WenQuanYi Zen Hei"/>
        <family val="2"/>
      </rPr>
      <t xml:space="preserve">小時</t>
    </r>
  </si>
  <si>
    <t xml:space="preserve">2002-09-25</t>
  </si>
  <si>
    <t xml:space="preserve">張倫振</t>
  </si>
  <si>
    <t xml:space="preserve">邱稜鈞</t>
  </si>
  <si>
    <t xml:space="preserve">臺中市私立秦典文理短期補習班</t>
  </si>
  <si>
    <r>
      <rPr>
        <sz val="10"/>
        <color rgb="FF1F2A28"/>
        <rFont val="Arial"/>
        <family val="0"/>
        <charset val="1"/>
      </rPr>
      <t xml:space="preserve">406</t>
    </r>
    <r>
      <rPr>
        <sz val="10"/>
        <color rgb="FF1F2A28"/>
        <rFont val="WenQuanYi Zen Hei"/>
        <family val="2"/>
      </rPr>
      <t xml:space="preserve">台中市北屯區平德路</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</si>
  <si>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(04)22992090</t>
  </si>
  <si>
    <r>
      <rPr>
        <sz val="10"/>
        <color rgb="FF1F2A28"/>
        <rFont val="WenQuanYi Zen Hei"/>
        <family val="2"/>
      </rPr>
      <t xml:space="preserve">美語</t>
    </r>
    <r>
      <rPr>
        <sz val="10"/>
        <color rgb="FF1F2A28"/>
        <rFont val="Arial"/>
        <family val="0"/>
        <charset val="1"/>
      </rPr>
      <t xml:space="preserve">15.21</t>
    </r>
  </si>
  <si>
    <t xml:space="preserve">江慶昱</t>
  </si>
  <si>
    <t xml:space="preserve">臺中市私立米達美語短期補習班</t>
  </si>
  <si>
    <r>
      <rPr>
        <sz val="10"/>
        <color rgb="FF1F2A28"/>
        <rFont val="Arial"/>
        <family val="0"/>
        <charset val="1"/>
      </rPr>
      <t xml:space="preserve">403</t>
    </r>
    <r>
      <rPr>
        <sz val="10"/>
        <color rgb="FF1F2A28"/>
        <rFont val="WenQuanYi Zen Hei"/>
        <family val="2"/>
      </rPr>
      <t xml:space="preserve">台中市西區忠明路</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</si>
  <si>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(04)23155132</t>
  </si>
  <si>
    <t xml:space="preserve">羅時光</t>
  </si>
  <si>
    <t xml:space="preserve">臺中市私立艾莉英語會話短期補習班</t>
  </si>
  <si>
    <r>
      <rPr>
        <sz val="10"/>
        <color rgb="FF1F2A28"/>
        <rFont val="Arial"/>
        <family val="0"/>
        <charset val="1"/>
      </rPr>
      <t xml:space="preserve">402</t>
    </r>
    <r>
      <rPr>
        <sz val="10"/>
        <color rgb="FF1F2A28"/>
        <rFont val="WenQuanYi Zen Hei"/>
        <family val="2"/>
      </rPr>
      <t xml:space="preserve">臺中市南區國光路</t>
    </r>
    <r>
      <rPr>
        <sz val="10"/>
        <color rgb="FF1F2A28"/>
        <rFont val="Arial"/>
        <family val="0"/>
        <charset val="1"/>
      </rPr>
      <t xml:space="preserve">212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</si>
  <si>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(04)22857749</t>
  </si>
  <si>
    <t xml:space="preserve">italkenglish@gmail.com</t>
  </si>
  <si>
    <t xml:space="preserve">林美智</t>
  </si>
  <si>
    <t xml:space="preserve">臺中市私立華格納文理短期補習班</t>
  </si>
  <si>
    <r>
      <rPr>
        <sz val="10"/>
        <color rgb="FF1F2A28"/>
        <rFont val="Arial"/>
        <family val="0"/>
        <charset val="1"/>
      </rPr>
      <t xml:space="preserve">403</t>
    </r>
    <r>
      <rPr>
        <sz val="10"/>
        <color rgb="FF1F2A28"/>
        <rFont val="WenQuanYi Zen Hei"/>
        <family val="2"/>
      </rPr>
      <t xml:space="preserve">台中市西區公益路</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</si>
  <si>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(04)23197118</t>
  </si>
  <si>
    <t xml:space="preserve">chiu_mei_line@yahoo.com.tw</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</si>
  <si>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、美語</t>
    </r>
    <r>
      <rPr>
        <sz val="10"/>
        <color rgb="FF1F2A28"/>
        <rFont val="Arial"/>
        <family val="0"/>
        <charset val="1"/>
      </rPr>
      <t xml:space="preserve">B</t>
    </r>
    <r>
      <rPr>
        <sz val="10"/>
        <color rgb="FF1F2A28"/>
        <rFont val="WenQuanYi Zen Hei"/>
        <family val="2"/>
      </rPr>
      <t xml:space="preserve">、美語</t>
    </r>
    <r>
      <rPr>
        <sz val="10"/>
        <color rgb="FF1F2A28"/>
        <rFont val="Arial"/>
        <family val="0"/>
        <charset val="1"/>
      </rPr>
      <t xml:space="preserve">C</t>
    </r>
    <r>
      <rPr>
        <sz val="10"/>
        <color rgb="FF1F2A28"/>
        <rFont val="WenQuanYi Zen Hei"/>
        <family val="2"/>
      </rPr>
      <t xml:space="preserve">、美語</t>
    </r>
    <r>
      <rPr>
        <sz val="10"/>
        <color rgb="FF1F2A28"/>
        <rFont val="Arial"/>
        <family val="0"/>
        <charset val="1"/>
      </rPr>
      <t xml:space="preserve">D</t>
    </r>
  </si>
  <si>
    <t xml:space="preserve">2005-03-22</t>
  </si>
  <si>
    <t xml:space="preserve">陳忠華</t>
  </si>
  <si>
    <t xml:space="preserve">陳易宣</t>
  </si>
  <si>
    <t xml:space="preserve">臺中市私立萬翔航空英日語會話短期補習班</t>
  </si>
  <si>
    <r>
      <rPr>
        <sz val="10"/>
        <color rgb="FF1F2A28"/>
        <rFont val="Arial"/>
        <family val="0"/>
        <charset val="1"/>
      </rPr>
      <t xml:space="preserve">404</t>
    </r>
    <r>
      <rPr>
        <sz val="10"/>
        <color rgb="FF1F2A28"/>
        <rFont val="WenQuanYi Zen Hei"/>
        <family val="2"/>
      </rPr>
      <t xml:space="preserve">台中市北區三民路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52</t>
    </r>
    <r>
      <rPr>
        <sz val="10"/>
        <color rgb="FF1F2A28"/>
        <rFont val="WenQuanYi Zen Hei"/>
        <family val="2"/>
      </rPr>
      <t xml:space="preserve">之</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</si>
  <si>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04-22272040</t>
  </si>
  <si>
    <t xml:space="preserve">wanhsyan1998@gmail.com</t>
  </si>
  <si>
    <r>
      <rPr>
        <sz val="10"/>
        <color rgb="FF1F2A28"/>
        <rFont val="WenQuanYi Zen Hei"/>
        <family val="2"/>
      </rPr>
      <t xml:space="preserve">英語</t>
    </r>
    <r>
      <rPr>
        <sz val="10"/>
        <color rgb="FF1F2A28"/>
        <rFont val="Arial"/>
        <family val="0"/>
        <charset val="1"/>
      </rPr>
      <t xml:space="preserve">50.82</t>
    </r>
  </si>
  <si>
    <t xml:space="preserve">吳學宇</t>
  </si>
  <si>
    <t xml:space="preserve">臺中市私立蒙芽國際文化美語技藝短期補習班</t>
  </si>
  <si>
    <r>
      <rPr>
        <sz val="10"/>
        <color rgb="FF1F2A28"/>
        <rFont val="Arial"/>
        <family val="0"/>
        <charset val="1"/>
      </rPr>
      <t xml:space="preserve">403</t>
    </r>
    <r>
      <rPr>
        <sz val="10"/>
        <color rgb="FF1F2A28"/>
        <rFont val="WenQuanYi Zen Hei"/>
        <family val="2"/>
      </rPr>
      <t xml:space="preserve">台中市西區中興街</t>
    </r>
    <r>
      <rPr>
        <sz val="10"/>
        <color rgb="FF1F2A28"/>
        <rFont val="Arial"/>
        <family val="0"/>
        <charset val="1"/>
      </rPr>
      <t xml:space="preserve">183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</si>
  <si>
    <t xml:space="preserve">0423011367</t>
  </si>
  <si>
    <r>
      <rPr>
        <sz val="10"/>
        <color rgb="FF1F2A28"/>
        <rFont val="WenQuanYi Zen Hei"/>
        <family val="2"/>
      </rPr>
      <t xml:space="preserve">美語</t>
    </r>
    <r>
      <rPr>
        <sz val="10"/>
        <color rgb="FF1F2A28"/>
        <rFont val="Arial"/>
        <family val="0"/>
        <charset val="1"/>
      </rPr>
      <t xml:space="preserve">27.89</t>
    </r>
  </si>
  <si>
    <t xml:space="preserve">2010-11-26</t>
  </si>
  <si>
    <t xml:space="preserve">方詩欣</t>
  </si>
  <si>
    <t xml:space="preserve">臺中市私立蕾迪文理短期補習班</t>
  </si>
  <si>
    <r>
      <rPr>
        <sz val="10"/>
        <color rgb="FF1F2A28"/>
        <rFont val="Arial"/>
        <family val="0"/>
        <charset val="1"/>
      </rPr>
      <t xml:space="preserve">402</t>
    </r>
    <r>
      <rPr>
        <sz val="10"/>
        <color rgb="FF1F2A28"/>
        <rFont val="WenQuanYi Zen Hei"/>
        <family val="2"/>
      </rPr>
      <t xml:space="preserve">臺中市南區國光路七巷</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</si>
  <si>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04-22263399</t>
  </si>
  <si>
    <r>
      <rPr>
        <sz val="10"/>
        <color rgb="FF1F2A28"/>
        <rFont val="WenQuanYi Zen Hei"/>
        <family val="2"/>
      </rPr>
      <t xml:space="preserve">美語</t>
    </r>
    <r>
      <rPr>
        <sz val="10"/>
        <color rgb="FF1F2A28"/>
        <rFont val="Arial"/>
        <family val="0"/>
        <charset val="1"/>
      </rPr>
      <t xml:space="preserve">8</t>
    </r>
    <r>
      <rPr>
        <sz val="10"/>
        <color rgb="FF1F2A28"/>
        <rFont val="WenQuanYi Zen Hei"/>
        <family val="2"/>
      </rPr>
      <t xml:space="preserve">小時、家庭作業寫作</t>
    </r>
    <r>
      <rPr>
        <sz val="10"/>
        <color rgb="FF1F2A28"/>
        <rFont val="Arial"/>
        <family val="0"/>
        <charset val="1"/>
      </rPr>
      <t xml:space="preserve">4</t>
    </r>
    <r>
      <rPr>
        <sz val="10"/>
        <color rgb="FF1F2A28"/>
        <rFont val="WenQuanYi Zen Hei"/>
        <family val="2"/>
      </rPr>
      <t xml:space="preserve">小時</t>
    </r>
  </si>
  <si>
    <t xml:space="preserve">2003-05-27</t>
  </si>
  <si>
    <t xml:space="preserve">高惠玉</t>
  </si>
  <si>
    <t xml:space="preserve">黃品惠</t>
  </si>
  <si>
    <t xml:space="preserve">臺中市私立西雅圖美語短期補習班</t>
  </si>
  <si>
    <r>
      <rPr>
        <sz val="10"/>
        <color rgb="FF1F2A28"/>
        <rFont val="Arial"/>
        <family val="0"/>
        <charset val="1"/>
      </rPr>
      <t xml:space="preserve">402</t>
    </r>
    <r>
      <rPr>
        <sz val="10"/>
        <color rgb="FF1F2A28"/>
        <rFont val="WenQuanYi Zen Hei"/>
        <family val="2"/>
      </rPr>
      <t xml:space="preserve">臺中市南區南昌街</t>
    </r>
    <r>
      <rPr>
        <sz val="10"/>
        <color rgb="FF1F2A28"/>
        <rFont val="Arial"/>
        <family val="0"/>
        <charset val="1"/>
      </rPr>
      <t xml:space="preserve">55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</si>
  <si>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(04)22635789</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</si>
  <si>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班</t>
    </r>
    <r>
      <rPr>
        <sz val="10"/>
        <color rgb="FF1F2A28"/>
        <rFont val="Arial"/>
        <family val="0"/>
        <charset val="1"/>
      </rPr>
      <t xml:space="preserve">36.48</t>
    </r>
    <r>
      <rPr>
        <sz val="10"/>
        <color rgb="FF1F2A28"/>
        <rFont val="WenQuanYi Zen Hei"/>
        <family val="2"/>
      </rPr>
      <t xml:space="preserve">、美語</t>
    </r>
    <r>
      <rPr>
        <sz val="10"/>
        <color rgb="FF1F2A28"/>
        <rFont val="Arial"/>
        <family val="0"/>
        <charset val="1"/>
      </rPr>
      <t xml:space="preserve">B</t>
    </r>
    <r>
      <rPr>
        <sz val="10"/>
        <color rgb="FF1F2A28"/>
        <rFont val="WenQuanYi Zen Hei"/>
        <family val="2"/>
      </rPr>
      <t xml:space="preserve">班</t>
    </r>
    <r>
      <rPr>
        <sz val="10"/>
        <color rgb="FF1F2A28"/>
        <rFont val="Arial"/>
        <family val="0"/>
        <charset val="1"/>
      </rPr>
      <t xml:space="preserve">36.22</t>
    </r>
  </si>
  <si>
    <t xml:space="preserve">王超敏</t>
  </si>
  <si>
    <t xml:space="preserve">張瓊文</t>
  </si>
  <si>
    <t xml:space="preserve">臺中市私立馬禮蘭美語會話短期補習班</t>
  </si>
  <si>
    <r>
      <rPr>
        <sz val="10"/>
        <color rgb="FF1F2A28"/>
        <rFont val="Arial"/>
        <family val="0"/>
        <charset val="1"/>
      </rPr>
      <t xml:space="preserve">404</t>
    </r>
    <r>
      <rPr>
        <sz val="10"/>
        <color rgb="FF1F2A28"/>
        <rFont val="WenQuanYi Zen Hei"/>
        <family val="2"/>
      </rPr>
      <t xml:space="preserve">台中市北區太原路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</si>
  <si>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04-22082430</t>
  </si>
  <si>
    <t xml:space="preserve">oakland2430@gmail.com</t>
  </si>
  <si>
    <t xml:space="preserve">何家麟</t>
  </si>
  <si>
    <t xml:space="preserve">江佩娟</t>
  </si>
  <si>
    <t xml:space="preserve">臺中市私立馬禮蘭美語會話短期補習班梅川分班</t>
  </si>
  <si>
    <r>
      <rPr>
        <sz val="10"/>
        <color rgb="FF1F2A28"/>
        <rFont val="Arial"/>
        <family val="0"/>
        <charset val="1"/>
      </rPr>
      <t xml:space="preserve">406</t>
    </r>
    <r>
      <rPr>
        <sz val="10"/>
        <color rgb="FF1F2A28"/>
        <rFont val="WenQuanYi Zen Hei"/>
        <family val="2"/>
      </rPr>
      <t xml:space="preserve">台中市北屯區梅川東路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486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</si>
  <si>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(04)24212430</t>
  </si>
  <si>
    <t xml:space="preserve">silvia.0907@gmail.com</t>
  </si>
  <si>
    <t xml:space="preserve">2004-10-22</t>
  </si>
  <si>
    <t xml:space="preserve">英塔克留遊學諮詢顧問有限公司附設臺中市私立大英國協英語短期補習班</t>
  </si>
  <si>
    <r>
      <rPr>
        <sz val="10"/>
        <color rgb="FF1F2A28"/>
        <rFont val="Arial"/>
        <family val="0"/>
        <charset val="1"/>
      </rPr>
      <t xml:space="preserve">408</t>
    </r>
    <r>
      <rPr>
        <sz val="10"/>
        <color rgb="FF1F2A28"/>
        <rFont val="WenQuanYi Zen Hei"/>
        <family val="2"/>
      </rPr>
      <t xml:space="preserve">台中市南屯區文心路一段</t>
    </r>
    <r>
      <rPr>
        <sz val="10"/>
        <color rgb="FF1F2A28"/>
        <rFont val="Arial"/>
        <family val="0"/>
        <charset val="1"/>
      </rPr>
      <t xml:space="preserve">378</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7</t>
    </r>
  </si>
  <si>
    <t xml:space="preserve">(04)23285946</t>
  </si>
  <si>
    <t xml:space="preserve">diane.chen@idp.com</t>
  </si>
  <si>
    <t xml:space="preserve">蕭少晟</t>
  </si>
  <si>
    <t xml:space="preserve">簡家如</t>
  </si>
  <si>
    <t xml:space="preserve">長頸鹿文化事業股份有限公司附設臺中市私立長頸鹿美語會話短期補習班</t>
  </si>
  <si>
    <r>
      <rPr>
        <sz val="10"/>
        <color rgb="FF1F2A28"/>
        <rFont val="Arial"/>
        <family val="0"/>
        <charset val="1"/>
      </rPr>
      <t xml:space="preserve">406</t>
    </r>
    <r>
      <rPr>
        <sz val="10"/>
        <color rgb="FF1F2A28"/>
        <rFont val="WenQuanYi Zen Hei"/>
        <family val="2"/>
      </rPr>
      <t xml:space="preserve">台中市北屯區文心路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81</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樓之</t>
    </r>
    <r>
      <rPr>
        <sz val="10"/>
        <color rgb="FF1F2A28"/>
        <rFont val="Arial"/>
        <family val="0"/>
        <charset val="1"/>
      </rPr>
      <t xml:space="preserve">1</t>
    </r>
  </si>
  <si>
    <t xml:space="preserve">04-22913122</t>
  </si>
  <si>
    <t xml:space="preserve">1999-10-27</t>
  </si>
  <si>
    <t xml:space="preserve">長頸鹿文化事業股份有限公司法定代理人魏忠香</t>
  </si>
  <si>
    <t xml:space="preserve">魏淑芳</t>
  </si>
  <si>
    <t xml:space="preserve">北區</t>
  </si>
  <si>
    <t xml:space="preserve">臺中市私立廿一世紀美語短期補習班</t>
  </si>
  <si>
    <r>
      <rPr>
        <sz val="10"/>
        <color rgb="FF1F2A28"/>
        <rFont val="WenQuanYi Zen Hei"/>
        <family val="2"/>
      </rPr>
      <t xml:space="preserve">北區北平二街</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</si>
  <si>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04-22419856</t>
  </si>
  <si>
    <t xml:space="preserve">倪顯光</t>
  </si>
  <si>
    <t xml:space="preserve">南屯區</t>
  </si>
  <si>
    <t xml:space="preserve">私立碩彥文理短期補習班</t>
  </si>
  <si>
    <r>
      <rPr>
        <sz val="10"/>
        <color rgb="FF1F2A28"/>
        <rFont val="WenQuanYi Zen Hei"/>
        <family val="2"/>
      </rPr>
      <t xml:space="preserve">南屯區向上路五段</t>
    </r>
    <r>
      <rPr>
        <sz val="10"/>
        <color rgb="FF1F2A28"/>
        <rFont val="Arial"/>
        <family val="0"/>
        <charset val="1"/>
      </rPr>
      <t xml:space="preserve">70</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</si>
  <si>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(04)23808280</t>
  </si>
  <si>
    <t xml:space="preserve">shen0921375124@gmail.com</t>
  </si>
  <si>
    <t xml:space="preserve">沈彥玲</t>
  </si>
  <si>
    <t xml:space="preserve">臺中市私立華盛頓美語會話短期補習班</t>
  </si>
  <si>
    <r>
      <rPr>
        <sz val="10"/>
        <color rgb="FF1F2A28"/>
        <rFont val="WenQuanYi Zen Hei"/>
        <family val="2"/>
      </rPr>
      <t xml:space="preserve">南屯區惠中路三段</t>
    </r>
    <r>
      <rPr>
        <sz val="10"/>
        <color rgb="FF1F2A28"/>
        <rFont val="Arial"/>
        <family val="0"/>
        <charset val="1"/>
      </rPr>
      <t xml:space="preserve">92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</si>
  <si>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(04)23822170</t>
  </si>
  <si>
    <t xml:space="preserve">lingjasmin77@gmail.com</t>
  </si>
  <si>
    <t xml:space="preserve">2011-11-22</t>
  </si>
  <si>
    <t xml:space="preserve">許佳蓉</t>
  </si>
  <si>
    <t xml:space="preserve">台中市</t>
  </si>
  <si>
    <t xml:space="preserve">私立大睿電腦美語短期補習班</t>
  </si>
  <si>
    <r>
      <rPr>
        <sz val="10"/>
        <color rgb="FF1F2A28"/>
        <rFont val="WenQuanYi Zen Hei"/>
        <family val="2"/>
      </rPr>
      <t xml:space="preserve">台中市南屯區文山九街</t>
    </r>
    <r>
      <rPr>
        <sz val="10"/>
        <color rgb="FF1F2A28"/>
        <rFont val="Arial"/>
        <family val="0"/>
        <charset val="1"/>
      </rPr>
      <t xml:space="preserve">77-1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</si>
  <si>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04-23807779</t>
  </si>
  <si>
    <t xml:space="preserve">joyce@apcbox.com</t>
  </si>
  <si>
    <t xml:space="preserve">斐靜如</t>
  </si>
  <si>
    <t xml:space="preserve">私立快樂兒童英語會話珠算短期補習班</t>
  </si>
  <si>
    <r>
      <rPr>
        <sz val="10"/>
        <color rgb="FF1F2A28"/>
        <rFont val="WenQuanYi Zen Hei"/>
        <family val="2"/>
      </rPr>
      <t xml:space="preserve">台中市南屯區黎明路一段</t>
    </r>
    <r>
      <rPr>
        <sz val="10"/>
        <color rgb="FF1F2A28"/>
        <rFont val="Arial"/>
        <family val="0"/>
        <charset val="1"/>
      </rPr>
      <t xml:space="preserve">1112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r>
      <rPr>
        <sz val="10"/>
        <color rgb="FF1F2A28"/>
        <rFont val="Arial"/>
        <family val="0"/>
        <charset val="1"/>
      </rPr>
      <t xml:space="preserve">1114</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</si>
  <si>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04-23812012</t>
  </si>
  <si>
    <t xml:space="preserve">jerrylin@happyjoy.com.tw</t>
  </si>
  <si>
    <t xml:space="preserve">1993-03-01</t>
  </si>
  <si>
    <t xml:space="preserve">林仁淯</t>
  </si>
  <si>
    <t xml:space="preserve">私立漢昇美語會話短期補習班</t>
  </si>
  <si>
    <r>
      <rPr>
        <sz val="10"/>
        <color rgb="FF1F2A28"/>
        <rFont val="WenQuanYi Zen Hei"/>
        <family val="2"/>
      </rPr>
      <t xml:space="preserve">台中市南屯區東興路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665</t>
    </r>
    <r>
      <rPr>
        <sz val="10"/>
        <color rgb="FF1F2A28"/>
        <rFont val="WenQuanYi Zen Hei"/>
        <family val="2"/>
      </rPr>
      <t xml:space="preserve">巷</t>
    </r>
    <r>
      <rPr>
        <sz val="10"/>
        <color rgb="FF1F2A28"/>
        <rFont val="Arial"/>
        <family val="0"/>
        <charset val="1"/>
      </rPr>
      <t xml:space="preserve">68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</si>
  <si>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(04)24758578</t>
  </si>
  <si>
    <r>
      <rPr>
        <sz val="10"/>
        <color rgb="FF1F2A28"/>
        <rFont val="WenQuanYi Zen Hei"/>
        <family val="2"/>
      </rPr>
      <t xml:space="preserve">美語</t>
    </r>
    <r>
      <rPr>
        <sz val="10"/>
        <color rgb="FF1F2A28"/>
        <rFont val="Arial"/>
        <family val="0"/>
        <charset val="1"/>
      </rPr>
      <t xml:space="preserve">25.675</t>
    </r>
    <r>
      <rPr>
        <sz val="10"/>
        <color rgb="FF1F2A28"/>
        <rFont val="WenQuanYi Zen Hei"/>
        <family val="2"/>
      </rPr>
      <t xml:space="preserve">、美語</t>
    </r>
    <r>
      <rPr>
        <sz val="10"/>
        <color rgb="FF1F2A28"/>
        <rFont val="Arial"/>
        <family val="0"/>
        <charset val="1"/>
      </rPr>
      <t xml:space="preserve">16.490</t>
    </r>
    <r>
      <rPr>
        <sz val="10"/>
        <color rgb="FF1F2A28"/>
        <rFont val="WenQuanYi Zen Hei"/>
        <family val="2"/>
      </rPr>
      <t xml:space="preserve">、美語</t>
    </r>
    <r>
      <rPr>
        <sz val="10"/>
        <color rgb="FF1F2A28"/>
        <rFont val="Arial"/>
        <family val="0"/>
        <charset val="1"/>
      </rPr>
      <t xml:space="preserve">21.420</t>
    </r>
    <r>
      <rPr>
        <sz val="10"/>
        <color rgb="FF1F2A28"/>
        <rFont val="WenQuanYi Zen Hei"/>
        <family val="2"/>
      </rPr>
      <t xml:space="preserve">、美語</t>
    </r>
    <r>
      <rPr>
        <sz val="10"/>
        <color rgb="FF1F2A28"/>
        <rFont val="Arial"/>
        <family val="0"/>
        <charset val="1"/>
      </rPr>
      <t xml:space="preserve">25.980</t>
    </r>
  </si>
  <si>
    <t xml:space="preserve">2006-05-09</t>
  </si>
  <si>
    <t xml:space="preserve">陳太華</t>
  </si>
  <si>
    <t xml:space="preserve">臺中市私立冠威美語短期補習班</t>
  </si>
  <si>
    <r>
      <rPr>
        <sz val="10"/>
        <color rgb="FF1F2A28"/>
        <rFont val="WenQuanYi Zen Hei"/>
        <family val="2"/>
      </rPr>
      <t xml:space="preserve">台中市南屯區永春東路</t>
    </r>
    <r>
      <rPr>
        <sz val="10"/>
        <color rgb="FF1F2A28"/>
        <rFont val="Arial"/>
        <family val="0"/>
        <charset val="1"/>
      </rPr>
      <t xml:space="preserve">351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樓、夾層、</t>
    </r>
    <r>
      <rPr>
        <sz val="10"/>
        <color rgb="FF1F2A28"/>
        <rFont val="Arial"/>
        <family val="0"/>
        <charset val="1"/>
      </rPr>
      <t xml:space="preserve">2</t>
    </r>
    <r>
      <rPr>
        <sz val="10"/>
        <color rgb="FF1F2A28"/>
        <rFont val="WenQuanYi Zen Hei"/>
        <family val="2"/>
      </rPr>
      <t xml:space="preserve">樓</t>
    </r>
  </si>
  <si>
    <t xml:space="preserve">(04)24722191</t>
  </si>
  <si>
    <t xml:space="preserve">tone0106@gmail.com</t>
  </si>
  <si>
    <t xml:space="preserve">2011-09-05</t>
  </si>
  <si>
    <t xml:space="preserve">卓能通</t>
  </si>
  <si>
    <t xml:space="preserve">臺中市私立凱洛文理短期補習班</t>
  </si>
  <si>
    <r>
      <rPr>
        <sz val="10"/>
        <color rgb="FF1F2A28"/>
        <rFont val="WenQuanYi Zen Hei"/>
        <family val="2"/>
      </rPr>
      <t xml:space="preserve">台中市清水區中清路</t>
    </r>
    <r>
      <rPr>
        <sz val="10"/>
        <color rgb="FF1F2A28"/>
        <rFont val="Arial"/>
        <family val="0"/>
        <charset val="1"/>
      </rPr>
      <t xml:space="preserve">9</t>
    </r>
    <r>
      <rPr>
        <sz val="10"/>
        <color rgb="FF1F2A28"/>
        <rFont val="WenQuanYi Zen Hei"/>
        <family val="2"/>
      </rPr>
      <t xml:space="preserve">段</t>
    </r>
    <r>
      <rPr>
        <sz val="10"/>
        <color rgb="FF1F2A28"/>
        <rFont val="Arial"/>
        <family val="0"/>
        <charset val="1"/>
      </rPr>
      <t xml:space="preserve">872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</si>
  <si>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(04)26281377</t>
  </si>
  <si>
    <t xml:space="preserve">carolyan25@yahoo.com.tw</t>
  </si>
  <si>
    <t xml:space="preserve">2005-06-09</t>
  </si>
  <si>
    <t xml:space="preserve">許毓書</t>
  </si>
  <si>
    <t xml:space="preserve">台中市北區</t>
  </si>
  <si>
    <t xml:space="preserve">愛格特有限公司附設臺中市私立愛格特英語短期補習班賴厝分班</t>
  </si>
  <si>
    <r>
      <rPr>
        <sz val="10"/>
        <color rgb="FF1F2A28"/>
        <rFont val="WenQuanYi Zen Hei"/>
        <family val="2"/>
      </rPr>
      <t xml:space="preserve">台中市北區梅川西路三段</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</si>
  <si>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04-22991882</t>
  </si>
  <si>
    <t xml:space="preserve">ddd90960951@gmail.com</t>
  </si>
  <si>
    <r>
      <rPr>
        <sz val="10"/>
        <color rgb="FF1F2A28"/>
        <rFont val="WenQuanYi Zen Hei"/>
        <family val="2"/>
      </rPr>
      <t xml:space="preserve">英語</t>
    </r>
    <r>
      <rPr>
        <sz val="10"/>
        <color rgb="FF1F2A28"/>
        <rFont val="Arial"/>
        <family val="0"/>
        <charset val="1"/>
      </rPr>
      <t xml:space="preserve">A</t>
    </r>
    <r>
      <rPr>
        <sz val="10"/>
        <color rgb="FF1F2A28"/>
        <rFont val="WenQuanYi Zen Hei"/>
        <family val="2"/>
      </rPr>
      <t xml:space="preserve">班、英語</t>
    </r>
    <r>
      <rPr>
        <sz val="10"/>
        <color rgb="FF1F2A28"/>
        <rFont val="Arial"/>
        <family val="0"/>
        <charset val="1"/>
      </rPr>
      <t xml:space="preserve">C</t>
    </r>
    <r>
      <rPr>
        <sz val="10"/>
        <color rgb="FF1F2A28"/>
        <rFont val="WenQuanYi Zen Hei"/>
        <family val="2"/>
      </rPr>
      <t xml:space="preserve">班、英語</t>
    </r>
    <r>
      <rPr>
        <sz val="10"/>
        <color rgb="FF1F2A28"/>
        <rFont val="Arial"/>
        <family val="0"/>
        <charset val="1"/>
      </rPr>
      <t xml:space="preserve">B</t>
    </r>
    <r>
      <rPr>
        <sz val="10"/>
        <color rgb="FF1F2A28"/>
        <rFont val="WenQuanYi Zen Hei"/>
        <family val="2"/>
      </rPr>
      <t xml:space="preserve">班</t>
    </r>
  </si>
  <si>
    <t xml:space="preserve">許庭瑋</t>
  </si>
  <si>
    <t xml:space="preserve">大甲區</t>
  </si>
  <si>
    <t xml:space="preserve">臺中市私立昱恩美語短期補習班</t>
  </si>
  <si>
    <r>
      <rPr>
        <sz val="10"/>
        <color rgb="FF1F2A28"/>
        <rFont val="WenQuanYi Zen Hei"/>
        <family val="2"/>
      </rPr>
      <t xml:space="preserve">大甲區慈德路</t>
    </r>
    <r>
      <rPr>
        <sz val="10"/>
        <color rgb="FF1F2A28"/>
        <rFont val="Arial"/>
        <family val="0"/>
        <charset val="1"/>
      </rPr>
      <t xml:space="preserve">121</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</si>
  <si>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(04)2682-2819</t>
  </si>
  <si>
    <t xml:space="preserve">2008-05-23</t>
  </si>
  <si>
    <t xml:space="preserve">吳國逞</t>
  </si>
  <si>
    <t xml:space="preserve">花旗英語文教事業有限公司附設臺中市私立花旗文理技藝短期補習班</t>
  </si>
  <si>
    <r>
      <rPr>
        <sz val="10"/>
        <color rgb="FF1F2A28"/>
        <rFont val="WenQuanYi Zen Hei"/>
        <family val="2"/>
      </rPr>
      <t xml:space="preserve">大甲區蔣公路</t>
    </r>
    <r>
      <rPr>
        <sz val="10"/>
        <color rgb="FF1F2A28"/>
        <rFont val="Arial"/>
        <family val="0"/>
        <charset val="1"/>
      </rPr>
      <t xml:space="preserve">295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</si>
  <si>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(04)26885581</t>
  </si>
  <si>
    <t xml:space="preserve">justtina1204@mail2000.com.tw</t>
  </si>
  <si>
    <r>
      <rPr>
        <sz val="10"/>
        <color rgb="FF1F2A28"/>
        <rFont val="WenQuanYi Zen Hei"/>
        <family val="2"/>
      </rPr>
      <t xml:space="preserve">花旗英語文教事業有限公司</t>
    </r>
    <r>
      <rPr>
        <sz val="10"/>
        <color rgb="FF1F2A28"/>
        <rFont val="Arial"/>
        <family val="0"/>
        <charset val="1"/>
      </rPr>
      <t xml:space="preserve">(</t>
    </r>
    <r>
      <rPr>
        <sz val="10"/>
        <color rgb="FF1F2A28"/>
        <rFont val="WenQuanYi Zen Hei"/>
        <family val="2"/>
      </rPr>
      <t xml:space="preserve">代表人：江進玉</t>
    </r>
    <r>
      <rPr>
        <sz val="10"/>
        <color rgb="FF1F2A28"/>
        <rFont val="Arial"/>
        <family val="0"/>
        <charset val="1"/>
      </rPr>
      <t xml:space="preserve">)</t>
    </r>
  </si>
  <si>
    <t xml:space="preserve">簡月娟</t>
  </si>
  <si>
    <t xml:space="preserve">大肚區</t>
  </si>
  <si>
    <t xml:space="preserve">臺中市私立語堂美語短期補習班</t>
  </si>
  <si>
    <r>
      <rPr>
        <sz val="10"/>
        <color rgb="FF1F2A28"/>
        <rFont val="WenQuanYi Zen Hei"/>
        <family val="2"/>
      </rPr>
      <t xml:space="preserve">大肚區遊園路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108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</si>
  <si>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26915660</t>
  </si>
  <si>
    <t xml:space="preserve">melody0426915660@gmail.com</t>
  </si>
  <si>
    <t xml:space="preserve">林慧婷</t>
  </si>
  <si>
    <t xml:space="preserve">林芷菁</t>
  </si>
  <si>
    <t xml:space="preserve">大里區</t>
  </si>
  <si>
    <t xml:space="preserve">中國青年救國團臺中市團務指導委員會附設臺中市私立大屯區技藝語文短期補習班</t>
  </si>
  <si>
    <r>
      <rPr>
        <sz val="10"/>
        <color rgb="FF1F2A28"/>
        <rFont val="WenQuanYi Zen Hei"/>
        <family val="2"/>
      </rPr>
      <t xml:space="preserve">大里區爽文路</t>
    </r>
    <r>
      <rPr>
        <sz val="10"/>
        <color rgb="FF1F2A28"/>
        <rFont val="Arial"/>
        <family val="0"/>
        <charset val="1"/>
      </rPr>
      <t xml:space="preserve">596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</si>
  <si>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(04)24070270</t>
  </si>
  <si>
    <t xml:space="preserve">24070270edm@gmail.com</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</si>
  <si>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音樂、舞蹈類</t>
    </r>
  </si>
  <si>
    <t xml:space="preserve">2010-12-07</t>
  </si>
  <si>
    <t xml:space="preserve">中國青年救國團臺中市團務指導委員會、總幹事：藍涂育</t>
  </si>
  <si>
    <t xml:space="preserve">劉國平</t>
  </si>
  <si>
    <t xml:space="preserve">臺中市私立上毅美語短期補習班</t>
  </si>
  <si>
    <r>
      <rPr>
        <sz val="10"/>
        <color rgb="FF1F2A28"/>
        <rFont val="WenQuanYi Zen Hei"/>
        <family val="2"/>
      </rPr>
      <t xml:space="preserve">大里區天寶街</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</si>
  <si>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4834357</t>
  </si>
  <si>
    <t xml:space="preserve">ivan1312sm@yahoo.com.tw</t>
  </si>
  <si>
    <t xml:space="preserve">1998-04-15</t>
  </si>
  <si>
    <t xml:space="preserve">張文棟</t>
  </si>
  <si>
    <t xml:space="preserve">陳禎祥</t>
  </si>
  <si>
    <t xml:space="preserve">臺中市私立典冠文理美術短期補習班</t>
  </si>
  <si>
    <r>
      <rPr>
        <sz val="10"/>
        <color rgb="FF1F2A28"/>
        <rFont val="WenQuanYi Zen Hei"/>
        <family val="2"/>
      </rPr>
      <t xml:space="preserve">大里區美村街</t>
    </r>
    <r>
      <rPr>
        <sz val="10"/>
        <color rgb="FF1F2A28"/>
        <rFont val="Arial"/>
        <family val="0"/>
        <charset val="1"/>
      </rPr>
      <t xml:space="preserve">117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</si>
  <si>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(04)24967525</t>
  </si>
  <si>
    <t xml:space="preserve">2009-12-29</t>
  </si>
  <si>
    <t xml:space="preserve">李季瑞</t>
  </si>
  <si>
    <t xml:space="preserve">周玲慧</t>
  </si>
  <si>
    <t xml:space="preserve">臺中市私立吉佳文理短期補習班</t>
  </si>
  <si>
    <r>
      <rPr>
        <sz val="10"/>
        <color rgb="FF1F2A28"/>
        <rFont val="WenQuanYi Zen Hei"/>
        <family val="2"/>
      </rPr>
      <t xml:space="preserve">大里區東明路</t>
    </r>
    <r>
      <rPr>
        <sz val="10"/>
        <color rgb="FF1F2A28"/>
        <rFont val="Arial"/>
        <family val="0"/>
        <charset val="1"/>
      </rPr>
      <t xml:space="preserve">496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樓、永大街</t>
    </r>
    <r>
      <rPr>
        <sz val="10"/>
        <color rgb="FF1F2A28"/>
        <rFont val="Arial"/>
        <family val="0"/>
        <charset val="1"/>
      </rPr>
      <t xml:space="preserve">426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</si>
  <si>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(04)24064970</t>
  </si>
  <si>
    <t xml:space="preserve">mack526258@gmail.com</t>
  </si>
  <si>
    <t xml:space="preserve">2003-02-21</t>
  </si>
  <si>
    <t xml:space="preserve">宋玉如</t>
  </si>
  <si>
    <t xml:space="preserve">臺中市私立喬治亞英語短期補習班</t>
  </si>
  <si>
    <r>
      <rPr>
        <sz val="10"/>
        <color rgb="FF1F2A28"/>
        <rFont val="WenQuanYi Zen Hei"/>
        <family val="2"/>
      </rPr>
      <t xml:space="preserve">大里區大明路</t>
    </r>
    <r>
      <rPr>
        <sz val="10"/>
        <color rgb="FF1F2A28"/>
        <rFont val="Arial"/>
        <family val="0"/>
        <charset val="1"/>
      </rPr>
      <t xml:space="preserve">580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</si>
  <si>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24074372</t>
  </si>
  <si>
    <t xml:space="preserve">t0416775@seed.net.tw</t>
  </si>
  <si>
    <t xml:space="preserve">2000-01-28</t>
  </si>
  <si>
    <t xml:space="preserve">黃健民</t>
  </si>
  <si>
    <t xml:space="preserve">臺中市私立弘家美語會話短期補習班</t>
  </si>
  <si>
    <r>
      <rPr>
        <sz val="10"/>
        <color rgb="FF1F2A28"/>
        <rFont val="WenQuanYi Zen Hei"/>
        <family val="2"/>
      </rPr>
      <t xml:space="preserve">大里區文化街</t>
    </r>
    <r>
      <rPr>
        <sz val="10"/>
        <color rgb="FF1F2A28"/>
        <rFont val="Arial"/>
        <family val="0"/>
        <charset val="1"/>
      </rPr>
      <t xml:space="preserve">91-2</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</si>
  <si>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04-24932769</t>
  </si>
  <si>
    <t xml:space="preserve">1998-08-17</t>
  </si>
  <si>
    <t xml:space="preserve">溫東遠</t>
  </si>
  <si>
    <t xml:space="preserve">臺中市私立彩虹之約文理短期補習班</t>
  </si>
  <si>
    <r>
      <rPr>
        <sz val="10"/>
        <color rgb="FF1F2A28"/>
        <rFont val="WenQuanYi Zen Hei"/>
        <family val="2"/>
      </rPr>
      <t xml:space="preserve">大里區西榮路</t>
    </r>
    <r>
      <rPr>
        <sz val="10"/>
        <color rgb="FF1F2A28"/>
        <rFont val="Arial"/>
        <family val="0"/>
        <charset val="1"/>
      </rPr>
      <t xml:space="preserve">242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</si>
  <si>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(04)24872462</t>
  </si>
  <si>
    <t xml:space="preserve">2007-11-05</t>
  </si>
  <si>
    <t xml:space="preserve">江聖芳</t>
  </si>
  <si>
    <t xml:space="preserve">臺中市私立棒棒糖美語會話短期補習班</t>
  </si>
  <si>
    <r>
      <rPr>
        <sz val="10"/>
        <color rgb="FF1F2A28"/>
        <rFont val="WenQuanYi Zen Hei"/>
        <family val="2"/>
      </rPr>
      <t xml:space="preserve">大里區新南路</t>
    </r>
    <r>
      <rPr>
        <sz val="10"/>
        <color rgb="FF1F2A28"/>
        <rFont val="Arial"/>
        <family val="0"/>
        <charset val="1"/>
      </rPr>
      <t xml:space="preserve">126</t>
    </r>
    <r>
      <rPr>
        <sz val="10"/>
        <color rgb="FF1F2A28"/>
        <rFont val="WenQuanYi Zen Hei"/>
        <family val="2"/>
      </rPr>
      <t xml:space="preserve">、</t>
    </r>
    <r>
      <rPr>
        <sz val="10"/>
        <color rgb="FF1F2A28"/>
        <rFont val="Arial"/>
        <family val="0"/>
        <charset val="1"/>
      </rPr>
      <t xml:space="preserve">128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</si>
  <si>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04-24818188</t>
  </si>
  <si>
    <t xml:space="preserve">劉雅禎</t>
  </si>
  <si>
    <t xml:space="preserve">臺中市私立極限翻轉學院文理電腦短期補習班</t>
  </si>
  <si>
    <r>
      <rPr>
        <sz val="10"/>
        <color rgb="FF1F2A28"/>
        <rFont val="WenQuanYi Zen Hei"/>
        <family val="2"/>
      </rPr>
      <t xml:space="preserve">大里區新南路</t>
    </r>
    <r>
      <rPr>
        <sz val="10"/>
        <color rgb="FF1F2A28"/>
        <rFont val="Arial"/>
        <family val="0"/>
        <charset val="1"/>
      </rPr>
      <t xml:space="preserve">176-1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</si>
  <si>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(04)2483-5672</t>
  </si>
  <si>
    <t xml:space="preserve">phd9512@cs.nchu.edu.tw</t>
  </si>
  <si>
    <t xml:space="preserve">2020-10-13</t>
  </si>
  <si>
    <t xml:space="preserve">賴秉樑</t>
  </si>
  <si>
    <t xml:space="preserve">臺中市私立比爾美語短期補習班</t>
  </si>
  <si>
    <r>
      <rPr>
        <sz val="10"/>
        <color rgb="FF1F2A28"/>
        <rFont val="WenQuanYi Zen Hei"/>
        <family val="2"/>
      </rPr>
      <t xml:space="preserve">大里區永大街</t>
    </r>
    <r>
      <rPr>
        <sz val="10"/>
        <color rgb="FF1F2A28"/>
        <rFont val="Arial"/>
        <family val="0"/>
        <charset val="1"/>
      </rPr>
      <t xml:space="preserve">177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23.87</t>
    </r>
    <r>
      <rPr>
        <sz val="10"/>
        <color rgb="FF1F2A28"/>
        <rFont val="WenQuanYi Zen Hei"/>
        <family val="2"/>
      </rPr>
      <t xml:space="preserve">平方公尺</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52.56</t>
    </r>
    <r>
      <rPr>
        <sz val="10"/>
        <color rgb="FF1F2A28"/>
        <rFont val="WenQuanYi Zen Hei"/>
        <family val="2"/>
      </rPr>
      <t xml:space="preserve">平方公尺</t>
    </r>
    <r>
      <rPr>
        <sz val="10"/>
        <color rgb="FF1F2A28"/>
        <rFont val="Arial"/>
        <family val="0"/>
        <charset val="1"/>
      </rPr>
      <t xml:space="preserve">)</t>
    </r>
  </si>
  <si>
    <t xml:space="preserve">(04)24061815</t>
  </si>
  <si>
    <t xml:space="preserve">楊佩玉</t>
  </si>
  <si>
    <t xml:space="preserve">臺中市私立理德語文短期補習班</t>
  </si>
  <si>
    <r>
      <rPr>
        <sz val="10"/>
        <color rgb="FF1F2A28"/>
        <rFont val="WenQuanYi Zen Hei"/>
        <family val="2"/>
      </rPr>
      <t xml:space="preserve">大里區現岱路</t>
    </r>
    <r>
      <rPr>
        <sz val="10"/>
        <color rgb="FF1F2A28"/>
        <rFont val="Arial"/>
        <family val="0"/>
        <charset val="1"/>
      </rPr>
      <t xml:space="preserve">43</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</si>
  <si>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(04)24834333</t>
  </si>
  <si>
    <t xml:space="preserve">mblkids@yahoo.com.tw</t>
  </si>
  <si>
    <t xml:space="preserve">2006-11-24</t>
  </si>
  <si>
    <t xml:space="preserve">林大鈞</t>
  </si>
  <si>
    <t xml:space="preserve">臺中市私立維克美語短期補習班</t>
  </si>
  <si>
    <r>
      <rPr>
        <sz val="10"/>
        <color rgb="FF1F2A28"/>
        <rFont val="WenQuanYi Zen Hei"/>
        <family val="2"/>
      </rPr>
      <t xml:space="preserve">大里區新生西路</t>
    </r>
    <r>
      <rPr>
        <sz val="10"/>
        <color rgb="FF1F2A28"/>
        <rFont val="Arial"/>
        <family val="0"/>
        <charset val="1"/>
      </rPr>
      <t xml:space="preserve">132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</si>
  <si>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24866811</t>
  </si>
  <si>
    <t xml:space="preserve">2002-06-25</t>
  </si>
  <si>
    <t xml:space="preserve">耿維克</t>
  </si>
  <si>
    <t xml:space="preserve">魏淑君</t>
  </si>
  <si>
    <t xml:space="preserve">臺中市私立艾爾頓美語珠心算短期補習班</t>
  </si>
  <si>
    <r>
      <rPr>
        <sz val="10"/>
        <color rgb="FF1F2A28"/>
        <rFont val="WenQuanYi Zen Hei"/>
        <family val="2"/>
      </rPr>
      <t xml:space="preserve">大里區善化路</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</si>
  <si>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(04)24916896</t>
  </si>
  <si>
    <t xml:space="preserve">2006-02-24</t>
  </si>
  <si>
    <t xml:space="preserve">陳靜月</t>
  </si>
  <si>
    <t xml:space="preserve">張洸偉</t>
  </si>
  <si>
    <t xml:space="preserve">臺中市私立衛理英語會話短期補習班</t>
  </si>
  <si>
    <r>
      <rPr>
        <sz val="10"/>
        <color rgb="FF1F2A28"/>
        <rFont val="WenQuanYi Zen Hei"/>
        <family val="2"/>
      </rPr>
      <t xml:space="preserve">大里區美村街</t>
    </r>
    <r>
      <rPr>
        <sz val="10"/>
        <color rgb="FF1F2A28"/>
        <rFont val="Arial"/>
        <family val="0"/>
        <charset val="1"/>
      </rPr>
      <t xml:space="preserve">218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</si>
  <si>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(04)24924478</t>
  </si>
  <si>
    <t xml:space="preserve">bc070@joy.com.tw</t>
  </si>
  <si>
    <t xml:space="preserve">2010-07-06</t>
  </si>
  <si>
    <t xml:space="preserve">張雅閔</t>
  </si>
  <si>
    <t xml:space="preserve">臺中市私立邱吉爾資優語文短期補習班</t>
  </si>
  <si>
    <r>
      <rPr>
        <sz val="10"/>
        <color rgb="FF1F2A28"/>
        <rFont val="WenQuanYi Zen Hei"/>
        <family val="2"/>
      </rPr>
      <t xml:space="preserve">大里區三興街</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</si>
  <si>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(04)24180786</t>
  </si>
  <si>
    <t xml:space="preserve">2005-03-16</t>
  </si>
  <si>
    <t xml:space="preserve">魏雀</t>
  </si>
  <si>
    <t xml:space="preserve">劉美櫻</t>
  </si>
  <si>
    <t xml:space="preserve">臺中市私立長景語文短期補習班</t>
  </si>
  <si>
    <r>
      <rPr>
        <sz val="10"/>
        <color rgb="FF1F2A28"/>
        <rFont val="WenQuanYi Zen Hei"/>
        <family val="2"/>
      </rPr>
      <t xml:space="preserve">大里區中興路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382</t>
    </r>
    <r>
      <rPr>
        <sz val="10"/>
        <color rgb="FF1F2A28"/>
        <rFont val="WenQuanYi Zen Hei"/>
        <family val="2"/>
      </rPr>
      <t xml:space="preserve">巷</t>
    </r>
    <r>
      <rPr>
        <sz val="10"/>
        <color rgb="FF1F2A28"/>
        <rFont val="Arial"/>
        <family val="0"/>
        <charset val="1"/>
      </rPr>
      <t xml:space="preserve">37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</si>
  <si>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0424923118</t>
  </si>
  <si>
    <t xml:space="preserve">黃素秋</t>
  </si>
  <si>
    <t xml:space="preserve">黃木亨</t>
  </si>
  <si>
    <t xml:space="preserve">臺中市私立麥迪遜美語珠心算短期補習班</t>
  </si>
  <si>
    <r>
      <rPr>
        <sz val="10"/>
        <color rgb="FF1F2A28"/>
        <rFont val="WenQuanYi Zen Hei"/>
        <family val="2"/>
      </rPr>
      <t xml:space="preserve">大里區瑞城一街</t>
    </r>
    <r>
      <rPr>
        <sz val="10"/>
        <color rgb="FF1F2A28"/>
        <rFont val="Arial"/>
        <family val="0"/>
        <charset val="1"/>
      </rPr>
      <t xml:space="preserve">75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</si>
  <si>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24920808</t>
  </si>
  <si>
    <t xml:space="preserve">iris_751208@yahoo.com</t>
  </si>
  <si>
    <t xml:space="preserve">1998-12-01</t>
  </si>
  <si>
    <t xml:space="preserve">陳錦松</t>
  </si>
  <si>
    <t xml:space="preserve">太平區</t>
  </si>
  <si>
    <t xml:space="preserve">格蘭事業股份有限公司附設臺中市私立格蘭英語會話短期補習班</t>
  </si>
  <si>
    <r>
      <rPr>
        <sz val="10"/>
        <color rgb="FF1F2A28"/>
        <rFont val="WenQuanYi Zen Hei"/>
        <family val="2"/>
      </rPr>
      <t xml:space="preserve">太平區中興東路</t>
    </r>
    <r>
      <rPr>
        <sz val="10"/>
        <color rgb="FF1F2A28"/>
        <rFont val="Arial"/>
        <family val="0"/>
        <charset val="1"/>
      </rPr>
      <t xml:space="preserve">148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7</t>
    </r>
  </si>
  <si>
    <t xml:space="preserve">(04)23511980</t>
  </si>
  <si>
    <t xml:space="preserve">格蘭事業股份有限公司、負責人：黃經芬</t>
  </si>
  <si>
    <t xml:space="preserve">羅心榮</t>
  </si>
  <si>
    <t xml:space="preserve">私立星球美語短期補習班</t>
  </si>
  <si>
    <r>
      <rPr>
        <sz val="10"/>
        <color rgb="FF1F2A28"/>
        <rFont val="WenQuanYi Zen Hei"/>
        <family val="2"/>
      </rPr>
      <t xml:space="preserve">太平區東平路</t>
    </r>
    <r>
      <rPr>
        <sz val="10"/>
        <color rgb="FF1F2A28"/>
        <rFont val="Arial"/>
        <family val="0"/>
        <charset val="1"/>
      </rPr>
      <t xml:space="preserve">375</t>
    </r>
    <r>
      <rPr>
        <sz val="10"/>
        <color rgb="FF1F2A28"/>
        <rFont val="WenQuanYi Zen Hei"/>
        <family val="2"/>
      </rPr>
      <t xml:space="preserve">巷</t>
    </r>
    <r>
      <rPr>
        <sz val="10"/>
        <color rgb="FF1F2A28"/>
        <rFont val="Arial"/>
        <family val="0"/>
        <charset val="1"/>
      </rPr>
      <t xml:space="preserve">70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72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</si>
  <si>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(04)22798503</t>
  </si>
  <si>
    <t xml:space="preserve">2004-06-11</t>
  </si>
  <si>
    <t xml:space="preserve">陳怡菁</t>
  </si>
  <si>
    <t xml:space="preserve">私立豐收美語短期補習班</t>
  </si>
  <si>
    <r>
      <rPr>
        <sz val="10"/>
        <color rgb="FF1F2A28"/>
        <rFont val="WenQuanYi Zen Hei"/>
        <family val="2"/>
      </rPr>
      <t xml:space="preserve">太平區育才路</t>
    </r>
    <r>
      <rPr>
        <sz val="10"/>
        <color rgb="FF1F2A28"/>
        <rFont val="Arial"/>
        <family val="0"/>
        <charset val="1"/>
      </rPr>
      <t xml:space="preserve">145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</si>
  <si>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(04)23913169</t>
  </si>
  <si>
    <t xml:space="preserve">tessabc23913169@gmail.com</t>
  </si>
  <si>
    <t xml:space="preserve">2008-10-17</t>
  </si>
  <si>
    <t xml:space="preserve">丁士文</t>
  </si>
  <si>
    <t xml:space="preserve">臺中市私立嘉全英語短期補習班</t>
  </si>
  <si>
    <r>
      <rPr>
        <sz val="10"/>
        <color rgb="FF1F2A28"/>
        <rFont val="WenQuanYi Zen Hei"/>
        <family val="2"/>
      </rPr>
      <t xml:space="preserve">太平區中興東路</t>
    </r>
    <r>
      <rPr>
        <sz val="10"/>
        <color rgb="FF1F2A28"/>
        <rFont val="Arial"/>
        <family val="0"/>
        <charset val="1"/>
      </rPr>
      <t xml:space="preserve">312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</si>
  <si>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22730723</t>
  </si>
  <si>
    <t xml:space="preserve">hs2096@hess.com.tw</t>
  </si>
  <si>
    <t xml:space="preserve">錢惠琼</t>
  </si>
  <si>
    <t xml:space="preserve">蔡惠芳</t>
  </si>
  <si>
    <t xml:space="preserve">臺中市私立安茲美語短期補習班</t>
  </si>
  <si>
    <r>
      <rPr>
        <sz val="10"/>
        <color rgb="FF1F2A28"/>
        <rFont val="WenQuanYi Zen Hei"/>
        <family val="2"/>
      </rPr>
      <t xml:space="preserve">太平區光興路</t>
    </r>
    <r>
      <rPr>
        <sz val="10"/>
        <color rgb="FF1F2A28"/>
        <rFont val="Arial"/>
        <family val="0"/>
        <charset val="1"/>
      </rPr>
      <t xml:space="preserve">622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</si>
  <si>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(04)22715660</t>
  </si>
  <si>
    <t xml:space="preserve">2004-09-03</t>
  </si>
  <si>
    <t xml:space="preserve">張錫裕</t>
  </si>
  <si>
    <t xml:space="preserve">游簣伎</t>
  </si>
  <si>
    <t xml:space="preserve">臺中市私立玻力美語短期補習班</t>
  </si>
  <si>
    <r>
      <rPr>
        <sz val="10"/>
        <color rgb="FF1F2A28"/>
        <rFont val="WenQuanYi Zen Hei"/>
        <family val="2"/>
      </rPr>
      <t xml:space="preserve">太平區成功東路</t>
    </r>
    <r>
      <rPr>
        <sz val="10"/>
        <color rgb="FF1F2A28"/>
        <rFont val="Arial"/>
        <family val="0"/>
        <charset val="1"/>
      </rPr>
      <t xml:space="preserve">155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</si>
  <si>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(04)22771223</t>
  </si>
  <si>
    <t xml:space="preserve">albert.cambridge888@gmail.com</t>
  </si>
  <si>
    <t xml:space="preserve">2006-10-16</t>
  </si>
  <si>
    <t xml:space="preserve">盧彥伯</t>
  </si>
  <si>
    <t xml:space="preserve">臺中市私立鐠林英語數學短期補習班</t>
  </si>
  <si>
    <r>
      <rPr>
        <sz val="10"/>
        <color rgb="FF1F2A28"/>
        <rFont val="WenQuanYi Zen Hei"/>
        <family val="2"/>
      </rPr>
      <t xml:space="preserve">太平區德明路</t>
    </r>
    <r>
      <rPr>
        <sz val="10"/>
        <color rgb="FF1F2A28"/>
        <rFont val="Arial"/>
        <family val="0"/>
        <charset val="1"/>
      </rPr>
      <t xml:space="preserve">320</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</si>
  <si>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(04)22713167</t>
  </si>
  <si>
    <t xml:space="preserve">time22713167@gmail.com</t>
  </si>
  <si>
    <t xml:space="preserve">2003-09-10</t>
  </si>
  <si>
    <t xml:space="preserve">余惠珍</t>
  </si>
  <si>
    <t xml:space="preserve">曾偉震</t>
  </si>
  <si>
    <t xml:space="preserve">東區</t>
  </si>
  <si>
    <t xml:space="preserve">臺中市私立常菩英語會話短期補習班</t>
  </si>
  <si>
    <r>
      <rPr>
        <sz val="10"/>
        <color rgb="FF1F2A28"/>
        <rFont val="WenQuanYi Zen Hei"/>
        <family val="2"/>
      </rPr>
      <t xml:space="preserve">東區大公街</t>
    </r>
    <r>
      <rPr>
        <sz val="10"/>
        <color rgb="FF1F2A28"/>
        <rFont val="Arial"/>
        <family val="0"/>
        <charset val="1"/>
      </rPr>
      <t xml:space="preserve">15</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</si>
  <si>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(04)22210372</t>
  </si>
  <si>
    <t xml:space="preserve">李如芬</t>
  </si>
  <si>
    <t xml:space="preserve">梧棲區</t>
  </si>
  <si>
    <t xml:space="preserve">私立聖塔菲美語短期補習班</t>
  </si>
  <si>
    <r>
      <rPr>
        <sz val="10"/>
        <color rgb="FF1F2A28"/>
        <rFont val="WenQuanYi Zen Hei"/>
        <family val="2"/>
      </rPr>
      <t xml:space="preserve">梧棲區福德街</t>
    </r>
    <r>
      <rPr>
        <sz val="10"/>
        <color rgb="FF1F2A28"/>
        <rFont val="Arial"/>
        <family val="0"/>
        <charset val="1"/>
      </rPr>
      <t xml:space="preserve">154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</si>
  <si>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(04)26568920</t>
  </si>
  <si>
    <t xml:space="preserve">mirandayang1227@gmail.com</t>
  </si>
  <si>
    <t xml:space="preserve">2002-09-13</t>
  </si>
  <si>
    <t xml:space="preserve">楊麗美</t>
  </si>
  <si>
    <t xml:space="preserve">清水區</t>
  </si>
  <si>
    <t xml:space="preserve">私立學思美語短期補習班</t>
  </si>
  <si>
    <r>
      <rPr>
        <sz val="10"/>
        <color rgb="FF1F2A28"/>
        <rFont val="WenQuanYi Zen Hei"/>
        <family val="2"/>
      </rPr>
      <t xml:space="preserve">清水區中央路</t>
    </r>
    <r>
      <rPr>
        <sz val="10"/>
        <color rgb="FF1F2A28"/>
        <rFont val="Arial"/>
        <family val="0"/>
        <charset val="1"/>
      </rPr>
      <t xml:space="preserve">41</t>
    </r>
    <r>
      <rPr>
        <sz val="10"/>
        <color rgb="FF1F2A28"/>
        <rFont val="WenQuanYi Zen Hei"/>
        <family val="2"/>
      </rPr>
      <t xml:space="preserve">巷</t>
    </r>
    <r>
      <rPr>
        <sz val="10"/>
        <color rgb="FF1F2A28"/>
        <rFont val="Arial"/>
        <family val="0"/>
        <charset val="1"/>
      </rPr>
      <t xml:space="preserve">17-7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</si>
  <si>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26281809</t>
  </si>
  <si>
    <t xml:space="preserve">2001-01-10</t>
  </si>
  <si>
    <t xml:space="preserve">蘇文藻</t>
  </si>
  <si>
    <t xml:space="preserve">唐美貞</t>
  </si>
  <si>
    <t xml:space="preserve">私立米其保語文短期補習班</t>
  </si>
  <si>
    <r>
      <rPr>
        <sz val="10"/>
        <color rgb="FF1F2A28"/>
        <rFont val="WenQuanYi Zen Hei"/>
        <family val="2"/>
      </rPr>
      <t xml:space="preserve">清水區民有路</t>
    </r>
    <r>
      <rPr>
        <sz val="10"/>
        <color rgb="FF1F2A28"/>
        <rFont val="Arial"/>
        <family val="0"/>
        <charset val="1"/>
      </rPr>
      <t xml:space="preserve">196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</si>
  <si>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(04)26271043</t>
  </si>
  <si>
    <t xml:space="preserve">2003-05-29</t>
  </si>
  <si>
    <t xml:space="preserve">李淑慧</t>
  </si>
  <si>
    <t xml:space="preserve">清水區鎮</t>
  </si>
  <si>
    <t xml:space="preserve">私立芝蔴開門美語短期補習班</t>
  </si>
  <si>
    <r>
      <rPr>
        <sz val="10"/>
        <color rgb="FF1F2A28"/>
        <rFont val="WenQuanYi Zen Hei"/>
        <family val="2"/>
      </rPr>
      <t xml:space="preserve">清水區鎮南街</t>
    </r>
    <r>
      <rPr>
        <sz val="10"/>
        <color rgb="FF1F2A28"/>
        <rFont val="Arial"/>
        <family val="0"/>
        <charset val="1"/>
      </rPr>
      <t xml:space="preserve">100</t>
    </r>
    <r>
      <rPr>
        <sz val="10"/>
        <color rgb="FF1F2A28"/>
        <rFont val="WenQuanYi Zen Hei"/>
        <family val="2"/>
      </rPr>
      <t xml:space="preserve">之</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</si>
  <si>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04-26224099</t>
  </si>
  <si>
    <t xml:space="preserve">cssss2k15@gmail.com</t>
  </si>
  <si>
    <t xml:space="preserve">2001-03-04</t>
  </si>
  <si>
    <t xml:space="preserve">陳惠真</t>
  </si>
  <si>
    <t xml:space="preserve">林素菁</t>
  </si>
  <si>
    <t xml:space="preserve">烏日區</t>
  </si>
  <si>
    <t xml:space="preserve">何嘉仁文教事業股份有限公司台中縣分公司附設臺中市私立嘉和語文短期補習班</t>
  </si>
  <si>
    <r>
      <rPr>
        <sz val="10"/>
        <color rgb="FF1F2A28"/>
        <rFont val="WenQuanYi Zen Hei"/>
        <family val="2"/>
      </rPr>
      <t xml:space="preserve">烏日區中華路</t>
    </r>
    <r>
      <rPr>
        <sz val="10"/>
        <color rgb="FF1F2A28"/>
        <rFont val="Arial"/>
        <family val="0"/>
        <charset val="1"/>
      </rPr>
      <t xml:space="preserve">569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569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569</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</si>
  <si>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(04)23380559</t>
  </si>
  <si>
    <t xml:space="preserve">hs3391@hess.com.tw</t>
  </si>
  <si>
    <t xml:space="preserve">2006-08-28</t>
  </si>
  <si>
    <r>
      <rPr>
        <sz val="10"/>
        <color rgb="FF1F2A28"/>
        <rFont val="WenQuanYi Zen Hei"/>
        <family val="2"/>
      </rPr>
      <t xml:space="preserve">何嘉仁文教事業股份有限公司台中縣分公司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蔡秀娥</t>
    </r>
    <r>
      <rPr>
        <sz val="10"/>
        <color rgb="FF1F2A28"/>
        <rFont val="Arial"/>
        <family val="0"/>
        <charset val="1"/>
      </rPr>
      <t xml:space="preserve">)</t>
    </r>
  </si>
  <si>
    <t xml:space="preserve">陳素香</t>
  </si>
  <si>
    <t xml:space="preserve">私立博碩語文短期補習班</t>
  </si>
  <si>
    <r>
      <rPr>
        <sz val="10"/>
        <color rgb="FF1F2A28"/>
        <rFont val="WenQuanYi Zen Hei"/>
        <family val="2"/>
      </rPr>
      <t xml:space="preserve">烏日區信義街</t>
    </r>
    <r>
      <rPr>
        <sz val="10"/>
        <color rgb="FF1F2A28"/>
        <rFont val="Arial"/>
        <family val="0"/>
        <charset val="1"/>
      </rPr>
      <t xml:space="preserve">164</t>
    </r>
    <r>
      <rPr>
        <sz val="10"/>
        <color rgb="FF1F2A28"/>
        <rFont val="WenQuanYi Zen Hei"/>
        <family val="2"/>
      </rPr>
      <t xml:space="preserve">巷</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</si>
  <si>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(04)23384518</t>
  </si>
  <si>
    <t xml:space="preserve">2005-10-03</t>
  </si>
  <si>
    <t xml:space="preserve">吳志豪</t>
  </si>
  <si>
    <t xml:space="preserve">臺中市私立小飛鷹美語短期補習班</t>
  </si>
  <si>
    <r>
      <rPr>
        <sz val="10"/>
        <color rgb="FF1F2A28"/>
        <rFont val="WenQuanYi Zen Hei"/>
        <family val="2"/>
      </rPr>
      <t xml:space="preserve">烏日區中華路</t>
    </r>
    <r>
      <rPr>
        <sz val="10"/>
        <color rgb="FF1F2A28"/>
        <rFont val="Arial"/>
        <family val="0"/>
        <charset val="1"/>
      </rPr>
      <t xml:space="preserve">322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</si>
  <si>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(04)23388839</t>
  </si>
  <si>
    <t xml:space="preserve">2003-06-27</t>
  </si>
  <si>
    <t xml:space="preserve">鄧延桂</t>
  </si>
  <si>
    <t xml:space="preserve">臺中市私立明道高級中學附設語文短期補習班</t>
  </si>
  <si>
    <r>
      <rPr>
        <sz val="10"/>
        <color rgb="FF1F2A28"/>
        <rFont val="WenQuanYi Zen Hei"/>
        <family val="2"/>
      </rPr>
      <t xml:space="preserve">烏日區中山路一段</t>
    </r>
    <r>
      <rPr>
        <sz val="10"/>
        <color rgb="FF1F2A28"/>
        <rFont val="Arial"/>
        <family val="0"/>
        <charset val="1"/>
      </rPr>
      <t xml:space="preserve">497</t>
    </r>
    <r>
      <rPr>
        <sz val="10"/>
        <color rgb="FF1F2A28"/>
        <rFont val="WenQuanYi Zen Hei"/>
        <family val="2"/>
      </rPr>
      <t xml:space="preserve">號明道中學明遠大樓</t>
    </r>
    <r>
      <rPr>
        <sz val="10"/>
        <color rgb="FF1F2A28"/>
        <rFont val="Arial"/>
        <family val="0"/>
        <charset val="1"/>
      </rPr>
      <t xml:space="preserve">7-9</t>
    </r>
    <r>
      <rPr>
        <sz val="10"/>
        <color rgb="FF1F2A28"/>
        <rFont val="WenQuanYi Zen Hei"/>
        <family val="2"/>
      </rPr>
      <t xml:space="preserve">樓</t>
    </r>
  </si>
  <si>
    <t xml:space="preserve">04-23341333</t>
  </si>
  <si>
    <t xml:space="preserve">aris.zheng@ms.mingdao.edu.tw</t>
  </si>
  <si>
    <t xml:space="preserve">1999-04-03</t>
  </si>
  <si>
    <r>
      <rPr>
        <sz val="10"/>
        <color rgb="FF1F2A28"/>
        <rFont val="WenQuanYi Zen Hei"/>
        <family val="2"/>
      </rPr>
      <t xml:space="preserve">臺中市私立明道高級中學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汪大久</t>
    </r>
    <r>
      <rPr>
        <sz val="10"/>
        <color rgb="FF1F2A28"/>
        <rFont val="Arial"/>
        <family val="0"/>
        <charset val="1"/>
      </rPr>
      <t xml:space="preserve">)</t>
    </r>
  </si>
  <si>
    <t xml:space="preserve">陳炤華</t>
  </si>
  <si>
    <t xml:space="preserve">臺中市私立龍冠美語短期補習班</t>
  </si>
  <si>
    <r>
      <rPr>
        <sz val="10"/>
        <color rgb="FF1F2A28"/>
        <rFont val="WenQuanYi Zen Hei"/>
        <family val="2"/>
      </rPr>
      <t xml:space="preserve">烏日區興祥街</t>
    </r>
    <r>
      <rPr>
        <sz val="10"/>
        <color rgb="FF1F2A28"/>
        <rFont val="Arial"/>
        <family val="0"/>
        <charset val="1"/>
      </rPr>
      <t xml:space="preserve">42</t>
    </r>
    <r>
      <rPr>
        <sz val="10"/>
        <color rgb="FF1F2A28"/>
        <rFont val="WenQuanYi Zen Hei"/>
        <family val="2"/>
      </rPr>
      <t xml:space="preserve">巷</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1-3 </t>
    </r>
    <r>
      <rPr>
        <sz val="10"/>
        <color rgb="FF1F2A28"/>
        <rFont val="WenQuanYi Zen Hei"/>
        <family val="2"/>
      </rPr>
      <t xml:space="preserve">樓</t>
    </r>
  </si>
  <si>
    <t xml:space="preserve">(04)23380799</t>
  </si>
  <si>
    <t xml:space="preserve">2003-10-09</t>
  </si>
  <si>
    <t xml:space="preserve">許智偉</t>
  </si>
  <si>
    <t xml:space="preserve">中國青年救國團臺中市團務指導委員會附設臺中市私立中山英語技藝短期補習班</t>
  </si>
  <si>
    <r>
      <rPr>
        <sz val="10"/>
        <color rgb="FF1F2A28"/>
        <rFont val="WenQuanYi Zen Hei"/>
        <family val="2"/>
      </rPr>
      <t xml:space="preserve">臺中市豐原區中山路</t>
    </r>
    <r>
      <rPr>
        <sz val="10"/>
        <color rgb="FF1F2A28"/>
        <rFont val="Arial"/>
        <family val="0"/>
        <charset val="1"/>
      </rPr>
      <t xml:space="preserve">200</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及</t>
    </r>
    <r>
      <rPr>
        <sz val="10"/>
        <color rgb="FF1F2A28"/>
        <rFont val="Arial"/>
        <family val="0"/>
        <charset val="1"/>
      </rPr>
      <t xml:space="preserve">7</t>
    </r>
    <r>
      <rPr>
        <sz val="10"/>
        <color rgb="FF1F2A28"/>
        <rFont val="WenQuanYi Zen Hei"/>
        <family val="2"/>
      </rPr>
      <t xml:space="preserve">樓</t>
    </r>
  </si>
  <si>
    <t xml:space="preserve">(04)25244103</t>
  </si>
  <si>
    <t xml:space="preserve">cyc25244103@cyc.tw</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</si>
  <si>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商類：珠算、心算、會計</t>
    </r>
    <r>
      <rPr>
        <sz val="10"/>
        <color rgb="FF1F2A28"/>
        <rFont val="Arial"/>
        <family val="0"/>
        <charset val="1"/>
      </rPr>
      <t xml:space="preserve">,</t>
    </r>
    <r>
      <rPr>
        <sz val="10"/>
        <color rgb="FF1F2A28"/>
        <rFont val="WenQuanYi Zen Hei"/>
        <family val="2"/>
      </rPr>
      <t xml:space="preserve">瑜珈類</t>
    </r>
  </si>
  <si>
    <t xml:space="preserve">2017-11-30</t>
  </si>
  <si>
    <t xml:space="preserve">中國青年救國團臺中市團務指導委員會、負責人：蔡心怡</t>
  </si>
  <si>
    <t xml:space="preserve">吳品欣</t>
  </si>
  <si>
    <t xml:space="preserve">中國青年救國團附設臺中市私立中科六藝技藝語文短期補習班</t>
  </si>
  <si>
    <r>
      <rPr>
        <sz val="10"/>
        <color rgb="FF1F2A28"/>
        <rFont val="WenQuanYi Zen Hei"/>
        <family val="2"/>
      </rPr>
      <t xml:space="preserve">臺中市西屯區國安一路</t>
    </r>
    <r>
      <rPr>
        <sz val="10"/>
        <color rgb="FF1F2A28"/>
        <rFont val="Arial"/>
        <family val="0"/>
        <charset val="1"/>
      </rPr>
      <t xml:space="preserve">168</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</si>
  <si>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(04)24626608</t>
  </si>
  <si>
    <t xml:space="preserve">cyc24626608@cyc.tw</t>
  </si>
  <si>
    <t xml:space="preserve">2017-12-08</t>
  </si>
  <si>
    <r>
      <rPr>
        <sz val="10"/>
        <color rgb="FF1F2A28"/>
        <rFont val="WenQuanYi Zen Hei"/>
        <family val="2"/>
      </rPr>
      <t xml:space="preserve">中國青年救國團</t>
    </r>
    <r>
      <rPr>
        <sz val="10"/>
        <color rgb="FF1F2A28"/>
        <rFont val="Arial"/>
        <family val="0"/>
        <charset val="1"/>
      </rPr>
      <t xml:space="preserve">(</t>
    </r>
    <r>
      <rPr>
        <sz val="10"/>
        <color rgb="FF1F2A28"/>
        <rFont val="WenQuanYi Zen Hei"/>
        <family val="2"/>
      </rPr>
      <t xml:space="preserve">負責人</t>
    </r>
    <r>
      <rPr>
        <sz val="10"/>
        <color rgb="FF1F2A28"/>
        <rFont val="Arial"/>
        <family val="0"/>
        <charset val="1"/>
      </rPr>
      <t xml:space="preserve">:</t>
    </r>
    <r>
      <rPr>
        <sz val="10"/>
        <color rgb="FF1F2A28"/>
        <rFont val="WenQuanYi Zen Hei"/>
        <family val="2"/>
      </rPr>
      <t xml:space="preserve">楊朝祥</t>
    </r>
    <r>
      <rPr>
        <sz val="10"/>
        <color rgb="FF1F2A28"/>
        <rFont val="Arial"/>
        <family val="0"/>
        <charset val="1"/>
      </rPr>
      <t xml:space="preserve">)</t>
    </r>
  </si>
  <si>
    <t xml:space="preserve">陳楷倫</t>
  </si>
  <si>
    <t xml:space="preserve">中國青年救國團附設臺中市私立圓環南技藝語文短期補習班</t>
  </si>
  <si>
    <r>
      <rPr>
        <sz val="10"/>
        <color rgb="FF1F2A28"/>
        <rFont val="WenQuanYi Zen Hei"/>
        <family val="2"/>
      </rPr>
      <t xml:space="preserve">臺中市豐原區圓環南路</t>
    </r>
    <r>
      <rPr>
        <sz val="10"/>
        <color rgb="FF1F2A28"/>
        <rFont val="Arial"/>
        <family val="0"/>
        <charset val="1"/>
      </rPr>
      <t xml:space="preserve">225</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樓及地下室</t>
    </r>
    <r>
      <rPr>
        <sz val="10"/>
        <color rgb="FF1F2A28"/>
        <rFont val="Arial"/>
        <family val="0"/>
        <charset val="1"/>
      </rPr>
      <t xml:space="preserve">1</t>
    </r>
    <r>
      <rPr>
        <sz val="10"/>
        <color rgb="FF1F2A28"/>
        <rFont val="WenQuanYi Zen Hei"/>
        <family val="2"/>
      </rPr>
      <t xml:space="preserve">樓</t>
    </r>
  </si>
  <si>
    <t xml:space="preserve">25284381</t>
  </si>
  <si>
    <t xml:space="preserve">25284381edm@gmail.com</t>
  </si>
  <si>
    <t xml:space="preserve">1997-07-11</t>
  </si>
  <si>
    <r>
      <rPr>
        <sz val="10"/>
        <color rgb="FF1F2A28"/>
        <rFont val="WenQuanYi Zen Hei"/>
        <family val="2"/>
      </rPr>
      <t xml:space="preserve">中國青年救國團</t>
    </r>
    <r>
      <rPr>
        <sz val="10"/>
        <color rgb="FF1F2A28"/>
        <rFont val="Arial"/>
        <family val="0"/>
        <charset val="1"/>
      </rPr>
      <t xml:space="preserve">(</t>
    </r>
    <r>
      <rPr>
        <sz val="10"/>
        <color rgb="FF1F2A28"/>
        <rFont val="WenQuanYi Zen Hei"/>
        <family val="2"/>
      </rPr>
      <t xml:space="preserve">代表人：楊朝祥</t>
    </r>
    <r>
      <rPr>
        <sz val="10"/>
        <color rgb="FF1F2A28"/>
        <rFont val="Arial"/>
        <family val="0"/>
        <charset val="1"/>
      </rPr>
      <t xml:space="preserve">)</t>
    </r>
  </si>
  <si>
    <t xml:space="preserve">高明玉</t>
  </si>
  <si>
    <t xml:space="preserve">中國青年救國團附設臺中市私立文心文理技藝短期補習班</t>
  </si>
  <si>
    <r>
      <rPr>
        <sz val="10"/>
        <color rgb="FF1F2A28"/>
        <rFont val="WenQuanYi Zen Hei"/>
        <family val="2"/>
      </rPr>
      <t xml:space="preserve">臺中市西屯區文心路三段</t>
    </r>
    <r>
      <rPr>
        <sz val="10"/>
        <color rgb="FF1F2A28"/>
        <rFont val="Arial"/>
        <family val="0"/>
        <charset val="1"/>
      </rPr>
      <t xml:space="preserve">126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</si>
  <si>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(04)23112121</t>
  </si>
  <si>
    <t xml:space="preserve">cyc23112121@cyc.tw</t>
  </si>
  <si>
    <r>
      <rPr>
        <sz val="10"/>
        <color rgb="FF1F2A28"/>
        <rFont val="WenQuanYi Zen Hei"/>
        <family val="2"/>
      </rPr>
      <t xml:space="preserve">英語</t>
    </r>
    <r>
      <rPr>
        <sz val="10"/>
        <color rgb="FF1F2A28"/>
        <rFont val="Arial"/>
        <family val="0"/>
        <charset val="1"/>
      </rPr>
      <t xml:space="preserve">A</t>
    </r>
    <r>
      <rPr>
        <sz val="10"/>
        <color rgb="FF1F2A28"/>
        <rFont val="WenQuanYi Zen Hei"/>
        <family val="2"/>
      </rPr>
      <t xml:space="preserve">科、英語</t>
    </r>
    <r>
      <rPr>
        <sz val="10"/>
        <color rgb="FF1F2A28"/>
        <rFont val="Arial"/>
        <family val="0"/>
        <charset val="1"/>
      </rPr>
      <t xml:space="preserve">D</t>
    </r>
    <r>
      <rPr>
        <sz val="10"/>
        <color rgb="FF1F2A28"/>
        <rFont val="WenQuanYi Zen Hei"/>
        <family val="2"/>
      </rPr>
      <t xml:space="preserve">、</t>
    </r>
    <r>
      <rPr>
        <sz val="10"/>
        <color rgb="FF1F2A28"/>
        <rFont val="Arial"/>
        <family val="0"/>
        <charset val="1"/>
      </rPr>
      <t xml:space="preserve">E</t>
    </r>
    <r>
      <rPr>
        <sz val="10"/>
        <color rgb="FF1F2A28"/>
        <rFont val="WenQuanYi Zen Hei"/>
        <family val="2"/>
      </rPr>
      <t xml:space="preserve">科、英語</t>
    </r>
    <r>
      <rPr>
        <sz val="10"/>
        <color rgb="FF1F2A28"/>
        <rFont val="Arial"/>
        <family val="0"/>
        <charset val="1"/>
      </rPr>
      <t xml:space="preserve">B</t>
    </r>
    <r>
      <rPr>
        <sz val="10"/>
        <color rgb="FF1F2A28"/>
        <rFont val="WenQuanYi Zen Hei"/>
        <family val="2"/>
      </rPr>
      <t xml:space="preserve">科、英語</t>
    </r>
    <r>
      <rPr>
        <sz val="10"/>
        <color rgb="FF1F2A28"/>
        <rFont val="Arial"/>
        <family val="0"/>
        <charset val="1"/>
      </rPr>
      <t xml:space="preserve">C</t>
    </r>
    <r>
      <rPr>
        <sz val="10"/>
        <color rgb="FF1F2A28"/>
        <rFont val="WenQuanYi Zen Hei"/>
        <family val="2"/>
      </rPr>
      <t xml:space="preserve">科</t>
    </r>
  </si>
  <si>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縫紉類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其他類</t>
    </r>
  </si>
  <si>
    <t xml:space="preserve">2022-07-21</t>
  </si>
  <si>
    <r>
      <rPr>
        <sz val="10"/>
        <color rgb="FF1F2A28"/>
        <rFont val="WenQuanYi Zen Hei"/>
        <family val="2"/>
      </rPr>
      <t xml:space="preserve">中國青年救國團</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楊朝祥</t>
    </r>
    <r>
      <rPr>
        <sz val="10"/>
        <color rgb="FF1F2A28"/>
        <rFont val="Arial"/>
        <family val="0"/>
        <charset val="1"/>
      </rPr>
      <t xml:space="preserve">)</t>
    </r>
  </si>
  <si>
    <t xml:space="preserve">中國青年救國團附設臺中市私立西屯語文技藝短期補習班</t>
  </si>
  <si>
    <r>
      <rPr>
        <sz val="10"/>
        <color rgb="FF1F2A28"/>
        <rFont val="WenQuanYi Zen Hei"/>
        <family val="2"/>
      </rPr>
      <t xml:space="preserve">臺中市西屯區文心路三段</t>
    </r>
    <r>
      <rPr>
        <sz val="10"/>
        <color rgb="FF1F2A28"/>
        <rFont val="Arial"/>
        <family val="0"/>
        <charset val="1"/>
      </rPr>
      <t xml:space="preserve">126</t>
    </r>
    <r>
      <rPr>
        <sz val="10"/>
        <color rgb="FF1F2A28"/>
        <rFont val="WenQuanYi Zen Hei"/>
        <family val="2"/>
      </rPr>
      <t xml:space="preserve">號</t>
    </r>
    <r>
      <rPr>
        <sz val="10"/>
        <color rgb="FF1F2A28"/>
        <rFont val="Arial"/>
        <family val="0"/>
        <charset val="1"/>
      </rPr>
      <t xml:space="preserve">4-6</t>
    </r>
    <r>
      <rPr>
        <sz val="10"/>
        <color rgb="FF1F2A28"/>
        <rFont val="WenQuanYi Zen Hei"/>
        <family val="2"/>
      </rPr>
      <t xml:space="preserve">樓</t>
    </r>
  </si>
  <si>
    <r>
      <rPr>
        <sz val="10"/>
        <color rgb="FF1F2A28"/>
        <rFont val="WenQuanYi Zen Hei"/>
        <family val="2"/>
      </rPr>
      <t xml:space="preserve">美語</t>
    </r>
    <r>
      <rPr>
        <sz val="10"/>
        <color rgb="FF1F2A28"/>
        <rFont val="Arial"/>
        <family val="0"/>
        <charset val="1"/>
      </rPr>
      <t xml:space="preserve">33.18</t>
    </r>
  </si>
  <si>
    <t xml:space="preserve">孫沛巧</t>
  </si>
  <si>
    <t xml:space="preserve">何嘉仁文教事業股份有限公司附設臺中市私立何嘉仁英日語短期補習班逢甲分班</t>
  </si>
  <si>
    <r>
      <rPr>
        <sz val="10"/>
        <color rgb="FF1F2A28"/>
        <rFont val="WenQuanYi Zen Hei"/>
        <family val="2"/>
      </rPr>
      <t xml:space="preserve">臺中市西屯區逢甲路</t>
    </r>
    <r>
      <rPr>
        <sz val="10"/>
        <color rgb="FF1F2A28"/>
        <rFont val="Arial"/>
        <family val="0"/>
        <charset val="1"/>
      </rPr>
      <t xml:space="preserve">218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</si>
  <si>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(04)24527739</t>
  </si>
  <si>
    <t xml:space="preserve">hs3361@hess.com.tw</t>
  </si>
  <si>
    <r>
      <rPr>
        <sz val="10"/>
        <color rgb="FF1F2A28"/>
        <rFont val="WenQuanYi Zen Hei"/>
        <family val="2"/>
      </rPr>
      <t xml:space="preserve">英語各</t>
    </r>
    <r>
      <rPr>
        <sz val="10"/>
        <color rgb="FF1F2A28"/>
        <rFont val="Arial"/>
        <family val="0"/>
        <charset val="1"/>
      </rPr>
      <t xml:space="preserve">24</t>
    </r>
    <r>
      <rPr>
        <sz val="10"/>
        <color rgb="FF1F2A28"/>
        <rFont val="WenQuanYi Zen Hei"/>
        <family val="2"/>
      </rPr>
      <t xml:space="preserve">人各</t>
    </r>
    <r>
      <rPr>
        <sz val="10"/>
        <color rgb="FF1F2A28"/>
        <rFont val="Arial"/>
        <family val="0"/>
        <charset val="1"/>
      </rPr>
      <t xml:space="preserve">14</t>
    </r>
    <r>
      <rPr>
        <sz val="10"/>
        <color rgb="FF1F2A28"/>
        <rFont val="WenQuanYi Zen Hei"/>
        <family val="2"/>
      </rPr>
      <t xml:space="preserve">小時各</t>
    </r>
    <r>
      <rPr>
        <sz val="10"/>
        <color rgb="FF1F2A28"/>
        <rFont val="Arial"/>
        <family val="0"/>
        <charset val="1"/>
      </rPr>
      <t xml:space="preserve">12</t>
    </r>
    <r>
      <rPr>
        <sz val="10"/>
        <color rgb="FF1F2A28"/>
        <rFont val="WenQuanYi Zen Hei"/>
        <family val="2"/>
      </rPr>
      <t xml:space="preserve">週</t>
    </r>
  </si>
  <si>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瑜珈類</t>
    </r>
  </si>
  <si>
    <r>
      <rPr>
        <sz val="10"/>
        <color rgb="FF1F2A28"/>
        <rFont val="WenQuanYi Zen Hei"/>
        <family val="2"/>
      </rPr>
      <t xml:space="preserve">何嘉仁文教事業股份有限公司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秦鴻筠</t>
    </r>
    <r>
      <rPr>
        <sz val="10"/>
        <color rgb="FF1F2A28"/>
        <rFont val="Arial"/>
        <family val="0"/>
        <charset val="1"/>
      </rPr>
      <t xml:space="preserve">)</t>
    </r>
  </si>
  <si>
    <t xml:space="preserve">涂大華</t>
  </si>
  <si>
    <t xml:space="preserve">前才國際股份有限公司附設臺中市私立范迪英語短期補習班</t>
  </si>
  <si>
    <r>
      <rPr>
        <sz val="10"/>
        <color rgb="FF1F2A28"/>
        <rFont val="WenQuanYi Zen Hei"/>
        <family val="2"/>
      </rPr>
      <t xml:space="preserve">臺中市大里區永隆路</t>
    </r>
    <r>
      <rPr>
        <sz val="10"/>
        <color rgb="FF1F2A28"/>
        <rFont val="Arial"/>
        <family val="0"/>
        <charset val="1"/>
      </rPr>
      <t xml:space="preserve">303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</si>
  <si>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(04)24067147</t>
  </si>
  <si>
    <t xml:space="preserve">林珏宏</t>
  </si>
  <si>
    <t xml:space="preserve">台灣知識庫股份有限公司附設臺中市私立洋碩英語短期補習班逢甲分班</t>
  </si>
  <si>
    <r>
      <rPr>
        <sz val="10"/>
        <color rgb="FF1F2A28"/>
        <rFont val="WenQuanYi Zen Hei"/>
        <family val="2"/>
      </rPr>
      <t xml:space="preserve">臺中市西屯區河南路二段</t>
    </r>
    <r>
      <rPr>
        <sz val="10"/>
        <color rgb="FF1F2A28"/>
        <rFont val="Arial"/>
        <family val="0"/>
        <charset val="1"/>
      </rPr>
      <t xml:space="preserve">319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</si>
  <si>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(04)35045255</t>
  </si>
  <si>
    <t xml:space="preserve">vivian611115@gmail.com</t>
  </si>
  <si>
    <r>
      <rPr>
        <sz val="10"/>
        <color rgb="FF1F2A28"/>
        <rFont val="WenQuanYi Zen Hei"/>
        <family val="2"/>
      </rPr>
      <t xml:space="preserve">英語</t>
    </r>
    <r>
      <rPr>
        <sz val="10"/>
        <color rgb="FF1F2A28"/>
        <rFont val="Arial"/>
        <family val="0"/>
        <charset val="1"/>
      </rPr>
      <t xml:space="preserve">A</t>
    </r>
    <r>
      <rPr>
        <sz val="10"/>
        <color rgb="FF1F2A28"/>
        <rFont val="WenQuanYi Zen Hei"/>
        <family val="2"/>
      </rPr>
      <t xml:space="preserve">科、英語</t>
    </r>
    <r>
      <rPr>
        <sz val="10"/>
        <color rgb="FF1F2A28"/>
        <rFont val="Arial"/>
        <family val="0"/>
        <charset val="1"/>
      </rPr>
      <t xml:space="preserve">B</t>
    </r>
    <r>
      <rPr>
        <sz val="10"/>
        <color rgb="FF1F2A28"/>
        <rFont val="WenQuanYi Zen Hei"/>
        <family val="2"/>
      </rPr>
      <t xml:space="preserve">科、英語</t>
    </r>
    <r>
      <rPr>
        <sz val="10"/>
        <color rgb="FF1F2A28"/>
        <rFont val="Arial"/>
        <family val="0"/>
        <charset val="1"/>
      </rPr>
      <t xml:space="preserve">C</t>
    </r>
    <r>
      <rPr>
        <sz val="10"/>
        <color rgb="FF1F2A28"/>
        <rFont val="WenQuanYi Zen Hei"/>
        <family val="2"/>
      </rPr>
      <t xml:space="preserve">科</t>
    </r>
  </si>
  <si>
    <r>
      <rPr>
        <sz val="10"/>
        <color rgb="FF1F2A28"/>
        <rFont val="WenQuanYi Zen Hei"/>
        <family val="2"/>
      </rPr>
      <t xml:space="preserve">台灣知識庫股份有限公司</t>
    </r>
    <r>
      <rPr>
        <sz val="10"/>
        <color rgb="FF1F2A28"/>
        <rFont val="Arial"/>
        <family val="0"/>
        <charset val="1"/>
      </rPr>
      <t xml:space="preserve">(</t>
    </r>
    <r>
      <rPr>
        <sz val="10"/>
        <color rgb="FF1F2A28"/>
        <rFont val="WenQuanYi Zen Hei"/>
        <family val="2"/>
      </rPr>
      <t xml:space="preserve">負責人為邱昌其</t>
    </r>
    <r>
      <rPr>
        <sz val="10"/>
        <color rgb="FF1F2A28"/>
        <rFont val="Arial"/>
        <family val="0"/>
        <charset val="1"/>
      </rPr>
      <t xml:space="preserve">)</t>
    </r>
  </si>
  <si>
    <t xml:space="preserve">謝涵雲</t>
  </si>
  <si>
    <t xml:space="preserve">四季仁美教育事業股份有限公司附設臺中市私立仁美四季美語文理技藝短期補習班</t>
  </si>
  <si>
    <r>
      <rPr>
        <sz val="10"/>
        <color rgb="FF1F2A28"/>
        <rFont val="WenQuanYi Zen Hei"/>
        <family val="2"/>
      </rPr>
      <t xml:space="preserve">臺中市北屯區豐美街</t>
    </r>
    <r>
      <rPr>
        <sz val="10"/>
        <color rgb="FF1F2A28"/>
        <rFont val="Arial"/>
        <family val="0"/>
        <charset val="1"/>
      </rPr>
      <t xml:space="preserve">288</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使用樓層</t>
    </r>
    <r>
      <rPr>
        <sz val="10"/>
        <color rgb="FF1F2A28"/>
        <rFont val="Arial"/>
        <family val="0"/>
        <charset val="1"/>
      </rPr>
      <t xml:space="preserve">:2-4</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及豐美街</t>
    </r>
    <r>
      <rPr>
        <sz val="10"/>
        <color rgb="FF1F2A28"/>
        <rFont val="Arial"/>
        <family val="0"/>
        <charset val="1"/>
      </rPr>
      <t xml:space="preserve">290</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使用樓層</t>
    </r>
    <r>
      <rPr>
        <sz val="10"/>
        <color rgb="FF1F2A28"/>
        <rFont val="Arial"/>
        <family val="0"/>
        <charset val="1"/>
      </rPr>
      <t xml:space="preserve">:</t>
    </r>
    <r>
      <rPr>
        <sz val="10"/>
        <color rgb="FF1F2A28"/>
        <rFont val="WenQuanYi Zen Hei"/>
        <family val="2"/>
      </rPr>
      <t xml:space="preserve">地下</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</si>
  <si>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(04)22410550</t>
  </si>
  <si>
    <t xml:space="preserve">tina0701@seasonart.org</t>
  </si>
  <si>
    <r>
      <rPr>
        <sz val="10"/>
        <color rgb="FF1F2A28"/>
        <rFont val="WenQuanYi Zen Hei"/>
        <family val="2"/>
      </rPr>
      <t xml:space="preserve">美語</t>
    </r>
    <r>
      <rPr>
        <sz val="10"/>
        <color rgb="FF1F2A28"/>
        <rFont val="Arial"/>
        <family val="0"/>
        <charset val="1"/>
      </rPr>
      <t xml:space="preserve">A-R</t>
    </r>
    <r>
      <rPr>
        <sz val="10"/>
        <color rgb="FF1F2A28"/>
        <rFont val="WenQuanYi Zen Hei"/>
        <family val="2"/>
      </rPr>
      <t xml:space="preserve">、美語</t>
    </r>
    <r>
      <rPr>
        <sz val="10"/>
        <color rgb="FF1F2A28"/>
        <rFont val="Arial"/>
        <family val="0"/>
        <charset val="1"/>
      </rPr>
      <t xml:space="preserve">T</t>
    </r>
    <r>
      <rPr>
        <sz val="10"/>
        <color rgb="FF1F2A28"/>
        <rFont val="WenQuanYi Zen Hei"/>
        <family val="2"/>
      </rPr>
      <t xml:space="preserve">、英語</t>
    </r>
    <r>
      <rPr>
        <sz val="10"/>
        <color rgb="FF1F2A28"/>
        <rFont val="Arial"/>
        <family val="0"/>
        <charset val="1"/>
      </rPr>
      <t xml:space="preserve">S</t>
    </r>
  </si>
  <si>
    <t xml:space="preserve">2023-05-15</t>
  </si>
  <si>
    <t xml:space="preserve">唐富美</t>
  </si>
  <si>
    <t xml:space="preserve">盧曉慧</t>
  </si>
  <si>
    <t xml:space="preserve">四季北屯教育事業股份有限公司附設臺中市私立北屯四季美語文理技藝短期補習班</t>
  </si>
  <si>
    <r>
      <rPr>
        <sz val="10"/>
        <color rgb="FF1F2A28"/>
        <rFont val="WenQuanYi Zen Hei"/>
        <family val="2"/>
      </rPr>
      <t xml:space="preserve">臺中市北屯區河北路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208</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樓及</t>
    </r>
    <r>
      <rPr>
        <sz val="10"/>
        <color rgb="FF1F2A28"/>
        <rFont val="Arial"/>
        <family val="0"/>
        <charset val="1"/>
      </rPr>
      <t xml:space="preserve">406</t>
    </r>
    <r>
      <rPr>
        <sz val="10"/>
        <color rgb="FF1F2A28"/>
        <rFont val="WenQuanYi Zen Hei"/>
        <family val="2"/>
      </rPr>
      <t xml:space="preserve">台中市北屯區旅順路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206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</si>
  <si>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04-22433333</t>
  </si>
  <si>
    <t xml:space="preserve">school03@seasonart.org</t>
  </si>
  <si>
    <r>
      <rPr>
        <sz val="10"/>
        <color rgb="FF1F2A28"/>
        <rFont val="WenQuanYi Zen Hei"/>
        <family val="2"/>
      </rPr>
      <t xml:space="preserve">美語</t>
    </r>
    <r>
      <rPr>
        <sz val="10"/>
        <color rgb="FF1F2A28"/>
        <rFont val="Arial"/>
        <family val="0"/>
        <charset val="1"/>
      </rPr>
      <t xml:space="preserve">F--H</t>
    </r>
    <r>
      <rPr>
        <sz val="10"/>
        <color rgb="FF1F2A28"/>
        <rFont val="WenQuanYi Zen Hei"/>
        <family val="2"/>
      </rPr>
      <t xml:space="preserve">、美語</t>
    </r>
    <r>
      <rPr>
        <sz val="10"/>
        <color rgb="FF1F2A28"/>
        <rFont val="Arial"/>
        <family val="0"/>
        <charset val="1"/>
      </rPr>
      <t xml:space="preserve">A-E</t>
    </r>
    <r>
      <rPr>
        <sz val="10"/>
        <color rgb="FF1F2A28"/>
        <rFont val="WenQuanYi Zen Hei"/>
        <family val="2"/>
      </rPr>
      <t xml:space="preserve">班</t>
    </r>
  </si>
  <si>
    <t xml:space="preserve">朱柚甄</t>
  </si>
  <si>
    <t xml:space="preserve">四季西屯教育事業股份有限公司附設臺中市私立上安四季美語文理技藝短期補習班</t>
  </si>
  <si>
    <r>
      <rPr>
        <sz val="10"/>
        <color rgb="FF1F2A28"/>
        <rFont val="WenQuanYi Zen Hei"/>
        <family val="2"/>
      </rPr>
      <t xml:space="preserve">臺中市西屯區至善路</t>
    </r>
    <r>
      <rPr>
        <sz val="10"/>
        <color rgb="FF1F2A28"/>
        <rFont val="Arial"/>
        <family val="0"/>
        <charset val="1"/>
      </rPr>
      <t xml:space="preserve">38</t>
    </r>
    <r>
      <rPr>
        <sz val="10"/>
        <color rgb="FF1F2A28"/>
        <rFont val="WenQuanYi Zen Hei"/>
        <family val="2"/>
      </rPr>
      <t xml:space="preserve">巷</t>
    </r>
    <r>
      <rPr>
        <sz val="10"/>
        <color rgb="FF1F2A28"/>
        <rFont val="Arial"/>
        <family val="0"/>
        <charset val="1"/>
      </rPr>
      <t xml:space="preserve">77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</si>
  <si>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(04)27068000</t>
  </si>
  <si>
    <t xml:space="preserve">school02@seasonart.org</t>
  </si>
  <si>
    <r>
      <rPr>
        <sz val="10"/>
        <color rgb="FF1F2A28"/>
        <rFont val="WenQuanYi Zen Hei"/>
        <family val="2"/>
      </rPr>
      <t xml:space="preserve">美語</t>
    </r>
    <r>
      <rPr>
        <sz val="10"/>
        <color rgb="FF1F2A28"/>
        <rFont val="Arial"/>
        <family val="0"/>
        <charset val="1"/>
      </rPr>
      <t xml:space="preserve">D</t>
    </r>
    <r>
      <rPr>
        <sz val="10"/>
        <color rgb="FF1F2A28"/>
        <rFont val="WenQuanYi Zen Hei"/>
        <family val="2"/>
      </rPr>
      <t xml:space="preserve">科、美語</t>
    </r>
    <r>
      <rPr>
        <sz val="10"/>
        <color rgb="FF1F2A28"/>
        <rFont val="Arial"/>
        <family val="0"/>
        <charset val="1"/>
      </rPr>
      <t xml:space="preserve">E</t>
    </r>
    <r>
      <rPr>
        <sz val="10"/>
        <color rgb="FF1F2A28"/>
        <rFont val="WenQuanYi Zen Hei"/>
        <family val="2"/>
      </rPr>
      <t xml:space="preserve">科、美語</t>
    </r>
    <r>
      <rPr>
        <sz val="10"/>
        <color rgb="FF1F2A28"/>
        <rFont val="Arial"/>
        <family val="0"/>
        <charset val="1"/>
      </rPr>
      <t xml:space="preserve">A</t>
    </r>
    <r>
      <rPr>
        <sz val="10"/>
        <color rgb="FF1F2A28"/>
        <rFont val="WenQuanYi Zen Hei"/>
        <family val="2"/>
      </rPr>
      <t xml:space="preserve">科、美語</t>
    </r>
    <r>
      <rPr>
        <sz val="10"/>
        <color rgb="FF1F2A28"/>
        <rFont val="Arial"/>
        <family val="0"/>
        <charset val="1"/>
      </rPr>
      <t xml:space="preserve">B</t>
    </r>
    <r>
      <rPr>
        <sz val="10"/>
        <color rgb="FF1F2A28"/>
        <rFont val="WenQuanYi Zen Hei"/>
        <family val="2"/>
      </rPr>
      <t xml:space="preserve">科、美語</t>
    </r>
    <r>
      <rPr>
        <sz val="10"/>
        <color rgb="FF1F2A28"/>
        <rFont val="Arial"/>
        <family val="0"/>
        <charset val="1"/>
      </rPr>
      <t xml:space="preserve">C</t>
    </r>
    <r>
      <rPr>
        <sz val="10"/>
        <color rgb="FF1F2A28"/>
        <rFont val="WenQuanYi Zen Hei"/>
        <family val="2"/>
      </rPr>
      <t xml:space="preserve">科</t>
    </r>
  </si>
  <si>
    <t xml:space="preserve">2010-03-08</t>
  </si>
  <si>
    <r>
      <rPr>
        <sz val="10"/>
        <color rgb="FF1F2A28"/>
        <rFont val="WenQuanYi Zen Hei"/>
        <family val="2"/>
      </rPr>
      <t xml:space="preserve">四季文化事業股份有限公司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唐富美</t>
    </r>
    <r>
      <rPr>
        <sz val="10"/>
        <color rgb="FF1F2A28"/>
        <rFont val="Arial"/>
        <family val="0"/>
        <charset val="1"/>
      </rPr>
      <t xml:space="preserve">)</t>
    </r>
  </si>
  <si>
    <t xml:space="preserve">沈子涵</t>
  </si>
  <si>
    <t xml:space="preserve">四季西屯教育事業股份有限公司附設臺中市私立西屯四季美語文理技藝短期補習班</t>
  </si>
  <si>
    <r>
      <rPr>
        <sz val="10"/>
        <color rgb="FF1F2A28"/>
        <rFont val="WenQuanYi Zen Hei"/>
        <family val="2"/>
      </rPr>
      <t xml:space="preserve">臺中市西屯區上安路</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</si>
  <si>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美語科</t>
  </si>
  <si>
    <r>
      <rPr>
        <sz val="10"/>
        <color rgb="FF1F2A28"/>
        <rFont val="WenQuanYi Zen Hei"/>
        <family val="2"/>
      </rPr>
      <t xml:space="preserve">四季西屯教育事業股份有限公司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唐富美</t>
    </r>
    <r>
      <rPr>
        <sz val="10"/>
        <color rgb="FF1F2A28"/>
        <rFont val="Arial"/>
        <family val="0"/>
        <charset val="1"/>
      </rPr>
      <t xml:space="preserve">)</t>
    </r>
  </si>
  <si>
    <t xml:space="preserve">邱欣儀</t>
  </si>
  <si>
    <t xml:space="preserve">地球村語文資訊有限公司東海分公司附設臺中市私立東海地球村美日語短期補習班</t>
  </si>
  <si>
    <r>
      <rPr>
        <sz val="10"/>
        <color rgb="FF1F2A28"/>
        <rFont val="WenQuanYi Zen Hei"/>
        <family val="2"/>
      </rPr>
      <t xml:space="preserve">臺中市龍井區臺灣大道五段</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</si>
  <si>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(02)5556-1111</t>
  </si>
  <si>
    <t xml:space="preserve">2008-09-09</t>
  </si>
  <si>
    <r>
      <rPr>
        <sz val="10"/>
        <color rgb="FF1F2A28"/>
        <rFont val="WenQuanYi Zen Hei"/>
        <family val="2"/>
      </rPr>
      <t xml:space="preserve">地球村語文資訊有限公司東海分公司</t>
    </r>
    <r>
      <rPr>
        <sz val="10"/>
        <color rgb="FF1F2A28"/>
        <rFont val="Arial"/>
        <family val="0"/>
        <charset val="1"/>
      </rPr>
      <t xml:space="preserve">(</t>
    </r>
    <r>
      <rPr>
        <sz val="10"/>
        <color rgb="FF1F2A28"/>
        <rFont val="WenQuanYi Zen Hei"/>
        <family val="2"/>
      </rPr>
      <t xml:space="preserve">代表人：陳中義</t>
    </r>
    <r>
      <rPr>
        <sz val="10"/>
        <color rgb="FF1F2A28"/>
        <rFont val="Arial"/>
        <family val="0"/>
        <charset val="1"/>
      </rPr>
      <t xml:space="preserve">)</t>
    </r>
  </si>
  <si>
    <t xml:space="preserve">陳雅涵</t>
  </si>
  <si>
    <t xml:space="preserve">地球村語文資訊有限公司附設臺中市私立北屯地球村語文短期補習班</t>
  </si>
  <si>
    <r>
      <rPr>
        <sz val="10"/>
        <color rgb="FF1F2A28"/>
        <rFont val="WenQuanYi Zen Hei"/>
        <family val="2"/>
      </rPr>
      <t xml:space="preserve">臺中市北屯區文心路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955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</si>
  <si>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(04)22379988</t>
  </si>
  <si>
    <r>
      <rPr>
        <sz val="10"/>
        <color rgb="FF1F2A28"/>
        <rFont val="WenQuanYi Zen Hei"/>
        <family val="2"/>
      </rPr>
      <t xml:space="preserve">美語初級</t>
    </r>
    <r>
      <rPr>
        <sz val="10"/>
        <color rgb="FF1F2A28"/>
        <rFont val="Arial"/>
        <family val="0"/>
        <charset val="1"/>
      </rPr>
      <t xml:space="preserve">33.42</t>
    </r>
    <r>
      <rPr>
        <sz val="10"/>
        <color rgb="FF1F2A28"/>
        <rFont val="WenQuanYi Zen Hei"/>
        <family val="2"/>
      </rPr>
      <t xml:space="preserve">㎡</t>
    </r>
    <r>
      <rPr>
        <sz val="10"/>
        <color rgb="FF1F2A28"/>
        <rFont val="Arial"/>
        <family val="0"/>
        <charset val="1"/>
      </rPr>
      <t xml:space="preserve">D.E.F</t>
    </r>
    <r>
      <rPr>
        <sz val="10"/>
        <color rgb="FF1F2A28"/>
        <rFont val="WenQuanYi Zen Hei"/>
        <family val="2"/>
      </rPr>
      <t xml:space="preserve">班、美語基礎</t>
    </r>
    <r>
      <rPr>
        <sz val="10"/>
        <color rgb="FF1F2A28"/>
        <rFont val="Arial"/>
        <family val="0"/>
        <charset val="1"/>
      </rPr>
      <t xml:space="preserve">33.42</t>
    </r>
    <r>
      <rPr>
        <sz val="10"/>
        <color rgb="FF1F2A28"/>
        <rFont val="WenQuanYi Zen Hei"/>
        <family val="2"/>
      </rPr>
      <t xml:space="preserve">㎡</t>
    </r>
    <r>
      <rPr>
        <sz val="10"/>
        <color rgb="FF1F2A28"/>
        <rFont val="Arial"/>
        <family val="0"/>
        <charset val="1"/>
      </rPr>
      <t xml:space="preserve">A.B.C</t>
    </r>
    <r>
      <rPr>
        <sz val="10"/>
        <color rgb="FF1F2A28"/>
        <rFont val="WenQuanYi Zen Hei"/>
        <family val="2"/>
      </rPr>
      <t xml:space="preserve">班、美語中級</t>
    </r>
    <r>
      <rPr>
        <sz val="10"/>
        <color rgb="FF1F2A28"/>
        <rFont val="Arial"/>
        <family val="0"/>
        <charset val="1"/>
      </rPr>
      <t xml:space="preserve">57.39</t>
    </r>
    <r>
      <rPr>
        <sz val="10"/>
        <color rgb="FF1F2A28"/>
        <rFont val="WenQuanYi Zen Hei"/>
        <family val="2"/>
      </rPr>
      <t xml:space="preserve">㎡</t>
    </r>
    <r>
      <rPr>
        <sz val="10"/>
        <color rgb="FF1F2A28"/>
        <rFont val="Arial"/>
        <family val="0"/>
        <charset val="1"/>
      </rPr>
      <t xml:space="preserve">M.N.O</t>
    </r>
    <r>
      <rPr>
        <sz val="10"/>
        <color rgb="FF1F2A28"/>
        <rFont val="WenQuanYi Zen Hei"/>
        <family val="2"/>
      </rPr>
      <t xml:space="preserve">班、美語中級</t>
    </r>
    <r>
      <rPr>
        <sz val="10"/>
        <color rgb="FF1F2A28"/>
        <rFont val="Arial"/>
        <family val="0"/>
        <charset val="1"/>
      </rPr>
      <t xml:space="preserve">33.75</t>
    </r>
    <r>
      <rPr>
        <sz val="10"/>
        <color rgb="FF1F2A28"/>
        <rFont val="WenQuanYi Zen Hei"/>
        <family val="2"/>
      </rPr>
      <t xml:space="preserve">㎡</t>
    </r>
    <r>
      <rPr>
        <sz val="10"/>
        <color rgb="FF1F2A28"/>
        <rFont val="Arial"/>
        <family val="0"/>
        <charset val="1"/>
      </rPr>
      <t xml:space="preserve">J.K.L</t>
    </r>
    <r>
      <rPr>
        <sz val="10"/>
        <color rgb="FF1F2A28"/>
        <rFont val="WenQuanYi Zen Hei"/>
        <family val="2"/>
      </rPr>
      <t xml:space="preserve">班、美語高級</t>
    </r>
    <r>
      <rPr>
        <sz val="10"/>
        <color rgb="FF1F2A28"/>
        <rFont val="Arial"/>
        <family val="0"/>
        <charset val="1"/>
      </rPr>
      <t xml:space="preserve">37.70</t>
    </r>
    <r>
      <rPr>
        <sz val="10"/>
        <color rgb="FF1F2A28"/>
        <rFont val="WenQuanYi Zen Hei"/>
        <family val="2"/>
      </rPr>
      <t xml:space="preserve">㎡</t>
    </r>
    <r>
      <rPr>
        <sz val="10"/>
        <color rgb="FF1F2A28"/>
        <rFont val="Arial"/>
        <family val="0"/>
        <charset val="1"/>
      </rPr>
      <t xml:space="preserve">P.Q.R</t>
    </r>
    <r>
      <rPr>
        <sz val="10"/>
        <color rgb="FF1F2A28"/>
        <rFont val="WenQuanYi Zen Hei"/>
        <family val="2"/>
      </rPr>
      <t xml:space="preserve">班、美語初級</t>
    </r>
    <r>
      <rPr>
        <sz val="10"/>
        <color rgb="FF1F2A28"/>
        <rFont val="Arial"/>
        <family val="0"/>
        <charset val="1"/>
      </rPr>
      <t xml:space="preserve">33.75</t>
    </r>
    <r>
      <rPr>
        <sz val="10"/>
        <color rgb="FF1F2A28"/>
        <rFont val="WenQuanYi Zen Hei"/>
        <family val="2"/>
      </rPr>
      <t xml:space="preserve">㎡</t>
    </r>
    <r>
      <rPr>
        <sz val="10"/>
        <color rgb="FF1F2A28"/>
        <rFont val="Arial"/>
        <family val="0"/>
        <charset val="1"/>
      </rPr>
      <t xml:space="preserve">G.H.I</t>
    </r>
    <r>
      <rPr>
        <sz val="10"/>
        <color rgb="FF1F2A28"/>
        <rFont val="WenQuanYi Zen Hei"/>
        <family val="2"/>
      </rPr>
      <t xml:space="preserve">班</t>
    </r>
  </si>
  <si>
    <t xml:space="preserve">2006-08-30</t>
  </si>
  <si>
    <t xml:space="preserve">地球村語文資訊有限公司台中北屯分公司：法定代理人陳中義</t>
  </si>
  <si>
    <t xml:space="preserve">高如瑩</t>
  </si>
  <si>
    <t xml:space="preserve">大都會文教事業有限公司附設臺中市私立大都會外語短期補習班</t>
  </si>
  <si>
    <r>
      <rPr>
        <sz val="10"/>
        <color rgb="FF1F2A28"/>
        <rFont val="WenQuanYi Zen Hei"/>
        <family val="2"/>
      </rPr>
      <t xml:space="preserve">臺中市西屯區龍富路五段</t>
    </r>
    <r>
      <rPr>
        <sz val="10"/>
        <color rgb="FF1F2A28"/>
        <rFont val="Arial"/>
        <family val="0"/>
        <charset val="1"/>
      </rPr>
      <t xml:space="preserve">199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含</t>
    </r>
    <r>
      <rPr>
        <sz val="10"/>
        <color rgb="FF1F2A28"/>
        <rFont val="Arial"/>
        <family val="0"/>
        <charset val="1"/>
      </rPr>
      <t xml:space="preserve">1-2</t>
    </r>
    <r>
      <rPr>
        <sz val="10"/>
        <color rgb="FF1F2A28"/>
        <rFont val="WenQuanYi Zen Hei"/>
        <family val="2"/>
      </rPr>
      <t xml:space="preserve">樓乙梯</t>
    </r>
    <r>
      <rPr>
        <sz val="10"/>
        <color rgb="FF1F2A28"/>
        <rFont val="Arial"/>
        <family val="0"/>
        <charset val="1"/>
      </rPr>
      <t xml:space="preserve">)</t>
    </r>
  </si>
  <si>
    <t xml:space="preserve">(04)22559333</t>
  </si>
  <si>
    <t xml:space="preserve">Dc@leaderesl.com.tw</t>
  </si>
  <si>
    <r>
      <rPr>
        <sz val="10"/>
        <color rgb="FF1F2A28"/>
        <rFont val="WenQuanYi Zen Hei"/>
        <family val="2"/>
      </rPr>
      <t xml:space="preserve">美語</t>
    </r>
    <r>
      <rPr>
        <sz val="10"/>
        <color rgb="FF1F2A28"/>
        <rFont val="Arial"/>
        <family val="0"/>
        <charset val="1"/>
      </rPr>
      <t xml:space="preserve">A,B,C</t>
    </r>
    <r>
      <rPr>
        <sz val="10"/>
        <color rgb="FF1F2A28"/>
        <rFont val="WenQuanYi Zen Hei"/>
        <family val="2"/>
      </rPr>
      <t xml:space="preserve">科、美語</t>
    </r>
    <r>
      <rPr>
        <sz val="10"/>
        <color rgb="FF1F2A28"/>
        <rFont val="Arial"/>
        <family val="0"/>
        <charset val="1"/>
      </rPr>
      <t xml:space="preserve">D,E,F,G,H,I</t>
    </r>
    <r>
      <rPr>
        <sz val="10"/>
        <color rgb="FF1F2A28"/>
        <rFont val="WenQuanYi Zen Hei"/>
        <family val="2"/>
      </rPr>
      <t xml:space="preserve">科、美語</t>
    </r>
    <r>
      <rPr>
        <sz val="10"/>
        <color rgb="FF1F2A28"/>
        <rFont val="Arial"/>
        <family val="0"/>
        <charset val="1"/>
      </rPr>
      <t xml:space="preserve">J,K,L</t>
    </r>
    <r>
      <rPr>
        <sz val="10"/>
        <color rgb="FF1F2A28"/>
        <rFont val="WenQuanYi Zen Hei"/>
        <family val="2"/>
      </rPr>
      <t xml:space="preserve">科、美語</t>
    </r>
    <r>
      <rPr>
        <sz val="10"/>
        <color rgb="FF1F2A28"/>
        <rFont val="Arial"/>
        <family val="0"/>
        <charset val="1"/>
      </rPr>
      <t xml:space="preserve">M,N,O</t>
    </r>
    <r>
      <rPr>
        <sz val="10"/>
        <color rgb="FF1F2A28"/>
        <rFont val="WenQuanYi Zen Hei"/>
        <family val="2"/>
      </rPr>
      <t xml:space="preserve">科</t>
    </r>
  </si>
  <si>
    <t xml:space="preserve">2023-05-22</t>
  </si>
  <si>
    <r>
      <rPr>
        <sz val="10"/>
        <color rgb="FF1F2A28"/>
        <rFont val="WenQuanYi Zen Hei"/>
        <family val="2"/>
      </rPr>
      <t xml:space="preserve">大都會文教事業有限公司</t>
    </r>
    <r>
      <rPr>
        <sz val="10"/>
        <color rgb="FF1F2A28"/>
        <rFont val="Arial"/>
        <family val="0"/>
        <charset val="1"/>
      </rPr>
      <t xml:space="preserve">(</t>
    </r>
    <r>
      <rPr>
        <sz val="10"/>
        <color rgb="FF1F2A28"/>
        <rFont val="WenQuanYi Zen Hei"/>
        <family val="2"/>
      </rPr>
      <t xml:space="preserve">代表人：廖祿昇</t>
    </r>
    <r>
      <rPr>
        <sz val="10"/>
        <color rgb="FF1F2A28"/>
        <rFont val="Arial"/>
        <family val="0"/>
        <charset val="1"/>
      </rPr>
      <t xml:space="preserve">)</t>
    </r>
  </si>
  <si>
    <t xml:space="preserve">楊佳宜</t>
  </si>
  <si>
    <t xml:space="preserve">大都會文教事業有限公司附設臺中市私立大都會福和美語短期補習班</t>
  </si>
  <si>
    <r>
      <rPr>
        <sz val="10"/>
        <color rgb="FF1F2A28"/>
        <rFont val="WenQuanYi Zen Hei"/>
        <family val="2"/>
      </rPr>
      <t xml:space="preserve">臺中市西屯區玉寶路</t>
    </r>
    <r>
      <rPr>
        <sz val="10"/>
        <color rgb="FF1F2A28"/>
        <rFont val="Arial"/>
        <family val="0"/>
        <charset val="1"/>
      </rPr>
      <t xml:space="preserve">158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</si>
  <si>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(04)23598528</t>
  </si>
  <si>
    <t xml:space="preserve">vicky.tsai@leaderesl.com.tw</t>
  </si>
  <si>
    <t xml:space="preserve">廖祿昇</t>
  </si>
  <si>
    <t xml:space="preserve">大都會文教事業有限公司附設臺中市私立大都會美語短期補習班</t>
  </si>
  <si>
    <r>
      <rPr>
        <sz val="10"/>
        <color rgb="FF1F2A28"/>
        <rFont val="WenQuanYi Zen Hei"/>
        <family val="2"/>
      </rPr>
      <t xml:space="preserve">臺中市西屯區福吉街</t>
    </r>
    <r>
      <rPr>
        <sz val="10"/>
        <color rgb="FF1F2A28"/>
        <rFont val="Arial"/>
        <family val="0"/>
        <charset val="1"/>
      </rPr>
      <t xml:space="preserve">159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</si>
  <si>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(04)2451-0288</t>
  </si>
  <si>
    <t xml:space="preserve">frances.lai@leaderesl.com.tw</t>
  </si>
  <si>
    <t xml:space="preserve">2011-06-08</t>
  </si>
  <si>
    <r>
      <rPr>
        <sz val="10"/>
        <color rgb="FF1F2A28"/>
        <rFont val="WenQuanYi Zen Hei"/>
        <family val="2"/>
      </rPr>
      <t xml:space="preserve">大都會文教事業有限公司法定代理人</t>
    </r>
    <r>
      <rPr>
        <sz val="10"/>
        <color rgb="FF1F2A28"/>
        <rFont val="Arial"/>
        <family val="0"/>
        <charset val="1"/>
      </rPr>
      <t xml:space="preserve">:</t>
    </r>
    <r>
      <rPr>
        <sz val="10"/>
        <color rgb="FF1F2A28"/>
        <rFont val="WenQuanYi Zen Hei"/>
        <family val="2"/>
      </rPr>
      <t xml:space="preserve">廖祿昇</t>
    </r>
  </si>
  <si>
    <t xml:space="preserve">陳秋伶</t>
  </si>
  <si>
    <t xml:space="preserve">巨匠電腦股份有限公司 附設臺中市私立巨匠電腦美語短期補習班</t>
  </si>
  <si>
    <r>
      <rPr>
        <sz val="10"/>
        <color rgb="FF1F2A28"/>
        <rFont val="WenQuanYi Zen Hei"/>
        <family val="2"/>
      </rPr>
      <t xml:space="preserve">臺中市大里區中興路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347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</si>
  <si>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(04)24860088</t>
  </si>
  <si>
    <t xml:space="preserve">FL_mailbox@pcschool.com.tw</t>
  </si>
  <si>
    <t xml:space="preserve">2014-08-25</t>
  </si>
  <si>
    <t xml:space="preserve">盧又誠</t>
  </si>
  <si>
    <t xml:space="preserve">巨匠電腦股份有限公司附設臺中市私立巨三美語短期補習班</t>
  </si>
  <si>
    <r>
      <rPr>
        <sz val="10"/>
        <color rgb="FF1F2A28"/>
        <rFont val="WenQuanYi Zen Hei"/>
        <family val="2"/>
      </rPr>
      <t xml:space="preserve">臺中市西屯區逢甲路</t>
    </r>
    <r>
      <rPr>
        <sz val="10"/>
        <color rgb="FF1F2A28"/>
        <rFont val="Arial"/>
        <family val="0"/>
        <charset val="1"/>
      </rPr>
      <t xml:space="preserve">202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</si>
  <si>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(04)24545311</t>
  </si>
  <si>
    <t xml:space="preserve">KX_mailbox@pcschool.com.tw</t>
  </si>
  <si>
    <r>
      <rPr>
        <sz val="10"/>
        <color rgb="FF1F2A28"/>
        <rFont val="WenQuanYi Zen Hei"/>
        <family val="2"/>
      </rPr>
      <t xml:space="preserve">英語</t>
    </r>
    <r>
      <rPr>
        <sz val="10"/>
        <color rgb="FF1F2A28"/>
        <rFont val="Arial"/>
        <family val="0"/>
        <charset val="1"/>
      </rPr>
      <t xml:space="preserve">D</t>
    </r>
    <r>
      <rPr>
        <sz val="10"/>
        <color rgb="FF1F2A28"/>
        <rFont val="WenQuanYi Zen Hei"/>
        <family val="2"/>
      </rPr>
      <t xml:space="preserve">、英語</t>
    </r>
    <r>
      <rPr>
        <sz val="10"/>
        <color rgb="FF1F2A28"/>
        <rFont val="Arial"/>
        <family val="0"/>
        <charset val="1"/>
      </rPr>
      <t xml:space="preserve">E</t>
    </r>
    <r>
      <rPr>
        <sz val="10"/>
        <color rgb="FF1F2A28"/>
        <rFont val="WenQuanYi Zen Hei"/>
        <family val="2"/>
      </rPr>
      <t xml:space="preserve">、英語</t>
    </r>
    <r>
      <rPr>
        <sz val="10"/>
        <color rgb="FF1F2A28"/>
        <rFont val="Arial"/>
        <family val="0"/>
        <charset val="1"/>
      </rPr>
      <t xml:space="preserve">F</t>
    </r>
    <r>
      <rPr>
        <sz val="10"/>
        <color rgb="FF1F2A28"/>
        <rFont val="WenQuanYi Zen Hei"/>
        <family val="2"/>
      </rPr>
      <t xml:space="preserve">、英語</t>
    </r>
    <r>
      <rPr>
        <sz val="10"/>
        <color rgb="FF1F2A28"/>
        <rFont val="Arial"/>
        <family val="0"/>
        <charset val="1"/>
      </rPr>
      <t xml:space="preserve">B</t>
    </r>
    <r>
      <rPr>
        <sz val="10"/>
        <color rgb="FF1F2A28"/>
        <rFont val="WenQuanYi Zen Hei"/>
        <family val="2"/>
      </rPr>
      <t xml:space="preserve">、英語</t>
    </r>
    <r>
      <rPr>
        <sz val="10"/>
        <color rgb="FF1F2A28"/>
        <rFont val="Arial"/>
        <family val="0"/>
        <charset val="1"/>
      </rPr>
      <t xml:space="preserve">C</t>
    </r>
    <r>
      <rPr>
        <sz val="10"/>
        <color rgb="FF1F2A28"/>
        <rFont val="WenQuanYi Zen Hei"/>
        <family val="2"/>
      </rPr>
      <t xml:space="preserve">、英語</t>
    </r>
    <r>
      <rPr>
        <sz val="10"/>
        <color rgb="FF1F2A28"/>
        <rFont val="Arial"/>
        <family val="0"/>
        <charset val="1"/>
      </rPr>
      <t xml:space="preserve">A</t>
    </r>
    <r>
      <rPr>
        <sz val="10"/>
        <color rgb="FF1F2A28"/>
        <rFont val="WenQuanYi Zen Hei"/>
        <family val="2"/>
      </rPr>
      <t xml:space="preserve">、英語</t>
    </r>
    <r>
      <rPr>
        <sz val="10"/>
        <color rgb="FF1F2A28"/>
        <rFont val="Arial"/>
        <family val="0"/>
        <charset val="1"/>
      </rPr>
      <t xml:space="preserve">G</t>
    </r>
  </si>
  <si>
    <t xml:space="preserve">2013-12-27</t>
  </si>
  <si>
    <t xml:space="preserve">張耀仁</t>
  </si>
  <si>
    <t xml:space="preserve">康爾嘉股份有限公司附設臺中市私立康爾嘉語文資訊舞蹈短期補習班</t>
  </si>
  <si>
    <r>
      <rPr>
        <sz val="10"/>
        <color rgb="FF1F2A28"/>
        <rFont val="WenQuanYi Zen Hei"/>
        <family val="2"/>
      </rPr>
      <t xml:space="preserve">臺中市西屯區上安路</t>
    </r>
    <r>
      <rPr>
        <sz val="10"/>
        <color rgb="FF1F2A28"/>
        <rFont val="Arial"/>
        <family val="0"/>
        <charset val="1"/>
      </rPr>
      <t xml:space="preserve">39</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</si>
  <si>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04-35005800</t>
  </si>
  <si>
    <t xml:space="preserve">susanlee@cornelschool.org</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</si>
  <si>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科、英語</t>
    </r>
    <r>
      <rPr>
        <sz val="10"/>
        <color rgb="FF1F2A28"/>
        <rFont val="Arial"/>
        <family val="0"/>
        <charset val="1"/>
      </rPr>
      <t xml:space="preserve">D</t>
    </r>
    <r>
      <rPr>
        <sz val="10"/>
        <color rgb="FF1F2A28"/>
        <rFont val="WenQuanYi Zen Hei"/>
        <family val="2"/>
      </rPr>
      <t xml:space="preserve">科、美語</t>
    </r>
    <r>
      <rPr>
        <sz val="10"/>
        <color rgb="FF1F2A28"/>
        <rFont val="Arial"/>
        <family val="0"/>
        <charset val="1"/>
      </rPr>
      <t xml:space="preserve">E</t>
    </r>
    <r>
      <rPr>
        <sz val="10"/>
        <color rgb="FF1F2A28"/>
        <rFont val="WenQuanYi Zen Hei"/>
        <family val="2"/>
      </rPr>
      <t xml:space="preserve">科、美語</t>
    </r>
    <r>
      <rPr>
        <sz val="10"/>
        <color rgb="FF1F2A28"/>
        <rFont val="Arial"/>
        <family val="0"/>
        <charset val="1"/>
      </rPr>
      <t xml:space="preserve">F</t>
    </r>
    <r>
      <rPr>
        <sz val="10"/>
        <color rgb="FF1F2A28"/>
        <rFont val="WenQuanYi Zen Hei"/>
        <family val="2"/>
      </rPr>
      <t xml:space="preserve">科、美語</t>
    </r>
    <r>
      <rPr>
        <sz val="10"/>
        <color rgb="FF1F2A28"/>
        <rFont val="Arial"/>
        <family val="0"/>
        <charset val="1"/>
      </rPr>
      <t xml:space="preserve">B</t>
    </r>
    <r>
      <rPr>
        <sz val="10"/>
        <color rgb="FF1F2A28"/>
        <rFont val="WenQuanYi Zen Hei"/>
        <family val="2"/>
      </rPr>
      <t xml:space="preserve">科、美語</t>
    </r>
    <r>
      <rPr>
        <sz val="10"/>
        <color rgb="FF1F2A28"/>
        <rFont val="Arial"/>
        <family val="0"/>
        <charset val="1"/>
      </rPr>
      <t xml:space="preserve">C</t>
    </r>
    <r>
      <rPr>
        <sz val="10"/>
        <color rgb="FF1F2A28"/>
        <rFont val="WenQuanYi Zen Hei"/>
        <family val="2"/>
      </rPr>
      <t xml:space="preserve">科、美語</t>
    </r>
    <r>
      <rPr>
        <sz val="10"/>
        <color rgb="FF1F2A28"/>
        <rFont val="Arial"/>
        <family val="0"/>
        <charset val="1"/>
      </rPr>
      <t xml:space="preserve">D</t>
    </r>
    <r>
      <rPr>
        <sz val="10"/>
        <color rgb="FF1F2A28"/>
        <rFont val="WenQuanYi Zen Hei"/>
        <family val="2"/>
      </rPr>
      <t xml:space="preserve">科、英語</t>
    </r>
    <r>
      <rPr>
        <sz val="10"/>
        <color rgb="FF1F2A28"/>
        <rFont val="Arial"/>
        <family val="0"/>
        <charset val="1"/>
      </rPr>
      <t xml:space="preserve">A</t>
    </r>
    <r>
      <rPr>
        <sz val="10"/>
        <color rgb="FF1F2A28"/>
        <rFont val="WenQuanYi Zen Hei"/>
        <family val="2"/>
      </rPr>
      <t xml:space="preserve">科、英語</t>
    </r>
    <r>
      <rPr>
        <sz val="10"/>
        <color rgb="FF1F2A28"/>
        <rFont val="Arial"/>
        <family val="0"/>
        <charset val="1"/>
      </rPr>
      <t xml:space="preserve">B</t>
    </r>
    <r>
      <rPr>
        <sz val="10"/>
        <color rgb="FF1F2A28"/>
        <rFont val="WenQuanYi Zen Hei"/>
        <family val="2"/>
      </rPr>
      <t xml:space="preserve">科、英語</t>
    </r>
    <r>
      <rPr>
        <sz val="10"/>
        <color rgb="FF1F2A28"/>
        <rFont val="Arial"/>
        <family val="0"/>
        <charset val="1"/>
      </rPr>
      <t xml:space="preserve">C</t>
    </r>
    <r>
      <rPr>
        <sz val="10"/>
        <color rgb="FF1F2A28"/>
        <rFont val="WenQuanYi Zen Hei"/>
        <family val="2"/>
      </rPr>
      <t xml:space="preserve">科、英文</t>
    </r>
    <r>
      <rPr>
        <sz val="10"/>
        <color rgb="FF1F2A28"/>
        <rFont val="Arial"/>
        <family val="0"/>
        <charset val="1"/>
      </rPr>
      <t xml:space="preserve">A</t>
    </r>
    <r>
      <rPr>
        <sz val="10"/>
        <color rgb="FF1F2A28"/>
        <rFont val="WenQuanYi Zen Hei"/>
        <family val="2"/>
      </rPr>
      <t xml:space="preserve">科、英文</t>
    </r>
    <r>
      <rPr>
        <sz val="10"/>
        <color rgb="FF1F2A28"/>
        <rFont val="Arial"/>
        <family val="0"/>
        <charset val="1"/>
      </rPr>
      <t xml:space="preserve">B</t>
    </r>
    <r>
      <rPr>
        <sz val="10"/>
        <color rgb="FF1F2A28"/>
        <rFont val="WenQuanYi Zen Hei"/>
        <family val="2"/>
      </rPr>
      <t xml:space="preserve">科</t>
    </r>
  </si>
  <si>
    <r>
      <rPr>
        <sz val="10"/>
        <color rgb="FF1F2A28"/>
        <rFont val="WenQuanYi Zen Hei"/>
        <family val="2"/>
      </rPr>
      <t xml:space="preserve">康爾嘉股份有限公司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陳碧華</t>
    </r>
    <r>
      <rPr>
        <sz val="10"/>
        <color rgb="FF1F2A28"/>
        <rFont val="Arial"/>
        <family val="0"/>
        <charset val="1"/>
      </rPr>
      <t xml:space="preserve">)</t>
    </r>
  </si>
  <si>
    <t xml:space="preserve">葉翌萱</t>
  </si>
  <si>
    <t xml:space="preserve">悅界國際股份有限公司附設臺中市私立優立文理短期補習班</t>
  </si>
  <si>
    <r>
      <rPr>
        <sz val="10"/>
        <color rgb="FF1F2A28"/>
        <rFont val="WenQuanYi Zen Hei"/>
        <family val="2"/>
      </rPr>
      <t xml:space="preserve">臺中市沙鹿區南陽路</t>
    </r>
    <r>
      <rPr>
        <sz val="10"/>
        <color rgb="FF1F2A28"/>
        <rFont val="Arial"/>
        <family val="0"/>
        <charset val="1"/>
      </rPr>
      <t xml:space="preserve">431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</si>
  <si>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(04)26529577</t>
  </si>
  <si>
    <t xml:space="preserve">do_it@kimo.com</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</si>
  <si>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科、美語基礎</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科</t>
    </r>
  </si>
  <si>
    <t xml:space="preserve">2007-01-31</t>
  </si>
  <si>
    <r>
      <rPr>
        <sz val="10"/>
        <color rgb="FF1F2A28"/>
        <rFont val="WenQuanYi Zen Hei"/>
        <family val="2"/>
      </rPr>
      <t xml:space="preserve">悅界國際股份有限公司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王玉欣</t>
    </r>
    <r>
      <rPr>
        <sz val="10"/>
        <color rgb="FF1F2A28"/>
        <rFont val="Arial"/>
        <family val="0"/>
        <charset val="1"/>
      </rPr>
      <t xml:space="preserve">)</t>
    </r>
  </si>
  <si>
    <t xml:space="preserve">白馨卉</t>
  </si>
  <si>
    <t xml:space="preserve">戴爾美語教育科技事業股份有限公司附設臺中市私立戴爾語文短期補習班逢甲分班</t>
  </si>
  <si>
    <r>
      <rPr>
        <sz val="10"/>
        <color rgb="FF1F2A28"/>
        <rFont val="WenQuanYi Zen Hei"/>
        <family val="2"/>
      </rPr>
      <t xml:space="preserve">臺中市西屯區逢甲路</t>
    </r>
    <r>
      <rPr>
        <sz val="10"/>
        <color rgb="FF1F2A28"/>
        <rFont val="Arial"/>
        <family val="0"/>
        <charset val="1"/>
      </rPr>
      <t xml:space="preserve">155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樓及地下</t>
    </r>
    <r>
      <rPr>
        <sz val="10"/>
        <color rgb="FF1F2A28"/>
        <rFont val="Arial"/>
        <family val="0"/>
        <charset val="1"/>
      </rPr>
      <t xml:space="preserve">1</t>
    </r>
    <r>
      <rPr>
        <sz val="10"/>
        <color rgb="FF1F2A28"/>
        <rFont val="WenQuanYi Zen Hei"/>
        <family val="2"/>
      </rPr>
      <t xml:space="preserve">樓</t>
    </r>
  </si>
  <si>
    <t xml:space="preserve">(04)24522298</t>
  </si>
  <si>
    <r>
      <rPr>
        <sz val="10"/>
        <color rgb="FF1F2A28"/>
        <rFont val="WenQuanYi Zen Hei"/>
        <family val="2"/>
      </rPr>
      <t xml:space="preserve">英文</t>
    </r>
    <r>
      <rPr>
        <sz val="10"/>
        <color rgb="FF1F2A28"/>
        <rFont val="Arial"/>
        <family val="0"/>
        <charset val="1"/>
      </rPr>
      <t xml:space="preserve">A</t>
    </r>
    <r>
      <rPr>
        <sz val="10"/>
        <color rgb="FF1F2A28"/>
        <rFont val="WenQuanYi Zen Hei"/>
        <family val="2"/>
      </rPr>
      <t xml:space="preserve">班</t>
    </r>
    <r>
      <rPr>
        <sz val="10"/>
        <color rgb="FF1F2A28"/>
        <rFont val="Arial"/>
        <family val="0"/>
        <charset val="1"/>
      </rPr>
      <t xml:space="preserve">24.34</t>
    </r>
    <r>
      <rPr>
        <sz val="10"/>
        <color rgb="FF1F2A28"/>
        <rFont val="WenQuanYi Zen Hei"/>
        <family val="2"/>
      </rPr>
      <t xml:space="preserve">、英文</t>
    </r>
    <r>
      <rPr>
        <sz val="10"/>
        <color rgb="FF1F2A28"/>
        <rFont val="Arial"/>
        <family val="0"/>
        <charset val="1"/>
      </rPr>
      <t xml:space="preserve">B</t>
    </r>
    <r>
      <rPr>
        <sz val="10"/>
        <color rgb="FF1F2A28"/>
        <rFont val="WenQuanYi Zen Hei"/>
        <family val="2"/>
      </rPr>
      <t xml:space="preserve">班</t>
    </r>
    <r>
      <rPr>
        <sz val="10"/>
        <color rgb="FF1F2A28"/>
        <rFont val="Arial"/>
        <family val="0"/>
        <charset val="1"/>
      </rPr>
      <t xml:space="preserve">17.41</t>
    </r>
    <r>
      <rPr>
        <sz val="10"/>
        <color rgb="FF1F2A28"/>
        <rFont val="WenQuanYi Zen Hei"/>
        <family val="2"/>
      </rPr>
      <t xml:space="preserve">、英文</t>
    </r>
    <r>
      <rPr>
        <sz val="10"/>
        <color rgb="FF1F2A28"/>
        <rFont val="Arial"/>
        <family val="0"/>
        <charset val="1"/>
      </rPr>
      <t xml:space="preserve">C</t>
    </r>
    <r>
      <rPr>
        <sz val="10"/>
        <color rgb="FF1F2A28"/>
        <rFont val="WenQuanYi Zen Hei"/>
        <family val="2"/>
      </rPr>
      <t xml:space="preserve">班</t>
    </r>
    <r>
      <rPr>
        <sz val="10"/>
        <color rgb="FF1F2A28"/>
        <rFont val="Arial"/>
        <family val="0"/>
        <charset val="1"/>
      </rPr>
      <t xml:space="preserve">20.07</t>
    </r>
    <r>
      <rPr>
        <sz val="10"/>
        <color rgb="FF1F2A28"/>
        <rFont val="WenQuanYi Zen Hei"/>
        <family val="2"/>
      </rPr>
      <t xml:space="preserve">、英文</t>
    </r>
    <r>
      <rPr>
        <sz val="10"/>
        <color rgb="FF1F2A28"/>
        <rFont val="Arial"/>
        <family val="0"/>
        <charset val="1"/>
      </rPr>
      <t xml:space="preserve">D</t>
    </r>
    <r>
      <rPr>
        <sz val="10"/>
        <color rgb="FF1F2A28"/>
        <rFont val="WenQuanYi Zen Hei"/>
        <family val="2"/>
      </rPr>
      <t xml:space="preserve">班</t>
    </r>
    <r>
      <rPr>
        <sz val="10"/>
        <color rgb="FF1F2A28"/>
        <rFont val="Arial"/>
        <family val="0"/>
        <charset val="1"/>
      </rPr>
      <t xml:space="preserve">71.28</t>
    </r>
  </si>
  <si>
    <t xml:space="preserve">2005-05-31</t>
  </si>
  <si>
    <r>
      <rPr>
        <sz val="10"/>
        <color rgb="FF1F2A28"/>
        <rFont val="WenQuanYi Zen Hei"/>
        <family val="2"/>
      </rPr>
      <t xml:space="preserve">戴爾美語教育科技事業股份有限公司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褚為誼</t>
    </r>
    <r>
      <rPr>
        <sz val="10"/>
        <color rgb="FF1F2A28"/>
        <rFont val="Arial"/>
        <family val="0"/>
        <charset val="1"/>
      </rPr>
      <t xml:space="preserve">)</t>
    </r>
  </si>
  <si>
    <t xml:space="preserve">捷森文教有限公司附設臺中市私立捷森英語短期補習班</t>
  </si>
  <si>
    <r>
      <rPr>
        <sz val="10"/>
        <color rgb="FF1F2A28"/>
        <rFont val="WenQuanYi Zen Hei"/>
        <family val="2"/>
      </rPr>
      <t xml:space="preserve">臺中市沙鹿區中山路</t>
    </r>
    <r>
      <rPr>
        <sz val="10"/>
        <color rgb="FF1F2A28"/>
        <rFont val="Arial"/>
        <family val="0"/>
        <charset val="1"/>
      </rPr>
      <t xml:space="preserve">128</t>
    </r>
    <r>
      <rPr>
        <sz val="10"/>
        <color rgb="FF1F2A28"/>
        <rFont val="WenQuanYi Zen Hei"/>
        <family val="2"/>
      </rPr>
      <t xml:space="preserve">之</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</si>
  <si>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(04)26629452</t>
  </si>
  <si>
    <t xml:space="preserve">apple@joyshalu.com</t>
  </si>
  <si>
    <r>
      <rPr>
        <sz val="10"/>
        <color rgb="FF1F2A28"/>
        <rFont val="WenQuanYi Zen Hei"/>
        <family val="2"/>
      </rPr>
      <t xml:space="preserve">捷森文教有限公司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陳香雯）</t>
    </r>
  </si>
  <si>
    <t xml:space="preserve">陳香雯</t>
  </si>
  <si>
    <t xml:space="preserve">旺達計劃國際事業有限公司附設 臺中市私立旺達英文短期補習班</t>
  </si>
  <si>
    <r>
      <rPr>
        <sz val="10"/>
        <color rgb="FF1F2A28"/>
        <rFont val="WenQuanYi Zen Hei"/>
        <family val="2"/>
      </rPr>
      <t xml:space="preserve">臺中市南屯區向上路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680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</si>
  <si>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04-23195538</t>
  </si>
  <si>
    <t xml:space="preserve">sesameeng2@gmail.com</t>
  </si>
  <si>
    <t xml:space="preserve">1998-08-19</t>
  </si>
  <si>
    <t xml:space="preserve">蔣譯德</t>
  </si>
  <si>
    <t xml:space="preserve">春田文化事業有限公司附設臺中市私立春田美語短期補習班</t>
  </si>
  <si>
    <r>
      <rPr>
        <sz val="10"/>
        <color rgb="FF1F2A28"/>
        <rFont val="WenQuanYi Zen Hei"/>
        <family val="2"/>
      </rPr>
      <t xml:space="preserve">臺中市大里區爽文路</t>
    </r>
    <r>
      <rPr>
        <sz val="10"/>
        <color rgb="FF1F2A28"/>
        <rFont val="Arial"/>
        <family val="0"/>
        <charset val="1"/>
      </rPr>
      <t xml:space="preserve">696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</si>
  <si>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(04)2406-5566</t>
  </si>
  <si>
    <t xml:space="preserve">yonglong.tc@eagletw.com</t>
  </si>
  <si>
    <t xml:space="preserve">2018-08-31</t>
  </si>
  <si>
    <t xml:space="preserve">李羽涵</t>
  </si>
  <si>
    <t xml:space="preserve">智碩資優文教事業有限公司附設臺中市私立智碩語文短期補習班</t>
  </si>
  <si>
    <r>
      <rPr>
        <sz val="10"/>
        <color rgb="FF1F2A28"/>
        <rFont val="WenQuanYi Zen Hei"/>
        <family val="2"/>
      </rPr>
      <t xml:space="preserve">臺中市豐原區自強街</t>
    </r>
    <r>
      <rPr>
        <sz val="10"/>
        <color rgb="FF1F2A28"/>
        <rFont val="Arial"/>
        <family val="0"/>
        <charset val="1"/>
      </rPr>
      <t xml:space="preserve">75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</si>
  <si>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(04)25201216</t>
  </si>
  <si>
    <t xml:space="preserve">wisdom25201216@gmail.com</t>
  </si>
  <si>
    <t xml:space="preserve">2008-06-02</t>
  </si>
  <si>
    <t xml:space="preserve">王世華</t>
  </si>
  <si>
    <t xml:space="preserve">張麗華</t>
  </si>
  <si>
    <t xml:space="preserve">柏克教育事業有限公司附設臺中市私立伯克語文短期補習班</t>
  </si>
  <si>
    <r>
      <rPr>
        <sz val="10"/>
        <color rgb="FF1F2A28"/>
        <rFont val="WenQuanYi Zen Hei"/>
        <family val="2"/>
      </rPr>
      <t xml:space="preserve">臺中市南屯區公益路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493</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</si>
  <si>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firstlight.acc@gmail.com</t>
  </si>
  <si>
    <r>
      <rPr>
        <sz val="10"/>
        <color rgb="FF1F2A28"/>
        <rFont val="WenQuanYi Zen Hei"/>
        <family val="2"/>
      </rPr>
      <t xml:space="preserve">英文</t>
    </r>
    <r>
      <rPr>
        <sz val="10"/>
        <color rgb="FF1F2A28"/>
        <rFont val="Arial"/>
        <family val="0"/>
        <charset val="1"/>
      </rPr>
      <t xml:space="preserve">20.55</t>
    </r>
    <r>
      <rPr>
        <sz val="10"/>
        <color rgb="FF1F2A28"/>
        <rFont val="WenQuanYi Zen Hei"/>
        <family val="2"/>
      </rPr>
      <t xml:space="preserve">、英文</t>
    </r>
    <r>
      <rPr>
        <sz val="10"/>
        <color rgb="FF1F2A28"/>
        <rFont val="Arial"/>
        <family val="0"/>
        <charset val="1"/>
      </rPr>
      <t xml:space="preserve">21.22</t>
    </r>
    <r>
      <rPr>
        <sz val="10"/>
        <color rgb="FF1F2A28"/>
        <rFont val="WenQuanYi Zen Hei"/>
        <family val="2"/>
      </rPr>
      <t xml:space="preserve">、英文</t>
    </r>
    <r>
      <rPr>
        <sz val="10"/>
        <color rgb="FF1F2A28"/>
        <rFont val="Arial"/>
        <family val="0"/>
        <charset val="1"/>
      </rPr>
      <t xml:space="preserve">15.61</t>
    </r>
    <r>
      <rPr>
        <sz val="10"/>
        <color rgb="FF1F2A28"/>
        <rFont val="WenQuanYi Zen Hei"/>
        <family val="2"/>
      </rPr>
      <t xml:space="preserve">、英文</t>
    </r>
    <r>
      <rPr>
        <sz val="10"/>
        <color rgb="FF1F2A28"/>
        <rFont val="Arial"/>
        <family val="0"/>
        <charset val="1"/>
      </rPr>
      <t xml:space="preserve">11.46</t>
    </r>
  </si>
  <si>
    <t xml:space="preserve">2009-07-03</t>
  </si>
  <si>
    <t xml:space="preserve">柏克教育事業有限公司、負責人：張志仰</t>
  </si>
  <si>
    <t xml:space="preserve">林巧玲</t>
  </si>
  <si>
    <t xml:space="preserve">格瑞特文教股份有限公司附設臺中市私立格瑞特美語短期補習班</t>
  </si>
  <si>
    <r>
      <rPr>
        <sz val="10"/>
        <color rgb="FF1F2A28"/>
        <rFont val="WenQuanYi Zen Hei"/>
        <family val="2"/>
      </rPr>
      <t xml:space="preserve">臺中市南屯區向心南路</t>
    </r>
    <r>
      <rPr>
        <sz val="10"/>
        <color rgb="FF1F2A28"/>
        <rFont val="Arial"/>
        <family val="0"/>
        <charset val="1"/>
      </rPr>
      <t xml:space="preserve">981</t>
    </r>
    <r>
      <rPr>
        <sz val="10"/>
        <color rgb="FF1F2A28"/>
        <rFont val="WenQuanYi Zen Hei"/>
        <family val="2"/>
      </rPr>
      <t xml:space="preserve">巷</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</si>
  <si>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(04)23813642</t>
  </si>
  <si>
    <t xml:space="preserve">2012-02-09</t>
  </si>
  <si>
    <r>
      <rPr>
        <sz val="10"/>
        <color rgb="FF1F2A28"/>
        <rFont val="WenQuanYi Zen Hei"/>
        <family val="2"/>
      </rPr>
      <t xml:space="preserve">格瑞特文教股份有限公司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黃燕勳</t>
    </r>
    <r>
      <rPr>
        <sz val="10"/>
        <color rgb="FF1F2A28"/>
        <rFont val="Arial"/>
        <family val="0"/>
        <charset val="1"/>
      </rPr>
      <t xml:space="preserve">)</t>
    </r>
  </si>
  <si>
    <t xml:space="preserve">劉翊萱</t>
  </si>
  <si>
    <t xml:space="preserve">樺田文教事業有限公司附設臺私立樺田文理短期補習班</t>
  </si>
  <si>
    <r>
      <rPr>
        <sz val="10"/>
        <color rgb="FF1F2A28"/>
        <rFont val="WenQuanYi Zen Hei"/>
        <family val="2"/>
      </rPr>
      <t xml:space="preserve">臺中市北屯區崇德六路一段</t>
    </r>
    <r>
      <rPr>
        <sz val="10"/>
        <color rgb="FF1F2A28"/>
        <rFont val="Arial"/>
        <family val="0"/>
        <charset val="1"/>
      </rPr>
      <t xml:space="preserve">129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</si>
  <si>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(04)22466826</t>
  </si>
  <si>
    <t xml:space="preserve">chongde.tc@eagletw.com</t>
  </si>
  <si>
    <r>
      <rPr>
        <sz val="10"/>
        <color rgb="FF1F2A28"/>
        <rFont val="WenQuanYi Zen Hei"/>
        <family val="2"/>
      </rPr>
      <t xml:space="preserve">美語科</t>
    </r>
    <r>
      <rPr>
        <sz val="10"/>
        <color rgb="FF1F2A28"/>
        <rFont val="Arial"/>
        <family val="0"/>
        <charset val="1"/>
      </rPr>
      <t xml:space="preserve">I</t>
    </r>
    <r>
      <rPr>
        <sz val="10"/>
        <color rgb="FF1F2A28"/>
        <rFont val="WenQuanYi Zen Hei"/>
        <family val="2"/>
      </rPr>
      <t xml:space="preserve">、美語科</t>
    </r>
    <r>
      <rPr>
        <sz val="10"/>
        <color rgb="FF1F2A28"/>
        <rFont val="Arial"/>
        <family val="0"/>
        <charset val="1"/>
      </rPr>
      <t xml:space="preserve">K</t>
    </r>
    <r>
      <rPr>
        <sz val="10"/>
        <color rgb="FF1F2A28"/>
        <rFont val="WenQuanYi Zen Hei"/>
        <family val="2"/>
      </rPr>
      <t xml:space="preserve">、美語科</t>
    </r>
    <r>
      <rPr>
        <sz val="10"/>
        <color rgb="FF1F2A28"/>
        <rFont val="Arial"/>
        <family val="0"/>
        <charset val="1"/>
      </rPr>
      <t xml:space="preserve">A</t>
    </r>
    <r>
      <rPr>
        <sz val="10"/>
        <color rgb="FF1F2A28"/>
        <rFont val="WenQuanYi Zen Hei"/>
        <family val="2"/>
      </rPr>
      <t xml:space="preserve">、美語科</t>
    </r>
    <r>
      <rPr>
        <sz val="10"/>
        <color rgb="FF1F2A28"/>
        <rFont val="Arial"/>
        <family val="0"/>
        <charset val="1"/>
      </rPr>
      <t xml:space="preserve">G</t>
    </r>
    <r>
      <rPr>
        <sz val="10"/>
        <color rgb="FF1F2A28"/>
        <rFont val="WenQuanYi Zen Hei"/>
        <family val="2"/>
      </rPr>
      <t xml:space="preserve">、美語科</t>
    </r>
    <r>
      <rPr>
        <sz val="10"/>
        <color rgb="FF1F2A28"/>
        <rFont val="Arial"/>
        <family val="0"/>
        <charset val="1"/>
      </rPr>
      <t xml:space="preserve">M</t>
    </r>
    <r>
      <rPr>
        <sz val="10"/>
        <color rgb="FF1F2A28"/>
        <rFont val="WenQuanYi Zen Hei"/>
        <family val="2"/>
      </rPr>
      <t xml:space="preserve">、美語科</t>
    </r>
    <r>
      <rPr>
        <sz val="10"/>
        <color rgb="FF1F2A28"/>
        <rFont val="Arial"/>
        <family val="0"/>
        <charset val="1"/>
      </rPr>
      <t xml:space="preserve">B</t>
    </r>
    <r>
      <rPr>
        <sz val="10"/>
        <color rgb="FF1F2A28"/>
        <rFont val="WenQuanYi Zen Hei"/>
        <family val="2"/>
      </rPr>
      <t xml:space="preserve">、美語科</t>
    </r>
    <r>
      <rPr>
        <sz val="10"/>
        <color rgb="FF1F2A28"/>
        <rFont val="Arial"/>
        <family val="0"/>
        <charset val="1"/>
      </rPr>
      <t xml:space="preserve">C</t>
    </r>
    <r>
      <rPr>
        <sz val="10"/>
        <color rgb="FF1F2A28"/>
        <rFont val="WenQuanYi Zen Hei"/>
        <family val="2"/>
      </rPr>
      <t xml:space="preserve">、美語科</t>
    </r>
    <r>
      <rPr>
        <sz val="10"/>
        <color rgb="FF1F2A28"/>
        <rFont val="Arial"/>
        <family val="0"/>
        <charset val="1"/>
      </rPr>
      <t xml:space="preserve">H</t>
    </r>
    <r>
      <rPr>
        <sz val="10"/>
        <color rgb="FF1F2A28"/>
        <rFont val="WenQuanYi Zen Hei"/>
        <family val="2"/>
      </rPr>
      <t xml:space="preserve">、美語科</t>
    </r>
    <r>
      <rPr>
        <sz val="10"/>
        <color rgb="FF1F2A28"/>
        <rFont val="Arial"/>
        <family val="0"/>
        <charset val="1"/>
      </rPr>
      <t xml:space="preserve">F</t>
    </r>
    <r>
      <rPr>
        <sz val="10"/>
        <color rgb="FF1F2A28"/>
        <rFont val="WenQuanYi Zen Hei"/>
        <family val="2"/>
      </rPr>
      <t xml:space="preserve">、美語科</t>
    </r>
    <r>
      <rPr>
        <sz val="10"/>
        <color rgb="FF1F2A28"/>
        <rFont val="Arial"/>
        <family val="0"/>
        <charset val="1"/>
      </rPr>
      <t xml:space="preserve">E</t>
    </r>
    <r>
      <rPr>
        <sz val="10"/>
        <color rgb="FF1F2A28"/>
        <rFont val="WenQuanYi Zen Hei"/>
        <family val="2"/>
      </rPr>
      <t xml:space="preserve">、美語科</t>
    </r>
    <r>
      <rPr>
        <sz val="10"/>
        <color rgb="FF1F2A28"/>
        <rFont val="Arial"/>
        <family val="0"/>
        <charset val="1"/>
      </rPr>
      <t xml:space="preserve">L</t>
    </r>
    <r>
      <rPr>
        <sz val="10"/>
        <color rgb="FF1F2A28"/>
        <rFont val="WenQuanYi Zen Hei"/>
        <family val="2"/>
      </rPr>
      <t xml:space="preserve">、美語科</t>
    </r>
    <r>
      <rPr>
        <sz val="10"/>
        <color rgb="FF1F2A28"/>
        <rFont val="Arial"/>
        <family val="0"/>
        <charset val="1"/>
      </rPr>
      <t xml:space="preserve">D</t>
    </r>
    <r>
      <rPr>
        <sz val="10"/>
        <color rgb="FF1F2A28"/>
        <rFont val="WenQuanYi Zen Hei"/>
        <family val="2"/>
      </rPr>
      <t xml:space="preserve">、美語科</t>
    </r>
    <r>
      <rPr>
        <sz val="10"/>
        <color rgb="FF1F2A28"/>
        <rFont val="Arial"/>
        <family val="0"/>
        <charset val="1"/>
      </rPr>
      <t xml:space="preserve">J</t>
    </r>
  </si>
  <si>
    <t xml:space="preserve">2024-02-01</t>
  </si>
  <si>
    <t xml:space="preserve">李添池</t>
  </si>
  <si>
    <t xml:space="preserve">王文君</t>
  </si>
  <si>
    <t xml:space="preserve">湖田文化事業有限公司附設臺中市私立湖田美語短期補習班</t>
  </si>
  <si>
    <r>
      <rPr>
        <sz val="10"/>
        <color rgb="FF1F2A28"/>
        <rFont val="WenQuanYi Zen Hei"/>
        <family val="2"/>
      </rPr>
      <t xml:space="preserve">臺中市北屯區崇德六路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131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</si>
  <si>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r>
      <rPr>
        <sz val="10"/>
        <color rgb="FF1F2A28"/>
        <rFont val="WenQuanYi Zen Hei"/>
        <family val="2"/>
      </rPr>
      <t xml:space="preserve">美語</t>
    </r>
    <r>
      <rPr>
        <sz val="10"/>
        <color rgb="FF1F2A28"/>
        <rFont val="Arial"/>
        <family val="0"/>
        <charset val="1"/>
      </rPr>
      <t xml:space="preserve">20.38</t>
    </r>
    <r>
      <rPr>
        <sz val="10"/>
        <color rgb="FF1F2A28"/>
        <rFont val="WenQuanYi Zen Hei"/>
        <family val="2"/>
      </rPr>
      <t xml:space="preserve">、美語</t>
    </r>
    <r>
      <rPr>
        <sz val="10"/>
        <color rgb="FF1F2A28"/>
        <rFont val="Arial"/>
        <family val="0"/>
        <charset val="1"/>
      </rPr>
      <t xml:space="preserve">13.48</t>
    </r>
    <r>
      <rPr>
        <sz val="10"/>
        <color rgb="FF1F2A28"/>
        <rFont val="WenQuanYi Zen Hei"/>
        <family val="2"/>
      </rPr>
      <t xml:space="preserve">、美語</t>
    </r>
    <r>
      <rPr>
        <sz val="10"/>
        <color rgb="FF1F2A28"/>
        <rFont val="Arial"/>
        <family val="0"/>
        <charset val="1"/>
      </rPr>
      <t xml:space="preserve">25.63</t>
    </r>
    <r>
      <rPr>
        <sz val="10"/>
        <color rgb="FF1F2A28"/>
        <rFont val="WenQuanYi Zen Hei"/>
        <family val="2"/>
      </rPr>
      <t xml:space="preserve">、美語</t>
    </r>
    <r>
      <rPr>
        <sz val="10"/>
        <color rgb="FF1F2A28"/>
        <rFont val="Arial"/>
        <family val="0"/>
        <charset val="1"/>
      </rPr>
      <t xml:space="preserve">18.56</t>
    </r>
  </si>
  <si>
    <t xml:space="preserve">私立傑克森美語會話短期補習班</t>
  </si>
  <si>
    <r>
      <rPr>
        <sz val="10"/>
        <color rgb="FF1F2A28"/>
        <rFont val="WenQuanYi Zen Hei"/>
        <family val="2"/>
      </rPr>
      <t xml:space="preserve">臺中市南屯區永春東路</t>
    </r>
    <r>
      <rPr>
        <sz val="10"/>
        <color rgb="FF1F2A28"/>
        <rFont val="Arial"/>
        <family val="0"/>
        <charset val="1"/>
      </rPr>
      <t xml:space="preserve">275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</si>
  <si>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04-24737578</t>
  </si>
  <si>
    <t xml:space="preserve">oregangreen@gmail.com</t>
  </si>
  <si>
    <r>
      <rPr>
        <sz val="10"/>
        <color rgb="FF1F2A28"/>
        <rFont val="WenQuanYi Zen Hei"/>
        <family val="2"/>
      </rPr>
      <t xml:space="preserve">美語科</t>
    </r>
    <r>
      <rPr>
        <sz val="10"/>
        <color rgb="FF1F2A28"/>
        <rFont val="Arial"/>
        <family val="0"/>
        <charset val="1"/>
      </rPr>
      <t xml:space="preserve">A</t>
    </r>
    <r>
      <rPr>
        <sz val="10"/>
        <color rgb="FF1F2A28"/>
        <rFont val="WenQuanYi Zen Hei"/>
        <family val="2"/>
      </rPr>
      <t xml:space="preserve">班、美語科</t>
    </r>
    <r>
      <rPr>
        <sz val="10"/>
        <color rgb="FF1F2A28"/>
        <rFont val="Arial"/>
        <family val="0"/>
        <charset val="1"/>
      </rPr>
      <t xml:space="preserve">D</t>
    </r>
    <r>
      <rPr>
        <sz val="10"/>
        <color rgb="FF1F2A28"/>
        <rFont val="WenQuanYi Zen Hei"/>
        <family val="2"/>
      </rPr>
      <t xml:space="preserve">班、美語科</t>
    </r>
    <r>
      <rPr>
        <sz val="10"/>
        <color rgb="FF1F2A28"/>
        <rFont val="Arial"/>
        <family val="0"/>
        <charset val="1"/>
      </rPr>
      <t xml:space="preserve">E</t>
    </r>
    <r>
      <rPr>
        <sz val="10"/>
        <color rgb="FF1F2A28"/>
        <rFont val="WenQuanYi Zen Hei"/>
        <family val="2"/>
      </rPr>
      <t xml:space="preserve">班、美語科</t>
    </r>
    <r>
      <rPr>
        <sz val="10"/>
        <color rgb="FF1F2A28"/>
        <rFont val="Arial"/>
        <family val="0"/>
        <charset val="1"/>
      </rPr>
      <t xml:space="preserve">F</t>
    </r>
    <r>
      <rPr>
        <sz val="10"/>
        <color rgb="FF1F2A28"/>
        <rFont val="WenQuanYi Zen Hei"/>
        <family val="2"/>
      </rPr>
      <t xml:space="preserve">班、美語科</t>
    </r>
    <r>
      <rPr>
        <sz val="10"/>
        <color rgb="FF1F2A28"/>
        <rFont val="Arial"/>
        <family val="0"/>
        <charset val="1"/>
      </rPr>
      <t xml:space="preserve">G</t>
    </r>
    <r>
      <rPr>
        <sz val="10"/>
        <color rgb="FF1F2A28"/>
        <rFont val="WenQuanYi Zen Hei"/>
        <family val="2"/>
      </rPr>
      <t xml:space="preserve">班、美語科</t>
    </r>
    <r>
      <rPr>
        <sz val="10"/>
        <color rgb="FF1F2A28"/>
        <rFont val="Arial"/>
        <family val="0"/>
        <charset val="1"/>
      </rPr>
      <t xml:space="preserve">H</t>
    </r>
    <r>
      <rPr>
        <sz val="10"/>
        <color rgb="FF1F2A28"/>
        <rFont val="WenQuanYi Zen Hei"/>
        <family val="2"/>
      </rPr>
      <t xml:space="preserve">班、美語科</t>
    </r>
    <r>
      <rPr>
        <sz val="10"/>
        <color rgb="FF1F2A28"/>
        <rFont val="Arial"/>
        <family val="0"/>
        <charset val="1"/>
      </rPr>
      <t xml:space="preserve">B</t>
    </r>
    <r>
      <rPr>
        <sz val="10"/>
        <color rgb="FF1F2A28"/>
        <rFont val="WenQuanYi Zen Hei"/>
        <family val="2"/>
      </rPr>
      <t xml:space="preserve">班、美語科</t>
    </r>
    <r>
      <rPr>
        <sz val="10"/>
        <color rgb="FF1F2A28"/>
        <rFont val="Arial"/>
        <family val="0"/>
        <charset val="1"/>
      </rPr>
      <t xml:space="preserve">C</t>
    </r>
    <r>
      <rPr>
        <sz val="10"/>
        <color rgb="FF1F2A28"/>
        <rFont val="WenQuanYi Zen Hei"/>
        <family val="2"/>
      </rPr>
      <t xml:space="preserve">班</t>
    </r>
  </si>
  <si>
    <t xml:space="preserve">徐月娥</t>
  </si>
  <si>
    <t xml:space="preserve">私立元聖心文理短期補習班</t>
  </si>
  <si>
    <r>
      <rPr>
        <sz val="10"/>
        <color rgb="FF1F2A28"/>
        <rFont val="WenQuanYi Zen Hei"/>
        <family val="2"/>
      </rPr>
      <t xml:space="preserve">臺中市南屯區黎明東街</t>
    </r>
    <r>
      <rPr>
        <sz val="10"/>
        <color rgb="FF1F2A28"/>
        <rFont val="Arial"/>
        <family val="0"/>
        <charset val="1"/>
      </rPr>
      <t xml:space="preserve">403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</si>
  <si>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(04)22558503</t>
  </si>
  <si>
    <t xml:space="preserve">happyand33@yahoo.com.tw</t>
  </si>
  <si>
    <t xml:space="preserve">2008-01-25</t>
  </si>
  <si>
    <t xml:space="preserve">黃楹婕</t>
  </si>
  <si>
    <t xml:space="preserve">私立品範美語短期補習班</t>
  </si>
  <si>
    <r>
      <rPr>
        <sz val="10"/>
        <color rgb="FF1F2A28"/>
        <rFont val="WenQuanYi Zen Hei"/>
        <family val="2"/>
      </rPr>
      <t xml:space="preserve">臺中市南屯區河南路四段</t>
    </r>
    <r>
      <rPr>
        <sz val="10"/>
        <color rgb="FF1F2A28"/>
        <rFont val="Arial"/>
        <family val="0"/>
        <charset val="1"/>
      </rPr>
      <t xml:space="preserve">386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</si>
  <si>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(04)22521386</t>
  </si>
  <si>
    <t xml:space="preserve">perfectionenglish386@gmail.com</t>
  </si>
  <si>
    <t xml:space="preserve">2005-12-23</t>
  </si>
  <si>
    <t xml:space="preserve">陳蔓菁</t>
  </si>
  <si>
    <t xml:space="preserve">吳秋蓮</t>
  </si>
  <si>
    <t xml:space="preserve">私立小宇宙美語會話短期補習班</t>
  </si>
  <si>
    <r>
      <rPr>
        <sz val="10"/>
        <color rgb="FF1F2A28"/>
        <rFont val="WenQuanYi Zen Hei"/>
        <family val="2"/>
      </rPr>
      <t xml:space="preserve">臺中市南屯區河南路四段</t>
    </r>
    <r>
      <rPr>
        <sz val="10"/>
        <color rgb="FF1F2A28"/>
        <rFont val="Arial"/>
        <family val="0"/>
        <charset val="1"/>
      </rPr>
      <t xml:space="preserve">498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</si>
  <si>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04-23853800</t>
  </si>
  <si>
    <r>
      <rPr>
        <sz val="10"/>
        <color rgb="FF1F2A28"/>
        <rFont val="WenQuanYi Zen Hei"/>
        <family val="2"/>
      </rPr>
      <t xml:space="preserve">美語</t>
    </r>
    <r>
      <rPr>
        <sz val="10"/>
        <color rgb="FF1F2A28"/>
        <rFont val="Arial"/>
        <family val="0"/>
        <charset val="1"/>
      </rPr>
      <t xml:space="preserve">21.08</t>
    </r>
    <r>
      <rPr>
        <sz val="10"/>
        <color rgb="FF1F2A28"/>
        <rFont val="WenQuanYi Zen Hei"/>
        <family val="2"/>
      </rPr>
      <t xml:space="preserve">、美語</t>
    </r>
    <r>
      <rPr>
        <sz val="10"/>
        <color rgb="FF1F2A28"/>
        <rFont val="Arial"/>
        <family val="0"/>
        <charset val="1"/>
      </rPr>
      <t xml:space="preserve">22.33</t>
    </r>
    <r>
      <rPr>
        <sz val="10"/>
        <color rgb="FF1F2A28"/>
        <rFont val="WenQuanYi Zen Hei"/>
        <family val="2"/>
      </rPr>
      <t xml:space="preserve">、美語</t>
    </r>
    <r>
      <rPr>
        <sz val="10"/>
        <color rgb="FF1F2A28"/>
        <rFont val="Arial"/>
        <family val="0"/>
        <charset val="1"/>
      </rPr>
      <t xml:space="preserve">17.78</t>
    </r>
  </si>
  <si>
    <t xml:space="preserve">2001-12-28</t>
  </si>
  <si>
    <t xml:space="preserve">黃秋平</t>
  </si>
  <si>
    <t xml:space="preserve">私立幼獅美語數學短期補習班</t>
  </si>
  <si>
    <r>
      <rPr>
        <sz val="10"/>
        <color rgb="FF1F2A28"/>
        <rFont val="WenQuanYi Zen Hei"/>
        <family val="2"/>
      </rPr>
      <t xml:space="preserve">臺中市南屯區大業路</t>
    </r>
    <r>
      <rPr>
        <sz val="10"/>
        <color rgb="FF1F2A28"/>
        <rFont val="Arial"/>
        <family val="0"/>
        <charset val="1"/>
      </rPr>
      <t xml:space="preserve">307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樓及地下一樓</t>
    </r>
  </si>
  <si>
    <t xml:space="preserve">(04)23108969</t>
  </si>
  <si>
    <t xml:space="preserve">Chiangyuanyuan7516@gmail.com</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</si>
  <si>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、美語</t>
    </r>
    <r>
      <rPr>
        <sz val="10"/>
        <color rgb="FF1F2A28"/>
        <rFont val="Arial"/>
        <family val="0"/>
        <charset val="1"/>
      </rPr>
      <t xml:space="preserve">B</t>
    </r>
    <r>
      <rPr>
        <sz val="10"/>
        <color rgb="FF1F2A28"/>
        <rFont val="WenQuanYi Zen Hei"/>
        <family val="2"/>
      </rPr>
      <t xml:space="preserve">、美語</t>
    </r>
    <r>
      <rPr>
        <sz val="10"/>
        <color rgb="FF1F2A28"/>
        <rFont val="Arial"/>
        <family val="0"/>
        <charset val="1"/>
      </rPr>
      <t xml:space="preserve">C</t>
    </r>
    <r>
      <rPr>
        <sz val="10"/>
        <color rgb="FF1F2A28"/>
        <rFont val="WenQuanYi Zen Hei"/>
        <family val="2"/>
      </rPr>
      <t xml:space="preserve">、美語</t>
    </r>
    <r>
      <rPr>
        <sz val="10"/>
        <color rgb="FF1F2A28"/>
        <rFont val="Arial"/>
        <family val="0"/>
        <charset val="1"/>
      </rPr>
      <t xml:space="preserve">D</t>
    </r>
    <r>
      <rPr>
        <sz val="10"/>
        <color rgb="FF1F2A28"/>
        <rFont val="WenQuanYi Zen Hei"/>
        <family val="2"/>
      </rPr>
      <t xml:space="preserve">、美語</t>
    </r>
    <r>
      <rPr>
        <sz val="10"/>
        <color rgb="FF1F2A28"/>
        <rFont val="Arial"/>
        <family val="0"/>
        <charset val="1"/>
      </rPr>
      <t xml:space="preserve">E</t>
    </r>
    <r>
      <rPr>
        <sz val="10"/>
        <color rgb="FF1F2A28"/>
        <rFont val="WenQuanYi Zen Hei"/>
        <family val="2"/>
      </rPr>
      <t xml:space="preserve">、美語</t>
    </r>
    <r>
      <rPr>
        <sz val="10"/>
        <color rgb="FF1F2A28"/>
        <rFont val="Arial"/>
        <family val="0"/>
        <charset val="1"/>
      </rPr>
      <t xml:space="preserve">F</t>
    </r>
  </si>
  <si>
    <t xml:space="preserve">2006-09-13</t>
  </si>
  <si>
    <t xml:space="preserve">江緣緣</t>
  </si>
  <si>
    <t xml:space="preserve">私立幾米文理短期補習班</t>
  </si>
  <si>
    <r>
      <rPr>
        <sz val="10"/>
        <color rgb="FF1F2A28"/>
        <rFont val="WenQuanYi Zen Hei"/>
        <family val="2"/>
      </rPr>
      <t xml:space="preserve">臺中市南屯區大墩十二街</t>
    </r>
    <r>
      <rPr>
        <sz val="10"/>
        <color rgb="FF1F2A28"/>
        <rFont val="Arial"/>
        <family val="0"/>
        <charset val="1"/>
      </rPr>
      <t xml:space="preserve">648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</si>
  <si>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04-22520339</t>
  </si>
  <si>
    <t xml:space="preserve">bettysky2005@yahoo.com.tw</t>
  </si>
  <si>
    <t xml:space="preserve">2004-02-04</t>
  </si>
  <si>
    <t xml:space="preserve">童寶鳳</t>
  </si>
  <si>
    <t xml:space="preserve">私立莎莉美語短期補習班</t>
  </si>
  <si>
    <r>
      <rPr>
        <sz val="10"/>
        <color rgb="FF1F2A28"/>
        <rFont val="WenQuanYi Zen Hei"/>
        <family val="2"/>
      </rPr>
      <t xml:space="preserve">臺中市太平區振文路</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</si>
  <si>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(04)23957630</t>
  </si>
  <si>
    <t xml:space="preserve">2005-08-10</t>
  </si>
  <si>
    <t xml:space="preserve">廖穗倫</t>
  </si>
  <si>
    <t xml:space="preserve">約書亞探索體驗有限公司附設臺中市私立約書亞文理短期補習班永春分班</t>
  </si>
  <si>
    <r>
      <rPr>
        <sz val="10"/>
        <color rgb="FF1F2A28"/>
        <rFont val="WenQuanYi Zen Hei"/>
        <family val="2"/>
      </rPr>
      <t xml:space="preserve">臺中市南屯區永春東路</t>
    </r>
    <r>
      <rPr>
        <sz val="10"/>
        <color rgb="FF1F2A28"/>
        <rFont val="Arial"/>
        <family val="0"/>
        <charset val="1"/>
      </rPr>
      <t xml:space="preserve">281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</si>
  <si>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(04)24726868</t>
  </si>
  <si>
    <t xml:space="preserve">icwc.yongchun@gmail.com</t>
  </si>
  <si>
    <t xml:space="preserve">熊文毅</t>
  </si>
  <si>
    <t xml:space="preserve">江杏幸</t>
  </si>
  <si>
    <t xml:space="preserve">紘睿興業有限公司附設臺中市私立紘睿文理技藝短期補習班</t>
  </si>
  <si>
    <r>
      <rPr>
        <sz val="10"/>
        <color rgb="FF1F2A28"/>
        <rFont val="WenQuanYi Zen Hei"/>
        <family val="2"/>
      </rPr>
      <t xml:space="preserve">臺中市西屯區青海路二段</t>
    </r>
    <r>
      <rPr>
        <sz val="10"/>
        <color rgb="FF1F2A28"/>
        <rFont val="Arial"/>
        <family val="0"/>
        <charset val="1"/>
      </rPr>
      <t xml:space="preserve">369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</si>
  <si>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0427088090</t>
  </si>
  <si>
    <t xml:space="preserve">CHmeikoschool@meikoschool.com.tw</t>
  </si>
  <si>
    <r>
      <rPr>
        <sz val="10"/>
        <color rgb="FF1F2A28"/>
        <rFont val="WenQuanYi Zen Hei"/>
        <family val="2"/>
      </rPr>
      <t xml:space="preserve">紘睿興業有限公司</t>
    </r>
    <r>
      <rPr>
        <sz val="10"/>
        <color rgb="FF1F2A28"/>
        <rFont val="Arial"/>
        <family val="0"/>
        <charset val="1"/>
      </rPr>
      <t xml:space="preserve">(</t>
    </r>
    <r>
      <rPr>
        <sz val="10"/>
        <color rgb="FF1F2A28"/>
        <rFont val="WenQuanYi Zen Hei"/>
        <family val="2"/>
      </rPr>
      <t xml:space="preserve">負責人劉芸芸</t>
    </r>
    <r>
      <rPr>
        <sz val="10"/>
        <color rgb="FF1F2A28"/>
        <rFont val="Arial"/>
        <family val="0"/>
        <charset val="1"/>
      </rPr>
      <t xml:space="preserve">)</t>
    </r>
  </si>
  <si>
    <t xml:space="preserve">陳品學</t>
  </si>
  <si>
    <t xml:space="preserve">臺中市私立一加一語文短期補習班</t>
  </si>
  <si>
    <r>
      <rPr>
        <sz val="10"/>
        <color rgb="FF1F2A28"/>
        <rFont val="WenQuanYi Zen Hei"/>
        <family val="2"/>
      </rPr>
      <t xml:space="preserve">臺中市大雅區雅環路三段</t>
    </r>
    <r>
      <rPr>
        <sz val="10"/>
        <color rgb="FF1F2A28"/>
        <rFont val="Arial"/>
        <family val="0"/>
        <charset val="1"/>
      </rPr>
      <t xml:space="preserve">71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</si>
  <si>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0425651660</t>
  </si>
  <si>
    <t xml:space="preserve">johnny0910@me.com</t>
  </si>
  <si>
    <t xml:space="preserve">2002-07-08</t>
  </si>
  <si>
    <t xml:space="preserve">莊惠吉</t>
  </si>
  <si>
    <t xml:space="preserve">莊惠榮</t>
  </si>
  <si>
    <t xml:space="preserve">臺中市私立三育美語短期補習班</t>
  </si>
  <si>
    <r>
      <rPr>
        <sz val="10"/>
        <color rgb="FF1F2A28"/>
        <rFont val="WenQuanYi Zen Hei"/>
        <family val="2"/>
      </rPr>
      <t xml:space="preserve">臺中市大甲區中山路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292-2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</si>
  <si>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26821103</t>
  </si>
  <si>
    <t xml:space="preserve">2000-11-27</t>
  </si>
  <si>
    <t xml:space="preserve">王敏昌</t>
  </si>
  <si>
    <t xml:space="preserve">楊瓊鴻</t>
  </si>
  <si>
    <t xml:space="preserve">臺中市私立上全美語會話短期補習班</t>
  </si>
  <si>
    <r>
      <rPr>
        <sz val="10"/>
        <color rgb="FF1F2A28"/>
        <rFont val="WenQuanYi Zen Hei"/>
        <family val="2"/>
      </rPr>
      <t xml:space="preserve">臺中市南屯區黎明東街</t>
    </r>
    <r>
      <rPr>
        <sz val="10"/>
        <color rgb="FF1F2A28"/>
        <rFont val="Arial"/>
        <family val="0"/>
        <charset val="1"/>
      </rPr>
      <t xml:space="preserve">395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</si>
  <si>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04-22516083</t>
  </si>
  <si>
    <t xml:space="preserve">tgsaariy@gmail.com</t>
  </si>
  <si>
    <t xml:space="preserve">曾慧亭</t>
  </si>
  <si>
    <t xml:space="preserve">蔡育享</t>
  </si>
  <si>
    <t xml:space="preserve">臺中市私立中科美語會話短期補習班</t>
  </si>
  <si>
    <r>
      <rPr>
        <sz val="10"/>
        <color rgb="FF1F2A28"/>
        <rFont val="WenQuanYi Zen Hei"/>
        <family val="2"/>
      </rPr>
      <t xml:space="preserve">臺中市西屯區逢甲路</t>
    </r>
    <r>
      <rPr>
        <sz val="10"/>
        <color rgb="FF1F2A28"/>
        <rFont val="Arial"/>
        <family val="0"/>
        <charset val="1"/>
      </rPr>
      <t xml:space="preserve">301</t>
    </r>
    <r>
      <rPr>
        <sz val="10"/>
        <color rgb="FF1F2A28"/>
        <rFont val="WenQuanYi Zen Hei"/>
        <family val="2"/>
      </rPr>
      <t xml:space="preserve">巷</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</si>
  <si>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04-27075558</t>
  </si>
  <si>
    <t xml:space="preserve">劉 朮</t>
  </si>
  <si>
    <t xml:space="preserve">陳宏志</t>
  </si>
  <si>
    <t xml:space="preserve">臺中市私立丹尼爾美語短期補習班</t>
  </si>
  <si>
    <r>
      <rPr>
        <sz val="10"/>
        <color rgb="FF1F2A28"/>
        <rFont val="WenQuanYi Zen Hei"/>
        <family val="2"/>
      </rPr>
      <t xml:space="preserve">臺中市西屯區福雅路</t>
    </r>
    <r>
      <rPr>
        <sz val="10"/>
        <color rgb="FF1F2A28"/>
        <rFont val="Arial"/>
        <family val="0"/>
        <charset val="1"/>
      </rPr>
      <t xml:space="preserve">128</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</si>
  <si>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(04)24624567</t>
  </si>
  <si>
    <t xml:space="preserve">giraffeyongan@gmail.com</t>
  </si>
  <si>
    <t xml:space="preserve">陳幸珠</t>
  </si>
  <si>
    <t xml:space="preserve">臺中市私立丹迪美語短期補習班</t>
  </si>
  <si>
    <r>
      <rPr>
        <sz val="10"/>
        <color rgb="FF1F2A28"/>
        <rFont val="WenQuanYi Zen Hei"/>
        <family val="2"/>
      </rPr>
      <t xml:space="preserve">臺中市太平區樹孝路</t>
    </r>
    <r>
      <rPr>
        <sz val="10"/>
        <color rgb="FF1F2A28"/>
        <rFont val="Arial"/>
        <family val="0"/>
        <charset val="1"/>
      </rPr>
      <t xml:space="preserve">274</t>
    </r>
    <r>
      <rPr>
        <sz val="10"/>
        <color rgb="FF1F2A28"/>
        <rFont val="WenQuanYi Zen Hei"/>
        <family val="2"/>
      </rPr>
      <t xml:space="preserve">巷</t>
    </r>
    <r>
      <rPr>
        <sz val="10"/>
        <color rgb="FF1F2A28"/>
        <rFont val="Arial"/>
        <family val="0"/>
        <charset val="1"/>
      </rPr>
      <t xml:space="preserve">9</t>
    </r>
    <r>
      <rPr>
        <sz val="10"/>
        <color rgb="FF1F2A28"/>
        <rFont val="WenQuanYi Zen Hei"/>
        <family val="2"/>
      </rPr>
      <t xml:space="preserve">弄</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</si>
  <si>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(04)23915295</t>
  </si>
  <si>
    <t xml:space="preserve">2016-03-03</t>
  </si>
  <si>
    <t xml:space="preserve">廖秀芳</t>
  </si>
  <si>
    <t xml:space="preserve">臺中市私立人文文理短期補習班</t>
  </si>
  <si>
    <r>
      <rPr>
        <sz val="10"/>
        <color rgb="FF1F2A28"/>
        <rFont val="WenQuanYi Zen Hei"/>
        <family val="2"/>
      </rPr>
      <t xml:space="preserve">臺中市北屯區北屯路</t>
    </r>
    <r>
      <rPr>
        <sz val="10"/>
        <color rgb="FF1F2A28"/>
        <rFont val="Arial"/>
        <family val="0"/>
        <charset val="1"/>
      </rPr>
      <t xml:space="preserve">135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</si>
  <si>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(04)27066061</t>
  </si>
  <si>
    <r>
      <rPr>
        <sz val="10"/>
        <color rgb="FF1F2A28"/>
        <rFont val="WenQuanYi Zen Hei"/>
        <family val="2"/>
      </rPr>
      <t xml:space="preserve">英語</t>
    </r>
    <r>
      <rPr>
        <sz val="10"/>
        <color rgb="FF1F2A28"/>
        <rFont val="Arial"/>
        <family val="0"/>
        <charset val="1"/>
      </rPr>
      <t xml:space="preserve">19.32</t>
    </r>
  </si>
  <si>
    <t xml:space="preserve">2008-10-20</t>
  </si>
  <si>
    <t xml:space="preserve">廖祿永</t>
  </si>
  <si>
    <t xml:space="preserve">游惠招</t>
  </si>
  <si>
    <t xml:space="preserve">臺中市私立仁勝英語短期補習班</t>
  </si>
  <si>
    <r>
      <rPr>
        <sz val="10"/>
        <color rgb="FF1F2A28"/>
        <rFont val="WenQuanYi Zen Hei"/>
        <family val="2"/>
      </rPr>
      <t xml:space="preserve">臺中市大甲區五福街</t>
    </r>
    <r>
      <rPr>
        <sz val="10"/>
        <color rgb="FF1F2A28"/>
        <rFont val="Arial"/>
        <family val="0"/>
        <charset val="1"/>
      </rPr>
      <t xml:space="preserve">47</t>
    </r>
    <r>
      <rPr>
        <sz val="10"/>
        <color rgb="FF1F2A28"/>
        <rFont val="WenQuanYi Zen Hei"/>
        <family val="2"/>
      </rPr>
      <t xml:space="preserve">巷</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3-4</t>
    </r>
    <r>
      <rPr>
        <sz val="10"/>
        <color rgb="FF1F2A28"/>
        <rFont val="WenQuanYi Zen Hei"/>
        <family val="2"/>
      </rPr>
      <t xml:space="preserve">樓</t>
    </r>
  </si>
  <si>
    <t xml:space="preserve">(04)26876802</t>
  </si>
  <si>
    <t xml:space="preserve">hs2120@hess.com.tw</t>
  </si>
  <si>
    <r>
      <rPr>
        <sz val="10"/>
        <color rgb="FF1F2A28"/>
        <rFont val="WenQuanYi Zen Hei"/>
        <family val="2"/>
      </rPr>
      <t xml:space="preserve">英語</t>
    </r>
    <r>
      <rPr>
        <sz val="10"/>
        <color rgb="FF1F2A28"/>
        <rFont val="Arial"/>
        <family val="0"/>
        <charset val="1"/>
      </rPr>
      <t xml:space="preserve">A1</t>
    </r>
    <r>
      <rPr>
        <sz val="10"/>
        <color rgb="FF1F2A28"/>
        <rFont val="WenQuanYi Zen Hei"/>
        <family val="2"/>
      </rPr>
      <t xml:space="preserve">、英語</t>
    </r>
    <r>
      <rPr>
        <sz val="10"/>
        <color rgb="FF1F2A28"/>
        <rFont val="Arial"/>
        <family val="0"/>
        <charset val="1"/>
      </rPr>
      <t xml:space="preserve">A8</t>
    </r>
    <r>
      <rPr>
        <sz val="10"/>
        <color rgb="FF1F2A28"/>
        <rFont val="WenQuanYi Zen Hei"/>
        <family val="2"/>
      </rPr>
      <t xml:space="preserve">、英語</t>
    </r>
    <r>
      <rPr>
        <sz val="10"/>
        <color rgb="FF1F2A28"/>
        <rFont val="Arial"/>
        <family val="0"/>
        <charset val="1"/>
      </rPr>
      <t xml:space="preserve">A2</t>
    </r>
    <r>
      <rPr>
        <sz val="10"/>
        <color rgb="FF1F2A28"/>
        <rFont val="WenQuanYi Zen Hei"/>
        <family val="2"/>
      </rPr>
      <t xml:space="preserve">、英語</t>
    </r>
    <r>
      <rPr>
        <sz val="10"/>
        <color rgb="FF1F2A28"/>
        <rFont val="Arial"/>
        <family val="0"/>
        <charset val="1"/>
      </rPr>
      <t xml:space="preserve">A3</t>
    </r>
    <r>
      <rPr>
        <sz val="10"/>
        <color rgb="FF1F2A28"/>
        <rFont val="WenQuanYi Zen Hei"/>
        <family val="2"/>
      </rPr>
      <t xml:space="preserve">、英語</t>
    </r>
    <r>
      <rPr>
        <sz val="10"/>
        <color rgb="FF1F2A28"/>
        <rFont val="Arial"/>
        <family val="0"/>
        <charset val="1"/>
      </rPr>
      <t xml:space="preserve">A4</t>
    </r>
    <r>
      <rPr>
        <sz val="10"/>
        <color rgb="FF1F2A28"/>
        <rFont val="WenQuanYi Zen Hei"/>
        <family val="2"/>
      </rPr>
      <t xml:space="preserve">、英語</t>
    </r>
    <r>
      <rPr>
        <sz val="10"/>
        <color rgb="FF1F2A28"/>
        <rFont val="Arial"/>
        <family val="0"/>
        <charset val="1"/>
      </rPr>
      <t xml:space="preserve">A5</t>
    </r>
    <r>
      <rPr>
        <sz val="10"/>
        <color rgb="FF1F2A28"/>
        <rFont val="WenQuanYi Zen Hei"/>
        <family val="2"/>
      </rPr>
      <t xml:space="preserve">、英語</t>
    </r>
    <r>
      <rPr>
        <sz val="10"/>
        <color rgb="FF1F2A28"/>
        <rFont val="Arial"/>
        <family val="0"/>
        <charset val="1"/>
      </rPr>
      <t xml:space="preserve">A6</t>
    </r>
    <r>
      <rPr>
        <sz val="10"/>
        <color rgb="FF1F2A28"/>
        <rFont val="WenQuanYi Zen Hei"/>
        <family val="2"/>
      </rPr>
      <t xml:space="preserve">、英語</t>
    </r>
    <r>
      <rPr>
        <sz val="10"/>
        <color rgb="FF1F2A28"/>
        <rFont val="Arial"/>
        <family val="0"/>
        <charset val="1"/>
      </rPr>
      <t xml:space="preserve">A7</t>
    </r>
    <r>
      <rPr>
        <sz val="10"/>
        <color rgb="FF1F2A28"/>
        <rFont val="WenQuanYi Zen Hei"/>
        <family val="2"/>
      </rPr>
      <t xml:space="preserve">、英語</t>
    </r>
    <r>
      <rPr>
        <sz val="10"/>
        <color rgb="FF1F2A28"/>
        <rFont val="Arial"/>
        <family val="0"/>
        <charset val="1"/>
      </rPr>
      <t xml:space="preserve">A9</t>
    </r>
    <r>
      <rPr>
        <sz val="10"/>
        <color rgb="FF1F2A28"/>
        <rFont val="WenQuanYi Zen Hei"/>
        <family val="2"/>
      </rPr>
      <t xml:space="preserve">、英語</t>
    </r>
    <r>
      <rPr>
        <sz val="10"/>
        <color rgb="FF1F2A28"/>
        <rFont val="Arial"/>
        <family val="0"/>
        <charset val="1"/>
      </rPr>
      <t xml:space="preserve">A10</t>
    </r>
  </si>
  <si>
    <t xml:space="preserve">2008-10-31</t>
  </si>
  <si>
    <t xml:space="preserve">張佳琪</t>
  </si>
  <si>
    <t xml:space="preserve">臺中市私立仁美美語會話短期補習班</t>
  </si>
  <si>
    <r>
      <rPr>
        <sz val="10"/>
        <color rgb="FF1F2A28"/>
        <rFont val="WenQuanYi Zen Hei"/>
        <family val="2"/>
      </rPr>
      <t xml:space="preserve">臺中市北屯區豐樂路</t>
    </r>
    <r>
      <rPr>
        <sz val="10"/>
        <color rgb="FF1F2A28"/>
        <rFont val="Arial"/>
        <family val="0"/>
        <charset val="1"/>
      </rPr>
      <t xml:space="preserve">10-30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</si>
  <si>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(04)24224711</t>
  </si>
  <si>
    <t xml:space="preserve">giraffe42032@yahoo.com.tw</t>
  </si>
  <si>
    <t xml:space="preserve">2004-07-09</t>
  </si>
  <si>
    <t xml:space="preserve">賴世章</t>
  </si>
  <si>
    <t xml:space="preserve">賴世原</t>
  </si>
  <si>
    <t xml:space="preserve">臺中市私立今日語文短期補習班</t>
  </si>
  <si>
    <r>
      <rPr>
        <sz val="10"/>
        <color rgb="FF1F2A28"/>
        <rFont val="WenQuanYi Zen Hei"/>
        <family val="2"/>
      </rPr>
      <t xml:space="preserve">臺中市南屯區大墩十街</t>
    </r>
    <r>
      <rPr>
        <sz val="10"/>
        <color rgb="FF1F2A28"/>
        <rFont val="Arial"/>
        <family val="0"/>
        <charset val="1"/>
      </rPr>
      <t xml:space="preserve">207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</si>
  <si>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(04)23205300</t>
  </si>
  <si>
    <t xml:space="preserve">info.taichung@italia-oggi.com</t>
  </si>
  <si>
    <t xml:space="preserve">2017-10-12</t>
  </si>
  <si>
    <t xml:space="preserve">宗薇</t>
  </si>
  <si>
    <t xml:space="preserve">邱鈺城</t>
  </si>
  <si>
    <t xml:space="preserve">臺中市私立仕林文理短期補習班</t>
  </si>
  <si>
    <r>
      <rPr>
        <sz val="10"/>
        <color rgb="FF1F2A28"/>
        <rFont val="WenQuanYi Zen Hei"/>
        <family val="2"/>
      </rPr>
      <t xml:space="preserve">臺中市大里區美村街</t>
    </r>
    <r>
      <rPr>
        <sz val="10"/>
        <color rgb="FF1F2A28"/>
        <rFont val="Arial"/>
        <family val="0"/>
        <charset val="1"/>
      </rPr>
      <t xml:space="preserve">131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</si>
  <si>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(04)24964773</t>
  </si>
  <si>
    <t xml:space="preserve">2013-06-18</t>
  </si>
  <si>
    <t xml:space="preserve">洪玉清</t>
  </si>
  <si>
    <t xml:space="preserve">臺中市私立伊頓英語短期補習班</t>
  </si>
  <si>
    <r>
      <rPr>
        <sz val="10"/>
        <color rgb="FF1F2A28"/>
        <rFont val="WenQuanYi Zen Hei"/>
        <family val="2"/>
      </rPr>
      <t xml:space="preserve">臺中市潭子區潭陽路</t>
    </r>
    <r>
      <rPr>
        <sz val="10"/>
        <color rgb="FF1F2A28"/>
        <rFont val="Arial"/>
        <family val="0"/>
        <charset val="1"/>
      </rPr>
      <t xml:space="preserve">172</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</si>
  <si>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(04)25385158</t>
  </si>
  <si>
    <t xml:space="preserve">ma_0713@hotmail.com</t>
  </si>
  <si>
    <t xml:space="preserve">2003-12-29</t>
  </si>
  <si>
    <t xml:space="preserve">馬翠蔓</t>
  </si>
  <si>
    <t xml:space="preserve">臺中市私立何家仁文理短期補習班</t>
  </si>
  <si>
    <r>
      <rPr>
        <sz val="10"/>
        <color rgb="FF1F2A28"/>
        <rFont val="WenQuanYi Zen Hei"/>
        <family val="2"/>
      </rPr>
      <t xml:space="preserve">臺中市大里區大明路</t>
    </r>
    <r>
      <rPr>
        <sz val="10"/>
        <color rgb="FF1F2A28"/>
        <rFont val="Arial"/>
        <family val="0"/>
        <charset val="1"/>
      </rPr>
      <t xml:space="preserve">208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</si>
  <si>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04-24820081</t>
  </si>
  <si>
    <t xml:space="preserve">hs2067@hess.com.tw</t>
  </si>
  <si>
    <r>
      <rPr>
        <sz val="10"/>
        <color rgb="FF1F2A28"/>
        <rFont val="WenQuanYi Zen Hei"/>
        <family val="2"/>
      </rPr>
      <t xml:space="preserve">英語會話</t>
    </r>
    <r>
      <rPr>
        <sz val="10"/>
        <color rgb="FF1F2A28"/>
        <rFont val="Arial"/>
        <family val="0"/>
        <charset val="1"/>
      </rPr>
      <t xml:space="preserve">A1</t>
    </r>
    <r>
      <rPr>
        <sz val="10"/>
        <color rgb="FF1F2A28"/>
        <rFont val="WenQuanYi Zen Hei"/>
        <family val="2"/>
      </rPr>
      <t xml:space="preserve">、英語會話</t>
    </r>
    <r>
      <rPr>
        <sz val="10"/>
        <color rgb="FF1F2A28"/>
        <rFont val="Arial"/>
        <family val="0"/>
        <charset val="1"/>
      </rPr>
      <t xml:space="preserve">A2</t>
    </r>
    <r>
      <rPr>
        <sz val="10"/>
        <color rgb="FF1F2A28"/>
        <rFont val="WenQuanYi Zen Hei"/>
        <family val="2"/>
      </rPr>
      <t xml:space="preserve">、英語會話</t>
    </r>
    <r>
      <rPr>
        <sz val="10"/>
        <color rgb="FF1F2A28"/>
        <rFont val="Arial"/>
        <family val="0"/>
        <charset val="1"/>
      </rPr>
      <t xml:space="preserve">A3</t>
    </r>
    <r>
      <rPr>
        <sz val="10"/>
        <color rgb="FF1F2A28"/>
        <rFont val="WenQuanYi Zen Hei"/>
        <family val="2"/>
      </rPr>
      <t xml:space="preserve">、英語會話</t>
    </r>
    <r>
      <rPr>
        <sz val="10"/>
        <color rgb="FF1F2A28"/>
        <rFont val="Arial"/>
        <family val="0"/>
        <charset val="1"/>
      </rPr>
      <t xml:space="preserve">A4</t>
    </r>
    <r>
      <rPr>
        <sz val="10"/>
        <color rgb="FF1F2A28"/>
        <rFont val="WenQuanYi Zen Hei"/>
        <family val="2"/>
      </rPr>
      <t xml:space="preserve">、英語會話</t>
    </r>
    <r>
      <rPr>
        <sz val="10"/>
        <color rgb="FF1F2A28"/>
        <rFont val="Arial"/>
        <family val="0"/>
        <charset val="1"/>
      </rPr>
      <t xml:space="preserve">A5</t>
    </r>
    <r>
      <rPr>
        <sz val="10"/>
        <color rgb="FF1F2A28"/>
        <rFont val="WenQuanYi Zen Hei"/>
        <family val="2"/>
      </rPr>
      <t xml:space="preserve">、英語會話</t>
    </r>
    <r>
      <rPr>
        <sz val="10"/>
        <color rgb="FF1F2A28"/>
        <rFont val="Arial"/>
        <family val="0"/>
        <charset val="1"/>
      </rPr>
      <t xml:space="preserve">A6</t>
    </r>
    <r>
      <rPr>
        <sz val="10"/>
        <color rgb="FF1F2A28"/>
        <rFont val="WenQuanYi Zen Hei"/>
        <family val="2"/>
      </rPr>
      <t xml:space="preserve">、英語會話</t>
    </r>
    <r>
      <rPr>
        <sz val="10"/>
        <color rgb="FF1F2A28"/>
        <rFont val="Arial"/>
        <family val="0"/>
        <charset val="1"/>
      </rPr>
      <t xml:space="preserve">A7</t>
    </r>
    <r>
      <rPr>
        <sz val="10"/>
        <color rgb="FF1F2A28"/>
        <rFont val="WenQuanYi Zen Hei"/>
        <family val="2"/>
      </rPr>
      <t xml:space="preserve">、英語會話</t>
    </r>
    <r>
      <rPr>
        <sz val="10"/>
        <color rgb="FF1F2A28"/>
        <rFont val="Arial"/>
        <family val="0"/>
        <charset val="1"/>
      </rPr>
      <t xml:space="preserve">A8</t>
    </r>
    <r>
      <rPr>
        <sz val="10"/>
        <color rgb="FF1F2A28"/>
        <rFont val="WenQuanYi Zen Hei"/>
        <family val="2"/>
      </rPr>
      <t xml:space="preserve">、英語會話</t>
    </r>
    <r>
      <rPr>
        <sz val="10"/>
        <color rgb="FF1F2A28"/>
        <rFont val="Arial"/>
        <family val="0"/>
        <charset val="1"/>
      </rPr>
      <t xml:space="preserve">A9</t>
    </r>
    <r>
      <rPr>
        <sz val="10"/>
        <color rgb="FF1F2A28"/>
        <rFont val="WenQuanYi Zen Hei"/>
        <family val="2"/>
      </rPr>
      <t xml:space="preserve">、英語會話</t>
    </r>
    <r>
      <rPr>
        <sz val="10"/>
        <color rgb="FF1F2A28"/>
        <rFont val="Arial"/>
        <family val="0"/>
        <charset val="1"/>
      </rPr>
      <t xml:space="preserve">A10</t>
    </r>
  </si>
  <si>
    <t xml:space="preserve">1997-06-14</t>
  </si>
  <si>
    <t xml:space="preserve">劉芳助</t>
  </si>
  <si>
    <t xml:space="preserve">于恕旻</t>
  </si>
  <si>
    <t xml:space="preserve">臺中市私立佳和英語短期補習班</t>
  </si>
  <si>
    <r>
      <rPr>
        <sz val="10"/>
        <color rgb="FF1F2A28"/>
        <rFont val="WenQuanYi Zen Hei"/>
        <family val="2"/>
      </rPr>
      <t xml:space="preserve">臺中市北屯區軍功路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522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</si>
  <si>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0935-185650</t>
  </si>
  <si>
    <t xml:space="preserve">bc078@joy.com.tw</t>
  </si>
  <si>
    <t xml:space="preserve">2015-09-30</t>
  </si>
  <si>
    <t xml:space="preserve">簡士和</t>
  </si>
  <si>
    <t xml:space="preserve">臺中市私立佳品英語短期補習班</t>
  </si>
  <si>
    <r>
      <rPr>
        <sz val="10"/>
        <color rgb="FF1F2A28"/>
        <rFont val="WenQuanYi Zen Hei"/>
        <family val="2"/>
      </rPr>
      <t xml:space="preserve">臺中市后里區文化路</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</si>
  <si>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(04)25560568</t>
  </si>
  <si>
    <t xml:space="preserve">2007-08-13</t>
  </si>
  <si>
    <t xml:space="preserve">羅焜耀</t>
  </si>
  <si>
    <t xml:space="preserve">劉詠琦</t>
  </si>
  <si>
    <t xml:space="preserve">臺中市私立佳宜美語會話短期補習班</t>
  </si>
  <si>
    <r>
      <rPr>
        <sz val="10"/>
        <color rgb="FF1F2A28"/>
        <rFont val="WenQuanYi Zen Hei"/>
        <family val="2"/>
      </rPr>
      <t xml:space="preserve">臺中市北屯區中清路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453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</si>
  <si>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04-22910197</t>
  </si>
  <si>
    <t xml:space="preserve">1999-10-21</t>
  </si>
  <si>
    <t xml:space="preserve">陳佳琪</t>
  </si>
  <si>
    <t xml:space="preserve">臺中市私立佳恩英語短期補習班</t>
  </si>
  <si>
    <r>
      <rPr>
        <sz val="10"/>
        <color rgb="FF1F2A28"/>
        <rFont val="WenQuanYi Zen Hei"/>
        <family val="2"/>
      </rPr>
      <t xml:space="preserve">臺中市大肚區自治路</t>
    </r>
    <r>
      <rPr>
        <sz val="10"/>
        <color rgb="FF1F2A28"/>
        <rFont val="Arial"/>
        <family val="0"/>
        <charset val="1"/>
      </rPr>
      <t xml:space="preserve">62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</si>
  <si>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04-26980030</t>
  </si>
  <si>
    <t xml:space="preserve">lawrence090817@gmail.com</t>
  </si>
  <si>
    <t xml:space="preserve">2001-02-07</t>
  </si>
  <si>
    <t xml:space="preserve">陳憲岳</t>
  </si>
  <si>
    <t xml:space="preserve">臺中市私立佳惟美語短期補習班</t>
  </si>
  <si>
    <r>
      <rPr>
        <sz val="10"/>
        <color rgb="FF1F2A28"/>
        <rFont val="WenQuanYi Zen Hei"/>
        <family val="2"/>
      </rPr>
      <t xml:space="preserve">臺中市北屯區平德路</t>
    </r>
    <r>
      <rPr>
        <sz val="10"/>
        <color rgb="FF1F2A28"/>
        <rFont val="Arial"/>
        <family val="0"/>
        <charset val="1"/>
      </rPr>
      <t xml:space="preserve">181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</si>
  <si>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(04)22961819</t>
  </si>
  <si>
    <t xml:space="preserve">2014-03-19</t>
  </si>
  <si>
    <t xml:space="preserve">羅惟遠</t>
  </si>
  <si>
    <t xml:space="preserve">張惠青</t>
  </si>
  <si>
    <t xml:space="preserve">臺中市私立佳欣文理短期補習班</t>
  </si>
  <si>
    <r>
      <rPr>
        <sz val="10"/>
        <color rgb="FF1F2A28"/>
        <rFont val="WenQuanYi Zen Hei"/>
        <family val="2"/>
      </rPr>
      <t xml:space="preserve">臺中市梧棲區中興路</t>
    </r>
    <r>
      <rPr>
        <sz val="10"/>
        <color rgb="FF1F2A28"/>
        <rFont val="Arial"/>
        <family val="0"/>
        <charset val="1"/>
      </rPr>
      <t xml:space="preserve">67</t>
    </r>
    <r>
      <rPr>
        <sz val="10"/>
        <color rgb="FF1F2A28"/>
        <rFont val="WenQuanYi Zen Hei"/>
        <family val="2"/>
      </rPr>
      <t xml:space="preserve">巷</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</si>
  <si>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2657-5987</t>
  </si>
  <si>
    <t xml:space="preserve">moslehpour.mina@gmail.com</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</si>
  <si>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、美語</t>
    </r>
    <r>
      <rPr>
        <sz val="10"/>
        <color rgb="FF1F2A28"/>
        <rFont val="Arial"/>
        <family val="0"/>
        <charset val="1"/>
      </rPr>
      <t xml:space="preserve">B</t>
    </r>
    <r>
      <rPr>
        <sz val="10"/>
        <color rgb="FF1F2A28"/>
        <rFont val="WenQuanYi Zen Hei"/>
        <family val="2"/>
      </rPr>
      <t xml:space="preserve">、美語</t>
    </r>
    <r>
      <rPr>
        <sz val="10"/>
        <color rgb="FF1F2A28"/>
        <rFont val="Arial"/>
        <family val="0"/>
        <charset val="1"/>
      </rPr>
      <t xml:space="preserve">C</t>
    </r>
    <r>
      <rPr>
        <sz val="10"/>
        <color rgb="FF1F2A28"/>
        <rFont val="WenQuanYi Zen Hei"/>
        <family val="2"/>
      </rPr>
      <t xml:space="preserve">、美語</t>
    </r>
    <r>
      <rPr>
        <sz val="10"/>
        <color rgb="FF1F2A28"/>
        <rFont val="Arial"/>
        <family val="0"/>
        <charset val="1"/>
      </rPr>
      <t xml:space="preserve">D</t>
    </r>
    <r>
      <rPr>
        <sz val="10"/>
        <color rgb="FF1F2A28"/>
        <rFont val="WenQuanYi Zen Hei"/>
        <family val="2"/>
      </rPr>
      <t xml:space="preserve">、美語</t>
    </r>
    <r>
      <rPr>
        <sz val="10"/>
        <color rgb="FF1F2A28"/>
        <rFont val="Arial"/>
        <family val="0"/>
        <charset val="1"/>
      </rPr>
      <t xml:space="preserve">E</t>
    </r>
    <r>
      <rPr>
        <sz val="10"/>
        <color rgb="FF1F2A28"/>
        <rFont val="WenQuanYi Zen Hei"/>
        <family val="2"/>
      </rPr>
      <t xml:space="preserve">、美語</t>
    </r>
    <r>
      <rPr>
        <sz val="10"/>
        <color rgb="FF1F2A28"/>
        <rFont val="Arial"/>
        <family val="0"/>
        <charset val="1"/>
      </rPr>
      <t xml:space="preserve">G</t>
    </r>
    <r>
      <rPr>
        <sz val="10"/>
        <color rgb="FF1F2A28"/>
        <rFont val="WenQuanYi Zen Hei"/>
        <family val="2"/>
      </rPr>
      <t xml:space="preserve">、美語</t>
    </r>
    <r>
      <rPr>
        <sz val="10"/>
        <color rgb="FF1F2A28"/>
        <rFont val="Arial"/>
        <family val="0"/>
        <charset val="1"/>
      </rPr>
      <t xml:space="preserve">F</t>
    </r>
    <r>
      <rPr>
        <sz val="10"/>
        <color rgb="FF1F2A28"/>
        <rFont val="WenQuanYi Zen Hei"/>
        <family val="2"/>
      </rPr>
      <t xml:space="preserve">、美語</t>
    </r>
    <r>
      <rPr>
        <sz val="10"/>
        <color rgb="FF1F2A28"/>
        <rFont val="Arial"/>
        <family val="0"/>
        <charset val="1"/>
      </rPr>
      <t xml:space="preserve">H</t>
    </r>
  </si>
  <si>
    <t xml:space="preserve">1995-11-15</t>
  </si>
  <si>
    <t xml:space="preserve">周明娜</t>
  </si>
  <si>
    <t xml:space="preserve">臺中市私立佳育美語短期補習班</t>
  </si>
  <si>
    <r>
      <rPr>
        <sz val="10"/>
        <color rgb="FF1F2A28"/>
        <rFont val="WenQuanYi Zen Hei"/>
        <family val="2"/>
      </rPr>
      <t xml:space="preserve">臺中市潭子區福潭路</t>
    </r>
    <r>
      <rPr>
        <sz val="10"/>
        <color rgb="FF1F2A28"/>
        <rFont val="Arial"/>
        <family val="0"/>
        <charset val="1"/>
      </rPr>
      <t xml:space="preserve">620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</si>
  <si>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04-25372582</t>
  </si>
  <si>
    <t xml:space="preserve">joyenglish271@gmail.com</t>
  </si>
  <si>
    <t xml:space="preserve">1994-11-01</t>
  </si>
  <si>
    <t xml:space="preserve">楊舒雯</t>
  </si>
  <si>
    <t xml:space="preserve">廖孟玲</t>
  </si>
  <si>
    <t xml:space="preserve">臺中市私立佳英英語短期補習班</t>
  </si>
  <si>
    <r>
      <rPr>
        <sz val="10"/>
        <color rgb="FF1F2A28"/>
        <rFont val="WenQuanYi Zen Hei"/>
        <family val="2"/>
      </rPr>
      <t xml:space="preserve">臺中市大甲區民權路</t>
    </r>
    <r>
      <rPr>
        <sz val="10"/>
        <color rgb="FF1F2A28"/>
        <rFont val="Arial"/>
        <family val="0"/>
        <charset val="1"/>
      </rPr>
      <t xml:space="preserve">59</t>
    </r>
    <r>
      <rPr>
        <sz val="10"/>
        <color rgb="FF1F2A28"/>
        <rFont val="WenQuanYi Zen Hei"/>
        <family val="2"/>
      </rPr>
      <t xml:space="preserve">號、</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</si>
  <si>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26887622</t>
  </si>
  <si>
    <t xml:space="preserve">BC021@joy.com.tw</t>
  </si>
  <si>
    <t xml:space="preserve">1996-12-30</t>
  </si>
  <si>
    <t xml:space="preserve">張翔逸</t>
  </si>
  <si>
    <t xml:space="preserve">黃瑞娉</t>
  </si>
  <si>
    <t xml:space="preserve">臺中市私立佳茵文理短期補習班</t>
  </si>
  <si>
    <r>
      <rPr>
        <sz val="10"/>
        <color rgb="FF1F2A28"/>
        <rFont val="WenQuanYi Zen Hei"/>
        <family val="2"/>
      </rPr>
      <t xml:space="preserve">臺中市西屯區洛陽路</t>
    </r>
    <r>
      <rPr>
        <sz val="10"/>
        <color rgb="FF1F2A28"/>
        <rFont val="Arial"/>
        <family val="0"/>
        <charset val="1"/>
      </rPr>
      <t xml:space="preserve">142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</si>
  <si>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(04)23159993</t>
  </si>
  <si>
    <t xml:space="preserve">142joyschool@gmail.com</t>
  </si>
  <si>
    <r>
      <rPr>
        <sz val="10"/>
        <color rgb="FF1F2A28"/>
        <rFont val="WenQuanYi Zen Hei"/>
        <family val="2"/>
      </rPr>
      <t xml:space="preserve">英語會話</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科、英語會話</t>
    </r>
    <r>
      <rPr>
        <sz val="10"/>
        <color rgb="FF1F2A28"/>
        <rFont val="Arial"/>
        <family val="0"/>
        <charset val="1"/>
      </rPr>
      <t xml:space="preserve">C</t>
    </r>
    <r>
      <rPr>
        <sz val="10"/>
        <color rgb="FF1F2A28"/>
        <rFont val="WenQuanYi Zen Hei"/>
        <family val="2"/>
      </rPr>
      <t xml:space="preserve">、</t>
    </r>
    <r>
      <rPr>
        <sz val="10"/>
        <color rgb="FF1F2A28"/>
        <rFont val="Arial"/>
        <family val="0"/>
        <charset val="1"/>
      </rPr>
      <t xml:space="preserve">D</t>
    </r>
    <r>
      <rPr>
        <sz val="10"/>
        <color rgb="FF1F2A28"/>
        <rFont val="WenQuanYi Zen Hei"/>
        <family val="2"/>
      </rPr>
      <t xml:space="preserve">科</t>
    </r>
  </si>
  <si>
    <t xml:space="preserve">葉志中</t>
  </si>
  <si>
    <t xml:space="preserve">林曉音</t>
  </si>
  <si>
    <t xml:space="preserve">臺中市私立佳語英語短期補習班</t>
  </si>
  <si>
    <r>
      <rPr>
        <sz val="10"/>
        <color rgb="FF1F2A28"/>
        <rFont val="WenQuanYi Zen Hei"/>
        <family val="2"/>
      </rPr>
      <t xml:space="preserve">臺中市龍井區沙田路五段</t>
    </r>
    <r>
      <rPr>
        <sz val="10"/>
        <color rgb="FF1F2A28"/>
        <rFont val="Arial"/>
        <family val="0"/>
        <charset val="1"/>
      </rPr>
      <t xml:space="preserve">151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</si>
  <si>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(04)26369717</t>
  </si>
  <si>
    <t xml:space="preserve">joyandamy@yahoo.com.tw</t>
  </si>
  <si>
    <t xml:space="preserve">2004-08-05</t>
  </si>
  <si>
    <t xml:space="preserve">洪淑慧</t>
  </si>
  <si>
    <t xml:space="preserve">臺中市私立傑生美語短期補習班</t>
  </si>
  <si>
    <r>
      <rPr>
        <sz val="10"/>
        <color rgb="FF1F2A28"/>
        <rFont val="WenQuanYi Zen Hei"/>
        <family val="2"/>
      </rPr>
      <t xml:space="preserve">臺中市后里區成功路</t>
    </r>
    <r>
      <rPr>
        <sz val="10"/>
        <color rgb="FF1F2A28"/>
        <rFont val="Arial"/>
        <family val="0"/>
        <charset val="1"/>
      </rPr>
      <t xml:space="preserve">73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</si>
  <si>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(04)25563657</t>
  </si>
  <si>
    <t xml:space="preserve">jasonschool@gmail.com</t>
  </si>
  <si>
    <t xml:space="preserve">2004-04-15</t>
  </si>
  <si>
    <t xml:space="preserve">江貞慧</t>
  </si>
  <si>
    <t xml:space="preserve">臺中市私立傑米鹿美語短期補習班</t>
  </si>
  <si>
    <r>
      <rPr>
        <sz val="10"/>
        <color rgb="FF1F2A28"/>
        <rFont val="WenQuanYi Zen Hei"/>
        <family val="2"/>
      </rPr>
      <t xml:space="preserve">臺中市北屯區河北路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82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</si>
  <si>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04-22379916</t>
  </si>
  <si>
    <t xml:space="preserve">1998-08-15</t>
  </si>
  <si>
    <t xml:space="preserve">歐志銘</t>
  </si>
  <si>
    <t xml:space="preserve">史培貞</t>
  </si>
  <si>
    <t xml:space="preserve">臺中市私立傑英文理短期習班</t>
  </si>
  <si>
    <r>
      <rPr>
        <sz val="10"/>
        <color rgb="FF1F2A28"/>
        <rFont val="WenQuanYi Zen Hei"/>
        <family val="2"/>
      </rPr>
      <t xml:space="preserve">臺中市南屯區大光街</t>
    </r>
    <r>
      <rPr>
        <sz val="10"/>
        <color rgb="FF1F2A28"/>
        <rFont val="Arial"/>
        <family val="0"/>
        <charset val="1"/>
      </rPr>
      <t xml:space="preserve">115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</si>
  <si>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(04)23207482</t>
  </si>
  <si>
    <t xml:space="preserve">hophophappyenglishcenter@gmail.com</t>
  </si>
  <si>
    <r>
      <rPr>
        <sz val="10"/>
        <color rgb="FF1F2A28"/>
        <rFont val="WenQuanYi Zen Hei"/>
        <family val="2"/>
      </rPr>
      <t xml:space="preserve">英語科</t>
    </r>
    <r>
      <rPr>
        <sz val="10"/>
        <color rgb="FF1F2A28"/>
        <rFont val="Arial"/>
        <family val="0"/>
        <charset val="1"/>
      </rPr>
      <t xml:space="preserve">D</t>
    </r>
    <r>
      <rPr>
        <sz val="10"/>
        <color rgb="FF1F2A28"/>
        <rFont val="WenQuanYi Zen Hei"/>
        <family val="2"/>
      </rPr>
      <t xml:space="preserve">、英語科</t>
    </r>
    <r>
      <rPr>
        <sz val="10"/>
        <color rgb="FF1F2A28"/>
        <rFont val="Arial"/>
        <family val="0"/>
        <charset val="1"/>
      </rPr>
      <t xml:space="preserve">A</t>
    </r>
    <r>
      <rPr>
        <sz val="10"/>
        <color rgb="FF1F2A28"/>
        <rFont val="WenQuanYi Zen Hei"/>
        <family val="2"/>
      </rPr>
      <t xml:space="preserve">、英語科</t>
    </r>
    <r>
      <rPr>
        <sz val="10"/>
        <color rgb="FF1F2A28"/>
        <rFont val="Arial"/>
        <family val="0"/>
        <charset val="1"/>
      </rPr>
      <t xml:space="preserve">C</t>
    </r>
    <r>
      <rPr>
        <sz val="10"/>
        <color rgb="FF1F2A28"/>
        <rFont val="WenQuanYi Zen Hei"/>
        <family val="2"/>
      </rPr>
      <t xml:space="preserve">、英語科</t>
    </r>
    <r>
      <rPr>
        <sz val="10"/>
        <color rgb="FF1F2A28"/>
        <rFont val="Arial"/>
        <family val="0"/>
        <charset val="1"/>
      </rPr>
      <t xml:space="preserve">B</t>
    </r>
  </si>
  <si>
    <t xml:space="preserve">2005-02-20</t>
  </si>
  <si>
    <t xml:space="preserve">陳偉君</t>
  </si>
  <si>
    <t xml:space="preserve">臺中市私立僑大美語會話短期補習班</t>
  </si>
  <si>
    <r>
      <rPr>
        <sz val="10"/>
        <color rgb="FF1F2A28"/>
        <rFont val="WenQuanYi Zen Hei"/>
        <family val="2"/>
      </rPr>
      <t xml:space="preserve">臺中市大里區德芳路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246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</si>
  <si>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04-24815741</t>
  </si>
  <si>
    <t xml:space="preserve">42060cn@giraffe.com.tw</t>
  </si>
  <si>
    <t xml:space="preserve">1996-10-02</t>
  </si>
  <si>
    <t xml:space="preserve">徐郁雅</t>
  </si>
  <si>
    <t xml:space="preserve">臺中市私立僑新史丹佛文理短期補習班</t>
  </si>
  <si>
    <r>
      <rPr>
        <sz val="10"/>
        <color rgb="FF1F2A28"/>
        <rFont val="WenQuanYi Zen Hei"/>
        <family val="2"/>
      </rPr>
      <t xml:space="preserve">臺中市潭子區得福街</t>
    </r>
    <r>
      <rPr>
        <sz val="10"/>
        <color rgb="FF1F2A28"/>
        <rFont val="Arial"/>
        <family val="0"/>
        <charset val="1"/>
      </rPr>
      <t xml:space="preserve">188</t>
    </r>
    <r>
      <rPr>
        <sz val="10"/>
        <color rgb="FF1F2A28"/>
        <rFont val="WenQuanYi Zen Hei"/>
        <family val="2"/>
      </rPr>
      <t xml:space="preserve">號、</t>
    </r>
    <r>
      <rPr>
        <sz val="10"/>
        <color rgb="FF1F2A28"/>
        <rFont val="Arial"/>
        <family val="0"/>
        <charset val="1"/>
      </rPr>
      <t xml:space="preserve">190</t>
    </r>
    <r>
      <rPr>
        <sz val="10"/>
        <color rgb="FF1F2A28"/>
        <rFont val="WenQuanYi Zen Hei"/>
        <family val="2"/>
      </rPr>
      <t xml:space="preserve">號、</t>
    </r>
    <r>
      <rPr>
        <sz val="10"/>
        <color rgb="FF1F2A28"/>
        <rFont val="Arial"/>
        <family val="0"/>
        <charset val="1"/>
      </rPr>
      <t xml:space="preserve">192</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均為</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</si>
  <si>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(04)25326620</t>
  </si>
  <si>
    <t xml:space="preserve">jill30510@gmail.com</t>
  </si>
  <si>
    <r>
      <rPr>
        <sz val="10"/>
        <color rgb="FF1F2A28"/>
        <rFont val="WenQuanYi Zen Hei"/>
        <family val="2"/>
      </rPr>
      <t xml:space="preserve">英語科</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、英語科</t>
    </r>
    <r>
      <rPr>
        <sz val="10"/>
        <color rgb="FF1F2A28"/>
        <rFont val="Arial"/>
        <family val="0"/>
        <charset val="1"/>
      </rPr>
      <t xml:space="preserve">C</t>
    </r>
    <r>
      <rPr>
        <sz val="10"/>
        <color rgb="FF1F2A28"/>
        <rFont val="WenQuanYi Zen Hei"/>
        <family val="2"/>
      </rPr>
      <t xml:space="preserve">、英語科</t>
    </r>
    <r>
      <rPr>
        <sz val="10"/>
        <color rgb="FF1F2A28"/>
        <rFont val="Arial"/>
        <family val="0"/>
        <charset val="1"/>
      </rPr>
      <t xml:space="preserve">D</t>
    </r>
    <r>
      <rPr>
        <sz val="10"/>
        <color rgb="FF1F2A28"/>
        <rFont val="WenQuanYi Zen Hei"/>
        <family val="2"/>
      </rPr>
      <t xml:space="preserve">、英語科</t>
    </r>
    <r>
      <rPr>
        <sz val="10"/>
        <color rgb="FF1F2A28"/>
        <rFont val="Arial"/>
        <family val="0"/>
        <charset val="1"/>
      </rPr>
      <t xml:space="preserve">E</t>
    </r>
  </si>
  <si>
    <t xml:space="preserve">林彥宏</t>
  </si>
  <si>
    <t xml:space="preserve">林佳杏</t>
  </si>
  <si>
    <t xml:space="preserve">臺中市私立儒譽語文短期補習班</t>
  </si>
  <si>
    <r>
      <rPr>
        <sz val="10"/>
        <color rgb="FF1F2A28"/>
        <rFont val="WenQuanYi Zen Hei"/>
        <family val="2"/>
      </rPr>
      <t xml:space="preserve">臺中市大雅區大雅路</t>
    </r>
    <r>
      <rPr>
        <sz val="10"/>
        <color rgb="FF1F2A28"/>
        <rFont val="Arial"/>
        <family val="0"/>
        <charset val="1"/>
      </rPr>
      <t xml:space="preserve">245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</si>
  <si>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(04)25693896</t>
  </si>
  <si>
    <t xml:space="preserve">陳芬蓮</t>
  </si>
  <si>
    <t xml:space="preserve">許瑛娟</t>
  </si>
  <si>
    <t xml:space="preserve">臺中市私立優於英語短期補習班</t>
  </si>
  <si>
    <r>
      <rPr>
        <sz val="10"/>
        <color rgb="FF1F2A28"/>
        <rFont val="WenQuanYi Zen Hei"/>
        <family val="2"/>
      </rPr>
      <t xml:space="preserve">臺中市清水區鎮政路</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</si>
  <si>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(04)26261066</t>
  </si>
  <si>
    <r>
      <rPr>
        <sz val="10"/>
        <color rgb="FF1F2A28"/>
        <rFont val="WenQuanYi Zen Hei"/>
        <family val="2"/>
      </rPr>
      <t xml:space="preserve">英語</t>
    </r>
    <r>
      <rPr>
        <sz val="10"/>
        <color rgb="FF1F2A28"/>
        <rFont val="Arial"/>
        <family val="0"/>
        <charset val="1"/>
      </rPr>
      <t xml:space="preserve">B</t>
    </r>
    <r>
      <rPr>
        <sz val="10"/>
        <color rgb="FF1F2A28"/>
        <rFont val="WenQuanYi Zen Hei"/>
        <family val="2"/>
      </rPr>
      <t xml:space="preserve">、英語</t>
    </r>
    <r>
      <rPr>
        <sz val="10"/>
        <color rgb="FF1F2A28"/>
        <rFont val="Arial"/>
        <family val="0"/>
        <charset val="1"/>
      </rPr>
      <t xml:space="preserve">A</t>
    </r>
    <r>
      <rPr>
        <sz val="10"/>
        <color rgb="FF1F2A28"/>
        <rFont val="WenQuanYi Zen Hei"/>
        <family val="2"/>
      </rPr>
      <t xml:space="preserve">、英語</t>
    </r>
    <r>
      <rPr>
        <sz val="10"/>
        <color rgb="FF1F2A28"/>
        <rFont val="Arial"/>
        <family val="0"/>
        <charset val="1"/>
      </rPr>
      <t xml:space="preserve">C</t>
    </r>
    <r>
      <rPr>
        <sz val="10"/>
        <color rgb="FF1F2A28"/>
        <rFont val="WenQuanYi Zen Hei"/>
        <family val="2"/>
      </rPr>
      <t xml:space="preserve">、英語</t>
    </r>
    <r>
      <rPr>
        <sz val="10"/>
        <color rgb="FF1F2A28"/>
        <rFont val="Arial"/>
        <family val="0"/>
        <charset val="1"/>
      </rPr>
      <t xml:space="preserve">D</t>
    </r>
    <r>
      <rPr>
        <sz val="10"/>
        <color rgb="FF1F2A28"/>
        <rFont val="WenQuanYi Zen Hei"/>
        <family val="2"/>
      </rPr>
      <t xml:space="preserve">、英語</t>
    </r>
    <r>
      <rPr>
        <sz val="10"/>
        <color rgb="FF1F2A28"/>
        <rFont val="Arial"/>
        <family val="0"/>
        <charset val="1"/>
      </rPr>
      <t xml:space="preserve">E</t>
    </r>
  </si>
  <si>
    <t xml:space="preserve">2023-01-19</t>
  </si>
  <si>
    <t xml:space="preserve">戴顥諺</t>
  </si>
  <si>
    <t xml:space="preserve">臺中市私立優達文理短期補習班</t>
  </si>
  <si>
    <r>
      <rPr>
        <sz val="10"/>
        <color rgb="FF1F2A28"/>
        <rFont val="WenQuanYi Zen Hei"/>
        <family val="2"/>
      </rPr>
      <t xml:space="preserve">臺中市龍井區龍門路</t>
    </r>
    <r>
      <rPr>
        <sz val="10"/>
        <color rgb="FF1F2A28"/>
        <rFont val="Arial"/>
        <family val="0"/>
        <charset val="1"/>
      </rPr>
      <t xml:space="preserve">43</t>
    </r>
    <r>
      <rPr>
        <sz val="10"/>
        <color rgb="FF1F2A28"/>
        <rFont val="WenQuanYi Zen Hei"/>
        <family val="2"/>
      </rPr>
      <t xml:space="preserve">巷</t>
    </r>
    <r>
      <rPr>
        <sz val="10"/>
        <color rgb="FF1F2A28"/>
        <rFont val="Arial"/>
        <family val="0"/>
        <charset val="1"/>
      </rPr>
      <t xml:space="preserve">79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</si>
  <si>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(04)26380053</t>
  </si>
  <si>
    <t xml:space="preserve">林庭羽</t>
  </si>
  <si>
    <t xml:space="preserve">臺中市私立先見文理短期補習班</t>
  </si>
  <si>
    <r>
      <rPr>
        <sz val="10"/>
        <color rgb="FF1F2A28"/>
        <rFont val="WenQuanYi Zen Hei"/>
        <family val="2"/>
      </rPr>
      <t xml:space="preserve">臺中市清水區五權路</t>
    </r>
    <r>
      <rPr>
        <sz val="10"/>
        <color rgb="FF1F2A28"/>
        <rFont val="Arial"/>
        <family val="0"/>
        <charset val="1"/>
      </rPr>
      <t xml:space="preserve">309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</si>
  <si>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(04)26271566</t>
  </si>
  <si>
    <t xml:space="preserve">rich0980112993@gmail.com</t>
  </si>
  <si>
    <r>
      <rPr>
        <sz val="10"/>
        <color rgb="FF1F2A28"/>
        <rFont val="WenQuanYi Zen Hei"/>
        <family val="2"/>
      </rPr>
      <t xml:space="preserve">美語</t>
    </r>
    <r>
      <rPr>
        <sz val="10"/>
        <color rgb="FF1F2A28"/>
        <rFont val="Arial"/>
        <family val="0"/>
        <charset val="1"/>
      </rPr>
      <t xml:space="preserve">B</t>
    </r>
    <r>
      <rPr>
        <sz val="10"/>
        <color rgb="FF1F2A28"/>
        <rFont val="WenQuanYi Zen Hei"/>
        <family val="2"/>
      </rPr>
      <t xml:space="preserve">、美語</t>
    </r>
    <r>
      <rPr>
        <sz val="10"/>
        <color rgb="FF1F2A28"/>
        <rFont val="Arial"/>
        <family val="0"/>
        <charset val="1"/>
      </rPr>
      <t xml:space="preserve">C</t>
    </r>
    <r>
      <rPr>
        <sz val="10"/>
        <color rgb="FF1F2A28"/>
        <rFont val="WenQuanYi Zen Hei"/>
        <family val="2"/>
      </rPr>
      <t xml:space="preserve">、美語</t>
    </r>
    <r>
      <rPr>
        <sz val="10"/>
        <color rgb="FF1F2A28"/>
        <rFont val="Arial"/>
        <family val="0"/>
        <charset val="1"/>
      </rPr>
      <t xml:space="preserve">A</t>
    </r>
  </si>
  <si>
    <t xml:space="preserve">2006-04-14</t>
  </si>
  <si>
    <t xml:space="preserve">李俊緯</t>
  </si>
  <si>
    <t xml:space="preserve">臺中市私立光榮美語短期補習班</t>
  </si>
  <si>
    <r>
      <rPr>
        <sz val="10"/>
        <color rgb="FF1F2A28"/>
        <rFont val="WenQuanYi Zen Hei"/>
        <family val="2"/>
      </rPr>
      <t xml:space="preserve">臺中市沙鹿區光榮街</t>
    </r>
    <r>
      <rPr>
        <sz val="10"/>
        <color rgb="FF1F2A28"/>
        <rFont val="Arial"/>
        <family val="0"/>
        <charset val="1"/>
      </rPr>
      <t xml:space="preserve">83</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</si>
  <si>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(04)26631123</t>
  </si>
  <si>
    <t xml:space="preserve">shane.tc5@msa.hinet.net</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</si>
  <si>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科、美語</t>
    </r>
    <r>
      <rPr>
        <sz val="10"/>
        <color rgb="FF1F2A28"/>
        <rFont val="Arial"/>
        <family val="0"/>
        <charset val="1"/>
      </rPr>
      <t xml:space="preserve">B</t>
    </r>
    <r>
      <rPr>
        <sz val="10"/>
        <color rgb="FF1F2A28"/>
        <rFont val="WenQuanYi Zen Hei"/>
        <family val="2"/>
      </rPr>
      <t xml:space="preserve">科、美語</t>
    </r>
    <r>
      <rPr>
        <sz val="10"/>
        <color rgb="FF1F2A28"/>
        <rFont val="Arial"/>
        <family val="0"/>
        <charset val="1"/>
      </rPr>
      <t xml:space="preserve">C</t>
    </r>
    <r>
      <rPr>
        <sz val="10"/>
        <color rgb="FF1F2A28"/>
        <rFont val="WenQuanYi Zen Hei"/>
        <family val="2"/>
      </rPr>
      <t xml:space="preserve">科、美語</t>
    </r>
    <r>
      <rPr>
        <sz val="10"/>
        <color rgb="FF1F2A28"/>
        <rFont val="Arial"/>
        <family val="0"/>
        <charset val="1"/>
      </rPr>
      <t xml:space="preserve">D</t>
    </r>
    <r>
      <rPr>
        <sz val="10"/>
        <color rgb="FF1F2A28"/>
        <rFont val="WenQuanYi Zen Hei"/>
        <family val="2"/>
      </rPr>
      <t xml:space="preserve">科、美語</t>
    </r>
    <r>
      <rPr>
        <sz val="10"/>
        <color rgb="FF1F2A28"/>
        <rFont val="Arial"/>
        <family val="0"/>
        <charset val="1"/>
      </rPr>
      <t xml:space="preserve">E</t>
    </r>
    <r>
      <rPr>
        <sz val="10"/>
        <color rgb="FF1F2A28"/>
        <rFont val="WenQuanYi Zen Hei"/>
        <family val="2"/>
      </rPr>
      <t xml:space="preserve">科</t>
    </r>
  </si>
  <si>
    <t xml:space="preserve">2008-02-01</t>
  </si>
  <si>
    <t xml:space="preserve">巫素娟</t>
  </si>
  <si>
    <t xml:space="preserve">楊睎閔</t>
  </si>
  <si>
    <t xml:space="preserve">臺中市私立克林頓美語短期補習班</t>
  </si>
  <si>
    <r>
      <rPr>
        <sz val="10"/>
        <color rgb="FF1F2A28"/>
        <rFont val="WenQuanYi Zen Hei"/>
        <family val="2"/>
      </rPr>
      <t xml:space="preserve">臺中市沙鹿區鎮政路</t>
    </r>
    <r>
      <rPr>
        <sz val="10"/>
        <color rgb="FF1F2A28"/>
        <rFont val="Arial"/>
        <family val="0"/>
        <charset val="1"/>
      </rPr>
      <t xml:space="preserve">56</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中山路</t>
    </r>
    <r>
      <rPr>
        <sz val="10"/>
        <color rgb="FF1F2A28"/>
        <rFont val="Arial"/>
        <family val="0"/>
        <charset val="1"/>
      </rPr>
      <t xml:space="preserve">145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</si>
  <si>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04-26620482</t>
  </si>
  <si>
    <t xml:space="preserve">hi@wecan.tw</t>
  </si>
  <si>
    <t xml:space="preserve">1998-04-13</t>
  </si>
  <si>
    <t xml:space="preserve">李堅榮</t>
  </si>
  <si>
    <t xml:space="preserve">李鍊其</t>
  </si>
  <si>
    <t xml:space="preserve">臺中市私立克麗斯玎文理技藝短期補習班</t>
  </si>
  <si>
    <r>
      <rPr>
        <sz val="10"/>
        <color rgb="FF1F2A28"/>
        <rFont val="WenQuanYi Zen Hei"/>
        <family val="2"/>
      </rPr>
      <t xml:space="preserve">臺中市大雅區學府路</t>
    </r>
    <r>
      <rPr>
        <sz val="10"/>
        <color rgb="FF1F2A28"/>
        <rFont val="Arial"/>
        <family val="0"/>
        <charset val="1"/>
      </rPr>
      <t xml:space="preserve">250</t>
    </r>
    <r>
      <rPr>
        <sz val="10"/>
        <color rgb="FF1F2A28"/>
        <rFont val="WenQuanYi Zen Hei"/>
        <family val="2"/>
      </rPr>
      <t xml:space="preserve">巷</t>
    </r>
    <r>
      <rPr>
        <sz val="10"/>
        <color rgb="FF1F2A28"/>
        <rFont val="Arial"/>
        <family val="0"/>
        <charset val="1"/>
      </rPr>
      <t xml:space="preserve">95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</si>
  <si>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(04)25651788</t>
  </si>
  <si>
    <t xml:space="preserve">chris.dennis@msa.hinet.net</t>
  </si>
  <si>
    <r>
      <rPr>
        <sz val="10"/>
        <color rgb="FF1F2A28"/>
        <rFont val="WenQuanYi Zen Hei"/>
        <family val="2"/>
      </rPr>
      <t xml:space="preserve">美語科初級、美語科中級、美語科高級、美語會話</t>
    </r>
    <r>
      <rPr>
        <sz val="10"/>
        <color rgb="FF1F2A28"/>
        <rFont val="Arial"/>
        <family val="0"/>
        <charset val="1"/>
      </rPr>
      <t xml:space="preserve">A</t>
    </r>
    <r>
      <rPr>
        <sz val="10"/>
        <color rgb="FF1F2A28"/>
        <rFont val="WenQuanYi Zen Hei"/>
        <family val="2"/>
      </rPr>
      <t xml:space="preserve">科、美語會話</t>
    </r>
    <r>
      <rPr>
        <sz val="10"/>
        <color rgb="FF1F2A28"/>
        <rFont val="Arial"/>
        <family val="0"/>
        <charset val="1"/>
      </rPr>
      <t xml:space="preserve">B</t>
    </r>
    <r>
      <rPr>
        <sz val="10"/>
        <color rgb="FF1F2A28"/>
        <rFont val="WenQuanYi Zen Hei"/>
        <family val="2"/>
      </rPr>
      <t xml:space="preserve">科、美語會話</t>
    </r>
    <r>
      <rPr>
        <sz val="10"/>
        <color rgb="FF1F2A28"/>
        <rFont val="Arial"/>
        <family val="0"/>
        <charset val="1"/>
      </rPr>
      <t xml:space="preserve">C</t>
    </r>
    <r>
      <rPr>
        <sz val="10"/>
        <color rgb="FF1F2A28"/>
        <rFont val="WenQuanYi Zen Hei"/>
        <family val="2"/>
      </rPr>
      <t xml:space="preserve">科</t>
    </r>
  </si>
  <si>
    <t xml:space="preserve">2002-09-30</t>
  </si>
  <si>
    <t xml:space="preserve">陳惠卿</t>
  </si>
  <si>
    <t xml:space="preserve">臺中市私立冠廷美語會話短期補習班</t>
  </si>
  <si>
    <r>
      <rPr>
        <sz val="10"/>
        <color rgb="FF1F2A28"/>
        <rFont val="WenQuanYi Zen Hei"/>
        <family val="2"/>
      </rPr>
      <t xml:space="preserve">臺中市西屯區甘肅路一段</t>
    </r>
    <r>
      <rPr>
        <sz val="10"/>
        <color rgb="FF1F2A28"/>
        <rFont val="Arial"/>
        <family val="0"/>
        <charset val="1"/>
      </rPr>
      <t xml:space="preserve">215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</si>
  <si>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04-23155666</t>
  </si>
  <si>
    <t xml:space="preserve">a0930503229@gmail.com</t>
  </si>
  <si>
    <r>
      <rPr>
        <sz val="10"/>
        <color rgb="FF1F2A28"/>
        <rFont val="WenQuanYi Zen Hei"/>
        <family val="2"/>
      </rPr>
      <t xml:space="preserve">美語</t>
    </r>
    <r>
      <rPr>
        <sz val="10"/>
        <color rgb="FF1F2A28"/>
        <rFont val="Arial"/>
        <family val="0"/>
        <charset val="1"/>
      </rPr>
      <t xml:space="preserve">26.40</t>
    </r>
    <r>
      <rPr>
        <sz val="10"/>
        <color rgb="FF1F2A28"/>
        <rFont val="WenQuanYi Zen Hei"/>
        <family val="2"/>
      </rPr>
      <t xml:space="preserve">、美語</t>
    </r>
    <r>
      <rPr>
        <sz val="10"/>
        <color rgb="FF1F2A28"/>
        <rFont val="Arial"/>
        <family val="0"/>
        <charset val="1"/>
      </rPr>
      <t xml:space="preserve">26.01</t>
    </r>
    <r>
      <rPr>
        <sz val="10"/>
        <color rgb="FF1F2A28"/>
        <rFont val="WenQuanYi Zen Hei"/>
        <family val="2"/>
      </rPr>
      <t xml:space="preserve">、美語</t>
    </r>
    <r>
      <rPr>
        <sz val="10"/>
        <color rgb="FF1F2A28"/>
        <rFont val="Arial"/>
        <family val="0"/>
        <charset val="1"/>
      </rPr>
      <t xml:space="preserve">33.80</t>
    </r>
    <r>
      <rPr>
        <sz val="10"/>
        <color rgb="FF1F2A28"/>
        <rFont val="WenQuanYi Zen Hei"/>
        <family val="2"/>
      </rPr>
      <t xml:space="preserve">、美語</t>
    </r>
    <r>
      <rPr>
        <sz val="10"/>
        <color rgb="FF1F2A28"/>
        <rFont val="Arial"/>
        <family val="0"/>
        <charset val="1"/>
      </rPr>
      <t xml:space="preserve">34.42</t>
    </r>
    <r>
      <rPr>
        <sz val="10"/>
        <color rgb="FF1F2A28"/>
        <rFont val="WenQuanYi Zen Hei"/>
        <family val="2"/>
      </rPr>
      <t xml:space="preserve">、美語</t>
    </r>
    <r>
      <rPr>
        <sz val="10"/>
        <color rgb="FF1F2A28"/>
        <rFont val="Arial"/>
        <family val="0"/>
        <charset val="1"/>
      </rPr>
      <t xml:space="preserve">18.45</t>
    </r>
  </si>
  <si>
    <t xml:space="preserve">2003-07-30</t>
  </si>
  <si>
    <t xml:space="preserve">陳鎮文代表、張厚文</t>
  </si>
  <si>
    <t xml:space="preserve">陳鎮文</t>
  </si>
  <si>
    <t xml:space="preserve">臺中市私立刁老師英語會話短期補習班</t>
  </si>
  <si>
    <r>
      <rPr>
        <sz val="10"/>
        <color rgb="FF1F2A28"/>
        <rFont val="WenQuanYi Zen Hei"/>
        <family val="2"/>
      </rPr>
      <t xml:space="preserve">臺中市西屯區福科路</t>
    </r>
    <r>
      <rPr>
        <sz val="10"/>
        <color rgb="FF1F2A28"/>
        <rFont val="Arial"/>
        <family val="0"/>
        <charset val="1"/>
      </rPr>
      <t xml:space="preserve">286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</si>
  <si>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04-24622319</t>
  </si>
  <si>
    <t xml:space="preserve">bc058@joy.com.tw</t>
  </si>
  <si>
    <t xml:space="preserve">2003-10-17</t>
  </si>
  <si>
    <t xml:space="preserve">王志銘</t>
  </si>
  <si>
    <t xml:space="preserve">陳明瀠</t>
  </si>
  <si>
    <t xml:space="preserve">臺中市私立前進美、歐語會話短期補習班</t>
  </si>
  <si>
    <r>
      <rPr>
        <sz val="10"/>
        <color rgb="FF1F2A28"/>
        <rFont val="WenQuanYi Zen Hei"/>
        <family val="2"/>
      </rPr>
      <t xml:space="preserve">臺中市西屯區河南路二段</t>
    </r>
    <r>
      <rPr>
        <sz val="10"/>
        <color rgb="FF1F2A28"/>
        <rFont val="Arial"/>
        <family val="0"/>
        <charset val="1"/>
      </rPr>
      <t xml:space="preserve">327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</si>
  <si>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(04)24518008</t>
  </si>
  <si>
    <t xml:space="preserve">2004-09-13</t>
  </si>
  <si>
    <t xml:space="preserve">孟靜宜</t>
  </si>
  <si>
    <t xml:space="preserve">臺中市私立創藝文理短期補習班</t>
  </si>
  <si>
    <r>
      <rPr>
        <sz val="10"/>
        <color rgb="FF1F2A28"/>
        <rFont val="WenQuanYi Zen Hei"/>
        <family val="2"/>
      </rPr>
      <t xml:space="preserve">臺中市沙鹿區賢正街</t>
    </r>
    <r>
      <rPr>
        <sz val="10"/>
        <color rgb="FF1F2A28"/>
        <rFont val="Arial"/>
        <family val="0"/>
        <charset val="1"/>
      </rPr>
      <t xml:space="preserve">83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</si>
  <si>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04-26622266</t>
  </si>
  <si>
    <t xml:space="preserve">chen.c2662@msa.hinet.net</t>
  </si>
  <si>
    <t xml:space="preserve">1985-02-01</t>
  </si>
  <si>
    <t xml:space="preserve">陳金忠</t>
  </si>
  <si>
    <t xml:space="preserve">蔡嬌端</t>
  </si>
  <si>
    <t xml:space="preserve">臺中市私立勝利美語短期補習班</t>
  </si>
  <si>
    <r>
      <rPr>
        <sz val="10"/>
        <color rgb="FF1F2A28"/>
        <rFont val="WenQuanYi Zen Hei"/>
        <family val="2"/>
      </rPr>
      <t xml:space="preserve">臺中市潭子區勝利路</t>
    </r>
    <r>
      <rPr>
        <sz val="10"/>
        <color rgb="FF1F2A28"/>
        <rFont val="Arial"/>
        <family val="0"/>
        <charset val="1"/>
      </rPr>
      <t xml:space="preserve">271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</si>
  <si>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(04)25322800</t>
  </si>
  <si>
    <t xml:space="preserve">bc052@joy.com.tw</t>
  </si>
  <si>
    <t xml:space="preserve">陳媛柑</t>
  </si>
  <si>
    <t xml:space="preserve">臺中市私立勝睿美語短期補習班</t>
  </si>
  <si>
    <r>
      <rPr>
        <sz val="10"/>
        <color rgb="FF1F2A28"/>
        <rFont val="WenQuanYi Zen Hei"/>
        <family val="2"/>
      </rPr>
      <t xml:space="preserve">臺中市沙鹿區中山路</t>
    </r>
    <r>
      <rPr>
        <sz val="10"/>
        <color rgb="FF1F2A28"/>
        <rFont val="Arial"/>
        <family val="0"/>
        <charset val="1"/>
      </rPr>
      <t xml:space="preserve">128</t>
    </r>
    <r>
      <rPr>
        <sz val="10"/>
        <color rgb="FF1F2A28"/>
        <rFont val="WenQuanYi Zen Hei"/>
        <family val="2"/>
      </rPr>
      <t xml:space="preserve">之</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</si>
  <si>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(04)2662-5462</t>
  </si>
  <si>
    <t xml:space="preserve">2007-12-06</t>
  </si>
  <si>
    <t xml:space="preserve">陳妤榛</t>
  </si>
  <si>
    <t xml:space="preserve">臺中市私立勤學田文理短期補習班</t>
  </si>
  <si>
    <r>
      <rPr>
        <sz val="10"/>
        <color rgb="FF1F2A28"/>
        <rFont val="WenQuanYi Zen Hei"/>
        <family val="2"/>
      </rPr>
      <t xml:space="preserve">臺中市大里區新南路</t>
    </r>
    <r>
      <rPr>
        <sz val="10"/>
        <color rgb="FF1F2A28"/>
        <rFont val="Arial"/>
        <family val="0"/>
        <charset val="1"/>
      </rPr>
      <t xml:space="preserve">118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</si>
  <si>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(04)-24850626</t>
  </si>
  <si>
    <t xml:space="preserve">shunliou@ms31.hinet.net</t>
  </si>
  <si>
    <t xml:space="preserve">鄭翔臨</t>
  </si>
  <si>
    <t xml:space="preserve">臺中市私立勤赫珠心算美語短期補習班</t>
  </si>
  <si>
    <r>
      <rPr>
        <sz val="10"/>
        <color rgb="FF1F2A28"/>
        <rFont val="WenQuanYi Zen Hei"/>
        <family val="2"/>
      </rPr>
      <t xml:space="preserve">臺中市大里區現岱路</t>
    </r>
    <r>
      <rPr>
        <sz val="10"/>
        <color rgb="FF1F2A28"/>
        <rFont val="Arial"/>
        <family val="0"/>
        <charset val="1"/>
      </rPr>
      <t xml:space="preserve">76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</si>
  <si>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(04)24830765</t>
  </si>
  <si>
    <t xml:space="preserve">yale925@yahoo.com.tw</t>
  </si>
  <si>
    <t xml:space="preserve">2005-08-24</t>
  </si>
  <si>
    <t xml:space="preserve">張憶芬</t>
  </si>
  <si>
    <t xml:space="preserve">臺中市私立史特恩美語短期補習班</t>
  </si>
  <si>
    <r>
      <rPr>
        <sz val="10"/>
        <color rgb="FF1F2A28"/>
        <rFont val="WenQuanYi Zen Hei"/>
        <family val="2"/>
      </rPr>
      <t xml:space="preserve">臺中市后里區文明路</t>
    </r>
    <r>
      <rPr>
        <sz val="10"/>
        <color rgb="FF1F2A28"/>
        <rFont val="Arial"/>
        <family val="0"/>
        <charset val="1"/>
      </rPr>
      <t xml:space="preserve">56-1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</si>
  <si>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25586836</t>
  </si>
  <si>
    <t xml:space="preserve">2001-07-11</t>
  </si>
  <si>
    <t xml:space="preserve">曾明莉</t>
  </si>
  <si>
    <t xml:space="preserve">臺中市私立吉安文理短期補習班</t>
  </si>
  <si>
    <r>
      <rPr>
        <sz val="10"/>
        <color rgb="FF1F2A28"/>
        <rFont val="WenQuanYi Zen Hei"/>
        <family val="2"/>
      </rPr>
      <t xml:space="preserve">臺中市西屯區中工三路</t>
    </r>
    <r>
      <rPr>
        <sz val="10"/>
        <color rgb="FF1F2A28"/>
        <rFont val="Arial"/>
        <family val="0"/>
        <charset val="1"/>
      </rPr>
      <t xml:space="preserve">224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</si>
  <si>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(04)23584909</t>
  </si>
  <si>
    <t xml:space="preserve">titiwolu@gmail.com</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</si>
  <si>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C</t>
    </r>
    <r>
      <rPr>
        <sz val="10"/>
        <color rgb="FF1F2A28"/>
        <rFont val="WenQuanYi Zen Hei"/>
        <family val="2"/>
      </rPr>
      <t xml:space="preserve">科、美語</t>
    </r>
    <r>
      <rPr>
        <sz val="10"/>
        <color rgb="FF1F2A28"/>
        <rFont val="Arial"/>
        <family val="0"/>
        <charset val="1"/>
      </rPr>
      <t xml:space="preserve">B</t>
    </r>
    <r>
      <rPr>
        <sz val="10"/>
        <color rgb="FF1F2A28"/>
        <rFont val="WenQuanYi Zen Hei"/>
        <family val="2"/>
      </rPr>
      <t xml:space="preserve">、</t>
    </r>
    <r>
      <rPr>
        <sz val="10"/>
        <color rgb="FF1F2A28"/>
        <rFont val="Arial"/>
        <family val="0"/>
        <charset val="1"/>
      </rPr>
      <t xml:space="preserve">D</t>
    </r>
    <r>
      <rPr>
        <sz val="10"/>
        <color rgb="FF1F2A28"/>
        <rFont val="WenQuanYi Zen Hei"/>
        <family val="2"/>
      </rPr>
      <t xml:space="preserve">科</t>
    </r>
  </si>
  <si>
    <t xml:space="preserve">王姿分</t>
  </si>
  <si>
    <t xml:space="preserve">吳孟旋</t>
  </si>
  <si>
    <t xml:space="preserve">臺中市私立吉恩文理短期補習班</t>
  </si>
  <si>
    <r>
      <rPr>
        <sz val="10"/>
        <color rgb="FF1F2A28"/>
        <rFont val="WenQuanYi Zen Hei"/>
        <family val="2"/>
      </rPr>
      <t xml:space="preserve">臺中市北屯區僑孝街</t>
    </r>
    <r>
      <rPr>
        <sz val="10"/>
        <color rgb="FF1F2A28"/>
        <rFont val="Arial"/>
        <family val="0"/>
        <charset val="1"/>
      </rPr>
      <t xml:space="preserve">53</t>
    </r>
    <r>
      <rPr>
        <sz val="10"/>
        <color rgb="FF1F2A28"/>
        <rFont val="WenQuanYi Zen Hei"/>
        <family val="2"/>
      </rPr>
      <t xml:space="preserve">巷</t>
    </r>
    <r>
      <rPr>
        <sz val="10"/>
        <color rgb="FF1F2A28"/>
        <rFont val="Arial"/>
        <family val="0"/>
        <charset val="1"/>
      </rPr>
      <t xml:space="preserve">46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</si>
  <si>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(04)22419565</t>
  </si>
  <si>
    <r>
      <rPr>
        <sz val="10"/>
        <color rgb="FF1F2A28"/>
        <rFont val="WenQuanYi Zen Hei"/>
        <family val="2"/>
      </rPr>
      <t xml:space="preserve">美語</t>
    </r>
    <r>
      <rPr>
        <sz val="10"/>
        <color rgb="FF1F2A28"/>
        <rFont val="Arial"/>
        <family val="0"/>
        <charset val="1"/>
      </rPr>
      <t xml:space="preserve">16.04</t>
    </r>
  </si>
  <si>
    <t xml:space="preserve">2007-03-22</t>
  </si>
  <si>
    <t xml:space="preserve">許閔淳</t>
  </si>
  <si>
    <t xml:space="preserve">林銀潔</t>
  </si>
  <si>
    <t xml:space="preserve">臺中市私立吉瑞福東平文理技藝短期補習班</t>
  </si>
  <si>
    <r>
      <rPr>
        <sz val="10"/>
        <color rgb="FF1F2A28"/>
        <rFont val="WenQuanYi Zen Hei"/>
        <family val="2"/>
      </rPr>
      <t xml:space="preserve">臺中市太平區東平路</t>
    </r>
    <r>
      <rPr>
        <sz val="10"/>
        <color rgb="FF1F2A28"/>
        <rFont val="Arial"/>
        <family val="0"/>
        <charset val="1"/>
      </rPr>
      <t xml:space="preserve">353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</si>
  <si>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(04)22706166</t>
  </si>
  <si>
    <t xml:space="preserve">jirefu@gmail.com</t>
  </si>
  <si>
    <r>
      <rPr>
        <sz val="10"/>
        <color rgb="FF1F2A28"/>
        <rFont val="WenQuanYi Zen Hei"/>
        <family val="2"/>
      </rPr>
      <t xml:space="preserve">英文科</t>
    </r>
    <r>
      <rPr>
        <sz val="10"/>
        <color rgb="FF1F2A28"/>
        <rFont val="Arial"/>
        <family val="0"/>
        <charset val="1"/>
      </rPr>
      <t xml:space="preserve">A</t>
    </r>
    <r>
      <rPr>
        <sz val="10"/>
        <color rgb="FF1F2A28"/>
        <rFont val="WenQuanYi Zen Hei"/>
        <family val="2"/>
      </rPr>
      <t xml:space="preserve">班、英文科</t>
    </r>
    <r>
      <rPr>
        <sz val="10"/>
        <color rgb="FF1F2A28"/>
        <rFont val="Arial"/>
        <family val="0"/>
        <charset val="1"/>
      </rPr>
      <t xml:space="preserve">B</t>
    </r>
    <r>
      <rPr>
        <sz val="10"/>
        <color rgb="FF1F2A28"/>
        <rFont val="WenQuanYi Zen Hei"/>
        <family val="2"/>
      </rPr>
      <t xml:space="preserve">班、英文科</t>
    </r>
    <r>
      <rPr>
        <sz val="10"/>
        <color rgb="FF1F2A28"/>
        <rFont val="Arial"/>
        <family val="0"/>
        <charset val="1"/>
      </rPr>
      <t xml:space="preserve">C</t>
    </r>
    <r>
      <rPr>
        <sz val="10"/>
        <color rgb="FF1F2A28"/>
        <rFont val="WenQuanYi Zen Hei"/>
        <family val="2"/>
      </rPr>
      <t xml:space="preserve">班</t>
    </r>
  </si>
  <si>
    <t xml:space="preserve">2003-01-08</t>
  </si>
  <si>
    <t xml:space="preserve">曾嘉隨</t>
  </si>
  <si>
    <t xml:space="preserve">臺中市私立吉瑞福松竹文理技藝短期補習班</t>
  </si>
  <si>
    <r>
      <rPr>
        <sz val="10"/>
        <color rgb="FF1F2A28"/>
        <rFont val="WenQuanYi Zen Hei"/>
        <family val="2"/>
      </rPr>
      <t xml:space="preserve">臺中市北屯區昌平路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12</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</si>
  <si>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(04)22466188</t>
  </si>
  <si>
    <r>
      <rPr>
        <sz val="10"/>
        <color rgb="FF1F2A28"/>
        <rFont val="WenQuanYi Zen Hei"/>
        <family val="2"/>
      </rPr>
      <t xml:space="preserve">英文</t>
    </r>
    <r>
      <rPr>
        <sz val="10"/>
        <color rgb="FF1F2A28"/>
        <rFont val="Arial"/>
        <family val="0"/>
        <charset val="1"/>
      </rPr>
      <t xml:space="preserve">A</t>
    </r>
    <r>
      <rPr>
        <sz val="10"/>
        <color rgb="FF1F2A28"/>
        <rFont val="WenQuanYi Zen Hei"/>
        <family val="2"/>
      </rPr>
      <t xml:space="preserve">、英文</t>
    </r>
    <r>
      <rPr>
        <sz val="10"/>
        <color rgb="FF1F2A28"/>
        <rFont val="Arial"/>
        <family val="0"/>
        <charset val="1"/>
      </rPr>
      <t xml:space="preserve">B</t>
    </r>
    <r>
      <rPr>
        <sz val="10"/>
        <color rgb="FF1F2A28"/>
        <rFont val="WenQuanYi Zen Hei"/>
        <family val="2"/>
      </rPr>
      <t xml:space="preserve">、英文</t>
    </r>
    <r>
      <rPr>
        <sz val="10"/>
        <color rgb="FF1F2A28"/>
        <rFont val="Arial"/>
        <family val="0"/>
        <charset val="1"/>
      </rPr>
      <t xml:space="preserve">C</t>
    </r>
  </si>
  <si>
    <t xml:space="preserve">劉庭詠、林雲宏</t>
  </si>
  <si>
    <t xml:space="preserve">劉庭詠</t>
  </si>
  <si>
    <t xml:space="preserve">臺中市私立名智學園數學語文短期補習班</t>
  </si>
  <si>
    <r>
      <rPr>
        <sz val="10"/>
        <color rgb="FF1F2A28"/>
        <rFont val="WenQuanYi Zen Hei"/>
        <family val="2"/>
      </rPr>
      <t xml:space="preserve">臺中市太平區中興東路</t>
    </r>
    <r>
      <rPr>
        <sz val="10"/>
        <color rgb="FF1F2A28"/>
        <rFont val="Arial"/>
        <family val="0"/>
        <charset val="1"/>
      </rPr>
      <t xml:space="preserve">232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,234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</si>
  <si>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22738188</t>
  </si>
  <si>
    <t xml:space="preserve">yr4168liu@yahoo.com.tw</t>
  </si>
  <si>
    <t xml:space="preserve">劉翠蓮</t>
  </si>
  <si>
    <t xml:space="preserve">臺中市私立向上美語技藝短期補習班</t>
  </si>
  <si>
    <r>
      <rPr>
        <sz val="10"/>
        <color rgb="FF1F2A28"/>
        <rFont val="WenQuanYi Zen Hei"/>
        <family val="2"/>
      </rPr>
      <t xml:space="preserve">臺中市南屯區向上路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92,96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</si>
  <si>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(04)23899388</t>
  </si>
  <si>
    <t xml:space="preserve">陳年凱</t>
  </si>
  <si>
    <t xml:space="preserve">臺中市私立品承音樂語文短期補習班</t>
  </si>
  <si>
    <r>
      <rPr>
        <sz val="10"/>
        <color rgb="FF1F2A28"/>
        <rFont val="WenQuanYi Zen Hei"/>
        <family val="2"/>
      </rPr>
      <t xml:space="preserve">臺中市潭子區圓通南路</t>
    </r>
    <r>
      <rPr>
        <sz val="10"/>
        <color rgb="FF1F2A28"/>
        <rFont val="Arial"/>
        <family val="0"/>
        <charset val="1"/>
      </rPr>
      <t xml:space="preserve">94</t>
    </r>
    <r>
      <rPr>
        <sz val="10"/>
        <color rgb="FF1F2A28"/>
        <rFont val="WenQuanYi Zen Hei"/>
        <family val="2"/>
      </rPr>
      <t xml:space="preserve">巷</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</si>
  <si>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(04)25371912</t>
  </si>
  <si>
    <t xml:space="preserve">2004-12-28</t>
  </si>
  <si>
    <t xml:space="preserve">徐品豐</t>
  </si>
  <si>
    <t xml:space="preserve">臺中市私立品虹美語珠心算短期補習班</t>
  </si>
  <si>
    <r>
      <rPr>
        <sz val="10"/>
        <color rgb="FF1F2A28"/>
        <rFont val="WenQuanYi Zen Hei"/>
        <family val="2"/>
      </rPr>
      <t xml:space="preserve">臺中市神岡區大豐北街</t>
    </r>
    <r>
      <rPr>
        <sz val="10"/>
        <color rgb="FF1F2A28"/>
        <rFont val="Arial"/>
        <family val="0"/>
        <charset val="1"/>
      </rPr>
      <t xml:space="preserve">97</t>
    </r>
    <r>
      <rPr>
        <sz val="10"/>
        <color rgb="FF1F2A28"/>
        <rFont val="WenQuanYi Zen Hei"/>
        <family val="2"/>
      </rPr>
      <t xml:space="preserve">巷</t>
    </r>
    <r>
      <rPr>
        <sz val="10"/>
        <color rgb="FF1F2A28"/>
        <rFont val="Arial"/>
        <family val="0"/>
        <charset val="1"/>
      </rPr>
      <t xml:space="preserve">47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</si>
  <si>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(04)25285149</t>
  </si>
  <si>
    <t xml:space="preserve">黃美玲</t>
  </si>
  <si>
    <t xml:space="preserve">臺中市私立哈伯美語短期補習班</t>
  </si>
  <si>
    <r>
      <rPr>
        <sz val="10"/>
        <color rgb="FF1F2A28"/>
        <rFont val="WenQuanYi Zen Hei"/>
        <family val="2"/>
      </rPr>
      <t xml:space="preserve">臺中市大里區五福二街</t>
    </r>
    <r>
      <rPr>
        <sz val="10"/>
        <color rgb="FF1F2A28"/>
        <rFont val="Arial"/>
        <family val="0"/>
        <charset val="1"/>
      </rPr>
      <t xml:space="preserve">81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</si>
  <si>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04-24965037</t>
  </si>
  <si>
    <t xml:space="preserve">boss093854@gmail.com</t>
  </si>
  <si>
    <t xml:space="preserve">2024-04-30</t>
  </si>
  <si>
    <t xml:space="preserve">李柏華</t>
  </si>
  <si>
    <t xml:space="preserve">臺中市私立哈俐美語短期補習班</t>
  </si>
  <si>
    <r>
      <rPr>
        <sz val="10"/>
        <color rgb="FF1F2A28"/>
        <rFont val="WenQuanYi Zen Hei"/>
        <family val="2"/>
      </rPr>
      <t xml:space="preserve">臺中市豐原區圓環東路</t>
    </r>
    <r>
      <rPr>
        <sz val="10"/>
        <color rgb="FF1F2A28"/>
        <rFont val="Arial"/>
        <family val="0"/>
        <charset val="1"/>
      </rPr>
      <t xml:space="preserve">650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</si>
  <si>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(04)2515-1599</t>
  </si>
  <si>
    <t xml:space="preserve">2008-05-28</t>
  </si>
  <si>
    <t xml:space="preserve">楊雅娟</t>
  </si>
  <si>
    <t xml:space="preserve">臺中市私立唐老師美語短期補習班</t>
  </si>
  <si>
    <r>
      <rPr>
        <sz val="10"/>
        <color rgb="FF1F2A28"/>
        <rFont val="WenQuanYi Zen Hei"/>
        <family val="2"/>
      </rPr>
      <t xml:space="preserve">臺中市大里區永隆五街</t>
    </r>
    <r>
      <rPr>
        <sz val="10"/>
        <color rgb="FF1F2A28"/>
        <rFont val="Arial"/>
        <family val="0"/>
        <charset val="1"/>
      </rPr>
      <t xml:space="preserve">99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樓、永隆五街</t>
    </r>
    <r>
      <rPr>
        <sz val="10"/>
        <color rgb="FF1F2A28"/>
        <rFont val="Arial"/>
        <family val="0"/>
        <charset val="1"/>
      </rPr>
      <t xml:space="preserve">130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</si>
  <si>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24069888</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</si>
  <si>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、美語</t>
    </r>
    <r>
      <rPr>
        <sz val="10"/>
        <color rgb="FF1F2A28"/>
        <rFont val="Arial"/>
        <family val="0"/>
        <charset val="1"/>
      </rPr>
      <t xml:space="preserve">B</t>
    </r>
    <r>
      <rPr>
        <sz val="10"/>
        <color rgb="FF1F2A28"/>
        <rFont val="WenQuanYi Zen Hei"/>
        <family val="2"/>
      </rPr>
      <t xml:space="preserve">、美語</t>
    </r>
    <r>
      <rPr>
        <sz val="10"/>
        <color rgb="FF1F2A28"/>
        <rFont val="Arial"/>
        <family val="0"/>
        <charset val="1"/>
      </rPr>
      <t xml:space="preserve">C</t>
    </r>
    <r>
      <rPr>
        <sz val="10"/>
        <color rgb="FF1F2A28"/>
        <rFont val="WenQuanYi Zen Hei"/>
        <family val="2"/>
      </rPr>
      <t xml:space="preserve">、美語</t>
    </r>
    <r>
      <rPr>
        <sz val="10"/>
        <color rgb="FF1F2A28"/>
        <rFont val="Arial"/>
        <family val="0"/>
        <charset val="1"/>
      </rPr>
      <t xml:space="preserve">E</t>
    </r>
    <r>
      <rPr>
        <sz val="10"/>
        <color rgb="FF1F2A28"/>
        <rFont val="WenQuanYi Zen Hei"/>
        <family val="2"/>
      </rPr>
      <t xml:space="preserve">、美語</t>
    </r>
    <r>
      <rPr>
        <sz val="10"/>
        <color rgb="FF1F2A28"/>
        <rFont val="Arial"/>
        <family val="0"/>
        <charset val="1"/>
      </rPr>
      <t xml:space="preserve">H</t>
    </r>
    <r>
      <rPr>
        <sz val="10"/>
        <color rgb="FF1F2A28"/>
        <rFont val="WenQuanYi Zen Hei"/>
        <family val="2"/>
      </rPr>
      <t xml:space="preserve">、美語</t>
    </r>
    <r>
      <rPr>
        <sz val="10"/>
        <color rgb="FF1F2A28"/>
        <rFont val="Arial"/>
        <family val="0"/>
        <charset val="1"/>
      </rPr>
      <t xml:space="preserve">D</t>
    </r>
    <r>
      <rPr>
        <sz val="10"/>
        <color rgb="FF1F2A28"/>
        <rFont val="WenQuanYi Zen Hei"/>
        <family val="2"/>
      </rPr>
      <t xml:space="preserve">、美語</t>
    </r>
    <r>
      <rPr>
        <sz val="10"/>
        <color rgb="FF1F2A28"/>
        <rFont val="Arial"/>
        <family val="0"/>
        <charset val="1"/>
      </rPr>
      <t xml:space="preserve">F</t>
    </r>
    <r>
      <rPr>
        <sz val="10"/>
        <color rgb="FF1F2A28"/>
        <rFont val="WenQuanYi Zen Hei"/>
        <family val="2"/>
      </rPr>
      <t xml:space="preserve">、美語</t>
    </r>
    <r>
      <rPr>
        <sz val="10"/>
        <color rgb="FF1F2A28"/>
        <rFont val="Arial"/>
        <family val="0"/>
        <charset val="1"/>
      </rPr>
      <t xml:space="preserve">G</t>
    </r>
  </si>
  <si>
    <t xml:space="preserve">2001-03-12</t>
  </si>
  <si>
    <t xml:space="preserve">洪里芸</t>
  </si>
  <si>
    <t xml:space="preserve">王茹蘭</t>
  </si>
  <si>
    <t xml:space="preserve">臺中市私立唯多美語短期補習班</t>
  </si>
  <si>
    <r>
      <rPr>
        <sz val="10"/>
        <color rgb="FF1F2A28"/>
        <rFont val="WenQuanYi Zen Hei"/>
        <family val="2"/>
      </rPr>
      <t xml:space="preserve">臺中市潭子區興華二路</t>
    </r>
    <r>
      <rPr>
        <sz val="10"/>
        <color rgb="FF1F2A28"/>
        <rFont val="Arial"/>
        <family val="0"/>
        <charset val="1"/>
      </rPr>
      <t xml:space="preserve">81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</si>
  <si>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25359065</t>
  </si>
  <si>
    <t xml:space="preserve">saintvictor25359065@gmail.com</t>
  </si>
  <si>
    <t xml:space="preserve">1998-02-23</t>
  </si>
  <si>
    <t xml:space="preserve">陳瑞珠</t>
  </si>
  <si>
    <t xml:space="preserve">臺中市私立喬安文理短期補習班</t>
  </si>
  <si>
    <r>
      <rPr>
        <sz val="10"/>
        <color rgb="FF1F2A28"/>
        <rFont val="WenQuanYi Zen Hei"/>
        <family val="2"/>
      </rPr>
      <t xml:space="preserve">臺中市沙鹿區中山路</t>
    </r>
    <r>
      <rPr>
        <sz val="10"/>
        <color rgb="FF1F2A28"/>
        <rFont val="Arial"/>
        <family val="0"/>
        <charset val="1"/>
      </rPr>
      <t xml:space="preserve">167</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</si>
  <si>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(04)26629108</t>
  </si>
  <si>
    <t xml:space="preserve">joanneyu710224@gmail.com</t>
  </si>
  <si>
    <t xml:space="preserve">2006-08-24</t>
  </si>
  <si>
    <t xml:space="preserve">余綵心</t>
  </si>
  <si>
    <t xml:space="preserve">臺中市私立喬祐美語短期補習班</t>
  </si>
  <si>
    <r>
      <rPr>
        <sz val="10"/>
        <color rgb="FF1F2A28"/>
        <rFont val="WenQuanYi Zen Hei"/>
        <family val="2"/>
      </rPr>
      <t xml:space="preserve">臺中市神岡區民生路</t>
    </r>
    <r>
      <rPr>
        <sz val="10"/>
        <color rgb="FF1F2A28"/>
        <rFont val="Arial"/>
        <family val="0"/>
        <charset val="1"/>
      </rPr>
      <t xml:space="preserve">27-12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</si>
  <si>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04-25611610</t>
  </si>
  <si>
    <t xml:space="preserve">bc013@joy.com.tw</t>
  </si>
  <si>
    <t xml:space="preserve">1999-08-11</t>
  </si>
  <si>
    <t xml:space="preserve">朱小燕</t>
  </si>
  <si>
    <t xml:space="preserve">朱晨</t>
  </si>
  <si>
    <t xml:space="preserve">臺中市私立嘉人文理短期補習班</t>
  </si>
  <si>
    <r>
      <rPr>
        <sz val="10"/>
        <color rgb="FF1F2A28"/>
        <rFont val="WenQuanYi Zen Hei"/>
        <family val="2"/>
      </rPr>
      <t xml:space="preserve">臺中市大里區東湖路</t>
    </r>
    <r>
      <rPr>
        <sz val="10"/>
        <color rgb="FF1F2A28"/>
        <rFont val="Arial"/>
        <family val="0"/>
        <charset val="1"/>
      </rPr>
      <t xml:space="preserve">190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</si>
  <si>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(04)24952468</t>
  </si>
  <si>
    <t xml:space="preserve">a0955909841@gmail.com</t>
  </si>
  <si>
    <t xml:space="preserve">2020-09-29</t>
  </si>
  <si>
    <t xml:space="preserve">林雁鈴</t>
  </si>
  <si>
    <t xml:space="preserve">陳怡臻</t>
  </si>
  <si>
    <t xml:space="preserve">臺中市私立嘉英文理短期補習班重慶分班</t>
  </si>
  <si>
    <r>
      <rPr>
        <sz val="10"/>
        <color rgb="FF1F2A28"/>
        <rFont val="WenQuanYi Zen Hei"/>
        <family val="2"/>
      </rPr>
      <t xml:space="preserve">臺中市西屯區合江街</t>
    </r>
    <r>
      <rPr>
        <sz val="10"/>
        <color rgb="FF1F2A28"/>
        <rFont val="Arial"/>
        <family val="0"/>
        <charset val="1"/>
      </rPr>
      <t xml:space="preserve">74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</si>
  <si>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(04)23124859</t>
  </si>
  <si>
    <t xml:space="preserve">383joy@gmail.com</t>
  </si>
  <si>
    <t xml:space="preserve">英語會話科</t>
  </si>
  <si>
    <t xml:space="preserve">2018-05-28</t>
  </si>
  <si>
    <t xml:space="preserve">王雅儒</t>
  </si>
  <si>
    <t xml:space="preserve">臺中市私立嘉英英語會話短期補習班</t>
  </si>
  <si>
    <r>
      <rPr>
        <sz val="10"/>
        <color rgb="FF1F2A28"/>
        <rFont val="WenQuanYi Zen Hei"/>
        <family val="2"/>
      </rPr>
      <t xml:space="preserve">臺中市西屯區重慶路</t>
    </r>
    <r>
      <rPr>
        <sz val="10"/>
        <color rgb="FF1F2A28"/>
        <rFont val="Arial"/>
        <family val="0"/>
        <charset val="1"/>
      </rPr>
      <t xml:space="preserve">383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</si>
  <si>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04-23124859</t>
  </si>
  <si>
    <t xml:space="preserve">2003-09-03</t>
  </si>
  <si>
    <r>
      <rPr>
        <sz val="10"/>
        <color rgb="FF1F2A28"/>
        <rFont val="WenQuanYi Zen Hei"/>
        <family val="2"/>
      </rPr>
      <t xml:space="preserve">許鈴佳</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、葉志杰</t>
    </r>
  </si>
  <si>
    <t xml:space="preserve">許鈴佳</t>
  </si>
  <si>
    <t xml:space="preserve">臺中市私立嘉音英語短期補習班</t>
  </si>
  <si>
    <r>
      <rPr>
        <sz val="10"/>
        <color rgb="FF1F2A28"/>
        <rFont val="WenQuanYi Zen Hei"/>
        <family val="2"/>
      </rPr>
      <t xml:space="preserve">臺中市豐原區中山路</t>
    </r>
    <r>
      <rPr>
        <sz val="10"/>
        <color rgb="FF1F2A28"/>
        <rFont val="Arial"/>
        <family val="0"/>
        <charset val="1"/>
      </rPr>
      <t xml:space="preserve">402</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樓及</t>
    </r>
    <r>
      <rPr>
        <sz val="10"/>
        <color rgb="FF1F2A28"/>
        <rFont val="Arial"/>
        <family val="0"/>
        <charset val="1"/>
      </rPr>
      <t xml:space="preserve">406</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</si>
  <si>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25247588</t>
  </si>
  <si>
    <t xml:space="preserve">d25353582@yahoo.com.tw</t>
  </si>
  <si>
    <t xml:space="preserve">1998-02-13</t>
  </si>
  <si>
    <t xml:space="preserve">李淑芬</t>
  </si>
  <si>
    <t xml:space="preserve">劉耀勳</t>
  </si>
  <si>
    <t xml:space="preserve">臺中市私立嘉飛英語短期補習班</t>
  </si>
  <si>
    <r>
      <rPr>
        <sz val="10"/>
        <color rgb="FF1F2A28"/>
        <rFont val="WenQuanYi Zen Hei"/>
        <family val="2"/>
      </rPr>
      <t xml:space="preserve">臺中市西屯區上仁街</t>
    </r>
    <r>
      <rPr>
        <sz val="10"/>
        <color rgb="FF1F2A28"/>
        <rFont val="Arial"/>
        <family val="0"/>
        <charset val="1"/>
      </rPr>
      <t xml:space="preserve">76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樓及夾層</t>
    </r>
  </si>
  <si>
    <t xml:space="preserve">(04)24522432</t>
  </si>
  <si>
    <t xml:space="preserve">陳奕銳</t>
  </si>
  <si>
    <t xml:space="preserve">黃靖茹</t>
  </si>
  <si>
    <t xml:space="preserve">臺中市私立國光大明美日法語短期補習班</t>
  </si>
  <si>
    <r>
      <rPr>
        <sz val="10"/>
        <color rgb="FF1F2A28"/>
        <rFont val="WenQuanYi Zen Hei"/>
        <family val="2"/>
      </rPr>
      <t xml:space="preserve">臺中市大里區國光路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706-10</t>
    </r>
    <r>
      <rPr>
        <sz val="10"/>
        <color rgb="FF1F2A28"/>
        <rFont val="WenQuanYi Zen Hei"/>
        <family val="2"/>
      </rPr>
      <t xml:space="preserve">號</t>
    </r>
    <r>
      <rPr>
        <sz val="10"/>
        <color rgb="FF1F2A28"/>
        <rFont val="Arial"/>
        <family val="0"/>
        <charset val="1"/>
      </rPr>
      <t xml:space="preserve">10</t>
    </r>
    <r>
      <rPr>
        <sz val="10"/>
        <color rgb="FF1F2A28"/>
        <rFont val="WenQuanYi Zen Hei"/>
        <family val="2"/>
      </rPr>
      <t xml:space="preserve">樓</t>
    </r>
  </si>
  <si>
    <t xml:space="preserve">(04)24824991</t>
  </si>
  <si>
    <t xml:space="preserve">service@da-ming.net</t>
  </si>
  <si>
    <t xml:space="preserve">游禮禎</t>
  </si>
  <si>
    <t xml:space="preserve">臺中市私立國王學苑英語短期補習班</t>
  </si>
  <si>
    <r>
      <rPr>
        <sz val="10"/>
        <color rgb="FF1F2A28"/>
        <rFont val="WenQuanYi Zen Hei"/>
        <family val="2"/>
      </rPr>
      <t xml:space="preserve">臺中市沙鹿區中山路</t>
    </r>
    <r>
      <rPr>
        <sz val="10"/>
        <color rgb="FF1F2A28"/>
        <rFont val="Arial"/>
        <family val="0"/>
        <charset val="1"/>
      </rPr>
      <t xml:space="preserve">572-9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</si>
  <si>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26631987</t>
  </si>
  <si>
    <t xml:space="preserve">2002-05-31</t>
  </si>
  <si>
    <t xml:space="preserve">林世明</t>
  </si>
  <si>
    <t xml:space="preserve">臺中市私立國際村美日語短期補習班</t>
  </si>
  <si>
    <r>
      <rPr>
        <sz val="10"/>
        <color rgb="FF1F2A28"/>
        <rFont val="WenQuanYi Zen Hei"/>
        <family val="2"/>
      </rPr>
      <t xml:space="preserve">臺中市龍井區新興路</t>
    </r>
    <r>
      <rPr>
        <sz val="10"/>
        <color rgb="FF1F2A28"/>
        <rFont val="Arial"/>
        <family val="0"/>
        <charset val="1"/>
      </rPr>
      <t xml:space="preserve">43</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</si>
  <si>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26328755</t>
  </si>
  <si>
    <t xml:space="preserve">ivlc.educate@gmail.com</t>
  </si>
  <si>
    <t xml:space="preserve">1996-03-02</t>
  </si>
  <si>
    <t xml:space="preserve">李松勳</t>
  </si>
  <si>
    <t xml:space="preserve">蔡維真</t>
  </si>
  <si>
    <t xml:space="preserve">臺中市私立國馨美語會話短期補習班</t>
  </si>
  <si>
    <r>
      <rPr>
        <sz val="10"/>
        <color rgb="FF1F2A28"/>
        <rFont val="WenQuanYi Zen Hei"/>
        <family val="2"/>
      </rPr>
      <t xml:space="preserve">臺中市大里區大明路</t>
    </r>
    <r>
      <rPr>
        <sz val="10"/>
        <color rgb="FF1F2A28"/>
        <rFont val="Arial"/>
        <family val="0"/>
        <charset val="1"/>
      </rPr>
      <t xml:space="preserve">186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184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</si>
  <si>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04-24818766</t>
  </si>
  <si>
    <t xml:space="preserve">tracychang0624@gmail.com</t>
  </si>
  <si>
    <t xml:space="preserve">2001-04-10</t>
  </si>
  <si>
    <t xml:space="preserve">張詩涵（代表人）</t>
  </si>
  <si>
    <t xml:space="preserve">張詩涵</t>
  </si>
  <si>
    <t xml:space="preserve">臺中市私立均優語文短期補習班</t>
  </si>
  <si>
    <r>
      <rPr>
        <sz val="10"/>
        <color rgb="FF1F2A28"/>
        <rFont val="WenQuanYi Zen Hei"/>
        <family val="2"/>
      </rPr>
      <t xml:space="preserve">臺中市龍井區新庄村中沙路新庄仔巷</t>
    </r>
    <r>
      <rPr>
        <sz val="10"/>
        <color rgb="FF1F2A28"/>
        <rFont val="Arial"/>
        <family val="0"/>
        <charset val="1"/>
      </rPr>
      <t xml:space="preserve">1-37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</si>
  <si>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(04)26311918</t>
  </si>
  <si>
    <t xml:space="preserve">盧淑華</t>
  </si>
  <si>
    <t xml:space="preserve">臺中市私立夏倫美美語會話短期補習班</t>
  </si>
  <si>
    <r>
      <rPr>
        <sz val="10"/>
        <color rgb="FF1F2A28"/>
        <rFont val="WenQuanYi Zen Hei"/>
        <family val="2"/>
      </rPr>
      <t xml:space="preserve">臺中市西屯區福雅路</t>
    </r>
    <r>
      <rPr>
        <sz val="10"/>
        <color rgb="FF1F2A28"/>
        <rFont val="Arial"/>
        <family val="0"/>
        <charset val="1"/>
      </rPr>
      <t xml:space="preserve">141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</si>
  <si>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(04)24623521</t>
  </si>
  <si>
    <t xml:space="preserve">陳姿文</t>
  </si>
  <si>
    <t xml:space="preserve">臺中市私立大樹電腦美語短期補習班</t>
  </si>
  <si>
    <r>
      <rPr>
        <sz val="10"/>
        <color rgb="FF1F2A28"/>
        <rFont val="WenQuanYi Zen Hei"/>
        <family val="2"/>
      </rPr>
      <t xml:space="preserve">臺中市潭子區興華一路</t>
    </r>
    <r>
      <rPr>
        <sz val="10"/>
        <color rgb="FF1F2A28"/>
        <rFont val="Arial"/>
        <family val="0"/>
        <charset val="1"/>
      </rPr>
      <t xml:space="preserve">407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</si>
  <si>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(04)25320106</t>
  </si>
  <si>
    <t xml:space="preserve">eric.lai86@gmail.com</t>
  </si>
  <si>
    <t xml:space="preserve">2002-10-30</t>
  </si>
  <si>
    <t xml:space="preserve">梁黎芳</t>
  </si>
  <si>
    <t xml:space="preserve">臺中市私立大鳥芝蔴街美語短期補習班</t>
  </si>
  <si>
    <r>
      <rPr>
        <sz val="10"/>
        <color rgb="FF1F2A28"/>
        <rFont val="WenQuanYi Zen Hei"/>
        <family val="2"/>
      </rPr>
      <t xml:space="preserve">臺中市東勢區第五橫街</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</si>
  <si>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04-25873088</t>
  </si>
  <si>
    <t xml:space="preserve">huanruwu@gmail.com</t>
  </si>
  <si>
    <t xml:space="preserve">1990-01-04</t>
  </si>
  <si>
    <t xml:space="preserve">林雅淑</t>
  </si>
  <si>
    <t xml:space="preserve">臺中市私立天后英文短期補習班</t>
  </si>
  <si>
    <r>
      <rPr>
        <sz val="10"/>
        <color rgb="FF1F2A28"/>
        <rFont val="WenQuanYi Zen Hei"/>
        <family val="2"/>
      </rPr>
      <t xml:space="preserve">臺中市霧峰區中正路</t>
    </r>
    <r>
      <rPr>
        <sz val="10"/>
        <color rgb="FF1F2A28"/>
        <rFont val="Arial"/>
        <family val="0"/>
        <charset val="1"/>
      </rPr>
      <t xml:space="preserve">665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</si>
  <si>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04-23392770</t>
  </si>
  <si>
    <r>
      <rPr>
        <sz val="10"/>
        <color rgb="FF1F2A28"/>
        <rFont val="WenQuanYi Zen Hei"/>
        <family val="2"/>
      </rPr>
      <t xml:space="preserve">英文科</t>
    </r>
    <r>
      <rPr>
        <sz val="10"/>
        <color rgb="FF1F2A28"/>
        <rFont val="Arial"/>
        <family val="0"/>
        <charset val="1"/>
      </rPr>
      <t xml:space="preserve">A</t>
    </r>
    <r>
      <rPr>
        <sz val="10"/>
        <color rgb="FF1F2A28"/>
        <rFont val="WenQuanYi Zen Hei"/>
        <family val="2"/>
      </rPr>
      <t xml:space="preserve">班、英文科</t>
    </r>
    <r>
      <rPr>
        <sz val="10"/>
        <color rgb="FF1F2A28"/>
        <rFont val="Arial"/>
        <family val="0"/>
        <charset val="1"/>
      </rPr>
      <t xml:space="preserve">B</t>
    </r>
    <r>
      <rPr>
        <sz val="10"/>
        <color rgb="FF1F2A28"/>
        <rFont val="WenQuanYi Zen Hei"/>
        <family val="2"/>
      </rPr>
      <t xml:space="preserve">班、英文科</t>
    </r>
    <r>
      <rPr>
        <sz val="10"/>
        <color rgb="FF1F2A28"/>
        <rFont val="Arial"/>
        <family val="0"/>
        <charset val="1"/>
      </rPr>
      <t xml:space="preserve">C</t>
    </r>
    <r>
      <rPr>
        <sz val="10"/>
        <color rgb="FF1F2A28"/>
        <rFont val="WenQuanYi Zen Hei"/>
        <family val="2"/>
      </rPr>
      <t xml:space="preserve">班、英文科</t>
    </r>
    <r>
      <rPr>
        <sz val="10"/>
        <color rgb="FF1F2A28"/>
        <rFont val="Arial"/>
        <family val="0"/>
        <charset val="1"/>
      </rPr>
      <t xml:space="preserve">D</t>
    </r>
    <r>
      <rPr>
        <sz val="10"/>
        <color rgb="FF1F2A28"/>
        <rFont val="WenQuanYi Zen Hei"/>
        <family val="2"/>
      </rPr>
      <t xml:space="preserve">班、英文科</t>
    </r>
    <r>
      <rPr>
        <sz val="10"/>
        <color rgb="FF1F2A28"/>
        <rFont val="Arial"/>
        <family val="0"/>
        <charset val="1"/>
      </rPr>
      <t xml:space="preserve">E</t>
    </r>
    <r>
      <rPr>
        <sz val="10"/>
        <color rgb="FF1F2A28"/>
        <rFont val="WenQuanYi Zen Hei"/>
        <family val="2"/>
      </rPr>
      <t xml:space="preserve">班、英文科</t>
    </r>
    <r>
      <rPr>
        <sz val="10"/>
        <color rgb="FF1F2A28"/>
        <rFont val="Arial"/>
        <family val="0"/>
        <charset val="1"/>
      </rPr>
      <t xml:space="preserve">F</t>
    </r>
    <r>
      <rPr>
        <sz val="10"/>
        <color rgb="FF1F2A28"/>
        <rFont val="WenQuanYi Zen Hei"/>
        <family val="2"/>
      </rPr>
      <t xml:space="preserve">班</t>
    </r>
  </si>
  <si>
    <t xml:space="preserve">陳妍廷</t>
  </si>
  <si>
    <t xml:space="preserve">臺中市私立妮蔻美術美語短期補習班</t>
  </si>
  <si>
    <r>
      <rPr>
        <sz val="10"/>
        <color rgb="FF1F2A28"/>
        <rFont val="WenQuanYi Zen Hei"/>
        <family val="2"/>
      </rPr>
      <t xml:space="preserve">臺中市外埔區六分路</t>
    </r>
    <r>
      <rPr>
        <sz val="10"/>
        <color rgb="FF1F2A28"/>
        <rFont val="Arial"/>
        <family val="0"/>
        <charset val="1"/>
      </rPr>
      <t xml:space="preserve">338</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門牌整編</t>
    </r>
    <r>
      <rPr>
        <sz val="10"/>
        <color rgb="FF1F2A28"/>
        <rFont val="Arial"/>
        <family val="0"/>
        <charset val="1"/>
      </rPr>
      <t xml:space="preserve">:</t>
    </r>
    <r>
      <rPr>
        <sz val="10"/>
        <color rgb="FF1F2A28"/>
        <rFont val="WenQuanYi Zen Hei"/>
        <family val="2"/>
      </rPr>
      <t xml:space="preserve">臺中市外埔區外埔路</t>
    </r>
    <r>
      <rPr>
        <sz val="10"/>
        <color rgb="FF1F2A28"/>
        <rFont val="Arial"/>
        <family val="0"/>
        <charset val="1"/>
      </rPr>
      <t xml:space="preserve">833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t>
    </r>
  </si>
  <si>
    <t xml:space="preserve">(04)26839996</t>
  </si>
  <si>
    <t xml:space="preserve">2007-05-28</t>
  </si>
  <si>
    <t xml:space="preserve">陳貞吟</t>
  </si>
  <si>
    <t xml:space="preserve">臺中市私立威克森林語文短期補習班</t>
  </si>
  <si>
    <r>
      <rPr>
        <sz val="10"/>
        <color rgb="FF1F2A28"/>
        <rFont val="WenQuanYi Zen Hei"/>
        <family val="2"/>
      </rPr>
      <t xml:space="preserve">臺中市西屯區文心路二段</t>
    </r>
    <r>
      <rPr>
        <sz val="10"/>
        <color rgb="FF1F2A28"/>
        <rFont val="Arial"/>
        <family val="0"/>
        <charset val="1"/>
      </rPr>
      <t xml:space="preserve">570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</si>
  <si>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(04)23271209</t>
  </si>
  <si>
    <t xml:space="preserve">hs2216@hess.com.tw</t>
  </si>
  <si>
    <t xml:space="preserve">2015-06-16</t>
  </si>
  <si>
    <t xml:space="preserve">何玉婷</t>
  </si>
  <si>
    <t xml:space="preserve">臺中市私立子昇文理短期補習班</t>
  </si>
  <si>
    <r>
      <rPr>
        <sz val="10"/>
        <color rgb="FF1F2A28"/>
        <rFont val="WenQuanYi Zen Hei"/>
        <family val="2"/>
      </rPr>
      <t xml:space="preserve">臺中市太平區長億東五街</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</si>
  <si>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r>
      <rPr>
        <sz val="10"/>
        <color rgb="FF1F2A28"/>
        <rFont val="Arial"/>
        <family val="0"/>
        <charset val="1"/>
      </rPr>
      <t xml:space="preserve">(04)22769360</t>
    </r>
    <r>
      <rPr>
        <sz val="10"/>
        <color rgb="FF1F2A28"/>
        <rFont val="WenQuanYi Zen Hei"/>
        <family val="2"/>
      </rPr>
      <t xml:space="preserve">、</t>
    </r>
    <r>
      <rPr>
        <sz val="10"/>
        <color rgb="FF1F2A28"/>
        <rFont val="Arial"/>
        <family val="0"/>
        <charset val="1"/>
      </rPr>
      <t xml:space="preserve">22766360</t>
    </r>
  </si>
  <si>
    <t xml:space="preserve">Easecox.amy168@gmail.com</t>
  </si>
  <si>
    <r>
      <rPr>
        <sz val="10"/>
        <color rgb="FF1F2A28"/>
        <rFont val="WenQuanYi Zen Hei"/>
        <family val="2"/>
      </rPr>
      <t xml:space="preserve">美語科</t>
    </r>
    <r>
      <rPr>
        <sz val="10"/>
        <color rgb="FF1F2A28"/>
        <rFont val="Arial"/>
        <family val="0"/>
        <charset val="1"/>
      </rPr>
      <t xml:space="preserve">A</t>
    </r>
    <r>
      <rPr>
        <sz val="10"/>
        <color rgb="FF1F2A28"/>
        <rFont val="WenQuanYi Zen Hei"/>
        <family val="2"/>
      </rPr>
      <t xml:space="preserve">、美語科</t>
    </r>
    <r>
      <rPr>
        <sz val="10"/>
        <color rgb="FF1F2A28"/>
        <rFont val="Arial"/>
        <family val="0"/>
        <charset val="1"/>
      </rPr>
      <t xml:space="preserve">B</t>
    </r>
  </si>
  <si>
    <t xml:space="preserve">2004-02-24</t>
  </si>
  <si>
    <t xml:space="preserve">沈娟如</t>
  </si>
  <si>
    <t xml:space="preserve">陳冠妤</t>
  </si>
  <si>
    <t xml:space="preserve">臺中市私立孟儒文理短期補習班</t>
  </si>
  <si>
    <r>
      <rPr>
        <sz val="10"/>
        <color rgb="FF1F2A28"/>
        <rFont val="WenQuanYi Zen Hei"/>
        <family val="2"/>
      </rPr>
      <t xml:space="preserve">臺中市豐原區自立街</t>
    </r>
    <r>
      <rPr>
        <sz val="10"/>
        <color rgb="FF1F2A28"/>
        <rFont val="Arial"/>
        <family val="0"/>
        <charset val="1"/>
      </rPr>
      <t xml:space="preserve">58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</si>
  <si>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(04)25227792</t>
  </si>
  <si>
    <t xml:space="preserve">2016-05-24</t>
  </si>
  <si>
    <t xml:space="preserve">邱玉鳳</t>
  </si>
  <si>
    <t xml:space="preserve">臺中市私立孩子王美語短期補習班</t>
  </si>
  <si>
    <r>
      <rPr>
        <sz val="10"/>
        <color rgb="FF1F2A28"/>
        <rFont val="WenQuanYi Zen Hei"/>
        <family val="2"/>
      </rPr>
      <t xml:space="preserve">臺中市潭子區得福街</t>
    </r>
    <r>
      <rPr>
        <sz val="10"/>
        <color rgb="FF1F2A28"/>
        <rFont val="Arial"/>
        <family val="0"/>
        <charset val="1"/>
      </rPr>
      <t xml:space="preserve">125</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</si>
  <si>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(04)25355438</t>
  </si>
  <si>
    <t xml:space="preserve">陳佳慧</t>
  </si>
  <si>
    <t xml:space="preserve">林君芳</t>
  </si>
  <si>
    <t xml:space="preserve">臺中市私立學駿電腦美語短期補習班</t>
  </si>
  <si>
    <r>
      <rPr>
        <sz val="10"/>
        <color rgb="FF1F2A28"/>
        <rFont val="WenQuanYi Zen Hei"/>
        <family val="2"/>
      </rPr>
      <t xml:space="preserve">臺中市西屯區福泰街</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</si>
  <si>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(04)24636658</t>
  </si>
  <si>
    <t xml:space="preserve">gallopenglishtw@gmail.com</t>
  </si>
  <si>
    <r>
      <rPr>
        <sz val="10"/>
        <color rgb="FF1F2A28"/>
        <rFont val="WenQuanYi Zen Hei"/>
        <family val="2"/>
      </rPr>
      <t xml:space="preserve">美語</t>
    </r>
    <r>
      <rPr>
        <sz val="10"/>
        <color rgb="FF1F2A28"/>
        <rFont val="Arial"/>
        <family val="0"/>
        <charset val="1"/>
      </rPr>
      <t xml:space="preserve">14.27</t>
    </r>
    <r>
      <rPr>
        <sz val="10"/>
        <color rgb="FF1F2A28"/>
        <rFont val="WenQuanYi Zen Hei"/>
        <family val="2"/>
      </rPr>
      <t xml:space="preserve">、美語</t>
    </r>
    <r>
      <rPr>
        <sz val="10"/>
        <color rgb="FF1F2A28"/>
        <rFont val="Arial"/>
        <family val="0"/>
        <charset val="1"/>
      </rPr>
      <t xml:space="preserve">12.61</t>
    </r>
  </si>
  <si>
    <t xml:space="preserve">王豫琦</t>
  </si>
  <si>
    <t xml:space="preserve">臺中市私立安娜貝兒美語短期補習班</t>
  </si>
  <si>
    <r>
      <rPr>
        <sz val="10"/>
        <color rgb="FF1F2A28"/>
        <rFont val="WenQuanYi Zen Hei"/>
        <family val="2"/>
      </rPr>
      <t xml:space="preserve">臺中市大雅區學府路</t>
    </r>
    <r>
      <rPr>
        <sz val="10"/>
        <color rgb="FF1F2A28"/>
        <rFont val="Arial"/>
        <family val="0"/>
        <charset val="1"/>
      </rPr>
      <t xml:space="preserve">250</t>
    </r>
    <r>
      <rPr>
        <sz val="10"/>
        <color rgb="FF1F2A28"/>
        <rFont val="WenQuanYi Zen Hei"/>
        <family val="2"/>
      </rPr>
      <t xml:space="preserve">巷</t>
    </r>
    <r>
      <rPr>
        <sz val="10"/>
        <color rgb="FF1F2A28"/>
        <rFont val="Arial"/>
        <family val="0"/>
        <charset val="1"/>
      </rPr>
      <t xml:space="preserve">82</t>
    </r>
    <r>
      <rPr>
        <sz val="10"/>
        <color rgb="FF1F2A28"/>
        <rFont val="WenQuanYi Zen Hei"/>
        <family val="2"/>
      </rPr>
      <t xml:space="preserve">弄</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</si>
  <si>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(04)25669030</t>
  </si>
  <si>
    <t xml:space="preserve">tuzzchen@gmail.com</t>
  </si>
  <si>
    <t xml:space="preserve">2004-12-31</t>
  </si>
  <si>
    <t xml:space="preserve">謝子珍</t>
  </si>
  <si>
    <t xml:space="preserve">臺中市私立安琪兒文理短期補習班</t>
  </si>
  <si>
    <r>
      <rPr>
        <sz val="10"/>
        <color rgb="FF1F2A28"/>
        <rFont val="WenQuanYi Zen Hei"/>
        <family val="2"/>
      </rPr>
      <t xml:space="preserve">臺中市大雅區建興路</t>
    </r>
    <r>
      <rPr>
        <sz val="10"/>
        <color rgb="FF1F2A28"/>
        <rFont val="Arial"/>
        <family val="0"/>
        <charset val="1"/>
      </rPr>
      <t xml:space="preserve">223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</si>
  <si>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25694636</t>
  </si>
  <si>
    <t xml:space="preserve">yenju999@gmail.com</t>
  </si>
  <si>
    <r>
      <rPr>
        <sz val="10"/>
        <color rgb="FF1F2A28"/>
        <rFont val="WenQuanYi Zen Hei"/>
        <family val="2"/>
      </rPr>
      <t xml:space="preserve">美語科</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、美語科</t>
    </r>
    <r>
      <rPr>
        <sz val="10"/>
        <color rgb="FF1F2A28"/>
        <rFont val="Arial"/>
        <family val="0"/>
        <charset val="1"/>
      </rPr>
      <t xml:space="preserve">C</t>
    </r>
  </si>
  <si>
    <t xml:space="preserve">2001-04-16</t>
  </si>
  <si>
    <r>
      <rPr>
        <sz val="10"/>
        <color rgb="FF1F2A28"/>
        <rFont val="WenQuanYi Zen Hei"/>
        <family val="2"/>
      </rPr>
      <t xml:space="preserve">張雁茹</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、廖顯彬</t>
    </r>
  </si>
  <si>
    <t xml:space="preserve">張雁茹</t>
  </si>
  <si>
    <t xml:space="preserve">臺中市私立安迪兔美語短期補習班</t>
  </si>
  <si>
    <r>
      <rPr>
        <sz val="10"/>
        <color rgb="FF1F2A28"/>
        <rFont val="WenQuanYi Zen Hei"/>
        <family val="2"/>
      </rPr>
      <t xml:space="preserve">臺中市大肚區遊園路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18</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弄</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</si>
  <si>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(04)26916980</t>
  </si>
  <si>
    <t xml:space="preserve">2013-04-03</t>
  </si>
  <si>
    <t xml:space="preserve">丁琴韋</t>
  </si>
  <si>
    <t xml:space="preserve">臺中市私立宏霖英語會話短期補習班</t>
  </si>
  <si>
    <r>
      <rPr>
        <sz val="10"/>
        <color rgb="FF1F2A28"/>
        <rFont val="WenQuanYi Zen Hei"/>
        <family val="2"/>
      </rPr>
      <t xml:space="preserve">臺中市北屯區興安路一段</t>
    </r>
    <r>
      <rPr>
        <sz val="10"/>
        <color rgb="FF1F2A28"/>
        <rFont val="Arial"/>
        <family val="0"/>
        <charset val="1"/>
      </rPr>
      <t xml:space="preserve">249</t>
    </r>
    <r>
      <rPr>
        <sz val="10"/>
        <color rgb="FF1F2A28"/>
        <rFont val="WenQuanYi Zen Hei"/>
        <family val="2"/>
      </rPr>
      <t xml:space="preserve">號</t>
    </r>
  </si>
  <si>
    <t xml:space="preserve">04-22411155</t>
  </si>
  <si>
    <t xml:space="preserve">joywin88@ms71.hinet.net</t>
  </si>
  <si>
    <t xml:space="preserve">1997-12-19</t>
  </si>
  <si>
    <t xml:space="preserve">吳玉琪</t>
  </si>
  <si>
    <t xml:space="preserve">臺中市私立密西根美語短期補習班</t>
  </si>
  <si>
    <r>
      <rPr>
        <sz val="10"/>
        <color rgb="FF1F2A28"/>
        <rFont val="WenQuanYi Zen Hei"/>
        <family val="2"/>
      </rPr>
      <t xml:space="preserve">臺中市北屯區昌平路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</si>
  <si>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(04)22436320</t>
  </si>
  <si>
    <t xml:space="preserve">a0930326778@gmail.com</t>
  </si>
  <si>
    <r>
      <rPr>
        <sz val="10"/>
        <color rgb="FF1F2A28"/>
        <rFont val="WenQuanYi Zen Hei"/>
        <family val="2"/>
      </rPr>
      <t xml:space="preserve">美語</t>
    </r>
    <r>
      <rPr>
        <sz val="10"/>
        <color rgb="FF1F2A28"/>
        <rFont val="Arial"/>
        <family val="0"/>
        <charset val="1"/>
      </rPr>
      <t xml:space="preserve">16.55</t>
    </r>
    <r>
      <rPr>
        <sz val="10"/>
        <color rgb="FF1F2A28"/>
        <rFont val="WenQuanYi Zen Hei"/>
        <family val="2"/>
      </rPr>
      <t xml:space="preserve">、美語</t>
    </r>
    <r>
      <rPr>
        <sz val="10"/>
        <color rgb="FF1F2A28"/>
        <rFont val="Arial"/>
        <family val="0"/>
        <charset val="1"/>
      </rPr>
      <t xml:space="preserve">16.93</t>
    </r>
  </si>
  <si>
    <t xml:space="preserve">2006-08-23</t>
  </si>
  <si>
    <t xml:space="preserve">王嬋媺</t>
  </si>
  <si>
    <t xml:space="preserve">臺中市私立富蘭克林美語短期補習班</t>
  </si>
  <si>
    <r>
      <rPr>
        <sz val="10"/>
        <color rgb="FF1F2A28"/>
        <rFont val="WenQuanYi Zen Hei"/>
        <family val="2"/>
      </rPr>
      <t xml:space="preserve">臺中市豐原區葫蘆墩二街</t>
    </r>
    <r>
      <rPr>
        <sz val="10"/>
        <color rgb="FF1F2A28"/>
        <rFont val="Arial"/>
        <family val="0"/>
        <charset val="1"/>
      </rPr>
      <t xml:space="preserve">218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</si>
  <si>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25150435</t>
  </si>
  <si>
    <t xml:space="preserve">fkschool88@hotmail.com</t>
  </si>
  <si>
    <t xml:space="preserve">2000-08-07</t>
  </si>
  <si>
    <t xml:space="preserve">林生哲</t>
  </si>
  <si>
    <t xml:space="preserve">臺中市私立寶華美語短期補習班</t>
  </si>
  <si>
    <r>
      <rPr>
        <sz val="10"/>
        <color rgb="FF1F2A28"/>
        <rFont val="WenQuanYi Zen Hei"/>
        <family val="2"/>
      </rPr>
      <t xml:space="preserve">臺中市西屯區烈美街</t>
    </r>
    <r>
      <rPr>
        <sz val="10"/>
        <color rgb="FF1F2A28"/>
        <rFont val="Arial"/>
        <family val="0"/>
        <charset val="1"/>
      </rPr>
      <t xml:space="preserve">89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</si>
  <si>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04-24526865</t>
  </si>
  <si>
    <t xml:space="preserve">1997-09-23</t>
  </si>
  <si>
    <t xml:space="preserve">任中平</t>
  </si>
  <si>
    <t xml:space="preserve">臺中市私立寶貝熊學苑語文數學短期補習班</t>
  </si>
  <si>
    <r>
      <rPr>
        <sz val="10"/>
        <color rgb="FF1F2A28"/>
        <rFont val="WenQuanYi Zen Hei"/>
        <family val="2"/>
      </rPr>
      <t xml:space="preserve">臺中市大里區新生西路</t>
    </r>
    <r>
      <rPr>
        <sz val="10"/>
        <color rgb="FF1F2A28"/>
        <rFont val="Arial"/>
        <family val="0"/>
        <charset val="1"/>
      </rPr>
      <t xml:space="preserve">68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</si>
  <si>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04-24835780</t>
  </si>
  <si>
    <t xml:space="preserve">kindly031@gmail.com</t>
  </si>
  <si>
    <t xml:space="preserve">1998-02-21</t>
  </si>
  <si>
    <t xml:space="preserve">黃姵綺</t>
  </si>
  <si>
    <t xml:space="preserve">臺中市私立小凱撒文理短期補習班</t>
  </si>
  <si>
    <r>
      <rPr>
        <sz val="10"/>
        <color rgb="FF1F2A28"/>
        <rFont val="WenQuanYi Zen Hei"/>
        <family val="2"/>
      </rPr>
      <t xml:space="preserve">臺中市太平區東平路</t>
    </r>
    <r>
      <rPr>
        <sz val="10"/>
        <color rgb="FF1F2A28"/>
        <rFont val="Arial"/>
        <family val="0"/>
        <charset val="1"/>
      </rPr>
      <t xml:space="preserve">407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</si>
  <si>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(04)22786258</t>
  </si>
  <si>
    <t xml:space="preserve">aa0955809168@gmail.com</t>
  </si>
  <si>
    <r>
      <rPr>
        <sz val="10"/>
        <color rgb="FF1F2A28"/>
        <rFont val="WenQuanYi Zen Hei"/>
        <family val="2"/>
      </rPr>
      <t xml:space="preserve">英語會話科</t>
    </r>
    <r>
      <rPr>
        <sz val="10"/>
        <color rgb="FF1F2A28"/>
        <rFont val="Arial"/>
        <family val="0"/>
        <charset val="1"/>
      </rPr>
      <t xml:space="preserve">B</t>
    </r>
    <r>
      <rPr>
        <sz val="10"/>
        <color rgb="FF1F2A28"/>
        <rFont val="WenQuanYi Zen Hei"/>
        <family val="2"/>
      </rPr>
      <t xml:space="preserve">班、英語會話科</t>
    </r>
    <r>
      <rPr>
        <sz val="10"/>
        <color rgb="FF1F2A28"/>
        <rFont val="Arial"/>
        <family val="0"/>
        <charset val="1"/>
      </rPr>
      <t xml:space="preserve">A</t>
    </r>
    <r>
      <rPr>
        <sz val="10"/>
        <color rgb="FF1F2A28"/>
        <rFont val="WenQuanYi Zen Hei"/>
        <family val="2"/>
      </rPr>
      <t xml:space="preserve">班</t>
    </r>
  </si>
  <si>
    <t xml:space="preserve">2005-10-05</t>
  </si>
  <si>
    <t xml:space="preserve">莊瓊華</t>
  </si>
  <si>
    <t xml:space="preserve">臺中市私立小博士精智美語短期補習班</t>
  </si>
  <si>
    <r>
      <rPr>
        <sz val="10"/>
        <color rgb="FF1F2A28"/>
        <rFont val="WenQuanYi Zen Hei"/>
        <family val="2"/>
      </rPr>
      <t xml:space="preserve">臺中市太平區中平七街</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</si>
  <si>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(04)22797174</t>
  </si>
  <si>
    <t xml:space="preserve">FO001743@yahoo.com.tw</t>
  </si>
  <si>
    <t xml:space="preserve">2024-07-09</t>
  </si>
  <si>
    <t xml:space="preserve">廖鴻誌</t>
  </si>
  <si>
    <t xml:space="preserve">臺中市私立小河馬文理短期補習班</t>
  </si>
  <si>
    <r>
      <rPr>
        <sz val="10"/>
        <color rgb="FF1F2A28"/>
        <rFont val="WenQuanYi Zen Hei"/>
        <family val="2"/>
      </rPr>
      <t xml:space="preserve">臺中市南屯區三和街</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</si>
  <si>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(04)23850352</t>
  </si>
  <si>
    <t xml:space="preserve">hs1107@hess.com.tw</t>
  </si>
  <si>
    <r>
      <rPr>
        <sz val="10"/>
        <color rgb="FF1F2A28"/>
        <rFont val="WenQuanYi Zen Hei"/>
        <family val="2"/>
      </rPr>
      <t xml:space="preserve">英文科</t>
    </r>
    <r>
      <rPr>
        <sz val="10"/>
        <color rgb="FF1F2A28"/>
        <rFont val="Arial"/>
        <family val="0"/>
        <charset val="1"/>
      </rPr>
      <t xml:space="preserve">A1</t>
    </r>
    <r>
      <rPr>
        <sz val="10"/>
        <color rgb="FF1F2A28"/>
        <rFont val="WenQuanYi Zen Hei"/>
        <family val="2"/>
      </rPr>
      <t xml:space="preserve">班、英文科</t>
    </r>
    <r>
      <rPr>
        <sz val="10"/>
        <color rgb="FF1F2A28"/>
        <rFont val="Arial"/>
        <family val="0"/>
        <charset val="1"/>
      </rPr>
      <t xml:space="preserve">A2</t>
    </r>
    <r>
      <rPr>
        <sz val="10"/>
        <color rgb="FF1F2A28"/>
        <rFont val="WenQuanYi Zen Hei"/>
        <family val="2"/>
      </rPr>
      <t xml:space="preserve">班、英文科</t>
    </r>
    <r>
      <rPr>
        <sz val="10"/>
        <color rgb="FF1F2A28"/>
        <rFont val="Arial"/>
        <family val="0"/>
        <charset val="1"/>
      </rPr>
      <t xml:space="preserve">A3</t>
    </r>
    <r>
      <rPr>
        <sz val="10"/>
        <color rgb="FF1F2A28"/>
        <rFont val="WenQuanYi Zen Hei"/>
        <family val="2"/>
      </rPr>
      <t xml:space="preserve">班、英文科</t>
    </r>
    <r>
      <rPr>
        <sz val="10"/>
        <color rgb="FF1F2A28"/>
        <rFont val="Arial"/>
        <family val="0"/>
        <charset val="1"/>
      </rPr>
      <t xml:space="preserve">A4</t>
    </r>
    <r>
      <rPr>
        <sz val="10"/>
        <color rgb="FF1F2A28"/>
        <rFont val="WenQuanYi Zen Hei"/>
        <family val="2"/>
      </rPr>
      <t xml:space="preserve">班、英文科</t>
    </r>
    <r>
      <rPr>
        <sz val="10"/>
        <color rgb="FF1F2A28"/>
        <rFont val="Arial"/>
        <family val="0"/>
        <charset val="1"/>
      </rPr>
      <t xml:space="preserve">A5</t>
    </r>
    <r>
      <rPr>
        <sz val="10"/>
        <color rgb="FF1F2A28"/>
        <rFont val="WenQuanYi Zen Hei"/>
        <family val="2"/>
      </rPr>
      <t xml:space="preserve">班、英文科</t>
    </r>
    <r>
      <rPr>
        <sz val="10"/>
        <color rgb="FF1F2A28"/>
        <rFont val="Arial"/>
        <family val="0"/>
        <charset val="1"/>
      </rPr>
      <t xml:space="preserve">A6</t>
    </r>
    <r>
      <rPr>
        <sz val="10"/>
        <color rgb="FF1F2A28"/>
        <rFont val="WenQuanYi Zen Hei"/>
        <family val="2"/>
      </rPr>
      <t xml:space="preserve">班、英文科</t>
    </r>
    <r>
      <rPr>
        <sz val="10"/>
        <color rgb="FF1F2A28"/>
        <rFont val="Arial"/>
        <family val="0"/>
        <charset val="1"/>
      </rPr>
      <t xml:space="preserve">A7</t>
    </r>
    <r>
      <rPr>
        <sz val="10"/>
        <color rgb="FF1F2A28"/>
        <rFont val="WenQuanYi Zen Hei"/>
        <family val="2"/>
      </rPr>
      <t xml:space="preserve">班、英文科</t>
    </r>
    <r>
      <rPr>
        <sz val="10"/>
        <color rgb="FF1F2A28"/>
        <rFont val="Arial"/>
        <family val="0"/>
        <charset val="1"/>
      </rPr>
      <t xml:space="preserve">A8</t>
    </r>
    <r>
      <rPr>
        <sz val="10"/>
        <color rgb="FF1F2A28"/>
        <rFont val="WenQuanYi Zen Hei"/>
        <family val="2"/>
      </rPr>
      <t xml:space="preserve">班、英文科</t>
    </r>
    <r>
      <rPr>
        <sz val="10"/>
        <color rgb="FF1F2A28"/>
        <rFont val="Arial"/>
        <family val="0"/>
        <charset val="1"/>
      </rPr>
      <t xml:space="preserve">A9</t>
    </r>
    <r>
      <rPr>
        <sz val="10"/>
        <color rgb="FF1F2A28"/>
        <rFont val="WenQuanYi Zen Hei"/>
        <family val="2"/>
      </rPr>
      <t xml:space="preserve">班</t>
    </r>
  </si>
  <si>
    <t xml:space="preserve">彭秋娥</t>
  </si>
  <si>
    <t xml:space="preserve">何家慧</t>
  </si>
  <si>
    <t xml:space="preserve">臺中市私立小瓢蟲美語美術短期補習班</t>
  </si>
  <si>
    <r>
      <rPr>
        <sz val="10"/>
        <color rgb="FF1F2A28"/>
        <rFont val="WenQuanYi Zen Hei"/>
        <family val="2"/>
      </rPr>
      <t xml:space="preserve">臺中市豐原區自強南街</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</si>
  <si>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(04)25291775</t>
  </si>
  <si>
    <t xml:space="preserve">ericahanna88732814@gmail.com</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</si>
  <si>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、美語</t>
    </r>
    <r>
      <rPr>
        <sz val="10"/>
        <color rgb="FF1F2A28"/>
        <rFont val="Arial"/>
        <family val="0"/>
        <charset val="1"/>
      </rPr>
      <t xml:space="preserve">C</t>
    </r>
    <r>
      <rPr>
        <sz val="10"/>
        <color rgb="FF1F2A28"/>
        <rFont val="WenQuanYi Zen Hei"/>
        <family val="2"/>
      </rPr>
      <t xml:space="preserve">、美語</t>
    </r>
    <r>
      <rPr>
        <sz val="10"/>
        <color rgb="FF1F2A28"/>
        <rFont val="Arial"/>
        <family val="0"/>
        <charset val="1"/>
      </rPr>
      <t xml:space="preserve">D</t>
    </r>
    <r>
      <rPr>
        <sz val="10"/>
        <color rgb="FF1F2A28"/>
        <rFont val="WenQuanYi Zen Hei"/>
        <family val="2"/>
      </rPr>
      <t xml:space="preserve">、美語</t>
    </r>
    <r>
      <rPr>
        <sz val="10"/>
        <color rgb="FF1F2A28"/>
        <rFont val="Arial"/>
        <family val="0"/>
        <charset val="1"/>
      </rPr>
      <t xml:space="preserve">E</t>
    </r>
    <r>
      <rPr>
        <sz val="10"/>
        <color rgb="FF1F2A28"/>
        <rFont val="WenQuanYi Zen Hei"/>
        <family val="2"/>
      </rPr>
      <t xml:space="preserve">、美語</t>
    </r>
    <r>
      <rPr>
        <sz val="10"/>
        <color rgb="FF1F2A28"/>
        <rFont val="Arial"/>
        <family val="0"/>
        <charset val="1"/>
      </rPr>
      <t xml:space="preserve">B</t>
    </r>
  </si>
  <si>
    <t xml:space="preserve">2009-11-02</t>
  </si>
  <si>
    <t xml:space="preserve">張君綺</t>
  </si>
  <si>
    <t xml:space="preserve">臺中市私立小蜜蜂文理短期補習班</t>
  </si>
  <si>
    <r>
      <rPr>
        <sz val="10"/>
        <color rgb="FF1F2A28"/>
        <rFont val="WenQuanYi Zen Hei"/>
        <family val="2"/>
      </rPr>
      <t xml:space="preserve">臺中市清水區五權路</t>
    </r>
    <r>
      <rPr>
        <sz val="10"/>
        <color rgb="FF1F2A28"/>
        <rFont val="Arial"/>
        <family val="0"/>
        <charset val="1"/>
      </rPr>
      <t xml:space="preserve">81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</si>
  <si>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(04)26276884</t>
  </si>
  <si>
    <t xml:space="preserve">beehiveenglish2002@gmail.com</t>
  </si>
  <si>
    <t xml:space="preserve">顏佳慧</t>
  </si>
  <si>
    <t xml:space="preserve">臺中市私立尚恩文理技藝短期補習班</t>
  </si>
  <si>
    <r>
      <rPr>
        <sz val="10"/>
        <color rgb="FF1F2A28"/>
        <rFont val="WenQuanYi Zen Hei"/>
        <family val="2"/>
      </rPr>
      <t xml:space="preserve">臺中市沙鹿區北勢二街</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</si>
  <si>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(04)26313225</t>
  </si>
  <si>
    <t xml:space="preserve">weiju1075@gmail.com</t>
  </si>
  <si>
    <r>
      <rPr>
        <sz val="10"/>
        <color rgb="FF1F2A28"/>
        <rFont val="WenQuanYi Zen Hei"/>
        <family val="2"/>
      </rPr>
      <t xml:space="preserve">英文</t>
    </r>
    <r>
      <rPr>
        <sz val="10"/>
        <color rgb="FF1F2A28"/>
        <rFont val="Arial"/>
        <family val="0"/>
        <charset val="1"/>
      </rPr>
      <t xml:space="preserve">A</t>
    </r>
    <r>
      <rPr>
        <sz val="10"/>
        <color rgb="FF1F2A28"/>
        <rFont val="WenQuanYi Zen Hei"/>
        <family val="2"/>
      </rPr>
      <t xml:space="preserve">科、英文</t>
    </r>
    <r>
      <rPr>
        <sz val="10"/>
        <color rgb="FF1F2A28"/>
        <rFont val="Arial"/>
        <family val="0"/>
        <charset val="1"/>
      </rPr>
      <t xml:space="preserve">B</t>
    </r>
    <r>
      <rPr>
        <sz val="10"/>
        <color rgb="FF1F2A28"/>
        <rFont val="WenQuanYi Zen Hei"/>
        <family val="2"/>
      </rPr>
      <t xml:space="preserve">科、英文</t>
    </r>
    <r>
      <rPr>
        <sz val="10"/>
        <color rgb="FF1F2A28"/>
        <rFont val="Arial"/>
        <family val="0"/>
        <charset val="1"/>
      </rPr>
      <t xml:space="preserve">C</t>
    </r>
    <r>
      <rPr>
        <sz val="10"/>
        <color rgb="FF1F2A28"/>
        <rFont val="WenQuanYi Zen Hei"/>
        <family val="2"/>
      </rPr>
      <t xml:space="preserve">科</t>
    </r>
  </si>
  <si>
    <t xml:space="preserve">2007-04-18</t>
  </si>
  <si>
    <t xml:space="preserve">林湧男</t>
  </si>
  <si>
    <t xml:space="preserve">臺中市私立尹力特美語短期補習班</t>
  </si>
  <si>
    <r>
      <rPr>
        <sz val="10"/>
        <color rgb="FF1F2A28"/>
        <rFont val="WenQuanYi Zen Hei"/>
        <family val="2"/>
      </rPr>
      <t xml:space="preserve">臺中市大甲區育英路</t>
    </r>
    <r>
      <rPr>
        <sz val="10"/>
        <color rgb="FF1F2A28"/>
        <rFont val="Arial"/>
        <family val="0"/>
        <charset val="1"/>
      </rPr>
      <t xml:space="preserve">272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</si>
  <si>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(04)26888785</t>
  </si>
  <si>
    <t xml:space="preserve">bungeejumper123@yahoo.com.tw</t>
  </si>
  <si>
    <t xml:space="preserve">廖忠明</t>
  </si>
  <si>
    <t xml:space="preserve">李靜彤</t>
  </si>
  <si>
    <t xml:space="preserve">臺中市私立巴比倫文理短期補習班</t>
  </si>
  <si>
    <r>
      <rPr>
        <sz val="10"/>
        <color rgb="FF1F2A28"/>
        <rFont val="WenQuanYi Zen Hei"/>
        <family val="2"/>
      </rPr>
      <t xml:space="preserve">臺中市北屯區軍福七路</t>
    </r>
    <r>
      <rPr>
        <sz val="10"/>
        <color rgb="FF1F2A28"/>
        <rFont val="Arial"/>
        <family val="0"/>
        <charset val="1"/>
      </rPr>
      <t xml:space="preserve">37</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</si>
  <si>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(04)22330883</t>
  </si>
  <si>
    <r>
      <rPr>
        <sz val="10"/>
        <color rgb="FF1F2A28"/>
        <rFont val="WenQuanYi Zen Hei"/>
        <family val="2"/>
      </rPr>
      <t xml:space="preserve">英文</t>
    </r>
    <r>
      <rPr>
        <sz val="10"/>
        <color rgb="FF1F2A28"/>
        <rFont val="Arial"/>
        <family val="0"/>
        <charset val="1"/>
      </rPr>
      <t xml:space="preserve">A</t>
    </r>
    <r>
      <rPr>
        <sz val="10"/>
        <color rgb="FF1F2A28"/>
        <rFont val="WenQuanYi Zen Hei"/>
        <family val="2"/>
      </rPr>
      <t xml:space="preserve">、英文</t>
    </r>
    <r>
      <rPr>
        <sz val="10"/>
        <color rgb="FF1F2A28"/>
        <rFont val="Arial"/>
        <family val="0"/>
        <charset val="1"/>
      </rPr>
      <t xml:space="preserve">B</t>
    </r>
    <r>
      <rPr>
        <sz val="10"/>
        <color rgb="FF1F2A28"/>
        <rFont val="WenQuanYi Zen Hei"/>
        <family val="2"/>
      </rPr>
      <t xml:space="preserve">、英文</t>
    </r>
    <r>
      <rPr>
        <sz val="10"/>
        <color rgb="FF1F2A28"/>
        <rFont val="Arial"/>
        <family val="0"/>
        <charset val="1"/>
      </rPr>
      <t xml:space="preserve">C</t>
    </r>
    <r>
      <rPr>
        <sz val="10"/>
        <color rgb="FF1F2A28"/>
        <rFont val="WenQuanYi Zen Hei"/>
        <family val="2"/>
      </rPr>
      <t xml:space="preserve">、英文</t>
    </r>
    <r>
      <rPr>
        <sz val="10"/>
        <color rgb="FF1F2A28"/>
        <rFont val="Arial"/>
        <family val="0"/>
        <charset val="1"/>
      </rPr>
      <t xml:space="preserve">D</t>
    </r>
  </si>
  <si>
    <t xml:space="preserve">2018-01-19</t>
  </si>
  <si>
    <t xml:space="preserve">劉水錦</t>
  </si>
  <si>
    <t xml:space="preserve">臺中市私立巴比音樂美語短期補習班</t>
  </si>
  <si>
    <r>
      <rPr>
        <sz val="10"/>
        <color rgb="FF1F2A28"/>
        <rFont val="WenQuanYi Zen Hei"/>
        <family val="2"/>
      </rPr>
      <t xml:space="preserve">臺中市太平區長億北街</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</si>
  <si>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04-22730702</t>
  </si>
  <si>
    <t xml:space="preserve">barbiemusicofart@yahoo.com.tw</t>
  </si>
  <si>
    <t xml:space="preserve">2000-03-07</t>
  </si>
  <si>
    <t xml:space="preserve">陳翠芳</t>
  </si>
  <si>
    <t xml:space="preserve">臺中市私立布朗語文短期補習班</t>
  </si>
  <si>
    <r>
      <rPr>
        <sz val="10"/>
        <color rgb="FF1F2A28"/>
        <rFont val="WenQuanYi Zen Hei"/>
        <family val="2"/>
      </rPr>
      <t xml:space="preserve">臺中市沙鹿區天池街</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樓及沙田路</t>
    </r>
    <r>
      <rPr>
        <sz val="10"/>
        <color rgb="FF1F2A28"/>
        <rFont val="Arial"/>
        <family val="0"/>
        <charset val="1"/>
      </rPr>
      <t xml:space="preserve">23-110</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</si>
  <si>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04-26359833</t>
  </si>
  <si>
    <t xml:space="preserve">brown26359833@gmail.com</t>
  </si>
  <si>
    <t xml:space="preserve">1998-09-25</t>
  </si>
  <si>
    <t xml:space="preserve">鐘惠珠</t>
  </si>
  <si>
    <t xml:space="preserve">臺中市私立師德美語短期補習班</t>
  </si>
  <si>
    <r>
      <rPr>
        <sz val="10"/>
        <color rgb="FF1F2A28"/>
        <rFont val="WenQuanYi Zen Hei"/>
        <family val="2"/>
      </rPr>
      <t xml:space="preserve">臺中市北屯區東山路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146</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</si>
  <si>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(04)24376616</t>
  </si>
  <si>
    <t xml:space="preserve">weng1888@gmail.com</t>
  </si>
  <si>
    <r>
      <rPr>
        <sz val="10"/>
        <color rgb="FF1F2A28"/>
        <rFont val="WenQuanYi Zen Hei"/>
        <family val="2"/>
      </rPr>
      <t xml:space="preserve">英文</t>
    </r>
    <r>
      <rPr>
        <sz val="10"/>
        <color rgb="FF1F2A28"/>
        <rFont val="Arial"/>
        <family val="0"/>
        <charset val="1"/>
      </rPr>
      <t xml:space="preserve">17.20</t>
    </r>
    <r>
      <rPr>
        <sz val="10"/>
        <color rgb="FF1F2A28"/>
        <rFont val="WenQuanYi Zen Hei"/>
        <family val="2"/>
      </rPr>
      <t xml:space="preserve">、英文</t>
    </r>
    <r>
      <rPr>
        <sz val="10"/>
        <color rgb="FF1F2A28"/>
        <rFont val="Arial"/>
        <family val="0"/>
        <charset val="1"/>
      </rPr>
      <t xml:space="preserve">9.60</t>
    </r>
  </si>
  <si>
    <t xml:space="preserve">陳文成</t>
  </si>
  <si>
    <t xml:space="preserve">楊淑莉</t>
  </si>
  <si>
    <t xml:space="preserve">臺中市私立幸福外語短期補習班逢甲分班</t>
  </si>
  <si>
    <r>
      <rPr>
        <sz val="10"/>
        <color rgb="FF1F2A28"/>
        <rFont val="WenQuanYi Zen Hei"/>
        <family val="2"/>
      </rPr>
      <t xml:space="preserve">臺中市西屯區櫻花路</t>
    </r>
    <r>
      <rPr>
        <sz val="10"/>
        <color rgb="FF1F2A28"/>
        <rFont val="Arial"/>
        <family val="0"/>
        <charset val="1"/>
      </rPr>
      <t xml:space="preserve">93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號</t>
    </r>
  </si>
  <si>
    <t xml:space="preserve">0937-200387</t>
  </si>
  <si>
    <t xml:space="preserve">happylanguage777@gmail.com</t>
  </si>
  <si>
    <t xml:space="preserve">2013-03-11</t>
  </si>
  <si>
    <t xml:space="preserve">德武秀悟</t>
  </si>
  <si>
    <t xml:space="preserve">林育芹</t>
  </si>
  <si>
    <t xml:space="preserve">臺中市私立建達美語會話短期補習班</t>
  </si>
  <si>
    <r>
      <rPr>
        <sz val="10"/>
        <color rgb="FF1F2A28"/>
        <rFont val="WenQuanYi Zen Hei"/>
        <family val="2"/>
      </rPr>
      <t xml:space="preserve">臺中市北屯區崇德六路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181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 </t>
    </r>
    <r>
      <rPr>
        <sz val="10"/>
        <color rgb="FF1F2A28"/>
        <rFont val="Arial"/>
        <family val="0"/>
        <charset val="1"/>
      </rPr>
      <t xml:space="preserve">/ 406</t>
    </r>
    <r>
      <rPr>
        <sz val="10"/>
        <color rgb="FF1F2A28"/>
        <rFont val="WenQuanYi Zen Hei"/>
        <family val="2"/>
      </rPr>
      <t xml:space="preserve">台中市北屯區崇德六路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183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</si>
  <si>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04-36063360</t>
  </si>
  <si>
    <t xml:space="preserve">soulmate0225@gmail.com</t>
  </si>
  <si>
    <r>
      <rPr>
        <sz val="10"/>
        <color rgb="FF1F2A28"/>
        <rFont val="WenQuanYi Zen Hei"/>
        <family val="2"/>
      </rPr>
      <t xml:space="preserve">美語</t>
    </r>
    <r>
      <rPr>
        <sz val="10"/>
        <color rgb="FF1F2A28"/>
        <rFont val="Arial"/>
        <family val="0"/>
        <charset val="1"/>
      </rPr>
      <t xml:space="preserve">22.23(</t>
    </r>
    <r>
      <rPr>
        <sz val="10"/>
        <color rgb="FF1F2A28"/>
        <rFont val="WenQuanYi Zen Hei"/>
        <family val="2"/>
      </rPr>
      <t xml:space="preserve">含</t>
    </r>
    <r>
      <rPr>
        <sz val="10"/>
        <color rgb="FF1F2A28"/>
        <rFont val="Arial"/>
        <family val="0"/>
        <charset val="1"/>
      </rPr>
      <t xml:space="preserve">4</t>
    </r>
    <r>
      <rPr>
        <sz val="10"/>
        <color rgb="FF1F2A28"/>
        <rFont val="WenQuanYi Zen Hei"/>
        <family val="2"/>
      </rPr>
      <t xml:space="preserve">小時，家庭作業寫作</t>
    </r>
    <r>
      <rPr>
        <sz val="10"/>
        <color rgb="FF1F2A28"/>
        <rFont val="Arial"/>
        <family val="0"/>
        <charset val="1"/>
      </rPr>
      <t xml:space="preserve">2</t>
    </r>
    <r>
      <rPr>
        <sz val="10"/>
        <color rgb="FF1F2A28"/>
        <rFont val="WenQuanYi Zen Hei"/>
        <family val="2"/>
      </rPr>
      <t xml:space="preserve">小時</t>
    </r>
    <r>
      <rPr>
        <sz val="10"/>
        <color rgb="FF1F2A28"/>
        <rFont val="Arial"/>
        <family val="0"/>
        <charset val="1"/>
      </rPr>
      <t xml:space="preserve">)</t>
    </r>
  </si>
  <si>
    <t xml:space="preserve">2003-06-10</t>
  </si>
  <si>
    <t xml:space="preserve">蘇志文</t>
  </si>
  <si>
    <t xml:space="preserve">蔡美惠</t>
  </si>
  <si>
    <t xml:space="preserve">臺中市私立弘翊語文短期補習班</t>
  </si>
  <si>
    <r>
      <rPr>
        <sz val="10"/>
        <color rgb="FF1F2A28"/>
        <rFont val="WenQuanYi Zen Hei"/>
        <family val="2"/>
      </rPr>
      <t xml:space="preserve">臺中市沙鹿區賢忠街</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</si>
  <si>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(04)26351709</t>
  </si>
  <si>
    <t xml:space="preserve">2005-06-03</t>
  </si>
  <si>
    <t xml:space="preserve">陳雅智</t>
  </si>
  <si>
    <t xml:space="preserve">臺中市私立強納森語文短期補習班</t>
  </si>
  <si>
    <r>
      <rPr>
        <sz val="10"/>
        <color rgb="FF1F2A28"/>
        <rFont val="WenQuanYi Zen Hei"/>
        <family val="2"/>
      </rPr>
      <t xml:space="preserve">臺中市沙鹿區中山路</t>
    </r>
    <r>
      <rPr>
        <sz val="10"/>
        <color rgb="FF1F2A28"/>
        <rFont val="Arial"/>
        <family val="0"/>
        <charset val="1"/>
      </rPr>
      <t xml:space="preserve">135</t>
    </r>
    <r>
      <rPr>
        <sz val="10"/>
        <color rgb="FF1F2A28"/>
        <rFont val="WenQuanYi Zen Hei"/>
        <family val="2"/>
      </rPr>
      <t xml:space="preserve">之</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</si>
  <si>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(04)26320828</t>
  </si>
  <si>
    <t xml:space="preserve">flelc.shalu@gmail.com</t>
  </si>
  <si>
    <r>
      <rPr>
        <sz val="10"/>
        <color rgb="FF1F2A28"/>
        <rFont val="WenQuanYi Zen Hei"/>
        <family val="2"/>
      </rPr>
      <t xml:space="preserve">英語</t>
    </r>
    <r>
      <rPr>
        <sz val="10"/>
        <color rgb="FF1F2A28"/>
        <rFont val="Arial"/>
        <family val="0"/>
        <charset val="1"/>
      </rPr>
      <t xml:space="preserve">A</t>
    </r>
    <r>
      <rPr>
        <sz val="10"/>
        <color rgb="FF1F2A28"/>
        <rFont val="WenQuanYi Zen Hei"/>
        <family val="2"/>
      </rPr>
      <t xml:space="preserve">科、英語</t>
    </r>
    <r>
      <rPr>
        <sz val="10"/>
        <color rgb="FF1F2A28"/>
        <rFont val="Arial"/>
        <family val="0"/>
        <charset val="1"/>
      </rPr>
      <t xml:space="preserve">B</t>
    </r>
    <r>
      <rPr>
        <sz val="10"/>
        <color rgb="FF1F2A28"/>
        <rFont val="WenQuanYi Zen Hei"/>
        <family val="2"/>
      </rPr>
      <t xml:space="preserve">科、英語</t>
    </r>
    <r>
      <rPr>
        <sz val="10"/>
        <color rgb="FF1F2A28"/>
        <rFont val="Arial"/>
        <family val="0"/>
        <charset val="1"/>
      </rPr>
      <t xml:space="preserve">C</t>
    </r>
    <r>
      <rPr>
        <sz val="10"/>
        <color rgb="FF1F2A28"/>
        <rFont val="WenQuanYi Zen Hei"/>
        <family val="2"/>
      </rPr>
      <t xml:space="preserve">科、英語</t>
    </r>
    <r>
      <rPr>
        <sz val="10"/>
        <color rgb="FF1F2A28"/>
        <rFont val="Arial"/>
        <family val="0"/>
        <charset val="1"/>
      </rPr>
      <t xml:space="preserve">D</t>
    </r>
    <r>
      <rPr>
        <sz val="10"/>
        <color rgb="FF1F2A28"/>
        <rFont val="WenQuanYi Zen Hei"/>
        <family val="2"/>
      </rPr>
      <t xml:space="preserve">科、英語</t>
    </r>
    <r>
      <rPr>
        <sz val="10"/>
        <color rgb="FF1F2A28"/>
        <rFont val="Arial"/>
        <family val="0"/>
        <charset val="1"/>
      </rPr>
      <t xml:space="preserve">E</t>
    </r>
    <r>
      <rPr>
        <sz val="10"/>
        <color rgb="FF1F2A28"/>
        <rFont val="WenQuanYi Zen Hei"/>
        <family val="2"/>
      </rPr>
      <t xml:space="preserve">科</t>
    </r>
  </si>
  <si>
    <t xml:space="preserve">黃慶喬</t>
  </si>
  <si>
    <t xml:space="preserve">吳麗華</t>
  </si>
  <si>
    <t xml:space="preserve">臺中市私立彩虹語美語短期補習班</t>
  </si>
  <si>
    <r>
      <rPr>
        <sz val="10"/>
        <color rgb="FF1F2A28"/>
        <rFont val="WenQuanYi Zen Hei"/>
        <family val="2"/>
      </rPr>
      <t xml:space="preserve">臺中市烏日區溪南路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607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</si>
  <si>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(04)23359453</t>
  </si>
  <si>
    <t xml:space="preserve">rainbowtwfish028@gmail.com.tw</t>
  </si>
  <si>
    <t xml:space="preserve">2005-01-07</t>
  </si>
  <si>
    <t xml:space="preserve">粘家瑜</t>
  </si>
  <si>
    <t xml:space="preserve">臺中市私立德翰文理短期補習班</t>
  </si>
  <si>
    <r>
      <rPr>
        <sz val="10"/>
        <color rgb="FF1F2A28"/>
        <rFont val="WenQuanYi Zen Hei"/>
        <family val="2"/>
      </rPr>
      <t xml:space="preserve">臺中市大里區美村街</t>
    </r>
    <r>
      <rPr>
        <sz val="10"/>
        <color rgb="FF1F2A28"/>
        <rFont val="Arial"/>
        <family val="0"/>
        <charset val="1"/>
      </rPr>
      <t xml:space="preserve">139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</si>
  <si>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04-24918316</t>
  </si>
  <si>
    <t xml:space="preserve">navymami1@gmail.com</t>
  </si>
  <si>
    <t xml:space="preserve">李思慧</t>
  </si>
  <si>
    <t xml:space="preserve">林冠甫</t>
  </si>
  <si>
    <t xml:space="preserve">臺中市私立心世紀文理短期補習班</t>
  </si>
  <si>
    <r>
      <rPr>
        <sz val="10"/>
        <color rgb="FF1F2A28"/>
        <rFont val="WenQuanYi Zen Hei"/>
        <family val="2"/>
      </rPr>
      <t xml:space="preserve">臺中市神岡區中正南街</t>
    </r>
    <r>
      <rPr>
        <sz val="10"/>
        <color rgb="FF1F2A28"/>
        <rFont val="Arial"/>
        <family val="0"/>
        <charset val="1"/>
      </rPr>
      <t xml:space="preserve">81</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</si>
  <si>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(04)25623468</t>
  </si>
  <si>
    <t xml:space="preserve">girl61680622@yahoo.com.tw</t>
  </si>
  <si>
    <r>
      <rPr>
        <sz val="10"/>
        <color rgb="FF1F2A28"/>
        <rFont val="WenQuanYi Zen Hei"/>
        <family val="2"/>
      </rPr>
      <t xml:space="preserve">英文</t>
    </r>
    <r>
      <rPr>
        <sz val="10"/>
        <color rgb="FF1F2A28"/>
        <rFont val="Arial"/>
        <family val="0"/>
        <charset val="1"/>
      </rPr>
      <t xml:space="preserve">A</t>
    </r>
    <r>
      <rPr>
        <sz val="10"/>
        <color rgb="FF1F2A28"/>
        <rFont val="WenQuanYi Zen Hei"/>
        <family val="2"/>
      </rPr>
      <t xml:space="preserve">班</t>
    </r>
    <r>
      <rPr>
        <sz val="10"/>
        <color rgb="FF1F2A28"/>
        <rFont val="Arial"/>
        <family val="0"/>
        <charset val="1"/>
      </rPr>
      <t xml:space="preserve">27.54</t>
    </r>
    <r>
      <rPr>
        <sz val="10"/>
        <color rgb="FF1F2A28"/>
        <rFont val="WenQuanYi Zen Hei"/>
        <family val="2"/>
      </rPr>
      <t xml:space="preserve">、英文</t>
    </r>
    <r>
      <rPr>
        <sz val="10"/>
        <color rgb="FF1F2A28"/>
        <rFont val="Arial"/>
        <family val="0"/>
        <charset val="1"/>
      </rPr>
      <t xml:space="preserve">B</t>
    </r>
    <r>
      <rPr>
        <sz val="10"/>
        <color rgb="FF1F2A28"/>
        <rFont val="WenQuanYi Zen Hei"/>
        <family val="2"/>
      </rPr>
      <t xml:space="preserve">班</t>
    </r>
    <r>
      <rPr>
        <sz val="10"/>
        <color rgb="FF1F2A28"/>
        <rFont val="Arial"/>
        <family val="0"/>
        <charset val="1"/>
      </rPr>
      <t xml:space="preserve">27.54</t>
    </r>
  </si>
  <si>
    <t xml:space="preserve">2020-03-10</t>
  </si>
  <si>
    <t xml:space="preserve">粘瀞予</t>
  </si>
  <si>
    <t xml:space="preserve">臺中市私立志英文理短期補習班</t>
  </si>
  <si>
    <r>
      <rPr>
        <sz val="10"/>
        <color rgb="FF1F2A28"/>
        <rFont val="WenQuanYi Zen Hei"/>
        <family val="2"/>
      </rPr>
      <t xml:space="preserve">臺中市大里區向學一路</t>
    </r>
    <r>
      <rPr>
        <sz val="10"/>
        <color rgb="FF1F2A28"/>
        <rFont val="Arial"/>
        <family val="0"/>
        <charset val="1"/>
      </rPr>
      <t xml:space="preserve">139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</si>
  <si>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0424912721</t>
  </si>
  <si>
    <t xml:space="preserve">楊秀娥</t>
  </si>
  <si>
    <t xml:space="preserve">臺中市私立恩予美語會話短期補習班</t>
  </si>
  <si>
    <r>
      <rPr>
        <sz val="10"/>
        <color rgb="FF1F2A28"/>
        <rFont val="WenQuanYi Zen Hei"/>
        <family val="2"/>
      </rPr>
      <t xml:space="preserve">臺中市北屯區昌平路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95-13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</si>
  <si>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04-22431718</t>
  </si>
  <si>
    <t xml:space="preserve">skateboard0000@gmail.com</t>
  </si>
  <si>
    <t xml:space="preserve">2000-07-14</t>
  </si>
  <si>
    <t xml:space="preserve">李政儒</t>
  </si>
  <si>
    <t xml:space="preserve">臺中市私立悅創英語短期補習班</t>
  </si>
  <si>
    <r>
      <rPr>
        <sz val="10"/>
        <color rgb="FF1F2A28"/>
        <rFont val="WenQuanYi Zen Hei"/>
        <family val="2"/>
      </rPr>
      <t xml:space="preserve">臺中市西屯區西屯路三段</t>
    </r>
    <r>
      <rPr>
        <sz val="10"/>
        <color rgb="FF1F2A28"/>
        <rFont val="Arial"/>
        <family val="0"/>
        <charset val="1"/>
      </rPr>
      <t xml:space="preserve">146</t>
    </r>
    <r>
      <rPr>
        <sz val="10"/>
        <color rgb="FF1F2A28"/>
        <rFont val="WenQuanYi Zen Hei"/>
        <family val="2"/>
      </rPr>
      <t xml:space="preserve">之</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</si>
  <si>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(04)24621700</t>
  </si>
  <si>
    <t xml:space="preserve">2017-09-19</t>
  </si>
  <si>
    <r>
      <rPr>
        <sz val="10"/>
        <color rgb="FF1F2A28"/>
        <rFont val="WenQuanYi Zen Hei"/>
        <family val="2"/>
      </rPr>
      <t xml:space="preserve">黃靖茹</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、陳奕銳、林秋怡、黃如霙、沈靖庭</t>
    </r>
  </si>
  <si>
    <t xml:space="preserve">臺中市私立惠橋文理短期補習班</t>
  </si>
  <si>
    <r>
      <rPr>
        <sz val="10"/>
        <color rgb="FF1F2A28"/>
        <rFont val="WenQuanYi Zen Hei"/>
        <family val="2"/>
      </rPr>
      <t xml:space="preserve">臺中市西屯區青海路二段</t>
    </r>
    <r>
      <rPr>
        <sz val="10"/>
        <color rgb="FF1F2A28"/>
        <rFont val="Arial"/>
        <family val="0"/>
        <charset val="1"/>
      </rPr>
      <t xml:space="preserve">71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</si>
  <si>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(04)23125559</t>
  </si>
  <si>
    <r>
      <rPr>
        <sz val="10"/>
        <color rgb="FF1F2A28"/>
        <rFont val="WenQuanYi Zen Hei"/>
        <family val="2"/>
      </rPr>
      <t xml:space="preserve">英文</t>
    </r>
    <r>
      <rPr>
        <sz val="10"/>
        <color rgb="FF1F2A28"/>
        <rFont val="Arial"/>
        <family val="0"/>
        <charset val="1"/>
      </rPr>
      <t xml:space="preserve">I</t>
    </r>
    <r>
      <rPr>
        <sz val="10"/>
        <color rgb="FF1F2A28"/>
        <rFont val="WenQuanYi Zen Hei"/>
        <family val="2"/>
      </rPr>
      <t xml:space="preserve">科、英文</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科、英文</t>
    </r>
    <r>
      <rPr>
        <sz val="10"/>
        <color rgb="FF1F2A28"/>
        <rFont val="Arial"/>
        <family val="0"/>
        <charset val="1"/>
      </rPr>
      <t xml:space="preserve">C</t>
    </r>
    <r>
      <rPr>
        <sz val="10"/>
        <color rgb="FF1F2A28"/>
        <rFont val="WenQuanYi Zen Hei"/>
        <family val="2"/>
      </rPr>
      <t xml:space="preserve">、</t>
    </r>
    <r>
      <rPr>
        <sz val="10"/>
        <color rgb="FF1F2A28"/>
        <rFont val="Arial"/>
        <family val="0"/>
        <charset val="1"/>
      </rPr>
      <t xml:space="preserve">D</t>
    </r>
    <r>
      <rPr>
        <sz val="10"/>
        <color rgb="FF1F2A28"/>
        <rFont val="WenQuanYi Zen Hei"/>
        <family val="2"/>
      </rPr>
      <t xml:space="preserve">、</t>
    </r>
    <r>
      <rPr>
        <sz val="10"/>
        <color rgb="FF1F2A28"/>
        <rFont val="Arial"/>
        <family val="0"/>
        <charset val="1"/>
      </rPr>
      <t xml:space="preserve">E</t>
    </r>
    <r>
      <rPr>
        <sz val="10"/>
        <color rgb="FF1F2A28"/>
        <rFont val="WenQuanYi Zen Hei"/>
        <family val="2"/>
      </rPr>
      <t xml:space="preserve">、</t>
    </r>
    <r>
      <rPr>
        <sz val="10"/>
        <color rgb="FF1F2A28"/>
        <rFont val="Arial"/>
        <family val="0"/>
        <charset val="1"/>
      </rPr>
      <t xml:space="preserve">F</t>
    </r>
    <r>
      <rPr>
        <sz val="10"/>
        <color rgb="FF1F2A28"/>
        <rFont val="WenQuanYi Zen Hei"/>
        <family val="2"/>
      </rPr>
      <t xml:space="preserve">、</t>
    </r>
    <r>
      <rPr>
        <sz val="10"/>
        <color rgb="FF1F2A28"/>
        <rFont val="Arial"/>
        <family val="0"/>
        <charset val="1"/>
      </rPr>
      <t xml:space="preserve">G</t>
    </r>
    <r>
      <rPr>
        <sz val="10"/>
        <color rgb="FF1F2A28"/>
        <rFont val="WenQuanYi Zen Hei"/>
        <family val="2"/>
      </rPr>
      <t xml:space="preserve">科、英文</t>
    </r>
    <r>
      <rPr>
        <sz val="10"/>
        <color rgb="FF1F2A28"/>
        <rFont val="Arial"/>
        <family val="0"/>
        <charset val="1"/>
      </rPr>
      <t xml:space="preserve">H</t>
    </r>
    <r>
      <rPr>
        <sz val="10"/>
        <color rgb="FF1F2A28"/>
        <rFont val="WenQuanYi Zen Hei"/>
        <family val="2"/>
      </rPr>
      <t xml:space="preserve">科</t>
    </r>
  </si>
  <si>
    <t xml:space="preserve">2020-09-22</t>
  </si>
  <si>
    <t xml:space="preserve">楊勝崴</t>
  </si>
  <si>
    <t xml:space="preserve">于愛迪</t>
  </si>
  <si>
    <t xml:space="preserve">臺中市私立愛向英文短期補習班</t>
  </si>
  <si>
    <r>
      <rPr>
        <sz val="10"/>
        <color rgb="FF1F2A28"/>
        <rFont val="WenQuanYi Zen Hei"/>
        <family val="2"/>
      </rPr>
      <t xml:space="preserve">臺中市太平區育德路</t>
    </r>
    <r>
      <rPr>
        <sz val="10"/>
        <color rgb="FF1F2A28"/>
        <rFont val="Arial"/>
        <family val="0"/>
        <charset val="1"/>
      </rPr>
      <t xml:space="preserve">163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171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</si>
  <si>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(04)23956660</t>
  </si>
  <si>
    <t xml:space="preserve">陳世芳</t>
  </si>
  <si>
    <t xml:space="preserve">趙彥婷</t>
  </si>
  <si>
    <t xml:space="preserve">臺中市私立愛麗絲美語會話短期補習班</t>
  </si>
  <si>
    <r>
      <rPr>
        <sz val="10"/>
        <color rgb="FF1F2A28"/>
        <rFont val="WenQuanYi Zen Hei"/>
        <family val="2"/>
      </rPr>
      <t xml:space="preserve">臺中市北屯區軍福十三路</t>
    </r>
    <r>
      <rPr>
        <sz val="10"/>
        <color rgb="FF1F2A28"/>
        <rFont val="Arial"/>
        <family val="0"/>
        <charset val="1"/>
      </rPr>
      <t xml:space="preserve">399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</si>
  <si>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04-24370018</t>
  </si>
  <si>
    <t xml:space="preserve">alex.chen@ms12.url.com.tw</t>
  </si>
  <si>
    <r>
      <rPr>
        <sz val="10"/>
        <color rgb="FF1F2A28"/>
        <rFont val="WenQuanYi Zen Hei"/>
        <family val="2"/>
      </rPr>
      <t xml:space="preserve">美語</t>
    </r>
    <r>
      <rPr>
        <sz val="10"/>
        <color rgb="FF1F2A28"/>
        <rFont val="Arial"/>
        <family val="0"/>
        <charset val="1"/>
      </rPr>
      <t xml:space="preserve">25.75</t>
    </r>
    <r>
      <rPr>
        <sz val="10"/>
        <color rgb="FF1F2A28"/>
        <rFont val="WenQuanYi Zen Hei"/>
        <family val="2"/>
      </rPr>
      <t xml:space="preserve">、美語</t>
    </r>
    <r>
      <rPr>
        <sz val="10"/>
        <color rgb="FF1F2A28"/>
        <rFont val="Arial"/>
        <family val="0"/>
        <charset val="1"/>
      </rPr>
      <t xml:space="preserve">24.93</t>
    </r>
  </si>
  <si>
    <t xml:space="preserve">2002-10-16</t>
  </si>
  <si>
    <t xml:space="preserve">葉婷</t>
  </si>
  <si>
    <t xml:space="preserve">羅玉珍</t>
  </si>
  <si>
    <t xml:space="preserve">臺中市私立慧雯文理技藝短期補習班</t>
  </si>
  <si>
    <r>
      <rPr>
        <sz val="10"/>
        <color rgb="FF1F2A28"/>
        <rFont val="WenQuanYi Zen Hei"/>
        <family val="2"/>
      </rPr>
      <t xml:space="preserve">臺中市大甲區興安路</t>
    </r>
    <r>
      <rPr>
        <sz val="10"/>
        <color rgb="FF1F2A28"/>
        <rFont val="Arial"/>
        <family val="0"/>
        <charset val="1"/>
      </rPr>
      <t xml:space="preserve">35</t>
    </r>
    <r>
      <rPr>
        <sz val="10"/>
        <color rgb="FF1F2A28"/>
        <rFont val="WenQuanYi Zen Hei"/>
        <family val="2"/>
      </rPr>
      <t xml:space="preserve">之</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</si>
  <si>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(04)2688-9982</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</si>
  <si>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、美語</t>
    </r>
    <r>
      <rPr>
        <sz val="10"/>
        <color rgb="FF1F2A28"/>
        <rFont val="Arial"/>
        <family val="0"/>
        <charset val="1"/>
      </rPr>
      <t xml:space="preserve">B</t>
    </r>
    <r>
      <rPr>
        <sz val="10"/>
        <color rgb="FF1F2A28"/>
        <rFont val="WenQuanYi Zen Hei"/>
        <family val="2"/>
      </rPr>
      <t xml:space="preserve">、美語</t>
    </r>
    <r>
      <rPr>
        <sz val="10"/>
        <color rgb="FF1F2A28"/>
        <rFont val="Arial"/>
        <family val="0"/>
        <charset val="1"/>
      </rPr>
      <t xml:space="preserve">C</t>
    </r>
  </si>
  <si>
    <t xml:space="preserve">2024-08-19</t>
  </si>
  <si>
    <t xml:space="preserve">李源德</t>
  </si>
  <si>
    <t xml:space="preserve">曾倩雯</t>
  </si>
  <si>
    <t xml:space="preserve">臺中市私立成名英語短期補習班</t>
  </si>
  <si>
    <r>
      <rPr>
        <sz val="10"/>
        <color rgb="FF1F2A28"/>
        <rFont val="WenQuanYi Zen Hei"/>
        <family val="2"/>
      </rPr>
      <t xml:space="preserve">臺中市西屯區黎明路三段</t>
    </r>
    <r>
      <rPr>
        <sz val="10"/>
        <color rgb="FF1F2A28"/>
        <rFont val="Arial"/>
        <family val="0"/>
        <charset val="1"/>
      </rPr>
      <t xml:space="preserve">348</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</si>
  <si>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(04)22253111</t>
  </si>
  <si>
    <t xml:space="preserve">郎冠玉</t>
  </si>
  <si>
    <t xml:space="preserve">臺中市私立成皓英語短期補習班</t>
  </si>
  <si>
    <r>
      <rPr>
        <sz val="10"/>
        <color rgb="FF1F2A28"/>
        <rFont val="WenQuanYi Zen Hei"/>
        <family val="2"/>
      </rPr>
      <t xml:space="preserve">臺中市大雅區學府路</t>
    </r>
    <r>
      <rPr>
        <sz val="10"/>
        <color rgb="FF1F2A28"/>
        <rFont val="Arial"/>
        <family val="0"/>
        <charset val="1"/>
      </rPr>
      <t xml:space="preserve">250</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弄</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</si>
  <si>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5686496</t>
  </si>
  <si>
    <t xml:space="preserve">王采玲</t>
  </si>
  <si>
    <t xml:space="preserve">臺中市私立成育美語短期補習班</t>
  </si>
  <si>
    <r>
      <rPr>
        <sz val="10"/>
        <color rgb="FF1F2A28"/>
        <rFont val="WenQuanYi Zen Hei"/>
        <family val="2"/>
      </rPr>
      <t xml:space="preserve">臺中市新社區興社街四段</t>
    </r>
    <r>
      <rPr>
        <sz val="10"/>
        <color rgb="FF1F2A28"/>
        <rFont val="Arial"/>
        <family val="0"/>
        <charset val="1"/>
      </rPr>
      <t xml:space="preserve">51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</si>
  <si>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(04)25819931</t>
  </si>
  <si>
    <t xml:space="preserve">劉品妘</t>
  </si>
  <si>
    <t xml:space="preserve">黃志申</t>
  </si>
  <si>
    <t xml:space="preserve">臺中市私立才華美語短期補習班</t>
  </si>
  <si>
    <r>
      <rPr>
        <sz val="10"/>
        <color rgb="FF1F2A28"/>
        <rFont val="WenQuanYi Zen Hei"/>
        <family val="2"/>
      </rPr>
      <t xml:space="preserve">臺中市霧峰區中正路</t>
    </r>
    <r>
      <rPr>
        <sz val="10"/>
        <color rgb="FF1F2A28"/>
        <rFont val="Arial"/>
        <family val="0"/>
        <charset val="1"/>
      </rPr>
      <t xml:space="preserve">748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</si>
  <si>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23322280</t>
  </si>
  <si>
    <t xml:space="preserve">tsaihua6362@gmail.com</t>
  </si>
  <si>
    <t xml:space="preserve">1999-11-15</t>
  </si>
  <si>
    <t xml:space="preserve">江珮君</t>
  </si>
  <si>
    <t xml:space="preserve">陳雅菱</t>
  </si>
  <si>
    <t xml:space="preserve">臺中市私立拓元文理短期補習班</t>
  </si>
  <si>
    <r>
      <rPr>
        <sz val="10"/>
        <color rgb="FF1F2A28"/>
        <rFont val="WenQuanYi Zen Hei"/>
        <family val="2"/>
      </rPr>
      <t xml:space="preserve">臺中市西屯區福星路</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</si>
  <si>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(04)24525642</t>
  </si>
  <si>
    <t xml:space="preserve">k61509x@gmail.com</t>
  </si>
  <si>
    <r>
      <rPr>
        <sz val="10"/>
        <color rgb="FF1F2A28"/>
        <rFont val="WenQuanYi Zen Hei"/>
        <family val="2"/>
      </rPr>
      <t xml:space="preserve">英語科</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、英語科</t>
    </r>
    <r>
      <rPr>
        <sz val="10"/>
        <color rgb="FF1F2A28"/>
        <rFont val="Arial"/>
        <family val="0"/>
        <charset val="1"/>
      </rPr>
      <t xml:space="preserve">C</t>
    </r>
    <r>
      <rPr>
        <sz val="10"/>
        <color rgb="FF1F2A28"/>
        <rFont val="WenQuanYi Zen Hei"/>
        <family val="2"/>
      </rPr>
      <t xml:space="preserve">、英語科</t>
    </r>
    <r>
      <rPr>
        <sz val="10"/>
        <color rgb="FF1F2A28"/>
        <rFont val="Arial"/>
        <family val="0"/>
        <charset val="1"/>
      </rPr>
      <t xml:space="preserve">D</t>
    </r>
  </si>
  <si>
    <t xml:space="preserve">2020-06-01</t>
  </si>
  <si>
    <t xml:space="preserve">謝博凱</t>
  </si>
  <si>
    <t xml:space="preserve">臺中市私立捷登美語短期補習班</t>
  </si>
  <si>
    <r>
      <rPr>
        <sz val="10"/>
        <color rgb="FF1F2A28"/>
        <rFont val="WenQuanYi Zen Hei"/>
        <family val="2"/>
      </rPr>
      <t xml:space="preserve">臺中市潭子區潭子路</t>
    </r>
    <r>
      <rPr>
        <sz val="10"/>
        <color rgb="FF1F2A28"/>
        <rFont val="Arial"/>
        <family val="0"/>
        <charset val="1"/>
      </rPr>
      <t xml:space="preserve">3</t>
    </r>
    <r>
      <rPr>
        <sz val="10"/>
        <color rgb="FF1F2A28"/>
        <rFont val="WenQuanYi Zen Hei"/>
        <family val="2"/>
      </rPr>
      <t xml:space="preserve">段公廳巷</t>
    </r>
    <r>
      <rPr>
        <sz val="10"/>
        <color rgb="FF1F2A28"/>
        <rFont val="Arial"/>
        <family val="0"/>
        <charset val="1"/>
      </rPr>
      <t xml:space="preserve">59-1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</si>
  <si>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5388520</t>
  </si>
  <si>
    <t xml:space="preserve">1996-12-04</t>
  </si>
  <si>
    <t xml:space="preserve">何敬之</t>
  </si>
  <si>
    <t xml:space="preserve">臺中市私立探索美語短期補習班</t>
  </si>
  <si>
    <r>
      <rPr>
        <sz val="10"/>
        <color rgb="FF1F2A28"/>
        <rFont val="WenQuanYi Zen Hei"/>
        <family val="2"/>
      </rPr>
      <t xml:space="preserve">臺中市大雅區中山北路</t>
    </r>
    <r>
      <rPr>
        <sz val="10"/>
        <color rgb="FF1F2A28"/>
        <rFont val="Arial"/>
        <family val="0"/>
        <charset val="1"/>
      </rPr>
      <t xml:space="preserve">185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</si>
  <si>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0960-906068</t>
  </si>
  <si>
    <t xml:space="preserve">2005-02-15</t>
  </si>
  <si>
    <t xml:space="preserve">謝堅強</t>
  </si>
  <si>
    <t xml:space="preserve">竇勁釗</t>
  </si>
  <si>
    <t xml:space="preserve">臺中市私立揚百翰語文短期補習班</t>
  </si>
  <si>
    <r>
      <rPr>
        <sz val="10"/>
        <color rgb="FF1F2A28"/>
        <rFont val="WenQuanYi Zen Hei"/>
        <family val="2"/>
      </rPr>
      <t xml:space="preserve">臺中市豐原區圓環東路</t>
    </r>
    <r>
      <rPr>
        <sz val="10"/>
        <color rgb="FF1F2A28"/>
        <rFont val="Arial"/>
        <family val="0"/>
        <charset val="1"/>
      </rPr>
      <t xml:space="preserve">646</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</si>
  <si>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04-25281225</t>
  </si>
  <si>
    <t xml:space="preserve">frances5853@hotmail.com</t>
  </si>
  <si>
    <r>
      <rPr>
        <sz val="10"/>
        <color rgb="FF1F2A28"/>
        <rFont val="WenQuanYi Zen Hei"/>
        <family val="2"/>
      </rPr>
      <t xml:space="preserve">美語</t>
    </r>
    <r>
      <rPr>
        <sz val="10"/>
        <color rgb="FF1F2A28"/>
        <rFont val="Arial"/>
        <family val="0"/>
        <charset val="1"/>
      </rPr>
      <t xml:space="preserve">B</t>
    </r>
    <r>
      <rPr>
        <sz val="10"/>
        <color rgb="FF1F2A28"/>
        <rFont val="WenQuanYi Zen Hei"/>
        <family val="2"/>
      </rPr>
      <t xml:space="preserve">、美語</t>
    </r>
    <r>
      <rPr>
        <sz val="10"/>
        <color rgb="FF1F2A28"/>
        <rFont val="Arial"/>
        <family val="0"/>
        <charset val="1"/>
      </rPr>
      <t xml:space="preserve">C</t>
    </r>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、美語</t>
    </r>
    <r>
      <rPr>
        <sz val="10"/>
        <color rgb="FF1F2A28"/>
        <rFont val="Arial"/>
        <family val="0"/>
        <charset val="1"/>
      </rPr>
      <t xml:space="preserve">D</t>
    </r>
    <r>
      <rPr>
        <sz val="10"/>
        <color rgb="FF1F2A28"/>
        <rFont val="WenQuanYi Zen Hei"/>
        <family val="2"/>
      </rPr>
      <t xml:space="preserve">、美語</t>
    </r>
    <r>
      <rPr>
        <sz val="10"/>
        <color rgb="FF1F2A28"/>
        <rFont val="Arial"/>
        <family val="0"/>
        <charset val="1"/>
      </rPr>
      <t xml:space="preserve">E</t>
    </r>
    <r>
      <rPr>
        <sz val="10"/>
        <color rgb="FF1F2A28"/>
        <rFont val="WenQuanYi Zen Hei"/>
        <family val="2"/>
      </rPr>
      <t xml:space="preserve">、美語</t>
    </r>
    <r>
      <rPr>
        <sz val="10"/>
        <color rgb="FF1F2A28"/>
        <rFont val="Arial"/>
        <family val="0"/>
        <charset val="1"/>
      </rPr>
      <t xml:space="preserve">F</t>
    </r>
    <r>
      <rPr>
        <sz val="10"/>
        <color rgb="FF1F2A28"/>
        <rFont val="WenQuanYi Zen Hei"/>
        <family val="2"/>
      </rPr>
      <t xml:space="preserve">、美語</t>
    </r>
    <r>
      <rPr>
        <sz val="10"/>
        <color rgb="FF1F2A28"/>
        <rFont val="Arial"/>
        <family val="0"/>
        <charset val="1"/>
      </rPr>
      <t xml:space="preserve">G</t>
    </r>
    <r>
      <rPr>
        <sz val="10"/>
        <color rgb="FF1F2A28"/>
        <rFont val="WenQuanYi Zen Hei"/>
        <family val="2"/>
      </rPr>
      <t xml:space="preserve">、美語</t>
    </r>
    <r>
      <rPr>
        <sz val="10"/>
        <color rgb="FF1F2A28"/>
        <rFont val="Arial"/>
        <family val="0"/>
        <charset val="1"/>
      </rPr>
      <t xml:space="preserve">H</t>
    </r>
    <r>
      <rPr>
        <sz val="10"/>
        <color rgb="FF1F2A28"/>
        <rFont val="WenQuanYi Zen Hei"/>
        <family val="2"/>
      </rPr>
      <t xml:space="preserve">、美語</t>
    </r>
    <r>
      <rPr>
        <sz val="10"/>
        <color rgb="FF1F2A28"/>
        <rFont val="Arial"/>
        <family val="0"/>
        <charset val="1"/>
      </rPr>
      <t xml:space="preserve">I</t>
    </r>
    <r>
      <rPr>
        <sz val="10"/>
        <color rgb="FF1F2A28"/>
        <rFont val="WenQuanYi Zen Hei"/>
        <family val="2"/>
      </rPr>
      <t xml:space="preserve">、美語</t>
    </r>
    <r>
      <rPr>
        <sz val="10"/>
        <color rgb="FF1F2A28"/>
        <rFont val="Arial"/>
        <family val="0"/>
        <charset val="1"/>
      </rPr>
      <t xml:space="preserve">J</t>
    </r>
  </si>
  <si>
    <t xml:space="preserve">1996-05-23</t>
  </si>
  <si>
    <t xml:space="preserve">張千慧</t>
  </si>
  <si>
    <t xml:space="preserve">江芬郁</t>
  </si>
  <si>
    <t xml:space="preserve">臺中市私立政儒文理短期補習班</t>
  </si>
  <si>
    <r>
      <rPr>
        <sz val="10"/>
        <color rgb="FF1F2A28"/>
        <rFont val="WenQuanYi Zen Hei"/>
        <family val="2"/>
      </rPr>
      <t xml:space="preserve">臺中市豐原區大明路</t>
    </r>
    <r>
      <rPr>
        <sz val="10"/>
        <color rgb="FF1F2A28"/>
        <rFont val="Arial"/>
        <family val="0"/>
        <charset val="1"/>
      </rPr>
      <t xml:space="preserve">157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</si>
  <si>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(04)2522-9916</t>
  </si>
  <si>
    <t xml:space="preserve">juniorestw@yahoo.com.tw</t>
  </si>
  <si>
    <r>
      <rPr>
        <sz val="10"/>
        <color rgb="FF1F2A28"/>
        <rFont val="WenQuanYi Zen Hei"/>
        <family val="2"/>
      </rPr>
      <t xml:space="preserve">英語</t>
    </r>
    <r>
      <rPr>
        <sz val="10"/>
        <color rgb="FF1F2A28"/>
        <rFont val="Arial"/>
        <family val="0"/>
        <charset val="1"/>
      </rPr>
      <t xml:space="preserve">C</t>
    </r>
    <r>
      <rPr>
        <sz val="10"/>
        <color rgb="FF1F2A28"/>
        <rFont val="WenQuanYi Zen Hei"/>
        <family val="2"/>
      </rPr>
      <t xml:space="preserve">、英語</t>
    </r>
    <r>
      <rPr>
        <sz val="10"/>
        <color rgb="FF1F2A28"/>
        <rFont val="Arial"/>
        <family val="0"/>
        <charset val="1"/>
      </rPr>
      <t xml:space="preserve">A</t>
    </r>
    <r>
      <rPr>
        <sz val="10"/>
        <color rgb="FF1F2A28"/>
        <rFont val="WenQuanYi Zen Hei"/>
        <family val="2"/>
      </rPr>
      <t xml:space="preserve">、英語</t>
    </r>
    <r>
      <rPr>
        <sz val="10"/>
        <color rgb="FF1F2A28"/>
        <rFont val="Arial"/>
        <family val="0"/>
        <charset val="1"/>
      </rPr>
      <t xml:space="preserve">B</t>
    </r>
    <r>
      <rPr>
        <sz val="10"/>
        <color rgb="FF1F2A28"/>
        <rFont val="WenQuanYi Zen Hei"/>
        <family val="2"/>
      </rPr>
      <t xml:space="preserve">、英語</t>
    </r>
    <r>
      <rPr>
        <sz val="10"/>
        <color rgb="FF1F2A28"/>
        <rFont val="Arial"/>
        <family val="0"/>
        <charset val="1"/>
      </rPr>
      <t xml:space="preserve">E</t>
    </r>
    <r>
      <rPr>
        <sz val="10"/>
        <color rgb="FF1F2A28"/>
        <rFont val="WenQuanYi Zen Hei"/>
        <family val="2"/>
      </rPr>
      <t xml:space="preserve">、英語</t>
    </r>
    <r>
      <rPr>
        <sz val="10"/>
        <color rgb="FF1F2A28"/>
        <rFont val="Arial"/>
        <family val="0"/>
        <charset val="1"/>
      </rPr>
      <t xml:space="preserve">D</t>
    </r>
    <r>
      <rPr>
        <sz val="10"/>
        <color rgb="FF1F2A28"/>
        <rFont val="WenQuanYi Zen Hei"/>
        <family val="2"/>
      </rPr>
      <t xml:space="preserve">、英語</t>
    </r>
    <r>
      <rPr>
        <sz val="10"/>
        <color rgb="FF1F2A28"/>
        <rFont val="Arial"/>
        <family val="0"/>
        <charset val="1"/>
      </rPr>
      <t xml:space="preserve">F</t>
    </r>
    <r>
      <rPr>
        <sz val="10"/>
        <color rgb="FF1F2A28"/>
        <rFont val="WenQuanYi Zen Hei"/>
        <family val="2"/>
      </rPr>
      <t xml:space="preserve">、英語</t>
    </r>
    <r>
      <rPr>
        <sz val="10"/>
        <color rgb="FF1F2A28"/>
        <rFont val="Arial"/>
        <family val="0"/>
        <charset val="1"/>
      </rPr>
      <t xml:space="preserve">G</t>
    </r>
    <r>
      <rPr>
        <sz val="10"/>
        <color rgb="FF1F2A28"/>
        <rFont val="WenQuanYi Zen Hei"/>
        <family val="2"/>
      </rPr>
      <t xml:space="preserve">、英語</t>
    </r>
    <r>
      <rPr>
        <sz val="10"/>
        <color rgb="FF1F2A28"/>
        <rFont val="Arial"/>
        <family val="0"/>
        <charset val="1"/>
      </rPr>
      <t xml:space="preserve">H</t>
    </r>
  </si>
  <si>
    <t xml:space="preserve">2024-03-25</t>
  </si>
  <si>
    <t xml:space="preserve">游政達</t>
  </si>
  <si>
    <t xml:space="preserve">丁至慧</t>
  </si>
  <si>
    <t xml:space="preserve">臺中市私立文藻文理短期補習班</t>
  </si>
  <si>
    <r>
      <rPr>
        <sz val="10"/>
        <color rgb="FF1F2A28"/>
        <rFont val="WenQuanYi Zen Hei"/>
        <family val="2"/>
      </rPr>
      <t xml:space="preserve">臺中市大甲區育英路</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</si>
  <si>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26888438</t>
  </si>
  <si>
    <t xml:space="preserve">kbeauty437@yahoo.com.tw</t>
  </si>
  <si>
    <t xml:space="preserve">2002-01-22</t>
  </si>
  <si>
    <t xml:space="preserve">吳映民</t>
  </si>
  <si>
    <t xml:space="preserve">臺中市私立文裕文理短期補習班</t>
  </si>
  <si>
    <r>
      <rPr>
        <sz val="10"/>
        <color rgb="FF1F2A28"/>
        <rFont val="WenQuanYi Zen Hei"/>
        <family val="2"/>
      </rPr>
      <t xml:space="preserve">臺中市梧棲區民生街</t>
    </r>
    <r>
      <rPr>
        <sz val="10"/>
        <color rgb="FF1F2A28"/>
        <rFont val="Arial"/>
        <family val="0"/>
        <charset val="1"/>
      </rPr>
      <t xml:space="preserve">22-24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</si>
  <si>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04-26564221</t>
  </si>
  <si>
    <t xml:space="preserve">kidwuchi@gmail.com</t>
  </si>
  <si>
    <r>
      <rPr>
        <sz val="10"/>
        <color rgb="FF1F2A28"/>
        <rFont val="WenQuanYi Zen Hei"/>
        <family val="2"/>
      </rPr>
      <t xml:space="preserve">美語會話</t>
    </r>
    <r>
      <rPr>
        <sz val="10"/>
        <color rgb="FF1F2A28"/>
        <rFont val="Arial"/>
        <family val="0"/>
        <charset val="1"/>
      </rPr>
      <t xml:space="preserve">A</t>
    </r>
    <r>
      <rPr>
        <sz val="10"/>
        <color rgb="FF1F2A28"/>
        <rFont val="WenQuanYi Zen Hei"/>
        <family val="2"/>
      </rPr>
      <t xml:space="preserve">、美語會話</t>
    </r>
    <r>
      <rPr>
        <sz val="10"/>
        <color rgb="FF1F2A28"/>
        <rFont val="Arial"/>
        <family val="0"/>
        <charset val="1"/>
      </rPr>
      <t xml:space="preserve">B</t>
    </r>
  </si>
  <si>
    <t xml:space="preserve">2000-10-02</t>
  </si>
  <si>
    <t xml:space="preserve">顏忠信</t>
  </si>
  <si>
    <t xml:space="preserve">臺中市私立新上愛文理美語短期補習班</t>
  </si>
  <si>
    <r>
      <rPr>
        <sz val="10"/>
        <color rgb="FF1F2A28"/>
        <rFont val="WenQuanYi Zen Hei"/>
        <family val="2"/>
      </rPr>
      <t xml:space="preserve">臺中市東勢區第五橫街</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</si>
  <si>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(04)25870018</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</si>
  <si>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班、美語</t>
    </r>
    <r>
      <rPr>
        <sz val="10"/>
        <color rgb="FF1F2A28"/>
        <rFont val="Arial"/>
        <family val="0"/>
        <charset val="1"/>
      </rPr>
      <t xml:space="preserve">B</t>
    </r>
    <r>
      <rPr>
        <sz val="10"/>
        <color rgb="FF1F2A28"/>
        <rFont val="WenQuanYi Zen Hei"/>
        <family val="2"/>
      </rPr>
      <t xml:space="preserve">班、美語</t>
    </r>
    <r>
      <rPr>
        <sz val="10"/>
        <color rgb="FF1F2A28"/>
        <rFont val="Arial"/>
        <family val="0"/>
        <charset val="1"/>
      </rPr>
      <t xml:space="preserve">C</t>
    </r>
    <r>
      <rPr>
        <sz val="10"/>
        <color rgb="FF1F2A28"/>
        <rFont val="WenQuanYi Zen Hei"/>
        <family val="2"/>
      </rPr>
      <t xml:space="preserve">班、美語</t>
    </r>
    <r>
      <rPr>
        <sz val="10"/>
        <color rgb="FF1F2A28"/>
        <rFont val="Arial"/>
        <family val="0"/>
        <charset val="1"/>
      </rPr>
      <t xml:space="preserve">D</t>
    </r>
    <r>
      <rPr>
        <sz val="10"/>
        <color rgb="FF1F2A28"/>
        <rFont val="WenQuanYi Zen Hei"/>
        <family val="2"/>
      </rPr>
      <t xml:space="preserve">班、美語</t>
    </r>
    <r>
      <rPr>
        <sz val="10"/>
        <color rgb="FF1F2A28"/>
        <rFont val="Arial"/>
        <family val="0"/>
        <charset val="1"/>
      </rPr>
      <t xml:space="preserve">E</t>
    </r>
    <r>
      <rPr>
        <sz val="10"/>
        <color rgb="FF1F2A28"/>
        <rFont val="WenQuanYi Zen Hei"/>
        <family val="2"/>
      </rPr>
      <t xml:space="preserve">班</t>
    </r>
  </si>
  <si>
    <t xml:space="preserve">李佑仁</t>
  </si>
  <si>
    <t xml:space="preserve">臺中市私立新唐群美語美術短期補習班</t>
  </si>
  <si>
    <r>
      <rPr>
        <sz val="10"/>
        <color rgb="FF1F2A28"/>
        <rFont val="WenQuanYi Zen Hei"/>
        <family val="2"/>
      </rPr>
      <t xml:space="preserve">臺中市大里區益民路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</si>
  <si>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(04)24865633</t>
  </si>
  <si>
    <t xml:space="preserve">jasftoy@gmail.com</t>
  </si>
  <si>
    <t xml:space="preserve">2015-03-13</t>
  </si>
  <si>
    <t xml:space="preserve">沈仁傑</t>
  </si>
  <si>
    <t xml:space="preserve">林毅甄</t>
  </si>
  <si>
    <t xml:space="preserve">臺中市私立日暘英語短期補習班</t>
  </si>
  <si>
    <r>
      <rPr>
        <sz val="10"/>
        <color rgb="FF1F2A28"/>
        <rFont val="WenQuanYi Zen Hei"/>
        <family val="2"/>
      </rPr>
      <t xml:space="preserve">臺中市南屯區龍富路四段</t>
    </r>
    <r>
      <rPr>
        <sz val="10"/>
        <color rgb="FF1F2A28"/>
        <rFont val="Arial"/>
        <family val="0"/>
        <charset val="1"/>
      </rPr>
      <t xml:space="preserve">59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</si>
  <si>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(04)37079662</t>
  </si>
  <si>
    <t xml:space="preserve">tde6356@yahoo.com.tw</t>
  </si>
  <si>
    <t xml:space="preserve">2024-01-02</t>
  </si>
  <si>
    <t xml:space="preserve">武美君</t>
  </si>
  <si>
    <t xml:space="preserve">臺中市私立昆士蘭音樂美語短期補習班中和分班</t>
  </si>
  <si>
    <r>
      <rPr>
        <sz val="10"/>
        <color rgb="FF1F2A28"/>
        <rFont val="WenQuanYi Zen Hei"/>
        <family val="2"/>
      </rPr>
      <t xml:space="preserve">臺中市新社區中和街四段</t>
    </r>
    <r>
      <rPr>
        <sz val="10"/>
        <color rgb="FF1F2A28"/>
        <rFont val="Arial"/>
        <family val="0"/>
        <charset val="1"/>
      </rPr>
      <t xml:space="preserve">109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</si>
  <si>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(04)25811601</t>
  </si>
  <si>
    <t xml:space="preserve">2013-07-18</t>
  </si>
  <si>
    <t xml:space="preserve">張家禔</t>
  </si>
  <si>
    <t xml:space="preserve">張枚晴</t>
  </si>
  <si>
    <t xml:space="preserve">臺中市私立明道普霖斯頓國民小學附設美語會話短期補習班</t>
  </si>
  <si>
    <r>
      <rPr>
        <sz val="10"/>
        <color rgb="FF1F2A28"/>
        <rFont val="WenQuanYi Zen Hei"/>
        <family val="2"/>
      </rPr>
      <t xml:space="preserve">臺中市北屯區河北一街</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</si>
  <si>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(04)22425588*335</t>
  </si>
  <si>
    <t xml:space="preserve">fhbes@ms1.fhbes.tc.edu.tw</t>
  </si>
  <si>
    <t xml:space="preserve">2005-11-07</t>
  </si>
  <si>
    <r>
      <rPr>
        <sz val="10"/>
        <color rgb="FF1F2A28"/>
        <rFont val="WenQuanYi Zen Hei"/>
        <family val="2"/>
      </rPr>
      <t xml:space="preserve">明道普霖斯頓國民小學法代</t>
    </r>
    <r>
      <rPr>
        <sz val="10"/>
        <color rgb="FF1F2A28"/>
        <rFont val="Arial"/>
        <family val="0"/>
        <charset val="1"/>
      </rPr>
      <t xml:space="preserve">:</t>
    </r>
    <r>
      <rPr>
        <sz val="10"/>
        <color rgb="FF1F2A28"/>
        <rFont val="WenQuanYi Zen Hei"/>
        <family val="2"/>
      </rPr>
      <t xml:space="preserve">陳惠屏</t>
    </r>
  </si>
  <si>
    <t xml:space="preserve">黃啟誠</t>
  </si>
  <si>
    <t xml:space="preserve">臺中市私立智昇文理短期補習班</t>
  </si>
  <si>
    <r>
      <rPr>
        <sz val="10"/>
        <color rgb="FF1F2A28"/>
        <rFont val="WenQuanYi Zen Hei"/>
        <family val="2"/>
      </rPr>
      <t xml:space="preserve">臺中市大里區永隆路</t>
    </r>
    <r>
      <rPr>
        <sz val="10"/>
        <color rgb="FF1F2A28"/>
        <rFont val="Arial"/>
        <family val="0"/>
        <charset val="1"/>
      </rPr>
      <t xml:space="preserve">191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樓梯間及</t>
    </r>
    <r>
      <rPr>
        <sz val="10"/>
        <color rgb="FF1F2A28"/>
        <rFont val="Arial"/>
        <family val="0"/>
        <charset val="1"/>
      </rPr>
      <t xml:space="preserve">2-4</t>
    </r>
    <r>
      <rPr>
        <sz val="10"/>
        <color rgb="FF1F2A28"/>
        <rFont val="WenQuanYi Zen Hei"/>
        <family val="2"/>
      </rPr>
      <t xml:space="preserve">樓</t>
    </r>
  </si>
  <si>
    <t xml:space="preserve">(04)2407-3367</t>
  </si>
  <si>
    <t xml:space="preserve">lwt1113@gmail.com</t>
  </si>
  <si>
    <t xml:space="preserve">2020-12-22</t>
  </si>
  <si>
    <t xml:space="preserve">詹博翔</t>
  </si>
  <si>
    <t xml:space="preserve">魏玎羽</t>
  </si>
  <si>
    <t xml:space="preserve">臺中市私立曙光美語短期補習班</t>
  </si>
  <si>
    <r>
      <rPr>
        <sz val="10"/>
        <color rgb="FF1F2A28"/>
        <rFont val="WenQuanYi Zen Hei"/>
        <family val="2"/>
      </rPr>
      <t xml:space="preserve">臺中市大甲區育英路</t>
    </r>
    <r>
      <rPr>
        <sz val="10"/>
        <color rgb="FF1F2A28"/>
        <rFont val="Arial"/>
        <family val="0"/>
        <charset val="1"/>
      </rPr>
      <t xml:space="preserve">64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</si>
  <si>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(04)26762023</t>
  </si>
  <si>
    <t xml:space="preserve">akj570527@yahoo.com.tw</t>
  </si>
  <si>
    <t xml:space="preserve">顏彩雲</t>
  </si>
  <si>
    <t xml:space="preserve">臺中市私立書翻貓音樂美語短期補習班</t>
  </si>
  <si>
    <r>
      <rPr>
        <sz val="10"/>
        <color rgb="FF1F2A28"/>
        <rFont val="WenQuanYi Zen Hei"/>
        <family val="2"/>
      </rPr>
      <t xml:space="preserve">臺中市西屯區至善路</t>
    </r>
    <r>
      <rPr>
        <sz val="10"/>
        <color rgb="FF1F2A28"/>
        <rFont val="Arial"/>
        <family val="0"/>
        <charset val="1"/>
      </rPr>
      <t xml:space="preserve">111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</si>
  <si>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(04)27059043</t>
  </si>
  <si>
    <t xml:space="preserve">2015-01-07</t>
  </si>
  <si>
    <t xml:space="preserve">林欣薇</t>
  </si>
  <si>
    <t xml:space="preserve">臺中市私立書翻貓音樂美語短期補習班至善分班</t>
  </si>
  <si>
    <r>
      <rPr>
        <sz val="10"/>
        <color rgb="FF1F2A28"/>
        <rFont val="WenQuanYi Zen Hei"/>
        <family val="2"/>
      </rPr>
      <t xml:space="preserve">臺中市西屯區至善路</t>
    </r>
    <r>
      <rPr>
        <sz val="10"/>
        <color rgb="FF1F2A28"/>
        <rFont val="Arial"/>
        <family val="0"/>
        <charset val="1"/>
      </rPr>
      <t xml:space="preserve">121</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</si>
  <si>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chinweil@hotmail.com</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</si>
  <si>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科、美語</t>
    </r>
    <r>
      <rPr>
        <sz val="10"/>
        <color rgb="FF1F2A28"/>
        <rFont val="Arial"/>
        <family val="0"/>
        <charset val="1"/>
      </rPr>
      <t xml:space="preserve">B</t>
    </r>
    <r>
      <rPr>
        <sz val="10"/>
        <color rgb="FF1F2A28"/>
        <rFont val="WenQuanYi Zen Hei"/>
        <family val="2"/>
      </rPr>
      <t xml:space="preserve">科</t>
    </r>
  </si>
  <si>
    <t xml:space="preserve">2023-04-18</t>
  </si>
  <si>
    <t xml:space="preserve">曾若蕎</t>
  </si>
  <si>
    <t xml:space="preserve">臺中市私立李龍文理技藝短期補習班</t>
  </si>
  <si>
    <r>
      <rPr>
        <sz val="10"/>
        <color rgb="FF1F2A28"/>
        <rFont val="WenQuanYi Zen Hei"/>
        <family val="2"/>
      </rPr>
      <t xml:space="preserve">臺中市大里區東明路</t>
    </r>
    <r>
      <rPr>
        <sz val="10"/>
        <color rgb="FF1F2A28"/>
        <rFont val="Arial"/>
        <family val="0"/>
        <charset val="1"/>
      </rPr>
      <t xml:space="preserve">131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</si>
  <si>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04-24870182</t>
  </si>
  <si>
    <t xml:space="preserve">pfcmicky9@gmail.com</t>
  </si>
  <si>
    <r>
      <rPr>
        <sz val="10"/>
        <color rgb="FF1F2A28"/>
        <rFont val="WenQuanYi Zen Hei"/>
        <family val="2"/>
      </rPr>
      <t xml:space="preserve">英文</t>
    </r>
    <r>
      <rPr>
        <sz val="10"/>
        <color rgb="FF1F2A28"/>
        <rFont val="Arial"/>
        <family val="0"/>
        <charset val="1"/>
      </rPr>
      <t xml:space="preserve">A2</t>
    </r>
    <r>
      <rPr>
        <sz val="10"/>
        <color rgb="FF1F2A28"/>
        <rFont val="WenQuanYi Zen Hei"/>
        <family val="2"/>
      </rPr>
      <t xml:space="preserve">、英文</t>
    </r>
    <r>
      <rPr>
        <sz val="10"/>
        <color rgb="FF1F2A28"/>
        <rFont val="Arial"/>
        <family val="0"/>
        <charset val="1"/>
      </rPr>
      <t xml:space="preserve">A3</t>
    </r>
    <r>
      <rPr>
        <sz val="10"/>
        <color rgb="FF1F2A28"/>
        <rFont val="WenQuanYi Zen Hei"/>
        <family val="2"/>
      </rPr>
      <t xml:space="preserve">、英文</t>
    </r>
    <r>
      <rPr>
        <sz val="10"/>
        <color rgb="FF1F2A28"/>
        <rFont val="Arial"/>
        <family val="0"/>
        <charset val="1"/>
      </rPr>
      <t xml:space="preserve">A4</t>
    </r>
    <r>
      <rPr>
        <sz val="10"/>
        <color rgb="FF1F2A28"/>
        <rFont val="WenQuanYi Zen Hei"/>
        <family val="2"/>
      </rPr>
      <t xml:space="preserve">、英文</t>
    </r>
    <r>
      <rPr>
        <sz val="10"/>
        <color rgb="FF1F2A28"/>
        <rFont val="Arial"/>
        <family val="0"/>
        <charset val="1"/>
      </rPr>
      <t xml:space="preserve">A5</t>
    </r>
    <r>
      <rPr>
        <sz val="10"/>
        <color rgb="FF1F2A28"/>
        <rFont val="WenQuanYi Zen Hei"/>
        <family val="2"/>
      </rPr>
      <t xml:space="preserve">、英文</t>
    </r>
    <r>
      <rPr>
        <sz val="10"/>
        <color rgb="FF1F2A28"/>
        <rFont val="Arial"/>
        <family val="0"/>
        <charset val="1"/>
      </rPr>
      <t xml:space="preserve">A6</t>
    </r>
    <r>
      <rPr>
        <sz val="10"/>
        <color rgb="FF1F2A28"/>
        <rFont val="WenQuanYi Zen Hei"/>
        <family val="2"/>
      </rPr>
      <t xml:space="preserve">、英文</t>
    </r>
    <r>
      <rPr>
        <sz val="10"/>
        <color rgb="FF1F2A28"/>
        <rFont val="Arial"/>
        <family val="0"/>
        <charset val="1"/>
      </rPr>
      <t xml:space="preserve">A7</t>
    </r>
    <r>
      <rPr>
        <sz val="10"/>
        <color rgb="FF1F2A28"/>
        <rFont val="WenQuanYi Zen Hei"/>
        <family val="2"/>
      </rPr>
      <t xml:space="preserve">、英文</t>
    </r>
    <r>
      <rPr>
        <sz val="10"/>
        <color rgb="FF1F2A28"/>
        <rFont val="Arial"/>
        <family val="0"/>
        <charset val="1"/>
      </rPr>
      <t xml:space="preserve">A1</t>
    </r>
    <r>
      <rPr>
        <sz val="10"/>
        <color rgb="FF1F2A28"/>
        <rFont val="WenQuanYi Zen Hei"/>
        <family val="2"/>
      </rPr>
      <t xml:space="preserve">、英文</t>
    </r>
    <r>
      <rPr>
        <sz val="10"/>
        <color rgb="FF1F2A28"/>
        <rFont val="Arial"/>
        <family val="0"/>
        <charset val="1"/>
      </rPr>
      <t xml:space="preserve">A8</t>
    </r>
    <r>
      <rPr>
        <sz val="10"/>
        <color rgb="FF1F2A28"/>
        <rFont val="WenQuanYi Zen Hei"/>
        <family val="2"/>
      </rPr>
      <t xml:space="preserve">、英文</t>
    </r>
    <r>
      <rPr>
        <sz val="10"/>
        <color rgb="FF1F2A28"/>
        <rFont val="Arial"/>
        <family val="0"/>
        <charset val="1"/>
      </rPr>
      <t xml:space="preserve">B1</t>
    </r>
    <r>
      <rPr>
        <sz val="10"/>
        <color rgb="FF1F2A28"/>
        <rFont val="WenQuanYi Zen Hei"/>
        <family val="2"/>
      </rPr>
      <t xml:space="preserve">、英文</t>
    </r>
    <r>
      <rPr>
        <sz val="10"/>
        <color rgb="FF1F2A28"/>
        <rFont val="Arial"/>
        <family val="0"/>
        <charset val="1"/>
      </rPr>
      <t xml:space="preserve">B2</t>
    </r>
    <r>
      <rPr>
        <sz val="10"/>
        <color rgb="FF1F2A28"/>
        <rFont val="WenQuanYi Zen Hei"/>
        <family val="2"/>
      </rPr>
      <t xml:space="preserve">、英文</t>
    </r>
    <r>
      <rPr>
        <sz val="10"/>
        <color rgb="FF1F2A28"/>
        <rFont val="Arial"/>
        <family val="0"/>
        <charset val="1"/>
      </rPr>
      <t xml:space="preserve">B3</t>
    </r>
    <r>
      <rPr>
        <sz val="10"/>
        <color rgb="FF1F2A28"/>
        <rFont val="WenQuanYi Zen Hei"/>
        <family val="2"/>
      </rPr>
      <t xml:space="preserve">、英文</t>
    </r>
    <r>
      <rPr>
        <sz val="10"/>
        <color rgb="FF1F2A28"/>
        <rFont val="Arial"/>
        <family val="0"/>
        <charset val="1"/>
      </rPr>
      <t xml:space="preserve">C1</t>
    </r>
    <r>
      <rPr>
        <sz val="10"/>
        <color rgb="FF1F2A28"/>
        <rFont val="WenQuanYi Zen Hei"/>
        <family val="2"/>
      </rPr>
      <t xml:space="preserve">、英文</t>
    </r>
    <r>
      <rPr>
        <sz val="10"/>
        <color rgb="FF1F2A28"/>
        <rFont val="Arial"/>
        <family val="0"/>
        <charset val="1"/>
      </rPr>
      <t xml:space="preserve">C2</t>
    </r>
    <r>
      <rPr>
        <sz val="10"/>
        <color rgb="FF1F2A28"/>
        <rFont val="WenQuanYi Zen Hei"/>
        <family val="2"/>
      </rPr>
      <t xml:space="preserve">、英文</t>
    </r>
    <r>
      <rPr>
        <sz val="10"/>
        <color rgb="FF1F2A28"/>
        <rFont val="Arial"/>
        <family val="0"/>
        <charset val="1"/>
      </rPr>
      <t xml:space="preserve">C3</t>
    </r>
  </si>
  <si>
    <t xml:space="preserve">1995-10-20</t>
  </si>
  <si>
    <t xml:space="preserve">徐若潔</t>
  </si>
  <si>
    <t xml:space="preserve">李昭龍</t>
  </si>
  <si>
    <t xml:space="preserve">臺中市私立杜克語文短期補習班</t>
  </si>
  <si>
    <r>
      <rPr>
        <sz val="10"/>
        <color rgb="FF1F2A28"/>
        <rFont val="WenQuanYi Zen Hei"/>
        <family val="2"/>
      </rPr>
      <t xml:space="preserve">臺中市豐原區西安街</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</si>
  <si>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(04)25257257</t>
  </si>
  <si>
    <t xml:space="preserve">hs2207@hess.com.tw</t>
  </si>
  <si>
    <t xml:space="preserve">臺中市私立杜米美語短期補習班</t>
  </si>
  <si>
    <r>
      <rPr>
        <sz val="10"/>
        <color rgb="FF1F2A28"/>
        <rFont val="WenQuanYi Zen Hei"/>
        <family val="2"/>
      </rPr>
      <t xml:space="preserve">臺中市大肚區育英路</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</si>
  <si>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(04)26996858</t>
  </si>
  <si>
    <t xml:space="preserve">陳榆妡</t>
  </si>
  <si>
    <t xml:space="preserve">方香云</t>
  </si>
  <si>
    <t xml:space="preserve">臺中市私立林格美語短期補習班</t>
  </si>
  <si>
    <r>
      <rPr>
        <sz val="10"/>
        <color rgb="FF1F2A28"/>
        <rFont val="WenQuanYi Zen Hei"/>
        <family val="2"/>
      </rPr>
      <t xml:space="preserve">臺中市龍井區中沙路新庄仔巷</t>
    </r>
    <r>
      <rPr>
        <sz val="10"/>
        <color rgb="FF1F2A28"/>
        <rFont val="Arial"/>
        <family val="0"/>
        <charset val="1"/>
      </rPr>
      <t xml:space="preserve">3</t>
    </r>
    <r>
      <rPr>
        <sz val="10"/>
        <color rgb="FF1F2A28"/>
        <rFont val="WenQuanYi Zen Hei"/>
        <family val="2"/>
      </rPr>
      <t xml:space="preserve">之</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</si>
  <si>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(04)26338622</t>
  </si>
  <si>
    <t xml:space="preserve">cheorisyang@yahoo.com.tw</t>
  </si>
  <si>
    <r>
      <rPr>
        <sz val="10"/>
        <color rgb="FF1F2A28"/>
        <rFont val="WenQuanYi Zen Hei"/>
        <family val="2"/>
      </rPr>
      <t xml:space="preserve">美語科</t>
    </r>
    <r>
      <rPr>
        <sz val="10"/>
        <color rgb="FF1F2A28"/>
        <rFont val="Arial"/>
        <family val="0"/>
        <charset val="1"/>
      </rPr>
      <t xml:space="preserve">A</t>
    </r>
    <r>
      <rPr>
        <sz val="10"/>
        <color rgb="FF1F2A28"/>
        <rFont val="WenQuanYi Zen Hei"/>
        <family val="2"/>
      </rPr>
      <t xml:space="preserve">、美語科</t>
    </r>
    <r>
      <rPr>
        <sz val="10"/>
        <color rgb="FF1F2A28"/>
        <rFont val="Arial"/>
        <family val="0"/>
        <charset val="1"/>
      </rPr>
      <t xml:space="preserve">B</t>
    </r>
    <r>
      <rPr>
        <sz val="10"/>
        <color rgb="FF1F2A28"/>
        <rFont val="WenQuanYi Zen Hei"/>
        <family val="2"/>
      </rPr>
      <t xml:space="preserve">、美語科</t>
    </r>
    <r>
      <rPr>
        <sz val="10"/>
        <color rgb="FF1F2A28"/>
        <rFont val="Arial"/>
        <family val="0"/>
        <charset val="1"/>
      </rPr>
      <t xml:space="preserve">C</t>
    </r>
    <r>
      <rPr>
        <sz val="10"/>
        <color rgb="FF1F2A28"/>
        <rFont val="WenQuanYi Zen Hei"/>
        <family val="2"/>
      </rPr>
      <t xml:space="preserve">、美語科</t>
    </r>
    <r>
      <rPr>
        <sz val="10"/>
        <color rgb="FF1F2A28"/>
        <rFont val="Arial"/>
        <family val="0"/>
        <charset val="1"/>
      </rPr>
      <t xml:space="preserve">D</t>
    </r>
  </si>
  <si>
    <t xml:space="preserve">薛惠如</t>
  </si>
  <si>
    <t xml:space="preserve">臺中市私立柏克來文理技藝短期補習班</t>
  </si>
  <si>
    <r>
      <rPr>
        <sz val="10"/>
        <color rgb="FF1F2A28"/>
        <rFont val="WenQuanYi Zen Hei"/>
        <family val="2"/>
      </rPr>
      <t xml:space="preserve">臺中市豐原區陽明街</t>
    </r>
    <r>
      <rPr>
        <sz val="10"/>
        <color rgb="FF1F2A28"/>
        <rFont val="Arial"/>
        <family val="0"/>
        <charset val="1"/>
      </rPr>
      <t xml:space="preserve">178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</si>
  <si>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(04)25263269</t>
  </si>
  <si>
    <t xml:space="preserve">tina23259166@yahoo.com.tw</t>
  </si>
  <si>
    <t xml:space="preserve">何邑萱</t>
  </si>
  <si>
    <t xml:space="preserve">臺中市私立柏翔電腦附設美語短期補習班</t>
  </si>
  <si>
    <r>
      <rPr>
        <sz val="10"/>
        <color rgb="FF1F2A28"/>
        <rFont val="WenQuanYi Zen Hei"/>
        <family val="2"/>
      </rPr>
      <t xml:space="preserve">臺中市北屯區陳平路</t>
    </r>
    <r>
      <rPr>
        <sz val="10"/>
        <color rgb="FF1F2A28"/>
        <rFont val="Arial"/>
        <family val="0"/>
        <charset val="1"/>
      </rPr>
      <t xml:space="preserve">89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</si>
  <si>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(04)22918003</t>
  </si>
  <si>
    <t xml:space="preserve">q121660788@yahoo.com.tw</t>
  </si>
  <si>
    <t xml:space="preserve">2004-12-24</t>
  </si>
  <si>
    <t xml:space="preserve">伍嘉雄</t>
  </si>
  <si>
    <t xml:space="preserve">王怡筠</t>
  </si>
  <si>
    <t xml:space="preserve">臺中市私立栗芙美語短期補習班</t>
  </si>
  <si>
    <r>
      <rPr>
        <sz val="10"/>
        <color rgb="FF1F2A28"/>
        <rFont val="WenQuanYi Zen Hei"/>
        <family val="2"/>
      </rPr>
      <t xml:space="preserve">臺中市南屯區黎明東街</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t>
    </r>
    <r>
      <rPr>
        <sz val="10"/>
        <color rgb="FF1F2A28"/>
        <rFont val="Arial"/>
        <family val="0"/>
        <charset val="1"/>
      </rPr>
      <t xml:space="preserve">63</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</si>
  <si>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(04)23808743</t>
  </si>
  <si>
    <t xml:space="preserve">isislin0910@gmail.com</t>
  </si>
  <si>
    <r>
      <rPr>
        <sz val="10"/>
        <color rgb="FF1F2A28"/>
        <rFont val="WenQuanYi Zen Hei"/>
        <family val="2"/>
      </rPr>
      <t xml:space="preserve">美語科</t>
    </r>
    <r>
      <rPr>
        <sz val="10"/>
        <color rgb="FF1F2A28"/>
        <rFont val="Arial"/>
        <family val="0"/>
        <charset val="1"/>
      </rPr>
      <t xml:space="preserve">A</t>
    </r>
    <r>
      <rPr>
        <sz val="10"/>
        <color rgb="FF1F2A28"/>
        <rFont val="WenQuanYi Zen Hei"/>
        <family val="2"/>
      </rPr>
      <t xml:space="preserve">、美語科</t>
    </r>
    <r>
      <rPr>
        <sz val="10"/>
        <color rgb="FF1F2A28"/>
        <rFont val="Arial"/>
        <family val="0"/>
        <charset val="1"/>
      </rPr>
      <t xml:space="preserve">B</t>
    </r>
    <r>
      <rPr>
        <sz val="10"/>
        <color rgb="FF1F2A28"/>
        <rFont val="WenQuanYi Zen Hei"/>
        <family val="2"/>
      </rPr>
      <t xml:space="preserve">、美語科</t>
    </r>
    <r>
      <rPr>
        <sz val="10"/>
        <color rgb="FF1F2A28"/>
        <rFont val="Arial"/>
        <family val="0"/>
        <charset val="1"/>
      </rPr>
      <t xml:space="preserve">C</t>
    </r>
    <r>
      <rPr>
        <sz val="10"/>
        <color rgb="FF1F2A28"/>
        <rFont val="WenQuanYi Zen Hei"/>
        <family val="2"/>
      </rPr>
      <t xml:space="preserve">、美語科</t>
    </r>
    <r>
      <rPr>
        <sz val="10"/>
        <color rgb="FF1F2A28"/>
        <rFont val="Arial"/>
        <family val="0"/>
        <charset val="1"/>
      </rPr>
      <t xml:space="preserve">D</t>
    </r>
    <r>
      <rPr>
        <sz val="10"/>
        <color rgb="FF1F2A28"/>
        <rFont val="WenQuanYi Zen Hei"/>
        <family val="2"/>
      </rPr>
      <t xml:space="preserve">、美語科</t>
    </r>
    <r>
      <rPr>
        <sz val="10"/>
        <color rgb="FF1F2A28"/>
        <rFont val="Arial"/>
        <family val="0"/>
        <charset val="1"/>
      </rPr>
      <t xml:space="preserve">E</t>
    </r>
  </si>
  <si>
    <t xml:space="preserve">2023-06-08</t>
  </si>
  <si>
    <t xml:space="preserve">林欣宜</t>
  </si>
  <si>
    <t xml:space="preserve">臺中市私立格嵐特文理短期補習班</t>
  </si>
  <si>
    <r>
      <rPr>
        <sz val="10"/>
        <color rgb="FF1F2A28"/>
        <rFont val="WenQuanYi Zen Hei"/>
        <family val="2"/>
      </rPr>
      <t xml:space="preserve">臺中市南屯區公益路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306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</si>
  <si>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(04)22591609</t>
  </si>
  <si>
    <t xml:space="preserve">yuting197318@gmail.com</t>
  </si>
  <si>
    <t xml:space="preserve">邱文霞</t>
  </si>
  <si>
    <t xml:space="preserve">林玉淳</t>
  </si>
  <si>
    <t xml:space="preserve">臺中市私立格林美語短期補習班</t>
  </si>
  <si>
    <r>
      <rPr>
        <sz val="10"/>
        <color rgb="FF1F2A28"/>
        <rFont val="WenQuanYi Zen Hei"/>
        <family val="2"/>
      </rPr>
      <t xml:space="preserve">臺中市大里區至善路</t>
    </r>
    <r>
      <rPr>
        <sz val="10"/>
        <color rgb="FF1F2A28"/>
        <rFont val="Arial"/>
        <family val="0"/>
        <charset val="1"/>
      </rPr>
      <t xml:space="preserve">51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</si>
  <si>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24953838</t>
  </si>
  <si>
    <t xml:space="preserve">劉家樺</t>
  </si>
  <si>
    <t xml:space="preserve">臺中市私立森尼美語短期補習班</t>
  </si>
  <si>
    <r>
      <rPr>
        <sz val="10"/>
        <color rgb="FF1F2A28"/>
        <rFont val="WenQuanYi Zen Hei"/>
        <family val="2"/>
      </rPr>
      <t xml:space="preserve">臺中市神岡區大豐北街</t>
    </r>
    <r>
      <rPr>
        <sz val="10"/>
        <color rgb="FF1F2A28"/>
        <rFont val="Arial"/>
        <family val="0"/>
        <charset val="1"/>
      </rPr>
      <t xml:space="preserve">11</t>
    </r>
    <r>
      <rPr>
        <sz val="10"/>
        <color rgb="FF1F2A28"/>
        <rFont val="WenQuanYi Zen Hei"/>
        <family val="2"/>
      </rPr>
      <t xml:space="preserve">巷</t>
    </r>
    <r>
      <rPr>
        <sz val="10"/>
        <color rgb="FF1F2A28"/>
        <rFont val="Arial"/>
        <family val="0"/>
        <charset val="1"/>
      </rPr>
      <t xml:space="preserve">27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樓面積</t>
    </r>
    <r>
      <rPr>
        <sz val="10"/>
        <color rgb="FF1F2A28"/>
        <rFont val="Arial"/>
        <family val="0"/>
        <charset val="1"/>
      </rPr>
      <t xml:space="preserve">34.61</t>
    </r>
    <r>
      <rPr>
        <sz val="10"/>
        <color rgb="FF1F2A28"/>
        <rFont val="WenQuanYi Zen Hei"/>
        <family val="2"/>
      </rPr>
      <t xml:space="preserve">平方公尺</t>
    </r>
    <r>
      <rPr>
        <sz val="10"/>
        <color rgb="FF1F2A28"/>
        <rFont val="Arial"/>
        <family val="0"/>
        <charset val="1"/>
      </rPr>
      <t xml:space="preserve">)</t>
    </r>
  </si>
  <si>
    <t xml:space="preserve">(04)25130233</t>
  </si>
  <si>
    <t xml:space="preserve">monica.duck@msa.hinet.net</t>
  </si>
  <si>
    <t xml:space="preserve">2005-12-26</t>
  </si>
  <si>
    <t xml:space="preserve">朱鳳祺</t>
  </si>
  <si>
    <t xml:space="preserve">宋羅淑媛</t>
  </si>
  <si>
    <t xml:space="preserve">臺中市私立楓喬兒童美語短期補習班</t>
  </si>
  <si>
    <r>
      <rPr>
        <sz val="10"/>
        <color rgb="FF1F2A28"/>
        <rFont val="WenQuanYi Zen Hei"/>
        <family val="2"/>
      </rPr>
      <t xml:space="preserve">臺中市后里區甲后路一段</t>
    </r>
    <r>
      <rPr>
        <sz val="10"/>
        <color rgb="FF1F2A28"/>
        <rFont val="Arial"/>
        <family val="0"/>
        <charset val="1"/>
      </rPr>
      <t xml:space="preserve">709</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</si>
  <si>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0953655502</t>
  </si>
  <si>
    <t xml:space="preserve">a0953655502@gmail.com</t>
  </si>
  <si>
    <t xml:space="preserve">2003-11-03</t>
  </si>
  <si>
    <t xml:space="preserve">陳思薇</t>
  </si>
  <si>
    <t xml:space="preserve">臺中市私立樂美語文理短期補習班</t>
  </si>
  <si>
    <r>
      <rPr>
        <sz val="10"/>
        <color rgb="FF1F2A28"/>
        <rFont val="WenQuanYi Zen Hei"/>
        <family val="2"/>
      </rPr>
      <t xml:space="preserve">臺中市龍井區沙田路五段</t>
    </r>
    <r>
      <rPr>
        <sz val="10"/>
        <color rgb="FF1F2A28"/>
        <rFont val="Arial"/>
        <family val="0"/>
        <charset val="1"/>
      </rPr>
      <t xml:space="preserve">30</t>
    </r>
    <r>
      <rPr>
        <sz val="10"/>
        <color rgb="FF1F2A28"/>
        <rFont val="WenQuanYi Zen Hei"/>
        <family val="2"/>
      </rPr>
      <t xml:space="preserve">巷</t>
    </r>
    <r>
      <rPr>
        <sz val="10"/>
        <color rgb="FF1F2A28"/>
        <rFont val="Arial"/>
        <family val="0"/>
        <charset val="1"/>
      </rPr>
      <t xml:space="preserve">66</t>
    </r>
    <r>
      <rPr>
        <sz val="10"/>
        <color rgb="FF1F2A28"/>
        <rFont val="WenQuanYi Zen Hei"/>
        <family val="2"/>
      </rPr>
      <t xml:space="preserve">弄</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</si>
  <si>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(04)26352682</t>
  </si>
  <si>
    <t xml:space="preserve">2018-08-21</t>
  </si>
  <si>
    <t xml:space="preserve">陳意親</t>
  </si>
  <si>
    <t xml:space="preserve">臺中市私立欣欣樹美語技藝短期補習班</t>
  </si>
  <si>
    <r>
      <rPr>
        <sz val="10"/>
        <color rgb="FF1F2A28"/>
        <rFont val="WenQuanYi Zen Hei"/>
        <family val="2"/>
      </rPr>
      <t xml:space="preserve">臺中市沙鹿區北勢東路</t>
    </r>
    <r>
      <rPr>
        <sz val="10"/>
        <color rgb="FF1F2A28"/>
        <rFont val="Arial"/>
        <family val="0"/>
        <charset val="1"/>
      </rPr>
      <t xml:space="preserve">483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485</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</si>
  <si>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6525662</t>
  </si>
  <si>
    <t xml:space="preserve">2000-06-14</t>
  </si>
  <si>
    <t xml:space="preserve">王菁美</t>
  </si>
  <si>
    <t xml:space="preserve">吳風</t>
  </si>
  <si>
    <t xml:space="preserve">臺中市私立歐德音樂語文短期補習</t>
  </si>
  <si>
    <r>
      <rPr>
        <sz val="10"/>
        <color rgb="FF1F2A28"/>
        <rFont val="WenQuanYi Zen Hei"/>
        <family val="2"/>
      </rPr>
      <t xml:space="preserve">臺中市南屯區三和街</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</si>
  <si>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(04)23814545</t>
  </si>
  <si>
    <t xml:space="preserve">2016-02-05</t>
  </si>
  <si>
    <t xml:space="preserve">施虹境</t>
  </si>
  <si>
    <t xml:space="preserve">臺中市私立歷學文理短期補習班</t>
  </si>
  <si>
    <r>
      <rPr>
        <sz val="10"/>
        <color rgb="FF1F2A28"/>
        <rFont val="WenQuanYi Zen Hei"/>
        <family val="2"/>
      </rPr>
      <t xml:space="preserve">臺中市西屯區成都路</t>
    </r>
    <r>
      <rPr>
        <sz val="10"/>
        <color rgb="FF1F2A28"/>
        <rFont val="Arial"/>
        <family val="0"/>
        <charset val="1"/>
      </rPr>
      <t xml:space="preserve">261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</si>
  <si>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(04)23163777</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</si>
  <si>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科、美語</t>
    </r>
    <r>
      <rPr>
        <sz val="10"/>
        <color rgb="FF1F2A28"/>
        <rFont val="Arial"/>
        <family val="0"/>
        <charset val="1"/>
      </rPr>
      <t xml:space="preserve">B</t>
    </r>
    <r>
      <rPr>
        <sz val="10"/>
        <color rgb="FF1F2A28"/>
        <rFont val="WenQuanYi Zen Hei"/>
        <family val="2"/>
      </rPr>
      <t xml:space="preserve">科、美語</t>
    </r>
    <r>
      <rPr>
        <sz val="10"/>
        <color rgb="FF1F2A28"/>
        <rFont val="Arial"/>
        <family val="0"/>
        <charset val="1"/>
      </rPr>
      <t xml:space="preserve">C</t>
    </r>
    <r>
      <rPr>
        <sz val="10"/>
        <color rgb="FF1F2A28"/>
        <rFont val="WenQuanYi Zen Hei"/>
        <family val="2"/>
      </rPr>
      <t xml:space="preserve">科</t>
    </r>
  </si>
  <si>
    <t xml:space="preserve">2005-08-30</t>
  </si>
  <si>
    <t xml:space="preserve">張瑞芳</t>
  </si>
  <si>
    <t xml:space="preserve">陳冠璇</t>
  </si>
  <si>
    <t xml:space="preserve">臺中市私立比佛利文理短期補習班</t>
  </si>
  <si>
    <r>
      <rPr>
        <sz val="10"/>
        <color rgb="FF1F2A28"/>
        <rFont val="WenQuanYi Zen Hei"/>
        <family val="2"/>
      </rPr>
      <t xml:space="preserve">臺中市豐原區中山路</t>
    </r>
    <r>
      <rPr>
        <sz val="10"/>
        <color rgb="FF1F2A28"/>
        <rFont val="Arial"/>
        <family val="0"/>
        <charset val="1"/>
      </rPr>
      <t xml:space="preserve">363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</si>
  <si>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04-25201812</t>
  </si>
  <si>
    <t xml:space="preserve">maggie580729@hotmail.com.tw</t>
  </si>
  <si>
    <t xml:space="preserve">1994-11-11</t>
  </si>
  <si>
    <t xml:space="preserve">何泳禛</t>
  </si>
  <si>
    <t xml:space="preserve">臺中市私立法蘭西斯語文短期補習班</t>
  </si>
  <si>
    <r>
      <rPr>
        <sz val="10"/>
        <color rgb="FF1F2A28"/>
        <rFont val="WenQuanYi Zen Hei"/>
        <family val="2"/>
      </rPr>
      <t xml:space="preserve">臺中市豐原區愛國街</t>
    </r>
    <r>
      <rPr>
        <sz val="10"/>
        <color rgb="FF1F2A28"/>
        <rFont val="Arial"/>
        <family val="0"/>
        <charset val="1"/>
      </rPr>
      <t xml:space="preserve">336</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</si>
  <si>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04-25153873</t>
  </si>
  <si>
    <t xml:space="preserve">berhanfrances@gmail.com</t>
  </si>
  <si>
    <t xml:space="preserve">張家寧</t>
  </si>
  <si>
    <t xml:space="preserve">臺中市私立活力美語短期補習班</t>
  </si>
  <si>
    <r>
      <rPr>
        <sz val="10"/>
        <color rgb="FF1F2A28"/>
        <rFont val="WenQuanYi Zen Hei"/>
        <family val="2"/>
      </rPr>
      <t xml:space="preserve">臺中市新社區興社街四段</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</si>
  <si>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(04)25822911</t>
  </si>
  <si>
    <t xml:space="preserve">wen300084@gmail.com</t>
  </si>
  <si>
    <t xml:space="preserve">2000-04-10</t>
  </si>
  <si>
    <t xml:space="preserve">林恩</t>
  </si>
  <si>
    <t xml:space="preserve">吳芷瑩</t>
  </si>
  <si>
    <t xml:space="preserve">臺中市私立湯米文理短期補習班何厝分班</t>
  </si>
  <si>
    <r>
      <rPr>
        <sz val="10"/>
        <color rgb="FF1F2A28"/>
        <rFont val="WenQuanYi Zen Hei"/>
        <family val="2"/>
      </rPr>
      <t xml:space="preserve">臺中市西屯區重慶路</t>
    </r>
    <r>
      <rPr>
        <sz val="10"/>
        <color rgb="FF1F2A28"/>
        <rFont val="Arial"/>
        <family val="0"/>
        <charset val="1"/>
      </rPr>
      <t xml:space="preserve">90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</si>
  <si>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(04)23112731</t>
  </si>
  <si>
    <t xml:space="preserve">88joyschool@gmail.com</t>
  </si>
  <si>
    <r>
      <rPr>
        <sz val="10"/>
        <color rgb="FF1F2A28"/>
        <rFont val="WenQuanYi Zen Hei"/>
        <family val="2"/>
      </rPr>
      <t xml:space="preserve">英語會話</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t>
    </r>
    <r>
      <rPr>
        <sz val="10"/>
        <color rgb="FF1F2A28"/>
        <rFont val="Arial"/>
        <family val="0"/>
        <charset val="1"/>
      </rPr>
      <t xml:space="preserve">C</t>
    </r>
    <r>
      <rPr>
        <sz val="10"/>
        <color rgb="FF1F2A28"/>
        <rFont val="WenQuanYi Zen Hei"/>
        <family val="2"/>
      </rPr>
      <t xml:space="preserve">、</t>
    </r>
    <r>
      <rPr>
        <sz val="10"/>
        <color rgb="FF1F2A28"/>
        <rFont val="Arial"/>
        <family val="0"/>
        <charset val="1"/>
      </rPr>
      <t xml:space="preserve">D</t>
    </r>
    <r>
      <rPr>
        <sz val="10"/>
        <color rgb="FF1F2A28"/>
        <rFont val="WenQuanYi Zen Hei"/>
        <family val="2"/>
      </rPr>
      <t xml:space="preserve">科</t>
    </r>
  </si>
  <si>
    <t xml:space="preserve">2018-09-14</t>
  </si>
  <si>
    <t xml:space="preserve">賴怡樺</t>
  </si>
  <si>
    <t xml:space="preserve">臺中市私立湯米英語會話短期補習班</t>
  </si>
  <si>
    <r>
      <rPr>
        <sz val="10"/>
        <color rgb="FF1F2A28"/>
        <rFont val="WenQuanYi Zen Hei"/>
        <family val="2"/>
      </rPr>
      <t xml:space="preserve">臺中市西屯區重慶路</t>
    </r>
    <r>
      <rPr>
        <sz val="10"/>
        <color rgb="FF1F2A28"/>
        <rFont val="Arial"/>
        <family val="0"/>
        <charset val="1"/>
      </rPr>
      <t xml:space="preserve">88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</si>
  <si>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臺中市私立溫莎堡美語會話短期補習班</t>
  </si>
  <si>
    <r>
      <rPr>
        <sz val="10"/>
        <color rgb="FF1F2A28"/>
        <rFont val="WenQuanYi Zen Hei"/>
        <family val="2"/>
      </rPr>
      <t xml:space="preserve">臺中市北屯區崇德二路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62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</si>
  <si>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04-22465916</t>
  </si>
  <si>
    <t xml:space="preserve">shane_tc1@yahoo.com.tw</t>
  </si>
  <si>
    <r>
      <rPr>
        <sz val="10"/>
        <color rgb="FF1F2A28"/>
        <rFont val="WenQuanYi Zen Hei"/>
        <family val="2"/>
      </rPr>
      <t xml:space="preserve">英文寫作</t>
    </r>
    <r>
      <rPr>
        <sz val="10"/>
        <color rgb="FF1F2A28"/>
        <rFont val="Arial"/>
        <family val="0"/>
        <charset val="1"/>
      </rPr>
      <t xml:space="preserve">10.05</t>
    </r>
  </si>
  <si>
    <t xml:space="preserve">林佩瑤</t>
  </si>
  <si>
    <t xml:space="preserve">臺中市私立瀚文英語會話短期補習班</t>
  </si>
  <si>
    <r>
      <rPr>
        <sz val="10"/>
        <color rgb="FF1F2A28"/>
        <rFont val="WenQuanYi Zen Hei"/>
        <family val="2"/>
      </rPr>
      <t xml:space="preserve">臺中市西屯區甘肅路一段</t>
    </r>
    <r>
      <rPr>
        <sz val="10"/>
        <color rgb="FF1F2A28"/>
        <rFont val="Arial"/>
        <family val="0"/>
        <charset val="1"/>
      </rPr>
      <t xml:space="preserve">117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</si>
  <si>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04-23139185</t>
  </si>
  <si>
    <t xml:space="preserve">leetealeetea@yahoo.com.tw</t>
  </si>
  <si>
    <t xml:space="preserve">成人班英語、國小班英語</t>
  </si>
  <si>
    <t xml:space="preserve">2002-10-04</t>
  </si>
  <si>
    <t xml:space="preserve">張莉媞代表</t>
  </si>
  <si>
    <t xml:space="preserve">張莉媞</t>
  </si>
  <si>
    <t xml:space="preserve">臺中市私立獻文英文數學短期補習班四箴分班</t>
  </si>
  <si>
    <r>
      <rPr>
        <sz val="10"/>
        <color rgb="FF1F2A28"/>
        <rFont val="WenQuanYi Zen Hei"/>
        <family val="2"/>
      </rPr>
      <t xml:space="preserve">臺中市龍井區中沙路</t>
    </r>
    <r>
      <rPr>
        <sz val="10"/>
        <color rgb="FF1F2A28"/>
        <rFont val="Arial"/>
        <family val="0"/>
        <charset val="1"/>
      </rPr>
      <t xml:space="preserve">1</t>
    </r>
    <r>
      <rPr>
        <sz val="10"/>
        <color rgb="FF1F2A28"/>
        <rFont val="WenQuanYi Zen Hei"/>
        <family val="2"/>
      </rPr>
      <t xml:space="preserve">之</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</si>
  <si>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(04)26525038</t>
  </si>
  <si>
    <t xml:space="preserve">whoareyou11234@gmail.com</t>
  </si>
  <si>
    <t xml:space="preserve">丁于恩</t>
  </si>
  <si>
    <t xml:space="preserve">陳海偉</t>
  </si>
  <si>
    <t xml:space="preserve">臺中市私立班頓英語短期補習班</t>
  </si>
  <si>
    <r>
      <rPr>
        <sz val="10"/>
        <color rgb="FF1F2A28"/>
        <rFont val="WenQuanYi Zen Hei"/>
        <family val="2"/>
      </rPr>
      <t xml:space="preserve">臺中市烏日區中山路一段</t>
    </r>
    <r>
      <rPr>
        <sz val="10"/>
        <color rgb="FF1F2A28"/>
        <rFont val="Arial"/>
        <family val="0"/>
        <charset val="1"/>
      </rPr>
      <t xml:space="preserve">475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</si>
  <si>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(04)23360720</t>
  </si>
  <si>
    <t xml:space="preserve">2020-06-17</t>
  </si>
  <si>
    <t xml:space="preserve">黃歆婷</t>
  </si>
  <si>
    <t xml:space="preserve">謝艾儒</t>
  </si>
  <si>
    <t xml:space="preserve">臺中市私立珮帝文理短期補習班</t>
  </si>
  <si>
    <r>
      <rPr>
        <sz val="10"/>
        <color rgb="FF1F2A28"/>
        <rFont val="WenQuanYi Zen Hei"/>
        <family val="2"/>
      </rPr>
      <t xml:space="preserve">臺中市南屯區文心南三路</t>
    </r>
    <r>
      <rPr>
        <sz val="10"/>
        <color rgb="FF1F2A28"/>
        <rFont val="Arial"/>
        <family val="0"/>
        <charset val="1"/>
      </rPr>
      <t xml:space="preserve">106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108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</si>
  <si>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04-24710079</t>
  </si>
  <si>
    <t xml:space="preserve">pattychi@gmail.com</t>
  </si>
  <si>
    <t xml:space="preserve">2003-07-02</t>
  </si>
  <si>
    <t xml:space="preserve">紀慧霞</t>
  </si>
  <si>
    <t xml:space="preserve">臺中市私立現代私塾文理短期補習班</t>
  </si>
  <si>
    <r>
      <rPr>
        <sz val="10"/>
        <color rgb="FF1F2A28"/>
        <rFont val="WenQuanYi Zen Hei"/>
        <family val="2"/>
      </rPr>
      <t xml:space="preserve">臺中市潭子區中山路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391</t>
    </r>
    <r>
      <rPr>
        <sz val="10"/>
        <color rgb="FF1F2A28"/>
        <rFont val="WenQuanYi Zen Hei"/>
        <family val="2"/>
      </rPr>
      <t xml:space="preserve">巷</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</si>
  <si>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25356356</t>
  </si>
  <si>
    <t xml:space="preserve">model.kid@msa.hinet.net</t>
  </si>
  <si>
    <t xml:space="preserve">兒童英語會話</t>
  </si>
  <si>
    <t xml:space="preserve">2002-07-24</t>
  </si>
  <si>
    <t xml:space="preserve">蔡斯成</t>
  </si>
  <si>
    <t xml:space="preserve">臺中市私立琳達文理短期補習班新光分班</t>
  </si>
  <si>
    <r>
      <rPr>
        <sz val="10"/>
        <color rgb="FF1F2A28"/>
        <rFont val="WenQuanYi Zen Hei"/>
        <family val="2"/>
      </rPr>
      <t xml:space="preserve">臺中市太平區太順路</t>
    </r>
    <r>
      <rPr>
        <sz val="10"/>
        <color rgb="FF1F2A28"/>
        <rFont val="Arial"/>
        <family val="0"/>
        <charset val="1"/>
      </rPr>
      <t xml:space="preserve">836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</si>
  <si>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(04)23950666</t>
  </si>
  <si>
    <t xml:space="preserve">linda769988@gmail.com</t>
  </si>
  <si>
    <r>
      <rPr>
        <sz val="10"/>
        <color rgb="FF1F2A28"/>
        <rFont val="WenQuanYi Zen Hei"/>
        <family val="2"/>
      </rPr>
      <t xml:space="preserve">英語科</t>
    </r>
    <r>
      <rPr>
        <sz val="10"/>
        <color rgb="FF1F2A28"/>
        <rFont val="Arial"/>
        <family val="0"/>
        <charset val="1"/>
      </rPr>
      <t xml:space="preserve">B</t>
    </r>
    <r>
      <rPr>
        <sz val="10"/>
        <color rgb="FF1F2A28"/>
        <rFont val="WenQuanYi Zen Hei"/>
        <family val="2"/>
      </rPr>
      <t xml:space="preserve">班、英語科</t>
    </r>
    <r>
      <rPr>
        <sz val="10"/>
        <color rgb="FF1F2A28"/>
        <rFont val="Arial"/>
        <family val="0"/>
        <charset val="1"/>
      </rPr>
      <t xml:space="preserve">A</t>
    </r>
    <r>
      <rPr>
        <sz val="10"/>
        <color rgb="FF1F2A28"/>
        <rFont val="WenQuanYi Zen Hei"/>
        <family val="2"/>
      </rPr>
      <t xml:space="preserve">班、英語科</t>
    </r>
    <r>
      <rPr>
        <sz val="10"/>
        <color rgb="FF1F2A28"/>
        <rFont val="Arial"/>
        <family val="0"/>
        <charset val="1"/>
      </rPr>
      <t xml:space="preserve">C</t>
    </r>
    <r>
      <rPr>
        <sz val="10"/>
        <color rgb="FF1F2A28"/>
        <rFont val="WenQuanYi Zen Hei"/>
        <family val="2"/>
      </rPr>
      <t xml:space="preserve">班</t>
    </r>
  </si>
  <si>
    <t xml:space="preserve">2019-08-27</t>
  </si>
  <si>
    <t xml:space="preserve">李潔玲</t>
  </si>
  <si>
    <t xml:space="preserve">黃育誠</t>
  </si>
  <si>
    <t xml:space="preserve">臺中市私立瑪琳英語短期補習班</t>
  </si>
  <si>
    <r>
      <rPr>
        <sz val="10"/>
        <color rgb="FF1F2A28"/>
        <rFont val="WenQuanYi Zen Hei"/>
        <family val="2"/>
      </rPr>
      <t xml:space="preserve">臺中市豐原區中興路</t>
    </r>
    <r>
      <rPr>
        <sz val="10"/>
        <color rgb="FF1F2A28"/>
        <rFont val="Arial"/>
        <family val="0"/>
        <charset val="1"/>
      </rPr>
      <t xml:space="preserve">200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</si>
  <si>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(04)25263229</t>
  </si>
  <si>
    <t xml:space="preserve">2021-07-19</t>
  </si>
  <si>
    <t xml:space="preserve">林晁甄</t>
  </si>
  <si>
    <t xml:space="preserve">臺中市私立百優美語會話短期補習班</t>
  </si>
  <si>
    <r>
      <rPr>
        <sz val="10"/>
        <color rgb="FF1F2A28"/>
        <rFont val="WenQuanYi Zen Hei"/>
        <family val="2"/>
      </rPr>
      <t xml:space="preserve">臺中市西屯區福科路</t>
    </r>
    <r>
      <rPr>
        <sz val="10"/>
        <color rgb="FF1F2A28"/>
        <rFont val="Arial"/>
        <family val="0"/>
        <charset val="1"/>
      </rPr>
      <t xml:space="preserve">960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樓、地下</t>
    </r>
    <r>
      <rPr>
        <sz val="10"/>
        <color rgb="FF1F2A28"/>
        <rFont val="Arial"/>
        <family val="0"/>
        <charset val="1"/>
      </rPr>
      <t xml:space="preserve">1</t>
    </r>
    <r>
      <rPr>
        <sz val="10"/>
        <color rgb="FF1F2A28"/>
        <rFont val="WenQuanYi Zen Hei"/>
        <family val="2"/>
      </rPr>
      <t xml:space="preserve">樓</t>
    </r>
  </si>
  <si>
    <t xml:space="preserve">04-24654888</t>
  </si>
  <si>
    <r>
      <rPr>
        <sz val="10"/>
        <color rgb="FF1F2A28"/>
        <rFont val="WenQuanYi Zen Hei"/>
        <family val="2"/>
      </rPr>
      <t xml:space="preserve">美語會話</t>
    </r>
    <r>
      <rPr>
        <sz val="10"/>
        <color rgb="FF1F2A28"/>
        <rFont val="Arial"/>
        <family val="0"/>
        <charset val="1"/>
      </rPr>
      <t xml:space="preserve">(</t>
    </r>
    <r>
      <rPr>
        <sz val="10"/>
        <color rgb="FF1F2A28"/>
        <rFont val="WenQuanYi Zen Hei"/>
        <family val="2"/>
      </rPr>
      <t xml:space="preserve">兒童班</t>
    </r>
    <r>
      <rPr>
        <sz val="10"/>
        <color rgb="FF1F2A28"/>
        <rFont val="Arial"/>
        <family val="0"/>
        <charset val="1"/>
      </rPr>
      <t xml:space="preserve">)</t>
    </r>
    <r>
      <rPr>
        <sz val="10"/>
        <color rgb="FF1F2A28"/>
        <rFont val="WenQuanYi Zen Hei"/>
        <family val="2"/>
      </rPr>
      <t xml:space="preserve">、美語會話</t>
    </r>
    <r>
      <rPr>
        <sz val="10"/>
        <color rgb="FF1F2A28"/>
        <rFont val="Arial"/>
        <family val="0"/>
        <charset val="1"/>
      </rPr>
      <t xml:space="preserve">(</t>
    </r>
    <r>
      <rPr>
        <sz val="10"/>
        <color rgb="FF1F2A28"/>
        <rFont val="WenQuanYi Zen Hei"/>
        <family val="2"/>
      </rPr>
      <t xml:space="preserve">成人班</t>
    </r>
    <r>
      <rPr>
        <sz val="10"/>
        <color rgb="FF1F2A28"/>
        <rFont val="Arial"/>
        <family val="0"/>
        <charset val="1"/>
      </rPr>
      <t xml:space="preserve">)</t>
    </r>
  </si>
  <si>
    <t xml:space="preserve">2001-09-06</t>
  </si>
  <si>
    <t xml:space="preserve">粘明根</t>
  </si>
  <si>
    <t xml:space="preserve">臺中市私立百宏文理短期補習班</t>
  </si>
  <si>
    <r>
      <rPr>
        <sz val="10"/>
        <color rgb="FF1F2A28"/>
        <rFont val="WenQuanYi Zen Hei"/>
        <family val="2"/>
      </rPr>
      <t xml:space="preserve">臺中市北屯區興安路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142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</si>
  <si>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(04)22320448</t>
  </si>
  <si>
    <t xml:space="preserve">a22320448@gmail.com</t>
  </si>
  <si>
    <t xml:space="preserve">余承晏</t>
  </si>
  <si>
    <t xml:space="preserve">臺中市私立百科電腦美語短期補習班</t>
  </si>
  <si>
    <r>
      <rPr>
        <sz val="10"/>
        <color rgb="FF1F2A28"/>
        <rFont val="WenQuanYi Zen Hei"/>
        <family val="2"/>
      </rPr>
      <t xml:space="preserve">臺中市神岡區文賢街</t>
    </r>
    <r>
      <rPr>
        <sz val="10"/>
        <color rgb="FF1F2A28"/>
        <rFont val="Arial"/>
        <family val="0"/>
        <charset val="1"/>
      </rPr>
      <t xml:space="preserve">72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</si>
  <si>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04-2527-0909</t>
  </si>
  <si>
    <t xml:space="preserve">penjen168@gmail.com</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</si>
  <si>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班、美語</t>
    </r>
    <r>
      <rPr>
        <sz val="10"/>
        <color rgb="FF1F2A28"/>
        <rFont val="Arial"/>
        <family val="0"/>
        <charset val="1"/>
      </rPr>
      <t xml:space="preserve">B</t>
    </r>
    <r>
      <rPr>
        <sz val="10"/>
        <color rgb="FF1F2A28"/>
        <rFont val="WenQuanYi Zen Hei"/>
        <family val="2"/>
      </rPr>
      <t xml:space="preserve">班、美語</t>
    </r>
    <r>
      <rPr>
        <sz val="10"/>
        <color rgb="FF1F2A28"/>
        <rFont val="Arial"/>
        <family val="0"/>
        <charset val="1"/>
      </rPr>
      <t xml:space="preserve">D</t>
    </r>
    <r>
      <rPr>
        <sz val="10"/>
        <color rgb="FF1F2A28"/>
        <rFont val="WenQuanYi Zen Hei"/>
        <family val="2"/>
      </rPr>
      <t xml:space="preserve">班、美語</t>
    </r>
    <r>
      <rPr>
        <sz val="10"/>
        <color rgb="FF1F2A28"/>
        <rFont val="Arial"/>
        <family val="0"/>
        <charset val="1"/>
      </rPr>
      <t xml:space="preserve">C</t>
    </r>
    <r>
      <rPr>
        <sz val="10"/>
        <color rgb="FF1F2A28"/>
        <rFont val="WenQuanYi Zen Hei"/>
        <family val="2"/>
      </rPr>
      <t xml:space="preserve">班</t>
    </r>
  </si>
  <si>
    <t xml:space="preserve">江侞砡</t>
  </si>
  <si>
    <t xml:space="preserve">臺中市私立益思博英語短期補習班</t>
  </si>
  <si>
    <r>
      <rPr>
        <sz val="10"/>
        <color rgb="FF1F2A28"/>
        <rFont val="WenQuanYi Zen Hei"/>
        <family val="2"/>
      </rPr>
      <t xml:space="preserve">臺中市南屯區公益路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302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2</t>
    </r>
  </si>
  <si>
    <t xml:space="preserve">(04)22520215</t>
  </si>
  <si>
    <t xml:space="preserve">曾金美</t>
  </si>
  <si>
    <t xml:space="preserve">臺中市私立睿智國際語文短期補習班</t>
  </si>
  <si>
    <r>
      <rPr>
        <sz val="10"/>
        <color rgb="FF1F2A28"/>
        <rFont val="WenQuanYi Zen Hei"/>
        <family val="2"/>
      </rPr>
      <t xml:space="preserve">臺中市南屯區公益路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603-1</t>
    </r>
    <r>
      <rPr>
        <sz val="10"/>
        <color rgb="FF1F2A28"/>
        <rFont val="WenQuanYi Zen Hei"/>
        <family val="2"/>
      </rPr>
      <t xml:space="preserve">號 </t>
    </r>
    <r>
      <rPr>
        <sz val="10"/>
        <color rgb="FF1F2A28"/>
        <rFont val="Arial"/>
        <family val="0"/>
        <charset val="1"/>
      </rPr>
      <t xml:space="preserve">1-2</t>
    </r>
    <r>
      <rPr>
        <sz val="10"/>
        <color rgb="FF1F2A28"/>
        <rFont val="WenQuanYi Zen Hei"/>
        <family val="2"/>
      </rPr>
      <t xml:space="preserve">樓</t>
    </r>
  </si>
  <si>
    <t xml:space="preserve">(04)22511010</t>
  </si>
  <si>
    <t xml:space="preserve">aces.tc1@gmail.com</t>
  </si>
  <si>
    <r>
      <rPr>
        <sz val="10"/>
        <color rgb="FF1F2A28"/>
        <rFont val="WenQuanYi Zen Hei"/>
        <family val="2"/>
      </rPr>
      <t xml:space="preserve">英文</t>
    </r>
    <r>
      <rPr>
        <sz val="10"/>
        <color rgb="FF1F2A28"/>
        <rFont val="Arial"/>
        <family val="0"/>
        <charset val="1"/>
      </rPr>
      <t xml:space="preserve">56.26</t>
    </r>
    <r>
      <rPr>
        <sz val="10"/>
        <color rgb="FF1F2A28"/>
        <rFont val="WenQuanYi Zen Hei"/>
        <family val="2"/>
      </rPr>
      <t xml:space="preserve">、英文</t>
    </r>
    <r>
      <rPr>
        <sz val="10"/>
        <color rgb="FF1F2A28"/>
        <rFont val="Arial"/>
        <family val="0"/>
        <charset val="1"/>
      </rPr>
      <t xml:space="preserve">58.47</t>
    </r>
  </si>
  <si>
    <t xml:space="preserve">郭慧珠</t>
  </si>
  <si>
    <t xml:space="preserve">臺中市私立知園美語短期補習班</t>
  </si>
  <si>
    <r>
      <rPr>
        <sz val="10"/>
        <color rgb="FF1F2A28"/>
        <rFont val="WenQuanYi Zen Hei"/>
        <family val="2"/>
      </rPr>
      <t xml:space="preserve">臺中市神岡區民生路</t>
    </r>
    <r>
      <rPr>
        <sz val="10"/>
        <color rgb="FF1F2A28"/>
        <rFont val="Arial"/>
        <family val="0"/>
        <charset val="1"/>
      </rPr>
      <t xml:space="preserve">27-18</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1-4</t>
    </r>
    <r>
      <rPr>
        <sz val="10"/>
        <color rgb="FF1F2A28"/>
        <rFont val="WenQuanYi Zen Hei"/>
        <family val="2"/>
      </rPr>
      <t xml:space="preserve">樓</t>
    </r>
  </si>
  <si>
    <t xml:space="preserve">25632341</t>
  </si>
  <si>
    <t xml:space="preserve">shenkang@sesamevillage.tw</t>
  </si>
  <si>
    <r>
      <rPr>
        <sz val="10"/>
        <color rgb="FF1F2A28"/>
        <rFont val="WenQuanYi Zen Hei"/>
        <family val="2"/>
      </rPr>
      <t xml:space="preserve">美語科</t>
    </r>
    <r>
      <rPr>
        <sz val="10"/>
        <color rgb="FF1F2A28"/>
        <rFont val="Arial"/>
        <family val="0"/>
        <charset val="1"/>
      </rPr>
      <t xml:space="preserve">A</t>
    </r>
    <r>
      <rPr>
        <sz val="10"/>
        <color rgb="FF1F2A28"/>
        <rFont val="WenQuanYi Zen Hei"/>
        <family val="2"/>
      </rPr>
      <t xml:space="preserve">班、美語科</t>
    </r>
    <r>
      <rPr>
        <sz val="10"/>
        <color rgb="FF1F2A28"/>
        <rFont val="Arial"/>
        <family val="0"/>
        <charset val="1"/>
      </rPr>
      <t xml:space="preserve">B</t>
    </r>
    <r>
      <rPr>
        <sz val="10"/>
        <color rgb="FF1F2A28"/>
        <rFont val="WenQuanYi Zen Hei"/>
        <family val="2"/>
      </rPr>
      <t xml:space="preserve">班、美語科</t>
    </r>
    <r>
      <rPr>
        <sz val="10"/>
        <color rgb="FF1F2A28"/>
        <rFont val="Arial"/>
        <family val="0"/>
        <charset val="1"/>
      </rPr>
      <t xml:space="preserve">C</t>
    </r>
    <r>
      <rPr>
        <sz val="10"/>
        <color rgb="FF1F2A28"/>
        <rFont val="WenQuanYi Zen Hei"/>
        <family val="2"/>
      </rPr>
      <t xml:space="preserve">班、美語科</t>
    </r>
    <r>
      <rPr>
        <sz val="10"/>
        <color rgb="FF1F2A28"/>
        <rFont val="Arial"/>
        <family val="0"/>
        <charset val="1"/>
      </rPr>
      <t xml:space="preserve">D</t>
    </r>
    <r>
      <rPr>
        <sz val="10"/>
        <color rgb="FF1F2A28"/>
        <rFont val="WenQuanYi Zen Hei"/>
        <family val="2"/>
      </rPr>
      <t xml:space="preserve">班、美語科</t>
    </r>
    <r>
      <rPr>
        <sz val="10"/>
        <color rgb="FF1F2A28"/>
        <rFont val="Arial"/>
        <family val="0"/>
        <charset val="1"/>
      </rPr>
      <t xml:space="preserve">E</t>
    </r>
    <r>
      <rPr>
        <sz val="10"/>
        <color rgb="FF1F2A28"/>
        <rFont val="WenQuanYi Zen Hei"/>
        <family val="2"/>
      </rPr>
      <t xml:space="preserve">班</t>
    </r>
  </si>
  <si>
    <t xml:space="preserve">2000-07-05</t>
  </si>
  <si>
    <t xml:space="preserve">臺中市私立科學家美語短期補習班</t>
  </si>
  <si>
    <r>
      <rPr>
        <sz val="10"/>
        <color rgb="FF1F2A28"/>
        <rFont val="WenQuanYi Zen Hei"/>
        <family val="2"/>
      </rPr>
      <t xml:space="preserve">臺中市大肚區沙田路一段</t>
    </r>
    <r>
      <rPr>
        <sz val="10"/>
        <color rgb="FF1F2A28"/>
        <rFont val="Arial"/>
        <family val="0"/>
        <charset val="1"/>
      </rPr>
      <t xml:space="preserve">589</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3</t>
    </r>
    <r>
      <rPr>
        <sz val="10"/>
        <color rgb="FF1F2A28"/>
        <rFont val="WenQuanYi Zen Hei"/>
        <family val="2"/>
      </rPr>
      <t xml:space="preserve">樓</t>
    </r>
  </si>
  <si>
    <t xml:space="preserve">26931005</t>
  </si>
  <si>
    <t xml:space="preserve">abc26932930@gmail.com</t>
  </si>
  <si>
    <t xml:space="preserve">1991-09-05</t>
  </si>
  <si>
    <t xml:space="preserve">林洪游</t>
  </si>
  <si>
    <t xml:space="preserve">林豔然</t>
  </si>
  <si>
    <t xml:space="preserve">臺中市私立科文美語會話短期補習班</t>
  </si>
  <si>
    <r>
      <rPr>
        <sz val="10"/>
        <color rgb="FF1F2A28"/>
        <rFont val="WenQuanYi Zen Hei"/>
        <family val="2"/>
      </rPr>
      <t xml:space="preserve">臺中市北屯區中清路二段</t>
    </r>
    <r>
      <rPr>
        <sz val="10"/>
        <color rgb="FF1F2A28"/>
        <rFont val="Arial"/>
        <family val="0"/>
        <charset val="1"/>
      </rPr>
      <t xml:space="preserve">567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</si>
  <si>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04-22962062</t>
  </si>
  <si>
    <t xml:space="preserve">gram22962062@gmail.com</t>
  </si>
  <si>
    <r>
      <rPr>
        <sz val="10"/>
        <color rgb="FF1F2A28"/>
        <rFont val="WenQuanYi Zen Hei"/>
        <family val="2"/>
      </rPr>
      <t xml:space="preserve">美語</t>
    </r>
    <r>
      <rPr>
        <sz val="10"/>
        <color rgb="FF1F2A28"/>
        <rFont val="Arial"/>
        <family val="0"/>
        <charset val="1"/>
      </rPr>
      <t xml:space="preserve">16.77</t>
    </r>
    <r>
      <rPr>
        <sz val="10"/>
        <color rgb="FF1F2A28"/>
        <rFont val="WenQuanYi Zen Hei"/>
        <family val="2"/>
      </rPr>
      <t xml:space="preserve">、美語</t>
    </r>
    <r>
      <rPr>
        <sz val="10"/>
        <color rgb="FF1F2A28"/>
        <rFont val="Arial"/>
        <family val="0"/>
        <charset val="1"/>
      </rPr>
      <t xml:space="preserve">25.97</t>
    </r>
    <r>
      <rPr>
        <sz val="10"/>
        <color rgb="FF1F2A28"/>
        <rFont val="WenQuanYi Zen Hei"/>
        <family val="2"/>
      </rPr>
      <t xml:space="preserve">、美語</t>
    </r>
    <r>
      <rPr>
        <sz val="10"/>
        <color rgb="FF1F2A28"/>
        <rFont val="Arial"/>
        <family val="0"/>
        <charset val="1"/>
      </rPr>
      <t xml:space="preserve">26.60</t>
    </r>
  </si>
  <si>
    <t xml:space="preserve">2002-07-16</t>
  </si>
  <si>
    <t xml:space="preserve">陳珮君</t>
  </si>
  <si>
    <t xml:space="preserve">臺中市私立科登美語短期補習班</t>
  </si>
  <si>
    <r>
      <rPr>
        <sz val="10"/>
        <color rgb="FF1F2A28"/>
        <rFont val="WenQuanYi Zen Hei"/>
        <family val="2"/>
      </rPr>
      <t xml:space="preserve">臺中市豐原區瑞安街</t>
    </r>
    <r>
      <rPr>
        <sz val="10"/>
        <color rgb="FF1F2A28"/>
        <rFont val="Arial"/>
        <family val="0"/>
        <charset val="1"/>
      </rPr>
      <t xml:space="preserve">183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</si>
  <si>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04 2528 3433</t>
  </si>
  <si>
    <t xml:space="preserve">2000-01-13</t>
  </si>
  <si>
    <t xml:space="preserve">廖惠貞</t>
  </si>
  <si>
    <t xml:space="preserve">臺中市私立第五大道美語會話短期補習班</t>
  </si>
  <si>
    <r>
      <rPr>
        <sz val="10"/>
        <color rgb="FF1F2A28"/>
        <rFont val="WenQuanYi Zen Hei"/>
        <family val="2"/>
      </rPr>
      <t xml:space="preserve">臺中市西屯區福泰街</t>
    </r>
    <r>
      <rPr>
        <sz val="10"/>
        <color rgb="FF1F2A28"/>
        <rFont val="Arial"/>
        <family val="0"/>
        <charset val="1"/>
      </rPr>
      <t xml:space="preserve">80</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</si>
  <si>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(04)24651559</t>
  </si>
  <si>
    <t xml:space="preserve">tanfuguang308@gmail.com</t>
  </si>
  <si>
    <r>
      <rPr>
        <sz val="10"/>
        <color rgb="FF1F2A28"/>
        <rFont val="WenQuanYi Zen Hei"/>
        <family val="2"/>
      </rPr>
      <t xml:space="preserve">美語</t>
    </r>
    <r>
      <rPr>
        <sz val="10"/>
        <color rgb="FF1F2A28"/>
        <rFont val="Arial"/>
        <family val="0"/>
        <charset val="1"/>
      </rPr>
      <t xml:space="preserve">14.505</t>
    </r>
    <r>
      <rPr>
        <sz val="10"/>
        <color rgb="FF1F2A28"/>
        <rFont val="WenQuanYi Zen Hei"/>
        <family val="2"/>
      </rPr>
      <t xml:space="preserve">、美語</t>
    </r>
    <r>
      <rPr>
        <sz val="10"/>
        <color rgb="FF1F2A28"/>
        <rFont val="Arial"/>
        <family val="0"/>
        <charset val="1"/>
      </rPr>
      <t xml:space="preserve">13.95</t>
    </r>
  </si>
  <si>
    <t xml:space="preserve">2005-01-11</t>
  </si>
  <si>
    <t xml:space="preserve">譚富光</t>
  </si>
  <si>
    <t xml:space="preserve">臺中市私立米克森文理短期補習班</t>
  </si>
  <si>
    <r>
      <rPr>
        <sz val="10"/>
        <color rgb="FF1F2A28"/>
        <rFont val="WenQuanYi Zen Hei"/>
        <family val="2"/>
      </rPr>
      <t xml:space="preserve">臺中市西屯區西屯路二段上石南六巷</t>
    </r>
    <r>
      <rPr>
        <sz val="10"/>
        <color rgb="FF1F2A28"/>
        <rFont val="Arial"/>
        <family val="0"/>
        <charset val="1"/>
      </rPr>
      <t xml:space="preserve">42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</si>
  <si>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04-24522875</t>
  </si>
  <si>
    <t xml:space="preserve">canny580808@gmail.com</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</si>
  <si>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科、美語</t>
    </r>
    <r>
      <rPr>
        <sz val="10"/>
        <color rgb="FF1F2A28"/>
        <rFont val="Arial"/>
        <family val="0"/>
        <charset val="1"/>
      </rPr>
      <t xml:space="preserve">C</t>
    </r>
    <r>
      <rPr>
        <sz val="10"/>
        <color rgb="FF1F2A28"/>
        <rFont val="WenQuanYi Zen Hei"/>
        <family val="2"/>
      </rPr>
      <t xml:space="preserve">科、美語</t>
    </r>
    <r>
      <rPr>
        <sz val="10"/>
        <color rgb="FF1F2A28"/>
        <rFont val="Arial"/>
        <family val="0"/>
        <charset val="1"/>
      </rPr>
      <t xml:space="preserve">D</t>
    </r>
    <r>
      <rPr>
        <sz val="10"/>
        <color rgb="FF1F2A28"/>
        <rFont val="WenQuanYi Zen Hei"/>
        <family val="2"/>
      </rPr>
      <t xml:space="preserve">科</t>
    </r>
  </si>
  <si>
    <t xml:space="preserve">陳雅燕</t>
  </si>
  <si>
    <t xml:space="preserve">洪齊成</t>
  </si>
  <si>
    <t xml:space="preserve">臺中市私立米奇美語珠心算短期補習班</t>
  </si>
  <si>
    <r>
      <rPr>
        <sz val="10"/>
        <color rgb="FF1F2A28"/>
        <rFont val="WenQuanYi Zen Hei"/>
        <family val="2"/>
      </rPr>
      <t xml:space="preserve">臺中市大里區立新街</t>
    </r>
    <r>
      <rPr>
        <sz val="10"/>
        <color rgb="FF1F2A28"/>
        <rFont val="Arial"/>
        <family val="0"/>
        <charset val="1"/>
      </rPr>
      <t xml:space="preserve">311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</si>
  <si>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(04)22770800</t>
  </si>
  <si>
    <t xml:space="preserve">leexc1008@gmail.com</t>
  </si>
  <si>
    <t xml:space="preserve">2005-01-10</t>
  </si>
  <si>
    <t xml:space="preserve">莊鳳娟</t>
  </si>
  <si>
    <t xml:space="preserve">李湘慶</t>
  </si>
  <si>
    <t xml:space="preserve">臺中市私立米雅英語短期補習班</t>
  </si>
  <si>
    <r>
      <rPr>
        <sz val="10"/>
        <color rgb="FF1F2A28"/>
        <rFont val="WenQuanYi Zen Hei"/>
        <family val="2"/>
      </rPr>
      <t xml:space="preserve">臺中市北屯區東山路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91</t>
    </r>
    <r>
      <rPr>
        <sz val="10"/>
        <color rgb="FF1F2A28"/>
        <rFont val="WenQuanYi Zen Hei"/>
        <family val="2"/>
      </rPr>
      <t xml:space="preserve">巷</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</si>
  <si>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(04)2435-0578</t>
  </si>
  <si>
    <t xml:space="preserve">c502micky@yahoo.com.tw</t>
  </si>
  <si>
    <t xml:space="preserve">2015-12-10</t>
  </si>
  <si>
    <t xml:space="preserve">涂雅伶</t>
  </si>
  <si>
    <t xml:space="preserve">涂雅真</t>
  </si>
  <si>
    <t xml:space="preserve">臺中市私立約翰叔叔美語短期補習班</t>
  </si>
  <si>
    <r>
      <rPr>
        <sz val="10"/>
        <color rgb="FF1F2A28"/>
        <rFont val="WenQuanYi Zen Hei"/>
        <family val="2"/>
      </rPr>
      <t xml:space="preserve">臺中市潭子區得福街</t>
    </r>
    <r>
      <rPr>
        <sz val="10"/>
        <color rgb="FF1F2A28"/>
        <rFont val="Arial"/>
        <family val="0"/>
        <charset val="1"/>
      </rPr>
      <t xml:space="preserve">80</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</si>
  <si>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(04)25354852</t>
  </si>
  <si>
    <t xml:space="preserve">林仲碩</t>
  </si>
  <si>
    <t xml:space="preserve">臺中市私立納菓語文短期補習班</t>
  </si>
  <si>
    <r>
      <rPr>
        <sz val="10"/>
        <color rgb="FF1F2A28"/>
        <rFont val="WenQuanYi Zen Hei"/>
        <family val="2"/>
      </rPr>
      <t xml:space="preserve">臺中市大甲區德興路</t>
    </r>
    <r>
      <rPr>
        <sz val="10"/>
        <color rgb="FF1F2A28"/>
        <rFont val="Arial"/>
        <family val="0"/>
        <charset val="1"/>
      </rPr>
      <t xml:space="preserve">54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</si>
  <si>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0937-587189</t>
  </si>
  <si>
    <t xml:space="preserve">flelc.dajia@gmail.com</t>
  </si>
  <si>
    <r>
      <rPr>
        <sz val="10"/>
        <color rgb="FF1F2A28"/>
        <rFont val="WenQuanYi Zen Hei"/>
        <family val="2"/>
      </rPr>
      <t xml:space="preserve">英文</t>
    </r>
    <r>
      <rPr>
        <sz val="10"/>
        <color rgb="FF1F2A28"/>
        <rFont val="Arial"/>
        <family val="0"/>
        <charset val="1"/>
      </rPr>
      <t xml:space="preserve">D</t>
    </r>
    <r>
      <rPr>
        <sz val="10"/>
        <color rgb="FF1F2A28"/>
        <rFont val="WenQuanYi Zen Hei"/>
        <family val="2"/>
      </rPr>
      <t xml:space="preserve">、英文</t>
    </r>
    <r>
      <rPr>
        <sz val="10"/>
        <color rgb="FF1F2A28"/>
        <rFont val="Arial"/>
        <family val="0"/>
        <charset val="1"/>
      </rPr>
      <t xml:space="preserve">A</t>
    </r>
    <r>
      <rPr>
        <sz val="10"/>
        <color rgb="FF1F2A28"/>
        <rFont val="WenQuanYi Zen Hei"/>
        <family val="2"/>
      </rPr>
      <t xml:space="preserve">、英文</t>
    </r>
    <r>
      <rPr>
        <sz val="10"/>
        <color rgb="FF1F2A28"/>
        <rFont val="Arial"/>
        <family val="0"/>
        <charset val="1"/>
      </rPr>
      <t xml:space="preserve">B</t>
    </r>
    <r>
      <rPr>
        <sz val="10"/>
        <color rgb="FF1F2A28"/>
        <rFont val="WenQuanYi Zen Hei"/>
        <family val="2"/>
      </rPr>
      <t xml:space="preserve">、英文</t>
    </r>
    <r>
      <rPr>
        <sz val="10"/>
        <color rgb="FF1F2A28"/>
        <rFont val="Arial"/>
        <family val="0"/>
        <charset val="1"/>
      </rPr>
      <t xml:space="preserve">E</t>
    </r>
    <r>
      <rPr>
        <sz val="10"/>
        <color rgb="FF1F2A28"/>
        <rFont val="WenQuanYi Zen Hei"/>
        <family val="2"/>
      </rPr>
      <t xml:space="preserve">、英文</t>
    </r>
    <r>
      <rPr>
        <sz val="10"/>
        <color rgb="FF1F2A28"/>
        <rFont val="Arial"/>
        <family val="0"/>
        <charset val="1"/>
      </rPr>
      <t xml:space="preserve">C</t>
    </r>
  </si>
  <si>
    <t xml:space="preserve">2024-09-02</t>
  </si>
  <si>
    <t xml:space="preserve">林鑫宏</t>
  </si>
  <si>
    <t xml:space="preserve">臺中市私立索爾文理短期補習班</t>
  </si>
  <si>
    <r>
      <rPr>
        <sz val="10"/>
        <color rgb="FF1F2A28"/>
        <rFont val="WenQuanYi Zen Hei"/>
        <family val="2"/>
      </rPr>
      <t xml:space="preserve">臺中市南屯區嶺東路</t>
    </r>
    <r>
      <rPr>
        <sz val="10"/>
        <color rgb="FF1F2A28"/>
        <rFont val="Arial"/>
        <family val="0"/>
        <charset val="1"/>
      </rPr>
      <t xml:space="preserve">876,880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</si>
  <si>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(04)23803092</t>
  </si>
  <si>
    <r>
      <rPr>
        <sz val="10"/>
        <color rgb="FF1F2A28"/>
        <rFont val="WenQuanYi Zen Hei"/>
        <family val="2"/>
      </rPr>
      <t xml:space="preserve">英語科</t>
    </r>
    <r>
      <rPr>
        <sz val="10"/>
        <color rgb="FF1F2A28"/>
        <rFont val="Arial"/>
        <family val="0"/>
        <charset val="1"/>
      </rPr>
      <t xml:space="preserve">A</t>
    </r>
    <r>
      <rPr>
        <sz val="10"/>
        <color rgb="FF1F2A28"/>
        <rFont val="WenQuanYi Zen Hei"/>
        <family val="2"/>
      </rPr>
      <t xml:space="preserve">、英語科</t>
    </r>
    <r>
      <rPr>
        <sz val="10"/>
        <color rgb="FF1F2A28"/>
        <rFont val="Arial"/>
        <family val="0"/>
        <charset val="1"/>
      </rPr>
      <t xml:space="preserve">B</t>
    </r>
    <r>
      <rPr>
        <sz val="10"/>
        <color rgb="FF1F2A28"/>
        <rFont val="WenQuanYi Zen Hei"/>
        <family val="2"/>
      </rPr>
      <t xml:space="preserve">、英語科</t>
    </r>
    <r>
      <rPr>
        <sz val="10"/>
        <color rgb="FF1F2A28"/>
        <rFont val="Arial"/>
        <family val="0"/>
        <charset val="1"/>
      </rPr>
      <t xml:space="preserve">C</t>
    </r>
    <r>
      <rPr>
        <sz val="10"/>
        <color rgb="FF1F2A28"/>
        <rFont val="WenQuanYi Zen Hei"/>
        <family val="2"/>
      </rPr>
      <t xml:space="preserve">、英語科</t>
    </r>
    <r>
      <rPr>
        <sz val="10"/>
        <color rgb="FF1F2A28"/>
        <rFont val="Arial"/>
        <family val="0"/>
        <charset val="1"/>
      </rPr>
      <t xml:space="preserve">D</t>
    </r>
    <r>
      <rPr>
        <sz val="10"/>
        <color rgb="FF1F2A28"/>
        <rFont val="WenQuanYi Zen Hei"/>
        <family val="2"/>
      </rPr>
      <t xml:space="preserve">、英語科</t>
    </r>
    <r>
      <rPr>
        <sz val="10"/>
        <color rgb="FF1F2A28"/>
        <rFont val="Arial"/>
        <family val="0"/>
        <charset val="1"/>
      </rPr>
      <t xml:space="preserve">E</t>
    </r>
    <r>
      <rPr>
        <sz val="10"/>
        <color rgb="FF1F2A28"/>
        <rFont val="WenQuanYi Zen Hei"/>
        <family val="2"/>
      </rPr>
      <t xml:space="preserve">、英語科</t>
    </r>
    <r>
      <rPr>
        <sz val="10"/>
        <color rgb="FF1F2A28"/>
        <rFont val="Arial"/>
        <family val="0"/>
        <charset val="1"/>
      </rPr>
      <t xml:space="preserve">F</t>
    </r>
  </si>
  <si>
    <t xml:space="preserve">2022-11-16</t>
  </si>
  <si>
    <t xml:space="preserve">臺中市私立維尼文理短期補習班</t>
  </si>
  <si>
    <r>
      <rPr>
        <sz val="10"/>
        <color rgb="FF1F2A28"/>
        <rFont val="WenQuanYi Zen Hei"/>
        <family val="2"/>
      </rPr>
      <t xml:space="preserve">臺中市大里區新南路</t>
    </r>
    <r>
      <rPr>
        <sz val="10"/>
        <color rgb="FF1F2A28"/>
        <rFont val="Arial"/>
        <family val="0"/>
        <charset val="1"/>
      </rPr>
      <t xml:space="preserve">211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213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</si>
  <si>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(04)24814212</t>
  </si>
  <si>
    <t xml:space="preserve">2005-01-21</t>
  </si>
  <si>
    <t xml:space="preserve">梁雅晴</t>
  </si>
  <si>
    <t xml:space="preserve">臺中市私立美幸美語會話短期補習班</t>
  </si>
  <si>
    <r>
      <rPr>
        <sz val="10"/>
        <color rgb="FF1F2A28"/>
        <rFont val="WenQuanYi Zen Hei"/>
        <family val="2"/>
      </rPr>
      <t xml:space="preserve">臺中市南屯區黎明東街</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</si>
  <si>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04-23805059</t>
  </si>
  <si>
    <t xml:space="preserve">giraffe43032@gmail.com</t>
  </si>
  <si>
    <t xml:space="preserve">2003-12-02</t>
  </si>
  <si>
    <t xml:space="preserve">盧陳美幸</t>
  </si>
  <si>
    <t xml:space="preserve">盧炳楠</t>
  </si>
  <si>
    <t xml:space="preserve">臺中市私立翰禧文理短期補習班</t>
  </si>
  <si>
    <r>
      <rPr>
        <sz val="10"/>
        <color rgb="FF1F2A28"/>
        <rFont val="WenQuanYi Zen Hei"/>
        <family val="2"/>
      </rPr>
      <t xml:space="preserve">臺中市大雅區民族街</t>
    </r>
    <r>
      <rPr>
        <sz val="10"/>
        <color rgb="FF1F2A28"/>
        <rFont val="Arial"/>
        <family val="0"/>
        <charset val="1"/>
      </rPr>
      <t xml:space="preserve">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</si>
  <si>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(04)25683381</t>
  </si>
  <si>
    <r>
      <rPr>
        <sz val="10"/>
        <color rgb="FF1F2A28"/>
        <rFont val="WenQuanYi Zen Hei"/>
        <family val="2"/>
      </rPr>
      <t xml:space="preserve">美語科</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t>
    </r>
    <r>
      <rPr>
        <sz val="10"/>
        <color rgb="FF1F2A28"/>
        <rFont val="Arial"/>
        <family val="0"/>
        <charset val="1"/>
      </rPr>
      <t xml:space="preserve">C</t>
    </r>
    <r>
      <rPr>
        <sz val="10"/>
        <color rgb="FF1F2A28"/>
        <rFont val="WenQuanYi Zen Hei"/>
        <family val="2"/>
      </rPr>
      <t xml:space="preserve">、英文科</t>
    </r>
  </si>
  <si>
    <t xml:space="preserve">2007-01-09</t>
  </si>
  <si>
    <t xml:space="preserve">陳秀怡</t>
  </si>
  <si>
    <t xml:space="preserve">陳坤佑</t>
  </si>
  <si>
    <t xml:space="preserve">臺中市私立聖彼得文理短期補習班</t>
  </si>
  <si>
    <r>
      <rPr>
        <sz val="10"/>
        <color rgb="FF1F2A28"/>
        <rFont val="WenQuanYi Zen Hei"/>
        <family val="2"/>
      </rPr>
      <t xml:space="preserve">臺中市清水區信義一街</t>
    </r>
    <r>
      <rPr>
        <sz val="10"/>
        <color rgb="FF1F2A28"/>
        <rFont val="Arial"/>
        <family val="0"/>
        <charset val="1"/>
      </rPr>
      <t xml:space="preserve">232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</si>
  <si>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26579658</t>
  </si>
  <si>
    <t xml:space="preserve">v_0511@yahoo.com.tw</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</si>
  <si>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、美語</t>
    </r>
    <r>
      <rPr>
        <sz val="10"/>
        <color rgb="FF1F2A28"/>
        <rFont val="Arial"/>
        <family val="0"/>
        <charset val="1"/>
      </rPr>
      <t xml:space="preserve">B</t>
    </r>
  </si>
  <si>
    <t xml:space="preserve">2001-01-12</t>
  </si>
  <si>
    <t xml:space="preserve">張毅</t>
  </si>
  <si>
    <t xml:space="preserve">臺中市私立聖玉得語文短期補習班</t>
  </si>
  <si>
    <r>
      <rPr>
        <sz val="10"/>
        <color rgb="FF1F2A28"/>
        <rFont val="WenQuanYi Zen Hei"/>
        <family val="2"/>
      </rPr>
      <t xml:space="preserve">臺中市梧棲區文心街</t>
    </r>
    <r>
      <rPr>
        <sz val="10"/>
        <color rgb="FF1F2A28"/>
        <rFont val="Arial"/>
        <family val="0"/>
        <charset val="1"/>
      </rPr>
      <t xml:space="preserve">174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</si>
  <si>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(04)26582258</t>
  </si>
  <si>
    <t xml:space="preserve">a0932674771@gmail.com</t>
  </si>
  <si>
    <t xml:space="preserve">黃庭蕙</t>
  </si>
  <si>
    <t xml:space="preserve">臺中市私立聖英英語短期補習班</t>
  </si>
  <si>
    <r>
      <rPr>
        <sz val="10"/>
        <color rgb="FF1F2A28"/>
        <rFont val="WenQuanYi Zen Hei"/>
        <family val="2"/>
      </rPr>
      <t xml:space="preserve">臺中市龍井區中沙路新庄仔巷</t>
    </r>
    <r>
      <rPr>
        <sz val="10"/>
        <color rgb="FF1F2A28"/>
        <rFont val="Arial"/>
        <family val="0"/>
        <charset val="1"/>
      </rPr>
      <t xml:space="preserve">1</t>
    </r>
    <r>
      <rPr>
        <sz val="10"/>
        <color rgb="FF1F2A28"/>
        <rFont val="WenQuanYi Zen Hei"/>
        <family val="2"/>
      </rPr>
      <t xml:space="preserve">之</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</si>
  <si>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(04)26529138</t>
  </si>
  <si>
    <r>
      <rPr>
        <sz val="10"/>
        <color rgb="FF1F2A28"/>
        <rFont val="WenQuanYi Zen Hei"/>
        <family val="2"/>
      </rPr>
      <t xml:space="preserve">英語</t>
    </r>
    <r>
      <rPr>
        <sz val="10"/>
        <color rgb="FF1F2A28"/>
        <rFont val="Arial"/>
        <family val="0"/>
        <charset val="1"/>
      </rPr>
      <t xml:space="preserve">A</t>
    </r>
    <r>
      <rPr>
        <sz val="10"/>
        <color rgb="FF1F2A28"/>
        <rFont val="WenQuanYi Zen Hei"/>
        <family val="2"/>
      </rPr>
      <t xml:space="preserve">科、英語</t>
    </r>
    <r>
      <rPr>
        <sz val="10"/>
        <color rgb="FF1F2A28"/>
        <rFont val="Arial"/>
        <family val="0"/>
        <charset val="1"/>
      </rPr>
      <t xml:space="preserve">B</t>
    </r>
    <r>
      <rPr>
        <sz val="10"/>
        <color rgb="FF1F2A28"/>
        <rFont val="WenQuanYi Zen Hei"/>
        <family val="2"/>
      </rPr>
      <t xml:space="preserve">科</t>
    </r>
  </si>
  <si>
    <t xml:space="preserve">2005-05-04</t>
  </si>
  <si>
    <t xml:space="preserve">江選信</t>
  </si>
  <si>
    <t xml:space="preserve">曾莉雯</t>
  </si>
  <si>
    <t xml:space="preserve">臺中市私立育優文理短期補習班</t>
  </si>
  <si>
    <r>
      <rPr>
        <sz val="10"/>
        <color rgb="FF1F2A28"/>
        <rFont val="WenQuanYi Zen Hei"/>
        <family val="2"/>
      </rPr>
      <t xml:space="preserve">臺中市太平區立功路</t>
    </r>
    <r>
      <rPr>
        <sz val="10"/>
        <color rgb="FF1F2A28"/>
        <rFont val="Arial"/>
        <family val="0"/>
        <charset val="1"/>
      </rPr>
      <t xml:space="preserve">208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</si>
  <si>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t>
  </si>
  <si>
    <t xml:space="preserve">amcnl2025@gmail.com</t>
  </si>
  <si>
    <r>
      <rPr>
        <sz val="10"/>
        <color rgb="FF1F2A28"/>
        <rFont val="WenQuanYi Zen Hei"/>
        <family val="2"/>
      </rPr>
      <t xml:space="preserve">英語科</t>
    </r>
    <r>
      <rPr>
        <sz val="10"/>
        <color rgb="FF1F2A28"/>
        <rFont val="Arial"/>
        <family val="0"/>
        <charset val="1"/>
      </rPr>
      <t xml:space="preserve">B</t>
    </r>
    <r>
      <rPr>
        <sz val="10"/>
        <color rgb="FF1F2A28"/>
        <rFont val="WenQuanYi Zen Hei"/>
        <family val="2"/>
      </rPr>
      <t xml:space="preserve">班、英語科</t>
    </r>
    <r>
      <rPr>
        <sz val="10"/>
        <color rgb="FF1F2A28"/>
        <rFont val="Arial"/>
        <family val="0"/>
        <charset val="1"/>
      </rPr>
      <t xml:space="preserve">A</t>
    </r>
    <r>
      <rPr>
        <sz val="10"/>
        <color rgb="FF1F2A28"/>
        <rFont val="WenQuanYi Zen Hei"/>
        <family val="2"/>
      </rPr>
      <t xml:space="preserve">班</t>
    </r>
  </si>
  <si>
    <t xml:space="preserve">2025-11-21</t>
  </si>
  <si>
    <t xml:space="preserve">邱芷薐</t>
  </si>
  <si>
    <t xml:space="preserve">余宗賢</t>
  </si>
  <si>
    <t xml:space="preserve">臺中市私立育碩美語短期補習班</t>
  </si>
  <si>
    <r>
      <rPr>
        <sz val="10"/>
        <color rgb="FF1F2A28"/>
        <rFont val="WenQuanYi Zen Hei"/>
        <family val="2"/>
      </rPr>
      <t xml:space="preserve">臺中市西屯區福雅路</t>
    </r>
    <r>
      <rPr>
        <sz val="10"/>
        <color rgb="FF1F2A28"/>
        <rFont val="Arial"/>
        <family val="0"/>
        <charset val="1"/>
      </rPr>
      <t xml:space="preserve">128</t>
    </r>
    <r>
      <rPr>
        <sz val="10"/>
        <color rgb="FF1F2A28"/>
        <rFont val="WenQuanYi Zen Hei"/>
        <family val="2"/>
      </rPr>
      <t xml:space="preserve">巷</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</si>
  <si>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(04)24621289</t>
  </si>
  <si>
    <t xml:space="preserve">taichungspl.tc@eagletw.com</t>
  </si>
  <si>
    <r>
      <rPr>
        <sz val="10"/>
        <color rgb="FF1F2A28"/>
        <rFont val="WenQuanYi Zen Hei"/>
        <family val="2"/>
      </rPr>
      <t xml:space="preserve">美語</t>
    </r>
    <r>
      <rPr>
        <sz val="10"/>
        <color rgb="FF1F2A28"/>
        <rFont val="Arial"/>
        <family val="0"/>
        <charset val="1"/>
      </rPr>
      <t xml:space="preserve">19.53</t>
    </r>
    <r>
      <rPr>
        <sz val="10"/>
        <color rgb="FF1F2A28"/>
        <rFont val="WenQuanYi Zen Hei"/>
        <family val="2"/>
      </rPr>
      <t xml:space="preserve">、美語</t>
    </r>
    <r>
      <rPr>
        <sz val="10"/>
        <color rgb="FF1F2A28"/>
        <rFont val="Arial"/>
        <family val="0"/>
        <charset val="1"/>
      </rPr>
      <t xml:space="preserve">23.40</t>
    </r>
    <r>
      <rPr>
        <sz val="10"/>
        <color rgb="FF1F2A28"/>
        <rFont val="WenQuanYi Zen Hei"/>
        <family val="2"/>
      </rPr>
      <t xml:space="preserve">、美語</t>
    </r>
    <r>
      <rPr>
        <sz val="10"/>
        <color rgb="FF1F2A28"/>
        <rFont val="Arial"/>
        <family val="0"/>
        <charset val="1"/>
      </rPr>
      <t xml:space="preserve">25.05</t>
    </r>
    <r>
      <rPr>
        <sz val="10"/>
        <color rgb="FF1F2A28"/>
        <rFont val="WenQuanYi Zen Hei"/>
        <family val="2"/>
      </rPr>
      <t xml:space="preserve">、美語</t>
    </r>
    <r>
      <rPr>
        <sz val="10"/>
        <color rgb="FF1F2A28"/>
        <rFont val="Arial"/>
        <family val="0"/>
        <charset val="1"/>
      </rPr>
      <t xml:space="preserve">29.51</t>
    </r>
    <r>
      <rPr>
        <sz val="10"/>
        <color rgb="FF1F2A28"/>
        <rFont val="WenQuanYi Zen Hei"/>
        <family val="2"/>
      </rPr>
      <t xml:space="preserve">、美語</t>
    </r>
    <r>
      <rPr>
        <sz val="10"/>
        <color rgb="FF1F2A28"/>
        <rFont val="Arial"/>
        <family val="0"/>
        <charset val="1"/>
      </rPr>
      <t xml:space="preserve">29.89</t>
    </r>
    <r>
      <rPr>
        <sz val="10"/>
        <color rgb="FF1F2A28"/>
        <rFont val="WenQuanYi Zen Hei"/>
        <family val="2"/>
      </rPr>
      <t xml:space="preserve">、美語</t>
    </r>
    <r>
      <rPr>
        <sz val="10"/>
        <color rgb="FF1F2A28"/>
        <rFont val="Arial"/>
        <family val="0"/>
        <charset val="1"/>
      </rPr>
      <t xml:space="preserve">28.27</t>
    </r>
  </si>
  <si>
    <t xml:space="preserve">賴萩穗</t>
  </si>
  <si>
    <t xml:space="preserve">臺中市私立育群美語會話短期補習班</t>
  </si>
  <si>
    <r>
      <rPr>
        <sz val="10"/>
        <color rgb="FF1F2A28"/>
        <rFont val="WenQuanYi Zen Hei"/>
        <family val="2"/>
      </rPr>
      <t xml:space="preserve">臺中市西屯區福科路</t>
    </r>
    <r>
      <rPr>
        <sz val="10"/>
        <color rgb="FF1F2A28"/>
        <rFont val="Arial"/>
        <family val="0"/>
        <charset val="1"/>
      </rPr>
      <t xml:space="preserve">467</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</si>
  <si>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04-24636677</t>
  </si>
  <si>
    <t xml:space="preserve">jonghung@mail2000.com.tw</t>
  </si>
  <si>
    <t xml:space="preserve">洪忠楨</t>
  </si>
  <si>
    <t xml:space="preserve">臺中市私立育軒美術美語短期補習班</t>
  </si>
  <si>
    <r>
      <rPr>
        <sz val="10"/>
        <color rgb="FF1F2A28"/>
        <rFont val="WenQuanYi Zen Hei"/>
        <family val="2"/>
      </rPr>
      <t xml:space="preserve">臺中市霧峰區振興東街</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</si>
  <si>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3305580</t>
  </si>
  <si>
    <t xml:space="preserve">1998-05-12</t>
  </si>
  <si>
    <t xml:space="preserve">鄭良育</t>
  </si>
  <si>
    <t xml:space="preserve">陳鳳蘭</t>
  </si>
  <si>
    <t xml:space="preserve">臺中市私立艾力克美語短期補習班</t>
  </si>
  <si>
    <r>
      <rPr>
        <sz val="10"/>
        <color rgb="FF1F2A28"/>
        <rFont val="WenQuanYi Zen Hei"/>
        <family val="2"/>
      </rPr>
      <t xml:space="preserve">臺中市后里區文化路</t>
    </r>
    <r>
      <rPr>
        <sz val="10"/>
        <color rgb="FF1F2A28"/>
        <rFont val="Arial"/>
        <family val="0"/>
        <charset val="1"/>
      </rPr>
      <t xml:space="preserve">47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</si>
  <si>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04-25584058</t>
  </si>
  <si>
    <t xml:space="preserve">hueymin888@yahoo.com.tw</t>
  </si>
  <si>
    <t xml:space="preserve">2000-05-22</t>
  </si>
  <si>
    <t xml:space="preserve">王惠民</t>
  </si>
  <si>
    <t xml:space="preserve">臺中市私立艾諾英語會話短期補習班</t>
  </si>
  <si>
    <r>
      <rPr>
        <sz val="10"/>
        <color rgb="FF1F2A28"/>
        <rFont val="WenQuanYi Zen Hei"/>
        <family val="2"/>
      </rPr>
      <t xml:space="preserve">臺中市豐原區瑞興路</t>
    </r>
    <r>
      <rPr>
        <sz val="10"/>
        <color rgb="FF1F2A28"/>
        <rFont val="Arial"/>
        <family val="0"/>
        <charset val="1"/>
      </rPr>
      <t xml:space="preserve">14</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</si>
  <si>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(04)2522-6012</t>
  </si>
  <si>
    <t xml:space="preserve">emeraldfengyuan@gmail.com</t>
  </si>
  <si>
    <t xml:space="preserve">英語會會話、英語會話</t>
  </si>
  <si>
    <t xml:space="preserve">2008-03-04</t>
  </si>
  <si>
    <t xml:space="preserve">俸清盈</t>
  </si>
  <si>
    <t xml:space="preserve">臺中市私立芬貝爾音樂英文短期補習班</t>
  </si>
  <si>
    <r>
      <rPr>
        <sz val="10"/>
        <color rgb="FF1F2A28"/>
        <rFont val="WenQuanYi Zen Hei"/>
        <family val="2"/>
      </rPr>
      <t xml:space="preserve">臺中市西屯區漢口路二段</t>
    </r>
    <r>
      <rPr>
        <sz val="10"/>
        <color rgb="FF1F2A28"/>
        <rFont val="Arial"/>
        <family val="0"/>
        <charset val="1"/>
      </rPr>
      <t xml:space="preserve">123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</si>
  <si>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(04)22990550</t>
  </si>
  <si>
    <t xml:space="preserve">2012-08-14</t>
  </si>
  <si>
    <t xml:space="preserve">朱慧真</t>
  </si>
  <si>
    <t xml:space="preserve">臺中市私立芸笙音樂美語短期補習班</t>
  </si>
  <si>
    <r>
      <rPr>
        <sz val="10"/>
        <color rgb="FF1F2A28"/>
        <rFont val="WenQuanYi Zen Hei"/>
        <family val="2"/>
      </rPr>
      <t xml:space="preserve">臺中市潭子區勝利</t>
    </r>
    <r>
      <rPr>
        <sz val="10"/>
        <color rgb="FF1F2A28"/>
        <rFont val="Arial"/>
        <family val="0"/>
        <charset val="1"/>
      </rPr>
      <t xml:space="preserve">12</t>
    </r>
    <r>
      <rPr>
        <sz val="10"/>
        <color rgb="FF1F2A28"/>
        <rFont val="WenQuanYi Zen Hei"/>
        <family val="2"/>
      </rPr>
      <t xml:space="preserve">街</t>
    </r>
    <r>
      <rPr>
        <sz val="10"/>
        <color rgb="FF1F2A28"/>
        <rFont val="Arial"/>
        <family val="0"/>
        <charset val="1"/>
      </rPr>
      <t xml:space="preserve">43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</si>
  <si>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(04)25351363</t>
  </si>
  <si>
    <t xml:space="preserve">yunsen@seed.net.tw</t>
  </si>
  <si>
    <t xml:space="preserve">2004-04-13</t>
  </si>
  <si>
    <t xml:space="preserve">陳益通</t>
  </si>
  <si>
    <t xml:space="preserve">高薇紋</t>
  </si>
  <si>
    <t xml:space="preserve">臺中市私立英博文理短期補習班</t>
  </si>
  <si>
    <r>
      <rPr>
        <sz val="10"/>
        <color rgb="FF1F2A28"/>
        <rFont val="WenQuanYi Zen Hei"/>
        <family val="2"/>
      </rPr>
      <t xml:space="preserve">臺中市南屯區大墩南路</t>
    </r>
    <r>
      <rPr>
        <sz val="10"/>
        <color rgb="FF1F2A28"/>
        <rFont val="Arial"/>
        <family val="0"/>
        <charset val="1"/>
      </rPr>
      <t xml:space="preserve">412-1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臺中市南屯區大墩南路</t>
    </r>
    <r>
      <rPr>
        <sz val="10"/>
        <color rgb="FF1F2A28"/>
        <rFont val="Arial"/>
        <family val="0"/>
        <charset val="1"/>
      </rPr>
      <t xml:space="preserve">408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</si>
  <si>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(04)24726068</t>
  </si>
  <si>
    <t xml:space="preserve">shanetc2@gmail.com</t>
  </si>
  <si>
    <r>
      <rPr>
        <sz val="10"/>
        <color rgb="FF1F2A28"/>
        <rFont val="WenQuanYi Zen Hei"/>
        <family val="2"/>
      </rPr>
      <t xml:space="preserve">英語</t>
    </r>
    <r>
      <rPr>
        <sz val="10"/>
        <color rgb="FF1F2A28"/>
        <rFont val="Arial"/>
        <family val="0"/>
        <charset val="1"/>
      </rPr>
      <t xml:space="preserve">1</t>
    </r>
    <r>
      <rPr>
        <sz val="10"/>
        <color rgb="FF1F2A28"/>
        <rFont val="WenQuanYi Zen Hei"/>
        <family val="2"/>
      </rPr>
      <t xml:space="preserve">、英語</t>
    </r>
    <r>
      <rPr>
        <sz val="10"/>
        <color rgb="FF1F2A28"/>
        <rFont val="Arial"/>
        <family val="0"/>
        <charset val="1"/>
      </rPr>
      <t xml:space="preserve">4</t>
    </r>
    <r>
      <rPr>
        <sz val="10"/>
        <color rgb="FF1F2A28"/>
        <rFont val="WenQuanYi Zen Hei"/>
        <family val="2"/>
      </rPr>
      <t xml:space="preserve">、英語</t>
    </r>
    <r>
      <rPr>
        <sz val="10"/>
        <color rgb="FF1F2A28"/>
        <rFont val="Arial"/>
        <family val="0"/>
        <charset val="1"/>
      </rPr>
      <t xml:space="preserve">5</t>
    </r>
    <r>
      <rPr>
        <sz val="10"/>
        <color rgb="FF1F2A28"/>
        <rFont val="WenQuanYi Zen Hei"/>
        <family val="2"/>
      </rPr>
      <t xml:space="preserve">、英語</t>
    </r>
    <r>
      <rPr>
        <sz val="10"/>
        <color rgb="FF1F2A28"/>
        <rFont val="Arial"/>
        <family val="0"/>
        <charset val="1"/>
      </rPr>
      <t xml:space="preserve">8</t>
    </r>
    <r>
      <rPr>
        <sz val="10"/>
        <color rgb="FF1F2A28"/>
        <rFont val="WenQuanYi Zen Hei"/>
        <family val="2"/>
      </rPr>
      <t xml:space="preserve">、英語</t>
    </r>
    <r>
      <rPr>
        <sz val="10"/>
        <color rgb="FF1F2A28"/>
        <rFont val="Arial"/>
        <family val="0"/>
        <charset val="1"/>
      </rPr>
      <t xml:space="preserve">9</t>
    </r>
    <r>
      <rPr>
        <sz val="10"/>
        <color rgb="FF1F2A28"/>
        <rFont val="WenQuanYi Zen Hei"/>
        <family val="2"/>
      </rPr>
      <t xml:space="preserve">、英語</t>
    </r>
    <r>
      <rPr>
        <sz val="10"/>
        <color rgb="FF1F2A28"/>
        <rFont val="Arial"/>
        <family val="0"/>
        <charset val="1"/>
      </rPr>
      <t xml:space="preserve">10</t>
    </r>
    <r>
      <rPr>
        <sz val="10"/>
        <color rgb="FF1F2A28"/>
        <rFont val="WenQuanYi Zen Hei"/>
        <family val="2"/>
      </rPr>
      <t xml:space="preserve">、英語</t>
    </r>
    <r>
      <rPr>
        <sz val="10"/>
        <color rgb="FF1F2A28"/>
        <rFont val="Arial"/>
        <family val="0"/>
        <charset val="1"/>
      </rPr>
      <t xml:space="preserve">2</t>
    </r>
    <r>
      <rPr>
        <sz val="10"/>
        <color rgb="FF1F2A28"/>
        <rFont val="WenQuanYi Zen Hei"/>
        <family val="2"/>
      </rPr>
      <t xml:space="preserve">、英語</t>
    </r>
    <r>
      <rPr>
        <sz val="10"/>
        <color rgb="FF1F2A28"/>
        <rFont val="Arial"/>
        <family val="0"/>
        <charset val="1"/>
      </rPr>
      <t xml:space="preserve">3</t>
    </r>
    <r>
      <rPr>
        <sz val="10"/>
        <color rgb="FF1F2A28"/>
        <rFont val="WenQuanYi Zen Hei"/>
        <family val="2"/>
      </rPr>
      <t xml:space="preserve">、英語</t>
    </r>
    <r>
      <rPr>
        <sz val="10"/>
        <color rgb="FF1F2A28"/>
        <rFont val="Arial"/>
        <family val="0"/>
        <charset val="1"/>
      </rPr>
      <t xml:space="preserve">6</t>
    </r>
    <r>
      <rPr>
        <sz val="10"/>
        <color rgb="FF1F2A28"/>
        <rFont val="WenQuanYi Zen Hei"/>
        <family val="2"/>
      </rPr>
      <t xml:space="preserve">、英語</t>
    </r>
    <r>
      <rPr>
        <sz val="10"/>
        <color rgb="FF1F2A28"/>
        <rFont val="Arial"/>
        <family val="0"/>
        <charset val="1"/>
      </rPr>
      <t xml:space="preserve">7</t>
    </r>
  </si>
  <si>
    <t xml:space="preserve">2012-05-30</t>
  </si>
  <si>
    <t xml:space="preserve">李玉珍</t>
  </si>
  <si>
    <t xml:space="preserve">臺中市私立英籟英語短期補習班</t>
  </si>
  <si>
    <r>
      <rPr>
        <sz val="10"/>
        <color rgb="FF1F2A28"/>
        <rFont val="WenQuanYi Zen Hei"/>
        <family val="2"/>
      </rPr>
      <t xml:space="preserve">臺中市太平區新興路</t>
    </r>
    <r>
      <rPr>
        <sz val="10"/>
        <color rgb="FF1F2A28"/>
        <rFont val="Arial"/>
        <family val="0"/>
        <charset val="1"/>
      </rPr>
      <t xml:space="preserve">207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</si>
  <si>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verali33@gmail.com</t>
  </si>
  <si>
    <r>
      <rPr>
        <sz val="10"/>
        <color rgb="FF1F2A28"/>
        <rFont val="WenQuanYi Zen Hei"/>
        <family val="2"/>
      </rPr>
      <t xml:space="preserve">英語</t>
    </r>
    <r>
      <rPr>
        <sz val="10"/>
        <color rgb="FF1F2A28"/>
        <rFont val="Arial"/>
        <family val="0"/>
        <charset val="1"/>
      </rPr>
      <t xml:space="preserve">A</t>
    </r>
    <r>
      <rPr>
        <sz val="10"/>
        <color rgb="FF1F2A28"/>
        <rFont val="WenQuanYi Zen Hei"/>
        <family val="2"/>
      </rPr>
      <t xml:space="preserve">、英語</t>
    </r>
    <r>
      <rPr>
        <sz val="10"/>
        <color rgb="FF1F2A28"/>
        <rFont val="Arial"/>
        <family val="0"/>
        <charset val="1"/>
      </rPr>
      <t xml:space="preserve">B</t>
    </r>
    <r>
      <rPr>
        <sz val="10"/>
        <color rgb="FF1F2A28"/>
        <rFont val="WenQuanYi Zen Hei"/>
        <family val="2"/>
      </rPr>
      <t xml:space="preserve">、英語</t>
    </r>
    <r>
      <rPr>
        <sz val="10"/>
        <color rgb="FF1F2A28"/>
        <rFont val="Arial"/>
        <family val="0"/>
        <charset val="1"/>
      </rPr>
      <t xml:space="preserve">C</t>
    </r>
    <r>
      <rPr>
        <sz val="10"/>
        <color rgb="FF1F2A28"/>
        <rFont val="WenQuanYi Zen Hei"/>
        <family val="2"/>
      </rPr>
      <t xml:space="preserve">、英語</t>
    </r>
    <r>
      <rPr>
        <sz val="10"/>
        <color rgb="FF1F2A28"/>
        <rFont val="Arial"/>
        <family val="0"/>
        <charset val="1"/>
      </rPr>
      <t xml:space="preserve">D</t>
    </r>
    <r>
      <rPr>
        <sz val="10"/>
        <color rgb="FF1F2A28"/>
        <rFont val="WenQuanYi Zen Hei"/>
        <family val="2"/>
      </rPr>
      <t xml:space="preserve">、英語</t>
    </r>
    <r>
      <rPr>
        <sz val="10"/>
        <color rgb="FF1F2A28"/>
        <rFont val="Arial"/>
        <family val="0"/>
        <charset val="1"/>
      </rPr>
      <t xml:space="preserve">E</t>
    </r>
  </si>
  <si>
    <t xml:space="preserve">2023-09-07</t>
  </si>
  <si>
    <t xml:space="preserve">李燕鈴</t>
  </si>
  <si>
    <t xml:space="preserve">臺中市私立茱莉亞美語短期補習班</t>
  </si>
  <si>
    <r>
      <rPr>
        <sz val="10"/>
        <color rgb="FF1F2A28"/>
        <rFont val="WenQuanYi Zen Hei"/>
        <family val="2"/>
      </rPr>
      <t xml:space="preserve">臺中市清水區紫雲街</t>
    </r>
    <r>
      <rPr>
        <sz val="10"/>
        <color rgb="FF1F2A28"/>
        <rFont val="Arial"/>
        <family val="0"/>
        <charset val="1"/>
      </rPr>
      <t xml:space="preserve">115</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</si>
  <si>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(04)26222439</t>
  </si>
  <si>
    <t xml:space="preserve">ivy831228@gmail.com</t>
  </si>
  <si>
    <t xml:space="preserve">2005-04-12</t>
  </si>
  <si>
    <t xml:space="preserve">蔡繼和</t>
  </si>
  <si>
    <t xml:space="preserve">吳茱麗</t>
  </si>
  <si>
    <t xml:space="preserve">臺中市私立華勝頓崇德美語會話短期補習班</t>
  </si>
  <si>
    <r>
      <rPr>
        <sz val="10"/>
        <color rgb="FF1F2A28"/>
        <rFont val="WenQuanYi Zen Hei"/>
        <family val="2"/>
      </rPr>
      <t xml:space="preserve">臺中市北屯區安順東五街</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</si>
  <si>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(04)22411505</t>
  </si>
  <si>
    <t xml:space="preserve">2023-11-16</t>
  </si>
  <si>
    <t xml:space="preserve">羅琦</t>
  </si>
  <si>
    <t xml:space="preserve">臺中市私立華園文理短期補習班</t>
  </si>
  <si>
    <r>
      <rPr>
        <sz val="10"/>
        <color rgb="FF1F2A28"/>
        <rFont val="WenQuanYi Zen Hei"/>
        <family val="2"/>
      </rPr>
      <t xml:space="preserve">臺中市霧峰區樹仁路</t>
    </r>
    <r>
      <rPr>
        <sz val="10"/>
        <color rgb="FF1F2A28"/>
        <rFont val="Arial"/>
        <family val="0"/>
        <charset val="1"/>
      </rPr>
      <t xml:space="preserve">225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</si>
  <si>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23307561</t>
  </si>
  <si>
    <t xml:space="preserve">1999-09-16</t>
  </si>
  <si>
    <t xml:space="preserve">柯明華</t>
  </si>
  <si>
    <t xml:space="preserve">臺中市私立華爾頓美語會話短期補習班</t>
  </si>
  <si>
    <r>
      <rPr>
        <sz val="10"/>
        <color rgb="FF1F2A28"/>
        <rFont val="WenQuanYi Zen Hei"/>
        <family val="2"/>
      </rPr>
      <t xml:space="preserve">臺中市南屯區益豐路四段</t>
    </r>
    <r>
      <rPr>
        <sz val="10"/>
        <color rgb="FF1F2A28"/>
        <rFont val="Arial"/>
        <family val="0"/>
        <charset val="1"/>
      </rPr>
      <t xml:space="preserve">367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</si>
  <si>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(04)23898562</t>
  </si>
  <si>
    <t xml:space="preserve">yvonne7302@gmail.com</t>
  </si>
  <si>
    <t xml:space="preserve">2014-08-01</t>
  </si>
  <si>
    <t xml:space="preserve">羅皓</t>
  </si>
  <si>
    <t xml:space="preserve">陳詠喆</t>
  </si>
  <si>
    <t xml:space="preserve">臺中市私立華盛頓國民小學附設臺中市私立華爾登美語會話短期補習班</t>
  </si>
  <si>
    <r>
      <rPr>
        <sz val="10"/>
        <color rgb="FF1F2A28"/>
        <rFont val="WenQuanYi Zen Hei"/>
        <family val="2"/>
      </rPr>
      <t xml:space="preserve">臺中市潭子區潭興路一段</t>
    </r>
    <r>
      <rPr>
        <sz val="10"/>
        <color rgb="FF1F2A28"/>
        <rFont val="Arial"/>
        <family val="0"/>
        <charset val="1"/>
      </rPr>
      <t xml:space="preserve">165</t>
    </r>
    <r>
      <rPr>
        <sz val="10"/>
        <color rgb="FF1F2A28"/>
        <rFont val="WenQuanYi Zen Hei"/>
        <family val="2"/>
      </rPr>
      <t xml:space="preserve">巷</t>
    </r>
    <r>
      <rPr>
        <sz val="10"/>
        <color rgb="FF1F2A28"/>
        <rFont val="Arial"/>
        <family val="0"/>
        <charset val="1"/>
      </rPr>
      <t xml:space="preserve">300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</si>
  <si>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(04)25393299</t>
  </si>
  <si>
    <t xml:space="preserve">yuki0317@wes.tc.edu.tw</t>
  </si>
  <si>
    <t xml:space="preserve">臺中市私立華盛頓國民小學、負責人：羅文貴</t>
  </si>
  <si>
    <t xml:space="preserve">臺中市私立華聖頓麗園美語會話短期補習班</t>
  </si>
  <si>
    <r>
      <rPr>
        <sz val="10"/>
        <color rgb="FF1F2A28"/>
        <rFont val="WenQuanYi Zen Hei"/>
        <family val="2"/>
      </rPr>
      <t xml:space="preserve">臺中市北屯區文昌三街</t>
    </r>
    <r>
      <rPr>
        <sz val="10"/>
        <color rgb="FF1F2A28"/>
        <rFont val="Arial"/>
        <family val="0"/>
        <charset val="1"/>
      </rPr>
      <t xml:space="preserve">68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</si>
  <si>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(04)22337768</t>
  </si>
  <si>
    <t xml:space="preserve">sandyhou123088@gmail.com</t>
  </si>
  <si>
    <t xml:space="preserve">2016-01-21</t>
  </si>
  <si>
    <t xml:space="preserve">臺中市私立華韻音樂美語短期補習班</t>
  </si>
  <si>
    <r>
      <rPr>
        <sz val="10"/>
        <color rgb="FF1F2A28"/>
        <rFont val="WenQuanYi Zen Hei"/>
        <family val="2"/>
      </rPr>
      <t xml:space="preserve">臺中市北屯區軍福</t>
    </r>
    <r>
      <rPr>
        <sz val="10"/>
        <color rgb="FF1F2A28"/>
        <rFont val="Arial"/>
        <family val="0"/>
        <charset val="1"/>
      </rPr>
      <t xml:space="preserve">16</t>
    </r>
    <r>
      <rPr>
        <sz val="10"/>
        <color rgb="FF1F2A28"/>
        <rFont val="WenQuanYi Zen Hei"/>
        <family val="2"/>
      </rPr>
      <t xml:space="preserve">路</t>
    </r>
    <r>
      <rPr>
        <sz val="10"/>
        <color rgb="FF1F2A28"/>
        <rFont val="Arial"/>
        <family val="0"/>
        <charset val="1"/>
      </rPr>
      <t xml:space="preserve">360-2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</si>
  <si>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(04)2437-2227</t>
  </si>
  <si>
    <t xml:space="preserve">2011-06-29</t>
  </si>
  <si>
    <t xml:space="preserve">賴國裕</t>
  </si>
  <si>
    <t xml:space="preserve">李惠華</t>
  </si>
  <si>
    <t xml:space="preserve">臺中市私立葛瑞思文理短期補習班</t>
  </si>
  <si>
    <r>
      <rPr>
        <sz val="10"/>
        <color rgb="FF1F2A28"/>
        <rFont val="WenQuanYi Zen Hei"/>
        <family val="2"/>
      </rPr>
      <t xml:space="preserve">臺中市豐原區同安街</t>
    </r>
    <r>
      <rPr>
        <sz val="10"/>
        <color rgb="FF1F2A28"/>
        <rFont val="Arial"/>
        <family val="0"/>
        <charset val="1"/>
      </rPr>
      <t xml:space="preserve">72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</si>
  <si>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(04)25201177</t>
  </si>
  <si>
    <t xml:space="preserve">street25281234@gmail.com</t>
  </si>
  <si>
    <t xml:space="preserve">周廷亭</t>
  </si>
  <si>
    <t xml:space="preserve">侯天麟</t>
  </si>
  <si>
    <t xml:space="preserve">臺中市私立葵恩英語短期補習班</t>
  </si>
  <si>
    <r>
      <rPr>
        <sz val="10"/>
        <color rgb="FF1F2A28"/>
        <rFont val="WenQuanYi Zen Hei"/>
        <family val="2"/>
      </rPr>
      <t xml:space="preserve">臺中市東勢區忠孝街</t>
    </r>
    <r>
      <rPr>
        <sz val="10"/>
        <color rgb="FF1F2A28"/>
        <rFont val="Arial"/>
        <family val="0"/>
        <charset val="1"/>
      </rPr>
      <t xml:space="preserve">13</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1-2 </t>
    </r>
    <r>
      <rPr>
        <sz val="10"/>
        <color rgb="FF1F2A28"/>
        <rFont val="WenQuanYi Zen Hei"/>
        <family val="2"/>
      </rPr>
      <t xml:space="preserve">樓</t>
    </r>
  </si>
  <si>
    <t xml:space="preserve">(04)25881438</t>
  </si>
  <si>
    <t xml:space="preserve">hsu.natalie1@gmail.com</t>
  </si>
  <si>
    <t xml:space="preserve">2002-08-29</t>
  </si>
  <si>
    <t xml:space="preserve">許韶園</t>
  </si>
  <si>
    <t xml:space="preserve">臺中市私立蕎可美語短期補習班</t>
  </si>
  <si>
    <r>
      <rPr>
        <sz val="10"/>
        <color rgb="FF1F2A28"/>
        <rFont val="WenQuanYi Zen Hei"/>
        <family val="2"/>
      </rPr>
      <t xml:space="preserve">臺中市潭子區大豐路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</si>
  <si>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(04)25357000</t>
  </si>
  <si>
    <t xml:space="preserve">harold.lu1031@gmail.com</t>
  </si>
  <si>
    <t xml:space="preserve">2009-11-10</t>
  </si>
  <si>
    <t xml:space="preserve">張莉淳</t>
  </si>
  <si>
    <t xml:space="preserve">臺中市私立薇薇文理短期補習班</t>
  </si>
  <si>
    <r>
      <rPr>
        <sz val="10"/>
        <color rgb="FF1F2A28"/>
        <rFont val="WenQuanYi Zen Hei"/>
        <family val="2"/>
      </rPr>
      <t xml:space="preserve">臺中市西屯區寧夏路</t>
    </r>
    <r>
      <rPr>
        <sz val="10"/>
        <color rgb="FF1F2A28"/>
        <rFont val="Arial"/>
        <family val="0"/>
        <charset val="1"/>
      </rPr>
      <t xml:space="preserve">223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</si>
  <si>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(04)23170050</t>
  </si>
  <si>
    <t xml:space="preserve">Ng49luLR4x@gmail.com</t>
  </si>
  <si>
    <r>
      <rPr>
        <sz val="10"/>
        <color rgb="FF1F2A28"/>
        <rFont val="WenQuanYi Zen Hei"/>
        <family val="2"/>
      </rPr>
      <t xml:space="preserve">英語科</t>
    </r>
    <r>
      <rPr>
        <sz val="10"/>
        <color rgb="FF1F2A28"/>
        <rFont val="Arial"/>
        <family val="0"/>
        <charset val="1"/>
      </rPr>
      <t xml:space="preserve">B</t>
    </r>
    <r>
      <rPr>
        <sz val="10"/>
        <color rgb="FF1F2A28"/>
        <rFont val="WenQuanYi Zen Hei"/>
        <family val="2"/>
      </rPr>
      <t xml:space="preserve">、英語科</t>
    </r>
    <r>
      <rPr>
        <sz val="10"/>
        <color rgb="FF1F2A28"/>
        <rFont val="Arial"/>
        <family val="0"/>
        <charset val="1"/>
      </rPr>
      <t xml:space="preserve">A</t>
    </r>
    <r>
      <rPr>
        <sz val="10"/>
        <color rgb="FF1F2A28"/>
        <rFont val="WenQuanYi Zen Hei"/>
        <family val="2"/>
      </rPr>
      <t xml:space="preserve">、英語科</t>
    </r>
    <r>
      <rPr>
        <sz val="10"/>
        <color rgb="FF1F2A28"/>
        <rFont val="Arial"/>
        <family val="0"/>
        <charset val="1"/>
      </rPr>
      <t xml:space="preserve">C</t>
    </r>
    <r>
      <rPr>
        <sz val="10"/>
        <color rgb="FF1F2A28"/>
        <rFont val="WenQuanYi Zen Hei"/>
        <family val="2"/>
      </rPr>
      <t xml:space="preserve">、美語科</t>
    </r>
    <r>
      <rPr>
        <sz val="10"/>
        <color rgb="FF1F2A28"/>
        <rFont val="Arial"/>
        <family val="0"/>
        <charset val="1"/>
      </rPr>
      <t xml:space="preserve">A</t>
    </r>
    <r>
      <rPr>
        <sz val="10"/>
        <color rgb="FF1F2A28"/>
        <rFont val="WenQuanYi Zen Hei"/>
        <family val="2"/>
      </rPr>
      <t xml:space="preserve">、美語科</t>
    </r>
    <r>
      <rPr>
        <sz val="10"/>
        <color rgb="FF1F2A28"/>
        <rFont val="Arial"/>
        <family val="0"/>
        <charset val="1"/>
      </rPr>
      <t xml:space="preserve">B</t>
    </r>
  </si>
  <si>
    <t xml:space="preserve">林敏純</t>
  </si>
  <si>
    <t xml:space="preserve">臺中市私立蘿貝卡文理短期補習班</t>
  </si>
  <si>
    <r>
      <rPr>
        <sz val="10"/>
        <color rgb="FF1F2A28"/>
        <rFont val="WenQuanYi Zen Hei"/>
        <family val="2"/>
      </rPr>
      <t xml:space="preserve">臺中市大甲區大甲街</t>
    </r>
    <r>
      <rPr>
        <sz val="10"/>
        <color rgb="FF1F2A28"/>
        <rFont val="Arial"/>
        <family val="0"/>
        <charset val="1"/>
      </rPr>
      <t xml:space="preserve">100</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</si>
  <si>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0426881420</t>
  </si>
  <si>
    <t xml:space="preserve">wallaby2688@gmail.com</t>
  </si>
  <si>
    <t xml:space="preserve">1998-05-05</t>
  </si>
  <si>
    <t xml:space="preserve">洪美淑</t>
  </si>
  <si>
    <t xml:space="preserve">臺中市私立親仁文理短期補習班</t>
  </si>
  <si>
    <r>
      <rPr>
        <sz val="10"/>
        <color rgb="FF1F2A28"/>
        <rFont val="WenQuanYi Zen Hei"/>
        <family val="2"/>
      </rPr>
      <t xml:space="preserve">臺中市烏日區以春街</t>
    </r>
    <r>
      <rPr>
        <sz val="10"/>
        <color rgb="FF1F2A28"/>
        <rFont val="Arial"/>
        <family val="0"/>
        <charset val="1"/>
      </rPr>
      <t xml:space="preserve">2</t>
    </r>
    <r>
      <rPr>
        <sz val="10"/>
        <color rgb="FF1F2A28"/>
        <rFont val="WenQuanYi Zen Hei"/>
        <family val="2"/>
      </rPr>
      <t xml:space="preserve">號、中山路二段昌明巷</t>
    </r>
    <r>
      <rPr>
        <sz val="10"/>
        <color rgb="FF1F2A28"/>
        <rFont val="Arial"/>
        <family val="0"/>
        <charset val="1"/>
      </rPr>
      <t xml:space="preserve">5</t>
    </r>
    <r>
      <rPr>
        <sz val="10"/>
        <color rgb="FF1F2A28"/>
        <rFont val="WenQuanYi Zen Hei"/>
        <family val="2"/>
      </rPr>
      <t xml:space="preserve">號及</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均為</t>
    </r>
    <r>
      <rPr>
        <sz val="10"/>
        <color rgb="FF1F2A28"/>
        <rFont val="Arial"/>
        <family val="0"/>
        <charset val="1"/>
      </rPr>
      <t xml:space="preserve">1-3</t>
    </r>
    <r>
      <rPr>
        <sz val="10"/>
        <color rgb="FF1F2A28"/>
        <rFont val="WenQuanYi Zen Hei"/>
        <family val="2"/>
      </rPr>
      <t xml:space="preserve">樓</t>
    </r>
  </si>
  <si>
    <t xml:space="preserve">(04)23363355</t>
  </si>
  <si>
    <t xml:space="preserve">polly5347@yahoo.com.tw</t>
  </si>
  <si>
    <r>
      <rPr>
        <sz val="10"/>
        <color rgb="FF1F2A28"/>
        <rFont val="WenQuanYi Zen Hei"/>
        <family val="2"/>
      </rPr>
      <t xml:space="preserve">英語科</t>
    </r>
    <r>
      <rPr>
        <sz val="10"/>
        <color rgb="FF1F2A28"/>
        <rFont val="Arial"/>
        <family val="0"/>
        <charset val="1"/>
      </rPr>
      <t xml:space="preserve">A</t>
    </r>
    <r>
      <rPr>
        <sz val="10"/>
        <color rgb="FF1F2A28"/>
        <rFont val="WenQuanYi Zen Hei"/>
        <family val="2"/>
      </rPr>
      <t xml:space="preserve">、英語科</t>
    </r>
    <r>
      <rPr>
        <sz val="10"/>
        <color rgb="FF1F2A28"/>
        <rFont val="Arial"/>
        <family val="0"/>
        <charset val="1"/>
      </rPr>
      <t xml:space="preserve">B</t>
    </r>
    <r>
      <rPr>
        <sz val="10"/>
        <color rgb="FF1F2A28"/>
        <rFont val="WenQuanYi Zen Hei"/>
        <family val="2"/>
      </rPr>
      <t xml:space="preserve">、英語科</t>
    </r>
    <r>
      <rPr>
        <sz val="10"/>
        <color rgb="FF1F2A28"/>
        <rFont val="Arial"/>
        <family val="0"/>
        <charset val="1"/>
      </rPr>
      <t xml:space="preserve">C</t>
    </r>
    <r>
      <rPr>
        <sz val="10"/>
        <color rgb="FF1F2A28"/>
        <rFont val="WenQuanYi Zen Hei"/>
        <family val="2"/>
      </rPr>
      <t xml:space="preserve">、英語科</t>
    </r>
    <r>
      <rPr>
        <sz val="10"/>
        <color rgb="FF1F2A28"/>
        <rFont val="Arial"/>
        <family val="0"/>
        <charset val="1"/>
      </rPr>
      <t xml:space="preserve">D</t>
    </r>
    <r>
      <rPr>
        <sz val="10"/>
        <color rgb="FF1F2A28"/>
        <rFont val="WenQuanYi Zen Hei"/>
        <family val="2"/>
      </rPr>
      <t xml:space="preserve">、英語科</t>
    </r>
    <r>
      <rPr>
        <sz val="10"/>
        <color rgb="FF1F2A28"/>
        <rFont val="Arial"/>
        <family val="0"/>
        <charset val="1"/>
      </rPr>
      <t xml:space="preserve">E</t>
    </r>
    <r>
      <rPr>
        <sz val="10"/>
        <color rgb="FF1F2A28"/>
        <rFont val="WenQuanYi Zen Hei"/>
        <family val="2"/>
      </rPr>
      <t xml:space="preserve">、英語科</t>
    </r>
    <r>
      <rPr>
        <sz val="10"/>
        <color rgb="FF1F2A28"/>
        <rFont val="Arial"/>
        <family val="0"/>
        <charset val="1"/>
      </rPr>
      <t xml:space="preserve">F</t>
    </r>
    <r>
      <rPr>
        <sz val="10"/>
        <color rgb="FF1F2A28"/>
        <rFont val="WenQuanYi Zen Hei"/>
        <family val="2"/>
      </rPr>
      <t xml:space="preserve">、英語科</t>
    </r>
    <r>
      <rPr>
        <sz val="10"/>
        <color rgb="FF1F2A28"/>
        <rFont val="Arial"/>
        <family val="0"/>
        <charset val="1"/>
      </rPr>
      <t xml:space="preserve">G</t>
    </r>
    <r>
      <rPr>
        <sz val="10"/>
        <color rgb="FF1F2A28"/>
        <rFont val="WenQuanYi Zen Hei"/>
        <family val="2"/>
      </rPr>
      <t xml:space="preserve">、英語科</t>
    </r>
    <r>
      <rPr>
        <sz val="10"/>
        <color rgb="FF1F2A28"/>
        <rFont val="Arial"/>
        <family val="0"/>
        <charset val="1"/>
      </rPr>
      <t xml:space="preserve">H</t>
    </r>
  </si>
  <si>
    <t xml:space="preserve">2002-12-13</t>
  </si>
  <si>
    <t xml:space="preserve">黃麗蘭</t>
  </si>
  <si>
    <t xml:space="preserve">劉敬業</t>
  </si>
  <si>
    <t xml:space="preserve">臺中市私立親進美語短期補習班</t>
  </si>
  <si>
    <r>
      <rPr>
        <sz val="10"/>
        <color rgb="FF1F2A28"/>
        <rFont val="WenQuanYi Zen Hei"/>
        <family val="2"/>
      </rPr>
      <t xml:space="preserve">臺中市大安區中松路</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南埔路</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</si>
  <si>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26714856</t>
  </si>
  <si>
    <t xml:space="preserve">1998-08-06</t>
  </si>
  <si>
    <t xml:space="preserve">李彥錦</t>
  </si>
  <si>
    <t xml:space="preserve">劉慶助</t>
  </si>
  <si>
    <t xml:space="preserve">臺中市私立語言學家美語短期補習班</t>
  </si>
  <si>
    <r>
      <rPr>
        <sz val="10"/>
        <color rgb="FF1F2A28"/>
        <rFont val="WenQuanYi Zen Hei"/>
        <family val="2"/>
      </rPr>
      <t xml:space="preserve">臺中市龍井區沙田路五段</t>
    </r>
    <r>
      <rPr>
        <sz val="10"/>
        <color rgb="FF1F2A28"/>
        <rFont val="Arial"/>
        <family val="0"/>
        <charset val="1"/>
      </rPr>
      <t xml:space="preserve">42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</si>
  <si>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04-26363085</t>
  </si>
  <si>
    <t xml:space="preserve">lingo.english@msa.hinet.net</t>
  </si>
  <si>
    <t xml:space="preserve">2001-01-11</t>
  </si>
  <si>
    <t xml:space="preserve">湯閎偉</t>
  </si>
  <si>
    <t xml:space="preserve">張凱雯</t>
  </si>
  <si>
    <t xml:space="preserve">臺中市私立誠華美語短期補習班</t>
  </si>
  <si>
    <r>
      <rPr>
        <sz val="10"/>
        <color rgb="FF1F2A28"/>
        <rFont val="WenQuanYi Zen Hei"/>
        <family val="2"/>
      </rPr>
      <t xml:space="preserve">臺中市西屯區中港路二段</t>
    </r>
    <r>
      <rPr>
        <sz val="10"/>
        <color rgb="FF1F2A28"/>
        <rFont val="Arial"/>
        <family val="0"/>
        <charset val="1"/>
      </rPr>
      <t xml:space="preserve">13</t>
    </r>
    <r>
      <rPr>
        <sz val="10"/>
        <color rgb="FF1F2A28"/>
        <rFont val="WenQuanYi Zen Hei"/>
        <family val="2"/>
      </rPr>
      <t xml:space="preserve">之</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</si>
  <si>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(04)23262345</t>
  </si>
  <si>
    <t xml:space="preserve">李昌明</t>
  </si>
  <si>
    <t xml:space="preserve">周群凱</t>
  </si>
  <si>
    <t xml:space="preserve">臺中市私立諾亞美語短期補習班</t>
  </si>
  <si>
    <r>
      <rPr>
        <sz val="10"/>
        <color rgb="FF1F2A28"/>
        <rFont val="WenQuanYi Zen Hei"/>
        <family val="2"/>
      </rPr>
      <t xml:space="preserve">臺中市大甲區中山路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911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</si>
  <si>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26883363</t>
  </si>
  <si>
    <t xml:space="preserve">英語、兒童美語</t>
  </si>
  <si>
    <t xml:space="preserve">2001-06-13</t>
  </si>
  <si>
    <t xml:space="preserve">楊麗霜</t>
  </si>
  <si>
    <t xml:space="preserve">臺中市私立貓頭鷹英語西洋棋短期補習班</t>
  </si>
  <si>
    <r>
      <rPr>
        <sz val="10"/>
        <color rgb="FF1F2A28"/>
        <rFont val="WenQuanYi Zen Hei"/>
        <family val="2"/>
      </rPr>
      <t xml:space="preserve">臺中市豐原區自強南街</t>
    </r>
    <r>
      <rPr>
        <sz val="10"/>
        <color rgb="FF1F2A28"/>
        <rFont val="Arial"/>
        <family val="0"/>
        <charset val="1"/>
      </rPr>
      <t xml:space="preserve">16</t>
    </r>
    <r>
      <rPr>
        <sz val="10"/>
        <color rgb="FF1F2A28"/>
        <rFont val="WenQuanYi Zen Hei"/>
        <family val="2"/>
      </rPr>
      <t xml:space="preserve">巷</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</si>
  <si>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(04)25253886</t>
  </si>
  <si>
    <t xml:space="preserve">simon.ifac@gmail.com</t>
  </si>
  <si>
    <r>
      <rPr>
        <sz val="10"/>
        <color rgb="FF1F2A28"/>
        <rFont val="WenQuanYi Zen Hei"/>
        <family val="2"/>
      </rPr>
      <t xml:space="preserve">英語</t>
    </r>
    <r>
      <rPr>
        <sz val="10"/>
        <color rgb="FF1F2A28"/>
        <rFont val="Arial"/>
        <family val="0"/>
        <charset val="1"/>
      </rPr>
      <t xml:space="preserve">B</t>
    </r>
    <r>
      <rPr>
        <sz val="10"/>
        <color rgb="FF1F2A28"/>
        <rFont val="WenQuanYi Zen Hei"/>
        <family val="2"/>
      </rPr>
      <t xml:space="preserve">、英語</t>
    </r>
    <r>
      <rPr>
        <sz val="10"/>
        <color rgb="FF1F2A28"/>
        <rFont val="Arial"/>
        <family val="0"/>
        <charset val="1"/>
      </rPr>
      <t xml:space="preserve">C</t>
    </r>
    <r>
      <rPr>
        <sz val="10"/>
        <color rgb="FF1F2A28"/>
        <rFont val="WenQuanYi Zen Hei"/>
        <family val="2"/>
      </rPr>
      <t xml:space="preserve">、英語</t>
    </r>
    <r>
      <rPr>
        <sz val="10"/>
        <color rgb="FF1F2A28"/>
        <rFont val="Arial"/>
        <family val="0"/>
        <charset val="1"/>
      </rPr>
      <t xml:space="preserve">D</t>
    </r>
    <r>
      <rPr>
        <sz val="10"/>
        <color rgb="FF1F2A28"/>
        <rFont val="WenQuanYi Zen Hei"/>
        <family val="2"/>
      </rPr>
      <t xml:space="preserve">、英語</t>
    </r>
    <r>
      <rPr>
        <sz val="10"/>
        <color rgb="FF1F2A28"/>
        <rFont val="Arial"/>
        <family val="0"/>
        <charset val="1"/>
      </rPr>
      <t xml:space="preserve">E</t>
    </r>
    <r>
      <rPr>
        <sz val="10"/>
        <color rgb="FF1F2A28"/>
        <rFont val="WenQuanYi Zen Hei"/>
        <family val="2"/>
      </rPr>
      <t xml:space="preserve">、英語</t>
    </r>
    <r>
      <rPr>
        <sz val="10"/>
        <color rgb="FF1F2A28"/>
        <rFont val="Arial"/>
        <family val="0"/>
        <charset val="1"/>
      </rPr>
      <t xml:space="preserve">A</t>
    </r>
  </si>
  <si>
    <t xml:space="preserve">2016-01-08</t>
  </si>
  <si>
    <t xml:space="preserve">宋柏修</t>
  </si>
  <si>
    <t xml:space="preserve">臺中市私立貝兒斯文理短期補習班</t>
  </si>
  <si>
    <r>
      <rPr>
        <sz val="10"/>
        <color rgb="FF1F2A28"/>
        <rFont val="WenQuanYi Zen Hei"/>
        <family val="2"/>
      </rPr>
      <t xml:space="preserve">臺中市沙鹿區南陽路</t>
    </r>
    <r>
      <rPr>
        <sz val="10"/>
        <color rgb="FF1F2A28"/>
        <rFont val="Arial"/>
        <family val="0"/>
        <charset val="1"/>
      </rPr>
      <t xml:space="preserve">433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</si>
  <si>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(04)26311335</t>
  </si>
  <si>
    <t xml:space="preserve">2005-08-22</t>
  </si>
  <si>
    <t xml:space="preserve">陳力菱</t>
  </si>
  <si>
    <t xml:space="preserve">臺中市私立貝宜思文理短期補習班</t>
  </si>
  <si>
    <r>
      <rPr>
        <sz val="10"/>
        <color rgb="FF1F2A28"/>
        <rFont val="WenQuanYi Zen Hei"/>
        <family val="2"/>
      </rPr>
      <t xml:space="preserve">臺中市豐原區瑞興路</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</si>
  <si>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(04)25266988</t>
  </si>
  <si>
    <t xml:space="preserve">周淑官</t>
  </si>
  <si>
    <t xml:space="preserve">林妙芳</t>
  </si>
  <si>
    <t xml:space="preserve">臺中市私立貝尼多語文短期補習班</t>
  </si>
  <si>
    <r>
      <rPr>
        <sz val="10"/>
        <color rgb="FF1F2A28"/>
        <rFont val="WenQuanYi Zen Hei"/>
        <family val="2"/>
      </rPr>
      <t xml:space="preserve">臺中市西屯區福雅路</t>
    </r>
    <r>
      <rPr>
        <sz val="10"/>
        <color rgb="FF1F2A28"/>
        <rFont val="Arial"/>
        <family val="0"/>
        <charset val="1"/>
      </rPr>
      <t xml:space="preserve">128</t>
    </r>
    <r>
      <rPr>
        <sz val="10"/>
        <color rgb="FF1F2A28"/>
        <rFont val="WenQuanYi Zen Hei"/>
        <family val="2"/>
      </rPr>
      <t xml:space="preserve">巷</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</si>
  <si>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0977022663</t>
  </si>
  <si>
    <r>
      <rPr>
        <sz val="10"/>
        <color rgb="FF1F2A28"/>
        <rFont val="WenQuanYi Zen Hei"/>
        <family val="2"/>
      </rPr>
      <t xml:space="preserve">英文</t>
    </r>
    <r>
      <rPr>
        <sz val="10"/>
        <color rgb="FF1F2A28"/>
        <rFont val="Arial"/>
        <family val="0"/>
        <charset val="1"/>
      </rPr>
      <t xml:space="preserve">17.22</t>
    </r>
  </si>
  <si>
    <t xml:space="preserve">2010-12-20</t>
  </si>
  <si>
    <t xml:space="preserve">簡彥弘</t>
  </si>
  <si>
    <t xml:space="preserve">臺中市私立賓大美語短期補習班</t>
  </si>
  <si>
    <r>
      <rPr>
        <sz val="10"/>
        <color rgb="FF1F2A28"/>
        <rFont val="WenQuanYi Zen Hei"/>
        <family val="2"/>
      </rPr>
      <t xml:space="preserve">臺中市大里區益民路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186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樓〈本建築物經核定為非供公眾使用建築物不得提供學齡前兒童及國小學童使用〉</t>
    </r>
  </si>
  <si>
    <t xml:space="preserve">(04)24875511</t>
  </si>
  <si>
    <t xml:space="preserve">morrislyp@yahoo.com</t>
  </si>
  <si>
    <t xml:space="preserve">林裕朋</t>
  </si>
  <si>
    <t xml:space="preserve">臺中市私立迪迪文理短期補習班</t>
  </si>
  <si>
    <r>
      <rPr>
        <sz val="10"/>
        <color rgb="FF1F2A28"/>
        <rFont val="WenQuanYi Zen Hei"/>
        <family val="2"/>
      </rPr>
      <t xml:space="preserve">臺中市神岡區中山路</t>
    </r>
    <r>
      <rPr>
        <sz val="10"/>
        <color rgb="FF1F2A28"/>
        <rFont val="Arial"/>
        <family val="0"/>
        <charset val="1"/>
      </rPr>
      <t xml:space="preserve">1550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</si>
  <si>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25611901</t>
  </si>
  <si>
    <t xml:space="preserve">ddschooleva889@yahoo.com.tw</t>
  </si>
  <si>
    <t xml:space="preserve">2000-09-27</t>
  </si>
  <si>
    <t xml:space="preserve">宋玉囍</t>
  </si>
  <si>
    <t xml:space="preserve">臺中市私立進學堂美語短期補習班</t>
  </si>
  <si>
    <r>
      <rPr>
        <sz val="10"/>
        <color rgb="FF1F2A28"/>
        <rFont val="WenQuanYi Zen Hei"/>
        <family val="2"/>
      </rPr>
      <t xml:space="preserve">臺中市東勢區中山路</t>
    </r>
    <r>
      <rPr>
        <sz val="10"/>
        <color rgb="FF1F2A28"/>
        <rFont val="Arial"/>
        <family val="0"/>
        <charset val="1"/>
      </rPr>
      <t xml:space="preserve">41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</si>
  <si>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0425880503</t>
  </si>
  <si>
    <t xml:space="preserve">L120305@ms6.hinet.net</t>
  </si>
  <si>
    <t xml:space="preserve">1995-08-04</t>
  </si>
  <si>
    <t xml:space="preserve">梁玲琍</t>
  </si>
  <si>
    <t xml:space="preserve">羅麗娜</t>
  </si>
  <si>
    <t xml:space="preserve">臺中市私立道兒頓美語短期補習班</t>
  </si>
  <si>
    <r>
      <rPr>
        <sz val="10"/>
        <color rgb="FF1F2A28"/>
        <rFont val="WenQuanYi Zen Hei"/>
        <family val="2"/>
      </rPr>
      <t xml:space="preserve">臺中市西屯區大墩十九街</t>
    </r>
    <r>
      <rPr>
        <sz val="10"/>
        <color rgb="FF1F2A28"/>
        <rFont val="Arial"/>
        <family val="0"/>
        <charset val="1"/>
      </rPr>
      <t xml:space="preserve">116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</si>
  <si>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04-23207171</t>
  </si>
  <si>
    <t xml:space="preserve">2003-04-25</t>
  </si>
  <si>
    <t xml:space="preserve">張聖智</t>
  </si>
  <si>
    <t xml:space="preserve">臺中市私立道禾美語會話短期補習班</t>
  </si>
  <si>
    <r>
      <rPr>
        <sz val="10"/>
        <color rgb="FF1F2A28"/>
        <rFont val="WenQuanYi Zen Hei"/>
        <family val="2"/>
      </rPr>
      <t xml:space="preserve">臺中市南屯區大墩</t>
    </r>
    <r>
      <rPr>
        <sz val="10"/>
        <color rgb="FF1F2A28"/>
        <rFont val="Arial"/>
        <family val="0"/>
        <charset val="1"/>
      </rPr>
      <t xml:space="preserve">18</t>
    </r>
    <r>
      <rPr>
        <sz val="10"/>
        <color rgb="FF1F2A28"/>
        <rFont val="WenQuanYi Zen Hei"/>
        <family val="2"/>
      </rPr>
      <t xml:space="preserve">街</t>
    </r>
    <r>
      <rPr>
        <sz val="10"/>
        <color rgb="FF1F2A28"/>
        <rFont val="Arial"/>
        <family val="0"/>
        <charset val="1"/>
      </rPr>
      <t xml:space="preserve">17</t>
    </r>
    <r>
      <rPr>
        <sz val="10"/>
        <color rgb="FF1F2A28"/>
        <rFont val="WenQuanYi Zen Hei"/>
        <family val="2"/>
      </rPr>
      <t xml:space="preserve">號地上第一層</t>
    </r>
  </si>
  <si>
    <t xml:space="preserve">04-23259298</t>
  </si>
  <si>
    <t xml:space="preserve">carol6517@yahoo.com.tw</t>
  </si>
  <si>
    <t xml:space="preserve">1998-11-06</t>
  </si>
  <si>
    <t xml:space="preserve">曾國一</t>
  </si>
  <si>
    <t xml:space="preserve">王筱柔</t>
  </si>
  <si>
    <t xml:space="preserve">臺中市私立達昇電腦美語短期補習班</t>
  </si>
  <si>
    <r>
      <rPr>
        <sz val="10"/>
        <color rgb="FF1F2A28"/>
        <rFont val="WenQuanYi Zen Hei"/>
        <family val="2"/>
      </rPr>
      <t xml:space="preserve">臺中市大甲區順天路</t>
    </r>
    <r>
      <rPr>
        <sz val="10"/>
        <color rgb="FF1F2A28"/>
        <rFont val="Arial"/>
        <family val="0"/>
        <charset val="1"/>
      </rPr>
      <t xml:space="preserve">81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76.45</t>
    </r>
    <r>
      <rPr>
        <sz val="10"/>
        <color rgb="FF1F2A28"/>
        <rFont val="WenQuanYi Zen Hei"/>
        <family val="2"/>
      </rPr>
      <t xml:space="preserve">平方公尺</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92.68</t>
    </r>
    <r>
      <rPr>
        <sz val="10"/>
        <color rgb="FF1F2A28"/>
        <rFont val="WenQuanYi Zen Hei"/>
        <family val="2"/>
      </rPr>
      <t xml:space="preserve">平方公尺</t>
    </r>
    <r>
      <rPr>
        <sz val="10"/>
        <color rgb="FF1F2A28"/>
        <rFont val="Arial"/>
        <family val="0"/>
        <charset val="1"/>
      </rPr>
      <t xml:space="preserve">)</t>
    </r>
  </si>
  <si>
    <t xml:space="preserve">(04)26764688</t>
  </si>
  <si>
    <t xml:space="preserve">李國瑋</t>
  </si>
  <si>
    <t xml:space="preserve">臺中市私立達特比美語會話短期補習班</t>
  </si>
  <si>
    <r>
      <rPr>
        <sz val="10"/>
        <color rgb="FF1F2A28"/>
        <rFont val="WenQuanYi Zen Hei"/>
        <family val="2"/>
      </rPr>
      <t xml:space="preserve">臺中市西屯區上安路</t>
    </r>
    <r>
      <rPr>
        <sz val="10"/>
        <color rgb="FF1F2A28"/>
        <rFont val="Arial"/>
        <family val="0"/>
        <charset val="1"/>
      </rPr>
      <t xml:space="preserve">113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</si>
  <si>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(04)24517855</t>
  </si>
  <si>
    <t xml:space="preserve">mpm24520596@gmail.com</t>
  </si>
  <si>
    <t xml:space="preserve">2005-03-11</t>
  </si>
  <si>
    <t xml:space="preserve">臺中市私立遠見珠心算數學美語短期補習班</t>
  </si>
  <si>
    <r>
      <rPr>
        <sz val="10"/>
        <color rgb="FF1F2A28"/>
        <rFont val="WenQuanYi Zen Hei"/>
        <family val="2"/>
      </rPr>
      <t xml:space="preserve">臺中市烏日區溪南路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605</t>
    </r>
    <r>
      <rPr>
        <sz val="10"/>
        <color rgb="FF1F2A28"/>
        <rFont val="WenQuanYi Zen Hei"/>
        <family val="2"/>
      </rPr>
      <t xml:space="preserve">巷</t>
    </r>
    <r>
      <rPr>
        <sz val="10"/>
        <color rgb="FF1F2A28"/>
        <rFont val="Arial"/>
        <family val="0"/>
        <charset val="1"/>
      </rPr>
      <t xml:space="preserve">62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58.38</t>
    </r>
    <r>
      <rPr>
        <sz val="10"/>
        <color rgb="FF1F2A28"/>
        <rFont val="WenQuanYi Zen Hei"/>
        <family val="2"/>
      </rPr>
      <t xml:space="preserve">平方公尺</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56.55</t>
    </r>
    <r>
      <rPr>
        <sz val="10"/>
        <color rgb="FF1F2A28"/>
        <rFont val="WenQuanYi Zen Hei"/>
        <family val="2"/>
      </rPr>
      <t xml:space="preserve">平方公尺</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39.87</t>
    </r>
    <r>
      <rPr>
        <sz val="10"/>
        <color rgb="FF1F2A28"/>
        <rFont val="WenQuanYi Zen Hei"/>
        <family val="2"/>
      </rPr>
      <t xml:space="preserve">平方公尺</t>
    </r>
    <r>
      <rPr>
        <sz val="10"/>
        <color rgb="FF1F2A28"/>
        <rFont val="Arial"/>
        <family val="0"/>
        <charset val="1"/>
      </rPr>
      <t xml:space="preserve">)</t>
    </r>
  </si>
  <si>
    <t xml:space="preserve">(04)23355182</t>
  </si>
  <si>
    <t xml:space="preserve">2009-03-24</t>
  </si>
  <si>
    <t xml:space="preserve">吳家菁</t>
  </si>
  <si>
    <t xml:space="preserve">臺中市私立里元語文短期補習班</t>
  </si>
  <si>
    <r>
      <rPr>
        <sz val="10"/>
        <color rgb="FF1F2A28"/>
        <rFont val="WenQuanYi Zen Hei"/>
        <family val="2"/>
      </rPr>
      <t xml:space="preserve">臺中市大里區永興路</t>
    </r>
    <r>
      <rPr>
        <sz val="10"/>
        <color rgb="FF1F2A28"/>
        <rFont val="Arial"/>
        <family val="0"/>
        <charset val="1"/>
      </rPr>
      <t xml:space="preserve">304</t>
    </r>
    <r>
      <rPr>
        <sz val="10"/>
        <color rgb="FF1F2A28"/>
        <rFont val="WenQuanYi Zen Hei"/>
        <family val="2"/>
      </rPr>
      <t xml:space="preserve">號１</t>
    </r>
    <r>
      <rPr>
        <sz val="10"/>
        <color rgb="FF1F2A28"/>
        <rFont val="Arial"/>
        <family val="0"/>
        <charset val="1"/>
      </rPr>
      <t xml:space="preserve">-2</t>
    </r>
    <r>
      <rPr>
        <sz val="10"/>
        <color rgb="FF1F2A28"/>
        <rFont val="WenQuanYi Zen Hei"/>
        <family val="2"/>
      </rPr>
      <t xml:space="preserve">樓</t>
    </r>
  </si>
  <si>
    <t xml:space="preserve">0955655693</t>
  </si>
  <si>
    <t xml:space="preserve">2012-02-16</t>
  </si>
  <si>
    <t xml:space="preserve">張妤榛</t>
  </si>
  <si>
    <t xml:space="preserve">臺中市私立鈞鼎美語會話短期補習班</t>
  </si>
  <si>
    <r>
      <rPr>
        <sz val="10"/>
        <color rgb="FF1F2A28"/>
        <rFont val="WenQuanYi Zen Hei"/>
        <family val="2"/>
      </rPr>
      <t xml:space="preserve">臺中市西屯區福科路</t>
    </r>
    <r>
      <rPr>
        <sz val="10"/>
        <color rgb="FF1F2A28"/>
        <rFont val="Arial"/>
        <family val="0"/>
        <charset val="1"/>
      </rPr>
      <t xml:space="preserve">256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樓、福科路</t>
    </r>
    <r>
      <rPr>
        <sz val="10"/>
        <color rgb="FF1F2A28"/>
        <rFont val="Arial"/>
        <family val="0"/>
        <charset val="1"/>
      </rPr>
      <t xml:space="preserve">260</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</si>
  <si>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04-24624726</t>
  </si>
  <si>
    <t xml:space="preserve">2003-03-18</t>
  </si>
  <si>
    <t xml:space="preserve">謝孟緯</t>
  </si>
  <si>
    <t xml:space="preserve">林瑞琦</t>
  </si>
  <si>
    <t xml:space="preserve">臺中市私立鉅匠電腦美語短期補習班</t>
  </si>
  <si>
    <r>
      <rPr>
        <sz val="10"/>
        <color rgb="FF1F2A28"/>
        <rFont val="WenQuanYi Zen Hei"/>
        <family val="2"/>
      </rPr>
      <t xml:space="preserve">臺中市大里區中興路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317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</si>
  <si>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(04)24872228</t>
  </si>
  <si>
    <t xml:space="preserve">fl_mailbox@pcschool.com.tw</t>
  </si>
  <si>
    <t xml:space="preserve">2003-02-24</t>
  </si>
  <si>
    <t xml:space="preserve">邱孟吟</t>
  </si>
  <si>
    <t xml:space="preserve">張馨云</t>
  </si>
  <si>
    <t xml:space="preserve">臺中市私立銳爾美語短期補習班</t>
  </si>
  <si>
    <r>
      <rPr>
        <sz val="10"/>
        <color rgb="FF1F2A28"/>
        <rFont val="WenQuanYi Zen Hei"/>
        <family val="2"/>
      </rPr>
      <t xml:space="preserve">臺中市大雅區民豐街</t>
    </r>
    <r>
      <rPr>
        <sz val="10"/>
        <color rgb="FF1F2A28"/>
        <rFont val="Arial"/>
        <family val="0"/>
        <charset val="1"/>
      </rPr>
      <t xml:space="preserve">148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</si>
  <si>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(04)25604339</t>
  </si>
  <si>
    <t xml:space="preserve">nicole760223@gmail.com</t>
  </si>
  <si>
    <t xml:space="preserve">2018-10-02</t>
  </si>
  <si>
    <t xml:space="preserve">楊雅珮</t>
  </si>
  <si>
    <t xml:space="preserve">臺中市私立長佑美語會話文理短期補習班</t>
  </si>
  <si>
    <r>
      <rPr>
        <sz val="10"/>
        <color rgb="FF1F2A28"/>
        <rFont val="WenQuanYi Zen Hei"/>
        <family val="2"/>
      </rPr>
      <t xml:space="preserve">臺中市大里區新生西路</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</si>
  <si>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(04)24838108</t>
  </si>
  <si>
    <t xml:space="preserve">eason000123@gmail.com</t>
  </si>
  <si>
    <r>
      <rPr>
        <sz val="10"/>
        <color rgb="FF1F2A28"/>
        <rFont val="WenQuanYi Zen Hei"/>
        <family val="2"/>
      </rPr>
      <t xml:space="preserve">美語會話</t>
    </r>
    <r>
      <rPr>
        <sz val="10"/>
        <color rgb="FF1F2A28"/>
        <rFont val="Arial"/>
        <family val="0"/>
        <charset val="1"/>
      </rPr>
      <t xml:space="preserve">A</t>
    </r>
    <r>
      <rPr>
        <sz val="10"/>
        <color rgb="FF1F2A28"/>
        <rFont val="WenQuanYi Zen Hei"/>
        <family val="2"/>
      </rPr>
      <t xml:space="preserve">班、美語會話</t>
    </r>
    <r>
      <rPr>
        <sz val="10"/>
        <color rgb="FF1F2A28"/>
        <rFont val="Arial"/>
        <family val="0"/>
        <charset val="1"/>
      </rPr>
      <t xml:space="preserve">C</t>
    </r>
    <r>
      <rPr>
        <sz val="10"/>
        <color rgb="FF1F2A28"/>
        <rFont val="WenQuanYi Zen Hei"/>
        <family val="2"/>
      </rPr>
      <t xml:space="preserve">班、美語會話</t>
    </r>
    <r>
      <rPr>
        <sz val="10"/>
        <color rgb="FF1F2A28"/>
        <rFont val="Arial"/>
        <family val="0"/>
        <charset val="1"/>
      </rPr>
      <t xml:space="preserve">D</t>
    </r>
    <r>
      <rPr>
        <sz val="10"/>
        <color rgb="FF1F2A28"/>
        <rFont val="WenQuanYi Zen Hei"/>
        <family val="2"/>
      </rPr>
      <t xml:space="preserve">班、美語會話</t>
    </r>
    <r>
      <rPr>
        <sz val="10"/>
        <color rgb="FF1F2A28"/>
        <rFont val="Arial"/>
        <family val="0"/>
        <charset val="1"/>
      </rPr>
      <t xml:space="preserve">B</t>
    </r>
    <r>
      <rPr>
        <sz val="10"/>
        <color rgb="FF1F2A28"/>
        <rFont val="WenQuanYi Zen Hei"/>
        <family val="2"/>
      </rPr>
      <t xml:space="preserve">班</t>
    </r>
  </si>
  <si>
    <t xml:space="preserve">2003-09-26</t>
  </si>
  <si>
    <t xml:space="preserve">洪孟絹</t>
  </si>
  <si>
    <t xml:space="preserve">宋惠禎</t>
  </si>
  <si>
    <t xml:space="preserve">臺中市私立陳慧宜語文短期補習班</t>
  </si>
  <si>
    <r>
      <rPr>
        <sz val="10"/>
        <color rgb="FF1F2A28"/>
        <rFont val="WenQuanYi Zen Hei"/>
        <family val="2"/>
      </rPr>
      <t xml:space="preserve">臺中市神岡區豐洲路</t>
    </r>
    <r>
      <rPr>
        <sz val="10"/>
        <color rgb="FF1F2A28"/>
        <rFont val="Arial"/>
        <family val="0"/>
        <charset val="1"/>
      </rPr>
      <t xml:space="preserve">456</t>
    </r>
    <r>
      <rPr>
        <sz val="10"/>
        <color rgb="FF1F2A28"/>
        <rFont val="WenQuanYi Zen Hei"/>
        <family val="2"/>
      </rPr>
      <t xml:space="preserve">巷</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21.2</t>
    </r>
    <r>
      <rPr>
        <sz val="10"/>
        <color rgb="FF1F2A28"/>
        <rFont val="WenQuanYi Zen Hei"/>
        <family val="2"/>
      </rPr>
      <t xml:space="preserve">平方公尺</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93.24</t>
    </r>
    <r>
      <rPr>
        <sz val="10"/>
        <color rgb="FF1F2A28"/>
        <rFont val="WenQuanYi Zen Hei"/>
        <family val="2"/>
      </rPr>
      <t xml:space="preserve">平方公尺</t>
    </r>
    <r>
      <rPr>
        <sz val="10"/>
        <color rgb="FF1F2A28"/>
        <rFont val="Arial"/>
        <family val="0"/>
        <charset val="1"/>
      </rPr>
      <t xml:space="preserve">)</t>
    </r>
  </si>
  <si>
    <t xml:space="preserve">(04)25282031</t>
  </si>
  <si>
    <t xml:space="preserve">amy77662002@gmail.com</t>
  </si>
  <si>
    <t xml:space="preserve">陳慧宜</t>
  </si>
  <si>
    <t xml:space="preserve">臺中市私立陽光森林文理短期補習班</t>
  </si>
  <si>
    <r>
      <rPr>
        <sz val="10"/>
        <color rgb="FF1F2A28"/>
        <rFont val="WenQuanYi Zen Hei"/>
        <family val="2"/>
      </rPr>
      <t xml:space="preserve">臺中市大甲區五福街</t>
    </r>
    <r>
      <rPr>
        <sz val="10"/>
        <color rgb="FF1F2A28"/>
        <rFont val="Arial"/>
        <family val="0"/>
        <charset val="1"/>
      </rPr>
      <t xml:space="preserve">256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</si>
  <si>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0910-531-393</t>
  </si>
  <si>
    <t xml:space="preserve">2008-09-11</t>
  </si>
  <si>
    <t xml:space="preserve">陳曜堂</t>
  </si>
  <si>
    <t xml:space="preserve">李彥璋</t>
  </si>
  <si>
    <t xml:space="preserve">臺中市私立雅文語文短期補習班</t>
  </si>
  <si>
    <r>
      <rPr>
        <sz val="10"/>
        <color rgb="FF1F2A28"/>
        <rFont val="WenQuanYi Zen Hei"/>
        <family val="2"/>
      </rPr>
      <t xml:space="preserve">臺中市大雅區中山路</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</si>
  <si>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25671122</t>
  </si>
  <si>
    <t xml:space="preserve">yawen.kids@msa.hinet.net</t>
  </si>
  <si>
    <t xml:space="preserve">2001-01-31</t>
  </si>
  <si>
    <t xml:space="preserve">莊景霖</t>
  </si>
  <si>
    <t xml:space="preserve">廖伶婉</t>
  </si>
  <si>
    <t xml:space="preserve">臺中市私立集英美語短期補習班</t>
  </si>
  <si>
    <r>
      <rPr>
        <sz val="10"/>
        <color rgb="FF1F2A28"/>
        <rFont val="WenQuanYi Zen Hei"/>
        <family val="2"/>
      </rPr>
      <t xml:space="preserve">臺中市豐原區西平街</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</si>
  <si>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25293569</t>
  </si>
  <si>
    <t xml:space="preserve">2000-08-02</t>
  </si>
  <si>
    <t xml:space="preserve">許美珠</t>
  </si>
  <si>
    <t xml:space="preserve">臺中市私立震宇美語鋼琴短期補習班</t>
  </si>
  <si>
    <r>
      <rPr>
        <sz val="10"/>
        <color rgb="FF1F2A28"/>
        <rFont val="WenQuanYi Zen Hei"/>
        <family val="2"/>
      </rPr>
      <t xml:space="preserve">臺中市西屯區青海路二段</t>
    </r>
    <r>
      <rPr>
        <sz val="10"/>
        <color rgb="FF1F2A28"/>
        <rFont val="Arial"/>
        <family val="0"/>
        <charset val="1"/>
      </rPr>
      <t xml:space="preserve">283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</si>
  <si>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(04)0918275863</t>
  </si>
  <si>
    <r>
      <rPr>
        <sz val="10"/>
        <color rgb="FF1F2A28"/>
        <rFont val="WenQuanYi Zen Hei"/>
        <family val="2"/>
      </rPr>
      <t xml:space="preserve">美語</t>
    </r>
    <r>
      <rPr>
        <sz val="10"/>
        <color rgb="FF1F2A28"/>
        <rFont val="Arial"/>
        <family val="0"/>
        <charset val="1"/>
      </rPr>
      <t xml:space="preserve">24.09</t>
    </r>
  </si>
  <si>
    <t xml:space="preserve">2005-11-11</t>
  </si>
  <si>
    <t xml:space="preserve">劉慧敏</t>
  </si>
  <si>
    <t xml:space="preserve">劉志雄</t>
  </si>
  <si>
    <t xml:space="preserve">臺中市私立露塔迪珠心算美語短期補習班</t>
  </si>
  <si>
    <r>
      <rPr>
        <sz val="10"/>
        <color rgb="FF1F2A28"/>
        <rFont val="WenQuanYi Zen Hei"/>
        <family val="2"/>
      </rPr>
      <t xml:space="preserve">臺中市太平區中平九街</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</si>
  <si>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(04)22776668</t>
  </si>
  <si>
    <t xml:space="preserve">Lutadi1973@gmail.com</t>
  </si>
  <si>
    <t xml:space="preserve">2007-06-21</t>
  </si>
  <si>
    <t xml:space="preserve">臺中市私立韋士頓文理短期補習班</t>
  </si>
  <si>
    <r>
      <rPr>
        <sz val="10"/>
        <color rgb="FF1F2A28"/>
        <rFont val="WenQuanYi Zen Hei"/>
        <family val="2"/>
      </rPr>
      <t xml:space="preserve">臺中市豐原區互助街</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</si>
  <si>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(04)25318580</t>
  </si>
  <si>
    <t xml:space="preserve">super25318580@gmail.com</t>
  </si>
  <si>
    <r>
      <rPr>
        <sz val="10"/>
        <color rgb="FF1F2A28"/>
        <rFont val="WenQuanYi Zen Hei"/>
        <family val="2"/>
      </rPr>
      <t xml:space="preserve">英語</t>
    </r>
    <r>
      <rPr>
        <sz val="10"/>
        <color rgb="FF1F2A28"/>
        <rFont val="Arial"/>
        <family val="0"/>
        <charset val="1"/>
      </rPr>
      <t xml:space="preserve">A</t>
    </r>
    <r>
      <rPr>
        <sz val="10"/>
        <color rgb="FF1F2A28"/>
        <rFont val="WenQuanYi Zen Hei"/>
        <family val="2"/>
      </rPr>
      <t xml:space="preserve">、英語</t>
    </r>
    <r>
      <rPr>
        <sz val="10"/>
        <color rgb="FF1F2A28"/>
        <rFont val="Arial"/>
        <family val="0"/>
        <charset val="1"/>
      </rPr>
      <t xml:space="preserve">B</t>
    </r>
    <r>
      <rPr>
        <sz val="10"/>
        <color rgb="FF1F2A28"/>
        <rFont val="WenQuanYi Zen Hei"/>
        <family val="2"/>
      </rPr>
      <t xml:space="preserve">、英語</t>
    </r>
    <r>
      <rPr>
        <sz val="10"/>
        <color rgb="FF1F2A28"/>
        <rFont val="Arial"/>
        <family val="0"/>
        <charset val="1"/>
      </rPr>
      <t xml:space="preserve">C</t>
    </r>
  </si>
  <si>
    <t xml:space="preserve">2010-07-12</t>
  </si>
  <si>
    <t xml:space="preserve">洪双益</t>
  </si>
  <si>
    <t xml:space="preserve">謝智芳</t>
  </si>
  <si>
    <t xml:space="preserve">臺中市私立頭家美語短期補習班</t>
  </si>
  <si>
    <r>
      <rPr>
        <sz val="10"/>
        <color rgb="FF1F2A28"/>
        <rFont val="WenQuanYi Zen Hei"/>
        <family val="2"/>
      </rPr>
      <t xml:space="preserve">臺中市潭子區和平路</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</si>
  <si>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(04)25312500</t>
  </si>
  <si>
    <t xml:space="preserve">林子平</t>
  </si>
  <si>
    <t xml:space="preserve">臺中市私立顥學文理短期補習班</t>
  </si>
  <si>
    <r>
      <rPr>
        <sz val="10"/>
        <color rgb="FF1F2A28"/>
        <rFont val="WenQuanYi Zen Hei"/>
        <family val="2"/>
      </rPr>
      <t xml:space="preserve">臺中市大里區益民路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470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</si>
  <si>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(04)2485-0286</t>
  </si>
  <si>
    <t xml:space="preserve">jarrowlin@gmail.com</t>
  </si>
  <si>
    <t xml:space="preserve">林佳蓉</t>
  </si>
  <si>
    <t xml:space="preserve">臺中市私立高美佳嬅珠算美語短期補習班</t>
  </si>
  <si>
    <r>
      <rPr>
        <sz val="10"/>
        <color rgb="FF1F2A28"/>
        <rFont val="WenQuanYi Zen Hei"/>
        <family val="2"/>
      </rPr>
      <t xml:space="preserve">臺中市清水區高美路</t>
    </r>
    <r>
      <rPr>
        <sz val="10"/>
        <color rgb="FF1F2A28"/>
        <rFont val="Arial"/>
        <family val="0"/>
        <charset val="1"/>
      </rPr>
      <t xml:space="preserve">47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</si>
  <si>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26235418</t>
  </si>
  <si>
    <t xml:space="preserve">chiahua436@gmail.com</t>
  </si>
  <si>
    <t xml:space="preserve">李有哲</t>
  </si>
  <si>
    <t xml:space="preserve">臺中市私立麓兒美語技藝短期補習班</t>
  </si>
  <si>
    <r>
      <rPr>
        <sz val="10"/>
        <color rgb="FF1F2A28"/>
        <rFont val="WenQuanYi Zen Hei"/>
        <family val="2"/>
      </rPr>
      <t xml:space="preserve">臺中市西屯區福科路</t>
    </r>
    <r>
      <rPr>
        <sz val="10"/>
        <color rgb="FF1F2A28"/>
        <rFont val="Arial"/>
        <family val="0"/>
        <charset val="1"/>
      </rPr>
      <t xml:space="preserve">955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</si>
  <si>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0955-333401</t>
  </si>
  <si>
    <t xml:space="preserve">xyloxerxes@yahoo.com.tw</t>
  </si>
  <si>
    <t xml:space="preserve">楊開貴</t>
  </si>
  <si>
    <t xml:space="preserve">柯素茵</t>
  </si>
  <si>
    <t xml:space="preserve">臺中市私立麥克斯美語短期補習班</t>
  </si>
  <si>
    <r>
      <rPr>
        <sz val="10"/>
        <color rgb="FF1F2A28"/>
        <rFont val="WenQuanYi Zen Hei"/>
        <family val="2"/>
      </rPr>
      <t xml:space="preserve">臺中市豐原區永康路</t>
    </r>
    <r>
      <rPr>
        <sz val="10"/>
        <color rgb="FF1F2A28"/>
        <rFont val="Arial"/>
        <family val="0"/>
        <charset val="1"/>
      </rPr>
      <t xml:space="preserve">328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</si>
  <si>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(04)25272798</t>
  </si>
  <si>
    <t xml:space="preserve">王均菱</t>
  </si>
  <si>
    <t xml:space="preserve">臺中市私立齊芳語文短期補習班</t>
  </si>
  <si>
    <r>
      <rPr>
        <sz val="10"/>
        <color rgb="FF1F2A28"/>
        <rFont val="WenQuanYi Zen Hei"/>
        <family val="2"/>
      </rPr>
      <t xml:space="preserve">臺中市烏日區溪南路一段</t>
    </r>
    <r>
      <rPr>
        <sz val="10"/>
        <color rgb="FF1F2A28"/>
        <rFont val="Arial"/>
        <family val="0"/>
        <charset val="1"/>
      </rPr>
      <t xml:space="preserve">605</t>
    </r>
    <r>
      <rPr>
        <sz val="10"/>
        <color rgb="FF1F2A28"/>
        <rFont val="WenQuanYi Zen Hei"/>
        <family val="2"/>
      </rPr>
      <t xml:space="preserve">巷</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</si>
  <si>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(04)23357076</t>
  </si>
  <si>
    <t xml:space="preserve">131211iva@gmail.com</t>
  </si>
  <si>
    <t xml:space="preserve">林采蓁</t>
  </si>
  <si>
    <t xml:space="preserve">柯穗淑</t>
  </si>
  <si>
    <t xml:space="preserve">艾爾文創有限公司附設臺中市私立文學趣文理技藝短期補習班</t>
  </si>
  <si>
    <r>
      <rPr>
        <sz val="10"/>
        <color rgb="FF1F2A28"/>
        <rFont val="WenQuanYi Zen Hei"/>
        <family val="2"/>
      </rPr>
      <t xml:space="preserve">臺中市南屯區文心南三路</t>
    </r>
    <r>
      <rPr>
        <sz val="10"/>
        <color rgb="FF1F2A28"/>
        <rFont val="Arial"/>
        <family val="0"/>
        <charset val="1"/>
      </rPr>
      <t xml:space="preserve">372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</si>
  <si>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(04)2472-6777</t>
  </si>
  <si>
    <t xml:space="preserve">alvinfun08@gmail.com</t>
  </si>
  <si>
    <t xml:space="preserve">2011-02-14</t>
  </si>
  <si>
    <t xml:space="preserve">蔡巧莘</t>
  </si>
  <si>
    <t xml:space="preserve">芃博顧問股份有限公司附設臺中市私立芃博文理短期補習班</t>
  </si>
  <si>
    <r>
      <rPr>
        <sz val="10"/>
        <color rgb="FF1F2A28"/>
        <rFont val="WenQuanYi Zen Hei"/>
        <family val="2"/>
      </rPr>
      <t xml:space="preserve">臺中市太平區新福路</t>
    </r>
    <r>
      <rPr>
        <sz val="10"/>
        <color rgb="FF1F2A28"/>
        <rFont val="Arial"/>
        <family val="0"/>
        <charset val="1"/>
      </rPr>
      <t xml:space="preserve">878</t>
    </r>
    <r>
      <rPr>
        <sz val="10"/>
        <color rgb="FF1F2A28"/>
        <rFont val="WenQuanYi Zen Hei"/>
        <family val="2"/>
      </rPr>
      <t xml:space="preserve">、</t>
    </r>
    <r>
      <rPr>
        <sz val="10"/>
        <color rgb="FF1F2A28"/>
        <rFont val="Arial"/>
        <family val="0"/>
        <charset val="1"/>
      </rPr>
      <t xml:space="preserve">880</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使用樓層</t>
    </r>
    <r>
      <rPr>
        <sz val="10"/>
        <color rgb="FF1F2A28"/>
        <rFont val="Arial"/>
        <family val="0"/>
        <charset val="1"/>
      </rPr>
      <t xml:space="preserve">:</t>
    </r>
    <r>
      <rPr>
        <sz val="10"/>
        <color rgb="FF1F2A28"/>
        <rFont val="WenQuanYi Zen Hei"/>
        <family val="2"/>
      </rPr>
      <t xml:space="preserve">皆為</t>
    </r>
    <r>
      <rPr>
        <sz val="10"/>
        <color rgb="FF1F2A28"/>
        <rFont val="Arial"/>
        <family val="0"/>
        <charset val="1"/>
      </rPr>
      <t xml:space="preserve">1</t>
    </r>
    <r>
      <rPr>
        <sz val="10"/>
        <color rgb="FF1F2A28"/>
        <rFont val="WenQuanYi Zen Hei"/>
        <family val="2"/>
      </rPr>
      <t xml:space="preserve">樓及夾層</t>
    </r>
    <r>
      <rPr>
        <sz val="10"/>
        <color rgb="FF1F2A28"/>
        <rFont val="Arial"/>
        <family val="0"/>
        <charset val="1"/>
      </rPr>
      <t xml:space="preserve">)</t>
    </r>
  </si>
  <si>
    <t xml:space="preserve">04-23960585</t>
  </si>
  <si>
    <t xml:space="preserve">xinguang.tc@eagletw.com</t>
  </si>
  <si>
    <t xml:space="preserve">2020-12-10</t>
  </si>
  <si>
    <t xml:space="preserve">湯敏郁</t>
  </si>
  <si>
    <t xml:space="preserve">湯璟聖</t>
  </si>
  <si>
    <t xml:space="preserve">葳格學校財團法人臺中市葳格高級中學附設臺中市私立葳格文理短期補習班</t>
  </si>
  <si>
    <r>
      <rPr>
        <sz val="10"/>
        <color rgb="FF1F2A28"/>
        <rFont val="WenQuanYi Zen Hei"/>
        <family val="2"/>
      </rPr>
      <t xml:space="preserve">臺中市北屯區軍福十九路</t>
    </r>
    <r>
      <rPr>
        <sz val="10"/>
        <color rgb="FF1F2A28"/>
        <rFont val="Arial"/>
        <family val="0"/>
        <charset val="1"/>
      </rPr>
      <t xml:space="preserve">329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</si>
  <si>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(04)24378063#850~853</t>
  </si>
  <si>
    <t xml:space="preserve">2014-06-18</t>
  </si>
  <si>
    <t xml:space="preserve">袁昶平</t>
  </si>
  <si>
    <t xml:space="preserve">洪邦羽</t>
  </si>
  <si>
    <t xml:space="preserve">財團法人臺中市私立立人高級中學附設立人語文電腦短期補習班</t>
  </si>
  <si>
    <r>
      <rPr>
        <sz val="10"/>
        <color rgb="FF1F2A28"/>
        <rFont val="WenQuanYi Zen Hei"/>
        <family val="2"/>
      </rPr>
      <t xml:space="preserve">臺中市大里區益民路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311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</si>
  <si>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04-24832151</t>
  </si>
  <si>
    <t xml:space="preserve">lizenesl@gmail.com</t>
  </si>
  <si>
    <t xml:space="preserve">1999-11-02</t>
  </si>
  <si>
    <r>
      <rPr>
        <sz val="10"/>
        <color rgb="FF1F2A28"/>
        <rFont val="WenQuanYi Zen Hei"/>
        <family val="2"/>
      </rPr>
      <t xml:space="preserve">財團法人臺中市私立立人高級中學</t>
    </r>
    <r>
      <rPr>
        <sz val="10"/>
        <color rgb="FF1F2A28"/>
        <rFont val="Arial"/>
        <family val="0"/>
        <charset val="1"/>
      </rPr>
      <t xml:space="preserve">(</t>
    </r>
    <r>
      <rPr>
        <sz val="10"/>
        <color rgb="FF1F2A28"/>
        <rFont val="WenQuanYi Zen Hei"/>
        <family val="2"/>
      </rPr>
      <t xml:space="preserve">代表人：王建元</t>
    </r>
    <r>
      <rPr>
        <sz val="10"/>
        <color rgb="FF1F2A28"/>
        <rFont val="Arial"/>
        <family val="0"/>
        <charset val="1"/>
      </rPr>
      <t xml:space="preserve">)</t>
    </r>
  </si>
  <si>
    <t xml:space="preserve">柯岱芬</t>
  </si>
  <si>
    <t xml:space="preserve">財團法人臺中市華盛頓高級中學附設臺中市私立華研美語會話短期補習班</t>
  </si>
  <si>
    <r>
      <rPr>
        <sz val="10"/>
        <color rgb="FF1F2A28"/>
        <rFont val="WenQuanYi Zen Hei"/>
        <family val="2"/>
      </rPr>
      <t xml:space="preserve">臺中市太平區廍仔坑路</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</si>
  <si>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(04)23934712#136</t>
  </si>
  <si>
    <t xml:space="preserve">whscram@whs.tc.edu.tw</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</si>
  <si>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班、美語</t>
    </r>
    <r>
      <rPr>
        <sz val="10"/>
        <color rgb="FF1F2A28"/>
        <rFont val="Arial"/>
        <family val="0"/>
        <charset val="1"/>
      </rPr>
      <t xml:space="preserve">N</t>
    </r>
    <r>
      <rPr>
        <sz val="10"/>
        <color rgb="FF1F2A28"/>
        <rFont val="WenQuanYi Zen Hei"/>
        <family val="2"/>
      </rPr>
      <t xml:space="preserve">班、美語</t>
    </r>
    <r>
      <rPr>
        <sz val="10"/>
        <color rgb="FF1F2A28"/>
        <rFont val="Arial"/>
        <family val="0"/>
        <charset val="1"/>
      </rPr>
      <t xml:space="preserve">H</t>
    </r>
    <r>
      <rPr>
        <sz val="10"/>
        <color rgb="FF1F2A28"/>
        <rFont val="WenQuanYi Zen Hei"/>
        <family val="2"/>
      </rPr>
      <t xml:space="preserve">班、美語</t>
    </r>
    <r>
      <rPr>
        <sz val="10"/>
        <color rgb="FF1F2A28"/>
        <rFont val="Arial"/>
        <family val="0"/>
        <charset val="1"/>
      </rPr>
      <t xml:space="preserve">D</t>
    </r>
    <r>
      <rPr>
        <sz val="10"/>
        <color rgb="FF1F2A28"/>
        <rFont val="WenQuanYi Zen Hei"/>
        <family val="2"/>
      </rPr>
      <t xml:space="preserve">班、美語</t>
    </r>
    <r>
      <rPr>
        <sz val="10"/>
        <color rgb="FF1F2A28"/>
        <rFont val="Arial"/>
        <family val="0"/>
        <charset val="1"/>
      </rPr>
      <t xml:space="preserve">F</t>
    </r>
    <r>
      <rPr>
        <sz val="10"/>
        <color rgb="FF1F2A28"/>
        <rFont val="WenQuanYi Zen Hei"/>
        <family val="2"/>
      </rPr>
      <t xml:space="preserve">班、美語</t>
    </r>
    <r>
      <rPr>
        <sz val="10"/>
        <color rgb="FF1F2A28"/>
        <rFont val="Arial"/>
        <family val="0"/>
        <charset val="1"/>
      </rPr>
      <t xml:space="preserve">B</t>
    </r>
    <r>
      <rPr>
        <sz val="10"/>
        <color rgb="FF1F2A28"/>
        <rFont val="WenQuanYi Zen Hei"/>
        <family val="2"/>
      </rPr>
      <t xml:space="preserve">班、美語</t>
    </r>
    <r>
      <rPr>
        <sz val="10"/>
        <color rgb="FF1F2A28"/>
        <rFont val="Arial"/>
        <family val="0"/>
        <charset val="1"/>
      </rPr>
      <t xml:space="preserve">L</t>
    </r>
    <r>
      <rPr>
        <sz val="10"/>
        <color rgb="FF1F2A28"/>
        <rFont val="WenQuanYi Zen Hei"/>
        <family val="2"/>
      </rPr>
      <t xml:space="preserve">班、美語</t>
    </r>
    <r>
      <rPr>
        <sz val="10"/>
        <color rgb="FF1F2A28"/>
        <rFont val="Arial"/>
        <family val="0"/>
        <charset val="1"/>
      </rPr>
      <t xml:space="preserve">K</t>
    </r>
    <r>
      <rPr>
        <sz val="10"/>
        <color rgb="FF1F2A28"/>
        <rFont val="WenQuanYi Zen Hei"/>
        <family val="2"/>
      </rPr>
      <t xml:space="preserve">班、美語</t>
    </r>
    <r>
      <rPr>
        <sz val="10"/>
        <color rgb="FF1F2A28"/>
        <rFont val="Arial"/>
        <family val="0"/>
        <charset val="1"/>
      </rPr>
      <t xml:space="preserve">E</t>
    </r>
    <r>
      <rPr>
        <sz val="10"/>
        <color rgb="FF1F2A28"/>
        <rFont val="WenQuanYi Zen Hei"/>
        <family val="2"/>
      </rPr>
      <t xml:space="preserve">班、美語</t>
    </r>
    <r>
      <rPr>
        <sz val="10"/>
        <color rgb="FF1F2A28"/>
        <rFont val="Arial"/>
        <family val="0"/>
        <charset val="1"/>
      </rPr>
      <t xml:space="preserve">I</t>
    </r>
    <r>
      <rPr>
        <sz val="10"/>
        <color rgb="FF1F2A28"/>
        <rFont val="WenQuanYi Zen Hei"/>
        <family val="2"/>
      </rPr>
      <t xml:space="preserve">班、美語</t>
    </r>
    <r>
      <rPr>
        <sz val="10"/>
        <color rgb="FF1F2A28"/>
        <rFont val="Arial"/>
        <family val="0"/>
        <charset val="1"/>
      </rPr>
      <t xml:space="preserve">G</t>
    </r>
    <r>
      <rPr>
        <sz val="10"/>
        <color rgb="FF1F2A28"/>
        <rFont val="WenQuanYi Zen Hei"/>
        <family val="2"/>
      </rPr>
      <t xml:space="preserve">班、美語</t>
    </r>
    <r>
      <rPr>
        <sz val="10"/>
        <color rgb="FF1F2A28"/>
        <rFont val="Arial"/>
        <family val="0"/>
        <charset val="1"/>
      </rPr>
      <t xml:space="preserve">J</t>
    </r>
    <r>
      <rPr>
        <sz val="10"/>
        <color rgb="FF1F2A28"/>
        <rFont val="WenQuanYi Zen Hei"/>
        <family val="2"/>
      </rPr>
      <t xml:space="preserve">班、美語</t>
    </r>
    <r>
      <rPr>
        <sz val="10"/>
        <color rgb="FF1F2A28"/>
        <rFont val="Arial"/>
        <family val="0"/>
        <charset val="1"/>
      </rPr>
      <t xml:space="preserve">M</t>
    </r>
    <r>
      <rPr>
        <sz val="10"/>
        <color rgb="FF1F2A28"/>
        <rFont val="WenQuanYi Zen Hei"/>
        <family val="2"/>
      </rPr>
      <t xml:space="preserve">班、美語</t>
    </r>
    <r>
      <rPr>
        <sz val="10"/>
        <color rgb="FF1F2A28"/>
        <rFont val="Arial"/>
        <family val="0"/>
        <charset val="1"/>
      </rPr>
      <t xml:space="preserve">C</t>
    </r>
    <r>
      <rPr>
        <sz val="10"/>
        <color rgb="FF1F2A28"/>
        <rFont val="WenQuanYi Zen Hei"/>
        <family val="2"/>
      </rPr>
      <t xml:space="preserve">班</t>
    </r>
  </si>
  <si>
    <t xml:space="preserve">2018-09-21</t>
  </si>
  <si>
    <r>
      <rPr>
        <sz val="10"/>
        <color rgb="FF1F2A28"/>
        <rFont val="WenQuanYi Zen Hei"/>
        <family val="2"/>
      </rPr>
      <t xml:space="preserve">財團法人臺中市華盛頓高級中學</t>
    </r>
    <r>
      <rPr>
        <sz val="10"/>
        <color rgb="FF1F2A28"/>
        <rFont val="Arial"/>
        <family val="0"/>
        <charset val="1"/>
      </rPr>
      <t xml:space="preserve">(</t>
    </r>
    <r>
      <rPr>
        <sz val="10"/>
        <color rgb="FF1F2A28"/>
        <rFont val="WenQuanYi Zen Hei"/>
        <family val="2"/>
      </rPr>
      <t xml:space="preserve">負責人</t>
    </r>
    <r>
      <rPr>
        <sz val="10"/>
        <color rgb="FF1F2A28"/>
        <rFont val="Arial"/>
        <family val="0"/>
        <charset val="1"/>
      </rPr>
      <t xml:space="preserve">:</t>
    </r>
    <r>
      <rPr>
        <sz val="10"/>
        <color rgb="FF1F2A28"/>
        <rFont val="WenQuanYi Zen Hei"/>
        <family val="2"/>
      </rPr>
      <t xml:space="preserve">羅文貴</t>
    </r>
    <r>
      <rPr>
        <sz val="10"/>
        <color rgb="FF1F2A28"/>
        <rFont val="Arial"/>
        <family val="0"/>
        <charset val="1"/>
      </rPr>
      <t xml:space="preserve">)</t>
    </r>
  </si>
  <si>
    <t xml:space="preserve">劉逸中</t>
  </si>
  <si>
    <t xml:space="preserve">迦南地美語有限公司附設臺中市私立應許之地美語短期補習班</t>
  </si>
  <si>
    <r>
      <rPr>
        <sz val="10"/>
        <color rgb="FF1F2A28"/>
        <rFont val="WenQuanYi Zen Hei"/>
        <family val="2"/>
      </rPr>
      <t xml:space="preserve">臺中市南屯區文心南路</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</si>
  <si>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24737578</t>
  </si>
  <si>
    <t xml:space="preserve">2016-09-21</t>
  </si>
  <si>
    <t xml:space="preserve">吳建生</t>
  </si>
  <si>
    <t xml:space="preserve">部落森數位文創有限公司附設臺中市私立部落森美語短期補習班</t>
  </si>
  <si>
    <r>
      <rPr>
        <sz val="10"/>
        <color rgb="FF1F2A28"/>
        <rFont val="WenQuanYi Zen Hei"/>
        <family val="2"/>
      </rPr>
      <t xml:space="preserve">臺中市南屯區河南路四段</t>
    </r>
    <r>
      <rPr>
        <sz val="10"/>
        <color rgb="FF1F2A28"/>
        <rFont val="Arial"/>
        <family val="0"/>
        <charset val="1"/>
      </rPr>
      <t xml:space="preserve">435-1</t>
    </r>
    <r>
      <rPr>
        <sz val="10"/>
        <color rgb="FF1F2A28"/>
        <rFont val="WenQuanYi Zen Hei"/>
        <family val="2"/>
      </rPr>
      <t xml:space="preserve">號及</t>
    </r>
    <r>
      <rPr>
        <sz val="10"/>
        <color rgb="FF1F2A28"/>
        <rFont val="Arial"/>
        <family val="0"/>
        <charset val="1"/>
      </rPr>
      <t xml:space="preserve">435-2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</si>
  <si>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r>
      <rPr>
        <sz val="10"/>
        <color rgb="FF1F2A28"/>
        <rFont val="Arial"/>
        <family val="0"/>
        <charset val="1"/>
      </rPr>
      <t xml:space="preserve">04-22552788</t>
    </r>
    <r>
      <rPr>
        <sz val="10"/>
        <color rgb="FF1F2A28"/>
        <rFont val="WenQuanYi Zen Hei"/>
        <family val="2"/>
      </rPr>
      <t xml:space="preserve">、</t>
    </r>
    <r>
      <rPr>
        <sz val="10"/>
        <color rgb="FF1F2A28"/>
        <rFont val="Arial"/>
        <family val="0"/>
        <charset val="1"/>
      </rPr>
      <t xml:space="preserve">0921-077282</t>
    </r>
  </si>
  <si>
    <t xml:space="preserve">部落森數位文創有限公司、負責人：巫圻炘</t>
  </si>
  <si>
    <t xml:space="preserve">巫圻炘</t>
  </si>
  <si>
    <t xml:space="preserve">臺中市中區</t>
  </si>
  <si>
    <t xml:space="preserve">地球村出版有限公司附設臺中市私立站前地球村美日語短期補習班</t>
  </si>
  <si>
    <r>
      <rPr>
        <sz val="10"/>
        <color rgb="FF1F2A28"/>
        <rFont val="WenQuanYi Zen Hei"/>
        <family val="2"/>
      </rPr>
      <t xml:space="preserve">臺中市中區中山路</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樓及地下</t>
    </r>
    <r>
      <rPr>
        <sz val="10"/>
        <color rgb="FF1F2A28"/>
        <rFont val="Arial"/>
        <family val="0"/>
        <charset val="1"/>
      </rPr>
      <t xml:space="preserve">1</t>
    </r>
    <r>
      <rPr>
        <sz val="10"/>
        <color rgb="FF1F2A28"/>
        <rFont val="WenQuanYi Zen Hei"/>
        <family val="2"/>
      </rPr>
      <t xml:space="preserve">樓</t>
    </r>
  </si>
  <si>
    <t xml:space="preserve">(04)22201806</t>
  </si>
  <si>
    <t xml:space="preserve">地球村出版社有限公司法定代理人鄧秋慧</t>
  </si>
  <si>
    <t xml:space="preserve">張筑雅</t>
  </si>
  <si>
    <t xml:space="preserve">臺中市私立大成功語文短期補習班</t>
  </si>
  <si>
    <r>
      <rPr>
        <sz val="10"/>
        <color rgb="FF1F2A28"/>
        <rFont val="WenQuanYi Zen Hei"/>
        <family val="2"/>
      </rPr>
      <t xml:space="preserve">臺中市中區民族路</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</si>
  <si>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r>
      <rPr>
        <sz val="10"/>
        <color rgb="FF1F2A28"/>
        <rFont val="WenQuanYi Zen Hei"/>
        <family val="2"/>
      </rPr>
      <t xml:space="preserve">英語</t>
    </r>
    <r>
      <rPr>
        <sz val="10"/>
        <color rgb="FF1F2A28"/>
        <rFont val="Arial"/>
        <family val="0"/>
        <charset val="1"/>
      </rPr>
      <t xml:space="preserve">45.50</t>
    </r>
    <r>
      <rPr>
        <sz val="10"/>
        <color rgb="FF1F2A28"/>
        <rFont val="WenQuanYi Zen Hei"/>
        <family val="2"/>
      </rPr>
      <t xml:space="preserve">、英語</t>
    </r>
    <r>
      <rPr>
        <sz val="10"/>
        <color rgb="FF1F2A28"/>
        <rFont val="Arial"/>
        <family val="0"/>
        <charset val="1"/>
      </rPr>
      <t xml:space="preserve">42.94</t>
    </r>
  </si>
  <si>
    <t xml:space="preserve">2009-05-14</t>
  </si>
  <si>
    <t xml:space="preserve">鄭瑞心</t>
  </si>
  <si>
    <t xml:space="preserve">臺中市私立語言樹英語短期補習班</t>
  </si>
  <si>
    <r>
      <rPr>
        <sz val="10"/>
        <color rgb="FF1F2A28"/>
        <rFont val="WenQuanYi Zen Hei"/>
        <family val="2"/>
      </rPr>
      <t xml:space="preserve">臺中市中區中山路</t>
    </r>
    <r>
      <rPr>
        <sz val="10"/>
        <color rgb="FF1F2A28"/>
        <rFont val="Arial"/>
        <family val="0"/>
        <charset val="1"/>
      </rPr>
      <t xml:space="preserve">27</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</si>
  <si>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(04)22255559</t>
  </si>
  <si>
    <t xml:space="preserve">2006-11-16</t>
  </si>
  <si>
    <t xml:space="preserve">胡心怡</t>
  </si>
  <si>
    <t xml:space="preserve">臺中市私立關鍵國際語文短期補習班</t>
  </si>
  <si>
    <r>
      <rPr>
        <sz val="10"/>
        <color rgb="FF1F2A28"/>
        <rFont val="WenQuanYi Zen Hei"/>
        <family val="2"/>
      </rPr>
      <t xml:space="preserve">臺中市中區臺灣大道一段</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</si>
  <si>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(04)22258171</t>
  </si>
  <si>
    <t xml:space="preserve">contact@focuslanguage.com.tw</t>
  </si>
  <si>
    <t xml:space="preserve">2015-09-14</t>
  </si>
  <si>
    <t xml:space="preserve">黃建彬</t>
  </si>
  <si>
    <t xml:space="preserve">黃雅楓</t>
  </si>
  <si>
    <t xml:space="preserve">臺中市中市</t>
  </si>
  <si>
    <t xml:space="preserve">臺中市私立眾允美語會話短期補習班</t>
  </si>
  <si>
    <r>
      <rPr>
        <sz val="10"/>
        <color rgb="FF1F2A28"/>
        <rFont val="WenQuanYi Zen Hei"/>
        <family val="2"/>
      </rPr>
      <t xml:space="preserve">臺中市中市北屯區大連路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134</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</si>
  <si>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04-22991687</t>
  </si>
  <si>
    <t xml:space="preserve">李佳融</t>
  </si>
  <si>
    <t xml:space="preserve">臺中市北區</t>
  </si>
  <si>
    <t xml:space="preserve">地球村語文資訊有限公司附設臺中市私立育才地球村美日語短期補習班</t>
  </si>
  <si>
    <r>
      <rPr>
        <sz val="10"/>
        <color rgb="FF1F2A28"/>
        <rFont val="WenQuanYi Zen Hei"/>
        <family val="2"/>
      </rPr>
      <t xml:space="preserve">臺中市北區三民路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146-1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</si>
  <si>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(04)2221-6868</t>
  </si>
  <si>
    <t xml:space="preserve">徐于婷</t>
  </si>
  <si>
    <t xml:space="preserve">東禾國際教育文化事業有限公司附設臺中市私立東禾外語短期補習班</t>
  </si>
  <si>
    <r>
      <rPr>
        <sz val="10"/>
        <color rgb="FF1F2A28"/>
        <rFont val="WenQuanYi Zen Hei"/>
        <family val="2"/>
      </rPr>
      <t xml:space="preserve">臺中市北區尊賢街</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10</t>
    </r>
    <r>
      <rPr>
        <sz val="10"/>
        <color rgb="FF1F2A28"/>
        <rFont val="WenQuanYi Zen Hei"/>
        <family val="2"/>
      </rPr>
      <t xml:space="preserve">樓</t>
    </r>
  </si>
  <si>
    <t xml:space="preserve">(04)22236870</t>
  </si>
  <si>
    <t xml:space="preserve">amychou.towa@gmail.com</t>
  </si>
  <si>
    <t xml:space="preserve">2005-12-12</t>
  </si>
  <si>
    <t xml:space="preserve">劉映良</t>
  </si>
  <si>
    <t xml:space="preserve">社團法人台中市基督教青年會附設臺中市私立全人語文技藝短期補習班北屯分班</t>
  </si>
  <si>
    <r>
      <rPr>
        <sz val="10"/>
        <color rgb="FF1F2A28"/>
        <rFont val="WenQuanYi Zen Hei"/>
        <family val="2"/>
      </rPr>
      <t xml:space="preserve">臺中市北區北屯路</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</si>
  <si>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04-22328823</t>
  </si>
  <si>
    <t xml:space="preserve">ymcaamoni@gmail.com</t>
  </si>
  <si>
    <t xml:space="preserve">1987-10-23</t>
  </si>
  <si>
    <r>
      <rPr>
        <sz val="10"/>
        <color rgb="FF1F2A28"/>
        <rFont val="WenQuanYi Zen Hei"/>
        <family val="2"/>
      </rPr>
      <t xml:space="preserve">社團法人台中市基督教青年會</t>
    </r>
    <r>
      <rPr>
        <sz val="10"/>
        <color rgb="FF1F2A28"/>
        <rFont val="Arial"/>
        <family val="0"/>
        <charset val="1"/>
      </rPr>
      <t xml:space="preserve">(</t>
    </r>
    <r>
      <rPr>
        <sz val="10"/>
        <color rgb="FF1F2A28"/>
        <rFont val="WenQuanYi Zen Hei"/>
        <family val="2"/>
      </rPr>
      <t xml:space="preserve">代表人：張文正</t>
    </r>
    <r>
      <rPr>
        <sz val="10"/>
        <color rgb="FF1F2A28"/>
        <rFont val="Arial"/>
        <family val="0"/>
        <charset val="1"/>
      </rPr>
      <t xml:space="preserve">)</t>
    </r>
  </si>
  <si>
    <t xml:space="preserve">楊孟倪</t>
  </si>
  <si>
    <t xml:space="preserve">臺中市私立三合漢口英語短期補習班</t>
  </si>
  <si>
    <r>
      <rPr>
        <sz val="10"/>
        <color rgb="FF1F2A28"/>
        <rFont val="WenQuanYi Zen Hei"/>
        <family val="2"/>
      </rPr>
      <t xml:space="preserve">臺中市北區漢口路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190</t>
    </r>
    <r>
      <rPr>
        <sz val="10"/>
        <color rgb="FF1F2A28"/>
        <rFont val="WenQuanYi Zen Hei"/>
        <family val="2"/>
      </rPr>
      <t xml:space="preserve">號</t>
    </r>
    <r>
      <rPr>
        <sz val="10"/>
        <color rgb="FF1F2A28"/>
        <rFont val="Arial"/>
        <family val="0"/>
        <charset val="1"/>
      </rPr>
      <t xml:space="preserve">1-3F</t>
    </r>
  </si>
  <si>
    <t xml:space="preserve">(04)22922388</t>
  </si>
  <si>
    <t xml:space="preserve">tc13.shane@gmail.com</t>
  </si>
  <si>
    <t xml:space="preserve">劉浩維</t>
  </si>
  <si>
    <t xml:space="preserve">沈秀容</t>
  </si>
  <si>
    <t xml:space="preserve">臺中市私立佳众美語會話短期補習班</t>
  </si>
  <si>
    <r>
      <rPr>
        <sz val="10"/>
        <color rgb="FF1F2A28"/>
        <rFont val="WenQuanYi Zen Hei"/>
        <family val="2"/>
      </rPr>
      <t xml:space="preserve">臺中市北區篤行路</t>
    </r>
    <r>
      <rPr>
        <sz val="10"/>
        <color rgb="FF1F2A28"/>
        <rFont val="Arial"/>
        <family val="0"/>
        <charset val="1"/>
      </rPr>
      <t xml:space="preserve">308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</si>
  <si>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04-22021902</t>
  </si>
  <si>
    <t xml:space="preserve">lovekidd1987@gmail.com</t>
  </si>
  <si>
    <t xml:space="preserve">2002-01-25</t>
  </si>
  <si>
    <t xml:space="preserve">吳坤林</t>
  </si>
  <si>
    <t xml:space="preserve">臺中市私立全國國際語文技藝短期補習班</t>
  </si>
  <si>
    <r>
      <rPr>
        <sz val="10"/>
        <color rgb="FF1F2A28"/>
        <rFont val="WenQuanYi Zen Hei"/>
        <family val="2"/>
      </rPr>
      <t xml:space="preserve">臺中市北區健行路</t>
    </r>
    <r>
      <rPr>
        <sz val="10"/>
        <color rgb="FF1F2A28"/>
        <rFont val="Arial"/>
        <family val="0"/>
        <charset val="1"/>
      </rPr>
      <t xml:space="preserve">317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</si>
  <si>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04-22312915</t>
  </si>
  <si>
    <t xml:space="preserve">chuan.kuo168@msa.hinet.net</t>
  </si>
  <si>
    <t xml:space="preserve">2000-12-14</t>
  </si>
  <si>
    <t xml:space="preserve">楊櫻鶯</t>
  </si>
  <si>
    <t xml:space="preserve">許嘉芸</t>
  </si>
  <si>
    <t xml:space="preserve">臺中市私立八色鳥文理短期補習班</t>
  </si>
  <si>
    <r>
      <rPr>
        <sz val="10"/>
        <color rgb="FF1F2A28"/>
        <rFont val="WenQuanYi Zen Hei"/>
        <family val="2"/>
      </rPr>
      <t xml:space="preserve">臺中市北區漢口路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</si>
  <si>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(04)22966213</t>
  </si>
  <si>
    <t xml:space="preserve">grandformosa99@gmail.com</t>
  </si>
  <si>
    <r>
      <rPr>
        <sz val="10"/>
        <color rgb="FF1F2A28"/>
        <rFont val="WenQuanYi Zen Hei"/>
        <family val="2"/>
      </rPr>
      <t xml:space="preserve">英語</t>
    </r>
    <r>
      <rPr>
        <sz val="10"/>
        <color rgb="FF1F2A28"/>
        <rFont val="Arial"/>
        <family val="0"/>
        <charset val="1"/>
      </rPr>
      <t xml:space="preserve">C</t>
    </r>
    <r>
      <rPr>
        <sz val="10"/>
        <color rgb="FF1F2A28"/>
        <rFont val="WenQuanYi Zen Hei"/>
        <family val="2"/>
      </rPr>
      <t xml:space="preserve">、英語</t>
    </r>
    <r>
      <rPr>
        <sz val="10"/>
        <color rgb="FF1F2A28"/>
        <rFont val="Arial"/>
        <family val="0"/>
        <charset val="1"/>
      </rPr>
      <t xml:space="preserve">B</t>
    </r>
    <r>
      <rPr>
        <sz val="10"/>
        <color rgb="FF1F2A28"/>
        <rFont val="WenQuanYi Zen Hei"/>
        <family val="2"/>
      </rPr>
      <t xml:space="preserve">、英語</t>
    </r>
    <r>
      <rPr>
        <sz val="10"/>
        <color rgb="FF1F2A28"/>
        <rFont val="Arial"/>
        <family val="0"/>
        <charset val="1"/>
      </rPr>
      <t xml:space="preserve">A</t>
    </r>
  </si>
  <si>
    <t xml:space="preserve">趙淑雯</t>
  </si>
  <si>
    <t xml:space="preserve">臺中市私立凱洛琳美日語會話附設圍棋短期補習班</t>
  </si>
  <si>
    <r>
      <rPr>
        <sz val="10"/>
        <color rgb="FF1F2A28"/>
        <rFont val="WenQuanYi Zen Hei"/>
        <family val="2"/>
      </rPr>
      <t xml:space="preserve">臺中市北區篤行路</t>
    </r>
    <r>
      <rPr>
        <sz val="10"/>
        <color rgb="FF1F2A28"/>
        <rFont val="Arial"/>
        <family val="0"/>
        <charset val="1"/>
      </rPr>
      <t xml:space="preserve">367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</si>
  <si>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(04)22083216</t>
  </si>
  <si>
    <t xml:space="preserve">朱立洹</t>
  </si>
  <si>
    <t xml:space="preserve">臺中市私立加能文理短期補習班</t>
  </si>
  <si>
    <r>
      <rPr>
        <sz val="10"/>
        <color rgb="FF1F2A28"/>
        <rFont val="WenQuanYi Zen Hei"/>
        <family val="2"/>
      </rPr>
      <t xml:space="preserve">臺中市北區崇德路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228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</si>
  <si>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(04)22311378</t>
  </si>
  <si>
    <t xml:space="preserve">power22311379@yahoo.com.tw</t>
  </si>
  <si>
    <t xml:space="preserve">2005-09-05</t>
  </si>
  <si>
    <t xml:space="preserve">陳朝欽</t>
  </si>
  <si>
    <t xml:space="preserve">臺中市私立國際英日語會話短期補習班</t>
  </si>
  <si>
    <r>
      <rPr>
        <sz val="10"/>
        <color rgb="FF1F2A28"/>
        <rFont val="WenQuanYi Zen Hei"/>
        <family val="2"/>
      </rPr>
      <t xml:space="preserve">臺中市北區五權路</t>
    </r>
    <r>
      <rPr>
        <sz val="10"/>
        <color rgb="FF1F2A28"/>
        <rFont val="Arial"/>
        <family val="0"/>
        <charset val="1"/>
      </rPr>
      <t xml:space="preserve">381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</si>
  <si>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04-22030333</t>
  </si>
  <si>
    <t xml:space="preserve">tilc@jpschool.com.tw</t>
  </si>
  <si>
    <r>
      <rPr>
        <sz val="10"/>
        <color rgb="FF1F2A28"/>
        <rFont val="WenQuanYi Zen Hei"/>
        <family val="2"/>
      </rPr>
      <t xml:space="preserve">英文</t>
    </r>
    <r>
      <rPr>
        <sz val="10"/>
        <color rgb="FF1F2A28"/>
        <rFont val="Arial"/>
        <family val="0"/>
        <charset val="1"/>
      </rPr>
      <t xml:space="preserve">23.18</t>
    </r>
  </si>
  <si>
    <t xml:space="preserve">1992-10-30</t>
  </si>
  <si>
    <t xml:space="preserve">蔡徐芬玉</t>
  </si>
  <si>
    <t xml:space="preserve">蔡承甫</t>
  </si>
  <si>
    <t xml:space="preserve">臺中市私立思密達語文短期補習班</t>
  </si>
  <si>
    <r>
      <rPr>
        <sz val="10"/>
        <color rgb="FF1F2A28"/>
        <rFont val="WenQuanYi Zen Hei"/>
        <family val="2"/>
      </rPr>
      <t xml:space="preserve">臺中市北區三民路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217</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樓之</t>
    </r>
    <r>
      <rPr>
        <sz val="10"/>
        <color rgb="FF1F2A28"/>
        <rFont val="Arial"/>
        <family val="0"/>
        <charset val="1"/>
      </rPr>
      <t xml:space="preserve">7</t>
    </r>
  </si>
  <si>
    <t xml:space="preserve">(04)22252655</t>
  </si>
  <si>
    <t xml:space="preserve">smidakorean@gmail.com</t>
  </si>
  <si>
    <t xml:space="preserve">2017-06-06</t>
  </si>
  <si>
    <t xml:space="preserve">林彥孺</t>
  </si>
  <si>
    <t xml:space="preserve">臺中市私立愛思禮英語短期補習班</t>
  </si>
  <si>
    <r>
      <rPr>
        <sz val="10"/>
        <color rgb="FF1F2A28"/>
        <rFont val="WenQuanYi Zen Hei"/>
        <family val="2"/>
      </rPr>
      <t xml:space="preserve">臺中市北區太原路二段</t>
    </r>
    <r>
      <rPr>
        <sz val="10"/>
        <color rgb="FF1F2A28"/>
        <rFont val="Arial"/>
        <family val="0"/>
        <charset val="1"/>
      </rPr>
      <t xml:space="preserve">253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</si>
  <si>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0916989621</t>
  </si>
  <si>
    <t xml:space="preserve">eslite2024@gmail.com</t>
  </si>
  <si>
    <r>
      <rPr>
        <sz val="10"/>
        <color rgb="FF1F2A28"/>
        <rFont val="WenQuanYi Zen Hei"/>
        <family val="2"/>
      </rPr>
      <t xml:space="preserve">英語</t>
    </r>
    <r>
      <rPr>
        <sz val="10"/>
        <color rgb="FF1F2A28"/>
        <rFont val="Arial"/>
        <family val="0"/>
        <charset val="1"/>
      </rPr>
      <t xml:space="preserve">A</t>
    </r>
    <r>
      <rPr>
        <sz val="10"/>
        <color rgb="FF1F2A28"/>
        <rFont val="WenQuanYi Zen Hei"/>
        <family val="2"/>
      </rPr>
      <t xml:space="preserve">、英語</t>
    </r>
    <r>
      <rPr>
        <sz val="10"/>
        <color rgb="FF1F2A28"/>
        <rFont val="Arial"/>
        <family val="0"/>
        <charset val="1"/>
      </rPr>
      <t xml:space="preserve">B</t>
    </r>
  </si>
  <si>
    <t xml:space="preserve">吳南毅</t>
  </si>
  <si>
    <t xml:space="preserve">吳璨如</t>
  </si>
  <si>
    <t xml:space="preserve">臺中市私立林強文理短期補習班</t>
  </si>
  <si>
    <r>
      <rPr>
        <sz val="10"/>
        <color rgb="FF1F2A28"/>
        <rFont val="WenQuanYi Zen Hei"/>
        <family val="2"/>
      </rPr>
      <t xml:space="preserve">臺中市北區陜西路</t>
    </r>
    <r>
      <rPr>
        <sz val="10"/>
        <color rgb="FF1F2A28"/>
        <rFont val="Arial"/>
        <family val="0"/>
        <charset val="1"/>
      </rPr>
      <t xml:space="preserve">87</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C</t>
    </r>
    <r>
      <rPr>
        <sz val="10"/>
        <color rgb="FF1F2A28"/>
        <rFont val="WenQuanYi Zen Hei"/>
        <family val="2"/>
      </rPr>
      <t xml:space="preserve">室</t>
    </r>
  </si>
  <si>
    <t xml:space="preserve">04-22966969</t>
  </si>
  <si>
    <t xml:space="preserve">林國華</t>
  </si>
  <si>
    <t xml:space="preserve">臺中市私立洋學堂英語會話短期補習班</t>
  </si>
  <si>
    <r>
      <rPr>
        <sz val="10"/>
        <color rgb="FF1F2A28"/>
        <rFont val="WenQuanYi Zen Hei"/>
        <family val="2"/>
      </rPr>
      <t xml:space="preserve">臺中市北區太原路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78</t>
    </r>
    <r>
      <rPr>
        <sz val="10"/>
        <color rgb="FF1F2A28"/>
        <rFont val="WenQuanYi Zen Hei"/>
        <family val="2"/>
      </rPr>
      <t xml:space="preserve">之</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</si>
  <si>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04-22355798</t>
  </si>
  <si>
    <t xml:space="preserve">2003-03-24</t>
  </si>
  <si>
    <t xml:space="preserve">李政忠</t>
  </si>
  <si>
    <t xml:space="preserve">臺中市私立渥德樹美語短期補習班</t>
  </si>
  <si>
    <r>
      <rPr>
        <sz val="10"/>
        <color rgb="FF1F2A28"/>
        <rFont val="WenQuanYi Zen Hei"/>
        <family val="2"/>
      </rPr>
      <t xml:space="preserve">臺中市北區美德街</t>
    </r>
    <r>
      <rPr>
        <sz val="10"/>
        <color rgb="FF1F2A28"/>
        <rFont val="Arial"/>
        <family val="0"/>
        <charset val="1"/>
      </rPr>
      <t xml:space="preserve">462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</si>
  <si>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0981410389</t>
  </si>
  <si>
    <t xml:space="preserve">dear01141201@hotmail.com</t>
  </si>
  <si>
    <t xml:space="preserve">2015-05-20</t>
  </si>
  <si>
    <t xml:space="preserve">李春蘭</t>
  </si>
  <si>
    <t xml:space="preserve">臺中市私立登楓英語會話短期補習班</t>
  </si>
  <si>
    <r>
      <rPr>
        <sz val="10"/>
        <color rgb="FF1F2A28"/>
        <rFont val="WenQuanYi Zen Hei"/>
        <family val="2"/>
      </rPr>
      <t xml:space="preserve">臺中市北區漢口路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102-1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</si>
  <si>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(04)22993838</t>
  </si>
  <si>
    <r>
      <rPr>
        <sz val="10"/>
        <color rgb="FF1F2A28"/>
        <rFont val="WenQuanYi Zen Hei"/>
        <family val="2"/>
      </rPr>
      <t xml:space="preserve">英語</t>
    </r>
    <r>
      <rPr>
        <sz val="10"/>
        <color rgb="FF1F2A28"/>
        <rFont val="Arial"/>
        <family val="0"/>
        <charset val="1"/>
      </rPr>
      <t xml:space="preserve">14.11</t>
    </r>
    <r>
      <rPr>
        <sz val="10"/>
        <color rgb="FF1F2A28"/>
        <rFont val="WenQuanYi Zen Hei"/>
        <family val="2"/>
      </rPr>
      <t xml:space="preserve">、英語</t>
    </r>
    <r>
      <rPr>
        <sz val="10"/>
        <color rgb="FF1F2A28"/>
        <rFont val="Arial"/>
        <family val="0"/>
        <charset val="1"/>
      </rPr>
      <t xml:space="preserve">25.1</t>
    </r>
    <r>
      <rPr>
        <sz val="10"/>
        <color rgb="FF1F2A28"/>
        <rFont val="WenQuanYi Zen Hei"/>
        <family val="2"/>
      </rPr>
      <t xml:space="preserve">含家庭作業</t>
    </r>
    <r>
      <rPr>
        <sz val="10"/>
        <color rgb="FF1F2A28"/>
        <rFont val="Arial"/>
        <family val="0"/>
        <charset val="1"/>
      </rPr>
      <t xml:space="preserve">8</t>
    </r>
    <r>
      <rPr>
        <sz val="10"/>
        <color rgb="FF1F2A28"/>
        <rFont val="WenQuanYi Zen Hei"/>
        <family val="2"/>
      </rPr>
      <t xml:space="preserve">小時、英語</t>
    </r>
    <r>
      <rPr>
        <sz val="10"/>
        <color rgb="FF1F2A28"/>
        <rFont val="Arial"/>
        <family val="0"/>
        <charset val="1"/>
      </rPr>
      <t xml:space="preserve">25.88</t>
    </r>
    <r>
      <rPr>
        <sz val="10"/>
        <color rgb="FF1F2A28"/>
        <rFont val="WenQuanYi Zen Hei"/>
        <family val="2"/>
      </rPr>
      <t xml:space="preserve">含家庭作業</t>
    </r>
    <r>
      <rPr>
        <sz val="10"/>
        <color rgb="FF1F2A28"/>
        <rFont val="Arial"/>
        <family val="0"/>
        <charset val="1"/>
      </rPr>
      <t xml:space="preserve">8</t>
    </r>
    <r>
      <rPr>
        <sz val="10"/>
        <color rgb="FF1F2A28"/>
        <rFont val="WenQuanYi Zen Hei"/>
        <family val="2"/>
      </rPr>
      <t xml:space="preserve">小時、英語</t>
    </r>
    <r>
      <rPr>
        <sz val="10"/>
        <color rgb="FF1F2A28"/>
        <rFont val="Arial"/>
        <family val="0"/>
        <charset val="1"/>
      </rPr>
      <t xml:space="preserve">25.88</t>
    </r>
    <r>
      <rPr>
        <sz val="10"/>
        <color rgb="FF1F2A28"/>
        <rFont val="WenQuanYi Zen Hei"/>
        <family val="2"/>
      </rPr>
      <t xml:space="preserve">、英語</t>
    </r>
    <r>
      <rPr>
        <sz val="10"/>
        <color rgb="FF1F2A28"/>
        <rFont val="Arial"/>
        <family val="0"/>
        <charset val="1"/>
      </rPr>
      <t xml:space="preserve">18.7</t>
    </r>
    <r>
      <rPr>
        <sz val="10"/>
        <color rgb="FF1F2A28"/>
        <rFont val="WenQuanYi Zen Hei"/>
        <family val="2"/>
      </rPr>
      <t xml:space="preserve">、英語</t>
    </r>
    <r>
      <rPr>
        <sz val="10"/>
        <color rgb="FF1F2A28"/>
        <rFont val="Arial"/>
        <family val="0"/>
        <charset val="1"/>
      </rPr>
      <t xml:space="preserve">32.68</t>
    </r>
    <r>
      <rPr>
        <sz val="10"/>
        <color rgb="FF1F2A28"/>
        <rFont val="WenQuanYi Zen Hei"/>
        <family val="2"/>
      </rPr>
      <t xml:space="preserve">、英語</t>
    </r>
    <r>
      <rPr>
        <sz val="10"/>
        <color rgb="FF1F2A28"/>
        <rFont val="Arial"/>
        <family val="0"/>
        <charset val="1"/>
      </rPr>
      <t xml:space="preserve">24.15</t>
    </r>
    <r>
      <rPr>
        <sz val="10"/>
        <color rgb="FF1F2A28"/>
        <rFont val="WenQuanYi Zen Hei"/>
        <family val="2"/>
      </rPr>
      <t xml:space="preserve">含家庭作業</t>
    </r>
    <r>
      <rPr>
        <sz val="10"/>
        <color rgb="FF1F2A28"/>
        <rFont val="Arial"/>
        <family val="0"/>
        <charset val="1"/>
      </rPr>
      <t xml:space="preserve">8</t>
    </r>
    <r>
      <rPr>
        <sz val="10"/>
        <color rgb="FF1F2A28"/>
        <rFont val="WenQuanYi Zen Hei"/>
        <family val="2"/>
      </rPr>
      <t xml:space="preserve">小時</t>
    </r>
  </si>
  <si>
    <t xml:space="preserve">2008-01-02</t>
  </si>
  <si>
    <t xml:space="preserve">江佳臻</t>
  </si>
  <si>
    <t xml:space="preserve">劉珮雯</t>
  </si>
  <si>
    <t xml:space="preserve">臺中市私立禾田文理短期補習班</t>
  </si>
  <si>
    <r>
      <rPr>
        <sz val="10"/>
        <color rgb="FF1F2A28"/>
        <rFont val="WenQuanYi Zen Hei"/>
        <family val="2"/>
      </rPr>
      <t xml:space="preserve">臺中市北區漢口路四段</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</si>
  <si>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04-22992799</t>
  </si>
  <si>
    <t xml:space="preserve">laicuo.tc@eagletw.com</t>
  </si>
  <si>
    <t xml:space="preserve">廖翊均</t>
  </si>
  <si>
    <t xml:space="preserve">臺中市私立英格力美語文教短期補習班</t>
  </si>
  <si>
    <r>
      <rPr>
        <sz val="10"/>
        <color rgb="FF1F2A28"/>
        <rFont val="WenQuanYi Zen Hei"/>
        <family val="2"/>
      </rPr>
      <t xml:space="preserve">臺中市北區陝西七街</t>
    </r>
    <r>
      <rPr>
        <sz val="10"/>
        <color rgb="FF1F2A28"/>
        <rFont val="Arial"/>
        <family val="0"/>
        <charset val="1"/>
      </rPr>
      <t xml:space="preserve">71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</si>
  <si>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04-22939198</t>
  </si>
  <si>
    <t xml:space="preserve">ingrid7171@gmail.com</t>
  </si>
  <si>
    <t xml:space="preserve">2002-09-03</t>
  </si>
  <si>
    <t xml:space="preserve">蘇桂央</t>
  </si>
  <si>
    <t xml:space="preserve">臺中市私立葳薾文理短期補習班</t>
  </si>
  <si>
    <r>
      <rPr>
        <sz val="10"/>
        <color rgb="FF1F2A28"/>
        <rFont val="WenQuanYi Zen Hei"/>
        <family val="2"/>
      </rPr>
      <t xml:space="preserve">臺中市北區東漢街</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</si>
  <si>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04-22303588</t>
  </si>
  <si>
    <t xml:space="preserve">petty_peng@wagor.tc.edu.tw</t>
  </si>
  <si>
    <t xml:space="preserve">杜宜俊</t>
  </si>
  <si>
    <t xml:space="preserve">彭詩婷</t>
  </si>
  <si>
    <t xml:space="preserve">臺中市私立金像獎文理技藝短期補習班</t>
  </si>
  <si>
    <r>
      <rPr>
        <sz val="10"/>
        <color rgb="FF1F2A28"/>
        <rFont val="WenQuanYi Zen Hei"/>
        <family val="2"/>
      </rPr>
      <t xml:space="preserve">臺中市北區陜西路</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</si>
  <si>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(04)22919666</t>
  </si>
  <si>
    <t xml:space="preserve">xingleiyao19910215@gmail.com</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</si>
  <si>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商類：珠算、心算、會計</t>
    </r>
  </si>
  <si>
    <t xml:space="preserve">2015-08-10</t>
  </si>
  <si>
    <t xml:space="preserve">蔡伯其</t>
  </si>
  <si>
    <t xml:space="preserve">姚星蕾</t>
  </si>
  <si>
    <t xml:space="preserve">達人資產管理有限公司附設臺中市私立優儒美語短期補習班</t>
  </si>
  <si>
    <r>
      <rPr>
        <sz val="10"/>
        <color rgb="FF1F2A28"/>
        <rFont val="WenQuanYi Zen Hei"/>
        <family val="2"/>
      </rPr>
      <t xml:space="preserve">臺中市北區漢口路四段</t>
    </r>
    <r>
      <rPr>
        <sz val="10"/>
        <color rgb="FF1F2A28"/>
        <rFont val="Arial"/>
        <family val="0"/>
        <charset val="1"/>
      </rPr>
      <t xml:space="preserve">196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</si>
  <si>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(04)22312333</t>
  </si>
  <si>
    <t xml:space="preserve">kaochiao.fa07@gmail.com</t>
  </si>
  <si>
    <t xml:space="preserve">2004-08-19</t>
  </si>
  <si>
    <r>
      <rPr>
        <sz val="10"/>
        <color rgb="FF1F2A28"/>
        <rFont val="WenQuanYi Zen Hei"/>
        <family val="2"/>
      </rPr>
      <t xml:space="preserve">達人資產管理有限公司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吳廷發</t>
    </r>
    <r>
      <rPr>
        <sz val="10"/>
        <color rgb="FF1F2A28"/>
        <rFont val="Arial"/>
        <family val="0"/>
        <charset val="1"/>
      </rPr>
      <t xml:space="preserve">)</t>
    </r>
  </si>
  <si>
    <t xml:space="preserve">賴淑權</t>
  </si>
  <si>
    <t xml:space="preserve">臺中市南區</t>
  </si>
  <si>
    <t xml:space="preserve">中國青年救國團台中市團務指導委員會附設臺中市私立復興語文技藝短期補習班</t>
  </si>
  <si>
    <r>
      <rPr>
        <sz val="10"/>
        <color rgb="FF1F2A28"/>
        <rFont val="WenQuanYi Zen Hei"/>
        <family val="2"/>
      </rPr>
      <t xml:space="preserve">臺中市南區復興路一段</t>
    </r>
    <r>
      <rPr>
        <sz val="10"/>
        <color rgb="FF1F2A28"/>
        <rFont val="Arial"/>
        <family val="0"/>
        <charset val="1"/>
      </rPr>
      <t xml:space="preserve">270</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</si>
  <si>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(04)22602921</t>
  </si>
  <si>
    <t xml:space="preserve">cyc22602921@cyc.tw</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</si>
  <si>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音樂、舞蹈類</t>
    </r>
  </si>
  <si>
    <t xml:space="preserve">2014-03-06</t>
  </si>
  <si>
    <t xml:space="preserve">中國青年救國團台中市團務指導委員會、總幹事：藍涂育</t>
  </si>
  <si>
    <t xml:space="preserve">藍涂育</t>
  </si>
  <si>
    <t xml:space="preserve">戴爾美語教育科技事業股份有限公司附設臺中市私立戴爾語文短期補習班</t>
  </si>
  <si>
    <r>
      <rPr>
        <sz val="10"/>
        <color rgb="FF1F2A28"/>
        <rFont val="WenQuanYi Zen Hei"/>
        <family val="2"/>
      </rPr>
      <t xml:space="preserve">臺中市南區臺中路</t>
    </r>
    <r>
      <rPr>
        <sz val="10"/>
        <color rgb="FF1F2A28"/>
        <rFont val="Arial"/>
        <family val="0"/>
        <charset val="1"/>
      </rPr>
      <t xml:space="preserve">76</t>
    </r>
    <r>
      <rPr>
        <sz val="10"/>
        <color rgb="FF1F2A28"/>
        <rFont val="WenQuanYi Zen Hei"/>
        <family val="2"/>
      </rPr>
      <t xml:space="preserve">號</t>
    </r>
    <r>
      <rPr>
        <sz val="10"/>
        <color rgb="FF1F2A28"/>
        <rFont val="Arial"/>
        <family val="0"/>
        <charset val="1"/>
      </rPr>
      <t xml:space="preserve">1-6</t>
    </r>
    <r>
      <rPr>
        <sz val="10"/>
        <color rgb="FF1F2A28"/>
        <rFont val="WenQuanYi Zen Hei"/>
        <family val="2"/>
      </rPr>
      <t xml:space="preserve">樓</t>
    </r>
  </si>
  <si>
    <t xml:space="preserve">(04)22233301</t>
  </si>
  <si>
    <t xml:space="preserve">多益英文、托福英文、英文文法、英檢英文、英文會話</t>
  </si>
  <si>
    <t xml:space="preserve">2016-11-25</t>
  </si>
  <si>
    <r>
      <rPr>
        <sz val="10"/>
        <color rgb="FF1F2A28"/>
        <rFont val="WenQuanYi Zen Hei"/>
        <family val="2"/>
      </rPr>
      <t xml:space="preserve">戴爾美語教育科技事業股份有限公司法定代理人</t>
    </r>
    <r>
      <rPr>
        <sz val="10"/>
        <color rgb="FF1F2A28"/>
        <rFont val="Arial"/>
        <family val="0"/>
        <charset val="1"/>
      </rPr>
      <t xml:space="preserve">:</t>
    </r>
    <r>
      <rPr>
        <sz val="10"/>
        <color rgb="FF1F2A28"/>
        <rFont val="WenQuanYi Zen Hei"/>
        <family val="2"/>
      </rPr>
      <t xml:space="preserve">褚為誼</t>
    </r>
  </si>
  <si>
    <t xml:space="preserve">夏愷隸</t>
  </si>
  <si>
    <t xml:space="preserve">歐森教育事業股份有限公司附設臺中市私立歐森文理短期補習班</t>
  </si>
  <si>
    <r>
      <rPr>
        <sz val="10"/>
        <color rgb="FF1F2A28"/>
        <rFont val="WenQuanYi Zen Hei"/>
        <family val="2"/>
      </rPr>
      <t xml:space="preserve">臺中市南區福田路</t>
    </r>
    <r>
      <rPr>
        <sz val="10"/>
        <color rgb="FF1F2A28"/>
        <rFont val="Arial"/>
        <family val="0"/>
        <charset val="1"/>
      </rPr>
      <t xml:space="preserve">82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</si>
  <si>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04-22626643</t>
  </si>
  <si>
    <t xml:space="preserve">awesome9305@gmail.com</t>
  </si>
  <si>
    <t xml:space="preserve">英語科</t>
  </si>
  <si>
    <t xml:space="preserve">2004-02-11</t>
  </si>
  <si>
    <r>
      <rPr>
        <sz val="10"/>
        <color rgb="FF1F2A28"/>
        <rFont val="WenQuanYi Zen Hei"/>
        <family val="2"/>
      </rPr>
      <t xml:space="preserve">歐森教育事業股份有限公司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陳碧月</t>
    </r>
    <r>
      <rPr>
        <sz val="10"/>
        <color rgb="FF1F2A28"/>
        <rFont val="Arial"/>
        <family val="0"/>
        <charset val="1"/>
      </rPr>
      <t xml:space="preserve">)</t>
    </r>
  </si>
  <si>
    <t xml:space="preserve">林宜潔</t>
  </si>
  <si>
    <t xml:space="preserve">臺中市私立三合信義文理短期補習班</t>
  </si>
  <si>
    <r>
      <rPr>
        <sz val="10"/>
        <color rgb="FF1F2A28"/>
        <rFont val="WenQuanYi Zen Hei"/>
        <family val="2"/>
      </rPr>
      <t xml:space="preserve">臺中市南區五權南路</t>
    </r>
    <r>
      <rPr>
        <sz val="10"/>
        <color rgb="FF1F2A28"/>
        <rFont val="Arial"/>
        <family val="0"/>
        <charset val="1"/>
      </rPr>
      <t xml:space="preserve">300</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</si>
  <si>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(04)22657568</t>
  </si>
  <si>
    <t xml:space="preserve">tc21.shane@gmail.com</t>
  </si>
  <si>
    <r>
      <rPr>
        <sz val="10"/>
        <color rgb="FF1F2A28"/>
        <rFont val="WenQuanYi Zen Hei"/>
        <family val="2"/>
      </rPr>
      <t xml:space="preserve">英語</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科、英語</t>
    </r>
    <r>
      <rPr>
        <sz val="10"/>
        <color rgb="FF1F2A28"/>
        <rFont val="Arial"/>
        <family val="0"/>
        <charset val="1"/>
      </rPr>
      <t xml:space="preserve">C</t>
    </r>
    <r>
      <rPr>
        <sz val="10"/>
        <color rgb="FF1F2A28"/>
        <rFont val="WenQuanYi Zen Hei"/>
        <family val="2"/>
      </rPr>
      <t xml:space="preserve">、</t>
    </r>
    <r>
      <rPr>
        <sz val="10"/>
        <color rgb="FF1F2A28"/>
        <rFont val="Arial"/>
        <family val="0"/>
        <charset val="1"/>
      </rPr>
      <t xml:space="preserve">D</t>
    </r>
    <r>
      <rPr>
        <sz val="10"/>
        <color rgb="FF1F2A28"/>
        <rFont val="WenQuanYi Zen Hei"/>
        <family val="2"/>
      </rPr>
      <t xml:space="preserve">科、英語</t>
    </r>
    <r>
      <rPr>
        <sz val="10"/>
        <color rgb="FF1F2A28"/>
        <rFont val="Arial"/>
        <family val="0"/>
        <charset val="1"/>
      </rPr>
      <t xml:space="preserve">E</t>
    </r>
    <r>
      <rPr>
        <sz val="10"/>
        <color rgb="FF1F2A28"/>
        <rFont val="WenQuanYi Zen Hei"/>
        <family val="2"/>
      </rPr>
      <t xml:space="preserve">、</t>
    </r>
    <r>
      <rPr>
        <sz val="10"/>
        <color rgb="FF1F2A28"/>
        <rFont val="Arial"/>
        <family val="0"/>
        <charset val="1"/>
      </rPr>
      <t xml:space="preserve">F</t>
    </r>
    <r>
      <rPr>
        <sz val="10"/>
        <color rgb="FF1F2A28"/>
        <rFont val="WenQuanYi Zen Hei"/>
        <family val="2"/>
      </rPr>
      <t xml:space="preserve">科</t>
    </r>
  </si>
  <si>
    <t xml:space="preserve">2015-09-01</t>
  </si>
  <si>
    <t xml:space="preserve">王惠玲</t>
  </si>
  <si>
    <t xml:space="preserve">臺中市私立仁愛美語數學短期補習班</t>
  </si>
  <si>
    <r>
      <rPr>
        <sz val="10"/>
        <color rgb="FF1F2A28"/>
        <rFont val="WenQuanYi Zen Hei"/>
        <family val="2"/>
      </rPr>
      <t xml:space="preserve">臺中市南區臺中路</t>
    </r>
    <r>
      <rPr>
        <sz val="10"/>
        <color rgb="FF1F2A28"/>
        <rFont val="Arial"/>
        <family val="0"/>
        <charset val="1"/>
      </rPr>
      <t xml:space="preserve">154</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</si>
  <si>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04-22877271</t>
  </si>
  <si>
    <t xml:space="preserve">a22801142@yahoo.com.tw</t>
  </si>
  <si>
    <t xml:space="preserve">1997-03-24</t>
  </si>
  <si>
    <t xml:space="preserve">葉純哲</t>
  </si>
  <si>
    <t xml:space="preserve">臺中市私立佳優文理短期補習班</t>
  </si>
  <si>
    <r>
      <rPr>
        <sz val="10"/>
        <color rgb="FF1F2A28"/>
        <rFont val="WenQuanYi Zen Hei"/>
        <family val="2"/>
      </rPr>
      <t xml:space="preserve">臺中市南區福田三街</t>
    </r>
    <r>
      <rPr>
        <sz val="10"/>
        <color rgb="FF1F2A28"/>
        <rFont val="Arial"/>
        <family val="0"/>
        <charset val="1"/>
      </rPr>
      <t xml:space="preserve">131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</si>
  <si>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(04)22631575</t>
  </si>
  <si>
    <t xml:space="preserve">tracy.ko1202@gmail.com</t>
  </si>
  <si>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科、美語</t>
    </r>
    <r>
      <rPr>
        <sz val="10"/>
        <color rgb="FF1F2A28"/>
        <rFont val="Arial"/>
        <family val="0"/>
        <charset val="1"/>
      </rPr>
      <t xml:space="preserve">B</t>
    </r>
    <r>
      <rPr>
        <sz val="10"/>
        <color rgb="FF1F2A28"/>
        <rFont val="WenQuanYi Zen Hei"/>
        <family val="2"/>
      </rPr>
      <t xml:space="preserve">科、美語</t>
    </r>
    <r>
      <rPr>
        <sz val="10"/>
        <color rgb="FF1F2A28"/>
        <rFont val="Arial"/>
        <family val="0"/>
        <charset val="1"/>
      </rPr>
      <t xml:space="preserve">C</t>
    </r>
    <r>
      <rPr>
        <sz val="10"/>
        <color rgb="FF1F2A28"/>
        <rFont val="WenQuanYi Zen Hei"/>
        <family val="2"/>
      </rPr>
      <t xml:space="preserve">科、美語</t>
    </r>
    <r>
      <rPr>
        <sz val="10"/>
        <color rgb="FF1F2A28"/>
        <rFont val="Arial"/>
        <family val="0"/>
        <charset val="1"/>
      </rPr>
      <t xml:space="preserve">D</t>
    </r>
    <r>
      <rPr>
        <sz val="10"/>
        <color rgb="FF1F2A28"/>
        <rFont val="WenQuanYi Zen Hei"/>
        <family val="2"/>
      </rPr>
      <t xml:space="preserve">科</t>
    </r>
  </si>
  <si>
    <t xml:space="preserve">2013-08-12</t>
  </si>
  <si>
    <t xml:space="preserve">許怡津</t>
  </si>
  <si>
    <t xml:space="preserve">柯翠瑛</t>
  </si>
  <si>
    <t xml:space="preserve">臺中市私立小森林才藝中心</t>
  </si>
  <si>
    <r>
      <rPr>
        <sz val="10"/>
        <color rgb="FF1F2A28"/>
        <rFont val="WenQuanYi Zen Hei"/>
        <family val="2"/>
      </rPr>
      <t xml:space="preserve">臺中市南區高工路</t>
    </r>
    <r>
      <rPr>
        <sz val="10"/>
        <color rgb="FF1F2A28"/>
        <rFont val="Arial"/>
        <family val="0"/>
        <charset val="1"/>
      </rPr>
      <t xml:space="preserve">271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</si>
  <si>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04-22627322</t>
  </si>
  <si>
    <t xml:space="preserve">forest_little@yahoo.com.tw</t>
  </si>
  <si>
    <t xml:space="preserve">1999-03-12</t>
  </si>
  <si>
    <t xml:space="preserve">戴玲英</t>
  </si>
  <si>
    <t xml:space="preserve">陳雅雯</t>
  </si>
  <si>
    <t xml:space="preserve">臺中市私立新階美語會話短期補習班</t>
  </si>
  <si>
    <r>
      <rPr>
        <sz val="10"/>
        <color rgb="FF1F2A28"/>
        <rFont val="WenQuanYi Zen Hei"/>
        <family val="2"/>
      </rPr>
      <t xml:space="preserve">臺中市南區美村南路</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樓及臺中市南區新和街</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</si>
  <si>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04-22608555</t>
  </si>
  <si>
    <t xml:space="preserve">gaujie14682575@gmail.com</t>
  </si>
  <si>
    <t xml:space="preserve">賴如梅</t>
  </si>
  <si>
    <t xml:space="preserve">臺中市私立樹義文理美術短期補習班</t>
  </si>
  <si>
    <r>
      <rPr>
        <sz val="10"/>
        <color rgb="FF1F2A28"/>
        <rFont val="WenQuanYi Zen Hei"/>
        <family val="2"/>
      </rPr>
      <t xml:space="preserve">臺中市南區福田路</t>
    </r>
    <r>
      <rPr>
        <sz val="10"/>
        <color rgb="FF1F2A28"/>
        <rFont val="Arial"/>
        <family val="0"/>
        <charset val="1"/>
      </rPr>
      <t xml:space="preserve">192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</si>
  <si>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04-22629088</t>
  </si>
  <si>
    <t xml:space="preserve">luckly5588@yahoo.com.tw</t>
  </si>
  <si>
    <r>
      <rPr>
        <sz val="10"/>
        <color rgb="FF1F2A28"/>
        <rFont val="WenQuanYi Zen Hei"/>
        <family val="2"/>
      </rPr>
      <t xml:space="preserve">美語</t>
    </r>
    <r>
      <rPr>
        <sz val="10"/>
        <color rgb="FF1F2A28"/>
        <rFont val="Arial"/>
        <family val="0"/>
        <charset val="1"/>
      </rPr>
      <t xml:space="preserve">B</t>
    </r>
    <r>
      <rPr>
        <sz val="10"/>
        <color rgb="FF1F2A28"/>
        <rFont val="WenQuanYi Zen Hei"/>
        <family val="2"/>
      </rPr>
      <t xml:space="preserve">科、美語</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C</t>
    </r>
    <r>
      <rPr>
        <sz val="10"/>
        <color rgb="FF1F2A28"/>
        <rFont val="WenQuanYi Zen Hei"/>
        <family val="2"/>
      </rPr>
      <t xml:space="preserve">科</t>
    </r>
  </si>
  <si>
    <t xml:space="preserve">2017-04-04</t>
  </si>
  <si>
    <t xml:space="preserve">曾心韻</t>
  </si>
  <si>
    <t xml:space="preserve">臺中市私立英吉瑞美語會話短期補習班</t>
  </si>
  <si>
    <r>
      <rPr>
        <sz val="10"/>
        <color rgb="FF1F2A28"/>
        <rFont val="WenQuanYi Zen Hei"/>
        <family val="2"/>
      </rPr>
      <t xml:space="preserve">臺中市南區福田三街</t>
    </r>
    <r>
      <rPr>
        <sz val="10"/>
        <color rgb="FF1F2A28"/>
        <rFont val="Arial"/>
        <family val="0"/>
        <charset val="1"/>
      </rPr>
      <t xml:space="preserve">121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r>
      <rPr>
        <sz val="10"/>
        <color rgb="FF1F2A28"/>
        <rFont val="Arial"/>
        <family val="0"/>
        <charset val="1"/>
      </rPr>
      <t xml:space="preserve">137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</si>
  <si>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04-22631575</t>
  </si>
  <si>
    <t xml:space="preserve">2002-11-29</t>
  </si>
  <si>
    <t xml:space="preserve">許怡嵐</t>
  </si>
  <si>
    <t xml:space="preserve">臺中市私立貝思特文理短期補習班</t>
  </si>
  <si>
    <r>
      <rPr>
        <sz val="10"/>
        <color rgb="FF1F2A28"/>
        <rFont val="WenQuanYi Zen Hei"/>
        <family val="2"/>
      </rPr>
      <t xml:space="preserve">臺中市南區五權南路</t>
    </r>
    <r>
      <rPr>
        <sz val="10"/>
        <color rgb="FF1F2A28"/>
        <rFont val="Arial"/>
        <family val="0"/>
        <charset val="1"/>
      </rPr>
      <t xml:space="preserve">304</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</si>
  <si>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(04)22651403</t>
  </si>
  <si>
    <t xml:space="preserve">studyatbest@gmail.com</t>
  </si>
  <si>
    <r>
      <rPr>
        <sz val="10"/>
        <color rgb="FF1F2A28"/>
        <rFont val="WenQuanYi Zen Hei"/>
        <family val="2"/>
      </rPr>
      <t xml:space="preserve">美語會話</t>
    </r>
    <r>
      <rPr>
        <sz val="10"/>
        <color rgb="FF1F2A28"/>
        <rFont val="Arial"/>
        <family val="0"/>
        <charset val="1"/>
      </rPr>
      <t xml:space="preserve">D</t>
    </r>
    <r>
      <rPr>
        <sz val="10"/>
        <color rgb="FF1F2A28"/>
        <rFont val="WenQuanYi Zen Hei"/>
        <family val="2"/>
      </rPr>
      <t xml:space="preserve">科、美語會話</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t>
    </r>
    <r>
      <rPr>
        <sz val="10"/>
        <color rgb="FF1F2A28"/>
        <rFont val="Arial"/>
        <family val="0"/>
        <charset val="1"/>
      </rPr>
      <t xml:space="preserve">C</t>
    </r>
    <r>
      <rPr>
        <sz val="10"/>
        <color rgb="FF1F2A28"/>
        <rFont val="WenQuanYi Zen Hei"/>
        <family val="2"/>
      </rPr>
      <t xml:space="preserve">科、美語會話</t>
    </r>
    <r>
      <rPr>
        <sz val="10"/>
        <color rgb="FF1F2A28"/>
        <rFont val="Arial"/>
        <family val="0"/>
        <charset val="1"/>
      </rPr>
      <t xml:space="preserve">E</t>
    </r>
    <r>
      <rPr>
        <sz val="10"/>
        <color rgb="FF1F2A28"/>
        <rFont val="WenQuanYi Zen Hei"/>
        <family val="2"/>
      </rPr>
      <t xml:space="preserve">科、美語會話</t>
    </r>
    <r>
      <rPr>
        <sz val="10"/>
        <color rgb="FF1F2A28"/>
        <rFont val="Arial"/>
        <family val="0"/>
        <charset val="1"/>
      </rPr>
      <t xml:space="preserve">F</t>
    </r>
    <r>
      <rPr>
        <sz val="10"/>
        <color rgb="FF1F2A28"/>
        <rFont val="WenQuanYi Zen Hei"/>
        <family val="2"/>
      </rPr>
      <t xml:space="preserve">科、美語會話</t>
    </r>
    <r>
      <rPr>
        <sz val="10"/>
        <color rgb="FF1F2A28"/>
        <rFont val="Arial"/>
        <family val="0"/>
        <charset val="1"/>
      </rPr>
      <t xml:space="preserve">G</t>
    </r>
    <r>
      <rPr>
        <sz val="10"/>
        <color rgb="FF1F2A28"/>
        <rFont val="WenQuanYi Zen Hei"/>
        <family val="2"/>
      </rPr>
      <t xml:space="preserve">科</t>
    </r>
  </si>
  <si>
    <t xml:space="preserve">楊筑羽</t>
  </si>
  <si>
    <t xml:space="preserve">臺中市私立長信美語短期補習班</t>
  </si>
  <si>
    <r>
      <rPr>
        <sz val="10"/>
        <color rgb="FF1F2A28"/>
        <rFont val="WenQuanYi Zen Hei"/>
        <family val="2"/>
      </rPr>
      <t xml:space="preserve">臺中市南區美村南路</t>
    </r>
    <r>
      <rPr>
        <sz val="10"/>
        <color rgb="FF1F2A28"/>
        <rFont val="Arial"/>
        <family val="0"/>
        <charset val="1"/>
      </rPr>
      <t xml:space="preserve">59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</si>
  <si>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(04)22605599</t>
  </si>
  <si>
    <t xml:space="preserve">sarachen_p@yahoo.com.tw</t>
  </si>
  <si>
    <t xml:space="preserve">2004-06-24</t>
  </si>
  <si>
    <t xml:space="preserve">徐貴銘</t>
  </si>
  <si>
    <t xml:space="preserve">陳玉蘭</t>
  </si>
  <si>
    <t xml:space="preserve">臺中市東區</t>
  </si>
  <si>
    <t xml:space="preserve">新焦點國際文教顧問有限公司附設臺中市私立字神帝國英語短期補習班</t>
  </si>
  <si>
    <r>
      <rPr>
        <sz val="10"/>
        <color rgb="FF1F2A28"/>
        <rFont val="WenQuanYi Zen Hei"/>
        <family val="2"/>
      </rPr>
      <t xml:space="preserve">臺中市東區復興路四段</t>
    </r>
    <r>
      <rPr>
        <sz val="10"/>
        <color rgb="FF1F2A28"/>
        <rFont val="Arial"/>
        <family val="0"/>
        <charset val="1"/>
      </rPr>
      <t xml:space="preserve">82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</si>
  <si>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(04)36099000</t>
  </si>
  <si>
    <t xml:space="preserve">新焦點國際文教顧問有限公司、康俊隆</t>
  </si>
  <si>
    <t xml:space="preserve">康美慧</t>
  </si>
  <si>
    <t xml:space="preserve">臺中市私立佳益文理短期補習班</t>
  </si>
  <si>
    <r>
      <rPr>
        <sz val="10"/>
        <color rgb="FF1F2A28"/>
        <rFont val="WenQuanYi Zen Hei"/>
        <family val="2"/>
      </rPr>
      <t xml:space="preserve">臺中市東區進化路</t>
    </r>
    <r>
      <rPr>
        <sz val="10"/>
        <color rgb="FF1F2A28"/>
        <rFont val="Arial"/>
        <family val="0"/>
        <charset val="1"/>
      </rPr>
      <t xml:space="preserve">207</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</si>
  <si>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(04)23603608</t>
  </si>
  <si>
    <t xml:space="preserve">joyjinhua91@gmail.com</t>
  </si>
  <si>
    <r>
      <rPr>
        <sz val="10"/>
        <color rgb="FF1F2A28"/>
        <rFont val="WenQuanYi Zen Hei"/>
        <family val="2"/>
      </rPr>
      <t xml:space="preserve">英語</t>
    </r>
    <r>
      <rPr>
        <sz val="10"/>
        <color rgb="FF1F2A28"/>
        <rFont val="Arial"/>
        <family val="0"/>
        <charset val="1"/>
      </rPr>
      <t xml:space="preserve">A</t>
    </r>
    <r>
      <rPr>
        <sz val="10"/>
        <color rgb="FF1F2A28"/>
        <rFont val="WenQuanYi Zen Hei"/>
        <family val="2"/>
      </rPr>
      <t xml:space="preserve">、英語</t>
    </r>
    <r>
      <rPr>
        <sz val="10"/>
        <color rgb="FF1F2A28"/>
        <rFont val="Arial"/>
        <family val="0"/>
        <charset val="1"/>
      </rPr>
      <t xml:space="preserve">B</t>
    </r>
    <r>
      <rPr>
        <sz val="10"/>
        <color rgb="FF1F2A28"/>
        <rFont val="WenQuanYi Zen Hei"/>
        <family val="2"/>
      </rPr>
      <t xml:space="preserve">、英語</t>
    </r>
    <r>
      <rPr>
        <sz val="10"/>
        <color rgb="FF1F2A28"/>
        <rFont val="Arial"/>
        <family val="0"/>
        <charset val="1"/>
      </rPr>
      <t xml:space="preserve">C</t>
    </r>
    <r>
      <rPr>
        <sz val="10"/>
        <color rgb="FF1F2A28"/>
        <rFont val="WenQuanYi Zen Hei"/>
        <family val="2"/>
      </rPr>
      <t xml:space="preserve">、英語</t>
    </r>
    <r>
      <rPr>
        <sz val="10"/>
        <color rgb="FF1F2A28"/>
        <rFont val="Arial"/>
        <family val="0"/>
        <charset val="1"/>
      </rPr>
      <t xml:space="preserve">D</t>
    </r>
    <r>
      <rPr>
        <sz val="10"/>
        <color rgb="FF1F2A28"/>
        <rFont val="WenQuanYi Zen Hei"/>
        <family val="2"/>
      </rPr>
      <t xml:space="preserve">、英語</t>
    </r>
    <r>
      <rPr>
        <sz val="10"/>
        <color rgb="FF1F2A28"/>
        <rFont val="Arial"/>
        <family val="0"/>
        <charset val="1"/>
      </rPr>
      <t xml:space="preserve">E</t>
    </r>
    <r>
      <rPr>
        <sz val="10"/>
        <color rgb="FF1F2A28"/>
        <rFont val="WenQuanYi Zen Hei"/>
        <family val="2"/>
      </rPr>
      <t xml:space="preserve">、英語</t>
    </r>
    <r>
      <rPr>
        <sz val="10"/>
        <color rgb="FF1F2A28"/>
        <rFont val="Arial"/>
        <family val="0"/>
        <charset val="1"/>
      </rPr>
      <t xml:space="preserve">F</t>
    </r>
  </si>
  <si>
    <t xml:space="preserve">2004-07-21</t>
  </si>
  <si>
    <t xml:space="preserve">朱洺瑤</t>
  </si>
  <si>
    <t xml:space="preserve">朱怡靜</t>
  </si>
  <si>
    <t xml:space="preserve">臺中市私立彌賽亞美語短期補習班</t>
  </si>
  <si>
    <r>
      <rPr>
        <sz val="10"/>
        <color rgb="FF1F2A28"/>
        <rFont val="WenQuanYi Zen Hei"/>
        <family val="2"/>
      </rPr>
      <t xml:space="preserve">臺中市東區建成路</t>
    </r>
    <r>
      <rPr>
        <sz val="10"/>
        <color rgb="FF1F2A28"/>
        <rFont val="Arial"/>
        <family val="0"/>
        <charset val="1"/>
      </rPr>
      <t xml:space="preserve">340-1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342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</si>
  <si>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(04)22120652</t>
  </si>
  <si>
    <t xml:space="preserve">messiahenglish@gmail.com</t>
  </si>
  <si>
    <r>
      <rPr>
        <sz val="10"/>
        <color rgb="FF1F2A28"/>
        <rFont val="WenQuanYi Zen Hei"/>
        <family val="2"/>
      </rPr>
      <t xml:space="preserve">英文科</t>
    </r>
    <r>
      <rPr>
        <sz val="10"/>
        <color rgb="FF1F2A28"/>
        <rFont val="Arial"/>
        <family val="0"/>
        <charset val="1"/>
      </rPr>
      <t xml:space="preserve">E</t>
    </r>
    <r>
      <rPr>
        <sz val="10"/>
        <color rgb="FF1F2A28"/>
        <rFont val="WenQuanYi Zen Hei"/>
        <family val="2"/>
      </rPr>
      <t xml:space="preserve">、英文科</t>
    </r>
    <r>
      <rPr>
        <sz val="10"/>
        <color rgb="FF1F2A28"/>
        <rFont val="Arial"/>
        <family val="0"/>
        <charset val="1"/>
      </rPr>
      <t xml:space="preserve">A</t>
    </r>
    <r>
      <rPr>
        <sz val="10"/>
        <color rgb="FF1F2A28"/>
        <rFont val="WenQuanYi Zen Hei"/>
        <family val="2"/>
      </rPr>
      <t xml:space="preserve">、英文科</t>
    </r>
    <r>
      <rPr>
        <sz val="10"/>
        <color rgb="FF1F2A28"/>
        <rFont val="Arial"/>
        <family val="0"/>
        <charset val="1"/>
      </rPr>
      <t xml:space="preserve">B</t>
    </r>
    <r>
      <rPr>
        <sz val="10"/>
        <color rgb="FF1F2A28"/>
        <rFont val="WenQuanYi Zen Hei"/>
        <family val="2"/>
      </rPr>
      <t xml:space="preserve">、英文科</t>
    </r>
    <r>
      <rPr>
        <sz val="10"/>
        <color rgb="FF1F2A28"/>
        <rFont val="Arial"/>
        <family val="0"/>
        <charset val="1"/>
      </rPr>
      <t xml:space="preserve">D</t>
    </r>
    <r>
      <rPr>
        <sz val="10"/>
        <color rgb="FF1F2A28"/>
        <rFont val="WenQuanYi Zen Hei"/>
        <family val="2"/>
      </rPr>
      <t xml:space="preserve">、英文科</t>
    </r>
    <r>
      <rPr>
        <sz val="10"/>
        <color rgb="FF1F2A28"/>
        <rFont val="Arial"/>
        <family val="0"/>
        <charset val="1"/>
      </rPr>
      <t xml:space="preserve">C</t>
    </r>
  </si>
  <si>
    <t xml:space="preserve">林旭文</t>
  </si>
  <si>
    <t xml:space="preserve">曾利娟</t>
  </si>
  <si>
    <t xml:space="preserve">臺中市私立米亞英語會話短期補習班</t>
  </si>
  <si>
    <r>
      <rPr>
        <sz val="10"/>
        <color rgb="FF1F2A28"/>
        <rFont val="WenQuanYi Zen Hei"/>
        <family val="2"/>
      </rPr>
      <t xml:space="preserve">臺中市東區旱溪街</t>
    </r>
    <r>
      <rPr>
        <sz val="10"/>
        <color rgb="FF1F2A28"/>
        <rFont val="Arial"/>
        <family val="0"/>
        <charset val="1"/>
      </rPr>
      <t xml:space="preserve">360-1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</si>
  <si>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(04)22112115</t>
  </si>
  <si>
    <t xml:space="preserve">miapreschool@yahoo.com.tw</t>
  </si>
  <si>
    <t xml:space="preserve">何如菁</t>
  </si>
  <si>
    <t xml:space="preserve">何濘貞</t>
  </si>
  <si>
    <t xml:space="preserve">臺中市私立育成語文短期補習班成功分班</t>
  </si>
  <si>
    <r>
      <rPr>
        <sz val="10"/>
        <color rgb="FF1F2A28"/>
        <rFont val="WenQuanYi Zen Hei"/>
        <family val="2"/>
      </rPr>
      <t xml:space="preserve">臺中市東區育英路</t>
    </r>
    <r>
      <rPr>
        <sz val="10"/>
        <color rgb="FF1F2A28"/>
        <rFont val="Arial"/>
        <family val="0"/>
        <charset val="1"/>
      </rPr>
      <t xml:space="preserve">28</t>
    </r>
    <r>
      <rPr>
        <sz val="10"/>
        <color rgb="FF1F2A28"/>
        <rFont val="WenQuanYi Zen Hei"/>
        <family val="2"/>
      </rPr>
      <t xml:space="preserve">之</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</si>
  <si>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(04)22152246</t>
  </si>
  <si>
    <t xml:space="preserve">elainehuang1106@gmail.com</t>
  </si>
  <si>
    <t xml:space="preserve">黃怡芬</t>
  </si>
  <si>
    <t xml:space="preserve">吳淳瑩</t>
  </si>
  <si>
    <t xml:space="preserve">臺中市私立花路米文理短期補習班</t>
  </si>
  <si>
    <r>
      <rPr>
        <sz val="10"/>
        <color rgb="FF1F2A28"/>
        <rFont val="WenQuanYi Zen Hei"/>
        <family val="2"/>
      </rPr>
      <t xml:space="preserve">臺中市東區建興街</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</si>
  <si>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(04)22810320</t>
  </si>
  <si>
    <t xml:space="preserve">gizz2280@gmail.com</t>
  </si>
  <si>
    <r>
      <rPr>
        <sz val="10"/>
        <color rgb="FF1F2A28"/>
        <rFont val="WenQuanYi Zen Hei"/>
        <family val="2"/>
      </rPr>
      <t xml:space="preserve">美語</t>
    </r>
    <r>
      <rPr>
        <sz val="10"/>
        <color rgb="FF1F2A28"/>
        <rFont val="Arial"/>
        <family val="0"/>
        <charset val="1"/>
      </rPr>
      <t xml:space="preserve">46.86</t>
    </r>
  </si>
  <si>
    <t xml:space="preserve">劉怡如</t>
  </si>
  <si>
    <t xml:space="preserve">臺中市西區</t>
  </si>
  <si>
    <t xml:space="preserve">中華語文國際教育股份有限公司附設臺中市私立大西華中外語會話短期補習班</t>
  </si>
  <si>
    <r>
      <rPr>
        <sz val="10"/>
        <color rgb="FF1F2A28"/>
        <rFont val="WenQuanYi Zen Hei"/>
        <family val="2"/>
      </rPr>
      <t xml:space="preserve">臺中市西區臺灣大道二段</t>
    </r>
    <r>
      <rPr>
        <sz val="10"/>
        <color rgb="FF1F2A28"/>
        <rFont val="Arial"/>
        <family val="0"/>
        <charset val="1"/>
      </rPr>
      <t xml:space="preserve">489</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3</t>
    </r>
  </si>
  <si>
    <t xml:space="preserve">(04)2321-1998</t>
  </si>
  <si>
    <r>
      <rPr>
        <sz val="10"/>
        <color rgb="FF1F2A28"/>
        <rFont val="WenQuanYi Zen Hei"/>
        <family val="2"/>
      </rPr>
      <t xml:space="preserve">英語</t>
    </r>
    <r>
      <rPr>
        <sz val="10"/>
        <color rgb="FF1F2A28"/>
        <rFont val="Arial"/>
        <family val="0"/>
        <charset val="1"/>
      </rPr>
      <t xml:space="preserve">4.46</t>
    </r>
  </si>
  <si>
    <r>
      <rPr>
        <sz val="10"/>
        <color rgb="FF1F2A28"/>
        <rFont val="WenQuanYi Zen Hei"/>
        <family val="2"/>
      </rPr>
      <t xml:space="preserve">中華語文國際教育股份有限公司</t>
    </r>
    <r>
      <rPr>
        <sz val="10"/>
        <color rgb="FF1F2A28"/>
        <rFont val="Arial"/>
        <family val="0"/>
        <charset val="1"/>
      </rPr>
      <t xml:space="preserve">(</t>
    </r>
    <r>
      <rPr>
        <sz val="10"/>
        <color rgb="FF1F2A28"/>
        <rFont val="WenQuanYi Zen Hei"/>
        <family val="2"/>
      </rPr>
      <t xml:space="preserve">法代</t>
    </r>
    <r>
      <rPr>
        <sz val="10"/>
        <color rgb="FF1F2A28"/>
        <rFont val="Arial"/>
        <family val="0"/>
        <charset val="1"/>
      </rPr>
      <t xml:space="preserve">:</t>
    </r>
    <r>
      <rPr>
        <sz val="10"/>
        <color rgb="FF1F2A28"/>
        <rFont val="WenQuanYi Zen Hei"/>
        <family val="2"/>
      </rPr>
      <t xml:space="preserve">何再生</t>
    </r>
    <r>
      <rPr>
        <sz val="10"/>
        <color rgb="FF1F2A28"/>
        <rFont val="Arial"/>
        <family val="0"/>
        <charset val="1"/>
      </rPr>
      <t xml:space="preserve">)</t>
    </r>
  </si>
  <si>
    <t xml:space="preserve">博義文教事業股份有限公司附設臺中市私立嘉德文理短期補習班</t>
  </si>
  <si>
    <r>
      <rPr>
        <sz val="10"/>
        <color rgb="FF1F2A28"/>
        <rFont val="WenQuanYi Zen Hei"/>
        <family val="2"/>
      </rPr>
      <t xml:space="preserve">臺中市西區三民路一段</t>
    </r>
    <r>
      <rPr>
        <sz val="10"/>
        <color rgb="FF1F2A28"/>
        <rFont val="Arial"/>
        <family val="0"/>
        <charset val="1"/>
      </rPr>
      <t xml:space="preserve">181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</si>
  <si>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(04)22254905</t>
  </si>
  <si>
    <t xml:space="preserve">hs2030@hess.com.tw</t>
  </si>
  <si>
    <t xml:space="preserve">2026-06-01</t>
  </si>
  <si>
    <t xml:space="preserve">陳晴琪</t>
  </si>
  <si>
    <t xml:space="preserve">台灣知識庫股份有限公司附設臺中市私立洋碩英語短期補習班</t>
  </si>
  <si>
    <r>
      <rPr>
        <sz val="10"/>
        <color rgb="FF1F2A28"/>
        <rFont val="WenQuanYi Zen Hei"/>
        <family val="2"/>
      </rPr>
      <t xml:space="preserve">臺中市西區民權路</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</si>
  <si>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(04)35062140</t>
  </si>
  <si>
    <t xml:space="preserve">2006-08-17</t>
  </si>
  <si>
    <t xml:space="preserve">台灣知識庫股份有限公司代表人：邱昌其</t>
  </si>
  <si>
    <t xml:space="preserve">李佩婕</t>
  </si>
  <si>
    <t xml:space="preserve">巨匠電腦股份有限公司附設臺中市私立巨匠語文短期補習班</t>
  </si>
  <si>
    <r>
      <rPr>
        <sz val="10"/>
        <color rgb="FF1F2A28"/>
        <rFont val="WenQuanYi Zen Hei"/>
        <family val="2"/>
      </rPr>
      <t xml:space="preserve">臺中市西區公益路</t>
    </r>
    <r>
      <rPr>
        <sz val="10"/>
        <color rgb="FF1F2A28"/>
        <rFont val="Arial"/>
        <family val="0"/>
        <charset val="1"/>
      </rPr>
      <t xml:space="preserve">161</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</si>
  <si>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(04)23027166</t>
  </si>
  <si>
    <t xml:space="preserve">KI_mailbox@pcschool.com.tw</t>
  </si>
  <si>
    <r>
      <rPr>
        <sz val="10"/>
        <color rgb="FF1F2A28"/>
        <rFont val="WenQuanYi Zen Hei"/>
        <family val="2"/>
      </rPr>
      <t xml:space="preserve">美語</t>
    </r>
    <r>
      <rPr>
        <sz val="10"/>
        <color rgb="FF1F2A28"/>
        <rFont val="Arial"/>
        <family val="0"/>
        <charset val="1"/>
      </rPr>
      <t xml:space="preserve">28.85</t>
    </r>
    <r>
      <rPr>
        <sz val="10"/>
        <color rgb="FF1F2A28"/>
        <rFont val="WenQuanYi Zen Hei"/>
        <family val="2"/>
      </rPr>
      <t xml:space="preserve">、美語</t>
    </r>
    <r>
      <rPr>
        <sz val="10"/>
        <color rgb="FF1F2A28"/>
        <rFont val="Arial"/>
        <family val="0"/>
        <charset val="1"/>
      </rPr>
      <t xml:space="preserve">23.61</t>
    </r>
    <r>
      <rPr>
        <sz val="10"/>
        <color rgb="FF1F2A28"/>
        <rFont val="WenQuanYi Zen Hei"/>
        <family val="2"/>
      </rPr>
      <t xml:space="preserve">、美語</t>
    </r>
    <r>
      <rPr>
        <sz val="10"/>
        <color rgb="FF1F2A28"/>
        <rFont val="Arial"/>
        <family val="0"/>
        <charset val="1"/>
      </rPr>
      <t xml:space="preserve">28.95</t>
    </r>
    <r>
      <rPr>
        <sz val="10"/>
        <color rgb="FF1F2A28"/>
        <rFont val="WenQuanYi Zen Hei"/>
        <family val="2"/>
      </rPr>
      <t xml:space="preserve">、美語</t>
    </r>
    <r>
      <rPr>
        <sz val="10"/>
        <color rgb="FF1F2A28"/>
        <rFont val="Arial"/>
        <family val="0"/>
        <charset val="1"/>
      </rPr>
      <t xml:space="preserve">26.68</t>
    </r>
    <r>
      <rPr>
        <sz val="10"/>
        <color rgb="FF1F2A28"/>
        <rFont val="WenQuanYi Zen Hei"/>
        <family val="2"/>
      </rPr>
      <t xml:space="preserve">、美語</t>
    </r>
    <r>
      <rPr>
        <sz val="10"/>
        <color rgb="FF1F2A28"/>
        <rFont val="Arial"/>
        <family val="0"/>
        <charset val="1"/>
      </rPr>
      <t xml:space="preserve">23.53</t>
    </r>
  </si>
  <si>
    <t xml:space="preserve">林亞黎</t>
  </si>
  <si>
    <t xml:space="preserve">新飛國際股份有限公司附設臺中市私立歐揚語文短期補習班</t>
  </si>
  <si>
    <r>
      <rPr>
        <sz val="10"/>
        <color rgb="FF1F2A28"/>
        <rFont val="WenQuanYi Zen Hei"/>
        <family val="2"/>
      </rPr>
      <t xml:space="preserve">臺中市西區忠明南路</t>
    </r>
    <r>
      <rPr>
        <sz val="10"/>
        <color rgb="FF1F2A28"/>
        <rFont val="Arial"/>
        <family val="0"/>
        <charset val="1"/>
      </rPr>
      <t xml:space="preserve">270</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</si>
  <si>
    <t xml:space="preserve">(04)23710737</t>
  </si>
  <si>
    <t xml:space="preserve">info@fflc.tw</t>
  </si>
  <si>
    <r>
      <rPr>
        <sz val="10"/>
        <color rgb="FF1F2A28"/>
        <rFont val="WenQuanYi Zen Hei"/>
        <family val="2"/>
      </rPr>
      <t xml:space="preserve">英文科</t>
    </r>
    <r>
      <rPr>
        <sz val="10"/>
        <color rgb="FF1F2A28"/>
        <rFont val="Arial"/>
        <family val="0"/>
        <charset val="1"/>
      </rPr>
      <t xml:space="preserve">A,B</t>
    </r>
    <r>
      <rPr>
        <sz val="10"/>
        <color rgb="FF1F2A28"/>
        <rFont val="WenQuanYi Zen Hei"/>
        <family val="2"/>
      </rPr>
      <t xml:space="preserve">、英文科</t>
    </r>
    <r>
      <rPr>
        <sz val="10"/>
        <color rgb="FF1F2A28"/>
        <rFont val="Arial"/>
        <family val="0"/>
        <charset val="1"/>
      </rPr>
      <t xml:space="preserve">C</t>
    </r>
    <r>
      <rPr>
        <sz val="10"/>
        <color rgb="FF1F2A28"/>
        <rFont val="WenQuanYi Zen Hei"/>
        <family val="2"/>
      </rPr>
      <t xml:space="preserve">、英文科</t>
    </r>
    <r>
      <rPr>
        <sz val="10"/>
        <color rgb="FF1F2A28"/>
        <rFont val="Arial"/>
        <family val="0"/>
        <charset val="1"/>
      </rPr>
      <t xml:space="preserve">D</t>
    </r>
  </si>
  <si>
    <t xml:space="preserve">高天士</t>
  </si>
  <si>
    <t xml:space="preserve">謝孟君</t>
  </si>
  <si>
    <t xml:space="preserve">東禾國際教育文化事業有限公司附設臺中市私立東禾外語短期補習班公益分班</t>
  </si>
  <si>
    <r>
      <rPr>
        <sz val="10"/>
        <color rgb="FF1F2A28"/>
        <rFont val="WenQuanYi Zen Hei"/>
        <family val="2"/>
      </rPr>
      <t xml:space="preserve">臺中市西區中興街</t>
    </r>
    <r>
      <rPr>
        <sz val="10"/>
        <color rgb="FF1F2A28"/>
        <rFont val="Arial"/>
        <family val="0"/>
        <charset val="1"/>
      </rPr>
      <t xml:space="preserve">183</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8</t>
    </r>
    <r>
      <rPr>
        <sz val="10"/>
        <color rgb="FF1F2A28"/>
        <rFont val="WenQuanYi Zen Hei"/>
        <family val="2"/>
      </rPr>
      <t xml:space="preserve">樓之</t>
    </r>
    <r>
      <rPr>
        <sz val="10"/>
        <color rgb="FF1F2A28"/>
        <rFont val="Arial"/>
        <family val="0"/>
        <charset val="1"/>
      </rPr>
      <t xml:space="preserve">2</t>
    </r>
  </si>
  <si>
    <t xml:space="preserve">0423013237</t>
  </si>
  <si>
    <r>
      <rPr>
        <sz val="10"/>
        <color rgb="FF1F2A28"/>
        <rFont val="WenQuanYi Zen Hei"/>
        <family val="2"/>
      </rPr>
      <t xml:space="preserve">英文</t>
    </r>
    <r>
      <rPr>
        <sz val="10"/>
        <color rgb="FF1F2A28"/>
        <rFont val="Arial"/>
        <family val="0"/>
        <charset val="1"/>
      </rPr>
      <t xml:space="preserve">(11.66)</t>
    </r>
  </si>
  <si>
    <t xml:space="preserve">2018-05-14</t>
  </si>
  <si>
    <r>
      <rPr>
        <sz val="10"/>
        <color rgb="FF1F2A28"/>
        <rFont val="WenQuanYi Zen Hei"/>
        <family val="2"/>
      </rPr>
      <t xml:space="preserve">東禾國際教育文化事業有限公司</t>
    </r>
    <r>
      <rPr>
        <sz val="10"/>
        <color rgb="FF1F2A28"/>
        <rFont val="Arial"/>
        <family val="0"/>
        <charset val="1"/>
      </rPr>
      <t xml:space="preserve">(</t>
    </r>
    <r>
      <rPr>
        <sz val="10"/>
        <color rgb="FF1F2A28"/>
        <rFont val="WenQuanYi Zen Hei"/>
        <family val="2"/>
      </rPr>
      <t xml:space="preserve">法定代理人</t>
    </r>
    <r>
      <rPr>
        <sz val="10"/>
        <color rgb="FF1F2A28"/>
        <rFont val="Arial"/>
        <family val="0"/>
        <charset val="1"/>
      </rPr>
      <t xml:space="preserve">:</t>
    </r>
    <r>
      <rPr>
        <sz val="10"/>
        <color rgb="FF1F2A28"/>
        <rFont val="WenQuanYi Zen Hei"/>
        <family val="2"/>
      </rPr>
      <t xml:space="preserve">劉映良</t>
    </r>
    <r>
      <rPr>
        <sz val="10"/>
        <color rgb="FF1F2A28"/>
        <rFont val="Arial"/>
        <family val="0"/>
        <charset val="1"/>
      </rPr>
      <t xml:space="preserve">)</t>
    </r>
  </si>
  <si>
    <t xml:space="preserve">趙秀綉</t>
  </si>
  <si>
    <t xml:space="preserve">格蘭事業股份有限公司附設臺中市私立格藍英語會話短期補習班</t>
  </si>
  <si>
    <r>
      <rPr>
        <sz val="10"/>
        <color rgb="FF1F2A28"/>
        <rFont val="WenQuanYi Zen Hei"/>
        <family val="2"/>
      </rPr>
      <t xml:space="preserve">臺中市西區臺灣大道</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285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2</t>
    </r>
  </si>
  <si>
    <t xml:space="preserve">04-23261800</t>
  </si>
  <si>
    <r>
      <rPr>
        <sz val="10"/>
        <color rgb="FF1F2A28"/>
        <rFont val="WenQuanYi Zen Hei"/>
        <family val="2"/>
      </rPr>
      <t xml:space="preserve">英語、英語</t>
    </r>
    <r>
      <rPr>
        <sz val="10"/>
        <color rgb="FF1F2A28"/>
        <rFont val="Arial"/>
        <family val="0"/>
        <charset val="1"/>
      </rPr>
      <t xml:space="preserve">C</t>
    </r>
    <r>
      <rPr>
        <sz val="10"/>
        <color rgb="FF1F2A28"/>
        <rFont val="WenQuanYi Zen Hei"/>
        <family val="2"/>
      </rPr>
      <t xml:space="preserve">班</t>
    </r>
    <r>
      <rPr>
        <sz val="10"/>
        <color rgb="FF1F2A28"/>
        <rFont val="Arial"/>
        <family val="0"/>
        <charset val="1"/>
      </rPr>
      <t xml:space="preserve">59.63</t>
    </r>
    <r>
      <rPr>
        <sz val="10"/>
        <color rgb="FF1F2A28"/>
        <rFont val="WenQuanYi Zen Hei"/>
        <family val="2"/>
      </rPr>
      <t xml:space="preserve">、英語</t>
    </r>
    <r>
      <rPr>
        <sz val="10"/>
        <color rgb="FF1F2A28"/>
        <rFont val="Arial"/>
        <family val="0"/>
        <charset val="1"/>
      </rPr>
      <t xml:space="preserve">B</t>
    </r>
    <r>
      <rPr>
        <sz val="10"/>
        <color rgb="FF1F2A28"/>
        <rFont val="WenQuanYi Zen Hei"/>
        <family val="2"/>
      </rPr>
      <t xml:space="preserve">班</t>
    </r>
    <r>
      <rPr>
        <sz val="10"/>
        <color rgb="FF1F2A28"/>
        <rFont val="Arial"/>
        <family val="0"/>
        <charset val="1"/>
      </rPr>
      <t xml:space="preserve">34.7</t>
    </r>
    <r>
      <rPr>
        <sz val="10"/>
        <color rgb="FF1F2A28"/>
        <rFont val="WenQuanYi Zen Hei"/>
        <family val="2"/>
      </rPr>
      <t xml:space="preserve">、英語</t>
    </r>
    <r>
      <rPr>
        <sz val="10"/>
        <color rgb="FF1F2A28"/>
        <rFont val="Arial"/>
        <family val="0"/>
        <charset val="1"/>
      </rPr>
      <t xml:space="preserve">E</t>
    </r>
    <r>
      <rPr>
        <sz val="10"/>
        <color rgb="FF1F2A28"/>
        <rFont val="WenQuanYi Zen Hei"/>
        <family val="2"/>
      </rPr>
      <t xml:space="preserve">班</t>
    </r>
    <r>
      <rPr>
        <sz val="10"/>
        <color rgb="FF1F2A28"/>
        <rFont val="Arial"/>
        <family val="0"/>
        <charset val="1"/>
      </rPr>
      <t xml:space="preserve">59.63</t>
    </r>
    <r>
      <rPr>
        <sz val="10"/>
        <color rgb="FF1F2A28"/>
        <rFont val="WenQuanYi Zen Hei"/>
        <family val="2"/>
      </rPr>
      <t xml:space="preserve">、英語</t>
    </r>
    <r>
      <rPr>
        <sz val="10"/>
        <color rgb="FF1F2A28"/>
        <rFont val="Arial"/>
        <family val="0"/>
        <charset val="1"/>
      </rPr>
      <t xml:space="preserve">D</t>
    </r>
    <r>
      <rPr>
        <sz val="10"/>
        <color rgb="FF1F2A28"/>
        <rFont val="WenQuanYi Zen Hei"/>
        <family val="2"/>
      </rPr>
      <t xml:space="preserve">班</t>
    </r>
    <r>
      <rPr>
        <sz val="10"/>
        <color rgb="FF1F2A28"/>
        <rFont val="Arial"/>
        <family val="0"/>
        <charset val="1"/>
      </rPr>
      <t xml:space="preserve">38.8</t>
    </r>
    <r>
      <rPr>
        <sz val="10"/>
        <color rgb="FF1F2A28"/>
        <rFont val="WenQuanYi Zen Hei"/>
        <family val="2"/>
      </rPr>
      <t xml:space="preserve">、英語</t>
    </r>
    <r>
      <rPr>
        <sz val="10"/>
        <color rgb="FF1F2A28"/>
        <rFont val="Arial"/>
        <family val="0"/>
        <charset val="1"/>
      </rPr>
      <t xml:space="preserve">A</t>
    </r>
    <r>
      <rPr>
        <sz val="10"/>
        <color rgb="FF1F2A28"/>
        <rFont val="WenQuanYi Zen Hei"/>
        <family val="2"/>
      </rPr>
      <t xml:space="preserve">班</t>
    </r>
    <r>
      <rPr>
        <sz val="10"/>
        <color rgb="FF1F2A28"/>
        <rFont val="Arial"/>
        <family val="0"/>
        <charset val="1"/>
      </rPr>
      <t xml:space="preserve">59.63</t>
    </r>
  </si>
  <si>
    <t xml:space="preserve">1995-08-19</t>
  </si>
  <si>
    <r>
      <rPr>
        <sz val="10"/>
        <color rgb="FF1F2A28"/>
        <rFont val="WenQuanYi Zen Hei"/>
        <family val="2"/>
      </rPr>
      <t xml:space="preserve">格蘭事業股份有限公司</t>
    </r>
    <r>
      <rPr>
        <sz val="10"/>
        <color rgb="FF1F2A28"/>
        <rFont val="Arial"/>
        <family val="0"/>
        <charset val="1"/>
      </rPr>
      <t xml:space="preserve">(</t>
    </r>
    <r>
      <rPr>
        <sz val="10"/>
        <color rgb="FF1F2A28"/>
        <rFont val="WenQuanYi Zen Hei"/>
        <family val="2"/>
      </rPr>
      <t xml:space="preserve">代表人：黃經芬</t>
    </r>
    <r>
      <rPr>
        <sz val="10"/>
        <color rgb="FF1F2A28"/>
        <rFont val="Arial"/>
        <family val="0"/>
        <charset val="1"/>
      </rPr>
      <t xml:space="preserve">)</t>
    </r>
  </si>
  <si>
    <t xml:space="preserve">陳加耘</t>
  </si>
  <si>
    <t xml:space="preserve">社團法人台中市基督教青年會附設臺中市私立全人語文技藝短期補習班</t>
  </si>
  <si>
    <r>
      <rPr>
        <sz val="10"/>
        <color rgb="FF1F2A28"/>
        <rFont val="WenQuanYi Zen Hei"/>
        <family val="2"/>
      </rPr>
      <t xml:space="preserve">臺中市西區三民路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174</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r>
      <rPr>
        <sz val="10"/>
        <color rgb="FF1F2A28"/>
        <rFont val="Arial"/>
        <family val="0"/>
        <charset val="1"/>
      </rPr>
      <t xml:space="preserve">9</t>
    </r>
    <r>
      <rPr>
        <sz val="10"/>
        <color rgb="FF1F2A28"/>
        <rFont val="WenQuanYi Zen Hei"/>
        <family val="2"/>
      </rPr>
      <t xml:space="preserve">樓、地下</t>
    </r>
    <r>
      <rPr>
        <sz val="10"/>
        <color rgb="FF1F2A28"/>
        <rFont val="Arial"/>
        <family val="0"/>
        <charset val="1"/>
      </rPr>
      <t xml:space="preserve">1</t>
    </r>
    <r>
      <rPr>
        <sz val="10"/>
        <color rgb="FF1F2A28"/>
        <rFont val="WenQuanYi Zen Hei"/>
        <family val="2"/>
      </rPr>
      <t xml:space="preserve">樓</t>
    </r>
  </si>
  <si>
    <t xml:space="preserve">04-22200603</t>
  </si>
  <si>
    <t xml:space="preserve">fanny5214@yahoo.com.tw</t>
  </si>
  <si>
    <r>
      <rPr>
        <sz val="10"/>
        <color rgb="FF1F2A28"/>
        <rFont val="WenQuanYi Zen Hei"/>
        <family val="2"/>
      </rPr>
      <t xml:space="preserve">英語</t>
    </r>
    <r>
      <rPr>
        <sz val="10"/>
        <color rgb="FF1F2A28"/>
        <rFont val="Arial"/>
        <family val="0"/>
        <charset val="1"/>
      </rPr>
      <t xml:space="preserve">41.26</t>
    </r>
    <r>
      <rPr>
        <sz val="10"/>
        <color rgb="FF1F2A28"/>
        <rFont val="WenQuanYi Zen Hei"/>
        <family val="2"/>
      </rPr>
      <t xml:space="preserve">、英語</t>
    </r>
    <r>
      <rPr>
        <sz val="10"/>
        <color rgb="FF1F2A28"/>
        <rFont val="Arial"/>
        <family val="0"/>
        <charset val="1"/>
      </rPr>
      <t xml:space="preserve">35.59</t>
    </r>
    <r>
      <rPr>
        <sz val="10"/>
        <color rgb="FF1F2A28"/>
        <rFont val="WenQuanYi Zen Hei"/>
        <family val="2"/>
      </rPr>
      <t xml:space="preserve">、英語</t>
    </r>
    <r>
      <rPr>
        <sz val="10"/>
        <color rgb="FF1F2A28"/>
        <rFont val="Arial"/>
        <family val="0"/>
        <charset val="1"/>
      </rPr>
      <t xml:space="preserve">32.36</t>
    </r>
    <r>
      <rPr>
        <sz val="10"/>
        <color rgb="FF1F2A28"/>
        <rFont val="WenQuanYi Zen Hei"/>
        <family val="2"/>
      </rPr>
      <t xml:space="preserve">、英語</t>
    </r>
    <r>
      <rPr>
        <sz val="10"/>
        <color rgb="FF1F2A28"/>
        <rFont val="Arial"/>
        <family val="0"/>
        <charset val="1"/>
      </rPr>
      <t xml:space="preserve">39.48</t>
    </r>
    <r>
      <rPr>
        <sz val="10"/>
        <color rgb="FF1F2A28"/>
        <rFont val="WenQuanYi Zen Hei"/>
        <family val="2"/>
      </rPr>
      <t xml:space="preserve">、英語</t>
    </r>
    <r>
      <rPr>
        <sz val="10"/>
        <color rgb="FF1F2A28"/>
        <rFont val="Arial"/>
        <family val="0"/>
        <charset val="1"/>
      </rPr>
      <t xml:space="preserve">63.84</t>
    </r>
    <r>
      <rPr>
        <sz val="10"/>
        <color rgb="FF1F2A28"/>
        <rFont val="WenQuanYi Zen Hei"/>
        <family val="2"/>
      </rPr>
      <t xml:space="preserve">、英語</t>
    </r>
    <r>
      <rPr>
        <sz val="10"/>
        <color rgb="FF1F2A28"/>
        <rFont val="Arial"/>
        <family val="0"/>
        <charset val="1"/>
      </rPr>
      <t xml:space="preserve">44.48</t>
    </r>
    <r>
      <rPr>
        <sz val="10"/>
        <color rgb="FF1F2A28"/>
        <rFont val="WenQuanYi Zen Hei"/>
        <family val="2"/>
      </rPr>
      <t xml:space="preserve">、英語</t>
    </r>
    <r>
      <rPr>
        <sz val="10"/>
        <color rgb="FF1F2A28"/>
        <rFont val="Arial"/>
        <family val="0"/>
        <charset val="1"/>
      </rPr>
      <t xml:space="preserve">41.08</t>
    </r>
    <r>
      <rPr>
        <sz val="10"/>
        <color rgb="FF1F2A28"/>
        <rFont val="WenQuanYi Zen Hei"/>
        <family val="2"/>
      </rPr>
      <t xml:space="preserve">、英語</t>
    </r>
    <r>
      <rPr>
        <sz val="10"/>
        <color rgb="FF1F2A28"/>
        <rFont val="Arial"/>
        <family val="0"/>
        <charset val="1"/>
      </rPr>
      <t xml:space="preserve">44.49</t>
    </r>
  </si>
  <si>
    <t xml:space="preserve">1984-02-16</t>
  </si>
  <si>
    <t xml:space="preserve">蔡峻銘</t>
  </si>
  <si>
    <t xml:space="preserve">私立芝蔴家族文理短期補習班</t>
  </si>
  <si>
    <r>
      <rPr>
        <sz val="10"/>
        <color rgb="FF1F2A28"/>
        <rFont val="WenQuanYi Zen Hei"/>
        <family val="2"/>
      </rPr>
      <t xml:space="preserve">臺中市西區五權七街</t>
    </r>
    <r>
      <rPr>
        <sz val="10"/>
        <color rgb="FF1F2A28"/>
        <rFont val="Arial"/>
        <family val="0"/>
        <charset val="1"/>
      </rPr>
      <t xml:space="preserve">165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樓、五權西六街</t>
    </r>
    <r>
      <rPr>
        <sz val="10"/>
        <color rgb="FF1F2A28"/>
        <rFont val="Arial"/>
        <family val="0"/>
        <charset val="1"/>
      </rPr>
      <t xml:space="preserve">175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</si>
  <si>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04-23764641</t>
  </si>
  <si>
    <t xml:space="preserve">sesamefamily@me.com</t>
  </si>
  <si>
    <r>
      <rPr>
        <sz val="10"/>
        <color rgb="FF1F2A28"/>
        <rFont val="WenQuanYi Zen Hei"/>
        <family val="2"/>
      </rPr>
      <t xml:space="preserve">美語</t>
    </r>
    <r>
      <rPr>
        <sz val="10"/>
        <color rgb="FF1F2A28"/>
        <rFont val="Arial"/>
        <family val="0"/>
        <charset val="1"/>
      </rPr>
      <t xml:space="preserve">21.3</t>
    </r>
  </si>
  <si>
    <t xml:space="preserve">2003-08-15</t>
  </si>
  <si>
    <t xml:space="preserve">鄭益宏</t>
  </si>
  <si>
    <t xml:space="preserve">私立領航外語短期補習班</t>
  </si>
  <si>
    <r>
      <rPr>
        <sz val="10"/>
        <color rgb="FF1F2A28"/>
        <rFont val="WenQuanYi Zen Hei"/>
        <family val="2"/>
      </rPr>
      <t xml:space="preserve">臺中市西區臺灣大道二段</t>
    </r>
    <r>
      <rPr>
        <sz val="10"/>
        <color rgb="FF1F2A28"/>
        <rFont val="Arial"/>
        <family val="0"/>
        <charset val="1"/>
      </rPr>
      <t xml:space="preserve">103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</si>
  <si>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(04)23055785</t>
  </si>
  <si>
    <t xml:space="preserve">service@vecstudy.com.tw</t>
  </si>
  <si>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全民英檢</t>
    </r>
    <r>
      <rPr>
        <sz val="10"/>
        <color rgb="FF1F2A28"/>
        <rFont val="Arial"/>
        <family val="0"/>
        <charset val="1"/>
      </rPr>
      <t xml:space="preserve">29.68</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成人會話</t>
    </r>
    <r>
      <rPr>
        <sz val="10"/>
        <color rgb="FF1F2A28"/>
        <rFont val="Arial"/>
        <family val="0"/>
        <charset val="1"/>
      </rPr>
      <t xml:space="preserve">24.25</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多益</t>
    </r>
    <r>
      <rPr>
        <sz val="10"/>
        <color rgb="FF1F2A28"/>
        <rFont val="Arial"/>
        <family val="0"/>
        <charset val="1"/>
      </rPr>
      <t xml:space="preserve">29.68</t>
    </r>
    <r>
      <rPr>
        <sz val="10"/>
        <color rgb="FF1F2A28"/>
        <rFont val="WenQuanYi Zen Hei"/>
        <family val="2"/>
      </rPr>
      <t xml:space="preserve">、英文</t>
    </r>
    <r>
      <rPr>
        <sz val="10"/>
        <color rgb="FF1F2A28"/>
        <rFont val="Arial"/>
        <family val="0"/>
        <charset val="1"/>
      </rPr>
      <t xml:space="preserve">-</t>
    </r>
    <r>
      <rPr>
        <sz val="10"/>
        <color rgb="FF1F2A28"/>
        <rFont val="WenQuanYi Zen Hei"/>
        <family val="2"/>
      </rPr>
      <t xml:space="preserve">雅思</t>
    </r>
    <r>
      <rPr>
        <sz val="10"/>
        <color rgb="FF1F2A28"/>
        <rFont val="Arial"/>
        <family val="0"/>
        <charset val="1"/>
      </rPr>
      <t xml:space="preserve">24.25</t>
    </r>
  </si>
  <si>
    <t xml:space="preserve">吳孟嬛</t>
  </si>
  <si>
    <t xml:space="preserve">臺中市私立何嘉仁英日語電腦短期補習班</t>
  </si>
  <si>
    <r>
      <rPr>
        <sz val="10"/>
        <color rgb="FF1F2A28"/>
        <rFont val="WenQuanYi Zen Hei"/>
        <family val="2"/>
      </rPr>
      <t xml:space="preserve">臺中市西區三民路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181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</si>
  <si>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04-22256000</t>
  </si>
  <si>
    <t xml:space="preserve">1993-11-19</t>
  </si>
  <si>
    <t xml:space="preserve">黃自伶</t>
  </si>
  <si>
    <t xml:space="preserve">張玲惜</t>
  </si>
  <si>
    <t xml:space="preserve">臺中市私立吉梭吉爾美語短期補習班</t>
  </si>
  <si>
    <r>
      <rPr>
        <sz val="10"/>
        <color rgb="FF1F2A28"/>
        <rFont val="WenQuanYi Zen Hei"/>
        <family val="2"/>
      </rPr>
      <t xml:space="preserve">臺中市西區林森路</t>
    </r>
    <r>
      <rPr>
        <sz val="10"/>
        <color rgb="FF1F2A28"/>
        <rFont val="Arial"/>
        <family val="0"/>
        <charset val="1"/>
      </rPr>
      <t xml:space="preserve">196</t>
    </r>
    <r>
      <rPr>
        <sz val="10"/>
        <color rgb="FF1F2A28"/>
        <rFont val="WenQuanYi Zen Hei"/>
        <family val="2"/>
      </rPr>
      <t xml:space="preserve">號</t>
    </r>
    <r>
      <rPr>
        <sz val="10"/>
        <color rgb="FF1F2A28"/>
        <rFont val="Arial"/>
        <family val="0"/>
        <charset val="1"/>
      </rPr>
      <t xml:space="preserve">3-4</t>
    </r>
    <r>
      <rPr>
        <sz val="10"/>
        <color rgb="FF1F2A28"/>
        <rFont val="WenQuanYi Zen Hei"/>
        <family val="2"/>
      </rPr>
      <t xml:space="preserve">樓</t>
    </r>
  </si>
  <si>
    <t xml:space="preserve">0926288248</t>
  </si>
  <si>
    <t xml:space="preserve">zoey4f@gmail.com</t>
  </si>
  <si>
    <t xml:space="preserve">2012-12-18</t>
  </si>
  <si>
    <t xml:space="preserve">呂世柔</t>
  </si>
  <si>
    <t xml:space="preserve">臺中市私立夏卡爾美語會話短期補習班</t>
  </si>
  <si>
    <r>
      <rPr>
        <sz val="10"/>
        <color rgb="FF1F2A28"/>
        <rFont val="WenQuanYi Zen Hei"/>
        <family val="2"/>
      </rPr>
      <t xml:space="preserve">臺中市西區五權七街</t>
    </r>
    <r>
      <rPr>
        <sz val="10"/>
        <color rgb="FF1F2A28"/>
        <rFont val="Arial"/>
        <family val="0"/>
        <charset val="1"/>
      </rPr>
      <t xml:space="preserve">145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樓、臺中市西區五權西五街</t>
    </r>
    <r>
      <rPr>
        <sz val="10"/>
        <color rgb="FF1F2A28"/>
        <rFont val="Arial"/>
        <family val="0"/>
        <charset val="1"/>
      </rPr>
      <t xml:space="preserve">137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樓、臺中市西區五權西五街</t>
    </r>
    <r>
      <rPr>
        <sz val="10"/>
        <color rgb="FF1F2A28"/>
        <rFont val="Arial"/>
        <family val="0"/>
        <charset val="1"/>
      </rPr>
      <t xml:space="preserve">139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</si>
  <si>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04-23721155</t>
  </si>
  <si>
    <t xml:space="preserve">chagall.edu@gmail.com</t>
  </si>
  <si>
    <r>
      <rPr>
        <sz val="10"/>
        <color rgb="FF1F2A28"/>
        <rFont val="WenQuanYi Zen Hei"/>
        <family val="2"/>
      </rPr>
      <t xml:space="preserve">英文</t>
    </r>
    <r>
      <rPr>
        <sz val="10"/>
        <color rgb="FF1F2A28"/>
        <rFont val="Arial"/>
        <family val="0"/>
        <charset val="1"/>
      </rPr>
      <t xml:space="preserve">A</t>
    </r>
    <r>
      <rPr>
        <sz val="10"/>
        <color rgb="FF1F2A28"/>
        <rFont val="WenQuanYi Zen Hei"/>
        <family val="2"/>
      </rPr>
      <t xml:space="preserve">班、美語</t>
    </r>
    <r>
      <rPr>
        <sz val="10"/>
        <color rgb="FF1F2A28"/>
        <rFont val="Arial"/>
        <family val="0"/>
        <charset val="1"/>
      </rPr>
      <t xml:space="preserve">C</t>
    </r>
    <r>
      <rPr>
        <sz val="10"/>
        <color rgb="FF1F2A28"/>
        <rFont val="WenQuanYi Zen Hei"/>
        <family val="2"/>
      </rPr>
      <t xml:space="preserve">班、美語</t>
    </r>
    <r>
      <rPr>
        <sz val="10"/>
        <color rgb="FF1F2A28"/>
        <rFont val="Arial"/>
        <family val="0"/>
        <charset val="1"/>
      </rPr>
      <t xml:space="preserve">B</t>
    </r>
    <r>
      <rPr>
        <sz val="10"/>
        <color rgb="FF1F2A28"/>
        <rFont val="WenQuanYi Zen Hei"/>
        <family val="2"/>
      </rPr>
      <t xml:space="preserve">班、美語</t>
    </r>
    <r>
      <rPr>
        <sz val="10"/>
        <color rgb="FF1F2A28"/>
        <rFont val="Arial"/>
        <family val="0"/>
        <charset val="1"/>
      </rPr>
      <t xml:space="preserve">A</t>
    </r>
    <r>
      <rPr>
        <sz val="10"/>
        <color rgb="FF1F2A28"/>
        <rFont val="WenQuanYi Zen Hei"/>
        <family val="2"/>
      </rPr>
      <t xml:space="preserve">班、美語</t>
    </r>
    <r>
      <rPr>
        <sz val="10"/>
        <color rgb="FF1F2A28"/>
        <rFont val="Arial"/>
        <family val="0"/>
        <charset val="1"/>
      </rPr>
      <t xml:space="preserve">D</t>
    </r>
    <r>
      <rPr>
        <sz val="10"/>
        <color rgb="FF1F2A28"/>
        <rFont val="WenQuanYi Zen Hei"/>
        <family val="2"/>
      </rPr>
      <t xml:space="preserve">班、英文</t>
    </r>
    <r>
      <rPr>
        <sz val="10"/>
        <color rgb="FF1F2A28"/>
        <rFont val="Arial"/>
        <family val="0"/>
        <charset val="1"/>
      </rPr>
      <t xml:space="preserve">B</t>
    </r>
    <r>
      <rPr>
        <sz val="10"/>
        <color rgb="FF1F2A28"/>
        <rFont val="WenQuanYi Zen Hei"/>
        <family val="2"/>
      </rPr>
      <t xml:space="preserve">班</t>
    </r>
  </si>
  <si>
    <t xml:space="preserve">2001-12-25</t>
  </si>
  <si>
    <t xml:space="preserve">朱玲瑤</t>
  </si>
  <si>
    <t xml:space="preserve">朱市</t>
  </si>
  <si>
    <t xml:space="preserve">臺中市私立大詠美語附設電腦短期補習班</t>
  </si>
  <si>
    <r>
      <rPr>
        <sz val="10"/>
        <color rgb="FF1F2A28"/>
        <rFont val="WenQuanYi Zen Hei"/>
        <family val="2"/>
      </rPr>
      <t xml:space="preserve">臺中市西區五權西六街</t>
    </r>
    <r>
      <rPr>
        <sz val="10"/>
        <color rgb="FF1F2A28"/>
        <rFont val="Arial"/>
        <family val="0"/>
        <charset val="1"/>
      </rPr>
      <t xml:space="preserve">159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</si>
  <si>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(04)23756612</t>
  </si>
  <si>
    <r>
      <rPr>
        <sz val="10"/>
        <color rgb="FF1F2A28"/>
        <rFont val="WenQuanYi Zen Hei"/>
        <family val="2"/>
      </rPr>
      <t xml:space="preserve">美語</t>
    </r>
    <r>
      <rPr>
        <sz val="10"/>
        <color rgb="FF1F2A28"/>
        <rFont val="Arial"/>
        <family val="0"/>
        <charset val="1"/>
      </rPr>
      <t xml:space="preserve">16.28</t>
    </r>
  </si>
  <si>
    <t xml:space="preserve">蔡惠貞</t>
  </si>
  <si>
    <t xml:space="preserve">臺中市私立德霖美語短期補習班</t>
  </si>
  <si>
    <r>
      <rPr>
        <sz val="10"/>
        <color rgb="FF1F2A28"/>
        <rFont val="WenQuanYi Zen Hei"/>
        <family val="2"/>
      </rPr>
      <t xml:space="preserve">臺中市西區臺灣大道</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375</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8</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8</t>
    </r>
    <r>
      <rPr>
        <sz val="10"/>
        <color rgb="FF1F2A28"/>
        <rFont val="WenQuanYi Zen Hei"/>
        <family val="2"/>
      </rPr>
      <t xml:space="preserve">樓之</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9</t>
    </r>
    <r>
      <rPr>
        <sz val="10"/>
        <color rgb="FF1F2A28"/>
        <rFont val="WenQuanYi Zen Hei"/>
        <family val="2"/>
      </rPr>
      <t xml:space="preserve">樓之</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9</t>
    </r>
    <r>
      <rPr>
        <sz val="10"/>
        <color rgb="FF1F2A28"/>
        <rFont val="WenQuanYi Zen Hei"/>
        <family val="2"/>
      </rPr>
      <t xml:space="preserve">樓之</t>
    </r>
    <r>
      <rPr>
        <sz val="10"/>
        <color rgb="FF1F2A28"/>
        <rFont val="Arial"/>
        <family val="0"/>
        <charset val="1"/>
      </rPr>
      <t xml:space="preserve">5</t>
    </r>
  </si>
  <si>
    <t xml:space="preserve">04-23263728</t>
  </si>
  <si>
    <t xml:space="preserve">jeanyang1985@gmail.com</t>
  </si>
  <si>
    <t xml:space="preserve">王心恬</t>
  </si>
  <si>
    <t xml:space="preserve">臺中市私立愛閱英語會話短期補習班</t>
  </si>
  <si>
    <r>
      <rPr>
        <sz val="10"/>
        <color rgb="FF1F2A28"/>
        <rFont val="WenQuanYi Zen Hei"/>
        <family val="2"/>
      </rPr>
      <t xml:space="preserve">臺中市西區林森路</t>
    </r>
    <r>
      <rPr>
        <sz val="10"/>
        <color rgb="FF1F2A28"/>
        <rFont val="Arial"/>
        <family val="0"/>
        <charset val="1"/>
      </rPr>
      <t xml:space="preserve">77-3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</si>
  <si>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04-23729288</t>
  </si>
  <si>
    <t xml:space="preserve">iread23729288@gmail.com</t>
  </si>
  <si>
    <t xml:space="preserve">羅秀蓮</t>
  </si>
  <si>
    <t xml:space="preserve">王宗元</t>
  </si>
  <si>
    <t xml:space="preserve">臺中市私立新普霖斯頓美語會話短期補習班</t>
  </si>
  <si>
    <r>
      <rPr>
        <sz val="10"/>
        <color rgb="FF1F2A28"/>
        <rFont val="WenQuanYi Zen Hei"/>
        <family val="2"/>
      </rPr>
      <t xml:space="preserve">臺中市西區大墩十街</t>
    </r>
    <r>
      <rPr>
        <sz val="10"/>
        <color rgb="FF1F2A28"/>
        <rFont val="Arial"/>
        <family val="0"/>
        <charset val="1"/>
      </rPr>
      <t xml:space="preserve">108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</si>
  <si>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04-23194889</t>
  </si>
  <si>
    <t xml:space="preserve">futureheiresl108@gmail.com</t>
  </si>
  <si>
    <r>
      <rPr>
        <sz val="10"/>
        <color rgb="FF1F2A28"/>
        <rFont val="WenQuanYi Zen Hei"/>
        <family val="2"/>
      </rPr>
      <t xml:space="preserve">英語</t>
    </r>
    <r>
      <rPr>
        <sz val="10"/>
        <color rgb="FF1F2A28"/>
        <rFont val="Arial"/>
        <family val="0"/>
        <charset val="1"/>
      </rPr>
      <t xml:space="preserve">37.2</t>
    </r>
    <r>
      <rPr>
        <sz val="10"/>
        <color rgb="FF1F2A28"/>
        <rFont val="WenQuanYi Zen Hei"/>
        <family val="2"/>
      </rPr>
      <t xml:space="preserve">、英語</t>
    </r>
    <r>
      <rPr>
        <sz val="10"/>
        <color rgb="FF1F2A28"/>
        <rFont val="Arial"/>
        <family val="0"/>
        <charset val="1"/>
      </rPr>
      <t xml:space="preserve">51.48</t>
    </r>
    <r>
      <rPr>
        <sz val="10"/>
        <color rgb="FF1F2A28"/>
        <rFont val="WenQuanYi Zen Hei"/>
        <family val="2"/>
      </rPr>
      <t xml:space="preserve">、英語</t>
    </r>
    <r>
      <rPr>
        <sz val="10"/>
        <color rgb="FF1F2A28"/>
        <rFont val="Arial"/>
        <family val="0"/>
        <charset val="1"/>
      </rPr>
      <t xml:space="preserve">40.08</t>
    </r>
    <r>
      <rPr>
        <sz val="10"/>
        <color rgb="FF1F2A28"/>
        <rFont val="WenQuanYi Zen Hei"/>
        <family val="2"/>
      </rPr>
      <t xml:space="preserve">、英語</t>
    </r>
    <r>
      <rPr>
        <sz val="10"/>
        <color rgb="FF1F2A28"/>
        <rFont val="Arial"/>
        <family val="0"/>
        <charset val="1"/>
      </rPr>
      <t xml:space="preserve">39.99</t>
    </r>
    <r>
      <rPr>
        <sz val="10"/>
        <color rgb="FF1F2A28"/>
        <rFont val="WenQuanYi Zen Hei"/>
        <family val="2"/>
      </rPr>
      <t xml:space="preserve">、英語</t>
    </r>
    <r>
      <rPr>
        <sz val="10"/>
        <color rgb="FF1F2A28"/>
        <rFont val="Arial"/>
        <family val="0"/>
        <charset val="1"/>
      </rPr>
      <t xml:space="preserve">36.93</t>
    </r>
    <r>
      <rPr>
        <sz val="10"/>
        <color rgb="FF1F2A28"/>
        <rFont val="WenQuanYi Zen Hei"/>
        <family val="2"/>
      </rPr>
      <t xml:space="preserve">、英語</t>
    </r>
    <r>
      <rPr>
        <sz val="10"/>
        <color rgb="FF1F2A28"/>
        <rFont val="Arial"/>
        <family val="0"/>
        <charset val="1"/>
      </rPr>
      <t xml:space="preserve">39.18</t>
    </r>
    <r>
      <rPr>
        <sz val="10"/>
        <color rgb="FF1F2A28"/>
        <rFont val="WenQuanYi Zen Hei"/>
        <family val="2"/>
      </rPr>
      <t xml:space="preserve">、英語</t>
    </r>
    <r>
      <rPr>
        <sz val="10"/>
        <color rgb="FF1F2A28"/>
        <rFont val="Arial"/>
        <family val="0"/>
        <charset val="1"/>
      </rPr>
      <t xml:space="preserve">32.02</t>
    </r>
    <r>
      <rPr>
        <sz val="10"/>
        <color rgb="FF1F2A28"/>
        <rFont val="WenQuanYi Zen Hei"/>
        <family val="2"/>
      </rPr>
      <t xml:space="preserve">、英語</t>
    </r>
    <r>
      <rPr>
        <sz val="10"/>
        <color rgb="FF1F2A28"/>
        <rFont val="Arial"/>
        <family val="0"/>
        <charset val="1"/>
      </rPr>
      <t xml:space="preserve">37.21</t>
    </r>
    <r>
      <rPr>
        <sz val="10"/>
        <color rgb="FF1F2A28"/>
        <rFont val="WenQuanYi Zen Hei"/>
        <family val="2"/>
      </rPr>
      <t xml:space="preserve">、英語</t>
    </r>
    <r>
      <rPr>
        <sz val="10"/>
        <color rgb="FF1F2A28"/>
        <rFont val="Arial"/>
        <family val="0"/>
        <charset val="1"/>
      </rPr>
      <t xml:space="preserve">42.24</t>
    </r>
    <r>
      <rPr>
        <sz val="10"/>
        <color rgb="FF1F2A28"/>
        <rFont val="WenQuanYi Zen Hei"/>
        <family val="2"/>
      </rPr>
      <t xml:space="preserve">、英語</t>
    </r>
    <r>
      <rPr>
        <sz val="10"/>
        <color rgb="FF1F2A28"/>
        <rFont val="Arial"/>
        <family val="0"/>
        <charset val="1"/>
      </rPr>
      <t xml:space="preserve">37.83</t>
    </r>
  </si>
  <si>
    <t xml:space="preserve">2002-03-25</t>
  </si>
  <si>
    <t xml:space="preserve">李玉瑩</t>
  </si>
  <si>
    <t xml:space="preserve">陳惠屏</t>
  </si>
  <si>
    <t xml:space="preserve">臺中市私立普霖斯頓美語短期補習班</t>
  </si>
  <si>
    <r>
      <rPr>
        <sz val="10"/>
        <color rgb="FF1F2A28"/>
        <rFont val="WenQuanYi Zen Hei"/>
        <family val="2"/>
      </rPr>
      <t xml:space="preserve">臺中市西區大墩十街</t>
    </r>
    <r>
      <rPr>
        <sz val="10"/>
        <color rgb="FF1F2A28"/>
        <rFont val="Arial"/>
        <family val="0"/>
        <charset val="1"/>
      </rPr>
      <t xml:space="preserve">95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85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</si>
  <si>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04-23190675</t>
  </si>
  <si>
    <t xml:space="preserve">futureheir95@gmail.com</t>
  </si>
  <si>
    <t xml:space="preserve">李玉娟</t>
  </si>
  <si>
    <t xml:space="preserve">臺中市私立樺德美語短期補習班</t>
  </si>
  <si>
    <r>
      <rPr>
        <sz val="10"/>
        <color rgb="FF1F2A28"/>
        <rFont val="WenQuanYi Zen Hei"/>
        <family val="2"/>
      </rPr>
      <t xml:space="preserve">臺中市西區臺灣大道</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375</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及</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至之</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5</t>
    </r>
    <r>
      <rPr>
        <sz val="10"/>
        <color rgb="FF1F2A28"/>
        <rFont val="WenQuanYi Zen Hei"/>
        <family val="2"/>
      </rPr>
      <t xml:space="preserve">至之</t>
    </r>
    <r>
      <rPr>
        <sz val="10"/>
        <color rgb="FF1F2A28"/>
        <rFont val="Arial"/>
        <family val="0"/>
        <charset val="1"/>
      </rPr>
      <t xml:space="preserve">7</t>
    </r>
  </si>
  <si>
    <t xml:space="preserve">2014-03-20</t>
  </si>
  <si>
    <t xml:space="preserve">蔣孟君</t>
  </si>
  <si>
    <t xml:space="preserve">楊淑君</t>
  </si>
  <si>
    <t xml:space="preserve">臺中市私立欣蘭英語短期補習班</t>
  </si>
  <si>
    <r>
      <rPr>
        <sz val="10"/>
        <color rgb="FF1F2A28"/>
        <rFont val="WenQuanYi Zen Hei"/>
        <family val="2"/>
      </rPr>
      <t xml:space="preserve">臺中市西區忠明南路</t>
    </r>
    <r>
      <rPr>
        <sz val="10"/>
        <color rgb="FF1F2A28"/>
        <rFont val="Arial"/>
        <family val="0"/>
        <charset val="1"/>
      </rPr>
      <t xml:space="preserve">497</t>
    </r>
    <r>
      <rPr>
        <sz val="10"/>
        <color rgb="FF1F2A28"/>
        <rFont val="WenQuanYi Zen Hei"/>
        <family val="2"/>
      </rPr>
      <t xml:space="preserve">號地下一樓之</t>
    </r>
    <r>
      <rPr>
        <sz val="10"/>
        <color rgb="FF1F2A28"/>
        <rFont val="Arial"/>
        <family val="0"/>
        <charset val="1"/>
      </rPr>
      <t xml:space="preserve">2</t>
    </r>
  </si>
  <si>
    <t xml:space="preserve">(04)23761101</t>
  </si>
  <si>
    <t xml:space="preserve">hsm52335233@gmail.com</t>
  </si>
  <si>
    <r>
      <rPr>
        <sz val="10"/>
        <color rgb="FF1F2A28"/>
        <rFont val="WenQuanYi Zen Hei"/>
        <family val="2"/>
      </rPr>
      <t xml:space="preserve">英語</t>
    </r>
    <r>
      <rPr>
        <sz val="10"/>
        <color rgb="FF1F2A28"/>
        <rFont val="Arial"/>
        <family val="0"/>
        <charset val="1"/>
      </rPr>
      <t xml:space="preserve">30.15</t>
    </r>
    <r>
      <rPr>
        <sz val="10"/>
        <color rgb="FF1F2A28"/>
        <rFont val="WenQuanYi Zen Hei"/>
        <family val="2"/>
      </rPr>
      <t xml:space="preserve">、英語</t>
    </r>
    <r>
      <rPr>
        <sz val="10"/>
        <color rgb="FF1F2A28"/>
        <rFont val="Arial"/>
        <family val="0"/>
        <charset val="1"/>
      </rPr>
      <t xml:space="preserve">30.37</t>
    </r>
    <r>
      <rPr>
        <sz val="10"/>
        <color rgb="FF1F2A28"/>
        <rFont val="WenQuanYi Zen Hei"/>
        <family val="2"/>
      </rPr>
      <t xml:space="preserve">、英語</t>
    </r>
    <r>
      <rPr>
        <sz val="10"/>
        <color rgb="FF1F2A28"/>
        <rFont val="Arial"/>
        <family val="0"/>
        <charset val="1"/>
      </rPr>
      <t xml:space="preserve">14.14</t>
    </r>
  </si>
  <si>
    <t xml:space="preserve">2007-02-01</t>
  </si>
  <si>
    <t xml:space="preserve">黃世明</t>
  </si>
  <si>
    <t xml:space="preserve">剛瑋</t>
  </si>
  <si>
    <t xml:space="preserve">臺中市私立潛能美語短期補習班</t>
  </si>
  <si>
    <r>
      <rPr>
        <sz val="10"/>
        <color rgb="FF1F2A28"/>
        <rFont val="WenQuanYi Zen Hei"/>
        <family val="2"/>
      </rPr>
      <t xml:space="preserve">臺中市西區三民路一段</t>
    </r>
    <r>
      <rPr>
        <sz val="10"/>
        <color rgb="FF1F2A28"/>
        <rFont val="Arial"/>
        <family val="0"/>
        <charset val="1"/>
      </rPr>
      <t xml:space="preserve">170</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</si>
  <si>
    <t xml:space="preserve">(04)22246666</t>
  </si>
  <si>
    <t xml:space="preserve">v690302@yahoo.com.tw</t>
  </si>
  <si>
    <r>
      <rPr>
        <sz val="10"/>
        <color rgb="FF1F2A28"/>
        <rFont val="WenQuanYi Zen Hei"/>
        <family val="2"/>
      </rPr>
      <t xml:space="preserve">美語</t>
    </r>
    <r>
      <rPr>
        <sz val="10"/>
        <color rgb="FF1F2A28"/>
        <rFont val="Arial"/>
        <family val="0"/>
        <charset val="1"/>
      </rPr>
      <t xml:space="preserve">19.63</t>
    </r>
    <r>
      <rPr>
        <sz val="10"/>
        <color rgb="FF1F2A28"/>
        <rFont val="WenQuanYi Zen Hei"/>
        <family val="2"/>
      </rPr>
      <t xml:space="preserve">、美語</t>
    </r>
    <r>
      <rPr>
        <sz val="10"/>
        <color rgb="FF1F2A28"/>
        <rFont val="Arial"/>
        <family val="0"/>
        <charset val="1"/>
      </rPr>
      <t xml:space="preserve">40.32</t>
    </r>
  </si>
  <si>
    <t xml:space="preserve">2006-08-31</t>
  </si>
  <si>
    <t xml:space="preserve">邱建興</t>
  </si>
  <si>
    <t xml:space="preserve">臺中市私立立學電腦附設美語會話短期補習班</t>
  </si>
  <si>
    <r>
      <rPr>
        <sz val="10"/>
        <color rgb="FF1F2A28"/>
        <rFont val="WenQuanYi Zen Hei"/>
        <family val="2"/>
      </rPr>
      <t xml:space="preserve">臺中市西區博館路</t>
    </r>
    <r>
      <rPr>
        <sz val="10"/>
        <color rgb="FF1F2A28"/>
        <rFont val="Arial"/>
        <family val="0"/>
        <charset val="1"/>
      </rPr>
      <t xml:space="preserve">240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</si>
  <si>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04-23112281</t>
  </si>
  <si>
    <t xml:space="preserve">karonz.tw@yahoo.com.tw</t>
  </si>
  <si>
    <r>
      <rPr>
        <sz val="10"/>
        <color rgb="FF1F2A28"/>
        <rFont val="WenQuanYi Zen Hei"/>
        <family val="2"/>
      </rPr>
      <t xml:space="preserve">美語</t>
    </r>
    <r>
      <rPr>
        <sz val="10"/>
        <color rgb="FF1F2A28"/>
        <rFont val="Arial"/>
        <family val="0"/>
        <charset val="1"/>
      </rPr>
      <t xml:space="preserve">19.34</t>
    </r>
    <r>
      <rPr>
        <sz val="10"/>
        <color rgb="FF1F2A28"/>
        <rFont val="WenQuanYi Zen Hei"/>
        <family val="2"/>
      </rPr>
      <t xml:space="preserve">、美語</t>
    </r>
    <r>
      <rPr>
        <sz val="10"/>
        <color rgb="FF1F2A28"/>
        <rFont val="Arial"/>
        <family val="0"/>
        <charset val="1"/>
      </rPr>
      <t xml:space="preserve">24</t>
    </r>
  </si>
  <si>
    <t xml:space="preserve">2003-12-16</t>
  </si>
  <si>
    <t xml:space="preserve">林雅文</t>
  </si>
  <si>
    <t xml:space="preserve">臺中市私立立程美語短期補習班</t>
  </si>
  <si>
    <r>
      <rPr>
        <sz val="10"/>
        <color rgb="FF1F2A28"/>
        <rFont val="WenQuanYi Zen Hei"/>
        <family val="2"/>
      </rPr>
      <t xml:space="preserve">臺中市西區五權西六街</t>
    </r>
    <r>
      <rPr>
        <sz val="10"/>
        <color rgb="FF1F2A28"/>
        <rFont val="Arial"/>
        <family val="0"/>
        <charset val="1"/>
      </rPr>
      <t xml:space="preserve">153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</si>
  <si>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(04)23752088</t>
  </si>
  <si>
    <t xml:space="preserve">light85@kimo.com</t>
  </si>
  <si>
    <r>
      <rPr>
        <sz val="10"/>
        <color rgb="FF1F2A28"/>
        <rFont val="WenQuanYi Zen Hei"/>
        <family val="2"/>
      </rPr>
      <t xml:space="preserve">美語</t>
    </r>
    <r>
      <rPr>
        <sz val="10"/>
        <color rgb="FF1F2A28"/>
        <rFont val="Arial"/>
        <family val="0"/>
        <charset val="1"/>
      </rPr>
      <t xml:space="preserve">17.65</t>
    </r>
    <r>
      <rPr>
        <sz val="10"/>
        <color rgb="FF1F2A28"/>
        <rFont val="WenQuanYi Zen Hei"/>
        <family val="2"/>
      </rPr>
      <t xml:space="preserve">、美語</t>
    </r>
    <r>
      <rPr>
        <sz val="10"/>
        <color rgb="FF1F2A28"/>
        <rFont val="Arial"/>
        <family val="0"/>
        <charset val="1"/>
      </rPr>
      <t xml:space="preserve">23.12</t>
    </r>
  </si>
  <si>
    <t xml:space="preserve">2009-01-17</t>
  </si>
  <si>
    <t xml:space="preserve">江文婷</t>
  </si>
  <si>
    <t xml:space="preserve">臺中市私立紅岩美語短期補習班</t>
  </si>
  <si>
    <r>
      <rPr>
        <sz val="10"/>
        <color rgb="FF1F2A28"/>
        <rFont val="WenQuanYi Zen Hei"/>
        <family val="2"/>
      </rPr>
      <t xml:space="preserve">臺中市西區五權六街</t>
    </r>
    <r>
      <rPr>
        <sz val="10"/>
        <color rgb="FF1F2A28"/>
        <rFont val="Arial"/>
        <family val="0"/>
        <charset val="1"/>
      </rPr>
      <t xml:space="preserve">75</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</si>
  <si>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(04)23721332</t>
  </si>
  <si>
    <t xml:space="preserve">薛雅文</t>
  </si>
  <si>
    <t xml:space="preserve">賴祥豪</t>
  </si>
  <si>
    <t xml:space="preserve">臺中市私立維閱文理短期補習班</t>
  </si>
  <si>
    <r>
      <rPr>
        <sz val="10"/>
        <color rgb="FF1F2A28"/>
        <rFont val="WenQuanYi Zen Hei"/>
        <family val="2"/>
      </rPr>
      <t xml:space="preserve">臺中市西區林森路</t>
    </r>
    <r>
      <rPr>
        <sz val="10"/>
        <color rgb="FF1F2A28"/>
        <rFont val="Arial"/>
        <family val="0"/>
        <charset val="1"/>
      </rPr>
      <t xml:space="preserve">30-4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</si>
  <si>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(04)22237885</t>
  </si>
  <si>
    <t xml:space="preserve">iva@hotmail.com.tw</t>
  </si>
  <si>
    <r>
      <rPr>
        <sz val="10"/>
        <color rgb="FF1F2A28"/>
        <rFont val="WenQuanYi Zen Hei"/>
        <family val="2"/>
      </rPr>
      <t xml:space="preserve">英文</t>
    </r>
    <r>
      <rPr>
        <sz val="10"/>
        <color rgb="FF1F2A28"/>
        <rFont val="Arial"/>
        <family val="0"/>
        <charset val="1"/>
      </rPr>
      <t xml:space="preserve">A</t>
    </r>
    <r>
      <rPr>
        <sz val="10"/>
        <color rgb="FF1F2A28"/>
        <rFont val="WenQuanYi Zen Hei"/>
        <family val="2"/>
      </rPr>
      <t xml:space="preserve">、英文</t>
    </r>
    <r>
      <rPr>
        <sz val="10"/>
        <color rgb="FF1F2A28"/>
        <rFont val="Arial"/>
        <family val="0"/>
        <charset val="1"/>
      </rPr>
      <t xml:space="preserve">B</t>
    </r>
    <r>
      <rPr>
        <sz val="10"/>
        <color rgb="FF1F2A28"/>
        <rFont val="WenQuanYi Zen Hei"/>
        <family val="2"/>
      </rPr>
      <t xml:space="preserve">、英文</t>
    </r>
    <r>
      <rPr>
        <sz val="10"/>
        <color rgb="FF1F2A28"/>
        <rFont val="Arial"/>
        <family val="0"/>
        <charset val="1"/>
      </rPr>
      <t xml:space="preserve">C</t>
    </r>
    <r>
      <rPr>
        <sz val="10"/>
        <color rgb="FF1F2A28"/>
        <rFont val="WenQuanYi Zen Hei"/>
        <family val="2"/>
      </rPr>
      <t xml:space="preserve">、英文</t>
    </r>
    <r>
      <rPr>
        <sz val="10"/>
        <color rgb="FF1F2A28"/>
        <rFont val="Arial"/>
        <family val="0"/>
        <charset val="1"/>
      </rPr>
      <t xml:space="preserve">D</t>
    </r>
    <r>
      <rPr>
        <sz val="10"/>
        <color rgb="FF1F2A28"/>
        <rFont val="WenQuanYi Zen Hei"/>
        <family val="2"/>
      </rPr>
      <t xml:space="preserve">、英文</t>
    </r>
    <r>
      <rPr>
        <sz val="10"/>
        <color rgb="FF1F2A28"/>
        <rFont val="Arial"/>
        <family val="0"/>
        <charset val="1"/>
      </rPr>
      <t xml:space="preserve">E</t>
    </r>
  </si>
  <si>
    <t xml:space="preserve">王維雄</t>
  </si>
  <si>
    <t xml:space="preserve">陳湘琪</t>
  </si>
  <si>
    <t xml:space="preserve">臺中市私立英才語言短期補習班</t>
  </si>
  <si>
    <r>
      <rPr>
        <sz val="10"/>
        <color rgb="FF1F2A28"/>
        <rFont val="WenQuanYi Zen Hei"/>
        <family val="2"/>
      </rPr>
      <t xml:space="preserve">臺中市西區英才路</t>
    </r>
    <r>
      <rPr>
        <sz val="10"/>
        <color rgb="FF1F2A28"/>
        <rFont val="Arial"/>
        <family val="0"/>
        <charset val="1"/>
      </rPr>
      <t xml:space="preserve">641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</si>
  <si>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(04)23753959</t>
  </si>
  <si>
    <t xml:space="preserve">2013-01-15</t>
  </si>
  <si>
    <t xml:space="preserve">陳昭宏</t>
  </si>
  <si>
    <t xml:space="preserve">陳建宇</t>
  </si>
  <si>
    <t xml:space="preserve">臺中市私立葳斯森林美語短期補習班</t>
  </si>
  <si>
    <r>
      <rPr>
        <sz val="10"/>
        <color rgb="FF1F2A28"/>
        <rFont val="WenQuanYi Zen Hei"/>
        <family val="2"/>
      </rPr>
      <t xml:space="preserve">臺中市西區五權七街</t>
    </r>
    <r>
      <rPr>
        <sz val="10"/>
        <color rgb="FF1F2A28"/>
        <rFont val="Arial"/>
        <family val="0"/>
        <charset val="1"/>
      </rPr>
      <t xml:space="preserve">154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</si>
  <si>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(04)23756575</t>
  </si>
  <si>
    <t xml:space="preserve">2017-08-18</t>
  </si>
  <si>
    <t xml:space="preserve">孫令嫺</t>
  </si>
  <si>
    <t xml:space="preserve">臺中市私立阿奇米得美語附設書法短期補習班</t>
  </si>
  <si>
    <r>
      <rPr>
        <sz val="10"/>
        <color rgb="FF1F2A28"/>
        <rFont val="WenQuanYi Zen Hei"/>
        <family val="2"/>
      </rPr>
      <t xml:space="preserve">臺中市西區五權西六街</t>
    </r>
    <r>
      <rPr>
        <sz val="10"/>
        <color rgb="FF1F2A28"/>
        <rFont val="Arial"/>
        <family val="0"/>
        <charset val="1"/>
      </rPr>
      <t xml:space="preserve">148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150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</si>
  <si>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(04)23766196</t>
  </si>
  <si>
    <t xml:space="preserve">archimedes1000@yahoo.com.tw</t>
  </si>
  <si>
    <t xml:space="preserve">陳玉娟</t>
  </si>
  <si>
    <t xml:space="preserve">朱傳祐</t>
  </si>
  <si>
    <t xml:space="preserve">財團法人台灣聖公會附設臺中市私立聖雅各文理短期補習班</t>
  </si>
  <si>
    <r>
      <rPr>
        <sz val="10"/>
        <color rgb="FF1F2A28"/>
        <rFont val="WenQuanYi Zen Hei"/>
        <family val="2"/>
      </rPr>
      <t xml:space="preserve">臺中市西區五權西路一段</t>
    </r>
    <r>
      <rPr>
        <sz val="10"/>
        <color rgb="FF1F2A28"/>
        <rFont val="Arial"/>
        <family val="0"/>
        <charset val="1"/>
      </rPr>
      <t xml:space="preserve">21</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r>
      <rPr>
        <sz val="10"/>
        <color rgb="FF1F2A28"/>
        <rFont val="Arial"/>
        <family val="0"/>
        <charset val="1"/>
      </rPr>
      <t xml:space="preserve">)</t>
    </r>
  </si>
  <si>
    <t xml:space="preserve">(04)23721909</t>
  </si>
  <si>
    <t xml:space="preserve">stjames.language@gmail.com</t>
  </si>
  <si>
    <r>
      <rPr>
        <sz val="10"/>
        <color rgb="FF1F2A28"/>
        <rFont val="WenQuanYi Zen Hei"/>
        <family val="2"/>
      </rPr>
      <t xml:space="preserve">英文</t>
    </r>
    <r>
      <rPr>
        <sz val="10"/>
        <color rgb="FF1F2A28"/>
        <rFont val="Arial"/>
        <family val="0"/>
        <charset val="1"/>
      </rPr>
      <t xml:space="preserve">B</t>
    </r>
    <r>
      <rPr>
        <sz val="10"/>
        <color rgb="FF1F2A28"/>
        <rFont val="WenQuanYi Zen Hei"/>
        <family val="2"/>
      </rPr>
      <t xml:space="preserve">、英文</t>
    </r>
    <r>
      <rPr>
        <sz val="10"/>
        <color rgb="FF1F2A28"/>
        <rFont val="Arial"/>
        <family val="0"/>
        <charset val="1"/>
      </rPr>
      <t xml:space="preserve">A</t>
    </r>
    <r>
      <rPr>
        <sz val="10"/>
        <color rgb="FF1F2A28"/>
        <rFont val="WenQuanYi Zen Hei"/>
        <family val="2"/>
      </rPr>
      <t xml:space="preserve">、英文</t>
    </r>
    <r>
      <rPr>
        <sz val="10"/>
        <color rgb="FF1F2A28"/>
        <rFont val="Arial"/>
        <family val="0"/>
        <charset val="1"/>
      </rPr>
      <t xml:space="preserve">C</t>
    </r>
    <r>
      <rPr>
        <sz val="10"/>
        <color rgb="FF1F2A28"/>
        <rFont val="WenQuanYi Zen Hei"/>
        <family val="2"/>
      </rPr>
      <t xml:space="preserve">、英文</t>
    </r>
    <r>
      <rPr>
        <sz val="10"/>
        <color rgb="FF1F2A28"/>
        <rFont val="Arial"/>
        <family val="0"/>
        <charset val="1"/>
      </rPr>
      <t xml:space="preserve">D</t>
    </r>
    <r>
      <rPr>
        <sz val="10"/>
        <color rgb="FF1F2A28"/>
        <rFont val="WenQuanYi Zen Hei"/>
        <family val="2"/>
      </rPr>
      <t xml:space="preserve">、英文</t>
    </r>
    <r>
      <rPr>
        <sz val="10"/>
        <color rgb="FF1F2A28"/>
        <rFont val="Arial"/>
        <family val="0"/>
        <charset val="1"/>
      </rPr>
      <t xml:space="preserve">E</t>
    </r>
    <r>
      <rPr>
        <sz val="10"/>
        <color rgb="FF1F2A28"/>
        <rFont val="WenQuanYi Zen Hei"/>
        <family val="2"/>
      </rPr>
      <t xml:space="preserve">、英文</t>
    </r>
    <r>
      <rPr>
        <sz val="10"/>
        <color rgb="FF1F2A28"/>
        <rFont val="Arial"/>
        <family val="0"/>
        <charset val="1"/>
      </rPr>
      <t xml:space="preserve">F</t>
    </r>
    <r>
      <rPr>
        <sz val="10"/>
        <color rgb="FF1F2A28"/>
        <rFont val="WenQuanYi Zen Hei"/>
        <family val="2"/>
      </rPr>
      <t xml:space="preserve">、英文</t>
    </r>
    <r>
      <rPr>
        <sz val="10"/>
        <color rgb="FF1F2A28"/>
        <rFont val="Arial"/>
        <family val="0"/>
        <charset val="1"/>
      </rPr>
      <t xml:space="preserve">G</t>
    </r>
    <r>
      <rPr>
        <sz val="10"/>
        <color rgb="FF1F2A28"/>
        <rFont val="WenQuanYi Zen Hei"/>
        <family val="2"/>
      </rPr>
      <t xml:space="preserve">、英文</t>
    </r>
    <r>
      <rPr>
        <sz val="10"/>
        <color rgb="FF1F2A28"/>
        <rFont val="Arial"/>
        <family val="0"/>
        <charset val="1"/>
      </rPr>
      <t xml:space="preserve">H</t>
    </r>
    <r>
      <rPr>
        <sz val="10"/>
        <color rgb="FF1F2A28"/>
        <rFont val="WenQuanYi Zen Hei"/>
        <family val="2"/>
      </rPr>
      <t xml:space="preserve">、英文</t>
    </r>
    <r>
      <rPr>
        <sz val="10"/>
        <color rgb="FF1F2A28"/>
        <rFont val="Arial"/>
        <family val="0"/>
        <charset val="1"/>
      </rPr>
      <t xml:space="preserve">I</t>
    </r>
  </si>
  <si>
    <t xml:space="preserve">張員榮</t>
  </si>
  <si>
    <t xml:space="preserve">張幼梅</t>
  </si>
  <si>
    <t xml:space="preserve">西區台中市</t>
  </si>
  <si>
    <t xml:space="preserve">台中市私立威佳美語短期補習班</t>
  </si>
  <si>
    <r>
      <rPr>
        <sz val="10"/>
        <color rgb="FF1F2A28"/>
        <rFont val="WenQuanYi Zen Hei"/>
        <family val="2"/>
      </rPr>
      <t xml:space="preserve">西區台中市西區英才路</t>
    </r>
    <r>
      <rPr>
        <sz val="10"/>
        <color rgb="FF1F2A28"/>
        <rFont val="Arial"/>
        <family val="0"/>
        <charset val="1"/>
      </rPr>
      <t xml:space="preserve">421</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樓之</t>
    </r>
    <r>
      <rPr>
        <sz val="10"/>
        <color rgb="FF1F2A28"/>
        <rFont val="Arial"/>
        <family val="0"/>
        <charset val="1"/>
      </rPr>
      <t xml:space="preserve">5</t>
    </r>
  </si>
  <si>
    <t xml:space="preserve">(04)23267868</t>
  </si>
  <si>
    <t xml:space="preserve">aplusenglish.aplus@gmail.com</t>
  </si>
  <si>
    <t xml:space="preserve">美語、英語</t>
  </si>
  <si>
    <t xml:space="preserve">2011-03-08</t>
  </si>
  <si>
    <t xml:space="preserve">豐原區</t>
  </si>
  <si>
    <t xml:space="preserve">私立佳音英語短期補習班</t>
  </si>
  <si>
    <r>
      <rPr>
        <sz val="10"/>
        <color rgb="FF1F2A28"/>
        <rFont val="WenQuanYi Zen Hei"/>
        <family val="2"/>
      </rPr>
      <t xml:space="preserve">豐原區中山路</t>
    </r>
    <r>
      <rPr>
        <sz val="10"/>
        <color rgb="FF1F2A28"/>
        <rFont val="Arial"/>
        <family val="0"/>
        <charset val="1"/>
      </rPr>
      <t xml:space="preserve">142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</si>
  <si>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0425322536</t>
  </si>
  <si>
    <t xml:space="preserve">2001-04-09</t>
  </si>
  <si>
    <t xml:space="preserve">私立嘉群英文短期補習班</t>
  </si>
  <si>
    <r>
      <rPr>
        <sz val="10"/>
        <color rgb="FF1F2A28"/>
        <rFont val="WenQuanYi Zen Hei"/>
        <family val="2"/>
      </rPr>
      <t xml:space="preserve">豐原區愛國街</t>
    </r>
    <r>
      <rPr>
        <sz val="10"/>
        <color rgb="FF1F2A28"/>
        <rFont val="Arial"/>
        <family val="0"/>
        <charset val="1"/>
      </rPr>
      <t xml:space="preserve">161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</si>
  <si>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(04)25288945</t>
  </si>
  <si>
    <t xml:space="preserve">2004-06-21</t>
  </si>
  <si>
    <t xml:space="preserve">陳威宇</t>
  </si>
  <si>
    <t xml:space="preserve">黃瑞嫄</t>
  </si>
  <si>
    <t xml:space="preserve">私立安利美語短期補習班</t>
  </si>
  <si>
    <r>
      <rPr>
        <sz val="10"/>
        <color rgb="FF1F2A28"/>
        <rFont val="WenQuanYi Zen Hei"/>
        <family val="2"/>
      </rPr>
      <t xml:space="preserve">豐原區合作街</t>
    </r>
    <r>
      <rPr>
        <sz val="10"/>
        <color rgb="FF1F2A28"/>
        <rFont val="Arial"/>
        <family val="0"/>
        <charset val="1"/>
      </rPr>
      <t xml:space="preserve">132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</si>
  <si>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(04)2525-3729</t>
  </si>
  <si>
    <t xml:space="preserve">aa0958893009@gmail.com</t>
  </si>
  <si>
    <t xml:space="preserve">2008-01-30</t>
  </si>
  <si>
    <t xml:space="preserve">林麗雅</t>
  </si>
  <si>
    <t xml:space="preserve">私立布里恩文理短期補習班</t>
  </si>
  <si>
    <r>
      <rPr>
        <sz val="10"/>
        <color rgb="FF1F2A28"/>
        <rFont val="WenQuanYi Zen Hei"/>
        <family val="2"/>
      </rPr>
      <t xml:space="preserve">豐原區文昌西街</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49.41</t>
    </r>
    <r>
      <rPr>
        <sz val="10"/>
        <color rgb="FF1F2A28"/>
        <rFont val="WenQuanYi Zen Hei"/>
        <family val="2"/>
      </rPr>
      <t xml:space="preserve">平方公尺</t>
    </r>
    <r>
      <rPr>
        <sz val="10"/>
        <color rgb="FF1F2A28"/>
        <rFont val="Arial"/>
        <family val="0"/>
        <charset val="1"/>
      </rPr>
      <t xml:space="preserve">,2x.6138.58</t>
    </r>
    <r>
      <rPr>
        <sz val="10"/>
        <color rgb="FF1F2A28"/>
        <rFont val="WenQuanYi Zen Hei"/>
        <family val="2"/>
      </rPr>
      <t xml:space="preserve">平方公尺</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50.79</t>
    </r>
    <r>
      <rPr>
        <sz val="10"/>
        <color rgb="FF1F2A28"/>
        <rFont val="WenQuanYi Zen Hei"/>
        <family val="2"/>
      </rPr>
      <t xml:space="preserve">平方公尺</t>
    </r>
    <r>
      <rPr>
        <sz val="10"/>
        <color rgb="FF1F2A28"/>
        <rFont val="Arial"/>
        <family val="0"/>
        <charset val="1"/>
      </rPr>
      <t xml:space="preserve">)</t>
    </r>
  </si>
  <si>
    <t xml:space="preserve">(04)25207341</t>
  </si>
  <si>
    <t xml:space="preserve">angel910114@yahoo.com.tw</t>
  </si>
  <si>
    <t xml:space="preserve">2008-07-03</t>
  </si>
  <si>
    <t xml:space="preserve">陳玉珮</t>
  </si>
  <si>
    <t xml:space="preserve">私立惠陽美語技藝短期補習班</t>
  </si>
  <si>
    <r>
      <rPr>
        <sz val="10"/>
        <color rgb="FF1F2A28"/>
        <rFont val="WenQuanYi Zen Hei"/>
        <family val="2"/>
      </rPr>
      <t xml:space="preserve">豐原區惠陽街</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</si>
  <si>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25206960</t>
  </si>
  <si>
    <t xml:space="preserve">fy25206960@yahoo.com.tw</t>
  </si>
  <si>
    <t xml:space="preserve">2001-11-27</t>
  </si>
  <si>
    <t xml:space="preserve">呂孟茹</t>
  </si>
  <si>
    <t xml:space="preserve">莊雅雯</t>
  </si>
  <si>
    <t xml:space="preserve">私立梅花鹿美語短期補習班</t>
  </si>
  <si>
    <r>
      <rPr>
        <sz val="10"/>
        <color rgb="FF1F2A28"/>
        <rFont val="WenQuanYi Zen Hei"/>
        <family val="2"/>
      </rPr>
      <t xml:space="preserve">豐原區信義街</t>
    </r>
    <r>
      <rPr>
        <sz val="10"/>
        <color rgb="FF1F2A28"/>
        <rFont val="Arial"/>
        <family val="0"/>
        <charset val="1"/>
      </rPr>
      <t xml:space="preserve">162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</si>
  <si>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0425270962</t>
  </si>
  <si>
    <t xml:space="preserve">羅秀琴</t>
  </si>
  <si>
    <t xml:space="preserve">私立美克語文技藝短期補習班</t>
  </si>
  <si>
    <r>
      <rPr>
        <sz val="10"/>
        <color rgb="FF1F2A28"/>
        <rFont val="WenQuanYi Zen Hei"/>
        <family val="2"/>
      </rPr>
      <t xml:space="preserve">豐原區惠陽街</t>
    </r>
    <r>
      <rPr>
        <sz val="10"/>
        <color rgb="FF1F2A28"/>
        <rFont val="Arial"/>
        <family val="0"/>
        <charset val="1"/>
      </rPr>
      <t xml:space="preserve">11</t>
    </r>
    <r>
      <rPr>
        <sz val="10"/>
        <color rgb="FF1F2A28"/>
        <rFont val="WenQuanYi Zen Hei"/>
        <family val="2"/>
      </rPr>
      <t xml:space="preserve">號</t>
    </r>
  </si>
  <si>
    <t xml:space="preserve">(04)25286559</t>
  </si>
  <si>
    <t xml:space="preserve">陳映年</t>
  </si>
  <si>
    <t xml:space="preserve">私立聖路易美語短期補習班</t>
  </si>
  <si>
    <r>
      <rPr>
        <sz val="10"/>
        <color rgb="FF1F2A28"/>
        <rFont val="WenQuanYi Zen Hei"/>
        <family val="2"/>
      </rPr>
      <t xml:space="preserve">豐原區文村街</t>
    </r>
    <r>
      <rPr>
        <sz val="10"/>
        <color rgb="FF1F2A28"/>
        <rFont val="Arial"/>
        <family val="0"/>
        <charset val="1"/>
      </rPr>
      <t xml:space="preserve">27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</si>
  <si>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(04)2515-2245</t>
  </si>
  <si>
    <t xml:space="preserve">tchiou@yahoo.com</t>
  </si>
  <si>
    <t xml:space="preserve">2000-03-02</t>
  </si>
  <si>
    <t xml:space="preserve">邱崇傑</t>
  </si>
  <si>
    <t xml:space="preserve">邱瀞慧</t>
  </si>
  <si>
    <t xml:space="preserve">私立蘋果樹美語短期補習班</t>
  </si>
  <si>
    <r>
      <rPr>
        <sz val="10"/>
        <color rgb="FF1F2A28"/>
        <rFont val="WenQuanYi Zen Hei"/>
        <family val="2"/>
      </rPr>
      <t xml:space="preserve">豐原區田心路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341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</si>
  <si>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(04)25291306</t>
  </si>
  <si>
    <t xml:space="preserve">green.greenyang@gmail.com</t>
  </si>
  <si>
    <t xml:space="preserve">楊文智</t>
  </si>
  <si>
    <t xml:space="preserve">巫俞葶</t>
  </si>
  <si>
    <t xml:space="preserve">臺中市私立亞佛美語短期補習班</t>
  </si>
  <si>
    <r>
      <rPr>
        <sz val="10"/>
        <color rgb="FF1F2A28"/>
        <rFont val="WenQuanYi Zen Hei"/>
        <family val="2"/>
      </rPr>
      <t xml:space="preserve">豐原區田心路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247</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</si>
  <si>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(04)25299319</t>
  </si>
  <si>
    <t xml:space="preserve">ethanwang1030@gmail.com</t>
  </si>
  <si>
    <t xml:space="preserve">王義盛</t>
  </si>
  <si>
    <t xml:space="preserve">林蕙瑤</t>
  </si>
  <si>
    <t xml:space="preserve">臺中市私立嘉勝英語短期補習班</t>
  </si>
  <si>
    <r>
      <rPr>
        <sz val="10"/>
        <color rgb="FF1F2A28"/>
        <rFont val="WenQuanYi Zen Hei"/>
        <family val="2"/>
      </rPr>
      <t xml:space="preserve">豐原區陽明街</t>
    </r>
    <r>
      <rPr>
        <sz val="10"/>
        <color rgb="FF1F2A28"/>
        <rFont val="Arial"/>
        <family val="0"/>
        <charset val="1"/>
      </rPr>
      <t xml:space="preserve">156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</si>
  <si>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(04)25152838</t>
  </si>
  <si>
    <t xml:space="preserve">hs1036@hess.com.tw</t>
  </si>
  <si>
    <t xml:space="preserve">2009-12-21</t>
  </si>
  <si>
    <t xml:space="preserve">黃由女</t>
  </si>
  <si>
    <t xml:space="preserve">臺中市私立巨匠電腦美語短期補習班</t>
  </si>
  <si>
    <r>
      <rPr>
        <sz val="10"/>
        <color rgb="FF1F2A28"/>
        <rFont val="WenQuanYi Zen Hei"/>
        <family val="2"/>
      </rPr>
      <t xml:space="preserve">豐原區中正路</t>
    </r>
    <r>
      <rPr>
        <sz val="10"/>
        <color rgb="FF1F2A28"/>
        <rFont val="Arial"/>
        <family val="0"/>
        <charset val="1"/>
      </rPr>
      <t xml:space="preserve">118</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</si>
  <si>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0425208271</t>
  </si>
  <si>
    <t xml:space="preserve">fe_mailbox@pcschool.com.tw</t>
  </si>
  <si>
    <t xml:space="preserve">1997-05-21</t>
  </si>
  <si>
    <t xml:space="preserve">劉文言</t>
  </si>
  <si>
    <t xml:space="preserve">黃禾原</t>
  </si>
  <si>
    <t xml:space="preserve">臺中市私立希伯崙文理短期補習班</t>
  </si>
  <si>
    <r>
      <rPr>
        <sz val="10"/>
        <color rgb="FF1F2A28"/>
        <rFont val="WenQuanYi Zen Hei"/>
        <family val="2"/>
      </rPr>
      <t xml:space="preserve">豐原區南陽路</t>
    </r>
    <r>
      <rPr>
        <sz val="10"/>
        <color rgb="FF1F2A28"/>
        <rFont val="Arial"/>
        <family val="0"/>
        <charset val="1"/>
      </rPr>
      <t xml:space="preserve">472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</si>
  <si>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(04)25156060</t>
  </si>
  <si>
    <t xml:space="preserve">sophia10230503@gmail.com</t>
  </si>
  <si>
    <t xml:space="preserve">2007-08-20</t>
  </si>
  <si>
    <t xml:space="preserve">莊順堯</t>
  </si>
  <si>
    <t xml:space="preserve">臺中市私立樺特英文短期補習班</t>
  </si>
  <si>
    <r>
      <rPr>
        <sz val="10"/>
        <color rgb="FF1F2A28"/>
        <rFont val="WenQuanYi Zen Hei"/>
        <family val="2"/>
      </rPr>
      <t xml:space="preserve">豐原區愛國街</t>
    </r>
    <r>
      <rPr>
        <sz val="10"/>
        <color rgb="FF1F2A28"/>
        <rFont val="Arial"/>
        <family val="0"/>
        <charset val="1"/>
      </rPr>
      <t xml:space="preserve">215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</si>
  <si>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(04)25205359</t>
  </si>
  <si>
    <t xml:space="preserve">what.school.what@gmail.com</t>
  </si>
  <si>
    <t xml:space="preserve">胡鳳君</t>
  </si>
  <si>
    <t xml:space="preserve">臺中市私立海洋文理短期補習班</t>
  </si>
  <si>
    <r>
      <rPr>
        <sz val="10"/>
        <color rgb="FF1F2A28"/>
        <rFont val="WenQuanYi Zen Hei"/>
        <family val="2"/>
      </rPr>
      <t xml:space="preserve">豐原區葫蘆墩一街</t>
    </r>
    <r>
      <rPr>
        <sz val="10"/>
        <color rgb="FF1F2A28"/>
        <rFont val="Arial"/>
        <family val="0"/>
        <charset val="1"/>
      </rPr>
      <t xml:space="preserve">197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</si>
  <si>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(04)25229379</t>
  </si>
  <si>
    <t xml:space="preserve">mosanasa197@gmail.com</t>
  </si>
  <si>
    <t xml:space="preserve">2007-11-23</t>
  </si>
  <si>
    <t xml:space="preserve">董慧蓮</t>
  </si>
  <si>
    <t xml:space="preserve">霧峰區</t>
  </si>
  <si>
    <t xml:space="preserve">臺中市私立馬崙尼英語會話短期補習班</t>
  </si>
  <si>
    <r>
      <rPr>
        <sz val="10"/>
        <color rgb="FF1F2A28"/>
        <rFont val="WenQuanYi Zen Hei"/>
        <family val="2"/>
      </rPr>
      <t xml:space="preserve">霧峰區四德路</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</si>
  <si>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23325662</t>
  </si>
  <si>
    <t xml:space="preserve">bc016@joy.com.tw</t>
  </si>
  <si>
    <t xml:space="preserve">1996-01-30</t>
  </si>
  <si>
    <t xml:space="preserve">林玉雲</t>
  </si>
  <si>
    <t xml:space="preserve">李聖豐</t>
  </si>
  <si>
    <t xml:space="preserve">臺南市</t>
  </si>
  <si>
    <t xml:space="preserve">七股區</t>
  </si>
  <si>
    <t xml:space="preserve">臺南市私立諾貝爾英文短期補習班</t>
  </si>
  <si>
    <r>
      <rPr>
        <sz val="10"/>
        <color rgb="FF1F2A28"/>
        <rFont val="WenQuanYi Zen Hei"/>
        <family val="2"/>
      </rPr>
      <t xml:space="preserve">七股區玉成</t>
    </r>
    <r>
      <rPr>
        <sz val="10"/>
        <color rgb="FF1F2A28"/>
        <rFont val="Arial"/>
        <family val="0"/>
        <charset val="1"/>
      </rPr>
      <t xml:space="preserve">3-39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</si>
  <si>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(06)7873112</t>
  </si>
  <si>
    <t xml:space="preserve">1999-01-25</t>
  </si>
  <si>
    <t xml:space="preserve">王安良</t>
  </si>
  <si>
    <t xml:space="preserve">王淑楨</t>
  </si>
  <si>
    <t xml:space="preserve">下營區</t>
  </si>
  <si>
    <t xml:space="preserve">臺南市私立培育文理短期補習班</t>
  </si>
  <si>
    <r>
      <rPr>
        <sz val="10"/>
        <color rgb="FF1F2A28"/>
        <rFont val="WenQuanYi Zen Hei"/>
        <family val="2"/>
      </rPr>
      <t xml:space="preserve">下營區中山路一段</t>
    </r>
    <r>
      <rPr>
        <sz val="10"/>
        <color rgb="FF1F2A28"/>
        <rFont val="Arial"/>
        <family val="0"/>
        <charset val="1"/>
      </rPr>
      <t xml:space="preserve">182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186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</si>
  <si>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(06)6892368</t>
  </si>
  <si>
    <t xml:space="preserve">黃志傑</t>
  </si>
  <si>
    <t xml:space="preserve">蔡承洧</t>
  </si>
  <si>
    <t xml:space="preserve">臺南市私立文研美語短期補習班</t>
  </si>
  <si>
    <r>
      <rPr>
        <sz val="10"/>
        <color rgb="FF1F2A28"/>
        <rFont val="WenQuanYi Zen Hei"/>
        <family val="2"/>
      </rPr>
      <t xml:space="preserve">下營區中華街</t>
    </r>
    <r>
      <rPr>
        <sz val="10"/>
        <color rgb="FF1F2A28"/>
        <rFont val="Arial"/>
        <family val="0"/>
        <charset val="1"/>
      </rPr>
      <t xml:space="preserve">40</t>
    </r>
    <r>
      <rPr>
        <sz val="10"/>
        <color rgb="FF1F2A28"/>
        <rFont val="WenQuanYi Zen Hei"/>
        <family val="2"/>
      </rPr>
      <t xml:space="preserve">巷</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</si>
  <si>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(06)6793345</t>
  </si>
  <si>
    <t xml:space="preserve">davidchaing54@yahoo.com.tw</t>
  </si>
  <si>
    <t xml:space="preserve">2006-07-09</t>
  </si>
  <si>
    <t xml:space="preserve">姜志聰</t>
  </si>
  <si>
    <t xml:space="preserve">中西區</t>
  </si>
  <si>
    <t xml:space="preserve">巨匠電腦股份有限公司附設臺南市私立巨匠成功文理短期補習班</t>
  </si>
  <si>
    <r>
      <rPr>
        <sz val="10"/>
        <color rgb="FF1F2A28"/>
        <rFont val="WenQuanYi Zen Hei"/>
        <family val="2"/>
      </rPr>
      <t xml:space="preserve">中西區成功路</t>
    </r>
    <r>
      <rPr>
        <sz val="10"/>
        <color rgb="FF1F2A28"/>
        <rFont val="Arial"/>
        <family val="0"/>
        <charset val="1"/>
      </rPr>
      <t xml:space="preserve">95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</si>
  <si>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(06)2202338</t>
  </si>
  <si>
    <t xml:space="preserve">KV_mailbox@pcschool.com.tw</t>
  </si>
  <si>
    <t xml:space="preserve">李家甄</t>
  </si>
  <si>
    <t xml:space="preserve">社團法人台南市基督教青年會附設臺南市私立英日語協進館文理技藝短期補習班</t>
  </si>
  <si>
    <r>
      <rPr>
        <sz val="10"/>
        <color rgb="FF1F2A28"/>
        <rFont val="WenQuanYi Zen Hei"/>
        <family val="2"/>
      </rPr>
      <t xml:space="preserve">中西區民生路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200</t>
    </r>
    <r>
      <rPr>
        <sz val="10"/>
        <color rgb="FF1F2A28"/>
        <rFont val="WenQuanYi Zen Hei"/>
        <family val="2"/>
      </rPr>
      <t xml:space="preserve">號</t>
    </r>
    <r>
      <rPr>
        <sz val="10"/>
        <color rgb="FF1F2A28"/>
        <rFont val="Arial"/>
        <family val="0"/>
        <charset val="1"/>
      </rPr>
      <t xml:space="preserve">4-5</t>
    </r>
    <r>
      <rPr>
        <sz val="10"/>
        <color rgb="FF1F2A28"/>
        <rFont val="WenQuanYi Zen Hei"/>
        <family val="2"/>
      </rPr>
      <t xml:space="preserve">樓</t>
    </r>
  </si>
  <si>
    <t xml:space="preserve">(06)2207302</t>
  </si>
  <si>
    <t xml:space="preserve">ericli6297@gmail.com</t>
  </si>
  <si>
    <t xml:space="preserve">1987-05-11</t>
  </si>
  <si>
    <t xml:space="preserve">陳振傑</t>
  </si>
  <si>
    <t xml:space="preserve">李榮泰</t>
  </si>
  <si>
    <t xml:space="preserve">臺南市私立伯瑞英語短期補習班</t>
  </si>
  <si>
    <r>
      <rPr>
        <sz val="10"/>
        <color rgb="FF1F2A28"/>
        <rFont val="WenQuanYi Zen Hei"/>
        <family val="2"/>
      </rPr>
      <t xml:space="preserve">中西區南門路</t>
    </r>
    <r>
      <rPr>
        <sz val="10"/>
        <color rgb="FF1F2A28"/>
        <rFont val="Arial"/>
        <family val="0"/>
        <charset val="1"/>
      </rPr>
      <t xml:space="preserve">75</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</si>
  <si>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(06)2155771</t>
  </si>
  <si>
    <t xml:space="preserve">s9251@giga.com.tw</t>
  </si>
  <si>
    <r>
      <rPr>
        <sz val="10"/>
        <color rgb="FF1F2A28"/>
        <rFont val="WenQuanYi Zen Hei"/>
        <family val="2"/>
      </rPr>
      <t xml:space="preserve">蘇伯瑞</t>
    </r>
    <r>
      <rPr>
        <sz val="10"/>
        <color rgb="FF1F2A28"/>
        <rFont val="Arial"/>
        <family val="0"/>
        <charset val="1"/>
      </rPr>
      <t xml:space="preserve">SOBCHAK</t>
    </r>
    <r>
      <rPr>
        <sz val="10"/>
        <color rgb="FF1F2A28"/>
        <rFont val="WenQuanYi Zen Hei"/>
        <family val="2"/>
      </rPr>
      <t xml:space="preserve">， </t>
    </r>
    <r>
      <rPr>
        <sz val="10"/>
        <color rgb="FF1F2A28"/>
        <rFont val="Arial"/>
        <family val="0"/>
        <charset val="1"/>
      </rPr>
      <t xml:space="preserve">BORYS</t>
    </r>
    <r>
      <rPr>
        <sz val="10"/>
        <color rgb="FF1F2A28"/>
        <rFont val="WenQuanYi Zen Hei"/>
        <family val="2"/>
      </rPr>
      <t xml:space="preserve">〈</t>
    </r>
    <r>
      <rPr>
        <sz val="10"/>
        <color rgb="FF1F2A28"/>
        <rFont val="Arial"/>
        <family val="0"/>
        <charset val="1"/>
      </rPr>
      <t xml:space="preserve">DC00020839</t>
    </r>
    <r>
      <rPr>
        <sz val="10"/>
        <color rgb="FF1F2A28"/>
        <rFont val="WenQuanYi Zen Hei"/>
        <family val="2"/>
      </rPr>
      <t xml:space="preserve">〉</t>
    </r>
  </si>
  <si>
    <t xml:space="preserve">蕭若椿</t>
  </si>
  <si>
    <t xml:space="preserve">臺南市私立冠成文理短期補習班</t>
  </si>
  <si>
    <r>
      <rPr>
        <sz val="10"/>
        <color rgb="FF1F2A28"/>
        <rFont val="WenQuanYi Zen Hei"/>
        <family val="2"/>
      </rPr>
      <t xml:space="preserve">中西區府前路一段</t>
    </r>
    <r>
      <rPr>
        <sz val="10"/>
        <color rgb="FF1F2A28"/>
        <rFont val="Arial"/>
        <family val="0"/>
        <charset val="1"/>
      </rPr>
      <t xml:space="preserve">271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273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</si>
  <si>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(06)2153388</t>
  </si>
  <si>
    <t xml:space="preserve">chengda2153388@gmail.com</t>
  </si>
  <si>
    <t xml:space="preserve">1999-09-09</t>
  </si>
  <si>
    <t xml:space="preserve">葉華燾</t>
  </si>
  <si>
    <t xml:space="preserve">成雅雯</t>
  </si>
  <si>
    <t xml:space="preserve">臺南市私立冠群美語短期補習班</t>
  </si>
  <si>
    <r>
      <rPr>
        <sz val="10"/>
        <color rgb="FF1F2A28"/>
        <rFont val="WenQuanYi Zen Hei"/>
        <family val="2"/>
      </rPr>
      <t xml:space="preserve">中西區南門路</t>
    </r>
    <r>
      <rPr>
        <sz val="10"/>
        <color rgb="FF1F2A28"/>
        <rFont val="Arial"/>
        <family val="0"/>
        <charset val="1"/>
      </rPr>
      <t xml:space="preserve">111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</si>
  <si>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(06)2145599</t>
  </si>
  <si>
    <t xml:space="preserve">giraffenanmen@gmail.com</t>
  </si>
  <si>
    <t xml:space="preserve">鄭富元</t>
  </si>
  <si>
    <t xml:space="preserve">郭佳佩</t>
  </si>
  <si>
    <t xml:space="preserve">臺南市私立學誼英文珠算短期補習班</t>
  </si>
  <si>
    <r>
      <rPr>
        <sz val="10"/>
        <color rgb="FF1F2A28"/>
        <rFont val="WenQuanYi Zen Hei"/>
        <family val="2"/>
      </rPr>
      <t xml:space="preserve">中西區民族路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123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</si>
  <si>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(06)2111411</t>
  </si>
  <si>
    <t xml:space="preserve">damahikmin@yahoo.com.tw</t>
  </si>
  <si>
    <t xml:space="preserve">1999-07-16</t>
  </si>
  <si>
    <t xml:space="preserve">黃智郎</t>
  </si>
  <si>
    <t xml:space="preserve">黃俊雄</t>
  </si>
  <si>
    <t xml:space="preserve">臺南市私立寰宇外語文理短期補習班</t>
  </si>
  <si>
    <r>
      <rPr>
        <sz val="10"/>
        <color rgb="FF1F2A28"/>
        <rFont val="WenQuanYi Zen Hei"/>
        <family val="2"/>
      </rPr>
      <t xml:space="preserve">中西區民族路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153</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</si>
  <si>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(06)2237338</t>
  </si>
  <si>
    <t xml:space="preserve">tncosmos.kai@gmail.com</t>
  </si>
  <si>
    <t xml:space="preserve">1997-08-19</t>
  </si>
  <si>
    <t xml:space="preserve">楊凱元</t>
  </si>
  <si>
    <t xml:space="preserve">臺南市私立戴爾英文短期補習班</t>
  </si>
  <si>
    <r>
      <rPr>
        <sz val="10"/>
        <color rgb="FF1F2A28"/>
        <rFont val="WenQuanYi Zen Hei"/>
        <family val="2"/>
      </rPr>
      <t xml:space="preserve">中西區中山路</t>
    </r>
    <r>
      <rPr>
        <sz val="10"/>
        <color rgb="FF1F2A28"/>
        <rFont val="Arial"/>
        <family val="0"/>
        <charset val="1"/>
      </rPr>
      <t xml:space="preserve">203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</si>
  <si>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(06)2222076</t>
  </si>
  <si>
    <t xml:space="preserve">2006-03-06</t>
  </si>
  <si>
    <t xml:space="preserve">宗戍明</t>
  </si>
  <si>
    <t xml:space="preserve">于友虹</t>
  </si>
  <si>
    <t xml:space="preserve">臺南市私立星光美語短期補習班</t>
  </si>
  <si>
    <r>
      <rPr>
        <sz val="10"/>
        <color rgb="FF1F2A28"/>
        <rFont val="WenQuanYi Zen Hei"/>
        <family val="2"/>
      </rPr>
      <t xml:space="preserve">中西區永福路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104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</si>
  <si>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(06)2285432</t>
  </si>
  <si>
    <t xml:space="preserve">starlightenglish@gmail.com</t>
  </si>
  <si>
    <t xml:space="preserve">蔡靜雯</t>
  </si>
  <si>
    <t xml:space="preserve">臺南市私立櫻橋英日語短期補習班</t>
  </si>
  <si>
    <r>
      <rPr>
        <sz val="10"/>
        <color rgb="FF1F2A28"/>
        <rFont val="WenQuanYi Zen Hei"/>
        <family val="2"/>
      </rPr>
      <t xml:space="preserve">中西區友愛街</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</si>
  <si>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(06)2591521</t>
  </si>
  <si>
    <t xml:space="preserve">sakurabs@ms64.hinet.net</t>
  </si>
  <si>
    <t xml:space="preserve">2001-02-14</t>
  </si>
  <si>
    <t xml:space="preserve">李冠慶</t>
  </si>
  <si>
    <t xml:space="preserve">劉潤美</t>
  </si>
  <si>
    <t xml:space="preserve">臺南市私立清美英語短期補習班</t>
  </si>
  <si>
    <r>
      <rPr>
        <sz val="10"/>
        <color rgb="FF1F2A28"/>
        <rFont val="WenQuanYi Zen Hei"/>
        <family val="2"/>
      </rPr>
      <t xml:space="preserve">中西區建業街</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</si>
  <si>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(06)2142034. 213-3636</t>
  </si>
  <si>
    <t xml:space="preserve">cm2133636@yahoo.com.tw</t>
  </si>
  <si>
    <t xml:space="preserve">2002-09-02</t>
  </si>
  <si>
    <t xml:space="preserve">林森昌</t>
  </si>
  <si>
    <t xml:space="preserve">鄭純幸</t>
  </si>
  <si>
    <t xml:space="preserve">臺南市私立知多美語文理短期補習班</t>
  </si>
  <si>
    <r>
      <rPr>
        <sz val="10"/>
        <color rgb="FF1F2A28"/>
        <rFont val="WenQuanYi Zen Hei"/>
        <family val="2"/>
      </rPr>
      <t xml:space="preserve">中西區大埔街</t>
    </r>
    <r>
      <rPr>
        <sz val="10"/>
        <color rgb="FF1F2A28"/>
        <rFont val="Arial"/>
        <family val="0"/>
        <charset val="1"/>
      </rPr>
      <t xml:space="preserve">73</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3-5</t>
    </r>
    <r>
      <rPr>
        <sz val="10"/>
        <color rgb="FF1F2A28"/>
        <rFont val="WenQuanYi Zen Hei"/>
        <family val="2"/>
      </rPr>
      <t xml:space="preserve">樓</t>
    </r>
  </si>
  <si>
    <t xml:space="preserve">(06)2148988</t>
  </si>
  <si>
    <t xml:space="preserve">sys@abc-school.com.tw</t>
  </si>
  <si>
    <t xml:space="preserve">1997-11-03</t>
  </si>
  <si>
    <t xml:space="preserve">陳少琦</t>
  </si>
  <si>
    <t xml:space="preserve">臺南市私立耕莘文理技藝短期補習班</t>
  </si>
  <si>
    <r>
      <rPr>
        <sz val="10"/>
        <color rgb="FF1F2A28"/>
        <rFont val="WenQuanYi Zen Hei"/>
        <family val="2"/>
      </rPr>
      <t xml:space="preserve">中西區永福路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65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</si>
  <si>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(06)2204018</t>
  </si>
  <si>
    <t xml:space="preserve">geng4018@ms17.hinet.net</t>
  </si>
  <si>
    <t xml:space="preserve">1986-01-01</t>
  </si>
  <si>
    <t xml:space="preserve">林煒富</t>
  </si>
  <si>
    <t xml:space="preserve">臺南市私立聖麥可美語短期補習班</t>
  </si>
  <si>
    <r>
      <rPr>
        <sz val="10"/>
        <color rgb="FF1F2A28"/>
        <rFont val="WenQuanYi Zen Hei"/>
        <family val="2"/>
      </rPr>
      <t xml:space="preserve">中西區樹林街</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328</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</si>
  <si>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(06)2139940</t>
  </si>
  <si>
    <t xml:space="preserve">wowobaba123@hotmail.com</t>
  </si>
  <si>
    <t xml:space="preserve">黃勝翔</t>
  </si>
  <si>
    <t xml:space="preserve">臺南市私立迴音谷國英日語會話短期補習班</t>
  </si>
  <si>
    <r>
      <rPr>
        <sz val="10"/>
        <color rgb="FF1F2A28"/>
        <rFont val="WenQuanYi Zen Hei"/>
        <family val="2"/>
      </rPr>
      <t xml:space="preserve">中西區民族路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76</t>
    </r>
    <r>
      <rPr>
        <sz val="10"/>
        <color rgb="FF1F2A28"/>
        <rFont val="WenQuanYi Zen Hei"/>
        <family val="2"/>
      </rPr>
      <t xml:space="preserve">之</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樓之</t>
    </r>
    <r>
      <rPr>
        <sz val="10"/>
        <color rgb="FF1F2A28"/>
        <rFont val="Arial"/>
        <family val="0"/>
        <charset val="1"/>
      </rPr>
      <t xml:space="preserve">1</t>
    </r>
  </si>
  <si>
    <t xml:space="preserve">(06)2264520</t>
  </si>
  <si>
    <t xml:space="preserve">echo9@ms29.hinet.net</t>
  </si>
  <si>
    <t xml:space="preserve">1988-05-01</t>
  </si>
  <si>
    <t xml:space="preserve">詹秋嫻</t>
  </si>
  <si>
    <t xml:space="preserve">臺南市私立道森美語短期補習班</t>
  </si>
  <si>
    <r>
      <rPr>
        <sz val="10"/>
        <color rgb="FF1F2A28"/>
        <rFont val="WenQuanYi Zen Hei"/>
        <family val="2"/>
      </rPr>
      <t xml:space="preserve">中西區金華路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</si>
  <si>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(06)2205977</t>
  </si>
  <si>
    <t xml:space="preserve">dawsonenglishschool@gmail.com</t>
  </si>
  <si>
    <t xml:space="preserve">2002-07-23</t>
  </si>
  <si>
    <t xml:space="preserve">吳淑燕</t>
  </si>
  <si>
    <t xml:space="preserve">黃惠美</t>
  </si>
  <si>
    <t xml:space="preserve">臺南市私立邵老師英語會話短期補習班</t>
  </si>
  <si>
    <r>
      <rPr>
        <sz val="10"/>
        <color rgb="FF1F2A28"/>
        <rFont val="WenQuanYi Zen Hei"/>
        <family val="2"/>
      </rPr>
      <t xml:space="preserve">中西區永福路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83</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t>
    </r>
  </si>
  <si>
    <t xml:space="preserve">(06)2282818</t>
  </si>
  <si>
    <t xml:space="preserve">tommy8356@yahoo.com.tw</t>
  </si>
  <si>
    <t xml:space="preserve">1992-02-01</t>
  </si>
  <si>
    <t xml:space="preserve">邵鏡芳</t>
  </si>
  <si>
    <t xml:space="preserve">臺南市私立長春藤英語會話短期補習班</t>
  </si>
  <si>
    <r>
      <rPr>
        <sz val="10"/>
        <color rgb="FF1F2A28"/>
        <rFont val="WenQuanYi Zen Hei"/>
        <family val="2"/>
      </rPr>
      <t xml:space="preserve">中西區西門路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351</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</si>
  <si>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(06)2210598</t>
  </si>
  <si>
    <t xml:space="preserve">ivytpr@gamil.com</t>
  </si>
  <si>
    <t xml:space="preserve">基礎英語</t>
  </si>
  <si>
    <t xml:space="preserve">1988-01-20</t>
  </si>
  <si>
    <t xml:space="preserve">陳建文</t>
  </si>
  <si>
    <t xml:space="preserve">陳建安</t>
  </si>
  <si>
    <t xml:space="preserve">臺南市私立馬克美語短期補習班</t>
  </si>
  <si>
    <r>
      <rPr>
        <sz val="10"/>
        <color rgb="FF1F2A28"/>
        <rFont val="WenQuanYi Zen Hei"/>
        <family val="2"/>
      </rPr>
      <t xml:space="preserve">中西區開山路</t>
    </r>
    <r>
      <rPr>
        <sz val="10"/>
        <color rgb="FF1F2A28"/>
        <rFont val="Arial"/>
        <family val="0"/>
        <charset val="1"/>
      </rPr>
      <t xml:space="preserve">29</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</si>
  <si>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(06)2113556, 0932985775</t>
  </si>
  <si>
    <t xml:space="preserve">leslietsai1958@gmail.com</t>
  </si>
  <si>
    <t xml:space="preserve">1991-10-24</t>
  </si>
  <si>
    <t xml:space="preserve">高儷珍</t>
  </si>
  <si>
    <t xml:space="preserve">蔡碧蕙</t>
  </si>
  <si>
    <t xml:space="preserve">頂美教育股份有限公司附設臺南市私立頂美文理短期補習班</t>
  </si>
  <si>
    <r>
      <rPr>
        <sz val="10"/>
        <color rgb="FF1F2A28"/>
        <rFont val="WenQuanYi Zen Hei"/>
        <family val="2"/>
      </rPr>
      <t xml:space="preserve">中西區頂美</t>
    </r>
    <r>
      <rPr>
        <sz val="10"/>
        <color rgb="FF1F2A28"/>
        <rFont val="Arial"/>
        <family val="0"/>
        <charset val="1"/>
      </rPr>
      <t xml:space="preserve">1</t>
    </r>
    <r>
      <rPr>
        <sz val="10"/>
        <color rgb="FF1F2A28"/>
        <rFont val="WenQuanYi Zen Hei"/>
        <family val="2"/>
      </rPr>
      <t xml:space="preserve">街</t>
    </r>
    <r>
      <rPr>
        <sz val="10"/>
        <color rgb="FF1F2A28"/>
        <rFont val="Arial"/>
        <family val="0"/>
        <charset val="1"/>
      </rPr>
      <t xml:space="preserve">47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</si>
  <si>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(06)2506337</t>
  </si>
  <si>
    <t xml:space="preserve">annie49924@gmail.com</t>
  </si>
  <si>
    <t xml:space="preserve">2001-05-10</t>
  </si>
  <si>
    <r>
      <rPr>
        <sz val="10"/>
        <color rgb="FF1F2A28"/>
        <rFont val="WenQuanYi Zen Hei"/>
        <family val="2"/>
      </rPr>
      <t xml:space="preserve">頂美教育股份有限公司</t>
    </r>
    <r>
      <rPr>
        <sz val="10"/>
        <color rgb="FF1F2A28"/>
        <rFont val="Arial"/>
        <family val="0"/>
        <charset val="1"/>
      </rPr>
      <t xml:space="preserve">(</t>
    </r>
    <r>
      <rPr>
        <sz val="10"/>
        <color rgb="FF1F2A28"/>
        <rFont val="WenQuanYi Zen Hei"/>
        <family val="2"/>
      </rPr>
      <t xml:space="preserve">負責人：謝冷雪</t>
    </r>
    <r>
      <rPr>
        <sz val="10"/>
        <color rgb="FF1F2A28"/>
        <rFont val="Arial"/>
        <family val="0"/>
        <charset val="1"/>
      </rPr>
      <t xml:space="preserve">)</t>
    </r>
  </si>
  <si>
    <t xml:space="preserve">謝冷雪</t>
  </si>
  <si>
    <t xml:space="preserve">仁德區</t>
  </si>
  <si>
    <t xml:space="preserve">臺南市私立廣晉文理短期補習班</t>
  </si>
  <si>
    <r>
      <rPr>
        <sz val="10"/>
        <color rgb="FF1F2A28"/>
        <rFont val="WenQuanYi Zen Hei"/>
        <family val="2"/>
      </rPr>
      <t xml:space="preserve">仁德區中正路二段</t>
    </r>
    <r>
      <rPr>
        <sz val="10"/>
        <color rgb="FF1F2A28"/>
        <rFont val="Arial"/>
        <family val="0"/>
        <charset val="1"/>
      </rPr>
      <t xml:space="preserve">818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</si>
  <si>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(06)2792727</t>
  </si>
  <si>
    <t xml:space="preserve">stellachu168@yahoo.com.tw</t>
  </si>
  <si>
    <t xml:space="preserve">朱淳詩</t>
  </si>
  <si>
    <t xml:space="preserve">臺南市私立必濟語文短期補習班</t>
  </si>
  <si>
    <r>
      <rPr>
        <sz val="10"/>
        <color rgb="FF1F2A28"/>
        <rFont val="WenQuanYi Zen Hei"/>
        <family val="2"/>
      </rPr>
      <t xml:space="preserve">仁德區中清路</t>
    </r>
    <r>
      <rPr>
        <sz val="10"/>
        <color rgb="FF1F2A28"/>
        <rFont val="Arial"/>
        <family val="0"/>
        <charset val="1"/>
      </rPr>
      <t xml:space="preserve">7</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</si>
  <si>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(06)2791766</t>
  </si>
  <si>
    <t xml:space="preserve">1997-11-20</t>
  </si>
  <si>
    <t xml:space="preserve">黃秀美</t>
  </si>
  <si>
    <t xml:space="preserve">陳逸</t>
  </si>
  <si>
    <t xml:space="preserve">臺南市私立成碩文理短期補習班</t>
  </si>
  <si>
    <r>
      <rPr>
        <sz val="10"/>
        <color rgb="FF1F2A28"/>
        <rFont val="WenQuanYi Zen Hei"/>
        <family val="2"/>
      </rPr>
      <t xml:space="preserve">仁德區民安路一段</t>
    </r>
    <r>
      <rPr>
        <sz val="10"/>
        <color rgb="FF1F2A28"/>
        <rFont val="Arial"/>
        <family val="0"/>
        <charset val="1"/>
      </rPr>
      <t xml:space="preserve">416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</si>
  <si>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(06)2706273</t>
  </si>
  <si>
    <t xml:space="preserve">chouyz555@gmail.com</t>
  </si>
  <si>
    <t xml:space="preserve">1995-08-03</t>
  </si>
  <si>
    <t xml:space="preserve">周媛姿</t>
  </si>
  <si>
    <t xml:space="preserve">臺南市私立成諾雙語學苑短期補習班</t>
  </si>
  <si>
    <r>
      <rPr>
        <sz val="10"/>
        <color rgb="FF1F2A28"/>
        <rFont val="WenQuanYi Zen Hei"/>
        <family val="2"/>
      </rPr>
      <t xml:space="preserve">仁德區中正路二段</t>
    </r>
    <r>
      <rPr>
        <sz val="10"/>
        <color rgb="FF1F2A28"/>
        <rFont val="Arial"/>
        <family val="0"/>
        <charset val="1"/>
      </rPr>
      <t xml:space="preserve">741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</si>
  <si>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(06)2491971</t>
  </si>
  <si>
    <t xml:space="preserve">2005-01-02</t>
  </si>
  <si>
    <t xml:space="preserve">劉素芬</t>
  </si>
  <si>
    <t xml:space="preserve">陳隆盛</t>
  </si>
  <si>
    <t xml:space="preserve">臺南市私立真善美文理短期補習班</t>
  </si>
  <si>
    <r>
      <rPr>
        <sz val="10"/>
        <color rgb="FF1F2A28"/>
        <rFont val="WenQuanYi Zen Hei"/>
        <family val="2"/>
      </rPr>
      <t xml:space="preserve">仁德區中正路二段</t>
    </r>
    <r>
      <rPr>
        <sz val="10"/>
        <color rgb="FF1F2A28"/>
        <rFont val="Arial"/>
        <family val="0"/>
        <charset val="1"/>
      </rPr>
      <t xml:space="preserve">819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820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</si>
  <si>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(06)2705455</t>
  </si>
  <si>
    <t xml:space="preserve">liverende@gmail.com</t>
  </si>
  <si>
    <t xml:space="preserve">1997-03-05</t>
  </si>
  <si>
    <t xml:space="preserve">林青蓉</t>
  </si>
  <si>
    <t xml:space="preserve">吳芷蕎</t>
  </si>
  <si>
    <t xml:space="preserve">臺南市私立維也納美語短期補習班</t>
  </si>
  <si>
    <r>
      <rPr>
        <sz val="10"/>
        <color rgb="FF1F2A28"/>
        <rFont val="WenQuanYi Zen Hei"/>
        <family val="2"/>
      </rPr>
      <t xml:space="preserve">仁德區中正路二段</t>
    </r>
    <r>
      <rPr>
        <sz val="10"/>
        <color rgb="FF1F2A28"/>
        <rFont val="Arial"/>
        <family val="0"/>
        <charset val="1"/>
      </rPr>
      <t xml:space="preserve">760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</si>
  <si>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(06)2709735</t>
  </si>
  <si>
    <t xml:space="preserve">jente@sesamevillage.tw</t>
  </si>
  <si>
    <t xml:space="preserve">2002-04-14</t>
  </si>
  <si>
    <t xml:space="preserve">翁耀彥</t>
  </si>
  <si>
    <t xml:space="preserve">鄭惠文</t>
  </si>
  <si>
    <t xml:space="preserve">佳里區</t>
  </si>
  <si>
    <t xml:space="preserve">臺南市私立佳信文理短期補習班</t>
  </si>
  <si>
    <r>
      <rPr>
        <sz val="10"/>
        <color rgb="FF1F2A28"/>
        <rFont val="WenQuanYi Zen Hei"/>
        <family val="2"/>
      </rPr>
      <t xml:space="preserve">佳里區公園路</t>
    </r>
    <r>
      <rPr>
        <sz val="10"/>
        <color rgb="FF1F2A28"/>
        <rFont val="Arial"/>
        <family val="0"/>
        <charset val="1"/>
      </rPr>
      <t xml:space="preserve">558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</si>
  <si>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(06)7214090</t>
  </si>
  <si>
    <t xml:space="preserve">shinying0517@yahoo.com.tw</t>
  </si>
  <si>
    <t xml:space="preserve">2003-06-26</t>
  </si>
  <si>
    <t xml:space="preserve">蔡詩穎</t>
  </si>
  <si>
    <t xml:space="preserve">游峻柏</t>
  </si>
  <si>
    <t xml:space="preserve">臺南市私立小樹苗語文才藝短期補習班</t>
  </si>
  <si>
    <r>
      <rPr>
        <sz val="10"/>
        <color rgb="FF1F2A28"/>
        <rFont val="WenQuanYi Zen Hei"/>
        <family val="2"/>
      </rPr>
      <t xml:space="preserve">佳里區安南路</t>
    </r>
    <r>
      <rPr>
        <sz val="10"/>
        <color rgb="FF1F2A28"/>
        <rFont val="Arial"/>
        <family val="0"/>
        <charset val="1"/>
      </rPr>
      <t xml:space="preserve">476</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</si>
  <si>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(06)7234182</t>
  </si>
  <si>
    <t xml:space="preserve">陳振偉</t>
  </si>
  <si>
    <t xml:space="preserve">臺南市私立幼柏士文理短期補習班佳里分班</t>
  </si>
  <si>
    <r>
      <rPr>
        <sz val="10"/>
        <color rgb="FF1F2A28"/>
        <rFont val="WenQuanYi Zen Hei"/>
        <family val="2"/>
      </rPr>
      <t xml:space="preserve">佳里區祥和五街</t>
    </r>
    <r>
      <rPr>
        <sz val="10"/>
        <color rgb="FF1F2A28"/>
        <rFont val="Arial"/>
        <family val="0"/>
        <charset val="1"/>
      </rPr>
      <t xml:space="preserve">115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</si>
  <si>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(06)7232526</t>
  </si>
  <si>
    <t xml:space="preserve">ybs0958208926@gmail.com</t>
  </si>
  <si>
    <t xml:space="preserve">黃瓊美</t>
  </si>
  <si>
    <t xml:space="preserve">周昀樺</t>
  </si>
  <si>
    <t xml:space="preserve">臺南市私立易信美語短期補習班</t>
  </si>
  <si>
    <r>
      <rPr>
        <sz val="10"/>
        <color rgb="FF1F2A28"/>
        <rFont val="WenQuanYi Zen Hei"/>
        <family val="2"/>
      </rPr>
      <t xml:space="preserve">佳里區復興路</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</si>
  <si>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(06)7231938</t>
  </si>
  <si>
    <t xml:space="preserve">2002-05-28</t>
  </si>
  <si>
    <t xml:space="preserve">曾淑蓮</t>
  </si>
  <si>
    <t xml:space="preserve">謝淵源</t>
  </si>
  <si>
    <t xml:space="preserve">臺南市私立桑妮亞文理短期補習班</t>
  </si>
  <si>
    <r>
      <rPr>
        <sz val="10"/>
        <color rgb="FF1F2A28"/>
        <rFont val="WenQuanYi Zen Hei"/>
        <family val="2"/>
      </rPr>
      <t xml:space="preserve">佳里區延平路</t>
    </r>
    <r>
      <rPr>
        <sz val="10"/>
        <color rgb="FF1F2A28"/>
        <rFont val="Arial"/>
        <family val="0"/>
        <charset val="1"/>
      </rPr>
      <t xml:space="preserve">460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</si>
  <si>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(06)7223653</t>
  </si>
  <si>
    <t xml:space="preserve">2008-10-28</t>
  </si>
  <si>
    <t xml:space="preserve">臺南市私立潛能英語開發短期補習班</t>
  </si>
  <si>
    <r>
      <rPr>
        <sz val="10"/>
        <color rgb="FF1F2A28"/>
        <rFont val="WenQuanYi Zen Hei"/>
        <family val="2"/>
      </rPr>
      <t xml:space="preserve">佳里區光復路</t>
    </r>
    <r>
      <rPr>
        <sz val="10"/>
        <color rgb="FF1F2A28"/>
        <rFont val="Arial"/>
        <family val="0"/>
        <charset val="1"/>
      </rPr>
      <t xml:space="preserve">383</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</si>
  <si>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(06)7229969</t>
  </si>
  <si>
    <t xml:space="preserve">kellyenglish.tw@gmail.com</t>
  </si>
  <si>
    <t xml:space="preserve">1999-07-30</t>
  </si>
  <si>
    <t xml:space="preserve">徐麗雅</t>
  </si>
  <si>
    <t xml:space="preserve">徐清松</t>
  </si>
  <si>
    <t xml:space="preserve">臺南市私立蓋數文理技藝短期補習班</t>
  </si>
  <si>
    <r>
      <rPr>
        <sz val="10"/>
        <color rgb="FF1F2A28"/>
        <rFont val="WenQuanYi Zen Hei"/>
        <family val="2"/>
      </rPr>
      <t xml:space="preserve">佳里區義民街</t>
    </r>
    <r>
      <rPr>
        <sz val="10"/>
        <color rgb="FF1F2A28"/>
        <rFont val="Arial"/>
        <family val="0"/>
        <charset val="1"/>
      </rPr>
      <t xml:space="preserve">343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</si>
  <si>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0925527130</t>
  </si>
  <si>
    <t xml:space="preserve">g2245869@gmail.com</t>
  </si>
  <si>
    <t xml:space="preserve">2024-11-08</t>
  </si>
  <si>
    <t xml:space="preserve">黃子恩</t>
  </si>
  <si>
    <t xml:space="preserve">蔡承穎</t>
  </si>
  <si>
    <t xml:space="preserve">臺南市私立超比爾英文音樂短期補習班</t>
  </si>
  <si>
    <r>
      <rPr>
        <sz val="10"/>
        <color rgb="FF1F2A28"/>
        <rFont val="WenQuanYi Zen Hei"/>
        <family val="2"/>
      </rPr>
      <t xml:space="preserve">佳里區安西路</t>
    </r>
    <r>
      <rPr>
        <sz val="10"/>
        <color rgb="FF1F2A28"/>
        <rFont val="Arial"/>
        <family val="0"/>
        <charset val="1"/>
      </rPr>
      <t xml:space="preserve">201</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</si>
  <si>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(06)7238682</t>
  </si>
  <si>
    <t xml:space="preserve">may7238682@gmail.com</t>
  </si>
  <si>
    <t xml:space="preserve">楊淑晨</t>
  </si>
  <si>
    <t xml:space="preserve">黃美雪</t>
  </si>
  <si>
    <t xml:space="preserve">六甲區</t>
  </si>
  <si>
    <t xml:space="preserve">臺南市私立育佑英語短期補習班</t>
  </si>
  <si>
    <r>
      <rPr>
        <sz val="10"/>
        <color rgb="FF1F2A28"/>
        <rFont val="WenQuanYi Zen Hei"/>
        <family val="2"/>
      </rPr>
      <t xml:space="preserve">六甲區曾文街</t>
    </r>
    <r>
      <rPr>
        <sz val="10"/>
        <color rgb="FF1F2A28"/>
        <rFont val="Arial"/>
        <family val="0"/>
        <charset val="1"/>
      </rPr>
      <t xml:space="preserve">55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</si>
  <si>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0912104059</t>
  </si>
  <si>
    <t xml:space="preserve">e0912104059@gmail.com</t>
  </si>
  <si>
    <t xml:space="preserve">楊雅清</t>
  </si>
  <si>
    <t xml:space="preserve">嶺瀚文教事業有限公司附設臺南市私立非凡文理短期補習班</t>
  </si>
  <si>
    <r>
      <rPr>
        <sz val="10"/>
        <color rgb="FF1F2A28"/>
        <rFont val="WenQuanYi Zen Hei"/>
        <family val="2"/>
      </rPr>
      <t xml:space="preserve">北區文賢一路</t>
    </r>
    <r>
      <rPr>
        <sz val="10"/>
        <color rgb="FF1F2A28"/>
        <rFont val="Arial"/>
        <family val="0"/>
        <charset val="1"/>
      </rPr>
      <t xml:space="preserve">138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</si>
  <si>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(06)3588239</t>
  </si>
  <si>
    <t xml:space="preserve">32003177@yahoo.com.tw</t>
  </si>
  <si>
    <t xml:space="preserve">黃譯鋒</t>
  </si>
  <si>
    <t xml:space="preserve">林彩珊</t>
  </si>
  <si>
    <t xml:space="preserve">社團法人台南市基督教青年會附設臺南市私立英日語公園館文理技藝短期補習班</t>
  </si>
  <si>
    <r>
      <rPr>
        <sz val="10"/>
        <color rgb="FF1F2A28"/>
        <rFont val="WenQuanYi Zen Hei"/>
        <family val="2"/>
      </rPr>
      <t xml:space="preserve">北區公園路</t>
    </r>
    <r>
      <rPr>
        <sz val="10"/>
        <color rgb="FF1F2A28"/>
        <rFont val="Arial"/>
        <family val="0"/>
        <charset val="1"/>
      </rPr>
      <t xml:space="preserve">591</t>
    </r>
    <r>
      <rPr>
        <sz val="10"/>
        <color rgb="FF1F2A28"/>
        <rFont val="WenQuanYi Zen Hei"/>
        <family val="2"/>
      </rPr>
      <t xml:space="preserve">之</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t>
    </r>
  </si>
  <si>
    <t xml:space="preserve">(06)2824000</t>
  </si>
  <si>
    <t xml:space="preserve">ymcapk@gmail.com</t>
  </si>
  <si>
    <t xml:space="preserve">1997-02-21</t>
  </si>
  <si>
    <t xml:space="preserve">韋寶珍</t>
  </si>
  <si>
    <t xml:space="preserve">臺南市私立中央文理短期補習班</t>
  </si>
  <si>
    <r>
      <rPr>
        <sz val="10"/>
        <color rgb="FF1F2A28"/>
        <rFont val="WenQuanYi Zen Hei"/>
        <family val="2"/>
      </rPr>
      <t xml:space="preserve">北區成功路</t>
    </r>
    <r>
      <rPr>
        <sz val="10"/>
        <color rgb="FF1F2A28"/>
        <rFont val="Arial"/>
        <family val="0"/>
        <charset val="1"/>
      </rPr>
      <t xml:space="preserve">256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</si>
  <si>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(06)2219399</t>
  </si>
  <si>
    <t xml:space="preserve">ddmeng@yahoo.com.tw</t>
  </si>
  <si>
    <t xml:space="preserve">1999-09-29</t>
  </si>
  <si>
    <t xml:space="preserve">李耀焜</t>
  </si>
  <si>
    <t xml:space="preserve">李坤峰</t>
  </si>
  <si>
    <t xml:space="preserve">臺南市私立伯克徠文理短期補習班</t>
  </si>
  <si>
    <r>
      <rPr>
        <sz val="10"/>
        <color rgb="FF1F2A28"/>
        <rFont val="WenQuanYi Zen Hei"/>
        <family val="2"/>
      </rPr>
      <t xml:space="preserve">北區文成五路</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</si>
  <si>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(06)2522000</t>
  </si>
  <si>
    <t xml:space="preserve">s06181848@gmail.com</t>
  </si>
  <si>
    <t xml:space="preserve">賴沁怡</t>
  </si>
  <si>
    <t xml:space="preserve">臺南市私立佳欣英語會話中文寫作短期補習班</t>
  </si>
  <si>
    <r>
      <rPr>
        <sz val="10"/>
        <color rgb="FF1F2A28"/>
        <rFont val="WenQuanYi Zen Hei"/>
        <family val="2"/>
      </rPr>
      <t xml:space="preserve">北區西門路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77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</si>
  <si>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(06)2267489;(06)2226658</t>
  </si>
  <si>
    <t xml:space="preserve">elecca.ray@msa.hinet.net</t>
  </si>
  <si>
    <t xml:space="preserve">1996-12-13</t>
  </si>
  <si>
    <t xml:space="preserve">鄭雅慧</t>
  </si>
  <si>
    <t xml:space="preserve">王瑞聰</t>
  </si>
  <si>
    <t xml:space="preserve">臺南市私立保正佳文理短期補習班</t>
  </si>
  <si>
    <r>
      <rPr>
        <sz val="10"/>
        <color rgb="FF1F2A28"/>
        <rFont val="WenQuanYi Zen Hei"/>
        <family val="2"/>
      </rPr>
      <t xml:space="preserve">北區育德</t>
    </r>
    <r>
      <rPr>
        <sz val="10"/>
        <color rgb="FF1F2A28"/>
        <rFont val="Arial"/>
        <family val="0"/>
        <charset val="1"/>
      </rPr>
      <t xml:space="preserve">3</t>
    </r>
    <r>
      <rPr>
        <sz val="10"/>
        <color rgb="FF1F2A28"/>
        <rFont val="WenQuanYi Zen Hei"/>
        <family val="2"/>
      </rPr>
      <t xml:space="preserve">街</t>
    </r>
    <r>
      <rPr>
        <sz val="10"/>
        <color rgb="FF1F2A28"/>
        <rFont val="Arial"/>
        <family val="0"/>
        <charset val="1"/>
      </rPr>
      <t xml:space="preserve">221</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</si>
  <si>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(06)2510346</t>
  </si>
  <si>
    <t xml:space="preserve">tq2737@yahoo.com.tw</t>
  </si>
  <si>
    <t xml:space="preserve">王雪菁</t>
  </si>
  <si>
    <t xml:space="preserve">臺南市私立優能英語短期補習班和緯分班</t>
  </si>
  <si>
    <r>
      <rPr>
        <sz val="10"/>
        <color rgb="FF1F2A28"/>
        <rFont val="WenQuanYi Zen Hei"/>
        <family val="2"/>
      </rPr>
      <t xml:space="preserve">北區和緯路五段</t>
    </r>
    <r>
      <rPr>
        <sz val="10"/>
        <color rgb="FF1F2A28"/>
        <rFont val="Arial"/>
        <family val="0"/>
        <charset val="1"/>
      </rPr>
      <t xml:space="preserve">254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256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</si>
  <si>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(06)2507003</t>
  </si>
  <si>
    <t xml:space="preserve">hewei.branch@schoolhouse.tw</t>
  </si>
  <si>
    <t xml:space="preserve">2011-08-09</t>
  </si>
  <si>
    <t xml:space="preserve">盧英銘</t>
  </si>
  <si>
    <t xml:space="preserve">范蜀蓉</t>
  </si>
  <si>
    <t xml:space="preserve">臺南市私立兒樂美語短期補習班</t>
  </si>
  <si>
    <r>
      <rPr>
        <sz val="10"/>
        <color rgb="FF1F2A28"/>
        <rFont val="WenQuanYi Zen Hei"/>
        <family val="2"/>
      </rPr>
      <t xml:space="preserve">北區文成三路</t>
    </r>
    <r>
      <rPr>
        <sz val="10"/>
        <color rgb="FF1F2A28"/>
        <rFont val="Arial"/>
        <family val="0"/>
        <charset val="1"/>
      </rPr>
      <t xml:space="preserve">141</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</si>
  <si>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(06)2829140</t>
  </si>
  <si>
    <t xml:space="preserve">okeedokeeeh@yahoo.ca</t>
  </si>
  <si>
    <t xml:space="preserve">2010-04-21</t>
  </si>
  <si>
    <t xml:space="preserve">施宏達</t>
  </si>
  <si>
    <t xml:space="preserve">臺南市私立大朋友美語美勞短期補習班</t>
  </si>
  <si>
    <r>
      <rPr>
        <sz val="10"/>
        <color rgb="FF1F2A28"/>
        <rFont val="WenQuanYi Zen Hei"/>
        <family val="2"/>
      </rPr>
      <t xml:space="preserve">北區海安路三段</t>
    </r>
    <r>
      <rPr>
        <sz val="10"/>
        <color rgb="FF1F2A28"/>
        <rFont val="Arial"/>
        <family val="0"/>
        <charset val="1"/>
      </rPr>
      <t xml:space="preserve">135</t>
    </r>
    <r>
      <rPr>
        <sz val="10"/>
        <color rgb="FF1F2A28"/>
        <rFont val="WenQuanYi Zen Hei"/>
        <family val="2"/>
      </rPr>
      <t xml:space="preserve">巷</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</si>
  <si>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(06)2592898</t>
  </si>
  <si>
    <t xml:space="preserve">a0933698096@gmail.com</t>
  </si>
  <si>
    <t xml:space="preserve">2002-05-03</t>
  </si>
  <si>
    <t xml:space="preserve">王玟雯</t>
  </si>
  <si>
    <t xml:space="preserve">王冠堯</t>
  </si>
  <si>
    <t xml:space="preserve">臺南市私立大港文理技藝短期補習班</t>
  </si>
  <si>
    <r>
      <rPr>
        <sz val="10"/>
        <color rgb="FF1F2A28"/>
        <rFont val="WenQuanYi Zen Hei"/>
        <family val="2"/>
      </rPr>
      <t xml:space="preserve">北區大港街</t>
    </r>
    <r>
      <rPr>
        <sz val="10"/>
        <color rgb="FF1F2A28"/>
        <rFont val="Arial"/>
        <family val="0"/>
        <charset val="1"/>
      </rPr>
      <t xml:space="preserve">89</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</si>
  <si>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(06)2502012</t>
  </si>
  <si>
    <t xml:space="preserve">dagang2502012@gmail.com</t>
  </si>
  <si>
    <t xml:space="preserve">彭紀萍</t>
  </si>
  <si>
    <t xml:space="preserve">陸子強</t>
  </si>
  <si>
    <t xml:space="preserve">臺南市私立奇趣閱讀美語短期補習班</t>
  </si>
  <si>
    <r>
      <rPr>
        <sz val="10"/>
        <color rgb="FF1F2A28"/>
        <rFont val="WenQuanYi Zen Hei"/>
        <family val="2"/>
      </rPr>
      <t xml:space="preserve">北區大興街</t>
    </r>
    <r>
      <rPr>
        <sz val="10"/>
        <color rgb="FF1F2A28"/>
        <rFont val="Arial"/>
        <family val="0"/>
        <charset val="1"/>
      </rPr>
      <t xml:space="preserve">96</t>
    </r>
    <r>
      <rPr>
        <sz val="10"/>
        <color rgb="FF1F2A28"/>
        <rFont val="WenQuanYi Zen Hei"/>
        <family val="2"/>
      </rPr>
      <t xml:space="preserve">巷</t>
    </r>
    <r>
      <rPr>
        <sz val="10"/>
        <color rgb="FF1F2A28"/>
        <rFont val="Arial"/>
        <family val="0"/>
        <charset val="1"/>
      </rPr>
      <t xml:space="preserve">37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</si>
  <si>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(06)3588416</t>
  </si>
  <si>
    <t xml:space="preserve">ariel2005k@gmail.com</t>
  </si>
  <si>
    <t xml:space="preserve">楊依靜</t>
  </si>
  <si>
    <t xml:space="preserve">臺南市私立奧利佛英語短期補習班</t>
  </si>
  <si>
    <r>
      <rPr>
        <sz val="10"/>
        <color rgb="FF1F2A28"/>
        <rFont val="WenQuanYi Zen Hei"/>
        <family val="2"/>
      </rPr>
      <t xml:space="preserve">北區開南街</t>
    </r>
    <r>
      <rPr>
        <sz val="10"/>
        <color rgb="FF1F2A28"/>
        <rFont val="Arial"/>
        <family val="0"/>
        <charset val="1"/>
      </rPr>
      <t xml:space="preserve">143</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弄</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</si>
  <si>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(06)2385310</t>
  </si>
  <si>
    <t xml:space="preserve">oliversenglish@gmail.com</t>
  </si>
  <si>
    <t xml:space="preserve">2004-03-08</t>
  </si>
  <si>
    <t xml:space="preserve">楊乃瑾</t>
  </si>
  <si>
    <t xml:space="preserve">臺南市私立小學堂文理短期補習班</t>
  </si>
  <si>
    <r>
      <rPr>
        <sz val="10"/>
        <color rgb="FF1F2A28"/>
        <rFont val="WenQuanYi Zen Hei"/>
        <family val="2"/>
      </rPr>
      <t xml:space="preserve">北區文成三路</t>
    </r>
    <r>
      <rPr>
        <sz val="10"/>
        <color rgb="FF1F2A28"/>
        <rFont val="Arial"/>
        <family val="0"/>
        <charset val="1"/>
      </rPr>
      <t xml:space="preserve">676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</si>
  <si>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(06)2509992</t>
  </si>
  <si>
    <t xml:space="preserve">country5588@yahoo.com.tw</t>
  </si>
  <si>
    <t xml:space="preserve">2001-03-30</t>
  </si>
  <si>
    <t xml:space="preserve">卓芳婷</t>
  </si>
  <si>
    <t xml:space="preserve">臺南市私立新世紀美語短期補習班</t>
  </si>
  <si>
    <r>
      <rPr>
        <sz val="10"/>
        <color rgb="FF1F2A28"/>
        <rFont val="WenQuanYi Zen Hei"/>
        <family val="2"/>
      </rPr>
      <t xml:space="preserve">北區大港街</t>
    </r>
    <r>
      <rPr>
        <sz val="10"/>
        <color rgb="FF1F2A28"/>
        <rFont val="Arial"/>
        <family val="0"/>
        <charset val="1"/>
      </rPr>
      <t xml:space="preserve">107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</si>
  <si>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(06)3582837</t>
  </si>
  <si>
    <t xml:space="preserve">oliviatsai0228@gmail.com</t>
  </si>
  <si>
    <t xml:space="preserve">2009-06-08</t>
  </si>
  <si>
    <t xml:space="preserve">蔡宜珍</t>
  </si>
  <si>
    <t xml:space="preserve">臺南市私立欣德文理短期補習班</t>
  </si>
  <si>
    <r>
      <rPr>
        <sz val="10"/>
        <color rgb="FF1F2A28"/>
        <rFont val="WenQuanYi Zen Hei"/>
        <family val="2"/>
      </rPr>
      <t xml:space="preserve">北區大興街</t>
    </r>
    <r>
      <rPr>
        <sz val="10"/>
        <color rgb="FF1F2A28"/>
        <rFont val="Arial"/>
        <family val="0"/>
        <charset val="1"/>
      </rPr>
      <t xml:space="preserve">40</t>
    </r>
    <r>
      <rPr>
        <sz val="10"/>
        <color rgb="FF1F2A28"/>
        <rFont val="WenQuanYi Zen Hei"/>
        <family val="2"/>
      </rPr>
      <t xml:space="preserve">巷</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</si>
  <si>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(06)2597768</t>
  </si>
  <si>
    <t xml:space="preserve">黃仁宜</t>
  </si>
  <si>
    <t xml:space="preserve">臺南市私立獅子王美語短期補習班</t>
  </si>
  <si>
    <r>
      <rPr>
        <sz val="10"/>
        <color rgb="FF1F2A28"/>
        <rFont val="WenQuanYi Zen Hei"/>
        <family val="2"/>
      </rPr>
      <t xml:space="preserve">北區臨安路二段</t>
    </r>
    <r>
      <rPr>
        <sz val="10"/>
        <color rgb="FF1F2A28"/>
        <rFont val="Arial"/>
        <family val="0"/>
        <charset val="1"/>
      </rPr>
      <t xml:space="preserve">141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</si>
  <si>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(06)2593908</t>
  </si>
  <si>
    <t xml:space="preserve">gloria033070@gmail.com</t>
  </si>
  <si>
    <t xml:space="preserve">2009-08-20</t>
  </si>
  <si>
    <t xml:space="preserve">陳佩瑜</t>
  </si>
  <si>
    <t xml:space="preserve">臺南市私立美佳語文短期補習班</t>
  </si>
  <si>
    <r>
      <rPr>
        <sz val="10"/>
        <color rgb="FF1F2A28"/>
        <rFont val="WenQuanYi Zen Hei"/>
        <family val="2"/>
      </rPr>
      <t xml:space="preserve">北區民德路</t>
    </r>
    <r>
      <rPr>
        <sz val="10"/>
        <color rgb="FF1F2A28"/>
        <rFont val="Arial"/>
        <family val="0"/>
        <charset val="1"/>
      </rPr>
      <t xml:space="preserve">90</t>
    </r>
    <r>
      <rPr>
        <sz val="10"/>
        <color rgb="FF1F2A28"/>
        <rFont val="WenQuanYi Zen Hei"/>
        <family val="2"/>
      </rPr>
      <t xml:space="preserve">巷</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</si>
  <si>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(06)2812295</t>
  </si>
  <si>
    <t xml:space="preserve">2008-09-29</t>
  </si>
  <si>
    <t xml:space="preserve">蔡佩珊</t>
  </si>
  <si>
    <t xml:space="preserve">臺南市私立羽豐文理短期補習班</t>
  </si>
  <si>
    <r>
      <rPr>
        <sz val="10"/>
        <color rgb="FF1F2A28"/>
        <rFont val="WenQuanYi Zen Hei"/>
        <family val="2"/>
      </rPr>
      <t xml:space="preserve">北區和緯路二段</t>
    </r>
    <r>
      <rPr>
        <sz val="10"/>
        <color rgb="FF1F2A28"/>
        <rFont val="Arial"/>
        <family val="0"/>
        <charset val="1"/>
      </rPr>
      <t xml:space="preserve">227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</si>
  <si>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(06)2516061</t>
  </si>
  <si>
    <t xml:space="preserve">carrwang@yahoo.com</t>
  </si>
  <si>
    <t xml:space="preserve">林佩盈</t>
  </si>
  <si>
    <t xml:space="preserve">臺南市私立臨安芝蔴街美語文理短期補習班</t>
  </si>
  <si>
    <r>
      <rPr>
        <sz val="10"/>
        <color rgb="FF1F2A28"/>
        <rFont val="WenQuanYi Zen Hei"/>
        <family val="2"/>
      </rPr>
      <t xml:space="preserve">北區海安路三段</t>
    </r>
    <r>
      <rPr>
        <sz val="10"/>
        <color rgb="FF1F2A28"/>
        <rFont val="Arial"/>
        <family val="0"/>
        <charset val="1"/>
      </rPr>
      <t xml:space="preserve">847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</si>
  <si>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(06)2808346</t>
  </si>
  <si>
    <t xml:space="preserve">wyschool2468@gmail.com</t>
  </si>
  <si>
    <t xml:space="preserve">吳麗美</t>
  </si>
  <si>
    <t xml:space="preserve">郭芳淇</t>
  </si>
  <si>
    <t xml:space="preserve">臺南市私立英瀚文理短期補習班文元分班</t>
  </si>
  <si>
    <r>
      <rPr>
        <sz val="10"/>
        <color rgb="FF1F2A28"/>
        <rFont val="WenQuanYi Zen Hei"/>
        <family val="2"/>
      </rPr>
      <t xml:space="preserve">北區文成三路</t>
    </r>
    <r>
      <rPr>
        <sz val="10"/>
        <color rgb="FF1F2A28"/>
        <rFont val="Arial"/>
        <family val="0"/>
        <charset val="1"/>
      </rPr>
      <t xml:space="preserve">696</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</si>
  <si>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(06)3501898</t>
  </si>
  <si>
    <t xml:space="preserve">sky0803530@gmail.com</t>
  </si>
  <si>
    <t xml:space="preserve">2007-08-10</t>
  </si>
  <si>
    <t xml:space="preserve">邱于瑄</t>
  </si>
  <si>
    <t xml:space="preserve">張千惠</t>
  </si>
  <si>
    <t xml:space="preserve">臺南市私立葡萄園美語短期補習班</t>
  </si>
  <si>
    <r>
      <rPr>
        <sz val="10"/>
        <color rgb="FF1F2A28"/>
        <rFont val="WenQuanYi Zen Hei"/>
        <family val="2"/>
      </rPr>
      <t xml:space="preserve">北區和緯路五段</t>
    </r>
    <r>
      <rPr>
        <sz val="10"/>
        <color rgb="FF1F2A28"/>
        <rFont val="Arial"/>
        <family val="0"/>
        <charset val="1"/>
      </rPr>
      <t xml:space="preserve">272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</si>
  <si>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(06)2803018 / 2804385</t>
  </si>
  <si>
    <t xml:space="preserve">陳麗齡</t>
  </si>
  <si>
    <t xml:space="preserve">臺南市私立蘋果屋美語短期補習班</t>
  </si>
  <si>
    <r>
      <rPr>
        <sz val="10"/>
        <color rgb="FF1F2A28"/>
        <rFont val="WenQuanYi Zen Hei"/>
        <family val="2"/>
      </rPr>
      <t xml:space="preserve">北區立賢路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70</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</si>
  <si>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(06)2586127</t>
  </si>
  <si>
    <t xml:space="preserve">allieteng3@gmail.com</t>
  </si>
  <si>
    <t xml:space="preserve">2005-11-25</t>
  </si>
  <si>
    <t xml:space="preserve">鄧雪香</t>
  </si>
  <si>
    <t xml:space="preserve">鄧如砡</t>
  </si>
  <si>
    <t xml:space="preserve">臺南市私立郭立英語短期補習班</t>
  </si>
  <si>
    <r>
      <rPr>
        <sz val="10"/>
        <color rgb="FF1F2A28"/>
        <rFont val="WenQuanYi Zen Hei"/>
        <family val="2"/>
      </rPr>
      <t xml:space="preserve">北區公園路</t>
    </r>
    <r>
      <rPr>
        <sz val="10"/>
        <color rgb="FF1F2A28"/>
        <rFont val="Arial"/>
        <family val="0"/>
        <charset val="1"/>
      </rPr>
      <t xml:space="preserve">153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</si>
  <si>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(06)2283600</t>
  </si>
  <si>
    <t xml:space="preserve">2004-12-21</t>
  </si>
  <si>
    <t xml:space="preserve">楊媚媚</t>
  </si>
  <si>
    <t xml:space="preserve">臺南市私立雙安文理短期補習班</t>
  </si>
  <si>
    <r>
      <rPr>
        <sz val="10"/>
        <color rgb="FF1F2A28"/>
        <rFont val="WenQuanYi Zen Hei"/>
        <family val="2"/>
      </rPr>
      <t xml:space="preserve">北區海安路三段</t>
    </r>
    <r>
      <rPr>
        <sz val="10"/>
        <color rgb="FF1F2A28"/>
        <rFont val="Arial"/>
        <family val="0"/>
        <charset val="1"/>
      </rPr>
      <t xml:space="preserve">155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</si>
  <si>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(06)2586461</t>
  </si>
  <si>
    <t xml:space="preserve">weimomm@gmail.com</t>
  </si>
  <si>
    <t xml:space="preserve">2021-08-13</t>
  </si>
  <si>
    <t xml:space="preserve">魏菀儀</t>
  </si>
  <si>
    <t xml:space="preserve">南區</t>
  </si>
  <si>
    <t xml:space="preserve">臺南市私立上群文理短期補習班</t>
  </si>
  <si>
    <r>
      <rPr>
        <sz val="10"/>
        <color rgb="FF1F2A28"/>
        <rFont val="WenQuanYi Zen Hei"/>
        <family val="2"/>
      </rPr>
      <t xml:space="preserve">南區夏林路</t>
    </r>
    <r>
      <rPr>
        <sz val="10"/>
        <color rgb="FF1F2A28"/>
        <rFont val="Arial"/>
        <family val="0"/>
        <charset val="1"/>
      </rPr>
      <t xml:space="preserve">180</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</si>
  <si>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(06)2924049</t>
  </si>
  <si>
    <t xml:space="preserve">a062924049@gmail.com</t>
  </si>
  <si>
    <t xml:space="preserve">蔡伊雯</t>
  </si>
  <si>
    <t xml:space="preserve">蘇暉燕</t>
  </si>
  <si>
    <t xml:space="preserve">臺南市私立優能文理短期補習班</t>
  </si>
  <si>
    <r>
      <rPr>
        <sz val="10"/>
        <color rgb="FF1F2A28"/>
        <rFont val="WenQuanYi Zen Hei"/>
        <family val="2"/>
      </rPr>
      <t xml:space="preserve">南區三官路</t>
    </r>
    <r>
      <rPr>
        <sz val="10"/>
        <color rgb="FF1F2A28"/>
        <rFont val="Arial"/>
        <family val="0"/>
        <charset val="1"/>
      </rPr>
      <t xml:space="preserve">46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</si>
  <si>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(06)2643097</t>
  </si>
  <si>
    <t xml:space="preserve">sanguan.branch@schoolhouse.tw</t>
  </si>
  <si>
    <t xml:space="preserve">盧淑銀</t>
  </si>
  <si>
    <t xml:space="preserve">張雁綾</t>
  </si>
  <si>
    <t xml:space="preserve">臺南市私立快樂營美語短期補習班</t>
  </si>
  <si>
    <r>
      <rPr>
        <sz val="10"/>
        <color rgb="FF1F2A28"/>
        <rFont val="WenQuanYi Zen Hei"/>
        <family val="2"/>
      </rPr>
      <t xml:space="preserve">南區建南路</t>
    </r>
    <r>
      <rPr>
        <sz val="10"/>
        <color rgb="FF1F2A28"/>
        <rFont val="Arial"/>
        <family val="0"/>
        <charset val="1"/>
      </rPr>
      <t xml:space="preserve">196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</si>
  <si>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(06)2916392</t>
  </si>
  <si>
    <t xml:space="preserve">mjlin20130906@gmail.com</t>
  </si>
  <si>
    <t xml:space="preserve">林明哲</t>
  </si>
  <si>
    <t xml:space="preserve">戴鳳緣</t>
  </si>
  <si>
    <t xml:space="preserve">臺南市私立智慧家美語短期補習班</t>
  </si>
  <si>
    <r>
      <rPr>
        <sz val="10"/>
        <color rgb="FF1F2A28"/>
        <rFont val="WenQuanYi Zen Hei"/>
        <family val="2"/>
      </rPr>
      <t xml:space="preserve">南區金華路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432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</si>
  <si>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(06)2657275</t>
  </si>
  <si>
    <t xml:space="preserve">tetsui.lee@msa.hinet.net</t>
  </si>
  <si>
    <t xml:space="preserve">2001-07-12</t>
  </si>
  <si>
    <t xml:space="preserve">李哲維</t>
  </si>
  <si>
    <t xml:space="preserve">臺南市私立查理文理短期補習班</t>
  </si>
  <si>
    <r>
      <rPr>
        <sz val="10"/>
        <color rgb="FF1F2A28"/>
        <rFont val="WenQuanYi Zen Hei"/>
        <family val="2"/>
      </rPr>
      <t xml:space="preserve">南區鹽埕路</t>
    </r>
    <r>
      <rPr>
        <sz val="10"/>
        <color rgb="FF1F2A28"/>
        <rFont val="Arial"/>
        <family val="0"/>
        <charset val="1"/>
      </rPr>
      <t xml:space="preserve">103</t>
    </r>
    <r>
      <rPr>
        <sz val="10"/>
        <color rgb="FF1F2A28"/>
        <rFont val="WenQuanYi Zen Hei"/>
        <family val="2"/>
      </rPr>
      <t xml:space="preserve">巷</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</si>
  <si>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(06)2641155</t>
  </si>
  <si>
    <t xml:space="preserve">charlie.c1155@msa.hinet.net</t>
  </si>
  <si>
    <t xml:space="preserve">2002-05-30</t>
  </si>
  <si>
    <t xml:space="preserve">薛巧翎</t>
  </si>
  <si>
    <t xml:space="preserve">薛昱暄</t>
  </si>
  <si>
    <t xml:space="preserve">臺南市私立溫哥華美語短期補習班</t>
  </si>
  <si>
    <r>
      <rPr>
        <sz val="10"/>
        <color rgb="FF1F2A28"/>
        <rFont val="WenQuanYi Zen Hei"/>
        <family val="2"/>
      </rPr>
      <t xml:space="preserve">南區明興路</t>
    </r>
    <r>
      <rPr>
        <sz val="10"/>
        <color rgb="FF1F2A28"/>
        <rFont val="Arial"/>
        <family val="0"/>
        <charset val="1"/>
      </rPr>
      <t xml:space="preserve">1382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</si>
  <si>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(06)2628611</t>
  </si>
  <si>
    <t xml:space="preserve">vancouver2621838@gmail.com</t>
  </si>
  <si>
    <t xml:space="preserve">2007-04-24</t>
  </si>
  <si>
    <t xml:space="preserve">曾秀貞</t>
  </si>
  <si>
    <t xml:space="preserve">吳侑真</t>
  </si>
  <si>
    <t xml:space="preserve">善化區</t>
  </si>
  <si>
    <r>
      <rPr>
        <sz val="10"/>
        <color rgb="FF1F2A28"/>
        <rFont val="WenQuanYi Zen Hei"/>
        <family val="2"/>
      </rPr>
      <t xml:space="preserve">卓躍文教有限公司附設臺南市私立叡揚文理短期補習班南科分班</t>
    </r>
    <r>
      <rPr>
        <sz val="10"/>
        <color rgb="FF1F2A28"/>
        <rFont val="Arial"/>
        <family val="0"/>
        <charset val="1"/>
      </rPr>
      <t xml:space="preserve">(</t>
    </r>
    <r>
      <rPr>
        <sz val="10"/>
        <color rgb="FF1F2A28"/>
        <rFont val="WenQuanYi Zen Hei"/>
        <family val="2"/>
      </rPr>
      <t xml:space="preserve">為比對教職員工資料預登立案資訊</t>
    </r>
    <r>
      <rPr>
        <sz val="10"/>
        <color rgb="FF1F2A28"/>
        <rFont val="Arial"/>
        <family val="0"/>
        <charset val="1"/>
      </rPr>
      <t xml:space="preserve">)</t>
    </r>
  </si>
  <si>
    <r>
      <rPr>
        <sz val="10"/>
        <color rgb="FF1F2A28"/>
        <rFont val="WenQuanYi Zen Hei"/>
        <family val="2"/>
      </rPr>
      <t xml:space="preserve">善化區陽光三路</t>
    </r>
    <r>
      <rPr>
        <sz val="10"/>
        <color rgb="FF1F2A28"/>
        <rFont val="Arial"/>
        <family val="0"/>
        <charset val="1"/>
      </rPr>
      <t xml:space="preserve">308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</si>
  <si>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(06)5830292</t>
  </si>
  <si>
    <t xml:space="preserve">ruiyang5830292@gmail.com</t>
  </si>
  <si>
    <t xml:space="preserve">2026-08-24</t>
  </si>
  <si>
    <t xml:space="preserve">林景毅</t>
  </si>
  <si>
    <t xml:space="preserve">吳如洳</t>
  </si>
  <si>
    <r>
      <rPr>
        <sz val="10"/>
        <color rgb="FF1F2A28"/>
        <rFont val="WenQuanYi Zen Hei"/>
        <family val="2"/>
      </rPr>
      <t xml:space="preserve">科睿數理科學教育股份有限公司附設臺南市私立科睿文理技藝短期補習班</t>
    </r>
    <r>
      <rPr>
        <sz val="10"/>
        <color rgb="FF1F2A28"/>
        <rFont val="Arial"/>
        <family val="0"/>
        <charset val="1"/>
      </rPr>
      <t xml:space="preserve">(</t>
    </r>
    <r>
      <rPr>
        <sz val="10"/>
        <color rgb="FF1F2A28"/>
        <rFont val="WenQuanYi Zen Hei"/>
        <family val="2"/>
      </rPr>
      <t xml:space="preserve">為比對教職員工資料預登立案資訊</t>
    </r>
    <r>
      <rPr>
        <sz val="10"/>
        <color rgb="FF1F2A28"/>
        <rFont val="Arial"/>
        <family val="0"/>
        <charset val="1"/>
      </rPr>
      <t xml:space="preserve">)</t>
    </r>
  </si>
  <si>
    <r>
      <rPr>
        <sz val="10"/>
        <color rgb="FF1F2A28"/>
        <rFont val="WenQuanYi Zen Hei"/>
        <family val="2"/>
      </rPr>
      <t xml:space="preserve">善化區陽光三路</t>
    </r>
    <r>
      <rPr>
        <sz val="10"/>
        <color rgb="FF1F2A28"/>
        <rFont val="Arial"/>
        <family val="0"/>
        <charset val="1"/>
      </rPr>
      <t xml:space="preserve">81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</si>
  <si>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(06)6015014</t>
  </si>
  <si>
    <t xml:space="preserve">kr1991@dr2krsteam.com</t>
  </si>
  <si>
    <t xml:space="preserve">2026-07-17</t>
  </si>
  <si>
    <t xml:space="preserve">曹國緯</t>
  </si>
  <si>
    <t xml:space="preserve">臺南市私立卓悅英語短期補習班</t>
  </si>
  <si>
    <r>
      <rPr>
        <sz val="10"/>
        <color rgb="FF1F2A28"/>
        <rFont val="WenQuanYi Zen Hei"/>
        <family val="2"/>
      </rPr>
      <t xml:space="preserve">善化區興華路</t>
    </r>
    <r>
      <rPr>
        <sz val="10"/>
        <color rgb="FF1F2A28"/>
        <rFont val="Arial"/>
        <family val="0"/>
        <charset val="1"/>
      </rPr>
      <t xml:space="preserve">233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</si>
  <si>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(06)5851778</t>
  </si>
  <si>
    <t xml:space="preserve">rainbowk256@yahoo.com.tw</t>
  </si>
  <si>
    <t xml:space="preserve">2006-07-18</t>
  </si>
  <si>
    <t xml:space="preserve">包麗菁</t>
  </si>
  <si>
    <t xml:space="preserve">臺南市私立南科美語短期補習班</t>
  </si>
  <si>
    <r>
      <rPr>
        <sz val="10"/>
        <color rgb="FF1F2A28"/>
        <rFont val="WenQuanYi Zen Hei"/>
        <family val="2"/>
      </rPr>
      <t xml:space="preserve">善化區光復一街</t>
    </r>
    <r>
      <rPr>
        <sz val="10"/>
        <color rgb="FF1F2A28"/>
        <rFont val="Arial"/>
        <family val="0"/>
        <charset val="1"/>
      </rPr>
      <t xml:space="preserve">66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</si>
  <si>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(06)5816727</t>
  </si>
  <si>
    <t xml:space="preserve">livetutorjr@gmail.com</t>
  </si>
  <si>
    <t xml:space="preserve">2007-03-20</t>
  </si>
  <si>
    <t xml:space="preserve">陳美杏</t>
  </si>
  <si>
    <t xml:space="preserve">臺南市私立嘉捷文理短期補習班</t>
  </si>
  <si>
    <r>
      <rPr>
        <sz val="10"/>
        <color rgb="FF1F2A28"/>
        <rFont val="WenQuanYi Zen Hei"/>
        <family val="2"/>
      </rPr>
      <t xml:space="preserve">善化區民生路</t>
    </r>
    <r>
      <rPr>
        <sz val="10"/>
        <color rgb="FF1F2A28"/>
        <rFont val="Arial"/>
        <family val="0"/>
        <charset val="1"/>
      </rPr>
      <t xml:space="preserve">158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</si>
  <si>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(06)5856905</t>
  </si>
  <si>
    <t xml:space="preserve">ckylie0119@gmail.com</t>
  </si>
  <si>
    <t xml:space="preserve">2021-12-27</t>
  </si>
  <si>
    <t xml:space="preserve">張晁嘉</t>
  </si>
  <si>
    <t xml:space="preserve">臺南市私立小熊熊文理短期補習班</t>
  </si>
  <si>
    <r>
      <rPr>
        <sz val="10"/>
        <color rgb="FF1F2A28"/>
        <rFont val="WenQuanYi Zen Hei"/>
        <family val="2"/>
      </rPr>
      <t xml:space="preserve">善化區目加溜灣大道</t>
    </r>
    <r>
      <rPr>
        <sz val="10"/>
        <color rgb="FF1F2A28"/>
        <rFont val="Arial"/>
        <family val="0"/>
        <charset val="1"/>
      </rPr>
      <t xml:space="preserve">507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</si>
  <si>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06-583-0521</t>
  </si>
  <si>
    <t xml:space="preserve">kiraeason1124@gmail.com</t>
  </si>
  <si>
    <t xml:space="preserve">謝嘉璇</t>
  </si>
  <si>
    <t xml:space="preserve">謝妤艾</t>
  </si>
  <si>
    <t xml:space="preserve">臺南市私立張老師資優美語教室短期補習班</t>
  </si>
  <si>
    <r>
      <rPr>
        <sz val="10"/>
        <color rgb="FF1F2A28"/>
        <rFont val="WenQuanYi Zen Hei"/>
        <family val="2"/>
      </rPr>
      <t xml:space="preserve">善化區自立路</t>
    </r>
    <r>
      <rPr>
        <sz val="10"/>
        <color rgb="FF1F2A28"/>
        <rFont val="Arial"/>
        <family val="0"/>
        <charset val="1"/>
      </rPr>
      <t xml:space="preserve">112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</si>
  <si>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(06)5852295</t>
  </si>
  <si>
    <t xml:space="preserve">2000-03-10</t>
  </si>
  <si>
    <t xml:space="preserve">張世奇</t>
  </si>
  <si>
    <t xml:space="preserve">張士奇</t>
  </si>
  <si>
    <t xml:space="preserve">臺南市私立竸立文理短期補習班</t>
  </si>
  <si>
    <r>
      <rPr>
        <sz val="10"/>
        <color rgb="FF1F2A28"/>
        <rFont val="WenQuanYi Zen Hei"/>
        <family val="2"/>
      </rPr>
      <t xml:space="preserve">善化區大成路</t>
    </r>
    <r>
      <rPr>
        <sz val="10"/>
        <color rgb="FF1F2A28"/>
        <rFont val="Arial"/>
        <family val="0"/>
        <charset val="1"/>
      </rPr>
      <t xml:space="preserve">296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</si>
  <si>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(06)5831001</t>
  </si>
  <si>
    <t xml:space="preserve">r0915413908@gmail.com</t>
  </si>
  <si>
    <t xml:space="preserve">2016-09-13</t>
  </si>
  <si>
    <t xml:space="preserve">林友才</t>
  </si>
  <si>
    <t xml:space="preserve">臺南市私立育沁美語短期補習班</t>
  </si>
  <si>
    <r>
      <rPr>
        <sz val="10"/>
        <color rgb="FF1F2A28"/>
        <rFont val="WenQuanYi Zen Hei"/>
        <family val="2"/>
      </rPr>
      <t xml:space="preserve">善化區民生路</t>
    </r>
    <r>
      <rPr>
        <sz val="10"/>
        <color rgb="FF1F2A28"/>
        <rFont val="Arial"/>
        <family val="0"/>
        <charset val="1"/>
      </rPr>
      <t xml:space="preserve">77</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</si>
  <si>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(06)5852017</t>
  </si>
  <si>
    <t xml:space="preserve">0939971711jojo@gmail.com</t>
  </si>
  <si>
    <t xml:space="preserve">許鳳儀</t>
  </si>
  <si>
    <t xml:space="preserve">陳秋香</t>
  </si>
  <si>
    <t xml:space="preserve">臺南市私立葟霖文理短期補習班</t>
  </si>
  <si>
    <r>
      <rPr>
        <sz val="10"/>
        <color rgb="FF1F2A28"/>
        <rFont val="WenQuanYi Zen Hei"/>
        <family val="2"/>
      </rPr>
      <t xml:space="preserve">善化區陽光大道</t>
    </r>
    <r>
      <rPr>
        <sz val="10"/>
        <color rgb="FF1F2A28"/>
        <rFont val="Arial"/>
        <family val="0"/>
        <charset val="1"/>
      </rPr>
      <t xml:space="preserve">228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</si>
  <si>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(06)5830027</t>
  </si>
  <si>
    <t xml:space="preserve">2023-06-21</t>
  </si>
  <si>
    <t xml:space="preserve">林友程</t>
  </si>
  <si>
    <t xml:space="preserve">學甲區</t>
  </si>
  <si>
    <t xml:space="preserve">臺南市私立英格麗文理短期補習班</t>
  </si>
  <si>
    <r>
      <rPr>
        <sz val="10"/>
        <color rgb="FF1F2A28"/>
        <rFont val="WenQuanYi Zen Hei"/>
        <family val="2"/>
      </rPr>
      <t xml:space="preserve">學甲區和平路</t>
    </r>
    <r>
      <rPr>
        <sz val="10"/>
        <color rgb="FF1F2A28"/>
        <rFont val="Arial"/>
        <family val="0"/>
        <charset val="1"/>
      </rPr>
      <t xml:space="preserve">233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</si>
  <si>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(06)7839989</t>
  </si>
  <si>
    <t xml:space="preserve">2000-12-21</t>
  </si>
  <si>
    <t xml:space="preserve">王玉芬</t>
  </si>
  <si>
    <t xml:space="preserve">陳君陶</t>
  </si>
  <si>
    <t xml:space="preserve">安南區</t>
  </si>
  <si>
    <t xml:space="preserve">中央國際文教有限公司附設臺南市私立中央國際文理短期補習班</t>
  </si>
  <si>
    <r>
      <rPr>
        <sz val="10"/>
        <color rgb="FF1F2A28"/>
        <rFont val="WenQuanYi Zen Hei"/>
        <family val="2"/>
      </rPr>
      <t xml:space="preserve">安南區富東路</t>
    </r>
    <r>
      <rPr>
        <sz val="10"/>
        <color rgb="FF1F2A28"/>
        <rFont val="Arial"/>
        <family val="0"/>
        <charset val="1"/>
      </rPr>
      <t xml:space="preserve">228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230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</si>
  <si>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(06)2589885</t>
  </si>
  <si>
    <t xml:space="preserve">yachi1750@gmail.com</t>
  </si>
  <si>
    <t xml:space="preserve">2001-02-22</t>
  </si>
  <si>
    <t xml:space="preserve">張惟傑</t>
  </si>
  <si>
    <t xml:space="preserve">韋匕升</t>
  </si>
  <si>
    <t xml:space="preserve">威爾森文教事業股份有限公司附設臺南市私立愛譜樂斯文理短期補習班</t>
  </si>
  <si>
    <r>
      <rPr>
        <sz val="10"/>
        <color rgb="FF1F2A28"/>
        <rFont val="WenQuanYi Zen Hei"/>
        <family val="2"/>
      </rPr>
      <t xml:space="preserve">安南區同安路</t>
    </r>
    <r>
      <rPr>
        <sz val="10"/>
        <color rgb="FF1F2A28"/>
        <rFont val="Arial"/>
        <family val="0"/>
        <charset val="1"/>
      </rPr>
      <t xml:space="preserve">71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</si>
  <si>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(06)2471977</t>
  </si>
  <si>
    <t xml:space="preserve">wilsonschool013@gmail.com</t>
  </si>
  <si>
    <t xml:space="preserve">2009-05-12</t>
  </si>
  <si>
    <t xml:space="preserve">王華勇</t>
  </si>
  <si>
    <t xml:space="preserve">謝宗峻</t>
  </si>
  <si>
    <t xml:space="preserve">臺南市私立佳學英語文理短期補習班</t>
  </si>
  <si>
    <r>
      <rPr>
        <sz val="10"/>
        <color rgb="FF1F2A28"/>
        <rFont val="WenQuanYi Zen Hei"/>
        <family val="2"/>
      </rPr>
      <t xml:space="preserve">安南區安中路三段</t>
    </r>
    <r>
      <rPr>
        <sz val="10"/>
        <color rgb="FF1F2A28"/>
        <rFont val="Arial"/>
        <family val="0"/>
        <charset val="1"/>
      </rPr>
      <t xml:space="preserve">131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</si>
  <si>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(06)2452199</t>
  </si>
  <si>
    <t xml:space="preserve">李瓊媚</t>
  </si>
  <si>
    <t xml:space="preserve">臺南市私立傑林文理短期補習班</t>
  </si>
  <si>
    <r>
      <rPr>
        <sz val="10"/>
        <color rgb="FF1F2A28"/>
        <rFont val="WenQuanYi Zen Hei"/>
        <family val="2"/>
      </rPr>
      <t xml:space="preserve">安南區安和路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208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</si>
  <si>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(06)3553538</t>
  </si>
  <si>
    <t xml:space="preserve">2007-05-29</t>
  </si>
  <si>
    <t xml:space="preserve">朱離</t>
  </si>
  <si>
    <t xml:space="preserve">朱珍瑶</t>
  </si>
  <si>
    <t xml:space="preserve">臺南市私立學優音樂英文短期補習班</t>
  </si>
  <si>
    <r>
      <rPr>
        <sz val="10"/>
        <color rgb="FF1F2A28"/>
        <rFont val="WenQuanYi Zen Hei"/>
        <family val="2"/>
      </rPr>
      <t xml:space="preserve">安南區大安街</t>
    </r>
    <r>
      <rPr>
        <sz val="10"/>
        <color rgb="FF1F2A28"/>
        <rFont val="Arial"/>
        <family val="0"/>
        <charset val="1"/>
      </rPr>
      <t xml:space="preserve">678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</si>
  <si>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(06)2554858</t>
  </si>
  <si>
    <t xml:space="preserve">2004-12-20</t>
  </si>
  <si>
    <t xml:space="preserve">郭淑芬</t>
  </si>
  <si>
    <t xml:space="preserve">臺南市私立慈航美語美術短期補習班</t>
  </si>
  <si>
    <r>
      <rPr>
        <sz val="10"/>
        <color rgb="FF1F2A28"/>
        <rFont val="WenQuanYi Zen Hei"/>
        <family val="2"/>
      </rPr>
      <t xml:space="preserve">安南區安和路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402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</si>
  <si>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(06)3565188</t>
  </si>
  <si>
    <t xml:space="preserve">mayzon245@gmail.com</t>
  </si>
  <si>
    <t xml:space="preserve">2005-09-21</t>
  </si>
  <si>
    <t xml:space="preserve">蔣翠容</t>
  </si>
  <si>
    <t xml:space="preserve">臺南市私立晨暘文理短期補習班</t>
  </si>
  <si>
    <r>
      <rPr>
        <sz val="10"/>
        <color rgb="FF1F2A28"/>
        <rFont val="WenQuanYi Zen Hei"/>
        <family val="2"/>
      </rPr>
      <t xml:space="preserve">安南區樂安一街</t>
    </r>
    <r>
      <rPr>
        <sz val="10"/>
        <color rgb="FF1F2A28"/>
        <rFont val="Arial"/>
        <family val="0"/>
        <charset val="1"/>
      </rPr>
      <t xml:space="preserve">229</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</si>
  <si>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(06)2467558</t>
  </si>
  <si>
    <t xml:space="preserve">顏亭安</t>
  </si>
  <si>
    <t xml:space="preserve">臺南市私立有熊文理技藝短期補習班</t>
  </si>
  <si>
    <r>
      <rPr>
        <sz val="10"/>
        <color rgb="FF1F2A28"/>
        <rFont val="WenQuanYi Zen Hei"/>
        <family val="2"/>
      </rPr>
      <t xml:space="preserve">安南區安和路五段</t>
    </r>
    <r>
      <rPr>
        <sz val="10"/>
        <color rgb="FF1F2A28"/>
        <rFont val="Arial"/>
        <family val="0"/>
        <charset val="1"/>
      </rPr>
      <t xml:space="preserve">75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</si>
  <si>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(06)3551313</t>
  </si>
  <si>
    <t xml:space="preserve">noriss.tw@yahoo.com.tw</t>
  </si>
  <si>
    <t xml:space="preserve">美語、英文、英檢</t>
  </si>
  <si>
    <t xml:space="preserve">1997-10-28</t>
  </si>
  <si>
    <t xml:space="preserve">吳育霖</t>
  </si>
  <si>
    <t xml:space="preserve">吳秋瑩</t>
  </si>
  <si>
    <t xml:space="preserve">臺南市私立林肯美語文理短期補習班</t>
  </si>
  <si>
    <r>
      <rPr>
        <sz val="10"/>
        <color rgb="FF1F2A28"/>
        <rFont val="WenQuanYi Zen Hei"/>
        <family val="2"/>
      </rPr>
      <t xml:space="preserve">安南區北安路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125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</si>
  <si>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(06)2593366</t>
  </si>
  <si>
    <t xml:space="preserve">lincoln2593366@gmail.com</t>
  </si>
  <si>
    <t xml:space="preserve">2001-08-16</t>
  </si>
  <si>
    <t xml:space="preserve">林香寶</t>
  </si>
  <si>
    <t xml:space="preserve">臺南市私立法王子文理短期補習班</t>
  </si>
  <si>
    <r>
      <rPr>
        <sz val="10"/>
        <color rgb="FF1F2A28"/>
        <rFont val="WenQuanYi Zen Hei"/>
        <family val="2"/>
      </rPr>
      <t xml:space="preserve">安南區頂安街</t>
    </r>
    <r>
      <rPr>
        <sz val="10"/>
        <color rgb="FF1F2A28"/>
        <rFont val="Arial"/>
        <family val="0"/>
        <charset val="1"/>
      </rPr>
      <t xml:space="preserve">339</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</si>
  <si>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r>
      <rPr>
        <sz val="10"/>
        <color rgb="FF1F2A28"/>
        <rFont val="Arial"/>
        <family val="0"/>
        <charset val="1"/>
      </rPr>
      <t xml:space="preserve">(06)2466262</t>
    </r>
    <r>
      <rPr>
        <sz val="10"/>
        <color rgb="FF1F2A28"/>
        <rFont val="WenQuanYi Zen Hei"/>
        <family val="2"/>
      </rPr>
      <t xml:space="preserve">、</t>
    </r>
    <r>
      <rPr>
        <sz val="10"/>
        <color rgb="FF1F2A28"/>
        <rFont val="Arial"/>
        <family val="0"/>
        <charset val="1"/>
      </rPr>
      <t xml:space="preserve">2466345</t>
    </r>
  </si>
  <si>
    <t xml:space="preserve">amy041068@gmail.com</t>
  </si>
  <si>
    <t xml:space="preserve">2002-04-23</t>
  </si>
  <si>
    <t xml:space="preserve">吳梅雀</t>
  </si>
  <si>
    <t xml:space="preserve">林瓊月</t>
  </si>
  <si>
    <t xml:space="preserve">臺南市私立溫莎英語短期補習班</t>
  </si>
  <si>
    <r>
      <rPr>
        <sz val="10"/>
        <color rgb="FF1F2A28"/>
        <rFont val="WenQuanYi Zen Hei"/>
        <family val="2"/>
      </rPr>
      <t xml:space="preserve">安南區育安街</t>
    </r>
    <r>
      <rPr>
        <sz val="10"/>
        <color rgb="FF1F2A28"/>
        <rFont val="Arial"/>
        <family val="0"/>
        <charset val="1"/>
      </rPr>
      <t xml:space="preserve">286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</si>
  <si>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(06)3568356</t>
  </si>
  <si>
    <t xml:space="preserve">2013-07-30</t>
  </si>
  <si>
    <t xml:space="preserve">吳佩嵐</t>
  </si>
  <si>
    <t xml:space="preserve">臺南市私立田鼠美語短期補習班</t>
  </si>
  <si>
    <r>
      <rPr>
        <sz val="10"/>
        <color rgb="FF1F2A28"/>
        <rFont val="WenQuanYi Zen Hei"/>
        <family val="2"/>
      </rPr>
      <t xml:space="preserve">安南區安寧街</t>
    </r>
    <r>
      <rPr>
        <sz val="10"/>
        <color rgb="FF1F2A28"/>
        <rFont val="Arial"/>
        <family val="0"/>
        <charset val="1"/>
      </rPr>
      <t xml:space="preserve">91</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號</t>
    </r>
  </si>
  <si>
    <t xml:space="preserve">(06)2598903</t>
  </si>
  <si>
    <t xml:space="preserve">田玉鴻</t>
  </si>
  <si>
    <t xml:space="preserve">林政瑢</t>
  </si>
  <si>
    <t xml:space="preserve">臺南市私立美樂蒂美語短期補習班</t>
  </si>
  <si>
    <r>
      <rPr>
        <sz val="10"/>
        <color rgb="FF1F2A28"/>
        <rFont val="WenQuanYi Zen Hei"/>
        <family val="2"/>
      </rPr>
      <t xml:space="preserve">安南區安中路三段</t>
    </r>
    <r>
      <rPr>
        <sz val="10"/>
        <color rgb="FF1F2A28"/>
        <rFont val="Arial"/>
        <family val="0"/>
        <charset val="1"/>
      </rPr>
      <t xml:space="preserve">359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</si>
  <si>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(06)2458087</t>
  </si>
  <si>
    <t xml:space="preserve">xiang.iou@msa.hinet.net</t>
  </si>
  <si>
    <t xml:space="preserve">1999-02-26</t>
  </si>
  <si>
    <t xml:space="preserve">莊育澤</t>
  </si>
  <si>
    <t xml:space="preserve">張怡婓</t>
  </si>
  <si>
    <t xml:space="preserve">臺南市私立軒宇文理短期補習班</t>
  </si>
  <si>
    <r>
      <rPr>
        <sz val="10"/>
        <color rgb="FF1F2A28"/>
        <rFont val="WenQuanYi Zen Hei"/>
        <family val="2"/>
      </rPr>
      <t xml:space="preserve">安南區安和路三段</t>
    </r>
    <r>
      <rPr>
        <sz val="10"/>
        <color rgb="FF1F2A28"/>
        <rFont val="Arial"/>
        <family val="0"/>
        <charset val="1"/>
      </rPr>
      <t xml:space="preserve">125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</si>
  <si>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(06)3568816</t>
  </si>
  <si>
    <t xml:space="preserve">BD050@joy.com.tw</t>
  </si>
  <si>
    <t xml:space="preserve">2005-03-02</t>
  </si>
  <si>
    <t xml:space="preserve">鄭竹軒</t>
  </si>
  <si>
    <t xml:space="preserve">吳乃蓉</t>
  </si>
  <si>
    <t xml:space="preserve">臺南市私立鴻大文理短期補習班</t>
  </si>
  <si>
    <r>
      <rPr>
        <sz val="10"/>
        <color rgb="FF1F2A28"/>
        <rFont val="WenQuanYi Zen Hei"/>
        <family val="2"/>
      </rPr>
      <t xml:space="preserve">安南區培安四街</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</si>
  <si>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(06)3567645</t>
  </si>
  <si>
    <t xml:space="preserve">feenatuoo@gmail.com</t>
  </si>
  <si>
    <t xml:space="preserve">2006-02-11</t>
  </si>
  <si>
    <t xml:space="preserve">吳錦珠</t>
  </si>
  <si>
    <t xml:space="preserve">安定區</t>
  </si>
  <si>
    <t xml:space="preserve">臺南市私立威林文理短期補習班</t>
  </si>
  <si>
    <r>
      <rPr>
        <sz val="10"/>
        <color rgb="FF1F2A28"/>
        <rFont val="WenQuanYi Zen Hei"/>
        <family val="2"/>
      </rPr>
      <t xml:space="preserve">安定區港口里港口</t>
    </r>
    <r>
      <rPr>
        <sz val="10"/>
        <color rgb="FF1F2A28"/>
        <rFont val="Arial"/>
        <family val="0"/>
        <charset val="1"/>
      </rPr>
      <t xml:space="preserve">300</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</si>
  <si>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(06)5935854</t>
  </si>
  <si>
    <t xml:space="preserve">ving02@gmail.com</t>
  </si>
  <si>
    <t xml:space="preserve">1999-03-10</t>
  </si>
  <si>
    <t xml:space="preserve">黃歆甯</t>
  </si>
  <si>
    <t xml:space="preserve">林國</t>
  </si>
  <si>
    <t xml:space="preserve">臺南市私立威林文理短期補習班港口分班</t>
  </si>
  <si>
    <r>
      <rPr>
        <sz val="10"/>
        <color rgb="FF1F2A28"/>
        <rFont val="WenQuanYi Zen Hei"/>
        <family val="2"/>
      </rPr>
      <t xml:space="preserve">安定區港南里港口</t>
    </r>
    <r>
      <rPr>
        <sz val="10"/>
        <color rgb="FF1F2A28"/>
        <rFont val="Arial"/>
        <family val="0"/>
        <charset val="1"/>
      </rPr>
      <t xml:space="preserve">99</t>
    </r>
    <r>
      <rPr>
        <sz val="10"/>
        <color rgb="FF1F2A28"/>
        <rFont val="WenQuanYi Zen Hei"/>
        <family val="2"/>
      </rPr>
      <t xml:space="preserve">之</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</si>
  <si>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2017-11-13</t>
  </si>
  <si>
    <t xml:space="preserve">臺南市私立蘇珊美語短期補習班</t>
  </si>
  <si>
    <r>
      <rPr>
        <sz val="10"/>
        <color rgb="FF1F2A28"/>
        <rFont val="WenQuanYi Zen Hei"/>
        <family val="2"/>
      </rPr>
      <t xml:space="preserve">安定區港口</t>
    </r>
    <r>
      <rPr>
        <sz val="10"/>
        <color rgb="FF1F2A28"/>
        <rFont val="Arial"/>
        <family val="0"/>
        <charset val="1"/>
      </rPr>
      <t xml:space="preserve">399-5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</si>
  <si>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(06)5932007</t>
  </si>
  <si>
    <t xml:space="preserve">kd0977035013@gmail.com</t>
  </si>
  <si>
    <t xml:space="preserve">石鎮僥</t>
  </si>
  <si>
    <t xml:space="preserve">安平區</t>
  </si>
  <si>
    <t xml:space="preserve">臺南市私立傑克美語短期補習班</t>
  </si>
  <si>
    <r>
      <rPr>
        <sz val="10"/>
        <color rgb="FF1F2A28"/>
        <rFont val="WenQuanYi Zen Hei"/>
        <family val="2"/>
      </rPr>
      <t xml:space="preserve">安平區郡平路</t>
    </r>
    <r>
      <rPr>
        <sz val="10"/>
        <color rgb="FF1F2A28"/>
        <rFont val="Arial"/>
        <family val="0"/>
        <charset val="1"/>
      </rPr>
      <t xml:space="preserve">307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</si>
  <si>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(06)2985699</t>
  </si>
  <si>
    <t xml:space="preserve">simon318185@yahoo.com.tw</t>
  </si>
  <si>
    <t xml:space="preserve">2005-12-14</t>
  </si>
  <si>
    <t xml:space="preserve">李虹瑩</t>
  </si>
  <si>
    <t xml:space="preserve">陳柏祥</t>
  </si>
  <si>
    <t xml:space="preserve">臺南市私立博群文理短期補習班</t>
  </si>
  <si>
    <r>
      <rPr>
        <sz val="10"/>
        <color rgb="FF1F2A28"/>
        <rFont val="WenQuanYi Zen Hei"/>
        <family val="2"/>
      </rPr>
      <t xml:space="preserve">安平區平通路</t>
    </r>
    <r>
      <rPr>
        <sz val="10"/>
        <color rgb="FF1F2A28"/>
        <rFont val="Arial"/>
        <family val="0"/>
        <charset val="1"/>
      </rPr>
      <t xml:space="preserve">385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387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389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</si>
  <si>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(06)2988472</t>
  </si>
  <si>
    <t xml:space="preserve">bochuin@gmail.com</t>
  </si>
  <si>
    <t xml:space="preserve">1999-12-17</t>
  </si>
  <si>
    <t xml:space="preserve">陳榮秋</t>
  </si>
  <si>
    <t xml:space="preserve">黃靖貽</t>
  </si>
  <si>
    <t xml:space="preserve">臺南市私立學兒房文理技藝短期補習班</t>
  </si>
  <si>
    <r>
      <rPr>
        <sz val="10"/>
        <color rgb="FF1F2A28"/>
        <rFont val="WenQuanYi Zen Hei"/>
        <family val="2"/>
      </rPr>
      <t xml:space="preserve">安平區健康路</t>
    </r>
    <r>
      <rPr>
        <sz val="10"/>
        <color rgb="FF1F2A28"/>
        <rFont val="Arial"/>
        <family val="0"/>
        <charset val="1"/>
      </rPr>
      <t xml:space="preserve">750-2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</si>
  <si>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(06)2958000</t>
  </si>
  <si>
    <t xml:space="preserve">sharefun9999@gmail.com</t>
  </si>
  <si>
    <t xml:space="preserve">2008-08-05</t>
  </si>
  <si>
    <t xml:space="preserve">葉杰瑜</t>
  </si>
  <si>
    <t xml:space="preserve">臺南市私立洋聲塾英語短期補習班</t>
  </si>
  <si>
    <r>
      <rPr>
        <sz val="10"/>
        <color rgb="FF1F2A28"/>
        <rFont val="WenQuanYi Zen Hei"/>
        <family val="2"/>
      </rPr>
      <t xml:space="preserve">安平區建平五街</t>
    </r>
    <r>
      <rPr>
        <sz val="10"/>
        <color rgb="FF1F2A28"/>
        <rFont val="Arial"/>
        <family val="0"/>
        <charset val="1"/>
      </rPr>
      <t xml:space="preserve">22</t>
    </r>
    <r>
      <rPr>
        <sz val="10"/>
        <color rgb="FF1F2A28"/>
        <rFont val="WenQuanYi Zen Hei"/>
        <family val="2"/>
      </rPr>
      <t xml:space="preserve">巷</t>
    </r>
    <r>
      <rPr>
        <sz val="10"/>
        <color rgb="FF1F2A28"/>
        <rFont val="Arial"/>
        <family val="0"/>
        <charset val="1"/>
      </rPr>
      <t xml:space="preserve">15</t>
    </r>
    <r>
      <rPr>
        <sz val="10"/>
        <color rgb="FF1F2A28"/>
        <rFont val="WenQuanYi Zen Hei"/>
        <family val="2"/>
      </rPr>
      <t xml:space="preserve">弄</t>
    </r>
    <r>
      <rPr>
        <sz val="10"/>
        <color rgb="FF1F2A28"/>
        <rFont val="Arial"/>
        <family val="0"/>
        <charset val="1"/>
      </rPr>
      <t xml:space="preserve">39</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</si>
  <si>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(06)2953555</t>
  </si>
  <si>
    <t xml:space="preserve">sunnyuki@yahoo.com.tw</t>
  </si>
  <si>
    <t xml:space="preserve">2007-09-19</t>
  </si>
  <si>
    <t xml:space="preserve">陳怡安</t>
  </si>
  <si>
    <t xml:space="preserve">臺南市私立知學堂文理短期補習班</t>
  </si>
  <si>
    <r>
      <rPr>
        <sz val="10"/>
        <color rgb="FF1F2A28"/>
        <rFont val="WenQuanYi Zen Hei"/>
        <family val="2"/>
      </rPr>
      <t xml:space="preserve">安平區平通路</t>
    </r>
    <r>
      <rPr>
        <sz val="10"/>
        <color rgb="FF1F2A28"/>
        <rFont val="Arial"/>
        <family val="0"/>
        <charset val="1"/>
      </rPr>
      <t xml:space="preserve">102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2</t>
    </r>
  </si>
  <si>
    <t xml:space="preserve">(06)2937272</t>
  </si>
  <si>
    <t xml:space="preserve">learningtree2937272@gmail.com</t>
  </si>
  <si>
    <t xml:space="preserve">石乃文</t>
  </si>
  <si>
    <t xml:space="preserve">黃仁富</t>
  </si>
  <si>
    <t xml:space="preserve">臺南市私立艾蒙利英語會話短期補習班</t>
  </si>
  <si>
    <r>
      <rPr>
        <sz val="10"/>
        <color rgb="FF1F2A28"/>
        <rFont val="WenQuanYi Zen Hei"/>
        <family val="2"/>
      </rPr>
      <t xml:space="preserve">安平區中華西路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49</t>
    </r>
    <r>
      <rPr>
        <sz val="10"/>
        <color rgb="FF1F2A28"/>
        <rFont val="WenQuanYi Zen Hei"/>
        <family val="2"/>
      </rPr>
      <t xml:space="preserve">巷</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</si>
  <si>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(06)2978618</t>
  </si>
  <si>
    <t xml:space="preserve">ems@abc-school.com.tw</t>
  </si>
  <si>
    <t xml:space="preserve">2004-04-07</t>
  </si>
  <si>
    <t xml:space="preserve">林義德</t>
  </si>
  <si>
    <t xml:space="preserve">臺南市私立華聲語文技藝短期補習班</t>
  </si>
  <si>
    <r>
      <rPr>
        <sz val="10"/>
        <color rgb="FF1F2A28"/>
        <rFont val="WenQuanYi Zen Hei"/>
        <family val="2"/>
      </rPr>
      <t xml:space="preserve">安平區怡平路</t>
    </r>
    <r>
      <rPr>
        <sz val="10"/>
        <color rgb="FF1F2A28"/>
        <rFont val="Arial"/>
        <family val="0"/>
        <charset val="1"/>
      </rPr>
      <t xml:space="preserve">360</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</si>
  <si>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r>
      <rPr>
        <sz val="10"/>
        <color rgb="FF1F2A28"/>
        <rFont val="Arial"/>
        <family val="0"/>
        <charset val="1"/>
      </rPr>
      <t xml:space="preserve">(06)2996255</t>
    </r>
    <r>
      <rPr>
        <sz val="10"/>
        <color rgb="FF1F2A28"/>
        <rFont val="WenQuanYi Zen Hei"/>
        <family val="2"/>
      </rPr>
      <t xml:space="preserve">、</t>
    </r>
    <r>
      <rPr>
        <sz val="10"/>
        <color rgb="FF1F2A28"/>
        <rFont val="Arial"/>
        <family val="0"/>
        <charset val="1"/>
      </rPr>
      <t xml:space="preserve">2996256</t>
    </r>
  </si>
  <si>
    <t xml:space="preserve">wha.sheng@msa.hinet.net</t>
  </si>
  <si>
    <t xml:space="preserve">鄭文山</t>
  </si>
  <si>
    <t xml:space="preserve">臺南市私立龍約翰文理短期補習班</t>
  </si>
  <si>
    <r>
      <rPr>
        <sz val="10"/>
        <color rgb="FF1F2A28"/>
        <rFont val="WenQuanYi Zen Hei"/>
        <family val="2"/>
      </rPr>
      <t xml:space="preserve">安平區建平十一街</t>
    </r>
    <r>
      <rPr>
        <sz val="10"/>
        <color rgb="FF1F2A28"/>
        <rFont val="Arial"/>
        <family val="0"/>
        <charset val="1"/>
      </rPr>
      <t xml:space="preserve">287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</si>
  <si>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(06)2959990</t>
  </si>
  <si>
    <t xml:space="preserve">speaker899@gmail.com</t>
  </si>
  <si>
    <t xml:space="preserve">2014-08-29</t>
  </si>
  <si>
    <t xml:space="preserve">吳佩鈴</t>
  </si>
  <si>
    <t xml:space="preserve">官田區</t>
  </si>
  <si>
    <t xml:space="preserve">臺南市私立育英文理短期補習班</t>
  </si>
  <si>
    <r>
      <rPr>
        <sz val="10"/>
        <color rgb="FF1F2A28"/>
        <rFont val="WenQuanYi Zen Hei"/>
        <family val="2"/>
      </rPr>
      <t xml:space="preserve">官田區裕民街</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</si>
  <si>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(06)5790545</t>
  </si>
  <si>
    <t xml:space="preserve">2023-04-07</t>
  </si>
  <si>
    <t xml:space="preserve">蘇逸潔</t>
  </si>
  <si>
    <t xml:space="preserve">山上區</t>
  </si>
  <si>
    <t xml:space="preserve">臺南市私立勤學電腦珠算文理短期補習班</t>
  </si>
  <si>
    <r>
      <rPr>
        <sz val="10"/>
        <color rgb="FF1F2A28"/>
        <rFont val="WenQuanYi Zen Hei"/>
        <family val="2"/>
      </rPr>
      <t xml:space="preserve">山上區南洲</t>
    </r>
    <r>
      <rPr>
        <sz val="10"/>
        <color rgb="FF1F2A28"/>
        <rFont val="Arial"/>
        <family val="0"/>
        <charset val="1"/>
      </rPr>
      <t xml:space="preserve">189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</si>
  <si>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(06)5783809</t>
  </si>
  <si>
    <t xml:space="preserve">adsl5718123@yahoo.com.tw</t>
  </si>
  <si>
    <t xml:space="preserve">沈孟學</t>
  </si>
  <si>
    <t xml:space="preserve">沈禹竹</t>
  </si>
  <si>
    <t xml:space="preserve">後壁區</t>
  </si>
  <si>
    <t xml:space="preserve">臺南市私立開心文理短期補習班</t>
  </si>
  <si>
    <r>
      <rPr>
        <sz val="10"/>
        <color rgb="FF1F2A28"/>
        <rFont val="WenQuanYi Zen Hei"/>
        <family val="2"/>
      </rPr>
      <t xml:space="preserve">後壁區後壁寮</t>
    </r>
    <r>
      <rPr>
        <sz val="10"/>
        <color rgb="FF1F2A28"/>
        <rFont val="Arial"/>
        <family val="0"/>
        <charset val="1"/>
      </rPr>
      <t xml:space="preserve">57</t>
    </r>
    <r>
      <rPr>
        <sz val="10"/>
        <color rgb="FF1F2A28"/>
        <rFont val="WenQuanYi Zen Hei"/>
        <family val="2"/>
      </rPr>
      <t xml:space="preserve">之</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</si>
  <si>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(06)6873798</t>
  </si>
  <si>
    <t xml:space="preserve">grace0921559828@yahoo.com.tw</t>
  </si>
  <si>
    <t xml:space="preserve">2001-01-09</t>
  </si>
  <si>
    <t xml:space="preserve">馬珮芸</t>
  </si>
  <si>
    <t xml:space="preserve">新化區</t>
  </si>
  <si>
    <t xml:space="preserve">臺南市私立佳恩美語短期補習班</t>
  </si>
  <si>
    <r>
      <rPr>
        <sz val="10"/>
        <color rgb="FF1F2A28"/>
        <rFont val="WenQuanYi Zen Hei"/>
        <family val="2"/>
      </rPr>
      <t xml:space="preserve">新化區民治路</t>
    </r>
    <r>
      <rPr>
        <sz val="10"/>
        <color rgb="FF1F2A28"/>
        <rFont val="Arial"/>
        <family val="0"/>
        <charset val="1"/>
      </rPr>
      <t xml:space="preserve">156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158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</si>
  <si>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(06)5800937</t>
  </si>
  <si>
    <t xml:space="preserve">joy.sh@msa.hinet.net</t>
  </si>
  <si>
    <t xml:space="preserve">2002-08-06</t>
  </si>
  <si>
    <t xml:space="preserve">張淑貞</t>
  </si>
  <si>
    <t xml:space="preserve">臺南市私立天語文理短期補習班</t>
  </si>
  <si>
    <r>
      <rPr>
        <sz val="10"/>
        <color rgb="FF1F2A28"/>
        <rFont val="WenQuanYi Zen Hei"/>
        <family val="2"/>
      </rPr>
      <t xml:space="preserve">新化區太平街</t>
    </r>
    <r>
      <rPr>
        <sz val="10"/>
        <color rgb="FF1F2A28"/>
        <rFont val="Arial"/>
        <family val="0"/>
        <charset val="1"/>
      </rPr>
      <t xml:space="preserve">134</t>
    </r>
    <r>
      <rPr>
        <sz val="10"/>
        <color rgb="FF1F2A28"/>
        <rFont val="WenQuanYi Zen Hei"/>
        <family val="2"/>
      </rPr>
      <t xml:space="preserve">巷</t>
    </r>
    <r>
      <rPr>
        <sz val="10"/>
        <color rgb="FF1F2A28"/>
        <rFont val="Arial"/>
        <family val="0"/>
        <charset val="1"/>
      </rPr>
      <t xml:space="preserve">37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</si>
  <si>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(06)5983337</t>
  </si>
  <si>
    <t xml:space="preserve">flora0209824@hotmail.com</t>
  </si>
  <si>
    <t xml:space="preserve">蕭絢晴</t>
  </si>
  <si>
    <t xml:space="preserve">蕭孟恬</t>
  </si>
  <si>
    <t xml:space="preserve">臺南市私立立勳文理短期補習班</t>
  </si>
  <si>
    <r>
      <rPr>
        <sz val="10"/>
        <color rgb="FF1F2A28"/>
        <rFont val="WenQuanYi Zen Hei"/>
        <family val="2"/>
      </rPr>
      <t xml:space="preserve">新化區復興路</t>
    </r>
    <r>
      <rPr>
        <sz val="10"/>
        <color rgb="FF1F2A28"/>
        <rFont val="Arial"/>
        <family val="0"/>
        <charset val="1"/>
      </rPr>
      <t xml:space="preserve">295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</si>
  <si>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(06)5900868</t>
  </si>
  <si>
    <t xml:space="preserve">atai823@yahoo.com.tw</t>
  </si>
  <si>
    <t xml:space="preserve">2011-06-22</t>
  </si>
  <si>
    <t xml:space="preserve">鄭皓泰</t>
  </si>
  <si>
    <t xml:space="preserve">臺南市私立迪迪文理短期補習班</t>
  </si>
  <si>
    <r>
      <rPr>
        <sz val="10"/>
        <color rgb="FF1F2A28"/>
        <rFont val="WenQuanYi Zen Hei"/>
        <family val="2"/>
      </rPr>
      <t xml:space="preserve">新化區中山路</t>
    </r>
    <r>
      <rPr>
        <sz val="10"/>
        <color rgb="FF1F2A28"/>
        <rFont val="Arial"/>
        <family val="0"/>
        <charset val="1"/>
      </rPr>
      <t xml:space="preserve">421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</si>
  <si>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(06)5904810</t>
  </si>
  <si>
    <t xml:space="preserve">2018-10-30</t>
  </si>
  <si>
    <t xml:space="preserve">陳淑敏</t>
  </si>
  <si>
    <t xml:space="preserve">臺南市私立雅米琪美語短期補習班</t>
  </si>
  <si>
    <r>
      <rPr>
        <sz val="10"/>
        <color rgb="FF1F2A28"/>
        <rFont val="WenQuanYi Zen Hei"/>
        <family val="2"/>
      </rPr>
      <t xml:space="preserve">新化區長青街</t>
    </r>
    <r>
      <rPr>
        <sz val="10"/>
        <color rgb="FF1F2A28"/>
        <rFont val="Arial"/>
        <family val="0"/>
        <charset val="1"/>
      </rPr>
      <t xml:space="preserve">53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</si>
  <si>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0963530732</t>
  </si>
  <si>
    <t xml:space="preserve">2015-05-08</t>
  </si>
  <si>
    <t xml:space="preserve">林錦玉</t>
  </si>
  <si>
    <t xml:space="preserve">新市區</t>
  </si>
  <si>
    <t xml:space="preserve">數位地球村語文資訊有限公司附設臺南市私立中正地球村美日語短期補習班</t>
  </si>
  <si>
    <r>
      <rPr>
        <sz val="10"/>
        <color rgb="FF1F2A28"/>
        <rFont val="WenQuanYi Zen Hei"/>
        <family val="2"/>
      </rPr>
      <t xml:space="preserve">新市區中正路</t>
    </r>
    <r>
      <rPr>
        <sz val="10"/>
        <color rgb="FF1F2A28"/>
        <rFont val="Arial"/>
        <family val="0"/>
        <charset val="1"/>
      </rPr>
      <t xml:space="preserve">152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</si>
  <si>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(06)5999858</t>
  </si>
  <si>
    <t xml:space="preserve">2011-02-01</t>
  </si>
  <si>
    <t xml:space="preserve">黃月伶</t>
  </si>
  <si>
    <r>
      <rPr>
        <sz val="10"/>
        <color rgb="FF1F2A28"/>
        <rFont val="WenQuanYi Zen Hei"/>
        <family val="2"/>
      </rPr>
      <t xml:space="preserve">臺南市私立</t>
    </r>
    <r>
      <rPr>
        <sz val="10"/>
        <color rgb="FF1F2A28"/>
        <rFont val="Arial"/>
        <family val="0"/>
        <charset val="1"/>
      </rPr>
      <t xml:space="preserve">MY</t>
    </r>
    <r>
      <rPr>
        <sz val="10"/>
        <color rgb="FF1F2A28"/>
        <rFont val="WenQuanYi Zen Hei"/>
        <family val="2"/>
      </rPr>
      <t xml:space="preserve">外語短期補習班</t>
    </r>
  </si>
  <si>
    <r>
      <rPr>
        <sz val="10"/>
        <color rgb="FF1F2A28"/>
        <rFont val="WenQuanYi Zen Hei"/>
        <family val="2"/>
      </rPr>
      <t xml:space="preserve">新市區中正路</t>
    </r>
    <r>
      <rPr>
        <sz val="10"/>
        <color rgb="FF1F2A28"/>
        <rFont val="Arial"/>
        <family val="0"/>
        <charset val="1"/>
      </rPr>
      <t xml:space="preserve">106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</si>
  <si>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(06)5897988</t>
  </si>
  <si>
    <t xml:space="preserve">myflmanager@gmail.com</t>
  </si>
  <si>
    <t xml:space="preserve">2009-05-19</t>
  </si>
  <si>
    <t xml:space="preserve">邱民叡</t>
  </si>
  <si>
    <t xml:space="preserve">臺南市私立凱琳文理短期補習班</t>
  </si>
  <si>
    <r>
      <rPr>
        <sz val="10"/>
        <color rgb="FF1F2A28"/>
        <rFont val="WenQuanYi Zen Hei"/>
        <family val="2"/>
      </rPr>
      <t xml:space="preserve">新市區光華街</t>
    </r>
    <r>
      <rPr>
        <sz val="10"/>
        <color rgb="FF1F2A28"/>
        <rFont val="Arial"/>
        <family val="0"/>
        <charset val="1"/>
      </rPr>
      <t xml:space="preserve">105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</si>
  <si>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(06)5890992</t>
  </si>
  <si>
    <t xml:space="preserve">leayen@gmail.com</t>
  </si>
  <si>
    <t xml:space="preserve">2008-07-17</t>
  </si>
  <si>
    <t xml:space="preserve">嚴翊綺</t>
  </si>
  <si>
    <t xml:space="preserve">黃吉慶</t>
  </si>
  <si>
    <t xml:space="preserve">臺南市私立愛丁堡語文短期補習班</t>
  </si>
  <si>
    <r>
      <rPr>
        <sz val="10"/>
        <color rgb="FF1F2A28"/>
        <rFont val="WenQuanYi Zen Hei"/>
        <family val="2"/>
      </rPr>
      <t xml:space="preserve">新市區南港街</t>
    </r>
    <r>
      <rPr>
        <sz val="10"/>
        <color rgb="FF1F2A28"/>
        <rFont val="Arial"/>
        <family val="0"/>
        <charset val="1"/>
      </rPr>
      <t xml:space="preserve">129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</si>
  <si>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(06)5013413</t>
  </si>
  <si>
    <t xml:space="preserve">hapohapo107@gmail.com</t>
  </si>
  <si>
    <t xml:space="preserve">2006-03-07</t>
  </si>
  <si>
    <t xml:space="preserve">蔡千惠</t>
  </si>
  <si>
    <t xml:space="preserve">臺南市私立育聖美語短期補習班</t>
  </si>
  <si>
    <r>
      <rPr>
        <sz val="10"/>
        <color rgb="FF1F2A28"/>
        <rFont val="WenQuanYi Zen Hei"/>
        <family val="2"/>
      </rPr>
      <t xml:space="preserve">新市區光華街</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</si>
  <si>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(06)5014727</t>
  </si>
  <si>
    <t xml:space="preserve">傅紹翔</t>
  </si>
  <si>
    <t xml:space="preserve">臺南市私立莘蒂英文短期補習班</t>
  </si>
  <si>
    <r>
      <rPr>
        <sz val="10"/>
        <color rgb="FF1F2A28"/>
        <rFont val="WenQuanYi Zen Hei"/>
        <family val="2"/>
      </rPr>
      <t xml:space="preserve">新市區光華街</t>
    </r>
    <r>
      <rPr>
        <sz val="10"/>
        <color rgb="FF1F2A28"/>
        <rFont val="Arial"/>
        <family val="0"/>
        <charset val="1"/>
      </rPr>
      <t xml:space="preserve">181-2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</si>
  <si>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(06)5993795</t>
  </si>
  <si>
    <t xml:space="preserve">2005-12-27</t>
  </si>
  <si>
    <t xml:space="preserve">蔡碧娟</t>
  </si>
  <si>
    <t xml:space="preserve">臺南市私立超越文理短期補習班</t>
  </si>
  <si>
    <r>
      <rPr>
        <sz val="10"/>
        <color rgb="FF1F2A28"/>
        <rFont val="WenQuanYi Zen Hei"/>
        <family val="2"/>
      </rPr>
      <t xml:space="preserve">新市區忠孝街</t>
    </r>
    <r>
      <rPr>
        <sz val="10"/>
        <color rgb="FF1F2A28"/>
        <rFont val="Arial"/>
        <family val="0"/>
        <charset val="1"/>
      </rPr>
      <t xml:space="preserve">154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</si>
  <si>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(06)5011731</t>
  </si>
  <si>
    <t xml:space="preserve">吳鬚桃</t>
  </si>
  <si>
    <t xml:space="preserve">葉翰庭</t>
  </si>
  <si>
    <t xml:space="preserve">臺南市私立麥迪兒文理短期補習班</t>
  </si>
  <si>
    <r>
      <rPr>
        <sz val="10"/>
        <color rgb="FF1F2A28"/>
        <rFont val="WenQuanYi Zen Hei"/>
        <family val="2"/>
      </rPr>
      <t xml:space="preserve">新市區大順三路</t>
    </r>
    <r>
      <rPr>
        <sz val="10"/>
        <color rgb="FF1F2A28"/>
        <rFont val="Arial"/>
        <family val="0"/>
        <charset val="1"/>
      </rPr>
      <t xml:space="preserve">125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</si>
  <si>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(06)5053586</t>
  </si>
  <si>
    <t xml:space="preserve">nanke.tn@eagletw.com</t>
  </si>
  <si>
    <t xml:space="preserve">陳彩新</t>
  </si>
  <si>
    <t xml:space="preserve">張媖婷</t>
  </si>
  <si>
    <t xml:space="preserve">新營區</t>
  </si>
  <si>
    <t xml:space="preserve">臺南市私立培育文理短期補習班新營分班</t>
  </si>
  <si>
    <r>
      <rPr>
        <sz val="10"/>
        <color rgb="FF1F2A28"/>
        <rFont val="WenQuanYi Zen Hei"/>
        <family val="2"/>
      </rPr>
      <t xml:space="preserve">新營區新進路一段</t>
    </r>
    <r>
      <rPr>
        <sz val="10"/>
        <color rgb="FF1F2A28"/>
        <rFont val="Arial"/>
        <family val="0"/>
        <charset val="1"/>
      </rPr>
      <t xml:space="preserve">230-3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</si>
  <si>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(06)6330102</t>
  </si>
  <si>
    <t xml:space="preserve">zije0814@gmail.com</t>
  </si>
  <si>
    <t xml:space="preserve">2002-12-30</t>
  </si>
  <si>
    <t xml:space="preserve">蔡欣蓓</t>
  </si>
  <si>
    <t xml:space="preserve">臺南市私立成果文理短期補習班</t>
  </si>
  <si>
    <r>
      <rPr>
        <sz val="10"/>
        <color rgb="FF1F2A28"/>
        <rFont val="WenQuanYi Zen Hei"/>
        <family val="2"/>
      </rPr>
      <t xml:space="preserve">新營區三民路</t>
    </r>
    <r>
      <rPr>
        <sz val="10"/>
        <color rgb="FF1F2A28"/>
        <rFont val="Arial"/>
        <family val="0"/>
        <charset val="1"/>
      </rPr>
      <t xml:space="preserve">72</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</si>
  <si>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(06)6325685</t>
  </si>
  <si>
    <t xml:space="preserve">2018-12-10</t>
  </si>
  <si>
    <t xml:space="preserve">羅梅香</t>
  </si>
  <si>
    <t xml:space="preserve">臺南市私立新格蘭英語短期補習班</t>
  </si>
  <si>
    <r>
      <rPr>
        <sz val="10"/>
        <color rgb="FF1F2A28"/>
        <rFont val="WenQuanYi Zen Hei"/>
        <family val="2"/>
      </rPr>
      <t xml:space="preserve">新營區民治路</t>
    </r>
    <r>
      <rPr>
        <sz val="10"/>
        <color rgb="FF1F2A28"/>
        <rFont val="Arial"/>
        <family val="0"/>
        <charset val="1"/>
      </rPr>
      <t xml:space="preserve">185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</si>
  <si>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(06)6592258</t>
  </si>
  <si>
    <t xml:space="preserve">chl6592258@gmail.com</t>
  </si>
  <si>
    <t xml:space="preserve">姜金堂</t>
  </si>
  <si>
    <t xml:space="preserve">郭中明</t>
  </si>
  <si>
    <t xml:space="preserve">臺南市私立皇品文理短期補習班</t>
  </si>
  <si>
    <r>
      <rPr>
        <sz val="10"/>
        <color rgb="FF1F2A28"/>
        <rFont val="WenQuanYi Zen Hei"/>
        <family val="2"/>
      </rPr>
      <t xml:space="preserve">新營區中正路</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</si>
  <si>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(06)6325777</t>
  </si>
  <si>
    <t xml:space="preserve">shanetn2@gmail.com</t>
  </si>
  <si>
    <t xml:space="preserve">2002-03-20</t>
  </si>
  <si>
    <t xml:space="preserve">張淑玲</t>
  </si>
  <si>
    <t xml:space="preserve">李怡萩</t>
  </si>
  <si>
    <t xml:space="preserve">臺南市私立育林英語會話短期補習班</t>
  </si>
  <si>
    <r>
      <rPr>
        <sz val="10"/>
        <color rgb="FF1F2A28"/>
        <rFont val="WenQuanYi Zen Hei"/>
        <family val="2"/>
      </rPr>
      <t xml:space="preserve">新營區嘉芳街</t>
    </r>
    <r>
      <rPr>
        <sz val="10"/>
        <color rgb="FF1F2A28"/>
        <rFont val="Arial"/>
        <family val="0"/>
        <charset val="1"/>
      </rPr>
      <t xml:space="preserve">129</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</si>
  <si>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(06)6530147</t>
  </si>
  <si>
    <t xml:space="preserve">glantmoore@gmail.com</t>
  </si>
  <si>
    <t xml:space="preserve">1997-03-10</t>
  </si>
  <si>
    <t xml:space="preserve">劉秀敏</t>
  </si>
  <si>
    <t xml:space="preserve">臺南市私立蘭欣英語短期補習班</t>
  </si>
  <si>
    <r>
      <rPr>
        <sz val="10"/>
        <color rgb="FF1F2A28"/>
        <rFont val="WenQuanYi Zen Hei"/>
        <family val="2"/>
      </rPr>
      <t xml:space="preserve">新營區中正路</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</si>
  <si>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(06)6333099</t>
  </si>
  <si>
    <t xml:space="preserve">2003-07-16</t>
  </si>
  <si>
    <t xml:space="preserve">鄭立欣</t>
  </si>
  <si>
    <t xml:space="preserve">臺南市私立閱大語文短期補習班</t>
  </si>
  <si>
    <r>
      <rPr>
        <sz val="10"/>
        <color rgb="FF1F2A28"/>
        <rFont val="WenQuanYi Zen Hei"/>
        <family val="2"/>
      </rPr>
      <t xml:space="preserve">新營區東興路</t>
    </r>
    <r>
      <rPr>
        <sz val="10"/>
        <color rgb="FF1F2A28"/>
        <rFont val="Arial"/>
        <family val="0"/>
        <charset val="1"/>
      </rPr>
      <t xml:space="preserve">199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</si>
  <si>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(06)6376905</t>
  </si>
  <si>
    <t xml:space="preserve">hideanchang@yahoo.com.tw</t>
  </si>
  <si>
    <t xml:space="preserve">張建豐</t>
  </si>
  <si>
    <t xml:space="preserve">中國青年救國團附設臺南市私立文理技藝短期補習班崇德分班</t>
  </si>
  <si>
    <r>
      <rPr>
        <sz val="10"/>
        <color rgb="FF1F2A28"/>
        <rFont val="WenQuanYi Zen Hei"/>
        <family val="2"/>
      </rPr>
      <t xml:space="preserve">東區崇德路</t>
    </r>
    <r>
      <rPr>
        <sz val="10"/>
        <color rgb="FF1F2A28"/>
        <rFont val="Arial"/>
        <family val="0"/>
        <charset val="1"/>
      </rPr>
      <t xml:space="preserve">62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</si>
  <si>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(06)2678039</t>
  </si>
  <si>
    <t xml:space="preserve">870906@cyc.tw</t>
  </si>
  <si>
    <t xml:space="preserve">2013-01-25</t>
  </si>
  <si>
    <t xml:space="preserve">林雅仁</t>
  </si>
  <si>
    <t xml:space="preserve">何嘉仁文教事業股份有限公司附設臺南市私立崇學文理短期補習班</t>
  </si>
  <si>
    <r>
      <rPr>
        <sz val="10"/>
        <color rgb="FF1F2A28"/>
        <rFont val="WenQuanYi Zen Hei"/>
        <family val="2"/>
      </rPr>
      <t xml:space="preserve">東區崇學路</t>
    </r>
    <r>
      <rPr>
        <sz val="10"/>
        <color rgb="FF1F2A28"/>
        <rFont val="Arial"/>
        <family val="0"/>
        <charset val="1"/>
      </rPr>
      <t xml:space="preserve">197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</si>
  <si>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(06)2908728</t>
  </si>
  <si>
    <t xml:space="preserve">hs3441@hess.com.tw</t>
  </si>
  <si>
    <t xml:space="preserve">盧郁芳</t>
  </si>
  <si>
    <t xml:space="preserve">地球村出版有限公司附設臺南市私立東門地球村美日語短期補習班</t>
  </si>
  <si>
    <r>
      <rPr>
        <sz val="10"/>
        <color rgb="FF1F2A28"/>
        <rFont val="WenQuanYi Zen Hei"/>
        <family val="2"/>
      </rPr>
      <t xml:space="preserve">東區東門路一段</t>
    </r>
    <r>
      <rPr>
        <sz val="10"/>
        <color rgb="FF1F2A28"/>
        <rFont val="Arial"/>
        <family val="0"/>
        <charset val="1"/>
      </rPr>
      <t xml:space="preserve">231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</si>
  <si>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(06)2751986</t>
  </si>
  <si>
    <t xml:space="preserve">2000-08-11</t>
  </si>
  <si>
    <t xml:space="preserve">方櫻蓁</t>
  </si>
  <si>
    <t xml:space="preserve">大必佳國際文教科技股份有限公司附設臺南市私立大必佳文理短期補習班</t>
  </si>
  <si>
    <r>
      <rPr>
        <sz val="10"/>
        <color rgb="FF1F2A28"/>
        <rFont val="WenQuanYi Zen Hei"/>
        <family val="2"/>
      </rPr>
      <t xml:space="preserve">東區長榮路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</si>
  <si>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(06)2741681</t>
  </si>
  <si>
    <t xml:space="preserve">jasminelee@dbgedu.com</t>
  </si>
  <si>
    <t xml:space="preserve">毛振平</t>
  </si>
  <si>
    <t xml:space="preserve">林佳芸</t>
  </si>
  <si>
    <t xml:space="preserve">威爾森文教事業股份有限公司附設臺南市私立威爾森文理短期補習班</t>
  </si>
  <si>
    <r>
      <rPr>
        <sz val="10"/>
        <color rgb="FF1F2A28"/>
        <rFont val="WenQuanYi Zen Hei"/>
        <family val="2"/>
      </rPr>
      <t xml:space="preserve">東區崇明路</t>
    </r>
    <r>
      <rPr>
        <sz val="10"/>
        <color rgb="FF1F2A28"/>
        <rFont val="Arial"/>
        <family val="0"/>
        <charset val="1"/>
      </rPr>
      <t xml:space="preserve">968</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r>
      <rPr>
        <sz val="10"/>
        <color rgb="FF1F2A28"/>
        <rFont val="Arial"/>
        <family val="0"/>
        <charset val="1"/>
      </rPr>
      <t xml:space="preserve">970</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</si>
  <si>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(06)2685099</t>
  </si>
  <si>
    <t xml:space="preserve">l16004046@gmail.com</t>
  </si>
  <si>
    <t xml:space="preserve">2010-08-19</t>
  </si>
  <si>
    <t xml:space="preserve">朱亞豪</t>
  </si>
  <si>
    <t xml:space="preserve">學必佳教育股份有限公司附設臺南市私立學必佳文理短期補習班</t>
  </si>
  <si>
    <r>
      <rPr>
        <sz val="10"/>
        <color rgb="FF1F2A28"/>
        <rFont val="WenQuanYi Zen Hei"/>
        <family val="2"/>
      </rPr>
      <t xml:space="preserve">東區崇善路</t>
    </r>
    <r>
      <rPr>
        <sz val="10"/>
        <color rgb="FF1F2A28"/>
        <rFont val="Arial"/>
        <family val="0"/>
        <charset val="1"/>
      </rPr>
      <t xml:space="preserve">199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</si>
  <si>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(06)2677378</t>
  </si>
  <si>
    <t xml:space="preserve">2021-09-22</t>
  </si>
  <si>
    <t xml:space="preserve">盧宥君</t>
  </si>
  <si>
    <r>
      <rPr>
        <sz val="10"/>
        <color rgb="FF1F2A28"/>
        <rFont val="WenQuanYi Zen Hei"/>
        <family val="2"/>
      </rPr>
      <t xml:space="preserve">臺南市私立</t>
    </r>
    <r>
      <rPr>
        <sz val="10"/>
        <color rgb="FF1F2A28"/>
        <rFont val="Arial"/>
        <family val="0"/>
        <charset val="1"/>
      </rPr>
      <t xml:space="preserve">ABC</t>
    </r>
    <r>
      <rPr>
        <sz val="10"/>
        <color rgb="FF1F2A28"/>
        <rFont val="WenQuanYi Zen Hei"/>
        <family val="2"/>
      </rPr>
      <t xml:space="preserve">英語短期補習班</t>
    </r>
  </si>
  <si>
    <r>
      <rPr>
        <sz val="10"/>
        <color rgb="FF1F2A28"/>
        <rFont val="WenQuanYi Zen Hei"/>
        <family val="2"/>
      </rPr>
      <t xml:space="preserve">東區崇明路</t>
    </r>
    <r>
      <rPr>
        <sz val="10"/>
        <color rgb="FF1F2A28"/>
        <rFont val="Arial"/>
        <family val="0"/>
        <charset val="1"/>
      </rPr>
      <t xml:space="preserve">535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</si>
  <si>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(06)2673313</t>
  </si>
  <si>
    <t xml:space="preserve">abc2673313@yahoo.com.tw</t>
  </si>
  <si>
    <t xml:space="preserve">姚泉宏</t>
  </si>
  <si>
    <t xml:space="preserve">姚淑惠</t>
  </si>
  <si>
    <t xml:space="preserve">臺南市私立五色鳥文理短期補習班</t>
  </si>
  <si>
    <r>
      <rPr>
        <sz val="10"/>
        <color rgb="FF1F2A28"/>
        <rFont val="WenQuanYi Zen Hei"/>
        <family val="2"/>
      </rPr>
      <t xml:space="preserve">東區自由路三段</t>
    </r>
    <r>
      <rPr>
        <sz val="10"/>
        <color rgb="FF1F2A28"/>
        <rFont val="Arial"/>
        <family val="0"/>
        <charset val="1"/>
      </rPr>
      <t xml:space="preserve">316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</si>
  <si>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(06)2884892</t>
  </si>
  <si>
    <t xml:space="preserve">曾君婷</t>
  </si>
  <si>
    <t xml:space="preserve">臺南市私立伊哥文理短期補習班</t>
  </si>
  <si>
    <r>
      <rPr>
        <sz val="10"/>
        <color rgb="FF1F2A28"/>
        <rFont val="WenQuanYi Zen Hei"/>
        <family val="2"/>
      </rPr>
      <t xml:space="preserve">東區崇學路</t>
    </r>
    <r>
      <rPr>
        <sz val="10"/>
        <color rgb="FF1F2A28"/>
        <rFont val="Arial"/>
        <family val="0"/>
        <charset val="1"/>
      </rPr>
      <t xml:space="preserve">169</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</si>
  <si>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(06)2603818</t>
  </si>
  <si>
    <t xml:space="preserve">2008-07-08</t>
  </si>
  <si>
    <t xml:space="preserve">莊慧貞</t>
  </si>
  <si>
    <t xml:space="preserve">鍾昕璇</t>
  </si>
  <si>
    <t xml:space="preserve">臺南市私立伯倫美語短期補習班</t>
  </si>
  <si>
    <r>
      <rPr>
        <sz val="10"/>
        <color rgb="FF1F2A28"/>
        <rFont val="WenQuanYi Zen Hei"/>
        <family val="2"/>
      </rPr>
      <t xml:space="preserve">東區裕農</t>
    </r>
    <r>
      <rPr>
        <sz val="10"/>
        <color rgb="FF1F2A28"/>
        <rFont val="Arial"/>
        <family val="0"/>
        <charset val="1"/>
      </rPr>
      <t xml:space="preserve">3</t>
    </r>
    <r>
      <rPr>
        <sz val="10"/>
        <color rgb="FF1F2A28"/>
        <rFont val="WenQuanYi Zen Hei"/>
        <family val="2"/>
      </rPr>
      <t xml:space="preserve">街</t>
    </r>
    <r>
      <rPr>
        <sz val="10"/>
        <color rgb="FF1F2A28"/>
        <rFont val="Arial"/>
        <family val="0"/>
        <charset val="1"/>
      </rPr>
      <t xml:space="preserve">225</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</si>
  <si>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(06)3313532</t>
  </si>
  <si>
    <t xml:space="preserve">2006-06-28</t>
  </si>
  <si>
    <t xml:space="preserve">梁秉雯</t>
  </si>
  <si>
    <t xml:space="preserve">臺南市私立優力美文理短期補習班</t>
  </si>
  <si>
    <r>
      <rPr>
        <sz val="10"/>
        <color rgb="FF1F2A28"/>
        <rFont val="WenQuanYi Zen Hei"/>
        <family val="2"/>
      </rPr>
      <t xml:space="preserve">東區崇學路</t>
    </r>
    <r>
      <rPr>
        <sz val="10"/>
        <color rgb="FF1F2A28"/>
        <rFont val="Arial"/>
        <family val="0"/>
        <charset val="1"/>
      </rPr>
      <t xml:space="preserve">105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</si>
  <si>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(06)2601530</t>
  </si>
  <si>
    <t xml:space="preserve">navyvincent@gmail.com</t>
  </si>
  <si>
    <t xml:space="preserve">2021-07-15</t>
  </si>
  <si>
    <t xml:space="preserve">黃敏富</t>
  </si>
  <si>
    <t xml:space="preserve">臺南市私立元喬美語短期補習班</t>
  </si>
  <si>
    <r>
      <rPr>
        <sz val="10"/>
        <color rgb="FF1F2A28"/>
        <rFont val="WenQuanYi Zen Hei"/>
        <family val="2"/>
      </rPr>
      <t xml:space="preserve">東區裕興街</t>
    </r>
    <r>
      <rPr>
        <sz val="10"/>
        <color rgb="FF1F2A28"/>
        <rFont val="Arial"/>
        <family val="0"/>
        <charset val="1"/>
      </rPr>
      <t xml:space="preserve">197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</si>
  <si>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(06)3312017</t>
  </si>
  <si>
    <t xml:space="preserve">jocelynrhsiao@gmail.com</t>
  </si>
  <si>
    <t xml:space="preserve">1999-12-07</t>
  </si>
  <si>
    <t xml:space="preserve">劉繼文</t>
  </si>
  <si>
    <t xml:space="preserve">臺南市私立元喬美語短期補習班崇明分班</t>
  </si>
  <si>
    <r>
      <rPr>
        <sz val="10"/>
        <color rgb="FF1F2A28"/>
        <rFont val="WenQuanYi Zen Hei"/>
        <family val="2"/>
      </rPr>
      <t xml:space="preserve">東區崇明</t>
    </r>
    <r>
      <rPr>
        <sz val="10"/>
        <color rgb="FF1F2A28"/>
        <rFont val="Arial"/>
        <family val="0"/>
        <charset val="1"/>
      </rPr>
      <t xml:space="preserve">17</t>
    </r>
    <r>
      <rPr>
        <sz val="10"/>
        <color rgb="FF1F2A28"/>
        <rFont val="WenQuanYi Zen Hei"/>
        <family val="2"/>
      </rPr>
      <t xml:space="preserve">街</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</si>
  <si>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(06)2675507</t>
  </si>
  <si>
    <t xml:space="preserve">2001-03-02</t>
  </si>
  <si>
    <t xml:space="preserve">郭睿誼</t>
  </si>
  <si>
    <t xml:space="preserve">臺南市私立凱斯文理短期補習班</t>
  </si>
  <si>
    <r>
      <rPr>
        <sz val="10"/>
        <color rgb="FF1F2A28"/>
        <rFont val="WenQuanYi Zen Hei"/>
        <family val="2"/>
      </rPr>
      <t xml:space="preserve">東區怡東路</t>
    </r>
    <r>
      <rPr>
        <sz val="10"/>
        <color rgb="FF1F2A28"/>
        <rFont val="Arial"/>
        <family val="0"/>
        <charset val="1"/>
      </rPr>
      <t xml:space="preserve">51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</si>
  <si>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(06)2375830</t>
  </si>
  <si>
    <t xml:space="preserve">classtime.yidung@gmail.com</t>
  </si>
  <si>
    <t xml:space="preserve">李文聖</t>
  </si>
  <si>
    <t xml:space="preserve">臺南市私立喬治亞美語短期補習班</t>
  </si>
  <si>
    <r>
      <rPr>
        <sz val="10"/>
        <color rgb="FF1F2A28"/>
        <rFont val="WenQuanYi Zen Hei"/>
        <family val="2"/>
      </rPr>
      <t xml:space="preserve">東區東興路</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93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</si>
  <si>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(06)2095919</t>
  </si>
  <si>
    <t xml:space="preserve">superme396@livemail.tw</t>
  </si>
  <si>
    <t xml:space="preserve">1999-01-06</t>
  </si>
  <si>
    <t xml:space="preserve">楊偲瑩</t>
  </si>
  <si>
    <t xml:space="preserve">臺南市私立喬登美語短期補習班</t>
  </si>
  <si>
    <r>
      <rPr>
        <sz val="10"/>
        <color rgb="FF1F2A28"/>
        <rFont val="WenQuanYi Zen Hei"/>
        <family val="2"/>
      </rPr>
      <t xml:space="preserve">東區中華東路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357</t>
    </r>
    <r>
      <rPr>
        <sz val="10"/>
        <color rgb="FF1F2A28"/>
        <rFont val="WenQuanYi Zen Hei"/>
        <family val="2"/>
      </rPr>
      <t xml:space="preserve">巷</t>
    </r>
    <r>
      <rPr>
        <sz val="10"/>
        <color rgb="FF1F2A28"/>
        <rFont val="Arial"/>
        <family val="0"/>
        <charset val="1"/>
      </rPr>
      <t xml:space="preserve">127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</si>
  <si>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(06)2675058</t>
  </si>
  <si>
    <t xml:space="preserve">jeremy120806@gmail.com</t>
  </si>
  <si>
    <t xml:space="preserve">潘玲之</t>
  </si>
  <si>
    <t xml:space="preserve">臺南市私立嘉宏文理短期補習班</t>
  </si>
  <si>
    <r>
      <rPr>
        <sz val="10"/>
        <color rgb="FF1F2A28"/>
        <rFont val="WenQuanYi Zen Hei"/>
        <family val="2"/>
      </rPr>
      <t xml:space="preserve">東區裕農三街</t>
    </r>
    <r>
      <rPr>
        <sz val="10"/>
        <color rgb="FF1F2A28"/>
        <rFont val="Arial"/>
        <family val="0"/>
        <charset val="1"/>
      </rPr>
      <t xml:space="preserve">219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</si>
  <si>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(06)3319009</t>
  </si>
  <si>
    <t xml:space="preserve">hs2168@hess.com.tw</t>
  </si>
  <si>
    <t xml:space="preserve">吳芸如</t>
  </si>
  <si>
    <t xml:space="preserve">臺南市私立奧森英語短期補習班</t>
  </si>
  <si>
    <r>
      <rPr>
        <sz val="10"/>
        <color rgb="FF1F2A28"/>
        <rFont val="WenQuanYi Zen Hei"/>
        <family val="2"/>
      </rPr>
      <t xml:space="preserve">東區崇道路</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</si>
  <si>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(06)2899363</t>
  </si>
  <si>
    <t xml:space="preserve">jen941211@gmail.com</t>
  </si>
  <si>
    <t xml:space="preserve">2011-05-05</t>
  </si>
  <si>
    <t xml:space="preserve">游守任</t>
  </si>
  <si>
    <t xml:space="preserve">湯婉萱</t>
  </si>
  <si>
    <t xml:space="preserve">臺南市私立威斯樂美語短期補習班</t>
  </si>
  <si>
    <r>
      <rPr>
        <sz val="10"/>
        <color rgb="FF1F2A28"/>
        <rFont val="WenQuanYi Zen Hei"/>
        <family val="2"/>
      </rPr>
      <t xml:space="preserve">東區裕文路</t>
    </r>
    <r>
      <rPr>
        <sz val="10"/>
        <color rgb="FF1F2A28"/>
        <rFont val="Arial"/>
        <family val="0"/>
        <charset val="1"/>
      </rPr>
      <t xml:space="preserve">107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</si>
  <si>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(06)3318136</t>
  </si>
  <si>
    <t xml:space="preserve">wes20210101@gmail.com</t>
  </si>
  <si>
    <t xml:space="preserve">林軒輊</t>
  </si>
  <si>
    <t xml:space="preserve">臺南市私立學園英日語心算文理短期補習班</t>
  </si>
  <si>
    <r>
      <rPr>
        <sz val="10"/>
        <color rgb="FF1F2A28"/>
        <rFont val="WenQuanYi Zen Hei"/>
        <family val="2"/>
      </rPr>
      <t xml:space="preserve">東區長榮路二段</t>
    </r>
    <r>
      <rPr>
        <sz val="10"/>
        <color rgb="FF1F2A28"/>
        <rFont val="Arial"/>
        <family val="0"/>
        <charset val="1"/>
      </rPr>
      <t xml:space="preserve">166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</si>
  <si>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(06)2364707</t>
  </si>
  <si>
    <t xml:space="preserve">1991-05-21</t>
  </si>
  <si>
    <t xml:space="preserve">張淑瑛</t>
  </si>
  <si>
    <t xml:space="preserve">臺南市私立學學文理短期補習班</t>
  </si>
  <si>
    <r>
      <rPr>
        <sz val="10"/>
        <color rgb="FF1F2A28"/>
        <rFont val="WenQuanYi Zen Hei"/>
        <family val="2"/>
      </rPr>
      <t xml:space="preserve">東區裕文路</t>
    </r>
    <r>
      <rPr>
        <sz val="10"/>
        <color rgb="FF1F2A28"/>
        <rFont val="Arial"/>
        <family val="0"/>
        <charset val="1"/>
      </rPr>
      <t xml:space="preserve">183</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</si>
  <si>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(06)3318183 3312255</t>
  </si>
  <si>
    <t xml:space="preserve">sw183fs@gmail.com</t>
  </si>
  <si>
    <t xml:space="preserve">林煒舜</t>
  </si>
  <si>
    <t xml:space="preserve">林昱成</t>
  </si>
  <si>
    <t xml:space="preserve">臺南市私立安德魯美語短期補習班</t>
  </si>
  <si>
    <r>
      <rPr>
        <sz val="10"/>
        <color rgb="FF1F2A28"/>
        <rFont val="WenQuanYi Zen Hei"/>
        <family val="2"/>
      </rPr>
      <t xml:space="preserve">東區崇善路</t>
    </r>
    <r>
      <rPr>
        <sz val="10"/>
        <color rgb="FF1F2A28"/>
        <rFont val="Arial"/>
        <family val="0"/>
        <charset val="1"/>
      </rPr>
      <t xml:space="preserve">535</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</si>
  <si>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(06)2909758</t>
  </si>
  <si>
    <t xml:space="preserve">洪冬梅</t>
  </si>
  <si>
    <t xml:space="preserve">陳苡汝</t>
  </si>
  <si>
    <t xml:space="preserve">臺南市私立小台大美語短期補習班</t>
  </si>
  <si>
    <r>
      <rPr>
        <sz val="10"/>
        <color rgb="FF1F2A28"/>
        <rFont val="WenQuanYi Zen Hei"/>
        <family val="2"/>
      </rPr>
      <t xml:space="preserve">東區崇道路</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</si>
  <si>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(06)3356290</t>
  </si>
  <si>
    <t xml:space="preserve">tp20040322@yahoo.com.tw</t>
  </si>
  <si>
    <t xml:space="preserve">許僑修</t>
  </si>
  <si>
    <t xml:space="preserve">吳麗玉</t>
  </si>
  <si>
    <t xml:space="preserve">臺南市私立康橋英日語會話短期補習班</t>
  </si>
  <si>
    <r>
      <rPr>
        <sz val="10"/>
        <color rgb="FF1F2A28"/>
        <rFont val="WenQuanYi Zen Hei"/>
        <family val="2"/>
      </rPr>
      <t xml:space="preserve">東區大學路西段</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</si>
  <si>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(06)2362799</t>
  </si>
  <si>
    <t xml:space="preserve">cmb@ms1.hinet.net</t>
  </si>
  <si>
    <t xml:space="preserve">1981-12-01</t>
  </si>
  <si>
    <t xml:space="preserve">蘇啟榮</t>
  </si>
  <si>
    <t xml:space="preserve">臺南市私立懷恩美語短期補習班</t>
  </si>
  <si>
    <r>
      <rPr>
        <sz val="10"/>
        <color rgb="FF1F2A28"/>
        <rFont val="WenQuanYi Zen Hei"/>
        <family val="2"/>
      </rPr>
      <t xml:space="preserve">東區懷恩街</t>
    </r>
    <r>
      <rPr>
        <sz val="10"/>
        <color rgb="FF1F2A28"/>
        <rFont val="Arial"/>
        <family val="0"/>
        <charset val="1"/>
      </rPr>
      <t xml:space="preserve">40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</si>
  <si>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(06)2365866</t>
  </si>
  <si>
    <t xml:space="preserve">cocoyin.1010@gmail.com</t>
  </si>
  <si>
    <t xml:space="preserve">1998-05-26</t>
  </si>
  <si>
    <t xml:space="preserve">尹黃阿純</t>
  </si>
  <si>
    <t xml:space="preserve">尹璧玲</t>
  </si>
  <si>
    <t xml:space="preserve">臺南市私立捷勝文理短期補習班</t>
  </si>
  <si>
    <r>
      <rPr>
        <sz val="10"/>
        <color rgb="FF1F2A28"/>
        <rFont val="WenQuanYi Zen Hei"/>
        <family val="2"/>
      </rPr>
      <t xml:space="preserve">東區裕文路</t>
    </r>
    <r>
      <rPr>
        <sz val="10"/>
        <color rgb="FF1F2A28"/>
        <rFont val="Arial"/>
        <family val="0"/>
        <charset val="1"/>
      </rPr>
      <t xml:space="preserve">191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</si>
  <si>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(06)3316610</t>
  </si>
  <si>
    <t xml:space="preserve">kmfusing191@gmail.com</t>
  </si>
  <si>
    <t xml:space="preserve">2005-06-10</t>
  </si>
  <si>
    <t xml:space="preserve">易煥民</t>
  </si>
  <si>
    <t xml:space="preserve">曾銀福</t>
  </si>
  <si>
    <t xml:space="preserve">臺南市私立新國際文理短期補習班</t>
  </si>
  <si>
    <r>
      <rPr>
        <sz val="10"/>
        <color rgb="FF1F2A28"/>
        <rFont val="WenQuanYi Zen Hei"/>
        <family val="2"/>
      </rPr>
      <t xml:space="preserve">東區東平路</t>
    </r>
    <r>
      <rPr>
        <sz val="10"/>
        <color rgb="FF1F2A28"/>
        <rFont val="Arial"/>
        <family val="0"/>
        <charset val="1"/>
      </rPr>
      <t xml:space="preserve">106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 、</t>
    </r>
    <r>
      <rPr>
        <sz val="10"/>
        <color rgb="FF1F2A28"/>
        <rFont val="Arial"/>
        <family val="0"/>
        <charset val="1"/>
      </rPr>
      <t xml:space="preserve">108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</si>
  <si>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(06)2355998</t>
  </si>
  <si>
    <t xml:space="preserve">alc@alc.com.tw</t>
  </si>
  <si>
    <t xml:space="preserve">1994-08-09</t>
  </si>
  <si>
    <t xml:space="preserve">吳佩芬</t>
  </si>
  <si>
    <t xml:space="preserve">盧翔鴻</t>
  </si>
  <si>
    <t xml:space="preserve">臺南市私立晨果英文短期補習班</t>
  </si>
  <si>
    <r>
      <rPr>
        <sz val="10"/>
        <color rgb="FF1F2A28"/>
        <rFont val="WenQuanYi Zen Hei"/>
        <family val="2"/>
      </rPr>
      <t xml:space="preserve">東區東光路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121</t>
    </r>
    <r>
      <rPr>
        <sz val="10"/>
        <color rgb="FF1F2A28"/>
        <rFont val="WenQuanYi Zen Hei"/>
        <family val="2"/>
      </rPr>
      <t xml:space="preserve">巷</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</si>
  <si>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(06)2089368</t>
  </si>
  <si>
    <t xml:space="preserve">flower12136@gmail.com</t>
  </si>
  <si>
    <t xml:space="preserve">林鐿臻</t>
  </si>
  <si>
    <t xml:space="preserve">臺南市私立曉太陽英語會話短期補習班</t>
  </si>
  <si>
    <r>
      <rPr>
        <sz val="10"/>
        <color rgb="FF1F2A28"/>
        <rFont val="WenQuanYi Zen Hei"/>
        <family val="2"/>
      </rPr>
      <t xml:space="preserve">東區東興路</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</si>
  <si>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(06)2340228</t>
  </si>
  <si>
    <t xml:space="preserve">linlin.ann779@gmail.com</t>
  </si>
  <si>
    <t xml:space="preserve">林君萍</t>
  </si>
  <si>
    <t xml:space="preserve">林君香</t>
  </si>
  <si>
    <t xml:space="preserve">臺南市私立梁老師英語短期補習班</t>
  </si>
  <si>
    <r>
      <rPr>
        <sz val="10"/>
        <color rgb="FF1F2A28"/>
        <rFont val="WenQuanYi Zen Hei"/>
        <family val="2"/>
      </rPr>
      <t xml:space="preserve">東區崇德十二街</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</si>
  <si>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(06)2691646</t>
  </si>
  <si>
    <t xml:space="preserve">heroshelly2012@gmail.com</t>
  </si>
  <si>
    <t xml:space="preserve">2002-06-17</t>
  </si>
  <si>
    <t xml:space="preserve">梁雪容</t>
  </si>
  <si>
    <t xml:space="preserve">臺南市私立樂貝兒英語會話短期補習班</t>
  </si>
  <si>
    <r>
      <rPr>
        <sz val="10"/>
        <color rgb="FF1F2A28"/>
        <rFont val="WenQuanYi Zen Hei"/>
        <family val="2"/>
      </rPr>
      <t xml:space="preserve">東區東寧路</t>
    </r>
    <r>
      <rPr>
        <sz val="10"/>
        <color rgb="FF1F2A28"/>
        <rFont val="Arial"/>
        <family val="0"/>
        <charset val="1"/>
      </rPr>
      <t xml:space="preserve">518</t>
    </r>
    <r>
      <rPr>
        <sz val="10"/>
        <color rgb="FF1F2A28"/>
        <rFont val="WenQuanYi Zen Hei"/>
        <family val="2"/>
      </rPr>
      <t xml:space="preserve">號</t>
    </r>
    <r>
      <rPr>
        <sz val="10"/>
        <color rgb="FF1F2A28"/>
        <rFont val="Arial"/>
        <family val="0"/>
        <charset val="1"/>
      </rPr>
      <t xml:space="preserve">3-4</t>
    </r>
    <r>
      <rPr>
        <sz val="10"/>
        <color rgb="FF1F2A28"/>
        <rFont val="WenQuanYi Zen Hei"/>
        <family val="2"/>
      </rPr>
      <t xml:space="preserve">樓</t>
    </r>
  </si>
  <si>
    <t xml:space="preserve">(06)2742111</t>
  </si>
  <si>
    <t xml:space="preserve">tns1@abc-school.com.tw</t>
  </si>
  <si>
    <t xml:space="preserve">郭賽華</t>
  </si>
  <si>
    <t xml:space="preserve">謝秀鈴</t>
  </si>
  <si>
    <t xml:space="preserve">臺南市私立橡樹語文短期補習班</t>
  </si>
  <si>
    <r>
      <rPr>
        <sz val="10"/>
        <color rgb="FF1F2A28"/>
        <rFont val="WenQuanYi Zen Hei"/>
        <family val="2"/>
      </rPr>
      <t xml:space="preserve">東區崇明路</t>
    </r>
    <r>
      <rPr>
        <sz val="10"/>
        <color rgb="FF1F2A28"/>
        <rFont val="Arial"/>
        <family val="0"/>
        <charset val="1"/>
      </rPr>
      <t xml:space="preserve">539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</si>
  <si>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(06)2900937</t>
  </si>
  <si>
    <t xml:space="preserve">陳昭樺</t>
  </si>
  <si>
    <t xml:space="preserve">臺南市私立沈博士英文短期補習班</t>
  </si>
  <si>
    <r>
      <rPr>
        <sz val="10"/>
        <color rgb="FF1F2A28"/>
        <rFont val="WenQuanYi Zen Hei"/>
        <family val="2"/>
      </rPr>
      <t xml:space="preserve">東區崇善</t>
    </r>
    <r>
      <rPr>
        <sz val="10"/>
        <color rgb="FF1F2A28"/>
        <rFont val="Arial"/>
        <family val="0"/>
        <charset val="1"/>
      </rPr>
      <t xml:space="preserve">15</t>
    </r>
    <r>
      <rPr>
        <sz val="10"/>
        <color rgb="FF1F2A28"/>
        <rFont val="WenQuanYi Zen Hei"/>
        <family val="2"/>
      </rPr>
      <t xml:space="preserve">街</t>
    </r>
    <r>
      <rPr>
        <sz val="10"/>
        <color rgb="FF1F2A28"/>
        <rFont val="Arial"/>
        <family val="0"/>
        <charset val="1"/>
      </rPr>
      <t xml:space="preserve">33</t>
    </r>
    <r>
      <rPr>
        <sz val="10"/>
        <color rgb="FF1F2A28"/>
        <rFont val="WenQuanYi Zen Hei"/>
        <family val="2"/>
      </rPr>
      <t xml:space="preserve">巷</t>
    </r>
    <r>
      <rPr>
        <sz val="10"/>
        <color rgb="FF1F2A28"/>
        <rFont val="Arial"/>
        <family val="0"/>
        <charset val="1"/>
      </rPr>
      <t xml:space="preserve">66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</si>
  <si>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(06)3356563</t>
  </si>
  <si>
    <t xml:space="preserve">2000-07-13</t>
  </si>
  <si>
    <t xml:space="preserve">沈玲祺</t>
  </si>
  <si>
    <t xml:space="preserve">臺南市私立渥得文理短期補習班</t>
  </si>
  <si>
    <r>
      <rPr>
        <sz val="10"/>
        <color rgb="FF1F2A28"/>
        <rFont val="WenQuanYi Zen Hei"/>
        <family val="2"/>
      </rPr>
      <t xml:space="preserve">東區裕信路</t>
    </r>
    <r>
      <rPr>
        <sz val="10"/>
        <color rgb="FF1F2A28"/>
        <rFont val="Arial"/>
        <family val="0"/>
        <charset val="1"/>
      </rPr>
      <t xml:space="preserve">318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</si>
  <si>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(06)3319157</t>
  </si>
  <si>
    <t xml:space="preserve">2019-05-28</t>
  </si>
  <si>
    <t xml:space="preserve">張庭瑋</t>
  </si>
  <si>
    <t xml:space="preserve">臺南市私立湯姆文理技藝短期補習班</t>
  </si>
  <si>
    <r>
      <rPr>
        <sz val="10"/>
        <color rgb="FF1F2A28"/>
        <rFont val="WenQuanYi Zen Hei"/>
        <family val="2"/>
      </rPr>
      <t xml:space="preserve">東區崇明路</t>
    </r>
    <r>
      <rPr>
        <sz val="10"/>
        <color rgb="FF1F2A28"/>
        <rFont val="Arial"/>
        <family val="0"/>
        <charset val="1"/>
      </rPr>
      <t xml:space="preserve">612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t>
    </r>
    <r>
      <rPr>
        <sz val="10"/>
        <color rgb="FF1F2A28"/>
        <rFont val="Arial"/>
        <family val="0"/>
        <charset val="1"/>
      </rPr>
      <t xml:space="preserve">614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</si>
  <si>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(06)3354955</t>
  </si>
  <si>
    <t xml:space="preserve">candy.wedo@msa.hinet.net</t>
  </si>
  <si>
    <t xml:space="preserve">黃振富</t>
  </si>
  <si>
    <t xml:space="preserve">臺南市私立獅王文理短期補習班</t>
  </si>
  <si>
    <r>
      <rPr>
        <sz val="10"/>
        <color rgb="FF1F2A28"/>
        <rFont val="WenQuanYi Zen Hei"/>
        <family val="2"/>
      </rPr>
      <t xml:space="preserve">東區裕農</t>
    </r>
    <r>
      <rPr>
        <sz val="10"/>
        <color rgb="FF1F2A28"/>
        <rFont val="Arial"/>
        <family val="0"/>
        <charset val="1"/>
      </rPr>
      <t xml:space="preserve">3</t>
    </r>
    <r>
      <rPr>
        <sz val="10"/>
        <color rgb="FF1F2A28"/>
        <rFont val="WenQuanYi Zen Hei"/>
        <family val="2"/>
      </rPr>
      <t xml:space="preserve">街</t>
    </r>
    <r>
      <rPr>
        <sz val="10"/>
        <color rgb="FF1F2A28"/>
        <rFont val="Arial"/>
        <family val="0"/>
        <charset val="1"/>
      </rPr>
      <t xml:space="preserve">211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</si>
  <si>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r>
      <rPr>
        <sz val="10"/>
        <color rgb="FF1F2A28"/>
        <rFont val="Arial"/>
        <family val="0"/>
        <charset val="1"/>
      </rPr>
      <t xml:space="preserve">(06)3311117</t>
    </r>
    <r>
      <rPr>
        <sz val="10"/>
        <color rgb="FF1F2A28"/>
        <rFont val="WenQuanYi Zen Hei"/>
        <family val="2"/>
      </rPr>
      <t xml:space="preserve">、</t>
    </r>
    <r>
      <rPr>
        <sz val="10"/>
        <color rgb="FF1F2A28"/>
        <rFont val="Arial"/>
        <family val="0"/>
        <charset val="1"/>
      </rPr>
      <t xml:space="preserve">3311111</t>
    </r>
  </si>
  <si>
    <t xml:space="preserve">acer200567@gmail.com</t>
  </si>
  <si>
    <t xml:space="preserve">陳明道</t>
  </si>
  <si>
    <t xml:space="preserve">李恬</t>
  </si>
  <si>
    <t xml:space="preserve">臺南市私立種子美語短期補習班</t>
  </si>
  <si>
    <r>
      <rPr>
        <sz val="10"/>
        <color rgb="FF1F2A28"/>
        <rFont val="WenQuanYi Zen Hei"/>
        <family val="2"/>
      </rPr>
      <t xml:space="preserve">東區怡東路</t>
    </r>
    <r>
      <rPr>
        <sz val="10"/>
        <color rgb="FF1F2A28"/>
        <rFont val="Arial"/>
        <family val="0"/>
        <charset val="1"/>
      </rPr>
      <t xml:space="preserve">155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</si>
  <si>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(06)2385038</t>
  </si>
  <si>
    <t xml:space="preserve">myschool@ms9.hinet.net</t>
  </si>
  <si>
    <t xml:space="preserve">董聯伯</t>
  </si>
  <si>
    <t xml:space="preserve">臺南市私立種子美語短期補習班復興分班</t>
  </si>
  <si>
    <r>
      <rPr>
        <sz val="10"/>
        <color rgb="FF1F2A28"/>
        <rFont val="WenQuanYi Zen Hei"/>
        <family val="2"/>
      </rPr>
      <t xml:space="preserve">東區裕文路</t>
    </r>
    <r>
      <rPr>
        <sz val="10"/>
        <color rgb="FF1F2A28"/>
        <rFont val="Arial"/>
        <family val="0"/>
        <charset val="1"/>
      </rPr>
      <t xml:space="preserve">177</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</si>
  <si>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(06)3316310</t>
  </si>
  <si>
    <t xml:space="preserve">兒童美語、成人美語</t>
  </si>
  <si>
    <t xml:space="preserve">臺南市私立綠樹語文短期補習班</t>
  </si>
  <si>
    <r>
      <rPr>
        <sz val="10"/>
        <color rgb="FF1F2A28"/>
        <rFont val="WenQuanYi Zen Hei"/>
        <family val="2"/>
      </rPr>
      <t xml:space="preserve">東區崇明路</t>
    </r>
    <r>
      <rPr>
        <sz val="10"/>
        <color rgb="FF1F2A28"/>
        <rFont val="Arial"/>
        <family val="0"/>
        <charset val="1"/>
      </rPr>
      <t xml:space="preserve">536</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</si>
  <si>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(06)2607600</t>
  </si>
  <si>
    <t xml:space="preserve">greentreeenglish536@gmail.com</t>
  </si>
  <si>
    <t xml:space="preserve">2008-08-20</t>
  </si>
  <si>
    <t xml:space="preserve">黃美鳳</t>
  </si>
  <si>
    <t xml:space="preserve">臺南市私立英王語文短期補習班</t>
  </si>
  <si>
    <r>
      <rPr>
        <sz val="10"/>
        <color rgb="FF1F2A28"/>
        <rFont val="WenQuanYi Zen Hei"/>
        <family val="2"/>
      </rPr>
      <t xml:space="preserve">東區崇明路</t>
    </r>
    <r>
      <rPr>
        <sz val="10"/>
        <color rgb="FF1F2A28"/>
        <rFont val="Arial"/>
        <family val="0"/>
        <charset val="1"/>
      </rPr>
      <t xml:space="preserve">581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</si>
  <si>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(06)2892980</t>
  </si>
  <si>
    <t xml:space="preserve">tn7shane@gmail.com</t>
  </si>
  <si>
    <t xml:space="preserve">2013-04-11</t>
  </si>
  <si>
    <t xml:space="preserve">臺南市私立華聲語文技藝短期補習班崇明分班</t>
  </si>
  <si>
    <r>
      <rPr>
        <sz val="10"/>
        <color rgb="FF1F2A28"/>
        <rFont val="WenQuanYi Zen Hei"/>
        <family val="2"/>
      </rPr>
      <t xml:space="preserve">東區崇明路</t>
    </r>
    <r>
      <rPr>
        <sz val="10"/>
        <color rgb="FF1F2A28"/>
        <rFont val="Arial"/>
        <family val="0"/>
        <charset val="1"/>
      </rPr>
      <t xml:space="preserve">290</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</si>
  <si>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(06)2600268</t>
  </si>
  <si>
    <t xml:space="preserve">2005-06-19</t>
  </si>
  <si>
    <t xml:space="preserve">蔡文章</t>
  </si>
  <si>
    <t xml:space="preserve">臺南市私立菲比文理短期補習班崇善分班</t>
  </si>
  <si>
    <r>
      <rPr>
        <sz val="10"/>
        <color rgb="FF1F2A28"/>
        <rFont val="WenQuanYi Zen Hei"/>
        <family val="2"/>
      </rPr>
      <t xml:space="preserve">東區崇善路</t>
    </r>
    <r>
      <rPr>
        <sz val="10"/>
        <color rgb="FF1F2A28"/>
        <rFont val="Arial"/>
        <family val="0"/>
        <charset val="1"/>
      </rPr>
      <t xml:space="preserve">185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</si>
  <si>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(06)2894188</t>
  </si>
  <si>
    <t xml:space="preserve">kobekhh@yahoo.com.tw</t>
  </si>
  <si>
    <t xml:space="preserve">2012-06-01</t>
  </si>
  <si>
    <t xml:space="preserve">黃元渝</t>
  </si>
  <si>
    <t xml:space="preserve">臺南市私立葳斯康辛美語短期補習班</t>
  </si>
  <si>
    <r>
      <rPr>
        <sz val="10"/>
        <color rgb="FF1F2A28"/>
        <rFont val="WenQuanYi Zen Hei"/>
        <family val="2"/>
      </rPr>
      <t xml:space="preserve">東區崇德七街</t>
    </r>
    <r>
      <rPr>
        <sz val="10"/>
        <color rgb="FF1F2A28"/>
        <rFont val="Arial"/>
        <family val="0"/>
        <charset val="1"/>
      </rPr>
      <t xml:space="preserve">30</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</si>
  <si>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(06)2896616</t>
  </si>
  <si>
    <t xml:space="preserve">wiscschool@outlook.com</t>
  </si>
  <si>
    <t xml:space="preserve">邱翠蓉</t>
  </si>
  <si>
    <t xml:space="preserve">許美文</t>
  </si>
  <si>
    <t xml:space="preserve">臺南市私立詠陽英語短期補習班</t>
  </si>
  <si>
    <r>
      <rPr>
        <sz val="10"/>
        <color rgb="FF1F2A28"/>
        <rFont val="WenQuanYi Zen Hei"/>
        <family val="2"/>
      </rPr>
      <t xml:space="preserve">東區崇明路</t>
    </r>
    <r>
      <rPr>
        <sz val="10"/>
        <color rgb="FF1F2A28"/>
        <rFont val="Arial"/>
        <family val="0"/>
        <charset val="1"/>
      </rPr>
      <t xml:space="preserve">608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</si>
  <si>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(06)2678118</t>
  </si>
  <si>
    <t xml:space="preserve">steve43chia@gmail.com</t>
  </si>
  <si>
    <t xml:space="preserve">2001-06-19</t>
  </si>
  <si>
    <t xml:space="preserve">石慧如</t>
  </si>
  <si>
    <t xml:space="preserve">賈安民</t>
  </si>
  <si>
    <t xml:space="preserve">臺南市私立重點名耀文理短期補習班</t>
  </si>
  <si>
    <r>
      <rPr>
        <sz val="10"/>
        <color rgb="FF1F2A28"/>
        <rFont val="WenQuanYi Zen Hei"/>
        <family val="2"/>
      </rPr>
      <t xml:space="preserve">東區崇善路</t>
    </r>
    <r>
      <rPr>
        <sz val="10"/>
        <color rgb="FF1F2A28"/>
        <rFont val="Arial"/>
        <family val="0"/>
        <charset val="1"/>
      </rPr>
      <t xml:space="preserve">130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樓、崇善路</t>
    </r>
    <r>
      <rPr>
        <sz val="10"/>
        <color rgb="FF1F2A28"/>
        <rFont val="Arial"/>
        <family val="0"/>
        <charset val="1"/>
      </rPr>
      <t xml:space="preserve">132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</si>
  <si>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(06)2605586</t>
  </si>
  <si>
    <t xml:space="preserve">chingweiwangtw@gmail.com</t>
  </si>
  <si>
    <t xml:space="preserve">2004-07-19</t>
  </si>
  <si>
    <t xml:space="preserve">施博傑</t>
  </si>
  <si>
    <t xml:space="preserve">王語璇</t>
  </si>
  <si>
    <t xml:space="preserve">臺南市私立金東光文理短期補習班</t>
  </si>
  <si>
    <r>
      <rPr>
        <sz val="10"/>
        <color rgb="FF1F2A28"/>
        <rFont val="WenQuanYi Zen Hei"/>
        <family val="2"/>
      </rPr>
      <t xml:space="preserve">東區怡東路</t>
    </r>
    <r>
      <rPr>
        <sz val="10"/>
        <color rgb="FF1F2A28"/>
        <rFont val="Arial"/>
        <family val="0"/>
        <charset val="1"/>
      </rPr>
      <t xml:space="preserve">118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</si>
  <si>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(06)2005220</t>
  </si>
  <si>
    <t xml:space="preserve">goldmedals2005220@gmail.com</t>
  </si>
  <si>
    <t xml:space="preserve">黃佳瑜</t>
  </si>
  <si>
    <t xml:space="preserve">莊欣蓓</t>
  </si>
  <si>
    <t xml:space="preserve">臺南市私立錸英英語短期補習班</t>
  </si>
  <si>
    <r>
      <rPr>
        <sz val="10"/>
        <color rgb="FF1F2A28"/>
        <rFont val="WenQuanYi Zen Hei"/>
        <family val="2"/>
      </rPr>
      <t xml:space="preserve">東區崇善路</t>
    </r>
    <r>
      <rPr>
        <sz val="10"/>
        <color rgb="FF1F2A28"/>
        <rFont val="Arial"/>
        <family val="0"/>
        <charset val="1"/>
      </rPr>
      <t xml:space="preserve">233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</si>
  <si>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(06)3351818</t>
  </si>
  <si>
    <t xml:space="preserve">簡蓓毓</t>
  </si>
  <si>
    <t xml:space="preserve">臺南市私立隸英美語短期補習班</t>
  </si>
  <si>
    <r>
      <rPr>
        <sz val="10"/>
        <color rgb="FF1F2A28"/>
        <rFont val="WenQuanYi Zen Hei"/>
        <family val="2"/>
      </rPr>
      <t xml:space="preserve">東區東安路</t>
    </r>
    <r>
      <rPr>
        <sz val="10"/>
        <color rgb="FF1F2A28"/>
        <rFont val="Arial"/>
        <family val="0"/>
        <charset val="1"/>
      </rPr>
      <t xml:space="preserve">270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</si>
  <si>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(06)2002211</t>
  </si>
  <si>
    <t xml:space="preserve">2005-10-07</t>
  </si>
  <si>
    <t xml:space="preserve">黃冰鈺</t>
  </si>
  <si>
    <t xml:space="preserve">臺南市私立雅斯貝互動英語文理短期補習班</t>
  </si>
  <si>
    <r>
      <rPr>
        <sz val="10"/>
        <color rgb="FF1F2A28"/>
        <rFont val="WenQuanYi Zen Hei"/>
        <family val="2"/>
      </rPr>
      <t xml:space="preserve">東區北門路一段</t>
    </r>
    <r>
      <rPr>
        <sz val="10"/>
        <color rgb="FF1F2A28"/>
        <rFont val="Arial"/>
        <family val="0"/>
        <charset val="1"/>
      </rPr>
      <t xml:space="preserve">308-5</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</si>
  <si>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(06)2289600</t>
  </si>
  <si>
    <t xml:space="preserve">userone@aspectbritish.com</t>
  </si>
  <si>
    <t xml:space="preserve">英文證照</t>
  </si>
  <si>
    <t xml:space="preserve">2007-09-12</t>
  </si>
  <si>
    <t xml:space="preserve">熊衍康</t>
  </si>
  <si>
    <t xml:space="preserve">王馨潔</t>
  </si>
  <si>
    <t xml:space="preserve">臺南市私立鴻語文理短期補習班</t>
  </si>
  <si>
    <r>
      <rPr>
        <sz val="10"/>
        <color rgb="FF1F2A28"/>
        <rFont val="WenQuanYi Zen Hei"/>
        <family val="2"/>
      </rPr>
      <t xml:space="preserve">東區崇明路</t>
    </r>
    <r>
      <rPr>
        <sz val="10"/>
        <color rgb="FF1F2A28"/>
        <rFont val="Arial"/>
        <family val="0"/>
        <charset val="1"/>
      </rPr>
      <t xml:space="preserve">71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</si>
  <si>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(06)2905969</t>
  </si>
  <si>
    <t xml:space="preserve">2015-09-17</t>
  </si>
  <si>
    <t xml:space="preserve">劉夙芬</t>
  </si>
  <si>
    <t xml:space="preserve">臺南市私立麥田種子文理短期補習班</t>
  </si>
  <si>
    <r>
      <rPr>
        <sz val="10"/>
        <color rgb="FF1F2A28"/>
        <rFont val="WenQuanYi Zen Hei"/>
        <family val="2"/>
      </rPr>
      <t xml:space="preserve">東區裕文路</t>
    </r>
    <r>
      <rPr>
        <sz val="10"/>
        <color rgb="FF1F2A28"/>
        <rFont val="Arial"/>
        <family val="0"/>
        <charset val="1"/>
      </rPr>
      <t xml:space="preserve">85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</si>
  <si>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(06)3310177</t>
  </si>
  <si>
    <t xml:space="preserve">jrjv@ms43.hinet.net</t>
  </si>
  <si>
    <t xml:space="preserve">施正智</t>
  </si>
  <si>
    <t xml:space="preserve">芝蔴開門股份有限公司附設臺南市私立芝蔴街美語會話短期補習班</t>
  </si>
  <si>
    <r>
      <rPr>
        <sz val="10"/>
        <color rgb="FF1F2A28"/>
        <rFont val="WenQuanYi Zen Hei"/>
        <family val="2"/>
      </rPr>
      <t xml:space="preserve">東區崇學路</t>
    </r>
    <r>
      <rPr>
        <sz val="10"/>
        <color rgb="FF1F2A28"/>
        <rFont val="Arial"/>
        <family val="0"/>
        <charset val="1"/>
      </rPr>
      <t xml:space="preserve">149</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</si>
  <si>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(06)2606500</t>
  </si>
  <si>
    <t xml:space="preserve">css@abc-school.ccm.tw</t>
  </si>
  <si>
    <t xml:space="preserve">2001-03-19</t>
  </si>
  <si>
    <t xml:space="preserve">林雅慧</t>
  </si>
  <si>
    <t xml:space="preserve">柳營區</t>
  </si>
  <si>
    <t xml:space="preserve">臺南市私立愛迪兒美語作文短期補習班</t>
  </si>
  <si>
    <r>
      <rPr>
        <sz val="10"/>
        <color rgb="FF1F2A28"/>
        <rFont val="WenQuanYi Zen Hei"/>
        <family val="2"/>
      </rPr>
      <t xml:space="preserve">柳營區中山西路二段</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</si>
  <si>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(06)6220616</t>
  </si>
  <si>
    <t xml:space="preserve">y788@ms21.hinet.net</t>
  </si>
  <si>
    <t xml:space="preserve">2003-05-13</t>
  </si>
  <si>
    <t xml:space="preserve">劉瑞玲</t>
  </si>
  <si>
    <t xml:space="preserve">歸仁區</t>
  </si>
  <si>
    <t xml:space="preserve">優勢學習文教事業有限公司附設臺南市私立加英文理短期補習班</t>
  </si>
  <si>
    <r>
      <rPr>
        <sz val="10"/>
        <color rgb="FF1F2A28"/>
        <rFont val="WenQuanYi Zen Hei"/>
        <family val="2"/>
      </rPr>
      <t xml:space="preserve">歸仁區文化街三段</t>
    </r>
    <r>
      <rPr>
        <sz val="10"/>
        <color rgb="FF1F2A28"/>
        <rFont val="Arial"/>
        <family val="0"/>
        <charset val="1"/>
      </rPr>
      <t xml:space="preserve">24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34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</si>
  <si>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(06)3301397</t>
  </si>
  <si>
    <t xml:space="preserve">tinaho0120@gmail.com</t>
  </si>
  <si>
    <t xml:space="preserve">2008-06-13</t>
  </si>
  <si>
    <t xml:space="preserve">何芊慧</t>
  </si>
  <si>
    <t xml:space="preserve">臺南市私立人上人美語短期補習班</t>
  </si>
  <si>
    <r>
      <rPr>
        <sz val="10"/>
        <color rgb="FF1F2A28"/>
        <rFont val="WenQuanYi Zen Hei"/>
        <family val="2"/>
      </rPr>
      <t xml:space="preserve">歸仁區國光街</t>
    </r>
    <r>
      <rPr>
        <sz val="10"/>
        <color rgb="FF1F2A28"/>
        <rFont val="Arial"/>
        <family val="0"/>
        <charset val="1"/>
      </rPr>
      <t xml:space="preserve">121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123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</si>
  <si>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(06)2300832</t>
  </si>
  <si>
    <t xml:space="preserve">kueijen@sesamevillage.tw</t>
  </si>
  <si>
    <t xml:space="preserve">2000-12-17</t>
  </si>
  <si>
    <t xml:space="preserve">陳佳玲</t>
  </si>
  <si>
    <t xml:space="preserve">臺南市私立優圓語文短期補習班</t>
  </si>
  <si>
    <r>
      <rPr>
        <sz val="10"/>
        <color rgb="FF1F2A28"/>
        <rFont val="WenQuanYi Zen Hei"/>
        <family val="2"/>
      </rPr>
      <t xml:space="preserve">歸仁區文化五街</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</si>
  <si>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(06)2305601</t>
  </si>
  <si>
    <t xml:space="preserve">beauty590526@yahoo.com.tw</t>
  </si>
  <si>
    <t xml:space="preserve">劉麗華</t>
  </si>
  <si>
    <t xml:space="preserve">臺南市私立吉尼斯美語電腦短期補習班</t>
  </si>
  <si>
    <r>
      <rPr>
        <sz val="10"/>
        <color rgb="FF1F2A28"/>
        <rFont val="WenQuanYi Zen Hei"/>
        <family val="2"/>
      </rPr>
      <t xml:space="preserve">歸仁區民權八街</t>
    </r>
    <r>
      <rPr>
        <sz val="10"/>
        <color rgb="FF1F2A28"/>
        <rFont val="Arial"/>
        <family val="0"/>
        <charset val="1"/>
      </rPr>
      <t xml:space="preserve">51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</si>
  <si>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(06)2399055</t>
  </si>
  <si>
    <t xml:space="preserve">ahmeegoh@yahoo.com.tw</t>
  </si>
  <si>
    <t xml:space="preserve">2000-09-04</t>
  </si>
  <si>
    <t xml:space="preserve">李岳峯</t>
  </si>
  <si>
    <t xml:space="preserve">王得全</t>
  </si>
  <si>
    <t xml:space="preserve">臺南市私立喬恩文理短期補習班</t>
  </si>
  <si>
    <r>
      <rPr>
        <sz val="10"/>
        <color rgb="FF1F2A28"/>
        <rFont val="WenQuanYi Zen Hei"/>
        <family val="2"/>
      </rPr>
      <t xml:space="preserve">歸仁區公園路</t>
    </r>
    <r>
      <rPr>
        <sz val="10"/>
        <color rgb="FF1F2A28"/>
        <rFont val="Arial"/>
        <family val="0"/>
        <charset val="1"/>
      </rPr>
      <t xml:space="preserve">76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</si>
  <si>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(06)3307781</t>
  </si>
  <si>
    <t xml:space="preserve">eva8888@kimo.com</t>
  </si>
  <si>
    <t xml:space="preserve">1999-03-30</t>
  </si>
  <si>
    <t xml:space="preserve">蔡進輝</t>
  </si>
  <si>
    <t xml:space="preserve">羅麗芬</t>
  </si>
  <si>
    <t xml:space="preserve">臺南市私立新希望美語短期補習班</t>
  </si>
  <si>
    <r>
      <rPr>
        <sz val="10"/>
        <color rgb="FF1F2A28"/>
        <rFont val="WenQuanYi Zen Hei"/>
        <family val="2"/>
      </rPr>
      <t xml:space="preserve">歸仁區文化街一段</t>
    </r>
    <r>
      <rPr>
        <sz val="10"/>
        <color rgb="FF1F2A28"/>
        <rFont val="Arial"/>
        <family val="0"/>
        <charset val="1"/>
      </rPr>
      <t xml:space="preserve">123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</si>
  <si>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(06)2308185</t>
  </si>
  <si>
    <t xml:space="preserve">sunny626@taiwan.com</t>
  </si>
  <si>
    <t xml:space="preserve">1999-07-13</t>
  </si>
  <si>
    <t xml:space="preserve">曾王雅雲</t>
  </si>
  <si>
    <t xml:space="preserve">臺南市私立翊達英文短期補習班</t>
  </si>
  <si>
    <r>
      <rPr>
        <sz val="10"/>
        <color rgb="FF1F2A28"/>
        <rFont val="WenQuanYi Zen Hei"/>
        <family val="2"/>
      </rPr>
      <t xml:space="preserve">歸仁區文化街二段</t>
    </r>
    <r>
      <rPr>
        <sz val="10"/>
        <color rgb="FF1F2A28"/>
        <rFont val="Arial"/>
        <family val="0"/>
        <charset val="1"/>
      </rPr>
      <t xml:space="preserve">121</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弄</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</si>
  <si>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(06)2392149</t>
  </si>
  <si>
    <t xml:space="preserve">v5331119@yahoo.com.tw</t>
  </si>
  <si>
    <t xml:space="preserve">2010-01-05</t>
  </si>
  <si>
    <t xml:space="preserve">林美鳳</t>
  </si>
  <si>
    <t xml:space="preserve">臺南市私立耕佳英語會話短期補習班</t>
  </si>
  <si>
    <r>
      <rPr>
        <sz val="10"/>
        <color rgb="FF1F2A28"/>
        <rFont val="WenQuanYi Zen Hei"/>
        <family val="2"/>
      </rPr>
      <t xml:space="preserve">歸仁區大順街</t>
    </r>
    <r>
      <rPr>
        <sz val="10"/>
        <color rgb="FF1F2A28"/>
        <rFont val="Arial"/>
        <family val="0"/>
        <charset val="1"/>
      </rPr>
      <t xml:space="preserve">40</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</si>
  <si>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(06)2393058</t>
  </si>
  <si>
    <t xml:space="preserve">1995-06-29</t>
  </si>
  <si>
    <t xml:space="preserve">吳崑源</t>
  </si>
  <si>
    <t xml:space="preserve">臺南市私立能譯美語短期補習班</t>
  </si>
  <si>
    <r>
      <rPr>
        <sz val="10"/>
        <color rgb="FF1F2A28"/>
        <rFont val="WenQuanYi Zen Hei"/>
        <family val="2"/>
      </rPr>
      <t xml:space="preserve">歸仁區信義北路</t>
    </r>
    <r>
      <rPr>
        <sz val="10"/>
        <color rgb="FF1F2A28"/>
        <rFont val="Arial"/>
        <family val="0"/>
        <charset val="1"/>
      </rPr>
      <t xml:space="preserve">55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</si>
  <si>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(06)3304658</t>
  </si>
  <si>
    <t xml:space="preserve">giraffe62061@gmail.com</t>
  </si>
  <si>
    <t xml:space="preserve">2003-10-07</t>
  </si>
  <si>
    <t xml:space="preserve">郭美玲</t>
  </si>
  <si>
    <t xml:space="preserve">臺南市私立高林英文作文短期補習班</t>
  </si>
  <si>
    <r>
      <rPr>
        <sz val="10"/>
        <color rgb="FF1F2A28"/>
        <rFont val="WenQuanYi Zen Hei"/>
        <family val="2"/>
      </rPr>
      <t xml:space="preserve">歸仁區民族北街</t>
    </r>
    <r>
      <rPr>
        <sz val="10"/>
        <color rgb="FF1F2A28"/>
        <rFont val="Arial"/>
        <family val="0"/>
        <charset val="1"/>
      </rPr>
      <t xml:space="preserve">12</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</si>
  <si>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(06)2306955</t>
  </si>
  <si>
    <t xml:space="preserve">highforest6955@gmail.com</t>
  </si>
  <si>
    <t xml:space="preserve">1999-02-25</t>
  </si>
  <si>
    <t xml:space="preserve">林榮發</t>
  </si>
  <si>
    <t xml:space="preserve">林淑英</t>
  </si>
  <si>
    <t xml:space="preserve">永康區</t>
  </si>
  <si>
    <t xml:space="preserve">伽碩企業有限公司附設臺南市私立職業訓練短期補習班</t>
  </si>
  <si>
    <r>
      <rPr>
        <sz val="10"/>
        <color rgb="FF1F2A28"/>
        <rFont val="WenQuanYi Zen Hei"/>
        <family val="2"/>
      </rPr>
      <t xml:space="preserve">永康區中山路</t>
    </r>
    <r>
      <rPr>
        <sz val="10"/>
        <color rgb="FF1F2A28"/>
        <rFont val="Arial"/>
        <family val="0"/>
        <charset val="1"/>
      </rPr>
      <t xml:space="preserve">94</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96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</si>
  <si>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(06)2037797</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</si>
  <si>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電機、汽車修護、建築、工藝、製圖類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家政、插花、烹飪類</t>
    </r>
  </si>
  <si>
    <t xml:space="preserve">1998-12-14</t>
  </si>
  <si>
    <t xml:space="preserve">郭明洽</t>
  </si>
  <si>
    <t xml:space="preserve">陳惠美</t>
  </si>
  <si>
    <t xml:space="preserve">何嘉仁文教事業股份有限公司附設臺南市私立嘉禾文理短期補習班</t>
  </si>
  <si>
    <r>
      <rPr>
        <sz val="10"/>
        <color rgb="FF1F2A28"/>
        <rFont val="WenQuanYi Zen Hei"/>
        <family val="2"/>
      </rPr>
      <t xml:space="preserve">永康區東橋七路</t>
    </r>
    <r>
      <rPr>
        <sz val="10"/>
        <color rgb="FF1F2A28"/>
        <rFont val="Arial"/>
        <family val="0"/>
        <charset val="1"/>
      </rPr>
      <t xml:space="preserve">217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</si>
  <si>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(06)3023500</t>
  </si>
  <si>
    <t xml:space="preserve">hs3748@hess.com.tw</t>
  </si>
  <si>
    <t xml:space="preserve">2023-07-06</t>
  </si>
  <si>
    <t xml:space="preserve">蔡郁岑</t>
  </si>
  <si>
    <t xml:space="preserve">大必佳國際文教科技股份有限公司附設臺南市私立正必佳文理短期補習班</t>
  </si>
  <si>
    <r>
      <rPr>
        <sz val="10"/>
        <color rgb="FF1F2A28"/>
        <rFont val="WenQuanYi Zen Hei"/>
        <family val="2"/>
      </rPr>
      <t xml:space="preserve">永康區永正路</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r>
      <rPr>
        <sz val="10"/>
        <color rgb="FF1F2A28"/>
        <rFont val="Arial"/>
        <family val="0"/>
        <charset val="1"/>
      </rPr>
      <t xml:space="preserve">69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</si>
  <si>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(06)2338528</t>
  </si>
  <si>
    <t xml:space="preserve">李云馨</t>
  </si>
  <si>
    <t xml:space="preserve">威爾森文教事業股份有限公司附設臺南市私立橋森文理短期補習班</t>
  </si>
  <si>
    <r>
      <rPr>
        <sz val="10"/>
        <color rgb="FF1F2A28"/>
        <rFont val="WenQuanYi Zen Hei"/>
        <family val="2"/>
      </rPr>
      <t xml:space="preserve">永康區東橋一路</t>
    </r>
    <r>
      <rPr>
        <sz val="10"/>
        <color rgb="FF1F2A28"/>
        <rFont val="Arial"/>
        <family val="0"/>
        <charset val="1"/>
      </rPr>
      <t xml:space="preserve">378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</si>
  <si>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(06)3025055</t>
  </si>
  <si>
    <t xml:space="preserve">angel20061314@gmail.com</t>
  </si>
  <si>
    <t xml:space="preserve">兒童美語菁英班、兒童美語基礎班</t>
  </si>
  <si>
    <t xml:space="preserve">王華婷</t>
  </si>
  <si>
    <t xml:space="preserve">威爾森文教事業股份有限公司附設臺南市私立永正文理技藝短期補習班</t>
  </si>
  <si>
    <r>
      <rPr>
        <sz val="10"/>
        <color rgb="FF1F2A28"/>
        <rFont val="WenQuanYi Zen Hei"/>
        <family val="2"/>
      </rPr>
      <t xml:space="preserve">永康區永正路</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</si>
  <si>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(06)2316201</t>
  </si>
  <si>
    <t xml:space="preserve">1994-08-29</t>
  </si>
  <si>
    <t xml:space="preserve">王慧婷</t>
  </si>
  <si>
    <t xml:space="preserve">威爾森文教事業股份有限公司附設臺南市私立福森文理短期補習班</t>
  </si>
  <si>
    <r>
      <rPr>
        <sz val="10"/>
        <color rgb="FF1F2A28"/>
        <rFont val="WenQuanYi Zen Hei"/>
        <family val="2"/>
      </rPr>
      <t xml:space="preserve">永康區正義街</t>
    </r>
    <r>
      <rPr>
        <sz val="10"/>
        <color rgb="FF1F2A28"/>
        <rFont val="Arial"/>
        <family val="0"/>
        <charset val="1"/>
      </rPr>
      <t xml:space="preserve">110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</si>
  <si>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美語基礎班</t>
  </si>
  <si>
    <t xml:space="preserve">陳怡蓁</t>
  </si>
  <si>
    <t xml:space="preserve">學獅教育股份有限公司附設臺南市私立樂獅文理短期補習班</t>
  </si>
  <si>
    <r>
      <rPr>
        <sz val="10"/>
        <color rgb="FF1F2A28"/>
        <rFont val="WenQuanYi Zen Hei"/>
        <family val="2"/>
      </rPr>
      <t xml:space="preserve">永康區永正路</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r>
      <rPr>
        <sz val="10"/>
        <color rgb="FF1F2A28"/>
        <rFont val="Arial"/>
        <family val="0"/>
        <charset val="1"/>
      </rPr>
      <t xml:space="preserve">93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</si>
  <si>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(06)2019191</t>
  </si>
  <si>
    <t xml:space="preserve">lion2019191@gmail.com</t>
  </si>
  <si>
    <t xml:space="preserve">1993-12-31</t>
  </si>
  <si>
    <t xml:space="preserve">劉竺亞</t>
  </si>
  <si>
    <t xml:space="preserve">聶嘉妤</t>
  </si>
  <si>
    <t xml:space="preserve">巨匠電腦股份有限公司附設臺南市私立巨匠美語短期補習班永康分班</t>
  </si>
  <si>
    <r>
      <rPr>
        <sz val="10"/>
        <color rgb="FF1F2A28"/>
        <rFont val="WenQuanYi Zen Hei"/>
        <family val="2"/>
      </rPr>
      <t xml:space="preserve">永康區大灣路</t>
    </r>
    <r>
      <rPr>
        <sz val="10"/>
        <color rgb="FF1F2A28"/>
        <rFont val="Arial"/>
        <family val="0"/>
        <charset val="1"/>
      </rPr>
      <t xml:space="preserve">934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</si>
  <si>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(06)2051258</t>
  </si>
  <si>
    <t xml:space="preserve">K07_mailbox@pcschool.com.tw</t>
  </si>
  <si>
    <t xml:space="preserve">黃嘉鴻</t>
  </si>
  <si>
    <t xml:space="preserve">數位地球村語文資訊有限公司附設臺南市私立永康地球村文理短期補習班</t>
  </si>
  <si>
    <r>
      <rPr>
        <sz val="10"/>
        <color rgb="FF1F2A28"/>
        <rFont val="WenQuanYi Zen Hei"/>
        <family val="2"/>
      </rPr>
      <t xml:space="preserve">永康區中華路</t>
    </r>
    <r>
      <rPr>
        <sz val="10"/>
        <color rgb="FF1F2A28"/>
        <rFont val="Arial"/>
        <family val="0"/>
        <charset val="1"/>
      </rPr>
      <t xml:space="preserve">620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</si>
  <si>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(06)3039188</t>
  </si>
  <si>
    <t xml:space="preserve">2005-02-17</t>
  </si>
  <si>
    <t xml:space="preserve">王榆鳳</t>
  </si>
  <si>
    <t xml:space="preserve">社團法人中國青年救國團附設臺南市私立救國團文理技藝短期補習班永康分班</t>
  </si>
  <si>
    <r>
      <rPr>
        <sz val="10"/>
        <color rgb="FF1F2A28"/>
        <rFont val="WenQuanYi Zen Hei"/>
        <family val="2"/>
      </rPr>
      <t xml:space="preserve">永康區中華路</t>
    </r>
    <r>
      <rPr>
        <sz val="10"/>
        <color rgb="FF1F2A28"/>
        <rFont val="Arial"/>
        <family val="0"/>
        <charset val="1"/>
      </rPr>
      <t xml:space="preserve">200-2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</si>
  <si>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(06)3133459</t>
  </si>
  <si>
    <t xml:space="preserve">s210901@cyc.tw</t>
  </si>
  <si>
    <t xml:space="preserve">臺南市私立上鼎文理短期補習班</t>
  </si>
  <si>
    <r>
      <rPr>
        <sz val="10"/>
        <color rgb="FF1F2A28"/>
        <rFont val="WenQuanYi Zen Hei"/>
        <family val="2"/>
      </rPr>
      <t xml:space="preserve">永康區復華八街</t>
    </r>
    <r>
      <rPr>
        <sz val="10"/>
        <color rgb="FF1F2A28"/>
        <rFont val="Arial"/>
        <family val="0"/>
        <charset val="1"/>
      </rPr>
      <t xml:space="preserve">62</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</si>
  <si>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(06)2040369</t>
  </si>
  <si>
    <t xml:space="preserve">shanetn10@gmail.com</t>
  </si>
  <si>
    <t xml:space="preserve">巫瑀潔</t>
  </si>
  <si>
    <t xml:space="preserve">臺南市私立亞瑟文理短期補習班</t>
  </si>
  <si>
    <r>
      <rPr>
        <sz val="10"/>
        <color rgb="FF1F2A28"/>
        <rFont val="WenQuanYi Zen Hei"/>
        <family val="2"/>
      </rPr>
      <t xml:space="preserve">永康區國華街</t>
    </r>
    <r>
      <rPr>
        <sz val="10"/>
        <color rgb="FF1F2A28"/>
        <rFont val="Arial"/>
        <family val="0"/>
        <charset val="1"/>
      </rPr>
      <t xml:space="preserve">102</t>
    </r>
    <r>
      <rPr>
        <sz val="10"/>
        <color rgb="FF1F2A28"/>
        <rFont val="WenQuanYi Zen Hei"/>
        <family val="2"/>
      </rPr>
      <t xml:space="preserve">巷</t>
    </r>
    <r>
      <rPr>
        <sz val="10"/>
        <color rgb="FF1F2A28"/>
        <rFont val="Arial"/>
        <family val="0"/>
        <charset val="1"/>
      </rPr>
      <t xml:space="preserve">120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102</t>
    </r>
    <r>
      <rPr>
        <sz val="10"/>
        <color rgb="FF1F2A28"/>
        <rFont val="WenQuanYi Zen Hei"/>
        <family val="2"/>
      </rPr>
      <t xml:space="preserve">巷</t>
    </r>
    <r>
      <rPr>
        <sz val="10"/>
        <color rgb="FF1F2A28"/>
        <rFont val="Arial"/>
        <family val="0"/>
        <charset val="1"/>
      </rPr>
      <t xml:space="preserve">122</t>
    </r>
    <r>
      <rPr>
        <sz val="10"/>
        <color rgb="FF1F2A28"/>
        <rFont val="WenQuanYi Zen Hei"/>
        <family val="2"/>
      </rPr>
      <t xml:space="preserve">弄</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</si>
  <si>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(06)2015744</t>
  </si>
  <si>
    <t xml:space="preserve">1996-07-22</t>
  </si>
  <si>
    <t xml:space="preserve">王藝珍</t>
  </si>
  <si>
    <t xml:space="preserve">李慈恩</t>
  </si>
  <si>
    <r>
      <rPr>
        <sz val="10"/>
        <color rgb="FF1F2A28"/>
        <rFont val="WenQuanYi Zen Hei"/>
        <family val="2"/>
      </rPr>
      <t xml:space="preserve">臺南市私立人上人文理短期補習班永康分班分班</t>
    </r>
    <r>
      <rPr>
        <sz val="10"/>
        <color rgb="FF1F2A28"/>
        <rFont val="Arial"/>
        <family val="0"/>
        <charset val="1"/>
      </rPr>
      <t xml:space="preserve">(</t>
    </r>
    <r>
      <rPr>
        <sz val="10"/>
        <color rgb="FF1F2A28"/>
        <rFont val="WenQuanYi Zen Hei"/>
        <family val="2"/>
      </rPr>
      <t xml:space="preserve">為比對教職員工資料預登立案資訊</t>
    </r>
    <r>
      <rPr>
        <sz val="10"/>
        <color rgb="FF1F2A28"/>
        <rFont val="Arial"/>
        <family val="0"/>
        <charset val="1"/>
      </rPr>
      <t xml:space="preserve">)</t>
    </r>
  </si>
  <si>
    <r>
      <rPr>
        <sz val="10"/>
        <color rgb="FF1F2A28"/>
        <rFont val="WenQuanYi Zen Hei"/>
        <family val="2"/>
      </rPr>
      <t xml:space="preserve">永康區復國一路</t>
    </r>
    <r>
      <rPr>
        <sz val="10"/>
        <color rgb="FF1F2A28"/>
        <rFont val="Arial"/>
        <family val="0"/>
        <charset val="1"/>
      </rPr>
      <t xml:space="preserve">413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</si>
  <si>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(06)2098377</t>
  </si>
  <si>
    <t xml:space="preserve">judy@abc-school.com.tw</t>
  </si>
  <si>
    <t xml:space="preserve">2025-09-24</t>
  </si>
  <si>
    <t xml:space="preserve">蘇意晴</t>
  </si>
  <si>
    <t xml:space="preserve">臺南市私立伊堡文理短期補習班</t>
  </si>
  <si>
    <r>
      <rPr>
        <sz val="10"/>
        <color rgb="FF1F2A28"/>
        <rFont val="WenQuanYi Zen Hei"/>
        <family val="2"/>
      </rPr>
      <t xml:space="preserve">永康區永二街</t>
    </r>
    <r>
      <rPr>
        <sz val="10"/>
        <color rgb="FF1F2A28"/>
        <rFont val="Arial"/>
        <family val="0"/>
        <charset val="1"/>
      </rPr>
      <t xml:space="preserve">245</t>
    </r>
    <r>
      <rPr>
        <sz val="10"/>
        <color rgb="FF1F2A28"/>
        <rFont val="WenQuanYi Zen Hei"/>
        <family val="2"/>
      </rPr>
      <t xml:space="preserve">巷</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</si>
  <si>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(06)2012062</t>
  </si>
  <si>
    <t xml:space="preserve">colinayippee@gmail.com</t>
  </si>
  <si>
    <t xml:space="preserve">葉吟宣</t>
  </si>
  <si>
    <t xml:space="preserve">臺南市私立博克萊美語短期補習班</t>
  </si>
  <si>
    <r>
      <rPr>
        <sz val="10"/>
        <color rgb="FF1F2A28"/>
        <rFont val="WenQuanYi Zen Hei"/>
        <family val="2"/>
      </rPr>
      <t xml:space="preserve">永康區中華二路</t>
    </r>
    <r>
      <rPr>
        <sz val="10"/>
        <color rgb="FF1F2A28"/>
        <rFont val="Arial"/>
        <family val="0"/>
        <charset val="1"/>
      </rPr>
      <t xml:space="preserve">266</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</si>
  <si>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(06)3027588</t>
  </si>
  <si>
    <t xml:space="preserve">陳嘉慶</t>
  </si>
  <si>
    <t xml:space="preserve">臺南市私立名揚文理短期補習班</t>
  </si>
  <si>
    <r>
      <rPr>
        <sz val="10"/>
        <color rgb="FF1F2A28"/>
        <rFont val="WenQuanYi Zen Hei"/>
        <family val="2"/>
      </rPr>
      <t xml:space="preserve">永康區中正路</t>
    </r>
    <r>
      <rPr>
        <sz val="10"/>
        <color rgb="FF1F2A28"/>
        <rFont val="Arial"/>
        <family val="0"/>
        <charset val="1"/>
      </rPr>
      <t xml:space="preserve">62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</si>
  <si>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(06)2324973</t>
  </si>
  <si>
    <t xml:space="preserve">minyoung168@yahoo.com.tw</t>
  </si>
  <si>
    <t xml:space="preserve">1998-11-11</t>
  </si>
  <si>
    <t xml:space="preserve">廖惠英</t>
  </si>
  <si>
    <t xml:space="preserve">黃淑珍</t>
  </si>
  <si>
    <t xml:space="preserve">臺南市私立喬比英語短期補習班</t>
  </si>
  <si>
    <r>
      <rPr>
        <sz val="10"/>
        <color rgb="FF1F2A28"/>
        <rFont val="WenQuanYi Zen Hei"/>
        <family val="2"/>
      </rPr>
      <t xml:space="preserve">永康區大橋一街</t>
    </r>
    <r>
      <rPr>
        <sz val="10"/>
        <color rgb="FF1F2A28"/>
        <rFont val="Arial"/>
        <family val="0"/>
        <charset val="1"/>
      </rPr>
      <t xml:space="preserve">103</t>
    </r>
    <r>
      <rPr>
        <sz val="10"/>
        <color rgb="FF1F2A28"/>
        <rFont val="WenQuanYi Zen Hei"/>
        <family val="2"/>
      </rPr>
      <t xml:space="preserve">巷</t>
    </r>
    <r>
      <rPr>
        <sz val="10"/>
        <color rgb="FF1F2A28"/>
        <rFont val="Arial"/>
        <family val="0"/>
        <charset val="1"/>
      </rPr>
      <t xml:space="preserve">126</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</si>
  <si>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(06)3026296</t>
  </si>
  <si>
    <t xml:space="preserve">d921114@yahoo.com.tw</t>
  </si>
  <si>
    <t xml:space="preserve">2003-10-27</t>
  </si>
  <si>
    <t xml:space="preserve">臺南市私立嘉育英語短期補習班</t>
  </si>
  <si>
    <r>
      <rPr>
        <sz val="10"/>
        <color rgb="FF1F2A28"/>
        <rFont val="WenQuanYi Zen Hei"/>
        <family val="2"/>
      </rPr>
      <t xml:space="preserve">永康區大灣六街</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</si>
  <si>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(06)2714533</t>
  </si>
  <si>
    <t xml:space="preserve">ninachen@ms15.hinet.net</t>
  </si>
  <si>
    <t xml:space="preserve">陳玉年</t>
  </si>
  <si>
    <t xml:space="preserve">臺南市私立嘉音英語短期補習班</t>
  </si>
  <si>
    <r>
      <rPr>
        <sz val="10"/>
        <color rgb="FF1F2A28"/>
        <rFont val="WenQuanYi Zen Hei"/>
        <family val="2"/>
      </rPr>
      <t xml:space="preserve">永康區民族路</t>
    </r>
    <r>
      <rPr>
        <sz val="10"/>
        <color rgb="FF1F2A28"/>
        <rFont val="Arial"/>
        <family val="0"/>
        <charset val="1"/>
      </rPr>
      <t xml:space="preserve">273</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</si>
  <si>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(06)2726600</t>
  </si>
  <si>
    <t xml:space="preserve">dawanjoy@yahoo.com.tw</t>
  </si>
  <si>
    <t xml:space="preserve">1997-10-21</t>
  </si>
  <si>
    <t xml:space="preserve">陳淑媛</t>
  </si>
  <si>
    <t xml:space="preserve">江鴻龍</t>
  </si>
  <si>
    <t xml:space="preserve">臺南市私立國王文理短期補習班</t>
  </si>
  <si>
    <r>
      <rPr>
        <sz val="10"/>
        <color rgb="FF1F2A28"/>
        <rFont val="WenQuanYi Zen Hei"/>
        <family val="2"/>
      </rPr>
      <t xml:space="preserve">永康區大橋二街</t>
    </r>
    <r>
      <rPr>
        <sz val="10"/>
        <color rgb="FF1F2A28"/>
        <rFont val="Arial"/>
        <family val="0"/>
        <charset val="1"/>
      </rPr>
      <t xml:space="preserve">139</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</si>
  <si>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(06)3036686</t>
  </si>
  <si>
    <t xml:space="preserve">曾靜宜</t>
  </si>
  <si>
    <t xml:space="preserve">曾永坤</t>
  </si>
  <si>
    <t xml:space="preserve">臺南市私立天子塾文理短期補習班</t>
  </si>
  <si>
    <r>
      <rPr>
        <sz val="10"/>
        <color rgb="FF1F2A28"/>
        <rFont val="WenQuanYi Zen Hei"/>
        <family val="2"/>
      </rPr>
      <t xml:space="preserve">永康區大橋二街</t>
    </r>
    <r>
      <rPr>
        <sz val="10"/>
        <color rgb="FF1F2A28"/>
        <rFont val="Arial"/>
        <family val="0"/>
        <charset val="1"/>
      </rPr>
      <t xml:space="preserve">141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</si>
  <si>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(06)3035169</t>
  </si>
  <si>
    <t xml:space="preserve">kechifeng@gmail.com</t>
  </si>
  <si>
    <t xml:space="preserve">2004-03-16</t>
  </si>
  <si>
    <t xml:space="preserve">柯羽彤</t>
  </si>
  <si>
    <t xml:space="preserve">臺南市私立天子永信文理短期補習班</t>
  </si>
  <si>
    <r>
      <rPr>
        <sz val="10"/>
        <color rgb="FF1F2A28"/>
        <rFont val="WenQuanYi Zen Hei"/>
        <family val="2"/>
      </rPr>
      <t xml:space="preserve">永康區復華七街</t>
    </r>
    <r>
      <rPr>
        <sz val="10"/>
        <color rgb="FF1F2A28"/>
        <rFont val="Arial"/>
        <family val="0"/>
        <charset val="1"/>
      </rPr>
      <t xml:space="preserve">165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</si>
  <si>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(06)2313334</t>
  </si>
  <si>
    <t xml:space="preserve">ruby94990547@gmail.com</t>
  </si>
  <si>
    <t xml:space="preserve">2003-03-11</t>
  </si>
  <si>
    <t xml:space="preserve">陳立翰</t>
  </si>
  <si>
    <t xml:space="preserve">臺南市私立天才語言短期補習班</t>
  </si>
  <si>
    <r>
      <rPr>
        <sz val="10"/>
        <color rgb="FF1F2A28"/>
        <rFont val="WenQuanYi Zen Hei"/>
        <family val="2"/>
      </rPr>
      <t xml:space="preserve">永康區中華路</t>
    </r>
    <r>
      <rPr>
        <sz val="10"/>
        <color rgb="FF1F2A28"/>
        <rFont val="Arial"/>
        <family val="0"/>
        <charset val="1"/>
      </rPr>
      <t xml:space="preserve">602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</si>
  <si>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(06)2329501</t>
  </si>
  <si>
    <t xml:space="preserve">Talentsl@msb3.hinet.net</t>
  </si>
  <si>
    <t xml:space="preserve">2000-10-09</t>
  </si>
  <si>
    <t xml:space="preserve">林言同</t>
  </si>
  <si>
    <t xml:space="preserve">臺南市私立學知文理技藝短期補習班</t>
  </si>
  <si>
    <r>
      <rPr>
        <sz val="10"/>
        <color rgb="FF1F2A28"/>
        <rFont val="WenQuanYi Zen Hei"/>
        <family val="2"/>
      </rPr>
      <t xml:space="preserve">永康區大橋一街</t>
    </r>
    <r>
      <rPr>
        <sz val="10"/>
        <color rgb="FF1F2A28"/>
        <rFont val="Arial"/>
        <family val="0"/>
        <charset val="1"/>
      </rPr>
      <t xml:space="preserve">103</t>
    </r>
    <r>
      <rPr>
        <sz val="10"/>
        <color rgb="FF1F2A28"/>
        <rFont val="WenQuanYi Zen Hei"/>
        <family val="2"/>
      </rPr>
      <t xml:space="preserve">巷</t>
    </r>
    <r>
      <rPr>
        <sz val="10"/>
        <color rgb="FF1F2A28"/>
        <rFont val="Arial"/>
        <family val="0"/>
        <charset val="1"/>
      </rPr>
      <t xml:space="preserve">151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</si>
  <si>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(06)3035098</t>
  </si>
  <si>
    <t xml:space="preserve">pp426ii@gmail.com</t>
  </si>
  <si>
    <t xml:space="preserve">2024-05-17</t>
  </si>
  <si>
    <t xml:space="preserve">吳昕憲</t>
  </si>
  <si>
    <t xml:space="preserve">黃安琪</t>
  </si>
  <si>
    <t xml:space="preserve">臺南市私立安老師文理短期補習班</t>
  </si>
  <si>
    <r>
      <rPr>
        <sz val="10"/>
        <color rgb="FF1F2A28"/>
        <rFont val="WenQuanYi Zen Hei"/>
        <family val="2"/>
      </rPr>
      <t xml:space="preserve">永康區富強路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t>
    </r>
    <r>
      <rPr>
        <sz val="10"/>
        <color rgb="FF1F2A28"/>
        <rFont val="WenQuanYi Zen Hei"/>
        <family val="2"/>
      </rPr>
      <t xml:space="preserve">巷</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</si>
  <si>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(06)2721049</t>
  </si>
  <si>
    <t xml:space="preserve">linlifen62116@yahoo.com.tw</t>
  </si>
  <si>
    <t xml:space="preserve">林麗芬</t>
  </si>
  <si>
    <t xml:space="preserve">臺南市私立小師大文理短期補習班</t>
  </si>
  <si>
    <r>
      <rPr>
        <sz val="10"/>
        <color rgb="FF1F2A28"/>
        <rFont val="WenQuanYi Zen Hei"/>
        <family val="2"/>
      </rPr>
      <t xml:space="preserve">永康區仁愛街</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50-4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</si>
  <si>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(06)2549066</t>
  </si>
  <si>
    <t xml:space="preserve">skytien68@gmail.com</t>
  </si>
  <si>
    <t xml:space="preserve">田慶生</t>
  </si>
  <si>
    <t xml:space="preserve">臺南市私立小贏家美語短期補習班</t>
  </si>
  <si>
    <r>
      <rPr>
        <sz val="10"/>
        <color rgb="FF1F2A28"/>
        <rFont val="WenQuanYi Zen Hei"/>
        <family val="2"/>
      </rPr>
      <t xml:space="preserve">永康區大橋三街</t>
    </r>
    <r>
      <rPr>
        <sz val="10"/>
        <color rgb="FF1F2A28"/>
        <rFont val="Arial"/>
        <family val="0"/>
        <charset val="1"/>
      </rPr>
      <t xml:space="preserve">126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</si>
  <si>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(06)2015977</t>
  </si>
  <si>
    <t xml:space="preserve">net5@seed.net.tw</t>
  </si>
  <si>
    <t xml:space="preserve">2002-06-10</t>
  </si>
  <si>
    <t xml:space="preserve">黃雅芳</t>
  </si>
  <si>
    <t xml:space="preserve">陳雅平</t>
  </si>
  <si>
    <t xml:space="preserve">臺南市私立小金羊文理短期補習班</t>
  </si>
  <si>
    <r>
      <rPr>
        <sz val="10"/>
        <color rgb="FF1F2A28"/>
        <rFont val="WenQuanYi Zen Hei"/>
        <family val="2"/>
      </rPr>
      <t xml:space="preserve">永康區東橋一路</t>
    </r>
    <r>
      <rPr>
        <sz val="10"/>
        <color rgb="FF1F2A28"/>
        <rFont val="Arial"/>
        <family val="0"/>
        <charset val="1"/>
      </rPr>
      <t xml:space="preserve">572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</si>
  <si>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(06)3021223</t>
  </si>
  <si>
    <t xml:space="preserve">teachersusie7@gmail.com</t>
  </si>
  <si>
    <t xml:space="preserve">2024-08-30</t>
  </si>
  <si>
    <t xml:space="preserve">朱思璇</t>
  </si>
  <si>
    <t xml:space="preserve">臺南市私立快樂堡英語短期補習班</t>
  </si>
  <si>
    <r>
      <rPr>
        <sz val="10"/>
        <color rgb="FF1F2A28"/>
        <rFont val="WenQuanYi Zen Hei"/>
        <family val="2"/>
      </rPr>
      <t xml:space="preserve">永康區南工街</t>
    </r>
    <r>
      <rPr>
        <sz val="10"/>
        <color rgb="FF1F2A28"/>
        <rFont val="Arial"/>
        <family val="0"/>
        <charset val="1"/>
      </rPr>
      <t xml:space="preserve">249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</si>
  <si>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(06)2311572</t>
  </si>
  <si>
    <t xml:space="preserve">clara0929982619@gmail.com</t>
  </si>
  <si>
    <t xml:space="preserve">1995-08-18</t>
  </si>
  <si>
    <t xml:space="preserve">謝惠娟</t>
  </si>
  <si>
    <t xml:space="preserve">臺南市私立思慧文理短期補習班</t>
  </si>
  <si>
    <r>
      <rPr>
        <sz val="10"/>
        <color rgb="FF1F2A28"/>
        <rFont val="WenQuanYi Zen Hei"/>
        <family val="2"/>
      </rPr>
      <t xml:space="preserve">永康區文化路</t>
    </r>
    <r>
      <rPr>
        <sz val="10"/>
        <color rgb="FF1F2A28"/>
        <rFont val="Arial"/>
        <family val="0"/>
        <charset val="1"/>
      </rPr>
      <t xml:space="preserve">198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</si>
  <si>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(06)2315258</t>
  </si>
  <si>
    <t xml:space="preserve">2011-05-27</t>
  </si>
  <si>
    <t xml:space="preserve">陳玟伶</t>
  </si>
  <si>
    <t xml:space="preserve">臺南市私立愛佳文理短期補習班</t>
  </si>
  <si>
    <r>
      <rPr>
        <sz val="10"/>
        <color rgb="FF1F2A28"/>
        <rFont val="WenQuanYi Zen Hei"/>
        <family val="2"/>
      </rPr>
      <t xml:space="preserve">永康區永大一路</t>
    </r>
    <r>
      <rPr>
        <sz val="10"/>
        <color rgb="FF1F2A28"/>
        <rFont val="Arial"/>
        <family val="0"/>
        <charset val="1"/>
      </rPr>
      <t xml:space="preserve">390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</si>
  <si>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(06)2017595</t>
  </si>
  <si>
    <t xml:space="preserve">J2323341@Yahoo.com.tw</t>
  </si>
  <si>
    <t xml:space="preserve">葉平芳</t>
  </si>
  <si>
    <t xml:space="preserve">葉玟君</t>
  </si>
  <si>
    <t xml:space="preserve">臺南市私立慧穎文理短期補習班</t>
  </si>
  <si>
    <r>
      <rPr>
        <sz val="10"/>
        <color rgb="FF1F2A28"/>
        <rFont val="WenQuanYi Zen Hei"/>
        <family val="2"/>
      </rPr>
      <t xml:space="preserve">永康區東橋十街</t>
    </r>
    <r>
      <rPr>
        <sz val="10"/>
        <color rgb="FF1F2A28"/>
        <rFont val="Arial"/>
        <family val="0"/>
        <charset val="1"/>
      </rPr>
      <t xml:space="preserve">90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</si>
  <si>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(06)3022338</t>
  </si>
  <si>
    <t xml:space="preserve">臺南市私立文碩英語短期補習班</t>
  </si>
  <si>
    <r>
      <rPr>
        <sz val="10"/>
        <color rgb="FF1F2A28"/>
        <rFont val="WenQuanYi Zen Hei"/>
        <family val="2"/>
      </rPr>
      <t xml:space="preserve">永康區永華路</t>
    </r>
    <r>
      <rPr>
        <sz val="10"/>
        <color rgb="FF1F2A28"/>
        <rFont val="Arial"/>
        <family val="0"/>
        <charset val="1"/>
      </rPr>
      <t xml:space="preserve">192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</si>
  <si>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r>
      <rPr>
        <sz val="10"/>
        <color rgb="FF1F2A28"/>
        <rFont val="Arial"/>
        <family val="0"/>
        <charset val="1"/>
      </rPr>
      <t xml:space="preserve">(06)2055208</t>
    </r>
    <r>
      <rPr>
        <sz val="10"/>
        <color rgb="FF1F2A28"/>
        <rFont val="WenQuanYi Zen Hei"/>
        <family val="2"/>
      </rPr>
      <t xml:space="preserve">、</t>
    </r>
    <r>
      <rPr>
        <sz val="10"/>
        <color rgb="FF1F2A28"/>
        <rFont val="Arial"/>
        <family val="0"/>
        <charset val="1"/>
      </rPr>
      <t xml:space="preserve">(06)2055207</t>
    </r>
  </si>
  <si>
    <t xml:space="preserve">劉惠芳</t>
  </si>
  <si>
    <t xml:space="preserve">臺南市私立明航美語短期補習班</t>
  </si>
  <si>
    <r>
      <rPr>
        <sz val="10"/>
        <color rgb="FF1F2A28"/>
        <rFont val="WenQuanYi Zen Hei"/>
        <family val="2"/>
      </rPr>
      <t xml:space="preserve">永康區龍橋街</t>
    </r>
    <r>
      <rPr>
        <sz val="10"/>
        <color rgb="FF1F2A28"/>
        <rFont val="Arial"/>
        <family val="0"/>
        <charset val="1"/>
      </rPr>
      <t xml:space="preserve">130</t>
    </r>
    <r>
      <rPr>
        <sz val="10"/>
        <color rgb="FF1F2A28"/>
        <rFont val="WenQuanYi Zen Hei"/>
        <family val="2"/>
      </rPr>
      <t xml:space="preserve">巷</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</si>
  <si>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(06)2013556</t>
  </si>
  <si>
    <t xml:space="preserve">minhang2013556@yahoo.com.tw</t>
  </si>
  <si>
    <t xml:space="preserve">2006-01-06</t>
  </si>
  <si>
    <t xml:space="preserve">陳麗卿</t>
  </si>
  <si>
    <t xml:space="preserve">臺南市私立朗文美語短期補習班</t>
  </si>
  <si>
    <r>
      <rPr>
        <sz val="10"/>
        <color rgb="FF1F2A28"/>
        <rFont val="WenQuanYi Zen Hei"/>
        <family val="2"/>
      </rPr>
      <t xml:space="preserve">永康區大橋三街</t>
    </r>
    <r>
      <rPr>
        <sz val="10"/>
        <color rgb="FF1F2A28"/>
        <rFont val="Arial"/>
        <family val="0"/>
        <charset val="1"/>
      </rPr>
      <t xml:space="preserve">146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</si>
  <si>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(06)3021136</t>
  </si>
  <si>
    <t xml:space="preserve">longman.junior@gmail.com</t>
  </si>
  <si>
    <t xml:space="preserve">鄭慧焄</t>
  </si>
  <si>
    <t xml:space="preserve">臺南市私立李老師英語短期補習班</t>
  </si>
  <si>
    <r>
      <rPr>
        <sz val="10"/>
        <color rgb="FF1F2A28"/>
        <rFont val="WenQuanYi Zen Hei"/>
        <family val="2"/>
      </rPr>
      <t xml:space="preserve">永康區大橋二街</t>
    </r>
    <r>
      <rPr>
        <sz val="10"/>
        <color rgb="FF1F2A28"/>
        <rFont val="Arial"/>
        <family val="0"/>
        <charset val="1"/>
      </rPr>
      <t xml:space="preserve">179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</si>
  <si>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(06)2334824</t>
  </si>
  <si>
    <t xml:space="preserve">1996-07-15</t>
  </si>
  <si>
    <t xml:space="preserve">李靜</t>
  </si>
  <si>
    <t xml:space="preserve">臺南市私立東橋芝蔴街文理短期補習班</t>
  </si>
  <si>
    <r>
      <rPr>
        <sz val="10"/>
        <color rgb="FF1F2A28"/>
        <rFont val="WenQuanYi Zen Hei"/>
        <family val="2"/>
      </rPr>
      <t xml:space="preserve">永康區東橋七路</t>
    </r>
    <r>
      <rPr>
        <sz val="10"/>
        <color rgb="FF1F2A28"/>
        <rFont val="Arial"/>
        <family val="0"/>
        <charset val="1"/>
      </rPr>
      <t xml:space="preserve">387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</si>
  <si>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(06)5118086</t>
  </si>
  <si>
    <t xml:space="preserve">tcs@abc-school.com.tw</t>
  </si>
  <si>
    <t xml:space="preserve">2019-07-29</t>
  </si>
  <si>
    <t xml:space="preserve">劉美怡</t>
  </si>
  <si>
    <t xml:space="preserve">臺南市私立東華文理短期補習班</t>
  </si>
  <si>
    <r>
      <rPr>
        <sz val="10"/>
        <color rgb="FF1F2A28"/>
        <rFont val="WenQuanYi Zen Hei"/>
        <family val="2"/>
      </rPr>
      <t xml:space="preserve">永康區大仁街</t>
    </r>
    <r>
      <rPr>
        <sz val="10"/>
        <color rgb="FF1F2A28"/>
        <rFont val="Arial"/>
        <family val="0"/>
        <charset val="1"/>
      </rPr>
      <t xml:space="preserve">212</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</si>
  <si>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(06)2710759</t>
  </si>
  <si>
    <t xml:space="preserve">imwen_shi@yahoo.com.tw</t>
  </si>
  <si>
    <t xml:space="preserve">1998-05-22</t>
  </si>
  <si>
    <t xml:space="preserve">臺南市私立楷斯英文短期補習班</t>
  </si>
  <si>
    <r>
      <rPr>
        <sz val="10"/>
        <color rgb="FF1F2A28"/>
        <rFont val="WenQuanYi Zen Hei"/>
        <family val="2"/>
      </rPr>
      <t xml:space="preserve">永康區復華七街</t>
    </r>
    <r>
      <rPr>
        <sz val="10"/>
        <color rgb="FF1F2A28"/>
        <rFont val="Arial"/>
        <family val="0"/>
        <charset val="1"/>
      </rPr>
      <t xml:space="preserve">145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</si>
  <si>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(06)2020037</t>
  </si>
  <si>
    <t xml:space="preserve">classtime.yungshin@gmail.com</t>
  </si>
  <si>
    <t xml:space="preserve">2009-06-30</t>
  </si>
  <si>
    <t xml:space="preserve">李文欽</t>
  </si>
  <si>
    <t xml:space="preserve">臺南市私立樂笛文理技藝短期補習班</t>
  </si>
  <si>
    <r>
      <rPr>
        <sz val="10"/>
        <color rgb="FF1F2A28"/>
        <rFont val="WenQuanYi Zen Hei"/>
        <family val="2"/>
      </rPr>
      <t xml:space="preserve">永康區國光六街</t>
    </r>
    <r>
      <rPr>
        <sz val="10"/>
        <color rgb="FF1F2A28"/>
        <rFont val="Arial"/>
        <family val="0"/>
        <charset val="1"/>
      </rPr>
      <t xml:space="preserve">71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</si>
  <si>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(06)2715118</t>
  </si>
  <si>
    <t xml:space="preserve">a2955643@gmail.com</t>
  </si>
  <si>
    <t xml:space="preserve">黃祈舜</t>
  </si>
  <si>
    <t xml:space="preserve">羅鳳</t>
  </si>
  <si>
    <t xml:space="preserve">臺南市私立永遠英語短期補習班</t>
  </si>
  <si>
    <r>
      <rPr>
        <sz val="10"/>
        <color rgb="FF1F2A28"/>
        <rFont val="WenQuanYi Zen Hei"/>
        <family val="2"/>
      </rPr>
      <t xml:space="preserve">永康區復華七街</t>
    </r>
    <r>
      <rPr>
        <sz val="10"/>
        <color rgb="FF1F2A28"/>
        <rFont val="Arial"/>
        <family val="0"/>
        <charset val="1"/>
      </rPr>
      <t xml:space="preserve">219</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</si>
  <si>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(06)3013333</t>
  </si>
  <si>
    <t xml:space="preserve">happylion3013333@gmail.com</t>
  </si>
  <si>
    <t xml:space="preserve">2009-07-16</t>
  </si>
  <si>
    <t xml:space="preserve">劉智仁</t>
  </si>
  <si>
    <t xml:space="preserve">劉佩奇</t>
  </si>
  <si>
    <t xml:space="preserve">臺南市私立清華美語短期補習班</t>
  </si>
  <si>
    <r>
      <rPr>
        <sz val="10"/>
        <color rgb="FF1F2A28"/>
        <rFont val="WenQuanYi Zen Hei"/>
        <family val="2"/>
      </rPr>
      <t xml:space="preserve">永康區復華七街</t>
    </r>
    <r>
      <rPr>
        <sz val="10"/>
        <color rgb="FF1F2A28"/>
        <rFont val="Arial"/>
        <family val="0"/>
        <charset val="1"/>
      </rPr>
      <t xml:space="preserve">142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</si>
  <si>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(06)2332172</t>
  </si>
  <si>
    <t xml:space="preserve">rchiang70117@yahoo.com.tw</t>
  </si>
  <si>
    <t xml:space="preserve">1997-04-03</t>
  </si>
  <si>
    <t xml:space="preserve">沈靜嵐</t>
  </si>
  <si>
    <t xml:space="preserve">臺南市私立湯姆熊美語短期補習班</t>
  </si>
  <si>
    <r>
      <rPr>
        <sz val="10"/>
        <color rgb="FF1F2A28"/>
        <rFont val="WenQuanYi Zen Hei"/>
        <family val="2"/>
      </rPr>
      <t xml:space="preserve">永康區龍潭街</t>
    </r>
    <r>
      <rPr>
        <sz val="10"/>
        <color rgb="FF1F2A28"/>
        <rFont val="Arial"/>
        <family val="0"/>
        <charset val="1"/>
      </rPr>
      <t xml:space="preserve">79-1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</si>
  <si>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(06)2039031</t>
  </si>
  <si>
    <t xml:space="preserve">tombear203@gmail.com</t>
  </si>
  <si>
    <t xml:space="preserve">1997-04-02</t>
  </si>
  <si>
    <t xml:space="preserve">吳孔文</t>
  </si>
  <si>
    <t xml:space="preserve">臺南市私立白天鵝美語短期補習班</t>
  </si>
  <si>
    <r>
      <rPr>
        <sz val="10"/>
        <color rgb="FF1F2A28"/>
        <rFont val="WenQuanYi Zen Hei"/>
        <family val="2"/>
      </rPr>
      <t xml:space="preserve">永康區大橋三街</t>
    </r>
    <r>
      <rPr>
        <sz val="10"/>
        <color rgb="FF1F2A28"/>
        <rFont val="Arial"/>
        <family val="0"/>
        <charset val="1"/>
      </rPr>
      <t xml:space="preserve">90</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</si>
  <si>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(06)2310907</t>
  </si>
  <si>
    <t xml:space="preserve">swan.edu@outlook.com</t>
  </si>
  <si>
    <t xml:space="preserve">1995-12-21</t>
  </si>
  <si>
    <t xml:space="preserve">陳英俊</t>
  </si>
  <si>
    <t xml:space="preserve">陳玉珊</t>
  </si>
  <si>
    <t xml:space="preserve">臺南市私立米二外語短期補習班</t>
  </si>
  <si>
    <r>
      <rPr>
        <sz val="10"/>
        <color rgb="FF1F2A28"/>
        <rFont val="WenQuanYi Zen Hei"/>
        <family val="2"/>
      </rPr>
      <t xml:space="preserve">永康區大灣六街</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</si>
  <si>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(06)2720896</t>
  </si>
  <si>
    <t xml:space="preserve">ilovemini2@gmail.com</t>
  </si>
  <si>
    <t xml:space="preserve">2012-10-05</t>
  </si>
  <si>
    <t xml:space="preserve">陳雪芬</t>
  </si>
  <si>
    <t xml:space="preserve">臺南市私立美樂英語文理短期補習班</t>
  </si>
  <si>
    <r>
      <rPr>
        <sz val="10"/>
        <color rgb="FF1F2A28"/>
        <rFont val="WenQuanYi Zen Hei"/>
        <family val="2"/>
      </rPr>
      <t xml:space="preserve">永康區大灣三街</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</si>
  <si>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(06)2057699</t>
  </si>
  <si>
    <t xml:space="preserve">melody53022@yahoo.com.tw</t>
  </si>
  <si>
    <t xml:space="preserve">2012-09-01</t>
  </si>
  <si>
    <t xml:space="preserve">林雅萍</t>
  </si>
  <si>
    <t xml:space="preserve">臺南市私立華清美語短期補習班</t>
  </si>
  <si>
    <r>
      <rPr>
        <sz val="10"/>
        <color rgb="FF1F2A28"/>
        <rFont val="WenQuanYi Zen Hei"/>
        <family val="2"/>
      </rPr>
      <t xml:space="preserve">永康區國華街</t>
    </r>
    <r>
      <rPr>
        <sz val="10"/>
        <color rgb="FF1F2A28"/>
        <rFont val="Arial"/>
        <family val="0"/>
        <charset val="1"/>
      </rPr>
      <t xml:space="preserve">102</t>
    </r>
    <r>
      <rPr>
        <sz val="10"/>
        <color rgb="FF1F2A28"/>
        <rFont val="WenQuanYi Zen Hei"/>
        <family val="2"/>
      </rPr>
      <t xml:space="preserve">巷</t>
    </r>
    <r>
      <rPr>
        <sz val="10"/>
        <color rgb="FF1F2A28"/>
        <rFont val="Arial"/>
        <family val="0"/>
        <charset val="1"/>
      </rPr>
      <t xml:space="preserve">122</t>
    </r>
    <r>
      <rPr>
        <sz val="10"/>
        <color rgb="FF1F2A28"/>
        <rFont val="WenQuanYi Zen Hei"/>
        <family val="2"/>
      </rPr>
      <t xml:space="preserve">弄</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</si>
  <si>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(06)3015200</t>
  </si>
  <si>
    <t xml:space="preserve">0931817@gmail.com</t>
  </si>
  <si>
    <t xml:space="preserve">2005-01-24</t>
  </si>
  <si>
    <t xml:space="preserve">王銘澤</t>
  </si>
  <si>
    <t xml:space="preserve">臺南市私立華聲語文技藝短期補習班永康分班</t>
  </si>
  <si>
    <r>
      <rPr>
        <sz val="10"/>
        <color rgb="FF1F2A28"/>
        <rFont val="WenQuanYi Zen Hei"/>
        <family val="2"/>
      </rPr>
      <t xml:space="preserve">永康區中華路</t>
    </r>
    <r>
      <rPr>
        <sz val="10"/>
        <color rgb="FF1F2A28"/>
        <rFont val="Arial"/>
        <family val="0"/>
        <charset val="1"/>
      </rPr>
      <t xml:space="preserve">700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</si>
  <si>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r>
      <rPr>
        <sz val="10"/>
        <color rgb="FF1F2A28"/>
        <rFont val="Arial"/>
        <family val="0"/>
        <charset val="1"/>
      </rPr>
      <t xml:space="preserve">(06)3015325</t>
    </r>
    <r>
      <rPr>
        <sz val="10"/>
        <color rgb="FF1F2A28"/>
        <rFont val="WenQuanYi Zen Hei"/>
        <family val="2"/>
      </rPr>
      <t xml:space="preserve">、</t>
    </r>
    <r>
      <rPr>
        <sz val="10"/>
        <color rgb="FF1F2A28"/>
        <rFont val="Arial"/>
        <family val="0"/>
        <charset val="1"/>
      </rPr>
      <t xml:space="preserve">3015326</t>
    </r>
  </si>
  <si>
    <t xml:space="preserve">2002-12-02</t>
  </si>
  <si>
    <t xml:space="preserve">鄭如欣</t>
  </si>
  <si>
    <t xml:space="preserve">臺南市私立進取文理短期補習班</t>
  </si>
  <si>
    <r>
      <rPr>
        <sz val="10"/>
        <color rgb="FF1F2A28"/>
        <rFont val="WenQuanYi Zen Hei"/>
        <family val="2"/>
      </rPr>
      <t xml:space="preserve">永康區東橋一路</t>
    </r>
    <r>
      <rPr>
        <sz val="10"/>
        <color rgb="FF1F2A28"/>
        <rFont val="Arial"/>
        <family val="0"/>
        <charset val="1"/>
      </rPr>
      <t xml:space="preserve">312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</si>
  <si>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(06)3036126</t>
  </si>
  <si>
    <t xml:space="preserve">gunn526@gmail.com</t>
  </si>
  <si>
    <t xml:space="preserve">陳雅薰</t>
  </si>
  <si>
    <t xml:space="preserve">陳岳平</t>
  </si>
  <si>
    <t xml:space="preserve">臺南市私立金橋文理短期補習班</t>
  </si>
  <si>
    <r>
      <rPr>
        <sz val="10"/>
        <color rgb="FF1F2A28"/>
        <rFont val="WenQuanYi Zen Hei"/>
        <family val="2"/>
      </rPr>
      <t xml:space="preserve">永康區東橋十街</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</si>
  <si>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(06)3021757</t>
  </si>
  <si>
    <t xml:space="preserve">goldmedal741205@gmail.com</t>
  </si>
  <si>
    <t xml:space="preserve">2013-02-03</t>
  </si>
  <si>
    <t xml:space="preserve">許亨章</t>
  </si>
  <si>
    <r>
      <rPr>
        <sz val="10"/>
        <color rgb="FF1F2A28"/>
        <rFont val="WenQuanYi Zen Hei"/>
        <family val="2"/>
      </rPr>
      <t xml:space="preserve">臺南市私立錢</t>
    </r>
    <r>
      <rPr>
        <sz val="10"/>
        <color rgb="FF1F2A28"/>
        <rFont val="Arial"/>
        <family val="0"/>
        <charset val="1"/>
      </rPr>
      <t xml:space="preserve">SIR</t>
    </r>
    <r>
      <rPr>
        <sz val="10"/>
        <color rgb="FF1F2A28"/>
        <rFont val="WenQuanYi Zen Hei"/>
        <family val="2"/>
      </rPr>
      <t xml:space="preserve">英文短期補習班</t>
    </r>
  </si>
  <si>
    <r>
      <rPr>
        <sz val="10"/>
        <color rgb="FF1F2A28"/>
        <rFont val="WenQuanYi Zen Hei"/>
        <family val="2"/>
      </rPr>
      <t xml:space="preserve">永康區中山東路</t>
    </r>
    <r>
      <rPr>
        <sz val="10"/>
        <color rgb="FF1F2A28"/>
        <rFont val="Arial"/>
        <family val="0"/>
        <charset val="1"/>
      </rPr>
      <t xml:space="preserve">171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</si>
  <si>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(06)2021688</t>
  </si>
  <si>
    <t xml:space="preserve">2009-03-03</t>
  </si>
  <si>
    <t xml:space="preserve">吳厚建</t>
  </si>
  <si>
    <t xml:space="preserve">臺南市私立長堤外語短期補習班</t>
  </si>
  <si>
    <r>
      <rPr>
        <sz val="10"/>
        <color rgb="FF1F2A28"/>
        <rFont val="WenQuanYi Zen Hei"/>
        <family val="2"/>
      </rPr>
      <t xml:space="preserve">永康區仁愛街</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</si>
  <si>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(06)2533556</t>
  </si>
  <si>
    <t xml:space="preserve">s89501022@gmail.com</t>
  </si>
  <si>
    <t xml:space="preserve">2001-03-21</t>
  </si>
  <si>
    <t xml:space="preserve">沈暐閔</t>
  </si>
  <si>
    <t xml:space="preserve">臺南市私立鼎霖語文短期補習班</t>
  </si>
  <si>
    <r>
      <rPr>
        <sz val="10"/>
        <color rgb="FF1F2A28"/>
        <rFont val="WenQuanYi Zen Hei"/>
        <family val="2"/>
      </rPr>
      <t xml:space="preserve">永康區忠孝路</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</si>
  <si>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(06)3120620</t>
  </si>
  <si>
    <t xml:space="preserve">tammiecheng@gmail.com</t>
  </si>
  <si>
    <t xml:space="preserve">2003-10-20</t>
  </si>
  <si>
    <t xml:space="preserve">鄭伊婷</t>
  </si>
  <si>
    <t xml:space="preserve">玉井區</t>
  </si>
  <si>
    <t xml:space="preserve">臺南市私立美雅外語短期補習班</t>
  </si>
  <si>
    <r>
      <rPr>
        <sz val="10"/>
        <color rgb="FF1F2A28"/>
        <rFont val="WenQuanYi Zen Hei"/>
        <family val="2"/>
      </rPr>
      <t xml:space="preserve">玉井區仁愛街</t>
    </r>
    <r>
      <rPr>
        <sz val="10"/>
        <color rgb="FF1F2A28"/>
        <rFont val="Arial"/>
        <family val="0"/>
        <charset val="1"/>
      </rPr>
      <t xml:space="preserve">158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</si>
  <si>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(06)5747977</t>
  </si>
  <si>
    <t xml:space="preserve">1999-01-14</t>
  </si>
  <si>
    <t xml:space="preserve">李易軒</t>
  </si>
  <si>
    <t xml:space="preserve">梁鴻雄</t>
  </si>
  <si>
    <t xml:space="preserve">白河區</t>
  </si>
  <si>
    <t xml:space="preserve">臺南市私立傑升外語短期補習班</t>
  </si>
  <si>
    <r>
      <rPr>
        <sz val="10"/>
        <color rgb="FF1F2A28"/>
        <rFont val="WenQuanYi Zen Hei"/>
        <family val="2"/>
      </rPr>
      <t xml:space="preserve">白河區富民路</t>
    </r>
    <r>
      <rPr>
        <sz val="10"/>
        <color rgb="FF1F2A28"/>
        <rFont val="Arial"/>
        <family val="0"/>
        <charset val="1"/>
      </rPr>
      <t xml:space="preserve">342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</si>
  <si>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(06)6853966</t>
  </si>
  <si>
    <t xml:space="preserve">magic.cheryl@msa.hinet.net</t>
  </si>
  <si>
    <t xml:space="preserve">1997-02-04</t>
  </si>
  <si>
    <t xml:space="preserve">蔡季芳</t>
  </si>
  <si>
    <t xml:space="preserve">蔡惠娟</t>
  </si>
  <si>
    <t xml:space="preserve">西港區</t>
  </si>
  <si>
    <t xml:space="preserve">臺南市私立傑成文理短期補習班</t>
  </si>
  <si>
    <r>
      <rPr>
        <sz val="10"/>
        <color rgb="FF1F2A28"/>
        <rFont val="WenQuanYi Zen Hei"/>
        <family val="2"/>
      </rPr>
      <t xml:space="preserve">西港區新興街</t>
    </r>
    <r>
      <rPr>
        <sz val="10"/>
        <color rgb="FF1F2A28"/>
        <rFont val="Arial"/>
        <family val="0"/>
        <charset val="1"/>
      </rPr>
      <t xml:space="preserve">8-102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</si>
  <si>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(06)7959029</t>
  </si>
  <si>
    <t xml:space="preserve">laura014470@gmail.com</t>
  </si>
  <si>
    <t xml:space="preserve">李富美</t>
  </si>
  <si>
    <t xml:space="preserve">臺南市私立安童語文短期補習班</t>
  </si>
  <si>
    <r>
      <rPr>
        <sz val="10"/>
        <color rgb="FF1F2A28"/>
        <rFont val="WenQuanYi Zen Hei"/>
        <family val="2"/>
      </rPr>
      <t xml:space="preserve">西港區慶安村進學街</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</si>
  <si>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(06)7956258</t>
  </si>
  <si>
    <t xml:space="preserve">邱麗娟</t>
  </si>
  <si>
    <t xml:space="preserve">黃陳惠貞</t>
  </si>
  <si>
    <t xml:space="preserve">臺南市私立長欣文理短期補習班</t>
  </si>
  <si>
    <r>
      <rPr>
        <sz val="10"/>
        <color rgb="FF1F2A28"/>
        <rFont val="WenQuanYi Zen Hei"/>
        <family val="2"/>
      </rPr>
      <t xml:space="preserve">西港區新興街</t>
    </r>
    <r>
      <rPr>
        <sz val="10"/>
        <color rgb="FF1F2A28"/>
        <rFont val="Arial"/>
        <family val="0"/>
        <charset val="1"/>
      </rPr>
      <t xml:space="preserve">107</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</si>
  <si>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(06)7956009</t>
  </si>
  <si>
    <t xml:space="preserve">1997-10-14</t>
  </si>
  <si>
    <t xml:space="preserve">黃天浩</t>
  </si>
  <si>
    <t xml:space="preserve">臺南市私立魔法英語學苑文理短期補習班</t>
  </si>
  <si>
    <r>
      <rPr>
        <sz val="10"/>
        <color rgb="FF1F2A28"/>
        <rFont val="WenQuanYi Zen Hei"/>
        <family val="2"/>
      </rPr>
      <t xml:space="preserve">西港區慶安路</t>
    </r>
    <r>
      <rPr>
        <sz val="10"/>
        <color rgb="FF1F2A28"/>
        <rFont val="Arial"/>
        <family val="0"/>
        <charset val="1"/>
      </rPr>
      <t xml:space="preserve">33</t>
    </r>
    <r>
      <rPr>
        <sz val="10"/>
        <color rgb="FF1F2A28"/>
        <rFont val="WenQuanYi Zen Hei"/>
        <family val="2"/>
      </rPr>
      <t xml:space="preserve">巷</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</si>
  <si>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(06)7955660</t>
  </si>
  <si>
    <t xml:space="preserve">magic.english@msa.hinet.net</t>
  </si>
  <si>
    <t xml:space="preserve">郭怡伶</t>
  </si>
  <si>
    <t xml:space="preserve">關廟區</t>
  </si>
  <si>
    <t xml:space="preserve">臺南市私立卓越美語短期補習班</t>
  </si>
  <si>
    <r>
      <rPr>
        <sz val="10"/>
        <color rgb="FF1F2A28"/>
        <rFont val="WenQuanYi Zen Hei"/>
        <family val="2"/>
      </rPr>
      <t xml:space="preserve">關廟區大仁街</t>
    </r>
    <r>
      <rPr>
        <sz val="10"/>
        <color rgb="FF1F2A28"/>
        <rFont val="Arial"/>
        <family val="0"/>
        <charset val="1"/>
      </rPr>
      <t xml:space="preserve">106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</si>
  <si>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(06)5951743</t>
  </si>
  <si>
    <t xml:space="preserve">2000-07-09</t>
  </si>
  <si>
    <t xml:space="preserve">楊宜璇</t>
  </si>
  <si>
    <t xml:space="preserve">麻豆區</t>
  </si>
  <si>
    <t xml:space="preserve">臺南市私立學仕堡英語短期補習班</t>
  </si>
  <si>
    <r>
      <rPr>
        <sz val="10"/>
        <color rgb="FF1F2A28"/>
        <rFont val="WenQuanYi Zen Hei"/>
        <family val="2"/>
      </rPr>
      <t xml:space="preserve">麻豆區信義路</t>
    </r>
    <r>
      <rPr>
        <sz val="10"/>
        <color rgb="FF1F2A28"/>
        <rFont val="Arial"/>
        <family val="0"/>
        <charset val="1"/>
      </rPr>
      <t xml:space="preserve">8-3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</si>
  <si>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r>
      <rPr>
        <sz val="10"/>
        <color rgb="FF1F2A28"/>
        <rFont val="Arial"/>
        <family val="0"/>
        <charset val="1"/>
      </rPr>
      <t xml:space="preserve">(06</t>
    </r>
    <r>
      <rPr>
        <sz val="10"/>
        <color rgb="FF1F2A28"/>
        <rFont val="WenQuanYi Zen Hei"/>
        <family val="2"/>
      </rPr>
      <t xml:space="preserve">）</t>
    </r>
    <r>
      <rPr>
        <sz val="10"/>
        <color rgb="FF1F2A28"/>
        <rFont val="Arial"/>
        <family val="0"/>
        <charset val="1"/>
      </rPr>
      <t xml:space="preserve">5719475</t>
    </r>
  </si>
  <si>
    <t xml:space="preserve">劉耿全</t>
  </si>
  <si>
    <t xml:space="preserve">臺南市私立安頂語文短期補習班</t>
  </si>
  <si>
    <r>
      <rPr>
        <sz val="10"/>
        <color rgb="FF1F2A28"/>
        <rFont val="WenQuanYi Zen Hei"/>
        <family val="2"/>
      </rPr>
      <t xml:space="preserve">麻豆區平等路</t>
    </r>
    <r>
      <rPr>
        <sz val="10"/>
        <color rgb="FF1F2A28"/>
        <rFont val="Arial"/>
        <family val="0"/>
        <charset val="1"/>
      </rPr>
      <t xml:space="preserve">33</t>
    </r>
    <r>
      <rPr>
        <sz val="10"/>
        <color rgb="FF1F2A28"/>
        <rFont val="WenQuanYi Zen Hei"/>
        <family val="2"/>
      </rPr>
      <t xml:space="preserve">巷</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</si>
  <si>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r>
      <rPr>
        <sz val="10"/>
        <color rgb="FF1F2A28"/>
        <rFont val="Arial"/>
        <family val="0"/>
        <charset val="1"/>
      </rPr>
      <t xml:space="preserve">(06)5727122</t>
    </r>
    <r>
      <rPr>
        <sz val="10"/>
        <color rgb="FF1F2A28"/>
        <rFont val="WenQuanYi Zen Hei"/>
        <family val="2"/>
      </rPr>
      <t xml:space="preserve">、</t>
    </r>
    <r>
      <rPr>
        <sz val="10"/>
        <color rgb="FF1F2A28"/>
        <rFont val="Arial"/>
        <family val="0"/>
        <charset val="1"/>
      </rPr>
      <t xml:space="preserve">5727133</t>
    </r>
  </si>
  <si>
    <t xml:space="preserve">andescramschool@gmail.com</t>
  </si>
  <si>
    <t xml:space="preserve">謝東峻</t>
  </si>
  <si>
    <t xml:space="preserve">臺南市私立巨陽外語短期補習班</t>
  </si>
  <si>
    <r>
      <rPr>
        <sz val="10"/>
        <color rgb="FF1F2A28"/>
        <rFont val="WenQuanYi Zen Hei"/>
        <family val="2"/>
      </rPr>
      <t xml:space="preserve">麻豆區忠孝路</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</si>
  <si>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(06)5727053</t>
  </si>
  <si>
    <t xml:space="preserve">giantlanguage@kimo.com</t>
  </si>
  <si>
    <t xml:space="preserve">1997-04-21</t>
  </si>
  <si>
    <t xml:space="preserve">李惠美</t>
  </si>
  <si>
    <t xml:space="preserve">陳嘉彥</t>
  </si>
  <si>
    <t xml:space="preserve">臺南市私立希耘語文短期補習班</t>
  </si>
  <si>
    <r>
      <rPr>
        <sz val="10"/>
        <color rgb="FF1F2A28"/>
        <rFont val="WenQuanYi Zen Hei"/>
        <family val="2"/>
      </rPr>
      <t xml:space="preserve">麻豆區新生南路</t>
    </r>
    <r>
      <rPr>
        <sz val="10"/>
        <color rgb="FF1F2A28"/>
        <rFont val="Arial"/>
        <family val="0"/>
        <charset val="1"/>
      </rPr>
      <t xml:space="preserve">265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</si>
  <si>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(06)5715291</t>
  </si>
  <si>
    <t xml:space="preserve">volvo5291@gmail.com</t>
  </si>
  <si>
    <t xml:space="preserve">林建志</t>
  </si>
  <si>
    <t xml:space="preserve">臺南市私立英格理文理短期補習班</t>
  </si>
  <si>
    <r>
      <rPr>
        <sz val="10"/>
        <color rgb="FF1F2A28"/>
        <rFont val="WenQuanYi Zen Hei"/>
        <family val="2"/>
      </rPr>
      <t xml:space="preserve">麻豆區興中路</t>
    </r>
    <r>
      <rPr>
        <sz val="10"/>
        <color rgb="FF1F2A28"/>
        <rFont val="Arial"/>
        <family val="0"/>
        <charset val="1"/>
      </rPr>
      <t xml:space="preserve">175</t>
    </r>
    <r>
      <rPr>
        <sz val="10"/>
        <color rgb="FF1F2A28"/>
        <rFont val="WenQuanYi Zen Hei"/>
        <family val="2"/>
      </rPr>
      <t xml:space="preserve">巷</t>
    </r>
    <r>
      <rPr>
        <sz val="10"/>
        <color rgb="FF1F2A28"/>
        <rFont val="Arial"/>
        <family val="0"/>
        <charset val="1"/>
      </rPr>
      <t xml:space="preserve">3-17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</si>
  <si>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(06)5706560</t>
  </si>
  <si>
    <t xml:space="preserve">2016-01-27</t>
  </si>
  <si>
    <t xml:space="preserve">鄭晏榕</t>
  </si>
  <si>
    <t xml:space="preserve">臺南市私立金馬文理短期補習班</t>
  </si>
  <si>
    <r>
      <rPr>
        <sz val="10"/>
        <color rgb="FF1F2A28"/>
        <rFont val="WenQuanYi Zen Hei"/>
        <family val="2"/>
      </rPr>
      <t xml:space="preserve">麻豆區民生路</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</si>
  <si>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(06)5717701</t>
  </si>
  <si>
    <t xml:space="preserve">chunge24016661@gmail.com</t>
  </si>
  <si>
    <t xml:space="preserve">1999-08-02</t>
  </si>
  <si>
    <t xml:space="preserve">黃冠中</t>
  </si>
  <si>
    <t xml:space="preserve">臺南市私立雄鷹文理短期補習班民生分班</t>
  </si>
  <si>
    <r>
      <rPr>
        <sz val="10"/>
        <color rgb="FF1F2A28"/>
        <rFont val="WenQuanYi Zen Hei"/>
        <family val="2"/>
      </rPr>
      <t xml:space="preserve">麻豆區民生路</t>
    </r>
    <r>
      <rPr>
        <sz val="10"/>
        <color rgb="FF1F2A28"/>
        <rFont val="Arial"/>
        <family val="0"/>
        <charset val="1"/>
      </rPr>
      <t xml:space="preserve">7-2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</si>
  <si>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(06)5714141</t>
  </si>
  <si>
    <t xml:space="preserve">jimbomathclass@gmail.com</t>
  </si>
  <si>
    <t xml:space="preserve">潘翊鴻</t>
  </si>
  <si>
    <t xml:space="preserve">凃瑞騏</t>
  </si>
  <si>
    <t xml:space="preserve">臺南市私立頂好英語心算短期補習班</t>
  </si>
  <si>
    <r>
      <rPr>
        <sz val="10"/>
        <color rgb="FF1F2A28"/>
        <rFont val="WenQuanYi Zen Hei"/>
        <family val="2"/>
      </rPr>
      <t xml:space="preserve">麻豆區忠孝路</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</si>
  <si>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(06)5720987</t>
  </si>
  <si>
    <t xml:space="preserve">fmj0917@hotmail.com</t>
  </si>
  <si>
    <t xml:space="preserve">1995-11-21</t>
  </si>
  <si>
    <t xml:space="preserve">馮美蓉</t>
  </si>
  <si>
    <t xml:space="preserve">高雄市</t>
  </si>
  <si>
    <t xml:space="preserve">三民區</t>
  </si>
  <si>
    <t xml:space="preserve">中國青年救國團高雄市團務指導委員會附設文理技藝短期補習班三民分班</t>
  </si>
  <si>
    <r>
      <rPr>
        <sz val="10"/>
        <color rgb="FF1F2A28"/>
        <rFont val="WenQuanYi Zen Hei"/>
        <family val="2"/>
      </rPr>
      <t xml:space="preserve">三民區大昌二路</t>
    </r>
    <r>
      <rPr>
        <sz val="10"/>
        <color rgb="FF1F2A28"/>
        <rFont val="Arial"/>
        <family val="0"/>
        <charset val="1"/>
      </rPr>
      <t xml:space="preserve">270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</si>
  <si>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976-8830</t>
  </si>
  <si>
    <t xml:space="preserve">2620993edm@gmail.com</t>
  </si>
  <si>
    <r>
      <rPr>
        <sz val="10"/>
        <color rgb="FF1F2A28"/>
        <rFont val="WenQuanYi Zen Hei"/>
        <family val="2"/>
      </rPr>
      <t xml:space="preserve">中國青年救國團高雄市團務指導委員會</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梁明峯</t>
    </r>
    <r>
      <rPr>
        <sz val="10"/>
        <color rgb="FF1F2A28"/>
        <rFont val="Arial"/>
        <family val="0"/>
        <charset val="1"/>
      </rPr>
      <t xml:space="preserve">)</t>
    </r>
  </si>
  <si>
    <t xml:space="preserve">林家宏</t>
  </si>
  <si>
    <t xml:space="preserve">何嘉仁文教事業股份有限公司附設高雄市私立嘉和文理短期補習班</t>
  </si>
  <si>
    <r>
      <rPr>
        <sz val="10"/>
        <color rgb="FF1F2A28"/>
        <rFont val="WenQuanYi Zen Hei"/>
        <family val="2"/>
      </rPr>
      <t xml:space="preserve">三民區明仁路</t>
    </r>
    <r>
      <rPr>
        <sz val="10"/>
        <color rgb="FF1F2A28"/>
        <rFont val="Arial"/>
        <family val="0"/>
        <charset val="1"/>
      </rPr>
      <t xml:space="preserve">161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</si>
  <si>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347-9968</t>
  </si>
  <si>
    <t xml:space="preserve">hs2208@hess.com.tw</t>
  </si>
  <si>
    <t xml:space="preserve">何嘉仁文教事業股份有限公司（代表人：秦鴻筠）</t>
  </si>
  <si>
    <t xml:space="preserve">何靜寧</t>
  </si>
  <si>
    <r>
      <rPr>
        <sz val="10"/>
        <color rgb="FF1F2A28"/>
        <rFont val="WenQuanYi Zen Hei"/>
        <family val="2"/>
      </rPr>
      <t xml:space="preserve">弘育教育有限公司附設</t>
    </r>
    <r>
      <rPr>
        <sz val="10"/>
        <color rgb="FF1F2A28"/>
        <rFont val="Arial"/>
        <family val="0"/>
        <charset val="1"/>
      </rPr>
      <t xml:space="preserve">KH</t>
    </r>
    <r>
      <rPr>
        <sz val="10"/>
        <color rgb="FF1F2A28"/>
        <rFont val="WenQuanYi Zen Hei"/>
        <family val="2"/>
      </rPr>
      <t xml:space="preserve">雙語共學園文理短期補習班</t>
    </r>
  </si>
  <si>
    <r>
      <rPr>
        <sz val="10"/>
        <color rgb="FF1F2A28"/>
        <rFont val="WenQuanYi Zen Hei"/>
        <family val="2"/>
      </rPr>
      <t xml:space="preserve">三民區黃興路</t>
    </r>
    <r>
      <rPr>
        <sz val="10"/>
        <color rgb="FF1F2A28"/>
        <rFont val="Arial"/>
        <family val="0"/>
        <charset val="1"/>
      </rPr>
      <t xml:space="preserve">158</t>
    </r>
    <r>
      <rPr>
        <sz val="10"/>
        <color rgb="FF1F2A28"/>
        <rFont val="WenQuanYi Zen Hei"/>
        <family val="2"/>
      </rPr>
      <t xml:space="preserve">巷</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</si>
  <si>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395-7677</t>
  </si>
  <si>
    <t xml:space="preserve">leejean426@gmail.com</t>
  </si>
  <si>
    <t xml:space="preserve">2025-05-27</t>
  </si>
  <si>
    <t xml:space="preserve">黃凱華</t>
  </si>
  <si>
    <t xml:space="preserve">櫻花外語文化有限公司附設東大文理短期補習班</t>
  </si>
  <si>
    <r>
      <rPr>
        <sz val="10"/>
        <color rgb="FF1F2A28"/>
        <rFont val="WenQuanYi Zen Hei"/>
        <family val="2"/>
      </rPr>
      <t xml:space="preserve">三民區大連街</t>
    </r>
    <r>
      <rPr>
        <sz val="10"/>
        <color rgb="FF1F2A28"/>
        <rFont val="Arial"/>
        <family val="0"/>
        <charset val="1"/>
      </rPr>
      <t xml:space="preserve">177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</si>
  <si>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3218886</t>
  </si>
  <si>
    <t xml:space="preserve">kh-dongda@sakura-tw.com</t>
  </si>
  <si>
    <t xml:space="preserve">1999-06-28</t>
  </si>
  <si>
    <t xml:space="preserve">楊智文</t>
  </si>
  <si>
    <t xml:space="preserve">馮燕華</t>
  </si>
  <si>
    <t xml:space="preserve">瀚將教育科技股份有限公司附設百瀚文理短期補習班正興分班</t>
  </si>
  <si>
    <r>
      <rPr>
        <sz val="10"/>
        <color rgb="FF1F2A28"/>
        <rFont val="WenQuanYi Zen Hei"/>
        <family val="2"/>
      </rPr>
      <t xml:space="preserve">三民區正興路</t>
    </r>
    <r>
      <rPr>
        <sz val="10"/>
        <color rgb="FF1F2A28"/>
        <rFont val="Arial"/>
        <family val="0"/>
        <charset val="1"/>
      </rPr>
      <t xml:space="preserve">193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</si>
  <si>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389-2213/216-1189</t>
  </si>
  <si>
    <t xml:space="preserve">鍾尚穎</t>
  </si>
  <si>
    <t xml:space="preserve">瀚將教育科技股份有限公司附設百瀚文理短期補習班河堤分班</t>
  </si>
  <si>
    <r>
      <rPr>
        <sz val="10"/>
        <color rgb="FF1F2A28"/>
        <rFont val="WenQuanYi Zen Hei"/>
        <family val="2"/>
      </rPr>
      <t xml:space="preserve">三民區民族一路</t>
    </r>
    <r>
      <rPr>
        <sz val="10"/>
        <color rgb="FF1F2A28"/>
        <rFont val="Arial"/>
        <family val="0"/>
        <charset val="1"/>
      </rPr>
      <t xml:space="preserve">543</t>
    </r>
    <r>
      <rPr>
        <sz val="10"/>
        <color rgb="FF1F2A28"/>
        <rFont val="WenQuanYi Zen Hei"/>
        <family val="2"/>
      </rPr>
      <t xml:space="preserve">巷</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</si>
  <si>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216-1189/342-3593</t>
  </si>
  <si>
    <t xml:space="preserve">2009-12-14</t>
  </si>
  <si>
    <t xml:space="preserve">陳姿云</t>
  </si>
  <si>
    <t xml:space="preserve">私立中友文理技藝短期補習班莊敬分班</t>
  </si>
  <si>
    <r>
      <rPr>
        <sz val="10"/>
        <color rgb="FF1F2A28"/>
        <rFont val="WenQuanYi Zen Hei"/>
        <family val="2"/>
      </rPr>
      <t xml:space="preserve">三民區莊敬路</t>
    </r>
    <r>
      <rPr>
        <sz val="10"/>
        <color rgb="FF1F2A28"/>
        <rFont val="Arial"/>
        <family val="0"/>
        <charset val="1"/>
      </rPr>
      <t xml:space="preserve">93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</si>
  <si>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r>
      <rPr>
        <sz val="10"/>
        <color rgb="FF1F2A28"/>
        <rFont val="Arial"/>
        <family val="0"/>
        <charset val="1"/>
      </rPr>
      <t xml:space="preserve">383-6573</t>
    </r>
    <r>
      <rPr>
        <sz val="10"/>
        <color rgb="FF1F2A28"/>
        <rFont val="WenQuanYi Zen Hei"/>
        <family val="2"/>
      </rPr>
      <t xml:space="preserve">；</t>
    </r>
    <r>
      <rPr>
        <sz val="10"/>
        <color rgb="FF1F2A28"/>
        <rFont val="Arial"/>
        <family val="0"/>
        <charset val="1"/>
      </rPr>
      <t xml:space="preserve">0958118311</t>
    </r>
  </si>
  <si>
    <t xml:space="preserve">chuang8311@yahoo.com.tw</t>
  </si>
  <si>
    <t xml:space="preserve">2002-11-04</t>
  </si>
  <si>
    <t xml:space="preserve">莊雅娟</t>
  </si>
  <si>
    <t xml:space="preserve">私立傑能外語文理短期補習班</t>
  </si>
  <si>
    <r>
      <rPr>
        <sz val="10"/>
        <color rgb="FF1F2A28"/>
        <rFont val="WenQuanYi Zen Hei"/>
        <family val="2"/>
      </rPr>
      <t xml:space="preserve">三民區黃興路</t>
    </r>
    <r>
      <rPr>
        <sz val="10"/>
        <color rgb="FF1F2A28"/>
        <rFont val="Arial"/>
        <family val="0"/>
        <charset val="1"/>
      </rPr>
      <t xml:space="preserve">226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</si>
  <si>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383-9186</t>
  </si>
  <si>
    <t xml:space="preserve">aspire.dongguang@gmail.com</t>
  </si>
  <si>
    <t xml:space="preserve">黃玉君</t>
  </si>
  <si>
    <t xml:space="preserve">楊斯琦</t>
  </si>
  <si>
    <t xml:space="preserve">私立全能外語文理短期補習班河堤分班</t>
  </si>
  <si>
    <r>
      <rPr>
        <sz val="10"/>
        <color rgb="FF1F2A28"/>
        <rFont val="WenQuanYi Zen Hei"/>
        <family val="2"/>
      </rPr>
      <t xml:space="preserve">三民區鼎瑞街</t>
    </r>
    <r>
      <rPr>
        <sz val="10"/>
        <color rgb="FF1F2A28"/>
        <rFont val="Arial"/>
        <family val="0"/>
        <charset val="1"/>
      </rPr>
      <t xml:space="preserve">119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樓、民族一路</t>
    </r>
    <r>
      <rPr>
        <sz val="10"/>
        <color rgb="FF1F2A28"/>
        <rFont val="Arial"/>
        <family val="0"/>
        <charset val="1"/>
      </rPr>
      <t xml:space="preserve">543</t>
    </r>
    <r>
      <rPr>
        <sz val="10"/>
        <color rgb="FF1F2A28"/>
        <rFont val="WenQuanYi Zen Hei"/>
        <family val="2"/>
      </rPr>
      <t xml:space="preserve">巷</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樓、民族一路</t>
    </r>
    <r>
      <rPr>
        <sz val="10"/>
        <color rgb="FF1F2A28"/>
        <rFont val="Arial"/>
        <family val="0"/>
        <charset val="1"/>
      </rPr>
      <t xml:space="preserve">543</t>
    </r>
    <r>
      <rPr>
        <sz val="10"/>
        <color rgb="FF1F2A28"/>
        <rFont val="WenQuanYi Zen Hei"/>
        <family val="2"/>
      </rPr>
      <t xml:space="preserve">巷</t>
    </r>
    <r>
      <rPr>
        <sz val="10"/>
        <color rgb="FF1F2A28"/>
        <rFont val="Arial"/>
        <family val="0"/>
        <charset val="1"/>
      </rPr>
      <t xml:space="preserve">40</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</si>
  <si>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350-6286</t>
  </si>
  <si>
    <t xml:space="preserve">schoolhouseheti@gmail.com</t>
  </si>
  <si>
    <t xml:space="preserve">陳如意</t>
  </si>
  <si>
    <t xml:space="preserve">劉秀儀</t>
  </si>
  <si>
    <t xml:space="preserve">私立全能外語短期補習班陽明分班</t>
  </si>
  <si>
    <r>
      <rPr>
        <sz val="10"/>
        <color rgb="FF1F2A28"/>
        <rFont val="WenQuanYi Zen Hei"/>
        <family val="2"/>
      </rPr>
      <t xml:space="preserve">三民區義華路</t>
    </r>
    <r>
      <rPr>
        <sz val="10"/>
        <color rgb="FF1F2A28"/>
        <rFont val="Arial"/>
        <family val="0"/>
        <charset val="1"/>
      </rPr>
      <t xml:space="preserve">284</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</si>
  <si>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389-1239</t>
  </si>
  <si>
    <t xml:space="preserve">ilovelabradog@gmail.com</t>
  </si>
  <si>
    <t xml:space="preserve">邱豐士</t>
  </si>
  <si>
    <t xml:space="preserve">蔡淑雅</t>
  </si>
  <si>
    <t xml:space="preserve">私立典科外語文理短期補習班</t>
  </si>
  <si>
    <r>
      <rPr>
        <sz val="10"/>
        <color rgb="FF1F2A28"/>
        <rFont val="WenQuanYi Zen Hei"/>
        <family val="2"/>
      </rPr>
      <t xml:space="preserve">三民區德興街</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</si>
  <si>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0966112712</t>
  </si>
  <si>
    <t xml:space="preserve">denker.academy@gmail.com</t>
  </si>
  <si>
    <t xml:space="preserve">2023-03-10</t>
  </si>
  <si>
    <t xml:space="preserve">沈鳳</t>
  </si>
  <si>
    <t xml:space="preserve">私立可達英語文理短期補習班</t>
  </si>
  <si>
    <r>
      <rPr>
        <sz val="10"/>
        <color rgb="FF1F2A28"/>
        <rFont val="WenQuanYi Zen Hei"/>
        <family val="2"/>
      </rPr>
      <t xml:space="preserve">三民區鼎中路</t>
    </r>
    <r>
      <rPr>
        <sz val="10"/>
        <color rgb="FF1F2A28"/>
        <rFont val="Arial"/>
        <family val="0"/>
        <charset val="1"/>
      </rPr>
      <t xml:space="preserve">653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</si>
  <si>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347-7353</t>
  </si>
  <si>
    <t xml:space="preserve">rody620218@gmail.com</t>
  </si>
  <si>
    <t xml:space="preserve">2002-02-04</t>
  </si>
  <si>
    <t xml:space="preserve">許婉眞</t>
  </si>
  <si>
    <t xml:space="preserve">彭鴻勇</t>
  </si>
  <si>
    <t xml:space="preserve">私立多倫多外語短期補習班</t>
  </si>
  <si>
    <r>
      <rPr>
        <sz val="10"/>
        <color rgb="FF1F2A28"/>
        <rFont val="WenQuanYi Zen Hei"/>
        <family val="2"/>
      </rPr>
      <t xml:space="preserve">三民區瀋陽街</t>
    </r>
    <r>
      <rPr>
        <sz val="10"/>
        <color rgb="FF1F2A28"/>
        <rFont val="Arial"/>
        <family val="0"/>
        <charset val="1"/>
      </rPr>
      <t xml:space="preserve">58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</si>
  <si>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321-8800</t>
  </si>
  <si>
    <t xml:space="preserve">emiljywei@yahoo.com</t>
  </si>
  <si>
    <t xml:space="preserve">1994-07-20</t>
  </si>
  <si>
    <t xml:space="preserve">魏燕梅</t>
  </si>
  <si>
    <t xml:space="preserve">私立大局觀文理技藝短期補習班</t>
  </si>
  <si>
    <r>
      <rPr>
        <sz val="10"/>
        <color rgb="FF1F2A28"/>
        <rFont val="WenQuanYi Zen Hei"/>
        <family val="2"/>
      </rPr>
      <t xml:space="preserve">三民區明福街</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樓及地下一樓</t>
    </r>
  </si>
  <si>
    <t xml:space="preserve">350-3656</t>
  </si>
  <si>
    <t xml:space="preserve">changyung622@gmail.com</t>
  </si>
  <si>
    <t xml:space="preserve">洪玲娟</t>
  </si>
  <si>
    <t xml:space="preserve">私立奇恩文理技藝短期補習班</t>
  </si>
  <si>
    <r>
      <rPr>
        <sz val="10"/>
        <color rgb="FF1F2A28"/>
        <rFont val="WenQuanYi Zen Hei"/>
        <family val="2"/>
      </rPr>
      <t xml:space="preserve">三民區十全一路</t>
    </r>
    <r>
      <rPr>
        <sz val="10"/>
        <color rgb="FF1F2A28"/>
        <rFont val="Arial"/>
        <family val="0"/>
        <charset val="1"/>
      </rPr>
      <t xml:space="preserve">223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</si>
  <si>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311-9938</t>
  </si>
  <si>
    <t xml:space="preserve">shenqshyue@yahoo.com.tw</t>
  </si>
  <si>
    <t xml:space="preserve">1995-08-09</t>
  </si>
  <si>
    <t xml:space="preserve">陳美吟</t>
  </si>
  <si>
    <t xml:space="preserve">私立奧斯卡美語短期補習班</t>
  </si>
  <si>
    <r>
      <rPr>
        <sz val="10"/>
        <color rgb="FF1F2A28"/>
        <rFont val="WenQuanYi Zen Hei"/>
        <family val="2"/>
      </rPr>
      <t xml:space="preserve">三民區應安街</t>
    </r>
    <r>
      <rPr>
        <sz val="10"/>
        <color rgb="FF1F2A28"/>
        <rFont val="Arial"/>
        <family val="0"/>
        <charset val="1"/>
      </rPr>
      <t xml:space="preserve">223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</si>
  <si>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383-4566</t>
  </si>
  <si>
    <t xml:space="preserve">oscarangie1215@yahoo.com.tw</t>
  </si>
  <si>
    <t xml:space="preserve">黃尤美</t>
  </si>
  <si>
    <t xml:space="preserve">私立小尖兵文理短期補習班</t>
  </si>
  <si>
    <r>
      <rPr>
        <sz val="10"/>
        <color rgb="FF1F2A28"/>
        <rFont val="WenQuanYi Zen Hei"/>
        <family val="2"/>
      </rPr>
      <t xml:space="preserve">三民區惠德街</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</si>
  <si>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385-4586</t>
  </si>
  <si>
    <t xml:space="preserve">2001-02-13</t>
  </si>
  <si>
    <t xml:space="preserve">歐青錚</t>
  </si>
  <si>
    <t xml:space="preserve">私立恩尼外語短期補習班</t>
  </si>
  <si>
    <r>
      <rPr>
        <sz val="10"/>
        <color rgb="FF1F2A28"/>
        <rFont val="WenQuanYi Zen Hei"/>
        <family val="2"/>
      </rPr>
      <t xml:space="preserve">三民區遼寧一街</t>
    </r>
    <r>
      <rPr>
        <sz val="10"/>
        <color rgb="FF1F2A28"/>
        <rFont val="Arial"/>
        <family val="0"/>
        <charset val="1"/>
      </rPr>
      <t xml:space="preserve">352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</si>
  <si>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311-4151</t>
  </si>
  <si>
    <t xml:space="preserve">lu3388lu@yahoo.com.tw</t>
  </si>
  <si>
    <t xml:space="preserve">謝雅如</t>
  </si>
  <si>
    <t xml:space="preserve">高慧淳</t>
  </si>
  <si>
    <t xml:space="preserve">私立戴麗玲音樂技藝文理短期補習班</t>
  </si>
  <si>
    <r>
      <rPr>
        <sz val="10"/>
        <color rgb="FF1F2A28"/>
        <rFont val="WenQuanYi Zen Hei"/>
        <family val="2"/>
      </rPr>
      <t xml:space="preserve">三民區正興路</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</si>
  <si>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380-3738</t>
  </si>
  <si>
    <t xml:space="preserve">a5531892@yahoo.com.tw</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</si>
  <si>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商類：珠算、心算、會計</t>
    </r>
    <r>
      <rPr>
        <sz val="10"/>
        <color rgb="FF1F2A28"/>
        <rFont val="Arial"/>
        <family val="0"/>
        <charset val="1"/>
      </rPr>
      <t xml:space="preserve">,</t>
    </r>
    <r>
      <rPr>
        <sz val="10"/>
        <color rgb="FF1F2A28"/>
        <rFont val="WenQuanYi Zen Hei"/>
        <family val="2"/>
      </rPr>
      <t xml:space="preserve">瑜珈類</t>
    </r>
  </si>
  <si>
    <t xml:space="preserve">2006-03-17</t>
  </si>
  <si>
    <t xml:space="preserve">孫聖芳</t>
  </si>
  <si>
    <t xml:space="preserve">林宸筠</t>
  </si>
  <si>
    <t xml:space="preserve">私立捷光外語短期補習班</t>
  </si>
  <si>
    <r>
      <rPr>
        <sz val="10"/>
        <color rgb="FF1F2A28"/>
        <rFont val="WenQuanYi Zen Hei"/>
        <family val="2"/>
      </rPr>
      <t xml:space="preserve">三民區黃興路</t>
    </r>
    <r>
      <rPr>
        <sz val="10"/>
        <color rgb="FF1F2A28"/>
        <rFont val="Arial"/>
        <family val="0"/>
        <charset val="1"/>
      </rPr>
      <t xml:space="preserve">121</t>
    </r>
    <r>
      <rPr>
        <sz val="10"/>
        <color rgb="FF1F2A28"/>
        <rFont val="WenQuanYi Zen Hei"/>
        <family val="2"/>
      </rPr>
      <t xml:space="preserve">號</t>
    </r>
  </si>
  <si>
    <t xml:space="preserve">392-2953</t>
  </si>
  <si>
    <t xml:space="preserve">joydevivi2605@gmail.com</t>
  </si>
  <si>
    <t xml:space="preserve">2000-07-20</t>
  </si>
  <si>
    <t xml:space="preserve">林楷祥</t>
  </si>
  <si>
    <t xml:space="preserve">萬斐珍</t>
  </si>
  <si>
    <t xml:space="preserve">私立摩爾語文短期補習班</t>
  </si>
  <si>
    <r>
      <rPr>
        <sz val="10"/>
        <color rgb="FF1F2A28"/>
        <rFont val="WenQuanYi Zen Hei"/>
        <family val="2"/>
      </rPr>
      <t xml:space="preserve">三民區大豐二路</t>
    </r>
    <r>
      <rPr>
        <sz val="10"/>
        <color rgb="FF1F2A28"/>
        <rFont val="Arial"/>
        <family val="0"/>
        <charset val="1"/>
      </rPr>
      <t xml:space="preserve">106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樓、夾層</t>
    </r>
  </si>
  <si>
    <t xml:space="preserve">398-1511</t>
  </si>
  <si>
    <t xml:space="preserve">slin.jan@gmail.com</t>
  </si>
  <si>
    <t xml:space="preserve">2004-05-21</t>
  </si>
  <si>
    <t xml:space="preserve">黃立堤</t>
  </si>
  <si>
    <t xml:space="preserve">林秀瑩</t>
  </si>
  <si>
    <t xml:space="preserve">私立敦皇外語短期補習班</t>
  </si>
  <si>
    <r>
      <rPr>
        <sz val="10"/>
        <color rgb="FF1F2A28"/>
        <rFont val="WenQuanYi Zen Hei"/>
        <family val="2"/>
      </rPr>
      <t xml:space="preserve">三民區平等路</t>
    </r>
    <r>
      <rPr>
        <sz val="10"/>
        <color rgb="FF1F2A28"/>
        <rFont val="Arial"/>
        <family val="0"/>
        <charset val="1"/>
      </rPr>
      <t xml:space="preserve">51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</si>
  <si>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397-9565</t>
  </si>
  <si>
    <t xml:space="preserve">jenny@kns.com.tw</t>
  </si>
  <si>
    <t xml:space="preserve">2000-08-16</t>
  </si>
  <si>
    <r>
      <rPr>
        <sz val="10"/>
        <color rgb="FF1F2A28"/>
        <rFont val="WenQuanYi Zen Hei"/>
        <family val="2"/>
      </rPr>
      <t xml:space="preserve">敦華英語國際文教股份有限公司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周黃彩娟</t>
    </r>
    <r>
      <rPr>
        <sz val="10"/>
        <color rgb="FF1F2A28"/>
        <rFont val="Arial"/>
        <family val="0"/>
        <charset val="1"/>
      </rPr>
      <t xml:space="preserve">)</t>
    </r>
  </si>
  <si>
    <t xml:space="preserve">林怡芬</t>
  </si>
  <si>
    <t xml:space="preserve">私立文樂電腦美語技藝文理短期補習班</t>
  </si>
  <si>
    <r>
      <rPr>
        <sz val="10"/>
        <color rgb="FF1F2A28"/>
        <rFont val="WenQuanYi Zen Hei"/>
        <family val="2"/>
      </rPr>
      <t xml:space="preserve">三民區民族一路</t>
    </r>
    <r>
      <rPr>
        <sz val="10"/>
        <color rgb="FF1F2A28"/>
        <rFont val="Arial"/>
        <family val="0"/>
        <charset val="1"/>
      </rPr>
      <t xml:space="preserve">465</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</si>
  <si>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345-6818</t>
  </si>
  <si>
    <t xml:space="preserve">deeproots.computer@gmail.com</t>
  </si>
  <si>
    <t xml:space="preserve">鄭佳玲</t>
  </si>
  <si>
    <t xml:space="preserve">私立易橙文理技藝短期補習班</t>
  </si>
  <si>
    <r>
      <rPr>
        <sz val="10"/>
        <color rgb="FF1F2A28"/>
        <rFont val="WenQuanYi Zen Hei"/>
        <family val="2"/>
      </rPr>
      <t xml:space="preserve">三民區建國三路</t>
    </r>
    <r>
      <rPr>
        <sz val="10"/>
        <color rgb="FF1F2A28"/>
        <rFont val="Arial"/>
        <family val="0"/>
        <charset val="1"/>
      </rPr>
      <t xml:space="preserve">168</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</si>
  <si>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285-5820</t>
  </si>
  <si>
    <t xml:space="preserve">loveyicheng168@gmail.com</t>
  </si>
  <si>
    <t xml:space="preserve">2026-03-02</t>
  </si>
  <si>
    <t xml:space="preserve">陳均慈</t>
  </si>
  <si>
    <t xml:space="preserve">陳易涵</t>
  </si>
  <si>
    <t xml:space="preserve">私立書的魔法美語文理短期補習班</t>
  </si>
  <si>
    <r>
      <rPr>
        <sz val="10"/>
        <color rgb="FF1F2A28"/>
        <rFont val="WenQuanYi Zen Hei"/>
        <family val="2"/>
      </rPr>
      <t xml:space="preserve">三民區瀋陽街</t>
    </r>
    <r>
      <rPr>
        <sz val="10"/>
        <color rgb="FF1F2A28"/>
        <rFont val="Arial"/>
        <family val="0"/>
        <charset val="1"/>
      </rPr>
      <t xml:space="preserve">106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</si>
  <si>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313-3913</t>
  </si>
  <si>
    <t xml:space="preserve">cindychenx2@gmail.com</t>
  </si>
  <si>
    <t xml:space="preserve">2004-11-16</t>
  </si>
  <si>
    <t xml:space="preserve">陳薇心</t>
  </si>
  <si>
    <t xml:space="preserve">私立李斯特外語短期補習班</t>
  </si>
  <si>
    <r>
      <rPr>
        <sz val="10"/>
        <color rgb="FF1F2A28"/>
        <rFont val="WenQuanYi Zen Hei"/>
        <family val="2"/>
      </rPr>
      <t xml:space="preserve">三民區義華路</t>
    </r>
    <r>
      <rPr>
        <sz val="10"/>
        <color rgb="FF1F2A28"/>
        <rFont val="Arial"/>
        <family val="0"/>
        <charset val="1"/>
      </rPr>
      <t xml:space="preserve">331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</si>
  <si>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381-3818</t>
  </si>
  <si>
    <t xml:space="preserve">1991-11-07</t>
  </si>
  <si>
    <t xml:space="preserve">何莉蓁</t>
  </si>
  <si>
    <t xml:space="preserve">私立柴田日語文理短期補習班</t>
  </si>
  <si>
    <r>
      <rPr>
        <sz val="10"/>
        <color rgb="FF1F2A28"/>
        <rFont val="WenQuanYi Zen Hei"/>
        <family val="2"/>
      </rPr>
      <t xml:space="preserve">三民區明仁路</t>
    </r>
    <r>
      <rPr>
        <sz val="10"/>
        <color rgb="FF1F2A28"/>
        <rFont val="Arial"/>
        <family val="0"/>
        <charset val="1"/>
      </rPr>
      <t xml:space="preserve">32-1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</si>
  <si>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346-1469</t>
  </si>
  <si>
    <t xml:space="preserve">shibatajapanese@gmail.com</t>
  </si>
  <si>
    <t xml:space="preserve">2011-07-27</t>
  </si>
  <si>
    <t xml:space="preserve">盧靜瑩</t>
  </si>
  <si>
    <t xml:space="preserve">私立求精外語短期補習班</t>
  </si>
  <si>
    <r>
      <rPr>
        <sz val="10"/>
        <color rgb="FF1F2A28"/>
        <rFont val="WenQuanYi Zen Hei"/>
        <family val="2"/>
      </rPr>
      <t xml:space="preserve">三民區中山一路</t>
    </r>
    <r>
      <rPr>
        <sz val="10"/>
        <color rgb="FF1F2A28"/>
        <rFont val="Arial"/>
        <family val="0"/>
        <charset val="1"/>
      </rPr>
      <t xml:space="preserve">303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</si>
  <si>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287-3643 / 236-7708</t>
  </si>
  <si>
    <t xml:space="preserve">yyliuoxford@gmail.com</t>
  </si>
  <si>
    <t xml:space="preserve">1970-09-03</t>
  </si>
  <si>
    <t xml:space="preserve">劉逸雲</t>
  </si>
  <si>
    <t xml:space="preserve">王怡瑾</t>
  </si>
  <si>
    <t xml:space="preserve">私立牛津外語短期補習班</t>
  </si>
  <si>
    <r>
      <rPr>
        <sz val="10"/>
        <color rgb="FF1F2A28"/>
        <rFont val="WenQuanYi Zen Hei"/>
        <family val="2"/>
      </rPr>
      <t xml:space="preserve">三民區自由一路</t>
    </r>
    <r>
      <rPr>
        <sz val="10"/>
        <color rgb="FF1F2A28"/>
        <rFont val="Arial"/>
        <family val="0"/>
        <charset val="1"/>
      </rPr>
      <t xml:space="preserve">40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</si>
  <si>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311-1535</t>
  </si>
  <si>
    <t xml:space="preserve">oxfordkaohsiung@gmail.com</t>
  </si>
  <si>
    <t xml:space="preserve">1989-12-26</t>
  </si>
  <si>
    <t xml:space="preserve">蘇鈺倩</t>
  </si>
  <si>
    <t xml:space="preserve">郭逸專</t>
  </si>
  <si>
    <t xml:space="preserve">私立瑪迪思文理短期補習班</t>
  </si>
  <si>
    <r>
      <rPr>
        <sz val="10"/>
        <color rgb="FF1F2A28"/>
        <rFont val="WenQuanYi Zen Hei"/>
        <family val="2"/>
      </rPr>
      <t xml:space="preserve">三民區黃興路</t>
    </r>
    <r>
      <rPr>
        <sz val="10"/>
        <color rgb="FF1F2A28"/>
        <rFont val="Arial"/>
        <family val="0"/>
        <charset val="1"/>
      </rPr>
      <t xml:space="preserve">117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</si>
  <si>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3905500</t>
  </si>
  <si>
    <t xml:space="preserve">smhs117shaneks6@gmail.com</t>
  </si>
  <si>
    <t xml:space="preserve">2007-05-08</t>
  </si>
  <si>
    <t xml:space="preserve">姚妤臻</t>
  </si>
  <si>
    <t xml:space="preserve">私立睿獅文理短期補習班</t>
  </si>
  <si>
    <r>
      <rPr>
        <sz val="10"/>
        <color rgb="FF1F2A28"/>
        <rFont val="WenQuanYi Zen Hei"/>
        <family val="2"/>
      </rPr>
      <t xml:space="preserve">三民區褒忠街</t>
    </r>
    <r>
      <rPr>
        <sz val="10"/>
        <color rgb="FF1F2A28"/>
        <rFont val="Arial"/>
        <family val="0"/>
        <charset val="1"/>
      </rPr>
      <t xml:space="preserve">155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</si>
  <si>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0933655001</t>
  </si>
  <si>
    <t xml:space="preserve">apple19760714@yahoo.com.tw</t>
  </si>
  <si>
    <t xml:space="preserve">鄭心怡</t>
  </si>
  <si>
    <t xml:space="preserve">私立童話世界外語短期補習班</t>
  </si>
  <si>
    <r>
      <rPr>
        <sz val="10"/>
        <color rgb="FF1F2A28"/>
        <rFont val="WenQuanYi Zen Hei"/>
        <family val="2"/>
      </rPr>
      <t xml:space="preserve">三民區黃興路</t>
    </r>
    <r>
      <rPr>
        <sz val="10"/>
        <color rgb="FF1F2A28"/>
        <rFont val="Arial"/>
        <family val="0"/>
        <charset val="1"/>
      </rPr>
      <t xml:space="preserve">255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</si>
  <si>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389-7858</t>
  </si>
  <si>
    <t xml:space="preserve">fengshang7858@yahoo.com.tw</t>
  </si>
  <si>
    <t xml:space="preserve">2006-03-22</t>
  </si>
  <si>
    <t xml:space="preserve">李敏惠</t>
  </si>
  <si>
    <t xml:space="preserve">李芬芬</t>
  </si>
  <si>
    <t xml:space="preserve">私立童話城堡外語短期補習班</t>
  </si>
  <si>
    <r>
      <rPr>
        <sz val="10"/>
        <color rgb="FF1F2A28"/>
        <rFont val="WenQuanYi Zen Hei"/>
        <family val="2"/>
      </rPr>
      <t xml:space="preserve">三民區澄和路</t>
    </r>
    <r>
      <rPr>
        <sz val="10"/>
        <color rgb="FF1F2A28"/>
        <rFont val="Arial"/>
        <family val="0"/>
        <charset val="1"/>
      </rPr>
      <t xml:space="preserve">110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</si>
  <si>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396-2141 / 392-4633</t>
  </si>
  <si>
    <t xml:space="preserve">sophiesumar@gmail.com</t>
  </si>
  <si>
    <t xml:space="preserve">1995-08-22</t>
  </si>
  <si>
    <t xml:space="preserve">尹曼</t>
  </si>
  <si>
    <t xml:space="preserve">邱雅屏</t>
  </si>
  <si>
    <t xml:space="preserve">私立美利肯美語短期補習班德山分班</t>
  </si>
  <si>
    <r>
      <rPr>
        <sz val="10"/>
        <color rgb="FF1F2A28"/>
        <rFont val="WenQuanYi Zen Hei"/>
        <family val="2"/>
      </rPr>
      <t xml:space="preserve">三民區德山街</t>
    </r>
    <r>
      <rPr>
        <sz val="10"/>
        <color rgb="FF1F2A28"/>
        <rFont val="Arial"/>
        <family val="0"/>
        <charset val="1"/>
      </rPr>
      <t xml:space="preserve">30</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</si>
  <si>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398-4665</t>
  </si>
  <si>
    <t xml:space="preserve">shieh.emily@gmail.com</t>
  </si>
  <si>
    <t xml:space="preserve">2001-10-05</t>
  </si>
  <si>
    <t xml:space="preserve">謝慶伶</t>
  </si>
  <si>
    <t xml:space="preserve">私立美語村外語短期補習班</t>
  </si>
  <si>
    <r>
      <rPr>
        <sz val="10"/>
        <color rgb="FF1F2A28"/>
        <rFont val="WenQuanYi Zen Hei"/>
        <family val="2"/>
      </rPr>
      <t xml:space="preserve">三民區春陽街</t>
    </r>
    <r>
      <rPr>
        <sz val="10"/>
        <color rgb="FF1F2A28"/>
        <rFont val="Arial"/>
        <family val="0"/>
        <charset val="1"/>
      </rPr>
      <t xml:space="preserve">151</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</si>
  <si>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386-1766</t>
  </si>
  <si>
    <t xml:space="preserve">1996-08-30</t>
  </si>
  <si>
    <t xml:space="preserve">曾月華</t>
  </si>
  <si>
    <t xml:space="preserve">王瑞銘</t>
  </si>
  <si>
    <t xml:space="preserve">私立育祥文理技藝短期補習班</t>
  </si>
  <si>
    <r>
      <rPr>
        <sz val="10"/>
        <color rgb="FF1F2A28"/>
        <rFont val="WenQuanYi Zen Hei"/>
        <family val="2"/>
      </rPr>
      <t xml:space="preserve">三民區光武路</t>
    </r>
    <r>
      <rPr>
        <sz val="10"/>
        <color rgb="FF1F2A28"/>
        <rFont val="Arial"/>
        <family val="0"/>
        <charset val="1"/>
      </rPr>
      <t xml:space="preserve">72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</si>
  <si>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380-9855</t>
  </si>
  <si>
    <t xml:space="preserve">bowjinn7166@gmail.com</t>
  </si>
  <si>
    <t xml:space="preserve">2002-04-08</t>
  </si>
  <si>
    <t xml:space="preserve">翁文重</t>
  </si>
  <si>
    <t xml:space="preserve">馮壬香</t>
  </si>
  <si>
    <t xml:space="preserve">私立莎麗語文短期補習班</t>
  </si>
  <si>
    <r>
      <rPr>
        <sz val="10"/>
        <color rgb="FF1F2A28"/>
        <rFont val="WenQuanYi Zen Hei"/>
        <family val="2"/>
      </rPr>
      <t xml:space="preserve">三民區大昌一路</t>
    </r>
    <r>
      <rPr>
        <sz val="10"/>
        <color rgb="FF1F2A28"/>
        <rFont val="Arial"/>
        <family val="0"/>
        <charset val="1"/>
      </rPr>
      <t xml:space="preserve">147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</si>
  <si>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392-2632</t>
  </si>
  <si>
    <t xml:space="preserve">2001-07-18</t>
  </si>
  <si>
    <t xml:space="preserve">詹松霖</t>
  </si>
  <si>
    <t xml:space="preserve">私立葛蕾娜語文文理短期補習班</t>
  </si>
  <si>
    <r>
      <rPr>
        <sz val="10"/>
        <color rgb="FF1F2A28"/>
        <rFont val="WenQuanYi Zen Hei"/>
        <family val="2"/>
      </rPr>
      <t xml:space="preserve">三民區十全一路</t>
    </r>
    <r>
      <rPr>
        <sz val="10"/>
        <color rgb="FF1F2A28"/>
        <rFont val="Arial"/>
        <family val="0"/>
        <charset val="1"/>
      </rPr>
      <t xml:space="preserve">452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</si>
  <si>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322-2158</t>
  </si>
  <si>
    <t xml:space="preserve">joy.shihcyuan@gmail.com</t>
  </si>
  <si>
    <t xml:space="preserve">1999-05-15</t>
  </si>
  <si>
    <t xml:space="preserve">私立蒙麗莎美語短期補習班</t>
  </si>
  <si>
    <r>
      <rPr>
        <sz val="10"/>
        <color rgb="FF1F2A28"/>
        <rFont val="WenQuanYi Zen Hei"/>
        <family val="2"/>
      </rPr>
      <t xml:space="preserve">三民區陽明路</t>
    </r>
    <r>
      <rPr>
        <sz val="10"/>
        <color rgb="FF1F2A28"/>
        <rFont val="Arial"/>
        <family val="0"/>
        <charset val="1"/>
      </rPr>
      <t xml:space="preserve">169</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樓之</t>
    </r>
    <r>
      <rPr>
        <sz val="10"/>
        <color rgb="FF1F2A28"/>
        <rFont val="Arial"/>
        <family val="0"/>
        <charset val="1"/>
      </rPr>
      <t xml:space="preserve">6</t>
    </r>
  </si>
  <si>
    <t xml:space="preserve">389-9956</t>
  </si>
  <si>
    <t xml:space="preserve">melissaslanguageschool@gmail.com</t>
  </si>
  <si>
    <t xml:space="preserve">2002-07-15</t>
  </si>
  <si>
    <t xml:space="preserve">呂文禎</t>
  </si>
  <si>
    <t xml:space="preserve">私立諾亞外語短期補習班</t>
  </si>
  <si>
    <r>
      <rPr>
        <sz val="10"/>
        <color rgb="FF1F2A28"/>
        <rFont val="WenQuanYi Zen Hei"/>
        <family val="2"/>
      </rPr>
      <t xml:space="preserve">三民區立志街</t>
    </r>
    <r>
      <rPr>
        <sz val="10"/>
        <color rgb="FF1F2A28"/>
        <rFont val="Arial"/>
        <family val="0"/>
        <charset val="1"/>
      </rPr>
      <t xml:space="preserve">154</t>
    </r>
    <r>
      <rPr>
        <sz val="10"/>
        <color rgb="FF1F2A28"/>
        <rFont val="WenQuanYi Zen Hei"/>
        <family val="2"/>
      </rPr>
      <t xml:space="preserve">巷</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</si>
  <si>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383-5889</t>
  </si>
  <si>
    <t xml:space="preserve">e1028600@ms22.hinet.net</t>
  </si>
  <si>
    <t xml:space="preserve">1990-12-17</t>
  </si>
  <si>
    <t xml:space="preserve">翁國倫</t>
  </si>
  <si>
    <t xml:space="preserve">陳聖吟</t>
  </si>
  <si>
    <t xml:space="preserve">私立高名文理短期補習班大昌分班</t>
  </si>
  <si>
    <r>
      <rPr>
        <sz val="10"/>
        <color rgb="FF1F2A28"/>
        <rFont val="WenQuanYi Zen Hei"/>
        <family val="2"/>
      </rPr>
      <t xml:space="preserve">三民區莊敬路</t>
    </r>
    <r>
      <rPr>
        <sz val="10"/>
        <color rgb="FF1F2A28"/>
        <rFont val="Arial"/>
        <family val="0"/>
        <charset val="1"/>
      </rPr>
      <t xml:space="preserve">76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</si>
  <si>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392-1819</t>
  </si>
  <si>
    <t xml:space="preserve">ka3921819@gmail.com</t>
  </si>
  <si>
    <t xml:space="preserve">陳姿鋆</t>
  </si>
  <si>
    <t xml:space="preserve">私立鳳凰城外語短期補習班</t>
  </si>
  <si>
    <r>
      <rPr>
        <sz val="10"/>
        <color rgb="FF1F2A28"/>
        <rFont val="WenQuanYi Zen Hei"/>
        <family val="2"/>
      </rPr>
      <t xml:space="preserve">三民區黃興路</t>
    </r>
    <r>
      <rPr>
        <sz val="10"/>
        <color rgb="FF1F2A28"/>
        <rFont val="Arial"/>
        <family val="0"/>
        <charset val="1"/>
      </rPr>
      <t xml:space="preserve">255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</si>
  <si>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2005-09-08</t>
  </si>
  <si>
    <t xml:space="preserve">黃謙鎰</t>
  </si>
  <si>
    <t xml:space="preserve">李亞南</t>
  </si>
  <si>
    <t xml:space="preserve">菁英國際文教事業有限公司附設菁英國際語文短期補習班</t>
  </si>
  <si>
    <r>
      <rPr>
        <sz val="10"/>
        <color rgb="FF1F2A28"/>
        <rFont val="WenQuanYi Zen Hei"/>
        <family val="2"/>
      </rPr>
      <t xml:space="preserve">三民區建國三路</t>
    </r>
    <r>
      <rPr>
        <sz val="10"/>
        <color rgb="FF1F2A28"/>
        <rFont val="Arial"/>
        <family val="0"/>
        <charset val="1"/>
      </rPr>
      <t xml:space="preserve">111</t>
    </r>
    <r>
      <rPr>
        <sz val="10"/>
        <color rgb="FF1F2A28"/>
        <rFont val="WenQuanYi Zen Hei"/>
        <family val="2"/>
      </rPr>
      <t xml:space="preserve">號</t>
    </r>
    <r>
      <rPr>
        <sz val="10"/>
        <color rgb="FF1F2A28"/>
        <rFont val="Arial"/>
        <family val="0"/>
        <charset val="1"/>
      </rPr>
      <t xml:space="preserve">10</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、之</t>
    </r>
    <r>
      <rPr>
        <sz val="10"/>
        <color rgb="FF1F2A28"/>
        <rFont val="Arial"/>
        <family val="0"/>
        <charset val="1"/>
      </rPr>
      <t xml:space="preserve">2</t>
    </r>
  </si>
  <si>
    <t xml:space="preserve">288-5000</t>
  </si>
  <si>
    <t xml:space="preserve">2014-09-02</t>
  </si>
  <si>
    <r>
      <rPr>
        <sz val="10"/>
        <color rgb="FF1F2A28"/>
        <rFont val="WenQuanYi Zen Hei"/>
        <family val="2"/>
      </rPr>
      <t xml:space="preserve">菁英國際文教事業有限公司（代表人</t>
    </r>
    <r>
      <rPr>
        <sz val="10"/>
        <color rgb="FF1F2A28"/>
        <rFont val="Arial"/>
        <family val="0"/>
        <charset val="1"/>
      </rPr>
      <t xml:space="preserve">:</t>
    </r>
    <r>
      <rPr>
        <sz val="10"/>
        <color rgb="FF1F2A28"/>
        <rFont val="WenQuanYi Zen Hei"/>
        <family val="2"/>
      </rPr>
      <t xml:space="preserve">蔣興強）</t>
    </r>
  </si>
  <si>
    <t xml:space="preserve">陳孟新</t>
  </si>
  <si>
    <t xml:space="preserve">仁武區</t>
  </si>
  <si>
    <t xml:space="preserve">私立常春藤文理技藝短期補習班</t>
  </si>
  <si>
    <r>
      <rPr>
        <sz val="10"/>
        <color rgb="FF1F2A28"/>
        <rFont val="WenQuanYi Zen Hei"/>
        <family val="2"/>
      </rPr>
      <t xml:space="preserve">仁武區京吉一路</t>
    </r>
    <r>
      <rPr>
        <sz val="10"/>
        <color rgb="FF1F2A28"/>
        <rFont val="Arial"/>
        <family val="0"/>
        <charset val="1"/>
      </rPr>
      <t xml:space="preserve">106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</si>
  <si>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375-7083</t>
  </si>
  <si>
    <t xml:space="preserve">tony72702001@gmail.com</t>
  </si>
  <si>
    <t xml:space="preserve">2021-07-01</t>
  </si>
  <si>
    <t xml:space="preserve">李俊穎</t>
  </si>
  <si>
    <t xml:space="preserve">吳山川</t>
  </si>
  <si>
    <t xml:space="preserve">私立海納英語短期補習班</t>
  </si>
  <si>
    <r>
      <rPr>
        <sz val="10"/>
        <color rgb="FF1F2A28"/>
        <rFont val="WenQuanYi Zen Hei"/>
        <family val="2"/>
      </rPr>
      <t xml:space="preserve">仁武區澄德路</t>
    </r>
    <r>
      <rPr>
        <sz val="10"/>
        <color rgb="FF1F2A28"/>
        <rFont val="Arial"/>
        <family val="0"/>
        <charset val="1"/>
      </rPr>
      <t xml:space="preserve">81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</si>
  <si>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373-5081</t>
  </si>
  <si>
    <t xml:space="preserve">英語檢定、英文、英語多益</t>
  </si>
  <si>
    <t xml:space="preserve">2023-03-28</t>
  </si>
  <si>
    <t xml:space="preserve">于家韡</t>
  </si>
  <si>
    <t xml:space="preserve">私立辰鑫外語文理短期補習班</t>
  </si>
  <si>
    <r>
      <rPr>
        <sz val="10"/>
        <color rgb="FF1F2A28"/>
        <rFont val="WenQuanYi Zen Hei"/>
        <family val="2"/>
      </rPr>
      <t xml:space="preserve">仁武區仁雄路</t>
    </r>
    <r>
      <rPr>
        <sz val="10"/>
        <color rgb="FF1F2A28"/>
        <rFont val="Arial"/>
        <family val="0"/>
        <charset val="1"/>
      </rPr>
      <t xml:space="preserve">13-32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</si>
  <si>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374-6248</t>
  </si>
  <si>
    <t xml:space="preserve">ejoydengfa@gmail.com</t>
  </si>
  <si>
    <t xml:space="preserve">2008-03-28</t>
  </si>
  <si>
    <t xml:space="preserve">黃進忠</t>
  </si>
  <si>
    <t xml:space="preserve">私立迪士尼外語短期補習班</t>
  </si>
  <si>
    <r>
      <rPr>
        <sz val="10"/>
        <color rgb="FF1F2A28"/>
        <rFont val="WenQuanYi Zen Hei"/>
        <family val="2"/>
      </rPr>
      <t xml:space="preserve">仁武區仁光路</t>
    </r>
    <r>
      <rPr>
        <sz val="10"/>
        <color rgb="FF1F2A28"/>
        <rFont val="Arial"/>
        <family val="0"/>
        <charset val="1"/>
      </rPr>
      <t xml:space="preserve">47</t>
    </r>
    <r>
      <rPr>
        <sz val="10"/>
        <color rgb="FF1F2A28"/>
        <rFont val="WenQuanYi Zen Hei"/>
        <family val="2"/>
      </rPr>
      <t xml:space="preserve">號</t>
    </r>
  </si>
  <si>
    <t xml:space="preserve">372-8235</t>
  </si>
  <si>
    <t xml:space="preserve">楊明知</t>
  </si>
  <si>
    <t xml:space="preserve">黃麗珠</t>
  </si>
  <si>
    <t xml:space="preserve">私立集英堂美語文理短期補習班</t>
  </si>
  <si>
    <r>
      <rPr>
        <sz val="10"/>
        <color rgb="FF1F2A28"/>
        <rFont val="WenQuanYi Zen Hei"/>
        <family val="2"/>
      </rPr>
      <t xml:space="preserve">仁武區仁和街</t>
    </r>
    <r>
      <rPr>
        <sz val="10"/>
        <color rgb="FF1F2A28"/>
        <rFont val="Arial"/>
        <family val="0"/>
        <charset val="1"/>
      </rPr>
      <t xml:space="preserve">101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</si>
  <si>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371-5380</t>
  </si>
  <si>
    <t xml:space="preserve">fudakg@yahoo.com.tw</t>
  </si>
  <si>
    <t xml:space="preserve">張譯心</t>
  </si>
  <si>
    <t xml:space="preserve">賈勝雄</t>
  </si>
  <si>
    <t xml:space="preserve">前金區</t>
  </si>
  <si>
    <t xml:space="preserve">中國青年救國團高雄市團務指導委員會附設文理技藝短期補習班</t>
  </si>
  <si>
    <r>
      <rPr>
        <sz val="10"/>
        <color rgb="FF1F2A28"/>
        <rFont val="WenQuanYi Zen Hei"/>
        <family val="2"/>
      </rPr>
      <t xml:space="preserve">前金區大同二路</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4-5</t>
    </r>
    <r>
      <rPr>
        <sz val="10"/>
        <color rgb="FF1F2A28"/>
        <rFont val="WenQuanYi Zen Hei"/>
        <family val="2"/>
      </rPr>
      <t xml:space="preserve">樓</t>
    </r>
  </si>
  <si>
    <t xml:space="preserve">201-3141</t>
  </si>
  <si>
    <t xml:space="preserve">072013141edm@gmail.com</t>
  </si>
  <si>
    <t xml:space="preserve">張仲南</t>
  </si>
  <si>
    <t xml:space="preserve">婦女會附設外語家政短期補習班</t>
  </si>
  <si>
    <r>
      <rPr>
        <sz val="10"/>
        <color rgb="FF1F2A28"/>
        <rFont val="WenQuanYi Zen Hei"/>
        <family val="2"/>
      </rPr>
      <t xml:space="preserve">前金區旺盛街</t>
    </r>
    <r>
      <rPr>
        <sz val="10"/>
        <color rgb="FF1F2A28"/>
        <rFont val="Arial"/>
        <family val="0"/>
        <charset val="1"/>
      </rPr>
      <t xml:space="preserve">186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</si>
  <si>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(07)272-6878</t>
  </si>
  <si>
    <t xml:space="preserve">kwa456.kwa456@msa.hinet.net</t>
  </si>
  <si>
    <t xml:space="preserve">1992-02-25</t>
  </si>
  <si>
    <r>
      <rPr>
        <sz val="10"/>
        <color rgb="FF1F2A28"/>
        <rFont val="WenQuanYi Zen Hei"/>
        <family val="2"/>
      </rPr>
      <t xml:space="preserve">婦女會</t>
    </r>
    <r>
      <rPr>
        <sz val="10"/>
        <color rgb="FF1F2A28"/>
        <rFont val="Arial"/>
        <family val="0"/>
        <charset val="1"/>
      </rPr>
      <t xml:space="preserve">(</t>
    </r>
    <r>
      <rPr>
        <sz val="10"/>
        <color rgb="FF1F2A28"/>
        <rFont val="WenQuanYi Zen Hei"/>
        <family val="2"/>
      </rPr>
      <t xml:space="preserve">代表人：吳秋麗</t>
    </r>
    <r>
      <rPr>
        <sz val="10"/>
        <color rgb="FF1F2A28"/>
        <rFont val="Arial"/>
        <family val="0"/>
        <charset val="1"/>
      </rPr>
      <t xml:space="preserve">)</t>
    </r>
  </si>
  <si>
    <t xml:space="preserve">蔡靜慧</t>
  </si>
  <si>
    <t xml:space="preserve">私立布萊恩語文短期補習班</t>
  </si>
  <si>
    <r>
      <rPr>
        <sz val="10"/>
        <color rgb="FF1F2A28"/>
        <rFont val="WenQuanYi Zen Hei"/>
        <family val="2"/>
      </rPr>
      <t xml:space="preserve">前金區大同二路</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</si>
  <si>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251-9651</t>
  </si>
  <si>
    <t xml:space="preserve">私立葛來特外語短期補習班</t>
  </si>
  <si>
    <r>
      <rPr>
        <sz val="10"/>
        <color rgb="FF1F2A28"/>
        <rFont val="WenQuanYi Zen Hei"/>
        <family val="2"/>
      </rPr>
      <t xml:space="preserve">前金區自強一路</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樓、夾層</t>
    </r>
  </si>
  <si>
    <t xml:space="preserve">251-9960</t>
  </si>
  <si>
    <t xml:space="preserve">great2519960@gmail.com</t>
  </si>
  <si>
    <t xml:space="preserve">黃馨儀</t>
  </si>
  <si>
    <t xml:space="preserve">金桐股份有限公司附設科見美語文理短期補習班</t>
  </si>
  <si>
    <r>
      <rPr>
        <sz val="10"/>
        <color rgb="FF1F2A28"/>
        <rFont val="WenQuanYi Zen Hei"/>
        <family val="2"/>
      </rPr>
      <t xml:space="preserve">前金區中華三路</t>
    </r>
    <r>
      <rPr>
        <sz val="10"/>
        <color rgb="FF1F2A28"/>
        <rFont val="Arial"/>
        <family val="0"/>
        <charset val="1"/>
      </rPr>
      <t xml:space="preserve">77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樓、夾層及</t>
    </r>
    <r>
      <rPr>
        <sz val="10"/>
        <color rgb="FF1F2A28"/>
        <rFont val="Arial"/>
        <family val="0"/>
        <charset val="1"/>
      </rPr>
      <t xml:space="preserve">77</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室</t>
    </r>
  </si>
  <si>
    <t xml:space="preserve">261-0868</t>
  </si>
  <si>
    <t xml:space="preserve">manager_khs@kojen-els.com.tw</t>
  </si>
  <si>
    <t xml:space="preserve">1989-01-24</t>
  </si>
  <si>
    <r>
      <rPr>
        <sz val="10"/>
        <color rgb="FF1F2A28"/>
        <rFont val="WenQuanYi Zen Hei"/>
        <family val="2"/>
      </rPr>
      <t xml:space="preserve">金桐股份有限公司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侯登見</t>
    </r>
    <r>
      <rPr>
        <sz val="10"/>
        <color rgb="FF1F2A28"/>
        <rFont val="Arial"/>
        <family val="0"/>
        <charset val="1"/>
      </rPr>
      <t xml:space="preserve">)</t>
    </r>
  </si>
  <si>
    <t xml:space="preserve">李盈瑩</t>
  </si>
  <si>
    <t xml:space="preserve">前鎮區</t>
  </si>
  <si>
    <t xml:space="preserve">中國青年救國團高雄市團務指導委員會附設文理技藝短期補習班瑞隆分班</t>
  </si>
  <si>
    <r>
      <rPr>
        <sz val="10"/>
        <color rgb="FF1F2A28"/>
        <rFont val="WenQuanYi Zen Hei"/>
        <family val="2"/>
      </rPr>
      <t xml:space="preserve">前鎮區瑞隆路</t>
    </r>
    <r>
      <rPr>
        <sz val="10"/>
        <color rgb="FF1F2A28"/>
        <rFont val="Arial"/>
        <family val="0"/>
        <charset val="1"/>
      </rPr>
      <t xml:space="preserve">476</t>
    </r>
    <r>
      <rPr>
        <sz val="10"/>
        <color rgb="FF1F2A28"/>
        <rFont val="WenQuanYi Zen Hei"/>
        <family val="2"/>
      </rPr>
      <t xml:space="preserve">號地下一層之</t>
    </r>
    <r>
      <rPr>
        <sz val="10"/>
        <color rgb="FF1F2A28"/>
        <rFont val="Arial"/>
        <family val="0"/>
        <charset val="1"/>
      </rPr>
      <t xml:space="preserve">2</t>
    </r>
    <r>
      <rPr>
        <sz val="10"/>
        <color rgb="FF1F2A28"/>
        <rFont val="WenQuanYi Zen Hei"/>
        <family val="2"/>
      </rPr>
      <t xml:space="preserve">、之</t>
    </r>
    <r>
      <rPr>
        <sz val="10"/>
        <color rgb="FF1F2A28"/>
        <rFont val="Arial"/>
        <family val="0"/>
        <charset val="1"/>
      </rPr>
      <t xml:space="preserve">3</t>
    </r>
  </si>
  <si>
    <t xml:space="preserve">717-1689</t>
  </si>
  <si>
    <t xml:space="preserve">7171689edm@gmail.com</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</si>
  <si>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縫紉類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</si>
  <si>
    <t xml:space="preserve">2008-03-03</t>
  </si>
  <si>
    <t xml:space="preserve">洪瑜苓</t>
  </si>
  <si>
    <t xml:space="preserve">何嘉仁文教事業股份有限公司高雄分公司附設瑞隆外語短期補習班</t>
  </si>
  <si>
    <r>
      <rPr>
        <sz val="10"/>
        <color rgb="FF1F2A28"/>
        <rFont val="WenQuanYi Zen Hei"/>
        <family val="2"/>
      </rPr>
      <t xml:space="preserve">前鎮區瑞隆路</t>
    </r>
    <r>
      <rPr>
        <sz val="10"/>
        <color rgb="FF1F2A28"/>
        <rFont val="Arial"/>
        <family val="0"/>
        <charset val="1"/>
      </rPr>
      <t xml:space="preserve">478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</si>
  <si>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716-1746</t>
  </si>
  <si>
    <t xml:space="preserve">hs3331@hess.com.tw</t>
  </si>
  <si>
    <t xml:space="preserve">2005-05-23</t>
  </si>
  <si>
    <r>
      <rPr>
        <sz val="10"/>
        <color rgb="FF1F2A28"/>
        <rFont val="WenQuanYi Zen Hei"/>
        <family val="2"/>
      </rPr>
      <t xml:space="preserve">何嘉仁文教事業股份有限公司 高雄分公司代表人</t>
    </r>
    <r>
      <rPr>
        <sz val="10"/>
        <color rgb="FF1F2A28"/>
        <rFont val="Arial"/>
        <family val="0"/>
        <charset val="1"/>
      </rPr>
      <t xml:space="preserve">:</t>
    </r>
    <r>
      <rPr>
        <sz val="10"/>
        <color rgb="FF1F2A28"/>
        <rFont val="WenQuanYi Zen Hei"/>
        <family val="2"/>
      </rPr>
      <t xml:space="preserve">武榮財</t>
    </r>
  </si>
  <si>
    <t xml:space="preserve">陳華凌</t>
  </si>
  <si>
    <t xml:space="preserve">私立博鰲文理技藝短期補習班</t>
  </si>
  <si>
    <r>
      <rPr>
        <sz val="10"/>
        <color rgb="FF1F2A28"/>
        <rFont val="WenQuanYi Zen Hei"/>
        <family val="2"/>
      </rPr>
      <t xml:space="preserve">前鎮區明鳳七街</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</si>
  <si>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793-5458</t>
  </si>
  <si>
    <t xml:space="preserve">visionacademy888@gmail.com</t>
  </si>
  <si>
    <t xml:space="preserve">英文、幼兒美語</t>
  </si>
  <si>
    <t xml:space="preserve">郭碧兒</t>
  </si>
  <si>
    <t xml:space="preserve">譚瑋</t>
  </si>
  <si>
    <t xml:space="preserve">私立合和外語文理短期補習班</t>
  </si>
  <si>
    <r>
      <rPr>
        <sz val="10"/>
        <color rgb="FF1F2A28"/>
        <rFont val="WenQuanYi Zen Hei"/>
        <family val="2"/>
      </rPr>
      <t xml:space="preserve">前鎮區光華二路</t>
    </r>
    <r>
      <rPr>
        <sz val="10"/>
        <color rgb="FF1F2A28"/>
        <rFont val="Arial"/>
        <family val="0"/>
        <charset val="1"/>
      </rPr>
      <t xml:space="preserve">70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</si>
  <si>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716-9538</t>
  </si>
  <si>
    <t xml:space="preserve">happydao999@gmail.com</t>
  </si>
  <si>
    <t xml:space="preserve">2025-01-14</t>
  </si>
  <si>
    <t xml:space="preserve">黃桂英</t>
  </si>
  <si>
    <t xml:space="preserve">私立士洪圍棋文理短期補習班</t>
  </si>
  <si>
    <r>
      <rPr>
        <sz val="10"/>
        <color rgb="FF1F2A28"/>
        <rFont val="WenQuanYi Zen Hei"/>
        <family val="2"/>
      </rPr>
      <t xml:space="preserve">前鎮區民權二路</t>
    </r>
    <r>
      <rPr>
        <sz val="10"/>
        <color rgb="FF1F2A28"/>
        <rFont val="Arial"/>
        <family val="0"/>
        <charset val="1"/>
      </rPr>
      <t xml:space="preserve">333-8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</si>
  <si>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537-1200</t>
  </si>
  <si>
    <t xml:space="preserve">ksh60006@yahoo.com.tw</t>
  </si>
  <si>
    <t xml:space="preserve">蓋士洪</t>
  </si>
  <si>
    <t xml:space="preserve">宋欣穎</t>
  </si>
  <si>
    <t xml:space="preserve">私立宇能外語文理短期補習班</t>
  </si>
  <si>
    <r>
      <rPr>
        <sz val="10"/>
        <color rgb="FF1F2A28"/>
        <rFont val="WenQuanYi Zen Hei"/>
        <family val="2"/>
      </rPr>
      <t xml:space="preserve">前鎮區民權二路</t>
    </r>
    <r>
      <rPr>
        <sz val="10"/>
        <color rgb="FF1F2A28"/>
        <rFont val="Arial"/>
        <family val="0"/>
        <charset val="1"/>
      </rPr>
      <t xml:space="preserve">382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</si>
  <si>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537-2838</t>
  </si>
  <si>
    <t xml:space="preserve">slcmq230@gmail.com</t>
  </si>
  <si>
    <t xml:space="preserve">2002-08-14</t>
  </si>
  <si>
    <t xml:space="preserve">陳宏豪</t>
  </si>
  <si>
    <t xml:space="preserve">許裴欐</t>
  </si>
  <si>
    <t xml:space="preserve">私立恆宇專業美語短期補習班</t>
  </si>
  <si>
    <r>
      <rPr>
        <sz val="10"/>
        <color rgb="FF1F2A28"/>
        <rFont val="WenQuanYi Zen Hei"/>
        <family val="2"/>
      </rPr>
      <t xml:space="preserve">前鎮區福祥街</t>
    </r>
    <r>
      <rPr>
        <sz val="10"/>
        <color rgb="FF1F2A28"/>
        <rFont val="Arial"/>
        <family val="0"/>
        <charset val="1"/>
      </rPr>
      <t xml:space="preserve">106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</si>
  <si>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713-8568</t>
  </si>
  <si>
    <t xml:space="preserve">iceyecynthia@yahoo.com.tw</t>
  </si>
  <si>
    <t xml:space="preserve">2013-12-16</t>
  </si>
  <si>
    <t xml:space="preserve">曾佳琪</t>
  </si>
  <si>
    <t xml:space="preserve">私立晨捷外語短期補習班</t>
  </si>
  <si>
    <r>
      <rPr>
        <sz val="10"/>
        <color rgb="FF1F2A28"/>
        <rFont val="WenQuanYi Zen Hei"/>
        <family val="2"/>
      </rPr>
      <t xml:space="preserve">前鎮區正勤路</t>
    </r>
    <r>
      <rPr>
        <sz val="10"/>
        <color rgb="FF1F2A28"/>
        <rFont val="Arial"/>
        <family val="0"/>
        <charset val="1"/>
      </rPr>
      <t xml:space="preserve">69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</si>
  <si>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537-0353</t>
  </si>
  <si>
    <t xml:space="preserve">lilychen1437@gmail.com</t>
  </si>
  <si>
    <t xml:space="preserve">2013-10-03</t>
  </si>
  <si>
    <t xml:space="preserve">卓英詠</t>
  </si>
  <si>
    <t xml:space="preserve">私立智星英語短期補習班</t>
  </si>
  <si>
    <r>
      <rPr>
        <sz val="10"/>
        <color rgb="FF1F2A28"/>
        <rFont val="WenQuanYi Zen Hei"/>
        <family val="2"/>
      </rPr>
      <t xml:space="preserve">前鎮區鄭和路</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</si>
  <si>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334-8335</t>
  </si>
  <si>
    <t xml:space="preserve">bd066@joy.com.tw</t>
  </si>
  <si>
    <t xml:space="preserve">2007-07-18</t>
  </si>
  <si>
    <t xml:space="preserve">施至峯</t>
  </si>
  <si>
    <t xml:space="preserve">私立格銳文理技藝短期補習班</t>
  </si>
  <si>
    <r>
      <rPr>
        <sz val="10"/>
        <color rgb="FF1F2A28"/>
        <rFont val="WenQuanYi Zen Hei"/>
        <family val="2"/>
      </rPr>
      <t xml:space="preserve">前鎮區鄭和南路</t>
    </r>
    <r>
      <rPr>
        <sz val="10"/>
        <color rgb="FF1F2A28"/>
        <rFont val="Arial"/>
        <family val="0"/>
        <charset val="1"/>
      </rPr>
      <t xml:space="preserve">450</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</si>
  <si>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330-8898</t>
  </si>
  <si>
    <t xml:space="preserve">maggie630922@yahoo.com.tw</t>
  </si>
  <si>
    <t xml:space="preserve">黃鈺玶</t>
  </si>
  <si>
    <t xml:space="preserve">黃福吉</t>
  </si>
  <si>
    <t xml:space="preserve">私立耶魯技藝文理短期補習班</t>
  </si>
  <si>
    <r>
      <rPr>
        <sz val="10"/>
        <color rgb="FF1F2A28"/>
        <rFont val="WenQuanYi Zen Hei"/>
        <family val="2"/>
      </rPr>
      <t xml:space="preserve">前鎮區樹人路</t>
    </r>
    <r>
      <rPr>
        <sz val="10"/>
        <color rgb="FF1F2A28"/>
        <rFont val="Arial"/>
        <family val="0"/>
        <charset val="1"/>
      </rPr>
      <t xml:space="preserve">166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樓及夾層</t>
    </r>
  </si>
  <si>
    <t xml:space="preserve">812-0066</t>
  </si>
  <si>
    <t xml:space="preserve">vivien740207@hotmail.com</t>
  </si>
  <si>
    <t xml:space="preserve">1998-01-14</t>
  </si>
  <si>
    <t xml:space="preserve">黃明雪</t>
  </si>
  <si>
    <t xml:space="preserve">賈若薇</t>
  </si>
  <si>
    <t xml:space="preserve">大寮區</t>
  </si>
  <si>
    <t xml:space="preserve">私立國際非凡外語技藝短期補習班</t>
  </si>
  <si>
    <r>
      <rPr>
        <sz val="10"/>
        <color rgb="FF1F2A28"/>
        <rFont val="WenQuanYi Zen Hei"/>
        <family val="2"/>
      </rPr>
      <t xml:space="preserve">大寮區仁德路</t>
    </r>
    <r>
      <rPr>
        <sz val="10"/>
        <color rgb="FF1F2A28"/>
        <rFont val="Arial"/>
        <family val="0"/>
        <charset val="1"/>
      </rPr>
      <t xml:space="preserve">8</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</si>
  <si>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787-1985</t>
  </si>
  <si>
    <t xml:space="preserve">nobe107@nobelschool.com.tw</t>
  </si>
  <si>
    <t xml:space="preserve">黃芳女</t>
  </si>
  <si>
    <t xml:space="preserve">林鈺勳</t>
  </si>
  <si>
    <t xml:space="preserve">私立學園文理短期補習班</t>
  </si>
  <si>
    <r>
      <rPr>
        <sz val="10"/>
        <color rgb="FF1F2A28"/>
        <rFont val="WenQuanYi Zen Hei"/>
        <family val="2"/>
      </rPr>
      <t xml:space="preserve">大寮區進學路</t>
    </r>
    <r>
      <rPr>
        <sz val="10"/>
        <color rgb="FF1F2A28"/>
        <rFont val="Arial"/>
        <family val="0"/>
        <charset val="1"/>
      </rPr>
      <t xml:space="preserve">82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</si>
  <si>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781-5780</t>
  </si>
  <si>
    <t xml:space="preserve">aa0972321619@gmail.com</t>
  </si>
  <si>
    <t xml:space="preserve">2000-04-11</t>
  </si>
  <si>
    <t xml:space="preserve">王玥瑛</t>
  </si>
  <si>
    <t xml:space="preserve">蕭百萼</t>
  </si>
  <si>
    <t xml:space="preserve">私立悅喬美語文理短期補習班</t>
  </si>
  <si>
    <r>
      <rPr>
        <sz val="10"/>
        <color rgb="FF1F2A28"/>
        <rFont val="WenQuanYi Zen Hei"/>
        <family val="2"/>
      </rPr>
      <t xml:space="preserve">大寮區大寮路</t>
    </r>
    <r>
      <rPr>
        <sz val="10"/>
        <color rgb="FF1F2A28"/>
        <rFont val="Arial"/>
        <family val="0"/>
        <charset val="1"/>
      </rPr>
      <t xml:space="preserve">489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</si>
  <si>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788-0769</t>
  </si>
  <si>
    <t xml:space="preserve">2026-01-27</t>
  </si>
  <si>
    <t xml:space="preserve">劉桂娟</t>
  </si>
  <si>
    <t xml:space="preserve">黃加勲</t>
  </si>
  <si>
    <t xml:space="preserve">私立肯塔基文理短期補習班大寮分班</t>
  </si>
  <si>
    <r>
      <rPr>
        <sz val="10"/>
        <color rgb="FF1F2A28"/>
        <rFont val="WenQuanYi Zen Hei"/>
        <family val="2"/>
      </rPr>
      <t xml:space="preserve">大寮區進學路</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</si>
  <si>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786-2288</t>
  </si>
  <si>
    <t xml:space="preserve">kentuckyDL2@gmail.com</t>
  </si>
  <si>
    <t xml:space="preserve">2025-11-26</t>
  </si>
  <si>
    <t xml:space="preserve">張欣釗</t>
  </si>
  <si>
    <t xml:space="preserve">陳思萍</t>
  </si>
  <si>
    <t xml:space="preserve">大樹區</t>
  </si>
  <si>
    <t xml:space="preserve">私立嘟嘟文理短期補習班</t>
  </si>
  <si>
    <r>
      <rPr>
        <sz val="10"/>
        <color rgb="FF1F2A28"/>
        <rFont val="WenQuanYi Zen Hei"/>
        <family val="2"/>
      </rPr>
      <t xml:space="preserve">大樹區中興南路新立巷</t>
    </r>
    <r>
      <rPr>
        <sz val="10"/>
        <color rgb="FF1F2A28"/>
        <rFont val="Arial"/>
        <family val="0"/>
        <charset val="1"/>
      </rPr>
      <t xml:space="preserve">13</t>
    </r>
    <r>
      <rPr>
        <sz val="10"/>
        <color rgb="FF1F2A28"/>
        <rFont val="WenQuanYi Zen Hei"/>
        <family val="2"/>
      </rPr>
      <t xml:space="preserve">弄</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</si>
  <si>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652-9766</t>
  </si>
  <si>
    <t xml:space="preserve">s220697@yahoo.com.tw</t>
  </si>
  <si>
    <t xml:space="preserve">2001-03-28</t>
  </si>
  <si>
    <t xml:space="preserve">洪莞婷</t>
  </si>
  <si>
    <t xml:space="preserve">私立潔西卡外語短期補習班</t>
  </si>
  <si>
    <r>
      <rPr>
        <sz val="10"/>
        <color rgb="FF1F2A28"/>
        <rFont val="WenQuanYi Zen Hei"/>
        <family val="2"/>
      </rPr>
      <t xml:space="preserve">大樹區溪埔路</t>
    </r>
    <r>
      <rPr>
        <sz val="10"/>
        <color rgb="FF1F2A28"/>
        <rFont val="Arial"/>
        <family val="0"/>
        <charset val="1"/>
      </rPr>
      <t xml:space="preserve">359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</si>
  <si>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656-3383</t>
  </si>
  <si>
    <t xml:space="preserve">leeyuyun@hotmail.com</t>
  </si>
  <si>
    <t xml:space="preserve">李玉雲</t>
  </si>
  <si>
    <t xml:space="preserve">大社區</t>
  </si>
  <si>
    <t xml:space="preserve">私立貝爾美語短期補習班</t>
  </si>
  <si>
    <r>
      <rPr>
        <sz val="10"/>
        <color rgb="FF1F2A28"/>
        <rFont val="WenQuanYi Zen Hei"/>
        <family val="2"/>
      </rPr>
      <t xml:space="preserve">大社區自強街</t>
    </r>
    <r>
      <rPr>
        <sz val="10"/>
        <color rgb="FF1F2A28"/>
        <rFont val="Arial"/>
        <family val="0"/>
        <charset val="1"/>
      </rPr>
      <t xml:space="preserve">72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</si>
  <si>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355-9862</t>
  </si>
  <si>
    <t xml:space="preserve">abcoops3@gmail.com</t>
  </si>
  <si>
    <t xml:space="preserve">2002-11-19</t>
  </si>
  <si>
    <t xml:space="preserve">江文宏</t>
  </si>
  <si>
    <t xml:space="preserve">小港區</t>
  </si>
  <si>
    <t xml:space="preserve">海鸚文教股份有限公司附設高雄市私立帕鳻學院文理短期補習班</t>
  </si>
  <si>
    <r>
      <rPr>
        <sz val="10"/>
        <color rgb="FF1F2A28"/>
        <rFont val="WenQuanYi Zen Hei"/>
        <family val="2"/>
      </rPr>
      <t xml:space="preserve">小港區中安路</t>
    </r>
    <r>
      <rPr>
        <sz val="10"/>
        <color rgb="FF1F2A28"/>
        <rFont val="Arial"/>
        <family val="0"/>
        <charset val="1"/>
      </rPr>
      <t xml:space="preserve">819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</si>
  <si>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792-0458</t>
  </si>
  <si>
    <t xml:space="preserve">英文、英語多益、英語檢定</t>
  </si>
  <si>
    <t xml:space="preserve">2026-02-09</t>
  </si>
  <si>
    <t xml:space="preserve">林杰儒</t>
  </si>
  <si>
    <t xml:space="preserve">私立傑波外語短期補習班</t>
  </si>
  <si>
    <r>
      <rPr>
        <sz val="10"/>
        <color rgb="FF1F2A28"/>
        <rFont val="WenQuanYi Zen Hei"/>
        <family val="2"/>
      </rPr>
      <t xml:space="preserve">小港區新豐街</t>
    </r>
    <r>
      <rPr>
        <sz val="10"/>
        <color rgb="FF1F2A28"/>
        <rFont val="Arial"/>
        <family val="0"/>
        <charset val="1"/>
      </rPr>
      <t xml:space="preserve">110-1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</si>
  <si>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801-9625</t>
  </si>
  <si>
    <t xml:space="preserve">陳麗惠</t>
  </si>
  <si>
    <t xml:space="preserve">私立元睿文理短期補習班</t>
  </si>
  <si>
    <r>
      <rPr>
        <sz val="10"/>
        <color rgb="FF1F2A28"/>
        <rFont val="WenQuanYi Zen Hei"/>
        <family val="2"/>
      </rPr>
      <t xml:space="preserve">小港區新豐街</t>
    </r>
    <r>
      <rPr>
        <sz val="10"/>
        <color rgb="FF1F2A28"/>
        <rFont val="Arial"/>
        <family val="0"/>
        <charset val="1"/>
      </rPr>
      <t xml:space="preserve">149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</si>
  <si>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802-4360</t>
  </si>
  <si>
    <t xml:space="preserve">hankkong840824@gmail.com</t>
  </si>
  <si>
    <t xml:space="preserve">2003-02-10</t>
  </si>
  <si>
    <t xml:space="preserve">蘇梅芳</t>
  </si>
  <si>
    <t xml:space="preserve">私立吉尼士外語短期補習班</t>
  </si>
  <si>
    <r>
      <rPr>
        <sz val="10"/>
        <color rgb="FF1F2A28"/>
        <rFont val="WenQuanYi Zen Hei"/>
        <family val="2"/>
      </rPr>
      <t xml:space="preserve">小港區漢民路</t>
    </r>
    <r>
      <rPr>
        <sz val="10"/>
        <color rgb="FF1F2A28"/>
        <rFont val="Arial"/>
        <family val="0"/>
        <charset val="1"/>
      </rPr>
      <t xml:space="preserve">377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</si>
  <si>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806-6630</t>
  </si>
  <si>
    <t xml:space="preserve">cathy@geniusenglish.com.tw</t>
  </si>
  <si>
    <t xml:space="preserve">2000-05-05</t>
  </si>
  <si>
    <t xml:space="preserve">謝榮利</t>
  </si>
  <si>
    <t xml:space="preserve">楊詩音</t>
  </si>
  <si>
    <t xml:space="preserve">私立喬新文理外語短期補習班</t>
  </si>
  <si>
    <r>
      <rPr>
        <sz val="10"/>
        <color rgb="FF1F2A28"/>
        <rFont val="WenQuanYi Zen Hei"/>
        <family val="2"/>
      </rPr>
      <t xml:space="preserve">小港區漢民路</t>
    </r>
    <r>
      <rPr>
        <sz val="10"/>
        <color rgb="FF1F2A28"/>
        <rFont val="Arial"/>
        <family val="0"/>
        <charset val="1"/>
      </rPr>
      <t xml:space="preserve">511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</si>
  <si>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807-0807</t>
  </si>
  <si>
    <t xml:space="preserve">slight.tw02@gmail.com</t>
  </si>
  <si>
    <t xml:space="preserve">張呈堉</t>
  </si>
  <si>
    <t xml:space="preserve">私立大丹外語文理短期補習班</t>
  </si>
  <si>
    <r>
      <rPr>
        <sz val="10"/>
        <color rgb="FF1F2A28"/>
        <rFont val="WenQuanYi Zen Hei"/>
        <family val="2"/>
      </rPr>
      <t xml:space="preserve">小港區大鵬路</t>
    </r>
    <r>
      <rPr>
        <sz val="10"/>
        <color rgb="FF1F2A28"/>
        <rFont val="Arial"/>
        <family val="0"/>
        <charset val="1"/>
      </rPr>
      <t xml:space="preserve">128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</si>
  <si>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807-0486</t>
  </si>
  <si>
    <t xml:space="preserve">2arielmolly@gmail.com</t>
  </si>
  <si>
    <t xml:space="preserve">陳冠伶</t>
  </si>
  <si>
    <t xml:space="preserve">私立杜老師美語短期補習班</t>
  </si>
  <si>
    <r>
      <rPr>
        <sz val="10"/>
        <color rgb="FF1F2A28"/>
        <rFont val="WenQuanYi Zen Hei"/>
        <family val="2"/>
      </rPr>
      <t xml:space="preserve">小港區漢民路</t>
    </r>
    <r>
      <rPr>
        <sz val="10"/>
        <color rgb="FF1F2A28"/>
        <rFont val="Arial"/>
        <family val="0"/>
        <charset val="1"/>
      </rPr>
      <t xml:space="preserve">509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</si>
  <si>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806-0130</t>
  </si>
  <si>
    <t xml:space="preserve">johntu7@gmail.com</t>
  </si>
  <si>
    <t xml:space="preserve">2003-09-19</t>
  </si>
  <si>
    <t xml:space="preserve">杜哲宏</t>
  </si>
  <si>
    <t xml:space="preserve">私立歐娜英文文理短期補習班</t>
  </si>
  <si>
    <r>
      <rPr>
        <sz val="10"/>
        <color rgb="FF1F2A28"/>
        <rFont val="WenQuanYi Zen Hei"/>
        <family val="2"/>
      </rPr>
      <t xml:space="preserve">小港區廈莊三街</t>
    </r>
    <r>
      <rPr>
        <sz val="10"/>
        <color rgb="FF1F2A28"/>
        <rFont val="Arial"/>
        <family val="0"/>
        <charset val="1"/>
      </rPr>
      <t xml:space="preserve">141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</si>
  <si>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0921933611</t>
  </si>
  <si>
    <t xml:space="preserve">Tinycasilda0209@gmail.com</t>
  </si>
  <si>
    <t xml:space="preserve">2026-05-20</t>
  </si>
  <si>
    <t xml:space="preserve">游惠評</t>
  </si>
  <si>
    <t xml:space="preserve">私立王老師資優文理技藝短期補習班</t>
  </si>
  <si>
    <r>
      <rPr>
        <sz val="10"/>
        <color rgb="FF1F2A28"/>
        <rFont val="WenQuanYi Zen Hei"/>
        <family val="2"/>
      </rPr>
      <t xml:space="preserve">小港區新豐街</t>
    </r>
    <r>
      <rPr>
        <sz val="10"/>
        <color rgb="FF1F2A28"/>
        <rFont val="Arial"/>
        <family val="0"/>
        <charset val="1"/>
      </rPr>
      <t xml:space="preserve">99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</si>
  <si>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806-8433/801-4133</t>
  </si>
  <si>
    <t xml:space="preserve">a0329064@yahoo.com.tw</t>
  </si>
  <si>
    <t xml:space="preserve">2007-12-19</t>
  </si>
  <si>
    <t xml:space="preserve">王程環</t>
  </si>
  <si>
    <t xml:space="preserve">私立簡誼外語文理短期補習班</t>
  </si>
  <si>
    <r>
      <rPr>
        <sz val="10"/>
        <color rgb="FF1F2A28"/>
        <rFont val="WenQuanYi Zen Hei"/>
        <family val="2"/>
      </rPr>
      <t xml:space="preserve">小港區沿海一路</t>
    </r>
    <r>
      <rPr>
        <sz val="10"/>
        <color rgb="FF1F2A28"/>
        <rFont val="Arial"/>
        <family val="0"/>
        <charset val="1"/>
      </rPr>
      <t xml:space="preserve">337</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</si>
  <si>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0988-548-811/802-6363</t>
  </si>
  <si>
    <t xml:space="preserve">kelly.cygept@gmail.com</t>
  </si>
  <si>
    <t xml:space="preserve">多益英文、英文、英檢英文、英文會話</t>
  </si>
  <si>
    <t xml:space="preserve">張正儀</t>
  </si>
  <si>
    <t xml:space="preserve">私立育名文理短期補習班</t>
  </si>
  <si>
    <r>
      <rPr>
        <sz val="10"/>
        <color rgb="FF1F2A28"/>
        <rFont val="WenQuanYi Zen Hei"/>
        <family val="2"/>
      </rPr>
      <t xml:space="preserve">小港區桂華街</t>
    </r>
    <r>
      <rPr>
        <sz val="10"/>
        <color rgb="FF1F2A28"/>
        <rFont val="Arial"/>
        <family val="0"/>
        <charset val="1"/>
      </rPr>
      <t xml:space="preserve">345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</si>
  <si>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791-6600/791-7468</t>
  </si>
  <si>
    <t xml:space="preserve">giraffe6600@gmail.com</t>
  </si>
  <si>
    <t xml:space="preserve">2002-11-08</t>
  </si>
  <si>
    <t xml:space="preserve">簡光明</t>
  </si>
  <si>
    <t xml:space="preserve">陸茵茵</t>
  </si>
  <si>
    <t xml:space="preserve">私立資優生升學文理短期補習班</t>
  </si>
  <si>
    <r>
      <rPr>
        <sz val="10"/>
        <color rgb="FF1F2A28"/>
        <rFont val="WenQuanYi Zen Hei"/>
        <family val="2"/>
      </rPr>
      <t xml:space="preserve">小港區桂陽路</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</si>
  <si>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791-5840</t>
  </si>
  <si>
    <t xml:space="preserve">cadina600120@yahoo.com.tw</t>
  </si>
  <si>
    <t xml:space="preserve">2001-03-14</t>
  </si>
  <si>
    <t xml:space="preserve">陳明助</t>
  </si>
  <si>
    <t xml:space="preserve">岡山區</t>
  </si>
  <si>
    <t xml:space="preserve">中國青年救國團高雄市團務指導委員會附設語文技藝短期補習班岡山分班</t>
  </si>
  <si>
    <r>
      <rPr>
        <sz val="10"/>
        <color rgb="FF1F2A28"/>
        <rFont val="WenQuanYi Zen Hei"/>
        <family val="2"/>
      </rPr>
      <t xml:space="preserve">岡山區溪西路</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</si>
  <si>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626-8118</t>
  </si>
  <si>
    <t xml:space="preserve">6268118edm@gmail.com</t>
  </si>
  <si>
    <t xml:space="preserve">2004-08-13</t>
  </si>
  <si>
    <t xml:space="preserve">蔡佳岑</t>
  </si>
  <si>
    <t xml:space="preserve">夢之森國際有限公司附設夢之森文理技藝短期補習班</t>
  </si>
  <si>
    <r>
      <rPr>
        <sz val="10"/>
        <color rgb="FF1F2A28"/>
        <rFont val="WenQuanYi Zen Hei"/>
        <family val="2"/>
      </rPr>
      <t xml:space="preserve">岡山區河華路</t>
    </r>
    <r>
      <rPr>
        <sz val="10"/>
        <color rgb="FF1F2A28"/>
        <rFont val="Arial"/>
        <family val="0"/>
        <charset val="1"/>
      </rPr>
      <t xml:space="preserve">81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</si>
  <si>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625-9960</t>
  </si>
  <si>
    <t xml:space="preserve">dreamforestgroup@gmail.com</t>
  </si>
  <si>
    <t xml:space="preserve">夢之森國際有限公司（代表人：宋美明）</t>
  </si>
  <si>
    <t xml:space="preserve">宋美明</t>
  </si>
  <si>
    <t xml:space="preserve">私立小文山外語文理短期補習班</t>
  </si>
  <si>
    <r>
      <rPr>
        <sz val="10"/>
        <color rgb="FF1F2A28"/>
        <rFont val="WenQuanYi Zen Hei"/>
        <family val="2"/>
      </rPr>
      <t xml:space="preserve">岡山區壽華路</t>
    </r>
    <r>
      <rPr>
        <sz val="10"/>
        <color rgb="FF1F2A28"/>
        <rFont val="Arial"/>
        <family val="0"/>
        <charset val="1"/>
      </rPr>
      <t xml:space="preserve">96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</si>
  <si>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624-2468</t>
  </si>
  <si>
    <t xml:space="preserve">2000-06-02</t>
  </si>
  <si>
    <t xml:space="preserve">吳明育</t>
  </si>
  <si>
    <t xml:space="preserve">私立新頂尖美語短期補習班</t>
  </si>
  <si>
    <r>
      <rPr>
        <sz val="10"/>
        <color rgb="FF1F2A28"/>
        <rFont val="WenQuanYi Zen Hei"/>
        <family val="2"/>
      </rPr>
      <t xml:space="preserve">岡山區育英路</t>
    </r>
    <r>
      <rPr>
        <sz val="10"/>
        <color rgb="FF1F2A28"/>
        <rFont val="Arial"/>
        <family val="0"/>
        <charset val="1"/>
      </rPr>
      <t xml:space="preserve">40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</si>
  <si>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627-0277</t>
  </si>
  <si>
    <t xml:space="preserve">michelle7t7b@yahoo.com.tw</t>
  </si>
  <si>
    <t xml:space="preserve">蔡蘭玉</t>
  </si>
  <si>
    <t xml:space="preserve">蔡玉婷</t>
  </si>
  <si>
    <t xml:space="preserve">私立沛洛捷外語文理短期補習班</t>
  </si>
  <si>
    <r>
      <rPr>
        <sz val="10"/>
        <color rgb="FF1F2A28"/>
        <rFont val="WenQuanYi Zen Hei"/>
        <family val="2"/>
      </rPr>
      <t xml:space="preserve">岡山區育樂巷</t>
    </r>
    <r>
      <rPr>
        <sz val="10"/>
        <color rgb="FF1F2A28"/>
        <rFont val="Arial"/>
        <family val="0"/>
        <charset val="1"/>
      </rPr>
      <t xml:space="preserve">1</t>
    </r>
    <r>
      <rPr>
        <sz val="10"/>
        <color rgb="FF1F2A28"/>
        <rFont val="WenQuanYi Zen Hei"/>
        <family val="2"/>
      </rPr>
      <t xml:space="preserve">弄</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</si>
  <si>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0933-303-091</t>
  </si>
  <si>
    <t xml:space="preserve">laetitia0113@hotmail.com</t>
  </si>
  <si>
    <t xml:space="preserve">2025-03-12</t>
  </si>
  <si>
    <t xml:space="preserve">蕭婕如</t>
  </si>
  <si>
    <t xml:space="preserve">私立溫樂外語短期補習班</t>
  </si>
  <si>
    <r>
      <rPr>
        <sz val="10"/>
        <color rgb="FF1F2A28"/>
        <rFont val="WenQuanYi Zen Hei"/>
        <family val="2"/>
      </rPr>
      <t xml:space="preserve">岡山區岡山路</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</si>
  <si>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629-5408</t>
  </si>
  <si>
    <t xml:space="preserve">陳麗玲</t>
  </si>
  <si>
    <t xml:space="preserve">私立瀚雅文理短期補習班</t>
  </si>
  <si>
    <r>
      <rPr>
        <sz val="10"/>
        <color rgb="FF1F2A28"/>
        <rFont val="WenQuanYi Zen Hei"/>
        <family val="2"/>
      </rPr>
      <t xml:space="preserve">岡山區竹圍東街</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</si>
  <si>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6221679</t>
  </si>
  <si>
    <t xml:space="preserve">stanford_e_s@yahoo.com.tw</t>
  </si>
  <si>
    <t xml:space="preserve">2001-04-15</t>
  </si>
  <si>
    <t xml:space="preserve">黃紀勝</t>
  </si>
  <si>
    <t xml:space="preserve">陳宛婷</t>
  </si>
  <si>
    <t xml:space="preserve">私立珦馹葵美語短期補習班</t>
  </si>
  <si>
    <r>
      <rPr>
        <sz val="10"/>
        <color rgb="FF1F2A28"/>
        <rFont val="WenQuanYi Zen Hei"/>
        <family val="2"/>
      </rPr>
      <t xml:space="preserve">岡山區大仁北路</t>
    </r>
    <r>
      <rPr>
        <sz val="10"/>
        <color rgb="FF1F2A28"/>
        <rFont val="Arial"/>
        <family val="0"/>
        <charset val="1"/>
      </rPr>
      <t xml:space="preserve">392-2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</si>
  <si>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624-6716</t>
  </si>
  <si>
    <t xml:space="preserve">yalisu168@hotmail.com</t>
  </si>
  <si>
    <t xml:space="preserve">2005-07-19</t>
  </si>
  <si>
    <t xml:space="preserve">鄭秀芬</t>
  </si>
  <si>
    <t xml:space="preserve">林珮徵</t>
  </si>
  <si>
    <t xml:space="preserve">私立英倫英語文理技藝短期補習班</t>
  </si>
  <si>
    <r>
      <rPr>
        <sz val="10"/>
        <color rgb="FF1F2A28"/>
        <rFont val="WenQuanYi Zen Hei"/>
        <family val="2"/>
      </rPr>
      <t xml:space="preserve">岡山區竹圍東街</t>
    </r>
    <r>
      <rPr>
        <sz val="10"/>
        <color rgb="FF1F2A28"/>
        <rFont val="Arial"/>
        <family val="0"/>
        <charset val="1"/>
      </rPr>
      <t xml:space="preserve">182</t>
    </r>
    <r>
      <rPr>
        <sz val="10"/>
        <color rgb="FF1F2A28"/>
        <rFont val="WenQuanYi Zen Hei"/>
        <family val="2"/>
      </rPr>
      <t xml:space="preserve">巷</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</si>
  <si>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623-6688</t>
  </si>
  <si>
    <t xml:space="preserve">macmillangangshan@gmail.com</t>
  </si>
  <si>
    <t xml:space="preserve">1999-08-30</t>
  </si>
  <si>
    <t xml:space="preserve">唐千雅</t>
  </si>
  <si>
    <t xml:space="preserve">葛欣芷</t>
  </si>
  <si>
    <t xml:space="preserve">私立語琪外語文理短期補習班</t>
  </si>
  <si>
    <r>
      <rPr>
        <sz val="10"/>
        <color rgb="FF1F2A28"/>
        <rFont val="WenQuanYi Zen Hei"/>
        <family val="2"/>
      </rPr>
      <t xml:space="preserve">岡山區公園西路三段</t>
    </r>
    <r>
      <rPr>
        <sz val="10"/>
        <color rgb="FF1F2A28"/>
        <rFont val="Arial"/>
        <family val="0"/>
        <charset val="1"/>
      </rPr>
      <t xml:space="preserve">165</t>
    </r>
    <r>
      <rPr>
        <sz val="10"/>
        <color rgb="FF1F2A28"/>
        <rFont val="WenQuanYi Zen Hei"/>
        <family val="2"/>
      </rPr>
      <t xml:space="preserve">、</t>
    </r>
    <r>
      <rPr>
        <sz val="10"/>
        <color rgb="FF1F2A28"/>
        <rFont val="Arial"/>
        <family val="0"/>
        <charset val="1"/>
      </rPr>
      <t xml:space="preserve">167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</si>
  <si>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626-9066</t>
  </si>
  <si>
    <t xml:space="preserve">bd033@joy.com.tw</t>
  </si>
  <si>
    <t xml:space="preserve">関語琪</t>
  </si>
  <si>
    <t xml:space="preserve">私立鐸昇文理短期補習班</t>
  </si>
  <si>
    <r>
      <rPr>
        <sz val="10"/>
        <color rgb="FF1F2A28"/>
        <rFont val="WenQuanYi Zen Hei"/>
        <family val="2"/>
      </rPr>
      <t xml:space="preserve">岡山區介壽路</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</si>
  <si>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626-1788</t>
  </si>
  <si>
    <t xml:space="preserve">haburg1222@yahoo.com.tw</t>
  </si>
  <si>
    <t xml:space="preserve">楊桂美</t>
  </si>
  <si>
    <t xml:space="preserve">劉志賢</t>
  </si>
  <si>
    <t xml:space="preserve">左營區</t>
  </si>
  <si>
    <t xml:space="preserve">中國青年救國團高雄市團務指導委員會附設文理技藝短期補習班光洲分班</t>
  </si>
  <si>
    <r>
      <rPr>
        <sz val="10"/>
        <color rgb="FF1F2A28"/>
        <rFont val="WenQuanYi Zen Hei"/>
        <family val="2"/>
      </rPr>
      <t xml:space="preserve">左營區裕誠路</t>
    </r>
    <r>
      <rPr>
        <sz val="10"/>
        <color rgb="FF1F2A28"/>
        <rFont val="Arial"/>
        <family val="0"/>
        <charset val="1"/>
      </rPr>
      <t xml:space="preserve">392</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</si>
  <si>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557-5800</t>
  </si>
  <si>
    <t xml:space="preserve">5575800edm@gmail.com</t>
  </si>
  <si>
    <t xml:space="preserve">陳佩妮</t>
  </si>
  <si>
    <t xml:space="preserve">敦華英語國際文教股份有限公司附設高雄市私立敦華英語短期補習班</t>
  </si>
  <si>
    <r>
      <rPr>
        <sz val="10"/>
        <color rgb="FF1F2A28"/>
        <rFont val="WenQuanYi Zen Hei"/>
        <family val="2"/>
      </rPr>
      <t xml:space="preserve">左營區孟子路</t>
    </r>
    <r>
      <rPr>
        <sz val="10"/>
        <color rgb="FF1F2A28"/>
        <rFont val="Arial"/>
        <family val="0"/>
        <charset val="1"/>
      </rPr>
      <t xml:space="preserve">560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</si>
  <si>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359-1066</t>
  </si>
  <si>
    <t xml:space="preserve">2018-05-22</t>
  </si>
  <si>
    <t xml:space="preserve">周黃彩娟</t>
  </si>
  <si>
    <t xml:space="preserve">漆玥妤</t>
  </si>
  <si>
    <t xml:space="preserve">明光文教事業股份有限公司附設明光義塾語文文理短期補習班</t>
  </si>
  <si>
    <r>
      <rPr>
        <sz val="10"/>
        <color rgb="FF1F2A28"/>
        <rFont val="WenQuanYi Zen Hei"/>
        <family val="2"/>
      </rPr>
      <t xml:space="preserve">左營區自由二路</t>
    </r>
    <r>
      <rPr>
        <sz val="10"/>
        <color rgb="FF1F2A28"/>
        <rFont val="Arial"/>
        <family val="0"/>
        <charset val="1"/>
      </rPr>
      <t xml:space="preserve">81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</si>
  <si>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556-5565</t>
  </si>
  <si>
    <t xml:space="preserve">2018-10-16</t>
  </si>
  <si>
    <t xml:space="preserve">楊婷方</t>
  </si>
  <si>
    <t xml:space="preserve">私立來梭外語文理短期補習班</t>
  </si>
  <si>
    <r>
      <rPr>
        <sz val="10"/>
        <color rgb="FF1F2A28"/>
        <rFont val="WenQuanYi Zen Hei"/>
        <family val="2"/>
      </rPr>
      <t xml:space="preserve">左營區自由二路</t>
    </r>
    <r>
      <rPr>
        <sz val="10"/>
        <color rgb="FF1F2A28"/>
        <rFont val="Arial"/>
        <family val="0"/>
        <charset val="1"/>
      </rPr>
      <t xml:space="preserve">85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89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</si>
  <si>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556-0055</t>
  </si>
  <si>
    <t xml:space="preserve">maochang@isu.edu.tw</t>
  </si>
  <si>
    <t xml:space="preserve">洪素蘭</t>
  </si>
  <si>
    <t xml:space="preserve">私立保進英文短期補習班</t>
  </si>
  <si>
    <r>
      <rPr>
        <sz val="10"/>
        <color rgb="FF1F2A28"/>
        <rFont val="WenQuanYi Zen Hei"/>
        <family val="2"/>
      </rPr>
      <t xml:space="preserve">左營區重和路</t>
    </r>
    <r>
      <rPr>
        <sz val="10"/>
        <color rgb="FF1F2A28"/>
        <rFont val="Arial"/>
        <family val="0"/>
        <charset val="1"/>
      </rPr>
      <t xml:space="preserve">111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</si>
  <si>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348-3781</t>
  </si>
  <si>
    <t xml:space="preserve">mosasa5368@gmail.com</t>
  </si>
  <si>
    <t xml:space="preserve">2005-09-14</t>
  </si>
  <si>
    <t xml:space="preserve">竇瑜芬</t>
  </si>
  <si>
    <t xml:space="preserve">莊于瓊</t>
  </si>
  <si>
    <t xml:space="preserve">私立傑能外語文理短期補習班新光分班</t>
  </si>
  <si>
    <r>
      <rPr>
        <sz val="10"/>
        <color rgb="FF1F2A28"/>
        <rFont val="WenQuanYi Zen Hei"/>
        <family val="2"/>
      </rPr>
      <t xml:space="preserve">左營區華夏路</t>
    </r>
    <r>
      <rPr>
        <sz val="10"/>
        <color rgb="FF1F2A28"/>
        <rFont val="Arial"/>
        <family val="0"/>
        <charset val="1"/>
      </rPr>
      <t xml:space="preserve">723</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</si>
  <si>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350-0168</t>
  </si>
  <si>
    <t xml:space="preserve">aspire.xinguang@gmail.com</t>
  </si>
  <si>
    <t xml:space="preserve">邁哲思</t>
  </si>
  <si>
    <t xml:space="preserve">黃璉禧</t>
  </si>
  <si>
    <t xml:space="preserve">私立優妮絲美語短期補習班</t>
  </si>
  <si>
    <r>
      <rPr>
        <sz val="10"/>
        <color rgb="FF1F2A28"/>
        <rFont val="WenQuanYi Zen Hei"/>
        <family val="2"/>
      </rPr>
      <t xml:space="preserve">左營區民族一路</t>
    </r>
    <r>
      <rPr>
        <sz val="10"/>
        <color rgb="FF1F2A28"/>
        <rFont val="Arial"/>
        <family val="0"/>
        <charset val="1"/>
      </rPr>
      <t xml:space="preserve">1003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樓、夾層及</t>
    </r>
    <r>
      <rPr>
        <sz val="10"/>
        <color rgb="FF1F2A28"/>
        <rFont val="Arial"/>
        <family val="0"/>
        <charset val="1"/>
      </rPr>
      <t xml:space="preserve">2</t>
    </r>
    <r>
      <rPr>
        <sz val="10"/>
        <color rgb="FF1F2A28"/>
        <rFont val="WenQuanYi Zen Hei"/>
        <family val="2"/>
      </rPr>
      <t xml:space="preserve">樓</t>
    </r>
  </si>
  <si>
    <t xml:space="preserve">348-2752</t>
  </si>
  <si>
    <t xml:space="preserve">sufengyi0426@gmail.com</t>
  </si>
  <si>
    <t xml:space="preserve">王蓓珊</t>
  </si>
  <si>
    <t xml:space="preserve">私立優軒英語文理短期補習班</t>
  </si>
  <si>
    <r>
      <rPr>
        <sz val="10"/>
        <color rgb="FF1F2A28"/>
        <rFont val="WenQuanYi Zen Hei"/>
        <family val="2"/>
      </rPr>
      <t xml:space="preserve">左營區光興街</t>
    </r>
    <r>
      <rPr>
        <sz val="10"/>
        <color rgb="FF1F2A28"/>
        <rFont val="Arial"/>
        <family val="0"/>
        <charset val="1"/>
      </rPr>
      <t xml:space="preserve">58</t>
    </r>
    <r>
      <rPr>
        <sz val="10"/>
        <color rgb="FF1F2A28"/>
        <rFont val="WenQuanYi Zen Hei"/>
        <family val="2"/>
      </rPr>
      <t xml:space="preserve">巷</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</si>
  <si>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556-8627</t>
  </si>
  <si>
    <t xml:space="preserve">hector8930107@gmail.com</t>
  </si>
  <si>
    <t xml:space="preserve">朱倩慧</t>
  </si>
  <si>
    <t xml:space="preserve">陳衍宏</t>
  </si>
  <si>
    <t xml:space="preserve">私立優軒英語文理短期補習班明誠分班</t>
  </si>
  <si>
    <r>
      <rPr>
        <sz val="10"/>
        <color rgb="FF1F2A28"/>
        <rFont val="WenQuanYi Zen Hei"/>
        <family val="2"/>
      </rPr>
      <t xml:space="preserve">左營區明誠二路</t>
    </r>
    <r>
      <rPr>
        <sz val="10"/>
        <color rgb="FF1F2A28"/>
        <rFont val="Arial"/>
        <family val="0"/>
        <charset val="1"/>
      </rPr>
      <t xml:space="preserve">214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</si>
  <si>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556-8765</t>
  </si>
  <si>
    <t xml:space="preserve">私立全能外語短期補習班文慈分班</t>
  </si>
  <si>
    <r>
      <rPr>
        <sz val="10"/>
        <color rgb="FF1F2A28"/>
        <rFont val="WenQuanYi Zen Hei"/>
        <family val="2"/>
      </rPr>
      <t xml:space="preserve">左營區文慈路</t>
    </r>
    <r>
      <rPr>
        <sz val="10"/>
        <color rgb="FF1F2A28"/>
        <rFont val="Arial"/>
        <family val="0"/>
        <charset val="1"/>
      </rPr>
      <t xml:space="preserve">162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</si>
  <si>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341-1636</t>
  </si>
  <si>
    <t xml:space="preserve">fushan2007@yahoo.com.tw</t>
  </si>
  <si>
    <t xml:space="preserve">2014-10-27</t>
  </si>
  <si>
    <t xml:space="preserve">謝佩蓓</t>
  </si>
  <si>
    <t xml:space="preserve">私立全能外語短期補習班福山分班</t>
  </si>
  <si>
    <r>
      <rPr>
        <sz val="10"/>
        <color rgb="FF1F2A28"/>
        <rFont val="WenQuanYi Zen Hei"/>
        <family val="2"/>
      </rPr>
      <t xml:space="preserve">左營區文慈路</t>
    </r>
    <r>
      <rPr>
        <sz val="10"/>
        <color rgb="FF1F2A28"/>
        <rFont val="Arial"/>
        <family val="0"/>
        <charset val="1"/>
      </rPr>
      <t xml:space="preserve">166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</si>
  <si>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2003-05-12</t>
  </si>
  <si>
    <t xml:space="preserve">私立崇德美語文理短期補習班</t>
  </si>
  <si>
    <r>
      <rPr>
        <sz val="10"/>
        <color rgb="FF1F2A28"/>
        <rFont val="WenQuanYi Zen Hei"/>
        <family val="2"/>
      </rPr>
      <t xml:space="preserve">左營區文自路</t>
    </r>
    <r>
      <rPr>
        <sz val="10"/>
        <color rgb="FF1F2A28"/>
        <rFont val="Arial"/>
        <family val="0"/>
        <charset val="1"/>
      </rPr>
      <t xml:space="preserve">203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</si>
  <si>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348-1234</t>
  </si>
  <si>
    <t xml:space="preserve">ivyengschool@gmail.com</t>
  </si>
  <si>
    <t xml:space="preserve">呂玉成</t>
  </si>
  <si>
    <t xml:space="preserve">吳逸哲</t>
  </si>
  <si>
    <t xml:space="preserve">私立幼津外語短期補習班</t>
  </si>
  <si>
    <r>
      <rPr>
        <sz val="10"/>
        <color rgb="FF1F2A28"/>
        <rFont val="WenQuanYi Zen Hei"/>
        <family val="2"/>
      </rPr>
      <t xml:space="preserve">左營區富民路</t>
    </r>
    <r>
      <rPr>
        <sz val="10"/>
        <color rgb="FF1F2A28"/>
        <rFont val="Arial"/>
        <family val="0"/>
        <charset val="1"/>
      </rPr>
      <t xml:space="preserve">57</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</si>
  <si>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558-0018</t>
  </si>
  <si>
    <t xml:space="preserve">barbielu.oxford@kimo.com</t>
  </si>
  <si>
    <t xml:space="preserve">王綵諄</t>
  </si>
  <si>
    <t xml:space="preserve">私立廣鴻外語短期補習班</t>
  </si>
  <si>
    <r>
      <rPr>
        <sz val="10"/>
        <color rgb="FF1F2A28"/>
        <rFont val="WenQuanYi Zen Hei"/>
        <family val="2"/>
      </rPr>
      <t xml:space="preserve">左營區重愛路</t>
    </r>
    <r>
      <rPr>
        <sz val="10"/>
        <color rgb="FF1F2A28"/>
        <rFont val="Arial"/>
        <family val="0"/>
        <charset val="1"/>
      </rPr>
      <t xml:space="preserve">152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</si>
  <si>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343-8098</t>
  </si>
  <si>
    <t xml:space="preserve">aa095639@gmail.com</t>
  </si>
  <si>
    <t xml:space="preserve">1999-10-02</t>
  </si>
  <si>
    <t xml:space="preserve">戴敬文</t>
  </si>
  <si>
    <t xml:space="preserve">戴允斌</t>
  </si>
  <si>
    <t xml:space="preserve">私立強納生美語文理短期補習班勝利分班</t>
  </si>
  <si>
    <r>
      <rPr>
        <sz val="10"/>
        <color rgb="FF1F2A28"/>
        <rFont val="WenQuanYi Zen Hei"/>
        <family val="2"/>
      </rPr>
      <t xml:space="preserve">左營區南屏路</t>
    </r>
    <r>
      <rPr>
        <sz val="10"/>
        <color rgb="FF1F2A28"/>
        <rFont val="Arial"/>
        <family val="0"/>
        <charset val="1"/>
      </rPr>
      <t xml:space="preserve">117</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</si>
  <si>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555-0282</t>
  </si>
  <si>
    <t xml:space="preserve">jj55028282026@gmail.com</t>
  </si>
  <si>
    <t xml:space="preserve">2007-05-17</t>
  </si>
  <si>
    <t xml:space="preserve">王世豪</t>
  </si>
  <si>
    <t xml:space="preserve">吳佩真</t>
  </si>
  <si>
    <t xml:space="preserve">私立強納生美語文理短期補習班新上分班</t>
  </si>
  <si>
    <r>
      <rPr>
        <sz val="10"/>
        <color rgb="FF1F2A28"/>
        <rFont val="WenQuanYi Zen Hei"/>
        <family val="2"/>
      </rPr>
      <t xml:space="preserve">左營區自由二路</t>
    </r>
    <r>
      <rPr>
        <sz val="10"/>
        <color rgb="FF1F2A28"/>
        <rFont val="Arial"/>
        <family val="0"/>
        <charset val="1"/>
      </rPr>
      <t xml:space="preserve">77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75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</si>
  <si>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556-3066</t>
  </si>
  <si>
    <t xml:space="preserve">2024-05-09</t>
  </si>
  <si>
    <t xml:space="preserve">陳品嘉</t>
  </si>
  <si>
    <t xml:space="preserve">陳于甄</t>
  </si>
  <si>
    <t xml:space="preserve">私立強納生美語文理短期補習班華泰分班</t>
  </si>
  <si>
    <r>
      <rPr>
        <sz val="10"/>
        <color rgb="FF1F2A28"/>
        <rFont val="WenQuanYi Zen Hei"/>
        <family val="2"/>
      </rPr>
      <t xml:space="preserve">左營區華泰路</t>
    </r>
    <r>
      <rPr>
        <sz val="10"/>
        <color rgb="FF1F2A28"/>
        <rFont val="Arial"/>
        <family val="0"/>
        <charset val="1"/>
      </rPr>
      <t xml:space="preserve">344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</si>
  <si>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552-8362</t>
  </si>
  <si>
    <t xml:space="preserve">2024-03-05</t>
  </si>
  <si>
    <t xml:space="preserve">柴雨茜</t>
  </si>
  <si>
    <t xml:space="preserve">柴華森</t>
  </si>
  <si>
    <t xml:space="preserve">私立微笑森林外語文理短期補習班</t>
  </si>
  <si>
    <r>
      <rPr>
        <sz val="10"/>
        <color rgb="FF1F2A28"/>
        <rFont val="WenQuanYi Zen Hei"/>
        <family val="2"/>
      </rPr>
      <t xml:space="preserve">左營區重義路</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</si>
  <si>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0915-353-688</t>
  </si>
  <si>
    <t xml:space="preserve">harulin39@kimo.com</t>
  </si>
  <si>
    <t xml:space="preserve">英文、兒童美語、英語</t>
  </si>
  <si>
    <t xml:space="preserve">2024-11-01</t>
  </si>
  <si>
    <t xml:space="preserve">張世美</t>
  </si>
  <si>
    <t xml:space="preserve">卓郁雯</t>
  </si>
  <si>
    <t xml:space="preserve">私立成峰外語文理短期補習班</t>
  </si>
  <si>
    <r>
      <rPr>
        <sz val="10"/>
        <color rgb="FF1F2A28"/>
        <rFont val="WenQuanYi Zen Hei"/>
        <family val="2"/>
      </rPr>
      <t xml:space="preserve">左營區華夏路</t>
    </r>
    <r>
      <rPr>
        <sz val="10"/>
        <color rgb="FF1F2A28"/>
        <rFont val="Arial"/>
        <family val="0"/>
        <charset val="1"/>
      </rPr>
      <t xml:space="preserve">329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</si>
  <si>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554-6866</t>
  </si>
  <si>
    <t xml:space="preserve">uwangc88@gmail.com</t>
  </si>
  <si>
    <t xml:space="preserve">2015-07-08</t>
  </si>
  <si>
    <t xml:space="preserve">王暖智</t>
  </si>
  <si>
    <t xml:space="preserve">私立才院文理技藝短期補習班</t>
  </si>
  <si>
    <r>
      <rPr>
        <sz val="10"/>
        <color rgb="FF1F2A28"/>
        <rFont val="WenQuanYi Zen Hei"/>
        <family val="2"/>
      </rPr>
      <t xml:space="preserve">左營區文川路</t>
    </r>
    <r>
      <rPr>
        <sz val="10"/>
        <color rgb="FF1F2A28"/>
        <rFont val="Arial"/>
        <family val="0"/>
        <charset val="1"/>
      </rPr>
      <t xml:space="preserve">40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</si>
  <si>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350-2280</t>
  </si>
  <si>
    <t xml:space="preserve">danny725454@gmail.com</t>
  </si>
  <si>
    <t xml:space="preserve">2014-09-04</t>
  </si>
  <si>
    <t xml:space="preserve">周時玄</t>
  </si>
  <si>
    <t xml:space="preserve">黃憶茹</t>
  </si>
  <si>
    <t xml:space="preserve">私立敦煌英語短期補習班裕誠分班</t>
  </si>
  <si>
    <r>
      <rPr>
        <sz val="10"/>
        <color rgb="FF1F2A28"/>
        <rFont val="WenQuanYi Zen Hei"/>
        <family val="2"/>
      </rPr>
      <t xml:space="preserve">左營區裕誠路</t>
    </r>
    <r>
      <rPr>
        <sz val="10"/>
        <color rgb="FF1F2A28"/>
        <rFont val="Arial"/>
        <family val="0"/>
        <charset val="1"/>
      </rPr>
      <t xml:space="preserve">299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</si>
  <si>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558-0100</t>
  </si>
  <si>
    <t xml:space="preserve">2003-01-16</t>
  </si>
  <si>
    <t xml:space="preserve">敦華英語國際文教股份有限公司〈代表人：周黃彩娟）</t>
  </si>
  <si>
    <t xml:space="preserve">陳芷涵</t>
  </si>
  <si>
    <t xml:space="preserve">私立日大外語短期補習班</t>
  </si>
  <si>
    <r>
      <rPr>
        <sz val="10"/>
        <color rgb="FF1F2A28"/>
        <rFont val="WenQuanYi Zen Hei"/>
        <family val="2"/>
      </rPr>
      <t xml:space="preserve">左營區文慈路</t>
    </r>
    <r>
      <rPr>
        <sz val="10"/>
        <color rgb="FF1F2A28"/>
        <rFont val="Arial"/>
        <family val="0"/>
        <charset val="1"/>
      </rPr>
      <t xml:space="preserve">188</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</si>
  <si>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348-3051</t>
  </si>
  <si>
    <t xml:space="preserve">baby3483051@yahoo.com.tw</t>
  </si>
  <si>
    <t xml:space="preserve">2003-03-05</t>
  </si>
  <si>
    <t xml:space="preserve">洪金夫</t>
  </si>
  <si>
    <t xml:space="preserve">洪瑞聰</t>
  </si>
  <si>
    <t xml:space="preserve">私立智識外語文理短期補習班</t>
  </si>
  <si>
    <r>
      <rPr>
        <sz val="10"/>
        <color rgb="FF1F2A28"/>
        <rFont val="WenQuanYi Zen Hei"/>
        <family val="2"/>
      </rPr>
      <t xml:space="preserve">左營區忠貞街</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</si>
  <si>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557-8670</t>
  </si>
  <si>
    <t xml:space="preserve">0933603828@yahoo.com.tw</t>
  </si>
  <si>
    <t xml:space="preserve">2020-04-07</t>
  </si>
  <si>
    <t xml:space="preserve">劉慧美</t>
  </si>
  <si>
    <t xml:space="preserve">陳蘭妮</t>
  </si>
  <si>
    <t xml:space="preserve">私立潘唯美語文理短期補習班</t>
  </si>
  <si>
    <r>
      <rPr>
        <sz val="10"/>
        <color rgb="FF1F2A28"/>
        <rFont val="WenQuanYi Zen Hei"/>
        <family val="2"/>
      </rPr>
      <t xml:space="preserve">左營區文莊路</t>
    </r>
    <r>
      <rPr>
        <sz val="10"/>
        <color rgb="FF1F2A28"/>
        <rFont val="Arial"/>
        <family val="0"/>
        <charset val="1"/>
      </rPr>
      <t xml:space="preserve">55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</si>
  <si>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345-0539</t>
  </si>
  <si>
    <t xml:space="preserve">pamsenglishkh@gmail.com</t>
  </si>
  <si>
    <t xml:space="preserve">2019-07-11</t>
  </si>
  <si>
    <t xml:space="preserve">潘品丞</t>
  </si>
  <si>
    <t xml:space="preserve">潘姿亘</t>
  </si>
  <si>
    <t xml:space="preserve">私立瑞軒外語文理短期補習班</t>
  </si>
  <si>
    <r>
      <rPr>
        <sz val="10"/>
        <color rgb="FF1F2A28"/>
        <rFont val="WenQuanYi Zen Hei"/>
        <family val="2"/>
      </rPr>
      <t xml:space="preserve">左營區文自路</t>
    </r>
    <r>
      <rPr>
        <sz val="10"/>
        <color rgb="FF1F2A28"/>
        <rFont val="Arial"/>
        <family val="0"/>
        <charset val="1"/>
      </rPr>
      <t xml:space="preserve">246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</si>
  <si>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359-1920</t>
  </si>
  <si>
    <t xml:space="preserve">reinestudy397@gmail.com</t>
  </si>
  <si>
    <t xml:space="preserve">英語、英文、英文檢定、英文多益</t>
  </si>
  <si>
    <t xml:space="preserve">2019-12-25</t>
  </si>
  <si>
    <t xml:space="preserve">林憶芸</t>
  </si>
  <si>
    <t xml:space="preserve">私立簡誼外語文理短期補習班龍華分班</t>
  </si>
  <si>
    <r>
      <rPr>
        <sz val="10"/>
        <color rgb="FF1F2A28"/>
        <rFont val="WenQuanYi Zen Hei"/>
        <family val="2"/>
      </rPr>
      <t xml:space="preserve">左營區自由二路</t>
    </r>
    <r>
      <rPr>
        <sz val="10"/>
        <color rgb="FF1F2A28"/>
        <rFont val="Arial"/>
        <family val="0"/>
        <charset val="1"/>
      </rPr>
      <t xml:space="preserve">165</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</si>
  <si>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550-9880/0988-548-811</t>
  </si>
  <si>
    <t xml:space="preserve">多益英文、英檢英文、會話英文、英文</t>
  </si>
  <si>
    <t xml:space="preserve">張文殊</t>
  </si>
  <si>
    <t xml:space="preserve">私立米倫外語短期補習班</t>
  </si>
  <si>
    <r>
      <rPr>
        <sz val="10"/>
        <color rgb="FF1F2A28"/>
        <rFont val="WenQuanYi Zen Hei"/>
        <family val="2"/>
      </rPr>
      <t xml:space="preserve">左營區重愛路</t>
    </r>
    <r>
      <rPr>
        <sz val="10"/>
        <color rgb="FF1F2A28"/>
        <rFont val="Arial"/>
        <family val="0"/>
        <charset val="1"/>
      </rPr>
      <t xml:space="preserve">122</t>
    </r>
    <r>
      <rPr>
        <sz val="10"/>
        <color rgb="FF1F2A28"/>
        <rFont val="WenQuanYi Zen Hei"/>
        <family val="2"/>
      </rPr>
      <t xml:space="preserve">號</t>
    </r>
    <r>
      <rPr>
        <sz val="10"/>
        <color rgb="FF1F2A28"/>
        <rFont val="Arial"/>
        <family val="0"/>
        <charset val="1"/>
      </rPr>
      <t xml:space="preserve">3-4</t>
    </r>
    <r>
      <rPr>
        <sz val="10"/>
        <color rgb="FF1F2A28"/>
        <rFont val="WenQuanYi Zen Hei"/>
        <family val="2"/>
      </rPr>
      <t xml:space="preserve">樓</t>
    </r>
  </si>
  <si>
    <t xml:space="preserve">345-0988</t>
  </si>
  <si>
    <t xml:space="preserve">yangpat0218@gmail.com</t>
  </si>
  <si>
    <t xml:space="preserve">2001-08-06</t>
  </si>
  <si>
    <t xml:space="preserve">陳君豪</t>
  </si>
  <si>
    <t xml:space="preserve">楊美玉</t>
  </si>
  <si>
    <t xml:space="preserve">私立美僑外語短期補習班</t>
  </si>
  <si>
    <r>
      <rPr>
        <sz val="10"/>
        <color rgb="FF1F2A28"/>
        <rFont val="WenQuanYi Zen Hei"/>
        <family val="2"/>
      </rPr>
      <t xml:space="preserve">左營區明華一路</t>
    </r>
    <r>
      <rPr>
        <sz val="10"/>
        <color rgb="FF1F2A28"/>
        <rFont val="Arial"/>
        <family val="0"/>
        <charset val="1"/>
      </rPr>
      <t xml:space="preserve">57</t>
    </r>
    <r>
      <rPr>
        <sz val="10"/>
        <color rgb="FF1F2A28"/>
        <rFont val="WenQuanYi Zen Hei"/>
        <family val="2"/>
      </rPr>
      <t xml:space="preserve">號</t>
    </r>
    <r>
      <rPr>
        <sz val="10"/>
        <color rgb="FF1F2A28"/>
        <rFont val="Arial"/>
        <family val="0"/>
        <charset val="1"/>
      </rPr>
      <t xml:space="preserve">3-5</t>
    </r>
    <r>
      <rPr>
        <sz val="10"/>
        <color rgb="FF1F2A28"/>
        <rFont val="WenQuanYi Zen Hei"/>
        <family val="2"/>
      </rPr>
      <t xml:space="preserve">樓</t>
    </r>
  </si>
  <si>
    <t xml:space="preserve">556-6650</t>
  </si>
  <si>
    <t xml:space="preserve">1997-12-29</t>
  </si>
  <si>
    <t xml:space="preserve">鄭錦芸</t>
  </si>
  <si>
    <t xml:space="preserve">鄭錦淑</t>
  </si>
  <si>
    <t xml:space="preserve">私立英晉文理短期補習班</t>
  </si>
  <si>
    <r>
      <rPr>
        <sz val="10"/>
        <color rgb="FF1F2A28"/>
        <rFont val="WenQuanYi Zen Hei"/>
        <family val="2"/>
      </rPr>
      <t xml:space="preserve">左營區新庄仔路</t>
    </r>
    <r>
      <rPr>
        <sz val="10"/>
        <color rgb="FF1F2A28"/>
        <rFont val="Arial"/>
        <family val="0"/>
        <charset val="1"/>
      </rPr>
      <t xml:space="preserve">726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</si>
  <si>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558-1489</t>
  </si>
  <si>
    <t xml:space="preserve">bd028@joy.com.tw</t>
  </si>
  <si>
    <t xml:space="preserve">2002-08-22</t>
  </si>
  <si>
    <t xml:space="preserve">王美淨</t>
  </si>
  <si>
    <t xml:space="preserve">私立華爾頓美語短期補習班</t>
  </si>
  <si>
    <r>
      <rPr>
        <sz val="10"/>
        <color rgb="FF1F2A28"/>
        <rFont val="WenQuanYi Zen Hei"/>
        <family val="2"/>
      </rPr>
      <t xml:space="preserve">左營區曾子路</t>
    </r>
    <r>
      <rPr>
        <sz val="10"/>
        <color rgb="FF1F2A28"/>
        <rFont val="Arial"/>
        <family val="0"/>
        <charset val="1"/>
      </rPr>
      <t xml:space="preserve">188</t>
    </r>
    <r>
      <rPr>
        <sz val="10"/>
        <color rgb="FF1F2A28"/>
        <rFont val="WenQuanYi Zen Hei"/>
        <family val="2"/>
      </rPr>
      <t xml:space="preserve">號</t>
    </r>
    <r>
      <rPr>
        <sz val="10"/>
        <color rgb="FF1F2A28"/>
        <rFont val="Arial"/>
        <family val="0"/>
        <charset val="1"/>
      </rPr>
      <t xml:space="preserve">B</t>
    </r>
    <r>
      <rPr>
        <sz val="10"/>
        <color rgb="FF1F2A28"/>
        <rFont val="WenQuanYi Zen Hei"/>
        <family val="2"/>
      </rPr>
      <t xml:space="preserve">棟</t>
    </r>
  </si>
  <si>
    <t xml:space="preserve">341-3041</t>
  </si>
  <si>
    <t xml:space="preserve">queena298000@gmail.com</t>
  </si>
  <si>
    <t xml:space="preserve">趙怡禎</t>
  </si>
  <si>
    <t xml:space="preserve">趙愛倫</t>
  </si>
  <si>
    <t xml:space="preserve">私立華頓美語短期補習班</t>
  </si>
  <si>
    <r>
      <rPr>
        <sz val="10"/>
        <color rgb="FF1F2A28"/>
        <rFont val="WenQuanYi Zen Hei"/>
        <family val="2"/>
      </rPr>
      <t xml:space="preserve">左營區新下街</t>
    </r>
    <r>
      <rPr>
        <sz val="10"/>
        <color rgb="FF1F2A28"/>
        <rFont val="Arial"/>
        <family val="0"/>
        <charset val="1"/>
      </rPr>
      <t xml:space="preserve">270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</si>
  <si>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558-6602</t>
  </si>
  <si>
    <t xml:space="preserve">2005-02-22</t>
  </si>
  <si>
    <t xml:space="preserve">趙俊彥</t>
  </si>
  <si>
    <t xml:space="preserve">私立薇薇安美語短期補習班</t>
  </si>
  <si>
    <r>
      <rPr>
        <sz val="10"/>
        <color rgb="FF1F2A28"/>
        <rFont val="WenQuanYi Zen Hei"/>
        <family val="2"/>
      </rPr>
      <t xml:space="preserve">左營區華夏路</t>
    </r>
    <r>
      <rPr>
        <sz val="10"/>
        <color rgb="FF1F2A28"/>
        <rFont val="Arial"/>
        <family val="0"/>
        <charset val="1"/>
      </rPr>
      <t xml:space="preserve">979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</si>
  <si>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341-5000</t>
  </si>
  <si>
    <t xml:space="preserve">vandtvivian@gmail.com</t>
  </si>
  <si>
    <t xml:space="preserve">黃秀雯</t>
  </si>
  <si>
    <t xml:space="preserve">私立頗憶多英語短期補習班左營分班</t>
  </si>
  <si>
    <r>
      <rPr>
        <sz val="10"/>
        <color rgb="FF1F2A28"/>
        <rFont val="WenQuanYi Zen Hei"/>
        <family val="2"/>
      </rPr>
      <t xml:space="preserve">左營區重信路</t>
    </r>
    <r>
      <rPr>
        <sz val="10"/>
        <color rgb="FF1F2A28"/>
        <rFont val="Arial"/>
        <family val="0"/>
        <charset val="1"/>
      </rPr>
      <t xml:space="preserve">68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</si>
  <si>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345-5423</t>
  </si>
  <si>
    <t xml:space="preserve">ben52618@gmail.com</t>
  </si>
  <si>
    <t xml:space="preserve">洪靜雯</t>
  </si>
  <si>
    <t xml:space="preserve">潘盈吟</t>
  </si>
  <si>
    <t xml:space="preserve">私立題卜英文文理短期補習班</t>
  </si>
  <si>
    <r>
      <rPr>
        <sz val="10"/>
        <color rgb="FF1F2A28"/>
        <rFont val="WenQuanYi Zen Hei"/>
        <family val="2"/>
      </rPr>
      <t xml:space="preserve">左營區文府路</t>
    </r>
    <r>
      <rPr>
        <sz val="10"/>
        <color rgb="FF1F2A28"/>
        <rFont val="Arial"/>
        <family val="0"/>
        <charset val="1"/>
      </rPr>
      <t xml:space="preserve">331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樓及夾層</t>
    </r>
  </si>
  <si>
    <t xml:space="preserve">350-5069</t>
  </si>
  <si>
    <t xml:space="preserve">mir5133@yahoo.com.tw</t>
  </si>
  <si>
    <t xml:space="preserve">許雅惠</t>
  </si>
  <si>
    <t xml:space="preserve">私立高名文理短期補習班新光分班</t>
  </si>
  <si>
    <r>
      <rPr>
        <sz val="10"/>
        <color rgb="FF1F2A28"/>
        <rFont val="WenQuanYi Zen Hei"/>
        <family val="2"/>
      </rPr>
      <t xml:space="preserve">左營區華夏路</t>
    </r>
    <r>
      <rPr>
        <sz val="10"/>
        <color rgb="FF1F2A28"/>
        <rFont val="Arial"/>
        <family val="0"/>
        <charset val="1"/>
      </rPr>
      <t xml:space="preserve">937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</si>
  <si>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348-0079</t>
  </si>
  <si>
    <t xml:space="preserve">k3413069@yahoo.com.tw</t>
  </si>
  <si>
    <t xml:space="preserve">2002-11-18</t>
  </si>
  <si>
    <t xml:space="preserve">沈惠美</t>
  </si>
  <si>
    <t xml:space="preserve">新興區</t>
  </si>
  <si>
    <t xml:space="preserve">全球文化藝術有限公司附設高雄市私立地球村語文短期補習班</t>
  </si>
  <si>
    <r>
      <rPr>
        <sz val="10"/>
        <color rgb="FF1F2A28"/>
        <rFont val="WenQuanYi Zen Hei"/>
        <family val="2"/>
      </rPr>
      <t xml:space="preserve">新興區中山一路</t>
    </r>
    <r>
      <rPr>
        <sz val="10"/>
        <color rgb="FF1F2A28"/>
        <rFont val="Arial"/>
        <family val="0"/>
        <charset val="1"/>
      </rPr>
      <t xml:space="preserve">290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</si>
  <si>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236-0266</t>
  </si>
  <si>
    <r>
      <rPr>
        <sz val="10"/>
        <color rgb="FF1F2A28"/>
        <rFont val="WenQuanYi Zen Hei"/>
        <family val="2"/>
      </rPr>
      <t xml:space="preserve">美語、美語</t>
    </r>
    <r>
      <rPr>
        <sz val="10"/>
        <color rgb="FF1F2A28"/>
        <rFont val="Arial"/>
        <family val="0"/>
        <charset val="1"/>
      </rPr>
      <t xml:space="preserve">(</t>
    </r>
    <r>
      <rPr>
        <sz val="10"/>
        <color rgb="FF1F2A28"/>
        <rFont val="WenQuanYi Zen Hei"/>
        <family val="2"/>
      </rPr>
      <t xml:space="preserve">數位教學</t>
    </r>
    <r>
      <rPr>
        <sz val="10"/>
        <color rgb="FF1F2A28"/>
        <rFont val="Arial"/>
        <family val="0"/>
        <charset val="1"/>
      </rPr>
      <t xml:space="preserve">)</t>
    </r>
  </si>
  <si>
    <t xml:space="preserve">2017-01-23</t>
  </si>
  <si>
    <r>
      <rPr>
        <sz val="10"/>
        <color rgb="FF1F2A28"/>
        <rFont val="WenQuanYi Zen Hei"/>
        <family val="2"/>
      </rPr>
      <t xml:space="preserve">全球文化藝術有限公司</t>
    </r>
    <r>
      <rPr>
        <sz val="10"/>
        <color rgb="FF1F2A28"/>
        <rFont val="Arial"/>
        <family val="0"/>
        <charset val="1"/>
      </rPr>
      <t xml:space="preserve">(</t>
    </r>
    <r>
      <rPr>
        <sz val="10"/>
        <color rgb="FF1F2A28"/>
        <rFont val="WenQuanYi Zen Hei"/>
        <family val="2"/>
      </rPr>
      <t xml:space="preserve">代表人：鄧秋慧</t>
    </r>
    <r>
      <rPr>
        <sz val="10"/>
        <color rgb="FF1F2A28"/>
        <rFont val="Arial"/>
        <family val="0"/>
        <charset val="1"/>
      </rPr>
      <t xml:space="preserve">)</t>
    </r>
  </si>
  <si>
    <t xml:space="preserve">杜玫芳</t>
  </si>
  <si>
    <t xml:space="preserve">台灣知識庫股份有限公司附設洋碩美語短期補習班</t>
  </si>
  <si>
    <r>
      <rPr>
        <sz val="10"/>
        <color rgb="FF1F2A28"/>
        <rFont val="WenQuanYi Zen Hei"/>
        <family val="2"/>
      </rPr>
      <t xml:space="preserve">新興區八德一路</t>
    </r>
    <r>
      <rPr>
        <sz val="10"/>
        <color rgb="FF1F2A28"/>
        <rFont val="Arial"/>
        <family val="0"/>
        <charset val="1"/>
      </rPr>
      <t xml:space="preserve">332</t>
    </r>
    <r>
      <rPr>
        <sz val="10"/>
        <color rgb="FF1F2A28"/>
        <rFont val="WenQuanYi Zen Hei"/>
        <family val="2"/>
      </rPr>
      <t xml:space="preserve">號</t>
    </r>
    <r>
      <rPr>
        <sz val="10"/>
        <color rgb="FF1F2A28"/>
        <rFont val="Arial"/>
        <family val="0"/>
        <charset val="1"/>
      </rPr>
      <t xml:space="preserve">9</t>
    </r>
    <r>
      <rPr>
        <sz val="10"/>
        <color rgb="FF1F2A28"/>
        <rFont val="WenQuanYi Zen Hei"/>
        <family val="2"/>
      </rPr>
      <t xml:space="preserve">樓</t>
    </r>
  </si>
  <si>
    <t xml:space="preserve">235-5959</t>
  </si>
  <si>
    <t xml:space="preserve">angel@ksdaso.com.tw</t>
  </si>
  <si>
    <t xml:space="preserve">2014-11-20</t>
  </si>
  <si>
    <r>
      <rPr>
        <sz val="10"/>
        <color rgb="FF1F2A28"/>
        <rFont val="WenQuanYi Zen Hei"/>
        <family val="2"/>
      </rPr>
      <t xml:space="preserve">台灣知識庫股份有限公司（代表人</t>
    </r>
    <r>
      <rPr>
        <sz val="10"/>
        <color rgb="FF1F2A28"/>
        <rFont val="Arial"/>
        <family val="0"/>
        <charset val="1"/>
      </rPr>
      <t xml:space="preserve">:</t>
    </r>
    <r>
      <rPr>
        <sz val="10"/>
        <color rgb="FF1F2A28"/>
        <rFont val="WenQuanYi Zen Hei"/>
        <family val="2"/>
      </rPr>
      <t xml:space="preserve">邱昌其）</t>
    </r>
  </si>
  <si>
    <t xml:space="preserve">陳淑暖</t>
  </si>
  <si>
    <t xml:space="preserve">巨匠電腦股份有限公司附設文理短期補習班高雄中山分班</t>
  </si>
  <si>
    <r>
      <rPr>
        <sz val="10"/>
        <color rgb="FF1F2A28"/>
        <rFont val="WenQuanYi Zen Hei"/>
        <family val="2"/>
      </rPr>
      <t xml:space="preserve">新興區中山一路</t>
    </r>
    <r>
      <rPr>
        <sz val="10"/>
        <color rgb="FF1F2A28"/>
        <rFont val="Arial"/>
        <family val="0"/>
        <charset val="1"/>
      </rPr>
      <t xml:space="preserve">234</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</si>
  <si>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235-1280</t>
  </si>
  <si>
    <t xml:space="preserve">KW_mailbox@pcschool.com.tw</t>
  </si>
  <si>
    <t xml:space="preserve">2013-10-02</t>
  </si>
  <si>
    <r>
      <rPr>
        <sz val="10"/>
        <color rgb="FF1F2A28"/>
        <rFont val="WenQuanYi Zen Hei"/>
        <family val="2"/>
      </rPr>
      <t xml:space="preserve">巨匠電腦股份有限公司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鍾梁權</t>
    </r>
    <r>
      <rPr>
        <sz val="10"/>
        <color rgb="FF1F2A28"/>
        <rFont val="Arial"/>
        <family val="0"/>
        <charset val="1"/>
      </rPr>
      <t xml:space="preserve">)</t>
    </r>
  </si>
  <si>
    <t xml:space="preserve">余宜樺</t>
  </si>
  <si>
    <t xml:space="preserve">敦華英語國際文教股份有限公司附設高雄市私立敦煌英語短期補習班七賢分班</t>
  </si>
  <si>
    <r>
      <rPr>
        <sz val="10"/>
        <color rgb="FF1F2A28"/>
        <rFont val="WenQuanYi Zen Hei"/>
        <family val="2"/>
      </rPr>
      <t xml:space="preserve">新興區七賢一路</t>
    </r>
    <r>
      <rPr>
        <sz val="10"/>
        <color rgb="FF1F2A28"/>
        <rFont val="Arial"/>
        <family val="0"/>
        <charset val="1"/>
      </rPr>
      <t xml:space="preserve">392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</si>
  <si>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236-7779</t>
  </si>
  <si>
    <t xml:space="preserve">1997-06-16</t>
  </si>
  <si>
    <t xml:space="preserve">新視界國際文教顧問有限公司附設字神帝國英語短期補習班</t>
  </si>
  <si>
    <r>
      <rPr>
        <sz val="10"/>
        <color rgb="FF1F2A28"/>
        <rFont val="WenQuanYi Zen Hei"/>
        <family val="2"/>
      </rPr>
      <t xml:space="preserve">新興區中山一路</t>
    </r>
    <r>
      <rPr>
        <sz val="10"/>
        <color rgb="FF1F2A28"/>
        <rFont val="Arial"/>
        <family val="0"/>
        <charset val="1"/>
      </rPr>
      <t xml:space="preserve">261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</si>
  <si>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963-5880</t>
  </si>
  <si>
    <t xml:space="preserve">2017-03-10</t>
  </si>
  <si>
    <r>
      <rPr>
        <sz val="10"/>
        <color rgb="FF1F2A28"/>
        <rFont val="WenQuanYi Zen Hei"/>
        <family val="2"/>
      </rPr>
      <t xml:space="preserve">新視界國際文教顧問有限公司</t>
    </r>
    <r>
      <rPr>
        <sz val="10"/>
        <color rgb="FF1F2A28"/>
        <rFont val="Arial"/>
        <family val="0"/>
        <charset val="1"/>
      </rPr>
      <t xml:space="preserve">(</t>
    </r>
    <r>
      <rPr>
        <sz val="10"/>
        <color rgb="FF1F2A28"/>
        <rFont val="WenQuanYi Zen Hei"/>
        <family val="2"/>
      </rPr>
      <t xml:space="preserve">代表人：康俊隆</t>
    </r>
    <r>
      <rPr>
        <sz val="10"/>
        <color rgb="FF1F2A28"/>
        <rFont val="Arial"/>
        <family val="0"/>
        <charset val="1"/>
      </rPr>
      <t xml:space="preserve">)</t>
    </r>
  </si>
  <si>
    <t xml:space="preserve">康美玲</t>
  </si>
  <si>
    <t xml:space="preserve">私立佳欣外語短期補習班</t>
  </si>
  <si>
    <r>
      <rPr>
        <sz val="10"/>
        <color rgb="FF1F2A28"/>
        <rFont val="WenQuanYi Zen Hei"/>
        <family val="2"/>
      </rPr>
      <t xml:space="preserve">新興區六合一路</t>
    </r>
    <r>
      <rPr>
        <sz val="10"/>
        <color rgb="FF1F2A28"/>
        <rFont val="Arial"/>
        <family val="0"/>
        <charset val="1"/>
      </rPr>
      <t xml:space="preserve">49</t>
    </r>
    <r>
      <rPr>
        <sz val="10"/>
        <color rgb="FF1F2A28"/>
        <rFont val="WenQuanYi Zen Hei"/>
        <family val="2"/>
      </rPr>
      <t xml:space="preserve">之</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</si>
  <si>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236-9588</t>
  </si>
  <si>
    <t xml:space="preserve">bd095@joy.com.tw</t>
  </si>
  <si>
    <t xml:space="preserve">1996-12-23</t>
  </si>
  <si>
    <t xml:space="preserve">郭依萍</t>
  </si>
  <si>
    <t xml:space="preserve">陳宏惟</t>
  </si>
  <si>
    <t xml:space="preserve">私立千葉外語短期補習班</t>
  </si>
  <si>
    <r>
      <rPr>
        <sz val="10"/>
        <color rgb="FF1F2A28"/>
        <rFont val="WenQuanYi Zen Hei"/>
        <family val="2"/>
      </rPr>
      <t xml:space="preserve">新興區中山一路</t>
    </r>
    <r>
      <rPr>
        <sz val="10"/>
        <color rgb="FF1F2A28"/>
        <rFont val="Arial"/>
        <family val="0"/>
        <charset val="1"/>
      </rPr>
      <t xml:space="preserve">240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10</t>
    </r>
    <r>
      <rPr>
        <sz val="10"/>
        <color rgb="FF1F2A28"/>
        <rFont val="WenQuanYi Zen Hei"/>
        <family val="2"/>
      </rPr>
      <t xml:space="preserve">、</t>
    </r>
    <r>
      <rPr>
        <sz val="10"/>
        <color rgb="FF1F2A28"/>
        <rFont val="Arial"/>
        <family val="0"/>
        <charset val="1"/>
      </rPr>
      <t xml:space="preserve">11</t>
    </r>
    <r>
      <rPr>
        <sz val="10"/>
        <color rgb="FF1F2A28"/>
        <rFont val="WenQuanYi Zen Hei"/>
        <family val="2"/>
      </rPr>
      <t xml:space="preserve">、</t>
    </r>
    <r>
      <rPr>
        <sz val="10"/>
        <color rgb="FF1F2A28"/>
        <rFont val="Arial"/>
        <family val="0"/>
        <charset val="1"/>
      </rPr>
      <t xml:space="preserve">12</t>
    </r>
  </si>
  <si>
    <t xml:space="preserve">235-3990</t>
  </si>
  <si>
    <t xml:space="preserve">chiye@ms38.hinet.net</t>
  </si>
  <si>
    <t xml:space="preserve">1993-06-15</t>
  </si>
  <si>
    <t xml:space="preserve">黃雅苓</t>
  </si>
  <si>
    <t xml:space="preserve">鄭淑卿</t>
  </si>
  <si>
    <t xml:space="preserve">私立吉利傑特外語短期補習班</t>
  </si>
  <si>
    <r>
      <rPr>
        <sz val="10"/>
        <color rgb="FF1F2A28"/>
        <rFont val="WenQuanYi Zen Hei"/>
        <family val="2"/>
      </rPr>
      <t xml:space="preserve">新興區六合路</t>
    </r>
    <r>
      <rPr>
        <sz val="10"/>
        <color rgb="FF1F2A28"/>
        <rFont val="Arial"/>
        <family val="0"/>
        <charset val="1"/>
      </rPr>
      <t xml:space="preserve">173</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r>
      <rPr>
        <sz val="10"/>
        <color rgb="FF1F2A28"/>
        <rFont val="Arial"/>
        <family val="0"/>
        <charset val="1"/>
      </rPr>
      <t xml:space="preserve">175</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</si>
  <si>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224-6699</t>
  </si>
  <si>
    <t xml:space="preserve">jr.jet@msa.hinet.net</t>
  </si>
  <si>
    <t xml:space="preserve">2003-04-21</t>
  </si>
  <si>
    <t xml:space="preserve">曾英繡</t>
  </si>
  <si>
    <t xml:space="preserve">私立寰宇外語文理短期補習班</t>
  </si>
  <si>
    <r>
      <rPr>
        <sz val="10"/>
        <color rgb="FF1F2A28"/>
        <rFont val="WenQuanYi Zen Hei"/>
        <family val="2"/>
      </rPr>
      <t xml:space="preserve">新興區中山一路</t>
    </r>
    <r>
      <rPr>
        <sz val="10"/>
        <color rgb="FF1F2A28"/>
        <rFont val="Arial"/>
        <family val="0"/>
        <charset val="1"/>
      </rPr>
      <t xml:space="preserve">227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</si>
  <si>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287-6988</t>
  </si>
  <si>
    <t xml:space="preserve">cosmos.julia@gmail.com</t>
  </si>
  <si>
    <t xml:space="preserve">2006-03-02</t>
  </si>
  <si>
    <t xml:space="preserve">吳宜雅</t>
  </si>
  <si>
    <t xml:space="preserve">張棻捷</t>
  </si>
  <si>
    <t xml:space="preserve">私立布穀鳥外語短期補習班</t>
  </si>
  <si>
    <r>
      <rPr>
        <sz val="10"/>
        <color rgb="FF1F2A28"/>
        <rFont val="WenQuanYi Zen Hei"/>
        <family val="2"/>
      </rPr>
      <t xml:space="preserve">新興區七賢一路</t>
    </r>
    <r>
      <rPr>
        <sz val="10"/>
        <color rgb="FF1F2A28"/>
        <rFont val="Arial"/>
        <family val="0"/>
        <charset val="1"/>
      </rPr>
      <t xml:space="preserve">398</t>
    </r>
    <r>
      <rPr>
        <sz val="10"/>
        <color rgb="FF1F2A28"/>
        <rFont val="WenQuanYi Zen Hei"/>
        <family val="2"/>
      </rPr>
      <t xml:space="preserve">之</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</si>
  <si>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235-8277</t>
  </si>
  <si>
    <t xml:space="preserve">ks.cuckoo@gmail.com</t>
  </si>
  <si>
    <t xml:space="preserve">1999-06-16</t>
  </si>
  <si>
    <t xml:space="preserve">潘明怡</t>
  </si>
  <si>
    <t xml:space="preserve">私立戴爾美語短期補習班</t>
  </si>
  <si>
    <r>
      <rPr>
        <sz val="10"/>
        <color rgb="FF1F2A28"/>
        <rFont val="WenQuanYi Zen Hei"/>
        <family val="2"/>
      </rPr>
      <t xml:space="preserve">新興區中山一路</t>
    </r>
    <r>
      <rPr>
        <sz val="10"/>
        <color rgb="FF1F2A28"/>
        <rFont val="Arial"/>
        <family val="0"/>
        <charset val="1"/>
      </rPr>
      <t xml:space="preserve">217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</si>
  <si>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286-9159</t>
  </si>
  <si>
    <t xml:space="preserve">kaohsiung@all-english.com.tw</t>
  </si>
  <si>
    <t xml:space="preserve">英語檢定、英語會話、英語托福、英語雅思、英語多益、英語文法</t>
  </si>
  <si>
    <t xml:space="preserve">2007-07-02</t>
  </si>
  <si>
    <t xml:space="preserve">張迺雯</t>
  </si>
  <si>
    <t xml:space="preserve">私立探索美語短期補習班</t>
  </si>
  <si>
    <r>
      <rPr>
        <sz val="10"/>
        <color rgb="FF1F2A28"/>
        <rFont val="WenQuanYi Zen Hei"/>
        <family val="2"/>
      </rPr>
      <t xml:space="preserve">新興區信守街</t>
    </r>
    <r>
      <rPr>
        <sz val="10"/>
        <color rgb="FF1F2A28"/>
        <rFont val="Arial"/>
        <family val="0"/>
        <charset val="1"/>
      </rPr>
      <t xml:space="preserve">172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</si>
  <si>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236-9939</t>
  </si>
  <si>
    <t xml:space="preserve">meris321@yahoo.com.tw</t>
  </si>
  <si>
    <t xml:space="preserve">2007-03-30</t>
  </si>
  <si>
    <t xml:space="preserve">陳瑞茵</t>
  </si>
  <si>
    <t xml:space="preserve">陳香涵</t>
  </si>
  <si>
    <t xml:space="preserve">私立明德音樂美語短期補習班</t>
  </si>
  <si>
    <r>
      <rPr>
        <sz val="10"/>
        <color rgb="FF1F2A28"/>
        <rFont val="WenQuanYi Zen Hei"/>
        <family val="2"/>
      </rPr>
      <t xml:space="preserve">新興區六合路</t>
    </r>
    <r>
      <rPr>
        <sz val="10"/>
        <color rgb="FF1F2A28"/>
        <rFont val="Arial"/>
        <family val="0"/>
        <charset val="1"/>
      </rPr>
      <t xml:space="preserve">183</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</si>
  <si>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224-5858 / 224-2345</t>
  </si>
  <si>
    <t xml:space="preserve">minde183@yahoo.com.tw</t>
  </si>
  <si>
    <t xml:space="preserve">1992-05-22</t>
  </si>
  <si>
    <t xml:space="preserve">詹明玲</t>
  </si>
  <si>
    <t xml:space="preserve">私立書詠堂外語文理短期補習班</t>
  </si>
  <si>
    <r>
      <rPr>
        <sz val="10"/>
        <color rgb="FF1F2A28"/>
        <rFont val="WenQuanYi Zen Hei"/>
        <family val="2"/>
      </rPr>
      <t xml:space="preserve">新興區忠孝一路</t>
    </r>
    <r>
      <rPr>
        <sz val="10"/>
        <color rgb="FF1F2A28"/>
        <rFont val="Arial"/>
        <family val="0"/>
        <charset val="1"/>
      </rPr>
      <t xml:space="preserve">456</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1</t>
    </r>
  </si>
  <si>
    <t xml:space="preserve">236-0123</t>
  </si>
  <si>
    <t xml:space="preserve">syoeidou@gmail.com</t>
  </si>
  <si>
    <t xml:space="preserve">1991-02-01</t>
  </si>
  <si>
    <t xml:space="preserve">周育瑩</t>
  </si>
  <si>
    <t xml:space="preserve">黃盛彥</t>
  </si>
  <si>
    <t xml:space="preserve">私立梅外語短期補習班</t>
  </si>
  <si>
    <r>
      <rPr>
        <sz val="10"/>
        <color rgb="FF1F2A28"/>
        <rFont val="WenQuanYi Zen Hei"/>
        <family val="2"/>
      </rPr>
      <t xml:space="preserve">新興區民生一路</t>
    </r>
    <r>
      <rPr>
        <sz val="10"/>
        <color rgb="FF1F2A28"/>
        <rFont val="Arial"/>
        <family val="0"/>
        <charset val="1"/>
      </rPr>
      <t xml:space="preserve">160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</si>
  <si>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2225238</t>
  </si>
  <si>
    <t xml:space="preserve">mays.mail@seed.net.tw</t>
  </si>
  <si>
    <t xml:space="preserve">吳梅香</t>
  </si>
  <si>
    <t xml:space="preserve">林慧卿</t>
  </si>
  <si>
    <t xml:space="preserve">私立櫻前線語文短期補習班</t>
  </si>
  <si>
    <r>
      <rPr>
        <sz val="10"/>
        <color rgb="FF1F2A28"/>
        <rFont val="WenQuanYi Zen Hei"/>
        <family val="2"/>
      </rPr>
      <t xml:space="preserve">新興區中正二路</t>
    </r>
    <r>
      <rPr>
        <sz val="10"/>
        <color rgb="FF1F2A28"/>
        <rFont val="Arial"/>
        <family val="0"/>
        <charset val="1"/>
      </rPr>
      <t xml:space="preserve">182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3</t>
    </r>
  </si>
  <si>
    <t xml:space="preserve">2296768</t>
  </si>
  <si>
    <t xml:space="preserve">szsjapanese@gmail.com</t>
  </si>
  <si>
    <t xml:space="preserve">陳亭如</t>
  </si>
  <si>
    <t xml:space="preserve">私立老外國際美語文理短期補習班</t>
  </si>
  <si>
    <r>
      <rPr>
        <sz val="10"/>
        <color rgb="FF1F2A28"/>
        <rFont val="WenQuanYi Zen Hei"/>
        <family val="2"/>
      </rPr>
      <t xml:space="preserve">新興區中山一路</t>
    </r>
    <r>
      <rPr>
        <sz val="10"/>
        <color rgb="FF1F2A28"/>
        <rFont val="Arial"/>
        <family val="0"/>
        <charset val="1"/>
      </rPr>
      <t xml:space="preserve">162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</si>
  <si>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235-8100</t>
  </si>
  <si>
    <t xml:space="preserve">laowai131414@gmail.com</t>
  </si>
  <si>
    <t xml:space="preserve">高沛琦</t>
  </si>
  <si>
    <t xml:space="preserve">私立英語王外語文理短期補習班</t>
  </si>
  <si>
    <r>
      <rPr>
        <sz val="10"/>
        <color rgb="FF1F2A28"/>
        <rFont val="WenQuanYi Zen Hei"/>
        <family val="2"/>
      </rPr>
      <t xml:space="preserve">新興區六合一路</t>
    </r>
    <r>
      <rPr>
        <sz val="10"/>
        <color rgb="FF1F2A28"/>
        <rFont val="Arial"/>
        <family val="0"/>
        <charset val="1"/>
      </rPr>
      <t xml:space="preserve">65</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</si>
  <si>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235-2129</t>
  </si>
  <si>
    <t xml:space="preserve">sc3108sc3108@gmail.com</t>
  </si>
  <si>
    <t xml:space="preserve">張楊月</t>
  </si>
  <si>
    <t xml:space="preserve">私立青山外語短期補習班</t>
  </si>
  <si>
    <r>
      <rPr>
        <sz val="10"/>
        <color rgb="FF1F2A28"/>
        <rFont val="WenQuanYi Zen Hei"/>
        <family val="2"/>
      </rPr>
      <t xml:space="preserve">新興區中山一路</t>
    </r>
    <r>
      <rPr>
        <sz val="10"/>
        <color rgb="FF1F2A28"/>
        <rFont val="Arial"/>
        <family val="0"/>
        <charset val="1"/>
      </rPr>
      <t xml:space="preserve">240</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r>
      <rPr>
        <sz val="10"/>
        <color rgb="FF1F2A28"/>
        <rFont val="Arial"/>
        <family val="0"/>
        <charset val="1"/>
      </rPr>
      <t xml:space="preserve">2.3.4.6.7.11.12.13.14</t>
    </r>
    <r>
      <rPr>
        <sz val="10"/>
        <color rgb="FF1F2A28"/>
        <rFont val="WenQuanYi Zen Hei"/>
        <family val="2"/>
      </rPr>
      <t xml:space="preserve">室</t>
    </r>
  </si>
  <si>
    <t xml:space="preserve">235-2031 / 235-7065</t>
  </si>
  <si>
    <t xml:space="preserve">chingshankhh@gmail.com</t>
  </si>
  <si>
    <t xml:space="preserve">1953-07-01</t>
  </si>
  <si>
    <t xml:space="preserve">孫秉才</t>
  </si>
  <si>
    <t xml:space="preserve">旗山區</t>
  </si>
  <si>
    <t xml:space="preserve">私立一鳴文理短期補習班</t>
  </si>
  <si>
    <r>
      <rPr>
        <sz val="10"/>
        <color rgb="FF1F2A28"/>
        <rFont val="WenQuanYi Zen Hei"/>
        <family val="2"/>
      </rPr>
      <t xml:space="preserve">旗山區旗甲路一段</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</si>
  <si>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661-4803</t>
  </si>
  <si>
    <t xml:space="preserve">2002-06-04</t>
  </si>
  <si>
    <t xml:space="preserve">范毓真</t>
  </si>
  <si>
    <t xml:space="preserve">私立祥澄文理短期補習班</t>
  </si>
  <si>
    <r>
      <rPr>
        <sz val="10"/>
        <color rgb="FF1F2A28"/>
        <rFont val="WenQuanYi Zen Hei"/>
        <family val="2"/>
      </rPr>
      <t xml:space="preserve">旗山區中正路</t>
    </r>
    <r>
      <rPr>
        <sz val="10"/>
        <color rgb="FF1F2A28"/>
        <rFont val="Arial"/>
        <family val="0"/>
        <charset val="1"/>
      </rPr>
      <t xml:space="preserve">51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</si>
  <si>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662-5769</t>
  </si>
  <si>
    <t xml:space="preserve">roger.candy@msa.hinet.net</t>
  </si>
  <si>
    <t xml:space="preserve">2003-01-27</t>
  </si>
  <si>
    <t xml:space="preserve">李承澤</t>
  </si>
  <si>
    <t xml:space="preserve">私立頗憶多英語短期補習班</t>
  </si>
  <si>
    <r>
      <rPr>
        <sz val="10"/>
        <color rgb="FF1F2A28"/>
        <rFont val="WenQuanYi Zen Hei"/>
        <family val="2"/>
      </rPr>
      <t xml:space="preserve">旗山區中山南街</t>
    </r>
    <r>
      <rPr>
        <sz val="10"/>
        <color rgb="FF1F2A28"/>
        <rFont val="Arial"/>
        <family val="0"/>
        <charset val="1"/>
      </rPr>
      <t xml:space="preserve">126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</si>
  <si>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661-4584</t>
  </si>
  <si>
    <t xml:space="preserve">2000-02-15</t>
  </si>
  <si>
    <t xml:space="preserve">洪崇瀚</t>
  </si>
  <si>
    <t xml:space="preserve">旗津區</t>
  </si>
  <si>
    <t xml:space="preserve">私立海原電腦文理短期補習班</t>
  </si>
  <si>
    <r>
      <rPr>
        <sz val="10"/>
        <color rgb="FF1F2A28"/>
        <rFont val="WenQuanYi Zen Hei"/>
        <family val="2"/>
      </rPr>
      <t xml:space="preserve">旗津區旗津二路</t>
    </r>
    <r>
      <rPr>
        <sz val="10"/>
        <color rgb="FF1F2A28"/>
        <rFont val="Arial"/>
        <family val="0"/>
        <charset val="1"/>
      </rPr>
      <t xml:space="preserve">202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</si>
  <si>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571-5670</t>
  </si>
  <si>
    <t xml:space="preserve">t91121114@yahoo.com.tw</t>
  </si>
  <si>
    <t xml:space="preserve">林翠須</t>
  </si>
  <si>
    <t xml:space="preserve">白仲偉</t>
  </si>
  <si>
    <t xml:space="preserve">林園區</t>
  </si>
  <si>
    <r>
      <rPr>
        <sz val="10"/>
        <color rgb="FF1F2A28"/>
        <rFont val="WenQuanYi Zen Hei"/>
        <family val="2"/>
      </rPr>
      <t xml:space="preserve">林園區仁愛路</t>
    </r>
    <r>
      <rPr>
        <sz val="10"/>
        <color rgb="FF1F2A28"/>
        <rFont val="Arial"/>
        <family val="0"/>
        <charset val="1"/>
      </rPr>
      <t xml:space="preserve">223</t>
    </r>
    <r>
      <rPr>
        <sz val="10"/>
        <color rgb="FF1F2A28"/>
        <rFont val="WenQuanYi Zen Hei"/>
        <family val="2"/>
      </rPr>
      <t xml:space="preserve">號、</t>
    </r>
    <r>
      <rPr>
        <sz val="10"/>
        <color rgb="FF1F2A28"/>
        <rFont val="Arial"/>
        <family val="0"/>
        <charset val="1"/>
      </rPr>
      <t xml:space="preserve">225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</si>
  <si>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641-0727</t>
  </si>
  <si>
    <t xml:space="preserve">2003-06-05</t>
  </si>
  <si>
    <t xml:space="preserve">林梅香</t>
  </si>
  <si>
    <t xml:space="preserve">私立嘉英英語短期補習班</t>
  </si>
  <si>
    <r>
      <rPr>
        <sz val="10"/>
        <color rgb="FF1F2A28"/>
        <rFont val="WenQuanYi Zen Hei"/>
        <family val="2"/>
      </rPr>
      <t xml:space="preserve">林園區文聖街</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</si>
  <si>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643-6288</t>
  </si>
  <si>
    <t xml:space="preserve">bd068@joy.com.tw</t>
  </si>
  <si>
    <t xml:space="preserve">2007-07-06</t>
  </si>
  <si>
    <t xml:space="preserve">劉靜雯</t>
  </si>
  <si>
    <t xml:space="preserve">私立大使文理技藝短期補習班</t>
  </si>
  <si>
    <r>
      <rPr>
        <sz val="10"/>
        <color rgb="FF1F2A28"/>
        <rFont val="WenQuanYi Zen Hei"/>
        <family val="2"/>
      </rPr>
      <t xml:space="preserve">林園區東林西路</t>
    </r>
    <r>
      <rPr>
        <sz val="10"/>
        <color rgb="FF1F2A28"/>
        <rFont val="Arial"/>
        <family val="0"/>
        <charset val="1"/>
      </rPr>
      <t xml:space="preserve">163</t>
    </r>
    <r>
      <rPr>
        <sz val="10"/>
        <color rgb="FF1F2A28"/>
        <rFont val="WenQuanYi Zen Hei"/>
        <family val="2"/>
      </rPr>
      <t xml:space="preserve">號</t>
    </r>
  </si>
  <si>
    <t xml:space="preserve">641-1870</t>
  </si>
  <si>
    <t xml:space="preserve">kidcastle163@yahoo.com.tw</t>
  </si>
  <si>
    <t xml:space="preserve">1990-05-29</t>
  </si>
  <si>
    <t xml:space="preserve">林懿萱</t>
  </si>
  <si>
    <t xml:space="preserve">私立威士登外語短期補習班</t>
  </si>
  <si>
    <r>
      <rPr>
        <sz val="10"/>
        <color rgb="FF1F2A28"/>
        <rFont val="WenQuanYi Zen Hei"/>
        <family val="2"/>
      </rPr>
      <t xml:space="preserve">林園區文聖街</t>
    </r>
    <r>
      <rPr>
        <sz val="10"/>
        <color rgb="FF1F2A28"/>
        <rFont val="Arial"/>
        <family val="0"/>
        <charset val="1"/>
      </rPr>
      <t xml:space="preserve">93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</si>
  <si>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643-9691</t>
  </si>
  <si>
    <t xml:space="preserve">hungsharon88@gmail.com</t>
  </si>
  <si>
    <t xml:space="preserve">黃銀鳳</t>
  </si>
  <si>
    <t xml:space="preserve">黃俊銘</t>
  </si>
  <si>
    <t xml:space="preserve">梓官區</t>
  </si>
  <si>
    <t xml:space="preserve">私立葛瑞特美語文理短期補習班梓官分班</t>
  </si>
  <si>
    <r>
      <rPr>
        <sz val="10"/>
        <color rgb="FF1F2A28"/>
        <rFont val="WenQuanYi Zen Hei"/>
        <family val="2"/>
      </rPr>
      <t xml:space="preserve">梓官區進學路</t>
    </r>
    <r>
      <rPr>
        <sz val="10"/>
        <color rgb="FF1F2A28"/>
        <rFont val="Arial"/>
        <family val="0"/>
        <charset val="1"/>
      </rPr>
      <t xml:space="preserve">132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</si>
  <si>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610-7815</t>
  </si>
  <si>
    <t xml:space="preserve">great_zk@hotmail.com</t>
  </si>
  <si>
    <t xml:space="preserve">李小菁</t>
  </si>
  <si>
    <t xml:space="preserve">宋雪玲</t>
  </si>
  <si>
    <t xml:space="preserve">楠梓區</t>
  </si>
  <si>
    <t xml:space="preserve">私立全能外語文理短期補習班右昌分班</t>
  </si>
  <si>
    <r>
      <rPr>
        <sz val="10"/>
        <color rgb="FF1F2A28"/>
        <rFont val="WenQuanYi Zen Hei"/>
        <family val="2"/>
      </rPr>
      <t xml:space="preserve">楠梓區後昌新路</t>
    </r>
    <r>
      <rPr>
        <sz val="10"/>
        <color rgb="FF1F2A28"/>
        <rFont val="Arial"/>
        <family val="0"/>
        <charset val="1"/>
      </rPr>
      <t xml:space="preserve">129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</si>
  <si>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363-8686</t>
  </si>
  <si>
    <t xml:space="preserve">school.houseyc@msa.hinet.net</t>
  </si>
  <si>
    <t xml:space="preserve">2001-09-12</t>
  </si>
  <si>
    <t xml:space="preserve">林瑩盈</t>
  </si>
  <si>
    <t xml:space="preserve">蘇郁如</t>
  </si>
  <si>
    <t xml:space="preserve">私立吉米亨利文理技藝短期補習班</t>
  </si>
  <si>
    <r>
      <rPr>
        <sz val="10"/>
        <color rgb="FF1F2A28"/>
        <rFont val="WenQuanYi Zen Hei"/>
        <family val="2"/>
      </rPr>
      <t xml:space="preserve">楠梓區清豐二路</t>
    </r>
    <r>
      <rPr>
        <sz val="10"/>
        <color rgb="FF1F2A28"/>
        <rFont val="Arial"/>
        <family val="0"/>
        <charset val="1"/>
      </rPr>
      <t xml:space="preserve">326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A</t>
    </r>
    <r>
      <rPr>
        <sz val="10"/>
        <color rgb="FF1F2A28"/>
        <rFont val="WenQuanYi Zen Hei"/>
        <family val="2"/>
      </rPr>
      <t xml:space="preserve">區</t>
    </r>
  </si>
  <si>
    <t xml:space="preserve">355-2693</t>
  </si>
  <si>
    <t xml:space="preserve">goodguyschool3552693@gmail.com</t>
  </si>
  <si>
    <t xml:space="preserve">2009-08-06</t>
  </si>
  <si>
    <t xml:space="preserve">李清文</t>
  </si>
  <si>
    <t xml:space="preserve">鄂姿靜</t>
  </si>
  <si>
    <t xml:space="preserve">私立威力外語短期補習班</t>
  </si>
  <si>
    <r>
      <rPr>
        <sz val="10"/>
        <color rgb="FF1F2A28"/>
        <rFont val="WenQuanYi Zen Hei"/>
        <family val="2"/>
      </rPr>
      <t xml:space="preserve">楠梓區楠梓新路</t>
    </r>
    <r>
      <rPr>
        <sz val="10"/>
        <color rgb="FF1F2A28"/>
        <rFont val="Arial"/>
        <family val="0"/>
        <charset val="1"/>
      </rPr>
      <t xml:space="preserve">197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2-2</t>
    </r>
    <r>
      <rPr>
        <sz val="10"/>
        <color rgb="FF1F2A28"/>
        <rFont val="WenQuanYi Zen Hei"/>
        <family val="2"/>
      </rPr>
      <t xml:space="preserve">樓</t>
    </r>
  </si>
  <si>
    <t xml:space="preserve">355-5677</t>
  </si>
  <si>
    <t xml:space="preserve">joyce41735@gmail.com</t>
  </si>
  <si>
    <t xml:space="preserve">2001-06-12</t>
  </si>
  <si>
    <t xml:space="preserve">吳瓊瑩</t>
  </si>
  <si>
    <t xml:space="preserve">林宏龍</t>
  </si>
  <si>
    <t xml:space="preserve">私立實驗室外語文理短期補習班</t>
  </si>
  <si>
    <r>
      <rPr>
        <sz val="10"/>
        <color rgb="FF1F2A28"/>
        <rFont val="WenQuanYi Zen Hei"/>
        <family val="2"/>
      </rPr>
      <t xml:space="preserve">楠梓區加昌路</t>
    </r>
    <r>
      <rPr>
        <sz val="10"/>
        <color rgb="FF1F2A28"/>
        <rFont val="Arial"/>
        <family val="0"/>
        <charset val="1"/>
      </rPr>
      <t xml:space="preserve">659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</si>
  <si>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365-4483</t>
  </si>
  <si>
    <t xml:space="preserve">sarahsnider12@gmail.com</t>
  </si>
  <si>
    <t xml:space="preserve">王玉環</t>
  </si>
  <si>
    <t xml:space="preserve">私立康諾爾外語短期補習班</t>
  </si>
  <si>
    <r>
      <rPr>
        <sz val="10"/>
        <color rgb="FF1F2A28"/>
        <rFont val="WenQuanYi Zen Hei"/>
        <family val="2"/>
      </rPr>
      <t xml:space="preserve">楠梓區後昌路</t>
    </r>
    <r>
      <rPr>
        <sz val="10"/>
        <color rgb="FF1F2A28"/>
        <rFont val="Arial"/>
        <family val="0"/>
        <charset val="1"/>
      </rPr>
      <t xml:space="preserve">876</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弄</t>
    </r>
    <r>
      <rPr>
        <sz val="10"/>
        <color rgb="FF1F2A28"/>
        <rFont val="Arial"/>
        <family val="0"/>
        <charset val="1"/>
      </rPr>
      <t xml:space="preserve">99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</si>
  <si>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362-8219</t>
  </si>
  <si>
    <t xml:space="preserve">yuchiconor@gmail.com</t>
  </si>
  <si>
    <t xml:space="preserve">1999-11-30</t>
  </si>
  <si>
    <t xml:space="preserve">私立成就非凡文理技藝短期補習班楠梓分班</t>
  </si>
  <si>
    <r>
      <rPr>
        <sz val="10"/>
        <color rgb="FF1F2A28"/>
        <rFont val="WenQuanYi Zen Hei"/>
        <family val="2"/>
      </rPr>
      <t xml:space="preserve">楠梓區創新路</t>
    </r>
    <r>
      <rPr>
        <sz val="10"/>
        <color rgb="FF1F2A28"/>
        <rFont val="Arial"/>
        <family val="0"/>
        <charset val="1"/>
      </rPr>
      <t xml:space="preserve">809</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</si>
  <si>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355-7265</t>
  </si>
  <si>
    <t xml:space="preserve">nobel06@nobelschool.com.tw</t>
  </si>
  <si>
    <t xml:space="preserve">黃芳珍</t>
  </si>
  <si>
    <t xml:space="preserve">羅秀玲</t>
  </si>
  <si>
    <t xml:space="preserve">私立普立茲外語文理短期補習班</t>
  </si>
  <si>
    <r>
      <rPr>
        <sz val="10"/>
        <color rgb="FF1F2A28"/>
        <rFont val="WenQuanYi Zen Hei"/>
        <family val="2"/>
      </rPr>
      <t xml:space="preserve">楠梓區楠陽路</t>
    </r>
    <r>
      <rPr>
        <sz val="10"/>
        <color rgb="FF1F2A28"/>
        <rFont val="Arial"/>
        <family val="0"/>
        <charset val="1"/>
      </rPr>
      <t xml:space="preserve">75</t>
    </r>
    <r>
      <rPr>
        <sz val="10"/>
        <color rgb="FF1F2A28"/>
        <rFont val="WenQuanYi Zen Hei"/>
        <family val="2"/>
      </rPr>
      <t xml:space="preserve">號</t>
    </r>
    <r>
      <rPr>
        <sz val="10"/>
        <color rgb="FF1F2A28"/>
        <rFont val="Arial"/>
        <family val="0"/>
        <charset val="1"/>
      </rPr>
      <t xml:space="preserve">3-4</t>
    </r>
    <r>
      <rPr>
        <sz val="10"/>
        <color rgb="FF1F2A28"/>
        <rFont val="WenQuanYi Zen Hei"/>
        <family val="2"/>
      </rPr>
      <t xml:space="preserve">樓</t>
    </r>
  </si>
  <si>
    <t xml:space="preserve">355-0577</t>
  </si>
  <si>
    <t xml:space="preserve">pulitzeracademy@gmail.com</t>
  </si>
  <si>
    <t xml:space="preserve">1999-08-04</t>
  </si>
  <si>
    <t xml:space="preserve">洪菁穗</t>
  </si>
  <si>
    <t xml:space="preserve">洪茂莚</t>
  </si>
  <si>
    <t xml:space="preserve">私立普立茲外語文理短期補習班楠陽分班</t>
  </si>
  <si>
    <r>
      <rPr>
        <sz val="10"/>
        <color rgb="FF1F2A28"/>
        <rFont val="WenQuanYi Zen Hei"/>
        <family val="2"/>
      </rPr>
      <t xml:space="preserve">楠梓區楠陽路</t>
    </r>
    <r>
      <rPr>
        <sz val="10"/>
        <color rgb="FF1F2A28"/>
        <rFont val="Arial"/>
        <family val="0"/>
        <charset val="1"/>
      </rPr>
      <t xml:space="preserve">77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</si>
  <si>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355-0578</t>
  </si>
  <si>
    <t xml:space="preserve">洪嘉均</t>
  </si>
  <si>
    <t xml:space="preserve">私立楠一文理短期補習班加昌分班</t>
  </si>
  <si>
    <r>
      <rPr>
        <sz val="10"/>
        <color rgb="FF1F2A28"/>
        <rFont val="WenQuanYi Zen Hei"/>
        <family val="2"/>
      </rPr>
      <t xml:space="preserve">楠梓區智群路</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</si>
  <si>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363-9808</t>
  </si>
  <si>
    <t xml:space="preserve">debby84t@yahoo.com.tw</t>
  </si>
  <si>
    <t xml:space="preserve">2005-09-30</t>
  </si>
  <si>
    <t xml:space="preserve">黃貴秀</t>
  </si>
  <si>
    <t xml:space="preserve">周杰</t>
  </si>
  <si>
    <t xml:space="preserve">私立楠一文理短期補習班我愛分班</t>
  </si>
  <si>
    <r>
      <rPr>
        <sz val="10"/>
        <color rgb="FF1F2A28"/>
        <rFont val="WenQuanYi Zen Hei"/>
        <family val="2"/>
      </rPr>
      <t xml:space="preserve">楠梓區壽民路</t>
    </r>
    <r>
      <rPr>
        <sz val="10"/>
        <color rgb="FF1F2A28"/>
        <rFont val="Arial"/>
        <family val="0"/>
        <charset val="1"/>
      </rPr>
      <t xml:space="preserve">223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</si>
  <si>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365-0800</t>
  </si>
  <si>
    <t xml:space="preserve">a0985895330@gmail.com</t>
  </si>
  <si>
    <t xml:space="preserve">1999-08-13</t>
  </si>
  <si>
    <t xml:space="preserve">高翰昇</t>
  </si>
  <si>
    <t xml:space="preserve">私立楠一文理短期補習班樂群分班</t>
  </si>
  <si>
    <r>
      <rPr>
        <sz val="10"/>
        <color rgb="FF1F2A28"/>
        <rFont val="WenQuanYi Zen Hei"/>
        <family val="2"/>
      </rPr>
      <t xml:space="preserve">楠梓區樂群路</t>
    </r>
    <r>
      <rPr>
        <sz val="10"/>
        <color rgb="FF1F2A28"/>
        <rFont val="Arial"/>
        <family val="0"/>
        <charset val="1"/>
      </rPr>
      <t xml:space="preserve">162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</si>
  <si>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365-8258</t>
  </si>
  <si>
    <t xml:space="preserve">samantha01.3658258@gmail.com</t>
  </si>
  <si>
    <t xml:space="preserve">2012-09-27</t>
  </si>
  <si>
    <t xml:space="preserve">陳映君</t>
  </si>
  <si>
    <t xml:space="preserve">私立歐昇美語文理短期補習班</t>
  </si>
  <si>
    <r>
      <rPr>
        <sz val="10"/>
        <color rgb="FF1F2A28"/>
        <rFont val="WenQuanYi Zen Hei"/>
        <family val="2"/>
      </rPr>
      <t xml:space="preserve">楠梓區清豐路</t>
    </r>
    <r>
      <rPr>
        <sz val="10"/>
        <color rgb="FF1F2A28"/>
        <rFont val="Arial"/>
        <family val="0"/>
        <charset val="1"/>
      </rPr>
      <t xml:space="preserve">215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樓、夾層</t>
    </r>
  </si>
  <si>
    <t xml:space="preserve">0956-889737</t>
  </si>
  <si>
    <t xml:space="preserve">wu56889737@gmail.com</t>
  </si>
  <si>
    <t xml:space="preserve">2023-08-28</t>
  </si>
  <si>
    <t xml:space="preserve">巫玉君</t>
  </si>
  <si>
    <t xml:space="preserve">私立汎語英語文理短期補習班</t>
  </si>
  <si>
    <r>
      <rPr>
        <sz val="10"/>
        <color rgb="FF1F2A28"/>
        <rFont val="WenQuanYi Zen Hei"/>
        <family val="2"/>
      </rPr>
      <t xml:space="preserve">楠梓區常德路</t>
    </r>
    <r>
      <rPr>
        <sz val="10"/>
        <color rgb="FF1F2A28"/>
        <rFont val="Arial"/>
        <family val="0"/>
        <charset val="1"/>
      </rPr>
      <t xml:space="preserve">299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</si>
  <si>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358-1278</t>
  </si>
  <si>
    <t xml:space="preserve">nanzijoy@gmail.com</t>
  </si>
  <si>
    <t xml:space="preserve">2008-03-06</t>
  </si>
  <si>
    <t xml:space="preserve">高松廷</t>
  </si>
  <si>
    <t xml:space="preserve">彭思瑜</t>
  </si>
  <si>
    <t xml:space="preserve">私立漢娜外語短期補習班</t>
  </si>
  <si>
    <r>
      <rPr>
        <sz val="10"/>
        <color rgb="FF1F2A28"/>
        <rFont val="WenQuanYi Zen Hei"/>
        <family val="2"/>
      </rPr>
      <t xml:space="preserve">楠梓區加宏路</t>
    </r>
    <r>
      <rPr>
        <sz val="10"/>
        <color rgb="FF1F2A28"/>
        <rFont val="Arial"/>
        <family val="0"/>
        <charset val="1"/>
      </rPr>
      <t xml:space="preserve">161</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</si>
  <si>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365-4090</t>
  </si>
  <si>
    <t xml:space="preserve">apple2312@gmail.com</t>
  </si>
  <si>
    <t xml:space="preserve">2003-06-25</t>
  </si>
  <si>
    <t xml:space="preserve">陶美惠</t>
  </si>
  <si>
    <t xml:space="preserve">私立瑞婕文理短期補習班</t>
  </si>
  <si>
    <r>
      <rPr>
        <sz val="10"/>
        <color rgb="FF1F2A28"/>
        <rFont val="WenQuanYi Zen Hei"/>
        <family val="2"/>
      </rPr>
      <t xml:space="preserve">楠梓區右昌街</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</si>
  <si>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363-2233</t>
  </si>
  <si>
    <t xml:space="preserve">kidcastle073632233@gmail.com</t>
  </si>
  <si>
    <t xml:space="preserve">2008-11-11</t>
  </si>
  <si>
    <t xml:space="preserve">王崇銘</t>
  </si>
  <si>
    <t xml:space="preserve">洪麗香</t>
  </si>
  <si>
    <t xml:space="preserve">私立禾立文理外語短期補習班</t>
  </si>
  <si>
    <r>
      <rPr>
        <sz val="10"/>
        <color rgb="FF1F2A28"/>
        <rFont val="WenQuanYi Zen Hei"/>
        <family val="2"/>
      </rPr>
      <t xml:space="preserve">楠梓區德民路</t>
    </r>
    <r>
      <rPr>
        <sz val="10"/>
        <color rgb="FF1F2A28"/>
        <rFont val="Arial"/>
        <family val="0"/>
        <charset val="1"/>
      </rPr>
      <t xml:space="preserve">1010</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</si>
  <si>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360-8836 / 363-9449</t>
  </si>
  <si>
    <t xml:space="preserve">nt26071726@gmail.com</t>
  </si>
  <si>
    <t xml:space="preserve">2010-12-31</t>
  </si>
  <si>
    <t xml:space="preserve">林家德</t>
  </si>
  <si>
    <t xml:space="preserve">私立精通英語短期補習班</t>
  </si>
  <si>
    <r>
      <rPr>
        <sz val="10"/>
        <color rgb="FF1F2A28"/>
        <rFont val="WenQuanYi Zen Hei"/>
        <family val="2"/>
      </rPr>
      <t xml:space="preserve">楠梓區楠盛街</t>
    </r>
    <r>
      <rPr>
        <sz val="10"/>
        <color rgb="FF1F2A28"/>
        <rFont val="Arial"/>
        <family val="0"/>
        <charset val="1"/>
      </rPr>
      <t xml:space="preserve">135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</si>
  <si>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351-7226</t>
  </si>
  <si>
    <t xml:space="preserve">jeanyoho@ms45.hinet.net</t>
  </si>
  <si>
    <t xml:space="preserve">1998-01-21</t>
  </si>
  <si>
    <t xml:space="preserve">黃裕和</t>
  </si>
  <si>
    <t xml:space="preserve">私立英倫外語短期補習班</t>
  </si>
  <si>
    <r>
      <rPr>
        <sz val="10"/>
        <color rgb="FF1F2A28"/>
        <rFont val="WenQuanYi Zen Hei"/>
        <family val="2"/>
      </rPr>
      <t xml:space="preserve">楠梓區萬昌街</t>
    </r>
    <r>
      <rPr>
        <sz val="10"/>
        <color rgb="FF1F2A28"/>
        <rFont val="Arial"/>
        <family val="0"/>
        <charset val="1"/>
      </rPr>
      <t xml:space="preserve">93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</si>
  <si>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362-4081</t>
  </si>
  <si>
    <t xml:space="preserve">pp241159@yahoo.com.tw</t>
  </si>
  <si>
    <t xml:space="preserve">1996-04-27</t>
  </si>
  <si>
    <t xml:space="preserve">陳景</t>
  </si>
  <si>
    <t xml:space="preserve">施哲立</t>
  </si>
  <si>
    <t xml:space="preserve">私立葛瑞特美語文理短期補習班</t>
  </si>
  <si>
    <r>
      <rPr>
        <sz val="10"/>
        <color rgb="FF1F2A28"/>
        <rFont val="WenQuanYi Zen Hei"/>
        <family val="2"/>
      </rPr>
      <t xml:space="preserve">楠梓區楠梓路</t>
    </r>
    <r>
      <rPr>
        <sz val="10"/>
        <color rgb="FF1F2A28"/>
        <rFont val="Arial"/>
        <family val="0"/>
        <charset val="1"/>
      </rPr>
      <t xml:space="preserve">279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</si>
  <si>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358-2216</t>
  </si>
  <si>
    <t xml:space="preserve">great_2216@hotmail.com</t>
  </si>
  <si>
    <t xml:space="preserve">郭芳華</t>
  </si>
  <si>
    <t xml:space="preserve">私立郁惠美語文理短期補習班</t>
  </si>
  <si>
    <r>
      <rPr>
        <sz val="10"/>
        <color rgb="FF1F2A28"/>
        <rFont val="WenQuanYi Zen Hei"/>
        <family val="2"/>
      </rPr>
      <t xml:space="preserve">楠梓區土庫路</t>
    </r>
    <r>
      <rPr>
        <sz val="10"/>
        <color rgb="FF1F2A28"/>
        <rFont val="Arial"/>
        <family val="0"/>
        <charset val="1"/>
      </rPr>
      <t xml:space="preserve">236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</si>
  <si>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351-7959</t>
  </si>
  <si>
    <t xml:space="preserve">yvette2239@yahoo.com.tw</t>
  </si>
  <si>
    <t xml:space="preserve">2006-05-02</t>
  </si>
  <si>
    <t xml:space="preserve">黃郁惠</t>
  </si>
  <si>
    <t xml:space="preserve">私立馬克叔叔外語短期補習班</t>
  </si>
  <si>
    <r>
      <rPr>
        <sz val="10"/>
        <color rgb="FF1F2A28"/>
        <rFont val="WenQuanYi Zen Hei"/>
        <family val="2"/>
      </rPr>
      <t xml:space="preserve">楠梓區後昌路</t>
    </r>
    <r>
      <rPr>
        <sz val="10"/>
        <color rgb="FF1F2A28"/>
        <rFont val="Arial"/>
        <family val="0"/>
        <charset val="1"/>
      </rPr>
      <t xml:space="preserve">797</t>
    </r>
    <r>
      <rPr>
        <sz val="10"/>
        <color rgb="FF1F2A28"/>
        <rFont val="WenQuanYi Zen Hei"/>
        <family val="2"/>
      </rPr>
      <t xml:space="preserve">巷</t>
    </r>
    <r>
      <rPr>
        <sz val="10"/>
        <color rgb="FF1F2A28"/>
        <rFont val="Arial"/>
        <family val="0"/>
        <charset val="1"/>
      </rPr>
      <t xml:space="preserve">55</t>
    </r>
    <r>
      <rPr>
        <sz val="10"/>
        <color rgb="FF1F2A28"/>
        <rFont val="WenQuanYi Zen Hei"/>
        <family val="2"/>
      </rPr>
      <t xml:space="preserve">、</t>
    </r>
    <r>
      <rPr>
        <sz val="10"/>
        <color rgb="FF1F2A28"/>
        <rFont val="Arial"/>
        <family val="0"/>
        <charset val="1"/>
      </rPr>
      <t xml:space="preserve">69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</si>
  <si>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365-4910</t>
  </si>
  <si>
    <t xml:space="preserve">isistsou@gmail.com</t>
  </si>
  <si>
    <t xml:space="preserve">1995-05-24</t>
  </si>
  <si>
    <t xml:space="preserve">王治文</t>
  </si>
  <si>
    <t xml:space="preserve">聯成電腦股份有限公司附設高雄市私立聯城電腦語文短期補習班</t>
  </si>
  <si>
    <r>
      <rPr>
        <sz val="10"/>
        <color rgb="FF1F2A28"/>
        <rFont val="WenQuanYi Zen Hei"/>
        <family val="2"/>
      </rPr>
      <t xml:space="preserve">楠梓區建楠路</t>
    </r>
    <r>
      <rPr>
        <sz val="10"/>
        <color rgb="FF1F2A28"/>
        <rFont val="Arial"/>
        <family val="0"/>
        <charset val="1"/>
      </rPr>
      <t xml:space="preserve">219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</si>
  <si>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358-2968</t>
  </si>
  <si>
    <t xml:space="preserve">ginger3315@gmail.com</t>
  </si>
  <si>
    <t xml:space="preserve">2008-10-21</t>
  </si>
  <si>
    <t xml:space="preserve">林為煌</t>
  </si>
  <si>
    <t xml:space="preserve">高竿國際教育有限公司附設高雄市私立英語特區外語文理短期補習班</t>
  </si>
  <si>
    <r>
      <rPr>
        <sz val="10"/>
        <color rgb="FF1F2A28"/>
        <rFont val="WenQuanYi Zen Hei"/>
        <family val="2"/>
      </rPr>
      <t xml:space="preserve">楠梓區楠梓路</t>
    </r>
    <r>
      <rPr>
        <sz val="10"/>
        <color rgb="FF1F2A28"/>
        <rFont val="Arial"/>
        <family val="0"/>
        <charset val="1"/>
      </rPr>
      <t xml:space="preserve">283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r>
      <rPr>
        <sz val="10"/>
        <color rgb="FF1F2A28"/>
        <rFont val="Arial"/>
        <family val="0"/>
        <charset val="1"/>
      </rPr>
      <t xml:space="preserve">285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r>
      <rPr>
        <sz val="10"/>
        <color rgb="FF1F2A28"/>
        <rFont val="Arial"/>
        <family val="0"/>
        <charset val="1"/>
      </rPr>
      <t xml:space="preserve">287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</si>
  <si>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351-9831/352-8555</t>
  </si>
  <si>
    <t xml:space="preserve">englishcorner3519831@gmail.com</t>
  </si>
  <si>
    <t xml:space="preserve">2017-10-30</t>
  </si>
  <si>
    <r>
      <rPr>
        <sz val="10"/>
        <color rgb="FF1F2A28"/>
        <rFont val="WenQuanYi Zen Hei"/>
        <family val="2"/>
      </rPr>
      <t xml:space="preserve">高竿國際教育有限公司</t>
    </r>
    <r>
      <rPr>
        <sz val="10"/>
        <color rgb="FF1F2A28"/>
        <rFont val="Arial"/>
        <family val="0"/>
        <charset val="1"/>
      </rPr>
      <t xml:space="preserve">(</t>
    </r>
    <r>
      <rPr>
        <sz val="10"/>
        <color rgb="FF1F2A28"/>
        <rFont val="WenQuanYi Zen Hei"/>
        <family val="2"/>
      </rPr>
      <t xml:space="preserve">代表人：李維揚</t>
    </r>
    <r>
      <rPr>
        <sz val="10"/>
        <color rgb="FF1F2A28"/>
        <rFont val="Arial"/>
        <family val="0"/>
        <charset val="1"/>
      </rPr>
      <t xml:space="preserve">)</t>
    </r>
  </si>
  <si>
    <t xml:space="preserve">陳紀庭</t>
  </si>
  <si>
    <t xml:space="preserve">高竿國際教育有限公司附設高雄市私立英語特區外語文理短期補習班莒光分班</t>
  </si>
  <si>
    <r>
      <rPr>
        <sz val="10"/>
        <color rgb="FF1F2A28"/>
        <rFont val="WenQuanYi Zen Hei"/>
        <family val="2"/>
      </rPr>
      <t xml:space="preserve">楠梓區後昌路</t>
    </r>
    <r>
      <rPr>
        <sz val="10"/>
        <color rgb="FF1F2A28"/>
        <rFont val="Arial"/>
        <family val="0"/>
        <charset val="1"/>
      </rPr>
      <t xml:space="preserve">837</t>
    </r>
    <r>
      <rPr>
        <sz val="10"/>
        <color rgb="FF1F2A28"/>
        <rFont val="WenQuanYi Zen Hei"/>
        <family val="2"/>
      </rPr>
      <t xml:space="preserve">巷</t>
    </r>
    <r>
      <rPr>
        <sz val="10"/>
        <color rgb="FF1F2A28"/>
        <rFont val="Arial"/>
        <family val="0"/>
        <charset val="1"/>
      </rPr>
      <t xml:space="preserve">37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</si>
  <si>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0981615220</t>
  </si>
  <si>
    <t xml:space="preserve">weiyyang@gmail.com</t>
  </si>
  <si>
    <t xml:space="preserve">高竿國際教育有限公司（代表人：李維揚）</t>
  </si>
  <si>
    <t xml:space="preserve">王琝媗</t>
  </si>
  <si>
    <t xml:space="preserve">高竿教育有限公司附設高雄市私立威廉外語文理短期補習班</t>
  </si>
  <si>
    <r>
      <rPr>
        <sz val="10"/>
        <color rgb="FF1F2A28"/>
        <rFont val="WenQuanYi Zen Hei"/>
        <family val="2"/>
      </rPr>
      <t xml:space="preserve">楠梓區楠梓路</t>
    </r>
    <r>
      <rPr>
        <sz val="10"/>
        <color rgb="FF1F2A28"/>
        <rFont val="Arial"/>
        <family val="0"/>
        <charset val="1"/>
      </rPr>
      <t xml:space="preserve">305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r>
      <rPr>
        <sz val="10"/>
        <color rgb="FF1F2A28"/>
        <rFont val="Arial"/>
        <family val="0"/>
        <charset val="1"/>
      </rPr>
      <t xml:space="preserve">331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333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335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</si>
  <si>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352-0636</t>
  </si>
  <si>
    <t xml:space="preserve">ec23518090@gmail.com</t>
  </si>
  <si>
    <t xml:space="preserve">李維揚</t>
  </si>
  <si>
    <t xml:space="preserve">何依庭</t>
  </si>
  <si>
    <t xml:space="preserve">橋頭區</t>
  </si>
  <si>
    <t xml:space="preserve">私立嶸璟英語短期補習班</t>
  </si>
  <si>
    <r>
      <rPr>
        <sz val="10"/>
        <color rgb="FF1F2A28"/>
        <rFont val="WenQuanYi Zen Hei"/>
        <family val="2"/>
      </rPr>
      <t xml:space="preserve">橋頭區樹德路</t>
    </r>
    <r>
      <rPr>
        <sz val="10"/>
        <color rgb="FF1F2A28"/>
        <rFont val="Arial"/>
        <family val="0"/>
        <charset val="1"/>
      </rPr>
      <t xml:space="preserve">210</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</si>
  <si>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612-0887</t>
  </si>
  <si>
    <t xml:space="preserve">joy.ct@seed.net.tw</t>
  </si>
  <si>
    <t xml:space="preserve">2003-01-21</t>
  </si>
  <si>
    <t xml:space="preserve">張秋華</t>
  </si>
  <si>
    <t xml:space="preserve">燕巢區</t>
  </si>
  <si>
    <t xml:space="preserve">私立喬安美語短期補習班</t>
  </si>
  <si>
    <r>
      <rPr>
        <sz val="10"/>
        <color rgb="FF1F2A28"/>
        <rFont val="WenQuanYi Zen Hei"/>
        <family val="2"/>
      </rPr>
      <t xml:space="preserve">燕巢區中東巷</t>
    </r>
    <r>
      <rPr>
        <sz val="10"/>
        <color rgb="FF1F2A28"/>
        <rFont val="Arial"/>
        <family val="0"/>
        <charset val="1"/>
      </rPr>
      <t xml:space="preserve">70-7</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</si>
  <si>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616-8881</t>
  </si>
  <si>
    <t xml:space="preserve">xjoranx@yahoo.com.tw</t>
  </si>
  <si>
    <t xml:space="preserve">陳姃妙</t>
  </si>
  <si>
    <t xml:space="preserve">苓雅區</t>
  </si>
  <si>
    <t xml:space="preserve">中華語文國際教育股份有限公司附設高雄市私立南華語文短期補習班</t>
  </si>
  <si>
    <r>
      <rPr>
        <sz val="10"/>
        <color rgb="FF1F2A28"/>
        <rFont val="WenQuanYi Zen Hei"/>
        <family val="2"/>
      </rPr>
      <t xml:space="preserve">苓雅區中山二路</t>
    </r>
    <r>
      <rPr>
        <sz val="10"/>
        <color rgb="FF1F2A28"/>
        <rFont val="Arial"/>
        <family val="0"/>
        <charset val="1"/>
      </rPr>
      <t xml:space="preserve">507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</si>
  <si>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215-2965</t>
  </si>
  <si>
    <t xml:space="preserve">ch.kh@tli.com.tw</t>
  </si>
  <si>
    <t xml:space="preserve">1993-03-02</t>
  </si>
  <si>
    <r>
      <rPr>
        <sz val="10"/>
        <color rgb="FF1F2A28"/>
        <rFont val="WenQuanYi Zen Hei"/>
        <family val="2"/>
      </rPr>
      <t xml:space="preserve">中華語文國際教育股份有限公司</t>
    </r>
    <r>
      <rPr>
        <sz val="10"/>
        <color rgb="FF1F2A28"/>
        <rFont val="Arial"/>
        <family val="0"/>
        <charset val="1"/>
      </rPr>
      <t xml:space="preserve">(</t>
    </r>
    <r>
      <rPr>
        <sz val="10"/>
        <color rgb="FF1F2A28"/>
        <rFont val="WenQuanYi Zen Hei"/>
        <family val="2"/>
      </rPr>
      <t xml:space="preserve">代表人：何再生</t>
    </r>
    <r>
      <rPr>
        <sz val="10"/>
        <color rgb="FF1F2A28"/>
        <rFont val="Arial"/>
        <family val="0"/>
        <charset val="1"/>
      </rPr>
      <t xml:space="preserve">)</t>
    </r>
  </si>
  <si>
    <t xml:space="preserve">蔡依芳</t>
  </si>
  <si>
    <t xml:space="preserve">私立傑出外語升學文理短期補習班</t>
  </si>
  <si>
    <r>
      <rPr>
        <sz val="10"/>
        <color rgb="FF1F2A28"/>
        <rFont val="WenQuanYi Zen Hei"/>
        <family val="2"/>
      </rPr>
      <t xml:space="preserve">苓雅區維仁街</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</si>
  <si>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335-0703</t>
  </si>
  <si>
    <t xml:space="preserve">chen.poyu658@msa.hinet.net</t>
  </si>
  <si>
    <t xml:space="preserve">1985-05-25</t>
  </si>
  <si>
    <t xml:space="preserve">陳伯宇</t>
  </si>
  <si>
    <t xml:space="preserve">私立傑立亞外語短期補習班</t>
  </si>
  <si>
    <r>
      <rPr>
        <sz val="10"/>
        <color rgb="FF1F2A28"/>
        <rFont val="WenQuanYi Zen Hei"/>
        <family val="2"/>
      </rPr>
      <t xml:space="preserve">苓雅區光華一路</t>
    </r>
    <r>
      <rPr>
        <sz val="10"/>
        <color rgb="FF1F2A28"/>
        <rFont val="Arial"/>
        <family val="0"/>
        <charset val="1"/>
      </rPr>
      <t xml:space="preserve">259</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</si>
  <si>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223-3016</t>
  </si>
  <si>
    <t xml:space="preserve">jsl.language@gmail.com</t>
  </si>
  <si>
    <t xml:space="preserve">2019-07-17</t>
  </si>
  <si>
    <t xml:space="preserve">吳沂樺</t>
  </si>
  <si>
    <t xml:space="preserve">私立克泰利外語短期補習班</t>
  </si>
  <si>
    <r>
      <rPr>
        <sz val="10"/>
        <color rgb="FF1F2A28"/>
        <rFont val="WenQuanYi Zen Hei"/>
        <family val="2"/>
      </rPr>
      <t xml:space="preserve">苓雅區永靖街</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</si>
  <si>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330-2511</t>
  </si>
  <si>
    <t xml:space="preserve">longhui65321@gmail.com</t>
  </si>
  <si>
    <t xml:space="preserve">1995-01-04</t>
  </si>
  <si>
    <t xml:space="preserve">陳龍輝</t>
  </si>
  <si>
    <t xml:space="preserve">私立千代外語短期補習班</t>
  </si>
  <si>
    <r>
      <rPr>
        <sz val="10"/>
        <color rgb="FF1F2A28"/>
        <rFont val="WenQuanYi Zen Hei"/>
        <family val="2"/>
      </rPr>
      <t xml:space="preserve">苓雅區福德三路</t>
    </r>
    <r>
      <rPr>
        <sz val="10"/>
        <color rgb="FF1F2A28"/>
        <rFont val="Arial"/>
        <family val="0"/>
        <charset val="1"/>
      </rPr>
      <t xml:space="preserve">189</t>
    </r>
    <r>
      <rPr>
        <sz val="10"/>
        <color rgb="FF1F2A28"/>
        <rFont val="WenQuanYi Zen Hei"/>
        <family val="2"/>
      </rPr>
      <t xml:space="preserve">巷</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</si>
  <si>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716-3511</t>
  </si>
  <si>
    <t xml:space="preserve">chiyogaigo@gmail.com</t>
  </si>
  <si>
    <t xml:space="preserve">1999-07-29</t>
  </si>
  <si>
    <t xml:space="preserve">湯山千里</t>
  </si>
  <si>
    <t xml:space="preserve">私立嘉學文理短期補習班</t>
  </si>
  <si>
    <r>
      <rPr>
        <sz val="10"/>
        <color rgb="FF1F2A28"/>
        <rFont val="WenQuanYi Zen Hei"/>
        <family val="2"/>
      </rPr>
      <t xml:space="preserve">苓雅區光華一路</t>
    </r>
    <r>
      <rPr>
        <sz val="10"/>
        <color rgb="FF1F2A28"/>
        <rFont val="Arial"/>
        <family val="0"/>
        <charset val="1"/>
      </rPr>
      <t xml:space="preserve">148</t>
    </r>
    <r>
      <rPr>
        <sz val="10"/>
        <color rgb="FF1F2A28"/>
        <rFont val="WenQuanYi Zen Hei"/>
        <family val="2"/>
      </rPr>
      <t xml:space="preserve">之</t>
    </r>
    <r>
      <rPr>
        <sz val="10"/>
        <color rgb="FF1F2A28"/>
        <rFont val="Arial"/>
        <family val="0"/>
        <charset val="1"/>
      </rPr>
      <t xml:space="preserve">88</t>
    </r>
    <r>
      <rPr>
        <sz val="10"/>
        <color rgb="FF1F2A28"/>
        <rFont val="WenQuanYi Zen Hei"/>
        <family val="2"/>
      </rPr>
      <t xml:space="preserve">、</t>
    </r>
    <r>
      <rPr>
        <sz val="10"/>
        <color rgb="FF1F2A28"/>
        <rFont val="Arial"/>
        <family val="0"/>
        <charset val="1"/>
      </rPr>
      <t xml:space="preserve">148</t>
    </r>
    <r>
      <rPr>
        <sz val="10"/>
        <color rgb="FF1F2A28"/>
        <rFont val="WenQuanYi Zen Hei"/>
        <family val="2"/>
      </rPr>
      <t xml:space="preserve">之</t>
    </r>
    <r>
      <rPr>
        <sz val="10"/>
        <color rgb="FF1F2A28"/>
        <rFont val="Arial"/>
        <family val="0"/>
        <charset val="1"/>
      </rPr>
      <t xml:space="preserve">89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</si>
  <si>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222-3331</t>
  </si>
  <si>
    <t xml:space="preserve">hs2134@hess.com.tw</t>
  </si>
  <si>
    <t xml:space="preserve">2003-07-18</t>
  </si>
  <si>
    <t xml:space="preserve">王綺敏</t>
  </si>
  <si>
    <t xml:space="preserve">私立夏米文理技藝短期補習班三多分班</t>
  </si>
  <si>
    <r>
      <rPr>
        <sz val="10"/>
        <color rgb="FF1F2A28"/>
        <rFont val="WenQuanYi Zen Hei"/>
        <family val="2"/>
      </rPr>
      <t xml:space="preserve">苓雅區漢陽街</t>
    </r>
    <r>
      <rPr>
        <sz val="10"/>
        <color rgb="FF1F2A28"/>
        <rFont val="Arial"/>
        <family val="0"/>
        <charset val="1"/>
      </rPr>
      <t xml:space="preserve">114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</si>
  <si>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7213013</t>
  </si>
  <si>
    <t xml:space="preserve">sammisd114@gmail.com</t>
  </si>
  <si>
    <t xml:space="preserve">洪惠敏</t>
  </si>
  <si>
    <t xml:space="preserve">易惠娟</t>
  </si>
  <si>
    <t xml:space="preserve">私立大自然英語科學作品電腦短期補習班</t>
  </si>
  <si>
    <r>
      <rPr>
        <sz val="10"/>
        <color rgb="FF1F2A28"/>
        <rFont val="WenQuanYi Zen Hei"/>
        <family val="2"/>
      </rPr>
      <t xml:space="preserve">苓雅區中正二路</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</si>
  <si>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225-4686</t>
  </si>
  <si>
    <t xml:space="preserve">x1000007@gmail.com</t>
  </si>
  <si>
    <t xml:space="preserve">1995-03-14</t>
  </si>
  <si>
    <t xml:space="preserve">劉文吾</t>
  </si>
  <si>
    <t xml:space="preserve">歐姿慧</t>
  </si>
  <si>
    <t xml:space="preserve">私立奇恩外語短期補習班</t>
  </si>
  <si>
    <r>
      <rPr>
        <sz val="10"/>
        <color rgb="FF1F2A28"/>
        <rFont val="WenQuanYi Zen Hei"/>
        <family val="2"/>
      </rPr>
      <t xml:space="preserve">苓雅區永靖街</t>
    </r>
    <r>
      <rPr>
        <sz val="10"/>
        <color rgb="FF1F2A28"/>
        <rFont val="Arial"/>
        <family val="0"/>
        <charset val="1"/>
      </rPr>
      <t xml:space="preserve">88</t>
    </r>
    <r>
      <rPr>
        <sz val="10"/>
        <color rgb="FF1F2A28"/>
        <rFont val="WenQuanYi Zen Hei"/>
        <family val="2"/>
      </rPr>
      <t xml:space="preserve">號</t>
    </r>
    <r>
      <rPr>
        <sz val="10"/>
        <color rgb="FF1F2A28"/>
        <rFont val="Arial"/>
        <family val="0"/>
        <charset val="1"/>
      </rPr>
      <t xml:space="preserve">3-4</t>
    </r>
    <r>
      <rPr>
        <sz val="10"/>
        <color rgb="FF1F2A28"/>
        <rFont val="WenQuanYi Zen Hei"/>
        <family val="2"/>
      </rPr>
      <t xml:space="preserve">樓</t>
    </r>
  </si>
  <si>
    <t xml:space="preserve">332-6784</t>
  </si>
  <si>
    <t xml:space="preserve">chiu528926@yahoo.com.tw</t>
  </si>
  <si>
    <t xml:space="preserve">陳琳繕</t>
  </si>
  <si>
    <t xml:space="preserve">私立奇恩外語短期補習班和平分班</t>
  </si>
  <si>
    <r>
      <rPr>
        <sz val="10"/>
        <color rgb="FF1F2A28"/>
        <rFont val="WenQuanYi Zen Hei"/>
        <family val="2"/>
      </rPr>
      <t xml:space="preserve">苓雅區和平一路</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2</t>
    </r>
  </si>
  <si>
    <t xml:space="preserve">727-9999</t>
  </si>
  <si>
    <t xml:space="preserve">magian94@gmail.com</t>
  </si>
  <si>
    <t xml:space="preserve">2005-03-31</t>
  </si>
  <si>
    <t xml:space="preserve">邱友貞</t>
  </si>
  <si>
    <t xml:space="preserve">私立威肯美語文理短期補習班</t>
  </si>
  <si>
    <r>
      <rPr>
        <sz val="10"/>
        <color rgb="FF1F2A28"/>
        <rFont val="WenQuanYi Zen Hei"/>
        <family val="2"/>
      </rPr>
      <t xml:space="preserve">苓雅區輔仁路</t>
    </r>
    <r>
      <rPr>
        <sz val="10"/>
        <color rgb="FF1F2A28"/>
        <rFont val="Arial"/>
        <family val="0"/>
        <charset val="1"/>
      </rPr>
      <t xml:space="preserve">126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</si>
  <si>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722-3888</t>
  </si>
  <si>
    <t xml:space="preserve">rich2top@gmail.com</t>
  </si>
  <si>
    <t xml:space="preserve">許衣淇</t>
  </si>
  <si>
    <t xml:space="preserve">楊智堯</t>
  </si>
  <si>
    <t xml:space="preserve">私立宇能外語短期補習班四維分班</t>
  </si>
  <si>
    <r>
      <rPr>
        <sz val="10"/>
        <color rgb="FF1F2A28"/>
        <rFont val="WenQuanYi Zen Hei"/>
        <family val="2"/>
      </rPr>
      <t xml:space="preserve">苓雅區四維二路</t>
    </r>
    <r>
      <rPr>
        <sz val="10"/>
        <color rgb="FF1F2A28"/>
        <rFont val="Arial"/>
        <family val="0"/>
        <charset val="1"/>
      </rPr>
      <t xml:space="preserve">148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</si>
  <si>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537-1518</t>
  </si>
  <si>
    <t xml:space="preserve">slcsw148@gmail.com</t>
  </si>
  <si>
    <t xml:space="preserve">1992-12-23</t>
  </si>
  <si>
    <t xml:space="preserve">姚明芳</t>
  </si>
  <si>
    <t xml:space="preserve">戴維志</t>
  </si>
  <si>
    <t xml:space="preserve">私立宏昇外語短期補習班</t>
  </si>
  <si>
    <r>
      <rPr>
        <sz val="10"/>
        <color rgb="FF1F2A28"/>
        <rFont val="WenQuanYi Zen Hei"/>
        <family val="2"/>
      </rPr>
      <t xml:space="preserve">苓雅區文武三街</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</si>
  <si>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333-9201</t>
  </si>
  <si>
    <t xml:space="preserve">1998-03-01</t>
  </si>
  <si>
    <t xml:space="preserve">李筱雨</t>
  </si>
  <si>
    <t xml:space="preserve">私立庠林外語文理短期補習班</t>
  </si>
  <si>
    <r>
      <rPr>
        <sz val="10"/>
        <color rgb="FF1F2A28"/>
        <rFont val="WenQuanYi Zen Hei"/>
        <family val="2"/>
      </rPr>
      <t xml:space="preserve">苓雅區廣州一街</t>
    </r>
    <r>
      <rPr>
        <sz val="10"/>
        <color rgb="FF1F2A28"/>
        <rFont val="Arial"/>
        <family val="0"/>
        <charset val="1"/>
      </rPr>
      <t xml:space="preserve">163</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</si>
  <si>
    <t xml:space="preserve">229-9568</t>
  </si>
  <si>
    <t xml:space="preserve">shiny_language@yahoo.com.tw</t>
  </si>
  <si>
    <t xml:space="preserve">2005-08-03</t>
  </si>
  <si>
    <t xml:space="preserve">杜武正</t>
  </si>
  <si>
    <t xml:space="preserve">私立強納生美語文理短期補習班中正分班</t>
  </si>
  <si>
    <r>
      <rPr>
        <sz val="10"/>
        <color rgb="FF1F2A28"/>
        <rFont val="WenQuanYi Zen Hei"/>
        <family val="2"/>
      </rPr>
      <t xml:space="preserve">苓雅區輔仁路</t>
    </r>
    <r>
      <rPr>
        <sz val="10"/>
        <color rgb="FF1F2A28"/>
        <rFont val="Arial"/>
        <family val="0"/>
        <charset val="1"/>
      </rPr>
      <t xml:space="preserve">179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122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106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</si>
  <si>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723-1034 / 313-0111 / 723-1004</t>
  </si>
  <si>
    <t xml:space="preserve">王林淑卿</t>
  </si>
  <si>
    <t xml:space="preserve">私立強納生美語文理短期補習班建國分班</t>
  </si>
  <si>
    <r>
      <rPr>
        <sz val="10"/>
        <color rgb="FF1F2A28"/>
        <rFont val="WenQuanYi Zen Hei"/>
        <family val="2"/>
      </rPr>
      <t xml:space="preserve">苓雅區輔仁路</t>
    </r>
    <r>
      <rPr>
        <sz val="10"/>
        <color rgb="FF1F2A28"/>
        <rFont val="Arial"/>
        <family val="0"/>
        <charset val="1"/>
      </rPr>
      <t xml:space="preserve">179-9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</si>
  <si>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723-1004 723-0102</t>
  </si>
  <si>
    <t xml:space="preserve">2006-10-24</t>
  </si>
  <si>
    <t xml:space="preserve">高慧紋</t>
  </si>
  <si>
    <t xml:space="preserve">私立復華中學附設外語短期補習班</t>
  </si>
  <si>
    <r>
      <rPr>
        <sz val="10"/>
        <color rgb="FF1F2A28"/>
        <rFont val="WenQuanYi Zen Hei"/>
        <family val="2"/>
      </rPr>
      <t xml:space="preserve">苓雅區民權一路</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</si>
  <si>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332-7772</t>
  </si>
  <si>
    <t xml:space="preserve">fhk024@fhhs.kh.edu.tw</t>
  </si>
  <si>
    <t xml:space="preserve">1993-07-07</t>
  </si>
  <si>
    <t xml:space="preserve">孫華倩</t>
  </si>
  <si>
    <t xml:space="preserve">私立愷嘉美語短期補習班</t>
  </si>
  <si>
    <r>
      <rPr>
        <sz val="10"/>
        <color rgb="FF1F2A28"/>
        <rFont val="WenQuanYi Zen Hei"/>
        <family val="2"/>
      </rPr>
      <t xml:space="preserve">苓雅區林森二路</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</si>
  <si>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338-5734</t>
  </si>
  <si>
    <t xml:space="preserve">cayuga.academy@msa.hinet.net</t>
  </si>
  <si>
    <t xml:space="preserve">2004-01-12</t>
  </si>
  <si>
    <t xml:space="preserve">黃秀莉</t>
  </si>
  <si>
    <r>
      <rPr>
        <sz val="10"/>
        <color rgb="FF1F2A28"/>
        <rFont val="WenQuanYi Zen Hei"/>
        <family val="2"/>
      </rPr>
      <t xml:space="preserve">博沛霖</t>
    </r>
    <r>
      <rPr>
        <sz val="10"/>
        <color rgb="FF1F2A28"/>
        <rFont val="Arial"/>
        <family val="0"/>
        <charset val="1"/>
      </rPr>
      <t xml:space="preserve">(BRAMLET BRYAN CHARLES</t>
    </r>
    <r>
      <rPr>
        <sz val="10"/>
        <color rgb="FF1F2A28"/>
        <rFont val="WenQuanYi Zen Hei"/>
        <family val="2"/>
      </rPr>
      <t xml:space="preserve">）</t>
    </r>
  </si>
  <si>
    <t xml:space="preserve">私立英語心外語短期補習班</t>
  </si>
  <si>
    <r>
      <rPr>
        <sz val="10"/>
        <color rgb="FF1F2A28"/>
        <rFont val="WenQuanYi Zen Hei"/>
        <family val="2"/>
      </rPr>
      <t xml:space="preserve">苓雅區林泉街</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</si>
  <si>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0900-275-269</t>
  </si>
  <si>
    <t xml:space="preserve">wahaha0503@yahoo.com.tw</t>
  </si>
  <si>
    <t xml:space="preserve">2021-02-01</t>
  </si>
  <si>
    <t xml:space="preserve">楊閔晴</t>
  </si>
  <si>
    <t xml:space="preserve">私立金名文理技藝短期補習班五福分班</t>
  </si>
  <si>
    <r>
      <rPr>
        <sz val="10"/>
        <color rgb="FF1F2A28"/>
        <rFont val="WenQuanYi Zen Hei"/>
        <family val="2"/>
      </rPr>
      <t xml:space="preserve">苓雅區尚志街</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</si>
  <si>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222-7567</t>
  </si>
  <si>
    <t xml:space="preserve">mlset@ms68.hinet.net</t>
  </si>
  <si>
    <t xml:space="preserve">1986-04-23</t>
  </si>
  <si>
    <t xml:space="preserve">蘇秀蘭</t>
  </si>
  <si>
    <t xml:space="preserve">私立魔法莉莎外語短期補習班</t>
  </si>
  <si>
    <r>
      <rPr>
        <sz val="10"/>
        <color rgb="FF1F2A28"/>
        <rFont val="WenQuanYi Zen Hei"/>
        <family val="2"/>
      </rPr>
      <t xml:space="preserve">苓雅區青年一路</t>
    </r>
    <r>
      <rPr>
        <sz val="10"/>
        <color rgb="FF1F2A28"/>
        <rFont val="Arial"/>
        <family val="0"/>
        <charset val="1"/>
      </rPr>
      <t xml:space="preserve">16-1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</si>
  <si>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226-4788</t>
  </si>
  <si>
    <t xml:space="preserve">2001-09-19</t>
  </si>
  <si>
    <t xml:space="preserve">郭李鳳嬌</t>
  </si>
  <si>
    <t xml:space="preserve">茄萣區</t>
  </si>
  <si>
    <r>
      <rPr>
        <sz val="10"/>
        <color rgb="FF1F2A28"/>
        <rFont val="WenQuanYi Zen Hei"/>
        <family val="2"/>
      </rPr>
      <t xml:space="preserve">私立快樂</t>
    </r>
    <r>
      <rPr>
        <sz val="10"/>
        <color rgb="FF1F2A28"/>
        <rFont val="Arial"/>
        <family val="0"/>
        <charset val="1"/>
      </rPr>
      <t xml:space="preserve">ABC</t>
    </r>
    <r>
      <rPr>
        <sz val="10"/>
        <color rgb="FF1F2A28"/>
        <rFont val="WenQuanYi Zen Hei"/>
        <family val="2"/>
      </rPr>
      <t xml:space="preserve">美語短期補習班</t>
    </r>
  </si>
  <si>
    <r>
      <rPr>
        <sz val="10"/>
        <color rgb="FF1F2A28"/>
        <rFont val="WenQuanYi Zen Hei"/>
        <family val="2"/>
      </rPr>
      <t xml:space="preserve">茄萣區莒光路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</si>
  <si>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692-2340</t>
  </si>
  <si>
    <t xml:space="preserve">yenchun910@gmail.com</t>
  </si>
  <si>
    <t xml:space="preserve">林明蓉</t>
  </si>
  <si>
    <t xml:space="preserve">路竹區</t>
  </si>
  <si>
    <t xml:space="preserve">私立創意文理技藝短期補習班中和分班</t>
  </si>
  <si>
    <r>
      <rPr>
        <sz val="10"/>
        <color rgb="FF1F2A28"/>
        <rFont val="WenQuanYi Zen Hei"/>
        <family val="2"/>
      </rPr>
      <t xml:space="preserve">路竹區中和路</t>
    </r>
    <r>
      <rPr>
        <sz val="10"/>
        <color rgb="FF1F2A28"/>
        <rFont val="Arial"/>
        <family val="0"/>
        <charset val="1"/>
      </rPr>
      <t xml:space="preserve">58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</si>
  <si>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696-1321</t>
  </si>
  <si>
    <t xml:space="preserve">zxc1080302@gmail.com</t>
  </si>
  <si>
    <t xml:space="preserve">2026-09-02</t>
  </si>
  <si>
    <t xml:space="preserve">林書毅</t>
  </si>
  <si>
    <t xml:space="preserve">私立布魯卡美語短期補習班</t>
  </si>
  <si>
    <r>
      <rPr>
        <sz val="10"/>
        <color rgb="FF1F2A28"/>
        <rFont val="WenQuanYi Zen Hei"/>
        <family val="2"/>
      </rPr>
      <t xml:space="preserve">路竹區國昌路</t>
    </r>
    <r>
      <rPr>
        <sz val="10"/>
        <color rgb="FF1F2A28"/>
        <rFont val="Arial"/>
        <family val="0"/>
        <charset val="1"/>
      </rPr>
      <t xml:space="preserve">309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樓、福德街</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</si>
  <si>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697-8691</t>
  </si>
  <si>
    <t xml:space="preserve">ewa2@ms52.hinet.net</t>
  </si>
  <si>
    <t xml:space="preserve">2004-12-30</t>
  </si>
  <si>
    <t xml:space="preserve">林秀靜</t>
  </si>
  <si>
    <t xml:space="preserve">私立愛兒堡美語短期補習班</t>
  </si>
  <si>
    <r>
      <rPr>
        <sz val="10"/>
        <color rgb="FF1F2A28"/>
        <rFont val="WenQuanYi Zen Hei"/>
        <family val="2"/>
      </rPr>
      <t xml:space="preserve">路竹區中山路</t>
    </r>
    <r>
      <rPr>
        <sz val="10"/>
        <color rgb="FF1F2A28"/>
        <rFont val="Arial"/>
        <family val="0"/>
        <charset val="1"/>
      </rPr>
      <t xml:space="preserve">712</t>
    </r>
    <r>
      <rPr>
        <sz val="10"/>
        <color rgb="FF1F2A28"/>
        <rFont val="WenQuanYi Zen Hei"/>
        <family val="2"/>
      </rPr>
      <t xml:space="preserve">巷</t>
    </r>
    <r>
      <rPr>
        <sz val="10"/>
        <color rgb="FF1F2A28"/>
        <rFont val="Arial"/>
        <family val="0"/>
        <charset val="1"/>
      </rPr>
      <t xml:space="preserve">15-5</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</si>
  <si>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6076428</t>
  </si>
  <si>
    <t xml:space="preserve">q327798@yahoo.com.tw</t>
  </si>
  <si>
    <t xml:space="preserve">2003-12-10</t>
  </si>
  <si>
    <t xml:space="preserve">張碧純</t>
  </si>
  <si>
    <t xml:space="preserve">翁薏婷</t>
  </si>
  <si>
    <t xml:space="preserve">私立美羽文理短期補習班</t>
  </si>
  <si>
    <r>
      <rPr>
        <sz val="10"/>
        <color rgb="FF1F2A28"/>
        <rFont val="WenQuanYi Zen Hei"/>
        <family val="2"/>
      </rPr>
      <t xml:space="preserve">路竹區建國路</t>
    </r>
    <r>
      <rPr>
        <sz val="10"/>
        <color rgb="FF1F2A28"/>
        <rFont val="Arial"/>
        <family val="0"/>
        <charset val="1"/>
      </rPr>
      <t xml:space="preserve">167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</si>
  <si>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696-0809</t>
  </si>
  <si>
    <t xml:space="preserve">joanne154999@gmail.com</t>
  </si>
  <si>
    <t xml:space="preserve">2001-02-20</t>
  </si>
  <si>
    <t xml:space="preserve">吳函燁</t>
  </si>
  <si>
    <t xml:space="preserve">吳素雲</t>
  </si>
  <si>
    <t xml:space="preserve">鳥松區</t>
  </si>
  <si>
    <t xml:space="preserve">私立成大文理短期補習班鳥松分班</t>
  </si>
  <si>
    <r>
      <rPr>
        <sz val="10"/>
        <color rgb="FF1F2A28"/>
        <rFont val="WenQuanYi Zen Hei"/>
        <family val="2"/>
      </rPr>
      <t xml:space="preserve">鳥松區文前路</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</si>
  <si>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733-2962 / 733-2963</t>
  </si>
  <si>
    <t xml:space="preserve">c0986679726@gmail.com</t>
  </si>
  <si>
    <t xml:space="preserve">2001-05-04</t>
  </si>
  <si>
    <t xml:space="preserve">楊勝傑</t>
  </si>
  <si>
    <t xml:space="preserve">私立指揮家美語短期補習班</t>
  </si>
  <si>
    <r>
      <rPr>
        <sz val="10"/>
        <color rgb="FF1F2A28"/>
        <rFont val="WenQuanYi Zen Hei"/>
        <family val="2"/>
      </rPr>
      <t xml:space="preserve">鳥松區本館路</t>
    </r>
    <r>
      <rPr>
        <sz val="10"/>
        <color rgb="FF1F2A28"/>
        <rFont val="Arial"/>
        <family val="0"/>
        <charset val="1"/>
      </rPr>
      <t xml:space="preserve">110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</si>
  <si>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370-3763</t>
  </si>
  <si>
    <t xml:space="preserve">ckaosil@hotmail.com</t>
  </si>
  <si>
    <t xml:space="preserve">2005-05-25</t>
  </si>
  <si>
    <t xml:space="preserve">劉郭月香</t>
  </si>
  <si>
    <t xml:space="preserve">劉先富</t>
  </si>
  <si>
    <t xml:space="preserve">私立敦煌英語短期補習班</t>
  </si>
  <si>
    <r>
      <rPr>
        <sz val="10"/>
        <color rgb="FF1F2A28"/>
        <rFont val="WenQuanYi Zen Hei"/>
        <family val="2"/>
      </rPr>
      <t xml:space="preserve">鳥松區球場路</t>
    </r>
    <r>
      <rPr>
        <sz val="10"/>
        <color rgb="FF1F2A28"/>
        <rFont val="Arial"/>
        <family val="0"/>
        <charset val="1"/>
      </rPr>
      <t xml:space="preserve">24</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</si>
  <si>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370-6565</t>
  </si>
  <si>
    <t xml:space="preserve">私立新新時代外語文理短期補習班</t>
  </si>
  <si>
    <r>
      <rPr>
        <sz val="10"/>
        <color rgb="FF1F2A28"/>
        <rFont val="WenQuanYi Zen Hei"/>
        <family val="2"/>
      </rPr>
      <t xml:space="preserve">鳥松區華美路</t>
    </r>
    <r>
      <rPr>
        <sz val="10"/>
        <color rgb="FF1F2A28"/>
        <rFont val="Arial"/>
        <family val="0"/>
        <charset val="1"/>
      </rPr>
      <t xml:space="preserve">102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104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</si>
  <si>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733-3442</t>
  </si>
  <si>
    <t xml:space="preserve">gz1211@yahoo.com.tw</t>
  </si>
  <si>
    <t xml:space="preserve">2000-05-20</t>
  </si>
  <si>
    <t xml:space="preserve">鍾素禎</t>
  </si>
  <si>
    <t xml:space="preserve">私立華美文理短期補習班</t>
  </si>
  <si>
    <r>
      <rPr>
        <sz val="10"/>
        <color rgb="FF1F2A28"/>
        <rFont val="WenQuanYi Zen Hei"/>
        <family val="2"/>
      </rPr>
      <t xml:space="preserve">鳥松區中山路</t>
    </r>
    <r>
      <rPr>
        <sz val="10"/>
        <color rgb="FF1F2A28"/>
        <rFont val="Arial"/>
        <family val="0"/>
        <charset val="1"/>
      </rPr>
      <t xml:space="preserve">187-1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,158-3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樓、夾層、</t>
    </r>
    <r>
      <rPr>
        <sz val="10"/>
        <color rgb="FF1F2A28"/>
        <rFont val="Arial"/>
        <family val="0"/>
        <charset val="1"/>
      </rPr>
      <t xml:space="preserve">2</t>
    </r>
    <r>
      <rPr>
        <sz val="10"/>
        <color rgb="FF1F2A28"/>
        <rFont val="WenQuanYi Zen Hei"/>
        <family val="2"/>
      </rPr>
      <t xml:space="preserve">樓</t>
    </r>
  </si>
  <si>
    <t xml:space="preserve">733-3348</t>
  </si>
  <si>
    <t xml:space="preserve">jengfon.wu@gmail.com</t>
  </si>
  <si>
    <t xml:space="preserve">2007-04-23</t>
  </si>
  <si>
    <t xml:space="preserve">吳曼菁</t>
  </si>
  <si>
    <t xml:space="preserve">私立蒲英文理短期補習班</t>
  </si>
  <si>
    <r>
      <rPr>
        <sz val="10"/>
        <color rgb="FF1F2A28"/>
        <rFont val="WenQuanYi Zen Hei"/>
        <family val="2"/>
      </rPr>
      <t xml:space="preserve">鳥松區華美路</t>
    </r>
    <r>
      <rPr>
        <sz val="10"/>
        <color rgb="FF1F2A28"/>
        <rFont val="Arial"/>
        <family val="0"/>
        <charset val="1"/>
      </rPr>
      <t xml:space="preserve">156</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</si>
  <si>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733-4156</t>
  </si>
  <si>
    <t xml:space="preserve">guu_333@yahoo.com.tw</t>
  </si>
  <si>
    <t xml:space="preserve">石宜平</t>
  </si>
  <si>
    <t xml:space="preserve">鳳山區</t>
  </si>
  <si>
    <t xml:space="preserve">巨匠電腦股份有限公司鳳山分公司附設美語短期補習班</t>
  </si>
  <si>
    <r>
      <rPr>
        <sz val="10"/>
        <color rgb="FF1F2A28"/>
        <rFont val="WenQuanYi Zen Hei"/>
        <family val="2"/>
      </rPr>
      <t xml:space="preserve">鳳山區中山路</t>
    </r>
    <r>
      <rPr>
        <sz val="10"/>
        <color rgb="FF1F2A28"/>
        <rFont val="Arial"/>
        <family val="0"/>
        <charset val="1"/>
      </rPr>
      <t xml:space="preserve">195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</si>
  <si>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719-7088</t>
  </si>
  <si>
    <t xml:space="preserve">kg_mailbox@pcschool.com.tw</t>
  </si>
  <si>
    <t xml:space="preserve">巨匠電腦股份有限公司鳳山分公司代表人：鍾梁權</t>
  </si>
  <si>
    <t xml:space="preserve">郭庭均</t>
  </si>
  <si>
    <t xml:space="preserve">煦煦文教有限公司附設高雄市私立學城文理短期補習班鳳中分班</t>
  </si>
  <si>
    <r>
      <rPr>
        <sz val="10"/>
        <color rgb="FF1F2A28"/>
        <rFont val="WenQuanYi Zen Hei"/>
        <family val="2"/>
      </rPr>
      <t xml:space="preserve">鳳山區澄清路</t>
    </r>
    <r>
      <rPr>
        <sz val="10"/>
        <color rgb="FF1F2A28"/>
        <rFont val="Arial"/>
        <family val="0"/>
        <charset val="1"/>
      </rPr>
      <t xml:space="preserve">57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</si>
  <si>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07-7409777</t>
  </si>
  <si>
    <t xml:space="preserve">citade17409777@gmail.com</t>
  </si>
  <si>
    <t xml:space="preserve">2026-08-04</t>
  </si>
  <si>
    <r>
      <rPr>
        <sz val="10"/>
        <color rgb="FF1F2A28"/>
        <rFont val="WenQuanYi Zen Hei"/>
        <family val="2"/>
      </rPr>
      <t xml:space="preserve">煦煦文教有限公司 </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姚克諺</t>
    </r>
    <r>
      <rPr>
        <sz val="10"/>
        <color rgb="FF1F2A28"/>
        <rFont val="Arial"/>
        <family val="0"/>
        <charset val="1"/>
      </rPr>
      <t xml:space="preserve">)</t>
    </r>
  </si>
  <si>
    <t xml:space="preserve">楊琍詅</t>
  </si>
  <si>
    <t xml:space="preserve">私立中一文理短期補習班</t>
  </si>
  <si>
    <r>
      <rPr>
        <sz val="10"/>
        <color rgb="FF1F2A28"/>
        <rFont val="WenQuanYi Zen Hei"/>
        <family val="2"/>
      </rPr>
      <t xml:space="preserve">鳳山區文中街</t>
    </r>
    <r>
      <rPr>
        <sz val="10"/>
        <color rgb="FF1F2A28"/>
        <rFont val="Arial"/>
        <family val="0"/>
        <charset val="1"/>
      </rPr>
      <t xml:space="preserve">188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</si>
  <si>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776-2435</t>
  </si>
  <si>
    <t xml:space="preserve">kurtko@yahoo.com</t>
  </si>
  <si>
    <t xml:space="preserve">1997-03-07</t>
  </si>
  <si>
    <t xml:space="preserve">柯偉丞</t>
  </si>
  <si>
    <t xml:space="preserve">私立佳玉外語短期補習班</t>
  </si>
  <si>
    <r>
      <rPr>
        <sz val="10"/>
        <color rgb="FF1F2A28"/>
        <rFont val="WenQuanYi Zen Hei"/>
        <family val="2"/>
      </rPr>
      <t xml:space="preserve">鳳山區鳳南路</t>
    </r>
    <r>
      <rPr>
        <sz val="10"/>
        <color rgb="FF1F2A28"/>
        <rFont val="Arial"/>
        <family val="0"/>
        <charset val="1"/>
      </rPr>
      <t xml:space="preserve">126.128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</si>
  <si>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727-5658</t>
  </si>
  <si>
    <t xml:space="preserve">yenhermes@gmail.com</t>
  </si>
  <si>
    <t xml:space="preserve">2006-07-27</t>
  </si>
  <si>
    <t xml:space="preserve">白佳玉</t>
  </si>
  <si>
    <t xml:space="preserve">林彥君</t>
  </si>
  <si>
    <t xml:space="preserve">私立傑波外語短期補習班鳳甲分班</t>
  </si>
  <si>
    <r>
      <rPr>
        <sz val="10"/>
        <color rgb="FF1F2A28"/>
        <rFont val="WenQuanYi Zen Hei"/>
        <family val="2"/>
      </rPr>
      <t xml:space="preserve">鳳山區南福街</t>
    </r>
    <r>
      <rPr>
        <sz val="10"/>
        <color rgb="FF1F2A28"/>
        <rFont val="Arial"/>
        <family val="0"/>
        <charset val="1"/>
      </rPr>
      <t xml:space="preserve">152</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</si>
  <si>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766-8499</t>
  </si>
  <si>
    <t xml:space="preserve">paullinpan32@yahoo.com.tw</t>
  </si>
  <si>
    <t xml:space="preserve">2014-05-14</t>
  </si>
  <si>
    <t xml:space="preserve">潘巧玲</t>
  </si>
  <si>
    <t xml:space="preserve">楊慧珍</t>
  </si>
  <si>
    <t xml:space="preserve">私立傑瑞兒美語文理短期補習班五福分班</t>
  </si>
  <si>
    <r>
      <rPr>
        <sz val="10"/>
        <color rgb="FF1F2A28"/>
        <rFont val="WenQuanYi Zen Hei"/>
        <family val="2"/>
      </rPr>
      <t xml:space="preserve">鳳山區福德街</t>
    </r>
    <r>
      <rPr>
        <sz val="10"/>
        <color rgb="FF1F2A28"/>
        <rFont val="Arial"/>
        <family val="0"/>
        <charset val="1"/>
      </rPr>
      <t xml:space="preserve">143</t>
    </r>
    <r>
      <rPr>
        <sz val="10"/>
        <color rgb="FF1F2A28"/>
        <rFont val="WenQuanYi Zen Hei"/>
        <family val="2"/>
      </rPr>
      <t xml:space="preserve">巷</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</si>
  <si>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07-8228008</t>
  </si>
  <si>
    <t xml:space="preserve">Apple8210585@gmail.com</t>
  </si>
  <si>
    <t xml:space="preserve">2025-06-03</t>
  </si>
  <si>
    <t xml:space="preserve">許珍華</t>
  </si>
  <si>
    <t xml:space="preserve">林家豪</t>
  </si>
  <si>
    <t xml:space="preserve">私立全能外語文理短期補習班瑞興分班</t>
  </si>
  <si>
    <r>
      <rPr>
        <sz val="10"/>
        <color rgb="FF1F2A28"/>
        <rFont val="WenQuanYi Zen Hei"/>
        <family val="2"/>
      </rPr>
      <t xml:space="preserve">鳳山區勝利路</t>
    </r>
    <r>
      <rPr>
        <sz val="10"/>
        <color rgb="FF1F2A28"/>
        <rFont val="Arial"/>
        <family val="0"/>
        <charset val="1"/>
      </rPr>
      <t xml:space="preserve">59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</si>
  <si>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07-7992270</t>
  </si>
  <si>
    <t xml:space="preserve">ruixingschoolhouse180@gmail.com</t>
  </si>
  <si>
    <t xml:space="preserve">方惠如</t>
  </si>
  <si>
    <t xml:space="preserve">楊宛蓁</t>
  </si>
  <si>
    <t xml:space="preserve">私立全能外語文理短期補習班鳳西分班</t>
  </si>
  <si>
    <r>
      <rPr>
        <sz val="10"/>
        <color rgb="FF1F2A28"/>
        <rFont val="WenQuanYi Zen Hei"/>
        <family val="2"/>
      </rPr>
      <t xml:space="preserve">鳳山區光華東路</t>
    </r>
    <r>
      <rPr>
        <sz val="10"/>
        <color rgb="FF1F2A28"/>
        <rFont val="Arial"/>
        <family val="0"/>
        <charset val="1"/>
      </rPr>
      <t xml:space="preserve">163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</si>
  <si>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710-0399</t>
  </si>
  <si>
    <t xml:space="preserve">fongxischoolhouse163@gmail.com</t>
  </si>
  <si>
    <t xml:space="preserve">2010-04-20</t>
  </si>
  <si>
    <t xml:space="preserve">李雯琪</t>
  </si>
  <si>
    <t xml:space="preserve">劉惠昕</t>
  </si>
  <si>
    <t xml:space="preserve">私立全能外語短期補習班</t>
  </si>
  <si>
    <r>
      <rPr>
        <sz val="10"/>
        <color rgb="FF1F2A28"/>
        <rFont val="WenQuanYi Zen Hei"/>
        <family val="2"/>
      </rPr>
      <t xml:space="preserve">鳳山區新強路</t>
    </r>
    <r>
      <rPr>
        <sz val="10"/>
        <color rgb="FF1F2A28"/>
        <rFont val="Arial"/>
        <family val="0"/>
        <charset val="1"/>
      </rPr>
      <t xml:space="preserve">277</t>
    </r>
    <r>
      <rPr>
        <sz val="10"/>
        <color rgb="FF1F2A28"/>
        <rFont val="WenQuanYi Zen Hei"/>
        <family val="2"/>
      </rPr>
      <t xml:space="preserve">、</t>
    </r>
    <r>
      <rPr>
        <sz val="10"/>
        <color rgb="FF1F2A28"/>
        <rFont val="Arial"/>
        <family val="0"/>
        <charset val="1"/>
      </rPr>
      <t xml:space="preserve">279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</si>
  <si>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766-9600</t>
  </si>
  <si>
    <t xml:space="preserve">sinjiaschoolhouse@gmail.com</t>
  </si>
  <si>
    <t xml:space="preserve">2002-03-13</t>
  </si>
  <si>
    <t xml:space="preserve">私立培育語文短期補習班</t>
  </si>
  <si>
    <r>
      <rPr>
        <sz val="10"/>
        <color rgb="FF1F2A28"/>
        <rFont val="WenQuanYi Zen Hei"/>
        <family val="2"/>
      </rPr>
      <t xml:space="preserve">鳳山區南京路</t>
    </r>
    <r>
      <rPr>
        <sz val="10"/>
        <color rgb="FF1F2A28"/>
        <rFont val="Arial"/>
        <family val="0"/>
        <charset val="1"/>
      </rPr>
      <t xml:space="preserve">179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191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245</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</si>
  <si>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766-8211</t>
  </si>
  <si>
    <t xml:space="preserve">0723cheng@gmail.com</t>
  </si>
  <si>
    <t xml:space="preserve">鄭振旺</t>
  </si>
  <si>
    <t xml:space="preserve">鄭意璇</t>
  </si>
  <si>
    <t xml:space="preserve">私立大樹文理短期補習班文德分班</t>
  </si>
  <si>
    <r>
      <rPr>
        <sz val="10"/>
        <color rgb="FF1F2A28"/>
        <rFont val="WenQuanYi Zen Hei"/>
        <family val="2"/>
      </rPr>
      <t xml:space="preserve">鳳山區文衡路</t>
    </r>
    <r>
      <rPr>
        <sz val="10"/>
        <color rgb="FF1F2A28"/>
        <rFont val="Arial"/>
        <family val="0"/>
        <charset val="1"/>
      </rPr>
      <t xml:space="preserve">259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</si>
  <si>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777-5192</t>
  </si>
  <si>
    <t xml:space="preserve">datree7joy@gmail.com</t>
  </si>
  <si>
    <t xml:space="preserve">2003-03-07</t>
  </si>
  <si>
    <t xml:space="preserve">郭芳秀</t>
  </si>
  <si>
    <t xml:space="preserve">邱櫻櫻</t>
  </si>
  <si>
    <t xml:space="preserve">私立學思文理短期補習班</t>
  </si>
  <si>
    <r>
      <rPr>
        <sz val="10"/>
        <color rgb="FF1F2A28"/>
        <rFont val="WenQuanYi Zen Hei"/>
        <family val="2"/>
      </rPr>
      <t xml:space="preserve">鳳山區南正一路</t>
    </r>
    <r>
      <rPr>
        <sz val="10"/>
        <color rgb="FF1F2A28"/>
        <rFont val="Arial"/>
        <family val="0"/>
        <charset val="1"/>
      </rPr>
      <t xml:space="preserve">34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</si>
  <si>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716-0128</t>
  </si>
  <si>
    <t xml:space="preserve">m9754712@yahoo.com.tw</t>
  </si>
  <si>
    <t xml:space="preserve">貝惠玲</t>
  </si>
  <si>
    <t xml:space="preserve">私立小八哥文理技藝短期補習班林森分班</t>
  </si>
  <si>
    <r>
      <rPr>
        <sz val="10"/>
        <color rgb="FF1F2A28"/>
        <rFont val="WenQuanYi Zen Hei"/>
        <family val="2"/>
      </rPr>
      <t xml:space="preserve">鳳山區林森路</t>
    </r>
    <r>
      <rPr>
        <sz val="10"/>
        <color rgb="FF1F2A28"/>
        <rFont val="Arial"/>
        <family val="0"/>
        <charset val="1"/>
      </rPr>
      <t xml:space="preserve">245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</si>
  <si>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811-3257 / 841-0326</t>
  </si>
  <si>
    <t xml:space="preserve">georgejo911@gmail.com</t>
  </si>
  <si>
    <t xml:space="preserve">陳郁惠</t>
  </si>
  <si>
    <t xml:space="preserve">陳俊能</t>
  </si>
  <si>
    <t xml:space="preserve">私立小叢林外語短期補習班</t>
  </si>
  <si>
    <r>
      <rPr>
        <sz val="10"/>
        <color rgb="FF1F2A28"/>
        <rFont val="WenQuanYi Zen Hei"/>
        <family val="2"/>
      </rPr>
      <t xml:space="preserve">鳳山區文平街</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</si>
  <si>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777-5121</t>
  </si>
  <si>
    <t xml:space="preserve">topjungle@gmail.com</t>
  </si>
  <si>
    <t xml:space="preserve">2003-12-19</t>
  </si>
  <si>
    <t xml:space="preserve">吳惠婷</t>
  </si>
  <si>
    <t xml:space="preserve">詹佩玲</t>
  </si>
  <si>
    <t xml:space="preserve">私立弘林文理短期補習班</t>
  </si>
  <si>
    <r>
      <rPr>
        <sz val="10"/>
        <color rgb="FF1F2A28"/>
        <rFont val="WenQuanYi Zen Hei"/>
        <family val="2"/>
      </rPr>
      <t xml:space="preserve">鳳山區博愛路</t>
    </r>
    <r>
      <rPr>
        <sz val="10"/>
        <color rgb="FF1F2A28"/>
        <rFont val="Arial"/>
        <family val="0"/>
        <charset val="1"/>
      </rPr>
      <t xml:space="preserve">316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</si>
  <si>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702-2953</t>
  </si>
  <si>
    <t xml:space="preserve">sproutschool15@gmail.com</t>
  </si>
  <si>
    <t xml:space="preserve">1999-12-06</t>
  </si>
  <si>
    <t xml:space="preserve">王宥樺</t>
  </si>
  <si>
    <t xml:space="preserve">私立快樂地外語文理短期補習班</t>
  </si>
  <si>
    <r>
      <rPr>
        <sz val="10"/>
        <color rgb="FF1F2A28"/>
        <rFont val="WenQuanYi Zen Hei"/>
        <family val="2"/>
      </rPr>
      <t xml:space="preserve">鳳山區文中街</t>
    </r>
    <r>
      <rPr>
        <sz val="10"/>
        <color rgb="FF1F2A28"/>
        <rFont val="Arial"/>
        <family val="0"/>
        <charset val="1"/>
      </rPr>
      <t xml:space="preserve">176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樓、文中街</t>
    </r>
    <r>
      <rPr>
        <sz val="10"/>
        <color rgb="FF1F2A28"/>
        <rFont val="Arial"/>
        <family val="0"/>
        <charset val="1"/>
      </rPr>
      <t xml:space="preserve">172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</si>
  <si>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777-3737</t>
  </si>
  <si>
    <t xml:space="preserve">dandelion303@gmail.com</t>
  </si>
  <si>
    <t xml:space="preserve">2001-10-03</t>
  </si>
  <si>
    <t xml:space="preserve">趙廷芳</t>
  </si>
  <si>
    <t xml:space="preserve">沈怡怜</t>
  </si>
  <si>
    <t xml:space="preserve">私立成大文理短期補習班華新分班</t>
  </si>
  <si>
    <r>
      <rPr>
        <sz val="10"/>
        <color rgb="FF1F2A28"/>
        <rFont val="WenQuanYi Zen Hei"/>
        <family val="2"/>
      </rPr>
      <t xml:space="preserve">鳳山區文化路</t>
    </r>
    <r>
      <rPr>
        <sz val="10"/>
        <color rgb="FF1F2A28"/>
        <rFont val="Arial"/>
        <family val="0"/>
        <charset val="1"/>
      </rPr>
      <t xml:space="preserve">115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</si>
  <si>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747-7667/747-1625</t>
  </si>
  <si>
    <t xml:space="preserve">2006-08-29</t>
  </si>
  <si>
    <t xml:space="preserve">楊曜銘</t>
  </si>
  <si>
    <t xml:space="preserve">鄭椀如</t>
  </si>
  <si>
    <t xml:space="preserve">私立新美倫外語短期補習班</t>
  </si>
  <si>
    <r>
      <rPr>
        <sz val="10"/>
        <color rgb="FF1F2A28"/>
        <rFont val="WenQuanYi Zen Hei"/>
        <family val="2"/>
      </rPr>
      <t xml:space="preserve">鳳山區文龍路</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</si>
  <si>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777-5900</t>
  </si>
  <si>
    <t xml:space="preserve">claire121854@yahoo.com.tw</t>
  </si>
  <si>
    <t xml:space="preserve">2005-11-30</t>
  </si>
  <si>
    <t xml:space="preserve">周文禮</t>
  </si>
  <si>
    <t xml:space="preserve">私立日新文理短期補習班</t>
  </si>
  <si>
    <r>
      <rPr>
        <sz val="10"/>
        <color rgb="FF1F2A28"/>
        <rFont val="WenQuanYi Zen Hei"/>
        <family val="2"/>
      </rPr>
      <t xml:space="preserve">鳳山區新強路</t>
    </r>
    <r>
      <rPr>
        <sz val="10"/>
        <color rgb="FF1F2A28"/>
        <rFont val="Arial"/>
        <family val="0"/>
        <charset val="1"/>
      </rPr>
      <t xml:space="preserve">118</t>
    </r>
    <r>
      <rPr>
        <sz val="10"/>
        <color rgb="FF1F2A28"/>
        <rFont val="WenQuanYi Zen Hei"/>
        <family val="2"/>
      </rPr>
      <t xml:space="preserve">號</t>
    </r>
  </si>
  <si>
    <t xml:space="preserve">765-8383</t>
  </si>
  <si>
    <t xml:space="preserve">a0926842114@gmail.com</t>
  </si>
  <si>
    <t xml:space="preserve">1988-01-04</t>
  </si>
  <si>
    <t xml:space="preserve">王淑美</t>
  </si>
  <si>
    <t xml:space="preserve">康語庭</t>
  </si>
  <si>
    <t xml:space="preserve">私立李紅文理短期補習班</t>
  </si>
  <si>
    <r>
      <rPr>
        <sz val="10"/>
        <color rgb="FF1F2A28"/>
        <rFont val="WenQuanYi Zen Hei"/>
        <family val="2"/>
      </rPr>
      <t xml:space="preserve">鳳山區二和街</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</si>
  <si>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822-8399</t>
  </si>
  <si>
    <t xml:space="preserve">angela12250903@gmail.com</t>
  </si>
  <si>
    <t xml:space="preserve">2010-06-18</t>
  </si>
  <si>
    <t xml:space="preserve">余燕如</t>
  </si>
  <si>
    <t xml:space="preserve">私立牛津文理短期補習班青年分班</t>
  </si>
  <si>
    <r>
      <rPr>
        <sz val="10"/>
        <color rgb="FF1F2A28"/>
        <rFont val="WenQuanYi Zen Hei"/>
        <family val="2"/>
      </rPr>
      <t xml:space="preserve">鳳山區光復路一段</t>
    </r>
    <r>
      <rPr>
        <sz val="10"/>
        <color rgb="FF1F2A28"/>
        <rFont val="Arial"/>
        <family val="0"/>
        <charset val="1"/>
      </rPr>
      <t xml:space="preserve">183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</si>
  <si>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745-2690</t>
  </si>
  <si>
    <t xml:space="preserve">oxford.chin.nian@gmail.com</t>
  </si>
  <si>
    <t xml:space="preserve">許瑜芹</t>
  </si>
  <si>
    <t xml:space="preserve">私立瑞隆音樂美語文理技藝短期補習班</t>
  </si>
  <si>
    <r>
      <rPr>
        <sz val="10"/>
        <color rgb="FF1F2A28"/>
        <rFont val="WenQuanYi Zen Hei"/>
        <family val="2"/>
      </rPr>
      <t xml:space="preserve">鳳山區善美路</t>
    </r>
    <r>
      <rPr>
        <sz val="10"/>
        <color rgb="FF1F2A28"/>
        <rFont val="Arial"/>
        <family val="0"/>
        <charset val="1"/>
      </rPr>
      <t xml:space="preserve">79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</si>
  <si>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07-7263712</t>
  </si>
  <si>
    <t xml:space="preserve">張滿地</t>
  </si>
  <si>
    <t xml:space="preserve">私立百育外語短期補習班</t>
  </si>
  <si>
    <r>
      <rPr>
        <sz val="10"/>
        <color rgb="FF1F2A28"/>
        <rFont val="WenQuanYi Zen Hei"/>
        <family val="2"/>
      </rPr>
      <t xml:space="preserve">鳳山區新樂街</t>
    </r>
    <r>
      <rPr>
        <sz val="10"/>
        <color rgb="FF1F2A28"/>
        <rFont val="Arial"/>
        <family val="0"/>
        <charset val="1"/>
      </rPr>
      <t xml:space="preserve">95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</si>
  <si>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766-3800</t>
  </si>
  <si>
    <t xml:space="preserve">bowjinn.3800@yahoo.com.tw</t>
  </si>
  <si>
    <t xml:space="preserve">2000-07-15</t>
  </si>
  <si>
    <t xml:space="preserve">柯政良</t>
  </si>
  <si>
    <t xml:space="preserve">私立立群文理短期補習班新甲分班</t>
  </si>
  <si>
    <r>
      <rPr>
        <sz val="10"/>
        <color rgb="FF1F2A28"/>
        <rFont val="WenQuanYi Zen Hei"/>
        <family val="2"/>
      </rPr>
      <t xml:space="preserve">鳳山區新富路</t>
    </r>
    <r>
      <rPr>
        <sz val="10"/>
        <color rgb="FF1F2A28"/>
        <rFont val="Arial"/>
        <family val="0"/>
        <charset val="1"/>
      </rPr>
      <t xml:space="preserve">228</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</si>
  <si>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765-9171</t>
  </si>
  <si>
    <t xml:space="preserve">aa337319@gmail.com</t>
  </si>
  <si>
    <t xml:space="preserve">張淑美</t>
  </si>
  <si>
    <t xml:space="preserve">私立米倫英語短期補習班</t>
  </si>
  <si>
    <r>
      <rPr>
        <sz val="10"/>
        <color rgb="FF1F2A28"/>
        <rFont val="WenQuanYi Zen Hei"/>
        <family val="2"/>
      </rPr>
      <t xml:space="preserve">鳳山區華興街</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</si>
  <si>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713-1519</t>
  </si>
  <si>
    <t xml:space="preserve">macmillanrita@yahoo.com.tw</t>
  </si>
  <si>
    <t xml:space="preserve">徐婉慈</t>
  </si>
  <si>
    <t xml:space="preserve">私立羅琳美語短期補習班</t>
  </si>
  <si>
    <r>
      <rPr>
        <sz val="10"/>
        <color rgb="FF1F2A28"/>
        <rFont val="WenQuanYi Zen Hei"/>
        <family val="2"/>
      </rPr>
      <t xml:space="preserve">鳳山區文學街</t>
    </r>
    <r>
      <rPr>
        <sz val="10"/>
        <color rgb="FF1F2A28"/>
        <rFont val="Arial"/>
        <family val="0"/>
        <charset val="1"/>
      </rPr>
      <t xml:space="preserve">68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</si>
  <si>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780-3418</t>
  </si>
  <si>
    <t xml:space="preserve">angello12290@gmail.com</t>
  </si>
  <si>
    <t xml:space="preserve">2006-07-07</t>
  </si>
  <si>
    <t xml:space="preserve">羅惠珠</t>
  </si>
  <si>
    <r>
      <rPr>
        <sz val="10"/>
        <color rgb="FF1F2A28"/>
        <rFont val="WenQuanYi Zen Hei"/>
        <family val="2"/>
      </rPr>
      <t xml:space="preserve">鳳山區新強路</t>
    </r>
    <r>
      <rPr>
        <sz val="10"/>
        <color rgb="FF1F2A28"/>
        <rFont val="Arial"/>
        <family val="0"/>
        <charset val="1"/>
      </rPr>
      <t xml:space="preserve">205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樓、夾層、</t>
    </r>
    <r>
      <rPr>
        <sz val="10"/>
        <color rgb="FF1F2A28"/>
        <rFont val="Arial"/>
        <family val="0"/>
        <charset val="1"/>
      </rPr>
      <t xml:space="preserve">2</t>
    </r>
    <r>
      <rPr>
        <sz val="10"/>
        <color rgb="FF1F2A28"/>
        <rFont val="WenQuanYi Zen Hei"/>
        <family val="2"/>
      </rPr>
      <t xml:space="preserve">樓</t>
    </r>
  </si>
  <si>
    <t xml:space="preserve">767-1788</t>
  </si>
  <si>
    <t xml:space="preserve">orson1105@gmail.com</t>
  </si>
  <si>
    <t xml:space="preserve">2024-09-18</t>
  </si>
  <si>
    <t xml:space="preserve">紀雯玲</t>
  </si>
  <si>
    <t xml:space="preserve">杜仁裕</t>
  </si>
  <si>
    <t xml:space="preserve">私立華山文理短期補習班</t>
  </si>
  <si>
    <r>
      <rPr>
        <sz val="10"/>
        <color rgb="FF1F2A28"/>
        <rFont val="WenQuanYi Zen Hei"/>
        <family val="2"/>
      </rPr>
      <t xml:space="preserve">鳳山區五甲三路</t>
    </r>
    <r>
      <rPr>
        <sz val="10"/>
        <color rgb="FF1F2A28"/>
        <rFont val="Arial"/>
        <family val="0"/>
        <charset val="1"/>
      </rPr>
      <t xml:space="preserve">103</t>
    </r>
    <r>
      <rPr>
        <sz val="10"/>
        <color rgb="FF1F2A28"/>
        <rFont val="WenQuanYi Zen Hei"/>
        <family val="2"/>
      </rPr>
      <t xml:space="preserve">巷</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</si>
  <si>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811-0532</t>
  </si>
  <si>
    <t xml:space="preserve">1999-10-28</t>
  </si>
  <si>
    <t xml:space="preserve">私立蝸牛美語文理短期補習班</t>
  </si>
  <si>
    <r>
      <rPr>
        <sz val="10"/>
        <color rgb="FF1F2A28"/>
        <rFont val="WenQuanYi Zen Hei"/>
        <family val="2"/>
      </rPr>
      <t xml:space="preserve">鳳山區文中街</t>
    </r>
    <r>
      <rPr>
        <sz val="10"/>
        <color rgb="FF1F2A28"/>
        <rFont val="Arial"/>
        <family val="0"/>
        <charset val="1"/>
      </rPr>
      <t xml:space="preserve">186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</si>
  <si>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777-7892</t>
  </si>
  <si>
    <t xml:space="preserve">snail8831@gmail.com</t>
  </si>
  <si>
    <t xml:space="preserve">2005-08-02</t>
  </si>
  <si>
    <t xml:space="preserve">王劉豐府</t>
  </si>
  <si>
    <t xml:space="preserve">蘇禕羚</t>
  </si>
  <si>
    <t xml:space="preserve">私立諾貝爾國際外語文理技藝短期補習班</t>
  </si>
  <si>
    <r>
      <rPr>
        <sz val="10"/>
        <color rgb="FF1F2A28"/>
        <rFont val="WenQuanYi Zen Hei"/>
        <family val="2"/>
      </rPr>
      <t xml:space="preserve">鳳山區過埤路</t>
    </r>
    <r>
      <rPr>
        <sz val="10"/>
        <color rgb="FF1F2A28"/>
        <rFont val="Arial"/>
        <family val="0"/>
        <charset val="1"/>
      </rPr>
      <t xml:space="preserve">157</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2</t>
    </r>
  </si>
  <si>
    <t xml:space="preserve">792-9665</t>
  </si>
  <si>
    <t xml:space="preserve">nobel002@nobelschool.com.tw</t>
  </si>
  <si>
    <t xml:space="preserve">2020-03-20</t>
  </si>
  <si>
    <t xml:space="preserve">陸仕勛</t>
  </si>
  <si>
    <t xml:space="preserve">洪慈欣</t>
  </si>
  <si>
    <t xml:space="preserve">私立謙讀外語短期補習班</t>
  </si>
  <si>
    <r>
      <rPr>
        <sz val="10"/>
        <color rgb="FF1F2A28"/>
        <rFont val="WenQuanYi Zen Hei"/>
        <family val="2"/>
      </rPr>
      <t xml:space="preserve">鳳山區翠亨北路</t>
    </r>
    <r>
      <rPr>
        <sz val="10"/>
        <color rgb="FF1F2A28"/>
        <rFont val="Arial"/>
        <family val="0"/>
        <charset val="1"/>
      </rPr>
      <t xml:space="preserve">153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</si>
  <si>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822-9833</t>
  </si>
  <si>
    <t xml:space="preserve">humblereaders@gmail.com</t>
  </si>
  <si>
    <t xml:space="preserve">2015-03-30</t>
  </si>
  <si>
    <t xml:space="preserve">陳谷鋆</t>
  </si>
  <si>
    <t xml:space="preserve">私立阿米格文理技藝短期補習班</t>
  </si>
  <si>
    <r>
      <rPr>
        <sz val="10"/>
        <color rgb="FF1F2A28"/>
        <rFont val="WenQuanYi Zen Hei"/>
        <family val="2"/>
      </rPr>
      <t xml:space="preserve">鳳山區林森路</t>
    </r>
    <r>
      <rPr>
        <sz val="10"/>
        <color rgb="FF1F2A28"/>
        <rFont val="Arial"/>
        <family val="0"/>
        <charset val="1"/>
      </rPr>
      <t xml:space="preserve">250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</si>
  <si>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715-7977</t>
  </si>
  <si>
    <t xml:space="preserve">wk.amigo@msa.hinet.net</t>
  </si>
  <si>
    <t xml:space="preserve">2001-10-25</t>
  </si>
  <si>
    <t xml:space="preserve">祁夢津</t>
  </si>
  <si>
    <t xml:space="preserve">私立馨揚美語文理短期補習班</t>
  </si>
  <si>
    <r>
      <rPr>
        <sz val="10"/>
        <color rgb="FF1F2A28"/>
        <rFont val="WenQuanYi Zen Hei"/>
        <family val="2"/>
      </rPr>
      <t xml:space="preserve">鳳山區福德街</t>
    </r>
    <r>
      <rPr>
        <sz val="10"/>
        <color rgb="FF1F2A28"/>
        <rFont val="Arial"/>
        <family val="0"/>
        <charset val="1"/>
      </rPr>
      <t xml:space="preserve">140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</si>
  <si>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841-0301</t>
  </si>
  <si>
    <t xml:space="preserve">張慧玲</t>
  </si>
  <si>
    <t xml:space="preserve">盧映潔</t>
  </si>
  <si>
    <t xml:space="preserve">私立鳳新外語文理短期補習班</t>
  </si>
  <si>
    <r>
      <rPr>
        <sz val="10"/>
        <color rgb="FF1F2A28"/>
        <rFont val="WenQuanYi Zen Hei"/>
        <family val="2"/>
      </rPr>
      <t xml:space="preserve">鳳山區新富路</t>
    </r>
    <r>
      <rPr>
        <sz val="10"/>
        <color rgb="FF1F2A28"/>
        <rFont val="Arial"/>
        <family val="0"/>
        <charset val="1"/>
      </rPr>
      <t xml:space="preserve">304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</si>
  <si>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766-8799</t>
  </si>
  <si>
    <t xml:space="preserve">su847802@yahoo.com.tw</t>
  </si>
  <si>
    <t xml:space="preserve">1996-08-07</t>
  </si>
  <si>
    <t xml:space="preserve">陳綉貞</t>
  </si>
  <si>
    <t xml:space="preserve">蘇新新</t>
  </si>
  <si>
    <t xml:space="preserve">私立麥米倫英語短期補習班</t>
  </si>
  <si>
    <r>
      <rPr>
        <sz val="10"/>
        <color rgb="FF1F2A28"/>
        <rFont val="WenQuanYi Zen Hei"/>
        <family val="2"/>
      </rPr>
      <t xml:space="preserve">鳳山區光復路二段</t>
    </r>
    <r>
      <rPr>
        <sz val="10"/>
        <color rgb="FF1F2A28"/>
        <rFont val="Arial"/>
        <family val="0"/>
        <charset val="1"/>
      </rPr>
      <t xml:space="preserve">191</t>
    </r>
    <r>
      <rPr>
        <sz val="10"/>
        <color rgb="FF1F2A28"/>
        <rFont val="WenQuanYi Zen Hei"/>
        <family val="2"/>
      </rPr>
      <t xml:space="preserve">巷</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</si>
  <si>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747-7251 / 746-3789</t>
  </si>
  <si>
    <t xml:space="preserve">demiwang3003@yahoo.com</t>
  </si>
  <si>
    <t xml:space="preserve">蘇愛民</t>
  </si>
  <si>
    <t xml:space="preserve">聯成電腦股份有限公司附設高雄市私立聯城電腦語文短期補習班鳳山分班</t>
  </si>
  <si>
    <r>
      <rPr>
        <sz val="10"/>
        <color rgb="FF1F2A28"/>
        <rFont val="WenQuanYi Zen Hei"/>
        <family val="2"/>
      </rPr>
      <t xml:space="preserve">鳳山區光遠路</t>
    </r>
    <r>
      <rPr>
        <sz val="10"/>
        <color rgb="FF1F2A28"/>
        <rFont val="Arial"/>
        <family val="0"/>
        <charset val="1"/>
      </rPr>
      <t xml:space="preserve">181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</si>
  <si>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710-3230</t>
  </si>
  <si>
    <t xml:space="preserve">1996-06-07</t>
  </si>
  <si>
    <t xml:space="preserve">聯成電腦股份有限公司（代表人：鍾聖智）</t>
  </si>
  <si>
    <t xml:space="preserve">王美蘭</t>
  </si>
  <si>
    <t xml:space="preserve">艾薇教育事業有限公司附設艾美森外語文理短期補習班</t>
  </si>
  <si>
    <r>
      <rPr>
        <sz val="10"/>
        <color rgb="FF1F2A28"/>
        <rFont val="WenQuanYi Zen Hei"/>
        <family val="2"/>
      </rPr>
      <t xml:space="preserve">鳳山區鳳育路</t>
    </r>
    <r>
      <rPr>
        <sz val="10"/>
        <color rgb="FF1F2A28"/>
        <rFont val="Arial"/>
        <family val="0"/>
        <charset val="1"/>
      </rPr>
      <t xml:space="preserve">108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</si>
  <si>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796-6671</t>
  </si>
  <si>
    <t xml:space="preserve">2021-04-08</t>
  </si>
  <si>
    <t xml:space="preserve">邱煜勝</t>
  </si>
  <si>
    <t xml:space="preserve">艾薇教育事業有限公司附設艾美森外語文理短期補習班南正分班</t>
  </si>
  <si>
    <r>
      <rPr>
        <sz val="10"/>
        <color rgb="FF1F2A28"/>
        <rFont val="WenQuanYi Zen Hei"/>
        <family val="2"/>
      </rPr>
      <t xml:space="preserve">鳳山區南正一路</t>
    </r>
    <r>
      <rPr>
        <sz val="10"/>
        <color rgb="FF1F2A28"/>
        <rFont val="Arial"/>
        <family val="0"/>
        <charset val="1"/>
      </rPr>
      <t xml:space="preserve">76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</si>
  <si>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724-5231 / 724-5232</t>
  </si>
  <si>
    <t xml:space="preserve">郭桓榭</t>
  </si>
  <si>
    <t xml:space="preserve">艾薇教育事業有限公司附設艾美森外語文理短期補習班過埤分班</t>
  </si>
  <si>
    <r>
      <rPr>
        <sz val="10"/>
        <color rgb="FF1F2A28"/>
        <rFont val="WenQuanYi Zen Hei"/>
        <family val="2"/>
      </rPr>
      <t xml:space="preserve">鳳山區保生路</t>
    </r>
    <r>
      <rPr>
        <sz val="10"/>
        <color rgb="FF1F2A28"/>
        <rFont val="Arial"/>
        <family val="0"/>
        <charset val="1"/>
      </rPr>
      <t xml:space="preserve">65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</si>
  <si>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07-7920658</t>
  </si>
  <si>
    <t xml:space="preserve">2024-11-05</t>
  </si>
  <si>
    <t xml:space="preserve">李莊富惠</t>
  </si>
  <si>
    <t xml:space="preserve">鹽埕區</t>
  </si>
  <si>
    <t xml:space="preserve">私立可萊蒙美語文理短期補習班</t>
  </si>
  <si>
    <r>
      <rPr>
        <sz val="10"/>
        <color rgb="FF1F2A28"/>
        <rFont val="WenQuanYi Zen Hei"/>
        <family val="2"/>
      </rPr>
      <t xml:space="preserve">鹽埕區大智路</t>
    </r>
    <r>
      <rPr>
        <sz val="10"/>
        <color rgb="FF1F2A28"/>
        <rFont val="Arial"/>
        <family val="0"/>
        <charset val="1"/>
      </rPr>
      <t xml:space="preserve">112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</si>
  <si>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531-7722</t>
  </si>
  <si>
    <t xml:space="preserve">claremontenglish@yahoo.com.tw</t>
  </si>
  <si>
    <t xml:space="preserve">2006-07-06</t>
  </si>
  <si>
    <t xml:space="preserve">劉友中</t>
  </si>
  <si>
    <t xml:space="preserve">蘇櫻年</t>
  </si>
  <si>
    <t xml:space="preserve">鼓山區</t>
  </si>
  <si>
    <t xml:space="preserve">丹丹英語有限公司附設高雄市私立丹丹英語文理技藝短期補習班</t>
  </si>
  <si>
    <r>
      <rPr>
        <sz val="10"/>
        <color rgb="FF1F2A28"/>
        <rFont val="WenQuanYi Zen Hei"/>
        <family val="2"/>
      </rPr>
      <t xml:space="preserve">鼓山區河西一路</t>
    </r>
    <r>
      <rPr>
        <sz val="10"/>
        <color rgb="FF1F2A28"/>
        <rFont val="Arial"/>
        <family val="0"/>
        <charset val="1"/>
      </rPr>
      <t xml:space="preserve">1441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樓、夾層</t>
    </r>
  </si>
  <si>
    <t xml:space="preserve">555-0003</t>
  </si>
  <si>
    <t xml:space="preserve">2025-01-07</t>
  </si>
  <si>
    <t xml:space="preserve">周佑祥</t>
  </si>
  <si>
    <t xml:space="preserve">拔萃國際教育股份有限公司附設高雄市私立李麥克文理短期補習班</t>
  </si>
  <si>
    <r>
      <rPr>
        <sz val="10"/>
        <color rgb="FF1F2A28"/>
        <rFont val="WenQuanYi Zen Hei"/>
        <family val="2"/>
      </rPr>
      <t xml:space="preserve">鼓山區美術館路</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</si>
  <si>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552-1939</t>
  </si>
  <si>
    <t xml:space="preserve">ldschoolhouse@gmail.com</t>
  </si>
  <si>
    <t xml:space="preserve">2021-10-04</t>
  </si>
  <si>
    <r>
      <rPr>
        <sz val="10"/>
        <color rgb="FF1F2A28"/>
        <rFont val="WenQuanYi Zen Hei"/>
        <family val="2"/>
      </rPr>
      <t xml:space="preserve">拔萃國際教育股份有限公司</t>
    </r>
    <r>
      <rPr>
        <sz val="10"/>
        <color rgb="FF1F2A28"/>
        <rFont val="Arial"/>
        <family val="0"/>
        <charset val="1"/>
      </rPr>
      <t xml:space="preserve">(</t>
    </r>
    <r>
      <rPr>
        <sz val="10"/>
        <color rgb="FF1F2A28"/>
        <rFont val="WenQuanYi Zen Hei"/>
        <family val="2"/>
      </rPr>
      <t xml:space="preserve">代表人：李俊霖</t>
    </r>
    <r>
      <rPr>
        <sz val="10"/>
        <color rgb="FF1F2A28"/>
        <rFont val="Arial"/>
        <family val="0"/>
        <charset val="1"/>
      </rPr>
      <t xml:space="preserve">)</t>
    </r>
  </si>
  <si>
    <t xml:space="preserve">李俊融</t>
  </si>
  <si>
    <t xml:space="preserve">拔萃國際教育股份有限公司附設高雄市私立李麥克文理短期補習班美術館分班</t>
  </si>
  <si>
    <r>
      <rPr>
        <sz val="10"/>
        <color rgb="FF1F2A28"/>
        <rFont val="WenQuanYi Zen Hei"/>
        <family val="2"/>
      </rPr>
      <t xml:space="preserve">鼓山區美術館路</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</si>
  <si>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吳彩熏</t>
  </si>
  <si>
    <t xml:space="preserve">敦華英語國際文教股份有限公司附設高雄市私立敦煌英語短期補習班</t>
  </si>
  <si>
    <r>
      <rPr>
        <sz val="10"/>
        <color rgb="FF1F2A28"/>
        <rFont val="WenQuanYi Zen Hei"/>
        <family val="2"/>
      </rPr>
      <t xml:space="preserve">鼓山區文信路</t>
    </r>
    <r>
      <rPr>
        <sz val="10"/>
        <color rgb="FF1F2A28"/>
        <rFont val="Arial"/>
        <family val="0"/>
        <charset val="1"/>
      </rPr>
      <t xml:space="preserve">313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</si>
  <si>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550-5611</t>
  </si>
  <si>
    <t xml:space="preserve">李佳珮</t>
  </si>
  <si>
    <t xml:space="preserve">私立中美美語文理短期補習班</t>
  </si>
  <si>
    <r>
      <rPr>
        <sz val="10"/>
        <color rgb="FF1F2A28"/>
        <rFont val="WenQuanYi Zen Hei"/>
        <family val="2"/>
      </rPr>
      <t xml:space="preserve">鼓山區明誠三路</t>
    </r>
    <r>
      <rPr>
        <sz val="10"/>
        <color rgb="FF1F2A28"/>
        <rFont val="Arial"/>
        <family val="0"/>
        <charset val="1"/>
      </rPr>
      <t xml:space="preserve">697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</si>
  <si>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550-3096</t>
  </si>
  <si>
    <t xml:space="preserve">ritatsouras@gmail.com</t>
  </si>
  <si>
    <t xml:space="preserve">鄒家蘭</t>
  </si>
  <si>
    <t xml:space="preserve">私立佳昇外語文理短期補習班</t>
  </si>
  <si>
    <r>
      <rPr>
        <sz val="10"/>
        <color rgb="FF1F2A28"/>
        <rFont val="WenQuanYi Zen Hei"/>
        <family val="2"/>
      </rPr>
      <t xml:space="preserve">鼓山區九如四路</t>
    </r>
    <r>
      <rPr>
        <sz val="10"/>
        <color rgb="FF1F2A28"/>
        <rFont val="Arial"/>
        <family val="0"/>
        <charset val="1"/>
      </rPr>
      <t xml:space="preserve">1831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1833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</si>
  <si>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588-9218</t>
  </si>
  <si>
    <t xml:space="preserve">kaohsiung46744@gmail.com</t>
  </si>
  <si>
    <t xml:space="preserve">2000-11-20</t>
  </si>
  <si>
    <t xml:space="preserve">江淑媛</t>
  </si>
  <si>
    <t xml:space="preserve">私立傑林文理短期補習班</t>
  </si>
  <si>
    <r>
      <rPr>
        <sz val="10"/>
        <color rgb="FF1F2A28"/>
        <rFont val="WenQuanYi Zen Hei"/>
        <family val="2"/>
      </rPr>
      <t xml:space="preserve">鼓山區文信路</t>
    </r>
    <r>
      <rPr>
        <sz val="10"/>
        <color rgb="FF1F2A28"/>
        <rFont val="Arial"/>
        <family val="0"/>
        <charset val="1"/>
      </rPr>
      <t xml:space="preserve">195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</si>
  <si>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550-2766</t>
  </si>
  <si>
    <t xml:space="preserve">bau434@gmail.com</t>
  </si>
  <si>
    <t xml:space="preserve">2004-08-17</t>
  </si>
  <si>
    <t xml:space="preserve">吳立信</t>
  </si>
  <si>
    <t xml:space="preserve">鄞翊軒</t>
  </si>
  <si>
    <t xml:space="preserve">私立大榮高中附設外語資訊短期補習班</t>
  </si>
  <si>
    <r>
      <rPr>
        <sz val="10"/>
        <color rgb="FF1F2A28"/>
        <rFont val="WenQuanYi Zen Hei"/>
        <family val="2"/>
      </rPr>
      <t xml:space="preserve">鼓山區大榮街</t>
    </r>
    <r>
      <rPr>
        <sz val="10"/>
        <color rgb="FF1F2A28"/>
        <rFont val="Arial"/>
        <family val="0"/>
        <charset val="1"/>
      </rPr>
      <t xml:space="preserve">1</t>
    </r>
    <r>
      <rPr>
        <sz val="10"/>
        <color rgb="FF1F2A28"/>
        <rFont val="WenQuanYi Zen Hei"/>
        <family val="2"/>
      </rPr>
      <t xml:space="preserve">號</t>
    </r>
  </si>
  <si>
    <t xml:space="preserve">561-3281</t>
  </si>
  <si>
    <t xml:space="preserve">dah07@cc.dystcs.kh.edu.tw</t>
  </si>
  <si>
    <t xml:space="preserve">1986-12-08</t>
  </si>
  <si>
    <t xml:space="preserve">莊浩祥</t>
  </si>
  <si>
    <t xml:space="preserve">私立幻龍文理外語短期補習班</t>
  </si>
  <si>
    <r>
      <rPr>
        <sz val="10"/>
        <color rgb="FF1F2A28"/>
        <rFont val="WenQuanYi Zen Hei"/>
        <family val="2"/>
      </rPr>
      <t xml:space="preserve">鼓山區華泰路</t>
    </r>
    <r>
      <rPr>
        <sz val="10"/>
        <color rgb="FF1F2A28"/>
        <rFont val="Arial"/>
        <family val="0"/>
        <charset val="1"/>
      </rPr>
      <t xml:space="preserve">156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</si>
  <si>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586-7018</t>
  </si>
  <si>
    <t xml:space="preserve">dragon.weiwei@msa.hinet.net</t>
  </si>
  <si>
    <t xml:space="preserve">2000-11-29</t>
  </si>
  <si>
    <t xml:space="preserve">伍韋韋</t>
  </si>
  <si>
    <t xml:space="preserve">私立必應外語文理短期補習班</t>
  </si>
  <si>
    <r>
      <rPr>
        <sz val="10"/>
        <color rgb="FF1F2A28"/>
        <rFont val="WenQuanYi Zen Hei"/>
        <family val="2"/>
      </rPr>
      <t xml:space="preserve">鼓山區美術東二路</t>
    </r>
    <r>
      <rPr>
        <sz val="10"/>
        <color rgb="FF1F2A28"/>
        <rFont val="Arial"/>
        <family val="0"/>
        <charset val="1"/>
      </rPr>
      <t xml:space="preserve">82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樓、夾層、</t>
    </r>
    <r>
      <rPr>
        <sz val="10"/>
        <color rgb="FF1F2A28"/>
        <rFont val="Arial"/>
        <family val="0"/>
        <charset val="1"/>
      </rPr>
      <t xml:space="preserve">2</t>
    </r>
    <r>
      <rPr>
        <sz val="10"/>
        <color rgb="FF1F2A28"/>
        <rFont val="WenQuanYi Zen Hei"/>
        <family val="2"/>
      </rPr>
      <t xml:space="preserve">樓</t>
    </r>
  </si>
  <si>
    <t xml:space="preserve">宋婉伶</t>
  </si>
  <si>
    <t xml:space="preserve">私立愛仕美語文理短期補習班</t>
  </si>
  <si>
    <r>
      <rPr>
        <sz val="10"/>
        <color rgb="FF1F2A28"/>
        <rFont val="WenQuanYi Zen Hei"/>
        <family val="2"/>
      </rPr>
      <t xml:space="preserve">鼓山區龍勝路</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</si>
  <si>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07-550-0060</t>
  </si>
  <si>
    <t xml:space="preserve">aceskaohsiung@gmail.com</t>
  </si>
  <si>
    <t xml:space="preserve">劉敘芳</t>
  </si>
  <si>
    <t xml:space="preserve">私立成大文理技藝短期補習班龍華分班</t>
  </si>
  <si>
    <r>
      <rPr>
        <sz val="10"/>
        <color rgb="FF1F2A28"/>
        <rFont val="WenQuanYi Zen Hei"/>
        <family val="2"/>
      </rPr>
      <t xml:space="preserve">鼓山區大順一路</t>
    </r>
    <r>
      <rPr>
        <sz val="10"/>
        <color rgb="FF1F2A28"/>
        <rFont val="Arial"/>
        <family val="0"/>
        <charset val="1"/>
      </rPr>
      <t xml:space="preserve">829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</si>
  <si>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553-9823</t>
  </si>
  <si>
    <t xml:space="preserve">李婉綾</t>
  </si>
  <si>
    <t xml:space="preserve">私立文星外語短期補習班</t>
  </si>
  <si>
    <r>
      <rPr>
        <sz val="10"/>
        <color rgb="FF1F2A28"/>
        <rFont val="WenQuanYi Zen Hei"/>
        <family val="2"/>
      </rPr>
      <t xml:space="preserve">鼓山區大順一路</t>
    </r>
    <r>
      <rPr>
        <sz val="10"/>
        <color rgb="FF1F2A28"/>
        <rFont val="Arial"/>
        <family val="0"/>
        <charset val="1"/>
      </rPr>
      <t xml:space="preserve">995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</si>
  <si>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554-4178 / 552-5137</t>
  </si>
  <si>
    <t xml:space="preserve">visionon527@yahoo.com.tw</t>
  </si>
  <si>
    <t xml:space="preserve">馮瓊俞</t>
  </si>
  <si>
    <t xml:space="preserve">私立木森英語文理技藝短期補習班</t>
  </si>
  <si>
    <r>
      <rPr>
        <sz val="10"/>
        <color rgb="FF1F2A28"/>
        <rFont val="WenQuanYi Zen Hei"/>
        <family val="2"/>
      </rPr>
      <t xml:space="preserve">鼓山區美術東二路</t>
    </r>
    <r>
      <rPr>
        <sz val="10"/>
        <color rgb="FF1F2A28"/>
        <rFont val="Arial"/>
        <family val="0"/>
        <charset val="1"/>
      </rPr>
      <t xml:space="preserve">161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</si>
  <si>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522-4949</t>
  </si>
  <si>
    <t xml:space="preserve">nomo10@gmail.com</t>
  </si>
  <si>
    <t xml:space="preserve">2023-03-07</t>
  </si>
  <si>
    <t xml:space="preserve">李瓔芷</t>
  </si>
  <si>
    <t xml:space="preserve">鍾芝庭</t>
  </si>
  <si>
    <t xml:space="preserve">私立橋譽英文文理短期補習班</t>
  </si>
  <si>
    <r>
      <rPr>
        <sz val="10"/>
        <color rgb="FF1F2A28"/>
        <rFont val="WenQuanYi Zen Hei"/>
        <family val="2"/>
      </rPr>
      <t xml:space="preserve">鼓山區美術東五路</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</si>
  <si>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522-7703</t>
  </si>
  <si>
    <t xml:space="preserve">gushan@bels-tw.com</t>
  </si>
  <si>
    <t xml:space="preserve">2018-10-08</t>
  </si>
  <si>
    <t xml:space="preserve">劉佩珊</t>
  </si>
  <si>
    <t xml:space="preserve">劉佳曼</t>
  </si>
  <si>
    <t xml:space="preserve">私立武廟文理短期補習班龍華分班</t>
  </si>
  <si>
    <r>
      <rPr>
        <sz val="10"/>
        <color rgb="FF1F2A28"/>
        <rFont val="WenQuanYi Zen Hei"/>
        <family val="2"/>
      </rPr>
      <t xml:space="preserve">鼓山區大順一路</t>
    </r>
    <r>
      <rPr>
        <sz val="10"/>
        <color rgb="FF1F2A28"/>
        <rFont val="Arial"/>
        <family val="0"/>
        <charset val="1"/>
      </rPr>
      <t xml:space="preserve">862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</si>
  <si>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5559266</t>
  </si>
  <si>
    <t xml:space="preserve">m10465716@gmail.com</t>
  </si>
  <si>
    <t xml:space="preserve">2009-01-16</t>
  </si>
  <si>
    <t xml:space="preserve">何嘉菱</t>
  </si>
  <si>
    <t xml:space="preserve">私立美利肯美語短期補習班</t>
  </si>
  <si>
    <r>
      <rPr>
        <sz val="10"/>
        <color rgb="FF1F2A28"/>
        <rFont val="WenQuanYi Zen Hei"/>
        <family val="2"/>
      </rPr>
      <t xml:space="preserve">鼓山區神農路</t>
    </r>
    <r>
      <rPr>
        <sz val="10"/>
        <color rgb="FF1F2A28"/>
        <rFont val="Arial"/>
        <family val="0"/>
        <charset val="1"/>
      </rPr>
      <t xml:space="preserve">179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樓、夾層及</t>
    </r>
    <r>
      <rPr>
        <sz val="10"/>
        <color rgb="FF1F2A28"/>
        <rFont val="Arial"/>
        <family val="0"/>
        <charset val="1"/>
      </rPr>
      <t xml:space="preserve">2</t>
    </r>
    <r>
      <rPr>
        <sz val="10"/>
        <color rgb="FF1F2A28"/>
        <rFont val="WenQuanYi Zen Hei"/>
        <family val="2"/>
      </rPr>
      <t xml:space="preserve">樓</t>
    </r>
  </si>
  <si>
    <t xml:space="preserve">552-7068</t>
  </si>
  <si>
    <t xml:space="preserve">honeybee.schools@gmail.com</t>
  </si>
  <si>
    <t xml:space="preserve">1994-04-27</t>
  </si>
  <si>
    <t xml:space="preserve">莊凱瑞</t>
  </si>
  <si>
    <t xml:space="preserve">林雅儀</t>
  </si>
  <si>
    <t xml:space="preserve">私立自強英語短期補習班</t>
  </si>
  <si>
    <r>
      <rPr>
        <sz val="10"/>
        <color rgb="FF1F2A28"/>
        <rFont val="WenQuanYi Zen Hei"/>
        <family val="2"/>
      </rPr>
      <t xml:space="preserve">鼓山區鼓山三路</t>
    </r>
    <r>
      <rPr>
        <sz val="10"/>
        <color rgb="FF1F2A28"/>
        <rFont val="Arial"/>
        <family val="0"/>
        <charset val="1"/>
      </rPr>
      <t xml:space="preserve">120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</si>
  <si>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07-5828801</t>
  </si>
  <si>
    <t xml:space="preserve">qwerty1234198@gmail.com</t>
  </si>
  <si>
    <t xml:space="preserve">2002-12-18</t>
  </si>
  <si>
    <t xml:space="preserve">蔡玨瑜</t>
  </si>
  <si>
    <t xml:space="preserve">私立麥米倫外語短期補習班</t>
  </si>
  <si>
    <r>
      <rPr>
        <sz val="10"/>
        <color rgb="FF1F2A28"/>
        <rFont val="WenQuanYi Zen Hei"/>
        <family val="2"/>
      </rPr>
      <t xml:space="preserve">鼓山區華榮路</t>
    </r>
    <r>
      <rPr>
        <sz val="10"/>
        <color rgb="FF1F2A28"/>
        <rFont val="Arial"/>
        <family val="0"/>
        <charset val="1"/>
      </rPr>
      <t xml:space="preserve">368</t>
    </r>
    <r>
      <rPr>
        <sz val="10"/>
        <color rgb="FF1F2A28"/>
        <rFont val="WenQuanYi Zen Hei"/>
        <family val="2"/>
      </rPr>
      <t xml:space="preserve">巷</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</si>
  <si>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550-0099</t>
  </si>
  <si>
    <t xml:space="preserve">vickie1128@yahoo.com.tw</t>
  </si>
  <si>
    <t xml:space="preserve">2004-09-29</t>
  </si>
  <si>
    <t xml:space="preserve">台麗娟</t>
  </si>
  <si>
    <t xml:space="preserve">蔡沁玲</t>
  </si>
  <si>
    <t xml:space="preserve">私立黑皮尼斯外語短期補習班</t>
  </si>
  <si>
    <r>
      <rPr>
        <sz val="10"/>
        <color rgb="FF1F2A28"/>
        <rFont val="WenQuanYi Zen Hei"/>
        <family val="2"/>
      </rPr>
      <t xml:space="preserve">鼓山區美術東六街</t>
    </r>
    <r>
      <rPr>
        <sz val="10"/>
        <color rgb="FF1F2A28"/>
        <rFont val="Arial"/>
        <family val="0"/>
        <charset val="1"/>
      </rPr>
      <t xml:space="preserve">27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</si>
  <si>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555-5138 /555-5132</t>
  </si>
  <si>
    <t xml:space="preserve">happiness5555138@yahoo.com.tw</t>
  </si>
  <si>
    <t xml:space="preserve">詹曉瑩</t>
  </si>
  <si>
    <t xml:space="preserve">詹沁安</t>
  </si>
  <si>
    <t xml:space="preserve">金桐股份有限公司附設科見美語文理短期補習班龍華分班</t>
  </si>
  <si>
    <r>
      <rPr>
        <sz val="10"/>
        <color rgb="FF1F2A28"/>
        <rFont val="WenQuanYi Zen Hei"/>
        <family val="2"/>
      </rPr>
      <t xml:space="preserve">鼓山區大順一路</t>
    </r>
    <r>
      <rPr>
        <sz val="10"/>
        <color rgb="FF1F2A28"/>
        <rFont val="Arial"/>
        <family val="0"/>
        <charset val="1"/>
      </rPr>
      <t xml:space="preserve">857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樓、夾層、</t>
    </r>
    <r>
      <rPr>
        <sz val="10"/>
        <color rgb="FF1F2A28"/>
        <rFont val="Arial"/>
        <family val="0"/>
        <charset val="1"/>
      </rPr>
      <t xml:space="preserve">2</t>
    </r>
    <r>
      <rPr>
        <sz val="10"/>
        <color rgb="FF1F2A28"/>
        <rFont val="WenQuanYi Zen Hei"/>
        <family val="2"/>
      </rPr>
      <t xml:space="preserve">樓</t>
    </r>
  </si>
  <si>
    <t xml:space="preserve">550-3972</t>
  </si>
  <si>
    <t xml:space="preserve">侯光宇</t>
  </si>
  <si>
    <t xml:space="preserve">基隆市</t>
  </si>
  <si>
    <t xml:space="preserve">基隆市私立佳興語文短期補習班</t>
  </si>
  <si>
    <r>
      <rPr>
        <sz val="10"/>
        <color rgb="FF1F2A28"/>
        <rFont val="WenQuanYi Zen Hei"/>
        <family val="2"/>
      </rPr>
      <t xml:space="preserve">基隆市中正區信二路</t>
    </r>
    <r>
      <rPr>
        <sz val="10"/>
        <color rgb="FF1F2A28"/>
        <rFont val="Arial"/>
        <family val="0"/>
        <charset val="1"/>
      </rPr>
      <t xml:space="preserve">276</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</si>
  <si>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2421-1624</t>
    </r>
  </si>
  <si>
    <t xml:space="preserve">sime0629@gmail.com</t>
  </si>
  <si>
    <t xml:space="preserve">初級英文、中級英文</t>
  </si>
  <si>
    <t xml:space="preserve">2020-11-06</t>
  </si>
  <si>
    <t xml:space="preserve">林政勳</t>
  </si>
  <si>
    <t xml:space="preserve">吳昱璇</t>
  </si>
  <si>
    <t xml:space="preserve">基隆市私立品誠文理短期補習班</t>
  </si>
  <si>
    <r>
      <rPr>
        <sz val="10"/>
        <color rgb="FF1F2A28"/>
        <rFont val="WenQuanYi Zen Hei"/>
        <family val="2"/>
      </rPr>
      <t xml:space="preserve">基隆市安樂區基金一路</t>
    </r>
    <r>
      <rPr>
        <sz val="10"/>
        <color rgb="FF1F2A28"/>
        <rFont val="Arial"/>
        <family val="0"/>
        <charset val="1"/>
      </rPr>
      <t xml:space="preserve">135</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弄</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樓、基隆市安樂區基金一路</t>
    </r>
    <r>
      <rPr>
        <sz val="10"/>
        <color rgb="FF1F2A28"/>
        <rFont val="Arial"/>
        <family val="0"/>
        <charset val="1"/>
      </rPr>
      <t xml:space="preserve">135</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弄</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樓及基隆市安樂區基金一路</t>
    </r>
    <r>
      <rPr>
        <sz val="10"/>
        <color rgb="FF1F2A28"/>
        <rFont val="Arial"/>
        <family val="0"/>
        <charset val="1"/>
      </rPr>
      <t xml:space="preserve">135</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弄</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</si>
  <si>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2432-7730</t>
    </r>
  </si>
  <si>
    <t xml:space="preserve">aeneas0207@gmail.com</t>
  </si>
  <si>
    <r>
      <rPr>
        <sz val="10"/>
        <color rgb="FF1F2A28"/>
        <rFont val="WenQuanYi Zen Hei"/>
        <family val="2"/>
      </rPr>
      <t xml:space="preserve">國小文理科（國語、英語、數學、自然、社會）</t>
    </r>
    <r>
      <rPr>
        <sz val="10"/>
        <color rgb="FF1F2A28"/>
        <rFont val="Arial"/>
        <family val="0"/>
        <charset val="1"/>
      </rPr>
      <t xml:space="preserve">A</t>
    </r>
    <r>
      <rPr>
        <sz val="10"/>
        <color rgb="FF1F2A28"/>
        <rFont val="WenQuanYi Zen Hei"/>
        <family val="2"/>
      </rPr>
      <t xml:space="preserve">班、國小文理科（國語、英語、數學、自然、社會）</t>
    </r>
    <r>
      <rPr>
        <sz val="10"/>
        <color rgb="FF1F2A28"/>
        <rFont val="Arial"/>
        <family val="0"/>
        <charset val="1"/>
      </rPr>
      <t xml:space="preserve">C</t>
    </r>
    <r>
      <rPr>
        <sz val="10"/>
        <color rgb="FF1F2A28"/>
        <rFont val="WenQuanYi Zen Hei"/>
        <family val="2"/>
      </rPr>
      <t xml:space="preserve">班、國小文理科（國語、英語、數學、自然、社會）</t>
    </r>
    <r>
      <rPr>
        <sz val="10"/>
        <color rgb="FF1F2A28"/>
        <rFont val="Arial"/>
        <family val="0"/>
        <charset val="1"/>
      </rPr>
      <t xml:space="preserve">D</t>
    </r>
    <r>
      <rPr>
        <sz val="10"/>
        <color rgb="FF1F2A28"/>
        <rFont val="WenQuanYi Zen Hei"/>
        <family val="2"/>
      </rPr>
      <t xml:space="preserve">班、兒童美語科</t>
    </r>
    <r>
      <rPr>
        <sz val="10"/>
        <color rgb="FF1F2A28"/>
        <rFont val="Arial"/>
        <family val="0"/>
        <charset val="1"/>
      </rPr>
      <t xml:space="preserve">B</t>
    </r>
    <r>
      <rPr>
        <sz val="10"/>
        <color rgb="FF1F2A28"/>
        <rFont val="WenQuanYi Zen Hei"/>
        <family val="2"/>
      </rPr>
      <t xml:space="preserve">班、國中英文科、國小文理科（國語、英語、數學、自然、社會）</t>
    </r>
    <r>
      <rPr>
        <sz val="10"/>
        <color rgb="FF1F2A28"/>
        <rFont val="Arial"/>
        <family val="0"/>
        <charset val="1"/>
      </rPr>
      <t xml:space="preserve">E</t>
    </r>
    <r>
      <rPr>
        <sz val="10"/>
        <color rgb="FF1F2A28"/>
        <rFont val="WenQuanYi Zen Hei"/>
        <family val="2"/>
      </rPr>
      <t xml:space="preserve">班、國小文理科（國語、英語、數學、自然、社會）</t>
    </r>
    <r>
      <rPr>
        <sz val="10"/>
        <color rgb="FF1F2A28"/>
        <rFont val="Arial"/>
        <family val="0"/>
        <charset val="1"/>
      </rPr>
      <t xml:space="preserve">B</t>
    </r>
    <r>
      <rPr>
        <sz val="10"/>
        <color rgb="FF1F2A28"/>
        <rFont val="WenQuanYi Zen Hei"/>
        <family val="2"/>
      </rPr>
      <t xml:space="preserve">班、兒童美語科</t>
    </r>
    <r>
      <rPr>
        <sz val="10"/>
        <color rgb="FF1F2A28"/>
        <rFont val="Arial"/>
        <family val="0"/>
        <charset val="1"/>
      </rPr>
      <t xml:space="preserve">A</t>
    </r>
    <r>
      <rPr>
        <sz val="10"/>
        <color rgb="FF1F2A28"/>
        <rFont val="WenQuanYi Zen Hei"/>
        <family val="2"/>
      </rPr>
      <t xml:space="preserve">班</t>
    </r>
  </si>
  <si>
    <t xml:space="preserve">顏曉君</t>
  </si>
  <si>
    <t xml:space="preserve">基隆市私立哈利文理短期補習班</t>
  </si>
  <si>
    <r>
      <rPr>
        <sz val="10"/>
        <color rgb="FF1F2A28"/>
        <rFont val="WenQuanYi Zen Hei"/>
        <family val="2"/>
      </rPr>
      <t xml:space="preserve">基隆市暖暖區暖碇路</t>
    </r>
    <r>
      <rPr>
        <sz val="10"/>
        <color rgb="FF1F2A28"/>
        <rFont val="Arial"/>
        <family val="0"/>
        <charset val="1"/>
      </rPr>
      <t xml:space="preserve">159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</si>
  <si>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2458-3600</t>
    </r>
  </si>
  <si>
    <t xml:space="preserve">Gibear88@gmail.com</t>
  </si>
  <si>
    <r>
      <rPr>
        <sz val="10"/>
        <color rgb="FF1F2A28"/>
        <rFont val="WenQuanYi Zen Hei"/>
        <family val="2"/>
      </rPr>
      <t xml:space="preserve">國小文理科（國語、數學、自然、社會、英文）</t>
    </r>
    <r>
      <rPr>
        <sz val="10"/>
        <color rgb="FF1F2A28"/>
        <rFont val="Arial"/>
        <family val="0"/>
        <charset val="1"/>
      </rPr>
      <t xml:space="preserve">D</t>
    </r>
    <r>
      <rPr>
        <sz val="10"/>
        <color rgb="FF1F2A28"/>
        <rFont val="WenQuanYi Zen Hei"/>
        <family val="2"/>
      </rPr>
      <t xml:space="preserve">班、國中英文科、國小文理科（國語、數學、自然、社會、英文）</t>
    </r>
    <r>
      <rPr>
        <sz val="10"/>
        <color rgb="FF1F2A28"/>
        <rFont val="Arial"/>
        <family val="0"/>
        <charset val="1"/>
      </rPr>
      <t xml:space="preserve">A</t>
    </r>
    <r>
      <rPr>
        <sz val="10"/>
        <color rgb="FF1F2A28"/>
        <rFont val="WenQuanYi Zen Hei"/>
        <family val="2"/>
      </rPr>
      <t xml:space="preserve">班、國小文理科（國語、數學、自然、社會、英文）</t>
    </r>
    <r>
      <rPr>
        <sz val="10"/>
        <color rgb="FF1F2A28"/>
        <rFont val="Arial"/>
        <family val="0"/>
        <charset val="1"/>
      </rPr>
      <t xml:space="preserve">C</t>
    </r>
    <r>
      <rPr>
        <sz val="10"/>
        <color rgb="FF1F2A28"/>
        <rFont val="WenQuanYi Zen Hei"/>
        <family val="2"/>
      </rPr>
      <t xml:space="preserve">班、國小文理科（國語、數學、自然、社會、英文）</t>
    </r>
    <r>
      <rPr>
        <sz val="10"/>
        <color rgb="FF1F2A28"/>
        <rFont val="Arial"/>
        <family val="0"/>
        <charset val="1"/>
      </rPr>
      <t xml:space="preserve">B</t>
    </r>
    <r>
      <rPr>
        <sz val="10"/>
        <color rgb="FF1F2A28"/>
        <rFont val="WenQuanYi Zen Hei"/>
        <family val="2"/>
      </rPr>
      <t xml:space="preserve">班</t>
    </r>
  </si>
  <si>
    <t xml:space="preserve">黃進聰</t>
  </si>
  <si>
    <t xml:space="preserve">基隆市私立喬語語文技藝短期補習班</t>
  </si>
  <si>
    <r>
      <rPr>
        <sz val="10"/>
        <color rgb="FF1F2A28"/>
        <rFont val="WenQuanYi Zen Hei"/>
        <family val="2"/>
      </rPr>
      <t xml:space="preserve">基隆市安樂區樂利二街</t>
    </r>
    <r>
      <rPr>
        <sz val="10"/>
        <color rgb="FF1F2A28"/>
        <rFont val="Arial"/>
        <family val="0"/>
        <charset val="1"/>
      </rPr>
      <t xml:space="preserve">62</t>
    </r>
    <r>
      <rPr>
        <sz val="10"/>
        <color rgb="FF1F2A28"/>
        <rFont val="WenQuanYi Zen Hei"/>
        <family val="2"/>
      </rPr>
      <t xml:space="preserve">巷</t>
    </r>
    <r>
      <rPr>
        <sz val="10"/>
        <color rgb="FF1F2A28"/>
        <rFont val="Arial"/>
        <family val="0"/>
        <charset val="1"/>
      </rPr>
      <t xml:space="preserve">202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</si>
  <si>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2432-1080</t>
    </r>
  </si>
  <si>
    <t xml:space="preserve">roger140kimo@yahoo.com.tw</t>
  </si>
  <si>
    <t xml:space="preserve">國小英文科、國中英文科</t>
  </si>
  <si>
    <t xml:space="preserve">2024-03-11</t>
  </si>
  <si>
    <t xml:space="preserve">黃柏雄</t>
  </si>
  <si>
    <t xml:space="preserve">張清泉</t>
  </si>
  <si>
    <t xml:space="preserve">基隆市私立城上城技藝文理短期補習班</t>
  </si>
  <si>
    <r>
      <rPr>
        <sz val="10"/>
        <color rgb="FF1F2A28"/>
        <rFont val="WenQuanYi Zen Hei"/>
        <family val="2"/>
      </rPr>
      <t xml:space="preserve">基隆市安樂區麥金路</t>
    </r>
    <r>
      <rPr>
        <sz val="10"/>
        <color rgb="FF1F2A28"/>
        <rFont val="Arial"/>
        <family val="0"/>
        <charset val="1"/>
      </rPr>
      <t xml:space="preserve">193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</si>
  <si>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2433-3189</t>
    </r>
  </si>
  <si>
    <t xml:space="preserve">ellen690322@gmail.com</t>
  </si>
  <si>
    <r>
      <rPr>
        <sz val="10"/>
        <color rgb="FF1F2A28"/>
        <rFont val="WenQuanYi Zen Hei"/>
        <family val="2"/>
      </rPr>
      <t xml:space="preserve">兒童美語科</t>
    </r>
    <r>
      <rPr>
        <sz val="10"/>
        <color rgb="FF1F2A28"/>
        <rFont val="Arial"/>
        <family val="0"/>
        <charset val="1"/>
      </rPr>
      <t xml:space="preserve">C</t>
    </r>
    <r>
      <rPr>
        <sz val="10"/>
        <color rgb="FF1F2A28"/>
        <rFont val="WenQuanYi Zen Hei"/>
        <family val="2"/>
      </rPr>
      <t xml:space="preserve">班、兒童美語科</t>
    </r>
    <r>
      <rPr>
        <sz val="10"/>
        <color rgb="FF1F2A28"/>
        <rFont val="Arial"/>
        <family val="0"/>
        <charset val="1"/>
      </rPr>
      <t xml:space="preserve">A</t>
    </r>
    <r>
      <rPr>
        <sz val="10"/>
        <color rgb="FF1F2A28"/>
        <rFont val="WenQuanYi Zen Hei"/>
        <family val="2"/>
      </rPr>
      <t xml:space="preserve">班、幼兒美語科、兒童美語科</t>
    </r>
    <r>
      <rPr>
        <sz val="10"/>
        <color rgb="FF1F2A28"/>
        <rFont val="Arial"/>
        <family val="0"/>
        <charset val="1"/>
      </rPr>
      <t xml:space="preserve">D</t>
    </r>
    <r>
      <rPr>
        <sz val="10"/>
        <color rgb="FF1F2A28"/>
        <rFont val="WenQuanYi Zen Hei"/>
        <family val="2"/>
      </rPr>
      <t xml:space="preserve">班、兒童美語科</t>
    </r>
    <r>
      <rPr>
        <sz val="10"/>
        <color rgb="FF1F2A28"/>
        <rFont val="Arial"/>
        <family val="0"/>
        <charset val="1"/>
      </rPr>
      <t xml:space="preserve">B</t>
    </r>
    <r>
      <rPr>
        <sz val="10"/>
        <color rgb="FF1F2A28"/>
        <rFont val="WenQuanYi Zen Hei"/>
        <family val="2"/>
      </rPr>
      <t xml:space="preserve">班</t>
    </r>
  </si>
  <si>
    <t xml:space="preserve">2023-08-11</t>
  </si>
  <si>
    <t xml:space="preserve">廖洋</t>
  </si>
  <si>
    <t xml:space="preserve">臧雨涵</t>
  </si>
  <si>
    <t xml:space="preserve">基隆市私立多美文理短期補習班</t>
  </si>
  <si>
    <r>
      <rPr>
        <sz val="10"/>
        <color rgb="FF1F2A28"/>
        <rFont val="WenQuanYi Zen Hei"/>
        <family val="2"/>
      </rPr>
      <t xml:space="preserve">基隆市暖暖區暖暖街</t>
    </r>
    <r>
      <rPr>
        <sz val="10"/>
        <color rgb="FF1F2A28"/>
        <rFont val="Arial"/>
        <family val="0"/>
        <charset val="1"/>
      </rPr>
      <t xml:space="preserve">457</t>
    </r>
    <r>
      <rPr>
        <sz val="10"/>
        <color rgb="FF1F2A28"/>
        <rFont val="WenQuanYi Zen Hei"/>
        <family val="2"/>
      </rPr>
      <t xml:space="preserve">號</t>
    </r>
    <r>
      <rPr>
        <sz val="10"/>
        <color rgb="FF1F2A28"/>
        <rFont val="Arial"/>
        <family val="0"/>
        <charset val="1"/>
      </rPr>
      <t xml:space="preserve">4-5</t>
    </r>
    <r>
      <rPr>
        <sz val="10"/>
        <color rgb="FF1F2A28"/>
        <rFont val="WenQuanYi Zen Hei"/>
        <family val="2"/>
      </rPr>
      <t xml:space="preserve">樓及基隆市暖暖區暖暖街</t>
    </r>
    <r>
      <rPr>
        <sz val="10"/>
        <color rgb="FF1F2A28"/>
        <rFont val="Arial"/>
        <family val="0"/>
        <charset val="1"/>
      </rPr>
      <t xml:space="preserve">449</t>
    </r>
    <r>
      <rPr>
        <sz val="10"/>
        <color rgb="FF1F2A28"/>
        <rFont val="WenQuanYi Zen Hei"/>
        <family val="2"/>
      </rPr>
      <t xml:space="preserve">號</t>
    </r>
    <r>
      <rPr>
        <sz val="10"/>
        <color rgb="FF1F2A28"/>
        <rFont val="Arial"/>
        <family val="0"/>
        <charset val="1"/>
      </rPr>
      <t xml:space="preserve">3-5</t>
    </r>
    <r>
      <rPr>
        <sz val="10"/>
        <color rgb="FF1F2A28"/>
        <rFont val="WenQuanYi Zen Hei"/>
        <family val="2"/>
      </rPr>
      <t xml:space="preserve">樓</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</si>
  <si>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2458-2020</t>
    </r>
  </si>
  <si>
    <r>
      <rPr>
        <sz val="10"/>
        <color rgb="FF1F2A28"/>
        <rFont val="WenQuanYi Zen Hei"/>
        <family val="2"/>
      </rPr>
      <t xml:space="preserve">美語科</t>
    </r>
    <r>
      <rPr>
        <sz val="10"/>
        <color rgb="FF1F2A28"/>
        <rFont val="Arial"/>
        <family val="0"/>
        <charset val="1"/>
      </rPr>
      <t xml:space="preserve">A</t>
    </r>
    <r>
      <rPr>
        <sz val="10"/>
        <color rgb="FF1F2A28"/>
        <rFont val="WenQuanYi Zen Hei"/>
        <family val="2"/>
      </rPr>
      <t xml:space="preserve">班、美語科</t>
    </r>
    <r>
      <rPr>
        <sz val="10"/>
        <color rgb="FF1F2A28"/>
        <rFont val="Arial"/>
        <family val="0"/>
        <charset val="1"/>
      </rPr>
      <t xml:space="preserve">D</t>
    </r>
    <r>
      <rPr>
        <sz val="10"/>
        <color rgb="FF1F2A28"/>
        <rFont val="WenQuanYi Zen Hei"/>
        <family val="2"/>
      </rPr>
      <t xml:space="preserve">班、美語班</t>
    </r>
    <r>
      <rPr>
        <sz val="10"/>
        <color rgb="FF1F2A28"/>
        <rFont val="Arial"/>
        <family val="0"/>
        <charset val="1"/>
      </rPr>
      <t xml:space="preserve">B</t>
    </r>
    <r>
      <rPr>
        <sz val="10"/>
        <color rgb="FF1F2A28"/>
        <rFont val="WenQuanYi Zen Hei"/>
        <family val="2"/>
      </rPr>
      <t xml:space="preserve">班、美語科</t>
    </r>
    <r>
      <rPr>
        <sz val="10"/>
        <color rgb="FF1F2A28"/>
        <rFont val="Arial"/>
        <family val="0"/>
        <charset val="1"/>
      </rPr>
      <t xml:space="preserve">C</t>
    </r>
    <r>
      <rPr>
        <sz val="10"/>
        <color rgb="FF1F2A28"/>
        <rFont val="WenQuanYi Zen Hei"/>
        <family val="2"/>
      </rPr>
      <t xml:space="preserve">班、國小文理科（國語、數 學、自然、社會、英文）</t>
    </r>
    <r>
      <rPr>
        <sz val="10"/>
        <color rgb="FF1F2A28"/>
        <rFont val="Arial"/>
        <family val="0"/>
        <charset val="1"/>
      </rPr>
      <t xml:space="preserve">D</t>
    </r>
    <r>
      <rPr>
        <sz val="10"/>
        <color rgb="FF1F2A28"/>
        <rFont val="WenQuanYi Zen Hei"/>
        <family val="2"/>
      </rPr>
      <t xml:space="preserve">班、國小文理科（國語、數 學、自然、社會、英文）</t>
    </r>
    <r>
      <rPr>
        <sz val="10"/>
        <color rgb="FF1F2A28"/>
        <rFont val="Arial"/>
        <family val="0"/>
        <charset val="1"/>
      </rPr>
      <t xml:space="preserve">E</t>
    </r>
    <r>
      <rPr>
        <sz val="10"/>
        <color rgb="FF1F2A28"/>
        <rFont val="WenQuanYi Zen Hei"/>
        <family val="2"/>
      </rPr>
      <t xml:space="preserve">班</t>
    </r>
  </si>
  <si>
    <t xml:space="preserve">2015-10-01</t>
  </si>
  <si>
    <t xml:space="preserve">陳柔亘</t>
  </si>
  <si>
    <t xml:space="preserve">基隆市私立娜佳美語短期補習班</t>
  </si>
  <si>
    <r>
      <rPr>
        <sz val="10"/>
        <color rgb="FF1F2A28"/>
        <rFont val="WenQuanYi Zen Hei"/>
        <family val="2"/>
      </rPr>
      <t xml:space="preserve">基隆市暖暖區源遠路</t>
    </r>
    <r>
      <rPr>
        <sz val="10"/>
        <color rgb="FF1F2A28"/>
        <rFont val="Arial"/>
        <family val="0"/>
        <charset val="1"/>
      </rPr>
      <t xml:space="preserve">277</t>
    </r>
    <r>
      <rPr>
        <sz val="10"/>
        <color rgb="FF1F2A28"/>
        <rFont val="WenQuanYi Zen Hei"/>
        <family val="2"/>
      </rPr>
      <t xml:space="preserve">巷</t>
    </r>
    <r>
      <rPr>
        <sz val="10"/>
        <color rgb="FF1F2A28"/>
        <rFont val="Arial"/>
        <family val="0"/>
        <charset val="1"/>
      </rPr>
      <t xml:space="preserve">58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</si>
  <si>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0918-190826</t>
  </si>
  <si>
    <t xml:space="preserve">兒童美語科</t>
  </si>
  <si>
    <t xml:space="preserve">2025-05-23</t>
  </si>
  <si>
    <t xml:space="preserve">謝琪茹</t>
  </si>
  <si>
    <t xml:space="preserve">基隆市私立安樂芝蔴街美語文理短期補習班</t>
  </si>
  <si>
    <r>
      <rPr>
        <sz val="10"/>
        <color rgb="FF1F2A28"/>
        <rFont val="WenQuanYi Zen Hei"/>
        <family val="2"/>
      </rPr>
      <t xml:space="preserve">基隆市安樂區安樂路二段</t>
    </r>
    <r>
      <rPr>
        <sz val="10"/>
        <color rgb="FF1F2A28"/>
        <rFont val="Arial"/>
        <family val="0"/>
        <charset val="1"/>
      </rPr>
      <t xml:space="preserve">153</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樓、基隆市安樂區安樂路二段</t>
    </r>
    <r>
      <rPr>
        <sz val="10"/>
        <color rgb="FF1F2A28"/>
        <rFont val="Arial"/>
        <family val="0"/>
        <charset val="1"/>
      </rPr>
      <t xml:space="preserve">155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</si>
  <si>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3401-0535</t>
    </r>
  </si>
  <si>
    <t xml:space="preserve">sherrywei1027@gmail.com</t>
  </si>
  <si>
    <r>
      <rPr>
        <sz val="10"/>
        <color rgb="FF1F2A28"/>
        <rFont val="WenQuanYi Zen Hei"/>
        <family val="2"/>
      </rPr>
      <t xml:space="preserve">國小文理科（國語、英文、數學、自然、社會）</t>
    </r>
    <r>
      <rPr>
        <sz val="10"/>
        <color rgb="FF1F2A28"/>
        <rFont val="Arial"/>
        <family val="0"/>
        <charset val="1"/>
      </rPr>
      <t xml:space="preserve">A</t>
    </r>
    <r>
      <rPr>
        <sz val="10"/>
        <color rgb="FF1F2A28"/>
        <rFont val="WenQuanYi Zen Hei"/>
        <family val="2"/>
      </rPr>
      <t xml:space="preserve">班、國小文理科（國語、英文、數學、自然、社會）</t>
    </r>
    <r>
      <rPr>
        <sz val="10"/>
        <color rgb="FF1F2A28"/>
        <rFont val="Arial"/>
        <family val="0"/>
        <charset val="1"/>
      </rPr>
      <t xml:space="preserve">B</t>
    </r>
    <r>
      <rPr>
        <sz val="10"/>
        <color rgb="FF1F2A28"/>
        <rFont val="WenQuanYi Zen Hei"/>
        <family val="2"/>
      </rPr>
      <t xml:space="preserve">班、國小文理科（國語、英文、數學、自然、社會）</t>
    </r>
    <r>
      <rPr>
        <sz val="10"/>
        <color rgb="FF1F2A28"/>
        <rFont val="Arial"/>
        <family val="0"/>
        <charset val="1"/>
      </rPr>
      <t xml:space="preserve">C</t>
    </r>
    <r>
      <rPr>
        <sz val="10"/>
        <color rgb="FF1F2A28"/>
        <rFont val="WenQuanYi Zen Hei"/>
        <family val="2"/>
      </rPr>
      <t xml:space="preserve">班</t>
    </r>
  </si>
  <si>
    <t xml:space="preserve">2000-12-12</t>
  </si>
  <si>
    <t xml:space="preserve">魏攸如</t>
  </si>
  <si>
    <t xml:space="preserve">基隆市私立小倫敦文理才藝短期補習班</t>
  </si>
  <si>
    <r>
      <rPr>
        <sz val="10"/>
        <color rgb="FF1F2A28"/>
        <rFont val="WenQuanYi Zen Hei"/>
        <family val="2"/>
      </rPr>
      <t xml:space="preserve">基隆市信義區信二路</t>
    </r>
    <r>
      <rPr>
        <sz val="10"/>
        <color rgb="FF1F2A28"/>
        <rFont val="Arial"/>
        <family val="0"/>
        <charset val="1"/>
      </rPr>
      <t xml:space="preserve">63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樓、基隆市信義區信二路</t>
    </r>
    <r>
      <rPr>
        <sz val="10"/>
        <color rgb="FF1F2A28"/>
        <rFont val="Arial"/>
        <family val="0"/>
        <charset val="1"/>
      </rPr>
      <t xml:space="preserve">65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</si>
  <si>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2425-9480</t>
    </r>
  </si>
  <si>
    <t xml:space="preserve">luckygirl3344@gmail.com</t>
  </si>
  <si>
    <t xml:space="preserve">國小文理科（國語、英語、數學、自然、社會）、國小英語科、國中英語科</t>
  </si>
  <si>
    <t xml:space="preserve">2019-11-12</t>
  </si>
  <si>
    <t xml:space="preserve">沈佳蓉</t>
  </si>
  <si>
    <t xml:space="preserve">基隆市私立小苗圃文理短期補習班</t>
  </si>
  <si>
    <r>
      <rPr>
        <sz val="10"/>
        <color rgb="FF1F2A28"/>
        <rFont val="WenQuanYi Zen Hei"/>
        <family val="2"/>
      </rPr>
      <t xml:space="preserve">基隆市中山區復興路</t>
    </r>
    <r>
      <rPr>
        <sz val="10"/>
        <color rgb="FF1F2A28"/>
        <rFont val="Arial"/>
        <family val="0"/>
        <charset val="1"/>
      </rPr>
      <t xml:space="preserve">259</t>
    </r>
    <r>
      <rPr>
        <sz val="10"/>
        <color rgb="FF1F2A28"/>
        <rFont val="WenQuanYi Zen Hei"/>
        <family val="2"/>
      </rPr>
      <t xml:space="preserve">巷</t>
    </r>
    <r>
      <rPr>
        <sz val="10"/>
        <color rgb="FF1F2A28"/>
        <rFont val="Arial"/>
        <family val="0"/>
        <charset val="1"/>
      </rPr>
      <t xml:space="preserve">30-1</t>
    </r>
    <r>
      <rPr>
        <sz val="10"/>
        <color rgb="FF1F2A28"/>
        <rFont val="WenQuanYi Zen Hei"/>
        <family val="2"/>
      </rPr>
      <t xml:space="preserve">號</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</si>
  <si>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2437-3113</t>
    </r>
  </si>
  <si>
    <t xml:space="preserve">jenny0937909@gmail.com</t>
  </si>
  <si>
    <t xml:space="preserve">國小英文科</t>
  </si>
  <si>
    <t xml:space="preserve">毛婉華</t>
  </si>
  <si>
    <t xml:space="preserve">基隆市私立巨匠電腦語文短期補習班</t>
  </si>
  <si>
    <r>
      <rPr>
        <sz val="10"/>
        <color rgb="FF1F2A28"/>
        <rFont val="WenQuanYi Zen Hei"/>
        <family val="2"/>
      </rPr>
      <t xml:space="preserve">基隆市中正區義一路</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9</t>
    </r>
    <r>
      <rPr>
        <sz val="10"/>
        <color rgb="FF1F2A28"/>
        <rFont val="WenQuanYi Zen Hei"/>
        <family val="2"/>
      </rPr>
      <t xml:space="preserve">樓</t>
    </r>
    <r>
      <rPr>
        <sz val="10"/>
        <color rgb="FF1F2A28"/>
        <rFont val="Arial"/>
        <family val="0"/>
        <charset val="1"/>
      </rPr>
      <t xml:space="preserve">B</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</si>
  <si>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2426-7088</t>
    </r>
  </si>
  <si>
    <t xml:space="preserve">K21_mailbox@pcschool.com.tw</t>
  </si>
  <si>
    <r>
      <rPr>
        <sz val="10"/>
        <color rgb="FF1F2A28"/>
        <rFont val="WenQuanYi Zen Hei"/>
        <family val="2"/>
      </rPr>
      <t xml:space="preserve">兒童美語科、國中美語科、高中美語科、成人美語科</t>
    </r>
    <r>
      <rPr>
        <sz val="10"/>
        <color rgb="FF1F2A28"/>
        <rFont val="Arial"/>
        <family val="0"/>
        <charset val="1"/>
      </rPr>
      <t xml:space="preserve">EA</t>
    </r>
    <r>
      <rPr>
        <sz val="10"/>
        <color rgb="FF1F2A28"/>
        <rFont val="WenQuanYi Zen Hei"/>
        <family val="2"/>
      </rPr>
      <t xml:space="preserve">班、成人美語科</t>
    </r>
    <r>
      <rPr>
        <sz val="10"/>
        <color rgb="FF1F2A28"/>
        <rFont val="Arial"/>
        <family val="0"/>
        <charset val="1"/>
      </rPr>
      <t xml:space="preserve">EB</t>
    </r>
    <r>
      <rPr>
        <sz val="10"/>
        <color rgb="FF1F2A28"/>
        <rFont val="WenQuanYi Zen Hei"/>
        <family val="2"/>
      </rPr>
      <t xml:space="preserve">班</t>
    </r>
  </si>
  <si>
    <t xml:space="preserve">2019-02-26</t>
  </si>
  <si>
    <t xml:space="preserve">廖文宏</t>
  </si>
  <si>
    <t xml:space="preserve">陳圈圈</t>
  </si>
  <si>
    <t xml:space="preserve">基隆市私立捷美文理短期補習班</t>
  </si>
  <si>
    <r>
      <rPr>
        <sz val="10"/>
        <color rgb="FF1F2A28"/>
        <rFont val="WenQuanYi Zen Hei"/>
        <family val="2"/>
      </rPr>
      <t xml:space="preserve">基隆市信義區深溪路</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</si>
  <si>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2466-9308</t>
    </r>
  </si>
  <si>
    <t xml:space="preserve">hs1097@hess.com.tw</t>
  </si>
  <si>
    <r>
      <rPr>
        <sz val="10"/>
        <color rgb="FF1F2A28"/>
        <rFont val="WenQuanYi Zen Hei"/>
        <family val="2"/>
      </rPr>
      <t xml:space="preserve">兒童美語科</t>
    </r>
    <r>
      <rPr>
        <sz val="10"/>
        <color rgb="FF1F2A28"/>
        <rFont val="Arial"/>
        <family val="0"/>
        <charset val="1"/>
      </rPr>
      <t xml:space="preserve">E</t>
    </r>
    <r>
      <rPr>
        <sz val="10"/>
        <color rgb="FF1F2A28"/>
        <rFont val="WenQuanYi Zen Hei"/>
        <family val="2"/>
      </rPr>
      <t xml:space="preserve">班、兒童美語科</t>
    </r>
    <r>
      <rPr>
        <sz val="10"/>
        <color rgb="FF1F2A28"/>
        <rFont val="Arial"/>
        <family val="0"/>
        <charset val="1"/>
      </rPr>
      <t xml:space="preserve">F</t>
    </r>
    <r>
      <rPr>
        <sz val="10"/>
        <color rgb="FF1F2A28"/>
        <rFont val="WenQuanYi Zen Hei"/>
        <family val="2"/>
      </rPr>
      <t xml:space="preserve">班、兒童美語科</t>
    </r>
    <r>
      <rPr>
        <sz val="10"/>
        <color rgb="FF1F2A28"/>
        <rFont val="Arial"/>
        <family val="0"/>
        <charset val="1"/>
      </rPr>
      <t xml:space="preserve">G</t>
    </r>
    <r>
      <rPr>
        <sz val="10"/>
        <color rgb="FF1F2A28"/>
        <rFont val="WenQuanYi Zen Hei"/>
        <family val="2"/>
      </rPr>
      <t xml:space="preserve">班、國中英文科</t>
    </r>
    <r>
      <rPr>
        <sz val="10"/>
        <color rgb="FF1F2A28"/>
        <rFont val="Arial"/>
        <family val="0"/>
        <charset val="1"/>
      </rPr>
      <t xml:space="preserve">B</t>
    </r>
    <r>
      <rPr>
        <sz val="10"/>
        <color rgb="FF1F2A28"/>
        <rFont val="WenQuanYi Zen Hei"/>
        <family val="2"/>
      </rPr>
      <t xml:space="preserve">班、幼兒美語科</t>
    </r>
    <r>
      <rPr>
        <sz val="10"/>
        <color rgb="FF1F2A28"/>
        <rFont val="Arial"/>
        <family val="0"/>
        <charset val="1"/>
      </rPr>
      <t xml:space="preserve">A</t>
    </r>
    <r>
      <rPr>
        <sz val="10"/>
        <color rgb="FF1F2A28"/>
        <rFont val="WenQuanYi Zen Hei"/>
        <family val="2"/>
      </rPr>
      <t xml:space="preserve">班、國中英文科</t>
    </r>
    <r>
      <rPr>
        <sz val="10"/>
        <color rgb="FF1F2A28"/>
        <rFont val="Arial"/>
        <family val="0"/>
        <charset val="1"/>
      </rPr>
      <t xml:space="preserve">A</t>
    </r>
    <r>
      <rPr>
        <sz val="10"/>
        <color rgb="FF1F2A28"/>
        <rFont val="WenQuanYi Zen Hei"/>
        <family val="2"/>
      </rPr>
      <t xml:space="preserve">班、兒童美語科</t>
    </r>
    <r>
      <rPr>
        <sz val="10"/>
        <color rgb="FF1F2A28"/>
        <rFont val="Arial"/>
        <family val="0"/>
        <charset val="1"/>
      </rPr>
      <t xml:space="preserve">A</t>
    </r>
    <r>
      <rPr>
        <sz val="10"/>
        <color rgb="FF1F2A28"/>
        <rFont val="WenQuanYi Zen Hei"/>
        <family val="2"/>
      </rPr>
      <t xml:space="preserve">班、兒童美語科</t>
    </r>
    <r>
      <rPr>
        <sz val="10"/>
        <color rgb="FF1F2A28"/>
        <rFont val="Arial"/>
        <family val="0"/>
        <charset val="1"/>
      </rPr>
      <t xml:space="preserve">D</t>
    </r>
    <r>
      <rPr>
        <sz val="10"/>
        <color rgb="FF1F2A28"/>
        <rFont val="WenQuanYi Zen Hei"/>
        <family val="2"/>
      </rPr>
      <t xml:space="preserve">班、幼兒美語科</t>
    </r>
    <r>
      <rPr>
        <sz val="10"/>
        <color rgb="FF1F2A28"/>
        <rFont val="Arial"/>
        <family val="0"/>
        <charset val="1"/>
      </rPr>
      <t xml:space="preserve">B</t>
    </r>
    <r>
      <rPr>
        <sz val="10"/>
        <color rgb="FF1F2A28"/>
        <rFont val="WenQuanYi Zen Hei"/>
        <family val="2"/>
      </rPr>
      <t xml:space="preserve">班、兒童美語科</t>
    </r>
    <r>
      <rPr>
        <sz val="10"/>
        <color rgb="FF1F2A28"/>
        <rFont val="Arial"/>
        <family val="0"/>
        <charset val="1"/>
      </rPr>
      <t xml:space="preserve">B</t>
    </r>
    <r>
      <rPr>
        <sz val="10"/>
        <color rgb="FF1F2A28"/>
        <rFont val="WenQuanYi Zen Hei"/>
        <family val="2"/>
      </rPr>
      <t xml:space="preserve">班、兒童美語科</t>
    </r>
    <r>
      <rPr>
        <sz val="10"/>
        <color rgb="FF1F2A28"/>
        <rFont val="Arial"/>
        <family val="0"/>
        <charset val="1"/>
      </rPr>
      <t xml:space="preserve">C</t>
    </r>
    <r>
      <rPr>
        <sz val="10"/>
        <color rgb="FF1F2A28"/>
        <rFont val="WenQuanYi Zen Hei"/>
        <family val="2"/>
      </rPr>
      <t xml:space="preserve">班</t>
    </r>
  </si>
  <si>
    <t xml:space="preserve">黃淑齡</t>
  </si>
  <si>
    <t xml:space="preserve">吳毓倫</t>
  </si>
  <si>
    <t xml:space="preserve">基隆市私立文馨卓越語文短期補習班</t>
  </si>
  <si>
    <r>
      <rPr>
        <sz val="10"/>
        <color rgb="FF1F2A28"/>
        <rFont val="WenQuanYi Zen Hei"/>
        <family val="2"/>
      </rPr>
      <t xml:space="preserve">基隆市信義區信一路</t>
    </r>
    <r>
      <rPr>
        <sz val="10"/>
        <color rgb="FF1F2A28"/>
        <rFont val="Arial"/>
        <family val="0"/>
        <charset val="1"/>
      </rPr>
      <t xml:space="preserve">132</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及基隆市信義區信一路</t>
    </r>
    <r>
      <rPr>
        <sz val="10"/>
        <color rgb="FF1F2A28"/>
        <rFont val="Arial"/>
        <family val="0"/>
        <charset val="1"/>
      </rPr>
      <t xml:space="preserve">132</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2</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</si>
  <si>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2425-2902</t>
    </r>
  </si>
  <si>
    <t xml:space="preserve">kidsschool6@gmail.com</t>
  </si>
  <si>
    <r>
      <rPr>
        <sz val="10"/>
        <color rgb="FF1F2A28"/>
        <rFont val="WenQuanYi Zen Hei"/>
        <family val="2"/>
      </rPr>
      <t xml:space="preserve">國小英語科</t>
    </r>
    <r>
      <rPr>
        <sz val="10"/>
        <color rgb="FF1F2A28"/>
        <rFont val="Arial"/>
        <family val="0"/>
        <charset val="1"/>
      </rPr>
      <t xml:space="preserve">E</t>
    </r>
    <r>
      <rPr>
        <sz val="10"/>
        <color rgb="FF1F2A28"/>
        <rFont val="WenQuanYi Zen Hei"/>
        <family val="2"/>
      </rPr>
      <t xml:space="preserve">、</t>
    </r>
    <r>
      <rPr>
        <sz val="10"/>
        <color rgb="FF1F2A28"/>
        <rFont val="Arial"/>
        <family val="0"/>
        <charset val="1"/>
      </rPr>
      <t xml:space="preserve">F</t>
    </r>
    <r>
      <rPr>
        <sz val="10"/>
        <color rgb="FF1F2A28"/>
        <rFont val="WenQuanYi Zen Hei"/>
        <family val="2"/>
      </rPr>
      <t xml:space="preserve">班、國小英語科</t>
    </r>
    <r>
      <rPr>
        <sz val="10"/>
        <color rgb="FF1F2A28"/>
        <rFont val="Arial"/>
        <family val="0"/>
        <charset val="1"/>
      </rPr>
      <t xml:space="preserve">A</t>
    </r>
    <r>
      <rPr>
        <sz val="10"/>
        <color rgb="FF1F2A28"/>
        <rFont val="WenQuanYi Zen Hei"/>
        <family val="2"/>
      </rPr>
      <t xml:space="preserve">、</t>
    </r>
    <r>
      <rPr>
        <sz val="10"/>
        <color rgb="FF1F2A28"/>
        <rFont val="Arial"/>
        <family val="0"/>
        <charset val="1"/>
      </rPr>
      <t xml:space="preserve">B</t>
    </r>
    <r>
      <rPr>
        <sz val="10"/>
        <color rgb="FF1F2A28"/>
        <rFont val="WenQuanYi Zen Hei"/>
        <family val="2"/>
      </rPr>
      <t xml:space="preserve">班、國中英語科</t>
    </r>
    <r>
      <rPr>
        <sz val="10"/>
        <color rgb="FF1F2A28"/>
        <rFont val="Arial"/>
        <family val="0"/>
        <charset val="1"/>
      </rPr>
      <t xml:space="preserve">A</t>
    </r>
    <r>
      <rPr>
        <sz val="10"/>
        <color rgb="FF1F2A28"/>
        <rFont val="WenQuanYi Zen Hei"/>
        <family val="2"/>
      </rPr>
      <t xml:space="preserve">班、國中英語科</t>
    </r>
    <r>
      <rPr>
        <sz val="10"/>
        <color rgb="FF1F2A28"/>
        <rFont val="Arial"/>
        <family val="0"/>
        <charset val="1"/>
      </rPr>
      <t xml:space="preserve">B</t>
    </r>
    <r>
      <rPr>
        <sz val="10"/>
        <color rgb="FF1F2A28"/>
        <rFont val="WenQuanYi Zen Hei"/>
        <family val="2"/>
      </rPr>
      <t xml:space="preserve">班、國小英語科</t>
    </r>
    <r>
      <rPr>
        <sz val="10"/>
        <color rgb="FF1F2A28"/>
        <rFont val="Arial"/>
        <family val="0"/>
        <charset val="1"/>
      </rPr>
      <t xml:space="preserve">C</t>
    </r>
    <r>
      <rPr>
        <sz val="10"/>
        <color rgb="FF1F2A28"/>
        <rFont val="WenQuanYi Zen Hei"/>
        <family val="2"/>
      </rPr>
      <t xml:space="preserve">、</t>
    </r>
    <r>
      <rPr>
        <sz val="10"/>
        <color rgb="FF1F2A28"/>
        <rFont val="Arial"/>
        <family val="0"/>
        <charset val="1"/>
      </rPr>
      <t xml:space="preserve">D</t>
    </r>
    <r>
      <rPr>
        <sz val="10"/>
        <color rgb="FF1F2A28"/>
        <rFont val="WenQuanYi Zen Hei"/>
        <family val="2"/>
      </rPr>
      <t xml:space="preserve">班</t>
    </r>
  </si>
  <si>
    <t xml:space="preserve">王雅怡</t>
  </si>
  <si>
    <t xml:space="preserve">基隆市私立明馨語文短期補習班</t>
  </si>
  <si>
    <r>
      <rPr>
        <sz val="10"/>
        <color rgb="FF1F2A28"/>
        <rFont val="WenQuanYi Zen Hei"/>
        <family val="2"/>
      </rPr>
      <t xml:space="preserve">基隆市信義區信一路</t>
    </r>
    <r>
      <rPr>
        <sz val="10"/>
        <color rgb="FF1F2A28"/>
        <rFont val="Arial"/>
        <family val="0"/>
        <charset val="1"/>
      </rPr>
      <t xml:space="preserve">133-6</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</si>
  <si>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2422-1778</t>
    </r>
  </si>
  <si>
    <t xml:space="preserve">chiapingwu@hotmail.com</t>
  </si>
  <si>
    <t xml:space="preserve">2008-12-04</t>
  </si>
  <si>
    <t xml:space="preserve">吳嘉蘋</t>
  </si>
  <si>
    <t xml:space="preserve">基隆市私立格藍英語文理短期補習班</t>
  </si>
  <si>
    <r>
      <rPr>
        <sz val="10"/>
        <color rgb="FF1F2A28"/>
        <rFont val="WenQuanYi Zen Hei"/>
        <family val="2"/>
      </rPr>
      <t xml:space="preserve">基隆市信義區信一路</t>
    </r>
    <r>
      <rPr>
        <sz val="10"/>
        <color rgb="FF1F2A28"/>
        <rFont val="Arial"/>
        <family val="0"/>
        <charset val="1"/>
      </rPr>
      <t xml:space="preserve">133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</si>
  <si>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2424-4000</t>
    </r>
  </si>
  <si>
    <t xml:space="preserve">kl@gram.com.tw</t>
  </si>
  <si>
    <r>
      <rPr>
        <sz val="10"/>
        <color rgb="FF1F2A28"/>
        <rFont val="WenQuanYi Zen Hei"/>
        <family val="2"/>
      </rPr>
      <t xml:space="preserve">國小英文科</t>
    </r>
    <r>
      <rPr>
        <sz val="10"/>
        <color rgb="FF1F2A28"/>
        <rFont val="Arial"/>
        <family val="0"/>
        <charset val="1"/>
      </rPr>
      <t xml:space="preserve">F</t>
    </r>
    <r>
      <rPr>
        <sz val="10"/>
        <color rgb="FF1F2A28"/>
        <rFont val="WenQuanYi Zen Hei"/>
        <family val="2"/>
      </rPr>
      <t xml:space="preserve">班、國小文理科（國語、英語、數學、社會、自然）</t>
    </r>
    <r>
      <rPr>
        <sz val="10"/>
        <color rgb="FF1F2A28"/>
        <rFont val="Arial"/>
        <family val="0"/>
        <charset val="1"/>
      </rPr>
      <t xml:space="preserve">B</t>
    </r>
    <r>
      <rPr>
        <sz val="10"/>
        <color rgb="FF1F2A28"/>
        <rFont val="WenQuanYi Zen Hei"/>
        <family val="2"/>
      </rPr>
      <t xml:space="preserve">班、國小英文科</t>
    </r>
    <r>
      <rPr>
        <sz val="10"/>
        <color rgb="FF1F2A28"/>
        <rFont val="Arial"/>
        <family val="0"/>
        <charset val="1"/>
      </rPr>
      <t xml:space="preserve">D</t>
    </r>
    <r>
      <rPr>
        <sz val="10"/>
        <color rgb="FF1F2A28"/>
        <rFont val="WenQuanYi Zen Hei"/>
        <family val="2"/>
      </rPr>
      <t xml:space="preserve">班、國中英文科、國小英文科</t>
    </r>
    <r>
      <rPr>
        <sz val="10"/>
        <color rgb="FF1F2A28"/>
        <rFont val="Arial"/>
        <family val="0"/>
        <charset val="1"/>
      </rPr>
      <t xml:space="preserve">E</t>
    </r>
    <r>
      <rPr>
        <sz val="10"/>
        <color rgb="FF1F2A28"/>
        <rFont val="WenQuanYi Zen Hei"/>
        <family val="2"/>
      </rPr>
      <t xml:space="preserve">班、國小英文科</t>
    </r>
    <r>
      <rPr>
        <sz val="10"/>
        <color rgb="FF1F2A28"/>
        <rFont val="Arial"/>
        <family val="0"/>
        <charset val="1"/>
      </rPr>
      <t xml:space="preserve">C</t>
    </r>
    <r>
      <rPr>
        <sz val="10"/>
        <color rgb="FF1F2A28"/>
        <rFont val="WenQuanYi Zen Hei"/>
        <family val="2"/>
      </rPr>
      <t xml:space="preserve">班</t>
    </r>
  </si>
  <si>
    <t xml:space="preserve">2014-10-01</t>
  </si>
  <si>
    <t xml:space="preserve">盧宜芳</t>
  </si>
  <si>
    <t xml:space="preserve">基隆市私立潘氏英日語短期補習班</t>
  </si>
  <si>
    <r>
      <rPr>
        <sz val="10"/>
        <color rgb="FF1F2A28"/>
        <rFont val="WenQuanYi Zen Hei"/>
        <family val="2"/>
      </rPr>
      <t xml:space="preserve">基隆市仁愛區仁一路</t>
    </r>
    <r>
      <rPr>
        <sz val="10"/>
        <color rgb="FF1F2A28"/>
        <rFont val="Arial"/>
        <family val="0"/>
        <charset val="1"/>
      </rPr>
      <t xml:space="preserve">295</t>
    </r>
    <r>
      <rPr>
        <sz val="10"/>
        <color rgb="FF1F2A28"/>
        <rFont val="WenQuanYi Zen Hei"/>
        <family val="2"/>
      </rPr>
      <t xml:space="preserve">之</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</si>
  <si>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2426-6555</t>
    </r>
  </si>
  <si>
    <t xml:space="preserve">pianovember21@gmail.com</t>
  </si>
  <si>
    <t xml:space="preserve">1987-07-14</t>
  </si>
  <si>
    <t xml:space="preserve">潘約翰</t>
  </si>
  <si>
    <t xml:space="preserve">基隆市私立班恩邦尼美語短期補習班</t>
  </si>
  <si>
    <r>
      <rPr>
        <sz val="10"/>
        <color rgb="FF1F2A28"/>
        <rFont val="WenQuanYi Zen Hei"/>
        <family val="2"/>
      </rPr>
      <t xml:space="preserve">基隆市暖暖區暖暖街</t>
    </r>
    <r>
      <rPr>
        <sz val="10"/>
        <color rgb="FF1F2A28"/>
        <rFont val="Arial"/>
        <family val="0"/>
        <charset val="1"/>
      </rPr>
      <t xml:space="preserve">379</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</si>
  <si>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2458-5582</t>
    </r>
  </si>
  <si>
    <t xml:space="preserve">claireclaire322@gmail.com</t>
  </si>
  <si>
    <t xml:space="preserve">2007-08-22</t>
  </si>
  <si>
    <t xml:space="preserve">王淑倩</t>
  </si>
  <si>
    <t xml:space="preserve">基隆市私立興學文理短期補習班</t>
  </si>
  <si>
    <r>
      <rPr>
        <sz val="10"/>
        <color rgb="FF1F2A28"/>
        <rFont val="WenQuanYi Zen Hei"/>
        <family val="2"/>
      </rPr>
      <t xml:space="preserve">基隆市仁愛區仁一路</t>
    </r>
    <r>
      <rPr>
        <sz val="10"/>
        <color rgb="FF1F2A28"/>
        <rFont val="Arial"/>
        <family val="0"/>
        <charset val="1"/>
      </rPr>
      <t xml:space="preserve">299</t>
    </r>
    <r>
      <rPr>
        <sz val="10"/>
        <color rgb="FF1F2A28"/>
        <rFont val="WenQuanYi Zen Hei"/>
        <family val="2"/>
      </rPr>
      <t xml:space="preserve">號</t>
    </r>
    <r>
      <rPr>
        <sz val="10"/>
        <color rgb="FF1F2A28"/>
        <rFont val="Arial"/>
        <family val="0"/>
        <charset val="1"/>
      </rPr>
      <t xml:space="preserve">4-5</t>
    </r>
    <r>
      <rPr>
        <sz val="10"/>
        <color rgb="FF1F2A28"/>
        <rFont val="WenQuanYi Zen Hei"/>
        <family val="2"/>
      </rPr>
      <t xml:space="preserve">樓</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</si>
  <si>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2428-3007</t>
    </r>
  </si>
  <si>
    <t xml:space="preserve">hs2220@hess.com.tw</t>
  </si>
  <si>
    <r>
      <rPr>
        <sz val="10"/>
        <color rgb="FF1F2A28"/>
        <rFont val="WenQuanYi Zen Hei"/>
        <family val="2"/>
      </rPr>
      <t xml:space="preserve">兒童美語科</t>
    </r>
    <r>
      <rPr>
        <sz val="10"/>
        <color rgb="FF1F2A28"/>
        <rFont val="Arial"/>
        <family val="0"/>
        <charset val="1"/>
      </rPr>
      <t xml:space="preserve">C</t>
    </r>
    <r>
      <rPr>
        <sz val="10"/>
        <color rgb="FF1F2A28"/>
        <rFont val="WenQuanYi Zen Hei"/>
        <family val="2"/>
      </rPr>
      <t xml:space="preserve">班、兒童美語科</t>
    </r>
    <r>
      <rPr>
        <sz val="10"/>
        <color rgb="FF1F2A28"/>
        <rFont val="Arial"/>
        <family val="0"/>
        <charset val="1"/>
      </rPr>
      <t xml:space="preserve">A</t>
    </r>
    <r>
      <rPr>
        <sz val="10"/>
        <color rgb="FF1F2A28"/>
        <rFont val="WenQuanYi Zen Hei"/>
        <family val="2"/>
      </rPr>
      <t xml:space="preserve">班、兒童美語科</t>
    </r>
    <r>
      <rPr>
        <sz val="10"/>
        <color rgb="FF1F2A28"/>
        <rFont val="Arial"/>
        <family val="0"/>
        <charset val="1"/>
      </rPr>
      <t xml:space="preserve">B</t>
    </r>
    <r>
      <rPr>
        <sz val="10"/>
        <color rgb="FF1F2A28"/>
        <rFont val="WenQuanYi Zen Hei"/>
        <family val="2"/>
      </rPr>
      <t xml:space="preserve">班、幼兒美語科、國中英文科</t>
    </r>
  </si>
  <si>
    <t xml:space="preserve">2017-03-22</t>
  </si>
  <si>
    <t xml:space="preserve">徐孝芬</t>
  </si>
  <si>
    <t xml:space="preserve">陳俐娟</t>
  </si>
  <si>
    <t xml:space="preserve">基隆市私立英悅文理短期補習班</t>
  </si>
  <si>
    <r>
      <rPr>
        <sz val="10"/>
        <color rgb="FF1F2A28"/>
        <rFont val="WenQuanYi Zen Hei"/>
        <family val="2"/>
      </rPr>
      <t xml:space="preserve">基隆市仁愛區愛六路</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</si>
  <si>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2428-7733</t>
    </r>
  </si>
  <si>
    <t xml:space="preserve">contact@lin8.com</t>
  </si>
  <si>
    <t xml:space="preserve">國中美語、幼兒美語、成人美語、兒童美語</t>
  </si>
  <si>
    <t xml:space="preserve">2018-11-15</t>
  </si>
  <si>
    <t xml:space="preserve">林世祥</t>
  </si>
  <si>
    <t xml:space="preserve">基隆市私立華盛頓語文短期補習班</t>
  </si>
  <si>
    <r>
      <rPr>
        <sz val="10"/>
        <color rgb="FF1F2A28"/>
        <rFont val="WenQuanYi Zen Hei"/>
        <family val="2"/>
      </rPr>
      <t xml:space="preserve">基隆市信義區信一路</t>
    </r>
    <r>
      <rPr>
        <sz val="10"/>
        <color rgb="FF1F2A28"/>
        <rFont val="Arial"/>
        <family val="0"/>
        <charset val="1"/>
      </rPr>
      <t xml:space="preserve">133-2</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樓、基隆市信義區信一路</t>
    </r>
    <r>
      <rPr>
        <sz val="10"/>
        <color rgb="FF1F2A28"/>
        <rFont val="Arial"/>
        <family val="0"/>
        <charset val="1"/>
      </rPr>
      <t xml:space="preserve">133-3</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</si>
  <si>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2426-2893</t>
    </r>
  </si>
  <si>
    <t xml:space="preserve">shaneenglishkl@gmail.com</t>
  </si>
  <si>
    <t xml:space="preserve">郭慧中</t>
  </si>
  <si>
    <t xml:space="preserve">基隆市私立蕾頓文理短期補習班</t>
  </si>
  <si>
    <r>
      <rPr>
        <sz val="10"/>
        <color rgb="FF1F2A28"/>
        <rFont val="WenQuanYi Zen Hei"/>
        <family val="2"/>
      </rPr>
      <t xml:space="preserve">基隆市中山區中和路</t>
    </r>
    <r>
      <rPr>
        <sz val="10"/>
        <color rgb="FF1F2A28"/>
        <rFont val="Arial"/>
        <family val="0"/>
        <charset val="1"/>
      </rPr>
      <t xml:space="preserve">85</t>
    </r>
    <r>
      <rPr>
        <sz val="10"/>
        <color rgb="FF1F2A28"/>
        <rFont val="WenQuanYi Zen Hei"/>
        <family val="2"/>
      </rPr>
      <t xml:space="preserve">巷</t>
    </r>
    <r>
      <rPr>
        <sz val="10"/>
        <color rgb="FF1F2A28"/>
        <rFont val="Arial"/>
        <family val="0"/>
        <charset val="1"/>
      </rPr>
      <t xml:space="preserve">9</t>
    </r>
    <r>
      <rPr>
        <sz val="10"/>
        <color rgb="FF1F2A28"/>
        <rFont val="WenQuanYi Zen Hei"/>
        <family val="2"/>
      </rPr>
      <t xml:space="preserve">號</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</si>
  <si>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2437-9215</t>
    </r>
  </si>
  <si>
    <t xml:space="preserve">debra141717@yahoo.com.tw</t>
  </si>
  <si>
    <r>
      <rPr>
        <sz val="10"/>
        <color rgb="FF1F2A28"/>
        <rFont val="WenQuanYi Zen Hei"/>
        <family val="2"/>
      </rPr>
      <t xml:space="preserve">國小英語科</t>
    </r>
    <r>
      <rPr>
        <sz val="10"/>
        <color rgb="FF1F2A28"/>
        <rFont val="Arial"/>
        <family val="0"/>
        <charset val="1"/>
      </rPr>
      <t xml:space="preserve">E2</t>
    </r>
    <r>
      <rPr>
        <sz val="10"/>
        <color rgb="FF1F2A28"/>
        <rFont val="WenQuanYi Zen Hei"/>
        <family val="2"/>
      </rPr>
      <t xml:space="preserve">班、國小英語科</t>
    </r>
    <r>
      <rPr>
        <sz val="10"/>
        <color rgb="FF1F2A28"/>
        <rFont val="Arial"/>
        <family val="0"/>
        <charset val="1"/>
      </rPr>
      <t xml:space="preserve">E1</t>
    </r>
    <r>
      <rPr>
        <sz val="10"/>
        <color rgb="FF1F2A28"/>
        <rFont val="WenQuanYi Zen Hei"/>
        <family val="2"/>
      </rPr>
      <t xml:space="preserve">班</t>
    </r>
  </si>
  <si>
    <t xml:space="preserve">朱宇璇</t>
  </si>
  <si>
    <t xml:space="preserve">謝靜怡</t>
  </si>
  <si>
    <t xml:space="preserve">基隆市私立頂尖語文短期補習班</t>
  </si>
  <si>
    <r>
      <rPr>
        <sz val="10"/>
        <color rgb="FF1F2A28"/>
        <rFont val="WenQuanYi Zen Hei"/>
        <family val="2"/>
      </rPr>
      <t xml:space="preserve">基隆市仁愛區仁二路</t>
    </r>
    <r>
      <rPr>
        <sz val="10"/>
        <color rgb="FF1F2A28"/>
        <rFont val="Arial"/>
        <family val="0"/>
        <charset val="1"/>
      </rPr>
      <t xml:space="preserve">198</t>
    </r>
    <r>
      <rPr>
        <sz val="10"/>
        <color rgb="FF1F2A28"/>
        <rFont val="WenQuanYi Zen Hei"/>
        <family val="2"/>
      </rPr>
      <t xml:space="preserve">號</t>
    </r>
    <r>
      <rPr>
        <sz val="10"/>
        <color rgb="FF1F2A28"/>
        <rFont val="Arial"/>
        <family val="0"/>
        <charset val="1"/>
      </rPr>
      <t xml:space="preserve">3-4</t>
    </r>
    <r>
      <rPr>
        <sz val="10"/>
        <color rgb="FF1F2A28"/>
        <rFont val="WenQuanYi Zen Hei"/>
        <family val="2"/>
      </rPr>
      <t xml:space="preserve">樓</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</si>
  <si>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2429-4759</t>
    </r>
  </si>
  <si>
    <t xml:space="preserve">keelung.mpmmath@gmail.com</t>
  </si>
  <si>
    <t xml:space="preserve">文理科（國文、英文、數學、理化）</t>
  </si>
  <si>
    <t xml:space="preserve">1998-09-29</t>
  </si>
  <si>
    <t xml:space="preserve">羅盈麗</t>
  </si>
  <si>
    <t xml:space="preserve">黃詩蘋</t>
  </si>
  <si>
    <t xml:space="preserve">基隆市私立魯曼英文短期補習班</t>
  </si>
  <si>
    <r>
      <rPr>
        <sz val="10"/>
        <color rgb="FF1F2A28"/>
        <rFont val="WenQuanYi Zen Hei"/>
        <family val="2"/>
      </rPr>
      <t xml:space="preserve">基隆市仁愛區孝二路</t>
    </r>
    <r>
      <rPr>
        <sz val="10"/>
        <color rgb="FF1F2A28"/>
        <rFont val="Arial"/>
        <family val="0"/>
        <charset val="1"/>
      </rPr>
      <t xml:space="preserve">96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</si>
  <si>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2422-1000</t>
    </r>
  </si>
  <si>
    <t xml:space="preserve">smallmago@yahoo.com.tw</t>
  </si>
  <si>
    <t xml:space="preserve">吳若平</t>
  </si>
  <si>
    <t xml:space="preserve">基隆市私立黃老師文理短期補習班</t>
  </si>
  <si>
    <r>
      <rPr>
        <sz val="10"/>
        <color rgb="FF1F2A28"/>
        <rFont val="WenQuanYi Zen Hei"/>
        <family val="2"/>
      </rPr>
      <t xml:space="preserve">基隆市七堵區福一街</t>
    </r>
    <r>
      <rPr>
        <sz val="10"/>
        <color rgb="FF1F2A28"/>
        <rFont val="Arial"/>
        <family val="0"/>
        <charset val="1"/>
      </rPr>
      <t xml:space="preserve">51</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樓、基隆市七堵區福一街</t>
    </r>
    <r>
      <rPr>
        <sz val="10"/>
        <color rgb="FF1F2A28"/>
        <rFont val="Arial"/>
        <family val="0"/>
        <charset val="1"/>
      </rPr>
      <t xml:space="preserve">51</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</si>
  <si>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2452-7065</t>
    </r>
  </si>
  <si>
    <t xml:space="preserve">rene7065@gmail.com</t>
  </si>
  <si>
    <r>
      <rPr>
        <sz val="10"/>
        <color rgb="FF1F2A28"/>
        <rFont val="WenQuanYi Zen Hei"/>
        <family val="2"/>
      </rPr>
      <t xml:space="preserve">國小文理科（國語、數學、社會、自然、英文）</t>
    </r>
    <r>
      <rPr>
        <sz val="10"/>
        <color rgb="FF1F2A28"/>
        <rFont val="Arial"/>
        <family val="0"/>
        <charset val="1"/>
      </rPr>
      <t xml:space="preserve">C</t>
    </r>
    <r>
      <rPr>
        <sz val="10"/>
        <color rgb="FF1F2A28"/>
        <rFont val="WenQuanYi Zen Hei"/>
        <family val="2"/>
      </rPr>
      <t xml:space="preserve">班、國小文理科（國語、數學、社會、自然、英文）</t>
    </r>
    <r>
      <rPr>
        <sz val="10"/>
        <color rgb="FF1F2A28"/>
        <rFont val="Arial"/>
        <family val="0"/>
        <charset val="1"/>
      </rPr>
      <t xml:space="preserve">D</t>
    </r>
    <r>
      <rPr>
        <sz val="10"/>
        <color rgb="FF1F2A28"/>
        <rFont val="WenQuanYi Zen Hei"/>
        <family val="2"/>
      </rPr>
      <t xml:space="preserve">班、國小文理科（國語、數學、生活、英文）</t>
    </r>
    <r>
      <rPr>
        <sz val="10"/>
        <color rgb="FF1F2A28"/>
        <rFont val="Arial"/>
        <family val="0"/>
        <charset val="1"/>
      </rPr>
      <t xml:space="preserve">A</t>
    </r>
    <r>
      <rPr>
        <sz val="10"/>
        <color rgb="FF1F2A28"/>
        <rFont val="WenQuanYi Zen Hei"/>
        <family val="2"/>
      </rPr>
      <t xml:space="preserve">班、國小文理科（國語、數學、社會、自然、英文）</t>
    </r>
    <r>
      <rPr>
        <sz val="10"/>
        <color rgb="FF1F2A28"/>
        <rFont val="Arial"/>
        <family val="0"/>
        <charset val="1"/>
      </rPr>
      <t xml:space="preserve">B</t>
    </r>
    <r>
      <rPr>
        <sz val="10"/>
        <color rgb="FF1F2A28"/>
        <rFont val="WenQuanYi Zen Hei"/>
        <family val="2"/>
      </rPr>
      <t xml:space="preserve">班</t>
    </r>
  </si>
  <si>
    <t xml:space="preserve">黃卉涵</t>
  </si>
  <si>
    <t xml:space="preserve">楊卉婕</t>
  </si>
  <si>
    <t xml:space="preserve">岑英文教有限公司附設基隆市私立岑英文理短期補習班</t>
  </si>
  <si>
    <r>
      <rPr>
        <sz val="10"/>
        <color rgb="FF1F2A28"/>
        <rFont val="WenQuanYi Zen Hei"/>
        <family val="2"/>
      </rPr>
      <t xml:space="preserve">基隆市信義區信一路</t>
    </r>
    <r>
      <rPr>
        <sz val="10"/>
        <color rgb="FF1F2A28"/>
        <rFont val="Arial"/>
        <family val="0"/>
        <charset val="1"/>
      </rPr>
      <t xml:space="preserve">132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 基隆市信義區信一路</t>
    </r>
    <r>
      <rPr>
        <sz val="10"/>
        <color rgb="FF1F2A28"/>
        <rFont val="Arial"/>
        <family val="0"/>
        <charset val="1"/>
      </rPr>
      <t xml:space="preserve">132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2</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</si>
  <si>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2421-3545</t>
    </r>
  </si>
  <si>
    <t xml:space="preserve">cechou6410@gmail.com</t>
  </si>
  <si>
    <r>
      <rPr>
        <sz val="10"/>
        <color rgb="FF1F2A28"/>
        <rFont val="WenQuanYi Zen Hei"/>
        <family val="2"/>
      </rPr>
      <t xml:space="preserve">國中英文科、國小文理科</t>
    </r>
    <r>
      <rPr>
        <sz val="10"/>
        <color rgb="FF1F2A28"/>
        <rFont val="Arial"/>
        <family val="0"/>
        <charset val="1"/>
      </rPr>
      <t xml:space="preserve">(</t>
    </r>
    <r>
      <rPr>
        <sz val="10"/>
        <color rgb="FF1F2A28"/>
        <rFont val="WenQuanYi Zen Hei"/>
        <family val="2"/>
      </rPr>
      <t xml:space="preserve">國語、英語、數 學、社會、自然</t>
    </r>
    <r>
      <rPr>
        <sz val="10"/>
        <color rgb="FF1F2A28"/>
        <rFont val="Arial"/>
        <family val="0"/>
        <charset val="1"/>
      </rPr>
      <t xml:space="preserve">)A</t>
    </r>
    <r>
      <rPr>
        <sz val="10"/>
        <color rgb="FF1F2A28"/>
        <rFont val="WenQuanYi Zen Hei"/>
        <family val="2"/>
      </rPr>
      <t xml:space="preserve">班、國國小文理科</t>
    </r>
    <r>
      <rPr>
        <sz val="10"/>
        <color rgb="FF1F2A28"/>
        <rFont val="Arial"/>
        <family val="0"/>
        <charset val="1"/>
      </rPr>
      <t xml:space="preserve">(</t>
    </r>
    <r>
      <rPr>
        <sz val="10"/>
        <color rgb="FF1F2A28"/>
        <rFont val="WenQuanYi Zen Hei"/>
        <family val="2"/>
      </rPr>
      <t xml:space="preserve">國語、英語、數 學、社會、自然</t>
    </r>
    <r>
      <rPr>
        <sz val="10"/>
        <color rgb="FF1F2A28"/>
        <rFont val="Arial"/>
        <family val="0"/>
        <charset val="1"/>
      </rPr>
      <t xml:space="preserve">)B</t>
    </r>
    <r>
      <rPr>
        <sz val="10"/>
        <color rgb="FF1F2A28"/>
        <rFont val="WenQuanYi Zen Hei"/>
        <family val="2"/>
      </rPr>
      <t xml:space="preserve">班</t>
    </r>
  </si>
  <si>
    <t xml:space="preserve">2002-05-20</t>
  </si>
  <si>
    <t xml:space="preserve">周思音</t>
  </si>
  <si>
    <t xml:space="preserve">社團法人中國青年救國團附設基隆市私立語文技藝短期補習班</t>
  </si>
  <si>
    <r>
      <rPr>
        <sz val="10"/>
        <color rgb="FF1F2A28"/>
        <rFont val="WenQuanYi Zen Hei"/>
        <family val="2"/>
      </rPr>
      <t xml:space="preserve">基隆市仁愛區成功一路</t>
    </r>
    <r>
      <rPr>
        <sz val="10"/>
        <color rgb="FF1F2A28"/>
        <rFont val="Arial"/>
        <family val="0"/>
        <charset val="1"/>
      </rPr>
      <t xml:space="preserve">133</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號、基隆市仁愛區成功一路</t>
    </r>
    <r>
      <rPr>
        <sz val="10"/>
        <color rgb="FF1F2A28"/>
        <rFont val="Arial"/>
        <family val="0"/>
        <charset val="1"/>
      </rPr>
      <t xml:space="preserve">133</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</si>
  <si>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2433-8174</t>
    </r>
  </si>
  <si>
    <t xml:space="preserve">cyc24338146@cyc.tw</t>
  </si>
  <si>
    <t xml:space="preserve">英文科</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</si>
  <si>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瑜珈類</t>
    </r>
  </si>
  <si>
    <t xml:space="preserve">1997-03-20</t>
  </si>
  <si>
    <t xml:space="preserve">陳建成</t>
  </si>
  <si>
    <t xml:space="preserve">白丞佑</t>
  </si>
  <si>
    <t xml:space="preserve">社團法人中國青年救國團附設基隆市私立銘傳語文技藝短期補習班</t>
  </si>
  <si>
    <r>
      <rPr>
        <sz val="10"/>
        <color rgb="FF1F2A28"/>
        <rFont val="WenQuanYi Zen Hei"/>
        <family val="2"/>
      </rPr>
      <t xml:space="preserve">基隆市仁愛區劉銘傳路</t>
    </r>
    <r>
      <rPr>
        <sz val="10"/>
        <color rgb="FF1F2A28"/>
        <rFont val="Arial"/>
        <family val="0"/>
        <charset val="1"/>
      </rPr>
      <t xml:space="preserve">1</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</si>
  <si>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r>
      <rPr>
        <sz val="10"/>
        <color rgb="FF1F2A28"/>
        <rFont val="WenQuanYi Zen Hei"/>
        <family val="2"/>
      </rPr>
      <t xml:space="preserve">（</t>
    </r>
    <r>
      <rPr>
        <sz val="10"/>
        <color rgb="FF1F2A28"/>
        <rFont val="Arial"/>
        <family val="0"/>
        <charset val="1"/>
      </rPr>
      <t xml:space="preserve">02</t>
    </r>
    <r>
      <rPr>
        <sz val="10"/>
        <color rgb="FF1F2A28"/>
        <rFont val="WenQuanYi Zen Hei"/>
        <family val="2"/>
      </rPr>
      <t xml:space="preserve">）</t>
    </r>
    <r>
      <rPr>
        <sz val="10"/>
        <color rgb="FF1F2A28"/>
        <rFont val="Arial"/>
        <family val="0"/>
        <charset val="1"/>
      </rPr>
      <t xml:space="preserve">2428-9211</t>
    </r>
  </si>
  <si>
    <t xml:space="preserve">cyc24289211@cyc.tw</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</si>
  <si>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縫紉類</t>
    </r>
    <r>
      <rPr>
        <sz val="10"/>
        <color rgb="FF1F2A28"/>
        <rFont val="Arial"/>
        <family val="0"/>
        <charset val="1"/>
      </rPr>
      <t xml:space="preserve">,</t>
    </r>
    <r>
      <rPr>
        <sz val="10"/>
        <color rgb="FF1F2A28"/>
        <rFont val="WenQuanYi Zen Hei"/>
        <family val="2"/>
      </rPr>
      <t xml:space="preserve">美容、美髮理髮類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瑜珈類</t>
    </r>
  </si>
  <si>
    <t xml:space="preserve">2020-08-10</t>
  </si>
  <si>
    <t xml:space="preserve">許祈祥</t>
  </si>
  <si>
    <t xml:space="preserve">新竹市</t>
  </si>
  <si>
    <t xml:space="preserve">弋果文化事業股份有限公司附設新竹市私立弋果香山文理技藝短期補習班</t>
  </si>
  <si>
    <r>
      <rPr>
        <sz val="10"/>
        <color rgb="FF1F2A28"/>
        <rFont val="WenQuanYi Zen Hei"/>
        <family val="2"/>
      </rPr>
      <t xml:space="preserve">新竹市香山區東華路</t>
    </r>
    <r>
      <rPr>
        <sz val="10"/>
        <color rgb="FF1F2A28"/>
        <rFont val="Arial"/>
        <family val="0"/>
        <charset val="1"/>
      </rPr>
      <t xml:space="preserve">67</t>
    </r>
    <r>
      <rPr>
        <sz val="10"/>
        <color rgb="FF1F2A28"/>
        <rFont val="WenQuanYi Zen Hei"/>
        <family val="2"/>
      </rPr>
      <t xml:space="preserve">號</t>
    </r>
  </si>
  <si>
    <t xml:space="preserve">(03)5380108</t>
  </si>
  <si>
    <t xml:space="preserve">molly.peng@eagletw.com</t>
  </si>
  <si>
    <t xml:space="preserve">2024-12-16</t>
  </si>
  <si>
    <r>
      <rPr>
        <sz val="10"/>
        <color rgb="FF1F2A28"/>
        <rFont val="WenQuanYi Zen Hei"/>
        <family val="2"/>
      </rPr>
      <t xml:space="preserve">弋果文化事業股份有限公司</t>
    </r>
    <r>
      <rPr>
        <sz val="10"/>
        <color rgb="FF1F2A28"/>
        <rFont val="Arial"/>
        <family val="0"/>
        <charset val="1"/>
      </rPr>
      <t xml:space="preserve">(</t>
    </r>
    <r>
      <rPr>
        <sz val="10"/>
        <color rgb="FF1F2A28"/>
        <rFont val="WenQuanYi Zen Hei"/>
        <family val="2"/>
      </rPr>
      <t xml:space="preserve">負責人：曹明驥</t>
    </r>
    <r>
      <rPr>
        <sz val="10"/>
        <color rgb="FF1F2A28"/>
        <rFont val="Arial"/>
        <family val="0"/>
        <charset val="1"/>
      </rPr>
      <t xml:space="preserve">)</t>
    </r>
  </si>
  <si>
    <t xml:space="preserve">曾惠筠</t>
  </si>
  <si>
    <t xml:space="preserve">新竹市私立傑尼爾短期補習班</t>
  </si>
  <si>
    <r>
      <rPr>
        <sz val="10"/>
        <color rgb="FF1F2A28"/>
        <rFont val="WenQuanYi Zen Hei"/>
        <family val="2"/>
      </rPr>
      <t xml:space="preserve">新竹市香山區香北路</t>
    </r>
    <r>
      <rPr>
        <sz val="10"/>
        <color rgb="FF1F2A28"/>
        <rFont val="Arial"/>
        <family val="0"/>
        <charset val="1"/>
      </rPr>
      <t xml:space="preserve">250</t>
    </r>
    <r>
      <rPr>
        <sz val="10"/>
        <color rgb="FF1F2A28"/>
        <rFont val="WenQuanYi Zen Hei"/>
        <family val="2"/>
      </rPr>
      <t xml:space="preserve">號</t>
    </r>
  </si>
  <si>
    <t xml:space="preserve">(03)5304499</t>
  </si>
  <si>
    <t xml:space="preserve">f5300199@yahoo.com.tw</t>
  </si>
  <si>
    <t xml:space="preserve">1997-10-07</t>
  </si>
  <si>
    <t xml:space="preserve">王勝樑</t>
  </si>
  <si>
    <t xml:space="preserve">王勝弘</t>
  </si>
  <si>
    <t xml:space="preserve">新竹市私立學品文理短期補習班</t>
  </si>
  <si>
    <r>
      <rPr>
        <sz val="10"/>
        <color rgb="FF1F2A28"/>
        <rFont val="WenQuanYi Zen Hei"/>
        <family val="2"/>
      </rPr>
      <t xml:space="preserve">新竹市香山區頂埔路</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3</t>
    </r>
    <r>
      <rPr>
        <sz val="10"/>
        <color rgb="FF1F2A28"/>
        <rFont val="WenQuanYi Zen Hei"/>
        <family val="2"/>
      </rPr>
      <t xml:space="preserve">樓</t>
    </r>
  </si>
  <si>
    <t xml:space="preserve">(03)5302330</t>
  </si>
  <si>
    <t xml:space="preserve">chihjen6408@gmail.com</t>
  </si>
  <si>
    <t xml:space="preserve">2011-02-18</t>
  </si>
  <si>
    <t xml:space="preserve">林志仁</t>
  </si>
  <si>
    <t xml:space="preserve">林恬</t>
  </si>
  <si>
    <t xml:space="preserve">新竹市私立師大美語短期補習班</t>
  </si>
  <si>
    <r>
      <rPr>
        <sz val="10"/>
        <color rgb="FF1F2A28"/>
        <rFont val="WenQuanYi Zen Hei"/>
        <family val="2"/>
      </rPr>
      <t xml:space="preserve">新竹市香山區牛埔東路</t>
    </r>
    <r>
      <rPr>
        <sz val="10"/>
        <color rgb="FF1F2A28"/>
        <rFont val="Arial"/>
        <family val="0"/>
        <charset val="1"/>
      </rPr>
      <t xml:space="preserve">275</t>
    </r>
    <r>
      <rPr>
        <sz val="10"/>
        <color rgb="FF1F2A28"/>
        <rFont val="WenQuanYi Zen Hei"/>
        <family val="2"/>
      </rPr>
      <t xml:space="preserve">巷</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</si>
  <si>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(03)5388499</t>
  </si>
  <si>
    <t xml:space="preserve">hlpss880529@gmail.com</t>
  </si>
  <si>
    <t xml:space="preserve">黃柏諺</t>
  </si>
  <si>
    <t xml:space="preserve">新竹市私立愛尼華短期補習班</t>
  </si>
  <si>
    <r>
      <rPr>
        <sz val="10"/>
        <color rgb="FF1F2A28"/>
        <rFont val="WenQuanYi Zen Hei"/>
        <family val="2"/>
      </rPr>
      <t xml:space="preserve">新竹市香山區東華路</t>
    </r>
    <r>
      <rPr>
        <sz val="10"/>
        <color rgb="FF1F2A28"/>
        <rFont val="Arial"/>
        <family val="0"/>
        <charset val="1"/>
      </rPr>
      <t xml:space="preserve">66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</si>
  <si>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(03)5300199</t>
  </si>
  <si>
    <t xml:space="preserve">2000-07-21</t>
  </si>
  <si>
    <t xml:space="preserve">新竹市私立晨星學院文理短期補習班</t>
  </si>
  <si>
    <r>
      <rPr>
        <sz val="10"/>
        <color rgb="FF1F2A28"/>
        <rFont val="WenQuanYi Zen Hei"/>
        <family val="2"/>
      </rPr>
      <t xml:space="preserve">新竹市香山區東華路</t>
    </r>
    <r>
      <rPr>
        <sz val="10"/>
        <color rgb="FF1F2A28"/>
        <rFont val="Arial"/>
        <family val="0"/>
        <charset val="1"/>
      </rPr>
      <t xml:space="preserve">103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</si>
  <si>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(03)5400598</t>
  </si>
  <si>
    <t xml:space="preserve">msa400598@hotmail.com</t>
  </si>
  <si>
    <t xml:space="preserve">2002-03-19</t>
  </si>
  <si>
    <t xml:space="preserve">蕭沛珊</t>
  </si>
  <si>
    <t xml:space="preserve">張勝凱</t>
  </si>
  <si>
    <t xml:space="preserve">新竹市私立登科文理短期補習班</t>
  </si>
  <si>
    <r>
      <rPr>
        <sz val="10"/>
        <color rgb="FF1F2A28"/>
        <rFont val="WenQuanYi Zen Hei"/>
        <family val="2"/>
      </rPr>
      <t xml:space="preserve">新竹市香山區香北一路</t>
    </r>
    <r>
      <rPr>
        <sz val="10"/>
        <color rgb="FF1F2A28"/>
        <rFont val="Arial"/>
        <family val="0"/>
        <charset val="1"/>
      </rPr>
      <t xml:space="preserve">129</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</si>
  <si>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(03)5382789</t>
  </si>
  <si>
    <t xml:space="preserve">lindalove7@yahoo.com.tw</t>
  </si>
  <si>
    <t xml:space="preserve">美語科初級班、美語科進階班</t>
  </si>
  <si>
    <t xml:space="preserve">2019-08-14</t>
  </si>
  <si>
    <t xml:space="preserve">游琇茵</t>
  </si>
  <si>
    <t xml:space="preserve">游書豪</t>
  </si>
  <si>
    <t xml:space="preserve">新竹市私立貝利文理短期補習班</t>
  </si>
  <si>
    <r>
      <rPr>
        <sz val="10"/>
        <color rgb="FF1F2A28"/>
        <rFont val="WenQuanYi Zen Hei"/>
        <family val="2"/>
      </rPr>
      <t xml:space="preserve">新竹市香山區頂埔路</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</si>
  <si>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2003-06-20</t>
  </si>
  <si>
    <t xml:space="preserve">新竹市私立超優文理短期補習班香北分班</t>
  </si>
  <si>
    <r>
      <rPr>
        <sz val="10"/>
        <color rgb="FF1F2A28"/>
        <rFont val="WenQuanYi Zen Hei"/>
        <family val="2"/>
      </rPr>
      <t xml:space="preserve">新竹市香山區香北一路</t>
    </r>
    <r>
      <rPr>
        <sz val="10"/>
        <color rgb="FF1F2A28"/>
        <rFont val="Arial"/>
        <family val="0"/>
        <charset val="1"/>
      </rPr>
      <t xml:space="preserve">158</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3</t>
    </r>
    <r>
      <rPr>
        <sz val="10"/>
        <color rgb="FF1F2A28"/>
        <rFont val="WenQuanYi Zen Hei"/>
        <family val="2"/>
      </rPr>
      <t xml:space="preserve">樓</t>
    </r>
  </si>
  <si>
    <t xml:space="preserve">(03)5398046</t>
  </si>
  <si>
    <t xml:space="preserve">bestcram5398046@gmail.com</t>
  </si>
  <si>
    <t xml:space="preserve">2018-05-16</t>
  </si>
  <si>
    <t xml:space="preserve">余瑞盛</t>
  </si>
  <si>
    <t xml:space="preserve">新竹市私立青庭美語短期補習班</t>
  </si>
  <si>
    <r>
      <rPr>
        <sz val="10"/>
        <color rgb="FF1F2A28"/>
        <rFont val="WenQuanYi Zen Hei"/>
        <family val="2"/>
      </rPr>
      <t xml:space="preserve">新竹市香山區中華路四段</t>
    </r>
    <r>
      <rPr>
        <sz val="10"/>
        <color rgb="FF1F2A28"/>
        <rFont val="Arial"/>
        <family val="0"/>
        <charset val="1"/>
      </rPr>
      <t xml:space="preserve">226</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3</t>
    </r>
    <r>
      <rPr>
        <sz val="10"/>
        <color rgb="FF1F2A28"/>
        <rFont val="WenQuanYi Zen Hei"/>
        <family val="2"/>
      </rPr>
      <t xml:space="preserve">樓</t>
    </r>
  </si>
  <si>
    <t xml:space="preserve">0920-181856</t>
  </si>
  <si>
    <t xml:space="preserve">xiangshan@sesamevillage.tw</t>
  </si>
  <si>
    <t xml:space="preserve">張格誌</t>
  </si>
  <si>
    <t xml:space="preserve">新竹市北區</t>
  </si>
  <si>
    <t xml:space="preserve">弋果文化事業股份有限公司附設新竹市私立弋果美語文理短期補習班經國分班</t>
  </si>
  <si>
    <r>
      <rPr>
        <sz val="10"/>
        <color rgb="FF1F2A28"/>
        <rFont val="WenQuanYi Zen Hei"/>
        <family val="2"/>
      </rPr>
      <t xml:space="preserve">新竹市北區經國路二段</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6</t>
    </r>
    <r>
      <rPr>
        <sz val="10"/>
        <color rgb="FF1F2A28"/>
        <rFont val="WenQuanYi Zen Hei"/>
        <family val="2"/>
      </rPr>
      <t xml:space="preserve">樓</t>
    </r>
  </si>
  <si>
    <t xml:space="preserve">(03)5359988</t>
  </si>
  <si>
    <t xml:space="preserve">anne.chu.eagledt@gmail.com</t>
  </si>
  <si>
    <t xml:space="preserve">美語科初級班、美語科中高級班、英文</t>
  </si>
  <si>
    <t xml:space="preserve">2014-02-07</t>
  </si>
  <si>
    <t xml:space="preserve">徐嘉莉</t>
  </si>
  <si>
    <t xml:space="preserve">新竹市劍橋西門文理短期補習班</t>
  </si>
  <si>
    <r>
      <rPr>
        <sz val="10"/>
        <color rgb="FF1F2A28"/>
        <rFont val="WenQuanYi Zen Hei"/>
        <family val="2"/>
      </rPr>
      <t xml:space="preserve">新竹市北區四維路</t>
    </r>
    <r>
      <rPr>
        <sz val="10"/>
        <color rgb="FF1F2A28"/>
        <rFont val="Arial"/>
        <family val="0"/>
        <charset val="1"/>
      </rPr>
      <t xml:space="preserve">92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樓、四維路</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</si>
  <si>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(03)5252800</t>
  </si>
  <si>
    <t xml:space="preserve">Arielchiang2316@gmail.com</t>
  </si>
  <si>
    <t xml:space="preserve">李雨潼</t>
  </si>
  <si>
    <t xml:space="preserve">新竹市私立中和英語短期補習班</t>
  </si>
  <si>
    <r>
      <rPr>
        <sz val="10"/>
        <color rgb="FF1F2A28"/>
        <rFont val="WenQuanYi Zen Hei"/>
        <family val="2"/>
      </rPr>
      <t xml:space="preserve">新竹市北區中和路</t>
    </r>
    <r>
      <rPr>
        <sz val="10"/>
        <color rgb="FF1F2A28"/>
        <rFont val="Arial"/>
        <family val="0"/>
        <charset val="1"/>
      </rPr>
      <t xml:space="preserve">95</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</si>
  <si>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(03)5255125</t>
  </si>
  <si>
    <t xml:space="preserve">chunghocramshcool@gmail.com</t>
  </si>
  <si>
    <t xml:space="preserve">黃振煻</t>
  </si>
  <si>
    <t xml:space="preserve">新竹市私立亞瑟文理短期補習班</t>
  </si>
  <si>
    <r>
      <rPr>
        <sz val="10"/>
        <color rgb="FF1F2A28"/>
        <rFont val="WenQuanYi Zen Hei"/>
        <family val="2"/>
      </rPr>
      <t xml:space="preserve">新竹市北區金竹路</t>
    </r>
    <r>
      <rPr>
        <sz val="10"/>
        <color rgb="FF1F2A28"/>
        <rFont val="Arial"/>
        <family val="0"/>
        <charset val="1"/>
      </rPr>
      <t xml:space="preserve">48</t>
    </r>
    <r>
      <rPr>
        <sz val="10"/>
        <color rgb="FF1F2A28"/>
        <rFont val="WenQuanYi Zen Hei"/>
        <family val="2"/>
      </rPr>
      <t xml:space="preserve">巷</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</si>
  <si>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(03)5422346</t>
  </si>
  <si>
    <t xml:space="preserve">cecilialin6328@gmail.com</t>
  </si>
  <si>
    <t xml:space="preserve">林莉雯</t>
  </si>
  <si>
    <t xml:space="preserve">新竹市私立伊頓美語短期補習班</t>
  </si>
  <si>
    <r>
      <rPr>
        <sz val="10"/>
        <color rgb="FF1F2A28"/>
        <rFont val="WenQuanYi Zen Hei"/>
        <family val="2"/>
      </rPr>
      <t xml:space="preserve">新竹市北區光華南街</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</si>
  <si>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(03)5317706</t>
  </si>
  <si>
    <t xml:space="preserve">phee_chao0916@yahoo.com.tw</t>
  </si>
  <si>
    <t xml:space="preserve">趙巾慧</t>
  </si>
  <si>
    <t xml:space="preserve">新竹市私立何嘉仁四維語文短期補習班</t>
  </si>
  <si>
    <r>
      <rPr>
        <sz val="10"/>
        <color rgb="FF1F2A28"/>
        <rFont val="WenQuanYi Zen Hei"/>
        <family val="2"/>
      </rPr>
      <t xml:space="preserve">新竹市北區四維路</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2</t>
    </r>
    <r>
      <rPr>
        <sz val="10"/>
        <color rgb="FF1F2A28"/>
        <rFont val="WenQuanYi Zen Hei"/>
        <family val="2"/>
      </rPr>
      <t xml:space="preserve">樓</t>
    </r>
  </si>
  <si>
    <t xml:space="preserve">(03)5277903</t>
  </si>
  <si>
    <t xml:space="preserve">hs2059@hess.com.tw</t>
  </si>
  <si>
    <t xml:space="preserve">2014-07-14</t>
  </si>
  <si>
    <t xml:space="preserve">陳智勇</t>
  </si>
  <si>
    <t xml:space="preserve">楊雁婷</t>
  </si>
  <si>
    <t xml:space="preserve">新竹市私立佳美文理技藝短期補習班</t>
  </si>
  <si>
    <r>
      <rPr>
        <sz val="10"/>
        <color rgb="FF1F2A28"/>
        <rFont val="WenQuanYi Zen Hei"/>
        <family val="2"/>
      </rPr>
      <t xml:space="preserve">新竹市北區西門街</t>
    </r>
    <r>
      <rPr>
        <sz val="10"/>
        <color rgb="FF1F2A28"/>
        <rFont val="Arial"/>
        <family val="0"/>
        <charset val="1"/>
      </rPr>
      <t xml:space="preserve">252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</si>
  <si>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(03)5238841</t>
  </si>
  <si>
    <t xml:space="preserve">joy0825a@yahoo.com.tw</t>
  </si>
  <si>
    <t xml:space="preserve">2004-09-09</t>
  </si>
  <si>
    <t xml:space="preserve">張宗澤</t>
  </si>
  <si>
    <t xml:space="preserve">新竹市私立南瓜田外語文理短期補習班</t>
  </si>
  <si>
    <r>
      <rPr>
        <sz val="10"/>
        <color rgb="FF1F2A28"/>
        <rFont val="WenQuanYi Zen Hei"/>
        <family val="2"/>
      </rPr>
      <t xml:space="preserve">新竹市北區集賢街</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</si>
  <si>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(03)522-3488</t>
  </si>
  <si>
    <t xml:space="preserve">pgls.pola@gmail.com</t>
  </si>
  <si>
    <t xml:space="preserve">高階美語班、英語、中階美語班、低階美語班</t>
  </si>
  <si>
    <t xml:space="preserve">楊捷羽</t>
  </si>
  <si>
    <t xml:space="preserve">謝幸芬</t>
  </si>
  <si>
    <t xml:space="preserve">新竹市私立名嘉外語短期補習班</t>
  </si>
  <si>
    <r>
      <rPr>
        <sz val="10"/>
        <color rgb="FF1F2A28"/>
        <rFont val="WenQuanYi Zen Hei"/>
        <family val="2"/>
      </rPr>
      <t xml:space="preserve">新竹市北區中清一路</t>
    </r>
    <r>
      <rPr>
        <sz val="10"/>
        <color rgb="FF1F2A28"/>
        <rFont val="Arial"/>
        <family val="0"/>
        <charset val="1"/>
      </rPr>
      <t xml:space="preserve">40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</si>
  <si>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(03)5363035</t>
  </si>
  <si>
    <t xml:space="preserve">nt4602@yahoo.com.tw</t>
  </si>
  <si>
    <t xml:space="preserve">2014-04-09</t>
  </si>
  <si>
    <t xml:space="preserve">林森煜</t>
  </si>
  <si>
    <t xml:space="preserve">新竹市私立喬安文理短期補習班</t>
  </si>
  <si>
    <r>
      <rPr>
        <sz val="10"/>
        <color rgb="FF1F2A28"/>
        <rFont val="WenQuanYi Zen Hei"/>
        <family val="2"/>
      </rPr>
      <t xml:space="preserve">新竹市北區四維路</t>
    </r>
    <r>
      <rPr>
        <sz val="10"/>
        <color rgb="FF1F2A28"/>
        <rFont val="Arial"/>
        <family val="0"/>
        <charset val="1"/>
      </rPr>
      <t xml:space="preserve">100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</si>
  <si>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(03)5250182</t>
  </si>
  <si>
    <t xml:space="preserve">chioucy.0911@gmail.com</t>
  </si>
  <si>
    <t xml:space="preserve">邱佳永</t>
  </si>
  <si>
    <t xml:space="preserve">新竹市私立培根中英語文短期補習班</t>
  </si>
  <si>
    <r>
      <rPr>
        <sz val="10"/>
        <color rgb="FF1F2A28"/>
        <rFont val="WenQuanYi Zen Hei"/>
        <family val="2"/>
      </rPr>
      <t xml:space="preserve">新竹市北區德成街</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</si>
  <si>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(03)5255393</t>
  </si>
  <si>
    <t xml:space="preserve">17bacon@gmail.com</t>
  </si>
  <si>
    <t xml:space="preserve">黃念慈</t>
  </si>
  <si>
    <t xml:space="preserve">李宜芳</t>
  </si>
  <si>
    <t xml:space="preserve">新竹市私立天才兒童美語短期補習班</t>
  </si>
  <si>
    <r>
      <rPr>
        <sz val="10"/>
        <color rgb="FF1F2A28"/>
        <rFont val="WenQuanYi Zen Hei"/>
        <family val="2"/>
      </rPr>
      <t xml:space="preserve">新竹市北區湳雅街</t>
    </r>
    <r>
      <rPr>
        <sz val="10"/>
        <color rgb="FF1F2A28"/>
        <rFont val="Arial"/>
        <family val="0"/>
        <charset val="1"/>
      </rPr>
      <t xml:space="preserve">184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</si>
  <si>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(03)5421648</t>
  </si>
  <si>
    <t xml:space="preserve">umj5421648@kimo.com</t>
  </si>
  <si>
    <t xml:space="preserve">2006-06-30</t>
  </si>
  <si>
    <t xml:space="preserve">游美枝</t>
  </si>
  <si>
    <t xml:space="preserve">游秀珠</t>
  </si>
  <si>
    <t xml:space="preserve">新竹市私立奕碩文理短期補習班</t>
  </si>
  <si>
    <r>
      <rPr>
        <sz val="10"/>
        <color rgb="FF1F2A28"/>
        <rFont val="WenQuanYi Zen Hei"/>
        <family val="2"/>
      </rPr>
      <t xml:space="preserve">新竹市北區經國路一段</t>
    </r>
    <r>
      <rPr>
        <sz val="10"/>
        <color rgb="FF1F2A28"/>
        <rFont val="Arial"/>
        <family val="0"/>
        <charset val="1"/>
      </rPr>
      <t xml:space="preserve">379</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</si>
  <si>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03-5320639</t>
  </si>
  <si>
    <t xml:space="preserve">kevin7946@yahoo.com.tw</t>
  </si>
  <si>
    <t xml:space="preserve">2017-11-11</t>
  </si>
  <si>
    <t xml:space="preserve">陳立綸</t>
  </si>
  <si>
    <t xml:space="preserve">新竹市私立奧斯卡美語短期補習班</t>
  </si>
  <si>
    <r>
      <rPr>
        <sz val="10"/>
        <color rgb="FF1F2A28"/>
        <rFont val="WenQuanYi Zen Hei"/>
        <family val="2"/>
      </rPr>
      <t xml:space="preserve">新竹市北區民富街</t>
    </r>
    <r>
      <rPr>
        <sz val="10"/>
        <color rgb="FF1F2A28"/>
        <rFont val="Arial"/>
        <family val="0"/>
        <charset val="1"/>
      </rPr>
      <t xml:space="preserve">260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</si>
  <si>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(03)5221672</t>
  </si>
  <si>
    <t xml:space="preserve">k5221672@gmail.com</t>
  </si>
  <si>
    <t xml:space="preserve">游麗珠</t>
  </si>
  <si>
    <t xml:space="preserve">新竹市私立妍田語文短期補習班</t>
  </si>
  <si>
    <r>
      <rPr>
        <sz val="10"/>
        <color rgb="FF1F2A28"/>
        <rFont val="WenQuanYi Zen Hei"/>
        <family val="2"/>
      </rPr>
      <t xml:space="preserve">新竹市北區中山路</t>
    </r>
    <r>
      <rPr>
        <sz val="10"/>
        <color rgb="FF1F2A28"/>
        <rFont val="Arial"/>
        <family val="0"/>
        <charset val="1"/>
      </rPr>
      <t xml:space="preserve">40</t>
    </r>
    <r>
      <rPr>
        <sz val="10"/>
        <color rgb="FF1F2A28"/>
        <rFont val="WenQuanYi Zen Hei"/>
        <family val="2"/>
      </rPr>
      <t xml:space="preserve">巷</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</si>
  <si>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(03)5223932</t>
  </si>
  <si>
    <t xml:space="preserve">yt5223506@gmail.com</t>
  </si>
  <si>
    <t xml:space="preserve">郭元蕙</t>
  </si>
  <si>
    <t xml:space="preserve">新竹市私立安妮英語文理短期補習班</t>
  </si>
  <si>
    <r>
      <rPr>
        <sz val="10"/>
        <color rgb="FF1F2A28"/>
        <rFont val="WenQuanYi Zen Hei"/>
        <family val="2"/>
      </rPr>
      <t xml:space="preserve">新竹市北區西大路</t>
    </r>
    <r>
      <rPr>
        <sz val="10"/>
        <color rgb="FF1F2A28"/>
        <rFont val="Arial"/>
        <family val="0"/>
        <charset val="1"/>
      </rPr>
      <t xml:space="preserve">668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2</t>
    </r>
    <r>
      <rPr>
        <sz val="10"/>
        <color rgb="FF1F2A28"/>
        <rFont val="WenQuanYi Zen Hei"/>
        <family val="2"/>
      </rPr>
      <t xml:space="preserve">樓</t>
    </r>
  </si>
  <si>
    <t xml:space="preserve">(03)5254849</t>
  </si>
  <si>
    <t xml:space="preserve">harley883bws@gmail.com</t>
  </si>
  <si>
    <t xml:space="preserve">2003-07-04</t>
  </si>
  <si>
    <t xml:space="preserve">曾宇誠</t>
  </si>
  <si>
    <t xml:space="preserve">新竹市私立小小天地美語短期補習班</t>
  </si>
  <si>
    <r>
      <rPr>
        <sz val="10"/>
        <color rgb="FF1F2A28"/>
        <rFont val="WenQuanYi Zen Hei"/>
        <family val="2"/>
      </rPr>
      <t xml:space="preserve">新竹市北區西門街</t>
    </r>
    <r>
      <rPr>
        <sz val="10"/>
        <color rgb="FF1F2A28"/>
        <rFont val="Arial"/>
        <family val="0"/>
        <charset val="1"/>
      </rPr>
      <t xml:space="preserve">148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</si>
  <si>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(03)5278757</t>
  </si>
  <si>
    <t xml:space="preserve">77011yes@gmail.com</t>
  </si>
  <si>
    <t xml:space="preserve">蔡宏隆</t>
  </si>
  <si>
    <t xml:space="preserve">新竹市私立庭安樂文理短期補習班</t>
  </si>
  <si>
    <r>
      <rPr>
        <sz val="10"/>
        <color rgb="FF1F2A28"/>
        <rFont val="WenQuanYi Zen Hei"/>
        <family val="2"/>
      </rPr>
      <t xml:space="preserve">新竹市北區四維路</t>
    </r>
    <r>
      <rPr>
        <sz val="10"/>
        <color rgb="FF1F2A28"/>
        <rFont val="Arial"/>
        <family val="0"/>
        <charset val="1"/>
      </rPr>
      <t xml:space="preserve">39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2</t>
    </r>
    <r>
      <rPr>
        <sz val="10"/>
        <color rgb="FF1F2A28"/>
        <rFont val="WenQuanYi Zen Hei"/>
        <family val="2"/>
      </rPr>
      <t xml:space="preserve">樓</t>
    </r>
  </si>
  <si>
    <t xml:space="preserve">(03)5283435</t>
  </si>
  <si>
    <t xml:space="preserve">judyjudy1101@yahoo.com.tw</t>
  </si>
  <si>
    <t xml:space="preserve">2002-09-27</t>
  </si>
  <si>
    <t xml:space="preserve">曾筱芳</t>
  </si>
  <si>
    <t xml:space="preserve">新竹市私立心傳文理短期補習班</t>
  </si>
  <si>
    <r>
      <rPr>
        <sz val="10"/>
        <color rgb="FF1F2A28"/>
        <rFont val="WenQuanYi Zen Hei"/>
        <family val="2"/>
      </rPr>
      <t xml:space="preserve">新竹市北區北大路</t>
    </r>
    <r>
      <rPr>
        <sz val="10"/>
        <color rgb="FF1F2A28"/>
        <rFont val="Arial"/>
        <family val="0"/>
        <charset val="1"/>
      </rPr>
      <t xml:space="preserve">346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346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及</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2</t>
    </r>
  </si>
  <si>
    <t xml:space="preserve">0911208014</t>
  </si>
  <si>
    <t xml:space="preserve">2023-10-16</t>
  </si>
  <si>
    <t xml:space="preserve">楊琇瑩</t>
  </si>
  <si>
    <t xml:space="preserve">新竹市私立救國團新竹團委會附設語文技藝短期補習班</t>
  </si>
  <si>
    <r>
      <rPr>
        <sz val="10"/>
        <color rgb="FF1F2A28"/>
        <rFont val="WenQuanYi Zen Hei"/>
        <family val="2"/>
      </rPr>
      <t xml:space="preserve">新竹市北區演藝路</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</si>
  <si>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(03)5153383</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</si>
  <si>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家政、插花、烹飪類</t>
    </r>
  </si>
  <si>
    <t xml:space="preserve">1997-12-31</t>
  </si>
  <si>
    <t xml:space="preserve">楊宗翰</t>
  </si>
  <si>
    <t xml:space="preserve">李富安</t>
  </si>
  <si>
    <t xml:space="preserve">新竹市私立救國團新竹團委會附設語文技藝短期補習班西門分班</t>
  </si>
  <si>
    <r>
      <rPr>
        <sz val="10"/>
        <color rgb="FF1F2A28"/>
        <rFont val="WenQuanYi Zen Hei"/>
        <family val="2"/>
      </rPr>
      <t xml:space="preserve">新竹市北區西門街</t>
    </r>
    <r>
      <rPr>
        <sz val="10"/>
        <color rgb="FF1F2A28"/>
        <rFont val="Arial"/>
        <family val="0"/>
        <charset val="1"/>
      </rPr>
      <t xml:space="preserve">146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至</t>
    </r>
    <r>
      <rPr>
        <sz val="10"/>
        <color rgb="FF1F2A28"/>
        <rFont val="Arial"/>
        <family val="0"/>
        <charset val="1"/>
      </rPr>
      <t xml:space="preserve">5</t>
    </r>
    <r>
      <rPr>
        <sz val="10"/>
        <color rgb="FF1F2A28"/>
        <rFont val="WenQuanYi Zen Hei"/>
        <family val="2"/>
      </rPr>
      <t xml:space="preserve">樓</t>
    </r>
  </si>
  <si>
    <t xml:space="preserve">(03)5248266</t>
  </si>
  <si>
    <t xml:space="preserve">hcctc@cyc.tw</t>
  </si>
  <si>
    <t xml:space="preserve">2004-11-15</t>
  </si>
  <si>
    <t xml:space="preserve">王群元</t>
  </si>
  <si>
    <t xml:space="preserve">葉曉璉</t>
  </si>
  <si>
    <t xml:space="preserve">新竹市私立春禾外語短期補習班</t>
  </si>
  <si>
    <r>
      <rPr>
        <sz val="10"/>
        <color rgb="FF1F2A28"/>
        <rFont val="WenQuanYi Zen Hei"/>
        <family val="2"/>
      </rPr>
      <t xml:space="preserve">新竹市北區光華北街</t>
    </r>
    <r>
      <rPr>
        <sz val="10"/>
        <color rgb="FF1F2A28"/>
        <rFont val="Arial"/>
        <family val="0"/>
        <charset val="1"/>
      </rPr>
      <t xml:space="preserve">85</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</si>
  <si>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03-5351058</t>
  </si>
  <si>
    <t xml:space="preserve">nancy09022000@yahoo.com.tw</t>
  </si>
  <si>
    <t xml:space="preserve">2021-09-29</t>
  </si>
  <si>
    <t xml:space="preserve">林淑惠</t>
  </si>
  <si>
    <t xml:space="preserve">王怡雯</t>
  </si>
  <si>
    <t xml:space="preserve">新竹市私立東大佳音英語文理短期補習班</t>
  </si>
  <si>
    <r>
      <rPr>
        <sz val="10"/>
        <color rgb="FF1F2A28"/>
        <rFont val="WenQuanYi Zen Hei"/>
        <family val="2"/>
      </rPr>
      <t xml:space="preserve">新竹市北區東大路二段</t>
    </r>
    <r>
      <rPr>
        <sz val="10"/>
        <color rgb="FF1F2A28"/>
        <rFont val="Arial"/>
        <family val="0"/>
        <charset val="1"/>
      </rPr>
      <t xml:space="preserve">228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樓、東大路二段</t>
    </r>
    <r>
      <rPr>
        <sz val="10"/>
        <color rgb="FF1F2A28"/>
        <rFont val="Arial"/>
        <family val="0"/>
        <charset val="1"/>
      </rPr>
      <t xml:space="preserve">226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</si>
  <si>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(03)5351111</t>
  </si>
  <si>
    <t xml:space="preserve">bb087@joy.com.tw</t>
  </si>
  <si>
    <t xml:space="preserve">2006-03-31</t>
  </si>
  <si>
    <t xml:space="preserve">陳桂枝</t>
  </si>
  <si>
    <t xml:space="preserve">新竹市私立柏拉圖文理短期補習班</t>
  </si>
  <si>
    <r>
      <rPr>
        <sz val="10"/>
        <color rgb="FF1F2A28"/>
        <rFont val="WenQuanYi Zen Hei"/>
        <family val="2"/>
      </rPr>
      <t xml:space="preserve">新竹市北區北新街</t>
    </r>
    <r>
      <rPr>
        <sz val="10"/>
        <color rgb="FF1F2A28"/>
        <rFont val="Arial"/>
        <family val="0"/>
        <charset val="1"/>
      </rPr>
      <t xml:space="preserve">55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</si>
  <si>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(03)5250550</t>
  </si>
  <si>
    <t xml:space="preserve">pgls.nikita@gmail.com</t>
  </si>
  <si>
    <t xml:space="preserve">2020-03-31</t>
  </si>
  <si>
    <t xml:space="preserve">劉士豪</t>
  </si>
  <si>
    <t xml:space="preserve">林心蘭</t>
  </si>
  <si>
    <t xml:space="preserve">新竹市私立樂嶼文理技藝短期補習班</t>
  </si>
  <si>
    <r>
      <rPr>
        <sz val="10"/>
        <color rgb="FF1F2A28"/>
        <rFont val="WenQuanYi Zen Hei"/>
        <family val="2"/>
      </rPr>
      <t xml:space="preserve">新竹市北區東大路二段</t>
    </r>
    <r>
      <rPr>
        <sz val="10"/>
        <color rgb="FF1F2A28"/>
        <rFont val="Arial"/>
        <family val="0"/>
        <charset val="1"/>
      </rPr>
      <t xml:space="preserve">331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</si>
  <si>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(03)535-1156</t>
  </si>
  <si>
    <t xml:space="preserve">dongda331@gmail.com</t>
  </si>
  <si>
    <t xml:space="preserve">王瀅如</t>
  </si>
  <si>
    <t xml:space="preserve">新竹市私立樵翰文理技藝短期補習班</t>
  </si>
  <si>
    <r>
      <rPr>
        <sz val="10"/>
        <color rgb="FF1F2A28"/>
        <rFont val="WenQuanYi Zen Hei"/>
        <family val="2"/>
      </rPr>
      <t xml:space="preserve">新竹市北區經國路二段</t>
    </r>
    <r>
      <rPr>
        <sz val="10"/>
        <color rgb="FF1F2A28"/>
        <rFont val="Arial"/>
        <family val="0"/>
        <charset val="1"/>
      </rPr>
      <t xml:space="preserve">390</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樓</t>
    </r>
  </si>
  <si>
    <t xml:space="preserve">(03)5281580</t>
  </si>
  <si>
    <t xml:space="preserve">y0y0717219@yahoo.com.tw</t>
  </si>
  <si>
    <t xml:space="preserve">林恩霆</t>
  </si>
  <si>
    <t xml:space="preserve">陳依欐</t>
  </si>
  <si>
    <t xml:space="preserve">新竹市私立民富文理技藝短期補習班</t>
  </si>
  <si>
    <r>
      <rPr>
        <sz val="10"/>
        <color rgb="FF1F2A28"/>
        <rFont val="WenQuanYi Zen Hei"/>
        <family val="2"/>
      </rPr>
      <t xml:space="preserve">新竹市北區少年街</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</si>
  <si>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(03)5212160</t>
  </si>
  <si>
    <t xml:space="preserve">pingsnow1@gmail.com</t>
  </si>
  <si>
    <t xml:space="preserve">陳素鶯</t>
  </si>
  <si>
    <t xml:space="preserve">曾逸萍</t>
  </si>
  <si>
    <t xml:space="preserve">新竹市私立民富芝蔴街美語文理短期補習班</t>
  </si>
  <si>
    <r>
      <rPr>
        <sz val="10"/>
        <color rgb="FF1F2A28"/>
        <rFont val="WenQuanYi Zen Hei"/>
        <family val="2"/>
      </rPr>
      <t xml:space="preserve">新竹市北區民富街</t>
    </r>
    <r>
      <rPr>
        <sz val="10"/>
        <color rgb="FF1F2A28"/>
        <rFont val="Arial"/>
        <family val="0"/>
        <charset val="1"/>
      </rPr>
      <t xml:space="preserve">149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</si>
  <si>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(03)5246308</t>
  </si>
  <si>
    <t xml:space="preserve">peita@sesamevillage.tw</t>
  </si>
  <si>
    <t xml:space="preserve">2016-01-13</t>
  </si>
  <si>
    <t xml:space="preserve">謝清智</t>
  </si>
  <si>
    <t xml:space="preserve">林孝貞</t>
  </si>
  <si>
    <t xml:space="preserve">新竹市私立沙善文理短期補習班</t>
  </si>
  <si>
    <r>
      <rPr>
        <sz val="10"/>
        <color rgb="FF1F2A28"/>
        <rFont val="WenQuanYi Zen Hei"/>
        <family val="2"/>
      </rPr>
      <t xml:space="preserve">新竹市北區金竹路</t>
    </r>
    <r>
      <rPr>
        <sz val="10"/>
        <color rgb="FF1F2A28"/>
        <rFont val="Arial"/>
        <family val="0"/>
        <charset val="1"/>
      </rPr>
      <t xml:space="preserve">90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2</t>
    </r>
    <r>
      <rPr>
        <sz val="10"/>
        <color rgb="FF1F2A28"/>
        <rFont val="WenQuanYi Zen Hei"/>
        <family val="2"/>
      </rPr>
      <t xml:space="preserve">樓</t>
    </r>
  </si>
  <si>
    <t xml:space="preserve">03-5352980</t>
  </si>
  <si>
    <t xml:space="preserve">hljhlj10710@gmail.com</t>
  </si>
  <si>
    <t xml:space="preserve">2018-06-22</t>
  </si>
  <si>
    <r>
      <rPr>
        <sz val="10"/>
        <color rgb="FF1F2A28"/>
        <rFont val="WenQuanYi Zen Hei"/>
        <family val="2"/>
      </rPr>
      <t xml:space="preserve">沙善</t>
    </r>
    <r>
      <rPr>
        <sz val="10"/>
        <color rgb="FF1F2A28"/>
        <rFont val="Arial"/>
        <family val="0"/>
        <charset val="1"/>
      </rPr>
      <t xml:space="preserve">.</t>
    </r>
    <r>
      <rPr>
        <sz val="10"/>
        <color rgb="FF1F2A28"/>
        <rFont val="WenQuanYi Zen Hei"/>
        <family val="2"/>
      </rPr>
      <t xml:space="preserve">友保吾</t>
    </r>
    <r>
      <rPr>
        <sz val="10"/>
        <color rgb="FF1F2A28"/>
        <rFont val="Arial"/>
        <family val="0"/>
        <charset val="1"/>
      </rPr>
      <t xml:space="preserve">.</t>
    </r>
    <r>
      <rPr>
        <sz val="10"/>
        <color rgb="FF1F2A28"/>
        <rFont val="WenQuanYi Zen Hei"/>
        <family val="2"/>
      </rPr>
      <t xml:space="preserve">伊凡</t>
    </r>
  </si>
  <si>
    <t xml:space="preserve">新竹市私立海茵美語短期補習班</t>
  </si>
  <si>
    <r>
      <rPr>
        <sz val="10"/>
        <color rgb="FF1F2A28"/>
        <rFont val="WenQuanYi Zen Hei"/>
        <family val="2"/>
      </rPr>
      <t xml:space="preserve">新竹市北區東大路二段</t>
    </r>
    <r>
      <rPr>
        <sz val="10"/>
        <color rgb="FF1F2A28"/>
        <rFont val="Arial"/>
        <family val="0"/>
        <charset val="1"/>
      </rPr>
      <t xml:space="preserve">182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</si>
  <si>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(03)5327773</t>
  </si>
  <si>
    <t xml:space="preserve">cathy197766@gmail.com</t>
  </si>
  <si>
    <t xml:space="preserve">查元元</t>
  </si>
  <si>
    <t xml:space="preserve">新竹市私立瑪格瑞特美語短期補習班</t>
  </si>
  <si>
    <r>
      <rPr>
        <sz val="10"/>
        <color rgb="FF1F2A28"/>
        <rFont val="WenQuanYi Zen Hei"/>
        <family val="2"/>
      </rPr>
      <t xml:space="preserve">新竹市北區武陵路</t>
    </r>
    <r>
      <rPr>
        <sz val="10"/>
        <color rgb="FF1F2A28"/>
        <rFont val="Arial"/>
        <family val="0"/>
        <charset val="1"/>
      </rPr>
      <t xml:space="preserve">266</t>
    </r>
    <r>
      <rPr>
        <sz val="10"/>
        <color rgb="FF1F2A28"/>
        <rFont val="WenQuanYi Zen Hei"/>
        <family val="2"/>
      </rPr>
      <t xml:space="preserve">號、</t>
    </r>
    <r>
      <rPr>
        <sz val="10"/>
        <color rgb="FF1F2A28"/>
        <rFont val="Arial"/>
        <family val="0"/>
        <charset val="1"/>
      </rPr>
      <t xml:space="preserve">266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3</t>
    </r>
  </si>
  <si>
    <t xml:space="preserve">(03)5349601</t>
  </si>
  <si>
    <t xml:space="preserve">nicohuang66@gmail.com</t>
  </si>
  <si>
    <t xml:space="preserve">2001-05-19</t>
  </si>
  <si>
    <t xml:space="preserve">楊朝鈞</t>
  </si>
  <si>
    <r>
      <rPr>
        <sz val="10"/>
        <color rgb="FF1F2A28"/>
        <rFont val="WenQuanYi Zen Hei"/>
        <family val="2"/>
      </rPr>
      <t xml:space="preserve">新竹市私立皇室</t>
    </r>
    <r>
      <rPr>
        <sz val="10"/>
        <color rgb="FF1F2A28"/>
        <rFont val="Arial"/>
        <family val="0"/>
        <charset val="1"/>
      </rPr>
      <t xml:space="preserve">3</t>
    </r>
    <r>
      <rPr>
        <sz val="10"/>
        <color rgb="FF1F2A28"/>
        <rFont val="WenQuanYi Zen Hei"/>
        <family val="2"/>
      </rPr>
      <t xml:space="preserve">號美語短期補習班</t>
    </r>
  </si>
  <si>
    <r>
      <rPr>
        <sz val="10"/>
        <color rgb="FF1F2A28"/>
        <rFont val="WenQuanYi Zen Hei"/>
        <family val="2"/>
      </rPr>
      <t xml:space="preserve">新竹市北區少年街</t>
    </r>
    <r>
      <rPr>
        <sz val="10"/>
        <color rgb="FF1F2A28"/>
        <rFont val="Arial"/>
        <family val="0"/>
        <charset val="1"/>
      </rPr>
      <t xml:space="preserve">39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樓及</t>
    </r>
    <r>
      <rPr>
        <sz val="10"/>
        <color rgb="FF1F2A28"/>
        <rFont val="Arial"/>
        <family val="0"/>
        <charset val="1"/>
      </rPr>
      <t xml:space="preserve">4</t>
    </r>
    <r>
      <rPr>
        <sz val="10"/>
        <color rgb="FF1F2A28"/>
        <rFont val="WenQuanYi Zen Hei"/>
        <family val="2"/>
      </rPr>
      <t xml:space="preserve">樓</t>
    </r>
  </si>
  <si>
    <t xml:space="preserve">(03)5223449</t>
  </si>
  <si>
    <t xml:space="preserve">royaljunior3@yahoo.com.tw</t>
  </si>
  <si>
    <t xml:space="preserve">2004-09-20</t>
  </si>
  <si>
    <t xml:space="preserve">新竹市私立竹嘉建嘉文理技藝短期補習班</t>
  </si>
  <si>
    <r>
      <rPr>
        <sz val="10"/>
        <color rgb="FF1F2A28"/>
        <rFont val="WenQuanYi Zen Hei"/>
        <family val="2"/>
      </rPr>
      <t xml:space="preserve">新竹市北區中山路</t>
    </r>
    <r>
      <rPr>
        <sz val="10"/>
        <color rgb="FF1F2A28"/>
        <rFont val="Arial"/>
        <family val="0"/>
        <charset val="1"/>
      </rPr>
      <t xml:space="preserve">306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</si>
  <si>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(03)5252825</t>
  </si>
  <si>
    <t xml:space="preserve">chu.jai@msa.hinet.net</t>
  </si>
  <si>
    <t xml:space="preserve">陳建佑</t>
  </si>
  <si>
    <t xml:space="preserve">新竹市私立維肯美語文理短期補習班</t>
  </si>
  <si>
    <r>
      <rPr>
        <sz val="10"/>
        <color rgb="FF1F2A28"/>
        <rFont val="WenQuanYi Zen Hei"/>
        <family val="2"/>
      </rPr>
      <t xml:space="preserve">新竹市北區大雅路</t>
    </r>
    <r>
      <rPr>
        <sz val="10"/>
        <color rgb="FF1F2A28"/>
        <rFont val="Arial"/>
        <family val="0"/>
        <charset val="1"/>
      </rPr>
      <t xml:space="preserve">100</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</si>
  <si>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(03)5152328</t>
  </si>
  <si>
    <t xml:space="preserve">annannhsieha@yahoo.com.tw</t>
  </si>
  <si>
    <t xml:space="preserve">2005-04-21</t>
  </si>
  <si>
    <t xml:space="preserve">沈昌逸</t>
  </si>
  <si>
    <t xml:space="preserve">新竹市私立英格美語短期補習班</t>
  </si>
  <si>
    <r>
      <rPr>
        <sz val="10"/>
        <color rgb="FF1F2A28"/>
        <rFont val="WenQuanYi Zen Hei"/>
        <family val="2"/>
      </rPr>
      <t xml:space="preserve">新竹市北區東大路二段</t>
    </r>
    <r>
      <rPr>
        <sz val="10"/>
        <color rgb="FF1F2A28"/>
        <rFont val="Arial"/>
        <family val="0"/>
        <charset val="1"/>
      </rPr>
      <t xml:space="preserve">178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</si>
  <si>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r>
      <rPr>
        <sz val="10"/>
        <color rgb="FF1F2A28"/>
        <rFont val="Arial"/>
        <family val="0"/>
        <charset val="1"/>
      </rPr>
      <t xml:space="preserve">(03)5358661</t>
    </r>
    <r>
      <rPr>
        <sz val="10"/>
        <color rgb="FF1F2A28"/>
        <rFont val="WenQuanYi Zen Hei"/>
        <family val="2"/>
      </rPr>
      <t xml:space="preserve">，</t>
    </r>
    <r>
      <rPr>
        <sz val="10"/>
        <color rgb="FF1F2A28"/>
        <rFont val="Arial"/>
        <family val="0"/>
        <charset val="1"/>
      </rPr>
      <t xml:space="preserve">5430088</t>
    </r>
  </si>
  <si>
    <t xml:space="preserve">shaoulu@hotmail.com</t>
  </si>
  <si>
    <t xml:space="preserve">戴怡如</t>
  </si>
  <si>
    <t xml:space="preserve">新竹市私立英維文理短期補習班</t>
  </si>
  <si>
    <r>
      <rPr>
        <sz val="10"/>
        <color rgb="FF1F2A28"/>
        <rFont val="WenQuanYi Zen Hei"/>
        <family val="2"/>
      </rPr>
      <t xml:space="preserve">新竹市北區四維路</t>
    </r>
    <r>
      <rPr>
        <sz val="10"/>
        <color rgb="FF1F2A28"/>
        <rFont val="Arial"/>
        <family val="0"/>
        <charset val="1"/>
      </rPr>
      <t xml:space="preserve">90</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</si>
  <si>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(03)5282621</t>
  </si>
  <si>
    <t xml:space="preserve">neurolinkhc1@gmail.com</t>
  </si>
  <si>
    <t xml:space="preserve">2001-08-19</t>
  </si>
  <si>
    <t xml:space="preserve">李嘉萱</t>
  </si>
  <si>
    <t xml:space="preserve">李嘉菘</t>
  </si>
  <si>
    <t xml:space="preserve">新竹市私立莊老師文理短期補習班</t>
  </si>
  <si>
    <r>
      <rPr>
        <sz val="10"/>
        <color rgb="FF1F2A28"/>
        <rFont val="WenQuanYi Zen Hei"/>
        <family val="2"/>
      </rPr>
      <t xml:space="preserve">新竹市北區光華北街</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</si>
  <si>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(03)5330393/0938097769</t>
  </si>
  <si>
    <t xml:space="preserve">莊凱安</t>
  </si>
  <si>
    <t xml:space="preserve">新竹市私立辰林英語學苑文理短期補習班</t>
  </si>
  <si>
    <r>
      <rPr>
        <sz val="10"/>
        <color rgb="FF1F2A28"/>
        <rFont val="WenQuanYi Zen Hei"/>
        <family val="2"/>
      </rPr>
      <t xml:space="preserve">新竹市北區鐵道路三段</t>
    </r>
    <r>
      <rPr>
        <sz val="10"/>
        <color rgb="FF1F2A28"/>
        <rFont val="Arial"/>
        <family val="0"/>
        <charset val="1"/>
      </rPr>
      <t xml:space="preserve">141.143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</si>
  <si>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5352123; 0905876705</t>
  </si>
  <si>
    <t xml:space="preserve">summersnoww1128@gmail.com</t>
  </si>
  <si>
    <t xml:space="preserve">2020-06-10</t>
  </si>
  <si>
    <t xml:space="preserve">陳燕芬</t>
  </si>
  <si>
    <t xml:space="preserve">陳宥樺</t>
  </si>
  <si>
    <t xml:space="preserve">新竹市私立道格拉斯美語短期補習班</t>
  </si>
  <si>
    <r>
      <rPr>
        <sz val="10"/>
        <color rgb="FF1F2A28"/>
        <rFont val="WenQuanYi Zen Hei"/>
        <family val="2"/>
      </rPr>
      <t xml:space="preserve">新竹市北區中和路</t>
    </r>
    <r>
      <rPr>
        <sz val="10"/>
        <color rgb="FF1F2A28"/>
        <rFont val="Arial"/>
        <family val="0"/>
        <charset val="1"/>
      </rPr>
      <t xml:space="preserve">117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</si>
  <si>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(03)5280710</t>
  </si>
  <si>
    <t xml:space="preserve">abcenglishtw@hotmail.com</t>
  </si>
  <si>
    <t xml:space="preserve">2010-12-15</t>
  </si>
  <si>
    <t xml:space="preserve">呂素蘭</t>
  </si>
  <si>
    <t xml:space="preserve">新竹市私立陽陞文理短期補習班</t>
  </si>
  <si>
    <r>
      <rPr>
        <sz val="10"/>
        <color rgb="FF1F2A28"/>
        <rFont val="WenQuanYi Zen Hei"/>
        <family val="2"/>
      </rPr>
      <t xml:space="preserve">新竹市北區東大路三段</t>
    </r>
    <r>
      <rPr>
        <sz val="10"/>
        <color rgb="FF1F2A28"/>
        <rFont val="Arial"/>
        <family val="0"/>
        <charset val="1"/>
      </rPr>
      <t xml:space="preserve">467</t>
    </r>
    <r>
      <rPr>
        <sz val="10"/>
        <color rgb="FF1F2A28"/>
        <rFont val="WenQuanYi Zen Hei"/>
        <family val="2"/>
      </rPr>
      <t xml:space="preserve">巷</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</si>
  <si>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(03)536-8068 0937-152-252</t>
  </si>
  <si>
    <t xml:space="preserve">skyseamt@gmail.com</t>
  </si>
  <si>
    <t xml:space="preserve">2004-05-17</t>
  </si>
  <si>
    <t xml:space="preserve">張小杏</t>
  </si>
  <si>
    <t xml:space="preserve">新竹市私立鳴謙文理短期補習班</t>
  </si>
  <si>
    <r>
      <rPr>
        <sz val="10"/>
        <color rgb="FF1F2A28"/>
        <rFont val="WenQuanYi Zen Hei"/>
        <family val="2"/>
      </rPr>
      <t xml:space="preserve">新竹市北區光華北街</t>
    </r>
    <r>
      <rPr>
        <sz val="10"/>
        <color rgb="FF1F2A28"/>
        <rFont val="Arial"/>
        <family val="0"/>
        <charset val="1"/>
      </rPr>
      <t xml:space="preserve">49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</si>
  <si>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(03)5350603(03)5344151</t>
  </si>
  <si>
    <t xml:space="preserve">林世詮</t>
  </si>
  <si>
    <t xml:space="preserve">劉恩彤</t>
  </si>
  <si>
    <t xml:space="preserve">維廉文化有限公司附設新竹市私立維廉美語文理技藝短期補習班</t>
  </si>
  <si>
    <r>
      <rPr>
        <sz val="10"/>
        <color rgb="FF1F2A28"/>
        <rFont val="WenQuanYi Zen Hei"/>
        <family val="2"/>
      </rPr>
      <t xml:space="preserve">新竹市北區東大路二段</t>
    </r>
    <r>
      <rPr>
        <sz val="10"/>
        <color rgb="FF1F2A28"/>
        <rFont val="Arial"/>
        <family val="0"/>
        <charset val="1"/>
      </rPr>
      <t xml:space="preserve">107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4</t>
    </r>
    <r>
      <rPr>
        <sz val="10"/>
        <color rgb="FF1F2A28"/>
        <rFont val="WenQuanYi Zen Hei"/>
        <family val="2"/>
      </rPr>
      <t xml:space="preserve">樓</t>
    </r>
  </si>
  <si>
    <t xml:space="preserve">(03)5328186</t>
  </si>
  <si>
    <t xml:space="preserve">2015-04-23</t>
  </si>
  <si>
    <r>
      <rPr>
        <sz val="10"/>
        <color rgb="FF1F2A28"/>
        <rFont val="WenQuanYi Zen Hei"/>
        <family val="2"/>
      </rPr>
      <t xml:space="preserve">維廉文化有限公司</t>
    </r>
    <r>
      <rPr>
        <sz val="10"/>
        <color rgb="FF1F2A28"/>
        <rFont val="Arial"/>
        <family val="0"/>
        <charset val="1"/>
      </rPr>
      <t xml:space="preserve">(</t>
    </r>
    <r>
      <rPr>
        <sz val="10"/>
        <color rgb="FF1F2A28"/>
        <rFont val="WenQuanYi Zen Hei"/>
        <family val="2"/>
      </rPr>
      <t xml:space="preserve">負責人</t>
    </r>
    <r>
      <rPr>
        <sz val="10"/>
        <color rgb="FF1F2A28"/>
        <rFont val="Arial"/>
        <family val="0"/>
        <charset val="1"/>
      </rPr>
      <t xml:space="preserve">:</t>
    </r>
    <r>
      <rPr>
        <sz val="10"/>
        <color rgb="FF1F2A28"/>
        <rFont val="WenQuanYi Zen Hei"/>
        <family val="2"/>
      </rPr>
      <t xml:space="preserve">楊明潭</t>
    </r>
    <r>
      <rPr>
        <sz val="10"/>
        <color rgb="FF1F2A28"/>
        <rFont val="Arial"/>
        <family val="0"/>
        <charset val="1"/>
      </rPr>
      <t xml:space="preserve">)</t>
    </r>
  </si>
  <si>
    <t xml:space="preserve">維慶文化有限公司附設新竹市私立維慶美語文理技藝短期補習班</t>
  </si>
  <si>
    <r>
      <rPr>
        <sz val="10"/>
        <color rgb="FF1F2A28"/>
        <rFont val="WenQuanYi Zen Hei"/>
        <family val="2"/>
      </rPr>
      <t xml:space="preserve">新竹市北區東大路二段</t>
    </r>
    <r>
      <rPr>
        <sz val="10"/>
        <color rgb="FF1F2A28"/>
        <rFont val="Arial"/>
        <family val="0"/>
        <charset val="1"/>
      </rPr>
      <t xml:space="preserve">107</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</si>
  <si>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0925168089</t>
  </si>
  <si>
    <r>
      <rPr>
        <sz val="10"/>
        <color rgb="FF1F2A28"/>
        <rFont val="WenQuanYi Zen Hei"/>
        <family val="2"/>
      </rPr>
      <t xml:space="preserve">維慶文化有限公司</t>
    </r>
    <r>
      <rPr>
        <sz val="10"/>
        <color rgb="FF1F2A28"/>
        <rFont val="Arial"/>
        <family val="0"/>
        <charset val="1"/>
      </rPr>
      <t xml:space="preserve">(</t>
    </r>
    <r>
      <rPr>
        <sz val="10"/>
        <color rgb="FF1F2A28"/>
        <rFont val="WenQuanYi Zen Hei"/>
        <family val="2"/>
      </rPr>
      <t xml:space="preserve">負責人</t>
    </r>
    <r>
      <rPr>
        <sz val="10"/>
        <color rgb="FF1F2A28"/>
        <rFont val="Arial"/>
        <family val="0"/>
        <charset val="1"/>
      </rPr>
      <t xml:space="preserve">:</t>
    </r>
    <r>
      <rPr>
        <sz val="10"/>
        <color rgb="FF1F2A28"/>
        <rFont val="WenQuanYi Zen Hei"/>
        <family val="2"/>
      </rPr>
      <t xml:space="preserve">楊明潭</t>
    </r>
    <r>
      <rPr>
        <sz val="10"/>
        <color rgb="FF1F2A28"/>
        <rFont val="Arial"/>
        <family val="0"/>
        <charset val="1"/>
      </rPr>
      <t xml:space="preserve">)</t>
    </r>
  </si>
  <si>
    <t xml:space="preserve">林語晨</t>
  </si>
  <si>
    <t xml:space="preserve">維豐文化有限公司附設新竹市私立維豐美語文理技藝短期補習班</t>
  </si>
  <si>
    <r>
      <rPr>
        <sz val="10"/>
        <color rgb="FF1F2A28"/>
        <rFont val="WenQuanYi Zen Hei"/>
        <family val="2"/>
      </rPr>
      <t xml:space="preserve">新竹市北區東大路二段</t>
    </r>
    <r>
      <rPr>
        <sz val="10"/>
        <color rgb="FF1F2A28"/>
        <rFont val="Arial"/>
        <family val="0"/>
        <charset val="1"/>
      </rPr>
      <t xml:space="preserve">107</t>
    </r>
    <r>
      <rPr>
        <sz val="10"/>
        <color rgb="FF1F2A28"/>
        <rFont val="WenQuanYi Zen Hei"/>
        <family val="2"/>
      </rPr>
      <t xml:space="preserve">號</t>
    </r>
    <r>
      <rPr>
        <sz val="10"/>
        <color rgb="FF1F2A28"/>
        <rFont val="Arial"/>
        <family val="0"/>
        <charset val="1"/>
      </rPr>
      <t xml:space="preserve">5-6</t>
    </r>
    <r>
      <rPr>
        <sz val="10"/>
        <color rgb="FF1F2A28"/>
        <rFont val="WenQuanYi Zen Hei"/>
        <family val="2"/>
      </rPr>
      <t xml:space="preserve">樓</t>
    </r>
  </si>
  <si>
    <t xml:space="preserve">0925168089/03-5328186</t>
  </si>
  <si>
    <r>
      <rPr>
        <sz val="10"/>
        <color rgb="FF1F2A28"/>
        <rFont val="WenQuanYi Zen Hei"/>
        <family val="2"/>
      </rPr>
      <t xml:space="preserve">維豐文化有限公司</t>
    </r>
    <r>
      <rPr>
        <sz val="10"/>
        <color rgb="FF1F2A28"/>
        <rFont val="Arial"/>
        <family val="0"/>
        <charset val="1"/>
      </rPr>
      <t xml:space="preserve">(</t>
    </r>
    <r>
      <rPr>
        <sz val="10"/>
        <color rgb="FF1F2A28"/>
        <rFont val="WenQuanYi Zen Hei"/>
        <family val="2"/>
      </rPr>
      <t xml:space="preserve">負責人</t>
    </r>
    <r>
      <rPr>
        <sz val="10"/>
        <color rgb="FF1F2A28"/>
        <rFont val="Arial"/>
        <family val="0"/>
        <charset val="1"/>
      </rPr>
      <t xml:space="preserve">:</t>
    </r>
    <r>
      <rPr>
        <sz val="10"/>
        <color rgb="FF1F2A28"/>
        <rFont val="WenQuanYi Zen Hei"/>
        <family val="2"/>
      </rPr>
      <t xml:space="preserve">楊明潭</t>
    </r>
    <r>
      <rPr>
        <sz val="10"/>
        <color rgb="FF1F2A28"/>
        <rFont val="Arial"/>
        <family val="0"/>
        <charset val="1"/>
      </rPr>
      <t xml:space="preserve">)</t>
    </r>
  </si>
  <si>
    <t xml:space="preserve">謝雅安</t>
  </si>
  <si>
    <t xml:space="preserve">新竹市東區</t>
  </si>
  <si>
    <t xml:space="preserve">何嘉仁文教事業股份有限公司新竹分公司附設新竹市私立風城語文短期補習班</t>
  </si>
  <si>
    <r>
      <rPr>
        <sz val="10"/>
        <color rgb="FF1F2A28"/>
        <rFont val="WenQuanYi Zen Hei"/>
        <family val="2"/>
      </rPr>
      <t xml:space="preserve">新竹市東區民族路</t>
    </r>
    <r>
      <rPr>
        <sz val="10"/>
        <color rgb="FF1F2A28"/>
        <rFont val="Arial"/>
        <family val="0"/>
        <charset val="1"/>
      </rPr>
      <t xml:space="preserve">55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</si>
  <si>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(03)5322388</t>
  </si>
  <si>
    <t xml:space="preserve">hs3301@hess.com.tw</t>
  </si>
  <si>
    <t xml:space="preserve">2005-03-07</t>
  </si>
  <si>
    <t xml:space="preserve">林小郁</t>
  </si>
  <si>
    <t xml:space="preserve">全國文教事業有限公司附設新竹市私立全國外語中心短期補習班</t>
  </si>
  <si>
    <r>
      <rPr>
        <sz val="10"/>
        <color rgb="FF1F2A28"/>
        <rFont val="WenQuanYi Zen Hei"/>
        <family val="2"/>
      </rPr>
      <t xml:space="preserve">新竹市東區光復路二段</t>
    </r>
    <r>
      <rPr>
        <sz val="10"/>
        <color rgb="FF1F2A28"/>
        <rFont val="Arial"/>
        <family val="0"/>
        <charset val="1"/>
      </rPr>
      <t xml:space="preserve">254</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</si>
  <si>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(03)5736588</t>
  </si>
  <si>
    <t xml:space="preserve">service@nlc-school.com</t>
  </si>
  <si>
    <t xml:space="preserve">康鉫瑜</t>
  </si>
  <si>
    <t xml:space="preserve">卓越文理事業有限公司附設新竹市私立卓越文理短期補習班</t>
  </si>
  <si>
    <r>
      <rPr>
        <sz val="10"/>
        <color rgb="FF1F2A28"/>
        <rFont val="WenQuanYi Zen Hei"/>
        <family val="2"/>
      </rPr>
      <t xml:space="preserve">新竹市東區占梅路</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2</t>
    </r>
    <r>
      <rPr>
        <sz val="10"/>
        <color rgb="FF1F2A28"/>
        <rFont val="WenQuanYi Zen Hei"/>
        <family val="2"/>
      </rPr>
      <t xml:space="preserve">樓</t>
    </r>
  </si>
  <si>
    <t xml:space="preserve">(03)6667788</t>
  </si>
  <si>
    <t xml:space="preserve">beyond.edu2019@gmail.com</t>
  </si>
  <si>
    <r>
      <rPr>
        <sz val="10"/>
        <color rgb="FF1F2A28"/>
        <rFont val="WenQuanYi Zen Hei"/>
        <family val="2"/>
      </rPr>
      <t xml:space="preserve">美語</t>
    </r>
    <r>
      <rPr>
        <sz val="10"/>
        <color rgb="FF1F2A28"/>
        <rFont val="Arial"/>
        <family val="0"/>
        <charset val="1"/>
      </rPr>
      <t xml:space="preserve">4-8</t>
    </r>
    <r>
      <rPr>
        <sz val="10"/>
        <color rgb="FF1F2A28"/>
        <rFont val="WenQuanYi Zen Hei"/>
        <family val="2"/>
      </rPr>
      <t xml:space="preserve">班、美語</t>
    </r>
    <r>
      <rPr>
        <sz val="10"/>
        <color rgb="FF1F2A28"/>
        <rFont val="Arial"/>
        <family val="0"/>
        <charset val="1"/>
      </rPr>
      <t xml:space="preserve">9-10</t>
    </r>
    <r>
      <rPr>
        <sz val="10"/>
        <color rgb="FF1F2A28"/>
        <rFont val="WenQuanYi Zen Hei"/>
        <family val="2"/>
      </rPr>
      <t xml:space="preserve">班、美語、美語</t>
    </r>
    <r>
      <rPr>
        <sz val="10"/>
        <color rgb="FF1F2A28"/>
        <rFont val="Arial"/>
        <family val="0"/>
        <charset val="1"/>
      </rPr>
      <t xml:space="preserve">1-3</t>
    </r>
    <r>
      <rPr>
        <sz val="10"/>
        <color rgb="FF1F2A28"/>
        <rFont val="WenQuanYi Zen Hei"/>
        <family val="2"/>
      </rPr>
      <t xml:space="preserve">班</t>
    </r>
  </si>
  <si>
    <t xml:space="preserve">陳鳳琴</t>
  </si>
  <si>
    <t xml:space="preserve">史丹佛文教事業股份有限公司附設新竹市私立史丹佛文理短期補習班</t>
  </si>
  <si>
    <r>
      <rPr>
        <sz val="10"/>
        <color rgb="FF1F2A28"/>
        <rFont val="WenQuanYi Zen Hei"/>
        <family val="2"/>
      </rPr>
      <t xml:space="preserve">新竹市東區大學路</t>
    </r>
    <r>
      <rPr>
        <sz val="10"/>
        <color rgb="FF1F2A28"/>
        <rFont val="Arial"/>
        <family val="0"/>
        <charset val="1"/>
      </rPr>
      <t xml:space="preserve">81</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弄</t>
    </r>
    <r>
      <rPr>
        <sz val="10"/>
        <color rgb="FF1F2A28"/>
        <rFont val="Arial"/>
        <family val="0"/>
        <charset val="1"/>
      </rPr>
      <t xml:space="preserve">51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</si>
  <si>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(03)5715992</t>
  </si>
  <si>
    <t xml:space="preserve">lucylo08@yahoo.com</t>
  </si>
  <si>
    <t xml:space="preserve">1998-01-07</t>
  </si>
  <si>
    <r>
      <rPr>
        <sz val="10"/>
        <color rgb="FF1F2A28"/>
        <rFont val="WenQuanYi Zen Hei"/>
        <family val="2"/>
      </rPr>
      <t xml:space="preserve">史丹佛文教事業股份有限公司</t>
    </r>
    <r>
      <rPr>
        <sz val="10"/>
        <color rgb="FF1F2A28"/>
        <rFont val="Arial"/>
        <family val="0"/>
        <charset val="1"/>
      </rPr>
      <t xml:space="preserve">(</t>
    </r>
    <r>
      <rPr>
        <sz val="10"/>
        <color rgb="FF1F2A28"/>
        <rFont val="WenQuanYi Zen Hei"/>
        <family val="2"/>
      </rPr>
      <t xml:space="preserve">羅賴燈</t>
    </r>
    <r>
      <rPr>
        <sz val="10"/>
        <color rgb="FF1F2A28"/>
        <rFont val="Arial"/>
        <family val="0"/>
        <charset val="1"/>
      </rPr>
      <t xml:space="preserve">)</t>
    </r>
  </si>
  <si>
    <t xml:space="preserve">羅恕辰</t>
  </si>
  <si>
    <t xml:space="preserve">小小科學家教育事業股份有限公司附設新竹市私立科學家教育文理短期補習班</t>
  </si>
  <si>
    <r>
      <rPr>
        <sz val="10"/>
        <color rgb="FF1F2A28"/>
        <rFont val="WenQuanYi Zen Hei"/>
        <family val="2"/>
      </rPr>
      <t xml:space="preserve">新竹市東區光復路一段</t>
    </r>
    <r>
      <rPr>
        <sz val="10"/>
        <color rgb="FF1F2A28"/>
        <rFont val="Arial"/>
        <family val="0"/>
        <charset val="1"/>
      </rPr>
      <t xml:space="preserve">485</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弄</t>
    </r>
    <r>
      <rPr>
        <sz val="10"/>
        <color rgb="FF1F2A28"/>
        <rFont val="Arial"/>
        <family val="0"/>
        <charset val="1"/>
      </rPr>
      <t xml:space="preserve">27</t>
    </r>
    <r>
      <rPr>
        <sz val="10"/>
        <color rgb="FF1F2A28"/>
        <rFont val="WenQuanYi Zen Hei"/>
        <family val="2"/>
      </rPr>
      <t xml:space="preserve">、</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</si>
  <si>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(03)5670212</t>
  </si>
  <si>
    <t xml:space="preserve">weesct@gmail.com</t>
  </si>
  <si>
    <t xml:space="preserve">2020-05-20</t>
  </si>
  <si>
    <t xml:space="preserve">詹佳翰</t>
  </si>
  <si>
    <t xml:space="preserve">彭聖智</t>
  </si>
  <si>
    <t xml:space="preserve">巨匠電腦股份有限公司新竹美語分公司附設新竹市私立巨匠文理短期補習班</t>
  </si>
  <si>
    <r>
      <rPr>
        <sz val="10"/>
        <color rgb="FF1F2A28"/>
        <rFont val="WenQuanYi Zen Hei"/>
        <family val="2"/>
      </rPr>
      <t xml:space="preserve">新竹市東區東門街</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37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</si>
  <si>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(03)5252077</t>
  </si>
  <si>
    <t xml:space="preserve">KK_mailbox@pcschool.com.tw</t>
  </si>
  <si>
    <t xml:space="preserve">2010-01-13</t>
  </si>
  <si>
    <r>
      <rPr>
        <sz val="10"/>
        <color rgb="FF1F2A28"/>
        <rFont val="WenQuanYi Zen Hei"/>
        <family val="2"/>
      </rPr>
      <t xml:space="preserve">巨匠電腦股份有限公司</t>
    </r>
    <r>
      <rPr>
        <sz val="10"/>
        <color rgb="FF1F2A28"/>
        <rFont val="Arial"/>
        <family val="0"/>
        <charset val="1"/>
      </rPr>
      <t xml:space="preserve">(</t>
    </r>
    <r>
      <rPr>
        <sz val="10"/>
        <color rgb="FF1F2A28"/>
        <rFont val="WenQuanYi Zen Hei"/>
        <family val="2"/>
      </rPr>
      <t xml:space="preserve">負責人</t>
    </r>
    <r>
      <rPr>
        <sz val="10"/>
        <color rgb="FF1F2A28"/>
        <rFont val="Arial"/>
        <family val="0"/>
        <charset val="1"/>
      </rPr>
      <t xml:space="preserve">:</t>
    </r>
    <r>
      <rPr>
        <sz val="10"/>
        <color rgb="FF1F2A28"/>
        <rFont val="WenQuanYi Zen Hei"/>
        <family val="2"/>
      </rPr>
      <t xml:space="preserve">鍾梁權 </t>
    </r>
    <r>
      <rPr>
        <sz val="10"/>
        <color rgb="FF1F2A28"/>
        <rFont val="Arial"/>
        <family val="0"/>
        <charset val="1"/>
      </rPr>
      <t xml:space="preserve">)</t>
    </r>
  </si>
  <si>
    <t xml:space="preserve">楊念純</t>
  </si>
  <si>
    <t xml:space="preserve">弋果文化事業股份有限公司附設新竹市私立弋果美語文理短期補習班科園分班</t>
  </si>
  <si>
    <r>
      <rPr>
        <sz val="10"/>
        <color rgb="FF1F2A28"/>
        <rFont val="WenQuanYi Zen Hei"/>
        <family val="2"/>
      </rPr>
      <t xml:space="preserve">新竹市東區金山街</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3-4</t>
    </r>
    <r>
      <rPr>
        <sz val="10"/>
        <color rgb="FF1F2A28"/>
        <rFont val="WenQuanYi Zen Hei"/>
        <family val="2"/>
      </rPr>
      <t xml:space="preserve">樓</t>
    </r>
  </si>
  <si>
    <t xml:space="preserve">03-5637733</t>
  </si>
  <si>
    <t xml:space="preserve">angelliang.eaglespl@gmail.com</t>
  </si>
  <si>
    <t xml:space="preserve">2015-11-27</t>
  </si>
  <si>
    <t xml:space="preserve">李瑋珊</t>
  </si>
  <si>
    <t xml:space="preserve">弋果文化事業股份有限公司附設新竹市私立弋果美語文理短期補習班關埔分班</t>
  </si>
  <si>
    <r>
      <rPr>
        <sz val="10"/>
        <color rgb="FF1F2A28"/>
        <rFont val="WenQuanYi Zen Hei"/>
        <family val="2"/>
      </rPr>
      <t xml:space="preserve">新竹市東區埔頂一路</t>
    </r>
    <r>
      <rPr>
        <sz val="10"/>
        <color rgb="FF1F2A28"/>
        <rFont val="Arial"/>
        <family val="0"/>
        <charset val="1"/>
      </rPr>
      <t xml:space="preserve">203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樓至</t>
    </r>
    <r>
      <rPr>
        <sz val="10"/>
        <color rgb="FF1F2A28"/>
        <rFont val="Arial"/>
        <family val="0"/>
        <charset val="1"/>
      </rPr>
      <t xml:space="preserve">6</t>
    </r>
    <r>
      <rPr>
        <sz val="10"/>
        <color rgb="FF1F2A28"/>
        <rFont val="WenQuanYi Zen Hei"/>
        <family val="2"/>
      </rPr>
      <t xml:space="preserve">樓</t>
    </r>
  </si>
  <si>
    <t xml:space="preserve">(03)6686782</t>
  </si>
  <si>
    <t xml:space="preserve">amy.tien@eagletw.com</t>
  </si>
  <si>
    <t xml:space="preserve">國小美語初級、國小美語中高級、美語</t>
  </si>
  <si>
    <t xml:space="preserve">2018-06-14</t>
  </si>
  <si>
    <t xml:space="preserve">龍月萍</t>
  </si>
  <si>
    <t xml:space="preserve">弋果文化事業股份有限公司附設新竹市私立旗艦美語短期補習班</t>
  </si>
  <si>
    <r>
      <rPr>
        <sz val="10"/>
        <color rgb="FF1F2A28"/>
        <rFont val="WenQuanYi Zen Hei"/>
        <family val="2"/>
      </rPr>
      <t xml:space="preserve">新竹市東區金山六街</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4</t>
    </r>
    <r>
      <rPr>
        <sz val="10"/>
        <color rgb="FF1F2A28"/>
        <rFont val="WenQuanYi Zen Hei"/>
        <family val="2"/>
      </rPr>
      <t xml:space="preserve">樓</t>
    </r>
  </si>
  <si>
    <t xml:space="preserve">(03)5637733</t>
  </si>
  <si>
    <t xml:space="preserve">angel.liang.eaglespl@gmail.com</t>
  </si>
  <si>
    <t xml:space="preserve">林婉瑜</t>
  </si>
  <si>
    <r>
      <rPr>
        <sz val="10"/>
        <color rgb="FF1F2A28"/>
        <rFont val="WenQuanYi Zen Hei"/>
        <family val="2"/>
      </rPr>
      <t xml:space="preserve">新竹市私立</t>
    </r>
    <r>
      <rPr>
        <sz val="10"/>
        <color rgb="FF1F2A28"/>
        <rFont val="Arial"/>
        <family val="0"/>
        <charset val="1"/>
      </rPr>
      <t xml:space="preserve">A1</t>
    </r>
    <r>
      <rPr>
        <sz val="10"/>
        <color rgb="FF1F2A28"/>
        <rFont val="WenQuanYi Zen Hei"/>
        <family val="2"/>
      </rPr>
      <t xml:space="preserve">智慧教室文理短期補習班</t>
    </r>
  </si>
  <si>
    <r>
      <rPr>
        <sz val="10"/>
        <color rgb="FF1F2A28"/>
        <rFont val="WenQuanYi Zen Hei"/>
        <family val="2"/>
      </rPr>
      <t xml:space="preserve">新竹市東區光復路一段</t>
    </r>
    <r>
      <rPr>
        <sz val="10"/>
        <color rgb="FF1F2A28"/>
        <rFont val="Arial"/>
        <family val="0"/>
        <charset val="1"/>
      </rPr>
      <t xml:space="preserve">268</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</si>
  <si>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0977101808</t>
  </si>
  <si>
    <t xml:space="preserve">inyou82325@gmail.com</t>
  </si>
  <si>
    <t xml:space="preserve">徐維宏</t>
  </si>
  <si>
    <t xml:space="preserve">王音友</t>
  </si>
  <si>
    <t xml:space="preserve">新竹市私立上群文理短期補習班</t>
  </si>
  <si>
    <r>
      <rPr>
        <sz val="10"/>
        <color rgb="FF1F2A28"/>
        <rFont val="WenQuanYi Zen Hei"/>
        <family val="2"/>
      </rPr>
      <t xml:space="preserve">新竹市東區食品路</t>
    </r>
    <r>
      <rPr>
        <sz val="10"/>
        <color rgb="FF1F2A28"/>
        <rFont val="Arial"/>
        <family val="0"/>
        <charset val="1"/>
      </rPr>
      <t xml:space="preserve">218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</si>
  <si>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(03)5620992</t>
  </si>
  <si>
    <t xml:space="preserve">1999-02-01</t>
  </si>
  <si>
    <t xml:space="preserve">葉平</t>
  </si>
  <si>
    <t xml:space="preserve">葉鳳琪</t>
  </si>
  <si>
    <t xml:space="preserve">新竹市私立中美英語會話短期補習班</t>
  </si>
  <si>
    <r>
      <rPr>
        <sz val="10"/>
        <color rgb="FF1F2A28"/>
        <rFont val="WenQuanYi Zen Hei"/>
        <family val="2"/>
      </rPr>
      <t xml:space="preserve">新竹市東區南大路</t>
    </r>
    <r>
      <rPr>
        <sz val="10"/>
        <color rgb="FF1F2A28"/>
        <rFont val="Arial"/>
        <family val="0"/>
        <charset val="1"/>
      </rPr>
      <t xml:space="preserve">403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</si>
  <si>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(03)5268368</t>
  </si>
  <si>
    <t xml:space="preserve">dent123456@gmail.com</t>
  </si>
  <si>
    <t xml:space="preserve">1982-03-22</t>
  </si>
  <si>
    <t xml:space="preserve">王友宗</t>
  </si>
  <si>
    <t xml:space="preserve">新竹市私立丹尼爾關東文理技藝短期補習班</t>
  </si>
  <si>
    <r>
      <rPr>
        <sz val="10"/>
        <color rgb="FF1F2A28"/>
        <rFont val="WenQuanYi Zen Hei"/>
        <family val="2"/>
      </rPr>
      <t xml:space="preserve">新竹市東區關東路</t>
    </r>
    <r>
      <rPr>
        <sz val="10"/>
        <color rgb="FF1F2A28"/>
        <rFont val="Arial"/>
        <family val="0"/>
        <charset val="1"/>
      </rPr>
      <t xml:space="preserve">70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</si>
  <si>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0982-026272</t>
  </si>
  <si>
    <t xml:space="preserve">dreamie724@yahoo.com.tw</t>
  </si>
  <si>
    <t xml:space="preserve">卓石榴</t>
  </si>
  <si>
    <t xml:space="preserve">侯衛</t>
  </si>
  <si>
    <t xml:space="preserve">新竹市私立亞立文理技藝短期補習班</t>
  </si>
  <si>
    <r>
      <rPr>
        <sz val="10"/>
        <color rgb="FF1F2A28"/>
        <rFont val="WenQuanYi Zen Hei"/>
        <family val="2"/>
      </rPr>
      <t xml:space="preserve">新竹市東區關東路</t>
    </r>
    <r>
      <rPr>
        <sz val="10"/>
        <color rgb="FF1F2A28"/>
        <rFont val="Arial"/>
        <family val="0"/>
        <charset val="1"/>
      </rPr>
      <t xml:space="preserve">125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</si>
  <si>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 6661331</t>
  </si>
  <si>
    <t xml:space="preserve">chichi_lai@yahoo.com</t>
  </si>
  <si>
    <t xml:space="preserve">2020-09-23</t>
  </si>
  <si>
    <t xml:space="preserve">賴家琪</t>
  </si>
  <si>
    <t xml:space="preserve">賴清水</t>
  </si>
  <si>
    <t xml:space="preserve">新竹市私立伊凡美語短期補習班</t>
  </si>
  <si>
    <r>
      <rPr>
        <sz val="10"/>
        <color rgb="FF1F2A28"/>
        <rFont val="WenQuanYi Zen Hei"/>
        <family val="2"/>
      </rPr>
      <t xml:space="preserve">新竹市東區科學園路</t>
    </r>
    <r>
      <rPr>
        <sz val="10"/>
        <color rgb="FF1F2A28"/>
        <rFont val="Arial"/>
        <family val="0"/>
        <charset val="1"/>
      </rPr>
      <t xml:space="preserve">107</t>
    </r>
    <r>
      <rPr>
        <sz val="10"/>
        <color rgb="FF1F2A28"/>
        <rFont val="WenQuanYi Zen Hei"/>
        <family val="2"/>
      </rPr>
      <t xml:space="preserve">巷</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2</t>
    </r>
    <r>
      <rPr>
        <sz val="10"/>
        <color rgb="FF1F2A28"/>
        <rFont val="WenQuanYi Zen Hei"/>
        <family val="2"/>
      </rPr>
      <t xml:space="preserve">樓</t>
    </r>
  </si>
  <si>
    <r>
      <rPr>
        <sz val="10"/>
        <color rgb="FF1F2A28"/>
        <rFont val="Arial"/>
        <family val="0"/>
        <charset val="1"/>
      </rPr>
      <t xml:space="preserve">(03)5678403</t>
    </r>
    <r>
      <rPr>
        <sz val="10"/>
        <color rgb="FF1F2A28"/>
        <rFont val="WenQuanYi Zen Hei"/>
        <family val="2"/>
      </rPr>
      <t xml:space="preserve">、</t>
    </r>
    <r>
      <rPr>
        <sz val="10"/>
        <color rgb="FF1F2A28"/>
        <rFont val="Arial"/>
        <family val="0"/>
        <charset val="1"/>
      </rPr>
      <t xml:space="preserve">5678405</t>
    </r>
  </si>
  <si>
    <t xml:space="preserve">Erictseng0205@gmail.com</t>
  </si>
  <si>
    <t xml:space="preserve">嚴郁舲</t>
  </si>
  <si>
    <t xml:space="preserve">新竹市私立伯特美語短期補習班</t>
  </si>
  <si>
    <r>
      <rPr>
        <sz val="10"/>
        <color rgb="FF1F2A28"/>
        <rFont val="WenQuanYi Zen Hei"/>
        <family val="2"/>
      </rPr>
      <t xml:space="preserve">新竹市東區光復路一段</t>
    </r>
    <r>
      <rPr>
        <sz val="10"/>
        <color rgb="FF1F2A28"/>
        <rFont val="Arial"/>
        <family val="0"/>
        <charset val="1"/>
      </rPr>
      <t xml:space="preserve">354</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</si>
  <si>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(03)6661930</t>
  </si>
  <si>
    <t xml:space="preserve">amylingross@gmail.com</t>
  </si>
  <si>
    <t xml:space="preserve">2007-10-02</t>
  </si>
  <si>
    <t xml:space="preserve">林巨凡</t>
  </si>
  <si>
    <t xml:space="preserve">新竹市私立佐藤外語文理短期補習班</t>
  </si>
  <si>
    <r>
      <rPr>
        <sz val="10"/>
        <color rgb="FF1F2A28"/>
        <rFont val="WenQuanYi Zen Hei"/>
        <family val="2"/>
      </rPr>
      <t xml:space="preserve">新竹市東區中正路</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t>
    </r>
  </si>
  <si>
    <t xml:space="preserve">0975086890</t>
  </si>
  <si>
    <t xml:space="preserve">sato.language@gmail.com</t>
  </si>
  <si>
    <t xml:space="preserve">2025-04-02</t>
  </si>
  <si>
    <t xml:space="preserve">黃意萍</t>
  </si>
  <si>
    <t xml:space="preserve">袁立</t>
  </si>
  <si>
    <t xml:space="preserve">新竹市私立何嘉仁東園語文短期補習班</t>
  </si>
  <si>
    <r>
      <rPr>
        <sz val="10"/>
        <color rgb="FF1F2A28"/>
        <rFont val="WenQuanYi Zen Hei"/>
        <family val="2"/>
      </rPr>
      <t xml:space="preserve">新竹市東區博愛街</t>
    </r>
    <r>
      <rPr>
        <sz val="10"/>
        <color rgb="FF1F2A28"/>
        <rFont val="Arial"/>
        <family val="0"/>
        <charset val="1"/>
      </rPr>
      <t xml:space="preserve">96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</si>
  <si>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(03)5721590</t>
  </si>
  <si>
    <t xml:space="preserve">hs1108@hess.com.tw</t>
  </si>
  <si>
    <t xml:space="preserve">倪甄偵</t>
  </si>
  <si>
    <t xml:space="preserve">新竹市私立俋升文理短期補習班</t>
  </si>
  <si>
    <r>
      <rPr>
        <sz val="10"/>
        <color rgb="FF1F2A28"/>
        <rFont val="WenQuanYi Zen Hei"/>
        <family val="2"/>
      </rPr>
      <t xml:space="preserve">新竹市東區關東路</t>
    </r>
    <r>
      <rPr>
        <sz val="10"/>
        <color rgb="FF1F2A28"/>
        <rFont val="Arial"/>
        <family val="0"/>
        <charset val="1"/>
      </rPr>
      <t xml:space="preserve">139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</si>
  <si>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(03)6686022</t>
  </si>
  <si>
    <t xml:space="preserve">pyp1031@gmail.com</t>
  </si>
  <si>
    <t xml:space="preserve">2020-04-10</t>
  </si>
  <si>
    <t xml:space="preserve">潘依萍</t>
  </si>
  <si>
    <t xml:space="preserve">新竹市私立偉文文理短期補習班</t>
  </si>
  <si>
    <r>
      <rPr>
        <sz val="10"/>
        <color rgb="FF1F2A28"/>
        <rFont val="WenQuanYi Zen Hei"/>
        <family val="2"/>
      </rPr>
      <t xml:space="preserve">新竹市東區東門街</t>
    </r>
    <r>
      <rPr>
        <sz val="10"/>
        <color rgb="FF1F2A28"/>
        <rFont val="Arial"/>
        <family val="0"/>
        <charset val="1"/>
      </rPr>
      <t xml:space="preserve">46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</si>
  <si>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(03)5258000</t>
  </si>
  <si>
    <t xml:space="preserve">waywin54711@yahoo.com.tw</t>
  </si>
  <si>
    <t xml:space="preserve">1991-06-24</t>
  </si>
  <si>
    <t xml:space="preserve">李成河</t>
  </si>
  <si>
    <t xml:space="preserve">李茂源</t>
  </si>
  <si>
    <t xml:space="preserve">新竹市私立傑優美語短期補習班</t>
  </si>
  <si>
    <r>
      <rPr>
        <sz val="10"/>
        <color rgb="FF1F2A28"/>
        <rFont val="WenQuanYi Zen Hei"/>
        <family val="2"/>
      </rPr>
      <t xml:space="preserve">新竹市東區南大路</t>
    </r>
    <r>
      <rPr>
        <sz val="10"/>
        <color rgb="FF1F2A28"/>
        <rFont val="Arial"/>
        <family val="0"/>
        <charset val="1"/>
      </rPr>
      <t xml:space="preserve">567</t>
    </r>
    <r>
      <rPr>
        <sz val="10"/>
        <color rgb="FF1F2A28"/>
        <rFont val="WenQuanYi Zen Hei"/>
        <family val="2"/>
      </rPr>
      <t xml:space="preserve">巷</t>
    </r>
    <r>
      <rPr>
        <sz val="10"/>
        <color rgb="FF1F2A28"/>
        <rFont val="Arial"/>
        <family val="0"/>
        <charset val="1"/>
      </rPr>
      <t xml:space="preserve">43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</si>
  <si>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(03)5613949</t>
  </si>
  <si>
    <t xml:space="preserve">a0936051360@gmail.com</t>
  </si>
  <si>
    <t xml:space="preserve">2009-10-23</t>
  </si>
  <si>
    <t xml:space="preserve">吳莉娟</t>
  </si>
  <si>
    <t xml:space="preserve">新竹市私立優雅而行文理技藝短期補習班</t>
  </si>
  <si>
    <r>
      <rPr>
        <sz val="10"/>
        <color rgb="FF1F2A28"/>
        <rFont val="WenQuanYi Zen Hei"/>
        <family val="2"/>
      </rPr>
      <t xml:space="preserve">新竹市東區關東路</t>
    </r>
    <r>
      <rPr>
        <sz val="10"/>
        <color rgb="FF1F2A28"/>
        <rFont val="Arial"/>
        <family val="0"/>
        <charset val="1"/>
      </rPr>
      <t xml:space="preserve">260</t>
    </r>
    <r>
      <rPr>
        <sz val="10"/>
        <color rgb="FF1F2A28"/>
        <rFont val="WenQuanYi Zen Hei"/>
        <family val="2"/>
      </rPr>
      <t xml:space="preserve">巷</t>
    </r>
    <r>
      <rPr>
        <sz val="10"/>
        <color rgb="FF1F2A28"/>
        <rFont val="Arial"/>
        <family val="0"/>
        <charset val="1"/>
      </rPr>
      <t xml:space="preserve">46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</si>
  <si>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(03)6663583</t>
  </si>
  <si>
    <t xml:space="preserve">andanteart195@gmail.com</t>
  </si>
  <si>
    <t xml:space="preserve">2015-08-19</t>
  </si>
  <si>
    <t xml:space="preserve">江如韻</t>
  </si>
  <si>
    <t xml:space="preserve">新竹市私立光點學學文理短期補習班</t>
  </si>
  <si>
    <r>
      <rPr>
        <sz val="10"/>
        <color rgb="FF1F2A28"/>
        <rFont val="WenQuanYi Zen Hei"/>
        <family val="2"/>
      </rPr>
      <t xml:space="preserve">新竹市東區學府路</t>
    </r>
    <r>
      <rPr>
        <sz val="10"/>
        <color rgb="FF1F2A28"/>
        <rFont val="Arial"/>
        <family val="0"/>
        <charset val="1"/>
      </rPr>
      <t xml:space="preserve">115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1</t>
    </r>
    <r>
      <rPr>
        <sz val="10"/>
        <color rgb="FF1F2A28"/>
        <rFont val="WenQuanYi Zen Hei"/>
        <family val="2"/>
      </rPr>
      <t xml:space="preserve">樓夾層</t>
    </r>
  </si>
  <si>
    <t xml:space="preserve">035751066</t>
  </si>
  <si>
    <t xml:space="preserve">shinyspot.pjhs@gmail.com</t>
  </si>
  <si>
    <t xml:space="preserve">劉岫雲</t>
  </si>
  <si>
    <t xml:space="preserve">陳雅芳</t>
  </si>
  <si>
    <t xml:space="preserve">新竹市私立典翰文理短期補習班</t>
  </si>
  <si>
    <r>
      <rPr>
        <sz val="10"/>
        <color rgb="FF1F2A28"/>
        <rFont val="WenQuanYi Zen Hei"/>
        <family val="2"/>
      </rPr>
      <t xml:space="preserve">新竹市東區建中路</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</si>
  <si>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(03)5748988</t>
  </si>
  <si>
    <t xml:space="preserve">徐偉鈞</t>
  </si>
  <si>
    <t xml:space="preserve">新竹市私立劍橋文理短期補習班</t>
  </si>
  <si>
    <r>
      <rPr>
        <sz val="10"/>
        <color rgb="FF1F2A28"/>
        <rFont val="WenQuanYi Zen Hei"/>
        <family val="2"/>
      </rPr>
      <t xml:space="preserve">新竹市東區光復路一段</t>
    </r>
    <r>
      <rPr>
        <sz val="10"/>
        <color rgb="FF1F2A28"/>
        <rFont val="Arial"/>
        <family val="0"/>
        <charset val="1"/>
      </rPr>
      <t xml:space="preserve">322</t>
    </r>
    <r>
      <rPr>
        <sz val="10"/>
        <color rgb="FF1F2A28"/>
        <rFont val="WenQuanYi Zen Hei"/>
        <family val="2"/>
      </rPr>
      <t xml:space="preserve">號二樓</t>
    </r>
  </si>
  <si>
    <t xml:space="preserve">(03)5774117,5795569</t>
  </si>
  <si>
    <t xml:space="preserve">ckkid.castle@msa.hinet.net</t>
  </si>
  <si>
    <t xml:space="preserve">2001-02-19</t>
  </si>
  <si>
    <t xml:space="preserve">王珮琪</t>
  </si>
  <si>
    <t xml:space="preserve">新竹市私立卓見電腦美語文理短期補習班</t>
  </si>
  <si>
    <r>
      <rPr>
        <sz val="10"/>
        <color rgb="FF1F2A28"/>
        <rFont val="WenQuanYi Zen Hei"/>
        <family val="2"/>
      </rPr>
      <t xml:space="preserve">新竹市東區經國路一段</t>
    </r>
    <r>
      <rPr>
        <sz val="10"/>
        <color rgb="FF1F2A28"/>
        <rFont val="Arial"/>
        <family val="0"/>
        <charset val="1"/>
      </rPr>
      <t xml:space="preserve">379</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</si>
  <si>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(03)5152910</t>
  </si>
  <si>
    <t xml:space="preserve">tim0955601416@gmail.com</t>
  </si>
  <si>
    <t xml:space="preserve">2003-08-18</t>
  </si>
  <si>
    <t xml:space="preserve">蔡榮庭</t>
  </si>
  <si>
    <t xml:space="preserve">新竹市私立南瓜田美語經國分部文理短期補習班</t>
  </si>
  <si>
    <r>
      <rPr>
        <sz val="10"/>
        <color rgb="FF1F2A28"/>
        <rFont val="WenQuanYi Zen Hei"/>
        <family val="2"/>
      </rPr>
      <t xml:space="preserve">新竹市東區經國路一段</t>
    </r>
    <r>
      <rPr>
        <sz val="10"/>
        <color rgb="FF1F2A28"/>
        <rFont val="Arial"/>
        <family val="0"/>
        <charset val="1"/>
      </rPr>
      <t xml:space="preserve">479</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弄</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樓至</t>
    </r>
    <r>
      <rPr>
        <sz val="10"/>
        <color rgb="FF1F2A28"/>
        <rFont val="Arial"/>
        <family val="0"/>
        <charset val="1"/>
      </rPr>
      <t xml:space="preserve">4</t>
    </r>
    <r>
      <rPr>
        <sz val="10"/>
        <color rgb="FF1F2A28"/>
        <rFont val="WenQuanYi Zen Hei"/>
        <family val="2"/>
      </rPr>
      <t xml:space="preserve">樓</t>
    </r>
  </si>
  <si>
    <t xml:space="preserve">(03)5327751</t>
  </si>
  <si>
    <t xml:space="preserve">pgls.vicky@gmail.com</t>
  </si>
  <si>
    <t xml:space="preserve">2016-05-17</t>
  </si>
  <si>
    <t xml:space="preserve">林禾維</t>
  </si>
  <si>
    <t xml:space="preserve">新竹市私立友友美語短期補習班</t>
  </si>
  <si>
    <r>
      <rPr>
        <sz val="10"/>
        <color rgb="FF1F2A28"/>
        <rFont val="WenQuanYi Zen Hei"/>
        <family val="2"/>
      </rPr>
      <t xml:space="preserve">新竹市東區光復路一段</t>
    </r>
    <r>
      <rPr>
        <sz val="10"/>
        <color rgb="FF1F2A28"/>
        <rFont val="Arial"/>
        <family val="0"/>
        <charset val="1"/>
      </rPr>
      <t xml:space="preserve">485</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弄</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</si>
  <si>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(03)5776323</t>
  </si>
  <si>
    <t xml:space="preserve">joyce041257@yahoo.com.tw</t>
  </si>
  <si>
    <t xml:space="preserve">潘惠娟</t>
  </si>
  <si>
    <t xml:space="preserve">新竹市私立向日葵丫丫英語短期補習班</t>
  </si>
  <si>
    <r>
      <rPr>
        <sz val="10"/>
        <color rgb="FF1F2A28"/>
        <rFont val="WenQuanYi Zen Hei"/>
        <family val="2"/>
      </rPr>
      <t xml:space="preserve">新竹市東區福德街</t>
    </r>
    <r>
      <rPr>
        <sz val="10"/>
        <color rgb="FF1F2A28"/>
        <rFont val="Arial"/>
        <family val="0"/>
        <charset val="1"/>
      </rPr>
      <t xml:space="preserve">43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4</t>
    </r>
    <r>
      <rPr>
        <sz val="10"/>
        <color rgb="FF1F2A28"/>
        <rFont val="WenQuanYi Zen Hei"/>
        <family val="2"/>
      </rPr>
      <t xml:space="preserve">樓</t>
    </r>
  </si>
  <si>
    <t xml:space="preserve">(03)5265871</t>
  </si>
  <si>
    <t xml:space="preserve">sunflower2000168@gmail.com</t>
  </si>
  <si>
    <t xml:space="preserve">2013-02-08</t>
  </si>
  <si>
    <t xml:space="preserve">簡月娥</t>
  </si>
  <si>
    <t xml:space="preserve">簡茗煊</t>
  </si>
  <si>
    <t xml:space="preserve">新竹市私立向日葵語文文理短期補習班</t>
  </si>
  <si>
    <r>
      <rPr>
        <sz val="10"/>
        <color rgb="FF1F2A28"/>
        <rFont val="WenQuanYi Zen Hei"/>
        <family val="2"/>
      </rPr>
      <t xml:space="preserve">新竹市東區福德街</t>
    </r>
    <r>
      <rPr>
        <sz val="10"/>
        <color rgb="FF1F2A28"/>
        <rFont val="Arial"/>
        <family val="0"/>
        <charset val="1"/>
      </rPr>
      <t xml:space="preserve">45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t>
    </r>
  </si>
  <si>
    <t xml:space="preserve">2000-04-24</t>
  </si>
  <si>
    <t xml:space="preserve">新竹市私立吳老師文理短期補習班</t>
  </si>
  <si>
    <r>
      <rPr>
        <sz val="10"/>
        <color rgb="FF1F2A28"/>
        <rFont val="WenQuanYi Zen Hei"/>
        <family val="2"/>
      </rPr>
      <t xml:space="preserve">新竹市東區立鵬路</t>
    </r>
    <r>
      <rPr>
        <sz val="10"/>
        <color rgb="FF1F2A28"/>
        <rFont val="Arial"/>
        <family val="0"/>
        <charset val="1"/>
      </rPr>
      <t xml:space="preserve">120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</si>
  <si>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0939760960</t>
  </si>
  <si>
    <t xml:space="preserve">a0939760960@gmail.com</t>
  </si>
  <si>
    <t xml:space="preserve">2020-09-25</t>
  </si>
  <si>
    <t xml:space="preserve">吳素婷</t>
  </si>
  <si>
    <t xml:space="preserve">林于華</t>
  </si>
  <si>
    <t xml:space="preserve">新竹市私立哇美語文理技藝短期補習班</t>
  </si>
  <si>
    <r>
      <rPr>
        <sz val="10"/>
        <color rgb="FF1F2A28"/>
        <rFont val="WenQuanYi Zen Hei"/>
        <family val="2"/>
      </rPr>
      <t xml:space="preserve">新竹市東區龍山東路</t>
    </r>
    <r>
      <rPr>
        <sz val="10"/>
        <color rgb="FF1F2A28"/>
        <rFont val="Arial"/>
        <family val="0"/>
        <charset val="1"/>
      </rPr>
      <t xml:space="preserve">258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</si>
  <si>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(03)5641188</t>
  </si>
  <si>
    <t xml:space="preserve">ny6020003@gmail.com</t>
  </si>
  <si>
    <t xml:space="preserve">2023-01-06</t>
  </si>
  <si>
    <t xml:space="preserve">柳懿真</t>
  </si>
  <si>
    <t xml:space="preserve">胡杏如</t>
  </si>
  <si>
    <t xml:space="preserve">新竹市私立哲哲學苑文理技藝短期補習班</t>
  </si>
  <si>
    <r>
      <rPr>
        <sz val="10"/>
        <color rgb="FF1F2A28"/>
        <rFont val="WenQuanYi Zen Hei"/>
        <family val="2"/>
      </rPr>
      <t xml:space="preserve">新竹市東區光復路一段</t>
    </r>
    <r>
      <rPr>
        <sz val="10"/>
        <color rgb="FF1F2A28"/>
        <rFont val="Arial"/>
        <family val="0"/>
        <charset val="1"/>
      </rPr>
      <t xml:space="preserve">649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</si>
  <si>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 5678286</t>
  </si>
  <si>
    <t xml:space="preserve">wisdom.hct@gmail.com</t>
  </si>
  <si>
    <t xml:space="preserve">2020-06-19</t>
  </si>
  <si>
    <t xml:space="preserve">楊傳蓮</t>
  </si>
  <si>
    <t xml:space="preserve">吳冠薇</t>
  </si>
  <si>
    <t xml:space="preserve">新竹市私立喬喬文理技藝短期補習班</t>
  </si>
  <si>
    <r>
      <rPr>
        <sz val="10"/>
        <color rgb="FF1F2A28"/>
        <rFont val="WenQuanYi Zen Hei"/>
        <family val="2"/>
      </rPr>
      <t xml:space="preserve">新竹市東區南大路</t>
    </r>
    <r>
      <rPr>
        <sz val="10"/>
        <color rgb="FF1F2A28"/>
        <rFont val="Arial"/>
        <family val="0"/>
        <charset val="1"/>
      </rPr>
      <t xml:space="preserve">878</t>
    </r>
    <r>
      <rPr>
        <sz val="10"/>
        <color rgb="FF1F2A28"/>
        <rFont val="WenQuanYi Zen Hei"/>
        <family val="2"/>
      </rPr>
      <t xml:space="preserve">巷</t>
    </r>
    <r>
      <rPr>
        <sz val="10"/>
        <color rgb="FF1F2A28"/>
        <rFont val="Arial"/>
        <family val="0"/>
        <charset val="1"/>
      </rPr>
      <t xml:space="preserve">82</t>
    </r>
    <r>
      <rPr>
        <sz val="10"/>
        <color rgb="FF1F2A28"/>
        <rFont val="WenQuanYi Zen Hei"/>
        <family val="2"/>
      </rPr>
      <t xml:space="preserve">弄</t>
    </r>
    <r>
      <rPr>
        <sz val="10"/>
        <color rgb="FF1F2A28"/>
        <rFont val="Arial"/>
        <family val="0"/>
        <charset val="1"/>
      </rPr>
      <t xml:space="preserve">43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</si>
  <si>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0935166523</t>
  </si>
  <si>
    <t xml:space="preserve">j0933151@yahoo.com.tw</t>
  </si>
  <si>
    <t xml:space="preserve">蔡淑蔚</t>
  </si>
  <si>
    <t xml:space="preserve">新竹市私立喬比特美語文理短期補習班</t>
  </si>
  <si>
    <r>
      <rPr>
        <sz val="10"/>
        <color rgb="FF1F2A28"/>
        <rFont val="WenQuanYi Zen Hei"/>
        <family val="2"/>
      </rPr>
      <t xml:space="preserve">新竹市東區民享街</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</si>
  <si>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(03)6662667</t>
  </si>
  <si>
    <t xml:space="preserve">joyenglish2022@gmail.com</t>
  </si>
  <si>
    <t xml:space="preserve">張雪芳</t>
  </si>
  <si>
    <t xml:space="preserve">王昱</t>
  </si>
  <si>
    <t xml:space="preserve">新竹市私立嘉德琳文理短期補習班</t>
  </si>
  <si>
    <r>
      <rPr>
        <sz val="10"/>
        <color rgb="FF1F2A28"/>
        <rFont val="WenQuanYi Zen Hei"/>
        <family val="2"/>
      </rPr>
      <t xml:space="preserve">新竹市東區埔頂二路</t>
    </r>
    <r>
      <rPr>
        <sz val="10"/>
        <color rgb="FF1F2A28"/>
        <rFont val="Arial"/>
        <family val="0"/>
        <charset val="1"/>
      </rPr>
      <t xml:space="preserve">165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</si>
  <si>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03-5306521</t>
  </si>
  <si>
    <t xml:space="preserve">cadalin.cramschool@gmail.com</t>
  </si>
  <si>
    <t xml:space="preserve">2019-09-11</t>
  </si>
  <si>
    <t xml:space="preserve">萬瑞琴</t>
  </si>
  <si>
    <t xml:space="preserve">周嘉虹</t>
  </si>
  <si>
    <t xml:space="preserve">新竹市私立嘉德琳關埔美語短期補習班</t>
  </si>
  <si>
    <r>
      <rPr>
        <sz val="10"/>
        <color rgb="FF1F2A28"/>
        <rFont val="WenQuanYi Zen Hei"/>
        <family val="2"/>
      </rPr>
      <t xml:space="preserve">新竹市東區埔頂三路</t>
    </r>
    <r>
      <rPr>
        <sz val="10"/>
        <color rgb="FF1F2A28"/>
        <rFont val="Arial"/>
        <family val="0"/>
        <charset val="1"/>
      </rPr>
      <t xml:space="preserve">146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</si>
  <si>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(03)5790918</t>
  </si>
  <si>
    <t xml:space="preserve">2015-06-30</t>
  </si>
  <si>
    <t xml:space="preserve">蕭寶郡</t>
  </si>
  <si>
    <t xml:space="preserve">新竹市私立嘉禾文理技藝短期補習班</t>
  </si>
  <si>
    <r>
      <rPr>
        <sz val="10"/>
        <color rgb="FF1F2A28"/>
        <rFont val="WenQuanYi Zen Hei"/>
        <family val="2"/>
      </rPr>
      <t xml:space="preserve">新竹市東區埔頂一路</t>
    </r>
    <r>
      <rPr>
        <sz val="10"/>
        <color rgb="FF1F2A28"/>
        <rFont val="Arial"/>
        <family val="0"/>
        <charset val="1"/>
      </rPr>
      <t xml:space="preserve">147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</si>
  <si>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(03)5678481</t>
  </si>
  <si>
    <t xml:space="preserve">gavotte.edustudio@gmail.com</t>
  </si>
  <si>
    <t xml:space="preserve">2019-08-19</t>
  </si>
  <si>
    <t xml:space="preserve">吳佩蓉</t>
  </si>
  <si>
    <t xml:space="preserve">新竹市私立四季田語文短期補習班</t>
  </si>
  <si>
    <r>
      <rPr>
        <sz val="10"/>
        <color rgb="FF1F2A28"/>
        <rFont val="WenQuanYi Zen Hei"/>
        <family val="2"/>
      </rPr>
      <t xml:space="preserve">新竹市東區慈濟路</t>
    </r>
    <r>
      <rPr>
        <sz val="10"/>
        <color rgb="FF1F2A28"/>
        <rFont val="Arial"/>
        <family val="0"/>
        <charset val="1"/>
      </rPr>
      <t xml:space="preserve">5</t>
    </r>
    <r>
      <rPr>
        <sz val="10"/>
        <color rgb="FF1F2A28"/>
        <rFont val="WenQuanYi Zen Hei"/>
        <family val="2"/>
      </rPr>
      <t xml:space="preserve">、</t>
    </r>
    <r>
      <rPr>
        <sz val="10"/>
        <color rgb="FF1F2A28"/>
        <rFont val="Arial"/>
        <family val="0"/>
        <charset val="1"/>
      </rPr>
      <t xml:space="preserve">7</t>
    </r>
    <r>
      <rPr>
        <sz val="10"/>
        <color rgb="FF1F2A28"/>
        <rFont val="WenQuanYi Zen Hei"/>
        <family val="2"/>
      </rPr>
      <t xml:space="preserve">、</t>
    </r>
    <r>
      <rPr>
        <sz val="10"/>
        <color rgb="FF1F2A28"/>
        <rFont val="Arial"/>
        <family val="0"/>
        <charset val="1"/>
      </rPr>
      <t xml:space="preserve">9</t>
    </r>
    <r>
      <rPr>
        <sz val="10"/>
        <color rgb="FF1F2A28"/>
        <rFont val="WenQuanYi Zen Hei"/>
        <family val="2"/>
      </rPr>
      <t xml:space="preserve">、</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</si>
  <si>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(03)5783388</t>
  </si>
  <si>
    <t xml:space="preserve">connie@fsa.com.tw</t>
  </si>
  <si>
    <t xml:space="preserve">2008-03-21</t>
  </si>
  <si>
    <t xml:space="preserve">蔡峻喬</t>
  </si>
  <si>
    <t xml:space="preserve">新竹市私立基音美語短期補習班</t>
  </si>
  <si>
    <r>
      <rPr>
        <sz val="10"/>
        <color rgb="FF1F2A28"/>
        <rFont val="WenQuanYi Zen Hei"/>
        <family val="2"/>
      </rPr>
      <t xml:space="preserve">新竹市東區金山二十七街</t>
    </r>
    <r>
      <rPr>
        <sz val="10"/>
        <color rgb="FF1F2A28"/>
        <rFont val="Arial"/>
        <family val="0"/>
        <charset val="1"/>
      </rPr>
      <t xml:space="preserve">57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</si>
  <si>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r>
      <rPr>
        <sz val="10"/>
        <color rgb="FF1F2A28"/>
        <rFont val="Arial"/>
        <family val="0"/>
        <charset val="1"/>
      </rPr>
      <t xml:space="preserve">(03)5637057</t>
    </r>
    <r>
      <rPr>
        <sz val="10"/>
        <color rgb="FF1F2A28"/>
        <rFont val="WenQuanYi Zen Hei"/>
        <family val="2"/>
      </rPr>
      <t xml:space="preserve">，</t>
    </r>
    <r>
      <rPr>
        <sz val="10"/>
        <color rgb="FF1F2A28"/>
        <rFont val="Arial"/>
        <family val="0"/>
        <charset val="1"/>
      </rPr>
      <t xml:space="preserve">5637058</t>
    </r>
  </si>
  <si>
    <t xml:space="preserve">彭俊橙</t>
  </si>
  <si>
    <t xml:space="preserve">謝佩璇</t>
  </si>
  <si>
    <t xml:space="preserve">新竹市私立大正短期補習班</t>
  </si>
  <si>
    <r>
      <rPr>
        <sz val="10"/>
        <color rgb="FF1F2A28"/>
        <rFont val="WenQuanYi Zen Hei"/>
        <family val="2"/>
      </rPr>
      <t xml:space="preserve">新竹市東區自由路</t>
    </r>
    <r>
      <rPr>
        <sz val="10"/>
        <color rgb="FF1F2A28"/>
        <rFont val="Arial"/>
        <family val="0"/>
        <charset val="1"/>
      </rPr>
      <t xml:space="preserve">101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</si>
  <si>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(03)5325999</t>
  </si>
  <si>
    <t xml:space="preserve">2006-01-27</t>
  </si>
  <si>
    <t xml:space="preserve">新竹市私立天藍語文才藝短期補習班</t>
  </si>
  <si>
    <r>
      <rPr>
        <sz val="10"/>
        <color rgb="FF1F2A28"/>
        <rFont val="WenQuanYi Zen Hei"/>
        <family val="2"/>
      </rPr>
      <t xml:space="preserve">新竹市東區東南街</t>
    </r>
    <r>
      <rPr>
        <sz val="10"/>
        <color rgb="FF1F2A28"/>
        <rFont val="Arial"/>
        <family val="0"/>
        <charset val="1"/>
      </rPr>
      <t xml:space="preserve">53</t>
    </r>
    <r>
      <rPr>
        <sz val="10"/>
        <color rgb="FF1F2A28"/>
        <rFont val="WenQuanYi Zen Hei"/>
        <family val="2"/>
      </rPr>
      <t xml:space="preserve">巷</t>
    </r>
    <r>
      <rPr>
        <sz val="10"/>
        <color rgb="FF1F2A28"/>
        <rFont val="Arial"/>
        <family val="0"/>
        <charset val="1"/>
      </rPr>
      <t xml:space="preserve">43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樓部份及</t>
    </r>
    <r>
      <rPr>
        <sz val="10"/>
        <color rgb="FF1F2A28"/>
        <rFont val="Arial"/>
        <family val="0"/>
        <charset val="1"/>
      </rPr>
      <t xml:space="preserve">2</t>
    </r>
    <r>
      <rPr>
        <sz val="10"/>
        <color rgb="FF1F2A28"/>
        <rFont val="WenQuanYi Zen Hei"/>
        <family val="2"/>
      </rPr>
      <t xml:space="preserve">樓</t>
    </r>
  </si>
  <si>
    <t xml:space="preserve">(03)5615877</t>
  </si>
  <si>
    <t xml:space="preserve">羅際堯</t>
  </si>
  <si>
    <t xml:space="preserve">新竹市私立奎豆文理短期補習班</t>
  </si>
  <si>
    <r>
      <rPr>
        <sz val="10"/>
        <color rgb="FF1F2A28"/>
        <rFont val="WenQuanYi Zen Hei"/>
        <family val="2"/>
      </rPr>
      <t xml:space="preserve">新竹市東區新莊街</t>
    </r>
    <r>
      <rPr>
        <sz val="10"/>
        <color rgb="FF1F2A28"/>
        <rFont val="Arial"/>
        <family val="0"/>
        <charset val="1"/>
      </rPr>
      <t xml:space="preserve">62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2</t>
    </r>
    <r>
      <rPr>
        <sz val="10"/>
        <color rgb="FF1F2A28"/>
        <rFont val="WenQuanYi Zen Hei"/>
        <family val="2"/>
      </rPr>
      <t xml:space="preserve">樓</t>
    </r>
  </si>
  <si>
    <t xml:space="preserve">(03)6662468</t>
  </si>
  <si>
    <t xml:space="preserve">cradle.edu.tw@gmail.com</t>
  </si>
  <si>
    <t xml:space="preserve">2013-01-18</t>
  </si>
  <si>
    <t xml:space="preserve">江福斌</t>
  </si>
  <si>
    <t xml:space="preserve">新竹市私立奕維美語短期補習班</t>
  </si>
  <si>
    <r>
      <rPr>
        <sz val="10"/>
        <color rgb="FF1F2A28"/>
        <rFont val="WenQuanYi Zen Hei"/>
        <family val="2"/>
      </rPr>
      <t xml:space="preserve">新竹市東區自由路</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</si>
  <si>
    <t xml:space="preserve">(03)5153689</t>
  </si>
  <si>
    <t xml:space="preserve">sun765892@gmail.com</t>
  </si>
  <si>
    <t xml:space="preserve">李奕維</t>
  </si>
  <si>
    <t xml:space="preserve">張芷瑜</t>
  </si>
  <si>
    <t xml:space="preserve">新竹市私立好好外語文理短期補習班</t>
  </si>
  <si>
    <r>
      <rPr>
        <sz val="10"/>
        <color rgb="FF1F2A28"/>
        <rFont val="WenQuanYi Zen Hei"/>
        <family val="2"/>
      </rPr>
      <t xml:space="preserve">新竹市東區竹蓮街</t>
    </r>
    <r>
      <rPr>
        <sz val="10"/>
        <color rgb="FF1F2A28"/>
        <rFont val="Arial"/>
        <family val="0"/>
        <charset val="1"/>
      </rPr>
      <t xml:space="preserve">136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</si>
  <si>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0933980062</t>
  </si>
  <si>
    <t xml:space="preserve">2019-08-13</t>
  </si>
  <si>
    <t xml:space="preserve">鄭力文</t>
  </si>
  <si>
    <t xml:space="preserve">朱倩瑜</t>
  </si>
  <si>
    <t xml:space="preserve">新竹市私立學園英語短期補習班</t>
  </si>
  <si>
    <r>
      <rPr>
        <sz val="10"/>
        <color rgb="FF1F2A28"/>
        <rFont val="WenQuanYi Zen Hei"/>
        <family val="2"/>
      </rPr>
      <t xml:space="preserve">新竹市東區中央路</t>
    </r>
    <r>
      <rPr>
        <sz val="10"/>
        <color rgb="FF1F2A28"/>
        <rFont val="Arial"/>
        <family val="0"/>
        <charset val="1"/>
      </rPr>
      <t xml:space="preserve">307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</si>
  <si>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(03)5324100</t>
  </si>
  <si>
    <t xml:space="preserve">sheiyuan@ms63.hinet.net</t>
  </si>
  <si>
    <t xml:space="preserve">1998-05-11</t>
  </si>
  <si>
    <t xml:space="preserve">李文雄</t>
  </si>
  <si>
    <t xml:space="preserve">新竹市私立學智文理短期補習班</t>
  </si>
  <si>
    <r>
      <rPr>
        <sz val="10"/>
        <color rgb="FF1F2A28"/>
        <rFont val="WenQuanYi Zen Hei"/>
        <family val="2"/>
      </rPr>
      <t xml:space="preserve">新竹市東區學府路</t>
    </r>
    <r>
      <rPr>
        <sz val="10"/>
        <color rgb="FF1F2A28"/>
        <rFont val="Arial"/>
        <family val="0"/>
        <charset val="1"/>
      </rPr>
      <t xml:space="preserve">443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</si>
  <si>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(03)5726890</t>
  </si>
  <si>
    <t xml:space="preserve">jiezilin333@gmail.com</t>
  </si>
  <si>
    <t xml:space="preserve">林玠孜</t>
  </si>
  <si>
    <t xml:space="preserve">陳達觀</t>
  </si>
  <si>
    <t xml:space="preserve">新竹市私立實一文理短期補習班</t>
  </si>
  <si>
    <r>
      <rPr>
        <sz val="10"/>
        <color rgb="FF1F2A28"/>
        <rFont val="WenQuanYi Zen Hei"/>
        <family val="2"/>
      </rPr>
      <t xml:space="preserve">新竹市東區光復路一段</t>
    </r>
    <r>
      <rPr>
        <sz val="10"/>
        <color rgb="FF1F2A28"/>
        <rFont val="Arial"/>
        <family val="0"/>
        <charset val="1"/>
      </rPr>
      <t xml:space="preserve">268</t>
    </r>
    <r>
      <rPr>
        <sz val="10"/>
        <color rgb="FF1F2A28"/>
        <rFont val="WenQuanYi Zen Hei"/>
        <family val="2"/>
      </rPr>
      <t xml:space="preserve">巷</t>
    </r>
    <r>
      <rPr>
        <sz val="10"/>
        <color rgb="FF1F2A28"/>
        <rFont val="Arial"/>
        <family val="0"/>
        <charset val="1"/>
      </rPr>
      <t xml:space="preserve">11-1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3</t>
    </r>
    <r>
      <rPr>
        <sz val="10"/>
        <color rgb="FF1F2A28"/>
        <rFont val="WenQuanYi Zen Hei"/>
        <family val="2"/>
      </rPr>
      <t xml:space="preserve">樓</t>
    </r>
  </si>
  <si>
    <t xml:space="preserve">(03)6662584</t>
  </si>
  <si>
    <t xml:space="preserve">sus1341834@gmail.com</t>
  </si>
  <si>
    <t xml:space="preserve">2021-11-18</t>
  </si>
  <si>
    <t xml:space="preserve">孫魚秝</t>
  </si>
  <si>
    <t xml:space="preserve">新竹市私立小博士園地英語文短期補習班</t>
  </si>
  <si>
    <r>
      <rPr>
        <sz val="10"/>
        <color rgb="FF1F2A28"/>
        <rFont val="WenQuanYi Zen Hei"/>
        <family val="2"/>
      </rPr>
      <t xml:space="preserve">新竹市東區明湖路</t>
    </r>
    <r>
      <rPr>
        <sz val="10"/>
        <color rgb="FF1F2A28"/>
        <rFont val="Arial"/>
        <family val="0"/>
        <charset val="1"/>
      </rPr>
      <t xml:space="preserve">231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3</t>
    </r>
    <r>
      <rPr>
        <sz val="10"/>
        <color rgb="FF1F2A28"/>
        <rFont val="WenQuanYi Zen Hei"/>
        <family val="2"/>
      </rPr>
      <t xml:space="preserve">樓</t>
    </r>
  </si>
  <si>
    <t xml:space="preserve">(03)5622811</t>
  </si>
  <si>
    <t xml:space="preserve">ww5351805@gmail.com</t>
  </si>
  <si>
    <t xml:space="preserve">王暐迪</t>
  </si>
  <si>
    <t xml:space="preserve">葉美仁</t>
  </si>
  <si>
    <t xml:space="preserve">新竹市私立康乃爾外語中心短期補習班</t>
  </si>
  <si>
    <r>
      <rPr>
        <sz val="10"/>
        <color rgb="FF1F2A28"/>
        <rFont val="WenQuanYi Zen Hei"/>
        <family val="2"/>
      </rPr>
      <t xml:space="preserve">新竹市東區中華路二段</t>
    </r>
    <r>
      <rPr>
        <sz val="10"/>
        <color rgb="FF1F2A28"/>
        <rFont val="Arial"/>
        <family val="0"/>
        <charset val="1"/>
      </rPr>
      <t xml:space="preserve">316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2</t>
    </r>
    <r>
      <rPr>
        <sz val="10"/>
        <color rgb="FF1F2A28"/>
        <rFont val="WenQuanYi Zen Hei"/>
        <family val="2"/>
      </rPr>
      <t xml:space="preserve">樓</t>
    </r>
  </si>
  <si>
    <t xml:space="preserve">(03)5233066</t>
  </si>
  <si>
    <t xml:space="preserve">cornellh@ms52.hinet.net</t>
  </si>
  <si>
    <t xml:space="preserve">2001-04-03</t>
  </si>
  <si>
    <t xml:space="preserve">陳麗淑</t>
  </si>
  <si>
    <t xml:space="preserve">陳麗貞</t>
  </si>
  <si>
    <t xml:space="preserve">新竹市私立康寧關新文理才藝短期補習班</t>
  </si>
  <si>
    <r>
      <rPr>
        <sz val="10"/>
        <color rgb="FF1F2A28"/>
        <rFont val="WenQuanYi Zen Hei"/>
        <family val="2"/>
      </rPr>
      <t xml:space="preserve">新竹市東區關新北路</t>
    </r>
    <r>
      <rPr>
        <sz val="10"/>
        <color rgb="FF1F2A28"/>
        <rFont val="Arial"/>
        <family val="0"/>
        <charset val="1"/>
      </rPr>
      <t xml:space="preserve">181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樓及關新北路</t>
    </r>
    <r>
      <rPr>
        <sz val="10"/>
        <color rgb="FF1F2A28"/>
        <rFont val="Arial"/>
        <family val="0"/>
        <charset val="1"/>
      </rPr>
      <t xml:space="preserve">168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</si>
  <si>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(03)5678565</t>
  </si>
  <si>
    <t xml:space="preserve">eamon.hsu@kangning.com.tw</t>
  </si>
  <si>
    <t xml:space="preserve">2018-07-05</t>
  </si>
  <si>
    <t xml:space="preserve">林養浩</t>
  </si>
  <si>
    <t xml:space="preserve">温鎮尉</t>
  </si>
  <si>
    <t xml:space="preserve">新竹市私立延展文理短期補習班科園分班</t>
  </si>
  <si>
    <r>
      <rPr>
        <sz val="10"/>
        <color rgb="FF1F2A28"/>
        <rFont val="WenQuanYi Zen Hei"/>
        <family val="2"/>
      </rPr>
      <t xml:space="preserve">新竹市東區光復路一段</t>
    </r>
    <r>
      <rPr>
        <sz val="10"/>
        <color rgb="FF1F2A28"/>
        <rFont val="Arial"/>
        <family val="0"/>
        <charset val="1"/>
      </rPr>
      <t xml:space="preserve">607</t>
    </r>
    <r>
      <rPr>
        <sz val="10"/>
        <color rgb="FF1F2A28"/>
        <rFont val="WenQuanYi Zen Hei"/>
        <family val="2"/>
      </rPr>
      <t xml:space="preserve">巷</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</si>
  <si>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(03)5631905</t>
  </si>
  <si>
    <t xml:space="preserve">witch.wang@yahoo.com.tw</t>
  </si>
  <si>
    <t xml:space="preserve">2013-04-30</t>
  </si>
  <si>
    <t xml:space="preserve">王淑芳</t>
  </si>
  <si>
    <t xml:space="preserve">羅智豪</t>
  </si>
  <si>
    <t xml:space="preserve">新竹市私立弗利思特美語短期補習班</t>
  </si>
  <si>
    <r>
      <rPr>
        <sz val="10"/>
        <color rgb="FF1F2A28"/>
        <rFont val="WenQuanYi Zen Hei"/>
        <family val="2"/>
      </rPr>
      <t xml:space="preserve">新竹市東區光復路一段</t>
    </r>
    <r>
      <rPr>
        <sz val="10"/>
        <color rgb="FF1F2A28"/>
        <rFont val="Arial"/>
        <family val="0"/>
        <charset val="1"/>
      </rPr>
      <t xml:space="preserve">607</t>
    </r>
    <r>
      <rPr>
        <sz val="10"/>
        <color rgb="FF1F2A28"/>
        <rFont val="WenQuanYi Zen Hei"/>
        <family val="2"/>
      </rPr>
      <t xml:space="preserve">巷</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</si>
  <si>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(03)5780269</t>
  </si>
  <si>
    <t xml:space="preserve">foresthc@so-net.net.tw</t>
  </si>
  <si>
    <t xml:space="preserve">2004-04-23</t>
  </si>
  <si>
    <t xml:space="preserve">劉子瑋</t>
  </si>
  <si>
    <t xml:space="preserve">新竹市私立德利國際語文技藝短期補習班</t>
  </si>
  <si>
    <r>
      <rPr>
        <sz val="10"/>
        <color rgb="FF1F2A28"/>
        <rFont val="WenQuanYi Zen Hei"/>
        <family val="2"/>
      </rPr>
      <t xml:space="preserve">新竹市東區光復路一段</t>
    </r>
    <r>
      <rPr>
        <sz val="10"/>
        <color rgb="FF1F2A28"/>
        <rFont val="Arial"/>
        <family val="0"/>
        <charset val="1"/>
      </rPr>
      <t xml:space="preserve">327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2</t>
    </r>
    <r>
      <rPr>
        <sz val="10"/>
        <color rgb="FF1F2A28"/>
        <rFont val="WenQuanYi Zen Hei"/>
        <family val="2"/>
      </rPr>
      <t xml:space="preserve">樓</t>
    </r>
  </si>
  <si>
    <t xml:space="preserve">(03)6663882</t>
  </si>
  <si>
    <t xml:space="preserve">daily@jp-school.com.tw</t>
  </si>
  <si>
    <t xml:space="preserve">基礎英文科</t>
  </si>
  <si>
    <t xml:space="preserve">2014-10-28</t>
  </si>
  <si>
    <t xml:space="preserve">簡溱</t>
  </si>
  <si>
    <t xml:space="preserve">新竹市私立德川語文短期補習班站前分班</t>
  </si>
  <si>
    <r>
      <rPr>
        <sz val="10"/>
        <color rgb="FF1F2A28"/>
        <rFont val="WenQuanYi Zen Hei"/>
        <family val="2"/>
      </rPr>
      <t xml:space="preserve">新竹市東區中正路</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</si>
  <si>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(03)5257360</t>
  </si>
  <si>
    <t xml:space="preserve">hsinchu@jp-school.com.tw</t>
  </si>
  <si>
    <t xml:space="preserve">英文基礎</t>
  </si>
  <si>
    <t xml:space="preserve">2007-11-09</t>
  </si>
  <si>
    <t xml:space="preserve">甘蜂佑</t>
  </si>
  <si>
    <t xml:space="preserve">新竹市私立心奇點全人文理短期補習班</t>
  </si>
  <si>
    <r>
      <rPr>
        <sz val="10"/>
        <color rgb="FF1F2A28"/>
        <rFont val="WenQuanYi Zen Hei"/>
        <family val="2"/>
      </rPr>
      <t xml:space="preserve">新竹市東區關新路</t>
    </r>
    <r>
      <rPr>
        <sz val="10"/>
        <color rgb="FF1F2A28"/>
        <rFont val="Arial"/>
        <family val="0"/>
        <charset val="1"/>
      </rPr>
      <t xml:space="preserve">51</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</si>
  <si>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(03)6667399</t>
  </si>
  <si>
    <t xml:space="preserve">chuke@sesamevillage.tw</t>
  </si>
  <si>
    <t xml:space="preserve">2003-07-29</t>
  </si>
  <si>
    <t xml:space="preserve">許茜雯</t>
  </si>
  <si>
    <t xml:space="preserve">新竹市私立快樂兒童文理技藝短期補習班</t>
  </si>
  <si>
    <r>
      <rPr>
        <sz val="10"/>
        <color rgb="FF1F2A28"/>
        <rFont val="WenQuanYi Zen Hei"/>
        <family val="2"/>
      </rPr>
      <t xml:space="preserve">新竹市東區園後街</t>
    </r>
    <r>
      <rPr>
        <sz val="10"/>
        <color rgb="FF1F2A28"/>
        <rFont val="Arial"/>
        <family val="0"/>
        <charset val="1"/>
      </rPr>
      <t xml:space="preserve">67</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</si>
  <si>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(03)5733513</t>
  </si>
  <si>
    <t xml:space="preserve">yuchinchien@yahoo.com</t>
  </si>
  <si>
    <t xml:space="preserve">2009-11-12</t>
  </si>
  <si>
    <t xml:space="preserve">游金錢</t>
  </si>
  <si>
    <t xml:space="preserve">買詠卉</t>
  </si>
  <si>
    <t xml:space="preserve">新竹市私立思傑一號文理短期補習班</t>
  </si>
  <si>
    <r>
      <rPr>
        <sz val="10"/>
        <color rgb="FF1F2A28"/>
        <rFont val="WenQuanYi Zen Hei"/>
        <family val="2"/>
      </rPr>
      <t xml:space="preserve">新竹市東區自由路</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10</t>
    </r>
    <r>
      <rPr>
        <sz val="10"/>
        <color rgb="FF1F2A28"/>
        <rFont val="WenQuanYi Zen Hei"/>
        <family val="2"/>
      </rPr>
      <t xml:space="preserve">樓之</t>
    </r>
    <r>
      <rPr>
        <sz val="10"/>
        <color rgb="FF1F2A28"/>
        <rFont val="Arial"/>
        <family val="0"/>
        <charset val="1"/>
      </rPr>
      <t xml:space="preserve">2</t>
    </r>
  </si>
  <si>
    <t xml:space="preserve">(03)5352707</t>
  </si>
  <si>
    <t xml:space="preserve">2020-09-18</t>
  </si>
  <si>
    <t xml:space="preserve">曾玉春</t>
  </si>
  <si>
    <t xml:space="preserve">謝寬廷</t>
  </si>
  <si>
    <t xml:space="preserve">新竹市私立想像英語短期補習班</t>
  </si>
  <si>
    <r>
      <rPr>
        <sz val="10"/>
        <color rgb="FF1F2A28"/>
        <rFont val="WenQuanYi Zen Hei"/>
        <family val="2"/>
      </rPr>
      <t xml:space="preserve">新竹市東區立鵬路</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1</t>
    </r>
    <r>
      <rPr>
        <sz val="10"/>
        <color rgb="FF1F2A28"/>
        <rFont val="WenQuanYi Zen Hei"/>
        <family val="2"/>
      </rPr>
      <t xml:space="preserve">樓夾層</t>
    </r>
  </si>
  <si>
    <t xml:space="preserve">(03)5777620</t>
  </si>
  <si>
    <t xml:space="preserve">rachel_yen_20@yahoo.com.tw</t>
  </si>
  <si>
    <t xml:space="preserve">顏禎誼</t>
  </si>
  <si>
    <t xml:space="preserve">莊小槿</t>
  </si>
  <si>
    <t xml:space="preserve">新竹市私立愛德華美語短期補習班</t>
  </si>
  <si>
    <r>
      <rPr>
        <sz val="10"/>
        <color rgb="FF1F2A28"/>
        <rFont val="WenQuanYi Zen Hei"/>
        <family val="2"/>
      </rPr>
      <t xml:space="preserve">新竹市東區中正路</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</si>
  <si>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(0932283847</t>
  </si>
  <si>
    <t xml:space="preserve">胡醒華</t>
  </si>
  <si>
    <t xml:space="preserve">吳學明</t>
  </si>
  <si>
    <t xml:space="preserve">新竹市私立放學樂文理技藝短期補習班</t>
  </si>
  <si>
    <r>
      <rPr>
        <sz val="10"/>
        <color rgb="FF1F2A28"/>
        <rFont val="WenQuanYi Zen Hei"/>
        <family val="2"/>
      </rPr>
      <t xml:space="preserve">新竹市東區埔頂路</t>
    </r>
    <r>
      <rPr>
        <sz val="10"/>
        <color rgb="FF1F2A28"/>
        <rFont val="Arial"/>
        <family val="0"/>
        <charset val="1"/>
      </rPr>
      <t xml:space="preserve">368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</si>
  <si>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r>
      <rPr>
        <sz val="10"/>
        <color rgb="FF1F2A28"/>
        <rFont val="Arial"/>
        <family val="0"/>
        <charset val="1"/>
      </rPr>
      <t xml:space="preserve">03-5789368</t>
    </r>
    <r>
      <rPr>
        <sz val="10"/>
        <color rgb="FF1F2A28"/>
        <rFont val="WenQuanYi Zen Hei"/>
        <family val="2"/>
      </rPr>
      <t xml:space="preserve">，</t>
    </r>
    <r>
      <rPr>
        <sz val="10"/>
        <color rgb="FF1F2A28"/>
        <rFont val="Arial"/>
        <family val="0"/>
        <charset val="1"/>
      </rPr>
      <t xml:space="preserve">5789369</t>
    </r>
  </si>
  <si>
    <t xml:space="preserve">funlearning1116@gmail.com</t>
  </si>
  <si>
    <t xml:space="preserve">2021-05-21</t>
  </si>
  <si>
    <t xml:space="preserve">林彥圻</t>
  </si>
  <si>
    <t xml:space="preserve">馮婷</t>
  </si>
  <si>
    <t xml:space="preserve">新竹市私立新華興英語短期補習班</t>
  </si>
  <si>
    <r>
      <rPr>
        <sz val="10"/>
        <color rgb="FF1F2A28"/>
        <rFont val="WenQuanYi Zen Hei"/>
        <family val="2"/>
      </rPr>
      <t xml:space="preserve">新竹市東區東山街</t>
    </r>
    <r>
      <rPr>
        <sz val="10"/>
        <color rgb="FF1F2A28"/>
        <rFont val="Arial"/>
        <family val="0"/>
        <charset val="1"/>
      </rPr>
      <t xml:space="preserve">16</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</si>
  <si>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(03)5726333</t>
  </si>
  <si>
    <t xml:space="preserve">fang180789@gmail.com</t>
  </si>
  <si>
    <t xml:space="preserve">1999-01-11</t>
  </si>
  <si>
    <t xml:space="preserve">楊熙芳</t>
  </si>
  <si>
    <t xml:space="preserve">郭慶汾</t>
  </si>
  <si>
    <t xml:space="preserve">新竹市私立晟鈞文理短期補習班</t>
  </si>
  <si>
    <r>
      <rPr>
        <sz val="10"/>
        <color rgb="FF1F2A28"/>
        <rFont val="WenQuanYi Zen Hei"/>
        <family val="2"/>
      </rPr>
      <t xml:space="preserve">新竹市東區東門街</t>
    </r>
    <r>
      <rPr>
        <sz val="10"/>
        <color rgb="FF1F2A28"/>
        <rFont val="Arial"/>
        <family val="0"/>
        <charset val="1"/>
      </rPr>
      <t xml:space="preserve">62</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樓及</t>
    </r>
    <r>
      <rPr>
        <sz val="10"/>
        <color rgb="FF1F2A28"/>
        <rFont val="Arial"/>
        <family val="0"/>
        <charset val="1"/>
      </rPr>
      <t xml:space="preserve">9</t>
    </r>
    <r>
      <rPr>
        <sz val="10"/>
        <color rgb="FF1F2A28"/>
        <rFont val="WenQuanYi Zen Hei"/>
        <family val="2"/>
      </rPr>
      <t xml:space="preserve">樓</t>
    </r>
  </si>
  <si>
    <t xml:space="preserve">(03)5277511</t>
  </si>
  <si>
    <t xml:space="preserve">apollomaster888@gmail.com</t>
  </si>
  <si>
    <t xml:space="preserve">2019-03-08</t>
  </si>
  <si>
    <t xml:space="preserve">許翔鈞</t>
  </si>
  <si>
    <t xml:space="preserve">唐翊鈞</t>
  </si>
  <si>
    <t xml:space="preserve">新竹市私立晶英文理短期補習班</t>
  </si>
  <si>
    <r>
      <rPr>
        <sz val="10"/>
        <color rgb="FF1F2A28"/>
        <rFont val="WenQuanYi Zen Hei"/>
        <family val="2"/>
      </rPr>
      <t xml:space="preserve">新竹市東區龍山東路</t>
    </r>
    <r>
      <rPr>
        <sz val="10"/>
        <color rgb="FF1F2A28"/>
        <rFont val="Arial"/>
        <family val="0"/>
        <charset val="1"/>
      </rPr>
      <t xml:space="preserve">280</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</si>
  <si>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5795833</t>
  </si>
  <si>
    <t xml:space="preserve">joy.guanpu@gmail.com</t>
  </si>
  <si>
    <t xml:space="preserve">2019-09-09</t>
  </si>
  <si>
    <t xml:space="preserve">蕭皓瑀</t>
  </si>
  <si>
    <t xml:space="preserve">新竹市私立智恩文理短期補習班</t>
  </si>
  <si>
    <r>
      <rPr>
        <sz val="10"/>
        <color rgb="FF1F2A28"/>
        <rFont val="WenQuanYi Zen Hei"/>
        <family val="2"/>
      </rPr>
      <t xml:space="preserve">新竹市東區關新北路</t>
    </r>
    <r>
      <rPr>
        <sz val="10"/>
        <color rgb="FF1F2A28"/>
        <rFont val="Arial"/>
        <family val="0"/>
        <charset val="1"/>
      </rPr>
      <t xml:space="preserve">153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</si>
  <si>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(03)6686005</t>
  </si>
  <si>
    <t xml:space="preserve">shanehc06@gmail.com</t>
  </si>
  <si>
    <t xml:space="preserve">2011-08-26</t>
  </si>
  <si>
    <t xml:space="preserve">柯孟儀</t>
  </si>
  <si>
    <t xml:space="preserve">新竹市私立暘光文理短期補習班</t>
  </si>
  <si>
    <r>
      <rPr>
        <sz val="10"/>
        <color rgb="FF1F2A28"/>
        <rFont val="WenQuanYi Zen Hei"/>
        <family val="2"/>
      </rPr>
      <t xml:space="preserve">新竹市東區博愛街</t>
    </r>
    <r>
      <rPr>
        <sz val="10"/>
        <color rgb="FF1F2A28"/>
        <rFont val="Arial"/>
        <family val="0"/>
        <charset val="1"/>
      </rPr>
      <t xml:space="preserve">83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2</t>
    </r>
    <r>
      <rPr>
        <sz val="10"/>
        <color rgb="FF1F2A28"/>
        <rFont val="WenQuanYi Zen Hei"/>
        <family val="2"/>
      </rPr>
      <t xml:space="preserve">樓</t>
    </r>
  </si>
  <si>
    <t xml:space="preserve">(03)5751878</t>
  </si>
  <si>
    <t xml:space="preserve">gabrielleysc@gmail.com</t>
  </si>
  <si>
    <t xml:space="preserve">英文基礎班、英文中級班、英文進階班</t>
  </si>
  <si>
    <t xml:space="preserve">楊思芩</t>
  </si>
  <si>
    <t xml:space="preserve">新竹市私立朗朗文理技藝短期補習班</t>
  </si>
  <si>
    <r>
      <rPr>
        <sz val="10"/>
        <color rgb="FF1F2A28"/>
        <rFont val="WenQuanYi Zen Hei"/>
        <family val="2"/>
      </rPr>
      <t xml:space="preserve">新竹市東區博愛街</t>
    </r>
    <r>
      <rPr>
        <sz val="10"/>
        <color rgb="FF1F2A28"/>
        <rFont val="Arial"/>
        <family val="0"/>
        <charset val="1"/>
      </rPr>
      <t xml:space="preserve">81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2</t>
    </r>
    <r>
      <rPr>
        <sz val="10"/>
        <color rgb="FF1F2A28"/>
        <rFont val="WenQuanYi Zen Hei"/>
        <family val="2"/>
      </rPr>
      <t xml:space="preserve">樓</t>
    </r>
  </si>
  <si>
    <t xml:space="preserve">(03)5710238</t>
  </si>
  <si>
    <t xml:space="preserve">jc5951738@gmail.com</t>
  </si>
  <si>
    <t xml:space="preserve">2023-02-22</t>
  </si>
  <si>
    <t xml:space="preserve">莊覲榮</t>
  </si>
  <si>
    <t xml:space="preserve">新竹市私立李杜文理短期補習班</t>
  </si>
  <si>
    <r>
      <rPr>
        <sz val="10"/>
        <color rgb="FF1F2A28"/>
        <rFont val="WenQuanYi Zen Hei"/>
        <family val="2"/>
      </rPr>
      <t xml:space="preserve">新竹市東區食品路</t>
    </r>
    <r>
      <rPr>
        <sz val="10"/>
        <color rgb="FF1F2A28"/>
        <rFont val="Arial"/>
        <family val="0"/>
        <charset val="1"/>
      </rPr>
      <t xml:space="preserve">355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</si>
  <si>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0939351683</t>
  </si>
  <si>
    <t xml:space="preserve">leedooyle@gmail.com</t>
  </si>
  <si>
    <t xml:space="preserve">李月嬌</t>
  </si>
  <si>
    <t xml:space="preserve">李祖國</t>
  </si>
  <si>
    <t xml:space="preserve">新竹市私立杜克美語文理短期補習班</t>
  </si>
  <si>
    <r>
      <rPr>
        <sz val="10"/>
        <color rgb="FF1F2A28"/>
        <rFont val="WenQuanYi Zen Hei"/>
        <family val="2"/>
      </rPr>
      <t xml:space="preserve">新竹市東區龍山東路</t>
    </r>
    <r>
      <rPr>
        <sz val="10"/>
        <color rgb="FF1F2A28"/>
        <rFont val="Arial"/>
        <family val="0"/>
        <charset val="1"/>
      </rPr>
      <t xml:space="preserve">200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樓及新竹市龍山東路</t>
    </r>
    <r>
      <rPr>
        <sz val="10"/>
        <color rgb="FF1F2A28"/>
        <rFont val="Arial"/>
        <family val="0"/>
        <charset val="1"/>
      </rPr>
      <t xml:space="preserve">216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</si>
  <si>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03-5785353</t>
  </si>
  <si>
    <t xml:space="preserve">dukeinfo2017@gmail.com</t>
  </si>
  <si>
    <t xml:space="preserve">林虹君</t>
  </si>
  <si>
    <t xml:space="preserve">新竹市私立杜克美語文理短期補習班埔頂分班</t>
  </si>
  <si>
    <r>
      <rPr>
        <sz val="10"/>
        <color rgb="FF1F2A28"/>
        <rFont val="WenQuanYi Zen Hei"/>
        <family val="2"/>
      </rPr>
      <t xml:space="preserve">新竹市東區埔頂一路</t>
    </r>
    <r>
      <rPr>
        <sz val="10"/>
        <color rgb="FF1F2A28"/>
        <rFont val="Arial"/>
        <family val="0"/>
        <charset val="1"/>
      </rPr>
      <t xml:space="preserve">161</t>
    </r>
    <r>
      <rPr>
        <sz val="10"/>
        <color rgb="FF1F2A28"/>
        <rFont val="WenQuanYi Zen Hei"/>
        <family val="2"/>
      </rPr>
      <t xml:space="preserve">巷</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4</t>
    </r>
    <r>
      <rPr>
        <sz val="10"/>
        <color rgb="FF1F2A28"/>
        <rFont val="WenQuanYi Zen Hei"/>
        <family val="2"/>
      </rPr>
      <t xml:space="preserve">樓</t>
    </r>
  </si>
  <si>
    <t xml:space="preserve">(03)5795353</t>
  </si>
  <si>
    <t xml:space="preserve">2020-08-26</t>
  </si>
  <si>
    <t xml:space="preserve">郭冠言</t>
  </si>
  <si>
    <t xml:space="preserve">新竹市私立東盟外語短期補習班</t>
  </si>
  <si>
    <r>
      <rPr>
        <sz val="10"/>
        <color rgb="FF1F2A28"/>
        <rFont val="WenQuanYi Zen Hei"/>
        <family val="2"/>
      </rPr>
      <t xml:space="preserve">新竹市東區建美路</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2</t>
    </r>
    <r>
      <rPr>
        <sz val="10"/>
        <color rgb="FF1F2A28"/>
        <rFont val="WenQuanYi Zen Hei"/>
        <family val="2"/>
      </rPr>
      <t xml:space="preserve">樓</t>
    </r>
  </si>
  <si>
    <t xml:space="preserve">(03)5750003</t>
  </si>
  <si>
    <t xml:space="preserve">a01889026@gmail.com</t>
  </si>
  <si>
    <t xml:space="preserve">賴志昌</t>
  </si>
  <si>
    <t xml:space="preserve">新竹市私立柏克萊美語文理短期補習班</t>
  </si>
  <si>
    <r>
      <rPr>
        <sz val="10"/>
        <color rgb="FF1F2A28"/>
        <rFont val="WenQuanYi Zen Hei"/>
        <family val="2"/>
      </rPr>
      <t xml:space="preserve">新竹市東區慈祥路</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(1F-4F)</t>
    </r>
  </si>
  <si>
    <t xml:space="preserve">(03)5788800</t>
  </si>
  <si>
    <t xml:space="preserve">annieclassroom01@gmail.com</t>
  </si>
  <si>
    <t xml:space="preserve">2023-08-16</t>
  </si>
  <si>
    <t xml:space="preserve">江秀貞</t>
  </si>
  <si>
    <t xml:space="preserve">陳雅伶</t>
  </si>
  <si>
    <t xml:space="preserve">新竹市私立橘籽文理短期補習班</t>
  </si>
  <si>
    <r>
      <rPr>
        <sz val="10"/>
        <color rgb="FF1F2A28"/>
        <rFont val="WenQuanYi Zen Hei"/>
        <family val="2"/>
      </rPr>
      <t xml:space="preserve">新竹市東區龍山西路</t>
    </r>
    <r>
      <rPr>
        <sz val="10"/>
        <color rgb="FF1F2A28"/>
        <rFont val="Arial"/>
        <family val="0"/>
        <charset val="1"/>
      </rPr>
      <t xml:space="preserve">136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</si>
  <si>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6661120</t>
  </si>
  <si>
    <t xml:space="preserve">江俊禹</t>
  </si>
  <si>
    <t xml:space="preserve">楊詩芃</t>
  </si>
  <si>
    <t xml:space="preserve">新竹市私立毅啟文理短期補習班</t>
  </si>
  <si>
    <r>
      <rPr>
        <sz val="10"/>
        <color rgb="FF1F2A28"/>
        <rFont val="WenQuanYi Zen Hei"/>
        <family val="2"/>
      </rPr>
      <t xml:space="preserve">新竹市東區綠水路</t>
    </r>
    <r>
      <rPr>
        <sz val="10"/>
        <color rgb="FF1F2A28"/>
        <rFont val="Arial"/>
        <family val="0"/>
        <charset val="1"/>
      </rPr>
      <t xml:space="preserve">53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</si>
  <si>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0913202753</t>
  </si>
  <si>
    <t xml:space="preserve">alilian20010602@yahoo.com.tw</t>
  </si>
  <si>
    <t xml:space="preserve">許美玲</t>
  </si>
  <si>
    <t xml:space="preserve">新竹市私立泰迪貝爾短期補習班</t>
  </si>
  <si>
    <r>
      <rPr>
        <sz val="10"/>
        <color rgb="FF1F2A28"/>
        <rFont val="WenQuanYi Zen Hei"/>
        <family val="2"/>
      </rPr>
      <t xml:space="preserve">新竹市東區自由路</t>
    </r>
    <r>
      <rPr>
        <sz val="10"/>
        <color rgb="FF1F2A28"/>
        <rFont val="Arial"/>
        <family val="0"/>
        <charset val="1"/>
      </rPr>
      <t xml:space="preserve">95</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弄</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</si>
  <si>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(03)5358020</t>
  </si>
  <si>
    <t xml:space="preserve">ck0952972338@gmail.com</t>
  </si>
  <si>
    <t xml:space="preserve">新竹市私立睦培文理技藝短期補習班</t>
  </si>
  <si>
    <r>
      <rPr>
        <sz val="10"/>
        <color rgb="FF1F2A28"/>
        <rFont val="WenQuanYi Zen Hei"/>
        <family val="2"/>
      </rPr>
      <t xml:space="preserve">新竹市東區埔頂一路</t>
    </r>
    <r>
      <rPr>
        <sz val="10"/>
        <color rgb="FF1F2A28"/>
        <rFont val="Arial"/>
        <family val="0"/>
        <charset val="1"/>
      </rPr>
      <t xml:space="preserve">252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1</t>
    </r>
    <r>
      <rPr>
        <sz val="10"/>
        <color rgb="FF1F2A28"/>
        <rFont val="WenQuanYi Zen Hei"/>
        <family val="2"/>
      </rPr>
      <t xml:space="preserve">樓夾層、</t>
    </r>
    <r>
      <rPr>
        <sz val="10"/>
        <color rgb="FF1F2A28"/>
        <rFont val="Arial"/>
        <family val="0"/>
        <charset val="1"/>
      </rPr>
      <t xml:space="preserve">256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1</t>
    </r>
    <r>
      <rPr>
        <sz val="10"/>
        <color rgb="FF1F2A28"/>
        <rFont val="WenQuanYi Zen Hei"/>
        <family val="2"/>
      </rPr>
      <t xml:space="preserve">樓夾層</t>
    </r>
  </si>
  <si>
    <t xml:space="preserve">(03)6662358</t>
  </si>
  <si>
    <t xml:space="preserve">zingliu@gmail.com</t>
  </si>
  <si>
    <t xml:space="preserve">2023-06-29</t>
  </si>
  <si>
    <t xml:space="preserve">劉子寧</t>
  </si>
  <si>
    <t xml:space="preserve">新竹市私立種子英語短期補習班</t>
  </si>
  <si>
    <r>
      <rPr>
        <sz val="10"/>
        <color rgb="FF1F2A28"/>
        <rFont val="WenQuanYi Zen Hei"/>
        <family val="2"/>
      </rPr>
      <t xml:space="preserve">新竹市東區光復路一段</t>
    </r>
    <r>
      <rPr>
        <sz val="10"/>
        <color rgb="FF1F2A28"/>
        <rFont val="Arial"/>
        <family val="0"/>
        <charset val="1"/>
      </rPr>
      <t xml:space="preserve">485</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弄</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</si>
  <si>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(03)6686205</t>
  </si>
  <si>
    <t xml:space="preserve">acornenglishkf@gmail.com</t>
  </si>
  <si>
    <t xml:space="preserve">廖素雲</t>
  </si>
  <si>
    <t xml:space="preserve">林仲彥</t>
  </si>
  <si>
    <t xml:space="preserve">新竹市私立種子英語短期補習班建功分班</t>
  </si>
  <si>
    <r>
      <rPr>
        <sz val="10"/>
        <color rgb="FF1F2A28"/>
        <rFont val="WenQuanYi Zen Hei"/>
        <family val="2"/>
      </rPr>
      <t xml:space="preserve">新竹市東區公道五路二段</t>
    </r>
    <r>
      <rPr>
        <sz val="10"/>
        <color rgb="FF1F2A28"/>
        <rFont val="Arial"/>
        <family val="0"/>
        <charset val="1"/>
      </rPr>
      <t xml:space="preserve">345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2</t>
    </r>
    <r>
      <rPr>
        <sz val="10"/>
        <color rgb="FF1F2A28"/>
        <rFont val="WenQuanYi Zen Hei"/>
        <family val="2"/>
      </rPr>
      <t xml:space="preserve">樓</t>
    </r>
  </si>
  <si>
    <t xml:space="preserve">(03)5752799</t>
  </si>
  <si>
    <t xml:space="preserve">acornenglishjg@gmail.com</t>
  </si>
  <si>
    <t xml:space="preserve">2013-11-11</t>
  </si>
  <si>
    <t xml:space="preserve">王忠富</t>
  </si>
  <si>
    <t xml:space="preserve">新竹市私立童馨圓文理短期補習班</t>
  </si>
  <si>
    <r>
      <rPr>
        <sz val="10"/>
        <color rgb="FF1F2A28"/>
        <rFont val="WenQuanYi Zen Hei"/>
        <family val="2"/>
      </rPr>
      <t xml:space="preserve">新竹市東區明湖路</t>
    </r>
    <r>
      <rPr>
        <sz val="10"/>
        <color rgb="FF1F2A28"/>
        <rFont val="Arial"/>
        <family val="0"/>
        <charset val="1"/>
      </rPr>
      <t xml:space="preserve">218</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</si>
  <si>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0911106756</t>
  </si>
  <si>
    <t xml:space="preserve">enter6006@gmail.com</t>
  </si>
  <si>
    <t xml:space="preserve">2019-06-11</t>
  </si>
  <si>
    <t xml:space="preserve">吳意玫</t>
  </si>
  <si>
    <t xml:space="preserve">羅振益</t>
  </si>
  <si>
    <t xml:space="preserve">新竹市私立竹辰美語短期補習班</t>
  </si>
  <si>
    <r>
      <rPr>
        <sz val="10"/>
        <color rgb="FF1F2A28"/>
        <rFont val="WenQuanYi Zen Hei"/>
        <family val="2"/>
      </rPr>
      <t xml:space="preserve">新竹市東區東光路</t>
    </r>
    <r>
      <rPr>
        <sz val="10"/>
        <color rgb="FF1F2A28"/>
        <rFont val="Arial"/>
        <family val="0"/>
        <charset val="1"/>
      </rPr>
      <t xml:space="preserve">49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2</t>
    </r>
    <r>
      <rPr>
        <sz val="10"/>
        <color rgb="FF1F2A28"/>
        <rFont val="WenQuanYi Zen Hei"/>
        <family val="2"/>
      </rPr>
      <t xml:space="preserve">樓</t>
    </r>
  </si>
  <si>
    <t xml:space="preserve">(03)5165986</t>
  </si>
  <si>
    <t xml:space="preserve">dongyuan@sesamevillage.tw</t>
  </si>
  <si>
    <t xml:space="preserve">余玟霖</t>
  </si>
  <si>
    <t xml:space="preserve">新竹市私立築科文理短期補習班</t>
  </si>
  <si>
    <r>
      <rPr>
        <sz val="10"/>
        <color rgb="FF1F2A28"/>
        <rFont val="WenQuanYi Zen Hei"/>
        <family val="2"/>
      </rPr>
      <t xml:space="preserve">新竹市東區民族路</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t>
    </r>
  </si>
  <si>
    <t xml:space="preserve">(03)5281698</t>
  </si>
  <si>
    <t xml:space="preserve">jkdreamclass2018@gmail.com</t>
  </si>
  <si>
    <t xml:space="preserve">2018-12-07</t>
  </si>
  <si>
    <t xml:space="preserve">彭振洋</t>
  </si>
  <si>
    <t xml:space="preserve">楊淇雯</t>
  </si>
  <si>
    <t xml:space="preserve">新竹市私立米羅語文短期補習班</t>
  </si>
  <si>
    <r>
      <rPr>
        <sz val="10"/>
        <color rgb="FF1F2A28"/>
        <rFont val="WenQuanYi Zen Hei"/>
        <family val="2"/>
      </rPr>
      <t xml:space="preserve">新竹市東區建中路</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樓、建功一路</t>
    </r>
    <r>
      <rPr>
        <sz val="10"/>
        <color rgb="FF1F2A28"/>
        <rFont val="Arial"/>
        <family val="0"/>
        <charset val="1"/>
      </rPr>
      <t xml:space="preserve">202</t>
    </r>
    <r>
      <rPr>
        <sz val="10"/>
        <color rgb="FF1F2A28"/>
        <rFont val="WenQuanYi Zen Hei"/>
        <family val="2"/>
      </rPr>
      <t xml:space="preserve">、</t>
    </r>
    <r>
      <rPr>
        <sz val="10"/>
        <color rgb="FF1F2A28"/>
        <rFont val="Arial"/>
        <family val="0"/>
        <charset val="1"/>
      </rPr>
      <t xml:space="preserve">206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</si>
  <si>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r>
      <rPr>
        <sz val="10"/>
        <color rgb="FF1F2A28"/>
        <rFont val="Arial"/>
        <family val="0"/>
        <charset val="1"/>
      </rPr>
      <t xml:space="preserve">(03)5733066</t>
    </r>
    <r>
      <rPr>
        <sz val="10"/>
        <color rgb="FF1F2A28"/>
        <rFont val="WenQuanYi Zen Hei"/>
        <family val="2"/>
      </rPr>
      <t xml:space="preserve">、</t>
    </r>
    <r>
      <rPr>
        <sz val="10"/>
        <color rgb="FF1F2A28"/>
        <rFont val="Arial"/>
        <family val="0"/>
        <charset val="1"/>
      </rPr>
      <t xml:space="preserve">5166399</t>
    </r>
  </si>
  <si>
    <t xml:space="preserve">mirocramschool@gmail.com</t>
  </si>
  <si>
    <t xml:space="preserve">游雅雯</t>
  </si>
  <si>
    <t xml:space="preserve">新竹市私立翔宇英文文理短期補習班</t>
  </si>
  <si>
    <r>
      <rPr>
        <sz val="10"/>
        <color rgb="FF1F2A28"/>
        <rFont val="WenQuanYi Zen Hei"/>
        <family val="2"/>
      </rPr>
      <t xml:space="preserve">新竹市東區中正路</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2</t>
    </r>
  </si>
  <si>
    <r>
      <rPr>
        <sz val="10"/>
        <color rgb="FF1F2A28"/>
        <rFont val="Arial"/>
        <family val="0"/>
        <charset val="1"/>
      </rPr>
      <t xml:space="preserve">(03)5284263</t>
    </r>
    <r>
      <rPr>
        <sz val="10"/>
        <color rgb="FF1F2A28"/>
        <rFont val="WenQuanYi Zen Hei"/>
        <family val="2"/>
      </rPr>
      <t xml:space="preserve">，</t>
    </r>
    <r>
      <rPr>
        <sz val="10"/>
        <color rgb="FF1F2A28"/>
        <rFont val="Arial"/>
        <family val="0"/>
        <charset val="1"/>
      </rPr>
      <t xml:space="preserve">6120136</t>
    </r>
  </si>
  <si>
    <t xml:space="preserve">alicehung1980@gmail.com</t>
  </si>
  <si>
    <t xml:space="preserve">洪子涵</t>
  </si>
  <si>
    <t xml:space="preserve">新竹市私立耕心美語短期補習班</t>
  </si>
  <si>
    <r>
      <rPr>
        <sz val="10"/>
        <color rgb="FF1F2A28"/>
        <rFont val="WenQuanYi Zen Hei"/>
        <family val="2"/>
      </rPr>
      <t xml:space="preserve">新竹市東區科學園路</t>
    </r>
    <r>
      <rPr>
        <sz val="10"/>
        <color rgb="FF1F2A28"/>
        <rFont val="Arial"/>
        <family val="0"/>
        <charset val="1"/>
      </rPr>
      <t xml:space="preserve">107</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2</t>
    </r>
    <r>
      <rPr>
        <sz val="10"/>
        <color rgb="FF1F2A28"/>
        <rFont val="WenQuanYi Zen Hei"/>
        <family val="2"/>
      </rPr>
      <t xml:space="preserve">樓</t>
    </r>
  </si>
  <si>
    <t xml:space="preserve">(03)5787811</t>
  </si>
  <si>
    <t xml:space="preserve">du5787811@gmail.com</t>
  </si>
  <si>
    <t xml:space="preserve">曾琴閔</t>
  </si>
  <si>
    <t xml:space="preserve">新竹市私立聯城文理短期補習班</t>
  </si>
  <si>
    <r>
      <rPr>
        <sz val="10"/>
        <color rgb="FF1F2A28"/>
        <rFont val="WenQuanYi Zen Hei"/>
        <family val="2"/>
      </rPr>
      <t xml:space="preserve">新竹市東區民族路</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8</t>
    </r>
    <r>
      <rPr>
        <sz val="10"/>
        <color rgb="FF1F2A28"/>
        <rFont val="WenQuanYi Zen Hei"/>
        <family val="2"/>
      </rPr>
      <t xml:space="preserve">樓</t>
    </r>
  </si>
  <si>
    <t xml:space="preserve">(03)5227268</t>
  </si>
  <si>
    <t xml:space="preserve">2024-05-16</t>
  </si>
  <si>
    <t xml:space="preserve">顏竹佑</t>
  </si>
  <si>
    <t xml:space="preserve">林聖堯</t>
  </si>
  <si>
    <t xml:space="preserve">新竹市私立育佳文理短期補習班</t>
  </si>
  <si>
    <r>
      <rPr>
        <sz val="10"/>
        <color rgb="FF1F2A28"/>
        <rFont val="WenQuanYi Zen Hei"/>
        <family val="2"/>
      </rPr>
      <t xml:space="preserve">新竹市東區光復路一段</t>
    </r>
    <r>
      <rPr>
        <sz val="10"/>
        <color rgb="FF1F2A28"/>
        <rFont val="Arial"/>
        <family val="0"/>
        <charset val="1"/>
      </rPr>
      <t xml:space="preserve">593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3</t>
    </r>
    <r>
      <rPr>
        <sz val="10"/>
        <color rgb="FF1F2A28"/>
        <rFont val="WenQuanYi Zen Hei"/>
        <family val="2"/>
      </rPr>
      <t xml:space="preserve">樓</t>
    </r>
  </si>
  <si>
    <t xml:space="preserve">(03)6667555</t>
  </si>
  <si>
    <t xml:space="preserve">tongxingtwo@gmail.com</t>
  </si>
  <si>
    <t xml:space="preserve">2016-05-19</t>
  </si>
  <si>
    <t xml:space="preserve">彭至美</t>
  </si>
  <si>
    <t xml:space="preserve">新竹市私立育光美語短期補習班</t>
  </si>
  <si>
    <r>
      <rPr>
        <sz val="10"/>
        <color rgb="FF1F2A28"/>
        <rFont val="WenQuanYi Zen Hei"/>
        <family val="2"/>
      </rPr>
      <t xml:space="preserve">新竹市東區光復路一段</t>
    </r>
    <r>
      <rPr>
        <sz val="10"/>
        <color rgb="FF1F2A28"/>
        <rFont val="Arial"/>
        <family val="0"/>
        <charset val="1"/>
      </rPr>
      <t xml:space="preserve">576</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</si>
  <si>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(03)5784537</t>
  </si>
  <si>
    <t xml:space="preserve">a13998415@gmail.com</t>
  </si>
  <si>
    <t xml:space="preserve">張文興</t>
  </si>
  <si>
    <t xml:space="preserve">新竹市私立艾學爾文理短期補習班</t>
  </si>
  <si>
    <r>
      <rPr>
        <sz val="10"/>
        <color rgb="FF1F2A28"/>
        <rFont val="WenQuanYi Zen Hei"/>
        <family val="2"/>
      </rPr>
      <t xml:space="preserve">新竹市東區林森路</t>
    </r>
    <r>
      <rPr>
        <sz val="10"/>
        <color rgb="FF1F2A28"/>
        <rFont val="Arial"/>
        <family val="0"/>
        <charset val="1"/>
      </rPr>
      <t xml:space="preserve">169</t>
    </r>
    <r>
      <rPr>
        <sz val="10"/>
        <color rgb="FF1F2A28"/>
        <rFont val="WenQuanYi Zen Hei"/>
        <family val="2"/>
      </rPr>
      <t xml:space="preserve">號地下</t>
    </r>
    <r>
      <rPr>
        <sz val="10"/>
        <color rgb="FF1F2A28"/>
        <rFont val="Arial"/>
        <family val="0"/>
        <charset val="1"/>
      </rPr>
      <t xml:space="preserve">1</t>
    </r>
    <r>
      <rPr>
        <sz val="10"/>
        <color rgb="FF1F2A28"/>
        <rFont val="WenQuanYi Zen Hei"/>
        <family val="2"/>
      </rPr>
      <t xml:space="preserve">樓（辦公室）、</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4</t>
    </r>
    <r>
      <rPr>
        <sz val="10"/>
        <color rgb="FF1F2A28"/>
        <rFont val="WenQuanYi Zen Hei"/>
        <family val="2"/>
      </rPr>
      <t xml:space="preserve">樓</t>
    </r>
  </si>
  <si>
    <t xml:space="preserve">(03)5283688</t>
  </si>
  <si>
    <t xml:space="preserve">ishareenglishschool@gmail.com</t>
  </si>
  <si>
    <t xml:space="preserve">2013-10-28</t>
  </si>
  <si>
    <t xml:space="preserve">楊禮誌</t>
  </si>
  <si>
    <t xml:space="preserve">新竹市私立艾學爾文理短期補習班三民分班</t>
  </si>
  <si>
    <r>
      <rPr>
        <sz val="10"/>
        <color rgb="FF1F2A28"/>
        <rFont val="WenQuanYi Zen Hei"/>
        <family val="2"/>
      </rPr>
      <t xml:space="preserve">新竹市東區自由路</t>
    </r>
    <r>
      <rPr>
        <sz val="10"/>
        <color rgb="FF1F2A28"/>
        <rFont val="Arial"/>
        <family val="0"/>
        <charset val="1"/>
      </rPr>
      <t xml:space="preserve">71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</si>
  <si>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(03)5339066</t>
  </si>
  <si>
    <t xml:space="preserve">superishare71@gmail.com</t>
  </si>
  <si>
    <t xml:space="preserve">蔡擎葳</t>
  </si>
  <si>
    <t xml:space="preserve">新竹市私立艾維仕美語短期補習班</t>
  </si>
  <si>
    <r>
      <rPr>
        <sz val="10"/>
        <color rgb="FF1F2A28"/>
        <rFont val="WenQuanYi Zen Hei"/>
        <family val="2"/>
      </rPr>
      <t xml:space="preserve">新竹市東區振興路</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樓至</t>
    </r>
    <r>
      <rPr>
        <sz val="10"/>
        <color rgb="FF1F2A28"/>
        <rFont val="Arial"/>
        <family val="0"/>
        <charset val="1"/>
      </rPr>
      <t xml:space="preserve">4</t>
    </r>
    <r>
      <rPr>
        <sz val="10"/>
        <color rgb="FF1F2A28"/>
        <rFont val="WenQuanYi Zen Hei"/>
        <family val="2"/>
      </rPr>
      <t xml:space="preserve">樓</t>
    </r>
  </si>
  <si>
    <t xml:space="preserve">(03)5614095</t>
  </si>
  <si>
    <t xml:space="preserve">auntivy.chang@msa.hinet.net</t>
  </si>
  <si>
    <t xml:space="preserve">2011-07-12</t>
  </si>
  <si>
    <t xml:space="preserve">張曉婷</t>
  </si>
  <si>
    <t xml:space="preserve">新竹市私立英倫英語短期補習班</t>
  </si>
  <si>
    <r>
      <rPr>
        <sz val="10"/>
        <color rgb="FF1F2A28"/>
        <rFont val="WenQuanYi Zen Hei"/>
        <family val="2"/>
      </rPr>
      <t xml:space="preserve">新竹市東區博愛街</t>
    </r>
    <r>
      <rPr>
        <sz val="10"/>
        <color rgb="FF1F2A28"/>
        <rFont val="Arial"/>
        <family val="0"/>
        <charset val="1"/>
      </rPr>
      <t xml:space="preserve">85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95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2</t>
    </r>
    <r>
      <rPr>
        <sz val="10"/>
        <color rgb="FF1F2A28"/>
        <rFont val="WenQuanYi Zen Hei"/>
        <family val="2"/>
      </rPr>
      <t xml:space="preserve">樓</t>
    </r>
  </si>
  <si>
    <t xml:space="preserve">(03)5728575</t>
  </si>
  <si>
    <t xml:space="preserve">hc2.shane@gmail.com</t>
  </si>
  <si>
    <t xml:space="preserve">李家昇</t>
  </si>
  <si>
    <t xml:space="preserve">新竹市私立英翰英語短期補習班</t>
  </si>
  <si>
    <r>
      <rPr>
        <sz val="10"/>
        <color rgb="FF1F2A28"/>
        <rFont val="WenQuanYi Zen Hei"/>
        <family val="2"/>
      </rPr>
      <t xml:space="preserve">新竹市東區自由路</t>
    </r>
    <r>
      <rPr>
        <sz val="10"/>
        <color rgb="FF1F2A28"/>
        <rFont val="Arial"/>
        <family val="0"/>
        <charset val="1"/>
      </rPr>
      <t xml:space="preserve">109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3</t>
    </r>
    <r>
      <rPr>
        <sz val="10"/>
        <color rgb="FF1F2A28"/>
        <rFont val="WenQuanYi Zen Hei"/>
        <family val="2"/>
      </rPr>
      <t xml:space="preserve">樓</t>
    </r>
  </si>
  <si>
    <t xml:space="preserve">(03)5350626</t>
  </si>
  <si>
    <t xml:space="preserve">hc7shane@gmail.com</t>
  </si>
  <si>
    <t xml:space="preserve">國小英語中級、國小英語高級、國小英語初級</t>
  </si>
  <si>
    <t xml:space="preserve">李卿企</t>
  </si>
  <si>
    <t xml:space="preserve">新竹市私立英語花園文理技藝短期補習班</t>
  </si>
  <si>
    <r>
      <rPr>
        <sz val="10"/>
        <color rgb="FF1F2A28"/>
        <rFont val="WenQuanYi Zen Hei"/>
        <family val="2"/>
      </rPr>
      <t xml:space="preserve">新竹市東區綠水路</t>
    </r>
    <r>
      <rPr>
        <sz val="10"/>
        <color rgb="FF1F2A28"/>
        <rFont val="Arial"/>
        <family val="0"/>
        <charset val="1"/>
      </rPr>
      <t xml:space="preserve">51</t>
    </r>
    <r>
      <rPr>
        <sz val="10"/>
        <color rgb="FF1F2A28"/>
        <rFont val="WenQuanYi Zen Hei"/>
        <family val="2"/>
      </rPr>
      <t xml:space="preserve">號</t>
    </r>
  </si>
  <si>
    <t xml:space="preserve">0930932230</t>
  </si>
  <si>
    <t xml:space="preserve">staffenglishgarden@gmail.com</t>
  </si>
  <si>
    <t xml:space="preserve">郭夢華</t>
  </si>
  <si>
    <t xml:space="preserve">新竹市私立英達文理短期補習班</t>
  </si>
  <si>
    <r>
      <rPr>
        <sz val="10"/>
        <color rgb="FF1F2A28"/>
        <rFont val="WenQuanYi Zen Hei"/>
        <family val="2"/>
      </rPr>
      <t xml:space="preserve">新竹市東區光復路一段</t>
    </r>
    <r>
      <rPr>
        <sz val="10"/>
        <color rgb="FF1F2A28"/>
        <rFont val="Arial"/>
        <family val="0"/>
        <charset val="1"/>
      </rPr>
      <t xml:space="preserve">354</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弄</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</si>
  <si>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(03)5786166</t>
  </si>
  <si>
    <t xml:space="preserve">lindaenglish168@gmail.com</t>
  </si>
  <si>
    <t xml:space="preserve">2019-07-22</t>
  </si>
  <si>
    <t xml:space="preserve">彭慧然</t>
  </si>
  <si>
    <t xml:space="preserve">彭圓然</t>
  </si>
  <si>
    <t xml:space="preserve">新竹市私立草湖書苑短期補習班</t>
  </si>
  <si>
    <r>
      <rPr>
        <sz val="10"/>
        <color rgb="FF1F2A28"/>
        <rFont val="WenQuanYi Zen Hei"/>
        <family val="2"/>
      </rPr>
      <t xml:space="preserve">新竹市東區明湖路</t>
    </r>
    <r>
      <rPr>
        <sz val="10"/>
        <color rgb="FF1F2A28"/>
        <rFont val="Arial"/>
        <family val="0"/>
        <charset val="1"/>
      </rPr>
      <t xml:space="preserve">1231</t>
    </r>
    <r>
      <rPr>
        <sz val="10"/>
        <color rgb="FF1F2A28"/>
        <rFont val="WenQuanYi Zen Hei"/>
        <family val="2"/>
      </rPr>
      <t xml:space="preserve">之</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4</t>
    </r>
    <r>
      <rPr>
        <sz val="10"/>
        <color rgb="FF1F2A28"/>
        <rFont val="WenQuanYi Zen Hei"/>
        <family val="2"/>
      </rPr>
      <t xml:space="preserve">樓</t>
    </r>
  </si>
  <si>
    <t xml:space="preserve">(03)5296588</t>
  </si>
  <si>
    <t xml:space="preserve">tsaohuschool@gmail.com</t>
  </si>
  <si>
    <t xml:space="preserve">2022-09-14</t>
  </si>
  <si>
    <t xml:space="preserve">邱筠庭</t>
  </si>
  <si>
    <t xml:space="preserve">新竹市私立蘋果籽語文短期補習班</t>
  </si>
  <si>
    <r>
      <rPr>
        <sz val="10"/>
        <color rgb="FF1F2A28"/>
        <rFont val="WenQuanYi Zen Hei"/>
        <family val="2"/>
      </rPr>
      <t xml:space="preserve">新竹市東區龍山西路</t>
    </r>
    <r>
      <rPr>
        <sz val="10"/>
        <color rgb="FF1F2A28"/>
        <rFont val="Arial"/>
        <family val="0"/>
        <charset val="1"/>
      </rPr>
      <t xml:space="preserve">169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3</t>
    </r>
    <r>
      <rPr>
        <sz val="10"/>
        <color rgb="FF1F2A28"/>
        <rFont val="WenQuanYi Zen Hei"/>
        <family val="2"/>
      </rPr>
      <t xml:space="preserve">樓</t>
    </r>
  </si>
  <si>
    <t xml:space="preserve">(03)6669528</t>
  </si>
  <si>
    <t xml:space="preserve">2015-08-20</t>
  </si>
  <si>
    <t xml:space="preserve">吳名怡</t>
  </si>
  <si>
    <t xml:space="preserve">新竹市私立貝爾伊頓美語短期補習班</t>
  </si>
  <si>
    <r>
      <rPr>
        <sz val="10"/>
        <color rgb="FF1F2A28"/>
        <rFont val="WenQuanYi Zen Hei"/>
        <family val="2"/>
      </rPr>
      <t xml:space="preserve">新竹市東區建功一路</t>
    </r>
    <r>
      <rPr>
        <sz val="10"/>
        <color rgb="FF1F2A28"/>
        <rFont val="Arial"/>
        <family val="0"/>
        <charset val="1"/>
      </rPr>
      <t xml:space="preserve">156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2</t>
    </r>
    <r>
      <rPr>
        <sz val="10"/>
        <color rgb="FF1F2A28"/>
        <rFont val="WenQuanYi Zen Hei"/>
        <family val="2"/>
      </rPr>
      <t xml:space="preserve">樓</t>
    </r>
  </si>
  <si>
    <t xml:space="preserve">(03)5745201</t>
  </si>
  <si>
    <t xml:space="preserve">a0955533097@gmail.com</t>
  </si>
  <si>
    <t xml:space="preserve">2011-04-11</t>
  </si>
  <si>
    <t xml:space="preserve">呂孟光</t>
  </si>
  <si>
    <t xml:space="preserve">新竹市私立軟實力文理短期補習班</t>
  </si>
  <si>
    <r>
      <rPr>
        <sz val="10"/>
        <color rgb="FF1F2A28"/>
        <rFont val="WenQuanYi Zen Hei"/>
        <family val="2"/>
      </rPr>
      <t xml:space="preserve">新竹市東區光復路一段</t>
    </r>
    <r>
      <rPr>
        <sz val="10"/>
        <color rgb="FF1F2A28"/>
        <rFont val="Arial"/>
        <family val="0"/>
        <charset val="1"/>
      </rPr>
      <t xml:space="preserve">271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</si>
  <si>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03567826</t>
  </si>
  <si>
    <t xml:space="preserve">魏家俊</t>
  </si>
  <si>
    <t xml:space="preserve">新竹市私立里唯文理短期補習班</t>
  </si>
  <si>
    <r>
      <rPr>
        <sz val="10"/>
        <color rgb="FF1F2A28"/>
        <rFont val="WenQuanYi Zen Hei"/>
        <family val="2"/>
      </rPr>
      <t xml:space="preserve">新竹市東區博愛街</t>
    </r>
    <r>
      <rPr>
        <sz val="10"/>
        <color rgb="FF1F2A28"/>
        <rFont val="Arial"/>
        <family val="0"/>
        <charset val="1"/>
      </rPr>
      <t xml:space="preserve">93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2</t>
    </r>
    <r>
      <rPr>
        <sz val="10"/>
        <color rgb="FF1F2A28"/>
        <rFont val="WenQuanYi Zen Hei"/>
        <family val="2"/>
      </rPr>
      <t xml:space="preserve">樓</t>
    </r>
  </si>
  <si>
    <t xml:space="preserve">(03)5728858</t>
  </si>
  <si>
    <t xml:space="preserve">giraffedongyuan@gmail.com</t>
  </si>
  <si>
    <t xml:space="preserve">楊如湄</t>
  </si>
  <si>
    <t xml:space="preserve">新竹市私立金欣文理短期補習班</t>
  </si>
  <si>
    <r>
      <rPr>
        <sz val="10"/>
        <color rgb="FF1F2A28"/>
        <rFont val="WenQuanYi Zen Hei"/>
        <family val="2"/>
      </rPr>
      <t xml:space="preserve">新竹市東區東門街</t>
    </r>
    <r>
      <rPr>
        <sz val="10"/>
        <color rgb="FF1F2A28"/>
        <rFont val="Arial"/>
        <family val="0"/>
        <charset val="1"/>
      </rPr>
      <t xml:space="preserve">62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75</t>
    </r>
    <r>
      <rPr>
        <sz val="10"/>
        <color rgb="FF1F2A28"/>
        <rFont val="WenQuanYi Zen Hei"/>
        <family val="2"/>
      </rPr>
      <t xml:space="preserve">號</t>
    </r>
    <r>
      <rPr>
        <sz val="10"/>
        <color rgb="FF1F2A28"/>
        <rFont val="Arial"/>
        <family val="0"/>
        <charset val="1"/>
      </rPr>
      <t xml:space="preserve">B1</t>
    </r>
    <r>
      <rPr>
        <sz val="10"/>
        <color rgb="FF1F2A28"/>
        <rFont val="WenQuanYi Zen Hei"/>
        <family val="2"/>
      </rPr>
      <t xml:space="preserve">、</t>
    </r>
    <r>
      <rPr>
        <sz val="10"/>
        <color rgb="FF1F2A28"/>
        <rFont val="Arial"/>
        <family val="0"/>
        <charset val="1"/>
      </rPr>
      <t xml:space="preserve">2-3</t>
    </r>
    <r>
      <rPr>
        <sz val="10"/>
        <color rgb="FF1F2A28"/>
        <rFont val="WenQuanYi Zen Hei"/>
        <family val="2"/>
      </rPr>
      <t xml:space="preserve">樓</t>
    </r>
  </si>
  <si>
    <t xml:space="preserve">(03)5250851</t>
  </si>
  <si>
    <t xml:space="preserve">franky7700@gmail.com</t>
  </si>
  <si>
    <t xml:space="preserve">2010-06-24</t>
  </si>
  <si>
    <t xml:space="preserve">施憲銘</t>
  </si>
  <si>
    <t xml:space="preserve">譚佩娟</t>
  </si>
  <si>
    <t xml:space="preserve">新竹市私立雲飛語文文理短期補習班慈雲分班</t>
  </si>
  <si>
    <r>
      <rPr>
        <sz val="10"/>
        <color rgb="FF1F2A28"/>
        <rFont val="WenQuanYi Zen Hei"/>
        <family val="2"/>
      </rPr>
      <t xml:space="preserve">新竹市東區慈雲路</t>
    </r>
    <r>
      <rPr>
        <sz val="10"/>
        <color rgb="FF1F2A28"/>
        <rFont val="Arial"/>
        <family val="0"/>
        <charset val="1"/>
      </rPr>
      <t xml:space="preserve">118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樓之</t>
    </r>
    <r>
      <rPr>
        <sz val="10"/>
        <color rgb="FF1F2A28"/>
        <rFont val="Arial"/>
        <family val="0"/>
        <charset val="1"/>
      </rPr>
      <t xml:space="preserve">6</t>
    </r>
  </si>
  <si>
    <t xml:space="preserve">03-5770612/0963087808</t>
  </si>
  <si>
    <t xml:space="preserve">conquerlanguage@yunfei.world</t>
  </si>
  <si>
    <t xml:space="preserve">2020-02-17</t>
  </si>
  <si>
    <t xml:space="preserve">游皓雲</t>
  </si>
  <si>
    <t xml:space="preserve">洛飛南</t>
  </si>
  <si>
    <t xml:space="preserve">新竹市私立青華文理短期補習班</t>
  </si>
  <si>
    <r>
      <rPr>
        <sz val="10"/>
        <color rgb="FF1F2A28"/>
        <rFont val="WenQuanYi Zen Hei"/>
        <family val="2"/>
      </rPr>
      <t xml:space="preserve">新竹市東區自由路</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</si>
  <si>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(03)5353755</t>
  </si>
  <si>
    <t xml:space="preserve">wei720b@hotmail.com</t>
  </si>
  <si>
    <t xml:space="preserve">2021-11-12</t>
  </si>
  <si>
    <t xml:space="preserve">梁閔淳</t>
  </si>
  <si>
    <t xml:space="preserve">新竹市私立頓肯文理語言短期補習班</t>
  </si>
  <si>
    <r>
      <rPr>
        <sz val="10"/>
        <color rgb="FF1F2A28"/>
        <rFont val="WenQuanYi Zen Hei"/>
        <family val="2"/>
      </rPr>
      <t xml:space="preserve">新竹市東區食品路</t>
    </r>
    <r>
      <rPr>
        <sz val="10"/>
        <color rgb="FF1F2A28"/>
        <rFont val="Arial"/>
        <family val="0"/>
        <charset val="1"/>
      </rPr>
      <t xml:space="preserve">540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</si>
  <si>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(03)5621277</t>
  </si>
  <si>
    <t xml:space="preserve">lingyen.h@gmail.com</t>
  </si>
  <si>
    <t xml:space="preserve">謝姈諺</t>
  </si>
  <si>
    <t xml:space="preserve">新竹市私立鳴典三民文理短期補習班</t>
  </si>
  <si>
    <r>
      <rPr>
        <sz val="10"/>
        <color rgb="FF1F2A28"/>
        <rFont val="WenQuanYi Zen Hei"/>
        <family val="2"/>
      </rPr>
      <t xml:space="preserve">新竹市東區自由路</t>
    </r>
    <r>
      <rPr>
        <sz val="10"/>
        <color rgb="FF1F2A28"/>
        <rFont val="Arial"/>
        <family val="0"/>
        <charset val="1"/>
      </rPr>
      <t xml:space="preserve">95</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弄</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</si>
  <si>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(03)5356866</t>
  </si>
  <si>
    <t xml:space="preserve">andrewkaku@gmail.com</t>
  </si>
  <si>
    <t xml:space="preserve">郭紋倉</t>
  </si>
  <si>
    <t xml:space="preserve">侯智偉</t>
  </si>
  <si>
    <t xml:space="preserve">新竹市私立麥克國英語會話短期補習班</t>
  </si>
  <si>
    <r>
      <rPr>
        <sz val="10"/>
        <color rgb="FF1F2A28"/>
        <rFont val="WenQuanYi Zen Hei"/>
        <family val="2"/>
      </rPr>
      <t xml:space="preserve">新竹市東區東南街</t>
    </r>
    <r>
      <rPr>
        <sz val="10"/>
        <color rgb="FF1F2A28"/>
        <rFont val="Arial"/>
        <family val="0"/>
        <charset val="1"/>
      </rPr>
      <t xml:space="preserve">261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</si>
  <si>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(03)5711399</t>
  </si>
  <si>
    <t xml:space="preserve">t9847@yahoo.com.tw</t>
  </si>
  <si>
    <t xml:space="preserve">1998-08-04</t>
  </si>
  <si>
    <t xml:space="preserve">廖恭鳳</t>
  </si>
  <si>
    <t xml:space="preserve">極上教育諮詢股份有限公司附設新竹市私立巨拓文理短期補習班</t>
  </si>
  <si>
    <r>
      <rPr>
        <sz val="10"/>
        <color rgb="FF1F2A28"/>
        <rFont val="WenQuanYi Zen Hei"/>
        <family val="2"/>
      </rPr>
      <t xml:space="preserve">新竹市東區民生路</t>
    </r>
    <r>
      <rPr>
        <sz val="10"/>
        <color rgb="FF1F2A28"/>
        <rFont val="Arial"/>
        <family val="0"/>
        <charset val="1"/>
      </rPr>
      <t xml:space="preserve">128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</si>
  <si>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(03)5320626</t>
  </si>
  <si>
    <t xml:space="preserve">2019-01-04</t>
  </si>
  <si>
    <t xml:space="preserve">極上教育諮詢股份有限公司 邱文卿</t>
  </si>
  <si>
    <t xml:space="preserve">陳治鈞</t>
  </si>
  <si>
    <t xml:space="preserve">極上教育諮詢股份有限公司附設新竹市私立極上塾培英文理短期補習班</t>
  </si>
  <si>
    <r>
      <rPr>
        <sz val="10"/>
        <color rgb="FF1F2A28"/>
        <rFont val="WenQuanYi Zen Hei"/>
        <family val="2"/>
      </rPr>
      <t xml:space="preserve">新竹市東區學府路</t>
    </r>
    <r>
      <rPr>
        <sz val="10"/>
        <color rgb="FF1F2A28"/>
        <rFont val="Arial"/>
        <family val="0"/>
        <charset val="1"/>
      </rPr>
      <t xml:space="preserve">75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</si>
  <si>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(03)5729888</t>
  </si>
  <si>
    <t xml:space="preserve">2019-12-05</t>
  </si>
  <si>
    <t xml:space="preserve">馬正媛</t>
  </si>
  <si>
    <t xml:space="preserve">維圓文化有限公司附設新竹市私立維圓美語文理技藝短期補習班</t>
  </si>
  <si>
    <r>
      <rPr>
        <sz val="10"/>
        <color rgb="FF1F2A28"/>
        <rFont val="WenQuanYi Zen Hei"/>
        <family val="2"/>
      </rPr>
      <t xml:space="preserve">新竹市東區自由路</t>
    </r>
    <r>
      <rPr>
        <sz val="10"/>
        <color rgb="FF1F2A28"/>
        <rFont val="Arial"/>
        <family val="0"/>
        <charset val="1"/>
      </rPr>
      <t xml:space="preserve">113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</si>
  <si>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(03)5329267</t>
  </si>
  <si>
    <t xml:space="preserve">linamanda200@yahoo.com.tw</t>
  </si>
  <si>
    <r>
      <rPr>
        <sz val="10"/>
        <color rgb="FF1F2A28"/>
        <rFont val="WenQuanYi Zen Hei"/>
        <family val="2"/>
      </rPr>
      <t xml:space="preserve">維圓文化有限公司</t>
    </r>
    <r>
      <rPr>
        <sz val="10"/>
        <color rgb="FF1F2A28"/>
        <rFont val="Arial"/>
        <family val="0"/>
        <charset val="1"/>
      </rPr>
      <t xml:space="preserve">(</t>
    </r>
    <r>
      <rPr>
        <sz val="10"/>
        <color rgb="FF1F2A28"/>
        <rFont val="WenQuanYi Zen Hei"/>
        <family val="2"/>
      </rPr>
      <t xml:space="preserve">負責人</t>
    </r>
    <r>
      <rPr>
        <sz val="10"/>
        <color rgb="FF1F2A28"/>
        <rFont val="Arial"/>
        <family val="0"/>
        <charset val="1"/>
      </rPr>
      <t xml:space="preserve">:</t>
    </r>
    <r>
      <rPr>
        <sz val="10"/>
        <color rgb="FF1F2A28"/>
        <rFont val="WenQuanYi Zen Hei"/>
        <family val="2"/>
      </rPr>
      <t xml:space="preserve">楊明潭</t>
    </r>
    <r>
      <rPr>
        <sz val="10"/>
        <color rgb="FF1F2A28"/>
        <rFont val="Arial"/>
        <family val="0"/>
        <charset val="1"/>
      </rPr>
      <t xml:space="preserve">)</t>
    </r>
  </si>
  <si>
    <t xml:space="preserve">鄭佩華</t>
  </si>
  <si>
    <t xml:space="preserve">維樂文化有限公司附設新竹市私立維樂美語文理技藝短期補習班</t>
  </si>
  <si>
    <r>
      <rPr>
        <sz val="10"/>
        <color rgb="FF1F2A28"/>
        <rFont val="WenQuanYi Zen Hei"/>
        <family val="2"/>
      </rPr>
      <t xml:space="preserve">新竹市東區自由路</t>
    </r>
    <r>
      <rPr>
        <sz val="10"/>
        <color rgb="FF1F2A28"/>
        <rFont val="Arial"/>
        <family val="0"/>
        <charset val="1"/>
      </rPr>
      <t xml:space="preserve">113</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2</t>
    </r>
  </si>
  <si>
    <t xml:space="preserve">(03)5329266</t>
  </si>
  <si>
    <t xml:space="preserve">2020-03-06</t>
  </si>
  <si>
    <t xml:space="preserve">陳姿婷</t>
  </si>
  <si>
    <t xml:space="preserve">臺師菁英文教事業股份有限公司附設新竹市私立學研文理短期補習班</t>
  </si>
  <si>
    <r>
      <rPr>
        <sz val="10"/>
        <color rgb="FF1F2A28"/>
        <rFont val="WenQuanYi Zen Hei"/>
        <family val="2"/>
      </rPr>
      <t xml:space="preserve">新竹市東區光復路一段</t>
    </r>
    <r>
      <rPr>
        <sz val="10"/>
        <color rgb="FF1F2A28"/>
        <rFont val="Arial"/>
        <family val="0"/>
        <charset val="1"/>
      </rPr>
      <t xml:space="preserve">89</t>
    </r>
    <r>
      <rPr>
        <sz val="10"/>
        <color rgb="FF1F2A28"/>
        <rFont val="WenQuanYi Zen Hei"/>
        <family val="2"/>
      </rPr>
      <t xml:space="preserve">巷</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</si>
  <si>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(03)6663268</t>
  </si>
  <si>
    <t xml:space="preserve">taisigma.bsb@gmail.com</t>
  </si>
  <si>
    <t xml:space="preserve">2006-04-19</t>
  </si>
  <si>
    <r>
      <rPr>
        <sz val="10"/>
        <color rgb="FF1F2A28"/>
        <rFont val="WenQuanYi Zen Hei"/>
        <family val="2"/>
      </rPr>
      <t xml:space="preserve">臺師菁英文教事業股份有限公司</t>
    </r>
    <r>
      <rPr>
        <sz val="10"/>
        <color rgb="FF1F2A28"/>
        <rFont val="Arial"/>
        <family val="0"/>
        <charset val="1"/>
      </rPr>
      <t xml:space="preserve">(</t>
    </r>
    <r>
      <rPr>
        <sz val="10"/>
        <color rgb="FF1F2A28"/>
        <rFont val="WenQuanYi Zen Hei"/>
        <family val="2"/>
      </rPr>
      <t xml:space="preserve">設立代表人：曹明驥</t>
    </r>
    <r>
      <rPr>
        <sz val="10"/>
        <color rgb="FF1F2A28"/>
        <rFont val="Arial"/>
        <family val="0"/>
        <charset val="1"/>
      </rPr>
      <t xml:space="preserve">)</t>
    </r>
  </si>
  <si>
    <t xml:space="preserve">洪嘉濃</t>
  </si>
  <si>
    <r>
      <rPr>
        <sz val="10"/>
        <color rgb="FF1F2A28"/>
        <rFont val="WenQuanYi Zen Hei"/>
        <family val="2"/>
      </rPr>
      <t xml:space="preserve">臺師菁英文教事業股份有限公司附設新竹市私立臺師菁英</t>
    </r>
    <r>
      <rPr>
        <sz val="10"/>
        <color rgb="FF1F2A28"/>
        <rFont val="Arial"/>
        <family val="0"/>
        <charset val="1"/>
      </rPr>
      <t xml:space="preserve">10</t>
    </r>
    <r>
      <rPr>
        <sz val="10"/>
        <color rgb="FF1F2A28"/>
        <rFont val="WenQuanYi Zen Hei"/>
        <family val="2"/>
      </rPr>
      <t xml:space="preserve">號文理短期補習班</t>
    </r>
  </si>
  <si>
    <r>
      <rPr>
        <sz val="10"/>
        <color rgb="FF1F2A28"/>
        <rFont val="WenQuanYi Zen Hei"/>
        <family val="2"/>
      </rPr>
      <t xml:space="preserve">新竹市東區學府路</t>
    </r>
    <r>
      <rPr>
        <sz val="10"/>
        <color rgb="FF1F2A28"/>
        <rFont val="Arial"/>
        <family val="0"/>
        <charset val="1"/>
      </rPr>
      <t xml:space="preserve">37</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</si>
  <si>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(03)5720577</t>
  </si>
  <si>
    <t xml:space="preserve">2019-06-06</t>
  </si>
  <si>
    <r>
      <rPr>
        <sz val="10"/>
        <color rgb="FF1F2A28"/>
        <rFont val="WenQuanYi Zen Hei"/>
        <family val="2"/>
      </rPr>
      <t xml:space="preserve">臺師菁英文教事業股份有限公司</t>
    </r>
    <r>
      <rPr>
        <sz val="10"/>
        <color rgb="FF1F2A28"/>
        <rFont val="Arial"/>
        <family val="0"/>
        <charset val="1"/>
      </rPr>
      <t xml:space="preserve">(</t>
    </r>
    <r>
      <rPr>
        <sz val="10"/>
        <color rgb="FF1F2A28"/>
        <rFont val="WenQuanYi Zen Hei"/>
        <family val="2"/>
      </rPr>
      <t xml:space="preserve">曹明驥</t>
    </r>
    <r>
      <rPr>
        <sz val="10"/>
        <color rgb="FF1F2A28"/>
        <rFont val="Arial"/>
        <family val="0"/>
        <charset val="1"/>
      </rPr>
      <t xml:space="preserve">)</t>
    </r>
  </si>
  <si>
    <t xml:space="preserve">陳儀桓</t>
  </si>
  <si>
    <t xml:space="preserve">菁英國際文教事業有限公司新竹分公司附設私立菁英國際語言短期補習班</t>
  </si>
  <si>
    <r>
      <rPr>
        <sz val="10"/>
        <color rgb="FF1F2A28"/>
        <rFont val="WenQuanYi Zen Hei"/>
        <family val="2"/>
      </rPr>
      <t xml:space="preserve">新竹市東區東門街</t>
    </r>
    <r>
      <rPr>
        <sz val="10"/>
        <color rgb="FF1F2A28"/>
        <rFont val="Arial"/>
        <family val="0"/>
        <charset val="1"/>
      </rPr>
      <t xml:space="preserve">48</t>
    </r>
    <r>
      <rPr>
        <sz val="10"/>
        <color rgb="FF1F2A28"/>
        <rFont val="WenQuanYi Zen Hei"/>
        <family val="2"/>
      </rPr>
      <t xml:space="preserve">、</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</si>
  <si>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(03)524-6600</t>
  </si>
  <si>
    <t xml:space="preserve">2007-06-23</t>
  </si>
  <si>
    <t xml:space="preserve">祁文秀</t>
  </si>
  <si>
    <t xml:space="preserve">蘋果樹教育股份有限公司附設新竹市私立蘋果樹教育文理短期補習班</t>
  </si>
  <si>
    <r>
      <rPr>
        <sz val="10"/>
        <color rgb="FF1F2A28"/>
        <rFont val="WenQuanYi Zen Hei"/>
        <family val="2"/>
      </rPr>
      <t xml:space="preserve">新竹市東區龍山東路</t>
    </r>
    <r>
      <rPr>
        <sz val="10"/>
        <color rgb="FF1F2A28"/>
        <rFont val="Arial"/>
        <family val="0"/>
        <charset val="1"/>
      </rPr>
      <t xml:space="preserve">266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</si>
  <si>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(03)6661010</t>
  </si>
  <si>
    <t xml:space="preserve">2018-08-17</t>
  </si>
  <si>
    <t xml:space="preserve">財團法人台灣基督長老教會聖經學院附設新竹市私立築聖仁光文理技藝短期補習班</t>
  </si>
  <si>
    <r>
      <rPr>
        <sz val="10"/>
        <color rgb="FF1F2A28"/>
        <rFont val="WenQuanYi Zen Hei"/>
        <family val="2"/>
      </rPr>
      <t xml:space="preserve">新竹市東區高峰路</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</si>
  <si>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(03)5217125</t>
  </si>
  <si>
    <t xml:space="preserve">chusheng5224601@gmail.com</t>
  </si>
  <si>
    <t xml:space="preserve">2019-07-24</t>
  </si>
  <si>
    <t xml:space="preserve">蘇家宏</t>
  </si>
  <si>
    <t xml:space="preserve">蘇美珍</t>
  </si>
  <si>
    <t xml:space="preserve">驅勢文教事業有限公司附設新竹市私立驅勢語文短期補習班</t>
  </si>
  <si>
    <r>
      <rPr>
        <sz val="10"/>
        <color rgb="FF1F2A28"/>
        <rFont val="WenQuanYi Zen Hei"/>
        <family val="2"/>
      </rPr>
      <t xml:space="preserve">新竹市東區中華路二段</t>
    </r>
    <r>
      <rPr>
        <sz val="10"/>
        <color rgb="FF1F2A28"/>
        <rFont val="Arial"/>
        <family val="0"/>
        <charset val="1"/>
      </rPr>
      <t xml:space="preserve">417</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</si>
  <si>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(03)5258180</t>
  </si>
  <si>
    <t xml:space="preserve">wanair13@yahoo.com.tw</t>
  </si>
  <si>
    <r>
      <rPr>
        <sz val="10"/>
        <color rgb="FF1F2A28"/>
        <rFont val="WenQuanYi Zen Hei"/>
        <family val="2"/>
      </rPr>
      <t xml:space="preserve">驅勢文教事業有限公司</t>
    </r>
    <r>
      <rPr>
        <sz val="10"/>
        <color rgb="FF1F2A28"/>
        <rFont val="Arial"/>
        <family val="0"/>
        <charset val="1"/>
      </rPr>
      <t xml:space="preserve">(</t>
    </r>
    <r>
      <rPr>
        <sz val="10"/>
        <color rgb="FF1F2A28"/>
        <rFont val="WenQuanYi Zen Hei"/>
        <family val="2"/>
      </rPr>
      <t xml:space="preserve">負責人：鄭志鵬</t>
    </r>
    <r>
      <rPr>
        <sz val="10"/>
        <color rgb="FF1F2A28"/>
        <rFont val="Arial"/>
        <family val="0"/>
        <charset val="1"/>
      </rPr>
      <t xml:space="preserve">)</t>
    </r>
  </si>
  <si>
    <t xml:space="preserve">方宏政</t>
  </si>
  <si>
    <r>
      <rPr>
        <sz val="10"/>
        <color rgb="FF1F2A28"/>
        <rFont val="WenQuanYi Zen Hei"/>
        <family val="2"/>
      </rPr>
      <t xml:space="preserve">希格瑪文教事業股份有限公司附設新竹縣私立希格瑪</t>
    </r>
    <r>
      <rPr>
        <sz val="10"/>
        <color rgb="FF1F2A28"/>
        <rFont val="Arial"/>
        <family val="0"/>
        <charset val="1"/>
      </rPr>
      <t xml:space="preserve">8</t>
    </r>
    <r>
      <rPr>
        <sz val="10"/>
        <color rgb="FF1F2A28"/>
        <rFont val="WenQuanYi Zen Hei"/>
        <family val="2"/>
      </rPr>
      <t xml:space="preserve">號文理短期補習班</t>
    </r>
  </si>
  <si>
    <r>
      <rPr>
        <sz val="10"/>
        <color rgb="FF1F2A28"/>
        <rFont val="WenQuanYi Zen Hei"/>
        <family val="2"/>
      </rPr>
      <t xml:space="preserve">新竹縣竹北市中華路</t>
    </r>
    <r>
      <rPr>
        <sz val="10"/>
        <color rgb="FF1F2A28"/>
        <rFont val="Arial"/>
        <family val="0"/>
        <charset val="1"/>
      </rPr>
      <t xml:space="preserve">348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樓、新竹縣竹北市三民路</t>
    </r>
    <r>
      <rPr>
        <sz val="10"/>
        <color rgb="FF1F2A28"/>
        <rFont val="Arial"/>
        <family val="0"/>
        <charset val="1"/>
      </rPr>
      <t xml:space="preserve">548</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</si>
  <si>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(03)5532772</t>
  </si>
  <si>
    <t xml:space="preserve">2017-03-21</t>
  </si>
  <si>
    <t xml:space="preserve">希格瑪文教事業股份有限公司（代表 人：曹明驥）</t>
  </si>
  <si>
    <t xml:space="preserve">陳志文</t>
  </si>
  <si>
    <t xml:space="preserve">新竹縣私立傅老師美語東寧分校短期補習班</t>
  </si>
  <si>
    <r>
      <rPr>
        <sz val="10"/>
        <color rgb="FF1F2A28"/>
        <rFont val="WenQuanYi Zen Hei"/>
        <family val="2"/>
      </rPr>
      <t xml:space="preserve">新竹縣竹東鎮康寧街</t>
    </r>
    <r>
      <rPr>
        <sz val="10"/>
        <color rgb="FF1F2A28"/>
        <rFont val="Arial"/>
        <family val="0"/>
        <charset val="1"/>
      </rPr>
      <t xml:space="preserve">103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</si>
  <si>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(03)5963690</t>
  </si>
  <si>
    <t xml:space="preserve">chungyifan27@gmail.com</t>
  </si>
  <si>
    <t xml:space="preserve">傅萍蓉</t>
  </si>
  <si>
    <t xml:space="preserve">傅立君</t>
  </si>
  <si>
    <t xml:space="preserve">新竹縣私立光點學學文理短期補習班</t>
  </si>
  <si>
    <r>
      <rPr>
        <sz val="10"/>
        <color rgb="FF1F2A28"/>
        <rFont val="WenQuanYi Zen Hei"/>
        <family val="2"/>
      </rPr>
      <t xml:space="preserve">新竹縣竹北市成功九街</t>
    </r>
    <r>
      <rPr>
        <sz val="10"/>
        <color rgb="FF1F2A28"/>
        <rFont val="Arial"/>
        <family val="0"/>
        <charset val="1"/>
      </rPr>
      <t xml:space="preserve">95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</si>
  <si>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0911213811</t>
  </si>
  <si>
    <t xml:space="preserve">rukawa.liou@gmail.com</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</si>
  <si>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其他類</t>
    </r>
  </si>
  <si>
    <t xml:space="preserve">2013-11-07</t>
  </si>
  <si>
    <t xml:space="preserve">新竹縣私立凱狄文理短期補習班。</t>
  </si>
  <si>
    <r>
      <rPr>
        <sz val="10"/>
        <color rgb="FF1F2A28"/>
        <rFont val="WenQuanYi Zen Hei"/>
        <family val="2"/>
      </rPr>
      <t xml:space="preserve">新竹縣竹北市文興路</t>
    </r>
    <r>
      <rPr>
        <sz val="10"/>
        <color rgb="FF1F2A28"/>
        <rFont val="Arial"/>
        <family val="0"/>
        <charset val="1"/>
      </rPr>
      <t xml:space="preserve">163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</si>
  <si>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(03)5505615</t>
  </si>
  <si>
    <t xml:space="preserve">wo610302@yahoo.com.tw</t>
  </si>
  <si>
    <t xml:space="preserve">趙苡彤</t>
  </si>
  <si>
    <t xml:space="preserve">戴凱雯</t>
  </si>
  <si>
    <t xml:space="preserve">新竹縣私立勤信文理短期補習班</t>
  </si>
  <si>
    <r>
      <rPr>
        <sz val="10"/>
        <color rgb="FF1F2A28"/>
        <rFont val="WenQuanYi Zen Hei"/>
        <family val="2"/>
      </rPr>
      <t xml:space="preserve">新竹縣竹北市勝利十三街</t>
    </r>
    <r>
      <rPr>
        <sz val="10"/>
        <color rgb="FF1F2A28"/>
        <rFont val="Arial"/>
        <family val="0"/>
        <charset val="1"/>
      </rPr>
      <t xml:space="preserve">59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</si>
  <si>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(03)6218730</t>
  </si>
  <si>
    <t xml:space="preserve">happylion.ax@gmail.com</t>
  </si>
  <si>
    <t xml:space="preserve">2015-09-10</t>
  </si>
  <si>
    <t xml:space="preserve">李俊賢</t>
  </si>
  <si>
    <t xml:space="preserve">新竹縣私立南瓜田外語文理短期補習班</t>
  </si>
  <si>
    <r>
      <rPr>
        <sz val="10"/>
        <color rgb="FF1F2A28"/>
        <rFont val="WenQuanYi Zen Hei"/>
        <family val="2"/>
      </rPr>
      <t xml:space="preserve">新竹縣竹北市莊敬六街</t>
    </r>
    <r>
      <rPr>
        <sz val="10"/>
        <color rgb="FF1F2A28"/>
        <rFont val="Arial"/>
        <family val="0"/>
        <charset val="1"/>
      </rPr>
      <t xml:space="preserve">230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樓、竹北市勝利十二街</t>
    </r>
    <r>
      <rPr>
        <sz val="10"/>
        <color rgb="FF1F2A28"/>
        <rFont val="Arial"/>
        <family val="0"/>
        <charset val="1"/>
      </rPr>
      <t xml:space="preserve">220</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</si>
  <si>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03-5507005</t>
  </si>
  <si>
    <t xml:space="preserve">pgls.jason@gmail.com</t>
  </si>
  <si>
    <r>
      <rPr>
        <sz val="10"/>
        <color rgb="FF1F2A28"/>
        <rFont val="WenQuanYi Zen Hei"/>
        <family val="2"/>
      </rPr>
      <t xml:space="preserve">美語、美語</t>
    </r>
    <r>
      <rPr>
        <sz val="10"/>
        <color rgb="FF1F2A28"/>
        <rFont val="Arial"/>
        <family val="0"/>
        <charset val="1"/>
      </rPr>
      <t xml:space="preserve">B</t>
    </r>
    <r>
      <rPr>
        <sz val="10"/>
        <color rgb="FF1F2A28"/>
        <rFont val="WenQuanYi Zen Hei"/>
        <family val="2"/>
      </rPr>
      <t xml:space="preserve">、美語寫作</t>
    </r>
    <r>
      <rPr>
        <sz val="10"/>
        <color rgb="FF1F2A28"/>
        <rFont val="Arial"/>
        <family val="0"/>
        <charset val="1"/>
      </rPr>
      <t xml:space="preserve">A</t>
    </r>
    <r>
      <rPr>
        <sz val="10"/>
        <color rgb="FF1F2A28"/>
        <rFont val="WenQuanYi Zen Hei"/>
        <family val="2"/>
      </rPr>
      <t xml:space="preserve">、美語寫作</t>
    </r>
    <r>
      <rPr>
        <sz val="10"/>
        <color rgb="FF1F2A28"/>
        <rFont val="Arial"/>
        <family val="0"/>
        <charset val="1"/>
      </rPr>
      <t xml:space="preserve">B</t>
    </r>
    <r>
      <rPr>
        <sz val="10"/>
        <color rgb="FF1F2A28"/>
        <rFont val="WenQuanYi Zen Hei"/>
        <family val="2"/>
      </rPr>
      <t xml:space="preserve">、美語</t>
    </r>
    <r>
      <rPr>
        <sz val="10"/>
        <color rgb="FF1F2A28"/>
        <rFont val="Arial"/>
        <family val="0"/>
        <charset val="1"/>
      </rPr>
      <t xml:space="preserve">A</t>
    </r>
    <r>
      <rPr>
        <sz val="10"/>
        <color rgb="FF1F2A28"/>
        <rFont val="WenQuanYi Zen Hei"/>
        <family val="2"/>
      </rPr>
      <t xml:space="preserve">、國中美語專題寫作、美語</t>
    </r>
    <r>
      <rPr>
        <sz val="10"/>
        <color rgb="FF1F2A28"/>
        <rFont val="Arial"/>
        <family val="0"/>
        <charset val="1"/>
      </rPr>
      <t xml:space="preserve">C</t>
    </r>
  </si>
  <si>
    <t xml:space="preserve">蔡玉甯</t>
  </si>
  <si>
    <t xml:space="preserve">新竹縣私立大英劍橋文理技藝短期補習班</t>
  </si>
  <si>
    <r>
      <rPr>
        <sz val="10"/>
        <color rgb="FF1F2A28"/>
        <rFont val="WenQuanYi Zen Hei"/>
        <family val="2"/>
      </rPr>
      <t xml:space="preserve">新竹縣竹北市光明九路</t>
    </r>
    <r>
      <rPr>
        <sz val="10"/>
        <color rgb="FF1F2A28"/>
        <rFont val="Arial"/>
        <family val="0"/>
        <charset val="1"/>
      </rPr>
      <t xml:space="preserve">50</t>
    </r>
    <r>
      <rPr>
        <sz val="10"/>
        <color rgb="FF1F2A28"/>
        <rFont val="WenQuanYi Zen Hei"/>
        <family val="2"/>
      </rPr>
      <t xml:space="preserve">、</t>
    </r>
    <r>
      <rPr>
        <sz val="10"/>
        <color rgb="FF1F2A28"/>
        <rFont val="Arial"/>
        <family val="0"/>
        <charset val="1"/>
      </rPr>
      <t xml:space="preserve">52</t>
    </r>
    <r>
      <rPr>
        <sz val="10"/>
        <color rgb="FF1F2A28"/>
        <rFont val="WenQuanYi Zen Hei"/>
        <family val="2"/>
      </rPr>
      <t xml:space="preserve">、</t>
    </r>
    <r>
      <rPr>
        <sz val="10"/>
        <color rgb="FF1F2A28"/>
        <rFont val="Arial"/>
        <family val="0"/>
        <charset val="1"/>
      </rPr>
      <t xml:space="preserve">54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</si>
  <si>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(03)6566655</t>
  </si>
  <si>
    <t xml:space="preserve">cambridge302681@gmail.com</t>
  </si>
  <si>
    <t xml:space="preserve">張佩玲</t>
  </si>
  <si>
    <t xml:space="preserve">新竹縣私立孜縈英文短期補習班</t>
  </si>
  <si>
    <r>
      <rPr>
        <sz val="10"/>
        <color rgb="FF1F2A28"/>
        <rFont val="WenQuanYi Zen Hei"/>
        <family val="2"/>
      </rPr>
      <t xml:space="preserve">新竹縣竹北市文興路</t>
    </r>
    <r>
      <rPr>
        <sz val="10"/>
        <color rgb="FF1F2A28"/>
        <rFont val="Arial"/>
        <family val="0"/>
        <charset val="1"/>
      </rPr>
      <t xml:space="preserve">195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</si>
  <si>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(03)5500887</t>
  </si>
  <si>
    <t xml:space="preserve">cort307@yahoo.com.tw</t>
  </si>
  <si>
    <t xml:space="preserve">2019-12-10</t>
  </si>
  <si>
    <t xml:space="preserve">簡孜縈</t>
  </si>
  <si>
    <t xml:space="preserve">巫嘉軒</t>
  </si>
  <si>
    <t xml:space="preserve">新竹縣私立小瓏英語短期補習班</t>
  </si>
  <si>
    <r>
      <rPr>
        <sz val="10"/>
        <color rgb="FF1F2A28"/>
        <rFont val="WenQuanYi Zen Hei"/>
        <family val="2"/>
      </rPr>
      <t xml:space="preserve">新竹縣竹北市成功五街</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樓、新竹縣竹北市成功五街</t>
    </r>
    <r>
      <rPr>
        <sz val="10"/>
        <color rgb="FF1F2A28"/>
        <rFont val="Arial"/>
        <family val="0"/>
        <charset val="1"/>
      </rPr>
      <t xml:space="preserve">40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</si>
  <si>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0972969766</t>
  </si>
  <si>
    <t xml:space="preserve">xiaolongclass@gmail.com</t>
  </si>
  <si>
    <t xml:space="preserve">2013-11-27</t>
  </si>
  <si>
    <t xml:space="preserve">王瓏霏</t>
  </si>
  <si>
    <t xml:space="preserve">新竹縣私立弘承文理短期補習班</t>
  </si>
  <si>
    <r>
      <rPr>
        <sz val="10"/>
        <color rgb="FF1F2A28"/>
        <rFont val="WenQuanYi Zen Hei"/>
        <family val="2"/>
      </rPr>
      <t xml:space="preserve">新竹縣湖口鄉愛勢村</t>
    </r>
    <r>
      <rPr>
        <sz val="10"/>
        <color rgb="FF1F2A28"/>
        <rFont val="Arial"/>
        <family val="0"/>
        <charset val="1"/>
      </rPr>
      <t xml:space="preserve">11</t>
    </r>
    <r>
      <rPr>
        <sz val="10"/>
        <color rgb="FF1F2A28"/>
        <rFont val="WenQuanYi Zen Hei"/>
        <family val="2"/>
      </rPr>
      <t xml:space="preserve">鄰民族街</t>
    </r>
    <r>
      <rPr>
        <sz val="10"/>
        <color rgb="FF1F2A28"/>
        <rFont val="Arial"/>
        <family val="0"/>
        <charset val="1"/>
      </rPr>
      <t xml:space="preserve">226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</si>
  <si>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(03)5999953</t>
  </si>
  <si>
    <t xml:space="preserve">jordan1212024@gmail.com</t>
  </si>
  <si>
    <t xml:space="preserve">2013-06-03</t>
  </si>
  <si>
    <t xml:space="preserve">李玉燕</t>
  </si>
  <si>
    <t xml:space="preserve">新竹縣私立快樂學文理短期補習班</t>
  </si>
  <si>
    <r>
      <rPr>
        <sz val="10"/>
        <color rgb="FF1F2A28"/>
        <rFont val="WenQuanYi Zen Hei"/>
        <family val="2"/>
      </rPr>
      <t xml:space="preserve">新竹縣竹東鎮中豐路二段</t>
    </r>
    <r>
      <rPr>
        <sz val="10"/>
        <color rgb="FF1F2A28"/>
        <rFont val="Arial"/>
        <family val="0"/>
        <charset val="1"/>
      </rPr>
      <t xml:space="preserve">325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</si>
  <si>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(03)5101166</t>
  </si>
  <si>
    <t xml:space="preserve">jusleo6785@yahoo.com</t>
  </si>
  <si>
    <t xml:space="preserve">劉筑瑄</t>
  </si>
  <si>
    <t xml:space="preserve">何欣芸</t>
  </si>
  <si>
    <t xml:space="preserve">新竹縣私立提恩美語文理技藝短期補習班</t>
  </si>
  <si>
    <r>
      <rPr>
        <sz val="10"/>
        <color rgb="FF1F2A28"/>
        <rFont val="WenQuanYi Zen Hei"/>
        <family val="2"/>
      </rPr>
      <t xml:space="preserve">新竹縣竹北市勝利十二街</t>
    </r>
    <r>
      <rPr>
        <sz val="10"/>
        <color rgb="FF1F2A28"/>
        <rFont val="Arial"/>
        <family val="0"/>
        <charset val="1"/>
      </rPr>
      <t xml:space="preserve">178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</si>
  <si>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(03)6579204</t>
  </si>
  <si>
    <t xml:space="preserve">strongvv@gmail.com</t>
  </si>
  <si>
    <t xml:space="preserve">簡世毓</t>
  </si>
  <si>
    <t xml:space="preserve">新竹縣私立文華文理短期補習班</t>
  </si>
  <si>
    <r>
      <rPr>
        <sz val="10"/>
        <color rgb="FF1F2A28"/>
        <rFont val="WenQuanYi Zen Hei"/>
        <family val="2"/>
      </rPr>
      <t xml:space="preserve">新竹縣湖口鄉新湖路</t>
    </r>
    <r>
      <rPr>
        <sz val="10"/>
        <color rgb="FF1F2A28"/>
        <rFont val="Arial"/>
        <family val="0"/>
        <charset val="1"/>
      </rPr>
      <t xml:space="preserve">51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</si>
  <si>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(03)5993482</t>
  </si>
  <si>
    <t xml:space="preserve">吳馥宇</t>
  </si>
  <si>
    <t xml:space="preserve">新竹縣私立東昇文理短期補習班</t>
  </si>
  <si>
    <r>
      <rPr>
        <sz val="10"/>
        <color rgb="FF1F2A28"/>
        <rFont val="WenQuanYi Zen Hei"/>
        <family val="2"/>
      </rPr>
      <t xml:space="preserve">新竹縣竹北市嘉豐七街</t>
    </r>
    <r>
      <rPr>
        <sz val="10"/>
        <color rgb="FF1F2A28"/>
        <rFont val="Arial"/>
        <family val="0"/>
        <charset val="1"/>
      </rPr>
      <t xml:space="preserve">145</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樓、新竹縣 竹北市嘉豐七街</t>
    </r>
    <r>
      <rPr>
        <sz val="10"/>
        <color rgb="FF1F2A28"/>
        <rFont val="Arial"/>
        <family val="0"/>
        <charset val="1"/>
      </rPr>
      <t xml:space="preserve">139</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</si>
  <si>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(03)6688322</t>
  </si>
  <si>
    <t xml:space="preserve">ts6688322@gmail.com</t>
  </si>
  <si>
    <t xml:space="preserve">2018-09-26</t>
  </si>
  <si>
    <t xml:space="preserve">江金隆</t>
  </si>
  <si>
    <t xml:space="preserve">新竹縣私立橡樹語文短期補習班</t>
  </si>
  <si>
    <r>
      <rPr>
        <sz val="10"/>
        <color rgb="FF1F2A28"/>
        <rFont val="WenQuanYi Zen Hei"/>
        <family val="2"/>
      </rPr>
      <t xml:space="preserve">新竹縣竹北市褔興路</t>
    </r>
    <r>
      <rPr>
        <sz val="10"/>
        <color rgb="FF1F2A28"/>
        <rFont val="Arial"/>
        <family val="0"/>
        <charset val="1"/>
      </rPr>
      <t xml:space="preserve">438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</si>
  <si>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(03)6567002</t>
  </si>
  <si>
    <t xml:space="preserve">tracynitwit@gmail.com</t>
  </si>
  <si>
    <t xml:space="preserve">邱玉雲</t>
  </si>
  <si>
    <t xml:space="preserve">新竹縣私立海茵美語文理技藝短期補習班</t>
  </si>
  <si>
    <r>
      <rPr>
        <sz val="10"/>
        <color rgb="FF1F2A28"/>
        <rFont val="WenQuanYi Zen Hei"/>
        <family val="2"/>
      </rPr>
      <t xml:space="preserve">新竹縣竹北市光明九路</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</si>
  <si>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(03)5588096</t>
  </si>
  <si>
    <t xml:space="preserve">2006-08-07</t>
  </si>
  <si>
    <t xml:space="preserve">張嘉芬</t>
  </si>
  <si>
    <t xml:space="preserve">新竹縣私立竹東佳音文理技藝短期補習班</t>
  </si>
  <si>
    <r>
      <rPr>
        <sz val="10"/>
        <color rgb="FF1F2A28"/>
        <rFont val="WenQuanYi Zen Hei"/>
        <family val="2"/>
      </rPr>
      <t xml:space="preserve">新竹縣竹東鎮大林路</t>
    </r>
    <r>
      <rPr>
        <sz val="10"/>
        <color rgb="FF1F2A28"/>
        <rFont val="Arial"/>
        <family val="0"/>
        <charset val="1"/>
      </rPr>
      <t xml:space="preserve">118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</si>
  <si>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(03)5959635</t>
  </si>
  <si>
    <t xml:space="preserve">joy_judung@seed.net.tw</t>
  </si>
  <si>
    <t xml:space="preserve">2012-12-27</t>
  </si>
  <si>
    <t xml:space="preserve">洪文乾</t>
  </si>
  <si>
    <t xml:space="preserve">新竹縣芮蒂文理短期補習班</t>
  </si>
  <si>
    <r>
      <rPr>
        <sz val="10"/>
        <color rgb="FF1F2A28"/>
        <rFont val="WenQuanYi Zen Hei"/>
        <family val="2"/>
      </rPr>
      <t xml:space="preserve">新竹縣新埔鎮四座里文化街</t>
    </r>
    <r>
      <rPr>
        <sz val="10"/>
        <color rgb="FF1F2A28"/>
        <rFont val="Arial"/>
        <family val="0"/>
        <charset val="1"/>
      </rPr>
      <t xml:space="preserve">51</t>
    </r>
    <r>
      <rPr>
        <sz val="10"/>
        <color rgb="FF1F2A28"/>
        <rFont val="WenQuanYi Zen Hei"/>
        <family val="2"/>
      </rPr>
      <t xml:space="preserve">號</t>
    </r>
  </si>
  <si>
    <t xml:space="preserve">(03)5895991</t>
  </si>
  <si>
    <t xml:space="preserve">huiminchou.1218@gmail.com</t>
  </si>
  <si>
    <t xml:space="preserve">2010-12-06</t>
  </si>
  <si>
    <t xml:space="preserve">徐禕</t>
  </si>
  <si>
    <t xml:space="preserve">徐滄德</t>
  </si>
  <si>
    <t xml:space="preserve">星康國際有限公司附設新竹縣私立康乃薾美語短期補習班</t>
  </si>
  <si>
    <r>
      <rPr>
        <sz val="10"/>
        <color rgb="FF1F2A28"/>
        <rFont val="WenQuanYi Zen Hei"/>
        <family val="2"/>
      </rPr>
      <t xml:space="preserve">新竹縣竹北市嘉豐南路二段</t>
    </r>
    <r>
      <rPr>
        <sz val="10"/>
        <color rgb="FF1F2A28"/>
        <rFont val="Arial"/>
        <family val="0"/>
        <charset val="1"/>
      </rPr>
      <t xml:space="preserve">59</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</si>
  <si>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03-5583825</t>
  </si>
  <si>
    <t xml:space="preserve">starkorrnellinfo@starkorrnell.org</t>
  </si>
  <si>
    <r>
      <rPr>
        <sz val="10"/>
        <color rgb="FF1F2A28"/>
        <rFont val="WenQuanYi Zen Hei"/>
        <family val="2"/>
      </rPr>
      <t xml:space="preserve">星康國際有限公司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劉雅文</t>
    </r>
    <r>
      <rPr>
        <sz val="10"/>
        <color rgb="FF1F2A28"/>
        <rFont val="Arial"/>
        <family val="0"/>
        <charset val="1"/>
      </rPr>
      <t xml:space="preserve">)</t>
    </r>
  </si>
  <si>
    <t xml:space="preserve">杜亭輝</t>
  </si>
  <si>
    <t xml:space="preserve">私立佳仁美語才藝短期補習班</t>
  </si>
  <si>
    <r>
      <rPr>
        <sz val="10"/>
        <color rgb="FF1F2A28"/>
        <rFont val="WenQuanYi Zen Hei"/>
        <family val="2"/>
      </rPr>
      <t xml:space="preserve">新竹縣關西鎮中興路</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</si>
  <si>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(03)5878600</t>
  </si>
  <si>
    <t xml:space="preserve">mmyy6867@gmail.com</t>
  </si>
  <si>
    <t xml:space="preserve">1993-03-05</t>
  </si>
  <si>
    <t xml:space="preserve">李孟倫</t>
  </si>
  <si>
    <t xml:space="preserve">私立波特美語會話短期補習班</t>
  </si>
  <si>
    <r>
      <rPr>
        <sz val="10"/>
        <color rgb="FF1F2A28"/>
        <rFont val="WenQuanYi Zen Hei"/>
        <family val="2"/>
      </rPr>
      <t xml:space="preserve">新竹縣湖口鄉愛勢村</t>
    </r>
    <r>
      <rPr>
        <sz val="10"/>
        <color rgb="FF1F2A28"/>
        <rFont val="Arial"/>
        <family val="0"/>
        <charset val="1"/>
      </rPr>
      <t xml:space="preserve">22</t>
    </r>
    <r>
      <rPr>
        <sz val="10"/>
        <color rgb="FF1F2A28"/>
        <rFont val="WenQuanYi Zen Hei"/>
        <family val="2"/>
      </rPr>
      <t xml:space="preserve">鄰民生街</t>
    </r>
    <r>
      <rPr>
        <sz val="10"/>
        <color rgb="FF1F2A28"/>
        <rFont val="Arial"/>
        <family val="0"/>
        <charset val="1"/>
      </rPr>
      <t xml:space="preserve">198</t>
    </r>
    <r>
      <rPr>
        <sz val="10"/>
        <color rgb="FF1F2A28"/>
        <rFont val="WenQuanYi Zen Hei"/>
        <family val="2"/>
      </rPr>
      <t xml:space="preserve">號一樓</t>
    </r>
  </si>
  <si>
    <t xml:space="preserve">(03)5902727</t>
  </si>
  <si>
    <t xml:space="preserve">kidcastle198@gmail.com</t>
  </si>
  <si>
    <t xml:space="preserve">2005-06-21</t>
  </si>
  <si>
    <t xml:space="preserve">傅遠智</t>
  </si>
  <si>
    <t xml:space="preserve">私立童園語文短期補習班</t>
  </si>
  <si>
    <r>
      <rPr>
        <sz val="10"/>
        <color rgb="FF1F2A28"/>
        <rFont val="WenQuanYi Zen Hei"/>
        <family val="2"/>
      </rPr>
      <t xml:space="preserve">新竹縣竹北市興安里</t>
    </r>
    <r>
      <rPr>
        <sz val="10"/>
        <color rgb="FF1F2A28"/>
        <rFont val="Arial"/>
        <family val="0"/>
        <charset val="1"/>
      </rPr>
      <t xml:space="preserve">29</t>
    </r>
    <r>
      <rPr>
        <sz val="10"/>
        <color rgb="FF1F2A28"/>
        <rFont val="WenQuanYi Zen Hei"/>
        <family val="2"/>
      </rPr>
      <t xml:space="preserve">鄰文義街</t>
    </r>
    <r>
      <rPr>
        <sz val="10"/>
        <color rgb="FF1F2A28"/>
        <rFont val="Arial"/>
        <family val="0"/>
        <charset val="1"/>
      </rPr>
      <t xml:space="preserve">81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</si>
  <si>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(03)6560913</t>
  </si>
  <si>
    <t xml:space="preserve">judy.9451990@gmail.com</t>
  </si>
  <si>
    <t xml:space="preserve">2003-08-13</t>
  </si>
  <si>
    <t xml:space="preserve">胡清源</t>
  </si>
  <si>
    <t xml:space="preserve">黃素燕</t>
  </si>
  <si>
    <t xml:space="preserve">私立貝爾實驗美語會話短期補習班</t>
  </si>
  <si>
    <r>
      <rPr>
        <sz val="10"/>
        <color rgb="FF1F2A28"/>
        <rFont val="WenQuanYi Zen Hei"/>
        <family val="2"/>
      </rPr>
      <t xml:space="preserve">新埔鎮中正路</t>
    </r>
    <r>
      <rPr>
        <sz val="10"/>
        <color rgb="FF1F2A28"/>
        <rFont val="Arial"/>
        <family val="0"/>
        <charset val="1"/>
      </rPr>
      <t xml:space="preserve">706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</si>
  <si>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(03)5886735</t>
  </si>
  <si>
    <t xml:space="preserve">bells_school@yahoo.com</t>
  </si>
  <si>
    <t xml:space="preserve">1995-01-16</t>
  </si>
  <si>
    <t xml:space="preserve">陳得民</t>
  </si>
  <si>
    <t xml:space="preserve">陳周玉玲</t>
  </si>
  <si>
    <t xml:space="preserve">新竹縣私立古佳右文理技藝短期補習班</t>
  </si>
  <si>
    <r>
      <rPr>
        <sz val="10"/>
        <color rgb="FF1F2A28"/>
        <rFont val="WenQuanYi Zen Hei"/>
        <family val="2"/>
      </rPr>
      <t xml:space="preserve">新豐鄉福德街</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.17-2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</si>
  <si>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(03)5592758</t>
  </si>
  <si>
    <t xml:space="preserve">gn3510501@gmail.com</t>
  </si>
  <si>
    <t xml:space="preserve">朱惠瑄</t>
  </si>
  <si>
    <t xml:space="preserve">林致宏</t>
  </si>
  <si>
    <t xml:space="preserve">新竹縣私立學府美語短期補習班</t>
  </si>
  <si>
    <r>
      <rPr>
        <sz val="10"/>
        <color rgb="FF1F2A28"/>
        <rFont val="WenQuanYi Zen Hei"/>
        <family val="2"/>
      </rPr>
      <t xml:space="preserve">新豐鄉博學街</t>
    </r>
    <r>
      <rPr>
        <sz val="10"/>
        <color rgb="FF1F2A28"/>
        <rFont val="Arial"/>
        <family val="0"/>
        <charset val="1"/>
      </rPr>
      <t xml:space="preserve">113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</si>
  <si>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(03)5590099</t>
  </si>
  <si>
    <t xml:space="preserve">hsueh.fu@msa.hinet.net</t>
  </si>
  <si>
    <t xml:space="preserve">盧禎惠</t>
  </si>
  <si>
    <t xml:space="preserve">新竹縣私立小狀元美語短期補習班</t>
  </si>
  <si>
    <r>
      <rPr>
        <sz val="10"/>
        <color rgb="FF1F2A28"/>
        <rFont val="WenQuanYi Zen Hei"/>
        <family val="2"/>
      </rPr>
      <t xml:space="preserve">新豐鄉福德街</t>
    </r>
    <r>
      <rPr>
        <sz val="10"/>
        <color rgb="FF1F2A28"/>
        <rFont val="Arial"/>
        <family val="0"/>
        <charset val="1"/>
      </rPr>
      <t xml:space="preserve">39</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</si>
  <si>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(03)5577799</t>
  </si>
  <si>
    <t xml:space="preserve">end369@yahoo.com.tw</t>
  </si>
  <si>
    <t xml:space="preserve">黃樹榮</t>
  </si>
  <si>
    <t xml:space="preserve">新竹縣私立愛丁堡文理才藝短期補習班</t>
  </si>
  <si>
    <r>
      <rPr>
        <sz val="10"/>
        <color rgb="FF1F2A28"/>
        <rFont val="WenQuanYi Zen Hei"/>
        <family val="2"/>
      </rPr>
      <t xml:space="preserve">新豐鄉孝三街</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</si>
  <si>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(03)5595988</t>
  </si>
  <si>
    <t xml:space="preserve">edinburghtw@yahoo.com.tw</t>
  </si>
  <si>
    <t xml:space="preserve">2005-11-21</t>
  </si>
  <si>
    <t xml:space="preserve">張富美</t>
  </si>
  <si>
    <t xml:space="preserve">新竹縣私立愛丁堡文理才藝短期補習班忠孝分班</t>
  </si>
  <si>
    <r>
      <rPr>
        <sz val="10"/>
        <color rgb="FF1F2A28"/>
        <rFont val="WenQuanYi Zen Hei"/>
        <family val="2"/>
      </rPr>
      <t xml:space="preserve">新豐鄉忠孝村</t>
    </r>
    <r>
      <rPr>
        <sz val="10"/>
        <color rgb="FF1F2A28"/>
        <rFont val="Arial"/>
        <family val="0"/>
        <charset val="1"/>
      </rPr>
      <t xml:space="preserve">4</t>
    </r>
    <r>
      <rPr>
        <sz val="10"/>
        <color rgb="FF1F2A28"/>
        <rFont val="WenQuanYi Zen Hei"/>
        <family val="2"/>
      </rPr>
      <t xml:space="preserve">鄰忠一街</t>
    </r>
    <r>
      <rPr>
        <sz val="10"/>
        <color rgb="FF1F2A28"/>
        <rFont val="Arial"/>
        <family val="0"/>
        <charset val="1"/>
      </rPr>
      <t xml:space="preserve">247</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</si>
  <si>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(03)5590178</t>
  </si>
  <si>
    <t xml:space="preserve">美語繪本、英語</t>
  </si>
  <si>
    <t xml:space="preserve">2022-01-14</t>
  </si>
  <si>
    <t xml:space="preserve">林佩莉</t>
  </si>
  <si>
    <t xml:space="preserve">新竹縣私立王老師家教中心短期補習班</t>
  </si>
  <si>
    <r>
      <rPr>
        <sz val="10"/>
        <color rgb="FF1F2A28"/>
        <rFont val="WenQuanYi Zen Hei"/>
        <family val="2"/>
      </rPr>
      <t xml:space="preserve">新豐鄉忠孝路</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</si>
  <si>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(03)5572241</t>
  </si>
  <si>
    <t xml:space="preserve">ofelialucyjennny@gmail.com</t>
  </si>
  <si>
    <t xml:space="preserve">1998-11-26</t>
  </si>
  <si>
    <t xml:space="preserve">新竹縣私立米芝霓美語會話短期補習班</t>
  </si>
  <si>
    <r>
      <rPr>
        <sz val="10"/>
        <color rgb="FF1F2A28"/>
        <rFont val="WenQuanYi Zen Hei"/>
        <family val="2"/>
      </rPr>
      <t xml:space="preserve">新豐鄉泰安街</t>
    </r>
    <r>
      <rPr>
        <sz val="10"/>
        <color rgb="FF1F2A28"/>
        <rFont val="Arial"/>
        <family val="0"/>
        <charset val="1"/>
      </rPr>
      <t xml:space="preserve">109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</si>
  <si>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(03)5598440</t>
  </si>
  <si>
    <t xml:space="preserve">sandy94210@gmail.com</t>
  </si>
  <si>
    <t xml:space="preserve">橫山鄉</t>
  </si>
  <si>
    <t xml:space="preserve">新竹縣私立佳禾文理短期補習班</t>
  </si>
  <si>
    <r>
      <rPr>
        <sz val="10"/>
        <color rgb="FF1F2A28"/>
        <rFont val="WenQuanYi Zen Hei"/>
        <family val="2"/>
      </rPr>
      <t xml:space="preserve">橫山鄉大肚村</t>
    </r>
    <r>
      <rPr>
        <sz val="10"/>
        <color rgb="FF1F2A28"/>
        <rFont val="Arial"/>
        <family val="0"/>
        <charset val="1"/>
      </rPr>
      <t xml:space="preserve">11</t>
    </r>
    <r>
      <rPr>
        <sz val="10"/>
        <color rgb="FF1F2A28"/>
        <rFont val="WenQuanYi Zen Hei"/>
        <family val="2"/>
      </rPr>
      <t xml:space="preserve">鄰永昌街</t>
    </r>
    <r>
      <rPr>
        <sz val="10"/>
        <color rgb="FF1F2A28"/>
        <rFont val="Arial"/>
        <family val="0"/>
        <charset val="1"/>
      </rPr>
      <t xml:space="preserve">128</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</si>
  <si>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(03)5937098</t>
  </si>
  <si>
    <t xml:space="preserve">coco5937098@yahoo.com.tw</t>
  </si>
  <si>
    <t xml:space="preserve">邱素鳳</t>
  </si>
  <si>
    <r>
      <rPr>
        <sz val="10"/>
        <color rgb="FF1F2A28"/>
        <rFont val="WenQuanYi Zen Hei"/>
        <family val="2"/>
      </rPr>
      <t xml:space="preserve">湖口鄉成功路</t>
    </r>
    <r>
      <rPr>
        <sz val="10"/>
        <color rgb="FF1F2A28"/>
        <rFont val="Arial"/>
        <family val="0"/>
        <charset val="1"/>
      </rPr>
      <t xml:space="preserve">62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</si>
  <si>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(03)5991775</t>
  </si>
  <si>
    <t xml:space="preserve">新竹縣私立臥虎藏龍文理短期補習班</t>
  </si>
  <si>
    <r>
      <rPr>
        <sz val="10"/>
        <color rgb="FF1F2A28"/>
        <rFont val="WenQuanYi Zen Hei"/>
        <family val="2"/>
      </rPr>
      <t xml:space="preserve">湖口鄉中正五街</t>
    </r>
    <r>
      <rPr>
        <sz val="10"/>
        <color rgb="FF1F2A28"/>
        <rFont val="Arial"/>
        <family val="0"/>
        <charset val="1"/>
      </rPr>
      <t xml:space="preserve">180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</si>
  <si>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(03)5901646</t>
  </si>
  <si>
    <t xml:space="preserve">twwse95005@gmail.com</t>
  </si>
  <si>
    <t xml:space="preserve">2017-04-17</t>
  </si>
  <si>
    <t xml:space="preserve">張聖傑</t>
  </si>
  <si>
    <t xml:space="preserve">張美玉</t>
  </si>
  <si>
    <t xml:space="preserve">新竹縣私立艾倫文理短期補習班</t>
  </si>
  <si>
    <r>
      <rPr>
        <sz val="10"/>
        <color rgb="FF1F2A28"/>
        <rFont val="WenQuanYi Zen Hei"/>
        <family val="2"/>
      </rPr>
      <t xml:space="preserve">湖口鄉明德街</t>
    </r>
    <r>
      <rPr>
        <sz val="10"/>
        <color rgb="FF1F2A28"/>
        <rFont val="Arial"/>
        <family val="0"/>
        <charset val="1"/>
      </rPr>
      <t xml:space="preserve">336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3</t>
    </r>
    <r>
      <rPr>
        <sz val="10"/>
        <color rgb="FF1F2A28"/>
        <rFont val="WenQuanYi Zen Hei"/>
        <family val="2"/>
      </rPr>
      <t xml:space="preserve">樓</t>
    </r>
  </si>
  <si>
    <t xml:space="preserve">(03)5995499</t>
  </si>
  <si>
    <t xml:space="preserve">ellen5901499@gmail.com</t>
  </si>
  <si>
    <t xml:space="preserve">2004-10-21</t>
  </si>
  <si>
    <t xml:space="preserve">黃美霖</t>
  </si>
  <si>
    <t xml:space="preserve">私立芝麻美語短期補習班</t>
  </si>
  <si>
    <r>
      <rPr>
        <sz val="10"/>
        <color rgb="FF1F2A28"/>
        <rFont val="WenQuanYi Zen Hei"/>
        <family val="2"/>
      </rPr>
      <t xml:space="preserve">湖口鄉信勢村</t>
    </r>
    <r>
      <rPr>
        <sz val="10"/>
        <color rgb="FF1F2A28"/>
        <rFont val="Arial"/>
        <family val="0"/>
        <charset val="1"/>
      </rPr>
      <t xml:space="preserve">11</t>
    </r>
    <r>
      <rPr>
        <sz val="10"/>
        <color rgb="FF1F2A28"/>
        <rFont val="WenQuanYi Zen Hei"/>
        <family val="2"/>
      </rPr>
      <t xml:space="preserve">鄰新湖路</t>
    </r>
    <r>
      <rPr>
        <sz val="10"/>
        <color rgb="FF1F2A28"/>
        <rFont val="Arial"/>
        <family val="0"/>
        <charset val="1"/>
      </rPr>
      <t xml:space="preserve">47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</si>
  <si>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(03)5905522</t>
  </si>
  <si>
    <t xml:space="preserve">kuoyujung8@gmail.com</t>
  </si>
  <si>
    <t xml:space="preserve">林錦隆</t>
  </si>
  <si>
    <t xml:space="preserve">郭育榮</t>
  </si>
  <si>
    <r>
      <rPr>
        <sz val="10"/>
        <color rgb="FF1F2A28"/>
        <rFont val="WenQuanYi Zen Hei"/>
        <family val="2"/>
      </rPr>
      <t xml:space="preserve">湖口鄉明德街</t>
    </r>
    <r>
      <rPr>
        <sz val="10"/>
        <color rgb="FF1F2A28"/>
        <rFont val="Arial"/>
        <family val="0"/>
        <charset val="1"/>
      </rPr>
      <t xml:space="preserve">308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</si>
  <si>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(03)5992756</t>
  </si>
  <si>
    <t xml:space="preserve">勁成文教事業有限公司附設新竹縣私立勁明文理短期補習班</t>
  </si>
  <si>
    <r>
      <rPr>
        <sz val="10"/>
        <color rgb="FF1F2A28"/>
        <rFont val="WenQuanYi Zen Hei"/>
        <family val="2"/>
      </rPr>
      <t xml:space="preserve">竹北市三民路</t>
    </r>
    <r>
      <rPr>
        <sz val="10"/>
        <color rgb="FF1F2A28"/>
        <rFont val="Arial"/>
        <family val="0"/>
        <charset val="1"/>
      </rPr>
      <t xml:space="preserve">168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</si>
  <si>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(03)5515523</t>
  </si>
  <si>
    <t xml:space="preserve">knick0168@gmail.com</t>
  </si>
  <si>
    <t xml:space="preserve">2018-08-10</t>
  </si>
  <si>
    <r>
      <rPr>
        <sz val="10"/>
        <color rgb="FF1F2A28"/>
        <rFont val="WenQuanYi Zen Hei"/>
        <family val="2"/>
      </rPr>
      <t xml:space="preserve">勁成文教事業有限公司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王映淳</t>
    </r>
    <r>
      <rPr>
        <sz val="10"/>
        <color rgb="FF1F2A28"/>
        <rFont val="Arial"/>
        <family val="0"/>
        <charset val="1"/>
      </rPr>
      <t xml:space="preserve">)</t>
    </r>
  </si>
  <si>
    <t xml:space="preserve">廖敏如</t>
  </si>
  <si>
    <t xml:space="preserve">敲敲國際文教有限公司附設新竹縣私立敲敲美語短期補習班</t>
  </si>
  <si>
    <r>
      <rPr>
        <sz val="10"/>
        <color rgb="FF1F2A28"/>
        <rFont val="WenQuanYi Zen Hei"/>
        <family val="2"/>
      </rPr>
      <t xml:space="preserve">竹北市嘉豐七街</t>
    </r>
    <r>
      <rPr>
        <sz val="10"/>
        <color rgb="FF1F2A28"/>
        <rFont val="Arial"/>
        <family val="0"/>
        <charset val="1"/>
      </rPr>
      <t xml:space="preserve">139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</si>
  <si>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0912781821</t>
  </si>
  <si>
    <t xml:space="preserve">kkenglishoffice@gmail.com</t>
  </si>
  <si>
    <t xml:space="preserve">2018-11-30</t>
  </si>
  <si>
    <t xml:space="preserve">敲敲國際文教有限公司 （代表人：梁尚宇）</t>
  </si>
  <si>
    <t xml:space="preserve">葉郁彣</t>
  </si>
  <si>
    <t xml:space="preserve">新竹縣私立予恩文理短期補習班</t>
  </si>
  <si>
    <r>
      <rPr>
        <sz val="10"/>
        <color rgb="FF1F2A28"/>
        <rFont val="WenQuanYi Zen Hei"/>
        <family val="2"/>
      </rPr>
      <t xml:space="preserve">竹北市光明九路</t>
    </r>
    <r>
      <rPr>
        <sz val="10"/>
        <color rgb="FF1F2A28"/>
        <rFont val="Arial"/>
        <family val="0"/>
        <charset val="1"/>
      </rPr>
      <t xml:space="preserve">189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</si>
  <si>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(03)5587743</t>
  </si>
  <si>
    <t xml:space="preserve">shane.hc4@gmail.com</t>
  </si>
  <si>
    <t xml:space="preserve">2009-08-13</t>
  </si>
  <si>
    <t xml:space="preserve">邱文智</t>
  </si>
  <si>
    <t xml:space="preserve">新竹縣私立伊凡美語短期補習班</t>
  </si>
  <si>
    <r>
      <rPr>
        <sz val="10"/>
        <color rgb="FF1F2A28"/>
        <rFont val="WenQuanYi Zen Hei"/>
        <family val="2"/>
      </rPr>
      <t xml:space="preserve">竹北市隘口三街</t>
    </r>
    <r>
      <rPr>
        <sz val="10"/>
        <color rgb="FF1F2A28"/>
        <rFont val="Arial"/>
        <family val="0"/>
        <charset val="1"/>
      </rPr>
      <t xml:space="preserve">78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</si>
  <si>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(03)6672536</t>
  </si>
  <si>
    <t xml:space="preserve">yeie9527@gmail.com</t>
  </si>
  <si>
    <t xml:space="preserve">兒童美語、美語</t>
  </si>
  <si>
    <t xml:space="preserve">2017-12-30</t>
  </si>
  <si>
    <t xml:space="preserve">新竹縣私立佳學文理短期補習班</t>
  </si>
  <si>
    <r>
      <rPr>
        <sz val="10"/>
        <color rgb="FF1F2A28"/>
        <rFont val="WenQuanYi Zen Hei"/>
        <family val="2"/>
      </rPr>
      <t xml:space="preserve">竹北市光明三路</t>
    </r>
    <r>
      <rPr>
        <sz val="10"/>
        <color rgb="FF1F2A28"/>
        <rFont val="Arial"/>
        <family val="0"/>
        <charset val="1"/>
      </rPr>
      <t xml:space="preserve">128</t>
    </r>
    <r>
      <rPr>
        <sz val="10"/>
        <color rgb="FF1F2A28"/>
        <rFont val="WenQuanYi Zen Hei"/>
        <family val="2"/>
      </rPr>
      <t xml:space="preserve">號</t>
    </r>
  </si>
  <si>
    <t xml:space="preserve">(03)6562366</t>
  </si>
  <si>
    <t xml:space="preserve">bb088@joy.com.tw</t>
  </si>
  <si>
    <t xml:space="preserve">2006-10-27</t>
  </si>
  <si>
    <t xml:space="preserve">黃昱盛</t>
  </si>
  <si>
    <t xml:space="preserve">彭如敏</t>
  </si>
  <si>
    <t xml:space="preserve">新竹縣私立佳育文理短期補習班</t>
  </si>
  <si>
    <r>
      <rPr>
        <sz val="10"/>
        <color rgb="FF1F2A28"/>
        <rFont val="WenQuanYi Zen Hei"/>
        <family val="2"/>
      </rPr>
      <t xml:space="preserve">竹北市中正西路</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</si>
  <si>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(03)5513456</t>
  </si>
  <si>
    <t xml:space="preserve">bb099@joy.com.tw</t>
  </si>
  <si>
    <t xml:space="preserve">2010-10-12</t>
  </si>
  <si>
    <t xml:space="preserve">黃李碧蓮</t>
  </si>
  <si>
    <t xml:space="preserve">黃瑞卿</t>
  </si>
  <si>
    <t xml:space="preserve">新竹縣私立光與言文理短期補習班</t>
  </si>
  <si>
    <r>
      <rPr>
        <sz val="10"/>
        <color rgb="FF1F2A28"/>
        <rFont val="WenQuanYi Zen Hei"/>
        <family val="2"/>
      </rPr>
      <t xml:space="preserve">竹北市嘉豐七街</t>
    </r>
    <r>
      <rPr>
        <sz val="10"/>
        <color rgb="FF1F2A28"/>
        <rFont val="Arial"/>
        <family val="0"/>
        <charset val="1"/>
      </rPr>
      <t xml:space="preserve">139</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</si>
  <si>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0919505423</t>
  </si>
  <si>
    <t xml:space="preserve">lands5502211@gmail.com</t>
  </si>
  <si>
    <t xml:space="preserve">2017-02-17</t>
  </si>
  <si>
    <t xml:space="preserve">張柏瑜</t>
  </si>
  <si>
    <t xml:space="preserve">新竹縣私立六佳文理短期補習班</t>
  </si>
  <si>
    <r>
      <rPr>
        <sz val="10"/>
        <color rgb="FF1F2A28"/>
        <rFont val="WenQuanYi Zen Hei"/>
        <family val="2"/>
      </rPr>
      <t xml:space="preserve">竹北市嘉豐五路一段</t>
    </r>
    <r>
      <rPr>
        <sz val="10"/>
        <color rgb="FF1F2A28"/>
        <rFont val="Arial"/>
        <family val="0"/>
        <charset val="1"/>
      </rPr>
      <t xml:space="preserve">166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</si>
  <si>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(03)6670666</t>
  </si>
  <si>
    <t xml:space="preserve">bb118@joy.com.tw</t>
  </si>
  <si>
    <t xml:space="preserve">2020-04-13</t>
  </si>
  <si>
    <t xml:space="preserve">新竹縣私立凡斯美語文理短期補習班</t>
  </si>
  <si>
    <r>
      <rPr>
        <sz val="10"/>
        <color rgb="FF1F2A28"/>
        <rFont val="WenQuanYi Zen Hei"/>
        <family val="2"/>
      </rPr>
      <t xml:space="preserve">竹北市勝利五路</t>
    </r>
    <r>
      <rPr>
        <sz val="10"/>
        <color rgb="FF1F2A28"/>
        <rFont val="Arial"/>
        <family val="0"/>
        <charset val="1"/>
      </rPr>
      <t xml:space="preserve">107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</si>
  <si>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(03)6588657</t>
  </si>
  <si>
    <t xml:space="preserve">changkuan1217@yahoo.com.tw</t>
  </si>
  <si>
    <t xml:space="preserve">2011-12-30</t>
  </si>
  <si>
    <t xml:space="preserve">盧懷仁</t>
  </si>
  <si>
    <t xml:space="preserve">新竹縣私立卓越文理短期補習班新社分班</t>
  </si>
  <si>
    <r>
      <rPr>
        <sz val="10"/>
        <color rgb="FF1F2A28"/>
        <rFont val="WenQuanYi Zen Hei"/>
        <family val="2"/>
      </rPr>
      <t xml:space="preserve">竹北市國興街</t>
    </r>
    <r>
      <rPr>
        <sz val="10"/>
        <color rgb="FF1F2A28"/>
        <rFont val="Arial"/>
        <family val="0"/>
        <charset val="1"/>
      </rPr>
      <t xml:space="preserve">36-1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</si>
  <si>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(03)5510137</t>
  </si>
  <si>
    <t xml:space="preserve">pchen.1601@gmail.com</t>
  </si>
  <si>
    <t xml:space="preserve">2019-08-02</t>
  </si>
  <si>
    <t xml:space="preserve">陳筱莉</t>
  </si>
  <si>
    <t xml:space="preserve">新竹縣私立哈柏露塔技藝文理短期補習班</t>
  </si>
  <si>
    <r>
      <rPr>
        <sz val="10"/>
        <color rgb="FF1F2A28"/>
        <rFont val="WenQuanYi Zen Hei"/>
        <family val="2"/>
      </rPr>
      <t xml:space="preserve">竹北市光明六路</t>
    </r>
    <r>
      <rPr>
        <sz val="10"/>
        <color rgb="FF1F2A28"/>
        <rFont val="Arial"/>
        <family val="0"/>
        <charset val="1"/>
      </rPr>
      <t xml:space="preserve">257</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</si>
  <si>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(03)6563000</t>
  </si>
  <si>
    <t xml:space="preserve">havrutalu14@gmail.com</t>
  </si>
  <si>
    <t xml:space="preserve">林秀惠</t>
  </si>
  <si>
    <t xml:space="preserve">新竹縣私立喬艾文理短期補習班</t>
  </si>
  <si>
    <r>
      <rPr>
        <sz val="10"/>
        <color rgb="FF1F2A28"/>
        <rFont val="WenQuanYi Zen Hei"/>
        <family val="2"/>
      </rPr>
      <t xml:space="preserve">竹北市六家五路二段</t>
    </r>
    <r>
      <rPr>
        <sz val="10"/>
        <color rgb="FF1F2A28"/>
        <rFont val="Arial"/>
        <family val="0"/>
        <charset val="1"/>
      </rPr>
      <t xml:space="preserve">188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</si>
  <si>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0920168861</t>
  </si>
  <si>
    <t xml:space="preserve">elviraluenglish@gmail.com</t>
  </si>
  <si>
    <t xml:space="preserve">2020-03-04</t>
  </si>
  <si>
    <t xml:space="preserve">呂喬瑀</t>
  </si>
  <si>
    <t xml:space="preserve">新竹縣私立奇力果美語短期補習班</t>
  </si>
  <si>
    <r>
      <rPr>
        <sz val="10"/>
        <color rgb="FF1F2A28"/>
        <rFont val="WenQuanYi Zen Hei"/>
        <family val="2"/>
      </rPr>
      <t xml:space="preserve">竹北市光明九路</t>
    </r>
    <r>
      <rPr>
        <sz val="10"/>
        <color rgb="FF1F2A28"/>
        <rFont val="Arial"/>
        <family val="0"/>
        <charset val="1"/>
      </rPr>
      <t xml:space="preserve">155</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</si>
  <si>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(03)6561212</t>
  </si>
  <si>
    <t xml:space="preserve">mxw980@gmail.com</t>
  </si>
  <si>
    <t xml:space="preserve">張玉年</t>
  </si>
  <si>
    <t xml:space="preserve">張志嘉</t>
  </si>
  <si>
    <t xml:space="preserve">新竹縣私立安可童心圓文理短期補習班</t>
  </si>
  <si>
    <r>
      <rPr>
        <sz val="10"/>
        <color rgb="FF1F2A28"/>
        <rFont val="WenQuanYi Zen Hei"/>
        <family val="2"/>
      </rPr>
      <t xml:space="preserve">竹北市嘉豐五路一段</t>
    </r>
    <r>
      <rPr>
        <sz val="10"/>
        <color rgb="FF1F2A28"/>
        <rFont val="Arial"/>
        <family val="0"/>
        <charset val="1"/>
      </rPr>
      <t xml:space="preserve">122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</si>
  <si>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(03)6682768</t>
  </si>
  <si>
    <t xml:space="preserve">annie678414@hotmail.com</t>
  </si>
  <si>
    <t xml:space="preserve">2025-09-15</t>
  </si>
  <si>
    <t xml:space="preserve">李曉薇</t>
  </si>
  <si>
    <t xml:space="preserve">新竹縣私立安妮卡文理短期補習班</t>
  </si>
  <si>
    <r>
      <rPr>
        <sz val="10"/>
        <color rgb="FF1F2A28"/>
        <rFont val="WenQuanYi Zen Hei"/>
        <family val="2"/>
      </rPr>
      <t xml:space="preserve">竹北市嘉興路</t>
    </r>
    <r>
      <rPr>
        <sz val="10"/>
        <color rgb="FF1F2A28"/>
        <rFont val="Arial"/>
        <family val="0"/>
        <charset val="1"/>
      </rPr>
      <t xml:space="preserve">84-1</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</si>
  <si>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0930537663</t>
  </si>
  <si>
    <t xml:space="preserve">anika036586083@gmail.com</t>
  </si>
  <si>
    <t xml:space="preserve">2018-07-26</t>
  </si>
  <si>
    <t xml:space="preserve">吳柳樺</t>
  </si>
  <si>
    <t xml:space="preserve">夏雅芳</t>
  </si>
  <si>
    <t xml:space="preserve">新竹縣私立康寧安興文理才藝短期補習班</t>
  </si>
  <si>
    <r>
      <rPr>
        <sz val="10"/>
        <color rgb="FF1F2A28"/>
        <rFont val="WenQuanYi Zen Hei"/>
        <family val="2"/>
      </rPr>
      <t xml:space="preserve">竹北市勝利十三街</t>
    </r>
    <r>
      <rPr>
        <sz val="10"/>
        <color rgb="FF1F2A28"/>
        <rFont val="Arial"/>
        <family val="0"/>
        <charset val="1"/>
      </rPr>
      <t xml:space="preserve">55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</si>
  <si>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(03)5506866</t>
  </si>
  <si>
    <t xml:space="preserve">温秀春</t>
  </si>
  <si>
    <t xml:space="preserve">王紫晴</t>
  </si>
  <si>
    <t xml:space="preserve">新竹縣私立康寧興隆文理才藝短期補習班</t>
  </si>
  <si>
    <r>
      <rPr>
        <sz val="10"/>
        <color rgb="FF1F2A28"/>
        <rFont val="WenQuanYi Zen Hei"/>
        <family val="2"/>
      </rPr>
      <t xml:space="preserve">竹北市興學街</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</si>
  <si>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(03)6670783</t>
  </si>
  <si>
    <t xml:space="preserve">2016-10-14</t>
  </si>
  <si>
    <t xml:space="preserve">林明宜</t>
  </si>
  <si>
    <t xml:space="preserve">新竹縣私立弋果文理短期補習班</t>
  </si>
  <si>
    <r>
      <rPr>
        <sz val="10"/>
        <color rgb="FF1F2A28"/>
        <rFont val="WenQuanYi Zen Hei"/>
        <family val="2"/>
      </rPr>
      <t xml:space="preserve">竹北市縣政</t>
    </r>
    <r>
      <rPr>
        <sz val="10"/>
        <color rgb="FF1F2A28"/>
        <rFont val="Arial"/>
        <family val="0"/>
        <charset val="1"/>
      </rPr>
      <t xml:space="preserve">5</t>
    </r>
    <r>
      <rPr>
        <sz val="10"/>
        <color rgb="FF1F2A28"/>
        <rFont val="WenQuanYi Zen Hei"/>
        <family val="2"/>
      </rPr>
      <t xml:space="preserve">街</t>
    </r>
    <r>
      <rPr>
        <sz val="10"/>
        <color rgb="FF1F2A28"/>
        <rFont val="Arial"/>
        <family val="0"/>
        <charset val="1"/>
      </rPr>
      <t xml:space="preserve">36.38.40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</si>
  <si>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(03)5584520</t>
  </si>
  <si>
    <t xml:space="preserve">yuehju1029@gmail.com</t>
  </si>
  <si>
    <t xml:space="preserve">2005-10-14</t>
  </si>
  <si>
    <t xml:space="preserve">吳茉莉</t>
  </si>
  <si>
    <t xml:space="preserve">新竹縣私立御賢文理短期補習班</t>
  </si>
  <si>
    <r>
      <rPr>
        <sz val="10"/>
        <color rgb="FF1F2A28"/>
        <rFont val="WenQuanYi Zen Hei"/>
        <family val="2"/>
      </rPr>
      <t xml:space="preserve">竹北市民權街</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</si>
  <si>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0978832167</t>
  </si>
  <si>
    <t xml:space="preserve">forever0524@hotmail.com</t>
  </si>
  <si>
    <t xml:space="preserve">2017-06-28</t>
  </si>
  <si>
    <t xml:space="preserve">莊士緯</t>
  </si>
  <si>
    <t xml:space="preserve">新竹縣私立德晉文理短期補習班</t>
  </si>
  <si>
    <r>
      <rPr>
        <sz val="10"/>
        <color rgb="FF1F2A28"/>
        <rFont val="WenQuanYi Zen Hei"/>
        <family val="2"/>
      </rPr>
      <t xml:space="preserve">竹北市興安里文義街</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</si>
  <si>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(03)5539396</t>
  </si>
  <si>
    <t xml:space="preserve">dejinschool@gmail.com</t>
  </si>
  <si>
    <t xml:space="preserve">呂秀環</t>
  </si>
  <si>
    <t xml:space="preserve">新竹縣私立惍明文理短期補習班</t>
  </si>
  <si>
    <r>
      <rPr>
        <sz val="10"/>
        <color rgb="FF1F2A28"/>
        <rFont val="WenQuanYi Zen Hei"/>
        <family val="2"/>
      </rPr>
      <t xml:space="preserve">竹北市光明九路</t>
    </r>
    <r>
      <rPr>
        <sz val="10"/>
        <color rgb="FF1F2A28"/>
        <rFont val="Arial"/>
        <family val="0"/>
        <charset val="1"/>
      </rPr>
      <t xml:space="preserve">157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</si>
  <si>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(03)6571228</t>
  </si>
  <si>
    <t xml:space="preserve">cindy700922@gmail.com</t>
  </si>
  <si>
    <t xml:space="preserve">陳文玉</t>
  </si>
  <si>
    <t xml:space="preserve">新竹縣私立愛林文理技藝短期補習班</t>
  </si>
  <si>
    <r>
      <rPr>
        <sz val="10"/>
        <color rgb="FF1F2A28"/>
        <rFont val="WenQuanYi Zen Hei"/>
        <family val="2"/>
      </rPr>
      <t xml:space="preserve">竹北市科大一路</t>
    </r>
    <r>
      <rPr>
        <sz val="10"/>
        <color rgb="FF1F2A28"/>
        <rFont val="Arial"/>
        <family val="0"/>
        <charset val="1"/>
      </rPr>
      <t xml:space="preserve">63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</si>
  <si>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(03)5589677</t>
  </si>
  <si>
    <t xml:space="preserve">arlene00063@gmail.com</t>
  </si>
  <si>
    <t xml:space="preserve">馮彥榕</t>
  </si>
  <si>
    <t xml:space="preserve">新竹縣私立拾藝探索教室文理技藝短期補習班</t>
  </si>
  <si>
    <r>
      <rPr>
        <sz val="10"/>
        <color rgb="FF1F2A28"/>
        <rFont val="WenQuanYi Zen Hei"/>
        <family val="2"/>
      </rPr>
      <t xml:space="preserve">竹北市嘉豐一街</t>
    </r>
    <r>
      <rPr>
        <sz val="10"/>
        <color rgb="FF1F2A28"/>
        <rFont val="Arial"/>
        <family val="0"/>
        <charset val="1"/>
      </rPr>
      <t xml:space="preserve">89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</si>
  <si>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(03)5501030</t>
  </si>
  <si>
    <t xml:space="preserve">sherilyn813@gmail.com</t>
  </si>
  <si>
    <t xml:space="preserve">2014-04-07</t>
  </si>
  <si>
    <t xml:space="preserve">張芸禎</t>
  </si>
  <si>
    <t xml:space="preserve">陳千柔</t>
  </si>
  <si>
    <t xml:space="preserve">新竹縣私立救國團新竹團委會附設語文技藝短期補習班</t>
  </si>
  <si>
    <r>
      <rPr>
        <sz val="10"/>
        <color rgb="FF1F2A28"/>
        <rFont val="WenQuanYi Zen Hei"/>
        <family val="2"/>
      </rPr>
      <t xml:space="preserve">竹北市光明三路</t>
    </r>
    <r>
      <rPr>
        <sz val="10"/>
        <color rgb="FF1F2A28"/>
        <rFont val="Arial"/>
        <family val="0"/>
        <charset val="1"/>
      </rPr>
      <t xml:space="preserve">174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至</t>
    </r>
    <r>
      <rPr>
        <sz val="10"/>
        <color rgb="FF1F2A28"/>
        <rFont val="Arial"/>
        <family val="0"/>
        <charset val="1"/>
      </rPr>
      <t xml:space="preserve">5</t>
    </r>
    <r>
      <rPr>
        <sz val="10"/>
        <color rgb="FF1F2A28"/>
        <rFont val="WenQuanYi Zen Hei"/>
        <family val="2"/>
      </rPr>
      <t xml:space="preserve">樓</t>
    </r>
  </si>
  <si>
    <t xml:space="preserve">(03)5514068</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</si>
  <si>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瑜珈類</t>
    </r>
  </si>
  <si>
    <t xml:space="preserve">2005-11-18</t>
  </si>
  <si>
    <t xml:space="preserve">周冰卉</t>
  </si>
  <si>
    <t xml:space="preserve">新竹縣私立日光城堡文理短期補習班</t>
  </si>
  <si>
    <r>
      <rPr>
        <sz val="10"/>
        <color rgb="FF1F2A28"/>
        <rFont val="WenQuanYi Zen Hei"/>
        <family val="2"/>
      </rPr>
      <t xml:space="preserve">竹北市文興路二段</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</si>
  <si>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(03)6579993</t>
  </si>
  <si>
    <t xml:space="preserve">hs1113@hess.com.tw</t>
  </si>
  <si>
    <t xml:space="preserve">2018-02-27</t>
  </si>
  <si>
    <t xml:space="preserve">張素華</t>
  </si>
  <si>
    <t xml:space="preserve">新竹縣私立時代美語會話短期補習班</t>
  </si>
  <si>
    <r>
      <rPr>
        <sz val="10"/>
        <color rgb="FF1F2A28"/>
        <rFont val="WenQuanYi Zen Hei"/>
        <family val="2"/>
      </rPr>
      <t xml:space="preserve">竹北市光明三路</t>
    </r>
    <r>
      <rPr>
        <sz val="10"/>
        <color rgb="FF1F2A28"/>
        <rFont val="Arial"/>
        <family val="0"/>
        <charset val="1"/>
      </rPr>
      <t xml:space="preserve">182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</si>
  <si>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(03)5550009</t>
  </si>
  <si>
    <t xml:space="preserve">ffttpp77@gmail.com</t>
  </si>
  <si>
    <t xml:space="preserve">1999-06-08</t>
  </si>
  <si>
    <t xml:space="preserve">林年青</t>
  </si>
  <si>
    <t xml:space="preserve">邱雁婷</t>
  </si>
  <si>
    <t xml:space="preserve">新竹縣私立普力文美語文理短期補習班</t>
  </si>
  <si>
    <r>
      <rPr>
        <sz val="10"/>
        <color rgb="FF1F2A28"/>
        <rFont val="WenQuanYi Zen Hei"/>
        <family val="2"/>
      </rPr>
      <t xml:space="preserve">竹北市福興東路二段</t>
    </r>
    <r>
      <rPr>
        <sz val="10"/>
        <color rgb="FF1F2A28"/>
        <rFont val="Arial"/>
        <family val="0"/>
        <charset val="1"/>
      </rPr>
      <t xml:space="preserve">70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</si>
  <si>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(03)6672699</t>
  </si>
  <si>
    <t xml:space="preserve">premierenglishworkshop@gmail.com</t>
  </si>
  <si>
    <t xml:space="preserve">2013-01-17</t>
  </si>
  <si>
    <t xml:space="preserve">黃玉仁</t>
  </si>
  <si>
    <t xml:space="preserve">新竹縣私立樂揚文理短期補習班</t>
  </si>
  <si>
    <r>
      <rPr>
        <sz val="10"/>
        <color rgb="FF1F2A28"/>
        <rFont val="WenQuanYi Zen Hei"/>
        <family val="2"/>
      </rPr>
      <t xml:space="preserve">竹北市新溪街</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</si>
  <si>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(03)6567686</t>
  </si>
  <si>
    <t xml:space="preserve">leyang20230101@gmail.com</t>
  </si>
  <si>
    <t xml:space="preserve">2018-10-03</t>
  </si>
  <si>
    <t xml:space="preserve">郭剴榆</t>
  </si>
  <si>
    <t xml:space="preserve">新竹縣私立樂智文理短期補習班</t>
  </si>
  <si>
    <r>
      <rPr>
        <sz val="10"/>
        <color rgb="FF1F2A28"/>
        <rFont val="WenQuanYi Zen Hei"/>
        <family val="2"/>
      </rPr>
      <t xml:space="preserve">竹北市三民路</t>
    </r>
    <r>
      <rPr>
        <sz val="10"/>
        <color rgb="FF1F2A28"/>
        <rFont val="Arial"/>
        <family val="0"/>
        <charset val="1"/>
      </rPr>
      <t xml:space="preserve">160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</si>
  <si>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03-5514857</t>
  </si>
  <si>
    <t xml:space="preserve">tsuep5514857@gmail.com</t>
  </si>
  <si>
    <t xml:space="preserve">祖恩萍</t>
  </si>
  <si>
    <t xml:space="preserve">新竹縣私立橋莉美語會話短期補習班</t>
  </si>
  <si>
    <r>
      <rPr>
        <sz val="10"/>
        <color rgb="FF1F2A28"/>
        <rFont val="WenQuanYi Zen Hei"/>
        <family val="2"/>
      </rPr>
      <t xml:space="preserve">竹北市成功十一街</t>
    </r>
    <r>
      <rPr>
        <sz val="10"/>
        <color rgb="FF1F2A28"/>
        <rFont val="Arial"/>
        <family val="0"/>
        <charset val="1"/>
      </rPr>
      <t xml:space="preserve">158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</si>
  <si>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(03)6681268</t>
  </si>
  <si>
    <t xml:space="preserve">jolieenglish2012@gmail.com</t>
  </si>
  <si>
    <t xml:space="preserve">2012-07-26</t>
  </si>
  <si>
    <t xml:space="preserve">羅淑惠</t>
  </si>
  <si>
    <t xml:space="preserve">新竹縣私立沛騰美語短期補習班</t>
  </si>
  <si>
    <r>
      <rPr>
        <sz val="10"/>
        <color rgb="FF1F2A28"/>
        <rFont val="WenQuanYi Zen Hei"/>
        <family val="2"/>
      </rPr>
      <t xml:space="preserve">竹北市十興里光明一路</t>
    </r>
    <r>
      <rPr>
        <sz val="10"/>
        <color rgb="FF1F2A28"/>
        <rFont val="Arial"/>
        <family val="0"/>
        <charset val="1"/>
      </rPr>
      <t xml:space="preserve">73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</si>
  <si>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0922-042281</t>
  </si>
  <si>
    <t xml:space="preserve">pfenglish3636@gmail.com</t>
  </si>
  <si>
    <t xml:space="preserve">2008-04-16</t>
  </si>
  <si>
    <t xml:space="preserve">施谷嫻</t>
  </si>
  <si>
    <t xml:space="preserve">新竹縣私立温式英文文理短期補習班</t>
  </si>
  <si>
    <r>
      <rPr>
        <sz val="10"/>
        <color rgb="FF1F2A28"/>
        <rFont val="WenQuanYi Zen Hei"/>
        <family val="2"/>
      </rPr>
      <t xml:space="preserve">竹北市福興路</t>
    </r>
    <r>
      <rPr>
        <sz val="10"/>
        <color rgb="FF1F2A28"/>
        <rFont val="Arial"/>
        <family val="0"/>
        <charset val="1"/>
      </rPr>
      <t xml:space="preserve">456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</si>
  <si>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(03)6575189</t>
  </si>
  <si>
    <t xml:space="preserve">wenssenglish@gmail.com</t>
  </si>
  <si>
    <t xml:space="preserve">康育蓁</t>
  </si>
  <si>
    <t xml:space="preserve">新竹縣私立立成文理短期補習班</t>
  </si>
  <si>
    <r>
      <rPr>
        <sz val="10"/>
        <color rgb="FF1F2A28"/>
        <rFont val="WenQuanYi Zen Hei"/>
        <family val="2"/>
      </rPr>
      <t xml:space="preserve">竹北市勝利五路</t>
    </r>
    <r>
      <rPr>
        <sz val="10"/>
        <color rgb="FF1F2A28"/>
        <rFont val="Arial"/>
        <family val="0"/>
        <charset val="1"/>
      </rPr>
      <t xml:space="preserve">136</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</si>
  <si>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(03)6586017</t>
  </si>
  <si>
    <t xml:space="preserve">lichen6586017@gmail.com</t>
  </si>
  <si>
    <t xml:space="preserve">2015-07-30</t>
  </si>
  <si>
    <t xml:space="preserve">張玫玲</t>
  </si>
  <si>
    <t xml:space="preserve">新竹縣私立童語語文短期補習班</t>
  </si>
  <si>
    <r>
      <rPr>
        <sz val="10"/>
        <color rgb="FF1F2A28"/>
        <rFont val="WenQuanYi Zen Hei"/>
        <family val="2"/>
      </rPr>
      <t xml:space="preserve">竹北市文興路一段</t>
    </r>
    <r>
      <rPr>
        <sz val="10"/>
        <color rgb="FF1F2A28"/>
        <rFont val="Arial"/>
        <family val="0"/>
        <charset val="1"/>
      </rPr>
      <t xml:space="preserve">165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</si>
  <si>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(03)6683013</t>
  </si>
  <si>
    <t xml:space="preserve">imeunicepeng@gmail.com</t>
  </si>
  <si>
    <t xml:space="preserve">英文進階、英語基礎、英語會話、英文文法</t>
  </si>
  <si>
    <t xml:space="preserve">胡筑鈞</t>
  </si>
  <si>
    <t xml:space="preserve">黃若蓁</t>
  </si>
  <si>
    <t xml:space="preserve">新竹縣私立竹慶文理短期補習班</t>
  </si>
  <si>
    <r>
      <rPr>
        <sz val="10"/>
        <color rgb="FF1F2A28"/>
        <rFont val="WenQuanYi Zen Hei"/>
        <family val="2"/>
      </rPr>
      <t xml:space="preserve">竹北市光明一路</t>
    </r>
    <r>
      <rPr>
        <sz val="10"/>
        <color rgb="FF1F2A28"/>
        <rFont val="Arial"/>
        <family val="0"/>
        <charset val="1"/>
      </rPr>
      <t xml:space="preserve">336</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</si>
  <si>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(03)5586111</t>
  </si>
  <si>
    <t xml:space="preserve">hs1050@hess.com.tw</t>
  </si>
  <si>
    <t xml:space="preserve">2004-10-28</t>
  </si>
  <si>
    <t xml:space="preserve">夏佩君</t>
  </si>
  <si>
    <t xml:space="preserve">新竹縣私立聖安朵文理技藝短期補習班</t>
  </si>
  <si>
    <r>
      <rPr>
        <sz val="10"/>
        <color rgb="FF1F2A28"/>
        <rFont val="WenQuanYi Zen Hei"/>
        <family val="2"/>
      </rPr>
      <t xml:space="preserve">竹北市光明八街</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</si>
  <si>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(03)5530100</t>
  </si>
  <si>
    <t xml:space="preserve">方琴雲</t>
  </si>
  <si>
    <t xml:space="preserve">新竹縣私立芯學淵文理短期補習班</t>
  </si>
  <si>
    <r>
      <rPr>
        <sz val="10"/>
        <color rgb="FF1F2A28"/>
        <rFont val="WenQuanYi Zen Hei"/>
        <family val="2"/>
      </rPr>
      <t xml:space="preserve">竹北市勝利十三街</t>
    </r>
    <r>
      <rPr>
        <sz val="10"/>
        <color rgb="FF1F2A28"/>
        <rFont val="Arial"/>
        <family val="0"/>
        <charset val="1"/>
      </rPr>
      <t xml:space="preserve">77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</si>
  <si>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(03)6578307</t>
  </si>
  <si>
    <t xml:space="preserve">newsavant77@gmail.com</t>
  </si>
  <si>
    <t xml:space="preserve">2017-09-12</t>
  </si>
  <si>
    <t xml:space="preserve">謝昀錚</t>
  </si>
  <si>
    <t xml:space="preserve">謝秉羲</t>
  </si>
  <si>
    <t xml:space="preserve">新竹縣私立英倫文理短期補習班</t>
  </si>
  <si>
    <r>
      <rPr>
        <sz val="10"/>
        <color rgb="FF1F2A28"/>
        <rFont val="WenQuanYi Zen Hei"/>
        <family val="2"/>
      </rPr>
      <t xml:space="preserve">竹北市隘口二路</t>
    </r>
    <r>
      <rPr>
        <sz val="10"/>
        <color rgb="FF1F2A28"/>
        <rFont val="Arial"/>
        <family val="0"/>
        <charset val="1"/>
      </rPr>
      <t xml:space="preserve">63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</si>
  <si>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(03)6585368</t>
  </si>
  <si>
    <t xml:space="preserve">hc3c.shane@gmail.com</t>
  </si>
  <si>
    <t xml:space="preserve">2022-08-29</t>
  </si>
  <si>
    <t xml:space="preserve">黃郁琪</t>
  </si>
  <si>
    <t xml:space="preserve">新竹縣私立英皇文理短期補習班</t>
  </si>
  <si>
    <r>
      <rPr>
        <sz val="10"/>
        <color rgb="FF1F2A28"/>
        <rFont val="WenQuanYi Zen Hei"/>
        <family val="2"/>
      </rPr>
      <t xml:space="preserve">竹北市莊敬三路</t>
    </r>
    <r>
      <rPr>
        <sz val="10"/>
        <color rgb="FF1F2A28"/>
        <rFont val="Arial"/>
        <family val="0"/>
        <charset val="1"/>
      </rPr>
      <t xml:space="preserve">156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</si>
  <si>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(03)6576112</t>
  </si>
  <si>
    <t xml:space="preserve">hc3.shane@gmail.com</t>
  </si>
  <si>
    <t xml:space="preserve">曹如君</t>
  </si>
  <si>
    <t xml:space="preserve">新竹縣私立華聖頓文理短期補習班</t>
  </si>
  <si>
    <r>
      <rPr>
        <sz val="10"/>
        <color rgb="FF1F2A28"/>
        <rFont val="WenQuanYi Zen Hei"/>
        <family val="2"/>
      </rPr>
      <t xml:space="preserve">竹北市縣政十一街</t>
    </r>
    <r>
      <rPr>
        <sz val="10"/>
        <color rgb="FF1F2A28"/>
        <rFont val="Arial"/>
        <family val="0"/>
        <charset val="1"/>
      </rPr>
      <t xml:space="preserve">112</t>
    </r>
    <r>
      <rPr>
        <sz val="10"/>
        <color rgb="FF1F2A28"/>
        <rFont val="WenQuanYi Zen Hei"/>
        <family val="2"/>
      </rPr>
      <t xml:space="preserve">號</t>
    </r>
    <r>
      <rPr>
        <sz val="10"/>
        <color rgb="FF1F2A28"/>
        <rFont val="Arial"/>
        <family val="0"/>
        <charset val="1"/>
      </rPr>
      <t xml:space="preserve">1,2,3,4</t>
    </r>
    <r>
      <rPr>
        <sz val="10"/>
        <color rgb="FF1F2A28"/>
        <rFont val="WenQuanYi Zen Hei"/>
        <family val="2"/>
      </rPr>
      <t xml:space="preserve">樓及光明三路</t>
    </r>
    <r>
      <rPr>
        <sz val="10"/>
        <color rgb="FF1F2A28"/>
        <rFont val="Arial"/>
        <family val="0"/>
        <charset val="1"/>
      </rPr>
      <t xml:space="preserve">55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</si>
  <si>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r>
      <rPr>
        <sz val="10"/>
        <color rgb="FF1F2A28"/>
        <rFont val="Arial"/>
        <family val="0"/>
        <charset val="1"/>
      </rPr>
      <t xml:space="preserve">(03)5585286</t>
    </r>
    <r>
      <rPr>
        <sz val="10"/>
        <color rgb="FF1F2A28"/>
        <rFont val="WenQuanYi Zen Hei"/>
        <family val="2"/>
      </rPr>
      <t xml:space="preserve">、</t>
    </r>
    <r>
      <rPr>
        <sz val="10"/>
        <color rgb="FF1F2A28"/>
        <rFont val="Arial"/>
        <family val="0"/>
        <charset val="1"/>
      </rPr>
      <t xml:space="preserve">5589916</t>
    </r>
  </si>
  <si>
    <t xml:space="preserve">ny.chupei@gmail.com</t>
  </si>
  <si>
    <t xml:space="preserve">2003-07-25</t>
  </si>
  <si>
    <t xml:space="preserve">莊瑞娜</t>
  </si>
  <si>
    <t xml:space="preserve">新竹縣私立藝果美語短期補習班</t>
  </si>
  <si>
    <r>
      <rPr>
        <sz val="10"/>
        <color rgb="FF1F2A28"/>
        <rFont val="WenQuanYi Zen Hei"/>
        <family val="2"/>
      </rPr>
      <t xml:space="preserve">竹北市國興街</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20-1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</si>
  <si>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(03)555-2266</t>
  </si>
  <si>
    <t xml:space="preserve">michelle516788@gmail.com</t>
  </si>
  <si>
    <t xml:space="preserve">2013-11-13</t>
  </si>
  <si>
    <t xml:space="preserve">新竹縣私立諾亞文理短期補習班</t>
  </si>
  <si>
    <r>
      <rPr>
        <sz val="10"/>
        <color rgb="FF1F2A28"/>
        <rFont val="WenQuanYi Zen Hei"/>
        <family val="2"/>
      </rPr>
      <t xml:space="preserve">竹北市勝利二路</t>
    </r>
    <r>
      <rPr>
        <sz val="10"/>
        <color rgb="FF1F2A28"/>
        <rFont val="Arial"/>
        <family val="0"/>
        <charset val="1"/>
      </rPr>
      <t xml:space="preserve">73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</si>
  <si>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036673783</t>
  </si>
  <si>
    <t xml:space="preserve">nancynoah1116@gmail.com</t>
  </si>
  <si>
    <t xml:space="preserve">2019-08-06</t>
  </si>
  <si>
    <t xml:space="preserve">陳映竹</t>
  </si>
  <si>
    <t xml:space="preserve">新竹縣私立讀寓學思塾文理短期補習班</t>
  </si>
  <si>
    <r>
      <rPr>
        <sz val="10"/>
        <color rgb="FF1F2A28"/>
        <rFont val="WenQuanYi Zen Hei"/>
        <family val="2"/>
      </rPr>
      <t xml:space="preserve">竹北市復興三路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157</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</si>
  <si>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0920533300</t>
  </si>
  <si>
    <t xml:space="preserve">koyo0226@yahoo.com.tw</t>
  </si>
  <si>
    <t xml:space="preserve">黃謹彣</t>
  </si>
  <si>
    <t xml:space="preserve">鍾昭台</t>
  </si>
  <si>
    <r>
      <rPr>
        <sz val="10"/>
        <color rgb="FF1F2A28"/>
        <rFont val="WenQuanYi Zen Hei"/>
        <family val="2"/>
      </rPr>
      <t xml:space="preserve">竹北市新社里</t>
    </r>
    <r>
      <rPr>
        <sz val="10"/>
        <color rgb="FF1F2A28"/>
        <rFont val="Arial"/>
        <family val="0"/>
        <charset val="1"/>
      </rPr>
      <t xml:space="preserve">14</t>
    </r>
    <r>
      <rPr>
        <sz val="10"/>
        <color rgb="FF1F2A28"/>
        <rFont val="WenQuanYi Zen Hei"/>
        <family val="2"/>
      </rPr>
      <t xml:space="preserve">鄰國盛街</t>
    </r>
    <r>
      <rPr>
        <sz val="10"/>
        <color rgb="FF1F2A28"/>
        <rFont val="Arial"/>
        <family val="0"/>
        <charset val="1"/>
      </rPr>
      <t xml:space="preserve">321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</si>
  <si>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(03)6562878</t>
  </si>
  <si>
    <t xml:space="preserve">新竹縣私立馬莎美語文理短期補習班</t>
  </si>
  <si>
    <r>
      <rPr>
        <sz val="10"/>
        <color rgb="FF1F2A28"/>
        <rFont val="WenQuanYi Zen Hei"/>
        <family val="2"/>
      </rPr>
      <t xml:space="preserve">竹北市光明六路東二段</t>
    </r>
    <r>
      <rPr>
        <sz val="10"/>
        <color rgb="FF1F2A28"/>
        <rFont val="Arial"/>
        <family val="0"/>
        <charset val="1"/>
      </rPr>
      <t xml:space="preserve">343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</si>
  <si>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0910314910</t>
  </si>
  <si>
    <t xml:space="preserve">masa0910314910@gmail.com</t>
  </si>
  <si>
    <t xml:space="preserve">2024-10-22</t>
  </si>
  <si>
    <t xml:space="preserve">林渂琪</t>
  </si>
  <si>
    <t xml:space="preserve">星研國際有限公司附設新竹縣私立星苗國際美語短期補習班</t>
  </si>
  <si>
    <r>
      <rPr>
        <sz val="10"/>
        <color rgb="FF1F2A28"/>
        <rFont val="WenQuanYi Zen Hei"/>
        <family val="2"/>
      </rPr>
      <t xml:space="preserve">竹北市福興路</t>
    </r>
    <r>
      <rPr>
        <sz val="10"/>
        <color rgb="FF1F2A28"/>
        <rFont val="Arial"/>
        <family val="0"/>
        <charset val="1"/>
      </rPr>
      <t xml:space="preserve">669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</si>
  <si>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(03)6672692</t>
  </si>
  <si>
    <t xml:space="preserve">2018-12-28</t>
  </si>
  <si>
    <r>
      <rPr>
        <sz val="10"/>
        <color rgb="FF1F2A28"/>
        <rFont val="WenQuanYi Zen Hei"/>
        <family val="2"/>
      </rPr>
      <t xml:space="preserve">星研國際有限公司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劉雅文</t>
    </r>
    <r>
      <rPr>
        <sz val="10"/>
        <color rgb="FF1F2A28"/>
        <rFont val="Arial"/>
        <family val="0"/>
        <charset val="1"/>
      </rPr>
      <t xml:space="preserve">)</t>
    </r>
  </si>
  <si>
    <t xml:space="preserve">常智琴</t>
  </si>
  <si>
    <t xml:space="preserve">湯貝爾英語短期補習班</t>
  </si>
  <si>
    <r>
      <rPr>
        <sz val="10"/>
        <color rgb="FF1F2A28"/>
        <rFont val="WenQuanYi Zen Hei"/>
        <family val="2"/>
      </rPr>
      <t xml:space="preserve">竹北市光明九路</t>
    </r>
    <r>
      <rPr>
        <sz val="10"/>
        <color rgb="FF1F2A28"/>
        <rFont val="Arial"/>
        <family val="0"/>
        <charset val="1"/>
      </rPr>
      <t xml:space="preserve">160</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</si>
  <si>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(03)5589521</t>
  </si>
  <si>
    <t xml:space="preserve">s14252325@gmail.com</t>
  </si>
  <si>
    <t xml:space="preserve">1999-04-12</t>
  </si>
  <si>
    <t xml:space="preserve">張秀華</t>
  </si>
  <si>
    <t xml:space="preserve">林珮瑤</t>
  </si>
  <si>
    <t xml:space="preserve">爾思有限公司附設新竹縣私立爾思文理短期補習班</t>
  </si>
  <si>
    <r>
      <rPr>
        <sz val="10"/>
        <color rgb="FF1F2A28"/>
        <rFont val="WenQuanYi Zen Hei"/>
        <family val="2"/>
      </rPr>
      <t xml:space="preserve">竹北市勝利十一路</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</si>
  <si>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0921415083</t>
  </si>
  <si>
    <t xml:space="preserve">chingyi42@yahoo.com</t>
  </si>
  <si>
    <r>
      <rPr>
        <sz val="10"/>
        <color rgb="FF1F2A28"/>
        <rFont val="WenQuanYi Zen Hei"/>
        <family val="2"/>
      </rPr>
      <t xml:space="preserve">爾思有限公司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林靜宜</t>
    </r>
    <r>
      <rPr>
        <sz val="10"/>
        <color rgb="FF1F2A28"/>
        <rFont val="Arial"/>
        <family val="0"/>
        <charset val="1"/>
      </rPr>
      <t xml:space="preserve">)</t>
    </r>
  </si>
  <si>
    <t xml:space="preserve">林靜宜</t>
  </si>
  <si>
    <t xml:space="preserve">私立冠華文理短期補習班</t>
  </si>
  <si>
    <r>
      <rPr>
        <sz val="10"/>
        <color rgb="FF1F2A28"/>
        <rFont val="WenQuanYi Zen Hei"/>
        <family val="2"/>
      </rPr>
      <t xml:space="preserve">竹北市中正西路</t>
    </r>
    <r>
      <rPr>
        <sz val="10"/>
        <color rgb="FF1F2A28"/>
        <rFont val="Arial"/>
        <family val="0"/>
        <charset val="1"/>
      </rPr>
      <t xml:space="preserve">416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</si>
  <si>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(03)6561766</t>
  </si>
  <si>
    <t xml:space="preserve">amy5007hg@yahoo.com.tw</t>
  </si>
  <si>
    <t xml:space="preserve">1999-10-07</t>
  </si>
  <si>
    <t xml:space="preserve">曾麗珠</t>
  </si>
  <si>
    <t xml:space="preserve">私立科林美語短期補習班</t>
  </si>
  <si>
    <r>
      <rPr>
        <sz val="10"/>
        <color rgb="FF1F2A28"/>
        <rFont val="WenQuanYi Zen Hei"/>
        <family val="2"/>
      </rPr>
      <t xml:space="preserve">竹北市光明三路</t>
    </r>
    <r>
      <rPr>
        <sz val="10"/>
        <color rgb="FF1F2A28"/>
        <rFont val="Arial"/>
        <family val="0"/>
        <charset val="1"/>
      </rPr>
      <t xml:space="preserve">188</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</si>
  <si>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(03)5542150</t>
  </si>
  <si>
    <t xml:space="preserve">m620226@yahoo.com.tw</t>
  </si>
  <si>
    <t xml:space="preserve">邱昌榮</t>
  </si>
  <si>
    <t xml:space="preserve">私立羅浮文理技藝短期補習班</t>
  </si>
  <si>
    <r>
      <rPr>
        <sz val="10"/>
        <color rgb="FF1F2A28"/>
        <rFont val="WenQuanYi Zen Hei"/>
        <family val="2"/>
      </rPr>
      <t xml:space="preserve">竹北市光明九路</t>
    </r>
    <r>
      <rPr>
        <sz val="10"/>
        <color rgb="FF1F2A28"/>
        <rFont val="Arial"/>
        <family val="0"/>
        <charset val="1"/>
      </rPr>
      <t xml:space="preserve">119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</si>
  <si>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(03)5584127</t>
  </si>
  <si>
    <t xml:space="preserve">1688megan@gmail.com</t>
  </si>
  <si>
    <t xml:space="preserve">2009-02-12</t>
  </si>
  <si>
    <t xml:space="preserve">高玉安</t>
  </si>
  <si>
    <t xml:space="preserve">黃馥郁</t>
  </si>
  <si>
    <t xml:space="preserve">私立萬朵蘭英語學園短期補習班</t>
  </si>
  <si>
    <r>
      <rPr>
        <sz val="10"/>
        <color rgb="FF1F2A28"/>
        <rFont val="WenQuanYi Zen Hei"/>
        <family val="2"/>
      </rPr>
      <t xml:space="preserve">竹北市嘉德街</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</si>
  <si>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(03)5536486</t>
  </si>
  <si>
    <t xml:space="preserve">2003-12-17</t>
  </si>
  <si>
    <t xml:space="preserve">黃麗芳</t>
  </si>
  <si>
    <t xml:space="preserve">立朗文教事業股份有限公司附設新竹縣私立布朗文理短期補習班</t>
  </si>
  <si>
    <r>
      <rPr>
        <sz val="10"/>
        <color rgb="FF1F2A28"/>
        <rFont val="WenQuanYi Zen Hei"/>
        <family val="2"/>
      </rPr>
      <t xml:space="preserve">竹北市高鐵七路</t>
    </r>
    <r>
      <rPr>
        <sz val="10"/>
        <color rgb="FF1F2A28"/>
        <rFont val="Arial"/>
        <family val="0"/>
        <charset val="1"/>
      </rPr>
      <t xml:space="preserve">65-18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</si>
  <si>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03-6671010</t>
  </si>
  <si>
    <t xml:space="preserve">mikelee@apexcharity.org</t>
  </si>
  <si>
    <t xml:space="preserve">英文、英文會話</t>
  </si>
  <si>
    <t xml:space="preserve">2024-10-28</t>
  </si>
  <si>
    <r>
      <rPr>
        <sz val="10"/>
        <color rgb="FF1F2A28"/>
        <rFont val="WenQuanYi Zen Hei"/>
        <family val="2"/>
      </rPr>
      <t xml:space="preserve">立朗文教事業股份有限公司 </t>
    </r>
    <r>
      <rPr>
        <sz val="10"/>
        <color rgb="FF1F2A28"/>
        <rFont val="Arial"/>
        <family val="0"/>
        <charset val="1"/>
      </rPr>
      <t xml:space="preserve">(</t>
    </r>
    <r>
      <rPr>
        <sz val="10"/>
        <color rgb="FF1F2A28"/>
        <rFont val="WenQuanYi Zen Hei"/>
        <family val="2"/>
      </rPr>
      <t xml:space="preserve">代表人：李吳釩</t>
    </r>
    <r>
      <rPr>
        <sz val="10"/>
        <color rgb="FF1F2A28"/>
        <rFont val="Arial"/>
        <family val="0"/>
        <charset val="1"/>
      </rPr>
      <t xml:space="preserve">)</t>
    </r>
  </si>
  <si>
    <t xml:space="preserve">李吳釩</t>
  </si>
  <si>
    <t xml:space="preserve">維育文化有限公司附設新竹縣私立維育美語文理技藝短期補習班</t>
  </si>
  <si>
    <r>
      <rPr>
        <sz val="10"/>
        <color rgb="FF1F2A28"/>
        <rFont val="WenQuanYi Zen Hei"/>
        <family val="2"/>
      </rPr>
      <t xml:space="preserve">竹北市光明六路東二段</t>
    </r>
    <r>
      <rPr>
        <sz val="10"/>
        <color rgb="FF1F2A28"/>
        <rFont val="Arial"/>
        <family val="0"/>
        <charset val="1"/>
      </rPr>
      <t xml:space="preserve">228</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</si>
  <si>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(03)6589366</t>
  </si>
  <si>
    <t xml:space="preserve">idabear63@gmail.com</t>
  </si>
  <si>
    <t xml:space="preserve">2015-09-08</t>
  </si>
  <si>
    <r>
      <rPr>
        <sz val="10"/>
        <color rgb="FF1F2A28"/>
        <rFont val="WenQuanYi Zen Hei"/>
        <family val="2"/>
      </rPr>
      <t xml:space="preserve">維育文化有限公司</t>
    </r>
    <r>
      <rPr>
        <sz val="10"/>
        <color rgb="FF1F2A28"/>
        <rFont val="Arial"/>
        <family val="0"/>
        <charset val="1"/>
      </rPr>
      <t xml:space="preserve">(</t>
    </r>
    <r>
      <rPr>
        <sz val="10"/>
        <color rgb="FF1F2A28"/>
        <rFont val="WenQuanYi Zen Hei"/>
        <family val="2"/>
      </rPr>
      <t xml:space="preserve">代表人：楊明潭 </t>
    </r>
    <r>
      <rPr>
        <sz val="10"/>
        <color rgb="FF1F2A28"/>
        <rFont val="Arial"/>
        <family val="0"/>
        <charset val="1"/>
      </rPr>
      <t xml:space="preserve">)</t>
    </r>
  </si>
  <si>
    <t xml:space="preserve">羅珮如</t>
  </si>
  <si>
    <t xml:space="preserve">翻轉文化有限公司附設新竹縣私立呵呵美語文理短期補習班</t>
  </si>
  <si>
    <r>
      <rPr>
        <sz val="10"/>
        <color rgb="FF1F2A28"/>
        <rFont val="WenQuanYi Zen Hei"/>
        <family val="2"/>
      </rPr>
      <t xml:space="preserve">竹北市復興三路一段</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</si>
  <si>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0912-781-821</t>
  </si>
  <si>
    <t xml:space="preserve">flip.over.english@gmail.com</t>
  </si>
  <si>
    <t xml:space="preserve">2022-06-22</t>
  </si>
  <si>
    <r>
      <rPr>
        <sz val="10"/>
        <color rgb="FF1F2A28"/>
        <rFont val="WenQuanYi Zen Hei"/>
        <family val="2"/>
      </rPr>
      <t xml:space="preserve">翻轉文化有限公司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王宇軒</t>
    </r>
    <r>
      <rPr>
        <sz val="10"/>
        <color rgb="FF1F2A28"/>
        <rFont val="Arial"/>
        <family val="0"/>
        <charset val="1"/>
      </rPr>
      <t xml:space="preserve">)</t>
    </r>
  </si>
  <si>
    <t xml:space="preserve">陳俐柔</t>
  </si>
  <si>
    <t xml:space="preserve">翻轉文化有限公司附設新竹縣私立翻轉美語短期補習班</t>
  </si>
  <si>
    <r>
      <rPr>
        <sz val="10"/>
        <color rgb="FF1F2A28"/>
        <rFont val="WenQuanYi Zen Hei"/>
        <family val="2"/>
      </rPr>
      <t xml:space="preserve">竹北市隘口一街</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樓及夾層</t>
    </r>
  </si>
  <si>
    <t xml:space="preserve">英文、初級英文、中級英文</t>
  </si>
  <si>
    <t xml:space="preserve">2019-10-24</t>
  </si>
  <si>
    <t xml:space="preserve">陳勢元</t>
  </si>
  <si>
    <t xml:space="preserve">道禾國際文化事業股份有限公司附設新竹縣私立道禾文理技藝短期補習班</t>
  </si>
  <si>
    <r>
      <rPr>
        <sz val="10"/>
        <color rgb="FF1F2A28"/>
        <rFont val="WenQuanYi Zen Hei"/>
        <family val="2"/>
      </rPr>
      <t xml:space="preserve">竹北市文興路</t>
    </r>
    <r>
      <rPr>
        <sz val="10"/>
        <color rgb="FF1F2A28"/>
        <rFont val="Arial"/>
        <family val="0"/>
        <charset val="1"/>
      </rPr>
      <t xml:space="preserve">207</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</si>
  <si>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(03)6688669</t>
  </si>
  <si>
    <t xml:space="preserve">feifei830102@gmail.com</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</si>
  <si>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其他類</t>
    </r>
  </si>
  <si>
    <t xml:space="preserve">2018-11-12</t>
  </si>
  <si>
    <r>
      <rPr>
        <sz val="10"/>
        <color rgb="FF1F2A28"/>
        <rFont val="WenQuanYi Zen Hei"/>
        <family val="2"/>
      </rPr>
      <t xml:space="preserve">道禾國際文化事業股份有限公司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曾國一</t>
    </r>
    <r>
      <rPr>
        <sz val="10"/>
        <color rgb="FF1F2A28"/>
        <rFont val="Arial"/>
        <family val="0"/>
        <charset val="1"/>
      </rPr>
      <t xml:space="preserve">)</t>
    </r>
  </si>
  <si>
    <t xml:space="preserve">劉佩珍</t>
  </si>
  <si>
    <t xml:space="preserve">竹東鎮</t>
  </si>
  <si>
    <t xml:space="preserve">新竹縣私立亞瑟王文理技藝短期補習班</t>
  </si>
  <si>
    <r>
      <rPr>
        <sz val="10"/>
        <color rgb="FF1F2A28"/>
        <rFont val="WenQuanYi Zen Hei"/>
        <family val="2"/>
      </rPr>
      <t xml:space="preserve">竹東鎮長春路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</si>
  <si>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03-5945277</t>
  </si>
  <si>
    <t xml:space="preserve">louis790107@gmail.com</t>
  </si>
  <si>
    <t xml:space="preserve">2001-03-15</t>
  </si>
  <si>
    <t xml:space="preserve">邱毓涵</t>
  </si>
  <si>
    <t xml:space="preserve">新竹縣私立傅老師美語教學中心短期補習班</t>
  </si>
  <si>
    <r>
      <rPr>
        <sz val="10"/>
        <color rgb="FF1F2A28"/>
        <rFont val="WenQuanYi Zen Hei"/>
        <family val="2"/>
      </rPr>
      <t xml:space="preserve">竹東鎮自強路</t>
    </r>
    <r>
      <rPr>
        <sz val="10"/>
        <color rgb="FF1F2A28"/>
        <rFont val="Arial"/>
        <family val="0"/>
        <charset val="1"/>
      </rPr>
      <t xml:space="preserve">102</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</si>
  <si>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(03)5952581</t>
  </si>
  <si>
    <t xml:space="preserve">新竹縣私立喜樂英語短期補習班</t>
  </si>
  <si>
    <r>
      <rPr>
        <sz val="10"/>
        <color rgb="FF1F2A28"/>
        <rFont val="WenQuanYi Zen Hei"/>
        <family val="2"/>
      </rPr>
      <t xml:space="preserve">竹東鎮朝陽路</t>
    </r>
    <r>
      <rPr>
        <sz val="10"/>
        <color rgb="FF1F2A28"/>
        <rFont val="Arial"/>
        <family val="0"/>
        <charset val="1"/>
      </rPr>
      <t xml:space="preserve">55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</si>
  <si>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(03)5955443</t>
  </si>
  <si>
    <t xml:space="preserve">joy.daniel.joshua@gmail.com</t>
  </si>
  <si>
    <t xml:space="preserve">程格非</t>
  </si>
  <si>
    <t xml:space="preserve">新竹縣私立尖端文理才藝短期補習班</t>
  </si>
  <si>
    <r>
      <rPr>
        <sz val="10"/>
        <color rgb="FF1F2A28"/>
        <rFont val="WenQuanYi Zen Hei"/>
        <family val="2"/>
      </rPr>
      <t xml:space="preserve">竹東鎮竹中路</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</si>
  <si>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(03)5832457</t>
  </si>
  <si>
    <t xml:space="preserve">apple3388a@gmail.com</t>
  </si>
  <si>
    <t xml:space="preserve">吳鳳文</t>
  </si>
  <si>
    <t xml:space="preserve">新竹縣私立康寧中興文理才藝短期補習班</t>
  </si>
  <si>
    <r>
      <rPr>
        <sz val="10"/>
        <color rgb="FF1F2A28"/>
        <rFont val="WenQuanYi Zen Hei"/>
        <family val="2"/>
      </rPr>
      <t xml:space="preserve">竹東鎮中興路三段</t>
    </r>
    <r>
      <rPr>
        <sz val="10"/>
        <color rgb="FF1F2A28"/>
        <rFont val="Arial"/>
        <family val="0"/>
        <charset val="1"/>
      </rPr>
      <t xml:space="preserve">392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</si>
  <si>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(03)5829208</t>
  </si>
  <si>
    <t xml:space="preserve">2004-07-20</t>
  </si>
  <si>
    <t xml:space="preserve">溫秀春</t>
  </si>
  <si>
    <t xml:space="preserve">新竹縣私立康寧竹東文理才藝短期補習班</t>
  </si>
  <si>
    <r>
      <rPr>
        <sz val="10"/>
        <color rgb="FF1F2A28"/>
        <rFont val="WenQuanYi Zen Hei"/>
        <family val="2"/>
      </rPr>
      <t xml:space="preserve">竹東鎮公園路</t>
    </r>
    <r>
      <rPr>
        <sz val="10"/>
        <color rgb="FF1F2A28"/>
        <rFont val="Arial"/>
        <family val="0"/>
        <charset val="1"/>
      </rPr>
      <t xml:space="preserve">39</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</si>
  <si>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03-5943322</t>
  </si>
  <si>
    <t xml:space="preserve">1996-07-24</t>
  </si>
  <si>
    <t xml:space="preserve">林浩凡</t>
  </si>
  <si>
    <t xml:space="preserve">新竹縣私立揚睿多元文理短期補習班</t>
  </si>
  <si>
    <r>
      <rPr>
        <sz val="10"/>
        <color rgb="FF1F2A28"/>
        <rFont val="WenQuanYi Zen Hei"/>
        <family val="2"/>
      </rPr>
      <t xml:space="preserve">竹東鎮大同路</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</si>
  <si>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(03)5956947</t>
  </si>
  <si>
    <t xml:space="preserve">yeh88@livemail.tw</t>
  </si>
  <si>
    <t xml:space="preserve">2018-09-11</t>
  </si>
  <si>
    <t xml:space="preserve">葉海泉</t>
  </si>
  <si>
    <t xml:space="preserve">新竹縣私立珍妮佛文理短期補習班</t>
  </si>
  <si>
    <r>
      <rPr>
        <sz val="10"/>
        <color rgb="FF1F2A28"/>
        <rFont val="WenQuanYi Zen Hei"/>
        <family val="2"/>
      </rPr>
      <t xml:space="preserve">竹東鎮大明路</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</si>
  <si>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(03)5953925</t>
  </si>
  <si>
    <t xml:space="preserve">2008-04-07</t>
  </si>
  <si>
    <t xml:space="preserve">溫演如</t>
  </si>
  <si>
    <t xml:space="preserve">張乾漢</t>
  </si>
  <si>
    <t xml:space="preserve">新竹縣私立綠拇指美語珠心算短期補習班</t>
  </si>
  <si>
    <r>
      <rPr>
        <sz val="10"/>
        <color rgb="FF1F2A28"/>
        <rFont val="WenQuanYi Zen Hei"/>
        <family val="2"/>
      </rPr>
      <t xml:space="preserve">竹東鎮光明路</t>
    </r>
    <r>
      <rPr>
        <sz val="10"/>
        <color rgb="FF1F2A28"/>
        <rFont val="Arial"/>
        <family val="0"/>
        <charset val="1"/>
      </rPr>
      <t xml:space="preserve">106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地下室</t>
    </r>
    <r>
      <rPr>
        <sz val="10"/>
        <color rgb="FF1F2A28"/>
        <rFont val="Arial"/>
        <family val="0"/>
        <charset val="1"/>
      </rPr>
      <t xml:space="preserve">1</t>
    </r>
    <r>
      <rPr>
        <sz val="10"/>
        <color rgb="FF1F2A28"/>
        <rFont val="WenQuanYi Zen Hei"/>
        <family val="2"/>
      </rPr>
      <t xml:space="preserve">樓</t>
    </r>
  </si>
  <si>
    <t xml:space="preserve">(03)5831909</t>
  </si>
  <si>
    <t xml:space="preserve">403107988@qq.com</t>
  </si>
  <si>
    <t xml:space="preserve">張劍</t>
  </si>
  <si>
    <t xml:space="preserve">新竹縣私立雨果美語短期補習班</t>
  </si>
  <si>
    <r>
      <rPr>
        <sz val="10"/>
        <color rgb="FF1F2A28"/>
        <rFont val="WenQuanYi Zen Hei"/>
        <family val="2"/>
      </rPr>
      <t xml:space="preserve">竹東鎮中豐路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126-1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</si>
  <si>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(03)5111276</t>
  </si>
  <si>
    <t xml:space="preserve">kyshih0117@gmail.com</t>
  </si>
  <si>
    <t xml:space="preserve">詹文仁</t>
  </si>
  <si>
    <t xml:space="preserve">黃淑玲</t>
  </si>
  <si>
    <t xml:space="preserve">極上教育諮詢股份有限公司附設新竹縣私立極上塾二重文理短期補習班</t>
  </si>
  <si>
    <r>
      <rPr>
        <sz val="10"/>
        <color rgb="FF1F2A28"/>
        <rFont val="WenQuanYi Zen Hei"/>
        <family val="2"/>
      </rPr>
      <t xml:space="preserve">竹東鎮中興路三段</t>
    </r>
    <r>
      <rPr>
        <sz val="10"/>
        <color rgb="FF1F2A28"/>
        <rFont val="Arial"/>
        <family val="0"/>
        <charset val="1"/>
      </rPr>
      <t xml:space="preserve">129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</si>
  <si>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(03)6586700</t>
  </si>
  <si>
    <r>
      <rPr>
        <sz val="10"/>
        <color rgb="FF1F2A28"/>
        <rFont val="WenQuanYi Zen Hei"/>
        <family val="2"/>
      </rPr>
      <t xml:space="preserve">極上教育諮詢股份有限公司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邱文卿</t>
    </r>
    <r>
      <rPr>
        <sz val="10"/>
        <color rgb="FF1F2A28"/>
        <rFont val="Arial"/>
        <family val="0"/>
        <charset val="1"/>
      </rPr>
      <t xml:space="preserve">)</t>
    </r>
  </si>
  <si>
    <t xml:space="preserve">張采雯</t>
  </si>
  <si>
    <r>
      <rPr>
        <sz val="10"/>
        <color rgb="FF1F2A28"/>
        <rFont val="WenQuanYi Zen Hei"/>
        <family val="2"/>
      </rPr>
      <t xml:space="preserve">私立</t>
    </r>
    <r>
      <rPr>
        <sz val="10"/>
        <color rgb="FF1F2A28"/>
        <rFont val="Arial"/>
        <family val="0"/>
        <charset val="1"/>
      </rPr>
      <t xml:space="preserve">Monica</t>
    </r>
    <r>
      <rPr>
        <sz val="10"/>
        <color rgb="FF1F2A28"/>
        <rFont val="WenQuanYi Zen Hei"/>
        <family val="2"/>
      </rPr>
      <t xml:space="preserve">美語短期補習班</t>
    </r>
  </si>
  <si>
    <r>
      <rPr>
        <sz val="10"/>
        <color rgb="FF1F2A28"/>
        <rFont val="WenQuanYi Zen Hei"/>
        <family val="2"/>
      </rPr>
      <t xml:space="preserve">竹東鎮光明路</t>
    </r>
    <r>
      <rPr>
        <sz val="10"/>
        <color rgb="FF1F2A28"/>
        <rFont val="Arial"/>
        <family val="0"/>
        <charset val="1"/>
      </rPr>
      <t xml:space="preserve">76</t>
    </r>
    <r>
      <rPr>
        <sz val="10"/>
        <color rgb="FF1F2A28"/>
        <rFont val="WenQuanYi Zen Hei"/>
        <family val="2"/>
      </rPr>
      <t xml:space="preserve">巷</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</si>
  <si>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(03)5823688</t>
  </si>
  <si>
    <t xml:space="preserve">monica03.5823688@gmail.com</t>
  </si>
  <si>
    <t xml:space="preserve">李月英</t>
  </si>
  <si>
    <t xml:space="preserve">私立上林語文短期補習班</t>
  </si>
  <si>
    <r>
      <rPr>
        <sz val="10"/>
        <color rgb="FF1F2A28"/>
        <rFont val="WenQuanYi Zen Hei"/>
        <family val="2"/>
      </rPr>
      <t xml:space="preserve">竹東鎮中興路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129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</si>
  <si>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(03)5824631</t>
  </si>
  <si>
    <t xml:space="preserve">zinn39@yahoo.com.tw</t>
  </si>
  <si>
    <t xml:space="preserve">2003-10-13</t>
  </si>
  <si>
    <t xml:space="preserve">鄒欣純</t>
  </si>
  <si>
    <t xml:space="preserve">私立學立文理短期補習班</t>
  </si>
  <si>
    <r>
      <rPr>
        <sz val="10"/>
        <color rgb="FF1F2A28"/>
        <rFont val="WenQuanYi Zen Hei"/>
        <family val="2"/>
      </rPr>
      <t xml:space="preserve">竹東鎮民德路</t>
    </r>
    <r>
      <rPr>
        <sz val="10"/>
        <color rgb="FF1F2A28"/>
        <rFont val="Arial"/>
        <family val="0"/>
        <charset val="1"/>
      </rPr>
      <t xml:space="preserve">149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152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</si>
  <si>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(03)5103132</t>
  </si>
  <si>
    <t xml:space="preserve">shyuelih.tw@gmail.com</t>
  </si>
  <si>
    <t xml:space="preserve">官羅桃妹</t>
  </si>
  <si>
    <t xml:space="preserve">丘如玉</t>
  </si>
  <si>
    <t xml:space="preserve">私立科建美語短期補習班</t>
  </si>
  <si>
    <r>
      <rPr>
        <sz val="10"/>
        <color rgb="FF1F2A28"/>
        <rFont val="WenQuanYi Zen Hei"/>
        <family val="2"/>
      </rPr>
      <t xml:space="preserve">竹東鎮中豐路二段</t>
    </r>
    <r>
      <rPr>
        <sz val="10"/>
        <color rgb="FF1F2A28"/>
        <rFont val="Arial"/>
        <family val="0"/>
        <charset val="1"/>
      </rPr>
      <t xml:space="preserve">326</t>
    </r>
    <r>
      <rPr>
        <sz val="10"/>
        <color rgb="FF1F2A28"/>
        <rFont val="WenQuanYi Zen Hei"/>
        <family val="2"/>
      </rPr>
      <t xml:space="preserve">號</t>
    </r>
  </si>
  <si>
    <t xml:space="preserve">(03)5102010</t>
  </si>
  <si>
    <t xml:space="preserve">2004-08-25</t>
  </si>
  <si>
    <t xml:space="preserve">陳建羿</t>
  </si>
  <si>
    <t xml:space="preserve">新竹縣私立吉米英語文理短期補習班</t>
  </si>
  <si>
    <r>
      <rPr>
        <sz val="10"/>
        <color rgb="FF1F2A28"/>
        <rFont val="WenQuanYi Zen Hei"/>
        <family val="2"/>
      </rPr>
      <t xml:space="preserve">芎林鄉石潭村福昌街</t>
    </r>
    <r>
      <rPr>
        <sz val="10"/>
        <color rgb="FF1F2A28"/>
        <rFont val="Arial"/>
        <family val="0"/>
        <charset val="1"/>
      </rPr>
      <t xml:space="preserve">340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</si>
  <si>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(03)5922200</t>
  </si>
  <si>
    <t xml:space="preserve">jimmyrich021@gmail.com</t>
  </si>
  <si>
    <t xml:space="preserve">2016-10-27</t>
  </si>
  <si>
    <t xml:space="preserve">陳新傑</t>
  </si>
  <si>
    <t xml:space="preserve">私立冠希美語會話短期補習班</t>
  </si>
  <si>
    <r>
      <rPr>
        <sz val="10"/>
        <color rgb="FF1F2A28"/>
        <rFont val="WenQuanYi Zen Hei"/>
        <family val="2"/>
      </rPr>
      <t xml:space="preserve">芎林鄉芎林村</t>
    </r>
    <r>
      <rPr>
        <sz val="10"/>
        <color rgb="FF1F2A28"/>
        <rFont val="Arial"/>
        <family val="0"/>
        <charset val="1"/>
      </rPr>
      <t xml:space="preserve">3</t>
    </r>
    <r>
      <rPr>
        <sz val="10"/>
        <color rgb="FF1F2A28"/>
        <rFont val="WenQuanYi Zen Hei"/>
        <family val="2"/>
      </rPr>
      <t xml:space="preserve">鄰文昌街</t>
    </r>
    <r>
      <rPr>
        <sz val="10"/>
        <color rgb="FF1F2A28"/>
        <rFont val="Arial"/>
        <family val="0"/>
        <charset val="1"/>
      </rPr>
      <t xml:space="preserve">159</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</si>
  <si>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(03)5122055</t>
  </si>
  <si>
    <t xml:space="preserve">kid5122055@yahoo.com.tw</t>
  </si>
  <si>
    <t xml:space="preserve">2004-10-18</t>
  </si>
  <si>
    <t xml:space="preserve">劉冠伶</t>
  </si>
  <si>
    <r>
      <rPr>
        <sz val="10"/>
        <color rgb="FF1F2A28"/>
        <rFont val="WenQuanYi Zen Hei"/>
        <family val="2"/>
      </rPr>
      <t xml:space="preserve">關西鎮大德街</t>
    </r>
    <r>
      <rPr>
        <sz val="10"/>
        <color rgb="FF1F2A28"/>
        <rFont val="Arial"/>
        <family val="0"/>
        <charset val="1"/>
      </rPr>
      <t xml:space="preserve">86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</si>
  <si>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(03)5171630</t>
  </si>
  <si>
    <r>
      <rPr>
        <sz val="10"/>
        <color rgb="FF1F2A28"/>
        <rFont val="WenQuanYi Zen Hei"/>
        <family val="2"/>
      </rPr>
      <t xml:space="preserve">關西鎮正義路</t>
    </r>
    <r>
      <rPr>
        <sz val="10"/>
        <color rgb="FF1F2A28"/>
        <rFont val="Arial"/>
        <family val="0"/>
        <charset val="1"/>
      </rPr>
      <t xml:space="preserve">111-6</t>
    </r>
    <r>
      <rPr>
        <sz val="10"/>
        <color rgb="FF1F2A28"/>
        <rFont val="WenQuanYi Zen Hei"/>
        <family val="2"/>
      </rPr>
      <t xml:space="preserve">號</t>
    </r>
  </si>
  <si>
    <t xml:space="preserve">(03)5171245</t>
  </si>
  <si>
    <t xml:space="preserve">苗栗縣</t>
  </si>
  <si>
    <t xml:space="preserve">史丹佛文教事業股份有限公司附設苗栗縣私立史丹佛文理短期補習班</t>
  </si>
  <si>
    <r>
      <rPr>
        <sz val="10"/>
        <color rgb="FF1F2A28"/>
        <rFont val="WenQuanYi Zen Hei"/>
        <family val="2"/>
      </rPr>
      <t xml:space="preserve">苗栗縣頭份市光華北路</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</si>
  <si>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037-612266</t>
  </si>
  <si>
    <t xml:space="preserve">stanfordschooltw@gmail.com</t>
  </si>
  <si>
    <t xml:space="preserve">羅賴燈</t>
  </si>
  <si>
    <t xml:space="preserve">學晨文教顧問股份有限公司附設苗栗縣私立學晨美語珠心算技藝短期補習班</t>
  </si>
  <si>
    <r>
      <rPr>
        <sz val="10"/>
        <color rgb="FF1F2A28"/>
        <rFont val="WenQuanYi Zen Hei"/>
        <family val="2"/>
      </rPr>
      <t xml:space="preserve">苗栗縣苗栗市福星里嘉福街</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1-2F</t>
    </r>
  </si>
  <si>
    <t xml:space="preserve">(037)278808</t>
  </si>
  <si>
    <t xml:space="preserve">sc278808@yahoo.com.tw</t>
  </si>
  <si>
    <t xml:space="preserve">蘇明英</t>
  </si>
  <si>
    <r>
      <rPr>
        <sz val="10"/>
        <color rgb="FF1F2A28"/>
        <rFont val="WenQuanYi Zen Hei"/>
        <family val="2"/>
      </rPr>
      <t xml:space="preserve">苗栗縣私立</t>
    </r>
    <r>
      <rPr>
        <sz val="10"/>
        <color rgb="FF1F2A28"/>
        <rFont val="Arial"/>
        <family val="0"/>
        <charset val="1"/>
      </rPr>
      <t xml:space="preserve">123</t>
    </r>
    <r>
      <rPr>
        <sz val="10"/>
        <color rgb="FF1F2A28"/>
        <rFont val="WenQuanYi Zen Hei"/>
        <family val="2"/>
      </rPr>
      <t xml:space="preserve">文理短期補習班</t>
    </r>
  </si>
  <si>
    <r>
      <rPr>
        <sz val="10"/>
        <color rgb="FF1F2A28"/>
        <rFont val="WenQuanYi Zen Hei"/>
        <family val="2"/>
      </rPr>
      <t xml:space="preserve">苗栗縣公館鄉鶴岡村</t>
    </r>
    <r>
      <rPr>
        <sz val="10"/>
        <color rgb="FF1F2A28"/>
        <rFont val="Arial"/>
        <family val="0"/>
        <charset val="1"/>
      </rPr>
      <t xml:space="preserve">7</t>
    </r>
    <r>
      <rPr>
        <sz val="10"/>
        <color rgb="FF1F2A28"/>
        <rFont val="WenQuanYi Zen Hei"/>
        <family val="2"/>
      </rPr>
      <t xml:space="preserve">鄰鶴岡</t>
    </r>
    <r>
      <rPr>
        <sz val="10"/>
        <color rgb="FF1F2A28"/>
        <rFont val="Arial"/>
        <family val="0"/>
        <charset val="1"/>
      </rPr>
      <t xml:space="preserve">222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</si>
  <si>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(037)226579</t>
  </si>
  <si>
    <t xml:space="preserve">freddy6420@yahoo.com.tw</t>
  </si>
  <si>
    <t xml:space="preserve">2014-06-20</t>
  </si>
  <si>
    <t xml:space="preserve">曾德仁</t>
  </si>
  <si>
    <t xml:space="preserve">阮麗娟</t>
  </si>
  <si>
    <r>
      <rPr>
        <sz val="10"/>
        <color rgb="FF1F2A28"/>
        <rFont val="WenQuanYi Zen Hei"/>
        <family val="2"/>
      </rPr>
      <t xml:space="preserve">苗栗縣私立</t>
    </r>
    <r>
      <rPr>
        <sz val="10"/>
        <color rgb="FF1F2A28"/>
        <rFont val="Arial"/>
        <family val="0"/>
        <charset val="1"/>
      </rPr>
      <t xml:space="preserve">e</t>
    </r>
    <r>
      <rPr>
        <sz val="10"/>
        <color rgb="FF1F2A28"/>
        <rFont val="WenQuanYi Zen Hei"/>
        <family val="2"/>
      </rPr>
      <t xml:space="preserve">學園文理短期補習班</t>
    </r>
  </si>
  <si>
    <r>
      <rPr>
        <sz val="10"/>
        <color rgb="FF1F2A28"/>
        <rFont val="WenQuanYi Zen Hei"/>
        <family val="2"/>
      </rPr>
      <t xml:space="preserve">苗栗縣卓蘭鎮新厝里</t>
    </r>
    <r>
      <rPr>
        <sz val="10"/>
        <color rgb="FF1F2A28"/>
        <rFont val="Arial"/>
        <family val="0"/>
        <charset val="1"/>
      </rPr>
      <t xml:space="preserve">9</t>
    </r>
    <r>
      <rPr>
        <sz val="10"/>
        <color rgb="FF1F2A28"/>
        <rFont val="WenQuanYi Zen Hei"/>
        <family val="2"/>
      </rPr>
      <t xml:space="preserve">鄰仁愛路</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1-2F</t>
    </r>
  </si>
  <si>
    <r>
      <rPr>
        <sz val="10"/>
        <color rgb="FF1F2A28"/>
        <rFont val="Arial"/>
        <family val="0"/>
        <charset val="1"/>
      </rPr>
      <t xml:space="preserve">0928-162527</t>
    </r>
    <r>
      <rPr>
        <sz val="10"/>
        <color rgb="FF1F2A28"/>
        <rFont val="WenQuanYi Zen Hei"/>
        <family val="2"/>
      </rPr>
      <t xml:space="preserve">，</t>
    </r>
    <r>
      <rPr>
        <sz val="10"/>
        <color rgb="FF1F2A28"/>
        <rFont val="Arial"/>
        <family val="0"/>
        <charset val="1"/>
      </rPr>
      <t xml:space="preserve">04-25897130</t>
    </r>
  </si>
  <si>
    <t xml:space="preserve">king72761@yahoo.com.tw</t>
  </si>
  <si>
    <t xml:space="preserve">2010-07-04</t>
  </si>
  <si>
    <t xml:space="preserve">王佳文</t>
  </si>
  <si>
    <t xml:space="preserve">苗栗縣私立中大文理短期補習班</t>
  </si>
  <si>
    <r>
      <rPr>
        <sz val="10"/>
        <color rgb="FF1F2A28"/>
        <rFont val="WenQuanYi Zen Hei"/>
        <family val="2"/>
      </rPr>
      <t xml:space="preserve">苗栗縣頭份市蟠桃里信一街</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</si>
  <si>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(037)676212</t>
  </si>
  <si>
    <t xml:space="preserve">cpchen0505@yahoo.com.tw</t>
  </si>
  <si>
    <t xml:space="preserve">黃鳳貞</t>
  </si>
  <si>
    <t xml:space="preserve">苗栗縣私立丹尼爾美語技藝短期補習班</t>
  </si>
  <si>
    <r>
      <rPr>
        <sz val="10"/>
        <color rgb="FF1F2A28"/>
        <rFont val="WenQuanYi Zen Hei"/>
        <family val="2"/>
      </rPr>
      <t xml:space="preserve">苗栗縣銅鑼鄉銅鑼村銅鑼街</t>
    </r>
    <r>
      <rPr>
        <sz val="10"/>
        <color rgb="FF1F2A28"/>
        <rFont val="Arial"/>
        <family val="0"/>
        <charset val="1"/>
      </rPr>
      <t xml:space="preserve">46</t>
    </r>
    <r>
      <rPr>
        <sz val="10"/>
        <color rgb="FF1F2A28"/>
        <rFont val="WenQuanYi Zen Hei"/>
        <family val="2"/>
      </rPr>
      <t xml:space="preserve">號</t>
    </r>
  </si>
  <si>
    <t xml:space="preserve">(037)987532</t>
  </si>
  <si>
    <t xml:space="preserve">penny-yea@hotmail.com</t>
  </si>
  <si>
    <t xml:space="preserve">葉雲珠</t>
  </si>
  <si>
    <t xml:space="preserve">苗栗縣私立仁人文理短期補習班</t>
  </si>
  <si>
    <r>
      <rPr>
        <sz val="10"/>
        <color rgb="FF1F2A28"/>
        <rFont val="WenQuanYi Zen Hei"/>
        <family val="2"/>
      </rPr>
      <t xml:space="preserve">苗栗縣竹南鎮營盤里自由街</t>
    </r>
    <r>
      <rPr>
        <sz val="10"/>
        <color rgb="FF1F2A28"/>
        <rFont val="Arial"/>
        <family val="0"/>
        <charset val="1"/>
      </rPr>
      <t xml:space="preserve">146</t>
    </r>
    <r>
      <rPr>
        <sz val="10"/>
        <color rgb="FF1F2A28"/>
        <rFont val="WenQuanYi Zen Hei"/>
        <family val="2"/>
      </rPr>
      <t xml:space="preserve">號</t>
    </r>
  </si>
  <si>
    <t xml:space="preserve">037-466052</t>
  </si>
  <si>
    <t xml:space="preserve">許心宜</t>
  </si>
  <si>
    <t xml:space="preserve">苗栗縣私立仁愛文理短期補習班</t>
  </si>
  <si>
    <r>
      <rPr>
        <sz val="10"/>
        <color rgb="FF1F2A28"/>
        <rFont val="WenQuanYi Zen Hei"/>
        <family val="2"/>
      </rPr>
      <t xml:space="preserve">苗栗縣公館鄉館南村</t>
    </r>
    <r>
      <rPr>
        <sz val="10"/>
        <color rgb="FF1F2A28"/>
        <rFont val="Arial"/>
        <family val="0"/>
        <charset val="1"/>
      </rPr>
      <t xml:space="preserve">2</t>
    </r>
    <r>
      <rPr>
        <sz val="10"/>
        <color rgb="FF1F2A28"/>
        <rFont val="WenQuanYi Zen Hei"/>
        <family val="2"/>
      </rPr>
      <t xml:space="preserve">鄰通明街</t>
    </r>
    <r>
      <rPr>
        <sz val="10"/>
        <color rgb="FF1F2A28"/>
        <rFont val="Arial"/>
        <family val="0"/>
        <charset val="1"/>
      </rPr>
      <t xml:space="preserve">100-1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</si>
  <si>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0923-130303</t>
  </si>
  <si>
    <t xml:space="preserve">shongoumaya@gmail.com</t>
  </si>
  <si>
    <t xml:space="preserve">2011-05-23</t>
  </si>
  <si>
    <t xml:space="preserve">蘇春如</t>
  </si>
  <si>
    <t xml:space="preserve">苗栗縣私立伊頓文理技藝短期補習班學園分校</t>
  </si>
  <si>
    <r>
      <rPr>
        <sz val="10"/>
        <color rgb="FF1F2A28"/>
        <rFont val="WenQuanYi Zen Hei"/>
        <family val="2"/>
      </rPr>
      <t xml:space="preserve">苗栗縣通霄鎮平元里</t>
    </r>
    <r>
      <rPr>
        <sz val="10"/>
        <color rgb="FF1F2A28"/>
        <rFont val="Arial"/>
        <family val="0"/>
        <charset val="1"/>
      </rPr>
      <t xml:space="preserve">18</t>
    </r>
    <r>
      <rPr>
        <sz val="10"/>
        <color rgb="FF1F2A28"/>
        <rFont val="WenQuanYi Zen Hei"/>
        <family val="2"/>
      </rPr>
      <t xml:space="preserve">鄰平新一路</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1-3F</t>
    </r>
  </si>
  <si>
    <t xml:space="preserve">037-765393</t>
  </si>
  <si>
    <t xml:space="preserve">edenhsu6616@gmail.com</t>
  </si>
  <si>
    <t xml:space="preserve">徐逸紋</t>
  </si>
  <si>
    <t xml:space="preserve">徐梅菁</t>
  </si>
  <si>
    <t xml:space="preserve">苗栗縣私立伊頓文理技藝短期補習班平新分校</t>
  </si>
  <si>
    <r>
      <rPr>
        <sz val="10"/>
        <color rgb="FF1F2A28"/>
        <rFont val="WenQuanYi Zen Hei"/>
        <family val="2"/>
      </rPr>
      <t xml:space="preserve">苗栗縣通霄鎮平新一路</t>
    </r>
    <r>
      <rPr>
        <sz val="10"/>
        <color rgb="FF1F2A28"/>
        <rFont val="Arial"/>
        <family val="0"/>
        <charset val="1"/>
      </rPr>
      <t xml:space="preserve">58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</si>
  <si>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0928005807</t>
  </si>
  <si>
    <t xml:space="preserve">2023-08-15</t>
  </si>
  <si>
    <t xml:space="preserve">嚴莉惠</t>
  </si>
  <si>
    <t xml:space="preserve">苗栗縣私立佳學美語技藝短期補習班</t>
  </si>
  <si>
    <r>
      <rPr>
        <sz val="10"/>
        <color rgb="FF1F2A28"/>
        <rFont val="WenQuanYi Zen Hei"/>
        <family val="2"/>
      </rPr>
      <t xml:space="preserve">苗栗縣苗栗市文山里正發路</t>
    </r>
    <r>
      <rPr>
        <sz val="10"/>
        <color rgb="FF1F2A28"/>
        <rFont val="Arial"/>
        <family val="0"/>
        <charset val="1"/>
      </rPr>
      <t xml:space="preserve">190</t>
    </r>
    <r>
      <rPr>
        <sz val="10"/>
        <color rgb="FF1F2A28"/>
        <rFont val="WenQuanYi Zen Hei"/>
        <family val="2"/>
      </rPr>
      <t xml:space="preserve">號</t>
    </r>
  </si>
  <si>
    <t xml:space="preserve">(037)356122</t>
  </si>
  <si>
    <t xml:space="preserve">chengkuo88@gmail.com</t>
  </si>
  <si>
    <t xml:space="preserve">2011-08-19</t>
  </si>
  <si>
    <t xml:space="preserve">劉桂伶</t>
  </si>
  <si>
    <t xml:space="preserve">黃鎮國</t>
  </si>
  <si>
    <t xml:space="preserve">苗栗縣私立佳音英語文理短期補習班</t>
  </si>
  <si>
    <r>
      <rPr>
        <sz val="10"/>
        <color rgb="FF1F2A28"/>
        <rFont val="WenQuanYi Zen Hei"/>
        <family val="2"/>
      </rPr>
      <t xml:space="preserve">苗栗縣苑裡鎮苑南里和平路</t>
    </r>
    <r>
      <rPr>
        <sz val="10"/>
        <color rgb="FF1F2A28"/>
        <rFont val="Arial"/>
        <family val="0"/>
        <charset val="1"/>
      </rPr>
      <t xml:space="preserve">26</t>
    </r>
    <r>
      <rPr>
        <sz val="10"/>
        <color rgb="FF1F2A28"/>
        <rFont val="WenQuanYi Zen Hei"/>
        <family val="2"/>
      </rPr>
      <t xml:space="preserve">號</t>
    </r>
  </si>
  <si>
    <t xml:space="preserve">(037)857122</t>
  </si>
  <si>
    <t xml:space="preserve">bc054@joy.com.tw</t>
  </si>
  <si>
    <t xml:space="preserve">張倩雯</t>
  </si>
  <si>
    <t xml:space="preserve">苗栗縣私立俊揚文理短期補習班</t>
  </si>
  <si>
    <r>
      <rPr>
        <sz val="10"/>
        <color rgb="FF1F2A28"/>
        <rFont val="WenQuanYi Zen Hei"/>
        <family val="2"/>
      </rPr>
      <t xml:space="preserve">苗栗縣三義鄉廣盛村</t>
    </r>
    <r>
      <rPr>
        <sz val="10"/>
        <color rgb="FF1F2A28"/>
        <rFont val="Arial"/>
        <family val="0"/>
        <charset val="1"/>
      </rPr>
      <t xml:space="preserve">8</t>
    </r>
    <r>
      <rPr>
        <sz val="10"/>
        <color rgb="FF1F2A28"/>
        <rFont val="WenQuanYi Zen Hei"/>
        <family val="2"/>
      </rPr>
      <t xml:space="preserve">鄰中正路</t>
    </r>
    <r>
      <rPr>
        <sz val="10"/>
        <color rgb="FF1F2A28"/>
        <rFont val="Arial"/>
        <family val="0"/>
        <charset val="1"/>
      </rPr>
      <t xml:space="preserve">187</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2F</t>
    </r>
  </si>
  <si>
    <t xml:space="preserve">(037)876587</t>
  </si>
  <si>
    <t xml:space="preserve">angel70707764@yahoo.com.tw</t>
  </si>
  <si>
    <t xml:space="preserve">2014-02-28</t>
  </si>
  <si>
    <t xml:space="preserve">溫純珠</t>
  </si>
  <si>
    <t xml:space="preserve">鍾 浩</t>
  </si>
  <si>
    <t xml:space="preserve">苗栗縣私立倍斯特美語技藝短期補習班</t>
  </si>
  <si>
    <r>
      <rPr>
        <sz val="10"/>
        <color rgb="FF1F2A28"/>
        <rFont val="WenQuanYi Zen Hei"/>
        <family val="2"/>
      </rPr>
      <t xml:space="preserve">苗栗縣頭份市後庄里</t>
    </r>
    <r>
      <rPr>
        <sz val="10"/>
        <color rgb="FF1F2A28"/>
        <rFont val="Arial"/>
        <family val="0"/>
        <charset val="1"/>
      </rPr>
      <t xml:space="preserve">6</t>
    </r>
    <r>
      <rPr>
        <sz val="10"/>
        <color rgb="FF1F2A28"/>
        <rFont val="WenQuanYi Zen Hei"/>
        <family val="2"/>
      </rPr>
      <t xml:space="preserve">鄰建民街</t>
    </r>
    <r>
      <rPr>
        <sz val="10"/>
        <color rgb="FF1F2A28"/>
        <rFont val="Arial"/>
        <family val="0"/>
        <charset val="1"/>
      </rPr>
      <t xml:space="preserve">82</t>
    </r>
    <r>
      <rPr>
        <sz val="10"/>
        <color rgb="FF1F2A28"/>
        <rFont val="WenQuanYi Zen Hei"/>
        <family val="2"/>
      </rPr>
      <t xml:space="preserve">號</t>
    </r>
    <r>
      <rPr>
        <sz val="10"/>
        <color rgb="FF1F2A28"/>
        <rFont val="Arial"/>
        <family val="0"/>
        <charset val="1"/>
      </rPr>
      <t xml:space="preserve">1F</t>
    </r>
  </si>
  <si>
    <t xml:space="preserve">037620566/0956025861</t>
  </si>
  <si>
    <t xml:space="preserve">tinachiang0609@gmail.com</t>
  </si>
  <si>
    <t xml:space="preserve">江進明</t>
  </si>
  <si>
    <t xml:space="preserve">江育鈁</t>
  </si>
  <si>
    <t xml:space="preserve">苗栗縣私立傑生美語技藝短期補習班</t>
  </si>
  <si>
    <r>
      <rPr>
        <sz val="10"/>
        <color rgb="FF1F2A28"/>
        <rFont val="WenQuanYi Zen Hei"/>
        <family val="2"/>
      </rPr>
      <t xml:space="preserve">苗栗縣頭份市中山路</t>
    </r>
    <r>
      <rPr>
        <sz val="10"/>
        <color rgb="FF1F2A28"/>
        <rFont val="Arial"/>
        <family val="0"/>
        <charset val="1"/>
      </rPr>
      <t xml:space="preserve">290</t>
    </r>
    <r>
      <rPr>
        <sz val="10"/>
        <color rgb="FF1F2A28"/>
        <rFont val="WenQuanYi Zen Hei"/>
        <family val="2"/>
      </rPr>
      <t xml:space="preserve">號</t>
    </r>
    <r>
      <rPr>
        <sz val="10"/>
        <color rgb="FF1F2A28"/>
        <rFont val="Arial"/>
        <family val="0"/>
        <charset val="1"/>
      </rPr>
      <t xml:space="preserve">1-3F</t>
    </r>
  </si>
  <si>
    <t xml:space="preserve">(037)664487</t>
  </si>
  <si>
    <t xml:space="preserve">shiauhs@yahoo.com.tw</t>
  </si>
  <si>
    <t xml:space="preserve">李欣純</t>
  </si>
  <si>
    <t xml:space="preserve">蕭惠芬</t>
  </si>
  <si>
    <t xml:space="preserve">苗栗縣私立全人美語珠心算技藝短期補習班</t>
  </si>
  <si>
    <r>
      <rPr>
        <sz val="10"/>
        <color rgb="FF1F2A28"/>
        <rFont val="WenQuanYi Zen Hei"/>
        <family val="2"/>
      </rPr>
      <t xml:space="preserve">苗栗縣頭屋鄉頭屋村</t>
    </r>
    <r>
      <rPr>
        <sz val="10"/>
        <color rgb="FF1F2A28"/>
        <rFont val="Arial"/>
        <family val="0"/>
        <charset val="1"/>
      </rPr>
      <t xml:space="preserve">14</t>
    </r>
    <r>
      <rPr>
        <sz val="10"/>
        <color rgb="FF1F2A28"/>
        <rFont val="WenQuanYi Zen Hei"/>
        <family val="2"/>
      </rPr>
      <t xml:space="preserve">鄰尖豐路</t>
    </r>
    <r>
      <rPr>
        <sz val="10"/>
        <color rgb="FF1F2A28"/>
        <rFont val="Arial"/>
        <family val="0"/>
        <charset val="1"/>
      </rPr>
      <t xml:space="preserve">74</t>
    </r>
    <r>
      <rPr>
        <sz val="10"/>
        <color rgb="FF1F2A28"/>
        <rFont val="WenQuanYi Zen Hei"/>
        <family val="2"/>
      </rPr>
      <t xml:space="preserve">號</t>
    </r>
    <r>
      <rPr>
        <sz val="10"/>
        <color rgb="FF1F2A28"/>
        <rFont val="Arial"/>
        <family val="0"/>
        <charset val="1"/>
      </rPr>
      <t xml:space="preserve">2F</t>
    </r>
  </si>
  <si>
    <t xml:space="preserve">(037)250772 0920-886177</t>
  </si>
  <si>
    <t xml:space="preserve">2012-12-28</t>
  </si>
  <si>
    <t xml:space="preserve">張永發</t>
  </si>
  <si>
    <t xml:space="preserve">張博琮</t>
  </si>
  <si>
    <t xml:space="preserve">苗栗縣私立凱禾文理短期補習班</t>
  </si>
  <si>
    <r>
      <rPr>
        <sz val="10"/>
        <color rgb="FF1F2A28"/>
        <rFont val="WenQuanYi Zen Hei"/>
        <family val="2"/>
      </rPr>
      <t xml:space="preserve">苗栗縣竹南鎮營盤里</t>
    </r>
    <r>
      <rPr>
        <sz val="10"/>
        <color rgb="FF1F2A28"/>
        <rFont val="Arial"/>
        <family val="0"/>
        <charset val="1"/>
      </rPr>
      <t xml:space="preserve">15</t>
    </r>
    <r>
      <rPr>
        <sz val="10"/>
        <color rgb="FF1F2A28"/>
        <rFont val="WenQuanYi Zen Hei"/>
        <family val="2"/>
      </rPr>
      <t xml:space="preserve">鄰建國路</t>
    </r>
    <r>
      <rPr>
        <sz val="10"/>
        <color rgb="FF1F2A28"/>
        <rFont val="Arial"/>
        <family val="0"/>
        <charset val="1"/>
      </rPr>
      <t xml:space="preserve">317</t>
    </r>
    <r>
      <rPr>
        <sz val="10"/>
        <color rgb="FF1F2A28"/>
        <rFont val="WenQuanYi Zen Hei"/>
        <family val="2"/>
      </rPr>
      <t xml:space="preserve">號</t>
    </r>
    <r>
      <rPr>
        <sz val="10"/>
        <color rgb="FF1F2A28"/>
        <rFont val="Arial"/>
        <family val="0"/>
        <charset val="1"/>
      </rPr>
      <t xml:space="preserve">1F</t>
    </r>
  </si>
  <si>
    <t xml:space="preserve">(037)477616</t>
  </si>
  <si>
    <t xml:space="preserve">sabina690528@gmail.com</t>
  </si>
  <si>
    <t xml:space="preserve">2012-06-25</t>
  </si>
  <si>
    <t xml:space="preserve">林瑋津</t>
  </si>
  <si>
    <t xml:space="preserve">苗栗縣私立勝琥美語珠心算技藝短期補習班</t>
  </si>
  <si>
    <r>
      <rPr>
        <sz val="10"/>
        <color rgb="FF1F2A28"/>
        <rFont val="WenQuanYi Zen Hei"/>
        <family val="2"/>
      </rPr>
      <t xml:space="preserve">苗栗縣頭份市土牛里</t>
    </r>
    <r>
      <rPr>
        <sz val="10"/>
        <color rgb="FF1F2A28"/>
        <rFont val="Arial"/>
        <family val="0"/>
        <charset val="1"/>
      </rPr>
      <t xml:space="preserve">7</t>
    </r>
    <r>
      <rPr>
        <sz val="10"/>
        <color rgb="FF1F2A28"/>
        <rFont val="WenQuanYi Zen Hei"/>
        <family val="2"/>
      </rPr>
      <t xml:space="preserve">鄰興隆路</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1F</t>
    </r>
  </si>
  <si>
    <t xml:space="preserve">0963679115</t>
  </si>
  <si>
    <t xml:space="preserve">luckshaw@yahoo.com.tw</t>
  </si>
  <si>
    <t xml:space="preserve">2011-01-17</t>
  </si>
  <si>
    <t xml:space="preserve">廖怡媚</t>
  </si>
  <si>
    <t xml:space="preserve">許嘉銘</t>
  </si>
  <si>
    <t xml:space="preserve">苗栗縣私立博學園文理短期補習班</t>
  </si>
  <si>
    <r>
      <rPr>
        <sz val="10"/>
        <color rgb="FF1F2A28"/>
        <rFont val="WenQuanYi Zen Hei"/>
        <family val="2"/>
      </rPr>
      <t xml:space="preserve">苗栗縣苗栗市上苗里社寮街</t>
    </r>
    <r>
      <rPr>
        <sz val="10"/>
        <color rgb="FF1F2A28"/>
        <rFont val="Arial"/>
        <family val="0"/>
        <charset val="1"/>
      </rPr>
      <t xml:space="preserve">147-3</t>
    </r>
    <r>
      <rPr>
        <sz val="10"/>
        <color rgb="FF1F2A28"/>
        <rFont val="WenQuanYi Zen Hei"/>
        <family val="2"/>
      </rPr>
      <t xml:space="preserve">號</t>
    </r>
    <r>
      <rPr>
        <sz val="10"/>
        <color rgb="FF1F2A28"/>
        <rFont val="Arial"/>
        <family val="0"/>
        <charset val="1"/>
      </rPr>
      <t xml:space="preserve">1F</t>
    </r>
  </si>
  <si>
    <t xml:space="preserve">(037)275800</t>
  </si>
  <si>
    <t xml:space="preserve">鄒志偉</t>
  </si>
  <si>
    <t xml:space="preserve">呂美珍</t>
  </si>
  <si>
    <t xml:space="preserve">苗栗縣私立博學文理技藝短期補習班</t>
  </si>
  <si>
    <r>
      <rPr>
        <sz val="10"/>
        <color rgb="FF1F2A28"/>
        <rFont val="WenQuanYi Zen Hei"/>
        <family val="2"/>
      </rPr>
      <t xml:space="preserve">苗栗縣通霄鎮通東里</t>
    </r>
    <r>
      <rPr>
        <sz val="10"/>
        <color rgb="FF1F2A28"/>
        <rFont val="Arial"/>
        <family val="0"/>
        <charset val="1"/>
      </rPr>
      <t xml:space="preserve">1</t>
    </r>
    <r>
      <rPr>
        <sz val="10"/>
        <color rgb="FF1F2A28"/>
        <rFont val="WenQuanYi Zen Hei"/>
        <family val="2"/>
      </rPr>
      <t xml:space="preserve">鄰中正路</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</si>
  <si>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037765499</t>
  </si>
  <si>
    <t xml:space="preserve">ruby765499@gmail.com</t>
  </si>
  <si>
    <t xml:space="preserve">2012-09-03</t>
  </si>
  <si>
    <t xml:space="preserve">涂志德</t>
  </si>
  <si>
    <t xml:space="preserve">蕭怡沛</t>
  </si>
  <si>
    <t xml:space="preserve">苗栗縣私立吉安文理短期補習班</t>
  </si>
  <si>
    <r>
      <rPr>
        <sz val="10"/>
        <color rgb="FF1F2A28"/>
        <rFont val="WenQuanYi Zen Hei"/>
        <family val="2"/>
      </rPr>
      <t xml:space="preserve">苗栗縣竹南鎮聖福里環市路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154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</si>
  <si>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(037)481655</t>
  </si>
  <si>
    <t xml:space="preserve">chunankid@yahoo.com.tw</t>
  </si>
  <si>
    <t xml:space="preserve">鍾麗娟</t>
  </si>
  <si>
    <t xml:space="preserve">苗栗縣私立吉的堡文理短期補習班</t>
  </si>
  <si>
    <r>
      <rPr>
        <sz val="10"/>
        <color rgb="FF1F2A28"/>
        <rFont val="WenQuanYi Zen Hei"/>
        <family val="2"/>
      </rPr>
      <t xml:space="preserve">苗栗縣頭份市中正路</t>
    </r>
    <r>
      <rPr>
        <sz val="10"/>
        <color rgb="FF1F2A28"/>
        <rFont val="Arial"/>
        <family val="0"/>
        <charset val="1"/>
      </rPr>
      <t xml:space="preserve">326</t>
    </r>
    <r>
      <rPr>
        <sz val="10"/>
        <color rgb="FF1F2A28"/>
        <rFont val="WenQuanYi Zen Hei"/>
        <family val="2"/>
      </rPr>
      <t xml:space="preserve">號</t>
    </r>
    <r>
      <rPr>
        <sz val="10"/>
        <color rgb="FF1F2A28"/>
        <rFont val="Arial"/>
        <family val="0"/>
        <charset val="1"/>
      </rPr>
      <t xml:space="preserve">2F</t>
    </r>
  </si>
  <si>
    <t xml:space="preserve">037-661811</t>
  </si>
  <si>
    <t xml:space="preserve">gkclai123@gmail.com</t>
  </si>
  <si>
    <t xml:space="preserve">1999-04-23</t>
  </si>
  <si>
    <t xml:space="preserve">賴瑞香</t>
  </si>
  <si>
    <t xml:space="preserve">苗栗縣私立喬昱文理短期補習班</t>
  </si>
  <si>
    <r>
      <rPr>
        <sz val="10"/>
        <color rgb="FF1F2A28"/>
        <rFont val="WenQuanYi Zen Hei"/>
        <family val="2"/>
      </rPr>
      <t xml:space="preserve">苗栗縣通霄鎮平安里平新路</t>
    </r>
    <r>
      <rPr>
        <sz val="10"/>
        <color rgb="FF1F2A28"/>
        <rFont val="Arial"/>
        <family val="0"/>
        <charset val="1"/>
      </rPr>
      <t xml:space="preserve">122</t>
    </r>
    <r>
      <rPr>
        <sz val="10"/>
        <color rgb="FF1F2A28"/>
        <rFont val="WenQuanYi Zen Hei"/>
        <family val="2"/>
      </rPr>
      <t xml:space="preserve">號</t>
    </r>
    <r>
      <rPr>
        <sz val="10"/>
        <color rgb="FF1F2A28"/>
        <rFont val="Arial"/>
        <family val="0"/>
        <charset val="1"/>
      </rPr>
      <t xml:space="preserve">1F</t>
    </r>
  </si>
  <si>
    <t xml:space="preserve">(037)752609</t>
  </si>
  <si>
    <t xml:space="preserve">lion690717@yahoo.com.tw</t>
  </si>
  <si>
    <t xml:space="preserve">2008-05-30</t>
  </si>
  <si>
    <t xml:space="preserve">徐文昱</t>
  </si>
  <si>
    <t xml:space="preserve">苗栗縣私立士昌文理短期補習班</t>
  </si>
  <si>
    <r>
      <rPr>
        <sz val="10"/>
        <color rgb="FF1F2A28"/>
        <rFont val="WenQuanYi Zen Hei"/>
        <family val="2"/>
      </rPr>
      <t xml:space="preserve">苗栗縣竹南鎮大業街</t>
    </r>
    <r>
      <rPr>
        <sz val="10"/>
        <color rgb="FF1F2A28"/>
        <rFont val="Arial"/>
        <family val="0"/>
        <charset val="1"/>
      </rPr>
      <t xml:space="preserve">126</t>
    </r>
    <r>
      <rPr>
        <sz val="10"/>
        <color rgb="FF1F2A28"/>
        <rFont val="WenQuanYi Zen Hei"/>
        <family val="2"/>
      </rPr>
      <t xml:space="preserve">號</t>
    </r>
    <r>
      <rPr>
        <sz val="10"/>
        <color rgb="FF1F2A28"/>
        <rFont val="Arial"/>
        <family val="0"/>
        <charset val="1"/>
      </rPr>
      <t xml:space="preserve">1-2F</t>
    </r>
  </si>
  <si>
    <r>
      <rPr>
        <sz val="10"/>
        <color rgb="FF1F2A28"/>
        <rFont val="Arial"/>
        <family val="0"/>
        <charset val="1"/>
      </rPr>
      <t xml:space="preserve">(037)466384</t>
    </r>
    <r>
      <rPr>
        <sz val="10"/>
        <color rgb="FF1F2A28"/>
        <rFont val="WenQuanYi Zen Hei"/>
        <family val="2"/>
      </rPr>
      <t xml:space="preserve">，</t>
    </r>
    <r>
      <rPr>
        <sz val="10"/>
        <color rgb="FF1F2A28"/>
        <rFont val="Arial"/>
        <family val="0"/>
        <charset val="1"/>
      </rPr>
      <t xml:space="preserve">0919075088</t>
    </r>
  </si>
  <si>
    <t xml:space="preserve">yeanch126@gmail.com</t>
  </si>
  <si>
    <t xml:space="preserve">2007-07-20</t>
  </si>
  <si>
    <t xml:space="preserve">陳彥安</t>
  </si>
  <si>
    <t xml:space="preserve">苗栗縣私立大和美語技藝短期補習班</t>
  </si>
  <si>
    <r>
      <rPr>
        <sz val="10"/>
        <color rgb="FF1F2A28"/>
        <rFont val="WenQuanYi Zen Hei"/>
        <family val="2"/>
      </rPr>
      <t xml:space="preserve">苗栗縣後龍鎮大庄里</t>
    </r>
    <r>
      <rPr>
        <sz val="10"/>
        <color rgb="FF1F2A28"/>
        <rFont val="Arial"/>
        <family val="0"/>
        <charset val="1"/>
      </rPr>
      <t xml:space="preserve">18</t>
    </r>
    <r>
      <rPr>
        <sz val="10"/>
        <color rgb="FF1F2A28"/>
        <rFont val="WenQuanYi Zen Hei"/>
        <family val="2"/>
      </rPr>
      <t xml:space="preserve">鄰中山路</t>
    </r>
    <r>
      <rPr>
        <sz val="10"/>
        <color rgb="FF1F2A28"/>
        <rFont val="Arial"/>
        <family val="0"/>
        <charset val="1"/>
      </rPr>
      <t xml:space="preserve">196</t>
    </r>
    <r>
      <rPr>
        <sz val="10"/>
        <color rgb="FF1F2A28"/>
        <rFont val="WenQuanYi Zen Hei"/>
        <family val="2"/>
      </rPr>
      <t xml:space="preserve">號</t>
    </r>
    <r>
      <rPr>
        <sz val="10"/>
        <color rgb="FF1F2A28"/>
        <rFont val="Arial"/>
        <family val="0"/>
        <charset val="1"/>
      </rPr>
      <t xml:space="preserve">1F</t>
    </r>
  </si>
  <si>
    <t xml:space="preserve">(037)732229</t>
  </si>
  <si>
    <t xml:space="preserve">axaken16@yahoo.com.tw</t>
  </si>
  <si>
    <t xml:space="preserve">2009-03-05</t>
  </si>
  <si>
    <t xml:space="preserve">呂宥萱</t>
  </si>
  <si>
    <t xml:space="preserve">苗栗縣私立大樹美語技藝短期補習班</t>
  </si>
  <si>
    <r>
      <rPr>
        <sz val="10"/>
        <color rgb="FF1F2A28"/>
        <rFont val="WenQuanYi Zen Hei"/>
        <family val="2"/>
      </rPr>
      <t xml:space="preserve">苗栗縣苑裡鎮客庄里信義路</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</si>
  <si>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(037)856101</t>
  </si>
  <si>
    <t xml:space="preserve">toptree.school@gmail.com</t>
  </si>
  <si>
    <t xml:space="preserve">2005-04-11</t>
  </si>
  <si>
    <t xml:space="preserve">胡清琳</t>
  </si>
  <si>
    <t xml:space="preserve">苗栗縣私立大聖美語技藝短期補習班</t>
  </si>
  <si>
    <r>
      <rPr>
        <sz val="10"/>
        <color rgb="FF1F2A28"/>
        <rFont val="WenQuanYi Zen Hei"/>
        <family val="2"/>
      </rPr>
      <t xml:space="preserve">苗栗縣竹南鎮大厝里</t>
    </r>
    <r>
      <rPr>
        <sz val="10"/>
        <color rgb="FF1F2A28"/>
        <rFont val="Arial"/>
        <family val="0"/>
        <charset val="1"/>
      </rPr>
      <t xml:space="preserve">17</t>
    </r>
    <r>
      <rPr>
        <sz val="10"/>
        <color rgb="FF1F2A28"/>
        <rFont val="WenQuanYi Zen Hei"/>
        <family val="2"/>
      </rPr>
      <t xml:space="preserve">鄰環市路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293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</si>
  <si>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(037)551717</t>
  </si>
  <si>
    <t xml:space="preserve">janetwang0923@gmail.com</t>
  </si>
  <si>
    <t xml:space="preserve">2003-06-24</t>
  </si>
  <si>
    <t xml:space="preserve">陳坤麟</t>
  </si>
  <si>
    <t xml:space="preserve">苗栗縣私立學儒文理短期補習班</t>
  </si>
  <si>
    <r>
      <rPr>
        <sz val="10"/>
        <color rgb="FF1F2A28"/>
        <rFont val="WenQuanYi Zen Hei"/>
        <family val="2"/>
      </rPr>
      <t xml:space="preserve">苗栗縣通霄鎮通東里</t>
    </r>
    <r>
      <rPr>
        <sz val="10"/>
        <color rgb="FF1F2A28"/>
        <rFont val="Arial"/>
        <family val="0"/>
        <charset val="1"/>
      </rPr>
      <t xml:space="preserve">1</t>
    </r>
    <r>
      <rPr>
        <sz val="10"/>
        <color rgb="FF1F2A28"/>
        <rFont val="WenQuanYi Zen Hei"/>
        <family val="2"/>
      </rPr>
      <t xml:space="preserve">鄰中正路</t>
    </r>
    <r>
      <rPr>
        <sz val="10"/>
        <color rgb="FF1F2A28"/>
        <rFont val="Arial"/>
        <family val="0"/>
        <charset val="1"/>
      </rPr>
      <t xml:space="preserve">3-4</t>
    </r>
    <r>
      <rPr>
        <sz val="10"/>
        <color rgb="FF1F2A28"/>
        <rFont val="WenQuanYi Zen Hei"/>
        <family val="2"/>
      </rPr>
      <t xml:space="preserve">號</t>
    </r>
  </si>
  <si>
    <t xml:space="preserve">037759515</t>
  </si>
  <si>
    <t xml:space="preserve">莊競文</t>
  </si>
  <si>
    <t xml:space="preserve">苗栗縣私立學立美語珠心算技藝短期補習班</t>
  </si>
  <si>
    <r>
      <rPr>
        <sz val="10"/>
        <color rgb="FF1F2A28"/>
        <rFont val="WenQuanYi Zen Hei"/>
        <family val="2"/>
      </rPr>
      <t xml:space="preserve">苗栗縣苗栗市維新里</t>
    </r>
    <r>
      <rPr>
        <sz val="10"/>
        <color rgb="FF1F2A28"/>
        <rFont val="Arial"/>
        <family val="0"/>
        <charset val="1"/>
      </rPr>
      <t xml:space="preserve">8</t>
    </r>
    <r>
      <rPr>
        <sz val="10"/>
        <color rgb="FF1F2A28"/>
        <rFont val="WenQuanYi Zen Hei"/>
        <family val="2"/>
      </rPr>
      <t xml:space="preserve">鄰新庄街</t>
    </r>
    <r>
      <rPr>
        <sz val="10"/>
        <color rgb="FF1F2A28"/>
        <rFont val="Arial"/>
        <family val="0"/>
        <charset val="1"/>
      </rPr>
      <t xml:space="preserve">92</t>
    </r>
    <r>
      <rPr>
        <sz val="10"/>
        <color rgb="FF1F2A28"/>
        <rFont val="WenQuanYi Zen Hei"/>
        <family val="2"/>
      </rPr>
      <t xml:space="preserve">巷</t>
    </r>
    <r>
      <rPr>
        <sz val="10"/>
        <color rgb="FF1F2A28"/>
        <rFont val="Arial"/>
        <family val="0"/>
        <charset val="1"/>
      </rPr>
      <t xml:space="preserve">54</t>
    </r>
    <r>
      <rPr>
        <sz val="10"/>
        <color rgb="FF1F2A28"/>
        <rFont val="WenQuanYi Zen Hei"/>
        <family val="2"/>
      </rPr>
      <t xml:space="preserve">號</t>
    </r>
  </si>
  <si>
    <t xml:space="preserve">(037)326876</t>
  </si>
  <si>
    <t xml:space="preserve">jean326876@gmail.com</t>
  </si>
  <si>
    <t xml:space="preserve">2012-04-20</t>
  </si>
  <si>
    <t xml:space="preserve">賴純貞</t>
  </si>
  <si>
    <t xml:space="preserve">苗栗縣私立家偉文理短期補習班</t>
  </si>
  <si>
    <r>
      <rPr>
        <sz val="10"/>
        <color rgb="FF1F2A28"/>
        <rFont val="WenQuanYi Zen Hei"/>
        <family val="2"/>
      </rPr>
      <t xml:space="preserve">苗栗縣頭份市建國路</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62</t>
    </r>
    <r>
      <rPr>
        <sz val="10"/>
        <color rgb="FF1F2A28"/>
        <rFont val="WenQuanYi Zen Hei"/>
        <family val="2"/>
      </rPr>
      <t xml:space="preserve">號</t>
    </r>
  </si>
  <si>
    <t xml:space="preserve">037- 682000</t>
  </si>
  <si>
    <t xml:space="preserve">kerrylee626@gmail.com</t>
  </si>
  <si>
    <t xml:space="preserve">2014-06-09</t>
  </si>
  <si>
    <t xml:space="preserve">徐先蓬</t>
  </si>
  <si>
    <t xml:space="preserve">苗栗縣私立小天使美語珠心算技藝短期補習班</t>
  </si>
  <si>
    <r>
      <rPr>
        <sz val="10"/>
        <color rgb="FF1F2A28"/>
        <rFont val="WenQuanYi Zen Hei"/>
        <family val="2"/>
      </rPr>
      <t xml:space="preserve">苗栗縣三義鄉廣盛村復興路</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1-2F</t>
    </r>
  </si>
  <si>
    <t xml:space="preserve">(037)876457</t>
  </si>
  <si>
    <t xml:space="preserve">pvivian7@yahoo.com.tw</t>
  </si>
  <si>
    <t xml:space="preserve">謝宇涵</t>
  </si>
  <si>
    <t xml:space="preserve">吳怡慧</t>
  </si>
  <si>
    <t xml:space="preserve">苗栗縣私立小太陽文理短期補習班</t>
  </si>
  <si>
    <r>
      <rPr>
        <sz val="10"/>
        <color rgb="FF1F2A28"/>
        <rFont val="WenQuanYi Zen Hei"/>
        <family val="2"/>
      </rPr>
      <t xml:space="preserve">苗栗縣公館鄉館東村</t>
    </r>
    <r>
      <rPr>
        <sz val="10"/>
        <color rgb="FF1F2A28"/>
        <rFont val="Arial"/>
        <family val="0"/>
        <charset val="1"/>
      </rPr>
      <t xml:space="preserve">6</t>
    </r>
    <r>
      <rPr>
        <sz val="10"/>
        <color rgb="FF1F2A28"/>
        <rFont val="WenQuanYi Zen Hei"/>
        <family val="2"/>
      </rPr>
      <t xml:space="preserve">鄰館東</t>
    </r>
    <r>
      <rPr>
        <sz val="10"/>
        <color rgb="FF1F2A28"/>
        <rFont val="Arial"/>
        <family val="0"/>
        <charset val="1"/>
      </rPr>
      <t xml:space="preserve">93-8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</si>
  <si>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037-236566</t>
  </si>
  <si>
    <t xml:space="preserve">12pillar@gmail.com</t>
  </si>
  <si>
    <t xml:space="preserve">2013-04-25</t>
  </si>
  <si>
    <t xml:space="preserve">杜貞儀</t>
  </si>
  <si>
    <t xml:space="preserve">林世章</t>
  </si>
  <si>
    <t xml:space="preserve">苗栗縣私立小荳荳文理技藝短期補習班</t>
  </si>
  <si>
    <r>
      <rPr>
        <sz val="10"/>
        <color rgb="FF1F2A28"/>
        <rFont val="WenQuanYi Zen Hei"/>
        <family val="2"/>
      </rPr>
      <t xml:space="preserve">苗栗縣頭份市尖下里尖豐路</t>
    </r>
    <r>
      <rPr>
        <sz val="10"/>
        <color rgb="FF1F2A28"/>
        <rFont val="Arial"/>
        <family val="0"/>
        <charset val="1"/>
      </rPr>
      <t xml:space="preserve">370</t>
    </r>
    <r>
      <rPr>
        <sz val="10"/>
        <color rgb="FF1F2A28"/>
        <rFont val="WenQuanYi Zen Hei"/>
        <family val="2"/>
      </rPr>
      <t xml:space="preserve">巷</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1F</t>
    </r>
  </si>
  <si>
    <t xml:space="preserve">(037)621061</t>
  </si>
  <si>
    <t xml:space="preserve">t621061@gmail.com</t>
  </si>
  <si>
    <t xml:space="preserve">畢慧翠</t>
  </si>
  <si>
    <t xml:space="preserve">苗栗縣私立布拉格美語心算技藝短期補習班</t>
  </si>
  <si>
    <r>
      <rPr>
        <sz val="10"/>
        <color rgb="FF1F2A28"/>
        <rFont val="WenQuanYi Zen Hei"/>
        <family val="2"/>
      </rPr>
      <t xml:space="preserve">苗栗縣竹南鎮營盤里</t>
    </r>
    <r>
      <rPr>
        <sz val="10"/>
        <color rgb="FF1F2A28"/>
        <rFont val="Arial"/>
        <family val="0"/>
        <charset val="1"/>
      </rPr>
      <t xml:space="preserve">8</t>
    </r>
    <r>
      <rPr>
        <sz val="10"/>
        <color rgb="FF1F2A28"/>
        <rFont val="WenQuanYi Zen Hei"/>
        <family val="2"/>
      </rPr>
      <t xml:space="preserve">鄰忠義街</t>
    </r>
    <r>
      <rPr>
        <sz val="10"/>
        <color rgb="FF1F2A28"/>
        <rFont val="Arial"/>
        <family val="0"/>
        <charset val="1"/>
      </rPr>
      <t xml:space="preserve">34</t>
    </r>
    <r>
      <rPr>
        <sz val="10"/>
        <color rgb="FF1F2A28"/>
        <rFont val="WenQuanYi Zen Hei"/>
        <family val="2"/>
      </rPr>
      <t xml:space="preserve">號</t>
    </r>
    <r>
      <rPr>
        <sz val="10"/>
        <color rgb="FF1F2A28"/>
        <rFont val="Arial"/>
        <family val="0"/>
        <charset val="1"/>
      </rPr>
      <t xml:space="preserve">1-4F</t>
    </r>
  </si>
  <si>
    <t xml:space="preserve">0953552696</t>
  </si>
  <si>
    <t xml:space="preserve">2010-04-29</t>
  </si>
  <si>
    <t xml:space="preserve">林致佑</t>
  </si>
  <si>
    <t xml:space="preserve">苗栗縣私立幸福種籽文理短期補習班</t>
  </si>
  <si>
    <r>
      <rPr>
        <sz val="10"/>
        <color rgb="FF1F2A28"/>
        <rFont val="WenQuanYi Zen Hei"/>
        <family val="2"/>
      </rPr>
      <t xml:space="preserve">苗栗縣苗栗市上苗里長安街</t>
    </r>
    <r>
      <rPr>
        <sz val="10"/>
        <color rgb="FF1F2A28"/>
        <rFont val="Arial"/>
        <family val="0"/>
        <charset val="1"/>
      </rPr>
      <t xml:space="preserve">101</t>
    </r>
    <r>
      <rPr>
        <sz val="10"/>
        <color rgb="FF1F2A28"/>
        <rFont val="WenQuanYi Zen Hei"/>
        <family val="2"/>
      </rPr>
      <t xml:space="preserve">號</t>
    </r>
    <r>
      <rPr>
        <sz val="10"/>
        <color rgb="FF1F2A28"/>
        <rFont val="Arial"/>
        <family val="0"/>
        <charset val="1"/>
      </rPr>
      <t xml:space="preserve">1-3F</t>
    </r>
  </si>
  <si>
    <t xml:space="preserve">(037)268500</t>
  </si>
  <si>
    <t xml:space="preserve">hugo88886@gmail.com</t>
  </si>
  <si>
    <t xml:space="preserve">2008-01-10</t>
  </si>
  <si>
    <t xml:space="preserve">徐芯蕙</t>
  </si>
  <si>
    <t xml:space="preserve">苗栗縣私立徐老師文理短期補習班</t>
  </si>
  <si>
    <r>
      <rPr>
        <sz val="10"/>
        <color rgb="FF1F2A28"/>
        <rFont val="WenQuanYi Zen Hei"/>
        <family val="2"/>
      </rPr>
      <t xml:space="preserve">苗栗縣苗栗市玉清里</t>
    </r>
    <r>
      <rPr>
        <sz val="10"/>
        <color rgb="FF1F2A28"/>
        <rFont val="Arial"/>
        <family val="0"/>
        <charset val="1"/>
      </rPr>
      <t xml:space="preserve">13</t>
    </r>
    <r>
      <rPr>
        <sz val="10"/>
        <color rgb="FF1F2A28"/>
        <rFont val="WenQuanYi Zen Hei"/>
        <family val="2"/>
      </rPr>
      <t xml:space="preserve">鄰育英街</t>
    </r>
    <r>
      <rPr>
        <sz val="10"/>
        <color rgb="FF1F2A28"/>
        <rFont val="Arial"/>
        <family val="0"/>
        <charset val="1"/>
      </rPr>
      <t xml:space="preserve">70-1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</si>
  <si>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(037)274801</t>
  </si>
  <si>
    <t xml:space="preserve">lilyhsu16@hotmail.com</t>
  </si>
  <si>
    <t xml:space="preserve">2004-11-20</t>
  </si>
  <si>
    <t xml:space="preserve">徐麗雯</t>
  </si>
  <si>
    <t xml:space="preserve">苗栗縣私立快樂屋美語技藝短期補習班</t>
  </si>
  <si>
    <r>
      <rPr>
        <sz val="10"/>
        <color rgb="FF1F2A28"/>
        <rFont val="WenQuanYi Zen Hei"/>
        <family val="2"/>
      </rPr>
      <t xml:space="preserve">苗栗縣苗栗市清華里</t>
    </r>
    <r>
      <rPr>
        <sz val="10"/>
        <color rgb="FF1F2A28"/>
        <rFont val="Arial"/>
        <family val="0"/>
        <charset val="1"/>
      </rPr>
      <t xml:space="preserve">2</t>
    </r>
    <r>
      <rPr>
        <sz val="10"/>
        <color rgb="FF1F2A28"/>
        <rFont val="WenQuanYi Zen Hei"/>
        <family val="2"/>
      </rPr>
      <t xml:space="preserve">鄰豐年路</t>
    </r>
    <r>
      <rPr>
        <sz val="10"/>
        <color rgb="FF1F2A28"/>
        <rFont val="Arial"/>
        <family val="0"/>
        <charset val="1"/>
      </rPr>
      <t xml:space="preserve">29</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</si>
  <si>
    <t xml:space="preserve">037-273023</t>
  </si>
  <si>
    <t xml:space="preserve">蔡曉燕</t>
  </si>
  <si>
    <t xml:space="preserve">苗栗縣私立快樂窩文理短期補習班</t>
  </si>
  <si>
    <r>
      <rPr>
        <sz val="10"/>
        <color rgb="FF1F2A28"/>
        <rFont val="WenQuanYi Zen Hei"/>
        <family val="2"/>
      </rPr>
      <t xml:space="preserve">苗栗縣竹南鎮中港里</t>
    </r>
    <r>
      <rPr>
        <sz val="10"/>
        <color rgb="FF1F2A28"/>
        <rFont val="Arial"/>
        <family val="0"/>
        <charset val="1"/>
      </rPr>
      <t xml:space="preserve">15</t>
    </r>
    <r>
      <rPr>
        <sz val="10"/>
        <color rgb="FF1F2A28"/>
        <rFont val="WenQuanYi Zen Hei"/>
        <family val="2"/>
      </rPr>
      <t xml:space="preserve">鄰新生路</t>
    </r>
    <r>
      <rPr>
        <sz val="10"/>
        <color rgb="FF1F2A28"/>
        <rFont val="Arial"/>
        <family val="0"/>
        <charset val="1"/>
      </rPr>
      <t xml:space="preserve">106</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弄</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1F</t>
    </r>
  </si>
  <si>
    <t xml:space="preserve">0930968489/037481182</t>
  </si>
  <si>
    <t xml:space="preserve">rooyee16888@gmail.com</t>
  </si>
  <si>
    <t xml:space="preserve">陳羿蓉</t>
  </si>
  <si>
    <t xml:space="preserve">苗栗縣私立愛丁堡美語技藝短期補習班</t>
  </si>
  <si>
    <r>
      <rPr>
        <sz val="10"/>
        <color rgb="FF1F2A28"/>
        <rFont val="WenQuanYi Zen Hei"/>
        <family val="2"/>
      </rPr>
      <t xml:space="preserve">苗栗縣三義鄉廣盛村</t>
    </r>
    <r>
      <rPr>
        <sz val="10"/>
        <color rgb="FF1F2A28"/>
        <rFont val="Arial"/>
        <family val="0"/>
        <charset val="1"/>
      </rPr>
      <t xml:space="preserve">37</t>
    </r>
    <r>
      <rPr>
        <sz val="10"/>
        <color rgb="FF1F2A28"/>
        <rFont val="WenQuanYi Zen Hei"/>
        <family val="2"/>
      </rPr>
      <t xml:space="preserve">鄰廣聲新城</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1F</t>
    </r>
  </si>
  <si>
    <t xml:space="preserve">(037)875177</t>
  </si>
  <si>
    <t xml:space="preserve">2006-09-27</t>
  </si>
  <si>
    <t xml:space="preserve">林俊禮</t>
  </si>
  <si>
    <t xml:space="preserve">苗栗縣私立愛力兒文理短期補習班</t>
  </si>
  <si>
    <r>
      <rPr>
        <sz val="10"/>
        <color rgb="FF1F2A28"/>
        <rFont val="WenQuanYi Zen Hei"/>
        <family val="2"/>
      </rPr>
      <t xml:space="preserve">苗栗縣後龍鎮大庄里成功路</t>
    </r>
    <r>
      <rPr>
        <sz val="10"/>
        <color rgb="FF1F2A28"/>
        <rFont val="Arial"/>
        <family val="0"/>
        <charset val="1"/>
      </rPr>
      <t xml:space="preserve">266</t>
    </r>
    <r>
      <rPr>
        <sz val="10"/>
        <color rgb="FF1F2A28"/>
        <rFont val="WenQuanYi Zen Hei"/>
        <family val="2"/>
      </rPr>
      <t xml:space="preserve">號</t>
    </r>
    <r>
      <rPr>
        <sz val="10"/>
        <color rgb="FF1F2A28"/>
        <rFont val="Arial"/>
        <family val="0"/>
        <charset val="1"/>
      </rPr>
      <t xml:space="preserve">1-2F</t>
    </r>
  </si>
  <si>
    <t xml:space="preserve">037-731676</t>
  </si>
  <si>
    <t xml:space="preserve">kellyjuang@yahoo.com.tw</t>
  </si>
  <si>
    <t xml:space="preserve">1999-07-20</t>
  </si>
  <si>
    <t xml:space="preserve">莊連瑋</t>
  </si>
  <si>
    <t xml:space="preserve">苗栗縣私立愛尼爾文理短期補習班</t>
  </si>
  <si>
    <r>
      <rPr>
        <sz val="10"/>
        <color rgb="FF1F2A28"/>
        <rFont val="WenQuanYi Zen Hei"/>
        <family val="2"/>
      </rPr>
      <t xml:space="preserve">苗栗縣大湖鄉大湖村中山路</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1-2F</t>
    </r>
  </si>
  <si>
    <t xml:space="preserve">0933172129</t>
  </si>
  <si>
    <t xml:space="preserve">劉秀生</t>
  </si>
  <si>
    <t xml:space="preserve">苗栗縣私立愛彌兒美語技藝短期補習班</t>
  </si>
  <si>
    <r>
      <rPr>
        <sz val="10"/>
        <color rgb="FF1F2A28"/>
        <rFont val="WenQuanYi Zen Hei"/>
        <family val="2"/>
      </rPr>
      <t xml:space="preserve">苗栗縣苗栗市北苗里</t>
    </r>
    <r>
      <rPr>
        <sz val="10"/>
        <color rgb="FF1F2A28"/>
        <rFont val="Arial"/>
        <family val="0"/>
        <charset val="1"/>
      </rPr>
      <t xml:space="preserve">19</t>
    </r>
    <r>
      <rPr>
        <sz val="10"/>
        <color rgb="FF1F2A28"/>
        <rFont val="WenQuanYi Zen Hei"/>
        <family val="2"/>
      </rPr>
      <t xml:space="preserve">鄰香格</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1F</t>
    </r>
  </si>
  <si>
    <t xml:space="preserve">(037)321216</t>
  </si>
  <si>
    <t xml:space="preserve">2013-05-17</t>
  </si>
  <si>
    <t xml:space="preserve">王睽雲</t>
  </si>
  <si>
    <t xml:space="preserve">徐于涵</t>
  </si>
  <si>
    <t xml:space="preserve">苗栗縣私立愛瑞卡美語技藝短期補習班</t>
  </si>
  <si>
    <r>
      <rPr>
        <sz val="10"/>
        <color rgb="FF1F2A28"/>
        <rFont val="WenQuanYi Zen Hei"/>
        <family val="2"/>
      </rPr>
      <t xml:space="preserve">苗栗縣頭份市忠孝里</t>
    </r>
    <r>
      <rPr>
        <sz val="10"/>
        <color rgb="FF1F2A28"/>
        <rFont val="Arial"/>
        <family val="0"/>
        <charset val="1"/>
      </rPr>
      <t xml:space="preserve">8</t>
    </r>
    <r>
      <rPr>
        <sz val="10"/>
        <color rgb="FF1F2A28"/>
        <rFont val="WenQuanYi Zen Hei"/>
        <family val="2"/>
      </rPr>
      <t xml:space="preserve">鄰信東路</t>
    </r>
    <r>
      <rPr>
        <sz val="10"/>
        <color rgb="FF1F2A28"/>
        <rFont val="Arial"/>
        <family val="0"/>
        <charset val="1"/>
      </rPr>
      <t xml:space="preserve">272</t>
    </r>
    <r>
      <rPr>
        <sz val="10"/>
        <color rgb="FF1F2A28"/>
        <rFont val="WenQuanYi Zen Hei"/>
        <family val="2"/>
      </rPr>
      <t xml:space="preserve">號</t>
    </r>
    <r>
      <rPr>
        <sz val="10"/>
        <color rgb="FF1F2A28"/>
        <rFont val="Arial"/>
        <family val="0"/>
        <charset val="1"/>
      </rPr>
      <t xml:space="preserve">1F</t>
    </r>
  </si>
  <si>
    <t xml:space="preserve">0935-226667</t>
  </si>
  <si>
    <t xml:space="preserve">林沂慧</t>
  </si>
  <si>
    <t xml:space="preserve">林奕含</t>
  </si>
  <si>
    <r>
      <rPr>
        <sz val="10"/>
        <color rgb="FF1F2A28"/>
        <rFont val="WenQuanYi Zen Hei"/>
        <family val="2"/>
      </rPr>
      <t xml:space="preserve">苗栗縣私立救國團團委會附設語文技藝短期補習班</t>
    </r>
    <r>
      <rPr>
        <sz val="10"/>
        <color rgb="FF1F2A28"/>
        <rFont val="Arial"/>
        <family val="0"/>
        <charset val="1"/>
      </rPr>
      <t xml:space="preserve">(</t>
    </r>
    <r>
      <rPr>
        <sz val="10"/>
        <color rgb="FF1F2A28"/>
        <rFont val="WenQuanYi Zen Hei"/>
        <family val="2"/>
      </rPr>
      <t xml:space="preserve">頭份班</t>
    </r>
    <r>
      <rPr>
        <sz val="10"/>
        <color rgb="FF1F2A28"/>
        <rFont val="Arial"/>
        <family val="0"/>
        <charset val="1"/>
      </rPr>
      <t xml:space="preserve">)</t>
    </r>
  </si>
  <si>
    <r>
      <rPr>
        <sz val="10"/>
        <color rgb="FF1F2A28"/>
        <rFont val="WenQuanYi Zen Hei"/>
        <family val="2"/>
      </rPr>
      <t xml:space="preserve">苗栗縣頭份市中華路</t>
    </r>
    <r>
      <rPr>
        <sz val="10"/>
        <color rgb="FF1F2A28"/>
        <rFont val="Arial"/>
        <family val="0"/>
        <charset val="1"/>
      </rPr>
      <t xml:space="preserve">1192</t>
    </r>
    <r>
      <rPr>
        <sz val="10"/>
        <color rgb="FF1F2A28"/>
        <rFont val="WenQuanYi Zen Hei"/>
        <family val="2"/>
      </rPr>
      <t xml:space="preserve">號</t>
    </r>
    <r>
      <rPr>
        <sz val="10"/>
        <color rgb="FF1F2A28"/>
        <rFont val="Arial"/>
        <family val="0"/>
        <charset val="1"/>
      </rPr>
      <t xml:space="preserve">5F</t>
    </r>
  </si>
  <si>
    <t xml:space="preserve">(037)695134</t>
  </si>
  <si>
    <t xml:space="preserve">英語會話班</t>
  </si>
  <si>
    <t xml:space="preserve">2008-07-15</t>
  </si>
  <si>
    <t xml:space="preserve">羅慧珠</t>
  </si>
  <si>
    <t xml:space="preserve">苗栗縣私立文喬文理短期補習班</t>
  </si>
  <si>
    <r>
      <rPr>
        <sz val="10"/>
        <color rgb="FF1F2A28"/>
        <rFont val="WenQuanYi Zen Hei"/>
        <family val="2"/>
      </rPr>
      <t xml:space="preserve">苗栗縣頭份市建國路</t>
    </r>
    <r>
      <rPr>
        <sz val="10"/>
        <color rgb="FF1F2A28"/>
        <rFont val="Arial"/>
        <family val="0"/>
        <charset val="1"/>
      </rPr>
      <t xml:space="preserve">96</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</si>
  <si>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037-591682</t>
  </si>
  <si>
    <t xml:space="preserve">anguswoo805@gmail.com</t>
  </si>
  <si>
    <t xml:space="preserve">英文檢定、美語、英文</t>
  </si>
  <si>
    <t xml:space="preserve">1999-01-26</t>
  </si>
  <si>
    <t xml:space="preserve">吳曉明</t>
  </si>
  <si>
    <t xml:space="preserve">傅健君</t>
  </si>
  <si>
    <t xml:space="preserve">苗栗縣私立新潮文理短期補習班</t>
  </si>
  <si>
    <r>
      <rPr>
        <sz val="10"/>
        <color rgb="FF1F2A28"/>
        <rFont val="WenQuanYi Zen Hei"/>
        <family val="2"/>
      </rPr>
      <t xml:space="preserve">苗栗縣竹南鎮營盤里</t>
    </r>
    <r>
      <rPr>
        <sz val="10"/>
        <color rgb="FF1F2A28"/>
        <rFont val="Arial"/>
        <family val="0"/>
        <charset val="1"/>
      </rPr>
      <t xml:space="preserve">22</t>
    </r>
    <r>
      <rPr>
        <sz val="10"/>
        <color rgb="FF1F2A28"/>
        <rFont val="WenQuanYi Zen Hei"/>
        <family val="2"/>
      </rPr>
      <t xml:space="preserve">鄰博愛街</t>
    </r>
    <r>
      <rPr>
        <sz val="10"/>
        <color rgb="FF1F2A28"/>
        <rFont val="Arial"/>
        <family val="0"/>
        <charset val="1"/>
      </rPr>
      <t xml:space="preserve">301</t>
    </r>
    <r>
      <rPr>
        <sz val="10"/>
        <color rgb="FF1F2A28"/>
        <rFont val="WenQuanYi Zen Hei"/>
        <family val="2"/>
      </rPr>
      <t xml:space="preserve">號</t>
    </r>
    <r>
      <rPr>
        <sz val="10"/>
        <color rgb="FF1F2A28"/>
        <rFont val="Arial"/>
        <family val="0"/>
        <charset val="1"/>
      </rPr>
      <t xml:space="preserve">3F</t>
    </r>
    <r>
      <rPr>
        <sz val="10"/>
        <color rgb="FF1F2A28"/>
        <rFont val="WenQuanYi Zen Hei"/>
        <family val="2"/>
      </rPr>
      <t xml:space="preserve">；苗栗縣竹南鎮營盤里</t>
    </r>
    <r>
      <rPr>
        <sz val="10"/>
        <color rgb="FF1F2A28"/>
        <rFont val="Arial"/>
        <family val="0"/>
        <charset val="1"/>
      </rPr>
      <t xml:space="preserve">22</t>
    </r>
    <r>
      <rPr>
        <sz val="10"/>
        <color rgb="FF1F2A28"/>
        <rFont val="WenQuanYi Zen Hei"/>
        <family val="2"/>
      </rPr>
      <t xml:space="preserve">鄰博愛街</t>
    </r>
    <r>
      <rPr>
        <sz val="10"/>
        <color rgb="FF1F2A28"/>
        <rFont val="Arial"/>
        <family val="0"/>
        <charset val="1"/>
      </rPr>
      <t xml:space="preserve">341</t>
    </r>
    <r>
      <rPr>
        <sz val="10"/>
        <color rgb="FF1F2A28"/>
        <rFont val="WenQuanYi Zen Hei"/>
        <family val="2"/>
      </rPr>
      <t xml:space="preserve">號</t>
    </r>
    <r>
      <rPr>
        <sz val="10"/>
        <color rgb="FF1F2A28"/>
        <rFont val="Arial"/>
        <family val="0"/>
        <charset val="1"/>
      </rPr>
      <t xml:space="preserve">4F</t>
    </r>
  </si>
  <si>
    <t xml:space="preserve">037-461422</t>
  </si>
  <si>
    <t xml:space="preserve">melon567@yahoo.com.tw</t>
  </si>
  <si>
    <t xml:space="preserve">2014-05-27</t>
  </si>
  <si>
    <t xml:space="preserve">郭思慈</t>
  </si>
  <si>
    <t xml:space="preserve">張毓芸</t>
  </si>
  <si>
    <t xml:space="preserve">苗栗縣私立時宇文理短期補習班</t>
  </si>
  <si>
    <r>
      <rPr>
        <sz val="10"/>
        <color rgb="FF1F2A28"/>
        <rFont val="WenQuanYi Zen Hei"/>
        <family val="2"/>
      </rPr>
      <t xml:space="preserve">苗栗縣頭份市合作街</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合作街</t>
    </r>
    <r>
      <rPr>
        <sz val="10"/>
        <color rgb="FF1F2A28"/>
        <rFont val="Arial"/>
        <family val="0"/>
        <charset val="1"/>
      </rPr>
      <t xml:space="preserve">29</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</si>
  <si>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(037)593011</t>
  </si>
  <si>
    <t xml:space="preserve">jianguo.ml@eagletw.com</t>
  </si>
  <si>
    <t xml:space="preserve">2008-05-31</t>
  </si>
  <si>
    <t xml:space="preserve">陳昌儒</t>
  </si>
  <si>
    <t xml:space="preserve">張詩宇</t>
  </si>
  <si>
    <t xml:space="preserve">苗栗縣私立杜威文教機構文理短期補習班</t>
  </si>
  <si>
    <r>
      <rPr>
        <sz val="10"/>
        <color rgb="FF1F2A28"/>
        <rFont val="WenQuanYi Zen Hei"/>
        <family val="2"/>
      </rPr>
      <t xml:space="preserve">苗栗縣頭份市永貞路二段</t>
    </r>
    <r>
      <rPr>
        <sz val="10"/>
        <color rgb="FF1F2A28"/>
        <rFont val="Arial"/>
        <family val="0"/>
        <charset val="1"/>
      </rPr>
      <t xml:space="preserve">310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</si>
  <si>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(037)626425</t>
  </si>
  <si>
    <t xml:space="preserve">jacky611380@hotmail.com</t>
  </si>
  <si>
    <t xml:space="preserve">2019-07-26</t>
  </si>
  <si>
    <t xml:space="preserve">鍾宏明</t>
  </si>
  <si>
    <t xml:space="preserve">羅致迎</t>
  </si>
  <si>
    <t xml:space="preserve">苗栗縣私立林淑娟語文技藝短期補習班</t>
  </si>
  <si>
    <r>
      <rPr>
        <sz val="10"/>
        <color rgb="FF1F2A28"/>
        <rFont val="WenQuanYi Zen Hei"/>
        <family val="2"/>
      </rPr>
      <t xml:space="preserve">苗栗縣竹南鎮忠義街</t>
    </r>
    <r>
      <rPr>
        <sz val="10"/>
        <color rgb="FF1F2A28"/>
        <rFont val="Arial"/>
        <family val="0"/>
        <charset val="1"/>
      </rPr>
      <t xml:space="preserve">99</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</si>
  <si>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037-471669</t>
  </si>
  <si>
    <t xml:space="preserve">Wellyoungkids0411@gmail.com</t>
  </si>
  <si>
    <r>
      <rPr>
        <sz val="10"/>
        <color rgb="FF1F2A28"/>
        <rFont val="WenQuanYi Zen Hei"/>
        <family val="2"/>
      </rPr>
      <t xml:space="preserve">美語、幼兒美語</t>
    </r>
    <r>
      <rPr>
        <sz val="10"/>
        <color rgb="FF1F2A28"/>
        <rFont val="Arial"/>
        <family val="0"/>
        <charset val="1"/>
      </rPr>
      <t xml:space="preserve">-</t>
    </r>
    <r>
      <rPr>
        <sz val="10"/>
        <color rgb="FF1F2A28"/>
        <rFont val="WenQuanYi Zen Hei"/>
        <family val="2"/>
      </rPr>
      <t xml:space="preserve">需家長陪同學習</t>
    </r>
  </si>
  <si>
    <t xml:space="preserve">2011-11-07</t>
  </si>
  <si>
    <t xml:space="preserve">林淑娟</t>
  </si>
  <si>
    <t xml:space="preserve">鍾得水</t>
  </si>
  <si>
    <t xml:space="preserve">苗栗縣私立楊明哲璦美語聯盟文理短期補習班</t>
  </si>
  <si>
    <r>
      <rPr>
        <sz val="10"/>
        <color rgb="FF1F2A28"/>
        <rFont val="WenQuanYi Zen Hei"/>
        <family val="2"/>
      </rPr>
      <t xml:space="preserve">苗栗縣苗栗市建功里</t>
    </r>
    <r>
      <rPr>
        <sz val="10"/>
        <color rgb="FF1F2A28"/>
        <rFont val="Arial"/>
        <family val="0"/>
        <charset val="1"/>
      </rPr>
      <t xml:space="preserve">33</t>
    </r>
    <r>
      <rPr>
        <sz val="10"/>
        <color rgb="FF1F2A28"/>
        <rFont val="WenQuanYi Zen Hei"/>
        <family val="2"/>
      </rPr>
      <t xml:space="preserve">鄰大埔街</t>
    </r>
    <r>
      <rPr>
        <sz val="10"/>
        <color rgb="FF1F2A28"/>
        <rFont val="Arial"/>
        <family val="0"/>
        <charset val="1"/>
      </rPr>
      <t xml:space="preserve">43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</si>
  <si>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0937475757</t>
  </si>
  <si>
    <t xml:space="preserve">jamesyangabc@gmail.com</t>
  </si>
  <si>
    <t xml:space="preserve">2021-10-27</t>
  </si>
  <si>
    <t xml:space="preserve">楊明哲</t>
  </si>
  <si>
    <t xml:space="preserve">苗栗縣私立波力美語文理短期補習班</t>
  </si>
  <si>
    <r>
      <rPr>
        <sz val="10"/>
        <color rgb="FF1F2A28"/>
        <rFont val="WenQuanYi Zen Hei"/>
        <family val="2"/>
      </rPr>
      <t xml:space="preserve">苗栗縣苗栗市新苗里</t>
    </r>
    <r>
      <rPr>
        <sz val="10"/>
        <color rgb="FF1F2A28"/>
        <rFont val="Arial"/>
        <family val="0"/>
        <charset val="1"/>
      </rPr>
      <t xml:space="preserve">5</t>
    </r>
    <r>
      <rPr>
        <sz val="10"/>
        <color rgb="FF1F2A28"/>
        <rFont val="WenQuanYi Zen Hei"/>
        <family val="2"/>
      </rPr>
      <t xml:space="preserve">鄰新苗街</t>
    </r>
    <r>
      <rPr>
        <sz val="10"/>
        <color rgb="FF1F2A28"/>
        <rFont val="Arial"/>
        <family val="0"/>
        <charset val="1"/>
      </rPr>
      <t xml:space="preserve">77</t>
    </r>
    <r>
      <rPr>
        <sz val="10"/>
        <color rgb="FF1F2A28"/>
        <rFont val="WenQuanYi Zen Hei"/>
        <family val="2"/>
      </rPr>
      <t xml:space="preserve">號</t>
    </r>
    <r>
      <rPr>
        <sz val="10"/>
        <color rgb="FF1F2A28"/>
        <rFont val="Arial"/>
        <family val="0"/>
        <charset val="1"/>
      </rPr>
      <t xml:space="preserve">2F</t>
    </r>
  </si>
  <si>
    <t xml:space="preserve">0911141550</t>
  </si>
  <si>
    <t xml:space="preserve">pollygurung@gmail.com</t>
  </si>
  <si>
    <t xml:space="preserve">2012-09-07</t>
  </si>
  <si>
    <t xml:space="preserve">謝珮容</t>
  </si>
  <si>
    <t xml:space="preserve">苗栗縣私立潘朵拉美語技藝短期補習班</t>
  </si>
  <si>
    <r>
      <rPr>
        <sz val="10"/>
        <color rgb="FF1F2A28"/>
        <rFont val="WenQuanYi Zen Hei"/>
        <family val="2"/>
      </rPr>
      <t xml:space="preserve">苗栗縣苗栗市建功里</t>
    </r>
    <r>
      <rPr>
        <sz val="10"/>
        <color rgb="FF1F2A28"/>
        <rFont val="Arial"/>
        <family val="0"/>
        <charset val="1"/>
      </rPr>
      <t xml:space="preserve">33</t>
    </r>
    <r>
      <rPr>
        <sz val="10"/>
        <color rgb="FF1F2A28"/>
        <rFont val="WenQuanYi Zen Hei"/>
        <family val="2"/>
      </rPr>
      <t xml:space="preserve">鄰忠孝路</t>
    </r>
    <r>
      <rPr>
        <sz val="10"/>
        <color rgb="FF1F2A28"/>
        <rFont val="Arial"/>
        <family val="0"/>
        <charset val="1"/>
      </rPr>
      <t xml:space="preserve">168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</si>
  <si>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037333681</t>
  </si>
  <si>
    <t xml:space="preserve">teacherchloe2019@gmail.com</t>
  </si>
  <si>
    <t xml:space="preserve">傅于庭</t>
  </si>
  <si>
    <t xml:space="preserve">苗栗縣私立琅琅美語技藝短期補習班</t>
  </si>
  <si>
    <r>
      <rPr>
        <sz val="10"/>
        <color rgb="FF1F2A28"/>
        <rFont val="WenQuanYi Zen Hei"/>
        <family val="2"/>
      </rPr>
      <t xml:space="preserve">苗栗縣造橋鄉大西村尖豐路</t>
    </r>
    <r>
      <rPr>
        <sz val="10"/>
        <color rgb="FF1F2A28"/>
        <rFont val="Arial"/>
        <family val="0"/>
        <charset val="1"/>
      </rPr>
      <t xml:space="preserve">176</t>
    </r>
    <r>
      <rPr>
        <sz val="10"/>
        <color rgb="FF1F2A28"/>
        <rFont val="WenQuanYi Zen Hei"/>
        <family val="2"/>
      </rPr>
      <t xml:space="preserve">號</t>
    </r>
    <r>
      <rPr>
        <sz val="10"/>
        <color rgb="FF1F2A28"/>
        <rFont val="Arial"/>
        <family val="0"/>
        <charset val="1"/>
      </rPr>
      <t xml:space="preserve">1-2F</t>
    </r>
  </si>
  <si>
    <t xml:space="preserve">0928-911208</t>
  </si>
  <si>
    <t xml:space="preserve">meitsutang@yahoo.com</t>
  </si>
  <si>
    <t xml:space="preserve">湯梅子</t>
  </si>
  <si>
    <t xml:space="preserve">苗栗縣私立真正文理短期補習班</t>
  </si>
  <si>
    <r>
      <rPr>
        <sz val="10"/>
        <color rgb="FF1F2A28"/>
        <rFont val="WenQuanYi Zen Hei"/>
        <family val="2"/>
      </rPr>
      <t xml:space="preserve">苗栗縣頭份市中正路</t>
    </r>
    <r>
      <rPr>
        <sz val="10"/>
        <color rgb="FF1F2A28"/>
        <rFont val="Arial"/>
        <family val="0"/>
        <charset val="1"/>
      </rPr>
      <t xml:space="preserve">292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</si>
  <si>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037-593781</t>
  </si>
  <si>
    <t xml:space="preserve">hawdy1118@yahoo.com.tw</t>
  </si>
  <si>
    <t xml:space="preserve">1995-07-25</t>
  </si>
  <si>
    <t xml:space="preserve">黃金龍</t>
  </si>
  <si>
    <t xml:space="preserve">苗栗縣私立睿智文理短期補習班</t>
  </si>
  <si>
    <r>
      <rPr>
        <sz val="10"/>
        <color rgb="FF1F2A28"/>
        <rFont val="WenQuanYi Zen Hei"/>
        <family val="2"/>
      </rPr>
      <t xml:space="preserve">苗栗縣苗栗市建功里</t>
    </r>
    <r>
      <rPr>
        <sz val="10"/>
        <color rgb="FF1F2A28"/>
        <rFont val="Arial"/>
        <family val="0"/>
        <charset val="1"/>
      </rPr>
      <t xml:space="preserve">16</t>
    </r>
    <r>
      <rPr>
        <sz val="10"/>
        <color rgb="FF1F2A28"/>
        <rFont val="WenQuanYi Zen Hei"/>
        <family val="2"/>
      </rPr>
      <t xml:space="preserve">鄰縣府路</t>
    </r>
    <r>
      <rPr>
        <sz val="10"/>
        <color rgb="FF1F2A28"/>
        <rFont val="Arial"/>
        <family val="0"/>
        <charset val="1"/>
      </rPr>
      <t xml:space="preserve">162</t>
    </r>
    <r>
      <rPr>
        <sz val="10"/>
        <color rgb="FF1F2A28"/>
        <rFont val="WenQuanYi Zen Hei"/>
        <family val="2"/>
      </rPr>
      <t xml:space="preserve">號</t>
    </r>
    <r>
      <rPr>
        <sz val="10"/>
        <color rgb="FF1F2A28"/>
        <rFont val="Arial"/>
        <family val="0"/>
        <charset val="1"/>
      </rPr>
      <t xml:space="preserve">1-2F</t>
    </r>
  </si>
  <si>
    <t xml:space="preserve">(037)372388</t>
  </si>
  <si>
    <t xml:space="preserve">dorissaysg@gmail.com</t>
  </si>
  <si>
    <t xml:space="preserve">林玉婷</t>
  </si>
  <si>
    <t xml:space="preserve">苗栗縣私立種子美語技藝短期補習班</t>
  </si>
  <si>
    <r>
      <rPr>
        <sz val="10"/>
        <color rgb="FF1F2A28"/>
        <rFont val="WenQuanYi Zen Hei"/>
        <family val="2"/>
      </rPr>
      <t xml:space="preserve">苗栗縣頭份市建國路</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1-3F</t>
    </r>
  </si>
  <si>
    <t xml:space="preserve">(037)688123</t>
  </si>
  <si>
    <t xml:space="preserve">a1208362@gmail.com</t>
  </si>
  <si>
    <t xml:space="preserve">2006-01-10</t>
  </si>
  <si>
    <t xml:space="preserve">吳思薇</t>
  </si>
  <si>
    <t xml:space="preserve">苗栗縣私立立達文理短期補習班</t>
  </si>
  <si>
    <r>
      <rPr>
        <sz val="10"/>
        <color rgb="FF1F2A28"/>
        <rFont val="WenQuanYi Zen Hei"/>
        <family val="2"/>
      </rPr>
      <t xml:space="preserve">苗栗縣卓蘭鎮新厝里</t>
    </r>
    <r>
      <rPr>
        <sz val="10"/>
        <color rgb="FF1F2A28"/>
        <rFont val="Arial"/>
        <family val="0"/>
        <charset val="1"/>
      </rPr>
      <t xml:space="preserve">9</t>
    </r>
    <r>
      <rPr>
        <sz val="10"/>
        <color rgb="FF1F2A28"/>
        <rFont val="WenQuanYi Zen Hei"/>
        <family val="2"/>
      </rPr>
      <t xml:space="preserve">鄰仁愛路</t>
    </r>
    <r>
      <rPr>
        <sz val="10"/>
        <color rgb="FF1F2A28"/>
        <rFont val="Arial"/>
        <family val="0"/>
        <charset val="1"/>
      </rPr>
      <t xml:space="preserve">24</t>
    </r>
    <r>
      <rPr>
        <sz val="10"/>
        <color rgb="FF1F2A28"/>
        <rFont val="WenQuanYi Zen Hei"/>
        <family val="2"/>
      </rPr>
      <t xml:space="preserve">號</t>
    </r>
    <r>
      <rPr>
        <sz val="10"/>
        <color rgb="FF1F2A28"/>
        <rFont val="Arial"/>
        <family val="0"/>
        <charset val="1"/>
      </rPr>
      <t xml:space="preserve">1F</t>
    </r>
  </si>
  <si>
    <t xml:space="preserve">(04)25899950,0922-658037</t>
  </si>
  <si>
    <t xml:space="preserve">liu582@yahoo.com.tw</t>
  </si>
  <si>
    <t xml:space="preserve">劉世斌</t>
  </si>
  <si>
    <t xml:space="preserve">苗栗縣私立精智文理短期補習班</t>
  </si>
  <si>
    <r>
      <rPr>
        <sz val="10"/>
        <color rgb="FF1F2A28"/>
        <rFont val="WenQuanYi Zen Hei"/>
        <family val="2"/>
      </rPr>
      <t xml:space="preserve">苗栗縣竹南鎮中華里環市路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106</t>
    </r>
    <r>
      <rPr>
        <sz val="10"/>
        <color rgb="FF1F2A28"/>
        <rFont val="WenQuanYi Zen Hei"/>
        <family val="2"/>
      </rPr>
      <t xml:space="preserve">號</t>
    </r>
  </si>
  <si>
    <t xml:space="preserve">(037)462068</t>
  </si>
  <si>
    <t xml:space="preserve">v123999@gmail.com</t>
  </si>
  <si>
    <t xml:space="preserve">2013-07-16</t>
  </si>
  <si>
    <t xml:space="preserve">徐如英</t>
  </si>
  <si>
    <t xml:space="preserve">苗栗縣私立維多利亞文理短期補習班</t>
  </si>
  <si>
    <r>
      <rPr>
        <sz val="10"/>
        <color rgb="FF1F2A28"/>
        <rFont val="WenQuanYi Zen Hei"/>
        <family val="2"/>
      </rPr>
      <t xml:space="preserve">苗栗縣苗栗市中華東街</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</si>
  <si>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037-277568</t>
  </si>
  <si>
    <t xml:space="preserve">meggywu@gmail.com</t>
  </si>
  <si>
    <t xml:space="preserve">2001-10-16</t>
  </si>
  <si>
    <t xml:space="preserve">林雪心</t>
  </si>
  <si>
    <t xml:space="preserve">范馨文</t>
  </si>
  <si>
    <t xml:space="preserve">苗栗縣私立翰林文理短期補習班</t>
  </si>
  <si>
    <r>
      <rPr>
        <sz val="10"/>
        <color rgb="FF1F2A28"/>
        <rFont val="WenQuanYi Zen Hei"/>
        <family val="2"/>
      </rPr>
      <t xml:space="preserve">苗栗縣竹南鎮中華里</t>
    </r>
    <r>
      <rPr>
        <sz val="10"/>
        <color rgb="FF1F2A28"/>
        <rFont val="Arial"/>
        <family val="0"/>
        <charset val="1"/>
      </rPr>
      <t xml:space="preserve">17</t>
    </r>
    <r>
      <rPr>
        <sz val="10"/>
        <color rgb="FF1F2A28"/>
        <rFont val="WenQuanYi Zen Hei"/>
        <family val="2"/>
      </rPr>
      <t xml:space="preserve">鄰環市路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95</t>
    </r>
    <r>
      <rPr>
        <sz val="10"/>
        <color rgb="FF1F2A28"/>
        <rFont val="WenQuanYi Zen Hei"/>
        <family val="2"/>
      </rPr>
      <t xml:space="preserve">號</t>
    </r>
    <r>
      <rPr>
        <sz val="10"/>
        <color rgb="FF1F2A28"/>
        <rFont val="Arial"/>
        <family val="0"/>
        <charset val="1"/>
      </rPr>
      <t xml:space="preserve">2-3F</t>
    </r>
  </si>
  <si>
    <t xml:space="preserve">(037)484739</t>
  </si>
  <si>
    <t xml:space="preserve">kuo0327@yahoo.com.tw</t>
  </si>
  <si>
    <t xml:space="preserve">戴國新</t>
  </si>
  <si>
    <t xml:space="preserve">郭慧瑜</t>
  </si>
  <si>
    <t xml:space="preserve">苗栗縣私立耶魯外語文理短期補習班</t>
  </si>
  <si>
    <r>
      <rPr>
        <sz val="10"/>
        <color rgb="FF1F2A28"/>
        <rFont val="WenQuanYi Zen Hei"/>
        <family val="2"/>
      </rPr>
      <t xml:space="preserve">苗栗縣苗栗市縣府路</t>
    </r>
    <r>
      <rPr>
        <sz val="10"/>
        <color rgb="FF1F2A28"/>
        <rFont val="Arial"/>
        <family val="0"/>
        <charset val="1"/>
      </rPr>
      <t xml:space="preserve">152</t>
    </r>
    <r>
      <rPr>
        <sz val="10"/>
        <color rgb="FF1F2A28"/>
        <rFont val="WenQuanYi Zen Hei"/>
        <family val="2"/>
      </rPr>
      <t xml:space="preserve">號</t>
    </r>
    <r>
      <rPr>
        <sz val="10"/>
        <color rgb="FF1F2A28"/>
        <rFont val="Arial"/>
        <family val="0"/>
        <charset val="1"/>
      </rPr>
      <t xml:space="preserve">1-3F</t>
    </r>
  </si>
  <si>
    <t xml:space="preserve">037-338317</t>
  </si>
  <si>
    <t xml:space="preserve">mlyale888@yahoo.com.tw</t>
  </si>
  <si>
    <t xml:space="preserve">邱允妤</t>
  </si>
  <si>
    <t xml:space="preserve">苗栗縣私立聖佑美語技藝短期補習班</t>
  </si>
  <si>
    <r>
      <rPr>
        <sz val="10"/>
        <color rgb="FF1F2A28"/>
        <rFont val="WenQuanYi Zen Hei"/>
        <family val="2"/>
      </rPr>
      <t xml:space="preserve">苗栗縣苗栗市正發路</t>
    </r>
    <r>
      <rPr>
        <sz val="10"/>
        <color rgb="FF1F2A28"/>
        <rFont val="Arial"/>
        <family val="0"/>
        <charset val="1"/>
      </rPr>
      <t xml:space="preserve">56</t>
    </r>
    <r>
      <rPr>
        <sz val="10"/>
        <color rgb="FF1F2A28"/>
        <rFont val="WenQuanYi Zen Hei"/>
        <family val="2"/>
      </rPr>
      <t xml:space="preserve">號</t>
    </r>
  </si>
  <si>
    <t xml:space="preserve">037-332022</t>
  </si>
  <si>
    <t xml:space="preserve">tomastomas5116@gmail.com</t>
  </si>
  <si>
    <t xml:space="preserve">謝錦興</t>
  </si>
  <si>
    <t xml:space="preserve">苗栗縣私立英美師德文理短期補習班</t>
  </si>
  <si>
    <r>
      <rPr>
        <sz val="10"/>
        <color rgb="FF1F2A28"/>
        <rFont val="WenQuanYi Zen Hei"/>
        <family val="2"/>
      </rPr>
      <t xml:space="preserve">苗栗縣頭份市成功里</t>
    </r>
    <r>
      <rPr>
        <sz val="10"/>
        <color rgb="FF1F2A28"/>
        <rFont val="Arial"/>
        <family val="0"/>
        <charset val="1"/>
      </rPr>
      <t xml:space="preserve">13</t>
    </r>
    <r>
      <rPr>
        <sz val="10"/>
        <color rgb="FF1F2A28"/>
        <rFont val="WenQuanYi Zen Hei"/>
        <family val="2"/>
      </rPr>
      <t xml:space="preserve">鄰明新街</t>
    </r>
    <r>
      <rPr>
        <sz val="10"/>
        <color rgb="FF1F2A28"/>
        <rFont val="Arial"/>
        <family val="0"/>
        <charset val="1"/>
      </rPr>
      <t xml:space="preserve">95</t>
    </r>
    <r>
      <rPr>
        <sz val="10"/>
        <color rgb="FF1F2A28"/>
        <rFont val="WenQuanYi Zen Hei"/>
        <family val="2"/>
      </rPr>
      <t xml:space="preserve">號</t>
    </r>
    <r>
      <rPr>
        <sz val="10"/>
        <color rgb="FF1F2A28"/>
        <rFont val="Arial"/>
        <family val="0"/>
        <charset val="1"/>
      </rPr>
      <t xml:space="preserve">2F</t>
    </r>
  </si>
  <si>
    <t xml:space="preserve">037-684267</t>
  </si>
  <si>
    <t xml:space="preserve">ckenglish0521@gmail.com</t>
  </si>
  <si>
    <t xml:space="preserve">陳榮光</t>
  </si>
  <si>
    <t xml:space="preserve">苗栗縣私立茂德文理短期補習班</t>
  </si>
  <si>
    <r>
      <rPr>
        <sz val="10"/>
        <color rgb="FF1F2A28"/>
        <rFont val="WenQuanYi Zen Hei"/>
        <family val="2"/>
      </rPr>
      <t xml:space="preserve">苗栗縣苗栗市北苗里</t>
    </r>
    <r>
      <rPr>
        <sz val="10"/>
        <color rgb="FF1F2A28"/>
        <rFont val="Arial"/>
        <family val="0"/>
        <charset val="1"/>
      </rPr>
      <t xml:space="preserve">19</t>
    </r>
    <r>
      <rPr>
        <sz val="10"/>
        <color rgb="FF1F2A28"/>
        <rFont val="WenQuanYi Zen Hei"/>
        <family val="2"/>
      </rPr>
      <t xml:space="preserve">鄰文峰街</t>
    </r>
    <r>
      <rPr>
        <sz val="10"/>
        <color rgb="FF1F2A28"/>
        <rFont val="Arial"/>
        <family val="0"/>
        <charset val="1"/>
      </rPr>
      <t xml:space="preserve">99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</si>
  <si>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037-360792;0910-545580</t>
  </si>
  <si>
    <t xml:space="preserve">jen365347@yahoo.com.tw</t>
  </si>
  <si>
    <t xml:space="preserve">1999-11-24</t>
  </si>
  <si>
    <t xml:space="preserve">邱創能</t>
  </si>
  <si>
    <t xml:space="preserve">苗栗縣私立華威文理短期補習班</t>
  </si>
  <si>
    <r>
      <rPr>
        <sz val="10"/>
        <color rgb="FF1F2A28"/>
        <rFont val="WenQuanYi Zen Hei"/>
        <family val="2"/>
      </rPr>
      <t xml:space="preserve">苗栗縣苗栗市中正路</t>
    </r>
    <r>
      <rPr>
        <sz val="10"/>
        <color rgb="FF1F2A28"/>
        <rFont val="Arial"/>
        <family val="0"/>
        <charset val="1"/>
      </rPr>
      <t xml:space="preserve">631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</si>
  <si>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037-365338</t>
  </si>
  <si>
    <t xml:space="preserve">游佳穎</t>
  </si>
  <si>
    <t xml:space="preserve">李煜勳</t>
  </si>
  <si>
    <t xml:space="preserve">苗栗縣私立華盛頓文理短期補習班</t>
  </si>
  <si>
    <r>
      <rPr>
        <sz val="10"/>
        <color rgb="FF1F2A28"/>
        <rFont val="WenQuanYi Zen Hei"/>
        <family val="2"/>
      </rPr>
      <t xml:space="preserve">苗栗縣後龍鎮北龍里中華路</t>
    </r>
    <r>
      <rPr>
        <sz val="10"/>
        <color rgb="FF1F2A28"/>
        <rFont val="Arial"/>
        <family val="0"/>
        <charset val="1"/>
      </rPr>
      <t xml:space="preserve">58</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1~2F</t>
    </r>
  </si>
  <si>
    <t xml:space="preserve">(037)732289</t>
  </si>
  <si>
    <t xml:space="preserve">reno1223@yahoo.com.tw</t>
  </si>
  <si>
    <t xml:space="preserve">張峰瑜</t>
  </si>
  <si>
    <t xml:space="preserve">苗栗縣私立雅比文理短期補習班</t>
  </si>
  <si>
    <r>
      <rPr>
        <sz val="10"/>
        <color rgb="FF1F2A28"/>
        <rFont val="WenQuanYi Zen Hei"/>
        <family val="2"/>
      </rPr>
      <t xml:space="preserve">苗栗縣竹南鎮中正路</t>
    </r>
    <r>
      <rPr>
        <sz val="10"/>
        <color rgb="FF1F2A28"/>
        <rFont val="Arial"/>
        <family val="0"/>
        <charset val="1"/>
      </rPr>
      <t xml:space="preserve">301</t>
    </r>
    <r>
      <rPr>
        <sz val="10"/>
        <color rgb="FF1F2A28"/>
        <rFont val="WenQuanYi Zen Hei"/>
        <family val="2"/>
      </rPr>
      <t xml:space="preserve">號</t>
    </r>
    <r>
      <rPr>
        <sz val="10"/>
        <color rgb="FF1F2A28"/>
        <rFont val="Arial"/>
        <family val="0"/>
        <charset val="1"/>
      </rPr>
      <t xml:space="preserve">1-2F</t>
    </r>
    <r>
      <rPr>
        <sz val="10"/>
        <color rgb="FF1F2A28"/>
        <rFont val="WenQuanYi Zen Hei"/>
        <family val="2"/>
      </rPr>
      <t xml:space="preserve">、</t>
    </r>
    <r>
      <rPr>
        <sz val="10"/>
        <color rgb="FF1F2A28"/>
        <rFont val="Arial"/>
        <family val="0"/>
        <charset val="1"/>
      </rPr>
      <t xml:space="preserve">293</t>
    </r>
    <r>
      <rPr>
        <sz val="10"/>
        <color rgb="FF1F2A28"/>
        <rFont val="WenQuanYi Zen Hei"/>
        <family val="2"/>
      </rPr>
      <t xml:space="preserve">號</t>
    </r>
    <r>
      <rPr>
        <sz val="10"/>
        <color rgb="FF1F2A28"/>
        <rFont val="Arial"/>
        <family val="0"/>
        <charset val="1"/>
      </rPr>
      <t xml:space="preserve">1-3F</t>
    </r>
  </si>
  <si>
    <t xml:space="preserve">037-471492</t>
  </si>
  <si>
    <t xml:space="preserve">jordanvi2@yahoo.com.tw</t>
  </si>
  <si>
    <t xml:space="preserve">黃耀寬</t>
  </si>
  <si>
    <t xml:space="preserve">苗栗縣私立頂尖文理短期補習班</t>
  </si>
  <si>
    <r>
      <rPr>
        <sz val="10"/>
        <color rgb="FF1F2A28"/>
        <rFont val="WenQuanYi Zen Hei"/>
        <family val="2"/>
      </rPr>
      <t xml:space="preserve">苗栗縣公館鄉館東村大東路</t>
    </r>
    <r>
      <rPr>
        <sz val="10"/>
        <color rgb="FF1F2A28"/>
        <rFont val="Arial"/>
        <family val="0"/>
        <charset val="1"/>
      </rPr>
      <t xml:space="preserve">85</t>
    </r>
    <r>
      <rPr>
        <sz val="10"/>
        <color rgb="FF1F2A28"/>
        <rFont val="WenQuanYi Zen Hei"/>
        <family val="2"/>
      </rPr>
      <t xml:space="preserve">號</t>
    </r>
    <r>
      <rPr>
        <sz val="10"/>
        <color rgb="FF1F2A28"/>
        <rFont val="Arial"/>
        <family val="0"/>
        <charset val="1"/>
      </rPr>
      <t xml:space="preserve">1-2F</t>
    </r>
    <r>
      <rPr>
        <sz val="10"/>
        <color rgb="FF1F2A28"/>
        <rFont val="WenQuanYi Zen Hei"/>
        <family val="2"/>
      </rPr>
      <t xml:space="preserve">、</t>
    </r>
    <r>
      <rPr>
        <sz val="10"/>
        <color rgb="FF1F2A28"/>
        <rFont val="Arial"/>
        <family val="0"/>
        <charset val="1"/>
      </rPr>
      <t xml:space="preserve">83</t>
    </r>
    <r>
      <rPr>
        <sz val="10"/>
        <color rgb="FF1F2A28"/>
        <rFont val="WenQuanYi Zen Hei"/>
        <family val="2"/>
      </rPr>
      <t xml:space="preserve">號</t>
    </r>
    <r>
      <rPr>
        <sz val="10"/>
        <color rgb="FF1F2A28"/>
        <rFont val="Arial"/>
        <family val="0"/>
        <charset val="1"/>
      </rPr>
      <t xml:space="preserve">1-3F</t>
    </r>
  </si>
  <si>
    <t xml:space="preserve">037-229783</t>
  </si>
  <si>
    <t xml:space="preserve">janeis.lee@msa.hinet.net</t>
  </si>
  <si>
    <t xml:space="preserve">羅月英</t>
  </si>
  <si>
    <t xml:space="preserve">洗家維</t>
  </si>
  <si>
    <t xml:space="preserve">苗栗縣私立首席珠心算美語技藝短期補習班</t>
  </si>
  <si>
    <r>
      <rPr>
        <sz val="10"/>
        <color rgb="FF1F2A28"/>
        <rFont val="WenQuanYi Zen Hei"/>
        <family val="2"/>
      </rPr>
      <t xml:space="preserve">苗栗縣竹南鎮大厝里</t>
    </r>
    <r>
      <rPr>
        <sz val="10"/>
        <color rgb="FF1F2A28"/>
        <rFont val="Arial"/>
        <family val="0"/>
        <charset val="1"/>
      </rPr>
      <t xml:space="preserve">15</t>
    </r>
    <r>
      <rPr>
        <sz val="10"/>
        <color rgb="FF1F2A28"/>
        <rFont val="WenQuanYi Zen Hei"/>
        <family val="2"/>
      </rPr>
      <t xml:space="preserve">鄰環市路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305</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弄</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1-3F/</t>
    </r>
    <r>
      <rPr>
        <sz val="10"/>
        <color rgb="FF1F2A28"/>
        <rFont val="WenQuanYi Zen Hei"/>
        <family val="2"/>
      </rPr>
      <t xml:space="preserve">苗栗縣竹南鎮大厝里</t>
    </r>
    <r>
      <rPr>
        <sz val="10"/>
        <color rgb="FF1F2A28"/>
        <rFont val="Arial"/>
        <family val="0"/>
        <charset val="1"/>
      </rPr>
      <t xml:space="preserve">15</t>
    </r>
    <r>
      <rPr>
        <sz val="10"/>
        <color rgb="FF1F2A28"/>
        <rFont val="WenQuanYi Zen Hei"/>
        <family val="2"/>
      </rPr>
      <t xml:space="preserve">鄰環市路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305</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弄</t>
    </r>
    <r>
      <rPr>
        <sz val="10"/>
        <color rgb="FF1F2A28"/>
        <rFont val="Arial"/>
        <family val="0"/>
        <charset val="1"/>
      </rPr>
      <t xml:space="preserve">18</t>
    </r>
    <r>
      <rPr>
        <sz val="10"/>
        <color rgb="FF1F2A28"/>
        <rFont val="WenQuanYi Zen Hei"/>
        <family val="2"/>
      </rPr>
      <t xml:space="preserve">號</t>
    </r>
  </si>
  <si>
    <t xml:space="preserve">(037)477061,0930218068</t>
  </si>
  <si>
    <t xml:space="preserve">shanezhunan@gmail.com</t>
  </si>
  <si>
    <t xml:space="preserve">2005-11-22</t>
  </si>
  <si>
    <t xml:space="preserve">林芯宇</t>
  </si>
  <si>
    <t xml:space="preserve">葉信隆</t>
  </si>
  <si>
    <t xml:space="preserve">苗栗縣私立馬格力特語文技藝短期補習班</t>
  </si>
  <si>
    <r>
      <rPr>
        <sz val="10"/>
        <color rgb="FF1F2A28"/>
        <rFont val="WenQuanYi Zen Hei"/>
        <family val="2"/>
      </rPr>
      <t xml:space="preserve">苗栗縣竹南鎮大厝里</t>
    </r>
    <r>
      <rPr>
        <sz val="10"/>
        <color rgb="FF1F2A28"/>
        <rFont val="Arial"/>
        <family val="0"/>
        <charset val="1"/>
      </rPr>
      <t xml:space="preserve">19</t>
    </r>
    <r>
      <rPr>
        <sz val="10"/>
        <color rgb="FF1F2A28"/>
        <rFont val="WenQuanYi Zen Hei"/>
        <family val="2"/>
      </rPr>
      <t xml:space="preserve">鄰中正路</t>
    </r>
    <r>
      <rPr>
        <sz val="10"/>
        <color rgb="FF1F2A28"/>
        <rFont val="Arial"/>
        <family val="0"/>
        <charset val="1"/>
      </rPr>
      <t xml:space="preserve">335</t>
    </r>
    <r>
      <rPr>
        <sz val="10"/>
        <color rgb="FF1F2A28"/>
        <rFont val="WenQuanYi Zen Hei"/>
        <family val="2"/>
      </rPr>
      <t xml:space="preserve">號</t>
    </r>
    <r>
      <rPr>
        <sz val="10"/>
        <color rgb="FF1F2A28"/>
        <rFont val="Arial"/>
        <family val="0"/>
        <charset val="1"/>
      </rPr>
      <t xml:space="preserve">1-2F</t>
    </r>
  </si>
  <si>
    <t xml:space="preserve">(037)483398</t>
  </si>
  <si>
    <t xml:space="preserve">2013-08-08</t>
  </si>
  <si>
    <t xml:space="preserve">鍾惠如</t>
  </si>
  <si>
    <t xml:space="preserve">彰化縣</t>
  </si>
  <si>
    <t xml:space="preserve">彰化縣私立佳郁文理短期補習班</t>
  </si>
  <si>
    <r>
      <rPr>
        <sz val="10"/>
        <color rgb="FF1F2A28"/>
        <rFont val="WenQuanYi Zen Hei"/>
        <family val="2"/>
      </rPr>
      <t xml:space="preserve">彰化縣彰化市長壽街</t>
    </r>
    <r>
      <rPr>
        <sz val="10"/>
        <color rgb="FF1F2A28"/>
        <rFont val="Arial"/>
        <family val="0"/>
        <charset val="1"/>
      </rPr>
      <t xml:space="preserve">171</t>
    </r>
    <r>
      <rPr>
        <sz val="10"/>
        <color rgb="FF1F2A28"/>
        <rFont val="WenQuanYi Zen Hei"/>
        <family val="2"/>
      </rPr>
      <t xml:space="preserve">號</t>
    </r>
    <r>
      <rPr>
        <sz val="10"/>
        <color rgb="FF1F2A28"/>
        <rFont val="Arial"/>
        <family val="0"/>
        <charset val="1"/>
      </rPr>
      <t xml:space="preserve">1.2.3.4</t>
    </r>
    <r>
      <rPr>
        <sz val="10"/>
        <color rgb="FF1F2A28"/>
        <rFont val="WenQuanYi Zen Hei"/>
        <family val="2"/>
      </rPr>
      <t xml:space="preserve">樓</t>
    </r>
  </si>
  <si>
    <t xml:space="preserve">7280620</t>
  </si>
  <si>
    <t xml:space="preserve">joyenglish171@gmail.com</t>
  </si>
  <si>
    <t xml:space="preserve">1995-10-02</t>
  </si>
  <si>
    <t xml:space="preserve">吳建宏</t>
  </si>
  <si>
    <t xml:space="preserve">彰化縣私立全民文理短期補習班</t>
  </si>
  <si>
    <r>
      <rPr>
        <sz val="10"/>
        <color rgb="FF1F2A28"/>
        <rFont val="WenQuanYi Zen Hei"/>
        <family val="2"/>
      </rPr>
      <t xml:space="preserve">彰化縣田尾鄉饒平村公所路</t>
    </r>
    <r>
      <rPr>
        <sz val="10"/>
        <color rgb="FF1F2A28"/>
        <rFont val="Arial"/>
        <family val="0"/>
        <charset val="1"/>
      </rPr>
      <t xml:space="preserve">159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t>
    </r>
  </si>
  <si>
    <t xml:space="preserve">(04)8833604</t>
  </si>
  <si>
    <t xml:space="preserve">8833604@gmail.com</t>
  </si>
  <si>
    <t xml:space="preserve">游嘉昌</t>
  </si>
  <si>
    <t xml:space="preserve">彰化縣私立史丹福文理短期補習班</t>
  </si>
  <si>
    <r>
      <rPr>
        <sz val="10"/>
        <color rgb="FF1F2A28"/>
        <rFont val="WenQuanYi Zen Hei"/>
        <family val="2"/>
      </rPr>
      <t xml:space="preserve">彰化縣員林市南平里南平街</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</si>
  <si>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(04)8335931</t>
  </si>
  <si>
    <t xml:space="preserve">b101823@yahoo.com.tw</t>
  </si>
  <si>
    <t xml:space="preserve">蕭莉芸</t>
  </si>
  <si>
    <t xml:space="preserve">陳秉廣</t>
  </si>
  <si>
    <t xml:space="preserve">彰化縣私立地球誼美語短期補習班</t>
  </si>
  <si>
    <r>
      <rPr>
        <sz val="10"/>
        <color rgb="FF1F2A28"/>
        <rFont val="WenQuanYi Zen Hei"/>
        <family val="2"/>
      </rPr>
      <t xml:space="preserve">彰化縣員林市仁美里萬年路三段</t>
    </r>
    <r>
      <rPr>
        <sz val="10"/>
        <color rgb="FF1F2A28"/>
        <rFont val="Arial"/>
        <family val="0"/>
        <charset val="1"/>
      </rPr>
      <t xml:space="preserve">357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</si>
  <si>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(04)8357-066</t>
  </si>
  <si>
    <t xml:space="preserve">yenyenhuang77@gmail.com</t>
  </si>
  <si>
    <t xml:space="preserve">2023-06-01</t>
  </si>
  <si>
    <t xml:space="preserve">黃晏誼</t>
  </si>
  <si>
    <t xml:space="preserve">黃思華</t>
  </si>
  <si>
    <t xml:space="preserve">彰化縣私立安迪美語短期補習班</t>
  </si>
  <si>
    <r>
      <rPr>
        <sz val="10"/>
        <color rgb="FF1F2A28"/>
        <rFont val="WenQuanYi Zen Hei"/>
        <family val="2"/>
      </rPr>
      <t xml:space="preserve">彰化縣二林鎮豐田里仁愛路</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</si>
  <si>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(04)8950098</t>
  </si>
  <si>
    <t xml:space="preserve">2015-04-13</t>
  </si>
  <si>
    <t xml:space="preserve">蔡冠菁</t>
  </si>
  <si>
    <t xml:space="preserve">吳永原</t>
  </si>
  <si>
    <t xml:space="preserve">彰化縣私立弘鈞文理短期補習 班</t>
  </si>
  <si>
    <r>
      <rPr>
        <sz val="10"/>
        <color rgb="FF1F2A28"/>
        <rFont val="WenQuanYi Zen Hei"/>
        <family val="2"/>
      </rPr>
      <t xml:space="preserve">彰化縣鹿港鎮長安路</t>
    </r>
    <r>
      <rPr>
        <sz val="10"/>
        <color rgb="FF1F2A28"/>
        <rFont val="Arial"/>
        <family val="0"/>
        <charset val="1"/>
      </rPr>
      <t xml:space="preserve">74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</si>
  <si>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(04)7760111</t>
  </si>
  <si>
    <t xml:space="preserve">2013-11-04</t>
  </si>
  <si>
    <t xml:space="preserve">陳弘鈞</t>
  </si>
  <si>
    <t xml:space="preserve">彰化縣私立微妮美語短期補習班</t>
  </si>
  <si>
    <r>
      <rPr>
        <sz val="10"/>
        <color rgb="FF1F2A28"/>
        <rFont val="WenQuanYi Zen Hei"/>
        <family val="2"/>
      </rPr>
      <t xml:space="preserve">彰化縣鹿港鎮永安一路</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</si>
  <si>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(04)7756965</t>
  </si>
  <si>
    <t xml:space="preserve">coolwinnie1122@yahoo.com.tw</t>
  </si>
  <si>
    <t xml:space="preserve">2008-03-24</t>
  </si>
  <si>
    <t xml:space="preserve">許雅琇</t>
  </si>
  <si>
    <t xml:space="preserve">彰化縣私立志揚文理短期補習班</t>
  </si>
  <si>
    <r>
      <rPr>
        <sz val="10"/>
        <color rgb="FF1F2A28"/>
        <rFont val="WenQuanYi Zen Hei"/>
        <family val="2"/>
      </rPr>
      <t xml:space="preserve">彰化縣花壇鄉中正路</t>
    </r>
    <r>
      <rPr>
        <sz val="10"/>
        <color rgb="FF1F2A28"/>
        <rFont val="Arial"/>
        <family val="0"/>
        <charset val="1"/>
      </rPr>
      <t xml:space="preserve">160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</si>
  <si>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(04)7866787</t>
  </si>
  <si>
    <t xml:space="preserve">easilygo168@gmail.com</t>
  </si>
  <si>
    <t xml:space="preserve">江進玉</t>
  </si>
  <si>
    <t xml:space="preserve">江進川</t>
  </si>
  <si>
    <t xml:space="preserve">彰化縣私立潔西卡文理短期補習班</t>
  </si>
  <si>
    <r>
      <rPr>
        <sz val="10"/>
        <color rgb="FF1F2A28"/>
        <rFont val="WenQuanYi Zen Hei"/>
        <family val="2"/>
      </rPr>
      <t xml:space="preserve">彰化縣彰化市民族路</t>
    </r>
    <r>
      <rPr>
        <sz val="10"/>
        <color rgb="FF1F2A28"/>
        <rFont val="Arial"/>
        <family val="0"/>
        <charset val="1"/>
      </rPr>
      <t xml:space="preserve">253</t>
    </r>
    <r>
      <rPr>
        <sz val="10"/>
        <color rgb="FF1F2A28"/>
        <rFont val="WenQuanYi Zen Hei"/>
        <family val="2"/>
      </rPr>
      <t xml:space="preserve">巷</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</si>
  <si>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(04)7235862</t>
  </si>
  <si>
    <t xml:space="preserve">rongchi.tony@gmail.com</t>
  </si>
  <si>
    <t xml:space="preserve">莊淑貞</t>
  </si>
  <si>
    <t xml:space="preserve">莊淑君</t>
  </si>
  <si>
    <t xml:space="preserve">彰化縣私立績優泰和文理短期補習班</t>
  </si>
  <si>
    <r>
      <rPr>
        <sz val="10"/>
        <color rgb="FF1F2A28"/>
        <rFont val="WenQuanYi Zen Hei"/>
        <family val="2"/>
      </rPr>
      <t xml:space="preserve">彰化縣彰化市學前街</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</si>
  <si>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(04)7263839</t>
  </si>
  <si>
    <t xml:space="preserve">top7353358@gmail.com</t>
  </si>
  <si>
    <t xml:space="preserve">2019-06-18</t>
  </si>
  <si>
    <t xml:space="preserve">吳宜錦</t>
  </si>
  <si>
    <t xml:space="preserve">姜俐如</t>
  </si>
  <si>
    <t xml:space="preserve">彰化縣私立育士成林美語短期補習班</t>
  </si>
  <si>
    <r>
      <rPr>
        <sz val="10"/>
        <color rgb="FF1F2A28"/>
        <rFont val="WenQuanYi Zen Hei"/>
        <family val="2"/>
      </rPr>
      <t xml:space="preserve">彰化縣員林市南平街</t>
    </r>
    <r>
      <rPr>
        <sz val="10"/>
        <color rgb="FF1F2A28"/>
        <rFont val="Arial"/>
        <family val="0"/>
        <charset val="1"/>
      </rPr>
      <t xml:space="preserve">112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</si>
  <si>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(04)8336135</t>
  </si>
  <si>
    <t xml:space="preserve">superabc8336135@gmail.com</t>
  </si>
  <si>
    <t xml:space="preserve">2017-06-22</t>
  </si>
  <si>
    <t xml:space="preserve">林政輝</t>
  </si>
  <si>
    <t xml:space="preserve">陳幸秋</t>
  </si>
  <si>
    <t xml:space="preserve">彰化縣私立育昇文理短期補習班</t>
  </si>
  <si>
    <r>
      <rPr>
        <sz val="10"/>
        <color rgb="FF1F2A28"/>
        <rFont val="WenQuanYi Zen Hei"/>
        <family val="2"/>
      </rPr>
      <t xml:space="preserve">彰化縣伸港鄉中華路</t>
    </r>
    <r>
      <rPr>
        <sz val="10"/>
        <color rgb="FF1F2A28"/>
        <rFont val="Arial"/>
        <family val="0"/>
        <charset val="1"/>
      </rPr>
      <t xml:space="preserve">556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</si>
  <si>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(04)7997633</t>
  </si>
  <si>
    <t xml:space="preserve">cute070716@gmail.com</t>
  </si>
  <si>
    <t xml:space="preserve">詹昊軒</t>
  </si>
  <si>
    <t xml:space="preserve">彰化縣私立良友文理技藝短期補習班</t>
  </si>
  <si>
    <r>
      <rPr>
        <sz val="10"/>
        <color rgb="FF1F2A28"/>
        <rFont val="WenQuanYi Zen Hei"/>
        <family val="2"/>
      </rPr>
      <t xml:space="preserve">彰化縣彰化市中正路二段</t>
    </r>
    <r>
      <rPr>
        <sz val="10"/>
        <color rgb="FF1F2A28"/>
        <rFont val="Arial"/>
        <family val="0"/>
        <charset val="1"/>
      </rPr>
      <t xml:space="preserve">503</t>
    </r>
    <r>
      <rPr>
        <sz val="10"/>
        <color rgb="FF1F2A28"/>
        <rFont val="WenQuanYi Zen Hei"/>
        <family val="2"/>
      </rPr>
      <t xml:space="preserve">巷</t>
    </r>
    <r>
      <rPr>
        <sz val="10"/>
        <color rgb="FF1F2A28"/>
        <rFont val="Arial"/>
        <family val="0"/>
        <charset val="1"/>
      </rPr>
      <t xml:space="preserve">20</t>
    </r>
    <r>
      <rPr>
        <sz val="10"/>
        <color rgb="FF1F2A28"/>
        <rFont val="WenQuanYi Zen Hei"/>
        <family val="2"/>
      </rPr>
      <t xml:space="preserve">號之</t>
    </r>
    <r>
      <rPr>
        <sz val="10"/>
        <color rgb="FF1F2A28"/>
        <rFont val="Arial"/>
        <family val="0"/>
        <charset val="1"/>
      </rPr>
      <t xml:space="preserve">1(1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</si>
  <si>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(04)7290831</t>
  </si>
  <si>
    <t xml:space="preserve">s0923265596@gmail.com</t>
  </si>
  <si>
    <t xml:space="preserve">張玲華</t>
  </si>
  <si>
    <t xml:space="preserve">彰化縣私立艾樂特美語短期補習班</t>
  </si>
  <si>
    <r>
      <rPr>
        <sz val="10"/>
        <color rgb="FF1F2A28"/>
        <rFont val="WenQuanYi Zen Hei"/>
        <family val="2"/>
      </rPr>
      <t xml:space="preserve">彰化縣秀水鄉莊雅村秀中街</t>
    </r>
    <r>
      <rPr>
        <sz val="10"/>
        <color rgb="FF1F2A28"/>
        <rFont val="Arial"/>
        <family val="0"/>
        <charset val="1"/>
      </rPr>
      <t xml:space="preserve">115</t>
    </r>
    <r>
      <rPr>
        <sz val="10"/>
        <color rgb="FF1F2A28"/>
        <rFont val="WenQuanYi Zen Hei"/>
        <family val="2"/>
      </rPr>
      <t xml:space="preserve">巷</t>
    </r>
    <r>
      <rPr>
        <sz val="10"/>
        <color rgb="FF1F2A28"/>
        <rFont val="Arial"/>
        <family val="0"/>
        <charset val="1"/>
      </rPr>
      <t xml:space="preserve">52</t>
    </r>
    <r>
      <rPr>
        <sz val="10"/>
        <color rgb="FF1F2A28"/>
        <rFont val="WenQuanYi Zen Hei"/>
        <family val="2"/>
      </rPr>
      <t xml:space="preserve">弄</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</si>
  <si>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(04)768-2249</t>
  </si>
  <si>
    <t xml:space="preserve">yunruc77@gmail.com</t>
  </si>
  <si>
    <t xml:space="preserve">2022-10-24</t>
  </si>
  <si>
    <t xml:space="preserve">楊晨瀅</t>
  </si>
  <si>
    <t xml:space="preserve">張家禎</t>
  </si>
  <si>
    <t xml:space="preserve">彰化縣私立芝蔴街文理短期補習班</t>
  </si>
  <si>
    <r>
      <rPr>
        <sz val="10"/>
        <color rgb="FF1F2A28"/>
        <rFont val="WenQuanYi Zen Hei"/>
        <family val="2"/>
      </rPr>
      <t xml:space="preserve">彰化縣彰化市興北里長壽街</t>
    </r>
    <r>
      <rPr>
        <sz val="10"/>
        <color rgb="FF1F2A28"/>
        <rFont val="Arial"/>
        <family val="0"/>
        <charset val="1"/>
      </rPr>
      <t xml:space="preserve">188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</si>
  <si>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(04)7235720</t>
  </si>
  <si>
    <t xml:space="preserve">linsan1556@gmail.com</t>
  </si>
  <si>
    <t xml:space="preserve">林峻生</t>
  </si>
  <si>
    <t xml:space="preserve">葉子琳</t>
  </si>
  <si>
    <t xml:space="preserve">彰化縣私立蕾貝卡美語短期補習班平和分班</t>
  </si>
  <si>
    <r>
      <rPr>
        <sz val="10"/>
        <color rgb="FF1F2A28"/>
        <rFont val="WenQuanYi Zen Hei"/>
        <family val="2"/>
      </rPr>
      <t xml:space="preserve">彰化縣彰化市中正路二段</t>
    </r>
    <r>
      <rPr>
        <sz val="10"/>
        <color rgb="FF1F2A28"/>
        <rFont val="Arial"/>
        <family val="0"/>
        <charset val="1"/>
      </rPr>
      <t xml:space="preserve">501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</si>
  <si>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(04)7285959</t>
  </si>
  <si>
    <t xml:space="preserve">2018-12-12</t>
  </si>
  <si>
    <t xml:space="preserve">蘇佳如</t>
  </si>
  <si>
    <t xml:space="preserve">彰化縣私立金博士美語短期補習班</t>
  </si>
  <si>
    <r>
      <rPr>
        <sz val="10"/>
        <color rgb="FF1F2A28"/>
        <rFont val="WenQuanYi Zen Hei"/>
        <family val="2"/>
      </rPr>
      <t xml:space="preserve">彰化縣大城鄉大城村西平路</t>
    </r>
    <r>
      <rPr>
        <sz val="10"/>
        <color rgb="FF1F2A28"/>
        <rFont val="Arial"/>
        <family val="0"/>
        <charset val="1"/>
      </rPr>
      <t xml:space="preserve">75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</si>
  <si>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(04)8947557</t>
  </si>
  <si>
    <t xml:space="preserve">michelle1016kimo@yahoo.com.tw</t>
  </si>
  <si>
    <t xml:space="preserve">蔡豐米</t>
  </si>
  <si>
    <t xml:space="preserve">陳冠樺</t>
  </si>
  <si>
    <t xml:space="preserve">彰化縣私立雅特蘭大語文短期補習班</t>
  </si>
  <si>
    <r>
      <rPr>
        <sz val="10"/>
        <color rgb="FF1F2A28"/>
        <rFont val="WenQuanYi Zen Hei"/>
        <family val="2"/>
      </rPr>
      <t xml:space="preserve">彰化縣彰化市長壽街</t>
    </r>
    <r>
      <rPr>
        <sz val="10"/>
        <color rgb="FF1F2A28"/>
        <rFont val="Arial"/>
        <family val="0"/>
        <charset val="1"/>
      </rPr>
      <t xml:space="preserve">159</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</si>
  <si>
    <t xml:space="preserve">7299986</t>
  </si>
  <si>
    <t xml:space="preserve">atl7299986s@gmail.com</t>
  </si>
  <si>
    <t xml:space="preserve">吳承臻</t>
  </si>
  <si>
    <t xml:space="preserve">賴英妃</t>
  </si>
  <si>
    <t xml:space="preserve">彰化縣私立高效能文理短期補習班</t>
  </si>
  <si>
    <r>
      <rPr>
        <sz val="10"/>
        <color rgb="FF1F2A28"/>
        <rFont val="WenQuanYi Zen Hei"/>
        <family val="2"/>
      </rPr>
      <t xml:space="preserve">彰化縣埤頭鄉興農村</t>
    </r>
    <r>
      <rPr>
        <sz val="10"/>
        <color rgb="FF1F2A28"/>
        <rFont val="Arial"/>
        <family val="0"/>
        <charset val="1"/>
      </rPr>
      <t xml:space="preserve">8</t>
    </r>
    <r>
      <rPr>
        <sz val="10"/>
        <color rgb="FF1F2A28"/>
        <rFont val="WenQuanYi Zen Hei"/>
        <family val="2"/>
      </rPr>
      <t xml:space="preserve">鄰復興巷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</si>
  <si>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(04)8911898</t>
  </si>
  <si>
    <t xml:space="preserve">avachen64@yahoo.com.tw</t>
  </si>
  <si>
    <t xml:space="preserve">陳淑瑄</t>
  </si>
  <si>
    <t xml:space="preserve">蕭俊鴻</t>
  </si>
  <si>
    <t xml:space="preserve">彰化縣私立麥斯特文理短期補習班</t>
  </si>
  <si>
    <r>
      <rPr>
        <sz val="10"/>
        <color rgb="FF1F2A28"/>
        <rFont val="WenQuanYi Zen Hei"/>
        <family val="2"/>
      </rPr>
      <t xml:space="preserve">彰化縣秀水鄉秀中街</t>
    </r>
    <r>
      <rPr>
        <sz val="10"/>
        <color rgb="FF1F2A28"/>
        <rFont val="Arial"/>
        <family val="0"/>
        <charset val="1"/>
      </rPr>
      <t xml:space="preserve">86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</si>
  <si>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(04)7689817</t>
  </si>
  <si>
    <t xml:space="preserve">excellent20142014@hotmail.com</t>
  </si>
  <si>
    <t xml:space="preserve">2014-05-08</t>
  </si>
  <si>
    <t xml:space="preserve">陳彥豪</t>
  </si>
  <si>
    <t xml:space="preserve">私立名傅美語短期補習班</t>
  </si>
  <si>
    <r>
      <rPr>
        <sz val="10"/>
        <color rgb="FF1F2A28"/>
        <rFont val="WenQuanYi Zen Hei"/>
        <family val="2"/>
      </rPr>
      <t xml:space="preserve">彰化縣溪湖鎮福德路</t>
    </r>
    <r>
      <rPr>
        <sz val="10"/>
        <color rgb="FF1F2A28"/>
        <rFont val="Arial"/>
        <family val="0"/>
        <charset val="1"/>
      </rPr>
      <t xml:space="preserve">351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</si>
  <si>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(04)8821055</t>
  </si>
  <si>
    <t xml:space="preserve">2010-11-15</t>
  </si>
  <si>
    <t xml:space="preserve">蔡玉真</t>
  </si>
  <si>
    <t xml:space="preserve">私立嘉英英語會話短期補習班</t>
  </si>
  <si>
    <r>
      <rPr>
        <sz val="10"/>
        <color rgb="FF1F2A28"/>
        <rFont val="WenQuanYi Zen Hei"/>
        <family val="2"/>
      </rPr>
      <t xml:space="preserve">彰化縣永靖鄉開明路</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</si>
  <si>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8246788</t>
  </si>
  <si>
    <t xml:space="preserve">smallchiou1126@yahoo.com.tw</t>
  </si>
  <si>
    <t xml:space="preserve">1996-02-29</t>
  </si>
  <si>
    <t xml:space="preserve">游思應</t>
  </si>
  <si>
    <t xml:space="preserve">邱鈺芳</t>
  </si>
  <si>
    <t xml:space="preserve">私立地球村英語短期補習班</t>
  </si>
  <si>
    <r>
      <rPr>
        <sz val="10"/>
        <color rgb="FF1F2A28"/>
        <rFont val="WenQuanYi Zen Hei"/>
        <family val="2"/>
      </rPr>
      <t xml:space="preserve">彰化縣二林鎮東和里中正路</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</si>
  <si>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8969288</t>
  </si>
  <si>
    <t xml:space="preserve">1995-01-23</t>
  </si>
  <si>
    <t xml:space="preserve">林秀娟</t>
  </si>
  <si>
    <t xml:space="preserve">林吟香</t>
  </si>
  <si>
    <t xml:space="preserve">私立常春藤美語短期補習班</t>
  </si>
  <si>
    <r>
      <rPr>
        <sz val="10"/>
        <color rgb="FF1F2A28"/>
        <rFont val="WenQuanYi Zen Hei"/>
        <family val="2"/>
      </rPr>
      <t xml:space="preserve">彰化縣田中鎮公館路</t>
    </r>
    <r>
      <rPr>
        <sz val="10"/>
        <color rgb="FF1F2A28"/>
        <rFont val="Arial"/>
        <family val="0"/>
        <charset val="1"/>
      </rPr>
      <t xml:space="preserve">289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</si>
  <si>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(04)8746500</t>
  </si>
  <si>
    <t xml:space="preserve">陳俞壬</t>
  </si>
  <si>
    <t xml:space="preserve">吳珮嘉</t>
  </si>
  <si>
    <t xml:space="preserve">私立愛瑞克美語短期補習班</t>
  </si>
  <si>
    <r>
      <rPr>
        <sz val="10"/>
        <color rgb="FF1F2A28"/>
        <rFont val="WenQuanYi Zen Hei"/>
        <family val="2"/>
      </rPr>
      <t xml:space="preserve">彰化縣彰化市仁愛路</t>
    </r>
    <r>
      <rPr>
        <sz val="10"/>
        <color rgb="FF1F2A28"/>
        <rFont val="Arial"/>
        <family val="0"/>
        <charset val="1"/>
      </rPr>
      <t xml:space="preserve">135</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</si>
  <si>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(04)7237228</t>
  </si>
  <si>
    <t xml:space="preserve">ey047237228@gmail.com</t>
  </si>
  <si>
    <t xml:space="preserve">何文淑</t>
  </si>
  <si>
    <t xml:space="preserve">何泓</t>
  </si>
  <si>
    <t xml:space="preserve">私立文廷美語短期補習班</t>
  </si>
  <si>
    <r>
      <rPr>
        <sz val="10"/>
        <color rgb="FF1F2A28"/>
        <rFont val="WenQuanYi Zen Hei"/>
        <family val="2"/>
      </rPr>
      <t xml:space="preserve">彰化縣鹿港鎮永安三路</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</si>
  <si>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7766226</t>
  </si>
  <si>
    <t xml:space="preserve">jen590202@yahoo.com.tw</t>
  </si>
  <si>
    <t xml:space="preserve">1995-11-07</t>
  </si>
  <si>
    <t xml:space="preserve">郭玉珠</t>
  </si>
  <si>
    <t xml:space="preserve">私立文欣美語短期補習班</t>
  </si>
  <si>
    <r>
      <rPr>
        <sz val="10"/>
        <color rgb="FF1F2A28"/>
        <rFont val="WenQuanYi Zen Hei"/>
        <family val="2"/>
      </rPr>
      <t xml:space="preserve">彰化縣二林鎮南安路</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</si>
  <si>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(04)8960744</t>
  </si>
  <si>
    <t xml:space="preserve">godwithus030560@gmail.com</t>
  </si>
  <si>
    <t xml:space="preserve">劉文倩</t>
  </si>
  <si>
    <t xml:space="preserve">私立瑞特美語短期補習班</t>
  </si>
  <si>
    <r>
      <rPr>
        <sz val="10"/>
        <color rgb="FF1F2A28"/>
        <rFont val="WenQuanYi Zen Hei"/>
        <family val="2"/>
      </rPr>
      <t xml:space="preserve">彰化縣彰化市泰安二街</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</si>
  <si>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(04)-7239308</t>
  </si>
  <si>
    <t xml:space="preserve">paulchen020@yahoo.com.tw</t>
  </si>
  <si>
    <t xml:space="preserve">連貞惠</t>
  </si>
  <si>
    <t xml:space="preserve">私立翰林美語短期補習班</t>
  </si>
  <si>
    <r>
      <rPr>
        <sz val="10"/>
        <color rgb="FF1F2A28"/>
        <rFont val="WenQuanYi Zen Hei"/>
        <family val="2"/>
      </rPr>
      <t xml:space="preserve">彰化縣花壇鄉中正路</t>
    </r>
    <r>
      <rPr>
        <sz val="10"/>
        <color rgb="FF1F2A28"/>
        <rFont val="Arial"/>
        <family val="0"/>
        <charset val="1"/>
      </rPr>
      <t xml:space="preserve">63</t>
    </r>
    <r>
      <rPr>
        <sz val="10"/>
        <color rgb="FF1F2A28"/>
        <rFont val="WenQuanYi Zen Hei"/>
        <family val="2"/>
      </rPr>
      <t xml:space="preserve">巷</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</si>
  <si>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7863741</t>
  </si>
  <si>
    <t xml:space="preserve">ch2005a@yahoo.com.tw</t>
  </si>
  <si>
    <t xml:space="preserve">1992-08-03</t>
  </si>
  <si>
    <t xml:space="preserve">陳玉芬</t>
  </si>
  <si>
    <t xml:space="preserve">廖珮軒</t>
  </si>
  <si>
    <t xml:space="preserve">私立金皇家英語短期補習班</t>
  </si>
  <si>
    <r>
      <rPr>
        <sz val="10"/>
        <color rgb="FF1F2A28"/>
        <rFont val="WenQuanYi Zen Hei"/>
        <family val="2"/>
      </rPr>
      <t xml:space="preserve">彰化縣二林鎮儒林路二段</t>
    </r>
    <r>
      <rPr>
        <sz val="10"/>
        <color rgb="FF1F2A28"/>
        <rFont val="Arial"/>
        <family val="0"/>
        <charset val="1"/>
      </rPr>
      <t xml:space="preserve">247</t>
    </r>
    <r>
      <rPr>
        <sz val="10"/>
        <color rgb="FF1F2A28"/>
        <rFont val="WenQuanYi Zen Hei"/>
        <family val="2"/>
      </rPr>
      <t xml:space="preserve">、</t>
    </r>
    <r>
      <rPr>
        <sz val="10"/>
        <color rgb="FF1F2A28"/>
        <rFont val="Arial"/>
        <family val="0"/>
        <charset val="1"/>
      </rPr>
      <t xml:space="preserve">249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</si>
  <si>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(04)8969438</t>
  </si>
  <si>
    <t xml:space="preserve">royal.hess66@gmail.com</t>
  </si>
  <si>
    <t xml:space="preserve">黃一郎</t>
  </si>
  <si>
    <t xml:space="preserve">私立陳毅英文短期補習班</t>
  </si>
  <si>
    <r>
      <rPr>
        <sz val="10"/>
        <color rgb="FF1F2A28"/>
        <rFont val="WenQuanYi Zen Hei"/>
        <family val="2"/>
      </rPr>
      <t xml:space="preserve">彰化縣北斗鎮西德里舜苑街</t>
    </r>
    <r>
      <rPr>
        <sz val="10"/>
        <color rgb="FF1F2A28"/>
        <rFont val="Arial"/>
        <family val="0"/>
        <charset val="1"/>
      </rPr>
      <t xml:space="preserve">153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</si>
  <si>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(04)8870880</t>
  </si>
  <si>
    <t xml:space="preserve">chenyih8870880@gmail.com</t>
  </si>
  <si>
    <t xml:space="preserve">2003-07-22</t>
  </si>
  <si>
    <t xml:space="preserve">陳錦毅</t>
  </si>
  <si>
    <t xml:space="preserve">私立震翰英語短期補習班</t>
  </si>
  <si>
    <r>
      <rPr>
        <sz val="10"/>
        <color rgb="FF1F2A28"/>
        <rFont val="WenQuanYi Zen Hei"/>
        <family val="2"/>
      </rPr>
      <t xml:space="preserve">彰化縣彰化市向陽街</t>
    </r>
    <r>
      <rPr>
        <sz val="10"/>
        <color rgb="FF1F2A28"/>
        <rFont val="Arial"/>
        <family val="0"/>
        <charset val="1"/>
      </rPr>
      <t xml:space="preserve">187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</si>
  <si>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(04)7519296</t>
  </si>
  <si>
    <t xml:space="preserve">2007-04-30</t>
  </si>
  <si>
    <t xml:space="preserve">吳鍵蘴</t>
  </si>
  <si>
    <t xml:space="preserve">鎮大教育股份有限公司附設彰化縣私立正大教育文理短期補習班</t>
  </si>
  <si>
    <r>
      <rPr>
        <sz val="10"/>
        <color rgb="FF1F2A28"/>
        <rFont val="WenQuanYi Zen Hei"/>
        <family val="2"/>
      </rPr>
      <t xml:space="preserve">彰化縣花壇鄉長沙村成功街</t>
    </r>
    <r>
      <rPr>
        <sz val="10"/>
        <color rgb="FF1F2A28"/>
        <rFont val="Arial"/>
        <family val="0"/>
        <charset val="1"/>
      </rPr>
      <t xml:space="preserve">181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</si>
  <si>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(04)7860252</t>
  </si>
  <si>
    <t xml:space="preserve">c0923861993@gmail.com</t>
  </si>
  <si>
    <r>
      <rPr>
        <sz val="10"/>
        <color rgb="FF1F2A28"/>
        <rFont val="WenQuanYi Zen Hei"/>
        <family val="2"/>
      </rPr>
      <t xml:space="preserve">鎮大教育股份有限公司</t>
    </r>
    <r>
      <rPr>
        <sz val="10"/>
        <color rgb="FF1F2A28"/>
        <rFont val="Arial"/>
        <family val="0"/>
        <charset val="1"/>
      </rPr>
      <t xml:space="preserve">(</t>
    </r>
    <r>
      <rPr>
        <sz val="10"/>
        <color rgb="FF1F2A28"/>
        <rFont val="WenQuanYi Zen Hei"/>
        <family val="2"/>
      </rPr>
      <t xml:space="preserve">公司代表人：李楷淳</t>
    </r>
    <r>
      <rPr>
        <sz val="10"/>
        <color rgb="FF1F2A28"/>
        <rFont val="Arial"/>
        <family val="0"/>
        <charset val="1"/>
      </rPr>
      <t xml:space="preserve">)</t>
    </r>
  </si>
  <si>
    <t xml:space="preserve">廖國彰</t>
  </si>
  <si>
    <t xml:space="preserve">二林鎮</t>
  </si>
  <si>
    <t xml:space="preserve">三人廣栽桃李文教事業有限公司附設彰化縣私立加英英語短期補習班</t>
  </si>
  <si>
    <r>
      <rPr>
        <sz val="10"/>
        <color rgb="FF1F2A28"/>
        <rFont val="WenQuanYi Zen Hei"/>
        <family val="2"/>
      </rPr>
      <t xml:space="preserve">二林鎮北平里二溪路一段</t>
    </r>
    <r>
      <rPr>
        <sz val="10"/>
        <color rgb="FF1F2A28"/>
        <rFont val="Arial"/>
        <family val="0"/>
        <charset val="1"/>
      </rPr>
      <t xml:space="preserve">13</t>
    </r>
    <r>
      <rPr>
        <sz val="10"/>
        <color rgb="FF1F2A28"/>
        <rFont val="WenQuanYi Zen Hei"/>
        <family val="2"/>
      </rPr>
      <t xml:space="preserve">號</t>
    </r>
  </si>
  <si>
    <t xml:space="preserve">(04)8960050</t>
  </si>
  <si>
    <t xml:space="preserve">erlinjoy2091@gmail.com</t>
  </si>
  <si>
    <t xml:space="preserve">2003-05-23</t>
  </si>
  <si>
    <r>
      <rPr>
        <sz val="10"/>
        <color rgb="FF1F2A28"/>
        <rFont val="WenQuanYi Zen Hei"/>
        <family val="2"/>
      </rPr>
      <t xml:space="preserve">三人廣栽桃李文教事業有限公司</t>
    </r>
    <r>
      <rPr>
        <sz val="10"/>
        <color rgb="FF1F2A28"/>
        <rFont val="Arial"/>
        <family val="0"/>
        <charset val="1"/>
      </rPr>
      <t xml:space="preserve">(</t>
    </r>
    <r>
      <rPr>
        <sz val="10"/>
        <color rgb="FF1F2A28"/>
        <rFont val="WenQuanYi Zen Hei"/>
        <family val="2"/>
      </rPr>
      <t xml:space="preserve">負責人：陳宏吉</t>
    </r>
  </si>
  <si>
    <t xml:space="preserve">陳宏吉</t>
  </si>
  <si>
    <t xml:space="preserve">私立優格林文理短期補習班</t>
  </si>
  <si>
    <r>
      <rPr>
        <sz val="10"/>
        <color rgb="FF1F2A28"/>
        <rFont val="WenQuanYi Zen Hei"/>
        <family val="2"/>
      </rPr>
      <t xml:space="preserve">二林鎮大成路一段</t>
    </r>
    <r>
      <rPr>
        <sz val="10"/>
        <color rgb="FF1F2A28"/>
        <rFont val="Arial"/>
        <family val="0"/>
        <charset val="1"/>
      </rPr>
      <t xml:space="preserve">141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樓及</t>
    </r>
    <r>
      <rPr>
        <sz val="10"/>
        <color rgb="FF1F2A28"/>
        <rFont val="Arial"/>
        <family val="0"/>
        <charset val="1"/>
      </rPr>
      <t xml:space="preserve">138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</si>
  <si>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(04)8956101</t>
  </si>
  <si>
    <t xml:space="preserve">yourgreen101@gmail.com</t>
  </si>
  <si>
    <t xml:space="preserve">2001-01-19</t>
  </si>
  <si>
    <t xml:space="preserve">陳貞竹</t>
  </si>
  <si>
    <t xml:space="preserve">私立吉幼語文短期補習班</t>
  </si>
  <si>
    <r>
      <rPr>
        <sz val="10"/>
        <color rgb="FF1F2A28"/>
        <rFont val="WenQuanYi Zen Hei"/>
        <family val="2"/>
      </rPr>
      <t xml:space="preserve">二林鎮二溪路一段</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</si>
  <si>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8955991</t>
  </si>
  <si>
    <t xml:space="preserve">w02j03t@gmail.com</t>
  </si>
  <si>
    <t xml:space="preserve">陳盈瑩</t>
  </si>
  <si>
    <t xml:space="preserve">私立大蘋果美語短期補習班</t>
  </si>
  <si>
    <r>
      <rPr>
        <sz val="10"/>
        <color rgb="FF1F2A28"/>
        <rFont val="WenQuanYi Zen Hei"/>
        <family val="2"/>
      </rPr>
      <t xml:space="preserve">二林鎮挖子路</t>
    </r>
    <r>
      <rPr>
        <sz val="10"/>
        <color rgb="FF1F2A28"/>
        <rFont val="Arial"/>
        <family val="0"/>
        <charset val="1"/>
      </rPr>
      <t xml:space="preserve">17</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</si>
  <si>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(04)8683660</t>
  </si>
  <si>
    <t xml:space="preserve">immother1@gmail.com</t>
  </si>
  <si>
    <t xml:space="preserve">2008-10-30</t>
  </si>
  <si>
    <t xml:space="preserve">周靜怡</t>
  </si>
  <si>
    <t xml:space="preserve">私立宏名數學英語短期補習班</t>
  </si>
  <si>
    <r>
      <rPr>
        <sz val="10"/>
        <color rgb="FF1F2A28"/>
        <rFont val="WenQuanYi Zen Hei"/>
        <family val="2"/>
      </rPr>
      <t xml:space="preserve">二林鎮南安路</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</si>
  <si>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8969366</t>
  </si>
  <si>
    <t xml:space="preserve">h8969366@yahoo.com.tw</t>
  </si>
  <si>
    <t xml:space="preserve">1995-04-05</t>
  </si>
  <si>
    <t xml:space="preserve">洪毓雯</t>
  </si>
  <si>
    <t xml:space="preserve">二水鄉</t>
  </si>
  <si>
    <t xml:space="preserve">彰化縣私立張姐姐美語短期補習班</t>
  </si>
  <si>
    <r>
      <rPr>
        <sz val="10"/>
        <color rgb="FF1F2A28"/>
        <rFont val="WenQuanYi Zen Hei"/>
        <family val="2"/>
      </rPr>
      <t xml:space="preserve">二水鄉員集路三段</t>
    </r>
    <r>
      <rPr>
        <sz val="10"/>
        <color rgb="FF1F2A28"/>
        <rFont val="Arial"/>
        <family val="0"/>
        <charset val="1"/>
      </rPr>
      <t xml:space="preserve">440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</si>
  <si>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0935318365</t>
  </si>
  <si>
    <t xml:space="preserve">chiachia1038@gmail.com</t>
  </si>
  <si>
    <t xml:space="preserve">2018-03-07</t>
  </si>
  <si>
    <t xml:space="preserve">張佳雯</t>
  </si>
  <si>
    <t xml:space="preserve">私立全心美語短期補習班</t>
  </si>
  <si>
    <r>
      <rPr>
        <sz val="10"/>
        <color rgb="FF1F2A28"/>
        <rFont val="WenQuanYi Zen Hei"/>
        <family val="2"/>
      </rPr>
      <t xml:space="preserve">二水鄉光化村員集路四段</t>
    </r>
    <r>
      <rPr>
        <sz val="10"/>
        <color rgb="FF1F2A28"/>
        <rFont val="Arial"/>
        <family val="0"/>
        <charset val="1"/>
      </rPr>
      <t xml:space="preserve">167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</si>
  <si>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(04)8794027</t>
  </si>
  <si>
    <t xml:space="preserve">progress_8794027@yahoo.com.tw</t>
  </si>
  <si>
    <t xml:space="preserve">2004-03-02</t>
  </si>
  <si>
    <r>
      <rPr>
        <sz val="10"/>
        <color rgb="FF1F2A28"/>
        <rFont val="WenQuanYi Zen Hei"/>
        <family val="2"/>
      </rPr>
      <t xml:space="preserve">蔡美玲</t>
    </r>
    <r>
      <rPr>
        <sz val="10"/>
        <color rgb="FF1F2A28"/>
        <rFont val="Arial"/>
        <family val="0"/>
        <charset val="1"/>
      </rPr>
      <t xml:space="preserve">(</t>
    </r>
    <r>
      <rPr>
        <sz val="10"/>
        <color rgb="FF1F2A28"/>
        <rFont val="WenQuanYi Zen Hei"/>
        <family val="2"/>
      </rPr>
      <t xml:space="preserve">設立代表人</t>
    </r>
    <r>
      <rPr>
        <sz val="10"/>
        <color rgb="FF1F2A28"/>
        <rFont val="Arial"/>
        <family val="0"/>
        <charset val="1"/>
      </rPr>
      <t xml:space="preserve">)</t>
    </r>
  </si>
  <si>
    <t xml:space="preserve">蔡美玲</t>
  </si>
  <si>
    <t xml:space="preserve">私立明進美語短期補習班</t>
  </si>
  <si>
    <r>
      <rPr>
        <sz val="10"/>
        <color rgb="FF1F2A28"/>
        <rFont val="WenQuanYi Zen Hei"/>
        <family val="2"/>
      </rPr>
      <t xml:space="preserve">二水鄉文明路</t>
    </r>
    <r>
      <rPr>
        <sz val="10"/>
        <color rgb="FF1F2A28"/>
        <rFont val="Arial"/>
        <family val="0"/>
        <charset val="1"/>
      </rPr>
      <t xml:space="preserve">117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</si>
  <si>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(04)8797521</t>
  </si>
  <si>
    <t xml:space="preserve">shulitseng1222@gmail.com</t>
  </si>
  <si>
    <t xml:space="preserve">2003-02-26</t>
  </si>
  <si>
    <t xml:space="preserve">曾勤財</t>
  </si>
  <si>
    <t xml:space="preserve">曾淑麗</t>
  </si>
  <si>
    <t xml:space="preserve">伸港鄉</t>
  </si>
  <si>
    <t xml:space="preserve">私立東昇語文短期補習班</t>
  </si>
  <si>
    <r>
      <rPr>
        <sz val="10"/>
        <color rgb="FF1F2A28"/>
        <rFont val="WenQuanYi Zen Hei"/>
        <family val="2"/>
      </rPr>
      <t xml:space="preserve">伸港鄉新港村中山路</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</si>
  <si>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7993918</t>
  </si>
  <si>
    <t xml:space="preserve">1999-04-19</t>
  </si>
  <si>
    <t xml:space="preserve">姚淑華</t>
  </si>
  <si>
    <t xml:space="preserve">私立童愛美語短期補習班</t>
  </si>
  <si>
    <r>
      <rPr>
        <sz val="10"/>
        <color rgb="FF1F2A28"/>
        <rFont val="WenQuanYi Zen Hei"/>
        <family val="2"/>
      </rPr>
      <t xml:space="preserve">伸港鄉七嘉村中華路</t>
    </r>
    <r>
      <rPr>
        <sz val="10"/>
        <color rgb="FF1F2A28"/>
        <rFont val="Arial"/>
        <family val="0"/>
        <charset val="1"/>
      </rPr>
      <t xml:space="preserve">576</t>
    </r>
    <r>
      <rPr>
        <sz val="10"/>
        <color rgb="FF1F2A28"/>
        <rFont val="WenQuanYi Zen Hei"/>
        <family val="2"/>
      </rPr>
      <t xml:space="preserve">、</t>
    </r>
    <r>
      <rPr>
        <sz val="10"/>
        <color rgb="FF1F2A28"/>
        <rFont val="Arial"/>
        <family val="0"/>
        <charset val="1"/>
      </rPr>
      <t xml:space="preserve">578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</si>
  <si>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(04)7983378</t>
  </si>
  <si>
    <t xml:space="preserve">a7983378@yahoo.com.tw</t>
  </si>
  <si>
    <t xml:space="preserve">2005-07-26</t>
  </si>
  <si>
    <t xml:space="preserve">林淑華</t>
  </si>
  <si>
    <t xml:space="preserve">私立美爾蒂文理短期補習班</t>
  </si>
  <si>
    <r>
      <rPr>
        <sz val="10"/>
        <color rgb="FF1F2A28"/>
        <rFont val="WenQuanYi Zen Hei"/>
        <family val="2"/>
      </rPr>
      <t xml:space="preserve">伸港鄉仁愛路</t>
    </r>
    <r>
      <rPr>
        <sz val="10"/>
        <color rgb="FF1F2A28"/>
        <rFont val="Arial"/>
        <family val="0"/>
        <charset val="1"/>
      </rPr>
      <t xml:space="preserve">74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</si>
  <si>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(04)7985520</t>
  </si>
  <si>
    <t xml:space="preserve">mountchen@gmail.com</t>
  </si>
  <si>
    <t xml:space="preserve">陳俊傑</t>
  </si>
  <si>
    <t xml:space="preserve">私立華盛頓美語短期補習班</t>
  </si>
  <si>
    <r>
      <rPr>
        <sz val="10"/>
        <color rgb="FF1F2A28"/>
        <rFont val="WenQuanYi Zen Hei"/>
        <family val="2"/>
      </rPr>
      <t xml:space="preserve">伸港鄉自強路</t>
    </r>
    <r>
      <rPr>
        <sz val="10"/>
        <color rgb="FF1F2A28"/>
        <rFont val="Arial"/>
        <family val="0"/>
        <charset val="1"/>
      </rPr>
      <t xml:space="preserve">99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</si>
  <si>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(04)7997681</t>
  </si>
  <si>
    <t xml:space="preserve">aa0987681151@gmail.com</t>
  </si>
  <si>
    <t xml:space="preserve">2010-08-12</t>
  </si>
  <si>
    <t xml:space="preserve">周泓廷</t>
  </si>
  <si>
    <t xml:space="preserve">私立高階美語珠算短期補習班</t>
  </si>
  <si>
    <t xml:space="preserve">伸港鄉信義路一一二號</t>
  </si>
  <si>
    <t xml:space="preserve">7982597</t>
  </si>
  <si>
    <t xml:space="preserve">1998-09-03</t>
  </si>
  <si>
    <t xml:space="preserve">劉黃惠莉</t>
  </si>
  <si>
    <t xml:space="preserve">魏幸君</t>
  </si>
  <si>
    <t xml:space="preserve">北斗鎮</t>
  </si>
  <si>
    <t xml:space="preserve">彰化縣私立出賢文理短期補習班</t>
  </si>
  <si>
    <r>
      <rPr>
        <sz val="10"/>
        <color rgb="FF1F2A28"/>
        <rFont val="WenQuanYi Zen Hei"/>
        <family val="2"/>
      </rPr>
      <t xml:space="preserve">北斗鎮宮後街</t>
    </r>
    <r>
      <rPr>
        <sz val="10"/>
        <color rgb="FF1F2A28"/>
        <rFont val="Arial"/>
        <family val="0"/>
        <charset val="1"/>
      </rPr>
      <t xml:space="preserve">161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</si>
  <si>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(04)8872129</t>
  </si>
  <si>
    <t xml:space="preserve">許芳瑜</t>
  </si>
  <si>
    <t xml:space="preserve">彰化縣私立小哈佛電腦美語短期補習班</t>
  </si>
  <si>
    <r>
      <rPr>
        <sz val="10"/>
        <color rgb="FF1F2A28"/>
        <rFont val="WenQuanYi Zen Hei"/>
        <family val="2"/>
      </rPr>
      <t xml:space="preserve">北斗鎮文子巷十三之八號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</si>
  <si>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8875881</t>
  </si>
  <si>
    <t xml:space="preserve">jeanting5643@gmail.com</t>
  </si>
  <si>
    <t xml:space="preserve">2001-07-25</t>
  </si>
  <si>
    <t xml:space="preserve">陳俊廷</t>
  </si>
  <si>
    <t xml:space="preserve">陳采均</t>
  </si>
  <si>
    <t xml:space="preserve">彰化縣私立愛妮英文短期補習班</t>
  </si>
  <si>
    <r>
      <rPr>
        <sz val="10"/>
        <color rgb="FF1F2A28"/>
        <rFont val="WenQuanYi Zen Hei"/>
        <family val="2"/>
      </rPr>
      <t xml:space="preserve">北斗鎮地政路</t>
    </r>
    <r>
      <rPr>
        <sz val="10"/>
        <color rgb="FF1F2A28"/>
        <rFont val="Arial"/>
        <family val="0"/>
        <charset val="1"/>
      </rPr>
      <t xml:space="preserve">81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</si>
  <si>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(04)887-7290</t>
  </si>
  <si>
    <t xml:space="preserve">dreambig1108@gmail.com</t>
  </si>
  <si>
    <t xml:space="preserve">2024-01-29</t>
  </si>
  <si>
    <t xml:space="preserve">張瀞云</t>
  </si>
  <si>
    <t xml:space="preserve">彰化縣私立探索美語短期補習班</t>
  </si>
  <si>
    <r>
      <rPr>
        <sz val="10"/>
        <color rgb="FF1F2A28"/>
        <rFont val="WenQuanYi Zen Hei"/>
        <family val="2"/>
      </rPr>
      <t xml:space="preserve">北斗鎮公所街</t>
    </r>
    <r>
      <rPr>
        <sz val="10"/>
        <color rgb="FF1F2A28"/>
        <rFont val="Arial"/>
        <family val="0"/>
        <charset val="1"/>
      </rPr>
      <t xml:space="preserve">129</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</si>
  <si>
    <t xml:space="preserve">8884998</t>
  </si>
  <si>
    <t xml:space="preserve">jojolai33@gmail.com</t>
  </si>
  <si>
    <t xml:space="preserve">1999-05-17</t>
  </si>
  <si>
    <t xml:space="preserve">賴宜蓁</t>
  </si>
  <si>
    <t xml:space="preserve">彰化縣私立貝思特文理短期補習班</t>
  </si>
  <si>
    <r>
      <rPr>
        <sz val="10"/>
        <color rgb="FF1F2A28"/>
        <rFont val="WenQuanYi Zen Hei"/>
        <family val="2"/>
      </rPr>
      <t xml:space="preserve">北斗鎮地政路</t>
    </r>
    <r>
      <rPr>
        <sz val="10"/>
        <color rgb="FF1F2A28"/>
        <rFont val="Arial"/>
        <family val="0"/>
        <charset val="1"/>
      </rPr>
      <t xml:space="preserve">519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</si>
  <si>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(04)8877786</t>
  </si>
  <si>
    <t xml:space="preserve">2019-02-27</t>
  </si>
  <si>
    <t xml:space="preserve">高冠博</t>
  </si>
  <si>
    <t xml:space="preserve">傅昭瑜</t>
  </si>
  <si>
    <t xml:space="preserve">彰化縣私立陽軒文理短期補習班</t>
  </si>
  <si>
    <r>
      <rPr>
        <sz val="10"/>
        <color rgb="FF1F2A28"/>
        <rFont val="WenQuanYi Zen Hei"/>
        <family val="2"/>
      </rPr>
      <t xml:space="preserve">北斗鎮地政路</t>
    </r>
    <r>
      <rPr>
        <sz val="10"/>
        <color rgb="FF1F2A28"/>
        <rFont val="Arial"/>
        <family val="0"/>
        <charset val="1"/>
      </rPr>
      <t xml:space="preserve">213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</si>
  <si>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(04)8884620</t>
  </si>
  <si>
    <t xml:space="preserve">juan528668@gmail.com</t>
  </si>
  <si>
    <t xml:space="preserve">2003-02-13</t>
  </si>
  <si>
    <t xml:space="preserve">林美娟</t>
  </si>
  <si>
    <t xml:space="preserve">施毓廷文教事業有限公司附設彰化縣私立家因英語短期補習班</t>
  </si>
  <si>
    <r>
      <rPr>
        <sz val="10"/>
        <color rgb="FF1F2A28"/>
        <rFont val="WenQuanYi Zen Hei"/>
        <family val="2"/>
      </rPr>
      <t xml:space="preserve">北斗鎮民族路</t>
    </r>
    <r>
      <rPr>
        <sz val="10"/>
        <color rgb="FF1F2A28"/>
        <rFont val="Arial"/>
        <family val="0"/>
        <charset val="1"/>
      </rPr>
      <t xml:space="preserve">42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</si>
  <si>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8881201</t>
  </si>
  <si>
    <t xml:space="preserve">doug78ca@gmail.com</t>
  </si>
  <si>
    <t xml:space="preserve">1997-06-30</t>
  </si>
  <si>
    <r>
      <rPr>
        <sz val="10"/>
        <color rgb="FF1F2A28"/>
        <rFont val="WenQuanYi Zen Hei"/>
        <family val="2"/>
      </rPr>
      <t xml:space="preserve">施毓廷文教事業有限公司</t>
    </r>
    <r>
      <rPr>
        <sz val="10"/>
        <color rgb="FF1F2A28"/>
        <rFont val="Arial"/>
        <family val="0"/>
        <charset val="1"/>
      </rPr>
      <t xml:space="preserve">(</t>
    </r>
    <r>
      <rPr>
        <sz val="10"/>
        <color rgb="FF1F2A28"/>
        <rFont val="WenQuanYi Zen Hei"/>
        <family val="2"/>
      </rPr>
      <t xml:space="preserve">負責人：施育廷</t>
    </r>
    <r>
      <rPr>
        <sz val="10"/>
        <color rgb="FF1F2A28"/>
        <rFont val="Arial"/>
        <family val="0"/>
        <charset val="1"/>
      </rPr>
      <t xml:space="preserve">)</t>
    </r>
  </si>
  <si>
    <t xml:space="preserve">施育廷</t>
  </si>
  <si>
    <t xml:space="preserve">私立世紀英語短期補習班</t>
  </si>
  <si>
    <r>
      <rPr>
        <sz val="10"/>
        <color rgb="FF1F2A28"/>
        <rFont val="WenQuanYi Zen Hei"/>
        <family val="2"/>
      </rPr>
      <t xml:space="preserve">北斗鎮西德里民族路</t>
    </r>
    <r>
      <rPr>
        <sz val="10"/>
        <color rgb="FF1F2A28"/>
        <rFont val="Arial"/>
        <family val="0"/>
        <charset val="1"/>
      </rPr>
      <t xml:space="preserve">263</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弄</t>
    </r>
    <r>
      <rPr>
        <sz val="10"/>
        <color rgb="FF1F2A28"/>
        <rFont val="Arial"/>
        <family val="0"/>
        <charset val="1"/>
      </rPr>
      <t xml:space="preserve">24</t>
    </r>
    <r>
      <rPr>
        <sz val="10"/>
        <color rgb="FF1F2A28"/>
        <rFont val="WenQuanYi Zen Hei"/>
        <family val="2"/>
      </rPr>
      <t xml:space="preserve">號及</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</si>
  <si>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(04)8781908</t>
  </si>
  <si>
    <t xml:space="preserve">englishzone1998@gmail.com</t>
  </si>
  <si>
    <t xml:space="preserve">邱鈺樺</t>
  </si>
  <si>
    <t xml:space="preserve">私立人上人美語短期補習班</t>
  </si>
  <si>
    <r>
      <rPr>
        <sz val="10"/>
        <color rgb="FF1F2A28"/>
        <rFont val="WenQuanYi Zen Hei"/>
        <family val="2"/>
      </rPr>
      <t xml:space="preserve">北斗鎮光仁街</t>
    </r>
    <r>
      <rPr>
        <sz val="10"/>
        <color rgb="FF1F2A28"/>
        <rFont val="Arial"/>
        <family val="0"/>
        <charset val="1"/>
      </rPr>
      <t xml:space="preserve">241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</si>
  <si>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8872679</t>
  </si>
  <si>
    <t xml:space="preserve">a0923303998@gmail.com</t>
  </si>
  <si>
    <t xml:space="preserve">1994-12-23</t>
  </si>
  <si>
    <t xml:space="preserve">陳坤洲</t>
  </si>
  <si>
    <t xml:space="preserve">私立大英美語短期補習班</t>
  </si>
  <si>
    <r>
      <rPr>
        <sz val="10"/>
        <color rgb="FF1F2A28"/>
        <rFont val="WenQuanYi Zen Hei"/>
        <family val="2"/>
      </rPr>
      <t xml:space="preserve">北斗鎮新政里文子巷</t>
    </r>
    <r>
      <rPr>
        <sz val="10"/>
        <color rgb="FF1F2A28"/>
        <rFont val="Arial"/>
        <family val="0"/>
        <charset val="1"/>
      </rPr>
      <t xml:space="preserve">12</t>
    </r>
    <r>
      <rPr>
        <sz val="10"/>
        <color rgb="FF1F2A28"/>
        <rFont val="WenQuanYi Zen Hei"/>
        <family val="2"/>
      </rPr>
      <t xml:space="preserve">之</t>
    </r>
    <r>
      <rPr>
        <sz val="10"/>
        <color rgb="FF1F2A28"/>
        <rFont val="Arial"/>
        <family val="0"/>
        <charset val="1"/>
      </rPr>
      <t xml:space="preserve">4</t>
    </r>
    <r>
      <rPr>
        <sz val="10"/>
        <color rgb="FF1F2A28"/>
        <rFont val="WenQuanYi Zen Hei"/>
        <family val="2"/>
      </rPr>
      <t xml:space="preserve">號</t>
    </r>
  </si>
  <si>
    <t xml:space="preserve">(04)8780249</t>
  </si>
  <si>
    <t xml:space="preserve">lioner.jason@msa.hinet.net</t>
  </si>
  <si>
    <t xml:space="preserve">林文軒</t>
  </si>
  <si>
    <t xml:space="preserve">私立裘琳恩美語短期補習班</t>
  </si>
  <si>
    <r>
      <rPr>
        <sz val="10"/>
        <color rgb="FF1F2A28"/>
        <rFont val="WenQuanYi Zen Hei"/>
        <family val="2"/>
      </rPr>
      <t xml:space="preserve">北斗鎮文子巷</t>
    </r>
    <r>
      <rPr>
        <sz val="10"/>
        <color rgb="FF1F2A28"/>
        <rFont val="Arial"/>
        <family val="0"/>
        <charset val="1"/>
      </rPr>
      <t xml:space="preserve">20</t>
    </r>
    <r>
      <rPr>
        <sz val="10"/>
        <color rgb="FF1F2A28"/>
        <rFont val="WenQuanYi Zen Hei"/>
        <family val="2"/>
      </rPr>
      <t xml:space="preserve">之</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</si>
  <si>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(04)8881002</t>
  </si>
  <si>
    <t xml:space="preserve">林秀珍</t>
  </si>
  <si>
    <t xml:space="preserve">和美鎮</t>
  </si>
  <si>
    <t xml:space="preserve">前才國際股份有限公司附設彰化縣私立前才英語短期補習班</t>
  </si>
  <si>
    <r>
      <rPr>
        <sz val="10"/>
        <color rgb="FF1F2A28"/>
        <rFont val="WenQuanYi Zen Hei"/>
        <family val="2"/>
      </rPr>
      <t xml:space="preserve">和美鎮道周路</t>
    </r>
    <r>
      <rPr>
        <sz val="10"/>
        <color rgb="FF1F2A28"/>
        <rFont val="Arial"/>
        <family val="0"/>
        <charset val="1"/>
      </rPr>
      <t xml:space="preserve">550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</si>
  <si>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(04)7567332</t>
  </si>
  <si>
    <t xml:space="preserve">2006-05-12</t>
  </si>
  <si>
    <t xml:space="preserve">施佳儀</t>
  </si>
  <si>
    <t xml:space="preserve">彰化縣私立史丹佛文理技藝短期補習班</t>
  </si>
  <si>
    <r>
      <rPr>
        <sz val="10"/>
        <color rgb="FF1F2A28"/>
        <rFont val="WenQuanYi Zen Hei"/>
        <family val="2"/>
      </rPr>
      <t xml:space="preserve">和美鎮山犁里仁美路</t>
    </r>
    <r>
      <rPr>
        <sz val="10"/>
        <color rgb="FF1F2A28"/>
        <rFont val="Arial"/>
        <family val="0"/>
        <charset val="1"/>
      </rPr>
      <t xml:space="preserve">53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t>
    </r>
  </si>
  <si>
    <t xml:space="preserve">757-7356</t>
  </si>
  <si>
    <t xml:space="preserve">a0952470236@gmail.com</t>
  </si>
  <si>
    <t xml:space="preserve">1999-07-31</t>
  </si>
  <si>
    <t xml:space="preserve">徐伴麗</t>
  </si>
  <si>
    <t xml:space="preserve">陳欣怡</t>
  </si>
  <si>
    <t xml:space="preserve">彰化縣私立同心園文理短期補習班</t>
  </si>
  <si>
    <r>
      <rPr>
        <sz val="10"/>
        <color rgb="FF1F2A28"/>
        <rFont val="WenQuanYi Zen Hei"/>
        <family val="2"/>
      </rPr>
      <t xml:space="preserve">和美鎮德美路</t>
    </r>
    <r>
      <rPr>
        <sz val="10"/>
        <color rgb="FF1F2A28"/>
        <rFont val="Arial"/>
        <family val="0"/>
        <charset val="1"/>
      </rPr>
      <t xml:space="preserve">176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</si>
  <si>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(04)7579468</t>
  </si>
  <si>
    <t xml:space="preserve">2019-01-25</t>
  </si>
  <si>
    <t xml:space="preserve">周翠娟</t>
  </si>
  <si>
    <t xml:space="preserve">彰化縣私立向陽文理短期補習班</t>
  </si>
  <si>
    <r>
      <rPr>
        <sz val="10"/>
        <color rgb="FF1F2A28"/>
        <rFont val="WenQuanYi Zen Hei"/>
        <family val="2"/>
      </rPr>
      <t xml:space="preserve">和美鎮和平街</t>
    </r>
    <r>
      <rPr>
        <sz val="10"/>
        <color rgb="FF1F2A28"/>
        <rFont val="Arial"/>
        <family val="0"/>
        <charset val="1"/>
      </rPr>
      <t xml:space="preserve">54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</si>
  <si>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(04)7560466</t>
  </si>
  <si>
    <t xml:space="preserve">楊怡瑱</t>
  </si>
  <si>
    <t xml:space="preserve">彰化縣私立威爾文理短期補習班</t>
  </si>
  <si>
    <r>
      <rPr>
        <sz val="10"/>
        <color rgb="FF1F2A28"/>
        <rFont val="WenQuanYi Zen Hei"/>
        <family val="2"/>
      </rPr>
      <t xml:space="preserve">和美鎮仁望路</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</si>
  <si>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(04)7562869</t>
  </si>
  <si>
    <t xml:space="preserve">蔡瑋峻</t>
  </si>
  <si>
    <t xml:space="preserve">彰化縣私立徐樂文理短期補習班</t>
  </si>
  <si>
    <r>
      <rPr>
        <sz val="10"/>
        <color rgb="FF1F2A28"/>
        <rFont val="WenQuanYi Zen Hei"/>
        <family val="2"/>
      </rPr>
      <t xml:space="preserve">和美鎮和卿路</t>
    </r>
    <r>
      <rPr>
        <sz val="10"/>
        <color rgb="FF1F2A28"/>
        <rFont val="Arial"/>
        <family val="0"/>
        <charset val="1"/>
      </rPr>
      <t xml:space="preserve">51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57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</si>
  <si>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(04)7552958</t>
  </si>
  <si>
    <t xml:space="preserve">2011-12-05</t>
  </si>
  <si>
    <t xml:space="preserve">徐健榮</t>
  </si>
  <si>
    <t xml:space="preserve">彰化縣私立懿城文理短期補習班</t>
  </si>
  <si>
    <r>
      <rPr>
        <sz val="10"/>
        <color rgb="FF1F2A28"/>
        <rFont val="WenQuanYi Zen Hei"/>
        <family val="2"/>
      </rPr>
      <t xml:space="preserve">和美鎮和平街</t>
    </r>
    <r>
      <rPr>
        <sz val="10"/>
        <color rgb="FF1F2A28"/>
        <rFont val="Arial"/>
        <family val="0"/>
        <charset val="1"/>
      </rPr>
      <t xml:space="preserve">110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</si>
  <si>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0955-159921</t>
  </si>
  <si>
    <t xml:space="preserve">林奕呈</t>
  </si>
  <si>
    <t xml:space="preserve">彰化縣私立智慧園文理短期補習班</t>
  </si>
  <si>
    <r>
      <rPr>
        <sz val="10"/>
        <color rgb="FF1F2A28"/>
        <rFont val="WenQuanYi Zen Hei"/>
        <family val="2"/>
      </rPr>
      <t xml:space="preserve">和美鎮彰新路三段</t>
    </r>
    <r>
      <rPr>
        <sz val="10"/>
        <color rgb="FF1F2A28"/>
        <rFont val="Arial"/>
        <family val="0"/>
        <charset val="1"/>
      </rPr>
      <t xml:space="preserve">413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</si>
  <si>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0939572823</t>
  </si>
  <si>
    <t xml:space="preserve">2009-08-28</t>
  </si>
  <si>
    <t xml:space="preserve">林姿吟</t>
  </si>
  <si>
    <t xml:space="preserve">彰化縣私立美郁語文短期補習班</t>
  </si>
  <si>
    <r>
      <rPr>
        <sz val="10"/>
        <color rgb="FF1F2A28"/>
        <rFont val="WenQuanYi Zen Hei"/>
        <family val="2"/>
      </rPr>
      <t xml:space="preserve">和美鎮仁安路</t>
    </r>
    <r>
      <rPr>
        <sz val="10"/>
        <color rgb="FF1F2A28"/>
        <rFont val="Arial"/>
        <family val="0"/>
        <charset val="1"/>
      </rPr>
      <t xml:space="preserve">209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t>
    </r>
  </si>
  <si>
    <t xml:space="preserve">7557000</t>
  </si>
  <si>
    <t xml:space="preserve">joyhomei7557000@gmail.com</t>
  </si>
  <si>
    <t xml:space="preserve">2003-01-28</t>
  </si>
  <si>
    <t xml:space="preserve">黃琇琡</t>
  </si>
  <si>
    <t xml:space="preserve">彰化縣私立葛萊多芬文理短期補習班</t>
  </si>
  <si>
    <r>
      <rPr>
        <sz val="10"/>
        <color rgb="FF1F2A28"/>
        <rFont val="WenQuanYi Zen Hei"/>
        <family val="2"/>
      </rPr>
      <t xml:space="preserve">和美鎮和平街</t>
    </r>
    <r>
      <rPr>
        <sz val="10"/>
        <color rgb="FF1F2A28"/>
        <rFont val="Arial"/>
        <family val="0"/>
        <charset val="1"/>
      </rPr>
      <t xml:space="preserve">76</t>
    </r>
    <r>
      <rPr>
        <sz val="10"/>
        <color rgb="FF1F2A28"/>
        <rFont val="WenQuanYi Zen Hei"/>
        <family val="2"/>
      </rPr>
      <t xml:space="preserve">號、</t>
    </r>
    <r>
      <rPr>
        <sz val="10"/>
        <color rgb="FF1F2A28"/>
        <rFont val="Arial"/>
        <family val="0"/>
        <charset val="1"/>
      </rPr>
      <t xml:space="preserve">78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</si>
  <si>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04-7568-557</t>
  </si>
  <si>
    <t xml:space="preserve">n0524885@yahoo.com.tw</t>
  </si>
  <si>
    <t xml:space="preserve">2010-12-30</t>
  </si>
  <si>
    <t xml:space="preserve">林家賢</t>
  </si>
  <si>
    <t xml:space="preserve">私立典群美語短期補習班</t>
  </si>
  <si>
    <r>
      <rPr>
        <sz val="10"/>
        <color rgb="FF1F2A28"/>
        <rFont val="WenQuanYi Zen Hei"/>
        <family val="2"/>
      </rPr>
      <t xml:space="preserve">和美鎮孝悌路</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</si>
  <si>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(04)7553165</t>
  </si>
  <si>
    <t xml:space="preserve">2014-01-10</t>
  </si>
  <si>
    <t xml:space="preserve">吳雅惠</t>
  </si>
  <si>
    <t xml:space="preserve">吳璧珊</t>
  </si>
  <si>
    <t xml:space="preserve">私立史帝芬英語短期補習班</t>
  </si>
  <si>
    <r>
      <rPr>
        <sz val="10"/>
        <color rgb="FF1F2A28"/>
        <rFont val="WenQuanYi Zen Hei"/>
        <family val="2"/>
      </rPr>
      <t xml:space="preserve">和美鎮德美路</t>
    </r>
    <r>
      <rPr>
        <sz val="10"/>
        <color rgb="FF1F2A28"/>
        <rFont val="Arial"/>
        <family val="0"/>
        <charset val="1"/>
      </rPr>
      <t xml:space="preserve">117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</si>
  <si>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(04)7550932</t>
  </si>
  <si>
    <t xml:space="preserve">joantien11@gmail.com</t>
  </si>
  <si>
    <t xml:space="preserve">林芳毅</t>
  </si>
  <si>
    <t xml:space="preserve">田人文</t>
  </si>
  <si>
    <t xml:space="preserve">私立喬瑞美語短期補習班</t>
  </si>
  <si>
    <r>
      <rPr>
        <sz val="10"/>
        <color rgb="FF1F2A28"/>
        <rFont val="WenQuanYi Zen Hei"/>
        <family val="2"/>
      </rPr>
      <t xml:space="preserve">和美鎮義美路</t>
    </r>
    <r>
      <rPr>
        <sz val="10"/>
        <color rgb="FF1F2A28"/>
        <rFont val="Arial"/>
        <family val="0"/>
        <charset val="1"/>
      </rPr>
      <t xml:space="preserve">49</t>
    </r>
    <r>
      <rPr>
        <sz val="10"/>
        <color rgb="FF1F2A28"/>
        <rFont val="WenQuanYi Zen Hei"/>
        <family val="2"/>
      </rPr>
      <t xml:space="preserve">號</t>
    </r>
    <r>
      <rPr>
        <sz val="10"/>
        <color rgb="FF1F2A28"/>
        <rFont val="Arial"/>
        <family val="0"/>
        <charset val="1"/>
      </rPr>
      <t xml:space="preserve">1~2F</t>
    </r>
  </si>
  <si>
    <t xml:space="preserve">(04)7579319</t>
  </si>
  <si>
    <t xml:space="preserve">a4117cherry@yahoo.com.tw</t>
  </si>
  <si>
    <t xml:space="preserve">2005-06-15</t>
  </si>
  <si>
    <t xml:space="preserve">陳桂櫻</t>
  </si>
  <si>
    <t xml:space="preserve">私立增您智美語短期補習班</t>
  </si>
  <si>
    <r>
      <rPr>
        <sz val="10"/>
        <color rgb="FF1F2A28"/>
        <rFont val="WenQuanYi Zen Hei"/>
        <family val="2"/>
      </rPr>
      <t xml:space="preserve">和美鎮塗厝里彰新路五段</t>
    </r>
    <r>
      <rPr>
        <sz val="10"/>
        <color rgb="FF1F2A28"/>
        <rFont val="Arial"/>
        <family val="0"/>
        <charset val="1"/>
      </rPr>
      <t xml:space="preserve">272</t>
    </r>
    <r>
      <rPr>
        <sz val="10"/>
        <color rgb="FF1F2A28"/>
        <rFont val="WenQuanYi Zen Hei"/>
        <family val="2"/>
      </rPr>
      <t xml:space="preserve">號</t>
    </r>
  </si>
  <si>
    <t xml:space="preserve">(04)7573611</t>
  </si>
  <si>
    <t xml:space="preserve">vans5287@gmail.com</t>
  </si>
  <si>
    <t xml:space="preserve">2002-05-27</t>
  </si>
  <si>
    <t xml:space="preserve">陳泓源</t>
  </si>
  <si>
    <t xml:space="preserve">私立夏爾英文短期補習班</t>
  </si>
  <si>
    <r>
      <rPr>
        <sz val="10"/>
        <color rgb="FF1F2A28"/>
        <rFont val="WenQuanYi Zen Hei"/>
        <family val="2"/>
      </rPr>
      <t xml:space="preserve">和美鎮糖友三街</t>
    </r>
    <r>
      <rPr>
        <sz val="10"/>
        <color rgb="FF1F2A28"/>
        <rFont val="Arial"/>
        <family val="0"/>
        <charset val="1"/>
      </rPr>
      <t xml:space="preserve">62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</si>
  <si>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(04)7365979</t>
  </si>
  <si>
    <t xml:space="preserve">jojokyle3998@gmail.com</t>
  </si>
  <si>
    <t xml:space="preserve">2007-10-16</t>
  </si>
  <si>
    <t xml:space="preserve">曾郁捷</t>
  </si>
  <si>
    <t xml:space="preserve">私立威士頓美語短期補習班</t>
  </si>
  <si>
    <r>
      <rPr>
        <sz val="10"/>
        <color rgb="FF1F2A28"/>
        <rFont val="WenQuanYi Zen Hei"/>
        <family val="2"/>
      </rPr>
      <t xml:space="preserve">和美鎮糖友一街</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</si>
  <si>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(04)7358322</t>
  </si>
  <si>
    <t xml:space="preserve">millie.chang.mc@gmail.com</t>
  </si>
  <si>
    <t xml:space="preserve">張芬菁</t>
  </si>
  <si>
    <t xml:space="preserve">尤新淳</t>
  </si>
  <si>
    <t xml:space="preserve">私立山又山美語短期補習班</t>
  </si>
  <si>
    <r>
      <rPr>
        <sz val="10"/>
        <color rgb="FF1F2A28"/>
        <rFont val="WenQuanYi Zen Hei"/>
        <family val="2"/>
      </rPr>
      <t xml:space="preserve">和美鎮和卿路</t>
    </r>
    <r>
      <rPr>
        <sz val="10"/>
        <color rgb="FF1F2A28"/>
        <rFont val="Arial"/>
        <family val="0"/>
        <charset val="1"/>
      </rPr>
      <t xml:space="preserve">95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</si>
  <si>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(04)7575078</t>
  </si>
  <si>
    <t xml:space="preserve">m7561499@yahoo.com.tw</t>
  </si>
  <si>
    <t xml:space="preserve">黃錫銘</t>
  </si>
  <si>
    <t xml:space="preserve">黃迎洲</t>
  </si>
  <si>
    <t xml:space="preserve">私立弘學文理短期補習班</t>
  </si>
  <si>
    <r>
      <rPr>
        <sz val="10"/>
        <color rgb="FF1F2A28"/>
        <rFont val="WenQuanYi Zen Hei"/>
        <family val="2"/>
      </rPr>
      <t xml:space="preserve">和美鎮四張里和泰路</t>
    </r>
    <r>
      <rPr>
        <sz val="10"/>
        <color rgb="FF1F2A28"/>
        <rFont val="Arial"/>
        <family val="0"/>
        <charset val="1"/>
      </rPr>
      <t xml:space="preserve">62</t>
    </r>
    <r>
      <rPr>
        <sz val="10"/>
        <color rgb="FF1F2A28"/>
        <rFont val="WenQuanYi Zen Hei"/>
        <family val="2"/>
      </rPr>
      <t xml:space="preserve">號二樓</t>
    </r>
  </si>
  <si>
    <t xml:space="preserve">(04)7559721</t>
  </si>
  <si>
    <t xml:space="preserve">林麗琴</t>
  </si>
  <si>
    <t xml:space="preserve">私立昭羣美語短期補習班</t>
  </si>
  <si>
    <r>
      <rPr>
        <sz val="10"/>
        <color rgb="FF1F2A28"/>
        <rFont val="WenQuanYi Zen Hei"/>
        <family val="2"/>
      </rPr>
      <t xml:space="preserve">和美鎮忠孝路</t>
    </r>
    <r>
      <rPr>
        <sz val="10"/>
        <color rgb="FF1F2A28"/>
        <rFont val="Arial"/>
        <family val="0"/>
        <charset val="1"/>
      </rPr>
      <t xml:space="preserve">248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</si>
  <si>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(04)7578697</t>
  </si>
  <si>
    <t xml:space="preserve">a0933282202@gmail.com</t>
  </si>
  <si>
    <t xml:space="preserve">黃昭勤</t>
  </si>
  <si>
    <t xml:space="preserve">私立群勝美語短期補習班</t>
  </si>
  <si>
    <r>
      <rPr>
        <sz val="10"/>
        <color rgb="FF1F2A28"/>
        <rFont val="WenQuanYi Zen Hei"/>
        <family val="2"/>
      </rPr>
      <t xml:space="preserve">和美鎮仁安路</t>
    </r>
    <r>
      <rPr>
        <sz val="10"/>
        <color rgb="FF1F2A28"/>
        <rFont val="Arial"/>
        <family val="0"/>
        <charset val="1"/>
      </rPr>
      <t xml:space="preserve">163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</si>
  <si>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1.047577616 2.047577618</t>
  </si>
  <si>
    <t xml:space="preserve">47020ch@giraffe.com.tw</t>
  </si>
  <si>
    <t xml:space="preserve">2002-02-26</t>
  </si>
  <si>
    <t xml:space="preserve">尤 麗 卿</t>
  </si>
  <si>
    <t xml:space="preserve">私立艾芙琳英語短期補習班</t>
  </si>
  <si>
    <r>
      <rPr>
        <sz val="10"/>
        <color rgb="FF1F2A28"/>
        <rFont val="WenQuanYi Zen Hei"/>
        <family val="2"/>
      </rPr>
      <t xml:space="preserve">和美鎮愛民路</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</si>
  <si>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(04)7571715</t>
  </si>
  <si>
    <t xml:space="preserve">evelyn7571715@gmail.com</t>
  </si>
  <si>
    <t xml:space="preserve">陳金寶</t>
  </si>
  <si>
    <t xml:space="preserve">私立英特語文短期補習班</t>
  </si>
  <si>
    <r>
      <rPr>
        <sz val="10"/>
        <color rgb="FF1F2A28"/>
        <rFont val="WenQuanYi Zen Hei"/>
        <family val="2"/>
      </rPr>
      <t xml:space="preserve">和美鎮永樂路</t>
    </r>
    <r>
      <rPr>
        <sz val="10"/>
        <color rgb="FF1F2A28"/>
        <rFont val="Arial"/>
        <family val="0"/>
        <charset val="1"/>
      </rPr>
      <t xml:space="preserve">39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</si>
  <si>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7573049</t>
  </si>
  <si>
    <t xml:space="preserve">ting968.li@gmail.com</t>
  </si>
  <si>
    <t xml:space="preserve">1999-05-12</t>
  </si>
  <si>
    <t xml:space="preserve">李虹亭</t>
  </si>
  <si>
    <t xml:space="preserve">私立茹茵美語短期補習班</t>
  </si>
  <si>
    <r>
      <rPr>
        <sz val="10"/>
        <color rgb="FF1F2A28"/>
        <rFont val="WenQuanYi Zen Hei"/>
        <family val="2"/>
      </rPr>
      <t xml:space="preserve">和美鎮和光路</t>
    </r>
    <r>
      <rPr>
        <sz val="10"/>
        <color rgb="FF1F2A28"/>
        <rFont val="Arial"/>
        <family val="0"/>
        <charset val="1"/>
      </rPr>
      <t xml:space="preserve">135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</si>
  <si>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(04)7550246</t>
  </si>
  <si>
    <t xml:space="preserve">196756o81o@gmail.com</t>
  </si>
  <si>
    <t xml:space="preserve">2013-05-10</t>
  </si>
  <si>
    <t xml:space="preserve">林淑美</t>
  </si>
  <si>
    <t xml:space="preserve">林讌</t>
  </si>
  <si>
    <t xml:space="preserve">私立貓頭鷹博士美語短期補習班</t>
  </si>
  <si>
    <r>
      <rPr>
        <sz val="10"/>
        <color rgb="FF1F2A28"/>
        <rFont val="WenQuanYi Zen Hei"/>
        <family val="2"/>
      </rPr>
      <t xml:space="preserve">和美鎮和平街</t>
    </r>
    <r>
      <rPr>
        <sz val="10"/>
        <color rgb="FF1F2A28"/>
        <rFont val="Arial"/>
        <family val="0"/>
        <charset val="1"/>
      </rPr>
      <t xml:space="preserve">118-1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</si>
  <si>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(04)7552992</t>
  </si>
  <si>
    <t xml:space="preserve">chenghsin_h@yahoo.com</t>
  </si>
  <si>
    <t xml:space="preserve">黃正欣</t>
  </si>
  <si>
    <t xml:space="preserve">員林市</t>
  </si>
  <si>
    <t xml:space="preserve">員必佳股份有限公司附設彰化縣私立資學文理短期補習班</t>
  </si>
  <si>
    <r>
      <rPr>
        <sz val="10"/>
        <color rgb="FF1F2A28"/>
        <rFont val="WenQuanYi Zen Hei"/>
        <family val="2"/>
      </rPr>
      <t xml:space="preserve">員林市中山路二段</t>
    </r>
    <r>
      <rPr>
        <sz val="10"/>
        <color rgb="FF1F2A28"/>
        <rFont val="Arial"/>
        <family val="0"/>
        <charset val="1"/>
      </rPr>
      <t xml:space="preserve">287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</si>
  <si>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(04)8333580</t>
  </si>
  <si>
    <t xml:space="preserve">a0972326538@gmail.com</t>
  </si>
  <si>
    <t xml:space="preserve">2012-12-14</t>
  </si>
  <si>
    <t xml:space="preserve">張玉微</t>
  </si>
  <si>
    <t xml:space="preserve">學夫國際股份有限公司附設彰化縣私立學夫英語短期補習班</t>
  </si>
  <si>
    <r>
      <rPr>
        <sz val="10"/>
        <color rgb="FF1F2A28"/>
        <rFont val="WenQuanYi Zen Hei"/>
        <family val="2"/>
      </rPr>
      <t xml:space="preserve">員林市三和里大同路一段</t>
    </r>
    <r>
      <rPr>
        <sz val="10"/>
        <color rgb="FF1F2A28"/>
        <rFont val="Arial"/>
        <family val="0"/>
        <charset val="1"/>
      </rPr>
      <t xml:space="preserve">230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</si>
  <si>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(04)8318509</t>
  </si>
  <si>
    <t xml:space="preserve">2020-12-17</t>
  </si>
  <si>
    <r>
      <rPr>
        <sz val="10"/>
        <color rgb="FF1F2A28"/>
        <rFont val="WenQuanYi Zen Hei"/>
        <family val="2"/>
      </rPr>
      <t xml:space="preserve">學夫國際股份有限公司</t>
    </r>
    <r>
      <rPr>
        <sz val="10"/>
        <color rgb="FF1F2A28"/>
        <rFont val="Arial"/>
        <family val="0"/>
        <charset val="1"/>
      </rPr>
      <t xml:space="preserve">(</t>
    </r>
    <r>
      <rPr>
        <sz val="10"/>
        <color rgb="FF1F2A28"/>
        <rFont val="WenQuanYi Zen Hei"/>
        <family val="2"/>
      </rPr>
      <t xml:space="preserve">負責人</t>
    </r>
    <r>
      <rPr>
        <sz val="10"/>
        <color rgb="FF1F2A28"/>
        <rFont val="Arial"/>
        <family val="0"/>
        <charset val="1"/>
      </rPr>
      <t xml:space="preserve">:</t>
    </r>
    <r>
      <rPr>
        <sz val="10"/>
        <color rgb="FF1F2A28"/>
        <rFont val="WenQuanYi Zen Hei"/>
        <family val="2"/>
      </rPr>
      <t xml:space="preserve">陳奕銳</t>
    </r>
    <r>
      <rPr>
        <sz val="10"/>
        <color rgb="FF1F2A28"/>
        <rFont val="Arial"/>
        <family val="0"/>
        <charset val="1"/>
      </rPr>
      <t xml:space="preserve">)</t>
    </r>
  </si>
  <si>
    <t xml:space="preserve">余佳璇</t>
  </si>
  <si>
    <t xml:space="preserve">學夫國際股份有限公司附設彰化縣私立貝利英語短期補習班</t>
  </si>
  <si>
    <r>
      <rPr>
        <sz val="10"/>
        <color rgb="FF1F2A28"/>
        <rFont val="WenQuanYi Zen Hei"/>
        <family val="2"/>
      </rPr>
      <t xml:space="preserve">員林市南平里莒光路</t>
    </r>
    <r>
      <rPr>
        <sz val="10"/>
        <color rgb="FF1F2A28"/>
        <rFont val="Arial"/>
        <family val="0"/>
        <charset val="1"/>
      </rPr>
      <t xml:space="preserve">657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</si>
  <si>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(04)838-5370</t>
  </si>
  <si>
    <r>
      <rPr>
        <sz val="10"/>
        <color rgb="FF1F2A28"/>
        <rFont val="WenQuanYi Zen Hei"/>
        <family val="2"/>
      </rPr>
      <t xml:space="preserve">學夫國際股份有限公司</t>
    </r>
    <r>
      <rPr>
        <sz val="10"/>
        <color rgb="FF1F2A28"/>
        <rFont val="Arial"/>
        <family val="0"/>
        <charset val="1"/>
      </rPr>
      <t xml:space="preserve">(</t>
    </r>
    <r>
      <rPr>
        <sz val="10"/>
        <color rgb="FF1F2A28"/>
        <rFont val="WenQuanYi Zen Hei"/>
        <family val="2"/>
      </rPr>
      <t xml:space="preserve">代表人</t>
    </r>
    <r>
      <rPr>
        <sz val="10"/>
        <color rgb="FF1F2A28"/>
        <rFont val="Arial"/>
        <family val="0"/>
        <charset val="1"/>
      </rPr>
      <t xml:space="preserve">:</t>
    </r>
    <r>
      <rPr>
        <sz val="10"/>
        <color rgb="FF1F2A28"/>
        <rFont val="WenQuanYi Zen Hei"/>
        <family val="2"/>
      </rPr>
      <t xml:space="preserve">陳奕銳</t>
    </r>
    <r>
      <rPr>
        <sz val="10"/>
        <color rgb="FF1F2A28"/>
        <rFont val="Arial"/>
        <family val="0"/>
        <charset val="1"/>
      </rPr>
      <t xml:space="preserve">)</t>
    </r>
  </si>
  <si>
    <t xml:space="preserve">黃茹苓</t>
  </si>
  <si>
    <t xml:space="preserve">巨匠電腦股份有限公司附設彰化縣私立巨匠技藝文理短期補習班</t>
  </si>
  <si>
    <r>
      <rPr>
        <sz val="10"/>
        <color rgb="FF1F2A28"/>
        <rFont val="WenQuanYi Zen Hei"/>
        <family val="2"/>
      </rPr>
      <t xml:space="preserve">員林市中山路二段</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</si>
  <si>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(04)8390160</t>
  </si>
  <si>
    <t xml:space="preserve">K12_mailbox@pcschool.com.tw</t>
  </si>
  <si>
    <r>
      <rPr>
        <sz val="10"/>
        <color rgb="FF1F2A28"/>
        <rFont val="WenQuanYi Zen Hei"/>
        <family val="2"/>
      </rPr>
      <t xml:space="preserve">美語科</t>
    </r>
    <r>
      <rPr>
        <sz val="10"/>
        <color rgb="FF1F2A28"/>
        <rFont val="Arial"/>
        <family val="0"/>
        <charset val="1"/>
      </rPr>
      <t xml:space="preserve">B</t>
    </r>
    <r>
      <rPr>
        <sz val="10"/>
        <color rgb="FF1F2A28"/>
        <rFont val="WenQuanYi Zen Hei"/>
        <family val="2"/>
      </rPr>
      <t xml:space="preserve">班、美語科</t>
    </r>
    <r>
      <rPr>
        <sz val="10"/>
        <color rgb="FF1F2A28"/>
        <rFont val="Arial"/>
        <family val="0"/>
        <charset val="1"/>
      </rPr>
      <t xml:space="preserve">A</t>
    </r>
    <r>
      <rPr>
        <sz val="10"/>
        <color rgb="FF1F2A28"/>
        <rFont val="WenQuanYi Zen Hei"/>
        <family val="2"/>
      </rPr>
      <t xml:space="preserve">班</t>
    </r>
  </si>
  <si>
    <t xml:space="preserve">陳可涵</t>
  </si>
  <si>
    <t xml:space="preserve">彰化縣私立全成文理短期補習班</t>
  </si>
  <si>
    <r>
      <rPr>
        <sz val="10"/>
        <color rgb="FF1F2A28"/>
        <rFont val="WenQuanYi Zen Hei"/>
        <family val="2"/>
      </rPr>
      <t xml:space="preserve">員林市林森路</t>
    </r>
    <r>
      <rPr>
        <sz val="10"/>
        <color rgb="FF1F2A28"/>
        <rFont val="Arial"/>
        <family val="0"/>
        <charset val="1"/>
      </rPr>
      <t xml:space="preserve">286</t>
    </r>
    <r>
      <rPr>
        <sz val="10"/>
        <color rgb="FF1F2A28"/>
        <rFont val="WenQuanYi Zen Hei"/>
        <family val="2"/>
      </rPr>
      <t xml:space="preserve">號</t>
    </r>
    <r>
      <rPr>
        <sz val="10"/>
        <color rgb="FF1F2A28"/>
        <rFont val="Arial"/>
        <family val="0"/>
        <charset val="1"/>
      </rPr>
      <t xml:space="preserve">1.2.3</t>
    </r>
    <r>
      <rPr>
        <sz val="10"/>
        <color rgb="FF1F2A28"/>
        <rFont val="WenQuanYi Zen Hei"/>
        <family val="2"/>
      </rPr>
      <t xml:space="preserve">樓</t>
    </r>
  </si>
  <si>
    <t xml:space="preserve">(04)8377838</t>
  </si>
  <si>
    <t xml:space="preserve">sunshinea66@yahoo.com.tw</t>
  </si>
  <si>
    <t xml:space="preserve">彰化縣私立喬治美語短期補習班</t>
  </si>
  <si>
    <r>
      <rPr>
        <sz val="10"/>
        <color rgb="FF1F2A28"/>
        <rFont val="WenQuanYi Zen Hei"/>
        <family val="2"/>
      </rPr>
      <t xml:space="preserve">員林市至善街</t>
    </r>
    <r>
      <rPr>
        <sz val="10"/>
        <color rgb="FF1F2A28"/>
        <rFont val="Arial"/>
        <family val="0"/>
        <charset val="1"/>
      </rPr>
      <t xml:space="preserve">69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</si>
  <si>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048383161</t>
  </si>
  <si>
    <t xml:space="preserve">ges.yuanlin@gmail.com</t>
  </si>
  <si>
    <t xml:space="preserve">2019-07-02</t>
  </si>
  <si>
    <t xml:space="preserve">葉人豪</t>
  </si>
  <si>
    <t xml:space="preserve">彰化縣私立巧妙文理短期補習班</t>
  </si>
  <si>
    <r>
      <rPr>
        <sz val="10"/>
        <color rgb="FF1F2A28"/>
        <rFont val="WenQuanYi Zen Hei"/>
        <family val="2"/>
      </rPr>
      <t xml:space="preserve">員林市大同路一段</t>
    </r>
    <r>
      <rPr>
        <sz val="10"/>
        <color rgb="FF1F2A28"/>
        <rFont val="Arial"/>
        <family val="0"/>
        <charset val="1"/>
      </rPr>
      <t xml:space="preserve">180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</si>
  <si>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04-8336354</t>
  </si>
  <si>
    <t xml:space="preserve">teacher.cheermay@gmail.com</t>
  </si>
  <si>
    <t xml:space="preserve">1990-01-23</t>
  </si>
  <si>
    <t xml:space="preserve">洪有在</t>
  </si>
  <si>
    <t xml:space="preserve">張如吟</t>
  </si>
  <si>
    <t xml:space="preserve">彰化縣私立建銓文理短期補習班</t>
  </si>
  <si>
    <r>
      <rPr>
        <sz val="10"/>
        <color rgb="FF1F2A28"/>
        <rFont val="WenQuanYi Zen Hei"/>
        <family val="2"/>
      </rPr>
      <t xml:space="preserve">員林市南平一街</t>
    </r>
    <r>
      <rPr>
        <sz val="10"/>
        <color rgb="FF1F2A28"/>
        <rFont val="Arial"/>
        <family val="0"/>
        <charset val="1"/>
      </rPr>
      <t xml:space="preserve">47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</si>
  <si>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(04)8396221</t>
  </si>
  <si>
    <t xml:space="preserve">2019-10-09</t>
  </si>
  <si>
    <t xml:space="preserve">曹芮瑜</t>
  </si>
  <si>
    <t xml:space="preserve">彰化縣私立愛爾樂文理短期補習班</t>
  </si>
  <si>
    <r>
      <rPr>
        <sz val="10"/>
        <color rgb="FF1F2A28"/>
        <rFont val="WenQuanYi Zen Hei"/>
        <family val="2"/>
      </rPr>
      <t xml:space="preserve">員林市南平街</t>
    </r>
    <r>
      <rPr>
        <sz val="10"/>
        <color rgb="FF1F2A28"/>
        <rFont val="Arial"/>
        <family val="0"/>
        <charset val="1"/>
      </rPr>
      <t xml:space="preserve">100</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</si>
  <si>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(04)8352151</t>
  </si>
  <si>
    <t xml:space="preserve">sun9cy@gmail.com</t>
  </si>
  <si>
    <t xml:space="preserve">劉俊呈</t>
  </si>
  <si>
    <t xml:space="preserve">彰化縣私立旭丞文理短期補習班</t>
  </si>
  <si>
    <r>
      <rPr>
        <sz val="10"/>
        <color rgb="FF1F2A28"/>
        <rFont val="WenQuanYi Zen Hei"/>
        <family val="2"/>
      </rPr>
      <t xml:space="preserve">員林市南平里南平街</t>
    </r>
    <r>
      <rPr>
        <sz val="10"/>
        <color rgb="FF1F2A28"/>
        <rFont val="Arial"/>
        <family val="0"/>
        <charset val="1"/>
      </rPr>
      <t xml:space="preserve">100</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弄</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樓及南平街</t>
    </r>
    <r>
      <rPr>
        <sz val="10"/>
        <color rgb="FF1F2A28"/>
        <rFont val="Arial"/>
        <family val="0"/>
        <charset val="1"/>
      </rPr>
      <t xml:space="preserve">100</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弄</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</si>
  <si>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r>
      <rPr>
        <sz val="10"/>
        <color rgb="FF1F2A28"/>
        <rFont val="Arial"/>
        <family val="0"/>
        <charset val="1"/>
      </rPr>
      <t xml:space="preserve">(04)836-8176</t>
    </r>
    <r>
      <rPr>
        <sz val="10"/>
        <color rgb="FF1F2A28"/>
        <rFont val="WenQuanYi Zen Hei"/>
        <family val="2"/>
      </rPr>
      <t xml:space="preserve">、</t>
    </r>
    <r>
      <rPr>
        <sz val="10"/>
        <color rgb="FF1F2A28"/>
        <rFont val="Arial"/>
        <family val="0"/>
        <charset val="1"/>
      </rPr>
      <t xml:space="preserve">04-836-1216</t>
    </r>
  </si>
  <si>
    <t xml:space="preserve">kaoedmund@gmail.com</t>
  </si>
  <si>
    <t xml:space="preserve">高元模</t>
  </si>
  <si>
    <t xml:space="preserve">張婼菡</t>
  </si>
  <si>
    <t xml:space="preserve">彰化縣私立旭苗文理短期補習班</t>
  </si>
  <si>
    <r>
      <rPr>
        <sz val="10"/>
        <color rgb="FF1F2A28"/>
        <rFont val="WenQuanYi Zen Hei"/>
        <family val="2"/>
      </rPr>
      <t xml:space="preserve">員林市大同路一段</t>
    </r>
    <r>
      <rPr>
        <sz val="10"/>
        <color rgb="FF1F2A28"/>
        <rFont val="Arial"/>
        <family val="0"/>
        <charset val="1"/>
      </rPr>
      <t xml:space="preserve">285</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</si>
  <si>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(04)8337548</t>
  </si>
  <si>
    <t xml:space="preserve">a0987765578@gmail.com</t>
  </si>
  <si>
    <t xml:space="preserve">2019-12-17</t>
  </si>
  <si>
    <t xml:space="preserve">陳秀茹</t>
  </si>
  <si>
    <t xml:space="preserve">彰化縣私立昌華文理短期補習班</t>
  </si>
  <si>
    <r>
      <rPr>
        <sz val="10"/>
        <color rgb="FF1F2A28"/>
        <rFont val="WenQuanYi Zen Hei"/>
        <family val="2"/>
      </rPr>
      <t xml:space="preserve">員林市惠來里中山南路</t>
    </r>
    <r>
      <rPr>
        <sz val="10"/>
        <color rgb="FF1F2A28"/>
        <rFont val="Arial"/>
        <family val="0"/>
        <charset val="1"/>
      </rPr>
      <t xml:space="preserve">194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</si>
  <si>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(04)833-4631</t>
  </si>
  <si>
    <t xml:space="preserve">cheungwah194@gmail.com</t>
  </si>
  <si>
    <t xml:space="preserve">2026-02-11</t>
  </si>
  <si>
    <t xml:space="preserve">吳觀賢</t>
  </si>
  <si>
    <t xml:space="preserve">黃靖琇</t>
  </si>
  <si>
    <t xml:space="preserve">彰化縣私立晨熙美語短期補習班</t>
  </si>
  <si>
    <r>
      <rPr>
        <sz val="10"/>
        <color rgb="FF1F2A28"/>
        <rFont val="WenQuanYi Zen Hei"/>
        <family val="2"/>
      </rPr>
      <t xml:space="preserve">員林市南平里南平街</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</si>
  <si>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(04)8398650</t>
  </si>
  <si>
    <t xml:space="preserve">audrey09188@gmail.com</t>
  </si>
  <si>
    <t xml:space="preserve">2020-10-19</t>
  </si>
  <si>
    <t xml:space="preserve">郭振輝</t>
  </si>
  <si>
    <t xml:space="preserve">趙佩怡</t>
  </si>
  <si>
    <t xml:space="preserve">彰化縣私立智冠學堂文理技藝短期補習班</t>
  </si>
  <si>
    <r>
      <rPr>
        <sz val="10"/>
        <color rgb="FF1F2A28"/>
        <rFont val="WenQuanYi Zen Hei"/>
        <family val="2"/>
      </rPr>
      <t xml:space="preserve">員林市三橋里中山路二段</t>
    </r>
    <r>
      <rPr>
        <sz val="10"/>
        <color rgb="FF1F2A28"/>
        <rFont val="Arial"/>
        <family val="0"/>
        <charset val="1"/>
      </rPr>
      <t xml:space="preserve">339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</si>
  <si>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8345573</t>
  </si>
  <si>
    <t xml:space="preserve">purplevinci@gmail.com</t>
  </si>
  <si>
    <t xml:space="preserve">2001-04-30</t>
  </si>
  <si>
    <t xml:space="preserve">何鈺菁</t>
  </si>
  <si>
    <t xml:space="preserve">彰化縣私立東林文理短期補習班</t>
  </si>
  <si>
    <r>
      <rPr>
        <sz val="10"/>
        <color rgb="FF1F2A28"/>
        <rFont val="WenQuanYi Zen Hei"/>
        <family val="2"/>
      </rPr>
      <t xml:space="preserve">員林市山腳路五段</t>
    </r>
    <r>
      <rPr>
        <sz val="10"/>
        <color rgb="FF1F2A28"/>
        <rFont val="Arial"/>
        <family val="0"/>
        <charset val="1"/>
      </rPr>
      <t xml:space="preserve">259</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</si>
  <si>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(04)8368982</t>
  </si>
  <si>
    <t xml:space="preserve">liu52593a@gmail.com</t>
  </si>
  <si>
    <t xml:space="preserve">賴佳桂</t>
  </si>
  <si>
    <t xml:space="preserve">劉東林</t>
  </si>
  <si>
    <t xml:space="preserve">彰化縣私立福瑞斯特美語短期補習班</t>
  </si>
  <si>
    <r>
      <rPr>
        <sz val="10"/>
        <color rgb="FF1F2A28"/>
        <rFont val="WenQuanYi Zen Hei"/>
        <family val="2"/>
      </rPr>
      <t xml:space="preserve">員林市員林大道三段</t>
    </r>
    <r>
      <rPr>
        <sz val="10"/>
        <color rgb="FF1F2A28"/>
        <rFont val="Arial"/>
        <family val="0"/>
        <charset val="1"/>
      </rPr>
      <t xml:space="preserve">102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</si>
  <si>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(04)8358775</t>
  </si>
  <si>
    <t xml:space="preserve">forestry0111@gmail.com</t>
  </si>
  <si>
    <t xml:space="preserve">許舒晴</t>
  </si>
  <si>
    <t xml:space="preserve">彰化縣私立禾翰學苑美語短期補習班</t>
  </si>
  <si>
    <r>
      <rPr>
        <sz val="10"/>
        <color rgb="FF1F2A28"/>
        <rFont val="WenQuanYi Zen Hei"/>
        <family val="2"/>
      </rPr>
      <t xml:space="preserve">員林市三信里建國路</t>
    </r>
    <r>
      <rPr>
        <sz val="10"/>
        <color rgb="FF1F2A28"/>
        <rFont val="Arial"/>
        <family val="0"/>
        <charset val="1"/>
      </rPr>
      <t xml:space="preserve">388</t>
    </r>
    <r>
      <rPr>
        <sz val="10"/>
        <color rgb="FF1F2A28"/>
        <rFont val="WenQuanYi Zen Hei"/>
        <family val="2"/>
      </rPr>
      <t xml:space="preserve">巷</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</si>
  <si>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(04)8332920</t>
  </si>
  <si>
    <t xml:space="preserve">Sammy641210@yahoo.com.tw</t>
  </si>
  <si>
    <t xml:space="preserve">2018-09-12</t>
  </si>
  <si>
    <t xml:space="preserve">游大利</t>
  </si>
  <si>
    <t xml:space="preserve">黃瓊芳</t>
  </si>
  <si>
    <t xml:space="preserve">彰化縣私立立新美語短期補習班</t>
  </si>
  <si>
    <r>
      <rPr>
        <sz val="10"/>
        <color rgb="FF1F2A28"/>
        <rFont val="WenQuanYi Zen Hei"/>
        <family val="2"/>
      </rPr>
      <t xml:space="preserve">員林市南興街</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</si>
  <si>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(04)8311395</t>
  </si>
  <si>
    <t xml:space="preserve">2014-01-29</t>
  </si>
  <si>
    <t xml:space="preserve">陳桂員</t>
  </si>
  <si>
    <t xml:space="preserve">彰化縣私立艾瑞妮英語短期補習班</t>
  </si>
  <si>
    <r>
      <rPr>
        <sz val="10"/>
        <color rgb="FF1F2A28"/>
        <rFont val="WenQuanYi Zen Hei"/>
        <family val="2"/>
      </rPr>
      <t xml:space="preserve">員林市大同路一段</t>
    </r>
    <r>
      <rPr>
        <sz val="10"/>
        <color rgb="FF1F2A28"/>
        <rFont val="Arial"/>
        <family val="0"/>
        <charset val="1"/>
      </rPr>
      <t xml:space="preserve">378</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弄</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</si>
  <si>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(04)8369761</t>
  </si>
  <si>
    <t xml:space="preserve">2016-01-18</t>
  </si>
  <si>
    <t xml:space="preserve">許燕妮</t>
  </si>
  <si>
    <t xml:space="preserve">彰化縣私立蘋果美日語短期補習班員林分班</t>
  </si>
  <si>
    <r>
      <rPr>
        <sz val="10"/>
        <color rgb="FF1F2A28"/>
        <rFont val="WenQuanYi Zen Hei"/>
        <family val="2"/>
      </rPr>
      <t xml:space="preserve">員林市仁愛里員東路二段</t>
    </r>
    <r>
      <rPr>
        <sz val="10"/>
        <color rgb="FF1F2A28"/>
        <rFont val="Arial"/>
        <family val="0"/>
        <charset val="1"/>
      </rPr>
      <t xml:space="preserve">296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</si>
  <si>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(04)723-2839</t>
  </si>
  <si>
    <t xml:space="preserve">ringonoki.taiwan@gmail.com</t>
  </si>
  <si>
    <r>
      <rPr>
        <sz val="10"/>
        <color rgb="FF1F2A28"/>
        <rFont val="WenQuanYi Zen Hei"/>
        <family val="2"/>
      </rPr>
      <t xml:space="preserve">英語</t>
    </r>
    <r>
      <rPr>
        <sz val="10"/>
        <color rgb="FF1F2A28"/>
        <rFont val="Arial"/>
        <family val="0"/>
        <charset val="1"/>
      </rPr>
      <t xml:space="preserve">(</t>
    </r>
    <r>
      <rPr>
        <sz val="10"/>
        <color rgb="FF1F2A28"/>
        <rFont val="WenQuanYi Zen Hei"/>
        <family val="2"/>
      </rPr>
      <t xml:space="preserve">初級</t>
    </r>
    <r>
      <rPr>
        <sz val="10"/>
        <color rgb="FF1F2A28"/>
        <rFont val="Arial"/>
        <family val="0"/>
        <charset val="1"/>
      </rPr>
      <t xml:space="preserve">)</t>
    </r>
  </si>
  <si>
    <t xml:space="preserve">宋佩蓉</t>
  </si>
  <si>
    <t xml:space="preserve">彰化縣私立金大東海文理短期補習班</t>
  </si>
  <si>
    <r>
      <rPr>
        <sz val="10"/>
        <color rgb="FF1F2A28"/>
        <rFont val="WenQuanYi Zen Hei"/>
        <family val="2"/>
      </rPr>
      <t xml:space="preserve">員林市惠來里中山南路</t>
    </r>
    <r>
      <rPr>
        <sz val="10"/>
        <color rgb="FF1F2A28"/>
        <rFont val="Arial"/>
        <family val="0"/>
        <charset val="1"/>
      </rPr>
      <t xml:space="preserve">147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</si>
  <si>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(04)8384177</t>
  </si>
  <si>
    <t xml:space="preserve">a8384177@yahoo.com.tw</t>
  </si>
  <si>
    <t xml:space="preserve">2004-11-09</t>
  </si>
  <si>
    <t xml:space="preserve">陳伊芬</t>
  </si>
  <si>
    <t xml:space="preserve">彰化縣私立點點木技藝文理短期補習班</t>
  </si>
  <si>
    <r>
      <rPr>
        <sz val="10"/>
        <color rgb="FF1F2A28"/>
        <rFont val="WenQuanYi Zen Hei"/>
        <family val="2"/>
      </rPr>
      <t xml:space="preserve">員林市育英路</t>
    </r>
    <r>
      <rPr>
        <sz val="10"/>
        <color rgb="FF1F2A28"/>
        <rFont val="Arial"/>
        <family val="0"/>
        <charset val="1"/>
      </rPr>
      <t xml:space="preserve">607</t>
    </r>
    <r>
      <rPr>
        <sz val="10"/>
        <color rgb="FF1F2A28"/>
        <rFont val="WenQuanYi Zen Hei"/>
        <family val="2"/>
      </rPr>
      <t xml:space="preserve">號及</t>
    </r>
    <r>
      <rPr>
        <sz val="10"/>
        <color rgb="FF1F2A28"/>
        <rFont val="Arial"/>
        <family val="0"/>
        <charset val="1"/>
      </rPr>
      <t xml:space="preserve">609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</si>
  <si>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(04)833-2369</t>
  </si>
  <si>
    <t xml:space="preserve">seedstree.education@gmail.com</t>
  </si>
  <si>
    <t xml:space="preserve">2024-09-13</t>
  </si>
  <si>
    <t xml:space="preserve">莊芷桓</t>
  </si>
  <si>
    <t xml:space="preserve">彰化縣私立鼎烽科學技藝文理短期補習班</t>
  </si>
  <si>
    <r>
      <rPr>
        <sz val="10"/>
        <color rgb="FF1F2A28"/>
        <rFont val="WenQuanYi Zen Hei"/>
        <family val="2"/>
      </rPr>
      <t xml:space="preserve">員林市三民東街</t>
    </r>
    <r>
      <rPr>
        <sz val="10"/>
        <color rgb="FF1F2A28"/>
        <rFont val="Arial"/>
        <family val="0"/>
        <charset val="1"/>
      </rPr>
      <t xml:space="preserve">218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</si>
  <si>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(04)8336658</t>
  </si>
  <si>
    <t xml:space="preserve">jung.shing0106@gmail.com</t>
  </si>
  <si>
    <t xml:space="preserve">2021-03-24</t>
  </si>
  <si>
    <t xml:space="preserve">吳濬杰</t>
  </si>
  <si>
    <t xml:space="preserve">江紫綺</t>
  </si>
  <si>
    <t xml:space="preserve">私立丹尼爾美語短期補習班</t>
  </si>
  <si>
    <r>
      <rPr>
        <sz val="10"/>
        <color rgb="FF1F2A28"/>
        <rFont val="WenQuanYi Zen Hei"/>
        <family val="2"/>
      </rPr>
      <t xml:space="preserve">員林市成功東路</t>
    </r>
    <r>
      <rPr>
        <sz val="10"/>
        <color rgb="FF1F2A28"/>
        <rFont val="Arial"/>
        <family val="0"/>
        <charset val="1"/>
      </rPr>
      <t xml:space="preserve">261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</si>
  <si>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(04)8372972</t>
  </si>
  <si>
    <t xml:space="preserve">flora.furman@gmail.com</t>
  </si>
  <si>
    <t xml:space="preserve">高淑美</t>
  </si>
  <si>
    <t xml:space="preserve">私立博世佳英語短期補習班</t>
  </si>
  <si>
    <r>
      <rPr>
        <sz val="10"/>
        <color rgb="FF1F2A28"/>
        <rFont val="WenQuanYi Zen Hei"/>
        <family val="2"/>
      </rPr>
      <t xml:space="preserve">員林市三和里條和街</t>
    </r>
    <r>
      <rPr>
        <sz val="10"/>
        <color rgb="FF1F2A28"/>
        <rFont val="Arial"/>
        <family val="0"/>
        <charset val="1"/>
      </rPr>
      <t xml:space="preserve">283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</si>
  <si>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(04)8357557</t>
  </si>
  <si>
    <t xml:space="preserve">english8357557@gmail.com</t>
  </si>
  <si>
    <t xml:space="preserve">2008-02-04</t>
  </si>
  <si>
    <t xml:space="preserve">陳玥璂</t>
  </si>
  <si>
    <t xml:space="preserve">私立大樹英文短期補習班</t>
  </si>
  <si>
    <r>
      <rPr>
        <sz val="10"/>
        <color rgb="FF1F2A28"/>
        <rFont val="WenQuanYi Zen Hei"/>
        <family val="2"/>
      </rPr>
      <t xml:space="preserve">員林市林森路</t>
    </r>
    <r>
      <rPr>
        <sz val="10"/>
        <color rgb="FF1F2A28"/>
        <rFont val="Arial"/>
        <family val="0"/>
        <charset val="1"/>
      </rPr>
      <t xml:space="preserve">239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</si>
  <si>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(04)8356969</t>
  </si>
  <si>
    <t xml:space="preserve">bigtree9@tpts8.seed.net.tw</t>
  </si>
  <si>
    <t xml:space="preserve">林奕岫</t>
  </si>
  <si>
    <t xml:space="preserve">私立大衛營美語短期補習班</t>
  </si>
  <si>
    <r>
      <rPr>
        <sz val="10"/>
        <color rgb="FF1F2A28"/>
        <rFont val="WenQuanYi Zen Hei"/>
        <family val="2"/>
      </rPr>
      <t xml:space="preserve">員林市忠孝街</t>
    </r>
    <r>
      <rPr>
        <sz val="10"/>
        <color rgb="FF1F2A28"/>
        <rFont val="Arial"/>
        <family val="0"/>
        <charset val="1"/>
      </rPr>
      <t xml:space="preserve">169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</si>
  <si>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8383852</t>
  </si>
  <si>
    <t xml:space="preserve">cdes048383852@gmail.com</t>
  </si>
  <si>
    <t xml:space="preserve">劉景祺</t>
  </si>
  <si>
    <t xml:space="preserve">劉景禎</t>
  </si>
  <si>
    <t xml:space="preserve">私立學智美語短期補習班</t>
  </si>
  <si>
    <r>
      <rPr>
        <sz val="10"/>
        <color rgb="FF1F2A28"/>
        <rFont val="WenQuanYi Zen Hei"/>
        <family val="2"/>
      </rPr>
      <t xml:space="preserve">員林市大同路一段</t>
    </r>
    <r>
      <rPr>
        <sz val="10"/>
        <color rgb="FF1F2A28"/>
        <rFont val="Arial"/>
        <family val="0"/>
        <charset val="1"/>
      </rPr>
      <t xml:space="preserve">285</t>
    </r>
    <r>
      <rPr>
        <sz val="10"/>
        <color rgb="FF1F2A28"/>
        <rFont val="WenQuanYi Zen Hei"/>
        <family val="2"/>
      </rPr>
      <t xml:space="preserve">巷</t>
    </r>
    <r>
      <rPr>
        <sz val="10"/>
        <color rgb="FF1F2A28"/>
        <rFont val="Arial"/>
        <family val="0"/>
        <charset val="1"/>
      </rPr>
      <t xml:space="preserve">37</t>
    </r>
    <r>
      <rPr>
        <sz val="10"/>
        <color rgb="FF1F2A28"/>
        <rFont val="WenQuanYi Zen Hei"/>
        <family val="2"/>
      </rPr>
      <t xml:space="preserve">號</t>
    </r>
    <r>
      <rPr>
        <sz val="10"/>
        <color rgb="FF1F2A28"/>
        <rFont val="Arial"/>
        <family val="0"/>
        <charset val="1"/>
      </rPr>
      <t xml:space="preserve">1.23</t>
    </r>
    <r>
      <rPr>
        <sz val="10"/>
        <color rgb="FF1F2A28"/>
        <rFont val="WenQuanYi Zen Hei"/>
        <family val="2"/>
      </rPr>
      <t xml:space="preserve">樓</t>
    </r>
  </si>
  <si>
    <t xml:space="preserve">8327933</t>
  </si>
  <si>
    <t xml:space="preserve">chiao-chen@hotmail.com</t>
  </si>
  <si>
    <t xml:space="preserve">陳巧蓁</t>
  </si>
  <si>
    <t xml:space="preserve">私立小哈佛美語短期補習班</t>
  </si>
  <si>
    <r>
      <rPr>
        <sz val="10"/>
        <color rgb="FF1F2A28"/>
        <rFont val="WenQuanYi Zen Hei"/>
        <family val="2"/>
      </rPr>
      <t xml:space="preserve">員林市成功東路</t>
    </r>
    <r>
      <rPr>
        <sz val="10"/>
        <color rgb="FF1F2A28"/>
        <rFont val="Arial"/>
        <family val="0"/>
        <charset val="1"/>
      </rPr>
      <t xml:space="preserve">101</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</si>
  <si>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04-8368857</t>
  </si>
  <si>
    <t xml:space="preserve">ikid8368858@gmail.com</t>
  </si>
  <si>
    <t xml:space="preserve">2000-02-02</t>
  </si>
  <si>
    <t xml:space="preserve">羅達仁</t>
  </si>
  <si>
    <t xml:space="preserve">張振墉</t>
  </si>
  <si>
    <t xml:space="preserve">私立慧群美語短期補習班</t>
  </si>
  <si>
    <r>
      <rPr>
        <sz val="10"/>
        <color rgb="FF1F2A28"/>
        <rFont val="WenQuanYi Zen Hei"/>
        <family val="2"/>
      </rPr>
      <t xml:space="preserve">員林市山腳路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59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</si>
  <si>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(04)8373660</t>
  </si>
  <si>
    <t xml:space="preserve">huei.cyun@gmail.com</t>
  </si>
  <si>
    <t xml:space="preserve">2006-12-12</t>
  </si>
  <si>
    <t xml:space="preserve">江明潔</t>
  </si>
  <si>
    <t xml:space="preserve">私立昱昇美語短期補習班</t>
  </si>
  <si>
    <r>
      <rPr>
        <sz val="10"/>
        <color rgb="FF1F2A28"/>
        <rFont val="WenQuanYi Zen Hei"/>
        <family val="2"/>
      </rPr>
      <t xml:space="preserve">員林市三民東街</t>
    </r>
    <r>
      <rPr>
        <sz val="10"/>
        <color rgb="FF1F2A28"/>
        <rFont val="Arial"/>
        <family val="0"/>
        <charset val="1"/>
      </rPr>
      <t xml:space="preserve">212</t>
    </r>
    <r>
      <rPr>
        <sz val="10"/>
        <color rgb="FF1F2A28"/>
        <rFont val="WenQuanYi Zen Hei"/>
        <family val="2"/>
      </rPr>
      <t xml:space="preserve">號</t>
    </r>
    <r>
      <rPr>
        <sz val="10"/>
        <color rgb="FF1F2A28"/>
        <rFont val="Arial"/>
        <family val="0"/>
        <charset val="1"/>
      </rPr>
      <t xml:space="preserve">1.2.3.4</t>
    </r>
    <r>
      <rPr>
        <sz val="10"/>
        <color rgb="FF1F2A28"/>
        <rFont val="WenQuanYi Zen Hei"/>
        <family val="2"/>
      </rPr>
      <t xml:space="preserve">樓</t>
    </r>
  </si>
  <si>
    <t xml:space="preserve">8385355</t>
  </si>
  <si>
    <t xml:space="preserve">a0918796319@gmail.com</t>
  </si>
  <si>
    <t xml:space="preserve">2001-12-10</t>
  </si>
  <si>
    <t xml:space="preserve">張美麗</t>
  </si>
  <si>
    <t xml:space="preserve">私立智力美語短期補習班</t>
  </si>
  <si>
    <r>
      <rPr>
        <sz val="10"/>
        <color rgb="FF1F2A28"/>
        <rFont val="WenQuanYi Zen Hei"/>
        <family val="2"/>
      </rPr>
      <t xml:space="preserve">員林市林森路</t>
    </r>
    <r>
      <rPr>
        <sz val="10"/>
        <color rgb="FF1F2A28"/>
        <rFont val="Arial"/>
        <family val="0"/>
        <charset val="1"/>
      </rPr>
      <t xml:space="preserve">282-1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號</t>
    </r>
  </si>
  <si>
    <t xml:space="preserve">(04)8399311</t>
  </si>
  <si>
    <t xml:space="preserve">utcjacky@yahoo.com.tw</t>
  </si>
  <si>
    <t xml:space="preserve">2006-04-25</t>
  </si>
  <si>
    <t xml:space="preserve">游智利</t>
  </si>
  <si>
    <t xml:space="preserve">私立根西密英語短期補習班</t>
  </si>
  <si>
    <r>
      <rPr>
        <sz val="10"/>
        <color rgb="FF1F2A28"/>
        <rFont val="WenQuanYi Zen Hei"/>
        <family val="2"/>
      </rPr>
      <t xml:space="preserve">員林市中山路二段</t>
    </r>
    <r>
      <rPr>
        <sz val="10"/>
        <color rgb="FF1F2A28"/>
        <rFont val="Arial"/>
        <family val="0"/>
        <charset val="1"/>
      </rPr>
      <t xml:space="preserve">321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</si>
  <si>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(04)8384057</t>
  </si>
  <si>
    <t xml:space="preserve">demimay2000@yahoo.com.tw</t>
  </si>
  <si>
    <t xml:space="preserve">黃秀珠</t>
  </si>
  <si>
    <t xml:space="preserve">許惠玲</t>
  </si>
  <si>
    <t xml:space="preserve">私立登峰美語短期補習班</t>
  </si>
  <si>
    <r>
      <rPr>
        <sz val="10"/>
        <color rgb="FF1F2A28"/>
        <rFont val="WenQuanYi Zen Hei"/>
        <family val="2"/>
      </rPr>
      <t xml:space="preserve">員林市南平街</t>
    </r>
    <r>
      <rPr>
        <sz val="10"/>
        <color rgb="FF1F2A28"/>
        <rFont val="Arial"/>
        <family val="0"/>
        <charset val="1"/>
      </rPr>
      <t xml:space="preserve">42-1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</si>
  <si>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(04)8310241</t>
  </si>
  <si>
    <t xml:space="preserve">2008-12-02</t>
  </si>
  <si>
    <t xml:space="preserve">孫敬賢</t>
  </si>
  <si>
    <t xml:space="preserve">張寶淑</t>
  </si>
  <si>
    <t xml:space="preserve">私立立倫美語短期補習班</t>
  </si>
  <si>
    <r>
      <rPr>
        <sz val="10"/>
        <color rgb="FF1F2A28"/>
        <rFont val="WenQuanYi Zen Hei"/>
        <family val="2"/>
      </rPr>
      <t xml:space="preserve">員林市山腳路四段</t>
    </r>
    <r>
      <rPr>
        <sz val="10"/>
        <color rgb="FF1F2A28"/>
        <rFont val="Arial"/>
        <family val="0"/>
        <charset val="1"/>
      </rPr>
      <t xml:space="preserve">169</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</si>
  <si>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(04)8313675</t>
  </si>
  <si>
    <t xml:space="preserve">fghj1014@gmail.com</t>
  </si>
  <si>
    <t xml:space="preserve">2008-08-19</t>
  </si>
  <si>
    <t xml:space="preserve">江麗美</t>
  </si>
  <si>
    <t xml:space="preserve">黃子語</t>
  </si>
  <si>
    <t xml:space="preserve">私立萬冠美語短期補習班</t>
  </si>
  <si>
    <r>
      <rPr>
        <sz val="10"/>
        <color rgb="FF1F2A28"/>
        <rFont val="WenQuanYi Zen Hei"/>
        <family val="2"/>
      </rPr>
      <t xml:space="preserve">員林市三和里正興街</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</si>
  <si>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(04)8370762</t>
  </si>
  <si>
    <t xml:space="preserve">2004-04-14</t>
  </si>
  <si>
    <t xml:space="preserve">張梅芳</t>
  </si>
  <si>
    <t xml:space="preserve">私立誼喬美語短期補習班</t>
  </si>
  <si>
    <r>
      <rPr>
        <sz val="10"/>
        <color rgb="FF1F2A28"/>
        <rFont val="WenQuanYi Zen Hei"/>
        <family val="2"/>
      </rPr>
      <t xml:space="preserve">員林市南平東街</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</si>
  <si>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(04)8322197</t>
  </si>
  <si>
    <t xml:space="preserve">2007-01-30</t>
  </si>
  <si>
    <t xml:space="preserve">黃誼珊</t>
  </si>
  <si>
    <t xml:space="preserve">邑習有限公司附設彰化縣私立攸悅文理短期補習班</t>
  </si>
  <si>
    <r>
      <rPr>
        <sz val="10"/>
        <color rgb="FF1F2A28"/>
        <rFont val="WenQuanYi Zen Hei"/>
        <family val="2"/>
      </rPr>
      <t xml:space="preserve">員林市建國路</t>
    </r>
    <r>
      <rPr>
        <sz val="10"/>
        <color rgb="FF1F2A28"/>
        <rFont val="Arial"/>
        <family val="0"/>
        <charset val="1"/>
      </rPr>
      <t xml:space="preserve">70</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</si>
  <si>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(04)8393886</t>
  </si>
  <si>
    <t xml:space="preserve">tact.yuanlin@gmail.com</t>
  </si>
  <si>
    <t xml:space="preserve">2020-01-21</t>
  </si>
  <si>
    <r>
      <rPr>
        <sz val="10"/>
        <color rgb="FF1F2A28"/>
        <rFont val="WenQuanYi Zen Hei"/>
        <family val="2"/>
      </rPr>
      <t xml:space="preserve">邑習有限公司</t>
    </r>
    <r>
      <rPr>
        <sz val="10"/>
        <color rgb="FF1F2A28"/>
        <rFont val="Arial"/>
        <family val="0"/>
        <charset val="1"/>
      </rPr>
      <t xml:space="preserve">(</t>
    </r>
    <r>
      <rPr>
        <sz val="10"/>
        <color rgb="FF1F2A28"/>
        <rFont val="WenQuanYi Zen Hei"/>
        <family val="2"/>
      </rPr>
      <t xml:space="preserve">公司代表人：丁麗萍</t>
    </r>
    <r>
      <rPr>
        <sz val="10"/>
        <color rgb="FF1F2A28"/>
        <rFont val="Arial"/>
        <family val="0"/>
        <charset val="1"/>
      </rPr>
      <t xml:space="preserve">)</t>
    </r>
  </si>
  <si>
    <t xml:space="preserve">邱顯忠</t>
  </si>
  <si>
    <t xml:space="preserve">韋誠教育股份有限公司附設彰化縣私立韋婕英日語短期補習班</t>
  </si>
  <si>
    <r>
      <rPr>
        <sz val="10"/>
        <color rgb="FF1F2A28"/>
        <rFont val="WenQuanYi Zen Hei"/>
        <family val="2"/>
      </rPr>
      <t xml:space="preserve">員林市成功東路</t>
    </r>
    <r>
      <rPr>
        <sz val="10"/>
        <color rgb="FF1F2A28"/>
        <rFont val="Arial"/>
        <family val="0"/>
        <charset val="1"/>
      </rPr>
      <t xml:space="preserve">200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</si>
  <si>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(04)8382928/8367714</t>
  </si>
  <si>
    <t xml:space="preserve">rance.tseng@msa.hinet.net</t>
  </si>
  <si>
    <t xml:space="preserve">2010-07-30</t>
  </si>
  <si>
    <r>
      <rPr>
        <sz val="10"/>
        <color rgb="FF1F2A28"/>
        <rFont val="WenQuanYi Zen Hei"/>
        <family val="2"/>
      </rPr>
      <t xml:space="preserve">韋誠教育股份有限公司</t>
    </r>
    <r>
      <rPr>
        <sz val="10"/>
        <color rgb="FF1F2A28"/>
        <rFont val="Arial"/>
        <family val="0"/>
        <charset val="1"/>
      </rPr>
      <t xml:space="preserve">(</t>
    </r>
    <r>
      <rPr>
        <sz val="10"/>
        <color rgb="FF1F2A28"/>
        <rFont val="WenQuanYi Zen Hei"/>
        <family val="2"/>
      </rPr>
      <t xml:space="preserve">負責人</t>
    </r>
    <r>
      <rPr>
        <sz val="10"/>
        <color rgb="FF1F2A28"/>
        <rFont val="Arial"/>
        <family val="0"/>
        <charset val="1"/>
      </rPr>
      <t xml:space="preserve">:</t>
    </r>
    <r>
      <rPr>
        <sz val="10"/>
        <color rgb="FF1F2A28"/>
        <rFont val="WenQuanYi Zen Hei"/>
        <family val="2"/>
      </rPr>
      <t xml:space="preserve">曾韋婕</t>
    </r>
    <r>
      <rPr>
        <sz val="10"/>
        <color rgb="FF1F2A28"/>
        <rFont val="Arial"/>
        <family val="0"/>
        <charset val="1"/>
      </rPr>
      <t xml:space="preserve">)</t>
    </r>
  </si>
  <si>
    <t xml:space="preserve">張佳倩</t>
  </si>
  <si>
    <t xml:space="preserve">埔鹽鄉</t>
  </si>
  <si>
    <t xml:space="preserve">彰化縣私立英倫美語短期補習班</t>
  </si>
  <si>
    <r>
      <rPr>
        <sz val="10"/>
        <color rgb="FF1F2A28"/>
        <rFont val="WenQuanYi Zen Hei"/>
        <family val="2"/>
      </rPr>
      <t xml:space="preserve">埔鹽鄉員鹿路二段</t>
    </r>
    <r>
      <rPr>
        <sz val="10"/>
        <color rgb="FF1F2A28"/>
        <rFont val="Arial"/>
        <family val="0"/>
        <charset val="1"/>
      </rPr>
      <t xml:space="preserve">106-1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</si>
  <si>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(04)8656919</t>
  </si>
  <si>
    <t xml:space="preserve">anny828832@yahoo.com</t>
  </si>
  <si>
    <t xml:space="preserve">2013-01-07</t>
  </si>
  <si>
    <t xml:space="preserve">陳嘉萍</t>
  </si>
  <si>
    <t xml:space="preserve">蔡育庭</t>
  </si>
  <si>
    <t xml:space="preserve">埤頭鄉</t>
  </si>
  <si>
    <t xml:space="preserve">彰化縣私立佳格英文短期補習班</t>
  </si>
  <si>
    <r>
      <rPr>
        <sz val="10"/>
        <color rgb="FF1F2A28"/>
        <rFont val="WenQuanYi Zen Hei"/>
        <family val="2"/>
      </rPr>
      <t xml:space="preserve">埤頭鄉合興村永興街</t>
    </r>
    <r>
      <rPr>
        <sz val="10"/>
        <color rgb="FF1F2A28"/>
        <rFont val="Arial"/>
        <family val="0"/>
        <charset val="1"/>
      </rPr>
      <t xml:space="preserve">89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</si>
  <si>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0932598114</t>
  </si>
  <si>
    <t xml:space="preserve">jane0543@yahoo.com.tw</t>
  </si>
  <si>
    <t xml:space="preserve">張秀貞</t>
  </si>
  <si>
    <t xml:space="preserve">彰化縣私立天晴文理短期補習班</t>
  </si>
  <si>
    <r>
      <rPr>
        <sz val="10"/>
        <color rgb="FF1F2A28"/>
        <rFont val="WenQuanYi Zen Hei"/>
        <family val="2"/>
      </rPr>
      <t xml:space="preserve">埤頭鄉彰水路三段</t>
    </r>
    <r>
      <rPr>
        <sz val="10"/>
        <color rgb="FF1F2A28"/>
        <rFont val="Arial"/>
        <family val="0"/>
        <charset val="1"/>
      </rPr>
      <t xml:space="preserve">534</t>
    </r>
    <r>
      <rPr>
        <sz val="10"/>
        <color rgb="FF1F2A28"/>
        <rFont val="WenQuanYi Zen Hei"/>
        <family val="2"/>
      </rPr>
      <t xml:space="preserve">巷</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</si>
  <si>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0928947283</t>
  </si>
  <si>
    <t xml:space="preserve">erhlinyawen@gmail.com</t>
  </si>
  <si>
    <t xml:space="preserve">私立莊老師美語短期補習班</t>
  </si>
  <si>
    <r>
      <rPr>
        <sz val="10"/>
        <color rgb="FF1F2A28"/>
        <rFont val="WenQuanYi Zen Hei"/>
        <family val="2"/>
      </rPr>
      <t xml:space="preserve">埤頭鄉彰水路三段</t>
    </r>
    <r>
      <rPr>
        <sz val="10"/>
        <color rgb="FF1F2A28"/>
        <rFont val="Arial"/>
        <family val="0"/>
        <charset val="1"/>
      </rPr>
      <t xml:space="preserve">628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</si>
  <si>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(04)8929258</t>
  </si>
  <si>
    <t xml:space="preserve">jennifer8922558@yahoo.com.tw</t>
  </si>
  <si>
    <t xml:space="preserve">莊惠珍</t>
  </si>
  <si>
    <t xml:space="preserve">私立陽光美語短期補習班</t>
  </si>
  <si>
    <r>
      <rPr>
        <sz val="10"/>
        <color rgb="FF1F2A28"/>
        <rFont val="WenQuanYi Zen Hei"/>
        <family val="2"/>
      </rPr>
      <t xml:space="preserve">埤頭鄉崙子南路</t>
    </r>
    <r>
      <rPr>
        <sz val="10"/>
        <color rgb="FF1F2A28"/>
        <rFont val="Arial"/>
        <family val="0"/>
        <charset val="1"/>
      </rPr>
      <t xml:space="preserve">65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</si>
  <si>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(04)8911093</t>
  </si>
  <si>
    <t xml:space="preserve">2012-04-02</t>
  </si>
  <si>
    <t xml:space="preserve">陳素美</t>
  </si>
  <si>
    <t xml:space="preserve">大村鄉</t>
  </si>
  <si>
    <t xml:space="preserve">私立建勝美語短期補習班</t>
  </si>
  <si>
    <r>
      <rPr>
        <sz val="10"/>
        <color rgb="FF1F2A28"/>
        <rFont val="WenQuanYi Zen Hei"/>
        <family val="2"/>
      </rPr>
      <t xml:space="preserve">大村鄉大義街</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</si>
  <si>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8523344</t>
  </si>
  <si>
    <t xml:space="preserve">happybaby8531831@gmail.com</t>
  </si>
  <si>
    <t xml:space="preserve">1996-11-28</t>
  </si>
  <si>
    <t xml:space="preserve">郭昊欣</t>
  </si>
  <si>
    <t xml:space="preserve">郭烜伸</t>
  </si>
  <si>
    <t xml:space="preserve">彰化市</t>
  </si>
  <si>
    <t xml:space="preserve">中國青年救國團附設彰化縣私立東興語文技藝短期補習班</t>
  </si>
  <si>
    <r>
      <rPr>
        <sz val="10"/>
        <color rgb="FF1F2A28"/>
        <rFont val="WenQuanYi Zen Hei"/>
        <family val="2"/>
      </rPr>
      <t xml:space="preserve">彰化市南郭路一段</t>
    </r>
    <r>
      <rPr>
        <sz val="10"/>
        <color rgb="FF1F2A28"/>
        <rFont val="Arial"/>
        <family val="0"/>
        <charset val="1"/>
      </rPr>
      <t xml:space="preserve">47</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4</t>
    </r>
    <r>
      <rPr>
        <sz val="10"/>
        <color rgb="FF1F2A28"/>
        <rFont val="WenQuanYi Zen Hei"/>
        <family val="2"/>
      </rPr>
      <t xml:space="preserve">樓</t>
    </r>
  </si>
  <si>
    <t xml:space="preserve">(04)7231157</t>
  </si>
  <si>
    <t xml:space="preserve">cyc7231157@cyc.tw</t>
  </si>
  <si>
    <t xml:space="preserve">鄧效忠</t>
  </si>
  <si>
    <t xml:space="preserve">梁雅雯</t>
  </si>
  <si>
    <t xml:space="preserve">學夫國際股份有限公司附設彰化縣私立蘿莉英語短期補習班</t>
  </si>
  <si>
    <r>
      <rPr>
        <sz val="10"/>
        <color rgb="FF1F2A28"/>
        <rFont val="WenQuanYi Zen Hei"/>
        <family val="2"/>
      </rPr>
      <t xml:space="preserve">彰化市光南里旭光路</t>
    </r>
    <r>
      <rPr>
        <sz val="10"/>
        <color rgb="FF1F2A28"/>
        <rFont val="Arial"/>
        <family val="0"/>
        <charset val="1"/>
      </rPr>
      <t xml:space="preserve">193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</si>
  <si>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(04)7225234</t>
  </si>
  <si>
    <t xml:space="preserve">呂瑜文</t>
  </si>
  <si>
    <t xml:space="preserve">彰化縣私立佳美地英語短期補習班</t>
  </si>
  <si>
    <r>
      <rPr>
        <sz val="10"/>
        <color rgb="FF1F2A28"/>
        <rFont val="WenQuanYi Zen Hei"/>
        <family val="2"/>
      </rPr>
      <t xml:space="preserve">彰化市仁愛路</t>
    </r>
    <r>
      <rPr>
        <sz val="10"/>
        <color rgb="FF1F2A28"/>
        <rFont val="Arial"/>
        <family val="0"/>
        <charset val="1"/>
      </rPr>
      <t xml:space="preserve">137</t>
    </r>
    <r>
      <rPr>
        <sz val="10"/>
        <color rgb="FF1F2A28"/>
        <rFont val="WenQuanYi Zen Hei"/>
        <family val="2"/>
      </rPr>
      <t xml:space="preserve">巷</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</si>
  <si>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(04)7202027</t>
  </si>
  <si>
    <t xml:space="preserve">joy.7202670@gmail.com</t>
  </si>
  <si>
    <t xml:space="preserve">黃莉羚</t>
  </si>
  <si>
    <t xml:space="preserve">廖鳳琪</t>
  </si>
  <si>
    <t xml:space="preserve">彰化縣私立佳英英語短期補習班</t>
  </si>
  <si>
    <r>
      <rPr>
        <sz val="10"/>
        <color rgb="FF1F2A28"/>
        <rFont val="WenQuanYi Zen Hei"/>
        <family val="2"/>
      </rPr>
      <t xml:space="preserve">彰化市介壽北路</t>
    </r>
    <r>
      <rPr>
        <sz val="10"/>
        <color rgb="FF1F2A28"/>
        <rFont val="Arial"/>
        <family val="0"/>
        <charset val="1"/>
      </rPr>
      <t xml:space="preserve">174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t>
    </r>
  </si>
  <si>
    <t xml:space="preserve">7282830</t>
  </si>
  <si>
    <t xml:space="preserve">joy.canaan@msa.hinet.net</t>
  </si>
  <si>
    <t xml:space="preserve">1995-10-04</t>
  </si>
  <si>
    <t xml:space="preserve">廖詠貞</t>
  </si>
  <si>
    <t xml:space="preserve">彰化縣私立俐恩美語短期補習班</t>
  </si>
  <si>
    <r>
      <rPr>
        <sz val="10"/>
        <color rgb="FF1F2A28"/>
        <rFont val="WenQuanYi Zen Hei"/>
        <family val="2"/>
      </rPr>
      <t xml:space="preserve">彰化市彰南路二段</t>
    </r>
    <r>
      <rPr>
        <sz val="10"/>
        <color rgb="FF1F2A28"/>
        <rFont val="Arial"/>
        <family val="0"/>
        <charset val="1"/>
      </rPr>
      <t xml:space="preserve">256-3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</si>
  <si>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(04)7384638</t>
  </si>
  <si>
    <t xml:space="preserve">cythh2001@yahoo.com.tw</t>
  </si>
  <si>
    <t xml:space="preserve">2017-07-21</t>
  </si>
  <si>
    <t xml:space="preserve">洪宜汾</t>
  </si>
  <si>
    <t xml:space="preserve">吳亭英</t>
  </si>
  <si>
    <t xml:space="preserve">彰化縣私立全真文理短期補習班</t>
  </si>
  <si>
    <r>
      <rPr>
        <sz val="10"/>
        <color rgb="FF1F2A28"/>
        <rFont val="WenQuanYi Zen Hei"/>
        <family val="2"/>
      </rPr>
      <t xml:space="preserve">彰化市彰南路二段</t>
    </r>
    <r>
      <rPr>
        <sz val="10"/>
        <color rgb="FF1F2A28"/>
        <rFont val="Arial"/>
        <family val="0"/>
        <charset val="1"/>
      </rPr>
      <t xml:space="preserve">256</t>
    </r>
    <r>
      <rPr>
        <sz val="10"/>
        <color rgb="FF1F2A28"/>
        <rFont val="WenQuanYi Zen Hei"/>
        <family val="2"/>
      </rPr>
      <t xml:space="preserve">之</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</si>
  <si>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(04)7377666</t>
  </si>
  <si>
    <t xml:space="preserve">giraffeintachu@gmail.com</t>
  </si>
  <si>
    <t xml:space="preserve">鄧全真</t>
  </si>
  <si>
    <t xml:space="preserve">柯正浩</t>
  </si>
  <si>
    <t xml:space="preserve">彰化縣私立劍聲文理短期補習班</t>
  </si>
  <si>
    <r>
      <rPr>
        <sz val="10"/>
        <color rgb="FF1F2A28"/>
        <rFont val="WenQuanYi Zen Hei"/>
        <family val="2"/>
      </rPr>
      <t xml:space="preserve">彰化市彰馬路</t>
    </r>
    <r>
      <rPr>
        <sz val="10"/>
        <color rgb="FF1F2A28"/>
        <rFont val="Arial"/>
        <family val="0"/>
        <charset val="1"/>
      </rPr>
      <t xml:space="preserve">94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</si>
  <si>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(04)-7510095</t>
  </si>
  <si>
    <t xml:space="preserve">jsenglish12345@gmail.com</t>
  </si>
  <si>
    <t xml:space="preserve">2019-07-08</t>
  </si>
  <si>
    <t xml:space="preserve">李良義</t>
  </si>
  <si>
    <t xml:space="preserve">彰化縣私立唐司英語文理短期補習班</t>
  </si>
  <si>
    <r>
      <rPr>
        <sz val="10"/>
        <color rgb="FF1F2A28"/>
        <rFont val="WenQuanYi Zen Hei"/>
        <family val="2"/>
      </rPr>
      <t xml:space="preserve">彰化市建寶里建寶街</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</si>
  <si>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(04)7119100</t>
  </si>
  <si>
    <t xml:space="preserve">canary.towns@gmail.com</t>
  </si>
  <si>
    <t xml:space="preserve">2019-05-31</t>
  </si>
  <si>
    <t xml:space="preserve">梁慶玲</t>
  </si>
  <si>
    <t xml:space="preserve">彰化縣私立喬安文理技藝短期補習班</t>
  </si>
  <si>
    <r>
      <rPr>
        <sz val="10"/>
        <color rgb="FF1F2A28"/>
        <rFont val="WenQuanYi Zen Hei"/>
        <family val="2"/>
      </rPr>
      <t xml:space="preserve">彰化市義興街</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</si>
  <si>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(04)7632968</t>
  </si>
  <si>
    <t xml:space="preserve">byron.2266@hotmail.com</t>
  </si>
  <si>
    <t xml:space="preserve">張登傑</t>
  </si>
  <si>
    <t xml:space="preserve">彰化縣私立夏可禾文理短期補習班</t>
  </si>
  <si>
    <r>
      <rPr>
        <sz val="10"/>
        <color rgb="FF1F2A28"/>
        <rFont val="WenQuanYi Zen Hei"/>
        <family val="2"/>
      </rPr>
      <t xml:space="preserve">彰化市中山路二段</t>
    </r>
    <r>
      <rPr>
        <sz val="10"/>
        <color rgb="FF1F2A28"/>
        <rFont val="Arial"/>
        <family val="0"/>
        <charset val="1"/>
      </rPr>
      <t xml:space="preserve">681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</si>
  <si>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(04)7269663</t>
  </si>
  <si>
    <t xml:space="preserve">2019-10-05</t>
  </si>
  <si>
    <t xml:space="preserve">黃芳蘭</t>
  </si>
  <si>
    <t xml:space="preserve">彰化縣私立宇安英語短期補習班</t>
  </si>
  <si>
    <r>
      <rPr>
        <sz val="10"/>
        <color rgb="FF1F2A28"/>
        <rFont val="WenQuanYi Zen Hei"/>
        <family val="2"/>
      </rPr>
      <t xml:space="preserve">彰化市崙平南路</t>
    </r>
    <r>
      <rPr>
        <sz val="10"/>
        <color rgb="FF1F2A28"/>
        <rFont val="Arial"/>
        <family val="0"/>
        <charset val="1"/>
      </rPr>
      <t xml:space="preserve">122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</si>
  <si>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 7511948</t>
  </si>
  <si>
    <t xml:space="preserve">caine0607@gmail.com</t>
  </si>
  <si>
    <t xml:space="preserve">施宗圻</t>
  </si>
  <si>
    <t xml:space="preserve">彰化縣私立安德儒美語短期補習班</t>
  </si>
  <si>
    <r>
      <rPr>
        <sz val="10"/>
        <color rgb="FF1F2A28"/>
        <rFont val="WenQuanYi Zen Hei"/>
        <family val="2"/>
      </rPr>
      <t xml:space="preserve">彰化市延和里中山路一段</t>
    </r>
    <r>
      <rPr>
        <sz val="10"/>
        <color rgb="FF1F2A28"/>
        <rFont val="Arial"/>
        <family val="0"/>
        <charset val="1"/>
      </rPr>
      <t xml:space="preserve">296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</si>
  <si>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(04)713-6666</t>
  </si>
  <si>
    <t xml:space="preserve">vivianpurves@gmail.com</t>
  </si>
  <si>
    <t xml:space="preserve">2024-03-28</t>
  </si>
  <si>
    <t xml:space="preserve">顧芝瑀</t>
  </si>
  <si>
    <t xml:space="preserve">彰化縣私立安迪熊創意美語短期補習班</t>
  </si>
  <si>
    <r>
      <rPr>
        <sz val="10"/>
        <color rgb="FF1F2A28"/>
        <rFont val="WenQuanYi Zen Hei"/>
        <family val="2"/>
      </rPr>
      <t xml:space="preserve">彰化市新興里永安街</t>
    </r>
    <r>
      <rPr>
        <sz val="10"/>
        <color rgb="FF1F2A28"/>
        <rFont val="Arial"/>
        <family val="0"/>
        <charset val="1"/>
      </rPr>
      <t xml:space="preserve">327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</si>
  <si>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047330806</t>
  </si>
  <si>
    <t xml:space="preserve">andybearenglish@gmail.com</t>
  </si>
  <si>
    <t xml:space="preserve">2020-03-16</t>
  </si>
  <si>
    <t xml:space="preserve">白惠琪</t>
  </si>
  <si>
    <t xml:space="preserve">彰化縣私立師匠文理短期補習班</t>
  </si>
  <si>
    <r>
      <rPr>
        <sz val="10"/>
        <color rgb="FF1F2A28"/>
        <rFont val="WenQuanYi Zen Hei"/>
        <family val="2"/>
      </rPr>
      <t xml:space="preserve">彰化市南興里雲長路</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4</t>
    </r>
    <r>
      <rPr>
        <sz val="10"/>
        <color rgb="FF1F2A28"/>
        <rFont val="WenQuanYi Zen Hei"/>
        <family val="2"/>
      </rPr>
      <t xml:space="preserve">樓</t>
    </r>
  </si>
  <si>
    <r>
      <rPr>
        <sz val="10"/>
        <color rgb="FF1F2A28"/>
        <rFont val="Arial"/>
        <family val="0"/>
        <charset val="1"/>
      </rPr>
      <t xml:space="preserve">(04)712-3589</t>
    </r>
    <r>
      <rPr>
        <sz val="10"/>
        <color rgb="FF1F2A28"/>
        <rFont val="WenQuanYi Zen Hei"/>
        <family val="2"/>
      </rPr>
      <t xml:space="preserve">、</t>
    </r>
    <r>
      <rPr>
        <sz val="10"/>
        <color rgb="FF1F2A28"/>
        <rFont val="Arial"/>
        <family val="0"/>
        <charset val="1"/>
      </rPr>
      <t xml:space="preserve">(04)711-8989</t>
    </r>
  </si>
  <si>
    <t xml:space="preserve">7123589@gmail.com</t>
  </si>
  <si>
    <t xml:space="preserve">2024-05-06</t>
  </si>
  <si>
    <t xml:space="preserve">許峻嘉</t>
  </si>
  <si>
    <t xml:space="preserve">吳盈儀</t>
  </si>
  <si>
    <t xml:space="preserve">彰化縣私立幸福外語短期補習班</t>
  </si>
  <si>
    <r>
      <rPr>
        <sz val="10"/>
        <color rgb="FF1F2A28"/>
        <rFont val="WenQuanYi Zen Hei"/>
        <family val="2"/>
      </rPr>
      <t xml:space="preserve">彰化市南瑤路</t>
    </r>
    <r>
      <rPr>
        <sz val="10"/>
        <color rgb="FF1F2A28"/>
        <rFont val="Arial"/>
        <family val="0"/>
        <charset val="1"/>
      </rPr>
      <t xml:space="preserve">345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</si>
  <si>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0912-929-639</t>
  </si>
  <si>
    <t xml:space="preserve">2011-07-28</t>
  </si>
  <si>
    <t xml:space="preserve">趙崇成</t>
  </si>
  <si>
    <t xml:space="preserve">彰化縣私立弈智圍棋美語短期補習班</t>
  </si>
  <si>
    <r>
      <rPr>
        <sz val="10"/>
        <color rgb="FF1F2A28"/>
        <rFont val="WenQuanYi Zen Hei"/>
        <family val="2"/>
      </rPr>
      <t xml:space="preserve">彰化市自強南路</t>
    </r>
    <r>
      <rPr>
        <sz val="10"/>
        <color rgb="FF1F2A28"/>
        <rFont val="Arial"/>
        <family val="0"/>
        <charset val="1"/>
      </rPr>
      <t xml:space="preserve">128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</si>
  <si>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(04)7223040</t>
  </si>
  <si>
    <t xml:space="preserve">ezgogame128@gmail.com</t>
  </si>
  <si>
    <t xml:space="preserve">黃平寬</t>
  </si>
  <si>
    <t xml:space="preserve">李香盈</t>
  </si>
  <si>
    <t xml:space="preserve">彰化縣私立德馨文理短期補習班</t>
  </si>
  <si>
    <r>
      <rPr>
        <sz val="10"/>
        <color rgb="FF1F2A28"/>
        <rFont val="WenQuanYi Zen Hei"/>
        <family val="2"/>
      </rPr>
      <t xml:space="preserve">彰化市南瑤里民族路</t>
    </r>
    <r>
      <rPr>
        <sz val="10"/>
        <color rgb="FF1F2A28"/>
        <rFont val="Arial"/>
        <family val="0"/>
        <charset val="1"/>
      </rPr>
      <t xml:space="preserve">159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</si>
  <si>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(04)7261079</t>
  </si>
  <si>
    <t xml:space="preserve">irishsiao58@gmail.com</t>
  </si>
  <si>
    <t xml:space="preserve">2003-02-19</t>
  </si>
  <si>
    <t xml:space="preserve">陳叡琦</t>
  </si>
  <si>
    <t xml:space="preserve">蕭淑文</t>
  </si>
  <si>
    <t xml:space="preserve">彰化縣私立思讀家文理短期補習班</t>
  </si>
  <si>
    <r>
      <rPr>
        <sz val="10"/>
        <color rgb="FF1F2A28"/>
        <rFont val="WenQuanYi Zen Hei"/>
        <family val="2"/>
      </rPr>
      <t xml:space="preserve">彰化市彰泰一街</t>
    </r>
    <r>
      <rPr>
        <sz val="10"/>
        <color rgb="FF1F2A28"/>
        <rFont val="Arial"/>
        <family val="0"/>
        <charset val="1"/>
      </rPr>
      <t xml:space="preserve">100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</si>
  <si>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04-7357367</t>
  </si>
  <si>
    <t xml:space="preserve">戴寧</t>
  </si>
  <si>
    <t xml:space="preserve">彰化縣私立愛克思音樂美語短期補習班</t>
  </si>
  <si>
    <r>
      <rPr>
        <sz val="10"/>
        <color rgb="FF1F2A28"/>
        <rFont val="WenQuanYi Zen Hei"/>
        <family val="2"/>
      </rPr>
      <t xml:space="preserve">彰化市旭光路</t>
    </r>
    <r>
      <rPr>
        <sz val="10"/>
        <color rgb="FF1F2A28"/>
        <rFont val="Arial"/>
        <family val="0"/>
        <charset val="1"/>
      </rPr>
      <t xml:space="preserve">196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</si>
  <si>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(04)7287912</t>
  </si>
  <si>
    <t xml:space="preserve">lkk5226@yahoo.com.tw</t>
  </si>
  <si>
    <t xml:space="preserve">2015-05-04</t>
  </si>
  <si>
    <t xml:space="preserve">曾可德</t>
  </si>
  <si>
    <t xml:space="preserve">曾閔嬬</t>
  </si>
  <si>
    <t xml:space="preserve">彰化縣私立新東方文理短期補習班</t>
  </si>
  <si>
    <r>
      <rPr>
        <sz val="10"/>
        <color rgb="FF1F2A28"/>
        <rFont val="WenQuanYi Zen Hei"/>
        <family val="2"/>
      </rPr>
      <t xml:space="preserve">彰化市南校街</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</si>
  <si>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(04)7200299</t>
  </si>
  <si>
    <t xml:space="preserve">takeblove@yahoo.com.tw</t>
  </si>
  <si>
    <t xml:space="preserve">2019-06-20</t>
  </si>
  <si>
    <t xml:space="preserve">施妙蕙</t>
  </si>
  <si>
    <t xml:space="preserve">周鈺泰</t>
  </si>
  <si>
    <t xml:space="preserve">彰化縣私立旗艦史丹佛文理技藝短期補習班</t>
  </si>
  <si>
    <r>
      <rPr>
        <sz val="10"/>
        <color rgb="FF1F2A28"/>
        <rFont val="WenQuanYi Zen Hei"/>
        <family val="2"/>
      </rPr>
      <t xml:space="preserve">彰化市西興里辭修路</t>
    </r>
    <r>
      <rPr>
        <sz val="10"/>
        <color rgb="FF1F2A28"/>
        <rFont val="Arial"/>
        <family val="0"/>
        <charset val="1"/>
      </rPr>
      <t xml:space="preserve">410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t>
    </r>
  </si>
  <si>
    <t xml:space="preserve">(04)7511666</t>
  </si>
  <si>
    <t xml:space="preserve">standfordcenter1@gmail.com</t>
  </si>
  <si>
    <t xml:space="preserve">董慧明</t>
  </si>
  <si>
    <t xml:space="preserve">彰化縣私立柏林頓英語短期補習班</t>
  </si>
  <si>
    <r>
      <rPr>
        <sz val="10"/>
        <color rgb="FF1F2A28"/>
        <rFont val="WenQuanYi Zen Hei"/>
        <family val="2"/>
      </rPr>
      <t xml:space="preserve">彰化市介壽北路</t>
    </r>
    <r>
      <rPr>
        <sz val="10"/>
        <color rgb="FF1F2A28"/>
        <rFont val="Arial"/>
        <family val="0"/>
        <charset val="1"/>
      </rPr>
      <t xml:space="preserve">240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</si>
  <si>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04-7285228</t>
  </si>
  <si>
    <t xml:space="preserve">burlinton.english@gmail.com</t>
  </si>
  <si>
    <t xml:space="preserve">2014-02-11</t>
  </si>
  <si>
    <t xml:space="preserve">蔡璧如</t>
  </si>
  <si>
    <t xml:space="preserve">彰化縣私立棋童樂園圍棋美語短期補習班</t>
  </si>
  <si>
    <r>
      <rPr>
        <sz val="10"/>
        <color rgb="FF1F2A28"/>
        <rFont val="WenQuanYi Zen Hei"/>
        <family val="2"/>
      </rPr>
      <t xml:space="preserve">彰化市介壽里介壽北路</t>
    </r>
    <r>
      <rPr>
        <sz val="10"/>
        <color rgb="FF1F2A28"/>
        <rFont val="Arial"/>
        <family val="0"/>
        <charset val="1"/>
      </rPr>
      <t xml:space="preserve">154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</si>
  <si>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(04)7223088</t>
  </si>
  <si>
    <t xml:space="preserve">leaderschools@gmail.com</t>
  </si>
  <si>
    <t xml:space="preserve">2019-03-25</t>
  </si>
  <si>
    <t xml:space="preserve">陳慧眞</t>
  </si>
  <si>
    <t xml:space="preserve">陳宏彥</t>
  </si>
  <si>
    <t xml:space="preserve">彰化縣私立樂師英語文理短期補習班</t>
  </si>
  <si>
    <r>
      <rPr>
        <sz val="10"/>
        <color rgb="FF1F2A28"/>
        <rFont val="WenQuanYi Zen Hei"/>
        <family val="2"/>
      </rPr>
      <t xml:space="preserve">彰化市中山路二段</t>
    </r>
    <r>
      <rPr>
        <sz val="10"/>
        <color rgb="FF1F2A28"/>
        <rFont val="Arial"/>
        <family val="0"/>
        <charset val="1"/>
      </rPr>
      <t xml:space="preserve">681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</si>
  <si>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(04)7289991</t>
  </si>
  <si>
    <t xml:space="preserve">彰化縣私立樂獅文理短期補習班</t>
  </si>
  <si>
    <r>
      <rPr>
        <sz val="10"/>
        <color rgb="FF1F2A28"/>
        <rFont val="WenQuanYi Zen Hei"/>
        <family val="2"/>
      </rPr>
      <t xml:space="preserve">彰化市南瑤里中正路二段</t>
    </r>
    <r>
      <rPr>
        <sz val="10"/>
        <color rgb="FF1F2A28"/>
        <rFont val="Arial"/>
        <family val="0"/>
        <charset val="1"/>
      </rPr>
      <t xml:space="preserve">602</t>
    </r>
    <r>
      <rPr>
        <sz val="10"/>
        <color rgb="FF1F2A28"/>
        <rFont val="WenQuanYi Zen Hei"/>
        <family val="2"/>
      </rPr>
      <t xml:space="preserve">巷</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</si>
  <si>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(04)7276076</t>
  </si>
  <si>
    <t xml:space="preserve">happylion7270070@gmail.com</t>
  </si>
  <si>
    <t xml:space="preserve">王志榮</t>
  </si>
  <si>
    <t xml:space="preserve">彰化縣私立歐文英語短期補習班</t>
  </si>
  <si>
    <r>
      <rPr>
        <sz val="10"/>
        <color rgb="FF1F2A28"/>
        <rFont val="WenQuanYi Zen Hei"/>
        <family val="2"/>
      </rPr>
      <t xml:space="preserve">彰化市中正路二段</t>
    </r>
    <r>
      <rPr>
        <sz val="10"/>
        <color rgb="FF1F2A28"/>
        <rFont val="Arial"/>
        <family val="0"/>
        <charset val="1"/>
      </rPr>
      <t xml:space="preserve">561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</si>
  <si>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(04)7239059</t>
  </si>
  <si>
    <t xml:space="preserve">2018-12-24</t>
  </si>
  <si>
    <t xml:space="preserve">王晴慧</t>
  </si>
  <si>
    <t xml:space="preserve">彰化縣私立立人薪育糧文理短期補習班</t>
  </si>
  <si>
    <r>
      <rPr>
        <sz val="10"/>
        <color rgb="FF1F2A28"/>
        <rFont val="WenQuanYi Zen Hei"/>
        <family val="2"/>
      </rPr>
      <t xml:space="preserve">彰化市中山路二段</t>
    </r>
    <r>
      <rPr>
        <sz val="10"/>
        <color rgb="FF1F2A28"/>
        <rFont val="Arial"/>
        <family val="0"/>
        <charset val="1"/>
      </rPr>
      <t xml:space="preserve">681</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</si>
  <si>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(04)7260447</t>
  </si>
  <si>
    <t xml:space="preserve">諶丙青</t>
  </si>
  <si>
    <t xml:space="preserve">彰化縣私立蕾貝卡美語短期補習班</t>
  </si>
  <si>
    <r>
      <rPr>
        <sz val="10"/>
        <color rgb="FF1F2A28"/>
        <rFont val="WenQuanYi Zen Hei"/>
        <family val="2"/>
      </rPr>
      <t xml:space="preserve">彰化市長壽街</t>
    </r>
    <r>
      <rPr>
        <sz val="10"/>
        <color rgb="FF1F2A28"/>
        <rFont val="Arial"/>
        <family val="0"/>
        <charset val="1"/>
      </rPr>
      <t xml:space="preserve">177-1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</si>
  <si>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(04)7285799</t>
  </si>
  <si>
    <t xml:space="preserve">2013-05-02</t>
  </si>
  <si>
    <t xml:space="preserve">楊淑美</t>
  </si>
  <si>
    <t xml:space="preserve">湯曜安</t>
  </si>
  <si>
    <t xml:space="preserve">彰化縣私立蘋果美日語短期補習班</t>
  </si>
  <si>
    <r>
      <rPr>
        <sz val="10"/>
        <color rgb="FF1F2A28"/>
        <rFont val="WenQuanYi Zen Hei"/>
        <family val="2"/>
      </rPr>
      <t xml:space="preserve">彰化市中正路二段</t>
    </r>
    <r>
      <rPr>
        <sz val="10"/>
        <color rgb="FF1F2A28"/>
        <rFont val="Arial"/>
        <family val="0"/>
        <charset val="1"/>
      </rPr>
      <t xml:space="preserve">602</t>
    </r>
    <r>
      <rPr>
        <sz val="10"/>
        <color rgb="FF1F2A28"/>
        <rFont val="WenQuanYi Zen Hei"/>
        <family val="2"/>
      </rPr>
      <t xml:space="preserve">巷</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</si>
  <si>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(04)7232839</t>
  </si>
  <si>
    <t xml:space="preserve">pei-rung@hotmail.com</t>
  </si>
  <si>
    <t xml:space="preserve">英語初級</t>
  </si>
  <si>
    <t xml:space="preserve">2019-12-18</t>
  </si>
  <si>
    <t xml:space="preserve">曾志翔</t>
  </si>
  <si>
    <t xml:space="preserve">彰化縣私立豐澄文理短期補習班</t>
  </si>
  <si>
    <r>
      <rPr>
        <sz val="10"/>
        <color rgb="FF1F2A28"/>
        <rFont val="WenQuanYi Zen Hei"/>
        <family val="2"/>
      </rPr>
      <t xml:space="preserve">彰化市建寶街</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t>
    </r>
    <r>
      <rPr>
        <sz val="10"/>
        <color rgb="FF1F2A28"/>
        <rFont val="Arial"/>
        <family val="0"/>
        <charset val="1"/>
      </rPr>
      <t xml:space="preserve">5</t>
    </r>
    <r>
      <rPr>
        <sz val="10"/>
        <color rgb="FF1F2A28"/>
        <rFont val="WenQuanYi Zen Hei"/>
        <family val="2"/>
      </rPr>
      <t xml:space="preserve">樓</t>
    </r>
  </si>
  <si>
    <t xml:space="preserve">04-7260447</t>
  </si>
  <si>
    <t xml:space="preserve">fireflypeggy@yahoo.com.tw</t>
  </si>
  <si>
    <t xml:space="preserve">2020-03-25</t>
  </si>
  <si>
    <t xml:space="preserve">洪懿萱</t>
  </si>
  <si>
    <t xml:space="preserve">彰化縣私立賦能英語短期補習班</t>
  </si>
  <si>
    <r>
      <rPr>
        <sz val="10"/>
        <color rgb="FF1F2A28"/>
        <rFont val="WenQuanYi Zen Hei"/>
        <family val="2"/>
      </rPr>
      <t xml:space="preserve">彰化市中山路二段</t>
    </r>
    <r>
      <rPr>
        <sz val="10"/>
        <color rgb="FF1F2A28"/>
        <rFont val="Arial"/>
        <family val="0"/>
        <charset val="1"/>
      </rPr>
      <t xml:space="preserve">681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</si>
  <si>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(04)7266538</t>
  </si>
  <si>
    <t xml:space="preserve">林庭偵</t>
  </si>
  <si>
    <t xml:space="preserve">彰化縣私立進階文理短期補習班</t>
  </si>
  <si>
    <r>
      <rPr>
        <sz val="10"/>
        <color rgb="FF1F2A28"/>
        <rFont val="WenQuanYi Zen Hei"/>
        <family val="2"/>
      </rPr>
      <t xml:space="preserve">彰化市中央路</t>
    </r>
    <r>
      <rPr>
        <sz val="10"/>
        <color rgb="FF1F2A28"/>
        <rFont val="Arial"/>
        <family val="0"/>
        <charset val="1"/>
      </rPr>
      <t xml:space="preserve">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彰化市中山路一段</t>
    </r>
    <r>
      <rPr>
        <sz val="10"/>
        <color rgb="FF1F2A28"/>
        <rFont val="Arial"/>
        <family val="0"/>
        <charset val="1"/>
      </rPr>
      <t xml:space="preserve">489</t>
    </r>
    <r>
      <rPr>
        <sz val="10"/>
        <color rgb="FF1F2A28"/>
        <rFont val="WenQuanYi Zen Hei"/>
        <family val="2"/>
      </rPr>
      <t xml:space="preserve">號</t>
    </r>
    <r>
      <rPr>
        <sz val="10"/>
        <color rgb="FF1F2A28"/>
        <rFont val="Arial"/>
        <family val="0"/>
        <charset val="1"/>
      </rPr>
      <t xml:space="preserve">4.5</t>
    </r>
    <r>
      <rPr>
        <sz val="10"/>
        <color rgb="FF1F2A28"/>
        <rFont val="WenQuanYi Zen Hei"/>
        <family val="2"/>
      </rPr>
      <t xml:space="preserve">樓</t>
    </r>
  </si>
  <si>
    <t xml:space="preserve">7522285 7610300</t>
  </si>
  <si>
    <t xml:space="preserve">chicago_preschool@yahoo.com.tw</t>
  </si>
  <si>
    <t xml:space="preserve">1997-03-21</t>
  </si>
  <si>
    <t xml:space="preserve">吳俊民</t>
  </si>
  <si>
    <t xml:space="preserve">彰化縣私立頂尖保進美語短期補習班</t>
  </si>
  <si>
    <r>
      <rPr>
        <sz val="10"/>
        <color rgb="FF1F2A28"/>
        <rFont val="WenQuanYi Zen Hei"/>
        <family val="2"/>
      </rPr>
      <t xml:space="preserve">彰化市南館街</t>
    </r>
    <r>
      <rPr>
        <sz val="10"/>
        <color rgb="FF1F2A28"/>
        <rFont val="Arial"/>
        <family val="0"/>
        <charset val="1"/>
      </rPr>
      <t xml:space="preserve">72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t>
    </r>
  </si>
  <si>
    <t xml:space="preserve">(04)7620270</t>
  </si>
  <si>
    <t xml:space="preserve">bowjinn.0270@gmail.com</t>
  </si>
  <si>
    <t xml:space="preserve">2015-01-30</t>
  </si>
  <si>
    <t xml:space="preserve">卓慧琴</t>
  </si>
  <si>
    <t xml:space="preserve">彰化縣私立高仲文理技藝短期補習班</t>
  </si>
  <si>
    <r>
      <rPr>
        <sz val="10"/>
        <color rgb="FF1F2A28"/>
        <rFont val="WenQuanYi Zen Hei"/>
        <family val="2"/>
      </rPr>
      <t xml:space="preserve">彰化市長順街</t>
    </r>
    <r>
      <rPr>
        <sz val="10"/>
        <color rgb="FF1F2A28"/>
        <rFont val="Arial"/>
        <family val="0"/>
        <charset val="1"/>
      </rPr>
      <t xml:space="preserve">57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t>
    </r>
  </si>
  <si>
    <t xml:space="preserve">(04)7235233</t>
  </si>
  <si>
    <t xml:space="preserve">shihwanjung@yahoo.com.tw</t>
  </si>
  <si>
    <t xml:space="preserve">2005-06-16</t>
  </si>
  <si>
    <t xml:space="preserve">施琬蓉</t>
  </si>
  <si>
    <t xml:space="preserve">社團法人彰化縣基督教青年會附設彰化縣私立領袖英日語會話短期補習班</t>
  </si>
  <si>
    <r>
      <rPr>
        <sz val="10"/>
        <color rgb="FF1F2A28"/>
        <rFont val="WenQuanYi Zen Hei"/>
        <family val="2"/>
      </rPr>
      <t xml:space="preserve">彰化市民族路</t>
    </r>
    <r>
      <rPr>
        <sz val="10"/>
        <color rgb="FF1F2A28"/>
        <rFont val="Arial"/>
        <family val="0"/>
        <charset val="1"/>
      </rPr>
      <t xml:space="preserve">267</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t>
    </r>
    <r>
      <rPr>
        <sz val="10"/>
        <color rgb="FF1F2A28"/>
        <rFont val="Arial"/>
        <family val="0"/>
        <charset val="1"/>
      </rPr>
      <t xml:space="preserve">4</t>
    </r>
    <r>
      <rPr>
        <sz val="10"/>
        <color rgb="FF1F2A28"/>
        <rFont val="WenQuanYi Zen Hei"/>
        <family val="2"/>
      </rPr>
      <t xml:space="preserve">樓</t>
    </r>
  </si>
  <si>
    <t xml:space="preserve">04-7225625</t>
  </si>
  <si>
    <t xml:space="preserve">chymca.cherry@gmail.com</t>
  </si>
  <si>
    <t xml:space="preserve">2001-07-02</t>
  </si>
  <si>
    <r>
      <rPr>
        <sz val="10"/>
        <color rgb="FF1F2A28"/>
        <rFont val="WenQuanYi Zen Hei"/>
        <family val="2"/>
      </rPr>
      <t xml:space="preserve">社團法人彰化縣基督教青年會</t>
    </r>
    <r>
      <rPr>
        <sz val="10"/>
        <color rgb="FF1F2A28"/>
        <rFont val="Arial"/>
        <family val="0"/>
        <charset val="1"/>
      </rPr>
      <t xml:space="preserve">(</t>
    </r>
    <r>
      <rPr>
        <sz val="10"/>
        <color rgb="FF1F2A28"/>
        <rFont val="WenQuanYi Zen Hei"/>
        <family val="2"/>
      </rPr>
      <t xml:space="preserve">負責人：許信義</t>
    </r>
    <r>
      <rPr>
        <sz val="10"/>
        <color rgb="FF1F2A28"/>
        <rFont val="Arial"/>
        <family val="0"/>
        <charset val="1"/>
      </rPr>
      <t xml:space="preserve">)</t>
    </r>
  </si>
  <si>
    <t xml:space="preserve">蘇美文</t>
  </si>
  <si>
    <t xml:space="preserve">私立丁老師美語短期補習班</t>
  </si>
  <si>
    <r>
      <rPr>
        <sz val="10"/>
        <color rgb="FF1F2A28"/>
        <rFont val="WenQuanYi Zen Hei"/>
        <family val="2"/>
      </rPr>
      <t xml:space="preserve">彰化市陽明街</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</si>
  <si>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(04)7273539</t>
  </si>
  <si>
    <t xml:space="preserve">黃德偉</t>
  </si>
  <si>
    <t xml:space="preserve">私立三品文理短期補習班</t>
  </si>
  <si>
    <r>
      <rPr>
        <sz val="10"/>
        <color rgb="FF1F2A28"/>
        <rFont val="WenQuanYi Zen Hei"/>
        <family val="2"/>
      </rPr>
      <t xml:space="preserve">彰化市永康街</t>
    </r>
    <r>
      <rPr>
        <sz val="10"/>
        <color rgb="FF1F2A28"/>
        <rFont val="Arial"/>
        <family val="0"/>
        <charset val="1"/>
      </rPr>
      <t xml:space="preserve">107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永康街</t>
    </r>
    <r>
      <rPr>
        <sz val="10"/>
        <color rgb="FF1F2A28"/>
        <rFont val="Arial"/>
        <family val="0"/>
        <charset val="1"/>
      </rPr>
      <t xml:space="preserve">108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</si>
  <si>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(04)7364868</t>
  </si>
  <si>
    <t xml:space="preserve">a983182803@gmail.com</t>
  </si>
  <si>
    <t xml:space="preserve">莊秀卿</t>
  </si>
  <si>
    <t xml:space="preserve">韋本芳</t>
  </si>
  <si>
    <t xml:space="preserve">私立三育英語短期補習班</t>
  </si>
  <si>
    <r>
      <rPr>
        <sz val="10"/>
        <color rgb="FF1F2A28"/>
        <rFont val="WenQuanYi Zen Hei"/>
        <family val="2"/>
      </rPr>
      <t xml:space="preserve">彰化市長興街</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B1</t>
    </r>
    <r>
      <rPr>
        <sz val="10"/>
        <color rgb="FF1F2A28"/>
        <rFont val="WenQuanYi Zen Hei"/>
        <family val="2"/>
      </rPr>
      <t xml:space="preserve">樓</t>
    </r>
  </si>
  <si>
    <r>
      <rPr>
        <sz val="10"/>
        <color rgb="FF1F2A28"/>
        <rFont val="Arial"/>
        <family val="0"/>
        <charset val="1"/>
      </rPr>
      <t xml:space="preserve">7255914</t>
    </r>
    <r>
      <rPr>
        <sz val="10"/>
        <color rgb="FF1F2A28"/>
        <rFont val="WenQuanYi Zen Hei"/>
        <family val="2"/>
      </rPr>
      <t xml:space="preserve">、</t>
    </r>
    <r>
      <rPr>
        <sz val="10"/>
        <color rgb="FF1F2A28"/>
        <rFont val="Arial"/>
        <family val="0"/>
        <charset val="1"/>
      </rPr>
      <t xml:space="preserve">7298833</t>
    </r>
  </si>
  <si>
    <t xml:space="preserve">karenjeng301@yahoo.com.tw</t>
  </si>
  <si>
    <t xml:space="preserve">賴立俊</t>
  </si>
  <si>
    <t xml:space="preserve">李佳霖</t>
  </si>
  <si>
    <t xml:space="preserve">私立中鼎美語短期補習班</t>
  </si>
  <si>
    <r>
      <rPr>
        <sz val="10"/>
        <color rgb="FF1F2A28"/>
        <rFont val="WenQuanYi Zen Hei"/>
        <family val="2"/>
      </rPr>
      <t xml:space="preserve">彰化市中正路二段</t>
    </r>
    <r>
      <rPr>
        <sz val="10"/>
        <color rgb="FF1F2A28"/>
        <rFont val="Arial"/>
        <family val="0"/>
        <charset val="1"/>
      </rPr>
      <t xml:space="preserve">436</t>
    </r>
    <r>
      <rPr>
        <sz val="10"/>
        <color rgb="FF1F2A28"/>
        <rFont val="WenQuanYi Zen Hei"/>
        <family val="2"/>
      </rPr>
      <t xml:space="preserve">、</t>
    </r>
    <r>
      <rPr>
        <sz val="10"/>
        <color rgb="FF1F2A28"/>
        <rFont val="Arial"/>
        <family val="0"/>
        <charset val="1"/>
      </rPr>
      <t xml:space="preserve">438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</si>
  <si>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(04)7283165</t>
  </si>
  <si>
    <t xml:space="preserve">2005-10-12</t>
  </si>
  <si>
    <t xml:space="preserve">林奕儒</t>
  </si>
  <si>
    <t xml:space="preserve">私立丹尼兒英日語短期補習班</t>
  </si>
  <si>
    <r>
      <rPr>
        <sz val="10"/>
        <color rgb="FF1F2A28"/>
        <rFont val="WenQuanYi Zen Hei"/>
        <family val="2"/>
      </rPr>
      <t xml:space="preserve">彰化市彰南路二段</t>
    </r>
    <r>
      <rPr>
        <sz val="10"/>
        <color rgb="FF1F2A28"/>
        <rFont val="Arial"/>
        <family val="0"/>
        <charset val="1"/>
      </rPr>
      <t xml:space="preserve">224</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1.2f</t>
    </r>
  </si>
  <si>
    <t xml:space="preserve">(04)7389866</t>
  </si>
  <si>
    <t xml:space="preserve">2005-08-12</t>
  </si>
  <si>
    <t xml:space="preserve">陳冠宏</t>
  </si>
  <si>
    <t xml:space="preserve">私立何嘉人英語電腦短期補習班</t>
  </si>
  <si>
    <t xml:space="preserve">7260180</t>
  </si>
  <si>
    <t xml:space="preserve">2000-07-12</t>
  </si>
  <si>
    <t xml:space="preserve">朱慧芬</t>
  </si>
  <si>
    <t xml:space="preserve">陳春閔</t>
  </si>
  <si>
    <t xml:space="preserve">私立大皇家美語短期補習班</t>
  </si>
  <si>
    <r>
      <rPr>
        <sz val="10"/>
        <color rgb="FF1F2A28"/>
        <rFont val="WenQuanYi Zen Hei"/>
        <family val="2"/>
      </rPr>
      <t xml:space="preserve">彰化市中正路二段</t>
    </r>
    <r>
      <rPr>
        <sz val="10"/>
        <color rgb="FF1F2A28"/>
        <rFont val="Arial"/>
        <family val="0"/>
        <charset val="1"/>
      </rPr>
      <t xml:space="preserve">461</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號</t>
    </r>
  </si>
  <si>
    <t xml:space="preserve">7227853</t>
  </si>
  <si>
    <t xml:space="preserve">2001-02-16</t>
  </si>
  <si>
    <t xml:space="preserve">蘇偉傑</t>
  </si>
  <si>
    <t xml:space="preserve">私立大觀美語短期補習班</t>
  </si>
  <si>
    <r>
      <rPr>
        <sz val="10"/>
        <color rgb="FF1F2A28"/>
        <rFont val="WenQuanYi Zen Hei"/>
        <family val="2"/>
      </rPr>
      <t xml:space="preserve">彰化市辭修北路</t>
    </r>
    <r>
      <rPr>
        <sz val="10"/>
        <color rgb="FF1F2A28"/>
        <rFont val="Arial"/>
        <family val="0"/>
        <charset val="1"/>
      </rPr>
      <t xml:space="preserve">167</t>
    </r>
    <r>
      <rPr>
        <sz val="10"/>
        <color rgb="FF1F2A28"/>
        <rFont val="WenQuanYi Zen Hei"/>
        <family val="2"/>
      </rPr>
      <t xml:space="preserve">巷</t>
    </r>
    <r>
      <rPr>
        <sz val="10"/>
        <color rgb="FF1F2A28"/>
        <rFont val="Arial"/>
        <family val="0"/>
        <charset val="1"/>
      </rPr>
      <t xml:space="preserve">40</t>
    </r>
    <r>
      <rPr>
        <sz val="10"/>
        <color rgb="FF1F2A28"/>
        <rFont val="WenQuanYi Zen Hei"/>
        <family val="2"/>
      </rPr>
      <t xml:space="preserve">號</t>
    </r>
    <r>
      <rPr>
        <sz val="10"/>
        <color rgb="FF1F2A28"/>
        <rFont val="Arial"/>
        <family val="0"/>
        <charset val="1"/>
      </rPr>
      <t xml:space="preserve">1-2F</t>
    </r>
  </si>
  <si>
    <t xml:space="preserve">(04)7354987</t>
  </si>
  <si>
    <t xml:space="preserve">ru530820@yahoo.com.tw</t>
  </si>
  <si>
    <t xml:space="preserve">張琇容</t>
  </si>
  <si>
    <t xml:space="preserve">私立奧斯汀短期補習班</t>
  </si>
  <si>
    <r>
      <rPr>
        <sz val="10"/>
        <color rgb="FF1F2A28"/>
        <rFont val="WenQuanYi Zen Hei"/>
        <family val="2"/>
      </rPr>
      <t xml:space="preserve">彰化市中正路一段</t>
    </r>
    <r>
      <rPr>
        <sz val="10"/>
        <color rgb="FF1F2A28"/>
        <rFont val="Arial"/>
        <family val="0"/>
        <charset val="1"/>
      </rPr>
      <t xml:space="preserve">454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</si>
  <si>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(04)7265341</t>
  </si>
  <si>
    <t xml:space="preserve">joseph3963@yahoo.com.tw</t>
  </si>
  <si>
    <t xml:space="preserve">林烱鉉</t>
  </si>
  <si>
    <t xml:space="preserve">私立寶傑美語短期補習班</t>
  </si>
  <si>
    <r>
      <rPr>
        <sz val="10"/>
        <color rgb="FF1F2A28"/>
        <rFont val="WenQuanYi Zen Hei"/>
        <family val="2"/>
      </rPr>
      <t xml:space="preserve">彰化市中正路二段</t>
    </r>
    <r>
      <rPr>
        <sz val="10"/>
        <color rgb="FF1F2A28"/>
        <rFont val="Arial"/>
        <family val="0"/>
        <charset val="1"/>
      </rPr>
      <t xml:space="preserve">560</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</si>
  <si>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2013-06-13</t>
  </si>
  <si>
    <t xml:space="preserve">趙珮均</t>
  </si>
  <si>
    <t xml:space="preserve">趙珮鈞</t>
  </si>
  <si>
    <r>
      <rPr>
        <sz val="10"/>
        <color rgb="FF1F2A28"/>
        <rFont val="WenQuanYi Zen Hei"/>
        <family val="2"/>
      </rPr>
      <t xml:space="preserve">彰化市三民路</t>
    </r>
    <r>
      <rPr>
        <sz val="10"/>
        <color rgb="FF1F2A28"/>
        <rFont val="Arial"/>
        <family val="0"/>
        <charset val="1"/>
      </rPr>
      <t xml:space="preserve">279</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</si>
  <si>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(04)7285878</t>
  </si>
  <si>
    <t xml:space="preserve">uncle.sam92@yahoo.com.tw</t>
  </si>
  <si>
    <t xml:space="preserve">張紜慈</t>
  </si>
  <si>
    <t xml:space="preserve">蔡惠萍</t>
  </si>
  <si>
    <t xml:space="preserve">私立巧課立英文音樂短期補習班</t>
  </si>
  <si>
    <r>
      <rPr>
        <sz val="10"/>
        <color rgb="FF1F2A28"/>
        <rFont val="WenQuanYi Zen Hei"/>
        <family val="2"/>
      </rPr>
      <t xml:space="preserve">彰化市西勢街</t>
    </r>
    <r>
      <rPr>
        <sz val="10"/>
        <color rgb="FF1F2A28"/>
        <rFont val="Arial"/>
        <family val="0"/>
        <charset val="1"/>
      </rPr>
      <t xml:space="preserve">178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</si>
  <si>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(04)7510588</t>
  </si>
  <si>
    <t xml:space="preserve">niceteacher520@gmail.com</t>
  </si>
  <si>
    <t xml:space="preserve">2006-07-04</t>
  </si>
  <si>
    <t xml:space="preserve">陳湘耘</t>
  </si>
  <si>
    <t xml:space="preserve">私立思傑英文短期補習班</t>
  </si>
  <si>
    <r>
      <rPr>
        <sz val="10"/>
        <color rgb="FF1F2A28"/>
        <rFont val="WenQuanYi Zen Hei"/>
        <family val="2"/>
      </rPr>
      <t xml:space="preserve">彰化市精誠路</t>
    </r>
    <r>
      <rPr>
        <sz val="10"/>
        <color rgb="FF1F2A28"/>
        <rFont val="Arial"/>
        <family val="0"/>
        <charset val="1"/>
      </rPr>
      <t xml:space="preserve">37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</si>
  <si>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0920-170402</t>
  </si>
  <si>
    <t xml:space="preserve">尤振銘</t>
  </si>
  <si>
    <t xml:space="preserve">尤怡婷</t>
  </si>
  <si>
    <t xml:space="preserve">私立思維美語短期補習班</t>
  </si>
  <si>
    <r>
      <rPr>
        <sz val="10"/>
        <color rgb="FF1F2A28"/>
        <rFont val="WenQuanYi Zen Hei"/>
        <family val="2"/>
      </rPr>
      <t xml:space="preserve">彰化市泰安二街</t>
    </r>
    <r>
      <rPr>
        <sz val="10"/>
        <color rgb="FF1F2A28"/>
        <rFont val="Arial"/>
        <family val="0"/>
        <charset val="1"/>
      </rPr>
      <t xml:space="preserve">142</t>
    </r>
    <r>
      <rPr>
        <sz val="10"/>
        <color rgb="FF1F2A28"/>
        <rFont val="WenQuanYi Zen Hei"/>
        <family val="2"/>
      </rPr>
      <t xml:space="preserve">號</t>
    </r>
  </si>
  <si>
    <t xml:space="preserve">(04)7353573</t>
  </si>
  <si>
    <t xml:space="preserve">szuwei88@yahoo.com.tw</t>
  </si>
  <si>
    <t xml:space="preserve">2006-06-13</t>
  </si>
  <si>
    <t xml:space="preserve">黃佳綾</t>
  </si>
  <si>
    <t xml:space="preserve">私立恭薇美語短期補習班</t>
  </si>
  <si>
    <r>
      <rPr>
        <sz val="10"/>
        <color rgb="FF1F2A28"/>
        <rFont val="WenQuanYi Zen Hei"/>
        <family val="2"/>
      </rPr>
      <t xml:space="preserve">彰化市向陽街</t>
    </r>
    <r>
      <rPr>
        <sz val="10"/>
        <color rgb="FF1F2A28"/>
        <rFont val="Arial"/>
        <family val="0"/>
        <charset val="1"/>
      </rPr>
      <t xml:space="preserve">175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</si>
  <si>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(04)7634010</t>
  </si>
  <si>
    <t xml:space="preserve">boston11259@yahoo.com.tw</t>
  </si>
  <si>
    <t xml:space="preserve">吳恭全</t>
  </si>
  <si>
    <t xml:space="preserve">王松薇</t>
  </si>
  <si>
    <t xml:space="preserve">私立承宇美語短期補習班</t>
  </si>
  <si>
    <t xml:space="preserve">彰化市安溪東路一巷七五弄八號</t>
  </si>
  <si>
    <t xml:space="preserve">7372500</t>
  </si>
  <si>
    <t xml:space="preserve">2001-07-09</t>
  </si>
  <si>
    <t xml:space="preserve">江 浩 然</t>
  </si>
  <si>
    <t xml:space="preserve">私立曼哈頓英語短期補習班</t>
  </si>
  <si>
    <r>
      <rPr>
        <sz val="10"/>
        <color rgb="FF1F2A28"/>
        <rFont val="WenQuanYi Zen Hei"/>
        <family val="2"/>
      </rPr>
      <t xml:space="preserve">彰化市長壽街</t>
    </r>
    <r>
      <rPr>
        <sz val="10"/>
        <color rgb="FF1F2A28"/>
        <rFont val="Arial"/>
        <family val="0"/>
        <charset val="1"/>
      </rPr>
      <t xml:space="preserve">192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</si>
  <si>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(04)7277168</t>
  </si>
  <si>
    <t xml:space="preserve">cpyang26@gmail.com</t>
  </si>
  <si>
    <t xml:space="preserve">楊群斌</t>
  </si>
  <si>
    <t xml:space="preserve">曾珮琪</t>
  </si>
  <si>
    <t xml:space="preserve">私立杰瑞美語短期補習班</t>
  </si>
  <si>
    <r>
      <rPr>
        <sz val="10"/>
        <color rgb="FF1F2A28"/>
        <rFont val="WenQuanYi Zen Hei"/>
        <family val="2"/>
      </rPr>
      <t xml:space="preserve">彰化市彰美路一段</t>
    </r>
    <r>
      <rPr>
        <sz val="10"/>
        <color rgb="FF1F2A28"/>
        <rFont val="Arial"/>
        <family val="0"/>
        <charset val="1"/>
      </rPr>
      <t xml:space="preserve">213</t>
    </r>
    <r>
      <rPr>
        <sz val="10"/>
        <color rgb="FF1F2A28"/>
        <rFont val="WenQuanYi Zen Hei"/>
        <family val="2"/>
      </rPr>
      <t xml:space="preserve">號</t>
    </r>
  </si>
  <si>
    <t xml:space="preserve">7291677</t>
  </si>
  <si>
    <t xml:space="preserve">amc.richardchou@gmail.com</t>
  </si>
  <si>
    <t xml:space="preserve">1999-06-10</t>
  </si>
  <si>
    <t xml:space="preserve">高千惠</t>
  </si>
  <si>
    <t xml:space="preserve">郭桂寧</t>
  </si>
  <si>
    <t xml:space="preserve">私立楊格文理短期補習班</t>
  </si>
  <si>
    <r>
      <rPr>
        <sz val="10"/>
        <color rgb="FF1F2A28"/>
        <rFont val="WenQuanYi Zen Hei"/>
        <family val="2"/>
      </rPr>
      <t xml:space="preserve">彰化市向陽街</t>
    </r>
    <r>
      <rPr>
        <sz val="10"/>
        <color rgb="FF1F2A28"/>
        <rFont val="Arial"/>
        <family val="0"/>
        <charset val="1"/>
      </rPr>
      <t xml:space="preserve">201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</si>
  <si>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(04)7623668</t>
  </si>
  <si>
    <t xml:space="preserve">2003-06-29</t>
  </si>
  <si>
    <t xml:space="preserve">顏淑華</t>
  </si>
  <si>
    <t xml:space="preserve">私立法堤美語會話短期補習班</t>
  </si>
  <si>
    <r>
      <rPr>
        <sz val="10"/>
        <color rgb="FF1F2A28"/>
        <rFont val="WenQuanYi Zen Hei"/>
        <family val="2"/>
      </rPr>
      <t xml:space="preserve">彰化市三福街</t>
    </r>
    <r>
      <rPr>
        <sz val="10"/>
        <color rgb="FF1F2A28"/>
        <rFont val="Arial"/>
        <family val="0"/>
        <charset val="1"/>
      </rPr>
      <t xml:space="preserve">19</t>
    </r>
    <r>
      <rPr>
        <sz val="10"/>
        <color rgb="FF1F2A28"/>
        <rFont val="WenQuanYi Zen Hei"/>
        <family val="2"/>
      </rPr>
      <t xml:space="preserve">號</t>
    </r>
  </si>
  <si>
    <t xml:space="preserve">(04)7203898</t>
  </si>
  <si>
    <t xml:space="preserve">蘇子婷</t>
  </si>
  <si>
    <t xml:space="preserve">私立瑞德美語短期補習班</t>
  </si>
  <si>
    <r>
      <rPr>
        <sz val="10"/>
        <color rgb="FF1F2A28"/>
        <rFont val="WenQuanYi Zen Hei"/>
        <family val="2"/>
      </rPr>
      <t xml:space="preserve">彰化市彰安里民族路</t>
    </r>
    <r>
      <rPr>
        <sz val="10"/>
        <color rgb="FF1F2A28"/>
        <rFont val="Arial"/>
        <family val="0"/>
        <charset val="1"/>
      </rPr>
      <t xml:space="preserve">278</t>
    </r>
    <r>
      <rPr>
        <sz val="10"/>
        <color rgb="FF1F2A28"/>
        <rFont val="WenQuanYi Zen Hei"/>
        <family val="2"/>
      </rPr>
      <t xml:space="preserve">號</t>
    </r>
  </si>
  <si>
    <t xml:space="preserve">陳慧真</t>
  </si>
  <si>
    <t xml:space="preserve">陳志芬</t>
  </si>
  <si>
    <t xml:space="preserve">私立瑪麗美語短期補習班</t>
  </si>
  <si>
    <r>
      <rPr>
        <sz val="10"/>
        <color rgb="FF1F2A28"/>
        <rFont val="WenQuanYi Zen Hei"/>
        <family val="2"/>
      </rPr>
      <t xml:space="preserve">彰化市平和里建和街</t>
    </r>
    <r>
      <rPr>
        <sz val="10"/>
        <color rgb="FF1F2A28"/>
        <rFont val="Arial"/>
        <family val="0"/>
        <charset val="1"/>
      </rPr>
      <t xml:space="preserve">50</t>
    </r>
    <r>
      <rPr>
        <sz val="10"/>
        <color rgb="FF1F2A28"/>
        <rFont val="WenQuanYi Zen Hei"/>
        <family val="2"/>
      </rPr>
      <t xml:space="preserve">號</t>
    </r>
  </si>
  <si>
    <t xml:space="preserve">(04)7526282</t>
  </si>
  <si>
    <t xml:space="preserve">2003-06-13</t>
  </si>
  <si>
    <t xml:space="preserve">陳瑞光</t>
  </si>
  <si>
    <t xml:space="preserve">私立種子美語短期補習班</t>
  </si>
  <si>
    <r>
      <rPr>
        <sz val="10"/>
        <color rgb="FF1F2A28"/>
        <rFont val="WenQuanYi Zen Hei"/>
        <family val="2"/>
      </rPr>
      <t xml:space="preserve">彰化市建國北路</t>
    </r>
    <r>
      <rPr>
        <sz val="10"/>
        <color rgb="FF1F2A28"/>
        <rFont val="Arial"/>
        <family val="0"/>
        <charset val="1"/>
      </rPr>
      <t xml:space="preserve">162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</si>
  <si>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(04)7239682</t>
  </si>
  <si>
    <t xml:space="preserve">jessica378162@gmail.com</t>
  </si>
  <si>
    <t xml:space="preserve">劉麗芬</t>
  </si>
  <si>
    <t xml:space="preserve">呂苑青</t>
  </si>
  <si>
    <t xml:space="preserve">私立群彥美語短期補習班</t>
  </si>
  <si>
    <r>
      <rPr>
        <sz val="10"/>
        <color rgb="FF1F2A28"/>
        <rFont val="WenQuanYi Zen Hei"/>
        <family val="2"/>
      </rPr>
      <t xml:space="preserve">彰化市中興路</t>
    </r>
    <r>
      <rPr>
        <sz val="10"/>
        <color rgb="FF1F2A28"/>
        <rFont val="Arial"/>
        <family val="0"/>
        <charset val="1"/>
      </rPr>
      <t xml:space="preserve">170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</si>
  <si>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(04)7273577</t>
  </si>
  <si>
    <t xml:space="preserve">黃秀容</t>
  </si>
  <si>
    <t xml:space="preserve">張玉環</t>
  </si>
  <si>
    <t xml:space="preserve">私立聖約翰美語短期補習班</t>
  </si>
  <si>
    <r>
      <rPr>
        <sz val="10"/>
        <color rgb="FF1F2A28"/>
        <rFont val="WenQuanYi Zen Hei"/>
        <family val="2"/>
      </rPr>
      <t xml:space="preserve">彰化市建和街</t>
    </r>
    <r>
      <rPr>
        <sz val="10"/>
        <color rgb="FF1F2A28"/>
        <rFont val="Arial"/>
        <family val="0"/>
        <charset val="1"/>
      </rPr>
      <t xml:space="preserve">54.56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</si>
  <si>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7637979</t>
  </si>
  <si>
    <t xml:space="preserve">Stjohns7979@gmail.com</t>
  </si>
  <si>
    <t xml:space="preserve">鄭存遠</t>
  </si>
  <si>
    <t xml:space="preserve">私立育佳美語短期補習班</t>
  </si>
  <si>
    <r>
      <rPr>
        <sz val="10"/>
        <color rgb="FF1F2A28"/>
        <rFont val="WenQuanYi Zen Hei"/>
        <family val="2"/>
      </rPr>
      <t xml:space="preserve">彰化市長發街</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</si>
  <si>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(04)7286221</t>
  </si>
  <si>
    <t xml:space="preserve">minsheng.ch@eagletw.com</t>
  </si>
  <si>
    <t xml:space="preserve">2008-07-07</t>
  </si>
  <si>
    <t xml:space="preserve">李佳純</t>
  </si>
  <si>
    <t xml:space="preserve">私立自強博士語文短期補習班</t>
  </si>
  <si>
    <t xml:space="preserve">彰化市自強南路八十號</t>
  </si>
  <si>
    <t xml:space="preserve">7277581</t>
  </si>
  <si>
    <t xml:space="preserve">qq8508@yahoo.com.tw</t>
  </si>
  <si>
    <t xml:space="preserve">2001-07-17</t>
  </si>
  <si>
    <t xml:space="preserve">宋世章</t>
  </si>
  <si>
    <t xml:space="preserve">劉 麗 杏</t>
  </si>
  <si>
    <t xml:space="preserve">私立艾蒂兒美語短期補習班</t>
  </si>
  <si>
    <r>
      <rPr>
        <sz val="10"/>
        <color rgb="FF1F2A28"/>
        <rFont val="WenQuanYi Zen Hei"/>
        <family val="2"/>
      </rPr>
      <t xml:space="preserve">彰化市介壽南路</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</si>
  <si>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(04)7114513</t>
  </si>
  <si>
    <t xml:space="preserve">鄭仁愛</t>
  </si>
  <si>
    <t xml:space="preserve">林子維</t>
  </si>
  <si>
    <t xml:space="preserve">私立蘇杋美術美語短期補習班</t>
  </si>
  <si>
    <r>
      <rPr>
        <sz val="10"/>
        <color rgb="FF1F2A28"/>
        <rFont val="WenQuanYi Zen Hei"/>
        <family val="2"/>
      </rPr>
      <t xml:space="preserve">彰化市西勢街</t>
    </r>
    <r>
      <rPr>
        <sz val="10"/>
        <color rgb="FF1F2A28"/>
        <rFont val="Arial"/>
        <family val="0"/>
        <charset val="1"/>
      </rPr>
      <t xml:space="preserve">317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</si>
  <si>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0960-066080, 04-7266070</t>
  </si>
  <si>
    <t xml:space="preserve">soart999@gmail.com</t>
  </si>
  <si>
    <t xml:space="preserve">蘇杋</t>
  </si>
  <si>
    <t xml:space="preserve">林世忠</t>
  </si>
  <si>
    <t xml:space="preserve">私立虹堡美語短期補習班</t>
  </si>
  <si>
    <t xml:space="preserve">彰化市泰和路一段一二九號一、二樓</t>
  </si>
  <si>
    <t xml:space="preserve">7202011 7202022</t>
  </si>
  <si>
    <t xml:space="preserve">2001-05-24</t>
  </si>
  <si>
    <t xml:space="preserve">謝 昆 谷</t>
  </si>
  <si>
    <t xml:space="preserve">張 瑞 雯</t>
  </si>
  <si>
    <t xml:space="preserve">私立赫爾巴特美語短期補習班</t>
  </si>
  <si>
    <r>
      <rPr>
        <sz val="10"/>
        <color rgb="FF1F2A28"/>
        <rFont val="WenQuanYi Zen Hei"/>
        <family val="2"/>
      </rPr>
      <t xml:space="preserve">彰化市向陽街</t>
    </r>
    <r>
      <rPr>
        <sz val="10"/>
        <color rgb="FF1F2A28"/>
        <rFont val="Arial"/>
        <family val="0"/>
        <charset val="1"/>
      </rPr>
      <t xml:space="preserve">183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</si>
  <si>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(04)7008536</t>
  </si>
  <si>
    <t xml:space="preserve">herbartschool@gmail.com</t>
  </si>
  <si>
    <t xml:space="preserve">2004-07-15</t>
  </si>
  <si>
    <t xml:space="preserve">許夢鵬</t>
  </si>
  <si>
    <t xml:space="preserve">私立辰盈美語短期補習班</t>
  </si>
  <si>
    <r>
      <rPr>
        <sz val="10"/>
        <color rgb="FF1F2A28"/>
        <rFont val="WenQuanYi Zen Hei"/>
        <family val="2"/>
      </rPr>
      <t xml:space="preserve">彰化市民族路</t>
    </r>
    <r>
      <rPr>
        <sz val="10"/>
        <color rgb="FF1F2A28"/>
        <rFont val="Arial"/>
        <family val="0"/>
        <charset val="1"/>
      </rPr>
      <t xml:space="preserve">129</t>
    </r>
    <r>
      <rPr>
        <sz val="10"/>
        <color rgb="FF1F2A28"/>
        <rFont val="WenQuanYi Zen Hei"/>
        <family val="2"/>
      </rPr>
      <t xml:space="preserve">巷</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</si>
  <si>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(04)7249129</t>
  </si>
  <si>
    <t xml:space="preserve">劉陳美秀</t>
  </si>
  <si>
    <t xml:space="preserve">劉二溶</t>
  </si>
  <si>
    <t xml:space="preserve">私立達誠美語短期補習班</t>
  </si>
  <si>
    <r>
      <rPr>
        <sz val="10"/>
        <color rgb="FF1F2A28"/>
        <rFont val="WenQuanYi Zen Hei"/>
        <family val="2"/>
      </rPr>
      <t xml:space="preserve">彰化市彰南路二段</t>
    </r>
    <r>
      <rPr>
        <sz val="10"/>
        <color rgb="FF1F2A28"/>
        <rFont val="Arial"/>
        <family val="0"/>
        <charset val="1"/>
      </rPr>
      <t xml:space="preserve">256</t>
    </r>
    <r>
      <rPr>
        <sz val="10"/>
        <color rgb="FF1F2A28"/>
        <rFont val="WenQuanYi Zen Hei"/>
        <family val="2"/>
      </rPr>
      <t xml:space="preserve">之</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</si>
  <si>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(04)7385080</t>
  </si>
  <si>
    <t xml:space="preserve">dacheng7385080@gmail.com</t>
  </si>
  <si>
    <t xml:space="preserve">2012-03-23</t>
  </si>
  <si>
    <t xml:space="preserve">陳昌億</t>
  </si>
  <si>
    <t xml:space="preserve">私立長方圓英語短期補習班</t>
  </si>
  <si>
    <r>
      <rPr>
        <sz val="10"/>
        <color rgb="FF1F2A28"/>
        <rFont val="WenQuanYi Zen Hei"/>
        <family val="2"/>
      </rPr>
      <t xml:space="preserve">彰化市陽明街</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1.2.3</t>
    </r>
    <r>
      <rPr>
        <sz val="10"/>
        <color rgb="FF1F2A28"/>
        <rFont val="WenQuanYi Zen Hei"/>
        <family val="2"/>
      </rPr>
      <t xml:space="preserve">樓</t>
    </r>
  </si>
  <si>
    <t xml:space="preserve">04-7290607</t>
  </si>
  <si>
    <t xml:space="preserve">y2k7290607@gmail.com</t>
  </si>
  <si>
    <t xml:space="preserve">洪文平</t>
  </si>
  <si>
    <t xml:space="preserve">洪 文 平</t>
  </si>
  <si>
    <t xml:space="preserve">私立長育美語短期補習班</t>
  </si>
  <si>
    <r>
      <rPr>
        <sz val="10"/>
        <color rgb="FF1F2A28"/>
        <rFont val="WenQuanYi Zen Hei"/>
        <family val="2"/>
      </rPr>
      <t xml:space="preserve">彰化市彰馬路</t>
    </r>
    <r>
      <rPr>
        <sz val="10"/>
        <color rgb="FF1F2A28"/>
        <rFont val="Arial"/>
        <family val="0"/>
        <charset val="1"/>
      </rPr>
      <t xml:space="preserve">143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</si>
  <si>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(04)7517773</t>
  </si>
  <si>
    <t xml:space="preserve">47018hm@giraffe.com.tw</t>
  </si>
  <si>
    <t xml:space="preserve">吳貞意</t>
  </si>
  <si>
    <t xml:space="preserve">梁雅萍</t>
  </si>
  <si>
    <t xml:space="preserve">私立雅思語文短期補習班</t>
  </si>
  <si>
    <r>
      <rPr>
        <sz val="10"/>
        <color rgb="FF1F2A28"/>
        <rFont val="WenQuanYi Zen Hei"/>
        <family val="2"/>
      </rPr>
      <t xml:space="preserve">彰化市仁愛路</t>
    </r>
    <r>
      <rPr>
        <sz val="10"/>
        <color rgb="FF1F2A28"/>
        <rFont val="Arial"/>
        <family val="0"/>
        <charset val="1"/>
      </rPr>
      <t xml:space="preserve">157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</si>
  <si>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(04)7263980</t>
  </si>
  <si>
    <t xml:space="preserve">annie88888@yahoo.com.tw</t>
  </si>
  <si>
    <t xml:space="preserve">方美惠</t>
  </si>
  <si>
    <t xml:space="preserve">陳姿秀</t>
  </si>
  <si>
    <t xml:space="preserve">私立馬里蘭美語短期補習班</t>
  </si>
  <si>
    <r>
      <rPr>
        <sz val="10"/>
        <color rgb="FF1F2A28"/>
        <rFont val="WenQuanYi Zen Hei"/>
        <family val="2"/>
      </rPr>
      <t xml:space="preserve">彰化市中正路一段</t>
    </r>
    <r>
      <rPr>
        <sz val="10"/>
        <color rgb="FF1F2A28"/>
        <rFont val="Arial"/>
        <family val="0"/>
        <charset val="1"/>
      </rPr>
      <t xml:space="preserve">117.119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</si>
  <si>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7291291</t>
  </si>
  <si>
    <t xml:space="preserve">mariland@ms35.hinet.net</t>
  </si>
  <si>
    <t xml:space="preserve">郭淑媚</t>
  </si>
  <si>
    <t xml:space="preserve">私立魔力美語短期補習班</t>
  </si>
  <si>
    <r>
      <rPr>
        <sz val="10"/>
        <color rgb="FF1F2A28"/>
        <rFont val="WenQuanYi Zen Hei"/>
        <family val="2"/>
      </rPr>
      <t xml:space="preserve">彰化市三民路</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1.2.3.4</t>
    </r>
    <r>
      <rPr>
        <sz val="10"/>
        <color rgb="FF1F2A28"/>
        <rFont val="WenQuanYi Zen Hei"/>
        <family val="2"/>
      </rPr>
      <t xml:space="preserve">樓</t>
    </r>
  </si>
  <si>
    <t xml:space="preserve">(04)7001810</t>
  </si>
  <si>
    <t xml:space="preserve">magic7001810@gmail.com</t>
  </si>
  <si>
    <t xml:space="preserve">邱明聰</t>
  </si>
  <si>
    <r>
      <rPr>
        <sz val="10"/>
        <color rgb="FF1F2A28"/>
        <rFont val="WenQuanYi Zen Hei"/>
        <family val="2"/>
      </rPr>
      <t xml:space="preserve">黃</t>
    </r>
    <r>
      <rPr>
        <sz val="10"/>
        <color rgb="FF1F2A28"/>
        <rFont val="Arial"/>
        <family val="0"/>
        <charset val="1"/>
      </rPr>
      <t xml:space="preserve">?</t>
    </r>
    <r>
      <rPr>
        <sz val="10"/>
        <color rgb="FF1F2A28"/>
        <rFont val="WenQuanYi Zen Hei"/>
        <family val="2"/>
      </rPr>
      <t xml:space="preserve">媚</t>
    </r>
  </si>
  <si>
    <t xml:space="preserve">聯成電腦股份有限公司附設彰化縣私立聯成電腦美語短期補習班</t>
  </si>
  <si>
    <r>
      <rPr>
        <sz val="10"/>
        <color rgb="FF1F2A28"/>
        <rFont val="WenQuanYi Zen Hei"/>
        <family val="2"/>
      </rPr>
      <t xml:space="preserve">彰化市中正路一段</t>
    </r>
    <r>
      <rPr>
        <sz val="10"/>
        <color rgb="FF1F2A28"/>
        <rFont val="Arial"/>
        <family val="0"/>
        <charset val="1"/>
      </rPr>
      <t xml:space="preserve">544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</si>
  <si>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(04)7229088</t>
  </si>
  <si>
    <t xml:space="preserve">david_r@lccnet.com.tw</t>
  </si>
  <si>
    <t xml:space="preserve">2010-07-07</t>
  </si>
  <si>
    <r>
      <rPr>
        <sz val="10"/>
        <color rgb="FF1F2A28"/>
        <rFont val="WenQuanYi Zen Hei"/>
        <family val="2"/>
      </rPr>
      <t xml:space="preserve">聯成電腦股份有限公司</t>
    </r>
    <r>
      <rPr>
        <sz val="10"/>
        <color rgb="FF1F2A28"/>
        <rFont val="Arial"/>
        <family val="0"/>
        <charset val="1"/>
      </rPr>
      <t xml:space="preserve">(</t>
    </r>
    <r>
      <rPr>
        <sz val="10"/>
        <color rgb="FF1F2A28"/>
        <rFont val="WenQuanYi Zen Hei"/>
        <family val="2"/>
      </rPr>
      <t xml:space="preserve">代表人：鍾聖智</t>
    </r>
    <r>
      <rPr>
        <sz val="10"/>
        <color rgb="FF1F2A28"/>
        <rFont val="Arial"/>
        <family val="0"/>
        <charset val="1"/>
      </rPr>
      <t xml:space="preserve">)</t>
    </r>
  </si>
  <si>
    <t xml:space="preserve">黃維均</t>
  </si>
  <si>
    <t xml:space="preserve">長寶國際股份有限公司附設彰化縣私立梅根英語短期補習班</t>
  </si>
  <si>
    <r>
      <rPr>
        <sz val="10"/>
        <color rgb="FF1F2A28"/>
        <rFont val="WenQuanYi Zen Hei"/>
        <family val="2"/>
      </rPr>
      <t xml:space="preserve">彰化市長壽街</t>
    </r>
    <r>
      <rPr>
        <sz val="10"/>
        <color rgb="FF1F2A28"/>
        <rFont val="Arial"/>
        <family val="0"/>
        <charset val="1"/>
      </rPr>
      <t xml:space="preserve">143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</si>
  <si>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7274042</t>
  </si>
  <si>
    <t xml:space="preserve">賴文玲</t>
  </si>
  <si>
    <t xml:space="preserve">鴻圖文教事業有限公司附設彰化縣私立明光文理短期補習班</t>
  </si>
  <si>
    <r>
      <rPr>
        <sz val="10"/>
        <color rgb="FF1F2A28"/>
        <rFont val="WenQuanYi Zen Hei"/>
        <family val="2"/>
      </rPr>
      <t xml:space="preserve">彰化市中正路一段</t>
    </r>
    <r>
      <rPr>
        <sz val="10"/>
        <color rgb="FF1F2A28"/>
        <rFont val="Arial"/>
        <family val="0"/>
        <charset val="1"/>
      </rPr>
      <t xml:space="preserve">405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</si>
  <si>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(04)7288708</t>
  </si>
  <si>
    <t xml:space="preserve">2019-05-27</t>
  </si>
  <si>
    <t xml:space="preserve">劉芸芸</t>
  </si>
  <si>
    <t xml:space="preserve">農薇</t>
  </si>
  <si>
    <t xml:space="preserve">永靖鄉</t>
  </si>
  <si>
    <t xml:space="preserve">彰化縣私立哥倫布文理短期補習班</t>
  </si>
  <si>
    <r>
      <rPr>
        <sz val="10"/>
        <color rgb="FF1F2A28"/>
        <rFont val="WenQuanYi Zen Hei"/>
        <family val="2"/>
      </rPr>
      <t xml:space="preserve">永靖鄉永南村西門路</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</si>
  <si>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(04)8241549</t>
  </si>
  <si>
    <t xml:space="preserve">a0956334339@gmail.com</t>
  </si>
  <si>
    <t xml:space="preserve">陳芳怡</t>
  </si>
  <si>
    <t xml:space="preserve">彰化縣私立小神童文理短期補習班</t>
  </si>
  <si>
    <r>
      <rPr>
        <sz val="10"/>
        <color rgb="FF1F2A28"/>
        <rFont val="WenQuanYi Zen Hei"/>
        <family val="2"/>
      </rPr>
      <t xml:space="preserve">永靖鄉永城路</t>
    </r>
    <r>
      <rPr>
        <sz val="10"/>
        <color rgb="FF1F2A28"/>
        <rFont val="Arial"/>
        <family val="0"/>
        <charset val="1"/>
      </rPr>
      <t xml:space="preserve">167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</si>
  <si>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(04)8235649</t>
  </si>
  <si>
    <t xml:space="preserve">a0933447359@gmail.com</t>
  </si>
  <si>
    <t xml:space="preserve">2020-01-07</t>
  </si>
  <si>
    <t xml:space="preserve">柳冠伍</t>
  </si>
  <si>
    <t xml:space="preserve">謝羽卉</t>
  </si>
  <si>
    <t xml:space="preserve">彰化縣私立歡樂美語短期補習班</t>
  </si>
  <si>
    <r>
      <rPr>
        <sz val="10"/>
        <color rgb="FF1F2A28"/>
        <rFont val="WenQuanYi Zen Hei"/>
        <family val="2"/>
      </rPr>
      <t xml:space="preserve">永靖鄉瑚璉村多福路</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</si>
  <si>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(04)8233872</t>
  </si>
  <si>
    <t xml:space="preserve">sjkyu122@gmail.com</t>
  </si>
  <si>
    <t xml:space="preserve">2016-10-13</t>
  </si>
  <si>
    <t xml:space="preserve">王儒慧</t>
  </si>
  <si>
    <t xml:space="preserve">私立劍僑英文短期補習班</t>
  </si>
  <si>
    <r>
      <rPr>
        <sz val="10"/>
        <color rgb="FF1F2A28"/>
        <rFont val="WenQuanYi Zen Hei"/>
        <family val="2"/>
      </rPr>
      <t xml:space="preserve">永靖鄉開明路</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</si>
  <si>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(04)8223672</t>
  </si>
  <si>
    <t xml:space="preserve">私立哈林美語短期補習班</t>
  </si>
  <si>
    <r>
      <rPr>
        <sz val="10"/>
        <color rgb="FF1F2A28"/>
        <rFont val="WenQuanYi Zen Hei"/>
        <family val="2"/>
      </rPr>
      <t xml:space="preserve">永靖鄉開明路</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</si>
  <si>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(04)8242902</t>
  </si>
  <si>
    <t xml:space="preserve">ag107875@yahoo.com.tw</t>
  </si>
  <si>
    <t xml:space="preserve">張秋貴</t>
  </si>
  <si>
    <t xml:space="preserve">李俊利</t>
  </si>
  <si>
    <t xml:space="preserve">私立小牛津美語短期補習班</t>
  </si>
  <si>
    <r>
      <rPr>
        <sz val="10"/>
        <color rgb="FF1F2A28"/>
        <rFont val="WenQuanYi Zen Hei"/>
        <family val="2"/>
      </rPr>
      <t xml:space="preserve">永靖鄉開明路</t>
    </r>
    <r>
      <rPr>
        <sz val="10"/>
        <color rgb="FF1F2A28"/>
        <rFont val="Arial"/>
        <family val="0"/>
        <charset val="1"/>
      </rPr>
      <t xml:space="preserve">197</t>
    </r>
    <r>
      <rPr>
        <sz val="10"/>
        <color rgb="FF1F2A28"/>
        <rFont val="WenQuanYi Zen Hei"/>
        <family val="2"/>
      </rPr>
      <t xml:space="preserve">號</t>
    </r>
  </si>
  <si>
    <t xml:space="preserve">(04)8228182</t>
  </si>
  <si>
    <t xml:space="preserve">陳志清</t>
  </si>
  <si>
    <t xml:space="preserve">私立師大英語會話短期補習班</t>
  </si>
  <si>
    <r>
      <rPr>
        <sz val="10"/>
        <color rgb="FF1F2A28"/>
        <rFont val="WenQuanYi Zen Hei"/>
        <family val="2"/>
      </rPr>
      <t xml:space="preserve">永靖鄉西門路</t>
    </r>
    <r>
      <rPr>
        <sz val="10"/>
        <color rgb="FF1F2A28"/>
        <rFont val="Arial"/>
        <family val="0"/>
        <charset val="1"/>
      </rPr>
      <t xml:space="preserve">65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</si>
  <si>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8228906</t>
  </si>
  <si>
    <t xml:space="preserve">andy8221379@gmail.com</t>
  </si>
  <si>
    <t xml:space="preserve">1996-01-11</t>
  </si>
  <si>
    <t xml:space="preserve">邱創城</t>
  </si>
  <si>
    <t xml:space="preserve">周欣蓉</t>
  </si>
  <si>
    <t xml:space="preserve">私立強森美語短期補習班</t>
  </si>
  <si>
    <r>
      <rPr>
        <sz val="10"/>
        <color rgb="FF1F2A28"/>
        <rFont val="WenQuanYi Zen Hei"/>
        <family val="2"/>
      </rPr>
      <t xml:space="preserve">永靖鄉永寧街</t>
    </r>
    <r>
      <rPr>
        <sz val="10"/>
        <color rgb="FF1F2A28"/>
        <rFont val="Arial"/>
        <family val="0"/>
        <charset val="1"/>
      </rPr>
      <t xml:space="preserve">24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</si>
  <si>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04-8230087</t>
  </si>
  <si>
    <t xml:space="preserve">hannahhou60@yahoo.com</t>
  </si>
  <si>
    <t xml:space="preserve">1996-11-20</t>
  </si>
  <si>
    <t xml:space="preserve">侯綾珛</t>
  </si>
  <si>
    <t xml:space="preserve">私立新小神童文理短期補習班</t>
  </si>
  <si>
    <r>
      <rPr>
        <sz val="10"/>
        <color rgb="FF1F2A28"/>
        <rFont val="WenQuanYi Zen Hei"/>
        <family val="2"/>
      </rPr>
      <t xml:space="preserve">永靖鄉西門路</t>
    </r>
    <r>
      <rPr>
        <sz val="10"/>
        <color rgb="FF1F2A28"/>
        <rFont val="Arial"/>
        <family val="0"/>
        <charset val="1"/>
      </rPr>
      <t xml:space="preserve">89</t>
    </r>
    <r>
      <rPr>
        <sz val="10"/>
        <color rgb="FF1F2A28"/>
        <rFont val="WenQuanYi Zen Hei"/>
        <family val="2"/>
      </rPr>
      <t xml:space="preserve">號</t>
    </r>
  </si>
  <si>
    <t xml:space="preserve">04-8223449 04-8235649</t>
  </si>
  <si>
    <t xml:space="preserve">1996-04-11</t>
  </si>
  <si>
    <t xml:space="preserve">私立新玟藻美語短期補習班</t>
  </si>
  <si>
    <r>
      <rPr>
        <sz val="10"/>
        <color rgb="FF1F2A28"/>
        <rFont val="WenQuanYi Zen Hei"/>
        <family val="2"/>
      </rPr>
      <t xml:space="preserve">永靖鄉永安街</t>
    </r>
    <r>
      <rPr>
        <sz val="10"/>
        <color rgb="FF1F2A28"/>
        <rFont val="Arial"/>
        <family val="0"/>
        <charset val="1"/>
      </rPr>
      <t xml:space="preserve">217</t>
    </r>
    <r>
      <rPr>
        <sz val="10"/>
        <color rgb="FF1F2A28"/>
        <rFont val="WenQuanYi Zen Hei"/>
        <family val="2"/>
      </rPr>
      <t xml:space="preserve">號</t>
    </r>
  </si>
  <si>
    <t xml:space="preserve">8231798</t>
  </si>
  <si>
    <t xml:space="preserve">2001-06-26</t>
  </si>
  <si>
    <t xml:space="preserve">徐嘉菁</t>
  </si>
  <si>
    <t xml:space="preserve">溪湖鎮</t>
  </si>
  <si>
    <t xml:space="preserve">吾邦圖英語文教事業有限公司附設私立雷恩美語短期補習班</t>
  </si>
  <si>
    <r>
      <rPr>
        <sz val="10"/>
        <color rgb="FF1F2A28"/>
        <rFont val="WenQuanYi Zen Hei"/>
        <family val="2"/>
      </rPr>
      <t xml:space="preserve">溪湖鎮育才街</t>
    </r>
    <r>
      <rPr>
        <sz val="10"/>
        <color rgb="FF1F2A28"/>
        <rFont val="Arial"/>
        <family val="0"/>
        <charset val="1"/>
      </rPr>
      <t xml:space="preserve">51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</si>
  <si>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(04)8853770</t>
  </si>
  <si>
    <t xml:space="preserve">irubyenglish@yahoo.ca</t>
  </si>
  <si>
    <t xml:space="preserve">2009-04-24</t>
  </si>
  <si>
    <t xml:space="preserve">施衍光</t>
  </si>
  <si>
    <t xml:space="preserve">彰化縣私立傑克森英語短期補習班</t>
  </si>
  <si>
    <r>
      <rPr>
        <sz val="10"/>
        <color rgb="FF1F2A28"/>
        <rFont val="WenQuanYi Zen Hei"/>
        <family val="2"/>
      </rPr>
      <t xml:space="preserve">溪湖鎮湖東里消防街</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</si>
  <si>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(04)8825009</t>
  </si>
  <si>
    <t xml:space="preserve">楊泳柱</t>
  </si>
  <si>
    <t xml:space="preserve">彰化縣私立儒霖文理短期補習班</t>
  </si>
  <si>
    <r>
      <rPr>
        <sz val="10"/>
        <color rgb="FF1F2A28"/>
        <rFont val="WenQuanYi Zen Hei"/>
        <family val="2"/>
      </rPr>
      <t xml:space="preserve">溪湖鎮大溪路二段</t>
    </r>
    <r>
      <rPr>
        <sz val="10"/>
        <color rgb="FF1F2A28"/>
        <rFont val="Arial"/>
        <family val="0"/>
        <charset val="1"/>
      </rPr>
      <t xml:space="preserve">154</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t>
    </r>
  </si>
  <si>
    <t xml:space="preserve">8827988</t>
  </si>
  <si>
    <t xml:space="preserve">bryant.jmy@gmail.com</t>
  </si>
  <si>
    <t xml:space="preserve">1998-10-31</t>
  </si>
  <si>
    <t xml:space="preserve">楊昌怡</t>
  </si>
  <si>
    <t xml:space="preserve">曹玉梅</t>
  </si>
  <si>
    <t xml:space="preserve">彰化縣私立吉佑文理短期補習班</t>
  </si>
  <si>
    <r>
      <rPr>
        <sz val="10"/>
        <color rgb="FF1F2A28"/>
        <rFont val="WenQuanYi Zen Hei"/>
        <family val="2"/>
      </rPr>
      <t xml:space="preserve">溪湖鎮福德路</t>
    </r>
    <r>
      <rPr>
        <sz val="10"/>
        <color rgb="FF1F2A28"/>
        <rFont val="Arial"/>
        <family val="0"/>
        <charset val="1"/>
      </rPr>
      <t xml:space="preserve">62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樓及</t>
    </r>
    <r>
      <rPr>
        <sz val="10"/>
        <color rgb="FF1F2A28"/>
        <rFont val="Arial"/>
        <family val="0"/>
        <charset val="1"/>
      </rPr>
      <t xml:space="preserve">64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</si>
  <si>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8853880</t>
  </si>
  <si>
    <t xml:space="preserve">n217719@yahoo.com.tw</t>
  </si>
  <si>
    <t xml:space="preserve">2001-10-12</t>
  </si>
  <si>
    <t xml:space="preserve">許玉暖</t>
  </si>
  <si>
    <t xml:space="preserve">江昇旻</t>
  </si>
  <si>
    <t xml:space="preserve">彰化縣私立廖老師文理短期補習班</t>
  </si>
  <si>
    <r>
      <rPr>
        <sz val="10"/>
        <color rgb="FF1F2A28"/>
        <rFont val="WenQuanYi Zen Hei"/>
        <family val="2"/>
      </rPr>
      <t xml:space="preserve">溪湖鎮興學街</t>
    </r>
    <r>
      <rPr>
        <sz val="10"/>
        <color rgb="FF1F2A28"/>
        <rFont val="Arial"/>
        <family val="0"/>
        <charset val="1"/>
      </rPr>
      <t xml:space="preserve">377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</si>
  <si>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0927-292458</t>
  </si>
  <si>
    <t xml:space="preserve">liao9575@gmail.com</t>
  </si>
  <si>
    <t xml:space="preserve">2020-01-06</t>
  </si>
  <si>
    <t xml:space="preserve">廖永申</t>
  </si>
  <si>
    <t xml:space="preserve">彰化縣私立張仲文教文理短期補習班</t>
  </si>
  <si>
    <r>
      <rPr>
        <sz val="10"/>
        <color rgb="FF1F2A28"/>
        <rFont val="WenQuanYi Zen Hei"/>
        <family val="2"/>
      </rPr>
      <t xml:space="preserve">溪湖鎮東寮里育才街</t>
    </r>
    <r>
      <rPr>
        <sz val="10"/>
        <color rgb="FF1F2A28"/>
        <rFont val="Arial"/>
        <family val="0"/>
        <charset val="1"/>
      </rPr>
      <t xml:space="preserve">89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</si>
  <si>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(04)8858876</t>
  </si>
  <si>
    <t xml:space="preserve">cfjh60401@gmail.com</t>
  </si>
  <si>
    <t xml:space="preserve">2019-10-08</t>
  </si>
  <si>
    <t xml:space="preserve">楊詩妤</t>
  </si>
  <si>
    <t xml:space="preserve">彰化縣私立格林文理短期補習班</t>
  </si>
  <si>
    <r>
      <rPr>
        <sz val="10"/>
        <color rgb="FF1F2A28"/>
        <rFont val="WenQuanYi Zen Hei"/>
        <family val="2"/>
      </rPr>
      <t xml:space="preserve">溪湖鎮太平里員鹿路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185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</si>
  <si>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(04)8612101</t>
  </si>
  <si>
    <t xml:space="preserve">陳佩妤</t>
  </si>
  <si>
    <t xml:space="preserve">彰化縣私立楊老師英語短期補習班</t>
  </si>
  <si>
    <r>
      <rPr>
        <sz val="10"/>
        <color rgb="FF1F2A28"/>
        <rFont val="WenQuanYi Zen Hei"/>
        <family val="2"/>
      </rPr>
      <t xml:space="preserve">溪湖鎮大突里大公路</t>
    </r>
    <r>
      <rPr>
        <sz val="10"/>
        <color rgb="FF1F2A28"/>
        <rFont val="Arial"/>
        <family val="0"/>
        <charset val="1"/>
      </rPr>
      <t xml:space="preserve">335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</si>
  <si>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(04)8827525</t>
  </si>
  <si>
    <t xml:space="preserve">yangemily0304@gmail.com</t>
  </si>
  <si>
    <t xml:space="preserve">2017-07-10</t>
  </si>
  <si>
    <t xml:space="preserve">楊芳妮</t>
  </si>
  <si>
    <t xml:space="preserve">彰化縣私立立葳英語短期補習班</t>
  </si>
  <si>
    <r>
      <rPr>
        <sz val="10"/>
        <color rgb="FF1F2A28"/>
        <rFont val="WenQuanYi Zen Hei"/>
        <family val="2"/>
      </rPr>
      <t xml:space="preserve">溪湖鎮環中街</t>
    </r>
    <r>
      <rPr>
        <sz val="10"/>
        <color rgb="FF1F2A28"/>
        <rFont val="Arial"/>
        <family val="0"/>
        <charset val="1"/>
      </rPr>
      <t xml:space="preserve">152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</si>
  <si>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(04)8855121</t>
  </si>
  <si>
    <t xml:space="preserve">amcxihu@gmail.com</t>
  </si>
  <si>
    <t xml:space="preserve">吳廷軒</t>
  </si>
  <si>
    <t xml:space="preserve">謝孟樺</t>
  </si>
  <si>
    <t xml:space="preserve">彰化縣私立綠豆芽珠算文理短期補習班</t>
  </si>
  <si>
    <t xml:space="preserve">溪湖鎮頂新九街四號</t>
  </si>
  <si>
    <t xml:space="preserve">8853850</t>
  </si>
  <si>
    <t xml:space="preserve">school0526@gmail.com</t>
  </si>
  <si>
    <t xml:space="preserve">1998-06-09</t>
  </si>
  <si>
    <t xml:space="preserve">張翠玉</t>
  </si>
  <si>
    <t xml:space="preserve">彰化縣私立艾思美語短期補習班</t>
  </si>
  <si>
    <r>
      <rPr>
        <sz val="10"/>
        <color rgb="FF1F2A28"/>
        <rFont val="WenQuanYi Zen Hei"/>
        <family val="2"/>
      </rPr>
      <t xml:space="preserve">溪湖鎮向上路</t>
    </r>
    <r>
      <rPr>
        <sz val="10"/>
        <color rgb="FF1F2A28"/>
        <rFont val="Arial"/>
        <family val="0"/>
        <charset val="1"/>
      </rPr>
      <t xml:space="preserve">34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</si>
  <si>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(04)8612198</t>
  </si>
  <si>
    <t xml:space="preserve">2016-05-13</t>
  </si>
  <si>
    <t xml:space="preserve">劉淳灝</t>
  </si>
  <si>
    <t xml:space="preserve">彰化縣私立薇馨文理短期補習班</t>
  </si>
  <si>
    <r>
      <rPr>
        <sz val="10"/>
        <color rgb="FF1F2A28"/>
        <rFont val="WenQuanYi Zen Hei"/>
        <family val="2"/>
      </rPr>
      <t xml:space="preserve">溪湖鎮太平里富貴街</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</si>
  <si>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(04)8850161</t>
  </si>
  <si>
    <t xml:space="preserve">a0983809103@gmail.com</t>
  </si>
  <si>
    <t xml:space="preserve">2019-06-05</t>
  </si>
  <si>
    <t xml:space="preserve">楊子韻</t>
  </si>
  <si>
    <t xml:space="preserve">黃建瑋</t>
  </si>
  <si>
    <t xml:space="preserve">私立佑成美語短期補習班</t>
  </si>
  <si>
    <r>
      <rPr>
        <sz val="10"/>
        <color rgb="FF1F2A28"/>
        <rFont val="WenQuanYi Zen Hei"/>
        <family val="2"/>
      </rPr>
      <t xml:space="preserve">溪湖鎮地政路</t>
    </r>
    <r>
      <rPr>
        <sz val="10"/>
        <color rgb="FF1F2A28"/>
        <rFont val="Arial"/>
        <family val="0"/>
        <charset val="1"/>
      </rPr>
      <t xml:space="preserve">202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</si>
  <si>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(04)8826388</t>
  </si>
  <si>
    <t xml:space="preserve">a0961151389@gmail.com</t>
  </si>
  <si>
    <t xml:space="preserve">洪秀玲</t>
  </si>
  <si>
    <t xml:space="preserve">劉家鳳</t>
  </si>
  <si>
    <t xml:space="preserve">私立保進美語短期補習班</t>
  </si>
  <si>
    <r>
      <rPr>
        <sz val="10"/>
        <color rgb="FF1F2A28"/>
        <rFont val="WenQuanYi Zen Hei"/>
        <family val="2"/>
      </rPr>
      <t xml:space="preserve">溪湖鎮福德路</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</si>
  <si>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048612900</t>
  </si>
  <si>
    <t xml:space="preserve">bowjinn.2900@yahoo.com.tw</t>
  </si>
  <si>
    <t xml:space="preserve">2013-01-28</t>
  </si>
  <si>
    <t xml:space="preserve">葉素妃</t>
  </si>
  <si>
    <t xml:space="preserve">吳筱蓮</t>
  </si>
  <si>
    <t xml:space="preserve">私立博英語文短期補習班</t>
  </si>
  <si>
    <r>
      <rPr>
        <sz val="10"/>
        <color rgb="FF1F2A28"/>
        <rFont val="WenQuanYi Zen Hei"/>
        <family val="2"/>
      </rPr>
      <t xml:space="preserve">溪湖鎮金華街</t>
    </r>
    <r>
      <rPr>
        <sz val="10"/>
        <color rgb="FF1F2A28"/>
        <rFont val="Arial"/>
        <family val="0"/>
        <charset val="1"/>
      </rPr>
      <t xml:space="preserve">120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</si>
  <si>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8810350</t>
  </si>
  <si>
    <t xml:space="preserve">etyuki8216@gmail.com</t>
  </si>
  <si>
    <t xml:space="preserve">2000-10-19</t>
  </si>
  <si>
    <t xml:space="preserve">黃錫鋒</t>
  </si>
  <si>
    <t xml:space="preserve">私立吉富兒美語短期補習班</t>
  </si>
  <si>
    <r>
      <rPr>
        <sz val="10"/>
        <color rgb="FF1F2A28"/>
        <rFont val="WenQuanYi Zen Hei"/>
        <family val="2"/>
      </rPr>
      <t xml:space="preserve">溪湖鎮大發路</t>
    </r>
    <r>
      <rPr>
        <sz val="10"/>
        <color rgb="FF1F2A28"/>
        <rFont val="Arial"/>
        <family val="0"/>
        <charset val="1"/>
      </rPr>
      <t xml:space="preserve">117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</si>
  <si>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(04)8829526</t>
  </si>
  <si>
    <t xml:space="preserve">2014-01-27</t>
  </si>
  <si>
    <t xml:space="preserve">楊美怡</t>
  </si>
  <si>
    <t xml:space="preserve">李翌寧</t>
  </si>
  <si>
    <t xml:space="preserve">私立名門美語短期補習班</t>
  </si>
  <si>
    <r>
      <rPr>
        <sz val="10"/>
        <color rgb="FF1F2A28"/>
        <rFont val="WenQuanYi Zen Hei"/>
        <family val="2"/>
      </rPr>
      <t xml:space="preserve">溪湖鎮湖西里大公路</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</si>
  <si>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(04)8826556</t>
  </si>
  <si>
    <t xml:space="preserve">a8826556@gmail.com</t>
  </si>
  <si>
    <t xml:space="preserve">美語會話班、美語初級班</t>
  </si>
  <si>
    <t xml:space="preserve">楊善博</t>
  </si>
  <si>
    <t xml:space="preserve">謝博仁</t>
  </si>
  <si>
    <t xml:space="preserve">私立大學城美語短期補習班</t>
  </si>
  <si>
    <r>
      <rPr>
        <sz val="10"/>
        <color rgb="FF1F2A28"/>
        <rFont val="WenQuanYi Zen Hei"/>
        <family val="2"/>
      </rPr>
      <t xml:space="preserve">溪湖鎮光平里興學街</t>
    </r>
    <r>
      <rPr>
        <sz val="10"/>
        <color rgb="FF1F2A28"/>
        <rFont val="Arial"/>
        <family val="0"/>
        <charset val="1"/>
      </rPr>
      <t xml:space="preserve">278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t>
    </r>
  </si>
  <si>
    <t xml:space="preserve">(04)8815027</t>
  </si>
  <si>
    <t xml:space="preserve">dsccram@gmail.com</t>
  </si>
  <si>
    <t xml:space="preserve">2002-05-16</t>
  </si>
  <si>
    <t xml:space="preserve">洪凱盟</t>
  </si>
  <si>
    <t xml:space="preserve">洪秀蘭</t>
  </si>
  <si>
    <t xml:space="preserve">私立泰迪熊美語短期補習班</t>
  </si>
  <si>
    <r>
      <rPr>
        <sz val="10"/>
        <color rgb="FF1F2A28"/>
        <rFont val="WenQuanYi Zen Hei"/>
        <family val="2"/>
      </rPr>
      <t xml:space="preserve">溪湖鎮興學街</t>
    </r>
    <r>
      <rPr>
        <sz val="10"/>
        <color rgb="FF1F2A28"/>
        <rFont val="Arial"/>
        <family val="0"/>
        <charset val="1"/>
      </rPr>
      <t xml:space="preserve">276</t>
    </r>
    <r>
      <rPr>
        <sz val="10"/>
        <color rgb="FF1F2A28"/>
        <rFont val="WenQuanYi Zen Hei"/>
        <family val="2"/>
      </rPr>
      <t xml:space="preserve">號</t>
    </r>
    <r>
      <rPr>
        <sz val="10"/>
        <color rgb="FF1F2A28"/>
        <rFont val="Arial"/>
        <family val="0"/>
        <charset val="1"/>
      </rPr>
      <t xml:space="preserve">1.2.3</t>
    </r>
    <r>
      <rPr>
        <sz val="10"/>
        <color rgb="FF1F2A28"/>
        <rFont val="WenQuanYi Zen Hei"/>
        <family val="2"/>
      </rPr>
      <t xml:space="preserve">樓</t>
    </r>
  </si>
  <si>
    <t xml:space="preserve">(04)8823377</t>
  </si>
  <si>
    <t xml:space="preserve">chencl1829@gmail.com</t>
  </si>
  <si>
    <t xml:space="preserve">陳真黎</t>
  </si>
  <si>
    <t xml:space="preserve">陳偉哲</t>
  </si>
  <si>
    <t xml:space="preserve">私立科南美語短期補習班</t>
  </si>
  <si>
    <r>
      <rPr>
        <sz val="10"/>
        <color rgb="FF1F2A28"/>
        <rFont val="WenQuanYi Zen Hei"/>
        <family val="2"/>
      </rPr>
      <t xml:space="preserve">溪湖鎮大公路</t>
    </r>
    <r>
      <rPr>
        <sz val="10"/>
        <color rgb="FF1F2A28"/>
        <rFont val="Arial"/>
        <family val="0"/>
        <charset val="1"/>
      </rPr>
      <t xml:space="preserve">235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</si>
  <si>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(04)8612356,8612357</t>
  </si>
  <si>
    <t xml:space="preserve">私立育嘉美語短期補習班</t>
  </si>
  <si>
    <r>
      <rPr>
        <sz val="10"/>
        <color rgb="FF1F2A28"/>
        <rFont val="WenQuanYi Zen Hei"/>
        <family val="2"/>
      </rPr>
      <t xml:space="preserve">溪湖鎮弘農路</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</si>
  <si>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048613815</t>
  </si>
  <si>
    <t xml:space="preserve">whay0619@gmail.com</t>
  </si>
  <si>
    <t xml:space="preserve">2013-10-15</t>
  </si>
  <si>
    <t xml:space="preserve">陳慧</t>
  </si>
  <si>
    <t xml:space="preserve">陳巧玟</t>
  </si>
  <si>
    <t xml:space="preserve">私立衛斯理美語短期補習班</t>
  </si>
  <si>
    <r>
      <rPr>
        <sz val="10"/>
        <color rgb="FF1F2A28"/>
        <rFont val="WenQuanYi Zen Hei"/>
        <family val="2"/>
      </rPr>
      <t xml:space="preserve">溪湖鎮富貴街</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</si>
  <si>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(04)8811027</t>
  </si>
  <si>
    <t xml:space="preserve">kgz186.chan@gmail.com</t>
  </si>
  <si>
    <t xml:space="preserve">陳春郎</t>
  </si>
  <si>
    <t xml:space="preserve">私立迪邁美語短期補習班</t>
  </si>
  <si>
    <r>
      <rPr>
        <sz val="10"/>
        <color rgb="FF1F2A28"/>
        <rFont val="WenQuanYi Zen Hei"/>
        <family val="2"/>
      </rPr>
      <t xml:space="preserve">溪湖鎮興學街</t>
    </r>
    <r>
      <rPr>
        <sz val="10"/>
        <color rgb="FF1F2A28"/>
        <rFont val="Arial"/>
        <family val="0"/>
        <charset val="1"/>
      </rPr>
      <t xml:space="preserve">280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</si>
  <si>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(04)8852277</t>
  </si>
  <si>
    <t xml:space="preserve">space8852277@gmail.com</t>
  </si>
  <si>
    <t xml:space="preserve">2004-07-22</t>
  </si>
  <si>
    <t xml:space="preserve">黃麗清</t>
  </si>
  <si>
    <t xml:space="preserve">長寶國際股份有限公司附設彰化縣私立施丹英語短期補習班</t>
  </si>
  <si>
    <r>
      <rPr>
        <sz val="10"/>
        <color rgb="FF1F2A28"/>
        <rFont val="WenQuanYi Zen Hei"/>
        <family val="2"/>
      </rPr>
      <t xml:space="preserve">溪湖鎮太平里西環路</t>
    </r>
    <r>
      <rPr>
        <sz val="10"/>
        <color rgb="FF1F2A28"/>
        <rFont val="Arial"/>
        <family val="0"/>
        <charset val="1"/>
      </rPr>
      <t xml:space="preserve">493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</si>
  <si>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(04)8859116</t>
  </si>
  <si>
    <t xml:space="preserve">2021-03-09</t>
  </si>
  <si>
    <r>
      <rPr>
        <sz val="10"/>
        <color rgb="FF1F2A28"/>
        <rFont val="WenQuanYi Zen Hei"/>
        <family val="2"/>
      </rPr>
      <t xml:space="preserve">長寶國際股份有限公司</t>
    </r>
    <r>
      <rPr>
        <sz val="10"/>
        <color rgb="FF1F2A28"/>
        <rFont val="Arial"/>
        <family val="0"/>
        <charset val="1"/>
      </rPr>
      <t xml:space="preserve">(</t>
    </r>
    <r>
      <rPr>
        <sz val="10"/>
        <color rgb="FF1F2A28"/>
        <rFont val="WenQuanYi Zen Hei"/>
        <family val="2"/>
      </rPr>
      <t xml:space="preserve">代表人：吳美齡</t>
    </r>
    <r>
      <rPr>
        <sz val="10"/>
        <color rgb="FF1F2A28"/>
        <rFont val="Arial"/>
        <family val="0"/>
        <charset val="1"/>
      </rPr>
      <t xml:space="preserve">)</t>
    </r>
  </si>
  <si>
    <t xml:space="preserve">郭昭環</t>
  </si>
  <si>
    <t xml:space="preserve">田中鎮</t>
  </si>
  <si>
    <t xml:space="preserve">彰化縣私立弘智文理短期補習班</t>
  </si>
  <si>
    <r>
      <rPr>
        <sz val="10"/>
        <color rgb="FF1F2A28"/>
        <rFont val="WenQuanYi Zen Hei"/>
        <family val="2"/>
      </rPr>
      <t xml:space="preserve">田中鎮西路里員集路二段</t>
    </r>
    <r>
      <rPr>
        <sz val="10"/>
        <color rgb="FF1F2A28"/>
        <rFont val="Arial"/>
        <family val="0"/>
        <charset val="1"/>
      </rPr>
      <t xml:space="preserve">457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3</t>
    </r>
    <r>
      <rPr>
        <sz val="10"/>
        <color rgb="FF1F2A28"/>
        <rFont val="WenQuanYi Zen Hei"/>
        <family val="2"/>
      </rPr>
      <t xml:space="preserve">樓</t>
    </r>
  </si>
  <si>
    <t xml:space="preserve">04-8743086</t>
  </si>
  <si>
    <t xml:space="preserve">r71695@yahoo.com.tw</t>
  </si>
  <si>
    <t xml:space="preserve">1999-06-05</t>
  </si>
  <si>
    <t xml:space="preserve">盧貞文</t>
  </si>
  <si>
    <t xml:space="preserve">張惠雯</t>
  </si>
  <si>
    <t xml:space="preserve">彰化縣私立育賢文理短期補習班</t>
  </si>
  <si>
    <r>
      <rPr>
        <sz val="10"/>
        <color rgb="FF1F2A28"/>
        <rFont val="WenQuanYi Zen Hei"/>
        <family val="2"/>
      </rPr>
      <t xml:space="preserve">田中鎮中路里廣義路</t>
    </r>
    <r>
      <rPr>
        <sz val="10"/>
        <color rgb="FF1F2A28"/>
        <rFont val="Arial"/>
        <family val="0"/>
        <charset val="1"/>
      </rPr>
      <t xml:space="preserve">79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</si>
  <si>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(04)8747415</t>
  </si>
  <si>
    <t xml:space="preserve">葉燕翎</t>
  </si>
  <si>
    <t xml:space="preserve">私立惠文英語短期補習班</t>
  </si>
  <si>
    <r>
      <rPr>
        <sz val="10"/>
        <color rgb="FF1F2A28"/>
        <rFont val="WenQuanYi Zen Hei"/>
        <family val="2"/>
      </rPr>
      <t xml:space="preserve">田中鎮中新一街</t>
    </r>
    <r>
      <rPr>
        <sz val="10"/>
        <color rgb="FF1F2A28"/>
        <rFont val="Arial"/>
        <family val="0"/>
        <charset val="1"/>
      </rPr>
      <t xml:space="preserve">69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</si>
  <si>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(04)8763333</t>
  </si>
  <si>
    <t xml:space="preserve">n2593v@yahoo.com.tw</t>
  </si>
  <si>
    <t xml:space="preserve">陳惠文</t>
  </si>
  <si>
    <t xml:space="preserve">私立滿分美語圍棋短期補習班</t>
  </si>
  <si>
    <r>
      <rPr>
        <sz val="10"/>
        <color rgb="FF1F2A28"/>
        <rFont val="WenQuanYi Zen Hei"/>
        <family val="2"/>
      </rPr>
      <t xml:space="preserve">田中鎮北路里復興路</t>
    </r>
    <r>
      <rPr>
        <sz val="10"/>
        <color rgb="FF1F2A28"/>
        <rFont val="Arial"/>
        <family val="0"/>
        <charset val="1"/>
      </rPr>
      <t xml:space="preserve">736</t>
    </r>
    <r>
      <rPr>
        <sz val="10"/>
        <color rgb="FF1F2A28"/>
        <rFont val="WenQuanYi Zen Hei"/>
        <family val="2"/>
      </rPr>
      <t xml:space="preserve">巷</t>
    </r>
    <r>
      <rPr>
        <sz val="10"/>
        <color rgb="FF1F2A28"/>
        <rFont val="Arial"/>
        <family val="0"/>
        <charset val="1"/>
      </rPr>
      <t xml:space="preserve">93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</si>
  <si>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(04)8747050</t>
  </si>
  <si>
    <t xml:space="preserve">my61036@gmail.com</t>
  </si>
  <si>
    <t xml:space="preserve">陳來滿</t>
  </si>
  <si>
    <t xml:space="preserve">許琇媚</t>
  </si>
  <si>
    <t xml:space="preserve">私立葛洛麗亞美語短期補習班</t>
  </si>
  <si>
    <r>
      <rPr>
        <sz val="10"/>
        <color rgb="FF1F2A28"/>
        <rFont val="WenQuanYi Zen Hei"/>
        <family val="2"/>
      </rPr>
      <t xml:space="preserve">田中鎮東路里南北街</t>
    </r>
    <r>
      <rPr>
        <sz val="10"/>
        <color rgb="FF1F2A28"/>
        <rFont val="Arial"/>
        <family val="0"/>
        <charset val="1"/>
      </rPr>
      <t xml:space="preserve">110</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</si>
  <si>
    <t xml:space="preserve">(04)8760633</t>
  </si>
  <si>
    <t xml:space="preserve">yh61008@gmail.com</t>
  </si>
  <si>
    <t xml:space="preserve">黃慧娟</t>
  </si>
  <si>
    <t xml:space="preserve">黃勝彬</t>
  </si>
  <si>
    <t xml:space="preserve">私立認真學英語短期補習班</t>
  </si>
  <si>
    <r>
      <rPr>
        <sz val="10"/>
        <color rgb="FF1F2A28"/>
        <rFont val="WenQuanYi Zen Hei"/>
        <family val="2"/>
      </rPr>
      <t xml:space="preserve">田中鎮中州路一段</t>
    </r>
    <r>
      <rPr>
        <sz val="10"/>
        <color rgb="FF1F2A28"/>
        <rFont val="Arial"/>
        <family val="0"/>
        <charset val="1"/>
      </rPr>
      <t xml:space="preserve">181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</si>
  <si>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(04)8761515</t>
  </si>
  <si>
    <t xml:space="preserve">2014-04-03</t>
  </si>
  <si>
    <t xml:space="preserve">陳瑞香</t>
  </si>
  <si>
    <t xml:space="preserve">私立迪亞哥美語短期補習班</t>
  </si>
  <si>
    <r>
      <rPr>
        <sz val="10"/>
        <color rgb="FF1F2A28"/>
        <rFont val="WenQuanYi Zen Hei"/>
        <family val="2"/>
      </rPr>
      <t xml:space="preserve">田中鎮新生街</t>
    </r>
    <r>
      <rPr>
        <sz val="10"/>
        <color rgb="FF1F2A28"/>
        <rFont val="Arial"/>
        <family val="0"/>
        <charset val="1"/>
      </rPr>
      <t xml:space="preserve">156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</si>
  <si>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(04)8742020</t>
  </si>
  <si>
    <t xml:space="preserve">bc077@joy.com.tw</t>
  </si>
  <si>
    <t xml:space="preserve">2013-05-14</t>
  </si>
  <si>
    <t xml:space="preserve">陳見福</t>
  </si>
  <si>
    <t xml:space="preserve">田尾鄉</t>
  </si>
  <si>
    <t xml:space="preserve">私立大昱美語短期補習班</t>
  </si>
  <si>
    <r>
      <rPr>
        <sz val="10"/>
        <color rgb="FF1F2A28"/>
        <rFont val="WenQuanYi Zen Hei"/>
        <family val="2"/>
      </rPr>
      <t xml:space="preserve">田尾鄉光復路三段</t>
    </r>
    <r>
      <rPr>
        <sz val="10"/>
        <color rgb="FF1F2A28"/>
        <rFont val="Arial"/>
        <family val="0"/>
        <charset val="1"/>
      </rPr>
      <t xml:space="preserve">156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號</t>
    </r>
  </si>
  <si>
    <t xml:space="preserve">(04)8836619</t>
  </si>
  <si>
    <t xml:space="preserve">montaigne_life@yahoo.com.tw</t>
  </si>
  <si>
    <t xml:space="preserve">張智結</t>
  </si>
  <si>
    <t xml:space="preserve">社頭鄉</t>
  </si>
  <si>
    <t xml:space="preserve">彰化縣私立凱勝文理短期補習班</t>
  </si>
  <si>
    <r>
      <rPr>
        <sz val="10"/>
        <color rgb="FF1F2A28"/>
        <rFont val="WenQuanYi Zen Hei"/>
        <family val="2"/>
      </rPr>
      <t xml:space="preserve">社頭鄉仁雅村和平三路</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</si>
  <si>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(04)8739717</t>
  </si>
  <si>
    <t xml:space="preserve">林靜渝</t>
  </si>
  <si>
    <t xml:space="preserve">彰化縣私立獅子王美語短期補習班</t>
  </si>
  <si>
    <r>
      <rPr>
        <sz val="10"/>
        <color rgb="FF1F2A28"/>
        <rFont val="WenQuanYi Zen Hei"/>
        <family val="2"/>
      </rPr>
      <t xml:space="preserve">社頭鄉員集路二段</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</si>
  <si>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(04)8733671</t>
  </si>
  <si>
    <t xml:space="preserve">bc055@joy.com.tw</t>
  </si>
  <si>
    <t xml:space="preserve">2002-06-18</t>
  </si>
  <si>
    <t xml:space="preserve">張美娟</t>
  </si>
  <si>
    <t xml:space="preserve">彰化縣私立詠成文理短期補習班</t>
  </si>
  <si>
    <r>
      <rPr>
        <sz val="10"/>
        <color rgb="FF1F2A28"/>
        <rFont val="WenQuanYi Zen Hei"/>
        <family val="2"/>
      </rPr>
      <t xml:space="preserve">社頭鄉社頭村忠孝三路</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</si>
  <si>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0958-560186</t>
  </si>
  <si>
    <t xml:space="preserve">yang.five@msa.hinet.net</t>
  </si>
  <si>
    <t xml:space="preserve">楊盛霖</t>
  </si>
  <si>
    <t xml:space="preserve">蕭貴郁</t>
  </si>
  <si>
    <t xml:space="preserve">私立永全美語短期補習班</t>
  </si>
  <si>
    <r>
      <rPr>
        <sz val="10"/>
        <color rgb="FF1F2A28"/>
        <rFont val="WenQuanYi Zen Hei"/>
        <family val="2"/>
      </rPr>
      <t xml:space="preserve">社頭鄉信義三路</t>
    </r>
    <r>
      <rPr>
        <sz val="10"/>
        <color rgb="FF1F2A28"/>
        <rFont val="Arial"/>
        <family val="0"/>
        <charset val="1"/>
      </rPr>
      <t xml:space="preserve">74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</si>
  <si>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8736872</t>
  </si>
  <si>
    <t xml:space="preserve">2000-06-13</t>
  </si>
  <si>
    <t xml:space="preserve">陳映丞</t>
  </si>
  <si>
    <t xml:space="preserve">蕭詠真</t>
  </si>
  <si>
    <t xml:space="preserve">私立育英達美語短期補習班</t>
  </si>
  <si>
    <r>
      <rPr>
        <sz val="10"/>
        <color rgb="FF1F2A28"/>
        <rFont val="WenQuanYi Zen Hei"/>
        <family val="2"/>
      </rPr>
      <t xml:space="preserve">社頭鄉員集路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539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</si>
  <si>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(04)8713027</t>
  </si>
  <si>
    <t xml:space="preserve">kober5234@gmail.com</t>
  </si>
  <si>
    <t xml:space="preserve">蕭家益</t>
  </si>
  <si>
    <t xml:space="preserve">福興鄉</t>
  </si>
  <si>
    <t xml:space="preserve">彰化縣私立小蜜蜂英文短期補習班</t>
  </si>
  <si>
    <r>
      <rPr>
        <sz val="10"/>
        <color rgb="FF1F2A28"/>
        <rFont val="WenQuanYi Zen Hei"/>
        <family val="2"/>
      </rPr>
      <t xml:space="preserve">福興鄉福興村福興路</t>
    </r>
    <r>
      <rPr>
        <sz val="10"/>
        <color rgb="FF1F2A28"/>
        <rFont val="Arial"/>
        <family val="0"/>
        <charset val="1"/>
      </rPr>
      <t xml:space="preserve">151</t>
    </r>
    <r>
      <rPr>
        <sz val="10"/>
        <color rgb="FF1F2A28"/>
        <rFont val="WenQuanYi Zen Hei"/>
        <family val="2"/>
      </rPr>
      <t xml:space="preserve">巷</t>
    </r>
    <r>
      <rPr>
        <sz val="10"/>
        <color rgb="FF1F2A28"/>
        <rFont val="Arial"/>
        <family val="0"/>
        <charset val="1"/>
      </rPr>
      <t xml:space="preserve">207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</si>
  <si>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(04)7777865</t>
  </si>
  <si>
    <t xml:space="preserve">honeybee7777865@gmail.com</t>
  </si>
  <si>
    <t xml:space="preserve">初階英文、中階英文、高階英文</t>
  </si>
  <si>
    <t xml:space="preserve">2019-06-24</t>
  </si>
  <si>
    <t xml:space="preserve">劉紜婷</t>
  </si>
  <si>
    <t xml:space="preserve">私立泓緣美語短期補習班</t>
  </si>
  <si>
    <r>
      <rPr>
        <sz val="10"/>
        <color rgb="FF1F2A28"/>
        <rFont val="WenQuanYi Zen Hei"/>
        <family val="2"/>
      </rPr>
      <t xml:space="preserve">福興鄉福興路</t>
    </r>
    <r>
      <rPr>
        <sz val="10"/>
        <color rgb="FF1F2A28"/>
        <rFont val="Arial"/>
        <family val="0"/>
        <charset val="1"/>
      </rPr>
      <t xml:space="preserve">62</t>
    </r>
    <r>
      <rPr>
        <sz val="10"/>
        <color rgb="FF1F2A28"/>
        <rFont val="WenQuanYi Zen Hei"/>
        <family val="2"/>
      </rPr>
      <t xml:space="preserve">之</t>
    </r>
    <r>
      <rPr>
        <sz val="10"/>
        <color rgb="FF1F2A28"/>
        <rFont val="Arial"/>
        <family val="0"/>
        <charset val="1"/>
      </rPr>
      <t xml:space="preserve">133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</si>
  <si>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(04)7762011</t>
  </si>
  <si>
    <t xml:space="preserve">jyayuan@gmail.com</t>
  </si>
  <si>
    <t xml:space="preserve">2009-04-15</t>
  </si>
  <si>
    <t xml:space="preserve">楊秀緣</t>
  </si>
  <si>
    <t xml:space="preserve">昌承樺</t>
  </si>
  <si>
    <t xml:space="preserve">私立璦斯蘭特美語短期補習班</t>
  </si>
  <si>
    <r>
      <rPr>
        <sz val="10"/>
        <color rgb="FF1F2A28"/>
        <rFont val="WenQuanYi Zen Hei"/>
        <family val="2"/>
      </rPr>
      <t xml:space="preserve">福興鄉復興路</t>
    </r>
    <r>
      <rPr>
        <sz val="10"/>
        <color rgb="FF1F2A28"/>
        <rFont val="Arial"/>
        <family val="0"/>
        <charset val="1"/>
      </rPr>
      <t xml:space="preserve">20-1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</si>
  <si>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(04)7794649</t>
  </si>
  <si>
    <t xml:space="preserve">2010-04-30</t>
  </si>
  <si>
    <t xml:space="preserve">潘畯壹</t>
  </si>
  <si>
    <t xml:space="preserve">秀水鄉</t>
  </si>
  <si>
    <t xml:space="preserve">佳英文教事業有限公司附設私立佳語英語短期補習班</t>
  </si>
  <si>
    <r>
      <rPr>
        <sz val="10"/>
        <color rgb="FF1F2A28"/>
        <rFont val="WenQuanYi Zen Hei"/>
        <family val="2"/>
      </rPr>
      <t xml:space="preserve">秀水鄉安東村枋林巷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1.2.3</t>
    </r>
    <r>
      <rPr>
        <sz val="10"/>
        <color rgb="FF1F2A28"/>
        <rFont val="WenQuanYi Zen Hei"/>
        <family val="2"/>
      </rPr>
      <t xml:space="preserve">樓</t>
    </r>
  </si>
  <si>
    <t xml:space="preserve">(04)7698248</t>
  </si>
  <si>
    <t xml:space="preserve">bc062@joy.com.tw</t>
  </si>
  <si>
    <t xml:space="preserve">施雅媦</t>
  </si>
  <si>
    <t xml:space="preserve">彰化縣私立小博士文理短期補習班</t>
  </si>
  <si>
    <r>
      <rPr>
        <sz val="10"/>
        <color rgb="FF1F2A28"/>
        <rFont val="WenQuanYi Zen Hei"/>
        <family val="2"/>
      </rPr>
      <t xml:space="preserve">秀水鄉秀中街</t>
    </r>
    <r>
      <rPr>
        <sz val="10"/>
        <color rgb="FF1F2A28"/>
        <rFont val="Arial"/>
        <family val="0"/>
        <charset val="1"/>
      </rPr>
      <t xml:space="preserve">82</t>
    </r>
    <r>
      <rPr>
        <sz val="10"/>
        <color rgb="FF1F2A28"/>
        <rFont val="WenQuanYi Zen Hei"/>
        <family val="2"/>
      </rPr>
      <t xml:space="preserve">巷</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號</t>
    </r>
  </si>
  <si>
    <t xml:space="preserve">04-7698123</t>
  </si>
  <si>
    <t xml:space="preserve">sakyalin@gmail.com</t>
  </si>
  <si>
    <t xml:space="preserve">林聖家</t>
  </si>
  <si>
    <t xml:space="preserve">陳憬怡</t>
  </si>
  <si>
    <t xml:space="preserve">彰化縣私立智高英語短期補習班</t>
  </si>
  <si>
    <r>
      <rPr>
        <sz val="10"/>
        <color rgb="FF1F2A28"/>
        <rFont val="WenQuanYi Zen Hei"/>
        <family val="2"/>
      </rPr>
      <t xml:space="preserve">秀水鄉莊雅村秀中街</t>
    </r>
    <r>
      <rPr>
        <sz val="10"/>
        <color rgb="FF1F2A28"/>
        <rFont val="Arial"/>
        <family val="0"/>
        <charset val="1"/>
      </rPr>
      <t xml:space="preserve">81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秀中街</t>
    </r>
    <r>
      <rPr>
        <sz val="10"/>
        <color rgb="FF1F2A28"/>
        <rFont val="Arial"/>
        <family val="0"/>
        <charset val="1"/>
      </rPr>
      <t xml:space="preserve">83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</si>
  <si>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(04)7686527</t>
  </si>
  <si>
    <t xml:space="preserve">giraffe7688565@yahoo.com.tw</t>
  </si>
  <si>
    <t xml:space="preserve">2004-07-12</t>
  </si>
  <si>
    <t xml:space="preserve">鄭靜芳</t>
  </si>
  <si>
    <t xml:space="preserve">鄭吉富</t>
  </si>
  <si>
    <t xml:space="preserve">私立伯昇美語短期補習班</t>
  </si>
  <si>
    <r>
      <rPr>
        <sz val="10"/>
        <color rgb="FF1F2A28"/>
        <rFont val="WenQuanYi Zen Hei"/>
        <family val="2"/>
      </rPr>
      <t xml:space="preserve">秀水鄉中山路</t>
    </r>
    <r>
      <rPr>
        <sz val="10"/>
        <color rgb="FF1F2A28"/>
        <rFont val="Arial"/>
        <family val="0"/>
        <charset val="1"/>
      </rPr>
      <t xml:space="preserve">194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</si>
  <si>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(04)7696040</t>
  </si>
  <si>
    <t xml:space="preserve">posheng7696040@gmail.com</t>
  </si>
  <si>
    <t xml:space="preserve">施承睿</t>
  </si>
  <si>
    <t xml:space="preserve">陳鑲萍</t>
  </si>
  <si>
    <t xml:space="preserve">私立力元語文短期補習班</t>
  </si>
  <si>
    <r>
      <rPr>
        <sz val="10"/>
        <color rgb="FF1F2A28"/>
        <rFont val="WenQuanYi Zen Hei"/>
        <family val="2"/>
      </rPr>
      <t xml:space="preserve">秀水鄉中山路</t>
    </r>
    <r>
      <rPr>
        <sz val="10"/>
        <color rgb="FF1F2A28"/>
        <rFont val="Arial"/>
        <family val="0"/>
        <charset val="1"/>
      </rPr>
      <t xml:space="preserve">537</t>
    </r>
    <r>
      <rPr>
        <sz val="10"/>
        <color rgb="FF1F2A28"/>
        <rFont val="WenQuanYi Zen Hei"/>
        <family val="2"/>
      </rPr>
      <t xml:space="preserve">號</t>
    </r>
  </si>
  <si>
    <t xml:space="preserve">7692733</t>
  </si>
  <si>
    <t xml:space="preserve">楊淑斐</t>
  </si>
  <si>
    <t xml:space="preserve">鄭勝賢</t>
  </si>
  <si>
    <t xml:space="preserve">私立吉尼爾美語短期補習班</t>
  </si>
  <si>
    <r>
      <rPr>
        <sz val="10"/>
        <color rgb="FF1F2A28"/>
        <rFont val="WenQuanYi Zen Hei"/>
        <family val="2"/>
      </rPr>
      <t xml:space="preserve">秀水鄉彰水路一段</t>
    </r>
    <r>
      <rPr>
        <sz val="10"/>
        <color rgb="FF1F2A28"/>
        <rFont val="Arial"/>
        <family val="0"/>
        <charset val="1"/>
      </rPr>
      <t xml:space="preserve">9</t>
    </r>
    <r>
      <rPr>
        <sz val="10"/>
        <color rgb="FF1F2A28"/>
        <rFont val="WenQuanYi Zen Hei"/>
        <family val="2"/>
      </rPr>
      <t xml:space="preserve">巷</t>
    </r>
    <r>
      <rPr>
        <sz val="10"/>
        <color rgb="FF1F2A28"/>
        <rFont val="Arial"/>
        <family val="0"/>
        <charset val="1"/>
      </rPr>
      <t xml:space="preserve">37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</si>
  <si>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(04)7688692</t>
  </si>
  <si>
    <t xml:space="preserve">2007-06-29</t>
  </si>
  <si>
    <t xml:space="preserve">施麗娟</t>
  </si>
  <si>
    <t xml:space="preserve">私立秀恩美語短期補習班</t>
  </si>
  <si>
    <r>
      <rPr>
        <sz val="10"/>
        <color rgb="FF1F2A28"/>
        <rFont val="WenQuanYi Zen Hei"/>
        <family val="2"/>
      </rPr>
      <t xml:space="preserve">秀水鄉安東村坊林巷</t>
    </r>
    <r>
      <rPr>
        <sz val="10"/>
        <color rgb="FF1F2A28"/>
        <rFont val="Arial"/>
        <family val="0"/>
        <charset val="1"/>
      </rPr>
      <t xml:space="preserve">27-1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</si>
  <si>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(04)7694349</t>
  </si>
  <si>
    <t xml:space="preserve">a0922955086@gmail.com</t>
  </si>
  <si>
    <t xml:space="preserve">2006-05-29</t>
  </si>
  <si>
    <t xml:space="preserve">陳俐利</t>
  </si>
  <si>
    <t xml:space="preserve">胡錦益</t>
  </si>
  <si>
    <t xml:space="preserve">竹塘鄉</t>
  </si>
  <si>
    <t xml:space="preserve">彰化縣私立格芮塔美語短期補習班</t>
  </si>
  <si>
    <r>
      <rPr>
        <sz val="10"/>
        <color rgb="FF1F2A28"/>
        <rFont val="WenQuanYi Zen Hei"/>
        <family val="2"/>
      </rPr>
      <t xml:space="preserve">竹塘鄉文化街</t>
    </r>
    <r>
      <rPr>
        <sz val="10"/>
        <color rgb="FF1F2A28"/>
        <rFont val="Arial"/>
        <family val="0"/>
        <charset val="1"/>
      </rPr>
      <t xml:space="preserve">36</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</si>
  <si>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04-8970503</t>
  </si>
  <si>
    <t xml:space="preserve">2015-05-19</t>
  </si>
  <si>
    <t xml:space="preserve">黃鳳秋</t>
  </si>
  <si>
    <t xml:space="preserve">線西鄉</t>
  </si>
  <si>
    <t xml:space="preserve">私立學兒樂美語短期補習班</t>
  </si>
  <si>
    <r>
      <rPr>
        <sz val="10"/>
        <color rgb="FF1F2A28"/>
        <rFont val="WenQuanYi Zen Hei"/>
        <family val="2"/>
      </rPr>
      <t xml:space="preserve">線西鄉沿海路一段</t>
    </r>
    <r>
      <rPr>
        <sz val="10"/>
        <color rgb="FF1F2A28"/>
        <rFont val="Arial"/>
        <family val="0"/>
        <charset val="1"/>
      </rPr>
      <t xml:space="preserve">913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.915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</si>
  <si>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(04)7581806</t>
  </si>
  <si>
    <t xml:space="preserve">陳碧珠</t>
  </si>
  <si>
    <t xml:space="preserve">雲銘輝</t>
  </si>
  <si>
    <t xml:space="preserve">芬園鄉</t>
  </si>
  <si>
    <t xml:space="preserve">彰化縣私立安琪拉美語短期補習班</t>
  </si>
  <si>
    <r>
      <rPr>
        <sz val="10"/>
        <color rgb="FF1F2A28"/>
        <rFont val="WenQuanYi Zen Hei"/>
        <family val="2"/>
      </rPr>
      <t xml:space="preserve">芬園鄉社口村成功路</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</si>
  <si>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0919040624</t>
  </si>
  <si>
    <t xml:space="preserve">wanhua9308@gmail.com</t>
  </si>
  <si>
    <t xml:space="preserve">2017-10-20</t>
  </si>
  <si>
    <t xml:space="preserve">林婉華</t>
  </si>
  <si>
    <t xml:space="preserve">私立懋霖美語短期補習班</t>
  </si>
  <si>
    <r>
      <rPr>
        <sz val="10"/>
        <color rgb="FF1F2A28"/>
        <rFont val="WenQuanYi Zen Hei"/>
        <family val="2"/>
      </rPr>
      <t xml:space="preserve">芬園鄉民族路</t>
    </r>
    <r>
      <rPr>
        <sz val="10"/>
        <color rgb="FF1F2A28"/>
        <rFont val="Arial"/>
        <family val="0"/>
        <charset val="1"/>
      </rPr>
      <t xml:space="preserve">138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</si>
  <si>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(049)2525379</t>
  </si>
  <si>
    <t xml:space="preserve">nan6620@yahoo.com.tw</t>
  </si>
  <si>
    <t xml:space="preserve">2007-07-19</t>
  </si>
  <si>
    <t xml:space="preserve">江信男</t>
  </si>
  <si>
    <t xml:space="preserve">私立識真美語短期補習班</t>
  </si>
  <si>
    <r>
      <rPr>
        <sz val="10"/>
        <color rgb="FF1F2A28"/>
        <rFont val="WenQuanYi Zen Hei"/>
        <family val="2"/>
      </rPr>
      <t xml:space="preserve">芬園鄉成功路</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</si>
  <si>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(049)2511088</t>
  </si>
  <si>
    <t xml:space="preserve">楊淑閔</t>
  </si>
  <si>
    <t xml:space="preserve">張嘉洳</t>
  </si>
  <si>
    <t xml:space="preserve">花壇鄉</t>
  </si>
  <si>
    <t xml:space="preserve">彰化縣私立捷敏全民英語短期補習班</t>
  </si>
  <si>
    <r>
      <rPr>
        <sz val="10"/>
        <color rgb="FF1F2A28"/>
        <rFont val="WenQuanYi Zen Hei"/>
        <family val="2"/>
      </rPr>
      <t xml:space="preserve">花壇鄉學前路</t>
    </r>
    <r>
      <rPr>
        <sz val="10"/>
        <color rgb="FF1F2A28"/>
        <rFont val="Arial"/>
        <family val="0"/>
        <charset val="1"/>
      </rPr>
      <t xml:space="preserve">73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</si>
  <si>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(04)7865397</t>
  </si>
  <si>
    <t xml:space="preserve">minju0111@hotmail.com</t>
  </si>
  <si>
    <t xml:space="preserve">2015-05-29</t>
  </si>
  <si>
    <t xml:space="preserve">蔡閔如</t>
  </si>
  <si>
    <t xml:space="preserve">彰化縣私立萊恩文理短期補習班</t>
  </si>
  <si>
    <r>
      <rPr>
        <sz val="10"/>
        <color rgb="FF1F2A28"/>
        <rFont val="WenQuanYi Zen Hei"/>
        <family val="2"/>
      </rPr>
      <t xml:space="preserve">花壇鄉長沙村中正路</t>
    </r>
    <r>
      <rPr>
        <sz val="10"/>
        <color rgb="FF1F2A28"/>
        <rFont val="Arial"/>
        <family val="0"/>
        <charset val="1"/>
      </rPr>
      <t xml:space="preserve">105</t>
    </r>
    <r>
      <rPr>
        <sz val="10"/>
        <color rgb="FF1F2A28"/>
        <rFont val="WenQuanYi Zen Hei"/>
        <family val="2"/>
      </rPr>
      <t xml:space="preserve">巷</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</si>
  <si>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(04)7866999</t>
  </si>
  <si>
    <t xml:space="preserve">lionkid.school@gmail.com</t>
  </si>
  <si>
    <t xml:space="preserve">2010-09-14</t>
  </si>
  <si>
    <t xml:space="preserve">潘鳳玉</t>
  </si>
  <si>
    <t xml:space="preserve">潘惠玉</t>
  </si>
  <si>
    <t xml:space="preserve">彰化縣私立馬丁英語短期補習班</t>
  </si>
  <si>
    <r>
      <rPr>
        <sz val="10"/>
        <color rgb="FF1F2A28"/>
        <rFont val="WenQuanYi Zen Hei"/>
        <family val="2"/>
      </rPr>
      <t xml:space="preserve">花壇鄉長沙村中正路</t>
    </r>
    <r>
      <rPr>
        <sz val="10"/>
        <color rgb="FF1F2A28"/>
        <rFont val="Arial"/>
        <family val="0"/>
        <charset val="1"/>
      </rPr>
      <t xml:space="preserve">101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</si>
  <si>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(04)7869926</t>
  </si>
  <si>
    <t xml:space="preserve">htjoy101@yahoo.com.tw</t>
  </si>
  <si>
    <t xml:space="preserve">2003-07-15</t>
  </si>
  <si>
    <t xml:space="preserve">黃敏芬</t>
  </si>
  <si>
    <t xml:space="preserve">私立德育美語短期補習班</t>
  </si>
  <si>
    <r>
      <rPr>
        <sz val="10"/>
        <color rgb="FF1F2A28"/>
        <rFont val="WenQuanYi Zen Hei"/>
        <family val="2"/>
      </rPr>
      <t xml:space="preserve">花壇鄉溪北街</t>
    </r>
    <r>
      <rPr>
        <sz val="10"/>
        <color rgb="FF1F2A28"/>
        <rFont val="Arial"/>
        <family val="0"/>
        <charset val="1"/>
      </rPr>
      <t xml:space="preserve">55</t>
    </r>
    <r>
      <rPr>
        <sz val="10"/>
        <color rgb="FF1F2A28"/>
        <rFont val="WenQuanYi Zen Hei"/>
        <family val="2"/>
      </rPr>
      <t xml:space="preserve">號</t>
    </r>
    <r>
      <rPr>
        <sz val="10"/>
        <color rgb="FF1F2A28"/>
        <rFont val="Arial"/>
        <family val="0"/>
        <charset val="1"/>
      </rPr>
      <t xml:space="preserve">1.2.3</t>
    </r>
    <r>
      <rPr>
        <sz val="10"/>
        <color rgb="FF1F2A28"/>
        <rFont val="WenQuanYi Zen Hei"/>
        <family val="2"/>
      </rPr>
      <t xml:space="preserve">樓</t>
    </r>
  </si>
  <si>
    <t xml:space="preserve">7874881</t>
  </si>
  <si>
    <t xml:space="preserve">xaws456852@gmail.com</t>
  </si>
  <si>
    <t xml:space="preserve">吳卿瑤</t>
  </si>
  <si>
    <t xml:space="preserve">私立簡驛美語短期補習班</t>
  </si>
  <si>
    <r>
      <rPr>
        <sz val="10"/>
        <color rgb="FF1F2A28"/>
        <rFont val="WenQuanYi Zen Hei"/>
        <family val="2"/>
      </rPr>
      <t xml:space="preserve">花壇鄉中正路</t>
    </r>
    <r>
      <rPr>
        <sz val="10"/>
        <color rgb="FF1F2A28"/>
        <rFont val="Arial"/>
        <family val="0"/>
        <charset val="1"/>
      </rPr>
      <t xml:space="preserve">170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</si>
  <si>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(04)7870775</t>
  </si>
  <si>
    <t xml:space="preserve">fendi355@gmail.com</t>
  </si>
  <si>
    <t xml:space="preserve">簡志華</t>
  </si>
  <si>
    <t xml:space="preserve">私立育成美語短期補習班</t>
  </si>
  <si>
    <r>
      <rPr>
        <sz val="10"/>
        <color rgb="FF1F2A28"/>
        <rFont val="WenQuanYi Zen Hei"/>
        <family val="2"/>
      </rPr>
      <t xml:space="preserve">花壇鄉中正路</t>
    </r>
    <r>
      <rPr>
        <sz val="10"/>
        <color rgb="FF1F2A28"/>
        <rFont val="Arial"/>
        <family val="0"/>
        <charset val="1"/>
      </rPr>
      <t xml:space="preserve">60</t>
    </r>
    <r>
      <rPr>
        <sz val="10"/>
        <color rgb="FF1F2A28"/>
        <rFont val="WenQuanYi Zen Hei"/>
        <family val="2"/>
      </rPr>
      <t xml:space="preserve">之</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</si>
  <si>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7870059</t>
  </si>
  <si>
    <t xml:space="preserve">yuchenmiles@yahoo.com.tw</t>
  </si>
  <si>
    <t xml:space="preserve">1994-05-06</t>
  </si>
  <si>
    <t xml:space="preserve">劉英棟</t>
  </si>
  <si>
    <t xml:space="preserve">鹿港鎮</t>
  </si>
  <si>
    <t xml:space="preserve">彰化縣私立亞頓文理短期補習班</t>
  </si>
  <si>
    <r>
      <rPr>
        <sz val="10"/>
        <color rgb="FF1F2A28"/>
        <rFont val="WenQuanYi Zen Hei"/>
        <family val="2"/>
      </rPr>
      <t xml:space="preserve">鹿港鎮街尾里文化街</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</si>
  <si>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(04)7765962</t>
  </si>
  <si>
    <t xml:space="preserve">adamkchlk20@gmail.com</t>
  </si>
  <si>
    <t xml:space="preserve">2003-11-14</t>
  </si>
  <si>
    <t xml:space="preserve">陳詠琪</t>
  </si>
  <si>
    <t xml:space="preserve">彰化縣私立伊頓文理短期補習班</t>
  </si>
  <si>
    <r>
      <rPr>
        <sz val="10"/>
        <color rgb="FF1F2A28"/>
        <rFont val="WenQuanYi Zen Hei"/>
        <family val="2"/>
      </rPr>
      <t xml:space="preserve">鹿港鎮鹿和路三段</t>
    </r>
    <r>
      <rPr>
        <sz val="10"/>
        <color rgb="FF1F2A28"/>
        <rFont val="Arial"/>
        <family val="0"/>
        <charset val="1"/>
      </rPr>
      <t xml:space="preserve">509</t>
    </r>
    <r>
      <rPr>
        <sz val="10"/>
        <color rgb="FF1F2A28"/>
        <rFont val="WenQuanYi Zen Hei"/>
        <family val="2"/>
      </rPr>
      <t xml:space="preserve">號</t>
    </r>
    <r>
      <rPr>
        <sz val="10"/>
        <color rgb="FF1F2A28"/>
        <rFont val="Arial"/>
        <family val="0"/>
        <charset val="1"/>
      </rPr>
      <t xml:space="preserve">1.2.3</t>
    </r>
    <r>
      <rPr>
        <sz val="10"/>
        <color rgb="FF1F2A28"/>
        <rFont val="WenQuanYi Zen Hei"/>
        <family val="2"/>
      </rPr>
      <t xml:space="preserve">樓</t>
    </r>
  </si>
  <si>
    <t xml:space="preserve">(04)7721266.7721566</t>
  </si>
  <si>
    <t xml:space="preserve">mosanasa7721266@gmail.com</t>
  </si>
  <si>
    <t xml:space="preserve">2004-04-19</t>
  </si>
  <si>
    <t xml:space="preserve">黃振豪</t>
  </si>
  <si>
    <t xml:space="preserve">張粟鈺</t>
  </si>
  <si>
    <t xml:space="preserve">彰化縣私立勇智文理短期補習班</t>
  </si>
  <si>
    <r>
      <rPr>
        <sz val="10"/>
        <color rgb="FF1F2A28"/>
        <rFont val="WenQuanYi Zen Hei"/>
        <family val="2"/>
      </rPr>
      <t xml:space="preserve">鹿港鎮中山路</t>
    </r>
    <r>
      <rPr>
        <sz val="10"/>
        <color rgb="FF1F2A28"/>
        <rFont val="Arial"/>
        <family val="0"/>
        <charset val="1"/>
      </rPr>
      <t xml:space="preserve">46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</si>
  <si>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0975-758525</t>
  </si>
  <si>
    <t xml:space="preserve">c987872@gmail.com</t>
  </si>
  <si>
    <t xml:space="preserve">林勇智</t>
  </si>
  <si>
    <t xml:space="preserve">彰化縣私立勤學苑文理短期補習班</t>
  </si>
  <si>
    <r>
      <rPr>
        <sz val="10"/>
        <color rgb="FF1F2A28"/>
        <rFont val="WenQuanYi Zen Hei"/>
        <family val="2"/>
      </rPr>
      <t xml:space="preserve">鹿港鎮順興里四維路</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</si>
  <si>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(04)7784068</t>
  </si>
  <si>
    <t xml:space="preserve">2020-01-15</t>
  </si>
  <si>
    <t xml:space="preserve">施宜嫻</t>
  </si>
  <si>
    <t xml:space="preserve">彰化縣私立康橋文理短期補習班</t>
  </si>
  <si>
    <r>
      <rPr>
        <sz val="10"/>
        <color rgb="FF1F2A28"/>
        <rFont val="WenQuanYi Zen Hei"/>
        <family val="2"/>
      </rPr>
      <t xml:space="preserve">鹿港鎮菜園里三民路</t>
    </r>
    <r>
      <rPr>
        <sz val="10"/>
        <color rgb="FF1F2A28"/>
        <rFont val="Arial"/>
        <family val="0"/>
        <charset val="1"/>
      </rPr>
      <t xml:space="preserve">175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</si>
  <si>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(04)7840466</t>
  </si>
  <si>
    <t xml:space="preserve">pollyhsu0814@yahoo.com.tw</t>
  </si>
  <si>
    <t xml:space="preserve">彰化縣私立文燕英語短期補習班</t>
  </si>
  <si>
    <r>
      <rPr>
        <sz val="10"/>
        <color rgb="FF1F2A28"/>
        <rFont val="WenQuanYi Zen Hei"/>
        <family val="2"/>
      </rPr>
      <t xml:space="preserve">鹿港鎮自治街</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</si>
  <si>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0919-099184</t>
  </si>
  <si>
    <t xml:space="preserve">caine06077060@gmail.com</t>
  </si>
  <si>
    <t xml:space="preserve">2021-02-08</t>
  </si>
  <si>
    <t xml:space="preserve">施淑娟</t>
  </si>
  <si>
    <t xml:space="preserve">彰化縣私立昱碩英文短期補習班</t>
  </si>
  <si>
    <r>
      <rPr>
        <sz val="10"/>
        <color rgb="FF1F2A28"/>
        <rFont val="WenQuanYi Zen Hei"/>
        <family val="2"/>
      </rPr>
      <t xml:space="preserve">鹿港鎮龍山里金門街</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</si>
  <si>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(04)777-7365</t>
  </si>
  <si>
    <t xml:space="preserve">yiching0825@hotmail.com</t>
  </si>
  <si>
    <t xml:space="preserve">2023-10-24</t>
  </si>
  <si>
    <t xml:space="preserve">王顗晴</t>
  </si>
  <si>
    <t xml:space="preserve">彰化縣私立欣禾文理短期補習班</t>
  </si>
  <si>
    <r>
      <rPr>
        <sz val="10"/>
        <color rgb="FF1F2A28"/>
        <rFont val="WenQuanYi Zen Hei"/>
        <family val="2"/>
      </rPr>
      <t xml:space="preserve">鹿港鎮明智路</t>
    </r>
    <r>
      <rPr>
        <sz val="10"/>
        <color rgb="FF1F2A28"/>
        <rFont val="Arial"/>
        <family val="0"/>
        <charset val="1"/>
      </rPr>
      <t xml:space="preserve">63</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</si>
  <si>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(04)7775746</t>
  </si>
  <si>
    <t xml:space="preserve">c202167@gmail.com</t>
  </si>
  <si>
    <t xml:space="preserve">黃智勇</t>
  </si>
  <si>
    <t xml:space="preserve">彰化縣私立瑪郁語文短期補習班</t>
  </si>
  <si>
    <t xml:space="preserve">鹿港鎮彰鹿路七段六四一號一、二、三、四樓</t>
  </si>
  <si>
    <t xml:space="preserve">7772899</t>
  </si>
  <si>
    <t xml:space="preserve">lgjoyschool@gmail.com</t>
  </si>
  <si>
    <t xml:space="preserve">黃秀清</t>
  </si>
  <si>
    <t xml:space="preserve">彰化縣私立茱蒂亞音樂美語短期補習班</t>
  </si>
  <si>
    <r>
      <rPr>
        <sz val="10"/>
        <color rgb="FF1F2A28"/>
        <rFont val="WenQuanYi Zen Hei"/>
        <family val="2"/>
      </rPr>
      <t xml:space="preserve">鹿港鎮中山南路</t>
    </r>
    <r>
      <rPr>
        <sz val="10"/>
        <color rgb="FF1F2A28"/>
        <rFont val="Arial"/>
        <family val="0"/>
        <charset val="1"/>
      </rPr>
      <t xml:space="preserve">168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</si>
  <si>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(04)7753419</t>
  </si>
  <si>
    <t xml:space="preserve">judia3419@gmail.com</t>
  </si>
  <si>
    <t xml:space="preserve">王齡君</t>
  </si>
  <si>
    <t xml:space="preserve">彰化縣私立雲軒文理短期補習班</t>
  </si>
  <si>
    <r>
      <rPr>
        <sz val="10"/>
        <color rgb="FF1F2A28"/>
        <rFont val="WenQuanYi Zen Hei"/>
        <family val="2"/>
      </rPr>
      <t xml:space="preserve">鹿港鎮自治街</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</si>
  <si>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(04)7763249</t>
  </si>
  <si>
    <t xml:space="preserve">lily445222@gmail.com</t>
  </si>
  <si>
    <t xml:space="preserve">蔡瑞玲</t>
  </si>
  <si>
    <t xml:space="preserve">彰化縣私立鹿禾文理短期補習班</t>
  </si>
  <si>
    <r>
      <rPr>
        <sz val="10"/>
        <color rgb="FF1F2A28"/>
        <rFont val="WenQuanYi Zen Hei"/>
        <family val="2"/>
      </rPr>
      <t xml:space="preserve">鹿港鎮鹿和路四段</t>
    </r>
    <r>
      <rPr>
        <sz val="10"/>
        <color rgb="FF1F2A28"/>
        <rFont val="Arial"/>
        <family val="0"/>
        <charset val="1"/>
      </rPr>
      <t xml:space="preserve">292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</si>
  <si>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 7717512</t>
  </si>
  <si>
    <t xml:space="preserve">eee1089@yahoo.com.tw</t>
  </si>
  <si>
    <t xml:space="preserve">柯富裕</t>
  </si>
  <si>
    <t xml:space="preserve">摘星國際有限公司附設彰化縣私立摘星文教文理短期補習班民權分班</t>
  </si>
  <si>
    <r>
      <rPr>
        <sz val="10"/>
        <color rgb="FF1F2A28"/>
        <rFont val="WenQuanYi Zen Hei"/>
        <family val="2"/>
      </rPr>
      <t xml:space="preserve">鹿港鎮埔崙里民權路</t>
    </r>
    <r>
      <rPr>
        <sz val="10"/>
        <color rgb="FF1F2A28"/>
        <rFont val="Arial"/>
        <family val="0"/>
        <charset val="1"/>
      </rPr>
      <t xml:space="preserve">46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</si>
  <si>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0966589618</t>
  </si>
  <si>
    <t xml:space="preserve">jcfz8888@gmail.com</t>
  </si>
  <si>
    <t xml:space="preserve">黃瑞哲</t>
  </si>
  <si>
    <t xml:space="preserve">邱庭瑋</t>
  </si>
  <si>
    <t xml:space="preserve">私立安文美語短期補習班</t>
  </si>
  <si>
    <r>
      <rPr>
        <sz val="10"/>
        <color rgb="FF1F2A28"/>
        <rFont val="WenQuanYi Zen Hei"/>
        <family val="2"/>
      </rPr>
      <t xml:space="preserve">鹿港鎮大同路</t>
    </r>
    <r>
      <rPr>
        <sz val="10"/>
        <color rgb="FF1F2A28"/>
        <rFont val="Arial"/>
        <family val="0"/>
        <charset val="1"/>
      </rPr>
      <t xml:space="preserve">246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</si>
  <si>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(04)7768285</t>
  </si>
  <si>
    <t xml:space="preserve">黃翠文</t>
  </si>
  <si>
    <t xml:space="preserve">施玉華</t>
  </si>
  <si>
    <t xml:space="preserve">私立小蝸牛美語珠心算短期補習班</t>
  </si>
  <si>
    <r>
      <rPr>
        <sz val="10"/>
        <color rgb="FF1F2A28"/>
        <rFont val="WenQuanYi Zen Hei"/>
        <family val="2"/>
      </rPr>
      <t xml:space="preserve">鹿港鎮頂草路四段</t>
    </r>
    <r>
      <rPr>
        <sz val="10"/>
        <color rgb="FF1F2A28"/>
        <rFont val="Arial"/>
        <family val="0"/>
        <charset val="1"/>
      </rPr>
      <t xml:space="preserve">261</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</si>
  <si>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(04)7712999</t>
  </si>
  <si>
    <t xml:space="preserve">p82769@gmail.com</t>
  </si>
  <si>
    <t xml:space="preserve">2005-09-06</t>
  </si>
  <si>
    <t xml:space="preserve">王英華</t>
  </si>
  <si>
    <t xml:space="preserve">私立易學園美語短期補習班</t>
  </si>
  <si>
    <r>
      <rPr>
        <sz val="10"/>
        <color rgb="FF1F2A28"/>
        <rFont val="WenQuanYi Zen Hei"/>
        <family val="2"/>
      </rPr>
      <t xml:space="preserve">鹿港鎮永安一路</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</si>
  <si>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(04)7753918</t>
  </si>
  <si>
    <t xml:space="preserve">黃彥學</t>
  </si>
  <si>
    <t xml:space="preserve">王意茹</t>
  </si>
  <si>
    <t xml:space="preserve">私立智慧美語短期補習班</t>
  </si>
  <si>
    <r>
      <rPr>
        <sz val="10"/>
        <color rgb="FF1F2A28"/>
        <rFont val="WenQuanYi Zen Hei"/>
        <family val="2"/>
      </rPr>
      <t xml:space="preserve">鹿港鎮安順街</t>
    </r>
    <r>
      <rPr>
        <sz val="10"/>
        <color rgb="FF1F2A28"/>
        <rFont val="Arial"/>
        <family val="0"/>
        <charset val="1"/>
      </rPr>
      <t xml:space="preserve">54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</si>
  <si>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(04)7754288</t>
  </si>
  <si>
    <t xml:space="preserve">2004-11-02</t>
  </si>
  <si>
    <t xml:space="preserve">黃銘勇</t>
  </si>
  <si>
    <r>
      <rPr>
        <sz val="10"/>
        <color rgb="FF1F2A28"/>
        <rFont val="WenQuanYi Zen Hei"/>
        <family val="2"/>
      </rPr>
      <t xml:space="preserve">鹿港鎮頂草路四段</t>
    </r>
    <r>
      <rPr>
        <sz val="10"/>
        <color rgb="FF1F2A28"/>
        <rFont val="Arial"/>
        <family val="0"/>
        <charset val="1"/>
      </rPr>
      <t xml:space="preserve">410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</si>
  <si>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(04)7719898</t>
  </si>
  <si>
    <t xml:space="preserve">2010-11-10</t>
  </si>
  <si>
    <t xml:space="preserve">葉美華</t>
  </si>
  <si>
    <t xml:space="preserve">許慶霖</t>
  </si>
  <si>
    <r>
      <rPr>
        <sz val="10"/>
        <color rgb="FF1F2A28"/>
        <rFont val="WenQuanYi Zen Hei"/>
        <family val="2"/>
      </rPr>
      <t xml:space="preserve">鹿港鎮永靖路</t>
    </r>
    <r>
      <rPr>
        <sz val="10"/>
        <color rgb="FF1F2A28"/>
        <rFont val="Arial"/>
        <family val="0"/>
        <charset val="1"/>
      </rPr>
      <t xml:space="preserve">223.225</t>
    </r>
    <r>
      <rPr>
        <sz val="10"/>
        <color rgb="FF1F2A28"/>
        <rFont val="WenQuanYi Zen Hei"/>
        <family val="2"/>
      </rPr>
      <t xml:space="preserve">號</t>
    </r>
  </si>
  <si>
    <t xml:space="preserve">(04)7756050</t>
  </si>
  <si>
    <t xml:space="preserve">jessie7752828@gmail.com</t>
  </si>
  <si>
    <t xml:space="preserve">2004-05-18</t>
  </si>
  <si>
    <t xml:space="preserve">陳明娟</t>
  </si>
  <si>
    <t xml:space="preserve">私立語果美語短期補習班</t>
  </si>
  <si>
    <r>
      <rPr>
        <sz val="10"/>
        <color rgb="FF1F2A28"/>
        <rFont val="WenQuanYi Zen Hei"/>
        <family val="2"/>
      </rPr>
      <t xml:space="preserve">鹿港鎮頂番里頂草路一段</t>
    </r>
    <r>
      <rPr>
        <sz val="10"/>
        <color rgb="FF1F2A28"/>
        <rFont val="Arial"/>
        <family val="0"/>
        <charset val="1"/>
      </rPr>
      <t xml:space="preserve">82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</si>
  <si>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(04)7715595</t>
  </si>
  <si>
    <t xml:space="preserve">linguaABC2019@gmail.com</t>
  </si>
  <si>
    <t xml:space="preserve">蘇淑娟</t>
  </si>
  <si>
    <t xml:space="preserve">長寶國際股份有限公司附設彰化縣私立愛達英語短期補習班</t>
  </si>
  <si>
    <r>
      <rPr>
        <sz val="10"/>
        <color rgb="FF1F2A28"/>
        <rFont val="WenQuanYi Zen Hei"/>
        <family val="2"/>
      </rPr>
      <t xml:space="preserve">鹿港鎮長安路</t>
    </r>
    <r>
      <rPr>
        <sz val="10"/>
        <color rgb="FF1F2A28"/>
        <rFont val="Arial"/>
        <family val="0"/>
        <charset val="1"/>
      </rPr>
      <t xml:space="preserve">167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</si>
  <si>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(04)7777471</t>
  </si>
  <si>
    <t xml:space="preserve">2013-04-26</t>
  </si>
  <si>
    <t xml:space="preserve">黃雅姍</t>
  </si>
  <si>
    <t xml:space="preserve">南投縣</t>
  </si>
  <si>
    <t xml:space="preserve">南投市</t>
  </si>
  <si>
    <t xml:space="preserve">南投縣私立伊勵特美語短期補習班</t>
  </si>
  <si>
    <r>
      <rPr>
        <sz val="10"/>
        <color rgb="FF1F2A28"/>
        <rFont val="WenQuanYi Zen Hei"/>
        <family val="2"/>
      </rPr>
      <t xml:space="preserve">南投市南陽路</t>
    </r>
    <r>
      <rPr>
        <sz val="10"/>
        <color rgb="FF1F2A28"/>
        <rFont val="Arial"/>
        <family val="0"/>
        <charset val="1"/>
      </rPr>
      <t xml:space="preserve">177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</si>
  <si>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(049)2209097</t>
  </si>
  <si>
    <t xml:space="preserve">cba7642@yahoo.com.tw</t>
  </si>
  <si>
    <t xml:space="preserve">2006-12-19</t>
  </si>
  <si>
    <t xml:space="preserve">張玲玲</t>
  </si>
  <si>
    <t xml:space="preserve">南投縣私立多加英語會話作文短期補習班</t>
  </si>
  <si>
    <r>
      <rPr>
        <sz val="10"/>
        <color rgb="FF1F2A28"/>
        <rFont val="WenQuanYi Zen Hei"/>
        <family val="2"/>
      </rPr>
      <t xml:space="preserve">南投市復興路</t>
    </r>
    <r>
      <rPr>
        <sz val="10"/>
        <color rgb="FF1F2A28"/>
        <rFont val="Arial"/>
        <family val="0"/>
        <charset val="1"/>
      </rPr>
      <t xml:space="preserve">101</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</si>
  <si>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049-2225366</t>
  </si>
  <si>
    <t xml:space="preserve">nicky0928997906@gmail.com</t>
  </si>
  <si>
    <t xml:space="preserve">英文、英語會話</t>
  </si>
  <si>
    <t xml:space="preserve">1996-01-15</t>
  </si>
  <si>
    <t xml:space="preserve">吳國肇</t>
  </si>
  <si>
    <t xml:space="preserve">南投縣私立愛心心算美語短期補習班</t>
  </si>
  <si>
    <r>
      <rPr>
        <sz val="10"/>
        <color rgb="FF1F2A28"/>
        <rFont val="WenQuanYi Zen Hei"/>
        <family val="2"/>
      </rPr>
      <t xml:space="preserve">南投市光興街</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</si>
  <si>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049-2325354</t>
  </si>
  <si>
    <t xml:space="preserve">df2003tw@hotmail.com</t>
  </si>
  <si>
    <t xml:space="preserve">簡朝日</t>
  </si>
  <si>
    <t xml:space="preserve">蔡惠如</t>
  </si>
  <si>
    <t xml:space="preserve">南投縣私立摩根美語文理短期補習班</t>
  </si>
  <si>
    <r>
      <rPr>
        <sz val="10"/>
        <color rgb="FF1F2A28"/>
        <rFont val="WenQuanYi Zen Hei"/>
        <family val="2"/>
      </rPr>
      <t xml:space="preserve">南投市民族路</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</si>
  <si>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(049)2248007</t>
  </si>
  <si>
    <t xml:space="preserve">fattailsheep@gmail.com</t>
  </si>
  <si>
    <t xml:space="preserve">黃惠玲</t>
  </si>
  <si>
    <t xml:space="preserve">南投縣私立正北文理短期補習班</t>
  </si>
  <si>
    <r>
      <rPr>
        <sz val="10"/>
        <color rgb="FF1F2A28"/>
        <rFont val="WenQuanYi Zen Hei"/>
        <family val="2"/>
      </rPr>
      <t xml:space="preserve">南投市文化路</t>
    </r>
    <r>
      <rPr>
        <sz val="10"/>
        <color rgb="FF1F2A28"/>
        <rFont val="Arial"/>
        <family val="0"/>
        <charset val="1"/>
      </rPr>
      <t xml:space="preserve">370</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</si>
  <si>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(049)2223188</t>
  </si>
  <si>
    <t xml:space="preserve">truenorthesl97@gmail.com</t>
  </si>
  <si>
    <t xml:space="preserve">1999-02-19</t>
  </si>
  <si>
    <t xml:space="preserve">簡玲君</t>
  </si>
  <si>
    <t xml:space="preserve">南投縣私立溫哥華美語文理技藝短期補習班</t>
  </si>
  <si>
    <r>
      <rPr>
        <sz val="10"/>
        <color rgb="FF1F2A28"/>
        <rFont val="WenQuanYi Zen Hei"/>
        <family val="2"/>
      </rPr>
      <t xml:space="preserve">南投市南陽路</t>
    </r>
    <r>
      <rPr>
        <sz val="10"/>
        <color rgb="FF1F2A28"/>
        <rFont val="Arial"/>
        <family val="0"/>
        <charset val="1"/>
      </rPr>
      <t xml:space="preserve">175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</si>
  <si>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(049)2241173</t>
  </si>
  <si>
    <t xml:space="preserve">hsiaominfang@gmail.com</t>
  </si>
  <si>
    <t xml:space="preserve">美語、英文、英語</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</si>
  <si>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瑜珈類</t>
    </r>
  </si>
  <si>
    <t xml:space="preserve">2025-04-11</t>
  </si>
  <si>
    <t xml:space="preserve">蕭閔方</t>
  </si>
  <si>
    <t xml:space="preserve">南投縣私立華盛頓美語短期補習班</t>
  </si>
  <si>
    <r>
      <rPr>
        <sz val="10"/>
        <color rgb="FF1F2A28"/>
        <rFont val="WenQuanYi Zen Hei"/>
        <family val="2"/>
      </rPr>
      <t xml:space="preserve">南投市南崗二路</t>
    </r>
    <r>
      <rPr>
        <sz val="10"/>
        <color rgb="FF1F2A28"/>
        <rFont val="Arial"/>
        <family val="0"/>
        <charset val="1"/>
      </rPr>
      <t xml:space="preserve">377</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</si>
  <si>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(049)2205491</t>
  </si>
  <si>
    <t xml:space="preserve">tammy00095@gmail.com</t>
  </si>
  <si>
    <t xml:space="preserve">蘇心妍</t>
  </si>
  <si>
    <t xml:space="preserve">南投縣私立詹姆士的家文理短期補習班</t>
  </si>
  <si>
    <r>
      <rPr>
        <sz val="10"/>
        <color rgb="FF1F2A28"/>
        <rFont val="WenQuanYi Zen Hei"/>
        <family val="2"/>
      </rPr>
      <t xml:space="preserve">南投市中興新村仁德路</t>
    </r>
    <r>
      <rPr>
        <sz val="10"/>
        <color rgb="FF1F2A28"/>
        <rFont val="Arial"/>
        <family val="0"/>
        <charset val="1"/>
      </rPr>
      <t xml:space="preserve">77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</si>
  <si>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(049)2350178</t>
  </si>
  <si>
    <t xml:space="preserve">jameshome.english@gmail.com</t>
  </si>
  <si>
    <t xml:space="preserve">2007-06-11</t>
  </si>
  <si>
    <t xml:space="preserve">黃玉芬</t>
  </si>
  <si>
    <t xml:space="preserve">埔里鎮</t>
  </si>
  <si>
    <r>
      <rPr>
        <sz val="10"/>
        <color rgb="FF1F2A28"/>
        <rFont val="WenQuanYi Zen Hei"/>
        <family val="2"/>
      </rPr>
      <t xml:space="preserve">南投縣私立</t>
    </r>
    <r>
      <rPr>
        <sz val="10"/>
        <color rgb="FF1F2A28"/>
        <rFont val="Arial"/>
        <family val="0"/>
        <charset val="1"/>
      </rPr>
      <t xml:space="preserve">E-Z</t>
    </r>
    <r>
      <rPr>
        <sz val="10"/>
        <color rgb="FF1F2A28"/>
        <rFont val="WenQuanYi Zen Hei"/>
        <family val="2"/>
      </rPr>
      <t xml:space="preserve">語文短期補習班</t>
    </r>
  </si>
  <si>
    <r>
      <rPr>
        <sz val="10"/>
        <color rgb="FF1F2A28"/>
        <rFont val="WenQuanYi Zen Hei"/>
        <family val="2"/>
      </rPr>
      <t xml:space="preserve">埔里鎮民生路</t>
    </r>
    <r>
      <rPr>
        <sz val="10"/>
        <color rgb="FF1F2A28"/>
        <rFont val="Arial"/>
        <family val="0"/>
        <charset val="1"/>
      </rPr>
      <t xml:space="preserve">77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</si>
  <si>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(049)2990082</t>
  </si>
  <si>
    <t xml:space="preserve">ez.inst@msa.hinet.net</t>
  </si>
  <si>
    <t xml:space="preserve">1997-06-17</t>
  </si>
  <si>
    <t xml:space="preserve">謝素珍</t>
  </si>
  <si>
    <t xml:space="preserve">南投縣私立余老師美語短期補習班</t>
  </si>
  <si>
    <r>
      <rPr>
        <sz val="10"/>
        <color rgb="FF1F2A28"/>
        <rFont val="WenQuanYi Zen Hei"/>
        <family val="2"/>
      </rPr>
      <t xml:space="preserve">埔里鎮北平街</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</si>
  <si>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(049)2982677</t>
  </si>
  <si>
    <t xml:space="preserve">2004-04-09</t>
  </si>
  <si>
    <t xml:space="preserve">余玟葵</t>
  </si>
  <si>
    <t xml:space="preserve">鄭欣怡</t>
  </si>
  <si>
    <t xml:space="preserve">南投縣私立喬帝美語短期補習班</t>
  </si>
  <si>
    <r>
      <rPr>
        <sz val="10"/>
        <color rgb="FF1F2A28"/>
        <rFont val="WenQuanYi Zen Hei"/>
        <family val="2"/>
      </rPr>
      <t xml:space="preserve">埔里鎮北安里同春二街</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</si>
  <si>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(049)2996028</t>
  </si>
  <si>
    <t xml:space="preserve">i-23@yahoo.com.tw</t>
  </si>
  <si>
    <t xml:space="preserve">曾莉菁</t>
  </si>
  <si>
    <t xml:space="preserve">南投縣私立大熊英文文理短期補習班</t>
  </si>
  <si>
    <r>
      <rPr>
        <sz val="10"/>
        <color rgb="FF1F2A28"/>
        <rFont val="WenQuanYi Zen Hei"/>
        <family val="2"/>
      </rPr>
      <t xml:space="preserve">埔里鎮北平街</t>
    </r>
    <r>
      <rPr>
        <sz val="10"/>
        <color rgb="FF1F2A28"/>
        <rFont val="Arial"/>
        <family val="0"/>
        <charset val="1"/>
      </rPr>
      <t xml:space="preserve">188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</si>
  <si>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0988-393638</t>
  </si>
  <si>
    <t xml:space="preserve">chiling_yoga@yahoo.com</t>
  </si>
  <si>
    <t xml:space="preserve">2021-09-14</t>
  </si>
  <si>
    <t xml:space="preserve">黃芊惠</t>
  </si>
  <si>
    <t xml:space="preserve">南投縣私立好朋友美語短期補習班</t>
  </si>
  <si>
    <r>
      <rPr>
        <sz val="10"/>
        <color rgb="FF1F2A28"/>
        <rFont val="WenQuanYi Zen Hei"/>
        <family val="2"/>
      </rPr>
      <t xml:space="preserve">埔里鎮北環路</t>
    </r>
    <r>
      <rPr>
        <sz val="10"/>
        <color rgb="FF1F2A28"/>
        <rFont val="Arial"/>
        <family val="0"/>
        <charset val="1"/>
      </rPr>
      <t xml:space="preserve">210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212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</si>
  <si>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(049)2900965</t>
  </si>
  <si>
    <t xml:space="preserve">chuankuai32820@gmail.com</t>
  </si>
  <si>
    <t xml:space="preserve">1997-10-13</t>
  </si>
  <si>
    <t xml:space="preserve">王愛樹</t>
  </si>
  <si>
    <t xml:space="preserve">南投縣私立立喬文理短期補習班</t>
  </si>
  <si>
    <r>
      <rPr>
        <sz val="10"/>
        <color rgb="FF1F2A28"/>
        <rFont val="WenQuanYi Zen Hei"/>
        <family val="2"/>
      </rPr>
      <t xml:space="preserve">埔里鎮杷城里</t>
    </r>
    <r>
      <rPr>
        <sz val="10"/>
        <color rgb="FF1F2A28"/>
        <rFont val="Arial"/>
        <family val="0"/>
        <charset val="1"/>
      </rPr>
      <t xml:space="preserve">2</t>
    </r>
    <r>
      <rPr>
        <sz val="10"/>
        <color rgb="FF1F2A28"/>
        <rFont val="WenQuanYi Zen Hei"/>
        <family val="2"/>
      </rPr>
      <t xml:space="preserve">鄰南興街</t>
    </r>
    <r>
      <rPr>
        <sz val="10"/>
        <color rgb="FF1F2A28"/>
        <rFont val="Arial"/>
        <family val="0"/>
        <charset val="1"/>
      </rPr>
      <t xml:space="preserve">9-15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</si>
  <si>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(049)2992178</t>
  </si>
  <si>
    <t xml:space="preserve">johnny2324@yahoo.com.tw</t>
  </si>
  <si>
    <t xml:space="preserve">余國平</t>
  </si>
  <si>
    <t xml:space="preserve">南投縣私立美奇文理短期補習班</t>
  </si>
  <si>
    <r>
      <rPr>
        <sz val="10"/>
        <color rgb="FF1F2A28"/>
        <rFont val="WenQuanYi Zen Hei"/>
        <family val="2"/>
      </rPr>
      <t xml:space="preserve">埔里鎮北安里明德路</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</si>
  <si>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(049)2991099</t>
  </si>
  <si>
    <t xml:space="preserve">celenayu@yahoo.com.tw</t>
  </si>
  <si>
    <t xml:space="preserve">2000-12-26</t>
  </si>
  <si>
    <t xml:space="preserve">游淑惠</t>
  </si>
  <si>
    <t xml:space="preserve">南投縣私立美語家美語短期補習班</t>
  </si>
  <si>
    <r>
      <rPr>
        <sz val="10"/>
        <color rgb="FF1F2A28"/>
        <rFont val="WenQuanYi Zen Hei"/>
        <family val="2"/>
      </rPr>
      <t xml:space="preserve">埔里鎮泰安里民族三街</t>
    </r>
    <r>
      <rPr>
        <sz val="10"/>
        <color rgb="FF1F2A28"/>
        <rFont val="Arial"/>
        <family val="0"/>
        <charset val="1"/>
      </rPr>
      <t xml:space="preserve">84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</si>
  <si>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(049)2995097</t>
  </si>
  <si>
    <t xml:space="preserve">tpcouple@ms26.hinet.net</t>
  </si>
  <si>
    <t xml:space="preserve">全民英檢</t>
  </si>
  <si>
    <t xml:space="preserve">湯朝棟</t>
  </si>
  <si>
    <t xml:space="preserve">南投縣私立英中語文短期補習班</t>
  </si>
  <si>
    <r>
      <rPr>
        <sz val="10"/>
        <color rgb="FF1F2A28"/>
        <rFont val="WenQuanYi Zen Hei"/>
        <family val="2"/>
      </rPr>
      <t xml:space="preserve">埔里鎮中山路三段</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</si>
  <si>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(049)2904512</t>
  </si>
  <si>
    <t xml:space="preserve">林欣儀</t>
  </si>
  <si>
    <t xml:space="preserve">鎮大教育股份有限公司附設南投縣私立慕師文理外語短期補習班</t>
  </si>
  <si>
    <r>
      <rPr>
        <sz val="10"/>
        <color rgb="FF1F2A28"/>
        <rFont val="WenQuanYi Zen Hei"/>
        <family val="2"/>
      </rPr>
      <t xml:space="preserve">埔里鎮忠孝路</t>
    </r>
    <r>
      <rPr>
        <sz val="10"/>
        <color rgb="FF1F2A28"/>
        <rFont val="Arial"/>
        <family val="0"/>
        <charset val="1"/>
      </rPr>
      <t xml:space="preserve">204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</si>
  <si>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049-2999280</t>
  </si>
  <si>
    <t xml:space="preserve">tzuhsin1113@yahoo.com</t>
  </si>
  <si>
    <t xml:space="preserve">2019-09-30</t>
  </si>
  <si>
    <t xml:space="preserve">李楷淳</t>
  </si>
  <si>
    <t xml:space="preserve">莊淑慧</t>
  </si>
  <si>
    <t xml:space="preserve">水里鄉</t>
  </si>
  <si>
    <t xml:space="preserve">南投縣私立奕升外語短期補習班</t>
  </si>
  <si>
    <r>
      <rPr>
        <sz val="10"/>
        <color rgb="FF1F2A28"/>
        <rFont val="WenQuanYi Zen Hei"/>
        <family val="2"/>
      </rPr>
      <t xml:space="preserve">水里鄉民族路</t>
    </r>
    <r>
      <rPr>
        <sz val="10"/>
        <color rgb="FF1F2A28"/>
        <rFont val="Arial"/>
        <family val="0"/>
        <charset val="1"/>
      </rPr>
      <t xml:space="preserve">123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</si>
  <si>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(049)2772652</t>
  </si>
  <si>
    <t xml:space="preserve">2007-01-04</t>
  </si>
  <si>
    <t xml:space="preserve">易采蓁</t>
  </si>
  <si>
    <t xml:space="preserve">南投縣私立百分百文理短期補習班</t>
  </si>
  <si>
    <r>
      <rPr>
        <sz val="10"/>
        <color rgb="FF1F2A28"/>
        <rFont val="WenQuanYi Zen Hei"/>
        <family val="2"/>
      </rPr>
      <t xml:space="preserve">水里鄉城中村城福街</t>
    </r>
    <r>
      <rPr>
        <sz val="10"/>
        <color rgb="FF1F2A28"/>
        <rFont val="Arial"/>
        <family val="0"/>
        <charset val="1"/>
      </rPr>
      <t xml:space="preserve">57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</si>
  <si>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(049)2778918</t>
  </si>
  <si>
    <t xml:space="preserve">amc8918@yahoo.com.tw</t>
  </si>
  <si>
    <t xml:space="preserve">張維庭</t>
  </si>
  <si>
    <t xml:space="preserve">竹山鎮</t>
  </si>
  <si>
    <t xml:space="preserve">南投縣私立向日葵文理短期補習班</t>
  </si>
  <si>
    <r>
      <rPr>
        <sz val="10"/>
        <color rgb="FF1F2A28"/>
        <rFont val="WenQuanYi Zen Hei"/>
        <family val="2"/>
      </rPr>
      <t xml:space="preserve">竹山鎮中山里自強路</t>
    </r>
    <r>
      <rPr>
        <sz val="10"/>
        <color rgb="FF1F2A28"/>
        <rFont val="Arial"/>
        <family val="0"/>
        <charset val="1"/>
      </rPr>
      <t xml:space="preserve">83</t>
    </r>
    <r>
      <rPr>
        <sz val="10"/>
        <color rgb="FF1F2A28"/>
        <rFont val="WenQuanYi Zen Hei"/>
        <family val="2"/>
      </rPr>
      <t xml:space="preserve">之</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</si>
  <si>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(049)2635188</t>
  </si>
  <si>
    <t xml:space="preserve">sunflower2635188@yahoo.com.tw</t>
  </si>
  <si>
    <t xml:space="preserve">2007-07-12</t>
  </si>
  <si>
    <t xml:space="preserve">陳鈺玫</t>
  </si>
  <si>
    <t xml:space="preserve">劉相諏</t>
  </si>
  <si>
    <t xml:space="preserve">南投縣私立培根短期補習班</t>
  </si>
  <si>
    <r>
      <rPr>
        <sz val="10"/>
        <color rgb="FF1F2A28"/>
        <rFont val="WenQuanYi Zen Hei"/>
        <family val="2"/>
      </rPr>
      <t xml:space="preserve">竹山鎮大同街</t>
    </r>
    <r>
      <rPr>
        <sz val="10"/>
        <color rgb="FF1F2A28"/>
        <rFont val="Arial"/>
        <family val="0"/>
        <charset val="1"/>
      </rPr>
      <t xml:space="preserve">191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</si>
  <si>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(049)2660687</t>
  </si>
  <si>
    <t xml:space="preserve">tracey660687@yahoo.com.tw</t>
  </si>
  <si>
    <t xml:space="preserve">林翠綉</t>
  </si>
  <si>
    <t xml:space="preserve">南投縣私立智達文理短期補習班</t>
  </si>
  <si>
    <r>
      <rPr>
        <sz val="10"/>
        <color rgb="FF1F2A28"/>
        <rFont val="WenQuanYi Zen Hei"/>
        <family val="2"/>
      </rPr>
      <t xml:space="preserve">竹山鎮中正巷</t>
    </r>
    <r>
      <rPr>
        <sz val="10"/>
        <color rgb="FF1F2A28"/>
        <rFont val="Arial"/>
        <family val="0"/>
        <charset val="1"/>
      </rPr>
      <t xml:space="preserve">27-143</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</si>
  <si>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049-2651061</t>
  </si>
  <si>
    <t xml:space="preserve">2007-04-09</t>
  </si>
  <si>
    <t xml:space="preserve">劉相識</t>
  </si>
  <si>
    <t xml:space="preserve">南投縣私立獅子王美語短期補習班</t>
  </si>
  <si>
    <r>
      <rPr>
        <sz val="10"/>
        <color rgb="FF1F2A28"/>
        <rFont val="WenQuanYi Zen Hei"/>
        <family val="2"/>
      </rPr>
      <t xml:space="preserve">竹山鎮祖師街</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</si>
  <si>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(049)2657748</t>
  </si>
  <si>
    <t xml:space="preserve">bc067@joy.com.tw</t>
  </si>
  <si>
    <t xml:space="preserve">夏耀東</t>
  </si>
  <si>
    <t xml:space="preserve">張美玲</t>
  </si>
  <si>
    <t xml:space="preserve">草屯鎮</t>
  </si>
  <si>
    <r>
      <rPr>
        <sz val="10"/>
        <color rgb="FF1F2A28"/>
        <rFont val="WenQuanYi Zen Hei"/>
        <family val="2"/>
      </rPr>
      <t xml:space="preserve">南投縣基督教青年會附設私立外語</t>
    </r>
    <r>
      <rPr>
        <sz val="10"/>
        <color rgb="FF1F2A28"/>
        <rFont val="Arial"/>
        <family val="0"/>
        <charset val="1"/>
      </rPr>
      <t xml:space="preserve">(</t>
    </r>
    <r>
      <rPr>
        <sz val="10"/>
        <color rgb="FF1F2A28"/>
        <rFont val="WenQuanYi Zen Hei"/>
        <family val="2"/>
      </rPr>
      <t xml:space="preserve">英日</t>
    </r>
    <r>
      <rPr>
        <sz val="10"/>
        <color rgb="FF1F2A28"/>
        <rFont val="Arial"/>
        <family val="0"/>
        <charset val="1"/>
      </rPr>
      <t xml:space="preserve">)</t>
    </r>
    <r>
      <rPr>
        <sz val="10"/>
        <color rgb="FF1F2A28"/>
        <rFont val="WenQuanYi Zen Hei"/>
        <family val="2"/>
      </rPr>
      <t xml:space="preserve">短期補習班</t>
    </r>
  </si>
  <si>
    <r>
      <rPr>
        <sz val="10"/>
        <color rgb="FF1F2A28"/>
        <rFont val="WenQuanYi Zen Hei"/>
        <family val="2"/>
      </rPr>
      <t xml:space="preserve">草屯鎮炎峰里炎峰街</t>
    </r>
    <r>
      <rPr>
        <sz val="10"/>
        <color rgb="FF1F2A28"/>
        <rFont val="Arial"/>
        <family val="0"/>
        <charset val="1"/>
      </rPr>
      <t xml:space="preserve">2-4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</si>
  <si>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049-2326196</t>
  </si>
  <si>
    <t xml:space="preserve">ymca_center@nantou-ymca.org.tw</t>
  </si>
  <si>
    <t xml:space="preserve">2000-05-09</t>
  </si>
  <si>
    <t xml:space="preserve">陳哲男</t>
  </si>
  <si>
    <t xml:space="preserve">朱德華</t>
  </si>
  <si>
    <t xml:space="preserve">南投縣私立佳音英語會話短期補習班</t>
  </si>
  <si>
    <r>
      <rPr>
        <sz val="10"/>
        <color rgb="FF1F2A28"/>
        <rFont val="WenQuanYi Zen Hei"/>
        <family val="2"/>
      </rPr>
      <t xml:space="preserve">草屯鎮虎山路</t>
    </r>
    <r>
      <rPr>
        <sz val="10"/>
        <color rgb="FF1F2A28"/>
        <rFont val="Arial"/>
        <family val="0"/>
        <charset val="1"/>
      </rPr>
      <t xml:space="preserve">738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</si>
  <si>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(049)2320945</t>
  </si>
  <si>
    <t xml:space="preserve">BC041@joy.com.tw</t>
  </si>
  <si>
    <t xml:space="preserve">2001-04-20</t>
  </si>
  <si>
    <t xml:space="preserve">紀欣宜</t>
  </si>
  <si>
    <t xml:space="preserve">鄭舜之</t>
  </si>
  <si>
    <t xml:space="preserve">南投縣私立優蓓仕英語會話短期補習班</t>
  </si>
  <si>
    <r>
      <rPr>
        <sz val="10"/>
        <color rgb="FF1F2A28"/>
        <rFont val="WenQuanYi Zen Hei"/>
        <family val="2"/>
      </rPr>
      <t xml:space="preserve">草屯鎮太平路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82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84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106</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弄</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</si>
  <si>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(049)2355686</t>
  </si>
  <si>
    <t xml:space="preserve">youbest2300567@gmail.com</t>
  </si>
  <si>
    <t xml:space="preserve">1997-01-24</t>
  </si>
  <si>
    <t xml:space="preserve">王婉媚</t>
  </si>
  <si>
    <t xml:space="preserve">韋安琪</t>
  </si>
  <si>
    <t xml:space="preserve">南投縣私立兒培禮文理短期補習班</t>
  </si>
  <si>
    <r>
      <rPr>
        <sz val="10"/>
        <color rgb="FF1F2A28"/>
        <rFont val="WenQuanYi Zen Hei"/>
        <family val="2"/>
      </rPr>
      <t xml:space="preserve">草屯鎮中興路</t>
    </r>
    <r>
      <rPr>
        <sz val="10"/>
        <color rgb="FF1F2A28"/>
        <rFont val="Arial"/>
        <family val="0"/>
        <charset val="1"/>
      </rPr>
      <t xml:space="preserve">128</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r>
      <rPr>
        <sz val="10"/>
        <color rgb="FF1F2A28"/>
        <rFont val="Arial"/>
        <family val="0"/>
        <charset val="1"/>
      </rPr>
      <t xml:space="preserve">130</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</si>
  <si>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049-2322520</t>
  </si>
  <si>
    <t xml:space="preserve">gogo.cynthia@msa.hinet.net</t>
  </si>
  <si>
    <t xml:space="preserve">2007-11-13</t>
  </si>
  <si>
    <t xml:space="preserve">張世乾</t>
  </si>
  <si>
    <t xml:space="preserve">南投縣私立博克萊圓環校文理短期補習班</t>
  </si>
  <si>
    <r>
      <rPr>
        <sz val="10"/>
        <color rgb="FF1F2A28"/>
        <rFont val="WenQuanYi Zen Hei"/>
        <family val="2"/>
      </rPr>
      <t xml:space="preserve">草屯鎮炎峰街</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</si>
  <si>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0966-838929</t>
  </si>
  <si>
    <t xml:space="preserve">imant0529@gmail.com</t>
  </si>
  <si>
    <t xml:space="preserve">林怡如</t>
  </si>
  <si>
    <t xml:space="preserve">南投縣私立彼得美語文理技藝短期補習班</t>
  </si>
  <si>
    <r>
      <rPr>
        <sz val="10"/>
        <color rgb="FF1F2A28"/>
        <rFont val="WenQuanYi Zen Hei"/>
        <family val="2"/>
      </rPr>
      <t xml:space="preserve">草屯鎮玉屏路</t>
    </r>
    <r>
      <rPr>
        <sz val="10"/>
        <color rgb="FF1F2A28"/>
        <rFont val="Arial"/>
        <family val="0"/>
        <charset val="1"/>
      </rPr>
      <t xml:space="preserve">219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219</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221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</si>
  <si>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(049)2316716</t>
  </si>
  <si>
    <t xml:space="preserve">a550300@yahoo.com.tw</t>
  </si>
  <si>
    <t xml:space="preserve">周雅惠</t>
  </si>
  <si>
    <t xml:space="preserve">王政和</t>
  </si>
  <si>
    <t xml:space="preserve">南投縣私立快樂樹英語文理短期補習班</t>
  </si>
  <si>
    <r>
      <rPr>
        <sz val="10"/>
        <color rgb="FF1F2A28"/>
        <rFont val="WenQuanYi Zen Hei"/>
        <family val="2"/>
      </rPr>
      <t xml:space="preserve">草屯鎮中山街</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</si>
  <si>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(049)2303225</t>
  </si>
  <si>
    <t xml:space="preserve">caotun.happytree@gmail.com</t>
  </si>
  <si>
    <t xml:space="preserve">2015-10-30</t>
  </si>
  <si>
    <t xml:space="preserve">鄭淑錚</t>
  </si>
  <si>
    <t xml:space="preserve">南投縣私立明澤美語短期補習班</t>
  </si>
  <si>
    <r>
      <rPr>
        <sz val="10"/>
        <color rgb="FF1F2A28"/>
        <rFont val="WenQuanYi Zen Hei"/>
        <family val="2"/>
      </rPr>
      <t xml:space="preserve">草屯鎮炎峰里明賢街</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62-1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</si>
  <si>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(049)2365622</t>
  </si>
  <si>
    <t xml:space="preserve">a0927798389@gmail.com</t>
  </si>
  <si>
    <t xml:space="preserve">2000-08-22</t>
  </si>
  <si>
    <t xml:space="preserve">張貞君</t>
  </si>
  <si>
    <t xml:space="preserve">南投縣私立梅根尼美語短期補習班</t>
  </si>
  <si>
    <r>
      <rPr>
        <sz val="10"/>
        <color rgb="FF1F2A28"/>
        <rFont val="WenQuanYi Zen Hei"/>
        <family val="2"/>
      </rPr>
      <t xml:space="preserve">草屯鎮新生路</t>
    </r>
    <r>
      <rPr>
        <sz val="10"/>
        <color rgb="FF1F2A28"/>
        <rFont val="Arial"/>
        <family val="0"/>
        <charset val="1"/>
      </rPr>
      <t xml:space="preserve">410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</si>
  <si>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(049)2317373</t>
  </si>
  <si>
    <t xml:space="preserve">meganyelc@gmail.com</t>
  </si>
  <si>
    <t xml:space="preserve">崔曼茜</t>
  </si>
  <si>
    <t xml:space="preserve">南投縣私立米娜美語文理短期補習班</t>
  </si>
  <si>
    <r>
      <rPr>
        <sz val="10"/>
        <color rgb="FF1F2A28"/>
        <rFont val="WenQuanYi Zen Hei"/>
        <family val="2"/>
      </rPr>
      <t xml:space="preserve">草屯鎮虎山路</t>
    </r>
    <r>
      <rPr>
        <sz val="10"/>
        <color rgb="FF1F2A28"/>
        <rFont val="Arial"/>
        <family val="0"/>
        <charset val="1"/>
      </rPr>
      <t xml:space="preserve">662</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</si>
  <si>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(049)2327968</t>
  </si>
  <si>
    <t xml:space="preserve">minawilliam0823@yahoo.com.tw</t>
  </si>
  <si>
    <t xml:space="preserve">顏麗莙</t>
  </si>
  <si>
    <t xml:space="preserve">南投縣私立紐約英文短期補習班</t>
  </si>
  <si>
    <r>
      <rPr>
        <sz val="10"/>
        <color rgb="FF1F2A28"/>
        <rFont val="WenQuanYi Zen Hei"/>
        <family val="2"/>
      </rPr>
      <t xml:space="preserve">草屯鎮中興路</t>
    </r>
    <r>
      <rPr>
        <sz val="10"/>
        <color rgb="FF1F2A28"/>
        <rFont val="Arial"/>
        <family val="0"/>
        <charset val="1"/>
      </rPr>
      <t xml:space="preserve">247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</si>
  <si>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0968305516</t>
  </si>
  <si>
    <t xml:space="preserve">amber0919024@yahoo.com.tw</t>
  </si>
  <si>
    <t xml:space="preserve">英文、兒童美語</t>
  </si>
  <si>
    <t xml:space="preserve">2025-07-14</t>
  </si>
  <si>
    <t xml:space="preserve">廖冠茗</t>
  </si>
  <si>
    <t xml:space="preserve">廖于婷</t>
  </si>
  <si>
    <t xml:space="preserve">南投縣私立頂尖美語文理短期補習班</t>
  </si>
  <si>
    <r>
      <rPr>
        <sz val="10"/>
        <color rgb="FF1F2A28"/>
        <rFont val="WenQuanYi Zen Hei"/>
        <family val="2"/>
      </rPr>
      <t xml:space="preserve">草屯鎮和興二街</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</si>
  <si>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(049)2311267</t>
  </si>
  <si>
    <t xml:space="preserve">lavenyen520@gmail.com</t>
  </si>
  <si>
    <t xml:space="preserve">2010-05-20</t>
  </si>
  <si>
    <t xml:space="preserve">顏麗芸</t>
  </si>
  <si>
    <t xml:space="preserve">南投縣私立高老師文理短期補習班</t>
  </si>
  <si>
    <r>
      <rPr>
        <sz val="10"/>
        <color rgb="FF1F2A28"/>
        <rFont val="WenQuanYi Zen Hei"/>
        <family val="2"/>
      </rPr>
      <t xml:space="preserve">草屯鎮虎山路</t>
    </r>
    <r>
      <rPr>
        <sz val="10"/>
        <color rgb="FF1F2A28"/>
        <rFont val="Arial"/>
        <family val="0"/>
        <charset val="1"/>
      </rPr>
      <t xml:space="preserve">715</t>
    </r>
    <r>
      <rPr>
        <sz val="10"/>
        <color rgb="FF1F2A28"/>
        <rFont val="WenQuanYi Zen Hei"/>
        <family val="2"/>
      </rPr>
      <t xml:space="preserve">巷</t>
    </r>
    <r>
      <rPr>
        <sz val="10"/>
        <color rgb="FF1F2A28"/>
        <rFont val="Arial"/>
        <family val="0"/>
        <charset val="1"/>
      </rPr>
      <t xml:space="preserve">59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</si>
  <si>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(049)2318177</t>
  </si>
  <si>
    <t xml:space="preserve">anniekao733@gmail.com</t>
  </si>
  <si>
    <t xml:space="preserve">高怡妮</t>
  </si>
  <si>
    <t xml:space="preserve">私立救國團南投縣團委會草屯區附設技藝語文短期補習班</t>
  </si>
  <si>
    <r>
      <rPr>
        <sz val="10"/>
        <color rgb="FF1F2A28"/>
        <rFont val="WenQuanYi Zen Hei"/>
        <family val="2"/>
      </rPr>
      <t xml:space="preserve">草屯鎮中正路</t>
    </r>
    <r>
      <rPr>
        <sz val="10"/>
        <color rgb="FF1F2A28"/>
        <rFont val="Arial"/>
        <family val="0"/>
        <charset val="1"/>
      </rPr>
      <t xml:space="preserve">601-7</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</si>
  <si>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(049)2307088</t>
  </si>
  <si>
    <t xml:space="preserve">cycntntc@gmail.com</t>
  </si>
  <si>
    <t xml:space="preserve">邱冠彰</t>
  </si>
  <si>
    <t xml:space="preserve">黃雁聆</t>
  </si>
  <si>
    <t xml:space="preserve">鹿谷鄉</t>
  </si>
  <si>
    <t xml:space="preserve">南投縣私立沛妮文理短期補習班</t>
  </si>
  <si>
    <r>
      <rPr>
        <sz val="10"/>
        <color rgb="FF1F2A28"/>
        <rFont val="WenQuanYi Zen Hei"/>
        <family val="2"/>
      </rPr>
      <t xml:space="preserve">鹿谷鄉彰雅村鹿彰路</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</si>
  <si>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(049)2750511</t>
  </si>
  <si>
    <t xml:space="preserve">ielephant.ie007@gmail.com</t>
  </si>
  <si>
    <t xml:space="preserve">陳韻偉</t>
  </si>
  <si>
    <t xml:space="preserve">雲林縣</t>
  </si>
  <si>
    <t xml:space="preserve">巨匠電腦股份有限公司斗六分公司附設雲林縣私立巨匠電腦美語短期補習班</t>
  </si>
  <si>
    <r>
      <rPr>
        <sz val="10"/>
        <color rgb="FF1F2A28"/>
        <rFont val="WenQuanYi Zen Hei"/>
        <family val="2"/>
      </rPr>
      <t xml:space="preserve">雲林縣斗六市民生路</t>
    </r>
    <r>
      <rPr>
        <sz val="10"/>
        <color rgb="FF1F2A28"/>
        <rFont val="Arial"/>
        <family val="0"/>
        <charset val="1"/>
      </rPr>
      <t xml:space="preserve">191</t>
    </r>
    <r>
      <rPr>
        <sz val="10"/>
        <color rgb="FF1F2A28"/>
        <rFont val="WenQuanYi Zen Hei"/>
        <family val="2"/>
      </rPr>
      <t xml:space="preserve">、</t>
    </r>
    <r>
      <rPr>
        <sz val="10"/>
        <color rgb="FF1F2A28"/>
        <rFont val="Arial"/>
        <family val="0"/>
        <charset val="1"/>
      </rPr>
      <t xml:space="preserve">193</t>
    </r>
    <r>
      <rPr>
        <sz val="10"/>
        <color rgb="FF1F2A28"/>
        <rFont val="WenQuanYi Zen Hei"/>
        <family val="2"/>
      </rPr>
      <t xml:space="preserve">、</t>
    </r>
    <r>
      <rPr>
        <sz val="10"/>
        <color rgb="FF1F2A28"/>
        <rFont val="Arial"/>
        <family val="0"/>
        <charset val="1"/>
      </rPr>
      <t xml:space="preserve">195</t>
    </r>
    <r>
      <rPr>
        <sz val="10"/>
        <color rgb="FF1F2A28"/>
        <rFont val="WenQuanYi Zen Hei"/>
        <family val="2"/>
      </rPr>
      <t xml:space="preserve">號</t>
    </r>
  </si>
  <si>
    <t xml:space="preserve">(05)5339868</t>
  </si>
  <si>
    <t xml:space="preserve">gi_mailbox@pcschool.com.tw</t>
  </si>
  <si>
    <r>
      <rPr>
        <sz val="10"/>
        <color rgb="FF1F2A28"/>
        <rFont val="WenQuanYi Zen Hei"/>
        <family val="2"/>
      </rPr>
      <t xml:space="preserve">國小美語科</t>
    </r>
    <r>
      <rPr>
        <sz val="10"/>
        <color rgb="FF1F2A28"/>
        <rFont val="Arial"/>
        <family val="0"/>
        <charset val="1"/>
      </rPr>
      <t xml:space="preserve">A</t>
    </r>
    <r>
      <rPr>
        <sz val="10"/>
        <color rgb="FF1F2A28"/>
        <rFont val="WenQuanYi Zen Hei"/>
        <family val="2"/>
      </rPr>
      <t xml:space="preserve">班、國中美語科</t>
    </r>
    <r>
      <rPr>
        <sz val="10"/>
        <color rgb="FF1F2A28"/>
        <rFont val="Arial"/>
        <family val="0"/>
        <charset val="1"/>
      </rPr>
      <t xml:space="preserve">B</t>
    </r>
    <r>
      <rPr>
        <sz val="10"/>
        <color rgb="FF1F2A28"/>
        <rFont val="WenQuanYi Zen Hei"/>
        <family val="2"/>
      </rPr>
      <t xml:space="preserve">班、高中美語科</t>
    </r>
    <r>
      <rPr>
        <sz val="10"/>
        <color rgb="FF1F2A28"/>
        <rFont val="Arial"/>
        <family val="0"/>
        <charset val="1"/>
      </rPr>
      <t xml:space="preserve">C</t>
    </r>
    <r>
      <rPr>
        <sz val="10"/>
        <color rgb="FF1F2A28"/>
        <rFont val="WenQuanYi Zen Hei"/>
        <family val="2"/>
      </rPr>
      <t xml:space="preserve">班、社會人士美語科</t>
    </r>
    <r>
      <rPr>
        <sz val="10"/>
        <color rgb="FF1F2A28"/>
        <rFont val="Arial"/>
        <family val="0"/>
        <charset val="1"/>
      </rPr>
      <t xml:space="preserve">D</t>
    </r>
    <r>
      <rPr>
        <sz val="10"/>
        <color rgb="FF1F2A28"/>
        <rFont val="WenQuanYi Zen Hei"/>
        <family val="2"/>
      </rPr>
      <t xml:space="preserve">班</t>
    </r>
  </si>
  <si>
    <t xml:space="preserve">2003-04-23</t>
  </si>
  <si>
    <t xml:space="preserve">沈昭成</t>
  </si>
  <si>
    <r>
      <rPr>
        <sz val="10"/>
        <color rgb="FF1F2A28"/>
        <rFont val="WenQuanYi Zen Hei"/>
        <family val="2"/>
      </rPr>
      <t xml:space="preserve">雲林縣虎尾鎮光復路</t>
    </r>
    <r>
      <rPr>
        <sz val="10"/>
        <color rgb="FF1F2A28"/>
        <rFont val="Arial"/>
        <family val="0"/>
        <charset val="1"/>
      </rPr>
      <t xml:space="preserve">609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</si>
  <si>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(05)6321969</t>
  </si>
  <si>
    <t xml:space="preserve">tony@huweijoy.com</t>
  </si>
  <si>
    <t xml:space="preserve">國中英語</t>
  </si>
  <si>
    <t xml:space="preserve">1993-10-12</t>
  </si>
  <si>
    <t xml:space="preserve">林彥安</t>
  </si>
  <si>
    <t xml:space="preserve">許瑋恩</t>
  </si>
  <si>
    <t xml:space="preserve">私立凱薩琳英語短期補習班</t>
  </si>
  <si>
    <r>
      <rPr>
        <sz val="10"/>
        <color rgb="FF1F2A28"/>
        <rFont val="WenQuanYi Zen Hei"/>
        <family val="2"/>
      </rPr>
      <t xml:space="preserve">雲林縣斗六市鎮東路</t>
    </r>
    <r>
      <rPr>
        <sz val="10"/>
        <color rgb="FF1F2A28"/>
        <rFont val="Arial"/>
        <family val="0"/>
        <charset val="1"/>
      </rPr>
      <t xml:space="preserve">46-1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</si>
  <si>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(05)5332667</t>
  </si>
  <si>
    <t xml:space="preserve">國中英語、國小英語</t>
  </si>
  <si>
    <t xml:space="preserve">黃女玲</t>
  </si>
  <si>
    <t xml:space="preserve">私立大埔美語短期補習班</t>
  </si>
  <si>
    <r>
      <rPr>
        <sz val="10"/>
        <color rgb="FF1F2A28"/>
        <rFont val="WenQuanYi Zen Hei"/>
        <family val="2"/>
      </rPr>
      <t xml:space="preserve">雲林縣古坑鄉朝陽村文淵路</t>
    </r>
    <r>
      <rPr>
        <sz val="10"/>
        <color rgb="FF1F2A28"/>
        <rFont val="Arial"/>
        <family val="0"/>
        <charset val="1"/>
      </rPr>
      <t xml:space="preserve">134</t>
    </r>
    <r>
      <rPr>
        <sz val="10"/>
        <color rgb="FF1F2A28"/>
        <rFont val="WenQuanYi Zen Hei"/>
        <family val="2"/>
      </rPr>
      <t xml:space="preserve">號</t>
    </r>
  </si>
  <si>
    <t xml:space="preserve">(05)5829007</t>
  </si>
  <si>
    <t xml:space="preserve">aaangels_0622@yahoo.com.tw</t>
  </si>
  <si>
    <t xml:space="preserve">國小英語</t>
  </si>
  <si>
    <t xml:space="preserve">2003-12-09</t>
  </si>
  <si>
    <t xml:space="preserve">張香彗</t>
  </si>
  <si>
    <t xml:space="preserve">沈坤周</t>
  </si>
  <si>
    <t xml:space="preserve">私立張淑惠英文短期補習班</t>
  </si>
  <si>
    <r>
      <rPr>
        <sz val="10"/>
        <color rgb="FF1F2A28"/>
        <rFont val="WenQuanYi Zen Hei"/>
        <family val="2"/>
      </rPr>
      <t xml:space="preserve">雲林縣古坑鄉永光村文昌路</t>
    </r>
    <r>
      <rPr>
        <sz val="10"/>
        <color rgb="FF1F2A28"/>
        <rFont val="Arial"/>
        <family val="0"/>
        <charset val="1"/>
      </rPr>
      <t xml:space="preserve">13</t>
    </r>
    <r>
      <rPr>
        <sz val="10"/>
        <color rgb="FF1F2A28"/>
        <rFont val="WenQuanYi Zen Hei"/>
        <family val="2"/>
      </rPr>
      <t xml:space="preserve">號</t>
    </r>
  </si>
  <si>
    <t xml:space="preserve">(05)5821851</t>
  </si>
  <si>
    <t xml:space="preserve">misszhang.tw.esl@gmail.com</t>
  </si>
  <si>
    <t xml:space="preserve">國小英文</t>
  </si>
  <si>
    <t xml:space="preserve">2004-10-07</t>
  </si>
  <si>
    <t xml:space="preserve">張怡晴</t>
  </si>
  <si>
    <t xml:space="preserve">私立張鈞文理短期補習班正心分班</t>
  </si>
  <si>
    <r>
      <rPr>
        <sz val="10"/>
        <color rgb="FF1F2A28"/>
        <rFont val="WenQuanYi Zen Hei"/>
        <family val="2"/>
      </rPr>
      <t xml:space="preserve">雲林縣斗六市西平路</t>
    </r>
    <r>
      <rPr>
        <sz val="10"/>
        <color rgb="FF1F2A28"/>
        <rFont val="Arial"/>
        <family val="0"/>
        <charset val="1"/>
      </rPr>
      <t xml:space="preserve">350</t>
    </r>
    <r>
      <rPr>
        <sz val="10"/>
        <color rgb="FF1F2A28"/>
        <rFont val="WenQuanYi Zen Hei"/>
        <family val="2"/>
      </rPr>
      <t xml:space="preserve">號</t>
    </r>
  </si>
  <si>
    <t xml:space="preserve">(05)5518198</t>
  </si>
  <si>
    <t xml:space="preserve">chuchia2524@hotmail.com</t>
  </si>
  <si>
    <t xml:space="preserve">張博鈞</t>
  </si>
  <si>
    <t xml:space="preserve">鄭家和</t>
  </si>
  <si>
    <t xml:space="preserve">私立愛學館文理短期補習班</t>
  </si>
  <si>
    <r>
      <rPr>
        <sz val="10"/>
        <color rgb="FF1F2A28"/>
        <rFont val="WenQuanYi Zen Hei"/>
        <family val="2"/>
      </rPr>
      <t xml:space="preserve">雲林縣斗六市文化路</t>
    </r>
    <r>
      <rPr>
        <sz val="10"/>
        <color rgb="FF1F2A28"/>
        <rFont val="Arial"/>
        <family val="0"/>
        <charset val="1"/>
      </rPr>
      <t xml:space="preserve">260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</si>
  <si>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(05)5372210</t>
  </si>
  <si>
    <t xml:space="preserve">penguin19cs@gmail.com</t>
  </si>
  <si>
    <t xml:space="preserve">高中英文、國小英語、國中英文</t>
  </si>
  <si>
    <t xml:space="preserve">楊立勤</t>
  </si>
  <si>
    <t xml:space="preserve">私立梵妮莎英語短期補習班</t>
  </si>
  <si>
    <r>
      <rPr>
        <sz val="10"/>
        <color rgb="FF1F2A28"/>
        <rFont val="WenQuanYi Zen Hei"/>
        <family val="2"/>
      </rPr>
      <t xml:space="preserve">雲林縣土庫鎮馬光路</t>
    </r>
    <r>
      <rPr>
        <sz val="10"/>
        <color rgb="FF1F2A28"/>
        <rFont val="Arial"/>
        <family val="0"/>
        <charset val="1"/>
      </rPr>
      <t xml:space="preserve">181</t>
    </r>
    <r>
      <rPr>
        <sz val="10"/>
        <color rgb="FF1F2A28"/>
        <rFont val="WenQuanYi Zen Hei"/>
        <family val="2"/>
      </rPr>
      <t xml:space="preserve">巷</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</si>
  <si>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(05)6655601</t>
  </si>
  <si>
    <t xml:space="preserve">anneshirleylove@yahoo.com.tw</t>
  </si>
  <si>
    <t xml:space="preserve">2015-06-25</t>
  </si>
  <si>
    <t xml:space="preserve">吳佳津</t>
  </si>
  <si>
    <t xml:space="preserve">私立班傑明富蘭克林語文短期補習班</t>
  </si>
  <si>
    <r>
      <rPr>
        <sz val="10"/>
        <color rgb="FF1F2A28"/>
        <rFont val="WenQuanYi Zen Hei"/>
        <family val="2"/>
      </rPr>
      <t xml:space="preserve">雲林縣斗南鎮中正路</t>
    </r>
    <r>
      <rPr>
        <sz val="10"/>
        <color rgb="FF1F2A28"/>
        <rFont val="Arial"/>
        <family val="0"/>
        <charset val="1"/>
      </rPr>
      <t xml:space="preserve">362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t>
    </r>
  </si>
  <si>
    <t xml:space="preserve">(05)5953585</t>
  </si>
  <si>
    <t xml:space="preserve">saabsaab901901@gmail.com</t>
  </si>
  <si>
    <t xml:space="preserve">英文會話</t>
  </si>
  <si>
    <t xml:space="preserve">沈宏霖</t>
  </si>
  <si>
    <t xml:space="preserve">沈宛瑩</t>
  </si>
  <si>
    <t xml:space="preserve">私立艾向英語文理短期補習班</t>
  </si>
  <si>
    <r>
      <rPr>
        <sz val="10"/>
        <color rgb="FF1F2A28"/>
        <rFont val="WenQuanYi Zen Hei"/>
        <family val="2"/>
      </rPr>
      <t xml:space="preserve">雲林縣斗六市明德北路二段</t>
    </r>
    <r>
      <rPr>
        <sz val="10"/>
        <color rgb="FF1F2A28"/>
        <rFont val="Arial"/>
        <family val="0"/>
        <charset val="1"/>
      </rPr>
      <t xml:space="preserve">85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</si>
  <si>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(05)5322088</t>
  </si>
  <si>
    <t xml:space="preserve">rait1022@gmail.com</t>
  </si>
  <si>
    <t xml:space="preserve">國小英語、國中英語</t>
  </si>
  <si>
    <t xml:space="preserve">黃薷嬋</t>
  </si>
  <si>
    <t xml:space="preserve">私立芝蔴街美語會話文理短期補習班</t>
  </si>
  <si>
    <r>
      <rPr>
        <sz val="10"/>
        <color rgb="FF1F2A28"/>
        <rFont val="WenQuanYi Zen Hei"/>
        <family val="2"/>
      </rPr>
      <t xml:space="preserve">雲林縣斗六市城頂街</t>
    </r>
    <r>
      <rPr>
        <sz val="10"/>
        <color rgb="FF1F2A28"/>
        <rFont val="Arial"/>
        <family val="0"/>
        <charset val="1"/>
      </rPr>
      <t xml:space="preserve">178</t>
    </r>
    <r>
      <rPr>
        <sz val="10"/>
        <color rgb="FF1F2A28"/>
        <rFont val="WenQuanYi Zen Hei"/>
        <family val="2"/>
      </rPr>
      <t xml:space="preserve">之</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</si>
  <si>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5331341</t>
  </si>
  <si>
    <t xml:space="preserve">hungmiffy@gmail.com</t>
  </si>
  <si>
    <t xml:space="preserve">國小美語</t>
  </si>
  <si>
    <t xml:space="preserve">1996-09-12</t>
  </si>
  <si>
    <t xml:space="preserve">林博彥</t>
  </si>
  <si>
    <t xml:space="preserve">私立貝斯特美語短期補習班</t>
  </si>
  <si>
    <r>
      <rPr>
        <sz val="10"/>
        <color rgb="FF1F2A28"/>
        <rFont val="WenQuanYi Zen Hei"/>
        <family val="2"/>
      </rPr>
      <t xml:space="preserve">雲林縣斗六市鎮東里內環路</t>
    </r>
    <r>
      <rPr>
        <sz val="10"/>
        <color rgb="FF1F2A28"/>
        <rFont val="Arial"/>
        <family val="0"/>
        <charset val="1"/>
      </rPr>
      <t xml:space="preserve">800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</si>
  <si>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(05)5373871</t>
  </si>
  <si>
    <t xml:space="preserve">winonacheng@yahoo.com.tw</t>
  </si>
  <si>
    <t xml:space="preserve">王鈴基</t>
  </si>
  <si>
    <t xml:space="preserve">維多利亞國際學校財團法人雲林縣維多利亞國民小學附設私立維多利亞外語短期補習班</t>
  </si>
  <si>
    <r>
      <rPr>
        <sz val="10"/>
        <color rgb="FF1F2A28"/>
        <rFont val="WenQuanYi Zen Hei"/>
        <family val="2"/>
      </rPr>
      <t xml:space="preserve">雲林縣斗六市鎮南路</t>
    </r>
    <r>
      <rPr>
        <sz val="10"/>
        <color rgb="FF1F2A28"/>
        <rFont val="Arial"/>
        <family val="0"/>
        <charset val="1"/>
      </rPr>
      <t xml:space="preserve">1110</t>
    </r>
    <r>
      <rPr>
        <sz val="10"/>
        <color rgb="FF1F2A28"/>
        <rFont val="WenQuanYi Zen Hei"/>
        <family val="2"/>
      </rPr>
      <t xml:space="preserve">號</t>
    </r>
  </si>
  <si>
    <t xml:space="preserve">(05)-5378899</t>
  </si>
  <si>
    <t xml:space="preserve">personnel@victoria.ylc.edu.tw</t>
  </si>
  <si>
    <t xml:space="preserve">英文初級全修班、初級商用英文班、高級商用英文班</t>
  </si>
  <si>
    <t xml:space="preserve">李佳芬</t>
  </si>
  <si>
    <t xml:space="preserve">李佩芬</t>
  </si>
  <si>
    <t xml:space="preserve">北港鎮</t>
  </si>
  <si>
    <t xml:space="preserve">私立哈佛通美語短期補習班</t>
  </si>
  <si>
    <r>
      <rPr>
        <sz val="10"/>
        <color rgb="FF1F2A28"/>
        <rFont val="WenQuanYi Zen Hei"/>
        <family val="2"/>
      </rPr>
      <t xml:space="preserve">北港鎮文仁路</t>
    </r>
    <r>
      <rPr>
        <sz val="10"/>
        <color rgb="FF1F2A28"/>
        <rFont val="Arial"/>
        <family val="0"/>
        <charset val="1"/>
      </rPr>
      <t xml:space="preserve">112</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</si>
  <si>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(05)7839400</t>
  </si>
  <si>
    <t xml:space="preserve">henryyu.harvard@gmail.com</t>
  </si>
  <si>
    <t xml:space="preserve">2004-03-17</t>
  </si>
  <si>
    <t xml:space="preserve">于鈺宏</t>
  </si>
  <si>
    <t xml:space="preserve">私立貓頭鷹英文短期補習班</t>
  </si>
  <si>
    <r>
      <rPr>
        <sz val="10"/>
        <color rgb="FF1F2A28"/>
        <rFont val="WenQuanYi Zen Hei"/>
        <family val="2"/>
      </rPr>
      <t xml:space="preserve">北港鎮民治路</t>
    </r>
    <r>
      <rPr>
        <sz val="10"/>
        <color rgb="FF1F2A28"/>
        <rFont val="Arial"/>
        <family val="0"/>
        <charset val="1"/>
      </rPr>
      <t xml:space="preserve">26</t>
    </r>
    <r>
      <rPr>
        <sz val="10"/>
        <color rgb="FF1F2A28"/>
        <rFont val="WenQuanYi Zen Hei"/>
        <family val="2"/>
      </rPr>
      <t xml:space="preserve">號</t>
    </r>
  </si>
  <si>
    <t xml:space="preserve">(05)7839698</t>
  </si>
  <si>
    <t xml:space="preserve">tc5d000@yahoo.com.tw</t>
  </si>
  <si>
    <t xml:space="preserve">陳麗芬</t>
  </si>
  <si>
    <t xml:space="preserve">土庫鎮</t>
  </si>
  <si>
    <t xml:space="preserve">私立吉的堡美語短期補習班</t>
  </si>
  <si>
    <r>
      <rPr>
        <sz val="10"/>
        <color rgb="FF1F2A28"/>
        <rFont val="WenQuanYi Zen Hei"/>
        <family val="2"/>
      </rPr>
      <t xml:space="preserve">土庫鎮新建路</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</si>
  <si>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6627725</t>
  </si>
  <si>
    <t xml:space="preserve">joejoe3738@gmail.com</t>
  </si>
  <si>
    <t xml:space="preserve">陳艷霜</t>
  </si>
  <si>
    <t xml:space="preserve">崙背鄉</t>
  </si>
  <si>
    <t xml:space="preserve">私立大狀元美語短期補習班</t>
  </si>
  <si>
    <r>
      <rPr>
        <sz val="10"/>
        <color rgb="FF1F2A28"/>
        <rFont val="WenQuanYi Zen Hei"/>
        <family val="2"/>
      </rPr>
      <t xml:space="preserve">崙背鄉羅厝里東興路</t>
    </r>
    <r>
      <rPr>
        <sz val="10"/>
        <color rgb="FF1F2A28"/>
        <rFont val="Arial"/>
        <family val="0"/>
        <charset val="1"/>
      </rPr>
      <t xml:space="preserve">157</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</si>
  <si>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(05)6961267</t>
  </si>
  <si>
    <t xml:space="preserve">loyumom@gmail.com</t>
  </si>
  <si>
    <t xml:space="preserve">翁偉哲</t>
  </si>
  <si>
    <t xml:space="preserve">廖春桃</t>
  </si>
  <si>
    <t xml:space="preserve">斗六市</t>
  </si>
  <si>
    <t xml:space="preserve">地球村語文資訊有限公司附設雲林縣私立國際地球村語文短期補習班</t>
  </si>
  <si>
    <r>
      <rPr>
        <sz val="10"/>
        <color rgb="FF1F2A28"/>
        <rFont val="WenQuanYi Zen Hei"/>
        <family val="2"/>
      </rPr>
      <t xml:space="preserve">斗六市文化路</t>
    </r>
    <r>
      <rPr>
        <sz val="10"/>
        <color rgb="FF1F2A28"/>
        <rFont val="Arial"/>
        <family val="0"/>
        <charset val="1"/>
      </rPr>
      <t xml:space="preserve">1</t>
    </r>
    <r>
      <rPr>
        <sz val="10"/>
        <color rgb="FF1F2A28"/>
        <rFont val="WenQuanYi Zen Hei"/>
        <family val="2"/>
      </rPr>
      <t xml:space="preserve">號及鎮北路</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</si>
  <si>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(05)5340085</t>
  </si>
  <si>
    <t xml:space="preserve">1999-03-23</t>
  </si>
  <si>
    <t xml:space="preserve">賴淑惠</t>
  </si>
  <si>
    <t xml:space="preserve">私立名人榜美語短期補習班</t>
  </si>
  <si>
    <r>
      <rPr>
        <sz val="10"/>
        <color rgb="FF1F2A28"/>
        <rFont val="WenQuanYi Zen Hei"/>
        <family val="2"/>
      </rPr>
      <t xml:space="preserve">斗六市宏德街</t>
    </r>
    <r>
      <rPr>
        <sz val="10"/>
        <color rgb="FF1F2A28"/>
        <rFont val="Arial"/>
        <family val="0"/>
        <charset val="1"/>
      </rPr>
      <t xml:space="preserve">57</t>
    </r>
    <r>
      <rPr>
        <sz val="10"/>
        <color rgb="FF1F2A28"/>
        <rFont val="WenQuanYi Zen Hei"/>
        <family val="2"/>
      </rPr>
      <t xml:space="preserve">號</t>
    </r>
  </si>
  <si>
    <t xml:space="preserve">(05)5378791</t>
  </si>
  <si>
    <t xml:space="preserve">terryyeh0316@yahoo.com.tw</t>
  </si>
  <si>
    <t xml:space="preserve">2002-10-08</t>
  </si>
  <si>
    <t xml:space="preserve">葉長青</t>
  </si>
  <si>
    <t xml:space="preserve">葉靜怡</t>
  </si>
  <si>
    <t xml:space="preserve">私立富蘭克林語文短期補習班</t>
  </si>
  <si>
    <r>
      <rPr>
        <sz val="10"/>
        <color rgb="FF1F2A28"/>
        <rFont val="WenQuanYi Zen Hei"/>
        <family val="2"/>
      </rPr>
      <t xml:space="preserve">斗六市中堅西路</t>
    </r>
    <r>
      <rPr>
        <sz val="10"/>
        <color rgb="FF1F2A28"/>
        <rFont val="Arial"/>
        <family val="0"/>
        <charset val="1"/>
      </rPr>
      <t xml:space="preserve">306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r>
      <rPr>
        <sz val="10"/>
        <color rgb="FF1F2A28"/>
        <rFont val="Arial"/>
        <family val="0"/>
        <charset val="1"/>
      </rPr>
      <t xml:space="preserve">310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</si>
  <si>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5353585</t>
  </si>
  <si>
    <t xml:space="preserve">bigbird3585@yahoo.com.tw</t>
  </si>
  <si>
    <t xml:space="preserve">國小英文會話、國小英文</t>
  </si>
  <si>
    <t xml:space="preserve">1996-09-05</t>
  </si>
  <si>
    <t xml:space="preserve">私立華爾街美語短期補習班</t>
  </si>
  <si>
    <r>
      <rPr>
        <sz val="10"/>
        <color rgb="FF1F2A28"/>
        <rFont val="WenQuanYi Zen Hei"/>
        <family val="2"/>
      </rPr>
      <t xml:space="preserve">斗六市中正路</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</si>
  <si>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(05)5330388</t>
  </si>
  <si>
    <t xml:space="preserve">lesilychang0102@gmail.com</t>
  </si>
  <si>
    <t xml:space="preserve">國小英語、國中英語、高中英語</t>
  </si>
  <si>
    <t xml:space="preserve">李青峰</t>
  </si>
  <si>
    <t xml:space="preserve">張資璿</t>
  </si>
  <si>
    <t xml:space="preserve">私立貝登堡美語短期補習班</t>
  </si>
  <si>
    <r>
      <rPr>
        <sz val="10"/>
        <color rgb="FF1F2A28"/>
        <rFont val="WenQuanYi Zen Hei"/>
        <family val="2"/>
      </rPr>
      <t xml:space="preserve">斗六市公誠里南京路</t>
    </r>
    <r>
      <rPr>
        <sz val="10"/>
        <color rgb="FF1F2A28"/>
        <rFont val="Arial"/>
        <family val="0"/>
        <charset val="1"/>
      </rPr>
      <t xml:space="preserve">399</t>
    </r>
    <r>
      <rPr>
        <sz val="10"/>
        <color rgb="FF1F2A28"/>
        <rFont val="WenQuanYi Zen Hei"/>
        <family val="2"/>
      </rPr>
      <t xml:space="preserve">號</t>
    </r>
  </si>
  <si>
    <t xml:space="preserve">05-5320008</t>
  </si>
  <si>
    <t xml:space="preserve">m820218@yahoo.com.tw</t>
  </si>
  <si>
    <t xml:space="preserve">1998-01-16</t>
  </si>
  <si>
    <t xml:space="preserve">斗六市鎮</t>
  </si>
  <si>
    <t xml:space="preserve">私立傳家寶美語短期補習班</t>
  </si>
  <si>
    <r>
      <rPr>
        <sz val="10"/>
        <color rgb="FF1F2A28"/>
        <rFont val="WenQuanYi Zen Hei"/>
        <family val="2"/>
      </rPr>
      <t xml:space="preserve">斗六市鎮東里文化路</t>
    </r>
    <r>
      <rPr>
        <sz val="10"/>
        <color rgb="FF1F2A28"/>
        <rFont val="Arial"/>
        <family val="0"/>
        <charset val="1"/>
      </rPr>
      <t xml:space="preserve">223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</si>
  <si>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5327299</t>
  </si>
  <si>
    <t xml:space="preserve">sajdje0927@yahoo.com.tw</t>
  </si>
  <si>
    <t xml:space="preserve">2001-09-14</t>
  </si>
  <si>
    <t xml:space="preserve">林俊翰</t>
  </si>
  <si>
    <t xml:space="preserve">私立劍橋英語會話短期補習班</t>
  </si>
  <si>
    <r>
      <rPr>
        <sz val="10"/>
        <color rgb="FF1F2A28"/>
        <rFont val="WenQuanYi Zen Hei"/>
        <family val="2"/>
      </rPr>
      <t xml:space="preserve">斗六市鎮東里育英北街</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</si>
  <si>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5374299</t>
  </si>
  <si>
    <t xml:space="preserve">jocelyn54610@yahoo.com.tw</t>
  </si>
  <si>
    <t xml:space="preserve">國中英語會話、國小英語會話</t>
  </si>
  <si>
    <t xml:space="preserve">1997-12-18</t>
  </si>
  <si>
    <t xml:space="preserve">曾興緯</t>
  </si>
  <si>
    <t xml:space="preserve">私立超越英語短期補習班</t>
  </si>
  <si>
    <r>
      <rPr>
        <sz val="10"/>
        <color rgb="FF1F2A28"/>
        <rFont val="WenQuanYi Zen Hei"/>
        <family val="2"/>
      </rPr>
      <t xml:space="preserve">斗六市鎮北里北平路</t>
    </r>
    <r>
      <rPr>
        <sz val="10"/>
        <color rgb="FF1F2A28"/>
        <rFont val="Arial"/>
        <family val="0"/>
        <charset val="1"/>
      </rPr>
      <t xml:space="preserve">223</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弄</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</si>
  <si>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(05)5349670</t>
  </si>
  <si>
    <t xml:space="preserve">tanirene64@yahoo.com</t>
  </si>
  <si>
    <t xml:space="preserve">基礎英語、中級英語、進階英語</t>
  </si>
  <si>
    <t xml:space="preserve">斗南鎮</t>
  </si>
  <si>
    <t xml:space="preserve">私立延平美語短期補習班</t>
  </si>
  <si>
    <r>
      <rPr>
        <sz val="10"/>
        <color rgb="FF1F2A28"/>
        <rFont val="WenQuanYi Zen Hei"/>
        <family val="2"/>
      </rPr>
      <t xml:space="preserve">斗南鎮莒光街</t>
    </r>
    <r>
      <rPr>
        <sz val="10"/>
        <color rgb="FF1F2A28"/>
        <rFont val="Arial"/>
        <family val="0"/>
        <charset val="1"/>
      </rPr>
      <t xml:space="preserve">88</t>
    </r>
    <r>
      <rPr>
        <sz val="10"/>
        <color rgb="FF1F2A28"/>
        <rFont val="WenQuanYi Zen Hei"/>
        <family val="2"/>
      </rPr>
      <t xml:space="preserve">號</t>
    </r>
  </si>
  <si>
    <t xml:space="preserve">(05)5955990</t>
  </si>
  <si>
    <t xml:space="preserve">eva580123@yahoo.com.tw</t>
  </si>
  <si>
    <t xml:space="preserve">2004-03-11</t>
  </si>
  <si>
    <t xml:space="preserve">黃中威</t>
  </si>
  <si>
    <t xml:space="preserve">私立蕃茄園美語短期補習班</t>
  </si>
  <si>
    <r>
      <rPr>
        <sz val="10"/>
        <color rgb="FF1F2A28"/>
        <rFont val="WenQuanYi Zen Hei"/>
        <family val="2"/>
      </rPr>
      <t xml:space="preserve">斗南鎮文化街</t>
    </r>
    <r>
      <rPr>
        <sz val="10"/>
        <color rgb="FF1F2A28"/>
        <rFont val="Arial"/>
        <family val="0"/>
        <charset val="1"/>
      </rPr>
      <t xml:space="preserve">14</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</si>
  <si>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0955961161</t>
  </si>
  <si>
    <t xml:space="preserve">nacy61@yahoo.com.tw</t>
  </si>
  <si>
    <t xml:space="preserve">林瓊芳</t>
  </si>
  <si>
    <t xml:space="preserve">林內鄉</t>
  </si>
  <si>
    <t xml:space="preserve">私立聽說讀寫美語短期補習班</t>
  </si>
  <si>
    <r>
      <rPr>
        <sz val="10"/>
        <color rgb="FF1F2A28"/>
        <rFont val="WenQuanYi Zen Hei"/>
        <family val="2"/>
      </rPr>
      <t xml:space="preserve">林內鄉新興路</t>
    </r>
    <r>
      <rPr>
        <sz val="10"/>
        <color rgb="FF1F2A28"/>
        <rFont val="Arial"/>
        <family val="0"/>
        <charset val="1"/>
      </rPr>
      <t xml:space="preserve">253</t>
    </r>
    <r>
      <rPr>
        <sz val="10"/>
        <color rgb="FF1F2A28"/>
        <rFont val="WenQuanYi Zen Hei"/>
        <family val="2"/>
      </rPr>
      <t xml:space="preserve">號</t>
    </r>
  </si>
  <si>
    <t xml:space="preserve">5898925</t>
  </si>
  <si>
    <t xml:space="preserve">jlin0302@ms34.hinet.net</t>
  </si>
  <si>
    <t xml:space="preserve">林玉真</t>
  </si>
  <si>
    <t xml:space="preserve">水林鄉</t>
  </si>
  <si>
    <t xml:space="preserve">私立瑪利亞英文短期補習班</t>
  </si>
  <si>
    <r>
      <rPr>
        <sz val="10"/>
        <color rgb="FF1F2A28"/>
        <rFont val="WenQuanYi Zen Hei"/>
        <family val="2"/>
      </rPr>
      <t xml:space="preserve">水林鄉水林路</t>
    </r>
    <r>
      <rPr>
        <sz val="10"/>
        <color rgb="FF1F2A28"/>
        <rFont val="Arial"/>
        <family val="0"/>
        <charset val="1"/>
      </rPr>
      <t xml:space="preserve">129</t>
    </r>
    <r>
      <rPr>
        <sz val="10"/>
        <color rgb="FF1F2A28"/>
        <rFont val="WenQuanYi Zen Hei"/>
        <family val="2"/>
      </rPr>
      <t xml:space="preserve">巷</t>
    </r>
    <r>
      <rPr>
        <sz val="10"/>
        <color rgb="FF1F2A28"/>
        <rFont val="Arial"/>
        <family val="0"/>
        <charset val="1"/>
      </rPr>
      <t xml:space="preserve">6-10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</si>
  <si>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(05)7852193</t>
  </si>
  <si>
    <t xml:space="preserve">vince15562000@gmail.com</t>
  </si>
  <si>
    <t xml:space="preserve">2010-04-26</t>
  </si>
  <si>
    <t xml:space="preserve">盧金萬</t>
  </si>
  <si>
    <t xml:space="preserve">陳慧鶑</t>
  </si>
  <si>
    <t xml:space="preserve">莿桐鄉</t>
  </si>
  <si>
    <t xml:space="preserve">私立奇瓦迪美語短期補習班</t>
  </si>
  <si>
    <r>
      <rPr>
        <sz val="10"/>
        <color rgb="FF1F2A28"/>
        <rFont val="WenQuanYi Zen Hei"/>
        <family val="2"/>
      </rPr>
      <t xml:space="preserve">莿桐鄉中山路</t>
    </r>
    <r>
      <rPr>
        <sz val="10"/>
        <color rgb="FF1F2A28"/>
        <rFont val="Arial"/>
        <family val="0"/>
        <charset val="1"/>
      </rPr>
      <t xml:space="preserve">32</t>
    </r>
    <r>
      <rPr>
        <sz val="10"/>
        <color rgb="FF1F2A28"/>
        <rFont val="WenQuanYi Zen Hei"/>
        <family val="2"/>
      </rPr>
      <t xml:space="preserve">之</t>
    </r>
    <r>
      <rPr>
        <sz val="10"/>
        <color rgb="FF1F2A28"/>
        <rFont val="Arial"/>
        <family val="0"/>
        <charset val="1"/>
      </rPr>
      <t xml:space="preserve">6</t>
    </r>
    <r>
      <rPr>
        <sz val="10"/>
        <color rgb="FF1F2A28"/>
        <rFont val="WenQuanYi Zen Hei"/>
        <family val="2"/>
      </rPr>
      <t xml:space="preserve">號</t>
    </r>
  </si>
  <si>
    <t xml:space="preserve">(05)5840510</t>
  </si>
  <si>
    <t xml:space="preserve">stellatsai232@yahoo.com.tw</t>
  </si>
  <si>
    <t xml:space="preserve">2001-10-30</t>
  </si>
  <si>
    <t xml:space="preserve">蔡孟吟</t>
  </si>
  <si>
    <t xml:space="preserve">虎尾鎮</t>
  </si>
  <si>
    <t xml:space="preserve">格蘭事業股份有限公司附設雲林縣私立格蘭林森文理短期補習班</t>
  </si>
  <si>
    <r>
      <rPr>
        <sz val="10"/>
        <color rgb="FF1F2A28"/>
        <rFont val="WenQuanYi Zen Hei"/>
        <family val="2"/>
      </rPr>
      <t xml:space="preserve">虎尾鎮林森路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369</t>
    </r>
    <r>
      <rPr>
        <sz val="10"/>
        <color rgb="FF1F2A28"/>
        <rFont val="WenQuanYi Zen Hei"/>
        <family val="2"/>
      </rPr>
      <t xml:space="preserve">、</t>
    </r>
    <r>
      <rPr>
        <sz val="10"/>
        <color rgb="FF1F2A28"/>
        <rFont val="Arial"/>
        <family val="0"/>
        <charset val="1"/>
      </rPr>
      <t xml:space="preserve">371</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</si>
  <si>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(05)6313219</t>
  </si>
  <si>
    <t xml:space="preserve">h2@gram.com.tw</t>
  </si>
  <si>
    <t xml:space="preserve">2009-11-30</t>
  </si>
  <si>
    <t xml:space="preserve">格蘭事業股份有限公司林森分公司代表人李雅琴</t>
  </si>
  <si>
    <t xml:space="preserve">莊慧如</t>
  </si>
  <si>
    <t xml:space="preserve">格蘭事業股份有限公司附設雲林縣私立格蘭英語短期補習班</t>
  </si>
  <si>
    <r>
      <rPr>
        <sz val="10"/>
        <color rgb="FF1F2A28"/>
        <rFont val="WenQuanYi Zen Hei"/>
        <family val="2"/>
      </rPr>
      <t xml:space="preserve">虎尾鎮和平路</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</si>
  <si>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056330668</t>
  </si>
  <si>
    <t xml:space="preserve">hp@gram.com.tw</t>
  </si>
  <si>
    <t xml:space="preserve">基礎英語會話、中級英語會話、兒童美語</t>
  </si>
  <si>
    <t xml:space="preserve">李雅琴</t>
  </si>
  <si>
    <t xml:space="preserve">私立亞瑟美語短期補習班</t>
  </si>
  <si>
    <r>
      <rPr>
        <sz val="10"/>
        <color rgb="FF1F2A28"/>
        <rFont val="WenQuanYi Zen Hei"/>
        <family val="2"/>
      </rPr>
      <t xml:space="preserve">虎尾鎮穎川里林森路二段</t>
    </r>
    <r>
      <rPr>
        <sz val="10"/>
        <color rgb="FF1F2A28"/>
        <rFont val="Arial"/>
        <family val="0"/>
        <charset val="1"/>
      </rPr>
      <t xml:space="preserve">438</t>
    </r>
    <r>
      <rPr>
        <sz val="10"/>
        <color rgb="FF1F2A28"/>
        <rFont val="WenQuanYi Zen Hei"/>
        <family val="2"/>
      </rPr>
      <t xml:space="preserve">之</t>
    </r>
    <r>
      <rPr>
        <sz val="10"/>
        <color rgb="FF1F2A28"/>
        <rFont val="Arial"/>
        <family val="0"/>
        <charset val="1"/>
      </rPr>
      <t xml:space="preserve">10</t>
    </r>
    <r>
      <rPr>
        <sz val="10"/>
        <color rgb="FF1F2A28"/>
        <rFont val="WenQuanYi Zen Hei"/>
        <family val="2"/>
      </rPr>
      <t xml:space="preserve">號</t>
    </r>
  </si>
  <si>
    <t xml:space="preserve">(05)6337772</t>
  </si>
  <si>
    <t xml:space="preserve">f0915@ms13.hinet.net</t>
  </si>
  <si>
    <t xml:space="preserve">2005-03-25</t>
  </si>
  <si>
    <t xml:space="preserve">胡化南</t>
  </si>
  <si>
    <t xml:space="preserve">私立夏山語文短期補習班</t>
  </si>
  <si>
    <r>
      <rPr>
        <sz val="10"/>
        <color rgb="FF1F2A28"/>
        <rFont val="WenQuanYi Zen Hei"/>
        <family val="2"/>
      </rPr>
      <t xml:space="preserve">虎尾鎮東仁里東仁路</t>
    </r>
    <r>
      <rPr>
        <sz val="10"/>
        <color rgb="FF1F2A28"/>
        <rFont val="Arial"/>
        <family val="0"/>
        <charset val="1"/>
      </rPr>
      <t xml:space="preserve">139</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</si>
  <si>
    <t xml:space="preserve">6334447</t>
  </si>
  <si>
    <t xml:space="preserve">english135828@yahoo.com.tw</t>
  </si>
  <si>
    <t xml:space="preserve">1993-11-08</t>
  </si>
  <si>
    <t xml:space="preserve">王惠淑</t>
  </si>
  <si>
    <t xml:space="preserve">私立皇家柏克萊語文短期補習班</t>
  </si>
  <si>
    <r>
      <rPr>
        <sz val="10"/>
        <color rgb="FF1F2A28"/>
        <rFont val="WenQuanYi Zen Hei"/>
        <family val="2"/>
      </rPr>
      <t xml:space="preserve">虎尾鎮林森路一段</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</si>
  <si>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(05)6330100</t>
  </si>
  <si>
    <t xml:space="preserve">2009-07-02</t>
  </si>
  <si>
    <t xml:space="preserve">李芝欄</t>
  </si>
  <si>
    <t xml:space="preserve">私立花園美語短期補習班</t>
  </si>
  <si>
    <r>
      <rPr>
        <sz val="10"/>
        <color rgb="FF1F2A28"/>
        <rFont val="WenQuanYi Zen Hei"/>
        <family val="2"/>
      </rPr>
      <t xml:space="preserve">虎尾鎮公安路</t>
    </r>
    <r>
      <rPr>
        <sz val="10"/>
        <color rgb="FF1F2A28"/>
        <rFont val="Arial"/>
        <family val="0"/>
        <charset val="1"/>
      </rPr>
      <t xml:space="preserve">308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</si>
  <si>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(05)6361146</t>
  </si>
  <si>
    <t xml:space="preserve">gardenenglish@gmail.com</t>
  </si>
  <si>
    <t xml:space="preserve">2012-09-12</t>
  </si>
  <si>
    <t xml:space="preserve">李御菲</t>
  </si>
  <si>
    <t xml:space="preserve">褒忠鄉</t>
  </si>
  <si>
    <t xml:space="preserve">私立羅傑美語短期補習班</t>
  </si>
  <si>
    <r>
      <rPr>
        <sz val="10"/>
        <color rgb="FF1F2A28"/>
        <rFont val="WenQuanYi Zen Hei"/>
        <family val="2"/>
      </rPr>
      <t xml:space="preserve">褒忠鄉三民路</t>
    </r>
    <r>
      <rPr>
        <sz val="10"/>
        <color rgb="FF1F2A28"/>
        <rFont val="Arial"/>
        <family val="0"/>
        <charset val="1"/>
      </rPr>
      <t xml:space="preserve">147</t>
    </r>
    <r>
      <rPr>
        <sz val="10"/>
        <color rgb="FF1F2A28"/>
        <rFont val="WenQuanYi Zen Hei"/>
        <family val="2"/>
      </rPr>
      <t xml:space="preserve">巷</t>
    </r>
    <r>
      <rPr>
        <sz val="10"/>
        <color rgb="FF1F2A28"/>
        <rFont val="Arial"/>
        <family val="0"/>
        <charset val="1"/>
      </rPr>
      <t xml:space="preserve">43</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</si>
  <si>
    <t xml:space="preserve">6975999</t>
  </si>
  <si>
    <t xml:space="preserve">power55255@yahoo.com.tw</t>
  </si>
  <si>
    <t xml:space="preserve">國中小美語</t>
  </si>
  <si>
    <t xml:space="preserve">林小萍</t>
  </si>
  <si>
    <t xml:space="preserve">西螺鎮</t>
  </si>
  <si>
    <t xml:space="preserve">私立格瑞奇語文短期補習班</t>
  </si>
  <si>
    <r>
      <rPr>
        <sz val="10"/>
        <color rgb="FF1F2A28"/>
        <rFont val="WenQuanYi Zen Hei"/>
        <family val="2"/>
      </rPr>
      <t xml:space="preserve">西螺鎮廣興里九鄰</t>
    </r>
    <r>
      <rPr>
        <sz val="10"/>
        <color rgb="FF1F2A28"/>
        <rFont val="Arial"/>
        <family val="0"/>
        <charset val="1"/>
      </rPr>
      <t xml:space="preserve">108</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</si>
  <si>
    <t xml:space="preserve">5880920</t>
  </si>
  <si>
    <t xml:space="preserve">go_reach@yahoo.com.tw</t>
  </si>
  <si>
    <t xml:space="preserve">廖志鴻</t>
  </si>
  <si>
    <t xml:space="preserve">私立漢聲心算美語短期補習班</t>
  </si>
  <si>
    <r>
      <rPr>
        <sz val="10"/>
        <color rgb="FF1F2A28"/>
        <rFont val="WenQuanYi Zen Hei"/>
        <family val="2"/>
      </rPr>
      <t xml:space="preserve">西螺鎮光明西路</t>
    </r>
    <r>
      <rPr>
        <sz val="10"/>
        <color rgb="FF1F2A28"/>
        <rFont val="Arial"/>
        <family val="0"/>
        <charset val="1"/>
      </rPr>
      <t xml:space="preserve">316</t>
    </r>
    <r>
      <rPr>
        <sz val="10"/>
        <color rgb="FF1F2A28"/>
        <rFont val="WenQuanYi Zen Hei"/>
        <family val="2"/>
      </rPr>
      <t xml:space="preserve">、</t>
    </r>
    <r>
      <rPr>
        <sz val="10"/>
        <color rgb="FF1F2A28"/>
        <rFont val="Arial"/>
        <family val="0"/>
        <charset val="1"/>
      </rPr>
      <t xml:space="preserve">318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</si>
  <si>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(05)5873606</t>
  </si>
  <si>
    <t xml:space="preserve">jacklee5707@yahoo.com.tw</t>
  </si>
  <si>
    <t xml:space="preserve">1999-04-01</t>
  </si>
  <si>
    <t xml:space="preserve">李興宇</t>
  </si>
  <si>
    <t xml:space="preserve">嘉義市</t>
  </si>
  <si>
    <t xml:space="preserve">嘉義市柏克來文理技藝短期補習班</t>
  </si>
  <si>
    <r>
      <rPr>
        <sz val="10"/>
        <color rgb="FF1F2A28"/>
        <rFont val="Arial"/>
        <family val="0"/>
        <charset val="1"/>
      </rPr>
      <t xml:space="preserve">600043</t>
    </r>
    <r>
      <rPr>
        <sz val="10"/>
        <color rgb="FF1F2A28"/>
        <rFont val="WenQuanYi Zen Hei"/>
        <family val="2"/>
      </rPr>
      <t xml:space="preserve">嘉義市東區立仁路</t>
    </r>
    <r>
      <rPr>
        <sz val="10"/>
        <color rgb="FF1F2A28"/>
        <rFont val="Arial"/>
        <family val="0"/>
        <charset val="1"/>
      </rPr>
      <t xml:space="preserve">63</t>
    </r>
    <r>
      <rPr>
        <sz val="10"/>
        <color rgb="FF1F2A28"/>
        <rFont val="WenQuanYi Zen Hei"/>
        <family val="2"/>
      </rPr>
      <t xml:space="preserve">巷</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t>
    </r>
  </si>
  <si>
    <t xml:space="preserve">05-2168178</t>
  </si>
  <si>
    <t xml:space="preserve">berkeley_math@yahoo.com.tw</t>
  </si>
  <si>
    <t xml:space="preserve">2002-04-03</t>
  </si>
  <si>
    <t xml:space="preserve">吳慧禎</t>
  </si>
  <si>
    <t xml:space="preserve">江景溪</t>
  </si>
  <si>
    <r>
      <rPr>
        <sz val="10"/>
        <color rgb="FF1F2A28"/>
        <rFont val="WenQuanYi Zen Hei"/>
        <family val="2"/>
      </rPr>
      <t xml:space="preserve">嘉義市私立</t>
    </r>
    <r>
      <rPr>
        <sz val="10"/>
        <color rgb="FF1F2A28"/>
        <rFont val="Arial"/>
        <family val="0"/>
        <charset val="1"/>
      </rPr>
      <t xml:space="preserve">ABC</t>
    </r>
    <r>
      <rPr>
        <sz val="10"/>
        <color rgb="FF1F2A28"/>
        <rFont val="WenQuanYi Zen Hei"/>
        <family val="2"/>
      </rPr>
      <t xml:space="preserve">文理短期補習班</t>
    </r>
  </si>
  <si>
    <r>
      <rPr>
        <sz val="10"/>
        <color rgb="FF1F2A28"/>
        <rFont val="Arial"/>
        <family val="0"/>
        <charset val="1"/>
      </rPr>
      <t xml:space="preserve">600047</t>
    </r>
    <r>
      <rPr>
        <sz val="10"/>
        <color rgb="FF1F2A28"/>
        <rFont val="WenQuanYi Zen Hei"/>
        <family val="2"/>
      </rPr>
      <t xml:space="preserve">嘉義市東區大雅路二段</t>
    </r>
    <r>
      <rPr>
        <sz val="10"/>
        <color rgb="FF1F2A28"/>
        <rFont val="Arial"/>
        <family val="0"/>
        <charset val="1"/>
      </rPr>
      <t xml:space="preserve">416</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r>
      <rPr>
        <sz val="10"/>
        <color rgb="FF1F2A28"/>
        <rFont val="Arial"/>
        <family val="0"/>
        <charset val="1"/>
      </rPr>
      <t xml:space="preserve">)</t>
    </r>
  </si>
  <si>
    <t xml:space="preserve">05-2716100</t>
  </si>
  <si>
    <t xml:space="preserve">abc.kidschool@gmail.com</t>
  </si>
  <si>
    <t xml:space="preserve">1999-12-10</t>
  </si>
  <si>
    <t xml:space="preserve">王秋華</t>
  </si>
  <si>
    <t xml:space="preserve">王建翔</t>
  </si>
  <si>
    <t xml:space="preserve">嘉義市私立上圓文理短期補習班</t>
  </si>
  <si>
    <r>
      <rPr>
        <sz val="10"/>
        <color rgb="FF1F2A28"/>
        <rFont val="Arial"/>
        <family val="0"/>
        <charset val="1"/>
      </rPr>
      <t xml:space="preserve">600084</t>
    </r>
    <r>
      <rPr>
        <sz val="10"/>
        <color rgb="FF1F2A28"/>
        <rFont val="WenQuanYi Zen Hei"/>
        <family val="2"/>
      </rPr>
      <t xml:space="preserve">嘉義市西區德安路</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</si>
  <si>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05-2911201</t>
  </si>
  <si>
    <t xml:space="preserve">bd106@joy.com.tw</t>
  </si>
  <si>
    <r>
      <rPr>
        <sz val="10"/>
        <color rgb="FF1F2A28"/>
        <rFont val="WenQuanYi Zen Hei"/>
        <family val="2"/>
      </rPr>
      <t xml:space="preserve">英文</t>
    </r>
    <r>
      <rPr>
        <sz val="10"/>
        <color rgb="FF1F2A28"/>
        <rFont val="Arial"/>
        <family val="0"/>
        <charset val="1"/>
      </rPr>
      <t xml:space="preserve">B</t>
    </r>
    <r>
      <rPr>
        <sz val="10"/>
        <color rgb="FF1F2A28"/>
        <rFont val="WenQuanYi Zen Hei"/>
        <family val="2"/>
      </rPr>
      <t xml:space="preserve">、英文</t>
    </r>
    <r>
      <rPr>
        <sz val="10"/>
        <color rgb="FF1F2A28"/>
        <rFont val="Arial"/>
        <family val="0"/>
        <charset val="1"/>
      </rPr>
      <t xml:space="preserve">A</t>
    </r>
    <r>
      <rPr>
        <sz val="10"/>
        <color rgb="FF1F2A28"/>
        <rFont val="WenQuanYi Zen Hei"/>
        <family val="2"/>
      </rPr>
      <t xml:space="preserve">、英文</t>
    </r>
    <r>
      <rPr>
        <sz val="10"/>
        <color rgb="FF1F2A28"/>
        <rFont val="Arial"/>
        <family val="0"/>
        <charset val="1"/>
      </rPr>
      <t xml:space="preserve">C</t>
    </r>
    <r>
      <rPr>
        <sz val="10"/>
        <color rgb="FF1F2A28"/>
        <rFont val="WenQuanYi Zen Hei"/>
        <family val="2"/>
      </rPr>
      <t xml:space="preserve">、英文</t>
    </r>
    <r>
      <rPr>
        <sz val="10"/>
        <color rgb="FF1F2A28"/>
        <rFont val="Arial"/>
        <family val="0"/>
        <charset val="1"/>
      </rPr>
      <t xml:space="preserve">D</t>
    </r>
  </si>
  <si>
    <t xml:space="preserve">2017-05-02</t>
  </si>
  <si>
    <t xml:space="preserve">楊偉新</t>
  </si>
  <si>
    <t xml:space="preserve">蕭雅婷</t>
  </si>
  <si>
    <t xml:space="preserve">嘉義市私立亨竣文理短期補習班</t>
  </si>
  <si>
    <r>
      <rPr>
        <sz val="10"/>
        <color rgb="FF1F2A28"/>
        <rFont val="Arial"/>
        <family val="0"/>
        <charset val="1"/>
      </rPr>
      <t xml:space="preserve">600043</t>
    </r>
    <r>
      <rPr>
        <sz val="10"/>
        <color rgb="FF1F2A28"/>
        <rFont val="WenQuanYi Zen Hei"/>
        <family val="2"/>
      </rPr>
      <t xml:space="preserve">嘉義市東區環興街</t>
    </r>
    <r>
      <rPr>
        <sz val="10"/>
        <color rgb="FF1F2A28"/>
        <rFont val="Arial"/>
        <family val="0"/>
        <charset val="1"/>
      </rPr>
      <t xml:space="preserve">53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</si>
  <si>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t>
  </si>
  <si>
    <t xml:space="preserve">2021-05-28</t>
  </si>
  <si>
    <t xml:space="preserve">黃得晉</t>
  </si>
  <si>
    <t xml:space="preserve">蔡宜真</t>
  </si>
  <si>
    <t xml:space="preserve">嘉義市私立佳祐文理短期補習班</t>
  </si>
  <si>
    <r>
      <rPr>
        <sz val="10"/>
        <color rgb="FF1F2A28"/>
        <rFont val="Arial"/>
        <family val="0"/>
        <charset val="1"/>
      </rPr>
      <t xml:space="preserve">600038</t>
    </r>
    <r>
      <rPr>
        <sz val="10"/>
        <color rgb="FF1F2A28"/>
        <rFont val="WenQuanYi Zen Hei"/>
        <family val="2"/>
      </rPr>
      <t xml:space="preserve">嘉義市東區軍輝路</t>
    </r>
    <r>
      <rPr>
        <sz val="10"/>
        <color rgb="FF1F2A28"/>
        <rFont val="Arial"/>
        <family val="0"/>
        <charset val="1"/>
      </rPr>
      <t xml:space="preserve">220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t>
    </r>
  </si>
  <si>
    <t xml:space="preserve">(05)2303366</t>
  </si>
  <si>
    <t xml:space="preserve">bd1132303366@gmail.com</t>
  </si>
  <si>
    <t xml:space="preserve">翁憲崇</t>
  </si>
  <si>
    <t xml:space="preserve">翁鳳澂</t>
  </si>
  <si>
    <t xml:space="preserve">嘉義市私立優肯文理短期補習班</t>
  </si>
  <si>
    <r>
      <rPr>
        <sz val="10"/>
        <color rgb="FF1F2A28"/>
        <rFont val="Arial"/>
        <family val="0"/>
        <charset val="1"/>
      </rPr>
      <t xml:space="preserve">600009</t>
    </r>
    <r>
      <rPr>
        <sz val="10"/>
        <color rgb="FF1F2A28"/>
        <rFont val="WenQuanYi Zen Hei"/>
        <family val="2"/>
      </rPr>
      <t xml:space="preserve">嘉義市東區啟明路</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</si>
  <si>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05-2710108</t>
  </si>
  <si>
    <t xml:space="preserve">kidcastle052277676@yahoo.com.tw</t>
  </si>
  <si>
    <t xml:space="preserve">鄭文良</t>
  </si>
  <si>
    <t xml:space="preserve">劉麗英</t>
  </si>
  <si>
    <t xml:space="preserve">嘉義市私立吉迪多文理短期補習班</t>
  </si>
  <si>
    <r>
      <rPr>
        <sz val="10"/>
        <color rgb="FF1F2A28"/>
        <rFont val="Arial"/>
        <family val="0"/>
        <charset val="1"/>
      </rPr>
      <t xml:space="preserve">600084</t>
    </r>
    <r>
      <rPr>
        <sz val="10"/>
        <color rgb="FF1F2A28"/>
        <rFont val="WenQuanYi Zen Hei"/>
        <family val="2"/>
      </rPr>
      <t xml:space="preserve">嘉義市西區德安路</t>
    </r>
    <r>
      <rPr>
        <sz val="10"/>
        <color rgb="FF1F2A28"/>
        <rFont val="Arial"/>
        <family val="0"/>
        <charset val="1"/>
      </rPr>
      <t xml:space="preserve">53</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</si>
  <si>
    <t xml:space="preserve">05-2336600</t>
  </si>
  <si>
    <t xml:space="preserve">abbybarbiebaby@yahoo.com.tw</t>
  </si>
  <si>
    <t xml:space="preserve">2001-02-09</t>
  </si>
  <si>
    <t xml:space="preserve">嘉義市私立哥倫比亞文理短期補習班</t>
  </si>
  <si>
    <r>
      <rPr>
        <sz val="10"/>
        <color rgb="FF1F2A28"/>
        <rFont val="Arial"/>
        <family val="0"/>
        <charset val="1"/>
      </rPr>
      <t xml:space="preserve">600026</t>
    </r>
    <r>
      <rPr>
        <sz val="10"/>
        <color rgb="FF1F2A28"/>
        <rFont val="WenQuanYi Zen Hei"/>
        <family val="2"/>
      </rPr>
      <t xml:space="preserve">嘉義市東區興業東路</t>
    </r>
    <r>
      <rPr>
        <sz val="10"/>
        <color rgb="FF1F2A28"/>
        <rFont val="Arial"/>
        <family val="0"/>
        <charset val="1"/>
      </rPr>
      <t xml:space="preserve">240</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r>
      <rPr>
        <sz val="10"/>
        <color rgb="FF1F2A28"/>
        <rFont val="Arial"/>
        <family val="0"/>
        <charset val="1"/>
      </rPr>
      <t xml:space="preserve">)</t>
    </r>
  </si>
  <si>
    <t xml:space="preserve">05-2226888</t>
  </si>
  <si>
    <t xml:space="preserve">columbiachiayi@gmail.com</t>
  </si>
  <si>
    <t xml:space="preserve">2000-07-24</t>
  </si>
  <si>
    <t xml:space="preserve">許慧音</t>
  </si>
  <si>
    <t xml:space="preserve">嘉義市私立國航文理短期補習班</t>
  </si>
  <si>
    <r>
      <rPr>
        <sz val="10"/>
        <color rgb="FF1F2A28"/>
        <rFont val="Arial"/>
        <family val="0"/>
        <charset val="1"/>
      </rPr>
      <t xml:space="preserve">600001</t>
    </r>
    <r>
      <rPr>
        <sz val="10"/>
        <color rgb="FF1F2A28"/>
        <rFont val="WenQuanYi Zen Hei"/>
        <family val="2"/>
      </rPr>
      <t xml:space="preserve">嘉義市東區垂楊路</t>
    </r>
    <r>
      <rPr>
        <sz val="10"/>
        <color rgb="FF1F2A28"/>
        <rFont val="Arial"/>
        <family val="0"/>
        <charset val="1"/>
      </rPr>
      <t xml:space="preserve">505</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樓之</t>
    </r>
    <r>
      <rPr>
        <sz val="10"/>
        <color rgb="FF1F2A28"/>
        <rFont val="Arial"/>
        <family val="0"/>
        <charset val="1"/>
      </rPr>
      <t xml:space="preserve">1</t>
    </r>
  </si>
  <si>
    <t xml:space="preserve">05-2366975</t>
  </si>
  <si>
    <t xml:space="preserve">wk2366975@yahoo.com.tw</t>
  </si>
  <si>
    <t xml:space="preserve">馮萬強</t>
  </si>
  <si>
    <t xml:space="preserve">嘉義市私立夢想樹文理短期補習班</t>
  </si>
  <si>
    <r>
      <rPr>
        <sz val="10"/>
        <color rgb="FF1F2A28"/>
        <rFont val="Arial"/>
        <family val="0"/>
        <charset val="1"/>
      </rPr>
      <t xml:space="preserve">600063</t>
    </r>
    <r>
      <rPr>
        <sz val="10"/>
        <color rgb="FF1F2A28"/>
        <rFont val="WenQuanYi Zen Hei"/>
        <family val="2"/>
      </rPr>
      <t xml:space="preserve">嘉義市東區嘉北街</t>
    </r>
    <r>
      <rPr>
        <sz val="10"/>
        <color rgb="FF1F2A28"/>
        <rFont val="Arial"/>
        <family val="0"/>
        <charset val="1"/>
      </rPr>
      <t xml:space="preserve">66</t>
    </r>
    <r>
      <rPr>
        <sz val="10"/>
        <color rgb="FF1F2A28"/>
        <rFont val="WenQuanYi Zen Hei"/>
        <family val="2"/>
      </rPr>
      <t xml:space="preserve">巷</t>
    </r>
    <r>
      <rPr>
        <sz val="10"/>
        <color rgb="FF1F2A28"/>
        <rFont val="Arial"/>
        <family val="0"/>
        <charset val="1"/>
      </rPr>
      <t xml:space="preserve">45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</si>
  <si>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(05)2755298</t>
  </si>
  <si>
    <t xml:space="preserve">alexisyunyun@gmail.com</t>
  </si>
  <si>
    <t xml:space="preserve">陳允芸</t>
  </si>
  <si>
    <t xml:space="preserve">嘉義市私立大圓文理短期補習班</t>
  </si>
  <si>
    <r>
      <rPr>
        <sz val="10"/>
        <color rgb="FF1F2A28"/>
        <rFont val="Arial"/>
        <family val="0"/>
        <charset val="1"/>
      </rPr>
      <t xml:space="preserve">600024</t>
    </r>
    <r>
      <rPr>
        <sz val="10"/>
        <color rgb="FF1F2A28"/>
        <rFont val="WenQuanYi Zen Hei"/>
        <family val="2"/>
      </rPr>
      <t xml:space="preserve">嘉義市西區志昇街</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t>
    </r>
  </si>
  <si>
    <t xml:space="preserve">(05)2167990</t>
  </si>
  <si>
    <t xml:space="preserve">bd023@joy.com.tw</t>
  </si>
  <si>
    <r>
      <rPr>
        <sz val="10"/>
        <color rgb="FF1F2A28"/>
        <rFont val="WenQuanYi Zen Hei"/>
        <family val="2"/>
      </rPr>
      <t xml:space="preserve">英文</t>
    </r>
    <r>
      <rPr>
        <sz val="10"/>
        <color rgb="FF1F2A28"/>
        <rFont val="Arial"/>
        <family val="0"/>
        <charset val="1"/>
      </rPr>
      <t xml:space="preserve">B</t>
    </r>
    <r>
      <rPr>
        <sz val="10"/>
        <color rgb="FF1F2A28"/>
        <rFont val="WenQuanYi Zen Hei"/>
        <family val="2"/>
      </rPr>
      <t xml:space="preserve">、英文</t>
    </r>
    <r>
      <rPr>
        <sz val="10"/>
        <color rgb="FF1F2A28"/>
        <rFont val="Arial"/>
        <family val="0"/>
        <charset val="1"/>
      </rPr>
      <t xml:space="preserve">A</t>
    </r>
  </si>
  <si>
    <t xml:space="preserve">2002-06-26</t>
  </si>
  <si>
    <t xml:space="preserve">嘉義市私立大能力文理短期補習班</t>
  </si>
  <si>
    <r>
      <rPr>
        <sz val="10"/>
        <color rgb="FF1F2A28"/>
        <rFont val="Arial"/>
        <family val="0"/>
        <charset val="1"/>
      </rPr>
      <t xml:space="preserve">600030</t>
    </r>
    <r>
      <rPr>
        <sz val="10"/>
        <color rgb="FF1F2A28"/>
        <rFont val="WenQuanYi Zen Hei"/>
        <family val="2"/>
      </rPr>
      <t xml:space="preserve">嘉義市西區仁愛路</t>
    </r>
    <r>
      <rPr>
        <sz val="10"/>
        <color rgb="FF1F2A28"/>
        <rFont val="Arial"/>
        <family val="0"/>
        <charset val="1"/>
      </rPr>
      <t xml:space="preserve">142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),600030</t>
    </r>
    <r>
      <rPr>
        <sz val="10"/>
        <color rgb="FF1F2A28"/>
        <rFont val="WenQuanYi Zen Hei"/>
        <family val="2"/>
      </rPr>
      <t xml:space="preserve">仁愛路</t>
    </r>
    <r>
      <rPr>
        <sz val="10"/>
        <color rgb="FF1F2A28"/>
        <rFont val="Arial"/>
        <family val="0"/>
        <charset val="1"/>
      </rPr>
      <t xml:space="preserve">61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</si>
  <si>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05-2369906 05-2830511</t>
  </si>
  <si>
    <t xml:space="preserve">enjoy2769@gmail.com</t>
  </si>
  <si>
    <t xml:space="preserve">仲平萍</t>
  </si>
  <si>
    <t xml:space="preserve">施沐琦</t>
  </si>
  <si>
    <t xml:space="preserve">嘉義市私立天欣文理技藝短期補習班</t>
  </si>
  <si>
    <r>
      <rPr>
        <sz val="10"/>
        <color rgb="FF1F2A28"/>
        <rFont val="Arial"/>
        <family val="0"/>
        <charset val="1"/>
      </rPr>
      <t xml:space="preserve">600043</t>
    </r>
    <r>
      <rPr>
        <sz val="10"/>
        <color rgb="FF1F2A28"/>
        <rFont val="WenQuanYi Zen Hei"/>
        <family val="2"/>
      </rPr>
      <t xml:space="preserve">嘉義市東區興安里環興街</t>
    </r>
    <r>
      <rPr>
        <sz val="10"/>
        <color rgb="FF1F2A28"/>
        <rFont val="Arial"/>
        <family val="0"/>
        <charset val="1"/>
      </rPr>
      <t xml:space="preserve">67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69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</si>
  <si>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(05)2276588</t>
  </si>
  <si>
    <t xml:space="preserve">yaling0636@yahoo.com.tw</t>
  </si>
  <si>
    <t xml:space="preserve">2021-06-29</t>
  </si>
  <si>
    <t xml:space="preserve">羅雅玲</t>
  </si>
  <si>
    <t xml:space="preserve">嘉義市私立守璽文理技藝短期補習班</t>
  </si>
  <si>
    <r>
      <rPr>
        <sz val="10"/>
        <color rgb="FF1F2A28"/>
        <rFont val="Arial"/>
        <family val="0"/>
        <charset val="1"/>
      </rPr>
      <t xml:space="preserve">600037</t>
    </r>
    <r>
      <rPr>
        <sz val="10"/>
        <color rgb="FF1F2A28"/>
        <rFont val="WenQuanYi Zen Hei"/>
        <family val="2"/>
      </rPr>
      <t xml:space="preserve">嘉義市東區吳鳳南路</t>
    </r>
    <r>
      <rPr>
        <sz val="10"/>
        <color rgb="FF1F2A28"/>
        <rFont val="Arial"/>
        <family val="0"/>
        <charset val="1"/>
      </rPr>
      <t xml:space="preserve">24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</si>
  <si>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(05)2253778</t>
  </si>
  <si>
    <t xml:space="preserve">mosaandnasa8837@gmail.com</t>
  </si>
  <si>
    <t xml:space="preserve">2020-04-21</t>
  </si>
  <si>
    <t xml:space="preserve">李冠昱</t>
  </si>
  <si>
    <t xml:space="preserve">蔡心心</t>
  </si>
  <si>
    <t xml:space="preserve">嘉義市私立巫博士文理短期補習班</t>
  </si>
  <si>
    <r>
      <rPr>
        <sz val="10"/>
        <color rgb="FF1F2A28"/>
        <rFont val="Arial"/>
        <family val="0"/>
        <charset val="1"/>
      </rPr>
      <t xml:space="preserve">600045</t>
    </r>
    <r>
      <rPr>
        <sz val="10"/>
        <color rgb="FF1F2A28"/>
        <rFont val="WenQuanYi Zen Hei"/>
        <family val="2"/>
      </rPr>
      <t xml:space="preserve">嘉義市東區圓福街</t>
    </r>
    <r>
      <rPr>
        <sz val="10"/>
        <color rgb="FF1F2A28"/>
        <rFont val="Arial"/>
        <family val="0"/>
        <charset val="1"/>
      </rPr>
      <t xml:space="preserve">118</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弄</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</si>
  <si>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05-2777770</t>
  </si>
  <si>
    <t xml:space="preserve">eileenwu1017@yahoo.com.tw</t>
  </si>
  <si>
    <t xml:space="preserve">2013-06-24</t>
  </si>
  <si>
    <t xml:space="preserve">巫鐘琳</t>
  </si>
  <si>
    <t xml:space="preserve">嘉義市私立得魚文理短期補習班</t>
  </si>
  <si>
    <r>
      <rPr>
        <sz val="10"/>
        <color rgb="FF1F2A28"/>
        <rFont val="Arial"/>
        <family val="0"/>
        <charset val="1"/>
      </rPr>
      <t xml:space="preserve">600035</t>
    </r>
    <r>
      <rPr>
        <sz val="10"/>
        <color rgb="FF1F2A28"/>
        <rFont val="WenQuanYi Zen Hei"/>
        <family val="2"/>
      </rPr>
      <t xml:space="preserve">嘉義市東區市宅街</t>
    </r>
    <r>
      <rPr>
        <sz val="10"/>
        <color rgb="FF1F2A28"/>
        <rFont val="Arial"/>
        <family val="0"/>
        <charset val="1"/>
      </rPr>
      <t xml:space="preserve">47-1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</si>
  <si>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05-2276882</t>
  </si>
  <si>
    <t xml:space="preserve">su535455@gmail.com</t>
  </si>
  <si>
    <t xml:space="preserve">賴肅如</t>
  </si>
  <si>
    <t xml:space="preserve">嘉義市私立曜進文理短期補習班</t>
  </si>
  <si>
    <r>
      <rPr>
        <sz val="10"/>
        <color rgb="FF1F2A28"/>
        <rFont val="Arial"/>
        <family val="0"/>
        <charset val="1"/>
      </rPr>
      <t xml:space="preserve">600039</t>
    </r>
    <r>
      <rPr>
        <sz val="10"/>
        <color rgb="FF1F2A28"/>
        <rFont val="WenQuanYi Zen Hei"/>
        <family val="2"/>
      </rPr>
      <t xml:space="preserve">嘉義市東區興仁街</t>
    </r>
    <r>
      <rPr>
        <sz val="10"/>
        <color rgb="FF1F2A28"/>
        <rFont val="Arial"/>
        <family val="0"/>
        <charset val="1"/>
      </rPr>
      <t xml:space="preserve">24</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</si>
  <si>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05-2393078</t>
  </si>
  <si>
    <t xml:space="preserve">yowjinn0611@gmail.com</t>
  </si>
  <si>
    <t xml:space="preserve">1997-03-31</t>
  </si>
  <si>
    <t xml:space="preserve">邱長梅</t>
  </si>
  <si>
    <t xml:space="preserve">嘉義市私立橡樹子文理技藝短期補習班</t>
  </si>
  <si>
    <r>
      <rPr>
        <sz val="10"/>
        <color rgb="FF1F2A28"/>
        <rFont val="Arial"/>
        <family val="0"/>
        <charset val="1"/>
      </rPr>
      <t xml:space="preserve">600055</t>
    </r>
    <r>
      <rPr>
        <sz val="10"/>
        <color rgb="FF1F2A28"/>
        <rFont val="WenQuanYi Zen Hei"/>
        <family val="2"/>
      </rPr>
      <t xml:space="preserve">嘉義市西區海口寮路</t>
    </r>
    <r>
      <rPr>
        <sz val="10"/>
        <color rgb="FF1F2A28"/>
        <rFont val="Arial"/>
        <family val="0"/>
        <charset val="1"/>
      </rPr>
      <t xml:space="preserve">119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</si>
  <si>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(05)2310340</t>
  </si>
  <si>
    <t xml:space="preserve">oakart1982@gmail.com</t>
  </si>
  <si>
    <t xml:space="preserve">2003-05-08</t>
  </si>
  <si>
    <t xml:space="preserve">許雪謹</t>
  </si>
  <si>
    <t xml:space="preserve">李英哲</t>
  </si>
  <si>
    <t xml:space="preserve">嘉義市私立正典文理短期補習班</t>
  </si>
  <si>
    <r>
      <rPr>
        <sz val="10"/>
        <color rgb="FF1F2A28"/>
        <rFont val="Arial"/>
        <family val="0"/>
        <charset val="1"/>
      </rPr>
      <t xml:space="preserve">600036</t>
    </r>
    <r>
      <rPr>
        <sz val="10"/>
        <color rgb="FF1F2A28"/>
        <rFont val="WenQuanYi Zen Hei"/>
        <family val="2"/>
      </rPr>
      <t xml:space="preserve">嘉義市西區崇文街</t>
    </r>
    <r>
      <rPr>
        <sz val="10"/>
        <color rgb="FF1F2A28"/>
        <rFont val="Arial"/>
        <family val="0"/>
        <charset val="1"/>
      </rPr>
      <t xml:space="preserve">317</t>
    </r>
    <r>
      <rPr>
        <sz val="10"/>
        <color rgb="FF1F2A28"/>
        <rFont val="WenQuanYi Zen Hei"/>
        <family val="2"/>
      </rPr>
      <t xml:space="preserve">之</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</si>
  <si>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05-2229982</t>
  </si>
  <si>
    <t xml:space="preserve">1987-06-11</t>
  </si>
  <si>
    <t xml:space="preserve">黃添興</t>
  </si>
  <si>
    <t xml:space="preserve">施穗英</t>
  </si>
  <si>
    <t xml:space="preserve">嘉義市私立澄果文理短期補習班</t>
  </si>
  <si>
    <r>
      <rPr>
        <sz val="10"/>
        <color rgb="FF1F2A28"/>
        <rFont val="Arial"/>
        <family val="0"/>
        <charset val="1"/>
      </rPr>
      <t xml:space="preserve">600003</t>
    </r>
    <r>
      <rPr>
        <sz val="10"/>
        <color rgb="FF1F2A28"/>
        <rFont val="WenQuanYi Zen Hei"/>
        <family val="2"/>
      </rPr>
      <t xml:space="preserve">嘉義市西區民生北路</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</si>
  <si>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05-2221175</t>
  </si>
  <si>
    <t xml:space="preserve">utopianenglish2018@gmail.com</t>
  </si>
  <si>
    <t xml:space="preserve">2019-01-17</t>
  </si>
  <si>
    <t xml:space="preserve">施凱峯</t>
  </si>
  <si>
    <t xml:space="preserve">嘉義市私立環境文理短期補習班</t>
  </si>
  <si>
    <r>
      <rPr>
        <sz val="10"/>
        <color rgb="FF1F2A28"/>
        <rFont val="Arial"/>
        <family val="0"/>
        <charset val="1"/>
      </rPr>
      <t xml:space="preserve">600025</t>
    </r>
    <r>
      <rPr>
        <sz val="10"/>
        <color rgb="FF1F2A28"/>
        <rFont val="WenQuanYi Zen Hei"/>
        <family val="2"/>
      </rPr>
      <t xml:space="preserve">嘉義市西區車店里蘭州三街</t>
    </r>
    <r>
      <rPr>
        <sz val="10"/>
        <color rgb="FF1F2A28"/>
        <rFont val="Arial"/>
        <family val="0"/>
        <charset val="1"/>
      </rPr>
      <t xml:space="preserve">98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</si>
  <si>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05-2360758</t>
  </si>
  <si>
    <t xml:space="preserve">dicky198012@yahoo.com.tw</t>
  </si>
  <si>
    <t xml:space="preserve">孔德基</t>
  </si>
  <si>
    <t xml:space="preserve">嘉義市私立羅奇文理短期補習班</t>
  </si>
  <si>
    <r>
      <rPr>
        <sz val="10"/>
        <color rgb="FF1F2A28"/>
        <rFont val="Arial"/>
        <family val="0"/>
        <charset val="1"/>
      </rPr>
      <t xml:space="preserve">600022</t>
    </r>
    <r>
      <rPr>
        <sz val="10"/>
        <color rgb="FF1F2A28"/>
        <rFont val="WenQuanYi Zen Hei"/>
        <family val="2"/>
      </rPr>
      <t xml:space="preserve">嘉義市西區培元里新榮路</t>
    </r>
    <r>
      <rPr>
        <sz val="10"/>
        <color rgb="FF1F2A28"/>
        <rFont val="Arial"/>
        <family val="0"/>
        <charset val="1"/>
      </rPr>
      <t xml:space="preserve">95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</si>
  <si>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(05)2345912</t>
  </si>
  <si>
    <t xml:space="preserve">賴旭輝</t>
  </si>
  <si>
    <t xml:space="preserve">嘉義市私立華鼎天下文理短期補習班</t>
  </si>
  <si>
    <r>
      <rPr>
        <sz val="10"/>
        <color rgb="FF1F2A28"/>
        <rFont val="Arial"/>
        <family val="0"/>
        <charset val="1"/>
      </rPr>
      <t xml:space="preserve">600012</t>
    </r>
    <r>
      <rPr>
        <sz val="10"/>
        <color rgb="FF1F2A28"/>
        <rFont val="WenQuanYi Zen Hei"/>
        <family val="2"/>
      </rPr>
      <t xml:space="preserve">嘉義市東區成仁街</t>
    </r>
    <r>
      <rPr>
        <sz val="10"/>
        <color rgb="FF1F2A28"/>
        <rFont val="Arial"/>
        <family val="0"/>
        <charset val="1"/>
      </rPr>
      <t xml:space="preserve">17</t>
    </r>
    <r>
      <rPr>
        <sz val="10"/>
        <color rgb="FF1F2A28"/>
        <rFont val="WenQuanYi Zen Hei"/>
        <family val="2"/>
      </rPr>
      <t xml:space="preserve">號</t>
    </r>
  </si>
  <si>
    <t xml:space="preserve">05-2247204</t>
  </si>
  <si>
    <t xml:space="preserve">hdwedu@gmail.com</t>
  </si>
  <si>
    <t xml:space="preserve">1983-09-19</t>
  </si>
  <si>
    <t xml:space="preserve">鄭渼琴</t>
  </si>
  <si>
    <t xml:space="preserve">嘉義市私立蘭德文理短期補習班</t>
  </si>
  <si>
    <r>
      <rPr>
        <sz val="10"/>
        <color rgb="FF1F2A28"/>
        <rFont val="Arial"/>
        <family val="0"/>
        <charset val="1"/>
      </rPr>
      <t xml:space="preserve">600036</t>
    </r>
    <r>
      <rPr>
        <sz val="10"/>
        <color rgb="FF1F2A28"/>
        <rFont val="WenQuanYi Zen Hei"/>
        <family val="2"/>
      </rPr>
      <t xml:space="preserve">嘉義市東區崇文街</t>
    </r>
    <r>
      <rPr>
        <sz val="10"/>
        <color rgb="FF1F2A28"/>
        <rFont val="Arial"/>
        <family val="0"/>
        <charset val="1"/>
      </rPr>
      <t xml:space="preserve">143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1.2.3</t>
    </r>
  </si>
  <si>
    <t xml:space="preserve">05-2258820</t>
  </si>
  <si>
    <t xml:space="preserve">cordeliaa50@yahoo.com.tw</t>
  </si>
  <si>
    <t xml:space="preserve">2007-05-01</t>
  </si>
  <si>
    <t xml:space="preserve">張 弘</t>
  </si>
  <si>
    <t xml:space="preserve">嘉義市私立諾爾堡文理短期補習班</t>
  </si>
  <si>
    <r>
      <rPr>
        <sz val="10"/>
        <color rgb="FF1F2A28"/>
        <rFont val="Arial"/>
        <family val="0"/>
        <charset val="1"/>
      </rPr>
      <t xml:space="preserve">600047</t>
    </r>
    <r>
      <rPr>
        <sz val="10"/>
        <color rgb="FF1F2A28"/>
        <rFont val="WenQuanYi Zen Hei"/>
        <family val="2"/>
      </rPr>
      <t xml:space="preserve">嘉義市東區大雅路一段</t>
    </r>
    <r>
      <rPr>
        <sz val="10"/>
        <color rgb="FF1F2A28"/>
        <rFont val="Arial"/>
        <family val="0"/>
        <charset val="1"/>
      </rPr>
      <t xml:space="preserve">850</t>
    </r>
    <r>
      <rPr>
        <sz val="10"/>
        <color rgb="FF1F2A28"/>
        <rFont val="WenQuanYi Zen Hei"/>
        <family val="2"/>
      </rPr>
      <t xml:space="preserve">號</t>
    </r>
  </si>
  <si>
    <t xml:space="preserve">05-2759951</t>
  </si>
  <si>
    <t xml:space="preserve">nobleschoolnoble@gmail.com</t>
  </si>
  <si>
    <r>
      <rPr>
        <sz val="10"/>
        <color rgb="FF1F2A28"/>
        <rFont val="Arial"/>
        <family val="0"/>
        <charset val="1"/>
      </rPr>
      <t xml:space="preserve">G1</t>
    </r>
    <r>
      <rPr>
        <sz val="10"/>
        <color rgb="FF1F2A28"/>
        <rFont val="WenQuanYi Zen Hei"/>
        <family val="2"/>
      </rPr>
      <t xml:space="preserve">兒童美語、</t>
    </r>
    <r>
      <rPr>
        <sz val="10"/>
        <color rgb="FF1F2A28"/>
        <rFont val="Arial"/>
        <family val="0"/>
        <charset val="1"/>
      </rPr>
      <t xml:space="preserve">G2</t>
    </r>
    <r>
      <rPr>
        <sz val="10"/>
        <color rgb="FF1F2A28"/>
        <rFont val="WenQuanYi Zen Hei"/>
        <family val="2"/>
      </rPr>
      <t xml:space="preserve">兒童美語、</t>
    </r>
    <r>
      <rPr>
        <sz val="10"/>
        <color rgb="FF1F2A28"/>
        <rFont val="Arial"/>
        <family val="0"/>
        <charset val="1"/>
      </rPr>
      <t xml:space="preserve">G6</t>
    </r>
    <r>
      <rPr>
        <sz val="10"/>
        <color rgb="FF1F2A28"/>
        <rFont val="WenQuanYi Zen Hei"/>
        <family val="2"/>
      </rPr>
      <t xml:space="preserve">兒童美語、英語、</t>
    </r>
    <r>
      <rPr>
        <sz val="10"/>
        <color rgb="FF1F2A28"/>
        <rFont val="Arial"/>
        <family val="0"/>
        <charset val="1"/>
      </rPr>
      <t xml:space="preserve">G5</t>
    </r>
    <r>
      <rPr>
        <sz val="10"/>
        <color rgb="FF1F2A28"/>
        <rFont val="WenQuanYi Zen Hei"/>
        <family val="2"/>
      </rPr>
      <t xml:space="preserve">兒童美語、</t>
    </r>
    <r>
      <rPr>
        <sz val="10"/>
        <color rgb="FF1F2A28"/>
        <rFont val="Arial"/>
        <family val="0"/>
        <charset val="1"/>
      </rPr>
      <t xml:space="preserve">G4</t>
    </r>
    <r>
      <rPr>
        <sz val="10"/>
        <color rgb="FF1F2A28"/>
        <rFont val="WenQuanYi Zen Hei"/>
        <family val="2"/>
      </rPr>
      <t xml:space="preserve">兒童美語、</t>
    </r>
    <r>
      <rPr>
        <sz val="10"/>
        <color rgb="FF1F2A28"/>
        <rFont val="Arial"/>
        <family val="0"/>
        <charset val="1"/>
      </rPr>
      <t xml:space="preserve">G3</t>
    </r>
    <r>
      <rPr>
        <sz val="10"/>
        <color rgb="FF1F2A28"/>
        <rFont val="WenQuanYi Zen Hei"/>
        <family val="2"/>
      </rPr>
      <t xml:space="preserve">兒童美語</t>
    </r>
  </si>
  <si>
    <t xml:space="preserve">謝義齡</t>
  </si>
  <si>
    <t xml:space="preserve">鄧涵文</t>
  </si>
  <si>
    <t xml:space="preserve">嘉義市私立貝斯特文理短期補習班</t>
  </si>
  <si>
    <r>
      <rPr>
        <sz val="10"/>
        <color rgb="FF1F2A28"/>
        <rFont val="Arial"/>
        <family val="0"/>
        <charset val="1"/>
      </rPr>
      <t xml:space="preserve">600063</t>
    </r>
    <r>
      <rPr>
        <sz val="10"/>
        <color rgb="FF1F2A28"/>
        <rFont val="WenQuanYi Zen Hei"/>
        <family val="2"/>
      </rPr>
      <t xml:space="preserve">嘉義市東區嘉北街</t>
    </r>
    <r>
      <rPr>
        <sz val="10"/>
        <color rgb="FF1F2A28"/>
        <rFont val="Arial"/>
        <family val="0"/>
        <charset val="1"/>
      </rPr>
      <t xml:space="preserve">66</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</si>
  <si>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(05)2753758</t>
  </si>
  <si>
    <t xml:space="preserve">best571479@yahoo.com.tw</t>
  </si>
  <si>
    <t xml:space="preserve">林蓮桂</t>
  </si>
  <si>
    <t xml:space="preserve">嘉義市私立馬蓋先英語文理短期補習班</t>
  </si>
  <si>
    <r>
      <rPr>
        <sz val="10"/>
        <color rgb="FF1F2A28"/>
        <rFont val="Arial"/>
        <family val="0"/>
        <charset val="1"/>
      </rPr>
      <t xml:space="preserve">600001</t>
    </r>
    <r>
      <rPr>
        <sz val="10"/>
        <color rgb="FF1F2A28"/>
        <rFont val="WenQuanYi Zen Hei"/>
        <family val="2"/>
      </rPr>
      <t xml:space="preserve">嘉義市西區垂楊路</t>
    </r>
    <r>
      <rPr>
        <sz val="10"/>
        <color rgb="FF1F2A28"/>
        <rFont val="Arial"/>
        <family val="0"/>
        <charset val="1"/>
      </rPr>
      <t xml:space="preserve">400</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樓之</t>
    </r>
    <r>
      <rPr>
        <sz val="10"/>
        <color rgb="FF1F2A28"/>
        <rFont val="Arial"/>
        <family val="0"/>
        <charset val="1"/>
      </rPr>
      <t xml:space="preserve">2</t>
    </r>
  </si>
  <si>
    <t xml:space="preserve">0922412652</t>
  </si>
  <si>
    <t xml:space="preserve">petrina_huang@yahoo.com</t>
  </si>
  <si>
    <t xml:space="preserve">2021-06-18</t>
  </si>
  <si>
    <t xml:space="preserve">黃瀞儀</t>
  </si>
  <si>
    <t xml:space="preserve">嘉義市私立鷹堡文理短期補習班</t>
  </si>
  <si>
    <r>
      <rPr>
        <sz val="10"/>
        <color rgb="FF1F2A28"/>
        <rFont val="Arial"/>
        <family val="0"/>
        <charset val="1"/>
      </rPr>
      <t xml:space="preserve">600027</t>
    </r>
    <r>
      <rPr>
        <sz val="10"/>
        <color rgb="FF1F2A28"/>
        <rFont val="WenQuanYi Zen Hei"/>
        <family val="2"/>
      </rPr>
      <t xml:space="preserve">嘉義市西區重慶路</t>
    </r>
    <r>
      <rPr>
        <sz val="10"/>
        <color rgb="FF1F2A28"/>
        <rFont val="Arial"/>
        <family val="0"/>
        <charset val="1"/>
      </rPr>
      <t xml:space="preserve">72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</si>
  <si>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05-2838938</t>
  </si>
  <si>
    <t xml:space="preserve">peter0072@hotmail.com</t>
  </si>
  <si>
    <t xml:space="preserve">2002-04-15</t>
  </si>
  <si>
    <t xml:space="preserve">黃逸文</t>
  </si>
  <si>
    <r>
      <rPr>
        <sz val="10"/>
        <color rgb="FF1F2A28"/>
        <rFont val="WenQuanYi Zen Hei"/>
        <family val="2"/>
      </rPr>
      <t xml:space="preserve">學習樹文理教育有限公司附設嘉義市私立</t>
    </r>
    <r>
      <rPr>
        <sz val="10"/>
        <color rgb="FF1F2A28"/>
        <rFont val="Arial"/>
        <family val="0"/>
        <charset val="1"/>
      </rPr>
      <t xml:space="preserve">iEA</t>
    </r>
    <r>
      <rPr>
        <sz val="10"/>
        <color rgb="FF1F2A28"/>
        <rFont val="WenQuanYi Zen Hei"/>
        <family val="2"/>
      </rPr>
      <t xml:space="preserve">文理短期補習班</t>
    </r>
  </si>
  <si>
    <r>
      <rPr>
        <sz val="10"/>
        <color rgb="FF1F2A28"/>
        <rFont val="Arial"/>
        <family val="0"/>
        <charset val="1"/>
      </rPr>
      <t xml:space="preserve">600040</t>
    </r>
    <r>
      <rPr>
        <sz val="10"/>
        <color rgb="FF1F2A28"/>
        <rFont val="WenQuanYi Zen Hei"/>
        <family val="2"/>
      </rPr>
      <t xml:space="preserve">嘉義市東區彌陀路</t>
    </r>
    <r>
      <rPr>
        <sz val="10"/>
        <color rgb="FF1F2A28"/>
        <rFont val="Arial"/>
        <family val="0"/>
        <charset val="1"/>
      </rPr>
      <t xml:space="preserve">298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</si>
  <si>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05-2772626</t>
  </si>
  <si>
    <t xml:space="preserve">iea.chiayi@gmail.com</t>
  </si>
  <si>
    <t xml:space="preserve">2018-08-27</t>
  </si>
  <si>
    <t xml:space="preserve">學習樹文理教育有限公司代表人陳智超</t>
  </si>
  <si>
    <t xml:space="preserve">陳智超</t>
  </si>
  <si>
    <t xml:space="preserve">私立道爾敦語文短期補習班</t>
  </si>
  <si>
    <r>
      <rPr>
        <sz val="10"/>
        <color rgb="FF1F2A28"/>
        <rFont val="Arial"/>
        <family val="0"/>
        <charset val="1"/>
      </rPr>
      <t xml:space="preserve">600027</t>
    </r>
    <r>
      <rPr>
        <sz val="10"/>
        <color rgb="FF1F2A28"/>
        <rFont val="WenQuanYi Zen Hei"/>
        <family val="2"/>
      </rPr>
      <t xml:space="preserve">嘉義市西區世賢路三段</t>
    </r>
    <r>
      <rPr>
        <sz val="10"/>
        <color rgb="FF1F2A28"/>
        <rFont val="Arial"/>
        <family val="0"/>
        <charset val="1"/>
      </rPr>
      <t xml:space="preserve">403</t>
    </r>
    <r>
      <rPr>
        <sz val="10"/>
        <color rgb="FF1F2A28"/>
        <rFont val="WenQuanYi Zen Hei"/>
        <family val="2"/>
      </rPr>
      <t xml:space="preserve">號</t>
    </r>
    <r>
      <rPr>
        <sz val="10"/>
        <color rgb="FF1F2A28"/>
        <rFont val="Arial"/>
        <family val="0"/>
        <charset val="1"/>
      </rPr>
      <t xml:space="preserve">(3-4</t>
    </r>
    <r>
      <rPr>
        <sz val="10"/>
        <color rgb="FF1F2A28"/>
        <rFont val="WenQuanYi Zen Hei"/>
        <family val="2"/>
      </rPr>
      <t xml:space="preserve">樓</t>
    </r>
    <r>
      <rPr>
        <sz val="10"/>
        <color rgb="FF1F2A28"/>
        <rFont val="Arial"/>
        <family val="0"/>
        <charset val="1"/>
      </rPr>
      <t xml:space="preserve">)</t>
    </r>
  </si>
  <si>
    <t xml:space="preserve">(05)2362750</t>
  </si>
  <si>
    <t xml:space="preserve">daltonschool403@gmail.com</t>
  </si>
  <si>
    <t xml:space="preserve">陳盛南</t>
  </si>
  <si>
    <t xml:space="preserve">財團法人台灣聖公會附設嘉義市私立聖彼得文理短期補習班</t>
  </si>
  <si>
    <r>
      <rPr>
        <sz val="10"/>
        <color rgb="FF1F2A28"/>
        <rFont val="Arial"/>
        <family val="0"/>
        <charset val="1"/>
      </rPr>
      <t xml:space="preserve">600012</t>
    </r>
    <r>
      <rPr>
        <sz val="10"/>
        <color rgb="FF1F2A28"/>
        <rFont val="WenQuanYi Zen Hei"/>
        <family val="2"/>
      </rPr>
      <t xml:space="preserve">嘉義市東區康樂街</t>
    </r>
    <r>
      <rPr>
        <sz val="10"/>
        <color rgb="FF1F2A28"/>
        <rFont val="Arial"/>
        <family val="0"/>
        <charset val="1"/>
      </rPr>
      <t xml:space="preserve">47</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r>
      <rPr>
        <sz val="10"/>
        <color rgb="FF1F2A28"/>
        <rFont val="Arial"/>
        <family val="0"/>
        <charset val="1"/>
      </rPr>
      <t xml:space="preserve">)</t>
    </r>
  </si>
  <si>
    <t xml:space="preserve">05-2278338</t>
  </si>
  <si>
    <t xml:space="preserve">spk2272653@gmail.com</t>
  </si>
  <si>
    <t xml:space="preserve">2003-02-20</t>
  </si>
  <si>
    <t xml:space="preserve">翁翠憶</t>
  </si>
  <si>
    <t xml:space="preserve">雨果文教股份有限公司附設嘉義市私立雨果文理短期補習班</t>
  </si>
  <si>
    <r>
      <rPr>
        <sz val="10"/>
        <color rgb="FF1F2A28"/>
        <rFont val="Arial"/>
        <family val="0"/>
        <charset val="1"/>
      </rPr>
      <t xml:space="preserve">600063</t>
    </r>
    <r>
      <rPr>
        <sz val="10"/>
        <color rgb="FF1F2A28"/>
        <rFont val="WenQuanYi Zen Hei"/>
        <family val="2"/>
      </rPr>
      <t xml:space="preserve">嘉義市東區維新路</t>
    </r>
    <r>
      <rPr>
        <sz val="10"/>
        <color rgb="FF1F2A28"/>
        <rFont val="Arial"/>
        <family val="0"/>
        <charset val="1"/>
      </rPr>
      <t xml:space="preserve">210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、東區新生路</t>
    </r>
    <r>
      <rPr>
        <sz val="10"/>
        <color rgb="FF1F2A28"/>
        <rFont val="Arial"/>
        <family val="0"/>
        <charset val="1"/>
      </rPr>
      <t xml:space="preserve">579</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r>
      <rPr>
        <sz val="10"/>
        <color rgb="FF1F2A28"/>
        <rFont val="Arial"/>
        <family val="0"/>
        <charset val="1"/>
      </rPr>
      <t xml:space="preserve">)</t>
    </r>
  </si>
  <si>
    <t xml:space="preserve">05-2759555</t>
  </si>
  <si>
    <t xml:space="preserve">hugotweens@gmail.com</t>
  </si>
  <si>
    <t xml:space="preserve">林文煌</t>
  </si>
  <si>
    <t xml:space="preserve">嘉義市私立學吧文理技藝短期補習班</t>
  </si>
  <si>
    <r>
      <rPr>
        <sz val="10"/>
        <color rgb="FF1F2A28"/>
        <rFont val="WenQuanYi Zen Hei"/>
        <family val="2"/>
      </rPr>
      <t xml:space="preserve">嘉義市世賢路一段</t>
    </r>
    <r>
      <rPr>
        <sz val="10"/>
        <color rgb="FF1F2A28"/>
        <rFont val="Arial"/>
        <family val="0"/>
        <charset val="1"/>
      </rPr>
      <t xml:space="preserve">664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</si>
  <si>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(05)238-0033</t>
  </si>
  <si>
    <t xml:space="preserve">kplearning379@gmail.com</t>
  </si>
  <si>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基礎班</t>
    </r>
    <r>
      <rPr>
        <sz val="10"/>
        <color rgb="FF1F2A28"/>
        <rFont val="Arial"/>
        <family val="0"/>
        <charset val="1"/>
      </rPr>
      <t xml:space="preserve">)</t>
    </r>
    <r>
      <rPr>
        <sz val="10"/>
        <color rgb="FF1F2A28"/>
        <rFont val="WenQuanYi Zen Hei"/>
        <family val="2"/>
      </rPr>
      <t xml:space="preserve">、美語</t>
    </r>
    <r>
      <rPr>
        <sz val="10"/>
        <color rgb="FF1F2A28"/>
        <rFont val="Arial"/>
        <family val="0"/>
        <charset val="1"/>
      </rPr>
      <t xml:space="preserve">(</t>
    </r>
    <r>
      <rPr>
        <sz val="10"/>
        <color rgb="FF1F2A28"/>
        <rFont val="WenQuanYi Zen Hei"/>
        <family val="2"/>
      </rPr>
      <t xml:space="preserve">進階班</t>
    </r>
    <r>
      <rPr>
        <sz val="10"/>
        <color rgb="FF1F2A28"/>
        <rFont val="Arial"/>
        <family val="0"/>
        <charset val="1"/>
      </rPr>
      <t xml:space="preserve">)</t>
    </r>
  </si>
  <si>
    <t xml:space="preserve">2023-06-09</t>
  </si>
  <si>
    <t xml:space="preserve">高月雲清教育科技有限公司附設嘉義市私立忍文理技藝短期補習班</t>
  </si>
  <si>
    <r>
      <rPr>
        <sz val="10"/>
        <color rgb="FF1F2A28"/>
        <rFont val="WenQuanYi Zen Hei"/>
        <family val="2"/>
      </rPr>
      <t xml:space="preserve">嘉義市杭州一街</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</si>
  <si>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0988470486</t>
  </si>
  <si>
    <t xml:space="preserve">ye7192@gmail.com</t>
  </si>
  <si>
    <t xml:space="preserve">黃韋誌</t>
  </si>
  <si>
    <t xml:space="preserve">林貞君</t>
  </si>
  <si>
    <t xml:space="preserve">嘉義市東區</t>
  </si>
  <si>
    <t xml:space="preserve">中國青年救國團附設嘉義市私立忠孝文理技藝短期補習班</t>
  </si>
  <si>
    <r>
      <rPr>
        <sz val="10"/>
        <color rgb="FF1F2A28"/>
        <rFont val="WenQuanYi Zen Hei"/>
        <family val="2"/>
      </rPr>
      <t xml:space="preserve">嘉義市東區忠孝路</t>
    </r>
    <r>
      <rPr>
        <sz val="10"/>
        <color rgb="FF1F2A28"/>
        <rFont val="Arial"/>
        <family val="0"/>
        <charset val="1"/>
      </rPr>
      <t xml:space="preserve">307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</si>
  <si>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05-2770482</t>
  </si>
  <si>
    <t xml:space="preserve">cyctc@cyc.tw</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</si>
  <si>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美容、美髮理髮類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瑜珈類</t>
    </r>
  </si>
  <si>
    <t xml:space="preserve">中國青年救國團代表人楊豐誠</t>
  </si>
  <si>
    <t xml:space="preserve">李心文</t>
  </si>
  <si>
    <t xml:space="preserve">先捷國際教育有限公司附設嘉義市私立先捷文理短期補習班</t>
  </si>
  <si>
    <r>
      <rPr>
        <sz val="10"/>
        <color rgb="FF1F2A28"/>
        <rFont val="WenQuanYi Zen Hei"/>
        <family val="2"/>
      </rPr>
      <t xml:space="preserve">嘉義市東區國華街</t>
    </r>
    <r>
      <rPr>
        <sz val="10"/>
        <color rgb="FF1F2A28"/>
        <rFont val="Arial"/>
        <family val="0"/>
        <charset val="1"/>
      </rPr>
      <t xml:space="preserve">210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</si>
  <si>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05-2233777</t>
  </si>
  <si>
    <t xml:space="preserve">naty0819@hotmail.com</t>
  </si>
  <si>
    <t xml:space="preserve">1992-04-07</t>
  </si>
  <si>
    <t xml:space="preserve">李懿恩</t>
  </si>
  <si>
    <t xml:space="preserve">嘉義市東區私立保進中正文理短期補習班</t>
  </si>
  <si>
    <r>
      <rPr>
        <sz val="10"/>
        <color rgb="FF1F2A28"/>
        <rFont val="WenQuanYi Zen Hei"/>
        <family val="2"/>
      </rPr>
      <t xml:space="preserve">嘉義市東區中山路</t>
    </r>
    <r>
      <rPr>
        <sz val="10"/>
        <color rgb="FF1F2A28"/>
        <rFont val="Arial"/>
        <family val="0"/>
        <charset val="1"/>
      </rPr>
      <t xml:space="preserve">123</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</si>
  <si>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05-2785534/0919258051</t>
  </si>
  <si>
    <t xml:space="preserve">a0919258051@gmail.com</t>
  </si>
  <si>
    <t xml:space="preserve">賴佳琪</t>
  </si>
  <si>
    <t xml:space="preserve">嘉義市東區私立艾爾文理短期補習班</t>
  </si>
  <si>
    <r>
      <rPr>
        <sz val="10"/>
        <color rgb="FF1F2A28"/>
        <rFont val="WenQuanYi Zen Hei"/>
        <family val="2"/>
      </rPr>
      <t xml:space="preserve">嘉義市東區興安里環興街</t>
    </r>
    <r>
      <rPr>
        <sz val="10"/>
        <color rgb="FF1F2A28"/>
        <rFont val="Arial"/>
        <family val="0"/>
        <charset val="1"/>
      </rPr>
      <t xml:space="preserve">95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</si>
  <si>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0935515756</t>
  </si>
  <si>
    <t xml:space="preserve">mailrax3469@gmail.com</t>
  </si>
  <si>
    <t xml:space="preserve">2019-07-12</t>
  </si>
  <si>
    <t xml:space="preserve">江政諺</t>
  </si>
  <si>
    <t xml:space="preserve">嘉義市私立世界文理短期補習班</t>
  </si>
  <si>
    <r>
      <rPr>
        <sz val="10"/>
        <color rgb="FF1F2A28"/>
        <rFont val="WenQuanYi Zen Hei"/>
        <family val="2"/>
      </rPr>
      <t xml:space="preserve">嘉義市東區民國路</t>
    </r>
    <r>
      <rPr>
        <sz val="10"/>
        <color rgb="FF1F2A28"/>
        <rFont val="Arial"/>
        <family val="0"/>
        <charset val="1"/>
      </rPr>
      <t xml:space="preserve">219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t>
    </r>
  </si>
  <si>
    <t xml:space="preserve">05-2788397</t>
  </si>
  <si>
    <t xml:space="preserve">universevickycheng@gmail.com</t>
  </si>
  <si>
    <t xml:space="preserve">1985-06-14</t>
  </si>
  <si>
    <t xml:space="preserve">杜家緯</t>
  </si>
  <si>
    <t xml:space="preserve">郭甜甜</t>
  </si>
  <si>
    <t xml:space="preserve">嘉義市私立佳大文理短期補習班</t>
  </si>
  <si>
    <r>
      <rPr>
        <sz val="10"/>
        <color rgb="FF1F2A28"/>
        <rFont val="WenQuanYi Zen Hei"/>
        <family val="2"/>
      </rPr>
      <t xml:space="preserve">嘉義市東區垂楊路</t>
    </r>
    <r>
      <rPr>
        <sz val="10"/>
        <color rgb="FF1F2A28"/>
        <rFont val="Arial"/>
        <family val="0"/>
        <charset val="1"/>
      </rPr>
      <t xml:space="preserve">288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；嘉義市東區垂楊路</t>
    </r>
    <r>
      <rPr>
        <sz val="10"/>
        <color rgb="FF1F2A28"/>
        <rFont val="Arial"/>
        <family val="0"/>
        <charset val="1"/>
      </rPr>
      <t xml:space="preserve">316</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r>
      <rPr>
        <sz val="10"/>
        <color rgb="FF1F2A28"/>
        <rFont val="Arial"/>
        <family val="0"/>
        <charset val="1"/>
      </rPr>
      <t xml:space="preserve">1</t>
    </r>
  </si>
  <si>
    <t xml:space="preserve">05-2251155</t>
  </si>
  <si>
    <t xml:space="preserve">joybd094@gmail.com</t>
  </si>
  <si>
    <t xml:space="preserve">2013-06-05</t>
  </si>
  <si>
    <t xml:space="preserve">嘉義市私立佳育文理短期補習班</t>
  </si>
  <si>
    <r>
      <rPr>
        <sz val="10"/>
        <color rgb="FF1F2A28"/>
        <rFont val="WenQuanYi Zen Hei"/>
        <family val="2"/>
      </rPr>
      <t xml:space="preserve">嘉義市東區新生路</t>
    </r>
    <r>
      <rPr>
        <sz val="10"/>
        <color rgb="FF1F2A28"/>
        <rFont val="Arial"/>
        <family val="0"/>
        <charset val="1"/>
      </rPr>
      <t xml:space="preserve">663</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r>
      <rPr>
        <sz val="10"/>
        <color rgb="FF1F2A28"/>
        <rFont val="Arial"/>
        <family val="0"/>
        <charset val="1"/>
      </rPr>
      <t xml:space="preserve">)</t>
    </r>
  </si>
  <si>
    <t xml:space="preserve">05-2715262</t>
  </si>
  <si>
    <t xml:space="preserve">bd022@joy.com.tw</t>
  </si>
  <si>
    <t xml:space="preserve">2001-11-13</t>
  </si>
  <si>
    <t xml:space="preserve">李淑頻</t>
  </si>
  <si>
    <t xml:space="preserve">嘉義市私立嘉仁文理技藝短期補習班</t>
  </si>
  <si>
    <r>
      <rPr>
        <sz val="10"/>
        <color rgb="FF1F2A28"/>
        <rFont val="WenQuanYi Zen Hei"/>
        <family val="2"/>
      </rPr>
      <t xml:space="preserve">嘉義市東區垂楊路</t>
    </r>
    <r>
      <rPr>
        <sz val="10"/>
        <color rgb="FF1F2A28"/>
        <rFont val="Arial"/>
        <family val="0"/>
        <charset val="1"/>
      </rPr>
      <t xml:space="preserve">276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r>
      <rPr>
        <sz val="10"/>
        <color rgb="FF1F2A28"/>
        <rFont val="Arial"/>
        <family val="0"/>
        <charset val="1"/>
      </rPr>
      <t xml:space="preserve">)</t>
    </r>
  </si>
  <si>
    <t xml:space="preserve">05-2163696</t>
  </si>
  <si>
    <t xml:space="preserve">hs2117@hess.com.tw</t>
  </si>
  <si>
    <t xml:space="preserve">朱瑾育</t>
  </si>
  <si>
    <t xml:space="preserve">嘉義市私立怡文文理短期補習班</t>
  </si>
  <si>
    <r>
      <rPr>
        <sz val="10"/>
        <color rgb="FF1F2A28"/>
        <rFont val="WenQuanYi Zen Hei"/>
        <family val="2"/>
      </rPr>
      <t xml:space="preserve">嘉義市東區公明路</t>
    </r>
    <r>
      <rPr>
        <sz val="10"/>
        <color rgb="FF1F2A28"/>
        <rFont val="Arial"/>
        <family val="0"/>
        <charset val="1"/>
      </rPr>
      <t xml:space="preserve">174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</si>
  <si>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(05)2779675</t>
  </si>
  <si>
    <t xml:space="preserve">thekoachswife@hotmail.com</t>
  </si>
  <si>
    <t xml:space="preserve">2009-09-14</t>
  </si>
  <si>
    <t xml:space="preserve">侯靜芳</t>
  </si>
  <si>
    <t xml:space="preserve">嘉義市私立日安雲朵文理技藝短期補習班</t>
  </si>
  <si>
    <r>
      <rPr>
        <sz val="10"/>
        <color rgb="FF1F2A28"/>
        <rFont val="WenQuanYi Zen Hei"/>
        <family val="2"/>
      </rPr>
      <t xml:space="preserve">嘉義市東區民權路</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</si>
  <si>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(05) 2786295</t>
  </si>
  <si>
    <t xml:space="preserve">cloudsimplelife@gmail.com</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</si>
  <si>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其他類</t>
    </r>
  </si>
  <si>
    <t xml:space="preserve">2020-11-20</t>
  </si>
  <si>
    <t xml:space="preserve">黃已晅</t>
  </si>
  <si>
    <t xml:space="preserve">嘉義市私立林肯文理短期補習班</t>
  </si>
  <si>
    <r>
      <rPr>
        <sz val="10"/>
        <color rgb="FF1F2A28"/>
        <rFont val="WenQuanYi Zen Hei"/>
        <family val="2"/>
      </rPr>
      <t xml:space="preserve">嘉義市東區維新路</t>
    </r>
    <r>
      <rPr>
        <sz val="10"/>
        <color rgb="FF1F2A28"/>
        <rFont val="Arial"/>
        <family val="0"/>
        <charset val="1"/>
      </rPr>
      <t xml:space="preserve">191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</si>
  <si>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05-2741111</t>
  </si>
  <si>
    <t xml:space="preserve">lincolnamerican191@gmail.com</t>
  </si>
  <si>
    <t xml:space="preserve">何昱孚</t>
  </si>
  <si>
    <t xml:space="preserve">嘉義市私立步芮文理短期補習班</t>
  </si>
  <si>
    <r>
      <rPr>
        <sz val="10"/>
        <color rgb="FF1F2A28"/>
        <rFont val="WenQuanYi Zen Hei"/>
        <family val="2"/>
      </rPr>
      <t xml:space="preserve">嘉義市東區</t>
    </r>
    <r>
      <rPr>
        <sz val="10"/>
        <color rgb="FF1F2A28"/>
        <rFont val="Arial"/>
        <family val="0"/>
        <charset val="1"/>
      </rPr>
      <t xml:space="preserve">14</t>
    </r>
    <r>
      <rPr>
        <sz val="10"/>
        <color rgb="FF1F2A28"/>
        <rFont val="WenQuanYi Zen Hei"/>
        <family val="2"/>
      </rPr>
      <t xml:space="preserve">鄰興美六路</t>
    </r>
    <r>
      <rPr>
        <sz val="10"/>
        <color rgb="FF1F2A28"/>
        <rFont val="Arial"/>
        <family val="0"/>
        <charset val="1"/>
      </rPr>
      <t xml:space="preserve">112</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</si>
  <si>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(05)2283299</t>
  </si>
  <si>
    <r>
      <rPr>
        <sz val="10"/>
        <color rgb="FF1F2A28"/>
        <rFont val="Arial"/>
        <family val="0"/>
        <charset val="1"/>
      </rPr>
      <t xml:space="preserve">G1</t>
    </r>
    <r>
      <rPr>
        <sz val="10"/>
        <color rgb="FF1F2A28"/>
        <rFont val="WenQuanYi Zen Hei"/>
        <family val="2"/>
      </rPr>
      <t xml:space="preserve">兒童美語、</t>
    </r>
    <r>
      <rPr>
        <sz val="10"/>
        <color rgb="FF1F2A28"/>
        <rFont val="Arial"/>
        <family val="0"/>
        <charset val="1"/>
      </rPr>
      <t xml:space="preserve">G5</t>
    </r>
    <r>
      <rPr>
        <sz val="10"/>
        <color rgb="FF1F2A28"/>
        <rFont val="WenQuanYi Zen Hei"/>
        <family val="2"/>
      </rPr>
      <t xml:space="preserve">英語文法、</t>
    </r>
    <r>
      <rPr>
        <sz val="10"/>
        <color rgb="FF1F2A28"/>
        <rFont val="Arial"/>
        <family val="0"/>
        <charset val="1"/>
      </rPr>
      <t xml:space="preserve">G2</t>
    </r>
    <r>
      <rPr>
        <sz val="10"/>
        <color rgb="FF1F2A28"/>
        <rFont val="WenQuanYi Zen Hei"/>
        <family val="2"/>
      </rPr>
      <t xml:space="preserve">兒童美語、</t>
    </r>
    <r>
      <rPr>
        <sz val="10"/>
        <color rgb="FF1F2A28"/>
        <rFont val="Arial"/>
        <family val="0"/>
        <charset val="1"/>
      </rPr>
      <t xml:space="preserve">G6</t>
    </r>
    <r>
      <rPr>
        <sz val="10"/>
        <color rgb="FF1F2A28"/>
        <rFont val="WenQuanYi Zen Hei"/>
        <family val="2"/>
      </rPr>
      <t xml:space="preserve">英語文法、英語</t>
    </r>
  </si>
  <si>
    <t xml:space="preserve">2022-12-29</t>
  </si>
  <si>
    <t xml:space="preserve">嘉義市私立王菡文理短期補習班</t>
  </si>
  <si>
    <r>
      <rPr>
        <sz val="10"/>
        <color rgb="FF1F2A28"/>
        <rFont val="WenQuanYi Zen Hei"/>
        <family val="2"/>
      </rPr>
      <t xml:space="preserve">嘉義市東區嘉北街</t>
    </r>
    <r>
      <rPr>
        <sz val="10"/>
        <color rgb="FF1F2A28"/>
        <rFont val="Arial"/>
        <family val="0"/>
        <charset val="1"/>
      </rPr>
      <t xml:space="preserve">46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</si>
  <si>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(05)2718628</t>
  </si>
  <si>
    <t xml:space="preserve">Vovo8227a@gmail.com</t>
  </si>
  <si>
    <t xml:space="preserve">2026-05-13</t>
  </si>
  <si>
    <t xml:space="preserve">翁菡宜</t>
  </si>
  <si>
    <t xml:space="preserve">翁勝然</t>
  </si>
  <si>
    <t xml:space="preserve">嘉義市私立環球文理短期補習班</t>
  </si>
  <si>
    <r>
      <rPr>
        <sz val="10"/>
        <color rgb="FF1F2A28"/>
        <rFont val="WenQuanYi Zen Hei"/>
        <family val="2"/>
      </rPr>
      <t xml:space="preserve">嘉義市東區崇文街</t>
    </r>
    <r>
      <rPr>
        <sz val="10"/>
        <color rgb="FF1F2A28"/>
        <rFont val="Arial"/>
        <family val="0"/>
        <charset val="1"/>
      </rPr>
      <t xml:space="preserve">145</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</si>
  <si>
    <t xml:space="preserve">05-2293147</t>
  </si>
  <si>
    <t xml:space="preserve">taiteach@gmail.com</t>
  </si>
  <si>
    <t xml:space="preserve">1999-03-03</t>
  </si>
  <si>
    <t xml:space="preserve">闕秀紋</t>
  </si>
  <si>
    <t xml:space="preserve">嘉義市私立美利肯文理短期補習班</t>
  </si>
  <si>
    <r>
      <rPr>
        <sz val="10"/>
        <color rgb="FF1F2A28"/>
        <rFont val="WenQuanYi Zen Hei"/>
        <family val="2"/>
      </rPr>
      <t xml:space="preserve">嘉義市東區台林街</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</si>
  <si>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05-2762936</t>
  </si>
  <si>
    <t xml:space="preserve">2007-05-22</t>
  </si>
  <si>
    <t xml:space="preserve">司德維克杰米</t>
  </si>
  <si>
    <t xml:space="preserve">許靖玟</t>
  </si>
  <si>
    <t xml:space="preserve">嘉義市私立雲朵貓頭英校本部文理技藝短期補習班</t>
  </si>
  <si>
    <r>
      <rPr>
        <sz val="10"/>
        <color rgb="FF1F2A28"/>
        <rFont val="WenQuanYi Zen Hei"/>
        <family val="2"/>
      </rPr>
      <t xml:space="preserve">嘉義市東區林森東路</t>
    </r>
    <r>
      <rPr>
        <sz val="10"/>
        <color rgb="FF1F2A28"/>
        <rFont val="Arial"/>
        <family val="0"/>
        <charset val="1"/>
      </rPr>
      <t xml:space="preserve">85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</si>
  <si>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(05)2786292</t>
  </si>
  <si>
    <t xml:space="preserve">owlenglish.chiayi@gmail.com</t>
  </si>
  <si>
    <t xml:space="preserve">2025-10-15</t>
  </si>
  <si>
    <t xml:space="preserve">裴韋綸</t>
  </si>
  <si>
    <t xml:space="preserve">張娟嘉</t>
  </si>
  <si>
    <t xml:space="preserve">嘉義市私立頂尖文理短期補習班</t>
  </si>
  <si>
    <r>
      <rPr>
        <sz val="10"/>
        <color rgb="FF1F2A28"/>
        <rFont val="WenQuanYi Zen Hei"/>
        <family val="2"/>
      </rPr>
      <t xml:space="preserve">嘉義市東區吳鳳南路</t>
    </r>
    <r>
      <rPr>
        <sz val="10"/>
        <color rgb="FF1F2A28"/>
        <rFont val="Arial"/>
        <family val="0"/>
        <charset val="1"/>
      </rPr>
      <t xml:space="preserve">573</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</si>
  <si>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05-2309911</t>
  </si>
  <si>
    <t xml:space="preserve">wangerin0102@gmail.com</t>
  </si>
  <si>
    <t xml:space="preserve">陳紹翊</t>
  </si>
  <si>
    <t xml:space="preserve">陳紹翔</t>
  </si>
  <si>
    <t xml:space="preserve">嘉義市西區</t>
  </si>
  <si>
    <t xml:space="preserve">嘉義市私立中樺文理技藝短期補習班</t>
  </si>
  <si>
    <r>
      <rPr>
        <sz val="10"/>
        <color rgb="FF1F2A28"/>
        <rFont val="WenQuanYi Zen Hei"/>
        <family val="2"/>
      </rPr>
      <t xml:space="preserve">嘉義市西區國華新村</t>
    </r>
    <r>
      <rPr>
        <sz val="10"/>
        <color rgb="FF1F2A28"/>
        <rFont val="Arial"/>
        <family val="0"/>
        <charset val="1"/>
      </rPr>
      <t xml:space="preserve">215</t>
    </r>
    <r>
      <rPr>
        <sz val="10"/>
        <color rgb="FF1F2A28"/>
        <rFont val="WenQuanYi Zen Hei"/>
        <family val="2"/>
      </rPr>
      <t xml:space="preserve">號</t>
    </r>
  </si>
  <si>
    <t xml:space="preserve">05-2328889</t>
  </si>
  <si>
    <t xml:space="preserve">q2328889@yahoo.com.tw</t>
  </si>
  <si>
    <t xml:space="preserve">1990-03-30</t>
  </si>
  <si>
    <t xml:space="preserve">陳信翰</t>
  </si>
  <si>
    <t xml:space="preserve">陳友善</t>
  </si>
  <si>
    <t xml:space="preserve">嘉義市私立博碩文理短期補習班</t>
  </si>
  <si>
    <r>
      <rPr>
        <sz val="10"/>
        <color rgb="FF1F2A28"/>
        <rFont val="WenQuanYi Zen Hei"/>
        <family val="2"/>
      </rPr>
      <t xml:space="preserve">嘉義市西區北社尾路</t>
    </r>
    <r>
      <rPr>
        <sz val="10"/>
        <color rgb="FF1F2A28"/>
        <rFont val="Arial"/>
        <family val="0"/>
        <charset val="1"/>
      </rPr>
      <t xml:space="preserve">219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</si>
  <si>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05-2380312</t>
  </si>
  <si>
    <t xml:space="preserve">blue52571@yahoo.com.tw</t>
  </si>
  <si>
    <t xml:space="preserve">1998-02-04</t>
  </si>
  <si>
    <t xml:space="preserve">王雅惠</t>
  </si>
  <si>
    <t xml:space="preserve">嘉義市私立喜樂文理短期補習班</t>
  </si>
  <si>
    <r>
      <rPr>
        <sz val="10"/>
        <color rgb="FF1F2A28"/>
        <rFont val="WenQuanYi Zen Hei"/>
        <family val="2"/>
      </rPr>
      <t xml:space="preserve">嘉義市西區德明路</t>
    </r>
    <r>
      <rPr>
        <sz val="10"/>
        <color rgb="FF1F2A28"/>
        <rFont val="Arial"/>
        <family val="0"/>
        <charset val="1"/>
      </rPr>
      <t xml:space="preserve">49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</si>
  <si>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(05)2328322</t>
  </si>
  <si>
    <t xml:space="preserve">sandra2029@hotmail.com</t>
  </si>
  <si>
    <t xml:space="preserve">2019-09-07</t>
  </si>
  <si>
    <t xml:space="preserve">黃郁珊</t>
  </si>
  <si>
    <t xml:space="preserve">蘇子馨</t>
  </si>
  <si>
    <t xml:space="preserve">嘉義市私立尚學文理短期補習班</t>
  </si>
  <si>
    <r>
      <rPr>
        <sz val="10"/>
        <color rgb="FF1F2A28"/>
        <rFont val="WenQuanYi Zen Hei"/>
        <family val="2"/>
      </rPr>
      <t xml:space="preserve">嘉義市西區友愛路</t>
    </r>
    <r>
      <rPr>
        <sz val="10"/>
        <color rgb="FF1F2A28"/>
        <rFont val="Arial"/>
        <family val="0"/>
        <charset val="1"/>
      </rPr>
      <t xml:space="preserve">196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</si>
  <si>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(05)2345912/2330116</t>
  </si>
  <si>
    <t xml:space="preserve">jerrylu194@gmail.com</t>
  </si>
  <si>
    <t xml:space="preserve">蔡明真</t>
  </si>
  <si>
    <t xml:space="preserve">嘉義市私立巴洛克技藝文理短期補習班</t>
  </si>
  <si>
    <r>
      <rPr>
        <sz val="10"/>
        <color rgb="FF1F2A28"/>
        <rFont val="WenQuanYi Zen Hei"/>
        <family val="2"/>
      </rPr>
      <t xml:space="preserve">嘉義市西區龍江街</t>
    </r>
    <r>
      <rPr>
        <sz val="10"/>
        <color rgb="FF1F2A28"/>
        <rFont val="Arial"/>
        <family val="0"/>
        <charset val="1"/>
      </rPr>
      <t xml:space="preserve">144</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r>
      <rPr>
        <sz val="10"/>
        <color rgb="FF1F2A28"/>
        <rFont val="Arial"/>
        <family val="0"/>
        <charset val="1"/>
      </rPr>
      <t xml:space="preserve">)</t>
    </r>
  </si>
  <si>
    <t xml:space="preserve">05-2330014</t>
  </si>
  <si>
    <t xml:space="preserve">cyc610720@yahoo.com.tw</t>
  </si>
  <si>
    <t xml:space="preserve">2006-04-27</t>
  </si>
  <si>
    <t xml:space="preserve">陳麒元</t>
  </si>
  <si>
    <t xml:space="preserve">嘉義市私立立德文理短期補習班</t>
  </si>
  <si>
    <r>
      <rPr>
        <sz val="10"/>
        <color rgb="FF1F2A28"/>
        <rFont val="WenQuanYi Zen Hei"/>
        <family val="2"/>
      </rPr>
      <t xml:space="preserve">嘉義市西區自強街</t>
    </r>
    <r>
      <rPr>
        <sz val="10"/>
        <color rgb="FF1F2A28"/>
        <rFont val="Arial"/>
        <family val="0"/>
        <charset val="1"/>
      </rPr>
      <t xml:space="preserve">481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</si>
  <si>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05-2865206</t>
  </si>
  <si>
    <t xml:space="preserve">schenghan@yahoo.com</t>
  </si>
  <si>
    <t xml:space="preserve">2008-12-12</t>
  </si>
  <si>
    <t xml:space="preserve">沈政翰</t>
  </si>
  <si>
    <t xml:space="preserve">嘉義市私立維特文理短期補習班</t>
  </si>
  <si>
    <r>
      <rPr>
        <sz val="10"/>
        <color rgb="FF1F2A28"/>
        <rFont val="WenQuanYi Zen Hei"/>
        <family val="2"/>
      </rPr>
      <t xml:space="preserve">嘉義市西區德安路</t>
    </r>
    <r>
      <rPr>
        <sz val="10"/>
        <color rgb="FF1F2A28"/>
        <rFont val="Arial"/>
        <family val="0"/>
        <charset val="1"/>
      </rPr>
      <t xml:space="preserve">146</t>
    </r>
    <r>
      <rPr>
        <sz val="10"/>
        <color rgb="FF1F2A28"/>
        <rFont val="WenQuanYi Zen Hei"/>
        <family val="2"/>
      </rPr>
      <t xml:space="preserve">號之</t>
    </r>
    <r>
      <rPr>
        <sz val="10"/>
        <color rgb="FF1F2A28"/>
        <rFont val="Arial"/>
        <family val="0"/>
        <charset val="1"/>
      </rPr>
      <t xml:space="preserve">1(1-2</t>
    </r>
    <r>
      <rPr>
        <sz val="10"/>
        <color rgb="FF1F2A28"/>
        <rFont val="WenQuanYi Zen Hei"/>
        <family val="2"/>
      </rPr>
      <t xml:space="preserve">樓</t>
    </r>
    <r>
      <rPr>
        <sz val="10"/>
        <color rgb="FF1F2A28"/>
        <rFont val="Arial"/>
        <family val="0"/>
        <charset val="1"/>
      </rPr>
      <t xml:space="preserve">)</t>
    </r>
  </si>
  <si>
    <t xml:space="preserve">(05)2346692</t>
  </si>
  <si>
    <t xml:space="preserve">cori450@yahoo.com.tw</t>
  </si>
  <si>
    <t xml:space="preserve">王寬裕</t>
  </si>
  <si>
    <t xml:space="preserve">嘉義市私立英文工坊文理短期補習班</t>
  </si>
  <si>
    <r>
      <rPr>
        <sz val="10"/>
        <color rgb="FF1F2A28"/>
        <rFont val="WenQuanYi Zen Hei"/>
        <family val="2"/>
      </rPr>
      <t xml:space="preserve">嘉義市西區國華街</t>
    </r>
    <r>
      <rPr>
        <sz val="10"/>
        <color rgb="FF1F2A28"/>
        <rFont val="Arial"/>
        <family val="0"/>
        <charset val="1"/>
      </rPr>
      <t xml:space="preserve">245</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r>
      <rPr>
        <sz val="10"/>
        <color rgb="FF1F2A28"/>
        <rFont val="Arial"/>
        <family val="0"/>
        <charset val="1"/>
      </rPr>
      <t xml:space="preserve">3</t>
    </r>
  </si>
  <si>
    <t xml:space="preserve">05-2279355</t>
  </si>
  <si>
    <t xml:space="preserve">venezia1812@gmail.com</t>
  </si>
  <si>
    <t xml:space="preserve">2005-06-07</t>
  </si>
  <si>
    <t xml:space="preserve">林信男</t>
  </si>
  <si>
    <t xml:space="preserve">嘉義市私立語揚文理短期補習班</t>
  </si>
  <si>
    <r>
      <rPr>
        <sz val="10"/>
        <color rgb="FF1F2A28"/>
        <rFont val="WenQuanYi Zen Hei"/>
        <family val="2"/>
      </rPr>
      <t xml:space="preserve">嘉義市西區泰瑞三街</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</si>
  <si>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05-2330958</t>
  </si>
  <si>
    <t xml:space="preserve">clark00772001@gmail..com.tw</t>
  </si>
  <si>
    <t xml:space="preserve">蕭麗媛</t>
  </si>
  <si>
    <t xml:space="preserve">陳稷謙</t>
  </si>
  <si>
    <t xml:space="preserve">嘉義市私立超強文理短期補習班</t>
  </si>
  <si>
    <r>
      <rPr>
        <sz val="10"/>
        <color rgb="FF1F2A28"/>
        <rFont val="WenQuanYi Zen Hei"/>
        <family val="2"/>
      </rPr>
      <t xml:space="preserve">嘉義市西區錦州二街</t>
    </r>
    <r>
      <rPr>
        <sz val="10"/>
        <color rgb="FF1F2A28"/>
        <rFont val="Arial"/>
        <family val="0"/>
        <charset val="1"/>
      </rPr>
      <t xml:space="preserve">19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r>
      <rPr>
        <sz val="10"/>
        <color rgb="FF1F2A28"/>
        <rFont val="Arial"/>
        <family val="0"/>
        <charset val="1"/>
      </rPr>
      <t xml:space="preserve">)</t>
    </r>
  </si>
  <si>
    <t xml:space="preserve">05-2850905</t>
  </si>
  <si>
    <t xml:space="preserve">aa987123654@gmail.com</t>
  </si>
  <si>
    <t xml:space="preserve">陳建翔</t>
  </si>
  <si>
    <t xml:space="preserve">嘉義市私立超越美語短期補習班</t>
  </si>
  <si>
    <r>
      <rPr>
        <sz val="10"/>
        <color rgb="FF1F2A28"/>
        <rFont val="WenQuanYi Zen Hei"/>
        <family val="2"/>
      </rPr>
      <t xml:space="preserve">嘉義市西區國華街</t>
    </r>
    <r>
      <rPr>
        <sz val="10"/>
        <color rgb="FF1F2A28"/>
        <rFont val="Arial"/>
        <family val="0"/>
        <charset val="1"/>
      </rPr>
      <t xml:space="preserve">245</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樓之</t>
    </r>
    <r>
      <rPr>
        <sz val="10"/>
        <color rgb="FF1F2A28"/>
        <rFont val="Arial"/>
        <family val="0"/>
        <charset val="1"/>
      </rPr>
      <t xml:space="preserve">14</t>
    </r>
  </si>
  <si>
    <t xml:space="preserve">05-2292889</t>
  </si>
  <si>
    <t xml:space="preserve">janecheng510@gmail.com</t>
  </si>
  <si>
    <t xml:space="preserve">鄭又綸</t>
  </si>
  <si>
    <t xml:space="preserve">地球村出版有限公司附設嘉義市私立環球地球村文理短期補習班</t>
  </si>
  <si>
    <r>
      <rPr>
        <sz val="10"/>
        <color rgb="FF1F2A28"/>
        <rFont val="WenQuanYi Zen Hei"/>
        <family val="2"/>
      </rPr>
      <t xml:space="preserve">嘉義市西區中山路</t>
    </r>
    <r>
      <rPr>
        <sz val="10"/>
        <color rgb="FF1F2A28"/>
        <rFont val="Arial"/>
        <family val="0"/>
        <charset val="1"/>
      </rPr>
      <t xml:space="preserve">577</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r>
      <rPr>
        <sz val="10"/>
        <color rgb="FF1F2A28"/>
        <rFont val="Arial"/>
        <family val="0"/>
        <charset val="1"/>
      </rPr>
      <t xml:space="preserve">)</t>
    </r>
  </si>
  <si>
    <t xml:space="preserve">(05)2278867 / 2279967</t>
  </si>
  <si>
    <t xml:space="preserve">2008-12-31</t>
  </si>
  <si>
    <t xml:space="preserve">地球村出版有限公司代表人鄧秋慧</t>
  </si>
  <si>
    <t xml:space="preserve">巨匠電腦股份有限公司附設嘉義市私立巨匠文理技藝短期補習班</t>
  </si>
  <si>
    <r>
      <rPr>
        <sz val="10"/>
        <color rgb="FF1F2A28"/>
        <rFont val="WenQuanYi Zen Hei"/>
        <family val="2"/>
      </rPr>
      <t xml:space="preserve">嘉義市西區中山路</t>
    </r>
    <r>
      <rPr>
        <sz val="10"/>
        <color rgb="FF1F2A28"/>
        <rFont val="Arial"/>
        <family val="0"/>
        <charset val="1"/>
      </rPr>
      <t xml:space="preserve">569</t>
    </r>
    <r>
      <rPr>
        <sz val="10"/>
        <color rgb="FF1F2A28"/>
        <rFont val="WenQuanYi Zen Hei"/>
        <family val="2"/>
      </rPr>
      <t xml:space="preserve">號</t>
    </r>
    <r>
      <rPr>
        <sz val="10"/>
        <color rgb="FF1F2A28"/>
        <rFont val="Arial"/>
        <family val="0"/>
        <charset val="1"/>
      </rPr>
      <t xml:space="preserve">(1-5</t>
    </r>
    <r>
      <rPr>
        <sz val="10"/>
        <color rgb="FF1F2A28"/>
        <rFont val="WenQuanYi Zen Hei"/>
        <family val="2"/>
      </rPr>
      <t xml:space="preserve">樓</t>
    </r>
    <r>
      <rPr>
        <sz val="10"/>
        <color rgb="FF1F2A28"/>
        <rFont val="Arial"/>
        <family val="0"/>
        <charset val="1"/>
      </rPr>
      <t xml:space="preserve">)</t>
    </r>
  </si>
  <si>
    <t xml:space="preserve">05-2252628</t>
  </si>
  <si>
    <t xml:space="preserve">KJ_mailbox@pcschool.com.tw</t>
  </si>
  <si>
    <t xml:space="preserve">2009-12-17</t>
  </si>
  <si>
    <r>
      <rPr>
        <sz val="10"/>
        <color rgb="FF1F2A28"/>
        <rFont val="WenQuanYi Zen Hei"/>
        <family val="2"/>
      </rPr>
      <t xml:space="preserve">巨匠電腦股份有限公司</t>
    </r>
    <r>
      <rPr>
        <sz val="10"/>
        <color rgb="FF1F2A28"/>
        <rFont val="Arial"/>
        <family val="0"/>
        <charset val="1"/>
      </rPr>
      <t xml:space="preserve">(</t>
    </r>
    <r>
      <rPr>
        <sz val="10"/>
        <color rgb="FF1F2A28"/>
        <rFont val="WenQuanYi Zen Hei"/>
        <family val="2"/>
      </rPr>
      <t xml:space="preserve">代表人鍾梁權</t>
    </r>
    <r>
      <rPr>
        <sz val="10"/>
        <color rgb="FF1F2A28"/>
        <rFont val="Arial"/>
        <family val="0"/>
        <charset val="1"/>
      </rPr>
      <t xml:space="preserve">)</t>
    </r>
  </si>
  <si>
    <t xml:space="preserve">曾國益</t>
  </si>
  <si>
    <t xml:space="preserve">英美美語有限公司附設嘉義市私立英美文理短期補習班</t>
  </si>
  <si>
    <r>
      <rPr>
        <sz val="10"/>
        <color rgb="FF1F2A28"/>
        <rFont val="WenQuanYi Zen Hei"/>
        <family val="2"/>
      </rPr>
      <t xml:space="preserve">嘉義市西區中山路</t>
    </r>
    <r>
      <rPr>
        <sz val="10"/>
        <color rgb="FF1F2A28"/>
        <rFont val="Arial"/>
        <family val="0"/>
        <charset val="1"/>
      </rPr>
      <t xml:space="preserve">498</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r>
      <rPr>
        <sz val="10"/>
        <color rgb="FF1F2A28"/>
        <rFont val="Arial"/>
        <family val="0"/>
        <charset val="1"/>
      </rPr>
      <t xml:space="preserve">)</t>
    </r>
  </si>
  <si>
    <t xml:space="preserve">05-2225577</t>
  </si>
  <si>
    <t xml:space="preserve">sevengirl555@hotmail.com</t>
  </si>
  <si>
    <t xml:space="preserve">英美美語有限公司代表人吳佳娟</t>
  </si>
  <si>
    <t xml:space="preserve">吳佳娟</t>
  </si>
  <si>
    <t xml:space="preserve">嘉義縣</t>
  </si>
  <si>
    <r>
      <rPr>
        <sz val="10"/>
        <color rgb="FF1F2A28"/>
        <rFont val="WenQuanYi Zen Hei"/>
        <family val="2"/>
      </rPr>
      <t xml:space="preserve">嘉義縣私立</t>
    </r>
    <r>
      <rPr>
        <sz val="10"/>
        <color rgb="FF1F2A28"/>
        <rFont val="Arial"/>
        <family val="0"/>
        <charset val="1"/>
      </rPr>
      <t xml:space="preserve">TOP</t>
    </r>
    <r>
      <rPr>
        <sz val="10"/>
        <color rgb="FF1F2A28"/>
        <rFont val="WenQuanYi Zen Hei"/>
        <family val="2"/>
      </rPr>
      <t xml:space="preserve">頂尖文理短期補習班</t>
    </r>
  </si>
  <si>
    <r>
      <rPr>
        <sz val="10"/>
        <color rgb="FF1F2A28"/>
        <rFont val="WenQuanYi Zen Hei"/>
        <family val="2"/>
      </rPr>
      <t xml:space="preserve">嘉義縣朴子市大葛里</t>
    </r>
    <r>
      <rPr>
        <sz val="10"/>
        <color rgb="FF1F2A28"/>
        <rFont val="Arial"/>
        <family val="0"/>
        <charset val="1"/>
      </rPr>
      <t xml:space="preserve">27</t>
    </r>
    <r>
      <rPr>
        <sz val="10"/>
        <color rgb="FF1F2A28"/>
        <rFont val="WenQuanYi Zen Hei"/>
        <family val="2"/>
      </rPr>
      <t xml:space="preserve">鄰祥和三路西段</t>
    </r>
    <r>
      <rPr>
        <sz val="10"/>
        <color rgb="FF1F2A28"/>
        <rFont val="Arial"/>
        <family val="0"/>
        <charset val="1"/>
      </rPr>
      <t xml:space="preserve">137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</si>
  <si>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(05)3622555</t>
  </si>
  <si>
    <t xml:space="preserve">lucybor@yahoo.com.tw</t>
  </si>
  <si>
    <t xml:space="preserve">2020-02-14</t>
  </si>
  <si>
    <t xml:space="preserve">曾鈺婷</t>
  </si>
  <si>
    <t xml:space="preserve">嘉義縣私立六藝文理短期補習班</t>
  </si>
  <si>
    <r>
      <rPr>
        <sz val="10"/>
        <color rgb="FF1F2A28"/>
        <rFont val="WenQuanYi Zen Hei"/>
        <family val="2"/>
      </rPr>
      <t xml:space="preserve">嘉義縣水上鄉水頭村</t>
    </r>
    <r>
      <rPr>
        <sz val="10"/>
        <color rgb="FF1F2A28"/>
        <rFont val="Arial"/>
        <family val="0"/>
        <charset val="1"/>
      </rPr>
      <t xml:space="preserve">10</t>
    </r>
    <r>
      <rPr>
        <sz val="10"/>
        <color rgb="FF1F2A28"/>
        <rFont val="WenQuanYi Zen Hei"/>
        <family val="2"/>
      </rPr>
      <t xml:space="preserve">鄰新進街</t>
    </r>
    <r>
      <rPr>
        <sz val="10"/>
        <color rgb="FF1F2A28"/>
        <rFont val="Arial"/>
        <family val="0"/>
        <charset val="1"/>
      </rPr>
      <t xml:space="preserve">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</si>
  <si>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(05)2603333</t>
  </si>
  <si>
    <t xml:space="preserve">2020-07-01</t>
  </si>
  <si>
    <t xml:space="preserve">鄧淑君</t>
  </si>
  <si>
    <t xml:space="preserve">嘉義縣私立協同高級中學附設外國語文短期補習班</t>
  </si>
  <si>
    <r>
      <rPr>
        <sz val="10"/>
        <color rgb="FF1F2A28"/>
        <rFont val="WenQuanYi Zen Hei"/>
        <family val="2"/>
      </rPr>
      <t xml:space="preserve">嘉義縣民雄鄉文隆村</t>
    </r>
    <r>
      <rPr>
        <sz val="10"/>
        <color rgb="FF1F2A28"/>
        <rFont val="Arial"/>
        <family val="0"/>
        <charset val="1"/>
      </rPr>
      <t xml:space="preserve">12</t>
    </r>
    <r>
      <rPr>
        <sz val="10"/>
        <color rgb="FF1F2A28"/>
        <rFont val="WenQuanYi Zen Hei"/>
        <family val="2"/>
      </rPr>
      <t xml:space="preserve">鄰山腳</t>
    </r>
    <r>
      <rPr>
        <sz val="10"/>
        <color rgb="FF1F2A28"/>
        <rFont val="Arial"/>
        <family val="0"/>
        <charset val="1"/>
      </rPr>
      <t xml:space="preserve">1</t>
    </r>
    <r>
      <rPr>
        <sz val="10"/>
        <color rgb="FF1F2A28"/>
        <rFont val="WenQuanYi Zen Hei"/>
        <family val="2"/>
      </rPr>
      <t xml:space="preserve">號附</t>
    </r>
    <r>
      <rPr>
        <sz val="10"/>
        <color rgb="FF1F2A28"/>
        <rFont val="Arial"/>
        <family val="0"/>
        <charset val="1"/>
      </rPr>
      <t xml:space="preserve">372</t>
    </r>
  </si>
  <si>
    <t xml:space="preserve">05-2205808</t>
  </si>
  <si>
    <t xml:space="preserve">peggy.shen848@gmail.com</t>
  </si>
  <si>
    <t xml:space="preserve">2002-09-12</t>
  </si>
  <si>
    <t xml:space="preserve">黃淵泰</t>
  </si>
  <si>
    <t xml:space="preserve">沈姵甄</t>
  </si>
  <si>
    <t xml:space="preserve">嘉義縣私立双春文理短期補習班</t>
  </si>
  <si>
    <r>
      <rPr>
        <sz val="10"/>
        <color rgb="FF1F2A28"/>
        <rFont val="WenQuanYi Zen Hei"/>
        <family val="2"/>
      </rPr>
      <t xml:space="preserve">嘉義縣太保市東勢里</t>
    </r>
    <r>
      <rPr>
        <sz val="10"/>
        <color rgb="FF1F2A28"/>
        <rFont val="Arial"/>
        <family val="0"/>
        <charset val="1"/>
      </rPr>
      <t xml:space="preserve">10</t>
    </r>
    <r>
      <rPr>
        <sz val="10"/>
        <color rgb="FF1F2A28"/>
        <rFont val="WenQuanYi Zen Hei"/>
        <family val="2"/>
      </rPr>
      <t xml:space="preserve">鄰太子大道</t>
    </r>
    <r>
      <rPr>
        <sz val="10"/>
        <color rgb="FF1F2A28"/>
        <rFont val="Arial"/>
        <family val="0"/>
        <charset val="1"/>
      </rPr>
      <t xml:space="preserve">190</t>
    </r>
    <r>
      <rPr>
        <sz val="10"/>
        <color rgb="FF1F2A28"/>
        <rFont val="WenQuanYi Zen Hei"/>
        <family val="2"/>
      </rPr>
      <t xml:space="preserve">號</t>
    </r>
  </si>
  <si>
    <t xml:space="preserve">(05)3628137</t>
  </si>
  <si>
    <t xml:space="preserve">peggy050474@gmail.com</t>
  </si>
  <si>
    <t xml:space="preserve">劉佩怡</t>
  </si>
  <si>
    <t xml:space="preserve">嘉義縣私立台大文理短期補習班</t>
  </si>
  <si>
    <r>
      <rPr>
        <sz val="10"/>
        <color rgb="FF1F2A28"/>
        <rFont val="WenQuanYi Zen Hei"/>
        <family val="2"/>
      </rPr>
      <t xml:space="preserve">嘉義縣太保市中山路</t>
    </r>
    <r>
      <rPr>
        <sz val="10"/>
        <color rgb="FF1F2A28"/>
        <rFont val="Arial"/>
        <family val="0"/>
        <charset val="1"/>
      </rPr>
      <t xml:space="preserve">277</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</si>
  <si>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(05)2381666</t>
  </si>
  <si>
    <t xml:space="preserve">kidcastlenanshin@gmail.com</t>
  </si>
  <si>
    <t xml:space="preserve">陳一龍</t>
  </si>
  <si>
    <t xml:space="preserve">嘉義縣私立哈佛文理短期補習班</t>
  </si>
  <si>
    <r>
      <rPr>
        <sz val="10"/>
        <color rgb="FF1F2A28"/>
        <rFont val="WenQuanYi Zen Hei"/>
        <family val="2"/>
      </rPr>
      <t xml:space="preserve">嘉義縣太保市春珠里</t>
    </r>
    <r>
      <rPr>
        <sz val="10"/>
        <color rgb="FF1F2A28"/>
        <rFont val="Arial"/>
        <family val="0"/>
        <charset val="1"/>
      </rPr>
      <t xml:space="preserve">164-17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</si>
  <si>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(05)3714067</t>
  </si>
  <si>
    <t xml:space="preserve">Brian77513@gmail.com</t>
  </si>
  <si>
    <t xml:space="preserve">蔡銓洊</t>
  </si>
  <si>
    <t xml:space="preserve">嘉義縣私立威爾登美語短期補習班</t>
  </si>
  <si>
    <r>
      <rPr>
        <sz val="10"/>
        <color rgb="FF1F2A28"/>
        <rFont val="WenQuanYi Zen Hei"/>
        <family val="2"/>
      </rPr>
      <t xml:space="preserve">嘉義縣民雄鄉東榮村文化路</t>
    </r>
    <r>
      <rPr>
        <sz val="10"/>
        <color rgb="FF1F2A28"/>
        <rFont val="Arial"/>
        <family val="0"/>
        <charset val="1"/>
      </rPr>
      <t xml:space="preserve">30</t>
    </r>
    <r>
      <rPr>
        <sz val="10"/>
        <color rgb="FF1F2A28"/>
        <rFont val="WenQuanYi Zen Hei"/>
        <family val="2"/>
      </rPr>
      <t xml:space="preserve">之</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</si>
  <si>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(05)2062216</t>
  </si>
  <si>
    <t xml:space="preserve">kellyyan0427@hotmail.com</t>
  </si>
  <si>
    <t xml:space="preserve">嚴麗娟</t>
  </si>
  <si>
    <t xml:space="preserve">嘉義縣私立學府文理短期補習班</t>
  </si>
  <si>
    <r>
      <rPr>
        <sz val="10"/>
        <color rgb="FF1F2A28"/>
        <rFont val="WenQuanYi Zen Hei"/>
        <family val="2"/>
      </rPr>
      <t xml:space="preserve">嘉義縣水上鄉水頭村中和路</t>
    </r>
    <r>
      <rPr>
        <sz val="10"/>
        <color rgb="FF1F2A28"/>
        <rFont val="Arial"/>
        <family val="0"/>
        <charset val="1"/>
      </rPr>
      <t xml:space="preserve">102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</si>
  <si>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(05)2680209</t>
  </si>
  <si>
    <t xml:space="preserve">2004-10-11</t>
  </si>
  <si>
    <t xml:space="preserve">盧秀沼</t>
  </si>
  <si>
    <t xml:space="preserve">嘉義縣私立布萊爾美語短期補習班</t>
  </si>
  <si>
    <r>
      <rPr>
        <sz val="10"/>
        <color rgb="FF1F2A28"/>
        <rFont val="WenQuanYi Zen Hei"/>
        <family val="2"/>
      </rPr>
      <t xml:space="preserve">嘉義縣大林鎮明華路</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</si>
  <si>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(05)2658885</t>
  </si>
  <si>
    <t xml:space="preserve">small.cool@hotmail.com</t>
  </si>
  <si>
    <t xml:space="preserve">2018-09-25</t>
  </si>
  <si>
    <t xml:space="preserve">黃涒綺</t>
  </si>
  <si>
    <t xml:space="preserve">嘉義縣私立愛麗思文理短期補習班</t>
  </si>
  <si>
    <r>
      <rPr>
        <sz val="10"/>
        <color rgb="FF1F2A28"/>
        <rFont val="WenQuanYi Zen Hei"/>
        <family val="2"/>
      </rPr>
      <t xml:space="preserve">嘉義縣義竹鄉仁里村</t>
    </r>
    <r>
      <rPr>
        <sz val="10"/>
        <color rgb="FF1F2A28"/>
        <rFont val="Arial"/>
        <family val="0"/>
        <charset val="1"/>
      </rPr>
      <t xml:space="preserve">396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</si>
  <si>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(05)3418556</t>
  </si>
  <si>
    <t xml:space="preserve">alice_1127@yahoo.com.tw</t>
  </si>
  <si>
    <t xml:space="preserve">2013-01-09</t>
  </si>
  <si>
    <t xml:space="preserve">許杏如</t>
  </si>
  <si>
    <t xml:space="preserve">嘉義縣私立柏瀚文理短期補習班</t>
  </si>
  <si>
    <r>
      <rPr>
        <sz val="10"/>
        <color rgb="FF1F2A28"/>
        <rFont val="WenQuanYi Zen Hei"/>
        <family val="2"/>
      </rPr>
      <t xml:space="preserve">嘉義縣水上鄉水頭村中興路</t>
    </r>
    <r>
      <rPr>
        <sz val="10"/>
        <color rgb="FF1F2A28"/>
        <rFont val="Arial"/>
        <family val="0"/>
        <charset val="1"/>
      </rPr>
      <t xml:space="preserve">302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</si>
  <si>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(05)2680319</t>
  </si>
  <si>
    <t xml:space="preserve">machihi@yahoo.com.tw</t>
  </si>
  <si>
    <t xml:space="preserve">2012-01-04</t>
  </si>
  <si>
    <t xml:space="preserve">黃正宗</t>
  </si>
  <si>
    <t xml:space="preserve">江語蓁</t>
  </si>
  <si>
    <t xml:space="preserve">嘉義縣私立貝思特文理短期補習班</t>
  </si>
  <si>
    <r>
      <rPr>
        <sz val="10"/>
        <color rgb="FF1F2A28"/>
        <rFont val="WenQuanYi Zen Hei"/>
        <family val="2"/>
      </rPr>
      <t xml:space="preserve">嘉義縣六腳鄉蒜南村南宮路</t>
    </r>
    <r>
      <rPr>
        <sz val="10"/>
        <color rgb="FF1F2A28"/>
        <rFont val="Arial"/>
        <family val="0"/>
        <charset val="1"/>
      </rPr>
      <t xml:space="preserve">227</t>
    </r>
    <r>
      <rPr>
        <sz val="10"/>
        <color rgb="FF1F2A28"/>
        <rFont val="WenQuanYi Zen Hei"/>
        <family val="2"/>
      </rPr>
      <t xml:space="preserve">巷</t>
    </r>
    <r>
      <rPr>
        <sz val="10"/>
        <color rgb="FF1F2A28"/>
        <rFont val="Arial"/>
        <family val="0"/>
        <charset val="1"/>
      </rPr>
      <t xml:space="preserve">50</t>
    </r>
    <r>
      <rPr>
        <sz val="10"/>
        <color rgb="FF1F2A28"/>
        <rFont val="WenQuanYi Zen Hei"/>
        <family val="2"/>
      </rPr>
      <t xml:space="preserve">號</t>
    </r>
  </si>
  <si>
    <t xml:space="preserve">(05)3805008</t>
  </si>
  <si>
    <t xml:space="preserve">llien0516tw@yahoo.com.tw</t>
  </si>
  <si>
    <t xml:space="preserve">2022-10-14</t>
  </si>
  <si>
    <t xml:space="preserve">鄭惠蓮</t>
  </si>
  <si>
    <t xml:space="preserve">嘉義縣私立資優生文教機構短期補習班</t>
  </si>
  <si>
    <r>
      <rPr>
        <sz val="10"/>
        <color rgb="FF1F2A28"/>
        <rFont val="WenQuanYi Zen Hei"/>
        <family val="2"/>
      </rPr>
      <t xml:space="preserve">嘉義縣朴子市大同路</t>
    </r>
    <r>
      <rPr>
        <sz val="10"/>
        <color rgb="FF1F2A28"/>
        <rFont val="Arial"/>
        <family val="0"/>
        <charset val="1"/>
      </rPr>
      <t xml:space="preserve">356</t>
    </r>
    <r>
      <rPr>
        <sz val="10"/>
        <color rgb="FF1F2A28"/>
        <rFont val="WenQuanYi Zen Hei"/>
        <family val="2"/>
      </rPr>
      <t xml:space="preserve">號</t>
    </r>
  </si>
  <si>
    <t xml:space="preserve">05-3702080</t>
  </si>
  <si>
    <t xml:space="preserve">talented@talented.com.tw</t>
  </si>
  <si>
    <t xml:space="preserve">2000-11-13</t>
  </si>
  <si>
    <t xml:space="preserve">王桂珠</t>
  </si>
  <si>
    <t xml:space="preserve">涂庭瑄</t>
  </si>
  <si>
    <t xml:space="preserve">嘉義縣私立雪倫美語短期補習班</t>
  </si>
  <si>
    <r>
      <rPr>
        <sz val="10"/>
        <color rgb="FF1F2A28"/>
        <rFont val="WenQuanYi Zen Hei"/>
        <family val="2"/>
      </rPr>
      <t xml:space="preserve">嘉義縣番路鄉下坑村</t>
    </r>
    <r>
      <rPr>
        <sz val="10"/>
        <color rgb="FF1F2A28"/>
        <rFont val="Arial"/>
        <family val="0"/>
        <charset val="1"/>
      </rPr>
      <t xml:space="preserve">8</t>
    </r>
    <r>
      <rPr>
        <sz val="10"/>
        <color rgb="FF1F2A28"/>
        <rFont val="WenQuanYi Zen Hei"/>
        <family val="2"/>
      </rPr>
      <t xml:space="preserve">鄰下坑</t>
    </r>
    <r>
      <rPr>
        <sz val="10"/>
        <color rgb="FF1F2A28"/>
        <rFont val="Arial"/>
        <family val="0"/>
        <charset val="1"/>
      </rPr>
      <t xml:space="preserve">38</t>
    </r>
    <r>
      <rPr>
        <sz val="10"/>
        <color rgb="FF1F2A28"/>
        <rFont val="WenQuanYi Zen Hei"/>
        <family val="2"/>
      </rPr>
      <t xml:space="preserve">之</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</si>
  <si>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0910875871</t>
  </si>
  <si>
    <t xml:space="preserve">smilesharon2000@yahoo.com.tw</t>
  </si>
  <si>
    <t xml:space="preserve">2019-07-16</t>
  </si>
  <si>
    <t xml:space="preserve">張淑倩</t>
  </si>
  <si>
    <t xml:space="preserve">嘉義縣私立高第文理短期補習班</t>
  </si>
  <si>
    <r>
      <rPr>
        <sz val="10"/>
        <color rgb="FF1F2A28"/>
        <rFont val="WenQuanYi Zen Hei"/>
        <family val="2"/>
      </rPr>
      <t xml:space="preserve">嘉義縣太保市北新里中正路</t>
    </r>
    <r>
      <rPr>
        <sz val="10"/>
        <color rgb="FF1F2A28"/>
        <rFont val="Arial"/>
        <family val="0"/>
        <charset val="1"/>
      </rPr>
      <t xml:space="preserve">186-1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</si>
  <si>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(05)2386965</t>
  </si>
  <si>
    <t xml:space="preserve">topmath101@gmail.com</t>
  </si>
  <si>
    <t xml:space="preserve">徐盛楷</t>
  </si>
  <si>
    <t xml:space="preserve">私立世外桃源文理短期補習班</t>
  </si>
  <si>
    <r>
      <rPr>
        <sz val="10"/>
        <color rgb="FF1F2A28"/>
        <rFont val="WenQuanYi Zen Hei"/>
        <family val="2"/>
      </rPr>
      <t xml:space="preserve">嘉義縣番路鄉下坑村</t>
    </r>
    <r>
      <rPr>
        <sz val="10"/>
        <color rgb="FF1F2A28"/>
        <rFont val="Arial"/>
        <family val="0"/>
        <charset val="1"/>
      </rPr>
      <t xml:space="preserve">1</t>
    </r>
    <r>
      <rPr>
        <sz val="10"/>
        <color rgb="FF1F2A28"/>
        <rFont val="WenQuanYi Zen Hei"/>
        <family val="2"/>
      </rPr>
      <t xml:space="preserve">鄰菜公店</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</si>
  <si>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(05)2594183</t>
  </si>
  <si>
    <t xml:space="preserve">amy53920@gmail.com</t>
  </si>
  <si>
    <t xml:space="preserve">2004-11-05</t>
  </si>
  <si>
    <t xml:space="preserve">嚴曉玲</t>
  </si>
  <si>
    <t xml:space="preserve">楊嘉崧</t>
  </si>
  <si>
    <t xml:space="preserve">私立世界美語文理短期補習班</t>
  </si>
  <si>
    <r>
      <rPr>
        <sz val="10"/>
        <color rgb="FF1F2A28"/>
        <rFont val="WenQuanYi Zen Hei"/>
        <family val="2"/>
      </rPr>
      <t xml:space="preserve">嘉義縣梅山鄉梅北村中山路</t>
    </r>
    <r>
      <rPr>
        <sz val="10"/>
        <color rgb="FF1F2A28"/>
        <rFont val="Arial"/>
        <family val="0"/>
        <charset val="1"/>
      </rPr>
      <t xml:space="preserve">396</t>
    </r>
    <r>
      <rPr>
        <sz val="10"/>
        <color rgb="FF1F2A28"/>
        <rFont val="WenQuanYi Zen Hei"/>
        <family val="2"/>
      </rPr>
      <t xml:space="preserve">號</t>
    </r>
  </si>
  <si>
    <t xml:space="preserve">05-2620661</t>
  </si>
  <si>
    <t xml:space="preserve">candy27282003@gmail.com</t>
  </si>
  <si>
    <t xml:space="preserve">1999-02-11</t>
  </si>
  <si>
    <t xml:space="preserve">黃音慈</t>
  </si>
  <si>
    <t xml:space="preserve">私立世群文理短期補習班</t>
  </si>
  <si>
    <r>
      <rPr>
        <sz val="10"/>
        <color rgb="FF1F2A28"/>
        <rFont val="WenQuanYi Zen Hei"/>
        <family val="2"/>
      </rPr>
      <t xml:space="preserve">嘉義縣民雄鄉東榮村中庄</t>
    </r>
    <r>
      <rPr>
        <sz val="10"/>
        <color rgb="FF1F2A28"/>
        <rFont val="Arial"/>
        <family val="0"/>
        <charset val="1"/>
      </rPr>
      <t xml:space="preserve">112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</si>
  <si>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(05)2064838</t>
  </si>
  <si>
    <t xml:space="preserve">willson551@gmail.com</t>
  </si>
  <si>
    <t xml:space="preserve">2010-10-22</t>
  </si>
  <si>
    <t xml:space="preserve">甄鸞鳳</t>
  </si>
  <si>
    <t xml:space="preserve">私立京冠文理短期補習班</t>
  </si>
  <si>
    <r>
      <rPr>
        <sz val="10"/>
        <color rgb="FF1F2A28"/>
        <rFont val="WenQuanYi Zen Hei"/>
        <family val="2"/>
      </rPr>
      <t xml:space="preserve">嘉義縣太保市南新里中山路一段</t>
    </r>
    <r>
      <rPr>
        <sz val="10"/>
        <color rgb="FF1F2A28"/>
        <rFont val="Arial"/>
        <family val="0"/>
        <charset val="1"/>
      </rPr>
      <t xml:space="preserve">295</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</si>
  <si>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(05)2370918</t>
  </si>
  <si>
    <t xml:space="preserve">shuolun.yct0605@gmail.com</t>
  </si>
  <si>
    <t xml:space="preserve">2008-11-19</t>
  </si>
  <si>
    <t xml:space="preserve">葉政宗</t>
  </si>
  <si>
    <t xml:space="preserve">私立仁仁語文短期補習班</t>
  </si>
  <si>
    <r>
      <rPr>
        <sz val="10"/>
        <color rgb="FF1F2A28"/>
        <rFont val="WenQuanYi Zen Hei"/>
        <family val="2"/>
      </rPr>
      <t xml:space="preserve">嘉義縣中埔鄉中埔村</t>
    </r>
    <r>
      <rPr>
        <sz val="10"/>
        <color rgb="FF1F2A28"/>
        <rFont val="Arial"/>
        <family val="0"/>
        <charset val="1"/>
      </rPr>
      <t xml:space="preserve">6</t>
    </r>
    <r>
      <rPr>
        <sz val="10"/>
        <color rgb="FF1F2A28"/>
        <rFont val="WenQuanYi Zen Hei"/>
        <family val="2"/>
      </rPr>
      <t xml:space="preserve">鄰中埔</t>
    </r>
    <r>
      <rPr>
        <sz val="10"/>
        <color rgb="FF1F2A28"/>
        <rFont val="Arial"/>
        <family val="0"/>
        <charset val="1"/>
      </rPr>
      <t xml:space="preserve">26</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</si>
  <si>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(05)2536660 2539088</t>
  </si>
  <si>
    <t xml:space="preserve">renren9088@gmail.com</t>
  </si>
  <si>
    <t xml:space="preserve">2010-04-13</t>
  </si>
  <si>
    <t xml:space="preserve">葉琬禎</t>
  </si>
  <si>
    <t xml:space="preserve">王承炫</t>
  </si>
  <si>
    <t xml:space="preserve">私立佳言美語短期補習班</t>
  </si>
  <si>
    <r>
      <rPr>
        <sz val="10"/>
        <color rgb="FF1F2A28"/>
        <rFont val="WenQuanYi Zen Hei"/>
        <family val="2"/>
      </rPr>
      <t xml:space="preserve">嘉義縣水上鄉水上村</t>
    </r>
    <r>
      <rPr>
        <sz val="10"/>
        <color rgb="FF1F2A28"/>
        <rFont val="Arial"/>
        <family val="0"/>
        <charset val="1"/>
      </rPr>
      <t xml:space="preserve">9</t>
    </r>
    <r>
      <rPr>
        <sz val="10"/>
        <color rgb="FF1F2A28"/>
        <rFont val="WenQuanYi Zen Hei"/>
        <family val="2"/>
      </rPr>
      <t xml:space="preserve">鄰外林街</t>
    </r>
    <r>
      <rPr>
        <sz val="10"/>
        <color rgb="FF1F2A28"/>
        <rFont val="Arial"/>
        <family val="0"/>
        <charset val="1"/>
      </rPr>
      <t xml:space="preserve">156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</si>
  <si>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(05)2688006</t>
  </si>
  <si>
    <t xml:space="preserve">bd058@joy.com.tw</t>
  </si>
  <si>
    <t xml:space="preserve">2006-08-03</t>
  </si>
  <si>
    <t xml:space="preserve">顧以真</t>
  </si>
  <si>
    <t xml:space="preserve">陳旻雯</t>
  </si>
  <si>
    <t xml:space="preserve">私立儒林文理短期補習班</t>
  </si>
  <si>
    <r>
      <rPr>
        <sz val="10"/>
        <color rgb="FF1F2A28"/>
        <rFont val="WenQuanYi Zen Hei"/>
        <family val="2"/>
      </rPr>
      <t xml:space="preserve">嘉義縣民雄鄉東榮村中庄</t>
    </r>
    <r>
      <rPr>
        <sz val="10"/>
        <color rgb="FF1F2A28"/>
        <rFont val="Arial"/>
        <family val="0"/>
        <charset val="1"/>
      </rPr>
      <t xml:space="preserve">111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</si>
  <si>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0929395191</t>
  </si>
  <si>
    <t xml:space="preserve">a0958799976@gmail.com</t>
  </si>
  <si>
    <t xml:space="preserve">林秋芬</t>
  </si>
  <si>
    <t xml:space="preserve">郭恩汝</t>
  </si>
  <si>
    <t xml:space="preserve">私立允強文理短期補習班</t>
  </si>
  <si>
    <r>
      <rPr>
        <sz val="10"/>
        <color rgb="FF1F2A28"/>
        <rFont val="WenQuanYi Zen Hei"/>
        <family val="2"/>
      </rPr>
      <t xml:space="preserve">嘉義縣太保市安仁里公園北街</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</si>
  <si>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(05)3620533</t>
  </si>
  <si>
    <t xml:space="preserve">b0970260533@gmail.com</t>
  </si>
  <si>
    <t xml:space="preserve">林英鳳</t>
  </si>
  <si>
    <t xml:space="preserve">私立加勤短期補習班</t>
  </si>
  <si>
    <r>
      <rPr>
        <sz val="10"/>
        <color rgb="FF1F2A28"/>
        <rFont val="WenQuanYi Zen Hei"/>
        <family val="2"/>
      </rPr>
      <t xml:space="preserve">嘉義縣新港鄉宮前村古民街</t>
    </r>
    <r>
      <rPr>
        <sz val="10"/>
        <color rgb="FF1F2A28"/>
        <rFont val="Arial"/>
        <family val="0"/>
        <charset val="1"/>
      </rPr>
      <t xml:space="preserve">8</t>
    </r>
    <r>
      <rPr>
        <sz val="10"/>
        <color rgb="FF1F2A28"/>
        <rFont val="WenQuanYi Zen Hei"/>
        <family val="2"/>
      </rPr>
      <t xml:space="preserve">巷</t>
    </r>
    <r>
      <rPr>
        <sz val="10"/>
        <color rgb="FF1F2A28"/>
        <rFont val="Arial"/>
        <family val="0"/>
        <charset val="1"/>
      </rPr>
      <t xml:space="preserve">46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</si>
  <si>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(05)3747561</t>
  </si>
  <si>
    <t xml:space="preserve">dylan0405@gmail.com</t>
  </si>
  <si>
    <t xml:space="preserve">2023-12-12</t>
  </si>
  <si>
    <t xml:space="preserve">林宗正</t>
  </si>
  <si>
    <t xml:space="preserve">私立叡智文理短期補習班</t>
  </si>
  <si>
    <r>
      <rPr>
        <sz val="10"/>
        <color rgb="FF1F2A28"/>
        <rFont val="WenQuanYi Zen Hei"/>
        <family val="2"/>
      </rPr>
      <t xml:space="preserve">嘉義縣太保市太保里</t>
    </r>
    <r>
      <rPr>
        <sz val="10"/>
        <color rgb="FF1F2A28"/>
        <rFont val="Arial"/>
        <family val="0"/>
        <charset val="1"/>
      </rPr>
      <t xml:space="preserve">124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</si>
  <si>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(05)3717136</t>
  </si>
  <si>
    <t xml:space="preserve">a12345xa@yahoo.com.tw</t>
  </si>
  <si>
    <t xml:space="preserve">2009-03-12</t>
  </si>
  <si>
    <t xml:space="preserve">葉春蘭</t>
  </si>
  <si>
    <t xml:space="preserve">私立叮噹語文短期補習班</t>
  </si>
  <si>
    <r>
      <rPr>
        <sz val="10"/>
        <color rgb="FF1F2A28"/>
        <rFont val="WenQuanYi Zen Hei"/>
        <family val="2"/>
      </rPr>
      <t xml:space="preserve">嘉義縣鹿草鄉西井村鹿草路</t>
    </r>
    <r>
      <rPr>
        <sz val="10"/>
        <color rgb="FF1F2A28"/>
        <rFont val="Arial"/>
        <family val="0"/>
        <charset val="1"/>
      </rPr>
      <t xml:space="preserve">282</t>
    </r>
    <r>
      <rPr>
        <sz val="10"/>
        <color rgb="FF1F2A28"/>
        <rFont val="WenQuanYi Zen Hei"/>
        <family val="2"/>
      </rPr>
      <t xml:space="preserve">、</t>
    </r>
    <r>
      <rPr>
        <sz val="10"/>
        <color rgb="FF1F2A28"/>
        <rFont val="Arial"/>
        <family val="0"/>
        <charset val="1"/>
      </rPr>
      <t xml:space="preserve">286</t>
    </r>
    <r>
      <rPr>
        <sz val="10"/>
        <color rgb="FF1F2A28"/>
        <rFont val="WenQuanYi Zen Hei"/>
        <family val="2"/>
      </rPr>
      <t xml:space="preserve">號</t>
    </r>
    <r>
      <rPr>
        <sz val="10"/>
        <color rgb="FF1F2A28"/>
        <rFont val="Arial"/>
        <family val="0"/>
        <charset val="1"/>
      </rPr>
      <t xml:space="preserve">2F</t>
    </r>
  </si>
  <si>
    <t xml:space="preserve">05-3750399</t>
  </si>
  <si>
    <t xml:space="preserve">viga.lin@msa.hinet.net</t>
  </si>
  <si>
    <t xml:space="preserve">林偉加</t>
  </si>
  <si>
    <t xml:space="preserve">梁修菁</t>
  </si>
  <si>
    <t xml:space="preserve">私立吳老師文理短期補習班</t>
  </si>
  <si>
    <r>
      <rPr>
        <sz val="10"/>
        <color rgb="FF1F2A28"/>
        <rFont val="WenQuanYi Zen Hei"/>
        <family val="2"/>
      </rPr>
      <t xml:space="preserve">嘉義縣大林鎮西林里祥和路</t>
    </r>
    <r>
      <rPr>
        <sz val="10"/>
        <color rgb="FF1F2A28"/>
        <rFont val="Arial"/>
        <family val="0"/>
        <charset val="1"/>
      </rPr>
      <t xml:space="preserve">177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</si>
  <si>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05-2651683</t>
  </si>
  <si>
    <t xml:space="preserve">ialice1699@yahoo.com.tw</t>
  </si>
  <si>
    <t xml:space="preserve">2001-10-11</t>
  </si>
  <si>
    <t xml:space="preserve">私立國華文理短期補習班</t>
  </si>
  <si>
    <r>
      <rPr>
        <sz val="10"/>
        <color rgb="FF1F2A28"/>
        <rFont val="WenQuanYi Zen Hei"/>
        <family val="2"/>
      </rPr>
      <t xml:space="preserve">嘉義縣太保市中山路一段</t>
    </r>
    <r>
      <rPr>
        <sz val="10"/>
        <color rgb="FF1F2A28"/>
        <rFont val="Arial"/>
        <family val="0"/>
        <charset val="1"/>
      </rPr>
      <t xml:space="preserve">228</t>
    </r>
    <r>
      <rPr>
        <sz val="10"/>
        <color rgb="FF1F2A28"/>
        <rFont val="WenQuanYi Zen Hei"/>
        <family val="2"/>
      </rPr>
      <t xml:space="preserve">巷</t>
    </r>
    <r>
      <rPr>
        <sz val="10"/>
        <color rgb="FF1F2A28"/>
        <rFont val="Arial"/>
        <family val="0"/>
        <charset val="1"/>
      </rPr>
      <t xml:space="preserve">22</t>
    </r>
    <r>
      <rPr>
        <sz val="10"/>
        <color rgb="FF1F2A28"/>
        <rFont val="WenQuanYi Zen Hei"/>
        <family val="2"/>
      </rPr>
      <t xml:space="preserve">弄</t>
    </r>
    <r>
      <rPr>
        <sz val="10"/>
        <color rgb="FF1F2A28"/>
        <rFont val="Arial"/>
        <family val="0"/>
        <charset val="1"/>
      </rPr>
      <t xml:space="preserve">39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</si>
  <si>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(05)2385038</t>
  </si>
  <si>
    <t xml:space="preserve">p884@ms19.hinet.net</t>
  </si>
  <si>
    <t xml:space="preserve">2005-05-18</t>
  </si>
  <si>
    <t xml:space="preserve">私立大地電腦文理短期補習班</t>
  </si>
  <si>
    <r>
      <rPr>
        <sz val="10"/>
        <color rgb="FF1F2A28"/>
        <rFont val="WenQuanYi Zen Hei"/>
        <family val="2"/>
      </rPr>
      <t xml:space="preserve">嘉義縣水上鄉中正路</t>
    </r>
    <r>
      <rPr>
        <sz val="10"/>
        <color rgb="FF1F2A28"/>
        <rFont val="Arial"/>
        <family val="0"/>
        <charset val="1"/>
      </rPr>
      <t xml:space="preserve">155</t>
    </r>
    <r>
      <rPr>
        <sz val="10"/>
        <color rgb="FF1F2A28"/>
        <rFont val="WenQuanYi Zen Hei"/>
        <family val="2"/>
      </rPr>
      <t xml:space="preserve">巷</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門牌整編</t>
    </r>
    <r>
      <rPr>
        <sz val="10"/>
        <color rgb="FF1F2A28"/>
        <rFont val="Arial"/>
        <family val="0"/>
        <charset val="1"/>
      </rPr>
      <t xml:space="preserve">)</t>
    </r>
  </si>
  <si>
    <t xml:space="preserve">05-2689076</t>
  </si>
  <si>
    <t xml:space="preserve">hunzun@ms8.hinet.net</t>
  </si>
  <si>
    <t xml:space="preserve">吳彥緯</t>
  </si>
  <si>
    <t xml:space="preserve">私立學林語文才藝短期補習班</t>
  </si>
  <si>
    <r>
      <rPr>
        <sz val="10"/>
        <color rgb="FF1F2A28"/>
        <rFont val="WenQuanYi Zen Hei"/>
        <family val="2"/>
      </rPr>
      <t xml:space="preserve">嘉義縣民雄鄉福樂村埤角</t>
    </r>
    <r>
      <rPr>
        <sz val="10"/>
        <color rgb="FF1F2A28"/>
        <rFont val="Arial"/>
        <family val="0"/>
        <charset val="1"/>
      </rPr>
      <t xml:space="preserve">548</t>
    </r>
    <r>
      <rPr>
        <sz val="10"/>
        <color rgb="FF1F2A28"/>
        <rFont val="WenQuanYi Zen Hei"/>
        <family val="2"/>
      </rPr>
      <t xml:space="preserve">號</t>
    </r>
  </si>
  <si>
    <t xml:space="preserve">05-2200837</t>
  </si>
  <si>
    <t xml:space="preserve">李雅芳</t>
  </si>
  <si>
    <t xml:space="preserve">私立安爾堡文理短期補習班</t>
  </si>
  <si>
    <r>
      <rPr>
        <sz val="10"/>
        <color rgb="FF1F2A28"/>
        <rFont val="WenQuanYi Zen Hei"/>
        <family val="2"/>
      </rPr>
      <t xml:space="preserve">嘉義縣朴子市八德路</t>
    </r>
    <r>
      <rPr>
        <sz val="10"/>
        <color rgb="FF1F2A28"/>
        <rFont val="Arial"/>
        <family val="0"/>
        <charset val="1"/>
      </rPr>
      <t xml:space="preserve">127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</si>
  <si>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(05)3701368</t>
  </si>
  <si>
    <t xml:space="preserve">anna770627@gmail.com</t>
  </si>
  <si>
    <t xml:space="preserve">2022-04-27</t>
  </si>
  <si>
    <t xml:space="preserve">黃郁修</t>
  </si>
  <si>
    <t xml:space="preserve">私立張傑文理短期補習班</t>
  </si>
  <si>
    <r>
      <rPr>
        <sz val="10"/>
        <color rgb="FF1F2A28"/>
        <rFont val="WenQuanYi Zen Hei"/>
        <family val="2"/>
      </rPr>
      <t xml:space="preserve">嘉義縣新港鄉新中路</t>
    </r>
    <r>
      <rPr>
        <sz val="10"/>
        <color rgb="FF1F2A28"/>
        <rFont val="Arial"/>
        <family val="0"/>
        <charset val="1"/>
      </rPr>
      <t xml:space="preserve">296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</si>
  <si>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(05)3749818</t>
  </si>
  <si>
    <t xml:space="preserve">dragonelfin@gmail.com</t>
  </si>
  <si>
    <t xml:space="preserve">2024-08-23</t>
  </si>
  <si>
    <t xml:space="preserve">張俊傑</t>
  </si>
  <si>
    <t xml:space="preserve">私立心心文理短期補習班</t>
  </si>
  <si>
    <r>
      <rPr>
        <sz val="10"/>
        <color rgb="FF1F2A28"/>
        <rFont val="WenQuanYi Zen Hei"/>
        <family val="2"/>
      </rPr>
      <t xml:space="preserve">嘉義縣太保市麻寮里中山路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58</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</si>
  <si>
    <t xml:space="preserve">05-2382297</t>
  </si>
  <si>
    <t xml:space="preserve">abdulu.9999@gmail.com</t>
  </si>
  <si>
    <t xml:space="preserve">2001-03-29</t>
  </si>
  <si>
    <t xml:space="preserve">盧炳宏</t>
  </si>
  <si>
    <t xml:space="preserve">私立愛兒堡短期補習班</t>
  </si>
  <si>
    <r>
      <rPr>
        <sz val="10"/>
        <color rgb="FF1F2A28"/>
        <rFont val="WenQuanYi Zen Hei"/>
        <family val="2"/>
      </rPr>
      <t xml:space="preserve">嘉義縣民雄鄉山中村牛斗山</t>
    </r>
    <r>
      <rPr>
        <sz val="10"/>
        <color rgb="FF1F2A28"/>
        <rFont val="Arial"/>
        <family val="0"/>
        <charset val="1"/>
      </rPr>
      <t xml:space="preserve">95</t>
    </r>
    <r>
      <rPr>
        <sz val="10"/>
        <color rgb="FF1F2A28"/>
        <rFont val="WenQuanYi Zen Hei"/>
        <family val="2"/>
      </rPr>
      <t xml:space="preserve">之</t>
    </r>
    <r>
      <rPr>
        <sz val="10"/>
        <color rgb="FF1F2A28"/>
        <rFont val="Arial"/>
        <family val="0"/>
        <charset val="1"/>
      </rPr>
      <t xml:space="preserve">25</t>
    </r>
    <r>
      <rPr>
        <sz val="10"/>
        <color rgb="FF1F2A28"/>
        <rFont val="WenQuanYi Zen Hei"/>
        <family val="2"/>
      </rPr>
      <t xml:space="preserve">號</t>
    </r>
  </si>
  <si>
    <t xml:space="preserve">mimicat_lin@yahoo.com.tw</t>
  </si>
  <si>
    <t xml:space="preserve">2025-08-14</t>
  </si>
  <si>
    <t xml:space="preserve">劉峻原</t>
  </si>
  <si>
    <t xml:space="preserve">林佳玲</t>
  </si>
  <si>
    <t xml:space="preserve">私立格林文理短期補習班</t>
  </si>
  <si>
    <r>
      <rPr>
        <sz val="10"/>
        <color rgb="FF1F2A28"/>
        <rFont val="WenQuanYi Zen Hei"/>
        <family val="2"/>
      </rPr>
      <t xml:space="preserve">嘉義縣中埔鄉和美村中山路五段</t>
    </r>
    <r>
      <rPr>
        <sz val="10"/>
        <color rgb="FF1F2A28"/>
        <rFont val="Arial"/>
        <family val="0"/>
        <charset val="1"/>
      </rPr>
      <t xml:space="preserve">732</t>
    </r>
    <r>
      <rPr>
        <sz val="10"/>
        <color rgb="FF1F2A28"/>
        <rFont val="WenQuanYi Zen Hei"/>
        <family val="2"/>
      </rPr>
      <t xml:space="preserve">巷</t>
    </r>
    <r>
      <rPr>
        <sz val="10"/>
        <color rgb="FF1F2A28"/>
        <rFont val="Arial"/>
        <family val="0"/>
        <charset val="1"/>
      </rPr>
      <t xml:space="preserve">76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</si>
  <si>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(05)2308833</t>
  </si>
  <si>
    <t xml:space="preserve">greenenglishcy@gmail.com</t>
  </si>
  <si>
    <t xml:space="preserve">2006-04-24</t>
  </si>
  <si>
    <t xml:space="preserve">吳梨峯</t>
  </si>
  <si>
    <t xml:space="preserve">私立漢唐語文珠算短期補習班</t>
  </si>
  <si>
    <r>
      <rPr>
        <sz val="10"/>
        <color rgb="FF1F2A28"/>
        <rFont val="WenQuanYi Zen Hei"/>
        <family val="2"/>
      </rPr>
      <t xml:space="preserve">嘉義縣朴子市南通路三段</t>
    </r>
    <r>
      <rPr>
        <sz val="10"/>
        <color rgb="FF1F2A28"/>
        <rFont val="Arial"/>
        <family val="0"/>
        <charset val="1"/>
      </rPr>
      <t xml:space="preserve">909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樓及</t>
    </r>
    <r>
      <rPr>
        <sz val="10"/>
        <color rgb="FF1F2A28"/>
        <rFont val="Arial"/>
        <family val="0"/>
        <charset val="1"/>
      </rPr>
      <t xml:space="preserve">911</t>
    </r>
    <r>
      <rPr>
        <sz val="10"/>
        <color rgb="FF1F2A28"/>
        <rFont val="WenQuanYi Zen Hei"/>
        <family val="2"/>
      </rPr>
      <t xml:space="preserve">號</t>
    </r>
  </si>
  <si>
    <t xml:space="preserve">05-3799528</t>
  </si>
  <si>
    <t xml:space="preserve">new76419@gmail.com</t>
  </si>
  <si>
    <t xml:space="preserve">1997-03-15</t>
  </si>
  <si>
    <t xml:space="preserve">黃淑櫻</t>
  </si>
  <si>
    <t xml:space="preserve">私立牧樂短期補習班</t>
  </si>
  <si>
    <r>
      <rPr>
        <sz val="10"/>
        <color rgb="FF1F2A28"/>
        <rFont val="WenQuanYi Zen Hei"/>
        <family val="2"/>
      </rPr>
      <t xml:space="preserve">嘉義縣大林鎮平林里第</t>
    </r>
    <r>
      <rPr>
        <sz val="10"/>
        <color rgb="FF1F2A28"/>
        <rFont val="Arial"/>
        <family val="0"/>
        <charset val="1"/>
      </rPr>
      <t xml:space="preserve">33</t>
    </r>
    <r>
      <rPr>
        <sz val="10"/>
        <color rgb="FF1F2A28"/>
        <rFont val="WenQuanYi Zen Hei"/>
        <family val="2"/>
      </rPr>
      <t xml:space="preserve">鄰中興路</t>
    </r>
    <r>
      <rPr>
        <sz val="10"/>
        <color rgb="FF1F2A28"/>
        <rFont val="Arial"/>
        <family val="0"/>
        <charset val="1"/>
      </rPr>
      <t xml:space="preserve">282</t>
    </r>
    <r>
      <rPr>
        <sz val="10"/>
        <color rgb="FF1F2A28"/>
        <rFont val="WenQuanYi Zen Hei"/>
        <family val="2"/>
      </rPr>
      <t xml:space="preserve">號之</t>
    </r>
    <r>
      <rPr>
        <sz val="10"/>
        <color rgb="FF1F2A28"/>
        <rFont val="Arial"/>
        <family val="0"/>
        <charset val="1"/>
      </rPr>
      <t xml:space="preserve">25(1</t>
    </r>
    <r>
      <rPr>
        <sz val="10"/>
        <color rgb="FF1F2A28"/>
        <rFont val="WenQuanYi Zen Hei"/>
        <family val="2"/>
      </rPr>
      <t xml:space="preserve">樓</t>
    </r>
    <r>
      <rPr>
        <sz val="10"/>
        <color rgb="FF1F2A28"/>
        <rFont val="Arial"/>
        <family val="0"/>
        <charset val="1"/>
      </rPr>
      <t xml:space="preserve">)</t>
    </r>
  </si>
  <si>
    <t xml:space="preserve">0958817772</t>
  </si>
  <si>
    <t xml:space="preserve">sisleymh@gmail.com</t>
  </si>
  <si>
    <t xml:space="preserve">林孟慧</t>
  </si>
  <si>
    <t xml:space="preserve">私立碩博文理短期補習班</t>
  </si>
  <si>
    <r>
      <rPr>
        <sz val="10"/>
        <color rgb="FF1F2A28"/>
        <rFont val="WenQuanYi Zen Hei"/>
        <family val="2"/>
      </rPr>
      <t xml:space="preserve">嘉義縣民雄鄉福樂村自強二街</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</si>
  <si>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(05)2131246</t>
  </si>
  <si>
    <t xml:space="preserve">super2131246@yahoo.com.tw</t>
  </si>
  <si>
    <t xml:space="preserve">2003-12-05</t>
  </si>
  <si>
    <t xml:space="preserve">黃坤哲</t>
  </si>
  <si>
    <t xml:space="preserve">私立童年故事短期補習班</t>
  </si>
  <si>
    <r>
      <rPr>
        <sz val="10"/>
        <color rgb="FF1F2A28"/>
        <rFont val="WenQuanYi Zen Hei"/>
        <family val="2"/>
      </rPr>
      <t xml:space="preserve">嘉義縣梅山鄉梅東村中正路</t>
    </r>
    <r>
      <rPr>
        <sz val="10"/>
        <color rgb="FF1F2A28"/>
        <rFont val="Arial"/>
        <family val="0"/>
        <charset val="1"/>
      </rPr>
      <t xml:space="preserve">24</t>
    </r>
    <r>
      <rPr>
        <sz val="10"/>
        <color rgb="FF1F2A28"/>
        <rFont val="WenQuanYi Zen Hei"/>
        <family val="2"/>
      </rPr>
      <t xml:space="preserve">號</t>
    </r>
  </si>
  <si>
    <t xml:space="preserve">(05)2626090</t>
  </si>
  <si>
    <t xml:space="preserve">詹麗娟</t>
  </si>
  <si>
    <t xml:space="preserve">私立義儒短期補習班</t>
  </si>
  <si>
    <r>
      <rPr>
        <sz val="10"/>
        <color rgb="FF1F2A28"/>
        <rFont val="WenQuanYi Zen Hei"/>
        <family val="2"/>
      </rPr>
      <t xml:space="preserve">嘉義縣義竹鄉義竹村</t>
    </r>
    <r>
      <rPr>
        <sz val="10"/>
        <color rgb="FF1F2A28"/>
        <rFont val="Arial"/>
        <family val="0"/>
        <charset val="1"/>
      </rPr>
      <t xml:space="preserve">17</t>
    </r>
    <r>
      <rPr>
        <sz val="10"/>
        <color rgb="FF1F2A28"/>
        <rFont val="WenQuanYi Zen Hei"/>
        <family val="2"/>
      </rPr>
      <t xml:space="preserve">鄰義竹</t>
    </r>
    <r>
      <rPr>
        <sz val="10"/>
        <color rgb="FF1F2A28"/>
        <rFont val="Arial"/>
        <family val="0"/>
        <charset val="1"/>
      </rPr>
      <t xml:space="preserve">88</t>
    </r>
    <r>
      <rPr>
        <sz val="10"/>
        <color rgb="FF1F2A28"/>
        <rFont val="WenQuanYi Zen Hei"/>
        <family val="2"/>
      </rPr>
      <t xml:space="preserve">號之</t>
    </r>
    <r>
      <rPr>
        <sz val="10"/>
        <color rgb="FF1F2A28"/>
        <rFont val="Arial"/>
        <family val="0"/>
        <charset val="1"/>
      </rPr>
      <t xml:space="preserve">10</t>
    </r>
  </si>
  <si>
    <t xml:space="preserve">yilongliao@gmail.com</t>
  </si>
  <si>
    <t xml:space="preserve">2024-12-04</t>
  </si>
  <si>
    <t xml:space="preserve">廖怡龍</t>
  </si>
  <si>
    <t xml:space="preserve">私立義德文理短期補習班</t>
  </si>
  <si>
    <r>
      <rPr>
        <sz val="10"/>
        <color rgb="FF1F2A28"/>
        <rFont val="WenQuanYi Zen Hei"/>
        <family val="2"/>
      </rPr>
      <t xml:space="preserve">嘉義縣新港鄉宮後村</t>
    </r>
    <r>
      <rPr>
        <sz val="10"/>
        <color rgb="FF1F2A28"/>
        <rFont val="Arial"/>
        <family val="0"/>
        <charset val="1"/>
      </rPr>
      <t xml:space="preserve">24</t>
    </r>
    <r>
      <rPr>
        <sz val="10"/>
        <color rgb="FF1F2A28"/>
        <rFont val="WenQuanYi Zen Hei"/>
        <family val="2"/>
      </rPr>
      <t xml:space="preserve">鄰新民路</t>
    </r>
    <r>
      <rPr>
        <sz val="10"/>
        <color rgb="FF1F2A28"/>
        <rFont val="Arial"/>
        <family val="0"/>
        <charset val="1"/>
      </rPr>
      <t xml:space="preserve">173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</si>
  <si>
    <t xml:space="preserve">(05)3749828</t>
  </si>
  <si>
    <t xml:space="preserve">powen0714@gmail.com</t>
  </si>
  <si>
    <t xml:space="preserve">鄭博文</t>
  </si>
  <si>
    <t xml:space="preserve">私立翰成升學文理短期補習班</t>
  </si>
  <si>
    <r>
      <rPr>
        <sz val="10"/>
        <color rgb="FF1F2A28"/>
        <rFont val="WenQuanYi Zen Hei"/>
        <family val="2"/>
      </rPr>
      <t xml:space="preserve">嘉義縣朴子市大同東路</t>
    </r>
    <r>
      <rPr>
        <sz val="10"/>
        <color rgb="FF1F2A28"/>
        <rFont val="Arial"/>
        <family val="0"/>
        <charset val="1"/>
      </rPr>
      <t xml:space="preserve">106</t>
    </r>
    <r>
      <rPr>
        <sz val="10"/>
        <color rgb="FF1F2A28"/>
        <rFont val="WenQuanYi Zen Hei"/>
        <family val="2"/>
      </rPr>
      <t xml:space="preserve">號</t>
    </r>
  </si>
  <si>
    <t xml:space="preserve">05-3703886</t>
  </si>
  <si>
    <t xml:space="preserve">hanchengbest@gmail.com</t>
  </si>
  <si>
    <t xml:space="preserve">1998-03-06</t>
  </si>
  <si>
    <t xml:space="preserve">陳帛宣</t>
  </si>
  <si>
    <t xml:space="preserve">私立耶米文理技藝短期補習班</t>
  </si>
  <si>
    <r>
      <rPr>
        <sz val="10"/>
        <color rgb="FF1F2A28"/>
        <rFont val="WenQuanYi Zen Hei"/>
        <family val="2"/>
      </rPr>
      <t xml:space="preserve">嘉義縣大林鎮平林里</t>
    </r>
    <r>
      <rPr>
        <sz val="10"/>
        <color rgb="FF1F2A28"/>
        <rFont val="Arial"/>
        <family val="0"/>
        <charset val="1"/>
      </rPr>
      <t xml:space="preserve">29</t>
    </r>
    <r>
      <rPr>
        <sz val="10"/>
        <color rgb="FF1F2A28"/>
        <rFont val="WenQuanYi Zen Hei"/>
        <family val="2"/>
      </rPr>
      <t xml:space="preserve">鄰民權路</t>
    </r>
    <r>
      <rPr>
        <sz val="10"/>
        <color rgb="FF1F2A28"/>
        <rFont val="Arial"/>
        <family val="0"/>
        <charset val="1"/>
      </rPr>
      <t xml:space="preserve">69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</si>
  <si>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(05)2649361</t>
  </si>
  <si>
    <t xml:space="preserve">qoo02022002@yahoo.com.tw</t>
  </si>
  <si>
    <t xml:space="preserve">簡雅宥</t>
  </si>
  <si>
    <t xml:space="preserve">私立聖光文理短期補習班</t>
  </si>
  <si>
    <r>
      <rPr>
        <sz val="10"/>
        <color rgb="FF1F2A28"/>
        <rFont val="WenQuanYi Zen Hei"/>
        <family val="2"/>
      </rPr>
      <t xml:space="preserve">嘉義縣新港鄉福德村登雲路</t>
    </r>
    <r>
      <rPr>
        <sz val="10"/>
        <color rgb="FF1F2A28"/>
        <rFont val="Arial"/>
        <family val="0"/>
        <charset val="1"/>
      </rPr>
      <t xml:space="preserve">111</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</si>
  <si>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(05)3749035</t>
  </si>
  <si>
    <t xml:space="preserve">2010-12-27</t>
  </si>
  <si>
    <t xml:space="preserve">陳惠芬</t>
  </si>
  <si>
    <t xml:space="preserve">私立聖達文理短期補習班</t>
  </si>
  <si>
    <r>
      <rPr>
        <sz val="10"/>
        <color rgb="FF1F2A28"/>
        <rFont val="WenQuanYi Zen Hei"/>
        <family val="2"/>
      </rPr>
      <t xml:space="preserve">嘉義縣溪口鄉坪頂村</t>
    </r>
    <r>
      <rPr>
        <sz val="10"/>
        <color rgb="FF1F2A28"/>
        <rFont val="Arial"/>
        <family val="0"/>
        <charset val="1"/>
      </rPr>
      <t xml:space="preserve">12</t>
    </r>
    <r>
      <rPr>
        <sz val="10"/>
        <color rgb="FF1F2A28"/>
        <rFont val="WenQuanYi Zen Hei"/>
        <family val="2"/>
      </rPr>
      <t xml:space="preserve">鄰溪民路</t>
    </r>
    <r>
      <rPr>
        <sz val="10"/>
        <color rgb="FF1F2A28"/>
        <rFont val="Arial"/>
        <family val="0"/>
        <charset val="1"/>
      </rPr>
      <t xml:space="preserve">17</t>
    </r>
    <r>
      <rPr>
        <sz val="10"/>
        <color rgb="FF1F2A28"/>
        <rFont val="WenQuanYi Zen Hei"/>
        <family val="2"/>
      </rPr>
      <t xml:space="preserve">號</t>
    </r>
  </si>
  <si>
    <t xml:space="preserve">(05)2698333</t>
  </si>
  <si>
    <t xml:space="preserve">giraffe.judy@msa.hinet.net</t>
  </si>
  <si>
    <t xml:space="preserve">2010-12-13</t>
  </si>
  <si>
    <t xml:space="preserve">田靖如</t>
  </si>
  <si>
    <t xml:space="preserve">私立育全短期補習班</t>
  </si>
  <si>
    <r>
      <rPr>
        <sz val="10"/>
        <color rgb="FF1F2A28"/>
        <rFont val="WenQuanYi Zen Hei"/>
        <family val="2"/>
      </rPr>
      <t xml:space="preserve">嘉義縣水上鄉水上村中正路</t>
    </r>
    <r>
      <rPr>
        <sz val="10"/>
        <color rgb="FF1F2A28"/>
        <rFont val="Arial"/>
        <family val="0"/>
        <charset val="1"/>
      </rPr>
      <t xml:space="preserve">175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</si>
  <si>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(05)2682866</t>
  </si>
  <si>
    <t xml:space="preserve">sz20051113@gmail.com</t>
  </si>
  <si>
    <t xml:space="preserve">2025-02-12</t>
  </si>
  <si>
    <t xml:space="preserve">賴玥蓁</t>
  </si>
  <si>
    <t xml:space="preserve">賴姵汝</t>
  </si>
  <si>
    <t xml:space="preserve">私立育嘉文理短期補習班</t>
  </si>
  <si>
    <r>
      <rPr>
        <sz val="10"/>
        <color rgb="FF1F2A28"/>
        <rFont val="WenQuanYi Zen Hei"/>
        <family val="2"/>
      </rPr>
      <t xml:space="preserve">嘉義縣中埔鄉中埔村中埔</t>
    </r>
    <r>
      <rPr>
        <sz val="10"/>
        <color rgb="FF1F2A28"/>
        <rFont val="Arial"/>
        <family val="0"/>
        <charset val="1"/>
      </rPr>
      <t xml:space="preserve">24-3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</si>
  <si>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(05)2530881</t>
  </si>
  <si>
    <t xml:space="preserve">ibear2537088@gmail.com</t>
  </si>
  <si>
    <t xml:space="preserve">李麗君</t>
  </si>
  <si>
    <t xml:space="preserve">私立育林文理短期補習班</t>
  </si>
  <si>
    <r>
      <rPr>
        <sz val="10"/>
        <color rgb="FF1F2A28"/>
        <rFont val="WenQuanYi Zen Hei"/>
        <family val="2"/>
      </rPr>
      <t xml:space="preserve">嘉義縣朴子市祥和三路西段</t>
    </r>
    <r>
      <rPr>
        <sz val="10"/>
        <color rgb="FF1F2A28"/>
        <rFont val="Arial"/>
        <family val="0"/>
        <charset val="1"/>
      </rPr>
      <t xml:space="preserve">185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</si>
  <si>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smallip2001@gmail.com</t>
  </si>
  <si>
    <t xml:space="preserve">2023-12-19</t>
  </si>
  <si>
    <t xml:space="preserve">劉家材</t>
  </si>
  <si>
    <t xml:space="preserve">私立艾瑞克英語短期補習班</t>
  </si>
  <si>
    <r>
      <rPr>
        <sz val="10"/>
        <color rgb="FF1F2A28"/>
        <rFont val="WenQuanYi Zen Hei"/>
        <family val="2"/>
      </rPr>
      <t xml:space="preserve">嘉義縣新港鄉宮後村</t>
    </r>
    <r>
      <rPr>
        <sz val="10"/>
        <color rgb="FF1F2A28"/>
        <rFont val="Arial"/>
        <family val="0"/>
        <charset val="1"/>
      </rPr>
      <t xml:space="preserve">13</t>
    </r>
    <r>
      <rPr>
        <sz val="10"/>
        <color rgb="FF1F2A28"/>
        <rFont val="WenQuanYi Zen Hei"/>
        <family val="2"/>
      </rPr>
      <t xml:space="preserve">鄰中正路</t>
    </r>
    <r>
      <rPr>
        <sz val="10"/>
        <color rgb="FF1F2A28"/>
        <rFont val="Arial"/>
        <family val="0"/>
        <charset val="1"/>
      </rPr>
      <t xml:space="preserve">140</t>
    </r>
    <r>
      <rPr>
        <sz val="10"/>
        <color rgb="FF1F2A28"/>
        <rFont val="WenQuanYi Zen Hei"/>
        <family val="2"/>
      </rPr>
      <t xml:space="preserve">巷</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</si>
  <si>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(05)3743155</t>
  </si>
  <si>
    <t xml:space="preserve">eric540222@gmail.com</t>
  </si>
  <si>
    <t xml:space="preserve">2021-03-26</t>
  </si>
  <si>
    <t xml:space="preserve">王榮德</t>
  </si>
  <si>
    <t xml:space="preserve">私立英美語文短期補習班</t>
  </si>
  <si>
    <r>
      <rPr>
        <sz val="10"/>
        <color rgb="FF1F2A28"/>
        <rFont val="WenQuanYi Zen Hei"/>
        <family val="2"/>
      </rPr>
      <t xml:space="preserve">嘉義縣大林鎮中正路</t>
    </r>
    <r>
      <rPr>
        <sz val="10"/>
        <color rgb="FF1F2A28"/>
        <rFont val="Arial"/>
        <family val="0"/>
        <charset val="1"/>
      </rPr>
      <t xml:space="preserve">450</t>
    </r>
    <r>
      <rPr>
        <sz val="10"/>
        <color rgb="FF1F2A28"/>
        <rFont val="WenQuanYi Zen Hei"/>
        <family val="2"/>
      </rPr>
      <t xml:space="preserve">號</t>
    </r>
  </si>
  <si>
    <t xml:space="preserve">(05)2652020</t>
  </si>
  <si>
    <t xml:space="preserve">fan0621@kimo.com</t>
  </si>
  <si>
    <t xml:space="preserve">2009-03-27</t>
  </si>
  <si>
    <t xml:space="preserve">樊舒瑋</t>
  </si>
  <si>
    <t xml:space="preserve">私立誠楓文理短期補習班</t>
  </si>
  <si>
    <r>
      <rPr>
        <sz val="10"/>
        <color rgb="FF1F2A28"/>
        <rFont val="WenQuanYi Zen Hei"/>
        <family val="2"/>
      </rPr>
      <t xml:space="preserve">嘉義縣中埔鄉和興村中華路</t>
    </r>
    <r>
      <rPr>
        <sz val="10"/>
        <color rgb="FF1F2A28"/>
        <rFont val="Arial"/>
        <family val="0"/>
        <charset val="1"/>
      </rPr>
      <t xml:space="preserve">775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</si>
  <si>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(05)2390177</t>
  </si>
  <si>
    <t xml:space="preserve">chengfongschool@gmail.com</t>
  </si>
  <si>
    <t xml:space="preserve">劉怡真</t>
  </si>
  <si>
    <t xml:space="preserve">私立資優美語短期補習班</t>
  </si>
  <si>
    <r>
      <rPr>
        <sz val="10"/>
        <color rgb="FF1F2A28"/>
        <rFont val="WenQuanYi Zen Hei"/>
        <family val="2"/>
      </rPr>
      <t xml:space="preserve">嘉義縣太保市太保二路</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</si>
  <si>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(05)3623311</t>
  </si>
  <si>
    <t xml:space="preserve">taibao@talented.com.tw</t>
  </si>
  <si>
    <t xml:space="preserve">涂崑和</t>
  </si>
  <si>
    <t xml:space="preserve">王沛儒</t>
  </si>
  <si>
    <t xml:space="preserve">私立達誠文理短期補習班</t>
  </si>
  <si>
    <r>
      <rPr>
        <sz val="10"/>
        <color rgb="FF1F2A28"/>
        <rFont val="WenQuanYi Zen Hei"/>
        <family val="2"/>
      </rPr>
      <t xml:space="preserve">嘉義縣水上鄉水上村</t>
    </r>
    <r>
      <rPr>
        <sz val="10"/>
        <color rgb="FF1F2A28"/>
        <rFont val="Arial"/>
        <family val="0"/>
        <charset val="1"/>
      </rPr>
      <t xml:space="preserve">10</t>
    </r>
    <r>
      <rPr>
        <sz val="10"/>
        <color rgb="FF1F2A28"/>
        <rFont val="WenQuanYi Zen Hei"/>
        <family val="2"/>
      </rPr>
      <t xml:space="preserve">鄰外林街</t>
    </r>
    <r>
      <rPr>
        <sz val="10"/>
        <color rgb="FF1F2A28"/>
        <rFont val="Arial"/>
        <family val="0"/>
        <charset val="1"/>
      </rPr>
      <t xml:space="preserve">93</t>
    </r>
    <r>
      <rPr>
        <sz val="10"/>
        <color rgb="FF1F2A28"/>
        <rFont val="WenQuanYi Zen Hei"/>
        <family val="2"/>
      </rPr>
      <t xml:space="preserve">號</t>
    </r>
  </si>
  <si>
    <t xml:space="preserve">(05)2684826</t>
  </si>
  <si>
    <t xml:space="preserve">tacheng566@gmail.com</t>
  </si>
  <si>
    <t xml:space="preserve">熊慧娟</t>
  </si>
  <si>
    <t xml:space="preserve">私立邦妮短期補習班</t>
  </si>
  <si>
    <r>
      <rPr>
        <sz val="10"/>
        <color rgb="FF1F2A28"/>
        <rFont val="WenQuanYi Zen Hei"/>
        <family val="2"/>
      </rPr>
      <t xml:space="preserve">嘉義縣布袋鎮新厝里新厝仔</t>
    </r>
    <r>
      <rPr>
        <sz val="10"/>
        <color rgb="FF1F2A28"/>
        <rFont val="Arial"/>
        <family val="0"/>
        <charset val="1"/>
      </rPr>
      <t xml:space="preserve">341</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</si>
  <si>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053476789</t>
  </si>
  <si>
    <t xml:space="preserve">許佩如</t>
  </si>
  <si>
    <t xml:space="preserve">私立金企鵝短期補習班南新分班</t>
  </si>
  <si>
    <r>
      <rPr>
        <sz val="10"/>
        <color rgb="FF1F2A28"/>
        <rFont val="WenQuanYi Zen Hei"/>
        <family val="2"/>
      </rPr>
      <t xml:space="preserve">嘉義縣太保市中山路一段</t>
    </r>
    <r>
      <rPr>
        <sz val="10"/>
        <color rgb="FF1F2A28"/>
        <rFont val="Arial"/>
        <family val="0"/>
        <charset val="1"/>
      </rPr>
      <t xml:space="preserve">227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</si>
  <si>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(05)2380920</t>
  </si>
  <si>
    <t xml:space="preserve">mingta829@yahoo.com.tw</t>
  </si>
  <si>
    <t xml:space="preserve">2022-11-23</t>
  </si>
  <si>
    <t xml:space="preserve">陳文郁</t>
  </si>
  <si>
    <t xml:space="preserve">私立金企鵝英語短期補習班</t>
  </si>
  <si>
    <r>
      <rPr>
        <sz val="10"/>
        <color rgb="FF1F2A28"/>
        <rFont val="WenQuanYi Zen Hei"/>
        <family val="2"/>
      </rPr>
      <t xml:space="preserve">嘉義縣太保市過溝里北港路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429</t>
    </r>
    <r>
      <rPr>
        <sz val="10"/>
        <color rgb="FF1F2A28"/>
        <rFont val="WenQuanYi Zen Hei"/>
        <family val="2"/>
      </rPr>
      <t xml:space="preserve">巷</t>
    </r>
    <r>
      <rPr>
        <sz val="10"/>
        <color rgb="FF1F2A28"/>
        <rFont val="Arial"/>
        <family val="0"/>
        <charset val="1"/>
      </rPr>
      <t xml:space="preserve">72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</si>
  <si>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(05)2384113</t>
  </si>
  <si>
    <t xml:space="preserve">2006-05-22</t>
  </si>
  <si>
    <t xml:space="preserve">黃明達</t>
  </si>
  <si>
    <t xml:space="preserve">私立金典語文短期補習班</t>
  </si>
  <si>
    <r>
      <rPr>
        <sz val="10"/>
        <color rgb="FF1F2A28"/>
        <rFont val="WenQuanYi Zen Hei"/>
        <family val="2"/>
      </rPr>
      <t xml:space="preserve">嘉義縣中埔鄉中埔村中埔</t>
    </r>
    <r>
      <rPr>
        <sz val="10"/>
        <color rgb="FF1F2A28"/>
        <rFont val="Arial"/>
        <family val="0"/>
        <charset val="1"/>
      </rPr>
      <t xml:space="preserve">157</t>
    </r>
    <r>
      <rPr>
        <sz val="10"/>
        <color rgb="FF1F2A28"/>
        <rFont val="WenQuanYi Zen Hei"/>
        <family val="2"/>
      </rPr>
      <t xml:space="preserve">之</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</si>
  <si>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(05)2030286</t>
  </si>
  <si>
    <t xml:space="preserve">2021-03-17</t>
  </si>
  <si>
    <t xml:space="preserve">雷欣穎</t>
  </si>
  <si>
    <t xml:space="preserve">私立陳老師短期補習班</t>
  </si>
  <si>
    <r>
      <rPr>
        <sz val="10"/>
        <color rgb="FF1F2A28"/>
        <rFont val="WenQuanYi Zen Hei"/>
        <family val="2"/>
      </rPr>
      <t xml:space="preserve">嘉義縣水上鄉水上村外林街</t>
    </r>
    <r>
      <rPr>
        <sz val="10"/>
        <color rgb="FF1F2A28"/>
        <rFont val="Arial"/>
        <family val="0"/>
        <charset val="1"/>
      </rPr>
      <t xml:space="preserve">168</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</si>
  <si>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yungchu0128@gmail.com</t>
  </si>
  <si>
    <t xml:space="preserve">2023-07-07</t>
  </si>
  <si>
    <t xml:space="preserve">楊詠竹</t>
  </si>
  <si>
    <t xml:space="preserve">私立雀瑞絲短期補習班</t>
  </si>
  <si>
    <r>
      <rPr>
        <sz val="10"/>
        <color rgb="FF1F2A28"/>
        <rFont val="WenQuanYi Zen Hei"/>
        <family val="2"/>
      </rPr>
      <t xml:space="preserve">嘉義縣太保市縣府五街</t>
    </r>
    <r>
      <rPr>
        <sz val="10"/>
        <color rgb="FF1F2A28"/>
        <rFont val="Arial"/>
        <family val="0"/>
        <charset val="1"/>
      </rPr>
      <t xml:space="preserve">5</t>
    </r>
    <r>
      <rPr>
        <sz val="10"/>
        <color rgb="FF1F2A28"/>
        <rFont val="WenQuanYi Zen Hei"/>
        <family val="2"/>
      </rPr>
      <t xml:space="preserve">號</t>
    </r>
  </si>
  <si>
    <t xml:space="preserve">0980479234</t>
  </si>
  <si>
    <t xml:space="preserve">cherris0327@gmail.com</t>
  </si>
  <si>
    <t xml:space="preserve">2023-06-16</t>
  </si>
  <si>
    <t xml:space="preserve">陳映亦</t>
  </si>
  <si>
    <t xml:space="preserve">私立顧勝文教事業有限公司附設文理短期補習班</t>
  </si>
  <si>
    <r>
      <rPr>
        <sz val="10"/>
        <color rgb="FF1F2A28"/>
        <rFont val="WenQuanYi Zen Hei"/>
        <family val="2"/>
      </rPr>
      <t xml:space="preserve">嘉義縣民雄鄉中樂村民族路</t>
    </r>
    <r>
      <rPr>
        <sz val="10"/>
        <color rgb="FF1F2A28"/>
        <rFont val="Arial"/>
        <family val="0"/>
        <charset val="1"/>
      </rPr>
      <t xml:space="preserve">42</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</si>
  <si>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(05)2269533</t>
  </si>
  <si>
    <t xml:space="preserve">good2269533@gmail.com</t>
  </si>
  <si>
    <t xml:space="preserve">2005-08-19</t>
  </si>
  <si>
    <t xml:space="preserve">陳玲寬</t>
  </si>
  <si>
    <t xml:space="preserve">私立龍英文短期補習班</t>
  </si>
  <si>
    <r>
      <rPr>
        <sz val="10"/>
        <color rgb="FF1F2A28"/>
        <rFont val="WenQuanYi Zen Hei"/>
        <family val="2"/>
      </rPr>
      <t xml:space="preserve">嘉義縣太保市太保二路</t>
    </r>
    <r>
      <rPr>
        <sz val="10"/>
        <color rgb="FF1F2A28"/>
        <rFont val="Arial"/>
        <family val="0"/>
        <charset val="1"/>
      </rPr>
      <t xml:space="preserve">153</t>
    </r>
    <r>
      <rPr>
        <sz val="10"/>
        <color rgb="FF1F2A28"/>
        <rFont val="WenQuanYi Zen Hei"/>
        <family val="2"/>
      </rPr>
      <t xml:space="preserve">號</t>
    </r>
  </si>
  <si>
    <t xml:space="preserve">(05)3623105</t>
  </si>
  <si>
    <t xml:space="preserve">janealred@yahoo.com</t>
  </si>
  <si>
    <t xml:space="preserve">吳孟芯</t>
  </si>
  <si>
    <t xml:space="preserve">中埔鄉</t>
  </si>
  <si>
    <t xml:space="preserve">嘉義縣私立湯姆士文理短期補習班</t>
  </si>
  <si>
    <r>
      <rPr>
        <sz val="10"/>
        <color rgb="FF1F2A28"/>
        <rFont val="WenQuanYi Zen Hei"/>
        <family val="2"/>
      </rPr>
      <t xml:space="preserve">中埔鄉和美村中山路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816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</si>
  <si>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(05)2304733</t>
  </si>
  <si>
    <t xml:space="preserve">ray660214@gmail.com</t>
  </si>
  <si>
    <t xml:space="preserve">張玉琴</t>
  </si>
  <si>
    <t xml:space="preserve">邱淑雲</t>
  </si>
  <si>
    <t xml:space="preserve">私立向日葵語文短期補習班</t>
  </si>
  <si>
    <r>
      <rPr>
        <sz val="10"/>
        <color rgb="FF1F2A28"/>
        <rFont val="WenQuanYi Zen Hei"/>
        <family val="2"/>
      </rPr>
      <t xml:space="preserve">中埔鄉和美村中山路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732</t>
    </r>
    <r>
      <rPr>
        <sz val="10"/>
        <color rgb="FF1F2A28"/>
        <rFont val="WenQuanYi Zen Hei"/>
        <family val="2"/>
      </rPr>
      <t xml:space="preserve">巷</t>
    </r>
    <r>
      <rPr>
        <sz val="10"/>
        <color rgb="FF1F2A28"/>
        <rFont val="Arial"/>
        <family val="0"/>
        <charset val="1"/>
      </rPr>
      <t xml:space="preserve">40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</si>
  <si>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(05)2304635</t>
  </si>
  <si>
    <t xml:space="preserve">阮錦詩</t>
  </si>
  <si>
    <t xml:space="preserve">私立新時代技藝短期補習班</t>
  </si>
  <si>
    <r>
      <rPr>
        <sz val="10"/>
        <color rgb="FF1F2A28"/>
        <rFont val="WenQuanYi Zen Hei"/>
        <family val="2"/>
      </rPr>
      <t xml:space="preserve">中埔鄉和睦村中山路</t>
    </r>
    <r>
      <rPr>
        <sz val="10"/>
        <color rgb="FF1F2A28"/>
        <rFont val="Arial"/>
        <family val="0"/>
        <charset val="1"/>
      </rPr>
      <t xml:space="preserve">5</t>
    </r>
    <r>
      <rPr>
        <sz val="10"/>
        <color rgb="FF1F2A28"/>
        <rFont val="WenQuanYi Zen Hei"/>
        <family val="2"/>
      </rPr>
      <t xml:space="preserve">段</t>
    </r>
    <r>
      <rPr>
        <sz val="10"/>
        <color rgb="FF1F2A28"/>
        <rFont val="Arial"/>
        <family val="0"/>
        <charset val="1"/>
      </rPr>
      <t xml:space="preserve">831</t>
    </r>
    <r>
      <rPr>
        <sz val="10"/>
        <color rgb="FF1F2A28"/>
        <rFont val="WenQuanYi Zen Hei"/>
        <family val="2"/>
      </rPr>
      <t xml:space="preserve">號</t>
    </r>
  </si>
  <si>
    <t xml:space="preserve">05-2305332</t>
  </si>
  <si>
    <t xml:space="preserve">kobeto1017@gmail.com</t>
  </si>
  <si>
    <t xml:space="preserve">2001-06-04</t>
  </si>
  <si>
    <t xml:space="preserve">凃鎧浩</t>
  </si>
  <si>
    <t xml:space="preserve">私立非凡文理短期補習班</t>
  </si>
  <si>
    <r>
      <rPr>
        <sz val="10"/>
        <color rgb="FF1F2A28"/>
        <rFont val="WenQuanYi Zen Hei"/>
        <family val="2"/>
      </rPr>
      <t xml:space="preserve">中埔鄉和美村中山路五段</t>
    </r>
    <r>
      <rPr>
        <sz val="10"/>
        <color rgb="FF1F2A28"/>
        <rFont val="Arial"/>
        <family val="0"/>
        <charset val="1"/>
      </rPr>
      <t xml:space="preserve">732</t>
    </r>
    <r>
      <rPr>
        <sz val="10"/>
        <color rgb="FF1F2A28"/>
        <rFont val="WenQuanYi Zen Hei"/>
        <family val="2"/>
      </rPr>
      <t xml:space="preserve">巷</t>
    </r>
    <r>
      <rPr>
        <sz val="10"/>
        <color rgb="FF1F2A28"/>
        <rFont val="Arial"/>
        <family val="0"/>
        <charset val="1"/>
      </rPr>
      <t xml:space="preserve">92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</si>
  <si>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(05)2395693</t>
  </si>
  <si>
    <t xml:space="preserve">wu0919796869@gmail.com</t>
  </si>
  <si>
    <t xml:space="preserve">吳明見</t>
  </si>
  <si>
    <t xml:space="preserve">大林鎮</t>
  </si>
  <si>
    <t xml:space="preserve">嘉義縣私立文林語文短期補習班</t>
  </si>
  <si>
    <r>
      <rPr>
        <sz val="10"/>
        <color rgb="FF1F2A28"/>
        <rFont val="WenQuanYi Zen Hei"/>
        <family val="2"/>
      </rPr>
      <t xml:space="preserve">大林鎮民權路</t>
    </r>
    <r>
      <rPr>
        <sz val="10"/>
        <color rgb="FF1F2A28"/>
        <rFont val="Arial"/>
        <family val="0"/>
        <charset val="1"/>
      </rPr>
      <t xml:space="preserve">187</t>
    </r>
    <r>
      <rPr>
        <sz val="10"/>
        <color rgb="FF1F2A28"/>
        <rFont val="WenQuanYi Zen Hei"/>
        <family val="2"/>
      </rPr>
      <t xml:space="preserve">號</t>
    </r>
  </si>
  <si>
    <t xml:space="preserve">05-2650101</t>
  </si>
  <si>
    <t xml:space="preserve">p2650101@yahoo.com.tw</t>
  </si>
  <si>
    <t xml:space="preserve">2001-05-02</t>
  </si>
  <si>
    <t xml:space="preserve">嘉義縣私立辰冠短期補習班</t>
  </si>
  <si>
    <r>
      <rPr>
        <sz val="10"/>
        <color rgb="FF1F2A28"/>
        <rFont val="WenQuanYi Zen Hei"/>
        <family val="2"/>
      </rPr>
      <t xml:space="preserve">大林鎮平林里新興街</t>
    </r>
    <r>
      <rPr>
        <sz val="10"/>
        <color rgb="FF1F2A28"/>
        <rFont val="Arial"/>
        <family val="0"/>
        <charset val="1"/>
      </rPr>
      <t xml:space="preserve">104</t>
    </r>
    <r>
      <rPr>
        <sz val="10"/>
        <color rgb="FF1F2A28"/>
        <rFont val="WenQuanYi Zen Hei"/>
        <family val="2"/>
      </rPr>
      <t xml:space="preserve">巷</t>
    </r>
    <r>
      <rPr>
        <sz val="10"/>
        <color rgb="FF1F2A28"/>
        <rFont val="Arial"/>
        <family val="0"/>
        <charset val="1"/>
      </rPr>
      <t xml:space="preserve">28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</si>
  <si>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(05)2642765</t>
  </si>
  <si>
    <t xml:space="preserve">cw097105@yahoo.com.tw</t>
  </si>
  <si>
    <t xml:space="preserve">2020-04-24</t>
  </si>
  <si>
    <t xml:space="preserve">陳彥璋</t>
  </si>
  <si>
    <t xml:space="preserve">私立貓頭鷹短期補習班大林分班</t>
  </si>
  <si>
    <r>
      <rPr>
        <sz val="10"/>
        <color rgb="FF1F2A28"/>
        <rFont val="WenQuanYi Zen Hei"/>
        <family val="2"/>
      </rPr>
      <t xml:space="preserve">大林鎮平林里</t>
    </r>
    <r>
      <rPr>
        <sz val="10"/>
        <color rgb="FF1F2A28"/>
        <rFont val="Arial"/>
        <family val="0"/>
        <charset val="1"/>
      </rPr>
      <t xml:space="preserve">29</t>
    </r>
    <r>
      <rPr>
        <sz val="10"/>
        <color rgb="FF1F2A28"/>
        <rFont val="WenQuanYi Zen Hei"/>
        <family val="2"/>
      </rPr>
      <t xml:space="preserve">鄰民權路</t>
    </r>
    <r>
      <rPr>
        <sz val="10"/>
        <color rgb="FF1F2A28"/>
        <rFont val="Arial"/>
        <family val="0"/>
        <charset val="1"/>
      </rPr>
      <t xml:space="preserve">70</t>
    </r>
    <r>
      <rPr>
        <sz val="10"/>
        <color rgb="FF1F2A28"/>
        <rFont val="WenQuanYi Zen Hei"/>
        <family val="2"/>
      </rPr>
      <t xml:space="preserve">號</t>
    </r>
  </si>
  <si>
    <t xml:space="preserve">(05)2653698</t>
  </si>
  <si>
    <t xml:space="preserve">theowldalin@gmail.com</t>
  </si>
  <si>
    <t xml:space="preserve">2019-09-19</t>
  </si>
  <si>
    <t xml:space="preserve">翁瓊瑤</t>
  </si>
  <si>
    <t xml:space="preserve">劉琬琦</t>
  </si>
  <si>
    <t xml:space="preserve">私立里米語文短期補習班</t>
  </si>
  <si>
    <r>
      <rPr>
        <sz val="10"/>
        <color rgb="FF1F2A28"/>
        <rFont val="WenQuanYi Zen Hei"/>
        <family val="2"/>
      </rPr>
      <t xml:space="preserve">大林鎮西林里</t>
    </r>
    <r>
      <rPr>
        <sz val="10"/>
        <color rgb="FF1F2A28"/>
        <rFont val="Arial"/>
        <family val="0"/>
        <charset val="1"/>
      </rPr>
      <t xml:space="preserve">15</t>
    </r>
    <r>
      <rPr>
        <sz val="10"/>
        <color rgb="FF1F2A28"/>
        <rFont val="WenQuanYi Zen Hei"/>
        <family val="2"/>
      </rPr>
      <t xml:space="preserve">鄰祥和路</t>
    </r>
    <r>
      <rPr>
        <sz val="10"/>
        <color rgb="FF1F2A28"/>
        <rFont val="Arial"/>
        <family val="0"/>
        <charset val="1"/>
      </rPr>
      <t xml:space="preserve">269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</si>
  <si>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(05)2649229</t>
  </si>
  <si>
    <t xml:space="preserve">2007-06-07</t>
  </si>
  <si>
    <t xml:space="preserve">林立芸</t>
  </si>
  <si>
    <t xml:space="preserve">私立雅智音樂、語文短期補習班</t>
  </si>
  <si>
    <r>
      <rPr>
        <sz val="10"/>
        <color rgb="FF1F2A28"/>
        <rFont val="WenQuanYi Zen Hei"/>
        <family val="2"/>
      </rPr>
      <t xml:space="preserve">大林鎮西林里祥和路</t>
    </r>
    <r>
      <rPr>
        <sz val="10"/>
        <color rgb="FF1F2A28"/>
        <rFont val="Arial"/>
        <family val="0"/>
        <charset val="1"/>
      </rPr>
      <t xml:space="preserve">249</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</si>
  <si>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05-2658500</t>
  </si>
  <si>
    <t xml:space="preserve">yg355088@gmail.com</t>
  </si>
  <si>
    <t xml:space="preserve">郭玫雅</t>
  </si>
  <si>
    <t xml:space="preserve">太保市</t>
  </si>
  <si>
    <r>
      <rPr>
        <sz val="10"/>
        <color rgb="FF1F2A28"/>
        <rFont val="WenQuanYi Zen Hei"/>
        <family val="2"/>
      </rPr>
      <t xml:space="preserve">嘉義縣私立</t>
    </r>
    <r>
      <rPr>
        <sz val="10"/>
        <color rgb="FF1F2A28"/>
        <rFont val="Arial"/>
        <family val="0"/>
        <charset val="1"/>
      </rPr>
      <t xml:space="preserve">TOP</t>
    </r>
    <r>
      <rPr>
        <sz val="10"/>
        <color rgb="FF1F2A28"/>
        <rFont val="WenQuanYi Zen Hei"/>
        <family val="2"/>
      </rPr>
      <t xml:space="preserve">頂尖文理短期補習班太保分班</t>
    </r>
  </si>
  <si>
    <r>
      <rPr>
        <sz val="10"/>
        <color rgb="FF1F2A28"/>
        <rFont val="WenQuanYi Zen Hei"/>
        <family val="2"/>
      </rPr>
      <t xml:space="preserve">太保市前潭里</t>
    </r>
    <r>
      <rPr>
        <sz val="10"/>
        <color rgb="FF1F2A28"/>
        <rFont val="Arial"/>
        <family val="0"/>
        <charset val="1"/>
      </rPr>
      <t xml:space="preserve">188</t>
    </r>
    <r>
      <rPr>
        <sz val="10"/>
        <color rgb="FF1F2A28"/>
        <rFont val="WenQuanYi Zen Hei"/>
        <family val="2"/>
      </rPr>
      <t xml:space="preserve">之</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12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</si>
  <si>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(05)3711268</t>
  </si>
  <si>
    <t xml:space="preserve">嘉義縣私立英典語文短期補習班</t>
  </si>
  <si>
    <r>
      <rPr>
        <sz val="10"/>
        <color rgb="FF1F2A28"/>
        <rFont val="WenQuanYi Zen Hei"/>
        <family val="2"/>
      </rPr>
      <t xml:space="preserve">太保市健康路</t>
    </r>
    <r>
      <rPr>
        <sz val="10"/>
        <color rgb="FF1F2A28"/>
        <rFont val="Arial"/>
        <family val="0"/>
        <charset val="1"/>
      </rPr>
      <t xml:space="preserve">159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</si>
  <si>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(05)3623538</t>
  </si>
  <si>
    <t xml:space="preserve">tung_donna@yahoo.com.tw</t>
  </si>
  <si>
    <t xml:space="preserve">2011-12-22</t>
  </si>
  <si>
    <t xml:space="preserve">董慧蒼</t>
  </si>
  <si>
    <t xml:space="preserve">私立嘉音英語短期補習班</t>
  </si>
  <si>
    <r>
      <rPr>
        <sz val="10"/>
        <color rgb="FF1F2A28"/>
        <rFont val="WenQuanYi Zen Hei"/>
        <family val="2"/>
      </rPr>
      <t xml:space="preserve">太保市南新里中山路一段</t>
    </r>
    <r>
      <rPr>
        <sz val="10"/>
        <color rgb="FF1F2A28"/>
        <rFont val="Arial"/>
        <family val="0"/>
        <charset val="1"/>
      </rPr>
      <t xml:space="preserve">142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</si>
  <si>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(05)2386003 2386017</t>
  </si>
  <si>
    <t xml:space="preserve">2010-08-27</t>
  </si>
  <si>
    <t xml:space="preserve">葉憬蓉</t>
  </si>
  <si>
    <t xml:space="preserve">龔楓媚</t>
  </si>
  <si>
    <t xml:space="preserve">私立弘揚文理短期補習班</t>
  </si>
  <si>
    <r>
      <rPr>
        <sz val="10"/>
        <color rgb="FF1F2A28"/>
        <rFont val="WenQuanYi Zen Hei"/>
        <family val="2"/>
      </rPr>
      <t xml:space="preserve">太保市後潭</t>
    </r>
    <r>
      <rPr>
        <sz val="10"/>
        <color rgb="FF1F2A28"/>
        <rFont val="Arial"/>
        <family val="0"/>
        <charset val="1"/>
      </rPr>
      <t xml:space="preserve">422</t>
    </r>
    <r>
      <rPr>
        <sz val="10"/>
        <color rgb="FF1F2A28"/>
        <rFont val="WenQuanYi Zen Hei"/>
        <family val="2"/>
      </rPr>
      <t xml:space="preserve">之</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</si>
  <si>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(05)3717976</t>
  </si>
  <si>
    <t xml:space="preserve">teacher.sung2@gmail.com</t>
  </si>
  <si>
    <t xml:space="preserve">鄭淑芬</t>
  </si>
  <si>
    <t xml:space="preserve">黃佩誼</t>
  </si>
  <si>
    <t xml:space="preserve">私立科林短期補習班</t>
  </si>
  <si>
    <r>
      <rPr>
        <sz val="10"/>
        <color rgb="FF1F2A28"/>
        <rFont val="WenQuanYi Zen Hei"/>
        <family val="2"/>
      </rPr>
      <t xml:space="preserve">太保市南新里</t>
    </r>
    <r>
      <rPr>
        <sz val="10"/>
        <color rgb="FF1F2A28"/>
        <rFont val="Arial"/>
        <family val="0"/>
        <charset val="1"/>
      </rPr>
      <t xml:space="preserve">16</t>
    </r>
    <r>
      <rPr>
        <sz val="10"/>
        <color rgb="FF1F2A28"/>
        <rFont val="WenQuanYi Zen Hei"/>
        <family val="2"/>
      </rPr>
      <t xml:space="preserve">鄰中山路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144</t>
    </r>
    <r>
      <rPr>
        <sz val="10"/>
        <color rgb="FF1F2A28"/>
        <rFont val="WenQuanYi Zen Hei"/>
        <family val="2"/>
      </rPr>
      <t xml:space="preserve">號</t>
    </r>
  </si>
  <si>
    <t xml:space="preserve">05-2385412 2371097</t>
  </si>
  <si>
    <t xml:space="preserve">lcj5938@hotmail.com</t>
  </si>
  <si>
    <t xml:space="preserve">林秋娟</t>
  </si>
  <si>
    <t xml:space="preserve">布袋鎮</t>
  </si>
  <si>
    <t xml:space="preserve">私立小太陽文理短期補習班</t>
  </si>
  <si>
    <r>
      <rPr>
        <sz val="10"/>
        <color rgb="FF1F2A28"/>
        <rFont val="WenQuanYi Zen Hei"/>
        <family val="2"/>
      </rPr>
      <t xml:space="preserve">布袋鎮中安里</t>
    </r>
    <r>
      <rPr>
        <sz val="10"/>
        <color rgb="FF1F2A28"/>
        <rFont val="Arial"/>
        <family val="0"/>
        <charset val="1"/>
      </rPr>
      <t xml:space="preserve">21</t>
    </r>
    <r>
      <rPr>
        <sz val="10"/>
        <color rgb="FF1F2A28"/>
        <rFont val="WenQuanYi Zen Hei"/>
        <family val="2"/>
      </rPr>
      <t xml:space="preserve">鄰過溝中厝</t>
    </r>
    <r>
      <rPr>
        <sz val="10"/>
        <color rgb="FF1F2A28"/>
        <rFont val="Arial"/>
        <family val="0"/>
        <charset val="1"/>
      </rPr>
      <t xml:space="preserve">109</t>
    </r>
    <r>
      <rPr>
        <sz val="10"/>
        <color rgb="FF1F2A28"/>
        <rFont val="WenQuanYi Zen Hei"/>
        <family val="2"/>
      </rPr>
      <t xml:space="preserve">之</t>
    </r>
    <r>
      <rPr>
        <sz val="10"/>
        <color rgb="FF1F2A28"/>
        <rFont val="Arial"/>
        <family val="0"/>
        <charset val="1"/>
      </rPr>
      <t xml:space="preserve">9</t>
    </r>
    <r>
      <rPr>
        <sz val="10"/>
        <color rgb="FF1F2A28"/>
        <rFont val="WenQuanYi Zen Hei"/>
        <family val="2"/>
      </rPr>
      <t xml:space="preserve">號</t>
    </r>
  </si>
  <si>
    <t xml:space="preserve">(05)3453999</t>
  </si>
  <si>
    <t xml:space="preserve">顏新發</t>
  </si>
  <si>
    <t xml:space="preserve">私立快樂地球村短期補習班</t>
  </si>
  <si>
    <r>
      <rPr>
        <sz val="10"/>
        <color rgb="FF1F2A28"/>
        <rFont val="WenQuanYi Zen Hei"/>
        <family val="2"/>
      </rPr>
      <t xml:space="preserve">布袋鎮新厝里新厝仔</t>
    </r>
    <r>
      <rPr>
        <sz val="10"/>
        <color rgb="FF1F2A28"/>
        <rFont val="Arial"/>
        <family val="0"/>
        <charset val="1"/>
      </rPr>
      <t xml:space="preserve">321</t>
    </r>
    <r>
      <rPr>
        <sz val="10"/>
        <color rgb="FF1F2A28"/>
        <rFont val="WenQuanYi Zen Hei"/>
        <family val="2"/>
      </rPr>
      <t xml:space="preserve">號之</t>
    </r>
    <r>
      <rPr>
        <sz val="10"/>
        <color rgb="FF1F2A28"/>
        <rFont val="Arial"/>
        <family val="0"/>
        <charset val="1"/>
      </rPr>
      <t xml:space="preserve">6(1</t>
    </r>
    <r>
      <rPr>
        <sz val="10"/>
        <color rgb="FF1F2A28"/>
        <rFont val="WenQuanYi Zen Hei"/>
        <family val="2"/>
      </rPr>
      <t xml:space="preserve">樓</t>
    </r>
    <r>
      <rPr>
        <sz val="10"/>
        <color rgb="FF1F2A28"/>
        <rFont val="Arial"/>
        <family val="0"/>
        <charset val="1"/>
      </rPr>
      <t xml:space="preserve">)</t>
    </r>
  </si>
  <si>
    <t xml:space="preserve">yalinghsiao1126@gmail.com</t>
  </si>
  <si>
    <t xml:space="preserve">蕭雅玲</t>
  </si>
  <si>
    <t xml:space="preserve">私立蔡老師文理短期補習班</t>
  </si>
  <si>
    <r>
      <rPr>
        <sz val="10"/>
        <color rgb="FF1F2A28"/>
        <rFont val="WenQuanYi Zen Hei"/>
        <family val="2"/>
      </rPr>
      <t xml:space="preserve">布袋鎮興中里上海二街</t>
    </r>
    <r>
      <rPr>
        <sz val="10"/>
        <color rgb="FF1F2A28"/>
        <rFont val="Arial"/>
        <family val="0"/>
        <charset val="1"/>
      </rPr>
      <t xml:space="preserve">63</t>
    </r>
    <r>
      <rPr>
        <sz val="10"/>
        <color rgb="FF1F2A28"/>
        <rFont val="WenQuanYi Zen Hei"/>
        <family val="2"/>
      </rPr>
      <t xml:space="preserve">號</t>
    </r>
  </si>
  <si>
    <t xml:space="preserve">(05)3472899</t>
  </si>
  <si>
    <t xml:space="preserve">楊東學</t>
  </si>
  <si>
    <t xml:space="preserve">蔡惠茹</t>
  </si>
  <si>
    <t xml:space="preserve">新港鄉</t>
  </si>
  <si>
    <t xml:space="preserve">私立小黑人音樂美語短期補習班</t>
  </si>
  <si>
    <r>
      <rPr>
        <sz val="10"/>
        <color rgb="FF1F2A28"/>
        <rFont val="WenQuanYi Zen Hei"/>
        <family val="2"/>
      </rPr>
      <t xml:space="preserve">新港鄉新中路</t>
    </r>
    <r>
      <rPr>
        <sz val="10"/>
        <color rgb="FF1F2A28"/>
        <rFont val="Arial"/>
        <family val="0"/>
        <charset val="1"/>
      </rPr>
      <t xml:space="preserve">666</t>
    </r>
    <r>
      <rPr>
        <sz val="10"/>
        <color rgb="FF1F2A28"/>
        <rFont val="WenQuanYi Zen Hei"/>
        <family val="2"/>
      </rPr>
      <t xml:space="preserve">號</t>
    </r>
  </si>
  <si>
    <t xml:space="preserve">(05)3746203</t>
  </si>
  <si>
    <t xml:space="preserve">ietina818@gmail.com</t>
  </si>
  <si>
    <t xml:space="preserve">2011-03-28</t>
  </si>
  <si>
    <t xml:space="preserve">黃幸冠</t>
  </si>
  <si>
    <t xml:space="preserve">私立登原短期補習班</t>
  </si>
  <si>
    <r>
      <rPr>
        <sz val="10"/>
        <color rgb="FF1F2A28"/>
        <rFont val="WenQuanYi Zen Hei"/>
        <family val="2"/>
      </rPr>
      <t xml:space="preserve">新港鄉登雲路</t>
    </r>
    <r>
      <rPr>
        <sz val="10"/>
        <color rgb="FF1F2A28"/>
        <rFont val="Arial"/>
        <family val="0"/>
        <charset val="1"/>
      </rPr>
      <t xml:space="preserve">45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</si>
  <si>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(05)3741825</t>
  </si>
  <si>
    <t xml:space="preserve">dengyuan1825@gmail.com</t>
  </si>
  <si>
    <t xml:space="preserve">2021-01-13</t>
  </si>
  <si>
    <t xml:space="preserve">洪揚恆</t>
  </si>
  <si>
    <t xml:space="preserve">私立藝宸文理短期補習班</t>
  </si>
  <si>
    <r>
      <rPr>
        <sz val="10"/>
        <color rgb="FF1F2A28"/>
        <rFont val="WenQuanYi Zen Hei"/>
        <family val="2"/>
      </rPr>
      <t xml:space="preserve">新港鄉宮前村</t>
    </r>
    <r>
      <rPr>
        <sz val="10"/>
        <color rgb="FF1F2A28"/>
        <rFont val="Arial"/>
        <family val="0"/>
        <charset val="1"/>
      </rPr>
      <t xml:space="preserve">19</t>
    </r>
    <r>
      <rPr>
        <sz val="10"/>
        <color rgb="FF1F2A28"/>
        <rFont val="WenQuanYi Zen Hei"/>
        <family val="2"/>
      </rPr>
      <t xml:space="preserve">鄰文昌街</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</si>
  <si>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(05)3747876</t>
  </si>
  <si>
    <t xml:space="preserve">fion0825@yahoo.com.tw</t>
  </si>
  <si>
    <t xml:space="preserve">2009-02-04</t>
  </si>
  <si>
    <t xml:space="preserve">鄭雅玲</t>
  </si>
  <si>
    <t xml:space="preserve">朴子市</t>
  </si>
  <si>
    <t xml:space="preserve">嘉義縣私立均均文理短期補習班</t>
  </si>
  <si>
    <r>
      <rPr>
        <sz val="10"/>
        <color rgb="FF1F2A28"/>
        <rFont val="WenQuanYi Zen Hei"/>
        <family val="2"/>
      </rPr>
      <t xml:space="preserve">朴子市大同路</t>
    </r>
    <r>
      <rPr>
        <sz val="10"/>
        <color rgb="FF1F2A28"/>
        <rFont val="Arial"/>
        <family val="0"/>
        <charset val="1"/>
      </rPr>
      <t xml:space="preserve">252</t>
    </r>
    <r>
      <rPr>
        <sz val="10"/>
        <color rgb="FF1F2A28"/>
        <rFont val="WenQuanYi Zen Hei"/>
        <family val="2"/>
      </rPr>
      <t xml:space="preserve">號</t>
    </r>
  </si>
  <si>
    <t xml:space="preserve">(05)3794475</t>
  </si>
  <si>
    <t xml:space="preserve">yoyoloxa@gmail.com</t>
  </si>
  <si>
    <t xml:space="preserve">2022-03-21</t>
  </si>
  <si>
    <t xml:space="preserve">陳麗莉</t>
  </si>
  <si>
    <t xml:space="preserve">私立諾貝爾音樂藝術短期補習班</t>
  </si>
  <si>
    <r>
      <rPr>
        <sz val="10"/>
        <color rgb="FF1F2A28"/>
        <rFont val="WenQuanYi Zen Hei"/>
        <family val="2"/>
      </rPr>
      <t xml:space="preserve">朴子市平和里平和路</t>
    </r>
    <r>
      <rPr>
        <sz val="10"/>
        <color rgb="FF1F2A28"/>
        <rFont val="Arial"/>
        <family val="0"/>
        <charset val="1"/>
      </rPr>
      <t xml:space="preserve">3-2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</si>
  <si>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(05)3661005 0919179609</t>
  </si>
  <si>
    <t xml:space="preserve">lee2374020@gmail.com</t>
  </si>
  <si>
    <t xml:space="preserve">2008-01-14</t>
  </si>
  <si>
    <t xml:space="preserve">莊素鍾</t>
  </si>
  <si>
    <t xml:space="preserve">李雅娟</t>
  </si>
  <si>
    <t xml:space="preserve">私立采音音樂美語短期補習班</t>
  </si>
  <si>
    <r>
      <rPr>
        <sz val="10"/>
        <color rgb="FF1F2A28"/>
        <rFont val="WenQuanYi Zen Hei"/>
        <family val="2"/>
      </rPr>
      <t xml:space="preserve">朴子市永和里</t>
    </r>
    <r>
      <rPr>
        <sz val="10"/>
        <color rgb="FF1F2A28"/>
        <rFont val="Arial"/>
        <family val="0"/>
        <charset val="1"/>
      </rPr>
      <t xml:space="preserve">3</t>
    </r>
    <r>
      <rPr>
        <sz val="10"/>
        <color rgb="FF1F2A28"/>
        <rFont val="WenQuanYi Zen Hei"/>
        <family val="2"/>
      </rPr>
      <t xml:space="preserve">之</t>
    </r>
    <r>
      <rPr>
        <sz val="10"/>
        <color rgb="FF1F2A28"/>
        <rFont val="Arial"/>
        <family val="0"/>
        <charset val="1"/>
      </rPr>
      <t xml:space="preserve">3</t>
    </r>
    <r>
      <rPr>
        <sz val="10"/>
        <color rgb="FF1F2A28"/>
        <rFont val="WenQuanYi Zen Hei"/>
        <family val="2"/>
      </rPr>
      <t xml:space="preserve">號二樓</t>
    </r>
  </si>
  <si>
    <t xml:space="preserve">(05)3797123</t>
  </si>
  <si>
    <t xml:space="preserve">cj_liao@hotmail.com</t>
  </si>
  <si>
    <t xml:space="preserve">1998-07-14</t>
  </si>
  <si>
    <t xml:space="preserve">廖竹如</t>
  </si>
  <si>
    <t xml:space="preserve">廖佩玉</t>
  </si>
  <si>
    <t xml:space="preserve">私立高譽文理短期補習班</t>
  </si>
  <si>
    <r>
      <rPr>
        <sz val="10"/>
        <color rgb="FF1F2A28"/>
        <rFont val="WenQuanYi Zen Hei"/>
        <family val="2"/>
      </rPr>
      <t xml:space="preserve">朴子市大葛里吉祥六街</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</si>
  <si>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(05)3625218</t>
  </si>
  <si>
    <t xml:space="preserve">gu.edu3625218@gmail.com</t>
  </si>
  <si>
    <t xml:space="preserve">黃富美</t>
  </si>
  <si>
    <t xml:space="preserve">梅山鄉</t>
  </si>
  <si>
    <t xml:space="preserve">私立愛森堡文理短期補習班</t>
  </si>
  <si>
    <r>
      <rPr>
        <sz val="10"/>
        <color rgb="FF1F2A28"/>
        <rFont val="WenQuanYi Zen Hei"/>
        <family val="2"/>
      </rPr>
      <t xml:space="preserve">梅山鄉梅北村</t>
    </r>
    <r>
      <rPr>
        <sz val="10"/>
        <color rgb="FF1F2A28"/>
        <rFont val="Arial"/>
        <family val="0"/>
        <charset val="1"/>
      </rPr>
      <t xml:space="preserve">8</t>
    </r>
    <r>
      <rPr>
        <sz val="10"/>
        <color rgb="FF1F2A28"/>
        <rFont val="WenQuanYi Zen Hei"/>
        <family val="2"/>
      </rPr>
      <t xml:space="preserve">鄰健康街</t>
    </r>
    <r>
      <rPr>
        <sz val="10"/>
        <color rgb="FF1F2A28"/>
        <rFont val="Arial"/>
        <family val="0"/>
        <charset val="1"/>
      </rPr>
      <t xml:space="preserve">239</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</si>
  <si>
    <t xml:space="preserve">(05)2627346</t>
  </si>
  <si>
    <t xml:space="preserve">2010-05-06</t>
  </si>
  <si>
    <t xml:space="preserve">簡伊佐</t>
  </si>
  <si>
    <t xml:space="preserve">私立貓頭鷹語文短期補習班</t>
  </si>
  <si>
    <r>
      <rPr>
        <sz val="10"/>
        <color rgb="FF1F2A28"/>
        <rFont val="WenQuanYi Zen Hei"/>
        <family val="2"/>
      </rPr>
      <t xml:space="preserve">梅山鄉梅北村中華街</t>
    </r>
    <r>
      <rPr>
        <sz val="10"/>
        <color rgb="FF1F2A28"/>
        <rFont val="Arial"/>
        <family val="0"/>
        <charset val="1"/>
      </rPr>
      <t xml:space="preserve">160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</si>
  <si>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(05)2622886</t>
  </si>
  <si>
    <t xml:space="preserve">theowl886@gmail.com</t>
  </si>
  <si>
    <t xml:space="preserve">2003-01-10</t>
  </si>
  <si>
    <t xml:space="preserve">民雄鄉</t>
  </si>
  <si>
    <t xml:space="preserve">台灣知識庫股份有限公司民雄分公司附設嘉義縣私立數位學堂文理法政短期補習班</t>
  </si>
  <si>
    <r>
      <rPr>
        <sz val="10"/>
        <color rgb="FF1F2A28"/>
        <rFont val="WenQuanYi Zen Hei"/>
        <family val="2"/>
      </rPr>
      <t xml:space="preserve">民雄鄉三興村</t>
    </r>
    <r>
      <rPr>
        <sz val="10"/>
        <color rgb="FF1F2A28"/>
        <rFont val="Arial"/>
        <family val="0"/>
        <charset val="1"/>
      </rPr>
      <t xml:space="preserve">7</t>
    </r>
    <r>
      <rPr>
        <sz val="10"/>
        <color rgb="FF1F2A28"/>
        <rFont val="WenQuanYi Zen Hei"/>
        <family val="2"/>
      </rPr>
      <t xml:space="preserve">鄰三興路</t>
    </r>
    <r>
      <rPr>
        <sz val="10"/>
        <color rgb="FF1F2A28"/>
        <rFont val="Arial"/>
        <family val="0"/>
        <charset val="1"/>
      </rPr>
      <t xml:space="preserve">85</t>
    </r>
    <r>
      <rPr>
        <sz val="10"/>
        <color rgb="FF1F2A28"/>
        <rFont val="WenQuanYi Zen Hei"/>
        <family val="2"/>
      </rPr>
      <t xml:space="preserve">、</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</si>
  <si>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(05)3008168</t>
  </si>
  <si>
    <t xml:space="preserve">ann6636@gmail.com</t>
  </si>
  <si>
    <t xml:space="preserve">羅凱揚</t>
  </si>
  <si>
    <t xml:space="preserve">邱冠穎</t>
  </si>
  <si>
    <t xml:space="preserve">嘉義縣私立中正芝蔴開門美術語文短期補習班</t>
  </si>
  <si>
    <r>
      <rPr>
        <sz val="10"/>
        <color rgb="FF1F2A28"/>
        <rFont val="WenQuanYi Zen Hei"/>
        <family val="2"/>
      </rPr>
      <t xml:space="preserve">民雄鄉西安村進興街</t>
    </r>
    <r>
      <rPr>
        <sz val="10"/>
        <color rgb="FF1F2A28"/>
        <rFont val="Arial"/>
        <family val="0"/>
        <charset val="1"/>
      </rPr>
      <t xml:space="preserve">50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</si>
  <si>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05-2065568</t>
  </si>
  <si>
    <t xml:space="preserve">smj1355@yahoo.com.tw</t>
  </si>
  <si>
    <t xml:space="preserve">1999-10-13</t>
  </si>
  <si>
    <t xml:space="preserve">凌煒量</t>
  </si>
  <si>
    <t xml:space="preserve">李宜庭</t>
  </si>
  <si>
    <t xml:space="preserve">嘉義縣私立嘉中文理短期補習班</t>
  </si>
  <si>
    <r>
      <rPr>
        <sz val="10"/>
        <color rgb="FF1F2A28"/>
        <rFont val="WenQuanYi Zen Hei"/>
        <family val="2"/>
      </rPr>
      <t xml:space="preserve">民雄鄉福樂村光明二街</t>
    </r>
    <r>
      <rPr>
        <sz val="10"/>
        <color rgb="FF1F2A28"/>
        <rFont val="Arial"/>
        <family val="0"/>
        <charset val="1"/>
      </rPr>
      <t xml:space="preserve">202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t>
    </r>
  </si>
  <si>
    <t xml:space="preserve">(05)2218855</t>
  </si>
  <si>
    <t xml:space="preserve">chris111q@yahoo.com.tw</t>
  </si>
  <si>
    <t xml:space="preserve">2007-09-17</t>
  </si>
  <si>
    <t xml:space="preserve">簡世辰</t>
  </si>
  <si>
    <t xml:space="preserve">嘉義縣私立摩爾美語短期補習班</t>
  </si>
  <si>
    <r>
      <rPr>
        <sz val="10"/>
        <color rgb="FF1F2A28"/>
        <rFont val="WenQuanYi Zen Hei"/>
        <family val="2"/>
      </rPr>
      <t xml:space="preserve">民雄鄉西安村民溪路</t>
    </r>
    <r>
      <rPr>
        <sz val="10"/>
        <color rgb="FF1F2A28"/>
        <rFont val="Arial"/>
        <family val="0"/>
        <charset val="1"/>
      </rPr>
      <t xml:space="preserve">5</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</si>
  <si>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(05)2065036 / 0978395289</t>
  </si>
  <si>
    <t xml:space="preserve">a0978395289@gmail.com</t>
  </si>
  <si>
    <t xml:space="preserve">張靜娟</t>
  </si>
  <si>
    <t xml:space="preserve">嘉義縣私立百勝短期補習班</t>
  </si>
  <si>
    <r>
      <rPr>
        <sz val="10"/>
        <color rgb="FF1F2A28"/>
        <rFont val="WenQuanYi Zen Hei"/>
        <family val="2"/>
      </rPr>
      <t xml:space="preserve">民雄鄉西安村</t>
    </r>
    <r>
      <rPr>
        <sz val="10"/>
        <color rgb="FF1F2A28"/>
        <rFont val="Arial"/>
        <family val="0"/>
        <charset val="1"/>
      </rPr>
      <t xml:space="preserve">4</t>
    </r>
    <r>
      <rPr>
        <sz val="10"/>
        <color rgb="FF1F2A28"/>
        <rFont val="WenQuanYi Zen Hei"/>
        <family val="2"/>
      </rPr>
      <t xml:space="preserve">鄰長榮街</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</si>
  <si>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(05)2261600</t>
  </si>
  <si>
    <t xml:space="preserve">曾琬容</t>
  </si>
  <si>
    <t xml:space="preserve">智基科技開發股份有限公司嘉義分公司附設嘉義縣私立志光法商短期補習班</t>
  </si>
  <si>
    <r>
      <rPr>
        <sz val="10"/>
        <color rgb="FF1F2A28"/>
        <rFont val="WenQuanYi Zen Hei"/>
        <family val="2"/>
      </rPr>
      <t xml:space="preserve">民雄鄉東榮村建國路一段</t>
    </r>
    <r>
      <rPr>
        <sz val="10"/>
        <color rgb="FF1F2A28"/>
        <rFont val="Arial"/>
        <family val="0"/>
        <charset val="1"/>
      </rPr>
      <t xml:space="preserve">126</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地上</t>
    </r>
    <r>
      <rPr>
        <sz val="10"/>
        <color rgb="FF1F2A28"/>
        <rFont val="Arial"/>
        <family val="0"/>
        <charset val="1"/>
      </rPr>
      <t xml:space="preserve">1</t>
    </r>
    <r>
      <rPr>
        <sz val="10"/>
        <color rgb="FF1F2A28"/>
        <rFont val="WenQuanYi Zen Hei"/>
        <family val="2"/>
      </rPr>
      <t xml:space="preserve">層至</t>
    </r>
    <r>
      <rPr>
        <sz val="10"/>
        <color rgb="FF1F2A28"/>
        <rFont val="Arial"/>
        <family val="0"/>
        <charset val="1"/>
      </rPr>
      <t xml:space="preserve">2</t>
    </r>
    <r>
      <rPr>
        <sz val="10"/>
        <color rgb="FF1F2A28"/>
        <rFont val="WenQuanYi Zen Hei"/>
        <family val="2"/>
      </rPr>
      <t xml:space="preserve">層</t>
    </r>
    <r>
      <rPr>
        <sz val="10"/>
        <color rgb="FF1F2A28"/>
        <rFont val="Arial"/>
        <family val="0"/>
        <charset val="1"/>
      </rPr>
      <t xml:space="preserve">)</t>
    </r>
  </si>
  <si>
    <t xml:space="preserve">(05)2061002</t>
  </si>
  <si>
    <t xml:space="preserve">minsyong11@gmail.com</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</si>
  <si>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法政類</t>
    </r>
    <r>
      <rPr>
        <sz val="10"/>
        <color rgb="FF1F2A28"/>
        <rFont val="Arial"/>
        <family val="0"/>
        <charset val="1"/>
      </rPr>
      <t xml:space="preserve">,</t>
    </r>
    <r>
      <rPr>
        <sz val="10"/>
        <color rgb="FF1F2A28"/>
        <rFont val="WenQuanYi Zen Hei"/>
        <family val="2"/>
      </rPr>
      <t xml:space="preserve">商類：珠算、心算、會計</t>
    </r>
  </si>
  <si>
    <t xml:space="preserve">2010-05-11</t>
  </si>
  <si>
    <t xml:space="preserve">邱仕榮</t>
  </si>
  <si>
    <t xml:space="preserve">李淑芳</t>
  </si>
  <si>
    <t xml:space="preserve">私立五餅二魚文理短期補習班</t>
  </si>
  <si>
    <r>
      <rPr>
        <sz val="10"/>
        <color rgb="FF1F2A28"/>
        <rFont val="WenQuanYi Zen Hei"/>
        <family val="2"/>
      </rPr>
      <t xml:space="preserve">民雄鄉興中村江厝店</t>
    </r>
    <r>
      <rPr>
        <sz val="10"/>
        <color rgb="FF1F2A28"/>
        <rFont val="Arial"/>
        <family val="0"/>
        <charset val="1"/>
      </rPr>
      <t xml:space="preserve">20-6</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</si>
  <si>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(05)2202806</t>
  </si>
  <si>
    <t xml:space="preserve">hojane3636@gmail.com</t>
  </si>
  <si>
    <t xml:space="preserve">陳衍橋</t>
  </si>
  <si>
    <t xml:space="preserve">私立勵學文理短期補習班</t>
  </si>
  <si>
    <r>
      <rPr>
        <sz val="10"/>
        <color rgb="FF1F2A28"/>
        <rFont val="WenQuanYi Zen Hei"/>
        <family val="2"/>
      </rPr>
      <t xml:space="preserve">民雄鄉中樂村保生街</t>
    </r>
    <r>
      <rPr>
        <sz val="10"/>
        <color rgb="FF1F2A28"/>
        <rFont val="Arial"/>
        <family val="0"/>
        <charset val="1"/>
      </rPr>
      <t xml:space="preserve">15</t>
    </r>
    <r>
      <rPr>
        <sz val="10"/>
        <color rgb="FF1F2A28"/>
        <rFont val="WenQuanYi Zen Hei"/>
        <family val="2"/>
      </rPr>
      <t xml:space="preserve">巷</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</si>
  <si>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(05)2262097</t>
  </si>
  <si>
    <t xml:space="preserve">2020-08-06</t>
  </si>
  <si>
    <t xml:space="preserve">賴俊成</t>
  </si>
  <si>
    <t xml:space="preserve">陳碧玲</t>
  </si>
  <si>
    <t xml:space="preserve">私立巨果珠心算語文短期補習班</t>
  </si>
  <si>
    <r>
      <rPr>
        <sz val="10"/>
        <color rgb="FF1F2A28"/>
        <rFont val="WenQuanYi Zen Hei"/>
        <family val="2"/>
      </rPr>
      <t xml:space="preserve">民雄鄉福樂村自強二街</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</si>
  <si>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(05)2202997</t>
  </si>
  <si>
    <t xml:space="preserve">dengtai@gmail.com</t>
  </si>
  <si>
    <t xml:space="preserve">2005-12-29</t>
  </si>
  <si>
    <t xml:space="preserve">何映蓉</t>
  </si>
  <si>
    <t xml:space="preserve">私立建中文理短期補習班</t>
  </si>
  <si>
    <r>
      <rPr>
        <sz val="10"/>
        <color rgb="FF1F2A28"/>
        <rFont val="WenQuanYi Zen Hei"/>
        <family val="2"/>
      </rPr>
      <t xml:space="preserve">民雄鄉福樂村埤角</t>
    </r>
    <r>
      <rPr>
        <sz val="10"/>
        <color rgb="FF1F2A28"/>
        <rFont val="Arial"/>
        <family val="0"/>
        <charset val="1"/>
      </rPr>
      <t xml:space="preserve">1</t>
    </r>
    <r>
      <rPr>
        <sz val="10"/>
        <color rgb="FF1F2A28"/>
        <rFont val="WenQuanYi Zen Hei"/>
        <family val="2"/>
      </rPr>
      <t xml:space="preserve">之</t>
    </r>
    <r>
      <rPr>
        <sz val="10"/>
        <color rgb="FF1F2A28"/>
        <rFont val="Arial"/>
        <family val="0"/>
        <charset val="1"/>
      </rPr>
      <t xml:space="preserve">40</t>
    </r>
    <r>
      <rPr>
        <sz val="10"/>
        <color rgb="FF1F2A28"/>
        <rFont val="WenQuanYi Zen Hei"/>
        <family val="2"/>
      </rPr>
      <t xml:space="preserve">號</t>
    </r>
  </si>
  <si>
    <t xml:space="preserve">05-2204590</t>
  </si>
  <si>
    <t xml:space="preserve">topccs@ms72.hinet.net</t>
  </si>
  <si>
    <t xml:space="preserve">2000-11-17</t>
  </si>
  <si>
    <t xml:space="preserve">戴健翔</t>
  </si>
  <si>
    <t xml:space="preserve">私立摩根美語短期補習班</t>
  </si>
  <si>
    <r>
      <rPr>
        <sz val="10"/>
        <color rgb="FF1F2A28"/>
        <rFont val="WenQuanYi Zen Hei"/>
        <family val="2"/>
      </rPr>
      <t xml:space="preserve">民雄鄉北斗村北勢子</t>
    </r>
    <r>
      <rPr>
        <sz val="10"/>
        <color rgb="FF1F2A28"/>
        <rFont val="Arial"/>
        <family val="0"/>
        <charset val="1"/>
      </rPr>
      <t xml:space="preserve">47-10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</si>
  <si>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(05)2215110</t>
  </si>
  <si>
    <t xml:space="preserve">j568568@yahoo.com.tw</t>
  </si>
  <si>
    <t xml:space="preserve">陳美蓉</t>
  </si>
  <si>
    <t xml:space="preserve">私立熱氣球短期補習班</t>
  </si>
  <si>
    <r>
      <rPr>
        <sz val="10"/>
        <color rgb="FF1F2A28"/>
        <rFont val="WenQuanYi Zen Hei"/>
        <family val="2"/>
      </rPr>
      <t xml:space="preserve">民雄鄉福樂村自強二街</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</si>
  <si>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(05)2131993</t>
  </si>
  <si>
    <t xml:space="preserve">chentungtai97@gmail.com</t>
  </si>
  <si>
    <t xml:space="preserve">2022-05-20</t>
  </si>
  <si>
    <t xml:space="preserve">戴震東</t>
  </si>
  <si>
    <t xml:space="preserve">私立瑪肯資優文理短期補習班</t>
  </si>
  <si>
    <r>
      <rPr>
        <sz val="10"/>
        <color rgb="FF1F2A28"/>
        <rFont val="WenQuanYi Zen Hei"/>
        <family val="2"/>
      </rPr>
      <t xml:space="preserve">民雄鄉西安村西安路</t>
    </r>
    <r>
      <rPr>
        <sz val="10"/>
        <color rgb="FF1F2A28"/>
        <rFont val="Arial"/>
        <family val="0"/>
        <charset val="1"/>
      </rPr>
      <t xml:space="preserve">82</t>
    </r>
    <r>
      <rPr>
        <sz val="10"/>
        <color rgb="FF1F2A28"/>
        <rFont val="WenQuanYi Zen Hei"/>
        <family val="2"/>
      </rPr>
      <t xml:space="preserve">之</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</si>
  <si>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(05)226-8866</t>
  </si>
  <si>
    <t xml:space="preserve">mark826826@gmail.com</t>
  </si>
  <si>
    <t xml:space="preserve">羅尤婷</t>
  </si>
  <si>
    <t xml:space="preserve">楊佳源</t>
  </si>
  <si>
    <t xml:space="preserve">私立翰林珠算短期補習班</t>
  </si>
  <si>
    <r>
      <rPr>
        <sz val="10"/>
        <color rgb="FF1F2A28"/>
        <rFont val="WenQuanYi Zen Hei"/>
        <family val="2"/>
      </rPr>
      <t xml:space="preserve">民雄鄉保生街</t>
    </r>
    <r>
      <rPr>
        <sz val="10"/>
        <color rgb="FF1F2A28"/>
        <rFont val="Arial"/>
        <family val="0"/>
        <charset val="1"/>
      </rPr>
      <t xml:space="preserve">3</t>
    </r>
    <r>
      <rPr>
        <sz val="10"/>
        <color rgb="FF1F2A28"/>
        <rFont val="WenQuanYi Zen Hei"/>
        <family val="2"/>
      </rPr>
      <t xml:space="preserve">號</t>
    </r>
  </si>
  <si>
    <t xml:space="preserve">05-2266853</t>
  </si>
  <si>
    <t xml:space="preserve">1996-12-14</t>
  </si>
  <si>
    <t xml:space="preserve">蔡秀葉</t>
  </si>
  <si>
    <t xml:space="preserve">蔡碧桃</t>
  </si>
  <si>
    <t xml:space="preserve">私立鵬嶺文理短期補習班</t>
  </si>
  <si>
    <r>
      <rPr>
        <sz val="10"/>
        <color rgb="FF1F2A28"/>
        <rFont val="WenQuanYi Zen Hei"/>
        <family val="2"/>
      </rPr>
      <t xml:space="preserve">民雄鄉福樂村光明二街</t>
    </r>
    <r>
      <rPr>
        <sz val="10"/>
        <color rgb="FF1F2A28"/>
        <rFont val="Arial"/>
        <family val="0"/>
        <charset val="1"/>
      </rPr>
      <t xml:space="preserve">190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</si>
  <si>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(05)2130888</t>
  </si>
  <si>
    <t xml:space="preserve">2020-12-28</t>
  </si>
  <si>
    <t xml:space="preserve">林郁君</t>
  </si>
  <si>
    <t xml:space="preserve">水上鄉</t>
  </si>
  <si>
    <t xml:space="preserve">嘉義縣私立加大文理短期補習班</t>
  </si>
  <si>
    <r>
      <rPr>
        <sz val="10"/>
        <color rgb="FF1F2A28"/>
        <rFont val="WenQuanYi Zen Hei"/>
        <family val="2"/>
      </rPr>
      <t xml:space="preserve">水上鄉民生村忠孝街</t>
    </r>
    <r>
      <rPr>
        <sz val="10"/>
        <color rgb="FF1F2A28"/>
        <rFont val="Arial"/>
        <family val="0"/>
        <charset val="1"/>
      </rPr>
      <t xml:space="preserve">91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</si>
  <si>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(05)2350678</t>
  </si>
  <si>
    <t xml:space="preserve">cyjd101@gmail.com</t>
  </si>
  <si>
    <t xml:space="preserve">2012-04-05</t>
  </si>
  <si>
    <t xml:space="preserve">劉權慧</t>
  </si>
  <si>
    <t xml:space="preserve">嘉義縣私立泓志文理短期補習班</t>
  </si>
  <si>
    <r>
      <rPr>
        <sz val="10"/>
        <color rgb="FF1F2A28"/>
        <rFont val="WenQuanYi Zen Hei"/>
        <family val="2"/>
      </rPr>
      <t xml:space="preserve">水上鄉外林街</t>
    </r>
    <r>
      <rPr>
        <sz val="10"/>
        <color rgb="FF1F2A28"/>
        <rFont val="Arial"/>
        <family val="0"/>
        <charset val="1"/>
      </rPr>
      <t xml:space="preserve">216</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</si>
  <si>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(05)2600886</t>
  </si>
  <si>
    <t xml:space="preserve">scott35huang@yahoo.com.tw</t>
  </si>
  <si>
    <t xml:space="preserve">黃志賢</t>
  </si>
  <si>
    <t xml:space="preserve">嘉義縣私立資優生文理短期補習班</t>
  </si>
  <si>
    <r>
      <rPr>
        <sz val="10"/>
        <color rgb="FF1F2A28"/>
        <rFont val="WenQuanYi Zen Hei"/>
        <family val="2"/>
      </rPr>
      <t xml:space="preserve">水上鄉水頭村第</t>
    </r>
    <r>
      <rPr>
        <sz val="10"/>
        <color rgb="FF1F2A28"/>
        <rFont val="Arial"/>
        <family val="0"/>
        <charset val="1"/>
      </rPr>
      <t xml:space="preserve">14</t>
    </r>
    <r>
      <rPr>
        <sz val="10"/>
        <color rgb="FF1F2A28"/>
        <rFont val="WenQuanYi Zen Hei"/>
        <family val="2"/>
      </rPr>
      <t xml:space="preserve">鄰中興路</t>
    </r>
    <r>
      <rPr>
        <sz val="10"/>
        <color rgb="FF1F2A28"/>
        <rFont val="Arial"/>
        <family val="0"/>
        <charset val="1"/>
      </rPr>
      <t xml:space="preserve">82</t>
    </r>
    <r>
      <rPr>
        <sz val="10"/>
        <color rgb="FF1F2A28"/>
        <rFont val="WenQuanYi Zen Hei"/>
        <family val="2"/>
      </rPr>
      <t xml:space="preserve">號</t>
    </r>
  </si>
  <si>
    <t xml:space="preserve">(05)2689791</t>
  </si>
  <si>
    <t xml:space="preserve">Sam110620002002@gmail.com.tw</t>
  </si>
  <si>
    <t xml:space="preserve">涂建軒</t>
  </si>
  <si>
    <t xml:space="preserve">私立學成美語短期補習班</t>
  </si>
  <si>
    <r>
      <rPr>
        <sz val="10"/>
        <color rgb="FF1F2A28"/>
        <rFont val="WenQuanYi Zen Hei"/>
        <family val="2"/>
      </rPr>
      <t xml:space="preserve">水上鄉水頭村中正路</t>
    </r>
    <r>
      <rPr>
        <sz val="10"/>
        <color rgb="FF1F2A28"/>
        <rFont val="Arial"/>
        <family val="0"/>
        <charset val="1"/>
      </rPr>
      <t xml:space="preserve">127-1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</si>
  <si>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(05)2600189 0980-930088</t>
  </si>
  <si>
    <t xml:space="preserve">julia-0730@yahoo.com.tw</t>
  </si>
  <si>
    <t xml:space="preserve">呂泳樑</t>
  </si>
  <si>
    <t xml:space="preserve">林慧君</t>
  </si>
  <si>
    <t xml:space="preserve">私立宇捷文理短期補習班</t>
  </si>
  <si>
    <r>
      <rPr>
        <sz val="10"/>
        <color rgb="FF1F2A28"/>
        <rFont val="WenQuanYi Zen Hei"/>
        <family val="2"/>
      </rPr>
      <t xml:space="preserve">水上鄉水上村外林街</t>
    </r>
    <r>
      <rPr>
        <sz val="10"/>
        <color rgb="FF1F2A28"/>
        <rFont val="Arial"/>
        <family val="0"/>
        <charset val="1"/>
      </rPr>
      <t xml:space="preserve">97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t>
    </r>
  </si>
  <si>
    <t xml:space="preserve">(05)2687522</t>
  </si>
  <si>
    <t xml:space="preserve">n751206@gmail.com</t>
  </si>
  <si>
    <t xml:space="preserve">2021-11-05</t>
  </si>
  <si>
    <t xml:space="preserve">莊佳儂</t>
  </si>
  <si>
    <t xml:space="preserve">水上鄉柳鄉</t>
  </si>
  <si>
    <t xml:space="preserve">嘉義縣私立力碩文理短期補習班</t>
  </si>
  <si>
    <r>
      <rPr>
        <sz val="10"/>
        <color rgb="FF1F2A28"/>
        <rFont val="WenQuanYi Zen Hei"/>
        <family val="2"/>
      </rPr>
      <t xml:space="preserve">水上鄉柳鄉村</t>
    </r>
    <r>
      <rPr>
        <sz val="10"/>
        <color rgb="FF1F2A28"/>
        <rFont val="Arial"/>
        <family val="0"/>
        <charset val="1"/>
      </rPr>
      <t xml:space="preserve">16</t>
    </r>
    <r>
      <rPr>
        <sz val="10"/>
        <color rgb="FF1F2A28"/>
        <rFont val="WenQuanYi Zen Hei"/>
        <family val="2"/>
      </rPr>
      <t xml:space="preserve">鄰柳子林</t>
    </r>
    <r>
      <rPr>
        <sz val="10"/>
        <color rgb="FF1F2A28"/>
        <rFont val="Arial"/>
        <family val="0"/>
        <charset val="1"/>
      </rPr>
      <t xml:space="preserve">331</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</si>
  <si>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(05)2681228 0910691203</t>
  </si>
  <si>
    <t xml:space="preserve">iamfish34@gmail.com</t>
  </si>
  <si>
    <t xml:space="preserve">2014-06-03</t>
  </si>
  <si>
    <t xml:space="preserve">竹崎鄉</t>
  </si>
  <si>
    <t xml:space="preserve">嘉義縣私立勤益文理短期補習班</t>
  </si>
  <si>
    <r>
      <rPr>
        <sz val="10"/>
        <color rgb="FF1F2A28"/>
        <rFont val="WenQuanYi Zen Hei"/>
        <family val="2"/>
      </rPr>
      <t xml:space="preserve">竹崎鄉中山路</t>
    </r>
    <r>
      <rPr>
        <sz val="10"/>
        <color rgb="FF1F2A28"/>
        <rFont val="Arial"/>
        <family val="0"/>
        <charset val="1"/>
      </rPr>
      <t xml:space="preserve">205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</si>
  <si>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(05)2617210</t>
  </si>
  <si>
    <t xml:space="preserve">2012-05-10</t>
  </si>
  <si>
    <t xml:space="preserve">陳永欽</t>
  </si>
  <si>
    <r>
      <rPr>
        <sz val="10"/>
        <color rgb="FF1F2A28"/>
        <rFont val="WenQuanYi Zen Hei"/>
        <family val="2"/>
      </rPr>
      <t xml:space="preserve">私立</t>
    </r>
    <r>
      <rPr>
        <sz val="10"/>
        <color rgb="FF1F2A28"/>
        <rFont val="Arial"/>
        <family val="0"/>
        <charset val="1"/>
      </rPr>
      <t xml:space="preserve">THE OWL</t>
    </r>
    <r>
      <rPr>
        <sz val="10"/>
        <color rgb="FF1F2A28"/>
        <rFont val="WenQuanYi Zen Hei"/>
        <family val="2"/>
      </rPr>
      <t xml:space="preserve">美語短期補習班</t>
    </r>
  </si>
  <si>
    <r>
      <rPr>
        <sz val="10"/>
        <color rgb="FF1F2A28"/>
        <rFont val="WenQuanYi Zen Hei"/>
        <family val="2"/>
      </rPr>
      <t xml:space="preserve">竹崎鄉竹崎村八鄰自由路二段</t>
    </r>
    <r>
      <rPr>
        <sz val="10"/>
        <color rgb="FF1F2A28"/>
        <rFont val="Arial"/>
        <family val="0"/>
        <charset val="1"/>
      </rPr>
      <t xml:space="preserve">113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</si>
  <si>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05-2617718</t>
  </si>
  <si>
    <t xml:space="preserve">penny64817@gmail.com</t>
  </si>
  <si>
    <t xml:space="preserve">2003-01-30</t>
  </si>
  <si>
    <t xml:space="preserve">楊貴戀</t>
  </si>
  <si>
    <t xml:space="preserve">私立優昇短期補習班</t>
  </si>
  <si>
    <r>
      <rPr>
        <sz val="10"/>
        <color rgb="FF1F2A28"/>
        <rFont val="WenQuanYi Zen Hei"/>
        <family val="2"/>
      </rPr>
      <t xml:space="preserve">竹崎鄉竹崎村中華路</t>
    </r>
    <r>
      <rPr>
        <sz val="10"/>
        <color rgb="FF1F2A28"/>
        <rFont val="Arial"/>
        <family val="0"/>
        <charset val="1"/>
      </rPr>
      <t xml:space="preserve">108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</si>
  <si>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(05)2617970</t>
  </si>
  <si>
    <t xml:space="preserve">yoursun930@yahoo.com.tw</t>
  </si>
  <si>
    <t xml:space="preserve">2021-02-04</t>
  </si>
  <si>
    <t xml:space="preserve">賴博雍</t>
  </si>
  <si>
    <r>
      <rPr>
        <sz val="10"/>
        <color rgb="FF1F2A28"/>
        <rFont val="WenQuanYi Zen Hei"/>
        <family val="2"/>
      </rPr>
      <t xml:space="preserve">私立芥菜種</t>
    </r>
    <r>
      <rPr>
        <sz val="10"/>
        <color rgb="FF1F2A28"/>
        <rFont val="Arial"/>
        <family val="0"/>
        <charset val="1"/>
      </rPr>
      <t xml:space="preserve">(</t>
    </r>
    <r>
      <rPr>
        <sz val="10"/>
        <color rgb="FF1F2A28"/>
        <rFont val="WenQuanYi Zen Hei"/>
        <family val="2"/>
      </rPr>
      <t xml:space="preserve">蒂娜</t>
    </r>
    <r>
      <rPr>
        <sz val="10"/>
        <color rgb="FF1F2A28"/>
        <rFont val="Arial"/>
        <family val="0"/>
        <charset val="1"/>
      </rPr>
      <t xml:space="preserve">)</t>
    </r>
    <r>
      <rPr>
        <sz val="10"/>
        <color rgb="FF1F2A28"/>
        <rFont val="WenQuanYi Zen Hei"/>
        <family val="2"/>
      </rPr>
      <t xml:space="preserve">文理短期補習班</t>
    </r>
  </si>
  <si>
    <r>
      <rPr>
        <sz val="10"/>
        <color rgb="FF1F2A28"/>
        <rFont val="WenQuanYi Zen Hei"/>
        <family val="2"/>
      </rPr>
      <t xml:space="preserve">竹崎鄉和平村中華路</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</si>
  <si>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05-2611905</t>
  </si>
  <si>
    <t xml:space="preserve">黃淑美</t>
  </si>
  <si>
    <t xml:space="preserve">林群雅</t>
  </si>
  <si>
    <t xml:space="preserve">屏東縣</t>
  </si>
  <si>
    <t xml:space="preserve">屏東縣私立三朋美語文理短期補習班</t>
  </si>
  <si>
    <r>
      <rPr>
        <sz val="10"/>
        <color rgb="FF1F2A28"/>
        <rFont val="WenQuanYi Zen Hei"/>
        <family val="2"/>
      </rPr>
      <t xml:space="preserve">屏東縣東港鎮新興三街</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</si>
  <si>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(08)8333929</t>
  </si>
  <si>
    <t xml:space="preserve">tfc8333929@yahoo.com.tw</t>
  </si>
  <si>
    <t xml:space="preserve">2002-02-27</t>
  </si>
  <si>
    <t xml:space="preserve">陳萱</t>
  </si>
  <si>
    <t xml:space="preserve">蔡孟材</t>
  </si>
  <si>
    <t xml:space="preserve">屏東縣私立上林美語文理短期補習班</t>
  </si>
  <si>
    <r>
      <rPr>
        <sz val="10"/>
        <color rgb="FF1F2A28"/>
        <rFont val="WenQuanYi Zen Hei"/>
        <family val="2"/>
      </rPr>
      <t xml:space="preserve">屏東縣萬丹鄉社皮路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506</t>
    </r>
    <r>
      <rPr>
        <sz val="10"/>
        <color rgb="FF1F2A28"/>
        <rFont val="WenQuanYi Zen Hei"/>
        <family val="2"/>
      </rPr>
      <t xml:space="preserve">號</t>
    </r>
  </si>
  <si>
    <t xml:space="preserve">(08)7075209</t>
  </si>
  <si>
    <t xml:space="preserve">debby560910@gmail.com</t>
  </si>
  <si>
    <t xml:space="preserve">英文、美語、英檢</t>
  </si>
  <si>
    <t xml:space="preserve">陳桂華</t>
  </si>
  <si>
    <t xml:space="preserve">屏東縣私立中興美語短期補習班</t>
  </si>
  <si>
    <r>
      <rPr>
        <sz val="10"/>
        <color rgb="FF1F2A28"/>
        <rFont val="WenQuanYi Zen Hei"/>
        <family val="2"/>
      </rPr>
      <t xml:space="preserve">屏東縣萬丹鄉中興路二段</t>
    </r>
    <r>
      <rPr>
        <sz val="10"/>
        <color rgb="FF1F2A28"/>
        <rFont val="Arial"/>
        <family val="0"/>
        <charset val="1"/>
      </rPr>
      <t xml:space="preserve">482.482-1</t>
    </r>
    <r>
      <rPr>
        <sz val="10"/>
        <color rgb="FF1F2A28"/>
        <rFont val="WenQuanYi Zen Hei"/>
        <family val="2"/>
      </rPr>
      <t xml:space="preserve">號</t>
    </r>
  </si>
  <si>
    <t xml:space="preserve">0932808240</t>
  </si>
  <si>
    <t xml:space="preserve">2010-05-12</t>
  </si>
  <si>
    <t xml:space="preserve">沈賢儒</t>
  </si>
  <si>
    <t xml:space="preserve">屏東縣私立中興美語短期補習班萬丹分班</t>
  </si>
  <si>
    <r>
      <rPr>
        <sz val="10"/>
        <color rgb="FF1F2A28"/>
        <rFont val="WenQuanYi Zen Hei"/>
        <family val="2"/>
      </rPr>
      <t xml:space="preserve">屏東縣萬丹鄉中興路二段</t>
    </r>
    <r>
      <rPr>
        <sz val="10"/>
        <color rgb="FF1F2A28"/>
        <rFont val="Arial"/>
        <family val="0"/>
        <charset val="1"/>
      </rPr>
      <t xml:space="preserve">488</t>
    </r>
    <r>
      <rPr>
        <sz val="10"/>
        <color rgb="FF1F2A28"/>
        <rFont val="WenQuanYi Zen Hei"/>
        <family val="2"/>
      </rPr>
      <t xml:space="preserve">號</t>
    </r>
  </si>
  <si>
    <t xml:space="preserve">(08)7763917</t>
  </si>
  <si>
    <t xml:space="preserve">沈慈文</t>
  </si>
  <si>
    <t xml:space="preserve">屏東縣私立伯利恆美語文理藝術短期補習班</t>
  </si>
  <si>
    <r>
      <rPr>
        <sz val="10"/>
        <color rgb="FF1F2A28"/>
        <rFont val="WenQuanYi Zen Hei"/>
        <family val="2"/>
      </rPr>
      <t xml:space="preserve">屏東縣潮州鎮長興路</t>
    </r>
    <r>
      <rPr>
        <sz val="10"/>
        <color rgb="FF1F2A28"/>
        <rFont val="Arial"/>
        <family val="0"/>
        <charset val="1"/>
      </rPr>
      <t xml:space="preserve">54</t>
    </r>
    <r>
      <rPr>
        <sz val="10"/>
        <color rgb="FF1F2A28"/>
        <rFont val="WenQuanYi Zen Hei"/>
        <family val="2"/>
      </rPr>
      <t xml:space="preserve">號</t>
    </r>
  </si>
  <si>
    <t xml:space="preserve">(08)7883360</t>
  </si>
  <si>
    <t xml:space="preserve">chen7883360@yahoo.com.tw</t>
  </si>
  <si>
    <t xml:space="preserve">2010-01-08</t>
  </si>
  <si>
    <t xml:space="preserve">陳祥文</t>
  </si>
  <si>
    <t xml:space="preserve">屏東縣私立佳和文理短期補習班</t>
  </si>
  <si>
    <r>
      <rPr>
        <sz val="10"/>
        <color rgb="FF1F2A28"/>
        <rFont val="WenQuanYi Zen Hei"/>
        <family val="2"/>
      </rPr>
      <t xml:space="preserve">屏東縣內埔鄉內田村廣濟路</t>
    </r>
    <r>
      <rPr>
        <sz val="10"/>
        <color rgb="FF1F2A28"/>
        <rFont val="Arial"/>
        <family val="0"/>
        <charset val="1"/>
      </rPr>
      <t xml:space="preserve">79</t>
    </r>
    <r>
      <rPr>
        <sz val="10"/>
        <color rgb="FF1F2A28"/>
        <rFont val="WenQuanYi Zen Hei"/>
        <family val="2"/>
      </rPr>
      <t xml:space="preserve">號</t>
    </r>
  </si>
  <si>
    <t xml:space="preserve">(08)778-8811</t>
  </si>
  <si>
    <t xml:space="preserve">屏東縣私立佳英英語短期補習班</t>
  </si>
  <si>
    <r>
      <rPr>
        <sz val="10"/>
        <color rgb="FF1F2A28"/>
        <rFont val="WenQuanYi Zen Hei"/>
        <family val="2"/>
      </rPr>
      <t xml:space="preserve">屏東縣潮州鎮民榮街</t>
    </r>
    <r>
      <rPr>
        <sz val="10"/>
        <color rgb="FF1F2A28"/>
        <rFont val="Arial"/>
        <family val="0"/>
        <charset val="1"/>
      </rPr>
      <t xml:space="preserve">5</t>
    </r>
    <r>
      <rPr>
        <sz val="10"/>
        <color rgb="FF1F2A28"/>
        <rFont val="WenQuanYi Zen Hei"/>
        <family val="2"/>
      </rPr>
      <t xml:space="preserve">號</t>
    </r>
  </si>
  <si>
    <t xml:space="preserve">(08)7880175</t>
  </si>
  <si>
    <t xml:space="preserve">u8682758@gmail.com</t>
  </si>
  <si>
    <t xml:space="preserve">2001-01-20</t>
  </si>
  <si>
    <t xml:space="preserve">吳明泰</t>
  </si>
  <si>
    <t xml:space="preserve">屏東縣私立佳韻美語短期補習班</t>
  </si>
  <si>
    <r>
      <rPr>
        <sz val="10"/>
        <color rgb="FF1F2A28"/>
        <rFont val="WenQuanYi Zen Hei"/>
        <family val="2"/>
      </rPr>
      <t xml:space="preserve">屏東縣里港鄉仁愛路</t>
    </r>
    <r>
      <rPr>
        <sz val="10"/>
        <color rgb="FF1F2A28"/>
        <rFont val="Arial"/>
        <family val="0"/>
        <charset val="1"/>
      </rPr>
      <t xml:space="preserve">57</t>
    </r>
    <r>
      <rPr>
        <sz val="10"/>
        <color rgb="FF1F2A28"/>
        <rFont val="WenQuanYi Zen Hei"/>
        <family val="2"/>
      </rPr>
      <t xml:space="preserve">巷</t>
    </r>
    <r>
      <rPr>
        <sz val="10"/>
        <color rgb="FF1F2A28"/>
        <rFont val="Arial"/>
        <family val="0"/>
        <charset val="1"/>
      </rPr>
      <t xml:space="preserve">41</t>
    </r>
    <r>
      <rPr>
        <sz val="10"/>
        <color rgb="FF1F2A28"/>
        <rFont val="WenQuanYi Zen Hei"/>
        <family val="2"/>
      </rPr>
      <t xml:space="preserve">號</t>
    </r>
  </si>
  <si>
    <t xml:space="preserve">(08)7759526</t>
  </si>
  <si>
    <t xml:space="preserve">劉靜芬</t>
  </si>
  <si>
    <t xml:space="preserve">屏東縣私立全友美語短期補習班</t>
  </si>
  <si>
    <r>
      <rPr>
        <sz val="10"/>
        <color rgb="FF1F2A28"/>
        <rFont val="WenQuanYi Zen Hei"/>
        <family val="2"/>
      </rPr>
      <t xml:space="preserve">屏東縣潮州鎮永誠街</t>
    </r>
    <r>
      <rPr>
        <sz val="10"/>
        <color rgb="FF1F2A28"/>
        <rFont val="Arial"/>
        <family val="0"/>
        <charset val="1"/>
      </rPr>
      <t xml:space="preserve">50</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</si>
  <si>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7886233</t>
  </si>
  <si>
    <t xml:space="preserve">2012-05-16</t>
  </si>
  <si>
    <t xml:space="preserve">蕭陳水金</t>
  </si>
  <si>
    <t xml:space="preserve">蕭玉霜</t>
  </si>
  <si>
    <t xml:space="preserve">屏東縣私立冠迪美語文理短期補習班</t>
  </si>
  <si>
    <r>
      <rPr>
        <sz val="10"/>
        <color rgb="FF1F2A28"/>
        <rFont val="WenQuanYi Zen Hei"/>
        <family val="2"/>
      </rPr>
      <t xml:space="preserve">屏東縣新園鄉新田路</t>
    </r>
    <r>
      <rPr>
        <sz val="10"/>
        <color rgb="FF1F2A28"/>
        <rFont val="Arial"/>
        <family val="0"/>
        <charset val="1"/>
      </rPr>
      <t xml:space="preserve">22</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</si>
  <si>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(08)8686908</t>
  </si>
  <si>
    <t xml:space="preserve">suching.suching@msa.hinet.net</t>
  </si>
  <si>
    <t xml:space="preserve">2012-07-19</t>
  </si>
  <si>
    <t xml:space="preserve">許素卿</t>
  </si>
  <si>
    <t xml:space="preserve">屏東縣私立冠達美語文理短期補習班</t>
  </si>
  <si>
    <r>
      <rPr>
        <sz val="10"/>
        <color rgb="FF1F2A28"/>
        <rFont val="WenQuanYi Zen Hei"/>
        <family val="2"/>
      </rPr>
      <t xml:space="preserve">屏東縣嵌頂鄉崁頂村中正</t>
    </r>
    <r>
      <rPr>
        <sz val="10"/>
        <color rgb="FF1F2A28"/>
        <rFont val="Arial"/>
        <family val="0"/>
        <charset val="1"/>
      </rPr>
      <t xml:space="preserve">2</t>
    </r>
    <r>
      <rPr>
        <sz val="10"/>
        <color rgb="FF1F2A28"/>
        <rFont val="WenQuanYi Zen Hei"/>
        <family val="2"/>
      </rPr>
      <t xml:space="preserve">巷</t>
    </r>
    <r>
      <rPr>
        <sz val="10"/>
        <color rgb="FF1F2A28"/>
        <rFont val="Arial"/>
        <family val="0"/>
        <charset val="1"/>
      </rPr>
      <t xml:space="preserve">21-1</t>
    </r>
    <r>
      <rPr>
        <sz val="10"/>
        <color rgb="FF1F2A28"/>
        <rFont val="WenQuanYi Zen Hei"/>
        <family val="2"/>
      </rPr>
      <t xml:space="preserve">號</t>
    </r>
  </si>
  <si>
    <t xml:space="preserve">(08)8631890</t>
  </si>
  <si>
    <t xml:space="preserve">amyok5653@gmail.com</t>
  </si>
  <si>
    <t xml:space="preserve">2010-08-30</t>
  </si>
  <si>
    <t xml:space="preserve">張貞琴</t>
  </si>
  <si>
    <t xml:space="preserve">屏東縣私立凱博美語文理短期補習班</t>
  </si>
  <si>
    <r>
      <rPr>
        <sz val="10"/>
        <color rgb="FF1F2A28"/>
        <rFont val="WenQuanYi Zen Hei"/>
        <family val="2"/>
      </rPr>
      <t xml:space="preserve">屏東縣林邊鄉永樂村榮農路</t>
    </r>
    <r>
      <rPr>
        <sz val="10"/>
        <color rgb="FF1F2A28"/>
        <rFont val="Arial"/>
        <family val="0"/>
        <charset val="1"/>
      </rPr>
      <t xml:space="preserve">5</t>
    </r>
    <r>
      <rPr>
        <sz val="10"/>
        <color rgb="FF1F2A28"/>
        <rFont val="WenQuanYi Zen Hei"/>
        <family val="2"/>
      </rPr>
      <t xml:space="preserve">巷</t>
    </r>
    <r>
      <rPr>
        <sz val="10"/>
        <color rgb="FF1F2A28"/>
        <rFont val="Arial"/>
        <family val="0"/>
        <charset val="1"/>
      </rPr>
      <t xml:space="preserve">10-4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</si>
  <si>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(08)8758999</t>
  </si>
  <si>
    <t xml:space="preserve">2007-08-03</t>
  </si>
  <si>
    <t xml:space="preserve">蔡惠玲</t>
  </si>
  <si>
    <t xml:space="preserve">屏東縣私立千馨美語短期補習班</t>
  </si>
  <si>
    <r>
      <rPr>
        <sz val="10"/>
        <color rgb="FF1F2A28"/>
        <rFont val="WenQuanYi Zen Hei"/>
        <family val="2"/>
      </rPr>
      <t xml:space="preserve">屏東縣里港鄉玉田村八鄰八德路</t>
    </r>
    <r>
      <rPr>
        <sz val="10"/>
        <color rgb="FF1F2A28"/>
        <rFont val="Arial"/>
        <family val="0"/>
        <charset val="1"/>
      </rPr>
      <t xml:space="preserve">176</t>
    </r>
    <r>
      <rPr>
        <sz val="10"/>
        <color rgb="FF1F2A28"/>
        <rFont val="WenQuanYi Zen Hei"/>
        <family val="2"/>
      </rPr>
      <t xml:space="preserve">號</t>
    </r>
  </si>
  <si>
    <t xml:space="preserve">(08)7758087</t>
  </si>
  <si>
    <t xml:space="preserve">2002-01-30</t>
  </si>
  <si>
    <t xml:space="preserve">蘇貞月</t>
  </si>
  <si>
    <t xml:space="preserve">屏東縣私立博士家美語文理短期補習班</t>
  </si>
  <si>
    <r>
      <rPr>
        <sz val="10"/>
        <color rgb="FF1F2A28"/>
        <rFont val="WenQuanYi Zen Hei"/>
        <family val="2"/>
      </rPr>
      <t xml:space="preserve">屏東縣恆春鎮環城北路</t>
    </r>
    <r>
      <rPr>
        <sz val="10"/>
        <color rgb="FF1F2A28"/>
        <rFont val="Arial"/>
        <family val="0"/>
        <charset val="1"/>
      </rPr>
      <t xml:space="preserve">245</t>
    </r>
    <r>
      <rPr>
        <sz val="10"/>
        <color rgb="FF1F2A28"/>
        <rFont val="WenQuanYi Zen Hei"/>
        <family val="2"/>
      </rPr>
      <t xml:space="preserve">號</t>
    </r>
  </si>
  <si>
    <t xml:space="preserve">(08)8898397</t>
  </si>
  <si>
    <t xml:space="preserve">doctor946hc@yahoo.com</t>
  </si>
  <si>
    <t xml:space="preserve">林美靖</t>
  </si>
  <si>
    <t xml:space="preserve">屏東縣私立史都華美語短期補習班</t>
  </si>
  <si>
    <r>
      <rPr>
        <sz val="10"/>
        <color rgb="FF1F2A28"/>
        <rFont val="WenQuanYi Zen Hei"/>
        <family val="2"/>
      </rPr>
      <t xml:space="preserve">屏東縣潮州鎮中山路東段</t>
    </r>
    <r>
      <rPr>
        <sz val="10"/>
        <color rgb="FF1F2A28"/>
        <rFont val="Arial"/>
        <family val="0"/>
        <charset val="1"/>
      </rPr>
      <t xml:space="preserve">27</t>
    </r>
    <r>
      <rPr>
        <sz val="10"/>
        <color rgb="FF1F2A28"/>
        <rFont val="WenQuanYi Zen Hei"/>
        <family val="2"/>
      </rPr>
      <t xml:space="preserve">號</t>
    </r>
  </si>
  <si>
    <t xml:space="preserve">(08)7894216</t>
  </si>
  <si>
    <t xml:space="preserve">sherrytg@yahoo.com</t>
  </si>
  <si>
    <t xml:space="preserve">2008-08-29</t>
  </si>
  <si>
    <t xml:space="preserve">唐小裴</t>
  </si>
  <si>
    <t xml:space="preserve">屏東縣私立名冠美語短期補習班</t>
  </si>
  <si>
    <r>
      <rPr>
        <sz val="10"/>
        <color rgb="FF1F2A28"/>
        <rFont val="WenQuanYi Zen Hei"/>
        <family val="2"/>
      </rPr>
      <t xml:space="preserve">屏東縣鹽埔鄉新圍村維新路</t>
    </r>
    <r>
      <rPr>
        <sz val="10"/>
        <color rgb="FF1F2A28"/>
        <rFont val="Arial"/>
        <family val="0"/>
        <charset val="1"/>
      </rPr>
      <t xml:space="preserve">111-2</t>
    </r>
    <r>
      <rPr>
        <sz val="10"/>
        <color rgb="FF1F2A28"/>
        <rFont val="WenQuanYi Zen Hei"/>
        <family val="2"/>
      </rPr>
      <t xml:space="preserve">號</t>
    </r>
  </si>
  <si>
    <t xml:space="preserve">(08)7936066</t>
  </si>
  <si>
    <t xml:space="preserve">minguan.bestone@gmail.com</t>
  </si>
  <si>
    <t xml:space="preserve">2005-09-22</t>
  </si>
  <si>
    <t xml:space="preserve">屏東縣私立哈佛美語文理短期補習班</t>
  </si>
  <si>
    <r>
      <rPr>
        <sz val="10"/>
        <color rgb="FF1F2A28"/>
        <rFont val="WenQuanYi Zen Hei"/>
        <family val="2"/>
      </rPr>
      <t xml:space="preserve">屏東縣枋寮鄉隆安路</t>
    </r>
    <r>
      <rPr>
        <sz val="10"/>
        <color rgb="FF1F2A28"/>
        <rFont val="Arial"/>
        <family val="0"/>
        <charset val="1"/>
      </rPr>
      <t xml:space="preserve">150</t>
    </r>
    <r>
      <rPr>
        <sz val="10"/>
        <color rgb="FF1F2A28"/>
        <rFont val="WenQuanYi Zen Hei"/>
        <family val="2"/>
      </rPr>
      <t xml:space="preserve">巷</t>
    </r>
    <r>
      <rPr>
        <sz val="10"/>
        <color rgb="FF1F2A28"/>
        <rFont val="Arial"/>
        <family val="0"/>
        <charset val="1"/>
      </rPr>
      <t xml:space="preserve">42</t>
    </r>
    <r>
      <rPr>
        <sz val="10"/>
        <color rgb="FF1F2A28"/>
        <rFont val="WenQuanYi Zen Hei"/>
        <family val="2"/>
      </rPr>
      <t xml:space="preserve">號</t>
    </r>
  </si>
  <si>
    <t xml:space="preserve">(08)8788068</t>
  </si>
  <si>
    <t xml:space="preserve">harvardfl@gmail.com</t>
  </si>
  <si>
    <t xml:space="preserve">翁慈凰</t>
  </si>
  <si>
    <t xml:space="preserve">屏東縣私立哈波電腦美語短期補習班</t>
  </si>
  <si>
    <r>
      <rPr>
        <sz val="10"/>
        <color rgb="FF1F2A28"/>
        <rFont val="WenQuanYi Zen Hei"/>
        <family val="2"/>
      </rPr>
      <t xml:space="preserve">屏東縣潮州鎮新生里公園路</t>
    </r>
    <r>
      <rPr>
        <sz val="10"/>
        <color rgb="FF1F2A28"/>
        <rFont val="Arial"/>
        <family val="0"/>
        <charset val="1"/>
      </rPr>
      <t xml:space="preserve">25</t>
    </r>
    <r>
      <rPr>
        <sz val="10"/>
        <color rgb="FF1F2A28"/>
        <rFont val="WenQuanYi Zen Hei"/>
        <family val="2"/>
      </rPr>
      <t xml:space="preserve">號</t>
    </r>
  </si>
  <si>
    <t xml:space="preserve">(08)7808181</t>
  </si>
  <si>
    <t xml:space="preserve">2006-03-15</t>
  </si>
  <si>
    <t xml:space="preserve">林意珊</t>
  </si>
  <si>
    <t xml:space="preserve">林佳德</t>
  </si>
  <si>
    <t xml:space="preserve">屏東縣私立喬伊美語短期補習班</t>
  </si>
  <si>
    <r>
      <rPr>
        <sz val="10"/>
        <color rgb="FF1F2A28"/>
        <rFont val="WenQuanYi Zen Hei"/>
        <family val="2"/>
      </rPr>
      <t xml:space="preserve">屏東縣林邊鄉美華路</t>
    </r>
    <r>
      <rPr>
        <sz val="10"/>
        <color rgb="FF1F2A28"/>
        <rFont val="Arial"/>
        <family val="0"/>
        <charset val="1"/>
      </rPr>
      <t xml:space="preserve">170</t>
    </r>
    <r>
      <rPr>
        <sz val="10"/>
        <color rgb="FF1F2A28"/>
        <rFont val="WenQuanYi Zen Hei"/>
        <family val="2"/>
      </rPr>
      <t xml:space="preserve">之</t>
    </r>
    <r>
      <rPr>
        <sz val="10"/>
        <color rgb="FF1F2A28"/>
        <rFont val="Arial"/>
        <family val="0"/>
        <charset val="1"/>
      </rPr>
      <t xml:space="preserve">25</t>
    </r>
    <r>
      <rPr>
        <sz val="10"/>
        <color rgb="FF1F2A28"/>
        <rFont val="WenQuanYi Zen Hei"/>
        <family val="2"/>
      </rPr>
      <t xml:space="preserve">號</t>
    </r>
  </si>
  <si>
    <t xml:space="preserve">(08)8751139</t>
  </si>
  <si>
    <t xml:space="preserve">yifang.chen55@gmail.com</t>
  </si>
  <si>
    <t xml:space="preserve">2006-12-18</t>
  </si>
  <si>
    <t xml:space="preserve">侯宣如</t>
  </si>
  <si>
    <t xml:space="preserve">屏東縣私立國際美語文理短期補習班</t>
  </si>
  <si>
    <r>
      <rPr>
        <sz val="10"/>
        <color rgb="FF1F2A28"/>
        <rFont val="WenQuanYi Zen Hei"/>
        <family val="2"/>
      </rPr>
      <t xml:space="preserve">屏東縣萬丹鄉萬生村成功街一段</t>
    </r>
    <r>
      <rPr>
        <sz val="10"/>
        <color rgb="FF1F2A28"/>
        <rFont val="Arial"/>
        <family val="0"/>
        <charset val="1"/>
      </rPr>
      <t xml:space="preserve">17</t>
    </r>
    <r>
      <rPr>
        <sz val="10"/>
        <color rgb="FF1F2A28"/>
        <rFont val="WenQuanYi Zen Hei"/>
        <family val="2"/>
      </rPr>
      <t xml:space="preserve">號</t>
    </r>
  </si>
  <si>
    <t xml:space="preserve">(08)7773135</t>
  </si>
  <si>
    <t xml:space="preserve">huiminchuang@hotmail.com</t>
  </si>
  <si>
    <t xml:space="preserve">2009-12-23</t>
  </si>
  <si>
    <t xml:space="preserve">莊惠民</t>
  </si>
  <si>
    <t xml:space="preserve">屏東縣私立多納美語短期補習班</t>
  </si>
  <si>
    <r>
      <rPr>
        <sz val="10"/>
        <color rgb="FF1F2A28"/>
        <rFont val="WenQuanYi Zen Hei"/>
        <family val="2"/>
      </rPr>
      <t xml:space="preserve">屏東縣潮州鎮愛國路</t>
    </r>
    <r>
      <rPr>
        <sz val="10"/>
        <color rgb="FF1F2A28"/>
        <rFont val="Arial"/>
        <family val="0"/>
        <charset val="1"/>
      </rPr>
      <t xml:space="preserve">85</t>
    </r>
    <r>
      <rPr>
        <sz val="10"/>
        <color rgb="FF1F2A28"/>
        <rFont val="WenQuanYi Zen Hei"/>
        <family val="2"/>
      </rPr>
      <t xml:space="preserve">號</t>
    </r>
  </si>
  <si>
    <t xml:space="preserve">(08)7889206</t>
  </si>
  <si>
    <t xml:space="preserve">benawong520@yahoo.com.tw</t>
  </si>
  <si>
    <t xml:space="preserve">2007-03-27</t>
  </si>
  <si>
    <t xml:space="preserve">王慧雅</t>
  </si>
  <si>
    <t xml:space="preserve">屏東縣私立大東美語短期補習班</t>
  </si>
  <si>
    <r>
      <rPr>
        <sz val="10"/>
        <color rgb="FF1F2A28"/>
        <rFont val="WenQuanYi Zen Hei"/>
        <family val="2"/>
      </rPr>
      <t xml:space="preserve">屏東縣潮州鎮三共里北門路</t>
    </r>
    <r>
      <rPr>
        <sz val="10"/>
        <color rgb="FF1F2A28"/>
        <rFont val="Arial"/>
        <family val="0"/>
        <charset val="1"/>
      </rPr>
      <t xml:space="preserve">127</t>
    </r>
    <r>
      <rPr>
        <sz val="10"/>
        <color rgb="FF1F2A28"/>
        <rFont val="WenQuanYi Zen Hei"/>
        <family val="2"/>
      </rPr>
      <t xml:space="preserve">號</t>
    </r>
  </si>
  <si>
    <t xml:space="preserve">(08)7891099</t>
  </si>
  <si>
    <t xml:space="preserve">2003-02-27</t>
  </si>
  <si>
    <t xml:space="preserve">易瑞君</t>
  </si>
  <si>
    <t xml:space="preserve">屏東縣私立奕晨美語文理短期補習班</t>
  </si>
  <si>
    <r>
      <rPr>
        <sz val="10"/>
        <color rgb="FF1F2A28"/>
        <rFont val="WenQuanYi Zen Hei"/>
        <family val="2"/>
      </rPr>
      <t xml:space="preserve">屏東縣萬丹鄉成功街二段</t>
    </r>
    <r>
      <rPr>
        <sz val="10"/>
        <color rgb="FF1F2A28"/>
        <rFont val="Arial"/>
        <family val="0"/>
        <charset val="1"/>
      </rPr>
      <t xml:space="preserve">162</t>
    </r>
    <r>
      <rPr>
        <sz val="10"/>
        <color rgb="FF1F2A28"/>
        <rFont val="WenQuanYi Zen Hei"/>
        <family val="2"/>
      </rPr>
      <t xml:space="preserve">號</t>
    </r>
  </si>
  <si>
    <t xml:space="preserve">7761662</t>
  </si>
  <si>
    <t xml:space="preserve">yu7761662@gmail.com</t>
  </si>
  <si>
    <t xml:space="preserve">2008-08-07</t>
  </si>
  <si>
    <t xml:space="preserve">高瓊玉</t>
  </si>
  <si>
    <t xml:space="preserve">屏東縣私立子羽美語短期補習班</t>
  </si>
  <si>
    <r>
      <rPr>
        <sz val="10"/>
        <color rgb="FF1F2A28"/>
        <rFont val="WenQuanYi Zen Hei"/>
        <family val="2"/>
      </rPr>
      <t xml:space="preserve">屏東縣長治鄉進興村潭頭路</t>
    </r>
    <r>
      <rPr>
        <sz val="10"/>
        <color rgb="FF1F2A28"/>
        <rFont val="Arial"/>
        <family val="0"/>
        <charset val="1"/>
      </rPr>
      <t xml:space="preserve">37</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</si>
  <si>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08-7372842</t>
  </si>
  <si>
    <t xml:space="preserve">lifmkimo@yahoo.com.tw</t>
  </si>
  <si>
    <t xml:space="preserve">廖靖雰</t>
  </si>
  <si>
    <t xml:space="preserve">屏東縣私立學都美語文理短期補習班</t>
  </si>
  <si>
    <r>
      <rPr>
        <sz val="10"/>
        <color rgb="FF1F2A28"/>
        <rFont val="WenQuanYi Zen Hei"/>
        <family val="2"/>
      </rPr>
      <t xml:space="preserve">屏東縣內埔鄉內埔村中華二街</t>
    </r>
    <r>
      <rPr>
        <sz val="10"/>
        <color rgb="FF1F2A28"/>
        <rFont val="Arial"/>
        <family val="0"/>
        <charset val="1"/>
      </rPr>
      <t xml:space="preserve">99</t>
    </r>
    <r>
      <rPr>
        <sz val="10"/>
        <color rgb="FF1F2A28"/>
        <rFont val="WenQuanYi Zen Hei"/>
        <family val="2"/>
      </rPr>
      <t xml:space="preserve">號</t>
    </r>
  </si>
  <si>
    <t xml:space="preserve">08-7693530</t>
  </si>
  <si>
    <t xml:space="preserve">2010-08-25</t>
  </si>
  <si>
    <t xml:space="preserve">黃子成</t>
  </si>
  <si>
    <t xml:space="preserve">鄞素惠</t>
  </si>
  <si>
    <t xml:space="preserve">屏東縣私立安琪拉美語短期補習班</t>
  </si>
  <si>
    <r>
      <rPr>
        <sz val="10"/>
        <color rgb="FF1F2A28"/>
        <rFont val="WenQuanYi Zen Hei"/>
        <family val="2"/>
      </rPr>
      <t xml:space="preserve">屏東縣長治鄉進德街</t>
    </r>
    <r>
      <rPr>
        <sz val="10"/>
        <color rgb="FF1F2A28"/>
        <rFont val="Arial"/>
        <family val="0"/>
        <charset val="1"/>
      </rPr>
      <t xml:space="preserve">14</t>
    </r>
    <r>
      <rPr>
        <sz val="10"/>
        <color rgb="FF1F2A28"/>
        <rFont val="WenQuanYi Zen Hei"/>
        <family val="2"/>
      </rPr>
      <t xml:space="preserve">號</t>
    </r>
  </si>
  <si>
    <t xml:space="preserve">(08)7352790</t>
  </si>
  <si>
    <t xml:space="preserve">q404761@yahoo.com.tw</t>
  </si>
  <si>
    <t xml:space="preserve">2004-02-09</t>
  </si>
  <si>
    <t xml:space="preserve">鄭芳旻</t>
  </si>
  <si>
    <t xml:space="preserve">屏東縣私立宸妡宇文理短期補習班</t>
  </si>
  <si>
    <r>
      <rPr>
        <sz val="10"/>
        <color rgb="FF1F2A28"/>
        <rFont val="WenQuanYi Zen Hei"/>
        <family val="2"/>
      </rPr>
      <t xml:space="preserve">屏東縣東港鎮光復路一段</t>
    </r>
    <r>
      <rPr>
        <sz val="10"/>
        <color rgb="FF1F2A28"/>
        <rFont val="Arial"/>
        <family val="0"/>
        <charset val="1"/>
      </rPr>
      <t xml:space="preserve">291</t>
    </r>
    <r>
      <rPr>
        <sz val="10"/>
        <color rgb="FF1F2A28"/>
        <rFont val="WenQuanYi Zen Hei"/>
        <family val="2"/>
      </rPr>
      <t xml:space="preserve">號</t>
    </r>
  </si>
  <si>
    <t xml:space="preserve">(08)8351585</t>
  </si>
  <si>
    <t xml:space="preserve">ielephant.ie012@gmail.com</t>
  </si>
  <si>
    <t xml:space="preserve">英語初階、英語進階、全民英檢初級、全民英檢中級</t>
  </si>
  <si>
    <t xml:space="preserve">2021-03-22</t>
  </si>
  <si>
    <t xml:space="preserve">余美琪</t>
  </si>
  <si>
    <t xml:space="preserve">柯國俊</t>
  </si>
  <si>
    <t xml:space="preserve">屏東縣私立將田美語文理短期補習班</t>
  </si>
  <si>
    <r>
      <rPr>
        <sz val="10"/>
        <color rgb="FF1F2A28"/>
        <rFont val="WenQuanYi Zen Hei"/>
        <family val="2"/>
      </rPr>
      <t xml:space="preserve">屏東縣萬丹鄉社皮路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487</t>
    </r>
    <r>
      <rPr>
        <sz val="10"/>
        <color rgb="FF1F2A28"/>
        <rFont val="WenQuanYi Zen Hei"/>
        <family val="2"/>
      </rPr>
      <t xml:space="preserve">號</t>
    </r>
  </si>
  <si>
    <t xml:space="preserve">(08)7072771</t>
  </si>
  <si>
    <t xml:space="preserve">let7072771@yahoo.com.tw</t>
  </si>
  <si>
    <t xml:space="preserve">2006-06-05</t>
  </si>
  <si>
    <t xml:space="preserve">黃守源</t>
  </si>
  <si>
    <t xml:space="preserve">屏東縣私立小維京美語短期補習班</t>
  </si>
  <si>
    <r>
      <rPr>
        <sz val="10"/>
        <color rgb="FF1F2A28"/>
        <rFont val="WenQuanYi Zen Hei"/>
        <family val="2"/>
      </rPr>
      <t xml:space="preserve">屏東縣潮州鎮朝昇東路</t>
    </r>
    <r>
      <rPr>
        <sz val="10"/>
        <color rgb="FF1F2A28"/>
        <rFont val="Arial"/>
        <family val="0"/>
        <charset val="1"/>
      </rPr>
      <t xml:space="preserve">173</t>
    </r>
    <r>
      <rPr>
        <sz val="10"/>
        <color rgb="FF1F2A28"/>
        <rFont val="WenQuanYi Zen Hei"/>
        <family val="2"/>
      </rPr>
      <t xml:space="preserve">號</t>
    </r>
  </si>
  <si>
    <t xml:space="preserve">(08)7896822</t>
  </si>
  <si>
    <t xml:space="preserve">廖美鵝</t>
  </si>
  <si>
    <t xml:space="preserve">屏東縣私立康證美語文理短期補習班</t>
  </si>
  <si>
    <r>
      <rPr>
        <sz val="10"/>
        <color rgb="FF1F2A28"/>
        <rFont val="WenQuanYi Zen Hei"/>
        <family val="2"/>
      </rPr>
      <t xml:space="preserve">屏東縣高樹鄉興中路</t>
    </r>
    <r>
      <rPr>
        <sz val="10"/>
        <color rgb="FF1F2A28"/>
        <rFont val="Arial"/>
        <family val="0"/>
        <charset val="1"/>
      </rPr>
      <t xml:space="preserve">2</t>
    </r>
    <r>
      <rPr>
        <sz val="10"/>
        <color rgb="FF1F2A28"/>
        <rFont val="WenQuanYi Zen Hei"/>
        <family val="2"/>
      </rPr>
      <t xml:space="preserve">巷</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</si>
  <si>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(08)7966591</t>
  </si>
  <si>
    <t xml:space="preserve">2009-08-31</t>
  </si>
  <si>
    <t xml:space="preserve">詹璧慈</t>
  </si>
  <si>
    <t xml:space="preserve">郭永源</t>
  </si>
  <si>
    <r>
      <rPr>
        <sz val="10"/>
        <color rgb="FF1F2A28"/>
        <rFont val="WenQuanYi Zen Hei"/>
        <family val="2"/>
      </rPr>
      <t xml:space="preserve">屏東縣私立弘林美語文理</t>
    </r>
    <r>
      <rPr>
        <sz val="10"/>
        <color rgb="FF1F2A28"/>
        <rFont val="Arial"/>
        <family val="0"/>
        <charset val="1"/>
      </rPr>
      <t xml:space="preserve">(</t>
    </r>
    <r>
      <rPr>
        <sz val="10"/>
        <color rgb="FF1F2A28"/>
        <rFont val="WenQuanYi Zen Hei"/>
        <family val="2"/>
      </rPr>
      <t xml:space="preserve">美華分班</t>
    </r>
    <r>
      <rPr>
        <sz val="10"/>
        <color rgb="FF1F2A28"/>
        <rFont val="Arial"/>
        <family val="0"/>
        <charset val="1"/>
      </rPr>
      <t xml:space="preserve">)</t>
    </r>
    <r>
      <rPr>
        <sz val="10"/>
        <color rgb="FF1F2A28"/>
        <rFont val="WenQuanYi Zen Hei"/>
        <family val="2"/>
      </rPr>
      <t xml:space="preserve">短期補習班</t>
    </r>
  </si>
  <si>
    <r>
      <rPr>
        <sz val="10"/>
        <color rgb="FF1F2A28"/>
        <rFont val="WenQuanYi Zen Hei"/>
        <family val="2"/>
      </rPr>
      <t xml:space="preserve">屏東縣林邊鄉美華路</t>
    </r>
    <r>
      <rPr>
        <sz val="10"/>
        <color rgb="FF1F2A28"/>
        <rFont val="Arial"/>
        <family val="0"/>
        <charset val="1"/>
      </rPr>
      <t xml:space="preserve">260</t>
    </r>
    <r>
      <rPr>
        <sz val="10"/>
        <color rgb="FF1F2A28"/>
        <rFont val="WenQuanYi Zen Hei"/>
        <family val="2"/>
      </rPr>
      <t xml:space="preserve">號</t>
    </r>
  </si>
  <si>
    <t xml:space="preserve">08-8758860</t>
  </si>
  <si>
    <t xml:space="preserve">kjb1221345@yahoo.com.tw</t>
  </si>
  <si>
    <t xml:space="preserve">王淑珍</t>
  </si>
  <si>
    <t xml:space="preserve">屏東縣私立弘林美語短期補習班</t>
  </si>
  <si>
    <r>
      <rPr>
        <sz val="10"/>
        <color rgb="FF1F2A28"/>
        <rFont val="WenQuanYi Zen Hei"/>
        <family val="2"/>
      </rPr>
      <t xml:space="preserve">屏東縣林邊鄉美華路</t>
    </r>
    <r>
      <rPr>
        <sz val="10"/>
        <color rgb="FF1F2A28"/>
        <rFont val="Arial"/>
        <family val="0"/>
        <charset val="1"/>
      </rPr>
      <t xml:space="preserve">262</t>
    </r>
    <r>
      <rPr>
        <sz val="10"/>
        <color rgb="FF1F2A28"/>
        <rFont val="WenQuanYi Zen Hei"/>
        <family val="2"/>
      </rPr>
      <t xml:space="preserve">號</t>
    </r>
  </si>
  <si>
    <t xml:space="preserve">(08)8758860</t>
  </si>
  <si>
    <t xml:space="preserve">李弘綿</t>
  </si>
  <si>
    <t xml:space="preserve">屏東縣私立弘育美語文理短期補習班</t>
  </si>
  <si>
    <r>
      <rPr>
        <sz val="10"/>
        <color rgb="FF1F2A28"/>
        <rFont val="WenQuanYi Zen Hei"/>
        <family val="2"/>
      </rPr>
      <t xml:space="preserve">屏東縣高樹鄉雙興路</t>
    </r>
    <r>
      <rPr>
        <sz val="10"/>
        <color rgb="FF1F2A28"/>
        <rFont val="Arial"/>
        <family val="0"/>
        <charset val="1"/>
      </rPr>
      <t xml:space="preserve">86</t>
    </r>
    <r>
      <rPr>
        <sz val="10"/>
        <color rgb="FF1F2A28"/>
        <rFont val="WenQuanYi Zen Hei"/>
        <family val="2"/>
      </rPr>
      <t xml:space="preserve">號</t>
    </r>
  </si>
  <si>
    <t xml:space="preserve">(08)7962130 0912355943</t>
  </si>
  <si>
    <t xml:space="preserve">周慧媚</t>
  </si>
  <si>
    <t xml:space="preserve">屏東縣私立徐老師美語短期補習班</t>
  </si>
  <si>
    <r>
      <rPr>
        <sz val="10"/>
        <color rgb="FF1F2A28"/>
        <rFont val="WenQuanYi Zen Hei"/>
        <family val="2"/>
      </rPr>
      <t xml:space="preserve">屏東縣長治鄉香潭路</t>
    </r>
    <r>
      <rPr>
        <sz val="10"/>
        <color rgb="FF1F2A28"/>
        <rFont val="Arial"/>
        <family val="0"/>
        <charset val="1"/>
      </rPr>
      <t xml:space="preserve">101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樓之</t>
    </r>
    <r>
      <rPr>
        <sz val="10"/>
        <color rgb="FF1F2A28"/>
        <rFont val="Arial"/>
        <family val="0"/>
        <charset val="1"/>
      </rPr>
      <t xml:space="preserve">2</t>
    </r>
  </si>
  <si>
    <t xml:space="preserve">0930809170</t>
  </si>
  <si>
    <t xml:space="preserve">sandy1756556@yahoo.com.tw</t>
  </si>
  <si>
    <t xml:space="preserve">徐桂芳</t>
  </si>
  <si>
    <t xml:space="preserve">屏東縣私立德品美語文理短期補習班</t>
  </si>
  <si>
    <r>
      <rPr>
        <sz val="10"/>
        <color rgb="FF1F2A28"/>
        <rFont val="WenQuanYi Zen Hei"/>
        <family val="2"/>
      </rPr>
      <t xml:space="preserve">屏東縣潮州鎮光華里民生路</t>
    </r>
    <r>
      <rPr>
        <sz val="10"/>
        <color rgb="FF1F2A28"/>
        <rFont val="Arial"/>
        <family val="0"/>
        <charset val="1"/>
      </rPr>
      <t xml:space="preserve">2-16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</si>
  <si>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0908-391269</t>
  </si>
  <si>
    <t xml:space="preserve">shufen1729@gmail.com</t>
  </si>
  <si>
    <t xml:space="preserve">屏東縣私立快樂小螞蟻美語文理短期補習班</t>
  </si>
  <si>
    <r>
      <rPr>
        <sz val="10"/>
        <color rgb="FF1F2A28"/>
        <rFont val="WenQuanYi Zen Hei"/>
        <family val="2"/>
      </rPr>
      <t xml:space="preserve">屏東縣潮州鎮光華里華安街</t>
    </r>
    <r>
      <rPr>
        <sz val="10"/>
        <color rgb="FF1F2A28"/>
        <rFont val="Arial"/>
        <family val="0"/>
        <charset val="1"/>
      </rPr>
      <t xml:space="preserve">47</t>
    </r>
    <r>
      <rPr>
        <sz val="10"/>
        <color rgb="FF1F2A28"/>
        <rFont val="WenQuanYi Zen Hei"/>
        <family val="2"/>
      </rPr>
      <t xml:space="preserve">巷</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</si>
  <si>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(08)7897520</t>
  </si>
  <si>
    <t xml:space="preserve">ants.cathy@msa.hinet.net</t>
  </si>
  <si>
    <t xml:space="preserve">2015-07-21</t>
  </si>
  <si>
    <t xml:space="preserve">黃蘘絜</t>
  </si>
  <si>
    <t xml:space="preserve">游琛</t>
  </si>
  <si>
    <t xml:space="preserve">屏東縣私立恆功美語文理短期補習班</t>
  </si>
  <si>
    <r>
      <rPr>
        <sz val="10"/>
        <color rgb="FF1F2A28"/>
        <rFont val="WenQuanYi Zen Hei"/>
        <family val="2"/>
      </rPr>
      <t xml:space="preserve">屏東縣林邊鄉仁愛路</t>
    </r>
    <r>
      <rPr>
        <sz val="10"/>
        <color rgb="FF1F2A28"/>
        <rFont val="Arial"/>
        <family val="0"/>
        <charset val="1"/>
      </rPr>
      <t xml:space="preserve">76-2</t>
    </r>
    <r>
      <rPr>
        <sz val="10"/>
        <color rgb="FF1F2A28"/>
        <rFont val="WenQuanYi Zen Hei"/>
        <family val="2"/>
      </rPr>
      <t xml:space="preserve">號</t>
    </r>
  </si>
  <si>
    <t xml:space="preserve">(08)8755468</t>
  </si>
  <si>
    <t xml:space="preserve">lichuan.tai@gmail.com</t>
  </si>
  <si>
    <t xml:space="preserve">戴麗娟</t>
  </si>
  <si>
    <t xml:space="preserve">屏東縣私立悅氏英語短期補習班</t>
  </si>
  <si>
    <r>
      <rPr>
        <sz val="10"/>
        <color rgb="FF1F2A28"/>
        <rFont val="WenQuanYi Zen Hei"/>
        <family val="2"/>
      </rPr>
      <t xml:space="preserve">屏東縣內埔鄉東寧村勝利路</t>
    </r>
    <r>
      <rPr>
        <sz val="10"/>
        <color rgb="FF1F2A28"/>
        <rFont val="Arial"/>
        <family val="0"/>
        <charset val="1"/>
      </rPr>
      <t xml:space="preserve">398</t>
    </r>
    <r>
      <rPr>
        <sz val="10"/>
        <color rgb="FF1F2A28"/>
        <rFont val="WenQuanYi Zen Hei"/>
        <family val="2"/>
      </rPr>
      <t xml:space="preserve">號</t>
    </r>
  </si>
  <si>
    <t xml:space="preserve">(08)7781415</t>
  </si>
  <si>
    <t xml:space="preserve">yes7781415@gmail.com</t>
  </si>
  <si>
    <t xml:space="preserve">黃珠英</t>
  </si>
  <si>
    <t xml:space="preserve">曾永瀚</t>
  </si>
  <si>
    <t xml:space="preserve">屏東縣私立愛丁堡美語文理短期補習班</t>
  </si>
  <si>
    <r>
      <rPr>
        <sz val="10"/>
        <color rgb="FF1F2A28"/>
        <rFont val="WenQuanYi Zen Hei"/>
        <family val="2"/>
      </rPr>
      <t xml:space="preserve">屏東縣麟洛鄉麟趾村中正路國小巷</t>
    </r>
    <r>
      <rPr>
        <sz val="10"/>
        <color rgb="FF1F2A28"/>
        <rFont val="Arial"/>
        <family val="0"/>
        <charset val="1"/>
      </rPr>
      <t xml:space="preserve">32</t>
    </r>
    <r>
      <rPr>
        <sz val="10"/>
        <color rgb="FF1F2A28"/>
        <rFont val="WenQuanYi Zen Hei"/>
        <family val="2"/>
      </rPr>
      <t xml:space="preserve">號</t>
    </r>
  </si>
  <si>
    <t xml:space="preserve">(08)7216192</t>
  </si>
  <si>
    <t xml:space="preserve">2009-09-08</t>
  </si>
  <si>
    <t xml:space="preserve">李慧文</t>
  </si>
  <si>
    <t xml:space="preserve">屏東縣私立捷思美語文理短期補習班</t>
  </si>
  <si>
    <r>
      <rPr>
        <sz val="10"/>
        <color rgb="FF1F2A28"/>
        <rFont val="WenQuanYi Zen Hei"/>
        <family val="2"/>
      </rPr>
      <t xml:space="preserve">屏東縣東港鎮新興二街</t>
    </r>
    <r>
      <rPr>
        <sz val="10"/>
        <color rgb="FF1F2A28"/>
        <rFont val="Arial"/>
        <family val="0"/>
        <charset val="1"/>
      </rPr>
      <t xml:space="preserve">45</t>
    </r>
    <r>
      <rPr>
        <sz val="10"/>
        <color rgb="FF1F2A28"/>
        <rFont val="WenQuanYi Zen Hei"/>
        <family val="2"/>
      </rPr>
      <t xml:space="preserve">號</t>
    </r>
  </si>
  <si>
    <t xml:space="preserve">0920140191</t>
  </si>
  <si>
    <t xml:space="preserve">aa0933623336@gmail.com</t>
  </si>
  <si>
    <t xml:space="preserve">2024-08-28</t>
  </si>
  <si>
    <t xml:space="preserve">莊千儀</t>
  </si>
  <si>
    <r>
      <rPr>
        <sz val="10"/>
        <color rgb="FF1F2A28"/>
        <rFont val="WenQuanYi Zen Hei"/>
        <family val="2"/>
      </rPr>
      <t xml:space="preserve">屏東縣私立文森文理短期補習班</t>
    </r>
    <r>
      <rPr>
        <sz val="10"/>
        <color rgb="FF1F2A28"/>
        <rFont val="Arial"/>
        <family val="0"/>
        <charset val="1"/>
      </rPr>
      <t xml:space="preserve">(</t>
    </r>
    <r>
      <rPr>
        <sz val="10"/>
        <color rgb="FF1F2A28"/>
        <rFont val="WenQuanYi Zen Hei"/>
        <family val="2"/>
      </rPr>
      <t xml:space="preserve">原瑞比特文森</t>
    </r>
    <r>
      <rPr>
        <sz val="10"/>
        <color rgb="FF1F2A28"/>
        <rFont val="Arial"/>
        <family val="0"/>
        <charset val="1"/>
      </rPr>
      <t xml:space="preserve">)</t>
    </r>
  </si>
  <si>
    <r>
      <rPr>
        <sz val="10"/>
        <color rgb="FF1F2A28"/>
        <rFont val="WenQuanYi Zen Hei"/>
        <family val="2"/>
      </rPr>
      <t xml:space="preserve">屏東縣內埔鄉東寧村勝利路</t>
    </r>
    <r>
      <rPr>
        <sz val="10"/>
        <color rgb="FF1F2A28"/>
        <rFont val="Arial"/>
        <family val="0"/>
        <charset val="1"/>
      </rPr>
      <t xml:space="preserve">258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</si>
  <si>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(08)7782015</t>
  </si>
  <si>
    <t xml:space="preserve">2005-02-02</t>
  </si>
  <si>
    <t xml:space="preserve">湯捷恩</t>
  </si>
  <si>
    <t xml:space="preserve">屏東縣私立新道和美語文理短期補習班</t>
  </si>
  <si>
    <r>
      <rPr>
        <sz val="10"/>
        <color rgb="FF1F2A28"/>
        <rFont val="WenQuanYi Zen Hei"/>
        <family val="2"/>
      </rPr>
      <t xml:space="preserve">屏東縣東港鎮光復路一段</t>
    </r>
    <r>
      <rPr>
        <sz val="10"/>
        <color rgb="FF1F2A28"/>
        <rFont val="Arial"/>
        <family val="0"/>
        <charset val="1"/>
      </rPr>
      <t xml:space="preserve">258</t>
    </r>
    <r>
      <rPr>
        <sz val="10"/>
        <color rgb="FF1F2A28"/>
        <rFont val="WenQuanYi Zen Hei"/>
        <family val="2"/>
      </rPr>
      <t xml:space="preserve">號</t>
    </r>
  </si>
  <si>
    <t xml:space="preserve">(08)8333825</t>
  </si>
  <si>
    <t xml:space="preserve">2013-11-06</t>
  </si>
  <si>
    <t xml:space="preserve">吳峙霆</t>
  </si>
  <si>
    <t xml:space="preserve">屏東縣私立日昇美語文理短期補習班</t>
  </si>
  <si>
    <r>
      <rPr>
        <sz val="10"/>
        <color rgb="FF1F2A28"/>
        <rFont val="WenQuanYi Zen Hei"/>
        <family val="2"/>
      </rPr>
      <t xml:space="preserve">屏東縣嵌頂鄉力社村舊店路</t>
    </r>
    <r>
      <rPr>
        <sz val="10"/>
        <color rgb="FF1F2A28"/>
        <rFont val="Arial"/>
        <family val="0"/>
        <charset val="1"/>
      </rPr>
      <t xml:space="preserve">1-22</t>
    </r>
    <r>
      <rPr>
        <sz val="10"/>
        <color rgb="FF1F2A28"/>
        <rFont val="WenQuanYi Zen Hei"/>
        <family val="2"/>
      </rPr>
      <t xml:space="preserve">號</t>
    </r>
  </si>
  <si>
    <t xml:space="preserve">0938908536/8633545</t>
  </si>
  <si>
    <t xml:space="preserve">鄞秋燕</t>
  </si>
  <si>
    <t xml:space="preserve">屏東縣私立普拉斯美語文理短期補習班</t>
  </si>
  <si>
    <r>
      <rPr>
        <sz val="10"/>
        <color rgb="FF1F2A28"/>
        <rFont val="WenQuanYi Zen Hei"/>
        <family val="2"/>
      </rPr>
      <t xml:space="preserve">屏東縣潮州鎮永康街</t>
    </r>
    <r>
      <rPr>
        <sz val="10"/>
        <color rgb="FF1F2A28"/>
        <rFont val="Arial"/>
        <family val="0"/>
        <charset val="1"/>
      </rPr>
      <t xml:space="preserve">60</t>
    </r>
    <r>
      <rPr>
        <sz val="10"/>
        <color rgb="FF1F2A28"/>
        <rFont val="WenQuanYi Zen Hei"/>
        <family val="2"/>
      </rPr>
      <t xml:space="preserve">號</t>
    </r>
  </si>
  <si>
    <t xml:space="preserve">(08)7801456</t>
  </si>
  <si>
    <t xml:space="preserve">linnjesus@gmail.com</t>
  </si>
  <si>
    <t xml:space="preserve">林書輝</t>
  </si>
  <si>
    <t xml:space="preserve">屏東縣私立智佳文理短期補習班</t>
  </si>
  <si>
    <r>
      <rPr>
        <sz val="10"/>
        <color rgb="FF1F2A28"/>
        <rFont val="WenQuanYi Zen Hei"/>
        <family val="2"/>
      </rPr>
      <t xml:space="preserve">屏東縣里港鄉玉田村勝利路</t>
    </r>
    <r>
      <rPr>
        <sz val="10"/>
        <color rgb="FF1F2A28"/>
        <rFont val="Arial"/>
        <family val="0"/>
        <charset val="1"/>
      </rPr>
      <t xml:space="preserve">47</t>
    </r>
    <r>
      <rPr>
        <sz val="10"/>
        <color rgb="FF1F2A28"/>
        <rFont val="WenQuanYi Zen Hei"/>
        <family val="2"/>
      </rPr>
      <t xml:space="preserve">號</t>
    </r>
  </si>
  <si>
    <t xml:space="preserve">08-7750099</t>
  </si>
  <si>
    <t xml:space="preserve">jj7750099@gmail.com</t>
  </si>
  <si>
    <t xml:space="preserve">林瑞泉</t>
  </si>
  <si>
    <t xml:space="preserve">屏東縣私立杏儒美語文理短期補習班</t>
  </si>
  <si>
    <r>
      <rPr>
        <sz val="10"/>
        <color rgb="FF1F2A28"/>
        <rFont val="WenQuanYi Zen Hei"/>
        <family val="2"/>
      </rPr>
      <t xml:space="preserve">屏東縣鹽埔鄉維新路</t>
    </r>
    <r>
      <rPr>
        <sz val="10"/>
        <color rgb="FF1F2A28"/>
        <rFont val="Arial"/>
        <family val="0"/>
        <charset val="1"/>
      </rPr>
      <t xml:space="preserve">197-1</t>
    </r>
    <r>
      <rPr>
        <sz val="10"/>
        <color rgb="FF1F2A28"/>
        <rFont val="WenQuanYi Zen Hei"/>
        <family val="2"/>
      </rPr>
      <t xml:space="preserve">號</t>
    </r>
  </si>
  <si>
    <t xml:space="preserve">(08)7939066</t>
  </si>
  <si>
    <t xml:space="preserve">hsu0121@gmail.com</t>
  </si>
  <si>
    <t xml:space="preserve">2005-11-17</t>
  </si>
  <si>
    <t xml:space="preserve">曾惠蜜</t>
  </si>
  <si>
    <t xml:space="preserve">屏東縣私立林旻美語文理短期補習班</t>
  </si>
  <si>
    <r>
      <rPr>
        <sz val="10"/>
        <color rgb="FF1F2A28"/>
        <rFont val="WenQuanYi Zen Hei"/>
        <family val="2"/>
      </rPr>
      <t xml:space="preserve">屏東縣高樹鄉南興路</t>
    </r>
    <r>
      <rPr>
        <sz val="10"/>
        <color rgb="FF1F2A28"/>
        <rFont val="Arial"/>
        <family val="0"/>
        <charset val="1"/>
      </rPr>
      <t xml:space="preserve">74-7</t>
    </r>
    <r>
      <rPr>
        <sz val="10"/>
        <color rgb="FF1F2A28"/>
        <rFont val="WenQuanYi Zen Hei"/>
        <family val="2"/>
      </rPr>
      <t xml:space="preserve">號</t>
    </r>
  </si>
  <si>
    <t xml:space="preserve">0928170292</t>
  </si>
  <si>
    <t xml:space="preserve">林筱菁</t>
  </si>
  <si>
    <t xml:space="preserve">屏東縣私立桃樂思美語短期補習班</t>
  </si>
  <si>
    <r>
      <rPr>
        <sz val="10"/>
        <color rgb="FF1F2A28"/>
        <rFont val="WenQuanYi Zen Hei"/>
        <family val="2"/>
      </rPr>
      <t xml:space="preserve">屏東縣潮州鎮中洲路</t>
    </r>
    <r>
      <rPr>
        <sz val="10"/>
        <color rgb="FF1F2A28"/>
        <rFont val="Arial"/>
        <family val="0"/>
        <charset val="1"/>
      </rPr>
      <t xml:space="preserve">128.130</t>
    </r>
    <r>
      <rPr>
        <sz val="10"/>
        <color rgb="FF1F2A28"/>
        <rFont val="WenQuanYi Zen Hei"/>
        <family val="2"/>
      </rPr>
      <t xml:space="preserve">號</t>
    </r>
  </si>
  <si>
    <t xml:space="preserve">08-7805390</t>
  </si>
  <si>
    <t xml:space="preserve">tin.tsai@msa.hinet.net</t>
  </si>
  <si>
    <t xml:space="preserve">蔡馬丁</t>
  </si>
  <si>
    <t xml:space="preserve">蔡蓓旋</t>
  </si>
  <si>
    <t xml:space="preserve">屏東縣私立欣陽美語文理短期補習班</t>
  </si>
  <si>
    <r>
      <rPr>
        <sz val="10"/>
        <color rgb="FF1F2A28"/>
        <rFont val="WenQuanYi Zen Hei"/>
        <family val="2"/>
      </rPr>
      <t xml:space="preserve">屏東縣高樹鄉高樹村華光路</t>
    </r>
    <r>
      <rPr>
        <sz val="10"/>
        <color rgb="FF1F2A28"/>
        <rFont val="Arial"/>
        <family val="0"/>
        <charset val="1"/>
      </rPr>
      <t xml:space="preserve">50-2</t>
    </r>
    <r>
      <rPr>
        <sz val="10"/>
        <color rgb="FF1F2A28"/>
        <rFont val="WenQuanYi Zen Hei"/>
        <family val="2"/>
      </rPr>
      <t xml:space="preserve">號</t>
    </r>
  </si>
  <si>
    <t xml:space="preserve">087967000</t>
  </si>
  <si>
    <t xml:space="preserve">sunkids7000@gmail.com</t>
  </si>
  <si>
    <t xml:space="preserve">吳豐佳</t>
  </si>
  <si>
    <t xml:space="preserve">屏東縣私立永勝美語短期補習班</t>
  </si>
  <si>
    <r>
      <rPr>
        <sz val="10"/>
        <color rgb="FF1F2A28"/>
        <rFont val="WenQuanYi Zen Hei"/>
        <family val="2"/>
      </rPr>
      <t xml:space="preserve">屏東縣佳冬鄉塭豐村塭田路</t>
    </r>
    <r>
      <rPr>
        <sz val="10"/>
        <color rgb="FF1F2A28"/>
        <rFont val="Arial"/>
        <family val="0"/>
        <charset val="1"/>
      </rPr>
      <t xml:space="preserve">236</t>
    </r>
    <r>
      <rPr>
        <sz val="10"/>
        <color rgb="FF1F2A28"/>
        <rFont val="WenQuanYi Zen Hei"/>
        <family val="2"/>
      </rPr>
      <t xml:space="preserve">號</t>
    </r>
  </si>
  <si>
    <t xml:space="preserve">(08)8662046</t>
  </si>
  <si>
    <t xml:space="preserve">謝月玲</t>
  </si>
  <si>
    <t xml:space="preserve">謝幸娟</t>
  </si>
  <si>
    <t xml:space="preserve">屏東縣私立洋學堂文理短期補習班</t>
  </si>
  <si>
    <r>
      <rPr>
        <sz val="10"/>
        <color rgb="FF1F2A28"/>
        <rFont val="WenQuanYi Zen Hei"/>
        <family val="2"/>
      </rPr>
      <t xml:space="preserve">屏東縣潮州鎮三共里北門路</t>
    </r>
    <r>
      <rPr>
        <sz val="10"/>
        <color rgb="FF1F2A28"/>
        <rFont val="Arial"/>
        <family val="0"/>
        <charset val="1"/>
      </rPr>
      <t xml:space="preserve">137</t>
    </r>
    <r>
      <rPr>
        <sz val="10"/>
        <color rgb="FF1F2A28"/>
        <rFont val="WenQuanYi Zen Hei"/>
        <family val="2"/>
      </rPr>
      <t xml:space="preserve">號</t>
    </r>
  </si>
  <si>
    <t xml:space="preserve">(08)7890218</t>
  </si>
  <si>
    <t xml:space="preserve">黃國強</t>
  </si>
  <si>
    <t xml:space="preserve">葉靈音</t>
  </si>
  <si>
    <t xml:space="preserve">屏東縣私立洪老師美語文理短期補習班</t>
  </si>
  <si>
    <r>
      <rPr>
        <sz val="10"/>
        <color rgb="FF1F2A28"/>
        <rFont val="WenQuanYi Zen Hei"/>
        <family val="2"/>
      </rPr>
      <t xml:space="preserve">屏東縣潮州鎮中洲路</t>
    </r>
    <r>
      <rPr>
        <sz val="10"/>
        <color rgb="FF1F2A28"/>
        <rFont val="Arial"/>
        <family val="0"/>
        <charset val="1"/>
      </rPr>
      <t xml:space="preserve">149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</si>
  <si>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(08)780-3179</t>
  </si>
  <si>
    <t xml:space="preserve">ingalike@yahoo.com.tw</t>
  </si>
  <si>
    <t xml:space="preserve">洪美芬</t>
  </si>
  <si>
    <t xml:space="preserve">劉冠吟</t>
  </si>
  <si>
    <t xml:space="preserve">屏東縣私立漢東文理美語短期補習班</t>
  </si>
  <si>
    <t xml:space="preserve">屏東縣長治鄉繁華村南華街六號</t>
  </si>
  <si>
    <t xml:space="preserve">(08)7625329</t>
  </si>
  <si>
    <t xml:space="preserve">陳坤正</t>
  </si>
  <si>
    <t xml:space="preserve">鄭麗珊</t>
  </si>
  <si>
    <t xml:space="preserve">屏東縣私立王老師美語文理短期補習班</t>
  </si>
  <si>
    <r>
      <rPr>
        <sz val="10"/>
        <color rgb="FF1F2A28"/>
        <rFont val="WenQuanYi Zen Hei"/>
        <family val="2"/>
      </rPr>
      <t xml:space="preserve">屏東縣新園鄉中洲村仁愛路</t>
    </r>
    <r>
      <rPr>
        <sz val="10"/>
        <color rgb="FF1F2A28"/>
        <rFont val="Arial"/>
        <family val="0"/>
        <charset val="1"/>
      </rPr>
      <t xml:space="preserve">33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</si>
  <si>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(08)8335951</t>
  </si>
  <si>
    <t xml:space="preserve">2009-07-09</t>
  </si>
  <si>
    <t xml:space="preserve">林堂傑</t>
  </si>
  <si>
    <t xml:space="preserve">林靜靜</t>
  </si>
  <si>
    <t xml:space="preserve">屏東縣私立百研文理短期補習班</t>
  </si>
  <si>
    <r>
      <rPr>
        <sz val="10"/>
        <color rgb="FF1F2A28"/>
        <rFont val="WenQuanYi Zen Hei"/>
        <family val="2"/>
      </rPr>
      <t xml:space="preserve">屏東縣東港鎮新勝街</t>
    </r>
    <r>
      <rPr>
        <sz val="10"/>
        <color rgb="FF1F2A28"/>
        <rFont val="Arial"/>
        <family val="0"/>
        <charset val="1"/>
      </rPr>
      <t xml:space="preserve">62</t>
    </r>
    <r>
      <rPr>
        <sz val="10"/>
        <color rgb="FF1F2A28"/>
        <rFont val="WenQuanYi Zen Hei"/>
        <family val="2"/>
      </rPr>
      <t xml:space="preserve">巷</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</si>
  <si>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(08)832-1131</t>
  </si>
  <si>
    <t xml:space="preserve">洪瑞良</t>
  </si>
  <si>
    <t xml:space="preserve">賴昭如</t>
  </si>
  <si>
    <t xml:space="preserve">屏東縣私立盧老師珠心算文理美語短期補習班</t>
  </si>
  <si>
    <r>
      <rPr>
        <sz val="10"/>
        <color rgb="FF1F2A28"/>
        <rFont val="WenQuanYi Zen Hei"/>
        <family val="2"/>
      </rPr>
      <t xml:space="preserve">屏東縣新園鄉鹽港路</t>
    </r>
    <r>
      <rPr>
        <sz val="10"/>
        <color rgb="FF1F2A28"/>
        <rFont val="Arial"/>
        <family val="0"/>
        <charset val="1"/>
      </rPr>
      <t xml:space="preserve">55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</si>
  <si>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(08)8310719</t>
  </si>
  <si>
    <t xml:space="preserve">erinhsu0423@gmail.com</t>
  </si>
  <si>
    <t xml:space="preserve">2005-02-14</t>
  </si>
  <si>
    <t xml:space="preserve">盧英花</t>
  </si>
  <si>
    <t xml:space="preserve">徐麗如</t>
  </si>
  <si>
    <t xml:space="preserve">屏東縣私立相君才藝文理短期補習班</t>
  </si>
  <si>
    <r>
      <rPr>
        <sz val="10"/>
        <color rgb="FF1F2A28"/>
        <rFont val="WenQuanYi Zen Hei"/>
        <family val="2"/>
      </rPr>
      <t xml:space="preserve">屏東縣恆春鎮城北里新興路</t>
    </r>
    <r>
      <rPr>
        <sz val="10"/>
        <color rgb="FF1F2A28"/>
        <rFont val="Arial"/>
        <family val="0"/>
        <charset val="1"/>
      </rPr>
      <t xml:space="preserve">66</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號</t>
    </r>
  </si>
  <si>
    <t xml:space="preserve">0988873030</t>
  </si>
  <si>
    <t xml:space="preserve">2026-08-18</t>
  </si>
  <si>
    <t xml:space="preserve">劉相君</t>
  </si>
  <si>
    <t xml:space="preserve">屏東縣私立科宏美語文理短期補習班</t>
  </si>
  <si>
    <r>
      <rPr>
        <sz val="10"/>
        <color rgb="FF1F2A28"/>
        <rFont val="WenQuanYi Zen Hei"/>
        <family val="2"/>
      </rPr>
      <t xml:space="preserve">屏東縣萬丹鄉萬壽路二段</t>
    </r>
    <r>
      <rPr>
        <sz val="10"/>
        <color rgb="FF1F2A28"/>
        <rFont val="Arial"/>
        <family val="0"/>
        <charset val="1"/>
      </rPr>
      <t xml:space="preserve">245</t>
    </r>
    <r>
      <rPr>
        <sz val="10"/>
        <color rgb="FF1F2A28"/>
        <rFont val="WenQuanYi Zen Hei"/>
        <family val="2"/>
      </rPr>
      <t xml:space="preserve">號</t>
    </r>
  </si>
  <si>
    <t xml:space="preserve">776-0933</t>
  </si>
  <si>
    <t xml:space="preserve">2009-09-24</t>
  </si>
  <si>
    <t xml:space="preserve">覃業正</t>
  </si>
  <si>
    <t xml:space="preserve">蔡惠櫻</t>
  </si>
  <si>
    <t xml:space="preserve">屏東縣私立立勝文理美語短期補習班</t>
  </si>
  <si>
    <r>
      <rPr>
        <sz val="10"/>
        <color rgb="FF1F2A28"/>
        <rFont val="WenQuanYi Zen Hei"/>
        <family val="2"/>
      </rPr>
      <t xml:space="preserve">屏東縣鹽埔鄉維新路</t>
    </r>
    <r>
      <rPr>
        <sz val="10"/>
        <color rgb="FF1F2A28"/>
        <rFont val="Arial"/>
        <family val="0"/>
        <charset val="1"/>
      </rPr>
      <t xml:space="preserve">211-6</t>
    </r>
    <r>
      <rPr>
        <sz val="10"/>
        <color rgb="FF1F2A28"/>
        <rFont val="WenQuanYi Zen Hei"/>
        <family val="2"/>
      </rPr>
      <t xml:space="preserve">號</t>
    </r>
  </si>
  <si>
    <t xml:space="preserve">(08)7937159</t>
  </si>
  <si>
    <t xml:space="preserve">2009-02-02</t>
  </si>
  <si>
    <t xml:space="preserve">柯明福</t>
  </si>
  <si>
    <t xml:space="preserve">王淑麗</t>
  </si>
  <si>
    <t xml:space="preserve">屏東縣私立紐約派美語短期補習班</t>
  </si>
  <si>
    <r>
      <rPr>
        <sz val="10"/>
        <color rgb="FF1F2A28"/>
        <rFont val="WenQuanYi Zen Hei"/>
        <family val="2"/>
      </rPr>
      <t xml:space="preserve">屏東縣恆春鎮北門路</t>
    </r>
    <r>
      <rPr>
        <sz val="10"/>
        <color rgb="FF1F2A28"/>
        <rFont val="Arial"/>
        <family val="0"/>
        <charset val="1"/>
      </rPr>
      <t xml:space="preserve">174</t>
    </r>
    <r>
      <rPr>
        <sz val="10"/>
        <color rgb="FF1F2A28"/>
        <rFont val="WenQuanYi Zen Hei"/>
        <family val="2"/>
      </rPr>
      <t xml:space="preserve">巷</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</si>
  <si>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(08)8881001</t>
  </si>
  <si>
    <t xml:space="preserve">2011-01-19</t>
  </si>
  <si>
    <t xml:space="preserve">張怡</t>
  </si>
  <si>
    <t xml:space="preserve">屏東縣私立羅氏美語短期補習班</t>
  </si>
  <si>
    <r>
      <rPr>
        <sz val="10"/>
        <color rgb="FF1F2A28"/>
        <rFont val="WenQuanYi Zen Hei"/>
        <family val="2"/>
      </rPr>
      <t xml:space="preserve">屏東縣東港鎮水源路</t>
    </r>
    <r>
      <rPr>
        <sz val="10"/>
        <color rgb="FF1F2A28"/>
        <rFont val="Arial"/>
        <family val="0"/>
        <charset val="1"/>
      </rPr>
      <t xml:space="preserve">28</t>
    </r>
    <r>
      <rPr>
        <sz val="10"/>
        <color rgb="FF1F2A28"/>
        <rFont val="WenQuanYi Zen Hei"/>
        <family val="2"/>
      </rPr>
      <t xml:space="preserve">號</t>
    </r>
  </si>
  <si>
    <t xml:space="preserve">(08)8310532</t>
  </si>
  <si>
    <t xml:space="preserve">蔡榮惠</t>
  </si>
  <si>
    <t xml:space="preserve">屏東縣私立美的學園美語短期補習班</t>
  </si>
  <si>
    <r>
      <rPr>
        <sz val="10"/>
        <color rgb="FF1F2A28"/>
        <rFont val="WenQuanYi Zen Hei"/>
        <family val="2"/>
      </rPr>
      <t xml:space="preserve">屏東縣嵌頂鄉嵌頂村中正路</t>
    </r>
    <r>
      <rPr>
        <sz val="10"/>
        <color rgb="FF1F2A28"/>
        <rFont val="Arial"/>
        <family val="0"/>
        <charset val="1"/>
      </rPr>
      <t xml:space="preserve">2-7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</si>
  <si>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(08)8630807 / 0920688746</t>
  </si>
  <si>
    <t xml:space="preserve">cindy80033@gmail.com</t>
  </si>
  <si>
    <t xml:space="preserve">2010-05-19</t>
  </si>
  <si>
    <t xml:space="preserve">劉惠美</t>
  </si>
  <si>
    <t xml:space="preserve">陳桂英</t>
  </si>
  <si>
    <t xml:space="preserve">屏東縣私立肯特美語文理短期補習班</t>
  </si>
  <si>
    <r>
      <rPr>
        <sz val="10"/>
        <color rgb="FF1F2A28"/>
        <rFont val="WenQuanYi Zen Hei"/>
        <family val="2"/>
      </rPr>
      <t xml:space="preserve">屏東縣鹽埔鄉鹽中村民族路</t>
    </r>
    <r>
      <rPr>
        <sz val="10"/>
        <color rgb="FF1F2A28"/>
        <rFont val="Arial"/>
        <family val="0"/>
        <charset val="1"/>
      </rPr>
      <t xml:space="preserve">6</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</si>
  <si>
    <t xml:space="preserve">(08)7932028</t>
  </si>
  <si>
    <t xml:space="preserve">林宇欣</t>
  </si>
  <si>
    <t xml:space="preserve">屏東縣私立育人美語文理短期補習班</t>
  </si>
  <si>
    <r>
      <rPr>
        <sz val="10"/>
        <color rgb="FF1F2A28"/>
        <rFont val="WenQuanYi Zen Hei"/>
        <family val="2"/>
      </rPr>
      <t xml:space="preserve">屏東縣新園鄉仙吉路</t>
    </r>
    <r>
      <rPr>
        <sz val="10"/>
        <color rgb="FF1F2A28"/>
        <rFont val="Arial"/>
        <family val="0"/>
        <charset val="1"/>
      </rPr>
      <t xml:space="preserve">143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</si>
  <si>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(08)8686963</t>
  </si>
  <si>
    <t xml:space="preserve">vic1531@yahoo.com.tw</t>
  </si>
  <si>
    <t xml:space="preserve">2011-08-31</t>
  </si>
  <si>
    <t xml:space="preserve">劉啟正</t>
  </si>
  <si>
    <t xml:space="preserve">屏東縣私立艾林文理美語短期補習班</t>
  </si>
  <si>
    <r>
      <rPr>
        <sz val="10"/>
        <color rgb="FF1F2A28"/>
        <rFont val="WenQuanYi Zen Hei"/>
        <family val="2"/>
      </rPr>
      <t xml:space="preserve">屏東縣新園鄉新厝路</t>
    </r>
    <r>
      <rPr>
        <sz val="10"/>
        <color rgb="FF1F2A28"/>
        <rFont val="Arial"/>
        <family val="0"/>
        <charset val="1"/>
      </rPr>
      <t xml:space="preserve">96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</si>
  <si>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(08)868-7292</t>
  </si>
  <si>
    <t xml:space="preserve">chenirene0124@gmail.com</t>
  </si>
  <si>
    <t xml:space="preserve">陳姵綸</t>
  </si>
  <si>
    <t xml:space="preserve">屏東縣私立莘苑美語短期補習班</t>
  </si>
  <si>
    <r>
      <rPr>
        <sz val="10"/>
        <color rgb="FF1F2A28"/>
        <rFont val="WenQuanYi Zen Hei"/>
        <family val="2"/>
      </rPr>
      <t xml:space="preserve">屏東縣東港鎮船頭里水源路</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</si>
  <si>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(09)21587584</t>
  </si>
  <si>
    <t xml:space="preserve">ritafang0411@gmail.com</t>
  </si>
  <si>
    <t xml:space="preserve">方儀仙</t>
  </si>
  <si>
    <t xml:space="preserve">屏東縣私立藍老師美語短期補習班</t>
  </si>
  <si>
    <r>
      <rPr>
        <sz val="10"/>
        <color rgb="FF1F2A28"/>
        <rFont val="WenQuanYi Zen Hei"/>
        <family val="2"/>
      </rPr>
      <t xml:space="preserve">屏東縣東港鎮新基街</t>
    </r>
    <r>
      <rPr>
        <sz val="10"/>
        <color rgb="FF1F2A28"/>
        <rFont val="Arial"/>
        <family val="0"/>
        <charset val="1"/>
      </rPr>
      <t xml:space="preserve">101</t>
    </r>
    <r>
      <rPr>
        <sz val="10"/>
        <color rgb="FF1F2A28"/>
        <rFont val="WenQuanYi Zen Hei"/>
        <family val="2"/>
      </rPr>
      <t xml:space="preserve">號</t>
    </r>
  </si>
  <si>
    <t xml:space="preserve">(08)8334096</t>
  </si>
  <si>
    <t xml:space="preserve">shouyuan@yahoo.com</t>
  </si>
  <si>
    <t xml:space="preserve">藍绣玉</t>
  </si>
  <si>
    <t xml:space="preserve">屏東縣私立西格瑪美語文理短期補習班</t>
  </si>
  <si>
    <r>
      <rPr>
        <sz val="10"/>
        <color rgb="FF1F2A28"/>
        <rFont val="WenQuanYi Zen Hei"/>
        <family val="2"/>
      </rPr>
      <t xml:space="preserve">屏東縣里港鄉大平村信義路</t>
    </r>
    <r>
      <rPr>
        <sz val="10"/>
        <color rgb="FF1F2A28"/>
        <rFont val="Arial"/>
        <family val="0"/>
        <charset val="1"/>
      </rPr>
      <t xml:space="preserve">24</t>
    </r>
    <r>
      <rPr>
        <sz val="10"/>
        <color rgb="FF1F2A28"/>
        <rFont val="WenQuanYi Zen Hei"/>
        <family val="2"/>
      </rPr>
      <t xml:space="preserve">號</t>
    </r>
  </si>
  <si>
    <t xml:space="preserve">(08)7361266</t>
  </si>
  <si>
    <t xml:space="preserve">2008-11-13</t>
  </si>
  <si>
    <t xml:space="preserve">屏東縣私立言一美語文理短期補習班</t>
  </si>
  <si>
    <r>
      <rPr>
        <sz val="10"/>
        <color rgb="FF1F2A28"/>
        <rFont val="WenQuanYi Zen Hei"/>
        <family val="2"/>
      </rPr>
      <t xml:space="preserve">屏東縣里港鄉土庫村南興路</t>
    </r>
    <r>
      <rPr>
        <sz val="10"/>
        <color rgb="FF1F2A28"/>
        <rFont val="Arial"/>
        <family val="0"/>
        <charset val="1"/>
      </rPr>
      <t xml:space="preserve">6</t>
    </r>
    <r>
      <rPr>
        <sz val="10"/>
        <color rgb="FF1F2A28"/>
        <rFont val="WenQuanYi Zen Hei"/>
        <family val="2"/>
      </rPr>
      <t xml:space="preserve">之</t>
    </r>
    <r>
      <rPr>
        <sz val="10"/>
        <color rgb="FF1F2A28"/>
        <rFont val="Arial"/>
        <family val="0"/>
        <charset val="1"/>
      </rPr>
      <t xml:space="preserve">9</t>
    </r>
    <r>
      <rPr>
        <sz val="10"/>
        <color rgb="FF1F2A28"/>
        <rFont val="WenQuanYi Zen Hei"/>
        <family val="2"/>
      </rPr>
      <t xml:space="preserve">號</t>
    </r>
  </si>
  <si>
    <t xml:space="preserve">(08)7734196</t>
  </si>
  <si>
    <t xml:space="preserve">jenny0932753793@yahoo.com.tw</t>
  </si>
  <si>
    <t xml:space="preserve">胡美綋</t>
  </si>
  <si>
    <t xml:space="preserve">屏東縣私立貝特貝爾美語短期補習班</t>
  </si>
  <si>
    <r>
      <rPr>
        <sz val="10"/>
        <color rgb="FF1F2A28"/>
        <rFont val="WenQuanYi Zen Hei"/>
        <family val="2"/>
      </rPr>
      <t xml:space="preserve">屏東縣東港鎮明禮路</t>
    </r>
    <r>
      <rPr>
        <sz val="10"/>
        <color rgb="FF1F2A28"/>
        <rFont val="Arial"/>
        <family val="0"/>
        <charset val="1"/>
      </rPr>
      <t xml:space="preserve">38</t>
    </r>
    <r>
      <rPr>
        <sz val="10"/>
        <color rgb="FF1F2A28"/>
        <rFont val="WenQuanYi Zen Hei"/>
        <family val="2"/>
      </rPr>
      <t xml:space="preserve">巷</t>
    </r>
    <r>
      <rPr>
        <sz val="10"/>
        <color rgb="FF1F2A28"/>
        <rFont val="Arial"/>
        <family val="0"/>
        <charset val="1"/>
      </rPr>
      <t xml:space="preserve">12</t>
    </r>
    <r>
      <rPr>
        <sz val="10"/>
        <color rgb="FF1F2A28"/>
        <rFont val="WenQuanYi Zen Hei"/>
        <family val="2"/>
      </rPr>
      <t xml:space="preserve">號</t>
    </r>
  </si>
  <si>
    <t xml:space="preserve">(08)8321958</t>
  </si>
  <si>
    <t xml:space="preserve">2008-06-10</t>
  </si>
  <si>
    <t xml:space="preserve">楊瑞真</t>
  </si>
  <si>
    <t xml:space="preserve">屏東縣私立超優美語文理短期補習班</t>
  </si>
  <si>
    <r>
      <rPr>
        <sz val="10"/>
        <color rgb="FF1F2A28"/>
        <rFont val="WenQuanYi Zen Hei"/>
        <family val="2"/>
      </rPr>
      <t xml:space="preserve">屏東縣枋寮鄉自強路</t>
    </r>
    <r>
      <rPr>
        <sz val="10"/>
        <color rgb="FF1F2A28"/>
        <rFont val="Arial"/>
        <family val="0"/>
        <charset val="1"/>
      </rPr>
      <t xml:space="preserve">88</t>
    </r>
    <r>
      <rPr>
        <sz val="10"/>
        <color rgb="FF1F2A28"/>
        <rFont val="WenQuanYi Zen Hei"/>
        <family val="2"/>
      </rPr>
      <t xml:space="preserve">號</t>
    </r>
  </si>
  <si>
    <t xml:space="preserve">(08)8711480</t>
  </si>
  <si>
    <t xml:space="preserve">helenmanx@yahoo.com.tw</t>
  </si>
  <si>
    <t xml:space="preserve">陳沛旻</t>
  </si>
  <si>
    <t xml:space="preserve">林金品</t>
  </si>
  <si>
    <t xml:space="preserve">屏東縣私立路比美語美術短期補習班</t>
  </si>
  <si>
    <r>
      <rPr>
        <sz val="10"/>
        <color rgb="FF1F2A28"/>
        <rFont val="WenQuanYi Zen Hei"/>
        <family val="2"/>
      </rPr>
      <t xml:space="preserve">屏東縣內埔鄉自強路</t>
    </r>
    <r>
      <rPr>
        <sz val="10"/>
        <color rgb="FF1F2A28"/>
        <rFont val="Arial"/>
        <family val="0"/>
        <charset val="1"/>
      </rPr>
      <t xml:space="preserve">104</t>
    </r>
    <r>
      <rPr>
        <sz val="10"/>
        <color rgb="FF1F2A28"/>
        <rFont val="WenQuanYi Zen Hei"/>
        <family val="2"/>
      </rPr>
      <t xml:space="preserve">號</t>
    </r>
  </si>
  <si>
    <t xml:space="preserve">(08)7693456 / 0980315088</t>
  </si>
  <si>
    <t xml:space="preserve">2011-10-05</t>
  </si>
  <si>
    <t xml:space="preserve">屏東縣私立進階美語短期補習班</t>
  </si>
  <si>
    <r>
      <rPr>
        <sz val="10"/>
        <color rgb="FF1F2A28"/>
        <rFont val="WenQuanYi Zen Hei"/>
        <family val="2"/>
      </rPr>
      <t xml:space="preserve">屏東縣萬丹鄉下蚶路</t>
    </r>
    <r>
      <rPr>
        <sz val="10"/>
        <color rgb="FF1F2A28"/>
        <rFont val="Arial"/>
        <family val="0"/>
        <charset val="1"/>
      </rPr>
      <t xml:space="preserve">410</t>
    </r>
    <r>
      <rPr>
        <sz val="10"/>
        <color rgb="FF1F2A28"/>
        <rFont val="WenQuanYi Zen Hei"/>
        <family val="2"/>
      </rPr>
      <t xml:space="preserve">號</t>
    </r>
  </si>
  <si>
    <t xml:space="preserve">0938905183</t>
  </si>
  <si>
    <t xml:space="preserve">郭書婷</t>
  </si>
  <si>
    <t xml:space="preserve">屏東縣私立逸登科美語文理短期補習班</t>
  </si>
  <si>
    <r>
      <rPr>
        <sz val="10"/>
        <color rgb="FF1F2A28"/>
        <rFont val="WenQuanYi Zen Hei"/>
        <family val="2"/>
      </rPr>
      <t xml:space="preserve">屏東縣內埔鄉內埔村中興路</t>
    </r>
    <r>
      <rPr>
        <sz val="10"/>
        <color rgb="FF1F2A28"/>
        <rFont val="Arial"/>
        <family val="0"/>
        <charset val="1"/>
      </rPr>
      <t xml:space="preserve">178</t>
    </r>
    <r>
      <rPr>
        <sz val="10"/>
        <color rgb="FF1F2A28"/>
        <rFont val="WenQuanYi Zen Hei"/>
        <family val="2"/>
      </rPr>
      <t xml:space="preserve">號</t>
    </r>
  </si>
  <si>
    <t xml:space="preserve">(08)7788105</t>
  </si>
  <si>
    <t xml:space="preserve">2010-11-18</t>
  </si>
  <si>
    <t xml:space="preserve">林慈瓊</t>
  </si>
  <si>
    <t xml:space="preserve">屏東縣私立邦橋美語短期補習班</t>
  </si>
  <si>
    <r>
      <rPr>
        <sz val="10"/>
        <color rgb="FF1F2A28"/>
        <rFont val="WenQuanYi Zen Hei"/>
        <family val="2"/>
      </rPr>
      <t xml:space="preserve">屏東縣潮州鎮北門路</t>
    </r>
    <r>
      <rPr>
        <sz val="10"/>
        <color rgb="FF1F2A28"/>
        <rFont val="Arial"/>
        <family val="0"/>
        <charset val="1"/>
      </rPr>
      <t xml:space="preserve">16</t>
    </r>
    <r>
      <rPr>
        <sz val="10"/>
        <color rgb="FF1F2A28"/>
        <rFont val="WenQuanYi Zen Hei"/>
        <family val="2"/>
      </rPr>
      <t xml:space="preserve">號</t>
    </r>
  </si>
  <si>
    <t xml:space="preserve">08-789-2347</t>
  </si>
  <si>
    <t xml:space="preserve">azpnrc@ms5.hinet.net</t>
  </si>
  <si>
    <t xml:space="preserve">廖正儀</t>
  </si>
  <si>
    <t xml:space="preserve">屏東縣私立里僑美語短期補習班</t>
  </si>
  <si>
    <r>
      <rPr>
        <sz val="10"/>
        <color rgb="FF1F2A28"/>
        <rFont val="WenQuanYi Zen Hei"/>
        <family val="2"/>
      </rPr>
      <t xml:space="preserve">屏東縣里港鄉仁愛路</t>
    </r>
    <r>
      <rPr>
        <sz val="10"/>
        <color rgb="FF1F2A28"/>
        <rFont val="Arial"/>
        <family val="0"/>
        <charset val="1"/>
      </rPr>
      <t xml:space="preserve">79</t>
    </r>
    <r>
      <rPr>
        <sz val="10"/>
        <color rgb="FF1F2A28"/>
        <rFont val="WenQuanYi Zen Hei"/>
        <family val="2"/>
      </rPr>
      <t xml:space="preserve">號</t>
    </r>
  </si>
  <si>
    <t xml:space="preserve">08-7720977</t>
  </si>
  <si>
    <t xml:space="preserve">ligang@bels-tw.com</t>
  </si>
  <si>
    <t xml:space="preserve">2006-05-19</t>
  </si>
  <si>
    <t xml:space="preserve">屏東縣私立陛凱斯美語文理短期補習班</t>
  </si>
  <si>
    <r>
      <rPr>
        <sz val="10"/>
        <color rgb="FF1F2A28"/>
        <rFont val="WenQuanYi Zen Hei"/>
        <family val="2"/>
      </rPr>
      <t xml:space="preserve">屏東縣潮州鎮朝昇路</t>
    </r>
    <r>
      <rPr>
        <sz val="10"/>
        <color rgb="FF1F2A28"/>
        <rFont val="Arial"/>
        <family val="0"/>
        <charset val="1"/>
      </rPr>
      <t xml:space="preserve">314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</si>
  <si>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(08)7800020</t>
  </si>
  <si>
    <t xml:space="preserve">bctaiwan2015@gmail.com</t>
  </si>
  <si>
    <t xml:space="preserve">2020-09-01</t>
  </si>
  <si>
    <t xml:space="preserve">陳品儀</t>
  </si>
  <si>
    <t xml:space="preserve">屏東縣私立階梯美語文理短期補習班</t>
  </si>
  <si>
    <r>
      <rPr>
        <sz val="10"/>
        <color rgb="FF1F2A28"/>
        <rFont val="WenQuanYi Zen Hei"/>
        <family val="2"/>
      </rPr>
      <t xml:space="preserve">屏東縣恆春鎮省北路</t>
    </r>
    <r>
      <rPr>
        <sz val="10"/>
        <color rgb="FF1F2A28"/>
        <rFont val="Arial"/>
        <family val="0"/>
        <charset val="1"/>
      </rPr>
      <t xml:space="preserve">40</t>
    </r>
    <r>
      <rPr>
        <sz val="10"/>
        <color rgb="FF1F2A28"/>
        <rFont val="WenQuanYi Zen Hei"/>
        <family val="2"/>
      </rPr>
      <t xml:space="preserve">巷</t>
    </r>
    <r>
      <rPr>
        <sz val="10"/>
        <color rgb="FF1F2A28"/>
        <rFont val="Arial"/>
        <family val="0"/>
        <charset val="1"/>
      </rPr>
      <t xml:space="preserve">40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</si>
  <si>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8880728</t>
  </si>
  <si>
    <t xml:space="preserve">2020-09-10</t>
  </si>
  <si>
    <t xml:space="preserve">王進昇</t>
  </si>
  <si>
    <t xml:space="preserve">王宏凱</t>
  </si>
  <si>
    <t xml:space="preserve">屏東縣私立雨果美語短期補習班</t>
  </si>
  <si>
    <r>
      <rPr>
        <sz val="10"/>
        <color rgb="FF1F2A28"/>
        <rFont val="WenQuanYi Zen Hei"/>
        <family val="2"/>
      </rPr>
      <t xml:space="preserve">屏東縣林邊鄉仁和村和平路</t>
    </r>
    <r>
      <rPr>
        <sz val="10"/>
        <color rgb="FF1F2A28"/>
        <rFont val="Arial"/>
        <family val="0"/>
        <charset val="1"/>
      </rPr>
      <t xml:space="preserve">41-9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</si>
  <si>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08-8753340</t>
  </si>
  <si>
    <t xml:space="preserve">hugo20140715@gmail.com</t>
  </si>
  <si>
    <t xml:space="preserve">2014-10-24</t>
  </si>
  <si>
    <t xml:space="preserve">王之君</t>
  </si>
  <si>
    <t xml:space="preserve">林怡萱</t>
  </si>
  <si>
    <t xml:space="preserve">屏東縣私立領航美語短期補習班</t>
  </si>
  <si>
    <r>
      <rPr>
        <sz val="10"/>
        <color rgb="FF1F2A28"/>
        <rFont val="WenQuanYi Zen Hei"/>
        <family val="2"/>
      </rPr>
      <t xml:space="preserve">屏東縣潮州鎮愛國路</t>
    </r>
    <r>
      <rPr>
        <sz val="10"/>
        <color rgb="FF1F2A28"/>
        <rFont val="Arial"/>
        <family val="0"/>
        <charset val="1"/>
      </rPr>
      <t xml:space="preserve">46</t>
    </r>
    <r>
      <rPr>
        <sz val="10"/>
        <color rgb="FF1F2A28"/>
        <rFont val="WenQuanYi Zen Hei"/>
        <family val="2"/>
      </rPr>
      <t xml:space="preserve">號</t>
    </r>
  </si>
  <si>
    <t xml:space="preserve">(08)7889403</t>
  </si>
  <si>
    <t xml:space="preserve">王雅玲</t>
  </si>
  <si>
    <t xml:space="preserve">屏東縣私立高等美語文理短期補習班</t>
  </si>
  <si>
    <r>
      <rPr>
        <sz val="10"/>
        <color rgb="FF1F2A28"/>
        <rFont val="WenQuanYi Zen Hei"/>
        <family val="2"/>
      </rPr>
      <t xml:space="preserve">屏東縣萬丹鄉萬全村萬榮街</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</si>
  <si>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(08)7770209</t>
  </si>
  <si>
    <t xml:space="preserve">周美賢</t>
  </si>
  <si>
    <t xml:space="preserve">黃淑真</t>
  </si>
  <si>
    <t xml:space="preserve">屏東縣私立魔法園地英文短期補習班</t>
  </si>
  <si>
    <r>
      <rPr>
        <sz val="10"/>
        <color rgb="FF1F2A28"/>
        <rFont val="WenQuanYi Zen Hei"/>
        <family val="2"/>
      </rPr>
      <t xml:space="preserve">屏東縣嵌頂鄉園寮村南平巷</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</si>
  <si>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0930256609 / 0930259121</t>
  </si>
  <si>
    <t xml:space="preserve">oceaninfall8@gmail.com</t>
  </si>
  <si>
    <t xml:space="preserve">2015-02-10</t>
  </si>
  <si>
    <t xml:space="preserve">羅珮宸</t>
  </si>
  <si>
    <t xml:space="preserve">懷恩文理股份有限公司附設屏東縣私立懷恩文理短期補習班</t>
  </si>
  <si>
    <r>
      <rPr>
        <sz val="10"/>
        <color rgb="FF1F2A28"/>
        <rFont val="WenQuanYi Zen Hei"/>
        <family val="2"/>
      </rPr>
      <t xml:space="preserve">屏東縣恆春鎮城北里北門路</t>
    </r>
    <r>
      <rPr>
        <sz val="10"/>
        <color rgb="FF1F2A28"/>
        <rFont val="Arial"/>
        <family val="0"/>
        <charset val="1"/>
      </rPr>
      <t xml:space="preserve">68</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</si>
  <si>
    <t xml:space="preserve">(08)8883450</t>
  </si>
  <si>
    <t xml:space="preserve">2009-05-25</t>
  </si>
  <si>
    <t xml:space="preserve">陳建勳</t>
  </si>
  <si>
    <t xml:space="preserve">私立三易學習科技有限公司附設美語短期補習班</t>
  </si>
  <si>
    <r>
      <rPr>
        <sz val="10"/>
        <color rgb="FF1F2A28"/>
        <rFont val="WenQuanYi Zen Hei"/>
        <family val="2"/>
      </rPr>
      <t xml:space="preserve">屏東縣里港鄉過江村過江路</t>
    </r>
    <r>
      <rPr>
        <sz val="10"/>
        <color rgb="FF1F2A28"/>
        <rFont val="Arial"/>
        <family val="0"/>
        <charset val="1"/>
      </rPr>
      <t xml:space="preserve">48-10</t>
    </r>
    <r>
      <rPr>
        <sz val="10"/>
        <color rgb="FF1F2A28"/>
        <rFont val="WenQuanYi Zen Hei"/>
        <family val="2"/>
      </rPr>
      <t xml:space="preserve">號</t>
    </r>
  </si>
  <si>
    <t xml:space="preserve">(08)7758369 / 0982-812670</t>
  </si>
  <si>
    <t xml:space="preserve">hyl.yee@gmail.com</t>
  </si>
  <si>
    <t xml:space="preserve">張瑞分</t>
  </si>
  <si>
    <t xml:space="preserve">私立佳英文教事業有限公司屏東分公司附設美語短期補習班</t>
  </si>
  <si>
    <r>
      <rPr>
        <sz val="10"/>
        <color rgb="FF1F2A28"/>
        <rFont val="WenQuanYi Zen Hei"/>
        <family val="2"/>
      </rPr>
      <t xml:space="preserve">屏東縣東港鎮水源街</t>
    </r>
    <r>
      <rPr>
        <sz val="10"/>
        <color rgb="FF1F2A28"/>
        <rFont val="Arial"/>
        <family val="0"/>
        <charset val="1"/>
      </rPr>
      <t xml:space="preserve">119</t>
    </r>
    <r>
      <rPr>
        <sz val="10"/>
        <color rgb="FF1F2A28"/>
        <rFont val="WenQuanYi Zen Hei"/>
        <family val="2"/>
      </rPr>
      <t xml:space="preserve">號</t>
    </r>
  </si>
  <si>
    <t xml:space="preserve">(08)8328060</t>
  </si>
  <si>
    <t xml:space="preserve">bd057@joy.com.tw</t>
  </si>
  <si>
    <t xml:space="preserve">2007-03-07</t>
  </si>
  <si>
    <t xml:space="preserve">劉儀君</t>
  </si>
  <si>
    <t xml:space="preserve">王柔敏</t>
  </si>
  <si>
    <t xml:space="preserve">佳冬鄉</t>
  </si>
  <si>
    <t xml:space="preserve">屏東縣私立喬朵美語文理短期補習班</t>
  </si>
  <si>
    <r>
      <rPr>
        <sz val="10"/>
        <color rgb="FF1F2A28"/>
        <rFont val="WenQuanYi Zen Hei"/>
        <family val="2"/>
      </rPr>
      <t xml:space="preserve">佳冬鄉玉光村中山路</t>
    </r>
    <r>
      <rPr>
        <sz val="10"/>
        <color rgb="FF1F2A28"/>
        <rFont val="Arial"/>
        <family val="0"/>
        <charset val="1"/>
      </rPr>
      <t xml:space="preserve">109</t>
    </r>
    <r>
      <rPr>
        <sz val="10"/>
        <color rgb="FF1F2A28"/>
        <rFont val="WenQuanYi Zen Hei"/>
        <family val="2"/>
      </rPr>
      <t xml:space="preserve">號</t>
    </r>
  </si>
  <si>
    <t xml:space="preserve">0976300901</t>
  </si>
  <si>
    <t xml:space="preserve">winniccor@gmail.com</t>
  </si>
  <si>
    <t xml:space="preserve">林郁文</t>
  </si>
  <si>
    <t xml:space="preserve">內埔鄉</t>
  </si>
  <si>
    <t xml:space="preserve">屏東縣私立駿森 文理短期補習班</t>
  </si>
  <si>
    <r>
      <rPr>
        <sz val="10"/>
        <color rgb="FF1F2A28"/>
        <rFont val="WenQuanYi Zen Hei"/>
        <family val="2"/>
      </rPr>
      <t xml:space="preserve">內埔鄉中勝路</t>
    </r>
    <r>
      <rPr>
        <sz val="10"/>
        <color rgb="FF1F2A28"/>
        <rFont val="Arial"/>
        <family val="0"/>
        <charset val="1"/>
      </rPr>
      <t xml:space="preserve">371</t>
    </r>
    <r>
      <rPr>
        <sz val="10"/>
        <color rgb="FF1F2A28"/>
        <rFont val="WenQuanYi Zen Hei"/>
        <family val="2"/>
      </rPr>
      <t xml:space="preserve">號</t>
    </r>
  </si>
  <si>
    <t xml:space="preserve">(08)</t>
  </si>
  <si>
    <t xml:space="preserve">clairelee22@gmail.com</t>
  </si>
  <si>
    <t xml:space="preserve">2023-07-24</t>
  </si>
  <si>
    <t xml:space="preserve">李育驊</t>
  </si>
  <si>
    <t xml:space="preserve">屏東市</t>
  </si>
  <si>
    <t xml:space="preserve">三槐文教科技股份有限公司附設屏東縣私立龍馬美語文理短期補習班</t>
  </si>
  <si>
    <r>
      <rPr>
        <sz val="10"/>
        <color rgb="FF1F2A28"/>
        <rFont val="WenQuanYi Zen Hei"/>
        <family val="2"/>
      </rPr>
      <t xml:space="preserve">屏東市興隆街</t>
    </r>
    <r>
      <rPr>
        <sz val="10"/>
        <color rgb="FF1F2A28"/>
        <rFont val="Arial"/>
        <family val="0"/>
        <charset val="1"/>
      </rPr>
      <t xml:space="preserve">7</t>
    </r>
    <r>
      <rPr>
        <sz val="10"/>
        <color rgb="FF1F2A28"/>
        <rFont val="WenQuanYi Zen Hei"/>
        <family val="2"/>
      </rPr>
      <t xml:space="preserve">號</t>
    </r>
  </si>
  <si>
    <t xml:space="preserve">08-7321421 / 0910-928210</t>
  </si>
  <si>
    <t xml:space="preserve">2011-04-19</t>
  </si>
  <si>
    <t xml:space="preserve">王槐山</t>
  </si>
  <si>
    <t xml:space="preserve">熊玉芳</t>
  </si>
  <si>
    <t xml:space="preserve">中國青年救國團屏東縣團委會附設文理技藝短期補習班</t>
  </si>
  <si>
    <r>
      <rPr>
        <sz val="10"/>
        <color rgb="FF1F2A28"/>
        <rFont val="WenQuanYi Zen Hei"/>
        <family val="2"/>
      </rPr>
      <t xml:space="preserve">屏東市成功路</t>
    </r>
    <r>
      <rPr>
        <sz val="10"/>
        <color rgb="FF1F2A28"/>
        <rFont val="Arial"/>
        <family val="0"/>
        <charset val="1"/>
      </rPr>
      <t xml:space="preserve">206</t>
    </r>
    <r>
      <rPr>
        <sz val="10"/>
        <color rgb="FF1F2A28"/>
        <rFont val="WenQuanYi Zen Hei"/>
        <family val="2"/>
      </rPr>
      <t xml:space="preserve">號</t>
    </r>
  </si>
  <si>
    <t xml:space="preserve">(08)736-1084</t>
  </si>
  <si>
    <t xml:space="preserve">ptntc@cyc.tw</t>
  </si>
  <si>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美容、美髮理髮類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商類：珠算、心算、會計</t>
    </r>
    <r>
      <rPr>
        <sz val="10"/>
        <color rgb="FF1F2A28"/>
        <rFont val="Arial"/>
        <family val="0"/>
        <charset val="1"/>
      </rPr>
      <t xml:space="preserve">,</t>
    </r>
    <r>
      <rPr>
        <sz val="10"/>
        <color rgb="FF1F2A28"/>
        <rFont val="WenQuanYi Zen Hei"/>
        <family val="2"/>
      </rPr>
      <t xml:space="preserve">瑜珈類</t>
    </r>
  </si>
  <si>
    <t xml:space="preserve">2021-04-12</t>
  </si>
  <si>
    <t xml:space="preserve">楊玄羽</t>
  </si>
  <si>
    <t xml:space="preserve">尤素真</t>
  </si>
  <si>
    <r>
      <rPr>
        <sz val="10"/>
        <color rgb="FF1F2A28"/>
        <rFont val="WenQuanYi Zen Hei"/>
        <family val="2"/>
      </rPr>
      <t xml:space="preserve">屏東縣私立</t>
    </r>
    <r>
      <rPr>
        <sz val="10"/>
        <color rgb="FF1F2A28"/>
        <rFont val="Arial"/>
        <family val="0"/>
        <charset val="1"/>
      </rPr>
      <t xml:space="preserve">123</t>
    </r>
    <r>
      <rPr>
        <sz val="10"/>
        <color rgb="FF1F2A28"/>
        <rFont val="WenQuanYi Zen Hei"/>
        <family val="2"/>
      </rPr>
      <t xml:space="preserve">美語短期補習班</t>
    </r>
  </si>
  <si>
    <r>
      <rPr>
        <sz val="10"/>
        <color rgb="FF1F2A28"/>
        <rFont val="WenQuanYi Zen Hei"/>
        <family val="2"/>
      </rPr>
      <t xml:space="preserve">屏東市華盛街</t>
    </r>
    <r>
      <rPr>
        <sz val="10"/>
        <color rgb="FF1F2A28"/>
        <rFont val="Arial"/>
        <family val="0"/>
        <charset val="1"/>
      </rPr>
      <t xml:space="preserve">16-5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</si>
  <si>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(08)7557878</t>
  </si>
  <si>
    <t xml:space="preserve">2017bf100@gmail.com</t>
  </si>
  <si>
    <t xml:space="preserve">2017-04-20</t>
  </si>
  <si>
    <t xml:space="preserve">黃正宏</t>
  </si>
  <si>
    <t xml:space="preserve">郭東昀</t>
  </si>
  <si>
    <t xml:space="preserve">屏東縣私立上群美語文理短期補習班</t>
  </si>
  <si>
    <r>
      <rPr>
        <sz val="10"/>
        <color rgb="FF1F2A28"/>
        <rFont val="WenQuanYi Zen Hei"/>
        <family val="2"/>
      </rPr>
      <t xml:space="preserve">屏東市建豐路</t>
    </r>
    <r>
      <rPr>
        <sz val="10"/>
        <color rgb="FF1F2A28"/>
        <rFont val="Arial"/>
        <family val="0"/>
        <charset val="1"/>
      </rPr>
      <t xml:space="preserve">226</t>
    </r>
    <r>
      <rPr>
        <sz val="10"/>
        <color rgb="FF1F2A28"/>
        <rFont val="WenQuanYi Zen Hei"/>
        <family val="2"/>
      </rPr>
      <t xml:space="preserve">號</t>
    </r>
  </si>
  <si>
    <t xml:space="preserve">(08)7353533</t>
  </si>
  <si>
    <t xml:space="preserve">lichyun_yes@yahoo.com.tw</t>
  </si>
  <si>
    <t xml:space="preserve">2002-08-23</t>
  </si>
  <si>
    <t xml:space="preserve">梁人驊</t>
  </si>
  <si>
    <t xml:space="preserve">蔡仁豪</t>
  </si>
  <si>
    <t xml:space="preserve">屏東縣私立仙卓文理短期補習班</t>
  </si>
  <si>
    <r>
      <rPr>
        <sz val="10"/>
        <color rgb="FF1F2A28"/>
        <rFont val="WenQuanYi Zen Hei"/>
        <family val="2"/>
      </rPr>
      <t xml:space="preserve">屏東市屏東縣屏東市大同里信義路</t>
    </r>
    <r>
      <rPr>
        <sz val="10"/>
        <color rgb="FF1F2A28"/>
        <rFont val="Arial"/>
        <family val="0"/>
        <charset val="1"/>
      </rPr>
      <t xml:space="preserve">145-9</t>
    </r>
    <r>
      <rPr>
        <sz val="10"/>
        <color rgb="FF1F2A28"/>
        <rFont val="WenQuanYi Zen Hei"/>
        <family val="2"/>
      </rPr>
      <t xml:space="preserve">號</t>
    </r>
  </si>
  <si>
    <t xml:space="preserve">0975219803</t>
  </si>
  <si>
    <t xml:space="preserve">美語、英文、英文閱讀、英文檢定</t>
  </si>
  <si>
    <t xml:space="preserve">劉子綺</t>
  </si>
  <si>
    <t xml:space="preserve">屏東縣私立佳怡文理短期補習班</t>
  </si>
  <si>
    <r>
      <rPr>
        <sz val="10"/>
        <color rgb="FF1F2A28"/>
        <rFont val="WenQuanYi Zen Hei"/>
        <family val="2"/>
      </rPr>
      <t xml:space="preserve">屏東市厚生里建國路</t>
    </r>
    <r>
      <rPr>
        <sz val="10"/>
        <color rgb="FF1F2A28"/>
        <rFont val="Arial"/>
        <family val="0"/>
        <charset val="1"/>
      </rPr>
      <t xml:space="preserve">176-4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</si>
  <si>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(08)7539683</t>
  </si>
  <si>
    <t xml:space="preserve">annielin0628@gmail.com</t>
  </si>
  <si>
    <t xml:space="preserve">林怡棻</t>
  </si>
  <si>
    <t xml:space="preserve">屏東縣私立佳怡文理短期補習班忠孝分班</t>
  </si>
  <si>
    <r>
      <rPr>
        <sz val="10"/>
        <color rgb="FF1F2A28"/>
        <rFont val="WenQuanYi Zen Hei"/>
        <family val="2"/>
      </rPr>
      <t xml:space="preserve">屏東市建豐路</t>
    </r>
    <r>
      <rPr>
        <sz val="10"/>
        <color rgb="FF1F2A28"/>
        <rFont val="Arial"/>
        <family val="0"/>
        <charset val="1"/>
      </rPr>
      <t xml:space="preserve">286-2</t>
    </r>
    <r>
      <rPr>
        <sz val="10"/>
        <color rgb="FF1F2A28"/>
        <rFont val="WenQuanYi Zen Hei"/>
        <family val="2"/>
      </rPr>
      <t xml:space="preserve">號</t>
    </r>
  </si>
  <si>
    <t xml:space="preserve">08-7360885</t>
  </si>
  <si>
    <t xml:space="preserve">2016-08-25</t>
  </si>
  <si>
    <t xml:space="preserve">林毓婷</t>
  </si>
  <si>
    <t xml:space="preserve">屏東縣私立偉群美語文理短期補習班</t>
  </si>
  <si>
    <r>
      <rPr>
        <sz val="10"/>
        <color rgb="FF1F2A28"/>
        <rFont val="WenQuanYi Zen Hei"/>
        <family val="2"/>
      </rPr>
      <t xml:space="preserve">屏東市廣東路</t>
    </r>
    <r>
      <rPr>
        <sz val="10"/>
        <color rgb="FF1F2A28"/>
        <rFont val="Arial"/>
        <family val="0"/>
        <charset val="1"/>
      </rPr>
      <t xml:space="preserve">1416</t>
    </r>
    <r>
      <rPr>
        <sz val="10"/>
        <color rgb="FF1F2A28"/>
        <rFont val="WenQuanYi Zen Hei"/>
        <family val="2"/>
      </rPr>
      <t xml:space="preserve">號</t>
    </r>
  </si>
  <si>
    <t xml:space="preserve">0988819591</t>
  </si>
  <si>
    <t xml:space="preserve">陳維慧</t>
  </si>
  <si>
    <t xml:space="preserve">屏東縣私立傳程美語短期補習班</t>
  </si>
  <si>
    <r>
      <rPr>
        <sz val="10"/>
        <color rgb="FF1F2A28"/>
        <rFont val="WenQuanYi Zen Hei"/>
        <family val="2"/>
      </rPr>
      <t xml:space="preserve">屏東市田寮巷</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</si>
  <si>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(08)7362532</t>
  </si>
  <si>
    <t xml:space="preserve">2012-08-15</t>
  </si>
  <si>
    <t xml:space="preserve">李世濱</t>
  </si>
  <si>
    <t xml:space="preserve">黃如吟</t>
  </si>
  <si>
    <t xml:space="preserve">屏東縣私立優質美語短期補習班</t>
  </si>
  <si>
    <r>
      <rPr>
        <sz val="10"/>
        <color rgb="FF1F2A28"/>
        <rFont val="WenQuanYi Zen Hei"/>
        <family val="2"/>
      </rPr>
      <t xml:space="preserve">屏東市自由路</t>
    </r>
    <r>
      <rPr>
        <sz val="10"/>
        <color rgb="FF1F2A28"/>
        <rFont val="Arial"/>
        <family val="0"/>
        <charset val="1"/>
      </rPr>
      <t xml:space="preserve">420-9</t>
    </r>
    <r>
      <rPr>
        <sz val="10"/>
        <color rgb="FF1F2A28"/>
        <rFont val="WenQuanYi Zen Hei"/>
        <family val="2"/>
      </rPr>
      <t xml:space="preserve">號</t>
    </r>
  </si>
  <si>
    <t xml:space="preserve">(08)7382857</t>
  </si>
  <si>
    <t xml:space="preserve">tzuyupt@gmail.com</t>
  </si>
  <si>
    <t xml:space="preserve">2008-10-03</t>
  </si>
  <si>
    <t xml:space="preserve">李秀芬</t>
  </si>
  <si>
    <t xml:space="preserve">黃炫叡</t>
  </si>
  <si>
    <t xml:space="preserve">屏東縣私立全能美語短期補習班</t>
  </si>
  <si>
    <r>
      <rPr>
        <sz val="10"/>
        <color rgb="FF1F2A28"/>
        <rFont val="WenQuanYi Zen Hei"/>
        <family val="2"/>
      </rPr>
      <t xml:space="preserve">屏東市建豐路</t>
    </r>
    <r>
      <rPr>
        <sz val="10"/>
        <color rgb="FF1F2A28"/>
        <rFont val="Arial"/>
        <family val="0"/>
        <charset val="1"/>
      </rPr>
      <t xml:space="preserve">190</t>
    </r>
    <r>
      <rPr>
        <sz val="10"/>
        <color rgb="FF1F2A28"/>
        <rFont val="WenQuanYi Zen Hei"/>
        <family val="2"/>
      </rPr>
      <t xml:space="preserve">號</t>
    </r>
  </si>
  <si>
    <t xml:space="preserve">(08)7352515</t>
  </si>
  <si>
    <t xml:space="preserve">shpingtung@gmail.com</t>
  </si>
  <si>
    <t xml:space="preserve">屏東縣私立前進英文短期補習班</t>
  </si>
  <si>
    <r>
      <rPr>
        <sz val="10"/>
        <color rgb="FF1F2A28"/>
        <rFont val="WenQuanYi Zen Hei"/>
        <family val="2"/>
      </rPr>
      <t xml:space="preserve">屏東市武愛街</t>
    </r>
    <r>
      <rPr>
        <sz val="10"/>
        <color rgb="FF1F2A28"/>
        <rFont val="Arial"/>
        <family val="0"/>
        <charset val="1"/>
      </rPr>
      <t xml:space="preserve">35</t>
    </r>
    <r>
      <rPr>
        <sz val="10"/>
        <color rgb="FF1F2A28"/>
        <rFont val="WenQuanYi Zen Hei"/>
        <family val="2"/>
      </rPr>
      <t xml:space="preserve">號</t>
    </r>
  </si>
  <si>
    <t xml:space="preserve">(08)7515195</t>
  </si>
  <si>
    <t xml:space="preserve">beamttyy@yahoo.com.tw</t>
  </si>
  <si>
    <t xml:space="preserve">劉靜樺</t>
  </si>
  <si>
    <t xml:space="preserve">屏東縣私立力勝美語文理短期補習班</t>
  </si>
  <si>
    <r>
      <rPr>
        <sz val="10"/>
        <color rgb="FF1F2A28"/>
        <rFont val="WenQuanYi Zen Hei"/>
        <family val="2"/>
      </rPr>
      <t xml:space="preserve">屏東市廣東南路</t>
    </r>
    <r>
      <rPr>
        <sz val="10"/>
        <color rgb="FF1F2A28"/>
        <rFont val="Arial"/>
        <family val="0"/>
        <charset val="1"/>
      </rPr>
      <t xml:space="preserve">61</t>
    </r>
    <r>
      <rPr>
        <sz val="10"/>
        <color rgb="FF1F2A28"/>
        <rFont val="WenQuanYi Zen Hei"/>
        <family val="2"/>
      </rPr>
      <t xml:space="preserve">號</t>
    </r>
  </si>
  <si>
    <t xml:space="preserve">(08)7526588</t>
  </si>
  <si>
    <t xml:space="preserve">t0916069759@gmail.com</t>
  </si>
  <si>
    <t xml:space="preserve">2009-10-19</t>
  </si>
  <si>
    <t xml:space="preserve">張麗敏</t>
  </si>
  <si>
    <t xml:space="preserve">屏東縣私立加佳美語短期補習班</t>
  </si>
  <si>
    <r>
      <rPr>
        <sz val="10"/>
        <color rgb="FF1F2A28"/>
        <rFont val="WenQuanYi Zen Hei"/>
        <family val="2"/>
      </rPr>
      <t xml:space="preserve">屏東市永大路</t>
    </r>
    <r>
      <rPr>
        <sz val="10"/>
        <color rgb="FF1F2A28"/>
        <rFont val="Arial"/>
        <family val="0"/>
        <charset val="1"/>
      </rPr>
      <t xml:space="preserve">169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</si>
  <si>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7560688</t>
  </si>
  <si>
    <t xml:space="preserve">jarjargood@gmail.com</t>
  </si>
  <si>
    <t xml:space="preserve">1999-11-20</t>
  </si>
  <si>
    <t xml:space="preserve">邱永富</t>
  </si>
  <si>
    <t xml:space="preserve">屏東縣私立千葉英日語會話短期補習班</t>
  </si>
  <si>
    <r>
      <rPr>
        <sz val="10"/>
        <color rgb="FF1F2A28"/>
        <rFont val="WenQuanYi Zen Hei"/>
        <family val="2"/>
      </rPr>
      <t xml:space="preserve">屏東市廣東路</t>
    </r>
    <r>
      <rPr>
        <sz val="10"/>
        <color rgb="FF1F2A28"/>
        <rFont val="Arial"/>
        <family val="0"/>
        <charset val="1"/>
      </rPr>
      <t xml:space="preserve">1085</t>
    </r>
    <r>
      <rPr>
        <sz val="10"/>
        <color rgb="FF1F2A28"/>
        <rFont val="WenQuanYi Zen Hei"/>
        <family val="2"/>
      </rPr>
      <t xml:space="preserve">號</t>
    </r>
    <r>
      <rPr>
        <sz val="10"/>
        <color rgb="FF1F2A28"/>
        <rFont val="Arial"/>
        <family val="0"/>
        <charset val="1"/>
      </rPr>
      <t xml:space="preserve">3-4</t>
    </r>
    <r>
      <rPr>
        <sz val="10"/>
        <color rgb="FF1F2A28"/>
        <rFont val="WenQuanYi Zen Hei"/>
        <family val="2"/>
      </rPr>
      <t xml:space="preserve">樓</t>
    </r>
  </si>
  <si>
    <t xml:space="preserve">(08)7330220</t>
  </si>
  <si>
    <t xml:space="preserve">chibal543@gmail.com</t>
  </si>
  <si>
    <t xml:space="preserve">1987-10-28</t>
  </si>
  <si>
    <t xml:space="preserve">賴誼芫</t>
  </si>
  <si>
    <t xml:space="preserve">葉淑雯</t>
  </si>
  <si>
    <t xml:space="preserve">屏東縣私立史麥美語短期補習班</t>
  </si>
  <si>
    <r>
      <rPr>
        <sz val="10"/>
        <color rgb="FF1F2A28"/>
        <rFont val="WenQuanYi Zen Hei"/>
        <family val="2"/>
      </rPr>
      <t xml:space="preserve">屏東市華盛二街</t>
    </r>
    <r>
      <rPr>
        <sz val="10"/>
        <color rgb="FF1F2A28"/>
        <rFont val="Arial"/>
        <family val="0"/>
        <charset val="1"/>
      </rPr>
      <t xml:space="preserve">32</t>
    </r>
    <r>
      <rPr>
        <sz val="10"/>
        <color rgb="FF1F2A28"/>
        <rFont val="WenQuanYi Zen Hei"/>
        <family val="2"/>
      </rPr>
      <t xml:space="preserve">號</t>
    </r>
  </si>
  <si>
    <t xml:space="preserve">0939504883</t>
  </si>
  <si>
    <t xml:space="preserve">2007-12-14</t>
  </si>
  <si>
    <t xml:space="preserve">楊裕隆</t>
  </si>
  <si>
    <t xml:space="preserve">屏東縣私立史麥美語短期補習班鶴聲分班</t>
  </si>
  <si>
    <r>
      <rPr>
        <sz val="10"/>
        <color rgb="FF1F2A28"/>
        <rFont val="WenQuanYi Zen Hei"/>
        <family val="2"/>
      </rPr>
      <t xml:space="preserve">屏東市華盛街</t>
    </r>
    <r>
      <rPr>
        <sz val="10"/>
        <color rgb="FF1F2A28"/>
        <rFont val="Arial"/>
        <family val="0"/>
        <charset val="1"/>
      </rPr>
      <t xml:space="preserve">1-18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</si>
  <si>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2017-10-11</t>
  </si>
  <si>
    <t xml:space="preserve">楊正豪</t>
  </si>
  <si>
    <t xml:space="preserve">屏東縣私立吉尼斯美語短期補習班</t>
  </si>
  <si>
    <r>
      <rPr>
        <sz val="10"/>
        <color rgb="FF1F2A28"/>
        <rFont val="WenQuanYi Zen Hei"/>
        <family val="2"/>
      </rPr>
      <t xml:space="preserve">屏東市蘇州街</t>
    </r>
    <r>
      <rPr>
        <sz val="10"/>
        <color rgb="FF1F2A28"/>
        <rFont val="Arial"/>
        <family val="0"/>
        <charset val="1"/>
      </rPr>
      <t xml:space="preserve">90</t>
    </r>
    <r>
      <rPr>
        <sz val="10"/>
        <color rgb="FF1F2A28"/>
        <rFont val="WenQuanYi Zen Hei"/>
        <family val="2"/>
      </rPr>
      <t xml:space="preserve">號</t>
    </r>
  </si>
  <si>
    <t xml:space="preserve">(08)7348541</t>
  </si>
  <si>
    <t xml:space="preserve">pingdongseleven@yahoo.com.tw</t>
  </si>
  <si>
    <t xml:space="preserve">2002-06-11</t>
  </si>
  <si>
    <t xml:space="preserve">郭厚志</t>
  </si>
  <si>
    <t xml:space="preserve">詹清雲</t>
  </si>
  <si>
    <t xml:space="preserve">屏東縣私立吉尼斯美語短期補習班中正分班</t>
  </si>
  <si>
    <r>
      <rPr>
        <sz val="10"/>
        <color rgb="FF1F2A28"/>
        <rFont val="WenQuanYi Zen Hei"/>
        <family val="2"/>
      </rPr>
      <t xml:space="preserve">屏東市大同里蘇州街</t>
    </r>
    <r>
      <rPr>
        <sz val="10"/>
        <color rgb="FF1F2A28"/>
        <rFont val="Arial"/>
        <family val="0"/>
        <charset val="1"/>
      </rPr>
      <t xml:space="preserve">90-1</t>
    </r>
    <r>
      <rPr>
        <sz val="10"/>
        <color rgb="FF1F2A28"/>
        <rFont val="WenQuanYi Zen Hei"/>
        <family val="2"/>
      </rPr>
      <t xml:space="preserve">號</t>
    </r>
  </si>
  <si>
    <t xml:space="preserve">0980736398</t>
  </si>
  <si>
    <t xml:space="preserve">2025-11-28</t>
  </si>
  <si>
    <t xml:space="preserve">郭宇涵</t>
  </si>
  <si>
    <t xml:space="preserve">屏東縣私立同文美語文理短期補習班</t>
  </si>
  <si>
    <r>
      <rPr>
        <sz val="10"/>
        <color rgb="FF1F2A28"/>
        <rFont val="WenQuanYi Zen Hei"/>
        <family val="2"/>
      </rPr>
      <t xml:space="preserve">屏東市崇蘭里古松西巷</t>
    </r>
    <r>
      <rPr>
        <sz val="10"/>
        <color rgb="FF1F2A28"/>
        <rFont val="Arial"/>
        <family val="0"/>
        <charset val="1"/>
      </rPr>
      <t xml:space="preserve">385-58</t>
    </r>
    <r>
      <rPr>
        <sz val="10"/>
        <color rgb="FF1F2A28"/>
        <rFont val="WenQuanYi Zen Hei"/>
        <family val="2"/>
      </rPr>
      <t xml:space="preserve">號</t>
    </r>
  </si>
  <si>
    <t xml:space="preserve">(08)7330102</t>
  </si>
  <si>
    <t xml:space="preserve">doggs0610@gmail.com</t>
  </si>
  <si>
    <t xml:space="preserve">林和宗</t>
  </si>
  <si>
    <t xml:space="preserve">屏東縣私立名冠學美語文理短期補習班</t>
  </si>
  <si>
    <r>
      <rPr>
        <sz val="10"/>
        <color rgb="FF1F2A28"/>
        <rFont val="WenQuanYi Zen Hei"/>
        <family val="2"/>
      </rPr>
      <t xml:space="preserve">屏東市自由路</t>
    </r>
    <r>
      <rPr>
        <sz val="10"/>
        <color rgb="FF1F2A28"/>
        <rFont val="Arial"/>
        <family val="0"/>
        <charset val="1"/>
      </rPr>
      <t xml:space="preserve">363-1</t>
    </r>
    <r>
      <rPr>
        <sz val="10"/>
        <color rgb="FF1F2A28"/>
        <rFont val="WenQuanYi Zen Hei"/>
        <family val="2"/>
      </rPr>
      <t xml:space="preserve">號</t>
    </r>
  </si>
  <si>
    <t xml:space="preserve">(08)7365159</t>
  </si>
  <si>
    <t xml:space="preserve">xuanchenteam@gmail.com</t>
  </si>
  <si>
    <t xml:space="preserve">陳玄鎰</t>
  </si>
  <si>
    <t xml:space="preserve">李旻融</t>
  </si>
  <si>
    <t xml:space="preserve">屏東縣私立啄木鳥美語文理短期補習班</t>
  </si>
  <si>
    <r>
      <rPr>
        <sz val="10"/>
        <color rgb="FF1F2A28"/>
        <rFont val="WenQuanYi Zen Hei"/>
        <family val="2"/>
      </rPr>
      <t xml:space="preserve">屏東市博愛路</t>
    </r>
    <r>
      <rPr>
        <sz val="10"/>
        <color rgb="FF1F2A28"/>
        <rFont val="Arial"/>
        <family val="0"/>
        <charset val="1"/>
      </rPr>
      <t xml:space="preserve">282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</si>
  <si>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08-7338691</t>
  </si>
  <si>
    <t xml:space="preserve">pecker940@yahoo.com.tw</t>
  </si>
  <si>
    <t xml:space="preserve">1996-09-03</t>
  </si>
  <si>
    <t xml:space="preserve">林秀琴</t>
  </si>
  <si>
    <r>
      <rPr>
        <sz val="10"/>
        <color rgb="FF1F2A28"/>
        <rFont val="WenQuanYi Zen Hei"/>
        <family val="2"/>
      </rPr>
      <t xml:space="preserve">屏東縣私立大博優美語文理短期補習班</t>
    </r>
    <r>
      <rPr>
        <sz val="10"/>
        <color rgb="FF1F2A28"/>
        <rFont val="Arial"/>
        <family val="0"/>
        <charset val="1"/>
      </rPr>
      <t xml:space="preserve">(</t>
    </r>
    <r>
      <rPr>
        <sz val="10"/>
        <color rgb="FF1F2A28"/>
        <rFont val="WenQuanYi Zen Hei"/>
        <family val="2"/>
      </rPr>
      <t xml:space="preserve">原優得</t>
    </r>
    <r>
      <rPr>
        <sz val="10"/>
        <color rgb="FF1F2A28"/>
        <rFont val="Arial"/>
        <family val="0"/>
        <charset val="1"/>
      </rPr>
      <t xml:space="preserve">)</t>
    </r>
  </si>
  <si>
    <r>
      <rPr>
        <sz val="10"/>
        <color rgb="FF1F2A28"/>
        <rFont val="WenQuanYi Zen Hei"/>
        <family val="2"/>
      </rPr>
      <t xml:space="preserve">屏東市林森路</t>
    </r>
    <r>
      <rPr>
        <sz val="10"/>
        <color rgb="FF1F2A28"/>
        <rFont val="Arial"/>
        <family val="0"/>
        <charset val="1"/>
      </rPr>
      <t xml:space="preserve">5-7</t>
    </r>
    <r>
      <rPr>
        <sz val="10"/>
        <color rgb="FF1F2A28"/>
        <rFont val="WenQuanYi Zen Hei"/>
        <family val="2"/>
      </rPr>
      <t xml:space="preserve">號</t>
    </r>
  </si>
  <si>
    <t xml:space="preserve">(08)7214275</t>
  </si>
  <si>
    <t xml:space="preserve">美語初階、美語中階</t>
  </si>
  <si>
    <t xml:space="preserve">2016-10-07</t>
  </si>
  <si>
    <t xml:space="preserve">黃茜郁</t>
  </si>
  <si>
    <t xml:space="preserve">屏東縣私立奧傑美語文理短期補習班</t>
  </si>
  <si>
    <r>
      <rPr>
        <sz val="10"/>
        <color rgb="FF1F2A28"/>
        <rFont val="WenQuanYi Zen Hei"/>
        <family val="2"/>
      </rPr>
      <t xml:space="preserve">屏東市長春里廣州街</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</si>
  <si>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(08)7211651</t>
  </si>
  <si>
    <t xml:space="preserve">2008-12-24</t>
  </si>
  <si>
    <t xml:space="preserve">黃國忠</t>
  </si>
  <si>
    <t xml:space="preserve">屏東縣私立學習屋美語短期補習班</t>
  </si>
  <si>
    <r>
      <rPr>
        <sz val="10"/>
        <color rgb="FF1F2A28"/>
        <rFont val="WenQuanYi Zen Hei"/>
        <family val="2"/>
      </rPr>
      <t xml:space="preserve">屏東市安心四橫巷</t>
    </r>
    <r>
      <rPr>
        <sz val="10"/>
        <color rgb="FF1F2A28"/>
        <rFont val="Arial"/>
        <family val="0"/>
        <charset val="1"/>
      </rPr>
      <t xml:space="preserve">229</t>
    </r>
    <r>
      <rPr>
        <sz val="10"/>
        <color rgb="FF1F2A28"/>
        <rFont val="WenQuanYi Zen Hei"/>
        <family val="2"/>
      </rPr>
      <t xml:space="preserve">號</t>
    </r>
  </si>
  <si>
    <t xml:space="preserve">(08)7237081</t>
  </si>
  <si>
    <t xml:space="preserve">wiwi5755@gmail.com</t>
  </si>
  <si>
    <t xml:space="preserve">2007-11-07</t>
  </si>
  <si>
    <t xml:space="preserve">陳泰斗</t>
  </si>
  <si>
    <t xml:space="preserve">林雅雪</t>
  </si>
  <si>
    <t xml:space="preserve">屏東縣私立宇凡文理美語短期補習班</t>
  </si>
  <si>
    <r>
      <rPr>
        <sz val="10"/>
        <color rgb="FF1F2A28"/>
        <rFont val="WenQuanYi Zen Hei"/>
        <family val="2"/>
      </rPr>
      <t xml:space="preserve">屏東市福建路</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</si>
  <si>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(08)7336177</t>
  </si>
  <si>
    <t xml:space="preserve">juiting0513@gmail.com</t>
  </si>
  <si>
    <t xml:space="preserve">2011-01-04</t>
  </si>
  <si>
    <t xml:space="preserve">李宇凡</t>
  </si>
  <si>
    <t xml:space="preserve">屏東縣私立小木屋英文短期補習班</t>
  </si>
  <si>
    <r>
      <rPr>
        <sz val="10"/>
        <color rgb="FF1F2A28"/>
        <rFont val="WenQuanYi Zen Hei"/>
        <family val="2"/>
      </rPr>
      <t xml:space="preserve">屏東市豐源里公園東路</t>
    </r>
    <r>
      <rPr>
        <sz val="10"/>
        <color rgb="FF1F2A28"/>
        <rFont val="Arial"/>
        <family val="0"/>
        <charset val="1"/>
      </rPr>
      <t xml:space="preserve">27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</si>
  <si>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(08)7220351</t>
  </si>
  <si>
    <t xml:space="preserve">2015-02-16</t>
  </si>
  <si>
    <t xml:space="preserve">楊璦綾</t>
  </si>
  <si>
    <t xml:space="preserve">屏東縣私立小神童美語文理短期補習班</t>
  </si>
  <si>
    <r>
      <rPr>
        <sz val="10"/>
        <color rgb="FF1F2A28"/>
        <rFont val="WenQuanYi Zen Hei"/>
        <family val="2"/>
      </rPr>
      <t xml:space="preserve">屏東市建豐路</t>
    </r>
    <r>
      <rPr>
        <sz val="10"/>
        <color rgb="FF1F2A28"/>
        <rFont val="Arial"/>
        <family val="0"/>
        <charset val="1"/>
      </rPr>
      <t xml:space="preserve">95</t>
    </r>
    <r>
      <rPr>
        <sz val="10"/>
        <color rgb="FF1F2A28"/>
        <rFont val="WenQuanYi Zen Hei"/>
        <family val="2"/>
      </rPr>
      <t xml:space="preserve">號</t>
    </r>
  </si>
  <si>
    <t xml:space="preserve">(08)7353949</t>
  </si>
  <si>
    <t xml:space="preserve">angelxzxz@gmail.com</t>
  </si>
  <si>
    <t xml:space="preserve">李宛純</t>
  </si>
  <si>
    <t xml:space="preserve">屏東縣私立巨匠電腦股份有限公司附設巨匠文理技藝短期補習班</t>
  </si>
  <si>
    <r>
      <rPr>
        <sz val="10"/>
        <color rgb="FF1F2A28"/>
        <rFont val="WenQuanYi Zen Hei"/>
        <family val="2"/>
      </rPr>
      <t xml:space="preserve">屏東市逢甲路</t>
    </r>
    <r>
      <rPr>
        <sz val="10"/>
        <color rgb="FF1F2A28"/>
        <rFont val="Arial"/>
        <family val="0"/>
        <charset val="1"/>
      </rPr>
      <t xml:space="preserve">11.13.15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</si>
  <si>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(08)765-5537</t>
  </si>
  <si>
    <t xml:space="preserve">KS_mailbox@pcschool.com.tw</t>
  </si>
  <si>
    <t xml:space="preserve">2013-09-30</t>
  </si>
  <si>
    <t xml:space="preserve">吳柏驛</t>
  </si>
  <si>
    <t xml:space="preserve">屏東縣私立建文文理短期補習班</t>
  </si>
  <si>
    <r>
      <rPr>
        <sz val="10"/>
        <color rgb="FF1F2A28"/>
        <rFont val="WenQuanYi Zen Hei"/>
        <family val="2"/>
      </rPr>
      <t xml:space="preserve">屏東市豐源里</t>
    </r>
    <r>
      <rPr>
        <sz val="10"/>
        <color rgb="FF1F2A28"/>
        <rFont val="Arial"/>
        <family val="0"/>
        <charset val="1"/>
      </rPr>
      <t xml:space="preserve">23</t>
    </r>
    <r>
      <rPr>
        <sz val="10"/>
        <color rgb="FF1F2A28"/>
        <rFont val="WenQuanYi Zen Hei"/>
        <family val="2"/>
      </rPr>
      <t xml:space="preserve">鄰水源街</t>
    </r>
    <r>
      <rPr>
        <sz val="10"/>
        <color rgb="FF1F2A28"/>
        <rFont val="Arial"/>
        <family val="0"/>
        <charset val="1"/>
      </rPr>
      <t xml:space="preserve">27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</si>
  <si>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(08)7222789</t>
  </si>
  <si>
    <t xml:space="preserve">canwins@gmail.com</t>
  </si>
  <si>
    <t xml:space="preserve">2002-04-10</t>
  </si>
  <si>
    <t xml:space="preserve">潘川通</t>
  </si>
  <si>
    <t xml:space="preserve">屏東縣私立必勝美語短期補習班</t>
  </si>
  <si>
    <r>
      <rPr>
        <sz val="10"/>
        <color rgb="FF1F2A28"/>
        <rFont val="WenQuanYi Zen Hei"/>
        <family val="2"/>
      </rPr>
      <t xml:space="preserve">屏東市廣東路</t>
    </r>
    <r>
      <rPr>
        <sz val="10"/>
        <color rgb="FF1F2A28"/>
        <rFont val="Arial"/>
        <family val="0"/>
        <charset val="1"/>
      </rPr>
      <t xml:space="preserve">1542</t>
    </r>
    <r>
      <rPr>
        <sz val="10"/>
        <color rgb="FF1F2A28"/>
        <rFont val="WenQuanYi Zen Hei"/>
        <family val="2"/>
      </rPr>
      <t xml:space="preserve">號</t>
    </r>
  </si>
  <si>
    <t xml:space="preserve">(08)7337878</t>
  </si>
  <si>
    <t xml:space="preserve">lion2inpt@gmail.com</t>
  </si>
  <si>
    <t xml:space="preserve">2005-11-10</t>
  </si>
  <si>
    <t xml:space="preserve">劉家維</t>
  </si>
  <si>
    <t xml:space="preserve">屏東縣私立怡然才藝美語文理短期補習班</t>
  </si>
  <si>
    <r>
      <rPr>
        <sz val="10"/>
        <color rgb="FF1F2A28"/>
        <rFont val="WenQuanYi Zen Hei"/>
        <family val="2"/>
      </rPr>
      <t xml:space="preserve">屏東市天津街</t>
    </r>
    <r>
      <rPr>
        <sz val="10"/>
        <color rgb="FF1F2A28"/>
        <rFont val="Arial"/>
        <family val="0"/>
        <charset val="1"/>
      </rPr>
      <t xml:space="preserve">12-8</t>
    </r>
    <r>
      <rPr>
        <sz val="10"/>
        <color rgb="FF1F2A28"/>
        <rFont val="WenQuanYi Zen Hei"/>
        <family val="2"/>
      </rPr>
      <t xml:space="preserve">號</t>
    </r>
  </si>
  <si>
    <t xml:space="preserve">(08)7336863</t>
  </si>
  <si>
    <t xml:space="preserve">黃騰寬</t>
  </si>
  <si>
    <t xml:space="preserve">屏東縣私立新起點美語文理短期補習班</t>
  </si>
  <si>
    <r>
      <rPr>
        <sz val="10"/>
        <color rgb="FF1F2A28"/>
        <rFont val="WenQuanYi Zen Hei"/>
        <family val="2"/>
      </rPr>
      <t xml:space="preserve">屏東市德豐街</t>
    </r>
    <r>
      <rPr>
        <sz val="10"/>
        <color rgb="FF1F2A28"/>
        <rFont val="Arial"/>
        <family val="0"/>
        <charset val="1"/>
      </rPr>
      <t xml:space="preserve">158</t>
    </r>
    <r>
      <rPr>
        <sz val="10"/>
        <color rgb="FF1F2A28"/>
        <rFont val="WenQuanYi Zen Hei"/>
        <family val="2"/>
      </rPr>
      <t xml:space="preserve">號</t>
    </r>
  </si>
  <si>
    <t xml:space="preserve">(08)7367652</t>
  </si>
  <si>
    <t xml:space="preserve">張靜芸</t>
  </si>
  <si>
    <t xml:space="preserve">屏東縣私立明珠美日語短期補習班</t>
  </si>
  <si>
    <r>
      <rPr>
        <sz val="10"/>
        <color rgb="FF1F2A28"/>
        <rFont val="WenQuanYi Zen Hei"/>
        <family val="2"/>
      </rPr>
      <t xml:space="preserve">屏東市大連路</t>
    </r>
    <r>
      <rPr>
        <sz val="10"/>
        <color rgb="FF1F2A28"/>
        <rFont val="Arial"/>
        <family val="0"/>
        <charset val="1"/>
      </rPr>
      <t xml:space="preserve">15-11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</si>
  <si>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(08)7360353</t>
  </si>
  <si>
    <t xml:space="preserve">susan668866@yahoo.com.tw</t>
  </si>
  <si>
    <t xml:space="preserve">1998-02-02</t>
  </si>
  <si>
    <t xml:space="preserve">郭淑禎</t>
  </si>
  <si>
    <t xml:space="preserve">屏東縣私立智明文理美語短期補習班</t>
  </si>
  <si>
    <r>
      <rPr>
        <sz val="10"/>
        <color rgb="FF1F2A28"/>
        <rFont val="WenQuanYi Zen Hei"/>
        <family val="2"/>
      </rPr>
      <t xml:space="preserve">屏東市豐田里廣東路</t>
    </r>
    <r>
      <rPr>
        <sz val="10"/>
        <color rgb="FF1F2A28"/>
        <rFont val="Arial"/>
        <family val="0"/>
        <charset val="1"/>
      </rPr>
      <t xml:space="preserve">276-1</t>
    </r>
    <r>
      <rPr>
        <sz val="10"/>
        <color rgb="FF1F2A28"/>
        <rFont val="WenQuanYi Zen Hei"/>
        <family val="2"/>
      </rPr>
      <t xml:space="preserve">號</t>
    </r>
  </si>
  <si>
    <t xml:space="preserve">(08)7371248</t>
  </si>
  <si>
    <t xml:space="preserve">何東憲</t>
  </si>
  <si>
    <t xml:space="preserve">黃秀敏</t>
  </si>
  <si>
    <t xml:space="preserve">屏東縣私立柏克萊美語短期補習班</t>
  </si>
  <si>
    <r>
      <rPr>
        <sz val="10"/>
        <color rgb="FF1F2A28"/>
        <rFont val="WenQuanYi Zen Hei"/>
        <family val="2"/>
      </rPr>
      <t xml:space="preserve">屏東市崇蘭里古松巷</t>
    </r>
    <r>
      <rPr>
        <sz val="10"/>
        <color rgb="FF1F2A28"/>
        <rFont val="Arial"/>
        <family val="0"/>
        <charset val="1"/>
      </rPr>
      <t xml:space="preserve">221</t>
    </r>
    <r>
      <rPr>
        <sz val="10"/>
        <color rgb="FF1F2A28"/>
        <rFont val="WenQuanYi Zen Hei"/>
        <family val="2"/>
      </rPr>
      <t xml:space="preserve">號</t>
    </r>
  </si>
  <si>
    <t xml:space="preserve">08-7336750</t>
  </si>
  <si>
    <t xml:space="preserve">berkeley@drcheng.com.tw</t>
  </si>
  <si>
    <t xml:space="preserve">李玉芬</t>
  </si>
  <si>
    <t xml:space="preserve">張文瑜</t>
  </si>
  <si>
    <t xml:space="preserve">屏東縣私立樂學美語短期補習班</t>
  </si>
  <si>
    <r>
      <rPr>
        <sz val="10"/>
        <color rgb="FF1F2A28"/>
        <rFont val="WenQuanYi Zen Hei"/>
        <family val="2"/>
      </rPr>
      <t xml:space="preserve">屏東市廣東路</t>
    </r>
    <r>
      <rPr>
        <sz val="10"/>
        <color rgb="FF1F2A28"/>
        <rFont val="Arial"/>
        <family val="0"/>
        <charset val="1"/>
      </rPr>
      <t xml:space="preserve">1516</t>
    </r>
    <r>
      <rPr>
        <sz val="10"/>
        <color rgb="FF1F2A28"/>
        <rFont val="WenQuanYi Zen Hei"/>
        <family val="2"/>
      </rPr>
      <t xml:space="preserve">號</t>
    </r>
  </si>
  <si>
    <t xml:space="preserve">(08)7346642</t>
  </si>
  <si>
    <t xml:space="preserve">can661102@gmail.com</t>
  </si>
  <si>
    <t xml:space="preserve">2008-07-10</t>
  </si>
  <si>
    <t xml:space="preserve">余冠霖</t>
  </si>
  <si>
    <t xml:space="preserve">王麟惠</t>
  </si>
  <si>
    <t xml:space="preserve">屏東縣私立橋英文理短期補習班</t>
  </si>
  <si>
    <r>
      <rPr>
        <sz val="10"/>
        <color rgb="FF1F2A28"/>
        <rFont val="WenQuanYi Zen Hei"/>
        <family val="2"/>
      </rPr>
      <t xml:space="preserve">屏東市大連里建豐路</t>
    </r>
    <r>
      <rPr>
        <sz val="10"/>
        <color rgb="FF1F2A28"/>
        <rFont val="Arial"/>
        <family val="0"/>
        <charset val="1"/>
      </rPr>
      <t xml:space="preserve">206</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</si>
  <si>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08-737-0255</t>
  </si>
  <si>
    <t xml:space="preserve">2001-10-07</t>
  </si>
  <si>
    <t xml:space="preserve">倪嘉駿</t>
  </si>
  <si>
    <t xml:space="preserve">屏東縣私立瀚動英文美語短期補習班</t>
  </si>
  <si>
    <r>
      <rPr>
        <sz val="10"/>
        <color rgb="FF1F2A28"/>
        <rFont val="WenQuanYi Zen Hei"/>
        <family val="2"/>
      </rPr>
      <t xml:space="preserve">屏東市豐田里民學路</t>
    </r>
    <r>
      <rPr>
        <sz val="10"/>
        <color rgb="FF1F2A28"/>
        <rFont val="Arial"/>
        <family val="0"/>
        <charset val="1"/>
      </rPr>
      <t xml:space="preserve">74</t>
    </r>
    <r>
      <rPr>
        <sz val="10"/>
        <color rgb="FF1F2A28"/>
        <rFont val="WenQuanYi Zen Hei"/>
        <family val="2"/>
      </rPr>
      <t xml:space="preserve">號</t>
    </r>
  </si>
  <si>
    <t xml:space="preserve">08-7231212</t>
  </si>
  <si>
    <t xml:space="preserve">moveupenglish7231212@gmail.com</t>
  </si>
  <si>
    <t xml:space="preserve">陳奕安</t>
  </si>
  <si>
    <t xml:space="preserve">屏東縣私立牛耳美語文理短期補習班</t>
  </si>
  <si>
    <r>
      <rPr>
        <sz val="10"/>
        <color rgb="FF1F2A28"/>
        <rFont val="WenQuanYi Zen Hei"/>
        <family val="2"/>
      </rPr>
      <t xml:space="preserve">屏東市高豐街</t>
    </r>
    <r>
      <rPr>
        <sz val="10"/>
        <color rgb="FF1F2A28"/>
        <rFont val="Arial"/>
        <family val="0"/>
        <charset val="1"/>
      </rPr>
      <t xml:space="preserve">117</t>
    </r>
    <r>
      <rPr>
        <sz val="10"/>
        <color rgb="FF1F2A28"/>
        <rFont val="WenQuanYi Zen Hei"/>
        <family val="2"/>
      </rPr>
      <t xml:space="preserve">巷</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</si>
  <si>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(08)7363778</t>
  </si>
  <si>
    <t xml:space="preserve">newer3778@gmail.com</t>
  </si>
  <si>
    <t xml:space="preserve">2012-10-03</t>
  </si>
  <si>
    <t xml:space="preserve">陳芳萍</t>
  </si>
  <si>
    <t xml:space="preserve">屏東縣私立百勝美語短期補習班</t>
  </si>
  <si>
    <r>
      <rPr>
        <sz val="10"/>
        <color rgb="FF1F2A28"/>
        <rFont val="WenQuanYi Zen Hei"/>
        <family val="2"/>
      </rPr>
      <t xml:space="preserve">屏東市建豐路</t>
    </r>
    <r>
      <rPr>
        <sz val="10"/>
        <color rgb="FF1F2A28"/>
        <rFont val="Arial"/>
        <family val="0"/>
        <charset val="1"/>
      </rPr>
      <t xml:space="preserve">270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</si>
  <si>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(08)7353599</t>
  </si>
  <si>
    <t xml:space="preserve">lion3inpt@gmail.com</t>
  </si>
  <si>
    <t xml:space="preserve">朱曜棠</t>
  </si>
  <si>
    <t xml:space="preserve">屏東縣私立益群美語短期補習班</t>
  </si>
  <si>
    <r>
      <rPr>
        <sz val="10"/>
        <color rgb="FF1F2A28"/>
        <rFont val="WenQuanYi Zen Hei"/>
        <family val="2"/>
      </rPr>
      <t xml:space="preserve">屏東市建豐路</t>
    </r>
    <r>
      <rPr>
        <sz val="10"/>
        <color rgb="FF1F2A28"/>
        <rFont val="Arial"/>
        <family val="0"/>
        <charset val="1"/>
      </rPr>
      <t xml:space="preserve">120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</si>
  <si>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7373528</t>
  </si>
  <si>
    <t xml:space="preserve">2017-09-22</t>
  </si>
  <si>
    <t xml:space="preserve">屏東縣私立禮安美語文理短期補習班</t>
  </si>
  <si>
    <r>
      <rPr>
        <sz val="10"/>
        <color rgb="FF1F2A28"/>
        <rFont val="WenQuanYi Zen Hei"/>
        <family val="2"/>
      </rPr>
      <t xml:space="preserve">屏東市建豐路</t>
    </r>
    <r>
      <rPr>
        <sz val="10"/>
        <color rgb="FF1F2A28"/>
        <rFont val="Arial"/>
        <family val="0"/>
        <charset val="1"/>
      </rPr>
      <t xml:space="preserve">214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</si>
  <si>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(08)7385091</t>
  </si>
  <si>
    <t xml:space="preserve">87312go@giraffe.com.tw</t>
  </si>
  <si>
    <t xml:space="preserve">周聲耀</t>
  </si>
  <si>
    <t xml:space="preserve">周航輝</t>
  </si>
  <si>
    <t xml:space="preserve">屏東縣私立種籽美語文理短期補習班</t>
  </si>
  <si>
    <r>
      <rPr>
        <sz val="10"/>
        <color rgb="FF1F2A28"/>
        <rFont val="WenQuanYi Zen Hei"/>
        <family val="2"/>
      </rPr>
      <t xml:space="preserve">屏東市建豐路</t>
    </r>
    <r>
      <rPr>
        <sz val="10"/>
        <color rgb="FF1F2A28"/>
        <rFont val="Arial"/>
        <family val="0"/>
        <charset val="1"/>
      </rPr>
      <t xml:space="preserve">56</t>
    </r>
    <r>
      <rPr>
        <sz val="10"/>
        <color rgb="FF1F2A28"/>
        <rFont val="WenQuanYi Zen Hei"/>
        <family val="2"/>
      </rPr>
      <t xml:space="preserve">號</t>
    </r>
  </si>
  <si>
    <t xml:space="preserve">(08)7387532</t>
  </si>
  <si>
    <t xml:space="preserve">joy20020902@gmail.com</t>
  </si>
  <si>
    <t xml:space="preserve">謝春芳</t>
  </si>
  <si>
    <t xml:space="preserve">屏東縣私立立群美語文理短期補習班</t>
  </si>
  <si>
    <r>
      <rPr>
        <sz val="10"/>
        <color rgb="FF1F2A28"/>
        <rFont val="WenQuanYi Zen Hei"/>
        <family val="2"/>
      </rPr>
      <t xml:space="preserve">屏東市豐年街</t>
    </r>
    <r>
      <rPr>
        <sz val="10"/>
        <color rgb="FF1F2A28"/>
        <rFont val="Arial"/>
        <family val="0"/>
        <charset val="1"/>
      </rPr>
      <t xml:space="preserve">31</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3~4</t>
    </r>
    <r>
      <rPr>
        <sz val="10"/>
        <color rgb="FF1F2A28"/>
        <rFont val="WenQuanYi Zen Hei"/>
        <family val="2"/>
      </rPr>
      <t xml:space="preserve">樓</t>
    </r>
  </si>
  <si>
    <t xml:space="preserve">(08)7373528</t>
  </si>
  <si>
    <t xml:space="preserve">陳顯裕</t>
  </si>
  <si>
    <t xml:space="preserve">屏東縣私立羅琳美語文理短期補習班</t>
  </si>
  <si>
    <r>
      <rPr>
        <sz val="10"/>
        <color rgb="FF1F2A28"/>
        <rFont val="WenQuanYi Zen Hei"/>
        <family val="2"/>
      </rPr>
      <t xml:space="preserve">屏東市廣東路</t>
    </r>
    <r>
      <rPr>
        <sz val="10"/>
        <color rgb="FF1F2A28"/>
        <rFont val="Arial"/>
        <family val="0"/>
        <charset val="1"/>
      </rPr>
      <t xml:space="preserve">10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</si>
  <si>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(08)723-0058</t>
  </si>
  <si>
    <t xml:space="preserve">兒童美語科、英文、英文檢定科、英文會話科</t>
  </si>
  <si>
    <t xml:space="preserve">2021-01-19</t>
  </si>
  <si>
    <t xml:space="preserve">許詩榆</t>
  </si>
  <si>
    <t xml:space="preserve">屏東縣私立美利肯美語短期補習班</t>
  </si>
  <si>
    <r>
      <rPr>
        <sz val="10"/>
        <color rgb="FF1F2A28"/>
        <rFont val="WenQuanYi Zen Hei"/>
        <family val="2"/>
      </rPr>
      <t xml:space="preserve">屏東市建豐路</t>
    </r>
    <r>
      <rPr>
        <sz val="10"/>
        <color rgb="FF1F2A28"/>
        <rFont val="Arial"/>
        <family val="0"/>
        <charset val="1"/>
      </rPr>
      <t xml:space="preserve">212</t>
    </r>
    <r>
      <rPr>
        <sz val="10"/>
        <color rgb="FF1F2A28"/>
        <rFont val="WenQuanYi Zen Hei"/>
        <family val="2"/>
      </rPr>
      <t xml:space="preserve">號</t>
    </r>
  </si>
  <si>
    <t xml:space="preserve">(08)7382803</t>
  </si>
  <si>
    <t xml:space="preserve">aes087382803@gmail.com</t>
  </si>
  <si>
    <t xml:space="preserve">許瑜珊</t>
  </si>
  <si>
    <t xml:space="preserve">屏東縣私立美加美語短期補習班</t>
  </si>
  <si>
    <r>
      <rPr>
        <sz val="10"/>
        <color rgb="FF1F2A28"/>
        <rFont val="WenQuanYi Zen Hei"/>
        <family val="2"/>
      </rPr>
      <t xml:space="preserve">屏東市信義路</t>
    </r>
    <r>
      <rPr>
        <sz val="10"/>
        <color rgb="FF1F2A28"/>
        <rFont val="Arial"/>
        <family val="0"/>
        <charset val="1"/>
      </rPr>
      <t xml:space="preserve">141</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號第</t>
    </r>
    <r>
      <rPr>
        <sz val="10"/>
        <color rgb="FF1F2A28"/>
        <rFont val="Arial"/>
        <family val="0"/>
        <charset val="1"/>
      </rPr>
      <t xml:space="preserve">4</t>
    </r>
    <r>
      <rPr>
        <sz val="10"/>
        <color rgb="FF1F2A28"/>
        <rFont val="WenQuanYi Zen Hei"/>
        <family val="2"/>
      </rPr>
      <t xml:space="preserve">樓</t>
    </r>
  </si>
  <si>
    <t xml:space="preserve">08-7325538</t>
  </si>
  <si>
    <t xml:space="preserve">s7325538@yahoo.com.tw</t>
  </si>
  <si>
    <t xml:space="preserve">1998-10-07</t>
  </si>
  <si>
    <t xml:space="preserve">施彥州</t>
  </si>
  <si>
    <t xml:space="preserve">屏東縣私立老外美語短期補習班</t>
  </si>
  <si>
    <r>
      <rPr>
        <sz val="10"/>
        <color rgb="FF1F2A28"/>
        <rFont val="WenQuanYi Zen Hei"/>
        <family val="2"/>
      </rPr>
      <t xml:space="preserve">屏東市公華街</t>
    </r>
    <r>
      <rPr>
        <sz val="10"/>
        <color rgb="FF1F2A28"/>
        <rFont val="Arial"/>
        <family val="0"/>
        <charset val="1"/>
      </rPr>
      <t xml:space="preserve">256</t>
    </r>
    <r>
      <rPr>
        <sz val="10"/>
        <color rgb="FF1F2A28"/>
        <rFont val="WenQuanYi Zen Hei"/>
        <family val="2"/>
      </rPr>
      <t xml:space="preserve">號</t>
    </r>
  </si>
  <si>
    <t xml:space="preserve">(08)7532822</t>
  </si>
  <si>
    <t xml:space="preserve">nike123654789@gmail.com</t>
  </si>
  <si>
    <t xml:space="preserve">徐玉塔</t>
  </si>
  <si>
    <t xml:space="preserve">黃慶俞</t>
  </si>
  <si>
    <t xml:space="preserve">屏東縣私立芝麻街美語文理短期補習班</t>
  </si>
  <si>
    <r>
      <rPr>
        <sz val="10"/>
        <color rgb="FF1F2A28"/>
        <rFont val="WenQuanYi Zen Hei"/>
        <family val="2"/>
      </rPr>
      <t xml:space="preserve">屏東市自由路</t>
    </r>
    <r>
      <rPr>
        <sz val="10"/>
        <color rgb="FF1F2A28"/>
        <rFont val="Arial"/>
        <family val="0"/>
        <charset val="1"/>
      </rPr>
      <t xml:space="preserve">420-7</t>
    </r>
    <r>
      <rPr>
        <sz val="10"/>
        <color rgb="FF1F2A28"/>
        <rFont val="WenQuanYi Zen Hei"/>
        <family val="2"/>
      </rPr>
      <t xml:space="preserve">號</t>
    </r>
    <r>
      <rPr>
        <sz val="10"/>
        <color rgb="FF1F2A28"/>
        <rFont val="Arial"/>
        <family val="0"/>
        <charset val="1"/>
      </rPr>
      <t xml:space="preserve">1.2.4</t>
    </r>
    <r>
      <rPr>
        <sz val="10"/>
        <color rgb="FF1F2A28"/>
        <rFont val="WenQuanYi Zen Hei"/>
        <family val="2"/>
      </rPr>
      <t xml:space="preserve">樓</t>
    </r>
  </si>
  <si>
    <t xml:space="preserve">(08)7350353</t>
  </si>
  <si>
    <t xml:space="preserve">2003-06-30</t>
  </si>
  <si>
    <t xml:space="preserve">吳雅琪</t>
  </si>
  <si>
    <t xml:space="preserve">屏東縣私立藍鯨兒童美語短期補習班</t>
  </si>
  <si>
    <r>
      <rPr>
        <sz val="10"/>
        <color rgb="FF1F2A28"/>
        <rFont val="WenQuanYi Zen Hei"/>
        <family val="2"/>
      </rPr>
      <t xml:space="preserve">屏東市廣東路</t>
    </r>
    <r>
      <rPr>
        <sz val="10"/>
        <color rgb="FF1F2A28"/>
        <rFont val="Arial"/>
        <family val="0"/>
        <charset val="1"/>
      </rPr>
      <t xml:space="preserve">1514</t>
    </r>
    <r>
      <rPr>
        <sz val="10"/>
        <color rgb="FF1F2A28"/>
        <rFont val="WenQuanYi Zen Hei"/>
        <family val="2"/>
      </rPr>
      <t xml:space="preserve">號</t>
    </r>
  </si>
  <si>
    <t xml:space="preserve">(08)7336868</t>
  </si>
  <si>
    <t xml:space="preserve">amy481216@yahoo.com.tw</t>
  </si>
  <si>
    <t xml:space="preserve">2007-06-04</t>
  </si>
  <si>
    <t xml:space="preserve">張居正</t>
  </si>
  <si>
    <t xml:space="preserve">黃癸敏</t>
  </si>
  <si>
    <t xml:space="preserve">屏東縣私立親親美語文理短期補習班</t>
  </si>
  <si>
    <r>
      <rPr>
        <sz val="10"/>
        <color rgb="FF1F2A28"/>
        <rFont val="WenQuanYi Zen Hei"/>
        <family val="2"/>
      </rPr>
      <t xml:space="preserve">屏東市建武路</t>
    </r>
    <r>
      <rPr>
        <sz val="10"/>
        <color rgb="FF1F2A28"/>
        <rFont val="Arial"/>
        <family val="0"/>
        <charset val="1"/>
      </rPr>
      <t xml:space="preserve">111</t>
    </r>
    <r>
      <rPr>
        <sz val="10"/>
        <color rgb="FF1F2A28"/>
        <rFont val="WenQuanYi Zen Hei"/>
        <family val="2"/>
      </rPr>
      <t xml:space="preserve">號</t>
    </r>
  </si>
  <si>
    <t xml:space="preserve">(08)7539299</t>
  </si>
  <si>
    <t xml:space="preserve">黃國育</t>
  </si>
  <si>
    <t xml:space="preserve">吳曉春</t>
  </si>
  <si>
    <r>
      <rPr>
        <sz val="10"/>
        <color rgb="FF1F2A28"/>
        <rFont val="WenQuanYi Zen Hei"/>
        <family val="2"/>
      </rPr>
      <t xml:space="preserve">屏東縣私立辰冠文理短期補習班建豐分班</t>
    </r>
    <r>
      <rPr>
        <sz val="10"/>
        <color rgb="FF1F2A28"/>
        <rFont val="Arial"/>
        <family val="0"/>
        <charset val="1"/>
      </rPr>
      <t xml:space="preserve">(</t>
    </r>
    <r>
      <rPr>
        <sz val="10"/>
        <color rgb="FF1F2A28"/>
        <rFont val="WenQuanYi Zen Hei"/>
        <family val="2"/>
      </rPr>
      <t xml:space="preserve">原傑利文理</t>
    </r>
    <r>
      <rPr>
        <sz val="10"/>
        <color rgb="FF1F2A28"/>
        <rFont val="Arial"/>
        <family val="0"/>
        <charset val="1"/>
      </rPr>
      <t xml:space="preserve">)</t>
    </r>
  </si>
  <si>
    <r>
      <rPr>
        <sz val="10"/>
        <color rgb="FF1F2A28"/>
        <rFont val="WenQuanYi Zen Hei"/>
        <family val="2"/>
      </rPr>
      <t xml:space="preserve">屏東市建豐路</t>
    </r>
    <r>
      <rPr>
        <sz val="10"/>
        <color rgb="FF1F2A28"/>
        <rFont val="Arial"/>
        <family val="0"/>
        <charset val="1"/>
      </rPr>
      <t xml:space="preserve">99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</si>
  <si>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(08)7351321</t>
  </si>
  <si>
    <t xml:space="preserve">鄭婷文</t>
  </si>
  <si>
    <t xml:space="preserve">鄭博元</t>
  </si>
  <si>
    <t xml:space="preserve">屏東縣私立速學系文理美語短期補習班</t>
  </si>
  <si>
    <r>
      <rPr>
        <sz val="10"/>
        <color rgb="FF1F2A28"/>
        <rFont val="WenQuanYi Zen Hei"/>
        <family val="2"/>
      </rPr>
      <t xml:space="preserve">屏東市廣東路</t>
    </r>
    <r>
      <rPr>
        <sz val="10"/>
        <color rgb="FF1F2A28"/>
        <rFont val="Arial"/>
        <family val="0"/>
        <charset val="1"/>
      </rPr>
      <t xml:space="preserve">1406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</si>
  <si>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(08)7337206</t>
  </si>
  <si>
    <t xml:space="preserve">2011-12-29</t>
  </si>
  <si>
    <t xml:space="preserve">王淑惠</t>
  </si>
  <si>
    <t xml:space="preserve">屏東縣私立邦森美語短期補習班</t>
  </si>
  <si>
    <r>
      <rPr>
        <sz val="10"/>
        <color rgb="FF1F2A28"/>
        <rFont val="WenQuanYi Zen Hei"/>
        <family val="2"/>
      </rPr>
      <t xml:space="preserve">屏東市自由路</t>
    </r>
    <r>
      <rPr>
        <sz val="10"/>
        <color rgb="FF1F2A28"/>
        <rFont val="Arial"/>
        <family val="0"/>
        <charset val="1"/>
      </rPr>
      <t xml:space="preserve">389</t>
    </r>
    <r>
      <rPr>
        <sz val="10"/>
        <color rgb="FF1F2A28"/>
        <rFont val="WenQuanYi Zen Hei"/>
        <family val="2"/>
      </rPr>
      <t xml:space="preserve">號</t>
    </r>
  </si>
  <si>
    <t xml:space="preserve">(08)7375959</t>
  </si>
  <si>
    <t xml:space="preserve">2002-06-14</t>
  </si>
  <si>
    <t xml:space="preserve">邱明信</t>
  </si>
  <si>
    <t xml:space="preserve">屏東縣私立鄒老師美語文理短期補習班</t>
  </si>
  <si>
    <r>
      <rPr>
        <sz val="10"/>
        <color rgb="FF1F2A28"/>
        <rFont val="WenQuanYi Zen Hei"/>
        <family val="2"/>
      </rPr>
      <t xml:space="preserve">屏東市自立南路</t>
    </r>
    <r>
      <rPr>
        <sz val="10"/>
        <color rgb="FF1F2A28"/>
        <rFont val="Arial"/>
        <family val="0"/>
        <charset val="1"/>
      </rPr>
      <t xml:space="preserve">169</t>
    </r>
    <r>
      <rPr>
        <sz val="10"/>
        <color rgb="FF1F2A28"/>
        <rFont val="WenQuanYi Zen Hei"/>
        <family val="2"/>
      </rPr>
      <t xml:space="preserve">號</t>
    </r>
  </si>
  <si>
    <t xml:space="preserve">(08)7553637</t>
  </si>
  <si>
    <t xml:space="preserve">bb0953890616@gmail.com</t>
  </si>
  <si>
    <t xml:space="preserve">黃于珍</t>
  </si>
  <si>
    <t xml:space="preserve">屏東縣私立鑫怡光美語文理短期補習班</t>
  </si>
  <si>
    <r>
      <rPr>
        <sz val="10"/>
        <color rgb="FF1F2A28"/>
        <rFont val="WenQuanYi Zen Hei"/>
        <family val="2"/>
      </rPr>
      <t xml:space="preserve">屏東市溝美里自由路</t>
    </r>
    <r>
      <rPr>
        <sz val="10"/>
        <color rgb="FF1F2A28"/>
        <rFont val="Arial"/>
        <family val="0"/>
        <charset val="1"/>
      </rPr>
      <t xml:space="preserve">361-1</t>
    </r>
    <r>
      <rPr>
        <sz val="10"/>
        <color rgb="FF1F2A28"/>
        <rFont val="WenQuanYi Zen Hei"/>
        <family val="2"/>
      </rPr>
      <t xml:space="preserve">號</t>
    </r>
  </si>
  <si>
    <t xml:space="preserve">08-7388037</t>
  </si>
  <si>
    <t xml:space="preserve">2010-09-24</t>
  </si>
  <si>
    <t xml:space="preserve">盧怡伶</t>
  </si>
  <si>
    <t xml:space="preserve">黃柏森</t>
  </si>
  <si>
    <t xml:space="preserve">屏東縣私立開心美語短期補習班</t>
  </si>
  <si>
    <r>
      <rPr>
        <sz val="10"/>
        <color rgb="FF1F2A28"/>
        <rFont val="WenQuanYi Zen Hei"/>
        <family val="2"/>
      </rPr>
      <t xml:space="preserve">屏東市長春街</t>
    </r>
    <r>
      <rPr>
        <sz val="10"/>
        <color rgb="FF1F2A28"/>
        <rFont val="Arial"/>
        <family val="0"/>
        <charset val="1"/>
      </rPr>
      <t xml:space="preserve">169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</si>
  <si>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08-7369797</t>
  </si>
  <si>
    <t xml:space="preserve">2015-01-23</t>
  </si>
  <si>
    <t xml:space="preserve">蔡昀蒨</t>
  </si>
  <si>
    <t xml:space="preserve">屏東縣私立高群美語文理短期補習班</t>
  </si>
  <si>
    <r>
      <rPr>
        <sz val="10"/>
        <color rgb="FF1F2A28"/>
        <rFont val="WenQuanYi Zen Hei"/>
        <family val="2"/>
      </rPr>
      <t xml:space="preserve">屏東市廣東路</t>
    </r>
    <r>
      <rPr>
        <sz val="10"/>
        <color rgb="FF1F2A28"/>
        <rFont val="Arial"/>
        <family val="0"/>
        <charset val="1"/>
      </rPr>
      <t xml:space="preserve">1496</t>
    </r>
    <r>
      <rPr>
        <sz val="10"/>
        <color rgb="FF1F2A28"/>
        <rFont val="WenQuanYi Zen Hei"/>
        <family val="2"/>
      </rPr>
      <t xml:space="preserve">號</t>
    </r>
  </si>
  <si>
    <t xml:space="preserve">(08)733-9900</t>
  </si>
  <si>
    <t xml:space="preserve">2018-03-14</t>
  </si>
  <si>
    <t xml:space="preserve">潘維屏</t>
  </si>
  <si>
    <t xml:space="preserve">櫻花外語文化有限公司附設屏東縣私立櫻花美日韓語文理短期補習班</t>
  </si>
  <si>
    <r>
      <rPr>
        <sz val="10"/>
        <color rgb="FF1F2A28"/>
        <rFont val="WenQuanYi Zen Hei"/>
        <family val="2"/>
      </rPr>
      <t xml:space="preserve">屏東市仁愛路</t>
    </r>
    <r>
      <rPr>
        <sz val="10"/>
        <color rgb="FF1F2A28"/>
        <rFont val="Arial"/>
        <family val="0"/>
        <charset val="1"/>
      </rPr>
      <t xml:space="preserve">116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</si>
  <si>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08-7368948</t>
  </si>
  <si>
    <t xml:space="preserve">a4443emk@gmail.com</t>
  </si>
  <si>
    <t xml:space="preserve">私立戴爾興業有限公司附設戴爾美語短期補習班</t>
  </si>
  <si>
    <r>
      <rPr>
        <sz val="10"/>
        <color rgb="FF1F2A28"/>
        <rFont val="WenQuanYi Zen Hei"/>
        <family val="2"/>
      </rPr>
      <t xml:space="preserve">屏東市中山路</t>
    </r>
    <r>
      <rPr>
        <sz val="10"/>
        <color rgb="FF1F2A28"/>
        <rFont val="Arial"/>
        <family val="0"/>
        <charset val="1"/>
      </rPr>
      <t xml:space="preserve">4</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</si>
  <si>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(08)8101010</t>
  </si>
  <si>
    <t xml:space="preserve">2013-06-26</t>
  </si>
  <si>
    <t xml:space="preserve">彭子昂</t>
  </si>
  <si>
    <t xml:space="preserve">宜蘭縣</t>
  </si>
  <si>
    <t xml:space="preserve">私立三元及第文理短期補習班</t>
  </si>
  <si>
    <r>
      <rPr>
        <sz val="10"/>
        <color rgb="FF1F2A28"/>
        <rFont val="WenQuanYi Zen Hei"/>
        <family val="2"/>
      </rPr>
      <t xml:space="preserve">宜蘭縣羅東鎮中正北路</t>
    </r>
    <r>
      <rPr>
        <sz val="10"/>
        <color rgb="FF1F2A28"/>
        <rFont val="Arial"/>
        <family val="0"/>
        <charset val="1"/>
      </rPr>
      <t xml:space="preserve">39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</si>
  <si>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(03)9557123</t>
  </si>
  <si>
    <t xml:space="preserve">39master@3dollars.com.tw</t>
  </si>
  <si>
    <t xml:space="preserve">2018-11-05</t>
  </si>
  <si>
    <t xml:space="preserve">林貞秀</t>
  </si>
  <si>
    <t xml:space="preserve">鍾祥</t>
  </si>
  <si>
    <t xml:space="preserve">私立王牌語文短期補習班</t>
  </si>
  <si>
    <r>
      <rPr>
        <sz val="10"/>
        <color rgb="FF1F2A28"/>
        <rFont val="WenQuanYi Zen Hei"/>
        <family val="2"/>
      </rPr>
      <t xml:space="preserve">宜蘭縣宜蘭市農權路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71</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</si>
  <si>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(03)9363969</t>
  </si>
  <si>
    <t xml:space="preserve">ace.yilan@gmail.com</t>
  </si>
  <si>
    <t xml:space="preserve">英文、英文證照 班</t>
  </si>
  <si>
    <t xml:space="preserve">2011-09-21</t>
  </si>
  <si>
    <t xml:space="preserve">梁嘉惠</t>
  </si>
  <si>
    <t xml:space="preserve">三星鄉</t>
  </si>
  <si>
    <t xml:space="preserve">私立上將文理短期補習班</t>
  </si>
  <si>
    <r>
      <rPr>
        <sz val="10"/>
        <color rgb="FF1F2A28"/>
        <rFont val="WenQuanYi Zen Hei"/>
        <family val="2"/>
      </rPr>
      <t xml:space="preserve">三星鄉義德二路</t>
    </r>
    <r>
      <rPr>
        <sz val="10"/>
        <color rgb="FF1F2A28"/>
        <rFont val="Arial"/>
        <family val="0"/>
        <charset val="1"/>
      </rPr>
      <t xml:space="preserve">70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</si>
  <si>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(03)9894355</t>
  </si>
  <si>
    <t xml:space="preserve">2010-08-26</t>
  </si>
  <si>
    <t xml:space="preserve">私立伯格文理短期補習班</t>
  </si>
  <si>
    <r>
      <rPr>
        <sz val="10"/>
        <color rgb="FF1F2A28"/>
        <rFont val="WenQuanYi Zen Hei"/>
        <family val="2"/>
      </rPr>
      <t xml:space="preserve">三星鄉義德村星義路</t>
    </r>
    <r>
      <rPr>
        <sz val="10"/>
        <color rgb="FF1F2A28"/>
        <rFont val="Arial"/>
        <family val="0"/>
        <charset val="1"/>
      </rPr>
      <t xml:space="preserve">203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</si>
  <si>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(03)9895911</t>
  </si>
  <si>
    <t xml:space="preserve">ilu56102822@gmail.com</t>
  </si>
  <si>
    <t xml:space="preserve">2012-10-15</t>
  </si>
  <si>
    <t xml:space="preserve">陳婉柔</t>
  </si>
  <si>
    <t xml:space="preserve">私立新球美語短期補習班</t>
  </si>
  <si>
    <r>
      <rPr>
        <sz val="10"/>
        <color rgb="FF1F2A28"/>
        <rFont val="WenQuanYi Zen Hei"/>
        <family val="2"/>
      </rPr>
      <t xml:space="preserve">三星鄉義德二路</t>
    </r>
    <r>
      <rPr>
        <sz val="10"/>
        <color rgb="FF1F2A28"/>
        <rFont val="Arial"/>
        <family val="0"/>
        <charset val="1"/>
      </rPr>
      <t xml:space="preserve">116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</si>
  <si>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(03)9895343</t>
  </si>
  <si>
    <t xml:space="preserve">國中英文、國小英文</t>
  </si>
  <si>
    <t xml:space="preserve">2008-08-08</t>
  </si>
  <si>
    <t xml:space="preserve">沈宜萱</t>
  </si>
  <si>
    <t xml:space="preserve">五結鄉</t>
  </si>
  <si>
    <t xml:space="preserve">私立家恩美語短期補習班</t>
  </si>
  <si>
    <r>
      <rPr>
        <sz val="10"/>
        <color rgb="FF1F2A28"/>
        <rFont val="WenQuanYi Zen Hei"/>
        <family val="2"/>
      </rPr>
      <t xml:space="preserve">五結鄉協同街</t>
    </r>
    <r>
      <rPr>
        <sz val="10"/>
        <color rgb="FF1F2A28"/>
        <rFont val="Arial"/>
        <family val="0"/>
        <charset val="1"/>
      </rPr>
      <t xml:space="preserve">1</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</si>
  <si>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(03)9500365</t>
  </si>
  <si>
    <t xml:space="preserve">兒童英文、國中英文</t>
  </si>
  <si>
    <t xml:space="preserve">2006-08-02</t>
  </si>
  <si>
    <t xml:space="preserve">詹淑瑜</t>
  </si>
  <si>
    <t xml:space="preserve">私立鼎升美語文理短期補習班</t>
  </si>
  <si>
    <r>
      <rPr>
        <sz val="10"/>
        <color rgb="FF1F2A28"/>
        <rFont val="WenQuanYi Zen Hei"/>
        <family val="2"/>
      </rPr>
      <t xml:space="preserve">五結鄉中興路一段</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</si>
  <si>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(03)9605213</t>
  </si>
  <si>
    <t xml:space="preserve">ying33015951@gmail.com</t>
  </si>
  <si>
    <t xml:space="preserve">陳映綺</t>
  </si>
  <si>
    <t xml:space="preserve">冬山鄉</t>
  </si>
  <si>
    <t xml:space="preserve">私立佰科文理短期補習班順安分班</t>
  </si>
  <si>
    <r>
      <rPr>
        <sz val="10"/>
        <color rgb="FF1F2A28"/>
        <rFont val="WenQuanYi Zen Hei"/>
        <family val="2"/>
      </rPr>
      <t xml:space="preserve">冬山鄉華祥路</t>
    </r>
    <r>
      <rPr>
        <sz val="10"/>
        <color rgb="FF1F2A28"/>
        <rFont val="Arial"/>
        <family val="0"/>
        <charset val="1"/>
      </rPr>
      <t xml:space="preserve">2-2</t>
    </r>
    <r>
      <rPr>
        <sz val="10"/>
        <color rgb="FF1F2A28"/>
        <rFont val="WenQuanYi Zen Hei"/>
        <family val="2"/>
      </rPr>
      <t xml:space="preserve">號</t>
    </r>
  </si>
  <si>
    <t xml:space="preserve">(03)9581818</t>
  </si>
  <si>
    <t xml:space="preserve">pompomballl@gmail.com</t>
  </si>
  <si>
    <t xml:space="preserve">何美珊</t>
  </si>
  <si>
    <t xml:space="preserve">王婕錚</t>
  </si>
  <si>
    <t xml:space="preserve">私立喬治亞文理短期補習班</t>
  </si>
  <si>
    <r>
      <rPr>
        <sz val="10"/>
        <color rgb="FF1F2A28"/>
        <rFont val="WenQuanYi Zen Hei"/>
        <family val="2"/>
      </rPr>
      <t xml:space="preserve">冬山鄉南興路</t>
    </r>
    <r>
      <rPr>
        <sz val="10"/>
        <color rgb="FF1F2A28"/>
        <rFont val="Arial"/>
        <family val="0"/>
        <charset val="1"/>
      </rPr>
      <t xml:space="preserve">78</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</si>
  <si>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(03)9591633</t>
  </si>
  <si>
    <t xml:space="preserve">apple9591633@gmail.com</t>
  </si>
  <si>
    <t xml:space="preserve">羅向剛</t>
  </si>
  <si>
    <t xml:space="preserve">私立小荳苗文理短期補習班</t>
  </si>
  <si>
    <r>
      <rPr>
        <sz val="10"/>
        <color rgb="FF1F2A28"/>
        <rFont val="WenQuanYi Zen Hei"/>
        <family val="2"/>
      </rPr>
      <t xml:space="preserve">冬山鄉照安路</t>
    </r>
    <r>
      <rPr>
        <sz val="10"/>
        <color rgb="FF1F2A28"/>
        <rFont val="Arial"/>
        <family val="0"/>
        <charset val="1"/>
      </rPr>
      <t xml:space="preserve">45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</si>
  <si>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(03)9594201</t>
  </si>
  <si>
    <t xml:space="preserve">pudding11291@gmail.com</t>
  </si>
  <si>
    <t xml:space="preserve">林文靜</t>
  </si>
  <si>
    <t xml:space="preserve">私立萊恩文理短期補習班</t>
  </si>
  <si>
    <r>
      <rPr>
        <sz val="10"/>
        <color rgb="FF1F2A28"/>
        <rFont val="WenQuanYi Zen Hei"/>
        <family val="2"/>
      </rPr>
      <t xml:space="preserve">冬山鄉香南路</t>
    </r>
    <r>
      <rPr>
        <sz val="10"/>
        <color rgb="FF1F2A28"/>
        <rFont val="Arial"/>
        <family val="0"/>
        <charset val="1"/>
      </rPr>
      <t xml:space="preserve">355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</si>
  <si>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(03)9590800</t>
  </si>
  <si>
    <t xml:space="preserve">黃淑惠</t>
  </si>
  <si>
    <t xml:space="preserve">李建賢</t>
  </si>
  <si>
    <t xml:space="preserve">宜蘭市</t>
  </si>
  <si>
    <t xml:space="preserve">中國青年救國團宜蘭縣團務指導委員會附設蘭苑電腦語文家政短期補習班</t>
  </si>
  <si>
    <r>
      <rPr>
        <sz val="10"/>
        <color rgb="FF1F2A28"/>
        <rFont val="WenQuanYi Zen Hei"/>
        <family val="2"/>
      </rPr>
      <t xml:space="preserve">宜蘭市民權新路</t>
    </r>
    <r>
      <rPr>
        <sz val="10"/>
        <color rgb="FF1F2A28"/>
        <rFont val="Arial"/>
        <family val="0"/>
        <charset val="1"/>
      </rPr>
      <t xml:space="preserve">102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</si>
  <si>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r>
      <rPr>
        <sz val="10"/>
        <color rgb="FF1F2A28"/>
        <rFont val="Arial"/>
        <family val="0"/>
        <charset val="1"/>
      </rPr>
      <t xml:space="preserve">(03)9353411</t>
    </r>
    <r>
      <rPr>
        <sz val="10"/>
        <color rgb="FF1F2A28"/>
        <rFont val="WenQuanYi Zen Hei"/>
        <family val="2"/>
      </rPr>
      <t xml:space="preserve">分機</t>
    </r>
    <r>
      <rPr>
        <sz val="10"/>
        <color rgb="FF1F2A28"/>
        <rFont val="Arial"/>
        <family val="0"/>
        <charset val="1"/>
      </rPr>
      <t xml:space="preserve">24</t>
    </r>
  </si>
  <si>
    <t xml:space="preserve">cyc9353411@cyc.tw</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</si>
  <si>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資訊類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美術、書法、攝影、美工設計、圍棋類</t>
    </r>
    <r>
      <rPr>
        <sz val="10"/>
        <color rgb="FF1F2A28"/>
        <rFont val="Arial"/>
        <family val="0"/>
        <charset val="1"/>
      </rPr>
      <t xml:space="preserve">,</t>
    </r>
    <r>
      <rPr>
        <sz val="10"/>
        <color rgb="FF1F2A28"/>
        <rFont val="WenQuanYi Zen Hei"/>
        <family val="2"/>
      </rPr>
      <t xml:space="preserve">瑜珈類</t>
    </r>
    <r>
      <rPr>
        <sz val="10"/>
        <color rgb="FF1F2A28"/>
        <rFont val="Arial"/>
        <family val="0"/>
        <charset val="1"/>
      </rPr>
      <t xml:space="preserve">,</t>
    </r>
    <r>
      <rPr>
        <sz val="10"/>
        <color rgb="FF1F2A28"/>
        <rFont val="WenQuanYi Zen Hei"/>
        <family val="2"/>
      </rPr>
      <t xml:space="preserve">其他類</t>
    </r>
  </si>
  <si>
    <t xml:space="preserve">1996-05-30</t>
  </si>
  <si>
    <t xml:space="preserve">中國青年救國團宜蘭縣團務指導委員會（代表人：李林耀埜）</t>
  </si>
  <si>
    <t xml:space="preserve">張雅嵐</t>
  </si>
  <si>
    <t xml:space="preserve">理想文教有限公司附設私立逸學文理短期補習班宜蘭分班</t>
  </si>
  <si>
    <r>
      <rPr>
        <sz val="10"/>
        <color rgb="FF1F2A28"/>
        <rFont val="WenQuanYi Zen Hei"/>
        <family val="2"/>
      </rPr>
      <t xml:space="preserve">宜蘭市女中路二段</t>
    </r>
    <r>
      <rPr>
        <sz val="10"/>
        <color rgb="FF1F2A28"/>
        <rFont val="Arial"/>
        <family val="0"/>
        <charset val="1"/>
      </rPr>
      <t xml:space="preserve">441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</si>
  <si>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(03)936001</t>
  </si>
  <si>
    <t xml:space="preserve">exceedlanyang9360011@gmail.com</t>
  </si>
  <si>
    <t xml:space="preserve">2026-03-31</t>
  </si>
  <si>
    <t xml:space="preserve">姚克諺</t>
  </si>
  <si>
    <t xml:space="preserve">王瑜萱</t>
  </si>
  <si>
    <t xml:space="preserve">真善美文化藝術有限公司附設宜蘭縣私立國際地球村文理短期補習班</t>
  </si>
  <si>
    <r>
      <rPr>
        <sz val="10"/>
        <color rgb="FF1F2A28"/>
        <rFont val="WenQuanYi Zen Hei"/>
        <family val="2"/>
      </rPr>
      <t xml:space="preserve">宜蘭市宜興路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255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</si>
  <si>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(03)9358176</t>
  </si>
  <si>
    <t xml:space="preserve">黃玉萍</t>
  </si>
  <si>
    <t xml:space="preserve">私立何嘉仁文理短期補習班</t>
  </si>
  <si>
    <r>
      <rPr>
        <sz val="10"/>
        <color rgb="FF1F2A28"/>
        <rFont val="WenQuanYi Zen Hei"/>
        <family val="2"/>
      </rPr>
      <t xml:space="preserve">宜蘭市女中路三段</t>
    </r>
    <r>
      <rPr>
        <sz val="10"/>
        <color rgb="FF1F2A28"/>
        <rFont val="Arial"/>
        <family val="0"/>
        <charset val="1"/>
      </rPr>
      <t xml:space="preserve">319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</si>
  <si>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(03)9325675</t>
  </si>
  <si>
    <t xml:space="preserve">hs2135@hess.com.tw</t>
  </si>
  <si>
    <t xml:space="preserve">2003-08-22</t>
  </si>
  <si>
    <t xml:space="preserve">張旆瑜</t>
  </si>
  <si>
    <t xml:space="preserve">私立佳音語文短期補習班</t>
  </si>
  <si>
    <r>
      <rPr>
        <sz val="10"/>
        <color rgb="FF1F2A28"/>
        <rFont val="WenQuanYi Zen Hei"/>
        <family val="2"/>
      </rPr>
      <t xml:space="preserve">宜蘭市宜中路</t>
    </r>
    <r>
      <rPr>
        <sz val="10"/>
        <color rgb="FF1F2A28"/>
        <rFont val="Arial"/>
        <family val="0"/>
        <charset val="1"/>
      </rPr>
      <t xml:space="preserve">47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</si>
  <si>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(03)9357857</t>
  </si>
  <si>
    <t xml:space="preserve">injoyeo@gmail.com</t>
  </si>
  <si>
    <t xml:space="preserve">1998-09-15</t>
  </si>
  <si>
    <t xml:space="preserve">林美玉</t>
  </si>
  <si>
    <t xml:space="preserve">陳依琳</t>
  </si>
  <si>
    <t xml:space="preserve">私立佳音語文短期補習班黎明分班</t>
  </si>
  <si>
    <r>
      <rPr>
        <sz val="10"/>
        <color rgb="FF1F2A28"/>
        <rFont val="WenQuanYi Zen Hei"/>
        <family val="2"/>
      </rPr>
      <t xml:space="preserve">宜蘭市女中路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121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123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</si>
  <si>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r>
      <rPr>
        <sz val="10"/>
        <color rgb="FF1F2A28"/>
        <rFont val="Arial"/>
        <family val="0"/>
        <charset val="1"/>
      </rPr>
      <t xml:space="preserve">(03)9385111</t>
    </r>
    <r>
      <rPr>
        <sz val="10"/>
        <color rgb="FF1F2A28"/>
        <rFont val="WenQuanYi Zen Hei"/>
        <family val="2"/>
      </rPr>
      <t xml:space="preserve">、</t>
    </r>
    <r>
      <rPr>
        <sz val="10"/>
        <color rgb="FF1F2A28"/>
        <rFont val="Arial"/>
        <family val="0"/>
        <charset val="1"/>
      </rPr>
      <t xml:space="preserve">(03)9381187</t>
    </r>
  </si>
  <si>
    <t xml:space="preserve">honkenrique8@gmail.com</t>
  </si>
  <si>
    <t xml:space="preserve">2002-10-07</t>
  </si>
  <si>
    <t xml:space="preserve">黃中信</t>
  </si>
  <si>
    <t xml:space="preserve">私立加州柏克萊文理短期補習班</t>
  </si>
  <si>
    <r>
      <rPr>
        <sz val="10"/>
        <color rgb="FF1F2A28"/>
        <rFont val="WenQuanYi Zen Hei"/>
        <family val="2"/>
      </rPr>
      <t xml:space="preserve">宜蘭市校舍二路</t>
    </r>
    <r>
      <rPr>
        <sz val="10"/>
        <color rgb="FF1F2A28"/>
        <rFont val="Arial"/>
        <family val="0"/>
        <charset val="1"/>
      </rPr>
      <t xml:space="preserve">73</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</si>
  <si>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(03)9387768</t>
  </si>
  <si>
    <t xml:space="preserve">joanne380848@yahoo.com.tw</t>
  </si>
  <si>
    <t xml:space="preserve">林志鴻</t>
  </si>
  <si>
    <t xml:space="preserve">賴宗伸</t>
  </si>
  <si>
    <t xml:space="preserve">私立加楓文理短期補習班</t>
  </si>
  <si>
    <r>
      <rPr>
        <sz val="10"/>
        <color rgb="FF1F2A28"/>
        <rFont val="WenQuanYi Zen Hei"/>
        <family val="2"/>
      </rPr>
      <t xml:space="preserve">宜蘭市民族路</t>
    </r>
    <r>
      <rPr>
        <sz val="10"/>
        <color rgb="FF1F2A28"/>
        <rFont val="Arial"/>
        <family val="0"/>
        <charset val="1"/>
      </rPr>
      <t xml:space="preserve">145</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樓、民族路</t>
    </r>
    <r>
      <rPr>
        <sz val="10"/>
        <color rgb="FF1F2A28"/>
        <rFont val="Arial"/>
        <family val="0"/>
        <charset val="1"/>
      </rPr>
      <t xml:space="preserve">143</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</si>
  <si>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(03)9311627</t>
  </si>
  <si>
    <t xml:space="preserve">260mlec@gmail.com</t>
  </si>
  <si>
    <t xml:space="preserve">2004-06-18</t>
  </si>
  <si>
    <r>
      <rPr>
        <sz val="10"/>
        <color rgb="FF1F2A28"/>
        <rFont val="WenQuanYi Zen Hei"/>
        <family val="2"/>
      </rPr>
      <t xml:space="preserve">邱瑞蒙</t>
    </r>
    <r>
      <rPr>
        <sz val="10"/>
        <color rgb="FF1F2A28"/>
        <rFont val="Arial"/>
        <family val="0"/>
        <charset val="1"/>
      </rPr>
      <t xml:space="preserve">(CHEW RAYMOND LESLEY)</t>
    </r>
  </si>
  <si>
    <t xml:space="preserve">李靜宜</t>
  </si>
  <si>
    <t xml:space="preserve">私立圓音符音樂美語中心短期補習班</t>
  </si>
  <si>
    <r>
      <rPr>
        <sz val="10"/>
        <color rgb="FF1F2A28"/>
        <rFont val="WenQuanYi Zen Hei"/>
        <family val="2"/>
      </rPr>
      <t xml:space="preserve">宜蘭市復興路一段</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</si>
  <si>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(03)9328340</t>
  </si>
  <si>
    <t xml:space="preserve">keykey6423@gmail.com</t>
  </si>
  <si>
    <t xml:space="preserve">2001-12-11</t>
  </si>
  <si>
    <t xml:space="preserve">趙淑芬</t>
  </si>
  <si>
    <t xml:space="preserve">曾婉嘉</t>
  </si>
  <si>
    <t xml:space="preserve">私立培根文理短期補習班</t>
  </si>
  <si>
    <r>
      <rPr>
        <sz val="10"/>
        <color rgb="FF1F2A28"/>
        <rFont val="WenQuanYi Zen Hei"/>
        <family val="2"/>
      </rPr>
      <t xml:space="preserve">宜蘭市校舍二路</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</si>
  <si>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(03)9380395</t>
  </si>
  <si>
    <t xml:space="preserve">bacon268268@gmail.com</t>
  </si>
  <si>
    <t xml:space="preserve">2025-07-11</t>
  </si>
  <si>
    <t xml:space="preserve">賴柔均</t>
  </si>
  <si>
    <t xml:space="preserve">陳芯頣</t>
  </si>
  <si>
    <t xml:space="preserve">私立培爾傑特美語會話短期補習班</t>
  </si>
  <si>
    <r>
      <rPr>
        <sz val="10"/>
        <color rgb="FF1F2A28"/>
        <rFont val="WenQuanYi Zen Hei"/>
        <family val="2"/>
      </rPr>
      <t xml:space="preserve">宜蘭市民族路</t>
    </r>
    <r>
      <rPr>
        <sz val="10"/>
        <color rgb="FF1F2A28"/>
        <rFont val="Arial"/>
        <family val="0"/>
        <charset val="1"/>
      </rPr>
      <t xml:space="preserve">582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</si>
  <si>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(03)9321666</t>
  </si>
  <si>
    <t xml:space="preserve">percharter@yahoo.com.tw</t>
  </si>
  <si>
    <t xml:space="preserve">1996-03-11</t>
  </si>
  <si>
    <t xml:space="preserve">莊蟬憶</t>
  </si>
  <si>
    <t xml:space="preserve">私立宸安文理短期補習班</t>
  </si>
  <si>
    <r>
      <rPr>
        <sz val="10"/>
        <color rgb="FF1F2A28"/>
        <rFont val="WenQuanYi Zen Hei"/>
        <family val="2"/>
      </rPr>
      <t xml:space="preserve">宜蘭市東港路二段</t>
    </r>
    <r>
      <rPr>
        <sz val="10"/>
        <color rgb="FF1F2A28"/>
        <rFont val="Arial"/>
        <family val="0"/>
        <charset val="1"/>
      </rPr>
      <t xml:space="preserve">168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</si>
  <si>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(03)937-2168</t>
  </si>
  <si>
    <t xml:space="preserve">gilesalin@hotmail.com</t>
  </si>
  <si>
    <t xml:space="preserve">2008-03-31</t>
  </si>
  <si>
    <t xml:space="preserve">林紋妃</t>
  </si>
  <si>
    <t xml:space="preserve">林紋慈</t>
  </si>
  <si>
    <t xml:space="preserve">私立寶貝熊語文短期補習班</t>
  </si>
  <si>
    <r>
      <rPr>
        <sz val="10"/>
        <color rgb="FF1F2A28"/>
        <rFont val="WenQuanYi Zen Hei"/>
        <family val="2"/>
      </rPr>
      <t xml:space="preserve">宜蘭市民權新路</t>
    </r>
    <r>
      <rPr>
        <sz val="10"/>
        <color rgb="FF1F2A28"/>
        <rFont val="Arial"/>
        <family val="0"/>
        <charset val="1"/>
      </rPr>
      <t xml:space="preserve">252</t>
    </r>
    <r>
      <rPr>
        <sz val="10"/>
        <color rgb="FF1F2A28"/>
        <rFont val="WenQuanYi Zen Hei"/>
        <family val="2"/>
      </rPr>
      <t xml:space="preserve">、</t>
    </r>
    <r>
      <rPr>
        <sz val="10"/>
        <color rgb="FF1F2A28"/>
        <rFont val="Arial"/>
        <family val="0"/>
        <charset val="1"/>
      </rPr>
      <t xml:space="preserve">254</t>
    </r>
    <r>
      <rPr>
        <sz val="10"/>
        <color rgb="FF1F2A28"/>
        <rFont val="WenQuanYi Zen Hei"/>
        <family val="2"/>
      </rPr>
      <t xml:space="preserve">、</t>
    </r>
    <r>
      <rPr>
        <sz val="10"/>
        <color rgb="FF1F2A28"/>
        <rFont val="Arial"/>
        <family val="0"/>
        <charset val="1"/>
      </rPr>
      <t xml:space="preserve">256</t>
    </r>
    <r>
      <rPr>
        <sz val="10"/>
        <color rgb="FF1F2A28"/>
        <rFont val="WenQuanYi Zen Hei"/>
        <family val="2"/>
      </rPr>
      <t xml:space="preserve">、</t>
    </r>
    <r>
      <rPr>
        <sz val="10"/>
        <color rgb="FF1F2A28"/>
        <rFont val="Arial"/>
        <family val="0"/>
        <charset val="1"/>
      </rPr>
      <t xml:space="preserve">258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</si>
  <si>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(03)9367857</t>
  </si>
  <si>
    <t xml:space="preserve">陳宇民</t>
  </si>
  <si>
    <t xml:space="preserve">羅安倩</t>
  </si>
  <si>
    <r>
      <rPr>
        <sz val="10"/>
        <color rgb="FF1F2A28"/>
        <rFont val="WenQuanYi Zen Hei"/>
        <family val="2"/>
      </rPr>
      <t xml:space="preserve">宜蘭市光復路</t>
    </r>
    <r>
      <rPr>
        <sz val="10"/>
        <color rgb="FF1F2A28"/>
        <rFont val="Arial"/>
        <family val="0"/>
        <charset val="1"/>
      </rPr>
      <t xml:space="preserve">35</t>
    </r>
    <r>
      <rPr>
        <sz val="10"/>
        <color rgb="FF1F2A28"/>
        <rFont val="WenQuanYi Zen Hei"/>
        <family val="2"/>
      </rPr>
      <t xml:space="preserve">號</t>
    </r>
  </si>
  <si>
    <t xml:space="preserve">(03)9334002</t>
  </si>
  <si>
    <t xml:space="preserve">davidlin649767@gmail.com</t>
  </si>
  <si>
    <t xml:space="preserve">2000-09-13</t>
  </si>
  <si>
    <t xml:space="preserve">林書賢</t>
  </si>
  <si>
    <t xml:space="preserve">私立尤揚文理短期補習班</t>
  </si>
  <si>
    <r>
      <rPr>
        <sz val="10"/>
        <color rgb="FF1F2A28"/>
        <rFont val="WenQuanYi Zen Hei"/>
        <family val="2"/>
      </rPr>
      <t xml:space="preserve">宜蘭市黎明三路</t>
    </r>
    <r>
      <rPr>
        <sz val="10"/>
        <color rgb="FF1F2A28"/>
        <rFont val="Arial"/>
        <family val="0"/>
        <charset val="1"/>
      </rPr>
      <t xml:space="preserve">446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</si>
  <si>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(03)9311842</t>
  </si>
  <si>
    <t xml:space="preserve">a0935326731@gmail.com</t>
  </si>
  <si>
    <t xml:space="preserve">2015-06-03</t>
  </si>
  <si>
    <t xml:space="preserve">游玉玲</t>
  </si>
  <si>
    <t xml:space="preserve">戴永慧</t>
  </si>
  <si>
    <t xml:space="preserve">私立布萊恩美語短期補習班</t>
  </si>
  <si>
    <r>
      <rPr>
        <sz val="10"/>
        <color rgb="FF1F2A28"/>
        <rFont val="WenQuanYi Zen Hei"/>
        <family val="2"/>
      </rPr>
      <t xml:space="preserve">宜蘭市校舍一路</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</si>
  <si>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(03)9380776</t>
  </si>
  <si>
    <t xml:space="preserve">私立徐薇英文語文文理短期補習班</t>
  </si>
  <si>
    <r>
      <rPr>
        <sz val="10"/>
        <color rgb="FF1F2A28"/>
        <rFont val="WenQuanYi Zen Hei"/>
        <family val="2"/>
      </rPr>
      <t xml:space="preserve">宜蘭市泰山路</t>
    </r>
    <r>
      <rPr>
        <sz val="10"/>
        <color rgb="FF1F2A28"/>
        <rFont val="Arial"/>
        <family val="0"/>
        <charset val="1"/>
      </rPr>
      <t xml:space="preserve">143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</si>
  <si>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(03)9315880</t>
  </si>
  <si>
    <t xml:space="preserve">2015-09-11</t>
  </si>
  <si>
    <t xml:space="preserve">黃薇靜</t>
  </si>
  <si>
    <r>
      <rPr>
        <sz val="10"/>
        <color rgb="FF1F2A28"/>
        <rFont val="WenQuanYi Zen Hei"/>
        <family val="2"/>
      </rPr>
      <t xml:space="preserve">宜蘭市國榮路</t>
    </r>
    <r>
      <rPr>
        <sz val="10"/>
        <color rgb="FF1F2A28"/>
        <rFont val="Arial"/>
        <family val="0"/>
        <charset val="1"/>
      </rPr>
      <t xml:space="preserve">161</t>
    </r>
    <r>
      <rPr>
        <sz val="10"/>
        <color rgb="FF1F2A28"/>
        <rFont val="WenQuanYi Zen Hei"/>
        <family val="2"/>
      </rPr>
      <t xml:space="preserve">、</t>
    </r>
    <r>
      <rPr>
        <sz val="10"/>
        <color rgb="FF1F2A28"/>
        <rFont val="Arial"/>
        <family val="0"/>
        <charset val="1"/>
      </rPr>
      <t xml:space="preserve">159</t>
    </r>
    <r>
      <rPr>
        <sz val="10"/>
        <color rgb="FF1F2A28"/>
        <rFont val="WenQuanYi Zen Hei"/>
        <family val="2"/>
      </rPr>
      <t xml:space="preserve">、</t>
    </r>
    <r>
      <rPr>
        <sz val="10"/>
        <color rgb="FF1F2A28"/>
        <rFont val="Arial"/>
        <family val="0"/>
        <charset val="1"/>
      </rPr>
      <t xml:space="preserve">167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</si>
  <si>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(03)9312218</t>
  </si>
  <si>
    <t xml:space="preserve">dvc039312218@gmail.com</t>
  </si>
  <si>
    <t xml:space="preserve">私立我思文理短期補習班</t>
  </si>
  <si>
    <r>
      <rPr>
        <sz val="10"/>
        <color rgb="FF1F2A28"/>
        <rFont val="WenQuanYi Zen Hei"/>
        <family val="2"/>
      </rPr>
      <t xml:space="preserve">宜蘭市泰山路</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</si>
  <si>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(03)9330529</t>
  </si>
  <si>
    <t xml:space="preserve">theapple229@gmail.com</t>
  </si>
  <si>
    <t xml:space="preserve">2024-12-30</t>
  </si>
  <si>
    <t xml:space="preserve">簡芳萍</t>
  </si>
  <si>
    <t xml:space="preserve">私立探索語言文理短期補習班</t>
  </si>
  <si>
    <r>
      <rPr>
        <sz val="10"/>
        <color rgb="FF1F2A28"/>
        <rFont val="WenQuanYi Zen Hei"/>
        <family val="2"/>
      </rPr>
      <t xml:space="preserve">宜蘭市文化路</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</si>
  <si>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03-9333990</t>
  </si>
  <si>
    <t xml:space="preserve">nickkent5@hotmail.com</t>
  </si>
  <si>
    <t xml:space="preserve">2015-10-23</t>
  </si>
  <si>
    <t xml:space="preserve">甘察理</t>
  </si>
  <si>
    <t xml:space="preserve">蔣仲杰</t>
  </si>
  <si>
    <t xml:space="preserve">私立泰瑞美語短期補習班</t>
  </si>
  <si>
    <r>
      <rPr>
        <sz val="10"/>
        <color rgb="FF1F2A28"/>
        <rFont val="WenQuanYi Zen Hei"/>
        <family val="2"/>
      </rPr>
      <t xml:space="preserve">宜蘭市嵐峰路三段</t>
    </r>
    <r>
      <rPr>
        <sz val="10"/>
        <color rgb="FF1F2A28"/>
        <rFont val="Arial"/>
        <family val="0"/>
        <charset val="1"/>
      </rPr>
      <t xml:space="preserve">140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</si>
  <si>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(03)9320776</t>
  </si>
  <si>
    <t xml:space="preserve">王秀華</t>
  </si>
  <si>
    <t xml:space="preserve">私立聖堡羅語言企管教育短期補習班</t>
  </si>
  <si>
    <r>
      <rPr>
        <sz val="10"/>
        <color rgb="FF1F2A28"/>
        <rFont val="WenQuanYi Zen Hei"/>
        <family val="2"/>
      </rPr>
      <t xml:space="preserve">宜蘭市宜中路</t>
    </r>
    <r>
      <rPr>
        <sz val="10"/>
        <color rgb="FF1F2A28"/>
        <rFont val="Arial"/>
        <family val="0"/>
        <charset val="1"/>
      </rPr>
      <t xml:space="preserve">43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</si>
  <si>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(03)9311931</t>
  </si>
  <si>
    <t xml:space="preserve">charityhsiung@gmail.com</t>
  </si>
  <si>
    <t xml:space="preserve">2005-11-23</t>
  </si>
  <si>
    <t xml:space="preserve">熊媛露</t>
  </si>
  <si>
    <t xml:space="preserve">私立英格兒美語短期補習班</t>
  </si>
  <si>
    <r>
      <rPr>
        <sz val="10"/>
        <color rgb="FF1F2A28"/>
        <rFont val="WenQuanYi Zen Hei"/>
        <family val="2"/>
      </rPr>
      <t xml:space="preserve">宜蘭市中華路</t>
    </r>
    <r>
      <rPr>
        <sz val="10"/>
        <color rgb="FF1F2A28"/>
        <rFont val="Arial"/>
        <family val="0"/>
        <charset val="1"/>
      </rPr>
      <t xml:space="preserve">77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</si>
  <si>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(03)9311899</t>
  </si>
  <si>
    <t xml:space="preserve">exlvicky@yahoo.com.tw</t>
  </si>
  <si>
    <t xml:space="preserve">林芷妤</t>
  </si>
  <si>
    <t xml:space="preserve">私立英革蘭囍鵲文理短期補習班</t>
  </si>
  <si>
    <r>
      <rPr>
        <sz val="10"/>
        <color rgb="FF1F2A28"/>
        <rFont val="WenQuanYi Zen Hei"/>
        <family val="2"/>
      </rPr>
      <t xml:space="preserve">宜蘭市民權路二段</t>
    </r>
    <r>
      <rPr>
        <sz val="10"/>
        <color rgb="FF1F2A28"/>
        <rFont val="Arial"/>
        <family val="0"/>
        <charset val="1"/>
      </rPr>
      <t xml:space="preserve">226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</si>
  <si>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03-9361152</t>
  </si>
  <si>
    <t xml:space="preserve">englishmagpies@gmail.com</t>
  </si>
  <si>
    <t xml:space="preserve">學齡前至成人英文</t>
  </si>
  <si>
    <t xml:space="preserve">2017-08-03</t>
  </si>
  <si>
    <t xml:space="preserve">林憬妏</t>
  </si>
  <si>
    <t xml:space="preserve">私立語樂英語短期補習班</t>
  </si>
  <si>
    <r>
      <rPr>
        <sz val="10"/>
        <color rgb="FF1F2A28"/>
        <rFont val="WenQuanYi Zen Hei"/>
        <family val="2"/>
      </rPr>
      <t xml:space="preserve">宜蘭市宜中路</t>
    </r>
    <r>
      <rPr>
        <sz val="10"/>
        <color rgb="FF1F2A28"/>
        <rFont val="Arial"/>
        <family val="0"/>
        <charset val="1"/>
      </rPr>
      <t xml:space="preserve">79</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</si>
  <si>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(03)9365877</t>
  </si>
  <si>
    <t xml:space="preserve">uniqueenglish@gmail.com</t>
  </si>
  <si>
    <t xml:space="preserve">陳安妮</t>
  </si>
  <si>
    <t xml:space="preserve">私立金育文理短期補習班宜蘭分班</t>
  </si>
  <si>
    <r>
      <rPr>
        <sz val="10"/>
        <color rgb="FF1F2A28"/>
        <rFont val="WenQuanYi Zen Hei"/>
        <family val="2"/>
      </rPr>
      <t xml:space="preserve">宜蘭市東園路</t>
    </r>
    <r>
      <rPr>
        <sz val="10"/>
        <color rgb="FF1F2A28"/>
        <rFont val="Arial"/>
        <family val="0"/>
        <charset val="1"/>
      </rPr>
      <t xml:space="preserve">41</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</si>
  <si>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(03)9313993</t>
  </si>
  <si>
    <t xml:space="preserve">c131491@yahoo.com.tw</t>
  </si>
  <si>
    <t xml:space="preserve">2024-09-19</t>
  </si>
  <si>
    <t xml:space="preserve">褚育華</t>
  </si>
  <si>
    <t xml:space="preserve">私立長春藤語文短期補習班</t>
  </si>
  <si>
    <r>
      <rPr>
        <sz val="10"/>
        <color rgb="FF1F2A28"/>
        <rFont val="WenQuanYi Zen Hei"/>
        <family val="2"/>
      </rPr>
      <t xml:space="preserve">宜蘭市陽明二路</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</si>
  <si>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(03)9372275</t>
  </si>
  <si>
    <t xml:space="preserve">kennyliao9999@gmail.com</t>
  </si>
  <si>
    <t xml:space="preserve">廖恒毅</t>
  </si>
  <si>
    <t xml:space="preserve">廖欣慧</t>
  </si>
  <si>
    <t xml:space="preserve">私立高登日語短期補習班</t>
  </si>
  <si>
    <r>
      <rPr>
        <sz val="10"/>
        <color rgb="FF1F2A28"/>
        <rFont val="WenQuanYi Zen Hei"/>
        <family val="2"/>
      </rPr>
      <t xml:space="preserve">宜蘭市女中路</t>
    </r>
    <r>
      <rPr>
        <sz val="10"/>
        <color rgb="FF1F2A28"/>
        <rFont val="Arial"/>
        <family val="0"/>
        <charset val="1"/>
      </rPr>
      <t xml:space="preserve">2</t>
    </r>
    <r>
      <rPr>
        <sz val="10"/>
        <color rgb="FF1F2A28"/>
        <rFont val="WenQuanYi Zen Hei"/>
        <family val="2"/>
      </rPr>
      <t xml:space="preserve">段</t>
    </r>
    <r>
      <rPr>
        <sz val="10"/>
        <color rgb="FF1F2A28"/>
        <rFont val="Arial"/>
        <family val="0"/>
        <charset val="1"/>
      </rPr>
      <t xml:space="preserve">309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樓之</t>
    </r>
    <r>
      <rPr>
        <sz val="10"/>
        <color rgb="FF1F2A28"/>
        <rFont val="Arial"/>
        <family val="0"/>
        <charset val="1"/>
      </rPr>
      <t xml:space="preserve">1</t>
    </r>
  </si>
  <si>
    <t xml:space="preserve">(03)9322488</t>
  </si>
  <si>
    <t xml:space="preserve">1995-12-23</t>
  </si>
  <si>
    <t xml:space="preserve">陳秀霞</t>
  </si>
  <si>
    <t xml:space="preserve">鼎真文教出版事業有限公司附設私立鼎臻美語文理短期補習班</t>
  </si>
  <si>
    <r>
      <rPr>
        <sz val="10"/>
        <color rgb="FF1F2A28"/>
        <rFont val="WenQuanYi Zen Hei"/>
        <family val="2"/>
      </rPr>
      <t xml:space="preserve">宜蘭市三清路</t>
    </r>
    <r>
      <rPr>
        <sz val="10"/>
        <color rgb="FF1F2A28"/>
        <rFont val="Arial"/>
        <family val="0"/>
        <charset val="1"/>
      </rPr>
      <t xml:space="preserve">120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</si>
  <si>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(03)9330877</t>
  </si>
  <si>
    <t xml:space="preserve">edge3688@gmail.com</t>
  </si>
  <si>
    <t xml:space="preserve">賴秀毓</t>
  </si>
  <si>
    <t xml:space="preserve">礁溪鄉</t>
  </si>
  <si>
    <r>
      <rPr>
        <sz val="10"/>
        <color rgb="FF1F2A28"/>
        <rFont val="WenQuanYi Zen Hei"/>
        <family val="2"/>
      </rPr>
      <t xml:space="preserve">私立</t>
    </r>
    <r>
      <rPr>
        <sz val="10"/>
        <color rgb="FF1F2A28"/>
        <rFont val="Arial"/>
        <family val="0"/>
        <charset val="1"/>
      </rPr>
      <t xml:space="preserve">Jenny</t>
    </r>
    <r>
      <rPr>
        <sz val="10"/>
        <color rgb="FF1F2A28"/>
        <rFont val="WenQuanYi Zen Hei"/>
        <family val="2"/>
      </rPr>
      <t xml:space="preserve">美語教室文理短期補習班</t>
    </r>
  </si>
  <si>
    <r>
      <rPr>
        <sz val="10"/>
        <color rgb="FF1F2A28"/>
        <rFont val="WenQuanYi Zen Hei"/>
        <family val="2"/>
      </rPr>
      <t xml:space="preserve">礁溪鄉仁愛路</t>
    </r>
    <r>
      <rPr>
        <sz val="10"/>
        <color rgb="FF1F2A28"/>
        <rFont val="Arial"/>
        <family val="0"/>
        <charset val="1"/>
      </rPr>
      <t xml:space="preserve">174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</si>
  <si>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0919-242075</t>
  </si>
  <si>
    <t xml:space="preserve">戴憶娟</t>
  </si>
  <si>
    <t xml:space="preserve">私立一橋文理才藝短期補習班</t>
  </si>
  <si>
    <r>
      <rPr>
        <sz val="10"/>
        <color rgb="FF1F2A28"/>
        <rFont val="WenQuanYi Zen Hei"/>
        <family val="2"/>
      </rPr>
      <t xml:space="preserve">礁溪鄉和平路</t>
    </r>
    <r>
      <rPr>
        <sz val="10"/>
        <color rgb="FF1F2A28"/>
        <rFont val="Arial"/>
        <family val="0"/>
        <charset val="1"/>
      </rPr>
      <t xml:space="preserve">54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</si>
  <si>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(03)9882021</t>
  </si>
  <si>
    <t xml:space="preserve">2001bridge.edu@gmail.com</t>
  </si>
  <si>
    <t xml:space="preserve">2001-11-28</t>
  </si>
  <si>
    <t xml:space="preserve">私立優勢文理短期補習班</t>
  </si>
  <si>
    <r>
      <rPr>
        <sz val="10"/>
        <color rgb="FF1F2A28"/>
        <rFont val="WenQuanYi Zen Hei"/>
        <family val="2"/>
      </rPr>
      <t xml:space="preserve">礁溪鄉育龍路</t>
    </r>
    <r>
      <rPr>
        <sz val="10"/>
        <color rgb="FF1F2A28"/>
        <rFont val="Arial"/>
        <family val="0"/>
        <charset val="1"/>
      </rPr>
      <t xml:space="preserve">113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</si>
  <si>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(03)9284110</t>
  </si>
  <si>
    <t xml:space="preserve">ge419mini@gmail.com</t>
  </si>
  <si>
    <t xml:space="preserve">2009-02-25</t>
  </si>
  <si>
    <t xml:space="preserve">郭秀秀</t>
  </si>
  <si>
    <t xml:space="preserve">私立哈林易文理短期補習班</t>
  </si>
  <si>
    <r>
      <rPr>
        <sz val="10"/>
        <color rgb="FF1F2A28"/>
        <rFont val="WenQuanYi Zen Hei"/>
        <family val="2"/>
      </rPr>
      <t xml:space="preserve">礁溪鄉大忠路</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樓及大忠路</t>
    </r>
    <r>
      <rPr>
        <sz val="10"/>
        <color rgb="FF1F2A28"/>
        <rFont val="Arial"/>
        <family val="0"/>
        <charset val="1"/>
      </rPr>
      <t xml:space="preserve">13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</si>
  <si>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(03)9874448</t>
  </si>
  <si>
    <t xml:space="preserve">kid4448@yahoo.com.tw</t>
  </si>
  <si>
    <t xml:space="preserve">2002-07-02</t>
  </si>
  <si>
    <t xml:space="preserve">陳曉芬</t>
  </si>
  <si>
    <t xml:space="preserve">私立康喬文理短期補習班</t>
  </si>
  <si>
    <r>
      <rPr>
        <sz val="10"/>
        <color rgb="FF1F2A28"/>
        <rFont val="WenQuanYi Zen Hei"/>
        <family val="2"/>
      </rPr>
      <t xml:space="preserve">礁溪鄉龍潭村育龍路</t>
    </r>
    <r>
      <rPr>
        <sz val="10"/>
        <color rgb="FF1F2A28"/>
        <rFont val="Arial"/>
        <family val="0"/>
        <charset val="1"/>
      </rPr>
      <t xml:space="preserve">133</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</si>
  <si>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(03)9282100</t>
  </si>
  <si>
    <t xml:space="preserve">1996-09-02</t>
  </si>
  <si>
    <t xml:space="preserve">余旭峯</t>
  </si>
  <si>
    <t xml:space="preserve">私立成名文理短期補習班</t>
  </si>
  <si>
    <r>
      <rPr>
        <sz val="10"/>
        <color rgb="FF1F2A28"/>
        <rFont val="WenQuanYi Zen Hei"/>
        <family val="2"/>
      </rPr>
      <t xml:space="preserve">礁溪鄉復興街</t>
    </r>
    <r>
      <rPr>
        <sz val="10"/>
        <color rgb="FF1F2A28"/>
        <rFont val="Arial"/>
        <family val="0"/>
        <charset val="1"/>
      </rPr>
      <t xml:space="preserve">15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</si>
  <si>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(03)9873001</t>
  </si>
  <si>
    <t xml:space="preserve">簡佑儒</t>
  </si>
  <si>
    <t xml:space="preserve">私立文莘文理短期補習班</t>
  </si>
  <si>
    <r>
      <rPr>
        <sz val="10"/>
        <color rgb="FF1F2A28"/>
        <rFont val="WenQuanYi Zen Hei"/>
        <family val="2"/>
      </rPr>
      <t xml:space="preserve">礁溪鄉和平路</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</si>
  <si>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(03)9889743</t>
  </si>
  <si>
    <t xml:space="preserve">b0935185615@gmail.com</t>
  </si>
  <si>
    <t xml:space="preserve">賴學良</t>
  </si>
  <si>
    <t xml:space="preserve">私立瑪侍德文理短期補習班</t>
  </si>
  <si>
    <r>
      <rPr>
        <sz val="10"/>
        <color rgb="FF1F2A28"/>
        <rFont val="WenQuanYi Zen Hei"/>
        <family val="2"/>
      </rPr>
      <t xml:space="preserve">礁溪鄉礁溪路四段</t>
    </r>
    <r>
      <rPr>
        <sz val="10"/>
        <color rgb="FF1F2A28"/>
        <rFont val="Arial"/>
        <family val="0"/>
        <charset val="1"/>
      </rPr>
      <t xml:space="preserve">78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</si>
  <si>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(03)9882865</t>
  </si>
  <si>
    <t xml:space="preserve">master887821@gmail.com</t>
  </si>
  <si>
    <t xml:space="preserve">詹詠捷</t>
  </si>
  <si>
    <t xml:space="preserve">莊雅晴</t>
  </si>
  <si>
    <t xml:space="preserve">私立維新文理短期補習班</t>
  </si>
  <si>
    <r>
      <rPr>
        <sz val="10"/>
        <color rgb="FF1F2A28"/>
        <rFont val="WenQuanYi Zen Hei"/>
        <family val="2"/>
      </rPr>
      <t xml:space="preserve">礁溪鄉吳沙村育英路</t>
    </r>
    <r>
      <rPr>
        <sz val="10"/>
        <color rgb="FF1F2A28"/>
        <rFont val="Arial"/>
        <family val="0"/>
        <charset val="1"/>
      </rPr>
      <t xml:space="preserve">124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126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</si>
  <si>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(03)9285345</t>
  </si>
  <si>
    <t xml:space="preserve">a0917246240@gmail.com</t>
  </si>
  <si>
    <t xml:space="preserve">1996-04-10</t>
  </si>
  <si>
    <t xml:space="preserve">吳寶貴</t>
  </si>
  <si>
    <t xml:space="preserve">私立華翰文理短期補習班</t>
  </si>
  <si>
    <r>
      <rPr>
        <sz val="10"/>
        <color rgb="FF1F2A28"/>
        <rFont val="WenQuanYi Zen Hei"/>
        <family val="2"/>
      </rPr>
      <t xml:space="preserve">礁溪鄉和平路</t>
    </r>
    <r>
      <rPr>
        <sz val="10"/>
        <color rgb="FF1F2A28"/>
        <rFont val="Arial"/>
        <family val="0"/>
        <charset val="1"/>
      </rPr>
      <t xml:space="preserve">80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</si>
  <si>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(03)9884505</t>
  </si>
  <si>
    <t xml:space="preserve">a0927583138@gmail.com</t>
  </si>
  <si>
    <t xml:space="preserve">吳家言</t>
  </si>
  <si>
    <t xml:space="preserve">羅東鎮</t>
  </si>
  <si>
    <t xml:space="preserve">亞昕教育股份有限公司附設宜蘭縣私立佳上文理短期補習班</t>
  </si>
  <si>
    <r>
      <rPr>
        <sz val="10"/>
        <color rgb="FF1F2A28"/>
        <rFont val="WenQuanYi Zen Hei"/>
        <family val="2"/>
      </rPr>
      <t xml:space="preserve">羅東鎮敬業路</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</si>
  <si>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(03)9615869</t>
  </si>
  <si>
    <t xml:space="preserve">lillianlee1123@yahoo.com.tw</t>
  </si>
  <si>
    <t xml:space="preserve">陳國雄</t>
  </si>
  <si>
    <t xml:space="preserve">李美綺</t>
  </si>
  <si>
    <t xml:space="preserve">理想文教有限公司附設逸學文理短期補習班</t>
  </si>
  <si>
    <r>
      <rPr>
        <sz val="10"/>
        <color rgb="FF1F2A28"/>
        <rFont val="WenQuanYi Zen Hei"/>
        <family val="2"/>
      </rPr>
      <t xml:space="preserve">羅東鎮公正路</t>
    </r>
    <r>
      <rPr>
        <sz val="10"/>
        <color rgb="FF1F2A28"/>
        <rFont val="Arial"/>
        <family val="0"/>
        <charset val="1"/>
      </rPr>
      <t xml:space="preserve">303</t>
    </r>
    <r>
      <rPr>
        <sz val="10"/>
        <color rgb="FF1F2A28"/>
        <rFont val="WenQuanYi Zen Hei"/>
        <family val="2"/>
      </rPr>
      <t xml:space="preserve">號</t>
    </r>
  </si>
  <si>
    <t xml:space="preserve">0953766043</t>
  </si>
  <si>
    <t xml:space="preserve">exceed9610111@gmail.com</t>
  </si>
  <si>
    <t xml:space="preserve">2025-03-10</t>
  </si>
  <si>
    <r>
      <rPr>
        <sz val="10"/>
        <color rgb="FF1F2A28"/>
        <rFont val="WenQuanYi Zen Hei"/>
        <family val="2"/>
      </rPr>
      <t xml:space="preserve">私立</t>
    </r>
    <r>
      <rPr>
        <sz val="10"/>
        <color rgb="FF1F2A28"/>
        <rFont val="Arial"/>
        <family val="0"/>
        <charset val="1"/>
      </rPr>
      <t xml:space="preserve">VIVIAN</t>
    </r>
    <r>
      <rPr>
        <sz val="10"/>
        <color rgb="FF1F2A28"/>
        <rFont val="WenQuanYi Zen Hei"/>
        <family val="2"/>
      </rPr>
      <t xml:space="preserve">英語教室文理短期補習班</t>
    </r>
  </si>
  <si>
    <r>
      <rPr>
        <sz val="10"/>
        <color rgb="FF1F2A28"/>
        <rFont val="WenQuanYi Zen Hei"/>
        <family val="2"/>
      </rPr>
      <t xml:space="preserve">羅東鎮樹人路</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</si>
  <si>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(03)9552909</t>
  </si>
  <si>
    <t xml:space="preserve">vivian552414@gmail.com</t>
  </si>
  <si>
    <t xml:space="preserve">廖妙緣</t>
  </si>
  <si>
    <t xml:space="preserve">私立中國青年救國團宜蘭縣團務指導委員會附設私立蘭陽家政、舞蹈、語文短期補習班</t>
  </si>
  <si>
    <r>
      <rPr>
        <sz val="10"/>
        <color rgb="FF1F2A28"/>
        <rFont val="WenQuanYi Zen Hei"/>
        <family val="2"/>
      </rPr>
      <t xml:space="preserve">羅東鎮維揚路</t>
    </r>
    <r>
      <rPr>
        <sz val="10"/>
        <color rgb="FF1F2A28"/>
        <rFont val="Arial"/>
        <family val="0"/>
        <charset val="1"/>
      </rPr>
      <t xml:space="preserve">79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79-1</t>
    </r>
    <r>
      <rPr>
        <sz val="10"/>
        <color rgb="FF1F2A28"/>
        <rFont val="WenQuanYi Zen Hei"/>
        <family val="2"/>
      </rPr>
      <t xml:space="preserve">號</t>
    </r>
  </si>
  <si>
    <t xml:space="preserve">(03)9510410</t>
  </si>
  <si>
    <t xml:space="preserve">cyc9510410@cyc.tw</t>
  </si>
  <si>
    <r>
      <rPr>
        <sz val="10"/>
        <color rgb="FF1F2A28"/>
        <rFont val="WenQuanYi Zen Hei"/>
        <family val="2"/>
      </rPr>
      <t xml:space="preserve">文理類</t>
    </r>
    <r>
      <rPr>
        <sz val="10"/>
        <color rgb="FF1F2A28"/>
        <rFont val="Arial"/>
        <family val="0"/>
        <charset val="1"/>
      </rPr>
      <t xml:space="preserve">,</t>
    </r>
    <r>
      <rPr>
        <sz val="10"/>
        <color rgb="FF1F2A28"/>
        <rFont val="WenQuanYi Zen Hei"/>
        <family val="2"/>
      </rPr>
      <t xml:space="preserve">外語類</t>
    </r>
    <r>
      <rPr>
        <sz val="10"/>
        <color rgb="FF1F2A28"/>
        <rFont val="Arial"/>
        <family val="0"/>
        <charset val="1"/>
      </rPr>
      <t xml:space="preserve">,</t>
    </r>
    <r>
      <rPr>
        <sz val="10"/>
        <color rgb="FF1F2A28"/>
        <rFont val="WenQuanYi Zen Hei"/>
        <family val="2"/>
      </rPr>
      <t xml:space="preserve">家政、插花、烹飪類</t>
    </r>
    <r>
      <rPr>
        <sz val="10"/>
        <color rgb="FF1F2A28"/>
        <rFont val="Arial"/>
        <family val="0"/>
        <charset val="1"/>
      </rPr>
      <t xml:space="preserve">,</t>
    </r>
    <r>
      <rPr>
        <sz val="10"/>
        <color rgb="FF1F2A28"/>
        <rFont val="WenQuanYi Zen Hei"/>
        <family val="2"/>
      </rPr>
      <t xml:space="preserve">音樂、舞蹈類</t>
    </r>
    <r>
      <rPr>
        <sz val="10"/>
        <color rgb="FF1F2A28"/>
        <rFont val="Arial"/>
        <family val="0"/>
        <charset val="1"/>
      </rPr>
      <t xml:space="preserve">,</t>
    </r>
    <r>
      <rPr>
        <sz val="10"/>
        <color rgb="FF1F2A28"/>
        <rFont val="WenQuanYi Zen Hei"/>
        <family val="2"/>
      </rPr>
      <t xml:space="preserve">其他類</t>
    </r>
  </si>
  <si>
    <t xml:space="preserve">2003-04-24</t>
  </si>
  <si>
    <r>
      <rPr>
        <sz val="10"/>
        <color rgb="FF1F2A28"/>
        <rFont val="WenQuanYi Zen Hei"/>
        <family val="2"/>
      </rPr>
      <t xml:space="preserve">中國青年救國團宜蘭縣團務指導委員會</t>
    </r>
    <r>
      <rPr>
        <sz val="10"/>
        <color rgb="FF1F2A28"/>
        <rFont val="Arial"/>
        <family val="0"/>
        <charset val="1"/>
      </rPr>
      <t xml:space="preserve">(</t>
    </r>
    <r>
      <rPr>
        <sz val="10"/>
        <color rgb="FF1F2A28"/>
        <rFont val="WenQuanYi Zen Hei"/>
        <family val="2"/>
      </rPr>
      <t xml:space="preserve">代表李林耀埜</t>
    </r>
    <r>
      <rPr>
        <sz val="10"/>
        <color rgb="FF1F2A28"/>
        <rFont val="Arial"/>
        <family val="0"/>
        <charset val="1"/>
      </rPr>
      <t xml:space="preserve">)</t>
    </r>
  </si>
  <si>
    <t xml:space="preserve">孫志伸</t>
  </si>
  <si>
    <t xml:space="preserve">私立佩格美語短期補習班</t>
  </si>
  <si>
    <r>
      <rPr>
        <sz val="10"/>
        <color rgb="FF1F2A28"/>
        <rFont val="WenQuanYi Zen Hei"/>
        <family val="2"/>
      </rPr>
      <t xml:space="preserve">羅東鎮光榮路</t>
    </r>
    <r>
      <rPr>
        <sz val="10"/>
        <color rgb="FF1F2A28"/>
        <rFont val="Arial"/>
        <family val="0"/>
        <charset val="1"/>
      </rPr>
      <t xml:space="preserve">495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樓之一</t>
    </r>
    <r>
      <rPr>
        <sz val="10"/>
        <color rgb="FF1F2A28"/>
        <rFont val="Arial"/>
        <family val="0"/>
        <charset val="1"/>
      </rPr>
      <t xml:space="preserve">,</t>
    </r>
    <r>
      <rPr>
        <sz val="10"/>
        <color rgb="FF1F2A28"/>
        <rFont val="WenQuanYi Zen Hei"/>
        <family val="2"/>
      </rPr>
      <t xml:space="preserve">之三</t>
    </r>
  </si>
  <si>
    <t xml:space="preserve">(03)9553507</t>
  </si>
  <si>
    <t xml:space="preserve">2008-10-16</t>
  </si>
  <si>
    <t xml:space="preserve">楊惟琇</t>
  </si>
  <si>
    <t xml:space="preserve">私立光樺文理短期補習班</t>
  </si>
  <si>
    <r>
      <rPr>
        <sz val="10"/>
        <color rgb="FF1F2A28"/>
        <rFont val="WenQuanYi Zen Hei"/>
        <family val="2"/>
      </rPr>
      <t xml:space="preserve">羅東鎮維揚路</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2-3</t>
    </r>
    <r>
      <rPr>
        <sz val="10"/>
        <color rgb="FF1F2A28"/>
        <rFont val="WenQuanYi Zen Hei"/>
        <family val="2"/>
      </rPr>
      <t xml:space="preserve">樓</t>
    </r>
  </si>
  <si>
    <t xml:space="preserve">(03)9611807</t>
  </si>
  <si>
    <t xml:space="preserve">ilgnohz@gmail.com</t>
  </si>
  <si>
    <t xml:space="preserve">英語、英語會話</t>
  </si>
  <si>
    <t xml:space="preserve">2019-11-21</t>
  </si>
  <si>
    <t xml:space="preserve">許育嘉</t>
  </si>
  <si>
    <t xml:space="preserve">私立冠宜文理短期補習班</t>
  </si>
  <si>
    <r>
      <rPr>
        <sz val="10"/>
        <color rgb="FF1F2A28"/>
        <rFont val="WenQuanYi Zen Hei"/>
        <family val="2"/>
      </rPr>
      <t xml:space="preserve">羅東鎮中正南路</t>
    </r>
    <r>
      <rPr>
        <sz val="10"/>
        <color rgb="FF1F2A28"/>
        <rFont val="Arial"/>
        <family val="0"/>
        <charset val="1"/>
      </rPr>
      <t xml:space="preserve">84</t>
    </r>
    <r>
      <rPr>
        <sz val="10"/>
        <color rgb="FF1F2A28"/>
        <rFont val="WenQuanYi Zen Hei"/>
        <family val="2"/>
      </rPr>
      <t xml:space="preserve">、</t>
    </r>
    <r>
      <rPr>
        <sz val="10"/>
        <color rgb="FF1F2A28"/>
        <rFont val="Arial"/>
        <family val="0"/>
        <charset val="1"/>
      </rPr>
      <t xml:space="preserve">86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</si>
  <si>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(03)9559030</t>
  </si>
  <si>
    <t xml:space="preserve">kid9559030@gmail.com</t>
  </si>
  <si>
    <t xml:space="preserve">1998-06-04</t>
  </si>
  <si>
    <t xml:space="preserve">林娜媺</t>
  </si>
  <si>
    <t xml:space="preserve">私立冠宜文理短期補習班忠孝分班</t>
  </si>
  <si>
    <r>
      <rPr>
        <sz val="10"/>
        <color rgb="FF1F2A28"/>
        <rFont val="WenQuanYi Zen Hei"/>
        <family val="2"/>
      </rPr>
      <t xml:space="preserve">羅東鎮忠孝路</t>
    </r>
    <r>
      <rPr>
        <sz val="10"/>
        <color rgb="FF1F2A28"/>
        <rFont val="Arial"/>
        <family val="0"/>
        <charset val="1"/>
      </rPr>
      <t xml:space="preserve">149</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</si>
  <si>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(03)9548108</t>
  </si>
  <si>
    <t xml:space="preserve">2012-11-01</t>
  </si>
  <si>
    <t xml:space="preserve">楊典彥</t>
  </si>
  <si>
    <t xml:space="preserve">邱鈺靜</t>
  </si>
  <si>
    <t xml:space="preserve">私立凱茜美語文理短期補習班</t>
  </si>
  <si>
    <r>
      <rPr>
        <sz val="10"/>
        <color rgb="FF1F2A28"/>
        <rFont val="WenQuanYi Zen Hei"/>
        <family val="2"/>
      </rPr>
      <t xml:space="preserve">羅東鎮興東路</t>
    </r>
    <r>
      <rPr>
        <sz val="10"/>
        <color rgb="FF1F2A28"/>
        <rFont val="Arial"/>
        <family val="0"/>
        <charset val="1"/>
      </rPr>
      <t xml:space="preserve">185</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</si>
  <si>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(03)9547958</t>
  </si>
  <si>
    <t xml:space="preserve">英語、兒童美語、英文</t>
  </si>
  <si>
    <t xml:space="preserve">2011-01-18</t>
  </si>
  <si>
    <t xml:space="preserve">陳彩雲</t>
  </si>
  <si>
    <t xml:space="preserve">陳人岳</t>
  </si>
  <si>
    <t xml:space="preserve">私立凱西美語文理短期補習班</t>
  </si>
  <si>
    <r>
      <rPr>
        <sz val="10"/>
        <color rgb="FF1F2A28"/>
        <rFont val="WenQuanYi Zen Hei"/>
        <family val="2"/>
      </rPr>
      <t xml:space="preserve">羅東鎮興東路</t>
    </r>
    <r>
      <rPr>
        <sz val="10"/>
        <color rgb="FF1F2A28"/>
        <rFont val="Arial"/>
        <family val="0"/>
        <charset val="1"/>
      </rPr>
      <t xml:space="preserve">185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</si>
  <si>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kathy9547958@hotmail.com</t>
  </si>
  <si>
    <t xml:space="preserve">兒童美語、英文、全民英檢班</t>
  </si>
  <si>
    <t xml:space="preserve">私立勤學社音樂英文會話短期補習班</t>
  </si>
  <si>
    <r>
      <rPr>
        <sz val="10"/>
        <color rgb="FF1F2A28"/>
        <rFont val="WenQuanYi Zen Hei"/>
        <family val="2"/>
      </rPr>
      <t xml:space="preserve">羅東鎮興東路</t>
    </r>
    <r>
      <rPr>
        <sz val="10"/>
        <color rgb="FF1F2A28"/>
        <rFont val="Arial"/>
        <family val="0"/>
        <charset val="1"/>
      </rPr>
      <t xml:space="preserve">319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r>
      <rPr>
        <sz val="10"/>
        <color rgb="FF1F2A28"/>
        <rFont val="Arial"/>
        <family val="0"/>
        <charset val="1"/>
      </rPr>
      <t xml:space="preserve">321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</si>
  <si>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(03)9572126</t>
  </si>
  <si>
    <t xml:space="preserve">chs668@ms64.hinet.net</t>
  </si>
  <si>
    <t xml:space="preserve">1995-09-15</t>
  </si>
  <si>
    <t xml:space="preserve">林春慶</t>
  </si>
  <si>
    <t xml:space="preserve">林意文</t>
  </si>
  <si>
    <t xml:space="preserve">私立勤進文理短期補習班</t>
  </si>
  <si>
    <r>
      <rPr>
        <sz val="10"/>
        <color rgb="FF1F2A28"/>
        <rFont val="WenQuanYi Zen Hei"/>
        <family val="2"/>
      </rPr>
      <t xml:space="preserve">羅東鎮四育路</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</si>
  <si>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(03)9510292</t>
  </si>
  <si>
    <t xml:space="preserve">2014-07-11</t>
  </si>
  <si>
    <t xml:space="preserve">郭蓁娣</t>
  </si>
  <si>
    <t xml:space="preserve">私立史麥爾美語文理短期補習班</t>
  </si>
  <si>
    <r>
      <rPr>
        <sz val="10"/>
        <color rgb="FF1F2A28"/>
        <rFont val="WenQuanYi Zen Hei"/>
        <family val="2"/>
      </rPr>
      <t xml:space="preserve">羅東鎮中華路</t>
    </r>
    <r>
      <rPr>
        <sz val="10"/>
        <color rgb="FF1F2A28"/>
        <rFont val="Arial"/>
        <family val="0"/>
        <charset val="1"/>
      </rPr>
      <t xml:space="preserve">45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</si>
  <si>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(03)9556116</t>
  </si>
  <si>
    <t xml:space="preserve">lotungeagle@gmail.com</t>
  </si>
  <si>
    <t xml:space="preserve">黃芷婕</t>
  </si>
  <si>
    <t xml:space="preserve">私立宜學語文短期補習班</t>
  </si>
  <si>
    <r>
      <rPr>
        <sz val="10"/>
        <color rgb="FF1F2A28"/>
        <rFont val="WenQuanYi Zen Hei"/>
        <family val="2"/>
      </rPr>
      <t xml:space="preserve">羅東鎮純精路</t>
    </r>
    <r>
      <rPr>
        <sz val="10"/>
        <color rgb="FF1F2A28"/>
        <rFont val="Arial"/>
        <family val="0"/>
        <charset val="1"/>
      </rPr>
      <t xml:space="preserve">3</t>
    </r>
    <r>
      <rPr>
        <sz val="10"/>
        <color rgb="FF1F2A28"/>
        <rFont val="WenQuanYi Zen Hei"/>
        <family val="2"/>
      </rPr>
      <t xml:space="preserve">段</t>
    </r>
    <r>
      <rPr>
        <sz val="10"/>
        <color rgb="FF1F2A28"/>
        <rFont val="Arial"/>
        <family val="0"/>
        <charset val="1"/>
      </rPr>
      <t xml:space="preserve">189</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</si>
  <si>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(03)9558686/9565668</t>
  </si>
  <si>
    <t xml:space="preserve">hs2089@hess.com.tw</t>
  </si>
  <si>
    <t xml:space="preserve">林敏</t>
  </si>
  <si>
    <t xml:space="preserve">私立寶貝屋美語短期補習班</t>
  </si>
  <si>
    <r>
      <rPr>
        <sz val="10"/>
        <color rgb="FF1F2A28"/>
        <rFont val="WenQuanYi Zen Hei"/>
        <family val="2"/>
      </rPr>
      <t xml:space="preserve">羅東鎮北成路一段</t>
    </r>
    <r>
      <rPr>
        <sz val="10"/>
        <color rgb="FF1F2A28"/>
        <rFont val="Arial"/>
        <family val="0"/>
        <charset val="1"/>
      </rPr>
      <t xml:space="preserve">190</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</si>
  <si>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(03)9613833</t>
  </si>
  <si>
    <t xml:space="preserve">betsy6598@hotmail.com</t>
  </si>
  <si>
    <t xml:space="preserve">中級美語、初級美語、國小美語、高級美語</t>
  </si>
  <si>
    <t xml:space="preserve">林庭娜</t>
  </si>
  <si>
    <t xml:space="preserve">李梅芳</t>
  </si>
  <si>
    <t xml:space="preserve">私立巨匠電腦語文短期補習班</t>
  </si>
  <si>
    <r>
      <rPr>
        <sz val="10"/>
        <color rgb="FF1F2A28"/>
        <rFont val="WenQuanYi Zen Hei"/>
        <family val="2"/>
      </rPr>
      <t xml:space="preserve">羅東鎮中正路</t>
    </r>
    <r>
      <rPr>
        <sz val="10"/>
        <color rgb="FF1F2A28"/>
        <rFont val="Arial"/>
        <family val="0"/>
        <charset val="1"/>
      </rPr>
      <t xml:space="preserve">142</t>
    </r>
    <r>
      <rPr>
        <sz val="10"/>
        <color rgb="FF1F2A28"/>
        <rFont val="WenQuanYi Zen Hei"/>
        <family val="2"/>
      </rPr>
      <t xml:space="preserve">、</t>
    </r>
    <r>
      <rPr>
        <sz val="10"/>
        <color rgb="FF1F2A28"/>
        <rFont val="Arial"/>
        <family val="0"/>
        <charset val="1"/>
      </rPr>
      <t xml:space="preserve">144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</si>
  <si>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03-9550845</t>
  </si>
  <si>
    <t xml:space="preserve">ie_mailbox@pcschool.com.tw</t>
  </si>
  <si>
    <t xml:space="preserve">陳玟君</t>
  </si>
  <si>
    <t xml:space="preserve">私立快樂園文理短期補習班</t>
  </si>
  <si>
    <r>
      <rPr>
        <sz val="10"/>
        <color rgb="FF1F2A28"/>
        <rFont val="WenQuanYi Zen Hei"/>
        <family val="2"/>
      </rPr>
      <t xml:space="preserve">羅東鎮公正路</t>
    </r>
    <r>
      <rPr>
        <sz val="10"/>
        <color rgb="FF1F2A28"/>
        <rFont val="Arial"/>
        <family val="0"/>
        <charset val="1"/>
      </rPr>
      <t xml:space="preserve">234</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</si>
  <si>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(03)9558077</t>
  </si>
  <si>
    <t xml:space="preserve">merryland7777777@gmail.com</t>
  </si>
  <si>
    <t xml:space="preserve">國中美語、國小美語</t>
  </si>
  <si>
    <t xml:space="preserve">2001-08-22</t>
  </si>
  <si>
    <t xml:space="preserve">林嘉莉</t>
  </si>
  <si>
    <t xml:space="preserve">私立恒譽文理短期補習班</t>
  </si>
  <si>
    <r>
      <rPr>
        <sz val="10"/>
        <color rgb="FF1F2A28"/>
        <rFont val="WenQuanYi Zen Hei"/>
        <family val="2"/>
      </rPr>
      <t xml:space="preserve">羅東鎮中山路</t>
    </r>
    <r>
      <rPr>
        <sz val="10"/>
        <color rgb="FF1F2A28"/>
        <rFont val="Arial"/>
        <family val="0"/>
        <charset val="1"/>
      </rPr>
      <t xml:space="preserve">4</t>
    </r>
    <r>
      <rPr>
        <sz val="10"/>
        <color rgb="FF1F2A28"/>
        <rFont val="WenQuanYi Zen Hei"/>
        <family val="2"/>
      </rPr>
      <t xml:space="preserve">段</t>
    </r>
    <r>
      <rPr>
        <sz val="10"/>
        <color rgb="FF1F2A28"/>
        <rFont val="Arial"/>
        <family val="0"/>
        <charset val="1"/>
      </rPr>
      <t xml:space="preserve">111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</si>
  <si>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(03)9518080</t>
  </si>
  <si>
    <t xml:space="preserve">buliza0511@gmail.com</t>
  </si>
  <si>
    <t xml:space="preserve">費南強</t>
  </si>
  <si>
    <t xml:space="preserve">私立愛得生文理短期補習班</t>
  </si>
  <si>
    <r>
      <rPr>
        <sz val="10"/>
        <color rgb="FF1F2A28"/>
        <rFont val="WenQuanYi Zen Hei"/>
        <family val="2"/>
      </rPr>
      <t xml:space="preserve">羅東鎮純精路三段</t>
    </r>
    <r>
      <rPr>
        <sz val="10"/>
        <color rgb="FF1F2A28"/>
        <rFont val="Arial"/>
        <family val="0"/>
        <charset val="1"/>
      </rPr>
      <t xml:space="preserve">190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</si>
  <si>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(03)9533223</t>
  </si>
  <si>
    <t xml:space="preserve">edi.son265@msa.hinet.net</t>
  </si>
  <si>
    <t xml:space="preserve">江文傑</t>
  </si>
  <si>
    <t xml:space="preserve">呂麗雯</t>
  </si>
  <si>
    <t xml:space="preserve">私立成功文理短期補習班</t>
  </si>
  <si>
    <r>
      <rPr>
        <sz val="10"/>
        <color rgb="FF1F2A28"/>
        <rFont val="WenQuanYi Zen Hei"/>
        <family val="2"/>
      </rPr>
      <t xml:space="preserve">羅東鎮興東南路</t>
    </r>
    <r>
      <rPr>
        <sz val="10"/>
        <color rgb="FF1F2A28"/>
        <rFont val="Arial"/>
        <family val="0"/>
        <charset val="1"/>
      </rPr>
      <t xml:space="preserve">133</t>
    </r>
    <r>
      <rPr>
        <sz val="10"/>
        <color rgb="FF1F2A28"/>
        <rFont val="WenQuanYi Zen Hei"/>
        <family val="2"/>
      </rPr>
      <t xml:space="preserve">、</t>
    </r>
    <r>
      <rPr>
        <sz val="10"/>
        <color rgb="FF1F2A28"/>
        <rFont val="Arial"/>
        <family val="0"/>
        <charset val="1"/>
      </rPr>
      <t xml:space="preserve">135</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</si>
  <si>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(03)9531456</t>
  </si>
  <si>
    <t xml:space="preserve">stlin88@hotmail.com</t>
  </si>
  <si>
    <t xml:space="preserve">林秀婷</t>
  </si>
  <si>
    <t xml:space="preserve">私立新頭腦文理短期補習班</t>
  </si>
  <si>
    <r>
      <rPr>
        <sz val="10"/>
        <color rgb="FF1F2A28"/>
        <rFont val="WenQuanYi Zen Hei"/>
        <family val="2"/>
      </rPr>
      <t xml:space="preserve">羅東鎮體育路</t>
    </r>
    <r>
      <rPr>
        <sz val="10"/>
        <color rgb="FF1F2A28"/>
        <rFont val="Arial"/>
        <family val="0"/>
        <charset val="1"/>
      </rPr>
      <t xml:space="preserve">41</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弄</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</si>
  <si>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(03)9555036</t>
  </si>
  <si>
    <t xml:space="preserve">goddess0912@gmail.com</t>
  </si>
  <si>
    <t xml:space="preserve">林慧珊</t>
  </si>
  <si>
    <r>
      <rPr>
        <sz val="10"/>
        <color rgb="FF1F2A28"/>
        <rFont val="WenQuanYi Zen Hei"/>
        <family val="2"/>
      </rPr>
      <t xml:space="preserve">羅東鎮忠孝路</t>
    </r>
    <r>
      <rPr>
        <sz val="10"/>
        <color rgb="FF1F2A28"/>
        <rFont val="Arial"/>
        <family val="0"/>
        <charset val="1"/>
      </rPr>
      <t xml:space="preserve">147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</si>
  <si>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(03)9553845</t>
  </si>
  <si>
    <t xml:space="preserve">grimm9562185@yahoo.com.tw</t>
  </si>
  <si>
    <t xml:space="preserve">1999-05-07</t>
  </si>
  <si>
    <t xml:space="preserve">潘萩燕</t>
  </si>
  <si>
    <t xml:space="preserve">私立楓橋美語文理短期補習班</t>
  </si>
  <si>
    <r>
      <rPr>
        <sz val="10"/>
        <color rgb="FF1F2A28"/>
        <rFont val="WenQuanYi Zen Hei"/>
        <family val="2"/>
      </rPr>
      <t xml:space="preserve">羅東鎮純精路三段</t>
    </r>
    <r>
      <rPr>
        <sz val="10"/>
        <color rgb="FF1F2A28"/>
        <rFont val="Arial"/>
        <family val="0"/>
        <charset val="1"/>
      </rPr>
      <t xml:space="preserve">107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樓及樹人路</t>
    </r>
    <r>
      <rPr>
        <sz val="10"/>
        <color rgb="FF1F2A28"/>
        <rFont val="Arial"/>
        <family val="0"/>
        <charset val="1"/>
      </rPr>
      <t xml:space="preserve">52</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</si>
  <si>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(03)9560113/9568113</t>
  </si>
  <si>
    <t xml:space="preserve">carolynlu1099@gmail.com</t>
  </si>
  <si>
    <t xml:space="preserve">兒童美語、英文、幼兒美語</t>
  </si>
  <si>
    <t xml:space="preserve">2004-06-15</t>
  </si>
  <si>
    <t xml:space="preserve">呂岢庭</t>
  </si>
  <si>
    <t xml:space="preserve">廖淑雯</t>
  </si>
  <si>
    <t xml:space="preserve">私立睿智凱瑞語文短期補習班</t>
  </si>
  <si>
    <r>
      <rPr>
        <sz val="10"/>
        <color rgb="FF1F2A28"/>
        <rFont val="WenQuanYi Zen Hei"/>
        <family val="2"/>
      </rPr>
      <t xml:space="preserve">羅東鎮四育路</t>
    </r>
    <r>
      <rPr>
        <sz val="10"/>
        <color rgb="FF1F2A28"/>
        <rFont val="Arial"/>
        <family val="0"/>
        <charset val="1"/>
      </rPr>
      <t xml:space="preserve">48</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</si>
  <si>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(03)9613923</t>
  </si>
  <si>
    <t xml:space="preserve">luodongaces@gmail.com</t>
  </si>
  <si>
    <t xml:space="preserve">2013-02-18</t>
  </si>
  <si>
    <t xml:space="preserve">李詠晴</t>
  </si>
  <si>
    <t xml:space="preserve">私立福爾摩莎英語會話短期補習班</t>
  </si>
  <si>
    <r>
      <rPr>
        <sz val="10"/>
        <color rgb="FF1F2A28"/>
        <rFont val="WenQuanYi Zen Hei"/>
        <family val="2"/>
      </rPr>
      <t xml:space="preserve">羅東鎮四育路</t>
    </r>
    <r>
      <rPr>
        <sz val="10"/>
        <color rgb="FF1F2A28"/>
        <rFont val="Arial"/>
        <family val="0"/>
        <charset val="1"/>
      </rPr>
      <t xml:space="preserve">126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</si>
  <si>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(03)9612558</t>
  </si>
  <si>
    <t xml:space="preserve">sabrinachen1029@gmail.com</t>
  </si>
  <si>
    <t xml:space="preserve">1997-12-15</t>
  </si>
  <si>
    <t xml:space="preserve">陳姿君</t>
  </si>
  <si>
    <t xml:space="preserve">私立禾名文理短期補習班</t>
  </si>
  <si>
    <r>
      <rPr>
        <sz val="10"/>
        <color rgb="FF1F2A28"/>
        <rFont val="WenQuanYi Zen Hei"/>
        <family val="2"/>
      </rPr>
      <t xml:space="preserve">羅東鎮中華路</t>
    </r>
    <r>
      <rPr>
        <sz val="10"/>
        <color rgb="FF1F2A28"/>
        <rFont val="Arial"/>
        <family val="0"/>
        <charset val="1"/>
      </rPr>
      <t xml:space="preserve">178-8</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</si>
  <si>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(03)9533933</t>
  </si>
  <si>
    <t xml:space="preserve">vivian681030681030@gmail.com</t>
  </si>
  <si>
    <t xml:space="preserve">2003-02-17</t>
  </si>
  <si>
    <t xml:space="preserve">林家如</t>
  </si>
  <si>
    <t xml:space="preserve">羅裕勝</t>
  </si>
  <si>
    <t xml:space="preserve">私立立學文理短期補習班國華分班</t>
  </si>
  <si>
    <r>
      <rPr>
        <sz val="10"/>
        <color rgb="FF1F2A28"/>
        <rFont val="WenQuanYi Zen Hei"/>
        <family val="2"/>
      </rPr>
      <t xml:space="preserve">羅東鎮培英路</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</si>
  <si>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(03)9510680</t>
  </si>
  <si>
    <t xml:space="preserve">aziio830719@gmail.com</t>
  </si>
  <si>
    <t xml:space="preserve">2019-03-05</t>
  </si>
  <si>
    <t xml:space="preserve">吳承儒</t>
  </si>
  <si>
    <t xml:space="preserve">方如意</t>
  </si>
  <si>
    <t xml:space="preserve">私立羅東東學文理短期補習班</t>
  </si>
  <si>
    <r>
      <rPr>
        <sz val="10"/>
        <color rgb="FF1F2A28"/>
        <rFont val="WenQuanYi Zen Hei"/>
        <family val="2"/>
      </rPr>
      <t xml:space="preserve">羅東鎮公正路</t>
    </r>
    <r>
      <rPr>
        <sz val="10"/>
        <color rgb="FF1F2A28"/>
        <rFont val="Arial"/>
        <family val="0"/>
        <charset val="1"/>
      </rPr>
      <t xml:space="preserve">230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6</t>
    </r>
    <r>
      <rPr>
        <sz val="10"/>
        <color rgb="FF1F2A28"/>
        <rFont val="WenQuanYi Zen Hei"/>
        <family val="2"/>
      </rPr>
      <t xml:space="preserve">樓</t>
    </r>
  </si>
  <si>
    <t xml:space="preserve">(03)9571683</t>
  </si>
  <si>
    <t xml:space="preserve">puping45@yahoo.com.tw</t>
  </si>
  <si>
    <t xml:space="preserve">2010-07-19</t>
  </si>
  <si>
    <t xml:space="preserve">卜平</t>
  </si>
  <si>
    <t xml:space="preserve">私立聖保羅語言企管教育短期補習班</t>
  </si>
  <si>
    <r>
      <rPr>
        <sz val="10"/>
        <color rgb="FF1F2A28"/>
        <rFont val="WenQuanYi Zen Hei"/>
        <family val="2"/>
      </rPr>
      <t xml:space="preserve">羅東鎮長春路</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</si>
  <si>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(03)9540367</t>
  </si>
  <si>
    <t xml:space="preserve">吳鴻立</t>
  </si>
  <si>
    <t xml:space="preserve">私立致悅文理短期補習班</t>
  </si>
  <si>
    <r>
      <rPr>
        <sz val="10"/>
        <color rgb="FF1F2A28"/>
        <rFont val="WenQuanYi Zen Hei"/>
        <family val="2"/>
      </rPr>
      <t xml:space="preserve">羅東鎮公正路</t>
    </r>
    <r>
      <rPr>
        <sz val="10"/>
        <color rgb="FF1F2A28"/>
        <rFont val="Arial"/>
        <family val="0"/>
        <charset val="1"/>
      </rPr>
      <t xml:space="preserve">346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</si>
  <si>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(03)9575576</t>
  </si>
  <si>
    <t xml:space="preserve">王純協</t>
  </si>
  <si>
    <t xml:space="preserve">王靖淑</t>
  </si>
  <si>
    <t xml:space="preserve">私立興東文理短期補習班</t>
  </si>
  <si>
    <r>
      <rPr>
        <sz val="10"/>
        <color rgb="FF1F2A28"/>
        <rFont val="WenQuanYi Zen Hei"/>
        <family val="2"/>
      </rPr>
      <t xml:space="preserve">羅東鎮中華路</t>
    </r>
    <r>
      <rPr>
        <sz val="10"/>
        <color rgb="FF1F2A28"/>
        <rFont val="Arial"/>
        <family val="0"/>
        <charset val="1"/>
      </rPr>
      <t xml:space="preserve">112</t>
    </r>
    <r>
      <rPr>
        <sz val="10"/>
        <color rgb="FF1F2A28"/>
        <rFont val="WenQuanYi Zen Hei"/>
        <family val="2"/>
      </rPr>
      <t xml:space="preserve">號</t>
    </r>
  </si>
  <si>
    <t xml:space="preserve">(09)75153833</t>
  </si>
  <si>
    <t xml:space="preserve">Debby931021@gmail.com</t>
  </si>
  <si>
    <t xml:space="preserve">許淑霞</t>
  </si>
  <si>
    <t xml:space="preserve">劉惠宜</t>
  </si>
  <si>
    <t xml:space="preserve">私立芝蔴街文理短期補習班</t>
  </si>
  <si>
    <r>
      <rPr>
        <sz val="10"/>
        <color rgb="FF1F2A28"/>
        <rFont val="WenQuanYi Zen Hei"/>
        <family val="2"/>
      </rPr>
      <t xml:space="preserve">羅東鎮中華路</t>
    </r>
    <r>
      <rPr>
        <sz val="10"/>
        <color rgb="FF1F2A28"/>
        <rFont val="Arial"/>
        <family val="0"/>
        <charset val="1"/>
      </rPr>
      <t xml:space="preserve">182</t>
    </r>
    <r>
      <rPr>
        <sz val="10"/>
        <color rgb="FF1F2A28"/>
        <rFont val="WenQuanYi Zen Hei"/>
        <family val="2"/>
      </rPr>
      <t xml:space="preserve">之</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</si>
  <si>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(03)9559568</t>
  </si>
  <si>
    <t xml:space="preserve">julia660828@gmail.com</t>
  </si>
  <si>
    <t xml:space="preserve">林明珍</t>
  </si>
  <si>
    <t xml:space="preserve">宋珠貝</t>
  </si>
  <si>
    <t xml:space="preserve">私立菩提文理短期補習班</t>
  </si>
  <si>
    <r>
      <rPr>
        <sz val="10"/>
        <color rgb="FF1F2A28"/>
        <rFont val="WenQuanYi Zen Hei"/>
        <family val="2"/>
      </rPr>
      <t xml:space="preserve">羅東鎮培英路</t>
    </r>
    <r>
      <rPr>
        <sz val="10"/>
        <color rgb="FF1F2A28"/>
        <rFont val="Arial"/>
        <family val="0"/>
        <charset val="1"/>
      </rPr>
      <t xml:space="preserve">87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</si>
  <si>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(03)9512735</t>
  </si>
  <si>
    <t xml:space="preserve">pudding00521@gmail.com</t>
  </si>
  <si>
    <t xml:space="preserve">張添壽</t>
  </si>
  <si>
    <t xml:space="preserve">張昭儀</t>
  </si>
  <si>
    <t xml:space="preserve">私立蒲公英文理短期補習班</t>
  </si>
  <si>
    <r>
      <rPr>
        <sz val="10"/>
        <color rgb="FF1F2A28"/>
        <rFont val="WenQuanYi Zen Hei"/>
        <family val="2"/>
      </rPr>
      <t xml:space="preserve">羅東鎮復興路二段</t>
    </r>
    <r>
      <rPr>
        <sz val="10"/>
        <color rgb="FF1F2A28"/>
        <rFont val="Arial"/>
        <family val="0"/>
        <charset val="1"/>
      </rPr>
      <t xml:space="preserve">199</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</si>
  <si>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(03)9559100</t>
  </si>
  <si>
    <t xml:space="preserve">abcde9559@gmail.com</t>
  </si>
  <si>
    <t xml:space="preserve">2017-04-19</t>
  </si>
  <si>
    <t xml:space="preserve">吳文</t>
  </si>
  <si>
    <t xml:space="preserve">私立資優旗艦文理短期補習班</t>
  </si>
  <si>
    <r>
      <rPr>
        <sz val="10"/>
        <color rgb="FF1F2A28"/>
        <rFont val="WenQuanYi Zen Hei"/>
        <family val="2"/>
      </rPr>
      <t xml:space="preserve">羅東鎮興東南路</t>
    </r>
    <r>
      <rPr>
        <sz val="10"/>
        <color rgb="FF1F2A28"/>
        <rFont val="Arial"/>
        <family val="0"/>
        <charset val="1"/>
      </rPr>
      <t xml:space="preserve">166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</si>
  <si>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(03)9577326</t>
  </si>
  <si>
    <t xml:space="preserve">candy.c-5326@yahoo.com.tw</t>
  </si>
  <si>
    <t xml:space="preserve">英文、英檢班</t>
  </si>
  <si>
    <t xml:space="preserve">私立資優珠心算文理短期補習班</t>
  </si>
  <si>
    <r>
      <rPr>
        <sz val="10"/>
        <color rgb="FF1F2A28"/>
        <rFont val="WenQuanYi Zen Hei"/>
        <family val="2"/>
      </rPr>
      <t xml:space="preserve">羅東鎮敬業路</t>
    </r>
    <r>
      <rPr>
        <sz val="10"/>
        <color rgb="FF1F2A28"/>
        <rFont val="Arial"/>
        <family val="0"/>
        <charset val="1"/>
      </rPr>
      <t xml:space="preserve">36</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</si>
  <si>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(03)9610811</t>
  </si>
  <si>
    <t xml:space="preserve">ab310524@yahoo.com.tw</t>
  </si>
  <si>
    <t xml:space="preserve">方碧玉</t>
  </si>
  <si>
    <t xml:space="preserve">私立迦百烈文理短期補習班</t>
  </si>
  <si>
    <r>
      <rPr>
        <sz val="10"/>
        <color rgb="FF1F2A28"/>
        <rFont val="WenQuanYi Zen Hei"/>
        <family val="2"/>
      </rPr>
      <t xml:space="preserve">羅東鎮敬業路</t>
    </r>
    <r>
      <rPr>
        <sz val="10"/>
        <color rgb="FF1F2A28"/>
        <rFont val="Arial"/>
        <family val="0"/>
        <charset val="1"/>
      </rPr>
      <t xml:space="preserve">37</t>
    </r>
    <r>
      <rPr>
        <sz val="10"/>
        <color rgb="FF1F2A28"/>
        <rFont val="WenQuanYi Zen Hei"/>
        <family val="2"/>
      </rPr>
      <t xml:space="preserve">號</t>
    </r>
  </si>
  <si>
    <t xml:space="preserve">0987602457</t>
  </si>
  <si>
    <t xml:space="preserve">sramtony@gmail.com</t>
  </si>
  <si>
    <t xml:space="preserve">2025-12-29</t>
  </si>
  <si>
    <t xml:space="preserve">私立韋傑英文短期補習班</t>
  </si>
  <si>
    <r>
      <rPr>
        <sz val="10"/>
        <color rgb="FF1F2A28"/>
        <rFont val="WenQuanYi Zen Hei"/>
        <family val="2"/>
      </rPr>
      <t xml:space="preserve">羅東鎮民生路</t>
    </r>
    <r>
      <rPr>
        <sz val="10"/>
        <color rgb="FF1F2A28"/>
        <rFont val="Arial"/>
        <family val="0"/>
        <charset val="1"/>
      </rPr>
      <t xml:space="preserve">167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</si>
  <si>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0920-208-461</t>
  </si>
  <si>
    <t xml:space="preserve">trinilai@gmail.com</t>
  </si>
  <si>
    <t xml:space="preserve">賴曉楓</t>
  </si>
  <si>
    <t xml:space="preserve">私立龍之堡英文會話短期補習班</t>
  </si>
  <si>
    <r>
      <rPr>
        <sz val="10"/>
        <color rgb="FF1F2A28"/>
        <rFont val="WenQuanYi Zen Hei"/>
        <family val="2"/>
      </rPr>
      <t xml:space="preserve">羅東鎮中華路</t>
    </r>
    <r>
      <rPr>
        <sz val="10"/>
        <color rgb="FF1F2A28"/>
        <rFont val="Arial"/>
        <family val="0"/>
        <charset val="1"/>
      </rPr>
      <t xml:space="preserve">74</t>
    </r>
    <r>
      <rPr>
        <sz val="10"/>
        <color rgb="FF1F2A28"/>
        <rFont val="WenQuanYi Zen Hei"/>
        <family val="2"/>
      </rPr>
      <t xml:space="preserve">之</t>
    </r>
    <r>
      <rPr>
        <sz val="10"/>
        <color rgb="FF1F2A28"/>
        <rFont val="Arial"/>
        <family val="0"/>
        <charset val="1"/>
      </rPr>
      <t xml:space="preserve">2</t>
    </r>
    <r>
      <rPr>
        <sz val="10"/>
        <color rgb="FF1F2A28"/>
        <rFont val="WenQuanYi Zen Hei"/>
        <family val="2"/>
      </rPr>
      <t xml:space="preserve">號</t>
    </r>
  </si>
  <si>
    <t xml:space="preserve">(03)9533030</t>
  </si>
  <si>
    <t xml:space="preserve">g09116899@yahoo.com.tw</t>
  </si>
  <si>
    <t xml:space="preserve">2003-11-18</t>
  </si>
  <si>
    <t xml:space="preserve">林崇營</t>
  </si>
  <si>
    <t xml:space="preserve">簡淑敏</t>
  </si>
  <si>
    <t xml:space="preserve">財團法人天主教蘭陽青年會附設私立蘭陽文理短期補習班</t>
  </si>
  <si>
    <r>
      <rPr>
        <sz val="10"/>
        <color rgb="FF1F2A28"/>
        <rFont val="WenQuanYi Zen Hei"/>
        <family val="2"/>
      </rPr>
      <t xml:space="preserve">羅東鎮北成路一段</t>
    </r>
    <r>
      <rPr>
        <sz val="10"/>
        <color rgb="FF1F2A28"/>
        <rFont val="Arial"/>
        <family val="0"/>
        <charset val="1"/>
      </rPr>
      <t xml:space="preserve">189</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</si>
  <si>
    <t xml:space="preserve">(03)9511161</t>
  </si>
  <si>
    <t xml:space="preserve">lyccfinace9511161@gmail.com</t>
  </si>
  <si>
    <t xml:space="preserve">2024-02-07</t>
  </si>
  <si>
    <t xml:space="preserve">黃浩然</t>
  </si>
  <si>
    <t xml:space="preserve">潘玟珊</t>
  </si>
  <si>
    <t xml:space="preserve">蘇澳鎮</t>
  </si>
  <si>
    <t xml:space="preserve">私立學勝美語文理短期補習班</t>
  </si>
  <si>
    <r>
      <rPr>
        <sz val="10"/>
        <color rgb="FF1F2A28"/>
        <rFont val="WenQuanYi Zen Hei"/>
        <family val="2"/>
      </rPr>
      <t xml:space="preserve">蘇澳鎮中山路</t>
    </r>
    <r>
      <rPr>
        <sz val="10"/>
        <color rgb="FF1F2A28"/>
        <rFont val="Arial"/>
        <family val="0"/>
        <charset val="1"/>
      </rPr>
      <t xml:space="preserve">1</t>
    </r>
    <r>
      <rPr>
        <sz val="10"/>
        <color rgb="FF1F2A28"/>
        <rFont val="WenQuanYi Zen Hei"/>
        <family val="2"/>
      </rPr>
      <t xml:space="preserve">段</t>
    </r>
    <r>
      <rPr>
        <sz val="10"/>
        <color rgb="FF1F2A28"/>
        <rFont val="Arial"/>
        <family val="0"/>
        <charset val="1"/>
      </rPr>
      <t xml:space="preserve">343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</si>
  <si>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(03)9955002</t>
  </si>
  <si>
    <t xml:space="preserve">2014-01-14</t>
  </si>
  <si>
    <t xml:space="preserve">鐘佳良</t>
  </si>
  <si>
    <t xml:space="preserve">鍾雨彤</t>
  </si>
  <si>
    <t xml:space="preserve">私立學晟文理短期補習班</t>
  </si>
  <si>
    <r>
      <rPr>
        <sz val="10"/>
        <color rgb="FF1F2A28"/>
        <rFont val="WenQuanYi Zen Hei"/>
        <family val="2"/>
      </rPr>
      <t xml:space="preserve">蘇澳鎮永榮里和平路</t>
    </r>
    <r>
      <rPr>
        <sz val="10"/>
        <color rgb="FF1F2A28"/>
        <rFont val="Arial"/>
        <family val="0"/>
        <charset val="1"/>
      </rPr>
      <t xml:space="preserve">60</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</si>
  <si>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(03)9905550</t>
  </si>
  <si>
    <t xml:space="preserve">shadowlen@yahoo.com.tw</t>
  </si>
  <si>
    <t xml:space="preserve">2016-09-14</t>
  </si>
  <si>
    <t xml:space="preserve">藍珮瑾</t>
  </si>
  <si>
    <t xml:space="preserve">黃建華</t>
  </si>
  <si>
    <t xml:space="preserve">私立欣欣記憶文理短期補習班</t>
  </si>
  <si>
    <r>
      <rPr>
        <sz val="10"/>
        <color rgb="FF1F2A28"/>
        <rFont val="WenQuanYi Zen Hei"/>
        <family val="2"/>
      </rPr>
      <t xml:space="preserve">蘇澳鎮永榮里和平路</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</si>
  <si>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(03)9909556</t>
  </si>
  <si>
    <t xml:space="preserve">sichi47@gmail.com</t>
  </si>
  <si>
    <t xml:space="preserve">2002-07-19</t>
  </si>
  <si>
    <t xml:space="preserve">張世麒</t>
  </si>
  <si>
    <t xml:space="preserve">私立稚元文理短期補習班</t>
  </si>
  <si>
    <r>
      <rPr>
        <sz val="10"/>
        <color rgb="FF1F2A28"/>
        <rFont val="WenQuanYi Zen Hei"/>
        <family val="2"/>
      </rPr>
      <t xml:space="preserve">蘇澳鎮城東路</t>
    </r>
    <r>
      <rPr>
        <sz val="10"/>
        <color rgb="FF1F2A28"/>
        <rFont val="Arial"/>
        <family val="0"/>
        <charset val="1"/>
      </rPr>
      <t xml:space="preserve">105</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</si>
  <si>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(03)9904773</t>
  </si>
  <si>
    <t xml:space="preserve">2019-01-24</t>
  </si>
  <si>
    <t xml:space="preserve">劉品均</t>
  </si>
  <si>
    <t xml:space="preserve">私立立文文理短期補習班</t>
  </si>
  <si>
    <r>
      <rPr>
        <sz val="10"/>
        <color rgb="FF1F2A28"/>
        <rFont val="WenQuanYi Zen Hei"/>
        <family val="2"/>
      </rPr>
      <t xml:space="preserve">蘇澳鎮和平路</t>
    </r>
    <r>
      <rPr>
        <sz val="10"/>
        <color rgb="FF1F2A28"/>
        <rFont val="Arial"/>
        <family val="0"/>
        <charset val="1"/>
      </rPr>
      <t xml:space="preserve">119</t>
    </r>
    <r>
      <rPr>
        <sz val="10"/>
        <color rgb="FF1F2A28"/>
        <rFont val="WenQuanYi Zen Hei"/>
        <family val="2"/>
      </rPr>
      <t xml:space="preserve">、</t>
    </r>
    <r>
      <rPr>
        <sz val="10"/>
        <color rgb="FF1F2A28"/>
        <rFont val="Arial"/>
        <family val="0"/>
        <charset val="1"/>
      </rPr>
      <t xml:space="preserve">121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</si>
  <si>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(03)9907360</t>
  </si>
  <si>
    <t xml:space="preserve">veryfree0210@yahoo.com.tw</t>
  </si>
  <si>
    <t xml:space="preserve">李淑婉</t>
  </si>
  <si>
    <t xml:space="preserve">李淑萍</t>
  </si>
  <si>
    <t xml:space="preserve">頭城鎮</t>
  </si>
  <si>
    <t xml:space="preserve">私立梅氏英文短期補習班</t>
  </si>
  <si>
    <r>
      <rPr>
        <sz val="10"/>
        <color rgb="FF1F2A28"/>
        <rFont val="WenQuanYi Zen Hei"/>
        <family val="2"/>
      </rPr>
      <t xml:space="preserve">頭城鎮頭濱路三段</t>
    </r>
    <r>
      <rPr>
        <sz val="10"/>
        <color rgb="FF1F2A28"/>
        <rFont val="Arial"/>
        <family val="0"/>
        <charset val="1"/>
      </rPr>
      <t xml:space="preserve">223</t>
    </r>
    <r>
      <rPr>
        <sz val="10"/>
        <color rgb="FF1F2A28"/>
        <rFont val="WenQuanYi Zen Hei"/>
        <family val="2"/>
      </rPr>
      <t xml:space="preserve">號</t>
    </r>
  </si>
  <si>
    <t xml:space="preserve">0933543394</t>
  </si>
  <si>
    <t xml:space="preserve">juliawu5433@yahoo.com</t>
  </si>
  <si>
    <t xml:space="preserve">2024-06-07</t>
  </si>
  <si>
    <t xml:space="preserve">邱良貞</t>
  </si>
  <si>
    <t xml:space="preserve">吳宛珊</t>
  </si>
  <si>
    <t xml:space="preserve">私立派克美語學苑短期補習班</t>
  </si>
  <si>
    <r>
      <rPr>
        <sz val="10"/>
        <color rgb="FF1F2A28"/>
        <rFont val="WenQuanYi Zen Hei"/>
        <family val="2"/>
      </rPr>
      <t xml:space="preserve">頭城鎮復興路</t>
    </r>
    <r>
      <rPr>
        <sz val="10"/>
        <color rgb="FF1F2A28"/>
        <rFont val="Arial"/>
        <family val="0"/>
        <charset val="1"/>
      </rPr>
      <t xml:space="preserve">72</t>
    </r>
    <r>
      <rPr>
        <sz val="10"/>
        <color rgb="FF1F2A28"/>
        <rFont val="WenQuanYi Zen Hei"/>
        <family val="2"/>
      </rPr>
      <t xml:space="preserve">巷</t>
    </r>
    <r>
      <rPr>
        <sz val="10"/>
        <color rgb="FF1F2A28"/>
        <rFont val="Arial"/>
        <family val="0"/>
        <charset val="1"/>
      </rPr>
      <t xml:space="preserve">11</t>
    </r>
    <r>
      <rPr>
        <sz val="10"/>
        <color rgb="FF1F2A28"/>
        <rFont val="WenQuanYi Zen Hei"/>
        <family val="2"/>
      </rPr>
      <t xml:space="preserve">號</t>
    </r>
  </si>
  <si>
    <t xml:space="preserve">0952970336</t>
  </si>
  <si>
    <t xml:space="preserve">ines8701@hotmail.com</t>
  </si>
  <si>
    <t xml:space="preserve">2021-11-23</t>
  </si>
  <si>
    <t xml:space="preserve">蔡孟花</t>
  </si>
  <si>
    <t xml:space="preserve">私立育立愛兒村文理短期補習班</t>
  </si>
  <si>
    <r>
      <rPr>
        <sz val="10"/>
        <color rgb="FF1F2A28"/>
        <rFont val="WenQuanYi Zen Hei"/>
        <family val="2"/>
      </rPr>
      <t xml:space="preserve">頭城鎮公園路</t>
    </r>
    <r>
      <rPr>
        <sz val="10"/>
        <color rgb="FF1F2A28"/>
        <rFont val="Arial"/>
        <family val="0"/>
        <charset val="1"/>
      </rPr>
      <t xml:space="preserve">30</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</si>
  <si>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(03)978-9966</t>
  </si>
  <si>
    <t xml:space="preserve">jennifer19312@gmail.com</t>
  </si>
  <si>
    <t xml:space="preserve">2002-10-03</t>
  </si>
  <si>
    <t xml:space="preserve">林小芬</t>
  </si>
  <si>
    <t xml:space="preserve">私立蘇珊美語文理短期補習班</t>
  </si>
  <si>
    <r>
      <rPr>
        <sz val="10"/>
        <color rgb="FF1F2A28"/>
        <rFont val="WenQuanYi Zen Hei"/>
        <family val="2"/>
      </rPr>
      <t xml:space="preserve">頭城鎮和平街</t>
    </r>
    <r>
      <rPr>
        <sz val="10"/>
        <color rgb="FF1F2A28"/>
        <rFont val="Arial"/>
        <family val="0"/>
        <charset val="1"/>
      </rPr>
      <t xml:space="preserve">88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</si>
  <si>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0952-309277</t>
  </si>
  <si>
    <t xml:space="preserve">bay1220@gmail.com</t>
  </si>
  <si>
    <t xml:space="preserve">汪淑貞</t>
  </si>
  <si>
    <t xml:space="preserve">花蓮縣</t>
  </si>
  <si>
    <t xml:space="preserve">伯爵教育科技股份有限公司附設私立伯爵文理短期補習班</t>
  </si>
  <si>
    <r>
      <rPr>
        <sz val="10"/>
        <color rgb="FF1F2A28"/>
        <rFont val="WenQuanYi Zen Hei"/>
        <family val="2"/>
      </rPr>
      <t xml:space="preserve">花蓮縣吉安鄉荳蘭</t>
    </r>
    <r>
      <rPr>
        <sz val="10"/>
        <color rgb="FF1F2A28"/>
        <rFont val="Arial"/>
        <family val="0"/>
        <charset val="1"/>
      </rPr>
      <t xml:space="preserve">3</t>
    </r>
    <r>
      <rPr>
        <sz val="10"/>
        <color rgb="FF1F2A28"/>
        <rFont val="WenQuanYi Zen Hei"/>
        <family val="2"/>
      </rPr>
      <t xml:space="preserve">街</t>
    </r>
    <r>
      <rPr>
        <sz val="10"/>
        <color rgb="FF1F2A28"/>
        <rFont val="Arial"/>
        <family val="0"/>
        <charset val="1"/>
      </rPr>
      <t xml:space="preserve">25</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樓及夾層</t>
    </r>
  </si>
  <si>
    <t xml:space="preserve">(03)8549427</t>
  </si>
  <si>
    <t xml:space="preserve">chreeie2002@yahoo.com.tw</t>
  </si>
  <si>
    <t xml:space="preserve">2004-07-26</t>
  </si>
  <si>
    <t xml:space="preserve">廖英伶</t>
  </si>
  <si>
    <t xml:space="preserve">胡郁如</t>
  </si>
  <si>
    <t xml:space="preserve">私立亞倫美語文理短期補習班</t>
  </si>
  <si>
    <r>
      <rPr>
        <sz val="10"/>
        <color rgb="FF1F2A28"/>
        <rFont val="WenQuanYi Zen Hei"/>
        <family val="2"/>
      </rPr>
      <t xml:space="preserve">花蓮縣瑞穗鄉國光北路</t>
    </r>
    <r>
      <rPr>
        <sz val="10"/>
        <color rgb="FF1F2A28"/>
        <rFont val="Arial"/>
        <family val="0"/>
        <charset val="1"/>
      </rPr>
      <t xml:space="preserve">81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</si>
  <si>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(03)8871839</t>
  </si>
  <si>
    <t xml:space="preserve">allansherry1@gmail.com</t>
  </si>
  <si>
    <t xml:space="preserve">江啓禎</t>
  </si>
  <si>
    <t xml:space="preserve">私立倍斯特文理短期補習班</t>
  </si>
  <si>
    <r>
      <rPr>
        <sz val="10"/>
        <color rgb="FF1F2A28"/>
        <rFont val="WenQuanYi Zen Hei"/>
        <family val="2"/>
      </rPr>
      <t xml:space="preserve">花蓮縣新城鄉北埔村民權街</t>
    </r>
    <r>
      <rPr>
        <sz val="10"/>
        <color rgb="FF1F2A28"/>
        <rFont val="Arial"/>
        <family val="0"/>
        <charset val="1"/>
      </rPr>
      <t xml:space="preserve">255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</si>
  <si>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(03)8266052</t>
  </si>
  <si>
    <t xml:space="preserve">roninyoung0820@gmail.com</t>
  </si>
  <si>
    <t xml:space="preserve">李宜青</t>
  </si>
  <si>
    <t xml:space="preserve">李郁青</t>
  </si>
  <si>
    <t xml:space="preserve">私立凱揚才藝語文文理技藝短期補習班</t>
  </si>
  <si>
    <r>
      <rPr>
        <sz val="10"/>
        <color rgb="FF1F2A28"/>
        <rFont val="WenQuanYi Zen Hei"/>
        <family val="2"/>
      </rPr>
      <t xml:space="preserve">花蓮縣吉安鄉仁里</t>
    </r>
    <r>
      <rPr>
        <sz val="10"/>
        <color rgb="FF1F2A28"/>
        <rFont val="Arial"/>
        <family val="0"/>
        <charset val="1"/>
      </rPr>
      <t xml:space="preserve">12</t>
    </r>
    <r>
      <rPr>
        <sz val="10"/>
        <color rgb="FF1F2A28"/>
        <rFont val="WenQuanYi Zen Hei"/>
        <family val="2"/>
      </rPr>
      <t xml:space="preserve">街</t>
    </r>
    <r>
      <rPr>
        <sz val="10"/>
        <color rgb="FF1F2A28"/>
        <rFont val="Arial"/>
        <family val="0"/>
        <charset val="1"/>
      </rPr>
      <t xml:space="preserve">45</t>
    </r>
    <r>
      <rPr>
        <sz val="10"/>
        <color rgb="FF1F2A28"/>
        <rFont val="WenQuanYi Zen Hei"/>
        <family val="2"/>
      </rPr>
      <t xml:space="preserve">號</t>
    </r>
  </si>
  <si>
    <t xml:space="preserve">03-8543206</t>
  </si>
  <si>
    <t xml:space="preserve">kydy5123@yahoo.com.tw</t>
  </si>
  <si>
    <t xml:space="preserve">1999-04-17</t>
  </si>
  <si>
    <t xml:space="preserve">李陽吾</t>
  </si>
  <si>
    <t xml:space="preserve">林凱蒂</t>
  </si>
  <si>
    <t xml:space="preserve">私立哈囉巨人文理短期補習班</t>
  </si>
  <si>
    <r>
      <rPr>
        <sz val="10"/>
        <color rgb="FF1F2A28"/>
        <rFont val="WenQuanYi Zen Hei"/>
        <family val="2"/>
      </rPr>
      <t xml:space="preserve">花蓮縣吉安鄉莊敬路</t>
    </r>
    <r>
      <rPr>
        <sz val="10"/>
        <color rgb="FF1F2A28"/>
        <rFont val="Arial"/>
        <family val="0"/>
        <charset val="1"/>
      </rPr>
      <t xml:space="preserve">207</t>
    </r>
    <r>
      <rPr>
        <sz val="10"/>
        <color rgb="FF1F2A28"/>
        <rFont val="WenQuanYi Zen Hei"/>
        <family val="2"/>
      </rPr>
      <t xml:space="preserve">號</t>
    </r>
  </si>
  <si>
    <t xml:space="preserve">(03)8462788</t>
  </si>
  <si>
    <t xml:space="preserve">jeniffer@life.fubon.com</t>
  </si>
  <si>
    <t xml:space="preserve">私立學暘文理短期補習班</t>
  </si>
  <si>
    <r>
      <rPr>
        <sz val="10"/>
        <color rgb="FF1F2A28"/>
        <rFont val="WenQuanYi Zen Hei"/>
        <family val="2"/>
      </rPr>
      <t xml:space="preserve">花蓮縣吉安鄉稻香村稻香三街</t>
    </r>
    <r>
      <rPr>
        <sz val="10"/>
        <color rgb="FF1F2A28"/>
        <rFont val="Arial"/>
        <family val="0"/>
        <charset val="1"/>
      </rPr>
      <t xml:space="preserve">16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</si>
  <si>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(03)8531952</t>
  </si>
  <si>
    <t xml:space="preserve">a8510659@yahoo.com.tw</t>
  </si>
  <si>
    <t xml:space="preserve">2007-06-12</t>
  </si>
  <si>
    <t xml:space="preserve">徐懿香</t>
  </si>
  <si>
    <r>
      <rPr>
        <sz val="10"/>
        <color rgb="FF1F2A28"/>
        <rFont val="WenQuanYi Zen Hei"/>
        <family val="2"/>
      </rPr>
      <t xml:space="preserve">花蓮縣新城鄉康樂村大漢街</t>
    </r>
    <r>
      <rPr>
        <sz val="10"/>
        <color rgb="FF1F2A28"/>
        <rFont val="Arial"/>
        <family val="0"/>
        <charset val="1"/>
      </rPr>
      <t xml:space="preserve">270</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</si>
  <si>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(03)8266079</t>
  </si>
  <si>
    <t xml:space="preserve">sun8266079@yahoo.com.tw</t>
  </si>
  <si>
    <t xml:space="preserve">徐瑞鈺</t>
  </si>
  <si>
    <t xml:space="preserve">私立小登科文理技藝短期補習班</t>
  </si>
  <si>
    <r>
      <rPr>
        <sz val="10"/>
        <color rgb="FF1F2A28"/>
        <rFont val="WenQuanYi Zen Hei"/>
        <family val="2"/>
      </rPr>
      <t xml:space="preserve">花蓮縣壽豐鄉中山路</t>
    </r>
    <r>
      <rPr>
        <sz val="10"/>
        <color rgb="FF1F2A28"/>
        <rFont val="Arial"/>
        <family val="0"/>
        <charset val="1"/>
      </rPr>
      <t xml:space="preserve">6</t>
    </r>
    <r>
      <rPr>
        <sz val="10"/>
        <color rgb="FF1F2A28"/>
        <rFont val="WenQuanYi Zen Hei"/>
        <family val="2"/>
      </rPr>
      <t xml:space="preserve">段</t>
    </r>
    <r>
      <rPr>
        <sz val="10"/>
        <color rgb="FF1F2A28"/>
        <rFont val="Arial"/>
        <family val="0"/>
        <charset val="1"/>
      </rPr>
      <t xml:space="preserve">24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</si>
  <si>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03-8653472</t>
  </si>
  <si>
    <t xml:space="preserve">xdk8653472@gmail.com</t>
  </si>
  <si>
    <t xml:space="preserve">林瑞珠</t>
  </si>
  <si>
    <t xml:space="preserve">私立強生文理短期補習班</t>
  </si>
  <si>
    <r>
      <rPr>
        <sz val="10"/>
        <color rgb="FF1F2A28"/>
        <rFont val="WenQuanYi Zen Hei"/>
        <family val="2"/>
      </rPr>
      <t xml:space="preserve">花蓮縣光復鄉中華路</t>
    </r>
    <r>
      <rPr>
        <sz val="10"/>
        <color rgb="FF1F2A28"/>
        <rFont val="Arial"/>
        <family val="0"/>
        <charset val="1"/>
      </rPr>
      <t xml:space="preserve">214</t>
    </r>
    <r>
      <rPr>
        <sz val="10"/>
        <color rgb="FF1F2A28"/>
        <rFont val="WenQuanYi Zen Hei"/>
        <family val="2"/>
      </rPr>
      <t xml:space="preserve">號</t>
    </r>
  </si>
  <si>
    <t xml:space="preserve">(03)8701900</t>
  </si>
  <si>
    <t xml:space="preserve">jowa323@yahoo.com.tw</t>
  </si>
  <si>
    <t xml:space="preserve">曾秀英</t>
  </si>
  <si>
    <t xml:space="preserve">王鐘元</t>
  </si>
  <si>
    <t xml:space="preserve">私立成長之樂文理技藝短期補習班</t>
  </si>
  <si>
    <r>
      <rPr>
        <sz val="10"/>
        <color rgb="FF1F2A28"/>
        <rFont val="WenQuanYi Zen Hei"/>
        <family val="2"/>
      </rPr>
      <t xml:space="preserve">花蓮縣吉安鄉勝安村勝安一街</t>
    </r>
    <r>
      <rPr>
        <sz val="10"/>
        <color rgb="FF1F2A28"/>
        <rFont val="Arial"/>
        <family val="0"/>
        <charset val="1"/>
      </rPr>
      <t xml:space="preserve">56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</si>
  <si>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(03)8510990</t>
  </si>
  <si>
    <t xml:space="preserve">musicis.happy@msa.hinet.net</t>
  </si>
  <si>
    <t xml:space="preserve">2007-11-28</t>
  </si>
  <si>
    <t xml:space="preserve">楊秋香</t>
  </si>
  <si>
    <t xml:space="preserve">楊秋子</t>
  </si>
  <si>
    <t xml:space="preserve">私立新唯勤外語補習班</t>
  </si>
  <si>
    <r>
      <rPr>
        <sz val="10"/>
        <color rgb="FF1F2A28"/>
        <rFont val="WenQuanYi Zen Hei"/>
        <family val="2"/>
      </rPr>
      <t xml:space="preserve">花蓮縣玉里鎮忠仁路</t>
    </r>
    <r>
      <rPr>
        <sz val="10"/>
        <color rgb="FF1F2A28"/>
        <rFont val="Arial"/>
        <family val="0"/>
        <charset val="1"/>
      </rPr>
      <t xml:space="preserve">41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</si>
  <si>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03-8889800</t>
  </si>
  <si>
    <t xml:space="preserve">nwcnwc9800@gmail.com</t>
  </si>
  <si>
    <t xml:space="preserve">2007-03-23</t>
  </si>
  <si>
    <t xml:space="preserve">鄔元靖</t>
  </si>
  <si>
    <t xml:space="preserve">私立春田文理技藝短期補習班</t>
  </si>
  <si>
    <r>
      <rPr>
        <sz val="10"/>
        <color rgb="FF1F2A28"/>
        <rFont val="WenQuanYi Zen Hei"/>
        <family val="2"/>
      </rPr>
      <t xml:space="preserve">花蓮縣吉安鄉壽昌街</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</si>
  <si>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(03)8579247</t>
  </si>
  <si>
    <t xml:space="preserve">spring.field@msa.hinet.net</t>
  </si>
  <si>
    <t xml:space="preserve">2003-09-23</t>
  </si>
  <si>
    <t xml:space="preserve">朱蕙雯</t>
  </si>
  <si>
    <t xml:space="preserve">私立有容文理技藝短期補習班</t>
  </si>
  <si>
    <r>
      <rPr>
        <sz val="10"/>
        <color rgb="FF1F2A28"/>
        <rFont val="WenQuanYi Zen Hei"/>
        <family val="2"/>
      </rPr>
      <t xml:space="preserve">花蓮縣玉里鎮仁愛路一段</t>
    </r>
    <r>
      <rPr>
        <sz val="10"/>
        <color rgb="FF1F2A28"/>
        <rFont val="Arial"/>
        <family val="0"/>
        <charset val="1"/>
      </rPr>
      <t xml:space="preserve">84</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</si>
  <si>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0919-238730</t>
  </si>
  <si>
    <t xml:space="preserve">u8884026@yahoo.com.tw</t>
  </si>
  <si>
    <t xml:space="preserve">吳佳慧</t>
  </si>
  <si>
    <t xml:space="preserve">私立歡樂美語文理短期補習班</t>
  </si>
  <si>
    <r>
      <rPr>
        <sz val="10"/>
        <color rgb="FF1F2A28"/>
        <rFont val="WenQuanYi Zen Hei"/>
        <family val="2"/>
      </rPr>
      <t xml:space="preserve">花蓮縣鳳林鎮中山路</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</si>
  <si>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(03)8761222</t>
  </si>
  <si>
    <t xml:space="preserve">elaine_Jenq@yahoo.com</t>
  </si>
  <si>
    <t xml:space="preserve">2006-07-26</t>
  </si>
  <si>
    <t xml:space="preserve">鄭宜玲</t>
  </si>
  <si>
    <t xml:space="preserve">私立溫老師文理短期補習班</t>
  </si>
  <si>
    <r>
      <rPr>
        <sz val="10"/>
        <color rgb="FF1F2A28"/>
        <rFont val="WenQuanYi Zen Hei"/>
        <family val="2"/>
      </rPr>
      <t xml:space="preserve">花蓮縣光復鄉中興路</t>
    </r>
    <r>
      <rPr>
        <sz val="10"/>
        <color rgb="FF1F2A28"/>
        <rFont val="Arial"/>
        <family val="0"/>
        <charset val="1"/>
      </rPr>
      <t xml:space="preserve">572</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</si>
  <si>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(03)8703992</t>
  </si>
  <si>
    <t xml:space="preserve">citysunm@hotmail.com</t>
  </si>
  <si>
    <t xml:space="preserve">葉佳勝</t>
  </si>
  <si>
    <t xml:space="preserve">私立米高文理短期補習班</t>
  </si>
  <si>
    <r>
      <rPr>
        <sz val="10"/>
        <color rgb="FF1F2A28"/>
        <rFont val="WenQuanYi Zen Hei"/>
        <family val="2"/>
      </rPr>
      <t xml:space="preserve">花蓮縣吉安鄉慶豐六街</t>
    </r>
    <r>
      <rPr>
        <sz val="10"/>
        <color rgb="FF1F2A28"/>
        <rFont val="Arial"/>
        <family val="0"/>
        <charset val="1"/>
      </rPr>
      <t xml:space="preserve">134</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</si>
  <si>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(03)8514189</t>
  </si>
  <si>
    <t xml:space="preserve">joshuabxwu@gmail.com</t>
  </si>
  <si>
    <t xml:space="preserve">江美樂蒂</t>
  </si>
  <si>
    <t xml:space="preserve">私立耕讀園文理技藝短期補習班</t>
  </si>
  <si>
    <r>
      <rPr>
        <sz val="10"/>
        <color rgb="FF1F2A28"/>
        <rFont val="WenQuanYi Zen Hei"/>
        <family val="2"/>
      </rPr>
      <t xml:space="preserve">花蓮縣鳳林鎮中華路</t>
    </r>
    <r>
      <rPr>
        <sz val="10"/>
        <color rgb="FF1F2A28"/>
        <rFont val="Arial"/>
        <family val="0"/>
        <charset val="1"/>
      </rPr>
      <t xml:space="preserve">192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</si>
  <si>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(03)8764269</t>
  </si>
  <si>
    <t xml:space="preserve">林秀紅</t>
  </si>
  <si>
    <t xml:space="preserve">私立頂尖文理技藝短期補習班</t>
  </si>
  <si>
    <r>
      <rPr>
        <sz val="10"/>
        <color rgb="FF1F2A28"/>
        <rFont val="WenQuanYi Zen Hei"/>
        <family val="2"/>
      </rPr>
      <t xml:space="preserve">花蓮縣吉安鄉南昌村文化一街</t>
    </r>
    <r>
      <rPr>
        <sz val="10"/>
        <color rgb="FF1F2A28"/>
        <rFont val="Arial"/>
        <family val="0"/>
        <charset val="1"/>
      </rPr>
      <t xml:space="preserve">3</t>
    </r>
    <r>
      <rPr>
        <sz val="10"/>
        <color rgb="FF1F2A28"/>
        <rFont val="WenQuanYi Zen Hei"/>
        <family val="2"/>
      </rPr>
      <t xml:space="preserve">號</t>
    </r>
  </si>
  <si>
    <t xml:space="preserve">(03)8522218</t>
  </si>
  <si>
    <t xml:space="preserve">Sin.yi2@msa.hinet.net</t>
  </si>
  <si>
    <t xml:space="preserve">宋兆蓉</t>
  </si>
  <si>
    <t xml:space="preserve">陳柳甄</t>
  </si>
  <si>
    <t xml:space="preserve">私立麗姿坊文理短期補習班</t>
  </si>
  <si>
    <r>
      <rPr>
        <sz val="10"/>
        <color rgb="FF1F2A28"/>
        <rFont val="WenQuanYi Zen Hei"/>
        <family val="2"/>
      </rPr>
      <t xml:space="preserve">花蓮縣新城鄉北埔村光復路</t>
    </r>
    <r>
      <rPr>
        <sz val="10"/>
        <color rgb="FF1F2A28"/>
        <rFont val="Arial"/>
        <family val="0"/>
        <charset val="1"/>
      </rPr>
      <t xml:space="preserve">257</t>
    </r>
    <r>
      <rPr>
        <sz val="10"/>
        <color rgb="FF1F2A28"/>
        <rFont val="WenQuanYi Zen Hei"/>
        <family val="2"/>
      </rPr>
      <t xml:space="preserve">號</t>
    </r>
  </si>
  <si>
    <t xml:space="preserve">0912523216</t>
  </si>
  <si>
    <t xml:space="preserve">lovesong7641@gmail.com</t>
  </si>
  <si>
    <t xml:space="preserve">2009-07-21</t>
  </si>
  <si>
    <t xml:space="preserve">黃麗華</t>
  </si>
  <si>
    <t xml:space="preserve">顏家威</t>
  </si>
  <si>
    <t xml:space="preserve">花蓮市</t>
  </si>
  <si>
    <t xml:space="preserve">伯爵教育科技股份有限公司附設私立昇爵文理短期補習班</t>
  </si>
  <si>
    <r>
      <rPr>
        <sz val="10"/>
        <color rgb="FF1F2A28"/>
        <rFont val="WenQuanYi Zen Hei"/>
        <family val="2"/>
      </rPr>
      <t xml:space="preserve">花蓮市三民街</t>
    </r>
    <r>
      <rPr>
        <sz val="10"/>
        <color rgb="FF1F2A28"/>
        <rFont val="Arial"/>
        <family val="0"/>
        <charset val="1"/>
      </rPr>
      <t xml:space="preserve">46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樓至</t>
    </r>
    <r>
      <rPr>
        <sz val="10"/>
        <color rgb="FF1F2A28"/>
        <rFont val="Arial"/>
        <family val="0"/>
        <charset val="1"/>
      </rPr>
      <t xml:space="preserve">5</t>
    </r>
    <r>
      <rPr>
        <sz val="10"/>
        <color rgb="FF1F2A28"/>
        <rFont val="WenQuanYi Zen Hei"/>
        <family val="2"/>
      </rPr>
      <t xml:space="preserve">樓</t>
    </r>
  </si>
  <si>
    <t xml:space="preserve">(03)8333630</t>
  </si>
  <si>
    <t xml:space="preserve">g341411@gmail.com</t>
  </si>
  <si>
    <t xml:space="preserve">伯爵教育科技股份有限公司附設私立莘爵文理短期補習班</t>
  </si>
  <si>
    <r>
      <rPr>
        <sz val="10"/>
        <color rgb="FF1F2A28"/>
        <rFont val="WenQuanYi Zen Hei"/>
        <family val="2"/>
      </rPr>
      <t xml:space="preserve">花蓮市民國路</t>
    </r>
    <r>
      <rPr>
        <sz val="10"/>
        <color rgb="FF1F2A28"/>
        <rFont val="Arial"/>
        <family val="0"/>
        <charset val="1"/>
      </rPr>
      <t xml:space="preserve">32-1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4</t>
    </r>
    <r>
      <rPr>
        <sz val="10"/>
        <color rgb="FF1F2A28"/>
        <rFont val="WenQuanYi Zen Hei"/>
        <family val="2"/>
      </rPr>
      <t xml:space="preserve">樓</t>
    </r>
  </si>
  <si>
    <t xml:space="preserve">(03)8330768</t>
  </si>
  <si>
    <t xml:space="preserve">projectvedioo@gmail.com</t>
  </si>
  <si>
    <t xml:space="preserve">吳靜芬</t>
  </si>
  <si>
    <t xml:space="preserve">好時光教育有限公司附設私立好時光英文文理短期補習班</t>
  </si>
  <si>
    <r>
      <rPr>
        <sz val="10"/>
        <color rgb="FF1F2A28"/>
        <rFont val="WenQuanYi Zen Hei"/>
        <family val="2"/>
      </rPr>
      <t xml:space="preserve">花蓮市中正路</t>
    </r>
    <r>
      <rPr>
        <sz val="10"/>
        <color rgb="FF1F2A28"/>
        <rFont val="Arial"/>
        <family val="0"/>
        <charset val="1"/>
      </rPr>
      <t xml:space="preserve">422</t>
    </r>
    <r>
      <rPr>
        <sz val="10"/>
        <color rgb="FF1F2A28"/>
        <rFont val="WenQuanYi Zen Hei"/>
        <family val="2"/>
      </rPr>
      <t xml:space="preserve">號</t>
    </r>
  </si>
  <si>
    <t xml:space="preserve">allyho1231@gmail.com</t>
  </si>
  <si>
    <t xml:space="preserve">2024-12-19</t>
  </si>
  <si>
    <t xml:space="preserve">何愛文</t>
  </si>
  <si>
    <t xml:space="preserve">智基科技開發股份有限公司附設志光文理法商短期補習班</t>
  </si>
  <si>
    <r>
      <rPr>
        <sz val="10"/>
        <color rgb="FF1F2A28"/>
        <rFont val="WenQuanYi Zen Hei"/>
        <family val="2"/>
      </rPr>
      <t xml:space="preserve">花蓮市國聯一路</t>
    </r>
    <r>
      <rPr>
        <sz val="10"/>
        <color rgb="FF1F2A28"/>
        <rFont val="Arial"/>
        <family val="0"/>
        <charset val="1"/>
      </rPr>
      <t xml:space="preserve">133</t>
    </r>
    <r>
      <rPr>
        <sz val="10"/>
        <color rgb="FF1F2A28"/>
        <rFont val="WenQuanYi Zen Hei"/>
        <family val="2"/>
      </rPr>
      <t xml:space="preserve">號</t>
    </r>
  </si>
  <si>
    <t xml:space="preserve">03-8339231</t>
  </si>
  <si>
    <t xml:space="preserve">cekhlck@gmail.com</t>
  </si>
  <si>
    <t xml:space="preserve">黃國益</t>
  </si>
  <si>
    <r>
      <rPr>
        <sz val="10"/>
        <color rgb="FF1F2A28"/>
        <rFont val="WenQuanYi Zen Hei"/>
        <family val="2"/>
      </rPr>
      <t xml:space="preserve">花蓮市博愛街</t>
    </r>
    <r>
      <rPr>
        <sz val="10"/>
        <color rgb="FF1F2A28"/>
        <rFont val="Arial"/>
        <family val="0"/>
        <charset val="1"/>
      </rPr>
      <t xml:space="preserve">272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</si>
  <si>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03-8342003</t>
  </si>
  <si>
    <t xml:space="preserve">hs3371@hess.com.tw</t>
  </si>
  <si>
    <t xml:space="preserve">2002-07-03</t>
  </si>
  <si>
    <t xml:space="preserve">何嘉仁文教事業股份有限公司花蓮分公司黃淑齡</t>
  </si>
  <si>
    <t xml:space="preserve">陳嘉苡</t>
  </si>
  <si>
    <t xml:space="preserve">私立佳姿文理技藝短期補習班</t>
  </si>
  <si>
    <r>
      <rPr>
        <sz val="10"/>
        <color rgb="FF1F2A28"/>
        <rFont val="WenQuanYi Zen Hei"/>
        <family val="2"/>
      </rPr>
      <t xml:space="preserve">花蓮市三民街</t>
    </r>
    <r>
      <rPr>
        <sz val="10"/>
        <color rgb="FF1F2A28"/>
        <rFont val="Arial"/>
        <family val="0"/>
        <charset val="1"/>
      </rPr>
      <t xml:space="preserve">82</t>
    </r>
    <r>
      <rPr>
        <sz val="10"/>
        <color rgb="FF1F2A28"/>
        <rFont val="WenQuanYi Zen Hei"/>
        <family val="2"/>
      </rPr>
      <t xml:space="preserve">之</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</si>
  <si>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(03)8326457</t>
  </si>
  <si>
    <t xml:space="preserve">jessyhouse331212@gmail.com</t>
  </si>
  <si>
    <t xml:space="preserve">李曲原</t>
  </si>
  <si>
    <t xml:space="preserve">陳敬涵</t>
  </si>
  <si>
    <t xml:space="preserve">私立佳英英語會話短期補習班</t>
  </si>
  <si>
    <r>
      <rPr>
        <sz val="10"/>
        <color rgb="FF1F2A28"/>
        <rFont val="WenQuanYi Zen Hei"/>
        <family val="2"/>
      </rPr>
      <t xml:space="preserve">花蓮市大同街</t>
    </r>
    <r>
      <rPr>
        <sz val="10"/>
        <color rgb="FF1F2A28"/>
        <rFont val="Arial"/>
        <family val="0"/>
        <charset val="1"/>
      </rPr>
      <t xml:space="preserve">10-1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</si>
  <si>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03-8355838</t>
  </si>
  <si>
    <t xml:space="preserve">joycoco.hualien@msa.hinet.net</t>
  </si>
  <si>
    <t xml:space="preserve">1991-04-12</t>
  </si>
  <si>
    <t xml:space="preserve">魏采緹</t>
  </si>
  <si>
    <t xml:space="preserve">練人華</t>
  </si>
  <si>
    <t xml:space="preserve">私立傑出兒童文理技藝短期補習班</t>
  </si>
  <si>
    <r>
      <rPr>
        <sz val="10"/>
        <color rgb="FF1F2A28"/>
        <rFont val="WenQuanYi Zen Hei"/>
        <family val="2"/>
      </rPr>
      <t xml:space="preserve">花蓮市民權八街</t>
    </r>
    <r>
      <rPr>
        <sz val="10"/>
        <color rgb="FF1F2A28"/>
        <rFont val="Arial"/>
        <family val="0"/>
        <charset val="1"/>
      </rPr>
      <t xml:space="preserve">79</t>
    </r>
    <r>
      <rPr>
        <sz val="10"/>
        <color rgb="FF1F2A28"/>
        <rFont val="WenQuanYi Zen Hei"/>
        <family val="2"/>
      </rPr>
      <t xml:space="preserve">號</t>
    </r>
  </si>
  <si>
    <t xml:space="preserve">(03)8232473; 0936-336658</t>
  </si>
  <si>
    <t xml:space="preserve">angel.a8@msa.hinet.net</t>
  </si>
  <si>
    <t xml:space="preserve">2006-04-20</t>
  </si>
  <si>
    <t xml:space="preserve">劉祝冠</t>
  </si>
  <si>
    <t xml:space="preserve">陳嘯天</t>
  </si>
  <si>
    <t xml:space="preserve">私立全方位文理短期補習班</t>
  </si>
  <si>
    <r>
      <rPr>
        <sz val="10"/>
        <color rgb="FF1F2A28"/>
        <rFont val="WenQuanYi Zen Hei"/>
        <family val="2"/>
      </rPr>
      <t xml:space="preserve">花蓮市中和街</t>
    </r>
    <r>
      <rPr>
        <sz val="10"/>
        <color rgb="FF1F2A28"/>
        <rFont val="Arial"/>
        <family val="0"/>
        <charset val="1"/>
      </rPr>
      <t xml:space="preserve">97</t>
    </r>
    <r>
      <rPr>
        <sz val="10"/>
        <color rgb="FF1F2A28"/>
        <rFont val="WenQuanYi Zen Hei"/>
        <family val="2"/>
      </rPr>
      <t xml:space="preserve">號</t>
    </r>
  </si>
  <si>
    <t xml:space="preserve">03-8333598</t>
  </si>
  <si>
    <t xml:space="preserve">a0928932228@gmail.com</t>
  </si>
  <si>
    <t xml:space="preserve">2002-03-04</t>
  </si>
  <si>
    <t xml:space="preserve">陳惠珠</t>
  </si>
  <si>
    <t xml:space="preserve">私立八分音符文理技藝短期補習班</t>
  </si>
  <si>
    <r>
      <rPr>
        <sz val="10"/>
        <color rgb="FF1F2A28"/>
        <rFont val="WenQuanYi Zen Hei"/>
        <family val="2"/>
      </rPr>
      <t xml:space="preserve">花蓮市中美三街</t>
    </r>
    <r>
      <rPr>
        <sz val="10"/>
        <color rgb="FF1F2A28"/>
        <rFont val="Arial"/>
        <family val="0"/>
        <charset val="1"/>
      </rPr>
      <t xml:space="preserve">56-2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</si>
  <si>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(03)8239979</t>
  </si>
  <si>
    <t xml:space="preserve">kitty52860@yahoo.com.tw</t>
  </si>
  <si>
    <t xml:space="preserve">方凱蒂</t>
  </si>
  <si>
    <t xml:space="preserve">私立冠軍文理短期補習班</t>
  </si>
  <si>
    <r>
      <rPr>
        <sz val="10"/>
        <color rgb="FF1F2A28"/>
        <rFont val="WenQuanYi Zen Hei"/>
        <family val="2"/>
      </rPr>
      <t xml:space="preserve">花蓮市榮正街</t>
    </r>
    <r>
      <rPr>
        <sz val="10"/>
        <color rgb="FF1F2A28"/>
        <rFont val="Arial"/>
        <family val="0"/>
        <charset val="1"/>
      </rPr>
      <t xml:space="preserve">167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</si>
  <si>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0986-076726</t>
  </si>
  <si>
    <t xml:space="preserve">u0986076726@gmail.com</t>
  </si>
  <si>
    <t xml:space="preserve">陳俊璋</t>
  </si>
  <si>
    <t xml:space="preserve">私立前山文理技藝短期補習班</t>
  </si>
  <si>
    <r>
      <rPr>
        <sz val="10"/>
        <color rgb="FF1F2A28"/>
        <rFont val="WenQuanYi Zen Hei"/>
        <family val="2"/>
      </rPr>
      <t xml:space="preserve">花蓮市自由街</t>
    </r>
    <r>
      <rPr>
        <sz val="10"/>
        <color rgb="FF1F2A28"/>
        <rFont val="Arial"/>
        <family val="0"/>
        <charset val="1"/>
      </rPr>
      <t xml:space="preserve">128</t>
    </r>
    <r>
      <rPr>
        <sz val="10"/>
        <color rgb="FF1F2A28"/>
        <rFont val="WenQuanYi Zen Hei"/>
        <family val="2"/>
      </rPr>
      <t xml:space="preserve">之</t>
    </r>
    <r>
      <rPr>
        <sz val="10"/>
        <color rgb="FF1F2A28"/>
        <rFont val="Arial"/>
        <family val="0"/>
        <charset val="1"/>
      </rPr>
      <t xml:space="preserve">7</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</si>
  <si>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03-8332882</t>
  </si>
  <si>
    <t xml:space="preserve">orenglish@orenglish.com.tw</t>
  </si>
  <si>
    <t xml:space="preserve">兒童美語、美語會話、美語發音</t>
  </si>
  <si>
    <t xml:space="preserve">2002-08-09</t>
  </si>
  <si>
    <t xml:space="preserve">陳伊莉</t>
  </si>
  <si>
    <t xml:space="preserve">李周舜仁</t>
  </si>
  <si>
    <t xml:space="preserve">私立劍橋花蓮英語文理短期補習班</t>
  </si>
  <si>
    <r>
      <rPr>
        <sz val="10"/>
        <color rgb="FF1F2A28"/>
        <rFont val="WenQuanYi Zen Hei"/>
        <family val="2"/>
      </rPr>
      <t xml:space="preserve">花蓮市中美三街</t>
    </r>
    <r>
      <rPr>
        <sz val="10"/>
        <color rgb="FF1F2A28"/>
        <rFont val="Arial"/>
        <family val="0"/>
        <charset val="1"/>
      </rPr>
      <t xml:space="preserve">56</t>
    </r>
    <r>
      <rPr>
        <sz val="10"/>
        <color rgb="FF1F2A28"/>
        <rFont val="WenQuanYi Zen Hei"/>
        <family val="2"/>
      </rPr>
      <t xml:space="preserve">號及花蓮市民權</t>
    </r>
    <r>
      <rPr>
        <sz val="10"/>
        <color rgb="FF1F2A28"/>
        <rFont val="Arial"/>
        <family val="0"/>
        <charset val="1"/>
      </rPr>
      <t xml:space="preserve">7</t>
    </r>
    <r>
      <rPr>
        <sz val="10"/>
        <color rgb="FF1F2A28"/>
        <rFont val="WenQuanYi Zen Hei"/>
        <family val="2"/>
      </rPr>
      <t xml:space="preserve">街</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</si>
  <si>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(03)8223546</t>
  </si>
  <si>
    <t xml:space="preserve">sunismo@yahoo.com.tw</t>
  </si>
  <si>
    <t xml:space="preserve">2007-12-25</t>
  </si>
  <si>
    <t xml:space="preserve">徐廉庠</t>
  </si>
  <si>
    <t xml:space="preserve">私立吉米的英文工廠文理短期補習班</t>
  </si>
  <si>
    <r>
      <rPr>
        <sz val="10"/>
        <color rgb="FF1F2A28"/>
        <rFont val="WenQuanYi Zen Hei"/>
        <family val="2"/>
      </rPr>
      <t xml:space="preserve">花蓮市國風街</t>
    </r>
    <r>
      <rPr>
        <sz val="10"/>
        <color rgb="FF1F2A28"/>
        <rFont val="Arial"/>
        <family val="0"/>
        <charset val="1"/>
      </rPr>
      <t xml:space="preserve">36</t>
    </r>
    <r>
      <rPr>
        <sz val="10"/>
        <color rgb="FF1F2A28"/>
        <rFont val="WenQuanYi Zen Hei"/>
        <family val="2"/>
      </rPr>
      <t xml:space="preserve">號</t>
    </r>
  </si>
  <si>
    <t xml:space="preserve">(03)8337288</t>
  </si>
  <si>
    <t xml:space="preserve">jimmystud9999@yahoo.com.tw</t>
  </si>
  <si>
    <t xml:space="preserve">賀師俊</t>
  </si>
  <si>
    <t xml:space="preserve">私立周揚英文文理短期補習班</t>
  </si>
  <si>
    <r>
      <rPr>
        <sz val="10"/>
        <color rgb="FF1F2A28"/>
        <rFont val="WenQuanYi Zen Hei"/>
        <family val="2"/>
      </rPr>
      <t xml:space="preserve">花蓮市民國路</t>
    </r>
    <r>
      <rPr>
        <sz val="10"/>
        <color rgb="FF1F2A28"/>
        <rFont val="Arial"/>
        <family val="0"/>
        <charset val="1"/>
      </rPr>
      <t xml:space="preserve">18</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r>
      <rPr>
        <sz val="10"/>
        <color rgb="FF1F2A28"/>
        <rFont val="Arial"/>
        <family val="0"/>
        <charset val="1"/>
      </rPr>
      <t xml:space="preserve">20</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</si>
  <si>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(03)8326588</t>
  </si>
  <si>
    <t xml:space="preserve">chouyoung18@gmail.com</t>
  </si>
  <si>
    <t xml:space="preserve">周宏濤</t>
  </si>
  <si>
    <t xml:space="preserve">蔡孟汝</t>
  </si>
  <si>
    <t xml:space="preserve">私立哈佛文理技藝短期補習班</t>
  </si>
  <si>
    <r>
      <rPr>
        <sz val="10"/>
        <color rgb="FF1F2A28"/>
        <rFont val="WenQuanYi Zen Hei"/>
        <family val="2"/>
      </rPr>
      <t xml:space="preserve">花蓮市富祥街</t>
    </r>
    <r>
      <rPr>
        <sz val="10"/>
        <color rgb="FF1F2A28"/>
        <rFont val="Arial"/>
        <family val="0"/>
        <charset val="1"/>
      </rPr>
      <t xml:space="preserve">51</t>
    </r>
    <r>
      <rPr>
        <sz val="10"/>
        <color rgb="FF1F2A28"/>
        <rFont val="WenQuanYi Zen Hei"/>
        <family val="2"/>
      </rPr>
      <t xml:space="preserve">號</t>
    </r>
  </si>
  <si>
    <t xml:space="preserve">(03)8576298 ;0915050858</t>
  </si>
  <si>
    <t xml:space="preserve">jliang927@yahoo.com</t>
  </si>
  <si>
    <t xml:space="preserve">梁嘉蓉</t>
  </si>
  <si>
    <t xml:space="preserve">私立喬登美語文理短期補習班</t>
  </si>
  <si>
    <r>
      <rPr>
        <sz val="10"/>
        <color rgb="FF1F2A28"/>
        <rFont val="WenQuanYi Zen Hei"/>
        <family val="2"/>
      </rPr>
      <t xml:space="preserve">花蓮市榮正街</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</si>
  <si>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(03)8320209</t>
  </si>
  <si>
    <t xml:space="preserve">u320209@gmail.com</t>
  </si>
  <si>
    <t xml:space="preserve">李偉彰</t>
  </si>
  <si>
    <t xml:space="preserve">私立夢想家民權教室文理技藝短期補習班</t>
  </si>
  <si>
    <r>
      <rPr>
        <sz val="10"/>
        <color rgb="FF1F2A28"/>
        <rFont val="WenQuanYi Zen Hei"/>
        <family val="2"/>
      </rPr>
      <t xml:space="preserve">花蓮市民權九街</t>
    </r>
    <r>
      <rPr>
        <sz val="10"/>
        <color rgb="FF1F2A28"/>
        <rFont val="Arial"/>
        <family val="0"/>
        <charset val="1"/>
      </rPr>
      <t xml:space="preserve">8-2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</si>
  <si>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0921097547</t>
  </si>
  <si>
    <t xml:space="preserve">x8510523@gmail.com</t>
  </si>
  <si>
    <t xml:space="preserve">2006-06-21</t>
  </si>
  <si>
    <t xml:space="preserve">林璟瑋</t>
  </si>
  <si>
    <t xml:space="preserve">私立安格文理技藝短期補習班</t>
  </si>
  <si>
    <r>
      <rPr>
        <sz val="10"/>
        <color rgb="FF1F2A28"/>
        <rFont val="WenQuanYi Zen Hei"/>
        <family val="2"/>
      </rPr>
      <t xml:space="preserve">花蓮市國風街</t>
    </r>
    <r>
      <rPr>
        <sz val="10"/>
        <color rgb="FF1F2A28"/>
        <rFont val="Arial"/>
        <family val="0"/>
        <charset val="1"/>
      </rPr>
      <t xml:space="preserve">21</t>
    </r>
    <r>
      <rPr>
        <sz val="10"/>
        <color rgb="FF1F2A28"/>
        <rFont val="WenQuanYi Zen Hei"/>
        <family val="2"/>
      </rPr>
      <t xml:space="preserve">巷</t>
    </r>
    <r>
      <rPr>
        <sz val="10"/>
        <color rgb="FF1F2A28"/>
        <rFont val="Arial"/>
        <family val="0"/>
        <charset val="1"/>
      </rPr>
      <t xml:space="preserve">23</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</si>
  <si>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r>
      <rPr>
        <sz val="10"/>
        <color rgb="FF1F2A28"/>
        <rFont val="Arial"/>
        <family val="0"/>
        <charset val="1"/>
      </rPr>
      <t xml:space="preserve">(03)8321155</t>
    </r>
    <r>
      <rPr>
        <sz val="10"/>
        <color rgb="FF1F2A28"/>
        <rFont val="WenQuanYi Zen Hei"/>
        <family val="2"/>
      </rPr>
      <t xml:space="preserve">；</t>
    </r>
    <r>
      <rPr>
        <sz val="10"/>
        <color rgb="FF1F2A28"/>
        <rFont val="Arial"/>
        <family val="0"/>
        <charset val="1"/>
      </rPr>
      <t xml:space="preserve">8321123</t>
    </r>
  </si>
  <si>
    <t xml:space="preserve">coco940610@yahoo.com.tw</t>
  </si>
  <si>
    <t xml:space="preserve">張國慶</t>
  </si>
  <si>
    <t xml:space="preserve">張淑雅</t>
  </si>
  <si>
    <t xml:space="preserve">私立宏儒文理技藝短期補習班</t>
  </si>
  <si>
    <r>
      <rPr>
        <sz val="10"/>
        <color rgb="FF1F2A28"/>
        <rFont val="WenQuanYi Zen Hei"/>
        <family val="2"/>
      </rPr>
      <t xml:space="preserve">花蓮市中美路</t>
    </r>
    <r>
      <rPr>
        <sz val="10"/>
        <color rgb="FF1F2A28"/>
        <rFont val="Arial"/>
        <family val="0"/>
        <charset val="1"/>
      </rPr>
      <t xml:space="preserve">89</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</si>
  <si>
    <t xml:space="preserve">(03)8235726</t>
  </si>
  <si>
    <t xml:space="preserve">honglumeilu@yahoo.com.tw</t>
  </si>
  <si>
    <t xml:space="preserve">全民英檢、英語</t>
  </si>
  <si>
    <t xml:space="preserve">王秀妥</t>
  </si>
  <si>
    <t xml:space="preserve">私立小加拿大短期補習班</t>
  </si>
  <si>
    <r>
      <rPr>
        <sz val="10"/>
        <color rgb="FF1F2A28"/>
        <rFont val="WenQuanYi Zen Hei"/>
        <family val="2"/>
      </rPr>
      <t xml:space="preserve">花蓮市民權</t>
    </r>
    <r>
      <rPr>
        <sz val="10"/>
        <color rgb="FF1F2A28"/>
        <rFont val="Arial"/>
        <family val="0"/>
        <charset val="1"/>
      </rPr>
      <t xml:space="preserve">4</t>
    </r>
    <r>
      <rPr>
        <sz val="10"/>
        <color rgb="FF1F2A28"/>
        <rFont val="WenQuanYi Zen Hei"/>
        <family val="2"/>
      </rPr>
      <t xml:space="preserve">街</t>
    </r>
    <r>
      <rPr>
        <sz val="10"/>
        <color rgb="FF1F2A28"/>
        <rFont val="Arial"/>
        <family val="0"/>
        <charset val="1"/>
      </rPr>
      <t xml:space="preserve">10</t>
    </r>
    <r>
      <rPr>
        <sz val="10"/>
        <color rgb="FF1F2A28"/>
        <rFont val="WenQuanYi Zen Hei"/>
        <family val="2"/>
      </rPr>
      <t xml:space="preserve">號</t>
    </r>
  </si>
  <si>
    <t xml:space="preserve">littlecanadaenglishschool@gmail.com</t>
  </si>
  <si>
    <t xml:space="preserve">廖玉鈴</t>
  </si>
  <si>
    <t xml:space="preserve">私立小森林文理短期補習班</t>
  </si>
  <si>
    <r>
      <rPr>
        <sz val="10"/>
        <color rgb="FF1F2A28"/>
        <rFont val="WenQuanYi Zen Hei"/>
        <family val="2"/>
      </rPr>
      <t xml:space="preserve">花蓮市節約街</t>
    </r>
    <r>
      <rPr>
        <sz val="10"/>
        <color rgb="FF1F2A28"/>
        <rFont val="Arial"/>
        <family val="0"/>
        <charset val="1"/>
      </rPr>
      <t xml:space="preserve">83</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</si>
  <si>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(03)8345291</t>
  </si>
  <si>
    <t xml:space="preserve">andrewo77o@gmail.com</t>
  </si>
  <si>
    <t xml:space="preserve">李姿慧</t>
  </si>
  <si>
    <t xml:space="preserve">私立小荳荳語文文理短期補習班</t>
  </si>
  <si>
    <r>
      <rPr>
        <sz val="10"/>
        <color rgb="FF1F2A28"/>
        <rFont val="WenQuanYi Zen Hei"/>
        <family val="2"/>
      </rPr>
      <t xml:space="preserve">花蓮市國民二街</t>
    </r>
    <r>
      <rPr>
        <sz val="10"/>
        <color rgb="FF1F2A28"/>
        <rFont val="Arial"/>
        <family val="0"/>
        <charset val="1"/>
      </rPr>
      <t xml:space="preserve">6</t>
    </r>
    <r>
      <rPr>
        <sz val="10"/>
        <color rgb="FF1F2A28"/>
        <rFont val="WenQuanYi Zen Hei"/>
        <family val="2"/>
      </rPr>
      <t xml:space="preserve">號</t>
    </r>
  </si>
  <si>
    <t xml:space="preserve">03-8344968</t>
  </si>
  <si>
    <t xml:space="preserve">張珍玲</t>
  </si>
  <si>
    <t xml:space="preserve">張珍琪</t>
  </si>
  <si>
    <t xml:space="preserve">私立建林文理短期補習班</t>
  </si>
  <si>
    <r>
      <rPr>
        <sz val="10"/>
        <color rgb="FF1F2A28"/>
        <rFont val="WenQuanYi Zen Hei"/>
        <family val="2"/>
      </rPr>
      <t xml:space="preserve">花蓮市林森路</t>
    </r>
    <r>
      <rPr>
        <sz val="10"/>
        <color rgb="FF1F2A28"/>
        <rFont val="Arial"/>
        <family val="0"/>
        <charset val="1"/>
      </rPr>
      <t xml:space="preserve">261-1</t>
    </r>
    <r>
      <rPr>
        <sz val="10"/>
        <color rgb="FF1F2A28"/>
        <rFont val="WenQuanYi Zen Hei"/>
        <family val="2"/>
      </rPr>
      <t xml:space="preserve">號</t>
    </r>
  </si>
  <si>
    <t xml:space="preserve">(03)8346720</t>
  </si>
  <si>
    <t xml:space="preserve">blackie0758@me.com</t>
  </si>
  <si>
    <t xml:space="preserve">英文進階班、英文初級班</t>
  </si>
  <si>
    <t xml:space="preserve">私立徐氏英語會話短期補習班</t>
  </si>
  <si>
    <r>
      <rPr>
        <sz val="10"/>
        <color rgb="FF1F2A28"/>
        <rFont val="WenQuanYi Zen Hei"/>
        <family val="2"/>
      </rPr>
      <t xml:space="preserve">花蓮市中原路</t>
    </r>
    <r>
      <rPr>
        <sz val="10"/>
        <color rgb="FF1F2A28"/>
        <rFont val="Arial"/>
        <family val="0"/>
        <charset val="1"/>
      </rPr>
      <t xml:space="preserve">393</t>
    </r>
    <r>
      <rPr>
        <sz val="10"/>
        <color rgb="FF1F2A28"/>
        <rFont val="WenQuanYi Zen Hei"/>
        <family val="2"/>
      </rPr>
      <t xml:space="preserve">號</t>
    </r>
  </si>
  <si>
    <t xml:space="preserve">03-8358886</t>
  </si>
  <si>
    <t xml:space="preserve">1999-05-10</t>
  </si>
  <si>
    <t xml:space="preserve">徐愛美</t>
  </si>
  <si>
    <t xml:space="preserve">私立得勝文理短期補習班</t>
  </si>
  <si>
    <r>
      <rPr>
        <sz val="10"/>
        <color rgb="FF1F2A28"/>
        <rFont val="WenQuanYi Zen Hei"/>
        <family val="2"/>
      </rPr>
      <t xml:space="preserve">花蓮市中山路</t>
    </r>
    <r>
      <rPr>
        <sz val="10"/>
        <color rgb="FF1F2A28"/>
        <rFont val="Arial"/>
        <family val="0"/>
        <charset val="1"/>
      </rPr>
      <t xml:space="preserve">210</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</si>
  <si>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(03)8323909</t>
  </si>
  <si>
    <t xml:space="preserve">a0915735232@gmail.com</t>
  </si>
  <si>
    <t xml:space="preserve">楊振青</t>
  </si>
  <si>
    <t xml:space="preserve">私立愛可美語短期補習班</t>
  </si>
  <si>
    <r>
      <rPr>
        <sz val="10"/>
        <color rgb="FF1F2A28"/>
        <rFont val="WenQuanYi Zen Hei"/>
        <family val="2"/>
      </rPr>
      <t xml:space="preserve">花蓮市國興</t>
    </r>
    <r>
      <rPr>
        <sz val="10"/>
        <color rgb="FF1F2A28"/>
        <rFont val="Arial"/>
        <family val="0"/>
        <charset val="1"/>
      </rPr>
      <t xml:space="preserve">2</t>
    </r>
    <r>
      <rPr>
        <sz val="10"/>
        <color rgb="FF1F2A28"/>
        <rFont val="WenQuanYi Zen Hei"/>
        <family val="2"/>
      </rPr>
      <t xml:space="preserve">街</t>
    </r>
    <r>
      <rPr>
        <sz val="10"/>
        <color rgb="FF1F2A28"/>
        <rFont val="Arial"/>
        <family val="0"/>
        <charset val="1"/>
      </rPr>
      <t xml:space="preserve">97</t>
    </r>
    <r>
      <rPr>
        <sz val="10"/>
        <color rgb="FF1F2A28"/>
        <rFont val="WenQuanYi Zen Hei"/>
        <family val="2"/>
      </rPr>
      <t xml:space="preserve">號</t>
    </r>
  </si>
  <si>
    <t xml:space="preserve">0921611239</t>
  </si>
  <si>
    <t xml:space="preserve">jxlin2271@yahoo.com</t>
  </si>
  <si>
    <t xml:space="preserve">1996-08-21</t>
  </si>
  <si>
    <t xml:space="preserve">林季嫻</t>
  </si>
  <si>
    <t xml:space="preserve">私立才智文理技藝短期補習班</t>
  </si>
  <si>
    <r>
      <rPr>
        <sz val="10"/>
        <color rgb="FF1F2A28"/>
        <rFont val="WenQuanYi Zen Hei"/>
        <family val="2"/>
      </rPr>
      <t xml:space="preserve">花蓮市建國路二段</t>
    </r>
    <r>
      <rPr>
        <sz val="10"/>
        <color rgb="FF1F2A28"/>
        <rFont val="Arial"/>
        <family val="0"/>
        <charset val="1"/>
      </rPr>
      <t xml:space="preserve">626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</si>
  <si>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(03)8574389</t>
  </si>
  <si>
    <t xml:space="preserve">a093883@gmail.com</t>
  </si>
  <si>
    <t xml:space="preserve">2008-03-11</t>
  </si>
  <si>
    <t xml:space="preserve">蔡慧瑛</t>
  </si>
  <si>
    <t xml:space="preserve">蔡金龍</t>
  </si>
  <si>
    <t xml:space="preserve">私立文星文理技藝短期補習班</t>
  </si>
  <si>
    <r>
      <rPr>
        <sz val="10"/>
        <color rgb="FF1F2A28"/>
        <rFont val="WenQuanYi Zen Hei"/>
        <family val="2"/>
      </rPr>
      <t xml:space="preserve">花蓮市中強街</t>
    </r>
    <r>
      <rPr>
        <sz val="10"/>
        <color rgb="FF1F2A28"/>
        <rFont val="Arial"/>
        <family val="0"/>
        <charset val="1"/>
      </rPr>
      <t xml:space="preserve">38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</si>
  <si>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(03)8325358</t>
  </si>
  <si>
    <t xml:space="preserve">theantrance@msn.com</t>
  </si>
  <si>
    <t xml:space="preserve">2007-04-02</t>
  </si>
  <si>
    <t xml:space="preserve">李以奇</t>
  </si>
  <si>
    <t xml:space="preserve">邱碧珠</t>
  </si>
  <si>
    <t xml:space="preserve">私立斯威特文理技藝短期補習班</t>
  </si>
  <si>
    <t xml:space="preserve">花蓮市建林街八十一號</t>
  </si>
  <si>
    <t xml:space="preserve">03-8355185</t>
  </si>
  <si>
    <t xml:space="preserve">sweet8355185@gmail.com</t>
  </si>
  <si>
    <t xml:space="preserve">美語、兒童美語</t>
  </si>
  <si>
    <t xml:space="preserve">2001-05-08</t>
  </si>
  <si>
    <t xml:space="preserve">葉瑞鴻</t>
  </si>
  <si>
    <t xml:space="preserve">私立新學賦文理短期補習班</t>
  </si>
  <si>
    <r>
      <rPr>
        <sz val="10"/>
        <color rgb="FF1F2A28"/>
        <rFont val="WenQuanYi Zen Hei"/>
        <family val="2"/>
      </rPr>
      <t xml:space="preserve">花蓮市中華路</t>
    </r>
    <r>
      <rPr>
        <sz val="10"/>
        <color rgb="FF1F2A28"/>
        <rFont val="Arial"/>
        <family val="0"/>
        <charset val="1"/>
      </rPr>
      <t xml:space="preserve">325~2</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</si>
  <si>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(03)8326701</t>
  </si>
  <si>
    <t xml:space="preserve">marslee0727@gmail.com</t>
  </si>
  <si>
    <t xml:space="preserve">2020-06-22</t>
  </si>
  <si>
    <t xml:space="preserve">王淑娟</t>
  </si>
  <si>
    <t xml:space="preserve">李文元</t>
  </si>
  <si>
    <t xml:space="preserve">私立智慧森林文理技藝短期補習班</t>
  </si>
  <si>
    <r>
      <rPr>
        <sz val="10"/>
        <color rgb="FF1F2A28"/>
        <rFont val="WenQuanYi Zen Hei"/>
        <family val="2"/>
      </rPr>
      <t xml:space="preserve">花蓮市建國路</t>
    </r>
    <r>
      <rPr>
        <sz val="10"/>
        <color rgb="FF1F2A28"/>
        <rFont val="Arial"/>
        <family val="0"/>
        <charset val="1"/>
      </rPr>
      <t xml:space="preserve">107</t>
    </r>
    <r>
      <rPr>
        <sz val="10"/>
        <color rgb="FF1F2A28"/>
        <rFont val="WenQuanYi Zen Hei"/>
        <family val="2"/>
      </rPr>
      <t xml:space="preserve">巷</t>
    </r>
    <r>
      <rPr>
        <sz val="10"/>
        <color rgb="FF1F2A28"/>
        <rFont val="Arial"/>
        <family val="0"/>
        <charset val="1"/>
      </rPr>
      <t xml:space="preserve">26</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</si>
  <si>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(03)8356088</t>
  </si>
  <si>
    <t xml:space="preserve">lulubox@gmail.com</t>
  </si>
  <si>
    <t xml:space="preserve">2012-02-21</t>
  </si>
  <si>
    <t xml:space="preserve">陳碧連</t>
  </si>
  <si>
    <t xml:space="preserve">私立格林美語文理技藝短期補習班</t>
  </si>
  <si>
    <r>
      <rPr>
        <sz val="10"/>
        <color rgb="FF1F2A28"/>
        <rFont val="WenQuanYi Zen Hei"/>
        <family val="2"/>
      </rPr>
      <t xml:space="preserve">花蓮市中美路</t>
    </r>
    <r>
      <rPr>
        <sz val="10"/>
        <color rgb="FF1F2A28"/>
        <rFont val="Arial"/>
        <family val="0"/>
        <charset val="1"/>
      </rPr>
      <t xml:space="preserve">81-2</t>
    </r>
    <r>
      <rPr>
        <sz val="10"/>
        <color rgb="FF1F2A28"/>
        <rFont val="WenQuanYi Zen Hei"/>
        <family val="2"/>
      </rPr>
      <t xml:space="preserve">號</t>
    </r>
    <r>
      <rPr>
        <sz val="10"/>
        <color rgb="FF1F2A28"/>
        <rFont val="Arial"/>
        <family val="0"/>
        <charset val="1"/>
      </rPr>
      <t xml:space="preserve">2-4</t>
    </r>
    <r>
      <rPr>
        <sz val="10"/>
        <color rgb="FF1F2A28"/>
        <rFont val="WenQuanYi Zen Hei"/>
        <family val="2"/>
      </rPr>
      <t xml:space="preserve">樓</t>
    </r>
  </si>
  <si>
    <t xml:space="preserve">(03)8228777</t>
  </si>
  <si>
    <t xml:space="preserve">2009-08-21</t>
  </si>
  <si>
    <t xml:space="preserve">許淑媛</t>
  </si>
  <si>
    <t xml:space="preserve">私立桑德斯文理短期補習班</t>
  </si>
  <si>
    <r>
      <rPr>
        <sz val="10"/>
        <color rgb="FF1F2A28"/>
        <rFont val="WenQuanYi Zen Hei"/>
        <family val="2"/>
      </rPr>
      <t xml:space="preserve">花蓮市建中街</t>
    </r>
    <r>
      <rPr>
        <sz val="10"/>
        <color rgb="FF1F2A28"/>
        <rFont val="Arial"/>
        <family val="0"/>
        <charset val="1"/>
      </rPr>
      <t xml:space="preserve">50</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樓至</t>
    </r>
    <r>
      <rPr>
        <sz val="10"/>
        <color rgb="FF1F2A28"/>
        <rFont val="Arial"/>
        <family val="0"/>
        <charset val="1"/>
      </rPr>
      <t xml:space="preserve">4</t>
    </r>
    <r>
      <rPr>
        <sz val="10"/>
        <color rgb="FF1F2A28"/>
        <rFont val="WenQuanYi Zen Hei"/>
        <family val="2"/>
      </rPr>
      <t xml:space="preserve">樓</t>
    </r>
    <r>
      <rPr>
        <sz val="10"/>
        <color rgb="FF1F2A28"/>
        <rFont val="Arial"/>
        <family val="0"/>
        <charset val="1"/>
      </rPr>
      <t xml:space="preserve">)</t>
    </r>
  </si>
  <si>
    <t xml:space="preserve">03-8360647</t>
  </si>
  <si>
    <t xml:space="preserve">tsaichiehchien@gmail.com</t>
  </si>
  <si>
    <t xml:space="preserve">全民英檢、美語</t>
  </si>
  <si>
    <t xml:space="preserve">2000-06-21</t>
  </si>
  <si>
    <t xml:space="preserve">簡綵婕</t>
  </si>
  <si>
    <t xml:space="preserve">私立比佛利文理短期補習班</t>
  </si>
  <si>
    <r>
      <rPr>
        <sz val="10"/>
        <color rgb="FF1F2A28"/>
        <rFont val="WenQuanYi Zen Hei"/>
        <family val="2"/>
      </rPr>
      <t xml:space="preserve">花蓮市民權六街</t>
    </r>
    <r>
      <rPr>
        <sz val="10"/>
        <color rgb="FF1F2A28"/>
        <rFont val="Arial"/>
        <family val="0"/>
        <charset val="1"/>
      </rPr>
      <t xml:space="preserve">26</t>
    </r>
    <r>
      <rPr>
        <sz val="10"/>
        <color rgb="FF1F2A28"/>
        <rFont val="WenQuanYi Zen Hei"/>
        <family val="2"/>
      </rPr>
      <t xml:space="preserve">號</t>
    </r>
    <r>
      <rPr>
        <sz val="10"/>
        <color rgb="FF1F2A28"/>
        <rFont val="Arial"/>
        <family val="0"/>
        <charset val="1"/>
      </rPr>
      <t xml:space="preserve">1-4</t>
    </r>
    <r>
      <rPr>
        <sz val="10"/>
        <color rgb="FF1F2A28"/>
        <rFont val="WenQuanYi Zen Hei"/>
        <family val="2"/>
      </rPr>
      <t xml:space="preserve">樓</t>
    </r>
  </si>
  <si>
    <t xml:space="preserve">(03)8220937</t>
  </si>
  <si>
    <t xml:space="preserve">yjliu17@yahoo.com.tw</t>
  </si>
  <si>
    <t xml:space="preserve">兒童美語、美語英檢、成人美語、幼兒美語</t>
  </si>
  <si>
    <t xml:space="preserve">劉昀臻</t>
  </si>
  <si>
    <t xml:space="preserve">劉旭雄</t>
  </si>
  <si>
    <t xml:space="preserve">私立發現蛋文理短期補習班</t>
  </si>
  <si>
    <r>
      <rPr>
        <sz val="10"/>
        <color rgb="FF1F2A28"/>
        <rFont val="WenQuanYi Zen Hei"/>
        <family val="2"/>
      </rPr>
      <t xml:space="preserve">花蓮市建國路</t>
    </r>
    <r>
      <rPr>
        <sz val="10"/>
        <color rgb="FF1F2A28"/>
        <rFont val="Arial"/>
        <family val="0"/>
        <charset val="1"/>
      </rPr>
      <t xml:space="preserve">276</t>
    </r>
    <r>
      <rPr>
        <sz val="10"/>
        <color rgb="FF1F2A28"/>
        <rFont val="WenQuanYi Zen Hei"/>
        <family val="2"/>
      </rPr>
      <t xml:space="preserve">巷</t>
    </r>
    <r>
      <rPr>
        <sz val="10"/>
        <color rgb="FF1F2A28"/>
        <rFont val="Arial"/>
        <family val="0"/>
        <charset val="1"/>
      </rPr>
      <t xml:space="preserve">28</t>
    </r>
    <r>
      <rPr>
        <sz val="10"/>
        <color rgb="FF1F2A28"/>
        <rFont val="WenQuanYi Zen Hei"/>
        <family val="2"/>
      </rPr>
      <t xml:space="preserve">號</t>
    </r>
  </si>
  <si>
    <t xml:space="preserve">(03)8323765</t>
  </si>
  <si>
    <t xml:space="preserve">den20160401@gmail.com</t>
  </si>
  <si>
    <t xml:space="preserve">2016-04-01</t>
  </si>
  <si>
    <t xml:space="preserve">莊雅穎</t>
  </si>
  <si>
    <t xml:space="preserve">私立經緯文理技藝短期補習班</t>
  </si>
  <si>
    <r>
      <rPr>
        <sz val="10"/>
        <color rgb="FF1F2A28"/>
        <rFont val="WenQuanYi Zen Hei"/>
        <family val="2"/>
      </rPr>
      <t xml:space="preserve">花蓮市榮正街</t>
    </r>
    <r>
      <rPr>
        <sz val="10"/>
        <color rgb="FF1F2A28"/>
        <rFont val="Arial"/>
        <family val="0"/>
        <charset val="1"/>
      </rPr>
      <t xml:space="preserve">85</t>
    </r>
    <r>
      <rPr>
        <sz val="10"/>
        <color rgb="FF1F2A28"/>
        <rFont val="WenQuanYi Zen Hei"/>
        <family val="2"/>
      </rPr>
      <t xml:space="preserve">號</t>
    </r>
  </si>
  <si>
    <t xml:space="preserve">(03)8310207</t>
  </si>
  <si>
    <t xml:space="preserve">jingwei.199908@gmail.com</t>
  </si>
  <si>
    <t xml:space="preserve">2003-08-27</t>
  </si>
  <si>
    <t xml:space="preserve">潘定和</t>
  </si>
  <si>
    <t xml:space="preserve">羅芋欣</t>
  </si>
  <si>
    <t xml:space="preserve">私立翰霖文理短期補習班</t>
  </si>
  <si>
    <r>
      <rPr>
        <sz val="10"/>
        <color rgb="FF1F2A28"/>
        <rFont val="WenQuanYi Zen Hei"/>
        <family val="2"/>
      </rPr>
      <t xml:space="preserve">花蓮市林政街</t>
    </r>
    <r>
      <rPr>
        <sz val="10"/>
        <color rgb="FF1F2A28"/>
        <rFont val="Arial"/>
        <family val="0"/>
        <charset val="1"/>
      </rPr>
      <t xml:space="preserve">34</t>
    </r>
    <r>
      <rPr>
        <sz val="10"/>
        <color rgb="FF1F2A28"/>
        <rFont val="WenQuanYi Zen Hei"/>
        <family val="2"/>
      </rPr>
      <t xml:space="preserve">號</t>
    </r>
  </si>
  <si>
    <t xml:space="preserve">(03)8361899</t>
  </si>
  <si>
    <t xml:space="preserve">hanlinxhanlin@gmail.com</t>
  </si>
  <si>
    <t xml:space="preserve">黃義龍</t>
  </si>
  <si>
    <t xml:space="preserve">私立華盛頓美語文理短期補習班</t>
  </si>
  <si>
    <r>
      <rPr>
        <sz val="10"/>
        <color rgb="FF1F2A28"/>
        <rFont val="WenQuanYi Zen Hei"/>
        <family val="2"/>
      </rPr>
      <t xml:space="preserve">花蓮市仁愛街</t>
    </r>
    <r>
      <rPr>
        <sz val="10"/>
        <color rgb="FF1F2A28"/>
        <rFont val="Arial"/>
        <family val="0"/>
        <charset val="1"/>
      </rPr>
      <t xml:space="preserve">125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</si>
  <si>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(03)8338366 ; 0978292120</t>
  </si>
  <si>
    <t xml:space="preserve">washington8338366@gmail.com</t>
  </si>
  <si>
    <t xml:space="preserve">2005-12-19</t>
  </si>
  <si>
    <t xml:space="preserve">黃顗升</t>
  </si>
  <si>
    <t xml:space="preserve">徐子芳</t>
  </si>
  <si>
    <t xml:space="preserve">私立華陽文理短期補習班</t>
  </si>
  <si>
    <r>
      <rPr>
        <sz val="10"/>
        <color rgb="FF1F2A28"/>
        <rFont val="WenQuanYi Zen Hei"/>
        <family val="2"/>
      </rPr>
      <t xml:space="preserve">花蓮市中原路</t>
    </r>
    <r>
      <rPr>
        <sz val="10"/>
        <color rgb="FF1F2A28"/>
        <rFont val="Arial"/>
        <family val="0"/>
        <charset val="1"/>
      </rPr>
      <t xml:space="preserve">417</t>
    </r>
    <r>
      <rPr>
        <sz val="10"/>
        <color rgb="FF1F2A28"/>
        <rFont val="WenQuanYi Zen Hei"/>
        <family val="2"/>
      </rPr>
      <t xml:space="preserve">號</t>
    </r>
  </si>
  <si>
    <t xml:space="preserve">(03)8331697</t>
  </si>
  <si>
    <t xml:space="preserve">nero9957@yahoo.com.tw</t>
  </si>
  <si>
    <t xml:space="preserve">國小英文、國中英文</t>
  </si>
  <si>
    <t xml:space="preserve">黃宣怡</t>
  </si>
  <si>
    <t xml:space="preserve">私立躍昇文理短期補習班</t>
  </si>
  <si>
    <r>
      <rPr>
        <sz val="10"/>
        <color rgb="FF1F2A28"/>
        <rFont val="WenQuanYi Zen Hei"/>
        <family val="2"/>
      </rPr>
      <t xml:space="preserve">花蓮市和平路</t>
    </r>
    <r>
      <rPr>
        <sz val="10"/>
        <color rgb="FF1F2A28"/>
        <rFont val="Arial"/>
        <family val="0"/>
        <charset val="1"/>
      </rPr>
      <t xml:space="preserve">469</t>
    </r>
    <r>
      <rPr>
        <sz val="10"/>
        <color rgb="FF1F2A28"/>
        <rFont val="WenQuanYi Zen Hei"/>
        <family val="2"/>
      </rPr>
      <t xml:space="preserve">號</t>
    </r>
  </si>
  <si>
    <t xml:space="preserve">(03)8332667</t>
  </si>
  <si>
    <t xml:space="preserve">shwujen0127@gmail.com</t>
  </si>
  <si>
    <t xml:space="preserve">吳淑貞</t>
  </si>
  <si>
    <t xml:space="preserve">私立銘興文理技藝短期補習班</t>
  </si>
  <si>
    <r>
      <rPr>
        <sz val="10"/>
        <color rgb="FF1F2A28"/>
        <rFont val="WenQuanYi Zen Hei"/>
        <family val="2"/>
      </rPr>
      <t xml:space="preserve">花蓮市中正路</t>
    </r>
    <r>
      <rPr>
        <sz val="10"/>
        <color rgb="FF1F2A28"/>
        <rFont val="Arial"/>
        <family val="0"/>
        <charset val="1"/>
      </rPr>
      <t xml:space="preserve">168</t>
    </r>
    <r>
      <rPr>
        <sz val="10"/>
        <color rgb="FF1F2A28"/>
        <rFont val="WenQuanYi Zen Hei"/>
        <family val="2"/>
      </rPr>
      <t xml:space="preserve">巷</t>
    </r>
    <r>
      <rPr>
        <sz val="10"/>
        <color rgb="FF1F2A28"/>
        <rFont val="Arial"/>
        <family val="0"/>
        <charset val="1"/>
      </rPr>
      <t xml:space="preserve">11</t>
    </r>
    <r>
      <rPr>
        <sz val="10"/>
        <color rgb="FF1F2A28"/>
        <rFont val="WenQuanYi Zen Hei"/>
        <family val="2"/>
      </rPr>
      <t xml:space="preserve">弄</t>
    </r>
    <r>
      <rPr>
        <sz val="10"/>
        <color rgb="FF1F2A28"/>
        <rFont val="Arial"/>
        <family val="0"/>
        <charset val="1"/>
      </rPr>
      <t xml:space="preserve">13</t>
    </r>
    <r>
      <rPr>
        <sz val="10"/>
        <color rgb="FF1F2A28"/>
        <rFont val="WenQuanYi Zen Hei"/>
        <family val="2"/>
      </rPr>
      <t xml:space="preserve">號</t>
    </r>
  </si>
  <si>
    <t xml:space="preserve">0919830143</t>
  </si>
  <si>
    <t xml:space="preserve">jb20120326@gmail.com</t>
  </si>
  <si>
    <t xml:space="preserve">2002-09-06</t>
  </si>
  <si>
    <t xml:space="preserve">萬圓芝</t>
  </si>
  <si>
    <t xml:space="preserve">私立鍾老師文理技藝短期補習班</t>
  </si>
  <si>
    <r>
      <rPr>
        <sz val="10"/>
        <color rgb="FF1F2A28"/>
        <rFont val="WenQuanYi Zen Hei"/>
        <family val="2"/>
      </rPr>
      <t xml:space="preserve">花蓮市民國路</t>
    </r>
    <r>
      <rPr>
        <sz val="10"/>
        <color rgb="FF1F2A28"/>
        <rFont val="Arial"/>
        <family val="0"/>
        <charset val="1"/>
      </rPr>
      <t xml:space="preserve">5</t>
    </r>
    <r>
      <rPr>
        <sz val="10"/>
        <color rgb="FF1F2A28"/>
        <rFont val="WenQuanYi Zen Hei"/>
        <family val="2"/>
      </rPr>
      <t xml:space="preserve">巷</t>
    </r>
    <r>
      <rPr>
        <sz val="10"/>
        <color rgb="FF1F2A28"/>
        <rFont val="Arial"/>
        <family val="0"/>
        <charset val="1"/>
      </rPr>
      <t xml:space="preserve">18</t>
    </r>
    <r>
      <rPr>
        <sz val="10"/>
        <color rgb="FF1F2A28"/>
        <rFont val="WenQuanYi Zen Hei"/>
        <family val="2"/>
      </rPr>
      <t xml:space="preserve">．</t>
    </r>
    <r>
      <rPr>
        <sz val="10"/>
        <color rgb="FF1F2A28"/>
        <rFont val="Arial"/>
        <family val="0"/>
        <charset val="1"/>
      </rPr>
      <t xml:space="preserve">19</t>
    </r>
    <r>
      <rPr>
        <sz val="10"/>
        <color rgb="FF1F2A28"/>
        <rFont val="WenQuanYi Zen Hei"/>
        <family val="2"/>
      </rPr>
      <t xml:space="preserve">號</t>
    </r>
  </si>
  <si>
    <t xml:space="preserve">(03)8323133</t>
  </si>
  <si>
    <t xml:space="preserve">bigsheeppp@gmail.com</t>
  </si>
  <si>
    <t xml:space="preserve">鍾秋燕</t>
  </si>
  <si>
    <t xml:space="preserve">私立頂勝文理技藝短期補習班</t>
  </si>
  <si>
    <r>
      <rPr>
        <sz val="10"/>
        <color rgb="FF1F2A28"/>
        <rFont val="WenQuanYi Zen Hei"/>
        <family val="2"/>
      </rPr>
      <t xml:space="preserve">花蓮市中原路</t>
    </r>
    <r>
      <rPr>
        <sz val="10"/>
        <color rgb="FF1F2A28"/>
        <rFont val="Arial"/>
        <family val="0"/>
        <charset val="1"/>
      </rPr>
      <t xml:space="preserve">366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3</t>
    </r>
    <r>
      <rPr>
        <sz val="10"/>
        <color rgb="FF1F2A28"/>
        <rFont val="WenQuanYi Zen Hei"/>
        <family val="2"/>
      </rPr>
      <t xml:space="preserve">樓</t>
    </r>
  </si>
  <si>
    <t xml:space="preserve">(03)8352366</t>
  </si>
  <si>
    <t xml:space="preserve">sin.yi2@msa.hinet.net</t>
  </si>
  <si>
    <t xml:space="preserve">2021-07-14</t>
  </si>
  <si>
    <t xml:space="preserve">林若綺</t>
  </si>
  <si>
    <t xml:space="preserve">私立鷹架教育文理短期補習班</t>
  </si>
  <si>
    <r>
      <rPr>
        <sz val="10"/>
        <color rgb="FF1F2A28"/>
        <rFont val="WenQuanYi Zen Hei"/>
        <family val="2"/>
      </rPr>
      <t xml:space="preserve">花蓮市自由街</t>
    </r>
    <r>
      <rPr>
        <sz val="10"/>
        <color rgb="FF1F2A28"/>
        <rFont val="Arial"/>
        <family val="0"/>
        <charset val="1"/>
      </rPr>
      <t xml:space="preserve">150</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3</t>
    </r>
  </si>
  <si>
    <t xml:space="preserve">03-8329707</t>
  </si>
  <si>
    <t xml:space="preserve">mericahualien150@gmail.com</t>
  </si>
  <si>
    <t xml:space="preserve">全民英檢、英文</t>
  </si>
  <si>
    <t xml:space="preserve">1998-10-12</t>
  </si>
  <si>
    <t xml:space="preserve">陳子甄</t>
  </si>
  <si>
    <t xml:space="preserve">陳松伯</t>
  </si>
  <si>
    <t xml:space="preserve">花蓮市鎮</t>
  </si>
  <si>
    <t xml:space="preserve">私立聖漢克英文補習班</t>
  </si>
  <si>
    <r>
      <rPr>
        <sz val="10"/>
        <color rgb="FF1F2A28"/>
        <rFont val="WenQuanYi Zen Hei"/>
        <family val="2"/>
      </rPr>
      <t xml:space="preserve">花蓮市鎮國街</t>
    </r>
    <r>
      <rPr>
        <sz val="10"/>
        <color rgb="FF1F2A28"/>
        <rFont val="Arial"/>
        <family val="0"/>
        <charset val="1"/>
      </rPr>
      <t xml:space="preserve">3</t>
    </r>
    <r>
      <rPr>
        <sz val="10"/>
        <color rgb="FF1F2A28"/>
        <rFont val="WenQuanYi Zen Hei"/>
        <family val="2"/>
      </rPr>
      <t xml:space="preserve">號</t>
    </r>
    <r>
      <rPr>
        <sz val="10"/>
        <color rgb="FF1F2A28"/>
        <rFont val="Arial"/>
        <family val="0"/>
        <charset val="1"/>
      </rPr>
      <t xml:space="preserve">4</t>
    </r>
    <r>
      <rPr>
        <sz val="10"/>
        <color rgb="FF1F2A28"/>
        <rFont val="WenQuanYi Zen Hei"/>
        <family val="2"/>
      </rPr>
      <t xml:space="preserve">樓</t>
    </r>
  </si>
  <si>
    <t xml:space="preserve">03-8310166</t>
  </si>
  <si>
    <t xml:space="preserve">高二英文、高三英文、高一英文</t>
  </si>
  <si>
    <t xml:space="preserve">楊志誠</t>
  </si>
  <si>
    <t xml:space="preserve">楊承熹</t>
  </si>
  <si>
    <t xml:space="preserve">臺東縣</t>
  </si>
  <si>
    <t xml:space="preserve">臺東縣私立賢儒短期補習班</t>
  </si>
  <si>
    <r>
      <rPr>
        <sz val="10"/>
        <color rgb="FF1F2A28"/>
        <rFont val="WenQuanYi Zen Hei"/>
        <family val="2"/>
      </rPr>
      <t xml:space="preserve">臺東縣太麻里鄉外環路</t>
    </r>
    <r>
      <rPr>
        <sz val="10"/>
        <color rgb="FF1F2A28"/>
        <rFont val="Arial"/>
        <family val="0"/>
        <charset val="1"/>
      </rPr>
      <t xml:space="preserve">42</t>
    </r>
    <r>
      <rPr>
        <sz val="10"/>
        <color rgb="FF1F2A28"/>
        <rFont val="WenQuanYi Zen Hei"/>
        <family val="2"/>
      </rPr>
      <t xml:space="preserve">號</t>
    </r>
  </si>
  <si>
    <t xml:space="preserve">(089)780001</t>
  </si>
  <si>
    <t xml:space="preserve">劉學鴻</t>
  </si>
  <si>
    <t xml:space="preserve">曾旻靜</t>
  </si>
  <si>
    <t xml:space="preserve">臺東市</t>
  </si>
  <si>
    <t xml:space="preserve">中國青年救國團臺東縣團務指導委員會私立附設文理技藝短期補習班</t>
  </si>
  <si>
    <r>
      <rPr>
        <sz val="10"/>
        <color rgb="FF1F2A28"/>
        <rFont val="WenQuanYi Zen Hei"/>
        <family val="2"/>
      </rPr>
      <t xml:space="preserve">臺東市長沙街</t>
    </r>
    <r>
      <rPr>
        <sz val="10"/>
        <color rgb="FF1F2A28"/>
        <rFont val="Arial"/>
        <family val="0"/>
        <charset val="1"/>
      </rPr>
      <t xml:space="preserve">396</t>
    </r>
    <r>
      <rPr>
        <sz val="10"/>
        <color rgb="FF1F2A28"/>
        <rFont val="WenQuanYi Zen Hei"/>
        <family val="2"/>
      </rPr>
      <t xml:space="preserve">號</t>
    </r>
    <r>
      <rPr>
        <sz val="10"/>
        <color rgb="FF1F2A28"/>
        <rFont val="Arial"/>
        <family val="0"/>
        <charset val="1"/>
      </rPr>
      <t xml:space="preserve">1F</t>
    </r>
    <r>
      <rPr>
        <sz val="10"/>
        <color rgb="FF1F2A28"/>
        <rFont val="WenQuanYi Zen Hei"/>
        <family val="2"/>
      </rPr>
      <t xml:space="preserve">、</t>
    </r>
    <r>
      <rPr>
        <sz val="10"/>
        <color rgb="FF1F2A28"/>
        <rFont val="Arial"/>
        <family val="0"/>
        <charset val="1"/>
      </rPr>
      <t xml:space="preserve">2F</t>
    </r>
  </si>
  <si>
    <t xml:space="preserve">(089)331327</t>
  </si>
  <si>
    <t xml:space="preserve">ttntc@cyc.tw</t>
  </si>
  <si>
    <t xml:space="preserve">2021-07-28</t>
  </si>
  <si>
    <t xml:space="preserve">崔自傑</t>
  </si>
  <si>
    <t xml:space="preserve">戴晶富</t>
  </si>
  <si>
    <t xml:space="preserve">何嘉仁文教事業股份有限公司臺東分公司附設何家仁美語短期補習班</t>
  </si>
  <si>
    <r>
      <rPr>
        <sz val="10"/>
        <color rgb="FF1F2A28"/>
        <rFont val="WenQuanYi Zen Hei"/>
        <family val="2"/>
      </rPr>
      <t xml:space="preserve">臺東市杭州街</t>
    </r>
    <r>
      <rPr>
        <sz val="10"/>
        <color rgb="FF1F2A28"/>
        <rFont val="Arial"/>
        <family val="0"/>
        <charset val="1"/>
      </rPr>
      <t xml:space="preserve">414</t>
    </r>
    <r>
      <rPr>
        <sz val="10"/>
        <color rgb="FF1F2A28"/>
        <rFont val="WenQuanYi Zen Hei"/>
        <family val="2"/>
      </rPr>
      <t xml:space="preserve">號</t>
    </r>
  </si>
  <si>
    <t xml:space="preserve">(089)237838</t>
  </si>
  <si>
    <t xml:space="preserve">hs3461@hess.com.tw</t>
  </si>
  <si>
    <t xml:space="preserve">2000-06-16</t>
  </si>
  <si>
    <t xml:space="preserve">王希之</t>
  </si>
  <si>
    <t xml:space="preserve">臺東縣私立仁愛文理短期補習班</t>
  </si>
  <si>
    <r>
      <rPr>
        <sz val="10"/>
        <color rgb="FF1F2A28"/>
        <rFont val="WenQuanYi Zen Hei"/>
        <family val="2"/>
      </rPr>
      <t xml:space="preserve">臺東市大同路</t>
    </r>
    <r>
      <rPr>
        <sz val="10"/>
        <color rgb="FF1F2A28"/>
        <rFont val="Arial"/>
        <family val="0"/>
        <charset val="1"/>
      </rPr>
      <t xml:space="preserve">236</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</si>
  <si>
    <t xml:space="preserve">(089)323415</t>
  </si>
  <si>
    <t xml:space="preserve">best323415@yahoo.com.tw</t>
  </si>
  <si>
    <t xml:space="preserve">張語莉</t>
  </si>
  <si>
    <t xml:space="preserve">王季璇</t>
  </si>
  <si>
    <t xml:space="preserve">臺東縣私立今日英語會話短期補習班</t>
  </si>
  <si>
    <r>
      <rPr>
        <sz val="10"/>
        <color rgb="FF1F2A28"/>
        <rFont val="WenQuanYi Zen Hei"/>
        <family val="2"/>
      </rPr>
      <t xml:space="preserve">臺東市更生路</t>
    </r>
    <r>
      <rPr>
        <sz val="10"/>
        <color rgb="FF1F2A28"/>
        <rFont val="Arial"/>
        <family val="0"/>
        <charset val="1"/>
      </rPr>
      <t xml:space="preserve">187</t>
    </r>
    <r>
      <rPr>
        <sz val="10"/>
        <color rgb="FF1F2A28"/>
        <rFont val="WenQuanYi Zen Hei"/>
        <family val="2"/>
      </rPr>
      <t xml:space="preserve">號</t>
    </r>
  </si>
  <si>
    <t xml:space="preserve">(089)329502</t>
  </si>
  <si>
    <t xml:space="preserve">may329502@yahoo.com.tw</t>
  </si>
  <si>
    <t xml:space="preserve">1988-03-09</t>
  </si>
  <si>
    <t xml:space="preserve">陳美足</t>
  </si>
  <si>
    <t xml:space="preserve">臺東縣私立佳德文理短期補習班</t>
  </si>
  <si>
    <r>
      <rPr>
        <sz val="10"/>
        <color rgb="FF1F2A28"/>
        <rFont val="WenQuanYi Zen Hei"/>
        <family val="2"/>
      </rPr>
      <t xml:space="preserve">臺東市傳廣路</t>
    </r>
    <r>
      <rPr>
        <sz val="10"/>
        <color rgb="FF1F2A28"/>
        <rFont val="Arial"/>
        <family val="0"/>
        <charset val="1"/>
      </rPr>
      <t xml:space="preserve">350</t>
    </r>
    <r>
      <rPr>
        <sz val="10"/>
        <color rgb="FF1F2A28"/>
        <rFont val="WenQuanYi Zen Hei"/>
        <family val="2"/>
      </rPr>
      <t xml:space="preserve">號</t>
    </r>
  </si>
  <si>
    <t xml:space="preserve">(089)361234</t>
  </si>
  <si>
    <t xml:space="preserve">joytaitung@gmail.com</t>
  </si>
  <si>
    <t xml:space="preserve">易秀蕾</t>
  </si>
  <si>
    <t xml:space="preserve">臺東縣私立倫比美語短期補習班</t>
  </si>
  <si>
    <r>
      <rPr>
        <sz val="10"/>
        <color rgb="FF1F2A28"/>
        <rFont val="WenQuanYi Zen Hei"/>
        <family val="2"/>
      </rPr>
      <t xml:space="preserve">臺東市信義路</t>
    </r>
    <r>
      <rPr>
        <sz val="10"/>
        <color rgb="FF1F2A28"/>
        <rFont val="Arial"/>
        <family val="0"/>
        <charset val="1"/>
      </rPr>
      <t xml:space="preserve">361</t>
    </r>
    <r>
      <rPr>
        <sz val="10"/>
        <color rgb="FF1F2A28"/>
        <rFont val="WenQuanYi Zen Hei"/>
        <family val="2"/>
      </rPr>
      <t xml:space="preserve">號</t>
    </r>
    <r>
      <rPr>
        <sz val="10"/>
        <color rgb="FF1F2A28"/>
        <rFont val="Arial"/>
        <family val="0"/>
        <charset val="1"/>
      </rPr>
      <t xml:space="preserve">(</t>
    </r>
    <r>
      <rPr>
        <sz val="10"/>
        <color rgb="FF1F2A28"/>
        <rFont val="WenQuanYi Zen Hei"/>
        <family val="2"/>
      </rPr>
      <t xml:space="preserve">新增教室</t>
    </r>
    <r>
      <rPr>
        <sz val="10"/>
        <color rgb="FF1F2A28"/>
        <rFont val="Arial"/>
        <family val="0"/>
        <charset val="1"/>
      </rPr>
      <t xml:space="preserve">1</t>
    </r>
    <r>
      <rPr>
        <sz val="10"/>
        <color rgb="FF1F2A28"/>
        <rFont val="WenQuanYi Zen Hei"/>
        <family val="2"/>
      </rPr>
      <t xml:space="preserve">間：臺東市信義路</t>
    </r>
    <r>
      <rPr>
        <sz val="10"/>
        <color rgb="FF1F2A28"/>
        <rFont val="Arial"/>
        <family val="0"/>
        <charset val="1"/>
      </rPr>
      <t xml:space="preserve">365</t>
    </r>
    <r>
      <rPr>
        <sz val="10"/>
        <color rgb="FF1F2A28"/>
        <rFont val="WenQuanYi Zen Hei"/>
        <family val="2"/>
      </rPr>
      <t xml:space="preserve">號</t>
    </r>
    <r>
      <rPr>
        <sz val="10"/>
        <color rgb="FF1F2A28"/>
        <rFont val="Arial"/>
        <family val="0"/>
        <charset val="1"/>
      </rPr>
      <t xml:space="preserve">)</t>
    </r>
  </si>
  <si>
    <t xml:space="preserve">(089)356313</t>
  </si>
  <si>
    <t xml:space="preserve">columbia356313@yahoo.com.tw</t>
  </si>
  <si>
    <t xml:space="preserve">2006-11-10</t>
  </si>
  <si>
    <t xml:space="preserve">王瑜璨</t>
  </si>
  <si>
    <t xml:space="preserve">臺東縣私立倫比美語短期補習班開封分校</t>
  </si>
  <si>
    <r>
      <rPr>
        <sz val="10"/>
        <color rgb="FF1F2A28"/>
        <rFont val="WenQuanYi Zen Hei"/>
        <family val="2"/>
      </rPr>
      <t xml:space="preserve">臺東市開封街</t>
    </r>
    <r>
      <rPr>
        <sz val="10"/>
        <color rgb="FF1F2A28"/>
        <rFont val="Arial"/>
        <family val="0"/>
        <charset val="1"/>
      </rPr>
      <t xml:space="preserve">652</t>
    </r>
    <r>
      <rPr>
        <sz val="10"/>
        <color rgb="FF1F2A28"/>
        <rFont val="WenQuanYi Zen Hei"/>
        <family val="2"/>
      </rPr>
      <t xml:space="preserve">號</t>
    </r>
  </si>
  <si>
    <t xml:space="preserve">(089)356612</t>
  </si>
  <si>
    <t xml:space="preserve">2014-01-15</t>
  </si>
  <si>
    <t xml:space="preserve">王華懋</t>
  </si>
  <si>
    <t xml:space="preserve">臺東縣私立凱琳美語短期補習班</t>
  </si>
  <si>
    <r>
      <rPr>
        <sz val="10"/>
        <color rgb="FF1F2A28"/>
        <rFont val="WenQuanYi Zen Hei"/>
        <family val="2"/>
      </rPr>
      <t xml:space="preserve">臺東市北平街</t>
    </r>
    <r>
      <rPr>
        <sz val="10"/>
        <color rgb="FF1F2A28"/>
        <rFont val="Arial"/>
        <family val="0"/>
        <charset val="1"/>
      </rPr>
      <t xml:space="preserve">7</t>
    </r>
    <r>
      <rPr>
        <sz val="10"/>
        <color rgb="FF1F2A28"/>
        <rFont val="WenQuanYi Zen Hei"/>
        <family val="2"/>
      </rPr>
      <t xml:space="preserve">號</t>
    </r>
  </si>
  <si>
    <t xml:space="preserve">(089)347152</t>
  </si>
  <si>
    <t xml:space="preserve">a0908029339@gmail.com</t>
  </si>
  <si>
    <t xml:space="preserve">莊采霖</t>
  </si>
  <si>
    <t xml:space="preserve">臺東縣私立博學院文理短期補習班</t>
  </si>
  <si>
    <r>
      <rPr>
        <sz val="10"/>
        <color rgb="FF1F2A28"/>
        <rFont val="WenQuanYi Zen Hei"/>
        <family val="2"/>
      </rPr>
      <t xml:space="preserve">臺東市知本路三段</t>
    </r>
    <r>
      <rPr>
        <sz val="10"/>
        <color rgb="FF1F2A28"/>
        <rFont val="Arial"/>
        <family val="0"/>
        <charset val="1"/>
      </rPr>
      <t xml:space="preserve">535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</si>
  <si>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(089)</t>
  </si>
  <si>
    <t xml:space="preserve">beboba1126@gmail.com</t>
  </si>
  <si>
    <t xml:space="preserve">黃昭融</t>
  </si>
  <si>
    <t xml:space="preserve">臺東縣私立吉尼爾美語短期補習班</t>
  </si>
  <si>
    <r>
      <rPr>
        <sz val="10"/>
        <color rgb="FF1F2A28"/>
        <rFont val="WenQuanYi Zen Hei"/>
        <family val="2"/>
      </rPr>
      <t xml:space="preserve">臺東市臨潼街</t>
    </r>
    <r>
      <rPr>
        <sz val="10"/>
        <color rgb="FF1F2A28"/>
        <rFont val="Arial"/>
        <family val="0"/>
        <charset val="1"/>
      </rPr>
      <t xml:space="preserve">105</t>
    </r>
    <r>
      <rPr>
        <sz val="10"/>
        <color rgb="FF1F2A28"/>
        <rFont val="WenQuanYi Zen Hei"/>
        <family val="2"/>
      </rPr>
      <t xml:space="preserve">號</t>
    </r>
  </si>
  <si>
    <t xml:space="preserve">(089)357348</t>
  </si>
  <si>
    <t xml:space="preserve">geniea520@hotmail.com</t>
  </si>
  <si>
    <t xml:space="preserve">2002-03-07</t>
  </si>
  <si>
    <t xml:space="preserve">陳復芳</t>
  </si>
  <si>
    <r>
      <rPr>
        <sz val="10"/>
        <color rgb="FF1F2A28"/>
        <rFont val="WenQuanYi Zen Hei"/>
        <family val="2"/>
      </rPr>
      <t xml:space="preserve">臺東縣私立向日葵</t>
    </r>
    <r>
      <rPr>
        <sz val="10"/>
        <color rgb="FF1F2A28"/>
        <rFont val="Arial"/>
        <family val="0"/>
        <charset val="1"/>
      </rPr>
      <t xml:space="preserve">ABC</t>
    </r>
    <r>
      <rPr>
        <sz val="10"/>
        <color rgb="FF1F2A28"/>
        <rFont val="WenQuanYi Zen Hei"/>
        <family val="2"/>
      </rPr>
      <t xml:space="preserve">短期補習班</t>
    </r>
  </si>
  <si>
    <r>
      <rPr>
        <sz val="10"/>
        <color rgb="FF1F2A28"/>
        <rFont val="WenQuanYi Zen Hei"/>
        <family val="2"/>
      </rPr>
      <t xml:space="preserve">臺東市博愛路</t>
    </r>
    <r>
      <rPr>
        <sz val="10"/>
        <color rgb="FF1F2A28"/>
        <rFont val="Arial"/>
        <family val="0"/>
        <charset val="1"/>
      </rPr>
      <t xml:space="preserve">458</t>
    </r>
    <r>
      <rPr>
        <sz val="10"/>
        <color rgb="FF1F2A28"/>
        <rFont val="WenQuanYi Zen Hei"/>
        <family val="2"/>
      </rPr>
      <t xml:space="preserve">號</t>
    </r>
  </si>
  <si>
    <t xml:space="preserve">(089)342598</t>
  </si>
  <si>
    <t xml:space="preserve">AAAA642212@GMAIL.COM</t>
  </si>
  <si>
    <t xml:space="preserve">張簡淑菁</t>
  </si>
  <si>
    <t xml:space="preserve">臺東縣私立國際美語短期補習班</t>
  </si>
  <si>
    <r>
      <rPr>
        <sz val="10"/>
        <color rgb="FF1F2A28"/>
        <rFont val="WenQuanYi Zen Hei"/>
        <family val="2"/>
      </rPr>
      <t xml:space="preserve">臺東市四維路三段</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7</t>
    </r>
    <r>
      <rPr>
        <sz val="10"/>
        <color rgb="FF1F2A28"/>
        <rFont val="WenQuanYi Zen Hei"/>
        <family val="2"/>
      </rPr>
      <t xml:space="preserve">樓</t>
    </r>
  </si>
  <si>
    <t xml:space="preserve">(089)358465</t>
  </si>
  <si>
    <t xml:space="preserve">shoghishams@gmail.com</t>
  </si>
  <si>
    <t xml:space="preserve">1993-08-16</t>
  </si>
  <si>
    <t xml:space="preserve">李梅花</t>
  </si>
  <si>
    <t xml:space="preserve">臺東縣私立大樹美語文理短期補習班</t>
  </si>
  <si>
    <r>
      <rPr>
        <sz val="10"/>
        <color rgb="FF1F2A28"/>
        <rFont val="WenQuanYi Zen Hei"/>
        <family val="2"/>
      </rPr>
      <t xml:space="preserve">臺東市新社三街</t>
    </r>
    <r>
      <rPr>
        <sz val="10"/>
        <color rgb="FF1F2A28"/>
        <rFont val="Arial"/>
        <family val="0"/>
        <charset val="1"/>
      </rPr>
      <t xml:space="preserve">81</t>
    </r>
    <r>
      <rPr>
        <sz val="10"/>
        <color rgb="FF1F2A28"/>
        <rFont val="WenQuanYi Zen Hei"/>
        <family val="2"/>
      </rPr>
      <t xml:space="preserve">號</t>
    </r>
  </si>
  <si>
    <t xml:space="preserve">(089)220608</t>
  </si>
  <si>
    <t xml:space="preserve">2021-08-25</t>
  </si>
  <si>
    <t xml:space="preserve">蘇哲治</t>
  </si>
  <si>
    <t xml:space="preserve">楊婺婷</t>
  </si>
  <si>
    <t xml:space="preserve">臺東縣私立天使文理短期補習班</t>
  </si>
  <si>
    <r>
      <rPr>
        <sz val="10"/>
        <color rgb="FF1F2A28"/>
        <rFont val="WenQuanYi Zen Hei"/>
        <family val="2"/>
      </rPr>
      <t xml:space="preserve">臺東市新生路</t>
    </r>
    <r>
      <rPr>
        <sz val="10"/>
        <color rgb="FF1F2A28"/>
        <rFont val="Arial"/>
        <family val="0"/>
        <charset val="1"/>
      </rPr>
      <t xml:space="preserve">379</t>
    </r>
    <r>
      <rPr>
        <sz val="10"/>
        <color rgb="FF1F2A28"/>
        <rFont val="WenQuanYi Zen Hei"/>
        <family val="2"/>
      </rPr>
      <t xml:space="preserve">號</t>
    </r>
  </si>
  <si>
    <t xml:space="preserve">0988-065293</t>
  </si>
  <si>
    <t xml:space="preserve">amphiemor@gmail.com</t>
  </si>
  <si>
    <t xml:space="preserve">2019-01-30</t>
  </si>
  <si>
    <t xml:space="preserve">蘇筱甯</t>
  </si>
  <si>
    <t xml:space="preserve">臺東縣私立安俐美語短期補習班</t>
  </si>
  <si>
    <r>
      <rPr>
        <sz val="10"/>
        <color rgb="FF1F2A28"/>
        <rFont val="WenQuanYi Zen Hei"/>
        <family val="2"/>
      </rPr>
      <t xml:space="preserve">臺東市正氣北路</t>
    </r>
    <r>
      <rPr>
        <sz val="10"/>
        <color rgb="FF1F2A28"/>
        <rFont val="Arial"/>
        <family val="0"/>
        <charset val="1"/>
      </rPr>
      <t xml:space="preserve">255</t>
    </r>
    <r>
      <rPr>
        <sz val="10"/>
        <color rgb="FF1F2A28"/>
        <rFont val="WenQuanYi Zen Hei"/>
        <family val="2"/>
      </rPr>
      <t xml:space="preserve">巷</t>
    </r>
    <r>
      <rPr>
        <sz val="10"/>
        <color rgb="FF1F2A28"/>
        <rFont val="Arial"/>
        <family val="0"/>
        <charset val="1"/>
      </rPr>
      <t xml:space="preserve">106</t>
    </r>
    <r>
      <rPr>
        <sz val="10"/>
        <color rgb="FF1F2A28"/>
        <rFont val="WenQuanYi Zen Hei"/>
        <family val="2"/>
      </rPr>
      <t xml:space="preserve">號</t>
    </r>
  </si>
  <si>
    <t xml:space="preserve">(089)359812</t>
  </si>
  <si>
    <t xml:space="preserve">蘇玲瑱</t>
  </si>
  <si>
    <t xml:space="preserve">臺東縣私立安吉利美語短期補習班</t>
  </si>
  <si>
    <r>
      <rPr>
        <sz val="10"/>
        <color rgb="FF1F2A28"/>
        <rFont val="WenQuanYi Zen Hei"/>
        <family val="2"/>
      </rPr>
      <t xml:space="preserve">臺東市東海里長沙街</t>
    </r>
    <r>
      <rPr>
        <sz val="10"/>
        <color rgb="FF1F2A28"/>
        <rFont val="Arial"/>
        <family val="0"/>
        <charset val="1"/>
      </rPr>
      <t xml:space="preserve">137</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</si>
  <si>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(089)335996</t>
  </si>
  <si>
    <t xml:space="preserve">genjihuang@gmail.com</t>
  </si>
  <si>
    <t xml:space="preserve">黃婷鈺</t>
  </si>
  <si>
    <t xml:space="preserve">黃譔州</t>
  </si>
  <si>
    <t xml:space="preserve">臺東縣私立宏奇文理短期補習班</t>
  </si>
  <si>
    <r>
      <rPr>
        <sz val="10"/>
        <color rgb="FF1F2A28"/>
        <rFont val="WenQuanYi Zen Hei"/>
        <family val="2"/>
      </rPr>
      <t xml:space="preserve">臺東市更生路</t>
    </r>
    <r>
      <rPr>
        <sz val="10"/>
        <color rgb="FF1F2A28"/>
        <rFont val="Arial"/>
        <family val="0"/>
        <charset val="1"/>
      </rPr>
      <t xml:space="preserve">437</t>
    </r>
    <r>
      <rPr>
        <sz val="10"/>
        <color rgb="FF1F2A28"/>
        <rFont val="WenQuanYi Zen Hei"/>
        <family val="2"/>
      </rPr>
      <t xml:space="preserve">巷</t>
    </r>
    <r>
      <rPr>
        <sz val="10"/>
        <color rgb="FF1F2A28"/>
        <rFont val="Arial"/>
        <family val="0"/>
        <charset val="1"/>
      </rPr>
      <t xml:space="preserve">31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</si>
  <si>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(089)360101</t>
  </si>
  <si>
    <t xml:space="preserve">t56656332@yahoo.com.tw</t>
  </si>
  <si>
    <t xml:space="preserve">張嘉鴻</t>
  </si>
  <si>
    <t xml:space="preserve">臺東縣私立康乃爾美語短期補習班</t>
  </si>
  <si>
    <r>
      <rPr>
        <sz val="10"/>
        <color rgb="FF1F2A28"/>
        <rFont val="WenQuanYi Zen Hei"/>
        <family val="2"/>
      </rPr>
      <t xml:space="preserve">臺東市中正路</t>
    </r>
    <r>
      <rPr>
        <sz val="10"/>
        <color rgb="FF1F2A28"/>
        <rFont val="Arial"/>
        <family val="0"/>
        <charset val="1"/>
      </rPr>
      <t xml:space="preserve">189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</si>
  <si>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(089)360907</t>
  </si>
  <si>
    <t xml:space="preserve">fk_91@yahoo.com.tw</t>
  </si>
  <si>
    <t xml:space="preserve">2012-07-06</t>
  </si>
  <si>
    <t xml:space="preserve">林微瓊</t>
  </si>
  <si>
    <t xml:space="preserve">臺東縣私立建中文理短期補習班</t>
  </si>
  <si>
    <r>
      <rPr>
        <sz val="10"/>
        <color rgb="FF1F2A28"/>
        <rFont val="WenQuanYi Zen Hei"/>
        <family val="2"/>
      </rPr>
      <t xml:space="preserve">臺東市正氣北路</t>
    </r>
    <r>
      <rPr>
        <sz val="10"/>
        <color rgb="FF1F2A28"/>
        <rFont val="Arial"/>
        <family val="0"/>
        <charset val="1"/>
      </rPr>
      <t xml:space="preserve">313</t>
    </r>
    <r>
      <rPr>
        <sz val="10"/>
        <color rgb="FF1F2A28"/>
        <rFont val="WenQuanYi Zen Hei"/>
        <family val="2"/>
      </rPr>
      <t xml:space="preserve">號</t>
    </r>
  </si>
  <si>
    <t xml:space="preserve">(089)310808</t>
  </si>
  <si>
    <t xml:space="preserve">dora310808@gmail.com</t>
  </si>
  <si>
    <t xml:space="preserve">2002-04-02</t>
  </si>
  <si>
    <t xml:space="preserve">曾素蓮</t>
  </si>
  <si>
    <t xml:space="preserve">臺東縣私立快樂文理短期補習班</t>
  </si>
  <si>
    <r>
      <rPr>
        <sz val="10"/>
        <color rgb="FF1F2A28"/>
        <rFont val="WenQuanYi Zen Hei"/>
        <family val="2"/>
      </rPr>
      <t xml:space="preserve">臺東市開封街</t>
    </r>
    <r>
      <rPr>
        <sz val="10"/>
        <color rgb="FF1F2A28"/>
        <rFont val="Arial"/>
        <family val="0"/>
        <charset val="1"/>
      </rPr>
      <t xml:space="preserve">699</t>
    </r>
    <r>
      <rPr>
        <sz val="10"/>
        <color rgb="FF1F2A28"/>
        <rFont val="WenQuanYi Zen Hei"/>
        <family val="2"/>
      </rPr>
      <t xml:space="preserve">號</t>
    </r>
  </si>
  <si>
    <t xml:space="preserve">(089)333307</t>
  </si>
  <si>
    <t xml:space="preserve">王星雅</t>
  </si>
  <si>
    <t xml:space="preserve">臺東縣私立愛兒堡文理短期補習班</t>
  </si>
  <si>
    <r>
      <rPr>
        <sz val="10"/>
        <color rgb="FF1F2A28"/>
        <rFont val="WenQuanYi Zen Hei"/>
        <family val="2"/>
      </rPr>
      <t xml:space="preserve">臺東市知本里康定街</t>
    </r>
    <r>
      <rPr>
        <sz val="10"/>
        <color rgb="FF1F2A28"/>
        <rFont val="Arial"/>
        <family val="0"/>
        <charset val="1"/>
      </rPr>
      <t xml:space="preserve">367</t>
    </r>
    <r>
      <rPr>
        <sz val="10"/>
        <color rgb="FF1F2A28"/>
        <rFont val="WenQuanYi Zen Hei"/>
        <family val="2"/>
      </rPr>
      <t xml:space="preserve">號</t>
    </r>
  </si>
  <si>
    <t xml:space="preserve">(089)516680</t>
  </si>
  <si>
    <t xml:space="preserve">lovekid1105@gmail.com</t>
  </si>
  <si>
    <r>
      <rPr>
        <sz val="10"/>
        <color rgb="FF1F2A28"/>
        <rFont val="WenQuanYi Zen Hei"/>
        <family val="2"/>
      </rPr>
      <t xml:space="preserve">英文、美語、暑假</t>
    </r>
    <r>
      <rPr>
        <sz val="10"/>
        <color rgb="FF1F2A28"/>
        <rFont val="Arial"/>
        <family val="0"/>
        <charset val="1"/>
      </rPr>
      <t xml:space="preserve">-</t>
    </r>
    <r>
      <rPr>
        <sz val="10"/>
        <color rgb="FF1F2A28"/>
        <rFont val="WenQuanYi Zen Hei"/>
        <family val="2"/>
      </rPr>
      <t xml:space="preserve">英文</t>
    </r>
  </si>
  <si>
    <t xml:space="preserve">2011-10-24</t>
  </si>
  <si>
    <t xml:space="preserve">羅豐盈</t>
  </si>
  <si>
    <t xml:space="preserve">劉莉如</t>
  </si>
  <si>
    <t xml:space="preserve">臺東縣私立昇達文理短期補習班</t>
  </si>
  <si>
    <r>
      <rPr>
        <sz val="10"/>
        <color rgb="FF1F2A28"/>
        <rFont val="WenQuanYi Zen Hei"/>
        <family val="2"/>
      </rPr>
      <t xml:space="preserve">臺東市徐州街</t>
    </r>
    <r>
      <rPr>
        <sz val="10"/>
        <color rgb="FF1F2A28"/>
        <rFont val="Arial"/>
        <family val="0"/>
        <charset val="1"/>
      </rPr>
      <t xml:space="preserve">302</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樓暨</t>
    </r>
    <r>
      <rPr>
        <sz val="10"/>
        <color rgb="FF1F2A28"/>
        <rFont val="Arial"/>
        <family val="0"/>
        <charset val="1"/>
      </rPr>
      <t xml:space="preserve">2</t>
    </r>
    <r>
      <rPr>
        <sz val="10"/>
        <color rgb="FF1F2A28"/>
        <rFont val="WenQuanYi Zen Hei"/>
        <family val="2"/>
      </rPr>
      <t xml:space="preserve">樓</t>
    </r>
  </si>
  <si>
    <t xml:space="preserve">0932-828853</t>
  </si>
  <si>
    <t xml:space="preserve">pbpasserby@gmail.com</t>
  </si>
  <si>
    <t xml:space="preserve">王子生</t>
  </si>
  <si>
    <t xml:space="preserve">臺東縣私立梯梯塔音樂藝術學苑短期補習班</t>
  </si>
  <si>
    <r>
      <rPr>
        <sz val="10"/>
        <color rgb="FF1F2A28"/>
        <rFont val="WenQuanYi Zen Hei"/>
        <family val="2"/>
      </rPr>
      <t xml:space="preserve">臺東市常德路</t>
    </r>
    <r>
      <rPr>
        <sz val="10"/>
        <color rgb="FF1F2A28"/>
        <rFont val="Arial"/>
        <family val="0"/>
        <charset val="1"/>
      </rPr>
      <t xml:space="preserve">67</t>
    </r>
    <r>
      <rPr>
        <sz val="10"/>
        <color rgb="FF1F2A28"/>
        <rFont val="WenQuanYi Zen Hei"/>
        <family val="2"/>
      </rPr>
      <t xml:space="preserve">巷</t>
    </r>
    <r>
      <rPr>
        <sz val="10"/>
        <color rgb="FF1F2A28"/>
        <rFont val="Arial"/>
        <family val="0"/>
        <charset val="1"/>
      </rPr>
      <t xml:space="preserve">9</t>
    </r>
    <r>
      <rPr>
        <sz val="10"/>
        <color rgb="FF1F2A28"/>
        <rFont val="WenQuanYi Zen Hei"/>
        <family val="2"/>
      </rPr>
      <t xml:space="preserve">號</t>
    </r>
  </si>
  <si>
    <t xml:space="preserve">(089)322480</t>
  </si>
  <si>
    <t xml:space="preserve">kou112252@gmail.com</t>
  </si>
  <si>
    <t xml:space="preserve">2016-01-04</t>
  </si>
  <si>
    <t xml:space="preserve">郭秀娟</t>
  </si>
  <si>
    <t xml:space="preserve">臺東縣私立維多利亞文理學苑短期補習班</t>
  </si>
  <si>
    <r>
      <rPr>
        <sz val="10"/>
        <color rgb="FF1F2A28"/>
        <rFont val="WenQuanYi Zen Hei"/>
        <family val="2"/>
      </rPr>
      <t xml:space="preserve">臺東市信義路</t>
    </r>
    <r>
      <rPr>
        <sz val="10"/>
        <color rgb="FF1F2A28"/>
        <rFont val="Arial"/>
        <family val="0"/>
        <charset val="1"/>
      </rPr>
      <t xml:space="preserve">347</t>
    </r>
    <r>
      <rPr>
        <sz val="10"/>
        <color rgb="FF1F2A28"/>
        <rFont val="WenQuanYi Zen Hei"/>
        <family val="2"/>
      </rPr>
      <t xml:space="preserve">號</t>
    </r>
  </si>
  <si>
    <t xml:space="preserve">0911659029</t>
  </si>
  <si>
    <t xml:space="preserve">nany.victoria.eng@gmail.com</t>
  </si>
  <si>
    <t xml:space="preserve">2017-07-26</t>
  </si>
  <si>
    <t xml:space="preserve">陳瑋婷</t>
  </si>
  <si>
    <t xml:space="preserve">臺東縣私立美佳美語短期補習班</t>
  </si>
  <si>
    <r>
      <rPr>
        <sz val="10"/>
        <color rgb="FF1F2A28"/>
        <rFont val="WenQuanYi Zen Hei"/>
        <family val="2"/>
      </rPr>
      <t xml:space="preserve">臺東市正氣路</t>
    </r>
    <r>
      <rPr>
        <sz val="10"/>
        <color rgb="FF1F2A28"/>
        <rFont val="Arial"/>
        <family val="0"/>
        <charset val="1"/>
      </rPr>
      <t xml:space="preserve">298</t>
    </r>
    <r>
      <rPr>
        <sz val="10"/>
        <color rgb="FF1F2A28"/>
        <rFont val="WenQuanYi Zen Hei"/>
        <family val="2"/>
      </rPr>
      <t xml:space="preserve">巷</t>
    </r>
    <r>
      <rPr>
        <sz val="10"/>
        <color rgb="FF1F2A28"/>
        <rFont val="Arial"/>
        <family val="0"/>
        <charset val="1"/>
      </rPr>
      <t xml:space="preserve">17</t>
    </r>
    <r>
      <rPr>
        <sz val="10"/>
        <color rgb="FF1F2A28"/>
        <rFont val="WenQuanYi Zen Hei"/>
        <family val="2"/>
      </rPr>
      <t xml:space="preserve">號</t>
    </r>
  </si>
  <si>
    <t xml:space="preserve">089-326339</t>
  </si>
  <si>
    <t xml:space="preserve">julialeeny@yahoo.com.tw</t>
  </si>
  <si>
    <t xml:space="preserve">李碧桂</t>
  </si>
  <si>
    <t xml:space="preserve">臺東縣私立艾爾琳美語短期補習班</t>
  </si>
  <si>
    <r>
      <rPr>
        <sz val="10"/>
        <color rgb="FF1F2A28"/>
        <rFont val="WenQuanYi Zen Hei"/>
        <family val="2"/>
      </rPr>
      <t xml:space="preserve">臺東市洛陽街</t>
    </r>
    <r>
      <rPr>
        <sz val="10"/>
        <color rgb="FF1F2A28"/>
        <rFont val="Arial"/>
        <family val="0"/>
        <charset val="1"/>
      </rPr>
      <t xml:space="preserve">318</t>
    </r>
    <r>
      <rPr>
        <sz val="10"/>
        <color rgb="FF1F2A28"/>
        <rFont val="WenQuanYi Zen Hei"/>
        <family val="2"/>
      </rPr>
      <t xml:space="preserve">號</t>
    </r>
  </si>
  <si>
    <t xml:space="preserve">0963137899</t>
  </si>
  <si>
    <t xml:space="preserve">linhui0963137899@gmail.com</t>
  </si>
  <si>
    <t xml:space="preserve">2013-07-23</t>
  </si>
  <si>
    <t xml:space="preserve">鍾齡慧</t>
  </si>
  <si>
    <t xml:space="preserve">臺東縣私立華盛頓美語短期補習班</t>
  </si>
  <si>
    <r>
      <rPr>
        <sz val="10"/>
        <color rgb="FF1F2A28"/>
        <rFont val="WenQuanYi Zen Hei"/>
        <family val="2"/>
      </rPr>
      <t xml:space="preserve">臺東市四維路三段</t>
    </r>
    <r>
      <rPr>
        <sz val="10"/>
        <color rgb="FF1F2A28"/>
        <rFont val="Arial"/>
        <family val="0"/>
        <charset val="1"/>
      </rPr>
      <t xml:space="preserve">328</t>
    </r>
    <r>
      <rPr>
        <sz val="10"/>
        <color rgb="FF1F2A28"/>
        <rFont val="WenQuanYi Zen Hei"/>
        <family val="2"/>
      </rPr>
      <t xml:space="preserve">號</t>
    </r>
  </si>
  <si>
    <t xml:space="preserve">0917775078</t>
  </si>
  <si>
    <t xml:space="preserve">ennacorn1106@yahoo.com.tw</t>
  </si>
  <si>
    <t xml:space="preserve">2016-12-01</t>
  </si>
  <si>
    <t xml:space="preserve">董紋昌</t>
  </si>
  <si>
    <t xml:space="preserve">臺東縣私立蘇菲亞文理短期補習班</t>
  </si>
  <si>
    <r>
      <rPr>
        <sz val="10"/>
        <color rgb="FF1F2A28"/>
        <rFont val="WenQuanYi Zen Hei"/>
        <family val="2"/>
      </rPr>
      <t xml:space="preserve">臺東市新生路</t>
    </r>
    <r>
      <rPr>
        <sz val="10"/>
        <color rgb="FF1F2A28"/>
        <rFont val="Arial"/>
        <family val="0"/>
        <charset val="1"/>
      </rPr>
      <t xml:space="preserve">641</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弄</t>
    </r>
    <r>
      <rPr>
        <sz val="10"/>
        <color rgb="FF1F2A28"/>
        <rFont val="Arial"/>
        <family val="0"/>
        <charset val="1"/>
      </rPr>
      <t xml:space="preserve">12</t>
    </r>
    <r>
      <rPr>
        <sz val="10"/>
        <color rgb="FF1F2A28"/>
        <rFont val="WenQuanYi Zen Hei"/>
        <family val="2"/>
      </rPr>
      <t xml:space="preserve">號</t>
    </r>
  </si>
  <si>
    <t xml:space="preserve">(089)235214</t>
  </si>
  <si>
    <t xml:space="preserve">likestar5678@yahoo.com.tw</t>
  </si>
  <si>
    <t xml:space="preserve">李欣容</t>
  </si>
  <si>
    <t xml:space="preserve">臺東縣私立謝老師英語教室短期補習班</t>
  </si>
  <si>
    <r>
      <rPr>
        <sz val="10"/>
        <color rgb="FF1F2A28"/>
        <rFont val="WenQuanYi Zen Hei"/>
        <family val="2"/>
      </rPr>
      <t xml:space="preserve">臺東市台東市中正路</t>
    </r>
    <r>
      <rPr>
        <sz val="10"/>
        <color rgb="FF1F2A28"/>
        <rFont val="Arial"/>
        <family val="0"/>
        <charset val="1"/>
      </rPr>
      <t xml:space="preserve">392</t>
    </r>
    <r>
      <rPr>
        <sz val="10"/>
        <color rgb="FF1F2A28"/>
        <rFont val="WenQuanYi Zen Hei"/>
        <family val="2"/>
      </rPr>
      <t xml:space="preserve">巷</t>
    </r>
    <r>
      <rPr>
        <sz val="10"/>
        <color rgb="FF1F2A28"/>
        <rFont val="Arial"/>
        <family val="0"/>
        <charset val="1"/>
      </rPr>
      <t xml:space="preserve">13</t>
    </r>
    <r>
      <rPr>
        <sz val="10"/>
        <color rgb="FF1F2A28"/>
        <rFont val="WenQuanYi Zen Hei"/>
        <family val="2"/>
      </rPr>
      <t xml:space="preserve">號</t>
    </r>
  </si>
  <si>
    <t xml:space="preserve">(089)551485</t>
  </si>
  <si>
    <t xml:space="preserve">2004-12-03</t>
  </si>
  <si>
    <t xml:space="preserve">李青</t>
  </si>
  <si>
    <t xml:space="preserve">謝曉香</t>
  </si>
  <si>
    <t xml:space="preserve">臺東縣私立費歐娜美語短期補習班</t>
  </si>
  <si>
    <r>
      <rPr>
        <sz val="10"/>
        <color rgb="FF1F2A28"/>
        <rFont val="WenQuanYi Zen Hei"/>
        <family val="2"/>
      </rPr>
      <t xml:space="preserve">臺東市長安街</t>
    </r>
    <r>
      <rPr>
        <sz val="10"/>
        <color rgb="FF1F2A28"/>
        <rFont val="Arial"/>
        <family val="0"/>
        <charset val="1"/>
      </rPr>
      <t xml:space="preserve">72</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</si>
  <si>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(089)333335</t>
  </si>
  <si>
    <t xml:space="preserve">iamfionalee@gmail.com</t>
  </si>
  <si>
    <t xml:space="preserve">臺東縣私立資優數學短期補習班</t>
  </si>
  <si>
    <r>
      <rPr>
        <sz val="10"/>
        <color rgb="FF1F2A28"/>
        <rFont val="WenQuanYi Zen Hei"/>
        <family val="2"/>
      </rPr>
      <t xml:space="preserve">臺東市博愛路</t>
    </r>
    <r>
      <rPr>
        <sz val="10"/>
        <color rgb="FF1F2A28"/>
        <rFont val="Arial"/>
        <family val="0"/>
        <charset val="1"/>
      </rPr>
      <t xml:space="preserve">434</t>
    </r>
    <r>
      <rPr>
        <sz val="10"/>
        <color rgb="FF1F2A28"/>
        <rFont val="WenQuanYi Zen Hei"/>
        <family val="2"/>
      </rPr>
      <t xml:space="preserve">巷</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樓及</t>
    </r>
    <r>
      <rPr>
        <sz val="10"/>
        <color rgb="FF1F2A28"/>
        <rFont val="Arial"/>
        <family val="0"/>
        <charset val="1"/>
      </rPr>
      <t xml:space="preserve">3</t>
    </r>
    <r>
      <rPr>
        <sz val="10"/>
        <color rgb="FF1F2A28"/>
        <rFont val="WenQuanYi Zen Hei"/>
        <family val="2"/>
      </rPr>
      <t xml:space="preserve">樓</t>
    </r>
  </si>
  <si>
    <t xml:space="preserve">(089)327357</t>
  </si>
  <si>
    <t xml:space="preserve">akcp0427@gmail.com</t>
  </si>
  <si>
    <r>
      <rPr>
        <sz val="10"/>
        <color rgb="FF1F2A28"/>
        <rFont val="WenQuanYi Zen Hei"/>
        <family val="2"/>
      </rPr>
      <t xml:space="preserve">英文、暑假</t>
    </r>
    <r>
      <rPr>
        <sz val="10"/>
        <color rgb="FF1F2A28"/>
        <rFont val="Arial"/>
        <family val="0"/>
        <charset val="1"/>
      </rPr>
      <t xml:space="preserve">-</t>
    </r>
    <r>
      <rPr>
        <sz val="10"/>
        <color rgb="FF1F2A28"/>
        <rFont val="WenQuanYi Zen Hei"/>
        <family val="2"/>
      </rPr>
      <t xml:space="preserve">全科班</t>
    </r>
    <r>
      <rPr>
        <sz val="10"/>
        <color rgb="FF1F2A28"/>
        <rFont val="Arial"/>
        <family val="0"/>
        <charset val="1"/>
      </rPr>
      <t xml:space="preserve">(</t>
    </r>
    <r>
      <rPr>
        <sz val="10"/>
        <color rgb="FF1F2A28"/>
        <rFont val="WenQuanYi Zen Hei"/>
        <family val="2"/>
      </rPr>
      <t xml:space="preserve">數學、英文、國語</t>
    </r>
    <r>
      <rPr>
        <sz val="10"/>
        <color rgb="FF1F2A28"/>
        <rFont val="Arial"/>
        <family val="0"/>
        <charset val="1"/>
      </rPr>
      <t xml:space="preserve">)</t>
    </r>
    <r>
      <rPr>
        <sz val="10"/>
        <color rgb="FF1F2A28"/>
        <rFont val="WenQuanYi Zen Hei"/>
        <family val="2"/>
      </rPr>
      <t xml:space="preserve">、寒假</t>
    </r>
    <r>
      <rPr>
        <sz val="10"/>
        <color rgb="FF1F2A28"/>
        <rFont val="Arial"/>
        <family val="0"/>
        <charset val="1"/>
      </rPr>
      <t xml:space="preserve">-</t>
    </r>
    <r>
      <rPr>
        <sz val="10"/>
        <color rgb="FF1F2A28"/>
        <rFont val="WenQuanYi Zen Hei"/>
        <family val="2"/>
      </rPr>
      <t xml:space="preserve">全科班</t>
    </r>
    <r>
      <rPr>
        <sz val="10"/>
        <color rgb="FF1F2A28"/>
        <rFont val="Arial"/>
        <family val="0"/>
        <charset val="1"/>
      </rPr>
      <t xml:space="preserve">(</t>
    </r>
    <r>
      <rPr>
        <sz val="10"/>
        <color rgb="FF1F2A28"/>
        <rFont val="WenQuanYi Zen Hei"/>
        <family val="2"/>
      </rPr>
      <t xml:space="preserve">數學、英文、國語</t>
    </r>
    <r>
      <rPr>
        <sz val="10"/>
        <color rgb="FF1F2A28"/>
        <rFont val="Arial"/>
        <family val="0"/>
        <charset val="1"/>
      </rPr>
      <t xml:space="preserve">)</t>
    </r>
  </si>
  <si>
    <t xml:space="preserve">1990-06-19</t>
  </si>
  <si>
    <t xml:space="preserve">游柑蜜</t>
  </si>
  <si>
    <t xml:space="preserve">臺東縣私立長頸鹿美語短期補習班</t>
  </si>
  <si>
    <r>
      <rPr>
        <sz val="10"/>
        <color rgb="FF1F2A28"/>
        <rFont val="WenQuanYi Zen Hei"/>
        <family val="2"/>
      </rPr>
      <t xml:space="preserve">臺東市更生路</t>
    </r>
    <r>
      <rPr>
        <sz val="10"/>
        <color rgb="FF1F2A28"/>
        <rFont val="Arial"/>
        <family val="0"/>
        <charset val="1"/>
      </rPr>
      <t xml:space="preserve">576</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r>
      <rPr>
        <sz val="10"/>
        <color rgb="FF1F2A28"/>
        <rFont val="Arial"/>
        <family val="0"/>
        <charset val="1"/>
      </rPr>
      <t xml:space="preserve">1~3</t>
    </r>
    <r>
      <rPr>
        <sz val="10"/>
        <color rgb="FF1F2A28"/>
        <rFont val="WenQuanYi Zen Hei"/>
        <family val="2"/>
      </rPr>
      <t xml:space="preserve">樓</t>
    </r>
  </si>
  <si>
    <t xml:space="preserve">(089)338380</t>
  </si>
  <si>
    <t xml:space="preserve">ivy228338@gmail.com</t>
  </si>
  <si>
    <t xml:space="preserve">1996-12-17</t>
  </si>
  <si>
    <t xml:space="preserve">邱世宏</t>
  </si>
  <si>
    <t xml:space="preserve">臺東縣私立開卷田美語短期補習班</t>
  </si>
  <si>
    <r>
      <rPr>
        <sz val="10"/>
        <color rgb="FF1F2A28"/>
        <rFont val="WenQuanYi Zen Hei"/>
        <family val="2"/>
      </rPr>
      <t xml:space="preserve">臺東市勝利街</t>
    </r>
    <r>
      <rPr>
        <sz val="10"/>
        <color rgb="FF1F2A28"/>
        <rFont val="Arial"/>
        <family val="0"/>
        <charset val="1"/>
      </rPr>
      <t xml:space="preserve">72-1</t>
    </r>
    <r>
      <rPr>
        <sz val="10"/>
        <color rgb="FF1F2A28"/>
        <rFont val="WenQuanYi Zen Hei"/>
        <family val="2"/>
      </rPr>
      <t xml:space="preserve">號</t>
    </r>
  </si>
  <si>
    <t xml:space="preserve">(089)362096</t>
  </si>
  <si>
    <t xml:space="preserve">2000-11-02</t>
  </si>
  <si>
    <t xml:space="preserve">臺東縣私立陳老師教室短期補習班</t>
  </si>
  <si>
    <r>
      <rPr>
        <sz val="10"/>
        <color rgb="FF1F2A28"/>
        <rFont val="WenQuanYi Zen Hei"/>
        <family val="2"/>
      </rPr>
      <t xml:space="preserve">臺東市更生北路</t>
    </r>
    <r>
      <rPr>
        <sz val="10"/>
        <color rgb="FF1F2A28"/>
        <rFont val="Arial"/>
        <family val="0"/>
        <charset val="1"/>
      </rPr>
      <t xml:space="preserve">287</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</si>
  <si>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(089)232484</t>
  </si>
  <si>
    <t xml:space="preserve">ivy.mj@msa.hinet.net</t>
  </si>
  <si>
    <t xml:space="preserve">臺東縣私立馬蘭國際文理技藝短期補習班</t>
  </si>
  <si>
    <r>
      <rPr>
        <sz val="10"/>
        <color rgb="FF1F2A28"/>
        <rFont val="WenQuanYi Zen Hei"/>
        <family val="2"/>
      </rPr>
      <t xml:space="preserve">臺東市更生路</t>
    </r>
    <r>
      <rPr>
        <sz val="10"/>
        <color rgb="FF1F2A28"/>
        <rFont val="Arial"/>
        <family val="0"/>
        <charset val="1"/>
      </rPr>
      <t xml:space="preserve">689</t>
    </r>
    <r>
      <rPr>
        <sz val="10"/>
        <color rgb="FF1F2A28"/>
        <rFont val="WenQuanYi Zen Hei"/>
        <family val="2"/>
      </rPr>
      <t xml:space="preserve">巷</t>
    </r>
    <r>
      <rPr>
        <sz val="10"/>
        <color rgb="FF1F2A28"/>
        <rFont val="Arial"/>
        <family val="0"/>
        <charset val="1"/>
      </rPr>
      <t xml:space="preserve">16</t>
    </r>
    <r>
      <rPr>
        <sz val="10"/>
        <color rgb="FF1F2A28"/>
        <rFont val="WenQuanYi Zen Hei"/>
        <family val="2"/>
      </rPr>
      <t xml:space="preserve">弄</t>
    </r>
    <r>
      <rPr>
        <sz val="10"/>
        <color rgb="FF1F2A28"/>
        <rFont val="Arial"/>
        <family val="0"/>
        <charset val="1"/>
      </rPr>
      <t xml:space="preserve">1</t>
    </r>
    <r>
      <rPr>
        <sz val="10"/>
        <color rgb="FF1F2A28"/>
        <rFont val="WenQuanYi Zen Hei"/>
        <family val="2"/>
      </rPr>
      <t xml:space="preserve">號</t>
    </r>
  </si>
  <si>
    <t xml:space="preserve">0935-237-151</t>
  </si>
  <si>
    <t xml:space="preserve">mieschooltaitung@gmail.com</t>
  </si>
  <si>
    <t xml:space="preserve">2019-05-24</t>
  </si>
  <si>
    <t xml:space="preserve">馬夷美</t>
  </si>
  <si>
    <t xml:space="preserve">林以婷</t>
  </si>
  <si>
    <t xml:space="preserve">臺東縣私立高瞻東海教室文理技藝短期補習班</t>
  </si>
  <si>
    <r>
      <rPr>
        <sz val="10"/>
        <color rgb="FF1F2A28"/>
        <rFont val="WenQuanYi Zen Hei"/>
        <family val="2"/>
      </rPr>
      <t xml:space="preserve">臺東市長沙街</t>
    </r>
    <r>
      <rPr>
        <sz val="10"/>
        <color rgb="FF1F2A28"/>
        <rFont val="Arial"/>
        <family val="0"/>
        <charset val="1"/>
      </rPr>
      <t xml:space="preserve">228</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</si>
  <si>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(089)333256</t>
  </si>
  <si>
    <t xml:space="preserve">hs089333256@gmail.com</t>
  </si>
  <si>
    <r>
      <rPr>
        <sz val="10"/>
        <color rgb="FF1F2A28"/>
        <rFont val="WenQuanYi Zen Hei"/>
        <family val="2"/>
      </rPr>
      <t xml:space="preserve">暑期全科班</t>
    </r>
    <r>
      <rPr>
        <sz val="10"/>
        <color rgb="FF1F2A28"/>
        <rFont val="Arial"/>
        <family val="0"/>
        <charset val="1"/>
      </rPr>
      <t xml:space="preserve">(</t>
    </r>
    <r>
      <rPr>
        <sz val="10"/>
        <color rgb="FF1F2A28"/>
        <rFont val="WenQuanYi Zen Hei"/>
        <family val="2"/>
      </rPr>
      <t xml:space="preserve">國數社自英</t>
    </r>
    <r>
      <rPr>
        <sz val="10"/>
        <color rgb="FF1F2A28"/>
        <rFont val="Arial"/>
        <family val="0"/>
        <charset val="1"/>
      </rPr>
      <t xml:space="preserve">)</t>
    </r>
    <r>
      <rPr>
        <sz val="10"/>
        <color rgb="FF1F2A28"/>
        <rFont val="WenQuanYi Zen Hei"/>
        <family val="2"/>
      </rPr>
      <t xml:space="preserve">、寒期全科班</t>
    </r>
    <r>
      <rPr>
        <sz val="10"/>
        <color rgb="FF1F2A28"/>
        <rFont val="Arial"/>
        <family val="0"/>
        <charset val="1"/>
      </rPr>
      <t xml:space="preserve">(</t>
    </r>
    <r>
      <rPr>
        <sz val="10"/>
        <color rgb="FF1F2A28"/>
        <rFont val="WenQuanYi Zen Hei"/>
        <family val="2"/>
      </rPr>
      <t xml:space="preserve">國數社自英</t>
    </r>
    <r>
      <rPr>
        <sz val="10"/>
        <color rgb="FF1F2A28"/>
        <rFont val="Arial"/>
        <family val="0"/>
        <charset val="1"/>
      </rPr>
      <t xml:space="preserve">)</t>
    </r>
    <r>
      <rPr>
        <sz val="10"/>
        <color rgb="FF1F2A28"/>
        <rFont val="WenQuanYi Zen Hei"/>
        <family val="2"/>
      </rPr>
      <t xml:space="preserve">、英語</t>
    </r>
  </si>
  <si>
    <t xml:space="preserve">2023-10-03</t>
  </si>
  <si>
    <t xml:space="preserve">張揚昀</t>
  </si>
  <si>
    <t xml:space="preserve">澎湖縣</t>
  </si>
  <si>
    <t xml:space="preserve">私立三之三才藝短期補習班</t>
  </si>
  <si>
    <r>
      <rPr>
        <sz val="10"/>
        <color rgb="FF1F2A28"/>
        <rFont val="WenQuanYi Zen Hei"/>
        <family val="2"/>
      </rPr>
      <t xml:space="preserve">澎湖縣馬公市三多路</t>
    </r>
    <r>
      <rPr>
        <sz val="10"/>
        <color rgb="FF1F2A28"/>
        <rFont val="Arial"/>
        <family val="0"/>
        <charset val="1"/>
      </rPr>
      <t xml:space="preserve">49</t>
    </r>
    <r>
      <rPr>
        <sz val="10"/>
        <color rgb="FF1F2A28"/>
        <rFont val="WenQuanYi Zen Hei"/>
        <family val="2"/>
      </rPr>
      <t xml:space="preserve">、</t>
    </r>
    <r>
      <rPr>
        <sz val="10"/>
        <color rgb="FF1F2A28"/>
        <rFont val="Arial"/>
        <family val="0"/>
        <charset val="1"/>
      </rPr>
      <t xml:space="preserve">51</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至</t>
    </r>
    <r>
      <rPr>
        <sz val="10"/>
        <color rgb="FF1F2A28"/>
        <rFont val="Arial"/>
        <family val="0"/>
        <charset val="1"/>
      </rPr>
      <t xml:space="preserve">2</t>
    </r>
    <r>
      <rPr>
        <sz val="10"/>
        <color rgb="FF1F2A28"/>
        <rFont val="WenQuanYi Zen Hei"/>
        <family val="2"/>
      </rPr>
      <t xml:space="preserve">樓</t>
    </r>
  </si>
  <si>
    <t xml:space="preserve">(06)9271022</t>
  </si>
  <si>
    <t xml:space="preserve">吳黃翠琴</t>
  </si>
  <si>
    <t xml:space="preserve">吳銘峯</t>
  </si>
  <si>
    <t xml:space="preserve">私立以馬內利美語短期補習班</t>
  </si>
  <si>
    <r>
      <rPr>
        <sz val="10"/>
        <color rgb="FF1F2A28"/>
        <rFont val="WenQuanYi Zen Hei"/>
        <family val="2"/>
      </rPr>
      <t xml:space="preserve">澎湖縣馬公市光復路</t>
    </r>
    <r>
      <rPr>
        <sz val="10"/>
        <color rgb="FF1F2A28"/>
        <rFont val="Arial"/>
        <family val="0"/>
        <charset val="1"/>
      </rPr>
      <t xml:space="preserve">88</t>
    </r>
    <r>
      <rPr>
        <sz val="10"/>
        <color rgb="FF1F2A28"/>
        <rFont val="WenQuanYi Zen Hei"/>
        <family val="2"/>
      </rPr>
      <t xml:space="preserve">號</t>
    </r>
    <r>
      <rPr>
        <sz val="10"/>
        <color rgb="FF1F2A28"/>
        <rFont val="Arial"/>
        <family val="0"/>
        <charset val="1"/>
      </rPr>
      <t xml:space="preserve">6</t>
    </r>
    <r>
      <rPr>
        <sz val="10"/>
        <color rgb="FF1F2A28"/>
        <rFont val="WenQuanYi Zen Hei"/>
        <family val="2"/>
      </rPr>
      <t xml:space="preserve">樓</t>
    </r>
  </si>
  <si>
    <t xml:space="preserve">(06)9261202</t>
  </si>
  <si>
    <t xml:space="preserve">Mission@ms13.hinet.net</t>
  </si>
  <si>
    <t xml:space="preserve">2000-05-03</t>
  </si>
  <si>
    <t xml:space="preserve">戴求實</t>
  </si>
  <si>
    <t xml:space="preserve">許淑賢</t>
  </si>
  <si>
    <t xml:space="preserve">私立多米雙語小教室短期補習班</t>
  </si>
  <si>
    <r>
      <rPr>
        <sz val="10"/>
        <color rgb="FF1F2A28"/>
        <rFont val="WenQuanYi Zen Hei"/>
        <family val="2"/>
      </rPr>
      <t xml:space="preserve">澎湖縣馬公市東衛里</t>
    </r>
    <r>
      <rPr>
        <sz val="10"/>
        <color rgb="FF1F2A28"/>
        <rFont val="Arial"/>
        <family val="0"/>
        <charset val="1"/>
      </rPr>
      <t xml:space="preserve">15-5</t>
    </r>
    <r>
      <rPr>
        <sz val="10"/>
        <color rgb="FF1F2A28"/>
        <rFont val="WenQuanYi Zen Hei"/>
        <family val="2"/>
      </rPr>
      <t xml:space="preserve">號</t>
    </r>
  </si>
  <si>
    <t xml:space="preserve">0921882838</t>
  </si>
  <si>
    <t xml:space="preserve">黃奕婕</t>
  </si>
  <si>
    <t xml:space="preserve">私立奇瓦笛美語短期補習班</t>
  </si>
  <si>
    <r>
      <rPr>
        <sz val="10"/>
        <color rgb="FF1F2A28"/>
        <rFont val="WenQuanYi Zen Hei"/>
        <family val="2"/>
      </rPr>
      <t xml:space="preserve">澎湖縣馬公市文光路</t>
    </r>
    <r>
      <rPr>
        <sz val="10"/>
        <color rgb="FF1F2A28"/>
        <rFont val="Arial"/>
        <family val="0"/>
        <charset val="1"/>
      </rPr>
      <t xml:space="preserve">112-1</t>
    </r>
    <r>
      <rPr>
        <sz val="10"/>
        <color rgb="FF1F2A28"/>
        <rFont val="WenQuanYi Zen Hei"/>
        <family val="2"/>
      </rPr>
      <t xml:space="preserve">號</t>
    </r>
  </si>
  <si>
    <t xml:space="preserve">(06)9268209</t>
  </si>
  <si>
    <t xml:space="preserve">1999-12-18</t>
  </si>
  <si>
    <t xml:space="preserve">王璋壽</t>
  </si>
  <si>
    <t xml:space="preserve">吳寶綺</t>
  </si>
  <si>
    <t xml:space="preserve">私立安老師美語短期補習班</t>
  </si>
  <si>
    <r>
      <rPr>
        <sz val="10"/>
        <color rgb="FF1F2A28"/>
        <rFont val="WenQuanYi Zen Hei"/>
        <family val="2"/>
      </rPr>
      <t xml:space="preserve">澎湖縣馬公市光復路</t>
    </r>
    <r>
      <rPr>
        <sz val="10"/>
        <color rgb="FF1F2A28"/>
        <rFont val="Arial"/>
        <family val="0"/>
        <charset val="1"/>
      </rPr>
      <t xml:space="preserve">88</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</si>
  <si>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(06)9266780</t>
  </si>
  <si>
    <t xml:space="preserve">1999-08-27</t>
  </si>
  <si>
    <t xml:space="preserve">楊金燕</t>
  </si>
  <si>
    <t xml:space="preserve">私立宥朝短期補習班</t>
  </si>
  <si>
    <r>
      <rPr>
        <sz val="10"/>
        <color rgb="FF1F2A28"/>
        <rFont val="WenQuanYi Zen Hei"/>
        <family val="2"/>
      </rPr>
      <t xml:space="preserve">澎湖縣馬公市西文里西文澳</t>
    </r>
    <r>
      <rPr>
        <sz val="10"/>
        <color rgb="FF1F2A28"/>
        <rFont val="Arial"/>
        <family val="0"/>
        <charset val="1"/>
      </rPr>
      <t xml:space="preserve">9</t>
    </r>
    <r>
      <rPr>
        <sz val="10"/>
        <color rgb="FF1F2A28"/>
        <rFont val="WenQuanYi Zen Hei"/>
        <family val="2"/>
      </rPr>
      <t xml:space="preserve">之</t>
    </r>
    <r>
      <rPr>
        <sz val="10"/>
        <color rgb="FF1F2A28"/>
        <rFont val="Arial"/>
        <family val="0"/>
        <charset val="1"/>
      </rPr>
      <t xml:space="preserve">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耬</t>
    </r>
  </si>
  <si>
    <t xml:space="preserve">(06)9219164</t>
  </si>
  <si>
    <t xml:space="preserve">amy9219164@gmail.com</t>
  </si>
  <si>
    <t xml:space="preserve">陳秋麗</t>
  </si>
  <si>
    <t xml:space="preserve">私立小太陽短期補習班</t>
  </si>
  <si>
    <r>
      <rPr>
        <sz val="10"/>
        <color rgb="FF1F2A28"/>
        <rFont val="WenQuanYi Zen Hei"/>
        <family val="2"/>
      </rPr>
      <t xml:space="preserve">澎湖縣馬公市文光路</t>
    </r>
    <r>
      <rPr>
        <sz val="10"/>
        <color rgb="FF1F2A28"/>
        <rFont val="Arial"/>
        <family val="0"/>
        <charset val="1"/>
      </rPr>
      <t xml:space="preserve">142</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</si>
  <si>
    <t xml:space="preserve">0935722648</t>
  </si>
  <si>
    <t xml:space="preserve">郭碧倩</t>
  </si>
  <si>
    <t xml:space="preserve">私立愛彌兒短期補習班</t>
  </si>
  <si>
    <r>
      <rPr>
        <sz val="10"/>
        <color rgb="FF1F2A28"/>
        <rFont val="WenQuanYi Zen Hei"/>
        <family val="2"/>
      </rPr>
      <t xml:space="preserve">澎湖縣馬公市六合路</t>
    </r>
    <r>
      <rPr>
        <sz val="10"/>
        <color rgb="FF1F2A28"/>
        <rFont val="Arial"/>
        <family val="0"/>
        <charset val="1"/>
      </rPr>
      <t xml:space="preserve">47</t>
    </r>
    <r>
      <rPr>
        <sz val="10"/>
        <color rgb="FF1F2A28"/>
        <rFont val="WenQuanYi Zen Hei"/>
        <family val="2"/>
      </rPr>
      <t xml:space="preserve">號</t>
    </r>
  </si>
  <si>
    <t xml:space="preserve">0973170887</t>
  </si>
  <si>
    <t xml:space="preserve">2021-07-29</t>
  </si>
  <si>
    <t xml:space="preserve">蕭楷林</t>
  </si>
  <si>
    <t xml:space="preserve">私立易說學堂短期補習班</t>
  </si>
  <si>
    <r>
      <rPr>
        <sz val="10"/>
        <color rgb="FF1F2A28"/>
        <rFont val="WenQuanYi Zen Hei"/>
        <family val="2"/>
      </rPr>
      <t xml:space="preserve">澎湖縣馬公市中華路</t>
    </r>
    <r>
      <rPr>
        <sz val="10"/>
        <color rgb="FF1F2A28"/>
        <rFont val="Arial"/>
        <family val="0"/>
        <charset val="1"/>
      </rPr>
      <t xml:space="preserve">56-1</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</si>
  <si>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0952575903</t>
  </si>
  <si>
    <t xml:space="preserve">曾羿晴</t>
  </si>
  <si>
    <t xml:space="preserve">私立樂高短期補習班</t>
  </si>
  <si>
    <r>
      <rPr>
        <sz val="10"/>
        <color rgb="FF1F2A28"/>
        <rFont val="WenQuanYi Zen Hei"/>
        <family val="2"/>
      </rPr>
      <t xml:space="preserve">澎湖縣馬公市成功街</t>
    </r>
    <r>
      <rPr>
        <sz val="10"/>
        <color rgb="FF1F2A28"/>
        <rFont val="Arial"/>
        <family val="0"/>
        <charset val="1"/>
      </rPr>
      <t xml:space="preserve">69</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</si>
  <si>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0937578906</t>
  </si>
  <si>
    <t xml:space="preserve">2009-06-19</t>
  </si>
  <si>
    <t xml:space="preserve">宋啟六</t>
  </si>
  <si>
    <t xml:space="preserve">私立美語習塾短期補習班</t>
  </si>
  <si>
    <r>
      <rPr>
        <sz val="10"/>
        <color rgb="FF1F2A28"/>
        <rFont val="WenQuanYi Zen Hei"/>
        <family val="2"/>
      </rPr>
      <t xml:space="preserve">澎湖縣馬公市光榮街</t>
    </r>
    <r>
      <rPr>
        <sz val="10"/>
        <color rgb="FF1F2A28"/>
        <rFont val="Arial"/>
        <family val="0"/>
        <charset val="1"/>
      </rPr>
      <t xml:space="preserve">97</t>
    </r>
    <r>
      <rPr>
        <sz val="10"/>
        <color rgb="FF1F2A28"/>
        <rFont val="WenQuanYi Zen Hei"/>
        <family val="2"/>
      </rPr>
      <t xml:space="preserve">號</t>
    </r>
    <r>
      <rPr>
        <sz val="10"/>
        <color rgb="FF1F2A28"/>
        <rFont val="Arial"/>
        <family val="0"/>
        <charset val="1"/>
      </rPr>
      <t xml:space="preserve">1-2</t>
    </r>
    <r>
      <rPr>
        <sz val="10"/>
        <color rgb="FF1F2A28"/>
        <rFont val="WenQuanYi Zen Hei"/>
        <family val="2"/>
      </rPr>
      <t xml:space="preserve">樓</t>
    </r>
  </si>
  <si>
    <t xml:space="preserve">0968066623</t>
  </si>
  <si>
    <t xml:space="preserve">2022-08-12</t>
  </si>
  <si>
    <t xml:space="preserve">許嫚云</t>
  </si>
  <si>
    <t xml:space="preserve">呂雅雯</t>
  </si>
  <si>
    <t xml:space="preserve">私立舒飛美語文理短期補習班</t>
  </si>
  <si>
    <r>
      <rPr>
        <sz val="10"/>
        <color rgb="FF1F2A28"/>
        <rFont val="WenQuanYi Zen Hei"/>
        <family val="2"/>
      </rPr>
      <t xml:space="preserve">澎湖縣馬公市西文里</t>
    </r>
    <r>
      <rPr>
        <sz val="10"/>
        <color rgb="FF1F2A28"/>
        <rFont val="Arial"/>
        <family val="0"/>
        <charset val="1"/>
      </rPr>
      <t xml:space="preserve">10</t>
    </r>
    <r>
      <rPr>
        <sz val="10"/>
        <color rgb="FF1F2A28"/>
        <rFont val="WenQuanYi Zen Hei"/>
        <family val="2"/>
      </rPr>
      <t xml:space="preserve">鄰文學路</t>
    </r>
    <r>
      <rPr>
        <sz val="10"/>
        <color rgb="FF1F2A28"/>
        <rFont val="Arial"/>
        <family val="0"/>
        <charset val="1"/>
      </rPr>
      <t xml:space="preserve">27</t>
    </r>
    <r>
      <rPr>
        <sz val="10"/>
        <color rgb="FF1F2A28"/>
        <rFont val="WenQuanYi Zen Hei"/>
        <family val="2"/>
      </rPr>
      <t xml:space="preserve">號</t>
    </r>
  </si>
  <si>
    <t xml:space="preserve">0932866486</t>
  </si>
  <si>
    <t xml:space="preserve">snoopy9211215@yahoo.com.tw</t>
  </si>
  <si>
    <t xml:space="preserve">2015-04-01</t>
  </si>
  <si>
    <t xml:space="preserve">陳芝螢</t>
  </si>
  <si>
    <t xml:space="preserve">私立艾妮塔英文短期補習班</t>
  </si>
  <si>
    <r>
      <rPr>
        <sz val="10"/>
        <color rgb="FF1F2A28"/>
        <rFont val="WenQuanYi Zen Hei"/>
        <family val="2"/>
      </rPr>
      <t xml:space="preserve">澎湖縣馬公市朝陽里文昌街</t>
    </r>
    <r>
      <rPr>
        <sz val="10"/>
        <color rgb="FF1F2A28"/>
        <rFont val="Arial"/>
        <family val="0"/>
        <charset val="1"/>
      </rPr>
      <t xml:space="preserve">30</t>
    </r>
    <r>
      <rPr>
        <sz val="10"/>
        <color rgb="FF1F2A28"/>
        <rFont val="WenQuanYi Zen Hei"/>
        <family val="2"/>
      </rPr>
      <t xml:space="preserve">巷</t>
    </r>
    <r>
      <rPr>
        <sz val="10"/>
        <color rgb="FF1F2A28"/>
        <rFont val="Arial"/>
        <family val="0"/>
        <charset val="1"/>
      </rPr>
      <t xml:space="preserve">19</t>
    </r>
    <r>
      <rPr>
        <sz val="10"/>
        <color rgb="FF1F2A28"/>
        <rFont val="WenQuanYi Zen Hei"/>
        <family val="2"/>
      </rPr>
      <t xml:space="preserve">之</t>
    </r>
    <r>
      <rPr>
        <sz val="10"/>
        <color rgb="FF1F2A28"/>
        <rFont val="Arial"/>
        <family val="0"/>
        <charset val="1"/>
      </rPr>
      <t xml:space="preserve">1</t>
    </r>
    <r>
      <rPr>
        <sz val="10"/>
        <color rgb="FF1F2A28"/>
        <rFont val="WenQuanYi Zen Hei"/>
        <family val="2"/>
      </rPr>
      <t xml:space="preserve">號</t>
    </r>
  </si>
  <si>
    <t xml:space="preserve">0932973140</t>
  </si>
  <si>
    <t xml:space="preserve">anita19810623@hotmail.com</t>
  </si>
  <si>
    <t xml:space="preserve">2021-02-05</t>
  </si>
  <si>
    <t xml:space="preserve">私立英語角短期補習班</t>
  </si>
  <si>
    <r>
      <rPr>
        <sz val="10"/>
        <color rgb="FF1F2A28"/>
        <rFont val="WenQuanYi Zen Hei"/>
        <family val="2"/>
      </rPr>
      <t xml:space="preserve">澎湖縣湖西鄉湖西村</t>
    </r>
    <r>
      <rPr>
        <sz val="10"/>
        <color rgb="FF1F2A28"/>
        <rFont val="Arial"/>
        <family val="0"/>
        <charset val="1"/>
      </rPr>
      <t xml:space="preserve">166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</si>
  <si>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0930296951</t>
  </si>
  <si>
    <t xml:space="preserve">林均玲</t>
  </si>
  <si>
    <t xml:space="preserve">私立萌芽短期補習班</t>
  </si>
  <si>
    <r>
      <rPr>
        <sz val="10"/>
        <color rgb="FF1F2A28"/>
        <rFont val="WenQuanYi Zen Hei"/>
        <family val="2"/>
      </rPr>
      <t xml:space="preserve">澎湖縣馬公市永和街</t>
    </r>
    <r>
      <rPr>
        <sz val="10"/>
        <color rgb="FF1F2A28"/>
        <rFont val="Arial"/>
        <family val="0"/>
        <charset val="1"/>
      </rPr>
      <t xml:space="preserve">49</t>
    </r>
    <r>
      <rPr>
        <sz val="10"/>
        <color rgb="FF1F2A28"/>
        <rFont val="WenQuanYi Zen Hei"/>
        <family val="2"/>
      </rPr>
      <t xml:space="preserve">巷</t>
    </r>
    <r>
      <rPr>
        <sz val="10"/>
        <color rgb="FF1F2A28"/>
        <rFont val="Arial"/>
        <family val="0"/>
        <charset val="1"/>
      </rPr>
      <t xml:space="preserve">1</t>
    </r>
    <r>
      <rPr>
        <sz val="10"/>
        <color rgb="FF1F2A28"/>
        <rFont val="WenQuanYi Zen Hei"/>
        <family val="2"/>
      </rPr>
      <t xml:space="preserve">號</t>
    </r>
  </si>
  <si>
    <t xml:space="preserve">(06)9262760</t>
  </si>
  <si>
    <t xml:space="preserve">2023-01-12</t>
  </si>
  <si>
    <t xml:space="preserve">許珮毓</t>
  </si>
  <si>
    <t xml:space="preserve">私立金老師美語短期補習班</t>
  </si>
  <si>
    <r>
      <rPr>
        <sz val="10"/>
        <color rgb="FF1F2A28"/>
        <rFont val="WenQuanYi Zen Hei"/>
        <family val="2"/>
      </rPr>
      <t xml:space="preserve">澎湖縣馬公市民富街</t>
    </r>
    <r>
      <rPr>
        <sz val="10"/>
        <color rgb="FF1F2A28"/>
        <rFont val="Arial"/>
        <family val="0"/>
        <charset val="1"/>
      </rPr>
      <t xml:space="preserve">51</t>
    </r>
    <r>
      <rPr>
        <sz val="10"/>
        <color rgb="FF1F2A28"/>
        <rFont val="WenQuanYi Zen Hei"/>
        <family val="2"/>
      </rPr>
      <t xml:space="preserve">巷</t>
    </r>
    <r>
      <rPr>
        <sz val="10"/>
        <color rgb="FF1F2A28"/>
        <rFont val="Arial"/>
        <family val="0"/>
        <charset val="1"/>
      </rPr>
      <t xml:space="preserve">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</si>
  <si>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(06)9212320</t>
  </si>
  <si>
    <t xml:space="preserve">2008-03-07</t>
  </si>
  <si>
    <t xml:space="preserve">金宜健</t>
  </si>
  <si>
    <t xml:space="preserve">私立龍之堡英語短期補習班</t>
  </si>
  <si>
    <r>
      <rPr>
        <sz val="10"/>
        <color rgb="FF1F2A28"/>
        <rFont val="WenQuanYi Zen Hei"/>
        <family val="2"/>
      </rPr>
      <t xml:space="preserve">澎湖縣馬公市林森路</t>
    </r>
    <r>
      <rPr>
        <sz val="10"/>
        <color rgb="FF1F2A28"/>
        <rFont val="Arial"/>
        <family val="0"/>
        <charset val="1"/>
      </rPr>
      <t xml:space="preserve">49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</si>
  <si>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(06)9267002</t>
  </si>
  <si>
    <t xml:space="preserve">2002-06-06</t>
  </si>
  <si>
    <t xml:space="preserve">楊湧耀</t>
  </si>
  <si>
    <t xml:space="preserve">馬公市</t>
  </si>
  <si>
    <t xml:space="preserve">私立艾思短期補習班</t>
  </si>
  <si>
    <r>
      <rPr>
        <sz val="10"/>
        <color rgb="FF1F2A28"/>
        <rFont val="WenQuanYi Zen Hei"/>
        <family val="2"/>
      </rPr>
      <t xml:space="preserve">馬公市民族路</t>
    </r>
    <r>
      <rPr>
        <sz val="10"/>
        <color rgb="FF1F2A28"/>
        <rFont val="Arial"/>
        <family val="0"/>
        <charset val="1"/>
      </rPr>
      <t xml:space="preserve">102</t>
    </r>
    <r>
      <rPr>
        <sz val="10"/>
        <color rgb="FF1F2A28"/>
        <rFont val="WenQuanYi Zen Hei"/>
        <family val="2"/>
      </rPr>
      <t xml:space="preserve">號</t>
    </r>
  </si>
  <si>
    <t xml:space="preserve">(06)9261668</t>
  </si>
  <si>
    <t xml:space="preserve">vitacy.hung@gmail.com</t>
  </si>
  <si>
    <t xml:space="preserve">2026-05-21</t>
  </si>
  <si>
    <t xml:space="preserve">洪家妍</t>
  </si>
  <si>
    <t xml:space="preserve">金門縣</t>
  </si>
  <si>
    <t xml:space="preserve">金門縣私立台金大門技藝文理短期補習班</t>
  </si>
  <si>
    <r>
      <rPr>
        <sz val="10"/>
        <color rgb="FF1F2A28"/>
        <rFont val="WenQuanYi Zen Hei"/>
        <family val="2"/>
      </rPr>
      <t xml:space="preserve">金門縣金城鎮民族路</t>
    </r>
    <r>
      <rPr>
        <sz val="10"/>
        <color rgb="FF1F2A28"/>
        <rFont val="Arial"/>
        <family val="0"/>
        <charset val="1"/>
      </rPr>
      <t xml:space="preserve">93</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弄</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</si>
  <si>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311289</t>
  </si>
  <si>
    <t xml:space="preserve">w1003168@taida311289.com</t>
  </si>
  <si>
    <t xml:space="preserve">2005-04-08</t>
  </si>
  <si>
    <t xml:space="preserve">陳宏仁</t>
  </si>
  <si>
    <t xml:space="preserve">金門縣私立小博識文理語文短期補習班</t>
  </si>
  <si>
    <r>
      <rPr>
        <sz val="10"/>
        <color rgb="FF1F2A28"/>
        <rFont val="WenQuanYi Zen Hei"/>
        <family val="2"/>
      </rPr>
      <t xml:space="preserve">金門縣金湖鎮新市里復興路</t>
    </r>
    <r>
      <rPr>
        <sz val="10"/>
        <color rgb="FF1F2A28"/>
        <rFont val="Arial"/>
        <family val="0"/>
        <charset val="1"/>
      </rPr>
      <t xml:space="preserve">112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</si>
  <si>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(082)333749</t>
  </si>
  <si>
    <t xml:space="preserve">gapk26angel@yahoo.com.tw</t>
  </si>
  <si>
    <t xml:space="preserve">2007-01-03</t>
  </si>
  <si>
    <t xml:space="preserve">洪依綸</t>
  </si>
  <si>
    <t xml:space="preserve">金門縣私立康禾文理技藝短期補習班</t>
  </si>
  <si>
    <r>
      <rPr>
        <sz val="10"/>
        <color rgb="FF1F2A28"/>
        <rFont val="WenQuanYi Zen Hei"/>
        <family val="2"/>
      </rPr>
      <t xml:space="preserve">金門縣金城鎮民生路</t>
    </r>
    <r>
      <rPr>
        <sz val="10"/>
        <color rgb="FF1F2A28"/>
        <rFont val="Arial"/>
        <family val="0"/>
        <charset val="1"/>
      </rPr>
      <t xml:space="preserve">15-6</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t>
    </r>
    <r>
      <rPr>
        <sz val="10"/>
        <color rgb="FF1F2A28"/>
        <rFont val="Arial"/>
        <family val="0"/>
        <charset val="1"/>
      </rPr>
      <t xml:space="preserve">(</t>
    </r>
    <r>
      <rPr>
        <sz val="10"/>
        <color rgb="FF1F2A28"/>
        <rFont val="WenQuanYi Zen Hei"/>
        <family val="2"/>
      </rPr>
      <t xml:space="preserve">分教室</t>
    </r>
    <r>
      <rPr>
        <sz val="10"/>
        <color rgb="FF1F2A28"/>
        <rFont val="Arial"/>
        <family val="0"/>
        <charset val="1"/>
      </rPr>
      <t xml:space="preserve">1</t>
    </r>
    <r>
      <rPr>
        <sz val="10"/>
        <color rgb="FF1F2A28"/>
        <rFont val="WenQuanYi Zen Hei"/>
        <family val="2"/>
      </rPr>
      <t xml:space="preserve">：金城鎮民生路</t>
    </r>
    <r>
      <rPr>
        <sz val="10"/>
        <color rgb="FF1F2A28"/>
        <rFont val="Arial"/>
        <family val="0"/>
        <charset val="1"/>
      </rPr>
      <t xml:space="preserve">27</t>
    </r>
    <r>
      <rPr>
        <sz val="10"/>
        <color rgb="FF1F2A28"/>
        <rFont val="WenQuanYi Zen Hei"/>
        <family val="2"/>
      </rPr>
      <t xml:space="preserve">巷</t>
    </r>
    <r>
      <rPr>
        <sz val="10"/>
        <color rgb="FF1F2A28"/>
        <rFont val="Arial"/>
        <family val="0"/>
        <charset val="1"/>
      </rPr>
      <t xml:space="preserve">8</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t>
    </r>
    <r>
      <rPr>
        <sz val="10"/>
        <color rgb="FF1F2A28"/>
        <rFont val="Arial"/>
        <family val="0"/>
        <charset val="1"/>
      </rPr>
      <t xml:space="preserve">3</t>
    </r>
    <r>
      <rPr>
        <sz val="10"/>
        <color rgb="FF1F2A28"/>
        <rFont val="WenQuanYi Zen Hei"/>
        <family val="2"/>
      </rPr>
      <t xml:space="preserve">樓；分教室</t>
    </r>
    <r>
      <rPr>
        <sz val="10"/>
        <color rgb="FF1F2A28"/>
        <rFont val="Arial"/>
        <family val="0"/>
        <charset val="1"/>
      </rPr>
      <t xml:space="preserve">2</t>
    </r>
    <r>
      <rPr>
        <sz val="10"/>
        <color rgb="FF1F2A28"/>
        <rFont val="WenQuanYi Zen Hei"/>
        <family val="2"/>
      </rPr>
      <t xml:space="preserve">：金城鎮民生路</t>
    </r>
    <r>
      <rPr>
        <sz val="10"/>
        <color rgb="FF1F2A28"/>
        <rFont val="Arial"/>
        <family val="0"/>
        <charset val="1"/>
      </rPr>
      <t xml:space="preserve">45</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弄</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r>
      <rPr>
        <sz val="10"/>
        <color rgb="FF1F2A28"/>
        <rFont val="Arial"/>
        <family val="0"/>
        <charset val="1"/>
      </rPr>
      <t xml:space="preserve">)</t>
    </r>
  </si>
  <si>
    <t xml:space="preserve">(082)375268</t>
  </si>
  <si>
    <t xml:space="preserve">kang.ha@msa.hinet.net</t>
  </si>
  <si>
    <t xml:space="preserve">美語、電腦美語</t>
  </si>
  <si>
    <t xml:space="preserve">王玉翠</t>
  </si>
  <si>
    <t xml:space="preserve">金門縣私立東方紅短期補習班</t>
  </si>
  <si>
    <r>
      <rPr>
        <sz val="10"/>
        <color rgb="FF1F2A28"/>
        <rFont val="WenQuanYi Zen Hei"/>
        <family val="2"/>
      </rPr>
      <t xml:space="preserve">金門縣金湖鎮山外街</t>
    </r>
    <r>
      <rPr>
        <sz val="10"/>
        <color rgb="FF1F2A28"/>
        <rFont val="Arial"/>
        <family val="0"/>
        <charset val="1"/>
      </rPr>
      <t xml:space="preserve">11</t>
    </r>
    <r>
      <rPr>
        <sz val="10"/>
        <color rgb="FF1F2A28"/>
        <rFont val="WenQuanYi Zen Hei"/>
        <family val="2"/>
      </rPr>
      <t xml:space="preserve">號</t>
    </r>
  </si>
  <si>
    <t xml:space="preserve">(082)335599</t>
  </si>
  <si>
    <t xml:space="preserve">楊只</t>
  </si>
  <si>
    <t xml:space="preserve">金門縣私立肯利熊文理短期補習班</t>
  </si>
  <si>
    <r>
      <rPr>
        <sz val="10"/>
        <color rgb="FF1F2A28"/>
        <rFont val="WenQuanYi Zen Hei"/>
        <family val="2"/>
      </rPr>
      <t xml:space="preserve">金門縣金湖鎮塔后</t>
    </r>
    <r>
      <rPr>
        <sz val="10"/>
        <color rgb="FF1F2A28"/>
        <rFont val="Arial"/>
        <family val="0"/>
        <charset val="1"/>
      </rPr>
      <t xml:space="preserve">47-12</t>
    </r>
    <r>
      <rPr>
        <sz val="10"/>
        <color rgb="FF1F2A28"/>
        <rFont val="WenQuanYi Zen Hei"/>
        <family val="2"/>
      </rPr>
      <t xml:space="preserve">號</t>
    </r>
    <r>
      <rPr>
        <sz val="10"/>
        <color rgb="FF1F2A28"/>
        <rFont val="Arial"/>
        <family val="0"/>
        <charset val="1"/>
      </rPr>
      <t xml:space="preserve">2</t>
    </r>
    <r>
      <rPr>
        <sz val="10"/>
        <color rgb="FF1F2A28"/>
        <rFont val="WenQuanYi Zen Hei"/>
        <family val="2"/>
      </rPr>
      <t xml:space="preserve">樓</t>
    </r>
  </si>
  <si>
    <t xml:space="preserve">(082)335570</t>
  </si>
  <si>
    <t xml:space="preserve">canlybear@yahoo.com.tw</t>
  </si>
  <si>
    <t xml:space="preserve">王怡人</t>
  </si>
  <si>
    <t xml:space="preserve">金門縣私立雷米技藝文理短期補習班小布朗尼分班</t>
  </si>
  <si>
    <r>
      <rPr>
        <sz val="10"/>
        <color rgb="FF1F2A28"/>
        <rFont val="WenQuanYi Zen Hei"/>
        <family val="2"/>
      </rPr>
      <t xml:space="preserve">金門縣金城鎮民族路</t>
    </r>
    <r>
      <rPr>
        <sz val="10"/>
        <color rgb="FF1F2A28"/>
        <rFont val="Arial"/>
        <family val="0"/>
        <charset val="1"/>
      </rPr>
      <t xml:space="preserve">93</t>
    </r>
    <r>
      <rPr>
        <sz val="10"/>
        <color rgb="FF1F2A28"/>
        <rFont val="WenQuanYi Zen Hei"/>
        <family val="2"/>
      </rPr>
      <t xml:space="preserve">巷</t>
    </r>
    <r>
      <rPr>
        <sz val="10"/>
        <color rgb="FF1F2A28"/>
        <rFont val="Arial"/>
        <family val="0"/>
        <charset val="1"/>
      </rPr>
      <t xml:space="preserve">5</t>
    </r>
    <r>
      <rPr>
        <sz val="10"/>
        <color rgb="FF1F2A28"/>
        <rFont val="WenQuanYi Zen Hei"/>
        <family val="2"/>
      </rPr>
      <t xml:space="preserve">弄</t>
    </r>
    <r>
      <rPr>
        <sz val="10"/>
        <color rgb="FF1F2A28"/>
        <rFont val="Arial"/>
        <family val="0"/>
        <charset val="1"/>
      </rPr>
      <t xml:space="preserve">17</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</si>
  <si>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(082)321080</t>
  </si>
  <si>
    <t xml:space="preserve">quemoyja@gmail.com</t>
  </si>
  <si>
    <t xml:space="preserve">2018-06-19</t>
  </si>
  <si>
    <t xml:space="preserve">薛明璟</t>
  </si>
  <si>
    <t xml:space="preserve">金城鎮</t>
  </si>
  <si>
    <t xml:space="preserve">金門縣私立伯朗文理短期補習班</t>
  </si>
  <si>
    <r>
      <rPr>
        <sz val="10"/>
        <color rgb="FF1F2A28"/>
        <rFont val="WenQuanYi Zen Hei"/>
        <family val="2"/>
      </rPr>
      <t xml:space="preserve">金城鎮民族路</t>
    </r>
    <r>
      <rPr>
        <sz val="10"/>
        <color rgb="FF1F2A28"/>
        <rFont val="Arial"/>
        <family val="0"/>
        <charset val="1"/>
      </rPr>
      <t xml:space="preserve">162</t>
    </r>
    <r>
      <rPr>
        <sz val="10"/>
        <color rgb="FF1F2A28"/>
        <rFont val="WenQuanYi Zen Hei"/>
        <family val="2"/>
      </rPr>
      <t xml:space="preserve">巷</t>
    </r>
    <r>
      <rPr>
        <sz val="10"/>
        <color rgb="FF1F2A28"/>
        <rFont val="Arial"/>
        <family val="0"/>
        <charset val="1"/>
      </rPr>
      <t xml:space="preserve">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</si>
  <si>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(082)320118</t>
  </si>
  <si>
    <t xml:space="preserve">pocketly@yahoo.com</t>
  </si>
  <si>
    <t xml:space="preserve">黃菁蘭</t>
  </si>
  <si>
    <t xml:space="preserve">金門縣私立全音吉的堡美語教室文理短期補習班</t>
  </si>
  <si>
    <r>
      <rPr>
        <sz val="10"/>
        <color rgb="FF1F2A28"/>
        <rFont val="WenQuanYi Zen Hei"/>
        <family val="2"/>
      </rPr>
      <t xml:space="preserve">金城鎮珠浦西路</t>
    </r>
    <r>
      <rPr>
        <sz val="10"/>
        <color rgb="FF1F2A28"/>
        <rFont val="Arial"/>
        <family val="0"/>
        <charset val="1"/>
      </rPr>
      <t xml:space="preserve">22</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</si>
  <si>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(082)320533</t>
  </si>
  <si>
    <t xml:space="preserve">kmkidcastle@gmail.com</t>
  </si>
  <si>
    <t xml:space="preserve">許永和</t>
  </si>
  <si>
    <t xml:space="preserve">許征文</t>
  </si>
  <si>
    <t xml:space="preserve">金門縣私立長頸鹿語文文理短期補習班</t>
  </si>
  <si>
    <r>
      <rPr>
        <sz val="10"/>
        <color rgb="FF1F2A28"/>
        <rFont val="WenQuanYi Zen Hei"/>
        <family val="2"/>
      </rPr>
      <t xml:space="preserve">金城鎮珠浦西路</t>
    </r>
    <r>
      <rPr>
        <sz val="10"/>
        <color rgb="FF1F2A28"/>
        <rFont val="Arial"/>
        <family val="0"/>
        <charset val="1"/>
      </rPr>
      <t xml:space="preserve">6</t>
    </r>
    <r>
      <rPr>
        <sz val="10"/>
        <color rgb="FF1F2A28"/>
        <rFont val="WenQuanYi Zen Hei"/>
        <family val="2"/>
      </rPr>
      <t xml:space="preserve">巷</t>
    </r>
    <r>
      <rPr>
        <sz val="10"/>
        <color rgb="FF1F2A28"/>
        <rFont val="Arial"/>
        <family val="0"/>
        <charset val="1"/>
      </rPr>
      <t xml:space="preserve">3</t>
    </r>
    <r>
      <rPr>
        <sz val="10"/>
        <color rgb="FF1F2A28"/>
        <rFont val="WenQuanYi Zen Hei"/>
        <family val="2"/>
      </rPr>
      <t xml:space="preserve">弄</t>
    </r>
    <r>
      <rPr>
        <sz val="10"/>
        <color rgb="FF1F2A28"/>
        <rFont val="Arial"/>
        <family val="0"/>
        <charset val="1"/>
      </rPr>
      <t xml:space="preserve">6</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</si>
  <si>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(082)322199</t>
  </si>
  <si>
    <t xml:space="preserve">angel.0092wv@gmail.com</t>
  </si>
  <si>
    <t xml:space="preserve">陳河智</t>
  </si>
  <si>
    <t xml:space="preserve">吳玲容</t>
  </si>
  <si>
    <t xml:space="preserve">金門縣私立雷米技藝文理短期補習班</t>
  </si>
  <si>
    <r>
      <rPr>
        <sz val="10"/>
        <color rgb="FF1F2A28"/>
        <rFont val="WenQuanYi Zen Hei"/>
        <family val="2"/>
      </rPr>
      <t xml:space="preserve">金城鎮金城鎮富康一村</t>
    </r>
    <r>
      <rPr>
        <sz val="10"/>
        <color rgb="FF1F2A28"/>
        <rFont val="Arial"/>
        <family val="0"/>
        <charset val="1"/>
      </rPr>
      <t xml:space="preserve">1</t>
    </r>
    <r>
      <rPr>
        <sz val="10"/>
        <color rgb="FF1F2A28"/>
        <rFont val="WenQuanYi Zen Hei"/>
        <family val="2"/>
      </rPr>
      <t xml:space="preserve">巷</t>
    </r>
    <r>
      <rPr>
        <sz val="10"/>
        <color rgb="FF1F2A28"/>
        <rFont val="Arial"/>
        <family val="0"/>
        <charset val="1"/>
      </rPr>
      <t xml:space="preserve">6</t>
    </r>
    <r>
      <rPr>
        <sz val="10"/>
        <color rgb="FF1F2A28"/>
        <rFont val="WenQuanYi Zen Hei"/>
        <family val="2"/>
      </rPr>
      <t xml:space="preserve">號</t>
    </r>
  </si>
  <si>
    <t xml:space="preserve">(082)311285</t>
  </si>
  <si>
    <t xml:space="preserve">翟美玉</t>
  </si>
  <si>
    <t xml:space="preserve">金門縣私立頂尖文理短期補習班</t>
  </si>
  <si>
    <r>
      <rPr>
        <sz val="10"/>
        <color rgb="FF1F2A28"/>
        <rFont val="WenQuanYi Zen Hei"/>
        <family val="2"/>
      </rPr>
      <t xml:space="preserve">金城鎮民生路</t>
    </r>
    <r>
      <rPr>
        <sz val="10"/>
        <color rgb="FF1F2A28"/>
        <rFont val="Arial"/>
        <family val="0"/>
        <charset val="1"/>
      </rPr>
      <t xml:space="preserve">27</t>
    </r>
    <r>
      <rPr>
        <sz val="10"/>
        <color rgb="FF1F2A28"/>
        <rFont val="WenQuanYi Zen Hei"/>
        <family val="2"/>
      </rPr>
      <t xml:space="preserve">巷</t>
    </r>
    <r>
      <rPr>
        <sz val="10"/>
        <color rgb="FF1F2A28"/>
        <rFont val="Arial"/>
        <family val="0"/>
        <charset val="1"/>
      </rPr>
      <t xml:space="preserve">10</t>
    </r>
    <r>
      <rPr>
        <sz val="10"/>
        <color rgb="FF1F2A28"/>
        <rFont val="WenQuanYi Zen Hei"/>
        <family val="2"/>
      </rPr>
      <t xml:space="preserve">號</t>
    </r>
  </si>
  <si>
    <t xml:space="preserve">(082)320175</t>
  </si>
  <si>
    <t xml:space="preserve">hjuniorenglish@gmail.com</t>
  </si>
  <si>
    <t xml:space="preserve">2016-08-19</t>
  </si>
  <si>
    <t xml:space="preserve">許玲蕙</t>
  </si>
  <si>
    <t xml:space="preserve">許玲瓏</t>
  </si>
  <si>
    <t xml:space="preserve">金寧鄉</t>
  </si>
  <si>
    <t xml:space="preserve">金門縣私立獺知教育文理短期補習班</t>
  </si>
  <si>
    <r>
      <rPr>
        <sz val="10"/>
        <color rgb="FF1F2A28"/>
        <rFont val="WenQuanYi Zen Hei"/>
        <family val="2"/>
      </rPr>
      <t xml:space="preserve">金寧鄉湖埔村</t>
    </r>
    <r>
      <rPr>
        <sz val="10"/>
        <color rgb="FF1F2A28"/>
        <rFont val="Arial"/>
        <family val="0"/>
        <charset val="1"/>
      </rPr>
      <t xml:space="preserve">22</t>
    </r>
    <r>
      <rPr>
        <sz val="10"/>
        <color rgb="FF1F2A28"/>
        <rFont val="WenQuanYi Zen Hei"/>
        <family val="2"/>
      </rPr>
      <t xml:space="preserve">鄰埔邊</t>
    </r>
    <r>
      <rPr>
        <sz val="10"/>
        <color rgb="FF1F2A28"/>
        <rFont val="Arial"/>
        <family val="0"/>
        <charset val="1"/>
      </rPr>
      <t xml:space="preserve">35</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</si>
  <si>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(082)324465</t>
  </si>
  <si>
    <t xml:space="preserve">tops.edu.tw@gmail.com</t>
  </si>
  <si>
    <t xml:space="preserve">2022-06-14</t>
  </si>
  <si>
    <t xml:space="preserve">金門縣私立童學來了小學堂文理技藝短期補習班</t>
  </si>
  <si>
    <r>
      <rPr>
        <sz val="10"/>
        <color rgb="FF1F2A28"/>
        <rFont val="WenQuanYi Zen Hei"/>
        <family val="2"/>
      </rPr>
      <t xml:space="preserve">金寧鄉下堡</t>
    </r>
    <r>
      <rPr>
        <sz val="10"/>
        <color rgb="FF1F2A28"/>
        <rFont val="Arial"/>
        <family val="0"/>
        <charset val="1"/>
      </rPr>
      <t xml:space="preserve">149-9</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t>
    </r>
  </si>
  <si>
    <t xml:space="preserve">(0823)312867</t>
  </si>
  <si>
    <t xml:space="preserve">shiang201734@gmail.com</t>
  </si>
  <si>
    <t xml:space="preserve">2018-07-13</t>
  </si>
  <si>
    <t xml:space="preserve">廖湘羚</t>
  </si>
  <si>
    <t xml:space="preserve">金湖鎮市</t>
  </si>
  <si>
    <t xml:space="preserve">金門縣私立安佳美語教室文理短期補習班</t>
  </si>
  <si>
    <r>
      <rPr>
        <sz val="10"/>
        <color rgb="FF1F2A28"/>
        <rFont val="WenQuanYi Zen Hei"/>
        <family val="2"/>
      </rPr>
      <t xml:space="preserve">金湖鎮市港三路</t>
    </r>
    <r>
      <rPr>
        <sz val="10"/>
        <color rgb="FF1F2A28"/>
        <rFont val="Arial"/>
        <family val="0"/>
        <charset val="1"/>
      </rPr>
      <t xml:space="preserve">229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t>
    </r>
    <r>
      <rPr>
        <sz val="10"/>
        <color rgb="FF1F2A28"/>
        <rFont val="Arial"/>
        <family val="0"/>
        <charset val="1"/>
      </rPr>
      <t xml:space="preserve">2</t>
    </r>
    <r>
      <rPr>
        <sz val="10"/>
        <color rgb="FF1F2A28"/>
        <rFont val="WenQuanYi Zen Hei"/>
        <family val="2"/>
      </rPr>
      <t xml:space="preserve">樓</t>
    </r>
  </si>
  <si>
    <t xml:space="preserve">0919463710</t>
  </si>
  <si>
    <t xml:space="preserve">aplusenglish2022@gmail.com</t>
  </si>
  <si>
    <t xml:space="preserve">2022-01-07</t>
  </si>
  <si>
    <t xml:space="preserve">彭安沛</t>
  </si>
  <si>
    <t xml:space="preserve">彭俏綸</t>
  </si>
  <si>
    <t xml:space="preserve">金門縣私立英文勇士美語文理短期補習班</t>
  </si>
  <si>
    <r>
      <rPr>
        <sz val="10"/>
        <color rgb="FF1F2A28"/>
        <rFont val="WenQuanYi Zen Hei"/>
        <family val="2"/>
      </rPr>
      <t xml:space="preserve">金湖鎮市港路</t>
    </r>
    <r>
      <rPr>
        <sz val="10"/>
        <color rgb="FF1F2A28"/>
        <rFont val="Arial"/>
        <family val="0"/>
        <charset val="1"/>
      </rPr>
      <t xml:space="preserve">162</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</si>
  <si>
    <t xml:space="preserve">0975791985</t>
  </si>
  <si>
    <t xml:space="preserve">charizlife8515927@gmail.com</t>
  </si>
  <si>
    <t xml:space="preserve">2021-08-23</t>
  </si>
  <si>
    <t xml:space="preserve">謝賢傑</t>
  </si>
  <si>
    <t xml:space="preserve">王彩妮</t>
  </si>
  <si>
    <t xml:space="preserve">金湖鎮新市</t>
  </si>
  <si>
    <t xml:space="preserve">金門縣私立伊倫語文文理短期補習班</t>
  </si>
  <si>
    <r>
      <rPr>
        <sz val="10"/>
        <color rgb="FF1F2A28"/>
        <rFont val="WenQuanYi Zen Hei"/>
        <family val="2"/>
      </rPr>
      <t xml:space="preserve">金湖鎮新市里武德新莊自強路</t>
    </r>
    <r>
      <rPr>
        <sz val="10"/>
        <color rgb="FF1F2A28"/>
        <rFont val="Arial"/>
        <family val="0"/>
        <charset val="1"/>
      </rPr>
      <t xml:space="preserve">21</t>
    </r>
    <r>
      <rPr>
        <sz val="10"/>
        <color rgb="FF1F2A28"/>
        <rFont val="WenQuanYi Zen Hei"/>
        <family val="2"/>
      </rPr>
      <t xml:space="preserve">號</t>
    </r>
    <r>
      <rPr>
        <sz val="10"/>
        <color rgb="FF1F2A28"/>
        <rFont val="Arial"/>
        <family val="0"/>
        <charset val="1"/>
      </rPr>
      <t xml:space="preserve">3</t>
    </r>
    <r>
      <rPr>
        <sz val="10"/>
        <color rgb="FF1F2A28"/>
        <rFont val="WenQuanYi Zen Hei"/>
        <family val="2"/>
      </rPr>
      <t xml:space="preserve">樓之</t>
    </r>
    <r>
      <rPr>
        <sz val="10"/>
        <color rgb="FF1F2A28"/>
        <rFont val="Arial"/>
        <family val="0"/>
        <charset val="1"/>
      </rPr>
      <t xml:space="preserve">1</t>
    </r>
    <r>
      <rPr>
        <sz val="10"/>
        <color rgb="FF1F2A28"/>
        <rFont val="WenQuanYi Zen Hei"/>
        <family val="2"/>
      </rPr>
      <t xml:space="preserve">及之</t>
    </r>
    <r>
      <rPr>
        <sz val="10"/>
        <color rgb="FF1F2A28"/>
        <rFont val="Arial"/>
        <family val="0"/>
        <charset val="1"/>
      </rPr>
      <t xml:space="preserve">2</t>
    </r>
  </si>
  <si>
    <t xml:space="preserve">(082)333172</t>
  </si>
  <si>
    <t xml:space="preserve">springsea613@yahoo.com.tw</t>
  </si>
  <si>
    <t xml:space="preserve">許珮甄</t>
  </si>
  <si>
    <t xml:space="preserve">蘇怡君</t>
  </si>
  <si>
    <t xml:space="preserve">金門縣私立金隼文理短期補習班</t>
  </si>
  <si>
    <r>
      <rPr>
        <sz val="10"/>
        <color rgb="FF1F2A28"/>
        <rFont val="WenQuanYi Zen Hei"/>
        <family val="2"/>
      </rPr>
      <t xml:space="preserve">金湖鎮新市里復興路</t>
    </r>
    <r>
      <rPr>
        <sz val="10"/>
        <color rgb="FF1F2A28"/>
        <rFont val="Arial"/>
        <family val="0"/>
        <charset val="1"/>
      </rPr>
      <t xml:space="preserve">99</t>
    </r>
    <r>
      <rPr>
        <sz val="10"/>
        <color rgb="FF1F2A28"/>
        <rFont val="WenQuanYi Zen Hei"/>
        <family val="2"/>
      </rPr>
      <t xml:space="preserve">號</t>
    </r>
    <r>
      <rPr>
        <sz val="10"/>
        <color rgb="FF1F2A28"/>
        <rFont val="Arial"/>
        <family val="0"/>
        <charset val="1"/>
      </rPr>
      <t xml:space="preserve">1</t>
    </r>
    <r>
      <rPr>
        <sz val="10"/>
        <color rgb="FF1F2A28"/>
        <rFont val="WenQuanYi Zen Hei"/>
        <family val="2"/>
      </rPr>
      <t xml:space="preserve">樓、</t>
    </r>
    <r>
      <rPr>
        <sz val="10"/>
        <color rgb="FF1F2A28"/>
        <rFont val="Arial"/>
        <family val="0"/>
        <charset val="1"/>
      </rPr>
      <t xml:space="preserve">2</t>
    </r>
    <r>
      <rPr>
        <sz val="10"/>
        <color rgb="FF1F2A28"/>
        <rFont val="WenQuanYi Zen Hei"/>
        <family val="2"/>
      </rPr>
      <t xml:space="preserve">樓</t>
    </r>
  </si>
  <si>
    <t xml:space="preserve">0921588177</t>
  </si>
  <si>
    <t xml:space="preserve">shir520@hotmail.com</t>
  </si>
  <si>
    <t xml:space="preserve">王雯萱</t>
  </si>
  <si>
    <t xml:space="preserve">洪心怡</t>
  </si>
  <si>
    <t xml:space="preserve">連江縣</t>
  </si>
  <si>
    <t xml:space="preserve">南竿鄉</t>
  </si>
  <si>
    <t xml:space="preserve">連江縣私立花旗文理短期補習班</t>
  </si>
  <si>
    <r>
      <rPr>
        <sz val="10"/>
        <color rgb="FF1F2A28"/>
        <rFont val="WenQuanYi Zen Hei"/>
        <family val="2"/>
      </rPr>
      <t xml:space="preserve">南竿鄉介壽村</t>
    </r>
    <r>
      <rPr>
        <sz val="10"/>
        <color rgb="FF1F2A28"/>
        <rFont val="Arial"/>
        <family val="0"/>
        <charset val="1"/>
      </rPr>
      <t xml:space="preserve">56</t>
    </r>
    <r>
      <rPr>
        <sz val="10"/>
        <color rgb="FF1F2A28"/>
        <rFont val="WenQuanYi Zen Hei"/>
        <family val="2"/>
      </rPr>
      <t xml:space="preserve">號</t>
    </r>
  </si>
  <si>
    <t xml:space="preserve">(0836)22906</t>
  </si>
  <si>
    <t xml:space="preserve">karen_chen1977@yahoo.com.tw</t>
  </si>
  <si>
    <t xml:space="preserve">2019-05-08</t>
  </si>
  <si>
    <t xml:space="preserve">陳曉雯</t>
  </si>
  <si>
    <t xml:space="preserve">連江縣私立釩星文理短期補習班</t>
  </si>
  <si>
    <r>
      <rPr>
        <sz val="10"/>
        <color rgb="FF1F2A28"/>
        <rFont val="WenQuanYi Zen Hei"/>
        <family val="2"/>
      </rPr>
      <t xml:space="preserve">南竿鄉介壽村</t>
    </r>
    <r>
      <rPr>
        <sz val="10"/>
        <color rgb="FF1F2A28"/>
        <rFont val="Arial"/>
        <family val="0"/>
        <charset val="1"/>
      </rPr>
      <t xml:space="preserve">205</t>
    </r>
    <r>
      <rPr>
        <sz val="10"/>
        <color rgb="FF1F2A28"/>
        <rFont val="WenQuanYi Zen Hei"/>
        <family val="2"/>
      </rPr>
      <t xml:space="preserve">號</t>
    </r>
    <r>
      <rPr>
        <sz val="10"/>
        <color rgb="FF1F2A28"/>
        <rFont val="Arial"/>
        <family val="0"/>
        <charset val="1"/>
      </rPr>
      <t xml:space="preserve">5</t>
    </r>
    <r>
      <rPr>
        <sz val="10"/>
        <color rgb="FF1F2A28"/>
        <rFont val="WenQuanYi Zen Hei"/>
        <family val="2"/>
      </rPr>
      <t xml:space="preserve">樓</t>
    </r>
  </si>
  <si>
    <t xml:space="preserve">(0836)22205</t>
  </si>
  <si>
    <t xml:space="preserve">nickchen0316@gmail.com</t>
  </si>
  <si>
    <t xml:space="preserve">2021-06-25</t>
  </si>
  <si>
    <t xml:space="preserve">陳冠宇</t>
  </si>
  <si>
    <t xml:space="preserve">毛穎悌</t>
  </si>
  <si>
    <t xml:space="preserve">所有數字皆為公式，改動名錄分頁會自動重算。</t>
  </si>
  <si>
    <r>
      <rPr>
        <b val="true"/>
        <sz val="12"/>
        <color rgb="FF0B5C50"/>
        <rFont val="WenQuanYi Zen Hei"/>
        <family val="2"/>
      </rPr>
      <t xml:space="preserve">楊梅 </t>
    </r>
    <r>
      <rPr>
        <b val="true"/>
        <sz val="12"/>
        <color rgb="FF0B5C50"/>
        <rFont val="Arial"/>
        <family val="0"/>
        <charset val="1"/>
      </rPr>
      <t xml:space="preserve">20 </t>
    </r>
    <r>
      <rPr>
        <b val="true"/>
        <sz val="12"/>
        <color rgb="FF0B5C50"/>
        <rFont val="WenQuanYi Zen Hei"/>
        <family val="2"/>
      </rPr>
      <t xml:space="preserve">公里圈 — 整體</t>
    </r>
  </si>
  <si>
    <t xml:space="preserve">家數</t>
  </si>
  <si>
    <t xml:space="preserve">有立案資料</t>
  </si>
  <si>
    <r>
      <rPr>
        <b val="true"/>
        <sz val="10"/>
        <color rgb="FFFFFFFF"/>
        <rFont val="WenQuanYi Zen Hei"/>
        <family val="2"/>
      </rPr>
      <t xml:space="preserve">有 </t>
    </r>
    <r>
      <rPr>
        <b val="true"/>
        <sz val="10"/>
        <color rgb="FFFFFFFF"/>
        <rFont val="Arial"/>
        <family val="0"/>
        <charset val="1"/>
      </rPr>
      <t xml:space="preserve">Email</t>
    </r>
  </si>
  <si>
    <t xml:space="preserve">教室數中位數</t>
  </si>
  <si>
    <r>
      <rPr>
        <b val="true"/>
        <sz val="10"/>
        <color rgb="FFFFFFFF"/>
        <rFont val="WenQuanYi Zen Hei"/>
        <family val="2"/>
      </rPr>
      <t xml:space="preserve">班舍面積中位數</t>
    </r>
    <r>
      <rPr>
        <b val="true"/>
        <sz val="10"/>
        <color rgb="FFFFFFFF"/>
        <rFont val="Arial"/>
        <family val="0"/>
        <charset val="1"/>
      </rPr>
      <t xml:space="preserve">(</t>
    </r>
    <r>
      <rPr>
        <b val="true"/>
        <sz val="10"/>
        <color rgb="FFFFFFFF"/>
        <rFont val="WenQuanYi Zen Hei"/>
        <family val="2"/>
      </rPr>
      <t xml:space="preserve">㎡</t>
    </r>
    <r>
      <rPr>
        <b val="true"/>
        <sz val="10"/>
        <color rgb="FFFFFFFF"/>
        <rFont val="Arial"/>
        <family val="0"/>
        <charset val="1"/>
      </rPr>
      <t xml:space="preserve">)</t>
    </r>
  </si>
  <si>
    <r>
      <rPr>
        <b val="true"/>
        <sz val="10"/>
        <color rgb="FFFFFFFF"/>
        <rFont val="WenQuanYi Zen Hei"/>
        <family val="2"/>
      </rPr>
      <t xml:space="preserve">師資中位數</t>
    </r>
    <r>
      <rPr>
        <b val="true"/>
        <sz val="10"/>
        <color rgb="FFFFFFFF"/>
        <rFont val="Arial"/>
        <family val="0"/>
        <charset val="1"/>
      </rPr>
      <t xml:space="preserve">(</t>
    </r>
    <r>
      <rPr>
        <b val="true"/>
        <sz val="10"/>
        <color rgb="FFFFFFFF"/>
        <rFont val="WenQuanYi Zen Hei"/>
        <family val="2"/>
      </rPr>
      <t xml:space="preserve">人</t>
    </r>
    <r>
      <rPr>
        <b val="true"/>
        <sz val="10"/>
        <color rgb="FFFFFFFF"/>
        <rFont val="Arial"/>
        <family val="0"/>
        <charset val="1"/>
      </rPr>
      <t xml:space="preserve">)</t>
    </r>
  </si>
  <si>
    <r>
      <rPr>
        <b val="true"/>
        <sz val="10"/>
        <color rgb="FFFFFFFF"/>
        <rFont val="WenQuanYi Zen Hei"/>
        <family val="2"/>
      </rPr>
      <t xml:space="preserve">平均班舍面積</t>
    </r>
    <r>
      <rPr>
        <b val="true"/>
        <sz val="10"/>
        <color rgb="FFFFFFFF"/>
        <rFont val="Arial"/>
        <family val="0"/>
        <charset val="1"/>
      </rPr>
      <t xml:space="preserve">(</t>
    </r>
    <r>
      <rPr>
        <b val="true"/>
        <sz val="10"/>
        <color rgb="FFFFFFFF"/>
        <rFont val="WenQuanYi Zen Hei"/>
        <family val="2"/>
      </rPr>
      <t xml:space="preserve">㎡</t>
    </r>
    <r>
      <rPr>
        <b val="true"/>
        <sz val="10"/>
        <color rgb="FFFFFFFF"/>
        <rFont val="Arial"/>
        <family val="0"/>
        <charset val="1"/>
      </rPr>
      <t xml:space="preserve">)</t>
    </r>
  </si>
  <si>
    <t xml:space="preserve">全部</t>
  </si>
  <si>
    <r>
      <rPr>
        <b val="true"/>
        <sz val="12"/>
        <color rgb="FF0B5C50"/>
        <rFont val="WenQuanYi Zen Hei"/>
        <family val="2"/>
      </rPr>
      <t xml:space="preserve">楊梅 </t>
    </r>
    <r>
      <rPr>
        <b val="true"/>
        <sz val="12"/>
        <color rgb="FF0B5C50"/>
        <rFont val="Arial"/>
        <family val="0"/>
        <charset val="1"/>
      </rPr>
      <t xml:space="preserve">20 </t>
    </r>
    <r>
      <rPr>
        <b val="true"/>
        <sz val="12"/>
        <color rgb="FF0B5C50"/>
        <rFont val="WenQuanYi Zen Hei"/>
        <family val="2"/>
      </rPr>
      <t xml:space="preserve">公里圈 — 依距離級距</t>
    </r>
  </si>
  <si>
    <t xml:space="preserve">平均教室數</t>
  </si>
  <si>
    <r>
      <rPr>
        <b val="true"/>
        <sz val="10"/>
        <color rgb="FFFFFFFF"/>
        <rFont val="WenQuanYi Zen Hei"/>
        <family val="2"/>
      </rPr>
      <t xml:space="preserve">平均師資</t>
    </r>
    <r>
      <rPr>
        <b val="true"/>
        <sz val="10"/>
        <color rgb="FFFFFFFF"/>
        <rFont val="Arial"/>
        <family val="0"/>
        <charset val="1"/>
      </rPr>
      <t xml:space="preserve">(</t>
    </r>
    <r>
      <rPr>
        <b val="true"/>
        <sz val="10"/>
        <color rgb="FFFFFFFF"/>
        <rFont val="WenQuanYi Zen Hei"/>
        <family val="2"/>
      </rPr>
      <t xml:space="preserve">人</t>
    </r>
    <r>
      <rPr>
        <b val="true"/>
        <sz val="10"/>
        <color rgb="FFFFFFFF"/>
        <rFont val="Arial"/>
        <family val="0"/>
        <charset val="1"/>
      </rPr>
      <t xml:space="preserve">)</t>
    </r>
  </si>
  <si>
    <r>
      <rPr>
        <b val="true"/>
        <sz val="12"/>
        <color rgb="FF0B5C50"/>
        <rFont val="WenQuanYi Zen Hei"/>
        <family val="2"/>
      </rPr>
      <t xml:space="preserve">楊梅 </t>
    </r>
    <r>
      <rPr>
        <b val="true"/>
        <sz val="12"/>
        <color rgb="FF0B5C50"/>
        <rFont val="Arial"/>
        <family val="0"/>
        <charset val="1"/>
      </rPr>
      <t xml:space="preserve">20 </t>
    </r>
    <r>
      <rPr>
        <b val="true"/>
        <sz val="12"/>
        <color rgb="FF0B5C50"/>
        <rFont val="WenQuanYi Zen Hei"/>
        <family val="2"/>
      </rPr>
      <t xml:space="preserve">公里圈 — 依規模分級</t>
    </r>
  </si>
  <si>
    <t xml:space="preserve">平均核准班級數</t>
  </si>
  <si>
    <t xml:space="preserve">平均評分</t>
  </si>
  <si>
    <t xml:space="preserve">占比</t>
  </si>
  <si>
    <r>
      <rPr>
        <b val="true"/>
        <sz val="12"/>
        <color rgb="FF0B5C50"/>
        <rFont val="WenQuanYi Zen Hei"/>
        <family val="2"/>
      </rPr>
      <t xml:space="preserve">楊梅 </t>
    </r>
    <r>
      <rPr>
        <b val="true"/>
        <sz val="12"/>
        <color rgb="FF0B5C50"/>
        <rFont val="Arial"/>
        <family val="0"/>
        <charset val="1"/>
      </rPr>
      <t xml:space="preserve">20 </t>
    </r>
    <r>
      <rPr>
        <b val="true"/>
        <sz val="12"/>
        <color rgb="FF0B5C50"/>
        <rFont val="WenQuanYi Zen Hei"/>
        <family val="2"/>
      </rPr>
      <t xml:space="preserve">公里圈 — 依行政區</t>
    </r>
  </si>
  <si>
    <t xml:space="preserve">全台英文補習班 — 依縣市</t>
  </si>
  <si>
    <t xml:space="preserve">合計</t>
  </si>
  <si>
    <t xml:space="preserve">註：平均值只計有數據者；未對上立案資料的補習班不列入教室／面積／師資的平均。</t>
  </si>
  <si>
    <t xml:space="preserve">名稱</t>
  </si>
  <si>
    <r>
      <rPr>
        <i val="true"/>
        <sz val="9"/>
        <color rgb="FF7D8A84"/>
        <rFont val="Arial"/>
        <family val="0"/>
        <charset val="1"/>
      </rPr>
      <t xml:space="preserve">Google </t>
    </r>
    <r>
      <rPr>
        <i val="true"/>
        <sz val="9"/>
        <color rgb="FF7D8A84"/>
        <rFont val="WenQuanYi Zen Hei"/>
        <family val="2"/>
      </rPr>
      <t xml:space="preserve">找得到、但對不上教育部立案資料者。多為登記在「兒童課後照顧服務中心」名下（另一套系統），或 </t>
    </r>
    <r>
      <rPr>
        <i val="true"/>
        <sz val="9"/>
        <color rgb="FF7D8A84"/>
        <rFont val="Arial"/>
        <family val="0"/>
        <charset val="1"/>
      </rPr>
      <t xml:space="preserve">Google </t>
    </r>
    <r>
      <rPr>
        <i val="true"/>
        <sz val="9"/>
        <color rgb="FF7D8A84"/>
        <rFont val="WenQuanYi Zen Hei"/>
        <family val="2"/>
      </rPr>
      <t xml:space="preserve">地址與立案地址不一致。要確認立案狀態請到 </t>
    </r>
    <r>
      <rPr>
        <i val="true"/>
        <sz val="9"/>
        <color rgb="FF7D8A84"/>
        <rFont val="Arial"/>
        <family val="0"/>
        <charset val="1"/>
      </rPr>
      <t xml:space="preserve">https://bsb.kh.edu.tw/ </t>
    </r>
    <r>
      <rPr>
        <i val="true"/>
        <sz val="9"/>
        <color rgb="FF7D8A84"/>
        <rFont val="WenQuanYi Zen Hei"/>
        <family val="2"/>
      </rPr>
      <t xml:space="preserve">以名稱或地址查詢。</t>
    </r>
  </si>
</sst>
</file>

<file path=xl/styles.xml><?xml version="1.0" encoding="utf-8"?>
<styleSheet xmlns="http://schemas.openxmlformats.org/spreadsheetml/2006/main">
  <numFmts count="8">
    <numFmt numFmtId="164" formatCode="General"/>
    <numFmt numFmtId="165" formatCode="0.00"/>
    <numFmt numFmtId="166" formatCode="0.0"/>
    <numFmt numFmtId="167" formatCode="#,##0"/>
    <numFmt numFmtId="168" formatCode="#,##0.0"/>
    <numFmt numFmtId="169" formatCode="0.000000"/>
    <numFmt numFmtId="170" formatCode="#,##0.#"/>
    <numFmt numFmtId="171" formatCode="0.0%"/>
  </numFmts>
  <fonts count="25">
    <font>
      <sz val="11"/>
      <color theme="1"/>
      <name val="Calibri"/>
      <family val="2"/>
      <charset val="1"/>
    </font>
    <font>
      <sz val="10"/>
      <name val="Arial"/>
      <family val="0"/>
    </font>
    <font>
      <sz val="10"/>
      <name val="Arial"/>
      <family val="0"/>
    </font>
    <font>
      <sz val="10"/>
      <name val="Arial"/>
      <family val="0"/>
    </font>
    <font>
      <b val="true"/>
      <sz val="18"/>
      <color rgb="FF0B5C50"/>
      <name val="WenQuanYi Zen Hei"/>
      <family val="2"/>
    </font>
    <font>
      <sz val="11"/>
      <color rgb="FF55625D"/>
      <name val="WenQuanYi Zen Hei"/>
      <family val="2"/>
    </font>
    <font>
      <sz val="11"/>
      <color rgb="FF55625D"/>
      <name val="Arial"/>
      <family val="0"/>
      <charset val="1"/>
    </font>
    <font>
      <b val="true"/>
      <sz val="10"/>
      <color rgb="FF1F2A28"/>
      <name val="WenQuanYi Zen Hei"/>
      <family val="2"/>
    </font>
    <font>
      <sz val="10"/>
      <color rgb="FF1F2A28"/>
      <name val="Arial"/>
      <family val="0"/>
      <charset val="1"/>
    </font>
    <font>
      <sz val="10"/>
      <color rgb="FF1F2A28"/>
      <name val="WenQuanYi Zen Hei"/>
      <family val="2"/>
    </font>
    <font>
      <b val="true"/>
      <sz val="12"/>
      <color rgb="FF0B5C50"/>
      <name val="WenQuanYi Zen Hei"/>
      <family val="2"/>
    </font>
    <font>
      <b val="true"/>
      <sz val="10"/>
      <color rgb="FF1F2A28"/>
      <name val="Arial"/>
      <family val="0"/>
      <charset val="1"/>
    </font>
    <font>
      <b val="true"/>
      <sz val="12"/>
      <color rgb="FF8A5A12"/>
      <name val="Arial"/>
      <family val="0"/>
      <charset val="1"/>
    </font>
    <font>
      <b val="true"/>
      <sz val="12"/>
      <color rgb="FF8A5A12"/>
      <name val="WenQuanYi Zen Hei"/>
      <family val="2"/>
    </font>
    <font>
      <b val="true"/>
      <sz val="10"/>
      <color rgb="FFFFFFFF"/>
      <name val="WenQuanYi Zen Hei"/>
      <family val="2"/>
    </font>
    <font>
      <b val="true"/>
      <sz val="10"/>
      <color rgb="FFFFFFFF"/>
      <name val="Arial"/>
      <family val="0"/>
      <charset val="1"/>
    </font>
    <font>
      <b val="true"/>
      <sz val="10"/>
      <color rgb="FF1F5F7A"/>
      <name val="WenQuanYi Zen Hei"/>
      <family val="2"/>
    </font>
    <font>
      <u val="single"/>
      <sz val="10"/>
      <color rgb="FF0B5C50"/>
      <name val="WenQuanYi Zen Hei"/>
      <family val="2"/>
    </font>
    <font>
      <b val="true"/>
      <sz val="10"/>
      <color rgb="FF6B736E"/>
      <name val="WenQuanYi Zen Hei"/>
      <family val="2"/>
    </font>
    <font>
      <b val="true"/>
      <sz val="10"/>
      <color rgb="FF8A4B12"/>
      <name val="WenQuanYi Zen Hei"/>
      <family val="2"/>
    </font>
    <font>
      <b val="true"/>
      <sz val="16"/>
      <color rgb="FF0B5C50"/>
      <name val="WenQuanYi Zen Hei"/>
      <family val="2"/>
    </font>
    <font>
      <sz val="10"/>
      <color rgb="FF55625D"/>
      <name val="WenQuanYi Zen Hei"/>
      <family val="2"/>
    </font>
    <font>
      <b val="true"/>
      <sz val="12"/>
      <color rgb="FF0B5C50"/>
      <name val="Arial"/>
      <family val="0"/>
      <charset val="1"/>
    </font>
    <font>
      <i val="true"/>
      <sz val="9"/>
      <color rgb="FF7D8A84"/>
      <name val="WenQuanYi Zen Hei"/>
      <family val="2"/>
    </font>
    <font>
      <i val="true"/>
      <sz val="9"/>
      <color rgb="FF7D8A84"/>
      <name val="Arial"/>
      <family val="0"/>
      <charset val="1"/>
    </font>
  </fonts>
  <fills count="9">
    <fill>
      <patternFill patternType="none"/>
    </fill>
    <fill>
      <patternFill patternType="gray125"/>
    </fill>
    <fill>
      <patternFill patternType="solid">
        <fgColor rgb="FF0B5C50"/>
        <bgColor rgb="FF1F5F7A"/>
      </patternFill>
    </fill>
    <fill>
      <patternFill patternType="solid">
        <fgColor rgb="FFD6E7E0"/>
        <bgColor rgb="FFD7DCD4"/>
      </patternFill>
    </fill>
    <fill>
      <patternFill patternType="solid">
        <fgColor rgb="FFE4EFE9"/>
        <bgColor rgb="FFEFF3EE"/>
      </patternFill>
    </fill>
    <fill>
      <patternFill patternType="solid">
        <fgColor rgb="FFEFF3EE"/>
        <bgColor rgb="FFF7F8F6"/>
      </patternFill>
    </fill>
    <fill>
      <patternFill patternType="solid">
        <fgColor rgb="FFF7F8F6"/>
        <bgColor rgb="FFEFF3EE"/>
      </patternFill>
    </fill>
    <fill>
      <patternFill patternType="solid">
        <fgColor rgb="FF1F5F7A"/>
        <bgColor rgb="FF0B5C50"/>
      </patternFill>
    </fill>
    <fill>
      <patternFill patternType="solid">
        <fgColor rgb="FF8A5A12"/>
        <bgColor rgb="FF8A4B12"/>
      </patternFill>
    </fill>
  </fills>
  <borders count="2">
    <border diagonalUp="false" diagonalDown="false">
      <left/>
      <right/>
      <top/>
      <bottom/>
      <diagonal/>
    </border>
    <border diagonalUp="false" diagonalDown="false">
      <left/>
      <right/>
      <top/>
      <bottom style="thin">
        <color rgb="FFD7DC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center" vertical="center" textRotation="0" wrapText="true" indent="0" shrinkToFit="false"/>
      <protection locked="true" hidden="false"/>
    </xf>
    <xf numFmtId="164" fontId="15" fillId="2" borderId="0" xfId="0" applyFont="true" applyBorder="fals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center"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8" fillId="6" borderId="1"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false" applyAlignment="true" applyProtection="false">
      <alignment horizontal="center" vertical="center" textRotation="0" wrapText="true" indent="0" shrinkToFit="false"/>
      <protection locked="true" hidden="false"/>
    </xf>
    <xf numFmtId="164" fontId="15" fillId="7" borderId="0" xfId="0" applyFont="true" applyBorder="false" applyAlignment="true" applyProtection="false">
      <alignment horizontal="center" vertical="center"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5" fillId="2" borderId="0" xfId="0" applyFont="true" applyBorder="false" applyAlignment="true" applyProtection="false">
      <alignment horizontal="center" vertical="bottom" textRotation="0" wrapText="true" indent="0" shrinkToFit="false"/>
      <protection locked="true" hidden="false"/>
    </xf>
    <xf numFmtId="164" fontId="14" fillId="2" borderId="0" xfId="0" applyFont="true" applyBorder="false" applyAlignment="true" applyProtection="false">
      <alignment horizontal="center" vertical="bottom" textRotation="0" wrapText="tru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tru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14" fillId="8" borderId="0" xfId="0" applyFont="true" applyBorder="false" applyAlignment="true" applyProtection="false">
      <alignment horizontal="center" vertical="center" textRotation="0" wrapText="true" indent="0" shrinkToFit="false"/>
      <protection locked="true" hidden="false"/>
    </xf>
    <xf numFmtId="164" fontId="15" fillId="8" borderId="0" xfId="0" applyFont="true" applyBorder="false" applyAlignment="true" applyProtection="false">
      <alignment horizontal="center" vertical="center"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0B5C50"/>
          <bgColor rgb="FF000000"/>
        </patternFill>
      </fill>
    </dxf>
    <dxf>
      <fill>
        <patternFill patternType="solid">
          <fgColor rgb="FFD6E7E0"/>
          <bgColor rgb="FF000000"/>
        </patternFill>
      </fill>
    </dxf>
    <dxf>
      <fill>
        <patternFill patternType="solid">
          <fgColor rgb="FFE4EFE9"/>
          <bgColor rgb="FF000000"/>
        </patternFill>
      </fill>
    </dxf>
    <dxf>
      <fill>
        <patternFill patternType="solid">
          <fgColor rgb="FFEFF3EE"/>
          <bgColor rgb="FF000000"/>
        </patternFill>
      </fill>
    </dxf>
    <dxf>
      <fill>
        <patternFill patternType="solid">
          <fgColor rgb="FFF7F8F6"/>
          <bgColor rgb="FF000000"/>
        </patternFill>
      </fill>
    </dxf>
    <dxf>
      <fill>
        <patternFill patternType="solid">
          <fgColor rgb="FF1F2A28"/>
          <bgColor rgb="FF000000"/>
        </patternFill>
      </fill>
    </dxf>
    <dxf>
      <fill>
        <patternFill patternType="solid">
          <fgColor rgb="FFFFFFFF"/>
          <bgColor rgb="FF000000"/>
        </patternFill>
      </fill>
    </dxf>
    <dxf>
      <fill>
        <patternFill patternType="solid">
          <bgColor rgb="FF000000"/>
        </patternFill>
      </fill>
    </dxf>
    <dxf>
      <fill>
        <patternFill patternType="solid">
          <fgColor rgb="FF1F5F7A"/>
          <bgColor rgb="FF000000"/>
        </patternFill>
      </fill>
    </dxf>
    <dxf>
      <fill>
        <patternFill patternType="solid">
          <fgColor rgb="FF6B736E"/>
          <bgColor rgb="FF000000"/>
        </patternFill>
      </fill>
    </dxf>
    <dxf>
      <fill>
        <patternFill patternType="solid">
          <fgColor rgb="FF8A4B12"/>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5A12"/>
      <rgbColor rgb="FF800080"/>
      <rgbColor rgb="FF1F5F7A"/>
      <rgbColor rgb="FFC0C0C0"/>
      <rgbColor rgb="FF7D8A84"/>
      <rgbColor rgb="FF9999FF"/>
      <rgbColor rgb="FF993366"/>
      <rgbColor rgb="FFF7F8F6"/>
      <rgbColor rgb="FFE4EFE9"/>
      <rgbColor rgb="FF660066"/>
      <rgbColor rgb="FFFF8080"/>
      <rgbColor rgb="FF0066CC"/>
      <rgbColor rgb="FFD7DCD4"/>
      <rgbColor rgb="FF000080"/>
      <rgbColor rgb="FFFF00FF"/>
      <rgbColor rgb="FFFFFF00"/>
      <rgbColor rgb="FF00FFFF"/>
      <rgbColor rgb="FF800080"/>
      <rgbColor rgb="FF800000"/>
      <rgbColor rgb="FF0B5C50"/>
      <rgbColor rgb="FF0000FF"/>
      <rgbColor rgb="FF00CCFF"/>
      <rgbColor rgb="FFEFF3EE"/>
      <rgbColor rgb="FFD6E7E0"/>
      <rgbColor rgb="FFFFFF99"/>
      <rgbColor rgb="FF99CCFF"/>
      <rgbColor rgb="FFFF99CC"/>
      <rgbColor rgb="FFCC99FF"/>
      <rgbColor rgb="FFFFCC99"/>
      <rgbColor rgb="FF3366FF"/>
      <rgbColor rgb="FF33CCCC"/>
      <rgbColor rgb="FF99CC00"/>
      <rgbColor rgb="FFFFCC00"/>
      <rgbColor rgb="FFFF9900"/>
      <rgbColor rgb="FFFF6600"/>
      <rgbColor rgb="FF6B736E"/>
      <rgbColor rgb="FF969696"/>
      <rgbColor rgb="FF003366"/>
      <rgbColor rgb="FF339966"/>
      <rgbColor rgb="FF003300"/>
      <rgbColor rgb="FF333300"/>
      <rgbColor rgb="FF8A4B12"/>
      <rgbColor rgb="FF993366"/>
      <rgbColor rgb="FF55625D"/>
      <rgbColor rgb="FF1F2A2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全台名錄" displayName="全台名錄" ref="A1:U4686" headerRowCount="1" totalsRowCount="0" totalsRowShown="0">
  <autoFilter ref="A1:U4686"/>
  <tableColumns count="21">
    <tableColumn id="1" name="縣市"/>
    <tableColumn id="2" name="行政區"/>
    <tableColumn id="3" name="立案名稱"/>
    <tableColumn id="4" name="地址"/>
    <tableColumn id="5" name="電話"/>
    <tableColumn id="6" name="Email"/>
    <tableColumn id="7" name="規模"/>
    <tableColumn id="8" name="教室數"/>
    <tableColumn id="9" name="教室面積(㎡)"/>
    <tableColumn id="10" name="班舍總面積(㎡)"/>
    <tableColumn id="11" name="核准班級數"/>
    <tableColumn id="12" name="登記師資(人)"/>
    <tableColumn id="13" name="核定容量(人)"/>
    <tableColumn id="14" name="英文科核定(人)"/>
    <tableColumn id="15" name="英文相關核准科目"/>
    <tableColumn id="16" name="立案類別"/>
    <tableColumn id="17" name="立案情形"/>
    <tableColumn id="18" name="立案日期"/>
    <tableColumn id="19" name="負責人"/>
    <tableColumn id="20" name="班主任"/>
    <tableColumn id="21" name="立案頁"/>
  </tableColumns>
</table>
</file>

<file path=xl/tables/table2.xml><?xml version="1.0" encoding="utf-8"?>
<table xmlns="http://schemas.openxmlformats.org/spreadsheetml/2006/main" id="2" name="楊梅名錄" displayName="楊梅名錄" ref="A1:AC160" headerRowCount="1" totalsRowCount="0" totalsRowShown="0">
  <autoFilter ref="A1:AC160"/>
  <tableColumns count="29">
    <tableColumn id="1" name="距離級距"/>
    <tableColumn id="2" name="距離(km)"/>
    <tableColumn id="3" name="名稱（Google 招牌）"/>
    <tableColumn id="4" name="立案名稱"/>
    <tableColumn id="5" name="縣市"/>
    <tableColumn id="6" name="行政區"/>
    <tableColumn id="7" name="地址"/>
    <tableColumn id="8" name="電話"/>
    <tableColumn id="9" name="Email"/>
    <tableColumn id="10" name="官網"/>
    <tableColumn id="11" name="評分"/>
    <tableColumn id="12" name="評論數"/>
    <tableColumn id="13" name="規模"/>
    <tableColumn id="14" name="教室數"/>
    <tableColumn id="15" name="教室面積(㎡)"/>
    <tableColumn id="16" name="班舍總面積(㎡)"/>
    <tableColumn id="17" name="核准班級數"/>
    <tableColumn id="18" name="登記師資(人)"/>
    <tableColumn id="19" name="核定容量(人)"/>
    <tableColumn id="20" name="英文科核定(人)"/>
    <tableColumn id="21" name="立案類別"/>
    <tableColumn id="22" name="立案日期"/>
    <tableColumn id="23" name="負責人"/>
    <tableColumn id="24" name="班主任"/>
    <tableColumn id="25" name="比對方式"/>
    <tableColumn id="26" name="立案頁"/>
    <tableColumn id="27" name="Google Maps"/>
    <tableColumn id="28" name="緯度"/>
    <tableColumn id="29" name="經度"/>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afterschools.olc.tw/afterschools/view/33200807220007" TargetMode="External"/><Relationship Id="rId2" Type="http://schemas.openxmlformats.org/officeDocument/2006/relationships/hyperlink" Target="https://maps.google.com/?cid=11706052368035496537&amp;g_mp=Cilnb29nbGUubWFwcy5wbGFjZXMudjEuUGxhY2VzLlNlYXJjaE5lYXJieRACGAQgAA" TargetMode="External"/><Relationship Id="rId3" Type="http://schemas.openxmlformats.org/officeDocument/2006/relationships/hyperlink" Target="http://www.anayeh.com/sf" TargetMode="External"/><Relationship Id="rId4" Type="http://schemas.openxmlformats.org/officeDocument/2006/relationships/hyperlink" Target="https://afterschools.olc.tw/afterschools/view/33200209180017" TargetMode="External"/><Relationship Id="rId5" Type="http://schemas.openxmlformats.org/officeDocument/2006/relationships/hyperlink" Target="https://maps.google.com/?cid=5622297850182312696&amp;g_mp=Cilnb29nbGUubWFwcy5wbGFjZXMudjEuUGxhY2VzLlNlYXJjaE5lYXJieRACGAQgAA" TargetMode="External"/><Relationship Id="rId6" Type="http://schemas.openxmlformats.org/officeDocument/2006/relationships/hyperlink" Target="http://www.4kids.com.tw/" TargetMode="External"/><Relationship Id="rId7" Type="http://schemas.openxmlformats.org/officeDocument/2006/relationships/hyperlink" Target="https://maps.google.com/?cid=1863695743369810872&amp;g_mp=Cilnb29nbGUubWFwcy5wbGFjZXMudjEuUGxhY2VzLlNlYXJjaE5lYXJieRACGAQgAA" TargetMode="External"/><Relationship Id="rId8" Type="http://schemas.openxmlformats.org/officeDocument/2006/relationships/hyperlink" Target="https://afterschools.olc.tw/afterschools/view/33200507130011" TargetMode="External"/><Relationship Id="rId9" Type="http://schemas.openxmlformats.org/officeDocument/2006/relationships/hyperlink" Target="https://maps.google.com/?cid=11221506505123687293&amp;g_mp=Cilnb29nbGUubWFwcy5wbGFjZXMudjEuUGxhY2VzLlNlYXJjaE5lYXJieRACGAQgAA" TargetMode="External"/><Relationship Id="rId10" Type="http://schemas.openxmlformats.org/officeDocument/2006/relationships/hyperlink" Target="https://maps.google.com/?cid=1919858757216377385&amp;g_mp=Cilnb29nbGUubWFwcy5wbGFjZXMudjEuUGxhY2VzLlNlYXJjaE5lYXJieRACGAQgAA" TargetMode="External"/><Relationship Id="rId11" Type="http://schemas.openxmlformats.org/officeDocument/2006/relationships/hyperlink" Target="https://afterschools.olc.tw/afterschools/view/33202512290001" TargetMode="External"/><Relationship Id="rId12" Type="http://schemas.openxmlformats.org/officeDocument/2006/relationships/hyperlink" Target="https://maps.google.com/?cid=16961882910019448895&amp;g_mp=Cilnb29nbGUubWFwcy5wbGFjZXMudjEuUGxhY2VzLlNlYXJjaE5lYXJieRACGAQgAA" TargetMode="External"/><Relationship Id="rId13" Type="http://schemas.openxmlformats.org/officeDocument/2006/relationships/hyperlink" Target="https://afterschools.olc.tw/afterschools/view/33201209210003" TargetMode="External"/><Relationship Id="rId14" Type="http://schemas.openxmlformats.org/officeDocument/2006/relationships/hyperlink" Target="https://maps.google.com/?cid=882732199886006311&amp;g_mp=Cilnb29nbGUubWFwcy5wbGFjZXMudjEuUGxhY2VzLlNlYXJjaE5lYXJieRACGAQgAA" TargetMode="External"/><Relationship Id="rId15" Type="http://schemas.openxmlformats.org/officeDocument/2006/relationships/hyperlink" Target="https://www.facebook.com/hf4750803/?ref=bookmarks" TargetMode="External"/><Relationship Id="rId16" Type="http://schemas.openxmlformats.org/officeDocument/2006/relationships/hyperlink" Target="https://afterschools.olc.tw/afterschools/view/33200308260001" TargetMode="External"/><Relationship Id="rId17" Type="http://schemas.openxmlformats.org/officeDocument/2006/relationships/hyperlink" Target="https://maps.google.com/?cid=14572345456801926781&amp;g_mp=Cilnb29nbGUubWFwcy5wbGFjZXMudjEuUGxhY2VzLlNlYXJjaE5lYXJieRACGAQgAA" TargetMode="External"/><Relationship Id="rId18" Type="http://schemas.openxmlformats.org/officeDocument/2006/relationships/hyperlink" Target="https://www.facebook.com/jessiemagicschooll/" TargetMode="External"/><Relationship Id="rId19" Type="http://schemas.openxmlformats.org/officeDocument/2006/relationships/hyperlink" Target="https://afterschools.olc.tw/afterschools/view/33200211130003" TargetMode="External"/><Relationship Id="rId20" Type="http://schemas.openxmlformats.org/officeDocument/2006/relationships/hyperlink" Target="https://maps.google.com/?cid=10190572630728074260&amp;g_mp=Cilnb29nbGUubWFwcy5wbGFjZXMudjEuUGxhY2VzLlNlYXJjaE5lYXJieRACGAQgAA" TargetMode="External"/><Relationship Id="rId21" Type="http://schemas.openxmlformats.org/officeDocument/2006/relationships/hyperlink" Target="https://afterschools.olc.tw/afterschools/view/33200909110003" TargetMode="External"/><Relationship Id="rId22" Type="http://schemas.openxmlformats.org/officeDocument/2006/relationships/hyperlink" Target="https://maps.google.com/?cid=709538259725970128&amp;g_mp=Cilnb29nbGUubWFwcy5wbGFjZXMudjEuUGxhY2VzLlNlYXJjaE5lYXJieRACGAQgAA" TargetMode="External"/><Relationship Id="rId23" Type="http://schemas.openxmlformats.org/officeDocument/2006/relationships/hyperlink" Target="https://www.facebook.com/joannestw" TargetMode="External"/><Relationship Id="rId24" Type="http://schemas.openxmlformats.org/officeDocument/2006/relationships/hyperlink" Target="https://afterschools.olc.tw/afterschools/view/33200807220002" TargetMode="External"/><Relationship Id="rId25" Type="http://schemas.openxmlformats.org/officeDocument/2006/relationships/hyperlink" Target="https://maps.google.com/?cid=11250750969546028302&amp;g_mp=Cilnb29nbGUubWFwcy5wbGFjZXMudjEuUGxhY2VzLlNlYXJjaE5lYXJieRACGAQgAA" TargetMode="External"/><Relationship Id="rId26" Type="http://schemas.openxmlformats.org/officeDocument/2006/relationships/hyperlink" Target="https://afterschools.olc.tw/afterschools/view/33200406250004" TargetMode="External"/><Relationship Id="rId27" Type="http://schemas.openxmlformats.org/officeDocument/2006/relationships/hyperlink" Target="https://maps.google.com/?cid=17027078322080113698&amp;g_mp=Cilnb29nbGUubWFwcy5wbGFjZXMudjEuUGxhY2VzLlNlYXJjaE5lYXJieRACGAQgAA" TargetMode="External"/><Relationship Id="rId28" Type="http://schemas.openxmlformats.org/officeDocument/2006/relationships/hyperlink" Target="https://www.facebook.com/ksenglishlanguageschool/" TargetMode="External"/><Relationship Id="rId29" Type="http://schemas.openxmlformats.org/officeDocument/2006/relationships/hyperlink" Target="https://afterschools.olc.tw/afterschools/view/33201501270001" TargetMode="External"/><Relationship Id="rId30" Type="http://schemas.openxmlformats.org/officeDocument/2006/relationships/hyperlink" Target="https://maps.google.com/?cid=5314190711464383295&amp;g_mp=Cilnb29nbGUubWFwcy5wbGFjZXMudjEuUGxhY2VzLlNlYXJjaE5lYXJieRACGAQgAA" TargetMode="External"/><Relationship Id="rId31" Type="http://schemas.openxmlformats.org/officeDocument/2006/relationships/hyperlink" Target="https://afterschools.olc.tw/afterschools/view/33200701110001" TargetMode="External"/><Relationship Id="rId32" Type="http://schemas.openxmlformats.org/officeDocument/2006/relationships/hyperlink" Target="https://maps.google.com/?cid=1572116877325483114&amp;g_mp=Cilnb29nbGUubWFwcy5wbGFjZXMudjEuUGxhY2VzLlNlYXJjaE5lYXJieRACGAQgAA" TargetMode="External"/><Relationship Id="rId33" Type="http://schemas.openxmlformats.org/officeDocument/2006/relationships/hyperlink" Target="http://www.nean-nei.com.tw/" TargetMode="External"/><Relationship Id="rId34" Type="http://schemas.openxmlformats.org/officeDocument/2006/relationships/hyperlink" Target="https://afterschools.olc.tw/afterschools/view/33201306140001" TargetMode="External"/><Relationship Id="rId35" Type="http://schemas.openxmlformats.org/officeDocument/2006/relationships/hyperlink" Target="https://maps.google.com/?cid=9307923240357268090&amp;g_mp=Cilnb29nbGUubWFwcy5wbGFjZXMudjEuUGxhY2VzLlNlYXJjaE5lYXJieRACGAQgAA" TargetMode="External"/><Relationship Id="rId36" Type="http://schemas.openxmlformats.org/officeDocument/2006/relationships/hyperlink" Target="https://maps.google.com/?cid=6354447563662897004&amp;g_mp=Cilnb29nbGUubWFwcy5wbGFjZXMudjEuUGxhY2VzLlNlYXJjaE5lYXJieRACGAQgAA" TargetMode="External"/><Relationship Id="rId37" Type="http://schemas.openxmlformats.org/officeDocument/2006/relationships/hyperlink" Target="https://giraffe-pingzhen.weebly.com/" TargetMode="External"/><Relationship Id="rId38" Type="http://schemas.openxmlformats.org/officeDocument/2006/relationships/hyperlink" Target="https://afterschools.olc.tw/afterschools/view/33201111020001" TargetMode="External"/><Relationship Id="rId39" Type="http://schemas.openxmlformats.org/officeDocument/2006/relationships/hyperlink" Target="https://maps.google.com/?cid=14553044571440577840&amp;g_mp=Cilnb29nbGUubWFwcy5wbGFjZXMudjEuUGxhY2VzLlNlYXJjaE5lYXJieRACGAQgAA" TargetMode="External"/><Relationship Id="rId40" Type="http://schemas.openxmlformats.org/officeDocument/2006/relationships/hyperlink" Target="https://afterschools.olc.tw/afterschools/view/33200612290001" TargetMode="External"/><Relationship Id="rId41" Type="http://schemas.openxmlformats.org/officeDocument/2006/relationships/hyperlink" Target="https://maps.google.com/?cid=16844164562962163082&amp;g_mp=Cilnb29nbGUubWFwcy5wbGFjZXMudjEuUGxhY2VzLlNlYXJjaE5lYXJieRACGAQgAA" TargetMode="External"/><Relationship Id="rId42" Type="http://schemas.openxmlformats.org/officeDocument/2006/relationships/hyperlink" Target="https://www.facebook.com/share/16r4j3onqR/?mibextid=wwXIfr" TargetMode="External"/><Relationship Id="rId43" Type="http://schemas.openxmlformats.org/officeDocument/2006/relationships/hyperlink" Target="https://afterschools.olc.tw/afterschools/view/33202505020002" TargetMode="External"/><Relationship Id="rId44" Type="http://schemas.openxmlformats.org/officeDocument/2006/relationships/hyperlink" Target="https://maps.google.com/?cid=16601075339749405021&amp;g_mp=Cilnb29nbGUubWFwcy5wbGFjZXMudjEuUGxhY2VzLlNlYXJjaE5lYXJieRACGAQgAA" TargetMode="External"/><Relationship Id="rId45" Type="http://schemas.openxmlformats.org/officeDocument/2006/relationships/hyperlink" Target="https://www.facebook.com/pages/category/Language-School/&#22887;&#26031;&#27712;&#32654;&#35486;&#20013;&#24179;&#20998;&#26657;-104044731308159/" TargetMode="External"/><Relationship Id="rId46" Type="http://schemas.openxmlformats.org/officeDocument/2006/relationships/hyperlink" Target="https://afterschools.olc.tw/afterschools/view/33202304280001" TargetMode="External"/><Relationship Id="rId47" Type="http://schemas.openxmlformats.org/officeDocument/2006/relationships/hyperlink" Target="https://maps.google.com/?cid=10465279855178388811&amp;g_mp=Cilnb29nbGUubWFwcy5wbGFjZXMudjEuUGxhY2VzLlNlYXJjaE5lYXJieRACGAQgAA" TargetMode="External"/><Relationship Id="rId48" Type="http://schemas.openxmlformats.org/officeDocument/2006/relationships/hyperlink" Target="http://a99011240.jretc.net/index.html" TargetMode="External"/><Relationship Id="rId49" Type="http://schemas.openxmlformats.org/officeDocument/2006/relationships/hyperlink" Target="https://afterschools.olc.tw/afterschools/view/33201407140002" TargetMode="External"/><Relationship Id="rId50" Type="http://schemas.openxmlformats.org/officeDocument/2006/relationships/hyperlink" Target="https://maps.google.com/?cid=3332216936380614174&amp;g_mp=Cilnb29nbGUubWFwcy5wbGFjZXMudjEuUGxhY2VzLlNlYXJjaE5lYXJieRACGAQgAA" TargetMode="External"/><Relationship Id="rId51" Type="http://schemas.openxmlformats.org/officeDocument/2006/relationships/hyperlink" Target="https://afterschools.olc.tw/afterschools/view/33202212080001" TargetMode="External"/><Relationship Id="rId52" Type="http://schemas.openxmlformats.org/officeDocument/2006/relationships/hyperlink" Target="https://maps.google.com/?cid=3584561199786145630&amp;g_mp=Cilnb29nbGUubWFwcy5wbGFjZXMudjEuUGxhY2VzLlNlYXJjaE5lYXJieRACGAQgAA" TargetMode="External"/><Relationship Id="rId53" Type="http://schemas.openxmlformats.org/officeDocument/2006/relationships/hyperlink" Target="https://www.facebook.com/English4u.wenhua/" TargetMode="External"/><Relationship Id="rId54" Type="http://schemas.openxmlformats.org/officeDocument/2006/relationships/hyperlink" Target="https://afterschools.olc.tw/afterschools/view/33200810280003" TargetMode="External"/><Relationship Id="rId55" Type="http://schemas.openxmlformats.org/officeDocument/2006/relationships/hyperlink" Target="https://maps.google.com/?cid=13242322295055546703&amp;g_mp=Cilnb29nbGUubWFwcy5wbGFjZXMudjEuUGxhY2VzLlNlYXJjaE5lYXJieRACGAQgAA" TargetMode="External"/><Relationship Id="rId56" Type="http://schemas.openxmlformats.org/officeDocument/2006/relationships/hyperlink" Target="https://maps.google.com/?cid=2680290247858276349&amp;g_mp=Cilnb29nbGUubWFwcy5wbGFjZXMudjEuUGxhY2VzLlNlYXJjaE5lYXJieRACGAQgAA" TargetMode="External"/><Relationship Id="rId57" Type="http://schemas.openxmlformats.org/officeDocument/2006/relationships/hyperlink" Target="https://afterschools.olc.tw/afterschools/view/33200810280005" TargetMode="External"/><Relationship Id="rId58" Type="http://schemas.openxmlformats.org/officeDocument/2006/relationships/hyperlink" Target="https://maps.google.com/?cid=533073149369859255&amp;g_mp=Cilnb29nbGUubWFwcy5wbGFjZXMudjEuUGxhY2VzLlNlYXJjaE5lYXJieRACGAQgAA" TargetMode="External"/><Relationship Id="rId59" Type="http://schemas.openxmlformats.org/officeDocument/2006/relationships/hyperlink" Target="https://afterschools.olc.tw/afterschools/view/33200208200005" TargetMode="External"/><Relationship Id="rId60" Type="http://schemas.openxmlformats.org/officeDocument/2006/relationships/hyperlink" Target="https://maps.google.com/?cid=7782109380727472788&amp;g_mp=Cilnb29nbGUubWFwcy5wbGFjZXMudjEuUGxhY2VzLlNlYXJjaE5lYXJieRACGAQgAA" TargetMode="External"/><Relationship Id="rId61" Type="http://schemas.openxmlformats.org/officeDocument/2006/relationships/hyperlink" Target="https://afterschools.olc.tw/afterschools/view/33200208210013" TargetMode="External"/><Relationship Id="rId62" Type="http://schemas.openxmlformats.org/officeDocument/2006/relationships/hyperlink" Target="https://maps.google.com/?cid=498693267709005322&amp;g_mp=Cilnb29nbGUubWFwcy5wbGFjZXMudjEuUGxhY2VzLlNlYXJjaE5lYXJieRACGAQgAA" TargetMode="External"/><Relationship Id="rId63" Type="http://schemas.openxmlformats.org/officeDocument/2006/relationships/hyperlink" Target="https://afterschools.olc.tw/afterschools/view/33201412250003" TargetMode="External"/><Relationship Id="rId64" Type="http://schemas.openxmlformats.org/officeDocument/2006/relationships/hyperlink" Target="https://maps.google.com/?cid=13339665974785607848&amp;g_mp=Cilnb29nbGUubWFwcy5wbGFjZXMudjEuUGxhY2VzLlNlYXJjaE5lYXJieRACGAQgAA" TargetMode="External"/><Relationship Id="rId65" Type="http://schemas.openxmlformats.org/officeDocument/2006/relationships/hyperlink" Target="https://www.glo.com.tw/dist-pingzhen.html" TargetMode="External"/><Relationship Id="rId66" Type="http://schemas.openxmlformats.org/officeDocument/2006/relationships/hyperlink" Target="https://afterschools.olc.tw/afterschools/view/33200301220007" TargetMode="External"/><Relationship Id="rId67" Type="http://schemas.openxmlformats.org/officeDocument/2006/relationships/hyperlink" Target="https://maps.google.com/?cid=2399269986938562045&amp;g_mp=Cilnb29nbGUubWFwcy5wbGFjZXMudjEuUGxhY2VzLlNlYXJjaE5lYXJieRACGAQgAA" TargetMode="External"/><Relationship Id="rId68" Type="http://schemas.openxmlformats.org/officeDocument/2006/relationships/hyperlink" Target="https://afterschools.olc.tw/afterschools/view/33202402160001" TargetMode="External"/><Relationship Id="rId69" Type="http://schemas.openxmlformats.org/officeDocument/2006/relationships/hyperlink" Target="https://maps.google.com/?cid=7218514729759551698&amp;g_mp=Cilnb29nbGUubWFwcy5wbGFjZXMudjEuUGxhY2VzLlNlYXJjaE5lYXJieRACGAQgAA" TargetMode="External"/><Relationship Id="rId70" Type="http://schemas.openxmlformats.org/officeDocument/2006/relationships/hyperlink" Target="http://avi-school.org/" TargetMode="External"/><Relationship Id="rId71" Type="http://schemas.openxmlformats.org/officeDocument/2006/relationships/hyperlink" Target="https://afterschools.olc.tw/afterschools/view/33202402160001" TargetMode="External"/><Relationship Id="rId72" Type="http://schemas.openxmlformats.org/officeDocument/2006/relationships/hyperlink" Target="https://maps.google.com/?cid=11529937537228790462&amp;g_mp=Cilnb29nbGUubWFwcy5wbGFjZXMudjEuUGxhY2VzLlNlYXJjaE5lYXJieRACGAQgAA" TargetMode="External"/><Relationship Id="rId73" Type="http://schemas.openxmlformats.org/officeDocument/2006/relationships/hyperlink" Target="https://afterschools.olc.tw/afterschools/view/33201103080002" TargetMode="External"/><Relationship Id="rId74" Type="http://schemas.openxmlformats.org/officeDocument/2006/relationships/hyperlink" Target="https://maps.google.com/?cid=13716747757068378667&amp;g_mp=Cilnb29nbGUubWFwcy5wbGFjZXMudjEuUGxhY2VzLlNlYXJjaE5lYXJieRACGAQgAA" TargetMode="External"/><Relationship Id="rId75" Type="http://schemas.openxmlformats.org/officeDocument/2006/relationships/hyperlink" Target="http://www.kidcastle.com.tw/" TargetMode="External"/><Relationship Id="rId76" Type="http://schemas.openxmlformats.org/officeDocument/2006/relationships/hyperlink" Target="https://afterschools.olc.tw/afterschools/view/33200612220006" TargetMode="External"/><Relationship Id="rId77" Type="http://schemas.openxmlformats.org/officeDocument/2006/relationships/hyperlink" Target="https://maps.google.com/?cid=14216718545497890770&amp;g_mp=Cilnb29nbGUubWFwcy5wbGFjZXMudjEuUGxhY2VzLlNlYXJjaE5lYXJieRACGAQgAA" TargetMode="External"/><Relationship Id="rId78" Type="http://schemas.openxmlformats.org/officeDocument/2006/relationships/hyperlink" Target="https://summerhill-english.weebly.com/" TargetMode="External"/><Relationship Id="rId79" Type="http://schemas.openxmlformats.org/officeDocument/2006/relationships/hyperlink" Target="https://afterschools.olc.tw/afterschools/view/33201608100001" TargetMode="External"/><Relationship Id="rId80" Type="http://schemas.openxmlformats.org/officeDocument/2006/relationships/hyperlink" Target="https://maps.google.com/?cid=5288698627958463622&amp;g_mp=Cilnb29nbGUubWFwcy5wbGFjZXMudjEuUGxhY2VzLlNlYXJjaE5lYXJieRACGAQgAA" TargetMode="External"/><Relationship Id="rId81" Type="http://schemas.openxmlformats.org/officeDocument/2006/relationships/hyperlink" Target="https://maps.google.com/?cid=3701273717901327733&amp;g_mp=Cilnb29nbGUubWFwcy5wbGFjZXMudjEuUGxhY2VzLlNlYXJjaE5lYXJieRACGAQgAA" TargetMode="External"/><Relationship Id="rId82" Type="http://schemas.openxmlformats.org/officeDocument/2006/relationships/hyperlink" Target="https://business.google.com/site/l/02286036876212200319?hl=zh-TW" TargetMode="External"/><Relationship Id="rId83" Type="http://schemas.openxmlformats.org/officeDocument/2006/relationships/hyperlink" Target="https://afterschools.olc.tw/afterschools/view/33201010150001" TargetMode="External"/><Relationship Id="rId84" Type="http://schemas.openxmlformats.org/officeDocument/2006/relationships/hyperlink" Target="https://maps.google.com/?cid=12688579145237639145&amp;g_mp=Cilnb29nbGUubWFwcy5wbGFjZXMudjEuUGxhY2VzLlNlYXJjaE5lYXJieRACGAQgAA" TargetMode="External"/><Relationship Id="rId85" Type="http://schemas.openxmlformats.org/officeDocument/2006/relationships/hyperlink" Target="https://4986090.topschool.tw/Home/Main" TargetMode="External"/><Relationship Id="rId86" Type="http://schemas.openxmlformats.org/officeDocument/2006/relationships/hyperlink" Target="https://maps.google.com/?cid=5851113689963450877&amp;g_mp=Cilnb29nbGUubWFwcy5wbGFjZXMudjEuUGxhY2VzLlNlYXJjaE5lYXJieRACGAQgAA" TargetMode="External"/><Relationship Id="rId87" Type="http://schemas.openxmlformats.org/officeDocument/2006/relationships/hyperlink" Target="https://www.facebook.com/p/&#23416;&#21295;&#25991;&#29702;&#35036;&#32722;&#29677;-100057664171337/?locale=zh_TW" TargetMode="External"/><Relationship Id="rId88" Type="http://schemas.openxmlformats.org/officeDocument/2006/relationships/hyperlink" Target="https://afterschools.olc.tw/afterschools/view/33202109070001" TargetMode="External"/><Relationship Id="rId89" Type="http://schemas.openxmlformats.org/officeDocument/2006/relationships/hyperlink" Target="https://maps.google.com/?cid=11919443886743720693&amp;g_mp=Cilnb29nbGUubWFwcy5wbGFjZXMudjEuUGxhY2VzLlNlYXJjaE5lYXJieRACGAQgAA" TargetMode="External"/><Relationship Id="rId90" Type="http://schemas.openxmlformats.org/officeDocument/2006/relationships/hyperlink" Target="https://afterschools.olc.tw/afterschools/view/33202304280002" TargetMode="External"/><Relationship Id="rId91" Type="http://schemas.openxmlformats.org/officeDocument/2006/relationships/hyperlink" Target="https://maps.google.com/?cid=12245866672060643921&amp;g_mp=Cilnb29nbGUubWFwcy5wbGFjZXMudjEuUGxhY2VzLlNlYXJjaE5lYXJieRACGAQgAA" TargetMode="External"/><Relationship Id="rId92" Type="http://schemas.openxmlformats.org/officeDocument/2006/relationships/hyperlink" Target="https://giraffe-dayuan.weebly.com/" TargetMode="External"/><Relationship Id="rId93" Type="http://schemas.openxmlformats.org/officeDocument/2006/relationships/hyperlink" Target="https://afterschools.olc.tw/afterschools/view/33202304280002" TargetMode="External"/><Relationship Id="rId94" Type="http://schemas.openxmlformats.org/officeDocument/2006/relationships/hyperlink" Target="https://maps.google.com/?cid=9762046047280206172&amp;g_mp=Cilnb29nbGUubWFwcy5wbGFjZXMudjEuUGxhY2VzLlNlYXJjaE5lYXJieRACGAQgAA" TargetMode="External"/><Relationship Id="rId95" Type="http://schemas.openxmlformats.org/officeDocument/2006/relationships/hyperlink" Target="https://m.facebook.com/pages/category/Test-Preparation-Center/&#30889;&#25104;&#24120;&#26149;&#34276;&#33521;&#35486;&#22823;&#23833;&#26657;-106843587572797/" TargetMode="External"/><Relationship Id="rId96" Type="http://schemas.openxmlformats.org/officeDocument/2006/relationships/hyperlink" Target="https://afterschools.olc.tw/afterschools/view/33201907040001" TargetMode="External"/><Relationship Id="rId97" Type="http://schemas.openxmlformats.org/officeDocument/2006/relationships/hyperlink" Target="https://maps.google.com/?cid=4729929452937876402&amp;g_mp=Cilnb29nbGUubWFwcy5wbGFjZXMudjEuUGxhY2VzLlNlYXJjaE5lYXJieRACGAQgAA" TargetMode="External"/><Relationship Id="rId98" Type="http://schemas.openxmlformats.org/officeDocument/2006/relationships/hyperlink" Target="https://maps.google.com/?cid=15215221383339262651&amp;g_mp=Cilnb29nbGUubWFwcy5wbGFjZXMudjEuUGxhY2VzLlNlYXJjaE5lYXJieRACGAQgAA" TargetMode="External"/><Relationship Id="rId99" Type="http://schemas.openxmlformats.org/officeDocument/2006/relationships/hyperlink" Target="https://afterschools.olc.tw/afterschools/view/33200612210010" TargetMode="External"/><Relationship Id="rId100" Type="http://schemas.openxmlformats.org/officeDocument/2006/relationships/hyperlink" Target="https://maps.google.com/?cid=2784987015485436370&amp;g_mp=Cilnb29nbGUubWFwcy5wbGFjZXMudjEuUGxhY2VzLlNlYXJjaE5lYXJieRACGAQgAA" TargetMode="External"/><Relationship Id="rId101" Type="http://schemas.openxmlformats.org/officeDocument/2006/relationships/hyperlink" Target="https://afterschools.olc.tw/afterschools/view/33200609130001" TargetMode="External"/><Relationship Id="rId102" Type="http://schemas.openxmlformats.org/officeDocument/2006/relationships/hyperlink" Target="https://maps.google.com/?cid=3710036910781997703&amp;g_mp=Cilnb29nbGUubWFwcy5wbGFjZXMudjEuUGxhY2VzLlNlYXJjaE5lYXJieRACGAQgAA" TargetMode="External"/><Relationship Id="rId103" Type="http://schemas.openxmlformats.org/officeDocument/2006/relationships/hyperlink" Target="https://afterschools.olc.tw/afterschools/view/33200707170012" TargetMode="External"/><Relationship Id="rId104" Type="http://schemas.openxmlformats.org/officeDocument/2006/relationships/hyperlink" Target="https://maps.google.com/?cid=12688028577401609648&amp;g_mp=Cilnb29nbGUubWFwcy5wbGFjZXMudjEuUGxhY2VzLlNlYXJjaE5lYXJieRACGAQgAA" TargetMode="External"/><Relationship Id="rId105" Type="http://schemas.openxmlformats.org/officeDocument/2006/relationships/hyperlink" Target="https://maps.google.com/?cid=17659105423038208687&amp;g_mp=Cilnb29nbGUubWFwcy5wbGFjZXMudjEuUGxhY2VzLlNlYXJjaE5lYXJieRACGAQgAA" TargetMode="External"/><Relationship Id="rId106" Type="http://schemas.openxmlformats.org/officeDocument/2006/relationships/hyperlink" Target="https://afterschools.olc.tw/afterschools/view/33201408180002" TargetMode="External"/><Relationship Id="rId107" Type="http://schemas.openxmlformats.org/officeDocument/2006/relationships/hyperlink" Target="https://maps.google.com/?cid=4957700772940780852&amp;g_mp=Cilnb29nbGUubWFwcy5wbGFjZXMudjEuUGxhY2VzLlNlYXJjaE5lYXJieRACGAQgAA" TargetMode="External"/><Relationship Id="rId108" Type="http://schemas.openxmlformats.org/officeDocument/2006/relationships/hyperlink" Target="https://maps.google.com/?cid=5360159746373528869&amp;g_mp=Cilnb29nbGUubWFwcy5wbGFjZXMudjEuUGxhY2VzLlNlYXJjaE5lYXJieRACGAQgAA" TargetMode="External"/><Relationship Id="rId109" Type="http://schemas.openxmlformats.org/officeDocument/2006/relationships/hyperlink" Target="https://afterschools.olc.tw/afterschools/view/33200705040001" TargetMode="External"/><Relationship Id="rId110" Type="http://schemas.openxmlformats.org/officeDocument/2006/relationships/hyperlink" Target="https://maps.google.com/?cid=10841667619523414826&amp;g_mp=Cilnb29nbGUubWFwcy5wbGFjZXMudjEuUGxhY2VzLlNlYXJjaE5lYXJieRACGAQgAA" TargetMode="External"/><Relationship Id="rId111" Type="http://schemas.openxmlformats.org/officeDocument/2006/relationships/hyperlink" Target="https://afterschools.olc.tw/afterschools/view/33200811100001" TargetMode="External"/><Relationship Id="rId112" Type="http://schemas.openxmlformats.org/officeDocument/2006/relationships/hyperlink" Target="https://maps.google.com/?cid=17132230300581656515&amp;g_mp=Cilnb29nbGUubWFwcy5wbGFjZXMudjEuUGxhY2VzLlNlYXJjaE5lYXJieRACGAQgAA" TargetMode="External"/><Relationship Id="rId113" Type="http://schemas.openxmlformats.org/officeDocument/2006/relationships/hyperlink" Target="https://maps.google.com/?cid=17301286997401734467&amp;g_mp=Cilnb29nbGUubWFwcy5wbGFjZXMudjEuUGxhY2VzLlNlYXJjaE5lYXJieRACGAQgAA" TargetMode="External"/><Relationship Id="rId114" Type="http://schemas.openxmlformats.org/officeDocument/2006/relationships/hyperlink" Target="https://afterschools.olc.tw/afterschools/view/33201111220004" TargetMode="External"/><Relationship Id="rId115" Type="http://schemas.openxmlformats.org/officeDocument/2006/relationships/hyperlink" Target="https://maps.google.com/?cid=16211324136502453195&amp;g_mp=Cilnb29nbGUubWFwcy5wbGFjZXMudjEuUGxhY2VzLlNlYXJjaE5lYXJieRACGAQgAA" TargetMode="External"/><Relationship Id="rId116" Type="http://schemas.openxmlformats.org/officeDocument/2006/relationships/hyperlink" Target="https://afterschools.olc.tw/afterschools/view/33200209170010" TargetMode="External"/><Relationship Id="rId117" Type="http://schemas.openxmlformats.org/officeDocument/2006/relationships/hyperlink" Target="https://maps.google.com/?cid=5685864498803722242&amp;g_mp=Cilnb29nbGUubWFwcy5wbGFjZXMudjEuUGxhY2VzLlNlYXJjaE5lYXJieRACGAQgAA" TargetMode="External"/><Relationship Id="rId118" Type="http://schemas.openxmlformats.org/officeDocument/2006/relationships/hyperlink" Target="https://m.facebook.com/&#39340;&#26519;&#39770;&#35036;&#32722;&#29677;-169022626596685/?ref=bookmarks" TargetMode="External"/><Relationship Id="rId119" Type="http://schemas.openxmlformats.org/officeDocument/2006/relationships/hyperlink" Target="https://afterschools.olc.tw/afterschools/view/33200806030002" TargetMode="External"/><Relationship Id="rId120" Type="http://schemas.openxmlformats.org/officeDocument/2006/relationships/hyperlink" Target="https://maps.google.com/?cid=1731807927207520159&amp;g_mp=Cilnb29nbGUubWFwcy5wbGFjZXMudjEuUGxhY2VzLlNlYXJjaE5lYXJieRACGAQgAA" TargetMode="External"/><Relationship Id="rId121" Type="http://schemas.openxmlformats.org/officeDocument/2006/relationships/hyperlink" Target="https://maps.google.com/?cid=16531274705841816831&amp;g_mp=Cilnb29nbGUubWFwcy5wbGFjZXMudjEuUGxhY2VzLlNlYXJjaE5lYXJieRACGAQgAA" TargetMode="External"/><Relationship Id="rId122" Type="http://schemas.openxmlformats.org/officeDocument/2006/relationships/hyperlink" Target="https://afterschools.olc.tw/afterschools/view/33200208210016" TargetMode="External"/><Relationship Id="rId123" Type="http://schemas.openxmlformats.org/officeDocument/2006/relationships/hyperlink" Target="https://maps.google.com/?cid=17602456463571825247&amp;g_mp=Cilnb29nbGUubWFwcy5wbGFjZXMudjEuUGxhY2VzLlNlYXJjaE5lYXJieRACGAQgAA" TargetMode="External"/><Relationship Id="rId124" Type="http://schemas.openxmlformats.org/officeDocument/2006/relationships/hyperlink" Target="https://www.facebook.com/Liveabcahomefromhome" TargetMode="External"/><Relationship Id="rId125" Type="http://schemas.openxmlformats.org/officeDocument/2006/relationships/hyperlink" Target="https://afterschools.olc.tw/afterschools/view/33202212260002" TargetMode="External"/><Relationship Id="rId126" Type="http://schemas.openxmlformats.org/officeDocument/2006/relationships/hyperlink" Target="https://maps.google.com/?cid=4238158386200350127&amp;g_mp=Cilnb29nbGUubWFwcy5wbGFjZXMudjEuUGxhY2VzLlNlYXJjaE5lYXJieRACGAQgAA" TargetMode="External"/><Relationship Id="rId127" Type="http://schemas.openxmlformats.org/officeDocument/2006/relationships/hyperlink" Target="https://www.facebook.com/RachelsEnglishSchool/?ref=aymt_homepage_panel" TargetMode="External"/><Relationship Id="rId128" Type="http://schemas.openxmlformats.org/officeDocument/2006/relationships/hyperlink" Target="https://afterschools.olc.tw/afterschools/view/33201309170001" TargetMode="External"/><Relationship Id="rId129" Type="http://schemas.openxmlformats.org/officeDocument/2006/relationships/hyperlink" Target="https://maps.google.com/?cid=17973680515661347222&amp;g_mp=Cilnb29nbGUubWFwcy5wbGFjZXMudjEuUGxhY2VzLlNlYXJjaE5lYXJieRACGAQgAA" TargetMode="External"/><Relationship Id="rId130" Type="http://schemas.openxmlformats.org/officeDocument/2006/relationships/hyperlink" Target="https://reurl.cc/j9NgYy" TargetMode="External"/><Relationship Id="rId131" Type="http://schemas.openxmlformats.org/officeDocument/2006/relationships/hyperlink" Target="https://afterschools.olc.tw/afterschools/view/33202511050003" TargetMode="External"/><Relationship Id="rId132" Type="http://schemas.openxmlformats.org/officeDocument/2006/relationships/hyperlink" Target="https://maps.google.com/?cid=10352962592592293844&amp;g_mp=Cilnb29nbGUubWFwcy5wbGFjZXMudjEuUGxhY2VzLlNlYXJjaE5lYXJieRACGAQgAA" TargetMode="External"/><Relationship Id="rId133" Type="http://schemas.openxmlformats.org/officeDocument/2006/relationships/hyperlink" Target="https://maps.google.com/?cid=11512969066118304067&amp;g_mp=Cilnb29nbGUubWFwcy5wbGFjZXMudjEuUGxhY2VzLlNlYXJjaE5lYXJieRACGAQgAA" TargetMode="External"/><Relationship Id="rId134" Type="http://schemas.openxmlformats.org/officeDocument/2006/relationships/hyperlink" Target="https://reurl.cc/XE0k2M" TargetMode="External"/><Relationship Id="rId135" Type="http://schemas.openxmlformats.org/officeDocument/2006/relationships/hyperlink" Target="https://afterschools.olc.tw/afterschools/view/33200612190003" TargetMode="External"/><Relationship Id="rId136" Type="http://schemas.openxmlformats.org/officeDocument/2006/relationships/hyperlink" Target="https://maps.google.com/?cid=15402730174840453911&amp;g_mp=Cilnb29nbGUubWFwcy5wbGFjZXMudjEuUGxhY2VzLlNlYXJjaE5lYXJieRACGAQgAA" TargetMode="External"/><Relationship Id="rId137" Type="http://schemas.openxmlformats.org/officeDocument/2006/relationships/hyperlink" Target="https://afterschools.olc.tw/afterschools/view/33200207230025" TargetMode="External"/><Relationship Id="rId138" Type="http://schemas.openxmlformats.org/officeDocument/2006/relationships/hyperlink" Target="https://maps.google.com/?cid=15103574266855413204&amp;g_mp=Cilnb29nbGUubWFwcy5wbGFjZXMudjEuUGxhY2VzLlNlYXJjaE5lYXJieRACGAQgAA" TargetMode="External"/><Relationship Id="rId139" Type="http://schemas.openxmlformats.org/officeDocument/2006/relationships/hyperlink" Target="https://www.facebook.com/share/1LTJQ3ujcV/?mibextid=LQQJ4d" TargetMode="External"/><Relationship Id="rId140" Type="http://schemas.openxmlformats.org/officeDocument/2006/relationships/hyperlink" Target="https://afterschools.olc.tw/afterschools/view/33202511060001" TargetMode="External"/><Relationship Id="rId141" Type="http://schemas.openxmlformats.org/officeDocument/2006/relationships/hyperlink" Target="https://maps.google.com/?cid=2859334526894675409&amp;g_mp=Cilnb29nbGUubWFwcy5wbGFjZXMudjEuUGxhY2VzLlNlYXJjaE5lYXJieRACGAQgAA" TargetMode="External"/><Relationship Id="rId142" Type="http://schemas.openxmlformats.org/officeDocument/2006/relationships/hyperlink" Target="https://afterschools.olc.tw/afterschools/view/33200903240001" TargetMode="External"/><Relationship Id="rId143" Type="http://schemas.openxmlformats.org/officeDocument/2006/relationships/hyperlink" Target="https://maps.google.com/?cid=10347944177935672648&amp;g_mp=Cilnb29nbGUubWFwcy5wbGFjZXMudjEuUGxhY2VzLlNlYXJjaE5lYXJieRACGAQgAA" TargetMode="External"/><Relationship Id="rId144" Type="http://schemas.openxmlformats.org/officeDocument/2006/relationships/hyperlink" Target="https://maps.google.com/?cid=14376442160187614880&amp;g_mp=Cilnb29nbGUubWFwcy5wbGFjZXMudjEuUGxhY2VzLlNlYXJjaE5lYXJieRACGAQgAA" TargetMode="External"/><Relationship Id="rId145" Type="http://schemas.openxmlformats.org/officeDocument/2006/relationships/hyperlink" Target="https://afterschools.olc.tw/afterschools/view/33200207240024" TargetMode="External"/><Relationship Id="rId146" Type="http://schemas.openxmlformats.org/officeDocument/2006/relationships/hyperlink" Target="https://maps.google.com/?cid=1430205591495836548&amp;g_mp=Cilnb29nbGUubWFwcy5wbGFjZXMudjEuUGxhY2VzLlNlYXJjaE5lYXJieRACGAQgAA" TargetMode="External"/><Relationship Id="rId147" Type="http://schemas.openxmlformats.org/officeDocument/2006/relationships/hyperlink" Target="https://www.facebook.com/shinpobrighton" TargetMode="External"/><Relationship Id="rId148" Type="http://schemas.openxmlformats.org/officeDocument/2006/relationships/hyperlink" Target="https://afterschools.olc.tw/afterschools/view/33202302150001" TargetMode="External"/><Relationship Id="rId149" Type="http://schemas.openxmlformats.org/officeDocument/2006/relationships/hyperlink" Target="https://maps.google.com/?cid=18035018636804813228&amp;g_mp=Cilnb29nbGUubWFwcy5wbGFjZXMudjEuUGxhY2VzLlNlYXJjaE5lYXJieRACGAQgAA" TargetMode="External"/><Relationship Id="rId150" Type="http://schemas.openxmlformats.org/officeDocument/2006/relationships/hyperlink" Target="https://www.facebook.com/profile.php?id=100088852862810&amp;mibextid=LQQJ4d" TargetMode="External"/><Relationship Id="rId151" Type="http://schemas.openxmlformats.org/officeDocument/2006/relationships/hyperlink" Target="https://afterschools.olc.tw/afterschools/view/33202304250001" TargetMode="External"/><Relationship Id="rId152" Type="http://schemas.openxmlformats.org/officeDocument/2006/relationships/hyperlink" Target="https://maps.google.com/?cid=10710909231072825876&amp;g_mp=Cilnb29nbGUubWFwcy5wbGFjZXMudjEuUGxhY2VzLlNlYXJjaE5lYXJieRACGAQgAA" TargetMode="External"/><Relationship Id="rId153" Type="http://schemas.openxmlformats.org/officeDocument/2006/relationships/hyperlink" Target="https://maps.google.com/?cid=12106770343731689723&amp;g_mp=Cilnb29nbGUubWFwcy5wbGFjZXMudjEuUGxhY2VzLlNlYXJjaE5lYXJieRACGAQgAA" TargetMode="External"/><Relationship Id="rId154" Type="http://schemas.openxmlformats.org/officeDocument/2006/relationships/hyperlink" Target="https://maps.google.com/?cid=9615573300021051170&amp;g_mp=Cilnb29nbGUubWFwcy5wbGFjZXMudjEuUGxhY2VzLlNlYXJjaE5lYXJieRACGAQgAA" TargetMode="External"/><Relationship Id="rId155" Type="http://schemas.openxmlformats.org/officeDocument/2006/relationships/hyperlink" Target="https://afterschools.olc.tw/afterschools/view/33200208270011" TargetMode="External"/><Relationship Id="rId156" Type="http://schemas.openxmlformats.org/officeDocument/2006/relationships/hyperlink" Target="https://maps.google.com/?cid=16259423481686131422&amp;g_mp=Cilnb29nbGUubWFwcy5wbGFjZXMudjEuUGxhY2VzLlNlYXJjaE5lYXJieRACGAQgAA" TargetMode="External"/><Relationship Id="rId157" Type="http://schemas.openxmlformats.org/officeDocument/2006/relationships/hyperlink" Target="https://maps.google.com/?cid=15068509818082830298&amp;g_mp=Cilnb29nbGUubWFwcy5wbGFjZXMudjEuUGxhY2VzLlNlYXJjaE5lYXJieRACGAQgAA" TargetMode="External"/><Relationship Id="rId158" Type="http://schemas.openxmlformats.org/officeDocument/2006/relationships/hyperlink" Target="https://www.facebook.com/share/1PuJWpSzSM/?mibextid=wwXIfr" TargetMode="External"/><Relationship Id="rId159" Type="http://schemas.openxmlformats.org/officeDocument/2006/relationships/hyperlink" Target="https://afterschools.olc.tw/afterschools/view/33202406270001" TargetMode="External"/><Relationship Id="rId160" Type="http://schemas.openxmlformats.org/officeDocument/2006/relationships/hyperlink" Target="https://maps.google.com/?cid=4088211649515127756&amp;g_mp=Cilnb29nbGUubWFwcy5wbGFjZXMudjEuUGxhY2VzLlNlYXJjaE5lYXJieRACGAQgAA" TargetMode="External"/><Relationship Id="rId161" Type="http://schemas.openxmlformats.org/officeDocument/2006/relationships/hyperlink" Target="https://www.facebook.com/share/1ALxrer6sB/?mibextid=wwXIfr" TargetMode="External"/><Relationship Id="rId162" Type="http://schemas.openxmlformats.org/officeDocument/2006/relationships/hyperlink" Target="https://afterschools.olc.tw/afterschools/view/33202302100001" TargetMode="External"/><Relationship Id="rId163" Type="http://schemas.openxmlformats.org/officeDocument/2006/relationships/hyperlink" Target="https://maps.google.com/?cid=14176765589222857384&amp;g_mp=Cilnb29nbGUubWFwcy5wbGFjZXMudjEuUGxhY2VzLlNlYXJjaE5lYXJieRACGAQgAA" TargetMode="External"/><Relationship Id="rId164" Type="http://schemas.openxmlformats.org/officeDocument/2006/relationships/hyperlink" Target="http://comma.study/" TargetMode="External"/><Relationship Id="rId165" Type="http://schemas.openxmlformats.org/officeDocument/2006/relationships/hyperlink" Target="https://afterschools.olc.tw/afterschools/view/33202302100001" TargetMode="External"/><Relationship Id="rId166" Type="http://schemas.openxmlformats.org/officeDocument/2006/relationships/hyperlink" Target="https://maps.google.com/?cid=9846410775888078682&amp;g_mp=Cilnb29nbGUubWFwcy5wbGFjZXMudjEuUGxhY2VzLlNlYXJjaE5lYXJieRACGAQgAA" TargetMode="External"/><Relationship Id="rId167" Type="http://schemas.openxmlformats.org/officeDocument/2006/relationships/hyperlink" Target="https://www.facebook.com/profile.php?id=61580289115110" TargetMode="External"/><Relationship Id="rId168" Type="http://schemas.openxmlformats.org/officeDocument/2006/relationships/hyperlink" Target="https://afterschools.olc.tw/afterschools/view/33202606030001" TargetMode="External"/><Relationship Id="rId169" Type="http://schemas.openxmlformats.org/officeDocument/2006/relationships/hyperlink" Target="https://maps.google.com/?cid=72871809881523559&amp;g_mp=Cilnb29nbGUubWFwcy5wbGFjZXMudjEuUGxhY2VzLlNlYXJjaE5lYXJieRACGAQgAA" TargetMode="External"/><Relationship Id="rId170" Type="http://schemas.openxmlformats.org/officeDocument/2006/relationships/hyperlink" Target="https://www.facebook.com/profile.php?id=100064001738820" TargetMode="External"/><Relationship Id="rId171" Type="http://schemas.openxmlformats.org/officeDocument/2006/relationships/hyperlink" Target="https://afterschools.olc.tw/afterschools/view/33202503190001" TargetMode="External"/><Relationship Id="rId172" Type="http://schemas.openxmlformats.org/officeDocument/2006/relationships/hyperlink" Target="https://maps.google.com/?cid=11659924220272489277&amp;g_mp=Cilnb29nbGUubWFwcy5wbGFjZXMudjEuUGxhY2VzLlNlYXJjaE5lYXJieRACGAQgAA" TargetMode="External"/><Relationship Id="rId173" Type="http://schemas.openxmlformats.org/officeDocument/2006/relationships/hyperlink" Target="https://www.facebook.com/RedRockEnglish/" TargetMode="External"/><Relationship Id="rId174" Type="http://schemas.openxmlformats.org/officeDocument/2006/relationships/hyperlink" Target="https://afterschools.olc.tw/afterschools/view/33202511100002" TargetMode="External"/><Relationship Id="rId175" Type="http://schemas.openxmlformats.org/officeDocument/2006/relationships/hyperlink" Target="https://maps.google.com/?cid=17755332729122960395&amp;g_mp=Cilnb29nbGUubWFwcy5wbGFjZXMudjEuUGxhY2VzLlNlYXJjaE5lYXJieRACGAQgAA" TargetMode="External"/><Relationship Id="rId176" Type="http://schemas.openxmlformats.org/officeDocument/2006/relationships/hyperlink" Target="https://afterschools.olc.tw/afterschools/view/33200207240047" TargetMode="External"/><Relationship Id="rId177" Type="http://schemas.openxmlformats.org/officeDocument/2006/relationships/hyperlink" Target="https://maps.google.com/?cid=6123919915457803578&amp;g_mp=Cilnb29nbGUubWFwcy5wbGFjZXMudjEuUGxhY2VzLlNlYXJjaE5lYXJieRACGAQgAA" TargetMode="External"/><Relationship Id="rId178" Type="http://schemas.openxmlformats.org/officeDocument/2006/relationships/hyperlink" Target="https://maps.google.com/?cid=9578364227841256178&amp;g_mp=Cilnb29nbGUubWFwcy5wbGFjZXMudjEuUGxhY2VzLlNlYXJjaE5lYXJieRACGAQgAA" TargetMode="External"/><Relationship Id="rId179" Type="http://schemas.openxmlformats.org/officeDocument/2006/relationships/hyperlink" Target="https://www.facebook.com/bear3872097" TargetMode="External"/><Relationship Id="rId180" Type="http://schemas.openxmlformats.org/officeDocument/2006/relationships/hyperlink" Target="https://afterschools.olc.tw/afterschools/view/33200209160001" TargetMode="External"/><Relationship Id="rId181" Type="http://schemas.openxmlformats.org/officeDocument/2006/relationships/hyperlink" Target="https://maps.google.com/?cid=15787240832110128572&amp;g_mp=Cilnb29nbGUubWFwcy5wbGFjZXMudjEuUGxhY2VzLlNlYXJjaE5lYXJieRACGAQgAA" TargetMode="External"/><Relationship Id="rId182" Type="http://schemas.openxmlformats.org/officeDocument/2006/relationships/hyperlink" Target="https://maps.google.com/?cid=147883186273943520&amp;g_mp=Cilnb29nbGUubWFwcy5wbGFjZXMudjEuUGxhY2VzLlNlYXJjaE5lYXJieRACGAQgAA" TargetMode="External"/><Relationship Id="rId183" Type="http://schemas.openxmlformats.org/officeDocument/2006/relationships/hyperlink" Target="https://maps.google.com/?cid=18370209368332522681&amp;g_mp=Cilnb29nbGUubWFwcy5wbGFjZXMudjEuUGxhY2VzLlNlYXJjaE5lYXJieRACGAQgAA" TargetMode="External"/><Relationship Id="rId184" Type="http://schemas.openxmlformats.org/officeDocument/2006/relationships/hyperlink" Target="https://afterschools.olc.tw/afterschools/view/33201107180001" TargetMode="External"/><Relationship Id="rId185" Type="http://schemas.openxmlformats.org/officeDocument/2006/relationships/hyperlink" Target="https://maps.google.com/?cid=13133463996729627691&amp;g_mp=Cilnb29nbGUubWFwcy5wbGFjZXMudjEuUGxhY2VzLlNlYXJjaE5lYXJieRACGAQgAA" TargetMode="External"/><Relationship Id="rId186" Type="http://schemas.openxmlformats.org/officeDocument/2006/relationships/hyperlink" Target="https://maps.google.com/?cid=8240594889294549895&amp;g_mp=Cilnb29nbGUubWFwcy5wbGFjZXMudjEuUGxhY2VzLlNlYXJjaE5lYXJieRACGAQgAA" TargetMode="External"/><Relationship Id="rId187" Type="http://schemas.openxmlformats.org/officeDocument/2006/relationships/hyperlink" Target="https://afterschools.olc.tw/afterschools/view/33200507120003" TargetMode="External"/><Relationship Id="rId188" Type="http://schemas.openxmlformats.org/officeDocument/2006/relationships/hyperlink" Target="https://maps.google.com/?cid=12900452177462876946&amp;g_mp=Cilnb29nbGUubWFwcy5wbGFjZXMudjEuUGxhY2VzLlNlYXJjaE5lYXJieRACGAQgAA" TargetMode="External"/><Relationship Id="rId189" Type="http://schemas.openxmlformats.org/officeDocument/2006/relationships/hyperlink" Target="https://www.facebook.com/austinlonganschool" TargetMode="External"/><Relationship Id="rId190" Type="http://schemas.openxmlformats.org/officeDocument/2006/relationships/hyperlink" Target="https://afterschools.olc.tw/afterschools/view/33202501070001" TargetMode="External"/><Relationship Id="rId191" Type="http://schemas.openxmlformats.org/officeDocument/2006/relationships/hyperlink" Target="https://maps.google.com/?cid=6861916949558970956&amp;g_mp=Cilnb29nbGUubWFwcy5wbGFjZXMudjEuUGxhY2VzLlNlYXJjaE5lYXJieRACGAQgAA" TargetMode="External"/><Relationship Id="rId192" Type="http://schemas.openxmlformats.org/officeDocument/2006/relationships/hyperlink" Target="https://www.facebook.com/&#32147;&#20856;&#35036;&#32722;&#29677;-&#24464;&#34183;&#33521;&#25991;-&#22283;&#23567;&#37096;-1830379323887907/" TargetMode="External"/><Relationship Id="rId193" Type="http://schemas.openxmlformats.org/officeDocument/2006/relationships/hyperlink" Target="https://afterschools.olc.tw/afterschools/view/33200507040007" TargetMode="External"/><Relationship Id="rId194" Type="http://schemas.openxmlformats.org/officeDocument/2006/relationships/hyperlink" Target="https://maps.google.com/?cid=4820511775959319611&amp;g_mp=Cilnb29nbGUubWFwcy5wbGFjZXMudjEuUGxhY2VzLlNlYXJjaE5lYXJieRACGAQgAA" TargetMode="External"/><Relationship Id="rId195" Type="http://schemas.openxmlformats.org/officeDocument/2006/relationships/hyperlink" Target="https://maps.google.com/?cid=10480629542619071215&amp;g_mp=Cilnb29nbGUubWFwcy5wbGFjZXMudjEuUGxhY2VzLlNlYXJjaE5lYXJieRACGAQgAA" TargetMode="External"/><Relationship Id="rId196" Type="http://schemas.openxmlformats.org/officeDocument/2006/relationships/hyperlink" Target="https://jia-xiang.articulation.website/" TargetMode="External"/><Relationship Id="rId197" Type="http://schemas.openxmlformats.org/officeDocument/2006/relationships/hyperlink" Target="https://afterschools.olc.tw/afterschools/view/33201010280001" TargetMode="External"/><Relationship Id="rId198" Type="http://schemas.openxmlformats.org/officeDocument/2006/relationships/hyperlink" Target="https://maps.google.com/?cid=11989558217325762679&amp;g_mp=Cilnb29nbGUubWFwcy5wbGFjZXMudjEuUGxhY2VzLlNlYXJjaE5lYXJieRACGAQgAA" TargetMode="External"/><Relationship Id="rId199" Type="http://schemas.openxmlformats.org/officeDocument/2006/relationships/hyperlink" Target="https://afterschools.olc.tw/afterschools/view/33200911160001" TargetMode="External"/><Relationship Id="rId200" Type="http://schemas.openxmlformats.org/officeDocument/2006/relationships/hyperlink" Target="https://maps.google.com/?cid=7801825727646148257&amp;g_mp=Cilnb29nbGUubWFwcy5wbGFjZXMudjEuUGxhY2VzLlNlYXJjaE5lYXJieRACGAQgAA" TargetMode="External"/><Relationship Id="rId201" Type="http://schemas.openxmlformats.org/officeDocument/2006/relationships/hyperlink" Target="https://afterschools.olc.tw/afterschools/view/33200507080004" TargetMode="External"/><Relationship Id="rId202" Type="http://schemas.openxmlformats.org/officeDocument/2006/relationships/hyperlink" Target="https://maps.google.com/?cid=2320821223733016244&amp;g_mp=Cilnb29nbGUubWFwcy5wbGFjZXMudjEuUGxhY2VzLlNlYXJjaE5lYXJieRACGAQgAA" TargetMode="External"/><Relationship Id="rId203" Type="http://schemas.openxmlformats.org/officeDocument/2006/relationships/hyperlink" Target="https://afterschools.olc.tw/afterschools/view/33200507080004" TargetMode="External"/><Relationship Id="rId204" Type="http://schemas.openxmlformats.org/officeDocument/2006/relationships/hyperlink" Target="https://maps.google.com/?cid=4105081208091396340&amp;g_mp=Cilnb29nbGUubWFwcy5wbGFjZXMudjEuUGxhY2VzLlNlYXJjaE5lYXJieRACGAQgAA" TargetMode="External"/><Relationship Id="rId205" Type="http://schemas.openxmlformats.org/officeDocument/2006/relationships/hyperlink" Target="https://afterschools.olc.tw/afterschools/view/33202307250001" TargetMode="External"/><Relationship Id="rId206" Type="http://schemas.openxmlformats.org/officeDocument/2006/relationships/hyperlink" Target="https://maps.google.com/?cid=16859520172317723614&amp;g_mp=Cilnb29nbGUubWFwcy5wbGFjZXMudjEuUGxhY2VzLlNlYXJjaE5lYXJieRACGAQgAA" TargetMode="External"/><Relationship Id="rId207" Type="http://schemas.openxmlformats.org/officeDocument/2006/relationships/hyperlink" Target="https://afterschools.olc.tw/afterschools/view/33201002010002" TargetMode="External"/><Relationship Id="rId208" Type="http://schemas.openxmlformats.org/officeDocument/2006/relationships/hyperlink" Target="https://maps.google.com/?cid=16876386804591183682&amp;g_mp=Cilnb29nbGUubWFwcy5wbGFjZXMudjEuUGxhY2VzLlNlYXJjaE5lYXJieRACGAQgAA" TargetMode="External"/><Relationship Id="rId209" Type="http://schemas.openxmlformats.org/officeDocument/2006/relationships/hyperlink" Target="https://lin.ee/cIL0Q0X" TargetMode="External"/><Relationship Id="rId210" Type="http://schemas.openxmlformats.org/officeDocument/2006/relationships/hyperlink" Target="https://maps.google.com/?cid=7758938077229246793&amp;g_mp=Cilnb29nbGUubWFwcy5wbGFjZXMudjEuUGxhY2VzLlNlYXJjaE5lYXJieRACGAQgAA" TargetMode="External"/><Relationship Id="rId211" Type="http://schemas.openxmlformats.org/officeDocument/2006/relationships/hyperlink" Target="https://afterschools.olc.tw/afterschools/view/36202009290001" TargetMode="External"/><Relationship Id="rId212" Type="http://schemas.openxmlformats.org/officeDocument/2006/relationships/hyperlink" Target="https://maps.google.com/?cid=11080097178541350642&amp;g_mp=Cilnb29nbGUubWFwcy5wbGFjZXMudjEuUGxhY2VzLlNlYXJjaE5lYXJieRACGAQgAA" TargetMode="External"/><Relationship Id="rId213" Type="http://schemas.openxmlformats.org/officeDocument/2006/relationships/hyperlink" Target="https://afterschools.olc.tw/afterschools/view/36200406100001" TargetMode="External"/><Relationship Id="rId214" Type="http://schemas.openxmlformats.org/officeDocument/2006/relationships/hyperlink" Target="https://maps.google.com/?cid=9713764555554113044&amp;g_mp=Cilnb29nbGUubWFwcy5wbGFjZXMudjEuUGxhY2VzLlNlYXJjaE5lYXJieRACGAQgAA" TargetMode="External"/><Relationship Id="rId215" Type="http://schemas.openxmlformats.org/officeDocument/2006/relationships/hyperlink" Target="https://afterschools.olc.tw/afterschools/view/36201008050001" TargetMode="External"/><Relationship Id="rId216" Type="http://schemas.openxmlformats.org/officeDocument/2006/relationships/hyperlink" Target="https://maps.google.com/?cid=18247875052884327115&amp;g_mp=Cilnb29nbGUubWFwcy5wbGFjZXMudjEuUGxhY2VzLlNlYXJjaE5lYXJieRACGAQgAA" TargetMode="External"/><Relationship Id="rId217" Type="http://schemas.openxmlformats.org/officeDocument/2006/relationships/hyperlink" Target="http://www.glo.com.tw/" TargetMode="External"/><Relationship Id="rId218" Type="http://schemas.openxmlformats.org/officeDocument/2006/relationships/hyperlink" Target="https://afterschools.olc.tw/afterschools/view/33200612220009" TargetMode="External"/><Relationship Id="rId219" Type="http://schemas.openxmlformats.org/officeDocument/2006/relationships/hyperlink" Target="https://maps.google.com/?cid=3178985590916278911&amp;g_mp=Cilnb29nbGUubWFwcy5wbGFjZXMudjEuUGxhY2VzLlNlYXJjaE5lYXJieRACGAQgAA" TargetMode="External"/><Relationship Id="rId220" Type="http://schemas.openxmlformats.org/officeDocument/2006/relationships/hyperlink" Target="https://www.facebook.com/people/&#34218;&#20659;&#24040;&#20154;&#21319;&#23416;&#35036;&#32722;&#29677;/100092241100023/" TargetMode="External"/><Relationship Id="rId221" Type="http://schemas.openxmlformats.org/officeDocument/2006/relationships/hyperlink" Target="https://maps.google.com/?cid=6488921225147460106&amp;g_mp=Cilnb29nbGUubWFwcy5wbGFjZXMudjEuUGxhY2VzLlNlYXJjaE5lYXJieRACGAQgAA" TargetMode="External"/><Relationship Id="rId222" Type="http://schemas.openxmlformats.org/officeDocument/2006/relationships/hyperlink" Target="https://maps.google.com/?cid=17167602513746233672&amp;g_mp=Cilnb29nbGUubWFwcy5wbGFjZXMudjEuUGxhY2VzLlNlYXJjaE5lYXJieRACGAQgAA" TargetMode="External"/><Relationship Id="rId223" Type="http://schemas.openxmlformats.org/officeDocument/2006/relationships/hyperlink" Target="https://www.facebook.com/&#24859;&#32654;&#35486;&#38364;&#35199;&#20998;&#26657;-100496242582188" TargetMode="External"/><Relationship Id="rId224" Type="http://schemas.openxmlformats.org/officeDocument/2006/relationships/hyperlink" Target="https://afterschools.olc.tw/afterschools/view/36201001280002" TargetMode="External"/><Relationship Id="rId225" Type="http://schemas.openxmlformats.org/officeDocument/2006/relationships/hyperlink" Target="https://maps.google.com/?cid=3830126852697435119&amp;g_mp=Cilnb29nbGUubWFwcy5wbGFjZXMudjEuUGxhY2VzLlNlYXJjaE5lYXJieRACGAQgAA" TargetMode="External"/><Relationship Id="rId226" Type="http://schemas.openxmlformats.org/officeDocument/2006/relationships/hyperlink" Target="https://afterschools.olc.tw/afterschools/view/33202509050002" TargetMode="External"/><Relationship Id="rId227" Type="http://schemas.openxmlformats.org/officeDocument/2006/relationships/hyperlink" Target="https://maps.google.com/?cid=12958951856420763028&amp;g_mp=Cilnb29nbGUubWFwcy5wbGFjZXMudjEuUGxhY2VzLlNlYXJjaE5lYXJieRACGAQgAA" TargetMode="External"/><Relationship Id="rId228" Type="http://schemas.openxmlformats.org/officeDocument/2006/relationships/hyperlink" Target="https://www.facebook.com/austinenglishlight/" TargetMode="External"/><Relationship Id="rId229" Type="http://schemas.openxmlformats.org/officeDocument/2006/relationships/hyperlink" Target="https://afterschools.olc.tw/afterschools/view/33202108160001" TargetMode="External"/><Relationship Id="rId230" Type="http://schemas.openxmlformats.org/officeDocument/2006/relationships/hyperlink" Target="https://maps.google.com/?cid=17325832122382422480&amp;g_mp=Cilnb29nbGUubWFwcy5wbGFjZXMudjEuUGxhY2VzLlNlYXJjaE5lYXJieRACGAQgAA" TargetMode="External"/><Relationship Id="rId231" Type="http://schemas.openxmlformats.org/officeDocument/2006/relationships/hyperlink" Target="https://www.facebook.com/dannykidshukou/" TargetMode="External"/><Relationship Id="rId232" Type="http://schemas.openxmlformats.org/officeDocument/2006/relationships/hyperlink" Target="https://afterschools.olc.tw/afterschools/view/36202501170001" TargetMode="External"/><Relationship Id="rId233" Type="http://schemas.openxmlformats.org/officeDocument/2006/relationships/hyperlink" Target="https://maps.google.com/?cid=2209145546443792600&amp;g_mp=Cilnb29nbGUubWFwcy5wbGFjZXMudjEuUGxhY2VzLlNlYXJjaE5lYXJieRACGAQgAA" TargetMode="External"/><Relationship Id="rId234" Type="http://schemas.openxmlformats.org/officeDocument/2006/relationships/hyperlink" Target="https://afterschools.olc.tw/afterschools/view/33200306020003" TargetMode="External"/><Relationship Id="rId235" Type="http://schemas.openxmlformats.org/officeDocument/2006/relationships/hyperlink" Target="https://maps.google.com/?cid=240151938651357695&amp;g_mp=Cilnb29nbGUubWFwcy5wbGFjZXMudjEuUGxhY2VzLlNlYXJjaE5lYXJieRACGAQgAA" TargetMode="External"/><Relationship Id="rId236" Type="http://schemas.openxmlformats.org/officeDocument/2006/relationships/hyperlink" Target="https://sites.google.com/view/bochyuan/&#39318;&#38913;" TargetMode="External"/><Relationship Id="rId237" Type="http://schemas.openxmlformats.org/officeDocument/2006/relationships/hyperlink" Target="https://afterschools.olc.tw/afterschools/view/33200612210014" TargetMode="External"/><Relationship Id="rId238" Type="http://schemas.openxmlformats.org/officeDocument/2006/relationships/hyperlink" Target="https://maps.google.com/?cid=9671046561170692986&amp;g_mp=Cilnb29nbGUubWFwcy5wbGFjZXMudjEuUGxhY2VzLlNlYXJjaE5lYXJieRACGAQgAA" TargetMode="External"/><Relationship Id="rId239" Type="http://schemas.openxmlformats.org/officeDocument/2006/relationships/hyperlink" Target="https://maps.google.com/?cid=17415218022417043379&amp;g_mp=Cilnb29nbGUubWFwcy5wbGFjZXMudjEuUGxhY2VzLlNlYXJjaE5lYXJieRACGAQgAA" TargetMode="External"/><Relationship Id="rId240" Type="http://schemas.openxmlformats.org/officeDocument/2006/relationships/hyperlink" Target="https://afterschools.olc.tw/afterschools/view/36202002120001" TargetMode="External"/><Relationship Id="rId241" Type="http://schemas.openxmlformats.org/officeDocument/2006/relationships/hyperlink" Target="https://maps.google.com/?cid=12657964811721207265&amp;g_mp=Cilnb29nbGUubWFwcy5wbGFjZXMudjEuUGxhY2VzLlNlYXJjaE5lYXJieRACGAQgAA" TargetMode="External"/><Relationship Id="rId242" Type="http://schemas.openxmlformats.org/officeDocument/2006/relationships/hyperlink" Target="https://afterschools.olc.tw/afterschools/view/36200801160001" TargetMode="External"/><Relationship Id="rId243" Type="http://schemas.openxmlformats.org/officeDocument/2006/relationships/hyperlink" Target="https://maps.google.com/?cid=6439218446177399884&amp;g_mp=Cilnb29nbGUubWFwcy5wbGFjZXMudjEuUGxhY2VzLlNlYXJjaE5lYXJieRACGAQgAA" TargetMode="External"/><Relationship Id="rId244" Type="http://schemas.openxmlformats.org/officeDocument/2006/relationships/hyperlink" Target="https://www.e2afterschool.com/" TargetMode="External"/><Relationship Id="rId245" Type="http://schemas.openxmlformats.org/officeDocument/2006/relationships/hyperlink" Target="https://maps.google.com/?cid=2666009332980519121&amp;g_mp=Cilnb29nbGUubWFwcy5wbGFjZXMudjEuUGxhY2VzLlNlYXJjaE5lYXJieRACGAQgAA" TargetMode="External"/><Relationship Id="rId246" Type="http://schemas.openxmlformats.org/officeDocument/2006/relationships/hyperlink" Target="https://www.facebook.com/&#28023;&#35930;&#40165;&#32654;&#35486;-&#33609;&#28463;&#26657;-329125293539/" TargetMode="External"/><Relationship Id="rId247" Type="http://schemas.openxmlformats.org/officeDocument/2006/relationships/hyperlink" Target="https://afterschools.olc.tw/afterschools/view/33200612210021" TargetMode="External"/><Relationship Id="rId248" Type="http://schemas.openxmlformats.org/officeDocument/2006/relationships/hyperlink" Target="https://maps.google.com/?cid=14775297317793933469&amp;g_mp=Cilnb29nbGUubWFwcy5wbGFjZXMudjEuUGxhY2VzLlNlYXJjaE5lYXJieRACGAQgAA" TargetMode="External"/><Relationship Id="rId249" Type="http://schemas.openxmlformats.org/officeDocument/2006/relationships/hyperlink" Target="https://maps.google.com/?cid=14265135193612750329&amp;g_mp=Cilnb29nbGUubWFwcy5wbGFjZXMudjEuUGxhY2VzLlNlYXJjaE5lYXJieRACGAQgAA" TargetMode="External"/><Relationship Id="rId250" Type="http://schemas.openxmlformats.org/officeDocument/2006/relationships/hyperlink" Target="https://afterschools.olc.tw/afterschools/view/33201008060004" TargetMode="External"/><Relationship Id="rId251" Type="http://schemas.openxmlformats.org/officeDocument/2006/relationships/hyperlink" Target="https://maps.google.com/?cid=1838528830862011972&amp;g_mp=Cilnb29nbGUubWFwcy5wbGFjZXMudjEuUGxhY2VzLlNlYXJjaE5lYXJieRACGAQgAA" TargetMode="External"/><Relationship Id="rId252" Type="http://schemas.openxmlformats.org/officeDocument/2006/relationships/hyperlink" Target="https://afterschools.olc.tw/afterschools/view/36200901200003" TargetMode="External"/><Relationship Id="rId253" Type="http://schemas.openxmlformats.org/officeDocument/2006/relationships/hyperlink" Target="https://maps.google.com/?cid=8393930351964256124&amp;g_mp=Cilnb29nbGUubWFwcy5wbGFjZXMudjEuUGxhY2VzLlNlYXJjaE5lYXJieRACGAQgAA" TargetMode="External"/><Relationship Id="rId254" Type="http://schemas.openxmlformats.org/officeDocument/2006/relationships/hyperlink" Target="https://maps.google.com/?cid=1135817308057355910&amp;g_mp=Cilnb29nbGUubWFwcy5wbGFjZXMudjEuUGxhY2VzLlNlYXJjaE5lYXJieRACGAQgAA" TargetMode="External"/><Relationship Id="rId255" Type="http://schemas.openxmlformats.org/officeDocument/2006/relationships/hyperlink" Target="https://afterschools.olc.tw/afterschools/view/33201103170005" TargetMode="External"/><Relationship Id="rId256" Type="http://schemas.openxmlformats.org/officeDocument/2006/relationships/hyperlink" Target="https://maps.google.com/?cid=3192939386250519507&amp;g_mp=Cilnb29nbGUubWFwcy5wbGFjZXMudjEuUGxhY2VzLlNlYXJjaE5lYXJieRACGAQgAA" TargetMode="External"/><Relationship Id="rId257" Type="http://schemas.openxmlformats.org/officeDocument/2006/relationships/hyperlink" Target="http://www.glo.com.tw/" TargetMode="External"/><Relationship Id="rId258" Type="http://schemas.openxmlformats.org/officeDocument/2006/relationships/hyperlink" Target="https://afterschools.olc.tw/afterschools/view/33200707180011" TargetMode="External"/><Relationship Id="rId259" Type="http://schemas.openxmlformats.org/officeDocument/2006/relationships/hyperlink" Target="https://maps.google.com/?cid=6186639775692339273&amp;g_mp=Cilnb29nbGUubWFwcy5wbGFjZXMudjEuUGxhY2VzLlNlYXJjaE5lYXJieRACGAQgAA" TargetMode="External"/><Relationship Id="rId260" Type="http://schemas.openxmlformats.org/officeDocument/2006/relationships/hyperlink" Target="https://chun-yang.weebly.com/" TargetMode="External"/><Relationship Id="rId261" Type="http://schemas.openxmlformats.org/officeDocument/2006/relationships/hyperlink" Target="https://afterschools.olc.tw/afterschools/view/33200804280010" TargetMode="External"/><Relationship Id="rId262" Type="http://schemas.openxmlformats.org/officeDocument/2006/relationships/hyperlink" Target="https://maps.google.com/?cid=12749131193607395473&amp;g_mp=Cilnb29nbGUubWFwcy5wbGFjZXMudjEuUGxhY2VzLlNlYXJjaE5lYXJieRACGAQgAA" TargetMode="External"/><Relationship Id="rId263" Type="http://schemas.openxmlformats.org/officeDocument/2006/relationships/hyperlink" Target="https://austinenglish.com.tw/" TargetMode="External"/><Relationship Id="rId264" Type="http://schemas.openxmlformats.org/officeDocument/2006/relationships/hyperlink" Target="https://afterschools.olc.tw/afterschools/view/33202310020001" TargetMode="External"/><Relationship Id="rId265" Type="http://schemas.openxmlformats.org/officeDocument/2006/relationships/hyperlink" Target="https://maps.google.com/?cid=5150303975398947100&amp;g_mp=Cilnb29nbGUubWFwcy5wbGFjZXMudjEuUGxhY2VzLlNlYXJjaE5lYXJieRACGAQgAA" TargetMode="External"/><Relationship Id="rId266" Type="http://schemas.openxmlformats.org/officeDocument/2006/relationships/hyperlink" Target="https://m.facebook.com/pages/category/Day-Care/&#24800;&#32724;&#32654;&#35486;&#30701;&#26399;&#35036;&#32722;&#29677;-218908854793104/?locale2=zh_TW" TargetMode="External"/><Relationship Id="rId267" Type="http://schemas.openxmlformats.org/officeDocument/2006/relationships/hyperlink" Target="https://maps.google.com/?cid=235626296435550090&amp;g_mp=Cilnb29nbGUubWFwcy5wbGFjZXMudjEuUGxhY2VzLlNlYXJjaE5lYXJieRACGAQgAA" TargetMode="External"/><Relationship Id="rId268" Type="http://schemas.openxmlformats.org/officeDocument/2006/relationships/hyperlink" Target="https://maps.google.com/?cid=4064459156930241107&amp;g_mp=Cilnb29nbGUubWFwcy5wbGFjZXMudjEuUGxhY2VzLlNlYXJjaE5lYXJieRACGAQgAA" TargetMode="External"/><Relationship Id="rId269" Type="http://schemas.openxmlformats.org/officeDocument/2006/relationships/hyperlink" Target="https://afterschools.olc.tw/afterschools/view/21200304030006" TargetMode="External"/><Relationship Id="rId270" Type="http://schemas.openxmlformats.org/officeDocument/2006/relationships/hyperlink" Target="https://maps.google.com/?cid=17378193242969934326&amp;g_mp=Cilnb29nbGUubWFwcy5wbGFjZXMudjEuUGxhY2VzLlNlYXJjaE5lYXJieRACGAQgAA" TargetMode="External"/><Relationship Id="rId271" Type="http://schemas.openxmlformats.org/officeDocument/2006/relationships/hyperlink" Target="https://m.facebook.com/100083613390584/" TargetMode="External"/><Relationship Id="rId272" Type="http://schemas.openxmlformats.org/officeDocument/2006/relationships/hyperlink" Target="https://afterschools.olc.tw/afterschools/view/21200304030006" TargetMode="External"/><Relationship Id="rId273" Type="http://schemas.openxmlformats.org/officeDocument/2006/relationships/hyperlink" Target="https://maps.google.com/?cid=9217813058763757645&amp;g_mp=Cilnb29nbGUubWFwcy5wbGFjZXMudjEuUGxhY2VzLlNlYXJjaE5lYXJieRACGAQgAA" TargetMode="External"/><Relationship Id="rId274" Type="http://schemas.openxmlformats.org/officeDocument/2006/relationships/hyperlink" Target="https://m.facebook.com/lovegiraffeGN/?locale2=zh_TW" TargetMode="External"/><Relationship Id="rId275" Type="http://schemas.openxmlformats.org/officeDocument/2006/relationships/hyperlink" Target="https://afterschools.olc.tw/afterschools/view/33200507130018" TargetMode="External"/><Relationship Id="rId276" Type="http://schemas.openxmlformats.org/officeDocument/2006/relationships/hyperlink" Target="https://maps.google.com/?cid=8523702580769682223&amp;g_mp=Cilnb29nbGUubWFwcy5wbGFjZXMudjEuUGxhY2VzLlNlYXJjaE5lYXJieRACGAQgAA" TargetMode="External"/><Relationship Id="rId277" Type="http://schemas.openxmlformats.org/officeDocument/2006/relationships/hyperlink" Target="https://winner-english.weebly.com/" TargetMode="External"/><Relationship Id="rId278" Type="http://schemas.openxmlformats.org/officeDocument/2006/relationships/hyperlink" Target="https://afterschools.olc.tw/afterschools/view/33201601050002" TargetMode="External"/><Relationship Id="rId279" Type="http://schemas.openxmlformats.org/officeDocument/2006/relationships/hyperlink" Target="https://maps.google.com/?cid=11603259384907977558&amp;g_mp=Cilnb29nbGUubWFwcy5wbGFjZXMudjEuUGxhY2VzLlNlYXJjaE5lYXJieRACGAQgAA" TargetMode="External"/><Relationship Id="rId280" Type="http://schemas.openxmlformats.org/officeDocument/2006/relationships/hyperlink" Target="https://maps.google.com/?cid=8945207782513814034&amp;g_mp=Cilnb29nbGUubWFwcy5wbGFjZXMudjEuUGxhY2VzLlNlYXJjaE5lYXJieRACGAQgAA" TargetMode="External"/><Relationship Id="rId281" Type="http://schemas.openxmlformats.org/officeDocument/2006/relationships/hyperlink" Target="https://afterschools.olc.tw/afterschools/view/33200507080017" TargetMode="External"/><Relationship Id="rId282" Type="http://schemas.openxmlformats.org/officeDocument/2006/relationships/hyperlink" Target="https://maps.google.com/?cid=16139118546310347088&amp;g_mp=Cilnb29nbGUubWFwcy5wbGFjZXMudjEuUGxhY2VzLlNlYXJjaE5lYXJieRACGAQgAA" TargetMode="External"/><Relationship Id="rId283" Type="http://schemas.openxmlformats.org/officeDocument/2006/relationships/hyperlink" Target="https://www.facebook.com/profile.php?id=100083101672465" TargetMode="External"/><Relationship Id="rId284" Type="http://schemas.openxmlformats.org/officeDocument/2006/relationships/hyperlink" Target="https://afterschools.olc.tw/afterschools/view/33202205020001" TargetMode="External"/><Relationship Id="rId285" Type="http://schemas.openxmlformats.org/officeDocument/2006/relationships/hyperlink" Target="https://maps.google.com/?cid=2001121843865286262&amp;g_mp=Cilnb29nbGUubWFwcy5wbGFjZXMudjEuUGxhY2VzLlNlYXJjaE5lYXJieRACGAQgAA" TargetMode="External"/><Relationship Id="rId286" Type="http://schemas.openxmlformats.org/officeDocument/2006/relationships/hyperlink" Target="https://afterschools.olc.tw/afterschools/view/33202308230001" TargetMode="External"/><Relationship Id="rId287" Type="http://schemas.openxmlformats.org/officeDocument/2006/relationships/hyperlink" Target="https://maps.google.com/?cid=5402316175134120272&amp;g_mp=Cilnb29nbGUubWFwcy5wbGFjZXMudjEuUGxhY2VzLlNlYXJjaE5lYXJieRACGAQgAA" TargetMode="External"/><Relationship Id="rId288" Type="http://schemas.openxmlformats.org/officeDocument/2006/relationships/hyperlink" Target="https://afterschools.olc.tw/afterschools/view/21200505160005" TargetMode="External"/><Relationship Id="rId289" Type="http://schemas.openxmlformats.org/officeDocument/2006/relationships/hyperlink" Target="https://maps.google.com/?cid=11517522815217016364&amp;g_mp=Cilnb29nbGUubWFwcy5wbGFjZXMudjEuUGxhY2VzLlNlYXJjaE5lYXJieRACGAQgAA" TargetMode="External"/><Relationship Id="rId290" Type="http://schemas.openxmlformats.org/officeDocument/2006/relationships/hyperlink" Target="https://maps.google.com/?cid=9921404017151092690&amp;g_mp=Cilnb29nbGUubWFwcy5wbGFjZXMudjEuUGxhY2VzLlNlYXJjaE5lYXJieRACGAQgAA" TargetMode="External"/><Relationship Id="rId291" Type="http://schemas.openxmlformats.org/officeDocument/2006/relationships/hyperlink" Target="https://lin.ee/jsD1IMW" TargetMode="External"/><Relationship Id="rId292" Type="http://schemas.openxmlformats.org/officeDocument/2006/relationships/hyperlink" Target="https://afterschools.olc.tw/afterschools/view/33202404250001" TargetMode="External"/><Relationship Id="rId293" Type="http://schemas.openxmlformats.org/officeDocument/2006/relationships/hyperlink" Target="https://maps.google.com/?cid=16549519668812569714&amp;g_mp=Cilnb29nbGUubWFwcy5wbGFjZXMudjEuUGxhY2VzLlNlYXJjaE5lYXJieRACGAQgAA" TargetMode="External"/><Relationship Id="rId294" Type="http://schemas.openxmlformats.org/officeDocument/2006/relationships/hyperlink" Target="https://afterschools.olc.tw/afterschools/view/21200412300001" TargetMode="External"/><Relationship Id="rId295" Type="http://schemas.openxmlformats.org/officeDocument/2006/relationships/hyperlink" Target="https://maps.google.com/?cid=4419043082239904887&amp;g_mp=Cilnb29nbGUubWFwcy5wbGFjZXMudjEuUGxhY2VzLlNlYXJjaE5lYXJieRACGAQgAA" TargetMode="External"/><Relationship Id="rId296" Type="http://schemas.openxmlformats.org/officeDocument/2006/relationships/hyperlink" Target="https://lin.ee/OOTIaWK" TargetMode="External"/><Relationship Id="rId297" Type="http://schemas.openxmlformats.org/officeDocument/2006/relationships/hyperlink" Target="https://afterschools.olc.tw/afterschools/view/33200209130028" TargetMode="External"/><Relationship Id="rId298" Type="http://schemas.openxmlformats.org/officeDocument/2006/relationships/hyperlink" Target="https://maps.google.com/?cid=11584361116529656085&amp;g_mp=Cilnb29nbGUubWFwcy5wbGFjZXMudjEuUGxhY2VzLlNlYXJjaE5lYXJieRACGAQgAA" TargetMode="External"/><Relationship Id="rId299" Type="http://schemas.openxmlformats.org/officeDocument/2006/relationships/hyperlink" Target="https://afterschools.olc.tw/afterschools/view/21202207200001" TargetMode="External"/><Relationship Id="rId300" Type="http://schemas.openxmlformats.org/officeDocument/2006/relationships/hyperlink" Target="https://maps.google.com/?cid=16798625233636299584&amp;g_mp=Cilnb29nbGUubWFwcy5wbGFjZXMudjEuUGxhY2VzLlNlYXJjaE5lYXJieRACGAQgAA" TargetMode="External"/><Relationship Id="rId301" Type="http://schemas.openxmlformats.org/officeDocument/2006/relationships/hyperlink" Target="https://www.judy-english.com/" TargetMode="External"/><Relationship Id="rId302" Type="http://schemas.openxmlformats.org/officeDocument/2006/relationships/hyperlink" Target="https://afterschools.olc.tw/afterschools/view/21200406230001" TargetMode="External"/><Relationship Id="rId303" Type="http://schemas.openxmlformats.org/officeDocument/2006/relationships/hyperlink" Target="https://maps.google.com/?cid=16850024119125160988&amp;g_mp=Cilnb29nbGUubWFwcy5wbGFjZXMudjEuUGxhY2VzLlNlYXJjaE5lYXJieRACGAQgAA" TargetMode="External"/><Relationship Id="rId304" Type="http://schemas.openxmlformats.org/officeDocument/2006/relationships/hyperlink" Target="https://www.facebook.com/YinggeShengher" TargetMode="External"/><Relationship Id="rId305" Type="http://schemas.openxmlformats.org/officeDocument/2006/relationships/hyperlink" Target="https://afterschools.olc.tw/afterschools/view/21200509090002" TargetMode="External"/><Relationship Id="rId306" Type="http://schemas.openxmlformats.org/officeDocument/2006/relationships/hyperlink" Target="https://maps.google.com/?cid=13378954287840532386&amp;g_mp=Cilnb29nbGUubWFwcy5wbGFjZXMudjEuUGxhY2VzLlNlYXJjaE5lYXJieRACGAQgAA" TargetMode="External"/><Relationship Id="rId307" Type="http://schemas.openxmlformats.org/officeDocument/2006/relationships/hyperlink" Target="https://maps.google.com/?cid=15482487916398881806&amp;g_mp=Cilnb29nbGUubWFwcy5wbGFjZXMudjEuUGxhY2VzLlNlYXJjaE5lYXJieRACGAQgAA" TargetMode="External"/><Relationship Id="rId308" Type="http://schemas.openxmlformats.org/officeDocument/2006/relationships/hyperlink" Target="https://page.line.me/bvr9721q" TargetMode="External"/><Relationship Id="rId309" Type="http://schemas.openxmlformats.org/officeDocument/2006/relationships/hyperlink" Target="https://maps.google.com/?cid=11898897354200560128&amp;g_mp=Cilnb29nbGUubWFwcy5wbGFjZXMudjEuUGxhY2VzLlNlYXJjaE5lYXJieRACGAQgAA" TargetMode="External"/><Relationship Id="rId310" Type="http://schemas.openxmlformats.org/officeDocument/2006/relationships/hyperlink" Target="https://www.facebook.com/yinggeaustin/" TargetMode="External"/><Relationship Id="rId311" Type="http://schemas.openxmlformats.org/officeDocument/2006/relationships/hyperlink" Target="https://afterschools.olc.tw/afterschools/view/21202312060001" TargetMode="External"/><Relationship Id="rId312" Type="http://schemas.openxmlformats.org/officeDocument/2006/relationships/hyperlink" Target="https://maps.google.com/?cid=17952011757735515433&amp;g_mp=Cilnb29nbGUubWFwcy5wbGFjZXMudjEuUGxhY2VzLlNlYXJjaE5lYXJieRACGAQgAA" TargetMode="External"/><Relationship Id="rId313" Type="http://schemas.openxmlformats.org/officeDocument/2006/relationships/hyperlink" Target="https://b3school.com/" TargetMode="External"/><Relationship Id="rId314" Type="http://schemas.openxmlformats.org/officeDocument/2006/relationships/hyperlink" Target="https://afterschools.olc.tw/afterschools/view/21200307310003" TargetMode="External"/><Relationship Id="rId315" Type="http://schemas.openxmlformats.org/officeDocument/2006/relationships/hyperlink" Target="https://maps.google.com/?cid=18432274182316596293&amp;g_mp=Cilnb29nbGUubWFwcy5wbGFjZXMudjEuUGxhY2VzLlNlYXJjaE5lYXJieRACGAQgAA" TargetMode="External"/><Relationship Id="rId316" Type="http://schemas.openxmlformats.org/officeDocument/2006/relationships/hyperlink" Target="https://www.facebook.com/wenshianzb" TargetMode="External"/><Relationship Id="rId317" Type="http://schemas.openxmlformats.org/officeDocument/2006/relationships/hyperlink" Target="https://afterschools.olc.tw/afterschools/view/36200901200001" TargetMode="External"/><Relationship Id="rId318" Type="http://schemas.openxmlformats.org/officeDocument/2006/relationships/hyperlink" Target="https://maps.google.com/?cid=15856574093353569986&amp;g_mp=Cilnb29nbGUubWFwcy5wbGFjZXMudjEuUGxhY2VzLlNlYXJjaE5lYXJieRACGAQgAA" TargetMode="External"/><Relationship Id="rId319" Type="http://schemas.openxmlformats.org/officeDocument/2006/relationships/hyperlink" Target="https://www.facebook.com/eaglehsinfeng" TargetMode="External"/><Relationship Id="rId320" Type="http://schemas.openxmlformats.org/officeDocument/2006/relationships/hyperlink" Target="https://afterschools.olc.tw/afterschools/view/36201312290001" TargetMode="External"/><Relationship Id="rId321" Type="http://schemas.openxmlformats.org/officeDocument/2006/relationships/hyperlink" Target="https://maps.google.com/?cid=11952706487950066176&amp;g_mp=Cilnb29nbGUubWFwcy5wbGFjZXMudjEuUGxhY2VzLlNlYXJjaE5lYXJieRACGAQgAA" TargetMode="External"/><Relationship Id="rId322" Type="http://schemas.openxmlformats.org/officeDocument/2006/relationships/hyperlink" Target="https://afterschools.olc.tw/afterschools/view/33200207300034" TargetMode="External"/><Relationship Id="rId323" Type="http://schemas.openxmlformats.org/officeDocument/2006/relationships/hyperlink" Target="https://maps.google.com/?cid=12445602330240325670&amp;g_mp=Cilnb29nbGUubWFwcy5wbGFjZXMudjEuUGxhY2VzLlNlYXJjaE5lYXJieRACGAQgAA" TargetMode="External"/><Relationship Id="rId324" Type="http://schemas.openxmlformats.org/officeDocument/2006/relationships/hyperlink" Target="https://www.facebook.com/share/187mVxkYqZ/?mibextid=wwXIfr" TargetMode="External"/><Relationship Id="rId325" Type="http://schemas.openxmlformats.org/officeDocument/2006/relationships/hyperlink" Target="https://afterschools.olc.tw/afterschools/view/36202309230002" TargetMode="External"/><Relationship Id="rId326" Type="http://schemas.openxmlformats.org/officeDocument/2006/relationships/hyperlink" Target="https://maps.google.com/?cid=2767888211527971697&amp;g_mp=Cilnb29nbGUubWFwcy5wbGFjZXMudjEuUGxhY2VzLlNlYXJjaE5lYXJieRACGAQgAA" TargetMode="External"/><Relationship Id="rId327" Type="http://schemas.openxmlformats.org/officeDocument/2006/relationships/hyperlink" Target="https://www.facebook.com/pg/33winwin/about/" TargetMode="External"/><Relationship Id="rId328" Type="http://schemas.openxmlformats.org/officeDocument/2006/relationships/hyperlink" Target="https://afterschools.olc.tw/afterschools/view/36200607240001" TargetMode="External"/><Relationship Id="rId329" Type="http://schemas.openxmlformats.org/officeDocument/2006/relationships/hyperlink" Target="https://maps.google.com/?cid=156644005763506941&amp;g_mp=Cilnb29nbGUubWFwcy5wbGFjZXMudjEuUGxhY2VzLlNlYXJjaE5lYXJieRACGAQgAA" TargetMode="External"/><Relationship Id="rId330" Type="http://schemas.openxmlformats.org/officeDocument/2006/relationships/hyperlink" Target="https://afterschools.olc.tw/afterschools/view/36201711220001" TargetMode="External"/><Relationship Id="rId331" Type="http://schemas.openxmlformats.org/officeDocument/2006/relationships/hyperlink" Target="https://maps.google.com/?cid=12414411095172997513&amp;g_mp=Cilnb29nbGUubWFwcy5wbGFjZXMudjEuUGxhY2VzLlNlYXJjaE5lYXJieRACGAQgAA" TargetMode="External"/><Relationship Id="rId332" Type="http://schemas.openxmlformats.org/officeDocument/2006/relationships/hyperlink" Target="https://maps.google.com/?cid=3237018137725364278&amp;g_mp=Cilnb29nbGUubWFwcy5wbGFjZXMudjEuUGxhY2VzLlNlYXJjaE5lYXJieRACGAQgAA" TargetMode="External"/><Relationship Id="rId333" Type="http://schemas.openxmlformats.org/officeDocument/2006/relationships/hyperlink" Target="https://www.facebook.com/WinLinSchool?mibextid=ZbWKwL" TargetMode="External"/><Relationship Id="rId334" Type="http://schemas.openxmlformats.org/officeDocument/2006/relationships/hyperlink" Target="https://maps.google.com/?cid=1519035798172719987&amp;g_mp=Cilnb29nbGUubWFwcy5wbGFjZXMudjEuUGxhY2VzLlNlYXJjaE5lYXJieRACGAQgAA" TargetMode="External"/><Relationship Id="rId335" Type="http://schemas.openxmlformats.org/officeDocument/2006/relationships/hyperlink" Target="https://www.facebook.com/profile.php?id=61582188993059" TargetMode="External"/><Relationship Id="rId336" Type="http://schemas.openxmlformats.org/officeDocument/2006/relationships/hyperlink" Target="https://afterschools.olc.tw/afterschools/view/36202604270001" TargetMode="External"/><Relationship Id="rId337" Type="http://schemas.openxmlformats.org/officeDocument/2006/relationships/hyperlink" Target="https://maps.google.com/?cid=9080127589191330602&amp;g_mp=Cilnb29nbGUubWFwcy5wbGFjZXMudjEuUGxhY2VzLlNlYXJjaE5lYXJieRACGAQgAA" TargetMode="External"/><Relationship Id="rId338" Type="http://schemas.openxmlformats.org/officeDocument/2006/relationships/hyperlink" Target="https://wentelan.vercel.app/" TargetMode="External"/><Relationship Id="rId339" Type="http://schemas.openxmlformats.org/officeDocument/2006/relationships/hyperlink" Target="https://afterschools.olc.tw/afterschools/view/33200210040006" TargetMode="External"/><Relationship Id="rId340" Type="http://schemas.openxmlformats.org/officeDocument/2006/relationships/hyperlink" Target="https://maps.google.com/?cid=8869489318183529185&amp;g_mp=Cilnb29nbGUubWFwcy5wbGFjZXMudjEuUGxhY2VzLlNlYXJjaE5lYXJieRACGAQgAA" TargetMode="External"/><Relationship Id="rId341" Type="http://schemas.openxmlformats.org/officeDocument/2006/relationships/hyperlink" Target="https://afterschools.olc.tw/afterschools/view/21201205210001" TargetMode="External"/><Relationship Id="rId342" Type="http://schemas.openxmlformats.org/officeDocument/2006/relationships/hyperlink" Target="https://maps.google.com/?cid=16884132785800534533&amp;g_mp=Cilnb29nbGUubWFwcy5wbGFjZXMudjEuUGxhY2VzLlNlYXJjaE5lYXJieRACGAQgAA" TargetMode="External"/><Relationship Id="rId343" Type="http://schemas.openxmlformats.org/officeDocument/2006/relationships/hyperlink" Target="https://afterschools.olc.tw/afterschools/view/21200809230001" TargetMode="External"/><Relationship Id="rId344" Type="http://schemas.openxmlformats.org/officeDocument/2006/relationships/hyperlink" Target="https://maps.google.com/?cid=10681572769613628438&amp;g_mp=Cilnb29nbGUubWFwcy5wbGFjZXMudjEuUGxhY2VzLlNlYXJjaE5lYXJieRACGAQgAA" TargetMode="External"/><Relationship Id="rId345" Type="http://schemas.openxmlformats.org/officeDocument/2006/relationships/hyperlink" Target="https://www.facebook.com/happylionzhubei/" TargetMode="External"/><Relationship Id="rId346" Type="http://schemas.openxmlformats.org/officeDocument/2006/relationships/hyperlink" Target="https://maps.google.com/?cid=13853490090923483113&amp;g_mp=Cilnb29nbGUubWFwcy5wbGFjZXMudjEuUGxhY2VzLlNlYXJjaE5lYXJieRACGAQgAA" TargetMode="External"/><Relationship Id="rId347" Type="http://schemas.openxmlformats.org/officeDocument/2006/relationships/hyperlink" Target="https://maps.google.com/?cid=14312453235238107361&amp;g_mp=Cilnb29nbGUubWFwcy5wbGFjZXMudjEuUGxhY2VzLlNlYXJjaE5lYXJieRACGAQgAA" TargetMode="External"/><Relationship Id="rId348" Type="http://schemas.openxmlformats.org/officeDocument/2006/relationships/hyperlink" Target="https://maps.google.com/?cid=11054551923795664004&amp;g_mp=Cilnb29nbGUubWFwcy5wbGFjZXMudjEuUGxhY2VzLlNlYXJjaE5lYXJieRACGAQgAA" TargetMode="External"/><Relationship Id="rId349" Type="http://schemas.openxmlformats.org/officeDocument/2006/relationships/hyperlink" Target="https://afterschools.olc.tw/afterschools/view/36200205220001" TargetMode="External"/><Relationship Id="rId350" Type="http://schemas.openxmlformats.org/officeDocument/2006/relationships/hyperlink" Target="https://maps.google.com/?cid=8845373364631860817&amp;g_mp=Cilnb29nbGUubWFwcy5wbGFjZXMudjEuUGxhY2VzLlNlYXJjaE5lYXJieRACGAQgAA" TargetMode="External"/><Relationship Id="rId35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hyperlink" Target="https://afterschools.olc.tw/afterschools/view/20200811181593" TargetMode="External"/><Relationship Id="rId2" Type="http://schemas.openxmlformats.org/officeDocument/2006/relationships/hyperlink" Target="https://afterschools.olc.tw/afterschools/view/20201512160007" TargetMode="External"/><Relationship Id="rId3" Type="http://schemas.openxmlformats.org/officeDocument/2006/relationships/hyperlink" Target="https://afterschools.olc.tw/afterschools/view/20201703140051" TargetMode="External"/><Relationship Id="rId4" Type="http://schemas.openxmlformats.org/officeDocument/2006/relationships/hyperlink" Target="https://afterschools.olc.tw/afterschools/view/20201508220007" TargetMode="External"/><Relationship Id="rId5" Type="http://schemas.openxmlformats.org/officeDocument/2006/relationships/hyperlink" Target="https://afterschools.olc.tw/afterschools/view/20202607290001" TargetMode="External"/><Relationship Id="rId6" Type="http://schemas.openxmlformats.org/officeDocument/2006/relationships/hyperlink" Target="https://afterschools.olc.tw/afterschools/view/20200811180810" TargetMode="External"/><Relationship Id="rId7" Type="http://schemas.openxmlformats.org/officeDocument/2006/relationships/hyperlink" Target="https://afterschools.olc.tw/afterschools/view/20200811180644" TargetMode="External"/><Relationship Id="rId8" Type="http://schemas.openxmlformats.org/officeDocument/2006/relationships/hyperlink" Target="https://afterschools.olc.tw/afterschools/view/20201703140603" TargetMode="External"/><Relationship Id="rId9" Type="http://schemas.openxmlformats.org/officeDocument/2006/relationships/hyperlink" Target="https://afterschools.olc.tw/afterschools/view/20200811180422" TargetMode="External"/><Relationship Id="rId10" Type="http://schemas.openxmlformats.org/officeDocument/2006/relationships/hyperlink" Target="https://afterschools.olc.tw/afterschools/view/20201703140628" TargetMode="External"/><Relationship Id="rId11" Type="http://schemas.openxmlformats.org/officeDocument/2006/relationships/hyperlink" Target="https://afterschools.olc.tw/afterschools/view/20200811181141" TargetMode="External"/><Relationship Id="rId12" Type="http://schemas.openxmlformats.org/officeDocument/2006/relationships/hyperlink" Target="https://afterschools.olc.tw/afterschools/view/20200811191535" TargetMode="External"/><Relationship Id="rId13" Type="http://schemas.openxmlformats.org/officeDocument/2006/relationships/hyperlink" Target="https://afterschools.olc.tw/afterschools/view/20202305250003" TargetMode="External"/><Relationship Id="rId14" Type="http://schemas.openxmlformats.org/officeDocument/2006/relationships/hyperlink" Target="https://afterschools.olc.tw/afterschools/view/20201703140178" TargetMode="External"/><Relationship Id="rId15" Type="http://schemas.openxmlformats.org/officeDocument/2006/relationships/hyperlink" Target="https://afterschools.olc.tw/afterschools/view/20200811180038" TargetMode="External"/><Relationship Id="rId16" Type="http://schemas.openxmlformats.org/officeDocument/2006/relationships/hyperlink" Target="https://afterschools.olc.tw/afterschools/view/20200811190122" TargetMode="External"/><Relationship Id="rId17" Type="http://schemas.openxmlformats.org/officeDocument/2006/relationships/hyperlink" Target="https://afterschools.olc.tw/afterschools/view/20201703140105" TargetMode="External"/><Relationship Id="rId18" Type="http://schemas.openxmlformats.org/officeDocument/2006/relationships/hyperlink" Target="https://afterschools.olc.tw/afterschools/view/20200811180183" TargetMode="External"/><Relationship Id="rId19" Type="http://schemas.openxmlformats.org/officeDocument/2006/relationships/hyperlink" Target="https://afterschools.olc.tw/afterschools/view/20200811190968" TargetMode="External"/><Relationship Id="rId20" Type="http://schemas.openxmlformats.org/officeDocument/2006/relationships/hyperlink" Target="https://afterschools.olc.tw/afterschools/view/20200811190197" TargetMode="External"/><Relationship Id="rId21" Type="http://schemas.openxmlformats.org/officeDocument/2006/relationships/hyperlink" Target="https://afterschools.olc.tw/afterschools/view/20200811190673" TargetMode="External"/><Relationship Id="rId22" Type="http://schemas.openxmlformats.org/officeDocument/2006/relationships/hyperlink" Target="https://afterschools.olc.tw/afterschools/view/20201408010001" TargetMode="External"/><Relationship Id="rId23" Type="http://schemas.openxmlformats.org/officeDocument/2006/relationships/hyperlink" Target="https://afterschools.olc.tw/afterschools/view/20201703140678" TargetMode="External"/><Relationship Id="rId24" Type="http://schemas.openxmlformats.org/officeDocument/2006/relationships/hyperlink" Target="https://afterschools.olc.tw/afterschools/view/20202412090001" TargetMode="External"/><Relationship Id="rId25" Type="http://schemas.openxmlformats.org/officeDocument/2006/relationships/hyperlink" Target="https://afterschools.olc.tw/afterschools/view/20200811191634" TargetMode="External"/><Relationship Id="rId26" Type="http://schemas.openxmlformats.org/officeDocument/2006/relationships/hyperlink" Target="https://afterschools.olc.tw/afterschools/view/20201703140359" TargetMode="External"/><Relationship Id="rId27" Type="http://schemas.openxmlformats.org/officeDocument/2006/relationships/hyperlink" Target="https://afterschools.olc.tw/afterschools/view/20201605240002" TargetMode="External"/><Relationship Id="rId28" Type="http://schemas.openxmlformats.org/officeDocument/2006/relationships/hyperlink" Target="https://afterschools.olc.tw/afterschools/view/20200811190063" TargetMode="External"/><Relationship Id="rId29" Type="http://schemas.openxmlformats.org/officeDocument/2006/relationships/hyperlink" Target="https://afterschools.olc.tw/afterschools/view/20202303230001" TargetMode="External"/><Relationship Id="rId30" Type="http://schemas.openxmlformats.org/officeDocument/2006/relationships/hyperlink" Target="https://afterschools.olc.tw/afterschools/view/20200811190643" TargetMode="External"/><Relationship Id="rId31" Type="http://schemas.openxmlformats.org/officeDocument/2006/relationships/hyperlink" Target="https://afterschools.olc.tw/afterschools/view/20201703140485" TargetMode="External"/><Relationship Id="rId32" Type="http://schemas.openxmlformats.org/officeDocument/2006/relationships/hyperlink" Target="https://afterschools.olc.tw/afterschools/view/20201703140484" TargetMode="External"/><Relationship Id="rId33" Type="http://schemas.openxmlformats.org/officeDocument/2006/relationships/hyperlink" Target="https://afterschools.olc.tw/afterschools/view/20201502260001" TargetMode="External"/><Relationship Id="rId34" Type="http://schemas.openxmlformats.org/officeDocument/2006/relationships/hyperlink" Target="https://afterschools.olc.tw/afterschools/view/20200811190750" TargetMode="External"/><Relationship Id="rId35" Type="http://schemas.openxmlformats.org/officeDocument/2006/relationships/hyperlink" Target="https://afterschools.olc.tw/afterschools/view/20201702240001" TargetMode="External"/><Relationship Id="rId36" Type="http://schemas.openxmlformats.org/officeDocument/2006/relationships/hyperlink" Target="https://afterschools.olc.tw/afterschools/view/20200811190654" TargetMode="External"/><Relationship Id="rId37" Type="http://schemas.openxmlformats.org/officeDocument/2006/relationships/hyperlink" Target="https://afterschools.olc.tw/afterschools/view/20200811181529" TargetMode="External"/><Relationship Id="rId38" Type="http://schemas.openxmlformats.org/officeDocument/2006/relationships/hyperlink" Target="https://afterschools.olc.tw/afterschools/view/20201703140289" TargetMode="External"/><Relationship Id="rId39" Type="http://schemas.openxmlformats.org/officeDocument/2006/relationships/hyperlink" Target="https://afterschools.olc.tw/afterschools/view/20200811181301" TargetMode="External"/><Relationship Id="rId40" Type="http://schemas.openxmlformats.org/officeDocument/2006/relationships/hyperlink" Target="https://afterschools.olc.tw/afterschools/view/20201703140288" TargetMode="External"/><Relationship Id="rId41" Type="http://schemas.openxmlformats.org/officeDocument/2006/relationships/hyperlink" Target="https://afterschools.olc.tw/afterschools/view/20201010180051" TargetMode="External"/><Relationship Id="rId42" Type="http://schemas.openxmlformats.org/officeDocument/2006/relationships/hyperlink" Target="https://afterschools.olc.tw/afterschools/view/20201010180038" TargetMode="External"/><Relationship Id="rId43" Type="http://schemas.openxmlformats.org/officeDocument/2006/relationships/hyperlink" Target="https://afterschools.olc.tw/afterschools/view/20201010180036" TargetMode="External"/><Relationship Id="rId44" Type="http://schemas.openxmlformats.org/officeDocument/2006/relationships/hyperlink" Target="https://afterschools.olc.tw/afterschools/view/20200811190072" TargetMode="External"/><Relationship Id="rId45" Type="http://schemas.openxmlformats.org/officeDocument/2006/relationships/hyperlink" Target="https://afterschools.olc.tw/afterschools/view/20200811190359" TargetMode="External"/><Relationship Id="rId46" Type="http://schemas.openxmlformats.org/officeDocument/2006/relationships/hyperlink" Target="https://afterschools.olc.tw/afterschools/view/20200811190726" TargetMode="External"/><Relationship Id="rId47" Type="http://schemas.openxmlformats.org/officeDocument/2006/relationships/hyperlink" Target="https://afterschools.olc.tw/afterschools/view/20201309130001" TargetMode="External"/><Relationship Id="rId48" Type="http://schemas.openxmlformats.org/officeDocument/2006/relationships/hyperlink" Target="https://afterschools.olc.tw/afterschools/view/20200811180586" TargetMode="External"/><Relationship Id="rId49" Type="http://schemas.openxmlformats.org/officeDocument/2006/relationships/hyperlink" Target="https://afterschools.olc.tw/afterschools/view/20201606080001" TargetMode="External"/><Relationship Id="rId50" Type="http://schemas.openxmlformats.org/officeDocument/2006/relationships/hyperlink" Target="https://afterschools.olc.tw/afterschools/view/20200811190928" TargetMode="External"/><Relationship Id="rId51" Type="http://schemas.openxmlformats.org/officeDocument/2006/relationships/hyperlink" Target="https://afterschools.olc.tw/afterschools/view/20201703140135" TargetMode="External"/><Relationship Id="rId52" Type="http://schemas.openxmlformats.org/officeDocument/2006/relationships/hyperlink" Target="https://afterschools.olc.tw/afterschools/view/20200811190661" TargetMode="External"/><Relationship Id="rId53" Type="http://schemas.openxmlformats.org/officeDocument/2006/relationships/hyperlink" Target="https://afterschools.olc.tw/afterschools/view/20200811181449" TargetMode="External"/><Relationship Id="rId54" Type="http://schemas.openxmlformats.org/officeDocument/2006/relationships/hyperlink" Target="https://afterschools.olc.tw/afterschools/view/20201703140361" TargetMode="External"/><Relationship Id="rId55" Type="http://schemas.openxmlformats.org/officeDocument/2006/relationships/hyperlink" Target="https://afterschools.olc.tw/afterschools/view/20201703140265" TargetMode="External"/><Relationship Id="rId56" Type="http://schemas.openxmlformats.org/officeDocument/2006/relationships/hyperlink" Target="https://afterschools.olc.tw/afterschools/view/20201706090009" TargetMode="External"/><Relationship Id="rId57" Type="http://schemas.openxmlformats.org/officeDocument/2006/relationships/hyperlink" Target="https://afterschools.olc.tw/afterschools/view/20200811191605" TargetMode="External"/><Relationship Id="rId58" Type="http://schemas.openxmlformats.org/officeDocument/2006/relationships/hyperlink" Target="https://afterschools.olc.tw/afterschools/view/20200811191700" TargetMode="External"/><Relationship Id="rId59" Type="http://schemas.openxmlformats.org/officeDocument/2006/relationships/hyperlink" Target="https://afterschools.olc.tw/afterschools/view/20200811190834" TargetMode="External"/><Relationship Id="rId60" Type="http://schemas.openxmlformats.org/officeDocument/2006/relationships/hyperlink" Target="https://afterschools.olc.tw/afterschools/view/20201305140001" TargetMode="External"/><Relationship Id="rId61" Type="http://schemas.openxmlformats.org/officeDocument/2006/relationships/hyperlink" Target="https://afterschools.olc.tw/afterschools/view/20200811181368" TargetMode="External"/><Relationship Id="rId62" Type="http://schemas.openxmlformats.org/officeDocument/2006/relationships/hyperlink" Target="https://afterschools.olc.tw/afterschools/view/20200811180952" TargetMode="External"/><Relationship Id="rId63" Type="http://schemas.openxmlformats.org/officeDocument/2006/relationships/hyperlink" Target="https://afterschools.olc.tw/afterschools/view/20201703140036" TargetMode="External"/><Relationship Id="rId64" Type="http://schemas.openxmlformats.org/officeDocument/2006/relationships/hyperlink" Target="https://afterschools.olc.tw/afterschools/view/20201706090014" TargetMode="External"/><Relationship Id="rId65" Type="http://schemas.openxmlformats.org/officeDocument/2006/relationships/hyperlink" Target="https://afterschools.olc.tw/afterschools/view/20201703140641" TargetMode="External"/><Relationship Id="rId66" Type="http://schemas.openxmlformats.org/officeDocument/2006/relationships/hyperlink" Target="https://afterschools.olc.tw/afterschools/view/20200811180544" TargetMode="External"/><Relationship Id="rId67" Type="http://schemas.openxmlformats.org/officeDocument/2006/relationships/hyperlink" Target="https://afterschools.olc.tw/afterschools/view/20201308090002" TargetMode="External"/><Relationship Id="rId68" Type="http://schemas.openxmlformats.org/officeDocument/2006/relationships/hyperlink" Target="https://afterschools.olc.tw/afterschools/view/20200811191413" TargetMode="External"/><Relationship Id="rId69" Type="http://schemas.openxmlformats.org/officeDocument/2006/relationships/hyperlink" Target="https://afterschools.olc.tw/afterschools/view/20201703140617" TargetMode="External"/><Relationship Id="rId70" Type="http://schemas.openxmlformats.org/officeDocument/2006/relationships/hyperlink" Target="https://afterschools.olc.tw/afterschools/view/20201703140402" TargetMode="External"/><Relationship Id="rId71" Type="http://schemas.openxmlformats.org/officeDocument/2006/relationships/hyperlink" Target="https://afterschools.olc.tw/afterschools/view/20200811190028" TargetMode="External"/><Relationship Id="rId72" Type="http://schemas.openxmlformats.org/officeDocument/2006/relationships/hyperlink" Target="https://afterschools.olc.tw/afterschools/view/20200811191651" TargetMode="External"/><Relationship Id="rId73" Type="http://schemas.openxmlformats.org/officeDocument/2006/relationships/hyperlink" Target="https://afterschools.olc.tw/afterschools/view/20201703140057" TargetMode="External"/><Relationship Id="rId74" Type="http://schemas.openxmlformats.org/officeDocument/2006/relationships/hyperlink" Target="https://afterschools.olc.tw/afterschools/view/20200811190780" TargetMode="External"/><Relationship Id="rId75" Type="http://schemas.openxmlformats.org/officeDocument/2006/relationships/hyperlink" Target="https://afterschools.olc.tw/afterschools/view/20200811180239" TargetMode="External"/><Relationship Id="rId76" Type="http://schemas.openxmlformats.org/officeDocument/2006/relationships/hyperlink" Target="https://afterschools.olc.tw/afterschools/view/20201801100001" TargetMode="External"/><Relationship Id="rId77" Type="http://schemas.openxmlformats.org/officeDocument/2006/relationships/hyperlink" Target="https://afterschools.olc.tw/afterschools/view/20200811181238" TargetMode="External"/><Relationship Id="rId78" Type="http://schemas.openxmlformats.org/officeDocument/2006/relationships/hyperlink" Target="https://afterschools.olc.tw/afterschools/view/20200811180259" TargetMode="External"/><Relationship Id="rId79" Type="http://schemas.openxmlformats.org/officeDocument/2006/relationships/hyperlink" Target="https://afterschools.olc.tw/afterschools/view/20201710060001" TargetMode="External"/><Relationship Id="rId80" Type="http://schemas.openxmlformats.org/officeDocument/2006/relationships/hyperlink" Target="https://afterschools.olc.tw/afterschools/view/20201905010001" TargetMode="External"/><Relationship Id="rId81" Type="http://schemas.openxmlformats.org/officeDocument/2006/relationships/hyperlink" Target="https://afterschools.olc.tw/afterschools/view/20200811180136" TargetMode="External"/><Relationship Id="rId82" Type="http://schemas.openxmlformats.org/officeDocument/2006/relationships/hyperlink" Target="https://afterschools.olc.tw/afterschools/view/20200811181212" TargetMode="External"/><Relationship Id="rId83" Type="http://schemas.openxmlformats.org/officeDocument/2006/relationships/hyperlink" Target="https://afterschools.olc.tw/afterschools/view/20200811180696" TargetMode="External"/><Relationship Id="rId84" Type="http://schemas.openxmlformats.org/officeDocument/2006/relationships/hyperlink" Target="https://afterschools.olc.tw/afterschools/view/20201012010001" TargetMode="External"/><Relationship Id="rId85" Type="http://schemas.openxmlformats.org/officeDocument/2006/relationships/hyperlink" Target="https://afterschools.olc.tw/afterschools/view/20201703140239" TargetMode="External"/><Relationship Id="rId86" Type="http://schemas.openxmlformats.org/officeDocument/2006/relationships/hyperlink" Target="https://afterschools.olc.tw/afterschools/view/20200811180238" TargetMode="External"/><Relationship Id="rId87" Type="http://schemas.openxmlformats.org/officeDocument/2006/relationships/hyperlink" Target="https://afterschools.olc.tw/afterschools/view/20201703140217" TargetMode="External"/><Relationship Id="rId88" Type="http://schemas.openxmlformats.org/officeDocument/2006/relationships/hyperlink" Target="https://afterschools.olc.tw/afterschools/view/20200811191604" TargetMode="External"/><Relationship Id="rId89" Type="http://schemas.openxmlformats.org/officeDocument/2006/relationships/hyperlink" Target="https://afterschools.olc.tw/afterschools/view/20200811190218" TargetMode="External"/><Relationship Id="rId90" Type="http://schemas.openxmlformats.org/officeDocument/2006/relationships/hyperlink" Target="https://afterschools.olc.tw/afterschools/view/20200811191335" TargetMode="External"/><Relationship Id="rId91" Type="http://schemas.openxmlformats.org/officeDocument/2006/relationships/hyperlink" Target="https://afterschools.olc.tw/afterschools/view/20200811190257" TargetMode="External"/><Relationship Id="rId92" Type="http://schemas.openxmlformats.org/officeDocument/2006/relationships/hyperlink" Target="https://afterschools.olc.tw/afterschools/view/20200811180500" TargetMode="External"/><Relationship Id="rId93" Type="http://schemas.openxmlformats.org/officeDocument/2006/relationships/hyperlink" Target="https://afterschools.olc.tw/afterschools/view/20201703140009" TargetMode="External"/><Relationship Id="rId94" Type="http://schemas.openxmlformats.org/officeDocument/2006/relationships/hyperlink" Target="https://afterschools.olc.tw/afterschools/view/20200811190283" TargetMode="External"/><Relationship Id="rId95" Type="http://schemas.openxmlformats.org/officeDocument/2006/relationships/hyperlink" Target="https://afterschools.olc.tw/afterschools/view/20200811181081" TargetMode="External"/><Relationship Id="rId96" Type="http://schemas.openxmlformats.org/officeDocument/2006/relationships/hyperlink" Target="https://afterschools.olc.tw/afterschools/view/20201612200001" TargetMode="External"/><Relationship Id="rId97" Type="http://schemas.openxmlformats.org/officeDocument/2006/relationships/hyperlink" Target="https://afterschools.olc.tw/afterschools/view/20201703140106" TargetMode="External"/><Relationship Id="rId98" Type="http://schemas.openxmlformats.org/officeDocument/2006/relationships/hyperlink" Target="https://afterschools.olc.tw/afterschools/view/20200811180642" TargetMode="External"/><Relationship Id="rId99" Type="http://schemas.openxmlformats.org/officeDocument/2006/relationships/hyperlink" Target="https://afterschools.olc.tw/afterschools/view/20202303170001" TargetMode="External"/><Relationship Id="rId100" Type="http://schemas.openxmlformats.org/officeDocument/2006/relationships/hyperlink" Target="https://afterschools.olc.tw/afterschools/view/20200811180859" TargetMode="External"/><Relationship Id="rId101" Type="http://schemas.openxmlformats.org/officeDocument/2006/relationships/hyperlink" Target="https://afterschools.olc.tw/afterschools/view/20200811180050" TargetMode="External"/><Relationship Id="rId102" Type="http://schemas.openxmlformats.org/officeDocument/2006/relationships/hyperlink" Target="https://afterschools.olc.tw/afterschools/view/20200811191709" TargetMode="External"/><Relationship Id="rId103" Type="http://schemas.openxmlformats.org/officeDocument/2006/relationships/hyperlink" Target="https://afterschools.olc.tw/afterschools/view/20201712130001" TargetMode="External"/><Relationship Id="rId104" Type="http://schemas.openxmlformats.org/officeDocument/2006/relationships/hyperlink" Target="https://afterschools.olc.tw/afterschools/view/20200811190857" TargetMode="External"/><Relationship Id="rId105" Type="http://schemas.openxmlformats.org/officeDocument/2006/relationships/hyperlink" Target="https://afterschools.olc.tw/afterschools/view/20201703140380" TargetMode="External"/><Relationship Id="rId106" Type="http://schemas.openxmlformats.org/officeDocument/2006/relationships/hyperlink" Target="https://afterschools.olc.tw/afterschools/view/20201703140300" TargetMode="External"/><Relationship Id="rId107" Type="http://schemas.openxmlformats.org/officeDocument/2006/relationships/hyperlink" Target="https://afterschools.olc.tw/afterschools/view/20200811180712" TargetMode="External"/><Relationship Id="rId108" Type="http://schemas.openxmlformats.org/officeDocument/2006/relationships/hyperlink" Target="https://afterschools.olc.tw/afterschools/view/20200811191505" TargetMode="External"/><Relationship Id="rId109" Type="http://schemas.openxmlformats.org/officeDocument/2006/relationships/hyperlink" Target="https://afterschools.olc.tw/afterschools/view/20201605240001" TargetMode="External"/><Relationship Id="rId110" Type="http://schemas.openxmlformats.org/officeDocument/2006/relationships/hyperlink" Target="https://afterschools.olc.tw/afterschools/view/20202305310001" TargetMode="External"/><Relationship Id="rId111" Type="http://schemas.openxmlformats.org/officeDocument/2006/relationships/hyperlink" Target="https://afterschools.olc.tw/afterschools/view/20200811190645" TargetMode="External"/><Relationship Id="rId112" Type="http://schemas.openxmlformats.org/officeDocument/2006/relationships/hyperlink" Target="https://afterschools.olc.tw/afterschools/view/20201703140384" TargetMode="External"/><Relationship Id="rId113" Type="http://schemas.openxmlformats.org/officeDocument/2006/relationships/hyperlink" Target="https://afterschools.olc.tw/afterschools/view/20200811180185" TargetMode="External"/><Relationship Id="rId114" Type="http://schemas.openxmlformats.org/officeDocument/2006/relationships/hyperlink" Target="https://afterschools.olc.tw/afterschools/view/20200811191186" TargetMode="External"/><Relationship Id="rId115" Type="http://schemas.openxmlformats.org/officeDocument/2006/relationships/hyperlink" Target="https://afterschools.olc.tw/afterschools/view/20201703140381" TargetMode="External"/><Relationship Id="rId116" Type="http://schemas.openxmlformats.org/officeDocument/2006/relationships/hyperlink" Target="https://afterschools.olc.tw/afterschools/view/20200811181096" TargetMode="External"/><Relationship Id="rId117" Type="http://schemas.openxmlformats.org/officeDocument/2006/relationships/hyperlink" Target="https://afterschools.olc.tw/afterschools/view/20200811180262" TargetMode="External"/><Relationship Id="rId118" Type="http://schemas.openxmlformats.org/officeDocument/2006/relationships/hyperlink" Target="https://afterschools.olc.tw/afterschools/view/20201703140673" TargetMode="External"/><Relationship Id="rId119" Type="http://schemas.openxmlformats.org/officeDocument/2006/relationships/hyperlink" Target="https://afterschools.olc.tw/afterschools/view/20200811180921" TargetMode="External"/><Relationship Id="rId120" Type="http://schemas.openxmlformats.org/officeDocument/2006/relationships/hyperlink" Target="https://afterschools.olc.tw/afterschools/view/20201010180046" TargetMode="External"/><Relationship Id="rId121" Type="http://schemas.openxmlformats.org/officeDocument/2006/relationships/hyperlink" Target="https://afterschools.olc.tw/afterschools/view/20200811191721" TargetMode="External"/><Relationship Id="rId122" Type="http://schemas.openxmlformats.org/officeDocument/2006/relationships/hyperlink" Target="https://afterschools.olc.tw/afterschools/view/20200907160001" TargetMode="External"/><Relationship Id="rId123" Type="http://schemas.openxmlformats.org/officeDocument/2006/relationships/hyperlink" Target="https://afterschools.olc.tw/afterschools/view/20200811180330" TargetMode="External"/><Relationship Id="rId124" Type="http://schemas.openxmlformats.org/officeDocument/2006/relationships/hyperlink" Target="https://afterschools.olc.tw/afterschools/view/20201002090001" TargetMode="External"/><Relationship Id="rId125" Type="http://schemas.openxmlformats.org/officeDocument/2006/relationships/hyperlink" Target="https://afterschools.olc.tw/afterschools/view/20200811180746" TargetMode="External"/><Relationship Id="rId126" Type="http://schemas.openxmlformats.org/officeDocument/2006/relationships/hyperlink" Target="https://afterschools.olc.tw/afterschools/view/20200811180480" TargetMode="External"/><Relationship Id="rId127" Type="http://schemas.openxmlformats.org/officeDocument/2006/relationships/hyperlink" Target="https://afterschools.olc.tw/afterschools/view/20201703140320" TargetMode="External"/><Relationship Id="rId128" Type="http://schemas.openxmlformats.org/officeDocument/2006/relationships/hyperlink" Target="https://afterschools.olc.tw/afterschools/view/20201703140045" TargetMode="External"/><Relationship Id="rId129" Type="http://schemas.openxmlformats.org/officeDocument/2006/relationships/hyperlink" Target="https://afterschools.olc.tw/afterschools/view/20200811191024" TargetMode="External"/><Relationship Id="rId130" Type="http://schemas.openxmlformats.org/officeDocument/2006/relationships/hyperlink" Target="https://afterschools.olc.tw/afterschools/view/20201703140406" TargetMode="External"/><Relationship Id="rId131" Type="http://schemas.openxmlformats.org/officeDocument/2006/relationships/hyperlink" Target="https://afterschools.olc.tw/afterschools/view/20200811191332" TargetMode="External"/><Relationship Id="rId132" Type="http://schemas.openxmlformats.org/officeDocument/2006/relationships/hyperlink" Target="https://afterschools.olc.tw/afterschools/view/20200811180260" TargetMode="External"/><Relationship Id="rId133" Type="http://schemas.openxmlformats.org/officeDocument/2006/relationships/hyperlink" Target="https://afterschools.olc.tw/afterschools/view/20200811180648" TargetMode="External"/><Relationship Id="rId134" Type="http://schemas.openxmlformats.org/officeDocument/2006/relationships/hyperlink" Target="https://afterschools.olc.tw/afterschools/view/20200811191609" TargetMode="External"/><Relationship Id="rId135" Type="http://schemas.openxmlformats.org/officeDocument/2006/relationships/hyperlink" Target="https://afterschools.olc.tw/afterschools/view/20201006070002" TargetMode="External"/><Relationship Id="rId136" Type="http://schemas.openxmlformats.org/officeDocument/2006/relationships/hyperlink" Target="https://afterschools.olc.tw/afterschools/view/20200811190505" TargetMode="External"/><Relationship Id="rId137" Type="http://schemas.openxmlformats.org/officeDocument/2006/relationships/hyperlink" Target="https://afterschools.olc.tw/afterschools/view/20200811191057" TargetMode="External"/><Relationship Id="rId138" Type="http://schemas.openxmlformats.org/officeDocument/2006/relationships/hyperlink" Target="https://afterschools.olc.tw/afterschools/view/20200811191242" TargetMode="External"/><Relationship Id="rId139" Type="http://schemas.openxmlformats.org/officeDocument/2006/relationships/hyperlink" Target="https://afterschools.olc.tw/afterschools/view/20201703140661" TargetMode="External"/><Relationship Id="rId140" Type="http://schemas.openxmlformats.org/officeDocument/2006/relationships/hyperlink" Target="https://afterschools.olc.tw/afterschools/view/20200811191330" TargetMode="External"/><Relationship Id="rId141" Type="http://schemas.openxmlformats.org/officeDocument/2006/relationships/hyperlink" Target="https://afterschools.olc.tw/afterschools/view/20200811191454" TargetMode="External"/><Relationship Id="rId142" Type="http://schemas.openxmlformats.org/officeDocument/2006/relationships/hyperlink" Target="https://afterschools.olc.tw/afterschools/view/20201703140304" TargetMode="External"/><Relationship Id="rId143" Type="http://schemas.openxmlformats.org/officeDocument/2006/relationships/hyperlink" Target="https://afterschools.olc.tw/afterschools/view/20200811180679" TargetMode="External"/><Relationship Id="rId144" Type="http://schemas.openxmlformats.org/officeDocument/2006/relationships/hyperlink" Target="https://afterschools.olc.tw/afterschools/view/20200811181004" TargetMode="External"/><Relationship Id="rId145" Type="http://schemas.openxmlformats.org/officeDocument/2006/relationships/hyperlink" Target="https://afterschools.olc.tw/afterschools/view/20200811181610" TargetMode="External"/><Relationship Id="rId146" Type="http://schemas.openxmlformats.org/officeDocument/2006/relationships/hyperlink" Target="https://afterschools.olc.tw/afterschools/view/20200811191703" TargetMode="External"/><Relationship Id="rId147" Type="http://schemas.openxmlformats.org/officeDocument/2006/relationships/hyperlink" Target="https://afterschools.olc.tw/afterschools/view/20200811190490" TargetMode="External"/><Relationship Id="rId148" Type="http://schemas.openxmlformats.org/officeDocument/2006/relationships/hyperlink" Target="https://afterschools.olc.tw/afterschools/view/20201710030001" TargetMode="External"/><Relationship Id="rId149" Type="http://schemas.openxmlformats.org/officeDocument/2006/relationships/hyperlink" Target="https://afterschools.olc.tw/afterschools/view/20201703140525" TargetMode="External"/><Relationship Id="rId150" Type="http://schemas.openxmlformats.org/officeDocument/2006/relationships/hyperlink" Target="https://afterschools.olc.tw/afterschools/view/20201703140538" TargetMode="External"/><Relationship Id="rId151" Type="http://schemas.openxmlformats.org/officeDocument/2006/relationships/hyperlink" Target="https://afterschools.olc.tw/afterschools/view/20201512280002" TargetMode="External"/><Relationship Id="rId152" Type="http://schemas.openxmlformats.org/officeDocument/2006/relationships/hyperlink" Target="https://afterschools.olc.tw/afterschools/view/20200811180944" TargetMode="External"/><Relationship Id="rId153" Type="http://schemas.openxmlformats.org/officeDocument/2006/relationships/hyperlink" Target="https://afterschools.olc.tw/afterschools/view/20201703140441" TargetMode="External"/><Relationship Id="rId154" Type="http://schemas.openxmlformats.org/officeDocument/2006/relationships/hyperlink" Target="https://afterschools.olc.tw/afterschools/view/20201703140610" TargetMode="External"/><Relationship Id="rId155" Type="http://schemas.openxmlformats.org/officeDocument/2006/relationships/hyperlink" Target="https://afterschools.olc.tw/afterschools/view/20200811180907" TargetMode="External"/><Relationship Id="rId156" Type="http://schemas.openxmlformats.org/officeDocument/2006/relationships/hyperlink" Target="https://afterschools.olc.tw/afterschools/view/20200811190208" TargetMode="External"/><Relationship Id="rId157" Type="http://schemas.openxmlformats.org/officeDocument/2006/relationships/hyperlink" Target="https://afterschools.olc.tw/afterschools/view/20200811181280" TargetMode="External"/><Relationship Id="rId158" Type="http://schemas.openxmlformats.org/officeDocument/2006/relationships/hyperlink" Target="https://afterschools.olc.tw/afterschools/view/20201703140024" TargetMode="External"/><Relationship Id="rId159" Type="http://schemas.openxmlformats.org/officeDocument/2006/relationships/hyperlink" Target="https://afterschools.olc.tw/afterschools/view/20200811181098" TargetMode="External"/><Relationship Id="rId160" Type="http://schemas.openxmlformats.org/officeDocument/2006/relationships/hyperlink" Target="https://afterschools.olc.tw/afterschools/view/20200811190818" TargetMode="External"/><Relationship Id="rId161" Type="http://schemas.openxmlformats.org/officeDocument/2006/relationships/hyperlink" Target="https://afterschools.olc.tw/afterschools/view/20200908120001" TargetMode="External"/><Relationship Id="rId162" Type="http://schemas.openxmlformats.org/officeDocument/2006/relationships/hyperlink" Target="https://afterschools.olc.tw/afterschools/view/20200811180704" TargetMode="External"/><Relationship Id="rId163" Type="http://schemas.openxmlformats.org/officeDocument/2006/relationships/hyperlink" Target="https://afterschools.olc.tw/afterschools/view/20201709270001" TargetMode="External"/><Relationship Id="rId164" Type="http://schemas.openxmlformats.org/officeDocument/2006/relationships/hyperlink" Target="https://afterschools.olc.tw/afterschools/view/20200811191759" TargetMode="External"/><Relationship Id="rId165" Type="http://schemas.openxmlformats.org/officeDocument/2006/relationships/hyperlink" Target="https://afterschools.olc.tw/afterschools/view/20200811190802" TargetMode="External"/><Relationship Id="rId166" Type="http://schemas.openxmlformats.org/officeDocument/2006/relationships/hyperlink" Target="https://afterschools.olc.tw/afterschools/view/20200811191230" TargetMode="External"/><Relationship Id="rId167" Type="http://schemas.openxmlformats.org/officeDocument/2006/relationships/hyperlink" Target="https://afterschools.olc.tw/afterschools/view/20200811180754" TargetMode="External"/><Relationship Id="rId168" Type="http://schemas.openxmlformats.org/officeDocument/2006/relationships/hyperlink" Target="https://afterschools.olc.tw/afterschools/view/20200811190024" TargetMode="External"/><Relationship Id="rId169" Type="http://schemas.openxmlformats.org/officeDocument/2006/relationships/hyperlink" Target="https://afterschools.olc.tw/afterschools/view/20201703140145" TargetMode="External"/><Relationship Id="rId170" Type="http://schemas.openxmlformats.org/officeDocument/2006/relationships/hyperlink" Target="https://afterschools.olc.tw/afterschools/view/20200811180891" TargetMode="External"/><Relationship Id="rId171" Type="http://schemas.openxmlformats.org/officeDocument/2006/relationships/hyperlink" Target="https://afterschools.olc.tw/afterschools/view/20201006030001" TargetMode="External"/><Relationship Id="rId172" Type="http://schemas.openxmlformats.org/officeDocument/2006/relationships/hyperlink" Target="https://afterschools.olc.tw/afterschools/view/20201703140382" TargetMode="External"/><Relationship Id="rId173" Type="http://schemas.openxmlformats.org/officeDocument/2006/relationships/hyperlink" Target="https://afterschools.olc.tw/afterschools/view/20200811180332" TargetMode="External"/><Relationship Id="rId174" Type="http://schemas.openxmlformats.org/officeDocument/2006/relationships/hyperlink" Target="https://afterschools.olc.tw/afterschools/view/20200811180255" TargetMode="External"/><Relationship Id="rId175" Type="http://schemas.openxmlformats.org/officeDocument/2006/relationships/hyperlink" Target="https://afterschools.olc.tw/afterschools/view/20200811180721" TargetMode="External"/><Relationship Id="rId176" Type="http://schemas.openxmlformats.org/officeDocument/2006/relationships/hyperlink" Target="https://afterschools.olc.tw/afterschools/view/20200811181118" TargetMode="External"/><Relationship Id="rId177" Type="http://schemas.openxmlformats.org/officeDocument/2006/relationships/hyperlink" Target="https://afterschools.olc.tw/afterschools/view/20200811190266" TargetMode="External"/><Relationship Id="rId178" Type="http://schemas.openxmlformats.org/officeDocument/2006/relationships/hyperlink" Target="https://afterschools.olc.tw/afterschools/view/20201703140587" TargetMode="External"/><Relationship Id="rId179" Type="http://schemas.openxmlformats.org/officeDocument/2006/relationships/hyperlink" Target="https://afterschools.olc.tw/afterschools/view/20200811190334" TargetMode="External"/><Relationship Id="rId180" Type="http://schemas.openxmlformats.org/officeDocument/2006/relationships/hyperlink" Target="https://afterschools.olc.tw/afterschools/view/20200811191589" TargetMode="External"/><Relationship Id="rId181" Type="http://schemas.openxmlformats.org/officeDocument/2006/relationships/hyperlink" Target="https://afterschools.olc.tw/afterschools/view/20200811190786" TargetMode="External"/><Relationship Id="rId182" Type="http://schemas.openxmlformats.org/officeDocument/2006/relationships/hyperlink" Target="https://afterschools.olc.tw/afterschools/view/20201703140125" TargetMode="External"/><Relationship Id="rId183" Type="http://schemas.openxmlformats.org/officeDocument/2006/relationships/hyperlink" Target="https://afterschools.olc.tw/afterschools/view/20200811180002" TargetMode="External"/><Relationship Id="rId184" Type="http://schemas.openxmlformats.org/officeDocument/2006/relationships/hyperlink" Target="https://afterschools.olc.tw/afterschools/view/20200811190031" TargetMode="External"/><Relationship Id="rId185" Type="http://schemas.openxmlformats.org/officeDocument/2006/relationships/hyperlink" Target="https://afterschools.olc.tw/afterschools/view/20201010180047" TargetMode="External"/><Relationship Id="rId186" Type="http://schemas.openxmlformats.org/officeDocument/2006/relationships/hyperlink" Target="https://afterschools.olc.tw/afterschools/view/20201703140463" TargetMode="External"/><Relationship Id="rId187" Type="http://schemas.openxmlformats.org/officeDocument/2006/relationships/hyperlink" Target="https://afterschools.olc.tw/afterschools/view/20201703140309" TargetMode="External"/><Relationship Id="rId188" Type="http://schemas.openxmlformats.org/officeDocument/2006/relationships/hyperlink" Target="https://afterschools.olc.tw/afterschools/view/20201703140285" TargetMode="External"/><Relationship Id="rId189" Type="http://schemas.openxmlformats.org/officeDocument/2006/relationships/hyperlink" Target="https://afterschools.olc.tw/afterschools/view/20200811191713" TargetMode="External"/><Relationship Id="rId190" Type="http://schemas.openxmlformats.org/officeDocument/2006/relationships/hyperlink" Target="https://afterschools.olc.tw/afterschools/view/20200811191559" TargetMode="External"/><Relationship Id="rId191" Type="http://schemas.openxmlformats.org/officeDocument/2006/relationships/hyperlink" Target="https://afterschools.olc.tw/afterschools/view/20200811180982" TargetMode="External"/><Relationship Id="rId192" Type="http://schemas.openxmlformats.org/officeDocument/2006/relationships/hyperlink" Target="https://afterschools.olc.tw/afterschools/view/20201707040001" TargetMode="External"/><Relationship Id="rId193" Type="http://schemas.openxmlformats.org/officeDocument/2006/relationships/hyperlink" Target="https://afterschools.olc.tw/afterschools/view/20201706090025" TargetMode="External"/><Relationship Id="rId194" Type="http://schemas.openxmlformats.org/officeDocument/2006/relationships/hyperlink" Target="https://afterschools.olc.tw/afterschools/view/20201703140454" TargetMode="External"/><Relationship Id="rId195" Type="http://schemas.openxmlformats.org/officeDocument/2006/relationships/hyperlink" Target="https://afterschools.olc.tw/afterschools/view/20200811180006" TargetMode="External"/><Relationship Id="rId196" Type="http://schemas.openxmlformats.org/officeDocument/2006/relationships/hyperlink" Target="https://afterschools.olc.tw/afterschools/view/20201411140001" TargetMode="External"/><Relationship Id="rId197" Type="http://schemas.openxmlformats.org/officeDocument/2006/relationships/hyperlink" Target="https://afterschools.olc.tw/afterschools/view/20201703140134" TargetMode="External"/><Relationship Id="rId198" Type="http://schemas.openxmlformats.org/officeDocument/2006/relationships/hyperlink" Target="https://afterschools.olc.tw/afterschools/view/20201703140444" TargetMode="External"/><Relationship Id="rId199" Type="http://schemas.openxmlformats.org/officeDocument/2006/relationships/hyperlink" Target="https://afterschools.olc.tw/afterschools/view/20200811190973" TargetMode="External"/><Relationship Id="rId200" Type="http://schemas.openxmlformats.org/officeDocument/2006/relationships/hyperlink" Target="https://afterschools.olc.tw/afterschools/view/20200811190856" TargetMode="External"/><Relationship Id="rId201" Type="http://schemas.openxmlformats.org/officeDocument/2006/relationships/hyperlink" Target="https://afterschools.olc.tw/afterschools/view/20200811181001" TargetMode="External"/><Relationship Id="rId202" Type="http://schemas.openxmlformats.org/officeDocument/2006/relationships/hyperlink" Target="https://afterschools.olc.tw/afterschools/view/20200811180167" TargetMode="External"/><Relationship Id="rId203" Type="http://schemas.openxmlformats.org/officeDocument/2006/relationships/hyperlink" Target="https://afterschools.olc.tw/afterschools/view/20200811180861" TargetMode="External"/><Relationship Id="rId204" Type="http://schemas.openxmlformats.org/officeDocument/2006/relationships/hyperlink" Target="https://afterschools.olc.tw/afterschools/view/20201712270003" TargetMode="External"/><Relationship Id="rId205" Type="http://schemas.openxmlformats.org/officeDocument/2006/relationships/hyperlink" Target="https://afterschools.olc.tw/afterschools/view/20201706090021" TargetMode="External"/><Relationship Id="rId206" Type="http://schemas.openxmlformats.org/officeDocument/2006/relationships/hyperlink" Target="https://afterschools.olc.tw/afterschools/view/20201703140396" TargetMode="External"/><Relationship Id="rId207" Type="http://schemas.openxmlformats.org/officeDocument/2006/relationships/hyperlink" Target="https://afterschools.olc.tw/afterschools/view/20200811190413" TargetMode="External"/><Relationship Id="rId208" Type="http://schemas.openxmlformats.org/officeDocument/2006/relationships/hyperlink" Target="https://afterschools.olc.tw/afterschools/view/20200811180307" TargetMode="External"/><Relationship Id="rId209" Type="http://schemas.openxmlformats.org/officeDocument/2006/relationships/hyperlink" Target="https://afterschools.olc.tw/afterschools/view/20200908280002" TargetMode="External"/><Relationship Id="rId210" Type="http://schemas.openxmlformats.org/officeDocument/2006/relationships/hyperlink" Target="https://afterschools.olc.tw/afterschools/view/20200811190892" TargetMode="External"/><Relationship Id="rId211" Type="http://schemas.openxmlformats.org/officeDocument/2006/relationships/hyperlink" Target="https://afterschools.olc.tw/afterschools/view/20200811180554" TargetMode="External"/><Relationship Id="rId212" Type="http://schemas.openxmlformats.org/officeDocument/2006/relationships/hyperlink" Target="https://afterschools.olc.tw/afterschools/view/20200811180826" TargetMode="External"/><Relationship Id="rId213" Type="http://schemas.openxmlformats.org/officeDocument/2006/relationships/hyperlink" Target="https://afterschools.olc.tw/afterschools/view/20200811190103" TargetMode="External"/><Relationship Id="rId214" Type="http://schemas.openxmlformats.org/officeDocument/2006/relationships/hyperlink" Target="https://afterschools.olc.tw/afterschools/view/20201703140166" TargetMode="External"/><Relationship Id="rId215" Type="http://schemas.openxmlformats.org/officeDocument/2006/relationships/hyperlink" Target="https://afterschools.olc.tw/afterschools/view/20201703140175" TargetMode="External"/><Relationship Id="rId216" Type="http://schemas.openxmlformats.org/officeDocument/2006/relationships/hyperlink" Target="https://afterschools.olc.tw/afterschools/view/20201703140568" TargetMode="External"/><Relationship Id="rId217" Type="http://schemas.openxmlformats.org/officeDocument/2006/relationships/hyperlink" Target="https://afterschools.olc.tw/afterschools/view/20200811181158" TargetMode="External"/><Relationship Id="rId218" Type="http://schemas.openxmlformats.org/officeDocument/2006/relationships/hyperlink" Target="https://afterschools.olc.tw/afterschools/view/20201811160001" TargetMode="External"/><Relationship Id="rId219" Type="http://schemas.openxmlformats.org/officeDocument/2006/relationships/hyperlink" Target="https://afterschools.olc.tw/afterschools/view/20201712290001" TargetMode="External"/><Relationship Id="rId220" Type="http://schemas.openxmlformats.org/officeDocument/2006/relationships/hyperlink" Target="https://afterschools.olc.tw/afterschools/view/20200811181833" TargetMode="External"/><Relationship Id="rId221" Type="http://schemas.openxmlformats.org/officeDocument/2006/relationships/hyperlink" Target="https://afterschools.olc.tw/afterschools/view/20200811191617" TargetMode="External"/><Relationship Id="rId222" Type="http://schemas.openxmlformats.org/officeDocument/2006/relationships/hyperlink" Target="https://afterschools.olc.tw/afterschools/view/20201406210001" TargetMode="External"/><Relationship Id="rId223" Type="http://schemas.openxmlformats.org/officeDocument/2006/relationships/hyperlink" Target="https://afterschools.olc.tw/afterschools/view/20201407290001" TargetMode="External"/><Relationship Id="rId224" Type="http://schemas.openxmlformats.org/officeDocument/2006/relationships/hyperlink" Target="https://afterschools.olc.tw/afterschools/view/20200811181752" TargetMode="External"/><Relationship Id="rId225" Type="http://schemas.openxmlformats.org/officeDocument/2006/relationships/hyperlink" Target="https://afterschools.olc.tw/afterschools/view/20200811181541" TargetMode="External"/><Relationship Id="rId226" Type="http://schemas.openxmlformats.org/officeDocument/2006/relationships/hyperlink" Target="https://afterschools.olc.tw/afterschools/view/20201706090019" TargetMode="External"/><Relationship Id="rId227" Type="http://schemas.openxmlformats.org/officeDocument/2006/relationships/hyperlink" Target="https://afterschools.olc.tw/afterschools/view/20200811180117" TargetMode="External"/><Relationship Id="rId228" Type="http://schemas.openxmlformats.org/officeDocument/2006/relationships/hyperlink" Target="https://afterschools.olc.tw/afterschools/view/20201904180001" TargetMode="External"/><Relationship Id="rId229" Type="http://schemas.openxmlformats.org/officeDocument/2006/relationships/hyperlink" Target="https://afterschools.olc.tw/afterschools/view/20201412280001" TargetMode="External"/><Relationship Id="rId230" Type="http://schemas.openxmlformats.org/officeDocument/2006/relationships/hyperlink" Target="https://afterschools.olc.tw/afterschools/view/20201504280002" TargetMode="External"/><Relationship Id="rId231" Type="http://schemas.openxmlformats.org/officeDocument/2006/relationships/hyperlink" Target="https://afterschools.olc.tw/afterschools/view/20201504280001" TargetMode="External"/><Relationship Id="rId232" Type="http://schemas.openxmlformats.org/officeDocument/2006/relationships/hyperlink" Target="https://afterschools.olc.tw/afterschools/view/20201910070001" TargetMode="External"/><Relationship Id="rId233" Type="http://schemas.openxmlformats.org/officeDocument/2006/relationships/hyperlink" Target="https://afterschools.olc.tw/afterschools/view/20201606280001" TargetMode="External"/><Relationship Id="rId234" Type="http://schemas.openxmlformats.org/officeDocument/2006/relationships/hyperlink" Target="https://afterschools.olc.tw/afterschools/view/20201901230002" TargetMode="External"/><Relationship Id="rId235" Type="http://schemas.openxmlformats.org/officeDocument/2006/relationships/hyperlink" Target="https://afterschools.olc.tw/afterschools/view/20200811190751" TargetMode="External"/><Relationship Id="rId236" Type="http://schemas.openxmlformats.org/officeDocument/2006/relationships/hyperlink" Target="https://afterschools.olc.tw/afterschools/view/20201012200001" TargetMode="External"/><Relationship Id="rId237" Type="http://schemas.openxmlformats.org/officeDocument/2006/relationships/hyperlink" Target="https://afterschools.olc.tw/afterschools/view/20200811191414" TargetMode="External"/><Relationship Id="rId238" Type="http://schemas.openxmlformats.org/officeDocument/2006/relationships/hyperlink" Target="https://afterschools.olc.tw/afterschools/view/20200811190758" TargetMode="External"/><Relationship Id="rId239" Type="http://schemas.openxmlformats.org/officeDocument/2006/relationships/hyperlink" Target="https://afterschools.olc.tw/afterschools/view/20200811191398" TargetMode="External"/><Relationship Id="rId240" Type="http://schemas.openxmlformats.org/officeDocument/2006/relationships/hyperlink" Target="https://afterschools.olc.tw/afterschools/view/20200811181493" TargetMode="External"/><Relationship Id="rId241" Type="http://schemas.openxmlformats.org/officeDocument/2006/relationships/hyperlink" Target="https://afterschools.olc.tw/afterschools/view/20201408300002" TargetMode="External"/><Relationship Id="rId242" Type="http://schemas.openxmlformats.org/officeDocument/2006/relationships/hyperlink" Target="https://afterschools.olc.tw/afterschools/view/20200811180922" TargetMode="External"/><Relationship Id="rId243" Type="http://schemas.openxmlformats.org/officeDocument/2006/relationships/hyperlink" Target="https://afterschools.olc.tw/afterschools/view/20201703140050" TargetMode="External"/><Relationship Id="rId244" Type="http://schemas.openxmlformats.org/officeDocument/2006/relationships/hyperlink" Target="https://afterschools.olc.tw/afterschools/view/20200811181405" TargetMode="External"/><Relationship Id="rId245" Type="http://schemas.openxmlformats.org/officeDocument/2006/relationships/hyperlink" Target="https://afterschools.olc.tw/afterschools/view/20200811190449" TargetMode="External"/><Relationship Id="rId246" Type="http://schemas.openxmlformats.org/officeDocument/2006/relationships/hyperlink" Target="https://afterschools.olc.tw/afterschools/view/20201703140616" TargetMode="External"/><Relationship Id="rId247" Type="http://schemas.openxmlformats.org/officeDocument/2006/relationships/hyperlink" Target="https://afterschools.olc.tw/afterschools/view/20201401220002" TargetMode="External"/><Relationship Id="rId248" Type="http://schemas.openxmlformats.org/officeDocument/2006/relationships/hyperlink" Target="https://afterschools.olc.tw/afterschools/view/20201010210002" TargetMode="External"/><Relationship Id="rId249" Type="http://schemas.openxmlformats.org/officeDocument/2006/relationships/hyperlink" Target="https://afterschools.olc.tw/afterschools/view/20201310260002" TargetMode="External"/><Relationship Id="rId250" Type="http://schemas.openxmlformats.org/officeDocument/2006/relationships/hyperlink" Target="https://afterschools.olc.tw/afterschools/view/20200811180345" TargetMode="External"/><Relationship Id="rId251" Type="http://schemas.openxmlformats.org/officeDocument/2006/relationships/hyperlink" Target="https://afterschools.olc.tw/afterschools/view/20201010180053" TargetMode="External"/><Relationship Id="rId252" Type="http://schemas.openxmlformats.org/officeDocument/2006/relationships/hyperlink" Target="https://afterschools.olc.tw/afterschools/view/20201806040001" TargetMode="External"/><Relationship Id="rId253" Type="http://schemas.openxmlformats.org/officeDocument/2006/relationships/hyperlink" Target="https://afterschools.olc.tw/afterschools/view/20201809190001" TargetMode="External"/><Relationship Id="rId254" Type="http://schemas.openxmlformats.org/officeDocument/2006/relationships/hyperlink" Target="https://afterschools.olc.tw/afterschools/view/20202305240002" TargetMode="External"/><Relationship Id="rId255" Type="http://schemas.openxmlformats.org/officeDocument/2006/relationships/hyperlink" Target="https://afterschools.olc.tw/afterschools/view/20200811180017" TargetMode="External"/><Relationship Id="rId256" Type="http://schemas.openxmlformats.org/officeDocument/2006/relationships/hyperlink" Target="https://afterschools.olc.tw/afterschools/view/20200811180279" TargetMode="External"/><Relationship Id="rId257" Type="http://schemas.openxmlformats.org/officeDocument/2006/relationships/hyperlink" Target="https://afterschools.olc.tw/afterschools/view/20200811190999" TargetMode="External"/><Relationship Id="rId258" Type="http://schemas.openxmlformats.org/officeDocument/2006/relationships/hyperlink" Target="https://afterschools.olc.tw/afterschools/view/20202607020003" TargetMode="External"/><Relationship Id="rId259" Type="http://schemas.openxmlformats.org/officeDocument/2006/relationships/hyperlink" Target="https://afterschools.olc.tw/afterschools/view/20201703140481" TargetMode="External"/><Relationship Id="rId260" Type="http://schemas.openxmlformats.org/officeDocument/2006/relationships/hyperlink" Target="https://afterschools.olc.tw/afterschools/view/20201709200002" TargetMode="External"/><Relationship Id="rId261" Type="http://schemas.openxmlformats.org/officeDocument/2006/relationships/hyperlink" Target="https://afterschools.olc.tw/afterschools/view/20202604100001" TargetMode="External"/><Relationship Id="rId262" Type="http://schemas.openxmlformats.org/officeDocument/2006/relationships/hyperlink" Target="https://afterschools.olc.tw/afterschools/view/20201703140326" TargetMode="External"/><Relationship Id="rId263" Type="http://schemas.openxmlformats.org/officeDocument/2006/relationships/hyperlink" Target="https://afterschools.olc.tw/afterschools/view/20200811180149" TargetMode="External"/><Relationship Id="rId264" Type="http://schemas.openxmlformats.org/officeDocument/2006/relationships/hyperlink" Target="https://afterschools.olc.tw/afterschools/view/20201706270001" TargetMode="External"/><Relationship Id="rId265" Type="http://schemas.openxmlformats.org/officeDocument/2006/relationships/hyperlink" Target="https://afterschools.olc.tw/afterschools/view/20201312180003" TargetMode="External"/><Relationship Id="rId266" Type="http://schemas.openxmlformats.org/officeDocument/2006/relationships/hyperlink" Target="https://afterschools.olc.tw/afterschools/view/20201703140223" TargetMode="External"/><Relationship Id="rId267" Type="http://schemas.openxmlformats.org/officeDocument/2006/relationships/hyperlink" Target="https://afterschools.olc.tw/afterschools/view/20201703140077" TargetMode="External"/><Relationship Id="rId268" Type="http://schemas.openxmlformats.org/officeDocument/2006/relationships/hyperlink" Target="https://afterschools.olc.tw/afterschools/view/20200811181154" TargetMode="External"/><Relationship Id="rId269" Type="http://schemas.openxmlformats.org/officeDocument/2006/relationships/hyperlink" Target="https://afterschools.olc.tw/afterschools/view/20200811180018" TargetMode="External"/><Relationship Id="rId270" Type="http://schemas.openxmlformats.org/officeDocument/2006/relationships/hyperlink" Target="https://afterschools.olc.tw/afterschools/view/20201010180048" TargetMode="External"/><Relationship Id="rId271" Type="http://schemas.openxmlformats.org/officeDocument/2006/relationships/hyperlink" Target="https://afterschools.olc.tw/afterschools/view/20201703140207" TargetMode="External"/><Relationship Id="rId272" Type="http://schemas.openxmlformats.org/officeDocument/2006/relationships/hyperlink" Target="https://afterschools.olc.tw/afterschools/view/20201809030001" TargetMode="External"/><Relationship Id="rId273" Type="http://schemas.openxmlformats.org/officeDocument/2006/relationships/hyperlink" Target="https://afterschools.olc.tw/afterschools/view/20200811190009" TargetMode="External"/><Relationship Id="rId274" Type="http://schemas.openxmlformats.org/officeDocument/2006/relationships/hyperlink" Target="https://afterschools.olc.tw/afterschools/view/20201703140324" TargetMode="External"/><Relationship Id="rId275" Type="http://schemas.openxmlformats.org/officeDocument/2006/relationships/hyperlink" Target="https://afterschools.olc.tw/afterschools/view/20200811191683" TargetMode="External"/><Relationship Id="rId276" Type="http://schemas.openxmlformats.org/officeDocument/2006/relationships/hyperlink" Target="https://afterschools.olc.tw/afterschools/view/20200811180203" TargetMode="External"/><Relationship Id="rId277" Type="http://schemas.openxmlformats.org/officeDocument/2006/relationships/hyperlink" Target="https://afterschools.olc.tw/afterschools/view/20200811180314" TargetMode="External"/><Relationship Id="rId278" Type="http://schemas.openxmlformats.org/officeDocument/2006/relationships/hyperlink" Target="https://afterschools.olc.tw/afterschools/view/20201709130001" TargetMode="External"/><Relationship Id="rId279" Type="http://schemas.openxmlformats.org/officeDocument/2006/relationships/hyperlink" Target="https://afterschools.olc.tw/afterschools/view/20201706090003" TargetMode="External"/><Relationship Id="rId280" Type="http://schemas.openxmlformats.org/officeDocument/2006/relationships/hyperlink" Target="https://afterschools.olc.tw/afterschools/view/20201703140377" TargetMode="External"/><Relationship Id="rId281" Type="http://schemas.openxmlformats.org/officeDocument/2006/relationships/hyperlink" Target="https://afterschools.olc.tw/afterschools/view/20200904100002" TargetMode="External"/><Relationship Id="rId282" Type="http://schemas.openxmlformats.org/officeDocument/2006/relationships/hyperlink" Target="https://afterschools.olc.tw/afterschools/view/20201703140058" TargetMode="External"/><Relationship Id="rId283" Type="http://schemas.openxmlformats.org/officeDocument/2006/relationships/hyperlink" Target="https://afterschools.olc.tw/afterschools/view/20200811180202" TargetMode="External"/><Relationship Id="rId284" Type="http://schemas.openxmlformats.org/officeDocument/2006/relationships/hyperlink" Target="https://afterschools.olc.tw/afterschools/view/20201405210004" TargetMode="External"/><Relationship Id="rId285" Type="http://schemas.openxmlformats.org/officeDocument/2006/relationships/hyperlink" Target="https://afterschools.olc.tw/afterschools/view/20201703140373" TargetMode="External"/><Relationship Id="rId286" Type="http://schemas.openxmlformats.org/officeDocument/2006/relationships/hyperlink" Target="https://afterschools.olc.tw/afterschools/view/20201703140273" TargetMode="External"/><Relationship Id="rId287" Type="http://schemas.openxmlformats.org/officeDocument/2006/relationships/hyperlink" Target="https://afterschools.olc.tw/afterschools/view/20200811191219" TargetMode="External"/><Relationship Id="rId288" Type="http://schemas.openxmlformats.org/officeDocument/2006/relationships/hyperlink" Target="https://afterschools.olc.tw/afterschools/view/20200811180379" TargetMode="External"/><Relationship Id="rId289" Type="http://schemas.openxmlformats.org/officeDocument/2006/relationships/hyperlink" Target="https://afterschools.olc.tw/afterschools/view/20200811191461" TargetMode="External"/><Relationship Id="rId290" Type="http://schemas.openxmlformats.org/officeDocument/2006/relationships/hyperlink" Target="https://afterschools.olc.tw/afterschools/view/20200811180040" TargetMode="External"/><Relationship Id="rId291" Type="http://schemas.openxmlformats.org/officeDocument/2006/relationships/hyperlink" Target="https://afterschools.olc.tw/afterschools/view/20200811191031" TargetMode="External"/><Relationship Id="rId292" Type="http://schemas.openxmlformats.org/officeDocument/2006/relationships/hyperlink" Target="https://afterschools.olc.tw/afterschools/view/20200811190685" TargetMode="External"/><Relationship Id="rId293" Type="http://schemas.openxmlformats.org/officeDocument/2006/relationships/hyperlink" Target="https://afterschools.olc.tw/afterschools/view/20200811180519" TargetMode="External"/><Relationship Id="rId294" Type="http://schemas.openxmlformats.org/officeDocument/2006/relationships/hyperlink" Target="https://afterschools.olc.tw/afterschools/view/20202509040001" TargetMode="External"/><Relationship Id="rId295" Type="http://schemas.openxmlformats.org/officeDocument/2006/relationships/hyperlink" Target="https://afterschools.olc.tw/afterschools/view/20200811191342" TargetMode="External"/><Relationship Id="rId296" Type="http://schemas.openxmlformats.org/officeDocument/2006/relationships/hyperlink" Target="https://afterschools.olc.tw/afterschools/view/20201010180059" TargetMode="External"/><Relationship Id="rId297" Type="http://schemas.openxmlformats.org/officeDocument/2006/relationships/hyperlink" Target="https://afterschools.olc.tw/afterschools/view/20200811190796" TargetMode="External"/><Relationship Id="rId298" Type="http://schemas.openxmlformats.org/officeDocument/2006/relationships/hyperlink" Target="https://afterschools.olc.tw/afterschools/view/20201703140263" TargetMode="External"/><Relationship Id="rId299" Type="http://schemas.openxmlformats.org/officeDocument/2006/relationships/hyperlink" Target="https://afterschools.olc.tw/afterschools/view/20200811181523" TargetMode="External"/><Relationship Id="rId300" Type="http://schemas.openxmlformats.org/officeDocument/2006/relationships/hyperlink" Target="https://afterschools.olc.tw/afterschools/view/20200811190244" TargetMode="External"/><Relationship Id="rId301" Type="http://schemas.openxmlformats.org/officeDocument/2006/relationships/hyperlink" Target="https://afterschools.olc.tw/afterschools/view/20201310150001" TargetMode="External"/><Relationship Id="rId302" Type="http://schemas.openxmlformats.org/officeDocument/2006/relationships/hyperlink" Target="https://afterschools.olc.tw/afterschools/view/20201511260004" TargetMode="External"/><Relationship Id="rId303" Type="http://schemas.openxmlformats.org/officeDocument/2006/relationships/hyperlink" Target="https://afterschools.olc.tw/afterschools/view/20201702080001" TargetMode="External"/><Relationship Id="rId304" Type="http://schemas.openxmlformats.org/officeDocument/2006/relationships/hyperlink" Target="https://afterschools.olc.tw/afterschools/view/20200811181816" TargetMode="External"/><Relationship Id="rId305" Type="http://schemas.openxmlformats.org/officeDocument/2006/relationships/hyperlink" Target="https://afterschools.olc.tw/afterschools/view/20201703140183" TargetMode="External"/><Relationship Id="rId306" Type="http://schemas.openxmlformats.org/officeDocument/2006/relationships/hyperlink" Target="https://afterschools.olc.tw/afterschools/view/20202606220001" TargetMode="External"/><Relationship Id="rId307" Type="http://schemas.openxmlformats.org/officeDocument/2006/relationships/hyperlink" Target="https://afterschools.olc.tw/afterschools/view/20200811180961" TargetMode="External"/><Relationship Id="rId308" Type="http://schemas.openxmlformats.org/officeDocument/2006/relationships/hyperlink" Target="https://afterschools.olc.tw/afterschools/view/20201703140529" TargetMode="External"/><Relationship Id="rId309" Type="http://schemas.openxmlformats.org/officeDocument/2006/relationships/hyperlink" Target="https://afterschools.olc.tw/afterschools/view/20201703140203" TargetMode="External"/><Relationship Id="rId310" Type="http://schemas.openxmlformats.org/officeDocument/2006/relationships/hyperlink" Target="https://afterschools.olc.tw/afterschools/view/20201703140121" TargetMode="External"/><Relationship Id="rId311" Type="http://schemas.openxmlformats.org/officeDocument/2006/relationships/hyperlink" Target="https://afterschools.olc.tw/afterschools/view/20201703140200" TargetMode="External"/><Relationship Id="rId312" Type="http://schemas.openxmlformats.org/officeDocument/2006/relationships/hyperlink" Target="https://afterschools.olc.tw/afterschools/view/20200811190216" TargetMode="External"/><Relationship Id="rId313" Type="http://schemas.openxmlformats.org/officeDocument/2006/relationships/hyperlink" Target="https://afterschools.olc.tw/afterschools/view/20200811190217" TargetMode="External"/><Relationship Id="rId314" Type="http://schemas.openxmlformats.org/officeDocument/2006/relationships/hyperlink" Target="https://afterschools.olc.tw/afterschools/view/20200811180956" TargetMode="External"/><Relationship Id="rId315" Type="http://schemas.openxmlformats.org/officeDocument/2006/relationships/hyperlink" Target="https://afterschools.olc.tw/afterschools/view/20201411190002" TargetMode="External"/><Relationship Id="rId316" Type="http://schemas.openxmlformats.org/officeDocument/2006/relationships/hyperlink" Target="https://afterschools.olc.tw/afterschools/view/20200811180957" TargetMode="External"/><Relationship Id="rId317" Type="http://schemas.openxmlformats.org/officeDocument/2006/relationships/hyperlink" Target="https://afterschools.olc.tw/afterschools/view/20200811181473" TargetMode="External"/><Relationship Id="rId318" Type="http://schemas.openxmlformats.org/officeDocument/2006/relationships/hyperlink" Target="https://afterschools.olc.tw/afterschools/view/20201511260006" TargetMode="External"/><Relationship Id="rId319" Type="http://schemas.openxmlformats.org/officeDocument/2006/relationships/hyperlink" Target="https://afterschools.olc.tw/afterschools/view/20200811181474" TargetMode="External"/><Relationship Id="rId320" Type="http://schemas.openxmlformats.org/officeDocument/2006/relationships/hyperlink" Target="https://afterschools.olc.tw/afterschools/view/20200811190177" TargetMode="External"/><Relationship Id="rId321" Type="http://schemas.openxmlformats.org/officeDocument/2006/relationships/hyperlink" Target="https://afterschools.olc.tw/afterschools/view/20201703140197" TargetMode="External"/><Relationship Id="rId322" Type="http://schemas.openxmlformats.org/officeDocument/2006/relationships/hyperlink" Target="https://afterschools.olc.tw/afterschools/view/20201608030001" TargetMode="External"/><Relationship Id="rId323" Type="http://schemas.openxmlformats.org/officeDocument/2006/relationships/hyperlink" Target="https://afterschools.olc.tw/afterschools/view/20201703140163" TargetMode="External"/><Relationship Id="rId324" Type="http://schemas.openxmlformats.org/officeDocument/2006/relationships/hyperlink" Target="https://afterschools.olc.tw/afterschools/view/20200811191197" TargetMode="External"/><Relationship Id="rId325" Type="http://schemas.openxmlformats.org/officeDocument/2006/relationships/hyperlink" Target="https://afterschools.olc.tw/afterschools/view/20202411120001" TargetMode="External"/><Relationship Id="rId326" Type="http://schemas.openxmlformats.org/officeDocument/2006/relationships/hyperlink" Target="https://afterschools.olc.tw/afterschools/view/20201703140075" TargetMode="External"/><Relationship Id="rId327" Type="http://schemas.openxmlformats.org/officeDocument/2006/relationships/hyperlink" Target="https://afterschools.olc.tw/afterschools/view/20201610010001" TargetMode="External"/><Relationship Id="rId328" Type="http://schemas.openxmlformats.org/officeDocument/2006/relationships/hyperlink" Target="https://afterschools.olc.tw/afterschools/view/20200811181563" TargetMode="External"/><Relationship Id="rId329" Type="http://schemas.openxmlformats.org/officeDocument/2006/relationships/hyperlink" Target="https://afterschools.olc.tw/afterschools/view/20201401070005" TargetMode="External"/><Relationship Id="rId330" Type="http://schemas.openxmlformats.org/officeDocument/2006/relationships/hyperlink" Target="https://afterschools.olc.tw/afterschools/view/20200811190312" TargetMode="External"/><Relationship Id="rId331" Type="http://schemas.openxmlformats.org/officeDocument/2006/relationships/hyperlink" Target="https://afterschools.olc.tw/afterschools/view/20200811180872" TargetMode="External"/><Relationship Id="rId332" Type="http://schemas.openxmlformats.org/officeDocument/2006/relationships/hyperlink" Target="https://afterschools.olc.tw/afterschools/view/20200811181316" TargetMode="External"/><Relationship Id="rId333" Type="http://schemas.openxmlformats.org/officeDocument/2006/relationships/hyperlink" Target="https://afterschools.olc.tw/afterschools/view/20201703140498" TargetMode="External"/><Relationship Id="rId334" Type="http://schemas.openxmlformats.org/officeDocument/2006/relationships/hyperlink" Target="https://afterschools.olc.tw/afterschools/view/20201703140247" TargetMode="External"/><Relationship Id="rId335" Type="http://schemas.openxmlformats.org/officeDocument/2006/relationships/hyperlink" Target="https://afterschools.olc.tw/afterschools/view/20200811180808" TargetMode="External"/><Relationship Id="rId336" Type="http://schemas.openxmlformats.org/officeDocument/2006/relationships/hyperlink" Target="https://afterschools.olc.tw/afterschools/view/20200811180951" TargetMode="External"/><Relationship Id="rId337" Type="http://schemas.openxmlformats.org/officeDocument/2006/relationships/hyperlink" Target="https://afterschools.olc.tw/afterschools/view/20201101140010" TargetMode="External"/><Relationship Id="rId338" Type="http://schemas.openxmlformats.org/officeDocument/2006/relationships/hyperlink" Target="https://afterschools.olc.tw/afterschools/view/20201408130002" TargetMode="External"/><Relationship Id="rId339" Type="http://schemas.openxmlformats.org/officeDocument/2006/relationships/hyperlink" Target="https://afterschools.olc.tw/afterschools/view/20201901070001" TargetMode="External"/><Relationship Id="rId340" Type="http://schemas.openxmlformats.org/officeDocument/2006/relationships/hyperlink" Target="https://afterschools.olc.tw/afterschools/view/20202509030002" TargetMode="External"/><Relationship Id="rId341" Type="http://schemas.openxmlformats.org/officeDocument/2006/relationships/hyperlink" Target="https://afterschools.olc.tw/afterschools/view/20201604080001" TargetMode="External"/><Relationship Id="rId342" Type="http://schemas.openxmlformats.org/officeDocument/2006/relationships/hyperlink" Target="https://afterschools.olc.tw/afterschools/view/20201405060001" TargetMode="External"/><Relationship Id="rId343" Type="http://schemas.openxmlformats.org/officeDocument/2006/relationships/hyperlink" Target="https://afterschools.olc.tw/afterschools/view/20201010180014" TargetMode="External"/><Relationship Id="rId344" Type="http://schemas.openxmlformats.org/officeDocument/2006/relationships/hyperlink" Target="https://afterschools.olc.tw/afterschools/view/20200811190650" TargetMode="External"/><Relationship Id="rId345" Type="http://schemas.openxmlformats.org/officeDocument/2006/relationships/hyperlink" Target="https://afterschools.olc.tw/afterschools/view/20201703140202" TargetMode="External"/><Relationship Id="rId346" Type="http://schemas.openxmlformats.org/officeDocument/2006/relationships/hyperlink" Target="https://afterschools.olc.tw/afterschools/view/20200811180311" TargetMode="External"/><Relationship Id="rId347" Type="http://schemas.openxmlformats.org/officeDocument/2006/relationships/hyperlink" Target="https://afterschools.olc.tw/afterschools/view/20200811180940" TargetMode="External"/><Relationship Id="rId348" Type="http://schemas.openxmlformats.org/officeDocument/2006/relationships/hyperlink" Target="https://afterschools.olc.tw/afterschools/view/20202607080001" TargetMode="External"/><Relationship Id="rId349" Type="http://schemas.openxmlformats.org/officeDocument/2006/relationships/hyperlink" Target="https://afterschools.olc.tw/afterschools/view/20201111150001" TargetMode="External"/><Relationship Id="rId350" Type="http://schemas.openxmlformats.org/officeDocument/2006/relationships/hyperlink" Target="https://afterschools.olc.tw/afterschools/view/20202310170001" TargetMode="External"/><Relationship Id="rId351" Type="http://schemas.openxmlformats.org/officeDocument/2006/relationships/hyperlink" Target="https://afterschools.olc.tw/afterschools/view/20200811191341" TargetMode="External"/><Relationship Id="rId352" Type="http://schemas.openxmlformats.org/officeDocument/2006/relationships/hyperlink" Target="https://afterschools.olc.tw/afterschools/view/20200811181408" TargetMode="External"/><Relationship Id="rId353" Type="http://schemas.openxmlformats.org/officeDocument/2006/relationships/hyperlink" Target="https://afterschools.olc.tw/afterschools/view/20202509120001" TargetMode="External"/><Relationship Id="rId354" Type="http://schemas.openxmlformats.org/officeDocument/2006/relationships/hyperlink" Target="https://afterschools.olc.tw/afterschools/view/20201703140082" TargetMode="External"/><Relationship Id="rId355" Type="http://schemas.openxmlformats.org/officeDocument/2006/relationships/hyperlink" Target="https://afterschools.olc.tw/afterschools/view/20200811190439" TargetMode="External"/><Relationship Id="rId356" Type="http://schemas.openxmlformats.org/officeDocument/2006/relationships/hyperlink" Target="https://afterschools.olc.tw/afterschools/view/20200811190905" TargetMode="External"/><Relationship Id="rId357" Type="http://schemas.openxmlformats.org/officeDocument/2006/relationships/hyperlink" Target="https://afterschools.olc.tw/afterschools/view/20201409300001" TargetMode="External"/><Relationship Id="rId358" Type="http://schemas.openxmlformats.org/officeDocument/2006/relationships/hyperlink" Target="https://afterschools.olc.tw/afterschools/view/20200811180375" TargetMode="External"/><Relationship Id="rId359" Type="http://schemas.openxmlformats.org/officeDocument/2006/relationships/hyperlink" Target="https://afterschools.olc.tw/afterschools/view/20201110170002" TargetMode="External"/><Relationship Id="rId360" Type="http://schemas.openxmlformats.org/officeDocument/2006/relationships/hyperlink" Target="https://afterschools.olc.tw/afterschools/view/20200811191778" TargetMode="External"/><Relationship Id="rId361" Type="http://schemas.openxmlformats.org/officeDocument/2006/relationships/hyperlink" Target="https://afterschools.olc.tw/afterschools/view/20200902040004" TargetMode="External"/><Relationship Id="rId362" Type="http://schemas.openxmlformats.org/officeDocument/2006/relationships/hyperlink" Target="https://afterschools.olc.tw/afterschools/view/20201703140351" TargetMode="External"/><Relationship Id="rId363" Type="http://schemas.openxmlformats.org/officeDocument/2006/relationships/hyperlink" Target="https://afterschools.olc.tw/afterschools/view/20201703140221" TargetMode="External"/><Relationship Id="rId364" Type="http://schemas.openxmlformats.org/officeDocument/2006/relationships/hyperlink" Target="https://afterschools.olc.tw/afterschools/view/20200811181663" TargetMode="External"/><Relationship Id="rId365" Type="http://schemas.openxmlformats.org/officeDocument/2006/relationships/hyperlink" Target="https://afterschools.olc.tw/afterschools/view/20200811190671" TargetMode="External"/><Relationship Id="rId366" Type="http://schemas.openxmlformats.org/officeDocument/2006/relationships/hyperlink" Target="https://afterschools.olc.tw/afterschools/view/20201010180023" TargetMode="External"/><Relationship Id="rId367" Type="http://schemas.openxmlformats.org/officeDocument/2006/relationships/hyperlink" Target="https://afterschools.olc.tw/afterschools/view/20200811190656" TargetMode="External"/><Relationship Id="rId368" Type="http://schemas.openxmlformats.org/officeDocument/2006/relationships/hyperlink" Target="https://afterschools.olc.tw/afterschools/view/20200811191214" TargetMode="External"/><Relationship Id="rId369" Type="http://schemas.openxmlformats.org/officeDocument/2006/relationships/hyperlink" Target="https://afterschools.olc.tw/afterschools/view/20200901060019" TargetMode="External"/><Relationship Id="rId370" Type="http://schemas.openxmlformats.org/officeDocument/2006/relationships/hyperlink" Target="https://afterschools.olc.tw/afterschools/view/20200811190387" TargetMode="External"/><Relationship Id="rId371" Type="http://schemas.openxmlformats.org/officeDocument/2006/relationships/hyperlink" Target="https://afterschools.olc.tw/afterschools/view/20201703140185" TargetMode="External"/><Relationship Id="rId372" Type="http://schemas.openxmlformats.org/officeDocument/2006/relationships/hyperlink" Target="https://afterschools.olc.tw/afterschools/view/20200811190832" TargetMode="External"/><Relationship Id="rId373" Type="http://schemas.openxmlformats.org/officeDocument/2006/relationships/hyperlink" Target="https://afterschools.olc.tw/afterschools/view/20202604130001" TargetMode="External"/><Relationship Id="rId374" Type="http://schemas.openxmlformats.org/officeDocument/2006/relationships/hyperlink" Target="https://afterschools.olc.tw/afterschools/view/20200811191070" TargetMode="External"/><Relationship Id="rId375" Type="http://schemas.openxmlformats.org/officeDocument/2006/relationships/hyperlink" Target="https://afterschools.olc.tw/afterschools/view/20201409270001" TargetMode="External"/><Relationship Id="rId376" Type="http://schemas.openxmlformats.org/officeDocument/2006/relationships/hyperlink" Target="https://afterschools.olc.tw/afterschools/view/20201703140517" TargetMode="External"/><Relationship Id="rId377" Type="http://schemas.openxmlformats.org/officeDocument/2006/relationships/hyperlink" Target="https://afterschools.olc.tw/afterschools/view/20201703140025" TargetMode="External"/><Relationship Id="rId378" Type="http://schemas.openxmlformats.org/officeDocument/2006/relationships/hyperlink" Target="https://afterschools.olc.tw/afterschools/view/20201101140009" TargetMode="External"/><Relationship Id="rId379" Type="http://schemas.openxmlformats.org/officeDocument/2006/relationships/hyperlink" Target="https://afterschools.olc.tw/afterschools/view/20200811190224" TargetMode="External"/><Relationship Id="rId380" Type="http://schemas.openxmlformats.org/officeDocument/2006/relationships/hyperlink" Target="https://afterschools.olc.tw/afterschools/view/20200811190704" TargetMode="External"/><Relationship Id="rId381" Type="http://schemas.openxmlformats.org/officeDocument/2006/relationships/hyperlink" Target="https://afterschools.olc.tw/afterschools/view/20201703240001" TargetMode="External"/><Relationship Id="rId382" Type="http://schemas.openxmlformats.org/officeDocument/2006/relationships/hyperlink" Target="https://afterschools.olc.tw/afterschools/view/20200811190841" TargetMode="External"/><Relationship Id="rId383" Type="http://schemas.openxmlformats.org/officeDocument/2006/relationships/hyperlink" Target="https://afterschools.olc.tw/afterschools/view/20200811181153" TargetMode="External"/><Relationship Id="rId384" Type="http://schemas.openxmlformats.org/officeDocument/2006/relationships/hyperlink" Target="https://afterschools.olc.tw/afterschools/view/20200811191673" TargetMode="External"/><Relationship Id="rId385" Type="http://schemas.openxmlformats.org/officeDocument/2006/relationships/hyperlink" Target="https://afterschools.olc.tw/afterschools/view/20200811190408" TargetMode="External"/><Relationship Id="rId386" Type="http://schemas.openxmlformats.org/officeDocument/2006/relationships/hyperlink" Target="https://afterschools.olc.tw/afterschools/view/20200811190771" TargetMode="External"/><Relationship Id="rId387" Type="http://schemas.openxmlformats.org/officeDocument/2006/relationships/hyperlink" Target="https://afterschools.olc.tw/afterschools/view/20200811191440" TargetMode="External"/><Relationship Id="rId388" Type="http://schemas.openxmlformats.org/officeDocument/2006/relationships/hyperlink" Target="https://afterschools.olc.tw/afterschools/view/20200811180764" TargetMode="External"/><Relationship Id="rId389" Type="http://schemas.openxmlformats.org/officeDocument/2006/relationships/hyperlink" Target="https://afterschools.olc.tw/afterschools/view/20201411190004" TargetMode="External"/><Relationship Id="rId390" Type="http://schemas.openxmlformats.org/officeDocument/2006/relationships/hyperlink" Target="https://afterschools.olc.tw/afterschools/view/20200811190680" TargetMode="External"/><Relationship Id="rId391" Type="http://schemas.openxmlformats.org/officeDocument/2006/relationships/hyperlink" Target="https://afterschools.olc.tw/afterschools/view/20200811180647" TargetMode="External"/><Relationship Id="rId392" Type="http://schemas.openxmlformats.org/officeDocument/2006/relationships/hyperlink" Target="https://afterschools.olc.tw/afterschools/view/20200811190367" TargetMode="External"/><Relationship Id="rId393" Type="http://schemas.openxmlformats.org/officeDocument/2006/relationships/hyperlink" Target="https://afterschools.olc.tw/afterschools/view/20201703140052" TargetMode="External"/><Relationship Id="rId394" Type="http://schemas.openxmlformats.org/officeDocument/2006/relationships/hyperlink" Target="https://afterschools.olc.tw/afterschools/view/20201703140169" TargetMode="External"/><Relationship Id="rId395" Type="http://schemas.openxmlformats.org/officeDocument/2006/relationships/hyperlink" Target="https://afterschools.olc.tw/afterschools/view/20202606150001" TargetMode="External"/><Relationship Id="rId396" Type="http://schemas.openxmlformats.org/officeDocument/2006/relationships/hyperlink" Target="https://afterschools.olc.tw/afterschools/view/20202606120003" TargetMode="External"/><Relationship Id="rId397" Type="http://schemas.openxmlformats.org/officeDocument/2006/relationships/hyperlink" Target="https://afterschools.olc.tw/afterschools/view/20200811191154" TargetMode="External"/><Relationship Id="rId398" Type="http://schemas.openxmlformats.org/officeDocument/2006/relationships/hyperlink" Target="https://afterschools.olc.tw/afterschools/view/20200811190770" TargetMode="External"/><Relationship Id="rId399" Type="http://schemas.openxmlformats.org/officeDocument/2006/relationships/hyperlink" Target="https://afterschools.olc.tw/afterschools/view/20202411120002" TargetMode="External"/><Relationship Id="rId400" Type="http://schemas.openxmlformats.org/officeDocument/2006/relationships/hyperlink" Target="https://afterschools.olc.tw/afterschools/view/20200811181795" TargetMode="External"/><Relationship Id="rId401" Type="http://schemas.openxmlformats.org/officeDocument/2006/relationships/hyperlink" Target="https://afterschools.olc.tw/afterschools/view/20200811180168" TargetMode="External"/><Relationship Id="rId402" Type="http://schemas.openxmlformats.org/officeDocument/2006/relationships/hyperlink" Target="https://afterschools.olc.tw/afterschools/view/20200811181469" TargetMode="External"/><Relationship Id="rId403" Type="http://schemas.openxmlformats.org/officeDocument/2006/relationships/hyperlink" Target="https://afterschools.olc.tw/afterschools/view/20200811180131" TargetMode="External"/><Relationship Id="rId404" Type="http://schemas.openxmlformats.org/officeDocument/2006/relationships/hyperlink" Target="https://afterschools.olc.tw/afterschools/view/20201010180017" TargetMode="External"/><Relationship Id="rId405" Type="http://schemas.openxmlformats.org/officeDocument/2006/relationships/hyperlink" Target="https://afterschools.olc.tw/afterschools/view/20200811181155" TargetMode="External"/><Relationship Id="rId406" Type="http://schemas.openxmlformats.org/officeDocument/2006/relationships/hyperlink" Target="https://afterschools.olc.tw/afterschools/view/20200811180492" TargetMode="External"/><Relationship Id="rId407" Type="http://schemas.openxmlformats.org/officeDocument/2006/relationships/hyperlink" Target="https://afterschools.olc.tw/afterschools/view/20200811190889" TargetMode="External"/><Relationship Id="rId408" Type="http://schemas.openxmlformats.org/officeDocument/2006/relationships/hyperlink" Target="https://afterschools.olc.tw/afterschools/view/20200811181435" TargetMode="External"/><Relationship Id="rId409" Type="http://schemas.openxmlformats.org/officeDocument/2006/relationships/hyperlink" Target="https://afterschools.olc.tw/afterschools/view/20202510210001" TargetMode="External"/><Relationship Id="rId410" Type="http://schemas.openxmlformats.org/officeDocument/2006/relationships/hyperlink" Target="https://afterschools.olc.tw/afterschools/view/20200811180098" TargetMode="External"/><Relationship Id="rId411" Type="http://schemas.openxmlformats.org/officeDocument/2006/relationships/hyperlink" Target="https://afterschools.olc.tw/afterschools/view/20200811191773" TargetMode="External"/><Relationship Id="rId412" Type="http://schemas.openxmlformats.org/officeDocument/2006/relationships/hyperlink" Target="https://afterschools.olc.tw/afterschools/view/20200811181005" TargetMode="External"/><Relationship Id="rId413" Type="http://schemas.openxmlformats.org/officeDocument/2006/relationships/hyperlink" Target="https://afterschools.olc.tw/afterschools/view/20200811190804" TargetMode="External"/><Relationship Id="rId414" Type="http://schemas.openxmlformats.org/officeDocument/2006/relationships/hyperlink" Target="https://afterschools.olc.tw/afterschools/view/20201311190002" TargetMode="External"/><Relationship Id="rId415" Type="http://schemas.openxmlformats.org/officeDocument/2006/relationships/hyperlink" Target="https://afterschools.olc.tw/afterschools/view/20201211050001" TargetMode="External"/><Relationship Id="rId416" Type="http://schemas.openxmlformats.org/officeDocument/2006/relationships/hyperlink" Target="https://afterschools.olc.tw/afterschools/view/20201508220003" TargetMode="External"/><Relationship Id="rId417" Type="http://schemas.openxmlformats.org/officeDocument/2006/relationships/hyperlink" Target="https://afterschools.olc.tw/afterschools/view/20200811190829" TargetMode="External"/><Relationship Id="rId418" Type="http://schemas.openxmlformats.org/officeDocument/2006/relationships/hyperlink" Target="https://afterschools.olc.tw/afterschools/view/20200811181616" TargetMode="External"/><Relationship Id="rId419" Type="http://schemas.openxmlformats.org/officeDocument/2006/relationships/hyperlink" Target="https://afterschools.olc.tw/afterschools/view/20201010180029" TargetMode="External"/><Relationship Id="rId420" Type="http://schemas.openxmlformats.org/officeDocument/2006/relationships/hyperlink" Target="https://afterschools.olc.tw/afterschools/view/20200811190660" TargetMode="External"/><Relationship Id="rId421" Type="http://schemas.openxmlformats.org/officeDocument/2006/relationships/hyperlink" Target="https://afterschools.olc.tw/afterschools/view/20200811190343" TargetMode="External"/><Relationship Id="rId422" Type="http://schemas.openxmlformats.org/officeDocument/2006/relationships/hyperlink" Target="https://afterschools.olc.tw/afterschools/view/20200811190344" TargetMode="External"/><Relationship Id="rId423" Type="http://schemas.openxmlformats.org/officeDocument/2006/relationships/hyperlink" Target="https://afterschools.olc.tw/afterschools/view/20200811191640" TargetMode="External"/><Relationship Id="rId424" Type="http://schemas.openxmlformats.org/officeDocument/2006/relationships/hyperlink" Target="https://afterschools.olc.tw/afterschools/view/20200811181397" TargetMode="External"/><Relationship Id="rId425" Type="http://schemas.openxmlformats.org/officeDocument/2006/relationships/hyperlink" Target="https://afterschools.olc.tw/afterschools/view/20201010040001" TargetMode="External"/><Relationship Id="rId426" Type="http://schemas.openxmlformats.org/officeDocument/2006/relationships/hyperlink" Target="https://afterschools.olc.tw/afterschools/view/20200811190459" TargetMode="External"/><Relationship Id="rId427" Type="http://schemas.openxmlformats.org/officeDocument/2006/relationships/hyperlink" Target="https://afterschools.olc.tw/afterschools/view/20202209130001" TargetMode="External"/><Relationship Id="rId428" Type="http://schemas.openxmlformats.org/officeDocument/2006/relationships/hyperlink" Target="https://afterschools.olc.tw/afterschools/view/20200811190858" TargetMode="External"/><Relationship Id="rId429" Type="http://schemas.openxmlformats.org/officeDocument/2006/relationships/hyperlink" Target="https://afterschools.olc.tw/afterschools/view/20201703140346" TargetMode="External"/><Relationship Id="rId430" Type="http://schemas.openxmlformats.org/officeDocument/2006/relationships/hyperlink" Target="https://afterschools.olc.tw/afterschools/view/20200811180747" TargetMode="External"/><Relationship Id="rId431" Type="http://schemas.openxmlformats.org/officeDocument/2006/relationships/hyperlink" Target="https://afterschools.olc.tw/afterschools/view/20200811181704" TargetMode="External"/><Relationship Id="rId432" Type="http://schemas.openxmlformats.org/officeDocument/2006/relationships/hyperlink" Target="https://afterschools.olc.tw/afterschools/view/20201703140089" TargetMode="External"/><Relationship Id="rId433" Type="http://schemas.openxmlformats.org/officeDocument/2006/relationships/hyperlink" Target="https://afterschools.olc.tw/afterschools/view/20200811191349" TargetMode="External"/><Relationship Id="rId434" Type="http://schemas.openxmlformats.org/officeDocument/2006/relationships/hyperlink" Target="https://afterschools.olc.tw/afterschools/view/20201312180001" TargetMode="External"/><Relationship Id="rId435" Type="http://schemas.openxmlformats.org/officeDocument/2006/relationships/hyperlink" Target="https://afterschools.olc.tw/afterschools/view/20202212220001" TargetMode="External"/><Relationship Id="rId436" Type="http://schemas.openxmlformats.org/officeDocument/2006/relationships/hyperlink" Target="https://afterschools.olc.tw/afterschools/view/20200811180044" TargetMode="External"/><Relationship Id="rId437" Type="http://schemas.openxmlformats.org/officeDocument/2006/relationships/hyperlink" Target="https://afterschools.olc.tw/afterschools/view/20200811191491" TargetMode="External"/><Relationship Id="rId438" Type="http://schemas.openxmlformats.org/officeDocument/2006/relationships/hyperlink" Target="https://afterschools.olc.tw/afterschools/view/20201012150001" TargetMode="External"/><Relationship Id="rId439" Type="http://schemas.openxmlformats.org/officeDocument/2006/relationships/hyperlink" Target="https://afterschools.olc.tw/afterschools/view/20201703140431" TargetMode="External"/><Relationship Id="rId440" Type="http://schemas.openxmlformats.org/officeDocument/2006/relationships/hyperlink" Target="https://afterschools.olc.tw/afterschools/view/20200811181404" TargetMode="External"/><Relationship Id="rId441" Type="http://schemas.openxmlformats.org/officeDocument/2006/relationships/hyperlink" Target="https://afterschools.olc.tw/afterschools/view/20200811191732" TargetMode="External"/><Relationship Id="rId442" Type="http://schemas.openxmlformats.org/officeDocument/2006/relationships/hyperlink" Target="https://afterschools.olc.tw/afterschools/view/20200811180055" TargetMode="External"/><Relationship Id="rId443" Type="http://schemas.openxmlformats.org/officeDocument/2006/relationships/hyperlink" Target="https://afterschools.olc.tw/afterschools/view/20201703140269" TargetMode="External"/><Relationship Id="rId444" Type="http://schemas.openxmlformats.org/officeDocument/2006/relationships/hyperlink" Target="https://afterschools.olc.tw/afterschools/view/20200811191560" TargetMode="External"/><Relationship Id="rId445" Type="http://schemas.openxmlformats.org/officeDocument/2006/relationships/hyperlink" Target="https://afterschools.olc.tw/afterschools/view/20200811180226" TargetMode="External"/><Relationship Id="rId446" Type="http://schemas.openxmlformats.org/officeDocument/2006/relationships/hyperlink" Target="https://afterschools.olc.tw/afterschools/view/20201703140165" TargetMode="External"/><Relationship Id="rId447" Type="http://schemas.openxmlformats.org/officeDocument/2006/relationships/hyperlink" Target="https://afterschools.olc.tw/afterschools/view/20200811181340" TargetMode="External"/><Relationship Id="rId448" Type="http://schemas.openxmlformats.org/officeDocument/2006/relationships/hyperlink" Target="https://afterschools.olc.tw/afterschools/view/20200811181225" TargetMode="External"/><Relationship Id="rId449" Type="http://schemas.openxmlformats.org/officeDocument/2006/relationships/hyperlink" Target="https://afterschools.olc.tw/afterschools/view/20200811180389" TargetMode="External"/><Relationship Id="rId450" Type="http://schemas.openxmlformats.org/officeDocument/2006/relationships/hyperlink" Target="https://afterschools.olc.tw/afterschools/view/20200811190492" TargetMode="External"/><Relationship Id="rId451" Type="http://schemas.openxmlformats.org/officeDocument/2006/relationships/hyperlink" Target="https://afterschools.olc.tw/afterschools/view/20201703140061" TargetMode="External"/><Relationship Id="rId452" Type="http://schemas.openxmlformats.org/officeDocument/2006/relationships/hyperlink" Target="https://afterschools.olc.tw/afterschools/view/20201108290003" TargetMode="External"/><Relationship Id="rId453" Type="http://schemas.openxmlformats.org/officeDocument/2006/relationships/hyperlink" Target="https://afterschools.olc.tw/afterschools/view/20200811180120" TargetMode="External"/><Relationship Id="rId454" Type="http://schemas.openxmlformats.org/officeDocument/2006/relationships/hyperlink" Target="https://afterschools.olc.tw/afterschools/view/20200811191648" TargetMode="External"/><Relationship Id="rId455" Type="http://schemas.openxmlformats.org/officeDocument/2006/relationships/hyperlink" Target="https://afterschools.olc.tw/afterschools/view/20200811191153" TargetMode="External"/><Relationship Id="rId456" Type="http://schemas.openxmlformats.org/officeDocument/2006/relationships/hyperlink" Target="https://afterschools.olc.tw/afterschools/view/20201703140449" TargetMode="External"/><Relationship Id="rId457" Type="http://schemas.openxmlformats.org/officeDocument/2006/relationships/hyperlink" Target="https://afterschools.olc.tw/afterschools/view/20200811180932" TargetMode="External"/><Relationship Id="rId458" Type="http://schemas.openxmlformats.org/officeDocument/2006/relationships/hyperlink" Target="https://afterschools.olc.tw/afterschools/view/20200811191457" TargetMode="External"/><Relationship Id="rId459" Type="http://schemas.openxmlformats.org/officeDocument/2006/relationships/hyperlink" Target="https://afterschools.olc.tw/afterschools/view/20200811181228" TargetMode="External"/><Relationship Id="rId460" Type="http://schemas.openxmlformats.org/officeDocument/2006/relationships/hyperlink" Target="https://afterschools.olc.tw/afterschools/view/20201010180030" TargetMode="External"/><Relationship Id="rId461" Type="http://schemas.openxmlformats.org/officeDocument/2006/relationships/hyperlink" Target="https://afterschools.olc.tw/afterschools/view/20200811191728" TargetMode="External"/><Relationship Id="rId462" Type="http://schemas.openxmlformats.org/officeDocument/2006/relationships/hyperlink" Target="https://afterschools.olc.tw/afterschools/view/20200811180515" TargetMode="External"/><Relationship Id="rId463" Type="http://schemas.openxmlformats.org/officeDocument/2006/relationships/hyperlink" Target="https://afterschools.olc.tw/afterschools/view/20200811190173" TargetMode="External"/><Relationship Id="rId464" Type="http://schemas.openxmlformats.org/officeDocument/2006/relationships/hyperlink" Target="https://afterschools.olc.tw/afterschools/view/20201703140056" TargetMode="External"/><Relationship Id="rId465" Type="http://schemas.openxmlformats.org/officeDocument/2006/relationships/hyperlink" Target="https://afterschools.olc.tw/afterschools/view/20200911060001" TargetMode="External"/><Relationship Id="rId466" Type="http://schemas.openxmlformats.org/officeDocument/2006/relationships/hyperlink" Target="https://afterschools.olc.tw/afterschools/view/20201310080002" TargetMode="External"/><Relationship Id="rId467" Type="http://schemas.openxmlformats.org/officeDocument/2006/relationships/hyperlink" Target="https://afterschools.olc.tw/afterschools/view/20200908050001" TargetMode="External"/><Relationship Id="rId468" Type="http://schemas.openxmlformats.org/officeDocument/2006/relationships/hyperlink" Target="https://afterschools.olc.tw/afterschools/view/20201703140676" TargetMode="External"/><Relationship Id="rId469" Type="http://schemas.openxmlformats.org/officeDocument/2006/relationships/hyperlink" Target="https://afterschools.olc.tw/afterschools/view/20200811190727" TargetMode="External"/><Relationship Id="rId470" Type="http://schemas.openxmlformats.org/officeDocument/2006/relationships/hyperlink" Target="https://afterschools.olc.tw/afterschools/view/20200811191459" TargetMode="External"/><Relationship Id="rId471" Type="http://schemas.openxmlformats.org/officeDocument/2006/relationships/hyperlink" Target="https://afterschools.olc.tw/afterschools/view/20201710230001" TargetMode="External"/><Relationship Id="rId472" Type="http://schemas.openxmlformats.org/officeDocument/2006/relationships/hyperlink" Target="https://afterschools.olc.tw/afterschools/view/20200811181168" TargetMode="External"/><Relationship Id="rId473" Type="http://schemas.openxmlformats.org/officeDocument/2006/relationships/hyperlink" Target="https://afterschools.olc.tw/afterschools/view/20201602160001" TargetMode="External"/><Relationship Id="rId474" Type="http://schemas.openxmlformats.org/officeDocument/2006/relationships/hyperlink" Target="https://afterschools.olc.tw/afterschools/view/20200811190813" TargetMode="External"/><Relationship Id="rId475" Type="http://schemas.openxmlformats.org/officeDocument/2006/relationships/hyperlink" Target="https://afterschools.olc.tw/afterschools/view/20200811180634" TargetMode="External"/><Relationship Id="rId476" Type="http://schemas.openxmlformats.org/officeDocument/2006/relationships/hyperlink" Target="https://afterschools.olc.tw/afterschools/view/20200811191487" TargetMode="External"/><Relationship Id="rId477" Type="http://schemas.openxmlformats.org/officeDocument/2006/relationships/hyperlink" Target="https://afterschools.olc.tw/afterschools/view/20200811190458" TargetMode="External"/><Relationship Id="rId478" Type="http://schemas.openxmlformats.org/officeDocument/2006/relationships/hyperlink" Target="https://afterschools.olc.tw/afterschools/view/20200811180360" TargetMode="External"/><Relationship Id="rId479" Type="http://schemas.openxmlformats.org/officeDocument/2006/relationships/hyperlink" Target="https://afterschools.olc.tw/afterschools/view/20201703140674" TargetMode="External"/><Relationship Id="rId480" Type="http://schemas.openxmlformats.org/officeDocument/2006/relationships/hyperlink" Target="https://afterschools.olc.tw/afterschools/view/20200811191582" TargetMode="External"/><Relationship Id="rId481" Type="http://schemas.openxmlformats.org/officeDocument/2006/relationships/hyperlink" Target="https://afterschools.olc.tw/afterschools/view/20200811190188" TargetMode="External"/><Relationship Id="rId482" Type="http://schemas.openxmlformats.org/officeDocument/2006/relationships/hyperlink" Target="https://afterschools.olc.tw/afterschools/view/20201802120001" TargetMode="External"/><Relationship Id="rId483" Type="http://schemas.openxmlformats.org/officeDocument/2006/relationships/hyperlink" Target="https://afterschools.olc.tw/afterschools/view/20201706090002" TargetMode="External"/><Relationship Id="rId484" Type="http://schemas.openxmlformats.org/officeDocument/2006/relationships/hyperlink" Target="https://afterschools.olc.tw/afterschools/view/20200811180060" TargetMode="External"/><Relationship Id="rId485" Type="http://schemas.openxmlformats.org/officeDocument/2006/relationships/hyperlink" Target="https://afterschools.olc.tw/afterschools/view/20200811180336" TargetMode="External"/><Relationship Id="rId486" Type="http://schemas.openxmlformats.org/officeDocument/2006/relationships/hyperlink" Target="https://afterschools.olc.tw/afterschools/view/20200811181077" TargetMode="External"/><Relationship Id="rId487" Type="http://schemas.openxmlformats.org/officeDocument/2006/relationships/hyperlink" Target="https://afterschools.olc.tw/afterschools/view/20200811191610" TargetMode="External"/><Relationship Id="rId488" Type="http://schemas.openxmlformats.org/officeDocument/2006/relationships/hyperlink" Target="https://afterschools.olc.tw/afterschools/view/20200811181162" TargetMode="External"/><Relationship Id="rId489" Type="http://schemas.openxmlformats.org/officeDocument/2006/relationships/hyperlink" Target="https://afterschools.olc.tw/afterschools/view/20201412090001" TargetMode="External"/><Relationship Id="rId490" Type="http://schemas.openxmlformats.org/officeDocument/2006/relationships/hyperlink" Target="https://afterschools.olc.tw/afterschools/view/20201703140287" TargetMode="External"/><Relationship Id="rId491" Type="http://schemas.openxmlformats.org/officeDocument/2006/relationships/hyperlink" Target="https://afterschools.olc.tw/afterschools/view/20201707030002" TargetMode="External"/><Relationship Id="rId492" Type="http://schemas.openxmlformats.org/officeDocument/2006/relationships/hyperlink" Target="https://afterschools.olc.tw/afterschools/view/20200811180556" TargetMode="External"/><Relationship Id="rId493" Type="http://schemas.openxmlformats.org/officeDocument/2006/relationships/hyperlink" Target="https://afterschools.olc.tw/afterschools/view/20201311130001" TargetMode="External"/><Relationship Id="rId494" Type="http://schemas.openxmlformats.org/officeDocument/2006/relationships/hyperlink" Target="https://afterschools.olc.tw/afterschools/view/20202511270003" TargetMode="External"/><Relationship Id="rId495" Type="http://schemas.openxmlformats.org/officeDocument/2006/relationships/hyperlink" Target="https://afterschools.olc.tw/afterschools/view/20200811180768" TargetMode="External"/><Relationship Id="rId496" Type="http://schemas.openxmlformats.org/officeDocument/2006/relationships/hyperlink" Target="https://afterschools.olc.tw/afterschools/view/20201703140074" TargetMode="External"/><Relationship Id="rId497" Type="http://schemas.openxmlformats.org/officeDocument/2006/relationships/hyperlink" Target="https://afterschools.olc.tw/afterschools/view/20200811191514" TargetMode="External"/><Relationship Id="rId498" Type="http://schemas.openxmlformats.org/officeDocument/2006/relationships/hyperlink" Target="https://afterschools.olc.tw/afterschools/view/20201703140152" TargetMode="External"/><Relationship Id="rId499" Type="http://schemas.openxmlformats.org/officeDocument/2006/relationships/hyperlink" Target="https://afterschools.olc.tw/afterschools/view/20201703140322" TargetMode="External"/><Relationship Id="rId500" Type="http://schemas.openxmlformats.org/officeDocument/2006/relationships/hyperlink" Target="https://afterschools.olc.tw/afterschools/view/20200907010001" TargetMode="External"/><Relationship Id="rId501" Type="http://schemas.openxmlformats.org/officeDocument/2006/relationships/hyperlink" Target="https://afterschools.olc.tw/afterschools/view/20200811180776" TargetMode="External"/><Relationship Id="rId502" Type="http://schemas.openxmlformats.org/officeDocument/2006/relationships/hyperlink" Target="https://afterschools.olc.tw/afterschools/view/20200811180213" TargetMode="External"/><Relationship Id="rId503" Type="http://schemas.openxmlformats.org/officeDocument/2006/relationships/hyperlink" Target="https://afterschools.olc.tw/afterschools/view/20200811191240" TargetMode="External"/><Relationship Id="rId504" Type="http://schemas.openxmlformats.org/officeDocument/2006/relationships/hyperlink" Target="https://afterschools.olc.tw/afterschools/view/20200811180320" TargetMode="External"/><Relationship Id="rId505" Type="http://schemas.openxmlformats.org/officeDocument/2006/relationships/hyperlink" Target="https://afterschools.olc.tw/afterschools/view/20200811180325" TargetMode="External"/><Relationship Id="rId506" Type="http://schemas.openxmlformats.org/officeDocument/2006/relationships/hyperlink" Target="https://afterschools.olc.tw/afterschools/view/20200811181008" TargetMode="External"/><Relationship Id="rId507" Type="http://schemas.openxmlformats.org/officeDocument/2006/relationships/hyperlink" Target="https://afterschools.olc.tw/afterschools/view/20200811180797" TargetMode="External"/><Relationship Id="rId508" Type="http://schemas.openxmlformats.org/officeDocument/2006/relationships/hyperlink" Target="https://afterschools.olc.tw/afterschools/view/20200811190190" TargetMode="External"/><Relationship Id="rId509" Type="http://schemas.openxmlformats.org/officeDocument/2006/relationships/hyperlink" Target="https://afterschools.olc.tw/afterschools/view/20200811180280" TargetMode="External"/><Relationship Id="rId510" Type="http://schemas.openxmlformats.org/officeDocument/2006/relationships/hyperlink" Target="https://afterschools.olc.tw/afterschools/view/20200811181110" TargetMode="External"/><Relationship Id="rId511" Type="http://schemas.openxmlformats.org/officeDocument/2006/relationships/hyperlink" Target="https://afterschools.olc.tw/afterschools/view/20202301050001" TargetMode="External"/><Relationship Id="rId512" Type="http://schemas.openxmlformats.org/officeDocument/2006/relationships/hyperlink" Target="https://afterschools.olc.tw/afterschools/view/20202302210002" TargetMode="External"/><Relationship Id="rId513" Type="http://schemas.openxmlformats.org/officeDocument/2006/relationships/hyperlink" Target="https://afterschools.olc.tw/afterschools/view/20201706090004" TargetMode="External"/><Relationship Id="rId514" Type="http://schemas.openxmlformats.org/officeDocument/2006/relationships/hyperlink" Target="https://afterschools.olc.tw/afterschools/view/20200811190531" TargetMode="External"/><Relationship Id="rId515" Type="http://schemas.openxmlformats.org/officeDocument/2006/relationships/hyperlink" Target="https://afterschools.olc.tw/afterschools/view/20200811191142" TargetMode="External"/><Relationship Id="rId516" Type="http://schemas.openxmlformats.org/officeDocument/2006/relationships/hyperlink" Target="https://afterschools.olc.tw/afterschools/view/20200811180641" TargetMode="External"/><Relationship Id="rId517" Type="http://schemas.openxmlformats.org/officeDocument/2006/relationships/hyperlink" Target="https://afterschools.olc.tw/afterschools/view/20200811190604" TargetMode="External"/><Relationship Id="rId518" Type="http://schemas.openxmlformats.org/officeDocument/2006/relationships/hyperlink" Target="https://afterschools.olc.tw/afterschools/view/20201703140078" TargetMode="External"/><Relationship Id="rId519" Type="http://schemas.openxmlformats.org/officeDocument/2006/relationships/hyperlink" Target="https://afterschools.olc.tw/afterschools/view/20202207190001" TargetMode="External"/><Relationship Id="rId520" Type="http://schemas.openxmlformats.org/officeDocument/2006/relationships/hyperlink" Target="https://afterschools.olc.tw/afterschools/view/20200811190869" TargetMode="External"/><Relationship Id="rId521" Type="http://schemas.openxmlformats.org/officeDocument/2006/relationships/hyperlink" Target="https://afterschools.olc.tw/afterschools/view/20201612240001" TargetMode="External"/><Relationship Id="rId522" Type="http://schemas.openxmlformats.org/officeDocument/2006/relationships/hyperlink" Target="https://afterschools.olc.tw/afterschools/view/20201703140271" TargetMode="External"/><Relationship Id="rId523" Type="http://schemas.openxmlformats.org/officeDocument/2006/relationships/hyperlink" Target="https://afterschools.olc.tw/afterschools/view/20200811191346" TargetMode="External"/><Relationship Id="rId524" Type="http://schemas.openxmlformats.org/officeDocument/2006/relationships/hyperlink" Target="https://afterschools.olc.tw/afterschools/view/20200811180172" TargetMode="External"/><Relationship Id="rId525" Type="http://schemas.openxmlformats.org/officeDocument/2006/relationships/hyperlink" Target="https://afterschools.olc.tw/afterschools/view/20201412250001" TargetMode="External"/><Relationship Id="rId526" Type="http://schemas.openxmlformats.org/officeDocument/2006/relationships/hyperlink" Target="https://afterschools.olc.tw/afterschools/view/20200910050002" TargetMode="External"/><Relationship Id="rId527" Type="http://schemas.openxmlformats.org/officeDocument/2006/relationships/hyperlink" Target="https://afterschools.olc.tw/afterschools/view/20201703140401" TargetMode="External"/><Relationship Id="rId528" Type="http://schemas.openxmlformats.org/officeDocument/2006/relationships/hyperlink" Target="https://afterschools.olc.tw/afterschools/view/20200811190124" TargetMode="External"/><Relationship Id="rId529" Type="http://schemas.openxmlformats.org/officeDocument/2006/relationships/hyperlink" Target="https://afterschools.olc.tw/afterschools/view/20200811190239" TargetMode="External"/><Relationship Id="rId530" Type="http://schemas.openxmlformats.org/officeDocument/2006/relationships/hyperlink" Target="https://afterschools.olc.tw/afterschools/view/20200811180208" TargetMode="External"/><Relationship Id="rId531" Type="http://schemas.openxmlformats.org/officeDocument/2006/relationships/hyperlink" Target="https://afterschools.olc.tw/afterschools/view/20200811180924" TargetMode="External"/><Relationship Id="rId532" Type="http://schemas.openxmlformats.org/officeDocument/2006/relationships/hyperlink" Target="https://afterschools.olc.tw/afterschools/view/21201312180001" TargetMode="External"/><Relationship Id="rId533" Type="http://schemas.openxmlformats.org/officeDocument/2006/relationships/hyperlink" Target="https://afterschools.olc.tw/afterschools/view/21201410230002" TargetMode="External"/><Relationship Id="rId534" Type="http://schemas.openxmlformats.org/officeDocument/2006/relationships/hyperlink" Target="https://afterschools.olc.tw/afterschools/view/21201211190001" TargetMode="External"/><Relationship Id="rId535" Type="http://schemas.openxmlformats.org/officeDocument/2006/relationships/hyperlink" Target="https://afterschools.olc.tw/afterschools/view/21201603250001" TargetMode="External"/><Relationship Id="rId536" Type="http://schemas.openxmlformats.org/officeDocument/2006/relationships/hyperlink" Target="https://afterschools.olc.tw/afterschools/view/21201411280002" TargetMode="External"/><Relationship Id="rId537" Type="http://schemas.openxmlformats.org/officeDocument/2006/relationships/hyperlink" Target="https://afterschools.olc.tw/afterschools/view/21201509160001" TargetMode="External"/><Relationship Id="rId538" Type="http://schemas.openxmlformats.org/officeDocument/2006/relationships/hyperlink" Target="https://afterschools.olc.tw/afterschools/view/21200208022139" TargetMode="External"/><Relationship Id="rId539" Type="http://schemas.openxmlformats.org/officeDocument/2006/relationships/hyperlink" Target="https://afterschools.olc.tw/afterschools/view/21200809230001" TargetMode="External"/><Relationship Id="rId540" Type="http://schemas.openxmlformats.org/officeDocument/2006/relationships/hyperlink" Target="https://afterschools.olc.tw/afterschools/view/21201401160001" TargetMode="External"/><Relationship Id="rId541" Type="http://schemas.openxmlformats.org/officeDocument/2006/relationships/hyperlink" Target="https://afterschools.olc.tw/afterschools/view/21201510050003" TargetMode="External"/><Relationship Id="rId542" Type="http://schemas.openxmlformats.org/officeDocument/2006/relationships/hyperlink" Target="https://afterschools.olc.tw/afterschools/view/21200810270003" TargetMode="External"/><Relationship Id="rId543" Type="http://schemas.openxmlformats.org/officeDocument/2006/relationships/hyperlink" Target="https://afterschools.olc.tw/afterschools/view/21200408270001" TargetMode="External"/><Relationship Id="rId544" Type="http://schemas.openxmlformats.org/officeDocument/2006/relationships/hyperlink" Target="https://afterschools.olc.tw/afterschools/view/21201303080001" TargetMode="External"/><Relationship Id="rId545" Type="http://schemas.openxmlformats.org/officeDocument/2006/relationships/hyperlink" Target="https://afterschools.olc.tw/afterschools/view/21200601190002" TargetMode="External"/><Relationship Id="rId546" Type="http://schemas.openxmlformats.org/officeDocument/2006/relationships/hyperlink" Target="https://afterschools.olc.tw/afterschools/view/21201412180001" TargetMode="External"/><Relationship Id="rId547" Type="http://schemas.openxmlformats.org/officeDocument/2006/relationships/hyperlink" Target="https://afterschools.olc.tw/afterschools/view/21201307200002" TargetMode="External"/><Relationship Id="rId548" Type="http://schemas.openxmlformats.org/officeDocument/2006/relationships/hyperlink" Target="https://afterschools.olc.tw/afterschools/view/21200304090001" TargetMode="External"/><Relationship Id="rId549" Type="http://schemas.openxmlformats.org/officeDocument/2006/relationships/hyperlink" Target="https://afterschools.olc.tw/afterschools/view/21200709270003" TargetMode="External"/><Relationship Id="rId550" Type="http://schemas.openxmlformats.org/officeDocument/2006/relationships/hyperlink" Target="https://afterschools.olc.tw/afterschools/view/21200903120002" TargetMode="External"/><Relationship Id="rId551" Type="http://schemas.openxmlformats.org/officeDocument/2006/relationships/hyperlink" Target="https://afterschools.olc.tw/afterschools/view/21201311180002" TargetMode="External"/><Relationship Id="rId552" Type="http://schemas.openxmlformats.org/officeDocument/2006/relationships/hyperlink" Target="https://afterschools.olc.tw/afterschools/view/21200508010001" TargetMode="External"/><Relationship Id="rId553" Type="http://schemas.openxmlformats.org/officeDocument/2006/relationships/hyperlink" Target="https://afterschools.olc.tw/afterschools/view/21200504140001" TargetMode="External"/><Relationship Id="rId554" Type="http://schemas.openxmlformats.org/officeDocument/2006/relationships/hyperlink" Target="https://afterschools.olc.tw/afterschools/view/21200909240001" TargetMode="External"/><Relationship Id="rId555" Type="http://schemas.openxmlformats.org/officeDocument/2006/relationships/hyperlink" Target="https://afterschools.olc.tw/afterschools/view/21200612210002" TargetMode="External"/><Relationship Id="rId556" Type="http://schemas.openxmlformats.org/officeDocument/2006/relationships/hyperlink" Target="https://afterschools.olc.tw/afterschools/view/21200908120002" TargetMode="External"/><Relationship Id="rId557" Type="http://schemas.openxmlformats.org/officeDocument/2006/relationships/hyperlink" Target="https://afterschools.olc.tw/afterschools/view/21201107140001" TargetMode="External"/><Relationship Id="rId558" Type="http://schemas.openxmlformats.org/officeDocument/2006/relationships/hyperlink" Target="https://afterschools.olc.tw/afterschools/view/21200311130001" TargetMode="External"/><Relationship Id="rId559" Type="http://schemas.openxmlformats.org/officeDocument/2006/relationships/hyperlink" Target="https://afterschools.olc.tw/afterschools/view/21202408280001" TargetMode="External"/><Relationship Id="rId560" Type="http://schemas.openxmlformats.org/officeDocument/2006/relationships/hyperlink" Target="https://afterschools.olc.tw/afterschools/view/21201003010002" TargetMode="External"/><Relationship Id="rId561" Type="http://schemas.openxmlformats.org/officeDocument/2006/relationships/hyperlink" Target="https://afterschools.olc.tw/afterschools/view/21202408020002" TargetMode="External"/><Relationship Id="rId562" Type="http://schemas.openxmlformats.org/officeDocument/2006/relationships/hyperlink" Target="https://afterschools.olc.tw/afterschools/view/21200208022136" TargetMode="External"/><Relationship Id="rId563" Type="http://schemas.openxmlformats.org/officeDocument/2006/relationships/hyperlink" Target="https://afterschools.olc.tw/afterschools/view/21200208022143" TargetMode="External"/><Relationship Id="rId564" Type="http://schemas.openxmlformats.org/officeDocument/2006/relationships/hyperlink" Target="https://afterschools.olc.tw/afterschools/view/21200307250008" TargetMode="External"/><Relationship Id="rId565" Type="http://schemas.openxmlformats.org/officeDocument/2006/relationships/hyperlink" Target="https://afterschools.olc.tw/afterschools/view/21200602170002" TargetMode="External"/><Relationship Id="rId566" Type="http://schemas.openxmlformats.org/officeDocument/2006/relationships/hyperlink" Target="https://afterschools.olc.tw/afterschools/view/21200603210002" TargetMode="External"/><Relationship Id="rId567" Type="http://schemas.openxmlformats.org/officeDocument/2006/relationships/hyperlink" Target="https://afterschools.olc.tw/afterschools/view/21200209040005" TargetMode="External"/><Relationship Id="rId568" Type="http://schemas.openxmlformats.org/officeDocument/2006/relationships/hyperlink" Target="https://afterschools.olc.tw/afterschools/view/21201407300003" TargetMode="External"/><Relationship Id="rId569" Type="http://schemas.openxmlformats.org/officeDocument/2006/relationships/hyperlink" Target="https://afterschools.olc.tw/afterschools/view/21200610130006" TargetMode="External"/><Relationship Id="rId570" Type="http://schemas.openxmlformats.org/officeDocument/2006/relationships/hyperlink" Target="https://afterschools.olc.tw/afterschools/view/21200208020099" TargetMode="External"/><Relationship Id="rId571" Type="http://schemas.openxmlformats.org/officeDocument/2006/relationships/hyperlink" Target="https://afterschools.olc.tw/afterschools/view/21201207100003" TargetMode="External"/><Relationship Id="rId572" Type="http://schemas.openxmlformats.org/officeDocument/2006/relationships/hyperlink" Target="https://afterschools.olc.tw/afterschools/view/21201603090001" TargetMode="External"/><Relationship Id="rId573" Type="http://schemas.openxmlformats.org/officeDocument/2006/relationships/hyperlink" Target="https://afterschools.olc.tw/afterschools/view/21200211060001" TargetMode="External"/><Relationship Id="rId574" Type="http://schemas.openxmlformats.org/officeDocument/2006/relationships/hyperlink" Target="https://afterschools.olc.tw/afterschools/view/21200701190003" TargetMode="External"/><Relationship Id="rId575" Type="http://schemas.openxmlformats.org/officeDocument/2006/relationships/hyperlink" Target="https://afterschools.olc.tw/afterschools/view/21201701060002" TargetMode="External"/><Relationship Id="rId576" Type="http://schemas.openxmlformats.org/officeDocument/2006/relationships/hyperlink" Target="https://afterschools.olc.tw/afterschools/view/21200208020034" TargetMode="External"/><Relationship Id="rId577" Type="http://schemas.openxmlformats.org/officeDocument/2006/relationships/hyperlink" Target="https://afterschools.olc.tw/afterschools/view/21201103070001" TargetMode="External"/><Relationship Id="rId578" Type="http://schemas.openxmlformats.org/officeDocument/2006/relationships/hyperlink" Target="https://afterschools.olc.tw/afterschools/view/21200606060002" TargetMode="External"/><Relationship Id="rId579" Type="http://schemas.openxmlformats.org/officeDocument/2006/relationships/hyperlink" Target="https://afterschools.olc.tw/afterschools/view/21200412310001" TargetMode="External"/><Relationship Id="rId580" Type="http://schemas.openxmlformats.org/officeDocument/2006/relationships/hyperlink" Target="https://afterschools.olc.tw/afterschools/view/21200711300001" TargetMode="External"/><Relationship Id="rId581" Type="http://schemas.openxmlformats.org/officeDocument/2006/relationships/hyperlink" Target="https://afterschools.olc.tw/afterschools/view/21200210240001" TargetMode="External"/><Relationship Id="rId582" Type="http://schemas.openxmlformats.org/officeDocument/2006/relationships/hyperlink" Target="https://afterschools.olc.tw/afterschools/view/21201212060002" TargetMode="External"/><Relationship Id="rId583" Type="http://schemas.openxmlformats.org/officeDocument/2006/relationships/hyperlink" Target="https://afterschools.olc.tw/afterschools/view/21200604280001" TargetMode="External"/><Relationship Id="rId584" Type="http://schemas.openxmlformats.org/officeDocument/2006/relationships/hyperlink" Target="https://afterschools.olc.tw/afterschools/view/21200611020002" TargetMode="External"/><Relationship Id="rId585" Type="http://schemas.openxmlformats.org/officeDocument/2006/relationships/hyperlink" Target="https://afterschools.olc.tw/afterschools/view/21201010220003" TargetMode="External"/><Relationship Id="rId586" Type="http://schemas.openxmlformats.org/officeDocument/2006/relationships/hyperlink" Target="https://afterschools.olc.tw/afterschools/view/21201109080002" TargetMode="External"/><Relationship Id="rId587" Type="http://schemas.openxmlformats.org/officeDocument/2006/relationships/hyperlink" Target="https://afterschools.olc.tw/afterschools/view/21200703200002" TargetMode="External"/><Relationship Id="rId588" Type="http://schemas.openxmlformats.org/officeDocument/2006/relationships/hyperlink" Target="https://afterschools.olc.tw/afterschools/view/21201012240001" TargetMode="External"/><Relationship Id="rId589" Type="http://schemas.openxmlformats.org/officeDocument/2006/relationships/hyperlink" Target="https://afterschools.olc.tw/afterschools/view/21200304070001" TargetMode="External"/><Relationship Id="rId590" Type="http://schemas.openxmlformats.org/officeDocument/2006/relationships/hyperlink" Target="https://afterschools.olc.tw/afterschools/view/21200506290001" TargetMode="External"/><Relationship Id="rId591" Type="http://schemas.openxmlformats.org/officeDocument/2006/relationships/hyperlink" Target="https://afterschools.olc.tw/afterschools/view/21200712140001" TargetMode="External"/><Relationship Id="rId592" Type="http://schemas.openxmlformats.org/officeDocument/2006/relationships/hyperlink" Target="https://afterschools.olc.tw/afterschools/view/21201106210001" TargetMode="External"/><Relationship Id="rId593" Type="http://schemas.openxmlformats.org/officeDocument/2006/relationships/hyperlink" Target="https://afterschools.olc.tw/afterschools/view/21200208020068" TargetMode="External"/><Relationship Id="rId594" Type="http://schemas.openxmlformats.org/officeDocument/2006/relationships/hyperlink" Target="https://afterschools.olc.tw/afterschools/view/21200510190001" TargetMode="External"/><Relationship Id="rId595" Type="http://schemas.openxmlformats.org/officeDocument/2006/relationships/hyperlink" Target="https://afterschools.olc.tw/afterschools/view/21201607050001" TargetMode="External"/><Relationship Id="rId596" Type="http://schemas.openxmlformats.org/officeDocument/2006/relationships/hyperlink" Target="https://afterschools.olc.tw/afterschools/view/21201408080002" TargetMode="External"/><Relationship Id="rId597" Type="http://schemas.openxmlformats.org/officeDocument/2006/relationships/hyperlink" Target="https://afterschools.olc.tw/afterschools/view/21200902160005" TargetMode="External"/><Relationship Id="rId598" Type="http://schemas.openxmlformats.org/officeDocument/2006/relationships/hyperlink" Target="https://afterschools.olc.tw/afterschools/view/21202407030001" TargetMode="External"/><Relationship Id="rId599" Type="http://schemas.openxmlformats.org/officeDocument/2006/relationships/hyperlink" Target="https://afterschools.olc.tw/afterschools/view/21200311110001" TargetMode="External"/><Relationship Id="rId600" Type="http://schemas.openxmlformats.org/officeDocument/2006/relationships/hyperlink" Target="https://afterschools.olc.tw/afterschools/view/21200411020002" TargetMode="External"/><Relationship Id="rId601" Type="http://schemas.openxmlformats.org/officeDocument/2006/relationships/hyperlink" Target="https://afterschools.olc.tw/afterschools/view/21200610130005" TargetMode="External"/><Relationship Id="rId602" Type="http://schemas.openxmlformats.org/officeDocument/2006/relationships/hyperlink" Target="https://afterschools.olc.tw/afterschools/view/21200803060001" TargetMode="External"/><Relationship Id="rId603" Type="http://schemas.openxmlformats.org/officeDocument/2006/relationships/hyperlink" Target="https://afterschools.olc.tw/afterschools/view/21202108040004" TargetMode="External"/><Relationship Id="rId604" Type="http://schemas.openxmlformats.org/officeDocument/2006/relationships/hyperlink" Target="https://afterschools.olc.tw/afterschools/view/21200208020085" TargetMode="External"/><Relationship Id="rId605" Type="http://schemas.openxmlformats.org/officeDocument/2006/relationships/hyperlink" Target="https://afterschools.olc.tw/afterschools/view/21201204240001" TargetMode="External"/><Relationship Id="rId606" Type="http://schemas.openxmlformats.org/officeDocument/2006/relationships/hyperlink" Target="https://afterschools.olc.tw/afterschools/view/21201608180002" TargetMode="External"/><Relationship Id="rId607" Type="http://schemas.openxmlformats.org/officeDocument/2006/relationships/hyperlink" Target="https://afterschools.olc.tw/afterschools/view/21200607190002" TargetMode="External"/><Relationship Id="rId608" Type="http://schemas.openxmlformats.org/officeDocument/2006/relationships/hyperlink" Target="https://afterschools.olc.tw/afterschools/view/21200301070001" TargetMode="External"/><Relationship Id="rId609" Type="http://schemas.openxmlformats.org/officeDocument/2006/relationships/hyperlink" Target="https://afterschools.olc.tw/afterschools/view/21200707310003" TargetMode="External"/><Relationship Id="rId610" Type="http://schemas.openxmlformats.org/officeDocument/2006/relationships/hyperlink" Target="https://afterschools.olc.tw/afterschools/view/21200606160001" TargetMode="External"/><Relationship Id="rId611" Type="http://schemas.openxmlformats.org/officeDocument/2006/relationships/hyperlink" Target="https://afterschools.olc.tw/afterschools/view/21201106300001" TargetMode="External"/><Relationship Id="rId612" Type="http://schemas.openxmlformats.org/officeDocument/2006/relationships/hyperlink" Target="https://afterschools.olc.tw/afterschools/view/21200208022107" TargetMode="External"/><Relationship Id="rId613" Type="http://schemas.openxmlformats.org/officeDocument/2006/relationships/hyperlink" Target="https://afterschools.olc.tw/afterschools/view/21202408140001" TargetMode="External"/><Relationship Id="rId614" Type="http://schemas.openxmlformats.org/officeDocument/2006/relationships/hyperlink" Target="https://afterschools.olc.tw/afterschools/view/21201007260002" TargetMode="External"/><Relationship Id="rId615" Type="http://schemas.openxmlformats.org/officeDocument/2006/relationships/hyperlink" Target="https://afterschools.olc.tw/afterschools/view/21201607200003" TargetMode="External"/><Relationship Id="rId616" Type="http://schemas.openxmlformats.org/officeDocument/2006/relationships/hyperlink" Target="https://afterschools.olc.tw/afterschools/view/21202111090002" TargetMode="External"/><Relationship Id="rId617" Type="http://schemas.openxmlformats.org/officeDocument/2006/relationships/hyperlink" Target="https://afterschools.olc.tw/afterschools/view/21202408260001" TargetMode="External"/><Relationship Id="rId618" Type="http://schemas.openxmlformats.org/officeDocument/2006/relationships/hyperlink" Target="https://afterschools.olc.tw/afterschools/view/21201404160001" TargetMode="External"/><Relationship Id="rId619" Type="http://schemas.openxmlformats.org/officeDocument/2006/relationships/hyperlink" Target="https://afterschools.olc.tw/afterschools/view/21201110120001" TargetMode="External"/><Relationship Id="rId620" Type="http://schemas.openxmlformats.org/officeDocument/2006/relationships/hyperlink" Target="https://afterschools.olc.tw/afterschools/view/21200702120004" TargetMode="External"/><Relationship Id="rId621" Type="http://schemas.openxmlformats.org/officeDocument/2006/relationships/hyperlink" Target="https://afterschools.olc.tw/afterschools/view/21200906170002" TargetMode="External"/><Relationship Id="rId622" Type="http://schemas.openxmlformats.org/officeDocument/2006/relationships/hyperlink" Target="https://afterschools.olc.tw/afterschools/view/21200712310001" TargetMode="External"/><Relationship Id="rId623" Type="http://schemas.openxmlformats.org/officeDocument/2006/relationships/hyperlink" Target="https://afterschools.olc.tw/afterschools/view/21201302210002" TargetMode="External"/><Relationship Id="rId624" Type="http://schemas.openxmlformats.org/officeDocument/2006/relationships/hyperlink" Target="https://afterschools.olc.tw/afterschools/view/21200712070003" TargetMode="External"/><Relationship Id="rId625" Type="http://schemas.openxmlformats.org/officeDocument/2006/relationships/hyperlink" Target="https://afterschools.olc.tw/afterschools/view/21200208022114" TargetMode="External"/><Relationship Id="rId626" Type="http://schemas.openxmlformats.org/officeDocument/2006/relationships/hyperlink" Target="https://afterschools.olc.tw/afterschools/view/21200706010003" TargetMode="External"/><Relationship Id="rId627" Type="http://schemas.openxmlformats.org/officeDocument/2006/relationships/hyperlink" Target="https://afterschools.olc.tw/afterschools/view/21200210140002" TargetMode="External"/><Relationship Id="rId628" Type="http://schemas.openxmlformats.org/officeDocument/2006/relationships/hyperlink" Target="https://afterschools.olc.tw/afterschools/view/21200606200001" TargetMode="External"/><Relationship Id="rId629" Type="http://schemas.openxmlformats.org/officeDocument/2006/relationships/hyperlink" Target="https://afterschools.olc.tw/afterschools/view/21200707310002" TargetMode="External"/><Relationship Id="rId630" Type="http://schemas.openxmlformats.org/officeDocument/2006/relationships/hyperlink" Target="https://afterschools.olc.tw/afterschools/view/21200208022108" TargetMode="External"/><Relationship Id="rId631" Type="http://schemas.openxmlformats.org/officeDocument/2006/relationships/hyperlink" Target="https://afterschools.olc.tw/afterschools/view/21200303120001" TargetMode="External"/><Relationship Id="rId632" Type="http://schemas.openxmlformats.org/officeDocument/2006/relationships/hyperlink" Target="https://afterschools.olc.tw/afterschools/view/21200208020083" TargetMode="External"/><Relationship Id="rId633" Type="http://schemas.openxmlformats.org/officeDocument/2006/relationships/hyperlink" Target="https://afterschools.olc.tw/afterschools/view/21201009130002" TargetMode="External"/><Relationship Id="rId634" Type="http://schemas.openxmlformats.org/officeDocument/2006/relationships/hyperlink" Target="https://afterschools.olc.tw/afterschools/view/21200805020001" TargetMode="External"/><Relationship Id="rId635" Type="http://schemas.openxmlformats.org/officeDocument/2006/relationships/hyperlink" Target="https://afterschools.olc.tw/afterschools/view/21201409010001" TargetMode="External"/><Relationship Id="rId636" Type="http://schemas.openxmlformats.org/officeDocument/2006/relationships/hyperlink" Target="https://afterschools.olc.tw/afterschools/view/21200903300003" TargetMode="External"/><Relationship Id="rId637" Type="http://schemas.openxmlformats.org/officeDocument/2006/relationships/hyperlink" Target="https://afterschools.olc.tw/afterschools/view/21201012240002" TargetMode="External"/><Relationship Id="rId638" Type="http://schemas.openxmlformats.org/officeDocument/2006/relationships/hyperlink" Target="https://afterschools.olc.tw/afterschools/view/21200601020005" TargetMode="External"/><Relationship Id="rId639" Type="http://schemas.openxmlformats.org/officeDocument/2006/relationships/hyperlink" Target="https://afterschools.olc.tw/afterschools/view/21200208022105" TargetMode="External"/><Relationship Id="rId640" Type="http://schemas.openxmlformats.org/officeDocument/2006/relationships/hyperlink" Target="https://afterschools.olc.tw/afterschools/view/21201005030002" TargetMode="External"/><Relationship Id="rId641" Type="http://schemas.openxmlformats.org/officeDocument/2006/relationships/hyperlink" Target="https://afterschools.olc.tw/afterschools/view/21200403310004" TargetMode="External"/><Relationship Id="rId642" Type="http://schemas.openxmlformats.org/officeDocument/2006/relationships/hyperlink" Target="https://afterschools.olc.tw/afterschools/view/21200708310003" TargetMode="External"/><Relationship Id="rId643" Type="http://schemas.openxmlformats.org/officeDocument/2006/relationships/hyperlink" Target="https://afterschools.olc.tw/afterschools/view/21201109080003" TargetMode="External"/><Relationship Id="rId644" Type="http://schemas.openxmlformats.org/officeDocument/2006/relationships/hyperlink" Target="https://afterschools.olc.tw/afterschools/view/21201308280001" TargetMode="External"/><Relationship Id="rId645" Type="http://schemas.openxmlformats.org/officeDocument/2006/relationships/hyperlink" Target="https://afterschools.olc.tw/afterschools/view/21201512010001" TargetMode="External"/><Relationship Id="rId646" Type="http://schemas.openxmlformats.org/officeDocument/2006/relationships/hyperlink" Target="https://afterschools.olc.tw/afterschools/view/21201510240002" TargetMode="External"/><Relationship Id="rId647" Type="http://schemas.openxmlformats.org/officeDocument/2006/relationships/hyperlink" Target="https://afterschools.olc.tw/afterschools/view/21200908040001" TargetMode="External"/><Relationship Id="rId648" Type="http://schemas.openxmlformats.org/officeDocument/2006/relationships/hyperlink" Target="https://afterschools.olc.tw/afterschools/view/21201604120001" TargetMode="External"/><Relationship Id="rId649" Type="http://schemas.openxmlformats.org/officeDocument/2006/relationships/hyperlink" Target="https://afterschools.olc.tw/afterschools/view/21201211160001" TargetMode="External"/><Relationship Id="rId650" Type="http://schemas.openxmlformats.org/officeDocument/2006/relationships/hyperlink" Target="https://afterschools.olc.tw/afterschools/view/21201307010002" TargetMode="External"/><Relationship Id="rId651" Type="http://schemas.openxmlformats.org/officeDocument/2006/relationships/hyperlink" Target="https://afterschools.olc.tw/afterschools/view/21201107210002" TargetMode="External"/><Relationship Id="rId652" Type="http://schemas.openxmlformats.org/officeDocument/2006/relationships/hyperlink" Target="https://afterschools.olc.tw/afterschools/view/21202607280001" TargetMode="External"/><Relationship Id="rId653" Type="http://schemas.openxmlformats.org/officeDocument/2006/relationships/hyperlink" Target="https://afterschools.olc.tw/afterschools/view/21200811050001" TargetMode="External"/><Relationship Id="rId654" Type="http://schemas.openxmlformats.org/officeDocument/2006/relationships/hyperlink" Target="https://afterschools.olc.tw/afterschools/view/21201103250001" TargetMode="External"/><Relationship Id="rId655" Type="http://schemas.openxmlformats.org/officeDocument/2006/relationships/hyperlink" Target="https://afterschools.olc.tw/afterschools/view/21200907200002" TargetMode="External"/><Relationship Id="rId656" Type="http://schemas.openxmlformats.org/officeDocument/2006/relationships/hyperlink" Target="https://afterschools.olc.tw/afterschools/view/21201307240001" TargetMode="External"/><Relationship Id="rId657" Type="http://schemas.openxmlformats.org/officeDocument/2006/relationships/hyperlink" Target="https://afterschools.olc.tw/afterschools/view/21200208022252" TargetMode="External"/><Relationship Id="rId658" Type="http://schemas.openxmlformats.org/officeDocument/2006/relationships/hyperlink" Target="https://afterschools.olc.tw/afterschools/view/21200509300001" TargetMode="External"/><Relationship Id="rId659" Type="http://schemas.openxmlformats.org/officeDocument/2006/relationships/hyperlink" Target="https://afterschools.olc.tw/afterschools/view/21200510240007" TargetMode="External"/><Relationship Id="rId660" Type="http://schemas.openxmlformats.org/officeDocument/2006/relationships/hyperlink" Target="https://afterschools.olc.tw/afterschools/view/21201205300002" TargetMode="External"/><Relationship Id="rId661" Type="http://schemas.openxmlformats.org/officeDocument/2006/relationships/hyperlink" Target="https://afterschools.olc.tw/afterschools/view/21200412010004" TargetMode="External"/><Relationship Id="rId662" Type="http://schemas.openxmlformats.org/officeDocument/2006/relationships/hyperlink" Target="https://afterschools.olc.tw/afterschools/view/21200305010002" TargetMode="External"/><Relationship Id="rId663" Type="http://schemas.openxmlformats.org/officeDocument/2006/relationships/hyperlink" Target="https://afterschools.olc.tw/afterschools/view/21200211150001" TargetMode="External"/><Relationship Id="rId664" Type="http://schemas.openxmlformats.org/officeDocument/2006/relationships/hyperlink" Target="https://afterschools.olc.tw/afterschools/view/21201005200001" TargetMode="External"/><Relationship Id="rId665" Type="http://schemas.openxmlformats.org/officeDocument/2006/relationships/hyperlink" Target="https://afterschools.olc.tw/afterschools/view/21201408140001" TargetMode="External"/><Relationship Id="rId666" Type="http://schemas.openxmlformats.org/officeDocument/2006/relationships/hyperlink" Target="https://afterschools.olc.tw/afterschools/view/21200504280001" TargetMode="External"/><Relationship Id="rId667" Type="http://schemas.openxmlformats.org/officeDocument/2006/relationships/hyperlink" Target="https://afterschools.olc.tw/afterschools/view/21202408070001" TargetMode="External"/><Relationship Id="rId668" Type="http://schemas.openxmlformats.org/officeDocument/2006/relationships/hyperlink" Target="https://afterschools.olc.tw/afterschools/view/21200211120003" TargetMode="External"/><Relationship Id="rId669" Type="http://schemas.openxmlformats.org/officeDocument/2006/relationships/hyperlink" Target="https://afterschools.olc.tw/afterschools/view/21201206050002" TargetMode="External"/><Relationship Id="rId670" Type="http://schemas.openxmlformats.org/officeDocument/2006/relationships/hyperlink" Target="https://afterschools.olc.tw/afterschools/view/21201603300002" TargetMode="External"/><Relationship Id="rId671" Type="http://schemas.openxmlformats.org/officeDocument/2006/relationships/hyperlink" Target="https://afterschools.olc.tw/afterschools/view/21201302260001" TargetMode="External"/><Relationship Id="rId672" Type="http://schemas.openxmlformats.org/officeDocument/2006/relationships/hyperlink" Target="https://afterschools.olc.tw/afterschools/view/21201009100002" TargetMode="External"/><Relationship Id="rId673" Type="http://schemas.openxmlformats.org/officeDocument/2006/relationships/hyperlink" Target="https://afterschools.olc.tw/afterschools/view/21201309050001" TargetMode="External"/><Relationship Id="rId674" Type="http://schemas.openxmlformats.org/officeDocument/2006/relationships/hyperlink" Target="https://afterschools.olc.tw/afterschools/view/21200901150001" TargetMode="External"/><Relationship Id="rId675" Type="http://schemas.openxmlformats.org/officeDocument/2006/relationships/hyperlink" Target="https://afterschools.olc.tw/afterschools/view/21201312100001" TargetMode="External"/><Relationship Id="rId676" Type="http://schemas.openxmlformats.org/officeDocument/2006/relationships/hyperlink" Target="https://afterschools.olc.tw/afterschools/view/21201403120001" TargetMode="External"/><Relationship Id="rId677" Type="http://schemas.openxmlformats.org/officeDocument/2006/relationships/hyperlink" Target="https://afterschools.olc.tw/afterschools/view/21200208022212" TargetMode="External"/><Relationship Id="rId678" Type="http://schemas.openxmlformats.org/officeDocument/2006/relationships/hyperlink" Target="https://afterschools.olc.tw/afterschools/view/21200811190001" TargetMode="External"/><Relationship Id="rId679" Type="http://schemas.openxmlformats.org/officeDocument/2006/relationships/hyperlink" Target="https://afterschools.olc.tw/afterschools/view/21201605140001" TargetMode="External"/><Relationship Id="rId680" Type="http://schemas.openxmlformats.org/officeDocument/2006/relationships/hyperlink" Target="https://afterschools.olc.tw/afterschools/view/21200604110003" TargetMode="External"/><Relationship Id="rId681" Type="http://schemas.openxmlformats.org/officeDocument/2006/relationships/hyperlink" Target="https://afterschools.olc.tw/afterschools/view/21200804140002" TargetMode="External"/><Relationship Id="rId682" Type="http://schemas.openxmlformats.org/officeDocument/2006/relationships/hyperlink" Target="https://afterschools.olc.tw/afterschools/view/21200510240002" TargetMode="External"/><Relationship Id="rId683" Type="http://schemas.openxmlformats.org/officeDocument/2006/relationships/hyperlink" Target="https://afterschools.olc.tw/afterschools/view/21200905060001" TargetMode="External"/><Relationship Id="rId684" Type="http://schemas.openxmlformats.org/officeDocument/2006/relationships/hyperlink" Target="https://afterschools.olc.tw/afterschools/view/21200208022242" TargetMode="External"/><Relationship Id="rId685" Type="http://schemas.openxmlformats.org/officeDocument/2006/relationships/hyperlink" Target="https://afterschools.olc.tw/afterschools/view/21200208022243" TargetMode="External"/><Relationship Id="rId686" Type="http://schemas.openxmlformats.org/officeDocument/2006/relationships/hyperlink" Target="https://afterschools.olc.tw/afterschools/view/21200409270001" TargetMode="External"/><Relationship Id="rId687" Type="http://schemas.openxmlformats.org/officeDocument/2006/relationships/hyperlink" Target="https://afterschools.olc.tw/afterschools/view/21200510120001" TargetMode="External"/><Relationship Id="rId688" Type="http://schemas.openxmlformats.org/officeDocument/2006/relationships/hyperlink" Target="https://afterschools.olc.tw/afterschools/view/21200208022294" TargetMode="External"/><Relationship Id="rId689" Type="http://schemas.openxmlformats.org/officeDocument/2006/relationships/hyperlink" Target="https://afterschools.olc.tw/afterschools/view/21200606060006" TargetMode="External"/><Relationship Id="rId690" Type="http://schemas.openxmlformats.org/officeDocument/2006/relationships/hyperlink" Target="https://afterschools.olc.tw/afterschools/view/21201510050001" TargetMode="External"/><Relationship Id="rId691" Type="http://schemas.openxmlformats.org/officeDocument/2006/relationships/hyperlink" Target="https://afterschools.olc.tw/afterschools/view/21201901250001" TargetMode="External"/><Relationship Id="rId692" Type="http://schemas.openxmlformats.org/officeDocument/2006/relationships/hyperlink" Target="https://afterschools.olc.tw/afterschools/view/21200512010008" TargetMode="External"/><Relationship Id="rId693" Type="http://schemas.openxmlformats.org/officeDocument/2006/relationships/hyperlink" Target="https://afterschools.olc.tw/afterschools/view/21200907170001" TargetMode="External"/><Relationship Id="rId694" Type="http://schemas.openxmlformats.org/officeDocument/2006/relationships/hyperlink" Target="https://afterschools.olc.tw/afterschools/view/21200208022284" TargetMode="External"/><Relationship Id="rId695" Type="http://schemas.openxmlformats.org/officeDocument/2006/relationships/hyperlink" Target="https://afterschools.olc.tw/afterschools/view/21201511300001" TargetMode="External"/><Relationship Id="rId696" Type="http://schemas.openxmlformats.org/officeDocument/2006/relationships/hyperlink" Target="https://afterschools.olc.tw/afterschools/view/21200707030007" TargetMode="External"/><Relationship Id="rId697" Type="http://schemas.openxmlformats.org/officeDocument/2006/relationships/hyperlink" Target="https://afterschools.olc.tw/afterschools/view/21200403250002" TargetMode="External"/><Relationship Id="rId698" Type="http://schemas.openxmlformats.org/officeDocument/2006/relationships/hyperlink" Target="https://afterschools.olc.tw/afterschools/view/21201309250002" TargetMode="External"/><Relationship Id="rId699" Type="http://schemas.openxmlformats.org/officeDocument/2006/relationships/hyperlink" Target="https://afterschools.olc.tw/afterschools/view/21200706110009" TargetMode="External"/><Relationship Id="rId700" Type="http://schemas.openxmlformats.org/officeDocument/2006/relationships/hyperlink" Target="https://afterschools.olc.tw/afterschools/view/21200208022266" TargetMode="External"/><Relationship Id="rId701" Type="http://schemas.openxmlformats.org/officeDocument/2006/relationships/hyperlink" Target="https://afterschools.olc.tw/afterschools/view/21200401090005" TargetMode="External"/><Relationship Id="rId702" Type="http://schemas.openxmlformats.org/officeDocument/2006/relationships/hyperlink" Target="https://afterschools.olc.tw/afterschools/view/21200911200001" TargetMode="External"/><Relationship Id="rId703" Type="http://schemas.openxmlformats.org/officeDocument/2006/relationships/hyperlink" Target="https://afterschools.olc.tw/afterschools/view/21201311260001" TargetMode="External"/><Relationship Id="rId704" Type="http://schemas.openxmlformats.org/officeDocument/2006/relationships/hyperlink" Target="https://afterschools.olc.tw/afterschools/view/21201205170002" TargetMode="External"/><Relationship Id="rId705" Type="http://schemas.openxmlformats.org/officeDocument/2006/relationships/hyperlink" Target="https://afterschools.olc.tw/afterschools/view/21200510190002" TargetMode="External"/><Relationship Id="rId706" Type="http://schemas.openxmlformats.org/officeDocument/2006/relationships/hyperlink" Target="https://afterschools.olc.tw/afterschools/view/21201002230003" TargetMode="External"/><Relationship Id="rId707" Type="http://schemas.openxmlformats.org/officeDocument/2006/relationships/hyperlink" Target="https://afterschools.olc.tw/afterschools/view/21200705280003" TargetMode="External"/><Relationship Id="rId708" Type="http://schemas.openxmlformats.org/officeDocument/2006/relationships/hyperlink" Target="https://afterschools.olc.tw/afterschools/view/21201604210004" TargetMode="External"/><Relationship Id="rId709" Type="http://schemas.openxmlformats.org/officeDocument/2006/relationships/hyperlink" Target="https://afterschools.olc.tw/afterschools/view/21200408040013" TargetMode="External"/><Relationship Id="rId710" Type="http://schemas.openxmlformats.org/officeDocument/2006/relationships/hyperlink" Target="https://afterschools.olc.tw/afterschools/view/21202010280001" TargetMode="External"/><Relationship Id="rId711" Type="http://schemas.openxmlformats.org/officeDocument/2006/relationships/hyperlink" Target="https://afterschools.olc.tw/afterschools/view/21200506230003" TargetMode="External"/><Relationship Id="rId712" Type="http://schemas.openxmlformats.org/officeDocument/2006/relationships/hyperlink" Target="https://afterschools.olc.tw/afterschools/view/21201511050001" TargetMode="External"/><Relationship Id="rId713" Type="http://schemas.openxmlformats.org/officeDocument/2006/relationships/hyperlink" Target="https://afterschools.olc.tw/afterschools/view/21200906150002" TargetMode="External"/><Relationship Id="rId714" Type="http://schemas.openxmlformats.org/officeDocument/2006/relationships/hyperlink" Target="https://afterschools.olc.tw/afterschools/view/21200208022312" TargetMode="External"/><Relationship Id="rId715" Type="http://schemas.openxmlformats.org/officeDocument/2006/relationships/hyperlink" Target="https://afterschools.olc.tw/afterschools/view/21201202080001" TargetMode="External"/><Relationship Id="rId716" Type="http://schemas.openxmlformats.org/officeDocument/2006/relationships/hyperlink" Target="https://afterschools.olc.tw/afterschools/view/21202407150001" TargetMode="External"/><Relationship Id="rId717" Type="http://schemas.openxmlformats.org/officeDocument/2006/relationships/hyperlink" Target="https://afterschools.olc.tw/afterschools/view/21200209270001" TargetMode="External"/><Relationship Id="rId718" Type="http://schemas.openxmlformats.org/officeDocument/2006/relationships/hyperlink" Target="https://afterschools.olc.tw/afterschools/view/21201503120001" TargetMode="External"/><Relationship Id="rId719" Type="http://schemas.openxmlformats.org/officeDocument/2006/relationships/hyperlink" Target="https://afterschools.olc.tw/afterschools/view/21200208022307" TargetMode="External"/><Relationship Id="rId720" Type="http://schemas.openxmlformats.org/officeDocument/2006/relationships/hyperlink" Target="https://afterschools.olc.tw/afterschools/view/21201404090001" TargetMode="External"/><Relationship Id="rId721" Type="http://schemas.openxmlformats.org/officeDocument/2006/relationships/hyperlink" Target="https://afterschools.olc.tw/afterschools/view/21200512140005" TargetMode="External"/><Relationship Id="rId722" Type="http://schemas.openxmlformats.org/officeDocument/2006/relationships/hyperlink" Target="https://afterschools.olc.tw/afterschools/view/21200208022676" TargetMode="External"/><Relationship Id="rId723" Type="http://schemas.openxmlformats.org/officeDocument/2006/relationships/hyperlink" Target="https://afterschools.olc.tw/afterschools/view/21200208022308" TargetMode="External"/><Relationship Id="rId724" Type="http://schemas.openxmlformats.org/officeDocument/2006/relationships/hyperlink" Target="https://afterschools.olc.tw/afterschools/view/21200304030001" TargetMode="External"/><Relationship Id="rId725" Type="http://schemas.openxmlformats.org/officeDocument/2006/relationships/hyperlink" Target="https://afterschools.olc.tw/afterschools/view/21201005310001" TargetMode="External"/><Relationship Id="rId726" Type="http://schemas.openxmlformats.org/officeDocument/2006/relationships/hyperlink" Target="https://afterschools.olc.tw/afterschools/view/21201407070001" TargetMode="External"/><Relationship Id="rId727" Type="http://schemas.openxmlformats.org/officeDocument/2006/relationships/hyperlink" Target="https://afterschools.olc.tw/afterschools/view/21201109130002" TargetMode="External"/><Relationship Id="rId728" Type="http://schemas.openxmlformats.org/officeDocument/2006/relationships/hyperlink" Target="https://afterschools.olc.tw/afterschools/view/21201105250003" TargetMode="External"/><Relationship Id="rId729" Type="http://schemas.openxmlformats.org/officeDocument/2006/relationships/hyperlink" Target="https://afterschools.olc.tw/afterschools/view/21200601190007" TargetMode="External"/><Relationship Id="rId730" Type="http://schemas.openxmlformats.org/officeDocument/2006/relationships/hyperlink" Target="https://afterschools.olc.tw/afterschools/view/21200606200004" TargetMode="External"/><Relationship Id="rId731" Type="http://schemas.openxmlformats.org/officeDocument/2006/relationships/hyperlink" Target="https://afterschools.olc.tw/afterschools/view/21200404280003" TargetMode="External"/><Relationship Id="rId732" Type="http://schemas.openxmlformats.org/officeDocument/2006/relationships/hyperlink" Target="https://afterschools.olc.tw/afterschools/view/21200412010009" TargetMode="External"/><Relationship Id="rId733" Type="http://schemas.openxmlformats.org/officeDocument/2006/relationships/hyperlink" Target="https://afterschools.olc.tw/afterschools/view/21200504130004" TargetMode="External"/><Relationship Id="rId734" Type="http://schemas.openxmlformats.org/officeDocument/2006/relationships/hyperlink" Target="https://afterschools.olc.tw/afterschools/view/21201205110001" TargetMode="External"/><Relationship Id="rId735" Type="http://schemas.openxmlformats.org/officeDocument/2006/relationships/hyperlink" Target="https://afterschools.olc.tw/afterschools/view/21201205170001" TargetMode="External"/><Relationship Id="rId736" Type="http://schemas.openxmlformats.org/officeDocument/2006/relationships/hyperlink" Target="https://afterschools.olc.tw/afterschools/view/21201407160002" TargetMode="External"/><Relationship Id="rId737" Type="http://schemas.openxmlformats.org/officeDocument/2006/relationships/hyperlink" Target="https://afterschools.olc.tw/afterschools/view/21201302230002" TargetMode="External"/><Relationship Id="rId738" Type="http://schemas.openxmlformats.org/officeDocument/2006/relationships/hyperlink" Target="https://afterschools.olc.tw/afterschools/view/21201109090003" TargetMode="External"/><Relationship Id="rId739" Type="http://schemas.openxmlformats.org/officeDocument/2006/relationships/hyperlink" Target="https://afterschools.olc.tw/afterschools/view/21201408080001" TargetMode="External"/><Relationship Id="rId740" Type="http://schemas.openxmlformats.org/officeDocument/2006/relationships/hyperlink" Target="https://afterschools.olc.tw/afterschools/view/21201509030001" TargetMode="External"/><Relationship Id="rId741" Type="http://schemas.openxmlformats.org/officeDocument/2006/relationships/hyperlink" Target="https://afterschools.olc.tw/afterschools/view/21201410200001" TargetMode="External"/><Relationship Id="rId742" Type="http://schemas.openxmlformats.org/officeDocument/2006/relationships/hyperlink" Target="https://afterschools.olc.tw/afterschools/view/21201507230003" TargetMode="External"/><Relationship Id="rId743" Type="http://schemas.openxmlformats.org/officeDocument/2006/relationships/hyperlink" Target="https://afterschools.olc.tw/afterschools/view/21202408120001" TargetMode="External"/><Relationship Id="rId744" Type="http://schemas.openxmlformats.org/officeDocument/2006/relationships/hyperlink" Target="https://afterschools.olc.tw/afterschools/view/21200208022152" TargetMode="External"/><Relationship Id="rId745" Type="http://schemas.openxmlformats.org/officeDocument/2006/relationships/hyperlink" Target="https://afterschools.olc.tw/afterschools/view/21200208022160" TargetMode="External"/><Relationship Id="rId746" Type="http://schemas.openxmlformats.org/officeDocument/2006/relationships/hyperlink" Target="https://afterschools.olc.tw/afterschools/view/21200208022177" TargetMode="External"/><Relationship Id="rId747" Type="http://schemas.openxmlformats.org/officeDocument/2006/relationships/hyperlink" Target="https://afterschools.olc.tw/afterschools/view/21201407150001" TargetMode="External"/><Relationship Id="rId748" Type="http://schemas.openxmlformats.org/officeDocument/2006/relationships/hyperlink" Target="https://afterschools.olc.tw/afterschools/view/21200208022189" TargetMode="External"/><Relationship Id="rId749" Type="http://schemas.openxmlformats.org/officeDocument/2006/relationships/hyperlink" Target="https://afterschools.olc.tw/afterschools/view/21201606140002" TargetMode="External"/><Relationship Id="rId750" Type="http://schemas.openxmlformats.org/officeDocument/2006/relationships/hyperlink" Target="https://afterschools.olc.tw/afterschools/view/21202407050001" TargetMode="External"/><Relationship Id="rId751" Type="http://schemas.openxmlformats.org/officeDocument/2006/relationships/hyperlink" Target="https://afterschools.olc.tw/afterschools/view/21200606060007" TargetMode="External"/><Relationship Id="rId752" Type="http://schemas.openxmlformats.org/officeDocument/2006/relationships/hyperlink" Target="https://afterschools.olc.tw/afterschools/view/21200406230003" TargetMode="External"/><Relationship Id="rId753" Type="http://schemas.openxmlformats.org/officeDocument/2006/relationships/hyperlink" Target="https://afterschools.olc.tw/afterschools/view/21200605230005" TargetMode="External"/><Relationship Id="rId754" Type="http://schemas.openxmlformats.org/officeDocument/2006/relationships/hyperlink" Target="https://afterschools.olc.tw/afterschools/view/21200607210002" TargetMode="External"/><Relationship Id="rId755" Type="http://schemas.openxmlformats.org/officeDocument/2006/relationships/hyperlink" Target="https://afterschools.olc.tw/afterschools/view/21201411030001" TargetMode="External"/><Relationship Id="rId756" Type="http://schemas.openxmlformats.org/officeDocument/2006/relationships/hyperlink" Target="https://afterschools.olc.tw/afterschools/view/21201105300002" TargetMode="External"/><Relationship Id="rId757" Type="http://schemas.openxmlformats.org/officeDocument/2006/relationships/hyperlink" Target="https://afterschools.olc.tw/afterschools/view/21200611160002" TargetMode="External"/><Relationship Id="rId758" Type="http://schemas.openxmlformats.org/officeDocument/2006/relationships/hyperlink" Target="https://afterschools.olc.tw/afterschools/view/21200407280002" TargetMode="External"/><Relationship Id="rId759" Type="http://schemas.openxmlformats.org/officeDocument/2006/relationships/hyperlink" Target="https://afterschools.olc.tw/afterschools/view/21200609280001" TargetMode="External"/><Relationship Id="rId760" Type="http://schemas.openxmlformats.org/officeDocument/2006/relationships/hyperlink" Target="https://afterschools.olc.tw/afterschools/view/21200208022178" TargetMode="External"/><Relationship Id="rId761" Type="http://schemas.openxmlformats.org/officeDocument/2006/relationships/hyperlink" Target="https://afterschools.olc.tw/afterschools/view/21200212250003" TargetMode="External"/><Relationship Id="rId762" Type="http://schemas.openxmlformats.org/officeDocument/2006/relationships/hyperlink" Target="https://afterschools.olc.tw/afterschools/view/21202005290001" TargetMode="External"/><Relationship Id="rId763" Type="http://schemas.openxmlformats.org/officeDocument/2006/relationships/hyperlink" Target="https://afterschools.olc.tw/afterschools/view/21200608290002" TargetMode="External"/><Relationship Id="rId764" Type="http://schemas.openxmlformats.org/officeDocument/2006/relationships/hyperlink" Target="https://afterschools.olc.tw/afterschools/view/21200209230001" TargetMode="External"/><Relationship Id="rId765" Type="http://schemas.openxmlformats.org/officeDocument/2006/relationships/hyperlink" Target="https://afterschools.olc.tw/afterschools/view/21201011290002" TargetMode="External"/><Relationship Id="rId766" Type="http://schemas.openxmlformats.org/officeDocument/2006/relationships/hyperlink" Target="https://afterschools.olc.tw/afterschools/view/21200403310006" TargetMode="External"/><Relationship Id="rId767" Type="http://schemas.openxmlformats.org/officeDocument/2006/relationships/hyperlink" Target="https://afterschools.olc.tw/afterschools/view/21200902090002" TargetMode="External"/><Relationship Id="rId768" Type="http://schemas.openxmlformats.org/officeDocument/2006/relationships/hyperlink" Target="https://afterschools.olc.tw/afterschools/view/21200411090005" TargetMode="External"/><Relationship Id="rId769" Type="http://schemas.openxmlformats.org/officeDocument/2006/relationships/hyperlink" Target="https://afterschools.olc.tw/afterschools/view/21201105100001" TargetMode="External"/><Relationship Id="rId770" Type="http://schemas.openxmlformats.org/officeDocument/2006/relationships/hyperlink" Target="https://afterschools.olc.tw/afterschools/view/21201209260001" TargetMode="External"/><Relationship Id="rId771" Type="http://schemas.openxmlformats.org/officeDocument/2006/relationships/hyperlink" Target="https://afterschools.olc.tw/afterschools/view/21202409020002" TargetMode="External"/><Relationship Id="rId772" Type="http://schemas.openxmlformats.org/officeDocument/2006/relationships/hyperlink" Target="https://afterschools.olc.tw/afterschools/view/21201009020001" TargetMode="External"/><Relationship Id="rId773" Type="http://schemas.openxmlformats.org/officeDocument/2006/relationships/hyperlink" Target="https://afterschools.olc.tw/afterschools/view/21201508110001" TargetMode="External"/><Relationship Id="rId774" Type="http://schemas.openxmlformats.org/officeDocument/2006/relationships/hyperlink" Target="https://afterschools.olc.tw/afterschools/view/21201306280001" TargetMode="External"/><Relationship Id="rId775" Type="http://schemas.openxmlformats.org/officeDocument/2006/relationships/hyperlink" Target="https://afterschools.olc.tw/afterschools/view/21200403020009" TargetMode="External"/><Relationship Id="rId776" Type="http://schemas.openxmlformats.org/officeDocument/2006/relationships/hyperlink" Target="https://afterschools.olc.tw/afterschools/view/21200910060001" TargetMode="External"/><Relationship Id="rId777" Type="http://schemas.openxmlformats.org/officeDocument/2006/relationships/hyperlink" Target="https://afterschools.olc.tw/afterschools/view/21201309040001" TargetMode="External"/><Relationship Id="rId778" Type="http://schemas.openxmlformats.org/officeDocument/2006/relationships/hyperlink" Target="https://afterschools.olc.tw/afterschools/view/21200403310005" TargetMode="External"/><Relationship Id="rId779" Type="http://schemas.openxmlformats.org/officeDocument/2006/relationships/hyperlink" Target="https://afterschools.olc.tw/afterschools/view/21201011010001" TargetMode="External"/><Relationship Id="rId780" Type="http://schemas.openxmlformats.org/officeDocument/2006/relationships/hyperlink" Target="https://afterschools.olc.tw/afterschools/view/21201411040001" TargetMode="External"/><Relationship Id="rId781" Type="http://schemas.openxmlformats.org/officeDocument/2006/relationships/hyperlink" Target="https://afterschools.olc.tw/afterschools/view/21200307280002" TargetMode="External"/><Relationship Id="rId782" Type="http://schemas.openxmlformats.org/officeDocument/2006/relationships/hyperlink" Target="https://afterschools.olc.tw/afterschools/view/21200509080002" TargetMode="External"/><Relationship Id="rId783" Type="http://schemas.openxmlformats.org/officeDocument/2006/relationships/hyperlink" Target="https://afterschools.olc.tw/afterschools/view/21201508240003" TargetMode="External"/><Relationship Id="rId784" Type="http://schemas.openxmlformats.org/officeDocument/2006/relationships/hyperlink" Target="https://afterschools.olc.tw/afterschools/view/21200912160003" TargetMode="External"/><Relationship Id="rId785" Type="http://schemas.openxmlformats.org/officeDocument/2006/relationships/hyperlink" Target="https://afterschools.olc.tw/afterschools/view/21201508270001" TargetMode="External"/><Relationship Id="rId786" Type="http://schemas.openxmlformats.org/officeDocument/2006/relationships/hyperlink" Target="https://afterschools.olc.tw/afterschools/view/21201306170001" TargetMode="External"/><Relationship Id="rId787" Type="http://schemas.openxmlformats.org/officeDocument/2006/relationships/hyperlink" Target="https://afterschools.olc.tw/afterschools/view/21200412290003" TargetMode="External"/><Relationship Id="rId788" Type="http://schemas.openxmlformats.org/officeDocument/2006/relationships/hyperlink" Target="https://afterschools.olc.tw/afterschools/view/21201312180002" TargetMode="External"/><Relationship Id="rId789" Type="http://schemas.openxmlformats.org/officeDocument/2006/relationships/hyperlink" Target="https://afterschools.olc.tw/afterschools/view/21201112190002" TargetMode="External"/><Relationship Id="rId790" Type="http://schemas.openxmlformats.org/officeDocument/2006/relationships/hyperlink" Target="https://afterschools.olc.tw/afterschools/view/21200404130001" TargetMode="External"/><Relationship Id="rId791" Type="http://schemas.openxmlformats.org/officeDocument/2006/relationships/hyperlink" Target="https://afterschools.olc.tw/afterschools/view/21201309160001" TargetMode="External"/><Relationship Id="rId792" Type="http://schemas.openxmlformats.org/officeDocument/2006/relationships/hyperlink" Target="https://afterschools.olc.tw/afterschools/view/21200507110001" TargetMode="External"/><Relationship Id="rId793" Type="http://schemas.openxmlformats.org/officeDocument/2006/relationships/hyperlink" Target="https://afterschools.olc.tw/afterschools/view/21200810140001" TargetMode="External"/><Relationship Id="rId794" Type="http://schemas.openxmlformats.org/officeDocument/2006/relationships/hyperlink" Target="https://afterschools.olc.tw/afterschools/view/21201012230002" TargetMode="External"/><Relationship Id="rId795" Type="http://schemas.openxmlformats.org/officeDocument/2006/relationships/hyperlink" Target="https://afterschools.olc.tw/afterschools/view/21200810130002" TargetMode="External"/><Relationship Id="rId796" Type="http://schemas.openxmlformats.org/officeDocument/2006/relationships/hyperlink" Target="https://afterschools.olc.tw/afterschools/view/21200709210001" TargetMode="External"/><Relationship Id="rId797" Type="http://schemas.openxmlformats.org/officeDocument/2006/relationships/hyperlink" Target="https://afterschools.olc.tw/afterschools/view/21201106230001" TargetMode="External"/><Relationship Id="rId798" Type="http://schemas.openxmlformats.org/officeDocument/2006/relationships/hyperlink" Target="https://afterschools.olc.tw/afterschools/view/21200208022783" TargetMode="External"/><Relationship Id="rId799" Type="http://schemas.openxmlformats.org/officeDocument/2006/relationships/hyperlink" Target="https://afterschools.olc.tw/afterschools/view/21200803140001" TargetMode="External"/><Relationship Id="rId800" Type="http://schemas.openxmlformats.org/officeDocument/2006/relationships/hyperlink" Target="https://afterschools.olc.tw/afterschools/view/21200310020001" TargetMode="External"/><Relationship Id="rId801" Type="http://schemas.openxmlformats.org/officeDocument/2006/relationships/hyperlink" Target="https://afterschools.olc.tw/afterschools/view/21201402270001" TargetMode="External"/><Relationship Id="rId802" Type="http://schemas.openxmlformats.org/officeDocument/2006/relationships/hyperlink" Target="https://afterschools.olc.tw/afterschools/view/21200708280003" TargetMode="External"/><Relationship Id="rId803" Type="http://schemas.openxmlformats.org/officeDocument/2006/relationships/hyperlink" Target="https://afterschools.olc.tw/afterschools/view/21200208022725" TargetMode="External"/><Relationship Id="rId804" Type="http://schemas.openxmlformats.org/officeDocument/2006/relationships/hyperlink" Target="https://afterschools.olc.tw/afterschools/view/21200708060001" TargetMode="External"/><Relationship Id="rId805" Type="http://schemas.openxmlformats.org/officeDocument/2006/relationships/hyperlink" Target="https://afterschools.olc.tw/afterschools/view/21200806020001" TargetMode="External"/><Relationship Id="rId806" Type="http://schemas.openxmlformats.org/officeDocument/2006/relationships/hyperlink" Target="https://afterschools.olc.tw/afterschools/view/21200507110002" TargetMode="External"/><Relationship Id="rId807" Type="http://schemas.openxmlformats.org/officeDocument/2006/relationships/hyperlink" Target="https://afterschools.olc.tw/afterschools/view/21201207090002" TargetMode="External"/><Relationship Id="rId808" Type="http://schemas.openxmlformats.org/officeDocument/2006/relationships/hyperlink" Target="https://afterschools.olc.tw/afterschools/view/21201510050002" TargetMode="External"/><Relationship Id="rId809" Type="http://schemas.openxmlformats.org/officeDocument/2006/relationships/hyperlink" Target="https://afterschools.olc.tw/afterschools/view/21200208070001" TargetMode="External"/><Relationship Id="rId810" Type="http://schemas.openxmlformats.org/officeDocument/2006/relationships/hyperlink" Target="https://afterschools.olc.tw/afterschools/view/21200501260001" TargetMode="External"/><Relationship Id="rId811" Type="http://schemas.openxmlformats.org/officeDocument/2006/relationships/hyperlink" Target="https://afterschools.olc.tw/afterschools/view/21200307290001" TargetMode="External"/><Relationship Id="rId812" Type="http://schemas.openxmlformats.org/officeDocument/2006/relationships/hyperlink" Target="https://afterschools.olc.tw/afterschools/view/21202408020001" TargetMode="External"/><Relationship Id="rId813" Type="http://schemas.openxmlformats.org/officeDocument/2006/relationships/hyperlink" Target="https://afterschools.olc.tw/afterschools/view/21201506170001" TargetMode="External"/><Relationship Id="rId814" Type="http://schemas.openxmlformats.org/officeDocument/2006/relationships/hyperlink" Target="https://afterschools.olc.tw/afterschools/view/21200601190004" TargetMode="External"/><Relationship Id="rId815" Type="http://schemas.openxmlformats.org/officeDocument/2006/relationships/hyperlink" Target="https://afterschools.olc.tw/afterschools/view/21200512280007" TargetMode="External"/><Relationship Id="rId816" Type="http://schemas.openxmlformats.org/officeDocument/2006/relationships/hyperlink" Target="https://afterschools.olc.tw/afterschools/view/21201302060002" TargetMode="External"/><Relationship Id="rId817" Type="http://schemas.openxmlformats.org/officeDocument/2006/relationships/hyperlink" Target="https://afterschools.olc.tw/afterschools/view/21200606190004" TargetMode="External"/><Relationship Id="rId818" Type="http://schemas.openxmlformats.org/officeDocument/2006/relationships/hyperlink" Target="https://afterschools.olc.tw/afterschools/view/21201604200001" TargetMode="External"/><Relationship Id="rId819" Type="http://schemas.openxmlformats.org/officeDocument/2006/relationships/hyperlink" Target="https://afterschools.olc.tw/afterschools/view/21200208022778" TargetMode="External"/><Relationship Id="rId820" Type="http://schemas.openxmlformats.org/officeDocument/2006/relationships/hyperlink" Target="https://afterschools.olc.tw/afterschools/view/21200911190001" TargetMode="External"/><Relationship Id="rId821" Type="http://schemas.openxmlformats.org/officeDocument/2006/relationships/hyperlink" Target="https://afterschools.olc.tw/afterschools/view/21201301040001" TargetMode="External"/><Relationship Id="rId822" Type="http://schemas.openxmlformats.org/officeDocument/2006/relationships/hyperlink" Target="https://afterschools.olc.tw/afterschools/view/21200208022732" TargetMode="External"/><Relationship Id="rId823" Type="http://schemas.openxmlformats.org/officeDocument/2006/relationships/hyperlink" Target="https://afterschools.olc.tw/afterschools/view/21201005190003" TargetMode="External"/><Relationship Id="rId824" Type="http://schemas.openxmlformats.org/officeDocument/2006/relationships/hyperlink" Target="https://afterschools.olc.tw/afterschools/view/21200303190001" TargetMode="External"/><Relationship Id="rId825" Type="http://schemas.openxmlformats.org/officeDocument/2006/relationships/hyperlink" Target="https://afterschools.olc.tw/afterschools/view/21200407220006" TargetMode="External"/><Relationship Id="rId826" Type="http://schemas.openxmlformats.org/officeDocument/2006/relationships/hyperlink" Target="https://afterschools.olc.tw/afterschools/view/21200904090001" TargetMode="External"/><Relationship Id="rId827" Type="http://schemas.openxmlformats.org/officeDocument/2006/relationships/hyperlink" Target="https://afterschools.olc.tw/afterschools/view/21201005140001" TargetMode="External"/><Relationship Id="rId828" Type="http://schemas.openxmlformats.org/officeDocument/2006/relationships/hyperlink" Target="https://afterschools.olc.tw/afterschools/view/21200404200001" TargetMode="External"/><Relationship Id="rId829" Type="http://schemas.openxmlformats.org/officeDocument/2006/relationships/hyperlink" Target="https://afterschools.olc.tw/afterschools/view/21201108250001" TargetMode="External"/><Relationship Id="rId830" Type="http://schemas.openxmlformats.org/officeDocument/2006/relationships/hyperlink" Target="https://afterschools.olc.tw/afterschools/view/21201205160002" TargetMode="External"/><Relationship Id="rId831" Type="http://schemas.openxmlformats.org/officeDocument/2006/relationships/hyperlink" Target="https://afterschools.olc.tw/afterschools/view/21201604210003" TargetMode="External"/><Relationship Id="rId832" Type="http://schemas.openxmlformats.org/officeDocument/2006/relationships/hyperlink" Target="https://afterschools.olc.tw/afterschools/view/21201308260001" TargetMode="External"/><Relationship Id="rId833" Type="http://schemas.openxmlformats.org/officeDocument/2006/relationships/hyperlink" Target="https://afterschools.olc.tw/afterschools/view/21202112280002" TargetMode="External"/><Relationship Id="rId834" Type="http://schemas.openxmlformats.org/officeDocument/2006/relationships/hyperlink" Target="https://afterschools.olc.tw/afterschools/view/21200208022730" TargetMode="External"/><Relationship Id="rId835" Type="http://schemas.openxmlformats.org/officeDocument/2006/relationships/hyperlink" Target="https://afterschools.olc.tw/afterschools/view/21201106020006" TargetMode="External"/><Relationship Id="rId836" Type="http://schemas.openxmlformats.org/officeDocument/2006/relationships/hyperlink" Target="https://afterschools.olc.tw/afterschools/view/21201110060001" TargetMode="External"/><Relationship Id="rId837" Type="http://schemas.openxmlformats.org/officeDocument/2006/relationships/hyperlink" Target="https://afterschools.olc.tw/afterschools/view/21200702060002" TargetMode="External"/><Relationship Id="rId838" Type="http://schemas.openxmlformats.org/officeDocument/2006/relationships/hyperlink" Target="https://afterschools.olc.tw/afterschools/view/21200509190001" TargetMode="External"/><Relationship Id="rId839" Type="http://schemas.openxmlformats.org/officeDocument/2006/relationships/hyperlink" Target="https://afterschools.olc.tw/afterschools/view/21201002110001" TargetMode="External"/><Relationship Id="rId840" Type="http://schemas.openxmlformats.org/officeDocument/2006/relationships/hyperlink" Target="https://afterschools.olc.tw/afterschools/view/21200401080002" TargetMode="External"/><Relationship Id="rId841" Type="http://schemas.openxmlformats.org/officeDocument/2006/relationships/hyperlink" Target="https://afterschools.olc.tw/afterschools/view/21200912030003" TargetMode="External"/><Relationship Id="rId842" Type="http://schemas.openxmlformats.org/officeDocument/2006/relationships/hyperlink" Target="https://afterschools.olc.tw/afterschools/view/21200208022862" TargetMode="External"/><Relationship Id="rId843" Type="http://schemas.openxmlformats.org/officeDocument/2006/relationships/hyperlink" Target="https://afterschools.olc.tw/afterschools/view/21200601100001" TargetMode="External"/><Relationship Id="rId844" Type="http://schemas.openxmlformats.org/officeDocument/2006/relationships/hyperlink" Target="https://afterschools.olc.tw/afterschools/view/21200208022800" TargetMode="External"/><Relationship Id="rId845" Type="http://schemas.openxmlformats.org/officeDocument/2006/relationships/hyperlink" Target="https://afterschools.olc.tw/afterschools/view/21200404290001" TargetMode="External"/><Relationship Id="rId846" Type="http://schemas.openxmlformats.org/officeDocument/2006/relationships/hyperlink" Target="https://afterschools.olc.tw/afterschools/view/21200505030001" TargetMode="External"/><Relationship Id="rId847" Type="http://schemas.openxmlformats.org/officeDocument/2006/relationships/hyperlink" Target="https://afterschools.olc.tw/afterschools/view/21200507050002" TargetMode="External"/><Relationship Id="rId848" Type="http://schemas.openxmlformats.org/officeDocument/2006/relationships/hyperlink" Target="https://afterschools.olc.tw/afterschools/view/21201206070001" TargetMode="External"/><Relationship Id="rId849" Type="http://schemas.openxmlformats.org/officeDocument/2006/relationships/hyperlink" Target="https://afterschools.olc.tw/afterschools/view/21200408060002" TargetMode="External"/><Relationship Id="rId850" Type="http://schemas.openxmlformats.org/officeDocument/2006/relationships/hyperlink" Target="https://afterschools.olc.tw/afterschools/view/21201001290004" TargetMode="External"/><Relationship Id="rId851" Type="http://schemas.openxmlformats.org/officeDocument/2006/relationships/hyperlink" Target="https://afterschools.olc.tw/afterschools/view/21201409180002" TargetMode="External"/><Relationship Id="rId852" Type="http://schemas.openxmlformats.org/officeDocument/2006/relationships/hyperlink" Target="https://afterschools.olc.tw/afterschools/view/21200603310002" TargetMode="External"/><Relationship Id="rId853" Type="http://schemas.openxmlformats.org/officeDocument/2006/relationships/hyperlink" Target="https://afterschools.olc.tw/afterschools/view/21201609020001" TargetMode="External"/><Relationship Id="rId854" Type="http://schemas.openxmlformats.org/officeDocument/2006/relationships/hyperlink" Target="https://afterschools.olc.tw/afterschools/view/21200809190005" TargetMode="External"/><Relationship Id="rId855" Type="http://schemas.openxmlformats.org/officeDocument/2006/relationships/hyperlink" Target="https://afterschools.olc.tw/afterschools/view/21200208022889" TargetMode="External"/><Relationship Id="rId856" Type="http://schemas.openxmlformats.org/officeDocument/2006/relationships/hyperlink" Target="https://afterschools.olc.tw/afterschools/view/21200803190003" TargetMode="External"/><Relationship Id="rId857" Type="http://schemas.openxmlformats.org/officeDocument/2006/relationships/hyperlink" Target="https://afterschools.olc.tw/afterschools/view/21202107290003" TargetMode="External"/><Relationship Id="rId858" Type="http://schemas.openxmlformats.org/officeDocument/2006/relationships/hyperlink" Target="https://afterschools.olc.tw/afterschools/view/21201510110002" TargetMode="External"/><Relationship Id="rId859" Type="http://schemas.openxmlformats.org/officeDocument/2006/relationships/hyperlink" Target="https://afterschools.olc.tw/afterschools/view/21200703060003" TargetMode="External"/><Relationship Id="rId860" Type="http://schemas.openxmlformats.org/officeDocument/2006/relationships/hyperlink" Target="https://afterschools.olc.tw/afterschools/view/21201407100003" TargetMode="External"/><Relationship Id="rId861" Type="http://schemas.openxmlformats.org/officeDocument/2006/relationships/hyperlink" Target="https://afterschools.olc.tw/afterschools/view/21200208022796" TargetMode="External"/><Relationship Id="rId862" Type="http://schemas.openxmlformats.org/officeDocument/2006/relationships/hyperlink" Target="https://afterschools.olc.tw/afterschools/view/21200603080002" TargetMode="External"/><Relationship Id="rId863" Type="http://schemas.openxmlformats.org/officeDocument/2006/relationships/hyperlink" Target="https://afterschools.olc.tw/afterschools/view/21201412030001" TargetMode="External"/><Relationship Id="rId864" Type="http://schemas.openxmlformats.org/officeDocument/2006/relationships/hyperlink" Target="https://afterschools.olc.tw/afterschools/view/21200909280002" TargetMode="External"/><Relationship Id="rId865" Type="http://schemas.openxmlformats.org/officeDocument/2006/relationships/hyperlink" Target="https://afterschools.olc.tw/afterschools/view/21200608100001" TargetMode="External"/><Relationship Id="rId866" Type="http://schemas.openxmlformats.org/officeDocument/2006/relationships/hyperlink" Target="https://afterschools.olc.tw/afterschools/view/21201003170001" TargetMode="External"/><Relationship Id="rId867" Type="http://schemas.openxmlformats.org/officeDocument/2006/relationships/hyperlink" Target="https://afterschools.olc.tw/afterschools/view/21200607190001" TargetMode="External"/><Relationship Id="rId868" Type="http://schemas.openxmlformats.org/officeDocument/2006/relationships/hyperlink" Target="https://afterschools.olc.tw/afterschools/view/21200509220004" TargetMode="External"/><Relationship Id="rId869" Type="http://schemas.openxmlformats.org/officeDocument/2006/relationships/hyperlink" Target="https://afterschools.olc.tw/afterschools/view/21200403020005" TargetMode="External"/><Relationship Id="rId870" Type="http://schemas.openxmlformats.org/officeDocument/2006/relationships/hyperlink" Target="https://afterschools.olc.tw/afterschools/view/21201604280001" TargetMode="External"/><Relationship Id="rId871" Type="http://schemas.openxmlformats.org/officeDocument/2006/relationships/hyperlink" Target="https://afterschools.olc.tw/afterschools/view/21201109090002" TargetMode="External"/><Relationship Id="rId872" Type="http://schemas.openxmlformats.org/officeDocument/2006/relationships/hyperlink" Target="https://afterschools.olc.tw/afterschools/view/21201009130003" TargetMode="External"/><Relationship Id="rId873" Type="http://schemas.openxmlformats.org/officeDocument/2006/relationships/hyperlink" Target="https://afterschools.olc.tw/afterschools/view/21201404200002" TargetMode="External"/><Relationship Id="rId874" Type="http://schemas.openxmlformats.org/officeDocument/2006/relationships/hyperlink" Target="https://afterschools.olc.tw/afterschools/view/21200903160001" TargetMode="External"/><Relationship Id="rId875" Type="http://schemas.openxmlformats.org/officeDocument/2006/relationships/hyperlink" Target="https://afterschools.olc.tw/afterschools/view/21202411140001" TargetMode="External"/><Relationship Id="rId876" Type="http://schemas.openxmlformats.org/officeDocument/2006/relationships/hyperlink" Target="https://afterschools.olc.tw/afterschools/view/21200708100002" TargetMode="External"/><Relationship Id="rId877" Type="http://schemas.openxmlformats.org/officeDocument/2006/relationships/hyperlink" Target="https://afterschools.olc.tw/afterschools/view/21200306090001" TargetMode="External"/><Relationship Id="rId878" Type="http://schemas.openxmlformats.org/officeDocument/2006/relationships/hyperlink" Target="https://afterschools.olc.tw/afterschools/view/21200607110001" TargetMode="External"/><Relationship Id="rId879" Type="http://schemas.openxmlformats.org/officeDocument/2006/relationships/hyperlink" Target="https://afterschools.olc.tw/afterschools/view/21201208250001" TargetMode="External"/><Relationship Id="rId880" Type="http://schemas.openxmlformats.org/officeDocument/2006/relationships/hyperlink" Target="https://afterschools.olc.tw/afterschools/view/21201011240001" TargetMode="External"/><Relationship Id="rId881" Type="http://schemas.openxmlformats.org/officeDocument/2006/relationships/hyperlink" Target="https://afterschools.olc.tw/afterschools/view/21200208022818" TargetMode="External"/><Relationship Id="rId882" Type="http://schemas.openxmlformats.org/officeDocument/2006/relationships/hyperlink" Target="https://afterschools.olc.tw/afterschools/view/21200608100003" TargetMode="External"/><Relationship Id="rId883" Type="http://schemas.openxmlformats.org/officeDocument/2006/relationships/hyperlink" Target="https://afterschools.olc.tw/afterschools/view/21201107140005" TargetMode="External"/><Relationship Id="rId884" Type="http://schemas.openxmlformats.org/officeDocument/2006/relationships/hyperlink" Target="https://afterschools.olc.tw/afterschools/view/21201303080002" TargetMode="External"/><Relationship Id="rId885" Type="http://schemas.openxmlformats.org/officeDocument/2006/relationships/hyperlink" Target="https://afterschools.olc.tw/afterschools/view/21200208022866" TargetMode="External"/><Relationship Id="rId886" Type="http://schemas.openxmlformats.org/officeDocument/2006/relationships/hyperlink" Target="https://afterschools.olc.tw/afterschools/view/21200409070001" TargetMode="External"/><Relationship Id="rId887" Type="http://schemas.openxmlformats.org/officeDocument/2006/relationships/hyperlink" Target="https://afterschools.olc.tw/afterschools/view/21200810280001" TargetMode="External"/><Relationship Id="rId888" Type="http://schemas.openxmlformats.org/officeDocument/2006/relationships/hyperlink" Target="https://afterschools.olc.tw/afterschools/view/21202312230001" TargetMode="External"/><Relationship Id="rId889" Type="http://schemas.openxmlformats.org/officeDocument/2006/relationships/hyperlink" Target="https://afterschools.olc.tw/afterschools/view/21202608030001" TargetMode="External"/><Relationship Id="rId890" Type="http://schemas.openxmlformats.org/officeDocument/2006/relationships/hyperlink" Target="https://afterschools.olc.tw/afterschools/view/21200208022805" TargetMode="External"/><Relationship Id="rId891" Type="http://schemas.openxmlformats.org/officeDocument/2006/relationships/hyperlink" Target="https://afterschools.olc.tw/afterschools/view/21200209040006" TargetMode="External"/><Relationship Id="rId892" Type="http://schemas.openxmlformats.org/officeDocument/2006/relationships/hyperlink" Target="https://afterschools.olc.tw/afterschools/view/21201408290001" TargetMode="External"/><Relationship Id="rId893" Type="http://schemas.openxmlformats.org/officeDocument/2006/relationships/hyperlink" Target="https://afterschools.olc.tw/afterschools/view/21201210180002" TargetMode="External"/><Relationship Id="rId894" Type="http://schemas.openxmlformats.org/officeDocument/2006/relationships/hyperlink" Target="https://afterschools.olc.tw/afterschools/view/21201103240001" TargetMode="External"/><Relationship Id="rId895" Type="http://schemas.openxmlformats.org/officeDocument/2006/relationships/hyperlink" Target="https://afterschools.olc.tw/afterschools/view/21202408290001" TargetMode="External"/><Relationship Id="rId896" Type="http://schemas.openxmlformats.org/officeDocument/2006/relationships/hyperlink" Target="https://afterschools.olc.tw/afterschools/view/21201302230003" TargetMode="External"/><Relationship Id="rId897" Type="http://schemas.openxmlformats.org/officeDocument/2006/relationships/hyperlink" Target="https://afterschools.olc.tw/afterschools/view/21200508310001" TargetMode="External"/><Relationship Id="rId898" Type="http://schemas.openxmlformats.org/officeDocument/2006/relationships/hyperlink" Target="https://afterschools.olc.tw/afterschools/view/21200812090001" TargetMode="External"/><Relationship Id="rId899" Type="http://schemas.openxmlformats.org/officeDocument/2006/relationships/hyperlink" Target="https://afterschools.olc.tw/afterschools/view/21200408040006" TargetMode="External"/><Relationship Id="rId900" Type="http://schemas.openxmlformats.org/officeDocument/2006/relationships/hyperlink" Target="https://afterschools.olc.tw/afterschools/view/21200208022847" TargetMode="External"/><Relationship Id="rId901" Type="http://schemas.openxmlformats.org/officeDocument/2006/relationships/hyperlink" Target="https://afterschools.olc.tw/afterschools/view/21201607050003" TargetMode="External"/><Relationship Id="rId902" Type="http://schemas.openxmlformats.org/officeDocument/2006/relationships/hyperlink" Target="https://afterschools.olc.tw/afterschools/view/21200806130001" TargetMode="External"/><Relationship Id="rId903" Type="http://schemas.openxmlformats.org/officeDocument/2006/relationships/hyperlink" Target="https://afterschools.olc.tw/afterschools/view/21200507110003" TargetMode="External"/><Relationship Id="rId904" Type="http://schemas.openxmlformats.org/officeDocument/2006/relationships/hyperlink" Target="https://afterschools.olc.tw/afterschools/view/21200208022815" TargetMode="External"/><Relationship Id="rId905" Type="http://schemas.openxmlformats.org/officeDocument/2006/relationships/hyperlink" Target="https://afterschools.olc.tw/afterschools/view/21200208022811" TargetMode="External"/><Relationship Id="rId906" Type="http://schemas.openxmlformats.org/officeDocument/2006/relationships/hyperlink" Target="https://afterschools.olc.tw/afterschools/view/21200608160001" TargetMode="External"/><Relationship Id="rId907" Type="http://schemas.openxmlformats.org/officeDocument/2006/relationships/hyperlink" Target="https://afterschools.olc.tw/afterschools/view/21200208022810" TargetMode="External"/><Relationship Id="rId908" Type="http://schemas.openxmlformats.org/officeDocument/2006/relationships/hyperlink" Target="https://afterschools.olc.tw/afterschools/view/21200904200001" TargetMode="External"/><Relationship Id="rId909" Type="http://schemas.openxmlformats.org/officeDocument/2006/relationships/hyperlink" Target="https://afterschools.olc.tw/afterschools/view/21200907200001" TargetMode="External"/><Relationship Id="rId910" Type="http://schemas.openxmlformats.org/officeDocument/2006/relationships/hyperlink" Target="https://afterschools.olc.tw/afterschools/view/21200512140004" TargetMode="External"/><Relationship Id="rId911" Type="http://schemas.openxmlformats.org/officeDocument/2006/relationships/hyperlink" Target="https://afterschools.olc.tw/afterschools/view/21201511120001" TargetMode="External"/><Relationship Id="rId912" Type="http://schemas.openxmlformats.org/officeDocument/2006/relationships/hyperlink" Target="https://afterschools.olc.tw/afterschools/view/21200404190010" TargetMode="External"/><Relationship Id="rId913" Type="http://schemas.openxmlformats.org/officeDocument/2006/relationships/hyperlink" Target="https://afterschools.olc.tw/afterschools/view/21200404080003" TargetMode="External"/><Relationship Id="rId914" Type="http://schemas.openxmlformats.org/officeDocument/2006/relationships/hyperlink" Target="https://afterschools.olc.tw/afterschools/view/21200211110003" TargetMode="External"/><Relationship Id="rId915" Type="http://schemas.openxmlformats.org/officeDocument/2006/relationships/hyperlink" Target="https://afterschools.olc.tw/afterschools/view/21201209150001" TargetMode="External"/><Relationship Id="rId916" Type="http://schemas.openxmlformats.org/officeDocument/2006/relationships/hyperlink" Target="https://afterschools.olc.tw/afterschools/view/21200605160004" TargetMode="External"/><Relationship Id="rId917" Type="http://schemas.openxmlformats.org/officeDocument/2006/relationships/hyperlink" Target="https://afterschools.olc.tw/afterschools/view/21201202140001" TargetMode="External"/><Relationship Id="rId918" Type="http://schemas.openxmlformats.org/officeDocument/2006/relationships/hyperlink" Target="https://afterschools.olc.tw/afterschools/view/21201211300003" TargetMode="External"/><Relationship Id="rId919" Type="http://schemas.openxmlformats.org/officeDocument/2006/relationships/hyperlink" Target="https://afterschools.olc.tw/afterschools/view/21201202130001" TargetMode="External"/><Relationship Id="rId920" Type="http://schemas.openxmlformats.org/officeDocument/2006/relationships/hyperlink" Target="https://afterschools.olc.tw/afterschools/view/21200812010001" TargetMode="External"/><Relationship Id="rId921" Type="http://schemas.openxmlformats.org/officeDocument/2006/relationships/hyperlink" Target="https://afterschools.olc.tw/afterschools/view/21200603310003" TargetMode="External"/><Relationship Id="rId922" Type="http://schemas.openxmlformats.org/officeDocument/2006/relationships/hyperlink" Target="https://afterschools.olc.tw/afterschools/view/21200711130005" TargetMode="External"/><Relationship Id="rId923" Type="http://schemas.openxmlformats.org/officeDocument/2006/relationships/hyperlink" Target="https://afterschools.olc.tw/afterschools/view/21200910270001" TargetMode="External"/><Relationship Id="rId924" Type="http://schemas.openxmlformats.org/officeDocument/2006/relationships/hyperlink" Target="https://afterschools.olc.tw/afterschools/view/21201508250001" TargetMode="External"/><Relationship Id="rId925" Type="http://schemas.openxmlformats.org/officeDocument/2006/relationships/hyperlink" Target="https://afterschools.olc.tw/afterschools/view/21200208022873" TargetMode="External"/><Relationship Id="rId926" Type="http://schemas.openxmlformats.org/officeDocument/2006/relationships/hyperlink" Target="https://afterschools.olc.tw/afterschools/view/21201201190001" TargetMode="External"/><Relationship Id="rId927" Type="http://schemas.openxmlformats.org/officeDocument/2006/relationships/hyperlink" Target="https://afterschools.olc.tw/afterschools/view/21200404190009" TargetMode="External"/><Relationship Id="rId928" Type="http://schemas.openxmlformats.org/officeDocument/2006/relationships/hyperlink" Target="https://afterschools.olc.tw/afterschools/view/21200603310004" TargetMode="External"/><Relationship Id="rId929" Type="http://schemas.openxmlformats.org/officeDocument/2006/relationships/hyperlink" Target="https://afterschools.olc.tw/afterschools/view/21202503030001" TargetMode="External"/><Relationship Id="rId930" Type="http://schemas.openxmlformats.org/officeDocument/2006/relationships/hyperlink" Target="https://afterschools.olc.tw/afterschools/view/21200602070001" TargetMode="External"/><Relationship Id="rId931" Type="http://schemas.openxmlformats.org/officeDocument/2006/relationships/hyperlink" Target="https://afterschools.olc.tw/afterschools/view/21201201180002" TargetMode="External"/><Relationship Id="rId932" Type="http://schemas.openxmlformats.org/officeDocument/2006/relationships/hyperlink" Target="https://afterschools.olc.tw/afterschools/view/21200504200009" TargetMode="External"/><Relationship Id="rId933" Type="http://schemas.openxmlformats.org/officeDocument/2006/relationships/hyperlink" Target="https://afterschools.olc.tw/afterschools/view/21200208022896" TargetMode="External"/><Relationship Id="rId934" Type="http://schemas.openxmlformats.org/officeDocument/2006/relationships/hyperlink" Target="https://afterschools.olc.tw/afterschools/view/21200604070001" TargetMode="External"/><Relationship Id="rId935" Type="http://schemas.openxmlformats.org/officeDocument/2006/relationships/hyperlink" Target="https://afterschools.olc.tw/afterschools/view/21200701180005" TargetMode="External"/><Relationship Id="rId936" Type="http://schemas.openxmlformats.org/officeDocument/2006/relationships/hyperlink" Target="https://afterschools.olc.tw/afterschools/view/21200901150005" TargetMode="External"/><Relationship Id="rId937" Type="http://schemas.openxmlformats.org/officeDocument/2006/relationships/hyperlink" Target="https://afterschools.olc.tw/afterschools/view/21201601220001" TargetMode="External"/><Relationship Id="rId938" Type="http://schemas.openxmlformats.org/officeDocument/2006/relationships/hyperlink" Target="https://afterschools.olc.tw/afterschools/view/21201008190003" TargetMode="External"/><Relationship Id="rId939" Type="http://schemas.openxmlformats.org/officeDocument/2006/relationships/hyperlink" Target="https://afterschools.olc.tw/afterschools/view/21200208022836" TargetMode="External"/><Relationship Id="rId940" Type="http://schemas.openxmlformats.org/officeDocument/2006/relationships/hyperlink" Target="https://afterschools.olc.tw/afterschools/view/21200908170001" TargetMode="External"/><Relationship Id="rId941" Type="http://schemas.openxmlformats.org/officeDocument/2006/relationships/hyperlink" Target="https://afterschools.olc.tw/afterschools/view/21200502180002" TargetMode="External"/><Relationship Id="rId942" Type="http://schemas.openxmlformats.org/officeDocument/2006/relationships/hyperlink" Target="https://afterschools.olc.tw/afterschools/view/21201003170002" TargetMode="External"/><Relationship Id="rId943" Type="http://schemas.openxmlformats.org/officeDocument/2006/relationships/hyperlink" Target="https://afterschools.olc.tw/afterschools/view/21200703080001" TargetMode="External"/><Relationship Id="rId944" Type="http://schemas.openxmlformats.org/officeDocument/2006/relationships/hyperlink" Target="https://afterschools.olc.tw/afterschools/view/21201809180002" TargetMode="External"/><Relationship Id="rId945" Type="http://schemas.openxmlformats.org/officeDocument/2006/relationships/hyperlink" Target="https://afterschools.olc.tw/afterschools/view/21201103110002" TargetMode="External"/><Relationship Id="rId946" Type="http://schemas.openxmlformats.org/officeDocument/2006/relationships/hyperlink" Target="https://afterschools.olc.tw/afterschools/view/21200812180005" TargetMode="External"/><Relationship Id="rId947" Type="http://schemas.openxmlformats.org/officeDocument/2006/relationships/hyperlink" Target="https://afterschools.olc.tw/afterschools/view/21201011090001" TargetMode="External"/><Relationship Id="rId948" Type="http://schemas.openxmlformats.org/officeDocument/2006/relationships/hyperlink" Target="https://afterschools.olc.tw/afterschools/view/21200306130006" TargetMode="External"/><Relationship Id="rId949" Type="http://schemas.openxmlformats.org/officeDocument/2006/relationships/hyperlink" Target="https://afterschools.olc.tw/afterschools/view/21200208022482" TargetMode="External"/><Relationship Id="rId950" Type="http://schemas.openxmlformats.org/officeDocument/2006/relationships/hyperlink" Target="https://afterschools.olc.tw/afterschools/view/21200501040001" TargetMode="External"/><Relationship Id="rId951" Type="http://schemas.openxmlformats.org/officeDocument/2006/relationships/hyperlink" Target="https://afterschools.olc.tw/afterschools/view/21201904250002" TargetMode="External"/><Relationship Id="rId952" Type="http://schemas.openxmlformats.org/officeDocument/2006/relationships/hyperlink" Target="https://afterschools.olc.tw/afterschools/view/21202607210001" TargetMode="External"/><Relationship Id="rId953" Type="http://schemas.openxmlformats.org/officeDocument/2006/relationships/hyperlink" Target="https://afterschools.olc.tw/afterschools/view/21200208022535" TargetMode="External"/><Relationship Id="rId954" Type="http://schemas.openxmlformats.org/officeDocument/2006/relationships/hyperlink" Target="https://afterschools.olc.tw/afterschools/view/21200703060008" TargetMode="External"/><Relationship Id="rId955" Type="http://schemas.openxmlformats.org/officeDocument/2006/relationships/hyperlink" Target="https://afterschools.olc.tw/afterschools/view/21201308050002" TargetMode="External"/><Relationship Id="rId956" Type="http://schemas.openxmlformats.org/officeDocument/2006/relationships/hyperlink" Target="https://afterschools.olc.tw/afterschools/view/21200511140002" TargetMode="External"/><Relationship Id="rId957" Type="http://schemas.openxmlformats.org/officeDocument/2006/relationships/hyperlink" Target="https://afterschools.olc.tw/afterschools/view/21200602080002" TargetMode="External"/><Relationship Id="rId958" Type="http://schemas.openxmlformats.org/officeDocument/2006/relationships/hyperlink" Target="https://afterschools.olc.tw/afterschools/view/21200703270001" TargetMode="External"/><Relationship Id="rId959" Type="http://schemas.openxmlformats.org/officeDocument/2006/relationships/hyperlink" Target="https://afterschools.olc.tw/afterschools/view/21200604260005" TargetMode="External"/><Relationship Id="rId960" Type="http://schemas.openxmlformats.org/officeDocument/2006/relationships/hyperlink" Target="https://afterschools.olc.tw/afterschools/view/21200209050003" TargetMode="External"/><Relationship Id="rId961" Type="http://schemas.openxmlformats.org/officeDocument/2006/relationships/hyperlink" Target="https://afterschools.olc.tw/afterschools/view/21201107150002" TargetMode="External"/><Relationship Id="rId962" Type="http://schemas.openxmlformats.org/officeDocument/2006/relationships/hyperlink" Target="https://afterschools.olc.tw/afterschools/view/21200208022590" TargetMode="External"/><Relationship Id="rId963" Type="http://schemas.openxmlformats.org/officeDocument/2006/relationships/hyperlink" Target="https://afterschools.olc.tw/afterschools/view/21200701150003" TargetMode="External"/><Relationship Id="rId964" Type="http://schemas.openxmlformats.org/officeDocument/2006/relationships/hyperlink" Target="https://afterschools.olc.tw/afterschools/view/21202302090002" TargetMode="External"/><Relationship Id="rId965" Type="http://schemas.openxmlformats.org/officeDocument/2006/relationships/hyperlink" Target="https://afterschools.olc.tw/afterschools/view/21200901150003" TargetMode="External"/><Relationship Id="rId966" Type="http://schemas.openxmlformats.org/officeDocument/2006/relationships/hyperlink" Target="https://afterschools.olc.tw/afterschools/view/21200305200002" TargetMode="External"/><Relationship Id="rId967" Type="http://schemas.openxmlformats.org/officeDocument/2006/relationships/hyperlink" Target="https://afterschools.olc.tw/afterschools/view/21200610310001" TargetMode="External"/><Relationship Id="rId968" Type="http://schemas.openxmlformats.org/officeDocument/2006/relationships/hyperlink" Target="https://afterschools.olc.tw/afterschools/view/21200503160001" TargetMode="External"/><Relationship Id="rId969" Type="http://schemas.openxmlformats.org/officeDocument/2006/relationships/hyperlink" Target="https://afterschools.olc.tw/afterschools/view/21202211140001" TargetMode="External"/><Relationship Id="rId970" Type="http://schemas.openxmlformats.org/officeDocument/2006/relationships/hyperlink" Target="https://afterschools.olc.tw/afterschools/view/21201608030003" TargetMode="External"/><Relationship Id="rId971" Type="http://schemas.openxmlformats.org/officeDocument/2006/relationships/hyperlink" Target="https://afterschools.olc.tw/afterschools/view/21201109280002" TargetMode="External"/><Relationship Id="rId972" Type="http://schemas.openxmlformats.org/officeDocument/2006/relationships/hyperlink" Target="https://afterschools.olc.tw/afterschools/view/21201007280001" TargetMode="External"/><Relationship Id="rId973" Type="http://schemas.openxmlformats.org/officeDocument/2006/relationships/hyperlink" Target="https://afterschools.olc.tw/afterschools/view/21200402020001" TargetMode="External"/><Relationship Id="rId974" Type="http://schemas.openxmlformats.org/officeDocument/2006/relationships/hyperlink" Target="https://afterschools.olc.tw/afterschools/view/21201309160002" TargetMode="External"/><Relationship Id="rId975" Type="http://schemas.openxmlformats.org/officeDocument/2006/relationships/hyperlink" Target="https://afterschools.olc.tw/afterschools/view/21202411130001" TargetMode="External"/><Relationship Id="rId976" Type="http://schemas.openxmlformats.org/officeDocument/2006/relationships/hyperlink" Target="https://afterschools.olc.tw/afterschools/view/21200208022504" TargetMode="External"/><Relationship Id="rId977" Type="http://schemas.openxmlformats.org/officeDocument/2006/relationships/hyperlink" Target="https://afterschools.olc.tw/afterschools/view/21200807210007" TargetMode="External"/><Relationship Id="rId978" Type="http://schemas.openxmlformats.org/officeDocument/2006/relationships/hyperlink" Target="https://afterschools.olc.tw/afterschools/view/21200304020001" TargetMode="External"/><Relationship Id="rId979" Type="http://schemas.openxmlformats.org/officeDocument/2006/relationships/hyperlink" Target="https://afterschools.olc.tw/afterschools/view/21200311200001" TargetMode="External"/><Relationship Id="rId980" Type="http://schemas.openxmlformats.org/officeDocument/2006/relationships/hyperlink" Target="https://afterschools.olc.tw/afterschools/view/21200502160004" TargetMode="External"/><Relationship Id="rId981" Type="http://schemas.openxmlformats.org/officeDocument/2006/relationships/hyperlink" Target="https://afterschools.olc.tw/afterschools/view/21200311050001" TargetMode="External"/><Relationship Id="rId982" Type="http://schemas.openxmlformats.org/officeDocument/2006/relationships/hyperlink" Target="https://afterschools.olc.tw/afterschools/view/21201105310001" TargetMode="External"/><Relationship Id="rId983" Type="http://schemas.openxmlformats.org/officeDocument/2006/relationships/hyperlink" Target="https://afterschools.olc.tw/afterschools/view/21200511140003" TargetMode="External"/><Relationship Id="rId984" Type="http://schemas.openxmlformats.org/officeDocument/2006/relationships/hyperlink" Target="https://afterschools.olc.tw/afterschools/view/21200406230015" TargetMode="External"/><Relationship Id="rId985" Type="http://schemas.openxmlformats.org/officeDocument/2006/relationships/hyperlink" Target="https://afterschools.olc.tw/afterschools/view/21200909160001" TargetMode="External"/><Relationship Id="rId986" Type="http://schemas.openxmlformats.org/officeDocument/2006/relationships/hyperlink" Target="https://afterschools.olc.tw/afterschools/view/21200910020001" TargetMode="External"/><Relationship Id="rId987" Type="http://schemas.openxmlformats.org/officeDocument/2006/relationships/hyperlink" Target="https://afterschools.olc.tw/afterschools/view/21200208022511" TargetMode="External"/><Relationship Id="rId988" Type="http://schemas.openxmlformats.org/officeDocument/2006/relationships/hyperlink" Target="https://afterschools.olc.tw/afterschools/view/21200809230004" TargetMode="External"/><Relationship Id="rId989" Type="http://schemas.openxmlformats.org/officeDocument/2006/relationships/hyperlink" Target="https://afterschools.olc.tw/afterschools/view/21200208022586" TargetMode="External"/><Relationship Id="rId990" Type="http://schemas.openxmlformats.org/officeDocument/2006/relationships/hyperlink" Target="https://afterschools.olc.tw/afterschools/view/21200504290008" TargetMode="External"/><Relationship Id="rId991" Type="http://schemas.openxmlformats.org/officeDocument/2006/relationships/hyperlink" Target="https://afterschools.olc.tw/afterschools/view/21200208022508" TargetMode="External"/><Relationship Id="rId992" Type="http://schemas.openxmlformats.org/officeDocument/2006/relationships/hyperlink" Target="https://afterschools.olc.tw/afterschools/view/21200802150001" TargetMode="External"/><Relationship Id="rId993" Type="http://schemas.openxmlformats.org/officeDocument/2006/relationships/hyperlink" Target="https://afterschools.olc.tw/afterschools/view/21201006020001" TargetMode="External"/><Relationship Id="rId994" Type="http://schemas.openxmlformats.org/officeDocument/2006/relationships/hyperlink" Target="https://afterschools.olc.tw/afterschools/view/21201408210001" TargetMode="External"/><Relationship Id="rId995" Type="http://schemas.openxmlformats.org/officeDocument/2006/relationships/hyperlink" Target="https://afterschools.olc.tw/afterschools/view/21200210150002" TargetMode="External"/><Relationship Id="rId996" Type="http://schemas.openxmlformats.org/officeDocument/2006/relationships/hyperlink" Target="https://afterschools.olc.tw/afterschools/view/21201411280001" TargetMode="External"/><Relationship Id="rId997" Type="http://schemas.openxmlformats.org/officeDocument/2006/relationships/hyperlink" Target="https://afterschools.olc.tw/afterschools/view/21201011080002" TargetMode="External"/><Relationship Id="rId998" Type="http://schemas.openxmlformats.org/officeDocument/2006/relationships/hyperlink" Target="https://afterschools.olc.tw/afterschools/view/21200208022556" TargetMode="External"/><Relationship Id="rId999" Type="http://schemas.openxmlformats.org/officeDocument/2006/relationships/hyperlink" Target="https://afterschools.olc.tw/afterschools/view/21201205090001" TargetMode="External"/><Relationship Id="rId1000" Type="http://schemas.openxmlformats.org/officeDocument/2006/relationships/hyperlink" Target="https://afterschools.olc.tw/afterschools/view/21201311280001" TargetMode="External"/><Relationship Id="rId1001" Type="http://schemas.openxmlformats.org/officeDocument/2006/relationships/hyperlink" Target="https://afterschools.olc.tw/afterschools/view/21200802180004" TargetMode="External"/><Relationship Id="rId1002" Type="http://schemas.openxmlformats.org/officeDocument/2006/relationships/hyperlink" Target="https://afterschools.olc.tw/afterschools/view/21200208022660" TargetMode="External"/><Relationship Id="rId1003" Type="http://schemas.openxmlformats.org/officeDocument/2006/relationships/hyperlink" Target="https://afterschools.olc.tw/afterschools/view/21200208022620" TargetMode="External"/><Relationship Id="rId1004" Type="http://schemas.openxmlformats.org/officeDocument/2006/relationships/hyperlink" Target="https://afterschools.olc.tw/afterschools/view/21200208022658" TargetMode="External"/><Relationship Id="rId1005" Type="http://schemas.openxmlformats.org/officeDocument/2006/relationships/hyperlink" Target="https://afterschools.olc.tw/afterschools/view/21200208022527" TargetMode="External"/><Relationship Id="rId1006" Type="http://schemas.openxmlformats.org/officeDocument/2006/relationships/hyperlink" Target="https://afterschools.olc.tw/afterschools/view/21202606250004" TargetMode="External"/><Relationship Id="rId1007" Type="http://schemas.openxmlformats.org/officeDocument/2006/relationships/hyperlink" Target="https://afterschools.olc.tw/afterschools/view/21200505120007" TargetMode="External"/><Relationship Id="rId1008" Type="http://schemas.openxmlformats.org/officeDocument/2006/relationships/hyperlink" Target="https://afterschools.olc.tw/afterschools/view/21200208022583" TargetMode="External"/><Relationship Id="rId1009" Type="http://schemas.openxmlformats.org/officeDocument/2006/relationships/hyperlink" Target="https://afterschools.olc.tw/afterschools/view/21200208130002" TargetMode="External"/><Relationship Id="rId1010" Type="http://schemas.openxmlformats.org/officeDocument/2006/relationships/hyperlink" Target="https://afterschools.olc.tw/afterschools/view/21201006030001" TargetMode="External"/><Relationship Id="rId1011" Type="http://schemas.openxmlformats.org/officeDocument/2006/relationships/hyperlink" Target="https://afterschools.olc.tw/afterschools/view/21200408040014" TargetMode="External"/><Relationship Id="rId1012" Type="http://schemas.openxmlformats.org/officeDocument/2006/relationships/hyperlink" Target="https://afterschools.olc.tw/afterschools/view/21201812180002" TargetMode="External"/><Relationship Id="rId1013" Type="http://schemas.openxmlformats.org/officeDocument/2006/relationships/hyperlink" Target="https://afterschools.olc.tw/afterschools/view/21201307100001" TargetMode="External"/><Relationship Id="rId1014" Type="http://schemas.openxmlformats.org/officeDocument/2006/relationships/hyperlink" Target="https://afterschools.olc.tw/afterschools/view/21200903120001" TargetMode="External"/><Relationship Id="rId1015" Type="http://schemas.openxmlformats.org/officeDocument/2006/relationships/hyperlink" Target="https://afterschools.olc.tw/afterschools/view/21200501250001" TargetMode="External"/><Relationship Id="rId1016" Type="http://schemas.openxmlformats.org/officeDocument/2006/relationships/hyperlink" Target="https://afterschools.olc.tw/afterschools/view/21200601090001" TargetMode="External"/><Relationship Id="rId1017" Type="http://schemas.openxmlformats.org/officeDocument/2006/relationships/hyperlink" Target="https://afterschools.olc.tw/afterschools/view/21200301290001" TargetMode="External"/><Relationship Id="rId1018" Type="http://schemas.openxmlformats.org/officeDocument/2006/relationships/hyperlink" Target="https://afterschools.olc.tw/afterschools/view/21200209090001" TargetMode="External"/><Relationship Id="rId1019" Type="http://schemas.openxmlformats.org/officeDocument/2006/relationships/hyperlink" Target="https://afterschools.olc.tw/afterschools/view/21201112200001" TargetMode="External"/><Relationship Id="rId1020" Type="http://schemas.openxmlformats.org/officeDocument/2006/relationships/hyperlink" Target="https://afterschools.olc.tw/afterschools/view/21200505110001" TargetMode="External"/><Relationship Id="rId1021" Type="http://schemas.openxmlformats.org/officeDocument/2006/relationships/hyperlink" Target="https://afterschools.olc.tw/afterschools/view/21200208022579" TargetMode="External"/><Relationship Id="rId1022" Type="http://schemas.openxmlformats.org/officeDocument/2006/relationships/hyperlink" Target="https://afterschools.olc.tw/afterschools/view/21201208090002" TargetMode="External"/><Relationship Id="rId1023" Type="http://schemas.openxmlformats.org/officeDocument/2006/relationships/hyperlink" Target="https://afterschools.olc.tw/afterschools/view/21200505110003" TargetMode="External"/><Relationship Id="rId1024" Type="http://schemas.openxmlformats.org/officeDocument/2006/relationships/hyperlink" Target="https://afterschools.olc.tw/afterschools/view/21201211290001" TargetMode="External"/><Relationship Id="rId1025" Type="http://schemas.openxmlformats.org/officeDocument/2006/relationships/hyperlink" Target="https://afterschools.olc.tw/afterschools/view/21200208022562" TargetMode="External"/><Relationship Id="rId1026" Type="http://schemas.openxmlformats.org/officeDocument/2006/relationships/hyperlink" Target="https://afterschools.olc.tw/afterschools/view/21201209130002" TargetMode="External"/><Relationship Id="rId1027" Type="http://schemas.openxmlformats.org/officeDocument/2006/relationships/hyperlink" Target="https://afterschools.olc.tw/afterschools/view/21200905110002" TargetMode="External"/><Relationship Id="rId1028" Type="http://schemas.openxmlformats.org/officeDocument/2006/relationships/hyperlink" Target="https://afterschools.olc.tw/afterschools/view/21200208022573" TargetMode="External"/><Relationship Id="rId1029" Type="http://schemas.openxmlformats.org/officeDocument/2006/relationships/hyperlink" Target="https://afterschools.olc.tw/afterschools/view/21200711130001" TargetMode="External"/><Relationship Id="rId1030" Type="http://schemas.openxmlformats.org/officeDocument/2006/relationships/hyperlink" Target="https://afterschools.olc.tw/afterschools/view/21200208022606" TargetMode="External"/><Relationship Id="rId1031" Type="http://schemas.openxmlformats.org/officeDocument/2006/relationships/hyperlink" Target="https://afterschools.olc.tw/afterschools/view/21200506160012" TargetMode="External"/><Relationship Id="rId1032" Type="http://schemas.openxmlformats.org/officeDocument/2006/relationships/hyperlink" Target="https://afterschools.olc.tw/afterschools/view/21200805220005" TargetMode="External"/><Relationship Id="rId1033" Type="http://schemas.openxmlformats.org/officeDocument/2006/relationships/hyperlink" Target="https://afterschools.olc.tw/afterschools/view/21200208022531" TargetMode="External"/><Relationship Id="rId1034" Type="http://schemas.openxmlformats.org/officeDocument/2006/relationships/hyperlink" Target="https://afterschools.olc.tw/afterschools/view/21200208022608" TargetMode="External"/><Relationship Id="rId1035" Type="http://schemas.openxmlformats.org/officeDocument/2006/relationships/hyperlink" Target="https://afterschools.olc.tw/afterschools/view/21200708280001" TargetMode="External"/><Relationship Id="rId1036" Type="http://schemas.openxmlformats.org/officeDocument/2006/relationships/hyperlink" Target="https://afterschools.olc.tw/afterschools/view/21200211210006" TargetMode="External"/><Relationship Id="rId1037" Type="http://schemas.openxmlformats.org/officeDocument/2006/relationships/hyperlink" Target="https://afterschools.olc.tw/afterschools/view/21200309100006" TargetMode="External"/><Relationship Id="rId1038" Type="http://schemas.openxmlformats.org/officeDocument/2006/relationships/hyperlink" Target="https://afterschools.olc.tw/afterschools/view/21201309260002" TargetMode="External"/><Relationship Id="rId1039" Type="http://schemas.openxmlformats.org/officeDocument/2006/relationships/hyperlink" Target="https://afterschools.olc.tw/afterschools/view/21201310080001" TargetMode="External"/><Relationship Id="rId1040" Type="http://schemas.openxmlformats.org/officeDocument/2006/relationships/hyperlink" Target="https://afterschools.olc.tw/afterschools/view/21201605050003" TargetMode="External"/><Relationship Id="rId1041" Type="http://schemas.openxmlformats.org/officeDocument/2006/relationships/hyperlink" Target="https://afterschools.olc.tw/afterschools/view/21200208022651" TargetMode="External"/><Relationship Id="rId1042" Type="http://schemas.openxmlformats.org/officeDocument/2006/relationships/hyperlink" Target="https://afterschools.olc.tw/afterschools/view/21201006140001" TargetMode="External"/><Relationship Id="rId1043" Type="http://schemas.openxmlformats.org/officeDocument/2006/relationships/hyperlink" Target="https://afterschools.olc.tw/afterschools/view/21201307200001" TargetMode="External"/><Relationship Id="rId1044" Type="http://schemas.openxmlformats.org/officeDocument/2006/relationships/hyperlink" Target="https://afterschools.olc.tw/afterschools/view/21200307020002" TargetMode="External"/><Relationship Id="rId1045" Type="http://schemas.openxmlformats.org/officeDocument/2006/relationships/hyperlink" Target="https://afterschools.olc.tw/afterschools/view/21200709210003" TargetMode="External"/><Relationship Id="rId1046" Type="http://schemas.openxmlformats.org/officeDocument/2006/relationships/hyperlink" Target="https://afterschools.olc.tw/afterschools/view/21201212210001" TargetMode="External"/><Relationship Id="rId1047" Type="http://schemas.openxmlformats.org/officeDocument/2006/relationships/hyperlink" Target="https://afterschools.olc.tw/afterschools/view/21200903230005" TargetMode="External"/><Relationship Id="rId1048" Type="http://schemas.openxmlformats.org/officeDocument/2006/relationships/hyperlink" Target="https://afterschools.olc.tw/afterschools/view/21201101260002" TargetMode="External"/><Relationship Id="rId1049" Type="http://schemas.openxmlformats.org/officeDocument/2006/relationships/hyperlink" Target="https://afterschools.olc.tw/afterschools/view/21200907130001" TargetMode="External"/><Relationship Id="rId1050" Type="http://schemas.openxmlformats.org/officeDocument/2006/relationships/hyperlink" Target="https://afterschools.olc.tw/afterschools/view/21200911270002" TargetMode="External"/><Relationship Id="rId1051" Type="http://schemas.openxmlformats.org/officeDocument/2006/relationships/hyperlink" Target="https://afterschools.olc.tw/afterschools/view/21201306040001" TargetMode="External"/><Relationship Id="rId1052" Type="http://schemas.openxmlformats.org/officeDocument/2006/relationships/hyperlink" Target="https://afterschools.olc.tw/afterschools/view/21200301030001" TargetMode="External"/><Relationship Id="rId1053" Type="http://schemas.openxmlformats.org/officeDocument/2006/relationships/hyperlink" Target="https://afterschools.olc.tw/afterschools/view/21200708060003" TargetMode="External"/><Relationship Id="rId1054" Type="http://schemas.openxmlformats.org/officeDocument/2006/relationships/hyperlink" Target="https://afterschools.olc.tw/afterschools/view/21200208022599" TargetMode="External"/><Relationship Id="rId1055" Type="http://schemas.openxmlformats.org/officeDocument/2006/relationships/hyperlink" Target="https://afterschools.olc.tw/afterschools/view/21201607260001" TargetMode="External"/><Relationship Id="rId1056" Type="http://schemas.openxmlformats.org/officeDocument/2006/relationships/hyperlink" Target="https://afterschools.olc.tw/afterschools/view/21200509270003" TargetMode="External"/><Relationship Id="rId1057" Type="http://schemas.openxmlformats.org/officeDocument/2006/relationships/hyperlink" Target="https://afterschools.olc.tw/afterschools/view/21200301080004" TargetMode="External"/><Relationship Id="rId1058" Type="http://schemas.openxmlformats.org/officeDocument/2006/relationships/hyperlink" Target="https://afterschools.olc.tw/afterschools/view/21201308140001" TargetMode="External"/><Relationship Id="rId1059" Type="http://schemas.openxmlformats.org/officeDocument/2006/relationships/hyperlink" Target="https://afterschools.olc.tw/afterschools/view/21200502180003" TargetMode="External"/><Relationship Id="rId1060" Type="http://schemas.openxmlformats.org/officeDocument/2006/relationships/hyperlink" Target="https://afterschools.olc.tw/afterschools/view/21200403190002" TargetMode="External"/><Relationship Id="rId1061" Type="http://schemas.openxmlformats.org/officeDocument/2006/relationships/hyperlink" Target="https://afterschools.olc.tw/afterschools/view/21201206250002" TargetMode="External"/><Relationship Id="rId1062" Type="http://schemas.openxmlformats.org/officeDocument/2006/relationships/hyperlink" Target="https://afterschools.olc.tw/afterschools/view/21200208022499" TargetMode="External"/><Relationship Id="rId1063" Type="http://schemas.openxmlformats.org/officeDocument/2006/relationships/hyperlink" Target="https://afterschools.olc.tw/afterschools/view/21200302270002" TargetMode="External"/><Relationship Id="rId1064" Type="http://schemas.openxmlformats.org/officeDocument/2006/relationships/hyperlink" Target="https://afterschools.olc.tw/afterschools/view/21200503220001" TargetMode="External"/><Relationship Id="rId1065" Type="http://schemas.openxmlformats.org/officeDocument/2006/relationships/hyperlink" Target="https://afterschools.olc.tw/afterschools/view/21200610030001" TargetMode="External"/><Relationship Id="rId1066" Type="http://schemas.openxmlformats.org/officeDocument/2006/relationships/hyperlink" Target="https://afterschools.olc.tw/afterschools/view/21200410120005" TargetMode="External"/><Relationship Id="rId1067" Type="http://schemas.openxmlformats.org/officeDocument/2006/relationships/hyperlink" Target="https://afterschools.olc.tw/afterschools/view/21201206200001" TargetMode="External"/><Relationship Id="rId1068" Type="http://schemas.openxmlformats.org/officeDocument/2006/relationships/hyperlink" Target="https://afterschools.olc.tw/afterschools/view/21200711130002" TargetMode="External"/><Relationship Id="rId1069" Type="http://schemas.openxmlformats.org/officeDocument/2006/relationships/hyperlink" Target="https://afterschools.olc.tw/afterschools/view/21200410120001" TargetMode="External"/><Relationship Id="rId1070" Type="http://schemas.openxmlformats.org/officeDocument/2006/relationships/hyperlink" Target="https://afterschools.olc.tw/afterschools/view/21201209210003" TargetMode="External"/><Relationship Id="rId1071" Type="http://schemas.openxmlformats.org/officeDocument/2006/relationships/hyperlink" Target="https://afterschools.olc.tw/afterschools/view/21201409300001" TargetMode="External"/><Relationship Id="rId1072" Type="http://schemas.openxmlformats.org/officeDocument/2006/relationships/hyperlink" Target="https://afterschools.olc.tw/afterschools/view/21200912100002" TargetMode="External"/><Relationship Id="rId1073" Type="http://schemas.openxmlformats.org/officeDocument/2006/relationships/hyperlink" Target="https://afterschools.olc.tw/afterschools/view/21200808070001" TargetMode="External"/><Relationship Id="rId1074" Type="http://schemas.openxmlformats.org/officeDocument/2006/relationships/hyperlink" Target="https://afterschools.olc.tw/afterschools/view/21201211300001" TargetMode="External"/><Relationship Id="rId1075" Type="http://schemas.openxmlformats.org/officeDocument/2006/relationships/hyperlink" Target="https://afterschools.olc.tw/afterschools/view/21201201050002" TargetMode="External"/><Relationship Id="rId1076" Type="http://schemas.openxmlformats.org/officeDocument/2006/relationships/hyperlink" Target="https://afterschools.olc.tw/afterschools/view/21201304020001" TargetMode="External"/><Relationship Id="rId1077" Type="http://schemas.openxmlformats.org/officeDocument/2006/relationships/hyperlink" Target="https://afterschools.olc.tw/afterschools/view/21202407260001" TargetMode="External"/><Relationship Id="rId1078" Type="http://schemas.openxmlformats.org/officeDocument/2006/relationships/hyperlink" Target="https://afterschools.olc.tw/afterschools/view/21201603160002" TargetMode="External"/><Relationship Id="rId1079" Type="http://schemas.openxmlformats.org/officeDocument/2006/relationships/hyperlink" Target="https://afterschools.olc.tw/afterschools/view/21200301090001" TargetMode="External"/><Relationship Id="rId1080" Type="http://schemas.openxmlformats.org/officeDocument/2006/relationships/hyperlink" Target="https://afterschools.olc.tw/afterschools/view/21201108030001" TargetMode="External"/><Relationship Id="rId1081" Type="http://schemas.openxmlformats.org/officeDocument/2006/relationships/hyperlink" Target="https://afterschools.olc.tw/afterschools/view/21200911300001" TargetMode="External"/><Relationship Id="rId1082" Type="http://schemas.openxmlformats.org/officeDocument/2006/relationships/hyperlink" Target="https://afterschools.olc.tw/afterschools/view/21200208022534" TargetMode="External"/><Relationship Id="rId1083" Type="http://schemas.openxmlformats.org/officeDocument/2006/relationships/hyperlink" Target="https://afterschools.olc.tw/afterschools/view/21201310080002" TargetMode="External"/><Relationship Id="rId1084" Type="http://schemas.openxmlformats.org/officeDocument/2006/relationships/hyperlink" Target="https://afterschools.olc.tw/afterschools/view/21200208022533" TargetMode="External"/><Relationship Id="rId1085" Type="http://schemas.openxmlformats.org/officeDocument/2006/relationships/hyperlink" Target="https://afterschools.olc.tw/afterschools/view/21200208022530" TargetMode="External"/><Relationship Id="rId1086" Type="http://schemas.openxmlformats.org/officeDocument/2006/relationships/hyperlink" Target="https://afterschools.olc.tw/afterschools/view/21200208022597" TargetMode="External"/><Relationship Id="rId1087" Type="http://schemas.openxmlformats.org/officeDocument/2006/relationships/hyperlink" Target="https://afterschools.olc.tw/afterschools/view/21201307200003" TargetMode="External"/><Relationship Id="rId1088" Type="http://schemas.openxmlformats.org/officeDocument/2006/relationships/hyperlink" Target="https://afterschools.olc.tw/afterschools/view/21200808280001" TargetMode="External"/><Relationship Id="rId1089" Type="http://schemas.openxmlformats.org/officeDocument/2006/relationships/hyperlink" Target="https://afterschools.olc.tw/afterschools/view/21200405200001" TargetMode="External"/><Relationship Id="rId1090" Type="http://schemas.openxmlformats.org/officeDocument/2006/relationships/hyperlink" Target="https://afterschools.olc.tw/afterschools/view/21200507210001" TargetMode="External"/><Relationship Id="rId1091" Type="http://schemas.openxmlformats.org/officeDocument/2006/relationships/hyperlink" Target="https://afterschools.olc.tw/afterschools/view/21201608230001" TargetMode="External"/><Relationship Id="rId1092" Type="http://schemas.openxmlformats.org/officeDocument/2006/relationships/hyperlink" Target="https://afterschools.olc.tw/afterschools/view/21201007220001" TargetMode="External"/><Relationship Id="rId1093" Type="http://schemas.openxmlformats.org/officeDocument/2006/relationships/hyperlink" Target="https://afterschools.olc.tw/afterschools/view/21200208022481" TargetMode="External"/><Relationship Id="rId1094" Type="http://schemas.openxmlformats.org/officeDocument/2006/relationships/hyperlink" Target="https://afterschools.olc.tw/afterschools/view/21200704230001" TargetMode="External"/><Relationship Id="rId1095" Type="http://schemas.openxmlformats.org/officeDocument/2006/relationships/hyperlink" Target="https://afterschools.olc.tw/afterschools/view/21201306100001" TargetMode="External"/><Relationship Id="rId1096" Type="http://schemas.openxmlformats.org/officeDocument/2006/relationships/hyperlink" Target="https://afterschools.olc.tw/afterschools/view/21201003090003" TargetMode="External"/><Relationship Id="rId1097" Type="http://schemas.openxmlformats.org/officeDocument/2006/relationships/hyperlink" Target="https://afterschools.olc.tw/afterschools/view/21201605050001" TargetMode="External"/><Relationship Id="rId1098" Type="http://schemas.openxmlformats.org/officeDocument/2006/relationships/hyperlink" Target="https://afterschools.olc.tw/afterschools/view/21200507080001" TargetMode="External"/><Relationship Id="rId1099" Type="http://schemas.openxmlformats.org/officeDocument/2006/relationships/hyperlink" Target="https://afterschools.olc.tw/afterschools/view/21200208022622" TargetMode="External"/><Relationship Id="rId1100" Type="http://schemas.openxmlformats.org/officeDocument/2006/relationships/hyperlink" Target="https://afterschools.olc.tw/afterschools/view/21200501040002" TargetMode="External"/><Relationship Id="rId1101" Type="http://schemas.openxmlformats.org/officeDocument/2006/relationships/hyperlink" Target="https://afterschools.olc.tw/afterschools/view/21201004140002" TargetMode="External"/><Relationship Id="rId1102" Type="http://schemas.openxmlformats.org/officeDocument/2006/relationships/hyperlink" Target="https://afterschools.olc.tw/afterschools/view/21202503100001" TargetMode="External"/><Relationship Id="rId1103" Type="http://schemas.openxmlformats.org/officeDocument/2006/relationships/hyperlink" Target="https://afterschools.olc.tw/afterschools/view/21200208022613" TargetMode="External"/><Relationship Id="rId1104" Type="http://schemas.openxmlformats.org/officeDocument/2006/relationships/hyperlink" Target="https://afterschools.olc.tw/afterschools/view/21202408010002" TargetMode="External"/><Relationship Id="rId1105" Type="http://schemas.openxmlformats.org/officeDocument/2006/relationships/hyperlink" Target="https://afterschools.olc.tw/afterschools/view/21201203160002" TargetMode="External"/><Relationship Id="rId1106" Type="http://schemas.openxmlformats.org/officeDocument/2006/relationships/hyperlink" Target="https://afterschools.olc.tw/afterschools/view/21202304250001" TargetMode="External"/><Relationship Id="rId1107" Type="http://schemas.openxmlformats.org/officeDocument/2006/relationships/hyperlink" Target="https://afterschools.olc.tw/afterschools/view/21201208120001" TargetMode="External"/><Relationship Id="rId1108" Type="http://schemas.openxmlformats.org/officeDocument/2006/relationships/hyperlink" Target="https://afterschools.olc.tw/afterschools/view/21202606260001" TargetMode="External"/><Relationship Id="rId1109" Type="http://schemas.openxmlformats.org/officeDocument/2006/relationships/hyperlink" Target="https://afterschools.olc.tw/afterschools/view/21201201100001" TargetMode="External"/><Relationship Id="rId1110" Type="http://schemas.openxmlformats.org/officeDocument/2006/relationships/hyperlink" Target="https://afterschools.olc.tw/afterschools/view/21200402250001" TargetMode="External"/><Relationship Id="rId1111" Type="http://schemas.openxmlformats.org/officeDocument/2006/relationships/hyperlink" Target="https://afterschools.olc.tw/afterschools/view/21201301100001" TargetMode="External"/><Relationship Id="rId1112" Type="http://schemas.openxmlformats.org/officeDocument/2006/relationships/hyperlink" Target="https://afterschools.olc.tw/afterschools/view/21202501170001" TargetMode="External"/><Relationship Id="rId1113" Type="http://schemas.openxmlformats.org/officeDocument/2006/relationships/hyperlink" Target="https://afterschools.olc.tw/afterschools/view/21201507140001" TargetMode="External"/><Relationship Id="rId1114" Type="http://schemas.openxmlformats.org/officeDocument/2006/relationships/hyperlink" Target="https://afterschools.olc.tw/afterschools/view/21200602070004" TargetMode="External"/><Relationship Id="rId1115" Type="http://schemas.openxmlformats.org/officeDocument/2006/relationships/hyperlink" Target="https://afterschools.olc.tw/afterschools/view/21201406060002" TargetMode="External"/><Relationship Id="rId1116" Type="http://schemas.openxmlformats.org/officeDocument/2006/relationships/hyperlink" Target="https://afterschools.olc.tw/afterschools/view/21200804180002" TargetMode="External"/><Relationship Id="rId1117" Type="http://schemas.openxmlformats.org/officeDocument/2006/relationships/hyperlink" Target="https://afterschools.olc.tw/afterschools/view/21201311060001" TargetMode="External"/><Relationship Id="rId1118" Type="http://schemas.openxmlformats.org/officeDocument/2006/relationships/hyperlink" Target="https://afterschools.olc.tw/afterschools/view/21201409220001" TargetMode="External"/><Relationship Id="rId1119" Type="http://schemas.openxmlformats.org/officeDocument/2006/relationships/hyperlink" Target="https://afterschools.olc.tw/afterschools/view/21201108080001" TargetMode="External"/><Relationship Id="rId1120" Type="http://schemas.openxmlformats.org/officeDocument/2006/relationships/hyperlink" Target="https://afterschools.olc.tw/afterschools/view/21201403030001" TargetMode="External"/><Relationship Id="rId1121" Type="http://schemas.openxmlformats.org/officeDocument/2006/relationships/hyperlink" Target="https://afterschools.olc.tw/afterschools/view/21201502120001" TargetMode="External"/><Relationship Id="rId1122" Type="http://schemas.openxmlformats.org/officeDocument/2006/relationships/hyperlink" Target="https://afterschools.olc.tw/afterschools/view/21200304090005" TargetMode="External"/><Relationship Id="rId1123" Type="http://schemas.openxmlformats.org/officeDocument/2006/relationships/hyperlink" Target="https://afterschools.olc.tw/afterschools/view/21201401230003" TargetMode="External"/><Relationship Id="rId1124" Type="http://schemas.openxmlformats.org/officeDocument/2006/relationships/hyperlink" Target="https://afterschools.olc.tw/afterschools/view/21201205240001" TargetMode="External"/><Relationship Id="rId1125" Type="http://schemas.openxmlformats.org/officeDocument/2006/relationships/hyperlink" Target="https://afterschools.olc.tw/afterschools/view/21202109070002" TargetMode="External"/><Relationship Id="rId1126" Type="http://schemas.openxmlformats.org/officeDocument/2006/relationships/hyperlink" Target="https://afterschools.olc.tw/afterschools/view/21201312090001" TargetMode="External"/><Relationship Id="rId1127" Type="http://schemas.openxmlformats.org/officeDocument/2006/relationships/hyperlink" Target="https://afterschools.olc.tw/afterschools/view/21202608060001" TargetMode="External"/><Relationship Id="rId1128" Type="http://schemas.openxmlformats.org/officeDocument/2006/relationships/hyperlink" Target="https://afterschools.olc.tw/afterschools/view/21202607200001" TargetMode="External"/><Relationship Id="rId1129" Type="http://schemas.openxmlformats.org/officeDocument/2006/relationships/hyperlink" Target="https://afterschools.olc.tw/afterschools/view/21201511250001" TargetMode="External"/><Relationship Id="rId1130" Type="http://schemas.openxmlformats.org/officeDocument/2006/relationships/hyperlink" Target="https://afterschools.olc.tw/afterschools/view/21201510240001" TargetMode="External"/><Relationship Id="rId1131" Type="http://schemas.openxmlformats.org/officeDocument/2006/relationships/hyperlink" Target="https://afterschools.olc.tw/afterschools/view/21202608070001" TargetMode="External"/><Relationship Id="rId1132" Type="http://schemas.openxmlformats.org/officeDocument/2006/relationships/hyperlink" Target="https://afterschools.olc.tw/afterschools/view/21201405050002" TargetMode="External"/><Relationship Id="rId1133" Type="http://schemas.openxmlformats.org/officeDocument/2006/relationships/hyperlink" Target="https://afterschools.olc.tw/afterschools/view/21201109280005" TargetMode="External"/><Relationship Id="rId1134" Type="http://schemas.openxmlformats.org/officeDocument/2006/relationships/hyperlink" Target="https://afterschools.olc.tw/afterschools/view/21201410290001" TargetMode="External"/><Relationship Id="rId1135" Type="http://schemas.openxmlformats.org/officeDocument/2006/relationships/hyperlink" Target="https://afterschools.olc.tw/afterschools/view/21200708100001" TargetMode="External"/><Relationship Id="rId1136" Type="http://schemas.openxmlformats.org/officeDocument/2006/relationships/hyperlink" Target="https://afterschools.olc.tw/afterschools/view/21202308240001" TargetMode="External"/><Relationship Id="rId1137" Type="http://schemas.openxmlformats.org/officeDocument/2006/relationships/hyperlink" Target="https://afterschools.olc.tw/afterschools/view/21200609010001" TargetMode="External"/><Relationship Id="rId1138" Type="http://schemas.openxmlformats.org/officeDocument/2006/relationships/hyperlink" Target="https://afterschools.olc.tw/afterschools/view/21201805050001" TargetMode="External"/><Relationship Id="rId1139" Type="http://schemas.openxmlformats.org/officeDocument/2006/relationships/hyperlink" Target="https://afterschools.olc.tw/afterschools/view/21202408190001" TargetMode="External"/><Relationship Id="rId1140" Type="http://schemas.openxmlformats.org/officeDocument/2006/relationships/hyperlink" Target="https://afterschools.olc.tw/afterschools/view/21201811280001" TargetMode="External"/><Relationship Id="rId1141" Type="http://schemas.openxmlformats.org/officeDocument/2006/relationships/hyperlink" Target="https://afterschools.olc.tw/afterschools/view/21200610120001" TargetMode="External"/><Relationship Id="rId1142" Type="http://schemas.openxmlformats.org/officeDocument/2006/relationships/hyperlink" Target="https://afterschools.olc.tw/afterschools/view/21200208022909" TargetMode="External"/><Relationship Id="rId1143" Type="http://schemas.openxmlformats.org/officeDocument/2006/relationships/hyperlink" Target="https://afterschools.olc.tw/afterschools/view/21200208022932" TargetMode="External"/><Relationship Id="rId1144" Type="http://schemas.openxmlformats.org/officeDocument/2006/relationships/hyperlink" Target="https://afterschools.olc.tw/afterschools/view/21200606060001" TargetMode="External"/><Relationship Id="rId1145" Type="http://schemas.openxmlformats.org/officeDocument/2006/relationships/hyperlink" Target="https://afterschools.olc.tw/afterschools/view/21201607220001" TargetMode="External"/><Relationship Id="rId1146" Type="http://schemas.openxmlformats.org/officeDocument/2006/relationships/hyperlink" Target="https://afterschools.olc.tw/afterschools/view/21200208022919" TargetMode="External"/><Relationship Id="rId1147" Type="http://schemas.openxmlformats.org/officeDocument/2006/relationships/hyperlink" Target="https://afterschools.olc.tw/afterschools/view/21201105090003" TargetMode="External"/><Relationship Id="rId1148" Type="http://schemas.openxmlformats.org/officeDocument/2006/relationships/hyperlink" Target="https://afterschools.olc.tw/afterschools/view/21201107140004" TargetMode="External"/><Relationship Id="rId1149" Type="http://schemas.openxmlformats.org/officeDocument/2006/relationships/hyperlink" Target="https://afterschools.olc.tw/afterschools/view/21202406280002" TargetMode="External"/><Relationship Id="rId1150" Type="http://schemas.openxmlformats.org/officeDocument/2006/relationships/hyperlink" Target="https://afterschools.olc.tw/afterschools/view/21201608180003" TargetMode="External"/><Relationship Id="rId1151" Type="http://schemas.openxmlformats.org/officeDocument/2006/relationships/hyperlink" Target="https://afterschools.olc.tw/afterschools/view/21200208022922" TargetMode="External"/><Relationship Id="rId1152" Type="http://schemas.openxmlformats.org/officeDocument/2006/relationships/hyperlink" Target="https://afterschools.olc.tw/afterschools/view/21200709270004" TargetMode="External"/><Relationship Id="rId1153" Type="http://schemas.openxmlformats.org/officeDocument/2006/relationships/hyperlink" Target="https://afterschools.olc.tw/afterschools/view/21200803180001" TargetMode="External"/><Relationship Id="rId1154" Type="http://schemas.openxmlformats.org/officeDocument/2006/relationships/hyperlink" Target="https://afterschools.olc.tw/afterschools/view/21201103140001" TargetMode="External"/><Relationship Id="rId1155" Type="http://schemas.openxmlformats.org/officeDocument/2006/relationships/hyperlink" Target="https://afterschools.olc.tw/afterschools/view/21200208022939" TargetMode="External"/><Relationship Id="rId1156" Type="http://schemas.openxmlformats.org/officeDocument/2006/relationships/hyperlink" Target="https://afterschools.olc.tw/afterschools/view/21200208022938" TargetMode="External"/><Relationship Id="rId1157" Type="http://schemas.openxmlformats.org/officeDocument/2006/relationships/hyperlink" Target="https://afterschools.olc.tw/afterschools/view/21201108100002" TargetMode="External"/><Relationship Id="rId1158" Type="http://schemas.openxmlformats.org/officeDocument/2006/relationships/hyperlink" Target="https://afterschools.olc.tw/afterschools/view/21201511110001" TargetMode="External"/><Relationship Id="rId1159" Type="http://schemas.openxmlformats.org/officeDocument/2006/relationships/hyperlink" Target="https://afterschools.olc.tw/afterschools/view/21201110120002" TargetMode="External"/><Relationship Id="rId1160" Type="http://schemas.openxmlformats.org/officeDocument/2006/relationships/hyperlink" Target="https://afterschools.olc.tw/afterschools/view/21200208022912" TargetMode="External"/><Relationship Id="rId1161" Type="http://schemas.openxmlformats.org/officeDocument/2006/relationships/hyperlink" Target="https://afterschools.olc.tw/afterschools/view/21202607240001" TargetMode="External"/><Relationship Id="rId1162" Type="http://schemas.openxmlformats.org/officeDocument/2006/relationships/hyperlink" Target="https://afterschools.olc.tw/afterschools/view/21200909020002" TargetMode="External"/><Relationship Id="rId1163" Type="http://schemas.openxmlformats.org/officeDocument/2006/relationships/hyperlink" Target="https://afterschools.olc.tw/afterschools/view/21201411040002" TargetMode="External"/><Relationship Id="rId1164" Type="http://schemas.openxmlformats.org/officeDocument/2006/relationships/hyperlink" Target="https://afterschools.olc.tw/afterschools/view/21201504230002" TargetMode="External"/><Relationship Id="rId1165" Type="http://schemas.openxmlformats.org/officeDocument/2006/relationships/hyperlink" Target="https://afterschools.olc.tw/afterschools/view/21200208022928" TargetMode="External"/><Relationship Id="rId1166" Type="http://schemas.openxmlformats.org/officeDocument/2006/relationships/hyperlink" Target="https://afterschools.olc.tw/afterschools/view/21201509230002" TargetMode="External"/><Relationship Id="rId1167" Type="http://schemas.openxmlformats.org/officeDocument/2006/relationships/hyperlink" Target="https://afterschools.olc.tw/afterschools/view/21201002040001" TargetMode="External"/><Relationship Id="rId1168" Type="http://schemas.openxmlformats.org/officeDocument/2006/relationships/hyperlink" Target="https://afterschools.olc.tw/afterschools/view/21201303190001" TargetMode="External"/><Relationship Id="rId1169" Type="http://schemas.openxmlformats.org/officeDocument/2006/relationships/hyperlink" Target="https://afterschools.olc.tw/afterschools/view/21201002080001" TargetMode="External"/><Relationship Id="rId1170" Type="http://schemas.openxmlformats.org/officeDocument/2006/relationships/hyperlink" Target="https://afterschools.olc.tw/afterschools/view/21200310150002" TargetMode="External"/><Relationship Id="rId1171" Type="http://schemas.openxmlformats.org/officeDocument/2006/relationships/hyperlink" Target="https://afterschools.olc.tw/afterschools/view/21200809010004" TargetMode="External"/><Relationship Id="rId1172" Type="http://schemas.openxmlformats.org/officeDocument/2006/relationships/hyperlink" Target="https://afterschools.olc.tw/afterschools/view/21200411110002" TargetMode="External"/><Relationship Id="rId1173" Type="http://schemas.openxmlformats.org/officeDocument/2006/relationships/hyperlink" Target="https://afterschools.olc.tw/afterschools/view/21200601030005" TargetMode="External"/><Relationship Id="rId1174" Type="http://schemas.openxmlformats.org/officeDocument/2006/relationships/hyperlink" Target="https://afterschools.olc.tw/afterschools/view/21200208022353" TargetMode="External"/><Relationship Id="rId1175" Type="http://schemas.openxmlformats.org/officeDocument/2006/relationships/hyperlink" Target="https://afterschools.olc.tw/afterschools/view/21200803030001" TargetMode="External"/><Relationship Id="rId1176" Type="http://schemas.openxmlformats.org/officeDocument/2006/relationships/hyperlink" Target="https://afterschools.olc.tw/afterschools/view/21201305220001" TargetMode="External"/><Relationship Id="rId1177" Type="http://schemas.openxmlformats.org/officeDocument/2006/relationships/hyperlink" Target="https://afterschools.olc.tw/afterschools/view/21201302210001" TargetMode="External"/><Relationship Id="rId1178" Type="http://schemas.openxmlformats.org/officeDocument/2006/relationships/hyperlink" Target="https://afterschools.olc.tw/afterschools/view/21200801310001" TargetMode="External"/><Relationship Id="rId1179" Type="http://schemas.openxmlformats.org/officeDocument/2006/relationships/hyperlink" Target="https://afterschools.olc.tw/afterschools/view/21201212060003" TargetMode="External"/><Relationship Id="rId1180" Type="http://schemas.openxmlformats.org/officeDocument/2006/relationships/hyperlink" Target="https://afterschools.olc.tw/afterschools/view/21200208022384" TargetMode="External"/><Relationship Id="rId1181" Type="http://schemas.openxmlformats.org/officeDocument/2006/relationships/hyperlink" Target="https://afterschools.olc.tw/afterschools/view/21201111040001" TargetMode="External"/><Relationship Id="rId1182" Type="http://schemas.openxmlformats.org/officeDocument/2006/relationships/hyperlink" Target="https://afterschools.olc.tw/afterschools/view/21200208022396" TargetMode="External"/><Relationship Id="rId1183" Type="http://schemas.openxmlformats.org/officeDocument/2006/relationships/hyperlink" Target="https://afterschools.olc.tw/afterschools/view/21200208022404" TargetMode="External"/><Relationship Id="rId1184" Type="http://schemas.openxmlformats.org/officeDocument/2006/relationships/hyperlink" Target="https://afterschools.olc.tw/afterschools/view/21200311060001" TargetMode="External"/><Relationship Id="rId1185" Type="http://schemas.openxmlformats.org/officeDocument/2006/relationships/hyperlink" Target="https://afterschools.olc.tw/afterschools/view/21200811140001" TargetMode="External"/><Relationship Id="rId1186" Type="http://schemas.openxmlformats.org/officeDocument/2006/relationships/hyperlink" Target="https://afterschools.olc.tw/afterschools/view/21201407170001" TargetMode="External"/><Relationship Id="rId1187" Type="http://schemas.openxmlformats.org/officeDocument/2006/relationships/hyperlink" Target="https://afterschools.olc.tw/afterschools/view/21201212060001" TargetMode="External"/><Relationship Id="rId1188" Type="http://schemas.openxmlformats.org/officeDocument/2006/relationships/hyperlink" Target="https://afterschools.olc.tw/afterschools/view/21200406230010" TargetMode="External"/><Relationship Id="rId1189" Type="http://schemas.openxmlformats.org/officeDocument/2006/relationships/hyperlink" Target="https://afterschools.olc.tw/afterschools/view/21200208022343" TargetMode="External"/><Relationship Id="rId1190" Type="http://schemas.openxmlformats.org/officeDocument/2006/relationships/hyperlink" Target="https://afterschools.olc.tw/afterschools/view/21201602240001" TargetMode="External"/><Relationship Id="rId1191" Type="http://schemas.openxmlformats.org/officeDocument/2006/relationships/hyperlink" Target="https://afterschools.olc.tw/afterschools/view/21200209230004" TargetMode="External"/><Relationship Id="rId1192" Type="http://schemas.openxmlformats.org/officeDocument/2006/relationships/hyperlink" Target="https://afterschools.olc.tw/afterschools/view/21200208022381" TargetMode="External"/><Relationship Id="rId1193" Type="http://schemas.openxmlformats.org/officeDocument/2006/relationships/hyperlink" Target="https://afterschools.olc.tw/afterschools/view/21200208022385" TargetMode="External"/><Relationship Id="rId1194" Type="http://schemas.openxmlformats.org/officeDocument/2006/relationships/hyperlink" Target="https://afterschools.olc.tw/afterschools/view/21201008160001" TargetMode="External"/><Relationship Id="rId1195" Type="http://schemas.openxmlformats.org/officeDocument/2006/relationships/hyperlink" Target="https://afterschools.olc.tw/afterschools/view/21201602200002" TargetMode="External"/><Relationship Id="rId1196" Type="http://schemas.openxmlformats.org/officeDocument/2006/relationships/hyperlink" Target="https://afterschools.olc.tw/afterschools/view/21201502080002" TargetMode="External"/><Relationship Id="rId1197" Type="http://schemas.openxmlformats.org/officeDocument/2006/relationships/hyperlink" Target="https://afterschools.olc.tw/afterschools/view/21202607020002" TargetMode="External"/><Relationship Id="rId1198" Type="http://schemas.openxmlformats.org/officeDocument/2006/relationships/hyperlink" Target="https://afterschools.olc.tw/afterschools/view/21200910230002" TargetMode="External"/><Relationship Id="rId1199" Type="http://schemas.openxmlformats.org/officeDocument/2006/relationships/hyperlink" Target="https://afterschools.olc.tw/afterschools/view/21200208022377" TargetMode="External"/><Relationship Id="rId1200" Type="http://schemas.openxmlformats.org/officeDocument/2006/relationships/hyperlink" Target="https://afterschools.olc.tw/afterschools/view/21200709270008" TargetMode="External"/><Relationship Id="rId1201" Type="http://schemas.openxmlformats.org/officeDocument/2006/relationships/hyperlink" Target="https://afterschools.olc.tw/afterschools/view/21200408040005" TargetMode="External"/><Relationship Id="rId1202" Type="http://schemas.openxmlformats.org/officeDocument/2006/relationships/hyperlink" Target="https://afterschools.olc.tw/afterschools/view/21202502200001" TargetMode="External"/><Relationship Id="rId1203" Type="http://schemas.openxmlformats.org/officeDocument/2006/relationships/hyperlink" Target="https://afterschools.olc.tw/afterschools/view/21200610310003" TargetMode="External"/><Relationship Id="rId1204" Type="http://schemas.openxmlformats.org/officeDocument/2006/relationships/hyperlink" Target="https://afterschools.olc.tw/afterschools/view/21200701260004" TargetMode="External"/><Relationship Id="rId1205" Type="http://schemas.openxmlformats.org/officeDocument/2006/relationships/hyperlink" Target="https://afterschools.olc.tw/afterschools/view/21200608030001" TargetMode="External"/><Relationship Id="rId1206" Type="http://schemas.openxmlformats.org/officeDocument/2006/relationships/hyperlink" Target="https://afterschools.olc.tw/afterschools/view/21200601090004" TargetMode="External"/><Relationship Id="rId1207" Type="http://schemas.openxmlformats.org/officeDocument/2006/relationships/hyperlink" Target="https://afterschools.olc.tw/afterschools/view/21200411050012" TargetMode="External"/><Relationship Id="rId1208" Type="http://schemas.openxmlformats.org/officeDocument/2006/relationships/hyperlink" Target="https://afterschools.olc.tw/afterschools/view/21201303050001" TargetMode="External"/><Relationship Id="rId1209" Type="http://schemas.openxmlformats.org/officeDocument/2006/relationships/hyperlink" Target="https://afterschools.olc.tw/afterschools/view/21201101130001" TargetMode="External"/><Relationship Id="rId1210" Type="http://schemas.openxmlformats.org/officeDocument/2006/relationships/hyperlink" Target="https://afterschools.olc.tw/afterschools/view/21200307180005" TargetMode="External"/><Relationship Id="rId1211" Type="http://schemas.openxmlformats.org/officeDocument/2006/relationships/hyperlink" Target="https://afterschools.olc.tw/afterschools/view/21202509190001" TargetMode="External"/><Relationship Id="rId1212" Type="http://schemas.openxmlformats.org/officeDocument/2006/relationships/hyperlink" Target="https://afterschools.olc.tw/afterschools/view/21201511050002" TargetMode="External"/><Relationship Id="rId1213" Type="http://schemas.openxmlformats.org/officeDocument/2006/relationships/hyperlink" Target="https://afterschools.olc.tw/afterschools/view/21200412290007" TargetMode="External"/><Relationship Id="rId1214" Type="http://schemas.openxmlformats.org/officeDocument/2006/relationships/hyperlink" Target="https://afterschools.olc.tw/afterschools/view/21201211200001" TargetMode="External"/><Relationship Id="rId1215" Type="http://schemas.openxmlformats.org/officeDocument/2006/relationships/hyperlink" Target="https://afterschools.olc.tw/afterschools/view/21200210020002" TargetMode="External"/><Relationship Id="rId1216" Type="http://schemas.openxmlformats.org/officeDocument/2006/relationships/hyperlink" Target="https://afterschools.olc.tw/afterschools/view/21200306190001" TargetMode="External"/><Relationship Id="rId1217" Type="http://schemas.openxmlformats.org/officeDocument/2006/relationships/hyperlink" Target="https://afterschools.olc.tw/afterschools/view/21200208022419" TargetMode="External"/><Relationship Id="rId1218" Type="http://schemas.openxmlformats.org/officeDocument/2006/relationships/hyperlink" Target="https://afterschools.olc.tw/afterschools/view/21200208022418" TargetMode="External"/><Relationship Id="rId1219" Type="http://schemas.openxmlformats.org/officeDocument/2006/relationships/hyperlink" Target="https://afterschools.olc.tw/afterschools/view/21200504200011" TargetMode="External"/><Relationship Id="rId1220" Type="http://schemas.openxmlformats.org/officeDocument/2006/relationships/hyperlink" Target="https://afterschools.olc.tw/afterschools/view/21200208022364" TargetMode="External"/><Relationship Id="rId1221" Type="http://schemas.openxmlformats.org/officeDocument/2006/relationships/hyperlink" Target="https://afterschools.olc.tw/afterschools/view/21202103090001" TargetMode="External"/><Relationship Id="rId1222" Type="http://schemas.openxmlformats.org/officeDocument/2006/relationships/hyperlink" Target="https://afterschools.olc.tw/afterschools/view/21201302040001" TargetMode="External"/><Relationship Id="rId1223" Type="http://schemas.openxmlformats.org/officeDocument/2006/relationships/hyperlink" Target="https://afterschools.olc.tw/afterschools/view/21200904060001" TargetMode="External"/><Relationship Id="rId1224" Type="http://schemas.openxmlformats.org/officeDocument/2006/relationships/hyperlink" Target="https://afterschools.olc.tw/afterschools/view/21200208022424" TargetMode="External"/><Relationship Id="rId1225" Type="http://schemas.openxmlformats.org/officeDocument/2006/relationships/hyperlink" Target="https://afterschools.olc.tw/afterschools/view/21201406060001" TargetMode="External"/><Relationship Id="rId1226" Type="http://schemas.openxmlformats.org/officeDocument/2006/relationships/hyperlink" Target="https://afterschools.olc.tw/afterschools/view/21201204120002" TargetMode="External"/><Relationship Id="rId1227" Type="http://schemas.openxmlformats.org/officeDocument/2006/relationships/hyperlink" Target="https://afterschools.olc.tw/afterschools/view/21201101210003" TargetMode="External"/><Relationship Id="rId1228" Type="http://schemas.openxmlformats.org/officeDocument/2006/relationships/hyperlink" Target="https://afterschools.olc.tw/afterschools/view/21200208022350" TargetMode="External"/><Relationship Id="rId1229" Type="http://schemas.openxmlformats.org/officeDocument/2006/relationships/hyperlink" Target="https://afterschools.olc.tw/afterschools/view/21200806230001" TargetMode="External"/><Relationship Id="rId1230" Type="http://schemas.openxmlformats.org/officeDocument/2006/relationships/hyperlink" Target="https://afterschools.olc.tw/afterschools/view/21201603090002" TargetMode="External"/><Relationship Id="rId1231" Type="http://schemas.openxmlformats.org/officeDocument/2006/relationships/hyperlink" Target="https://afterschools.olc.tw/afterschools/view/21200208022335" TargetMode="External"/><Relationship Id="rId1232" Type="http://schemas.openxmlformats.org/officeDocument/2006/relationships/hyperlink" Target="https://afterschools.olc.tw/afterschools/view/21200208022336" TargetMode="External"/><Relationship Id="rId1233" Type="http://schemas.openxmlformats.org/officeDocument/2006/relationships/hyperlink" Target="https://afterschools.olc.tw/afterschools/view/21200404290002" TargetMode="External"/><Relationship Id="rId1234" Type="http://schemas.openxmlformats.org/officeDocument/2006/relationships/hyperlink" Target="https://afterschools.olc.tw/afterschools/view/21201804190001" TargetMode="External"/><Relationship Id="rId1235" Type="http://schemas.openxmlformats.org/officeDocument/2006/relationships/hyperlink" Target="https://afterschools.olc.tw/afterschools/view/21200812080001" TargetMode="External"/><Relationship Id="rId1236" Type="http://schemas.openxmlformats.org/officeDocument/2006/relationships/hyperlink" Target="https://afterschools.olc.tw/afterschools/view/21200212030001" TargetMode="External"/><Relationship Id="rId1237" Type="http://schemas.openxmlformats.org/officeDocument/2006/relationships/hyperlink" Target="https://afterschools.olc.tw/afterschools/view/21200208022433" TargetMode="External"/><Relationship Id="rId1238" Type="http://schemas.openxmlformats.org/officeDocument/2006/relationships/hyperlink" Target="https://afterschools.olc.tw/afterschools/view/21201201030003" TargetMode="External"/><Relationship Id="rId1239" Type="http://schemas.openxmlformats.org/officeDocument/2006/relationships/hyperlink" Target="https://afterschools.olc.tw/afterschools/view/21200208022442" TargetMode="External"/><Relationship Id="rId1240" Type="http://schemas.openxmlformats.org/officeDocument/2006/relationships/hyperlink" Target="https://afterschools.olc.tw/afterschools/view/21200912150002" TargetMode="External"/><Relationship Id="rId1241" Type="http://schemas.openxmlformats.org/officeDocument/2006/relationships/hyperlink" Target="https://afterschools.olc.tw/afterschools/view/21200612280001" TargetMode="External"/><Relationship Id="rId1242" Type="http://schemas.openxmlformats.org/officeDocument/2006/relationships/hyperlink" Target="https://afterschools.olc.tw/afterschools/view/21200208022471" TargetMode="External"/><Relationship Id="rId1243" Type="http://schemas.openxmlformats.org/officeDocument/2006/relationships/hyperlink" Target="https://afterschools.olc.tw/afterschools/view/21201108040002" TargetMode="External"/><Relationship Id="rId1244" Type="http://schemas.openxmlformats.org/officeDocument/2006/relationships/hyperlink" Target="https://afterschools.olc.tw/afterschools/view/21202607060001" TargetMode="External"/><Relationship Id="rId1245" Type="http://schemas.openxmlformats.org/officeDocument/2006/relationships/hyperlink" Target="https://afterschools.olc.tw/afterschools/view/21200208022456" TargetMode="External"/><Relationship Id="rId1246" Type="http://schemas.openxmlformats.org/officeDocument/2006/relationships/hyperlink" Target="https://afterschools.olc.tw/afterschools/view/21201505210001" TargetMode="External"/><Relationship Id="rId1247" Type="http://schemas.openxmlformats.org/officeDocument/2006/relationships/hyperlink" Target="https://afterschools.olc.tw/afterschools/view/21200401090008" TargetMode="External"/><Relationship Id="rId1248" Type="http://schemas.openxmlformats.org/officeDocument/2006/relationships/hyperlink" Target="https://afterschools.olc.tw/afterschools/view/21200608310002" TargetMode="External"/><Relationship Id="rId1249" Type="http://schemas.openxmlformats.org/officeDocument/2006/relationships/hyperlink" Target="https://afterschools.olc.tw/afterschools/view/21200507290001" TargetMode="External"/><Relationship Id="rId1250" Type="http://schemas.openxmlformats.org/officeDocument/2006/relationships/hyperlink" Target="https://afterschools.olc.tw/afterschools/view/21200605040003" TargetMode="External"/><Relationship Id="rId1251" Type="http://schemas.openxmlformats.org/officeDocument/2006/relationships/hyperlink" Target="https://afterschools.olc.tw/afterschools/view/21201203040001" TargetMode="External"/><Relationship Id="rId1252" Type="http://schemas.openxmlformats.org/officeDocument/2006/relationships/hyperlink" Target="https://afterschools.olc.tw/afterschools/view/21200804280001" TargetMode="External"/><Relationship Id="rId1253" Type="http://schemas.openxmlformats.org/officeDocument/2006/relationships/hyperlink" Target="https://afterschools.olc.tw/afterschools/view/21202407050002" TargetMode="External"/><Relationship Id="rId1254" Type="http://schemas.openxmlformats.org/officeDocument/2006/relationships/hyperlink" Target="https://afterschools.olc.tw/afterschools/view/21201104290002" TargetMode="External"/><Relationship Id="rId1255" Type="http://schemas.openxmlformats.org/officeDocument/2006/relationships/hyperlink" Target="https://afterschools.olc.tw/afterschools/view/21200404220001" TargetMode="External"/><Relationship Id="rId1256" Type="http://schemas.openxmlformats.org/officeDocument/2006/relationships/hyperlink" Target="https://afterschools.olc.tw/afterschools/view/21201004260001" TargetMode="External"/><Relationship Id="rId1257" Type="http://schemas.openxmlformats.org/officeDocument/2006/relationships/hyperlink" Target="https://afterschools.olc.tw/afterschools/view/21200412010003" TargetMode="External"/><Relationship Id="rId1258" Type="http://schemas.openxmlformats.org/officeDocument/2006/relationships/hyperlink" Target="https://afterschools.olc.tw/afterschools/view/21201007060001" TargetMode="External"/><Relationship Id="rId1259" Type="http://schemas.openxmlformats.org/officeDocument/2006/relationships/hyperlink" Target="https://afterschools.olc.tw/afterschools/view/21200604260004" TargetMode="External"/><Relationship Id="rId1260" Type="http://schemas.openxmlformats.org/officeDocument/2006/relationships/hyperlink" Target="https://afterschools.olc.tw/afterschools/view/21200908210001" TargetMode="External"/><Relationship Id="rId1261" Type="http://schemas.openxmlformats.org/officeDocument/2006/relationships/hyperlink" Target="https://afterschools.olc.tw/afterschools/view/21200404190013" TargetMode="External"/><Relationship Id="rId1262" Type="http://schemas.openxmlformats.org/officeDocument/2006/relationships/hyperlink" Target="https://afterschools.olc.tw/afterschools/view/21201201200001" TargetMode="External"/><Relationship Id="rId1263" Type="http://schemas.openxmlformats.org/officeDocument/2006/relationships/hyperlink" Target="https://afterschools.olc.tw/afterschools/view/21200311050004" TargetMode="External"/><Relationship Id="rId1264" Type="http://schemas.openxmlformats.org/officeDocument/2006/relationships/hyperlink" Target="https://afterschools.olc.tw/afterschools/view/21201405200001" TargetMode="External"/><Relationship Id="rId1265" Type="http://schemas.openxmlformats.org/officeDocument/2006/relationships/hyperlink" Target="https://afterschools.olc.tw/afterschools/view/21200509130001" TargetMode="External"/><Relationship Id="rId1266" Type="http://schemas.openxmlformats.org/officeDocument/2006/relationships/hyperlink" Target="https://afterschools.olc.tw/afterschools/view/21200508250001" TargetMode="External"/><Relationship Id="rId1267" Type="http://schemas.openxmlformats.org/officeDocument/2006/relationships/hyperlink" Target="https://afterschools.olc.tw/afterschools/view/21201008020002" TargetMode="External"/><Relationship Id="rId1268" Type="http://schemas.openxmlformats.org/officeDocument/2006/relationships/hyperlink" Target="https://afterschools.olc.tw/afterschools/view/21200711010007" TargetMode="External"/><Relationship Id="rId1269" Type="http://schemas.openxmlformats.org/officeDocument/2006/relationships/hyperlink" Target="https://afterschools.olc.tw/afterschools/view/21200412290002" TargetMode="External"/><Relationship Id="rId1270" Type="http://schemas.openxmlformats.org/officeDocument/2006/relationships/hyperlink" Target="https://afterschools.olc.tw/afterschools/view/21201606010001" TargetMode="External"/><Relationship Id="rId1271" Type="http://schemas.openxmlformats.org/officeDocument/2006/relationships/hyperlink" Target="https://afterschools.olc.tw/afterschools/view/21200208022452" TargetMode="External"/><Relationship Id="rId1272" Type="http://schemas.openxmlformats.org/officeDocument/2006/relationships/hyperlink" Target="https://afterschools.olc.tw/afterschools/view/21200904060002" TargetMode="External"/><Relationship Id="rId1273" Type="http://schemas.openxmlformats.org/officeDocument/2006/relationships/hyperlink" Target="https://afterschools.olc.tw/afterschools/view/21202007130005" TargetMode="External"/><Relationship Id="rId1274" Type="http://schemas.openxmlformats.org/officeDocument/2006/relationships/hyperlink" Target="https://afterschools.olc.tw/afterschools/view/21200609190003" TargetMode="External"/><Relationship Id="rId1275" Type="http://schemas.openxmlformats.org/officeDocument/2006/relationships/hyperlink" Target="https://afterschools.olc.tw/afterschools/view/21200710040002" TargetMode="External"/><Relationship Id="rId1276" Type="http://schemas.openxmlformats.org/officeDocument/2006/relationships/hyperlink" Target="https://afterschools.olc.tw/afterschools/view/21201005170001" TargetMode="External"/><Relationship Id="rId1277" Type="http://schemas.openxmlformats.org/officeDocument/2006/relationships/hyperlink" Target="https://afterschools.olc.tw/afterschools/view/21201808300002" TargetMode="External"/><Relationship Id="rId1278" Type="http://schemas.openxmlformats.org/officeDocument/2006/relationships/hyperlink" Target="https://afterschools.olc.tw/afterschools/view/21201110140002" TargetMode="External"/><Relationship Id="rId1279" Type="http://schemas.openxmlformats.org/officeDocument/2006/relationships/hyperlink" Target="https://afterschools.olc.tw/afterschools/view/21201604270001" TargetMode="External"/><Relationship Id="rId1280" Type="http://schemas.openxmlformats.org/officeDocument/2006/relationships/hyperlink" Target="https://afterschools.olc.tw/afterschools/view/21200608250001" TargetMode="External"/><Relationship Id="rId1281" Type="http://schemas.openxmlformats.org/officeDocument/2006/relationships/hyperlink" Target="https://afterschools.olc.tw/afterschools/view/21200801300004" TargetMode="External"/><Relationship Id="rId1282" Type="http://schemas.openxmlformats.org/officeDocument/2006/relationships/hyperlink" Target="https://afterschools.olc.tw/afterschools/view/21200611100002" TargetMode="External"/><Relationship Id="rId1283" Type="http://schemas.openxmlformats.org/officeDocument/2006/relationships/hyperlink" Target="https://afterschools.olc.tw/afterschools/view/21201108240002" TargetMode="External"/><Relationship Id="rId1284" Type="http://schemas.openxmlformats.org/officeDocument/2006/relationships/hyperlink" Target="https://afterschools.olc.tw/afterschools/view/21200210310001" TargetMode="External"/><Relationship Id="rId1285" Type="http://schemas.openxmlformats.org/officeDocument/2006/relationships/hyperlink" Target="https://afterschools.olc.tw/afterschools/view/21201411250004" TargetMode="External"/><Relationship Id="rId1286" Type="http://schemas.openxmlformats.org/officeDocument/2006/relationships/hyperlink" Target="https://afterschools.olc.tw/afterschools/view/21200307020003" TargetMode="External"/><Relationship Id="rId1287" Type="http://schemas.openxmlformats.org/officeDocument/2006/relationships/hyperlink" Target="https://afterschools.olc.tw/afterschools/view/21201201170001" TargetMode="External"/><Relationship Id="rId1288" Type="http://schemas.openxmlformats.org/officeDocument/2006/relationships/hyperlink" Target="https://afterschools.olc.tw/afterschools/view/21200606270002" TargetMode="External"/><Relationship Id="rId1289" Type="http://schemas.openxmlformats.org/officeDocument/2006/relationships/hyperlink" Target="https://afterschools.olc.tw/afterschools/view/21200607130001" TargetMode="External"/><Relationship Id="rId1290" Type="http://schemas.openxmlformats.org/officeDocument/2006/relationships/hyperlink" Target="https://afterschools.olc.tw/afterschools/view/21200610130002" TargetMode="External"/><Relationship Id="rId1291" Type="http://schemas.openxmlformats.org/officeDocument/2006/relationships/hyperlink" Target="https://afterschools.olc.tw/afterschools/view/21200508180003" TargetMode="External"/><Relationship Id="rId1292" Type="http://schemas.openxmlformats.org/officeDocument/2006/relationships/hyperlink" Target="https://afterschools.olc.tw/afterschools/view/21200604110005" TargetMode="External"/><Relationship Id="rId1293" Type="http://schemas.openxmlformats.org/officeDocument/2006/relationships/hyperlink" Target="https://afterschools.olc.tw/afterschools/view/21200503180002" TargetMode="External"/><Relationship Id="rId1294" Type="http://schemas.openxmlformats.org/officeDocument/2006/relationships/hyperlink" Target="https://afterschools.olc.tw/afterschools/view/21200512140003" TargetMode="External"/><Relationship Id="rId1295" Type="http://schemas.openxmlformats.org/officeDocument/2006/relationships/hyperlink" Target="https://afterschools.olc.tw/afterschools/view/21201508260002" TargetMode="External"/><Relationship Id="rId1296" Type="http://schemas.openxmlformats.org/officeDocument/2006/relationships/hyperlink" Target="https://afterschools.olc.tw/afterschools/view/21201202100001" TargetMode="External"/><Relationship Id="rId1297" Type="http://schemas.openxmlformats.org/officeDocument/2006/relationships/hyperlink" Target="https://afterschools.olc.tw/afterschools/view/21200602070002" TargetMode="External"/><Relationship Id="rId1298" Type="http://schemas.openxmlformats.org/officeDocument/2006/relationships/hyperlink" Target="https://afterschools.olc.tw/afterschools/view/21200208022702" TargetMode="External"/><Relationship Id="rId1299" Type="http://schemas.openxmlformats.org/officeDocument/2006/relationships/hyperlink" Target="https://afterschools.olc.tw/afterschools/view/21201212050001" TargetMode="External"/><Relationship Id="rId1300" Type="http://schemas.openxmlformats.org/officeDocument/2006/relationships/hyperlink" Target="https://afterschools.olc.tw/afterschools/view/21202312060002" TargetMode="External"/><Relationship Id="rId1301" Type="http://schemas.openxmlformats.org/officeDocument/2006/relationships/hyperlink" Target="https://afterschools.olc.tw/afterschools/view/21200807250001" TargetMode="External"/><Relationship Id="rId1302" Type="http://schemas.openxmlformats.org/officeDocument/2006/relationships/hyperlink" Target="https://afterschools.olc.tw/afterschools/view/21200710150006" TargetMode="External"/><Relationship Id="rId1303" Type="http://schemas.openxmlformats.org/officeDocument/2006/relationships/hyperlink" Target="https://afterschools.olc.tw/afterschools/view/21201301080001" TargetMode="External"/><Relationship Id="rId1304" Type="http://schemas.openxmlformats.org/officeDocument/2006/relationships/hyperlink" Target="https://afterschools.olc.tw/afterschools/view/21201507300002" TargetMode="External"/><Relationship Id="rId1305" Type="http://schemas.openxmlformats.org/officeDocument/2006/relationships/hyperlink" Target="https://afterschools.olc.tw/afterschools/view/21201210170002" TargetMode="External"/><Relationship Id="rId1306" Type="http://schemas.openxmlformats.org/officeDocument/2006/relationships/hyperlink" Target="https://afterschools.olc.tw/afterschools/view/21200702120002" TargetMode="External"/><Relationship Id="rId1307" Type="http://schemas.openxmlformats.org/officeDocument/2006/relationships/hyperlink" Target="https://afterschools.olc.tw/afterschools/view/21200208022716" TargetMode="External"/><Relationship Id="rId1308" Type="http://schemas.openxmlformats.org/officeDocument/2006/relationships/hyperlink" Target="https://afterschools.olc.tw/afterschools/view/21201407160001" TargetMode="External"/><Relationship Id="rId1309" Type="http://schemas.openxmlformats.org/officeDocument/2006/relationships/hyperlink" Target="https://afterschools.olc.tw/afterschools/view/21200708020002" TargetMode="External"/><Relationship Id="rId1310" Type="http://schemas.openxmlformats.org/officeDocument/2006/relationships/hyperlink" Target="https://afterschools.olc.tw/afterschools/view/21201204120003" TargetMode="External"/><Relationship Id="rId1311" Type="http://schemas.openxmlformats.org/officeDocument/2006/relationships/hyperlink" Target="https://afterschools.olc.tw/afterschools/view/21200307180006" TargetMode="External"/><Relationship Id="rId1312" Type="http://schemas.openxmlformats.org/officeDocument/2006/relationships/hyperlink" Target="https://afterschools.olc.tw/afterschools/view/21200711130006" TargetMode="External"/><Relationship Id="rId1313" Type="http://schemas.openxmlformats.org/officeDocument/2006/relationships/hyperlink" Target="https://afterschools.olc.tw/afterschools/view/21200412230006" TargetMode="External"/><Relationship Id="rId1314" Type="http://schemas.openxmlformats.org/officeDocument/2006/relationships/hyperlink" Target="https://afterschools.olc.tw/afterschools/view/21201507200001" TargetMode="External"/><Relationship Id="rId1315" Type="http://schemas.openxmlformats.org/officeDocument/2006/relationships/hyperlink" Target="https://afterschools.olc.tw/afterschools/view/21201205080001" TargetMode="External"/><Relationship Id="rId1316" Type="http://schemas.openxmlformats.org/officeDocument/2006/relationships/hyperlink" Target="https://afterschools.olc.tw/afterschools/view/21200703060002" TargetMode="External"/><Relationship Id="rId1317" Type="http://schemas.openxmlformats.org/officeDocument/2006/relationships/hyperlink" Target="https://afterschools.olc.tw/afterschools/view/21201012160001" TargetMode="External"/><Relationship Id="rId1318" Type="http://schemas.openxmlformats.org/officeDocument/2006/relationships/hyperlink" Target="https://afterschools.olc.tw/afterschools/view/21200711220005" TargetMode="External"/><Relationship Id="rId1319" Type="http://schemas.openxmlformats.org/officeDocument/2006/relationships/hyperlink" Target="https://afterschools.olc.tw/afterschools/view/21201502030001" TargetMode="External"/><Relationship Id="rId1320" Type="http://schemas.openxmlformats.org/officeDocument/2006/relationships/hyperlink" Target="https://afterschools.olc.tw/afterschools/view/21201001290001" TargetMode="External"/><Relationship Id="rId1321" Type="http://schemas.openxmlformats.org/officeDocument/2006/relationships/hyperlink" Target="https://afterschools.olc.tw/afterschools/view/21200301080003" TargetMode="External"/><Relationship Id="rId1322" Type="http://schemas.openxmlformats.org/officeDocument/2006/relationships/hyperlink" Target="https://afterschools.olc.tw/afterschools/view/21202608120001" TargetMode="External"/><Relationship Id="rId1323" Type="http://schemas.openxmlformats.org/officeDocument/2006/relationships/hyperlink" Target="https://afterschools.olc.tw/afterschools/view/21200405280006" TargetMode="External"/><Relationship Id="rId1324" Type="http://schemas.openxmlformats.org/officeDocument/2006/relationships/hyperlink" Target="https://afterschools.olc.tw/afterschools/view/21201408210002" TargetMode="External"/><Relationship Id="rId1325" Type="http://schemas.openxmlformats.org/officeDocument/2006/relationships/hyperlink" Target="https://afterschools.olc.tw/afterschools/view/21200703060005" TargetMode="External"/><Relationship Id="rId1326" Type="http://schemas.openxmlformats.org/officeDocument/2006/relationships/hyperlink" Target="https://afterschools.olc.tw/afterschools/view/21200711200001" TargetMode="External"/><Relationship Id="rId1327" Type="http://schemas.openxmlformats.org/officeDocument/2006/relationships/hyperlink" Target="https://afterschools.olc.tw/afterschools/view/21201511240002" TargetMode="External"/><Relationship Id="rId1328" Type="http://schemas.openxmlformats.org/officeDocument/2006/relationships/hyperlink" Target="https://afterschools.olc.tw/afterschools/view/21200802220001" TargetMode="External"/><Relationship Id="rId1329" Type="http://schemas.openxmlformats.org/officeDocument/2006/relationships/hyperlink" Target="https://afterschools.olc.tw/afterschools/view/21200706040005" TargetMode="External"/><Relationship Id="rId1330" Type="http://schemas.openxmlformats.org/officeDocument/2006/relationships/hyperlink" Target="https://afterschools.olc.tw/afterschools/view/21201110030001" TargetMode="External"/><Relationship Id="rId1331" Type="http://schemas.openxmlformats.org/officeDocument/2006/relationships/hyperlink" Target="https://afterschools.olc.tw/afterschools/view/21201504080001" TargetMode="External"/><Relationship Id="rId1332" Type="http://schemas.openxmlformats.org/officeDocument/2006/relationships/hyperlink" Target="https://afterschools.olc.tw/afterschools/view/21201001290002" TargetMode="External"/><Relationship Id="rId1333" Type="http://schemas.openxmlformats.org/officeDocument/2006/relationships/hyperlink" Target="https://afterschools.olc.tw/afterschools/view/21200208022694" TargetMode="External"/><Relationship Id="rId1334" Type="http://schemas.openxmlformats.org/officeDocument/2006/relationships/hyperlink" Target="https://afterschools.olc.tw/afterschools/view/21201401090001" TargetMode="External"/><Relationship Id="rId1335" Type="http://schemas.openxmlformats.org/officeDocument/2006/relationships/hyperlink" Target="https://afterschools.olc.tw/afterschools/view/21200212250001" TargetMode="External"/><Relationship Id="rId1336" Type="http://schemas.openxmlformats.org/officeDocument/2006/relationships/hyperlink" Target="https://afterschools.olc.tw/afterschools/view/21200706040001" TargetMode="External"/><Relationship Id="rId1337" Type="http://schemas.openxmlformats.org/officeDocument/2006/relationships/hyperlink" Target="https://afterschools.olc.tw/afterschools/view/21201111080001" TargetMode="External"/><Relationship Id="rId1338" Type="http://schemas.openxmlformats.org/officeDocument/2006/relationships/hyperlink" Target="https://afterschools.olc.tw/afterschools/view/21201105160001" TargetMode="External"/><Relationship Id="rId1339" Type="http://schemas.openxmlformats.org/officeDocument/2006/relationships/hyperlink" Target="https://afterschools.olc.tw/afterschools/view/21200801280001" TargetMode="External"/><Relationship Id="rId1340" Type="http://schemas.openxmlformats.org/officeDocument/2006/relationships/hyperlink" Target="https://afterschools.olc.tw/afterschools/view/21200307230001" TargetMode="External"/><Relationship Id="rId1341" Type="http://schemas.openxmlformats.org/officeDocument/2006/relationships/hyperlink" Target="https://afterschools.olc.tw/afterschools/view/21200407280006" TargetMode="External"/><Relationship Id="rId1342" Type="http://schemas.openxmlformats.org/officeDocument/2006/relationships/hyperlink" Target="https://afterschools.olc.tw/afterschools/view/21201511260001" TargetMode="External"/><Relationship Id="rId1343" Type="http://schemas.openxmlformats.org/officeDocument/2006/relationships/hyperlink" Target="https://afterschools.olc.tw/afterschools/view/21200604190001" TargetMode="External"/><Relationship Id="rId1344" Type="http://schemas.openxmlformats.org/officeDocument/2006/relationships/hyperlink" Target="https://afterschools.olc.tw/afterschools/view/21201210080002" TargetMode="External"/><Relationship Id="rId1345" Type="http://schemas.openxmlformats.org/officeDocument/2006/relationships/hyperlink" Target="https://afterschools.olc.tw/afterschools/view/21200304100005" TargetMode="External"/><Relationship Id="rId1346" Type="http://schemas.openxmlformats.org/officeDocument/2006/relationships/hyperlink" Target="https://afterschools.olc.tw/afterschools/view/21200805220003" TargetMode="External"/><Relationship Id="rId1347" Type="http://schemas.openxmlformats.org/officeDocument/2006/relationships/hyperlink" Target="https://afterschools.olc.tw/afterschools/view/21200504120004" TargetMode="External"/><Relationship Id="rId1348" Type="http://schemas.openxmlformats.org/officeDocument/2006/relationships/hyperlink" Target="https://afterschools.olc.tw/afterschools/view/21201202150001" TargetMode="External"/><Relationship Id="rId1349" Type="http://schemas.openxmlformats.org/officeDocument/2006/relationships/hyperlink" Target="https://afterschools.olc.tw/afterschools/view/21200509290001" TargetMode="External"/><Relationship Id="rId1350" Type="http://schemas.openxmlformats.org/officeDocument/2006/relationships/hyperlink" Target="https://afterschools.olc.tw/afterschools/view/21201409100001" TargetMode="External"/><Relationship Id="rId1351" Type="http://schemas.openxmlformats.org/officeDocument/2006/relationships/hyperlink" Target="https://afterschools.olc.tw/afterschools/view/21200909170001" TargetMode="External"/><Relationship Id="rId1352" Type="http://schemas.openxmlformats.org/officeDocument/2006/relationships/hyperlink" Target="https://afterschools.olc.tw/afterschools/view/21201504160002" TargetMode="External"/><Relationship Id="rId1353" Type="http://schemas.openxmlformats.org/officeDocument/2006/relationships/hyperlink" Target="https://afterschools.olc.tw/afterschools/view/21200208200001" TargetMode="External"/><Relationship Id="rId1354" Type="http://schemas.openxmlformats.org/officeDocument/2006/relationships/hyperlink" Target="https://afterschools.olc.tw/afterschools/view/21201303060001" TargetMode="External"/><Relationship Id="rId1355" Type="http://schemas.openxmlformats.org/officeDocument/2006/relationships/hyperlink" Target="https://afterschools.olc.tw/afterschools/view/21200607260003" TargetMode="External"/><Relationship Id="rId1356" Type="http://schemas.openxmlformats.org/officeDocument/2006/relationships/hyperlink" Target="https://afterschools.olc.tw/afterschools/view/21200606230001" TargetMode="External"/><Relationship Id="rId1357" Type="http://schemas.openxmlformats.org/officeDocument/2006/relationships/hyperlink" Target="https://afterschools.olc.tw/afterschools/view/21201306250001" TargetMode="External"/><Relationship Id="rId1358" Type="http://schemas.openxmlformats.org/officeDocument/2006/relationships/hyperlink" Target="https://afterschools.olc.tw/afterschools/view/21201601290001" TargetMode="External"/><Relationship Id="rId1359" Type="http://schemas.openxmlformats.org/officeDocument/2006/relationships/hyperlink" Target="https://afterschools.olc.tw/afterschools/view/21201105230001" TargetMode="External"/><Relationship Id="rId1360" Type="http://schemas.openxmlformats.org/officeDocument/2006/relationships/hyperlink" Target="https://afterschools.olc.tw/afterschools/view/21200805220002" TargetMode="External"/><Relationship Id="rId1361" Type="http://schemas.openxmlformats.org/officeDocument/2006/relationships/hyperlink" Target="https://afterschools.olc.tw/afterschools/view/21200601160004" TargetMode="External"/><Relationship Id="rId1362" Type="http://schemas.openxmlformats.org/officeDocument/2006/relationships/hyperlink" Target="https://afterschools.olc.tw/afterschools/view/21201509230003" TargetMode="External"/><Relationship Id="rId1363" Type="http://schemas.openxmlformats.org/officeDocument/2006/relationships/hyperlink" Target="https://afterschools.olc.tw/afterschools/view/21200609190004" TargetMode="External"/><Relationship Id="rId1364" Type="http://schemas.openxmlformats.org/officeDocument/2006/relationships/hyperlink" Target="https://afterschools.olc.tw/afterschools/view/21200503180001" TargetMode="External"/><Relationship Id="rId1365" Type="http://schemas.openxmlformats.org/officeDocument/2006/relationships/hyperlink" Target="https://afterschools.olc.tw/afterschools/view/21200509060001" TargetMode="External"/><Relationship Id="rId1366" Type="http://schemas.openxmlformats.org/officeDocument/2006/relationships/hyperlink" Target="https://afterschools.olc.tw/afterschools/view/21200609190005" TargetMode="External"/><Relationship Id="rId1367" Type="http://schemas.openxmlformats.org/officeDocument/2006/relationships/hyperlink" Target="https://afterschools.olc.tw/afterschools/view/21200510250001" TargetMode="External"/><Relationship Id="rId1368" Type="http://schemas.openxmlformats.org/officeDocument/2006/relationships/hyperlink" Target="https://afterschools.olc.tw/afterschools/view/21202606250005" TargetMode="External"/><Relationship Id="rId1369" Type="http://schemas.openxmlformats.org/officeDocument/2006/relationships/hyperlink" Target="https://afterschools.olc.tw/afterschools/view/21202408010001" TargetMode="External"/><Relationship Id="rId1370" Type="http://schemas.openxmlformats.org/officeDocument/2006/relationships/hyperlink" Target="https://afterschools.olc.tw/afterschools/view/21201011300002" TargetMode="External"/><Relationship Id="rId1371" Type="http://schemas.openxmlformats.org/officeDocument/2006/relationships/hyperlink" Target="https://afterschools.olc.tw/afterschools/view/21200607210001" TargetMode="External"/><Relationship Id="rId1372" Type="http://schemas.openxmlformats.org/officeDocument/2006/relationships/hyperlink" Target="https://afterschools.olc.tw/afterschools/view/21201006100001" TargetMode="External"/><Relationship Id="rId1373" Type="http://schemas.openxmlformats.org/officeDocument/2006/relationships/hyperlink" Target="https://afterschools.olc.tw/afterschools/view/21200508080001" TargetMode="External"/><Relationship Id="rId1374" Type="http://schemas.openxmlformats.org/officeDocument/2006/relationships/hyperlink" Target="https://afterschools.olc.tw/afterschools/view/21201310110001" TargetMode="External"/><Relationship Id="rId1375" Type="http://schemas.openxmlformats.org/officeDocument/2006/relationships/hyperlink" Target="https://afterschools.olc.tw/afterschools/view/21200504200001" TargetMode="External"/><Relationship Id="rId1376" Type="http://schemas.openxmlformats.org/officeDocument/2006/relationships/hyperlink" Target="https://afterschools.olc.tw/afterschools/view/21201108230001" TargetMode="External"/><Relationship Id="rId1377" Type="http://schemas.openxmlformats.org/officeDocument/2006/relationships/hyperlink" Target="https://afterschools.olc.tw/afterschools/view/21201305060001" TargetMode="External"/><Relationship Id="rId1378" Type="http://schemas.openxmlformats.org/officeDocument/2006/relationships/hyperlink" Target="https://afterschools.olc.tw/afterschools/view/21200208022947" TargetMode="External"/><Relationship Id="rId1379" Type="http://schemas.openxmlformats.org/officeDocument/2006/relationships/hyperlink" Target="https://afterschools.olc.tw/afterschools/view/21200409220001" TargetMode="External"/><Relationship Id="rId1380" Type="http://schemas.openxmlformats.org/officeDocument/2006/relationships/hyperlink" Target="https://afterschools.olc.tw/afterschools/view/21201503170001" TargetMode="External"/><Relationship Id="rId1381" Type="http://schemas.openxmlformats.org/officeDocument/2006/relationships/hyperlink" Target="https://afterschools.olc.tw/afterschools/view/21201503200001" TargetMode="External"/><Relationship Id="rId1382" Type="http://schemas.openxmlformats.org/officeDocument/2006/relationships/hyperlink" Target="https://afterschools.olc.tw/afterschools/view/21200208022949" TargetMode="External"/><Relationship Id="rId1383" Type="http://schemas.openxmlformats.org/officeDocument/2006/relationships/hyperlink" Target="https://afterschools.olc.tw/afterschools/view/21200809190001" TargetMode="External"/><Relationship Id="rId1384" Type="http://schemas.openxmlformats.org/officeDocument/2006/relationships/hyperlink" Target="https://afterschools.olc.tw/afterschools/view/21201501270001" TargetMode="External"/><Relationship Id="rId1385" Type="http://schemas.openxmlformats.org/officeDocument/2006/relationships/hyperlink" Target="https://afterschools.olc.tw/afterschools/view/21201308050001" TargetMode="External"/><Relationship Id="rId1386" Type="http://schemas.openxmlformats.org/officeDocument/2006/relationships/hyperlink" Target="https://afterschools.olc.tw/afterschools/view/21200807150001" TargetMode="External"/><Relationship Id="rId1387" Type="http://schemas.openxmlformats.org/officeDocument/2006/relationships/hyperlink" Target="https://afterschools.olc.tw/afterschools/view/21200706010001" TargetMode="External"/><Relationship Id="rId1388" Type="http://schemas.openxmlformats.org/officeDocument/2006/relationships/hyperlink" Target="https://afterschools.olc.tw/afterschools/view/21201402060001" TargetMode="External"/><Relationship Id="rId1389" Type="http://schemas.openxmlformats.org/officeDocument/2006/relationships/hyperlink" Target="https://afterschools.olc.tw/afterschools/view/21200911190002" TargetMode="External"/><Relationship Id="rId1390" Type="http://schemas.openxmlformats.org/officeDocument/2006/relationships/hyperlink" Target="https://afterschools.olc.tw/afterschools/view/21200809150001" TargetMode="External"/><Relationship Id="rId1391" Type="http://schemas.openxmlformats.org/officeDocument/2006/relationships/hyperlink" Target="https://afterschools.olc.tw/afterschools/view/21201011190001" TargetMode="External"/><Relationship Id="rId1392" Type="http://schemas.openxmlformats.org/officeDocument/2006/relationships/hyperlink" Target="https://afterschools.olc.tw/afterschools/view/21201011240003" TargetMode="External"/><Relationship Id="rId1393" Type="http://schemas.openxmlformats.org/officeDocument/2006/relationships/hyperlink" Target="https://afterschools.olc.tw/afterschools/view/21200504080003" TargetMode="External"/><Relationship Id="rId1394" Type="http://schemas.openxmlformats.org/officeDocument/2006/relationships/hyperlink" Target="https://afterschools.olc.tw/afterschools/view/21200704240003" TargetMode="External"/><Relationship Id="rId1395" Type="http://schemas.openxmlformats.org/officeDocument/2006/relationships/hyperlink" Target="https://afterschools.olc.tw/afterschools/view/21201512150001" TargetMode="External"/><Relationship Id="rId1396" Type="http://schemas.openxmlformats.org/officeDocument/2006/relationships/hyperlink" Target="https://afterschools.olc.tw/afterschools/view/21200407280001" TargetMode="External"/><Relationship Id="rId1397" Type="http://schemas.openxmlformats.org/officeDocument/2006/relationships/hyperlink" Target="https://afterschools.olc.tw/afterschools/view/21201105030001" TargetMode="External"/><Relationship Id="rId1398" Type="http://schemas.openxmlformats.org/officeDocument/2006/relationships/hyperlink" Target="https://afterschools.olc.tw/afterschools/view/21201210240001" TargetMode="External"/><Relationship Id="rId1399" Type="http://schemas.openxmlformats.org/officeDocument/2006/relationships/hyperlink" Target="https://afterschools.olc.tw/afterschools/view/21200904100001" TargetMode="External"/><Relationship Id="rId1400" Type="http://schemas.openxmlformats.org/officeDocument/2006/relationships/hyperlink" Target="https://afterschools.olc.tw/afterschools/view/21201205140001" TargetMode="External"/><Relationship Id="rId1401" Type="http://schemas.openxmlformats.org/officeDocument/2006/relationships/hyperlink" Target="https://afterschools.olc.tw/afterschools/view/21200906250001" TargetMode="External"/><Relationship Id="rId1402" Type="http://schemas.openxmlformats.org/officeDocument/2006/relationships/hyperlink" Target="https://afterschools.olc.tw/afterschools/view/21200909280001" TargetMode="External"/><Relationship Id="rId1403" Type="http://schemas.openxmlformats.org/officeDocument/2006/relationships/hyperlink" Target="https://afterschools.olc.tw/afterschools/view/21200504200004" TargetMode="External"/><Relationship Id="rId1404" Type="http://schemas.openxmlformats.org/officeDocument/2006/relationships/hyperlink" Target="https://afterschools.olc.tw/afterschools/view/21200706010002" TargetMode="External"/><Relationship Id="rId1405" Type="http://schemas.openxmlformats.org/officeDocument/2006/relationships/hyperlink" Target="https://afterschools.olc.tw/afterschools/view/21201209130001" TargetMode="External"/><Relationship Id="rId1406" Type="http://schemas.openxmlformats.org/officeDocument/2006/relationships/hyperlink" Target="https://afterschools.olc.tw/afterschools/view/21201405150001" TargetMode="External"/><Relationship Id="rId1407" Type="http://schemas.openxmlformats.org/officeDocument/2006/relationships/hyperlink" Target="https://afterschools.olc.tw/afterschools/view/21200307310003" TargetMode="External"/><Relationship Id="rId1408" Type="http://schemas.openxmlformats.org/officeDocument/2006/relationships/hyperlink" Target="https://afterschools.olc.tw/afterschools/view/21200809190002" TargetMode="External"/><Relationship Id="rId1409" Type="http://schemas.openxmlformats.org/officeDocument/2006/relationships/hyperlink" Target="https://afterschools.olc.tw/afterschools/view/21200806030002" TargetMode="External"/><Relationship Id="rId1410" Type="http://schemas.openxmlformats.org/officeDocument/2006/relationships/hyperlink" Target="https://afterschools.olc.tw/afterschools/view/21200304030006" TargetMode="External"/><Relationship Id="rId1411" Type="http://schemas.openxmlformats.org/officeDocument/2006/relationships/hyperlink" Target="https://afterschools.olc.tw/afterschools/view/21201203080001" TargetMode="External"/><Relationship Id="rId1412" Type="http://schemas.openxmlformats.org/officeDocument/2006/relationships/hyperlink" Target="https://afterschools.olc.tw/afterschools/view/21200708310002" TargetMode="External"/><Relationship Id="rId1413" Type="http://schemas.openxmlformats.org/officeDocument/2006/relationships/hyperlink" Target="https://afterschools.olc.tw/afterschools/view/21200210310002" TargetMode="External"/><Relationship Id="rId1414" Type="http://schemas.openxmlformats.org/officeDocument/2006/relationships/hyperlink" Target="https://afterschools.olc.tw/afterschools/view/21201007080001" TargetMode="External"/><Relationship Id="rId1415" Type="http://schemas.openxmlformats.org/officeDocument/2006/relationships/hyperlink" Target="https://afterschools.olc.tw/afterschools/view/21200711300002" TargetMode="External"/><Relationship Id="rId1416" Type="http://schemas.openxmlformats.org/officeDocument/2006/relationships/hyperlink" Target="https://afterschools.olc.tw/afterschools/view/21200809110003" TargetMode="External"/><Relationship Id="rId1417" Type="http://schemas.openxmlformats.org/officeDocument/2006/relationships/hyperlink" Target="https://afterschools.olc.tw/afterschools/view/21200709270005" TargetMode="External"/><Relationship Id="rId1418" Type="http://schemas.openxmlformats.org/officeDocument/2006/relationships/hyperlink" Target="https://afterschools.olc.tw/afterschools/view/21200509090002" TargetMode="External"/><Relationship Id="rId1419" Type="http://schemas.openxmlformats.org/officeDocument/2006/relationships/hyperlink" Target="https://afterschools.olc.tw/afterschools/view/21200412300001" TargetMode="External"/><Relationship Id="rId1420" Type="http://schemas.openxmlformats.org/officeDocument/2006/relationships/hyperlink" Target="https://afterschools.olc.tw/afterschools/view/21200406230001" TargetMode="External"/><Relationship Id="rId1421" Type="http://schemas.openxmlformats.org/officeDocument/2006/relationships/hyperlink" Target="https://afterschools.olc.tw/afterschools/view/21200505160005" TargetMode="External"/><Relationship Id="rId1422" Type="http://schemas.openxmlformats.org/officeDocument/2006/relationships/hyperlink" Target="https://afterschools.olc.tw/afterschools/view/33200209180035" TargetMode="External"/><Relationship Id="rId1423" Type="http://schemas.openxmlformats.org/officeDocument/2006/relationships/hyperlink" Target="https://afterschools.olc.tw/afterschools/view/33202104060001" TargetMode="External"/><Relationship Id="rId1424" Type="http://schemas.openxmlformats.org/officeDocument/2006/relationships/hyperlink" Target="https://afterschools.olc.tw/afterschools/view/33202603160001" TargetMode="External"/><Relationship Id="rId1425" Type="http://schemas.openxmlformats.org/officeDocument/2006/relationships/hyperlink" Target="https://afterschools.olc.tw/afterschools/view/33202207050001" TargetMode="External"/><Relationship Id="rId1426" Type="http://schemas.openxmlformats.org/officeDocument/2006/relationships/hyperlink" Target="https://afterschools.olc.tw/afterschools/view/33202111290001" TargetMode="External"/><Relationship Id="rId1427" Type="http://schemas.openxmlformats.org/officeDocument/2006/relationships/hyperlink" Target="https://afterschools.olc.tw/afterschools/view/33201605300002" TargetMode="External"/><Relationship Id="rId1428" Type="http://schemas.openxmlformats.org/officeDocument/2006/relationships/hyperlink" Target="https://afterschools.olc.tw/afterschools/view/33201306140003" TargetMode="External"/><Relationship Id="rId1429" Type="http://schemas.openxmlformats.org/officeDocument/2006/relationships/hyperlink" Target="https://afterschools.olc.tw/afterschools/view/33202608200001" TargetMode="External"/><Relationship Id="rId1430" Type="http://schemas.openxmlformats.org/officeDocument/2006/relationships/hyperlink" Target="https://afterschools.olc.tw/afterschools/view/33201509030001" TargetMode="External"/><Relationship Id="rId1431" Type="http://schemas.openxmlformats.org/officeDocument/2006/relationships/hyperlink" Target="https://afterschools.olc.tw/afterschools/view/33200301160001" TargetMode="External"/><Relationship Id="rId1432" Type="http://schemas.openxmlformats.org/officeDocument/2006/relationships/hyperlink" Target="https://afterschools.olc.tw/afterschools/view/33200707170007" TargetMode="External"/><Relationship Id="rId1433" Type="http://schemas.openxmlformats.org/officeDocument/2006/relationships/hyperlink" Target="https://afterschools.olc.tw/afterschools/view/33202406210001" TargetMode="External"/><Relationship Id="rId1434" Type="http://schemas.openxmlformats.org/officeDocument/2006/relationships/hyperlink" Target="https://afterschools.olc.tw/afterschools/view/33202208170002" TargetMode="External"/><Relationship Id="rId1435" Type="http://schemas.openxmlformats.org/officeDocument/2006/relationships/hyperlink" Target="https://afterschools.olc.tw/afterschools/view/33201806270001" TargetMode="External"/><Relationship Id="rId1436" Type="http://schemas.openxmlformats.org/officeDocument/2006/relationships/hyperlink" Target="https://afterschools.olc.tw/afterschools/view/33201503230002" TargetMode="External"/><Relationship Id="rId1437" Type="http://schemas.openxmlformats.org/officeDocument/2006/relationships/hyperlink" Target="https://afterschools.olc.tw/afterschools/view/33201102220001" TargetMode="External"/><Relationship Id="rId1438" Type="http://schemas.openxmlformats.org/officeDocument/2006/relationships/hyperlink" Target="https://afterschools.olc.tw/afterschools/view/33202407190003" TargetMode="External"/><Relationship Id="rId1439" Type="http://schemas.openxmlformats.org/officeDocument/2006/relationships/hyperlink" Target="https://afterschools.olc.tw/afterschools/view/33201907230002" TargetMode="External"/><Relationship Id="rId1440" Type="http://schemas.openxmlformats.org/officeDocument/2006/relationships/hyperlink" Target="https://afterschools.olc.tw/afterschools/view/33202104280001" TargetMode="External"/><Relationship Id="rId1441" Type="http://schemas.openxmlformats.org/officeDocument/2006/relationships/hyperlink" Target="https://afterschools.olc.tw/afterschools/view/33201910150001" TargetMode="External"/><Relationship Id="rId1442" Type="http://schemas.openxmlformats.org/officeDocument/2006/relationships/hyperlink" Target="https://afterschools.olc.tw/afterschools/view/33200907070001" TargetMode="External"/><Relationship Id="rId1443" Type="http://schemas.openxmlformats.org/officeDocument/2006/relationships/hyperlink" Target="https://afterschools.olc.tw/afterschools/view/33200403100002" TargetMode="External"/><Relationship Id="rId1444" Type="http://schemas.openxmlformats.org/officeDocument/2006/relationships/hyperlink" Target="https://afterschools.olc.tw/afterschools/view/33202007070001" TargetMode="External"/><Relationship Id="rId1445" Type="http://schemas.openxmlformats.org/officeDocument/2006/relationships/hyperlink" Target="https://afterschools.olc.tw/afterschools/view/33200207190001" TargetMode="External"/><Relationship Id="rId1446" Type="http://schemas.openxmlformats.org/officeDocument/2006/relationships/hyperlink" Target="https://afterschools.olc.tw/afterschools/view/33200507060006" TargetMode="External"/><Relationship Id="rId1447" Type="http://schemas.openxmlformats.org/officeDocument/2006/relationships/hyperlink" Target="https://afterschools.olc.tw/afterschools/view/33201408180002" TargetMode="External"/><Relationship Id="rId1448" Type="http://schemas.openxmlformats.org/officeDocument/2006/relationships/hyperlink" Target="https://afterschools.olc.tw/afterschools/view/33201503240002" TargetMode="External"/><Relationship Id="rId1449" Type="http://schemas.openxmlformats.org/officeDocument/2006/relationships/hyperlink" Target="https://afterschools.olc.tw/afterschools/view/33201806050001" TargetMode="External"/><Relationship Id="rId1450" Type="http://schemas.openxmlformats.org/officeDocument/2006/relationships/hyperlink" Target="https://afterschools.olc.tw/afterschools/view/33202010280001" TargetMode="External"/><Relationship Id="rId1451" Type="http://schemas.openxmlformats.org/officeDocument/2006/relationships/hyperlink" Target="https://afterschools.olc.tw/afterschools/view/33201607200001" TargetMode="External"/><Relationship Id="rId1452" Type="http://schemas.openxmlformats.org/officeDocument/2006/relationships/hyperlink" Target="https://afterschools.olc.tw/afterschools/view/33200306230002" TargetMode="External"/><Relationship Id="rId1453" Type="http://schemas.openxmlformats.org/officeDocument/2006/relationships/hyperlink" Target="https://afterschools.olc.tw/afterschools/view/33201904160001" TargetMode="External"/><Relationship Id="rId1454" Type="http://schemas.openxmlformats.org/officeDocument/2006/relationships/hyperlink" Target="https://afterschools.olc.tw/afterschools/view/33200711090001" TargetMode="External"/><Relationship Id="rId1455" Type="http://schemas.openxmlformats.org/officeDocument/2006/relationships/hyperlink" Target="https://afterschools.olc.tw/afterschools/view/33200208200018" TargetMode="External"/><Relationship Id="rId1456" Type="http://schemas.openxmlformats.org/officeDocument/2006/relationships/hyperlink" Target="https://afterschools.olc.tw/afterschools/view/33201503240003" TargetMode="External"/><Relationship Id="rId1457" Type="http://schemas.openxmlformats.org/officeDocument/2006/relationships/hyperlink" Target="https://afterschools.olc.tw/afterschools/view/33201811050001" TargetMode="External"/><Relationship Id="rId1458" Type="http://schemas.openxmlformats.org/officeDocument/2006/relationships/hyperlink" Target="https://afterschools.olc.tw/afterschools/view/33201212100001" TargetMode="External"/><Relationship Id="rId1459" Type="http://schemas.openxmlformats.org/officeDocument/2006/relationships/hyperlink" Target="https://afterschools.olc.tw/afterschools/view/33202212260002" TargetMode="External"/><Relationship Id="rId1460" Type="http://schemas.openxmlformats.org/officeDocument/2006/relationships/hyperlink" Target="https://afterschools.olc.tw/afterschools/view/33202511130001" TargetMode="External"/><Relationship Id="rId1461" Type="http://schemas.openxmlformats.org/officeDocument/2006/relationships/hyperlink" Target="https://afterschools.olc.tw/afterschools/view/33201602250001" TargetMode="External"/><Relationship Id="rId1462" Type="http://schemas.openxmlformats.org/officeDocument/2006/relationships/hyperlink" Target="https://afterschools.olc.tw/afterschools/view/33201810040001" TargetMode="External"/><Relationship Id="rId1463" Type="http://schemas.openxmlformats.org/officeDocument/2006/relationships/hyperlink" Target="https://afterschools.olc.tw/afterschools/view/33200508040002" TargetMode="External"/><Relationship Id="rId1464" Type="http://schemas.openxmlformats.org/officeDocument/2006/relationships/hyperlink" Target="https://afterschools.olc.tw/afterschools/view/33200211190007" TargetMode="External"/><Relationship Id="rId1465" Type="http://schemas.openxmlformats.org/officeDocument/2006/relationships/hyperlink" Target="https://afterschools.olc.tw/afterschools/view/33200208270024" TargetMode="External"/><Relationship Id="rId1466" Type="http://schemas.openxmlformats.org/officeDocument/2006/relationships/hyperlink" Target="https://afterschools.olc.tw/afterschools/view/33200911040003" TargetMode="External"/><Relationship Id="rId1467" Type="http://schemas.openxmlformats.org/officeDocument/2006/relationships/hyperlink" Target="https://afterschools.olc.tw/afterschools/view/33200607200013" TargetMode="External"/><Relationship Id="rId1468" Type="http://schemas.openxmlformats.org/officeDocument/2006/relationships/hyperlink" Target="https://afterschools.olc.tw/afterschools/view/33201207310001" TargetMode="External"/><Relationship Id="rId1469" Type="http://schemas.openxmlformats.org/officeDocument/2006/relationships/hyperlink" Target="https://afterschools.olc.tw/afterschools/view/33200607170002" TargetMode="External"/><Relationship Id="rId1470" Type="http://schemas.openxmlformats.org/officeDocument/2006/relationships/hyperlink" Target="https://afterschools.olc.tw/afterschools/view/33200702260011" TargetMode="External"/><Relationship Id="rId1471" Type="http://schemas.openxmlformats.org/officeDocument/2006/relationships/hyperlink" Target="https://afterschools.olc.tw/afterschools/view/33200207170825" TargetMode="External"/><Relationship Id="rId1472" Type="http://schemas.openxmlformats.org/officeDocument/2006/relationships/hyperlink" Target="https://afterschools.olc.tw/afterschools/view/33200806030009" TargetMode="External"/><Relationship Id="rId1473" Type="http://schemas.openxmlformats.org/officeDocument/2006/relationships/hyperlink" Target="https://afterschools.olc.tw/afterschools/view/33202109070001" TargetMode="External"/><Relationship Id="rId1474" Type="http://schemas.openxmlformats.org/officeDocument/2006/relationships/hyperlink" Target="https://afterschools.olc.tw/afterschools/view/33201404170001" TargetMode="External"/><Relationship Id="rId1475" Type="http://schemas.openxmlformats.org/officeDocument/2006/relationships/hyperlink" Target="https://afterschools.olc.tw/afterschools/view/33201209240001" TargetMode="External"/><Relationship Id="rId1476" Type="http://schemas.openxmlformats.org/officeDocument/2006/relationships/hyperlink" Target="https://afterschools.olc.tw/afterschools/view/33202310250001" TargetMode="External"/><Relationship Id="rId1477" Type="http://schemas.openxmlformats.org/officeDocument/2006/relationships/hyperlink" Target="https://afterschools.olc.tw/afterschools/view/33202511050001" TargetMode="External"/><Relationship Id="rId1478" Type="http://schemas.openxmlformats.org/officeDocument/2006/relationships/hyperlink" Target="https://afterschools.olc.tw/afterschools/view/33202602090001" TargetMode="External"/><Relationship Id="rId1479" Type="http://schemas.openxmlformats.org/officeDocument/2006/relationships/hyperlink" Target="https://afterschools.olc.tw/afterschools/view/33200507130015" TargetMode="External"/><Relationship Id="rId1480" Type="http://schemas.openxmlformats.org/officeDocument/2006/relationships/hyperlink" Target="https://afterschools.olc.tw/afterschools/view/33202109170002" TargetMode="External"/><Relationship Id="rId1481" Type="http://schemas.openxmlformats.org/officeDocument/2006/relationships/hyperlink" Target="https://afterschools.olc.tw/afterschools/view/33202104270001" TargetMode="External"/><Relationship Id="rId1482" Type="http://schemas.openxmlformats.org/officeDocument/2006/relationships/hyperlink" Target="https://afterschools.olc.tw/afterschools/view/33200604010005" TargetMode="External"/><Relationship Id="rId1483" Type="http://schemas.openxmlformats.org/officeDocument/2006/relationships/hyperlink" Target="https://afterschools.olc.tw/afterschools/view/33201712270001" TargetMode="External"/><Relationship Id="rId1484" Type="http://schemas.openxmlformats.org/officeDocument/2006/relationships/hyperlink" Target="https://afterschools.olc.tw/afterschools/view/33201408180001" TargetMode="External"/><Relationship Id="rId1485" Type="http://schemas.openxmlformats.org/officeDocument/2006/relationships/hyperlink" Target="https://afterschools.olc.tw/afterschools/view/33200707180007" TargetMode="External"/><Relationship Id="rId1486" Type="http://schemas.openxmlformats.org/officeDocument/2006/relationships/hyperlink" Target="https://afterschools.olc.tw/afterschools/view/33200312150001" TargetMode="External"/><Relationship Id="rId1487" Type="http://schemas.openxmlformats.org/officeDocument/2006/relationships/hyperlink" Target="https://afterschools.olc.tw/afterschools/view/33200406240003" TargetMode="External"/><Relationship Id="rId1488" Type="http://schemas.openxmlformats.org/officeDocument/2006/relationships/hyperlink" Target="https://afterschools.olc.tw/afterschools/view/33201906190002" TargetMode="External"/><Relationship Id="rId1489" Type="http://schemas.openxmlformats.org/officeDocument/2006/relationships/hyperlink" Target="https://afterschools.olc.tw/afterschools/view/33200209120023" TargetMode="External"/><Relationship Id="rId1490" Type="http://schemas.openxmlformats.org/officeDocument/2006/relationships/hyperlink" Target="https://afterschools.olc.tw/afterschools/view/33202109290001" TargetMode="External"/><Relationship Id="rId1491" Type="http://schemas.openxmlformats.org/officeDocument/2006/relationships/hyperlink" Target="https://afterschools.olc.tw/afterschools/view/33201103170002" TargetMode="External"/><Relationship Id="rId1492" Type="http://schemas.openxmlformats.org/officeDocument/2006/relationships/hyperlink" Target="https://afterschools.olc.tw/afterschools/view/33200207220046" TargetMode="External"/><Relationship Id="rId1493" Type="http://schemas.openxmlformats.org/officeDocument/2006/relationships/hyperlink" Target="https://afterschools.olc.tw/afterschools/view/33202503170001" TargetMode="External"/><Relationship Id="rId1494" Type="http://schemas.openxmlformats.org/officeDocument/2006/relationships/hyperlink" Target="https://afterschools.olc.tw/afterschools/view/33202411010001" TargetMode="External"/><Relationship Id="rId1495" Type="http://schemas.openxmlformats.org/officeDocument/2006/relationships/hyperlink" Target="https://afterschools.olc.tw/afterschools/view/33202212260003" TargetMode="External"/><Relationship Id="rId1496" Type="http://schemas.openxmlformats.org/officeDocument/2006/relationships/hyperlink" Target="https://afterschools.olc.tw/afterschools/view/33202001140001" TargetMode="External"/><Relationship Id="rId1497" Type="http://schemas.openxmlformats.org/officeDocument/2006/relationships/hyperlink" Target="https://afterschools.olc.tw/afterschools/view/33201503230003" TargetMode="External"/><Relationship Id="rId1498" Type="http://schemas.openxmlformats.org/officeDocument/2006/relationships/hyperlink" Target="https://afterschools.olc.tw/afterschools/view/33200701250007" TargetMode="External"/><Relationship Id="rId1499" Type="http://schemas.openxmlformats.org/officeDocument/2006/relationships/hyperlink" Target="https://afterschools.olc.tw/afterschools/view/33202211240001" TargetMode="External"/><Relationship Id="rId1500" Type="http://schemas.openxmlformats.org/officeDocument/2006/relationships/hyperlink" Target="https://afterschools.olc.tw/afterschools/view/33202208190002" TargetMode="External"/><Relationship Id="rId1501" Type="http://schemas.openxmlformats.org/officeDocument/2006/relationships/hyperlink" Target="https://afterschools.olc.tw/afterschools/view/33200911030002" TargetMode="External"/><Relationship Id="rId1502" Type="http://schemas.openxmlformats.org/officeDocument/2006/relationships/hyperlink" Target="https://afterschools.olc.tw/afterschools/view/33201509030003" TargetMode="External"/><Relationship Id="rId1503" Type="http://schemas.openxmlformats.org/officeDocument/2006/relationships/hyperlink" Target="https://afterschools.olc.tw/afterschools/view/33202004210001" TargetMode="External"/><Relationship Id="rId1504" Type="http://schemas.openxmlformats.org/officeDocument/2006/relationships/hyperlink" Target="https://afterschools.olc.tw/afterschools/view/33201003090002" TargetMode="External"/><Relationship Id="rId1505" Type="http://schemas.openxmlformats.org/officeDocument/2006/relationships/hyperlink" Target="https://afterschools.olc.tw/afterschools/view/33201709150002" TargetMode="External"/><Relationship Id="rId1506" Type="http://schemas.openxmlformats.org/officeDocument/2006/relationships/hyperlink" Target="https://afterschools.olc.tw/afterschools/view/33202407010002" TargetMode="External"/><Relationship Id="rId1507" Type="http://schemas.openxmlformats.org/officeDocument/2006/relationships/hyperlink" Target="https://afterschools.olc.tw/afterschools/view/33200209120011" TargetMode="External"/><Relationship Id="rId1508" Type="http://schemas.openxmlformats.org/officeDocument/2006/relationships/hyperlink" Target="https://afterschools.olc.tw/afterschools/view/33200809220001" TargetMode="External"/><Relationship Id="rId1509" Type="http://schemas.openxmlformats.org/officeDocument/2006/relationships/hyperlink" Target="https://afterschools.olc.tw/afterschools/view/33200804290014" TargetMode="External"/><Relationship Id="rId1510" Type="http://schemas.openxmlformats.org/officeDocument/2006/relationships/hyperlink" Target="https://afterschools.olc.tw/afterschools/view/33202011270001" TargetMode="External"/><Relationship Id="rId1511" Type="http://schemas.openxmlformats.org/officeDocument/2006/relationships/hyperlink" Target="https://afterschools.olc.tw/afterschools/view/33201506180001" TargetMode="External"/><Relationship Id="rId1512" Type="http://schemas.openxmlformats.org/officeDocument/2006/relationships/hyperlink" Target="https://afterschools.olc.tw/afterschools/view/33201805010002" TargetMode="External"/><Relationship Id="rId1513" Type="http://schemas.openxmlformats.org/officeDocument/2006/relationships/hyperlink" Target="https://afterschools.olc.tw/afterschools/view/33202104060002" TargetMode="External"/><Relationship Id="rId1514" Type="http://schemas.openxmlformats.org/officeDocument/2006/relationships/hyperlink" Target="https://afterschools.olc.tw/afterschools/view/33201912040001" TargetMode="External"/><Relationship Id="rId1515" Type="http://schemas.openxmlformats.org/officeDocument/2006/relationships/hyperlink" Target="https://afterschools.olc.tw/afterschools/view/33202407170001" TargetMode="External"/><Relationship Id="rId1516" Type="http://schemas.openxmlformats.org/officeDocument/2006/relationships/hyperlink" Target="https://afterschools.olc.tw/afterschools/view/33201901180001" TargetMode="External"/><Relationship Id="rId1517" Type="http://schemas.openxmlformats.org/officeDocument/2006/relationships/hyperlink" Target="https://afterschools.olc.tw/afterschools/view/33200612140001" TargetMode="External"/><Relationship Id="rId1518" Type="http://schemas.openxmlformats.org/officeDocument/2006/relationships/hyperlink" Target="https://afterschools.olc.tw/afterschools/view/33201803010001" TargetMode="External"/><Relationship Id="rId1519" Type="http://schemas.openxmlformats.org/officeDocument/2006/relationships/hyperlink" Target="https://afterschools.olc.tw/afterschools/view/33201309250002" TargetMode="External"/><Relationship Id="rId1520" Type="http://schemas.openxmlformats.org/officeDocument/2006/relationships/hyperlink" Target="https://afterschools.olc.tw/afterschools/view/33200505230007" TargetMode="External"/><Relationship Id="rId1521" Type="http://schemas.openxmlformats.org/officeDocument/2006/relationships/hyperlink" Target="https://afterschools.olc.tw/afterschools/view/33202505280001" TargetMode="External"/><Relationship Id="rId1522" Type="http://schemas.openxmlformats.org/officeDocument/2006/relationships/hyperlink" Target="https://afterschools.olc.tw/afterschools/view/33200707180008" TargetMode="External"/><Relationship Id="rId1523" Type="http://schemas.openxmlformats.org/officeDocument/2006/relationships/hyperlink" Target="https://afterschools.olc.tw/afterschools/view/33201511260004" TargetMode="External"/><Relationship Id="rId1524" Type="http://schemas.openxmlformats.org/officeDocument/2006/relationships/hyperlink" Target="https://afterschools.olc.tw/afterschools/view/33201712180002" TargetMode="External"/><Relationship Id="rId1525" Type="http://schemas.openxmlformats.org/officeDocument/2006/relationships/hyperlink" Target="https://afterschools.olc.tw/afterschools/view/33200701080001" TargetMode="External"/><Relationship Id="rId1526" Type="http://schemas.openxmlformats.org/officeDocument/2006/relationships/hyperlink" Target="https://afterschools.olc.tw/afterschools/view/33202011180001" TargetMode="External"/><Relationship Id="rId1527" Type="http://schemas.openxmlformats.org/officeDocument/2006/relationships/hyperlink" Target="https://afterschools.olc.tw/afterschools/view/33200209180031" TargetMode="External"/><Relationship Id="rId1528" Type="http://schemas.openxmlformats.org/officeDocument/2006/relationships/hyperlink" Target="https://afterschools.olc.tw/afterschools/view/33202506180001" TargetMode="External"/><Relationship Id="rId1529" Type="http://schemas.openxmlformats.org/officeDocument/2006/relationships/hyperlink" Target="https://afterschools.olc.tw/afterschools/view/33202412120001" TargetMode="External"/><Relationship Id="rId1530" Type="http://schemas.openxmlformats.org/officeDocument/2006/relationships/hyperlink" Target="https://afterschools.olc.tw/afterschools/view/33201107200001" TargetMode="External"/><Relationship Id="rId1531" Type="http://schemas.openxmlformats.org/officeDocument/2006/relationships/hyperlink" Target="https://afterschools.olc.tw/afterschools/view/33200904080006" TargetMode="External"/><Relationship Id="rId1532" Type="http://schemas.openxmlformats.org/officeDocument/2006/relationships/hyperlink" Target="https://afterschools.olc.tw/afterschools/view/33200207190002" TargetMode="External"/><Relationship Id="rId1533" Type="http://schemas.openxmlformats.org/officeDocument/2006/relationships/hyperlink" Target="https://afterschools.olc.tw/afterschools/view/33202403180001" TargetMode="External"/><Relationship Id="rId1534" Type="http://schemas.openxmlformats.org/officeDocument/2006/relationships/hyperlink" Target="https://afterschools.olc.tw/afterschools/view/33202306080001" TargetMode="External"/><Relationship Id="rId1535" Type="http://schemas.openxmlformats.org/officeDocument/2006/relationships/hyperlink" Target="https://afterschools.olc.tw/afterschools/view/33201703030003" TargetMode="External"/><Relationship Id="rId1536" Type="http://schemas.openxmlformats.org/officeDocument/2006/relationships/hyperlink" Target="https://afterschools.olc.tw/afterschools/view/33200210010014" TargetMode="External"/><Relationship Id="rId1537" Type="http://schemas.openxmlformats.org/officeDocument/2006/relationships/hyperlink" Target="https://afterschools.olc.tw/afterschools/view/33202310040001" TargetMode="External"/><Relationship Id="rId1538" Type="http://schemas.openxmlformats.org/officeDocument/2006/relationships/hyperlink" Target="https://afterschools.olc.tw/afterschools/view/33201412250002" TargetMode="External"/><Relationship Id="rId1539" Type="http://schemas.openxmlformats.org/officeDocument/2006/relationships/hyperlink" Target="https://afterschools.olc.tw/afterschools/view/33200211190004" TargetMode="External"/><Relationship Id="rId1540" Type="http://schemas.openxmlformats.org/officeDocument/2006/relationships/hyperlink" Target="https://afterschools.olc.tw/afterschools/view/33201607130003" TargetMode="External"/><Relationship Id="rId1541" Type="http://schemas.openxmlformats.org/officeDocument/2006/relationships/hyperlink" Target="https://afterschools.olc.tw/afterschools/view/33201604120001" TargetMode="External"/><Relationship Id="rId1542" Type="http://schemas.openxmlformats.org/officeDocument/2006/relationships/hyperlink" Target="https://afterschools.olc.tw/afterschools/view/33200403100004" TargetMode="External"/><Relationship Id="rId1543" Type="http://schemas.openxmlformats.org/officeDocument/2006/relationships/hyperlink" Target="https://afterschools.olc.tw/afterschools/view/33200707180001" TargetMode="External"/><Relationship Id="rId1544" Type="http://schemas.openxmlformats.org/officeDocument/2006/relationships/hyperlink" Target="https://afterschools.olc.tw/afterschools/view/33202304280001" TargetMode="External"/><Relationship Id="rId1545" Type="http://schemas.openxmlformats.org/officeDocument/2006/relationships/hyperlink" Target="https://afterschools.olc.tw/afterschools/view/33201311280004" TargetMode="External"/><Relationship Id="rId1546" Type="http://schemas.openxmlformats.org/officeDocument/2006/relationships/hyperlink" Target="https://afterschools.olc.tw/afterschools/view/33202110200001" TargetMode="External"/><Relationship Id="rId1547" Type="http://schemas.openxmlformats.org/officeDocument/2006/relationships/hyperlink" Target="https://afterschools.olc.tw/afterschools/view/33201907040001" TargetMode="External"/><Relationship Id="rId1548" Type="http://schemas.openxmlformats.org/officeDocument/2006/relationships/hyperlink" Target="https://afterschools.olc.tw/afterschools/view/33202304280002" TargetMode="External"/><Relationship Id="rId1549" Type="http://schemas.openxmlformats.org/officeDocument/2006/relationships/hyperlink" Target="https://afterschools.olc.tw/afterschools/view/33202301170001" TargetMode="External"/><Relationship Id="rId1550" Type="http://schemas.openxmlformats.org/officeDocument/2006/relationships/hyperlink" Target="https://afterschools.olc.tw/afterschools/view/33202311060001" TargetMode="External"/><Relationship Id="rId1551" Type="http://schemas.openxmlformats.org/officeDocument/2006/relationships/hyperlink" Target="https://afterschools.olc.tw/afterschools/view/33201603100001" TargetMode="External"/><Relationship Id="rId1552" Type="http://schemas.openxmlformats.org/officeDocument/2006/relationships/hyperlink" Target="https://afterschools.olc.tw/afterschools/view/33200612210028" TargetMode="External"/><Relationship Id="rId1553" Type="http://schemas.openxmlformats.org/officeDocument/2006/relationships/hyperlink" Target="https://afterschools.olc.tw/afterschools/view/33201107260002" TargetMode="External"/><Relationship Id="rId1554" Type="http://schemas.openxmlformats.org/officeDocument/2006/relationships/hyperlink" Target="https://afterschools.olc.tw/afterschools/view/33200312150003" TargetMode="External"/><Relationship Id="rId1555" Type="http://schemas.openxmlformats.org/officeDocument/2006/relationships/hyperlink" Target="https://afterschools.olc.tw/afterschools/view/33201703070001" TargetMode="External"/><Relationship Id="rId1556" Type="http://schemas.openxmlformats.org/officeDocument/2006/relationships/hyperlink" Target="https://afterschools.olc.tw/afterschools/view/33200207230004" TargetMode="External"/><Relationship Id="rId1557" Type="http://schemas.openxmlformats.org/officeDocument/2006/relationships/hyperlink" Target="https://afterschools.olc.tw/afterschools/view/33201704260001" TargetMode="External"/><Relationship Id="rId1558" Type="http://schemas.openxmlformats.org/officeDocument/2006/relationships/hyperlink" Target="https://afterschools.olc.tw/afterschools/view/33200911040002" TargetMode="External"/><Relationship Id="rId1559" Type="http://schemas.openxmlformats.org/officeDocument/2006/relationships/hyperlink" Target="https://afterschools.olc.tw/afterschools/view/33200708130014" TargetMode="External"/><Relationship Id="rId1560" Type="http://schemas.openxmlformats.org/officeDocument/2006/relationships/hyperlink" Target="https://afterschools.olc.tw/afterschools/view/33200612210030" TargetMode="External"/><Relationship Id="rId1561" Type="http://schemas.openxmlformats.org/officeDocument/2006/relationships/hyperlink" Target="https://afterschools.olc.tw/afterschools/view/33201204240001" TargetMode="External"/><Relationship Id="rId1562" Type="http://schemas.openxmlformats.org/officeDocument/2006/relationships/hyperlink" Target="https://afterschools.olc.tw/afterschools/view/33202005280002" TargetMode="External"/><Relationship Id="rId1563" Type="http://schemas.openxmlformats.org/officeDocument/2006/relationships/hyperlink" Target="https://afterschools.olc.tw/afterschools/view/33201506170002" TargetMode="External"/><Relationship Id="rId1564" Type="http://schemas.openxmlformats.org/officeDocument/2006/relationships/hyperlink" Target="https://afterschools.olc.tw/afterschools/view/33200208210004" TargetMode="External"/><Relationship Id="rId1565" Type="http://schemas.openxmlformats.org/officeDocument/2006/relationships/hyperlink" Target="https://afterschools.olc.tw/afterschools/view/33202001020001" TargetMode="External"/><Relationship Id="rId1566" Type="http://schemas.openxmlformats.org/officeDocument/2006/relationships/hyperlink" Target="https://afterschools.olc.tw/afterschools/view/33200904080005" TargetMode="External"/><Relationship Id="rId1567" Type="http://schemas.openxmlformats.org/officeDocument/2006/relationships/hyperlink" Target="https://afterschools.olc.tw/afterschools/view/33200210020001" TargetMode="External"/><Relationship Id="rId1568" Type="http://schemas.openxmlformats.org/officeDocument/2006/relationships/hyperlink" Target="https://afterschools.olc.tw/afterschools/view/33201501270005" TargetMode="External"/><Relationship Id="rId1569" Type="http://schemas.openxmlformats.org/officeDocument/2006/relationships/hyperlink" Target="https://afterschools.olc.tw/afterschools/view/33201509220003" TargetMode="External"/><Relationship Id="rId1570" Type="http://schemas.openxmlformats.org/officeDocument/2006/relationships/hyperlink" Target="https://afterschools.olc.tw/afterschools/view/33200804300001" TargetMode="External"/><Relationship Id="rId1571" Type="http://schemas.openxmlformats.org/officeDocument/2006/relationships/hyperlink" Target="https://afterschools.olc.tw/afterschools/view/33201311280003" TargetMode="External"/><Relationship Id="rId1572" Type="http://schemas.openxmlformats.org/officeDocument/2006/relationships/hyperlink" Target="https://afterschools.olc.tw/afterschools/view/33201704280001" TargetMode="External"/><Relationship Id="rId1573" Type="http://schemas.openxmlformats.org/officeDocument/2006/relationships/hyperlink" Target="https://afterschools.olc.tw/afterschools/view/33200207220019" TargetMode="External"/><Relationship Id="rId1574" Type="http://schemas.openxmlformats.org/officeDocument/2006/relationships/hyperlink" Target="https://afterschools.olc.tw/afterschools/view/33202005220002" TargetMode="External"/><Relationship Id="rId1575" Type="http://schemas.openxmlformats.org/officeDocument/2006/relationships/hyperlink" Target="https://afterschools.olc.tw/afterschools/view/33202410250001" TargetMode="External"/><Relationship Id="rId1576" Type="http://schemas.openxmlformats.org/officeDocument/2006/relationships/hyperlink" Target="https://afterschools.olc.tw/afterschools/view/33200701040001" TargetMode="External"/><Relationship Id="rId1577" Type="http://schemas.openxmlformats.org/officeDocument/2006/relationships/hyperlink" Target="https://afterschools.olc.tw/afterschools/view/33201102230004" TargetMode="External"/><Relationship Id="rId1578" Type="http://schemas.openxmlformats.org/officeDocument/2006/relationships/hyperlink" Target="https://afterschools.olc.tw/afterschools/view/33200210010003" TargetMode="External"/><Relationship Id="rId1579" Type="http://schemas.openxmlformats.org/officeDocument/2006/relationships/hyperlink" Target="https://afterschools.olc.tw/afterschools/view/33200804280009" TargetMode="External"/><Relationship Id="rId1580" Type="http://schemas.openxmlformats.org/officeDocument/2006/relationships/hyperlink" Target="https://afterschools.olc.tw/afterschools/view/33202407020001" TargetMode="External"/><Relationship Id="rId1581" Type="http://schemas.openxmlformats.org/officeDocument/2006/relationships/hyperlink" Target="https://afterschools.olc.tw/afterschools/view/33200210010002" TargetMode="External"/><Relationship Id="rId1582" Type="http://schemas.openxmlformats.org/officeDocument/2006/relationships/hyperlink" Target="https://afterschools.olc.tw/afterschools/view/33200702260006" TargetMode="External"/><Relationship Id="rId1583" Type="http://schemas.openxmlformats.org/officeDocument/2006/relationships/hyperlink" Target="https://afterschools.olc.tw/afterschools/view/33201209240003" TargetMode="External"/><Relationship Id="rId1584" Type="http://schemas.openxmlformats.org/officeDocument/2006/relationships/hyperlink" Target="https://afterschools.olc.tw/afterschools/view/33201203030005" TargetMode="External"/><Relationship Id="rId1585" Type="http://schemas.openxmlformats.org/officeDocument/2006/relationships/hyperlink" Target="https://afterschools.olc.tw/afterschools/view/33200507130004" TargetMode="External"/><Relationship Id="rId1586" Type="http://schemas.openxmlformats.org/officeDocument/2006/relationships/hyperlink" Target="https://afterschools.olc.tw/afterschools/view/33200207230024" TargetMode="External"/><Relationship Id="rId1587" Type="http://schemas.openxmlformats.org/officeDocument/2006/relationships/hyperlink" Target="https://afterschools.olc.tw/afterschools/view/33202307200001" TargetMode="External"/><Relationship Id="rId1588" Type="http://schemas.openxmlformats.org/officeDocument/2006/relationships/hyperlink" Target="https://afterschools.olc.tw/afterschools/view/33202112200002" TargetMode="External"/><Relationship Id="rId1589" Type="http://schemas.openxmlformats.org/officeDocument/2006/relationships/hyperlink" Target="https://afterschools.olc.tw/afterschools/view/33202302030001" TargetMode="External"/><Relationship Id="rId1590" Type="http://schemas.openxmlformats.org/officeDocument/2006/relationships/hyperlink" Target="https://afterschools.olc.tw/afterschools/view/33201803220001" TargetMode="External"/><Relationship Id="rId1591" Type="http://schemas.openxmlformats.org/officeDocument/2006/relationships/hyperlink" Target="https://afterschools.olc.tw/afterschools/view/33201203030002" TargetMode="External"/><Relationship Id="rId1592" Type="http://schemas.openxmlformats.org/officeDocument/2006/relationships/hyperlink" Target="https://afterschools.olc.tw/afterschools/view/33201809130001" TargetMode="External"/><Relationship Id="rId1593" Type="http://schemas.openxmlformats.org/officeDocument/2006/relationships/hyperlink" Target="https://afterschools.olc.tw/afterschools/view/33202103190001" TargetMode="External"/><Relationship Id="rId1594" Type="http://schemas.openxmlformats.org/officeDocument/2006/relationships/hyperlink" Target="https://afterschools.olc.tw/afterschools/view/33202106160001" TargetMode="External"/><Relationship Id="rId1595" Type="http://schemas.openxmlformats.org/officeDocument/2006/relationships/hyperlink" Target="https://afterschools.olc.tw/afterschools/view/33201304120002" TargetMode="External"/><Relationship Id="rId1596" Type="http://schemas.openxmlformats.org/officeDocument/2006/relationships/hyperlink" Target="https://afterschools.olc.tw/afterschools/view/33201908230001" TargetMode="External"/><Relationship Id="rId1597" Type="http://schemas.openxmlformats.org/officeDocument/2006/relationships/hyperlink" Target="https://afterschools.olc.tw/afterschools/view/33200908280003" TargetMode="External"/><Relationship Id="rId1598" Type="http://schemas.openxmlformats.org/officeDocument/2006/relationships/hyperlink" Target="https://afterschools.olc.tw/afterschools/view/33200804280006" TargetMode="External"/><Relationship Id="rId1599" Type="http://schemas.openxmlformats.org/officeDocument/2006/relationships/hyperlink" Target="https://afterschools.olc.tw/afterschools/view/33201304120001" TargetMode="External"/><Relationship Id="rId1600" Type="http://schemas.openxmlformats.org/officeDocument/2006/relationships/hyperlink" Target="https://afterschools.olc.tw/afterschools/view/33202111030001" TargetMode="External"/><Relationship Id="rId1601" Type="http://schemas.openxmlformats.org/officeDocument/2006/relationships/hyperlink" Target="https://afterschools.olc.tw/afterschools/view/33202511200001" TargetMode="External"/><Relationship Id="rId1602" Type="http://schemas.openxmlformats.org/officeDocument/2006/relationships/hyperlink" Target="https://afterschools.olc.tw/afterschools/view/33201104120002" TargetMode="External"/><Relationship Id="rId1603" Type="http://schemas.openxmlformats.org/officeDocument/2006/relationships/hyperlink" Target="https://afterschools.olc.tw/afterschools/view/33201109150001" TargetMode="External"/><Relationship Id="rId1604" Type="http://schemas.openxmlformats.org/officeDocument/2006/relationships/hyperlink" Target="https://afterschools.olc.tw/afterschools/view/33201804260001" TargetMode="External"/><Relationship Id="rId1605" Type="http://schemas.openxmlformats.org/officeDocument/2006/relationships/hyperlink" Target="https://afterschools.olc.tw/afterschools/view/33202603100001" TargetMode="External"/><Relationship Id="rId1606" Type="http://schemas.openxmlformats.org/officeDocument/2006/relationships/hyperlink" Target="https://afterschools.olc.tw/afterschools/view/33202012160001" TargetMode="External"/><Relationship Id="rId1607" Type="http://schemas.openxmlformats.org/officeDocument/2006/relationships/hyperlink" Target="https://afterschools.olc.tw/afterschools/view/33200211190014" TargetMode="External"/><Relationship Id="rId1608" Type="http://schemas.openxmlformats.org/officeDocument/2006/relationships/hyperlink" Target="https://afterschools.olc.tw/afterschools/view/33202305040001" TargetMode="External"/><Relationship Id="rId1609" Type="http://schemas.openxmlformats.org/officeDocument/2006/relationships/hyperlink" Target="https://afterschools.olc.tw/afterschools/view/33200507120001" TargetMode="External"/><Relationship Id="rId1610" Type="http://schemas.openxmlformats.org/officeDocument/2006/relationships/hyperlink" Target="https://afterschools.olc.tw/afterschools/view/33200911200002" TargetMode="External"/><Relationship Id="rId1611" Type="http://schemas.openxmlformats.org/officeDocument/2006/relationships/hyperlink" Target="https://afterschools.olc.tw/afterschools/view/33200209160016" TargetMode="External"/><Relationship Id="rId1612" Type="http://schemas.openxmlformats.org/officeDocument/2006/relationships/hyperlink" Target="https://afterschools.olc.tw/afterschools/view/33202304060001" TargetMode="External"/><Relationship Id="rId1613" Type="http://schemas.openxmlformats.org/officeDocument/2006/relationships/hyperlink" Target="https://afterschools.olc.tw/afterschools/view/33202010160001" TargetMode="External"/><Relationship Id="rId1614" Type="http://schemas.openxmlformats.org/officeDocument/2006/relationships/hyperlink" Target="https://afterschools.olc.tw/afterschools/view/33202402260001" TargetMode="External"/><Relationship Id="rId1615" Type="http://schemas.openxmlformats.org/officeDocument/2006/relationships/hyperlink" Target="https://afterschools.olc.tw/afterschools/view/33200208210001" TargetMode="External"/><Relationship Id="rId1616" Type="http://schemas.openxmlformats.org/officeDocument/2006/relationships/hyperlink" Target="https://afterschools.olc.tw/afterschools/view/33200208200008" TargetMode="External"/><Relationship Id="rId1617" Type="http://schemas.openxmlformats.org/officeDocument/2006/relationships/hyperlink" Target="https://afterschools.olc.tw/afterschools/view/33201710050001" TargetMode="External"/><Relationship Id="rId1618" Type="http://schemas.openxmlformats.org/officeDocument/2006/relationships/hyperlink" Target="https://afterschools.olc.tw/afterschools/view/33201810190001" TargetMode="External"/><Relationship Id="rId1619" Type="http://schemas.openxmlformats.org/officeDocument/2006/relationships/hyperlink" Target="https://afterschools.olc.tw/afterschools/view/33200610050002" TargetMode="External"/><Relationship Id="rId1620" Type="http://schemas.openxmlformats.org/officeDocument/2006/relationships/hyperlink" Target="https://afterschools.olc.tw/afterschools/view/33201202230001" TargetMode="External"/><Relationship Id="rId1621" Type="http://schemas.openxmlformats.org/officeDocument/2006/relationships/hyperlink" Target="https://afterschools.olc.tw/afterschools/view/33200810060001" TargetMode="External"/><Relationship Id="rId1622" Type="http://schemas.openxmlformats.org/officeDocument/2006/relationships/hyperlink" Target="https://afterschools.olc.tw/afterschools/view/33200505230002" TargetMode="External"/><Relationship Id="rId1623" Type="http://schemas.openxmlformats.org/officeDocument/2006/relationships/hyperlink" Target="https://afterschools.olc.tw/afterschools/view/33201912090002" TargetMode="External"/><Relationship Id="rId1624" Type="http://schemas.openxmlformats.org/officeDocument/2006/relationships/hyperlink" Target="https://afterschools.olc.tw/afterschools/view/33202202090001" TargetMode="External"/><Relationship Id="rId1625" Type="http://schemas.openxmlformats.org/officeDocument/2006/relationships/hyperlink" Target="https://afterschools.olc.tw/afterschools/view/33202203290001" TargetMode="External"/><Relationship Id="rId1626" Type="http://schemas.openxmlformats.org/officeDocument/2006/relationships/hyperlink" Target="https://afterschools.olc.tw/afterschools/view/33201005130001" TargetMode="External"/><Relationship Id="rId1627" Type="http://schemas.openxmlformats.org/officeDocument/2006/relationships/hyperlink" Target="https://afterschools.olc.tw/afterschools/view/33202407040002" TargetMode="External"/><Relationship Id="rId1628" Type="http://schemas.openxmlformats.org/officeDocument/2006/relationships/hyperlink" Target="https://afterschools.olc.tw/afterschools/view/33201809040001" TargetMode="External"/><Relationship Id="rId1629" Type="http://schemas.openxmlformats.org/officeDocument/2006/relationships/hyperlink" Target="https://afterschools.olc.tw/afterschools/view/33200312150002" TargetMode="External"/><Relationship Id="rId1630" Type="http://schemas.openxmlformats.org/officeDocument/2006/relationships/hyperlink" Target="https://afterschools.olc.tw/afterschools/view/33202508130001" TargetMode="External"/><Relationship Id="rId1631" Type="http://schemas.openxmlformats.org/officeDocument/2006/relationships/hyperlink" Target="https://afterschools.olc.tw/afterschools/view/33202511060001" TargetMode="External"/><Relationship Id="rId1632" Type="http://schemas.openxmlformats.org/officeDocument/2006/relationships/hyperlink" Target="https://afterschools.olc.tw/afterschools/view/33202606300001" TargetMode="External"/><Relationship Id="rId1633" Type="http://schemas.openxmlformats.org/officeDocument/2006/relationships/hyperlink" Target="https://afterschools.olc.tw/afterschools/view/33200902250001" TargetMode="External"/><Relationship Id="rId1634" Type="http://schemas.openxmlformats.org/officeDocument/2006/relationships/hyperlink" Target="https://afterschools.olc.tw/afterschools/view/33202110290001" TargetMode="External"/><Relationship Id="rId1635" Type="http://schemas.openxmlformats.org/officeDocument/2006/relationships/hyperlink" Target="https://afterschools.olc.tw/afterschools/view/33201108110001" TargetMode="External"/><Relationship Id="rId1636" Type="http://schemas.openxmlformats.org/officeDocument/2006/relationships/hyperlink" Target="https://afterschools.olc.tw/afterschools/view/33202404100001" TargetMode="External"/><Relationship Id="rId1637" Type="http://schemas.openxmlformats.org/officeDocument/2006/relationships/hyperlink" Target="https://afterschools.olc.tw/afterschools/view/33202601080001" TargetMode="External"/><Relationship Id="rId1638" Type="http://schemas.openxmlformats.org/officeDocument/2006/relationships/hyperlink" Target="https://afterschools.olc.tw/afterschools/view/33202603100002" TargetMode="External"/><Relationship Id="rId1639" Type="http://schemas.openxmlformats.org/officeDocument/2006/relationships/hyperlink" Target="https://afterschools.olc.tw/afterschools/view/33202406120001" TargetMode="External"/><Relationship Id="rId1640" Type="http://schemas.openxmlformats.org/officeDocument/2006/relationships/hyperlink" Target="https://afterschools.olc.tw/afterschools/view/33201712190001" TargetMode="External"/><Relationship Id="rId1641" Type="http://schemas.openxmlformats.org/officeDocument/2006/relationships/hyperlink" Target="https://afterschools.olc.tw/afterschools/view/33200507110008" TargetMode="External"/><Relationship Id="rId1642" Type="http://schemas.openxmlformats.org/officeDocument/2006/relationships/hyperlink" Target="https://afterschools.olc.tw/afterschools/view/33202109060001" TargetMode="External"/><Relationship Id="rId1643" Type="http://schemas.openxmlformats.org/officeDocument/2006/relationships/hyperlink" Target="https://afterschools.olc.tw/afterschools/view/33202002130001" TargetMode="External"/><Relationship Id="rId1644" Type="http://schemas.openxmlformats.org/officeDocument/2006/relationships/hyperlink" Target="https://afterschools.olc.tw/afterschools/view/33200209160012" TargetMode="External"/><Relationship Id="rId1645" Type="http://schemas.openxmlformats.org/officeDocument/2006/relationships/hyperlink" Target="https://afterschools.olc.tw/afterschools/view/33201904010001" TargetMode="External"/><Relationship Id="rId1646" Type="http://schemas.openxmlformats.org/officeDocument/2006/relationships/hyperlink" Target="https://afterschools.olc.tw/afterschools/view/33201008180001" TargetMode="External"/><Relationship Id="rId1647" Type="http://schemas.openxmlformats.org/officeDocument/2006/relationships/hyperlink" Target="https://afterschools.olc.tw/afterschools/view/33200507080004" TargetMode="External"/><Relationship Id="rId1648" Type="http://schemas.openxmlformats.org/officeDocument/2006/relationships/hyperlink" Target="https://afterschools.olc.tw/afterschools/view/33200806180001" TargetMode="External"/><Relationship Id="rId1649" Type="http://schemas.openxmlformats.org/officeDocument/2006/relationships/hyperlink" Target="https://afterschools.olc.tw/afterschools/view/33201701090003" TargetMode="External"/><Relationship Id="rId1650" Type="http://schemas.openxmlformats.org/officeDocument/2006/relationships/hyperlink" Target="https://afterschools.olc.tw/afterschools/view/33200507040007" TargetMode="External"/><Relationship Id="rId1651" Type="http://schemas.openxmlformats.org/officeDocument/2006/relationships/hyperlink" Target="https://afterschools.olc.tw/afterschools/view/33200711120002" TargetMode="External"/><Relationship Id="rId1652" Type="http://schemas.openxmlformats.org/officeDocument/2006/relationships/hyperlink" Target="https://afterschools.olc.tw/afterschools/view/33201107180001" TargetMode="External"/><Relationship Id="rId1653" Type="http://schemas.openxmlformats.org/officeDocument/2006/relationships/hyperlink" Target="https://afterschools.olc.tw/afterschools/view/33201601040001" TargetMode="External"/><Relationship Id="rId1654" Type="http://schemas.openxmlformats.org/officeDocument/2006/relationships/hyperlink" Target="https://afterschools.olc.tw/afterschools/view/33200304290006" TargetMode="External"/><Relationship Id="rId1655" Type="http://schemas.openxmlformats.org/officeDocument/2006/relationships/hyperlink" Target="https://afterschools.olc.tw/afterschools/view/33200507120003" TargetMode="External"/><Relationship Id="rId1656" Type="http://schemas.openxmlformats.org/officeDocument/2006/relationships/hyperlink" Target="https://afterschools.olc.tw/afterschools/view/33202307250001" TargetMode="External"/><Relationship Id="rId1657" Type="http://schemas.openxmlformats.org/officeDocument/2006/relationships/hyperlink" Target="https://afterschools.olc.tw/afterschools/view/33202003240001" TargetMode="External"/><Relationship Id="rId1658" Type="http://schemas.openxmlformats.org/officeDocument/2006/relationships/hyperlink" Target="https://afterschools.olc.tw/afterschools/view/33201212100003" TargetMode="External"/><Relationship Id="rId1659" Type="http://schemas.openxmlformats.org/officeDocument/2006/relationships/hyperlink" Target="https://afterschools.olc.tw/afterschools/view/33200304290002" TargetMode="External"/><Relationship Id="rId1660" Type="http://schemas.openxmlformats.org/officeDocument/2006/relationships/hyperlink" Target="https://afterschools.olc.tw/afterschools/view/33202608310001" TargetMode="External"/><Relationship Id="rId1661" Type="http://schemas.openxmlformats.org/officeDocument/2006/relationships/hyperlink" Target="https://afterschools.olc.tw/afterschools/view/33201408260001" TargetMode="External"/><Relationship Id="rId1662" Type="http://schemas.openxmlformats.org/officeDocument/2006/relationships/hyperlink" Target="https://afterschools.olc.tw/afterschools/view/33202606290002" TargetMode="External"/><Relationship Id="rId1663" Type="http://schemas.openxmlformats.org/officeDocument/2006/relationships/hyperlink" Target="https://afterschools.olc.tw/afterschools/view/33200806050001" TargetMode="External"/><Relationship Id="rId1664" Type="http://schemas.openxmlformats.org/officeDocument/2006/relationships/hyperlink" Target="https://afterschools.olc.tw/afterschools/view/33200209160004" TargetMode="External"/><Relationship Id="rId1665" Type="http://schemas.openxmlformats.org/officeDocument/2006/relationships/hyperlink" Target="https://afterschools.olc.tw/afterschools/view/33200612140003" TargetMode="External"/><Relationship Id="rId1666" Type="http://schemas.openxmlformats.org/officeDocument/2006/relationships/hyperlink" Target="https://afterschools.olc.tw/afterschools/view/33200207230022" TargetMode="External"/><Relationship Id="rId1667" Type="http://schemas.openxmlformats.org/officeDocument/2006/relationships/hyperlink" Target="https://afterschools.olc.tw/afterschools/view/33202604270001" TargetMode="External"/><Relationship Id="rId1668" Type="http://schemas.openxmlformats.org/officeDocument/2006/relationships/hyperlink" Target="https://afterschools.olc.tw/afterschools/view/33200208200009" TargetMode="External"/><Relationship Id="rId1669" Type="http://schemas.openxmlformats.org/officeDocument/2006/relationships/hyperlink" Target="https://afterschools.olc.tw/afterschools/view/33202410150001" TargetMode="External"/><Relationship Id="rId1670" Type="http://schemas.openxmlformats.org/officeDocument/2006/relationships/hyperlink" Target="https://afterschools.olc.tw/afterschools/view/33201103170005" TargetMode="External"/><Relationship Id="rId1671" Type="http://schemas.openxmlformats.org/officeDocument/2006/relationships/hyperlink" Target="https://afterschools.olc.tw/afterschools/view/33201601060001" TargetMode="External"/><Relationship Id="rId1672" Type="http://schemas.openxmlformats.org/officeDocument/2006/relationships/hyperlink" Target="https://afterschools.olc.tw/afterschools/view/33202601190001" TargetMode="External"/><Relationship Id="rId1673" Type="http://schemas.openxmlformats.org/officeDocument/2006/relationships/hyperlink" Target="https://afterschools.olc.tw/afterschools/view/33202510220001" TargetMode="External"/><Relationship Id="rId1674" Type="http://schemas.openxmlformats.org/officeDocument/2006/relationships/hyperlink" Target="https://afterschools.olc.tw/afterschools/view/33202410110001" TargetMode="External"/><Relationship Id="rId1675" Type="http://schemas.openxmlformats.org/officeDocument/2006/relationships/hyperlink" Target="https://afterschools.olc.tw/afterschools/view/33202505130001" TargetMode="External"/><Relationship Id="rId1676" Type="http://schemas.openxmlformats.org/officeDocument/2006/relationships/hyperlink" Target="https://afterschools.olc.tw/afterschools/view/33202509090002" TargetMode="External"/><Relationship Id="rId1677" Type="http://schemas.openxmlformats.org/officeDocument/2006/relationships/hyperlink" Target="https://afterschools.olc.tw/afterschools/view/33200310010006" TargetMode="External"/><Relationship Id="rId1678" Type="http://schemas.openxmlformats.org/officeDocument/2006/relationships/hyperlink" Target="https://afterschools.olc.tw/afterschools/view/33200311120011" TargetMode="External"/><Relationship Id="rId1679" Type="http://schemas.openxmlformats.org/officeDocument/2006/relationships/hyperlink" Target="https://afterschools.olc.tw/afterschools/view/33202503190001" TargetMode="External"/><Relationship Id="rId1680" Type="http://schemas.openxmlformats.org/officeDocument/2006/relationships/hyperlink" Target="https://afterschools.olc.tw/afterschools/view/33201010190002" TargetMode="External"/><Relationship Id="rId1681" Type="http://schemas.openxmlformats.org/officeDocument/2006/relationships/hyperlink" Target="https://afterschools.olc.tw/afterschools/view/33200210040006" TargetMode="External"/><Relationship Id="rId1682" Type="http://schemas.openxmlformats.org/officeDocument/2006/relationships/hyperlink" Target="https://afterschools.olc.tw/afterschools/view/33201204160001" TargetMode="External"/><Relationship Id="rId1683" Type="http://schemas.openxmlformats.org/officeDocument/2006/relationships/hyperlink" Target="https://afterschools.olc.tw/afterschools/view/33202502260001" TargetMode="External"/><Relationship Id="rId1684" Type="http://schemas.openxmlformats.org/officeDocument/2006/relationships/hyperlink" Target="https://afterschools.olc.tw/afterschools/view/33202501030001" TargetMode="External"/><Relationship Id="rId1685" Type="http://schemas.openxmlformats.org/officeDocument/2006/relationships/hyperlink" Target="https://afterschools.olc.tw/afterschools/view/33202512030001" TargetMode="External"/><Relationship Id="rId1686" Type="http://schemas.openxmlformats.org/officeDocument/2006/relationships/hyperlink" Target="https://afterschools.olc.tw/afterschools/view/33202502130001" TargetMode="External"/><Relationship Id="rId1687" Type="http://schemas.openxmlformats.org/officeDocument/2006/relationships/hyperlink" Target="https://afterschools.olc.tw/afterschools/view/33200702260005" TargetMode="External"/><Relationship Id="rId1688" Type="http://schemas.openxmlformats.org/officeDocument/2006/relationships/hyperlink" Target="https://afterschools.olc.tw/afterschools/view/33202304250001" TargetMode="External"/><Relationship Id="rId1689" Type="http://schemas.openxmlformats.org/officeDocument/2006/relationships/hyperlink" Target="https://afterschools.olc.tw/afterschools/view/33201601050002" TargetMode="External"/><Relationship Id="rId1690" Type="http://schemas.openxmlformats.org/officeDocument/2006/relationships/hyperlink" Target="https://afterschools.olc.tw/afterschools/view/33202507250002" TargetMode="External"/><Relationship Id="rId1691" Type="http://schemas.openxmlformats.org/officeDocument/2006/relationships/hyperlink" Target="https://afterschools.olc.tw/afterschools/view/33202511100002" TargetMode="External"/><Relationship Id="rId1692" Type="http://schemas.openxmlformats.org/officeDocument/2006/relationships/hyperlink" Target="https://afterschools.olc.tw/afterschools/view/33200804280010" TargetMode="External"/><Relationship Id="rId1693" Type="http://schemas.openxmlformats.org/officeDocument/2006/relationships/hyperlink" Target="https://afterschools.olc.tw/afterschools/view/33202512120002" TargetMode="External"/><Relationship Id="rId1694" Type="http://schemas.openxmlformats.org/officeDocument/2006/relationships/hyperlink" Target="https://afterschools.olc.tw/afterschools/view/33202402220001" TargetMode="External"/><Relationship Id="rId1695" Type="http://schemas.openxmlformats.org/officeDocument/2006/relationships/hyperlink" Target="https://afterschools.olc.tw/afterschools/view/33200708140012" TargetMode="External"/><Relationship Id="rId1696" Type="http://schemas.openxmlformats.org/officeDocument/2006/relationships/hyperlink" Target="https://afterschools.olc.tw/afterschools/view/33200707180011" TargetMode="External"/><Relationship Id="rId1697" Type="http://schemas.openxmlformats.org/officeDocument/2006/relationships/hyperlink" Target="https://afterschools.olc.tw/afterschools/view/33202506040001" TargetMode="External"/><Relationship Id="rId1698" Type="http://schemas.openxmlformats.org/officeDocument/2006/relationships/hyperlink" Target="https://afterschools.olc.tw/afterschools/view/33202010080001" TargetMode="External"/><Relationship Id="rId1699" Type="http://schemas.openxmlformats.org/officeDocument/2006/relationships/hyperlink" Target="https://afterschools.olc.tw/afterschools/view/33202606120001" TargetMode="External"/><Relationship Id="rId1700" Type="http://schemas.openxmlformats.org/officeDocument/2006/relationships/hyperlink" Target="https://afterschools.olc.tw/afterschools/view/33202108120001" TargetMode="External"/><Relationship Id="rId1701" Type="http://schemas.openxmlformats.org/officeDocument/2006/relationships/hyperlink" Target="https://afterschools.olc.tw/afterschools/view/33202311130001" TargetMode="External"/><Relationship Id="rId1702" Type="http://schemas.openxmlformats.org/officeDocument/2006/relationships/hyperlink" Target="https://afterschools.olc.tw/afterschools/view/33202406270001" TargetMode="External"/><Relationship Id="rId1703" Type="http://schemas.openxmlformats.org/officeDocument/2006/relationships/hyperlink" Target="https://afterschools.olc.tw/afterschools/view/33202008110001" TargetMode="External"/><Relationship Id="rId1704" Type="http://schemas.openxmlformats.org/officeDocument/2006/relationships/hyperlink" Target="https://afterschools.olc.tw/afterschools/view/33202311060002" TargetMode="External"/><Relationship Id="rId1705" Type="http://schemas.openxmlformats.org/officeDocument/2006/relationships/hyperlink" Target="https://afterschools.olc.tw/afterschools/view/33202302100001" TargetMode="External"/><Relationship Id="rId1706" Type="http://schemas.openxmlformats.org/officeDocument/2006/relationships/hyperlink" Target="https://afterschools.olc.tw/afterschools/view/33201809270001" TargetMode="External"/><Relationship Id="rId1707" Type="http://schemas.openxmlformats.org/officeDocument/2006/relationships/hyperlink" Target="https://afterschools.olc.tw/afterschools/view/33201601060002" TargetMode="External"/><Relationship Id="rId1708" Type="http://schemas.openxmlformats.org/officeDocument/2006/relationships/hyperlink" Target="https://afterschools.olc.tw/afterschools/view/33200405070003" TargetMode="External"/><Relationship Id="rId1709" Type="http://schemas.openxmlformats.org/officeDocument/2006/relationships/hyperlink" Target="https://afterschools.olc.tw/afterschools/view/33202509160001" TargetMode="External"/><Relationship Id="rId1710" Type="http://schemas.openxmlformats.org/officeDocument/2006/relationships/hyperlink" Target="https://afterschools.olc.tw/afterschools/view/33201408260002" TargetMode="External"/><Relationship Id="rId1711" Type="http://schemas.openxmlformats.org/officeDocument/2006/relationships/hyperlink" Target="https://afterschools.olc.tw/afterschools/view/33201403210002" TargetMode="External"/><Relationship Id="rId1712" Type="http://schemas.openxmlformats.org/officeDocument/2006/relationships/hyperlink" Target="https://afterschools.olc.tw/afterschools/view/33202003190001" TargetMode="External"/><Relationship Id="rId1713" Type="http://schemas.openxmlformats.org/officeDocument/2006/relationships/hyperlink" Target="https://afterschools.olc.tw/afterschools/view/33201610310001" TargetMode="External"/><Relationship Id="rId1714" Type="http://schemas.openxmlformats.org/officeDocument/2006/relationships/hyperlink" Target="https://afterschools.olc.tw/afterschools/view/33200611060003" TargetMode="External"/><Relationship Id="rId1715" Type="http://schemas.openxmlformats.org/officeDocument/2006/relationships/hyperlink" Target="https://afterschools.olc.tw/afterschools/view/33200510180002" TargetMode="External"/><Relationship Id="rId1716" Type="http://schemas.openxmlformats.org/officeDocument/2006/relationships/hyperlink" Target="https://afterschools.olc.tw/afterschools/view/33201011170001" TargetMode="External"/><Relationship Id="rId1717" Type="http://schemas.openxmlformats.org/officeDocument/2006/relationships/hyperlink" Target="https://afterschools.olc.tw/afterschools/view/33201010050001" TargetMode="External"/><Relationship Id="rId1718" Type="http://schemas.openxmlformats.org/officeDocument/2006/relationships/hyperlink" Target="https://afterschools.olc.tw/afterschools/view/33201808080001" TargetMode="External"/><Relationship Id="rId1719" Type="http://schemas.openxmlformats.org/officeDocument/2006/relationships/hyperlink" Target="https://afterschools.olc.tw/afterschools/view/33200208210016" TargetMode="External"/><Relationship Id="rId1720" Type="http://schemas.openxmlformats.org/officeDocument/2006/relationships/hyperlink" Target="https://afterschools.olc.tw/afterschools/view/33201608290001" TargetMode="External"/><Relationship Id="rId1721" Type="http://schemas.openxmlformats.org/officeDocument/2006/relationships/hyperlink" Target="https://afterschools.olc.tw/afterschools/view/33200911160002" TargetMode="External"/><Relationship Id="rId1722" Type="http://schemas.openxmlformats.org/officeDocument/2006/relationships/hyperlink" Target="https://afterschools.olc.tw/afterschools/view/33202605280001" TargetMode="External"/><Relationship Id="rId1723" Type="http://schemas.openxmlformats.org/officeDocument/2006/relationships/hyperlink" Target="https://afterschools.olc.tw/afterschools/view/33201309170001" TargetMode="External"/><Relationship Id="rId1724" Type="http://schemas.openxmlformats.org/officeDocument/2006/relationships/hyperlink" Target="https://afterschools.olc.tw/afterschools/view/33201601040008" TargetMode="External"/><Relationship Id="rId1725" Type="http://schemas.openxmlformats.org/officeDocument/2006/relationships/hyperlink" Target="https://afterschools.olc.tw/afterschools/view/33200612190003" TargetMode="External"/><Relationship Id="rId1726" Type="http://schemas.openxmlformats.org/officeDocument/2006/relationships/hyperlink" Target="https://afterschools.olc.tw/afterschools/view/33200210040012" TargetMode="External"/><Relationship Id="rId1727" Type="http://schemas.openxmlformats.org/officeDocument/2006/relationships/hyperlink" Target="https://afterschools.olc.tw/afterschools/view/33200208270011" TargetMode="External"/><Relationship Id="rId1728" Type="http://schemas.openxmlformats.org/officeDocument/2006/relationships/hyperlink" Target="https://afterschools.olc.tw/afterschools/view/33202207010001" TargetMode="External"/><Relationship Id="rId1729" Type="http://schemas.openxmlformats.org/officeDocument/2006/relationships/hyperlink" Target="https://afterschools.olc.tw/afterschools/view/33200811250001" TargetMode="External"/><Relationship Id="rId1730" Type="http://schemas.openxmlformats.org/officeDocument/2006/relationships/hyperlink" Target="https://afterschools.olc.tw/afterschools/view/33201601040005" TargetMode="External"/><Relationship Id="rId1731" Type="http://schemas.openxmlformats.org/officeDocument/2006/relationships/hyperlink" Target="https://afterschools.olc.tw/afterschools/view/33200801140001" TargetMode="External"/><Relationship Id="rId1732" Type="http://schemas.openxmlformats.org/officeDocument/2006/relationships/hyperlink" Target="https://afterschools.olc.tw/afterschools/view/33200905060001" TargetMode="External"/><Relationship Id="rId1733" Type="http://schemas.openxmlformats.org/officeDocument/2006/relationships/hyperlink" Target="https://afterschools.olc.tw/afterschools/view/33200209170010" TargetMode="External"/><Relationship Id="rId1734" Type="http://schemas.openxmlformats.org/officeDocument/2006/relationships/hyperlink" Target="https://afterschools.olc.tw/afterschools/view/33200611070002" TargetMode="External"/><Relationship Id="rId1735" Type="http://schemas.openxmlformats.org/officeDocument/2006/relationships/hyperlink" Target="https://afterschools.olc.tw/afterschools/view/33202409040001" TargetMode="External"/><Relationship Id="rId1736" Type="http://schemas.openxmlformats.org/officeDocument/2006/relationships/hyperlink" Target="https://afterschools.olc.tw/afterschools/view/33202504230001" TargetMode="External"/><Relationship Id="rId1737" Type="http://schemas.openxmlformats.org/officeDocument/2006/relationships/hyperlink" Target="https://afterschools.olc.tw/afterschools/view/33201912180001" TargetMode="External"/><Relationship Id="rId1738" Type="http://schemas.openxmlformats.org/officeDocument/2006/relationships/hyperlink" Target="https://afterschools.olc.tw/afterschools/view/33202401310001" TargetMode="External"/><Relationship Id="rId1739" Type="http://schemas.openxmlformats.org/officeDocument/2006/relationships/hyperlink" Target="https://afterschools.olc.tw/afterschools/view/33201407140002" TargetMode="External"/><Relationship Id="rId1740" Type="http://schemas.openxmlformats.org/officeDocument/2006/relationships/hyperlink" Target="https://afterschools.olc.tw/afterschools/view/33200208200020" TargetMode="External"/><Relationship Id="rId1741" Type="http://schemas.openxmlformats.org/officeDocument/2006/relationships/hyperlink" Target="https://afterschools.olc.tw/afterschools/view/33200708140020" TargetMode="External"/><Relationship Id="rId1742" Type="http://schemas.openxmlformats.org/officeDocument/2006/relationships/hyperlink" Target="https://afterschools.olc.tw/afterschools/view/33201703030001" TargetMode="External"/><Relationship Id="rId1743" Type="http://schemas.openxmlformats.org/officeDocument/2006/relationships/hyperlink" Target="https://afterschools.olc.tw/afterschools/view/33200207230007" TargetMode="External"/><Relationship Id="rId1744" Type="http://schemas.openxmlformats.org/officeDocument/2006/relationships/hyperlink" Target="https://afterschools.olc.tw/afterschools/view/33200209180023" TargetMode="External"/><Relationship Id="rId1745" Type="http://schemas.openxmlformats.org/officeDocument/2006/relationships/hyperlink" Target="https://afterschools.olc.tw/afterschools/view/33200405270006" TargetMode="External"/><Relationship Id="rId1746" Type="http://schemas.openxmlformats.org/officeDocument/2006/relationships/hyperlink" Target="https://afterschools.olc.tw/afterschools/view/33201710240001" TargetMode="External"/><Relationship Id="rId1747" Type="http://schemas.openxmlformats.org/officeDocument/2006/relationships/hyperlink" Target="https://afterschools.olc.tw/afterschools/view/33200208210013" TargetMode="External"/><Relationship Id="rId1748" Type="http://schemas.openxmlformats.org/officeDocument/2006/relationships/hyperlink" Target="https://afterschools.olc.tw/afterschools/view/33201212170001" TargetMode="External"/><Relationship Id="rId1749" Type="http://schemas.openxmlformats.org/officeDocument/2006/relationships/hyperlink" Target="https://afterschools.olc.tw/afterschools/view/33200507060013" TargetMode="External"/><Relationship Id="rId1750" Type="http://schemas.openxmlformats.org/officeDocument/2006/relationships/hyperlink" Target="https://afterschools.olc.tw/afterschools/view/33200209180032" TargetMode="External"/><Relationship Id="rId1751" Type="http://schemas.openxmlformats.org/officeDocument/2006/relationships/hyperlink" Target="https://afterschools.olc.tw/afterschools/view/33202406200001" TargetMode="External"/><Relationship Id="rId1752" Type="http://schemas.openxmlformats.org/officeDocument/2006/relationships/hyperlink" Target="https://afterschools.olc.tw/afterschools/view/33200810280005" TargetMode="External"/><Relationship Id="rId1753" Type="http://schemas.openxmlformats.org/officeDocument/2006/relationships/hyperlink" Target="https://afterschools.olc.tw/afterschools/view/33200207220023" TargetMode="External"/><Relationship Id="rId1754" Type="http://schemas.openxmlformats.org/officeDocument/2006/relationships/hyperlink" Target="https://afterschools.olc.tw/afterschools/view/33200809190002" TargetMode="External"/><Relationship Id="rId1755" Type="http://schemas.openxmlformats.org/officeDocument/2006/relationships/hyperlink" Target="https://afterschools.olc.tw/afterschools/view/33201001050002" TargetMode="External"/><Relationship Id="rId1756" Type="http://schemas.openxmlformats.org/officeDocument/2006/relationships/hyperlink" Target="https://afterschools.olc.tw/afterschools/view/33201805250001" TargetMode="External"/><Relationship Id="rId1757" Type="http://schemas.openxmlformats.org/officeDocument/2006/relationships/hyperlink" Target="https://afterschools.olc.tw/afterschools/view/33201501270002" TargetMode="External"/><Relationship Id="rId1758" Type="http://schemas.openxmlformats.org/officeDocument/2006/relationships/hyperlink" Target="https://afterschools.olc.tw/afterschools/view/33201403110005" TargetMode="External"/><Relationship Id="rId1759" Type="http://schemas.openxmlformats.org/officeDocument/2006/relationships/hyperlink" Target="https://afterschools.olc.tw/afterschools/view/33200510210002" TargetMode="External"/><Relationship Id="rId1760" Type="http://schemas.openxmlformats.org/officeDocument/2006/relationships/hyperlink" Target="https://afterschools.olc.tw/afterschools/view/33200210010008" TargetMode="External"/><Relationship Id="rId1761" Type="http://schemas.openxmlformats.org/officeDocument/2006/relationships/hyperlink" Target="https://afterschools.olc.tw/afterschools/view/33200809220003" TargetMode="External"/><Relationship Id="rId1762" Type="http://schemas.openxmlformats.org/officeDocument/2006/relationships/hyperlink" Target="https://afterschools.olc.tw/afterschools/view/33200208200005" TargetMode="External"/><Relationship Id="rId1763" Type="http://schemas.openxmlformats.org/officeDocument/2006/relationships/hyperlink" Target="https://afterschools.olc.tw/afterschools/view/33201306140001" TargetMode="External"/><Relationship Id="rId1764" Type="http://schemas.openxmlformats.org/officeDocument/2006/relationships/hyperlink" Target="https://afterschools.olc.tw/afterschools/view/33201906190001" TargetMode="External"/><Relationship Id="rId1765" Type="http://schemas.openxmlformats.org/officeDocument/2006/relationships/hyperlink" Target="https://afterschools.olc.tw/afterschools/view/33200701160002" TargetMode="External"/><Relationship Id="rId1766" Type="http://schemas.openxmlformats.org/officeDocument/2006/relationships/hyperlink" Target="https://afterschools.olc.tw/afterschools/view/33201212100002" TargetMode="External"/><Relationship Id="rId1767" Type="http://schemas.openxmlformats.org/officeDocument/2006/relationships/hyperlink" Target="https://afterschools.olc.tw/afterschools/view/33200810280003" TargetMode="External"/><Relationship Id="rId1768" Type="http://schemas.openxmlformats.org/officeDocument/2006/relationships/hyperlink" Target="https://afterschools.olc.tw/afterschools/view/33200212020001" TargetMode="External"/><Relationship Id="rId1769" Type="http://schemas.openxmlformats.org/officeDocument/2006/relationships/hyperlink" Target="https://afterschools.olc.tw/afterschools/view/33202507170002" TargetMode="External"/><Relationship Id="rId1770" Type="http://schemas.openxmlformats.org/officeDocument/2006/relationships/hyperlink" Target="https://afterschools.olc.tw/afterschools/view/33200403100003" TargetMode="External"/><Relationship Id="rId1771" Type="http://schemas.openxmlformats.org/officeDocument/2006/relationships/hyperlink" Target="https://afterschools.olc.tw/afterschools/view/33200912250001" TargetMode="External"/><Relationship Id="rId1772" Type="http://schemas.openxmlformats.org/officeDocument/2006/relationships/hyperlink" Target="https://afterschools.olc.tw/afterschools/view/33201910230002" TargetMode="External"/><Relationship Id="rId1773" Type="http://schemas.openxmlformats.org/officeDocument/2006/relationships/hyperlink" Target="https://afterschools.olc.tw/afterschools/view/33201411140003" TargetMode="External"/><Relationship Id="rId1774" Type="http://schemas.openxmlformats.org/officeDocument/2006/relationships/hyperlink" Target="https://afterschools.olc.tw/afterschools/view/33201708040001" TargetMode="External"/><Relationship Id="rId1775" Type="http://schemas.openxmlformats.org/officeDocument/2006/relationships/hyperlink" Target="https://afterschools.olc.tw/afterschools/view/33200212020002" TargetMode="External"/><Relationship Id="rId1776" Type="http://schemas.openxmlformats.org/officeDocument/2006/relationships/hyperlink" Target="https://afterschools.olc.tw/afterschools/view/33202005280001" TargetMode="External"/><Relationship Id="rId1777" Type="http://schemas.openxmlformats.org/officeDocument/2006/relationships/hyperlink" Target="https://afterschools.olc.tw/afterschools/view/33201311280005" TargetMode="External"/><Relationship Id="rId1778" Type="http://schemas.openxmlformats.org/officeDocument/2006/relationships/hyperlink" Target="https://afterschools.olc.tw/afterschools/view/33202204150001" TargetMode="External"/><Relationship Id="rId1779" Type="http://schemas.openxmlformats.org/officeDocument/2006/relationships/hyperlink" Target="https://afterschools.olc.tw/afterschools/view/33200301220007" TargetMode="External"/><Relationship Id="rId1780" Type="http://schemas.openxmlformats.org/officeDocument/2006/relationships/hyperlink" Target="https://afterschools.olc.tw/afterschools/view/33200210160001" TargetMode="External"/><Relationship Id="rId1781" Type="http://schemas.openxmlformats.org/officeDocument/2006/relationships/hyperlink" Target="https://afterschools.olc.tw/afterschools/view/33201003030002" TargetMode="External"/><Relationship Id="rId1782" Type="http://schemas.openxmlformats.org/officeDocument/2006/relationships/hyperlink" Target="https://afterschools.olc.tw/afterschools/view/33201907230001" TargetMode="External"/><Relationship Id="rId1783" Type="http://schemas.openxmlformats.org/officeDocument/2006/relationships/hyperlink" Target="https://afterschools.olc.tw/afterschools/view/33200402030009" TargetMode="External"/><Relationship Id="rId1784" Type="http://schemas.openxmlformats.org/officeDocument/2006/relationships/hyperlink" Target="https://afterschools.olc.tw/afterschools/view/33200207230003" TargetMode="External"/><Relationship Id="rId1785" Type="http://schemas.openxmlformats.org/officeDocument/2006/relationships/hyperlink" Target="https://afterschools.olc.tw/afterschools/view/33200707180003" TargetMode="External"/><Relationship Id="rId1786" Type="http://schemas.openxmlformats.org/officeDocument/2006/relationships/hyperlink" Target="https://afterschools.olc.tw/afterschools/view/33200804290019" TargetMode="External"/><Relationship Id="rId1787" Type="http://schemas.openxmlformats.org/officeDocument/2006/relationships/hyperlink" Target="https://afterschools.olc.tw/afterschools/view/33200507060007" TargetMode="External"/><Relationship Id="rId1788" Type="http://schemas.openxmlformats.org/officeDocument/2006/relationships/hyperlink" Target="https://afterschools.olc.tw/afterschools/view/33200701020003" TargetMode="External"/><Relationship Id="rId1789" Type="http://schemas.openxmlformats.org/officeDocument/2006/relationships/hyperlink" Target="https://afterschools.olc.tw/afterschools/view/33202410160001" TargetMode="External"/><Relationship Id="rId1790" Type="http://schemas.openxmlformats.org/officeDocument/2006/relationships/hyperlink" Target="https://afterschools.olc.tw/afterschools/view/33202109130002" TargetMode="External"/><Relationship Id="rId1791" Type="http://schemas.openxmlformats.org/officeDocument/2006/relationships/hyperlink" Target="https://afterschools.olc.tw/afterschools/view/33201102230002" TargetMode="External"/><Relationship Id="rId1792" Type="http://schemas.openxmlformats.org/officeDocument/2006/relationships/hyperlink" Target="https://afterschools.olc.tw/afterschools/view/33201003090001" TargetMode="External"/><Relationship Id="rId1793" Type="http://schemas.openxmlformats.org/officeDocument/2006/relationships/hyperlink" Target="https://afterschools.olc.tw/afterschools/view/33200208270003" TargetMode="External"/><Relationship Id="rId1794" Type="http://schemas.openxmlformats.org/officeDocument/2006/relationships/hyperlink" Target="https://afterschools.olc.tw/afterschools/view/33202201190001" TargetMode="External"/><Relationship Id="rId1795" Type="http://schemas.openxmlformats.org/officeDocument/2006/relationships/hyperlink" Target="https://afterschools.olc.tw/afterschools/view/33200208200025" TargetMode="External"/><Relationship Id="rId1796" Type="http://schemas.openxmlformats.org/officeDocument/2006/relationships/hyperlink" Target="https://afterschools.olc.tw/afterschools/view/33200612220006" TargetMode="External"/><Relationship Id="rId1797" Type="http://schemas.openxmlformats.org/officeDocument/2006/relationships/hyperlink" Target="https://afterschools.olc.tw/afterschools/view/33200910290001" TargetMode="External"/><Relationship Id="rId1798" Type="http://schemas.openxmlformats.org/officeDocument/2006/relationships/hyperlink" Target="https://afterschools.olc.tw/afterschools/view/33201209240002" TargetMode="External"/><Relationship Id="rId1799" Type="http://schemas.openxmlformats.org/officeDocument/2006/relationships/hyperlink" Target="https://afterschools.olc.tw/afterschools/view/33200207250018" TargetMode="External"/><Relationship Id="rId1800" Type="http://schemas.openxmlformats.org/officeDocument/2006/relationships/hyperlink" Target="https://afterschools.olc.tw/afterschools/view/33201509030002" TargetMode="External"/><Relationship Id="rId1801" Type="http://schemas.openxmlformats.org/officeDocument/2006/relationships/hyperlink" Target="https://afterschools.olc.tw/afterschools/view/33201110070003" TargetMode="External"/><Relationship Id="rId1802" Type="http://schemas.openxmlformats.org/officeDocument/2006/relationships/hyperlink" Target="https://afterschools.olc.tw/afterschools/view/33201306140002" TargetMode="External"/><Relationship Id="rId1803" Type="http://schemas.openxmlformats.org/officeDocument/2006/relationships/hyperlink" Target="https://afterschools.olc.tw/afterschools/view/33200701250004" TargetMode="External"/><Relationship Id="rId1804" Type="http://schemas.openxmlformats.org/officeDocument/2006/relationships/hyperlink" Target="https://afterschools.olc.tw/afterschools/view/33200812170001" TargetMode="External"/><Relationship Id="rId1805" Type="http://schemas.openxmlformats.org/officeDocument/2006/relationships/hyperlink" Target="https://afterschools.olc.tw/afterschools/view/33200701020001" TargetMode="External"/><Relationship Id="rId1806" Type="http://schemas.openxmlformats.org/officeDocument/2006/relationships/hyperlink" Target="https://afterschools.olc.tw/afterschools/view/33201103080002" TargetMode="External"/><Relationship Id="rId1807" Type="http://schemas.openxmlformats.org/officeDocument/2006/relationships/hyperlink" Target="https://afterschools.olc.tw/afterschools/view/33202011230001" TargetMode="External"/><Relationship Id="rId1808" Type="http://schemas.openxmlformats.org/officeDocument/2006/relationships/hyperlink" Target="https://afterschools.olc.tw/afterschools/view/33202512310001" TargetMode="External"/><Relationship Id="rId1809" Type="http://schemas.openxmlformats.org/officeDocument/2006/relationships/hyperlink" Target="https://afterschools.olc.tw/afterschools/view/33202206220001" TargetMode="External"/><Relationship Id="rId1810" Type="http://schemas.openxmlformats.org/officeDocument/2006/relationships/hyperlink" Target="https://afterschools.olc.tw/afterschools/view/33201412250003" TargetMode="External"/><Relationship Id="rId1811" Type="http://schemas.openxmlformats.org/officeDocument/2006/relationships/hyperlink" Target="https://afterschools.olc.tw/afterschools/view/33201908020001" TargetMode="External"/><Relationship Id="rId1812" Type="http://schemas.openxmlformats.org/officeDocument/2006/relationships/hyperlink" Target="https://afterschools.olc.tw/afterschools/view/33202206160002" TargetMode="External"/><Relationship Id="rId1813" Type="http://schemas.openxmlformats.org/officeDocument/2006/relationships/hyperlink" Target="https://afterschools.olc.tw/afterschools/view/33200207220028" TargetMode="External"/><Relationship Id="rId1814" Type="http://schemas.openxmlformats.org/officeDocument/2006/relationships/hyperlink" Target="https://afterschools.olc.tw/afterschools/view/33200612290001" TargetMode="External"/><Relationship Id="rId1815" Type="http://schemas.openxmlformats.org/officeDocument/2006/relationships/hyperlink" Target="https://afterschools.olc.tw/afterschools/view/33201307240001" TargetMode="External"/><Relationship Id="rId1816" Type="http://schemas.openxmlformats.org/officeDocument/2006/relationships/hyperlink" Target="https://afterschools.olc.tw/afterschools/view/33201103080001" TargetMode="External"/><Relationship Id="rId1817" Type="http://schemas.openxmlformats.org/officeDocument/2006/relationships/hyperlink" Target="https://afterschools.olc.tw/afterschools/view/33201111220004" TargetMode="External"/><Relationship Id="rId1818" Type="http://schemas.openxmlformats.org/officeDocument/2006/relationships/hyperlink" Target="https://afterschools.olc.tw/afterschools/view/33200811100001" TargetMode="External"/><Relationship Id="rId1819" Type="http://schemas.openxmlformats.org/officeDocument/2006/relationships/hyperlink" Target="https://afterschools.olc.tw/afterschools/view/33200612280001" TargetMode="External"/><Relationship Id="rId1820" Type="http://schemas.openxmlformats.org/officeDocument/2006/relationships/hyperlink" Target="https://afterschools.olc.tw/afterschools/view/33200503310010" TargetMode="External"/><Relationship Id="rId1821" Type="http://schemas.openxmlformats.org/officeDocument/2006/relationships/hyperlink" Target="https://afterschools.olc.tw/afterschools/view/33200208270007" TargetMode="External"/><Relationship Id="rId1822" Type="http://schemas.openxmlformats.org/officeDocument/2006/relationships/hyperlink" Target="https://afterschools.olc.tw/afterschools/view/33200705040001" TargetMode="External"/><Relationship Id="rId1823" Type="http://schemas.openxmlformats.org/officeDocument/2006/relationships/hyperlink" Target="https://afterschools.olc.tw/afterschools/view/33200207230032" TargetMode="External"/><Relationship Id="rId1824" Type="http://schemas.openxmlformats.org/officeDocument/2006/relationships/hyperlink" Target="https://afterschools.olc.tw/afterschools/view/33201904180001" TargetMode="External"/><Relationship Id="rId1825" Type="http://schemas.openxmlformats.org/officeDocument/2006/relationships/hyperlink" Target="https://afterschools.olc.tw/afterschools/view/33200612140010" TargetMode="External"/><Relationship Id="rId1826" Type="http://schemas.openxmlformats.org/officeDocument/2006/relationships/hyperlink" Target="https://afterschools.olc.tw/afterschools/view/33200612220003" TargetMode="External"/><Relationship Id="rId1827" Type="http://schemas.openxmlformats.org/officeDocument/2006/relationships/hyperlink" Target="https://afterschools.olc.tw/afterschools/view/33201605190001" TargetMode="External"/><Relationship Id="rId1828" Type="http://schemas.openxmlformats.org/officeDocument/2006/relationships/hyperlink" Target="https://afterschools.olc.tw/afterschools/view/33201407310003" TargetMode="External"/><Relationship Id="rId1829" Type="http://schemas.openxmlformats.org/officeDocument/2006/relationships/hyperlink" Target="https://afterschools.olc.tw/afterschools/view/33202605110001" TargetMode="External"/><Relationship Id="rId1830" Type="http://schemas.openxmlformats.org/officeDocument/2006/relationships/hyperlink" Target="https://afterschools.olc.tw/afterschools/view/33202512120001" TargetMode="External"/><Relationship Id="rId1831" Type="http://schemas.openxmlformats.org/officeDocument/2006/relationships/hyperlink" Target="https://afterschools.olc.tw/afterschools/view/33200805200005" TargetMode="External"/><Relationship Id="rId1832" Type="http://schemas.openxmlformats.org/officeDocument/2006/relationships/hyperlink" Target="https://afterschools.olc.tw/afterschools/view/33200208050043" TargetMode="External"/><Relationship Id="rId1833" Type="http://schemas.openxmlformats.org/officeDocument/2006/relationships/hyperlink" Target="https://afterschools.olc.tw/afterschools/view/33202108060001" TargetMode="External"/><Relationship Id="rId1834" Type="http://schemas.openxmlformats.org/officeDocument/2006/relationships/hyperlink" Target="https://afterschools.olc.tw/afterschools/view/33201906050001" TargetMode="External"/><Relationship Id="rId1835" Type="http://schemas.openxmlformats.org/officeDocument/2006/relationships/hyperlink" Target="https://afterschools.olc.tw/afterschools/view/33201805280001" TargetMode="External"/><Relationship Id="rId1836" Type="http://schemas.openxmlformats.org/officeDocument/2006/relationships/hyperlink" Target="https://afterschools.olc.tw/afterschools/view/33201812240001" TargetMode="External"/><Relationship Id="rId1837" Type="http://schemas.openxmlformats.org/officeDocument/2006/relationships/hyperlink" Target="https://afterschools.olc.tw/afterschools/view/33202111110001" TargetMode="External"/><Relationship Id="rId1838" Type="http://schemas.openxmlformats.org/officeDocument/2006/relationships/hyperlink" Target="https://afterschools.olc.tw/afterschools/view/33201901100001" TargetMode="External"/><Relationship Id="rId1839" Type="http://schemas.openxmlformats.org/officeDocument/2006/relationships/hyperlink" Target="https://afterschools.olc.tw/afterschools/view/33202507180001" TargetMode="External"/><Relationship Id="rId1840" Type="http://schemas.openxmlformats.org/officeDocument/2006/relationships/hyperlink" Target="https://afterschools.olc.tw/afterschools/view/33201104220001" TargetMode="External"/><Relationship Id="rId1841" Type="http://schemas.openxmlformats.org/officeDocument/2006/relationships/hyperlink" Target="https://afterschools.olc.tw/afterschools/view/33200612190004" TargetMode="External"/><Relationship Id="rId1842" Type="http://schemas.openxmlformats.org/officeDocument/2006/relationships/hyperlink" Target="https://afterschools.olc.tw/afterschools/view/33201904150001" TargetMode="External"/><Relationship Id="rId1843" Type="http://schemas.openxmlformats.org/officeDocument/2006/relationships/hyperlink" Target="https://afterschools.olc.tw/afterschools/view/33200812150001" TargetMode="External"/><Relationship Id="rId1844" Type="http://schemas.openxmlformats.org/officeDocument/2006/relationships/hyperlink" Target="https://afterschools.olc.tw/afterschools/view/33200907240007" TargetMode="External"/><Relationship Id="rId1845" Type="http://schemas.openxmlformats.org/officeDocument/2006/relationships/hyperlink" Target="https://afterschools.olc.tw/afterschools/view/33200312260006" TargetMode="External"/><Relationship Id="rId1846" Type="http://schemas.openxmlformats.org/officeDocument/2006/relationships/hyperlink" Target="https://afterschools.olc.tw/afterschools/view/33202501230001" TargetMode="External"/><Relationship Id="rId1847" Type="http://schemas.openxmlformats.org/officeDocument/2006/relationships/hyperlink" Target="https://afterschools.olc.tw/afterschools/view/33202012300001" TargetMode="External"/><Relationship Id="rId1848" Type="http://schemas.openxmlformats.org/officeDocument/2006/relationships/hyperlink" Target="https://afterschools.olc.tw/afterschools/view/33200207230009" TargetMode="External"/><Relationship Id="rId1849" Type="http://schemas.openxmlformats.org/officeDocument/2006/relationships/hyperlink" Target="https://afterschools.olc.tw/afterschools/view/33200709040006" TargetMode="External"/><Relationship Id="rId1850" Type="http://schemas.openxmlformats.org/officeDocument/2006/relationships/hyperlink" Target="https://afterschools.olc.tw/afterschools/view/33200903040002" TargetMode="External"/><Relationship Id="rId1851" Type="http://schemas.openxmlformats.org/officeDocument/2006/relationships/hyperlink" Target="https://afterschools.olc.tw/afterschools/view/33201010210001" TargetMode="External"/><Relationship Id="rId1852" Type="http://schemas.openxmlformats.org/officeDocument/2006/relationships/hyperlink" Target="https://afterschools.olc.tw/afterschools/view/33201803200001" TargetMode="External"/><Relationship Id="rId1853" Type="http://schemas.openxmlformats.org/officeDocument/2006/relationships/hyperlink" Target="https://afterschools.olc.tw/afterschools/view/33200907240003" TargetMode="External"/><Relationship Id="rId1854" Type="http://schemas.openxmlformats.org/officeDocument/2006/relationships/hyperlink" Target="https://afterschools.olc.tw/afterschools/view/33201708110001" TargetMode="External"/><Relationship Id="rId1855" Type="http://schemas.openxmlformats.org/officeDocument/2006/relationships/hyperlink" Target="https://afterschools.olc.tw/afterschools/view/33200302100002" TargetMode="External"/><Relationship Id="rId1856" Type="http://schemas.openxmlformats.org/officeDocument/2006/relationships/hyperlink" Target="https://afterschools.olc.tw/afterschools/view/33200509210002" TargetMode="External"/><Relationship Id="rId1857" Type="http://schemas.openxmlformats.org/officeDocument/2006/relationships/hyperlink" Target="https://afterschools.olc.tw/afterschools/view/33201110190001" TargetMode="External"/><Relationship Id="rId1858" Type="http://schemas.openxmlformats.org/officeDocument/2006/relationships/hyperlink" Target="https://afterschools.olc.tw/afterschools/view/33201604180001" TargetMode="External"/><Relationship Id="rId1859" Type="http://schemas.openxmlformats.org/officeDocument/2006/relationships/hyperlink" Target="https://afterschools.olc.tw/afterschools/view/33200208200006" TargetMode="External"/><Relationship Id="rId1860" Type="http://schemas.openxmlformats.org/officeDocument/2006/relationships/hyperlink" Target="https://afterschools.olc.tw/afterschools/view/33201304150003" TargetMode="External"/><Relationship Id="rId1861" Type="http://schemas.openxmlformats.org/officeDocument/2006/relationships/hyperlink" Target="https://afterschools.olc.tw/afterschools/view/33201903070001" TargetMode="External"/><Relationship Id="rId1862" Type="http://schemas.openxmlformats.org/officeDocument/2006/relationships/hyperlink" Target="https://afterschools.olc.tw/afterschools/view/33200208070009" TargetMode="External"/><Relationship Id="rId1863" Type="http://schemas.openxmlformats.org/officeDocument/2006/relationships/hyperlink" Target="https://afterschools.olc.tw/afterschools/view/33201902250001" TargetMode="External"/><Relationship Id="rId1864" Type="http://schemas.openxmlformats.org/officeDocument/2006/relationships/hyperlink" Target="https://afterschools.olc.tw/afterschools/view/33202303270001" TargetMode="External"/><Relationship Id="rId1865" Type="http://schemas.openxmlformats.org/officeDocument/2006/relationships/hyperlink" Target="https://afterschools.olc.tw/afterschools/view/33201609130001" TargetMode="External"/><Relationship Id="rId1866" Type="http://schemas.openxmlformats.org/officeDocument/2006/relationships/hyperlink" Target="https://afterschools.olc.tw/afterschools/view/33202005220001" TargetMode="External"/><Relationship Id="rId1867" Type="http://schemas.openxmlformats.org/officeDocument/2006/relationships/hyperlink" Target="https://afterschools.olc.tw/afterschools/view/33200806100003" TargetMode="External"/><Relationship Id="rId1868" Type="http://schemas.openxmlformats.org/officeDocument/2006/relationships/hyperlink" Target="https://afterschools.olc.tw/afterschools/view/33200607180005" TargetMode="External"/><Relationship Id="rId1869" Type="http://schemas.openxmlformats.org/officeDocument/2006/relationships/hyperlink" Target="https://afterschools.olc.tw/afterschools/view/33202606250002" TargetMode="External"/><Relationship Id="rId1870" Type="http://schemas.openxmlformats.org/officeDocument/2006/relationships/hyperlink" Target="https://afterschools.olc.tw/afterschools/view/33201104270001" TargetMode="External"/><Relationship Id="rId1871" Type="http://schemas.openxmlformats.org/officeDocument/2006/relationships/hyperlink" Target="https://afterschools.olc.tw/afterschools/view/33202105030001" TargetMode="External"/><Relationship Id="rId1872" Type="http://schemas.openxmlformats.org/officeDocument/2006/relationships/hyperlink" Target="https://afterschools.olc.tw/afterschools/view/33202605270001" TargetMode="External"/><Relationship Id="rId1873" Type="http://schemas.openxmlformats.org/officeDocument/2006/relationships/hyperlink" Target="https://afterschools.olc.tw/afterschools/view/33200503310012" TargetMode="External"/><Relationship Id="rId1874" Type="http://schemas.openxmlformats.org/officeDocument/2006/relationships/hyperlink" Target="https://afterschools.olc.tw/afterschools/view/33201002010002" TargetMode="External"/><Relationship Id="rId1875" Type="http://schemas.openxmlformats.org/officeDocument/2006/relationships/hyperlink" Target="https://afterschools.olc.tw/afterschools/view/33200507120008" TargetMode="External"/><Relationship Id="rId1876" Type="http://schemas.openxmlformats.org/officeDocument/2006/relationships/hyperlink" Target="https://afterschools.olc.tw/afterschools/view/33202010290001" TargetMode="External"/><Relationship Id="rId1877" Type="http://schemas.openxmlformats.org/officeDocument/2006/relationships/hyperlink" Target="https://afterschools.olc.tw/afterschools/view/33200208210012" TargetMode="External"/><Relationship Id="rId1878" Type="http://schemas.openxmlformats.org/officeDocument/2006/relationships/hyperlink" Target="https://afterschools.olc.tw/afterschools/view/33202607300002" TargetMode="External"/><Relationship Id="rId1879" Type="http://schemas.openxmlformats.org/officeDocument/2006/relationships/hyperlink" Target="https://afterschools.olc.tw/afterschools/view/33202108300001" TargetMode="External"/><Relationship Id="rId1880" Type="http://schemas.openxmlformats.org/officeDocument/2006/relationships/hyperlink" Target="https://afterschools.olc.tw/afterschools/view/33200403100001" TargetMode="External"/><Relationship Id="rId1881" Type="http://schemas.openxmlformats.org/officeDocument/2006/relationships/hyperlink" Target="https://afterschools.olc.tw/afterschools/view/33201204110001" TargetMode="External"/><Relationship Id="rId1882" Type="http://schemas.openxmlformats.org/officeDocument/2006/relationships/hyperlink" Target="https://afterschools.olc.tw/afterschools/view/33202108160002" TargetMode="External"/><Relationship Id="rId1883" Type="http://schemas.openxmlformats.org/officeDocument/2006/relationships/hyperlink" Target="https://afterschools.olc.tw/afterschools/view/33201506110005" TargetMode="External"/><Relationship Id="rId1884" Type="http://schemas.openxmlformats.org/officeDocument/2006/relationships/hyperlink" Target="https://afterschools.olc.tw/afterschools/view/33200207300018" TargetMode="External"/><Relationship Id="rId1885" Type="http://schemas.openxmlformats.org/officeDocument/2006/relationships/hyperlink" Target="https://afterschools.olc.tw/afterschools/view/33202601140001" TargetMode="External"/><Relationship Id="rId1886" Type="http://schemas.openxmlformats.org/officeDocument/2006/relationships/hyperlink" Target="https://afterschools.olc.tw/afterschools/view/33200708080003" TargetMode="External"/><Relationship Id="rId1887" Type="http://schemas.openxmlformats.org/officeDocument/2006/relationships/hyperlink" Target="https://afterschools.olc.tw/afterschools/view/33201003150002" TargetMode="External"/><Relationship Id="rId1888" Type="http://schemas.openxmlformats.org/officeDocument/2006/relationships/hyperlink" Target="https://afterschools.olc.tw/afterschools/view/33202005070001" TargetMode="External"/><Relationship Id="rId1889" Type="http://schemas.openxmlformats.org/officeDocument/2006/relationships/hyperlink" Target="https://afterschools.olc.tw/afterschools/view/33200209130007" TargetMode="External"/><Relationship Id="rId1890" Type="http://schemas.openxmlformats.org/officeDocument/2006/relationships/hyperlink" Target="https://afterschools.olc.tw/afterschools/view/33202007230001" TargetMode="External"/><Relationship Id="rId1891" Type="http://schemas.openxmlformats.org/officeDocument/2006/relationships/hyperlink" Target="https://afterschools.olc.tw/afterschools/view/33200910130001" TargetMode="External"/><Relationship Id="rId1892" Type="http://schemas.openxmlformats.org/officeDocument/2006/relationships/hyperlink" Target="https://afterschools.olc.tw/afterschools/view/33200703080001" TargetMode="External"/><Relationship Id="rId1893" Type="http://schemas.openxmlformats.org/officeDocument/2006/relationships/hyperlink" Target="https://afterschools.olc.tw/afterschools/view/33201307150001" TargetMode="External"/><Relationship Id="rId1894" Type="http://schemas.openxmlformats.org/officeDocument/2006/relationships/hyperlink" Target="https://afterschools.olc.tw/afterschools/view/33200507120006" TargetMode="External"/><Relationship Id="rId1895" Type="http://schemas.openxmlformats.org/officeDocument/2006/relationships/hyperlink" Target="https://afterschools.olc.tw/afterschools/view/33200702260003" TargetMode="External"/><Relationship Id="rId1896" Type="http://schemas.openxmlformats.org/officeDocument/2006/relationships/hyperlink" Target="https://afterschools.olc.tw/afterschools/view/33201601050003" TargetMode="External"/><Relationship Id="rId1897" Type="http://schemas.openxmlformats.org/officeDocument/2006/relationships/hyperlink" Target="https://afterschools.olc.tw/afterschools/view/33200209260005" TargetMode="External"/><Relationship Id="rId1898" Type="http://schemas.openxmlformats.org/officeDocument/2006/relationships/hyperlink" Target="https://afterschools.olc.tw/afterschools/view/33200709260001" TargetMode="External"/><Relationship Id="rId1899" Type="http://schemas.openxmlformats.org/officeDocument/2006/relationships/hyperlink" Target="https://afterschools.olc.tw/afterschools/view/33200807300001" TargetMode="External"/><Relationship Id="rId1900" Type="http://schemas.openxmlformats.org/officeDocument/2006/relationships/hyperlink" Target="https://afterschools.olc.tw/afterschools/view/33200209130034" TargetMode="External"/><Relationship Id="rId1901" Type="http://schemas.openxmlformats.org/officeDocument/2006/relationships/hyperlink" Target="https://afterschools.olc.tw/afterschools/view/33202306200002" TargetMode="External"/><Relationship Id="rId1902" Type="http://schemas.openxmlformats.org/officeDocument/2006/relationships/hyperlink" Target="https://afterschools.olc.tw/afterschools/view/33202203150002" TargetMode="External"/><Relationship Id="rId1903" Type="http://schemas.openxmlformats.org/officeDocument/2006/relationships/hyperlink" Target="https://afterschools.olc.tw/afterschools/view/33201309130001" TargetMode="External"/><Relationship Id="rId1904" Type="http://schemas.openxmlformats.org/officeDocument/2006/relationships/hyperlink" Target="https://afterschools.olc.tw/afterschools/view/33201808140001" TargetMode="External"/><Relationship Id="rId1905" Type="http://schemas.openxmlformats.org/officeDocument/2006/relationships/hyperlink" Target="https://afterschools.olc.tw/afterschools/view/33202401260001" TargetMode="External"/><Relationship Id="rId1906" Type="http://schemas.openxmlformats.org/officeDocument/2006/relationships/hyperlink" Target="https://afterschools.olc.tw/afterschools/view/33201611250001" TargetMode="External"/><Relationship Id="rId1907" Type="http://schemas.openxmlformats.org/officeDocument/2006/relationships/hyperlink" Target="https://afterschools.olc.tw/afterschools/view/33200706120005" TargetMode="External"/><Relationship Id="rId1908" Type="http://schemas.openxmlformats.org/officeDocument/2006/relationships/hyperlink" Target="https://afterschools.olc.tw/afterschools/view/33202506300001" TargetMode="External"/><Relationship Id="rId1909" Type="http://schemas.openxmlformats.org/officeDocument/2006/relationships/hyperlink" Target="https://afterschools.olc.tw/afterschools/view/33200405270005" TargetMode="External"/><Relationship Id="rId1910" Type="http://schemas.openxmlformats.org/officeDocument/2006/relationships/hyperlink" Target="https://afterschools.olc.tw/afterschools/view/33202606220001" TargetMode="External"/><Relationship Id="rId1911" Type="http://schemas.openxmlformats.org/officeDocument/2006/relationships/hyperlink" Target="https://afterschools.olc.tw/afterschools/view/33201601040003" TargetMode="External"/><Relationship Id="rId1912" Type="http://schemas.openxmlformats.org/officeDocument/2006/relationships/hyperlink" Target="https://afterschools.olc.tw/afterschools/view/33200611070003" TargetMode="External"/><Relationship Id="rId1913" Type="http://schemas.openxmlformats.org/officeDocument/2006/relationships/hyperlink" Target="https://afterschools.olc.tw/afterschools/view/33201902260001" TargetMode="External"/><Relationship Id="rId1914" Type="http://schemas.openxmlformats.org/officeDocument/2006/relationships/hyperlink" Target="https://afterschools.olc.tw/afterschools/view/33200611060005" TargetMode="External"/><Relationship Id="rId1915" Type="http://schemas.openxmlformats.org/officeDocument/2006/relationships/hyperlink" Target="https://afterschools.olc.tw/afterschools/view/33200310010019" TargetMode="External"/><Relationship Id="rId1916" Type="http://schemas.openxmlformats.org/officeDocument/2006/relationships/hyperlink" Target="https://afterschools.olc.tw/afterschools/view/33202012070001" TargetMode="External"/><Relationship Id="rId1917" Type="http://schemas.openxmlformats.org/officeDocument/2006/relationships/hyperlink" Target="https://afterschools.olc.tw/afterschools/view/33200703050001" TargetMode="External"/><Relationship Id="rId1918" Type="http://schemas.openxmlformats.org/officeDocument/2006/relationships/hyperlink" Target="https://afterschools.olc.tw/afterschools/view/33202509090001" TargetMode="External"/><Relationship Id="rId1919" Type="http://schemas.openxmlformats.org/officeDocument/2006/relationships/hyperlink" Target="https://afterschools.olc.tw/afterschools/view/33201401290002" TargetMode="External"/><Relationship Id="rId1920" Type="http://schemas.openxmlformats.org/officeDocument/2006/relationships/hyperlink" Target="https://afterschools.olc.tw/afterschools/view/33200209160006" TargetMode="External"/><Relationship Id="rId1921" Type="http://schemas.openxmlformats.org/officeDocument/2006/relationships/hyperlink" Target="https://afterschools.olc.tw/afterschools/view/33202607300001" TargetMode="External"/><Relationship Id="rId1922" Type="http://schemas.openxmlformats.org/officeDocument/2006/relationships/hyperlink" Target="https://afterschools.olc.tw/afterschools/view/33200612210024" TargetMode="External"/><Relationship Id="rId1923" Type="http://schemas.openxmlformats.org/officeDocument/2006/relationships/hyperlink" Target="https://afterschools.olc.tw/afterschools/view/33200406250007" TargetMode="External"/><Relationship Id="rId1924" Type="http://schemas.openxmlformats.org/officeDocument/2006/relationships/hyperlink" Target="https://afterschools.olc.tw/afterschools/view/33202205270001" TargetMode="External"/><Relationship Id="rId1925" Type="http://schemas.openxmlformats.org/officeDocument/2006/relationships/hyperlink" Target="https://afterschools.olc.tw/afterschools/view/33200604010008" TargetMode="External"/><Relationship Id="rId1926" Type="http://schemas.openxmlformats.org/officeDocument/2006/relationships/hyperlink" Target="https://afterschools.olc.tw/afterschools/view/33201408040001" TargetMode="External"/><Relationship Id="rId1927" Type="http://schemas.openxmlformats.org/officeDocument/2006/relationships/hyperlink" Target="https://afterschools.olc.tw/afterschools/view/33202005070002" TargetMode="External"/><Relationship Id="rId1928" Type="http://schemas.openxmlformats.org/officeDocument/2006/relationships/hyperlink" Target="https://afterschools.olc.tw/afterschools/view/33202602130001" TargetMode="External"/><Relationship Id="rId1929" Type="http://schemas.openxmlformats.org/officeDocument/2006/relationships/hyperlink" Target="https://afterschools.olc.tw/afterschools/view/33202503030001" TargetMode="External"/><Relationship Id="rId1930" Type="http://schemas.openxmlformats.org/officeDocument/2006/relationships/hyperlink" Target="https://afterschools.olc.tw/afterschools/view/33201110120001" TargetMode="External"/><Relationship Id="rId1931" Type="http://schemas.openxmlformats.org/officeDocument/2006/relationships/hyperlink" Target="https://afterschools.olc.tw/afterschools/view/33200611060006" TargetMode="External"/><Relationship Id="rId1932" Type="http://schemas.openxmlformats.org/officeDocument/2006/relationships/hyperlink" Target="https://afterschools.olc.tw/afterschools/view/33201006040001" TargetMode="External"/><Relationship Id="rId1933" Type="http://schemas.openxmlformats.org/officeDocument/2006/relationships/hyperlink" Target="https://afterschools.olc.tw/afterschools/view/33201002010001" TargetMode="External"/><Relationship Id="rId1934" Type="http://schemas.openxmlformats.org/officeDocument/2006/relationships/hyperlink" Target="https://afterschools.olc.tw/afterschools/view/33200209130033" TargetMode="External"/><Relationship Id="rId1935" Type="http://schemas.openxmlformats.org/officeDocument/2006/relationships/hyperlink" Target="https://afterschools.olc.tw/afterschools/view/33200910080001" TargetMode="External"/><Relationship Id="rId1936" Type="http://schemas.openxmlformats.org/officeDocument/2006/relationships/hyperlink" Target="https://afterschools.olc.tw/afterschools/view/33200712270001" TargetMode="External"/><Relationship Id="rId1937" Type="http://schemas.openxmlformats.org/officeDocument/2006/relationships/hyperlink" Target="https://afterschools.olc.tw/afterschools/view/33201610240001" TargetMode="External"/><Relationship Id="rId1938" Type="http://schemas.openxmlformats.org/officeDocument/2006/relationships/hyperlink" Target="https://afterschools.olc.tw/afterschools/view/33201907290001" TargetMode="External"/><Relationship Id="rId1939" Type="http://schemas.openxmlformats.org/officeDocument/2006/relationships/hyperlink" Target="https://afterschools.olc.tw/afterschools/view/33200209160024" TargetMode="External"/><Relationship Id="rId1940" Type="http://schemas.openxmlformats.org/officeDocument/2006/relationships/hyperlink" Target="https://afterschools.olc.tw/afterschools/view/33201309260001" TargetMode="External"/><Relationship Id="rId1941" Type="http://schemas.openxmlformats.org/officeDocument/2006/relationships/hyperlink" Target="https://afterschools.olc.tw/afterschools/view/33201407040008" TargetMode="External"/><Relationship Id="rId1942" Type="http://schemas.openxmlformats.org/officeDocument/2006/relationships/hyperlink" Target="https://afterschools.olc.tw/afterschools/view/33200303270003" TargetMode="External"/><Relationship Id="rId1943" Type="http://schemas.openxmlformats.org/officeDocument/2006/relationships/hyperlink" Target="https://afterschools.olc.tw/afterschools/view/33202407040001" TargetMode="External"/><Relationship Id="rId1944" Type="http://schemas.openxmlformats.org/officeDocument/2006/relationships/hyperlink" Target="https://afterschools.olc.tw/afterschools/view/33202403190001" TargetMode="External"/><Relationship Id="rId1945" Type="http://schemas.openxmlformats.org/officeDocument/2006/relationships/hyperlink" Target="https://afterschools.olc.tw/afterschools/view/33200505230009" TargetMode="External"/><Relationship Id="rId1946" Type="http://schemas.openxmlformats.org/officeDocument/2006/relationships/hyperlink" Target="https://afterschools.olc.tw/afterschools/view/33202006010001" TargetMode="External"/><Relationship Id="rId1947" Type="http://schemas.openxmlformats.org/officeDocument/2006/relationships/hyperlink" Target="https://afterschools.olc.tw/afterschools/view/33201010010001" TargetMode="External"/><Relationship Id="rId1948" Type="http://schemas.openxmlformats.org/officeDocument/2006/relationships/hyperlink" Target="https://afterschools.olc.tw/afterschools/view/33200207240029" TargetMode="External"/><Relationship Id="rId1949" Type="http://schemas.openxmlformats.org/officeDocument/2006/relationships/hyperlink" Target="https://afterschools.olc.tw/afterschools/view/33200711080001" TargetMode="External"/><Relationship Id="rId1950" Type="http://schemas.openxmlformats.org/officeDocument/2006/relationships/hyperlink" Target="https://afterschools.olc.tw/afterschools/view/33201106160001" TargetMode="External"/><Relationship Id="rId1951" Type="http://schemas.openxmlformats.org/officeDocument/2006/relationships/hyperlink" Target="https://afterschools.olc.tw/afterschools/view/33200207240013" TargetMode="External"/><Relationship Id="rId1952" Type="http://schemas.openxmlformats.org/officeDocument/2006/relationships/hyperlink" Target="https://afterschools.olc.tw/afterschools/view/33202504180002" TargetMode="External"/><Relationship Id="rId1953" Type="http://schemas.openxmlformats.org/officeDocument/2006/relationships/hyperlink" Target="https://afterschools.olc.tw/afterschools/view/33200209180002" TargetMode="External"/><Relationship Id="rId1954" Type="http://schemas.openxmlformats.org/officeDocument/2006/relationships/hyperlink" Target="https://afterschools.olc.tw/afterschools/view/33202010270001" TargetMode="External"/><Relationship Id="rId1955" Type="http://schemas.openxmlformats.org/officeDocument/2006/relationships/hyperlink" Target="https://afterschools.olc.tw/afterschools/view/33201506110003" TargetMode="External"/><Relationship Id="rId1956" Type="http://schemas.openxmlformats.org/officeDocument/2006/relationships/hyperlink" Target="https://afterschools.olc.tw/afterschools/view/33202307260001" TargetMode="External"/><Relationship Id="rId1957" Type="http://schemas.openxmlformats.org/officeDocument/2006/relationships/hyperlink" Target="https://afterschools.olc.tw/afterschools/view/33202308230001" TargetMode="External"/><Relationship Id="rId1958" Type="http://schemas.openxmlformats.org/officeDocument/2006/relationships/hyperlink" Target="https://afterschools.olc.tw/afterschools/view/33201401290003" TargetMode="External"/><Relationship Id="rId1959" Type="http://schemas.openxmlformats.org/officeDocument/2006/relationships/hyperlink" Target="https://afterschools.olc.tw/afterschools/view/33201403240002" TargetMode="External"/><Relationship Id="rId1960" Type="http://schemas.openxmlformats.org/officeDocument/2006/relationships/hyperlink" Target="https://afterschools.olc.tw/afterschools/view/33200611070004" TargetMode="External"/><Relationship Id="rId1961" Type="http://schemas.openxmlformats.org/officeDocument/2006/relationships/hyperlink" Target="https://afterschools.olc.tw/afterschools/view/33200706120009" TargetMode="External"/><Relationship Id="rId1962" Type="http://schemas.openxmlformats.org/officeDocument/2006/relationships/hyperlink" Target="https://afterschools.olc.tw/afterschools/view/33201104180001" TargetMode="External"/><Relationship Id="rId1963" Type="http://schemas.openxmlformats.org/officeDocument/2006/relationships/hyperlink" Target="https://afterschools.olc.tw/afterschools/view/33201101250002" TargetMode="External"/><Relationship Id="rId1964" Type="http://schemas.openxmlformats.org/officeDocument/2006/relationships/hyperlink" Target="https://afterschools.olc.tw/afterschools/view/33202209270003" TargetMode="External"/><Relationship Id="rId1965" Type="http://schemas.openxmlformats.org/officeDocument/2006/relationships/hyperlink" Target="https://afterschools.olc.tw/afterschools/view/33200211190024" TargetMode="External"/><Relationship Id="rId1966" Type="http://schemas.openxmlformats.org/officeDocument/2006/relationships/hyperlink" Target="https://afterschools.olc.tw/afterschools/view/33200802180001" TargetMode="External"/><Relationship Id="rId1967" Type="http://schemas.openxmlformats.org/officeDocument/2006/relationships/hyperlink" Target="https://afterschools.olc.tw/afterschools/view/33200911160001" TargetMode="External"/><Relationship Id="rId1968" Type="http://schemas.openxmlformats.org/officeDocument/2006/relationships/hyperlink" Target="https://afterschools.olc.tw/afterschools/view/33202104260002" TargetMode="External"/><Relationship Id="rId1969" Type="http://schemas.openxmlformats.org/officeDocument/2006/relationships/hyperlink" Target="https://afterschools.olc.tw/afterschools/view/33202504180006" TargetMode="External"/><Relationship Id="rId1970" Type="http://schemas.openxmlformats.org/officeDocument/2006/relationships/hyperlink" Target="https://afterschools.olc.tw/afterschools/view/33202404250001" TargetMode="External"/><Relationship Id="rId1971" Type="http://schemas.openxmlformats.org/officeDocument/2006/relationships/hyperlink" Target="https://afterschools.olc.tw/afterschools/view/33201106290001" TargetMode="External"/><Relationship Id="rId1972" Type="http://schemas.openxmlformats.org/officeDocument/2006/relationships/hyperlink" Target="https://afterschools.olc.tw/afterschools/view/33202311080001" TargetMode="External"/><Relationship Id="rId1973" Type="http://schemas.openxmlformats.org/officeDocument/2006/relationships/hyperlink" Target="https://afterschools.olc.tw/afterschools/view/33200207220055" TargetMode="External"/><Relationship Id="rId1974" Type="http://schemas.openxmlformats.org/officeDocument/2006/relationships/hyperlink" Target="https://afterschools.olc.tw/afterschools/view/33201502120002" TargetMode="External"/><Relationship Id="rId1975" Type="http://schemas.openxmlformats.org/officeDocument/2006/relationships/hyperlink" Target="https://afterschools.olc.tw/afterschools/view/33202109110001" TargetMode="External"/><Relationship Id="rId1976" Type="http://schemas.openxmlformats.org/officeDocument/2006/relationships/hyperlink" Target="https://afterschools.olc.tw/afterschools/view/33201103140001" TargetMode="External"/><Relationship Id="rId1977" Type="http://schemas.openxmlformats.org/officeDocument/2006/relationships/hyperlink" Target="https://afterschools.olc.tw/afterschools/view/33200208200026" TargetMode="External"/><Relationship Id="rId1978" Type="http://schemas.openxmlformats.org/officeDocument/2006/relationships/hyperlink" Target="https://afterschools.olc.tw/afterschools/view/33200706120006" TargetMode="External"/><Relationship Id="rId1979" Type="http://schemas.openxmlformats.org/officeDocument/2006/relationships/hyperlink" Target="https://afterschools.olc.tw/afterschools/view/33201403240001" TargetMode="External"/><Relationship Id="rId1980" Type="http://schemas.openxmlformats.org/officeDocument/2006/relationships/hyperlink" Target="https://afterschools.olc.tw/afterschools/view/33202604270002" TargetMode="External"/><Relationship Id="rId1981" Type="http://schemas.openxmlformats.org/officeDocument/2006/relationships/hyperlink" Target="https://afterschools.olc.tw/afterschools/view/33200406240001" TargetMode="External"/><Relationship Id="rId1982" Type="http://schemas.openxmlformats.org/officeDocument/2006/relationships/hyperlink" Target="https://afterschools.olc.tw/afterschools/view/33202506260001" TargetMode="External"/><Relationship Id="rId1983" Type="http://schemas.openxmlformats.org/officeDocument/2006/relationships/hyperlink" Target="https://afterschools.olc.tw/afterschools/view/33201410060001" TargetMode="External"/><Relationship Id="rId1984" Type="http://schemas.openxmlformats.org/officeDocument/2006/relationships/hyperlink" Target="https://afterschools.olc.tw/afterschools/view/33202606030001" TargetMode="External"/><Relationship Id="rId1985" Type="http://schemas.openxmlformats.org/officeDocument/2006/relationships/hyperlink" Target="https://afterschools.olc.tw/afterschools/view/33201910160002" TargetMode="External"/><Relationship Id="rId1986" Type="http://schemas.openxmlformats.org/officeDocument/2006/relationships/hyperlink" Target="https://afterschools.olc.tw/afterschools/view/33201506110002" TargetMode="External"/><Relationship Id="rId1987" Type="http://schemas.openxmlformats.org/officeDocument/2006/relationships/hyperlink" Target="https://afterschools.olc.tw/afterschools/view/33200209160011" TargetMode="External"/><Relationship Id="rId1988" Type="http://schemas.openxmlformats.org/officeDocument/2006/relationships/hyperlink" Target="https://afterschools.olc.tw/afterschools/view/33200912070001" TargetMode="External"/><Relationship Id="rId1989" Type="http://schemas.openxmlformats.org/officeDocument/2006/relationships/hyperlink" Target="https://afterschools.olc.tw/afterschools/view/33201009070001" TargetMode="External"/><Relationship Id="rId1990" Type="http://schemas.openxmlformats.org/officeDocument/2006/relationships/hyperlink" Target="https://afterschools.olc.tw/afterschools/view/33201704270001" TargetMode="External"/><Relationship Id="rId1991" Type="http://schemas.openxmlformats.org/officeDocument/2006/relationships/hyperlink" Target="https://afterschools.olc.tw/afterschools/view/33202510130001" TargetMode="External"/><Relationship Id="rId1992" Type="http://schemas.openxmlformats.org/officeDocument/2006/relationships/hyperlink" Target="https://afterschools.olc.tw/afterschools/view/33200206110002" TargetMode="External"/><Relationship Id="rId1993" Type="http://schemas.openxmlformats.org/officeDocument/2006/relationships/hyperlink" Target="https://afterschools.olc.tw/afterschools/view/33201111170001" TargetMode="External"/><Relationship Id="rId1994" Type="http://schemas.openxmlformats.org/officeDocument/2006/relationships/hyperlink" Target="https://afterschools.olc.tw/afterschools/view/33200504220001" TargetMode="External"/><Relationship Id="rId1995" Type="http://schemas.openxmlformats.org/officeDocument/2006/relationships/hyperlink" Target="https://afterschools.olc.tw/afterschools/view/33201605300001" TargetMode="External"/><Relationship Id="rId1996" Type="http://schemas.openxmlformats.org/officeDocument/2006/relationships/hyperlink" Target="https://afterschools.olc.tw/afterschools/view/33201911180001" TargetMode="External"/><Relationship Id="rId1997" Type="http://schemas.openxmlformats.org/officeDocument/2006/relationships/hyperlink" Target="https://afterschools.olc.tw/afterschools/view/33200901190002" TargetMode="External"/><Relationship Id="rId1998" Type="http://schemas.openxmlformats.org/officeDocument/2006/relationships/hyperlink" Target="https://afterschools.olc.tw/afterschools/view/33200304290005" TargetMode="External"/><Relationship Id="rId1999" Type="http://schemas.openxmlformats.org/officeDocument/2006/relationships/hyperlink" Target="https://afterschools.olc.tw/afterschools/view/33202606250001" TargetMode="External"/><Relationship Id="rId2000" Type="http://schemas.openxmlformats.org/officeDocument/2006/relationships/hyperlink" Target="https://afterschools.olc.tw/afterschools/view/33201009060001" TargetMode="External"/><Relationship Id="rId2001" Type="http://schemas.openxmlformats.org/officeDocument/2006/relationships/hyperlink" Target="https://afterschools.olc.tw/afterschools/view/33200209250001" TargetMode="External"/><Relationship Id="rId2002" Type="http://schemas.openxmlformats.org/officeDocument/2006/relationships/hyperlink" Target="https://afterschools.olc.tw/afterschools/view/33201502120001" TargetMode="External"/><Relationship Id="rId2003" Type="http://schemas.openxmlformats.org/officeDocument/2006/relationships/hyperlink" Target="https://afterschools.olc.tw/afterschools/view/33200212110001" TargetMode="External"/><Relationship Id="rId2004" Type="http://schemas.openxmlformats.org/officeDocument/2006/relationships/hyperlink" Target="https://afterschools.olc.tw/afterschools/view/33201809070001" TargetMode="External"/><Relationship Id="rId2005" Type="http://schemas.openxmlformats.org/officeDocument/2006/relationships/hyperlink" Target="https://afterschools.olc.tw/afterschools/view/33200306180001" TargetMode="External"/><Relationship Id="rId2006" Type="http://schemas.openxmlformats.org/officeDocument/2006/relationships/hyperlink" Target="https://afterschools.olc.tw/afterschools/view/33200207230015" TargetMode="External"/><Relationship Id="rId2007" Type="http://schemas.openxmlformats.org/officeDocument/2006/relationships/hyperlink" Target="https://afterschools.olc.tw/afterschools/view/33201506110001" TargetMode="External"/><Relationship Id="rId2008" Type="http://schemas.openxmlformats.org/officeDocument/2006/relationships/hyperlink" Target="https://afterschools.olc.tw/afterschools/view/33202004140001" TargetMode="External"/><Relationship Id="rId2009" Type="http://schemas.openxmlformats.org/officeDocument/2006/relationships/hyperlink" Target="https://afterschools.olc.tw/afterschools/view/33202508210001" TargetMode="External"/><Relationship Id="rId2010" Type="http://schemas.openxmlformats.org/officeDocument/2006/relationships/hyperlink" Target="https://afterschools.olc.tw/afterschools/view/33202209270002" TargetMode="External"/><Relationship Id="rId2011" Type="http://schemas.openxmlformats.org/officeDocument/2006/relationships/hyperlink" Target="https://afterschools.olc.tw/afterschools/view/33202209270001" TargetMode="External"/><Relationship Id="rId2012" Type="http://schemas.openxmlformats.org/officeDocument/2006/relationships/hyperlink" Target="https://afterschools.olc.tw/afterschools/view/33200607170008" TargetMode="External"/><Relationship Id="rId2013" Type="http://schemas.openxmlformats.org/officeDocument/2006/relationships/hyperlink" Target="https://afterschools.olc.tw/afterschools/view/33200209160038" TargetMode="External"/><Relationship Id="rId2014" Type="http://schemas.openxmlformats.org/officeDocument/2006/relationships/hyperlink" Target="https://afterschools.olc.tw/afterschools/view/33200302100008" TargetMode="External"/><Relationship Id="rId2015" Type="http://schemas.openxmlformats.org/officeDocument/2006/relationships/hyperlink" Target="https://afterschools.olc.tw/afterschools/view/33200403100012" TargetMode="External"/><Relationship Id="rId2016" Type="http://schemas.openxmlformats.org/officeDocument/2006/relationships/hyperlink" Target="https://afterschools.olc.tw/afterschools/view/33201203290001" TargetMode="External"/><Relationship Id="rId2017" Type="http://schemas.openxmlformats.org/officeDocument/2006/relationships/hyperlink" Target="https://afterschools.olc.tw/afterschools/view/33200607050005" TargetMode="External"/><Relationship Id="rId2018" Type="http://schemas.openxmlformats.org/officeDocument/2006/relationships/hyperlink" Target="https://afterschools.olc.tw/afterschools/view/33201403240004" TargetMode="External"/><Relationship Id="rId2019" Type="http://schemas.openxmlformats.org/officeDocument/2006/relationships/hyperlink" Target="https://afterschools.olc.tw/afterschools/view/33202607310001" TargetMode="External"/><Relationship Id="rId2020" Type="http://schemas.openxmlformats.org/officeDocument/2006/relationships/hyperlink" Target="https://afterschools.olc.tw/afterschools/view/33201808010001" TargetMode="External"/><Relationship Id="rId2021" Type="http://schemas.openxmlformats.org/officeDocument/2006/relationships/hyperlink" Target="https://afterschools.olc.tw/afterschools/view/33200711120001" TargetMode="External"/><Relationship Id="rId2022" Type="http://schemas.openxmlformats.org/officeDocument/2006/relationships/hyperlink" Target="https://afterschools.olc.tw/afterschools/view/33200208070004" TargetMode="External"/><Relationship Id="rId2023" Type="http://schemas.openxmlformats.org/officeDocument/2006/relationships/hyperlink" Target="https://afterschools.olc.tw/afterschools/view/33200709120004" TargetMode="External"/><Relationship Id="rId2024" Type="http://schemas.openxmlformats.org/officeDocument/2006/relationships/hyperlink" Target="https://afterschools.olc.tw/afterschools/view/33201011230001" TargetMode="External"/><Relationship Id="rId2025" Type="http://schemas.openxmlformats.org/officeDocument/2006/relationships/hyperlink" Target="https://afterschools.olc.tw/afterschools/view/33202305020001" TargetMode="External"/><Relationship Id="rId2026" Type="http://schemas.openxmlformats.org/officeDocument/2006/relationships/hyperlink" Target="https://afterschools.olc.tw/afterschools/view/33202310060001" TargetMode="External"/><Relationship Id="rId2027" Type="http://schemas.openxmlformats.org/officeDocument/2006/relationships/hyperlink" Target="https://afterschools.olc.tw/afterschools/view/33200806200003" TargetMode="External"/><Relationship Id="rId2028" Type="http://schemas.openxmlformats.org/officeDocument/2006/relationships/hyperlink" Target="https://afterschools.olc.tw/afterschools/view/33200209130017" TargetMode="External"/><Relationship Id="rId2029" Type="http://schemas.openxmlformats.org/officeDocument/2006/relationships/hyperlink" Target="https://afterschools.olc.tw/afterschools/view/33200207250016" TargetMode="External"/><Relationship Id="rId2030" Type="http://schemas.openxmlformats.org/officeDocument/2006/relationships/hyperlink" Target="https://afterschools.olc.tw/afterschools/view/33202210210002" TargetMode="External"/><Relationship Id="rId2031" Type="http://schemas.openxmlformats.org/officeDocument/2006/relationships/hyperlink" Target="https://afterschools.olc.tw/afterschools/view/33200910060002" TargetMode="External"/><Relationship Id="rId2032" Type="http://schemas.openxmlformats.org/officeDocument/2006/relationships/hyperlink" Target="https://afterschools.olc.tw/afterschools/view/33200207190007" TargetMode="External"/><Relationship Id="rId2033" Type="http://schemas.openxmlformats.org/officeDocument/2006/relationships/hyperlink" Target="https://afterschools.olc.tw/afterschools/view/33202009300001" TargetMode="External"/><Relationship Id="rId2034" Type="http://schemas.openxmlformats.org/officeDocument/2006/relationships/hyperlink" Target="https://afterschools.olc.tw/afterschools/view/33200709040003" TargetMode="External"/><Relationship Id="rId2035" Type="http://schemas.openxmlformats.org/officeDocument/2006/relationships/hyperlink" Target="https://afterschools.olc.tw/afterschools/view/33201303260001" TargetMode="External"/><Relationship Id="rId2036" Type="http://schemas.openxmlformats.org/officeDocument/2006/relationships/hyperlink" Target="https://afterschools.olc.tw/afterschools/view/33201711300001" TargetMode="External"/><Relationship Id="rId2037" Type="http://schemas.openxmlformats.org/officeDocument/2006/relationships/hyperlink" Target="https://afterschools.olc.tw/afterschools/view/33202508210002" TargetMode="External"/><Relationship Id="rId2038" Type="http://schemas.openxmlformats.org/officeDocument/2006/relationships/hyperlink" Target="https://afterschools.olc.tw/afterschools/view/33202504180001" TargetMode="External"/><Relationship Id="rId2039" Type="http://schemas.openxmlformats.org/officeDocument/2006/relationships/hyperlink" Target="https://afterschools.olc.tw/afterschools/view/33202012300002" TargetMode="External"/><Relationship Id="rId2040" Type="http://schemas.openxmlformats.org/officeDocument/2006/relationships/hyperlink" Target="https://afterschools.olc.tw/afterschools/view/33200701030001" TargetMode="External"/><Relationship Id="rId2041" Type="http://schemas.openxmlformats.org/officeDocument/2006/relationships/hyperlink" Target="https://afterschools.olc.tw/afterschools/view/33201308280002" TargetMode="External"/><Relationship Id="rId2042" Type="http://schemas.openxmlformats.org/officeDocument/2006/relationships/hyperlink" Target="https://afterschools.olc.tw/afterschools/view/33201111300001" TargetMode="External"/><Relationship Id="rId2043" Type="http://schemas.openxmlformats.org/officeDocument/2006/relationships/hyperlink" Target="https://afterschools.olc.tw/afterschools/view/33202202180001" TargetMode="External"/><Relationship Id="rId2044" Type="http://schemas.openxmlformats.org/officeDocument/2006/relationships/hyperlink" Target="https://afterschools.olc.tw/afterschools/view/33202607290002" TargetMode="External"/><Relationship Id="rId2045" Type="http://schemas.openxmlformats.org/officeDocument/2006/relationships/hyperlink" Target="https://afterschools.olc.tw/afterschools/view/33200710290004" TargetMode="External"/><Relationship Id="rId2046" Type="http://schemas.openxmlformats.org/officeDocument/2006/relationships/hyperlink" Target="https://afterschools.olc.tw/afterschools/view/33202110060001" TargetMode="External"/><Relationship Id="rId2047" Type="http://schemas.openxmlformats.org/officeDocument/2006/relationships/hyperlink" Target="https://afterschools.olc.tw/afterschools/view/33200207230029" TargetMode="External"/><Relationship Id="rId2048" Type="http://schemas.openxmlformats.org/officeDocument/2006/relationships/hyperlink" Target="https://afterschools.olc.tw/afterschools/view/33200207220009" TargetMode="External"/><Relationship Id="rId2049" Type="http://schemas.openxmlformats.org/officeDocument/2006/relationships/hyperlink" Target="https://afterschools.olc.tw/afterschools/view/33200802140004" TargetMode="External"/><Relationship Id="rId2050" Type="http://schemas.openxmlformats.org/officeDocument/2006/relationships/hyperlink" Target="https://afterschools.olc.tw/afterschools/view/33202010060001" TargetMode="External"/><Relationship Id="rId2051" Type="http://schemas.openxmlformats.org/officeDocument/2006/relationships/hyperlink" Target="https://afterschools.olc.tw/afterschools/view/33200209160002" TargetMode="External"/><Relationship Id="rId2052" Type="http://schemas.openxmlformats.org/officeDocument/2006/relationships/hyperlink" Target="https://afterschools.olc.tw/afterschools/view/33201612010001" TargetMode="External"/><Relationship Id="rId2053" Type="http://schemas.openxmlformats.org/officeDocument/2006/relationships/hyperlink" Target="https://afterschools.olc.tw/afterschools/view/33202212260001" TargetMode="External"/><Relationship Id="rId2054" Type="http://schemas.openxmlformats.org/officeDocument/2006/relationships/hyperlink" Target="https://afterschools.olc.tw/afterschools/view/33200802140006" TargetMode="External"/><Relationship Id="rId2055" Type="http://schemas.openxmlformats.org/officeDocument/2006/relationships/hyperlink" Target="https://afterschools.olc.tw/afterschools/view/33200807030001" TargetMode="External"/><Relationship Id="rId2056" Type="http://schemas.openxmlformats.org/officeDocument/2006/relationships/hyperlink" Target="https://afterschools.olc.tw/afterschools/view/33201012210001" TargetMode="External"/><Relationship Id="rId2057" Type="http://schemas.openxmlformats.org/officeDocument/2006/relationships/hyperlink" Target="https://afterschools.olc.tw/afterschools/view/33202309080001" TargetMode="External"/><Relationship Id="rId2058" Type="http://schemas.openxmlformats.org/officeDocument/2006/relationships/hyperlink" Target="https://afterschools.olc.tw/afterschools/view/33202306200001" TargetMode="External"/><Relationship Id="rId2059" Type="http://schemas.openxmlformats.org/officeDocument/2006/relationships/hyperlink" Target="https://afterschools.olc.tw/afterschools/view/33200209120024" TargetMode="External"/><Relationship Id="rId2060" Type="http://schemas.openxmlformats.org/officeDocument/2006/relationships/hyperlink" Target="https://afterschools.olc.tw/afterschools/view/33200301220002" TargetMode="External"/><Relationship Id="rId2061" Type="http://schemas.openxmlformats.org/officeDocument/2006/relationships/hyperlink" Target="https://afterschools.olc.tw/afterschools/view/33200708030002" TargetMode="External"/><Relationship Id="rId2062" Type="http://schemas.openxmlformats.org/officeDocument/2006/relationships/hyperlink" Target="https://afterschools.olc.tw/afterschools/view/33201405230001" TargetMode="External"/><Relationship Id="rId2063" Type="http://schemas.openxmlformats.org/officeDocument/2006/relationships/hyperlink" Target="https://afterschools.olc.tw/afterschools/view/33200811200001" TargetMode="External"/><Relationship Id="rId2064" Type="http://schemas.openxmlformats.org/officeDocument/2006/relationships/hyperlink" Target="https://afterschools.olc.tw/afterschools/view/33200207240044" TargetMode="External"/><Relationship Id="rId2065" Type="http://schemas.openxmlformats.org/officeDocument/2006/relationships/hyperlink" Target="https://afterschools.olc.tw/afterschools/view/33202504100001" TargetMode="External"/><Relationship Id="rId2066" Type="http://schemas.openxmlformats.org/officeDocument/2006/relationships/hyperlink" Target="https://afterschools.olc.tw/afterschools/view/33200507130011" TargetMode="External"/><Relationship Id="rId2067" Type="http://schemas.openxmlformats.org/officeDocument/2006/relationships/hyperlink" Target="https://afterschools.olc.tw/afterschools/view/33201210090001" TargetMode="External"/><Relationship Id="rId2068" Type="http://schemas.openxmlformats.org/officeDocument/2006/relationships/hyperlink" Target="https://afterschools.olc.tw/afterschools/view/33202008120001" TargetMode="External"/><Relationship Id="rId2069" Type="http://schemas.openxmlformats.org/officeDocument/2006/relationships/hyperlink" Target="https://afterschools.olc.tw/afterschools/view/33200406250004" TargetMode="External"/><Relationship Id="rId2070" Type="http://schemas.openxmlformats.org/officeDocument/2006/relationships/hyperlink" Target="https://afterschools.olc.tw/afterschools/view/33200909110003" TargetMode="External"/><Relationship Id="rId2071" Type="http://schemas.openxmlformats.org/officeDocument/2006/relationships/hyperlink" Target="https://afterschools.olc.tw/afterschools/view/33200211130003" TargetMode="External"/><Relationship Id="rId2072" Type="http://schemas.openxmlformats.org/officeDocument/2006/relationships/hyperlink" Target="https://afterschools.olc.tw/afterschools/view/33201706210001" TargetMode="External"/><Relationship Id="rId2073" Type="http://schemas.openxmlformats.org/officeDocument/2006/relationships/hyperlink" Target="https://afterschools.olc.tw/afterschools/view/33201405260001" TargetMode="External"/><Relationship Id="rId2074" Type="http://schemas.openxmlformats.org/officeDocument/2006/relationships/hyperlink" Target="https://afterschools.olc.tw/afterschools/view/33202009170001" TargetMode="External"/><Relationship Id="rId2075" Type="http://schemas.openxmlformats.org/officeDocument/2006/relationships/hyperlink" Target="https://afterschools.olc.tw/afterschools/view/33201501270001" TargetMode="External"/><Relationship Id="rId2076" Type="http://schemas.openxmlformats.org/officeDocument/2006/relationships/hyperlink" Target="https://afterschools.olc.tw/afterschools/view/33202006290001" TargetMode="External"/><Relationship Id="rId2077" Type="http://schemas.openxmlformats.org/officeDocument/2006/relationships/hyperlink" Target="https://afterschools.olc.tw/afterschools/view/33200209180017" TargetMode="External"/><Relationship Id="rId2078" Type="http://schemas.openxmlformats.org/officeDocument/2006/relationships/hyperlink" Target="https://afterschools.olc.tw/afterschools/view/33200909040002" TargetMode="External"/><Relationship Id="rId2079" Type="http://schemas.openxmlformats.org/officeDocument/2006/relationships/hyperlink" Target="https://afterschools.olc.tw/afterschools/view/33200609140001" TargetMode="External"/><Relationship Id="rId2080" Type="http://schemas.openxmlformats.org/officeDocument/2006/relationships/hyperlink" Target="https://afterschools.olc.tw/afterschools/view/33201507070002" TargetMode="External"/><Relationship Id="rId2081" Type="http://schemas.openxmlformats.org/officeDocument/2006/relationships/hyperlink" Target="https://afterschools.olc.tw/afterschools/view/33200807220002" TargetMode="External"/><Relationship Id="rId2082" Type="http://schemas.openxmlformats.org/officeDocument/2006/relationships/hyperlink" Target="https://afterschools.olc.tw/afterschools/view/33200807220007" TargetMode="External"/><Relationship Id="rId2083" Type="http://schemas.openxmlformats.org/officeDocument/2006/relationships/hyperlink" Target="https://afterschools.olc.tw/afterschools/view/33202306010001" TargetMode="External"/><Relationship Id="rId2084" Type="http://schemas.openxmlformats.org/officeDocument/2006/relationships/hyperlink" Target="https://afterschools.olc.tw/afterschools/view/33200207230026" TargetMode="External"/><Relationship Id="rId2085" Type="http://schemas.openxmlformats.org/officeDocument/2006/relationships/hyperlink" Target="https://afterschools.olc.tw/afterschools/view/33200809220004" TargetMode="External"/><Relationship Id="rId2086" Type="http://schemas.openxmlformats.org/officeDocument/2006/relationships/hyperlink" Target="https://afterschools.olc.tw/afterschools/view/33200209160039" TargetMode="External"/><Relationship Id="rId2087" Type="http://schemas.openxmlformats.org/officeDocument/2006/relationships/hyperlink" Target="https://afterschools.olc.tw/afterschools/view/33200208270023" TargetMode="External"/><Relationship Id="rId2088" Type="http://schemas.openxmlformats.org/officeDocument/2006/relationships/hyperlink" Target="https://afterschools.olc.tw/afterschools/view/33201010150001" TargetMode="External"/><Relationship Id="rId2089" Type="http://schemas.openxmlformats.org/officeDocument/2006/relationships/hyperlink" Target="https://afterschools.olc.tw/afterschools/view/33202001300002" TargetMode="External"/><Relationship Id="rId2090" Type="http://schemas.openxmlformats.org/officeDocument/2006/relationships/hyperlink" Target="https://afterschools.olc.tw/afterschools/view/33201107260001" TargetMode="External"/><Relationship Id="rId2091" Type="http://schemas.openxmlformats.org/officeDocument/2006/relationships/hyperlink" Target="https://afterschools.olc.tw/afterschools/view/33202407010001" TargetMode="External"/><Relationship Id="rId2092" Type="http://schemas.openxmlformats.org/officeDocument/2006/relationships/hyperlink" Target="https://afterschools.olc.tw/afterschools/view/33200209110008" TargetMode="External"/><Relationship Id="rId2093" Type="http://schemas.openxmlformats.org/officeDocument/2006/relationships/hyperlink" Target="https://afterschools.olc.tw/afterschools/view/33202507250001" TargetMode="External"/><Relationship Id="rId2094" Type="http://schemas.openxmlformats.org/officeDocument/2006/relationships/hyperlink" Target="https://afterschools.olc.tw/afterschools/view/33202510310001" TargetMode="External"/><Relationship Id="rId2095" Type="http://schemas.openxmlformats.org/officeDocument/2006/relationships/hyperlink" Target="https://afterschools.olc.tw/afterschools/view/33201404170003" TargetMode="External"/><Relationship Id="rId2096" Type="http://schemas.openxmlformats.org/officeDocument/2006/relationships/hyperlink" Target="https://afterschools.olc.tw/afterschools/view/33201209210003" TargetMode="External"/><Relationship Id="rId2097" Type="http://schemas.openxmlformats.org/officeDocument/2006/relationships/hyperlink" Target="https://afterschools.olc.tw/afterschools/view/33202109170001" TargetMode="External"/><Relationship Id="rId2098" Type="http://schemas.openxmlformats.org/officeDocument/2006/relationships/hyperlink" Target="https://afterschools.olc.tw/afterschools/view/33200209120014" TargetMode="External"/><Relationship Id="rId2099" Type="http://schemas.openxmlformats.org/officeDocument/2006/relationships/hyperlink" Target="https://afterschools.olc.tw/afterschools/view/33200812170005" TargetMode="External"/><Relationship Id="rId2100" Type="http://schemas.openxmlformats.org/officeDocument/2006/relationships/hyperlink" Target="https://afterschools.olc.tw/afterschools/view/33201304120003" TargetMode="External"/><Relationship Id="rId2101" Type="http://schemas.openxmlformats.org/officeDocument/2006/relationships/hyperlink" Target="https://afterschools.olc.tw/afterschools/view/33200208270017" TargetMode="External"/><Relationship Id="rId2102" Type="http://schemas.openxmlformats.org/officeDocument/2006/relationships/hyperlink" Target="https://afterschools.olc.tw/afterschools/view/33202412190001" TargetMode="External"/><Relationship Id="rId2103" Type="http://schemas.openxmlformats.org/officeDocument/2006/relationships/hyperlink" Target="https://afterschools.olc.tw/afterschools/view/33201607130002" TargetMode="External"/><Relationship Id="rId2104" Type="http://schemas.openxmlformats.org/officeDocument/2006/relationships/hyperlink" Target="https://afterschools.olc.tw/afterschools/view/33200809220002" TargetMode="External"/><Relationship Id="rId2105" Type="http://schemas.openxmlformats.org/officeDocument/2006/relationships/hyperlink" Target="https://afterschools.olc.tw/afterschools/view/33202512290001" TargetMode="External"/><Relationship Id="rId2106" Type="http://schemas.openxmlformats.org/officeDocument/2006/relationships/hyperlink" Target="https://afterschools.olc.tw/afterschools/view/33200308260001" TargetMode="External"/><Relationship Id="rId2107" Type="http://schemas.openxmlformats.org/officeDocument/2006/relationships/hyperlink" Target="https://afterschools.olc.tw/afterschools/view/33201210250001" TargetMode="External"/><Relationship Id="rId2108" Type="http://schemas.openxmlformats.org/officeDocument/2006/relationships/hyperlink" Target="https://afterschools.olc.tw/afterschools/view/33201911270001" TargetMode="External"/><Relationship Id="rId2109" Type="http://schemas.openxmlformats.org/officeDocument/2006/relationships/hyperlink" Target="https://afterschools.olc.tw/afterschools/view/33202607030001" TargetMode="External"/><Relationship Id="rId2110" Type="http://schemas.openxmlformats.org/officeDocument/2006/relationships/hyperlink" Target="https://afterschools.olc.tw/afterschools/view/33201505140001" TargetMode="External"/><Relationship Id="rId2111" Type="http://schemas.openxmlformats.org/officeDocument/2006/relationships/hyperlink" Target="https://afterschools.olc.tw/afterschools/view/33202011110001" TargetMode="External"/><Relationship Id="rId2112" Type="http://schemas.openxmlformats.org/officeDocument/2006/relationships/hyperlink" Target="https://afterschools.olc.tw/afterschools/view/33200612140009" TargetMode="External"/><Relationship Id="rId2113" Type="http://schemas.openxmlformats.org/officeDocument/2006/relationships/hyperlink" Target="https://afterschools.olc.tw/afterschools/view/33201810260001" TargetMode="External"/><Relationship Id="rId2114" Type="http://schemas.openxmlformats.org/officeDocument/2006/relationships/hyperlink" Target="https://afterschools.olc.tw/afterschools/view/33200306230001" TargetMode="External"/><Relationship Id="rId2115" Type="http://schemas.openxmlformats.org/officeDocument/2006/relationships/hyperlink" Target="https://afterschools.olc.tw/afterschools/view/33200701110001" TargetMode="External"/><Relationship Id="rId2116" Type="http://schemas.openxmlformats.org/officeDocument/2006/relationships/hyperlink" Target="https://afterschools.olc.tw/afterschools/view/33200612220018" TargetMode="External"/><Relationship Id="rId2117" Type="http://schemas.openxmlformats.org/officeDocument/2006/relationships/hyperlink" Target="https://afterschools.olc.tw/afterschools/view/33202602230001" TargetMode="External"/><Relationship Id="rId2118" Type="http://schemas.openxmlformats.org/officeDocument/2006/relationships/hyperlink" Target="https://afterschools.olc.tw/afterschools/view/33201111220005" TargetMode="External"/><Relationship Id="rId2119" Type="http://schemas.openxmlformats.org/officeDocument/2006/relationships/hyperlink" Target="https://afterschools.olc.tw/afterschools/view/33200911040001" TargetMode="External"/><Relationship Id="rId2120" Type="http://schemas.openxmlformats.org/officeDocument/2006/relationships/hyperlink" Target="https://afterschools.olc.tw/afterschools/view/33202507030001" TargetMode="External"/><Relationship Id="rId2121" Type="http://schemas.openxmlformats.org/officeDocument/2006/relationships/hyperlink" Target="https://afterschools.olc.tw/afterschools/view/33200301020004" TargetMode="External"/><Relationship Id="rId2122" Type="http://schemas.openxmlformats.org/officeDocument/2006/relationships/hyperlink" Target="https://afterschools.olc.tw/afterschools/view/33201403110002" TargetMode="External"/><Relationship Id="rId2123" Type="http://schemas.openxmlformats.org/officeDocument/2006/relationships/hyperlink" Target="https://afterschools.olc.tw/afterschools/view/33202006290002" TargetMode="External"/><Relationship Id="rId2124" Type="http://schemas.openxmlformats.org/officeDocument/2006/relationships/hyperlink" Target="https://afterschools.olc.tw/afterschools/view/33200210070004" TargetMode="External"/><Relationship Id="rId2125" Type="http://schemas.openxmlformats.org/officeDocument/2006/relationships/hyperlink" Target="https://afterschools.olc.tw/afterschools/view/33200907280003" TargetMode="External"/><Relationship Id="rId2126" Type="http://schemas.openxmlformats.org/officeDocument/2006/relationships/hyperlink" Target="https://afterschools.olc.tw/afterschools/view/33200507080009" TargetMode="External"/><Relationship Id="rId2127" Type="http://schemas.openxmlformats.org/officeDocument/2006/relationships/hyperlink" Target="https://afterschools.olc.tw/afterschools/view/33200806030002" TargetMode="External"/><Relationship Id="rId2128" Type="http://schemas.openxmlformats.org/officeDocument/2006/relationships/hyperlink" Target="https://afterschools.olc.tw/afterschools/view/33202412310001" TargetMode="External"/><Relationship Id="rId2129" Type="http://schemas.openxmlformats.org/officeDocument/2006/relationships/hyperlink" Target="https://afterschools.olc.tw/afterschools/view/33201610050001" TargetMode="External"/><Relationship Id="rId2130" Type="http://schemas.openxmlformats.org/officeDocument/2006/relationships/hyperlink" Target="https://afterschools.olc.tw/afterschools/view/33200310010004" TargetMode="External"/><Relationship Id="rId2131" Type="http://schemas.openxmlformats.org/officeDocument/2006/relationships/hyperlink" Target="https://afterschools.olc.tw/afterschools/view/33201601040006" TargetMode="External"/><Relationship Id="rId2132" Type="http://schemas.openxmlformats.org/officeDocument/2006/relationships/hyperlink" Target="https://afterschools.olc.tw/afterschools/view/33202107200001" TargetMode="External"/><Relationship Id="rId2133" Type="http://schemas.openxmlformats.org/officeDocument/2006/relationships/hyperlink" Target="https://afterschools.olc.tw/afterschools/view/33200505230005" TargetMode="External"/><Relationship Id="rId2134" Type="http://schemas.openxmlformats.org/officeDocument/2006/relationships/hyperlink" Target="https://afterschools.olc.tw/afterschools/view/33201611160001" TargetMode="External"/><Relationship Id="rId2135" Type="http://schemas.openxmlformats.org/officeDocument/2006/relationships/hyperlink" Target="https://afterschools.olc.tw/afterschools/view/33200210040008" TargetMode="External"/><Relationship Id="rId2136" Type="http://schemas.openxmlformats.org/officeDocument/2006/relationships/hyperlink" Target="https://afterschools.olc.tw/afterschools/view/33201007270001" TargetMode="External"/><Relationship Id="rId2137" Type="http://schemas.openxmlformats.org/officeDocument/2006/relationships/hyperlink" Target="https://afterschools.olc.tw/afterschools/view/33200507040003" TargetMode="External"/><Relationship Id="rId2138" Type="http://schemas.openxmlformats.org/officeDocument/2006/relationships/hyperlink" Target="https://afterschools.olc.tw/afterschools/view/33201012090001" TargetMode="External"/><Relationship Id="rId2139" Type="http://schemas.openxmlformats.org/officeDocument/2006/relationships/hyperlink" Target="https://afterschools.olc.tw/afterschools/view/33200802050003" TargetMode="External"/><Relationship Id="rId2140" Type="http://schemas.openxmlformats.org/officeDocument/2006/relationships/hyperlink" Target="https://afterschools.olc.tw/afterschools/view/33202108160001" TargetMode="External"/><Relationship Id="rId2141" Type="http://schemas.openxmlformats.org/officeDocument/2006/relationships/hyperlink" Target="https://afterschools.olc.tw/afterschools/view/33201111170002" TargetMode="External"/><Relationship Id="rId2142" Type="http://schemas.openxmlformats.org/officeDocument/2006/relationships/hyperlink" Target="https://afterschools.olc.tw/afterschools/view/33200503280001" TargetMode="External"/><Relationship Id="rId2143" Type="http://schemas.openxmlformats.org/officeDocument/2006/relationships/hyperlink" Target="https://afterschools.olc.tw/afterschools/view/33200901100001" TargetMode="External"/><Relationship Id="rId2144" Type="http://schemas.openxmlformats.org/officeDocument/2006/relationships/hyperlink" Target="https://afterschools.olc.tw/afterschools/view/33202109010001" TargetMode="External"/><Relationship Id="rId2145" Type="http://schemas.openxmlformats.org/officeDocument/2006/relationships/hyperlink" Target="https://afterschools.olc.tw/afterschools/view/33201409190002" TargetMode="External"/><Relationship Id="rId2146" Type="http://schemas.openxmlformats.org/officeDocument/2006/relationships/hyperlink" Target="https://afterschools.olc.tw/afterschools/view/33200208270004" TargetMode="External"/><Relationship Id="rId2147" Type="http://schemas.openxmlformats.org/officeDocument/2006/relationships/hyperlink" Target="https://afterschools.olc.tw/afterschools/view/33201504210001" TargetMode="External"/><Relationship Id="rId2148" Type="http://schemas.openxmlformats.org/officeDocument/2006/relationships/hyperlink" Target="https://afterschools.olc.tw/afterschools/view/33200611060007" TargetMode="External"/><Relationship Id="rId2149" Type="http://schemas.openxmlformats.org/officeDocument/2006/relationships/hyperlink" Target="https://afterschools.olc.tw/afterschools/view/33200802250001" TargetMode="External"/><Relationship Id="rId2150" Type="http://schemas.openxmlformats.org/officeDocument/2006/relationships/hyperlink" Target="https://afterschools.olc.tw/afterschools/view/33200305290003" TargetMode="External"/><Relationship Id="rId2151" Type="http://schemas.openxmlformats.org/officeDocument/2006/relationships/hyperlink" Target="https://afterschools.olc.tw/afterschools/view/33200612220009" TargetMode="External"/><Relationship Id="rId2152" Type="http://schemas.openxmlformats.org/officeDocument/2006/relationships/hyperlink" Target="https://afterschools.olc.tw/afterschools/view/33202002110001" TargetMode="External"/><Relationship Id="rId2153" Type="http://schemas.openxmlformats.org/officeDocument/2006/relationships/hyperlink" Target="https://afterschools.olc.tw/afterschools/view/33202408260001" TargetMode="External"/><Relationship Id="rId2154" Type="http://schemas.openxmlformats.org/officeDocument/2006/relationships/hyperlink" Target="https://afterschools.olc.tw/afterschools/view/33202005280003" TargetMode="External"/><Relationship Id="rId2155" Type="http://schemas.openxmlformats.org/officeDocument/2006/relationships/hyperlink" Target="https://afterschools.olc.tw/afterschools/view/33201601050004" TargetMode="External"/><Relationship Id="rId2156" Type="http://schemas.openxmlformats.org/officeDocument/2006/relationships/hyperlink" Target="https://afterschools.olc.tw/afterschools/view/33200311120002" TargetMode="External"/><Relationship Id="rId2157" Type="http://schemas.openxmlformats.org/officeDocument/2006/relationships/hyperlink" Target="https://afterschools.olc.tw/afterschools/view/33201709150001" TargetMode="External"/><Relationship Id="rId2158" Type="http://schemas.openxmlformats.org/officeDocument/2006/relationships/hyperlink" Target="https://afterschools.olc.tw/afterschools/view/33200208270019" TargetMode="External"/><Relationship Id="rId2159" Type="http://schemas.openxmlformats.org/officeDocument/2006/relationships/hyperlink" Target="https://afterschools.olc.tw/afterschools/view/33200209130028" TargetMode="External"/><Relationship Id="rId2160" Type="http://schemas.openxmlformats.org/officeDocument/2006/relationships/hyperlink" Target="https://afterschools.olc.tw/afterschools/view/33200809010002" TargetMode="External"/><Relationship Id="rId2161" Type="http://schemas.openxmlformats.org/officeDocument/2006/relationships/hyperlink" Target="https://afterschools.olc.tw/afterschools/view/33202110200002" TargetMode="External"/><Relationship Id="rId2162" Type="http://schemas.openxmlformats.org/officeDocument/2006/relationships/hyperlink" Target="https://afterschools.olc.tw/afterschools/view/33200604010007" TargetMode="External"/><Relationship Id="rId2163" Type="http://schemas.openxmlformats.org/officeDocument/2006/relationships/hyperlink" Target="https://afterschools.olc.tw/afterschools/view/33200306100004" TargetMode="External"/><Relationship Id="rId2164" Type="http://schemas.openxmlformats.org/officeDocument/2006/relationships/hyperlink" Target="https://afterschools.olc.tw/afterschools/view/33201409190001" TargetMode="External"/><Relationship Id="rId2165" Type="http://schemas.openxmlformats.org/officeDocument/2006/relationships/hyperlink" Target="https://afterschools.olc.tw/afterschools/view/33201407040005" TargetMode="External"/><Relationship Id="rId2166" Type="http://schemas.openxmlformats.org/officeDocument/2006/relationships/hyperlink" Target="https://afterschools.olc.tw/afterschools/view/33201809190001" TargetMode="External"/><Relationship Id="rId2167" Type="http://schemas.openxmlformats.org/officeDocument/2006/relationships/hyperlink" Target="https://afterschools.olc.tw/afterschools/view/33200904140001" TargetMode="External"/><Relationship Id="rId2168" Type="http://schemas.openxmlformats.org/officeDocument/2006/relationships/hyperlink" Target="https://afterschools.olc.tw/afterschools/view/33200310010020" TargetMode="External"/><Relationship Id="rId2169" Type="http://schemas.openxmlformats.org/officeDocument/2006/relationships/hyperlink" Target="https://afterschools.olc.tw/afterschools/view/33201112060001" TargetMode="External"/><Relationship Id="rId2170" Type="http://schemas.openxmlformats.org/officeDocument/2006/relationships/hyperlink" Target="https://afterschools.olc.tw/afterschools/view/33201007050001" TargetMode="External"/><Relationship Id="rId2171" Type="http://schemas.openxmlformats.org/officeDocument/2006/relationships/hyperlink" Target="https://afterschools.olc.tw/afterschools/view/33200302100003" TargetMode="External"/><Relationship Id="rId2172" Type="http://schemas.openxmlformats.org/officeDocument/2006/relationships/hyperlink" Target="https://afterschools.olc.tw/afterschools/view/33202507210001" TargetMode="External"/><Relationship Id="rId2173" Type="http://schemas.openxmlformats.org/officeDocument/2006/relationships/hyperlink" Target="https://afterschools.olc.tw/afterschools/view/33202608110001" TargetMode="External"/><Relationship Id="rId2174" Type="http://schemas.openxmlformats.org/officeDocument/2006/relationships/hyperlink" Target="https://afterschools.olc.tw/afterschools/view/33201804270001" TargetMode="External"/><Relationship Id="rId2175" Type="http://schemas.openxmlformats.org/officeDocument/2006/relationships/hyperlink" Target="https://afterschools.olc.tw/afterschools/view/33201702130001" TargetMode="External"/><Relationship Id="rId2176" Type="http://schemas.openxmlformats.org/officeDocument/2006/relationships/hyperlink" Target="https://afterschools.olc.tw/afterschools/view/33201007080002" TargetMode="External"/><Relationship Id="rId2177" Type="http://schemas.openxmlformats.org/officeDocument/2006/relationships/hyperlink" Target="https://afterschools.olc.tw/afterschools/view/33200903230003" TargetMode="External"/><Relationship Id="rId2178" Type="http://schemas.openxmlformats.org/officeDocument/2006/relationships/hyperlink" Target="https://afterschools.olc.tw/afterschools/view/33202002060001" TargetMode="External"/><Relationship Id="rId2179" Type="http://schemas.openxmlformats.org/officeDocument/2006/relationships/hyperlink" Target="https://afterschools.olc.tw/afterschools/view/33201705110001" TargetMode="External"/><Relationship Id="rId2180" Type="http://schemas.openxmlformats.org/officeDocument/2006/relationships/hyperlink" Target="https://afterschools.olc.tw/afterschools/view/33202607300003" TargetMode="External"/><Relationship Id="rId2181" Type="http://schemas.openxmlformats.org/officeDocument/2006/relationships/hyperlink" Target="https://afterschools.olc.tw/afterschools/view/33201607120002" TargetMode="External"/><Relationship Id="rId2182" Type="http://schemas.openxmlformats.org/officeDocument/2006/relationships/hyperlink" Target="https://afterschools.olc.tw/afterschools/view/33200908270001" TargetMode="External"/><Relationship Id="rId2183" Type="http://schemas.openxmlformats.org/officeDocument/2006/relationships/hyperlink" Target="https://afterschools.olc.tw/afterschools/view/33201906250002" TargetMode="External"/><Relationship Id="rId2184" Type="http://schemas.openxmlformats.org/officeDocument/2006/relationships/hyperlink" Target="https://afterschools.olc.tw/afterschools/view/33202501220001" TargetMode="External"/><Relationship Id="rId2185" Type="http://schemas.openxmlformats.org/officeDocument/2006/relationships/hyperlink" Target="https://afterschools.olc.tw/afterschools/view/33200806300001" TargetMode="External"/><Relationship Id="rId2186" Type="http://schemas.openxmlformats.org/officeDocument/2006/relationships/hyperlink" Target="https://afterschools.olc.tw/afterschools/view/33200306020003" TargetMode="External"/><Relationship Id="rId2187" Type="http://schemas.openxmlformats.org/officeDocument/2006/relationships/hyperlink" Target="https://afterschools.olc.tw/afterschools/view/33202010230001" TargetMode="External"/><Relationship Id="rId2188" Type="http://schemas.openxmlformats.org/officeDocument/2006/relationships/hyperlink" Target="https://afterschools.olc.tw/afterschools/view/33202601020001" TargetMode="External"/><Relationship Id="rId2189" Type="http://schemas.openxmlformats.org/officeDocument/2006/relationships/hyperlink" Target="https://afterschools.olc.tw/afterschools/view/33201612120001" TargetMode="External"/><Relationship Id="rId2190" Type="http://schemas.openxmlformats.org/officeDocument/2006/relationships/hyperlink" Target="https://afterschools.olc.tw/afterschools/view/33201604130001" TargetMode="External"/><Relationship Id="rId2191" Type="http://schemas.openxmlformats.org/officeDocument/2006/relationships/hyperlink" Target="https://afterschools.olc.tw/afterschools/view/33201202010001" TargetMode="External"/><Relationship Id="rId2192" Type="http://schemas.openxmlformats.org/officeDocument/2006/relationships/hyperlink" Target="https://afterschools.olc.tw/afterschools/view/33200209160034" TargetMode="External"/><Relationship Id="rId2193" Type="http://schemas.openxmlformats.org/officeDocument/2006/relationships/hyperlink" Target="https://afterschools.olc.tw/afterschools/view/33201304240007" TargetMode="External"/><Relationship Id="rId2194" Type="http://schemas.openxmlformats.org/officeDocument/2006/relationships/hyperlink" Target="https://afterschools.olc.tw/afterschools/view/33201308020002" TargetMode="External"/><Relationship Id="rId2195" Type="http://schemas.openxmlformats.org/officeDocument/2006/relationships/hyperlink" Target="https://afterschools.olc.tw/afterschools/view/33200708080001" TargetMode="External"/><Relationship Id="rId2196" Type="http://schemas.openxmlformats.org/officeDocument/2006/relationships/hyperlink" Target="https://afterschools.olc.tw/afterschools/view/33201201090001" TargetMode="External"/><Relationship Id="rId2197" Type="http://schemas.openxmlformats.org/officeDocument/2006/relationships/hyperlink" Target="https://afterschools.olc.tw/afterschools/view/33200806100001" TargetMode="External"/><Relationship Id="rId2198" Type="http://schemas.openxmlformats.org/officeDocument/2006/relationships/hyperlink" Target="https://afterschools.olc.tw/afterschools/view/33201604130002" TargetMode="External"/><Relationship Id="rId2199" Type="http://schemas.openxmlformats.org/officeDocument/2006/relationships/hyperlink" Target="https://afterschools.olc.tw/afterschools/view/33201708310001" TargetMode="External"/><Relationship Id="rId2200" Type="http://schemas.openxmlformats.org/officeDocument/2006/relationships/hyperlink" Target="https://afterschools.olc.tw/afterschools/view/33201112060002" TargetMode="External"/><Relationship Id="rId2201" Type="http://schemas.openxmlformats.org/officeDocument/2006/relationships/hyperlink" Target="https://afterschools.olc.tw/afterschools/view/33200811200002" TargetMode="External"/><Relationship Id="rId2202" Type="http://schemas.openxmlformats.org/officeDocument/2006/relationships/hyperlink" Target="https://afterschools.olc.tw/afterschools/view/33200209160013" TargetMode="External"/><Relationship Id="rId2203" Type="http://schemas.openxmlformats.org/officeDocument/2006/relationships/hyperlink" Target="https://afterschools.olc.tw/afterschools/view/33201612140001" TargetMode="External"/><Relationship Id="rId2204" Type="http://schemas.openxmlformats.org/officeDocument/2006/relationships/hyperlink" Target="https://afterschools.olc.tw/afterschools/view/33200803190003" TargetMode="External"/><Relationship Id="rId2205" Type="http://schemas.openxmlformats.org/officeDocument/2006/relationships/hyperlink" Target="https://afterschools.olc.tw/afterschools/view/33200310010008" TargetMode="External"/><Relationship Id="rId2206" Type="http://schemas.openxmlformats.org/officeDocument/2006/relationships/hyperlink" Target="https://afterschools.olc.tw/afterschools/view/33202006020001" TargetMode="External"/><Relationship Id="rId2207" Type="http://schemas.openxmlformats.org/officeDocument/2006/relationships/hyperlink" Target="https://afterschools.olc.tw/afterschools/view/33201005280001" TargetMode="External"/><Relationship Id="rId2208" Type="http://schemas.openxmlformats.org/officeDocument/2006/relationships/hyperlink" Target="https://afterschools.olc.tw/afterschools/view/33200208270005" TargetMode="External"/><Relationship Id="rId2209" Type="http://schemas.openxmlformats.org/officeDocument/2006/relationships/hyperlink" Target="https://afterschools.olc.tw/afterschools/view/33201304160004" TargetMode="External"/><Relationship Id="rId2210" Type="http://schemas.openxmlformats.org/officeDocument/2006/relationships/hyperlink" Target="https://afterschools.olc.tw/afterschools/view/33202409240001" TargetMode="External"/><Relationship Id="rId2211" Type="http://schemas.openxmlformats.org/officeDocument/2006/relationships/hyperlink" Target="https://afterschools.olc.tw/afterschools/view/33200312120005" TargetMode="External"/><Relationship Id="rId2212" Type="http://schemas.openxmlformats.org/officeDocument/2006/relationships/hyperlink" Target="https://afterschools.olc.tw/afterschools/view/33200911110001" TargetMode="External"/><Relationship Id="rId2213" Type="http://schemas.openxmlformats.org/officeDocument/2006/relationships/hyperlink" Target="https://afterschools.olc.tw/afterschools/view/33200612210041" TargetMode="External"/><Relationship Id="rId2214" Type="http://schemas.openxmlformats.org/officeDocument/2006/relationships/hyperlink" Target="https://afterschools.olc.tw/afterschools/view/33202507170001" TargetMode="External"/><Relationship Id="rId2215" Type="http://schemas.openxmlformats.org/officeDocument/2006/relationships/hyperlink" Target="https://afterschools.olc.tw/afterschools/view/33201304240001" TargetMode="External"/><Relationship Id="rId2216" Type="http://schemas.openxmlformats.org/officeDocument/2006/relationships/hyperlink" Target="https://afterschools.olc.tw/afterschools/view/33200709040002" TargetMode="External"/><Relationship Id="rId2217" Type="http://schemas.openxmlformats.org/officeDocument/2006/relationships/hyperlink" Target="https://afterschools.olc.tw/afterschools/view/33201912230001" TargetMode="External"/><Relationship Id="rId2218" Type="http://schemas.openxmlformats.org/officeDocument/2006/relationships/hyperlink" Target="https://afterschools.olc.tw/afterschools/view/33201207110001" TargetMode="External"/><Relationship Id="rId2219" Type="http://schemas.openxmlformats.org/officeDocument/2006/relationships/hyperlink" Target="https://afterschools.olc.tw/afterschools/view/33202404170001" TargetMode="External"/><Relationship Id="rId2220" Type="http://schemas.openxmlformats.org/officeDocument/2006/relationships/hyperlink" Target="https://afterschools.olc.tw/afterschools/view/33200710260002" TargetMode="External"/><Relationship Id="rId2221" Type="http://schemas.openxmlformats.org/officeDocument/2006/relationships/hyperlink" Target="https://afterschools.olc.tw/afterschools/view/33200507080017" TargetMode="External"/><Relationship Id="rId2222" Type="http://schemas.openxmlformats.org/officeDocument/2006/relationships/hyperlink" Target="https://afterschools.olc.tw/afterschools/view/33200507130018" TargetMode="External"/><Relationship Id="rId2223" Type="http://schemas.openxmlformats.org/officeDocument/2006/relationships/hyperlink" Target="https://afterschools.olc.tw/afterschools/view/33200612210014" TargetMode="External"/><Relationship Id="rId2224" Type="http://schemas.openxmlformats.org/officeDocument/2006/relationships/hyperlink" Target="https://afterschools.olc.tw/afterschools/view/33200612210021" TargetMode="External"/><Relationship Id="rId2225" Type="http://schemas.openxmlformats.org/officeDocument/2006/relationships/hyperlink" Target="https://afterschools.olc.tw/afterschools/view/33202509050002" TargetMode="External"/><Relationship Id="rId2226" Type="http://schemas.openxmlformats.org/officeDocument/2006/relationships/hyperlink" Target="https://afterschools.olc.tw/afterschools/view/33200303100001" TargetMode="External"/><Relationship Id="rId2227" Type="http://schemas.openxmlformats.org/officeDocument/2006/relationships/hyperlink" Target="https://afterschools.olc.tw/afterschools/view/33202011160001" TargetMode="External"/><Relationship Id="rId2228" Type="http://schemas.openxmlformats.org/officeDocument/2006/relationships/hyperlink" Target="https://afterschools.olc.tw/afterschools/view/33201202200001" TargetMode="External"/><Relationship Id="rId2229" Type="http://schemas.openxmlformats.org/officeDocument/2006/relationships/hyperlink" Target="https://afterschools.olc.tw/afterschools/view/33202302150001" TargetMode="External"/><Relationship Id="rId2230" Type="http://schemas.openxmlformats.org/officeDocument/2006/relationships/hyperlink" Target="https://afterschools.olc.tw/afterschools/view/33201008060004" TargetMode="External"/><Relationship Id="rId2231" Type="http://schemas.openxmlformats.org/officeDocument/2006/relationships/hyperlink" Target="https://afterschools.olc.tw/afterschools/view/33200207240024" TargetMode="External"/><Relationship Id="rId2232" Type="http://schemas.openxmlformats.org/officeDocument/2006/relationships/hyperlink" Target="https://afterschools.olc.tw/afterschools/view/33201001050001" TargetMode="External"/><Relationship Id="rId2233" Type="http://schemas.openxmlformats.org/officeDocument/2006/relationships/hyperlink" Target="https://afterschools.olc.tw/afterschools/view/33201412100002" TargetMode="External"/><Relationship Id="rId2234" Type="http://schemas.openxmlformats.org/officeDocument/2006/relationships/hyperlink" Target="https://afterschools.olc.tw/afterschools/view/33201407140001" TargetMode="External"/><Relationship Id="rId2235" Type="http://schemas.openxmlformats.org/officeDocument/2006/relationships/hyperlink" Target="https://afterschools.olc.tw/afterschools/view/33202208190001" TargetMode="External"/><Relationship Id="rId2236" Type="http://schemas.openxmlformats.org/officeDocument/2006/relationships/hyperlink" Target="https://afterschools.olc.tw/afterschools/view/33201102180001" TargetMode="External"/><Relationship Id="rId2237" Type="http://schemas.openxmlformats.org/officeDocument/2006/relationships/hyperlink" Target="https://afterschools.olc.tw/afterschools/view/33200907280001" TargetMode="External"/><Relationship Id="rId2238" Type="http://schemas.openxmlformats.org/officeDocument/2006/relationships/hyperlink" Target="https://afterschools.olc.tw/afterschools/view/33200911100006" TargetMode="External"/><Relationship Id="rId2239" Type="http://schemas.openxmlformats.org/officeDocument/2006/relationships/hyperlink" Target="https://afterschools.olc.tw/afterschools/view/33200804280004" TargetMode="External"/><Relationship Id="rId2240" Type="http://schemas.openxmlformats.org/officeDocument/2006/relationships/hyperlink" Target="https://afterschools.olc.tw/afterschools/view/33201703060001" TargetMode="External"/><Relationship Id="rId2241" Type="http://schemas.openxmlformats.org/officeDocument/2006/relationships/hyperlink" Target="https://afterschools.olc.tw/afterschools/view/33201012010005" TargetMode="External"/><Relationship Id="rId2242" Type="http://schemas.openxmlformats.org/officeDocument/2006/relationships/hyperlink" Target="https://afterschools.olc.tw/afterschools/view/33200707170011" TargetMode="External"/><Relationship Id="rId2243" Type="http://schemas.openxmlformats.org/officeDocument/2006/relationships/hyperlink" Target="https://afterschools.olc.tw/afterschools/view/33201309250008" TargetMode="External"/><Relationship Id="rId2244" Type="http://schemas.openxmlformats.org/officeDocument/2006/relationships/hyperlink" Target="https://afterschools.olc.tw/afterschools/view/33200402030001" TargetMode="External"/><Relationship Id="rId2245" Type="http://schemas.openxmlformats.org/officeDocument/2006/relationships/hyperlink" Target="https://afterschools.olc.tw/afterschools/view/33202401220001" TargetMode="External"/><Relationship Id="rId2246" Type="http://schemas.openxmlformats.org/officeDocument/2006/relationships/hyperlink" Target="https://afterschools.olc.tw/afterschools/view/33200209160031" TargetMode="External"/><Relationship Id="rId2247" Type="http://schemas.openxmlformats.org/officeDocument/2006/relationships/hyperlink" Target="https://afterschools.olc.tw/afterschools/view/33200208270018" TargetMode="External"/><Relationship Id="rId2248" Type="http://schemas.openxmlformats.org/officeDocument/2006/relationships/hyperlink" Target="https://afterschools.olc.tw/afterschools/view/33201608100001" TargetMode="External"/><Relationship Id="rId2249" Type="http://schemas.openxmlformats.org/officeDocument/2006/relationships/hyperlink" Target="https://afterschools.olc.tw/afterschools/view/33202012110001" TargetMode="External"/><Relationship Id="rId2250" Type="http://schemas.openxmlformats.org/officeDocument/2006/relationships/hyperlink" Target="https://afterschools.olc.tw/afterschools/view/33201003110001" TargetMode="External"/><Relationship Id="rId2251" Type="http://schemas.openxmlformats.org/officeDocument/2006/relationships/hyperlink" Target="https://afterschools.olc.tw/afterschools/view/33200504060001" TargetMode="External"/><Relationship Id="rId2252" Type="http://schemas.openxmlformats.org/officeDocument/2006/relationships/hyperlink" Target="https://afterschools.olc.tw/afterschools/view/33200903240001" TargetMode="External"/><Relationship Id="rId2253" Type="http://schemas.openxmlformats.org/officeDocument/2006/relationships/hyperlink" Target="https://afterschools.olc.tw/afterschools/view/33200207230025" TargetMode="External"/><Relationship Id="rId2254" Type="http://schemas.openxmlformats.org/officeDocument/2006/relationships/hyperlink" Target="https://afterschools.olc.tw/afterschools/view/33200210040005" TargetMode="External"/><Relationship Id="rId2255" Type="http://schemas.openxmlformats.org/officeDocument/2006/relationships/hyperlink" Target="https://afterschools.olc.tw/afterschools/view/33200701250006" TargetMode="External"/><Relationship Id="rId2256" Type="http://schemas.openxmlformats.org/officeDocument/2006/relationships/hyperlink" Target="https://afterschools.olc.tw/afterschools/view/33200302100001" TargetMode="External"/><Relationship Id="rId2257" Type="http://schemas.openxmlformats.org/officeDocument/2006/relationships/hyperlink" Target="https://afterschools.olc.tw/afterschools/view/33200505230004" TargetMode="External"/><Relationship Id="rId2258" Type="http://schemas.openxmlformats.org/officeDocument/2006/relationships/hyperlink" Target="https://afterschools.olc.tw/afterschools/view/33201511270002" TargetMode="External"/><Relationship Id="rId2259" Type="http://schemas.openxmlformats.org/officeDocument/2006/relationships/hyperlink" Target="https://afterschools.olc.tw/afterschools/view/33202109060002" TargetMode="External"/><Relationship Id="rId2260" Type="http://schemas.openxmlformats.org/officeDocument/2006/relationships/hyperlink" Target="https://afterschools.olc.tw/afterschools/view/33201011300005" TargetMode="External"/><Relationship Id="rId2261" Type="http://schemas.openxmlformats.org/officeDocument/2006/relationships/hyperlink" Target="https://afterschools.olc.tw/afterschools/view/33201903290001" TargetMode="External"/><Relationship Id="rId2262" Type="http://schemas.openxmlformats.org/officeDocument/2006/relationships/hyperlink" Target="https://afterschools.olc.tw/afterschools/view/33202503060001" TargetMode="External"/><Relationship Id="rId2263" Type="http://schemas.openxmlformats.org/officeDocument/2006/relationships/hyperlink" Target="https://afterschools.olc.tw/afterschools/view/33201803150001" TargetMode="External"/><Relationship Id="rId2264" Type="http://schemas.openxmlformats.org/officeDocument/2006/relationships/hyperlink" Target="https://afterschools.olc.tw/afterschools/view/33201112140001" TargetMode="External"/><Relationship Id="rId2265" Type="http://schemas.openxmlformats.org/officeDocument/2006/relationships/hyperlink" Target="https://afterschools.olc.tw/afterschools/view/33200707170012" TargetMode="External"/><Relationship Id="rId2266" Type="http://schemas.openxmlformats.org/officeDocument/2006/relationships/hyperlink" Target="https://afterschools.olc.tw/afterschools/view/33202212140001" TargetMode="External"/><Relationship Id="rId2267" Type="http://schemas.openxmlformats.org/officeDocument/2006/relationships/hyperlink" Target="https://afterschools.olc.tw/afterschools/view/33200807220003" TargetMode="External"/><Relationship Id="rId2268" Type="http://schemas.openxmlformats.org/officeDocument/2006/relationships/hyperlink" Target="https://afterschools.olc.tw/afterschools/view/33201608110001" TargetMode="External"/><Relationship Id="rId2269" Type="http://schemas.openxmlformats.org/officeDocument/2006/relationships/hyperlink" Target="https://afterschools.olc.tw/afterschools/view/33200612210010" TargetMode="External"/><Relationship Id="rId2270" Type="http://schemas.openxmlformats.org/officeDocument/2006/relationships/hyperlink" Target="https://afterschools.olc.tw/afterschools/view/33200609130001" TargetMode="External"/><Relationship Id="rId2271" Type="http://schemas.openxmlformats.org/officeDocument/2006/relationships/hyperlink" Target="https://afterschools.olc.tw/afterschools/view/33200612210011" TargetMode="External"/><Relationship Id="rId2272" Type="http://schemas.openxmlformats.org/officeDocument/2006/relationships/hyperlink" Target="https://afterschools.olc.tw/afterschools/view/33200707170005" TargetMode="External"/><Relationship Id="rId2273" Type="http://schemas.openxmlformats.org/officeDocument/2006/relationships/hyperlink" Target="https://afterschools.olc.tw/afterschools/view/33200708140005" TargetMode="External"/><Relationship Id="rId2274" Type="http://schemas.openxmlformats.org/officeDocument/2006/relationships/hyperlink" Target="https://afterschools.olc.tw/afterschools/view/33200703050002" TargetMode="External"/><Relationship Id="rId2275" Type="http://schemas.openxmlformats.org/officeDocument/2006/relationships/hyperlink" Target="https://afterschools.olc.tw/afterschools/view/33202003300001" TargetMode="External"/><Relationship Id="rId2276" Type="http://schemas.openxmlformats.org/officeDocument/2006/relationships/hyperlink" Target="https://afterschools.olc.tw/afterschools/view/33202402160001" TargetMode="External"/><Relationship Id="rId2277" Type="http://schemas.openxmlformats.org/officeDocument/2006/relationships/hyperlink" Target="https://afterschools.olc.tw/afterschools/view/33200507080011" TargetMode="External"/><Relationship Id="rId2278" Type="http://schemas.openxmlformats.org/officeDocument/2006/relationships/hyperlink" Target="https://afterschools.olc.tw/afterschools/view/33200405100006" TargetMode="External"/><Relationship Id="rId2279" Type="http://schemas.openxmlformats.org/officeDocument/2006/relationships/hyperlink" Target="https://afterschools.olc.tw/afterschools/view/33202205190001" TargetMode="External"/><Relationship Id="rId2280" Type="http://schemas.openxmlformats.org/officeDocument/2006/relationships/hyperlink" Target="https://afterschools.olc.tw/afterschools/view/33202509050001" TargetMode="External"/><Relationship Id="rId2281" Type="http://schemas.openxmlformats.org/officeDocument/2006/relationships/hyperlink" Target="https://afterschools.olc.tw/afterschools/view/33202605260001" TargetMode="External"/><Relationship Id="rId2282" Type="http://schemas.openxmlformats.org/officeDocument/2006/relationships/hyperlink" Target="https://afterschools.olc.tw/afterschools/view/33202408290001" TargetMode="External"/><Relationship Id="rId2283" Type="http://schemas.openxmlformats.org/officeDocument/2006/relationships/hyperlink" Target="https://afterschools.olc.tw/afterschools/view/33202607270001" TargetMode="External"/><Relationship Id="rId2284" Type="http://schemas.openxmlformats.org/officeDocument/2006/relationships/hyperlink" Target="https://afterschools.olc.tw/afterschools/view/33201304240005" TargetMode="External"/><Relationship Id="rId2285" Type="http://schemas.openxmlformats.org/officeDocument/2006/relationships/hyperlink" Target="https://afterschools.olc.tw/afterschools/view/33201810220001" TargetMode="External"/><Relationship Id="rId2286" Type="http://schemas.openxmlformats.org/officeDocument/2006/relationships/hyperlink" Target="https://afterschools.olc.tw/afterschools/view/33202506240001" TargetMode="External"/><Relationship Id="rId2287" Type="http://schemas.openxmlformats.org/officeDocument/2006/relationships/hyperlink" Target="https://afterschools.olc.tw/afterschools/view/33200507080001" TargetMode="External"/><Relationship Id="rId2288" Type="http://schemas.openxmlformats.org/officeDocument/2006/relationships/hyperlink" Target="https://afterschools.olc.tw/afterschools/view/33202502130002" TargetMode="External"/><Relationship Id="rId2289" Type="http://schemas.openxmlformats.org/officeDocument/2006/relationships/hyperlink" Target="https://afterschools.olc.tw/afterschools/view/33201903120001" TargetMode="External"/><Relationship Id="rId2290" Type="http://schemas.openxmlformats.org/officeDocument/2006/relationships/hyperlink" Target="https://afterschools.olc.tw/afterschools/view/33200209130023" TargetMode="External"/><Relationship Id="rId2291" Type="http://schemas.openxmlformats.org/officeDocument/2006/relationships/hyperlink" Target="https://afterschools.olc.tw/afterschools/view/33202501090001" TargetMode="External"/><Relationship Id="rId2292" Type="http://schemas.openxmlformats.org/officeDocument/2006/relationships/hyperlink" Target="https://afterschools.olc.tw/afterschools/view/33201401290007" TargetMode="External"/><Relationship Id="rId2293" Type="http://schemas.openxmlformats.org/officeDocument/2006/relationships/hyperlink" Target="https://afterschools.olc.tw/afterschools/view/33201503160002" TargetMode="External"/><Relationship Id="rId2294" Type="http://schemas.openxmlformats.org/officeDocument/2006/relationships/hyperlink" Target="https://afterschools.olc.tw/afterschools/view/33200503310016" TargetMode="External"/><Relationship Id="rId2295" Type="http://schemas.openxmlformats.org/officeDocument/2006/relationships/hyperlink" Target="https://afterschools.olc.tw/afterschools/view/33202202070001" TargetMode="External"/><Relationship Id="rId2296" Type="http://schemas.openxmlformats.org/officeDocument/2006/relationships/hyperlink" Target="https://afterschools.olc.tw/afterschools/view/33200209130024" TargetMode="External"/><Relationship Id="rId2297" Type="http://schemas.openxmlformats.org/officeDocument/2006/relationships/hyperlink" Target="https://afterschools.olc.tw/afterschools/view/33201003040001" TargetMode="External"/><Relationship Id="rId2298" Type="http://schemas.openxmlformats.org/officeDocument/2006/relationships/hyperlink" Target="https://afterschools.olc.tw/afterschools/view/33200207230016" TargetMode="External"/><Relationship Id="rId2299" Type="http://schemas.openxmlformats.org/officeDocument/2006/relationships/hyperlink" Target="https://afterschools.olc.tw/afterschools/view/33202207070001" TargetMode="External"/><Relationship Id="rId2300" Type="http://schemas.openxmlformats.org/officeDocument/2006/relationships/hyperlink" Target="https://afterschools.olc.tw/afterschools/view/33200710290005" TargetMode="External"/><Relationship Id="rId2301" Type="http://schemas.openxmlformats.org/officeDocument/2006/relationships/hyperlink" Target="https://afterschools.olc.tw/afterschools/view/33202506040002" TargetMode="External"/><Relationship Id="rId2302" Type="http://schemas.openxmlformats.org/officeDocument/2006/relationships/hyperlink" Target="https://afterschools.olc.tw/afterschools/view/33202002260001" TargetMode="External"/><Relationship Id="rId2303" Type="http://schemas.openxmlformats.org/officeDocument/2006/relationships/hyperlink" Target="https://afterschools.olc.tw/afterschools/view/33200807180001" TargetMode="External"/><Relationship Id="rId2304" Type="http://schemas.openxmlformats.org/officeDocument/2006/relationships/hyperlink" Target="https://afterschools.olc.tw/afterschools/view/33202502120001" TargetMode="External"/><Relationship Id="rId2305" Type="http://schemas.openxmlformats.org/officeDocument/2006/relationships/hyperlink" Target="https://afterschools.olc.tw/afterschools/view/33200711010003" TargetMode="External"/><Relationship Id="rId2306" Type="http://schemas.openxmlformats.org/officeDocument/2006/relationships/hyperlink" Target="https://afterschools.olc.tw/afterschools/view/33200701180003" TargetMode="External"/><Relationship Id="rId2307" Type="http://schemas.openxmlformats.org/officeDocument/2006/relationships/hyperlink" Target="https://afterschools.olc.tw/afterschools/view/33202211110001" TargetMode="External"/><Relationship Id="rId2308" Type="http://schemas.openxmlformats.org/officeDocument/2006/relationships/hyperlink" Target="https://afterschools.olc.tw/afterschools/view/33202011160002" TargetMode="External"/><Relationship Id="rId2309" Type="http://schemas.openxmlformats.org/officeDocument/2006/relationships/hyperlink" Target="https://afterschools.olc.tw/afterschools/view/33202111240001" TargetMode="External"/><Relationship Id="rId2310" Type="http://schemas.openxmlformats.org/officeDocument/2006/relationships/hyperlink" Target="https://afterschools.olc.tw/afterschools/view/33202310310001" TargetMode="External"/><Relationship Id="rId2311" Type="http://schemas.openxmlformats.org/officeDocument/2006/relationships/hyperlink" Target="https://afterschools.olc.tw/afterschools/view/33202606290001" TargetMode="External"/><Relationship Id="rId2312" Type="http://schemas.openxmlformats.org/officeDocument/2006/relationships/hyperlink" Target="https://afterschools.olc.tw/afterschools/view/33202406130001" TargetMode="External"/><Relationship Id="rId2313" Type="http://schemas.openxmlformats.org/officeDocument/2006/relationships/hyperlink" Target="https://afterschools.olc.tw/afterschools/view/33202607080001" TargetMode="External"/><Relationship Id="rId2314" Type="http://schemas.openxmlformats.org/officeDocument/2006/relationships/hyperlink" Target="https://afterschools.olc.tw/afterschools/view/33201801160001" TargetMode="External"/><Relationship Id="rId2315" Type="http://schemas.openxmlformats.org/officeDocument/2006/relationships/hyperlink" Target="https://afterschools.olc.tw/afterschools/view/33202411130001" TargetMode="External"/><Relationship Id="rId2316" Type="http://schemas.openxmlformats.org/officeDocument/2006/relationships/hyperlink" Target="https://afterschools.olc.tw/afterschools/view/33202507290001" TargetMode="External"/><Relationship Id="rId2317" Type="http://schemas.openxmlformats.org/officeDocument/2006/relationships/hyperlink" Target="https://afterschools.olc.tw/afterschools/view/33201601040004" TargetMode="External"/><Relationship Id="rId2318" Type="http://schemas.openxmlformats.org/officeDocument/2006/relationships/hyperlink" Target="https://afterschools.olc.tw/afterschools/view/33201507170001" TargetMode="External"/><Relationship Id="rId2319" Type="http://schemas.openxmlformats.org/officeDocument/2006/relationships/hyperlink" Target="https://afterschools.olc.tw/afterschools/view/33202004170001" TargetMode="External"/><Relationship Id="rId2320" Type="http://schemas.openxmlformats.org/officeDocument/2006/relationships/hyperlink" Target="https://afterschools.olc.tw/afterschools/view/33200909290001" TargetMode="External"/><Relationship Id="rId2321" Type="http://schemas.openxmlformats.org/officeDocument/2006/relationships/hyperlink" Target="https://afterschools.olc.tw/afterschools/view/33200306100003" TargetMode="External"/><Relationship Id="rId2322" Type="http://schemas.openxmlformats.org/officeDocument/2006/relationships/hyperlink" Target="https://afterschools.olc.tw/afterschools/view/33202607130001" TargetMode="External"/><Relationship Id="rId2323" Type="http://schemas.openxmlformats.org/officeDocument/2006/relationships/hyperlink" Target="https://afterschools.olc.tw/afterschools/view/33200207240051" TargetMode="External"/><Relationship Id="rId2324" Type="http://schemas.openxmlformats.org/officeDocument/2006/relationships/hyperlink" Target="https://afterschools.olc.tw/afterschools/view/33200612210019" TargetMode="External"/><Relationship Id="rId2325" Type="http://schemas.openxmlformats.org/officeDocument/2006/relationships/hyperlink" Target="https://afterschools.olc.tw/afterschools/view/33200908270003" TargetMode="External"/><Relationship Id="rId2326" Type="http://schemas.openxmlformats.org/officeDocument/2006/relationships/hyperlink" Target="https://afterschools.olc.tw/afterschools/view/33200207300034" TargetMode="External"/><Relationship Id="rId2327" Type="http://schemas.openxmlformats.org/officeDocument/2006/relationships/hyperlink" Target="https://afterschools.olc.tw/afterschools/view/33201207230001" TargetMode="External"/><Relationship Id="rId2328" Type="http://schemas.openxmlformats.org/officeDocument/2006/relationships/hyperlink" Target="https://afterschools.olc.tw/afterschools/view/33201906280001" TargetMode="External"/><Relationship Id="rId2329" Type="http://schemas.openxmlformats.org/officeDocument/2006/relationships/hyperlink" Target="https://afterschools.olc.tw/afterschools/view/33202112230001" TargetMode="External"/><Relationship Id="rId2330" Type="http://schemas.openxmlformats.org/officeDocument/2006/relationships/hyperlink" Target="https://afterschools.olc.tw/afterschools/view/33200611070008" TargetMode="External"/><Relationship Id="rId2331" Type="http://schemas.openxmlformats.org/officeDocument/2006/relationships/hyperlink" Target="https://afterschools.olc.tw/afterschools/view/33201204120001" TargetMode="External"/><Relationship Id="rId2332" Type="http://schemas.openxmlformats.org/officeDocument/2006/relationships/hyperlink" Target="https://afterschools.olc.tw/afterschools/view/33201807270001" TargetMode="External"/><Relationship Id="rId2333" Type="http://schemas.openxmlformats.org/officeDocument/2006/relationships/hyperlink" Target="https://afterschools.olc.tw/afterschools/view/33202608070001" TargetMode="External"/><Relationship Id="rId2334" Type="http://schemas.openxmlformats.org/officeDocument/2006/relationships/hyperlink" Target="https://afterschools.olc.tw/afterschools/view/33201112230001" TargetMode="External"/><Relationship Id="rId2335" Type="http://schemas.openxmlformats.org/officeDocument/2006/relationships/hyperlink" Target="https://afterschools.olc.tw/afterschools/view/33201304020002" TargetMode="External"/><Relationship Id="rId2336" Type="http://schemas.openxmlformats.org/officeDocument/2006/relationships/hyperlink" Target="https://afterschools.olc.tw/afterschools/view/33202604170003" TargetMode="External"/><Relationship Id="rId2337" Type="http://schemas.openxmlformats.org/officeDocument/2006/relationships/hyperlink" Target="https://afterschools.olc.tw/afterschools/view/33200208200037" TargetMode="External"/><Relationship Id="rId2338" Type="http://schemas.openxmlformats.org/officeDocument/2006/relationships/hyperlink" Target="https://afterschools.olc.tw/afterschools/view/33200801220001" TargetMode="External"/><Relationship Id="rId2339" Type="http://schemas.openxmlformats.org/officeDocument/2006/relationships/hyperlink" Target="https://afterschools.olc.tw/afterschools/view/33200806160001" TargetMode="External"/><Relationship Id="rId2340" Type="http://schemas.openxmlformats.org/officeDocument/2006/relationships/hyperlink" Target="https://afterschools.olc.tw/afterschools/view/33200507120012" TargetMode="External"/><Relationship Id="rId2341" Type="http://schemas.openxmlformats.org/officeDocument/2006/relationships/hyperlink" Target="https://afterschools.olc.tw/afterschools/view/33202411260001" TargetMode="External"/><Relationship Id="rId2342" Type="http://schemas.openxmlformats.org/officeDocument/2006/relationships/hyperlink" Target="https://afterschools.olc.tw/afterschools/view/33201002050001" TargetMode="External"/><Relationship Id="rId2343" Type="http://schemas.openxmlformats.org/officeDocument/2006/relationships/hyperlink" Target="https://afterschools.olc.tw/afterschools/view/33202512230001" TargetMode="External"/><Relationship Id="rId2344" Type="http://schemas.openxmlformats.org/officeDocument/2006/relationships/hyperlink" Target="https://afterschools.olc.tw/afterschools/view/33200809300001" TargetMode="External"/><Relationship Id="rId2345" Type="http://schemas.openxmlformats.org/officeDocument/2006/relationships/hyperlink" Target="https://afterschools.olc.tw/afterschools/view/33201112270001" TargetMode="External"/><Relationship Id="rId2346" Type="http://schemas.openxmlformats.org/officeDocument/2006/relationships/hyperlink" Target="https://afterschools.olc.tw/afterschools/view/33202205300001" TargetMode="External"/><Relationship Id="rId2347" Type="http://schemas.openxmlformats.org/officeDocument/2006/relationships/hyperlink" Target="https://afterschools.olc.tw/afterschools/view/42200806020001" TargetMode="External"/><Relationship Id="rId2348" Type="http://schemas.openxmlformats.org/officeDocument/2006/relationships/hyperlink" Target="https://afterschools.olc.tw/afterschools/view/42200503160001" TargetMode="External"/><Relationship Id="rId2349" Type="http://schemas.openxmlformats.org/officeDocument/2006/relationships/hyperlink" Target="https://afterschools.olc.tw/afterschools/view/42200210160004" TargetMode="External"/><Relationship Id="rId2350" Type="http://schemas.openxmlformats.org/officeDocument/2006/relationships/hyperlink" Target="https://afterschools.olc.tw/afterschools/view/42201011120001" TargetMode="External"/><Relationship Id="rId2351" Type="http://schemas.openxmlformats.org/officeDocument/2006/relationships/hyperlink" Target="https://afterschools.olc.tw/afterschools/view/42200505050003" TargetMode="External"/><Relationship Id="rId2352" Type="http://schemas.openxmlformats.org/officeDocument/2006/relationships/hyperlink" Target="https://afterschools.olc.tw/afterschools/view/42200704020001" TargetMode="External"/><Relationship Id="rId2353" Type="http://schemas.openxmlformats.org/officeDocument/2006/relationships/hyperlink" Target="https://afterschools.olc.tw/afterschools/view/42200406010002" TargetMode="External"/><Relationship Id="rId2354" Type="http://schemas.openxmlformats.org/officeDocument/2006/relationships/hyperlink" Target="https://afterschools.olc.tw/afterschools/view/42201009300001" TargetMode="External"/><Relationship Id="rId2355" Type="http://schemas.openxmlformats.org/officeDocument/2006/relationships/hyperlink" Target="https://afterschools.olc.tw/afterschools/view/42200306130003" TargetMode="External"/><Relationship Id="rId2356" Type="http://schemas.openxmlformats.org/officeDocument/2006/relationships/hyperlink" Target="https://afterschools.olc.tw/afterschools/view/42200902050001" TargetMode="External"/><Relationship Id="rId2357" Type="http://schemas.openxmlformats.org/officeDocument/2006/relationships/hyperlink" Target="https://afterschools.olc.tw/afterschools/view/42200208120346" TargetMode="External"/><Relationship Id="rId2358" Type="http://schemas.openxmlformats.org/officeDocument/2006/relationships/hyperlink" Target="https://afterschools.olc.tw/afterschools/view/42200208120333" TargetMode="External"/><Relationship Id="rId2359" Type="http://schemas.openxmlformats.org/officeDocument/2006/relationships/hyperlink" Target="https://afterschools.olc.tw/afterschools/view/42200208120334" TargetMode="External"/><Relationship Id="rId2360" Type="http://schemas.openxmlformats.org/officeDocument/2006/relationships/hyperlink" Target="https://afterschools.olc.tw/afterschools/view/42200208120230" TargetMode="External"/><Relationship Id="rId2361" Type="http://schemas.openxmlformats.org/officeDocument/2006/relationships/hyperlink" Target="https://afterschools.olc.tw/afterschools/view/42200509050001" TargetMode="External"/><Relationship Id="rId2362" Type="http://schemas.openxmlformats.org/officeDocument/2006/relationships/hyperlink" Target="https://afterschools.olc.tw/afterschools/view/42200208120473" TargetMode="External"/><Relationship Id="rId2363" Type="http://schemas.openxmlformats.org/officeDocument/2006/relationships/hyperlink" Target="https://afterschools.olc.tw/afterschools/view/42200208120356" TargetMode="External"/><Relationship Id="rId2364" Type="http://schemas.openxmlformats.org/officeDocument/2006/relationships/hyperlink" Target="https://afterschools.olc.tw/afterschools/view/42200208120483" TargetMode="External"/><Relationship Id="rId2365" Type="http://schemas.openxmlformats.org/officeDocument/2006/relationships/hyperlink" Target="https://afterschools.olc.tw/afterschools/view/42200409240003" TargetMode="External"/><Relationship Id="rId2366" Type="http://schemas.openxmlformats.org/officeDocument/2006/relationships/hyperlink" Target="https://afterschools.olc.tw/afterschools/view/42200307310001" TargetMode="External"/><Relationship Id="rId2367" Type="http://schemas.openxmlformats.org/officeDocument/2006/relationships/hyperlink" Target="https://afterschools.olc.tw/afterschools/view/42200611010001" TargetMode="External"/><Relationship Id="rId2368" Type="http://schemas.openxmlformats.org/officeDocument/2006/relationships/hyperlink" Target="https://afterschools.olc.tw/afterschools/view/42200504130003" TargetMode="External"/><Relationship Id="rId2369" Type="http://schemas.openxmlformats.org/officeDocument/2006/relationships/hyperlink" Target="https://afterschools.olc.tw/afterschools/view/42200710170001" TargetMode="External"/><Relationship Id="rId2370" Type="http://schemas.openxmlformats.org/officeDocument/2006/relationships/hyperlink" Target="https://afterschools.olc.tw/afterschools/view/42200208120380" TargetMode="External"/><Relationship Id="rId2371" Type="http://schemas.openxmlformats.org/officeDocument/2006/relationships/hyperlink" Target="https://afterschools.olc.tw/afterschools/view/42200409230001" TargetMode="External"/><Relationship Id="rId2372" Type="http://schemas.openxmlformats.org/officeDocument/2006/relationships/hyperlink" Target="https://afterschools.olc.tw/afterschools/view/42200208120497" TargetMode="External"/><Relationship Id="rId2373" Type="http://schemas.openxmlformats.org/officeDocument/2006/relationships/hyperlink" Target="https://afterschools.olc.tw/afterschools/view/42200402230001" TargetMode="External"/><Relationship Id="rId2374" Type="http://schemas.openxmlformats.org/officeDocument/2006/relationships/hyperlink" Target="https://afterschools.olc.tw/afterschools/view/42200506090002" TargetMode="External"/><Relationship Id="rId2375" Type="http://schemas.openxmlformats.org/officeDocument/2006/relationships/hyperlink" Target="https://afterschools.olc.tw/afterschools/view/42200710050001" TargetMode="External"/><Relationship Id="rId2376" Type="http://schemas.openxmlformats.org/officeDocument/2006/relationships/hyperlink" Target="https://afterschools.olc.tw/afterschools/view/42200403120002" TargetMode="External"/><Relationship Id="rId2377" Type="http://schemas.openxmlformats.org/officeDocument/2006/relationships/hyperlink" Target="https://afterschools.olc.tw/afterschools/view/42200506070001" TargetMode="External"/><Relationship Id="rId2378" Type="http://schemas.openxmlformats.org/officeDocument/2006/relationships/hyperlink" Target="https://afterschools.olc.tw/afterschools/view/42200608250002" TargetMode="External"/><Relationship Id="rId2379" Type="http://schemas.openxmlformats.org/officeDocument/2006/relationships/hyperlink" Target="https://afterschools.olc.tw/afterschools/view/42200612290002" TargetMode="External"/><Relationship Id="rId2380" Type="http://schemas.openxmlformats.org/officeDocument/2006/relationships/hyperlink" Target="https://afterschools.olc.tw/afterschools/view/42200209110003" TargetMode="External"/><Relationship Id="rId2381" Type="http://schemas.openxmlformats.org/officeDocument/2006/relationships/hyperlink" Target="https://afterschools.olc.tw/afterschools/view/42200208120527" TargetMode="External"/><Relationship Id="rId2382" Type="http://schemas.openxmlformats.org/officeDocument/2006/relationships/hyperlink" Target="https://afterschools.olc.tw/afterschools/view/42200208120493" TargetMode="External"/><Relationship Id="rId2383" Type="http://schemas.openxmlformats.org/officeDocument/2006/relationships/hyperlink" Target="https://afterschools.olc.tw/afterschools/view/42200907020001" TargetMode="External"/><Relationship Id="rId2384" Type="http://schemas.openxmlformats.org/officeDocument/2006/relationships/hyperlink" Target="https://afterschools.olc.tw/afterschools/view/42200509280001" TargetMode="External"/><Relationship Id="rId2385" Type="http://schemas.openxmlformats.org/officeDocument/2006/relationships/hyperlink" Target="https://afterschools.olc.tw/afterschools/view/42200208120844" TargetMode="External"/><Relationship Id="rId2386" Type="http://schemas.openxmlformats.org/officeDocument/2006/relationships/hyperlink" Target="https://afterschools.olc.tw/afterschools/view/42200404130001" TargetMode="External"/><Relationship Id="rId2387" Type="http://schemas.openxmlformats.org/officeDocument/2006/relationships/hyperlink" Target="https://afterschools.olc.tw/afterschools/view/42200411290001" TargetMode="External"/><Relationship Id="rId2388" Type="http://schemas.openxmlformats.org/officeDocument/2006/relationships/hyperlink" Target="https://afterschools.olc.tw/afterschools/view/42200809260001" TargetMode="External"/><Relationship Id="rId2389" Type="http://schemas.openxmlformats.org/officeDocument/2006/relationships/hyperlink" Target="https://afterschools.olc.tw/afterschools/view/42201007290002" TargetMode="External"/><Relationship Id="rId2390" Type="http://schemas.openxmlformats.org/officeDocument/2006/relationships/hyperlink" Target="https://afterschools.olc.tw/afterschools/view/42200208120395" TargetMode="External"/><Relationship Id="rId2391" Type="http://schemas.openxmlformats.org/officeDocument/2006/relationships/hyperlink" Target="https://afterschools.olc.tw/afterschools/view/42200208130001" TargetMode="External"/><Relationship Id="rId2392" Type="http://schemas.openxmlformats.org/officeDocument/2006/relationships/hyperlink" Target="https://afterschools.olc.tw/afterschools/view/42200412300001" TargetMode="External"/><Relationship Id="rId2393" Type="http://schemas.openxmlformats.org/officeDocument/2006/relationships/hyperlink" Target="https://afterschools.olc.tw/afterschools/view/42200208120365" TargetMode="External"/><Relationship Id="rId2394" Type="http://schemas.openxmlformats.org/officeDocument/2006/relationships/hyperlink" Target="https://afterschools.olc.tw/afterschools/view/42200911040002" TargetMode="External"/><Relationship Id="rId2395" Type="http://schemas.openxmlformats.org/officeDocument/2006/relationships/hyperlink" Target="https://afterschools.olc.tw/afterschools/view/42201003030001" TargetMode="External"/><Relationship Id="rId2396" Type="http://schemas.openxmlformats.org/officeDocument/2006/relationships/hyperlink" Target="https://afterschools.olc.tw/afterschools/view/42200208120418" TargetMode="External"/><Relationship Id="rId2397" Type="http://schemas.openxmlformats.org/officeDocument/2006/relationships/hyperlink" Target="https://afterschools.olc.tw/afterschools/view/42200208120514" TargetMode="External"/><Relationship Id="rId2398" Type="http://schemas.openxmlformats.org/officeDocument/2006/relationships/hyperlink" Target="https://afterschools.olc.tw/afterschools/view/42200208120435" TargetMode="External"/><Relationship Id="rId2399" Type="http://schemas.openxmlformats.org/officeDocument/2006/relationships/hyperlink" Target="https://afterschools.olc.tw/afterschools/view/42200703290003" TargetMode="External"/><Relationship Id="rId2400" Type="http://schemas.openxmlformats.org/officeDocument/2006/relationships/hyperlink" Target="https://afterschools.olc.tw/afterschools/view/42200611020002" TargetMode="External"/><Relationship Id="rId2401" Type="http://schemas.openxmlformats.org/officeDocument/2006/relationships/hyperlink" Target="https://afterschools.olc.tw/afterschools/view/42200612050001" TargetMode="External"/><Relationship Id="rId2402" Type="http://schemas.openxmlformats.org/officeDocument/2006/relationships/hyperlink" Target="https://afterschools.olc.tw/afterschools/view/42200208120312" TargetMode="External"/><Relationship Id="rId2403" Type="http://schemas.openxmlformats.org/officeDocument/2006/relationships/hyperlink" Target="https://afterschools.olc.tw/afterschools/view/42200908170001" TargetMode="External"/><Relationship Id="rId2404" Type="http://schemas.openxmlformats.org/officeDocument/2006/relationships/hyperlink" Target="https://afterschools.olc.tw/afterschools/view/42200208120337" TargetMode="External"/><Relationship Id="rId2405" Type="http://schemas.openxmlformats.org/officeDocument/2006/relationships/hyperlink" Target="https://afterschools.olc.tw/afterschools/view/42200409090001" TargetMode="External"/><Relationship Id="rId2406" Type="http://schemas.openxmlformats.org/officeDocument/2006/relationships/hyperlink" Target="https://afterschools.olc.tw/afterschools/view/42200408180002" TargetMode="External"/><Relationship Id="rId2407" Type="http://schemas.openxmlformats.org/officeDocument/2006/relationships/hyperlink" Target="https://afterschools.olc.tw/afterschools/view/42200304250007" TargetMode="External"/><Relationship Id="rId2408" Type="http://schemas.openxmlformats.org/officeDocument/2006/relationships/hyperlink" Target="https://afterschools.olc.tw/afterschools/view/42200509260001" TargetMode="External"/><Relationship Id="rId2409" Type="http://schemas.openxmlformats.org/officeDocument/2006/relationships/hyperlink" Target="https://afterschools.olc.tw/afterschools/view/42200604200003" TargetMode="External"/><Relationship Id="rId2410" Type="http://schemas.openxmlformats.org/officeDocument/2006/relationships/hyperlink" Target="https://afterschools.olc.tw/afterschools/view/42200606200001" TargetMode="External"/><Relationship Id="rId2411" Type="http://schemas.openxmlformats.org/officeDocument/2006/relationships/hyperlink" Target="https://afterschools.olc.tw/afterschools/view/42200501190001" TargetMode="External"/><Relationship Id="rId2412" Type="http://schemas.openxmlformats.org/officeDocument/2006/relationships/hyperlink" Target="https://afterschools.olc.tw/afterschools/view/42200208120416" TargetMode="External"/><Relationship Id="rId2413" Type="http://schemas.openxmlformats.org/officeDocument/2006/relationships/hyperlink" Target="https://afterschools.olc.tw/afterschools/view/42201007090001" TargetMode="External"/><Relationship Id="rId2414" Type="http://schemas.openxmlformats.org/officeDocument/2006/relationships/hyperlink" Target="https://afterschools.olc.tw/afterschools/view/42200305060001" TargetMode="External"/><Relationship Id="rId2415" Type="http://schemas.openxmlformats.org/officeDocument/2006/relationships/hyperlink" Target="https://afterschools.olc.tw/afterschools/view/42200705250002" TargetMode="External"/><Relationship Id="rId2416" Type="http://schemas.openxmlformats.org/officeDocument/2006/relationships/hyperlink" Target="https://afterschools.olc.tw/afterschools/view/42200208120517" TargetMode="External"/><Relationship Id="rId2417" Type="http://schemas.openxmlformats.org/officeDocument/2006/relationships/hyperlink" Target="https://afterschools.olc.tw/afterschools/view/42200410270001" TargetMode="External"/><Relationship Id="rId2418" Type="http://schemas.openxmlformats.org/officeDocument/2006/relationships/hyperlink" Target="https://afterschools.olc.tw/afterschools/view/42200601190001" TargetMode="External"/><Relationship Id="rId2419" Type="http://schemas.openxmlformats.org/officeDocument/2006/relationships/hyperlink" Target="https://afterschools.olc.tw/afterschools/view/42200208120502" TargetMode="External"/><Relationship Id="rId2420" Type="http://schemas.openxmlformats.org/officeDocument/2006/relationships/hyperlink" Target="https://afterschools.olc.tw/afterschools/view/42200208120463" TargetMode="External"/><Relationship Id="rId2421" Type="http://schemas.openxmlformats.org/officeDocument/2006/relationships/hyperlink" Target="https://afterschools.olc.tw/afterschools/view/42200708090002" TargetMode="External"/><Relationship Id="rId2422" Type="http://schemas.openxmlformats.org/officeDocument/2006/relationships/hyperlink" Target="https://afterschools.olc.tw/afterschools/view/42201111030001" TargetMode="External"/><Relationship Id="rId2423" Type="http://schemas.openxmlformats.org/officeDocument/2006/relationships/hyperlink" Target="https://afterschools.olc.tw/afterschools/view/42200208120660" TargetMode="External"/><Relationship Id="rId2424" Type="http://schemas.openxmlformats.org/officeDocument/2006/relationships/hyperlink" Target="https://afterschools.olc.tw/afterschools/view/42200208120340" TargetMode="External"/><Relationship Id="rId2425" Type="http://schemas.openxmlformats.org/officeDocument/2006/relationships/hyperlink" Target="https://afterschools.olc.tw/afterschools/view/42200512140001" TargetMode="External"/><Relationship Id="rId2426" Type="http://schemas.openxmlformats.org/officeDocument/2006/relationships/hyperlink" Target="https://afterschools.olc.tw/afterschools/view/42201109090002" TargetMode="External"/><Relationship Id="rId2427" Type="http://schemas.openxmlformats.org/officeDocument/2006/relationships/hyperlink" Target="https://afterschools.olc.tw/afterschools/view/42200507259004" TargetMode="External"/><Relationship Id="rId2428" Type="http://schemas.openxmlformats.org/officeDocument/2006/relationships/hyperlink" Target="https://afterschools.olc.tw/afterschools/view/42201107290001" TargetMode="External"/><Relationship Id="rId2429" Type="http://schemas.openxmlformats.org/officeDocument/2006/relationships/hyperlink" Target="https://afterschools.olc.tw/afterschools/view/42200807099001" TargetMode="External"/><Relationship Id="rId2430" Type="http://schemas.openxmlformats.org/officeDocument/2006/relationships/hyperlink" Target="https://afterschools.olc.tw/afterschools/view/42200405279002" TargetMode="External"/><Relationship Id="rId2431" Type="http://schemas.openxmlformats.org/officeDocument/2006/relationships/hyperlink" Target="https://afterschools.olc.tw/afterschools/view/42200207319323" TargetMode="External"/><Relationship Id="rId2432" Type="http://schemas.openxmlformats.org/officeDocument/2006/relationships/hyperlink" Target="https://afterschools.olc.tw/afterschools/view/42201012039002" TargetMode="External"/><Relationship Id="rId2433" Type="http://schemas.openxmlformats.org/officeDocument/2006/relationships/hyperlink" Target="https://afterschools.olc.tw/afterschools/view/42200207319215" TargetMode="External"/><Relationship Id="rId2434" Type="http://schemas.openxmlformats.org/officeDocument/2006/relationships/hyperlink" Target="https://afterschools.olc.tw/afterschools/view/42201003059003" TargetMode="External"/><Relationship Id="rId2435" Type="http://schemas.openxmlformats.org/officeDocument/2006/relationships/hyperlink" Target="https://afterschools.olc.tw/afterschools/view/42200303079004" TargetMode="External"/><Relationship Id="rId2436" Type="http://schemas.openxmlformats.org/officeDocument/2006/relationships/hyperlink" Target="https://afterschools.olc.tw/afterschools/view/42200207319232" TargetMode="External"/><Relationship Id="rId2437" Type="http://schemas.openxmlformats.org/officeDocument/2006/relationships/hyperlink" Target="https://afterschools.olc.tw/afterschools/view/42200207319217" TargetMode="External"/><Relationship Id="rId2438" Type="http://schemas.openxmlformats.org/officeDocument/2006/relationships/hyperlink" Target="https://afterschools.olc.tw/afterschools/view/42200712079003" TargetMode="External"/><Relationship Id="rId2439" Type="http://schemas.openxmlformats.org/officeDocument/2006/relationships/hyperlink" Target="https://afterschools.olc.tw/afterschools/view/42200207319220" TargetMode="External"/><Relationship Id="rId2440" Type="http://schemas.openxmlformats.org/officeDocument/2006/relationships/hyperlink" Target="https://afterschools.olc.tw/afterschools/view/42202010120001" TargetMode="External"/><Relationship Id="rId2441" Type="http://schemas.openxmlformats.org/officeDocument/2006/relationships/hyperlink" Target="https://afterschools.olc.tw/afterschools/view/42200912149001" TargetMode="External"/><Relationship Id="rId2442" Type="http://schemas.openxmlformats.org/officeDocument/2006/relationships/hyperlink" Target="https://afterschools.olc.tw/afterschools/view/42200701309003" TargetMode="External"/><Relationship Id="rId2443" Type="http://schemas.openxmlformats.org/officeDocument/2006/relationships/hyperlink" Target="https://afterschools.olc.tw/afterschools/view/42200207319245" TargetMode="External"/><Relationship Id="rId2444" Type="http://schemas.openxmlformats.org/officeDocument/2006/relationships/hyperlink" Target="https://afterschools.olc.tw/afterschools/view/42200606019002" TargetMode="External"/><Relationship Id="rId2445" Type="http://schemas.openxmlformats.org/officeDocument/2006/relationships/hyperlink" Target="https://afterschools.olc.tw/afterschools/view/42201008059002" TargetMode="External"/><Relationship Id="rId2446" Type="http://schemas.openxmlformats.org/officeDocument/2006/relationships/hyperlink" Target="https://afterschools.olc.tw/afterschools/view/42200504089008" TargetMode="External"/><Relationship Id="rId2447" Type="http://schemas.openxmlformats.org/officeDocument/2006/relationships/hyperlink" Target="https://afterschools.olc.tw/afterschools/view/42200207319224" TargetMode="External"/><Relationship Id="rId2448" Type="http://schemas.openxmlformats.org/officeDocument/2006/relationships/hyperlink" Target="https://afterschools.olc.tw/afterschools/view/42200207319223" TargetMode="External"/><Relationship Id="rId2449" Type="http://schemas.openxmlformats.org/officeDocument/2006/relationships/hyperlink" Target="https://afterschools.olc.tw/afterschools/view/42200912019003" TargetMode="External"/><Relationship Id="rId2450" Type="http://schemas.openxmlformats.org/officeDocument/2006/relationships/hyperlink" Target="https://afterschools.olc.tw/afterschools/view/42200406239001" TargetMode="External"/><Relationship Id="rId2451" Type="http://schemas.openxmlformats.org/officeDocument/2006/relationships/hyperlink" Target="https://afterschools.olc.tw/afterschools/view/42200810289008" TargetMode="External"/><Relationship Id="rId2452" Type="http://schemas.openxmlformats.org/officeDocument/2006/relationships/hyperlink" Target="https://afterschools.olc.tw/afterschools/view/42200207319104" TargetMode="External"/><Relationship Id="rId2453" Type="http://schemas.openxmlformats.org/officeDocument/2006/relationships/hyperlink" Target="https://afterschools.olc.tw/afterschools/view/42200410209002" TargetMode="External"/><Relationship Id="rId2454" Type="http://schemas.openxmlformats.org/officeDocument/2006/relationships/hyperlink" Target="https://afterschools.olc.tw/afterschools/view/42200701199004" TargetMode="External"/><Relationship Id="rId2455" Type="http://schemas.openxmlformats.org/officeDocument/2006/relationships/hyperlink" Target="https://afterschools.olc.tw/afterschools/view/42200309199001" TargetMode="External"/><Relationship Id="rId2456" Type="http://schemas.openxmlformats.org/officeDocument/2006/relationships/hyperlink" Target="https://afterschools.olc.tw/afterschools/view/42201310140001" TargetMode="External"/><Relationship Id="rId2457" Type="http://schemas.openxmlformats.org/officeDocument/2006/relationships/hyperlink" Target="https://afterschools.olc.tw/afterschools/view/42200209179002" TargetMode="External"/><Relationship Id="rId2458" Type="http://schemas.openxmlformats.org/officeDocument/2006/relationships/hyperlink" Target="https://afterschools.olc.tw/afterschools/view/42200207319511" TargetMode="External"/><Relationship Id="rId2459" Type="http://schemas.openxmlformats.org/officeDocument/2006/relationships/hyperlink" Target="https://afterschools.olc.tw/afterschools/view/42200306039001" TargetMode="External"/><Relationship Id="rId2460" Type="http://schemas.openxmlformats.org/officeDocument/2006/relationships/hyperlink" Target="https://afterschools.olc.tw/afterschools/view/42200207319479" TargetMode="External"/><Relationship Id="rId2461" Type="http://schemas.openxmlformats.org/officeDocument/2006/relationships/hyperlink" Target="https://afterschools.olc.tw/afterschools/view/42200612079002" TargetMode="External"/><Relationship Id="rId2462" Type="http://schemas.openxmlformats.org/officeDocument/2006/relationships/hyperlink" Target="https://afterschools.olc.tw/afterschools/view/42200511299001" TargetMode="External"/><Relationship Id="rId2463" Type="http://schemas.openxmlformats.org/officeDocument/2006/relationships/hyperlink" Target="https://afterschools.olc.tw/afterschools/view/42200307049001" TargetMode="External"/><Relationship Id="rId2464" Type="http://schemas.openxmlformats.org/officeDocument/2006/relationships/hyperlink" Target="https://afterschools.olc.tw/afterschools/view/42200207319344" TargetMode="External"/><Relationship Id="rId2465" Type="http://schemas.openxmlformats.org/officeDocument/2006/relationships/hyperlink" Target="https://afterschools.olc.tw/afterschools/view/42200310239002" TargetMode="External"/><Relationship Id="rId2466" Type="http://schemas.openxmlformats.org/officeDocument/2006/relationships/hyperlink" Target="https://afterschools.olc.tw/afterschools/view/42201711200001" TargetMode="External"/><Relationship Id="rId2467" Type="http://schemas.openxmlformats.org/officeDocument/2006/relationships/hyperlink" Target="https://afterschools.olc.tw/afterschools/view/42201710020004" TargetMode="External"/><Relationship Id="rId2468" Type="http://schemas.openxmlformats.org/officeDocument/2006/relationships/hyperlink" Target="https://afterschools.olc.tw/afterschools/view/42200207319780" TargetMode="External"/><Relationship Id="rId2469" Type="http://schemas.openxmlformats.org/officeDocument/2006/relationships/hyperlink" Target="https://afterschools.olc.tw/afterschools/view/42202207200001" TargetMode="External"/><Relationship Id="rId2470" Type="http://schemas.openxmlformats.org/officeDocument/2006/relationships/hyperlink" Target="https://afterschools.olc.tw/afterschools/view/42201011120002" TargetMode="External"/><Relationship Id="rId2471" Type="http://schemas.openxmlformats.org/officeDocument/2006/relationships/hyperlink" Target="https://afterschools.olc.tw/afterschools/view/42200505240001" TargetMode="External"/><Relationship Id="rId2472" Type="http://schemas.openxmlformats.org/officeDocument/2006/relationships/hyperlink" Target="https://afterschools.olc.tw/afterschools/view/42201105250002" TargetMode="External"/><Relationship Id="rId2473" Type="http://schemas.openxmlformats.org/officeDocument/2006/relationships/hyperlink" Target="https://afterschools.olc.tw/afterschools/view/42200605260001" TargetMode="External"/><Relationship Id="rId2474" Type="http://schemas.openxmlformats.org/officeDocument/2006/relationships/hyperlink" Target="https://afterschools.olc.tw/afterschools/view/42202305230001" TargetMode="External"/><Relationship Id="rId2475" Type="http://schemas.openxmlformats.org/officeDocument/2006/relationships/hyperlink" Target="https://afterschools.olc.tw/afterschools/view/42200307010001" TargetMode="External"/><Relationship Id="rId2476" Type="http://schemas.openxmlformats.org/officeDocument/2006/relationships/hyperlink" Target="https://afterschools.olc.tw/afterschools/view/42201002060001" TargetMode="External"/><Relationship Id="rId2477" Type="http://schemas.openxmlformats.org/officeDocument/2006/relationships/hyperlink" Target="https://afterschools.olc.tw/afterschools/view/42200605180001" TargetMode="External"/><Relationship Id="rId2478" Type="http://schemas.openxmlformats.org/officeDocument/2006/relationships/hyperlink" Target="https://afterschools.olc.tw/afterschools/view/42200810069001" TargetMode="External"/><Relationship Id="rId2479" Type="http://schemas.openxmlformats.org/officeDocument/2006/relationships/hyperlink" Target="https://afterschools.olc.tw/afterschools/view/42200607180001" TargetMode="External"/><Relationship Id="rId2480" Type="http://schemas.openxmlformats.org/officeDocument/2006/relationships/hyperlink" Target="https://afterschools.olc.tw/afterschools/view/42202305220001" TargetMode="External"/><Relationship Id="rId2481" Type="http://schemas.openxmlformats.org/officeDocument/2006/relationships/hyperlink" Target="https://afterschools.olc.tw/afterschools/view/42201502060001" TargetMode="External"/><Relationship Id="rId2482" Type="http://schemas.openxmlformats.org/officeDocument/2006/relationships/hyperlink" Target="https://afterschools.olc.tw/afterschools/view/42201105180001" TargetMode="External"/><Relationship Id="rId2483" Type="http://schemas.openxmlformats.org/officeDocument/2006/relationships/hyperlink" Target="https://afterschools.olc.tw/afterschools/view/42201408140002" TargetMode="External"/><Relationship Id="rId2484" Type="http://schemas.openxmlformats.org/officeDocument/2006/relationships/hyperlink" Target="https://afterschools.olc.tw/afterschools/view/42201312270001" TargetMode="External"/><Relationship Id="rId2485" Type="http://schemas.openxmlformats.org/officeDocument/2006/relationships/hyperlink" Target="https://afterschools.olc.tw/afterschools/view/42201009270001" TargetMode="External"/><Relationship Id="rId2486" Type="http://schemas.openxmlformats.org/officeDocument/2006/relationships/hyperlink" Target="https://afterschools.olc.tw/afterschools/view/42200707239003" TargetMode="External"/><Relationship Id="rId2487" Type="http://schemas.openxmlformats.org/officeDocument/2006/relationships/hyperlink" Target="https://afterschools.olc.tw/afterschools/view/42200504220002" TargetMode="External"/><Relationship Id="rId2488" Type="http://schemas.openxmlformats.org/officeDocument/2006/relationships/hyperlink" Target="https://afterschools.olc.tw/afterschools/view/42200707239002" TargetMode="External"/><Relationship Id="rId2489" Type="http://schemas.openxmlformats.org/officeDocument/2006/relationships/hyperlink" Target="https://afterschools.olc.tw/afterschools/view/42200208120413" TargetMode="External"/><Relationship Id="rId2490" Type="http://schemas.openxmlformats.org/officeDocument/2006/relationships/hyperlink" Target="https://afterschools.olc.tw/afterschools/view/42201808310002" TargetMode="External"/><Relationship Id="rId2491" Type="http://schemas.openxmlformats.org/officeDocument/2006/relationships/hyperlink" Target="https://afterschools.olc.tw/afterschools/view/42200807229003" TargetMode="External"/><Relationship Id="rId2492" Type="http://schemas.openxmlformats.org/officeDocument/2006/relationships/hyperlink" Target="https://afterschools.olc.tw/afterschools/view/42200906040002" TargetMode="External"/><Relationship Id="rId2493" Type="http://schemas.openxmlformats.org/officeDocument/2006/relationships/hyperlink" Target="https://afterschools.olc.tw/afterschools/view/42201112150001" TargetMode="External"/><Relationship Id="rId2494" Type="http://schemas.openxmlformats.org/officeDocument/2006/relationships/hyperlink" Target="https://afterschools.olc.tw/afterschools/view/42202402010003" TargetMode="External"/><Relationship Id="rId2495" Type="http://schemas.openxmlformats.org/officeDocument/2006/relationships/hyperlink" Target="https://afterschools.olc.tw/afterschools/view/42200710170002" TargetMode="External"/><Relationship Id="rId2496" Type="http://schemas.openxmlformats.org/officeDocument/2006/relationships/hyperlink" Target="https://afterschools.olc.tw/afterschools/view/42200208120462" TargetMode="External"/><Relationship Id="rId2497" Type="http://schemas.openxmlformats.org/officeDocument/2006/relationships/hyperlink" Target="https://afterschools.olc.tw/afterschools/view/42200712040001" TargetMode="External"/><Relationship Id="rId2498" Type="http://schemas.openxmlformats.org/officeDocument/2006/relationships/hyperlink" Target="https://afterschools.olc.tw/afterschools/view/42200511210001" TargetMode="External"/><Relationship Id="rId2499" Type="http://schemas.openxmlformats.org/officeDocument/2006/relationships/hyperlink" Target="https://afterschools.olc.tw/afterschools/view/42200208120520" TargetMode="External"/><Relationship Id="rId2500" Type="http://schemas.openxmlformats.org/officeDocument/2006/relationships/hyperlink" Target="https://afterschools.olc.tw/afterschools/view/42200608100001" TargetMode="External"/><Relationship Id="rId2501" Type="http://schemas.openxmlformats.org/officeDocument/2006/relationships/hyperlink" Target="https://afterschools.olc.tw/afterschools/view/42200312310002" TargetMode="External"/><Relationship Id="rId2502" Type="http://schemas.openxmlformats.org/officeDocument/2006/relationships/hyperlink" Target="https://afterschools.olc.tw/afterschools/view/42200510079003" TargetMode="External"/><Relationship Id="rId2503" Type="http://schemas.openxmlformats.org/officeDocument/2006/relationships/hyperlink" Target="https://afterschools.olc.tw/afterschools/view/42201211020001" TargetMode="External"/><Relationship Id="rId2504" Type="http://schemas.openxmlformats.org/officeDocument/2006/relationships/hyperlink" Target="https://afterschools.olc.tw/afterschools/view/42200208120417" TargetMode="External"/><Relationship Id="rId2505" Type="http://schemas.openxmlformats.org/officeDocument/2006/relationships/hyperlink" Target="https://afterschools.olc.tw/afterschools/view/42200207319593" TargetMode="External"/><Relationship Id="rId2506" Type="http://schemas.openxmlformats.org/officeDocument/2006/relationships/hyperlink" Target="https://afterschools.olc.tw/afterschools/view/42200207319420" TargetMode="External"/><Relationship Id="rId2507" Type="http://schemas.openxmlformats.org/officeDocument/2006/relationships/hyperlink" Target="https://afterschools.olc.tw/afterschools/view/42200208120887" TargetMode="External"/><Relationship Id="rId2508" Type="http://schemas.openxmlformats.org/officeDocument/2006/relationships/hyperlink" Target="https://afterschools.olc.tw/afterschools/view/42200311040003" TargetMode="External"/><Relationship Id="rId2509" Type="http://schemas.openxmlformats.org/officeDocument/2006/relationships/hyperlink" Target="https://afterschools.olc.tw/afterschools/view/42200406250004" TargetMode="External"/><Relationship Id="rId2510" Type="http://schemas.openxmlformats.org/officeDocument/2006/relationships/hyperlink" Target="https://afterschools.olc.tw/afterschools/view/42201603080002" TargetMode="External"/><Relationship Id="rId2511" Type="http://schemas.openxmlformats.org/officeDocument/2006/relationships/hyperlink" Target="https://afterschools.olc.tw/afterschools/view/42200808190003" TargetMode="External"/><Relationship Id="rId2512" Type="http://schemas.openxmlformats.org/officeDocument/2006/relationships/hyperlink" Target="https://afterschools.olc.tw/afterschools/view/42200811189004" TargetMode="External"/><Relationship Id="rId2513" Type="http://schemas.openxmlformats.org/officeDocument/2006/relationships/hyperlink" Target="https://afterschools.olc.tw/afterschools/view/42200406080002" TargetMode="External"/><Relationship Id="rId2514" Type="http://schemas.openxmlformats.org/officeDocument/2006/relationships/hyperlink" Target="https://afterschools.olc.tw/afterschools/view/42201708200002" TargetMode="External"/><Relationship Id="rId2515" Type="http://schemas.openxmlformats.org/officeDocument/2006/relationships/hyperlink" Target="https://afterschools.olc.tw/afterschools/view/42201306040001" TargetMode="External"/><Relationship Id="rId2516" Type="http://schemas.openxmlformats.org/officeDocument/2006/relationships/hyperlink" Target="https://afterschools.olc.tw/afterschools/view/42200401059002" TargetMode="External"/><Relationship Id="rId2517" Type="http://schemas.openxmlformats.org/officeDocument/2006/relationships/hyperlink" Target="https://afterschools.olc.tw/afterschools/view/42200207319208" TargetMode="External"/><Relationship Id="rId2518" Type="http://schemas.openxmlformats.org/officeDocument/2006/relationships/hyperlink" Target="https://afterschools.olc.tw/afterschools/view/42201509300001" TargetMode="External"/><Relationship Id="rId2519" Type="http://schemas.openxmlformats.org/officeDocument/2006/relationships/hyperlink" Target="https://afterschools.olc.tw/afterschools/view/42200710239001" TargetMode="External"/><Relationship Id="rId2520" Type="http://schemas.openxmlformats.org/officeDocument/2006/relationships/hyperlink" Target="https://afterschools.olc.tw/afterschools/view/42200208120442" TargetMode="External"/><Relationship Id="rId2521" Type="http://schemas.openxmlformats.org/officeDocument/2006/relationships/hyperlink" Target="https://afterschools.olc.tw/afterschools/view/42200207319321" TargetMode="External"/><Relationship Id="rId2522" Type="http://schemas.openxmlformats.org/officeDocument/2006/relationships/hyperlink" Target="https://afterschools.olc.tw/afterschools/view/42201403190001" TargetMode="External"/><Relationship Id="rId2523" Type="http://schemas.openxmlformats.org/officeDocument/2006/relationships/hyperlink" Target="https://afterschools.olc.tw/afterschools/view/42200207319443" TargetMode="External"/><Relationship Id="rId2524" Type="http://schemas.openxmlformats.org/officeDocument/2006/relationships/hyperlink" Target="https://afterschools.olc.tw/afterschools/view/42200207319627" TargetMode="External"/><Relationship Id="rId2525" Type="http://schemas.openxmlformats.org/officeDocument/2006/relationships/hyperlink" Target="https://afterschools.olc.tw/afterschools/view/42200207319416" TargetMode="External"/><Relationship Id="rId2526" Type="http://schemas.openxmlformats.org/officeDocument/2006/relationships/hyperlink" Target="https://afterschools.olc.tw/afterschools/view/42201810180001" TargetMode="External"/><Relationship Id="rId2527" Type="http://schemas.openxmlformats.org/officeDocument/2006/relationships/hyperlink" Target="https://afterschools.olc.tw/afterschools/view/42200409039001" TargetMode="External"/><Relationship Id="rId2528" Type="http://schemas.openxmlformats.org/officeDocument/2006/relationships/hyperlink" Target="https://afterschools.olc.tw/afterschools/view/42200405109005" TargetMode="External"/><Relationship Id="rId2529" Type="http://schemas.openxmlformats.org/officeDocument/2006/relationships/hyperlink" Target="https://afterschools.olc.tw/afterschools/view/42200208120412" TargetMode="External"/><Relationship Id="rId2530" Type="http://schemas.openxmlformats.org/officeDocument/2006/relationships/hyperlink" Target="https://afterschools.olc.tw/afterschools/view/42200412150001" TargetMode="External"/><Relationship Id="rId2531" Type="http://schemas.openxmlformats.org/officeDocument/2006/relationships/hyperlink" Target="https://afterschools.olc.tw/afterschools/view/42200207319203" TargetMode="External"/><Relationship Id="rId2532" Type="http://schemas.openxmlformats.org/officeDocument/2006/relationships/hyperlink" Target="https://afterschools.olc.tw/afterschools/view/42200511299014" TargetMode="External"/><Relationship Id="rId2533" Type="http://schemas.openxmlformats.org/officeDocument/2006/relationships/hyperlink" Target="https://afterschools.olc.tw/afterschools/view/42200510279003" TargetMode="External"/><Relationship Id="rId2534" Type="http://schemas.openxmlformats.org/officeDocument/2006/relationships/hyperlink" Target="https://afterschools.olc.tw/afterschools/view/42202301190001" TargetMode="External"/><Relationship Id="rId2535" Type="http://schemas.openxmlformats.org/officeDocument/2006/relationships/hyperlink" Target="https://afterschools.olc.tw/afterschools/view/42200510079004" TargetMode="External"/><Relationship Id="rId2536" Type="http://schemas.openxmlformats.org/officeDocument/2006/relationships/hyperlink" Target="https://afterschools.olc.tw/afterschools/view/42200607269004" TargetMode="External"/><Relationship Id="rId2537" Type="http://schemas.openxmlformats.org/officeDocument/2006/relationships/hyperlink" Target="https://afterschools.olc.tw/afterschools/view/42200802219012" TargetMode="External"/><Relationship Id="rId2538" Type="http://schemas.openxmlformats.org/officeDocument/2006/relationships/hyperlink" Target="https://afterschools.olc.tw/afterschools/view/42200207319474" TargetMode="External"/><Relationship Id="rId2539" Type="http://schemas.openxmlformats.org/officeDocument/2006/relationships/hyperlink" Target="https://afterschools.olc.tw/afterschools/view/42200210049003" TargetMode="External"/><Relationship Id="rId2540" Type="http://schemas.openxmlformats.org/officeDocument/2006/relationships/hyperlink" Target="https://afterschools.olc.tw/afterschools/view/42200302190001" TargetMode="External"/><Relationship Id="rId2541" Type="http://schemas.openxmlformats.org/officeDocument/2006/relationships/hyperlink" Target="https://afterschools.olc.tw/afterschools/view/42200309090001" TargetMode="External"/><Relationship Id="rId2542" Type="http://schemas.openxmlformats.org/officeDocument/2006/relationships/hyperlink" Target="https://afterschools.olc.tw/afterschools/view/42200408160003" TargetMode="External"/><Relationship Id="rId2543" Type="http://schemas.openxmlformats.org/officeDocument/2006/relationships/hyperlink" Target="https://afterschools.olc.tw/afterschools/view/42200207319469" TargetMode="External"/><Relationship Id="rId2544" Type="http://schemas.openxmlformats.org/officeDocument/2006/relationships/hyperlink" Target="https://afterschools.olc.tw/afterschools/view/42200208069013" TargetMode="External"/><Relationship Id="rId2545" Type="http://schemas.openxmlformats.org/officeDocument/2006/relationships/hyperlink" Target="https://afterschools.olc.tw/afterschools/view/42200802219015" TargetMode="External"/><Relationship Id="rId2546" Type="http://schemas.openxmlformats.org/officeDocument/2006/relationships/hyperlink" Target="https://afterschools.olc.tw/afterschools/view/42200612079005" TargetMode="External"/><Relationship Id="rId2547" Type="http://schemas.openxmlformats.org/officeDocument/2006/relationships/hyperlink" Target="https://afterschools.olc.tw/afterschools/view/42200510199004" TargetMode="External"/><Relationship Id="rId2548" Type="http://schemas.openxmlformats.org/officeDocument/2006/relationships/hyperlink" Target="https://afterschools.olc.tw/afterschools/view/42200207319394" TargetMode="External"/><Relationship Id="rId2549" Type="http://schemas.openxmlformats.org/officeDocument/2006/relationships/hyperlink" Target="https://afterschools.olc.tw/afterschools/view/42200406250001" TargetMode="External"/><Relationship Id="rId2550" Type="http://schemas.openxmlformats.org/officeDocument/2006/relationships/hyperlink" Target="https://afterschools.olc.tw/afterschools/view/42200702130001" TargetMode="External"/><Relationship Id="rId2551" Type="http://schemas.openxmlformats.org/officeDocument/2006/relationships/hyperlink" Target="https://afterschools.olc.tw/afterschools/view/42200301149001" TargetMode="External"/><Relationship Id="rId2552" Type="http://schemas.openxmlformats.org/officeDocument/2006/relationships/hyperlink" Target="https://afterschools.olc.tw/afterschools/view/42200605250001" TargetMode="External"/><Relationship Id="rId2553" Type="http://schemas.openxmlformats.org/officeDocument/2006/relationships/hyperlink" Target="https://afterschools.olc.tw/afterschools/view/42200207319095" TargetMode="External"/><Relationship Id="rId2554" Type="http://schemas.openxmlformats.org/officeDocument/2006/relationships/hyperlink" Target="https://afterschools.olc.tw/afterschools/view/42201409120002" TargetMode="External"/><Relationship Id="rId2555" Type="http://schemas.openxmlformats.org/officeDocument/2006/relationships/hyperlink" Target="https://afterschools.olc.tw/afterschools/view/42200501119011" TargetMode="External"/><Relationship Id="rId2556" Type="http://schemas.openxmlformats.org/officeDocument/2006/relationships/hyperlink" Target="https://afterschools.olc.tw/afterschools/view/42200212309003" TargetMode="External"/><Relationship Id="rId2557" Type="http://schemas.openxmlformats.org/officeDocument/2006/relationships/hyperlink" Target="https://afterschools.olc.tw/afterschools/view/42202404240001" TargetMode="External"/><Relationship Id="rId2558" Type="http://schemas.openxmlformats.org/officeDocument/2006/relationships/hyperlink" Target="https://afterschools.olc.tw/afterschools/view/42200807109001" TargetMode="External"/><Relationship Id="rId2559" Type="http://schemas.openxmlformats.org/officeDocument/2006/relationships/hyperlink" Target="https://afterschools.olc.tw/afterschools/view/42200207319240" TargetMode="External"/><Relationship Id="rId2560" Type="http://schemas.openxmlformats.org/officeDocument/2006/relationships/hyperlink" Target="https://afterschools.olc.tw/afterschools/view/42200207319629" TargetMode="External"/><Relationship Id="rId2561" Type="http://schemas.openxmlformats.org/officeDocument/2006/relationships/hyperlink" Target="https://afterschools.olc.tw/afterschools/view/42200611039008" TargetMode="External"/><Relationship Id="rId2562" Type="http://schemas.openxmlformats.org/officeDocument/2006/relationships/hyperlink" Target="https://afterschools.olc.tw/afterschools/view/42200207319547" TargetMode="External"/><Relationship Id="rId2563" Type="http://schemas.openxmlformats.org/officeDocument/2006/relationships/hyperlink" Target="https://afterschools.olc.tw/afterschools/view/42202009280001" TargetMode="External"/><Relationship Id="rId2564" Type="http://schemas.openxmlformats.org/officeDocument/2006/relationships/hyperlink" Target="https://afterschools.olc.tw/afterschools/view/42201805170001" TargetMode="External"/><Relationship Id="rId2565" Type="http://schemas.openxmlformats.org/officeDocument/2006/relationships/hyperlink" Target="https://afterschools.olc.tw/afterschools/view/42200307160001" TargetMode="External"/><Relationship Id="rId2566" Type="http://schemas.openxmlformats.org/officeDocument/2006/relationships/hyperlink" Target="https://afterschools.olc.tw/afterschools/view/42200207319727" TargetMode="External"/><Relationship Id="rId2567" Type="http://schemas.openxmlformats.org/officeDocument/2006/relationships/hyperlink" Target="https://afterschools.olc.tw/afterschools/view/42201506270002" TargetMode="External"/><Relationship Id="rId2568" Type="http://schemas.openxmlformats.org/officeDocument/2006/relationships/hyperlink" Target="https://afterschools.olc.tw/afterschools/view/42201011049001" TargetMode="External"/><Relationship Id="rId2569" Type="http://schemas.openxmlformats.org/officeDocument/2006/relationships/hyperlink" Target="https://afterschools.olc.tw/afterschools/view/42200207319481" TargetMode="External"/><Relationship Id="rId2570" Type="http://schemas.openxmlformats.org/officeDocument/2006/relationships/hyperlink" Target="https://afterschools.olc.tw/afterschools/view/42200207319293" TargetMode="External"/><Relationship Id="rId2571" Type="http://schemas.openxmlformats.org/officeDocument/2006/relationships/hyperlink" Target="https://afterschools.olc.tw/afterschools/view/42200207319241" TargetMode="External"/><Relationship Id="rId2572" Type="http://schemas.openxmlformats.org/officeDocument/2006/relationships/hyperlink" Target="https://afterschools.olc.tw/afterschools/view/42200707239008" TargetMode="External"/><Relationship Id="rId2573" Type="http://schemas.openxmlformats.org/officeDocument/2006/relationships/hyperlink" Target="https://afterschools.olc.tw/afterschools/view/42200709080001" TargetMode="External"/><Relationship Id="rId2574" Type="http://schemas.openxmlformats.org/officeDocument/2006/relationships/hyperlink" Target="https://afterschools.olc.tw/afterschools/view/42200211069004" TargetMode="External"/><Relationship Id="rId2575" Type="http://schemas.openxmlformats.org/officeDocument/2006/relationships/hyperlink" Target="https://afterschools.olc.tw/afterschools/view/42200207319806" TargetMode="External"/><Relationship Id="rId2576" Type="http://schemas.openxmlformats.org/officeDocument/2006/relationships/hyperlink" Target="https://afterschools.olc.tw/afterschools/view/42202207010002" TargetMode="External"/><Relationship Id="rId2577" Type="http://schemas.openxmlformats.org/officeDocument/2006/relationships/hyperlink" Target="https://afterschools.olc.tw/afterschools/view/42200707109024" TargetMode="External"/><Relationship Id="rId2578" Type="http://schemas.openxmlformats.org/officeDocument/2006/relationships/hyperlink" Target="https://afterschools.olc.tw/afterschools/view/42201505210001" TargetMode="External"/><Relationship Id="rId2579" Type="http://schemas.openxmlformats.org/officeDocument/2006/relationships/hyperlink" Target="https://afterschools.olc.tw/afterschools/view/42200403039001" TargetMode="External"/><Relationship Id="rId2580" Type="http://schemas.openxmlformats.org/officeDocument/2006/relationships/hyperlink" Target="https://afterschools.olc.tw/afterschools/view/42201605170001" TargetMode="External"/><Relationship Id="rId2581" Type="http://schemas.openxmlformats.org/officeDocument/2006/relationships/hyperlink" Target="https://afterschools.olc.tw/afterschools/view/42200405109006" TargetMode="External"/><Relationship Id="rId2582" Type="http://schemas.openxmlformats.org/officeDocument/2006/relationships/hyperlink" Target="https://afterschools.olc.tw/afterschools/view/42200511070003" TargetMode="External"/><Relationship Id="rId2583" Type="http://schemas.openxmlformats.org/officeDocument/2006/relationships/hyperlink" Target="https://afterschools.olc.tw/afterschools/view/42200501199005" TargetMode="External"/><Relationship Id="rId2584" Type="http://schemas.openxmlformats.org/officeDocument/2006/relationships/hyperlink" Target="https://afterschools.olc.tw/afterschools/view/42200207319591" TargetMode="External"/><Relationship Id="rId2585" Type="http://schemas.openxmlformats.org/officeDocument/2006/relationships/hyperlink" Target="https://afterschools.olc.tw/afterschools/view/42201304030002" TargetMode="External"/><Relationship Id="rId2586" Type="http://schemas.openxmlformats.org/officeDocument/2006/relationships/hyperlink" Target="https://afterschools.olc.tw/afterschools/view/42200208120398" TargetMode="External"/><Relationship Id="rId2587" Type="http://schemas.openxmlformats.org/officeDocument/2006/relationships/hyperlink" Target="https://afterschools.olc.tw/afterschools/view/42200607130002" TargetMode="External"/><Relationship Id="rId2588" Type="http://schemas.openxmlformats.org/officeDocument/2006/relationships/hyperlink" Target="https://afterschools.olc.tw/afterschools/view/42200207319750" TargetMode="External"/><Relationship Id="rId2589" Type="http://schemas.openxmlformats.org/officeDocument/2006/relationships/hyperlink" Target="https://afterschools.olc.tw/afterschools/view/42200208120394" TargetMode="External"/><Relationship Id="rId2590" Type="http://schemas.openxmlformats.org/officeDocument/2006/relationships/hyperlink" Target="https://afterschools.olc.tw/afterschools/view/42200207319212" TargetMode="External"/><Relationship Id="rId2591" Type="http://schemas.openxmlformats.org/officeDocument/2006/relationships/hyperlink" Target="https://afterschools.olc.tw/afterschools/view/42200512149001" TargetMode="External"/><Relationship Id="rId2592" Type="http://schemas.openxmlformats.org/officeDocument/2006/relationships/hyperlink" Target="https://afterschools.olc.tw/afterschools/view/42202407090001" TargetMode="External"/><Relationship Id="rId2593" Type="http://schemas.openxmlformats.org/officeDocument/2006/relationships/hyperlink" Target="https://afterschools.olc.tw/afterschools/view/42201408180001" TargetMode="External"/><Relationship Id="rId2594" Type="http://schemas.openxmlformats.org/officeDocument/2006/relationships/hyperlink" Target="https://afterschools.olc.tw/afterschools/view/42200911249002" TargetMode="External"/><Relationship Id="rId2595" Type="http://schemas.openxmlformats.org/officeDocument/2006/relationships/hyperlink" Target="https://afterschools.olc.tw/afterschools/view/42200504089006" TargetMode="External"/><Relationship Id="rId2596" Type="http://schemas.openxmlformats.org/officeDocument/2006/relationships/hyperlink" Target="https://afterschools.olc.tw/afterschools/view/42200707239006" TargetMode="External"/><Relationship Id="rId2597" Type="http://schemas.openxmlformats.org/officeDocument/2006/relationships/hyperlink" Target="https://afterschools.olc.tw/afterschools/view/42201307240001" TargetMode="External"/><Relationship Id="rId2598" Type="http://schemas.openxmlformats.org/officeDocument/2006/relationships/hyperlink" Target="https://afterschools.olc.tw/afterschools/view/42201802020001" TargetMode="External"/><Relationship Id="rId2599" Type="http://schemas.openxmlformats.org/officeDocument/2006/relationships/hyperlink" Target="https://afterschools.olc.tw/afterschools/view/42200207319020" TargetMode="External"/><Relationship Id="rId2600" Type="http://schemas.openxmlformats.org/officeDocument/2006/relationships/hyperlink" Target="https://afterschools.olc.tw/afterschools/view/42200207319475" TargetMode="External"/><Relationship Id="rId2601" Type="http://schemas.openxmlformats.org/officeDocument/2006/relationships/hyperlink" Target="https://afterschools.olc.tw/afterschools/view/42201008020001" TargetMode="External"/><Relationship Id="rId2602" Type="http://schemas.openxmlformats.org/officeDocument/2006/relationships/hyperlink" Target="https://afterschools.olc.tw/afterschools/view/42201303010001" TargetMode="External"/><Relationship Id="rId2603" Type="http://schemas.openxmlformats.org/officeDocument/2006/relationships/hyperlink" Target="https://afterschools.olc.tw/afterschools/view/42200305050002" TargetMode="External"/><Relationship Id="rId2604" Type="http://schemas.openxmlformats.org/officeDocument/2006/relationships/hyperlink" Target="https://afterschools.olc.tw/afterschools/view/42200507229010" TargetMode="External"/><Relationship Id="rId2605" Type="http://schemas.openxmlformats.org/officeDocument/2006/relationships/hyperlink" Target="https://afterschools.olc.tw/afterschools/view/42201003109005" TargetMode="External"/><Relationship Id="rId2606" Type="http://schemas.openxmlformats.org/officeDocument/2006/relationships/hyperlink" Target="https://afterschools.olc.tw/afterschools/view/42200501199010" TargetMode="External"/><Relationship Id="rId2607" Type="http://schemas.openxmlformats.org/officeDocument/2006/relationships/hyperlink" Target="https://afterschools.olc.tw/afterschools/view/42200207319238" TargetMode="External"/><Relationship Id="rId2608" Type="http://schemas.openxmlformats.org/officeDocument/2006/relationships/hyperlink" Target="https://afterschools.olc.tw/afterschools/view/42202003090003" TargetMode="External"/><Relationship Id="rId2609" Type="http://schemas.openxmlformats.org/officeDocument/2006/relationships/hyperlink" Target="https://afterschools.olc.tw/afterschools/view/42200207319225" TargetMode="External"/><Relationship Id="rId2610" Type="http://schemas.openxmlformats.org/officeDocument/2006/relationships/hyperlink" Target="https://afterschools.olc.tw/afterschools/view/42200208120457" TargetMode="External"/><Relationship Id="rId2611" Type="http://schemas.openxmlformats.org/officeDocument/2006/relationships/hyperlink" Target="https://afterschools.olc.tw/afterschools/view/42201708310001" TargetMode="External"/><Relationship Id="rId2612" Type="http://schemas.openxmlformats.org/officeDocument/2006/relationships/hyperlink" Target="https://afterschools.olc.tw/afterschools/view/42202009220001" TargetMode="External"/><Relationship Id="rId2613" Type="http://schemas.openxmlformats.org/officeDocument/2006/relationships/hyperlink" Target="https://afterschools.olc.tw/afterschools/view/42201808310001" TargetMode="External"/><Relationship Id="rId2614" Type="http://schemas.openxmlformats.org/officeDocument/2006/relationships/hyperlink" Target="https://afterschools.olc.tw/afterschools/view/42200210170002" TargetMode="External"/><Relationship Id="rId2615" Type="http://schemas.openxmlformats.org/officeDocument/2006/relationships/hyperlink" Target="https://afterschools.olc.tw/afterschools/view/42202408190001" TargetMode="External"/><Relationship Id="rId2616" Type="http://schemas.openxmlformats.org/officeDocument/2006/relationships/hyperlink" Target="https://afterschools.olc.tw/afterschools/view/42200512120007" TargetMode="External"/><Relationship Id="rId2617" Type="http://schemas.openxmlformats.org/officeDocument/2006/relationships/hyperlink" Target="https://afterschools.olc.tw/afterschools/view/42200207319587" TargetMode="External"/><Relationship Id="rId2618" Type="http://schemas.openxmlformats.org/officeDocument/2006/relationships/hyperlink" Target="https://afterschools.olc.tw/afterschools/view/42200501119009" TargetMode="External"/><Relationship Id="rId2619" Type="http://schemas.openxmlformats.org/officeDocument/2006/relationships/hyperlink" Target="https://afterschools.olc.tw/afterschools/view/42200207319270" TargetMode="External"/><Relationship Id="rId2620" Type="http://schemas.openxmlformats.org/officeDocument/2006/relationships/hyperlink" Target="https://afterschools.olc.tw/afterschools/view/42202006010001" TargetMode="External"/><Relationship Id="rId2621" Type="http://schemas.openxmlformats.org/officeDocument/2006/relationships/hyperlink" Target="https://afterschools.olc.tw/afterschools/view/42200207319628" TargetMode="External"/><Relationship Id="rId2622" Type="http://schemas.openxmlformats.org/officeDocument/2006/relationships/hyperlink" Target="https://afterschools.olc.tw/afterschools/view/42200503229002" TargetMode="External"/><Relationship Id="rId2623" Type="http://schemas.openxmlformats.org/officeDocument/2006/relationships/hyperlink" Target="https://afterschools.olc.tw/afterschools/view/42200207319723" TargetMode="External"/><Relationship Id="rId2624" Type="http://schemas.openxmlformats.org/officeDocument/2006/relationships/hyperlink" Target="https://afterschools.olc.tw/afterschools/view/42202403250001" TargetMode="External"/><Relationship Id="rId2625" Type="http://schemas.openxmlformats.org/officeDocument/2006/relationships/hyperlink" Target="https://afterschools.olc.tw/afterschools/view/42200207319423" TargetMode="External"/><Relationship Id="rId2626" Type="http://schemas.openxmlformats.org/officeDocument/2006/relationships/hyperlink" Target="https://afterschools.olc.tw/afterschools/view/42200207319445" TargetMode="External"/><Relationship Id="rId2627" Type="http://schemas.openxmlformats.org/officeDocument/2006/relationships/hyperlink" Target="https://afterschools.olc.tw/afterschools/view/42200511299010" TargetMode="External"/><Relationship Id="rId2628" Type="http://schemas.openxmlformats.org/officeDocument/2006/relationships/hyperlink" Target="https://afterschools.olc.tw/afterschools/view/42201503060001" TargetMode="External"/><Relationship Id="rId2629" Type="http://schemas.openxmlformats.org/officeDocument/2006/relationships/hyperlink" Target="https://afterschools.olc.tw/afterschools/view/42202312130001" TargetMode="External"/><Relationship Id="rId2630" Type="http://schemas.openxmlformats.org/officeDocument/2006/relationships/hyperlink" Target="https://afterschools.olc.tw/afterschools/view/42201307180001" TargetMode="External"/><Relationship Id="rId2631" Type="http://schemas.openxmlformats.org/officeDocument/2006/relationships/hyperlink" Target="https://afterschools.olc.tw/afterschools/view/42200508290002" TargetMode="External"/><Relationship Id="rId2632" Type="http://schemas.openxmlformats.org/officeDocument/2006/relationships/hyperlink" Target="https://afterschools.olc.tw/afterschools/view/42202012220001" TargetMode="External"/><Relationship Id="rId2633" Type="http://schemas.openxmlformats.org/officeDocument/2006/relationships/hyperlink" Target="https://afterschools.olc.tw/afterschools/view/42200811119003" TargetMode="External"/><Relationship Id="rId2634" Type="http://schemas.openxmlformats.org/officeDocument/2006/relationships/hyperlink" Target="https://afterschools.olc.tw/afterschools/view/42201501070001" TargetMode="External"/><Relationship Id="rId2635" Type="http://schemas.openxmlformats.org/officeDocument/2006/relationships/hyperlink" Target="https://afterschools.olc.tw/afterschools/view/42202304180002" TargetMode="External"/><Relationship Id="rId2636" Type="http://schemas.openxmlformats.org/officeDocument/2006/relationships/hyperlink" Target="https://afterschools.olc.tw/afterschools/view/42200207319120" TargetMode="External"/><Relationship Id="rId2637" Type="http://schemas.openxmlformats.org/officeDocument/2006/relationships/hyperlink" Target="https://afterschools.olc.tw/afterschools/view/42201305010001" TargetMode="External"/><Relationship Id="rId2638" Type="http://schemas.openxmlformats.org/officeDocument/2006/relationships/hyperlink" Target="https://afterschools.olc.tw/afterschools/view/42201808100002" TargetMode="External"/><Relationship Id="rId2639" Type="http://schemas.openxmlformats.org/officeDocument/2006/relationships/hyperlink" Target="https://afterschools.olc.tw/afterschools/view/42200503229004" TargetMode="External"/><Relationship Id="rId2640" Type="http://schemas.openxmlformats.org/officeDocument/2006/relationships/hyperlink" Target="https://afterschools.olc.tw/afterschools/view/42200410209009" TargetMode="External"/><Relationship Id="rId2641" Type="http://schemas.openxmlformats.org/officeDocument/2006/relationships/hyperlink" Target="https://afterschools.olc.tw/afterschools/view/42200410280001" TargetMode="External"/><Relationship Id="rId2642" Type="http://schemas.openxmlformats.org/officeDocument/2006/relationships/hyperlink" Target="https://afterschools.olc.tw/afterschools/view/42202306050001" TargetMode="External"/><Relationship Id="rId2643" Type="http://schemas.openxmlformats.org/officeDocument/2006/relationships/hyperlink" Target="https://afterschools.olc.tw/afterschools/view/42200607110001" TargetMode="External"/><Relationship Id="rId2644" Type="http://schemas.openxmlformats.org/officeDocument/2006/relationships/hyperlink" Target="https://afterschools.olc.tw/afterschools/view/42200207319233" TargetMode="External"/><Relationship Id="rId2645" Type="http://schemas.openxmlformats.org/officeDocument/2006/relationships/hyperlink" Target="https://afterschools.olc.tw/afterschools/view/42200603219001" TargetMode="External"/><Relationship Id="rId2646" Type="http://schemas.openxmlformats.org/officeDocument/2006/relationships/hyperlink" Target="https://afterschools.olc.tw/afterschools/view/42200311049001" TargetMode="External"/><Relationship Id="rId2647" Type="http://schemas.openxmlformats.org/officeDocument/2006/relationships/hyperlink" Target="https://afterschools.olc.tw/afterschools/view/42201808210001" TargetMode="External"/><Relationship Id="rId2648" Type="http://schemas.openxmlformats.org/officeDocument/2006/relationships/hyperlink" Target="https://afterschools.olc.tw/afterschools/view/42200207319477" TargetMode="External"/><Relationship Id="rId2649" Type="http://schemas.openxmlformats.org/officeDocument/2006/relationships/hyperlink" Target="https://afterschools.olc.tw/afterschools/view/42201602020001" TargetMode="External"/><Relationship Id="rId2650" Type="http://schemas.openxmlformats.org/officeDocument/2006/relationships/hyperlink" Target="https://afterschools.olc.tw/afterschools/view/42200508020001" TargetMode="External"/><Relationship Id="rId2651" Type="http://schemas.openxmlformats.org/officeDocument/2006/relationships/hyperlink" Target="https://afterschools.olc.tw/afterschools/view/42200207319716" TargetMode="External"/><Relationship Id="rId2652" Type="http://schemas.openxmlformats.org/officeDocument/2006/relationships/hyperlink" Target="https://afterschools.olc.tw/afterschools/view/42200207319753" TargetMode="External"/><Relationship Id="rId2653" Type="http://schemas.openxmlformats.org/officeDocument/2006/relationships/hyperlink" Target="https://afterschools.olc.tw/afterschools/view/42200207319799" TargetMode="External"/><Relationship Id="rId2654" Type="http://schemas.openxmlformats.org/officeDocument/2006/relationships/hyperlink" Target="https://afterschools.olc.tw/afterschools/view/42201809140001" TargetMode="External"/><Relationship Id="rId2655" Type="http://schemas.openxmlformats.org/officeDocument/2006/relationships/hyperlink" Target="https://afterschools.olc.tw/afterschools/view/42200604200002" TargetMode="External"/><Relationship Id="rId2656" Type="http://schemas.openxmlformats.org/officeDocument/2006/relationships/hyperlink" Target="https://afterschools.olc.tw/afterschools/view/42200305260001" TargetMode="External"/><Relationship Id="rId2657" Type="http://schemas.openxmlformats.org/officeDocument/2006/relationships/hyperlink" Target="https://afterschools.olc.tw/afterschools/view/42200211020001" TargetMode="External"/><Relationship Id="rId2658" Type="http://schemas.openxmlformats.org/officeDocument/2006/relationships/hyperlink" Target="https://afterschools.olc.tw/afterschools/view/42201008129003" TargetMode="External"/><Relationship Id="rId2659" Type="http://schemas.openxmlformats.org/officeDocument/2006/relationships/hyperlink" Target="https://afterschools.olc.tw/afterschools/view/42202006170001" TargetMode="External"/><Relationship Id="rId2660" Type="http://schemas.openxmlformats.org/officeDocument/2006/relationships/hyperlink" Target="https://afterschools.olc.tw/afterschools/view/42200305120001" TargetMode="External"/><Relationship Id="rId2661" Type="http://schemas.openxmlformats.org/officeDocument/2006/relationships/hyperlink" Target="https://afterschools.olc.tw/afterschools/view/42200207319641" TargetMode="External"/><Relationship Id="rId2662" Type="http://schemas.openxmlformats.org/officeDocument/2006/relationships/hyperlink" Target="https://afterschools.olc.tw/afterschools/view/42201908270002" TargetMode="External"/><Relationship Id="rId2663" Type="http://schemas.openxmlformats.org/officeDocument/2006/relationships/hyperlink" Target="https://afterschools.olc.tw/afterschools/view/42202107120001" TargetMode="External"/><Relationship Id="rId2664" Type="http://schemas.openxmlformats.org/officeDocument/2006/relationships/hyperlink" Target="https://afterschools.olc.tw/afterschools/view/42200208120480" TargetMode="External"/><Relationship Id="rId2665" Type="http://schemas.openxmlformats.org/officeDocument/2006/relationships/hyperlink" Target="https://afterschools.olc.tw/afterschools/view/42200603210001" TargetMode="External"/><Relationship Id="rId2666" Type="http://schemas.openxmlformats.org/officeDocument/2006/relationships/hyperlink" Target="https://afterschools.olc.tw/afterschools/view/42200207319550" TargetMode="External"/><Relationship Id="rId2667" Type="http://schemas.openxmlformats.org/officeDocument/2006/relationships/hyperlink" Target="https://afterschools.olc.tw/afterschools/view/42201507280001" TargetMode="External"/><Relationship Id="rId2668" Type="http://schemas.openxmlformats.org/officeDocument/2006/relationships/hyperlink" Target="https://afterschools.olc.tw/afterschools/view/42201009210002" TargetMode="External"/><Relationship Id="rId2669" Type="http://schemas.openxmlformats.org/officeDocument/2006/relationships/hyperlink" Target="https://afterschools.olc.tw/afterschools/view/42200207319548" TargetMode="External"/><Relationship Id="rId2670" Type="http://schemas.openxmlformats.org/officeDocument/2006/relationships/hyperlink" Target="https://afterschools.olc.tw/afterschools/view/42200207319314" TargetMode="External"/><Relationship Id="rId2671" Type="http://schemas.openxmlformats.org/officeDocument/2006/relationships/hyperlink" Target="https://afterschools.olc.tw/afterschools/view/42200208120535" TargetMode="External"/><Relationship Id="rId2672" Type="http://schemas.openxmlformats.org/officeDocument/2006/relationships/hyperlink" Target="https://afterschools.olc.tw/afterschools/view/42200207319742" TargetMode="External"/><Relationship Id="rId2673" Type="http://schemas.openxmlformats.org/officeDocument/2006/relationships/hyperlink" Target="https://afterschools.olc.tw/afterschools/view/42200412150003" TargetMode="External"/><Relationship Id="rId2674" Type="http://schemas.openxmlformats.org/officeDocument/2006/relationships/hyperlink" Target="https://afterschools.olc.tw/afterschools/view/42200304230002" TargetMode="External"/><Relationship Id="rId2675" Type="http://schemas.openxmlformats.org/officeDocument/2006/relationships/hyperlink" Target="https://afterschools.olc.tw/afterschools/view/42200501199009" TargetMode="External"/><Relationship Id="rId2676" Type="http://schemas.openxmlformats.org/officeDocument/2006/relationships/hyperlink" Target="https://afterschools.olc.tw/afterschools/view/42201512100002" TargetMode="External"/><Relationship Id="rId2677" Type="http://schemas.openxmlformats.org/officeDocument/2006/relationships/hyperlink" Target="https://afterschools.olc.tw/afterschools/view/42200405109001" TargetMode="External"/><Relationship Id="rId2678" Type="http://schemas.openxmlformats.org/officeDocument/2006/relationships/hyperlink" Target="https://afterschools.olc.tw/afterschools/view/42202408210001" TargetMode="External"/><Relationship Id="rId2679" Type="http://schemas.openxmlformats.org/officeDocument/2006/relationships/hyperlink" Target="https://afterschools.olc.tw/afterschools/view/42202211090001" TargetMode="External"/><Relationship Id="rId2680" Type="http://schemas.openxmlformats.org/officeDocument/2006/relationships/hyperlink" Target="https://afterschools.olc.tw/afterschools/view/42200503039001" TargetMode="External"/><Relationship Id="rId2681" Type="http://schemas.openxmlformats.org/officeDocument/2006/relationships/hyperlink" Target="https://afterschools.olc.tw/afterschools/view/42200310220003" TargetMode="External"/><Relationship Id="rId2682" Type="http://schemas.openxmlformats.org/officeDocument/2006/relationships/hyperlink" Target="https://afterschools.olc.tw/afterschools/view/42200703239005" TargetMode="External"/><Relationship Id="rId2683" Type="http://schemas.openxmlformats.org/officeDocument/2006/relationships/hyperlink" Target="https://afterschools.olc.tw/afterschools/view/42200207319512" TargetMode="External"/><Relationship Id="rId2684" Type="http://schemas.openxmlformats.org/officeDocument/2006/relationships/hyperlink" Target="https://afterschools.olc.tw/afterschools/view/42200501199002" TargetMode="External"/><Relationship Id="rId2685" Type="http://schemas.openxmlformats.org/officeDocument/2006/relationships/hyperlink" Target="https://afterschools.olc.tw/afterschools/view/42200506089009" TargetMode="External"/><Relationship Id="rId2686" Type="http://schemas.openxmlformats.org/officeDocument/2006/relationships/hyperlink" Target="https://afterschools.olc.tw/afterschools/view/42202511200001" TargetMode="External"/><Relationship Id="rId2687" Type="http://schemas.openxmlformats.org/officeDocument/2006/relationships/hyperlink" Target="https://afterschools.olc.tw/afterschools/view/42201007010001" TargetMode="External"/><Relationship Id="rId2688" Type="http://schemas.openxmlformats.org/officeDocument/2006/relationships/hyperlink" Target="https://afterschools.olc.tw/afterschools/view/42200211010001" TargetMode="External"/><Relationship Id="rId2689" Type="http://schemas.openxmlformats.org/officeDocument/2006/relationships/hyperlink" Target="https://afterschools.olc.tw/afterschools/view/42200207319268" TargetMode="External"/><Relationship Id="rId2690" Type="http://schemas.openxmlformats.org/officeDocument/2006/relationships/hyperlink" Target="https://afterschools.olc.tw/afterschools/view/42200207319392" TargetMode="External"/><Relationship Id="rId2691" Type="http://schemas.openxmlformats.org/officeDocument/2006/relationships/hyperlink" Target="https://afterschools.olc.tw/afterschools/view/42200805069004" TargetMode="External"/><Relationship Id="rId2692" Type="http://schemas.openxmlformats.org/officeDocument/2006/relationships/hyperlink" Target="https://afterschools.olc.tw/afterschools/view/42201603160001" TargetMode="External"/><Relationship Id="rId2693" Type="http://schemas.openxmlformats.org/officeDocument/2006/relationships/hyperlink" Target="https://afterschools.olc.tw/afterschools/view/42200405109004" TargetMode="External"/><Relationship Id="rId2694" Type="http://schemas.openxmlformats.org/officeDocument/2006/relationships/hyperlink" Target="https://afterschools.olc.tw/afterschools/view/42201205140002" TargetMode="External"/><Relationship Id="rId2695" Type="http://schemas.openxmlformats.org/officeDocument/2006/relationships/hyperlink" Target="https://afterschools.olc.tw/afterschools/view/42202309070001" TargetMode="External"/><Relationship Id="rId2696" Type="http://schemas.openxmlformats.org/officeDocument/2006/relationships/hyperlink" Target="https://afterschools.olc.tw/afterschools/view/42200506089001" TargetMode="External"/><Relationship Id="rId2697" Type="http://schemas.openxmlformats.org/officeDocument/2006/relationships/hyperlink" Target="https://afterschools.olc.tw/afterschools/view/42202312140001" TargetMode="External"/><Relationship Id="rId2698" Type="http://schemas.openxmlformats.org/officeDocument/2006/relationships/hyperlink" Target="https://afterschools.olc.tw/afterschools/view/42200207319269" TargetMode="External"/><Relationship Id="rId2699" Type="http://schemas.openxmlformats.org/officeDocument/2006/relationships/hyperlink" Target="https://afterschools.olc.tw/afterschools/view/42201408010001" TargetMode="External"/><Relationship Id="rId2700" Type="http://schemas.openxmlformats.org/officeDocument/2006/relationships/hyperlink" Target="https://afterschools.olc.tw/afterschools/view/42201505280001" TargetMode="External"/><Relationship Id="rId2701" Type="http://schemas.openxmlformats.org/officeDocument/2006/relationships/hyperlink" Target="https://afterschools.olc.tw/afterschools/view/42201601210001" TargetMode="External"/><Relationship Id="rId2702" Type="http://schemas.openxmlformats.org/officeDocument/2006/relationships/hyperlink" Target="https://afterschools.olc.tw/afterschools/view/42201105250003" TargetMode="External"/><Relationship Id="rId2703" Type="http://schemas.openxmlformats.org/officeDocument/2006/relationships/hyperlink" Target="https://afterschools.olc.tw/afterschools/view/42200609069015" TargetMode="External"/><Relationship Id="rId2704" Type="http://schemas.openxmlformats.org/officeDocument/2006/relationships/hyperlink" Target="https://afterschools.olc.tw/afterschools/view/42200209039003" TargetMode="External"/><Relationship Id="rId2705" Type="http://schemas.openxmlformats.org/officeDocument/2006/relationships/hyperlink" Target="https://afterschools.olc.tw/afterschools/view/42200912019001" TargetMode="External"/><Relationship Id="rId2706" Type="http://schemas.openxmlformats.org/officeDocument/2006/relationships/hyperlink" Target="https://afterschools.olc.tw/afterschools/view/42201109280001" TargetMode="External"/><Relationship Id="rId2707" Type="http://schemas.openxmlformats.org/officeDocument/2006/relationships/hyperlink" Target="https://afterschools.olc.tw/afterschools/view/42200207319417" TargetMode="External"/><Relationship Id="rId2708" Type="http://schemas.openxmlformats.org/officeDocument/2006/relationships/hyperlink" Target="https://afterschools.olc.tw/afterschools/view/42200212319001" TargetMode="External"/><Relationship Id="rId2709" Type="http://schemas.openxmlformats.org/officeDocument/2006/relationships/hyperlink" Target="https://afterschools.olc.tw/afterschools/view/42200207319358" TargetMode="External"/><Relationship Id="rId2710" Type="http://schemas.openxmlformats.org/officeDocument/2006/relationships/hyperlink" Target="https://afterschools.olc.tw/afterschools/view/42200207319298" TargetMode="External"/><Relationship Id="rId2711" Type="http://schemas.openxmlformats.org/officeDocument/2006/relationships/hyperlink" Target="https://afterschools.olc.tw/afterschools/view/42201201050001" TargetMode="External"/><Relationship Id="rId2712" Type="http://schemas.openxmlformats.org/officeDocument/2006/relationships/hyperlink" Target="https://afterschools.olc.tw/afterschools/view/42200207319421" TargetMode="External"/><Relationship Id="rId2713" Type="http://schemas.openxmlformats.org/officeDocument/2006/relationships/hyperlink" Target="https://afterschools.olc.tw/afterschools/view/42201512310001" TargetMode="External"/><Relationship Id="rId2714" Type="http://schemas.openxmlformats.org/officeDocument/2006/relationships/hyperlink" Target="https://afterschools.olc.tw/afterschools/view/42200510199002" TargetMode="External"/><Relationship Id="rId2715" Type="http://schemas.openxmlformats.org/officeDocument/2006/relationships/hyperlink" Target="https://afterschools.olc.tw/afterschools/view/42201303040002" TargetMode="External"/><Relationship Id="rId2716" Type="http://schemas.openxmlformats.org/officeDocument/2006/relationships/hyperlink" Target="https://afterschools.olc.tw/afterschools/view/42201011170001" TargetMode="External"/><Relationship Id="rId2717" Type="http://schemas.openxmlformats.org/officeDocument/2006/relationships/hyperlink" Target="https://afterschools.olc.tw/afterschools/view/42201408070001" TargetMode="External"/><Relationship Id="rId2718" Type="http://schemas.openxmlformats.org/officeDocument/2006/relationships/hyperlink" Target="https://afterschools.olc.tw/afterschools/view/42200207319549" TargetMode="External"/><Relationship Id="rId2719" Type="http://schemas.openxmlformats.org/officeDocument/2006/relationships/hyperlink" Target="https://afterschools.olc.tw/afterschools/view/42200207319807" TargetMode="External"/><Relationship Id="rId2720" Type="http://schemas.openxmlformats.org/officeDocument/2006/relationships/hyperlink" Target="https://afterschools.olc.tw/afterschools/view/42200303180002" TargetMode="External"/><Relationship Id="rId2721" Type="http://schemas.openxmlformats.org/officeDocument/2006/relationships/hyperlink" Target="https://afterschools.olc.tw/afterschools/view/42200208120424" TargetMode="External"/><Relationship Id="rId2722" Type="http://schemas.openxmlformats.org/officeDocument/2006/relationships/hyperlink" Target="https://afterschools.olc.tw/afterschools/view/42200909049003" TargetMode="External"/><Relationship Id="rId2723" Type="http://schemas.openxmlformats.org/officeDocument/2006/relationships/hyperlink" Target="https://afterschools.olc.tw/afterschools/view/42200501240001" TargetMode="External"/><Relationship Id="rId2724" Type="http://schemas.openxmlformats.org/officeDocument/2006/relationships/hyperlink" Target="https://afterschools.olc.tw/afterschools/view/42200904039006" TargetMode="External"/><Relationship Id="rId2725" Type="http://schemas.openxmlformats.org/officeDocument/2006/relationships/hyperlink" Target="https://afterschools.olc.tw/afterschools/view/42201202160001" TargetMode="External"/><Relationship Id="rId2726" Type="http://schemas.openxmlformats.org/officeDocument/2006/relationships/hyperlink" Target="https://afterschools.olc.tw/afterschools/view/42200302190002" TargetMode="External"/><Relationship Id="rId2727" Type="http://schemas.openxmlformats.org/officeDocument/2006/relationships/hyperlink" Target="https://afterschools.olc.tw/afterschools/view/42200303079003" TargetMode="External"/><Relationship Id="rId2728" Type="http://schemas.openxmlformats.org/officeDocument/2006/relationships/hyperlink" Target="https://afterschools.olc.tw/afterschools/view/42201810020001" TargetMode="External"/><Relationship Id="rId2729" Type="http://schemas.openxmlformats.org/officeDocument/2006/relationships/hyperlink" Target="https://afterschools.olc.tw/afterschools/view/42200310159001" TargetMode="External"/><Relationship Id="rId2730" Type="http://schemas.openxmlformats.org/officeDocument/2006/relationships/hyperlink" Target="https://afterschools.olc.tw/afterschools/view/42200703289005" TargetMode="External"/><Relationship Id="rId2731" Type="http://schemas.openxmlformats.org/officeDocument/2006/relationships/hyperlink" Target="https://afterschools.olc.tw/afterschools/view/42200809239008" TargetMode="External"/><Relationship Id="rId2732" Type="http://schemas.openxmlformats.org/officeDocument/2006/relationships/hyperlink" Target="https://afterschools.olc.tw/afterschools/view/42200207319590" TargetMode="External"/><Relationship Id="rId2733" Type="http://schemas.openxmlformats.org/officeDocument/2006/relationships/hyperlink" Target="https://afterschools.olc.tw/afterschools/view/42200207319749" TargetMode="External"/><Relationship Id="rId2734" Type="http://schemas.openxmlformats.org/officeDocument/2006/relationships/hyperlink" Target="https://afterschools.olc.tw/afterschools/view/42200510200001" TargetMode="External"/><Relationship Id="rId2735" Type="http://schemas.openxmlformats.org/officeDocument/2006/relationships/hyperlink" Target="https://afterschools.olc.tw/afterschools/view/42200707119005" TargetMode="External"/><Relationship Id="rId2736" Type="http://schemas.openxmlformats.org/officeDocument/2006/relationships/hyperlink" Target="https://afterschools.olc.tw/afterschools/view/42201008059004" TargetMode="External"/><Relationship Id="rId2737" Type="http://schemas.openxmlformats.org/officeDocument/2006/relationships/hyperlink" Target="https://afterschools.olc.tw/afterschools/view/42200703239001" TargetMode="External"/><Relationship Id="rId2738" Type="http://schemas.openxmlformats.org/officeDocument/2006/relationships/hyperlink" Target="https://afterschools.olc.tw/afterschools/view/42200207319154" TargetMode="External"/><Relationship Id="rId2739" Type="http://schemas.openxmlformats.org/officeDocument/2006/relationships/hyperlink" Target="https://afterschools.olc.tw/afterschools/view/42200207319520" TargetMode="External"/><Relationship Id="rId2740" Type="http://schemas.openxmlformats.org/officeDocument/2006/relationships/hyperlink" Target="https://afterschools.olc.tw/afterschools/view/42202509190001" TargetMode="External"/><Relationship Id="rId2741" Type="http://schemas.openxmlformats.org/officeDocument/2006/relationships/hyperlink" Target="https://afterschools.olc.tw/afterschools/view/42201107130001" TargetMode="External"/><Relationship Id="rId2742" Type="http://schemas.openxmlformats.org/officeDocument/2006/relationships/hyperlink" Target="https://afterschools.olc.tw/afterschools/view/42200210089003" TargetMode="External"/><Relationship Id="rId2743" Type="http://schemas.openxmlformats.org/officeDocument/2006/relationships/hyperlink" Target="https://afterschools.olc.tw/afterschools/view/42201012030002" TargetMode="External"/><Relationship Id="rId2744" Type="http://schemas.openxmlformats.org/officeDocument/2006/relationships/hyperlink" Target="https://afterschools.olc.tw/afterschools/view/42202012100001" TargetMode="External"/><Relationship Id="rId2745" Type="http://schemas.openxmlformats.org/officeDocument/2006/relationships/hyperlink" Target="https://afterschools.olc.tw/afterschools/view/42201406180001" TargetMode="External"/><Relationship Id="rId2746" Type="http://schemas.openxmlformats.org/officeDocument/2006/relationships/hyperlink" Target="https://afterschools.olc.tw/afterschools/view/42200207319229" TargetMode="External"/><Relationship Id="rId2747" Type="http://schemas.openxmlformats.org/officeDocument/2006/relationships/hyperlink" Target="https://afterschools.olc.tw/afterschools/view/42201809210001" TargetMode="External"/><Relationship Id="rId2748" Type="http://schemas.openxmlformats.org/officeDocument/2006/relationships/hyperlink" Target="https://afterschools.olc.tw/afterschools/view/42201609130001" TargetMode="External"/><Relationship Id="rId2749" Type="http://schemas.openxmlformats.org/officeDocument/2006/relationships/hyperlink" Target="https://afterschools.olc.tw/afterschools/view/42201206150001" TargetMode="External"/><Relationship Id="rId2750" Type="http://schemas.openxmlformats.org/officeDocument/2006/relationships/hyperlink" Target="https://afterschools.olc.tw/afterschools/view/42200409200001" TargetMode="External"/><Relationship Id="rId2751" Type="http://schemas.openxmlformats.org/officeDocument/2006/relationships/hyperlink" Target="https://afterschools.olc.tw/afterschools/view/42200904070002" TargetMode="External"/><Relationship Id="rId2752" Type="http://schemas.openxmlformats.org/officeDocument/2006/relationships/hyperlink" Target="https://afterschools.olc.tw/afterschools/view/42200609200001" TargetMode="External"/><Relationship Id="rId2753" Type="http://schemas.openxmlformats.org/officeDocument/2006/relationships/hyperlink" Target="https://afterschools.olc.tw/afterschools/view/42201509140001" TargetMode="External"/><Relationship Id="rId2754" Type="http://schemas.openxmlformats.org/officeDocument/2006/relationships/hyperlink" Target="https://afterschools.olc.tw/afterschools/view/42200302170002" TargetMode="External"/><Relationship Id="rId2755" Type="http://schemas.openxmlformats.org/officeDocument/2006/relationships/hyperlink" Target="https://afterschools.olc.tw/afterschools/view/42200606240001" TargetMode="External"/><Relationship Id="rId2756" Type="http://schemas.openxmlformats.org/officeDocument/2006/relationships/hyperlink" Target="https://afterschools.olc.tw/afterschools/view/42200511280001" TargetMode="External"/><Relationship Id="rId2757" Type="http://schemas.openxmlformats.org/officeDocument/2006/relationships/hyperlink" Target="https://afterschools.olc.tw/afterschools/view/42200208120319" TargetMode="External"/><Relationship Id="rId2758" Type="http://schemas.openxmlformats.org/officeDocument/2006/relationships/hyperlink" Target="https://afterschools.olc.tw/afterschools/view/42200407010001" TargetMode="External"/><Relationship Id="rId2759" Type="http://schemas.openxmlformats.org/officeDocument/2006/relationships/hyperlink" Target="https://afterschools.olc.tw/afterschools/view/42200208120523" TargetMode="External"/><Relationship Id="rId2760" Type="http://schemas.openxmlformats.org/officeDocument/2006/relationships/hyperlink" Target="https://afterschools.olc.tw/afterschools/view/42200208120872" TargetMode="External"/><Relationship Id="rId2761" Type="http://schemas.openxmlformats.org/officeDocument/2006/relationships/hyperlink" Target="https://afterschools.olc.tw/afterschools/view/42200701140001" TargetMode="External"/><Relationship Id="rId2762" Type="http://schemas.openxmlformats.org/officeDocument/2006/relationships/hyperlink" Target="https://afterschools.olc.tw/afterschools/view/42201109090003" TargetMode="External"/><Relationship Id="rId2763" Type="http://schemas.openxmlformats.org/officeDocument/2006/relationships/hyperlink" Target="https://afterschools.olc.tw/afterschools/view/42200507120002" TargetMode="External"/><Relationship Id="rId2764" Type="http://schemas.openxmlformats.org/officeDocument/2006/relationships/hyperlink" Target="https://afterschools.olc.tw/afterschools/view/42200208120335" TargetMode="External"/><Relationship Id="rId2765" Type="http://schemas.openxmlformats.org/officeDocument/2006/relationships/hyperlink" Target="https://afterschools.olc.tw/afterschools/view/42201706080001" TargetMode="External"/><Relationship Id="rId2766" Type="http://schemas.openxmlformats.org/officeDocument/2006/relationships/hyperlink" Target="https://afterschools.olc.tw/afterschools/view/42202501220001" TargetMode="External"/><Relationship Id="rId2767" Type="http://schemas.openxmlformats.org/officeDocument/2006/relationships/hyperlink" Target="https://afterschools.olc.tw/afterschools/view/42200302170003" TargetMode="External"/><Relationship Id="rId2768" Type="http://schemas.openxmlformats.org/officeDocument/2006/relationships/hyperlink" Target="https://afterschools.olc.tw/afterschools/view/42200302170010" TargetMode="External"/><Relationship Id="rId2769" Type="http://schemas.openxmlformats.org/officeDocument/2006/relationships/hyperlink" Target="https://afterschools.olc.tw/afterschools/view/42201505200001" TargetMode="External"/><Relationship Id="rId2770" Type="http://schemas.openxmlformats.org/officeDocument/2006/relationships/hyperlink" Target="https://afterschools.olc.tw/afterschools/view/42200710220001" TargetMode="External"/><Relationship Id="rId2771" Type="http://schemas.openxmlformats.org/officeDocument/2006/relationships/hyperlink" Target="https://afterschools.olc.tw/afterschools/view/42200412010001" TargetMode="External"/><Relationship Id="rId2772" Type="http://schemas.openxmlformats.org/officeDocument/2006/relationships/hyperlink" Target="https://afterschools.olc.tw/afterschools/view/42200210160002" TargetMode="External"/><Relationship Id="rId2773" Type="http://schemas.openxmlformats.org/officeDocument/2006/relationships/hyperlink" Target="https://afterschools.olc.tw/afterschools/view/42200208120240" TargetMode="External"/><Relationship Id="rId2774" Type="http://schemas.openxmlformats.org/officeDocument/2006/relationships/hyperlink" Target="https://afterschools.olc.tw/afterschools/view/42201508100001" TargetMode="External"/><Relationship Id="rId2775" Type="http://schemas.openxmlformats.org/officeDocument/2006/relationships/hyperlink" Target="https://afterschools.olc.tw/afterschools/view/42200407130002" TargetMode="External"/><Relationship Id="rId2776" Type="http://schemas.openxmlformats.org/officeDocument/2006/relationships/hyperlink" Target="https://afterschools.olc.tw/afterschools/view/42201401140001" TargetMode="External"/><Relationship Id="rId2777" Type="http://schemas.openxmlformats.org/officeDocument/2006/relationships/hyperlink" Target="https://afterschools.olc.tw/afterschools/view/42201701150001" TargetMode="External"/><Relationship Id="rId2778" Type="http://schemas.openxmlformats.org/officeDocument/2006/relationships/hyperlink" Target="https://afterschools.olc.tw/afterschools/view/42200308150002" TargetMode="External"/><Relationship Id="rId2779" Type="http://schemas.openxmlformats.org/officeDocument/2006/relationships/hyperlink" Target="https://afterschools.olc.tw/afterschools/view/42201509010001" TargetMode="External"/><Relationship Id="rId2780" Type="http://schemas.openxmlformats.org/officeDocument/2006/relationships/hyperlink" Target="https://afterschools.olc.tw/afterschools/view/42200208120094" TargetMode="External"/><Relationship Id="rId2781" Type="http://schemas.openxmlformats.org/officeDocument/2006/relationships/hyperlink" Target="https://afterschools.olc.tw/afterschools/view/42201308080001" TargetMode="External"/><Relationship Id="rId2782" Type="http://schemas.openxmlformats.org/officeDocument/2006/relationships/hyperlink" Target="https://afterschools.olc.tw/afterschools/view/42200208120772" TargetMode="External"/><Relationship Id="rId2783" Type="http://schemas.openxmlformats.org/officeDocument/2006/relationships/hyperlink" Target="https://afterschools.olc.tw/afterschools/view/42200208120521" TargetMode="External"/><Relationship Id="rId2784" Type="http://schemas.openxmlformats.org/officeDocument/2006/relationships/hyperlink" Target="https://afterschools.olc.tw/afterschools/view/42201704050001" TargetMode="External"/><Relationship Id="rId2785" Type="http://schemas.openxmlformats.org/officeDocument/2006/relationships/hyperlink" Target="https://afterschools.olc.tw/afterschools/view/42200304250008" TargetMode="External"/><Relationship Id="rId2786" Type="http://schemas.openxmlformats.org/officeDocument/2006/relationships/hyperlink" Target="https://afterschools.olc.tw/afterschools/view/42200602210002" TargetMode="External"/><Relationship Id="rId2787" Type="http://schemas.openxmlformats.org/officeDocument/2006/relationships/hyperlink" Target="https://afterschools.olc.tw/afterschools/view/42200405050001" TargetMode="External"/><Relationship Id="rId2788" Type="http://schemas.openxmlformats.org/officeDocument/2006/relationships/hyperlink" Target="https://afterschools.olc.tw/afterschools/view/42201407170001" TargetMode="External"/><Relationship Id="rId2789" Type="http://schemas.openxmlformats.org/officeDocument/2006/relationships/hyperlink" Target="https://afterschools.olc.tw/afterschools/view/42200310130002" TargetMode="External"/><Relationship Id="rId2790" Type="http://schemas.openxmlformats.org/officeDocument/2006/relationships/hyperlink" Target="https://afterschools.olc.tw/afterschools/view/42200708230001" TargetMode="External"/><Relationship Id="rId2791" Type="http://schemas.openxmlformats.org/officeDocument/2006/relationships/hyperlink" Target="https://afterschools.olc.tw/afterschools/view/42200606050001" TargetMode="External"/><Relationship Id="rId2792" Type="http://schemas.openxmlformats.org/officeDocument/2006/relationships/hyperlink" Target="https://afterschools.olc.tw/afterschools/view/42200808060002" TargetMode="External"/><Relationship Id="rId2793" Type="http://schemas.openxmlformats.org/officeDocument/2006/relationships/hyperlink" Target="https://afterschools.olc.tw/afterschools/view/42201004140001" TargetMode="External"/><Relationship Id="rId2794" Type="http://schemas.openxmlformats.org/officeDocument/2006/relationships/hyperlink" Target="https://afterschools.olc.tw/afterschools/view/42200808110001" TargetMode="External"/><Relationship Id="rId2795" Type="http://schemas.openxmlformats.org/officeDocument/2006/relationships/hyperlink" Target="https://afterschools.olc.tw/afterschools/view/42202606020003" TargetMode="External"/><Relationship Id="rId2796" Type="http://schemas.openxmlformats.org/officeDocument/2006/relationships/hyperlink" Target="https://afterschools.olc.tw/afterschools/view/42200605120002" TargetMode="External"/><Relationship Id="rId2797" Type="http://schemas.openxmlformats.org/officeDocument/2006/relationships/hyperlink" Target="https://afterschools.olc.tw/afterschools/view/42200902250002" TargetMode="External"/><Relationship Id="rId2798" Type="http://schemas.openxmlformats.org/officeDocument/2006/relationships/hyperlink" Target="https://afterschools.olc.tw/afterschools/view/42202504160001" TargetMode="External"/><Relationship Id="rId2799" Type="http://schemas.openxmlformats.org/officeDocument/2006/relationships/hyperlink" Target="https://afterschools.olc.tw/afterschools/view/42201805140001" TargetMode="External"/><Relationship Id="rId2800" Type="http://schemas.openxmlformats.org/officeDocument/2006/relationships/hyperlink" Target="https://afterschools.olc.tw/afterschools/view/42200208120361" TargetMode="External"/><Relationship Id="rId2801" Type="http://schemas.openxmlformats.org/officeDocument/2006/relationships/hyperlink" Target="https://afterschools.olc.tw/afterschools/view/42200208120314" TargetMode="External"/><Relationship Id="rId2802" Type="http://schemas.openxmlformats.org/officeDocument/2006/relationships/hyperlink" Target="https://afterschools.olc.tw/afterschools/view/42200305220001" TargetMode="External"/><Relationship Id="rId2803" Type="http://schemas.openxmlformats.org/officeDocument/2006/relationships/hyperlink" Target="https://afterschools.olc.tw/afterschools/view/42200805190001" TargetMode="External"/><Relationship Id="rId2804" Type="http://schemas.openxmlformats.org/officeDocument/2006/relationships/hyperlink" Target="https://afterschools.olc.tw/afterschools/view/42200208120345" TargetMode="External"/><Relationship Id="rId2805" Type="http://schemas.openxmlformats.org/officeDocument/2006/relationships/hyperlink" Target="https://afterschools.olc.tw/afterschools/view/42201211020002" TargetMode="External"/><Relationship Id="rId2806" Type="http://schemas.openxmlformats.org/officeDocument/2006/relationships/hyperlink" Target="https://afterschools.olc.tw/afterschools/view/42200208120515" TargetMode="External"/><Relationship Id="rId2807" Type="http://schemas.openxmlformats.org/officeDocument/2006/relationships/hyperlink" Target="https://afterschools.olc.tw/afterschools/view/42200610230001" TargetMode="External"/><Relationship Id="rId2808" Type="http://schemas.openxmlformats.org/officeDocument/2006/relationships/hyperlink" Target="https://afterschools.olc.tw/afterschools/view/42201403060001" TargetMode="External"/><Relationship Id="rId2809" Type="http://schemas.openxmlformats.org/officeDocument/2006/relationships/hyperlink" Target="https://afterschools.olc.tw/afterschools/view/42202003090002" TargetMode="External"/><Relationship Id="rId2810" Type="http://schemas.openxmlformats.org/officeDocument/2006/relationships/hyperlink" Target="https://afterschools.olc.tw/afterschools/view/42200208120525" TargetMode="External"/><Relationship Id="rId2811" Type="http://schemas.openxmlformats.org/officeDocument/2006/relationships/hyperlink" Target="https://afterschools.olc.tw/afterschools/view/42200208120419" TargetMode="External"/><Relationship Id="rId2812" Type="http://schemas.openxmlformats.org/officeDocument/2006/relationships/hyperlink" Target="https://afterschools.olc.tw/afterschools/view/42201403200003" TargetMode="External"/><Relationship Id="rId2813" Type="http://schemas.openxmlformats.org/officeDocument/2006/relationships/hyperlink" Target="https://afterschools.olc.tw/afterschools/view/42200610130002" TargetMode="External"/><Relationship Id="rId2814" Type="http://schemas.openxmlformats.org/officeDocument/2006/relationships/hyperlink" Target="https://afterschools.olc.tw/afterschools/view/42200607070001" TargetMode="External"/><Relationship Id="rId2815" Type="http://schemas.openxmlformats.org/officeDocument/2006/relationships/hyperlink" Target="https://afterschools.olc.tw/afterschools/view/42200311170001" TargetMode="External"/><Relationship Id="rId2816" Type="http://schemas.openxmlformats.org/officeDocument/2006/relationships/hyperlink" Target="https://afterschools.olc.tw/afterschools/view/42200812180002" TargetMode="External"/><Relationship Id="rId2817" Type="http://schemas.openxmlformats.org/officeDocument/2006/relationships/hyperlink" Target="https://afterschools.olc.tw/afterschools/view/42201311190001" TargetMode="External"/><Relationship Id="rId2818" Type="http://schemas.openxmlformats.org/officeDocument/2006/relationships/hyperlink" Target="https://afterschools.olc.tw/afterschools/view/42200806170002" TargetMode="External"/><Relationship Id="rId2819" Type="http://schemas.openxmlformats.org/officeDocument/2006/relationships/hyperlink" Target="https://afterschools.olc.tw/afterschools/view/42201212190002" TargetMode="External"/><Relationship Id="rId2820" Type="http://schemas.openxmlformats.org/officeDocument/2006/relationships/hyperlink" Target="https://afterschools.olc.tw/afterschools/view/42201708080001" TargetMode="External"/><Relationship Id="rId2821" Type="http://schemas.openxmlformats.org/officeDocument/2006/relationships/hyperlink" Target="https://afterschools.olc.tw/afterschools/view/42200411290002" TargetMode="External"/><Relationship Id="rId2822" Type="http://schemas.openxmlformats.org/officeDocument/2006/relationships/hyperlink" Target="https://afterschools.olc.tw/afterschools/view/42200806260002" TargetMode="External"/><Relationship Id="rId2823" Type="http://schemas.openxmlformats.org/officeDocument/2006/relationships/hyperlink" Target="https://afterschools.olc.tw/afterschools/view/42201101220002" TargetMode="External"/><Relationship Id="rId2824" Type="http://schemas.openxmlformats.org/officeDocument/2006/relationships/hyperlink" Target="https://afterschools.olc.tw/afterschools/view/42200207319761" TargetMode="External"/><Relationship Id="rId2825" Type="http://schemas.openxmlformats.org/officeDocument/2006/relationships/hyperlink" Target="https://afterschools.olc.tw/afterschools/view/42200406299001" TargetMode="External"/><Relationship Id="rId2826" Type="http://schemas.openxmlformats.org/officeDocument/2006/relationships/hyperlink" Target="https://afterschools.olc.tw/afterschools/view/42200802219006" TargetMode="External"/><Relationship Id="rId2827" Type="http://schemas.openxmlformats.org/officeDocument/2006/relationships/hyperlink" Target="https://afterschools.olc.tw/afterschools/view/42200808259001" TargetMode="External"/><Relationship Id="rId2828" Type="http://schemas.openxmlformats.org/officeDocument/2006/relationships/hyperlink" Target="https://afterschools.olc.tw/afterschools/view/42200207319762" TargetMode="External"/><Relationship Id="rId2829" Type="http://schemas.openxmlformats.org/officeDocument/2006/relationships/hyperlink" Target="https://afterschools.olc.tw/afterschools/view/42200207319751" TargetMode="External"/><Relationship Id="rId2830" Type="http://schemas.openxmlformats.org/officeDocument/2006/relationships/hyperlink" Target="https://afterschools.olc.tw/afterschools/view/42200510079006" TargetMode="External"/><Relationship Id="rId2831" Type="http://schemas.openxmlformats.org/officeDocument/2006/relationships/hyperlink" Target="https://afterschools.olc.tw/afterschools/view/42200207319745" TargetMode="External"/><Relationship Id="rId2832" Type="http://schemas.openxmlformats.org/officeDocument/2006/relationships/hyperlink" Target="https://afterschools.olc.tw/afterschools/view/42200604039006" TargetMode="External"/><Relationship Id="rId2833" Type="http://schemas.openxmlformats.org/officeDocument/2006/relationships/hyperlink" Target="https://afterschools.olc.tw/afterschools/view/42201011129001" TargetMode="External"/><Relationship Id="rId2834" Type="http://schemas.openxmlformats.org/officeDocument/2006/relationships/hyperlink" Target="https://afterschools.olc.tw/afterschools/view/42201003059001" TargetMode="External"/><Relationship Id="rId2835" Type="http://schemas.openxmlformats.org/officeDocument/2006/relationships/hyperlink" Target="https://afterschools.olc.tw/afterschools/view/42200207319768" TargetMode="External"/><Relationship Id="rId2836" Type="http://schemas.openxmlformats.org/officeDocument/2006/relationships/hyperlink" Target="https://afterschools.olc.tw/afterschools/view/42200710239002" TargetMode="External"/><Relationship Id="rId2837" Type="http://schemas.openxmlformats.org/officeDocument/2006/relationships/hyperlink" Target="https://afterschools.olc.tw/afterschools/view/42201401260001" TargetMode="External"/><Relationship Id="rId2838" Type="http://schemas.openxmlformats.org/officeDocument/2006/relationships/hyperlink" Target="https://afterschools.olc.tw/afterschools/view/42200712109005" TargetMode="External"/><Relationship Id="rId2839" Type="http://schemas.openxmlformats.org/officeDocument/2006/relationships/hyperlink" Target="https://afterschools.olc.tw/afterschools/view/42200207319263" TargetMode="External"/><Relationship Id="rId2840" Type="http://schemas.openxmlformats.org/officeDocument/2006/relationships/hyperlink" Target="https://afterschools.olc.tw/afterschools/view/62200208079011" TargetMode="External"/><Relationship Id="rId2841" Type="http://schemas.openxmlformats.org/officeDocument/2006/relationships/hyperlink" Target="https://afterschools.olc.tw/afterschools/view/62200208079014" TargetMode="External"/><Relationship Id="rId2842" Type="http://schemas.openxmlformats.org/officeDocument/2006/relationships/hyperlink" Target="https://afterschools.olc.tw/afterschools/view/62200608109004" TargetMode="External"/><Relationship Id="rId2843" Type="http://schemas.openxmlformats.org/officeDocument/2006/relationships/hyperlink" Target="https://afterschools.olc.tw/afterschools/view/62201401160001" TargetMode="External"/><Relationship Id="rId2844" Type="http://schemas.openxmlformats.org/officeDocument/2006/relationships/hyperlink" Target="https://afterschools.olc.tw/afterschools/view/62200205140034" TargetMode="External"/><Relationship Id="rId2845" Type="http://schemas.openxmlformats.org/officeDocument/2006/relationships/hyperlink" Target="https://afterschools.olc.tw/afterschools/view/62200310230001" TargetMode="External"/><Relationship Id="rId2846" Type="http://schemas.openxmlformats.org/officeDocument/2006/relationships/hyperlink" Target="https://afterschools.olc.tw/afterschools/view/62200205202181" TargetMode="External"/><Relationship Id="rId2847" Type="http://schemas.openxmlformats.org/officeDocument/2006/relationships/hyperlink" Target="https://afterschools.olc.tw/afterschools/view/62200402040006" TargetMode="External"/><Relationship Id="rId2848" Type="http://schemas.openxmlformats.org/officeDocument/2006/relationships/hyperlink" Target="https://afterschools.olc.tw/afterschools/view/62200205202178" TargetMode="External"/><Relationship Id="rId2849" Type="http://schemas.openxmlformats.org/officeDocument/2006/relationships/hyperlink" Target="https://afterschools.olc.tw/afterschools/view/62200205140092" TargetMode="External"/><Relationship Id="rId2850" Type="http://schemas.openxmlformats.org/officeDocument/2006/relationships/hyperlink" Target="https://afterschools.olc.tw/afterschools/view/62200603060001" TargetMode="External"/><Relationship Id="rId2851" Type="http://schemas.openxmlformats.org/officeDocument/2006/relationships/hyperlink" Target="https://afterschools.olc.tw/afterschools/view/62200605050002" TargetMode="External"/><Relationship Id="rId2852" Type="http://schemas.openxmlformats.org/officeDocument/2006/relationships/hyperlink" Target="https://afterschools.olc.tw/afterschools/view/62200205202111" TargetMode="External"/><Relationship Id="rId2853" Type="http://schemas.openxmlformats.org/officeDocument/2006/relationships/hyperlink" Target="https://afterschools.olc.tw/afterschools/view/62200209270001" TargetMode="External"/><Relationship Id="rId2854" Type="http://schemas.openxmlformats.org/officeDocument/2006/relationships/hyperlink" Target="https://afterschools.olc.tw/afterschools/view/62200205140098" TargetMode="External"/><Relationship Id="rId2855" Type="http://schemas.openxmlformats.org/officeDocument/2006/relationships/hyperlink" Target="https://afterschools.olc.tw/afterschools/view/62200205140030" TargetMode="External"/><Relationship Id="rId2856" Type="http://schemas.openxmlformats.org/officeDocument/2006/relationships/hyperlink" Target="https://afterschools.olc.tw/afterschools/view/62200407060001" TargetMode="External"/><Relationship Id="rId2857" Type="http://schemas.openxmlformats.org/officeDocument/2006/relationships/hyperlink" Target="https://afterschools.olc.tw/afterschools/view/62200205140037" TargetMode="External"/><Relationship Id="rId2858" Type="http://schemas.openxmlformats.org/officeDocument/2006/relationships/hyperlink" Target="https://afterschools.olc.tw/afterschools/view/62200208290008" TargetMode="External"/><Relationship Id="rId2859" Type="http://schemas.openxmlformats.org/officeDocument/2006/relationships/hyperlink" Target="https://afterschools.olc.tw/afterschools/view/62200205140049" TargetMode="External"/><Relationship Id="rId2860" Type="http://schemas.openxmlformats.org/officeDocument/2006/relationships/hyperlink" Target="https://afterschools.olc.tw/afterschools/view/62200205140036" TargetMode="External"/><Relationship Id="rId2861" Type="http://schemas.openxmlformats.org/officeDocument/2006/relationships/hyperlink" Target="https://afterschools.olc.tw/afterschools/view/62200205140046" TargetMode="External"/><Relationship Id="rId2862" Type="http://schemas.openxmlformats.org/officeDocument/2006/relationships/hyperlink" Target="https://afterschools.olc.tw/afterschools/view/62200205202123" TargetMode="External"/><Relationship Id="rId2863" Type="http://schemas.openxmlformats.org/officeDocument/2006/relationships/hyperlink" Target="https://afterschools.olc.tw/afterschools/view/62200208079026" TargetMode="External"/><Relationship Id="rId2864" Type="http://schemas.openxmlformats.org/officeDocument/2006/relationships/hyperlink" Target="https://afterschools.olc.tw/afterschools/view/62200208079044" TargetMode="External"/><Relationship Id="rId2865" Type="http://schemas.openxmlformats.org/officeDocument/2006/relationships/hyperlink" Target="https://afterschools.olc.tw/afterschools/view/62200208069095" TargetMode="External"/><Relationship Id="rId2866" Type="http://schemas.openxmlformats.org/officeDocument/2006/relationships/hyperlink" Target="https://afterschools.olc.tw/afterschools/view/62200501069001" TargetMode="External"/><Relationship Id="rId2867" Type="http://schemas.openxmlformats.org/officeDocument/2006/relationships/hyperlink" Target="https://afterschools.olc.tw/afterschools/view/62200208079053" TargetMode="External"/><Relationship Id="rId2868" Type="http://schemas.openxmlformats.org/officeDocument/2006/relationships/hyperlink" Target="https://afterschools.olc.tw/afterschools/view/62200208089088" TargetMode="External"/><Relationship Id="rId2869" Type="http://schemas.openxmlformats.org/officeDocument/2006/relationships/hyperlink" Target="https://afterschools.olc.tw/afterschools/view/62200308269001" TargetMode="External"/><Relationship Id="rId2870" Type="http://schemas.openxmlformats.org/officeDocument/2006/relationships/hyperlink" Target="https://afterschools.olc.tw/afterschools/view/62200511049002" TargetMode="External"/><Relationship Id="rId2871" Type="http://schemas.openxmlformats.org/officeDocument/2006/relationships/hyperlink" Target="https://afterschools.olc.tw/afterschools/view/62202410080001" TargetMode="External"/><Relationship Id="rId2872" Type="http://schemas.openxmlformats.org/officeDocument/2006/relationships/hyperlink" Target="https://afterschools.olc.tw/afterschools/view/62200208129004" TargetMode="External"/><Relationship Id="rId2873" Type="http://schemas.openxmlformats.org/officeDocument/2006/relationships/hyperlink" Target="https://afterschools.olc.tw/afterschools/view/62200810279001" TargetMode="External"/><Relationship Id="rId2874" Type="http://schemas.openxmlformats.org/officeDocument/2006/relationships/hyperlink" Target="https://afterschools.olc.tw/afterschools/view/62200208079084" TargetMode="External"/><Relationship Id="rId2875" Type="http://schemas.openxmlformats.org/officeDocument/2006/relationships/hyperlink" Target="https://afterschools.olc.tw/afterschools/view/62202410170001" TargetMode="External"/><Relationship Id="rId2876" Type="http://schemas.openxmlformats.org/officeDocument/2006/relationships/hyperlink" Target="https://afterschools.olc.tw/afterschools/view/62200703089002" TargetMode="External"/><Relationship Id="rId2877" Type="http://schemas.openxmlformats.org/officeDocument/2006/relationships/hyperlink" Target="https://afterschools.olc.tw/afterschools/view/62200208079106" TargetMode="External"/><Relationship Id="rId2878" Type="http://schemas.openxmlformats.org/officeDocument/2006/relationships/hyperlink" Target="https://afterschools.olc.tw/afterschools/view/62200205202171" TargetMode="External"/><Relationship Id="rId2879" Type="http://schemas.openxmlformats.org/officeDocument/2006/relationships/hyperlink" Target="https://afterschools.olc.tw/afterschools/view/62200205140089" TargetMode="External"/><Relationship Id="rId2880" Type="http://schemas.openxmlformats.org/officeDocument/2006/relationships/hyperlink" Target="https://afterschools.olc.tw/afterschools/view/62200205200022" TargetMode="External"/><Relationship Id="rId2881" Type="http://schemas.openxmlformats.org/officeDocument/2006/relationships/hyperlink" Target="https://afterschools.olc.tw/afterschools/view/62200505050001" TargetMode="External"/><Relationship Id="rId2882" Type="http://schemas.openxmlformats.org/officeDocument/2006/relationships/hyperlink" Target="https://afterschools.olc.tw/afterschools/view/62200205140084" TargetMode="External"/><Relationship Id="rId2883" Type="http://schemas.openxmlformats.org/officeDocument/2006/relationships/hyperlink" Target="https://afterschools.olc.tw/afterschools/view/62200211190004" TargetMode="External"/><Relationship Id="rId2884" Type="http://schemas.openxmlformats.org/officeDocument/2006/relationships/hyperlink" Target="https://afterschools.olc.tw/afterschools/view/62201108110003" TargetMode="External"/><Relationship Id="rId2885" Type="http://schemas.openxmlformats.org/officeDocument/2006/relationships/hyperlink" Target="https://afterschools.olc.tw/afterschools/view/62201004190001" TargetMode="External"/><Relationship Id="rId2886" Type="http://schemas.openxmlformats.org/officeDocument/2006/relationships/hyperlink" Target="https://afterschools.olc.tw/afterschools/view/62200208280053" TargetMode="External"/><Relationship Id="rId2887" Type="http://schemas.openxmlformats.org/officeDocument/2006/relationships/hyperlink" Target="https://afterschools.olc.tw/afterschools/view/62200205140044" TargetMode="External"/><Relationship Id="rId2888" Type="http://schemas.openxmlformats.org/officeDocument/2006/relationships/hyperlink" Target="https://afterschools.olc.tw/afterschools/view/62201407070002" TargetMode="External"/><Relationship Id="rId2889" Type="http://schemas.openxmlformats.org/officeDocument/2006/relationships/hyperlink" Target="https://afterschools.olc.tw/afterschools/view/62200403080001" TargetMode="External"/><Relationship Id="rId2890" Type="http://schemas.openxmlformats.org/officeDocument/2006/relationships/hyperlink" Target="https://afterschools.olc.tw/afterschools/view/62200402040003" TargetMode="External"/><Relationship Id="rId2891" Type="http://schemas.openxmlformats.org/officeDocument/2006/relationships/hyperlink" Target="https://afterschools.olc.tw/afterschools/view/62200906030001" TargetMode="External"/><Relationship Id="rId2892" Type="http://schemas.openxmlformats.org/officeDocument/2006/relationships/hyperlink" Target="https://afterschools.olc.tw/afterschools/view/62200906220001" TargetMode="External"/><Relationship Id="rId2893" Type="http://schemas.openxmlformats.org/officeDocument/2006/relationships/hyperlink" Target="https://afterschools.olc.tw/afterschools/view/62200908180001" TargetMode="External"/><Relationship Id="rId2894" Type="http://schemas.openxmlformats.org/officeDocument/2006/relationships/hyperlink" Target="https://afterschools.olc.tw/afterschools/view/62200809260001" TargetMode="External"/><Relationship Id="rId2895" Type="http://schemas.openxmlformats.org/officeDocument/2006/relationships/hyperlink" Target="https://afterschools.olc.tw/afterschools/view/62201205170001" TargetMode="External"/><Relationship Id="rId2896" Type="http://schemas.openxmlformats.org/officeDocument/2006/relationships/hyperlink" Target="https://afterschools.olc.tw/afterschools/view/62200205200084" TargetMode="External"/><Relationship Id="rId2897" Type="http://schemas.openxmlformats.org/officeDocument/2006/relationships/hyperlink" Target="https://afterschools.olc.tw/afterschools/view/62200708090003" TargetMode="External"/><Relationship Id="rId2898" Type="http://schemas.openxmlformats.org/officeDocument/2006/relationships/hyperlink" Target="https://afterschools.olc.tw/afterschools/view/62200208280032" TargetMode="External"/><Relationship Id="rId2899" Type="http://schemas.openxmlformats.org/officeDocument/2006/relationships/hyperlink" Target="https://afterschools.olc.tw/afterschools/view/62200511080002" TargetMode="External"/><Relationship Id="rId2900" Type="http://schemas.openxmlformats.org/officeDocument/2006/relationships/hyperlink" Target="https://afterschools.olc.tw/afterschools/view/62200407190002" TargetMode="External"/><Relationship Id="rId2901" Type="http://schemas.openxmlformats.org/officeDocument/2006/relationships/hyperlink" Target="https://afterschools.olc.tw/afterschools/view/62202107180001" TargetMode="External"/><Relationship Id="rId2902" Type="http://schemas.openxmlformats.org/officeDocument/2006/relationships/hyperlink" Target="https://afterschools.olc.tw/afterschools/view/62200905120003" TargetMode="External"/><Relationship Id="rId2903" Type="http://schemas.openxmlformats.org/officeDocument/2006/relationships/hyperlink" Target="https://afterschools.olc.tw/afterschools/view/62200602170003" TargetMode="External"/><Relationship Id="rId2904" Type="http://schemas.openxmlformats.org/officeDocument/2006/relationships/hyperlink" Target="https://afterschools.olc.tw/afterschools/view/62200205200092" TargetMode="External"/><Relationship Id="rId2905" Type="http://schemas.openxmlformats.org/officeDocument/2006/relationships/hyperlink" Target="https://afterschools.olc.tw/afterschools/view/62200205202139" TargetMode="External"/><Relationship Id="rId2906" Type="http://schemas.openxmlformats.org/officeDocument/2006/relationships/hyperlink" Target="https://afterschools.olc.tw/afterschools/view/62200208290002" TargetMode="External"/><Relationship Id="rId2907" Type="http://schemas.openxmlformats.org/officeDocument/2006/relationships/hyperlink" Target="https://afterschools.olc.tw/afterschools/view/62200704240003" TargetMode="External"/><Relationship Id="rId2908" Type="http://schemas.openxmlformats.org/officeDocument/2006/relationships/hyperlink" Target="https://afterschools.olc.tw/afterschools/view/62202606110001" TargetMode="External"/><Relationship Id="rId2909" Type="http://schemas.openxmlformats.org/officeDocument/2006/relationships/hyperlink" Target="https://afterschools.olc.tw/afterschools/view/62202607030001" TargetMode="External"/><Relationship Id="rId2910" Type="http://schemas.openxmlformats.org/officeDocument/2006/relationships/hyperlink" Target="https://afterschools.olc.tw/afterschools/view/62200607319001" TargetMode="External"/><Relationship Id="rId2911" Type="http://schemas.openxmlformats.org/officeDocument/2006/relationships/hyperlink" Target="https://afterschools.olc.tw/afterschools/view/62200308279001" TargetMode="External"/><Relationship Id="rId2912" Type="http://schemas.openxmlformats.org/officeDocument/2006/relationships/hyperlink" Target="https://afterschools.olc.tw/afterschools/view/62202111230001" TargetMode="External"/><Relationship Id="rId2913" Type="http://schemas.openxmlformats.org/officeDocument/2006/relationships/hyperlink" Target="https://afterschools.olc.tw/afterschools/view/62202410200001" TargetMode="External"/><Relationship Id="rId2914" Type="http://schemas.openxmlformats.org/officeDocument/2006/relationships/hyperlink" Target="https://afterschools.olc.tw/afterschools/view/62200208079099" TargetMode="External"/><Relationship Id="rId2915" Type="http://schemas.openxmlformats.org/officeDocument/2006/relationships/hyperlink" Target="https://afterschools.olc.tw/afterschools/view/62201609130001" TargetMode="External"/><Relationship Id="rId2916" Type="http://schemas.openxmlformats.org/officeDocument/2006/relationships/hyperlink" Target="https://afterschools.olc.tw/afterschools/view/62200507019003" TargetMode="External"/><Relationship Id="rId2917" Type="http://schemas.openxmlformats.org/officeDocument/2006/relationships/hyperlink" Target="https://afterschools.olc.tw/afterschools/view/62202306020001" TargetMode="External"/><Relationship Id="rId2918" Type="http://schemas.openxmlformats.org/officeDocument/2006/relationships/hyperlink" Target="https://afterschools.olc.tw/afterschools/view/62200603029002" TargetMode="External"/><Relationship Id="rId2919" Type="http://schemas.openxmlformats.org/officeDocument/2006/relationships/hyperlink" Target="https://afterschools.olc.tw/afterschools/view/62200205140069" TargetMode="External"/><Relationship Id="rId2920" Type="http://schemas.openxmlformats.org/officeDocument/2006/relationships/hyperlink" Target="https://afterschools.olc.tw/afterschools/view/62200905080001" TargetMode="External"/><Relationship Id="rId2921" Type="http://schemas.openxmlformats.org/officeDocument/2006/relationships/hyperlink" Target="https://afterschools.olc.tw/afterschools/view/62201012130001" TargetMode="External"/><Relationship Id="rId2922" Type="http://schemas.openxmlformats.org/officeDocument/2006/relationships/hyperlink" Target="https://afterschools.olc.tw/afterschools/view/62200705280002" TargetMode="External"/><Relationship Id="rId2923" Type="http://schemas.openxmlformats.org/officeDocument/2006/relationships/hyperlink" Target="https://afterschools.olc.tw/afterschools/view/62200412060001" TargetMode="External"/><Relationship Id="rId2924" Type="http://schemas.openxmlformats.org/officeDocument/2006/relationships/hyperlink" Target="https://afterschools.olc.tw/afterschools/view/62200509080002" TargetMode="External"/><Relationship Id="rId2925" Type="http://schemas.openxmlformats.org/officeDocument/2006/relationships/hyperlink" Target="https://afterschools.olc.tw/afterschools/view/62201009060001" TargetMode="External"/><Relationship Id="rId2926" Type="http://schemas.openxmlformats.org/officeDocument/2006/relationships/hyperlink" Target="https://afterschools.olc.tw/afterschools/view/62200205140096" TargetMode="External"/><Relationship Id="rId2927" Type="http://schemas.openxmlformats.org/officeDocument/2006/relationships/hyperlink" Target="https://afterschools.olc.tw/afterschools/view/62200208280035" TargetMode="External"/><Relationship Id="rId2928" Type="http://schemas.openxmlformats.org/officeDocument/2006/relationships/hyperlink" Target="https://afterschools.olc.tw/afterschools/view/62200208280050" TargetMode="External"/><Relationship Id="rId2929" Type="http://schemas.openxmlformats.org/officeDocument/2006/relationships/hyperlink" Target="https://afterschools.olc.tw/afterschools/view/62201307290001" TargetMode="External"/><Relationship Id="rId2930" Type="http://schemas.openxmlformats.org/officeDocument/2006/relationships/hyperlink" Target="https://afterschools.olc.tw/afterschools/view/62200610110001" TargetMode="External"/><Relationship Id="rId2931" Type="http://schemas.openxmlformats.org/officeDocument/2006/relationships/hyperlink" Target="https://afterschools.olc.tw/afterschools/view/62200205202165" TargetMode="External"/><Relationship Id="rId2932" Type="http://schemas.openxmlformats.org/officeDocument/2006/relationships/hyperlink" Target="https://afterschools.olc.tw/afterschools/view/62200502230002" TargetMode="External"/><Relationship Id="rId2933" Type="http://schemas.openxmlformats.org/officeDocument/2006/relationships/hyperlink" Target="https://afterschools.olc.tw/afterschools/view/62200602110001" TargetMode="External"/><Relationship Id="rId2934" Type="http://schemas.openxmlformats.org/officeDocument/2006/relationships/hyperlink" Target="https://afterschools.olc.tw/afterschools/view/62200208079073" TargetMode="External"/><Relationship Id="rId2935" Type="http://schemas.openxmlformats.org/officeDocument/2006/relationships/hyperlink" Target="https://afterschools.olc.tw/afterschools/view/62201711090001" TargetMode="External"/><Relationship Id="rId2936" Type="http://schemas.openxmlformats.org/officeDocument/2006/relationships/hyperlink" Target="https://afterschools.olc.tw/afterschools/view/62200609079001" TargetMode="External"/><Relationship Id="rId2937" Type="http://schemas.openxmlformats.org/officeDocument/2006/relationships/hyperlink" Target="https://afterschools.olc.tw/afterschools/view/62200512140001" TargetMode="External"/><Relationship Id="rId2938" Type="http://schemas.openxmlformats.org/officeDocument/2006/relationships/hyperlink" Target="https://afterschools.olc.tw/afterschools/view/62200205172135" TargetMode="External"/><Relationship Id="rId2939" Type="http://schemas.openxmlformats.org/officeDocument/2006/relationships/hyperlink" Target="https://afterschools.olc.tw/afterschools/view/62200602110004" TargetMode="External"/><Relationship Id="rId2940" Type="http://schemas.openxmlformats.org/officeDocument/2006/relationships/hyperlink" Target="https://afterschools.olc.tw/afterschools/view/62200709180004" TargetMode="External"/><Relationship Id="rId2941" Type="http://schemas.openxmlformats.org/officeDocument/2006/relationships/hyperlink" Target="https://afterschools.olc.tw/afterschools/view/62200208079028" TargetMode="External"/><Relationship Id="rId2942" Type="http://schemas.openxmlformats.org/officeDocument/2006/relationships/hyperlink" Target="https://afterschools.olc.tw/afterschools/view/62200404070001" TargetMode="External"/><Relationship Id="rId2943" Type="http://schemas.openxmlformats.org/officeDocument/2006/relationships/hyperlink" Target="https://afterschools.olc.tw/afterschools/view/62200205140025" TargetMode="External"/><Relationship Id="rId2944" Type="http://schemas.openxmlformats.org/officeDocument/2006/relationships/hyperlink" Target="https://afterschools.olc.tw/afterschools/view/62201408290002" TargetMode="External"/><Relationship Id="rId2945" Type="http://schemas.openxmlformats.org/officeDocument/2006/relationships/hyperlink" Target="https://afterschools.olc.tw/afterschools/view/62202210190001" TargetMode="External"/><Relationship Id="rId2946" Type="http://schemas.openxmlformats.org/officeDocument/2006/relationships/hyperlink" Target="https://afterschools.olc.tw/afterschools/view/62200208069048" TargetMode="External"/><Relationship Id="rId2947" Type="http://schemas.openxmlformats.org/officeDocument/2006/relationships/hyperlink" Target="https://afterschools.olc.tw/afterschools/view/62200208079110" TargetMode="External"/><Relationship Id="rId2948" Type="http://schemas.openxmlformats.org/officeDocument/2006/relationships/hyperlink" Target="https://afterschools.olc.tw/afterschools/view/62200208129006" TargetMode="External"/><Relationship Id="rId2949" Type="http://schemas.openxmlformats.org/officeDocument/2006/relationships/hyperlink" Target="https://afterschools.olc.tw/afterschools/view/62202308140001" TargetMode="External"/><Relationship Id="rId2950" Type="http://schemas.openxmlformats.org/officeDocument/2006/relationships/hyperlink" Target="https://afterschools.olc.tw/afterschools/view/62201106220001" TargetMode="External"/><Relationship Id="rId2951" Type="http://schemas.openxmlformats.org/officeDocument/2006/relationships/hyperlink" Target="https://afterschools.olc.tw/afterschools/view/62201810140001" TargetMode="External"/><Relationship Id="rId2952" Type="http://schemas.openxmlformats.org/officeDocument/2006/relationships/hyperlink" Target="https://afterschools.olc.tw/afterschools/view/62201505070002" TargetMode="External"/><Relationship Id="rId2953" Type="http://schemas.openxmlformats.org/officeDocument/2006/relationships/hyperlink" Target="https://afterschools.olc.tw/afterschools/view/62201102010002" TargetMode="External"/><Relationship Id="rId2954" Type="http://schemas.openxmlformats.org/officeDocument/2006/relationships/hyperlink" Target="https://afterschools.olc.tw/afterschools/view/62200905249003" TargetMode="External"/><Relationship Id="rId2955" Type="http://schemas.openxmlformats.org/officeDocument/2006/relationships/hyperlink" Target="https://afterschools.olc.tw/afterschools/view/62200807179001" TargetMode="External"/><Relationship Id="rId2956" Type="http://schemas.openxmlformats.org/officeDocument/2006/relationships/hyperlink" Target="https://afterschools.olc.tw/afterschools/view/62200603089001" TargetMode="External"/><Relationship Id="rId2957" Type="http://schemas.openxmlformats.org/officeDocument/2006/relationships/hyperlink" Target="https://afterschools.olc.tw/afterschools/view/62200308259003" TargetMode="External"/><Relationship Id="rId2958" Type="http://schemas.openxmlformats.org/officeDocument/2006/relationships/hyperlink" Target="https://afterschools.olc.tw/afterschools/view/62200601059002" TargetMode="External"/><Relationship Id="rId2959" Type="http://schemas.openxmlformats.org/officeDocument/2006/relationships/hyperlink" Target="https://afterschools.olc.tw/afterschools/view/62200208079071" TargetMode="External"/><Relationship Id="rId2960" Type="http://schemas.openxmlformats.org/officeDocument/2006/relationships/hyperlink" Target="https://afterschools.olc.tw/afterschools/view/62201904110001" TargetMode="External"/><Relationship Id="rId2961" Type="http://schemas.openxmlformats.org/officeDocument/2006/relationships/hyperlink" Target="https://afterschools.olc.tw/afterschools/view/62200305289017" TargetMode="External"/><Relationship Id="rId2962" Type="http://schemas.openxmlformats.org/officeDocument/2006/relationships/hyperlink" Target="https://afterschools.olc.tw/afterschools/view/62201812120001" TargetMode="External"/><Relationship Id="rId2963" Type="http://schemas.openxmlformats.org/officeDocument/2006/relationships/hyperlink" Target="https://afterschools.olc.tw/afterschools/view/62200209199002" TargetMode="External"/><Relationship Id="rId2964" Type="http://schemas.openxmlformats.org/officeDocument/2006/relationships/hyperlink" Target="https://afterschools.olc.tw/afterschools/view/62200208089084" TargetMode="External"/><Relationship Id="rId2965" Type="http://schemas.openxmlformats.org/officeDocument/2006/relationships/hyperlink" Target="https://afterschools.olc.tw/afterschools/view/62200208079045" TargetMode="External"/><Relationship Id="rId2966" Type="http://schemas.openxmlformats.org/officeDocument/2006/relationships/hyperlink" Target="https://afterschools.olc.tw/afterschools/view/62200308269002" TargetMode="External"/><Relationship Id="rId2967" Type="http://schemas.openxmlformats.org/officeDocument/2006/relationships/hyperlink" Target="https://afterschools.olc.tw/afterschools/view/62200710049001" TargetMode="External"/><Relationship Id="rId2968" Type="http://schemas.openxmlformats.org/officeDocument/2006/relationships/hyperlink" Target="https://afterschools.olc.tw/afterschools/view/62201301310002" TargetMode="External"/><Relationship Id="rId2969" Type="http://schemas.openxmlformats.org/officeDocument/2006/relationships/hyperlink" Target="https://afterschools.olc.tw/afterschools/view/62200601120004" TargetMode="External"/><Relationship Id="rId2970" Type="http://schemas.openxmlformats.org/officeDocument/2006/relationships/hyperlink" Target="https://afterschools.olc.tw/afterschools/view/62200205200080" TargetMode="External"/><Relationship Id="rId2971" Type="http://schemas.openxmlformats.org/officeDocument/2006/relationships/hyperlink" Target="https://afterschools.olc.tw/afterschools/view/62200205140042" TargetMode="External"/><Relationship Id="rId2972" Type="http://schemas.openxmlformats.org/officeDocument/2006/relationships/hyperlink" Target="https://afterschools.olc.tw/afterschools/view/62201008090001" TargetMode="External"/><Relationship Id="rId2973" Type="http://schemas.openxmlformats.org/officeDocument/2006/relationships/hyperlink" Target="https://afterschools.olc.tw/afterschools/view/62202109030001" TargetMode="External"/><Relationship Id="rId2974" Type="http://schemas.openxmlformats.org/officeDocument/2006/relationships/hyperlink" Target="https://afterschools.olc.tw/afterschools/view/62200205202119" TargetMode="External"/><Relationship Id="rId2975" Type="http://schemas.openxmlformats.org/officeDocument/2006/relationships/hyperlink" Target="https://afterschools.olc.tw/afterschools/view/62200308220001" TargetMode="External"/><Relationship Id="rId2976" Type="http://schemas.openxmlformats.org/officeDocument/2006/relationships/hyperlink" Target="https://afterschools.olc.tw/afterschools/view/62200807040001" TargetMode="External"/><Relationship Id="rId2977" Type="http://schemas.openxmlformats.org/officeDocument/2006/relationships/hyperlink" Target="https://afterschools.olc.tw/afterschools/view/62200606280001" TargetMode="External"/><Relationship Id="rId2978" Type="http://schemas.openxmlformats.org/officeDocument/2006/relationships/hyperlink" Target="https://afterschools.olc.tw/afterschools/view/62202107090001" TargetMode="External"/><Relationship Id="rId2979" Type="http://schemas.openxmlformats.org/officeDocument/2006/relationships/hyperlink" Target="https://afterschools.olc.tw/afterschools/view/62200205200027" TargetMode="External"/><Relationship Id="rId2980" Type="http://schemas.openxmlformats.org/officeDocument/2006/relationships/hyperlink" Target="https://afterschools.olc.tw/afterschools/view/62200304220001" TargetMode="External"/><Relationship Id="rId2981" Type="http://schemas.openxmlformats.org/officeDocument/2006/relationships/hyperlink" Target="https://afterschools.olc.tw/afterschools/view/62200312260002" TargetMode="External"/><Relationship Id="rId2982" Type="http://schemas.openxmlformats.org/officeDocument/2006/relationships/hyperlink" Target="https://afterschools.olc.tw/afterschools/view/62200205142126" TargetMode="External"/><Relationship Id="rId2983" Type="http://schemas.openxmlformats.org/officeDocument/2006/relationships/hyperlink" Target="https://afterschools.olc.tw/afterschools/view/62200205200044" TargetMode="External"/><Relationship Id="rId2984" Type="http://schemas.openxmlformats.org/officeDocument/2006/relationships/hyperlink" Target="https://afterschools.olc.tw/afterschools/view/62200905150001" TargetMode="External"/><Relationship Id="rId2985" Type="http://schemas.openxmlformats.org/officeDocument/2006/relationships/hyperlink" Target="https://afterschools.olc.tw/afterschools/view/62201105060001" TargetMode="External"/><Relationship Id="rId2986" Type="http://schemas.openxmlformats.org/officeDocument/2006/relationships/hyperlink" Target="https://afterschools.olc.tw/afterschools/view/62200504220001" TargetMode="External"/><Relationship Id="rId2987" Type="http://schemas.openxmlformats.org/officeDocument/2006/relationships/hyperlink" Target="https://afterschools.olc.tw/afterschools/view/62200205140035" TargetMode="External"/><Relationship Id="rId2988" Type="http://schemas.openxmlformats.org/officeDocument/2006/relationships/hyperlink" Target="https://afterschools.olc.tw/afterschools/view/62200710080001" TargetMode="External"/><Relationship Id="rId2989" Type="http://schemas.openxmlformats.org/officeDocument/2006/relationships/hyperlink" Target="https://afterschools.olc.tw/afterschools/view/62200208290001" TargetMode="External"/><Relationship Id="rId2990" Type="http://schemas.openxmlformats.org/officeDocument/2006/relationships/hyperlink" Target="https://afterschools.olc.tw/afterschools/view/62200208280041" TargetMode="External"/><Relationship Id="rId2991" Type="http://schemas.openxmlformats.org/officeDocument/2006/relationships/hyperlink" Target="https://afterschools.olc.tw/afterschools/view/62200205140023" TargetMode="External"/><Relationship Id="rId2992" Type="http://schemas.openxmlformats.org/officeDocument/2006/relationships/hyperlink" Target="https://afterschools.olc.tw/afterschools/view/62200205142114" TargetMode="External"/><Relationship Id="rId2993" Type="http://schemas.openxmlformats.org/officeDocument/2006/relationships/hyperlink" Target="https://afterschools.olc.tw/afterschools/view/62200506070001" TargetMode="External"/><Relationship Id="rId2994" Type="http://schemas.openxmlformats.org/officeDocument/2006/relationships/hyperlink" Target="https://afterschools.olc.tw/afterschools/view/62200205140067" TargetMode="External"/><Relationship Id="rId2995" Type="http://schemas.openxmlformats.org/officeDocument/2006/relationships/hyperlink" Target="https://afterschools.olc.tw/afterschools/view/62201003050001" TargetMode="External"/><Relationship Id="rId2996" Type="http://schemas.openxmlformats.org/officeDocument/2006/relationships/hyperlink" Target="https://afterschools.olc.tw/afterschools/view/62200609290004" TargetMode="External"/><Relationship Id="rId2997" Type="http://schemas.openxmlformats.org/officeDocument/2006/relationships/hyperlink" Target="https://afterschools.olc.tw/afterschools/view/62200208290005" TargetMode="External"/><Relationship Id="rId2998" Type="http://schemas.openxmlformats.org/officeDocument/2006/relationships/hyperlink" Target="https://afterschools.olc.tw/afterschools/view/62200803130001" TargetMode="External"/><Relationship Id="rId2999" Type="http://schemas.openxmlformats.org/officeDocument/2006/relationships/hyperlink" Target="https://afterschools.olc.tw/afterschools/view/62200311210001" TargetMode="External"/><Relationship Id="rId3000" Type="http://schemas.openxmlformats.org/officeDocument/2006/relationships/hyperlink" Target="https://afterschools.olc.tw/afterschools/view/62200205200045" TargetMode="External"/><Relationship Id="rId3001" Type="http://schemas.openxmlformats.org/officeDocument/2006/relationships/hyperlink" Target="https://afterschools.olc.tw/afterschools/view/62201905280001" TargetMode="External"/><Relationship Id="rId3002" Type="http://schemas.openxmlformats.org/officeDocument/2006/relationships/hyperlink" Target="https://afterschools.olc.tw/afterschools/view/62200209110001" TargetMode="External"/><Relationship Id="rId3003" Type="http://schemas.openxmlformats.org/officeDocument/2006/relationships/hyperlink" Target="https://afterschools.olc.tw/afterschools/view/62200407200001" TargetMode="External"/><Relationship Id="rId3004" Type="http://schemas.openxmlformats.org/officeDocument/2006/relationships/hyperlink" Target="https://afterschools.olc.tw/afterschools/view/62200205142111" TargetMode="External"/><Relationship Id="rId3005" Type="http://schemas.openxmlformats.org/officeDocument/2006/relationships/hyperlink" Target="https://afterschools.olc.tw/afterschools/view/62200410210001" TargetMode="External"/><Relationship Id="rId3006" Type="http://schemas.openxmlformats.org/officeDocument/2006/relationships/hyperlink" Target="https://afterschools.olc.tw/afterschools/view/62200808190001" TargetMode="External"/><Relationship Id="rId3007" Type="http://schemas.openxmlformats.org/officeDocument/2006/relationships/hyperlink" Target="https://afterschools.olc.tw/afterschools/view/62201304180001" TargetMode="External"/><Relationship Id="rId3008" Type="http://schemas.openxmlformats.org/officeDocument/2006/relationships/hyperlink" Target="https://afterschools.olc.tw/afterschools/view/62200205200035" TargetMode="External"/><Relationship Id="rId3009" Type="http://schemas.openxmlformats.org/officeDocument/2006/relationships/hyperlink" Target="https://afterschools.olc.tw/afterschools/view/62201206130003" TargetMode="External"/><Relationship Id="rId3010" Type="http://schemas.openxmlformats.org/officeDocument/2006/relationships/hyperlink" Target="https://afterschools.olc.tw/afterschools/view/62200208280033" TargetMode="External"/><Relationship Id="rId3011" Type="http://schemas.openxmlformats.org/officeDocument/2006/relationships/hyperlink" Target="https://afterschools.olc.tw/afterschools/view/62200205202136" TargetMode="External"/><Relationship Id="rId3012" Type="http://schemas.openxmlformats.org/officeDocument/2006/relationships/hyperlink" Target="https://afterschools.olc.tw/afterschools/view/62200407160003" TargetMode="External"/><Relationship Id="rId3013" Type="http://schemas.openxmlformats.org/officeDocument/2006/relationships/hyperlink" Target="https://afterschools.olc.tw/afterschools/view/62200808040001" TargetMode="External"/><Relationship Id="rId3014" Type="http://schemas.openxmlformats.org/officeDocument/2006/relationships/hyperlink" Target="https://afterschools.olc.tw/afterschools/view/62201001080002" TargetMode="External"/><Relationship Id="rId3015" Type="http://schemas.openxmlformats.org/officeDocument/2006/relationships/hyperlink" Target="https://afterschools.olc.tw/afterschools/view/62200509270001" TargetMode="External"/><Relationship Id="rId3016" Type="http://schemas.openxmlformats.org/officeDocument/2006/relationships/hyperlink" Target="https://afterschools.olc.tw/afterschools/view/62200709110003" TargetMode="External"/><Relationship Id="rId3017" Type="http://schemas.openxmlformats.org/officeDocument/2006/relationships/hyperlink" Target="https://afterschools.olc.tw/afterschools/view/62201509170001" TargetMode="External"/><Relationship Id="rId3018" Type="http://schemas.openxmlformats.org/officeDocument/2006/relationships/hyperlink" Target="https://afterschools.olc.tw/afterschools/view/62200208280045" TargetMode="External"/><Relationship Id="rId3019" Type="http://schemas.openxmlformats.org/officeDocument/2006/relationships/hyperlink" Target="https://afterschools.olc.tw/afterschools/view/62200205202118" TargetMode="External"/><Relationship Id="rId3020" Type="http://schemas.openxmlformats.org/officeDocument/2006/relationships/hyperlink" Target="https://afterschools.olc.tw/afterschools/view/62200308269004" TargetMode="External"/><Relationship Id="rId3021" Type="http://schemas.openxmlformats.org/officeDocument/2006/relationships/hyperlink" Target="https://afterschools.olc.tw/afterschools/view/62200805299001" TargetMode="External"/><Relationship Id="rId3022" Type="http://schemas.openxmlformats.org/officeDocument/2006/relationships/hyperlink" Target="https://afterschools.olc.tw/afterschools/view/62200208079100" TargetMode="External"/><Relationship Id="rId3023" Type="http://schemas.openxmlformats.org/officeDocument/2006/relationships/hyperlink" Target="https://afterschools.olc.tw/afterschools/view/62200208079068" TargetMode="External"/><Relationship Id="rId3024" Type="http://schemas.openxmlformats.org/officeDocument/2006/relationships/hyperlink" Target="https://afterschools.olc.tw/afterschools/view/62200208079103" TargetMode="External"/><Relationship Id="rId3025" Type="http://schemas.openxmlformats.org/officeDocument/2006/relationships/hyperlink" Target="https://afterschools.olc.tw/afterschools/view/62200208079075" TargetMode="External"/><Relationship Id="rId3026" Type="http://schemas.openxmlformats.org/officeDocument/2006/relationships/hyperlink" Target="https://afterschools.olc.tw/afterschools/view/62200208079082" TargetMode="External"/><Relationship Id="rId3027" Type="http://schemas.openxmlformats.org/officeDocument/2006/relationships/hyperlink" Target="https://afterschools.olc.tw/afterschools/view/62200912280001" TargetMode="External"/><Relationship Id="rId3028" Type="http://schemas.openxmlformats.org/officeDocument/2006/relationships/hyperlink" Target="https://afterschools.olc.tw/afterschools/view/62200208069088" TargetMode="External"/><Relationship Id="rId3029" Type="http://schemas.openxmlformats.org/officeDocument/2006/relationships/hyperlink" Target="https://afterschools.olc.tw/afterschools/view/62200312019002" TargetMode="External"/><Relationship Id="rId3030" Type="http://schemas.openxmlformats.org/officeDocument/2006/relationships/hyperlink" Target="https://afterschools.olc.tw/afterschools/view/62200209269002" TargetMode="External"/><Relationship Id="rId3031" Type="http://schemas.openxmlformats.org/officeDocument/2006/relationships/hyperlink" Target="https://afterschools.olc.tw/afterschools/view/62200208079005" TargetMode="External"/><Relationship Id="rId3032" Type="http://schemas.openxmlformats.org/officeDocument/2006/relationships/hyperlink" Target="https://afterschools.olc.tw/afterschools/view/62202306050001" TargetMode="External"/><Relationship Id="rId3033" Type="http://schemas.openxmlformats.org/officeDocument/2006/relationships/hyperlink" Target="https://afterschools.olc.tw/afterschools/view/62200409299001" TargetMode="External"/><Relationship Id="rId3034" Type="http://schemas.openxmlformats.org/officeDocument/2006/relationships/hyperlink" Target="https://afterschools.olc.tw/afterschools/view/62201210110001" TargetMode="External"/><Relationship Id="rId3035" Type="http://schemas.openxmlformats.org/officeDocument/2006/relationships/hyperlink" Target="https://afterschools.olc.tw/afterschools/view/62200208069076" TargetMode="External"/><Relationship Id="rId3036" Type="http://schemas.openxmlformats.org/officeDocument/2006/relationships/hyperlink" Target="https://afterschools.olc.tw/afterschools/view/62201308020001" TargetMode="External"/><Relationship Id="rId3037" Type="http://schemas.openxmlformats.org/officeDocument/2006/relationships/hyperlink" Target="https://afterschools.olc.tw/afterschools/view/62200208069087" TargetMode="External"/><Relationship Id="rId3038" Type="http://schemas.openxmlformats.org/officeDocument/2006/relationships/hyperlink" Target="https://afterschools.olc.tw/afterschools/view/62201507170001" TargetMode="External"/><Relationship Id="rId3039" Type="http://schemas.openxmlformats.org/officeDocument/2006/relationships/hyperlink" Target="https://afterschools.olc.tw/afterschools/view/62200502229002" TargetMode="External"/><Relationship Id="rId3040" Type="http://schemas.openxmlformats.org/officeDocument/2006/relationships/hyperlink" Target="https://afterschools.olc.tw/afterschools/view/62200701089005" TargetMode="External"/><Relationship Id="rId3041" Type="http://schemas.openxmlformats.org/officeDocument/2006/relationships/hyperlink" Target="https://afterschools.olc.tw/afterschools/view/62202109240001" TargetMode="External"/><Relationship Id="rId3042" Type="http://schemas.openxmlformats.org/officeDocument/2006/relationships/hyperlink" Target="https://afterschools.olc.tw/afterschools/view/62200208079032" TargetMode="External"/><Relationship Id="rId3043" Type="http://schemas.openxmlformats.org/officeDocument/2006/relationships/hyperlink" Target="https://afterschools.olc.tw/afterschools/view/62202509240001" TargetMode="External"/><Relationship Id="rId3044" Type="http://schemas.openxmlformats.org/officeDocument/2006/relationships/hyperlink" Target="https://afterschools.olc.tw/afterschools/view/62202410200002" TargetMode="External"/><Relationship Id="rId3045" Type="http://schemas.openxmlformats.org/officeDocument/2006/relationships/hyperlink" Target="https://afterschools.olc.tw/afterschools/view/62200503149004" TargetMode="External"/><Relationship Id="rId3046" Type="http://schemas.openxmlformats.org/officeDocument/2006/relationships/hyperlink" Target="https://afterschools.olc.tw/afterschools/view/62200208079069" TargetMode="External"/><Relationship Id="rId3047" Type="http://schemas.openxmlformats.org/officeDocument/2006/relationships/hyperlink" Target="https://afterschools.olc.tw/afterschools/view/62200312049002" TargetMode="External"/><Relationship Id="rId3048" Type="http://schemas.openxmlformats.org/officeDocument/2006/relationships/hyperlink" Target="https://afterschools.olc.tw/afterschools/view/62200807029001" TargetMode="External"/><Relationship Id="rId3049" Type="http://schemas.openxmlformats.org/officeDocument/2006/relationships/hyperlink" Target="https://afterschools.olc.tw/afterschools/view/62200208079057" TargetMode="External"/><Relationship Id="rId3050" Type="http://schemas.openxmlformats.org/officeDocument/2006/relationships/hyperlink" Target="https://afterschools.olc.tw/afterschools/view/62201403110001" TargetMode="External"/><Relationship Id="rId3051" Type="http://schemas.openxmlformats.org/officeDocument/2006/relationships/hyperlink" Target="https://afterschools.olc.tw/afterschools/view/62200404199004" TargetMode="External"/><Relationship Id="rId3052" Type="http://schemas.openxmlformats.org/officeDocument/2006/relationships/hyperlink" Target="https://afterschools.olc.tw/afterschools/view/62200305289019" TargetMode="External"/><Relationship Id="rId3053" Type="http://schemas.openxmlformats.org/officeDocument/2006/relationships/hyperlink" Target="https://afterschools.olc.tw/afterschools/view/62200208079058" TargetMode="External"/><Relationship Id="rId3054" Type="http://schemas.openxmlformats.org/officeDocument/2006/relationships/hyperlink" Target="https://afterschools.olc.tw/afterschools/view/62202405010001" TargetMode="External"/><Relationship Id="rId3055" Type="http://schemas.openxmlformats.org/officeDocument/2006/relationships/hyperlink" Target="https://afterschools.olc.tw/afterschools/view/62201603180001" TargetMode="External"/><Relationship Id="rId3056" Type="http://schemas.openxmlformats.org/officeDocument/2006/relationships/hyperlink" Target="https://afterschools.olc.tw/afterschools/view/62200305289023" TargetMode="External"/><Relationship Id="rId3057" Type="http://schemas.openxmlformats.org/officeDocument/2006/relationships/hyperlink" Target="https://afterschools.olc.tw/afterschools/view/62200208089089" TargetMode="External"/><Relationship Id="rId3058" Type="http://schemas.openxmlformats.org/officeDocument/2006/relationships/hyperlink" Target="https://afterschools.olc.tw/afterschools/view/62202408010002" TargetMode="External"/><Relationship Id="rId3059" Type="http://schemas.openxmlformats.org/officeDocument/2006/relationships/hyperlink" Target="https://afterschools.olc.tw/afterschools/view/62200208069098" TargetMode="External"/><Relationship Id="rId3060" Type="http://schemas.openxmlformats.org/officeDocument/2006/relationships/hyperlink" Target="https://afterschools.olc.tw/afterschools/view/62201105270001" TargetMode="External"/><Relationship Id="rId3061" Type="http://schemas.openxmlformats.org/officeDocument/2006/relationships/hyperlink" Target="https://afterschools.olc.tw/afterschools/view/62201412160004" TargetMode="External"/><Relationship Id="rId3062" Type="http://schemas.openxmlformats.org/officeDocument/2006/relationships/hyperlink" Target="https://afterschools.olc.tw/afterschools/view/62201406200002" TargetMode="External"/><Relationship Id="rId3063" Type="http://schemas.openxmlformats.org/officeDocument/2006/relationships/hyperlink" Target="https://afterschools.olc.tw/afterschools/view/62200208079111" TargetMode="External"/><Relationship Id="rId3064" Type="http://schemas.openxmlformats.org/officeDocument/2006/relationships/hyperlink" Target="https://afterschools.olc.tw/afterschools/view/62200601109001" TargetMode="External"/><Relationship Id="rId3065" Type="http://schemas.openxmlformats.org/officeDocument/2006/relationships/hyperlink" Target="https://afterschools.olc.tw/afterschools/view/62200210039003" TargetMode="External"/><Relationship Id="rId3066" Type="http://schemas.openxmlformats.org/officeDocument/2006/relationships/hyperlink" Target="https://afterschools.olc.tw/afterschools/view/62200208079036" TargetMode="External"/><Relationship Id="rId3067" Type="http://schemas.openxmlformats.org/officeDocument/2006/relationships/hyperlink" Target="https://afterschools.olc.tw/afterschools/view/62201907170001" TargetMode="External"/><Relationship Id="rId3068" Type="http://schemas.openxmlformats.org/officeDocument/2006/relationships/hyperlink" Target="https://afterschools.olc.tw/afterschools/view/62200208079064" TargetMode="External"/><Relationship Id="rId3069" Type="http://schemas.openxmlformats.org/officeDocument/2006/relationships/hyperlink" Target="https://afterschools.olc.tw/afterschools/view/62200906309001" TargetMode="External"/><Relationship Id="rId3070" Type="http://schemas.openxmlformats.org/officeDocument/2006/relationships/hyperlink" Target="https://afterschools.olc.tw/afterschools/view/62200410149001" TargetMode="External"/><Relationship Id="rId3071" Type="http://schemas.openxmlformats.org/officeDocument/2006/relationships/hyperlink" Target="https://afterschools.olc.tw/afterschools/view/62200907219001" TargetMode="External"/><Relationship Id="rId3072" Type="http://schemas.openxmlformats.org/officeDocument/2006/relationships/hyperlink" Target="https://afterschools.olc.tw/afterschools/view/62200208079049" TargetMode="External"/><Relationship Id="rId3073" Type="http://schemas.openxmlformats.org/officeDocument/2006/relationships/hyperlink" Target="https://afterschools.olc.tw/afterschools/view/62200208079040" TargetMode="External"/><Relationship Id="rId3074" Type="http://schemas.openxmlformats.org/officeDocument/2006/relationships/hyperlink" Target="https://afterschools.olc.tw/afterschools/view/62200208089043" TargetMode="External"/><Relationship Id="rId3075" Type="http://schemas.openxmlformats.org/officeDocument/2006/relationships/hyperlink" Target="https://afterschools.olc.tw/afterschools/view/62201211190001" TargetMode="External"/><Relationship Id="rId3076" Type="http://schemas.openxmlformats.org/officeDocument/2006/relationships/hyperlink" Target="https://afterschools.olc.tw/afterschools/view/62201210120001" TargetMode="External"/><Relationship Id="rId3077" Type="http://schemas.openxmlformats.org/officeDocument/2006/relationships/hyperlink" Target="https://afterschools.olc.tw/afterschools/view/62200501269004" TargetMode="External"/><Relationship Id="rId3078" Type="http://schemas.openxmlformats.org/officeDocument/2006/relationships/hyperlink" Target="https://afterschools.olc.tw/afterschools/view/62200305289012" TargetMode="External"/><Relationship Id="rId3079" Type="http://schemas.openxmlformats.org/officeDocument/2006/relationships/hyperlink" Target="https://afterschools.olc.tw/afterschools/view/62201602230001" TargetMode="External"/><Relationship Id="rId3080" Type="http://schemas.openxmlformats.org/officeDocument/2006/relationships/hyperlink" Target="https://afterschools.olc.tw/afterschools/view/62201304160001" TargetMode="External"/><Relationship Id="rId3081" Type="http://schemas.openxmlformats.org/officeDocument/2006/relationships/hyperlink" Target="https://afterschools.olc.tw/afterschools/view/62200903049002" TargetMode="External"/><Relationship Id="rId3082" Type="http://schemas.openxmlformats.org/officeDocument/2006/relationships/hyperlink" Target="https://afterschools.olc.tw/afterschools/view/62200208079114" TargetMode="External"/><Relationship Id="rId3083" Type="http://schemas.openxmlformats.org/officeDocument/2006/relationships/hyperlink" Target="https://afterschools.olc.tw/afterschools/view/62200312029001" TargetMode="External"/><Relationship Id="rId3084" Type="http://schemas.openxmlformats.org/officeDocument/2006/relationships/hyperlink" Target="https://afterschools.olc.tw/afterschools/view/62200208079009" TargetMode="External"/><Relationship Id="rId3085" Type="http://schemas.openxmlformats.org/officeDocument/2006/relationships/hyperlink" Target="https://afterschools.olc.tw/afterschools/view/62200208079050" TargetMode="External"/><Relationship Id="rId3086" Type="http://schemas.openxmlformats.org/officeDocument/2006/relationships/hyperlink" Target="https://afterschools.olc.tw/afterschools/view/62201004019001" TargetMode="External"/><Relationship Id="rId3087" Type="http://schemas.openxmlformats.org/officeDocument/2006/relationships/hyperlink" Target="https://afterschools.olc.tw/afterschools/view/62200408109002" TargetMode="External"/><Relationship Id="rId3088" Type="http://schemas.openxmlformats.org/officeDocument/2006/relationships/hyperlink" Target="https://afterschools.olc.tw/afterschools/view/62200208079039" TargetMode="External"/><Relationship Id="rId3089" Type="http://schemas.openxmlformats.org/officeDocument/2006/relationships/hyperlink" Target="https://afterschools.olc.tw/afterschools/view/62201107180001" TargetMode="External"/><Relationship Id="rId3090" Type="http://schemas.openxmlformats.org/officeDocument/2006/relationships/hyperlink" Target="https://afterschools.olc.tw/afterschools/view/62200208079105" TargetMode="External"/><Relationship Id="rId3091" Type="http://schemas.openxmlformats.org/officeDocument/2006/relationships/hyperlink" Target="https://afterschools.olc.tw/afterschools/view/62200305289021" TargetMode="External"/><Relationship Id="rId3092" Type="http://schemas.openxmlformats.org/officeDocument/2006/relationships/hyperlink" Target="https://afterschools.olc.tw/afterschools/view/62200602079001" TargetMode="External"/><Relationship Id="rId3093" Type="http://schemas.openxmlformats.org/officeDocument/2006/relationships/hyperlink" Target="https://afterschools.olc.tw/afterschools/view/62200208079051" TargetMode="External"/><Relationship Id="rId3094" Type="http://schemas.openxmlformats.org/officeDocument/2006/relationships/hyperlink" Target="https://afterschools.olc.tw/afterschools/view/62200208129005" TargetMode="External"/><Relationship Id="rId3095" Type="http://schemas.openxmlformats.org/officeDocument/2006/relationships/hyperlink" Target="https://afterschools.olc.tw/afterschools/view/62201601270001" TargetMode="External"/><Relationship Id="rId3096" Type="http://schemas.openxmlformats.org/officeDocument/2006/relationships/hyperlink" Target="https://afterschools.olc.tw/afterschools/view/62200208079085" TargetMode="External"/><Relationship Id="rId3097" Type="http://schemas.openxmlformats.org/officeDocument/2006/relationships/hyperlink" Target="https://afterschools.olc.tw/afterschools/view/62200208079031" TargetMode="External"/><Relationship Id="rId3098" Type="http://schemas.openxmlformats.org/officeDocument/2006/relationships/hyperlink" Target="https://afterschools.olc.tw/afterschools/view/62200208079056" TargetMode="External"/><Relationship Id="rId3099" Type="http://schemas.openxmlformats.org/officeDocument/2006/relationships/hyperlink" Target="https://afterschools.olc.tw/afterschools/view/70201306040001" TargetMode="External"/><Relationship Id="rId3100" Type="http://schemas.openxmlformats.org/officeDocument/2006/relationships/hyperlink" Target="https://afterschools.olc.tw/afterschools/view/70201303120002" TargetMode="External"/><Relationship Id="rId3101" Type="http://schemas.openxmlformats.org/officeDocument/2006/relationships/hyperlink" Target="https://afterschools.olc.tw/afterschools/view/70202505270001" TargetMode="External"/><Relationship Id="rId3102" Type="http://schemas.openxmlformats.org/officeDocument/2006/relationships/hyperlink" Target="https://afterschools.olc.tw/afterschools/view/70200204022543" TargetMode="External"/><Relationship Id="rId3103" Type="http://schemas.openxmlformats.org/officeDocument/2006/relationships/hyperlink" Target="https://afterschools.olc.tw/afterschools/view/70200812090001" TargetMode="External"/><Relationship Id="rId3104" Type="http://schemas.openxmlformats.org/officeDocument/2006/relationships/hyperlink" Target="https://afterschools.olc.tw/afterschools/view/70200904080001" TargetMode="External"/><Relationship Id="rId3105" Type="http://schemas.openxmlformats.org/officeDocument/2006/relationships/hyperlink" Target="https://afterschools.olc.tw/afterschools/view/70200207100172" TargetMode="External"/><Relationship Id="rId3106" Type="http://schemas.openxmlformats.org/officeDocument/2006/relationships/hyperlink" Target="https://afterschools.olc.tw/afterschools/view/70201506230001" TargetMode="External"/><Relationship Id="rId3107" Type="http://schemas.openxmlformats.org/officeDocument/2006/relationships/hyperlink" Target="https://afterschools.olc.tw/afterschools/view/70200204022520" TargetMode="External"/><Relationship Id="rId3108" Type="http://schemas.openxmlformats.org/officeDocument/2006/relationships/hyperlink" Target="https://afterschools.olc.tw/afterschools/view/70201012130001" TargetMode="External"/><Relationship Id="rId3109" Type="http://schemas.openxmlformats.org/officeDocument/2006/relationships/hyperlink" Target="https://afterschools.olc.tw/afterschools/view/70202112150001" TargetMode="External"/><Relationship Id="rId3110" Type="http://schemas.openxmlformats.org/officeDocument/2006/relationships/hyperlink" Target="https://afterschools.olc.tw/afterschools/view/70200205220027" TargetMode="External"/><Relationship Id="rId3111" Type="http://schemas.openxmlformats.org/officeDocument/2006/relationships/hyperlink" Target="https://afterschools.olc.tw/afterschools/view/70200204022587" TargetMode="External"/><Relationship Id="rId3112" Type="http://schemas.openxmlformats.org/officeDocument/2006/relationships/hyperlink" Target="https://afterschools.olc.tw/afterschools/view/70200309090001" TargetMode="External"/><Relationship Id="rId3113" Type="http://schemas.openxmlformats.org/officeDocument/2006/relationships/hyperlink" Target="https://afterschools.olc.tw/afterschools/view/70200204022472" TargetMode="External"/><Relationship Id="rId3114" Type="http://schemas.openxmlformats.org/officeDocument/2006/relationships/hyperlink" Target="https://afterschools.olc.tw/afterschools/view/70200404290001" TargetMode="External"/><Relationship Id="rId3115" Type="http://schemas.openxmlformats.org/officeDocument/2006/relationships/hyperlink" Target="https://afterschools.olc.tw/afterschools/view/70200204022320" TargetMode="External"/><Relationship Id="rId3116" Type="http://schemas.openxmlformats.org/officeDocument/2006/relationships/hyperlink" Target="https://afterschools.olc.tw/afterschools/view/70200204022672" TargetMode="External"/><Relationship Id="rId3117" Type="http://schemas.openxmlformats.org/officeDocument/2006/relationships/hyperlink" Target="https://afterschools.olc.tw/afterschools/view/70200507120001" TargetMode="External"/><Relationship Id="rId3118" Type="http://schemas.openxmlformats.org/officeDocument/2006/relationships/hyperlink" Target="https://afterschools.olc.tw/afterschools/view/70200204022275" TargetMode="External"/><Relationship Id="rId3119" Type="http://schemas.openxmlformats.org/officeDocument/2006/relationships/hyperlink" Target="https://afterschools.olc.tw/afterschools/view/70200404270003" TargetMode="External"/><Relationship Id="rId3120" Type="http://schemas.openxmlformats.org/officeDocument/2006/relationships/hyperlink" Target="https://afterschools.olc.tw/afterschools/view/70200204022236" TargetMode="External"/><Relationship Id="rId3121" Type="http://schemas.openxmlformats.org/officeDocument/2006/relationships/hyperlink" Target="https://afterschools.olc.tw/afterschools/view/70201508310002" TargetMode="External"/><Relationship Id="rId3122" Type="http://schemas.openxmlformats.org/officeDocument/2006/relationships/hyperlink" Target="https://afterschools.olc.tw/afterschools/view/70202508040001" TargetMode="External"/><Relationship Id="rId3123" Type="http://schemas.openxmlformats.org/officeDocument/2006/relationships/hyperlink" Target="https://afterschools.olc.tw/afterschools/view/70200410060001" TargetMode="External"/><Relationship Id="rId3124" Type="http://schemas.openxmlformats.org/officeDocument/2006/relationships/hyperlink" Target="https://afterschools.olc.tw/afterschools/view/70200204022594" TargetMode="External"/><Relationship Id="rId3125" Type="http://schemas.openxmlformats.org/officeDocument/2006/relationships/hyperlink" Target="https://afterschools.olc.tw/afterschools/view/70201104200001" TargetMode="External"/><Relationship Id="rId3126" Type="http://schemas.openxmlformats.org/officeDocument/2006/relationships/hyperlink" Target="https://afterschools.olc.tw/afterschools/view/70200204022872" TargetMode="External"/><Relationship Id="rId3127" Type="http://schemas.openxmlformats.org/officeDocument/2006/relationships/hyperlink" Target="https://afterschools.olc.tw/afterschools/view/70200204022576" TargetMode="External"/><Relationship Id="rId3128" Type="http://schemas.openxmlformats.org/officeDocument/2006/relationships/hyperlink" Target="https://afterschools.olc.tw/afterschools/view/70200603210001" TargetMode="External"/><Relationship Id="rId3129" Type="http://schemas.openxmlformats.org/officeDocument/2006/relationships/hyperlink" Target="https://afterschools.olc.tw/afterschools/view/70201111070001" TargetMode="External"/><Relationship Id="rId3130" Type="http://schemas.openxmlformats.org/officeDocument/2006/relationships/hyperlink" Target="https://afterschools.olc.tw/afterschools/view/70200603020001" TargetMode="External"/><Relationship Id="rId3131" Type="http://schemas.openxmlformats.org/officeDocument/2006/relationships/hyperlink" Target="https://afterschools.olc.tw/afterschools/view/70200204022742" TargetMode="External"/><Relationship Id="rId3132" Type="http://schemas.openxmlformats.org/officeDocument/2006/relationships/hyperlink" Target="https://afterschools.olc.tw/afterschools/view/70200204022121" TargetMode="External"/><Relationship Id="rId3133" Type="http://schemas.openxmlformats.org/officeDocument/2006/relationships/hyperlink" Target="https://afterschools.olc.tw/afterschools/view/70200204022791" TargetMode="External"/><Relationship Id="rId3134" Type="http://schemas.openxmlformats.org/officeDocument/2006/relationships/hyperlink" Target="https://afterschools.olc.tw/afterschools/view/70200205210009" TargetMode="External"/><Relationship Id="rId3135" Type="http://schemas.openxmlformats.org/officeDocument/2006/relationships/hyperlink" Target="https://afterschools.olc.tw/afterschools/view/70200204022160" TargetMode="External"/><Relationship Id="rId3136" Type="http://schemas.openxmlformats.org/officeDocument/2006/relationships/hyperlink" Target="https://afterschools.olc.tw/afterschools/view/70200204022485" TargetMode="External"/><Relationship Id="rId3137" Type="http://schemas.openxmlformats.org/officeDocument/2006/relationships/hyperlink" Target="https://afterschools.olc.tw/afterschools/view/70200207100190" TargetMode="External"/><Relationship Id="rId3138" Type="http://schemas.openxmlformats.org/officeDocument/2006/relationships/hyperlink" Target="https://afterschools.olc.tw/afterschools/view/70200204022583" TargetMode="External"/><Relationship Id="rId3139" Type="http://schemas.openxmlformats.org/officeDocument/2006/relationships/hyperlink" Target="https://afterschools.olc.tw/afterschools/view/70200204022524" TargetMode="External"/><Relationship Id="rId3140" Type="http://schemas.openxmlformats.org/officeDocument/2006/relationships/hyperlink" Target="https://afterschools.olc.tw/afterschools/view/70200504070002" TargetMode="External"/><Relationship Id="rId3141" Type="http://schemas.openxmlformats.org/officeDocument/2006/relationships/hyperlink" Target="https://afterschools.olc.tw/afterschools/view/70201405090002" TargetMode="External"/><Relationship Id="rId3142" Type="http://schemas.openxmlformats.org/officeDocument/2006/relationships/hyperlink" Target="https://afterschools.olc.tw/afterschools/view/70201912040001" TargetMode="External"/><Relationship Id="rId3143" Type="http://schemas.openxmlformats.org/officeDocument/2006/relationships/hyperlink" Target="https://afterschools.olc.tw/afterschools/view/70202209200001" TargetMode="External"/><Relationship Id="rId3144" Type="http://schemas.openxmlformats.org/officeDocument/2006/relationships/hyperlink" Target="https://afterschools.olc.tw/afterschools/view/70200804189001" TargetMode="External"/><Relationship Id="rId3145" Type="http://schemas.openxmlformats.org/officeDocument/2006/relationships/hyperlink" Target="https://afterschools.olc.tw/afterschools/view/70200205089199" TargetMode="External"/><Relationship Id="rId3146" Type="http://schemas.openxmlformats.org/officeDocument/2006/relationships/hyperlink" Target="https://afterschools.olc.tw/afterschools/view/70200608099007" TargetMode="External"/><Relationship Id="rId3147" Type="http://schemas.openxmlformats.org/officeDocument/2006/relationships/hyperlink" Target="https://afterschools.olc.tw/afterschools/view/70200204022432" TargetMode="External"/><Relationship Id="rId3148" Type="http://schemas.openxmlformats.org/officeDocument/2006/relationships/hyperlink" Target="https://afterschools.olc.tw/afterschools/view/70200204022598" TargetMode="External"/><Relationship Id="rId3149" Type="http://schemas.openxmlformats.org/officeDocument/2006/relationships/hyperlink" Target="https://afterschools.olc.tw/afterschools/view/70200204022257" TargetMode="External"/><Relationship Id="rId3150" Type="http://schemas.openxmlformats.org/officeDocument/2006/relationships/hyperlink" Target="https://afterschools.olc.tw/afterschools/view/70200207100113" TargetMode="External"/><Relationship Id="rId3151" Type="http://schemas.openxmlformats.org/officeDocument/2006/relationships/hyperlink" Target="https://afterschools.olc.tw/afterschools/view/70200204022657" TargetMode="External"/><Relationship Id="rId3152" Type="http://schemas.openxmlformats.org/officeDocument/2006/relationships/hyperlink" Target="https://afterschools.olc.tw/afterschools/view/70200704230001" TargetMode="External"/><Relationship Id="rId3153" Type="http://schemas.openxmlformats.org/officeDocument/2006/relationships/hyperlink" Target="https://afterschools.olc.tw/afterschools/view/70200409130004" TargetMode="External"/><Relationship Id="rId3154" Type="http://schemas.openxmlformats.org/officeDocument/2006/relationships/hyperlink" Target="https://afterschools.olc.tw/afterschools/view/70200911180001" TargetMode="External"/><Relationship Id="rId3155" Type="http://schemas.openxmlformats.org/officeDocument/2006/relationships/hyperlink" Target="https://afterschools.olc.tw/afterschools/view/70202407290001" TargetMode="External"/><Relationship Id="rId3156" Type="http://schemas.openxmlformats.org/officeDocument/2006/relationships/hyperlink" Target="https://afterschools.olc.tw/afterschools/view/70200409150001" TargetMode="External"/><Relationship Id="rId3157" Type="http://schemas.openxmlformats.org/officeDocument/2006/relationships/hyperlink" Target="https://afterschools.olc.tw/afterschools/view/70200207100184" TargetMode="External"/><Relationship Id="rId3158" Type="http://schemas.openxmlformats.org/officeDocument/2006/relationships/hyperlink" Target="https://afterschools.olc.tw/afterschools/view/70201306100002" TargetMode="External"/><Relationship Id="rId3159" Type="http://schemas.openxmlformats.org/officeDocument/2006/relationships/hyperlink" Target="https://afterschools.olc.tw/afterschools/view/70201304190001" TargetMode="External"/><Relationship Id="rId3160" Type="http://schemas.openxmlformats.org/officeDocument/2006/relationships/hyperlink" Target="https://afterschools.olc.tw/afterschools/view/70200703080003" TargetMode="External"/><Relationship Id="rId3161" Type="http://schemas.openxmlformats.org/officeDocument/2006/relationships/hyperlink" Target="https://afterschools.olc.tw/afterschools/view/70200705080001" TargetMode="External"/><Relationship Id="rId3162" Type="http://schemas.openxmlformats.org/officeDocument/2006/relationships/hyperlink" Target="https://afterschools.olc.tw/afterschools/view/70200204022414" TargetMode="External"/><Relationship Id="rId3163" Type="http://schemas.openxmlformats.org/officeDocument/2006/relationships/hyperlink" Target="https://afterschools.olc.tw/afterschools/view/70201412180001" TargetMode="External"/><Relationship Id="rId3164" Type="http://schemas.openxmlformats.org/officeDocument/2006/relationships/hyperlink" Target="https://afterschools.olc.tw/afterschools/view/70200205089260" TargetMode="External"/><Relationship Id="rId3165" Type="http://schemas.openxmlformats.org/officeDocument/2006/relationships/hyperlink" Target="https://afterschools.olc.tw/afterschools/view/70202410300003" TargetMode="External"/><Relationship Id="rId3166" Type="http://schemas.openxmlformats.org/officeDocument/2006/relationships/hyperlink" Target="https://afterschools.olc.tw/afterschools/view/70202405160001" TargetMode="External"/><Relationship Id="rId3167" Type="http://schemas.openxmlformats.org/officeDocument/2006/relationships/hyperlink" Target="https://afterschools.olc.tw/afterschools/view/70200205089291" TargetMode="External"/><Relationship Id="rId3168" Type="http://schemas.openxmlformats.org/officeDocument/2006/relationships/hyperlink" Target="https://afterschools.olc.tw/afterschools/view/70201009219001" TargetMode="External"/><Relationship Id="rId3169" Type="http://schemas.openxmlformats.org/officeDocument/2006/relationships/hyperlink" Target="https://afterschools.olc.tw/afterschools/view/70200211209005" TargetMode="External"/><Relationship Id="rId3170" Type="http://schemas.openxmlformats.org/officeDocument/2006/relationships/hyperlink" Target="https://afterschools.olc.tw/afterschools/view/70202509280001" TargetMode="External"/><Relationship Id="rId3171" Type="http://schemas.openxmlformats.org/officeDocument/2006/relationships/hyperlink" Target="https://afterschools.olc.tw/afterschools/view/70200409130006" TargetMode="External"/><Relationship Id="rId3172" Type="http://schemas.openxmlformats.org/officeDocument/2006/relationships/hyperlink" Target="https://afterschools.olc.tw/afterschools/view/70200210290003" TargetMode="External"/><Relationship Id="rId3173" Type="http://schemas.openxmlformats.org/officeDocument/2006/relationships/hyperlink" Target="https://afterschools.olc.tw/afterschools/view/70200204022193" TargetMode="External"/><Relationship Id="rId3174" Type="http://schemas.openxmlformats.org/officeDocument/2006/relationships/hyperlink" Target="https://afterschools.olc.tw/afterschools/view/70201012090002" TargetMode="External"/><Relationship Id="rId3175" Type="http://schemas.openxmlformats.org/officeDocument/2006/relationships/hyperlink" Target="https://afterschools.olc.tw/afterschools/view/70200212270002" TargetMode="External"/><Relationship Id="rId3176" Type="http://schemas.openxmlformats.org/officeDocument/2006/relationships/hyperlink" Target="https://afterschools.olc.tw/afterschools/view/70200307100002" TargetMode="External"/><Relationship Id="rId3177" Type="http://schemas.openxmlformats.org/officeDocument/2006/relationships/hyperlink" Target="https://afterschools.olc.tw/afterschools/view/70202411200001" TargetMode="External"/><Relationship Id="rId3178" Type="http://schemas.openxmlformats.org/officeDocument/2006/relationships/hyperlink" Target="https://afterschools.olc.tw/afterschools/view/70200708310001" TargetMode="External"/><Relationship Id="rId3179" Type="http://schemas.openxmlformats.org/officeDocument/2006/relationships/hyperlink" Target="https://afterschools.olc.tw/afterschools/view/70200907030005" TargetMode="External"/><Relationship Id="rId3180" Type="http://schemas.openxmlformats.org/officeDocument/2006/relationships/hyperlink" Target="https://afterschools.olc.tw/afterschools/view/70200208050004" TargetMode="External"/><Relationship Id="rId3181" Type="http://schemas.openxmlformats.org/officeDocument/2006/relationships/hyperlink" Target="https://afterschools.olc.tw/afterschools/view/70200204022212" TargetMode="External"/><Relationship Id="rId3182" Type="http://schemas.openxmlformats.org/officeDocument/2006/relationships/hyperlink" Target="https://afterschools.olc.tw/afterschools/view/70200408239001" TargetMode="External"/><Relationship Id="rId3183" Type="http://schemas.openxmlformats.org/officeDocument/2006/relationships/hyperlink" Target="https://afterschools.olc.tw/afterschools/view/70200205089242" TargetMode="External"/><Relationship Id="rId3184" Type="http://schemas.openxmlformats.org/officeDocument/2006/relationships/hyperlink" Target="https://afterschools.olc.tw/afterschools/view/70200205089268" TargetMode="External"/><Relationship Id="rId3185" Type="http://schemas.openxmlformats.org/officeDocument/2006/relationships/hyperlink" Target="https://afterschools.olc.tw/afterschools/view/70200205089304" TargetMode="External"/><Relationship Id="rId3186" Type="http://schemas.openxmlformats.org/officeDocument/2006/relationships/hyperlink" Target="https://afterschools.olc.tw/afterschools/view/70202201030001" TargetMode="External"/><Relationship Id="rId3187" Type="http://schemas.openxmlformats.org/officeDocument/2006/relationships/hyperlink" Target="https://afterschools.olc.tw/afterschools/view/70200606309001" TargetMode="External"/><Relationship Id="rId3188" Type="http://schemas.openxmlformats.org/officeDocument/2006/relationships/hyperlink" Target="https://afterschools.olc.tw/afterschools/view/70200205089282" TargetMode="External"/><Relationship Id="rId3189" Type="http://schemas.openxmlformats.org/officeDocument/2006/relationships/hyperlink" Target="https://afterschools.olc.tw/afterschools/view/70200508099010" TargetMode="External"/><Relationship Id="rId3190" Type="http://schemas.openxmlformats.org/officeDocument/2006/relationships/hyperlink" Target="https://afterschools.olc.tw/afterschools/view/70200205089236" TargetMode="External"/><Relationship Id="rId3191" Type="http://schemas.openxmlformats.org/officeDocument/2006/relationships/hyperlink" Target="https://afterschools.olc.tw/afterschools/view/70200402139006" TargetMode="External"/><Relationship Id="rId3192" Type="http://schemas.openxmlformats.org/officeDocument/2006/relationships/hyperlink" Target="https://afterschools.olc.tw/afterschools/view/70200306199001" TargetMode="External"/><Relationship Id="rId3193" Type="http://schemas.openxmlformats.org/officeDocument/2006/relationships/hyperlink" Target="https://afterschools.olc.tw/afterschools/view/70200304160001" TargetMode="External"/><Relationship Id="rId3194" Type="http://schemas.openxmlformats.org/officeDocument/2006/relationships/hyperlink" Target="https://afterschools.olc.tw/afterschools/view/70201610130001" TargetMode="External"/><Relationship Id="rId3195" Type="http://schemas.openxmlformats.org/officeDocument/2006/relationships/hyperlink" Target="https://afterschools.olc.tw/afterschools/view/70201802120001" TargetMode="External"/><Relationship Id="rId3196" Type="http://schemas.openxmlformats.org/officeDocument/2006/relationships/hyperlink" Target="https://afterschools.olc.tw/afterschools/view/70200204020034" TargetMode="External"/><Relationship Id="rId3197" Type="http://schemas.openxmlformats.org/officeDocument/2006/relationships/hyperlink" Target="https://afterschools.olc.tw/afterschools/view/70200508240002" TargetMode="External"/><Relationship Id="rId3198" Type="http://schemas.openxmlformats.org/officeDocument/2006/relationships/hyperlink" Target="https://afterschools.olc.tw/afterschools/view/70201302070003" TargetMode="External"/><Relationship Id="rId3199" Type="http://schemas.openxmlformats.org/officeDocument/2006/relationships/hyperlink" Target="https://afterschools.olc.tw/afterschools/view/70201102180005" TargetMode="External"/><Relationship Id="rId3200" Type="http://schemas.openxmlformats.org/officeDocument/2006/relationships/hyperlink" Target="https://afterschools.olc.tw/afterschools/view/70201212240001" TargetMode="External"/><Relationship Id="rId3201" Type="http://schemas.openxmlformats.org/officeDocument/2006/relationships/hyperlink" Target="https://afterschools.olc.tw/afterschools/view/70201701130001" TargetMode="External"/><Relationship Id="rId3202" Type="http://schemas.openxmlformats.org/officeDocument/2006/relationships/hyperlink" Target="https://afterschools.olc.tw/afterschools/view/70201408260001" TargetMode="External"/><Relationship Id="rId3203" Type="http://schemas.openxmlformats.org/officeDocument/2006/relationships/hyperlink" Target="https://afterschools.olc.tw/afterschools/view/70200302210003" TargetMode="External"/><Relationship Id="rId3204" Type="http://schemas.openxmlformats.org/officeDocument/2006/relationships/hyperlink" Target="https://afterschools.olc.tw/afterschools/view/70200508190001" TargetMode="External"/><Relationship Id="rId3205" Type="http://schemas.openxmlformats.org/officeDocument/2006/relationships/hyperlink" Target="https://afterschools.olc.tw/afterschools/view/70200904060001" TargetMode="External"/><Relationship Id="rId3206" Type="http://schemas.openxmlformats.org/officeDocument/2006/relationships/hyperlink" Target="https://afterschools.olc.tw/afterschools/view/70200204022570" TargetMode="External"/><Relationship Id="rId3207" Type="http://schemas.openxmlformats.org/officeDocument/2006/relationships/hyperlink" Target="https://afterschools.olc.tw/afterschools/view/70200703160001" TargetMode="External"/><Relationship Id="rId3208" Type="http://schemas.openxmlformats.org/officeDocument/2006/relationships/hyperlink" Target="https://afterschools.olc.tw/afterschools/view/70202405090001" TargetMode="External"/><Relationship Id="rId3209" Type="http://schemas.openxmlformats.org/officeDocument/2006/relationships/hyperlink" Target="https://afterschools.olc.tw/afterschools/view/70202310250001" TargetMode="External"/><Relationship Id="rId3210" Type="http://schemas.openxmlformats.org/officeDocument/2006/relationships/hyperlink" Target="https://afterschools.olc.tw/afterschools/view/70202403180001" TargetMode="External"/><Relationship Id="rId3211" Type="http://schemas.openxmlformats.org/officeDocument/2006/relationships/hyperlink" Target="https://afterschools.olc.tw/afterschools/view/70201408260003" TargetMode="External"/><Relationship Id="rId3212" Type="http://schemas.openxmlformats.org/officeDocument/2006/relationships/hyperlink" Target="https://afterschools.olc.tw/afterschools/view/70201405060001" TargetMode="External"/><Relationship Id="rId3213" Type="http://schemas.openxmlformats.org/officeDocument/2006/relationships/hyperlink" Target="https://afterschools.olc.tw/afterschools/view/70200207100115" TargetMode="External"/><Relationship Id="rId3214" Type="http://schemas.openxmlformats.org/officeDocument/2006/relationships/hyperlink" Target="https://afterschools.olc.tw/afterschools/view/70200210040001" TargetMode="External"/><Relationship Id="rId3215" Type="http://schemas.openxmlformats.org/officeDocument/2006/relationships/hyperlink" Target="https://afterschools.olc.tw/afterschools/view/70201906110001" TargetMode="External"/><Relationship Id="rId3216" Type="http://schemas.openxmlformats.org/officeDocument/2006/relationships/hyperlink" Target="https://afterschools.olc.tw/afterschools/view/70201906130001" TargetMode="External"/><Relationship Id="rId3217" Type="http://schemas.openxmlformats.org/officeDocument/2006/relationships/hyperlink" Target="https://afterschools.olc.tw/afterschools/view/70201810170001" TargetMode="External"/><Relationship Id="rId3218" Type="http://schemas.openxmlformats.org/officeDocument/2006/relationships/hyperlink" Target="https://afterschools.olc.tw/afterschools/view/70201703310001" TargetMode="External"/><Relationship Id="rId3219" Type="http://schemas.openxmlformats.org/officeDocument/2006/relationships/hyperlink" Target="https://afterschools.olc.tw/afterschools/view/70200204022985" TargetMode="External"/><Relationship Id="rId3220" Type="http://schemas.openxmlformats.org/officeDocument/2006/relationships/hyperlink" Target="https://afterschools.olc.tw/afterschools/view/70200204022656" TargetMode="External"/><Relationship Id="rId3221" Type="http://schemas.openxmlformats.org/officeDocument/2006/relationships/hyperlink" Target="https://afterschools.olc.tw/afterschools/view/70200207100175" TargetMode="External"/><Relationship Id="rId3222" Type="http://schemas.openxmlformats.org/officeDocument/2006/relationships/hyperlink" Target="https://afterschools.olc.tw/afterschools/view/70201104080001" TargetMode="External"/><Relationship Id="rId3223" Type="http://schemas.openxmlformats.org/officeDocument/2006/relationships/hyperlink" Target="https://afterschools.olc.tw/afterschools/view/70200501050001" TargetMode="External"/><Relationship Id="rId3224" Type="http://schemas.openxmlformats.org/officeDocument/2006/relationships/hyperlink" Target="https://afterschools.olc.tw/afterschools/view/70200211180001" TargetMode="External"/><Relationship Id="rId3225" Type="http://schemas.openxmlformats.org/officeDocument/2006/relationships/hyperlink" Target="https://afterschools.olc.tw/afterschools/view/70201503230001" TargetMode="External"/><Relationship Id="rId3226" Type="http://schemas.openxmlformats.org/officeDocument/2006/relationships/hyperlink" Target="https://afterschools.olc.tw/afterschools/view/70202311300001" TargetMode="External"/><Relationship Id="rId3227" Type="http://schemas.openxmlformats.org/officeDocument/2006/relationships/hyperlink" Target="https://afterschools.olc.tw/afterschools/view/70200207100130" TargetMode="External"/><Relationship Id="rId3228" Type="http://schemas.openxmlformats.org/officeDocument/2006/relationships/hyperlink" Target="https://afterschools.olc.tw/afterschools/view/70201612150001" TargetMode="External"/><Relationship Id="rId3229" Type="http://schemas.openxmlformats.org/officeDocument/2006/relationships/hyperlink" Target="https://afterschools.olc.tw/afterschools/view/70201410280001" TargetMode="External"/><Relationship Id="rId3230" Type="http://schemas.openxmlformats.org/officeDocument/2006/relationships/hyperlink" Target="https://afterschools.olc.tw/afterschools/view/70201212250006" TargetMode="External"/><Relationship Id="rId3231" Type="http://schemas.openxmlformats.org/officeDocument/2006/relationships/hyperlink" Target="https://afterschools.olc.tw/afterschools/view/70200204022646" TargetMode="External"/><Relationship Id="rId3232" Type="http://schemas.openxmlformats.org/officeDocument/2006/relationships/hyperlink" Target="https://afterschools.olc.tw/afterschools/view/70201612070001" TargetMode="External"/><Relationship Id="rId3233" Type="http://schemas.openxmlformats.org/officeDocument/2006/relationships/hyperlink" Target="https://afterschools.olc.tw/afterschools/view/70200204022615" TargetMode="External"/><Relationship Id="rId3234" Type="http://schemas.openxmlformats.org/officeDocument/2006/relationships/hyperlink" Target="https://afterschools.olc.tw/afterschools/view/70200204022426" TargetMode="External"/><Relationship Id="rId3235" Type="http://schemas.openxmlformats.org/officeDocument/2006/relationships/hyperlink" Target="https://afterschools.olc.tw/afterschools/view/70200210070002" TargetMode="External"/><Relationship Id="rId3236" Type="http://schemas.openxmlformats.org/officeDocument/2006/relationships/hyperlink" Target="https://afterschools.olc.tw/afterschools/view/70200510110001" TargetMode="External"/><Relationship Id="rId3237" Type="http://schemas.openxmlformats.org/officeDocument/2006/relationships/hyperlink" Target="https://afterschools.olc.tw/afterschools/view/70200204022486" TargetMode="External"/><Relationship Id="rId3238" Type="http://schemas.openxmlformats.org/officeDocument/2006/relationships/hyperlink" Target="https://afterschools.olc.tw/afterschools/view/70200704030001" TargetMode="External"/><Relationship Id="rId3239" Type="http://schemas.openxmlformats.org/officeDocument/2006/relationships/hyperlink" Target="https://afterschools.olc.tw/afterschools/view/70200608180001" TargetMode="External"/><Relationship Id="rId3240" Type="http://schemas.openxmlformats.org/officeDocument/2006/relationships/hyperlink" Target="https://afterschools.olc.tw/afterschools/view/70200204022887" TargetMode="External"/><Relationship Id="rId3241" Type="http://schemas.openxmlformats.org/officeDocument/2006/relationships/hyperlink" Target="https://afterschools.olc.tw/afterschools/view/70200204022584" TargetMode="External"/><Relationship Id="rId3242" Type="http://schemas.openxmlformats.org/officeDocument/2006/relationships/hyperlink" Target="https://afterschools.olc.tw/afterschools/view/70200204022949" TargetMode="External"/><Relationship Id="rId3243" Type="http://schemas.openxmlformats.org/officeDocument/2006/relationships/hyperlink" Target="https://afterschools.olc.tw/afterschools/view/70200504150003" TargetMode="External"/><Relationship Id="rId3244" Type="http://schemas.openxmlformats.org/officeDocument/2006/relationships/hyperlink" Target="https://afterschools.olc.tw/afterschools/view/70200712200003" TargetMode="External"/><Relationship Id="rId3245" Type="http://schemas.openxmlformats.org/officeDocument/2006/relationships/hyperlink" Target="https://afterschools.olc.tw/afterschools/view/70200811270001" TargetMode="External"/><Relationship Id="rId3246" Type="http://schemas.openxmlformats.org/officeDocument/2006/relationships/hyperlink" Target="https://afterschools.olc.tw/afterschools/view/70200204022871" TargetMode="External"/><Relationship Id="rId3247" Type="http://schemas.openxmlformats.org/officeDocument/2006/relationships/hyperlink" Target="https://afterschools.olc.tw/afterschools/view/70200206069007" TargetMode="External"/><Relationship Id="rId3248" Type="http://schemas.openxmlformats.org/officeDocument/2006/relationships/hyperlink" Target="https://afterschools.olc.tw/afterschools/view/70200205139004" TargetMode="External"/><Relationship Id="rId3249" Type="http://schemas.openxmlformats.org/officeDocument/2006/relationships/hyperlink" Target="https://afterschools.olc.tw/afterschools/view/70200205089255" TargetMode="External"/><Relationship Id="rId3250" Type="http://schemas.openxmlformats.org/officeDocument/2006/relationships/hyperlink" Target="https://afterschools.olc.tw/afterschools/view/70200406010002" TargetMode="External"/><Relationship Id="rId3251" Type="http://schemas.openxmlformats.org/officeDocument/2006/relationships/hyperlink" Target="https://afterschools.olc.tw/afterschools/view/70200205089312" TargetMode="External"/><Relationship Id="rId3252" Type="http://schemas.openxmlformats.org/officeDocument/2006/relationships/hyperlink" Target="https://afterschools.olc.tw/afterschools/view/70200707179007" TargetMode="External"/><Relationship Id="rId3253" Type="http://schemas.openxmlformats.org/officeDocument/2006/relationships/hyperlink" Target="https://afterschools.olc.tw/afterschools/view/70200205089191" TargetMode="External"/><Relationship Id="rId3254" Type="http://schemas.openxmlformats.org/officeDocument/2006/relationships/hyperlink" Target="https://afterschools.olc.tw/afterschools/view/70200301169001" TargetMode="External"/><Relationship Id="rId3255" Type="http://schemas.openxmlformats.org/officeDocument/2006/relationships/hyperlink" Target="https://afterschools.olc.tw/afterschools/view/70200509149010" TargetMode="External"/><Relationship Id="rId3256" Type="http://schemas.openxmlformats.org/officeDocument/2006/relationships/hyperlink" Target="https://afterschools.olc.tw/afterschools/view/70200204022130" TargetMode="External"/><Relationship Id="rId3257" Type="http://schemas.openxmlformats.org/officeDocument/2006/relationships/hyperlink" Target="https://afterschools.olc.tw/afterschools/view/70200809250001" TargetMode="External"/><Relationship Id="rId3258" Type="http://schemas.openxmlformats.org/officeDocument/2006/relationships/hyperlink" Target="https://afterschools.olc.tw/afterschools/view/70200204022110" TargetMode="External"/><Relationship Id="rId3259" Type="http://schemas.openxmlformats.org/officeDocument/2006/relationships/hyperlink" Target="https://afterschools.olc.tw/afterschools/view/70200207100097" TargetMode="External"/><Relationship Id="rId3260" Type="http://schemas.openxmlformats.org/officeDocument/2006/relationships/hyperlink" Target="https://afterschools.olc.tw/afterschools/view/70200204020021" TargetMode="External"/><Relationship Id="rId3261" Type="http://schemas.openxmlformats.org/officeDocument/2006/relationships/hyperlink" Target="https://afterschools.olc.tw/afterschools/view/70200608150001" TargetMode="External"/><Relationship Id="rId3262" Type="http://schemas.openxmlformats.org/officeDocument/2006/relationships/hyperlink" Target="https://afterschools.olc.tw/afterschools/view/70200204022556" TargetMode="External"/><Relationship Id="rId3263" Type="http://schemas.openxmlformats.org/officeDocument/2006/relationships/hyperlink" Target="https://afterschools.olc.tw/afterschools/view/70202507150001" TargetMode="External"/><Relationship Id="rId3264" Type="http://schemas.openxmlformats.org/officeDocument/2006/relationships/hyperlink" Target="https://afterschools.olc.tw/afterschools/view/70200503090002" TargetMode="External"/><Relationship Id="rId3265" Type="http://schemas.openxmlformats.org/officeDocument/2006/relationships/hyperlink" Target="https://afterschools.olc.tw/afterschools/view/70200205220017" TargetMode="External"/><Relationship Id="rId3266" Type="http://schemas.openxmlformats.org/officeDocument/2006/relationships/hyperlink" Target="https://afterschools.olc.tw/afterschools/view/70201208310008" TargetMode="External"/><Relationship Id="rId3267" Type="http://schemas.openxmlformats.org/officeDocument/2006/relationships/hyperlink" Target="https://afterschools.olc.tw/afterschools/view/70202304070001" TargetMode="External"/><Relationship Id="rId3268" Type="http://schemas.openxmlformats.org/officeDocument/2006/relationships/hyperlink" Target="https://afterschools.olc.tw/afterschools/view/70200710240001" TargetMode="External"/><Relationship Id="rId3269" Type="http://schemas.openxmlformats.org/officeDocument/2006/relationships/hyperlink" Target="https://afterschools.olc.tw/afterschools/view/70200301140001" TargetMode="External"/><Relationship Id="rId3270" Type="http://schemas.openxmlformats.org/officeDocument/2006/relationships/hyperlink" Target="https://afterschools.olc.tw/afterschools/view/70200801040001" TargetMode="External"/><Relationship Id="rId3271" Type="http://schemas.openxmlformats.org/officeDocument/2006/relationships/hyperlink" Target="https://afterschools.olc.tw/afterschools/view/70201007140001" TargetMode="External"/><Relationship Id="rId3272" Type="http://schemas.openxmlformats.org/officeDocument/2006/relationships/hyperlink" Target="https://afterschools.olc.tw/afterschools/view/70200204022663" TargetMode="External"/><Relationship Id="rId3273" Type="http://schemas.openxmlformats.org/officeDocument/2006/relationships/hyperlink" Target="https://afterschools.olc.tw/afterschools/view/70200204022775" TargetMode="External"/><Relationship Id="rId3274" Type="http://schemas.openxmlformats.org/officeDocument/2006/relationships/hyperlink" Target="https://afterschools.olc.tw/afterschools/view/70200709110001" TargetMode="External"/><Relationship Id="rId3275" Type="http://schemas.openxmlformats.org/officeDocument/2006/relationships/hyperlink" Target="https://afterschools.olc.tw/afterschools/view/70200501180001" TargetMode="External"/><Relationship Id="rId3276" Type="http://schemas.openxmlformats.org/officeDocument/2006/relationships/hyperlink" Target="https://afterschools.olc.tw/afterschools/view/70200204022733" TargetMode="External"/><Relationship Id="rId3277" Type="http://schemas.openxmlformats.org/officeDocument/2006/relationships/hyperlink" Target="https://afterschools.olc.tw/afterschools/view/70200804290002" TargetMode="External"/><Relationship Id="rId3278" Type="http://schemas.openxmlformats.org/officeDocument/2006/relationships/hyperlink" Target="https://afterschools.olc.tw/afterschools/view/70201708230001" TargetMode="External"/><Relationship Id="rId3279" Type="http://schemas.openxmlformats.org/officeDocument/2006/relationships/hyperlink" Target="https://afterschools.olc.tw/afterschools/view/70202503210001" TargetMode="External"/><Relationship Id="rId3280" Type="http://schemas.openxmlformats.org/officeDocument/2006/relationships/hyperlink" Target="https://afterschools.olc.tw/afterschools/view/70200204022108" TargetMode="External"/><Relationship Id="rId3281" Type="http://schemas.openxmlformats.org/officeDocument/2006/relationships/hyperlink" Target="https://afterschools.olc.tw/afterschools/view/70200301249002" TargetMode="External"/><Relationship Id="rId3282" Type="http://schemas.openxmlformats.org/officeDocument/2006/relationships/hyperlink" Target="https://afterschools.olc.tw/afterschools/view/70200205089245" TargetMode="External"/><Relationship Id="rId3283" Type="http://schemas.openxmlformats.org/officeDocument/2006/relationships/hyperlink" Target="https://afterschools.olc.tw/afterschools/view/70200204022423" TargetMode="External"/><Relationship Id="rId3284" Type="http://schemas.openxmlformats.org/officeDocument/2006/relationships/hyperlink" Target="https://afterschools.olc.tw/afterschools/view/70200204021066" TargetMode="External"/><Relationship Id="rId3285" Type="http://schemas.openxmlformats.org/officeDocument/2006/relationships/hyperlink" Target="https://afterschools.olc.tw/afterschools/view/70201904240001" TargetMode="External"/><Relationship Id="rId3286" Type="http://schemas.openxmlformats.org/officeDocument/2006/relationships/hyperlink" Target="https://afterschools.olc.tw/afterschools/view/70200204022721" TargetMode="External"/><Relationship Id="rId3287" Type="http://schemas.openxmlformats.org/officeDocument/2006/relationships/hyperlink" Target="https://afterschools.olc.tw/afterschools/view/70200204022555" TargetMode="External"/><Relationship Id="rId3288" Type="http://schemas.openxmlformats.org/officeDocument/2006/relationships/hyperlink" Target="https://afterschools.olc.tw/afterschools/view/70200211250003" TargetMode="External"/><Relationship Id="rId3289" Type="http://schemas.openxmlformats.org/officeDocument/2006/relationships/hyperlink" Target="https://afterschools.olc.tw/afterschools/view/70200804080005" TargetMode="External"/><Relationship Id="rId3290" Type="http://schemas.openxmlformats.org/officeDocument/2006/relationships/hyperlink" Target="https://afterschools.olc.tw/afterschools/view/70200204022730" TargetMode="External"/><Relationship Id="rId3291" Type="http://schemas.openxmlformats.org/officeDocument/2006/relationships/hyperlink" Target="https://afterschools.olc.tw/afterschools/view/70200204022741" TargetMode="External"/><Relationship Id="rId3292" Type="http://schemas.openxmlformats.org/officeDocument/2006/relationships/hyperlink" Target="https://afterschools.olc.tw/afterschools/view/70200311110004" TargetMode="External"/><Relationship Id="rId3293" Type="http://schemas.openxmlformats.org/officeDocument/2006/relationships/hyperlink" Target="https://afterschools.olc.tw/afterschools/view/70201512170001" TargetMode="External"/><Relationship Id="rId3294" Type="http://schemas.openxmlformats.org/officeDocument/2006/relationships/hyperlink" Target="https://afterschools.olc.tw/afterschools/view/70200204022596" TargetMode="External"/><Relationship Id="rId3295" Type="http://schemas.openxmlformats.org/officeDocument/2006/relationships/hyperlink" Target="https://afterschools.olc.tw/afterschools/view/70200204022670" TargetMode="External"/><Relationship Id="rId3296" Type="http://schemas.openxmlformats.org/officeDocument/2006/relationships/hyperlink" Target="https://afterschools.olc.tw/afterschools/view/70200505240002" TargetMode="External"/><Relationship Id="rId3297" Type="http://schemas.openxmlformats.org/officeDocument/2006/relationships/hyperlink" Target="https://afterschools.olc.tw/afterschools/view/70200204022994" TargetMode="External"/><Relationship Id="rId3298" Type="http://schemas.openxmlformats.org/officeDocument/2006/relationships/hyperlink" Target="https://afterschools.olc.tw/afterschools/view/70200601180001" TargetMode="External"/><Relationship Id="rId3299" Type="http://schemas.openxmlformats.org/officeDocument/2006/relationships/hyperlink" Target="https://afterschools.olc.tw/afterschools/view/70200204022428" TargetMode="External"/><Relationship Id="rId3300" Type="http://schemas.openxmlformats.org/officeDocument/2006/relationships/hyperlink" Target="https://afterschools.olc.tw/afterschools/view/70200401090001" TargetMode="External"/><Relationship Id="rId3301" Type="http://schemas.openxmlformats.org/officeDocument/2006/relationships/hyperlink" Target="https://afterschools.olc.tw/afterschools/view/70202008240001" TargetMode="External"/><Relationship Id="rId3302" Type="http://schemas.openxmlformats.org/officeDocument/2006/relationships/hyperlink" Target="https://afterschools.olc.tw/afterschools/view/70200204022752" TargetMode="External"/><Relationship Id="rId3303" Type="http://schemas.openxmlformats.org/officeDocument/2006/relationships/hyperlink" Target="https://afterschools.olc.tw/afterschools/view/70200204022597" TargetMode="External"/><Relationship Id="rId3304" Type="http://schemas.openxmlformats.org/officeDocument/2006/relationships/hyperlink" Target="https://afterschools.olc.tw/afterschools/view/70200701249001" TargetMode="External"/><Relationship Id="rId3305" Type="http://schemas.openxmlformats.org/officeDocument/2006/relationships/hyperlink" Target="https://afterschools.olc.tw/afterschools/view/70202406120001" TargetMode="External"/><Relationship Id="rId3306" Type="http://schemas.openxmlformats.org/officeDocument/2006/relationships/hyperlink" Target="https://afterschools.olc.tw/afterschools/view/70200501219012" TargetMode="External"/><Relationship Id="rId3307" Type="http://schemas.openxmlformats.org/officeDocument/2006/relationships/hyperlink" Target="https://afterschools.olc.tw/afterschools/view/70200402049018" TargetMode="External"/><Relationship Id="rId3308" Type="http://schemas.openxmlformats.org/officeDocument/2006/relationships/hyperlink" Target="https://afterschools.olc.tw/afterschools/view/70200205089287" TargetMode="External"/><Relationship Id="rId3309" Type="http://schemas.openxmlformats.org/officeDocument/2006/relationships/hyperlink" Target="https://afterschools.olc.tw/afterschools/view/70200205089293" TargetMode="External"/><Relationship Id="rId3310" Type="http://schemas.openxmlformats.org/officeDocument/2006/relationships/hyperlink" Target="https://afterschools.olc.tw/afterschools/view/70200505259004" TargetMode="External"/><Relationship Id="rId3311" Type="http://schemas.openxmlformats.org/officeDocument/2006/relationships/hyperlink" Target="https://afterschools.olc.tw/afterschools/view/70200205089197" TargetMode="External"/><Relationship Id="rId3312" Type="http://schemas.openxmlformats.org/officeDocument/2006/relationships/hyperlink" Target="https://afterschools.olc.tw/afterschools/view/70200210239001" TargetMode="External"/><Relationship Id="rId3313" Type="http://schemas.openxmlformats.org/officeDocument/2006/relationships/hyperlink" Target="https://afterschools.olc.tw/afterschools/view/70200705019006" TargetMode="External"/><Relationship Id="rId3314" Type="http://schemas.openxmlformats.org/officeDocument/2006/relationships/hyperlink" Target="https://afterschools.olc.tw/afterschools/view/70200205089368" TargetMode="External"/><Relationship Id="rId3315" Type="http://schemas.openxmlformats.org/officeDocument/2006/relationships/hyperlink" Target="https://afterschools.olc.tw/afterschools/view/70200409209006" TargetMode="External"/><Relationship Id="rId3316" Type="http://schemas.openxmlformats.org/officeDocument/2006/relationships/hyperlink" Target="https://afterschools.olc.tw/afterschools/view/70202512180001" TargetMode="External"/><Relationship Id="rId3317" Type="http://schemas.openxmlformats.org/officeDocument/2006/relationships/hyperlink" Target="https://afterschools.olc.tw/afterschools/view/70200205089208" TargetMode="External"/><Relationship Id="rId3318" Type="http://schemas.openxmlformats.org/officeDocument/2006/relationships/hyperlink" Target="https://afterschools.olc.tw/afterschools/view/70200608099002" TargetMode="External"/><Relationship Id="rId3319" Type="http://schemas.openxmlformats.org/officeDocument/2006/relationships/hyperlink" Target="https://afterschools.olc.tw/afterschools/view/70201401170003" TargetMode="External"/><Relationship Id="rId3320" Type="http://schemas.openxmlformats.org/officeDocument/2006/relationships/hyperlink" Target="https://afterschools.olc.tw/afterschools/view/70202505140001" TargetMode="External"/><Relationship Id="rId3321" Type="http://schemas.openxmlformats.org/officeDocument/2006/relationships/hyperlink" Target="https://afterschools.olc.tw/afterschools/view/70202112220001" TargetMode="External"/><Relationship Id="rId3322" Type="http://schemas.openxmlformats.org/officeDocument/2006/relationships/hyperlink" Target="https://afterschools.olc.tw/afterschools/view/70201007029001" TargetMode="External"/><Relationship Id="rId3323" Type="http://schemas.openxmlformats.org/officeDocument/2006/relationships/hyperlink" Target="https://afterschools.olc.tw/afterschools/view/70200205089221" TargetMode="External"/><Relationship Id="rId3324" Type="http://schemas.openxmlformats.org/officeDocument/2006/relationships/hyperlink" Target="https://afterschools.olc.tw/afterschools/view/70200205089207" TargetMode="External"/><Relationship Id="rId3325" Type="http://schemas.openxmlformats.org/officeDocument/2006/relationships/hyperlink" Target="https://afterschools.olc.tw/afterschools/view/70200205089274" TargetMode="External"/><Relationship Id="rId3326" Type="http://schemas.openxmlformats.org/officeDocument/2006/relationships/hyperlink" Target="https://afterschools.olc.tw/afterschools/view/70200207169012" TargetMode="External"/><Relationship Id="rId3327" Type="http://schemas.openxmlformats.org/officeDocument/2006/relationships/hyperlink" Target="https://afterschools.olc.tw/afterschools/view/70200402139008" TargetMode="External"/><Relationship Id="rId3328" Type="http://schemas.openxmlformats.org/officeDocument/2006/relationships/hyperlink" Target="https://afterschools.olc.tw/afterschools/view/70200402039007" TargetMode="External"/><Relationship Id="rId3329" Type="http://schemas.openxmlformats.org/officeDocument/2006/relationships/hyperlink" Target="https://afterschools.olc.tw/afterschools/view/70200205089246" TargetMode="External"/><Relationship Id="rId3330" Type="http://schemas.openxmlformats.org/officeDocument/2006/relationships/hyperlink" Target="https://afterschools.olc.tw/afterschools/view/70200205089310" TargetMode="External"/><Relationship Id="rId3331" Type="http://schemas.openxmlformats.org/officeDocument/2006/relationships/hyperlink" Target="https://afterschools.olc.tw/afterschools/view/70200611079006" TargetMode="External"/><Relationship Id="rId3332" Type="http://schemas.openxmlformats.org/officeDocument/2006/relationships/hyperlink" Target="https://afterschools.olc.tw/afterschools/view/70200602089008" TargetMode="External"/><Relationship Id="rId3333" Type="http://schemas.openxmlformats.org/officeDocument/2006/relationships/hyperlink" Target="https://afterschools.olc.tw/afterschools/view/70200205089187" TargetMode="External"/><Relationship Id="rId3334" Type="http://schemas.openxmlformats.org/officeDocument/2006/relationships/hyperlink" Target="https://afterschools.olc.tw/afterschools/view/70201007069001" TargetMode="External"/><Relationship Id="rId3335" Type="http://schemas.openxmlformats.org/officeDocument/2006/relationships/hyperlink" Target="https://afterschools.olc.tw/afterschools/view/70201007029002" TargetMode="External"/><Relationship Id="rId3336" Type="http://schemas.openxmlformats.org/officeDocument/2006/relationships/hyperlink" Target="https://afterschools.olc.tw/afterschools/view/70202405080001" TargetMode="External"/><Relationship Id="rId3337" Type="http://schemas.openxmlformats.org/officeDocument/2006/relationships/hyperlink" Target="https://afterschools.olc.tw/afterschools/view/70200205089276" TargetMode="External"/><Relationship Id="rId3338" Type="http://schemas.openxmlformats.org/officeDocument/2006/relationships/hyperlink" Target="https://afterschools.olc.tw/afterschools/view/70200501219006" TargetMode="External"/><Relationship Id="rId3339" Type="http://schemas.openxmlformats.org/officeDocument/2006/relationships/hyperlink" Target="https://afterschools.olc.tw/afterschools/view/70200205089214" TargetMode="External"/><Relationship Id="rId3340" Type="http://schemas.openxmlformats.org/officeDocument/2006/relationships/hyperlink" Target="https://afterschools.olc.tw/afterschools/view/70200608109006" TargetMode="External"/><Relationship Id="rId3341" Type="http://schemas.openxmlformats.org/officeDocument/2006/relationships/hyperlink" Target="https://afterschools.olc.tw/afterschools/view/70202404180001" TargetMode="External"/><Relationship Id="rId3342" Type="http://schemas.openxmlformats.org/officeDocument/2006/relationships/hyperlink" Target="https://afterschools.olc.tw/afterschools/view/70200205089280" TargetMode="External"/><Relationship Id="rId3343" Type="http://schemas.openxmlformats.org/officeDocument/2006/relationships/hyperlink" Target="https://afterschools.olc.tw/afterschools/view/70200508099005" TargetMode="External"/><Relationship Id="rId3344" Type="http://schemas.openxmlformats.org/officeDocument/2006/relationships/hyperlink" Target="https://afterschools.olc.tw/afterschools/view/70201806040001" TargetMode="External"/><Relationship Id="rId3345" Type="http://schemas.openxmlformats.org/officeDocument/2006/relationships/hyperlink" Target="https://afterschools.olc.tw/afterschools/view/70201311140002" TargetMode="External"/><Relationship Id="rId3346" Type="http://schemas.openxmlformats.org/officeDocument/2006/relationships/hyperlink" Target="https://afterschools.olc.tw/afterschools/view/70200205089311" TargetMode="External"/><Relationship Id="rId3347" Type="http://schemas.openxmlformats.org/officeDocument/2006/relationships/hyperlink" Target="https://afterschools.olc.tw/afterschools/view/70201004089002" TargetMode="External"/><Relationship Id="rId3348" Type="http://schemas.openxmlformats.org/officeDocument/2006/relationships/hyperlink" Target="https://afterschools.olc.tw/afterschools/view/70200205089202" TargetMode="External"/><Relationship Id="rId3349" Type="http://schemas.openxmlformats.org/officeDocument/2006/relationships/hyperlink" Target="https://afterschools.olc.tw/afterschools/view/70200205089190" TargetMode="External"/><Relationship Id="rId3350" Type="http://schemas.openxmlformats.org/officeDocument/2006/relationships/hyperlink" Target="https://afterschools.olc.tw/afterschools/view/70200205089327" TargetMode="External"/><Relationship Id="rId3351" Type="http://schemas.openxmlformats.org/officeDocument/2006/relationships/hyperlink" Target="https://afterschools.olc.tw/afterschools/view/70202010290001" TargetMode="External"/><Relationship Id="rId3352" Type="http://schemas.openxmlformats.org/officeDocument/2006/relationships/hyperlink" Target="https://afterschools.olc.tw/afterschools/view/70200205089239" TargetMode="External"/><Relationship Id="rId3353" Type="http://schemas.openxmlformats.org/officeDocument/2006/relationships/hyperlink" Target="https://afterschools.olc.tw/afterschools/view/70202403250001" TargetMode="External"/><Relationship Id="rId3354" Type="http://schemas.openxmlformats.org/officeDocument/2006/relationships/hyperlink" Target="https://afterschools.olc.tw/afterschools/view/70200601170001" TargetMode="External"/><Relationship Id="rId3355" Type="http://schemas.openxmlformats.org/officeDocument/2006/relationships/hyperlink" Target="https://afterschools.olc.tw/afterschools/view/70202501060001" TargetMode="External"/><Relationship Id="rId3356" Type="http://schemas.openxmlformats.org/officeDocument/2006/relationships/hyperlink" Target="https://afterschools.olc.tw/afterschools/view/70202106010001" TargetMode="External"/><Relationship Id="rId3357" Type="http://schemas.openxmlformats.org/officeDocument/2006/relationships/hyperlink" Target="https://afterschools.olc.tw/afterschools/view/70202106010002" TargetMode="External"/><Relationship Id="rId3358" Type="http://schemas.openxmlformats.org/officeDocument/2006/relationships/hyperlink" Target="https://afterschools.olc.tw/afterschools/view/70200701230001" TargetMode="External"/><Relationship Id="rId3359" Type="http://schemas.openxmlformats.org/officeDocument/2006/relationships/hyperlink" Target="https://afterschools.olc.tw/afterschools/view/70200410260004" TargetMode="External"/><Relationship Id="rId3360" Type="http://schemas.openxmlformats.org/officeDocument/2006/relationships/hyperlink" Target="https://afterschools.olc.tw/afterschools/view/70200204022305" TargetMode="External"/><Relationship Id="rId3361" Type="http://schemas.openxmlformats.org/officeDocument/2006/relationships/hyperlink" Target="https://afterschools.olc.tw/afterschools/view/70200402190001" TargetMode="External"/><Relationship Id="rId3362" Type="http://schemas.openxmlformats.org/officeDocument/2006/relationships/hyperlink" Target="https://afterschools.olc.tw/afterschools/view/70200204022464" TargetMode="External"/><Relationship Id="rId3363" Type="http://schemas.openxmlformats.org/officeDocument/2006/relationships/hyperlink" Target="https://afterschools.olc.tw/afterschools/view/70200204022734" TargetMode="External"/><Relationship Id="rId3364" Type="http://schemas.openxmlformats.org/officeDocument/2006/relationships/hyperlink" Target="https://afterschools.olc.tw/afterschools/view/70202405160002" TargetMode="External"/><Relationship Id="rId3365" Type="http://schemas.openxmlformats.org/officeDocument/2006/relationships/hyperlink" Target="https://afterschools.olc.tw/afterschools/view/70201210300003" TargetMode="External"/><Relationship Id="rId3366" Type="http://schemas.openxmlformats.org/officeDocument/2006/relationships/hyperlink" Target="https://afterschools.olc.tw/afterschools/view/70200912090002" TargetMode="External"/><Relationship Id="rId3367" Type="http://schemas.openxmlformats.org/officeDocument/2006/relationships/hyperlink" Target="https://afterschools.olc.tw/afterschools/view/70201011220001" TargetMode="External"/><Relationship Id="rId3368" Type="http://schemas.openxmlformats.org/officeDocument/2006/relationships/hyperlink" Target="https://afterschools.olc.tw/afterschools/view/70202212070001" TargetMode="External"/><Relationship Id="rId3369" Type="http://schemas.openxmlformats.org/officeDocument/2006/relationships/hyperlink" Target="https://afterschools.olc.tw/afterschools/view/70201804250001" TargetMode="External"/><Relationship Id="rId3370" Type="http://schemas.openxmlformats.org/officeDocument/2006/relationships/hyperlink" Target="https://afterschools.olc.tw/afterschools/view/70200807160001" TargetMode="External"/><Relationship Id="rId3371" Type="http://schemas.openxmlformats.org/officeDocument/2006/relationships/hyperlink" Target="https://afterschools.olc.tw/afterschools/view/70200204022436" TargetMode="External"/><Relationship Id="rId3372" Type="http://schemas.openxmlformats.org/officeDocument/2006/relationships/hyperlink" Target="https://afterschools.olc.tw/afterschools/view/70200208190001" TargetMode="External"/><Relationship Id="rId3373" Type="http://schemas.openxmlformats.org/officeDocument/2006/relationships/hyperlink" Target="https://afterschools.olc.tw/afterschools/view/70200403030002" TargetMode="External"/><Relationship Id="rId3374" Type="http://schemas.openxmlformats.org/officeDocument/2006/relationships/hyperlink" Target="https://afterschools.olc.tw/afterschools/view/70200408120002" TargetMode="External"/><Relationship Id="rId3375" Type="http://schemas.openxmlformats.org/officeDocument/2006/relationships/hyperlink" Target="https://afterschools.olc.tw/afterschools/view/70202103020002" TargetMode="External"/><Relationship Id="rId3376" Type="http://schemas.openxmlformats.org/officeDocument/2006/relationships/hyperlink" Target="https://afterschools.olc.tw/afterschools/view/24202102010001" TargetMode="External"/><Relationship Id="rId3377" Type="http://schemas.openxmlformats.org/officeDocument/2006/relationships/hyperlink" Target="https://afterschools.olc.tw/afterschools/view/24201506170001" TargetMode="External"/><Relationship Id="rId3378" Type="http://schemas.openxmlformats.org/officeDocument/2006/relationships/hyperlink" Target="https://afterschools.olc.tw/afterschools/view/24200706010002" TargetMode="External"/><Relationship Id="rId3379" Type="http://schemas.openxmlformats.org/officeDocument/2006/relationships/hyperlink" Target="https://afterschools.olc.tw/afterschools/view/24202405100001" TargetMode="External"/><Relationship Id="rId3380" Type="http://schemas.openxmlformats.org/officeDocument/2006/relationships/hyperlink" Target="https://afterschools.olc.tw/afterschools/view/24202308170001" TargetMode="External"/><Relationship Id="rId3381" Type="http://schemas.openxmlformats.org/officeDocument/2006/relationships/hyperlink" Target="https://afterschools.olc.tw/afterschools/view/24201607040001" TargetMode="External"/><Relationship Id="rId3382" Type="http://schemas.openxmlformats.org/officeDocument/2006/relationships/hyperlink" Target="https://afterschools.olc.tw/afterschools/view/24202505230001" TargetMode="External"/><Relationship Id="rId3383" Type="http://schemas.openxmlformats.org/officeDocument/2006/relationships/hyperlink" Target="https://afterschools.olc.tw/afterschools/view/24200208230020" TargetMode="External"/><Relationship Id="rId3384" Type="http://schemas.openxmlformats.org/officeDocument/2006/relationships/hyperlink" Target="https://afterschools.olc.tw/afterschools/view/24202002200001" TargetMode="External"/><Relationship Id="rId3385" Type="http://schemas.openxmlformats.org/officeDocument/2006/relationships/hyperlink" Target="https://afterschools.olc.tw/afterschools/view/24200305190001" TargetMode="External"/><Relationship Id="rId3386" Type="http://schemas.openxmlformats.org/officeDocument/2006/relationships/hyperlink" Target="https://afterschools.olc.tw/afterschools/view/24201903070001" TargetMode="External"/><Relationship Id="rId3387" Type="http://schemas.openxmlformats.org/officeDocument/2006/relationships/hyperlink" Target="https://afterschools.olc.tw/afterschools/view/24201310240001" TargetMode="External"/><Relationship Id="rId3388" Type="http://schemas.openxmlformats.org/officeDocument/2006/relationships/hyperlink" Target="https://afterschools.olc.tw/afterschools/view/24200807220001" TargetMode="External"/><Relationship Id="rId3389" Type="http://schemas.openxmlformats.org/officeDocument/2006/relationships/hyperlink" Target="https://afterschools.olc.tw/afterschools/view/24200812050001" TargetMode="External"/><Relationship Id="rId3390" Type="http://schemas.openxmlformats.org/officeDocument/2006/relationships/hyperlink" Target="https://afterschools.olc.tw/afterschools/view/24201412040001" TargetMode="External"/><Relationship Id="rId3391" Type="http://schemas.openxmlformats.org/officeDocument/2006/relationships/hyperlink" Target="https://afterschools.olc.tw/afterschools/view/24200206110002" TargetMode="External"/><Relationship Id="rId3392" Type="http://schemas.openxmlformats.org/officeDocument/2006/relationships/hyperlink" Target="https://afterschools.olc.tw/afterschools/view/24200708220001" TargetMode="External"/><Relationship Id="rId3393" Type="http://schemas.openxmlformats.org/officeDocument/2006/relationships/hyperlink" Target="https://afterschools.olc.tw/afterschools/view/24201607070001" TargetMode="External"/><Relationship Id="rId3394" Type="http://schemas.openxmlformats.org/officeDocument/2006/relationships/hyperlink" Target="https://afterschools.olc.tw/afterschools/view/24201811060001" TargetMode="External"/><Relationship Id="rId3395" Type="http://schemas.openxmlformats.org/officeDocument/2006/relationships/hyperlink" Target="https://afterschools.olc.tw/afterschools/view/24200509210003" TargetMode="External"/><Relationship Id="rId3396" Type="http://schemas.openxmlformats.org/officeDocument/2006/relationships/hyperlink" Target="https://afterschools.olc.tw/afterschools/view/24200208230026" TargetMode="External"/><Relationship Id="rId3397" Type="http://schemas.openxmlformats.org/officeDocument/2006/relationships/hyperlink" Target="https://afterschools.olc.tw/afterschools/view/24200208180007" TargetMode="External"/><Relationship Id="rId3398" Type="http://schemas.openxmlformats.org/officeDocument/2006/relationships/hyperlink" Target="https://afterschools.olc.tw/afterschools/view/24201306100001" TargetMode="External"/><Relationship Id="rId3399" Type="http://schemas.openxmlformats.org/officeDocument/2006/relationships/hyperlink" Target="https://afterschools.olc.tw/afterschools/view/24200403180001" TargetMode="External"/><Relationship Id="rId3400" Type="http://schemas.openxmlformats.org/officeDocument/2006/relationships/hyperlink" Target="https://afterschools.olc.tw/afterschools/view/24200208250016" TargetMode="External"/><Relationship Id="rId3401" Type="http://schemas.openxmlformats.org/officeDocument/2006/relationships/hyperlink" Target="https://afterschools.olc.tw/afterschools/view/24200208060004" TargetMode="External"/><Relationship Id="rId3402" Type="http://schemas.openxmlformats.org/officeDocument/2006/relationships/hyperlink" Target="https://afterschools.olc.tw/afterschools/view/24202008180002" TargetMode="External"/><Relationship Id="rId3403" Type="http://schemas.openxmlformats.org/officeDocument/2006/relationships/hyperlink" Target="https://afterschools.olc.tw/afterschools/view/35202412200001" TargetMode="External"/><Relationship Id="rId3404" Type="http://schemas.openxmlformats.org/officeDocument/2006/relationships/hyperlink" Target="https://afterschools.olc.tw/afterschools/view/35200207020001" TargetMode="External"/><Relationship Id="rId3405" Type="http://schemas.openxmlformats.org/officeDocument/2006/relationships/hyperlink" Target="https://afterschools.olc.tw/afterschools/view/35201105020005" TargetMode="External"/><Relationship Id="rId3406" Type="http://schemas.openxmlformats.org/officeDocument/2006/relationships/hyperlink" Target="https://afterschools.olc.tw/afterschools/view/35200207050019" TargetMode="External"/><Relationship Id="rId3407" Type="http://schemas.openxmlformats.org/officeDocument/2006/relationships/hyperlink" Target="https://afterschools.olc.tw/afterschools/view/35200207020002" TargetMode="External"/><Relationship Id="rId3408" Type="http://schemas.openxmlformats.org/officeDocument/2006/relationships/hyperlink" Target="https://afterschools.olc.tw/afterschools/view/35200207050008" TargetMode="External"/><Relationship Id="rId3409" Type="http://schemas.openxmlformats.org/officeDocument/2006/relationships/hyperlink" Target="https://afterschools.olc.tw/afterschools/view/35201908150001" TargetMode="External"/><Relationship Id="rId3410" Type="http://schemas.openxmlformats.org/officeDocument/2006/relationships/hyperlink" Target="https://afterschools.olc.tw/afterschools/view/35200306200001" TargetMode="External"/><Relationship Id="rId3411" Type="http://schemas.openxmlformats.org/officeDocument/2006/relationships/hyperlink" Target="https://afterschools.olc.tw/afterschools/view/35201805170001" TargetMode="External"/><Relationship Id="rId3412" Type="http://schemas.openxmlformats.org/officeDocument/2006/relationships/hyperlink" Target="https://afterschools.olc.tw/afterschools/view/35201706080001" TargetMode="External"/><Relationship Id="rId3413" Type="http://schemas.openxmlformats.org/officeDocument/2006/relationships/hyperlink" Target="https://afterschools.olc.tw/afterschools/view/35201402070001" TargetMode="External"/><Relationship Id="rId3414" Type="http://schemas.openxmlformats.org/officeDocument/2006/relationships/hyperlink" Target="https://afterschools.olc.tw/afterschools/view/35200806120004" TargetMode="External"/><Relationship Id="rId3415" Type="http://schemas.openxmlformats.org/officeDocument/2006/relationships/hyperlink" Target="https://afterschools.olc.tw/afterschools/view/35200207100149" TargetMode="External"/><Relationship Id="rId3416" Type="http://schemas.openxmlformats.org/officeDocument/2006/relationships/hyperlink" Target="https://afterschools.olc.tw/afterschools/view/35200908130002" TargetMode="External"/><Relationship Id="rId3417" Type="http://schemas.openxmlformats.org/officeDocument/2006/relationships/hyperlink" Target="https://afterschools.olc.tw/afterschools/view/35200207050011" TargetMode="External"/><Relationship Id="rId3418" Type="http://schemas.openxmlformats.org/officeDocument/2006/relationships/hyperlink" Target="https://afterschools.olc.tw/afterschools/view/35201410080001" TargetMode="External"/><Relationship Id="rId3419" Type="http://schemas.openxmlformats.org/officeDocument/2006/relationships/hyperlink" Target="https://afterschools.olc.tw/afterschools/view/35200207100140" TargetMode="External"/><Relationship Id="rId3420" Type="http://schemas.openxmlformats.org/officeDocument/2006/relationships/hyperlink" Target="https://afterschools.olc.tw/afterschools/view/35200207050006" TargetMode="External"/><Relationship Id="rId3421" Type="http://schemas.openxmlformats.org/officeDocument/2006/relationships/hyperlink" Target="https://afterschools.olc.tw/afterschools/view/35201411270001" TargetMode="External"/><Relationship Id="rId3422" Type="http://schemas.openxmlformats.org/officeDocument/2006/relationships/hyperlink" Target="https://afterschools.olc.tw/afterschools/view/35200903190001" TargetMode="External"/><Relationship Id="rId3423" Type="http://schemas.openxmlformats.org/officeDocument/2006/relationships/hyperlink" Target="https://afterschools.olc.tw/afterschools/view/35200608090001" TargetMode="External"/><Relationship Id="rId3424" Type="http://schemas.openxmlformats.org/officeDocument/2006/relationships/hyperlink" Target="https://afterschools.olc.tw/afterschools/view/35200607060002" TargetMode="External"/><Relationship Id="rId3425" Type="http://schemas.openxmlformats.org/officeDocument/2006/relationships/hyperlink" Target="https://afterschools.olc.tw/afterschools/view/35201711010002" TargetMode="External"/><Relationship Id="rId3426" Type="http://schemas.openxmlformats.org/officeDocument/2006/relationships/hyperlink" Target="https://afterschools.olc.tw/afterschools/view/35200404080001" TargetMode="External"/><Relationship Id="rId3427" Type="http://schemas.openxmlformats.org/officeDocument/2006/relationships/hyperlink" Target="https://afterschools.olc.tw/afterschools/view/35201205160001" TargetMode="External"/><Relationship Id="rId3428" Type="http://schemas.openxmlformats.org/officeDocument/2006/relationships/hyperlink" Target="https://afterschools.olc.tw/afterschools/view/35200307040001" TargetMode="External"/><Relationship Id="rId3429" Type="http://schemas.openxmlformats.org/officeDocument/2006/relationships/hyperlink" Target="https://afterschools.olc.tw/afterschools/view/35200207090009" TargetMode="External"/><Relationship Id="rId3430" Type="http://schemas.openxmlformats.org/officeDocument/2006/relationships/hyperlink" Target="https://afterschools.olc.tw/afterschools/view/35200804070001" TargetMode="External"/><Relationship Id="rId3431" Type="http://schemas.openxmlformats.org/officeDocument/2006/relationships/hyperlink" Target="https://afterschools.olc.tw/afterschools/view/35202310160001" TargetMode="External"/><Relationship Id="rId3432" Type="http://schemas.openxmlformats.org/officeDocument/2006/relationships/hyperlink" Target="https://afterschools.olc.tw/afterschools/view/35200207100146" TargetMode="External"/><Relationship Id="rId3433" Type="http://schemas.openxmlformats.org/officeDocument/2006/relationships/hyperlink" Target="https://afterschools.olc.tw/afterschools/view/35200701240001" TargetMode="External"/><Relationship Id="rId3434" Type="http://schemas.openxmlformats.org/officeDocument/2006/relationships/hyperlink" Target="https://afterschools.olc.tw/afterschools/view/35202109290001" TargetMode="External"/><Relationship Id="rId3435" Type="http://schemas.openxmlformats.org/officeDocument/2006/relationships/hyperlink" Target="https://afterschools.olc.tw/afterschools/view/35200604120002" TargetMode="External"/><Relationship Id="rId3436" Type="http://schemas.openxmlformats.org/officeDocument/2006/relationships/hyperlink" Target="https://afterschools.olc.tw/afterschools/view/35202003310001" TargetMode="External"/><Relationship Id="rId3437" Type="http://schemas.openxmlformats.org/officeDocument/2006/relationships/hyperlink" Target="https://afterschools.olc.tw/afterschools/view/35202608190001" TargetMode="External"/><Relationship Id="rId3438" Type="http://schemas.openxmlformats.org/officeDocument/2006/relationships/hyperlink" Target="https://afterschools.olc.tw/afterschools/view/35200906150002" TargetMode="External"/><Relationship Id="rId3439" Type="http://schemas.openxmlformats.org/officeDocument/2006/relationships/hyperlink" Target="https://afterschools.olc.tw/afterschools/view/35201605100001" TargetMode="External"/><Relationship Id="rId3440" Type="http://schemas.openxmlformats.org/officeDocument/2006/relationships/hyperlink" Target="https://afterschools.olc.tw/afterschools/view/35201511110001" TargetMode="External"/><Relationship Id="rId3441" Type="http://schemas.openxmlformats.org/officeDocument/2006/relationships/hyperlink" Target="https://afterschools.olc.tw/afterschools/view/35201806250001" TargetMode="External"/><Relationship Id="rId3442" Type="http://schemas.openxmlformats.org/officeDocument/2006/relationships/hyperlink" Target="https://afterschools.olc.tw/afterschools/view/35201007120001" TargetMode="External"/><Relationship Id="rId3443" Type="http://schemas.openxmlformats.org/officeDocument/2006/relationships/hyperlink" Target="https://afterschools.olc.tw/afterschools/view/35200208270001" TargetMode="External"/><Relationship Id="rId3444" Type="http://schemas.openxmlformats.org/officeDocument/2006/relationships/hyperlink" Target="https://afterschools.olc.tw/afterschools/view/35200409230001" TargetMode="External"/><Relationship Id="rId3445" Type="http://schemas.openxmlformats.org/officeDocument/2006/relationships/hyperlink" Target="https://afterschools.olc.tw/afterschools/view/35200207050005" TargetMode="External"/><Relationship Id="rId3446" Type="http://schemas.openxmlformats.org/officeDocument/2006/relationships/hyperlink" Target="https://afterschools.olc.tw/afterschools/view/35200504220001" TargetMode="External"/><Relationship Id="rId3447" Type="http://schemas.openxmlformats.org/officeDocument/2006/relationships/hyperlink" Target="https://afterschools.olc.tw/afterschools/view/35200702080002" TargetMode="External"/><Relationship Id="rId3448" Type="http://schemas.openxmlformats.org/officeDocument/2006/relationships/hyperlink" Target="https://afterschools.olc.tw/afterschools/view/35200208270003" TargetMode="External"/><Relationship Id="rId3449" Type="http://schemas.openxmlformats.org/officeDocument/2006/relationships/hyperlink" Target="https://afterschools.olc.tw/afterschools/view/35201010230002" TargetMode="External"/><Relationship Id="rId3450" Type="http://schemas.openxmlformats.org/officeDocument/2006/relationships/hyperlink" Target="https://afterschools.olc.tw/afterschools/view/35202006100001" TargetMode="External"/><Relationship Id="rId3451" Type="http://schemas.openxmlformats.org/officeDocument/2006/relationships/hyperlink" Target="https://afterschools.olc.tw/afterschools/view/35201012300004" TargetMode="External"/><Relationship Id="rId3452" Type="http://schemas.openxmlformats.org/officeDocument/2006/relationships/hyperlink" Target="https://afterschools.olc.tw/afterschools/view/35200407260005" TargetMode="External"/><Relationship Id="rId3453" Type="http://schemas.openxmlformats.org/officeDocument/2006/relationships/hyperlink" Target="https://afterschools.olc.tw/afterschools/view/35200208270002" TargetMode="External"/><Relationship Id="rId3454" Type="http://schemas.openxmlformats.org/officeDocument/2006/relationships/hyperlink" Target="https://afterschools.olc.tw/afterschools/view/35201507030002" TargetMode="External"/><Relationship Id="rId3455" Type="http://schemas.openxmlformats.org/officeDocument/2006/relationships/hyperlink" Target="https://afterschools.olc.tw/afterschools/view/35202004070001" TargetMode="External"/><Relationship Id="rId3456" Type="http://schemas.openxmlformats.org/officeDocument/2006/relationships/hyperlink" Target="https://afterschools.olc.tw/afterschools/view/35202004070002" TargetMode="External"/><Relationship Id="rId3457" Type="http://schemas.openxmlformats.org/officeDocument/2006/relationships/hyperlink" Target="https://afterschools.olc.tw/afterschools/view/35200503170001" TargetMode="External"/><Relationship Id="rId3458" Type="http://schemas.openxmlformats.org/officeDocument/2006/relationships/hyperlink" Target="https://afterschools.olc.tw/afterschools/view/35200503170002" TargetMode="External"/><Relationship Id="rId3459" Type="http://schemas.openxmlformats.org/officeDocument/2006/relationships/hyperlink" Target="https://afterschools.olc.tw/afterschools/view/35201907300001" TargetMode="External"/><Relationship Id="rId3460" Type="http://schemas.openxmlformats.org/officeDocument/2006/relationships/hyperlink" Target="https://afterschools.olc.tw/afterschools/view/35200207050020" TargetMode="External"/><Relationship Id="rId3461" Type="http://schemas.openxmlformats.org/officeDocument/2006/relationships/hyperlink" Target="https://afterschools.olc.tw/afterschools/view/35202005200002" TargetMode="External"/><Relationship Id="rId3462" Type="http://schemas.openxmlformats.org/officeDocument/2006/relationships/hyperlink" Target="https://afterschools.olc.tw/afterschools/view/35201004130004" TargetMode="External"/><Relationship Id="rId3463" Type="http://schemas.openxmlformats.org/officeDocument/2006/relationships/hyperlink" Target="https://afterschools.olc.tw/afterschools/view/35201511060001" TargetMode="External"/><Relationship Id="rId3464" Type="http://schemas.openxmlformats.org/officeDocument/2006/relationships/hyperlink" Target="https://afterschools.olc.tw/afterschools/view/35201806150001" TargetMode="External"/><Relationship Id="rId3465" Type="http://schemas.openxmlformats.org/officeDocument/2006/relationships/hyperlink" Target="https://afterschools.olc.tw/afterschools/view/35200306050002" TargetMode="External"/><Relationship Id="rId3466" Type="http://schemas.openxmlformats.org/officeDocument/2006/relationships/hyperlink" Target="https://afterschools.olc.tw/afterschools/view/35201711010001" TargetMode="External"/><Relationship Id="rId3467" Type="http://schemas.openxmlformats.org/officeDocument/2006/relationships/hyperlink" Target="https://afterschools.olc.tw/afterschools/view/35200207100135" TargetMode="External"/><Relationship Id="rId3468" Type="http://schemas.openxmlformats.org/officeDocument/2006/relationships/hyperlink" Target="https://afterschools.olc.tw/afterschools/view/35200207100164" TargetMode="External"/><Relationship Id="rId3469" Type="http://schemas.openxmlformats.org/officeDocument/2006/relationships/hyperlink" Target="https://afterschools.olc.tw/afterschools/view/35202004160001" TargetMode="External"/><Relationship Id="rId3470" Type="http://schemas.openxmlformats.org/officeDocument/2006/relationships/hyperlink" Target="https://afterschools.olc.tw/afterschools/view/35202009250001" TargetMode="External"/><Relationship Id="rId3471" Type="http://schemas.openxmlformats.org/officeDocument/2006/relationships/hyperlink" Target="https://afterschools.olc.tw/afterschools/view/35201110300005" TargetMode="External"/><Relationship Id="rId3472" Type="http://schemas.openxmlformats.org/officeDocument/2006/relationships/hyperlink" Target="https://afterschools.olc.tw/afterschools/view/35200710170004" TargetMode="External"/><Relationship Id="rId3473" Type="http://schemas.openxmlformats.org/officeDocument/2006/relationships/hyperlink" Target="https://afterschools.olc.tw/afterschools/view/35202504020001" TargetMode="External"/><Relationship Id="rId3474" Type="http://schemas.openxmlformats.org/officeDocument/2006/relationships/hyperlink" Target="https://afterschools.olc.tw/afterschools/view/35201309240001" TargetMode="External"/><Relationship Id="rId3475" Type="http://schemas.openxmlformats.org/officeDocument/2006/relationships/hyperlink" Target="https://afterschools.olc.tw/afterschools/view/35202004130001" TargetMode="External"/><Relationship Id="rId3476" Type="http://schemas.openxmlformats.org/officeDocument/2006/relationships/hyperlink" Target="https://afterschools.olc.tw/afterschools/view/35200207090050" TargetMode="External"/><Relationship Id="rId3477" Type="http://schemas.openxmlformats.org/officeDocument/2006/relationships/hyperlink" Target="https://afterschools.olc.tw/afterschools/view/35200912010001" TargetMode="External"/><Relationship Id="rId3478" Type="http://schemas.openxmlformats.org/officeDocument/2006/relationships/hyperlink" Target="https://afterschools.olc.tw/afterschools/view/35201510050002" TargetMode="External"/><Relationship Id="rId3479" Type="http://schemas.openxmlformats.org/officeDocument/2006/relationships/hyperlink" Target="https://afterschools.olc.tw/afterschools/view/35202306060003" TargetMode="External"/><Relationship Id="rId3480" Type="http://schemas.openxmlformats.org/officeDocument/2006/relationships/hyperlink" Target="https://afterschools.olc.tw/afterschools/view/35200303240001" TargetMode="External"/><Relationship Id="rId3481" Type="http://schemas.openxmlformats.org/officeDocument/2006/relationships/hyperlink" Target="https://afterschools.olc.tw/afterschools/view/35200307300001" TargetMode="External"/><Relationship Id="rId3482" Type="http://schemas.openxmlformats.org/officeDocument/2006/relationships/hyperlink" Target="https://afterschools.olc.tw/afterschools/view/35200308190001" TargetMode="External"/><Relationship Id="rId3483" Type="http://schemas.openxmlformats.org/officeDocument/2006/relationships/hyperlink" Target="https://afterschools.olc.tw/afterschools/view/35201604070002" TargetMode="External"/><Relationship Id="rId3484" Type="http://schemas.openxmlformats.org/officeDocument/2006/relationships/hyperlink" Target="https://afterschools.olc.tw/afterschools/view/35201205160002" TargetMode="External"/><Relationship Id="rId3485" Type="http://schemas.openxmlformats.org/officeDocument/2006/relationships/hyperlink" Target="https://afterschools.olc.tw/afterschools/view/35201305080004" TargetMode="External"/><Relationship Id="rId3486" Type="http://schemas.openxmlformats.org/officeDocument/2006/relationships/hyperlink" Target="https://afterschools.olc.tw/afterschools/view/35200207090013" TargetMode="External"/><Relationship Id="rId3487" Type="http://schemas.openxmlformats.org/officeDocument/2006/relationships/hyperlink" Target="https://afterschools.olc.tw/afterschools/view/35202009300001" TargetMode="External"/><Relationship Id="rId3488" Type="http://schemas.openxmlformats.org/officeDocument/2006/relationships/hyperlink" Target="https://afterschools.olc.tw/afterschools/view/35202301060001" TargetMode="External"/><Relationship Id="rId3489" Type="http://schemas.openxmlformats.org/officeDocument/2006/relationships/hyperlink" Target="https://afterschools.olc.tw/afterschools/view/35202006190001" TargetMode="External"/><Relationship Id="rId3490" Type="http://schemas.openxmlformats.org/officeDocument/2006/relationships/hyperlink" Target="https://afterschools.olc.tw/afterschools/view/35202306200001" TargetMode="External"/><Relationship Id="rId3491" Type="http://schemas.openxmlformats.org/officeDocument/2006/relationships/hyperlink" Target="https://afterschools.olc.tw/afterschools/view/35200701310002" TargetMode="External"/><Relationship Id="rId3492" Type="http://schemas.openxmlformats.org/officeDocument/2006/relationships/hyperlink" Target="https://afterschools.olc.tw/afterschools/view/35201909110001" TargetMode="External"/><Relationship Id="rId3493" Type="http://schemas.openxmlformats.org/officeDocument/2006/relationships/hyperlink" Target="https://afterschools.olc.tw/afterschools/view/35201507030001" TargetMode="External"/><Relationship Id="rId3494" Type="http://schemas.openxmlformats.org/officeDocument/2006/relationships/hyperlink" Target="https://afterschools.olc.tw/afterschools/view/35201908200001" TargetMode="External"/><Relationship Id="rId3495" Type="http://schemas.openxmlformats.org/officeDocument/2006/relationships/hyperlink" Target="https://afterschools.olc.tw/afterschools/view/35200804150002" TargetMode="External"/><Relationship Id="rId3496" Type="http://schemas.openxmlformats.org/officeDocument/2006/relationships/hyperlink" Target="https://afterschools.olc.tw/afterschools/view/35200509230001" TargetMode="External"/><Relationship Id="rId3497" Type="http://schemas.openxmlformats.org/officeDocument/2006/relationships/hyperlink" Target="https://afterschools.olc.tw/afterschools/view/35200602090004" TargetMode="External"/><Relationship Id="rId3498" Type="http://schemas.openxmlformats.org/officeDocument/2006/relationships/hyperlink" Target="https://afterschools.olc.tw/afterschools/view/35201007120003" TargetMode="External"/><Relationship Id="rId3499" Type="http://schemas.openxmlformats.org/officeDocument/2006/relationships/hyperlink" Target="https://afterschools.olc.tw/afterschools/view/35201305080001" TargetMode="External"/><Relationship Id="rId3500" Type="http://schemas.openxmlformats.org/officeDocument/2006/relationships/hyperlink" Target="https://afterschools.olc.tw/afterschools/view/35201504100001" TargetMode="External"/><Relationship Id="rId3501" Type="http://schemas.openxmlformats.org/officeDocument/2006/relationships/hyperlink" Target="https://afterschools.olc.tw/afterschools/view/35201908140001" TargetMode="External"/><Relationship Id="rId3502" Type="http://schemas.openxmlformats.org/officeDocument/2006/relationships/hyperlink" Target="https://afterschools.olc.tw/afterschools/view/35200207100143" TargetMode="External"/><Relationship Id="rId3503" Type="http://schemas.openxmlformats.org/officeDocument/2006/relationships/hyperlink" Target="https://afterschools.olc.tw/afterschools/view/35200609010001" TargetMode="External"/><Relationship Id="rId3504" Type="http://schemas.openxmlformats.org/officeDocument/2006/relationships/hyperlink" Target="https://afterschools.olc.tw/afterschools/view/35202111180001" TargetMode="External"/><Relationship Id="rId3505" Type="http://schemas.openxmlformats.org/officeDocument/2006/relationships/hyperlink" Target="https://afterschools.olc.tw/afterschools/view/35200602090002" TargetMode="External"/><Relationship Id="rId3506" Type="http://schemas.openxmlformats.org/officeDocument/2006/relationships/hyperlink" Target="https://afterschools.olc.tw/afterschools/view/35200207050013" TargetMode="External"/><Relationship Id="rId3507" Type="http://schemas.openxmlformats.org/officeDocument/2006/relationships/hyperlink" Target="https://afterschools.olc.tw/afterschools/view/35201807060001" TargetMode="External"/><Relationship Id="rId3508" Type="http://schemas.openxmlformats.org/officeDocument/2006/relationships/hyperlink" Target="https://afterschools.olc.tw/afterschools/view/35201305080007" TargetMode="External"/><Relationship Id="rId3509" Type="http://schemas.openxmlformats.org/officeDocument/2006/relationships/hyperlink" Target="https://afterschools.olc.tw/afterschools/view/35200405040001" TargetMode="External"/><Relationship Id="rId3510" Type="http://schemas.openxmlformats.org/officeDocument/2006/relationships/hyperlink" Target="https://afterschools.olc.tw/afterschools/view/35201411170001" TargetMode="External"/><Relationship Id="rId3511" Type="http://schemas.openxmlformats.org/officeDocument/2006/relationships/hyperlink" Target="https://afterschools.olc.tw/afterschools/view/35200711140001" TargetMode="External"/><Relationship Id="rId3512" Type="http://schemas.openxmlformats.org/officeDocument/2006/relationships/hyperlink" Target="https://afterschools.olc.tw/afterschools/view/35200307300002" TargetMode="External"/><Relationship Id="rId3513" Type="http://schemas.openxmlformats.org/officeDocument/2006/relationships/hyperlink" Target="https://afterschools.olc.tw/afterschools/view/35200912020001" TargetMode="External"/><Relationship Id="rId3514" Type="http://schemas.openxmlformats.org/officeDocument/2006/relationships/hyperlink" Target="https://afterschools.olc.tw/afterschools/view/35202009250002" TargetMode="External"/><Relationship Id="rId3515" Type="http://schemas.openxmlformats.org/officeDocument/2006/relationships/hyperlink" Target="https://afterschools.olc.tw/afterschools/view/35200812240002" TargetMode="External"/><Relationship Id="rId3516" Type="http://schemas.openxmlformats.org/officeDocument/2006/relationships/hyperlink" Target="https://afterschools.olc.tw/afterschools/view/35202205190001" TargetMode="External"/><Relationship Id="rId3517" Type="http://schemas.openxmlformats.org/officeDocument/2006/relationships/hyperlink" Target="https://afterschools.olc.tw/afterschools/view/35202105270001" TargetMode="External"/><Relationship Id="rId3518" Type="http://schemas.openxmlformats.org/officeDocument/2006/relationships/hyperlink" Target="https://afterschools.olc.tw/afterschools/view/35200207100136" TargetMode="External"/><Relationship Id="rId3519" Type="http://schemas.openxmlformats.org/officeDocument/2006/relationships/hyperlink" Target="https://afterschools.olc.tw/afterschools/view/35201903110001" TargetMode="External"/><Relationship Id="rId3520" Type="http://schemas.openxmlformats.org/officeDocument/2006/relationships/hyperlink" Target="https://afterschools.olc.tw/afterschools/view/35201909100001" TargetMode="External"/><Relationship Id="rId3521" Type="http://schemas.openxmlformats.org/officeDocument/2006/relationships/hyperlink" Target="https://afterschools.olc.tw/afterschools/view/35201110300008" TargetMode="External"/><Relationship Id="rId3522" Type="http://schemas.openxmlformats.org/officeDocument/2006/relationships/hyperlink" Target="https://afterschools.olc.tw/afterschools/view/35200207050029" TargetMode="External"/><Relationship Id="rId3523" Type="http://schemas.openxmlformats.org/officeDocument/2006/relationships/hyperlink" Target="https://afterschools.olc.tw/afterschools/view/35202302220001" TargetMode="External"/><Relationship Id="rId3524" Type="http://schemas.openxmlformats.org/officeDocument/2006/relationships/hyperlink" Target="https://afterschools.olc.tw/afterschools/view/35202306060002" TargetMode="External"/><Relationship Id="rId3525" Type="http://schemas.openxmlformats.org/officeDocument/2006/relationships/hyperlink" Target="https://afterschools.olc.tw/afterschools/view/35201711010003" TargetMode="External"/><Relationship Id="rId3526" Type="http://schemas.openxmlformats.org/officeDocument/2006/relationships/hyperlink" Target="https://afterschools.olc.tw/afterschools/view/35202008260001" TargetMode="External"/><Relationship Id="rId3527" Type="http://schemas.openxmlformats.org/officeDocument/2006/relationships/hyperlink" Target="https://afterschools.olc.tw/afterschools/view/35201309240003" TargetMode="External"/><Relationship Id="rId3528" Type="http://schemas.openxmlformats.org/officeDocument/2006/relationships/hyperlink" Target="https://afterschools.olc.tw/afterschools/view/35202308160001" TargetMode="External"/><Relationship Id="rId3529" Type="http://schemas.openxmlformats.org/officeDocument/2006/relationships/hyperlink" Target="https://afterschools.olc.tw/afterschools/view/35202004140001" TargetMode="External"/><Relationship Id="rId3530" Type="http://schemas.openxmlformats.org/officeDocument/2006/relationships/hyperlink" Target="https://afterschools.olc.tw/afterschools/view/35202307210001" TargetMode="External"/><Relationship Id="rId3531" Type="http://schemas.openxmlformats.org/officeDocument/2006/relationships/hyperlink" Target="https://afterschools.olc.tw/afterschools/view/35200505230001" TargetMode="External"/><Relationship Id="rId3532" Type="http://schemas.openxmlformats.org/officeDocument/2006/relationships/hyperlink" Target="https://afterschools.olc.tw/afterschools/view/35202306290001" TargetMode="External"/><Relationship Id="rId3533" Type="http://schemas.openxmlformats.org/officeDocument/2006/relationships/hyperlink" Target="https://afterschools.olc.tw/afterschools/view/35200501180002" TargetMode="External"/><Relationship Id="rId3534" Type="http://schemas.openxmlformats.org/officeDocument/2006/relationships/hyperlink" Target="https://afterschools.olc.tw/afterschools/view/35201402060001" TargetMode="External"/><Relationship Id="rId3535" Type="http://schemas.openxmlformats.org/officeDocument/2006/relationships/hyperlink" Target="https://afterschools.olc.tw/afterschools/view/35201906110001" TargetMode="External"/><Relationship Id="rId3536" Type="http://schemas.openxmlformats.org/officeDocument/2006/relationships/hyperlink" Target="https://afterschools.olc.tw/afterschools/view/35201404280001" TargetMode="External"/><Relationship Id="rId3537" Type="http://schemas.openxmlformats.org/officeDocument/2006/relationships/hyperlink" Target="https://afterschools.olc.tw/afterschools/view/35201812110001" TargetMode="External"/><Relationship Id="rId3538" Type="http://schemas.openxmlformats.org/officeDocument/2006/relationships/hyperlink" Target="https://afterschools.olc.tw/afterschools/view/35200412070001" TargetMode="External"/><Relationship Id="rId3539" Type="http://schemas.openxmlformats.org/officeDocument/2006/relationships/hyperlink" Target="https://afterschools.olc.tw/afterschools/view/35200305300001" TargetMode="External"/><Relationship Id="rId3540" Type="http://schemas.openxmlformats.org/officeDocument/2006/relationships/hyperlink" Target="https://afterschools.olc.tw/afterschools/view/35200704260003" TargetMode="External"/><Relationship Id="rId3541" Type="http://schemas.openxmlformats.org/officeDocument/2006/relationships/hyperlink" Target="https://afterschools.olc.tw/afterschools/view/35202405160001" TargetMode="External"/><Relationship Id="rId3542" Type="http://schemas.openxmlformats.org/officeDocument/2006/relationships/hyperlink" Target="https://afterschools.olc.tw/afterschools/view/35201605190001" TargetMode="External"/><Relationship Id="rId3543" Type="http://schemas.openxmlformats.org/officeDocument/2006/relationships/hyperlink" Target="https://afterschools.olc.tw/afterschools/view/35200907210002" TargetMode="External"/><Relationship Id="rId3544" Type="http://schemas.openxmlformats.org/officeDocument/2006/relationships/hyperlink" Target="https://afterschools.olc.tw/afterschools/view/35201311200003" TargetMode="External"/><Relationship Id="rId3545" Type="http://schemas.openxmlformats.org/officeDocument/2006/relationships/hyperlink" Target="https://afterschools.olc.tw/afterschools/view/35201905030001" TargetMode="External"/><Relationship Id="rId3546" Type="http://schemas.openxmlformats.org/officeDocument/2006/relationships/hyperlink" Target="https://afterschools.olc.tw/afterschools/view/35201107180001" TargetMode="External"/><Relationship Id="rId3547" Type="http://schemas.openxmlformats.org/officeDocument/2006/relationships/hyperlink" Target="https://afterschools.olc.tw/afterschools/view/35200401270002" TargetMode="External"/><Relationship Id="rId3548" Type="http://schemas.openxmlformats.org/officeDocument/2006/relationships/hyperlink" Target="https://afterschools.olc.tw/afterschools/view/35201210290007" TargetMode="External"/><Relationship Id="rId3549" Type="http://schemas.openxmlformats.org/officeDocument/2006/relationships/hyperlink" Target="https://afterschools.olc.tw/afterschools/view/35201207200003" TargetMode="External"/><Relationship Id="rId3550" Type="http://schemas.openxmlformats.org/officeDocument/2006/relationships/hyperlink" Target="https://afterschools.olc.tw/afterschools/view/35201907220001" TargetMode="External"/><Relationship Id="rId3551" Type="http://schemas.openxmlformats.org/officeDocument/2006/relationships/hyperlink" Target="https://afterschools.olc.tw/afterschools/view/35202209140002" TargetMode="External"/><Relationship Id="rId3552" Type="http://schemas.openxmlformats.org/officeDocument/2006/relationships/hyperlink" Target="https://afterschools.olc.tw/afterschools/view/35201510050001" TargetMode="External"/><Relationship Id="rId3553" Type="http://schemas.openxmlformats.org/officeDocument/2006/relationships/hyperlink" Target="https://afterschools.olc.tw/afterschools/view/35201105020001" TargetMode="External"/><Relationship Id="rId3554" Type="http://schemas.openxmlformats.org/officeDocument/2006/relationships/hyperlink" Target="https://afterschools.olc.tw/afterschools/view/35201305080005" TargetMode="External"/><Relationship Id="rId3555" Type="http://schemas.openxmlformats.org/officeDocument/2006/relationships/hyperlink" Target="https://afterschools.olc.tw/afterschools/view/35201305080003" TargetMode="External"/><Relationship Id="rId3556" Type="http://schemas.openxmlformats.org/officeDocument/2006/relationships/hyperlink" Target="https://afterschools.olc.tw/afterschools/view/35201007120006" TargetMode="External"/><Relationship Id="rId3557" Type="http://schemas.openxmlformats.org/officeDocument/2006/relationships/hyperlink" Target="https://afterschools.olc.tw/afterschools/view/35202002210001" TargetMode="External"/><Relationship Id="rId3558" Type="http://schemas.openxmlformats.org/officeDocument/2006/relationships/hyperlink" Target="https://afterschools.olc.tw/afterschools/view/35202111120001" TargetMode="External"/><Relationship Id="rId3559" Type="http://schemas.openxmlformats.org/officeDocument/2006/relationships/hyperlink" Target="https://afterschools.olc.tw/afterschools/view/35202110210001" TargetMode="External"/><Relationship Id="rId3560" Type="http://schemas.openxmlformats.org/officeDocument/2006/relationships/hyperlink" Target="https://afterschools.olc.tw/afterschools/view/35202009250003" TargetMode="External"/><Relationship Id="rId3561" Type="http://schemas.openxmlformats.org/officeDocument/2006/relationships/hyperlink" Target="https://afterschools.olc.tw/afterschools/view/35200207190006" TargetMode="External"/><Relationship Id="rId3562" Type="http://schemas.openxmlformats.org/officeDocument/2006/relationships/hyperlink" Target="https://afterschools.olc.tw/afterschools/view/35201901080002" TargetMode="External"/><Relationship Id="rId3563" Type="http://schemas.openxmlformats.org/officeDocument/2006/relationships/hyperlink" Target="https://afterschools.olc.tw/afterschools/view/35201912050001" TargetMode="External"/><Relationship Id="rId3564" Type="http://schemas.openxmlformats.org/officeDocument/2006/relationships/hyperlink" Target="https://afterschools.olc.tw/afterschools/view/35202306060001" TargetMode="External"/><Relationship Id="rId3565" Type="http://schemas.openxmlformats.org/officeDocument/2006/relationships/hyperlink" Target="https://afterschools.olc.tw/afterschools/view/35202003090001" TargetMode="External"/><Relationship Id="rId3566" Type="http://schemas.openxmlformats.org/officeDocument/2006/relationships/hyperlink" Target="https://afterschools.olc.tw/afterschools/view/35200605220002" TargetMode="External"/><Relationship Id="rId3567" Type="http://schemas.openxmlformats.org/officeDocument/2006/relationships/hyperlink" Target="https://afterschools.olc.tw/afterschools/view/35201906060001" TargetMode="External"/><Relationship Id="rId3568" Type="http://schemas.openxmlformats.org/officeDocument/2006/relationships/hyperlink" Target="https://afterschools.olc.tw/afterschools/view/35200707240002" TargetMode="External"/><Relationship Id="rId3569" Type="http://schemas.openxmlformats.org/officeDocument/2006/relationships/hyperlink" Target="https://afterschools.olc.tw/afterschools/view/35201808200001" TargetMode="External"/><Relationship Id="rId3570" Type="http://schemas.openxmlformats.org/officeDocument/2006/relationships/hyperlink" Target="https://afterschools.olc.tw/afterschools/view/35201907240002" TargetMode="External"/><Relationship Id="rId3571" Type="http://schemas.openxmlformats.org/officeDocument/2006/relationships/hyperlink" Target="https://afterschools.olc.tw/afterschools/view/35200902040002" TargetMode="External"/><Relationship Id="rId3572" Type="http://schemas.openxmlformats.org/officeDocument/2006/relationships/hyperlink" Target="https://afterschools.olc.tw/afterschools/view/36201703230001" TargetMode="External"/><Relationship Id="rId3573" Type="http://schemas.openxmlformats.org/officeDocument/2006/relationships/hyperlink" Target="https://afterschools.olc.tw/afterschools/view/36200708060001" TargetMode="External"/><Relationship Id="rId3574" Type="http://schemas.openxmlformats.org/officeDocument/2006/relationships/hyperlink" Target="https://afterschools.olc.tw/afterschools/view/36201311070002" TargetMode="External"/><Relationship Id="rId3575" Type="http://schemas.openxmlformats.org/officeDocument/2006/relationships/hyperlink" Target="https://afterschools.olc.tw/afterschools/view/36201712300002" TargetMode="External"/><Relationship Id="rId3576" Type="http://schemas.openxmlformats.org/officeDocument/2006/relationships/hyperlink" Target="https://afterschools.olc.tw/afterschools/view/36201509230001" TargetMode="External"/><Relationship Id="rId3577" Type="http://schemas.openxmlformats.org/officeDocument/2006/relationships/hyperlink" Target="https://afterschools.olc.tw/afterschools/view/36202109290001" TargetMode="External"/><Relationship Id="rId3578" Type="http://schemas.openxmlformats.org/officeDocument/2006/relationships/hyperlink" Target="https://afterschools.olc.tw/afterschools/view/36200507040001" TargetMode="External"/><Relationship Id="rId3579" Type="http://schemas.openxmlformats.org/officeDocument/2006/relationships/hyperlink" Target="https://afterschools.olc.tw/afterschools/view/36202002030001" TargetMode="External"/><Relationship Id="rId3580" Type="http://schemas.openxmlformats.org/officeDocument/2006/relationships/hyperlink" Target="https://afterschools.olc.tw/afterschools/view/36201311280001" TargetMode="External"/><Relationship Id="rId3581" Type="http://schemas.openxmlformats.org/officeDocument/2006/relationships/hyperlink" Target="https://afterschools.olc.tw/afterschools/view/36201305310001" TargetMode="External"/><Relationship Id="rId3582" Type="http://schemas.openxmlformats.org/officeDocument/2006/relationships/hyperlink" Target="https://afterschools.olc.tw/afterschools/view/36200507050001" TargetMode="External"/><Relationship Id="rId3583" Type="http://schemas.openxmlformats.org/officeDocument/2006/relationships/hyperlink" Target="https://afterschools.olc.tw/afterschools/view/36201603110001" TargetMode="External"/><Relationship Id="rId3584" Type="http://schemas.openxmlformats.org/officeDocument/2006/relationships/hyperlink" Target="https://afterschools.olc.tw/afterschools/view/36200406180001" TargetMode="External"/><Relationship Id="rId3585" Type="http://schemas.openxmlformats.org/officeDocument/2006/relationships/hyperlink" Target="https://afterschools.olc.tw/afterschools/view/36201810050001" TargetMode="External"/><Relationship Id="rId3586" Type="http://schemas.openxmlformats.org/officeDocument/2006/relationships/hyperlink" Target="https://afterschools.olc.tw/afterschools/view/36200506130002" TargetMode="External"/><Relationship Id="rId3587" Type="http://schemas.openxmlformats.org/officeDocument/2006/relationships/hyperlink" Target="https://afterschools.olc.tw/afterschools/view/36200608090001" TargetMode="External"/><Relationship Id="rId3588" Type="http://schemas.openxmlformats.org/officeDocument/2006/relationships/hyperlink" Target="https://afterschools.olc.tw/afterschools/view/36201212240001" TargetMode="External"/><Relationship Id="rId3589" Type="http://schemas.openxmlformats.org/officeDocument/2006/relationships/hyperlink" Target="https://afterschools.olc.tw/afterschools/view/36201012060002" TargetMode="External"/><Relationship Id="rId3590" Type="http://schemas.openxmlformats.org/officeDocument/2006/relationships/hyperlink" Target="https://afterschools.olc.tw/afterschools/view/36200809110001" TargetMode="External"/><Relationship Id="rId3591" Type="http://schemas.openxmlformats.org/officeDocument/2006/relationships/hyperlink" Target="https://afterschools.olc.tw/afterschools/view/36200207160005" TargetMode="External"/><Relationship Id="rId3592" Type="http://schemas.openxmlformats.org/officeDocument/2006/relationships/hyperlink" Target="https://afterschools.olc.tw/afterschools/view/36200506230001" TargetMode="External"/><Relationship Id="rId3593" Type="http://schemas.openxmlformats.org/officeDocument/2006/relationships/hyperlink" Target="https://afterschools.olc.tw/afterschools/view/36200310170002" TargetMode="External"/><Relationship Id="rId3594" Type="http://schemas.openxmlformats.org/officeDocument/2006/relationships/hyperlink" Target="https://afterschools.olc.tw/afterschools/view/36200206070003" TargetMode="External"/><Relationship Id="rId3595" Type="http://schemas.openxmlformats.org/officeDocument/2006/relationships/hyperlink" Target="https://afterschools.olc.tw/afterschools/view/36200303200001" TargetMode="External"/><Relationship Id="rId3596" Type="http://schemas.openxmlformats.org/officeDocument/2006/relationships/hyperlink" Target="https://afterschools.olc.tw/afterschools/view/36200602090001" TargetMode="External"/><Relationship Id="rId3597" Type="http://schemas.openxmlformats.org/officeDocument/2006/relationships/hyperlink" Target="https://afterschools.olc.tw/afterschools/view/36200207160042" TargetMode="External"/><Relationship Id="rId3598" Type="http://schemas.openxmlformats.org/officeDocument/2006/relationships/hyperlink" Target="https://afterschools.olc.tw/afterschools/view/36200601230002" TargetMode="External"/><Relationship Id="rId3599" Type="http://schemas.openxmlformats.org/officeDocument/2006/relationships/hyperlink" Target="https://afterschools.olc.tw/afterschools/view/36202201190001" TargetMode="External"/><Relationship Id="rId3600" Type="http://schemas.openxmlformats.org/officeDocument/2006/relationships/hyperlink" Target="https://afterschools.olc.tw/afterschools/view/36200207160026" TargetMode="External"/><Relationship Id="rId3601" Type="http://schemas.openxmlformats.org/officeDocument/2006/relationships/hyperlink" Target="https://afterschools.olc.tw/afterschools/view/36200501130001" TargetMode="External"/><Relationship Id="rId3602" Type="http://schemas.openxmlformats.org/officeDocument/2006/relationships/hyperlink" Target="https://afterschools.olc.tw/afterschools/view/36200912290002" TargetMode="External"/><Relationship Id="rId3603" Type="http://schemas.openxmlformats.org/officeDocument/2006/relationships/hyperlink" Target="https://afterschools.olc.tw/afterschools/view/36200406100001" TargetMode="External"/><Relationship Id="rId3604" Type="http://schemas.openxmlformats.org/officeDocument/2006/relationships/hyperlink" Target="https://afterschools.olc.tw/afterschools/view/36201704180002" TargetMode="External"/><Relationship Id="rId3605" Type="http://schemas.openxmlformats.org/officeDocument/2006/relationships/hyperlink" Target="https://afterschools.olc.tw/afterschools/view/36200411040004" TargetMode="External"/><Relationship Id="rId3606" Type="http://schemas.openxmlformats.org/officeDocument/2006/relationships/hyperlink" Target="https://afterschools.olc.tw/afterschools/view/36200609050001" TargetMode="External"/><Relationship Id="rId3607" Type="http://schemas.openxmlformats.org/officeDocument/2006/relationships/hyperlink" Target="https://afterschools.olc.tw/afterschools/view/36200801160001" TargetMode="External"/><Relationship Id="rId3608" Type="http://schemas.openxmlformats.org/officeDocument/2006/relationships/hyperlink" Target="https://afterschools.olc.tw/afterschools/view/36201808240003" TargetMode="External"/><Relationship Id="rId3609" Type="http://schemas.openxmlformats.org/officeDocument/2006/relationships/hyperlink" Target="https://afterschools.olc.tw/afterschools/view/36201812040001" TargetMode="External"/><Relationship Id="rId3610" Type="http://schemas.openxmlformats.org/officeDocument/2006/relationships/hyperlink" Target="https://afterschools.olc.tw/afterschools/view/36200908230001" TargetMode="External"/><Relationship Id="rId3611" Type="http://schemas.openxmlformats.org/officeDocument/2006/relationships/hyperlink" Target="https://afterschools.olc.tw/afterschools/view/36201712300001" TargetMode="External"/><Relationship Id="rId3612" Type="http://schemas.openxmlformats.org/officeDocument/2006/relationships/hyperlink" Target="https://afterschools.olc.tw/afterschools/view/36200610270001" TargetMode="External"/><Relationship Id="rId3613" Type="http://schemas.openxmlformats.org/officeDocument/2006/relationships/hyperlink" Target="https://afterschools.olc.tw/afterschools/view/36201010180001" TargetMode="External"/><Relationship Id="rId3614" Type="http://schemas.openxmlformats.org/officeDocument/2006/relationships/hyperlink" Target="https://afterschools.olc.tw/afterschools/view/36201702180001" TargetMode="External"/><Relationship Id="rId3615" Type="http://schemas.openxmlformats.org/officeDocument/2006/relationships/hyperlink" Target="https://afterschools.olc.tw/afterschools/view/36202005010001" TargetMode="External"/><Relationship Id="rId3616" Type="http://schemas.openxmlformats.org/officeDocument/2006/relationships/hyperlink" Target="https://afterschools.olc.tw/afterschools/view/36201201160001" TargetMode="External"/><Relationship Id="rId3617" Type="http://schemas.openxmlformats.org/officeDocument/2006/relationships/hyperlink" Target="https://afterschools.olc.tw/afterschools/view/36201911150001" TargetMode="External"/><Relationship Id="rId3618" Type="http://schemas.openxmlformats.org/officeDocument/2006/relationships/hyperlink" Target="https://afterschools.olc.tw/afterschools/view/36200207160052" TargetMode="External"/><Relationship Id="rId3619" Type="http://schemas.openxmlformats.org/officeDocument/2006/relationships/hyperlink" Target="https://afterschools.olc.tw/afterschools/view/36202003120001" TargetMode="External"/><Relationship Id="rId3620" Type="http://schemas.openxmlformats.org/officeDocument/2006/relationships/hyperlink" Target="https://afterschools.olc.tw/afterschools/view/36201001210003" TargetMode="External"/><Relationship Id="rId3621" Type="http://schemas.openxmlformats.org/officeDocument/2006/relationships/hyperlink" Target="https://afterschools.olc.tw/afterschools/view/36202509160001" TargetMode="External"/><Relationship Id="rId3622" Type="http://schemas.openxmlformats.org/officeDocument/2006/relationships/hyperlink" Target="https://afterschools.olc.tw/afterschools/view/36201807310001" TargetMode="External"/><Relationship Id="rId3623" Type="http://schemas.openxmlformats.org/officeDocument/2006/relationships/hyperlink" Target="https://afterschools.olc.tw/afterschools/view/36201701040001" TargetMode="External"/><Relationship Id="rId3624" Type="http://schemas.openxmlformats.org/officeDocument/2006/relationships/hyperlink" Target="https://afterschools.olc.tw/afterschools/view/36201610140002" TargetMode="External"/><Relationship Id="rId3625" Type="http://schemas.openxmlformats.org/officeDocument/2006/relationships/hyperlink" Target="https://afterschools.olc.tw/afterschools/view/36200510170002" TargetMode="External"/><Relationship Id="rId3626" Type="http://schemas.openxmlformats.org/officeDocument/2006/relationships/hyperlink" Target="https://afterschools.olc.tw/afterschools/view/36201706290001" TargetMode="External"/><Relationship Id="rId3627" Type="http://schemas.openxmlformats.org/officeDocument/2006/relationships/hyperlink" Target="https://afterschools.olc.tw/afterschools/view/36201512010002" TargetMode="External"/><Relationship Id="rId3628" Type="http://schemas.openxmlformats.org/officeDocument/2006/relationships/hyperlink" Target="https://afterschools.olc.tw/afterschools/view/36201001210002" TargetMode="External"/><Relationship Id="rId3629" Type="http://schemas.openxmlformats.org/officeDocument/2006/relationships/hyperlink" Target="https://afterschools.olc.tw/afterschools/view/36201704180001" TargetMode="External"/><Relationship Id="rId3630" Type="http://schemas.openxmlformats.org/officeDocument/2006/relationships/hyperlink" Target="https://afterschools.olc.tw/afterschools/view/36201404090001" TargetMode="External"/><Relationship Id="rId3631" Type="http://schemas.openxmlformats.org/officeDocument/2006/relationships/hyperlink" Target="https://afterschools.olc.tw/afterschools/view/36200601060002" TargetMode="External"/><Relationship Id="rId3632" Type="http://schemas.openxmlformats.org/officeDocument/2006/relationships/hyperlink" Target="https://afterschools.olc.tw/afterschools/view/36201804060001" TargetMode="External"/><Relationship Id="rId3633" Type="http://schemas.openxmlformats.org/officeDocument/2006/relationships/hyperlink" Target="https://afterschools.olc.tw/afterschools/view/36200207160033" TargetMode="External"/><Relationship Id="rId3634" Type="http://schemas.openxmlformats.org/officeDocument/2006/relationships/hyperlink" Target="https://afterschools.olc.tw/afterschools/view/36201301170001" TargetMode="External"/><Relationship Id="rId3635" Type="http://schemas.openxmlformats.org/officeDocument/2006/relationships/hyperlink" Target="https://afterschools.olc.tw/afterschools/view/36201810080001" TargetMode="External"/><Relationship Id="rId3636" Type="http://schemas.openxmlformats.org/officeDocument/2006/relationships/hyperlink" Target="https://afterschools.olc.tw/afterschools/view/36201901040001" TargetMode="External"/><Relationship Id="rId3637" Type="http://schemas.openxmlformats.org/officeDocument/2006/relationships/hyperlink" Target="https://afterschools.olc.tw/afterschools/view/36201207270003" TargetMode="External"/><Relationship Id="rId3638" Type="http://schemas.openxmlformats.org/officeDocument/2006/relationships/hyperlink" Target="https://afterschools.olc.tw/afterschools/view/36200804180003" TargetMode="External"/><Relationship Id="rId3639" Type="http://schemas.openxmlformats.org/officeDocument/2006/relationships/hyperlink" Target="https://afterschools.olc.tw/afterschools/view/36201211010001" TargetMode="External"/><Relationship Id="rId3640" Type="http://schemas.openxmlformats.org/officeDocument/2006/relationships/hyperlink" Target="https://afterschools.olc.tw/afterschools/view/36201508060002" TargetMode="External"/><Relationship Id="rId3641" Type="http://schemas.openxmlformats.org/officeDocument/2006/relationships/hyperlink" Target="https://afterschools.olc.tw/afterschools/view/36201305010001" TargetMode="External"/><Relationship Id="rId3642" Type="http://schemas.openxmlformats.org/officeDocument/2006/relationships/hyperlink" Target="https://afterschools.olc.tw/afterschools/view/36200411040003" TargetMode="External"/><Relationship Id="rId3643" Type="http://schemas.openxmlformats.org/officeDocument/2006/relationships/hyperlink" Target="https://afterschools.olc.tw/afterschools/view/36200208220002" TargetMode="External"/><Relationship Id="rId3644" Type="http://schemas.openxmlformats.org/officeDocument/2006/relationships/hyperlink" Target="https://afterschools.olc.tw/afterschools/view/36201711030002" TargetMode="External"/><Relationship Id="rId3645" Type="http://schemas.openxmlformats.org/officeDocument/2006/relationships/hyperlink" Target="https://afterschools.olc.tw/afterschools/view/36202209020001" TargetMode="External"/><Relationship Id="rId3646" Type="http://schemas.openxmlformats.org/officeDocument/2006/relationships/hyperlink" Target="https://afterschools.olc.tw/afterschools/view/36200908230002" TargetMode="External"/><Relationship Id="rId3647" Type="http://schemas.openxmlformats.org/officeDocument/2006/relationships/hyperlink" Target="https://afterschools.olc.tw/afterschools/view/36200307280001" TargetMode="External"/><Relationship Id="rId3648" Type="http://schemas.openxmlformats.org/officeDocument/2006/relationships/hyperlink" Target="https://afterschools.olc.tw/afterschools/view/36201311130001" TargetMode="External"/><Relationship Id="rId3649" Type="http://schemas.openxmlformats.org/officeDocument/2006/relationships/hyperlink" Target="https://afterschools.olc.tw/afterschools/view/36201908130001" TargetMode="External"/><Relationship Id="rId3650" Type="http://schemas.openxmlformats.org/officeDocument/2006/relationships/hyperlink" Target="https://afterschools.olc.tw/afterschools/view/36202003310001" TargetMode="External"/><Relationship Id="rId3651" Type="http://schemas.openxmlformats.org/officeDocument/2006/relationships/hyperlink" Target="https://afterschools.olc.tw/afterschools/view/36200205220001" TargetMode="External"/><Relationship Id="rId3652" Type="http://schemas.openxmlformats.org/officeDocument/2006/relationships/hyperlink" Target="https://afterschools.olc.tw/afterschools/view/36202410240001" TargetMode="External"/><Relationship Id="rId3653" Type="http://schemas.openxmlformats.org/officeDocument/2006/relationships/hyperlink" Target="https://afterschools.olc.tw/afterschools/view/36201901110001" TargetMode="External"/><Relationship Id="rId3654" Type="http://schemas.openxmlformats.org/officeDocument/2006/relationships/hyperlink" Target="https://afterschools.olc.tw/afterschools/view/36200207160029" TargetMode="External"/><Relationship Id="rId3655" Type="http://schemas.openxmlformats.org/officeDocument/2006/relationships/hyperlink" Target="https://afterschools.olc.tw/afterschools/view/36201904180001" TargetMode="External"/><Relationship Id="rId3656" Type="http://schemas.openxmlformats.org/officeDocument/2006/relationships/hyperlink" Target="https://afterschools.olc.tw/afterschools/view/36200207160014" TargetMode="External"/><Relationship Id="rId3657" Type="http://schemas.openxmlformats.org/officeDocument/2006/relationships/hyperlink" Target="https://afterschools.olc.tw/afterschools/view/36200207160037" TargetMode="External"/><Relationship Id="rId3658" Type="http://schemas.openxmlformats.org/officeDocument/2006/relationships/hyperlink" Target="https://afterschools.olc.tw/afterschools/view/36200904020006" TargetMode="External"/><Relationship Id="rId3659" Type="http://schemas.openxmlformats.org/officeDocument/2006/relationships/hyperlink" Target="https://afterschools.olc.tw/afterschools/view/36200401280003" TargetMode="External"/><Relationship Id="rId3660" Type="http://schemas.openxmlformats.org/officeDocument/2006/relationships/hyperlink" Target="https://afterschools.olc.tw/afterschools/view/36202410240002" TargetMode="External"/><Relationship Id="rId3661" Type="http://schemas.openxmlformats.org/officeDocument/2006/relationships/hyperlink" Target="https://afterschools.olc.tw/afterschools/view/36201512010001" TargetMode="External"/><Relationship Id="rId3662" Type="http://schemas.openxmlformats.org/officeDocument/2006/relationships/hyperlink" Target="https://afterschools.olc.tw/afterschools/view/36202207140002" TargetMode="External"/><Relationship Id="rId3663" Type="http://schemas.openxmlformats.org/officeDocument/2006/relationships/hyperlink" Target="https://afterschools.olc.tw/afterschools/view/36201910250001" TargetMode="External"/><Relationship Id="rId3664" Type="http://schemas.openxmlformats.org/officeDocument/2006/relationships/hyperlink" Target="https://afterschools.olc.tw/afterschools/view/36201811150001" TargetMode="External"/><Relationship Id="rId3665" Type="http://schemas.openxmlformats.org/officeDocument/2006/relationships/hyperlink" Target="https://afterschools.olc.tw/afterschools/view/36200207160049" TargetMode="External"/><Relationship Id="rId3666" Type="http://schemas.openxmlformats.org/officeDocument/2006/relationships/hyperlink" Target="https://afterschools.olc.tw/afterschools/view/36200207160053" TargetMode="External"/><Relationship Id="rId3667" Type="http://schemas.openxmlformats.org/officeDocument/2006/relationships/hyperlink" Target="https://afterschools.olc.tw/afterschools/view/36200912080002" TargetMode="External"/><Relationship Id="rId3668" Type="http://schemas.openxmlformats.org/officeDocument/2006/relationships/hyperlink" Target="https://afterschools.olc.tw/afterschools/view/36200305200001" TargetMode="External"/><Relationship Id="rId3669" Type="http://schemas.openxmlformats.org/officeDocument/2006/relationships/hyperlink" Target="https://afterschools.olc.tw/afterschools/view/36200407210002" TargetMode="External"/><Relationship Id="rId3670" Type="http://schemas.openxmlformats.org/officeDocument/2006/relationships/hyperlink" Target="https://afterschools.olc.tw/afterschools/view/36200206030001" TargetMode="External"/><Relationship Id="rId3671" Type="http://schemas.openxmlformats.org/officeDocument/2006/relationships/hyperlink" Target="https://afterschools.olc.tw/afterschools/view/36201809120001" TargetMode="External"/><Relationship Id="rId3672" Type="http://schemas.openxmlformats.org/officeDocument/2006/relationships/hyperlink" Target="https://afterschools.olc.tw/afterschools/view/36200804110001" TargetMode="External"/><Relationship Id="rId3673" Type="http://schemas.openxmlformats.org/officeDocument/2006/relationships/hyperlink" Target="https://afterschools.olc.tw/afterschools/view/36200407190001" TargetMode="External"/><Relationship Id="rId3674" Type="http://schemas.openxmlformats.org/officeDocument/2006/relationships/hyperlink" Target="https://afterschools.olc.tw/afterschools/view/36200209110003" TargetMode="External"/><Relationship Id="rId3675" Type="http://schemas.openxmlformats.org/officeDocument/2006/relationships/hyperlink" Target="https://afterschools.olc.tw/afterschools/view/36201703160001" TargetMode="External"/><Relationship Id="rId3676" Type="http://schemas.openxmlformats.org/officeDocument/2006/relationships/hyperlink" Target="https://afterschools.olc.tw/afterschools/view/36200209120002" TargetMode="External"/><Relationship Id="rId3677" Type="http://schemas.openxmlformats.org/officeDocument/2006/relationships/hyperlink" Target="https://afterschools.olc.tw/afterschools/view/36200207160017" TargetMode="External"/><Relationship Id="rId3678" Type="http://schemas.openxmlformats.org/officeDocument/2006/relationships/hyperlink" Target="https://afterschools.olc.tw/afterschools/view/36200511230002" TargetMode="External"/><Relationship Id="rId3679" Type="http://schemas.openxmlformats.org/officeDocument/2006/relationships/hyperlink" Target="https://afterschools.olc.tw/afterschools/view/36200411040005" TargetMode="External"/><Relationship Id="rId3680" Type="http://schemas.openxmlformats.org/officeDocument/2006/relationships/hyperlink" Target="https://afterschools.olc.tw/afterschools/view/36201610310001" TargetMode="External"/><Relationship Id="rId3681" Type="http://schemas.openxmlformats.org/officeDocument/2006/relationships/hyperlink" Target="https://afterschools.olc.tw/afterschools/view/36200410210002" TargetMode="External"/><Relationship Id="rId3682" Type="http://schemas.openxmlformats.org/officeDocument/2006/relationships/hyperlink" Target="https://afterschools.olc.tw/afterschools/view/36200901200003" TargetMode="External"/><Relationship Id="rId3683" Type="http://schemas.openxmlformats.org/officeDocument/2006/relationships/hyperlink" Target="https://afterschools.olc.tw/afterschools/view/36201008050001" TargetMode="External"/><Relationship Id="rId3684" Type="http://schemas.openxmlformats.org/officeDocument/2006/relationships/hyperlink" Target="https://afterschools.olc.tw/afterschools/view/37200309020005" TargetMode="External"/><Relationship Id="rId3685" Type="http://schemas.openxmlformats.org/officeDocument/2006/relationships/hyperlink" Target="https://afterschools.olc.tw/afterschools/view/37201005270001" TargetMode="External"/><Relationship Id="rId3686" Type="http://schemas.openxmlformats.org/officeDocument/2006/relationships/hyperlink" Target="https://afterschools.olc.tw/afterschools/view/37201206140001" TargetMode="External"/><Relationship Id="rId3687" Type="http://schemas.openxmlformats.org/officeDocument/2006/relationships/hyperlink" Target="https://afterschools.olc.tw/afterschools/view/37201007050001" TargetMode="External"/><Relationship Id="rId3688" Type="http://schemas.openxmlformats.org/officeDocument/2006/relationships/hyperlink" Target="https://afterschools.olc.tw/afterschools/view/37201002220001" TargetMode="External"/><Relationship Id="rId3689" Type="http://schemas.openxmlformats.org/officeDocument/2006/relationships/hyperlink" Target="https://afterschools.olc.tw/afterschools/view/37200308280001" TargetMode="External"/><Relationship Id="rId3690" Type="http://schemas.openxmlformats.org/officeDocument/2006/relationships/hyperlink" Target="https://afterschools.olc.tw/afterschools/view/37200206112145" TargetMode="External"/><Relationship Id="rId3691" Type="http://schemas.openxmlformats.org/officeDocument/2006/relationships/hyperlink" Target="https://afterschools.olc.tw/afterschools/view/37201105240001" TargetMode="External"/><Relationship Id="rId3692" Type="http://schemas.openxmlformats.org/officeDocument/2006/relationships/hyperlink" Target="https://afterschools.olc.tw/afterschools/view/37200206110065" TargetMode="External"/><Relationship Id="rId3693" Type="http://schemas.openxmlformats.org/officeDocument/2006/relationships/hyperlink" Target="https://afterschools.olc.tw/afterschools/view/37202308150001" TargetMode="External"/><Relationship Id="rId3694" Type="http://schemas.openxmlformats.org/officeDocument/2006/relationships/hyperlink" Target="https://afterschools.olc.tw/afterschools/view/37201108220002" TargetMode="External"/><Relationship Id="rId3695" Type="http://schemas.openxmlformats.org/officeDocument/2006/relationships/hyperlink" Target="https://afterschools.olc.tw/afterschools/view/37201512220001" TargetMode="External"/><Relationship Id="rId3696" Type="http://schemas.openxmlformats.org/officeDocument/2006/relationships/hyperlink" Target="https://afterschools.olc.tw/afterschools/view/37200907210001" TargetMode="External"/><Relationship Id="rId3697" Type="http://schemas.openxmlformats.org/officeDocument/2006/relationships/hyperlink" Target="https://afterschools.olc.tw/afterschools/view/37201111160003" TargetMode="External"/><Relationship Id="rId3698" Type="http://schemas.openxmlformats.org/officeDocument/2006/relationships/hyperlink" Target="https://afterschools.olc.tw/afterschools/view/37200701020002" TargetMode="External"/><Relationship Id="rId3699" Type="http://schemas.openxmlformats.org/officeDocument/2006/relationships/hyperlink" Target="https://afterschools.olc.tw/afterschools/view/37201301020001" TargetMode="External"/><Relationship Id="rId3700" Type="http://schemas.openxmlformats.org/officeDocument/2006/relationships/hyperlink" Target="https://afterschools.olc.tw/afterschools/view/37201206250001" TargetMode="External"/><Relationship Id="rId3701" Type="http://schemas.openxmlformats.org/officeDocument/2006/relationships/hyperlink" Target="https://afterschools.olc.tw/afterschools/view/37201101170001" TargetMode="External"/><Relationship Id="rId3702" Type="http://schemas.openxmlformats.org/officeDocument/2006/relationships/hyperlink" Target="https://afterschools.olc.tw/afterschools/view/37200807300001" TargetMode="External"/><Relationship Id="rId3703" Type="http://schemas.openxmlformats.org/officeDocument/2006/relationships/hyperlink" Target="https://afterschools.olc.tw/afterschools/view/37201209030002" TargetMode="External"/><Relationship Id="rId3704" Type="http://schemas.openxmlformats.org/officeDocument/2006/relationships/hyperlink" Target="https://afterschools.olc.tw/afterschools/view/37200505060001" TargetMode="External"/><Relationship Id="rId3705" Type="http://schemas.openxmlformats.org/officeDocument/2006/relationships/hyperlink" Target="https://afterschools.olc.tw/afterschools/view/37200206110075" TargetMode="External"/><Relationship Id="rId3706" Type="http://schemas.openxmlformats.org/officeDocument/2006/relationships/hyperlink" Target="https://afterschools.olc.tw/afterschools/view/37200806020002" TargetMode="External"/><Relationship Id="rId3707" Type="http://schemas.openxmlformats.org/officeDocument/2006/relationships/hyperlink" Target="https://afterschools.olc.tw/afterschools/view/37200309020008" TargetMode="External"/><Relationship Id="rId3708" Type="http://schemas.openxmlformats.org/officeDocument/2006/relationships/hyperlink" Target="https://afterschools.olc.tw/afterschools/view/37200903050001" TargetMode="External"/><Relationship Id="rId3709" Type="http://schemas.openxmlformats.org/officeDocument/2006/relationships/hyperlink" Target="https://afterschools.olc.tw/afterschools/view/37200504120001" TargetMode="External"/><Relationship Id="rId3710" Type="http://schemas.openxmlformats.org/officeDocument/2006/relationships/hyperlink" Target="https://afterschools.olc.tw/afterschools/view/37200309020015" TargetMode="External"/><Relationship Id="rId3711" Type="http://schemas.openxmlformats.org/officeDocument/2006/relationships/hyperlink" Target="https://afterschools.olc.tw/afterschools/view/37200206110067" TargetMode="External"/><Relationship Id="rId3712" Type="http://schemas.openxmlformats.org/officeDocument/2006/relationships/hyperlink" Target="https://afterschools.olc.tw/afterschools/view/37201204200003" TargetMode="External"/><Relationship Id="rId3713" Type="http://schemas.openxmlformats.org/officeDocument/2006/relationships/hyperlink" Target="https://afterschools.olc.tw/afterschools/view/37200309020016" TargetMode="External"/><Relationship Id="rId3714" Type="http://schemas.openxmlformats.org/officeDocument/2006/relationships/hyperlink" Target="https://afterschools.olc.tw/afterschools/view/37200803280001" TargetMode="External"/><Relationship Id="rId3715" Type="http://schemas.openxmlformats.org/officeDocument/2006/relationships/hyperlink" Target="https://afterschools.olc.tw/afterschools/view/37200206110093" TargetMode="External"/><Relationship Id="rId3716" Type="http://schemas.openxmlformats.org/officeDocument/2006/relationships/hyperlink" Target="https://afterschools.olc.tw/afterschools/view/37200603230001" TargetMode="External"/><Relationship Id="rId3717" Type="http://schemas.openxmlformats.org/officeDocument/2006/relationships/hyperlink" Target="https://afterschools.olc.tw/afterschools/view/37201004290001" TargetMode="External"/><Relationship Id="rId3718" Type="http://schemas.openxmlformats.org/officeDocument/2006/relationships/hyperlink" Target="https://afterschools.olc.tw/afterschools/view/37200801100001" TargetMode="External"/><Relationship Id="rId3719" Type="http://schemas.openxmlformats.org/officeDocument/2006/relationships/hyperlink" Target="https://afterschools.olc.tw/afterschools/view/37200411200006" TargetMode="External"/><Relationship Id="rId3720" Type="http://schemas.openxmlformats.org/officeDocument/2006/relationships/hyperlink" Target="https://afterschools.olc.tw/afterschools/view/37200206112183" TargetMode="External"/><Relationship Id="rId3721" Type="http://schemas.openxmlformats.org/officeDocument/2006/relationships/hyperlink" Target="https://afterschools.olc.tw/afterschools/view/37201206260001" TargetMode="External"/><Relationship Id="rId3722" Type="http://schemas.openxmlformats.org/officeDocument/2006/relationships/hyperlink" Target="https://afterschools.olc.tw/afterschools/view/37200609290001" TargetMode="External"/><Relationship Id="rId3723" Type="http://schemas.openxmlformats.org/officeDocument/2006/relationships/hyperlink" Target="https://afterschools.olc.tw/afterschools/view/37200206110032" TargetMode="External"/><Relationship Id="rId3724" Type="http://schemas.openxmlformats.org/officeDocument/2006/relationships/hyperlink" Target="https://afterschools.olc.tw/afterschools/view/37200712070001" TargetMode="External"/><Relationship Id="rId3725" Type="http://schemas.openxmlformats.org/officeDocument/2006/relationships/hyperlink" Target="https://afterschools.olc.tw/afterschools/view/37201305170001" TargetMode="External"/><Relationship Id="rId3726" Type="http://schemas.openxmlformats.org/officeDocument/2006/relationships/hyperlink" Target="https://afterschools.olc.tw/afterschools/view/37201102010002" TargetMode="External"/><Relationship Id="rId3727" Type="http://schemas.openxmlformats.org/officeDocument/2006/relationships/hyperlink" Target="https://afterschools.olc.tw/afterschools/view/37200807150001" TargetMode="External"/><Relationship Id="rId3728" Type="http://schemas.openxmlformats.org/officeDocument/2006/relationships/hyperlink" Target="https://afterschools.olc.tw/afterschools/view/37200206110073" TargetMode="External"/><Relationship Id="rId3729" Type="http://schemas.openxmlformats.org/officeDocument/2006/relationships/hyperlink" Target="https://afterschools.olc.tw/afterschools/view/37201405270001" TargetMode="External"/><Relationship Id="rId3730" Type="http://schemas.openxmlformats.org/officeDocument/2006/relationships/hyperlink" Target="https://afterschools.olc.tw/afterschools/view/37200806020001" TargetMode="External"/><Relationship Id="rId3731" Type="http://schemas.openxmlformats.org/officeDocument/2006/relationships/hyperlink" Target="https://afterschools.olc.tw/afterschools/view/37201907260002" TargetMode="External"/><Relationship Id="rId3732" Type="http://schemas.openxmlformats.org/officeDocument/2006/relationships/hyperlink" Target="https://afterschools.olc.tw/afterschools/view/37200206110097" TargetMode="External"/><Relationship Id="rId3733" Type="http://schemas.openxmlformats.org/officeDocument/2006/relationships/hyperlink" Target="https://afterschools.olc.tw/afterschools/view/37202110270001" TargetMode="External"/><Relationship Id="rId3734" Type="http://schemas.openxmlformats.org/officeDocument/2006/relationships/hyperlink" Target="https://afterschools.olc.tw/afterschools/view/37201209070001" TargetMode="External"/><Relationship Id="rId3735" Type="http://schemas.openxmlformats.org/officeDocument/2006/relationships/hyperlink" Target="https://afterschools.olc.tw/afterschools/view/37201107010001" TargetMode="External"/><Relationship Id="rId3736" Type="http://schemas.openxmlformats.org/officeDocument/2006/relationships/hyperlink" Target="https://afterschools.olc.tw/afterschools/view/37200807010001" TargetMode="External"/><Relationship Id="rId3737" Type="http://schemas.openxmlformats.org/officeDocument/2006/relationships/hyperlink" Target="https://afterschools.olc.tw/afterschools/view/37200206110077" TargetMode="External"/><Relationship Id="rId3738" Type="http://schemas.openxmlformats.org/officeDocument/2006/relationships/hyperlink" Target="https://afterschools.olc.tw/afterschools/view/37200907010002" TargetMode="External"/><Relationship Id="rId3739" Type="http://schemas.openxmlformats.org/officeDocument/2006/relationships/hyperlink" Target="https://afterschools.olc.tw/afterschools/view/37200601100002" TargetMode="External"/><Relationship Id="rId3740" Type="http://schemas.openxmlformats.org/officeDocument/2006/relationships/hyperlink" Target="https://afterschools.olc.tw/afterschools/view/37201406120001" TargetMode="External"/><Relationship Id="rId3741" Type="http://schemas.openxmlformats.org/officeDocument/2006/relationships/hyperlink" Target="https://afterschools.olc.tw/afterschools/view/37200702140001" TargetMode="External"/><Relationship Id="rId3742" Type="http://schemas.openxmlformats.org/officeDocument/2006/relationships/hyperlink" Target="https://afterschools.olc.tw/afterschools/view/37200206112117" TargetMode="External"/><Relationship Id="rId3743" Type="http://schemas.openxmlformats.org/officeDocument/2006/relationships/hyperlink" Target="https://afterschools.olc.tw/afterschools/view/37200309020013" TargetMode="External"/><Relationship Id="rId3744" Type="http://schemas.openxmlformats.org/officeDocument/2006/relationships/hyperlink" Target="https://afterschools.olc.tw/afterschools/view/37200206112122" TargetMode="External"/><Relationship Id="rId3745" Type="http://schemas.openxmlformats.org/officeDocument/2006/relationships/hyperlink" Target="https://afterschools.olc.tw/afterschools/view/37200206112112" TargetMode="External"/><Relationship Id="rId3746" Type="http://schemas.openxmlformats.org/officeDocument/2006/relationships/hyperlink" Target="https://afterschools.olc.tw/afterschools/view/37200206112186" TargetMode="External"/><Relationship Id="rId3747" Type="http://schemas.openxmlformats.org/officeDocument/2006/relationships/hyperlink" Target="https://afterschools.olc.tw/afterschools/view/37200206110055" TargetMode="External"/><Relationship Id="rId3748" Type="http://schemas.openxmlformats.org/officeDocument/2006/relationships/hyperlink" Target="https://afterschools.olc.tw/afterschools/view/37200206112110" TargetMode="External"/><Relationship Id="rId3749" Type="http://schemas.openxmlformats.org/officeDocument/2006/relationships/hyperlink" Target="https://afterschools.olc.tw/afterschools/view/37200607190001" TargetMode="External"/><Relationship Id="rId3750" Type="http://schemas.openxmlformats.org/officeDocument/2006/relationships/hyperlink" Target="https://afterschools.olc.tw/afterschools/view/37200206112184" TargetMode="External"/><Relationship Id="rId3751" Type="http://schemas.openxmlformats.org/officeDocument/2006/relationships/hyperlink" Target="https://afterschools.olc.tw/afterschools/view/37200206110092" TargetMode="External"/><Relationship Id="rId3752" Type="http://schemas.openxmlformats.org/officeDocument/2006/relationships/hyperlink" Target="https://afterschools.olc.tw/afterschools/view/37200511230001" TargetMode="External"/><Relationship Id="rId3753" Type="http://schemas.openxmlformats.org/officeDocument/2006/relationships/hyperlink" Target="https://afterschools.olc.tw/afterschools/view/37201308080001" TargetMode="External"/><Relationship Id="rId3754" Type="http://schemas.openxmlformats.org/officeDocument/2006/relationships/hyperlink" Target="https://afterschools.olc.tw/afterschools/view/47200208012174" TargetMode="External"/><Relationship Id="rId3755" Type="http://schemas.openxmlformats.org/officeDocument/2006/relationships/hyperlink" Target="https://afterschools.olc.tw/afterschools/view/47200210240023" TargetMode="External"/><Relationship Id="rId3756" Type="http://schemas.openxmlformats.org/officeDocument/2006/relationships/hyperlink" Target="https://afterschools.olc.tw/afterschools/view/47200702150001" TargetMode="External"/><Relationship Id="rId3757" Type="http://schemas.openxmlformats.org/officeDocument/2006/relationships/hyperlink" Target="https://afterschools.olc.tw/afterschools/view/47202306020001" TargetMode="External"/><Relationship Id="rId3758" Type="http://schemas.openxmlformats.org/officeDocument/2006/relationships/hyperlink" Target="https://afterschools.olc.tw/afterschools/view/47201504160001" TargetMode="External"/><Relationship Id="rId3759" Type="http://schemas.openxmlformats.org/officeDocument/2006/relationships/hyperlink" Target="https://afterschools.olc.tw/afterschools/view/47201311080002" TargetMode="External"/><Relationship Id="rId3760" Type="http://schemas.openxmlformats.org/officeDocument/2006/relationships/hyperlink" Target="https://afterschools.olc.tw/afterschools/view/47200804280002" TargetMode="External"/><Relationship Id="rId3761" Type="http://schemas.openxmlformats.org/officeDocument/2006/relationships/hyperlink" Target="https://afterschools.olc.tw/afterschools/view/47200507290004" TargetMode="External"/><Relationship Id="rId3762" Type="http://schemas.openxmlformats.org/officeDocument/2006/relationships/hyperlink" Target="https://afterschools.olc.tw/afterschools/view/47200309020003" TargetMode="External"/><Relationship Id="rId3763" Type="http://schemas.openxmlformats.org/officeDocument/2006/relationships/hyperlink" Target="https://afterschools.olc.tw/afterschools/view/47201906180001" TargetMode="External"/><Relationship Id="rId3764" Type="http://schemas.openxmlformats.org/officeDocument/2006/relationships/hyperlink" Target="https://afterschools.olc.tw/afterschools/view/47201706210001" TargetMode="External"/><Relationship Id="rId3765" Type="http://schemas.openxmlformats.org/officeDocument/2006/relationships/hyperlink" Target="https://afterschools.olc.tw/afterschools/view/47200510190013" TargetMode="External"/><Relationship Id="rId3766" Type="http://schemas.openxmlformats.org/officeDocument/2006/relationships/hyperlink" Target="https://afterschools.olc.tw/afterschools/view/47200210240020" TargetMode="External"/><Relationship Id="rId3767" Type="http://schemas.openxmlformats.org/officeDocument/2006/relationships/hyperlink" Target="https://afterschools.olc.tw/afterschools/view/47202211010001" TargetMode="External"/><Relationship Id="rId3768" Type="http://schemas.openxmlformats.org/officeDocument/2006/relationships/hyperlink" Target="https://afterschools.olc.tw/afterschools/view/47200706120004" TargetMode="External"/><Relationship Id="rId3769" Type="http://schemas.openxmlformats.org/officeDocument/2006/relationships/hyperlink" Target="https://afterschools.olc.tw/afterschools/view/47201812120001" TargetMode="External"/><Relationship Id="rId3770" Type="http://schemas.openxmlformats.org/officeDocument/2006/relationships/hyperlink" Target="https://afterschools.olc.tw/afterschools/view/47201512170001" TargetMode="External"/><Relationship Id="rId3771" Type="http://schemas.openxmlformats.org/officeDocument/2006/relationships/hyperlink" Target="https://afterschools.olc.tw/afterschools/view/47200208012279" TargetMode="External"/><Relationship Id="rId3772" Type="http://schemas.openxmlformats.org/officeDocument/2006/relationships/hyperlink" Target="https://afterschools.olc.tw/afterschools/view/47200407010002" TargetMode="External"/><Relationship Id="rId3773" Type="http://schemas.openxmlformats.org/officeDocument/2006/relationships/hyperlink" Target="https://afterschools.olc.tw/afterschools/view/47201405080001" TargetMode="External"/><Relationship Id="rId3774" Type="http://schemas.openxmlformats.org/officeDocument/2006/relationships/hyperlink" Target="https://afterschools.olc.tw/afterschools/view/47201011150003" TargetMode="External"/><Relationship Id="rId3775" Type="http://schemas.openxmlformats.org/officeDocument/2006/relationships/hyperlink" Target="https://afterschools.olc.tw/afterschools/view/47200208012179" TargetMode="External"/><Relationship Id="rId3776" Type="http://schemas.openxmlformats.org/officeDocument/2006/relationships/hyperlink" Target="https://afterschools.olc.tw/afterschools/view/47200208012168" TargetMode="External"/><Relationship Id="rId3777" Type="http://schemas.openxmlformats.org/officeDocument/2006/relationships/hyperlink" Target="https://afterschools.olc.tw/afterschools/view/47200907220003" TargetMode="External"/><Relationship Id="rId3778" Type="http://schemas.openxmlformats.org/officeDocument/2006/relationships/hyperlink" Target="https://afterschools.olc.tw/afterschools/view/47200411150001" TargetMode="External"/><Relationship Id="rId3779" Type="http://schemas.openxmlformats.org/officeDocument/2006/relationships/hyperlink" Target="https://afterschools.olc.tw/afterschools/view/47200208012176" TargetMode="External"/><Relationship Id="rId3780" Type="http://schemas.openxmlformats.org/officeDocument/2006/relationships/hyperlink" Target="https://afterschools.olc.tw/afterschools/view/47200710120001" TargetMode="External"/><Relationship Id="rId3781" Type="http://schemas.openxmlformats.org/officeDocument/2006/relationships/hyperlink" Target="https://afterschools.olc.tw/afterschools/view/47200508090002" TargetMode="External"/><Relationship Id="rId3782" Type="http://schemas.openxmlformats.org/officeDocument/2006/relationships/hyperlink" Target="https://afterschools.olc.tw/afterschools/view/47200208012290" TargetMode="External"/><Relationship Id="rId3783" Type="http://schemas.openxmlformats.org/officeDocument/2006/relationships/hyperlink" Target="https://afterschools.olc.tw/afterschools/view/47200405180002" TargetMode="External"/><Relationship Id="rId3784" Type="http://schemas.openxmlformats.org/officeDocument/2006/relationships/hyperlink" Target="https://afterschools.olc.tw/afterschools/view/47200309040003" TargetMode="External"/><Relationship Id="rId3785" Type="http://schemas.openxmlformats.org/officeDocument/2006/relationships/hyperlink" Target="https://afterschools.olc.tw/afterschools/view/47200705150001" TargetMode="External"/><Relationship Id="rId3786" Type="http://schemas.openxmlformats.org/officeDocument/2006/relationships/hyperlink" Target="https://afterschools.olc.tw/afterschools/view/47201907300001" TargetMode="External"/><Relationship Id="rId3787" Type="http://schemas.openxmlformats.org/officeDocument/2006/relationships/hyperlink" Target="https://afterschools.olc.tw/afterschools/view/47200307020001" TargetMode="External"/><Relationship Id="rId3788" Type="http://schemas.openxmlformats.org/officeDocument/2006/relationships/hyperlink" Target="https://afterschools.olc.tw/afterschools/view/47200208012256" TargetMode="External"/><Relationship Id="rId3789" Type="http://schemas.openxmlformats.org/officeDocument/2006/relationships/hyperlink" Target="https://afterschools.olc.tw/afterschools/view/47200208012249" TargetMode="External"/><Relationship Id="rId3790" Type="http://schemas.openxmlformats.org/officeDocument/2006/relationships/hyperlink" Target="https://afterschools.olc.tw/afterschools/view/47200811060001" TargetMode="External"/><Relationship Id="rId3791" Type="http://schemas.openxmlformats.org/officeDocument/2006/relationships/hyperlink" Target="https://afterschools.olc.tw/afterschools/view/47200208012172" TargetMode="External"/><Relationship Id="rId3792" Type="http://schemas.openxmlformats.org/officeDocument/2006/relationships/hyperlink" Target="https://afterschools.olc.tw/afterschools/view/47201803070001" TargetMode="External"/><Relationship Id="rId3793" Type="http://schemas.openxmlformats.org/officeDocument/2006/relationships/hyperlink" Target="https://afterschools.olc.tw/afterschools/view/47200403230001" TargetMode="External"/><Relationship Id="rId3794" Type="http://schemas.openxmlformats.org/officeDocument/2006/relationships/hyperlink" Target="https://afterschools.olc.tw/afterschools/view/47200303180013" TargetMode="External"/><Relationship Id="rId3795" Type="http://schemas.openxmlformats.org/officeDocument/2006/relationships/hyperlink" Target="https://afterschools.olc.tw/afterschools/view/47200208012211" TargetMode="External"/><Relationship Id="rId3796" Type="http://schemas.openxmlformats.org/officeDocument/2006/relationships/hyperlink" Target="https://afterschools.olc.tw/afterschools/view/47200507290003" TargetMode="External"/><Relationship Id="rId3797" Type="http://schemas.openxmlformats.org/officeDocument/2006/relationships/hyperlink" Target="https://afterschools.olc.tw/afterschools/view/47200502230007" TargetMode="External"/><Relationship Id="rId3798" Type="http://schemas.openxmlformats.org/officeDocument/2006/relationships/hyperlink" Target="https://afterschools.olc.tw/afterschools/view/47201011100001" TargetMode="External"/><Relationship Id="rId3799" Type="http://schemas.openxmlformats.org/officeDocument/2006/relationships/hyperlink" Target="https://afterschools.olc.tw/afterschools/view/47200208012204" TargetMode="External"/><Relationship Id="rId3800" Type="http://schemas.openxmlformats.org/officeDocument/2006/relationships/hyperlink" Target="https://afterschools.olc.tw/afterschools/view/47201906140001" TargetMode="External"/><Relationship Id="rId3801" Type="http://schemas.openxmlformats.org/officeDocument/2006/relationships/hyperlink" Target="https://afterschools.olc.tw/afterschools/view/47200208012355" TargetMode="External"/><Relationship Id="rId3802" Type="http://schemas.openxmlformats.org/officeDocument/2006/relationships/hyperlink" Target="https://afterschools.olc.tw/afterschools/view/47202402010001" TargetMode="External"/><Relationship Id="rId3803" Type="http://schemas.openxmlformats.org/officeDocument/2006/relationships/hyperlink" Target="https://afterschools.olc.tw/afterschools/view/47200208012215" TargetMode="External"/><Relationship Id="rId3804" Type="http://schemas.openxmlformats.org/officeDocument/2006/relationships/hyperlink" Target="https://afterschools.olc.tw/afterschools/view/47201903060001" TargetMode="External"/><Relationship Id="rId3805" Type="http://schemas.openxmlformats.org/officeDocument/2006/relationships/hyperlink" Target="https://afterschools.olc.tw/afterschools/view/47200303180016" TargetMode="External"/><Relationship Id="rId3806" Type="http://schemas.openxmlformats.org/officeDocument/2006/relationships/hyperlink" Target="https://afterschools.olc.tw/afterschools/view/47200208012190" TargetMode="External"/><Relationship Id="rId3807" Type="http://schemas.openxmlformats.org/officeDocument/2006/relationships/hyperlink" Target="https://afterschools.olc.tw/afterschools/view/47200508090004" TargetMode="External"/><Relationship Id="rId3808" Type="http://schemas.openxmlformats.org/officeDocument/2006/relationships/hyperlink" Target="https://afterschools.olc.tw/afterschools/view/47200208012167" TargetMode="External"/><Relationship Id="rId3809" Type="http://schemas.openxmlformats.org/officeDocument/2006/relationships/hyperlink" Target="https://afterschools.olc.tw/afterschools/view/47200303180004" TargetMode="External"/><Relationship Id="rId3810" Type="http://schemas.openxmlformats.org/officeDocument/2006/relationships/hyperlink" Target="https://afterschools.olc.tw/afterschools/view/47200303180005" TargetMode="External"/><Relationship Id="rId3811" Type="http://schemas.openxmlformats.org/officeDocument/2006/relationships/hyperlink" Target="https://afterschools.olc.tw/afterschools/view/47200605150002" TargetMode="External"/><Relationship Id="rId3812" Type="http://schemas.openxmlformats.org/officeDocument/2006/relationships/hyperlink" Target="https://afterschools.olc.tw/afterschools/view/47200208012224" TargetMode="External"/><Relationship Id="rId3813" Type="http://schemas.openxmlformats.org/officeDocument/2006/relationships/hyperlink" Target="https://afterschools.olc.tw/afterschools/view/47201901250001" TargetMode="External"/><Relationship Id="rId3814" Type="http://schemas.openxmlformats.org/officeDocument/2006/relationships/hyperlink" Target="https://afterschools.olc.tw/afterschools/view/47200602080002" TargetMode="External"/><Relationship Id="rId3815" Type="http://schemas.openxmlformats.org/officeDocument/2006/relationships/hyperlink" Target="https://afterschools.olc.tw/afterschools/view/47200307020003" TargetMode="External"/><Relationship Id="rId3816" Type="http://schemas.openxmlformats.org/officeDocument/2006/relationships/hyperlink" Target="https://afterschools.olc.tw/afterschools/view/47201112190002" TargetMode="External"/><Relationship Id="rId3817" Type="http://schemas.openxmlformats.org/officeDocument/2006/relationships/hyperlink" Target="https://afterschools.olc.tw/afterschools/view/47201301040002" TargetMode="External"/><Relationship Id="rId3818" Type="http://schemas.openxmlformats.org/officeDocument/2006/relationships/hyperlink" Target="https://afterschools.olc.tw/afterschools/view/47200909210001" TargetMode="External"/><Relationship Id="rId3819" Type="http://schemas.openxmlformats.org/officeDocument/2006/relationships/hyperlink" Target="https://afterschools.olc.tw/afterschools/view/47200208012219" TargetMode="External"/><Relationship Id="rId3820" Type="http://schemas.openxmlformats.org/officeDocument/2006/relationships/hyperlink" Target="https://afterschools.olc.tw/afterschools/view/47201101310001" TargetMode="External"/><Relationship Id="rId3821" Type="http://schemas.openxmlformats.org/officeDocument/2006/relationships/hyperlink" Target="https://afterschools.olc.tw/afterschools/view/47201401130001" TargetMode="External"/><Relationship Id="rId3822" Type="http://schemas.openxmlformats.org/officeDocument/2006/relationships/hyperlink" Target="https://afterschools.olc.tw/afterschools/view/47200709270002" TargetMode="External"/><Relationship Id="rId3823" Type="http://schemas.openxmlformats.org/officeDocument/2006/relationships/hyperlink" Target="https://afterschools.olc.tw/afterschools/view/47200506270003" TargetMode="External"/><Relationship Id="rId3824" Type="http://schemas.openxmlformats.org/officeDocument/2006/relationships/hyperlink" Target="https://afterschools.olc.tw/afterschools/view/47200210240007" TargetMode="External"/><Relationship Id="rId3825" Type="http://schemas.openxmlformats.org/officeDocument/2006/relationships/hyperlink" Target="https://afterschools.olc.tw/afterschools/view/47200710290002" TargetMode="External"/><Relationship Id="rId3826" Type="http://schemas.openxmlformats.org/officeDocument/2006/relationships/hyperlink" Target="https://afterschools.olc.tw/afterschools/view/47200910140003" TargetMode="External"/><Relationship Id="rId3827" Type="http://schemas.openxmlformats.org/officeDocument/2006/relationships/hyperlink" Target="https://afterschools.olc.tw/afterschools/view/47200406280006" TargetMode="External"/><Relationship Id="rId3828" Type="http://schemas.openxmlformats.org/officeDocument/2006/relationships/hyperlink" Target="https://afterschools.olc.tw/afterschools/view/47200502230017" TargetMode="External"/><Relationship Id="rId3829" Type="http://schemas.openxmlformats.org/officeDocument/2006/relationships/hyperlink" Target="https://afterschools.olc.tw/afterschools/view/47200303180008" TargetMode="External"/><Relationship Id="rId3830" Type="http://schemas.openxmlformats.org/officeDocument/2006/relationships/hyperlink" Target="https://afterschools.olc.tw/afterschools/view/47200208012282" TargetMode="External"/><Relationship Id="rId3831" Type="http://schemas.openxmlformats.org/officeDocument/2006/relationships/hyperlink" Target="https://afterschools.olc.tw/afterschools/view/47200708090002" TargetMode="External"/><Relationship Id="rId3832" Type="http://schemas.openxmlformats.org/officeDocument/2006/relationships/hyperlink" Target="https://afterschools.olc.tw/afterschools/view/47200208012214" TargetMode="External"/><Relationship Id="rId3833" Type="http://schemas.openxmlformats.org/officeDocument/2006/relationships/hyperlink" Target="https://afterschools.olc.tw/afterschools/view/47201305100001" TargetMode="External"/><Relationship Id="rId3834" Type="http://schemas.openxmlformats.org/officeDocument/2006/relationships/hyperlink" Target="https://afterschools.olc.tw/afterschools/view/47200709120001" TargetMode="External"/><Relationship Id="rId3835" Type="http://schemas.openxmlformats.org/officeDocument/2006/relationships/hyperlink" Target="https://afterschools.olc.tw/afterschools/view/47201212140003" TargetMode="External"/><Relationship Id="rId3836" Type="http://schemas.openxmlformats.org/officeDocument/2006/relationships/hyperlink" Target="https://afterschools.olc.tw/afterschools/view/47202012180001" TargetMode="External"/><Relationship Id="rId3837" Type="http://schemas.openxmlformats.org/officeDocument/2006/relationships/hyperlink" Target="https://afterschools.olc.tw/afterschools/view/47202109160001" TargetMode="External"/><Relationship Id="rId3838" Type="http://schemas.openxmlformats.org/officeDocument/2006/relationships/hyperlink" Target="https://afterschools.olc.tw/afterschools/view/47201606140001" TargetMode="External"/><Relationship Id="rId3839" Type="http://schemas.openxmlformats.org/officeDocument/2006/relationships/hyperlink" Target="https://afterschools.olc.tw/afterschools/view/47201105040001" TargetMode="External"/><Relationship Id="rId3840" Type="http://schemas.openxmlformats.org/officeDocument/2006/relationships/hyperlink" Target="https://afterschools.olc.tw/afterschools/view/47201907020001" TargetMode="External"/><Relationship Id="rId3841" Type="http://schemas.openxmlformats.org/officeDocument/2006/relationships/hyperlink" Target="https://afterschools.olc.tw/afterschools/view/47200208012160" TargetMode="External"/><Relationship Id="rId3842" Type="http://schemas.openxmlformats.org/officeDocument/2006/relationships/hyperlink" Target="https://afterschools.olc.tw/afterschools/view/47201910140002" TargetMode="External"/><Relationship Id="rId3843" Type="http://schemas.openxmlformats.org/officeDocument/2006/relationships/hyperlink" Target="https://afterschools.olc.tw/afterschools/view/47201005030002" TargetMode="External"/><Relationship Id="rId3844" Type="http://schemas.openxmlformats.org/officeDocument/2006/relationships/hyperlink" Target="https://afterschools.olc.tw/afterschools/view/47202605180001" TargetMode="External"/><Relationship Id="rId3845" Type="http://schemas.openxmlformats.org/officeDocument/2006/relationships/hyperlink" Target="https://afterschools.olc.tw/afterschools/view/47201912170001" TargetMode="External"/><Relationship Id="rId3846" Type="http://schemas.openxmlformats.org/officeDocument/2006/relationships/hyperlink" Target="https://afterschools.olc.tw/afterschools/view/47202602110001" TargetMode="External"/><Relationship Id="rId3847" Type="http://schemas.openxmlformats.org/officeDocument/2006/relationships/hyperlink" Target="https://afterschools.olc.tw/afterschools/view/47202010200002" TargetMode="External"/><Relationship Id="rId3848" Type="http://schemas.openxmlformats.org/officeDocument/2006/relationships/hyperlink" Target="https://afterschools.olc.tw/afterschools/view/47200208012265" TargetMode="External"/><Relationship Id="rId3849" Type="http://schemas.openxmlformats.org/officeDocument/2006/relationships/hyperlink" Target="https://afterschools.olc.tw/afterschools/view/47200804250001" TargetMode="External"/><Relationship Id="rId3850" Type="http://schemas.openxmlformats.org/officeDocument/2006/relationships/hyperlink" Target="https://afterschools.olc.tw/afterschools/view/47201812110001" TargetMode="External"/><Relationship Id="rId3851" Type="http://schemas.openxmlformats.org/officeDocument/2006/relationships/hyperlink" Target="https://afterschools.olc.tw/afterschools/view/47201809110002" TargetMode="External"/><Relationship Id="rId3852" Type="http://schemas.openxmlformats.org/officeDocument/2006/relationships/hyperlink" Target="https://afterschools.olc.tw/afterschools/view/47201402050001" TargetMode="External"/><Relationship Id="rId3853" Type="http://schemas.openxmlformats.org/officeDocument/2006/relationships/hyperlink" Target="https://afterschools.olc.tw/afterschools/view/47201601170001" TargetMode="External"/><Relationship Id="rId3854" Type="http://schemas.openxmlformats.org/officeDocument/2006/relationships/hyperlink" Target="https://afterschools.olc.tw/afterschools/view/47202406240001" TargetMode="External"/><Relationship Id="rId3855" Type="http://schemas.openxmlformats.org/officeDocument/2006/relationships/hyperlink" Target="https://afterschools.olc.tw/afterschools/view/47200411150002" TargetMode="External"/><Relationship Id="rId3856" Type="http://schemas.openxmlformats.org/officeDocument/2006/relationships/hyperlink" Target="https://afterschools.olc.tw/afterschools/view/47202409160001" TargetMode="External"/><Relationship Id="rId3857" Type="http://schemas.openxmlformats.org/officeDocument/2006/relationships/hyperlink" Target="https://afterschools.olc.tw/afterschools/view/47202103240001" TargetMode="External"/><Relationship Id="rId3858" Type="http://schemas.openxmlformats.org/officeDocument/2006/relationships/hyperlink" Target="https://afterschools.olc.tw/afterschools/view/47200706230002" TargetMode="External"/><Relationship Id="rId3859" Type="http://schemas.openxmlformats.org/officeDocument/2006/relationships/hyperlink" Target="https://afterschools.olc.tw/afterschools/view/47200802180001" TargetMode="External"/><Relationship Id="rId3860" Type="http://schemas.openxmlformats.org/officeDocument/2006/relationships/hyperlink" Target="https://afterschools.olc.tw/afterschools/view/47201012200001" TargetMode="External"/><Relationship Id="rId3861" Type="http://schemas.openxmlformats.org/officeDocument/2006/relationships/hyperlink" Target="https://afterschools.olc.tw/afterschools/view/47200208012255" TargetMode="External"/><Relationship Id="rId3862" Type="http://schemas.openxmlformats.org/officeDocument/2006/relationships/hyperlink" Target="https://afterschools.olc.tw/afterschools/view/47200208012283" TargetMode="External"/><Relationship Id="rId3863" Type="http://schemas.openxmlformats.org/officeDocument/2006/relationships/hyperlink" Target="https://afterschools.olc.tw/afterschools/view/47200208012237" TargetMode="External"/><Relationship Id="rId3864" Type="http://schemas.openxmlformats.org/officeDocument/2006/relationships/hyperlink" Target="https://afterschools.olc.tw/afterschools/view/47200612150001" TargetMode="External"/><Relationship Id="rId3865" Type="http://schemas.openxmlformats.org/officeDocument/2006/relationships/hyperlink" Target="https://afterschools.olc.tw/afterschools/view/47200208012280" TargetMode="External"/><Relationship Id="rId3866" Type="http://schemas.openxmlformats.org/officeDocument/2006/relationships/hyperlink" Target="https://afterschools.olc.tw/afterschools/view/47200604270001" TargetMode="External"/><Relationship Id="rId3867" Type="http://schemas.openxmlformats.org/officeDocument/2006/relationships/hyperlink" Target="https://afterschools.olc.tw/afterschools/view/47200210240006" TargetMode="External"/><Relationship Id="rId3868" Type="http://schemas.openxmlformats.org/officeDocument/2006/relationships/hyperlink" Target="https://afterschools.olc.tw/afterschools/view/47200812290002" TargetMode="External"/><Relationship Id="rId3869" Type="http://schemas.openxmlformats.org/officeDocument/2006/relationships/hyperlink" Target="https://afterschools.olc.tw/afterschools/view/47200808250002" TargetMode="External"/><Relationship Id="rId3870" Type="http://schemas.openxmlformats.org/officeDocument/2006/relationships/hyperlink" Target="https://afterschools.olc.tw/afterschools/view/47200404210001" TargetMode="External"/><Relationship Id="rId3871" Type="http://schemas.openxmlformats.org/officeDocument/2006/relationships/hyperlink" Target="https://afterschools.olc.tw/afterschools/view/47200702140006" TargetMode="External"/><Relationship Id="rId3872" Type="http://schemas.openxmlformats.org/officeDocument/2006/relationships/hyperlink" Target="https://afterschools.olc.tw/afterschools/view/47202001210001" TargetMode="External"/><Relationship Id="rId3873" Type="http://schemas.openxmlformats.org/officeDocument/2006/relationships/hyperlink" Target="https://afterschools.olc.tw/afterschools/view/47201010040001" TargetMode="External"/><Relationship Id="rId3874" Type="http://schemas.openxmlformats.org/officeDocument/2006/relationships/hyperlink" Target="https://afterschools.olc.tw/afterschools/view/47201301090002" TargetMode="External"/><Relationship Id="rId3875" Type="http://schemas.openxmlformats.org/officeDocument/2006/relationships/hyperlink" Target="https://afterschools.olc.tw/afterschools/view/47201808090001" TargetMode="External"/><Relationship Id="rId3876" Type="http://schemas.openxmlformats.org/officeDocument/2006/relationships/hyperlink" Target="https://afterschools.olc.tw/afterschools/view/47202008190001" TargetMode="External"/><Relationship Id="rId3877" Type="http://schemas.openxmlformats.org/officeDocument/2006/relationships/hyperlink" Target="https://afterschools.olc.tw/afterschools/view/47201012030002" TargetMode="External"/><Relationship Id="rId3878" Type="http://schemas.openxmlformats.org/officeDocument/2006/relationships/hyperlink" Target="https://afterschools.olc.tw/afterschools/view/47201204050001" TargetMode="External"/><Relationship Id="rId3879" Type="http://schemas.openxmlformats.org/officeDocument/2006/relationships/hyperlink" Target="https://afterschools.olc.tw/afterschools/view/47200208012307" TargetMode="External"/><Relationship Id="rId3880" Type="http://schemas.openxmlformats.org/officeDocument/2006/relationships/hyperlink" Target="https://afterschools.olc.tw/afterschools/view/47201011260001" TargetMode="External"/><Relationship Id="rId3881" Type="http://schemas.openxmlformats.org/officeDocument/2006/relationships/hyperlink" Target="https://afterschools.olc.tw/afterschools/view/47201407100002" TargetMode="External"/><Relationship Id="rId3882" Type="http://schemas.openxmlformats.org/officeDocument/2006/relationships/hyperlink" Target="https://afterschools.olc.tw/afterschools/view/47200210240011" TargetMode="External"/><Relationship Id="rId3883" Type="http://schemas.openxmlformats.org/officeDocument/2006/relationships/hyperlink" Target="https://afterschools.olc.tw/afterschools/view/47200208012175" TargetMode="External"/><Relationship Id="rId3884" Type="http://schemas.openxmlformats.org/officeDocument/2006/relationships/hyperlink" Target="https://afterschools.olc.tw/afterschools/view/47201707210001" TargetMode="External"/><Relationship Id="rId3885" Type="http://schemas.openxmlformats.org/officeDocument/2006/relationships/hyperlink" Target="https://afterschools.olc.tw/afterschools/view/47202006190001" TargetMode="External"/><Relationship Id="rId3886" Type="http://schemas.openxmlformats.org/officeDocument/2006/relationships/hyperlink" Target="https://afterschools.olc.tw/afterschools/view/47201907080001" TargetMode="External"/><Relationship Id="rId3887" Type="http://schemas.openxmlformats.org/officeDocument/2006/relationships/hyperlink" Target="https://afterschools.olc.tw/afterschools/view/47201906030001" TargetMode="External"/><Relationship Id="rId3888" Type="http://schemas.openxmlformats.org/officeDocument/2006/relationships/hyperlink" Target="https://afterschools.olc.tw/afterschools/view/47201207020001" TargetMode="External"/><Relationship Id="rId3889" Type="http://schemas.openxmlformats.org/officeDocument/2006/relationships/hyperlink" Target="https://afterschools.olc.tw/afterschools/view/47201910070001" TargetMode="External"/><Relationship Id="rId3890" Type="http://schemas.openxmlformats.org/officeDocument/2006/relationships/hyperlink" Target="https://afterschools.olc.tw/afterschools/view/47201804190001" TargetMode="External"/><Relationship Id="rId3891" Type="http://schemas.openxmlformats.org/officeDocument/2006/relationships/hyperlink" Target="https://afterschools.olc.tw/afterschools/view/47202403280002" TargetMode="External"/><Relationship Id="rId3892" Type="http://schemas.openxmlformats.org/officeDocument/2006/relationships/hyperlink" Target="https://afterschools.olc.tw/afterschools/view/47202003160002" TargetMode="External"/><Relationship Id="rId3893" Type="http://schemas.openxmlformats.org/officeDocument/2006/relationships/hyperlink" Target="https://afterschools.olc.tw/afterschools/view/47202405070001" TargetMode="External"/><Relationship Id="rId3894" Type="http://schemas.openxmlformats.org/officeDocument/2006/relationships/hyperlink" Target="https://afterschools.olc.tw/afterschools/view/47201108010001" TargetMode="External"/><Relationship Id="rId3895" Type="http://schemas.openxmlformats.org/officeDocument/2006/relationships/hyperlink" Target="https://afterschools.olc.tw/afterschools/view/47200612190003" TargetMode="External"/><Relationship Id="rId3896" Type="http://schemas.openxmlformats.org/officeDocument/2006/relationships/hyperlink" Target="https://afterschools.olc.tw/afterschools/view/47200303180015" TargetMode="External"/><Relationship Id="rId3897" Type="http://schemas.openxmlformats.org/officeDocument/2006/relationships/hyperlink" Target="https://afterschools.olc.tw/afterschools/view/47201910240002" TargetMode="External"/><Relationship Id="rId3898" Type="http://schemas.openxmlformats.org/officeDocument/2006/relationships/hyperlink" Target="https://afterschools.olc.tw/afterschools/view/47201505040002" TargetMode="External"/><Relationship Id="rId3899" Type="http://schemas.openxmlformats.org/officeDocument/2006/relationships/hyperlink" Target="https://afterschools.olc.tw/afterschools/view/47201906210001" TargetMode="External"/><Relationship Id="rId3900" Type="http://schemas.openxmlformats.org/officeDocument/2006/relationships/hyperlink" Target="https://afterschools.olc.tw/afterschools/view/47200410270001" TargetMode="External"/><Relationship Id="rId3901" Type="http://schemas.openxmlformats.org/officeDocument/2006/relationships/hyperlink" Target="https://afterschools.olc.tw/afterschools/view/47201402130001" TargetMode="External"/><Relationship Id="rId3902" Type="http://schemas.openxmlformats.org/officeDocument/2006/relationships/hyperlink" Target="https://afterschools.olc.tw/afterschools/view/47201903250001" TargetMode="External"/><Relationship Id="rId3903" Type="http://schemas.openxmlformats.org/officeDocument/2006/relationships/hyperlink" Target="https://afterschools.olc.tw/afterschools/view/47202010070002" TargetMode="External"/><Relationship Id="rId3904" Type="http://schemas.openxmlformats.org/officeDocument/2006/relationships/hyperlink" Target="https://afterschools.olc.tw/afterschools/view/47201904250001" TargetMode="External"/><Relationship Id="rId3905" Type="http://schemas.openxmlformats.org/officeDocument/2006/relationships/hyperlink" Target="https://afterschools.olc.tw/afterschools/view/47201812240001" TargetMode="External"/><Relationship Id="rId3906" Type="http://schemas.openxmlformats.org/officeDocument/2006/relationships/hyperlink" Target="https://afterschools.olc.tw/afterschools/view/47202001210002" TargetMode="External"/><Relationship Id="rId3907" Type="http://schemas.openxmlformats.org/officeDocument/2006/relationships/hyperlink" Target="https://afterschools.olc.tw/afterschools/view/47201305030001" TargetMode="External"/><Relationship Id="rId3908" Type="http://schemas.openxmlformats.org/officeDocument/2006/relationships/hyperlink" Target="https://afterschools.olc.tw/afterschools/view/47201912190001" TargetMode="External"/><Relationship Id="rId3909" Type="http://schemas.openxmlformats.org/officeDocument/2006/relationships/hyperlink" Target="https://afterschools.olc.tw/afterschools/view/47202003260002" TargetMode="External"/><Relationship Id="rId3910" Type="http://schemas.openxmlformats.org/officeDocument/2006/relationships/hyperlink" Target="https://afterschools.olc.tw/afterschools/view/47202206020001" TargetMode="External"/><Relationship Id="rId3911" Type="http://schemas.openxmlformats.org/officeDocument/2006/relationships/hyperlink" Target="https://afterschools.olc.tw/afterschools/view/47200208010076" TargetMode="External"/><Relationship Id="rId3912" Type="http://schemas.openxmlformats.org/officeDocument/2006/relationships/hyperlink" Target="https://afterschools.olc.tw/afterschools/view/47201502020002" TargetMode="External"/><Relationship Id="rId3913" Type="http://schemas.openxmlformats.org/officeDocument/2006/relationships/hyperlink" Target="https://afterschools.olc.tw/afterschools/view/47200506270005" TargetMode="External"/><Relationship Id="rId3914" Type="http://schemas.openxmlformats.org/officeDocument/2006/relationships/hyperlink" Target="https://afterschools.olc.tw/afterschools/view/47200208012268" TargetMode="External"/><Relationship Id="rId3915" Type="http://schemas.openxmlformats.org/officeDocument/2006/relationships/hyperlink" Target="https://afterschools.olc.tw/afterschools/view/47201207060001" TargetMode="External"/><Relationship Id="rId3916" Type="http://schemas.openxmlformats.org/officeDocument/2006/relationships/hyperlink" Target="https://afterschools.olc.tw/afterschools/view/47200612190005" TargetMode="External"/><Relationship Id="rId3917" Type="http://schemas.openxmlformats.org/officeDocument/2006/relationships/hyperlink" Target="https://afterschools.olc.tw/afterschools/view/47200208012227" TargetMode="External"/><Relationship Id="rId3918" Type="http://schemas.openxmlformats.org/officeDocument/2006/relationships/hyperlink" Target="https://afterschools.olc.tw/afterschools/view/47200510190007" TargetMode="External"/><Relationship Id="rId3919" Type="http://schemas.openxmlformats.org/officeDocument/2006/relationships/hyperlink" Target="https://afterschools.olc.tw/afterschools/view/47200509070003" TargetMode="External"/><Relationship Id="rId3920" Type="http://schemas.openxmlformats.org/officeDocument/2006/relationships/hyperlink" Target="https://afterschools.olc.tw/afterschools/view/47200208012247" TargetMode="External"/><Relationship Id="rId3921" Type="http://schemas.openxmlformats.org/officeDocument/2006/relationships/hyperlink" Target="https://afterschools.olc.tw/afterschools/view/47200208012260" TargetMode="External"/><Relationship Id="rId3922" Type="http://schemas.openxmlformats.org/officeDocument/2006/relationships/hyperlink" Target="https://afterschools.olc.tw/afterschools/view/47200502230015" TargetMode="External"/><Relationship Id="rId3923" Type="http://schemas.openxmlformats.org/officeDocument/2006/relationships/hyperlink" Target="https://afterschools.olc.tw/afterschools/view/47200510190011" TargetMode="External"/><Relationship Id="rId3924" Type="http://schemas.openxmlformats.org/officeDocument/2006/relationships/hyperlink" Target="https://afterschools.olc.tw/afterschools/view/47201306130002" TargetMode="External"/><Relationship Id="rId3925" Type="http://schemas.openxmlformats.org/officeDocument/2006/relationships/hyperlink" Target="https://afterschools.olc.tw/afterschools/view/47200309040004" TargetMode="External"/><Relationship Id="rId3926" Type="http://schemas.openxmlformats.org/officeDocument/2006/relationships/hyperlink" Target="https://afterschools.olc.tw/afterschools/view/47200607060002" TargetMode="External"/><Relationship Id="rId3927" Type="http://schemas.openxmlformats.org/officeDocument/2006/relationships/hyperlink" Target="https://afterschools.olc.tw/afterschools/view/47201306280003" TargetMode="External"/><Relationship Id="rId3928" Type="http://schemas.openxmlformats.org/officeDocument/2006/relationships/hyperlink" Target="https://afterschools.olc.tw/afterschools/view/47200606150001" TargetMode="External"/><Relationship Id="rId3929" Type="http://schemas.openxmlformats.org/officeDocument/2006/relationships/hyperlink" Target="https://afterschools.olc.tw/afterschools/view/47200510190003" TargetMode="External"/><Relationship Id="rId3930" Type="http://schemas.openxmlformats.org/officeDocument/2006/relationships/hyperlink" Target="https://afterschools.olc.tw/afterschools/view/47200208012270" TargetMode="External"/><Relationship Id="rId3931" Type="http://schemas.openxmlformats.org/officeDocument/2006/relationships/hyperlink" Target="https://afterschools.olc.tw/afterschools/view/47200709070005" TargetMode="External"/><Relationship Id="rId3932" Type="http://schemas.openxmlformats.org/officeDocument/2006/relationships/hyperlink" Target="https://afterschools.olc.tw/afterschools/view/47200208012217" TargetMode="External"/><Relationship Id="rId3933" Type="http://schemas.openxmlformats.org/officeDocument/2006/relationships/hyperlink" Target="https://afterschools.olc.tw/afterschools/view/47200307010001" TargetMode="External"/><Relationship Id="rId3934" Type="http://schemas.openxmlformats.org/officeDocument/2006/relationships/hyperlink" Target="https://afterschools.olc.tw/afterschools/view/47200509160001" TargetMode="External"/><Relationship Id="rId3935" Type="http://schemas.openxmlformats.org/officeDocument/2006/relationships/hyperlink" Target="https://afterschools.olc.tw/afterschools/view/47200210240021" TargetMode="External"/><Relationship Id="rId3936" Type="http://schemas.openxmlformats.org/officeDocument/2006/relationships/hyperlink" Target="https://afterschools.olc.tw/afterschools/view/47200307010003" TargetMode="External"/><Relationship Id="rId3937" Type="http://schemas.openxmlformats.org/officeDocument/2006/relationships/hyperlink" Target="https://afterschools.olc.tw/afterschools/view/47200605110001" TargetMode="External"/><Relationship Id="rId3938" Type="http://schemas.openxmlformats.org/officeDocument/2006/relationships/hyperlink" Target="https://afterschools.olc.tw/afterschools/view/47200808250001" TargetMode="External"/><Relationship Id="rId3939" Type="http://schemas.openxmlformats.org/officeDocument/2006/relationships/hyperlink" Target="https://afterschools.olc.tw/afterschools/view/47200710290003" TargetMode="External"/><Relationship Id="rId3940" Type="http://schemas.openxmlformats.org/officeDocument/2006/relationships/hyperlink" Target="https://afterschools.olc.tw/afterschools/view/47200807300003" TargetMode="External"/><Relationship Id="rId3941" Type="http://schemas.openxmlformats.org/officeDocument/2006/relationships/hyperlink" Target="https://afterschools.olc.tw/afterschools/view/47200208012273" TargetMode="External"/><Relationship Id="rId3942" Type="http://schemas.openxmlformats.org/officeDocument/2006/relationships/hyperlink" Target="https://afterschools.olc.tw/afterschools/view/47201411140001" TargetMode="External"/><Relationship Id="rId3943" Type="http://schemas.openxmlformats.org/officeDocument/2006/relationships/hyperlink" Target="https://afterschools.olc.tw/afterschools/view/47201006150002" TargetMode="External"/><Relationship Id="rId3944" Type="http://schemas.openxmlformats.org/officeDocument/2006/relationships/hyperlink" Target="https://afterschools.olc.tw/afterschools/view/47200208012266" TargetMode="External"/><Relationship Id="rId3945" Type="http://schemas.openxmlformats.org/officeDocument/2006/relationships/hyperlink" Target="https://afterschools.olc.tw/afterschools/view/47200411150004" TargetMode="External"/><Relationship Id="rId3946" Type="http://schemas.openxmlformats.org/officeDocument/2006/relationships/hyperlink" Target="https://afterschools.olc.tw/afterschools/view/47200602080003" TargetMode="External"/><Relationship Id="rId3947" Type="http://schemas.openxmlformats.org/officeDocument/2006/relationships/hyperlink" Target="https://afterschools.olc.tw/afterschools/view/47201203260001" TargetMode="External"/><Relationship Id="rId3948" Type="http://schemas.openxmlformats.org/officeDocument/2006/relationships/hyperlink" Target="https://afterschools.olc.tw/afterschools/view/47200208012261" TargetMode="External"/><Relationship Id="rId3949" Type="http://schemas.openxmlformats.org/officeDocument/2006/relationships/hyperlink" Target="https://afterschools.olc.tw/afterschools/view/47200411300001" TargetMode="External"/><Relationship Id="rId3950" Type="http://schemas.openxmlformats.org/officeDocument/2006/relationships/hyperlink" Target="https://afterschools.olc.tw/afterschools/view/47201107010001" TargetMode="External"/><Relationship Id="rId3951" Type="http://schemas.openxmlformats.org/officeDocument/2006/relationships/hyperlink" Target="https://afterschools.olc.tw/afterschools/view/47200208012210" TargetMode="External"/><Relationship Id="rId3952" Type="http://schemas.openxmlformats.org/officeDocument/2006/relationships/hyperlink" Target="https://afterschools.olc.tw/afterschools/view/47201011180002" TargetMode="External"/><Relationship Id="rId3953" Type="http://schemas.openxmlformats.org/officeDocument/2006/relationships/hyperlink" Target="https://afterschools.olc.tw/afterschools/view/47201007300004" TargetMode="External"/><Relationship Id="rId3954" Type="http://schemas.openxmlformats.org/officeDocument/2006/relationships/hyperlink" Target="https://afterschools.olc.tw/afterschools/view/47200208012209" TargetMode="External"/><Relationship Id="rId3955" Type="http://schemas.openxmlformats.org/officeDocument/2006/relationships/hyperlink" Target="https://afterschools.olc.tw/afterschools/view/47201905270001" TargetMode="External"/><Relationship Id="rId3956" Type="http://schemas.openxmlformats.org/officeDocument/2006/relationships/hyperlink" Target="https://afterschools.olc.tw/afterschools/view/47200403240003" TargetMode="External"/><Relationship Id="rId3957" Type="http://schemas.openxmlformats.org/officeDocument/2006/relationships/hyperlink" Target="https://afterschools.olc.tw/afterschools/view/47202001080002" TargetMode="External"/><Relationship Id="rId3958" Type="http://schemas.openxmlformats.org/officeDocument/2006/relationships/hyperlink" Target="https://afterschools.olc.tw/afterschools/view/47201610130001" TargetMode="External"/><Relationship Id="rId3959" Type="http://schemas.openxmlformats.org/officeDocument/2006/relationships/hyperlink" Target="https://afterschools.olc.tw/afterschools/view/47201111030001" TargetMode="External"/><Relationship Id="rId3960" Type="http://schemas.openxmlformats.org/officeDocument/2006/relationships/hyperlink" Target="https://afterschools.olc.tw/afterschools/view/47200602230003" TargetMode="External"/><Relationship Id="rId3961" Type="http://schemas.openxmlformats.org/officeDocument/2006/relationships/hyperlink" Target="https://afterschools.olc.tw/afterschools/view/47200701030001" TargetMode="External"/><Relationship Id="rId3962" Type="http://schemas.openxmlformats.org/officeDocument/2006/relationships/hyperlink" Target="https://afterschools.olc.tw/afterschools/view/47200208012177" TargetMode="External"/><Relationship Id="rId3963" Type="http://schemas.openxmlformats.org/officeDocument/2006/relationships/hyperlink" Target="https://afterschools.olc.tw/afterschools/view/47200208012182" TargetMode="External"/><Relationship Id="rId3964" Type="http://schemas.openxmlformats.org/officeDocument/2006/relationships/hyperlink" Target="https://afterschools.olc.tw/afterschools/view/47200208012303" TargetMode="External"/><Relationship Id="rId3965" Type="http://schemas.openxmlformats.org/officeDocument/2006/relationships/hyperlink" Target="https://afterschools.olc.tw/afterschools/view/47200208012267" TargetMode="External"/><Relationship Id="rId3966" Type="http://schemas.openxmlformats.org/officeDocument/2006/relationships/hyperlink" Target="https://afterschools.olc.tw/afterschools/view/47200904290001" TargetMode="External"/><Relationship Id="rId3967" Type="http://schemas.openxmlformats.org/officeDocument/2006/relationships/hyperlink" Target="https://afterschools.olc.tw/afterschools/view/47202010200001" TargetMode="External"/><Relationship Id="rId3968" Type="http://schemas.openxmlformats.org/officeDocument/2006/relationships/hyperlink" Target="https://afterschools.olc.tw/afterschools/view/47200208012324" TargetMode="External"/><Relationship Id="rId3969" Type="http://schemas.openxmlformats.org/officeDocument/2006/relationships/hyperlink" Target="https://afterschools.olc.tw/afterschools/view/47200208012276" TargetMode="External"/><Relationship Id="rId3970" Type="http://schemas.openxmlformats.org/officeDocument/2006/relationships/hyperlink" Target="https://afterschools.olc.tw/afterschools/view/47202001080001" TargetMode="External"/><Relationship Id="rId3971" Type="http://schemas.openxmlformats.org/officeDocument/2006/relationships/hyperlink" Target="https://afterschools.olc.tw/afterschools/view/47201910090001" TargetMode="External"/><Relationship Id="rId3972" Type="http://schemas.openxmlformats.org/officeDocument/2006/relationships/hyperlink" Target="https://afterschools.olc.tw/afterschools/view/47200807310006" TargetMode="External"/><Relationship Id="rId3973" Type="http://schemas.openxmlformats.org/officeDocument/2006/relationships/hyperlink" Target="https://afterschools.olc.tw/afterschools/view/47201707100001" TargetMode="External"/><Relationship Id="rId3974" Type="http://schemas.openxmlformats.org/officeDocument/2006/relationships/hyperlink" Target="https://afterschools.olc.tw/afterschools/view/47201412110001" TargetMode="External"/><Relationship Id="rId3975" Type="http://schemas.openxmlformats.org/officeDocument/2006/relationships/hyperlink" Target="https://afterschools.olc.tw/afterschools/view/47200208012318" TargetMode="External"/><Relationship Id="rId3976" Type="http://schemas.openxmlformats.org/officeDocument/2006/relationships/hyperlink" Target="https://afterschools.olc.tw/afterschools/view/47201605130001" TargetMode="External"/><Relationship Id="rId3977" Type="http://schemas.openxmlformats.org/officeDocument/2006/relationships/hyperlink" Target="https://afterschools.olc.tw/afterschools/view/47201906060001" TargetMode="External"/><Relationship Id="rId3978" Type="http://schemas.openxmlformats.org/officeDocument/2006/relationships/hyperlink" Target="https://afterschools.olc.tw/afterschools/view/47200608160002" TargetMode="External"/><Relationship Id="rId3979" Type="http://schemas.openxmlformats.org/officeDocument/2006/relationships/hyperlink" Target="https://afterschools.olc.tw/afterschools/view/47201301280001" TargetMode="External"/><Relationship Id="rId3980" Type="http://schemas.openxmlformats.org/officeDocument/2006/relationships/hyperlink" Target="https://afterschools.olc.tw/afterschools/view/47200208012251" TargetMode="External"/><Relationship Id="rId3981" Type="http://schemas.openxmlformats.org/officeDocument/2006/relationships/hyperlink" Target="https://afterschools.olc.tw/afterschools/view/47201402100001" TargetMode="External"/><Relationship Id="rId3982" Type="http://schemas.openxmlformats.org/officeDocument/2006/relationships/hyperlink" Target="https://afterschools.olc.tw/afterschools/view/47200401090002" TargetMode="External"/><Relationship Id="rId3983" Type="http://schemas.openxmlformats.org/officeDocument/2006/relationships/hyperlink" Target="https://afterschools.olc.tw/afterschools/view/47200210240005" TargetMode="External"/><Relationship Id="rId3984" Type="http://schemas.openxmlformats.org/officeDocument/2006/relationships/hyperlink" Target="https://afterschools.olc.tw/afterschools/view/47201108080002" TargetMode="External"/><Relationship Id="rId3985" Type="http://schemas.openxmlformats.org/officeDocument/2006/relationships/hyperlink" Target="https://afterschools.olc.tw/afterschools/view/47201011150005" TargetMode="External"/><Relationship Id="rId3986" Type="http://schemas.openxmlformats.org/officeDocument/2006/relationships/hyperlink" Target="https://afterschools.olc.tw/afterschools/view/47201310150001" TargetMode="External"/><Relationship Id="rId3987" Type="http://schemas.openxmlformats.org/officeDocument/2006/relationships/hyperlink" Target="https://afterschools.olc.tw/afterschools/view/47201201120001" TargetMode="External"/><Relationship Id="rId3988" Type="http://schemas.openxmlformats.org/officeDocument/2006/relationships/hyperlink" Target="https://afterschools.olc.tw/afterschools/view/47200411300002" TargetMode="External"/><Relationship Id="rId3989" Type="http://schemas.openxmlformats.org/officeDocument/2006/relationships/hyperlink" Target="https://afterschools.olc.tw/afterschools/view/47202103100001" TargetMode="External"/><Relationship Id="rId3990" Type="http://schemas.openxmlformats.org/officeDocument/2006/relationships/hyperlink" Target="https://afterschools.olc.tw/afterschools/view/47200208012216" TargetMode="External"/><Relationship Id="rId3991" Type="http://schemas.openxmlformats.org/officeDocument/2006/relationships/hyperlink" Target="https://afterschools.olc.tw/afterschools/view/47200606020001" TargetMode="External"/><Relationship Id="rId3992" Type="http://schemas.openxmlformats.org/officeDocument/2006/relationships/hyperlink" Target="https://afterschools.olc.tw/afterschools/view/47200412290001" TargetMode="External"/><Relationship Id="rId3993" Type="http://schemas.openxmlformats.org/officeDocument/2006/relationships/hyperlink" Target="https://afterschools.olc.tw/afterschools/view/47201006150007" TargetMode="External"/><Relationship Id="rId3994" Type="http://schemas.openxmlformats.org/officeDocument/2006/relationships/hyperlink" Target="https://afterschools.olc.tw/afterschools/view/47200407010001" TargetMode="External"/><Relationship Id="rId3995" Type="http://schemas.openxmlformats.org/officeDocument/2006/relationships/hyperlink" Target="https://afterschools.olc.tw/afterschools/view/47201404030001" TargetMode="External"/><Relationship Id="rId3996" Type="http://schemas.openxmlformats.org/officeDocument/2006/relationships/hyperlink" Target="https://afterschools.olc.tw/afterschools/view/47201305160001" TargetMode="External"/><Relationship Id="rId3997" Type="http://schemas.openxmlformats.org/officeDocument/2006/relationships/hyperlink" Target="https://afterschools.olc.tw/afterschools/view/47200806160001" TargetMode="External"/><Relationship Id="rId3998" Type="http://schemas.openxmlformats.org/officeDocument/2006/relationships/hyperlink" Target="https://afterschools.olc.tw/afterschools/view/47201912250001" TargetMode="External"/><Relationship Id="rId3999" Type="http://schemas.openxmlformats.org/officeDocument/2006/relationships/hyperlink" Target="https://afterschools.olc.tw/afterschools/view/47200210240012" TargetMode="External"/><Relationship Id="rId4000" Type="http://schemas.openxmlformats.org/officeDocument/2006/relationships/hyperlink" Target="https://afterschools.olc.tw/afterschools/view/47200210290001" TargetMode="External"/><Relationship Id="rId4001" Type="http://schemas.openxmlformats.org/officeDocument/2006/relationships/hyperlink" Target="https://afterschools.olc.tw/afterschools/view/47200208012244" TargetMode="External"/><Relationship Id="rId4002" Type="http://schemas.openxmlformats.org/officeDocument/2006/relationships/hyperlink" Target="https://afterschools.olc.tw/afterschools/view/47200907200002" TargetMode="External"/><Relationship Id="rId4003" Type="http://schemas.openxmlformats.org/officeDocument/2006/relationships/hyperlink" Target="https://afterschools.olc.tw/afterschools/view/47201906240001" TargetMode="External"/><Relationship Id="rId4004" Type="http://schemas.openxmlformats.org/officeDocument/2006/relationships/hyperlink" Target="https://afterschools.olc.tw/afterschools/view/47200904270001" TargetMode="External"/><Relationship Id="rId4005" Type="http://schemas.openxmlformats.org/officeDocument/2006/relationships/hyperlink" Target="https://afterschools.olc.tw/afterschools/view/47201006110005" TargetMode="External"/><Relationship Id="rId4006" Type="http://schemas.openxmlformats.org/officeDocument/2006/relationships/hyperlink" Target="https://afterschools.olc.tw/afterschools/view/47200307040001" TargetMode="External"/><Relationship Id="rId4007" Type="http://schemas.openxmlformats.org/officeDocument/2006/relationships/hyperlink" Target="https://afterschools.olc.tw/afterschools/view/47202003260001" TargetMode="External"/><Relationship Id="rId4008" Type="http://schemas.openxmlformats.org/officeDocument/2006/relationships/hyperlink" Target="https://afterschools.olc.tw/afterschools/view/47200407150003" TargetMode="External"/><Relationship Id="rId4009" Type="http://schemas.openxmlformats.org/officeDocument/2006/relationships/hyperlink" Target="https://afterschools.olc.tw/afterschools/view/47201310220001" TargetMode="External"/><Relationship Id="rId4010" Type="http://schemas.openxmlformats.org/officeDocument/2006/relationships/hyperlink" Target="https://afterschools.olc.tw/afterschools/view/47200208012193" TargetMode="External"/><Relationship Id="rId4011" Type="http://schemas.openxmlformats.org/officeDocument/2006/relationships/hyperlink" Target="https://afterschools.olc.tw/afterschools/view/47200707100002" TargetMode="External"/><Relationship Id="rId4012" Type="http://schemas.openxmlformats.org/officeDocument/2006/relationships/hyperlink" Target="https://afterschools.olc.tw/afterschools/view/47200606010002" TargetMode="External"/><Relationship Id="rId4013" Type="http://schemas.openxmlformats.org/officeDocument/2006/relationships/hyperlink" Target="https://afterschools.olc.tw/afterschools/view/47201505190001" TargetMode="External"/><Relationship Id="rId4014" Type="http://schemas.openxmlformats.org/officeDocument/2006/relationships/hyperlink" Target="https://afterschools.olc.tw/afterschools/view/47200701230001" TargetMode="External"/><Relationship Id="rId4015" Type="http://schemas.openxmlformats.org/officeDocument/2006/relationships/hyperlink" Target="https://afterschools.olc.tw/afterschools/view/47201710200001" TargetMode="External"/><Relationship Id="rId4016" Type="http://schemas.openxmlformats.org/officeDocument/2006/relationships/hyperlink" Target="https://afterschools.olc.tw/afterschools/view/47200707240003" TargetMode="External"/><Relationship Id="rId4017" Type="http://schemas.openxmlformats.org/officeDocument/2006/relationships/hyperlink" Target="https://afterschools.olc.tw/afterschools/view/47201107180001" TargetMode="External"/><Relationship Id="rId4018" Type="http://schemas.openxmlformats.org/officeDocument/2006/relationships/hyperlink" Target="https://afterschools.olc.tw/afterschools/view/47201505290001" TargetMode="External"/><Relationship Id="rId4019" Type="http://schemas.openxmlformats.org/officeDocument/2006/relationships/hyperlink" Target="https://afterschools.olc.tw/afterschools/view/47201010130004" TargetMode="External"/><Relationship Id="rId4020" Type="http://schemas.openxmlformats.org/officeDocument/2006/relationships/hyperlink" Target="https://afterschools.olc.tw/afterschools/view/47200309020008" TargetMode="External"/><Relationship Id="rId4021" Type="http://schemas.openxmlformats.org/officeDocument/2006/relationships/hyperlink" Target="https://afterschools.olc.tw/afterschools/view/47200208012264" TargetMode="External"/><Relationship Id="rId4022" Type="http://schemas.openxmlformats.org/officeDocument/2006/relationships/hyperlink" Target="https://afterschools.olc.tw/afterschools/view/47201105040002" TargetMode="External"/><Relationship Id="rId4023" Type="http://schemas.openxmlformats.org/officeDocument/2006/relationships/hyperlink" Target="https://afterschools.olc.tw/afterschools/view/47200208012166" TargetMode="External"/><Relationship Id="rId4024" Type="http://schemas.openxmlformats.org/officeDocument/2006/relationships/hyperlink" Target="https://afterschools.olc.tw/afterschools/view/47200401090003" TargetMode="External"/><Relationship Id="rId4025" Type="http://schemas.openxmlformats.org/officeDocument/2006/relationships/hyperlink" Target="https://afterschools.olc.tw/afterschools/view/47200404210002" TargetMode="External"/><Relationship Id="rId4026" Type="http://schemas.openxmlformats.org/officeDocument/2006/relationships/hyperlink" Target="https://afterschools.olc.tw/afterschools/view/47201907040001" TargetMode="External"/><Relationship Id="rId4027" Type="http://schemas.openxmlformats.org/officeDocument/2006/relationships/hyperlink" Target="https://afterschools.olc.tw/afterschools/view/47202001150001" TargetMode="External"/><Relationship Id="rId4028" Type="http://schemas.openxmlformats.org/officeDocument/2006/relationships/hyperlink" Target="https://afterschools.olc.tw/afterschools/view/47200607250001" TargetMode="External"/><Relationship Id="rId4029" Type="http://schemas.openxmlformats.org/officeDocument/2006/relationships/hyperlink" Target="https://afterschools.olc.tw/afterschools/view/47202102090001" TargetMode="External"/><Relationship Id="rId4030" Type="http://schemas.openxmlformats.org/officeDocument/2006/relationships/hyperlink" Target="https://afterschools.olc.tw/afterschools/view/47202310250002" TargetMode="External"/><Relationship Id="rId4031" Type="http://schemas.openxmlformats.org/officeDocument/2006/relationships/hyperlink" Target="https://afterschools.olc.tw/afterschools/view/47201403250001" TargetMode="External"/><Relationship Id="rId4032" Type="http://schemas.openxmlformats.org/officeDocument/2006/relationships/hyperlink" Target="https://afterschools.olc.tw/afterschools/view/47200208012248" TargetMode="External"/><Relationship Id="rId4033" Type="http://schemas.openxmlformats.org/officeDocument/2006/relationships/hyperlink" Target="https://afterschools.olc.tw/afterschools/view/47201502130001" TargetMode="External"/><Relationship Id="rId4034" Type="http://schemas.openxmlformats.org/officeDocument/2006/relationships/hyperlink" Target="https://afterschools.olc.tw/afterschools/view/47200804100003" TargetMode="External"/><Relationship Id="rId4035" Type="http://schemas.openxmlformats.org/officeDocument/2006/relationships/hyperlink" Target="https://afterschools.olc.tw/afterschools/view/47201906040001" TargetMode="External"/><Relationship Id="rId4036" Type="http://schemas.openxmlformats.org/officeDocument/2006/relationships/hyperlink" Target="https://afterschools.olc.tw/afterschools/view/47201912060001" TargetMode="External"/><Relationship Id="rId4037" Type="http://schemas.openxmlformats.org/officeDocument/2006/relationships/hyperlink" Target="https://afterschools.olc.tw/afterschools/view/47201106130003" TargetMode="External"/><Relationship Id="rId4038" Type="http://schemas.openxmlformats.org/officeDocument/2006/relationships/hyperlink" Target="https://afterschools.olc.tw/afterschools/view/47200509070006" TargetMode="External"/><Relationship Id="rId4039" Type="http://schemas.openxmlformats.org/officeDocument/2006/relationships/hyperlink" Target="https://afterschools.olc.tw/afterschools/view/47200601050003" TargetMode="External"/><Relationship Id="rId4040" Type="http://schemas.openxmlformats.org/officeDocument/2006/relationships/hyperlink" Target="https://afterschools.olc.tw/afterschools/view/47200411050002" TargetMode="External"/><Relationship Id="rId4041" Type="http://schemas.openxmlformats.org/officeDocument/2006/relationships/hyperlink" Target="https://afterschools.olc.tw/afterschools/view/47201011150001" TargetMode="External"/><Relationship Id="rId4042" Type="http://schemas.openxmlformats.org/officeDocument/2006/relationships/hyperlink" Target="https://afterschools.olc.tw/afterschools/view/47200405240001" TargetMode="External"/><Relationship Id="rId4043" Type="http://schemas.openxmlformats.org/officeDocument/2006/relationships/hyperlink" Target="https://afterschools.olc.tw/afterschools/view/47200506150002" TargetMode="External"/><Relationship Id="rId4044" Type="http://schemas.openxmlformats.org/officeDocument/2006/relationships/hyperlink" Target="https://afterschools.olc.tw/afterschools/view/47201304290001" TargetMode="External"/><Relationship Id="rId4045" Type="http://schemas.openxmlformats.org/officeDocument/2006/relationships/hyperlink" Target="https://afterschools.olc.tw/afterschools/view/49200612290001" TargetMode="External"/><Relationship Id="rId4046" Type="http://schemas.openxmlformats.org/officeDocument/2006/relationships/hyperlink" Target="https://afterschools.olc.tw/afterschools/view/49200207270002" TargetMode="External"/><Relationship Id="rId4047" Type="http://schemas.openxmlformats.org/officeDocument/2006/relationships/hyperlink" Target="https://afterschools.olc.tw/afterschools/view/49200207190012" TargetMode="External"/><Relationship Id="rId4048" Type="http://schemas.openxmlformats.org/officeDocument/2006/relationships/hyperlink" Target="https://afterschools.olc.tw/afterschools/view/49200209020001" TargetMode="External"/><Relationship Id="rId4049" Type="http://schemas.openxmlformats.org/officeDocument/2006/relationships/hyperlink" Target="https://afterschools.olc.tw/afterschools/view/49200207190037" TargetMode="External"/><Relationship Id="rId4050" Type="http://schemas.openxmlformats.org/officeDocument/2006/relationships/hyperlink" Target="https://afterschools.olc.tw/afterschools/view/49202504080001" TargetMode="External"/><Relationship Id="rId4051" Type="http://schemas.openxmlformats.org/officeDocument/2006/relationships/hyperlink" Target="https://afterschools.olc.tw/afterschools/view/49200207190042" TargetMode="External"/><Relationship Id="rId4052" Type="http://schemas.openxmlformats.org/officeDocument/2006/relationships/hyperlink" Target="https://afterschools.olc.tw/afterschools/view/49200706130003" TargetMode="External"/><Relationship Id="rId4053" Type="http://schemas.openxmlformats.org/officeDocument/2006/relationships/hyperlink" Target="https://afterschools.olc.tw/afterschools/view/49200207270025" TargetMode="External"/><Relationship Id="rId4054" Type="http://schemas.openxmlformats.org/officeDocument/2006/relationships/hyperlink" Target="https://afterschools.olc.tw/afterschools/view/49200404220002" TargetMode="External"/><Relationship Id="rId4055" Type="http://schemas.openxmlformats.org/officeDocument/2006/relationships/hyperlink" Target="https://afterschools.olc.tw/afterschools/view/49200408190003" TargetMode="External"/><Relationship Id="rId4056" Type="http://schemas.openxmlformats.org/officeDocument/2006/relationships/hyperlink" Target="https://afterschools.olc.tw/afterschools/view/49202109130001" TargetMode="External"/><Relationship Id="rId4057" Type="http://schemas.openxmlformats.org/officeDocument/2006/relationships/hyperlink" Target="https://afterschools.olc.tw/afterschools/view/49200207270029" TargetMode="External"/><Relationship Id="rId4058" Type="http://schemas.openxmlformats.org/officeDocument/2006/relationships/hyperlink" Target="https://afterschools.olc.tw/afterschools/view/49201604070001" TargetMode="External"/><Relationship Id="rId4059" Type="http://schemas.openxmlformats.org/officeDocument/2006/relationships/hyperlink" Target="https://afterschools.olc.tw/afterschools/view/49200207270036" TargetMode="External"/><Relationship Id="rId4060" Type="http://schemas.openxmlformats.org/officeDocument/2006/relationships/hyperlink" Target="https://afterschools.olc.tw/afterschools/view/49200309160001" TargetMode="External"/><Relationship Id="rId4061" Type="http://schemas.openxmlformats.org/officeDocument/2006/relationships/hyperlink" Target="https://afterschools.olc.tw/afterschools/view/49200610020001" TargetMode="External"/><Relationship Id="rId4062" Type="http://schemas.openxmlformats.org/officeDocument/2006/relationships/hyperlink" Target="https://afterschools.olc.tw/afterschools/view/49201909300001" TargetMode="External"/><Relationship Id="rId4063" Type="http://schemas.openxmlformats.org/officeDocument/2006/relationships/hyperlink" Target="https://afterschools.olc.tw/afterschools/view/49200701080002" TargetMode="External"/><Relationship Id="rId4064" Type="http://schemas.openxmlformats.org/officeDocument/2006/relationships/hyperlink" Target="https://afterschools.olc.tw/afterschools/view/49200702160001" TargetMode="External"/><Relationship Id="rId4065" Type="http://schemas.openxmlformats.org/officeDocument/2006/relationships/hyperlink" Target="https://afterschools.olc.tw/afterschools/view/49200707120002" TargetMode="External"/><Relationship Id="rId4066" Type="http://schemas.openxmlformats.org/officeDocument/2006/relationships/hyperlink" Target="https://afterschools.olc.tw/afterschools/view/49200707120001" TargetMode="External"/><Relationship Id="rId4067" Type="http://schemas.openxmlformats.org/officeDocument/2006/relationships/hyperlink" Target="https://afterschools.olc.tw/afterschools/view/49200704090002" TargetMode="External"/><Relationship Id="rId4068" Type="http://schemas.openxmlformats.org/officeDocument/2006/relationships/hyperlink" Target="https://afterschools.olc.tw/afterschools/view/49200507010001" TargetMode="External"/><Relationship Id="rId4069" Type="http://schemas.openxmlformats.org/officeDocument/2006/relationships/hyperlink" Target="https://afterschools.olc.tw/afterschools/view/49200207190073" TargetMode="External"/><Relationship Id="rId4070" Type="http://schemas.openxmlformats.org/officeDocument/2006/relationships/hyperlink" Target="https://afterschools.olc.tw/afterschools/view/49200207190090" TargetMode="External"/><Relationship Id="rId4071" Type="http://schemas.openxmlformats.org/officeDocument/2006/relationships/hyperlink" Target="https://afterschools.olc.tw/afterschools/view/49200207190087" TargetMode="External"/><Relationship Id="rId4072" Type="http://schemas.openxmlformats.org/officeDocument/2006/relationships/hyperlink" Target="https://afterschools.olc.tw/afterschools/view/49200711280003" TargetMode="External"/><Relationship Id="rId4073" Type="http://schemas.openxmlformats.org/officeDocument/2006/relationships/hyperlink" Target="https://afterschools.olc.tw/afterschools/view/49200207190095" TargetMode="External"/><Relationship Id="rId4074" Type="http://schemas.openxmlformats.org/officeDocument/2006/relationships/hyperlink" Target="https://afterschools.olc.tw/afterschools/view/49201607050001" TargetMode="External"/><Relationship Id="rId4075" Type="http://schemas.openxmlformats.org/officeDocument/2006/relationships/hyperlink" Target="https://afterschools.olc.tw/afterschools/view/49201510300001" TargetMode="External"/><Relationship Id="rId4076" Type="http://schemas.openxmlformats.org/officeDocument/2006/relationships/hyperlink" Target="https://afterschools.olc.tw/afterschools/view/49200207192103" TargetMode="External"/><Relationship Id="rId4077" Type="http://schemas.openxmlformats.org/officeDocument/2006/relationships/hyperlink" Target="https://afterschools.olc.tw/afterschools/view/49200704090001" TargetMode="External"/><Relationship Id="rId4078" Type="http://schemas.openxmlformats.org/officeDocument/2006/relationships/hyperlink" Target="https://afterschools.olc.tw/afterschools/view/49201605170001" TargetMode="External"/><Relationship Id="rId4079" Type="http://schemas.openxmlformats.org/officeDocument/2006/relationships/hyperlink" Target="https://afterschools.olc.tw/afterschools/view/49202507140001" TargetMode="External"/><Relationship Id="rId4080" Type="http://schemas.openxmlformats.org/officeDocument/2006/relationships/hyperlink" Target="https://afterschools.olc.tw/afterschools/view/49201009260001" TargetMode="External"/><Relationship Id="rId4081" Type="http://schemas.openxmlformats.org/officeDocument/2006/relationships/hyperlink" Target="https://afterschools.olc.tw/afterschools/view/49200905110009" TargetMode="External"/><Relationship Id="rId4082" Type="http://schemas.openxmlformats.org/officeDocument/2006/relationships/hyperlink" Target="https://afterschools.olc.tw/afterschools/view/49200811130002" TargetMode="External"/><Relationship Id="rId4083" Type="http://schemas.openxmlformats.org/officeDocument/2006/relationships/hyperlink" Target="https://afterschools.olc.tw/afterschools/view/49201004010004" TargetMode="External"/><Relationship Id="rId4084" Type="http://schemas.openxmlformats.org/officeDocument/2006/relationships/hyperlink" Target="https://afterschools.olc.tw/afterschools/view/55200305120001" TargetMode="External"/><Relationship Id="rId4085" Type="http://schemas.openxmlformats.org/officeDocument/2006/relationships/hyperlink" Target="https://afterschools.olc.tw/afterschools/view/55200207082161" TargetMode="External"/><Relationship Id="rId4086" Type="http://schemas.openxmlformats.org/officeDocument/2006/relationships/hyperlink" Target="https://afterschools.olc.tw/afterschools/view/55200608150001" TargetMode="External"/><Relationship Id="rId4087" Type="http://schemas.openxmlformats.org/officeDocument/2006/relationships/hyperlink" Target="https://afterschools.olc.tw/afterschools/view/55200312160001" TargetMode="External"/><Relationship Id="rId4088" Type="http://schemas.openxmlformats.org/officeDocument/2006/relationships/hyperlink" Target="https://afterschools.olc.tw/afterschools/view/55200410130002" TargetMode="External"/><Relationship Id="rId4089" Type="http://schemas.openxmlformats.org/officeDocument/2006/relationships/hyperlink" Target="https://afterschools.olc.tw/afterschools/view/55201512240001" TargetMode="External"/><Relationship Id="rId4090" Type="http://schemas.openxmlformats.org/officeDocument/2006/relationships/hyperlink" Target="https://afterschools.olc.tw/afterschools/view/55202111040001" TargetMode="External"/><Relationship Id="rId4091" Type="http://schemas.openxmlformats.org/officeDocument/2006/relationships/hyperlink" Target="https://afterschools.olc.tw/afterschools/view/55201506150001" TargetMode="External"/><Relationship Id="rId4092" Type="http://schemas.openxmlformats.org/officeDocument/2006/relationships/hyperlink" Target="https://afterschools.olc.tw/afterschools/view/55200209040001" TargetMode="External"/><Relationship Id="rId4093" Type="http://schemas.openxmlformats.org/officeDocument/2006/relationships/hyperlink" Target="https://afterschools.olc.tw/afterschools/view/55201809180001" TargetMode="External"/><Relationship Id="rId4094" Type="http://schemas.openxmlformats.org/officeDocument/2006/relationships/hyperlink" Target="https://afterschools.olc.tw/afterschools/view/55200207080045" TargetMode="External"/><Relationship Id="rId4095" Type="http://schemas.openxmlformats.org/officeDocument/2006/relationships/hyperlink" Target="https://afterschools.olc.tw/afterschools/view/55200709070001" TargetMode="External"/><Relationship Id="rId4096" Type="http://schemas.openxmlformats.org/officeDocument/2006/relationships/hyperlink" Target="https://afterschools.olc.tw/afterschools/view/55200703090001" TargetMode="External"/><Relationship Id="rId4097" Type="http://schemas.openxmlformats.org/officeDocument/2006/relationships/hyperlink" Target="https://afterschools.olc.tw/afterschools/view/55200403290002" TargetMode="External"/><Relationship Id="rId4098" Type="http://schemas.openxmlformats.org/officeDocument/2006/relationships/hyperlink" Target="https://afterschools.olc.tw/afterschools/view/55200504210003" TargetMode="External"/><Relationship Id="rId4099" Type="http://schemas.openxmlformats.org/officeDocument/2006/relationships/hyperlink" Target="https://afterschools.olc.tw/afterschools/view/55200207082181" TargetMode="External"/><Relationship Id="rId4100" Type="http://schemas.openxmlformats.org/officeDocument/2006/relationships/hyperlink" Target="https://afterschools.olc.tw/afterschools/view/55200207082135" TargetMode="External"/><Relationship Id="rId4101" Type="http://schemas.openxmlformats.org/officeDocument/2006/relationships/hyperlink" Target="https://afterschools.olc.tw/afterschools/view/55200207080043" TargetMode="External"/><Relationship Id="rId4102" Type="http://schemas.openxmlformats.org/officeDocument/2006/relationships/hyperlink" Target="https://afterschools.olc.tw/afterschools/view/55200210110001" TargetMode="External"/><Relationship Id="rId4103" Type="http://schemas.openxmlformats.org/officeDocument/2006/relationships/hyperlink" Target="https://afterschools.olc.tw/afterschools/view/55200206110003" TargetMode="External"/><Relationship Id="rId4104" Type="http://schemas.openxmlformats.org/officeDocument/2006/relationships/hyperlink" Target="https://afterschools.olc.tw/afterschools/view/55200606070001" TargetMode="External"/><Relationship Id="rId4105" Type="http://schemas.openxmlformats.org/officeDocument/2006/relationships/hyperlink" Target="https://afterschools.olc.tw/afterschools/view/55200207080047" TargetMode="External"/><Relationship Id="rId4106" Type="http://schemas.openxmlformats.org/officeDocument/2006/relationships/hyperlink" Target="https://afterschools.olc.tw/afterschools/view/55200207080057" TargetMode="External"/><Relationship Id="rId4107" Type="http://schemas.openxmlformats.org/officeDocument/2006/relationships/hyperlink" Target="https://afterschools.olc.tw/afterschools/view/55200207080046" TargetMode="External"/><Relationship Id="rId4108" Type="http://schemas.openxmlformats.org/officeDocument/2006/relationships/hyperlink" Target="https://afterschools.olc.tw/afterschools/view/55201006180001" TargetMode="External"/><Relationship Id="rId4109" Type="http://schemas.openxmlformats.org/officeDocument/2006/relationships/hyperlink" Target="https://afterschools.olc.tw/afterschools/view/55200403160003" TargetMode="External"/><Relationship Id="rId4110" Type="http://schemas.openxmlformats.org/officeDocument/2006/relationships/hyperlink" Target="https://afterschools.olc.tw/afterschools/view/55200501040001" TargetMode="External"/><Relationship Id="rId4111" Type="http://schemas.openxmlformats.org/officeDocument/2006/relationships/hyperlink" Target="https://afterschools.olc.tw/afterschools/view/55200207080079" TargetMode="External"/><Relationship Id="rId4112" Type="http://schemas.openxmlformats.org/officeDocument/2006/relationships/hyperlink" Target="https://afterschools.olc.tw/afterschools/view/55201004260001" TargetMode="External"/><Relationship Id="rId4113" Type="http://schemas.openxmlformats.org/officeDocument/2006/relationships/hyperlink" Target="https://afterschools.olc.tw/afterschools/view/55200207080082" TargetMode="External"/><Relationship Id="rId4114" Type="http://schemas.openxmlformats.org/officeDocument/2006/relationships/hyperlink" Target="https://afterschools.olc.tw/afterschools/view/55200911270001" TargetMode="External"/><Relationship Id="rId4115" Type="http://schemas.openxmlformats.org/officeDocument/2006/relationships/hyperlink" Target="https://afterschools.olc.tw/afterschools/view/55200207082166" TargetMode="External"/><Relationship Id="rId4116" Type="http://schemas.openxmlformats.org/officeDocument/2006/relationships/hyperlink" Target="https://afterschools.olc.tw/afterschools/view/55200503250003" TargetMode="External"/><Relationship Id="rId4117" Type="http://schemas.openxmlformats.org/officeDocument/2006/relationships/hyperlink" Target="https://afterschools.olc.tw/afterschools/view/55200207082162" TargetMode="External"/><Relationship Id="rId4118" Type="http://schemas.openxmlformats.org/officeDocument/2006/relationships/hyperlink" Target="https://afterschools.olc.tw/afterschools/view/55200907020001" TargetMode="External"/><Relationship Id="rId4119" Type="http://schemas.openxmlformats.org/officeDocument/2006/relationships/hyperlink" Target="https://afterschools.olc.tw/afterschools/view/55201209050001" TargetMode="External"/><Relationship Id="rId4120" Type="http://schemas.openxmlformats.org/officeDocument/2006/relationships/hyperlink" Target="https://afterschools.olc.tw/afterschools/view/55200207082189" TargetMode="External"/><Relationship Id="rId4121" Type="http://schemas.openxmlformats.org/officeDocument/2006/relationships/hyperlink" Target="https://afterschools.olc.tw/afterschools/view/55200207082127" TargetMode="External"/><Relationship Id="rId4122" Type="http://schemas.openxmlformats.org/officeDocument/2006/relationships/hyperlink" Target="https://afterschools.olc.tw/afterschools/view/55200207082128" TargetMode="External"/><Relationship Id="rId4123" Type="http://schemas.openxmlformats.org/officeDocument/2006/relationships/hyperlink" Target="https://afterschools.olc.tw/afterschools/view/52200205272187" TargetMode="External"/><Relationship Id="rId4124" Type="http://schemas.openxmlformats.org/officeDocument/2006/relationships/hyperlink" Target="https://afterschools.olc.tw/afterschools/view/52200205272160" TargetMode="External"/><Relationship Id="rId4125" Type="http://schemas.openxmlformats.org/officeDocument/2006/relationships/hyperlink" Target="https://afterschools.olc.tw/afterschools/view/52201705020001" TargetMode="External"/><Relationship Id="rId4126" Type="http://schemas.openxmlformats.org/officeDocument/2006/relationships/hyperlink" Target="https://afterschools.olc.tw/afterschools/view/52202104130002" TargetMode="External"/><Relationship Id="rId4127" Type="http://schemas.openxmlformats.org/officeDocument/2006/relationships/hyperlink" Target="https://afterschools.olc.tw/afterschools/view/52201907090001" TargetMode="External"/><Relationship Id="rId4128" Type="http://schemas.openxmlformats.org/officeDocument/2006/relationships/hyperlink" Target="https://afterschools.olc.tw/afterschools/view/52201211160001" TargetMode="External"/><Relationship Id="rId4129" Type="http://schemas.openxmlformats.org/officeDocument/2006/relationships/hyperlink" Target="https://afterschools.olc.tw/afterschools/view/52200205272177" TargetMode="External"/><Relationship Id="rId4130" Type="http://schemas.openxmlformats.org/officeDocument/2006/relationships/hyperlink" Target="https://afterschools.olc.tw/afterschools/view/52200205272172" TargetMode="External"/><Relationship Id="rId4131" Type="http://schemas.openxmlformats.org/officeDocument/2006/relationships/hyperlink" Target="https://afterschools.olc.tw/afterschools/view/52200205272175" TargetMode="External"/><Relationship Id="rId4132" Type="http://schemas.openxmlformats.org/officeDocument/2006/relationships/hyperlink" Target="https://afterschools.olc.tw/afterschools/view/52202005180001" TargetMode="External"/><Relationship Id="rId4133" Type="http://schemas.openxmlformats.org/officeDocument/2006/relationships/hyperlink" Target="https://afterschools.olc.tw/afterschools/view/52200207230026" TargetMode="External"/><Relationship Id="rId4134" Type="http://schemas.openxmlformats.org/officeDocument/2006/relationships/hyperlink" Target="https://afterschools.olc.tw/afterschools/view/52201103090001" TargetMode="External"/><Relationship Id="rId4135" Type="http://schemas.openxmlformats.org/officeDocument/2006/relationships/hyperlink" Target="https://afterschools.olc.tw/afterschools/view/52202106230001" TargetMode="External"/><Relationship Id="rId4136" Type="http://schemas.openxmlformats.org/officeDocument/2006/relationships/hyperlink" Target="https://afterschools.olc.tw/afterschools/view/52202004110002" TargetMode="External"/><Relationship Id="rId4137" Type="http://schemas.openxmlformats.org/officeDocument/2006/relationships/hyperlink" Target="https://afterschools.olc.tw/afterschools/view/52201306240001" TargetMode="External"/><Relationship Id="rId4138" Type="http://schemas.openxmlformats.org/officeDocument/2006/relationships/hyperlink" Target="https://afterschools.olc.tw/afterschools/view/52202105260002" TargetMode="External"/><Relationship Id="rId4139" Type="http://schemas.openxmlformats.org/officeDocument/2006/relationships/hyperlink" Target="https://afterschools.olc.tw/afterschools/view/52200205272124" TargetMode="External"/><Relationship Id="rId4140" Type="http://schemas.openxmlformats.org/officeDocument/2006/relationships/hyperlink" Target="https://afterschools.olc.tw/afterschools/view/52200305120001" TargetMode="External"/><Relationship Id="rId4141" Type="http://schemas.openxmlformats.org/officeDocument/2006/relationships/hyperlink" Target="https://afterschools.olc.tw/afterschools/view/52200205270099" TargetMode="External"/><Relationship Id="rId4142" Type="http://schemas.openxmlformats.org/officeDocument/2006/relationships/hyperlink" Target="https://afterschools.olc.tw/afterschools/view/52201901170001" TargetMode="External"/><Relationship Id="rId4143" Type="http://schemas.openxmlformats.org/officeDocument/2006/relationships/hyperlink" Target="https://afterschools.olc.tw/afterschools/view/52200703280001" TargetMode="External"/><Relationship Id="rId4144" Type="http://schemas.openxmlformats.org/officeDocument/2006/relationships/hyperlink" Target="https://afterschools.olc.tw/afterschools/view/52202105260001" TargetMode="External"/><Relationship Id="rId4145" Type="http://schemas.openxmlformats.org/officeDocument/2006/relationships/hyperlink" Target="https://afterschools.olc.tw/afterschools/view/52200205270096" TargetMode="External"/><Relationship Id="rId4146" Type="http://schemas.openxmlformats.org/officeDocument/2006/relationships/hyperlink" Target="https://afterschools.olc.tw/afterschools/view/52200705070001" TargetMode="External"/><Relationship Id="rId4147" Type="http://schemas.openxmlformats.org/officeDocument/2006/relationships/hyperlink" Target="https://afterschools.olc.tw/afterschools/view/52200205272166" TargetMode="External"/><Relationship Id="rId4148" Type="http://schemas.openxmlformats.org/officeDocument/2006/relationships/hyperlink" Target="https://afterschools.olc.tw/afterschools/view/52200501040001" TargetMode="External"/><Relationship Id="rId4149" Type="http://schemas.openxmlformats.org/officeDocument/2006/relationships/hyperlink" Target="https://afterschools.olc.tw/afterschools/view/52202104130001" TargetMode="External"/><Relationship Id="rId4150" Type="http://schemas.openxmlformats.org/officeDocument/2006/relationships/hyperlink" Target="https://afterschools.olc.tw/afterschools/view/52200207230027" TargetMode="External"/><Relationship Id="rId4151" Type="http://schemas.openxmlformats.org/officeDocument/2006/relationships/hyperlink" Target="https://afterschools.olc.tw/afterschools/view/52201808270001" TargetMode="External"/><Relationship Id="rId4152" Type="http://schemas.openxmlformats.org/officeDocument/2006/relationships/hyperlink" Target="https://afterschools.olc.tw/afterschools/view/52200505130001" TargetMode="External"/><Relationship Id="rId4153" Type="http://schemas.openxmlformats.org/officeDocument/2006/relationships/hyperlink" Target="https://afterschools.olc.tw/afterschools/view/52200302240001" TargetMode="External"/><Relationship Id="rId4154" Type="http://schemas.openxmlformats.org/officeDocument/2006/relationships/hyperlink" Target="https://afterschools.olc.tw/afterschools/view/52200205272146" TargetMode="External"/><Relationship Id="rId4155" Type="http://schemas.openxmlformats.org/officeDocument/2006/relationships/hyperlink" Target="https://afterschools.olc.tw/afterschools/view/52202306140001" TargetMode="External"/><Relationship Id="rId4156" Type="http://schemas.openxmlformats.org/officeDocument/2006/relationships/hyperlink" Target="https://afterschools.olc.tw/afterschools/view/52202401050001" TargetMode="External"/><Relationship Id="rId4157" Type="http://schemas.openxmlformats.org/officeDocument/2006/relationships/hyperlink" Target="https://afterschools.olc.tw/afterschools/view/52200205272125" TargetMode="External"/><Relationship Id="rId4158" Type="http://schemas.openxmlformats.org/officeDocument/2006/relationships/hyperlink" Target="https://afterschools.olc.tw/afterschools/view/52200205272102" TargetMode="External"/><Relationship Id="rId4159" Type="http://schemas.openxmlformats.org/officeDocument/2006/relationships/hyperlink" Target="https://afterschools.olc.tw/afterschools/view/52200809120003" TargetMode="External"/><Relationship Id="rId4160" Type="http://schemas.openxmlformats.org/officeDocument/2006/relationships/hyperlink" Target="https://afterschools.olc.tw/afterschools/view/52201907120001" TargetMode="External"/><Relationship Id="rId4161" Type="http://schemas.openxmlformats.org/officeDocument/2006/relationships/hyperlink" Target="https://afterschools.olc.tw/afterschools/view/52200205270098" TargetMode="External"/><Relationship Id="rId4162" Type="http://schemas.openxmlformats.org/officeDocument/2006/relationships/hyperlink" Target="https://afterschools.olc.tw/afterschools/view/52201306050001" TargetMode="External"/><Relationship Id="rId4163" Type="http://schemas.openxmlformats.org/officeDocument/2006/relationships/hyperlink" Target="https://afterschools.olc.tw/afterschools/view/52200205272183" TargetMode="External"/><Relationship Id="rId4164" Type="http://schemas.openxmlformats.org/officeDocument/2006/relationships/hyperlink" Target="https://afterschools.olc.tw/afterschools/view/52200205272178" TargetMode="External"/><Relationship Id="rId4165" Type="http://schemas.openxmlformats.org/officeDocument/2006/relationships/hyperlink" Target="https://afterschools.olc.tw/afterschools/view/52200910060003" TargetMode="External"/><Relationship Id="rId4166" Type="http://schemas.openxmlformats.org/officeDocument/2006/relationships/hyperlink" Target="https://afterschools.olc.tw/afterschools/view/52202011120001" TargetMode="External"/><Relationship Id="rId4167" Type="http://schemas.openxmlformats.org/officeDocument/2006/relationships/hyperlink" Target="https://afterschools.olc.tw/afterschools/view/52200205272190" TargetMode="External"/><Relationship Id="rId4168" Type="http://schemas.openxmlformats.org/officeDocument/2006/relationships/hyperlink" Target="https://afterschools.olc.tw/afterschools/view/52202212140001" TargetMode="External"/><Relationship Id="rId4169" Type="http://schemas.openxmlformats.org/officeDocument/2006/relationships/hyperlink" Target="https://afterschools.olc.tw/afterschools/view/52202605110001" TargetMode="External"/><Relationship Id="rId4170" Type="http://schemas.openxmlformats.org/officeDocument/2006/relationships/hyperlink" Target="https://afterschools.olc.tw/afterschools/view/52200205272145" TargetMode="External"/><Relationship Id="rId4171" Type="http://schemas.openxmlformats.org/officeDocument/2006/relationships/hyperlink" Target="https://afterschools.olc.tw/afterschools/view/52200705300002" TargetMode="External"/><Relationship Id="rId4172" Type="http://schemas.openxmlformats.org/officeDocument/2006/relationships/hyperlink" Target="https://afterschools.olc.tw/afterschools/view/52202510020001" TargetMode="External"/><Relationship Id="rId4173" Type="http://schemas.openxmlformats.org/officeDocument/2006/relationships/hyperlink" Target="https://afterschools.olc.tw/afterschools/view/52200403150001" TargetMode="External"/><Relationship Id="rId4174" Type="http://schemas.openxmlformats.org/officeDocument/2006/relationships/hyperlink" Target="https://afterschools.olc.tw/afterschools/view/52200205272101" TargetMode="External"/><Relationship Id="rId4175" Type="http://schemas.openxmlformats.org/officeDocument/2006/relationships/hyperlink" Target="https://afterschools.olc.tw/afterschools/view/52200205272137" TargetMode="External"/><Relationship Id="rId4176" Type="http://schemas.openxmlformats.org/officeDocument/2006/relationships/hyperlink" Target="https://afterschools.olc.tw/afterschools/view/52201908300001" TargetMode="External"/><Relationship Id="rId4177" Type="http://schemas.openxmlformats.org/officeDocument/2006/relationships/hyperlink" Target="https://afterschools.olc.tw/afterschools/view/52202012090001" TargetMode="External"/><Relationship Id="rId4178" Type="http://schemas.openxmlformats.org/officeDocument/2006/relationships/hyperlink" Target="https://afterschools.olc.tw/afterschools/view/52200605080009" TargetMode="External"/><Relationship Id="rId4179" Type="http://schemas.openxmlformats.org/officeDocument/2006/relationships/hyperlink" Target="https://afterschools.olc.tw/afterschools/view/52200901090001" TargetMode="External"/><Relationship Id="rId4180" Type="http://schemas.openxmlformats.org/officeDocument/2006/relationships/hyperlink" Target="https://afterschools.olc.tw/afterschools/view/52200207260003" TargetMode="External"/><Relationship Id="rId4181" Type="http://schemas.openxmlformats.org/officeDocument/2006/relationships/hyperlink" Target="https://afterschools.olc.tw/afterschools/view/52200506070004" TargetMode="External"/><Relationship Id="rId4182" Type="http://schemas.openxmlformats.org/officeDocument/2006/relationships/hyperlink" Target="https://afterschools.olc.tw/afterschools/view/52200907140001" TargetMode="External"/><Relationship Id="rId4183" Type="http://schemas.openxmlformats.org/officeDocument/2006/relationships/hyperlink" Target="https://afterschools.olc.tw/afterschools/view/52200205272147" TargetMode="External"/><Relationship Id="rId4184" Type="http://schemas.openxmlformats.org/officeDocument/2006/relationships/hyperlink" Target="https://afterschools.olc.tw/afterschools/view/52201002110001" TargetMode="External"/><Relationship Id="rId4185" Type="http://schemas.openxmlformats.org/officeDocument/2006/relationships/hyperlink" Target="https://afterschools.olc.tw/afterschools/view/52200901090002" TargetMode="External"/><Relationship Id="rId4186" Type="http://schemas.openxmlformats.org/officeDocument/2006/relationships/hyperlink" Target="https://afterschools.olc.tw/afterschools/view/52200912210001" TargetMode="External"/><Relationship Id="rId4187" Type="http://schemas.openxmlformats.org/officeDocument/2006/relationships/hyperlink" Target="https://afterschools.olc.tw/afterschools/view/52200801110003" TargetMode="External"/><Relationship Id="rId4188" Type="http://schemas.openxmlformats.org/officeDocument/2006/relationships/hyperlink" Target="https://afterschools.olc.tw/afterschools/view/53202002140001" TargetMode="External"/><Relationship Id="rId4189" Type="http://schemas.openxmlformats.org/officeDocument/2006/relationships/hyperlink" Target="https://afterschools.olc.tw/afterschools/view/53202007010002" TargetMode="External"/><Relationship Id="rId4190" Type="http://schemas.openxmlformats.org/officeDocument/2006/relationships/hyperlink" Target="https://afterschools.olc.tw/afterschools/view/53200209120001" TargetMode="External"/><Relationship Id="rId4191" Type="http://schemas.openxmlformats.org/officeDocument/2006/relationships/hyperlink" Target="https://afterschools.olc.tw/afterschools/view/53200909100001" TargetMode="External"/><Relationship Id="rId4192" Type="http://schemas.openxmlformats.org/officeDocument/2006/relationships/hyperlink" Target="https://afterschools.olc.tw/afterschools/view/53200307140002" TargetMode="External"/><Relationship Id="rId4193" Type="http://schemas.openxmlformats.org/officeDocument/2006/relationships/hyperlink" Target="https://afterschools.olc.tw/afterschools/view/53201310240001" TargetMode="External"/><Relationship Id="rId4194" Type="http://schemas.openxmlformats.org/officeDocument/2006/relationships/hyperlink" Target="https://afterschools.olc.tw/afterschools/view/53201503300001" TargetMode="External"/><Relationship Id="rId4195" Type="http://schemas.openxmlformats.org/officeDocument/2006/relationships/hyperlink" Target="https://afterschools.olc.tw/afterschools/view/53200410260001" TargetMode="External"/><Relationship Id="rId4196" Type="http://schemas.openxmlformats.org/officeDocument/2006/relationships/hyperlink" Target="https://afterschools.olc.tw/afterschools/view/53201809250001" TargetMode="External"/><Relationship Id="rId4197" Type="http://schemas.openxmlformats.org/officeDocument/2006/relationships/hyperlink" Target="https://afterschools.olc.tw/afterschools/view/53201301090001" TargetMode="External"/><Relationship Id="rId4198" Type="http://schemas.openxmlformats.org/officeDocument/2006/relationships/hyperlink" Target="https://afterschools.olc.tw/afterschools/view/53201201040001" TargetMode="External"/><Relationship Id="rId4199" Type="http://schemas.openxmlformats.org/officeDocument/2006/relationships/hyperlink" Target="https://afterschools.olc.tw/afterschools/view/53202210140001" TargetMode="External"/><Relationship Id="rId4200" Type="http://schemas.openxmlformats.org/officeDocument/2006/relationships/hyperlink" Target="https://afterschools.olc.tw/afterschools/view/53200208012103" TargetMode="External"/><Relationship Id="rId4201" Type="http://schemas.openxmlformats.org/officeDocument/2006/relationships/hyperlink" Target="https://afterschools.olc.tw/afterschools/view/53201907160001" TargetMode="External"/><Relationship Id="rId4202" Type="http://schemas.openxmlformats.org/officeDocument/2006/relationships/hyperlink" Target="https://afterschools.olc.tw/afterschools/view/53201206040001" TargetMode="External"/><Relationship Id="rId4203" Type="http://schemas.openxmlformats.org/officeDocument/2006/relationships/hyperlink" Target="https://afterschools.olc.tw/afterschools/view/53200411120001" TargetMode="External"/><Relationship Id="rId4204" Type="http://schemas.openxmlformats.org/officeDocument/2006/relationships/hyperlink" Target="https://afterschools.olc.tw/afterschools/view/53200208010068" TargetMode="External"/><Relationship Id="rId4205" Type="http://schemas.openxmlformats.org/officeDocument/2006/relationships/hyperlink" Target="https://afterschools.olc.tw/afterschools/view/53201010230001" TargetMode="External"/><Relationship Id="rId4206" Type="http://schemas.openxmlformats.org/officeDocument/2006/relationships/hyperlink" Target="https://afterschools.olc.tw/afterschools/view/53200811200001" TargetMode="External"/><Relationship Id="rId4207" Type="http://schemas.openxmlformats.org/officeDocument/2006/relationships/hyperlink" Target="https://afterschools.olc.tw/afterschools/view/53201004120001" TargetMode="External"/><Relationship Id="rId4208" Type="http://schemas.openxmlformats.org/officeDocument/2006/relationships/hyperlink" Target="https://afterschools.olc.tw/afterschools/view/53200608080001" TargetMode="External"/><Relationship Id="rId4209" Type="http://schemas.openxmlformats.org/officeDocument/2006/relationships/hyperlink" Target="https://afterschools.olc.tw/afterschools/view/53202507140001" TargetMode="External"/><Relationship Id="rId4210" Type="http://schemas.openxmlformats.org/officeDocument/2006/relationships/hyperlink" Target="https://afterschools.olc.tw/afterschools/view/53200508260001" TargetMode="External"/><Relationship Id="rId4211" Type="http://schemas.openxmlformats.org/officeDocument/2006/relationships/hyperlink" Target="https://afterschools.olc.tw/afterschools/view/53202312120001" TargetMode="External"/><Relationship Id="rId4212" Type="http://schemas.openxmlformats.org/officeDocument/2006/relationships/hyperlink" Target="https://afterschools.olc.tw/afterschools/view/53200903160001" TargetMode="External"/><Relationship Id="rId4213" Type="http://schemas.openxmlformats.org/officeDocument/2006/relationships/hyperlink" Target="https://afterschools.olc.tw/afterschools/view/53200208010069" TargetMode="External"/><Relationship Id="rId4214" Type="http://schemas.openxmlformats.org/officeDocument/2006/relationships/hyperlink" Target="https://afterschools.olc.tw/afterschools/view/53200208012128" TargetMode="External"/><Relationship Id="rId4215" Type="http://schemas.openxmlformats.org/officeDocument/2006/relationships/hyperlink" Target="https://afterschools.olc.tw/afterschools/view/53200505180001" TargetMode="External"/><Relationship Id="rId4216" Type="http://schemas.openxmlformats.org/officeDocument/2006/relationships/hyperlink" Target="https://afterschools.olc.tw/afterschools/view/53200208010063" TargetMode="External"/><Relationship Id="rId4217" Type="http://schemas.openxmlformats.org/officeDocument/2006/relationships/hyperlink" Target="https://afterschools.olc.tw/afterschools/view/53200208012129" TargetMode="External"/><Relationship Id="rId4218" Type="http://schemas.openxmlformats.org/officeDocument/2006/relationships/hyperlink" Target="https://afterschools.olc.tw/afterschools/view/53202204270001" TargetMode="External"/><Relationship Id="rId4219" Type="http://schemas.openxmlformats.org/officeDocument/2006/relationships/hyperlink" Target="https://afterschools.olc.tw/afterschools/view/53202408230001" TargetMode="External"/><Relationship Id="rId4220" Type="http://schemas.openxmlformats.org/officeDocument/2006/relationships/hyperlink" Target="https://afterschools.olc.tw/afterschools/view/53200208012109" TargetMode="External"/><Relationship Id="rId4221" Type="http://schemas.openxmlformats.org/officeDocument/2006/relationships/hyperlink" Target="https://afterschools.olc.tw/afterschools/view/53202508140001" TargetMode="External"/><Relationship Id="rId4222" Type="http://schemas.openxmlformats.org/officeDocument/2006/relationships/hyperlink" Target="https://afterschools.olc.tw/afterschools/view/53200604300002" TargetMode="External"/><Relationship Id="rId4223" Type="http://schemas.openxmlformats.org/officeDocument/2006/relationships/hyperlink" Target="https://afterschools.olc.tw/afterschools/view/53200208010031" TargetMode="External"/><Relationship Id="rId4224" Type="http://schemas.openxmlformats.org/officeDocument/2006/relationships/hyperlink" Target="https://afterschools.olc.tw/afterschools/view/53202110180001" TargetMode="External"/><Relationship Id="rId4225" Type="http://schemas.openxmlformats.org/officeDocument/2006/relationships/hyperlink" Target="https://afterschools.olc.tw/afterschools/view/53200312100001" TargetMode="External"/><Relationship Id="rId4226" Type="http://schemas.openxmlformats.org/officeDocument/2006/relationships/hyperlink" Target="https://afterschools.olc.tw/afterschools/view/53200310220002" TargetMode="External"/><Relationship Id="rId4227" Type="http://schemas.openxmlformats.org/officeDocument/2006/relationships/hyperlink" Target="https://afterschools.olc.tw/afterschools/view/53202412040001" TargetMode="External"/><Relationship Id="rId4228" Type="http://schemas.openxmlformats.org/officeDocument/2006/relationships/hyperlink" Target="https://afterschools.olc.tw/afterschools/view/53200612270001" TargetMode="External"/><Relationship Id="rId4229" Type="http://schemas.openxmlformats.org/officeDocument/2006/relationships/hyperlink" Target="https://afterschools.olc.tw/afterschools/view/53200208010050" TargetMode="External"/><Relationship Id="rId4230" Type="http://schemas.openxmlformats.org/officeDocument/2006/relationships/hyperlink" Target="https://afterschools.olc.tw/afterschools/view/53202003240001" TargetMode="External"/><Relationship Id="rId4231" Type="http://schemas.openxmlformats.org/officeDocument/2006/relationships/hyperlink" Target="https://afterschools.olc.tw/afterschools/view/53201012300001" TargetMode="External"/><Relationship Id="rId4232" Type="http://schemas.openxmlformats.org/officeDocument/2006/relationships/hyperlink" Target="https://afterschools.olc.tw/afterschools/view/53201012130001" TargetMode="External"/><Relationship Id="rId4233" Type="http://schemas.openxmlformats.org/officeDocument/2006/relationships/hyperlink" Target="https://afterschools.olc.tw/afterschools/view/53202502120001" TargetMode="External"/><Relationship Id="rId4234" Type="http://schemas.openxmlformats.org/officeDocument/2006/relationships/hyperlink" Target="https://afterschools.olc.tw/afterschools/view/53200805300001" TargetMode="External"/><Relationship Id="rId4235" Type="http://schemas.openxmlformats.org/officeDocument/2006/relationships/hyperlink" Target="https://afterschools.olc.tw/afterschools/view/53202312190001" TargetMode="External"/><Relationship Id="rId4236" Type="http://schemas.openxmlformats.org/officeDocument/2006/relationships/hyperlink" Target="https://afterschools.olc.tw/afterschools/view/53202103260001" TargetMode="External"/><Relationship Id="rId4237" Type="http://schemas.openxmlformats.org/officeDocument/2006/relationships/hyperlink" Target="https://afterschools.olc.tw/afterschools/view/53200903270001" TargetMode="External"/><Relationship Id="rId4238" Type="http://schemas.openxmlformats.org/officeDocument/2006/relationships/hyperlink" Target="https://afterschools.olc.tw/afterschools/view/53200505160001" TargetMode="External"/><Relationship Id="rId4239" Type="http://schemas.openxmlformats.org/officeDocument/2006/relationships/hyperlink" Target="https://afterschools.olc.tw/afterschools/view/53201008130001" TargetMode="External"/><Relationship Id="rId4240" Type="http://schemas.openxmlformats.org/officeDocument/2006/relationships/hyperlink" Target="https://afterschools.olc.tw/afterschools/view/53200708130002" TargetMode="External"/><Relationship Id="rId4241" Type="http://schemas.openxmlformats.org/officeDocument/2006/relationships/hyperlink" Target="https://afterschools.olc.tw/afterschools/view/53202404170001" TargetMode="External"/><Relationship Id="rId4242" Type="http://schemas.openxmlformats.org/officeDocument/2006/relationships/hyperlink" Target="https://afterschools.olc.tw/afterschools/view/53202211230001" TargetMode="External"/><Relationship Id="rId4243" Type="http://schemas.openxmlformats.org/officeDocument/2006/relationships/hyperlink" Target="https://afterschools.olc.tw/afterschools/view/53200605230001" TargetMode="External"/><Relationship Id="rId4244" Type="http://schemas.openxmlformats.org/officeDocument/2006/relationships/hyperlink" Target="https://afterschools.olc.tw/afterschools/view/53202103170001" TargetMode="External"/><Relationship Id="rId4245" Type="http://schemas.openxmlformats.org/officeDocument/2006/relationships/hyperlink" Target="https://afterschools.olc.tw/afterschools/view/53202307070001" TargetMode="External"/><Relationship Id="rId4246" Type="http://schemas.openxmlformats.org/officeDocument/2006/relationships/hyperlink" Target="https://afterschools.olc.tw/afterschools/view/53202306160001" TargetMode="External"/><Relationship Id="rId4247" Type="http://schemas.openxmlformats.org/officeDocument/2006/relationships/hyperlink" Target="https://afterschools.olc.tw/afterschools/view/53200508240001" TargetMode="External"/><Relationship Id="rId4248" Type="http://schemas.openxmlformats.org/officeDocument/2006/relationships/hyperlink" Target="https://afterschools.olc.tw/afterschools/view/53200907140001" TargetMode="External"/><Relationship Id="rId4249" Type="http://schemas.openxmlformats.org/officeDocument/2006/relationships/hyperlink" Target="https://afterschools.olc.tw/afterschools/view/53201502050001" TargetMode="External"/><Relationship Id="rId4250" Type="http://schemas.openxmlformats.org/officeDocument/2006/relationships/hyperlink" Target="https://afterschools.olc.tw/afterschools/view/53200602160001" TargetMode="External"/><Relationship Id="rId4251" Type="http://schemas.openxmlformats.org/officeDocument/2006/relationships/hyperlink" Target="https://afterschools.olc.tw/afterschools/view/53200208012117" TargetMode="External"/><Relationship Id="rId4252" Type="http://schemas.openxmlformats.org/officeDocument/2006/relationships/hyperlink" Target="https://afterschools.olc.tw/afterschools/view/53200712060001" TargetMode="External"/><Relationship Id="rId4253" Type="http://schemas.openxmlformats.org/officeDocument/2006/relationships/hyperlink" Target="https://afterschools.olc.tw/afterschools/view/53200208012113" TargetMode="External"/><Relationship Id="rId4254" Type="http://schemas.openxmlformats.org/officeDocument/2006/relationships/hyperlink" Target="https://afterschools.olc.tw/afterschools/view/53202004240001" TargetMode="External"/><Relationship Id="rId4255" Type="http://schemas.openxmlformats.org/officeDocument/2006/relationships/hyperlink" Target="https://afterschools.olc.tw/afterschools/view/53201909190001" TargetMode="External"/><Relationship Id="rId4256" Type="http://schemas.openxmlformats.org/officeDocument/2006/relationships/hyperlink" Target="https://afterschools.olc.tw/afterschools/view/53200706070001" TargetMode="External"/><Relationship Id="rId4257" Type="http://schemas.openxmlformats.org/officeDocument/2006/relationships/hyperlink" Target="https://afterschools.olc.tw/afterschools/view/53200608300001" TargetMode="External"/><Relationship Id="rId4258" Type="http://schemas.openxmlformats.org/officeDocument/2006/relationships/hyperlink" Target="https://afterschools.olc.tw/afterschools/view/53200402260001" TargetMode="External"/><Relationship Id="rId4259" Type="http://schemas.openxmlformats.org/officeDocument/2006/relationships/hyperlink" Target="https://afterschools.olc.tw/afterschools/view/53201112220001" TargetMode="External"/><Relationship Id="rId4260" Type="http://schemas.openxmlformats.org/officeDocument/2006/relationships/hyperlink" Target="https://afterschools.olc.tw/afterschools/view/53201008270001" TargetMode="External"/><Relationship Id="rId4261" Type="http://schemas.openxmlformats.org/officeDocument/2006/relationships/hyperlink" Target="https://afterschools.olc.tw/afterschools/view/53200304230002" TargetMode="External"/><Relationship Id="rId4262" Type="http://schemas.openxmlformats.org/officeDocument/2006/relationships/hyperlink" Target="https://afterschools.olc.tw/afterschools/view/53200208012112" TargetMode="External"/><Relationship Id="rId4263" Type="http://schemas.openxmlformats.org/officeDocument/2006/relationships/hyperlink" Target="https://afterschools.olc.tw/afterschools/view/53200703220001" TargetMode="External"/><Relationship Id="rId4264" Type="http://schemas.openxmlformats.org/officeDocument/2006/relationships/hyperlink" Target="https://afterschools.olc.tw/afterschools/view/53202406260001" TargetMode="External"/><Relationship Id="rId4265" Type="http://schemas.openxmlformats.org/officeDocument/2006/relationships/hyperlink" Target="https://afterschools.olc.tw/afterschools/view/53200407230001" TargetMode="External"/><Relationship Id="rId4266" Type="http://schemas.openxmlformats.org/officeDocument/2006/relationships/hyperlink" Target="https://afterschools.olc.tw/afterschools/view/53201103280001" TargetMode="External"/><Relationship Id="rId4267" Type="http://schemas.openxmlformats.org/officeDocument/2006/relationships/hyperlink" Target="https://afterschools.olc.tw/afterschools/view/53202101130001" TargetMode="External"/><Relationship Id="rId4268" Type="http://schemas.openxmlformats.org/officeDocument/2006/relationships/hyperlink" Target="https://afterschools.olc.tw/afterschools/view/53200902040001" TargetMode="External"/><Relationship Id="rId4269" Type="http://schemas.openxmlformats.org/officeDocument/2006/relationships/hyperlink" Target="https://afterschools.olc.tw/afterschools/view/53202203210001" TargetMode="External"/><Relationship Id="rId4270" Type="http://schemas.openxmlformats.org/officeDocument/2006/relationships/hyperlink" Target="https://afterschools.olc.tw/afterschools/view/53200801160002" TargetMode="External"/><Relationship Id="rId4271" Type="http://schemas.openxmlformats.org/officeDocument/2006/relationships/hyperlink" Target="https://afterschools.olc.tw/afterschools/view/53200208020001" TargetMode="External"/><Relationship Id="rId4272" Type="http://schemas.openxmlformats.org/officeDocument/2006/relationships/hyperlink" Target="https://afterschools.olc.tw/afterschools/view/53200506130001" TargetMode="External"/><Relationship Id="rId4273" Type="http://schemas.openxmlformats.org/officeDocument/2006/relationships/hyperlink" Target="https://afterschools.olc.tw/afterschools/view/53201005060001" TargetMode="External"/><Relationship Id="rId4274" Type="http://schemas.openxmlformats.org/officeDocument/2006/relationships/hyperlink" Target="https://afterschools.olc.tw/afterschools/view/53200303190001" TargetMode="External"/><Relationship Id="rId4275" Type="http://schemas.openxmlformats.org/officeDocument/2006/relationships/hyperlink" Target="https://afterschools.olc.tw/afterschools/view/53201102010001" TargetMode="External"/><Relationship Id="rId4276" Type="http://schemas.openxmlformats.org/officeDocument/2006/relationships/hyperlink" Target="https://afterschools.olc.tw/afterschools/view/53200208010083" TargetMode="External"/><Relationship Id="rId4277" Type="http://schemas.openxmlformats.org/officeDocument/2006/relationships/hyperlink" Target="https://afterschools.olc.tw/afterschools/view/53200709180001" TargetMode="External"/><Relationship Id="rId4278" Type="http://schemas.openxmlformats.org/officeDocument/2006/relationships/hyperlink" Target="https://afterschools.olc.tw/afterschools/view/53201106020001" TargetMode="External"/><Relationship Id="rId4279" Type="http://schemas.openxmlformats.org/officeDocument/2006/relationships/hyperlink" Target="https://afterschools.olc.tw/afterschools/view/53202007010001" TargetMode="External"/><Relationship Id="rId4280" Type="http://schemas.openxmlformats.org/officeDocument/2006/relationships/hyperlink" Target="https://afterschools.olc.tw/afterschools/view/53201005110001" TargetMode="External"/><Relationship Id="rId4281" Type="http://schemas.openxmlformats.org/officeDocument/2006/relationships/hyperlink" Target="https://afterschools.olc.tw/afterschools/view/53200809150001" TargetMode="External"/><Relationship Id="rId4282" Type="http://schemas.openxmlformats.org/officeDocument/2006/relationships/hyperlink" Target="https://afterschools.olc.tw/afterschools/view/53202008060001" TargetMode="External"/><Relationship Id="rId4283" Type="http://schemas.openxmlformats.org/officeDocument/2006/relationships/hyperlink" Target="https://afterschools.olc.tw/afterschools/view/53200512290001" TargetMode="External"/><Relationship Id="rId4284" Type="http://schemas.openxmlformats.org/officeDocument/2006/relationships/hyperlink" Target="https://afterschools.olc.tw/afterschools/view/53200208012104" TargetMode="External"/><Relationship Id="rId4285" Type="http://schemas.openxmlformats.org/officeDocument/2006/relationships/hyperlink" Target="https://afterschools.olc.tw/afterschools/view/53200708300001" TargetMode="External"/><Relationship Id="rId4286" Type="http://schemas.openxmlformats.org/officeDocument/2006/relationships/hyperlink" Target="https://afterschools.olc.tw/afterschools/view/53202205200001" TargetMode="External"/><Relationship Id="rId4287" Type="http://schemas.openxmlformats.org/officeDocument/2006/relationships/hyperlink" Target="https://afterschools.olc.tw/afterschools/view/53200509060001" TargetMode="External"/><Relationship Id="rId4288" Type="http://schemas.openxmlformats.org/officeDocument/2006/relationships/hyperlink" Target="https://afterschools.olc.tw/afterschools/view/53200208010029" TargetMode="External"/><Relationship Id="rId4289" Type="http://schemas.openxmlformats.org/officeDocument/2006/relationships/hyperlink" Target="https://afterschools.olc.tw/afterschools/view/53202012280001" TargetMode="External"/><Relationship Id="rId4290" Type="http://schemas.openxmlformats.org/officeDocument/2006/relationships/hyperlink" Target="https://afterschools.olc.tw/afterschools/view/53201204050001" TargetMode="External"/><Relationship Id="rId4291" Type="http://schemas.openxmlformats.org/officeDocument/2006/relationships/hyperlink" Target="https://afterschools.olc.tw/afterschools/view/53202008260001" TargetMode="External"/><Relationship Id="rId4292" Type="http://schemas.openxmlformats.org/officeDocument/2006/relationships/hyperlink" Target="https://afterschools.olc.tw/afterschools/view/53201207310001" TargetMode="External"/><Relationship Id="rId4293" Type="http://schemas.openxmlformats.org/officeDocument/2006/relationships/hyperlink" Target="https://afterschools.olc.tw/afterschools/view/53201012010001" TargetMode="External"/><Relationship Id="rId4294" Type="http://schemas.openxmlformats.org/officeDocument/2006/relationships/hyperlink" Target="https://afterschools.olc.tw/afterschools/view/53202111050001" TargetMode="External"/><Relationship Id="rId4295" Type="http://schemas.openxmlformats.org/officeDocument/2006/relationships/hyperlink" Target="https://afterschools.olc.tw/afterschools/view/53201406030001" TargetMode="External"/><Relationship Id="rId4296" Type="http://schemas.openxmlformats.org/officeDocument/2006/relationships/hyperlink" Target="https://afterschools.olc.tw/afterschools/view/53201205100001" TargetMode="External"/><Relationship Id="rId4297" Type="http://schemas.openxmlformats.org/officeDocument/2006/relationships/hyperlink" Target="https://afterschools.olc.tw/afterschools/view/53200303200001" TargetMode="External"/><Relationship Id="rId4298" Type="http://schemas.openxmlformats.org/officeDocument/2006/relationships/hyperlink" Target="https://afterschools.olc.tw/afterschools/view/53202102040001" TargetMode="External"/><Relationship Id="rId4299" Type="http://schemas.openxmlformats.org/officeDocument/2006/relationships/hyperlink" Target="https://afterschools.olc.tw/afterschools/view/53200208012121" TargetMode="External"/><Relationship Id="rId4300" Type="http://schemas.openxmlformats.org/officeDocument/2006/relationships/hyperlink" Target="https://afterschools.olc.tw/afterschools/view/87200206130003" TargetMode="External"/><Relationship Id="rId4301" Type="http://schemas.openxmlformats.org/officeDocument/2006/relationships/hyperlink" Target="https://afterschools.olc.tw/afterschools/view/87200706140001" TargetMode="External"/><Relationship Id="rId4302" Type="http://schemas.openxmlformats.org/officeDocument/2006/relationships/hyperlink" Target="https://afterschools.olc.tw/afterschools/view/87201005140001" TargetMode="External"/><Relationship Id="rId4303" Type="http://schemas.openxmlformats.org/officeDocument/2006/relationships/hyperlink" Target="https://afterschools.olc.tw/afterschools/view/87201701030001" TargetMode="External"/><Relationship Id="rId4304" Type="http://schemas.openxmlformats.org/officeDocument/2006/relationships/hyperlink" Target="https://afterschools.olc.tw/afterschools/view/87201001140001" TargetMode="External"/><Relationship Id="rId4305" Type="http://schemas.openxmlformats.org/officeDocument/2006/relationships/hyperlink" Target="https://afterschools.olc.tw/afterschools/view/87200905210001" TargetMode="External"/><Relationship Id="rId4306" Type="http://schemas.openxmlformats.org/officeDocument/2006/relationships/hyperlink" Target="https://afterschools.olc.tw/afterschools/view/87200206110080" TargetMode="External"/><Relationship Id="rId4307" Type="http://schemas.openxmlformats.org/officeDocument/2006/relationships/hyperlink" Target="https://afterschools.olc.tw/afterschools/view/87200607290012" TargetMode="External"/><Relationship Id="rId4308" Type="http://schemas.openxmlformats.org/officeDocument/2006/relationships/hyperlink" Target="https://afterschools.olc.tw/afterschools/view/87201005040002" TargetMode="External"/><Relationship Id="rId4309" Type="http://schemas.openxmlformats.org/officeDocument/2006/relationships/hyperlink" Target="https://afterschools.olc.tw/afterschools/view/87201507170001" TargetMode="External"/><Relationship Id="rId4310" Type="http://schemas.openxmlformats.org/officeDocument/2006/relationships/hyperlink" Target="https://afterschools.olc.tw/afterschools/view/87201010180003" TargetMode="External"/><Relationship Id="rId4311" Type="http://schemas.openxmlformats.org/officeDocument/2006/relationships/hyperlink" Target="https://afterschools.olc.tw/afterschools/view/87200708070001" TargetMode="External"/><Relationship Id="rId4312" Type="http://schemas.openxmlformats.org/officeDocument/2006/relationships/hyperlink" Target="https://afterschools.olc.tw/afterschools/view/87200206110092" TargetMode="External"/><Relationship Id="rId4313" Type="http://schemas.openxmlformats.org/officeDocument/2006/relationships/hyperlink" Target="https://afterschools.olc.tw/afterschools/view/87200909100002" TargetMode="External"/><Relationship Id="rId4314" Type="http://schemas.openxmlformats.org/officeDocument/2006/relationships/hyperlink" Target="https://afterschools.olc.tw/afterschools/view/87200809080007" TargetMode="External"/><Relationship Id="rId4315" Type="http://schemas.openxmlformats.org/officeDocument/2006/relationships/hyperlink" Target="https://afterschools.olc.tw/afterschools/view/87200603300007" TargetMode="External"/><Relationship Id="rId4316" Type="http://schemas.openxmlformats.org/officeDocument/2006/relationships/hyperlink" Target="https://afterschools.olc.tw/afterschools/view/87200211190002" TargetMode="External"/><Relationship Id="rId4317" Type="http://schemas.openxmlformats.org/officeDocument/2006/relationships/hyperlink" Target="https://afterschools.olc.tw/afterschools/view/87200603290004" TargetMode="External"/><Relationship Id="rId4318" Type="http://schemas.openxmlformats.org/officeDocument/2006/relationships/hyperlink" Target="https://afterschools.olc.tw/afterschools/view/87200612180001" TargetMode="External"/><Relationship Id="rId4319" Type="http://schemas.openxmlformats.org/officeDocument/2006/relationships/hyperlink" Target="https://afterschools.olc.tw/afterschools/view/87201001050001" TargetMode="External"/><Relationship Id="rId4320" Type="http://schemas.openxmlformats.org/officeDocument/2006/relationships/hyperlink" Target="https://afterschools.olc.tw/afterschools/view/87200703300003" TargetMode="External"/><Relationship Id="rId4321" Type="http://schemas.openxmlformats.org/officeDocument/2006/relationships/hyperlink" Target="https://afterschools.olc.tw/afterschools/view/87200304290007" TargetMode="External"/><Relationship Id="rId4322" Type="http://schemas.openxmlformats.org/officeDocument/2006/relationships/hyperlink" Target="https://afterschools.olc.tw/afterschools/view/87200808140001" TargetMode="External"/><Relationship Id="rId4323" Type="http://schemas.openxmlformats.org/officeDocument/2006/relationships/hyperlink" Target="https://afterschools.olc.tw/afterschools/view/87200206110083" TargetMode="External"/><Relationship Id="rId4324" Type="http://schemas.openxmlformats.org/officeDocument/2006/relationships/hyperlink" Target="https://afterschools.olc.tw/afterschools/view/87201008260001" TargetMode="External"/><Relationship Id="rId4325" Type="http://schemas.openxmlformats.org/officeDocument/2006/relationships/hyperlink" Target="https://afterschools.olc.tw/afterschools/view/87200403090001" TargetMode="External"/><Relationship Id="rId4326" Type="http://schemas.openxmlformats.org/officeDocument/2006/relationships/hyperlink" Target="https://afterschools.olc.tw/afterschools/view/87202103250001" TargetMode="External"/><Relationship Id="rId4327" Type="http://schemas.openxmlformats.org/officeDocument/2006/relationships/hyperlink" Target="https://afterschools.olc.tw/afterschools/view/87200607290013" TargetMode="External"/><Relationship Id="rId4328" Type="http://schemas.openxmlformats.org/officeDocument/2006/relationships/hyperlink" Target="https://afterschools.olc.tw/afterschools/view/87200607290003" TargetMode="External"/><Relationship Id="rId4329" Type="http://schemas.openxmlformats.org/officeDocument/2006/relationships/hyperlink" Target="https://afterschools.olc.tw/afterschools/view/87200909100005" TargetMode="External"/><Relationship Id="rId4330" Type="http://schemas.openxmlformats.org/officeDocument/2006/relationships/hyperlink" Target="https://afterschools.olc.tw/afterschools/view/87200710300004" TargetMode="External"/><Relationship Id="rId4331" Type="http://schemas.openxmlformats.org/officeDocument/2006/relationships/hyperlink" Target="https://afterschools.olc.tw/afterschools/view/87200210210001" TargetMode="External"/><Relationship Id="rId4332" Type="http://schemas.openxmlformats.org/officeDocument/2006/relationships/hyperlink" Target="https://afterschools.olc.tw/afterschools/view/87200908190002" TargetMode="External"/><Relationship Id="rId4333" Type="http://schemas.openxmlformats.org/officeDocument/2006/relationships/hyperlink" Target="https://afterschools.olc.tw/afterschools/view/87200707060001" TargetMode="External"/><Relationship Id="rId4334" Type="http://schemas.openxmlformats.org/officeDocument/2006/relationships/hyperlink" Target="https://afterschools.olc.tw/afterschools/view/87202208090001" TargetMode="External"/><Relationship Id="rId4335" Type="http://schemas.openxmlformats.org/officeDocument/2006/relationships/hyperlink" Target="https://afterschools.olc.tw/afterschools/view/87201507200003" TargetMode="External"/><Relationship Id="rId4336" Type="http://schemas.openxmlformats.org/officeDocument/2006/relationships/hyperlink" Target="https://afterschools.olc.tw/afterschools/view/87200808140003" TargetMode="External"/><Relationship Id="rId4337" Type="http://schemas.openxmlformats.org/officeDocument/2006/relationships/hyperlink" Target="https://afterschools.olc.tw/afterschools/view/87200410270002" TargetMode="External"/><Relationship Id="rId4338" Type="http://schemas.openxmlformats.org/officeDocument/2006/relationships/hyperlink" Target="https://afterschools.olc.tw/afterschools/view/87200909160003" TargetMode="External"/><Relationship Id="rId4339" Type="http://schemas.openxmlformats.org/officeDocument/2006/relationships/hyperlink" Target="https://afterschools.olc.tw/afterschools/view/87202503140001" TargetMode="External"/><Relationship Id="rId4340" Type="http://schemas.openxmlformats.org/officeDocument/2006/relationships/hyperlink" Target="https://afterschools.olc.tw/afterschools/view/87200503120002" TargetMode="External"/><Relationship Id="rId4341" Type="http://schemas.openxmlformats.org/officeDocument/2006/relationships/hyperlink" Target="https://afterschools.olc.tw/afterschools/view/87201403110003" TargetMode="External"/><Relationship Id="rId4342" Type="http://schemas.openxmlformats.org/officeDocument/2006/relationships/hyperlink" Target="https://afterschools.olc.tw/afterschools/view/87200802250002" TargetMode="External"/><Relationship Id="rId4343" Type="http://schemas.openxmlformats.org/officeDocument/2006/relationships/hyperlink" Target="https://afterschools.olc.tw/afterschools/view/87200609040002" TargetMode="External"/><Relationship Id="rId4344" Type="http://schemas.openxmlformats.org/officeDocument/2006/relationships/hyperlink" Target="https://afterschools.olc.tw/afterschools/view/87202501160001" TargetMode="External"/><Relationship Id="rId4345" Type="http://schemas.openxmlformats.org/officeDocument/2006/relationships/hyperlink" Target="https://afterschools.olc.tw/afterschools/view/87200603300013" TargetMode="External"/><Relationship Id="rId4346" Type="http://schemas.openxmlformats.org/officeDocument/2006/relationships/hyperlink" Target="https://afterschools.olc.tw/afterschools/view/87200909150001" TargetMode="External"/><Relationship Id="rId4347" Type="http://schemas.openxmlformats.org/officeDocument/2006/relationships/hyperlink" Target="https://afterschools.olc.tw/afterschools/view/87200809080005" TargetMode="External"/><Relationship Id="rId4348" Type="http://schemas.openxmlformats.org/officeDocument/2006/relationships/hyperlink" Target="https://afterschools.olc.tw/afterschools/view/87201112260001" TargetMode="External"/><Relationship Id="rId4349" Type="http://schemas.openxmlformats.org/officeDocument/2006/relationships/hyperlink" Target="https://afterschools.olc.tw/afterschools/view/87200603220005" TargetMode="External"/><Relationship Id="rId4350" Type="http://schemas.openxmlformats.org/officeDocument/2006/relationships/hyperlink" Target="https://afterschools.olc.tw/afterschools/view/87200711220001" TargetMode="External"/><Relationship Id="rId4351" Type="http://schemas.openxmlformats.org/officeDocument/2006/relationships/hyperlink" Target="https://afterschools.olc.tw/afterschools/view/87201507070010" TargetMode="External"/><Relationship Id="rId4352" Type="http://schemas.openxmlformats.org/officeDocument/2006/relationships/hyperlink" Target="https://afterschools.olc.tw/afterschools/view/87200307210002" TargetMode="External"/><Relationship Id="rId4353" Type="http://schemas.openxmlformats.org/officeDocument/2006/relationships/hyperlink" Target="https://afterschools.olc.tw/afterschools/view/87200907280001" TargetMode="External"/><Relationship Id="rId4354" Type="http://schemas.openxmlformats.org/officeDocument/2006/relationships/hyperlink" Target="https://afterschools.olc.tw/afterschools/view/87202111110001" TargetMode="External"/><Relationship Id="rId4355" Type="http://schemas.openxmlformats.org/officeDocument/2006/relationships/hyperlink" Target="https://afterschools.olc.tw/afterschools/view/87200502230001" TargetMode="External"/><Relationship Id="rId4356" Type="http://schemas.openxmlformats.org/officeDocument/2006/relationships/hyperlink" Target="https://afterschools.olc.tw/afterschools/view/87202608180001" TargetMode="External"/><Relationship Id="rId4357" Type="http://schemas.openxmlformats.org/officeDocument/2006/relationships/hyperlink" Target="https://afterschools.olc.tw/afterschools/view/87200910220002" TargetMode="External"/><Relationship Id="rId4358" Type="http://schemas.openxmlformats.org/officeDocument/2006/relationships/hyperlink" Target="https://afterschools.olc.tw/afterschools/view/87200902160001" TargetMode="External"/><Relationship Id="rId4359" Type="http://schemas.openxmlformats.org/officeDocument/2006/relationships/hyperlink" Target="https://afterschools.olc.tw/afterschools/view/87201103240002" TargetMode="External"/><Relationship Id="rId4360" Type="http://schemas.openxmlformats.org/officeDocument/2006/relationships/hyperlink" Target="https://afterschools.olc.tw/afterschools/view/87201003160001" TargetMode="External"/><Relationship Id="rId4361" Type="http://schemas.openxmlformats.org/officeDocument/2006/relationships/hyperlink" Target="https://afterschools.olc.tw/afterschools/view/87201006010002" TargetMode="External"/><Relationship Id="rId4362" Type="http://schemas.openxmlformats.org/officeDocument/2006/relationships/hyperlink" Target="https://afterschools.olc.tw/afterschools/view/87201010180004" TargetMode="External"/><Relationship Id="rId4363" Type="http://schemas.openxmlformats.org/officeDocument/2006/relationships/hyperlink" Target="https://afterschools.olc.tw/afterschools/view/87201111010002" TargetMode="External"/><Relationship Id="rId4364" Type="http://schemas.openxmlformats.org/officeDocument/2006/relationships/hyperlink" Target="https://afterschools.olc.tw/afterschools/view/87201403110006" TargetMode="External"/><Relationship Id="rId4365" Type="http://schemas.openxmlformats.org/officeDocument/2006/relationships/hyperlink" Target="https://afterschools.olc.tw/afterschools/view/87201507070013" TargetMode="External"/><Relationship Id="rId4366" Type="http://schemas.openxmlformats.org/officeDocument/2006/relationships/hyperlink" Target="https://afterschools.olc.tw/afterschools/view/87200911190003" TargetMode="External"/><Relationship Id="rId4367" Type="http://schemas.openxmlformats.org/officeDocument/2006/relationships/hyperlink" Target="https://afterschools.olc.tw/afterschools/view/87200811180001" TargetMode="External"/><Relationship Id="rId4368" Type="http://schemas.openxmlformats.org/officeDocument/2006/relationships/hyperlink" Target="https://afterschools.olc.tw/afterschools/view/87200612190001" TargetMode="External"/><Relationship Id="rId4369" Type="http://schemas.openxmlformats.org/officeDocument/2006/relationships/hyperlink" Target="https://afterschools.olc.tw/afterschools/view/87200806160002" TargetMode="External"/><Relationship Id="rId4370" Type="http://schemas.openxmlformats.org/officeDocument/2006/relationships/hyperlink" Target="https://afterschools.olc.tw/afterschools/view/87200711190002" TargetMode="External"/><Relationship Id="rId4371" Type="http://schemas.openxmlformats.org/officeDocument/2006/relationships/hyperlink" Target="https://afterschools.olc.tw/afterschools/view/87201110200001" TargetMode="External"/><Relationship Id="rId4372" Type="http://schemas.openxmlformats.org/officeDocument/2006/relationships/hyperlink" Target="https://afterschools.olc.tw/afterschools/view/87201304260001" TargetMode="External"/><Relationship Id="rId4373" Type="http://schemas.openxmlformats.org/officeDocument/2006/relationships/hyperlink" Target="https://afterschools.olc.tw/afterschools/view/87201011240002" TargetMode="External"/><Relationship Id="rId4374" Type="http://schemas.openxmlformats.org/officeDocument/2006/relationships/hyperlink" Target="https://afterschools.olc.tw/afterschools/view/87200907280002" TargetMode="External"/><Relationship Id="rId4375" Type="http://schemas.openxmlformats.org/officeDocument/2006/relationships/hyperlink" Target="https://afterschools.olc.tw/afterschools/view/87200607290016" TargetMode="External"/><Relationship Id="rId4376" Type="http://schemas.openxmlformats.org/officeDocument/2006/relationships/hyperlink" Target="https://afterschools.olc.tw/afterschools/view/87202009010001" TargetMode="External"/><Relationship Id="rId4377" Type="http://schemas.openxmlformats.org/officeDocument/2006/relationships/hyperlink" Target="https://afterschools.olc.tw/afterschools/view/87202009110002" TargetMode="External"/><Relationship Id="rId4378" Type="http://schemas.openxmlformats.org/officeDocument/2006/relationships/hyperlink" Target="https://afterschools.olc.tw/afterschools/view/87201410260001" TargetMode="External"/><Relationship Id="rId4379" Type="http://schemas.openxmlformats.org/officeDocument/2006/relationships/hyperlink" Target="https://afterschools.olc.tw/afterschools/view/87201004020001" TargetMode="External"/><Relationship Id="rId4380" Type="http://schemas.openxmlformats.org/officeDocument/2006/relationships/hyperlink" Target="https://afterschools.olc.tw/afterschools/view/87201403110001" TargetMode="External"/><Relationship Id="rId4381" Type="http://schemas.openxmlformats.org/officeDocument/2006/relationships/hyperlink" Target="https://afterschools.olc.tw/afterschools/view/87201507070011" TargetMode="External"/><Relationship Id="rId4382" Type="http://schemas.openxmlformats.org/officeDocument/2006/relationships/hyperlink" Target="https://afterschools.olc.tw/afterschools/view/87200906020002" TargetMode="External"/><Relationship Id="rId4383" Type="http://schemas.openxmlformats.org/officeDocument/2006/relationships/hyperlink" Target="https://afterschools.olc.tw/afterschools/view/87200603220003" TargetMode="External"/><Relationship Id="rId4384" Type="http://schemas.openxmlformats.org/officeDocument/2006/relationships/hyperlink" Target="https://afterschools.olc.tw/afterschools/view/87200703120001" TargetMode="External"/><Relationship Id="rId4385" Type="http://schemas.openxmlformats.org/officeDocument/2006/relationships/hyperlink" Target="https://afterschools.olc.tw/afterschools/view/87202603120001" TargetMode="External"/><Relationship Id="rId4386" Type="http://schemas.openxmlformats.org/officeDocument/2006/relationships/hyperlink" Target="https://afterschools.olc.tw/afterschools/view/87202309270002" TargetMode="External"/><Relationship Id="rId4387" Type="http://schemas.openxmlformats.org/officeDocument/2006/relationships/hyperlink" Target="https://afterschools.olc.tw/afterschools/view/87201105040001" TargetMode="External"/><Relationship Id="rId4388" Type="http://schemas.openxmlformats.org/officeDocument/2006/relationships/hyperlink" Target="https://afterschools.olc.tw/afterschools/view/87202105070001" TargetMode="External"/><Relationship Id="rId4389" Type="http://schemas.openxmlformats.org/officeDocument/2006/relationships/hyperlink" Target="https://afterschools.olc.tw/afterschools/view/87201804170001" TargetMode="External"/><Relationship Id="rId4390" Type="http://schemas.openxmlformats.org/officeDocument/2006/relationships/hyperlink" Target="https://afterschools.olc.tw/afterschools/view/87200208230001" TargetMode="External"/><Relationship Id="rId4391" Type="http://schemas.openxmlformats.org/officeDocument/2006/relationships/hyperlink" Target="https://afterschools.olc.tw/afterschools/view/87202504160001" TargetMode="External"/><Relationship Id="rId4392" Type="http://schemas.openxmlformats.org/officeDocument/2006/relationships/hyperlink" Target="https://afterschools.olc.tw/afterschools/view/87200609040003" TargetMode="External"/><Relationship Id="rId4393" Type="http://schemas.openxmlformats.org/officeDocument/2006/relationships/hyperlink" Target="https://afterschools.olc.tw/afterschools/view/87201608260002" TargetMode="External"/><Relationship Id="rId4394" Type="http://schemas.openxmlformats.org/officeDocument/2006/relationships/hyperlink" Target="https://afterschools.olc.tw/afterschools/view/87202505160001" TargetMode="External"/><Relationship Id="rId4395" Type="http://schemas.openxmlformats.org/officeDocument/2006/relationships/hyperlink" Target="https://afterschools.olc.tw/afterschools/view/87201208220001" TargetMode="External"/><Relationship Id="rId4396" Type="http://schemas.openxmlformats.org/officeDocument/2006/relationships/hyperlink" Target="https://afterschools.olc.tw/afterschools/view/87200810200002" TargetMode="External"/><Relationship Id="rId4397" Type="http://schemas.openxmlformats.org/officeDocument/2006/relationships/hyperlink" Target="https://afterschools.olc.tw/afterschools/view/87200206130004" TargetMode="External"/><Relationship Id="rId4398" Type="http://schemas.openxmlformats.org/officeDocument/2006/relationships/hyperlink" Target="https://afterschools.olc.tw/afterschools/view/87200502050002" TargetMode="External"/><Relationship Id="rId4399" Type="http://schemas.openxmlformats.org/officeDocument/2006/relationships/hyperlink" Target="https://afterschools.olc.tw/afterschools/view/87200910220001" TargetMode="External"/><Relationship Id="rId4400" Type="http://schemas.openxmlformats.org/officeDocument/2006/relationships/hyperlink" Target="https://afterschools.olc.tw/afterschools/view/87200206110070" TargetMode="External"/><Relationship Id="rId4401" Type="http://schemas.openxmlformats.org/officeDocument/2006/relationships/hyperlink" Target="https://afterschools.olc.tw/afterschools/view/87200206110048" TargetMode="External"/><Relationship Id="rId4402" Type="http://schemas.openxmlformats.org/officeDocument/2006/relationships/hyperlink" Target="https://afterschools.olc.tw/afterschools/view/87200712200003" TargetMode="External"/><Relationship Id="rId4403" Type="http://schemas.openxmlformats.org/officeDocument/2006/relationships/hyperlink" Target="https://afterschools.olc.tw/afterschools/view/87202003060002" TargetMode="External"/><Relationship Id="rId4404" Type="http://schemas.openxmlformats.org/officeDocument/2006/relationships/hyperlink" Target="https://afterschools.olc.tw/afterschools/view/87200206250015" TargetMode="External"/><Relationship Id="rId4405" Type="http://schemas.openxmlformats.org/officeDocument/2006/relationships/hyperlink" Target="https://afterschools.olc.tw/afterschools/view/87202511280001" TargetMode="External"/><Relationship Id="rId4406" Type="http://schemas.openxmlformats.org/officeDocument/2006/relationships/hyperlink" Target="https://afterschools.olc.tw/afterschools/view/87201507070007" TargetMode="External"/><Relationship Id="rId4407" Type="http://schemas.openxmlformats.org/officeDocument/2006/relationships/hyperlink" Target="https://afterschools.olc.tw/afterschools/view/87201002250002" TargetMode="External"/><Relationship Id="rId4408" Type="http://schemas.openxmlformats.org/officeDocument/2006/relationships/hyperlink" Target="https://afterschools.olc.tw/afterschools/view/87200206110055" TargetMode="External"/><Relationship Id="rId4409" Type="http://schemas.openxmlformats.org/officeDocument/2006/relationships/hyperlink" Target="https://afterschools.olc.tw/afterschools/view/87201610190001" TargetMode="External"/><Relationship Id="rId4410" Type="http://schemas.openxmlformats.org/officeDocument/2006/relationships/hyperlink" Target="https://afterschools.olc.tw/afterschools/view/87200812310001" TargetMode="External"/><Relationship Id="rId4411" Type="http://schemas.openxmlformats.org/officeDocument/2006/relationships/hyperlink" Target="https://afterschools.olc.tw/afterschools/view/87200711200001" TargetMode="External"/><Relationship Id="rId4412" Type="http://schemas.openxmlformats.org/officeDocument/2006/relationships/hyperlink" Target="https://afterschools.olc.tw/afterschools/view/87201101050001" TargetMode="External"/><Relationship Id="rId4413" Type="http://schemas.openxmlformats.org/officeDocument/2006/relationships/hyperlink" Target="https://afterschools.olc.tw/afterschools/view/87201507080003" TargetMode="External"/><Relationship Id="rId4414" Type="http://schemas.openxmlformats.org/officeDocument/2006/relationships/hyperlink" Target="https://afterschools.olc.tw/afterschools/view/87200909180001" TargetMode="External"/><Relationship Id="rId4415" Type="http://schemas.openxmlformats.org/officeDocument/2006/relationships/hyperlink" Target="https://afterschools.olc.tw/afterschools/view/87201403110002" TargetMode="External"/><Relationship Id="rId4416" Type="http://schemas.openxmlformats.org/officeDocument/2006/relationships/hyperlink" Target="https://afterschools.olc.tw/afterschools/view/87200206260001" TargetMode="External"/><Relationship Id="rId4417" Type="http://schemas.openxmlformats.org/officeDocument/2006/relationships/hyperlink" Target="https://afterschools.olc.tw/afterschools/view/87200603300012" TargetMode="External"/><Relationship Id="rId4418" Type="http://schemas.openxmlformats.org/officeDocument/2006/relationships/hyperlink" Target="https://afterschools.olc.tw/afterschools/view/87201507080002" TargetMode="External"/><Relationship Id="rId4419" Type="http://schemas.openxmlformats.org/officeDocument/2006/relationships/hyperlink" Target="https://afterschools.olc.tw/afterschools/view/87200912240001" TargetMode="External"/><Relationship Id="rId4420" Type="http://schemas.openxmlformats.org/officeDocument/2006/relationships/hyperlink" Target="https://afterschools.olc.tw/afterschools/view/87200206110057" TargetMode="External"/><Relationship Id="rId4421" Type="http://schemas.openxmlformats.org/officeDocument/2006/relationships/hyperlink" Target="https://afterschools.olc.tw/afterschools/view/87200603290009" TargetMode="External"/><Relationship Id="rId4422" Type="http://schemas.openxmlformats.org/officeDocument/2006/relationships/hyperlink" Target="https://afterschools.olc.tw/afterschools/view/87200206110084" TargetMode="External"/><Relationship Id="rId4423" Type="http://schemas.openxmlformats.org/officeDocument/2006/relationships/hyperlink" Target="https://afterschools.olc.tw/afterschools/view/87200807160002" TargetMode="External"/><Relationship Id="rId4424" Type="http://schemas.openxmlformats.org/officeDocument/2006/relationships/hyperlink" Target="https://afterschools.olc.tw/afterschools/view/87200206110085" TargetMode="External"/><Relationship Id="rId4425" Type="http://schemas.openxmlformats.org/officeDocument/2006/relationships/hyperlink" Target="https://afterschools.olc.tw/afterschools/view/87200411250001" TargetMode="External"/><Relationship Id="rId4426" Type="http://schemas.openxmlformats.org/officeDocument/2006/relationships/hyperlink" Target="https://afterschools.olc.tw/afterschools/view/87201302180001" TargetMode="External"/><Relationship Id="rId4427" Type="http://schemas.openxmlformats.org/officeDocument/2006/relationships/hyperlink" Target="https://afterschools.olc.tw/afterschools/view/87200909160002" TargetMode="External"/><Relationship Id="rId4428" Type="http://schemas.openxmlformats.org/officeDocument/2006/relationships/hyperlink" Target="https://afterschools.olc.tw/afterschools/view/87201709220002" TargetMode="External"/><Relationship Id="rId4429" Type="http://schemas.openxmlformats.org/officeDocument/2006/relationships/hyperlink" Target="https://afterschools.olc.tw/afterschools/view/87201206140001" TargetMode="External"/><Relationship Id="rId4430" Type="http://schemas.openxmlformats.org/officeDocument/2006/relationships/hyperlink" Target="https://afterschools.olc.tw/afterschools/view/87200907060001" TargetMode="External"/><Relationship Id="rId4431" Type="http://schemas.openxmlformats.org/officeDocument/2006/relationships/hyperlink" Target="https://afterschools.olc.tw/afterschools/view/87200704300002" TargetMode="External"/><Relationship Id="rId4432" Type="http://schemas.openxmlformats.org/officeDocument/2006/relationships/hyperlink" Target="https://afterschools.olc.tw/afterschools/view/87202101200001" TargetMode="External"/><Relationship Id="rId4433" Type="http://schemas.openxmlformats.org/officeDocument/2006/relationships/hyperlink" Target="https://afterschools.olc.tw/afterschools/view/87200310020002" TargetMode="External"/><Relationship Id="rId4434" Type="http://schemas.openxmlformats.org/officeDocument/2006/relationships/hyperlink" Target="https://afterschools.olc.tw/afterschools/view/87200206110061" TargetMode="External"/><Relationship Id="rId4435" Type="http://schemas.openxmlformats.org/officeDocument/2006/relationships/hyperlink" Target="https://afterschools.olc.tw/afterschools/view/87200607290015" TargetMode="External"/><Relationship Id="rId4436" Type="http://schemas.openxmlformats.org/officeDocument/2006/relationships/hyperlink" Target="https://afterschools.olc.tw/afterschools/view/87200307180001" TargetMode="External"/><Relationship Id="rId4437" Type="http://schemas.openxmlformats.org/officeDocument/2006/relationships/hyperlink" Target="https://afterschools.olc.tw/afterschools/view/87200706040001" TargetMode="External"/><Relationship Id="rId4438" Type="http://schemas.openxmlformats.org/officeDocument/2006/relationships/hyperlink" Target="https://afterschools.olc.tw/afterschools/view/87201007280001" TargetMode="External"/><Relationship Id="rId4439" Type="http://schemas.openxmlformats.org/officeDocument/2006/relationships/hyperlink" Target="https://afterschools.olc.tw/afterschools/view/87200206110079" TargetMode="External"/><Relationship Id="rId4440" Type="http://schemas.openxmlformats.org/officeDocument/2006/relationships/hyperlink" Target="https://afterschools.olc.tw/afterschools/view/87201201030001" TargetMode="External"/><Relationship Id="rId4441" Type="http://schemas.openxmlformats.org/officeDocument/2006/relationships/hyperlink" Target="https://afterschools.olc.tw/afterschools/view/87200206250016" TargetMode="External"/><Relationship Id="rId4442" Type="http://schemas.openxmlformats.org/officeDocument/2006/relationships/hyperlink" Target="https://afterschools.olc.tw/afterschools/view/87200802250001" TargetMode="External"/><Relationship Id="rId4443" Type="http://schemas.openxmlformats.org/officeDocument/2006/relationships/hyperlink" Target="https://afterschools.olc.tw/afterschools/view/87201010190001" TargetMode="External"/><Relationship Id="rId4444" Type="http://schemas.openxmlformats.org/officeDocument/2006/relationships/hyperlink" Target="https://afterschools.olc.tw/afterschools/view/87201507070008" TargetMode="External"/><Relationship Id="rId4445" Type="http://schemas.openxmlformats.org/officeDocument/2006/relationships/hyperlink" Target="https://afterschools.olc.tw/afterschools/view/87201803200002" TargetMode="External"/><Relationship Id="rId4446" Type="http://schemas.openxmlformats.org/officeDocument/2006/relationships/hyperlink" Target="https://afterschools.olc.tw/afterschools/view/87201403120002" TargetMode="External"/><Relationship Id="rId4447" Type="http://schemas.openxmlformats.org/officeDocument/2006/relationships/hyperlink" Target="https://afterschools.olc.tw/afterschools/view/87200812120001" TargetMode="External"/><Relationship Id="rId4448" Type="http://schemas.openxmlformats.org/officeDocument/2006/relationships/hyperlink" Target="https://afterschools.olc.tw/afterschools/view/39201811050002" TargetMode="External"/><Relationship Id="rId4449" Type="http://schemas.openxmlformats.org/officeDocument/2006/relationships/hyperlink" Target="https://afterschools.olc.tw/afterschools/view/39201109300001" TargetMode="External"/><Relationship Id="rId4450" Type="http://schemas.openxmlformats.org/officeDocument/2006/relationships/hyperlink" Target="https://afterschools.olc.tw/afterschools/view/39201606050001" TargetMode="External"/><Relationship Id="rId4451" Type="http://schemas.openxmlformats.org/officeDocument/2006/relationships/hyperlink" Target="https://afterschools.olc.tw/afterschools/view/39201210220001" TargetMode="External"/><Relationship Id="rId4452" Type="http://schemas.openxmlformats.org/officeDocument/2006/relationships/hyperlink" Target="https://afterschools.olc.tw/afterschools/view/39200808130001" TargetMode="External"/><Relationship Id="rId4453" Type="http://schemas.openxmlformats.org/officeDocument/2006/relationships/hyperlink" Target="https://afterschools.olc.tw/afterschools/view/39200608030001" TargetMode="External"/><Relationship Id="rId4454" Type="http://schemas.openxmlformats.org/officeDocument/2006/relationships/hyperlink" Target="https://afterschools.olc.tw/afterschools/view/39201706280001" TargetMode="External"/><Relationship Id="rId4455" Type="http://schemas.openxmlformats.org/officeDocument/2006/relationships/hyperlink" Target="https://afterschools.olc.tw/afterschools/view/39202607220001" TargetMode="External"/><Relationship Id="rId4456" Type="http://schemas.openxmlformats.org/officeDocument/2006/relationships/hyperlink" Target="https://afterschools.olc.tw/afterschools/view/39201608040001" TargetMode="External"/><Relationship Id="rId4457" Type="http://schemas.openxmlformats.org/officeDocument/2006/relationships/hyperlink" Target="https://afterschools.olc.tw/afterschools/view/39200208080054" TargetMode="External"/><Relationship Id="rId4458" Type="http://schemas.openxmlformats.org/officeDocument/2006/relationships/hyperlink" Target="https://afterschools.olc.tw/afterschools/view/39200409200001" TargetMode="External"/><Relationship Id="rId4459" Type="http://schemas.openxmlformats.org/officeDocument/2006/relationships/hyperlink" Target="https://afterschools.olc.tw/afterschools/view/39200208090004" TargetMode="External"/><Relationship Id="rId4460" Type="http://schemas.openxmlformats.org/officeDocument/2006/relationships/hyperlink" Target="https://afterschools.olc.tw/afterschools/view/39202603310001" TargetMode="External"/><Relationship Id="rId4461" Type="http://schemas.openxmlformats.org/officeDocument/2006/relationships/hyperlink" Target="https://afterschools.olc.tw/afterschools/view/39200903250001" TargetMode="External"/><Relationship Id="rId4462" Type="http://schemas.openxmlformats.org/officeDocument/2006/relationships/hyperlink" Target="https://afterschools.olc.tw/afterschools/view/39200310090001" TargetMode="External"/><Relationship Id="rId4463" Type="http://schemas.openxmlformats.org/officeDocument/2006/relationships/hyperlink" Target="https://afterschools.olc.tw/afterschools/view/39200208070044" TargetMode="External"/><Relationship Id="rId4464" Type="http://schemas.openxmlformats.org/officeDocument/2006/relationships/hyperlink" Target="https://afterschools.olc.tw/afterschools/view/39200304290008" TargetMode="External"/><Relationship Id="rId4465" Type="http://schemas.openxmlformats.org/officeDocument/2006/relationships/hyperlink" Target="https://afterschools.olc.tw/afterschools/view/39200208080013" TargetMode="External"/><Relationship Id="rId4466" Type="http://schemas.openxmlformats.org/officeDocument/2006/relationships/hyperlink" Target="https://afterschools.olc.tw/afterschools/view/39200406230002" TargetMode="External"/><Relationship Id="rId4467" Type="http://schemas.openxmlformats.org/officeDocument/2006/relationships/hyperlink" Target="https://afterschools.olc.tw/afterschools/view/39200208090026" TargetMode="External"/><Relationship Id="rId4468" Type="http://schemas.openxmlformats.org/officeDocument/2006/relationships/hyperlink" Target="https://afterschools.olc.tw/afterschools/view/39202507170002" TargetMode="External"/><Relationship Id="rId4469" Type="http://schemas.openxmlformats.org/officeDocument/2006/relationships/hyperlink" Target="https://afterschools.olc.tw/afterschools/view/39200208070047" TargetMode="External"/><Relationship Id="rId4470" Type="http://schemas.openxmlformats.org/officeDocument/2006/relationships/hyperlink" Target="https://afterschools.olc.tw/afterschools/view/39200803310001" TargetMode="External"/><Relationship Id="rId4471" Type="http://schemas.openxmlformats.org/officeDocument/2006/relationships/hyperlink" Target="https://afterschools.olc.tw/afterschools/view/39200409140001" TargetMode="External"/><Relationship Id="rId4472" Type="http://schemas.openxmlformats.org/officeDocument/2006/relationships/hyperlink" Target="https://afterschools.olc.tw/afterschools/view/39200208080014" TargetMode="External"/><Relationship Id="rId4473" Type="http://schemas.openxmlformats.org/officeDocument/2006/relationships/hyperlink" Target="https://afterschools.olc.tw/afterschools/view/39201506030001" TargetMode="External"/><Relationship Id="rId4474" Type="http://schemas.openxmlformats.org/officeDocument/2006/relationships/hyperlink" Target="https://afterschools.olc.tw/afterschools/view/39201207200001" TargetMode="External"/><Relationship Id="rId4475" Type="http://schemas.openxmlformats.org/officeDocument/2006/relationships/hyperlink" Target="https://afterschools.olc.tw/afterschools/view/39201509110001" TargetMode="External"/><Relationship Id="rId4476" Type="http://schemas.openxmlformats.org/officeDocument/2006/relationships/hyperlink" Target="https://afterschools.olc.tw/afterschools/view/39201408070001" TargetMode="External"/><Relationship Id="rId4477" Type="http://schemas.openxmlformats.org/officeDocument/2006/relationships/hyperlink" Target="https://afterschools.olc.tw/afterschools/view/39202412300001" TargetMode="External"/><Relationship Id="rId4478" Type="http://schemas.openxmlformats.org/officeDocument/2006/relationships/hyperlink" Target="https://afterschools.olc.tw/afterschools/view/39201510230001" TargetMode="External"/><Relationship Id="rId4479" Type="http://schemas.openxmlformats.org/officeDocument/2006/relationships/hyperlink" Target="https://afterschools.olc.tw/afterschools/view/39200904070001" TargetMode="External"/><Relationship Id="rId4480" Type="http://schemas.openxmlformats.org/officeDocument/2006/relationships/hyperlink" Target="https://afterschools.olc.tw/afterschools/view/39200512120003" TargetMode="External"/><Relationship Id="rId4481" Type="http://schemas.openxmlformats.org/officeDocument/2006/relationships/hyperlink" Target="https://afterschools.olc.tw/afterschools/view/39200707090001" TargetMode="External"/><Relationship Id="rId4482" Type="http://schemas.openxmlformats.org/officeDocument/2006/relationships/hyperlink" Target="https://afterschools.olc.tw/afterschools/view/39201708030001" TargetMode="External"/><Relationship Id="rId4483" Type="http://schemas.openxmlformats.org/officeDocument/2006/relationships/hyperlink" Target="https://afterschools.olc.tw/afterschools/view/39200807090002" TargetMode="External"/><Relationship Id="rId4484" Type="http://schemas.openxmlformats.org/officeDocument/2006/relationships/hyperlink" Target="https://afterschools.olc.tw/afterschools/view/39202409300001" TargetMode="External"/><Relationship Id="rId4485" Type="http://schemas.openxmlformats.org/officeDocument/2006/relationships/hyperlink" Target="https://afterschools.olc.tw/afterschools/view/39200208080025" TargetMode="External"/><Relationship Id="rId4486" Type="http://schemas.openxmlformats.org/officeDocument/2006/relationships/hyperlink" Target="https://afterschools.olc.tw/afterschools/view/39200208070036" TargetMode="External"/><Relationship Id="rId4487" Type="http://schemas.openxmlformats.org/officeDocument/2006/relationships/hyperlink" Target="https://afterschools.olc.tw/afterschools/view/39201008110002" TargetMode="External"/><Relationship Id="rId4488" Type="http://schemas.openxmlformats.org/officeDocument/2006/relationships/hyperlink" Target="https://afterschools.olc.tw/afterschools/view/39201607250001" TargetMode="External"/><Relationship Id="rId4489" Type="http://schemas.openxmlformats.org/officeDocument/2006/relationships/hyperlink" Target="https://afterschools.olc.tw/afterschools/view/39200208070016" TargetMode="External"/><Relationship Id="rId4490" Type="http://schemas.openxmlformats.org/officeDocument/2006/relationships/hyperlink" Target="https://afterschools.olc.tw/afterschools/view/39200903090001" TargetMode="External"/><Relationship Id="rId4491" Type="http://schemas.openxmlformats.org/officeDocument/2006/relationships/hyperlink" Target="https://afterschools.olc.tw/afterschools/view/39200208070024" TargetMode="External"/><Relationship Id="rId4492" Type="http://schemas.openxmlformats.org/officeDocument/2006/relationships/hyperlink" Target="https://afterschools.olc.tw/afterschools/view/39200208060013" TargetMode="External"/><Relationship Id="rId4493" Type="http://schemas.openxmlformats.org/officeDocument/2006/relationships/hyperlink" Target="https://afterschools.olc.tw/afterschools/view/39201605100002" TargetMode="External"/><Relationship Id="rId4494" Type="http://schemas.openxmlformats.org/officeDocument/2006/relationships/hyperlink" Target="https://afterschools.olc.tw/afterschools/view/39200911020001" TargetMode="External"/><Relationship Id="rId4495" Type="http://schemas.openxmlformats.org/officeDocument/2006/relationships/hyperlink" Target="https://afterschools.olc.tw/afterschools/view/39200701100001" TargetMode="External"/><Relationship Id="rId4496" Type="http://schemas.openxmlformats.org/officeDocument/2006/relationships/hyperlink" Target="https://afterschools.olc.tw/afterschools/view/39200208060010" TargetMode="External"/><Relationship Id="rId4497" Type="http://schemas.openxmlformats.org/officeDocument/2006/relationships/hyperlink" Target="https://afterschools.olc.tw/afterschools/view/39200208060037" TargetMode="External"/><Relationship Id="rId4498" Type="http://schemas.openxmlformats.org/officeDocument/2006/relationships/hyperlink" Target="https://afterschools.olc.tw/afterschools/view/39202507170001" TargetMode="External"/><Relationship Id="rId4499" Type="http://schemas.openxmlformats.org/officeDocument/2006/relationships/hyperlink" Target="https://afterschools.olc.tw/afterschools/view/39202503110001" TargetMode="External"/><Relationship Id="rId4500" Type="http://schemas.openxmlformats.org/officeDocument/2006/relationships/hyperlink" Target="https://afterschools.olc.tw/afterschools/view/39200208080006" TargetMode="External"/><Relationship Id="rId4501" Type="http://schemas.openxmlformats.org/officeDocument/2006/relationships/hyperlink" Target="https://afterschools.olc.tw/afterschools/view/39200907140001" TargetMode="External"/><Relationship Id="rId4502" Type="http://schemas.openxmlformats.org/officeDocument/2006/relationships/hyperlink" Target="https://afterschools.olc.tw/afterschools/view/39200811120001" TargetMode="External"/><Relationship Id="rId4503" Type="http://schemas.openxmlformats.org/officeDocument/2006/relationships/hyperlink" Target="https://afterschools.olc.tw/afterschools/view/39201911220002" TargetMode="External"/><Relationship Id="rId4504" Type="http://schemas.openxmlformats.org/officeDocument/2006/relationships/hyperlink" Target="https://afterschools.olc.tw/afterschools/view/39200208070060" TargetMode="External"/><Relationship Id="rId4505" Type="http://schemas.openxmlformats.org/officeDocument/2006/relationships/hyperlink" Target="https://afterschools.olc.tw/afterschools/view/39201211050001" TargetMode="External"/><Relationship Id="rId4506" Type="http://schemas.openxmlformats.org/officeDocument/2006/relationships/hyperlink" Target="https://afterschools.olc.tw/afterschools/view/39201101170004" TargetMode="External"/><Relationship Id="rId4507" Type="http://schemas.openxmlformats.org/officeDocument/2006/relationships/hyperlink" Target="https://afterschools.olc.tw/afterschools/view/39200610020001" TargetMode="External"/><Relationship Id="rId4508" Type="http://schemas.openxmlformats.org/officeDocument/2006/relationships/hyperlink" Target="https://afterschools.olc.tw/afterschools/view/39200208070039" TargetMode="External"/><Relationship Id="rId4509" Type="http://schemas.openxmlformats.org/officeDocument/2006/relationships/hyperlink" Target="https://afterschools.olc.tw/afterschools/view/39201407140001" TargetMode="External"/><Relationship Id="rId4510" Type="http://schemas.openxmlformats.org/officeDocument/2006/relationships/hyperlink" Target="https://afterschools.olc.tw/afterschools/view/39201101210001" TargetMode="External"/><Relationship Id="rId4511" Type="http://schemas.openxmlformats.org/officeDocument/2006/relationships/hyperlink" Target="https://afterschools.olc.tw/afterschools/view/39200806040001" TargetMode="External"/><Relationship Id="rId4512" Type="http://schemas.openxmlformats.org/officeDocument/2006/relationships/hyperlink" Target="https://afterschools.olc.tw/afterschools/view/39200208080002" TargetMode="External"/><Relationship Id="rId4513" Type="http://schemas.openxmlformats.org/officeDocument/2006/relationships/hyperlink" Target="https://afterschools.olc.tw/afterschools/view/39200807090001" TargetMode="External"/><Relationship Id="rId4514" Type="http://schemas.openxmlformats.org/officeDocument/2006/relationships/hyperlink" Target="https://afterschools.olc.tw/afterschools/view/39200208080026" TargetMode="External"/><Relationship Id="rId4515" Type="http://schemas.openxmlformats.org/officeDocument/2006/relationships/hyperlink" Target="https://afterschools.olc.tw/afterschools/view/39200504070001" TargetMode="External"/><Relationship Id="rId4516" Type="http://schemas.openxmlformats.org/officeDocument/2006/relationships/hyperlink" Target="https://afterschools.olc.tw/afterschools/view/39200512130001" TargetMode="External"/><Relationship Id="rId4517" Type="http://schemas.openxmlformats.org/officeDocument/2006/relationships/hyperlink" Target="https://afterschools.olc.tw/afterschools/view/39200610120001" TargetMode="External"/><Relationship Id="rId4518" Type="http://schemas.openxmlformats.org/officeDocument/2006/relationships/hyperlink" Target="https://afterschools.olc.tw/afterschools/view/39201906030001" TargetMode="External"/><Relationship Id="rId4519" Type="http://schemas.openxmlformats.org/officeDocument/2006/relationships/hyperlink" Target="https://afterschools.olc.tw/afterschools/view/39200208090027" TargetMode="External"/><Relationship Id="rId4520" Type="http://schemas.openxmlformats.org/officeDocument/2006/relationships/hyperlink" Target="https://afterschools.olc.tw/afterschools/view/39200406090001" TargetMode="External"/><Relationship Id="rId4521" Type="http://schemas.openxmlformats.org/officeDocument/2006/relationships/hyperlink" Target="https://afterschools.olc.tw/afterschools/view/39201307220001" TargetMode="External"/><Relationship Id="rId4522" Type="http://schemas.openxmlformats.org/officeDocument/2006/relationships/hyperlink" Target="https://afterschools.olc.tw/afterschools/view/39200208070057" TargetMode="External"/><Relationship Id="rId4523" Type="http://schemas.openxmlformats.org/officeDocument/2006/relationships/hyperlink" Target="https://afterschools.olc.tw/afterschools/view/39200304290005" TargetMode="External"/><Relationship Id="rId4524" Type="http://schemas.openxmlformats.org/officeDocument/2006/relationships/hyperlink" Target="https://afterschools.olc.tw/afterschools/view/39201903050001" TargetMode="External"/><Relationship Id="rId4525" Type="http://schemas.openxmlformats.org/officeDocument/2006/relationships/hyperlink" Target="https://afterschools.olc.tw/afterschools/view/39201008110003" TargetMode="External"/><Relationship Id="rId4526" Type="http://schemas.openxmlformats.org/officeDocument/2006/relationships/hyperlink" Target="https://afterschools.olc.tw/afterschools/view/39200210210001" TargetMode="External"/><Relationship Id="rId4527" Type="http://schemas.openxmlformats.org/officeDocument/2006/relationships/hyperlink" Target="https://afterschools.olc.tw/afterschools/view/39201305220002" TargetMode="External"/><Relationship Id="rId4528" Type="http://schemas.openxmlformats.org/officeDocument/2006/relationships/hyperlink" Target="https://afterschools.olc.tw/afterschools/view/39202408230001" TargetMode="External"/><Relationship Id="rId4529" Type="http://schemas.openxmlformats.org/officeDocument/2006/relationships/hyperlink" Target="https://afterschools.olc.tw/afterschools/view/39200208080021" TargetMode="External"/><Relationship Id="rId4530" Type="http://schemas.openxmlformats.org/officeDocument/2006/relationships/hyperlink" Target="https://afterschools.olc.tw/afterschools/view/39201605100001" TargetMode="External"/><Relationship Id="rId4531" Type="http://schemas.openxmlformats.org/officeDocument/2006/relationships/hyperlink" Target="https://afterschools.olc.tw/afterschools/view/39201704190001" TargetMode="External"/><Relationship Id="rId4532" Type="http://schemas.openxmlformats.org/officeDocument/2006/relationships/hyperlink" Target="https://afterschools.olc.tw/afterschools/view/39201811050001" TargetMode="External"/><Relationship Id="rId4533" Type="http://schemas.openxmlformats.org/officeDocument/2006/relationships/hyperlink" Target="https://afterschools.olc.tw/afterschools/view/39200604260001" TargetMode="External"/><Relationship Id="rId4534" Type="http://schemas.openxmlformats.org/officeDocument/2006/relationships/hyperlink" Target="https://afterschools.olc.tw/afterschools/view/39202512300001" TargetMode="External"/><Relationship Id="rId4535" Type="http://schemas.openxmlformats.org/officeDocument/2006/relationships/hyperlink" Target="https://afterschools.olc.tw/afterschools/view/39201006100002" TargetMode="External"/><Relationship Id="rId4536" Type="http://schemas.openxmlformats.org/officeDocument/2006/relationships/hyperlink" Target="https://afterschools.olc.tw/afterschools/view/39200404080005" TargetMode="External"/><Relationship Id="rId4537" Type="http://schemas.openxmlformats.org/officeDocument/2006/relationships/hyperlink" Target="https://afterschools.olc.tw/afterschools/view/39202402200001" TargetMode="External"/><Relationship Id="rId4538" Type="http://schemas.openxmlformats.org/officeDocument/2006/relationships/hyperlink" Target="https://afterschools.olc.tw/afterschools/view/39201401160002" TargetMode="External"/><Relationship Id="rId4539" Type="http://schemas.openxmlformats.org/officeDocument/2006/relationships/hyperlink" Target="https://afterschools.olc.tw/afterschools/view/39201609140001" TargetMode="External"/><Relationship Id="rId4540" Type="http://schemas.openxmlformats.org/officeDocument/2006/relationships/hyperlink" Target="https://afterschools.olc.tw/afterschools/view/39200208080029" TargetMode="External"/><Relationship Id="rId4541" Type="http://schemas.openxmlformats.org/officeDocument/2006/relationships/hyperlink" Target="https://afterschools.olc.tw/afterschools/view/39201901240001" TargetMode="External"/><Relationship Id="rId4542" Type="http://schemas.openxmlformats.org/officeDocument/2006/relationships/hyperlink" Target="https://afterschools.olc.tw/afterschools/view/39200404080003" TargetMode="External"/><Relationship Id="rId4543" Type="http://schemas.openxmlformats.org/officeDocument/2006/relationships/hyperlink" Target="https://afterschools.olc.tw/afterschools/view/39202406110001" TargetMode="External"/><Relationship Id="rId4544" Type="http://schemas.openxmlformats.org/officeDocument/2006/relationships/hyperlink" Target="https://afterschools.olc.tw/afterschools/view/39202111240001" TargetMode="External"/><Relationship Id="rId4545" Type="http://schemas.openxmlformats.org/officeDocument/2006/relationships/hyperlink" Target="https://afterschools.olc.tw/afterschools/view/39200304290009" TargetMode="External"/><Relationship Id="rId4546" Type="http://schemas.openxmlformats.org/officeDocument/2006/relationships/hyperlink" Target="https://afterschools.olc.tw/afterschools/view/39200601270001" TargetMode="External"/><Relationship Id="rId4547" Type="http://schemas.openxmlformats.org/officeDocument/2006/relationships/hyperlink" Target="https://afterschools.olc.tw/afterschools/view/38200407310001" TargetMode="External"/><Relationship Id="rId4548" Type="http://schemas.openxmlformats.org/officeDocument/2006/relationships/hyperlink" Target="https://afterschools.olc.tw/afterschools/view/38200804140001" TargetMode="External"/><Relationship Id="rId4549" Type="http://schemas.openxmlformats.org/officeDocument/2006/relationships/hyperlink" Target="https://afterschools.olc.tw/afterschools/view/38200706020002" TargetMode="External"/><Relationship Id="rId4550" Type="http://schemas.openxmlformats.org/officeDocument/2006/relationships/hyperlink" Target="https://afterschools.olc.tw/afterschools/view/38200208052102" TargetMode="External"/><Relationship Id="rId4551" Type="http://schemas.openxmlformats.org/officeDocument/2006/relationships/hyperlink" Target="https://afterschools.olc.tw/afterschools/view/38200408020004" TargetMode="External"/><Relationship Id="rId4552" Type="http://schemas.openxmlformats.org/officeDocument/2006/relationships/hyperlink" Target="https://afterschools.olc.tw/afterschools/view/38200706210001" TargetMode="External"/><Relationship Id="rId4553" Type="http://schemas.openxmlformats.org/officeDocument/2006/relationships/hyperlink" Target="https://afterschools.olc.tw/afterschools/view/38200703160002" TargetMode="External"/><Relationship Id="rId4554" Type="http://schemas.openxmlformats.org/officeDocument/2006/relationships/hyperlink" Target="https://afterschools.olc.tw/afterschools/view/38200208052112" TargetMode="External"/><Relationship Id="rId4555" Type="http://schemas.openxmlformats.org/officeDocument/2006/relationships/hyperlink" Target="https://afterschools.olc.tw/afterschools/view/38200510200001" TargetMode="External"/><Relationship Id="rId4556" Type="http://schemas.openxmlformats.org/officeDocument/2006/relationships/hyperlink" Target="https://afterschools.olc.tw/afterschools/view/38200711290001" TargetMode="External"/><Relationship Id="rId4557" Type="http://schemas.openxmlformats.org/officeDocument/2006/relationships/hyperlink" Target="https://afterschools.olc.tw/afterschools/view/38200208060011" TargetMode="External"/><Relationship Id="rId4558" Type="http://schemas.openxmlformats.org/officeDocument/2006/relationships/hyperlink" Target="https://afterschools.olc.tw/afterschools/view/38200310090001" TargetMode="External"/><Relationship Id="rId4559" Type="http://schemas.openxmlformats.org/officeDocument/2006/relationships/hyperlink" Target="https://afterschools.olc.tw/afterschools/view/38200901060001" TargetMode="External"/><Relationship Id="rId4560" Type="http://schemas.openxmlformats.org/officeDocument/2006/relationships/hyperlink" Target="https://afterschools.olc.tw/afterschools/view/38200610260002" TargetMode="External"/><Relationship Id="rId4561" Type="http://schemas.openxmlformats.org/officeDocument/2006/relationships/hyperlink" Target="https://afterschools.olc.tw/afterschools/view/38200611160003" TargetMode="External"/><Relationship Id="rId4562" Type="http://schemas.openxmlformats.org/officeDocument/2006/relationships/hyperlink" Target="https://afterschools.olc.tw/afterschools/view/38200612080002" TargetMode="External"/><Relationship Id="rId4563" Type="http://schemas.openxmlformats.org/officeDocument/2006/relationships/hyperlink" Target="https://afterschools.olc.tw/afterschools/view/38200702090002" TargetMode="External"/><Relationship Id="rId4564" Type="http://schemas.openxmlformats.org/officeDocument/2006/relationships/hyperlink" Target="https://afterschools.olc.tw/afterschools/view/38200611080001" TargetMode="External"/><Relationship Id="rId4565" Type="http://schemas.openxmlformats.org/officeDocument/2006/relationships/hyperlink" Target="https://afterschools.olc.tw/afterschools/view/38200612080001" TargetMode="External"/><Relationship Id="rId4566" Type="http://schemas.openxmlformats.org/officeDocument/2006/relationships/hyperlink" Target="https://afterschools.olc.tw/afterschools/view/38202505260001" TargetMode="External"/><Relationship Id="rId4567" Type="http://schemas.openxmlformats.org/officeDocument/2006/relationships/hyperlink" Target="https://afterschools.olc.tw/afterschools/view/38201809110001" TargetMode="External"/><Relationship Id="rId4568" Type="http://schemas.openxmlformats.org/officeDocument/2006/relationships/hyperlink" Target="https://afterschools.olc.tw/afterschools/view/38202412200001" TargetMode="External"/><Relationship Id="rId4569" Type="http://schemas.openxmlformats.org/officeDocument/2006/relationships/hyperlink" Target="https://afterschools.olc.tw/afterschools/view/38200208052152" TargetMode="External"/><Relationship Id="rId4570" Type="http://schemas.openxmlformats.org/officeDocument/2006/relationships/hyperlink" Target="https://afterschools.olc.tw/afterschools/view/38200211130002" TargetMode="External"/><Relationship Id="rId4571" Type="http://schemas.openxmlformats.org/officeDocument/2006/relationships/hyperlink" Target="https://afterschools.olc.tw/afterschools/view/38200211130005" TargetMode="External"/><Relationship Id="rId4572" Type="http://schemas.openxmlformats.org/officeDocument/2006/relationships/hyperlink" Target="https://afterschools.olc.tw/afterschools/view/38200208052119" TargetMode="External"/><Relationship Id="rId4573" Type="http://schemas.openxmlformats.org/officeDocument/2006/relationships/hyperlink" Target="https://afterschools.olc.tw/afterschools/view/38200605120001" TargetMode="External"/><Relationship Id="rId4574" Type="http://schemas.openxmlformats.org/officeDocument/2006/relationships/hyperlink" Target="https://afterschools.olc.tw/afterschools/view/38200208050081" TargetMode="External"/><Relationship Id="rId4575" Type="http://schemas.openxmlformats.org/officeDocument/2006/relationships/hyperlink" Target="https://afterschools.olc.tw/afterschools/view/38200610200001" TargetMode="External"/><Relationship Id="rId4576" Type="http://schemas.openxmlformats.org/officeDocument/2006/relationships/hyperlink" Target="https://afterschools.olc.tw/afterschools/view/38200712280001" TargetMode="External"/><Relationship Id="rId4577" Type="http://schemas.openxmlformats.org/officeDocument/2006/relationships/hyperlink" Target="https://afterschools.olc.tw/afterschools/view/38200211130004" TargetMode="External"/><Relationship Id="rId4578" Type="http://schemas.openxmlformats.org/officeDocument/2006/relationships/hyperlink" Target="https://afterschools.olc.tw/afterschools/view/38200801030001" TargetMode="External"/><Relationship Id="rId4579" Type="http://schemas.openxmlformats.org/officeDocument/2006/relationships/hyperlink" Target="https://afterschools.olc.tw/afterschools/view/38201005030001" TargetMode="External"/><Relationship Id="rId4580" Type="http://schemas.openxmlformats.org/officeDocument/2006/relationships/hyperlink" Target="https://afterschools.olc.tw/afterschools/view/38200804220001" TargetMode="External"/><Relationship Id="rId4581" Type="http://schemas.openxmlformats.org/officeDocument/2006/relationships/hyperlink" Target="https://afterschools.olc.tw/afterschools/view/38200512050001" TargetMode="External"/><Relationship Id="rId4582" Type="http://schemas.openxmlformats.org/officeDocument/2006/relationships/hyperlink" Target="https://afterschools.olc.tw/afterschools/view/38200705080001" TargetMode="External"/><Relationship Id="rId4583" Type="http://schemas.openxmlformats.org/officeDocument/2006/relationships/hyperlink" Target="https://afterschools.olc.tw/afterschools/view/38200611140001" TargetMode="External"/><Relationship Id="rId4584" Type="http://schemas.openxmlformats.org/officeDocument/2006/relationships/hyperlink" Target="https://afterschools.olc.tw/afterschools/view/38200611160002" TargetMode="External"/><Relationship Id="rId4585" Type="http://schemas.openxmlformats.org/officeDocument/2006/relationships/hyperlink" Target="https://afterschools.olc.tw/afterschools/view/38200506150001" TargetMode="External"/><Relationship Id="rId4586" Type="http://schemas.openxmlformats.org/officeDocument/2006/relationships/hyperlink" Target="https://afterschools.olc.tw/afterschools/view/38201505210001" TargetMode="External"/><Relationship Id="rId4587" Type="http://schemas.openxmlformats.org/officeDocument/2006/relationships/hyperlink" Target="https://afterschools.olc.tw/afterschools/view/38200709110001" TargetMode="External"/><Relationship Id="rId4588" Type="http://schemas.openxmlformats.org/officeDocument/2006/relationships/hyperlink" Target="https://afterschools.olc.tw/afterschools/view/38200208050066" TargetMode="External"/><Relationship Id="rId4589" Type="http://schemas.openxmlformats.org/officeDocument/2006/relationships/hyperlink" Target="https://afterschools.olc.tw/afterschools/view/38200405180002" TargetMode="External"/><Relationship Id="rId4590" Type="http://schemas.openxmlformats.org/officeDocument/2006/relationships/hyperlink" Target="https://afterschools.olc.tw/afterschools/view/38200208050087" TargetMode="External"/><Relationship Id="rId4591" Type="http://schemas.openxmlformats.org/officeDocument/2006/relationships/hyperlink" Target="https://afterschools.olc.tw/afterschools/view/38201007050001" TargetMode="External"/><Relationship Id="rId4592" Type="http://schemas.openxmlformats.org/officeDocument/2006/relationships/hyperlink" Target="https://afterschools.olc.tw/afterschools/view/38200208050094" TargetMode="External"/><Relationship Id="rId4593" Type="http://schemas.openxmlformats.org/officeDocument/2006/relationships/hyperlink" Target="https://afterschools.olc.tw/afterschools/view/38200803170001" TargetMode="External"/><Relationship Id="rId4594" Type="http://schemas.openxmlformats.org/officeDocument/2006/relationships/hyperlink" Target="https://afterschools.olc.tw/afterschools/view/38200704110001" TargetMode="External"/><Relationship Id="rId4595" Type="http://schemas.openxmlformats.org/officeDocument/2006/relationships/hyperlink" Target="https://afterschools.olc.tw/afterschools/view/38200208050075" TargetMode="External"/><Relationship Id="rId4596" Type="http://schemas.openxmlformats.org/officeDocument/2006/relationships/hyperlink" Target="https://afterschools.olc.tw/afterschools/view/38202006220001" TargetMode="External"/><Relationship Id="rId4597" Type="http://schemas.openxmlformats.org/officeDocument/2006/relationships/hyperlink" Target="https://afterschools.olc.tw/afterschools/view/38201211200001" TargetMode="External"/><Relationship Id="rId4598" Type="http://schemas.openxmlformats.org/officeDocument/2006/relationships/hyperlink" Target="https://afterschools.olc.tw/afterschools/view/38200910050002" TargetMode="External"/><Relationship Id="rId4599" Type="http://schemas.openxmlformats.org/officeDocument/2006/relationships/hyperlink" Target="https://afterschools.olc.tw/afterschools/view/38200208050069" TargetMode="External"/><Relationship Id="rId4600" Type="http://schemas.openxmlformats.org/officeDocument/2006/relationships/hyperlink" Target="https://afterschools.olc.tw/afterschools/view/38200408020001" TargetMode="External"/><Relationship Id="rId4601" Type="http://schemas.openxmlformats.org/officeDocument/2006/relationships/hyperlink" Target="https://afterschools.olc.tw/afterschools/view/38201604010001" TargetMode="External"/><Relationship Id="rId4602" Type="http://schemas.openxmlformats.org/officeDocument/2006/relationships/hyperlink" Target="https://afterschools.olc.tw/afterschools/view/38200310130001" TargetMode="External"/><Relationship Id="rId4603" Type="http://schemas.openxmlformats.org/officeDocument/2006/relationships/hyperlink" Target="https://afterschools.olc.tw/afterschools/view/38200706020001" TargetMode="External"/><Relationship Id="rId4604" Type="http://schemas.openxmlformats.org/officeDocument/2006/relationships/hyperlink" Target="https://afterschools.olc.tw/afterschools/view/38200512270001" TargetMode="External"/><Relationship Id="rId4605" Type="http://schemas.openxmlformats.org/officeDocument/2006/relationships/hyperlink" Target="https://afterschools.olc.tw/afterschools/view/38200409120002" TargetMode="External"/><Relationship Id="rId4606" Type="http://schemas.openxmlformats.org/officeDocument/2006/relationships/hyperlink" Target="https://afterschools.olc.tw/afterschools/view/38201511110001" TargetMode="External"/><Relationship Id="rId4607" Type="http://schemas.openxmlformats.org/officeDocument/2006/relationships/hyperlink" Target="https://afterschools.olc.tw/afterschools/view/38200211130006" TargetMode="External"/><Relationship Id="rId4608" Type="http://schemas.openxmlformats.org/officeDocument/2006/relationships/hyperlink" Target="https://afterschools.olc.tw/afterschools/view/38201406200001" TargetMode="External"/><Relationship Id="rId4609" Type="http://schemas.openxmlformats.org/officeDocument/2006/relationships/hyperlink" Target="https://afterschools.olc.tw/afterschools/view/38202107130001" TargetMode="External"/><Relationship Id="rId4610" Type="http://schemas.openxmlformats.org/officeDocument/2006/relationships/hyperlink" Target="https://afterschools.olc.tw/afterschools/view/38200208050063" TargetMode="External"/><Relationship Id="rId4611" Type="http://schemas.openxmlformats.org/officeDocument/2006/relationships/hyperlink" Target="https://afterschools.olc.tw/afterschools/view/38200211130003" TargetMode="External"/><Relationship Id="rId4612" Type="http://schemas.openxmlformats.org/officeDocument/2006/relationships/hyperlink" Target="https://afterschools.olc.tw/afterschools/view/89200612270001" TargetMode="External"/><Relationship Id="rId4613" Type="http://schemas.openxmlformats.org/officeDocument/2006/relationships/hyperlink" Target="https://afterschools.olc.tw/afterschools/view/89202107280001" TargetMode="External"/><Relationship Id="rId4614" Type="http://schemas.openxmlformats.org/officeDocument/2006/relationships/hyperlink" Target="https://afterschools.olc.tw/afterschools/view/89201606140001" TargetMode="External"/><Relationship Id="rId4615" Type="http://schemas.openxmlformats.org/officeDocument/2006/relationships/hyperlink" Target="https://afterschools.olc.tw/afterschools/view/89200206180018" TargetMode="External"/><Relationship Id="rId4616" Type="http://schemas.openxmlformats.org/officeDocument/2006/relationships/hyperlink" Target="https://afterschools.olc.tw/afterschools/view/89200206180020" TargetMode="External"/><Relationship Id="rId4617" Type="http://schemas.openxmlformats.org/officeDocument/2006/relationships/hyperlink" Target="https://afterschools.olc.tw/afterschools/view/89200808130006" TargetMode="External"/><Relationship Id="rId4618" Type="http://schemas.openxmlformats.org/officeDocument/2006/relationships/hyperlink" Target="https://afterschools.olc.tw/afterschools/view/89200701120007" TargetMode="External"/><Relationship Id="rId4619" Type="http://schemas.openxmlformats.org/officeDocument/2006/relationships/hyperlink" Target="https://afterschools.olc.tw/afterschools/view/89201401150001" TargetMode="External"/><Relationship Id="rId4620" Type="http://schemas.openxmlformats.org/officeDocument/2006/relationships/hyperlink" Target="https://afterschools.olc.tw/afterschools/view/89200612290001" TargetMode="External"/><Relationship Id="rId4621" Type="http://schemas.openxmlformats.org/officeDocument/2006/relationships/hyperlink" Target="https://afterschools.olc.tw/afterschools/view/89202607300002" TargetMode="External"/><Relationship Id="rId4622" Type="http://schemas.openxmlformats.org/officeDocument/2006/relationships/hyperlink" Target="https://afterschools.olc.tw/afterschools/view/89200206130003" TargetMode="External"/><Relationship Id="rId4623" Type="http://schemas.openxmlformats.org/officeDocument/2006/relationships/hyperlink" Target="https://afterschools.olc.tw/afterschools/view/89200206170009" TargetMode="External"/><Relationship Id="rId4624" Type="http://schemas.openxmlformats.org/officeDocument/2006/relationships/hyperlink" Target="https://afterschools.olc.tw/afterschools/view/89200206170005" TargetMode="External"/><Relationship Id="rId4625" Type="http://schemas.openxmlformats.org/officeDocument/2006/relationships/hyperlink" Target="https://afterschools.olc.tw/afterschools/view/89202108250001" TargetMode="External"/><Relationship Id="rId4626" Type="http://schemas.openxmlformats.org/officeDocument/2006/relationships/hyperlink" Target="https://afterschools.olc.tw/afterschools/view/89201901300001" TargetMode="External"/><Relationship Id="rId4627" Type="http://schemas.openxmlformats.org/officeDocument/2006/relationships/hyperlink" Target="https://afterschools.olc.tw/afterschools/view/89201505220003" TargetMode="External"/><Relationship Id="rId4628" Type="http://schemas.openxmlformats.org/officeDocument/2006/relationships/hyperlink" Target="https://afterschools.olc.tw/afterschools/view/89201012310001" TargetMode="External"/><Relationship Id="rId4629" Type="http://schemas.openxmlformats.org/officeDocument/2006/relationships/hyperlink" Target="https://afterschools.olc.tw/afterschools/view/89200701190001" TargetMode="External"/><Relationship Id="rId4630" Type="http://schemas.openxmlformats.org/officeDocument/2006/relationships/hyperlink" Target="https://afterschools.olc.tw/afterschools/view/89201208090001" TargetMode="External"/><Relationship Id="rId4631" Type="http://schemas.openxmlformats.org/officeDocument/2006/relationships/hyperlink" Target="https://afterschools.olc.tw/afterschools/view/89200206130004" TargetMode="External"/><Relationship Id="rId4632" Type="http://schemas.openxmlformats.org/officeDocument/2006/relationships/hyperlink" Target="https://afterschools.olc.tw/afterschools/view/89200909080001" TargetMode="External"/><Relationship Id="rId4633" Type="http://schemas.openxmlformats.org/officeDocument/2006/relationships/hyperlink" Target="https://afterschools.olc.tw/afterschools/view/89201207170001" TargetMode="External"/><Relationship Id="rId4634" Type="http://schemas.openxmlformats.org/officeDocument/2006/relationships/hyperlink" Target="https://afterschools.olc.tw/afterschools/view/89201502100001" TargetMode="External"/><Relationship Id="rId4635" Type="http://schemas.openxmlformats.org/officeDocument/2006/relationships/hyperlink" Target="https://afterschools.olc.tw/afterschools/view/89201601160001" TargetMode="External"/><Relationship Id="rId4636" Type="http://schemas.openxmlformats.org/officeDocument/2006/relationships/hyperlink" Target="https://afterschools.olc.tw/afterschools/view/89201707270002" TargetMode="External"/><Relationship Id="rId4637" Type="http://schemas.openxmlformats.org/officeDocument/2006/relationships/hyperlink" Target="https://afterschools.olc.tw/afterschools/view/89200701120006" TargetMode="External"/><Relationship Id="rId4638" Type="http://schemas.openxmlformats.org/officeDocument/2006/relationships/hyperlink" Target="https://afterschools.olc.tw/afterschools/view/89201306250001" TargetMode="External"/><Relationship Id="rId4639" Type="http://schemas.openxmlformats.org/officeDocument/2006/relationships/hyperlink" Target="https://afterschools.olc.tw/afterschools/view/89201705200002" TargetMode="External"/><Relationship Id="rId4640" Type="http://schemas.openxmlformats.org/officeDocument/2006/relationships/hyperlink" Target="https://afterschools.olc.tw/afterschools/view/89201311040003" TargetMode="External"/><Relationship Id="rId4641" Type="http://schemas.openxmlformats.org/officeDocument/2006/relationships/hyperlink" Target="https://afterschools.olc.tw/afterschools/view/89200701100001" TargetMode="External"/><Relationship Id="rId4642" Type="http://schemas.openxmlformats.org/officeDocument/2006/relationships/hyperlink" Target="https://afterschools.olc.tw/afterschools/view/89201011240002" TargetMode="External"/><Relationship Id="rId4643" Type="http://schemas.openxmlformats.org/officeDocument/2006/relationships/hyperlink" Target="https://afterschools.olc.tw/afterschools/view/89200206180021" TargetMode="External"/><Relationship Id="rId4644" Type="http://schemas.openxmlformats.org/officeDocument/2006/relationships/hyperlink" Target="https://afterschools.olc.tw/afterschools/view/89200206170003" TargetMode="External"/><Relationship Id="rId4645" Type="http://schemas.openxmlformats.org/officeDocument/2006/relationships/hyperlink" Target="https://afterschools.olc.tw/afterschools/view/89200206140002" TargetMode="External"/><Relationship Id="rId4646" Type="http://schemas.openxmlformats.org/officeDocument/2006/relationships/hyperlink" Target="https://afterschools.olc.tw/afterschools/view/89200612250003" TargetMode="External"/><Relationship Id="rId4647" Type="http://schemas.openxmlformats.org/officeDocument/2006/relationships/hyperlink" Target="https://afterschools.olc.tw/afterschools/view/89201905240001" TargetMode="External"/><Relationship Id="rId4648" Type="http://schemas.openxmlformats.org/officeDocument/2006/relationships/hyperlink" Target="https://afterschools.olc.tw/afterschools/view/89202310030001" TargetMode="External"/><Relationship Id="rId4649" Type="http://schemas.openxmlformats.org/officeDocument/2006/relationships/hyperlink" Target="https://afterschools.olc.tw/afterschools/view/69202403190001" TargetMode="External"/><Relationship Id="rId4650" Type="http://schemas.openxmlformats.org/officeDocument/2006/relationships/hyperlink" Target="https://afterschools.olc.tw/afterschools/view/69200206110003" TargetMode="External"/><Relationship Id="rId4651" Type="http://schemas.openxmlformats.org/officeDocument/2006/relationships/hyperlink" Target="https://afterschools.olc.tw/afterschools/view/69202511170001" TargetMode="External"/><Relationship Id="rId4652" Type="http://schemas.openxmlformats.org/officeDocument/2006/relationships/hyperlink" Target="https://afterschools.olc.tw/afterschools/view/69200210150001" TargetMode="External"/><Relationship Id="rId4653" Type="http://schemas.openxmlformats.org/officeDocument/2006/relationships/hyperlink" Target="https://afterschools.olc.tw/afterschools/view/69200206110001" TargetMode="External"/><Relationship Id="rId4654" Type="http://schemas.openxmlformats.org/officeDocument/2006/relationships/hyperlink" Target="https://afterschools.olc.tw/afterschools/view/69200608180001" TargetMode="External"/><Relationship Id="rId4655" Type="http://schemas.openxmlformats.org/officeDocument/2006/relationships/hyperlink" Target="https://afterschools.olc.tw/afterschools/view/69200910120001" TargetMode="External"/><Relationship Id="rId4656" Type="http://schemas.openxmlformats.org/officeDocument/2006/relationships/hyperlink" Target="https://afterschools.olc.tw/afterschools/view/69202107290001" TargetMode="External"/><Relationship Id="rId4657" Type="http://schemas.openxmlformats.org/officeDocument/2006/relationships/hyperlink" Target="https://afterschools.olc.tw/afterschools/view/69201111030001" TargetMode="External"/><Relationship Id="rId4658" Type="http://schemas.openxmlformats.org/officeDocument/2006/relationships/hyperlink" Target="https://afterschools.olc.tw/afterschools/view/69200906220001" TargetMode="External"/><Relationship Id="rId4659" Type="http://schemas.openxmlformats.org/officeDocument/2006/relationships/hyperlink" Target="https://afterschools.olc.tw/afterschools/view/69202212090001" TargetMode="External"/><Relationship Id="rId4660" Type="http://schemas.openxmlformats.org/officeDocument/2006/relationships/hyperlink" Target="https://afterschools.olc.tw/afterschools/view/69201505290001" TargetMode="External"/><Relationship Id="rId4661" Type="http://schemas.openxmlformats.org/officeDocument/2006/relationships/hyperlink" Target="https://afterschools.olc.tw/afterschools/view/69202102170001" TargetMode="External"/><Relationship Id="rId4662" Type="http://schemas.openxmlformats.org/officeDocument/2006/relationships/hyperlink" Target="https://afterschools.olc.tw/afterschools/view/69201401200002" TargetMode="External"/><Relationship Id="rId4663" Type="http://schemas.openxmlformats.org/officeDocument/2006/relationships/hyperlink" Target="https://afterschools.olc.tw/afterschools/view/69202302130001" TargetMode="External"/><Relationship Id="rId4664" Type="http://schemas.openxmlformats.org/officeDocument/2006/relationships/hyperlink" Target="https://afterschools.olc.tw/afterschools/view/69200803130002" TargetMode="External"/><Relationship Id="rId4665" Type="http://schemas.openxmlformats.org/officeDocument/2006/relationships/hyperlink" Target="https://afterschools.olc.tw/afterschools/view/69200207180001" TargetMode="External"/><Relationship Id="rId4666" Type="http://schemas.openxmlformats.org/officeDocument/2006/relationships/hyperlink" Target="https://afterschools.olc.tw/afterschools/view/69202606010001" TargetMode="External"/><Relationship Id="rId4667" Type="http://schemas.openxmlformats.org/officeDocument/2006/relationships/hyperlink" Target="https://afterschools.olc.tw/afterschools/view/82200504220001" TargetMode="External"/><Relationship Id="rId4668" Type="http://schemas.openxmlformats.org/officeDocument/2006/relationships/hyperlink" Target="https://afterschools.olc.tw/afterschools/view/82200701130001" TargetMode="External"/><Relationship Id="rId4669" Type="http://schemas.openxmlformats.org/officeDocument/2006/relationships/hyperlink" Target="https://afterschools.olc.tw/afterschools/view/82200510170001" TargetMode="External"/><Relationship Id="rId4670" Type="http://schemas.openxmlformats.org/officeDocument/2006/relationships/hyperlink" Target="https://afterschools.olc.tw/afterschools/view/82200701140001" TargetMode="External"/><Relationship Id="rId4671" Type="http://schemas.openxmlformats.org/officeDocument/2006/relationships/hyperlink" Target="https://afterschools.olc.tw/afterschools/view/82200701180001" TargetMode="External"/><Relationship Id="rId4672" Type="http://schemas.openxmlformats.org/officeDocument/2006/relationships/hyperlink" Target="https://afterschools.olc.tw/afterschools/view/82201807090001" TargetMode="External"/><Relationship Id="rId4673" Type="http://schemas.openxmlformats.org/officeDocument/2006/relationships/hyperlink" Target="https://afterschools.olc.tw/afterschools/view/82200804020001" TargetMode="External"/><Relationship Id="rId4674" Type="http://schemas.openxmlformats.org/officeDocument/2006/relationships/hyperlink" Target="https://afterschools.olc.tw/afterschools/view/82200502020001" TargetMode="External"/><Relationship Id="rId4675" Type="http://schemas.openxmlformats.org/officeDocument/2006/relationships/hyperlink" Target="https://afterschools.olc.tw/afterschools/view/82201503060001" TargetMode="External"/><Relationship Id="rId4676" Type="http://schemas.openxmlformats.org/officeDocument/2006/relationships/hyperlink" Target="https://afterschools.olc.tw/afterschools/view/82201509140001" TargetMode="External"/><Relationship Id="rId4677" Type="http://schemas.openxmlformats.org/officeDocument/2006/relationships/hyperlink" Target="https://afterschools.olc.tw/afterschools/view/82201608230001" TargetMode="External"/><Relationship Id="rId4678" Type="http://schemas.openxmlformats.org/officeDocument/2006/relationships/hyperlink" Target="https://afterschools.olc.tw/afterschools/view/82202206150001" TargetMode="External"/><Relationship Id="rId4679" Type="http://schemas.openxmlformats.org/officeDocument/2006/relationships/hyperlink" Target="https://afterschools.olc.tw/afterschools/view/82201810080001" TargetMode="External"/><Relationship Id="rId4680" Type="http://schemas.openxmlformats.org/officeDocument/2006/relationships/hyperlink" Target="https://afterschools.olc.tw/afterschools/view/82202201070001" TargetMode="External"/><Relationship Id="rId4681" Type="http://schemas.openxmlformats.org/officeDocument/2006/relationships/hyperlink" Target="https://afterschools.olc.tw/afterschools/view/82202108230002" TargetMode="External"/><Relationship Id="rId4682" Type="http://schemas.openxmlformats.org/officeDocument/2006/relationships/hyperlink" Target="https://afterschools.olc.tw/afterschools/view/82202108230001" TargetMode="External"/><Relationship Id="rId4683" Type="http://schemas.openxmlformats.org/officeDocument/2006/relationships/hyperlink" Target="https://afterschools.olc.tw/afterschools/view/82202108300001" TargetMode="External"/><Relationship Id="rId4684" Type="http://schemas.openxmlformats.org/officeDocument/2006/relationships/hyperlink" Target="https://afterschools.olc.tw/afterschools/view/83201905100001" TargetMode="External"/><Relationship Id="rId4685" Type="http://schemas.openxmlformats.org/officeDocument/2006/relationships/hyperlink" Target="https://afterschools.olc.tw/afterschools/view/83202107050001" TargetMode="External"/><Relationship Id="rId4686"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hyperlink" Target="https://maps.google.com/?cid=1863695743369810872&amp;g_mp=Cilnb29nbGUubWFwcy5wbGFjZXMudjEuUGxhY2VzLlNlYXJjaE5lYXJieRACGAQgAA" TargetMode="External"/><Relationship Id="rId2" Type="http://schemas.openxmlformats.org/officeDocument/2006/relationships/hyperlink" Target="https://maps.google.com/?cid=1919858757216377385&amp;g_mp=Cilnb29nbGUubWFwcy5wbGFjZXMudjEuUGxhY2VzLlNlYXJjaE5lYXJieRACGAQgAA" TargetMode="External"/><Relationship Id="rId3" Type="http://schemas.openxmlformats.org/officeDocument/2006/relationships/hyperlink" Target="https://maps.google.com/?cid=6354447563662897004&amp;g_mp=Cilnb29nbGUubWFwcy5wbGFjZXMudjEuUGxhY2VzLlNlYXJjaE5lYXJieRACGAQgAA" TargetMode="External"/><Relationship Id="rId4" Type="http://schemas.openxmlformats.org/officeDocument/2006/relationships/hyperlink" Target="https://maps.google.com/?cid=2680290247858276349&amp;g_mp=Cilnb29nbGUubWFwcy5wbGFjZXMudjEuUGxhY2VzLlNlYXJjaE5lYXJieRACGAQgAA" TargetMode="External"/><Relationship Id="rId5" Type="http://schemas.openxmlformats.org/officeDocument/2006/relationships/hyperlink" Target="https://maps.google.com/?cid=3701273717901327733&amp;g_mp=Cilnb29nbGUubWFwcy5wbGFjZXMudjEuUGxhY2VzLlNlYXJjaE5lYXJieRACGAQgAA" TargetMode="External"/><Relationship Id="rId6" Type="http://schemas.openxmlformats.org/officeDocument/2006/relationships/hyperlink" Target="https://maps.google.com/?cid=5851113689963450877&amp;g_mp=Cilnb29nbGUubWFwcy5wbGFjZXMudjEuUGxhY2VzLlNlYXJjaE5lYXJieRACGAQgAA" TargetMode="External"/><Relationship Id="rId7" Type="http://schemas.openxmlformats.org/officeDocument/2006/relationships/hyperlink" Target="https://maps.google.com/?cid=15215221383339262651&amp;g_mp=Cilnb29nbGUubWFwcy5wbGFjZXMudjEuUGxhY2VzLlNlYXJjaE5lYXJieRACGAQgAA" TargetMode="External"/><Relationship Id="rId8" Type="http://schemas.openxmlformats.org/officeDocument/2006/relationships/hyperlink" Target="https://maps.google.com/?cid=17659105423038208687&amp;g_mp=Cilnb29nbGUubWFwcy5wbGFjZXMudjEuUGxhY2VzLlNlYXJjaE5lYXJieRACGAQgAA" TargetMode="External"/><Relationship Id="rId9" Type="http://schemas.openxmlformats.org/officeDocument/2006/relationships/hyperlink" Target="https://maps.google.com/?cid=5360159746373528869&amp;g_mp=Cilnb29nbGUubWFwcy5wbGFjZXMudjEuUGxhY2VzLlNlYXJjaE5lYXJieRACGAQgAA" TargetMode="External"/><Relationship Id="rId10" Type="http://schemas.openxmlformats.org/officeDocument/2006/relationships/hyperlink" Target="https://maps.google.com/?cid=17301286997401734467&amp;g_mp=Cilnb29nbGUubWFwcy5wbGFjZXMudjEuUGxhY2VzLlNlYXJjaE5lYXJieRACGAQgAA" TargetMode="External"/><Relationship Id="rId11" Type="http://schemas.openxmlformats.org/officeDocument/2006/relationships/hyperlink" Target="https://maps.google.com/?cid=16531274705841816831&amp;g_mp=Cilnb29nbGUubWFwcy5wbGFjZXMudjEuUGxhY2VzLlNlYXJjaE5lYXJieRACGAQgAA" TargetMode="External"/><Relationship Id="rId12" Type="http://schemas.openxmlformats.org/officeDocument/2006/relationships/hyperlink" Target="https://maps.google.com/?cid=11512969066118304067&amp;g_mp=Cilnb29nbGUubWFwcy5wbGFjZXMudjEuUGxhY2VzLlNlYXJjaE5lYXJieRACGAQgAA" TargetMode="External"/><Relationship Id="rId13" Type="http://schemas.openxmlformats.org/officeDocument/2006/relationships/hyperlink" Target="https://maps.google.com/?cid=14376442160187614880&amp;g_mp=Cilnb29nbGUubWFwcy5wbGFjZXMudjEuUGxhY2VzLlNlYXJjaE5lYXJieRACGAQgAA" TargetMode="External"/><Relationship Id="rId14" Type="http://schemas.openxmlformats.org/officeDocument/2006/relationships/hyperlink" Target="https://maps.google.com/?cid=12106770343731689723&amp;g_mp=Cilnb29nbGUubWFwcy5wbGFjZXMudjEuUGxhY2VzLlNlYXJjaE5lYXJieRACGAQgAA" TargetMode="External"/><Relationship Id="rId15" Type="http://schemas.openxmlformats.org/officeDocument/2006/relationships/hyperlink" Target="https://maps.google.com/?cid=9615573300021051170&amp;g_mp=Cilnb29nbGUubWFwcy5wbGFjZXMudjEuUGxhY2VzLlNlYXJjaE5lYXJieRACGAQgAA" TargetMode="External"/><Relationship Id="rId16" Type="http://schemas.openxmlformats.org/officeDocument/2006/relationships/hyperlink" Target="https://maps.google.com/?cid=15068509818082830298&amp;g_mp=Cilnb29nbGUubWFwcy5wbGFjZXMudjEuUGxhY2VzLlNlYXJjaE5lYXJieRACGAQgAA" TargetMode="External"/><Relationship Id="rId17" Type="http://schemas.openxmlformats.org/officeDocument/2006/relationships/hyperlink" Target="https://maps.google.com/?cid=9578364227841256178&amp;g_mp=Cilnb29nbGUubWFwcy5wbGFjZXMudjEuUGxhY2VzLlNlYXJjaE5lYXJieRACGAQgAA" TargetMode="External"/><Relationship Id="rId18" Type="http://schemas.openxmlformats.org/officeDocument/2006/relationships/hyperlink" Target="https://maps.google.com/?cid=147883186273943520&amp;g_mp=Cilnb29nbGUubWFwcy5wbGFjZXMudjEuUGxhY2VzLlNlYXJjaE5lYXJieRACGAQgAA" TargetMode="External"/><Relationship Id="rId19" Type="http://schemas.openxmlformats.org/officeDocument/2006/relationships/hyperlink" Target="https://maps.google.com/?cid=18370209368332522681&amp;g_mp=Cilnb29nbGUubWFwcy5wbGFjZXMudjEuUGxhY2VzLlNlYXJjaE5lYXJieRACGAQgAA" TargetMode="External"/><Relationship Id="rId20" Type="http://schemas.openxmlformats.org/officeDocument/2006/relationships/hyperlink" Target="https://maps.google.com/?cid=8240594889294549895&amp;g_mp=Cilnb29nbGUubWFwcy5wbGFjZXMudjEuUGxhY2VzLlNlYXJjaE5lYXJieRACGAQgAA" TargetMode="External"/><Relationship Id="rId21" Type="http://schemas.openxmlformats.org/officeDocument/2006/relationships/hyperlink" Target="https://maps.google.com/?cid=10480629542619071215&amp;g_mp=Cilnb29nbGUubWFwcy5wbGFjZXMudjEuUGxhY2VzLlNlYXJjaE5lYXJieRACGAQgAA" TargetMode="External"/><Relationship Id="rId22" Type="http://schemas.openxmlformats.org/officeDocument/2006/relationships/hyperlink" Target="https://maps.google.com/?cid=7758938077229246793&amp;g_mp=Cilnb29nbGUubWFwcy5wbGFjZXMudjEuUGxhY2VzLlNlYXJjaE5lYXJieRACGAQgAA" TargetMode="External"/><Relationship Id="rId23" Type="http://schemas.openxmlformats.org/officeDocument/2006/relationships/hyperlink" Target="https://maps.google.com/?cid=6488921225147460106&amp;g_mp=Cilnb29nbGUubWFwcy5wbGFjZXMudjEuUGxhY2VzLlNlYXJjaE5lYXJieRACGAQgAA" TargetMode="External"/><Relationship Id="rId24" Type="http://schemas.openxmlformats.org/officeDocument/2006/relationships/hyperlink" Target="https://maps.google.com/?cid=17167602513746233672&amp;g_mp=Cilnb29nbGUubWFwcy5wbGFjZXMudjEuUGxhY2VzLlNlYXJjaE5lYXJieRACGAQgAA" TargetMode="External"/><Relationship Id="rId25" Type="http://schemas.openxmlformats.org/officeDocument/2006/relationships/hyperlink" Target="https://maps.google.com/?cid=17415218022417043379&amp;g_mp=Cilnb29nbGUubWFwcy5wbGFjZXMudjEuUGxhY2VzLlNlYXJjaE5lYXJieRACGAQgAA" TargetMode="External"/><Relationship Id="rId26" Type="http://schemas.openxmlformats.org/officeDocument/2006/relationships/hyperlink" Target="https://maps.google.com/?cid=2666009332980519121&amp;g_mp=Cilnb29nbGUubWFwcy5wbGFjZXMudjEuUGxhY2VzLlNlYXJjaE5lYXJieRACGAQgAA" TargetMode="External"/><Relationship Id="rId27" Type="http://schemas.openxmlformats.org/officeDocument/2006/relationships/hyperlink" Target="https://maps.google.com/?cid=14265135193612750329&amp;g_mp=Cilnb29nbGUubWFwcy5wbGFjZXMudjEuUGxhY2VzLlNlYXJjaE5lYXJieRACGAQgAA" TargetMode="External"/><Relationship Id="rId28" Type="http://schemas.openxmlformats.org/officeDocument/2006/relationships/hyperlink" Target="https://maps.google.com/?cid=1135817308057355910&amp;g_mp=Cilnb29nbGUubWFwcy5wbGFjZXMudjEuUGxhY2VzLlNlYXJjaE5lYXJieRACGAQgAA" TargetMode="External"/><Relationship Id="rId29" Type="http://schemas.openxmlformats.org/officeDocument/2006/relationships/hyperlink" Target="https://maps.google.com/?cid=235626296435550090&amp;g_mp=Cilnb29nbGUubWFwcy5wbGFjZXMudjEuUGxhY2VzLlNlYXJjaE5lYXJieRACGAQgAA" TargetMode="External"/><Relationship Id="rId30" Type="http://schemas.openxmlformats.org/officeDocument/2006/relationships/hyperlink" Target="https://maps.google.com/?cid=4064459156930241107&amp;g_mp=Cilnb29nbGUubWFwcy5wbGFjZXMudjEuUGxhY2VzLlNlYXJjaE5lYXJieRACGAQgAA" TargetMode="External"/><Relationship Id="rId31" Type="http://schemas.openxmlformats.org/officeDocument/2006/relationships/hyperlink" Target="https://maps.google.com/?cid=8945207782513814034&amp;g_mp=Cilnb29nbGUubWFwcy5wbGFjZXMudjEuUGxhY2VzLlNlYXJjaE5lYXJieRACGAQgAA" TargetMode="External"/><Relationship Id="rId32" Type="http://schemas.openxmlformats.org/officeDocument/2006/relationships/hyperlink" Target="https://maps.google.com/?cid=9921404017151092690&amp;g_mp=Cilnb29nbGUubWFwcy5wbGFjZXMudjEuUGxhY2VzLlNlYXJjaE5lYXJieRACGAQgAA" TargetMode="External"/><Relationship Id="rId33" Type="http://schemas.openxmlformats.org/officeDocument/2006/relationships/hyperlink" Target="https://maps.google.com/?cid=15482487916398881806&amp;g_mp=Cilnb29nbGUubWFwcy5wbGFjZXMudjEuUGxhY2VzLlNlYXJjaE5lYXJieRACGAQgAA" TargetMode="External"/><Relationship Id="rId34" Type="http://schemas.openxmlformats.org/officeDocument/2006/relationships/hyperlink" Target="https://maps.google.com/?cid=11898897354200560128&amp;g_mp=Cilnb29nbGUubWFwcy5wbGFjZXMudjEuUGxhY2VzLlNlYXJjaE5lYXJieRACGAQgAA" TargetMode="External"/><Relationship Id="rId35" Type="http://schemas.openxmlformats.org/officeDocument/2006/relationships/hyperlink" Target="https://maps.google.com/?cid=3237018137725364278&amp;g_mp=Cilnb29nbGUubWFwcy5wbGFjZXMudjEuUGxhY2VzLlNlYXJjaE5lYXJieRACGAQgAA" TargetMode="External"/><Relationship Id="rId36" Type="http://schemas.openxmlformats.org/officeDocument/2006/relationships/hyperlink" Target="https://maps.google.com/?cid=1519035798172719987&amp;g_mp=Cilnb29nbGUubWFwcy5wbGFjZXMudjEuUGxhY2VzLlNlYXJjaE5lYXJieRACGAQgAA" TargetMode="External"/><Relationship Id="rId37" Type="http://schemas.openxmlformats.org/officeDocument/2006/relationships/hyperlink" Target="https://maps.google.com/?cid=13853490090923483113&amp;g_mp=Cilnb29nbGUubWFwcy5wbGFjZXMudjEuUGxhY2VzLlNlYXJjaE5lYXJieRACGAQgAA" TargetMode="External"/><Relationship Id="rId38" Type="http://schemas.openxmlformats.org/officeDocument/2006/relationships/hyperlink" Target="https://maps.google.com/?cid=14312453235238107361&amp;g_mp=Cilnb29nbGUubWFwcy5wbGFjZXMudjEuUGxhY2VzLlNlYXJjaE5lYXJieRACGAQgAA" TargetMode="External"/><Relationship Id="rId39" Type="http://schemas.openxmlformats.org/officeDocument/2006/relationships/hyperlink" Target="https://maps.google.com/?cid=11054551923795664004&amp;g_mp=Cilnb29nbGUubWFwcy5wbGFjZXMudjEuUGxhY2VzLlNlYXJjaE5lYXJieRACGAQgAA"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96"/>
  </cols>
  <sheetData>
    <row r="1" customFormat="false" ht="22.0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6" customFormat="false" ht="15" hidden="false" customHeight="false" outlineLevel="0" collapsed="false">
      <c r="A6" s="5" t="s">
        <v>4</v>
      </c>
    </row>
    <row r="7" customFormat="false" ht="26.85" hidden="false" customHeight="false" outlineLevel="0" collapsed="false">
      <c r="A7" s="3" t="s">
        <v>5</v>
      </c>
      <c r="B7" s="4" t="s">
        <v>6</v>
      </c>
    </row>
    <row r="8" customFormat="false" ht="26.85" hidden="false" customHeight="false" outlineLevel="0" collapsed="false">
      <c r="A8" s="3" t="s">
        <v>7</v>
      </c>
      <c r="B8" s="4" t="s">
        <v>8</v>
      </c>
    </row>
    <row r="9" customFormat="false" ht="15" hidden="false" customHeight="false" outlineLevel="0" collapsed="false">
      <c r="A9" s="3" t="s">
        <v>9</v>
      </c>
      <c r="B9" s="6" t="s">
        <v>10</v>
      </c>
    </row>
    <row r="10" customFormat="false" ht="15" hidden="false" customHeight="false" outlineLevel="0" collapsed="false">
      <c r="A10" s="3" t="s">
        <v>11</v>
      </c>
      <c r="B10" s="4" t="s">
        <v>12</v>
      </c>
    </row>
    <row r="12" customFormat="false" ht="15" hidden="false" customHeight="false" outlineLevel="0" collapsed="false">
      <c r="A12" s="5" t="s">
        <v>13</v>
      </c>
    </row>
    <row r="13" customFormat="false" ht="26.85" hidden="false" customHeight="false" outlineLevel="0" collapsed="false">
      <c r="A13" s="3" t="s">
        <v>14</v>
      </c>
      <c r="B13" s="4" t="s">
        <v>15</v>
      </c>
    </row>
    <row r="14" customFormat="false" ht="26.85" hidden="false" customHeight="false" outlineLevel="0" collapsed="false">
      <c r="A14" s="3" t="s">
        <v>16</v>
      </c>
      <c r="B14" s="6" t="s">
        <v>17</v>
      </c>
    </row>
    <row r="15" customFormat="false" ht="15" hidden="false" customHeight="false" outlineLevel="0" collapsed="false">
      <c r="A15" s="3" t="s">
        <v>18</v>
      </c>
      <c r="B15" s="4" t="s">
        <v>19</v>
      </c>
    </row>
    <row r="17" customFormat="false" ht="16.4" hidden="false" customHeight="false" outlineLevel="0" collapsed="false">
      <c r="A17" s="7" t="s">
        <v>20</v>
      </c>
    </row>
    <row r="18" customFormat="false" ht="15" hidden="false" customHeight="false" outlineLevel="0" collapsed="false">
      <c r="A18" s="3" t="s">
        <v>21</v>
      </c>
      <c r="B18" s="6" t="s">
        <v>22</v>
      </c>
    </row>
    <row r="19" customFormat="false" ht="15" hidden="false" customHeight="false" outlineLevel="0" collapsed="false">
      <c r="A19" s="3" t="s">
        <v>23</v>
      </c>
      <c r="B19" s="6" t="s">
        <v>24</v>
      </c>
    </row>
    <row r="20" customFormat="false" ht="15" hidden="false" customHeight="false" outlineLevel="0" collapsed="false">
      <c r="A20" s="3" t="s">
        <v>25</v>
      </c>
      <c r="B20" s="6" t="s">
        <v>26</v>
      </c>
    </row>
    <row r="22" customFormat="false" ht="15" hidden="false" customHeight="false" outlineLevel="0" collapsed="false">
      <c r="A22" s="8" t="s">
        <v>27</v>
      </c>
    </row>
    <row r="23" customFormat="false" ht="15" hidden="false" customHeight="false" outlineLevel="0" collapsed="false">
      <c r="A23" s="3" t="s">
        <v>28</v>
      </c>
      <c r="B23" s="6" t="s">
        <v>29</v>
      </c>
    </row>
    <row r="24" customFormat="false" ht="26.85" hidden="false" customHeight="false" outlineLevel="0" collapsed="false">
      <c r="A24" s="3" t="s">
        <v>30</v>
      </c>
      <c r="B24" s="6" t="s">
        <v>31</v>
      </c>
    </row>
    <row r="25" customFormat="false" ht="26.85" hidden="false" customHeight="false" outlineLevel="0" collapsed="false">
      <c r="A25" s="3" t="s">
        <v>32</v>
      </c>
      <c r="B25" s="4" t="s">
        <v>33</v>
      </c>
    </row>
    <row r="26" customFormat="false" ht="15" hidden="false" customHeight="false" outlineLevel="0" collapsed="false">
      <c r="A26" s="3" t="s">
        <v>34</v>
      </c>
      <c r="B26" s="6" t="s">
        <v>35</v>
      </c>
    </row>
    <row r="27" customFormat="false" ht="15" hidden="false" customHeight="false" outlineLevel="0" collapsed="false">
      <c r="A27" s="3" t="s">
        <v>36</v>
      </c>
      <c r="B27" s="6" t="s">
        <v>37</v>
      </c>
    </row>
    <row r="29" customFormat="false" ht="15" hidden="false" customHeight="false" outlineLevel="0" collapsed="false">
      <c r="A29" s="5" t="s">
        <v>38</v>
      </c>
    </row>
    <row r="30" customFormat="false" ht="15" hidden="false" customHeight="false" outlineLevel="0" collapsed="false">
      <c r="A30" s="3" t="s">
        <v>39</v>
      </c>
      <c r="B30" s="6" t="s">
        <v>40</v>
      </c>
    </row>
    <row r="31" customFormat="false" ht="15" hidden="false" customHeight="false" outlineLevel="0" collapsed="false">
      <c r="A31" s="3" t="s">
        <v>41</v>
      </c>
      <c r="B31" s="4" t="s">
        <v>42</v>
      </c>
    </row>
    <row r="32" customFormat="false" ht="15" hidden="false" customHeight="false" outlineLevel="0" collapsed="false">
      <c r="A32" s="3" t="s">
        <v>43</v>
      </c>
      <c r="B32" s="6" t="s">
        <v>44</v>
      </c>
    </row>
    <row r="33" customFormat="false" ht="15" hidden="false" customHeight="false" outlineLevel="0" collapsed="false">
      <c r="A33" s="3" t="s">
        <v>45</v>
      </c>
      <c r="B33" s="6"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40"/>
    <col collapsed="false" customWidth="true" hidden="false" outlineLevel="0" max="4" min="4" style="0" width="38"/>
    <col collapsed="false" customWidth="true" hidden="false" outlineLevel="0" max="6" min="5" style="0" width="9"/>
    <col collapsed="false" customWidth="true" hidden="false" outlineLevel="0" max="7" min="7" style="0" width="32"/>
    <col collapsed="false" customWidth="true" hidden="false" outlineLevel="0" max="8" min="8" style="0" width="15"/>
    <col collapsed="false" customWidth="true" hidden="false" outlineLevel="0" max="9" min="9" style="0" width="28"/>
    <col collapsed="false" customWidth="true" hidden="false" outlineLevel="0" max="10" min="10" style="0" width="10"/>
    <col collapsed="false" customWidth="true" hidden="false" outlineLevel="0" max="11" min="11" style="0" width="7"/>
    <col collapsed="false" customWidth="true" hidden="false" outlineLevel="0" max="12" min="12" style="0" width="8"/>
    <col collapsed="false" customWidth="true" hidden="false" outlineLevel="0" max="13" min="13" style="0" width="7"/>
    <col collapsed="false" customWidth="true" hidden="false" outlineLevel="0" max="14" min="14" style="0" width="8"/>
    <col collapsed="false" customWidth="true" hidden="false" outlineLevel="0" max="15" min="15" style="0" width="12"/>
    <col collapsed="false" customWidth="true" hidden="false" outlineLevel="0" max="16" min="16" style="0" width="14"/>
    <col collapsed="false" customWidth="true" hidden="false" outlineLevel="0" max="17" min="17" style="0" width="11"/>
    <col collapsed="false" customWidth="true" hidden="false" outlineLevel="0" max="19" min="18" style="0" width="12"/>
    <col collapsed="false" customWidth="true" hidden="false" outlineLevel="0" max="20" min="20" style="0" width="14"/>
    <col collapsed="false" customWidth="true" hidden="false" outlineLevel="0" max="21" min="21" style="0" width="20"/>
    <col collapsed="false" customWidth="true" hidden="false" outlineLevel="0" max="24" min="22" style="0" width="11"/>
    <col collapsed="false" customWidth="true" hidden="false" outlineLevel="0" max="25" min="25" style="0" width="9"/>
    <col collapsed="false" customWidth="true" hidden="false" outlineLevel="0" max="26" min="26" style="0" width="10"/>
    <col collapsed="false" customWidth="true" hidden="false" outlineLevel="0" max="27" min="27" style="0" width="12"/>
    <col collapsed="false" customWidth="true" hidden="false" outlineLevel="0" max="29" min="28" style="0" width="11"/>
  </cols>
  <sheetData>
    <row r="1" customFormat="false" ht="30" hidden="false" customHeight="true" outlineLevel="0" collapsed="false">
      <c r="A1" s="9" t="s">
        <v>47</v>
      </c>
      <c r="B1" s="9" t="s">
        <v>48</v>
      </c>
      <c r="C1" s="9" t="s">
        <v>49</v>
      </c>
      <c r="D1" s="9" t="s">
        <v>50</v>
      </c>
      <c r="E1" s="9" t="s">
        <v>51</v>
      </c>
      <c r="F1" s="9" t="s">
        <v>52</v>
      </c>
      <c r="G1" s="9" t="s">
        <v>53</v>
      </c>
      <c r="H1" s="9" t="s">
        <v>54</v>
      </c>
      <c r="I1" s="10" t="s">
        <v>55</v>
      </c>
      <c r="J1" s="9" t="s">
        <v>56</v>
      </c>
      <c r="K1" s="9" t="s">
        <v>57</v>
      </c>
      <c r="L1" s="9" t="s">
        <v>58</v>
      </c>
      <c r="M1" s="9" t="s">
        <v>59</v>
      </c>
      <c r="N1" s="9" t="s">
        <v>60</v>
      </c>
      <c r="O1" s="9" t="s">
        <v>61</v>
      </c>
      <c r="P1" s="9" t="s">
        <v>62</v>
      </c>
      <c r="Q1" s="9" t="s">
        <v>63</v>
      </c>
      <c r="R1" s="9" t="s">
        <v>64</v>
      </c>
      <c r="S1" s="9" t="s">
        <v>65</v>
      </c>
      <c r="T1" s="9" t="s">
        <v>66</v>
      </c>
      <c r="U1" s="9" t="s">
        <v>67</v>
      </c>
      <c r="V1" s="9" t="s">
        <v>68</v>
      </c>
      <c r="W1" s="9" t="s">
        <v>69</v>
      </c>
      <c r="X1" s="9" t="s">
        <v>70</v>
      </c>
      <c r="Y1" s="9" t="s">
        <v>71</v>
      </c>
      <c r="Z1" s="9" t="s">
        <v>72</v>
      </c>
      <c r="AA1" s="10" t="s">
        <v>73</v>
      </c>
      <c r="AB1" s="9" t="s">
        <v>74</v>
      </c>
      <c r="AC1" s="9" t="s">
        <v>75</v>
      </c>
    </row>
    <row r="2" customFormat="false" ht="15" hidden="false" customHeight="false" outlineLevel="0" collapsed="false">
      <c r="A2" s="11" t="s">
        <v>76</v>
      </c>
      <c r="B2" s="12" t="n">
        <v>0.74</v>
      </c>
      <c r="C2" s="13" t="s">
        <v>77</v>
      </c>
      <c r="D2" s="14" t="s">
        <v>78</v>
      </c>
      <c r="E2" s="15" t="s">
        <v>79</v>
      </c>
      <c r="F2" s="15" t="s">
        <v>80</v>
      </c>
      <c r="G2" s="14" t="s">
        <v>81</v>
      </c>
      <c r="H2" s="16" t="s">
        <v>82</v>
      </c>
      <c r="I2" s="16" t="s">
        <v>83</v>
      </c>
      <c r="J2" s="16"/>
      <c r="K2" s="17" t="n">
        <v>5</v>
      </c>
      <c r="L2" s="18" t="n">
        <v>2</v>
      </c>
      <c r="M2" s="19" t="s">
        <v>41</v>
      </c>
      <c r="N2" s="18" t="n">
        <v>3</v>
      </c>
      <c r="O2" s="20" t="n">
        <v>73.08</v>
      </c>
      <c r="P2" s="20" t="n">
        <v>210.65</v>
      </c>
      <c r="Q2" s="18" t="n">
        <v>3</v>
      </c>
      <c r="R2" s="18" t="n">
        <v>1</v>
      </c>
      <c r="S2" s="18" t="n">
        <v>198</v>
      </c>
      <c r="T2" s="18" t="n">
        <v>198</v>
      </c>
      <c r="U2" s="14" t="s">
        <v>84</v>
      </c>
      <c r="V2" s="16" t="s">
        <v>85</v>
      </c>
      <c r="W2" s="15" t="s">
        <v>86</v>
      </c>
      <c r="X2" s="15" t="s">
        <v>87</v>
      </c>
      <c r="Y2" s="16" t="s">
        <v>88</v>
      </c>
      <c r="Z2" s="21" t="s">
        <v>72</v>
      </c>
      <c r="AA2" s="21" t="s">
        <v>89</v>
      </c>
      <c r="AB2" s="22" t="n">
        <v>24.9139281</v>
      </c>
      <c r="AC2" s="22" t="n">
        <v>121.1804407</v>
      </c>
    </row>
    <row r="3" customFormat="false" ht="26.85" hidden="false" customHeight="false" outlineLevel="0" collapsed="false">
      <c r="A3" s="11" t="s">
        <v>76</v>
      </c>
      <c r="B3" s="12" t="n">
        <v>0.75</v>
      </c>
      <c r="C3" s="14" t="s">
        <v>90</v>
      </c>
      <c r="D3" s="14" t="s">
        <v>90</v>
      </c>
      <c r="E3" s="15" t="s">
        <v>79</v>
      </c>
      <c r="F3" s="15" t="s">
        <v>80</v>
      </c>
      <c r="G3" s="14" t="s">
        <v>91</v>
      </c>
      <c r="H3" s="16" t="s">
        <v>92</v>
      </c>
      <c r="I3" s="16" t="s">
        <v>93</v>
      </c>
      <c r="J3" s="21" t="s">
        <v>56</v>
      </c>
      <c r="K3" s="17" t="n">
        <v>5</v>
      </c>
      <c r="L3" s="18" t="n">
        <v>12</v>
      </c>
      <c r="M3" s="23" t="s">
        <v>43</v>
      </c>
      <c r="N3" s="18" t="n">
        <v>3</v>
      </c>
      <c r="O3" s="20" t="n">
        <v>76.43</v>
      </c>
      <c r="P3" s="20" t="n">
        <v>144.07</v>
      </c>
      <c r="Q3" s="18" t="n">
        <v>3</v>
      </c>
      <c r="R3" s="18" t="n">
        <v>2</v>
      </c>
      <c r="S3" s="18" t="n">
        <v>45</v>
      </c>
      <c r="T3" s="18" t="n">
        <v>30</v>
      </c>
      <c r="U3" s="14" t="s">
        <v>94</v>
      </c>
      <c r="V3" s="16" t="s">
        <v>95</v>
      </c>
      <c r="W3" s="15" t="s">
        <v>96</v>
      </c>
      <c r="X3" s="15" t="s">
        <v>97</v>
      </c>
      <c r="Y3" s="16" t="s">
        <v>88</v>
      </c>
      <c r="Z3" s="21" t="s">
        <v>72</v>
      </c>
      <c r="AA3" s="21" t="s">
        <v>89</v>
      </c>
      <c r="AB3" s="22" t="n">
        <v>24.918406</v>
      </c>
      <c r="AC3" s="22" t="n">
        <v>121.185333</v>
      </c>
    </row>
    <row r="4" customFormat="false" ht="15" hidden="false" customHeight="false" outlineLevel="0" collapsed="false">
      <c r="A4" s="11" t="s">
        <v>76</v>
      </c>
      <c r="B4" s="12" t="n">
        <v>0.89</v>
      </c>
      <c r="C4" s="14" t="s">
        <v>98</v>
      </c>
      <c r="D4" s="13"/>
      <c r="E4" s="15" t="s">
        <v>79</v>
      </c>
      <c r="F4" s="15" t="s">
        <v>80</v>
      </c>
      <c r="G4" s="14" t="s">
        <v>99</v>
      </c>
      <c r="H4" s="16" t="s">
        <v>100</v>
      </c>
      <c r="I4" s="16"/>
      <c r="J4" s="21" t="s">
        <v>56</v>
      </c>
      <c r="K4" s="17" t="n">
        <v>5</v>
      </c>
      <c r="L4" s="18" t="n">
        <v>1</v>
      </c>
      <c r="M4" s="16"/>
      <c r="N4" s="18"/>
      <c r="O4" s="20"/>
      <c r="P4" s="20"/>
      <c r="Q4" s="18"/>
      <c r="R4" s="18"/>
      <c r="S4" s="18"/>
      <c r="T4" s="18"/>
      <c r="U4" s="13"/>
      <c r="V4" s="16"/>
      <c r="W4" s="16"/>
      <c r="X4" s="16"/>
      <c r="Y4" s="16"/>
      <c r="Z4" s="24"/>
      <c r="AA4" s="21" t="s">
        <v>89</v>
      </c>
      <c r="AB4" s="22" t="n">
        <v>24.9145519</v>
      </c>
      <c r="AC4" s="22" t="n">
        <v>121.1842762</v>
      </c>
    </row>
    <row r="5" customFormat="false" ht="26.85" hidden="false" customHeight="false" outlineLevel="0" collapsed="false">
      <c r="A5" s="11" t="s">
        <v>76</v>
      </c>
      <c r="B5" s="12" t="n">
        <v>0.96</v>
      </c>
      <c r="C5" s="14" t="s">
        <v>101</v>
      </c>
      <c r="D5" s="14" t="s">
        <v>102</v>
      </c>
      <c r="E5" s="15" t="s">
        <v>79</v>
      </c>
      <c r="F5" s="15" t="s">
        <v>80</v>
      </c>
      <c r="G5" s="14" t="s">
        <v>103</v>
      </c>
      <c r="H5" s="16" t="s">
        <v>104</v>
      </c>
      <c r="I5" s="16" t="s">
        <v>105</v>
      </c>
      <c r="J5" s="16"/>
      <c r="K5" s="17" t="n">
        <v>4.8</v>
      </c>
      <c r="L5" s="18" t="n">
        <v>33</v>
      </c>
      <c r="M5" s="19" t="s">
        <v>41</v>
      </c>
      <c r="N5" s="18" t="n">
        <v>6</v>
      </c>
      <c r="O5" s="20" t="n">
        <v>190.82</v>
      </c>
      <c r="P5" s="20" t="n">
        <v>282.26</v>
      </c>
      <c r="Q5" s="18" t="n">
        <v>6</v>
      </c>
      <c r="R5" s="18" t="n">
        <v>4</v>
      </c>
      <c r="S5" s="18" t="n">
        <v>156</v>
      </c>
      <c r="T5" s="18" t="n">
        <v>54</v>
      </c>
      <c r="U5" s="14" t="s">
        <v>84</v>
      </c>
      <c r="V5" s="16" t="s">
        <v>106</v>
      </c>
      <c r="W5" s="15" t="s">
        <v>107</v>
      </c>
      <c r="X5" s="15" t="s">
        <v>108</v>
      </c>
      <c r="Y5" s="16" t="s">
        <v>109</v>
      </c>
      <c r="Z5" s="21" t="s">
        <v>72</v>
      </c>
      <c r="AA5" s="21" t="s">
        <v>89</v>
      </c>
      <c r="AB5" s="22" t="n">
        <v>24.912301</v>
      </c>
      <c r="AC5" s="22" t="n">
        <v>121.1817234</v>
      </c>
    </row>
    <row r="6" customFormat="false" ht="15" hidden="false" customHeight="false" outlineLevel="0" collapsed="false">
      <c r="A6" s="11" t="s">
        <v>76</v>
      </c>
      <c r="B6" s="12" t="n">
        <v>3.03</v>
      </c>
      <c r="C6" s="14" t="s">
        <v>110</v>
      </c>
      <c r="D6" s="13"/>
      <c r="E6" s="15" t="s">
        <v>79</v>
      </c>
      <c r="F6" s="15" t="s">
        <v>80</v>
      </c>
      <c r="G6" s="14" t="s">
        <v>111</v>
      </c>
      <c r="H6" s="16" t="s">
        <v>112</v>
      </c>
      <c r="I6" s="16"/>
      <c r="J6" s="16"/>
      <c r="K6" s="17" t="n">
        <v>3</v>
      </c>
      <c r="L6" s="18" t="n">
        <v>2</v>
      </c>
      <c r="M6" s="16"/>
      <c r="N6" s="18"/>
      <c r="O6" s="20"/>
      <c r="P6" s="20"/>
      <c r="Q6" s="18"/>
      <c r="R6" s="18"/>
      <c r="S6" s="18"/>
      <c r="T6" s="18"/>
      <c r="U6" s="13"/>
      <c r="V6" s="16"/>
      <c r="W6" s="16"/>
      <c r="X6" s="16"/>
      <c r="Y6" s="16"/>
      <c r="Z6" s="24"/>
      <c r="AA6" s="21" t="s">
        <v>89</v>
      </c>
      <c r="AB6" s="22" t="n">
        <v>24.898957</v>
      </c>
      <c r="AC6" s="22" t="n">
        <v>121.159431</v>
      </c>
    </row>
    <row r="7" customFormat="false" ht="15" hidden="false" customHeight="false" outlineLevel="0" collapsed="false">
      <c r="A7" s="11" t="s">
        <v>76</v>
      </c>
      <c r="B7" s="12" t="n">
        <v>3.3</v>
      </c>
      <c r="C7" s="14" t="s">
        <v>113</v>
      </c>
      <c r="D7" s="14" t="s">
        <v>114</v>
      </c>
      <c r="E7" s="15" t="s">
        <v>79</v>
      </c>
      <c r="F7" s="15" t="s">
        <v>80</v>
      </c>
      <c r="G7" s="14" t="s">
        <v>115</v>
      </c>
      <c r="H7" s="16" t="s">
        <v>116</v>
      </c>
      <c r="I7" s="16" t="s">
        <v>117</v>
      </c>
      <c r="J7" s="16"/>
      <c r="K7" s="17" t="n">
        <v>5</v>
      </c>
      <c r="L7" s="18" t="n">
        <v>2</v>
      </c>
      <c r="M7" s="23" t="s">
        <v>43</v>
      </c>
      <c r="N7" s="18" t="n">
        <v>4</v>
      </c>
      <c r="O7" s="20" t="n">
        <v>111.3</v>
      </c>
      <c r="P7" s="20" t="n">
        <v>182.51</v>
      </c>
      <c r="Q7" s="18" t="n">
        <v>14</v>
      </c>
      <c r="R7" s="18" t="n">
        <v>6</v>
      </c>
      <c r="S7" s="18" t="n">
        <v>340</v>
      </c>
      <c r="T7" s="18" t="n">
        <v>106</v>
      </c>
      <c r="U7" s="14" t="s">
        <v>118</v>
      </c>
      <c r="V7" s="16" t="s">
        <v>119</v>
      </c>
      <c r="W7" s="15" t="s">
        <v>120</v>
      </c>
      <c r="X7" s="15" t="s">
        <v>121</v>
      </c>
      <c r="Y7" s="16" t="s">
        <v>88</v>
      </c>
      <c r="Z7" s="21" t="s">
        <v>72</v>
      </c>
      <c r="AA7" s="21" t="s">
        <v>89</v>
      </c>
      <c r="AB7" s="22" t="n">
        <v>24.9172901</v>
      </c>
      <c r="AC7" s="22" t="n">
        <v>121.145553</v>
      </c>
    </row>
    <row r="8" customFormat="false" ht="15" hidden="false" customHeight="false" outlineLevel="0" collapsed="false">
      <c r="A8" s="11" t="s">
        <v>76</v>
      </c>
      <c r="B8" s="12" t="n">
        <v>3.35</v>
      </c>
      <c r="C8" s="14" t="s">
        <v>122</v>
      </c>
      <c r="D8" s="14" t="s">
        <v>123</v>
      </c>
      <c r="E8" s="15" t="s">
        <v>79</v>
      </c>
      <c r="F8" s="15" t="s">
        <v>80</v>
      </c>
      <c r="G8" s="14" t="s">
        <v>124</v>
      </c>
      <c r="H8" s="16" t="s">
        <v>125</v>
      </c>
      <c r="I8" s="16" t="s">
        <v>126</v>
      </c>
      <c r="J8" s="16"/>
      <c r="K8" s="17" t="n">
        <v>4.8</v>
      </c>
      <c r="L8" s="18" t="n">
        <v>4</v>
      </c>
      <c r="M8" s="23" t="s">
        <v>43</v>
      </c>
      <c r="N8" s="18" t="n">
        <v>4</v>
      </c>
      <c r="O8" s="20" t="n">
        <v>88.19</v>
      </c>
      <c r="P8" s="20" t="n">
        <v>190.76</v>
      </c>
      <c r="Q8" s="18" t="n">
        <v>4</v>
      </c>
      <c r="R8" s="18" t="n">
        <v>4</v>
      </c>
      <c r="S8" s="18" t="n">
        <v>71</v>
      </c>
      <c r="T8" s="18" t="n">
        <v>46</v>
      </c>
      <c r="U8" s="14" t="s">
        <v>84</v>
      </c>
      <c r="V8" s="16" t="s">
        <v>127</v>
      </c>
      <c r="W8" s="15" t="s">
        <v>128</v>
      </c>
      <c r="X8" s="15" t="s">
        <v>128</v>
      </c>
      <c r="Y8" s="16" t="s">
        <v>88</v>
      </c>
      <c r="Z8" s="21" t="s">
        <v>72</v>
      </c>
      <c r="AA8" s="21" t="s">
        <v>89</v>
      </c>
      <c r="AB8" s="22" t="n">
        <v>24.9107126</v>
      </c>
      <c r="AC8" s="22" t="n">
        <v>121.1466664</v>
      </c>
    </row>
    <row r="9" customFormat="false" ht="15" hidden="false" customHeight="false" outlineLevel="0" collapsed="false">
      <c r="A9" s="11" t="s">
        <v>76</v>
      </c>
      <c r="B9" s="12" t="n">
        <v>3.37</v>
      </c>
      <c r="C9" s="14" t="s">
        <v>129</v>
      </c>
      <c r="D9" s="14" t="s">
        <v>130</v>
      </c>
      <c r="E9" s="15" t="s">
        <v>79</v>
      </c>
      <c r="F9" s="15" t="s">
        <v>80</v>
      </c>
      <c r="G9" s="14" t="s">
        <v>131</v>
      </c>
      <c r="H9" s="16" t="s">
        <v>132</v>
      </c>
      <c r="I9" s="16" t="s">
        <v>117</v>
      </c>
      <c r="J9" s="21" t="s">
        <v>56</v>
      </c>
      <c r="K9" s="17" t="n">
        <v>5</v>
      </c>
      <c r="L9" s="18" t="n">
        <v>21</v>
      </c>
      <c r="M9" s="19" t="s">
        <v>41</v>
      </c>
      <c r="N9" s="18" t="n">
        <v>4</v>
      </c>
      <c r="O9" s="20" t="n">
        <v>58.42</v>
      </c>
      <c r="P9" s="20" t="n">
        <v>221.04</v>
      </c>
      <c r="Q9" s="18" t="n">
        <v>12</v>
      </c>
      <c r="R9" s="18" t="n">
        <v>8</v>
      </c>
      <c r="S9" s="18" t="n">
        <v>120</v>
      </c>
      <c r="T9" s="18" t="n">
        <v>56</v>
      </c>
      <c r="U9" s="14" t="s">
        <v>118</v>
      </c>
      <c r="V9" s="16" t="s">
        <v>133</v>
      </c>
      <c r="W9" s="15" t="s">
        <v>120</v>
      </c>
      <c r="X9" s="15" t="s">
        <v>120</v>
      </c>
      <c r="Y9" s="16" t="s">
        <v>88</v>
      </c>
      <c r="Z9" s="21" t="s">
        <v>72</v>
      </c>
      <c r="AA9" s="21" t="s">
        <v>89</v>
      </c>
      <c r="AB9" s="22" t="n">
        <v>24.9108707</v>
      </c>
      <c r="AC9" s="22" t="n">
        <v>121.1463997</v>
      </c>
    </row>
    <row r="10" customFormat="false" ht="26.85" hidden="false" customHeight="false" outlineLevel="0" collapsed="false">
      <c r="A10" s="11" t="s">
        <v>76</v>
      </c>
      <c r="B10" s="12" t="n">
        <v>3.48</v>
      </c>
      <c r="C10" s="14" t="s">
        <v>134</v>
      </c>
      <c r="D10" s="14" t="s">
        <v>135</v>
      </c>
      <c r="E10" s="15" t="s">
        <v>79</v>
      </c>
      <c r="F10" s="15" t="s">
        <v>80</v>
      </c>
      <c r="G10" s="14" t="s">
        <v>136</v>
      </c>
      <c r="H10" s="16" t="s">
        <v>137</v>
      </c>
      <c r="I10" s="16" t="s">
        <v>138</v>
      </c>
      <c r="J10" s="21" t="s">
        <v>56</v>
      </c>
      <c r="K10" s="17" t="n">
        <v>4.9</v>
      </c>
      <c r="L10" s="18" t="n">
        <v>104</v>
      </c>
      <c r="M10" s="19" t="s">
        <v>41</v>
      </c>
      <c r="N10" s="18" t="n">
        <v>5</v>
      </c>
      <c r="O10" s="20" t="n">
        <v>81.39</v>
      </c>
      <c r="P10" s="20" t="n">
        <v>143.94</v>
      </c>
      <c r="Q10" s="18" t="n">
        <v>14</v>
      </c>
      <c r="R10" s="18" t="n">
        <v>11</v>
      </c>
      <c r="S10" s="18" t="n">
        <v>176</v>
      </c>
      <c r="T10" s="18" t="n">
        <v>104</v>
      </c>
      <c r="U10" s="14" t="s">
        <v>84</v>
      </c>
      <c r="V10" s="16" t="s">
        <v>139</v>
      </c>
      <c r="W10" s="15" t="s">
        <v>140</v>
      </c>
      <c r="X10" s="15" t="s">
        <v>141</v>
      </c>
      <c r="Y10" s="16" t="s">
        <v>88</v>
      </c>
      <c r="Z10" s="21" t="s">
        <v>72</v>
      </c>
      <c r="AA10" s="21" t="s">
        <v>89</v>
      </c>
      <c r="AB10" s="22" t="n">
        <v>24.9118364</v>
      </c>
      <c r="AC10" s="22" t="n">
        <v>121.1448677</v>
      </c>
    </row>
    <row r="11" customFormat="false" ht="15" hidden="false" customHeight="false" outlineLevel="0" collapsed="false">
      <c r="A11" s="11" t="s">
        <v>76</v>
      </c>
      <c r="B11" s="12" t="n">
        <v>3.48</v>
      </c>
      <c r="C11" s="14" t="s">
        <v>142</v>
      </c>
      <c r="D11" s="14" t="s">
        <v>143</v>
      </c>
      <c r="E11" s="15" t="s">
        <v>79</v>
      </c>
      <c r="F11" s="15" t="s">
        <v>80</v>
      </c>
      <c r="G11" s="14" t="s">
        <v>144</v>
      </c>
      <c r="H11" s="16" t="s">
        <v>145</v>
      </c>
      <c r="I11" s="16" t="s">
        <v>146</v>
      </c>
      <c r="J11" s="16"/>
      <c r="K11" s="17" t="n">
        <v>1</v>
      </c>
      <c r="L11" s="18" t="n">
        <v>1</v>
      </c>
      <c r="M11" s="23" t="s">
        <v>43</v>
      </c>
      <c r="N11" s="18" t="n">
        <v>4</v>
      </c>
      <c r="O11" s="20" t="n">
        <v>128.13</v>
      </c>
      <c r="P11" s="20" t="n">
        <v>185.33</v>
      </c>
      <c r="Q11" s="18" t="n">
        <v>5</v>
      </c>
      <c r="R11" s="18" t="n">
        <v>1</v>
      </c>
      <c r="S11" s="18" t="n">
        <v>118</v>
      </c>
      <c r="T11" s="18" t="n">
        <v>20</v>
      </c>
      <c r="U11" s="14" t="s">
        <v>118</v>
      </c>
      <c r="V11" s="16" t="s">
        <v>147</v>
      </c>
      <c r="W11" s="15" t="s">
        <v>148</v>
      </c>
      <c r="X11" s="15" t="s">
        <v>148</v>
      </c>
      <c r="Y11" s="16" t="s">
        <v>88</v>
      </c>
      <c r="Z11" s="21" t="s">
        <v>72</v>
      </c>
      <c r="AA11" s="21" t="s">
        <v>89</v>
      </c>
      <c r="AB11" s="22" t="n">
        <v>24.910428</v>
      </c>
      <c r="AC11" s="22" t="n">
        <v>121.145391</v>
      </c>
    </row>
    <row r="12" customFormat="false" ht="15" hidden="false" customHeight="false" outlineLevel="0" collapsed="false">
      <c r="A12" s="11" t="s">
        <v>76</v>
      </c>
      <c r="B12" s="12" t="n">
        <v>3.56</v>
      </c>
      <c r="C12" s="14" t="s">
        <v>149</v>
      </c>
      <c r="D12" s="14" t="s">
        <v>150</v>
      </c>
      <c r="E12" s="15" t="s">
        <v>79</v>
      </c>
      <c r="F12" s="15" t="s">
        <v>80</v>
      </c>
      <c r="G12" s="14" t="s">
        <v>151</v>
      </c>
      <c r="H12" s="16" t="s">
        <v>152</v>
      </c>
      <c r="I12" s="16" t="s">
        <v>153</v>
      </c>
      <c r="J12" s="21" t="s">
        <v>56</v>
      </c>
      <c r="K12" s="17" t="n">
        <v>4.6</v>
      </c>
      <c r="L12" s="18" t="n">
        <v>10</v>
      </c>
      <c r="M12" s="23" t="s">
        <v>43</v>
      </c>
      <c r="N12" s="18" t="n">
        <v>1</v>
      </c>
      <c r="O12" s="20" t="n">
        <v>38.25</v>
      </c>
      <c r="P12" s="20" t="n">
        <v>120.5</v>
      </c>
      <c r="Q12" s="18" t="n">
        <v>2</v>
      </c>
      <c r="R12" s="18" t="n">
        <v>4</v>
      </c>
      <c r="S12" s="18" t="n">
        <v>68</v>
      </c>
      <c r="T12" s="18" t="n">
        <v>68</v>
      </c>
      <c r="U12" s="14" t="s">
        <v>84</v>
      </c>
      <c r="V12" s="16" t="s">
        <v>154</v>
      </c>
      <c r="W12" s="15" t="s">
        <v>155</v>
      </c>
      <c r="X12" s="15" t="s">
        <v>155</v>
      </c>
      <c r="Y12" s="16" t="s">
        <v>88</v>
      </c>
      <c r="Z12" s="21" t="s">
        <v>72</v>
      </c>
      <c r="AA12" s="21" t="s">
        <v>89</v>
      </c>
      <c r="AB12" s="22" t="n">
        <v>24.9109331</v>
      </c>
      <c r="AC12" s="22" t="n">
        <v>121.1444006</v>
      </c>
    </row>
    <row r="13" customFormat="false" ht="15" hidden="false" customHeight="false" outlineLevel="0" collapsed="false">
      <c r="A13" s="11" t="s">
        <v>76</v>
      </c>
      <c r="B13" s="12" t="n">
        <v>3.61</v>
      </c>
      <c r="C13" s="14" t="s">
        <v>156</v>
      </c>
      <c r="D13" s="14" t="s">
        <v>157</v>
      </c>
      <c r="E13" s="15" t="s">
        <v>79</v>
      </c>
      <c r="F13" s="15" t="s">
        <v>80</v>
      </c>
      <c r="G13" s="14" t="s">
        <v>158</v>
      </c>
      <c r="H13" s="16" t="s">
        <v>159</v>
      </c>
      <c r="I13" s="16" t="s">
        <v>160</v>
      </c>
      <c r="J13" s="16"/>
      <c r="K13" s="17" t="n">
        <v>4.4</v>
      </c>
      <c r="L13" s="18" t="n">
        <v>19</v>
      </c>
      <c r="M13" s="23" t="s">
        <v>43</v>
      </c>
      <c r="N13" s="18" t="n">
        <v>3</v>
      </c>
      <c r="O13" s="20" t="n">
        <v>39.98</v>
      </c>
      <c r="P13" s="20" t="n">
        <v>107.7</v>
      </c>
      <c r="Q13" s="18" t="n">
        <v>12</v>
      </c>
      <c r="R13" s="18" t="n">
        <v>8</v>
      </c>
      <c r="S13" s="18" t="n">
        <v>122</v>
      </c>
      <c r="T13" s="18" t="n">
        <v>30</v>
      </c>
      <c r="U13" s="14" t="s">
        <v>84</v>
      </c>
      <c r="V13" s="16" t="s">
        <v>161</v>
      </c>
      <c r="W13" s="15" t="s">
        <v>162</v>
      </c>
      <c r="X13" s="15" t="s">
        <v>162</v>
      </c>
      <c r="Y13" s="16" t="s">
        <v>88</v>
      </c>
      <c r="Z13" s="21" t="s">
        <v>72</v>
      </c>
      <c r="AA13" s="21" t="s">
        <v>89</v>
      </c>
      <c r="AB13" s="22" t="n">
        <v>24.9110952</v>
      </c>
      <c r="AC13" s="22" t="n">
        <v>121.1438123</v>
      </c>
    </row>
    <row r="14" customFormat="false" ht="15" hidden="false" customHeight="false" outlineLevel="0" collapsed="false">
      <c r="A14" s="11" t="s">
        <v>76</v>
      </c>
      <c r="B14" s="12" t="n">
        <v>3.66</v>
      </c>
      <c r="C14" s="14" t="s">
        <v>163</v>
      </c>
      <c r="D14" s="14" t="s">
        <v>164</v>
      </c>
      <c r="E14" s="15" t="s">
        <v>79</v>
      </c>
      <c r="F14" s="15" t="s">
        <v>80</v>
      </c>
      <c r="G14" s="14" t="s">
        <v>165</v>
      </c>
      <c r="H14" s="16" t="s">
        <v>166</v>
      </c>
      <c r="I14" s="16" t="s">
        <v>167</v>
      </c>
      <c r="J14" s="21" t="s">
        <v>56</v>
      </c>
      <c r="K14" s="17" t="n">
        <v>4.3</v>
      </c>
      <c r="L14" s="18" t="n">
        <v>24</v>
      </c>
      <c r="M14" s="23" t="s">
        <v>43</v>
      </c>
      <c r="N14" s="18" t="n">
        <v>3</v>
      </c>
      <c r="O14" s="20" t="n">
        <v>31</v>
      </c>
      <c r="P14" s="20" t="n">
        <v>77.73</v>
      </c>
      <c r="Q14" s="18" t="n">
        <v>26</v>
      </c>
      <c r="R14" s="18" t="n">
        <v>10</v>
      </c>
      <c r="S14" s="18" t="n">
        <v>216</v>
      </c>
      <c r="T14" s="18" t="n">
        <v>75</v>
      </c>
      <c r="U14" s="14" t="s">
        <v>84</v>
      </c>
      <c r="V14" s="16" t="s">
        <v>168</v>
      </c>
      <c r="W14" s="15" t="s">
        <v>169</v>
      </c>
      <c r="X14" s="15" t="s">
        <v>170</v>
      </c>
      <c r="Y14" s="16" t="s">
        <v>109</v>
      </c>
      <c r="Z14" s="21" t="s">
        <v>72</v>
      </c>
      <c r="AA14" s="21" t="s">
        <v>89</v>
      </c>
      <c r="AB14" s="22" t="n">
        <v>24.9031639</v>
      </c>
      <c r="AC14" s="22" t="n">
        <v>121.1471083</v>
      </c>
    </row>
    <row r="15" customFormat="false" ht="15" hidden="false" customHeight="false" outlineLevel="0" collapsed="false">
      <c r="A15" s="11" t="s">
        <v>76</v>
      </c>
      <c r="B15" s="12" t="n">
        <v>3.68</v>
      </c>
      <c r="C15" s="14" t="s">
        <v>171</v>
      </c>
      <c r="D15" s="14" t="s">
        <v>172</v>
      </c>
      <c r="E15" s="15" t="s">
        <v>79</v>
      </c>
      <c r="F15" s="15" t="s">
        <v>80</v>
      </c>
      <c r="G15" s="14" t="s">
        <v>173</v>
      </c>
      <c r="H15" s="16" t="s">
        <v>174</v>
      </c>
      <c r="I15" s="16"/>
      <c r="J15" s="16"/>
      <c r="K15" s="17" t="n">
        <v>5</v>
      </c>
      <c r="L15" s="18" t="n">
        <v>5</v>
      </c>
      <c r="M15" s="23" t="s">
        <v>43</v>
      </c>
      <c r="N15" s="18" t="n">
        <v>2</v>
      </c>
      <c r="O15" s="20" t="n">
        <v>41.02</v>
      </c>
      <c r="P15" s="20" t="n">
        <v>72.75</v>
      </c>
      <c r="Q15" s="18" t="n">
        <v>5</v>
      </c>
      <c r="R15" s="18" t="n">
        <v>3</v>
      </c>
      <c r="S15" s="18" t="n">
        <v>72</v>
      </c>
      <c r="T15" s="18" t="n">
        <v>30</v>
      </c>
      <c r="U15" s="14" t="s">
        <v>118</v>
      </c>
      <c r="V15" s="16" t="s">
        <v>175</v>
      </c>
      <c r="W15" s="15" t="s">
        <v>176</v>
      </c>
      <c r="X15" s="15" t="s">
        <v>176</v>
      </c>
      <c r="Y15" s="16" t="s">
        <v>88</v>
      </c>
      <c r="Z15" s="21" t="s">
        <v>72</v>
      </c>
      <c r="AA15" s="21" t="s">
        <v>89</v>
      </c>
      <c r="AB15" s="22" t="n">
        <v>24.9031218</v>
      </c>
      <c r="AC15" s="22" t="n">
        <v>121.1469764</v>
      </c>
    </row>
    <row r="16" customFormat="false" ht="15" hidden="false" customHeight="false" outlineLevel="0" collapsed="false">
      <c r="A16" s="11" t="s">
        <v>76</v>
      </c>
      <c r="B16" s="12" t="n">
        <v>3.85</v>
      </c>
      <c r="C16" s="14" t="s">
        <v>177</v>
      </c>
      <c r="D16" s="14" t="s">
        <v>178</v>
      </c>
      <c r="E16" s="15" t="s">
        <v>79</v>
      </c>
      <c r="F16" s="15" t="s">
        <v>179</v>
      </c>
      <c r="G16" s="14" t="s">
        <v>180</v>
      </c>
      <c r="H16" s="16" t="s">
        <v>181</v>
      </c>
      <c r="I16" s="16" t="s">
        <v>182</v>
      </c>
      <c r="J16" s="21" t="s">
        <v>56</v>
      </c>
      <c r="K16" s="17" t="n">
        <v>4.8</v>
      </c>
      <c r="L16" s="18" t="n">
        <v>41</v>
      </c>
      <c r="M16" s="23" t="s">
        <v>43</v>
      </c>
      <c r="N16" s="18" t="n">
        <v>2</v>
      </c>
      <c r="O16" s="20" t="n">
        <v>36.15</v>
      </c>
      <c r="P16" s="20" t="n">
        <v>109.63</v>
      </c>
      <c r="Q16" s="18" t="n">
        <v>12</v>
      </c>
      <c r="R16" s="18" t="n">
        <v>4</v>
      </c>
      <c r="S16" s="18" t="n">
        <v>186</v>
      </c>
      <c r="T16" s="18" t="n">
        <v>80</v>
      </c>
      <c r="U16" s="14" t="s">
        <v>118</v>
      </c>
      <c r="V16" s="16" t="s">
        <v>183</v>
      </c>
      <c r="W16" s="15" t="s">
        <v>184</v>
      </c>
      <c r="X16" s="15" t="s">
        <v>185</v>
      </c>
      <c r="Y16" s="16" t="s">
        <v>109</v>
      </c>
      <c r="Z16" s="21" t="s">
        <v>72</v>
      </c>
      <c r="AA16" s="21" t="s">
        <v>89</v>
      </c>
      <c r="AB16" s="22" t="n">
        <v>24.894544</v>
      </c>
      <c r="AC16" s="22" t="n">
        <v>121.203744</v>
      </c>
    </row>
    <row r="17" customFormat="false" ht="15" hidden="false" customHeight="false" outlineLevel="0" collapsed="false">
      <c r="A17" s="11" t="s">
        <v>76</v>
      </c>
      <c r="B17" s="12" t="n">
        <v>4.35</v>
      </c>
      <c r="C17" s="14" t="s">
        <v>186</v>
      </c>
      <c r="D17" s="13"/>
      <c r="E17" s="15" t="s">
        <v>79</v>
      </c>
      <c r="F17" s="15" t="s">
        <v>80</v>
      </c>
      <c r="G17" s="14" t="s">
        <v>187</v>
      </c>
      <c r="H17" s="16" t="s">
        <v>188</v>
      </c>
      <c r="I17" s="16"/>
      <c r="J17" s="16"/>
      <c r="K17" s="17" t="n">
        <v>5</v>
      </c>
      <c r="L17" s="18" t="n">
        <v>2</v>
      </c>
      <c r="M17" s="16"/>
      <c r="N17" s="18"/>
      <c r="O17" s="20"/>
      <c r="P17" s="20"/>
      <c r="Q17" s="18"/>
      <c r="R17" s="18"/>
      <c r="S17" s="18"/>
      <c r="T17" s="18"/>
      <c r="U17" s="13"/>
      <c r="V17" s="16"/>
      <c r="W17" s="16"/>
      <c r="X17" s="16"/>
      <c r="Y17" s="16"/>
      <c r="Z17" s="24"/>
      <c r="AA17" s="21" t="s">
        <v>89</v>
      </c>
      <c r="AB17" s="22" t="n">
        <v>24.9568194</v>
      </c>
      <c r="AC17" s="22" t="n">
        <v>121.1626941</v>
      </c>
    </row>
    <row r="18" customFormat="false" ht="26.85" hidden="false" customHeight="false" outlineLevel="0" collapsed="false">
      <c r="A18" s="11" t="s">
        <v>76</v>
      </c>
      <c r="B18" s="12" t="n">
        <v>4.39</v>
      </c>
      <c r="C18" s="14" t="s">
        <v>189</v>
      </c>
      <c r="D18" s="14" t="s">
        <v>190</v>
      </c>
      <c r="E18" s="15" t="s">
        <v>79</v>
      </c>
      <c r="F18" s="15" t="s">
        <v>179</v>
      </c>
      <c r="G18" s="14" t="s">
        <v>191</v>
      </c>
      <c r="H18" s="16" t="s">
        <v>192</v>
      </c>
      <c r="I18" s="16" t="s">
        <v>193</v>
      </c>
      <c r="J18" s="21" t="s">
        <v>56</v>
      </c>
      <c r="K18" s="17" t="n">
        <v>4.8</v>
      </c>
      <c r="L18" s="18" t="n">
        <v>25</v>
      </c>
      <c r="M18" s="23" t="s">
        <v>43</v>
      </c>
      <c r="N18" s="18" t="n">
        <v>2</v>
      </c>
      <c r="O18" s="20" t="n">
        <v>30.04</v>
      </c>
      <c r="P18" s="20" t="n">
        <v>132.1</v>
      </c>
      <c r="Q18" s="18" t="n">
        <v>2</v>
      </c>
      <c r="R18" s="18" t="n">
        <v>1</v>
      </c>
      <c r="S18" s="18" t="n">
        <v>30</v>
      </c>
      <c r="T18" s="18"/>
      <c r="U18" s="14" t="s">
        <v>194</v>
      </c>
      <c r="V18" s="16" t="s">
        <v>195</v>
      </c>
      <c r="W18" s="15" t="s">
        <v>196</v>
      </c>
      <c r="X18" s="15" t="s">
        <v>196</v>
      </c>
      <c r="Y18" s="16" t="s">
        <v>88</v>
      </c>
      <c r="Z18" s="21" t="s">
        <v>72</v>
      </c>
      <c r="AA18" s="21" t="s">
        <v>89</v>
      </c>
      <c r="AB18" s="22" t="n">
        <v>24.9525965</v>
      </c>
      <c r="AC18" s="22" t="n">
        <v>121.2031496</v>
      </c>
    </row>
    <row r="19" customFormat="false" ht="15" hidden="false" customHeight="false" outlineLevel="0" collapsed="false">
      <c r="A19" s="11" t="s">
        <v>76</v>
      </c>
      <c r="B19" s="12" t="n">
        <v>4.4</v>
      </c>
      <c r="C19" s="14" t="s">
        <v>197</v>
      </c>
      <c r="D19" s="14" t="s">
        <v>198</v>
      </c>
      <c r="E19" s="15" t="s">
        <v>79</v>
      </c>
      <c r="F19" s="15" t="s">
        <v>179</v>
      </c>
      <c r="G19" s="14" t="s">
        <v>199</v>
      </c>
      <c r="H19" s="16" t="s">
        <v>200</v>
      </c>
      <c r="I19" s="16" t="s">
        <v>201</v>
      </c>
      <c r="J19" s="16"/>
      <c r="K19" s="17" t="n">
        <v>1</v>
      </c>
      <c r="L19" s="18" t="n">
        <v>1</v>
      </c>
      <c r="M19" s="25" t="s">
        <v>39</v>
      </c>
      <c r="N19" s="18" t="n">
        <v>9</v>
      </c>
      <c r="O19" s="20" t="n">
        <v>67.31</v>
      </c>
      <c r="P19" s="20" t="n">
        <v>115.54</v>
      </c>
      <c r="Q19" s="18" t="n">
        <v>9</v>
      </c>
      <c r="R19" s="18" t="n">
        <v>1</v>
      </c>
      <c r="S19" s="18" t="n">
        <v>270</v>
      </c>
      <c r="T19" s="18" t="n">
        <v>90</v>
      </c>
      <c r="U19" s="14" t="s">
        <v>202</v>
      </c>
      <c r="V19" s="16" t="s">
        <v>203</v>
      </c>
      <c r="W19" s="15" t="s">
        <v>204</v>
      </c>
      <c r="X19" s="15" t="s">
        <v>204</v>
      </c>
      <c r="Y19" s="16" t="s">
        <v>88</v>
      </c>
      <c r="Z19" s="21" t="s">
        <v>72</v>
      </c>
      <c r="AA19" s="21" t="s">
        <v>89</v>
      </c>
      <c r="AB19" s="22" t="n">
        <v>24.952707</v>
      </c>
      <c r="AC19" s="22" t="n">
        <v>121.203134</v>
      </c>
    </row>
    <row r="20" customFormat="false" ht="15" hidden="false" customHeight="false" outlineLevel="0" collapsed="false">
      <c r="A20" s="11" t="s">
        <v>76</v>
      </c>
      <c r="B20" s="12" t="n">
        <v>4.41</v>
      </c>
      <c r="C20" s="14" t="s">
        <v>205</v>
      </c>
      <c r="D20" s="14" t="s">
        <v>206</v>
      </c>
      <c r="E20" s="15" t="s">
        <v>79</v>
      </c>
      <c r="F20" s="15" t="s">
        <v>179</v>
      </c>
      <c r="G20" s="14" t="s">
        <v>207</v>
      </c>
      <c r="H20" s="16" t="s">
        <v>208</v>
      </c>
      <c r="I20" s="16" t="s">
        <v>209</v>
      </c>
      <c r="J20" s="21" t="s">
        <v>56</v>
      </c>
      <c r="K20" s="17" t="n">
        <v>5</v>
      </c>
      <c r="L20" s="18" t="n">
        <v>95</v>
      </c>
      <c r="M20" s="23" t="s">
        <v>43</v>
      </c>
      <c r="N20" s="18" t="n">
        <v>4</v>
      </c>
      <c r="O20" s="20" t="n">
        <v>59.98</v>
      </c>
      <c r="P20" s="20" t="n">
        <v>138.34</v>
      </c>
      <c r="Q20" s="18" t="n">
        <v>12</v>
      </c>
      <c r="R20" s="18" t="n">
        <v>2</v>
      </c>
      <c r="S20" s="18" t="n">
        <v>148</v>
      </c>
      <c r="T20" s="18" t="n">
        <v>96</v>
      </c>
      <c r="U20" s="14" t="s">
        <v>194</v>
      </c>
      <c r="V20" s="16" t="s">
        <v>210</v>
      </c>
      <c r="W20" s="15" t="s">
        <v>211</v>
      </c>
      <c r="X20" s="15" t="s">
        <v>211</v>
      </c>
      <c r="Y20" s="16" t="s">
        <v>88</v>
      </c>
      <c r="Z20" s="21" t="s">
        <v>72</v>
      </c>
      <c r="AA20" s="21" t="s">
        <v>89</v>
      </c>
      <c r="AB20" s="22" t="n">
        <v>24.9530664</v>
      </c>
      <c r="AC20" s="22" t="n">
        <v>121.2027249</v>
      </c>
    </row>
    <row r="21" customFormat="false" ht="15" hidden="false" customHeight="false" outlineLevel="0" collapsed="false">
      <c r="A21" s="11" t="s">
        <v>76</v>
      </c>
      <c r="B21" s="12" t="n">
        <v>4.47</v>
      </c>
      <c r="C21" s="14" t="s">
        <v>212</v>
      </c>
      <c r="D21" s="14" t="s">
        <v>213</v>
      </c>
      <c r="E21" s="15" t="s">
        <v>79</v>
      </c>
      <c r="F21" s="15" t="s">
        <v>214</v>
      </c>
      <c r="G21" s="14" t="s">
        <v>215</v>
      </c>
      <c r="H21" s="16" t="s">
        <v>216</v>
      </c>
      <c r="I21" s="16" t="s">
        <v>217</v>
      </c>
      <c r="J21" s="21" t="s">
        <v>56</v>
      </c>
      <c r="K21" s="17" t="n">
        <v>4.3</v>
      </c>
      <c r="L21" s="18" t="n">
        <v>29</v>
      </c>
      <c r="M21" s="23" t="s">
        <v>43</v>
      </c>
      <c r="N21" s="18" t="n">
        <v>4</v>
      </c>
      <c r="O21" s="20" t="n">
        <v>70.62</v>
      </c>
      <c r="P21" s="20" t="n">
        <v>158.28</v>
      </c>
      <c r="Q21" s="18" t="n">
        <v>8</v>
      </c>
      <c r="R21" s="18" t="n">
        <v>7</v>
      </c>
      <c r="S21" s="18" t="n">
        <v>117</v>
      </c>
      <c r="T21" s="18" t="n">
        <v>74</v>
      </c>
      <c r="U21" s="14" t="s">
        <v>118</v>
      </c>
      <c r="V21" s="16" t="s">
        <v>218</v>
      </c>
      <c r="W21" s="15" t="s">
        <v>219</v>
      </c>
      <c r="X21" s="15" t="s">
        <v>220</v>
      </c>
      <c r="Y21" s="16" t="s">
        <v>88</v>
      </c>
      <c r="Z21" s="21" t="s">
        <v>72</v>
      </c>
      <c r="AA21" s="21" t="s">
        <v>89</v>
      </c>
      <c r="AB21" s="22" t="n">
        <v>24.9590128</v>
      </c>
      <c r="AC21" s="22" t="n">
        <v>121.1665328</v>
      </c>
    </row>
    <row r="22" customFormat="false" ht="15" hidden="false" customHeight="false" outlineLevel="0" collapsed="false">
      <c r="A22" s="11" t="s">
        <v>76</v>
      </c>
      <c r="B22" s="12" t="n">
        <v>4.53</v>
      </c>
      <c r="C22" s="14" t="s">
        <v>221</v>
      </c>
      <c r="D22" s="14" t="s">
        <v>222</v>
      </c>
      <c r="E22" s="15" t="s">
        <v>79</v>
      </c>
      <c r="F22" s="15" t="s">
        <v>179</v>
      </c>
      <c r="G22" s="14" t="s">
        <v>223</v>
      </c>
      <c r="H22" s="16" t="s">
        <v>224</v>
      </c>
      <c r="I22" s="16" t="s">
        <v>225</v>
      </c>
      <c r="J22" s="21" t="s">
        <v>56</v>
      </c>
      <c r="K22" s="17" t="n">
        <v>4.9</v>
      </c>
      <c r="L22" s="18" t="n">
        <v>121</v>
      </c>
      <c r="M22" s="23" t="s">
        <v>43</v>
      </c>
      <c r="N22" s="18" t="n">
        <v>3</v>
      </c>
      <c r="O22" s="20" t="n">
        <v>44.88</v>
      </c>
      <c r="P22" s="20" t="n">
        <v>175.56</v>
      </c>
      <c r="Q22" s="18" t="n">
        <v>5</v>
      </c>
      <c r="R22" s="18" t="n">
        <v>1</v>
      </c>
      <c r="S22" s="18" t="n">
        <v>60</v>
      </c>
      <c r="T22" s="18" t="n">
        <v>24</v>
      </c>
      <c r="U22" s="14" t="s">
        <v>226</v>
      </c>
      <c r="V22" s="16" t="s">
        <v>227</v>
      </c>
      <c r="W22" s="15" t="s">
        <v>228</v>
      </c>
      <c r="X22" s="15" t="s">
        <v>229</v>
      </c>
      <c r="Y22" s="16" t="s">
        <v>109</v>
      </c>
      <c r="Z22" s="21" t="s">
        <v>72</v>
      </c>
      <c r="AA22" s="21" t="s">
        <v>89</v>
      </c>
      <c r="AB22" s="22" t="n">
        <v>24.95416</v>
      </c>
      <c r="AC22" s="22" t="n">
        <v>121.2030075</v>
      </c>
    </row>
    <row r="23" customFormat="false" ht="15" hidden="false" customHeight="false" outlineLevel="0" collapsed="false">
      <c r="A23" s="11" t="s">
        <v>76</v>
      </c>
      <c r="B23" s="12" t="n">
        <v>4.54</v>
      </c>
      <c r="C23" s="14" t="s">
        <v>230</v>
      </c>
      <c r="D23" s="14" t="s">
        <v>231</v>
      </c>
      <c r="E23" s="15" t="s">
        <v>79</v>
      </c>
      <c r="F23" s="15" t="s">
        <v>214</v>
      </c>
      <c r="G23" s="14" t="s">
        <v>232</v>
      </c>
      <c r="H23" s="16" t="s">
        <v>233</v>
      </c>
      <c r="I23" s="16" t="s">
        <v>234</v>
      </c>
      <c r="J23" s="16"/>
      <c r="K23" s="17" t="n">
        <v>5</v>
      </c>
      <c r="L23" s="18" t="n">
        <v>6</v>
      </c>
      <c r="M23" s="23" t="s">
        <v>43</v>
      </c>
      <c r="N23" s="18" t="n">
        <v>2</v>
      </c>
      <c r="O23" s="20" t="n">
        <v>42.47</v>
      </c>
      <c r="P23" s="20" t="n">
        <v>146.67</v>
      </c>
      <c r="Q23" s="18" t="n">
        <v>9</v>
      </c>
      <c r="R23" s="18" t="n">
        <v>2</v>
      </c>
      <c r="S23" s="18" t="n">
        <v>153</v>
      </c>
      <c r="T23" s="18" t="n">
        <v>68</v>
      </c>
      <c r="U23" s="14" t="s">
        <v>194</v>
      </c>
      <c r="V23" s="16" t="s">
        <v>235</v>
      </c>
      <c r="W23" s="15" t="s">
        <v>236</v>
      </c>
      <c r="X23" s="15" t="s">
        <v>237</v>
      </c>
      <c r="Y23" s="16" t="s">
        <v>88</v>
      </c>
      <c r="Z23" s="21" t="s">
        <v>72</v>
      </c>
      <c r="AA23" s="21" t="s">
        <v>89</v>
      </c>
      <c r="AB23" s="22" t="n">
        <v>24.960269</v>
      </c>
      <c r="AC23" s="22" t="n">
        <v>121.1689743</v>
      </c>
    </row>
    <row r="24" customFormat="false" ht="15" hidden="false" customHeight="false" outlineLevel="0" collapsed="false">
      <c r="A24" s="11" t="s">
        <v>76</v>
      </c>
      <c r="B24" s="12" t="n">
        <v>4.56</v>
      </c>
      <c r="C24" s="14" t="s">
        <v>238</v>
      </c>
      <c r="D24" s="14" t="s">
        <v>239</v>
      </c>
      <c r="E24" s="15" t="s">
        <v>79</v>
      </c>
      <c r="F24" s="15" t="s">
        <v>179</v>
      </c>
      <c r="G24" s="14" t="s">
        <v>240</v>
      </c>
      <c r="H24" s="16" t="s">
        <v>241</v>
      </c>
      <c r="I24" s="16" t="s">
        <v>242</v>
      </c>
      <c r="J24" s="21" t="s">
        <v>56</v>
      </c>
      <c r="K24" s="17" t="n">
        <v>4.7</v>
      </c>
      <c r="L24" s="18" t="n">
        <v>16</v>
      </c>
      <c r="M24" s="19" t="s">
        <v>41</v>
      </c>
      <c r="N24" s="18" t="n">
        <v>5</v>
      </c>
      <c r="O24" s="20" t="n">
        <v>119.22</v>
      </c>
      <c r="P24" s="20" t="n">
        <v>210.87</v>
      </c>
      <c r="Q24" s="18" t="n">
        <v>6</v>
      </c>
      <c r="R24" s="18" t="n">
        <v>6</v>
      </c>
      <c r="S24" s="18" t="n">
        <v>708</v>
      </c>
      <c r="T24" s="18" t="n">
        <v>118</v>
      </c>
      <c r="U24" s="14" t="s">
        <v>118</v>
      </c>
      <c r="V24" s="16" t="s">
        <v>243</v>
      </c>
      <c r="W24" s="15" t="s">
        <v>244</v>
      </c>
      <c r="X24" s="15" t="s">
        <v>244</v>
      </c>
      <c r="Y24" s="16" t="s">
        <v>88</v>
      </c>
      <c r="Z24" s="21" t="s">
        <v>72</v>
      </c>
      <c r="AA24" s="21" t="s">
        <v>89</v>
      </c>
      <c r="AB24" s="22" t="n">
        <v>24.9545066</v>
      </c>
      <c r="AC24" s="22" t="n">
        <v>121.2030132</v>
      </c>
    </row>
    <row r="25" customFormat="false" ht="15" hidden="false" customHeight="false" outlineLevel="0" collapsed="false">
      <c r="A25" s="11" t="s">
        <v>76</v>
      </c>
      <c r="B25" s="12" t="n">
        <v>4.57</v>
      </c>
      <c r="C25" s="14" t="s">
        <v>245</v>
      </c>
      <c r="D25" s="13"/>
      <c r="E25" s="15" t="s">
        <v>79</v>
      </c>
      <c r="F25" s="15" t="s">
        <v>179</v>
      </c>
      <c r="G25" s="14" t="s">
        <v>246</v>
      </c>
      <c r="H25" s="16" t="s">
        <v>247</v>
      </c>
      <c r="I25" s="16"/>
      <c r="J25" s="16"/>
      <c r="K25" s="17" t="n">
        <v>4.4</v>
      </c>
      <c r="L25" s="18" t="n">
        <v>58</v>
      </c>
      <c r="M25" s="16"/>
      <c r="N25" s="18"/>
      <c r="O25" s="20"/>
      <c r="P25" s="20"/>
      <c r="Q25" s="18"/>
      <c r="R25" s="18"/>
      <c r="S25" s="18"/>
      <c r="T25" s="18"/>
      <c r="U25" s="13"/>
      <c r="V25" s="16"/>
      <c r="W25" s="16"/>
      <c r="X25" s="16"/>
      <c r="Y25" s="16"/>
      <c r="Z25" s="24"/>
      <c r="AA25" s="21" t="s">
        <v>89</v>
      </c>
      <c r="AB25" s="22" t="n">
        <v>24.9547973</v>
      </c>
      <c r="AC25" s="22" t="n">
        <v>121.2027349</v>
      </c>
    </row>
    <row r="26" customFormat="false" ht="15" hidden="false" customHeight="false" outlineLevel="0" collapsed="false">
      <c r="A26" s="11" t="s">
        <v>76</v>
      </c>
      <c r="B26" s="12" t="n">
        <v>4.59</v>
      </c>
      <c r="C26" s="14" t="s">
        <v>248</v>
      </c>
      <c r="D26" s="14" t="s">
        <v>249</v>
      </c>
      <c r="E26" s="15" t="s">
        <v>79</v>
      </c>
      <c r="F26" s="15" t="s">
        <v>179</v>
      </c>
      <c r="G26" s="14" t="s">
        <v>250</v>
      </c>
      <c r="H26" s="16" t="s">
        <v>251</v>
      </c>
      <c r="I26" s="16" t="s">
        <v>252</v>
      </c>
      <c r="J26" s="16"/>
      <c r="K26" s="17" t="n">
        <v>3.8</v>
      </c>
      <c r="L26" s="18" t="n">
        <v>5</v>
      </c>
      <c r="M26" s="23" t="s">
        <v>43</v>
      </c>
      <c r="N26" s="18" t="n">
        <v>4</v>
      </c>
      <c r="O26" s="20" t="n">
        <v>67.2</v>
      </c>
      <c r="P26" s="20" t="n">
        <v>180.97</v>
      </c>
      <c r="Q26" s="18" t="n">
        <v>4</v>
      </c>
      <c r="R26" s="18" t="n">
        <v>1</v>
      </c>
      <c r="S26" s="18" t="n">
        <v>52</v>
      </c>
      <c r="T26" s="18" t="n">
        <v>24</v>
      </c>
      <c r="U26" s="14" t="s">
        <v>118</v>
      </c>
      <c r="V26" s="16" t="s">
        <v>253</v>
      </c>
      <c r="W26" s="15" t="s">
        <v>254</v>
      </c>
      <c r="X26" s="15" t="s">
        <v>255</v>
      </c>
      <c r="Y26" s="16" t="s">
        <v>109</v>
      </c>
      <c r="Z26" s="21" t="s">
        <v>72</v>
      </c>
      <c r="AA26" s="21" t="s">
        <v>89</v>
      </c>
      <c r="AB26" s="22" t="n">
        <v>24.9251418</v>
      </c>
      <c r="AC26" s="22" t="n">
        <v>121.2233144</v>
      </c>
    </row>
    <row r="27" customFormat="false" ht="15" hidden="false" customHeight="false" outlineLevel="0" collapsed="false">
      <c r="A27" s="11" t="s">
        <v>76</v>
      </c>
      <c r="B27" s="12" t="n">
        <v>4.6</v>
      </c>
      <c r="C27" s="14" t="s">
        <v>256</v>
      </c>
      <c r="D27" s="14" t="s">
        <v>257</v>
      </c>
      <c r="E27" s="15" t="s">
        <v>79</v>
      </c>
      <c r="F27" s="15" t="s">
        <v>179</v>
      </c>
      <c r="G27" s="14" t="s">
        <v>258</v>
      </c>
      <c r="H27" s="16"/>
      <c r="I27" s="16" t="s">
        <v>259</v>
      </c>
      <c r="J27" s="16"/>
      <c r="K27" s="17" t="n">
        <v>4.5</v>
      </c>
      <c r="L27" s="18" t="n">
        <v>16</v>
      </c>
      <c r="M27" s="19" t="s">
        <v>41</v>
      </c>
      <c r="N27" s="18" t="n">
        <v>4</v>
      </c>
      <c r="O27" s="20" t="n">
        <v>73.27</v>
      </c>
      <c r="P27" s="20" t="n">
        <v>239.62</v>
      </c>
      <c r="Q27" s="18" t="n">
        <v>4</v>
      </c>
      <c r="R27" s="18" t="n">
        <v>3</v>
      </c>
      <c r="S27" s="18" t="n">
        <v>76</v>
      </c>
      <c r="T27" s="18" t="n">
        <v>76</v>
      </c>
      <c r="U27" s="14" t="s">
        <v>84</v>
      </c>
      <c r="V27" s="16" t="s">
        <v>260</v>
      </c>
      <c r="W27" s="15" t="s">
        <v>261</v>
      </c>
      <c r="X27" s="15" t="s">
        <v>262</v>
      </c>
      <c r="Y27" s="16" t="s">
        <v>263</v>
      </c>
      <c r="Z27" s="21" t="s">
        <v>72</v>
      </c>
      <c r="AA27" s="21" t="s">
        <v>89</v>
      </c>
      <c r="AB27" s="22" t="n">
        <v>24.9548637</v>
      </c>
      <c r="AC27" s="22" t="n">
        <v>121.2031323</v>
      </c>
    </row>
    <row r="28" customFormat="false" ht="26.85" hidden="false" customHeight="false" outlineLevel="0" collapsed="false">
      <c r="A28" s="11" t="s">
        <v>76</v>
      </c>
      <c r="B28" s="12" t="n">
        <v>4.62</v>
      </c>
      <c r="C28" s="14" t="s">
        <v>264</v>
      </c>
      <c r="D28" s="14" t="s">
        <v>265</v>
      </c>
      <c r="E28" s="15" t="s">
        <v>79</v>
      </c>
      <c r="F28" s="15" t="s">
        <v>179</v>
      </c>
      <c r="G28" s="14" t="s">
        <v>266</v>
      </c>
      <c r="H28" s="16" t="s">
        <v>267</v>
      </c>
      <c r="I28" s="16" t="s">
        <v>268</v>
      </c>
      <c r="J28" s="16"/>
      <c r="K28" s="17" t="n">
        <v>3.5</v>
      </c>
      <c r="L28" s="18" t="n">
        <v>8</v>
      </c>
      <c r="M28" s="23" t="s">
        <v>43</v>
      </c>
      <c r="N28" s="18" t="n">
        <v>3</v>
      </c>
      <c r="O28" s="20" t="n">
        <v>57.51</v>
      </c>
      <c r="P28" s="20" t="n">
        <v>104.26</v>
      </c>
      <c r="Q28" s="18" t="n">
        <v>3</v>
      </c>
      <c r="R28" s="18" t="n">
        <v>2</v>
      </c>
      <c r="S28" s="18" t="n">
        <v>45</v>
      </c>
      <c r="T28" s="18" t="n">
        <v>30</v>
      </c>
      <c r="U28" s="14" t="s">
        <v>94</v>
      </c>
      <c r="V28" s="16" t="s">
        <v>269</v>
      </c>
      <c r="W28" s="15" t="s">
        <v>270</v>
      </c>
      <c r="X28" s="15" t="s">
        <v>270</v>
      </c>
      <c r="Y28" s="16" t="s">
        <v>88</v>
      </c>
      <c r="Z28" s="21" t="s">
        <v>72</v>
      </c>
      <c r="AA28" s="21" t="s">
        <v>89</v>
      </c>
      <c r="AB28" s="22" t="n">
        <v>24.9537682</v>
      </c>
      <c r="AC28" s="22" t="n">
        <v>121.2052329</v>
      </c>
    </row>
    <row r="29" customFormat="false" ht="15" hidden="false" customHeight="false" outlineLevel="0" collapsed="false">
      <c r="A29" s="11" t="s">
        <v>76</v>
      </c>
      <c r="B29" s="12" t="n">
        <v>4.75</v>
      </c>
      <c r="C29" s="14" t="s">
        <v>271</v>
      </c>
      <c r="D29" s="14" t="s">
        <v>272</v>
      </c>
      <c r="E29" s="15" t="s">
        <v>79</v>
      </c>
      <c r="F29" s="15" t="s">
        <v>179</v>
      </c>
      <c r="G29" s="14" t="s">
        <v>273</v>
      </c>
      <c r="H29" s="16" t="s">
        <v>274</v>
      </c>
      <c r="I29" s="16" t="s">
        <v>275</v>
      </c>
      <c r="J29" s="16"/>
      <c r="K29" s="17" t="n">
        <v>4.8</v>
      </c>
      <c r="L29" s="18" t="n">
        <v>20</v>
      </c>
      <c r="M29" s="23" t="s">
        <v>43</v>
      </c>
      <c r="N29" s="18" t="n">
        <v>4</v>
      </c>
      <c r="O29" s="20" t="n">
        <v>88.42</v>
      </c>
      <c r="P29" s="20" t="n">
        <v>178.97</v>
      </c>
      <c r="Q29" s="18" t="n">
        <v>4</v>
      </c>
      <c r="R29" s="18" t="n">
        <v>1</v>
      </c>
      <c r="S29" s="18" t="n">
        <v>72</v>
      </c>
      <c r="T29" s="18" t="n">
        <v>23</v>
      </c>
      <c r="U29" s="14" t="s">
        <v>118</v>
      </c>
      <c r="V29" s="16" t="s">
        <v>276</v>
      </c>
      <c r="W29" s="15" t="s">
        <v>277</v>
      </c>
      <c r="X29" s="15" t="s">
        <v>277</v>
      </c>
      <c r="Y29" s="16" t="s">
        <v>88</v>
      </c>
      <c r="Z29" s="21" t="s">
        <v>72</v>
      </c>
      <c r="AA29" s="21" t="s">
        <v>89</v>
      </c>
      <c r="AB29" s="22" t="n">
        <v>24.9546125</v>
      </c>
      <c r="AC29" s="22" t="n">
        <v>121.2060875</v>
      </c>
    </row>
    <row r="30" customFormat="false" ht="39.55" hidden="false" customHeight="false" outlineLevel="0" collapsed="false">
      <c r="A30" s="11" t="s">
        <v>76</v>
      </c>
      <c r="B30" s="12" t="n">
        <v>4.77</v>
      </c>
      <c r="C30" s="14" t="s">
        <v>278</v>
      </c>
      <c r="D30" s="14" t="s">
        <v>279</v>
      </c>
      <c r="E30" s="15" t="s">
        <v>79</v>
      </c>
      <c r="F30" s="15" t="s">
        <v>179</v>
      </c>
      <c r="G30" s="14" t="s">
        <v>280</v>
      </c>
      <c r="H30" s="16" t="s">
        <v>281</v>
      </c>
      <c r="I30" s="16" t="s">
        <v>282</v>
      </c>
      <c r="J30" s="21" t="s">
        <v>56</v>
      </c>
      <c r="K30" s="17" t="n">
        <v>5</v>
      </c>
      <c r="L30" s="18" t="n">
        <v>757</v>
      </c>
      <c r="M30" s="25" t="s">
        <v>39</v>
      </c>
      <c r="N30" s="18" t="n">
        <v>7</v>
      </c>
      <c r="O30" s="20" t="n">
        <v>147.25</v>
      </c>
      <c r="P30" s="20" t="n">
        <v>710.16</v>
      </c>
      <c r="Q30" s="18" t="n">
        <v>7</v>
      </c>
      <c r="R30" s="18" t="n">
        <v>21</v>
      </c>
      <c r="S30" s="18" t="n">
        <v>105</v>
      </c>
      <c r="T30" s="18" t="n">
        <v>105</v>
      </c>
      <c r="U30" s="14" t="s">
        <v>84</v>
      </c>
      <c r="V30" s="16" t="s">
        <v>283</v>
      </c>
      <c r="W30" s="15" t="s">
        <v>284</v>
      </c>
      <c r="X30" s="15" t="s">
        <v>285</v>
      </c>
      <c r="Y30" s="16" t="s">
        <v>88</v>
      </c>
      <c r="Z30" s="21" t="s">
        <v>72</v>
      </c>
      <c r="AA30" s="21" t="s">
        <v>89</v>
      </c>
      <c r="AB30" s="22" t="n">
        <v>24.9552369</v>
      </c>
      <c r="AC30" s="22" t="n">
        <v>121.2054588</v>
      </c>
    </row>
    <row r="31" customFormat="false" ht="15" hidden="false" customHeight="false" outlineLevel="0" collapsed="false">
      <c r="A31" s="11" t="s">
        <v>76</v>
      </c>
      <c r="B31" s="12" t="n">
        <v>4.98</v>
      </c>
      <c r="C31" s="14" t="s">
        <v>286</v>
      </c>
      <c r="D31" s="14" t="s">
        <v>287</v>
      </c>
      <c r="E31" s="15" t="s">
        <v>79</v>
      </c>
      <c r="F31" s="15" t="s">
        <v>288</v>
      </c>
      <c r="G31" s="14" t="s">
        <v>289</v>
      </c>
      <c r="H31" s="16" t="s">
        <v>290</v>
      </c>
      <c r="I31" s="16" t="s">
        <v>291</v>
      </c>
      <c r="J31" s="16"/>
      <c r="K31" s="17"/>
      <c r="L31" s="18"/>
      <c r="M31" s="25" t="s">
        <v>39</v>
      </c>
      <c r="N31" s="18" t="n">
        <v>4</v>
      </c>
      <c r="O31" s="20" t="n">
        <v>147.84</v>
      </c>
      <c r="P31" s="20" t="n">
        <v>552.25</v>
      </c>
      <c r="Q31" s="18" t="n">
        <v>6</v>
      </c>
      <c r="R31" s="18" t="n">
        <v>1</v>
      </c>
      <c r="S31" s="18" t="n">
        <v>191</v>
      </c>
      <c r="T31" s="18" t="n">
        <v>92</v>
      </c>
      <c r="U31" s="14" t="s">
        <v>118</v>
      </c>
      <c r="V31" s="16" t="s">
        <v>292</v>
      </c>
      <c r="W31" s="15" t="s">
        <v>293</v>
      </c>
      <c r="X31" s="15" t="s">
        <v>293</v>
      </c>
      <c r="Y31" s="16" t="s">
        <v>88</v>
      </c>
      <c r="Z31" s="21" t="s">
        <v>72</v>
      </c>
      <c r="AA31" s="21" t="s">
        <v>89</v>
      </c>
      <c r="AB31" s="22" t="n">
        <v>24.8770424</v>
      </c>
      <c r="AC31" s="22" t="n">
        <v>121.1912218</v>
      </c>
    </row>
    <row r="32" customFormat="false" ht="15" hidden="false" customHeight="false" outlineLevel="0" collapsed="false">
      <c r="A32" s="11" t="s">
        <v>76</v>
      </c>
      <c r="B32" s="12" t="n">
        <v>4.98</v>
      </c>
      <c r="C32" s="14" t="s">
        <v>294</v>
      </c>
      <c r="D32" s="14" t="s">
        <v>287</v>
      </c>
      <c r="E32" s="15" t="s">
        <v>79</v>
      </c>
      <c r="F32" s="15" t="s">
        <v>288</v>
      </c>
      <c r="G32" s="14" t="s">
        <v>289</v>
      </c>
      <c r="H32" s="16" t="s">
        <v>290</v>
      </c>
      <c r="I32" s="16" t="s">
        <v>291</v>
      </c>
      <c r="J32" s="21" t="s">
        <v>56</v>
      </c>
      <c r="K32" s="17" t="n">
        <v>4.6</v>
      </c>
      <c r="L32" s="18" t="n">
        <v>8</v>
      </c>
      <c r="M32" s="25" t="s">
        <v>39</v>
      </c>
      <c r="N32" s="18" t="n">
        <v>4</v>
      </c>
      <c r="O32" s="20" t="n">
        <v>147.84</v>
      </c>
      <c r="P32" s="20" t="n">
        <v>552.25</v>
      </c>
      <c r="Q32" s="18" t="n">
        <v>6</v>
      </c>
      <c r="R32" s="18" t="n">
        <v>1</v>
      </c>
      <c r="S32" s="18" t="n">
        <v>191</v>
      </c>
      <c r="T32" s="18" t="n">
        <v>92</v>
      </c>
      <c r="U32" s="14" t="s">
        <v>118</v>
      </c>
      <c r="V32" s="16" t="s">
        <v>292</v>
      </c>
      <c r="W32" s="15" t="s">
        <v>293</v>
      </c>
      <c r="X32" s="15" t="s">
        <v>293</v>
      </c>
      <c r="Y32" s="16" t="s">
        <v>88</v>
      </c>
      <c r="Z32" s="21" t="s">
        <v>72</v>
      </c>
      <c r="AA32" s="21" t="s">
        <v>89</v>
      </c>
      <c r="AB32" s="22" t="n">
        <v>24.8770424</v>
      </c>
      <c r="AC32" s="22" t="n">
        <v>121.1912218</v>
      </c>
    </row>
    <row r="33" customFormat="false" ht="15" hidden="false" customHeight="false" outlineLevel="0" collapsed="false">
      <c r="A33" s="26" t="s">
        <v>295</v>
      </c>
      <c r="B33" s="12" t="n">
        <v>5</v>
      </c>
      <c r="C33" s="14" t="s">
        <v>296</v>
      </c>
      <c r="D33" s="14" t="s">
        <v>297</v>
      </c>
      <c r="E33" s="15" t="s">
        <v>79</v>
      </c>
      <c r="F33" s="15" t="s">
        <v>179</v>
      </c>
      <c r="G33" s="14" t="s">
        <v>298</v>
      </c>
      <c r="H33" s="16" t="s">
        <v>299</v>
      </c>
      <c r="I33" s="16" t="s">
        <v>300</v>
      </c>
      <c r="J33" s="16"/>
      <c r="K33" s="17" t="n">
        <v>3.6</v>
      </c>
      <c r="L33" s="18" t="n">
        <v>20</v>
      </c>
      <c r="M33" s="23" t="s">
        <v>43</v>
      </c>
      <c r="N33" s="18" t="n">
        <v>3</v>
      </c>
      <c r="O33" s="20" t="n">
        <v>67.21</v>
      </c>
      <c r="P33" s="20" t="n">
        <v>120.61</v>
      </c>
      <c r="Q33" s="18" t="n">
        <v>3</v>
      </c>
      <c r="R33" s="18" t="n">
        <v>3</v>
      </c>
      <c r="S33" s="18" t="n">
        <v>84</v>
      </c>
      <c r="T33" s="18" t="n">
        <v>20</v>
      </c>
      <c r="U33" s="14" t="s">
        <v>84</v>
      </c>
      <c r="V33" s="16" t="s">
        <v>301</v>
      </c>
      <c r="W33" s="15" t="s">
        <v>302</v>
      </c>
      <c r="X33" s="15" t="s">
        <v>303</v>
      </c>
      <c r="Y33" s="16" t="s">
        <v>88</v>
      </c>
      <c r="Z33" s="21" t="s">
        <v>72</v>
      </c>
      <c r="AA33" s="21" t="s">
        <v>89</v>
      </c>
      <c r="AB33" s="22" t="n">
        <v>24.934987</v>
      </c>
      <c r="AC33" s="22" t="n">
        <v>121.2249933</v>
      </c>
    </row>
    <row r="34" customFormat="false" ht="15" hidden="false" customHeight="false" outlineLevel="0" collapsed="false">
      <c r="A34" s="26" t="s">
        <v>295</v>
      </c>
      <c r="B34" s="12" t="n">
        <v>5.04</v>
      </c>
      <c r="C34" s="14" t="s">
        <v>304</v>
      </c>
      <c r="D34" s="14" t="s">
        <v>305</v>
      </c>
      <c r="E34" s="15" t="s">
        <v>79</v>
      </c>
      <c r="F34" s="15" t="s">
        <v>179</v>
      </c>
      <c r="G34" s="14" t="s">
        <v>306</v>
      </c>
      <c r="H34" s="16" t="s">
        <v>307</v>
      </c>
      <c r="I34" s="16" t="s">
        <v>308</v>
      </c>
      <c r="J34" s="21" t="s">
        <v>56</v>
      </c>
      <c r="K34" s="17" t="n">
        <v>3.3</v>
      </c>
      <c r="L34" s="18" t="n">
        <v>7</v>
      </c>
      <c r="M34" s="23" t="s">
        <v>43</v>
      </c>
      <c r="N34" s="18" t="n">
        <v>2</v>
      </c>
      <c r="O34" s="20" t="n">
        <v>47.52</v>
      </c>
      <c r="P34" s="20" t="n">
        <v>155.16</v>
      </c>
      <c r="Q34" s="18" t="n">
        <v>2</v>
      </c>
      <c r="R34" s="18" t="n">
        <v>5</v>
      </c>
      <c r="S34" s="18" t="n">
        <v>38</v>
      </c>
      <c r="T34" s="18" t="n">
        <v>38</v>
      </c>
      <c r="U34" s="14" t="s">
        <v>84</v>
      </c>
      <c r="V34" s="16" t="s">
        <v>309</v>
      </c>
      <c r="W34" s="15" t="s">
        <v>310</v>
      </c>
      <c r="X34" s="15" t="s">
        <v>310</v>
      </c>
      <c r="Y34" s="16" t="s">
        <v>88</v>
      </c>
      <c r="Z34" s="21" t="s">
        <v>72</v>
      </c>
      <c r="AA34" s="21" t="s">
        <v>89</v>
      </c>
      <c r="AB34" s="22" t="n">
        <v>24.935666</v>
      </c>
      <c r="AC34" s="22" t="n">
        <v>121.225174</v>
      </c>
    </row>
    <row r="35" customFormat="false" ht="15" hidden="false" customHeight="false" outlineLevel="0" collapsed="false">
      <c r="A35" s="26" t="s">
        <v>295</v>
      </c>
      <c r="B35" s="12" t="n">
        <v>5.51</v>
      </c>
      <c r="C35" s="14" t="s">
        <v>311</v>
      </c>
      <c r="D35" s="14" t="s">
        <v>312</v>
      </c>
      <c r="E35" s="15" t="s">
        <v>79</v>
      </c>
      <c r="F35" s="15" t="s">
        <v>288</v>
      </c>
      <c r="G35" s="14" t="s">
        <v>313</v>
      </c>
      <c r="H35" s="16" t="s">
        <v>314</v>
      </c>
      <c r="I35" s="16"/>
      <c r="J35" s="21" t="s">
        <v>56</v>
      </c>
      <c r="K35" s="17" t="n">
        <v>5</v>
      </c>
      <c r="L35" s="18" t="n">
        <v>3</v>
      </c>
      <c r="M35" s="23" t="s">
        <v>43</v>
      </c>
      <c r="N35" s="18" t="n">
        <v>2</v>
      </c>
      <c r="O35" s="20" t="n">
        <v>41.06</v>
      </c>
      <c r="P35" s="20" t="n">
        <v>96.96</v>
      </c>
      <c r="Q35" s="18" t="n">
        <v>2</v>
      </c>
      <c r="R35" s="18" t="n">
        <v>1</v>
      </c>
      <c r="S35" s="18" t="n">
        <v>48</v>
      </c>
      <c r="T35" s="18" t="n">
        <v>48</v>
      </c>
      <c r="U35" s="14" t="s">
        <v>84</v>
      </c>
      <c r="V35" s="16" t="s">
        <v>315</v>
      </c>
      <c r="W35" s="15" t="s">
        <v>316</v>
      </c>
      <c r="X35" s="15" t="s">
        <v>316</v>
      </c>
      <c r="Y35" s="16" t="s">
        <v>88</v>
      </c>
      <c r="Z35" s="21" t="s">
        <v>72</v>
      </c>
      <c r="AA35" s="21" t="s">
        <v>89</v>
      </c>
      <c r="AB35" s="22" t="n">
        <v>24.8802397</v>
      </c>
      <c r="AC35" s="22" t="n">
        <v>121.210325</v>
      </c>
    </row>
    <row r="36" customFormat="false" ht="15" hidden="false" customHeight="false" outlineLevel="0" collapsed="false">
      <c r="A36" s="26" t="s">
        <v>295</v>
      </c>
      <c r="B36" s="12" t="n">
        <v>5.51</v>
      </c>
      <c r="C36" s="14" t="s">
        <v>317</v>
      </c>
      <c r="D36" s="13"/>
      <c r="E36" s="15" t="s">
        <v>79</v>
      </c>
      <c r="F36" s="15" t="s">
        <v>288</v>
      </c>
      <c r="G36" s="14" t="s">
        <v>318</v>
      </c>
      <c r="H36" s="16"/>
      <c r="I36" s="16"/>
      <c r="J36" s="16"/>
      <c r="K36" s="17"/>
      <c r="L36" s="18"/>
      <c r="M36" s="16"/>
      <c r="N36" s="18"/>
      <c r="O36" s="20"/>
      <c r="P36" s="20"/>
      <c r="Q36" s="18"/>
      <c r="R36" s="18"/>
      <c r="S36" s="18"/>
      <c r="T36" s="18"/>
      <c r="U36" s="13"/>
      <c r="V36" s="16"/>
      <c r="W36" s="16"/>
      <c r="X36" s="16"/>
      <c r="Y36" s="16"/>
      <c r="Z36" s="24"/>
      <c r="AA36" s="21" t="s">
        <v>89</v>
      </c>
      <c r="AB36" s="22" t="n">
        <v>24.8812835</v>
      </c>
      <c r="AC36" s="22" t="n">
        <v>121.2119305</v>
      </c>
    </row>
    <row r="37" customFormat="false" ht="15" hidden="false" customHeight="false" outlineLevel="0" collapsed="false">
      <c r="A37" s="26" t="s">
        <v>295</v>
      </c>
      <c r="B37" s="12" t="n">
        <v>5.81</v>
      </c>
      <c r="C37" s="14" t="s">
        <v>319</v>
      </c>
      <c r="D37" s="14" t="s">
        <v>320</v>
      </c>
      <c r="E37" s="15" t="s">
        <v>79</v>
      </c>
      <c r="F37" s="15" t="s">
        <v>80</v>
      </c>
      <c r="G37" s="14" t="s">
        <v>321</v>
      </c>
      <c r="H37" s="16" t="s">
        <v>322</v>
      </c>
      <c r="I37" s="16" t="s">
        <v>323</v>
      </c>
      <c r="J37" s="21" t="s">
        <v>56</v>
      </c>
      <c r="K37" s="17" t="n">
        <v>5</v>
      </c>
      <c r="L37" s="18" t="n">
        <v>4</v>
      </c>
      <c r="M37" s="23" t="s">
        <v>43</v>
      </c>
      <c r="N37" s="18" t="n">
        <v>4</v>
      </c>
      <c r="O37" s="20" t="n">
        <v>71.44</v>
      </c>
      <c r="P37" s="20" t="n">
        <v>153.88</v>
      </c>
      <c r="Q37" s="18" t="n">
        <v>4</v>
      </c>
      <c r="R37" s="18" t="n">
        <v>4</v>
      </c>
      <c r="S37" s="18" t="n">
        <v>58</v>
      </c>
      <c r="T37" s="18" t="n">
        <v>16</v>
      </c>
      <c r="U37" s="14" t="s">
        <v>118</v>
      </c>
      <c r="V37" s="16" t="s">
        <v>324</v>
      </c>
      <c r="W37" s="15" t="s">
        <v>325</v>
      </c>
      <c r="X37" s="15" t="s">
        <v>325</v>
      </c>
      <c r="Y37" s="16" t="s">
        <v>88</v>
      </c>
      <c r="Z37" s="21" t="s">
        <v>72</v>
      </c>
      <c r="AA37" s="21" t="s">
        <v>89</v>
      </c>
      <c r="AB37" s="22" t="n">
        <v>24.9365856</v>
      </c>
      <c r="AC37" s="22" t="n">
        <v>121.12338</v>
      </c>
    </row>
    <row r="38" customFormat="false" ht="15" hidden="false" customHeight="false" outlineLevel="0" collapsed="false">
      <c r="A38" s="26" t="s">
        <v>295</v>
      </c>
      <c r="B38" s="12" t="n">
        <v>7.6</v>
      </c>
      <c r="C38" s="14" t="s">
        <v>326</v>
      </c>
      <c r="D38" s="13"/>
      <c r="E38" s="15" t="s">
        <v>79</v>
      </c>
      <c r="F38" s="15" t="s">
        <v>214</v>
      </c>
      <c r="G38" s="14" t="s">
        <v>327</v>
      </c>
      <c r="H38" s="16" t="s">
        <v>328</v>
      </c>
      <c r="I38" s="16"/>
      <c r="J38" s="21" t="s">
        <v>56</v>
      </c>
      <c r="K38" s="17" t="n">
        <v>4.5</v>
      </c>
      <c r="L38" s="18" t="n">
        <v>8</v>
      </c>
      <c r="M38" s="16"/>
      <c r="N38" s="18"/>
      <c r="O38" s="20"/>
      <c r="P38" s="20"/>
      <c r="Q38" s="18"/>
      <c r="R38" s="18"/>
      <c r="S38" s="18"/>
      <c r="T38" s="18"/>
      <c r="U38" s="13"/>
      <c r="V38" s="16"/>
      <c r="W38" s="16"/>
      <c r="X38" s="16"/>
      <c r="Y38" s="16"/>
      <c r="Z38" s="24"/>
      <c r="AA38" s="21" t="s">
        <v>89</v>
      </c>
      <c r="AB38" s="22" t="n">
        <v>24.988563</v>
      </c>
      <c r="AC38" s="22" t="n">
        <v>121.1809872</v>
      </c>
    </row>
    <row r="39" customFormat="false" ht="15" hidden="false" customHeight="false" outlineLevel="0" collapsed="false">
      <c r="A39" s="26" t="s">
        <v>295</v>
      </c>
      <c r="B39" s="12" t="n">
        <v>7.6</v>
      </c>
      <c r="C39" s="14" t="s">
        <v>329</v>
      </c>
      <c r="D39" s="14" t="s">
        <v>330</v>
      </c>
      <c r="E39" s="15" t="s">
        <v>79</v>
      </c>
      <c r="F39" s="15" t="s">
        <v>214</v>
      </c>
      <c r="G39" s="14" t="s">
        <v>331</v>
      </c>
      <c r="H39" s="16" t="s">
        <v>332</v>
      </c>
      <c r="I39" s="16" t="s">
        <v>333</v>
      </c>
      <c r="J39" s="21" t="s">
        <v>56</v>
      </c>
      <c r="K39" s="17" t="n">
        <v>4.8</v>
      </c>
      <c r="L39" s="18" t="n">
        <v>41</v>
      </c>
      <c r="M39" s="19" t="s">
        <v>41</v>
      </c>
      <c r="N39" s="18" t="n">
        <v>4</v>
      </c>
      <c r="O39" s="20" t="n">
        <v>104.14</v>
      </c>
      <c r="P39" s="20" t="n">
        <v>214.14</v>
      </c>
      <c r="Q39" s="18" t="n">
        <v>10</v>
      </c>
      <c r="R39" s="18" t="n">
        <v>1</v>
      </c>
      <c r="S39" s="18" t="n">
        <v>219</v>
      </c>
      <c r="T39" s="18" t="n">
        <v>52</v>
      </c>
      <c r="U39" s="14" t="s">
        <v>334</v>
      </c>
      <c r="V39" s="16" t="s">
        <v>335</v>
      </c>
      <c r="W39" s="15" t="s">
        <v>336</v>
      </c>
      <c r="X39" s="15" t="s">
        <v>337</v>
      </c>
      <c r="Y39" s="16" t="s">
        <v>88</v>
      </c>
      <c r="Z39" s="21" t="s">
        <v>72</v>
      </c>
      <c r="AA39" s="21" t="s">
        <v>89</v>
      </c>
      <c r="AB39" s="22" t="n">
        <v>24.9885602</v>
      </c>
      <c r="AC39" s="22" t="n">
        <v>121.1810252</v>
      </c>
    </row>
    <row r="40" customFormat="false" ht="15" hidden="false" customHeight="false" outlineLevel="0" collapsed="false">
      <c r="A40" s="26" t="s">
        <v>295</v>
      </c>
      <c r="B40" s="12" t="n">
        <v>7.61</v>
      </c>
      <c r="C40" s="14" t="s">
        <v>338</v>
      </c>
      <c r="D40" s="14" t="s">
        <v>339</v>
      </c>
      <c r="E40" s="15" t="s">
        <v>79</v>
      </c>
      <c r="F40" s="15" t="s">
        <v>214</v>
      </c>
      <c r="G40" s="14" t="s">
        <v>340</v>
      </c>
      <c r="H40" s="16" t="s">
        <v>341</v>
      </c>
      <c r="I40" s="16" t="s">
        <v>342</v>
      </c>
      <c r="J40" s="16"/>
      <c r="K40" s="17"/>
      <c r="L40" s="18"/>
      <c r="M40" s="23" t="s">
        <v>43</v>
      </c>
      <c r="N40" s="18" t="n">
        <v>2</v>
      </c>
      <c r="O40" s="20" t="n">
        <v>56.26</v>
      </c>
      <c r="P40" s="20" t="n">
        <v>151.38</v>
      </c>
      <c r="Q40" s="18" t="n">
        <v>16</v>
      </c>
      <c r="R40" s="18" t="n">
        <v>5</v>
      </c>
      <c r="S40" s="18" t="n">
        <v>368</v>
      </c>
      <c r="T40" s="18" t="n">
        <v>146</v>
      </c>
      <c r="U40" s="14" t="s">
        <v>118</v>
      </c>
      <c r="V40" s="16" t="s">
        <v>218</v>
      </c>
      <c r="W40" s="15" t="s">
        <v>343</v>
      </c>
      <c r="X40" s="15" t="s">
        <v>344</v>
      </c>
      <c r="Y40" s="16" t="s">
        <v>109</v>
      </c>
      <c r="Z40" s="21" t="s">
        <v>72</v>
      </c>
      <c r="AA40" s="21" t="s">
        <v>89</v>
      </c>
      <c r="AB40" s="22" t="n">
        <v>24.9886811</v>
      </c>
      <c r="AC40" s="22" t="n">
        <v>121.1803571</v>
      </c>
    </row>
    <row r="41" customFormat="false" ht="15" hidden="false" customHeight="false" outlineLevel="0" collapsed="false">
      <c r="A41" s="26" t="s">
        <v>295</v>
      </c>
      <c r="B41" s="12" t="n">
        <v>7.63</v>
      </c>
      <c r="C41" s="14" t="s">
        <v>345</v>
      </c>
      <c r="D41" s="14" t="s">
        <v>339</v>
      </c>
      <c r="E41" s="15" t="s">
        <v>79</v>
      </c>
      <c r="F41" s="15" t="s">
        <v>214</v>
      </c>
      <c r="G41" s="14" t="s">
        <v>346</v>
      </c>
      <c r="H41" s="16" t="s">
        <v>341</v>
      </c>
      <c r="I41" s="16" t="s">
        <v>342</v>
      </c>
      <c r="J41" s="21" t="s">
        <v>56</v>
      </c>
      <c r="K41" s="17" t="n">
        <v>4.9</v>
      </c>
      <c r="L41" s="18" t="n">
        <v>76</v>
      </c>
      <c r="M41" s="23" t="s">
        <v>43</v>
      </c>
      <c r="N41" s="18" t="n">
        <v>2</v>
      </c>
      <c r="O41" s="20" t="n">
        <v>56.26</v>
      </c>
      <c r="P41" s="20" t="n">
        <v>151.38</v>
      </c>
      <c r="Q41" s="18" t="n">
        <v>16</v>
      </c>
      <c r="R41" s="18" t="n">
        <v>5</v>
      </c>
      <c r="S41" s="18" t="n">
        <v>368</v>
      </c>
      <c r="T41" s="18" t="n">
        <v>146</v>
      </c>
      <c r="U41" s="14" t="s">
        <v>118</v>
      </c>
      <c r="V41" s="16" t="s">
        <v>218</v>
      </c>
      <c r="W41" s="15" t="s">
        <v>343</v>
      </c>
      <c r="X41" s="15" t="s">
        <v>344</v>
      </c>
      <c r="Y41" s="16" t="s">
        <v>88</v>
      </c>
      <c r="Z41" s="21" t="s">
        <v>72</v>
      </c>
      <c r="AA41" s="21" t="s">
        <v>89</v>
      </c>
      <c r="AB41" s="22" t="n">
        <v>24.9888525</v>
      </c>
      <c r="AC41" s="22" t="n">
        <v>121.1799643</v>
      </c>
    </row>
    <row r="42" customFormat="false" ht="26.85" hidden="false" customHeight="false" outlineLevel="0" collapsed="false">
      <c r="A42" s="26" t="s">
        <v>295</v>
      </c>
      <c r="B42" s="12" t="n">
        <v>7.65</v>
      </c>
      <c r="C42" s="14" t="s">
        <v>347</v>
      </c>
      <c r="D42" s="14" t="s">
        <v>348</v>
      </c>
      <c r="E42" s="15" t="s">
        <v>79</v>
      </c>
      <c r="F42" s="15" t="s">
        <v>214</v>
      </c>
      <c r="G42" s="14" t="s">
        <v>349</v>
      </c>
      <c r="H42" s="16" t="s">
        <v>350</v>
      </c>
      <c r="I42" s="16" t="s">
        <v>351</v>
      </c>
      <c r="J42" s="21" t="s">
        <v>56</v>
      </c>
      <c r="K42" s="17" t="n">
        <v>4</v>
      </c>
      <c r="L42" s="18" t="n">
        <v>21</v>
      </c>
      <c r="M42" s="19" t="s">
        <v>41</v>
      </c>
      <c r="N42" s="18" t="n">
        <v>5</v>
      </c>
      <c r="O42" s="20" t="n">
        <v>136.79</v>
      </c>
      <c r="P42" s="20" t="n">
        <v>250.26</v>
      </c>
      <c r="Q42" s="18" t="n">
        <v>11</v>
      </c>
      <c r="R42" s="18" t="n">
        <v>14</v>
      </c>
      <c r="S42" s="18" t="n">
        <v>242</v>
      </c>
      <c r="T42" s="18" t="n">
        <v>83</v>
      </c>
      <c r="U42" s="14" t="s">
        <v>352</v>
      </c>
      <c r="V42" s="16" t="s">
        <v>353</v>
      </c>
      <c r="W42" s="15" t="s">
        <v>354</v>
      </c>
      <c r="X42" s="15" t="s">
        <v>354</v>
      </c>
      <c r="Y42" s="16" t="s">
        <v>88</v>
      </c>
      <c r="Z42" s="21" t="s">
        <v>72</v>
      </c>
      <c r="AA42" s="21" t="s">
        <v>89</v>
      </c>
      <c r="AB42" s="22" t="n">
        <v>24.9889869</v>
      </c>
      <c r="AC42" s="22" t="n">
        <v>121.1809663</v>
      </c>
    </row>
    <row r="43" customFormat="false" ht="15" hidden="false" customHeight="false" outlineLevel="0" collapsed="false">
      <c r="A43" s="26" t="s">
        <v>295</v>
      </c>
      <c r="B43" s="12" t="n">
        <v>7.65</v>
      </c>
      <c r="C43" s="14" t="s">
        <v>355</v>
      </c>
      <c r="D43" s="13"/>
      <c r="E43" s="15" t="s">
        <v>79</v>
      </c>
      <c r="F43" s="15" t="s">
        <v>288</v>
      </c>
      <c r="G43" s="14" t="s">
        <v>356</v>
      </c>
      <c r="H43" s="16" t="s">
        <v>357</v>
      </c>
      <c r="I43" s="16"/>
      <c r="J43" s="16"/>
      <c r="K43" s="17"/>
      <c r="L43" s="18"/>
      <c r="M43" s="16"/>
      <c r="N43" s="18"/>
      <c r="O43" s="20"/>
      <c r="P43" s="20"/>
      <c r="Q43" s="18"/>
      <c r="R43" s="18"/>
      <c r="S43" s="18"/>
      <c r="T43" s="18"/>
      <c r="U43" s="13"/>
      <c r="V43" s="16"/>
      <c r="W43" s="16"/>
      <c r="X43" s="16"/>
      <c r="Y43" s="16"/>
      <c r="Z43" s="24"/>
      <c r="AA43" s="21" t="s">
        <v>89</v>
      </c>
      <c r="AB43" s="22" t="n">
        <v>24.8726177</v>
      </c>
      <c r="AC43" s="22" t="n">
        <v>121.232911</v>
      </c>
    </row>
    <row r="44" customFormat="false" ht="15" hidden="false" customHeight="false" outlineLevel="0" collapsed="false">
      <c r="A44" s="26" t="s">
        <v>295</v>
      </c>
      <c r="B44" s="12" t="n">
        <v>7.75</v>
      </c>
      <c r="C44" s="14" t="s">
        <v>358</v>
      </c>
      <c r="D44" s="14" t="s">
        <v>359</v>
      </c>
      <c r="E44" s="15" t="s">
        <v>79</v>
      </c>
      <c r="F44" s="15" t="s">
        <v>288</v>
      </c>
      <c r="G44" s="14" t="s">
        <v>360</v>
      </c>
      <c r="H44" s="16" t="s">
        <v>361</v>
      </c>
      <c r="I44" s="16" t="s">
        <v>362</v>
      </c>
      <c r="J44" s="16"/>
      <c r="K44" s="17" t="n">
        <v>5</v>
      </c>
      <c r="L44" s="18" t="n">
        <v>1</v>
      </c>
      <c r="M44" s="23" t="s">
        <v>43</v>
      </c>
      <c r="N44" s="18" t="n">
        <v>1</v>
      </c>
      <c r="O44" s="20" t="n">
        <v>35.45</v>
      </c>
      <c r="P44" s="20" t="n">
        <v>45.5</v>
      </c>
      <c r="Q44" s="18" t="n">
        <v>2</v>
      </c>
      <c r="R44" s="18" t="n">
        <v>1</v>
      </c>
      <c r="S44" s="18" t="n">
        <v>58</v>
      </c>
      <c r="T44" s="18" t="n">
        <v>58</v>
      </c>
      <c r="U44" s="14" t="s">
        <v>84</v>
      </c>
      <c r="V44" s="16" t="s">
        <v>363</v>
      </c>
      <c r="W44" s="15" t="s">
        <v>364</v>
      </c>
      <c r="X44" s="15" t="s">
        <v>365</v>
      </c>
      <c r="Y44" s="16" t="s">
        <v>88</v>
      </c>
      <c r="Z44" s="21" t="s">
        <v>72</v>
      </c>
      <c r="AA44" s="21" t="s">
        <v>89</v>
      </c>
      <c r="AB44" s="22" t="n">
        <v>24.8725285</v>
      </c>
      <c r="AC44" s="22" t="n">
        <v>121.2341276</v>
      </c>
    </row>
    <row r="45" customFormat="false" ht="15" hidden="false" customHeight="false" outlineLevel="0" collapsed="false">
      <c r="A45" s="26" t="s">
        <v>295</v>
      </c>
      <c r="B45" s="12" t="n">
        <v>7.84</v>
      </c>
      <c r="C45" s="14" t="s">
        <v>366</v>
      </c>
      <c r="D45" s="14" t="s">
        <v>367</v>
      </c>
      <c r="E45" s="15" t="s">
        <v>79</v>
      </c>
      <c r="F45" s="15" t="s">
        <v>288</v>
      </c>
      <c r="G45" s="14" t="s">
        <v>368</v>
      </c>
      <c r="H45" s="16" t="s">
        <v>369</v>
      </c>
      <c r="I45" s="16" t="s">
        <v>370</v>
      </c>
      <c r="J45" s="16"/>
      <c r="K45" s="17" t="n">
        <v>3.9</v>
      </c>
      <c r="L45" s="18" t="n">
        <v>18</v>
      </c>
      <c r="M45" s="23" t="s">
        <v>43</v>
      </c>
      <c r="N45" s="18" t="n">
        <v>4</v>
      </c>
      <c r="O45" s="20" t="n">
        <v>57.95</v>
      </c>
      <c r="P45" s="20" t="n">
        <v>147.25</v>
      </c>
      <c r="Q45" s="18" t="n">
        <v>4</v>
      </c>
      <c r="R45" s="18" t="n">
        <v>1</v>
      </c>
      <c r="S45" s="18" t="n">
        <v>120</v>
      </c>
      <c r="T45" s="18" t="n">
        <v>120</v>
      </c>
      <c r="U45" s="14" t="s">
        <v>84</v>
      </c>
      <c r="V45" s="16" t="s">
        <v>371</v>
      </c>
      <c r="W45" s="15" t="s">
        <v>372</v>
      </c>
      <c r="X45" s="15" t="s">
        <v>372</v>
      </c>
      <c r="Y45" s="16" t="s">
        <v>88</v>
      </c>
      <c r="Z45" s="21" t="s">
        <v>72</v>
      </c>
      <c r="AA45" s="21" t="s">
        <v>89</v>
      </c>
      <c r="AB45" s="22" t="n">
        <v>24.8716016</v>
      </c>
      <c r="AC45" s="22" t="n">
        <v>121.2344038</v>
      </c>
    </row>
    <row r="46" customFormat="false" ht="15" hidden="false" customHeight="false" outlineLevel="0" collapsed="false">
      <c r="A46" s="26" t="s">
        <v>295</v>
      </c>
      <c r="B46" s="12" t="n">
        <v>7.94</v>
      </c>
      <c r="C46" s="14" t="s">
        <v>373</v>
      </c>
      <c r="D46" s="14" t="s">
        <v>374</v>
      </c>
      <c r="E46" s="15" t="s">
        <v>79</v>
      </c>
      <c r="F46" s="15" t="s">
        <v>288</v>
      </c>
      <c r="G46" s="14" t="s">
        <v>375</v>
      </c>
      <c r="H46" s="16" t="s">
        <v>376</v>
      </c>
      <c r="I46" s="16" t="s">
        <v>377</v>
      </c>
      <c r="J46" s="16"/>
      <c r="K46" s="17" t="n">
        <v>1</v>
      </c>
      <c r="L46" s="18" t="n">
        <v>1</v>
      </c>
      <c r="M46" s="19" t="s">
        <v>41</v>
      </c>
      <c r="N46" s="18" t="n">
        <v>4</v>
      </c>
      <c r="O46" s="20" t="n">
        <v>82.77</v>
      </c>
      <c r="P46" s="20" t="n">
        <v>281.72</v>
      </c>
      <c r="Q46" s="18" t="n">
        <v>4</v>
      </c>
      <c r="R46" s="18" t="n">
        <v>1</v>
      </c>
      <c r="S46" s="18" t="n">
        <v>70</v>
      </c>
      <c r="T46" s="18" t="n">
        <v>15</v>
      </c>
      <c r="U46" s="14" t="s">
        <v>118</v>
      </c>
      <c r="V46" s="16" t="s">
        <v>378</v>
      </c>
      <c r="W46" s="15" t="s">
        <v>379</v>
      </c>
      <c r="X46" s="15" t="s">
        <v>379</v>
      </c>
      <c r="Y46" s="16" t="s">
        <v>88</v>
      </c>
      <c r="Z46" s="21" t="s">
        <v>72</v>
      </c>
      <c r="AA46" s="21" t="s">
        <v>89</v>
      </c>
      <c r="AB46" s="22" t="n">
        <v>24.8584657</v>
      </c>
      <c r="AC46" s="22" t="n">
        <v>121.217606</v>
      </c>
    </row>
    <row r="47" customFormat="false" ht="15" hidden="false" customHeight="false" outlineLevel="0" collapsed="false">
      <c r="A47" s="26" t="s">
        <v>295</v>
      </c>
      <c r="B47" s="12" t="n">
        <v>8.52</v>
      </c>
      <c r="C47" s="14" t="s">
        <v>380</v>
      </c>
      <c r="D47" s="13"/>
      <c r="E47" s="15" t="s">
        <v>79</v>
      </c>
      <c r="F47" s="15" t="s">
        <v>80</v>
      </c>
      <c r="G47" s="14" t="s">
        <v>381</v>
      </c>
      <c r="H47" s="16"/>
      <c r="I47" s="16"/>
      <c r="J47" s="16"/>
      <c r="K47" s="17" t="n">
        <v>3.8</v>
      </c>
      <c r="L47" s="18" t="n">
        <v>4</v>
      </c>
      <c r="M47" s="16"/>
      <c r="N47" s="18"/>
      <c r="O47" s="20"/>
      <c r="P47" s="20"/>
      <c r="Q47" s="18"/>
      <c r="R47" s="18"/>
      <c r="S47" s="18"/>
      <c r="T47" s="18"/>
      <c r="U47" s="13"/>
      <c r="V47" s="16"/>
      <c r="W47" s="16"/>
      <c r="X47" s="16"/>
      <c r="Y47" s="16"/>
      <c r="Z47" s="24"/>
      <c r="AA47" s="21" t="s">
        <v>89</v>
      </c>
      <c r="AB47" s="22" t="n">
        <v>24.8999594</v>
      </c>
      <c r="AC47" s="22" t="n">
        <v>121.0966584</v>
      </c>
    </row>
    <row r="48" customFormat="false" ht="26.85" hidden="false" customHeight="false" outlineLevel="0" collapsed="false">
      <c r="A48" s="26" t="s">
        <v>295</v>
      </c>
      <c r="B48" s="12" t="n">
        <v>8.67</v>
      </c>
      <c r="C48" s="14" t="s">
        <v>382</v>
      </c>
      <c r="D48" s="14" t="s">
        <v>383</v>
      </c>
      <c r="E48" s="15" t="s">
        <v>79</v>
      </c>
      <c r="F48" s="15" t="s">
        <v>214</v>
      </c>
      <c r="G48" s="14" t="s">
        <v>384</v>
      </c>
      <c r="H48" s="16" t="s">
        <v>385</v>
      </c>
      <c r="I48" s="16" t="s">
        <v>386</v>
      </c>
      <c r="J48" s="16"/>
      <c r="K48" s="17" t="n">
        <v>5</v>
      </c>
      <c r="L48" s="18" t="n">
        <v>2</v>
      </c>
      <c r="M48" s="23" t="s">
        <v>43</v>
      </c>
      <c r="N48" s="18" t="n">
        <v>3</v>
      </c>
      <c r="O48" s="20" t="n">
        <v>64.34</v>
      </c>
      <c r="P48" s="20" t="n">
        <v>123.16</v>
      </c>
      <c r="Q48" s="18" t="n">
        <v>4</v>
      </c>
      <c r="R48" s="18" t="n">
        <v>1</v>
      </c>
      <c r="S48" s="18" t="n">
        <v>64</v>
      </c>
      <c r="T48" s="18" t="n">
        <v>37</v>
      </c>
      <c r="U48" s="14" t="s">
        <v>94</v>
      </c>
      <c r="V48" s="16" t="s">
        <v>387</v>
      </c>
      <c r="W48" s="15" t="s">
        <v>388</v>
      </c>
      <c r="X48" s="15" t="s">
        <v>389</v>
      </c>
      <c r="Y48" s="16" t="s">
        <v>88</v>
      </c>
      <c r="Z48" s="21" t="s">
        <v>72</v>
      </c>
      <c r="AA48" s="21" t="s">
        <v>89</v>
      </c>
      <c r="AB48" s="22" t="n">
        <v>24.9524939</v>
      </c>
      <c r="AC48" s="22" t="n">
        <v>121.2564033</v>
      </c>
    </row>
    <row r="49" customFormat="false" ht="15" hidden="false" customHeight="false" outlineLevel="0" collapsed="false">
      <c r="A49" s="26" t="s">
        <v>295</v>
      </c>
      <c r="B49" s="12" t="n">
        <v>8.93</v>
      </c>
      <c r="C49" s="14" t="s">
        <v>390</v>
      </c>
      <c r="D49" s="13"/>
      <c r="E49" s="15" t="s">
        <v>79</v>
      </c>
      <c r="F49" s="15" t="s">
        <v>214</v>
      </c>
      <c r="G49" s="14" t="s">
        <v>391</v>
      </c>
      <c r="H49" s="16"/>
      <c r="I49" s="16"/>
      <c r="J49" s="16"/>
      <c r="K49" s="17"/>
      <c r="L49" s="18"/>
      <c r="M49" s="16"/>
      <c r="N49" s="18"/>
      <c r="O49" s="20"/>
      <c r="P49" s="20"/>
      <c r="Q49" s="18"/>
      <c r="R49" s="18"/>
      <c r="S49" s="18"/>
      <c r="T49" s="18"/>
      <c r="U49" s="13"/>
      <c r="V49" s="16"/>
      <c r="W49" s="16"/>
      <c r="X49" s="16"/>
      <c r="Y49" s="16"/>
      <c r="Z49" s="24"/>
      <c r="AA49" s="21" t="s">
        <v>89</v>
      </c>
      <c r="AB49" s="22" t="n">
        <v>24.9549929</v>
      </c>
      <c r="AC49" s="22" t="n">
        <v>121.2579649</v>
      </c>
    </row>
    <row r="50" customFormat="false" ht="15" hidden="false" customHeight="false" outlineLevel="0" collapsed="false">
      <c r="A50" s="26" t="s">
        <v>295</v>
      </c>
      <c r="B50" s="12" t="n">
        <v>9.28</v>
      </c>
      <c r="C50" s="14" t="s">
        <v>392</v>
      </c>
      <c r="D50" s="14" t="s">
        <v>393</v>
      </c>
      <c r="E50" s="15" t="s">
        <v>79</v>
      </c>
      <c r="F50" s="15" t="s">
        <v>394</v>
      </c>
      <c r="G50" s="14" t="s">
        <v>395</v>
      </c>
      <c r="H50" s="16" t="s">
        <v>396</v>
      </c>
      <c r="I50" s="16" t="s">
        <v>397</v>
      </c>
      <c r="J50" s="16"/>
      <c r="K50" s="17" t="n">
        <v>5</v>
      </c>
      <c r="L50" s="18" t="n">
        <v>4</v>
      </c>
      <c r="M50" s="23" t="s">
        <v>43</v>
      </c>
      <c r="N50" s="18" t="n">
        <v>1</v>
      </c>
      <c r="O50" s="20" t="n">
        <v>37.87</v>
      </c>
      <c r="P50" s="20" t="n">
        <v>68.82</v>
      </c>
      <c r="Q50" s="18" t="n">
        <v>1</v>
      </c>
      <c r="R50" s="18" t="n">
        <v>1</v>
      </c>
      <c r="S50" s="18" t="n">
        <v>14</v>
      </c>
      <c r="T50" s="18" t="n">
        <v>14</v>
      </c>
      <c r="U50" s="14" t="s">
        <v>84</v>
      </c>
      <c r="V50" s="16" t="s">
        <v>398</v>
      </c>
      <c r="W50" s="15" t="s">
        <v>399</v>
      </c>
      <c r="X50" s="15" t="s">
        <v>399</v>
      </c>
      <c r="Y50" s="16" t="s">
        <v>88</v>
      </c>
      <c r="Z50" s="21" t="s">
        <v>72</v>
      </c>
      <c r="AA50" s="21" t="s">
        <v>89</v>
      </c>
      <c r="AB50" s="22" t="n">
        <v>24.9722627</v>
      </c>
      <c r="AC50" s="22" t="n">
        <v>121.1061862</v>
      </c>
    </row>
    <row r="51" customFormat="false" ht="15" hidden="false" customHeight="false" outlineLevel="0" collapsed="false">
      <c r="A51" s="26" t="s">
        <v>295</v>
      </c>
      <c r="B51" s="12" t="n">
        <v>9.43</v>
      </c>
      <c r="C51" s="14" t="s">
        <v>400</v>
      </c>
      <c r="D51" s="14" t="s">
        <v>401</v>
      </c>
      <c r="E51" s="15" t="s">
        <v>79</v>
      </c>
      <c r="F51" s="15" t="s">
        <v>394</v>
      </c>
      <c r="G51" s="14" t="s">
        <v>402</v>
      </c>
      <c r="H51" s="16" t="s">
        <v>403</v>
      </c>
      <c r="I51" s="16" t="s">
        <v>404</v>
      </c>
      <c r="J51" s="16"/>
      <c r="K51" s="17" t="n">
        <v>5</v>
      </c>
      <c r="L51" s="18" t="n">
        <v>1</v>
      </c>
      <c r="M51" s="23" t="s">
        <v>43</v>
      </c>
      <c r="N51" s="18" t="n">
        <v>4</v>
      </c>
      <c r="O51" s="20" t="n">
        <v>72.64</v>
      </c>
      <c r="P51" s="20" t="n">
        <v>155.93</v>
      </c>
      <c r="Q51" s="18" t="n">
        <v>4</v>
      </c>
      <c r="R51" s="18" t="n">
        <v>2</v>
      </c>
      <c r="S51" s="18" t="n">
        <v>58</v>
      </c>
      <c r="T51" s="18" t="n">
        <v>58</v>
      </c>
      <c r="U51" s="14" t="s">
        <v>84</v>
      </c>
      <c r="V51" s="16" t="s">
        <v>405</v>
      </c>
      <c r="W51" s="15" t="s">
        <v>406</v>
      </c>
      <c r="X51" s="15" t="s">
        <v>407</v>
      </c>
      <c r="Y51" s="16" t="s">
        <v>88</v>
      </c>
      <c r="Z51" s="21" t="s">
        <v>72</v>
      </c>
      <c r="AA51" s="21" t="s">
        <v>89</v>
      </c>
      <c r="AB51" s="22" t="n">
        <v>24.9738777</v>
      </c>
      <c r="AC51" s="22" t="n">
        <v>121.1057323</v>
      </c>
    </row>
    <row r="52" customFormat="false" ht="15" hidden="false" customHeight="false" outlineLevel="0" collapsed="false">
      <c r="A52" s="26" t="s">
        <v>295</v>
      </c>
      <c r="B52" s="12" t="n">
        <v>9.45</v>
      </c>
      <c r="C52" s="14" t="s">
        <v>408</v>
      </c>
      <c r="D52" s="13"/>
      <c r="E52" s="15" t="s">
        <v>79</v>
      </c>
      <c r="F52" s="15" t="s">
        <v>80</v>
      </c>
      <c r="G52" s="14" t="s">
        <v>409</v>
      </c>
      <c r="H52" s="16" t="s">
        <v>410</v>
      </c>
      <c r="I52" s="16"/>
      <c r="J52" s="16"/>
      <c r="K52" s="17"/>
      <c r="L52" s="18"/>
      <c r="M52" s="16"/>
      <c r="N52" s="18"/>
      <c r="O52" s="20"/>
      <c r="P52" s="20"/>
      <c r="Q52" s="18"/>
      <c r="R52" s="18"/>
      <c r="S52" s="18"/>
      <c r="T52" s="18"/>
      <c r="U52" s="13"/>
      <c r="V52" s="16"/>
      <c r="W52" s="16"/>
      <c r="X52" s="16"/>
      <c r="Y52" s="16"/>
      <c r="Z52" s="24"/>
      <c r="AA52" s="21" t="s">
        <v>89</v>
      </c>
      <c r="AB52" s="22" t="n">
        <v>24.93534</v>
      </c>
      <c r="AC52" s="22" t="n">
        <v>121.08592</v>
      </c>
    </row>
    <row r="53" customFormat="false" ht="15" hidden="false" customHeight="false" outlineLevel="0" collapsed="false">
      <c r="A53" s="26" t="s">
        <v>295</v>
      </c>
      <c r="B53" s="12" t="n">
        <v>9.54</v>
      </c>
      <c r="C53" s="14" t="s">
        <v>411</v>
      </c>
      <c r="D53" s="14" t="s">
        <v>412</v>
      </c>
      <c r="E53" s="15" t="s">
        <v>79</v>
      </c>
      <c r="F53" s="15" t="s">
        <v>394</v>
      </c>
      <c r="G53" s="14" t="s">
        <v>413</v>
      </c>
      <c r="H53" s="16" t="s">
        <v>414</v>
      </c>
      <c r="I53" s="16" t="s">
        <v>415</v>
      </c>
      <c r="J53" s="16"/>
      <c r="K53" s="17"/>
      <c r="L53" s="18"/>
      <c r="M53" s="23" t="s">
        <v>43</v>
      </c>
      <c r="N53" s="18" t="n">
        <v>2</v>
      </c>
      <c r="O53" s="20" t="n">
        <v>37.68</v>
      </c>
      <c r="P53" s="20" t="n">
        <v>126.96</v>
      </c>
      <c r="Q53" s="18" t="n">
        <v>2</v>
      </c>
      <c r="R53" s="18" t="n">
        <v>3</v>
      </c>
      <c r="S53" s="18" t="n">
        <v>30</v>
      </c>
      <c r="T53" s="18" t="n">
        <v>15</v>
      </c>
      <c r="U53" s="14" t="s">
        <v>84</v>
      </c>
      <c r="V53" s="16" t="s">
        <v>416</v>
      </c>
      <c r="W53" s="15" t="s">
        <v>417</v>
      </c>
      <c r="X53" s="15" t="s">
        <v>418</v>
      </c>
      <c r="Y53" s="16" t="s">
        <v>88</v>
      </c>
      <c r="Z53" s="21" t="s">
        <v>72</v>
      </c>
      <c r="AA53" s="21" t="s">
        <v>89</v>
      </c>
      <c r="AB53" s="22" t="n">
        <v>24.9745228</v>
      </c>
      <c r="AC53" s="22" t="n">
        <v>121.1048527</v>
      </c>
    </row>
    <row r="54" customFormat="false" ht="26.85" hidden="false" customHeight="false" outlineLevel="0" collapsed="false">
      <c r="A54" s="26" t="s">
        <v>295</v>
      </c>
      <c r="B54" s="12" t="n">
        <v>9.89</v>
      </c>
      <c r="C54" s="14" t="s">
        <v>419</v>
      </c>
      <c r="D54" s="14" t="s">
        <v>420</v>
      </c>
      <c r="E54" s="15" t="s">
        <v>79</v>
      </c>
      <c r="F54" s="15" t="s">
        <v>421</v>
      </c>
      <c r="G54" s="14" t="s">
        <v>422</v>
      </c>
      <c r="H54" s="16" t="s">
        <v>423</v>
      </c>
      <c r="I54" s="16" t="s">
        <v>424</v>
      </c>
      <c r="J54" s="16"/>
      <c r="K54" s="17"/>
      <c r="L54" s="18"/>
      <c r="M54" s="23" t="s">
        <v>43</v>
      </c>
      <c r="N54" s="18" t="n">
        <v>2</v>
      </c>
      <c r="O54" s="20" t="n">
        <v>40.78</v>
      </c>
      <c r="P54" s="20" t="n">
        <v>111.48</v>
      </c>
      <c r="Q54" s="18" t="n">
        <v>4</v>
      </c>
      <c r="R54" s="18" t="n">
        <v>2</v>
      </c>
      <c r="S54" s="18" t="n">
        <v>64</v>
      </c>
      <c r="T54" s="18" t="n">
        <v>32</v>
      </c>
      <c r="U54" s="14" t="s">
        <v>94</v>
      </c>
      <c r="V54" s="16" t="s">
        <v>425</v>
      </c>
      <c r="W54" s="15" t="s">
        <v>426</v>
      </c>
      <c r="X54" s="15" t="s">
        <v>427</v>
      </c>
      <c r="Y54" s="16" t="s">
        <v>88</v>
      </c>
      <c r="Z54" s="21" t="s">
        <v>72</v>
      </c>
      <c r="AA54" s="21" t="s">
        <v>89</v>
      </c>
      <c r="AB54" s="22" t="n">
        <v>24.882619</v>
      </c>
      <c r="AC54" s="22" t="n">
        <v>121.267006</v>
      </c>
    </row>
    <row r="55" customFormat="false" ht="15" hidden="false" customHeight="false" outlineLevel="0" collapsed="false">
      <c r="A55" s="26" t="s">
        <v>295</v>
      </c>
      <c r="B55" s="12" t="n">
        <v>9.89</v>
      </c>
      <c r="C55" s="14" t="s">
        <v>428</v>
      </c>
      <c r="D55" s="14" t="s">
        <v>429</v>
      </c>
      <c r="E55" s="15" t="s">
        <v>79</v>
      </c>
      <c r="F55" s="15" t="s">
        <v>80</v>
      </c>
      <c r="G55" s="14" t="s">
        <v>430</v>
      </c>
      <c r="H55" s="16" t="s">
        <v>431</v>
      </c>
      <c r="I55" s="16" t="s">
        <v>432</v>
      </c>
      <c r="J55" s="21" t="s">
        <v>56</v>
      </c>
      <c r="K55" s="17" t="n">
        <v>3.7</v>
      </c>
      <c r="L55" s="18" t="n">
        <v>3</v>
      </c>
      <c r="M55" s="23" t="s">
        <v>43</v>
      </c>
      <c r="N55" s="18" t="n">
        <v>1</v>
      </c>
      <c r="O55" s="20" t="n">
        <v>44.78</v>
      </c>
      <c r="P55" s="20" t="n">
        <v>104.53</v>
      </c>
      <c r="Q55" s="18" t="n">
        <v>2</v>
      </c>
      <c r="R55" s="18" t="n">
        <v>2</v>
      </c>
      <c r="S55" s="18" t="n">
        <v>80</v>
      </c>
      <c r="T55" s="18" t="n">
        <v>40</v>
      </c>
      <c r="U55" s="14" t="s">
        <v>118</v>
      </c>
      <c r="V55" s="16" t="s">
        <v>433</v>
      </c>
      <c r="W55" s="15" t="s">
        <v>434</v>
      </c>
      <c r="X55" s="15" t="s">
        <v>434</v>
      </c>
      <c r="Y55" s="16" t="s">
        <v>88</v>
      </c>
      <c r="Z55" s="21" t="s">
        <v>72</v>
      </c>
      <c r="AA55" s="21" t="s">
        <v>89</v>
      </c>
      <c r="AB55" s="22" t="n">
        <v>24.936887</v>
      </c>
      <c r="AC55" s="22" t="n">
        <v>121.0817423</v>
      </c>
    </row>
    <row r="56" customFormat="false" ht="15" hidden="false" customHeight="false" outlineLevel="0" collapsed="false">
      <c r="A56" s="27" t="s">
        <v>435</v>
      </c>
      <c r="B56" s="12" t="n">
        <v>10.06</v>
      </c>
      <c r="C56" s="14" t="s">
        <v>436</v>
      </c>
      <c r="D56" s="13"/>
      <c r="E56" s="15" t="s">
        <v>79</v>
      </c>
      <c r="F56" s="15" t="s">
        <v>421</v>
      </c>
      <c r="G56" s="14" t="s">
        <v>437</v>
      </c>
      <c r="H56" s="16" t="s">
        <v>438</v>
      </c>
      <c r="I56" s="16"/>
      <c r="J56" s="16"/>
      <c r="K56" s="17"/>
      <c r="L56" s="18"/>
      <c r="M56" s="16"/>
      <c r="N56" s="18"/>
      <c r="O56" s="20"/>
      <c r="P56" s="20"/>
      <c r="Q56" s="18"/>
      <c r="R56" s="18"/>
      <c r="S56" s="18"/>
      <c r="T56" s="18"/>
      <c r="U56" s="13"/>
      <c r="V56" s="16"/>
      <c r="W56" s="16"/>
      <c r="X56" s="16"/>
      <c r="Y56" s="16"/>
      <c r="Z56" s="24"/>
      <c r="AA56" s="21" t="s">
        <v>89</v>
      </c>
      <c r="AB56" s="22" t="n">
        <v>24.8841083</v>
      </c>
      <c r="AC56" s="22" t="n">
        <v>121.2696086</v>
      </c>
    </row>
    <row r="57" customFormat="false" ht="15" hidden="false" customHeight="false" outlineLevel="0" collapsed="false">
      <c r="A57" s="27" t="s">
        <v>435</v>
      </c>
      <c r="B57" s="12" t="n">
        <v>10.1</v>
      </c>
      <c r="C57" s="14" t="s">
        <v>439</v>
      </c>
      <c r="D57" s="14" t="s">
        <v>440</v>
      </c>
      <c r="E57" s="15" t="s">
        <v>79</v>
      </c>
      <c r="F57" s="15" t="s">
        <v>421</v>
      </c>
      <c r="G57" s="14" t="s">
        <v>441</v>
      </c>
      <c r="H57" s="16" t="s">
        <v>442</v>
      </c>
      <c r="I57" s="16" t="s">
        <v>443</v>
      </c>
      <c r="J57" s="16"/>
      <c r="K57" s="17" t="n">
        <v>5</v>
      </c>
      <c r="L57" s="18" t="n">
        <v>2</v>
      </c>
      <c r="M57" s="19" t="s">
        <v>41</v>
      </c>
      <c r="N57" s="18" t="n">
        <v>6</v>
      </c>
      <c r="O57" s="20" t="n">
        <v>87.56</v>
      </c>
      <c r="P57" s="20" t="n">
        <v>169.5</v>
      </c>
      <c r="Q57" s="18" t="n">
        <v>7</v>
      </c>
      <c r="R57" s="18" t="n">
        <v>4</v>
      </c>
      <c r="S57" s="18" t="n">
        <v>103</v>
      </c>
      <c r="T57" s="18" t="n">
        <v>31</v>
      </c>
      <c r="U57" s="14" t="s">
        <v>118</v>
      </c>
      <c r="V57" s="16" t="s">
        <v>444</v>
      </c>
      <c r="W57" s="15" t="s">
        <v>445</v>
      </c>
      <c r="X57" s="15" t="s">
        <v>445</v>
      </c>
      <c r="Y57" s="16" t="s">
        <v>88</v>
      </c>
      <c r="Z57" s="21" t="s">
        <v>72</v>
      </c>
      <c r="AA57" s="21" t="s">
        <v>89</v>
      </c>
      <c r="AB57" s="22" t="n">
        <v>24.8840219</v>
      </c>
      <c r="AC57" s="22" t="n">
        <v>121.2699894</v>
      </c>
    </row>
    <row r="58" customFormat="false" ht="15" hidden="false" customHeight="false" outlineLevel="0" collapsed="false">
      <c r="A58" s="27" t="s">
        <v>435</v>
      </c>
      <c r="B58" s="12" t="n">
        <v>10.23</v>
      </c>
      <c r="C58" s="13" t="s">
        <v>446</v>
      </c>
      <c r="D58" s="14" t="s">
        <v>447</v>
      </c>
      <c r="E58" s="15" t="s">
        <v>79</v>
      </c>
      <c r="F58" s="15" t="s">
        <v>214</v>
      </c>
      <c r="G58" s="14" t="s">
        <v>448</v>
      </c>
      <c r="H58" s="16" t="s">
        <v>449</v>
      </c>
      <c r="I58" s="16" t="s">
        <v>450</v>
      </c>
      <c r="J58" s="21" t="s">
        <v>56</v>
      </c>
      <c r="K58" s="17"/>
      <c r="L58" s="18"/>
      <c r="M58" s="23" t="s">
        <v>43</v>
      </c>
      <c r="N58" s="18" t="n">
        <v>2</v>
      </c>
      <c r="O58" s="20" t="n">
        <v>52.21</v>
      </c>
      <c r="P58" s="20" t="n">
        <v>119.46</v>
      </c>
      <c r="Q58" s="18" t="n">
        <v>8</v>
      </c>
      <c r="R58" s="18" t="n">
        <v>3</v>
      </c>
      <c r="S58" s="18" t="n">
        <v>172</v>
      </c>
      <c r="T58" s="18" t="n">
        <v>84</v>
      </c>
      <c r="U58" s="14" t="s">
        <v>118</v>
      </c>
      <c r="V58" s="16" t="s">
        <v>451</v>
      </c>
      <c r="W58" s="15" t="s">
        <v>452</v>
      </c>
      <c r="X58" s="15" t="s">
        <v>453</v>
      </c>
      <c r="Y58" s="16" t="s">
        <v>88</v>
      </c>
      <c r="Z58" s="21" t="s">
        <v>72</v>
      </c>
      <c r="AA58" s="21" t="s">
        <v>89</v>
      </c>
      <c r="AB58" s="22" t="n">
        <v>25.0052751</v>
      </c>
      <c r="AC58" s="22" t="n">
        <v>121.2168877</v>
      </c>
    </row>
    <row r="59" customFormat="false" ht="15" hidden="false" customHeight="false" outlineLevel="0" collapsed="false">
      <c r="A59" s="27" t="s">
        <v>435</v>
      </c>
      <c r="B59" s="12" t="n">
        <v>10.29</v>
      </c>
      <c r="C59" s="14" t="s">
        <v>454</v>
      </c>
      <c r="D59" s="14" t="s">
        <v>455</v>
      </c>
      <c r="E59" s="15" t="s">
        <v>79</v>
      </c>
      <c r="F59" s="15" t="s">
        <v>421</v>
      </c>
      <c r="G59" s="14" t="s">
        <v>456</v>
      </c>
      <c r="H59" s="16" t="s">
        <v>457</v>
      </c>
      <c r="I59" s="16" t="s">
        <v>458</v>
      </c>
      <c r="J59" s="21" t="s">
        <v>56</v>
      </c>
      <c r="K59" s="17" t="n">
        <v>5</v>
      </c>
      <c r="L59" s="18" t="n">
        <v>63</v>
      </c>
      <c r="M59" s="23" t="s">
        <v>43</v>
      </c>
      <c r="N59" s="18" t="n">
        <v>3</v>
      </c>
      <c r="O59" s="20" t="n">
        <v>44.6</v>
      </c>
      <c r="P59" s="20" t="n">
        <v>124.61</v>
      </c>
      <c r="Q59" s="18" t="n">
        <v>3</v>
      </c>
      <c r="R59" s="18" t="n">
        <v>3</v>
      </c>
      <c r="S59" s="18" t="n">
        <v>36</v>
      </c>
      <c r="T59" s="18" t="n">
        <v>12</v>
      </c>
      <c r="U59" s="14" t="s">
        <v>84</v>
      </c>
      <c r="V59" s="16" t="s">
        <v>459</v>
      </c>
      <c r="W59" s="15" t="s">
        <v>460</v>
      </c>
      <c r="X59" s="15" t="s">
        <v>461</v>
      </c>
      <c r="Y59" s="16" t="s">
        <v>109</v>
      </c>
      <c r="Z59" s="21" t="s">
        <v>72</v>
      </c>
      <c r="AA59" s="21" t="s">
        <v>89</v>
      </c>
      <c r="AB59" s="22" t="n">
        <v>24.9077623</v>
      </c>
      <c r="AC59" s="22" t="n">
        <v>121.2792526</v>
      </c>
    </row>
    <row r="60" customFormat="false" ht="26.85" hidden="false" customHeight="false" outlineLevel="0" collapsed="false">
      <c r="A60" s="27" t="s">
        <v>435</v>
      </c>
      <c r="B60" s="12" t="n">
        <v>10.49</v>
      </c>
      <c r="C60" s="14" t="s">
        <v>462</v>
      </c>
      <c r="D60" s="14" t="s">
        <v>463</v>
      </c>
      <c r="E60" s="15" t="s">
        <v>79</v>
      </c>
      <c r="F60" s="15" t="s">
        <v>464</v>
      </c>
      <c r="G60" s="14" t="s">
        <v>465</v>
      </c>
      <c r="H60" s="16" t="s">
        <v>466</v>
      </c>
      <c r="I60" s="16" t="s">
        <v>467</v>
      </c>
      <c r="J60" s="21" t="s">
        <v>56</v>
      </c>
      <c r="K60" s="17" t="n">
        <v>4.7</v>
      </c>
      <c r="L60" s="18" t="n">
        <v>3</v>
      </c>
      <c r="M60" s="23" t="s">
        <v>43</v>
      </c>
      <c r="N60" s="18" t="n">
        <v>3</v>
      </c>
      <c r="O60" s="20" t="n">
        <v>49.36</v>
      </c>
      <c r="P60" s="20" t="n">
        <v>82.63</v>
      </c>
      <c r="Q60" s="18" t="n">
        <v>15</v>
      </c>
      <c r="R60" s="18" t="n">
        <v>3</v>
      </c>
      <c r="S60" s="18" t="n">
        <v>199</v>
      </c>
      <c r="T60" s="18" t="n">
        <v>56</v>
      </c>
      <c r="U60" s="14" t="s">
        <v>468</v>
      </c>
      <c r="V60" s="16" t="s">
        <v>469</v>
      </c>
      <c r="W60" s="15" t="s">
        <v>470</v>
      </c>
      <c r="X60" s="15" t="s">
        <v>471</v>
      </c>
      <c r="Y60" s="16" t="s">
        <v>88</v>
      </c>
      <c r="Z60" s="21" t="s">
        <v>72</v>
      </c>
      <c r="AA60" s="21" t="s">
        <v>89</v>
      </c>
      <c r="AB60" s="22" t="n">
        <v>24.9274676</v>
      </c>
      <c r="AC60" s="22" t="n">
        <v>121.2818944</v>
      </c>
    </row>
    <row r="61" customFormat="false" ht="15" hidden="false" customHeight="false" outlineLevel="0" collapsed="false">
      <c r="A61" s="27" t="s">
        <v>435</v>
      </c>
      <c r="B61" s="12" t="n">
        <v>10.55</v>
      </c>
      <c r="C61" s="14" t="s">
        <v>472</v>
      </c>
      <c r="D61" s="13"/>
      <c r="E61" s="15" t="s">
        <v>79</v>
      </c>
      <c r="F61" s="15" t="s">
        <v>288</v>
      </c>
      <c r="G61" s="14" t="s">
        <v>473</v>
      </c>
      <c r="H61" s="16" t="s">
        <v>474</v>
      </c>
      <c r="I61" s="16"/>
      <c r="J61" s="16"/>
      <c r="K61" s="17"/>
      <c r="L61" s="18"/>
      <c r="M61" s="16"/>
      <c r="N61" s="18"/>
      <c r="O61" s="20"/>
      <c r="P61" s="20"/>
      <c r="Q61" s="18"/>
      <c r="R61" s="18"/>
      <c r="S61" s="18"/>
      <c r="T61" s="18"/>
      <c r="U61" s="13"/>
      <c r="V61" s="16"/>
      <c r="W61" s="16"/>
      <c r="X61" s="16"/>
      <c r="Y61" s="16"/>
      <c r="Z61" s="24"/>
      <c r="AA61" s="21" t="s">
        <v>89</v>
      </c>
      <c r="AB61" s="22" t="n">
        <v>24.8405196</v>
      </c>
      <c r="AC61" s="22" t="n">
        <v>121.2347778</v>
      </c>
    </row>
    <row r="62" customFormat="false" ht="26.85" hidden="false" customHeight="false" outlineLevel="0" collapsed="false">
      <c r="A62" s="27" t="s">
        <v>435</v>
      </c>
      <c r="B62" s="12" t="n">
        <v>10.58</v>
      </c>
      <c r="C62" s="14" t="s">
        <v>475</v>
      </c>
      <c r="D62" s="14" t="s">
        <v>476</v>
      </c>
      <c r="E62" s="15" t="s">
        <v>79</v>
      </c>
      <c r="F62" s="15" t="s">
        <v>421</v>
      </c>
      <c r="G62" s="14" t="s">
        <v>477</v>
      </c>
      <c r="H62" s="16" t="s">
        <v>478</v>
      </c>
      <c r="I62" s="16" t="s">
        <v>479</v>
      </c>
      <c r="J62" s="21" t="s">
        <v>56</v>
      </c>
      <c r="K62" s="17" t="n">
        <v>5</v>
      </c>
      <c r="L62" s="18" t="n">
        <v>4</v>
      </c>
      <c r="M62" s="25" t="s">
        <v>39</v>
      </c>
      <c r="N62" s="18" t="n">
        <v>4</v>
      </c>
      <c r="O62" s="20" t="n">
        <v>275.22</v>
      </c>
      <c r="P62" s="20" t="n">
        <v>955.32</v>
      </c>
      <c r="Q62" s="18" t="n">
        <v>4</v>
      </c>
      <c r="R62" s="18" t="n">
        <v>2</v>
      </c>
      <c r="S62" s="18" t="n">
        <v>40</v>
      </c>
      <c r="T62" s="18" t="n">
        <v>20</v>
      </c>
      <c r="U62" s="14" t="s">
        <v>118</v>
      </c>
      <c r="V62" s="16" t="s">
        <v>480</v>
      </c>
      <c r="W62" s="15" t="s">
        <v>481</v>
      </c>
      <c r="X62" s="15" t="s">
        <v>482</v>
      </c>
      <c r="Y62" s="16" t="s">
        <v>88</v>
      </c>
      <c r="Z62" s="21" t="s">
        <v>72</v>
      </c>
      <c r="AA62" s="21" t="s">
        <v>89</v>
      </c>
      <c r="AB62" s="22" t="n">
        <v>24.9145513</v>
      </c>
      <c r="AC62" s="22" t="n">
        <v>121.2828905</v>
      </c>
    </row>
    <row r="63" customFormat="false" ht="15" hidden="false" customHeight="false" outlineLevel="0" collapsed="false">
      <c r="A63" s="27" t="s">
        <v>435</v>
      </c>
      <c r="B63" s="12" t="n">
        <v>10.62</v>
      </c>
      <c r="C63" s="14" t="s">
        <v>483</v>
      </c>
      <c r="D63" s="14" t="s">
        <v>484</v>
      </c>
      <c r="E63" s="15" t="s">
        <v>79</v>
      </c>
      <c r="F63" s="15" t="s">
        <v>288</v>
      </c>
      <c r="G63" s="14" t="s">
        <v>485</v>
      </c>
      <c r="H63" s="16" t="s">
        <v>486</v>
      </c>
      <c r="I63" s="16" t="s">
        <v>487</v>
      </c>
      <c r="J63" s="16"/>
      <c r="K63" s="17" t="n">
        <v>5</v>
      </c>
      <c r="L63" s="18" t="n">
        <v>3</v>
      </c>
      <c r="M63" s="19" t="s">
        <v>41</v>
      </c>
      <c r="N63" s="18" t="n">
        <v>5</v>
      </c>
      <c r="O63" s="20" t="n">
        <v>98.92</v>
      </c>
      <c r="P63" s="20" t="n">
        <v>343.51</v>
      </c>
      <c r="Q63" s="18" t="n">
        <v>12</v>
      </c>
      <c r="R63" s="18" t="n">
        <v>1</v>
      </c>
      <c r="S63" s="18" t="n">
        <v>240</v>
      </c>
      <c r="T63" s="18" t="n">
        <v>240</v>
      </c>
      <c r="U63" s="14" t="s">
        <v>84</v>
      </c>
      <c r="V63" s="16" t="s">
        <v>488</v>
      </c>
      <c r="W63" s="15" t="s">
        <v>489</v>
      </c>
      <c r="X63" s="15" t="s">
        <v>489</v>
      </c>
      <c r="Y63" s="16" t="s">
        <v>263</v>
      </c>
      <c r="Z63" s="21" t="s">
        <v>72</v>
      </c>
      <c r="AA63" s="21" t="s">
        <v>89</v>
      </c>
      <c r="AB63" s="22" t="n">
        <v>24.839088</v>
      </c>
      <c r="AC63" s="22" t="n">
        <v>121.2335903</v>
      </c>
    </row>
    <row r="64" customFormat="false" ht="15" hidden="false" customHeight="false" outlineLevel="0" collapsed="false">
      <c r="A64" s="27" t="s">
        <v>435</v>
      </c>
      <c r="B64" s="12" t="n">
        <v>10.63</v>
      </c>
      <c r="C64" s="14" t="s">
        <v>490</v>
      </c>
      <c r="D64" s="14" t="s">
        <v>491</v>
      </c>
      <c r="E64" s="15" t="s">
        <v>79</v>
      </c>
      <c r="F64" s="15" t="s">
        <v>464</v>
      </c>
      <c r="G64" s="14" t="s">
        <v>492</v>
      </c>
      <c r="H64" s="16" t="s">
        <v>493</v>
      </c>
      <c r="I64" s="16" t="s">
        <v>494</v>
      </c>
      <c r="J64" s="21" t="s">
        <v>56</v>
      </c>
      <c r="K64" s="17" t="n">
        <v>5</v>
      </c>
      <c r="L64" s="18" t="n">
        <v>7</v>
      </c>
      <c r="M64" s="19" t="s">
        <v>41</v>
      </c>
      <c r="N64" s="18" t="n">
        <v>5</v>
      </c>
      <c r="O64" s="20" t="n">
        <v>86.32</v>
      </c>
      <c r="P64" s="20" t="n">
        <v>160.5</v>
      </c>
      <c r="Q64" s="18" t="n">
        <v>16</v>
      </c>
      <c r="R64" s="18" t="n">
        <v>3</v>
      </c>
      <c r="S64" s="18" t="n">
        <v>252</v>
      </c>
      <c r="T64" s="18" t="n">
        <v>252</v>
      </c>
      <c r="U64" s="14" t="s">
        <v>118</v>
      </c>
      <c r="V64" s="16" t="s">
        <v>495</v>
      </c>
      <c r="W64" s="15" t="s">
        <v>496</v>
      </c>
      <c r="X64" s="15" t="s">
        <v>497</v>
      </c>
      <c r="Y64" s="16" t="s">
        <v>88</v>
      </c>
      <c r="Z64" s="21" t="s">
        <v>72</v>
      </c>
      <c r="AA64" s="21" t="s">
        <v>89</v>
      </c>
      <c r="AB64" s="22" t="n">
        <v>24.9269812</v>
      </c>
      <c r="AC64" s="22" t="n">
        <v>121.2832783</v>
      </c>
    </row>
    <row r="65" customFormat="false" ht="15" hidden="false" customHeight="false" outlineLevel="0" collapsed="false">
      <c r="A65" s="27" t="s">
        <v>435</v>
      </c>
      <c r="B65" s="12" t="n">
        <v>10.7</v>
      </c>
      <c r="C65" s="14" t="s">
        <v>498</v>
      </c>
      <c r="D65" s="14" t="s">
        <v>499</v>
      </c>
      <c r="E65" s="15" t="s">
        <v>79</v>
      </c>
      <c r="F65" s="15" t="s">
        <v>288</v>
      </c>
      <c r="G65" s="14" t="s">
        <v>500</v>
      </c>
      <c r="H65" s="16" t="s">
        <v>501</v>
      </c>
      <c r="I65" s="16" t="s">
        <v>502</v>
      </c>
      <c r="J65" s="16"/>
      <c r="K65" s="17" t="n">
        <v>3.7</v>
      </c>
      <c r="L65" s="18" t="n">
        <v>3</v>
      </c>
      <c r="M65" s="23" t="s">
        <v>43</v>
      </c>
      <c r="N65" s="18" t="n">
        <v>3</v>
      </c>
      <c r="O65" s="20" t="n">
        <v>47.39</v>
      </c>
      <c r="P65" s="20" t="n">
        <v>114.68</v>
      </c>
      <c r="Q65" s="18" t="n">
        <v>5</v>
      </c>
      <c r="R65" s="18" t="n">
        <v>5</v>
      </c>
      <c r="S65" s="18" t="n">
        <v>105</v>
      </c>
      <c r="T65" s="18" t="n">
        <v>12</v>
      </c>
      <c r="U65" s="14" t="s">
        <v>118</v>
      </c>
      <c r="V65" s="16" t="s">
        <v>503</v>
      </c>
      <c r="W65" s="15" t="s">
        <v>504</v>
      </c>
      <c r="X65" s="15" t="s">
        <v>505</v>
      </c>
      <c r="Y65" s="16" t="s">
        <v>88</v>
      </c>
      <c r="Z65" s="21" t="s">
        <v>72</v>
      </c>
      <c r="AA65" s="21" t="s">
        <v>89</v>
      </c>
      <c r="AB65" s="22" t="n">
        <v>24.8390991</v>
      </c>
      <c r="AC65" s="22" t="n">
        <v>121.235141</v>
      </c>
    </row>
    <row r="66" customFormat="false" ht="15" hidden="false" customHeight="false" outlineLevel="0" collapsed="false">
      <c r="A66" s="27" t="s">
        <v>435</v>
      </c>
      <c r="B66" s="12" t="n">
        <v>10.79</v>
      </c>
      <c r="C66" s="14" t="s">
        <v>506</v>
      </c>
      <c r="D66" s="13"/>
      <c r="E66" s="15" t="s">
        <v>79</v>
      </c>
      <c r="F66" s="15" t="s">
        <v>288</v>
      </c>
      <c r="G66" s="14" t="s">
        <v>507</v>
      </c>
      <c r="H66" s="16" t="s">
        <v>508</v>
      </c>
      <c r="I66" s="16"/>
      <c r="J66" s="16"/>
      <c r="K66" s="17"/>
      <c r="L66" s="18"/>
      <c r="M66" s="16"/>
      <c r="N66" s="18"/>
      <c r="O66" s="20"/>
      <c r="P66" s="20"/>
      <c r="Q66" s="18"/>
      <c r="R66" s="18"/>
      <c r="S66" s="18"/>
      <c r="T66" s="18"/>
      <c r="U66" s="13"/>
      <c r="V66" s="16"/>
      <c r="W66" s="16"/>
      <c r="X66" s="16"/>
      <c r="Y66" s="16"/>
      <c r="Z66" s="24"/>
      <c r="AA66" s="21" t="s">
        <v>89</v>
      </c>
      <c r="AB66" s="22" t="n">
        <v>24.838512</v>
      </c>
      <c r="AC66" s="22" t="n">
        <v>121.235792</v>
      </c>
    </row>
    <row r="67" customFormat="false" ht="15" hidden="false" customHeight="false" outlineLevel="0" collapsed="false">
      <c r="A67" s="27" t="s">
        <v>435</v>
      </c>
      <c r="B67" s="12" t="n">
        <v>10.99</v>
      </c>
      <c r="C67" s="14" t="s">
        <v>509</v>
      </c>
      <c r="D67" s="14" t="s">
        <v>510</v>
      </c>
      <c r="E67" s="15" t="s">
        <v>79</v>
      </c>
      <c r="F67" s="15" t="s">
        <v>511</v>
      </c>
      <c r="G67" s="14" t="s">
        <v>512</v>
      </c>
      <c r="H67" s="16" t="s">
        <v>513</v>
      </c>
      <c r="I67" s="16" t="s">
        <v>514</v>
      </c>
      <c r="J67" s="16"/>
      <c r="K67" s="17"/>
      <c r="L67" s="18"/>
      <c r="M67" s="19" t="s">
        <v>41</v>
      </c>
      <c r="N67" s="18" t="n">
        <v>1</v>
      </c>
      <c r="O67" s="20" t="n">
        <v>35.02</v>
      </c>
      <c r="P67" s="20" t="n">
        <v>260.01</v>
      </c>
      <c r="Q67" s="18" t="n">
        <v>4</v>
      </c>
      <c r="R67" s="18" t="n">
        <v>1</v>
      </c>
      <c r="S67" s="18" t="n">
        <v>96</v>
      </c>
      <c r="T67" s="18" t="n">
        <v>24</v>
      </c>
      <c r="U67" s="14" t="s">
        <v>515</v>
      </c>
      <c r="V67" s="16" t="s">
        <v>516</v>
      </c>
      <c r="W67" s="15" t="s">
        <v>517</v>
      </c>
      <c r="X67" s="15" t="s">
        <v>518</v>
      </c>
      <c r="Y67" s="16" t="s">
        <v>263</v>
      </c>
      <c r="Z67" s="21" t="s">
        <v>72</v>
      </c>
      <c r="AA67" s="21" t="s">
        <v>89</v>
      </c>
      <c r="AB67" s="22" t="n">
        <v>25.0122739</v>
      </c>
      <c r="AC67" s="22" t="n">
        <v>121.1382623</v>
      </c>
    </row>
    <row r="68" customFormat="false" ht="15" hidden="false" customHeight="false" outlineLevel="0" collapsed="false">
      <c r="A68" s="27" t="s">
        <v>435</v>
      </c>
      <c r="B68" s="12" t="n">
        <v>11.4</v>
      </c>
      <c r="C68" s="14" t="s">
        <v>519</v>
      </c>
      <c r="D68" s="14" t="s">
        <v>520</v>
      </c>
      <c r="E68" s="15" t="s">
        <v>79</v>
      </c>
      <c r="F68" s="15" t="s">
        <v>511</v>
      </c>
      <c r="G68" s="14" t="s">
        <v>521</v>
      </c>
      <c r="H68" s="16" t="s">
        <v>522</v>
      </c>
      <c r="I68" s="16" t="s">
        <v>523</v>
      </c>
      <c r="J68" s="21" t="s">
        <v>56</v>
      </c>
      <c r="K68" s="17" t="n">
        <v>5</v>
      </c>
      <c r="L68" s="18" t="n">
        <v>66</v>
      </c>
      <c r="M68" s="19" t="s">
        <v>41</v>
      </c>
      <c r="N68" s="18" t="n">
        <v>5</v>
      </c>
      <c r="O68" s="20" t="n">
        <v>151.04</v>
      </c>
      <c r="P68" s="20" t="n">
        <v>264.21</v>
      </c>
      <c r="Q68" s="18" t="n">
        <v>10</v>
      </c>
      <c r="R68" s="18" t="n">
        <v>3</v>
      </c>
      <c r="S68" s="18" t="n">
        <v>240</v>
      </c>
      <c r="T68" s="18" t="n">
        <v>148</v>
      </c>
      <c r="U68" s="14" t="s">
        <v>118</v>
      </c>
      <c r="V68" s="16" t="s">
        <v>524</v>
      </c>
      <c r="W68" s="15" t="s">
        <v>525</v>
      </c>
      <c r="X68" s="15" t="s">
        <v>526</v>
      </c>
      <c r="Y68" s="16" t="s">
        <v>88</v>
      </c>
      <c r="Z68" s="21" t="s">
        <v>72</v>
      </c>
      <c r="AA68" s="21" t="s">
        <v>89</v>
      </c>
      <c r="AB68" s="22" t="n">
        <v>25.0143566</v>
      </c>
      <c r="AC68" s="22" t="n">
        <v>121.1331341</v>
      </c>
    </row>
    <row r="69" customFormat="false" ht="15" hidden="false" customHeight="false" outlineLevel="0" collapsed="false">
      <c r="A69" s="27" t="s">
        <v>435</v>
      </c>
      <c r="B69" s="12" t="n">
        <v>11.43</v>
      </c>
      <c r="C69" s="14" t="s">
        <v>527</v>
      </c>
      <c r="D69" s="14" t="s">
        <v>528</v>
      </c>
      <c r="E69" s="15" t="s">
        <v>79</v>
      </c>
      <c r="F69" s="15" t="s">
        <v>529</v>
      </c>
      <c r="G69" s="14" t="s">
        <v>530</v>
      </c>
      <c r="H69" s="16" t="s">
        <v>531</v>
      </c>
      <c r="I69" s="16" t="s">
        <v>532</v>
      </c>
      <c r="J69" s="21" t="s">
        <v>56</v>
      </c>
      <c r="K69" s="17" t="n">
        <v>4.6</v>
      </c>
      <c r="L69" s="18" t="n">
        <v>10</v>
      </c>
      <c r="M69" s="25" t="s">
        <v>39</v>
      </c>
      <c r="N69" s="18" t="n">
        <v>11</v>
      </c>
      <c r="O69" s="20" t="n">
        <v>201.18</v>
      </c>
      <c r="P69" s="20" t="n">
        <v>317.18</v>
      </c>
      <c r="Q69" s="18" t="n">
        <v>40</v>
      </c>
      <c r="R69" s="18" t="n">
        <v>12</v>
      </c>
      <c r="S69" s="18" t="n">
        <v>600</v>
      </c>
      <c r="T69" s="18" t="n">
        <v>256</v>
      </c>
      <c r="U69" s="14" t="s">
        <v>118</v>
      </c>
      <c r="V69" s="16" t="s">
        <v>533</v>
      </c>
      <c r="W69" s="15" t="s">
        <v>534</v>
      </c>
      <c r="X69" s="15" t="s">
        <v>534</v>
      </c>
      <c r="Y69" s="16" t="s">
        <v>88</v>
      </c>
      <c r="Z69" s="21" t="s">
        <v>72</v>
      </c>
      <c r="AA69" s="21" t="s">
        <v>89</v>
      </c>
      <c r="AB69" s="22" t="n">
        <v>25.0180904</v>
      </c>
      <c r="AC69" s="22" t="n">
        <v>121.2129552</v>
      </c>
    </row>
    <row r="70" customFormat="false" ht="15" hidden="false" customHeight="false" outlineLevel="0" collapsed="false">
      <c r="A70" s="27" t="s">
        <v>435</v>
      </c>
      <c r="B70" s="12" t="n">
        <v>11.47</v>
      </c>
      <c r="C70" s="14" t="s">
        <v>535</v>
      </c>
      <c r="D70" s="13"/>
      <c r="E70" s="15" t="s">
        <v>79</v>
      </c>
      <c r="F70" s="15" t="s">
        <v>511</v>
      </c>
      <c r="G70" s="14" t="s">
        <v>536</v>
      </c>
      <c r="H70" s="16" t="s">
        <v>537</v>
      </c>
      <c r="I70" s="16"/>
      <c r="J70" s="16"/>
      <c r="K70" s="17" t="n">
        <v>5</v>
      </c>
      <c r="L70" s="18" t="n">
        <v>1</v>
      </c>
      <c r="M70" s="16"/>
      <c r="N70" s="18"/>
      <c r="O70" s="20"/>
      <c r="P70" s="20"/>
      <c r="Q70" s="18"/>
      <c r="R70" s="18"/>
      <c r="S70" s="18"/>
      <c r="T70" s="18"/>
      <c r="U70" s="13"/>
      <c r="V70" s="16"/>
      <c r="W70" s="16"/>
      <c r="X70" s="16"/>
      <c r="Y70" s="16"/>
      <c r="Z70" s="24"/>
      <c r="AA70" s="21" t="s">
        <v>89</v>
      </c>
      <c r="AB70" s="22" t="n">
        <v>25.0155704</v>
      </c>
      <c r="AC70" s="22" t="n">
        <v>121.1345649</v>
      </c>
    </row>
    <row r="71" customFormat="false" ht="15" hidden="false" customHeight="false" outlineLevel="0" collapsed="false">
      <c r="A71" s="27" t="s">
        <v>435</v>
      </c>
      <c r="B71" s="12" t="n">
        <v>11.49</v>
      </c>
      <c r="C71" s="14" t="s">
        <v>538</v>
      </c>
      <c r="D71" s="13"/>
      <c r="E71" s="15" t="s">
        <v>79</v>
      </c>
      <c r="F71" s="15" t="s">
        <v>511</v>
      </c>
      <c r="G71" s="14" t="s">
        <v>539</v>
      </c>
      <c r="H71" s="16" t="s">
        <v>540</v>
      </c>
      <c r="I71" s="16"/>
      <c r="J71" s="16"/>
      <c r="K71" s="17" t="n">
        <v>5</v>
      </c>
      <c r="L71" s="18" t="n">
        <v>1</v>
      </c>
      <c r="M71" s="16"/>
      <c r="N71" s="18"/>
      <c r="O71" s="20"/>
      <c r="P71" s="20"/>
      <c r="Q71" s="18"/>
      <c r="R71" s="18"/>
      <c r="S71" s="18"/>
      <c r="T71" s="18"/>
      <c r="U71" s="13"/>
      <c r="V71" s="16"/>
      <c r="W71" s="16"/>
      <c r="X71" s="16"/>
      <c r="Y71" s="16"/>
      <c r="Z71" s="24"/>
      <c r="AA71" s="21" t="s">
        <v>89</v>
      </c>
      <c r="AB71" s="22" t="n">
        <v>25.0147899</v>
      </c>
      <c r="AC71" s="22" t="n">
        <v>121.1321983</v>
      </c>
    </row>
    <row r="72" customFormat="false" ht="15" hidden="false" customHeight="false" outlineLevel="0" collapsed="false">
      <c r="A72" s="27" t="s">
        <v>435</v>
      </c>
      <c r="B72" s="12" t="n">
        <v>11.63</v>
      </c>
      <c r="C72" s="14" t="s">
        <v>541</v>
      </c>
      <c r="D72" s="14" t="s">
        <v>541</v>
      </c>
      <c r="E72" s="15" t="s">
        <v>79</v>
      </c>
      <c r="F72" s="15" t="s">
        <v>421</v>
      </c>
      <c r="G72" s="14" t="s">
        <v>542</v>
      </c>
      <c r="H72" s="16" t="s">
        <v>543</v>
      </c>
      <c r="I72" s="16" t="s">
        <v>544</v>
      </c>
      <c r="J72" s="16"/>
      <c r="K72" s="17" t="n">
        <v>3.7</v>
      </c>
      <c r="L72" s="18" t="n">
        <v>13</v>
      </c>
      <c r="M72" s="23" t="s">
        <v>43</v>
      </c>
      <c r="N72" s="18" t="n">
        <v>2</v>
      </c>
      <c r="O72" s="20" t="n">
        <v>30</v>
      </c>
      <c r="P72" s="20" t="n">
        <v>70</v>
      </c>
      <c r="Q72" s="18" t="n">
        <v>4</v>
      </c>
      <c r="R72" s="18" t="n">
        <v>5</v>
      </c>
      <c r="S72" s="18" t="n">
        <v>68</v>
      </c>
      <c r="T72" s="18" t="n">
        <v>68</v>
      </c>
      <c r="U72" s="14" t="s">
        <v>84</v>
      </c>
      <c r="V72" s="16" t="s">
        <v>545</v>
      </c>
      <c r="W72" s="15" t="s">
        <v>546</v>
      </c>
      <c r="X72" s="15" t="s">
        <v>547</v>
      </c>
      <c r="Y72" s="16" t="s">
        <v>88</v>
      </c>
      <c r="Z72" s="21" t="s">
        <v>72</v>
      </c>
      <c r="AA72" s="21" t="s">
        <v>89</v>
      </c>
      <c r="AB72" s="22" t="n">
        <v>24.8830317</v>
      </c>
      <c r="AC72" s="22" t="n">
        <v>121.2859362</v>
      </c>
    </row>
    <row r="73" customFormat="false" ht="15" hidden="false" customHeight="false" outlineLevel="0" collapsed="false">
      <c r="A73" s="27" t="s">
        <v>435</v>
      </c>
      <c r="B73" s="12" t="n">
        <v>11.69</v>
      </c>
      <c r="C73" s="14" t="s">
        <v>548</v>
      </c>
      <c r="D73" s="13"/>
      <c r="E73" s="15" t="s">
        <v>79</v>
      </c>
      <c r="F73" s="15" t="s">
        <v>421</v>
      </c>
      <c r="G73" s="14" t="s">
        <v>549</v>
      </c>
      <c r="H73" s="16" t="s">
        <v>550</v>
      </c>
      <c r="I73" s="16"/>
      <c r="J73" s="16"/>
      <c r="K73" s="17"/>
      <c r="L73" s="18"/>
      <c r="M73" s="16"/>
      <c r="N73" s="18"/>
      <c r="O73" s="20"/>
      <c r="P73" s="20"/>
      <c r="Q73" s="18"/>
      <c r="R73" s="18"/>
      <c r="S73" s="18"/>
      <c r="T73" s="18"/>
      <c r="U73" s="13"/>
      <c r="V73" s="16"/>
      <c r="W73" s="16"/>
      <c r="X73" s="16"/>
      <c r="Y73" s="16"/>
      <c r="Z73" s="24"/>
      <c r="AA73" s="21" t="s">
        <v>89</v>
      </c>
      <c r="AB73" s="22" t="n">
        <v>24.8835434</v>
      </c>
      <c r="AC73" s="22" t="n">
        <v>121.2867662</v>
      </c>
    </row>
    <row r="74" customFormat="false" ht="26.85" hidden="false" customHeight="false" outlineLevel="0" collapsed="false">
      <c r="A74" s="27" t="s">
        <v>435</v>
      </c>
      <c r="B74" s="12" t="n">
        <v>11.77</v>
      </c>
      <c r="C74" s="14" t="s">
        <v>551</v>
      </c>
      <c r="D74" s="14" t="s">
        <v>552</v>
      </c>
      <c r="E74" s="15" t="s">
        <v>79</v>
      </c>
      <c r="F74" s="15" t="s">
        <v>529</v>
      </c>
      <c r="G74" s="14" t="s">
        <v>553</v>
      </c>
      <c r="H74" s="16" t="s">
        <v>554</v>
      </c>
      <c r="I74" s="16" t="s">
        <v>555</v>
      </c>
      <c r="J74" s="21" t="s">
        <v>56</v>
      </c>
      <c r="K74" s="17" t="n">
        <v>5</v>
      </c>
      <c r="L74" s="18" t="n">
        <v>5</v>
      </c>
      <c r="M74" s="23" t="s">
        <v>43</v>
      </c>
      <c r="N74" s="18" t="n">
        <v>4</v>
      </c>
      <c r="O74" s="20" t="n">
        <v>50.45</v>
      </c>
      <c r="P74" s="20" t="n">
        <v>148.7</v>
      </c>
      <c r="Q74" s="18" t="n">
        <v>14</v>
      </c>
      <c r="R74" s="18" t="n">
        <v>3</v>
      </c>
      <c r="S74" s="18" t="n">
        <v>135</v>
      </c>
      <c r="T74" s="18" t="n">
        <v>72</v>
      </c>
      <c r="U74" s="14" t="s">
        <v>515</v>
      </c>
      <c r="V74" s="16" t="s">
        <v>556</v>
      </c>
      <c r="W74" s="15" t="s">
        <v>557</v>
      </c>
      <c r="X74" s="15" t="s">
        <v>557</v>
      </c>
      <c r="Y74" s="16" t="s">
        <v>88</v>
      </c>
      <c r="Z74" s="21" t="s">
        <v>72</v>
      </c>
      <c r="AA74" s="21" t="s">
        <v>89</v>
      </c>
      <c r="AB74" s="22" t="n">
        <v>25.0196173</v>
      </c>
      <c r="AC74" s="22" t="n">
        <v>121.2184405</v>
      </c>
    </row>
    <row r="75" customFormat="false" ht="26.85" hidden="false" customHeight="false" outlineLevel="0" collapsed="false">
      <c r="A75" s="27" t="s">
        <v>435</v>
      </c>
      <c r="B75" s="12" t="n">
        <v>11.78</v>
      </c>
      <c r="C75" s="13" t="s">
        <v>558</v>
      </c>
      <c r="D75" s="14" t="s">
        <v>559</v>
      </c>
      <c r="E75" s="15" t="s">
        <v>79</v>
      </c>
      <c r="F75" s="15" t="s">
        <v>529</v>
      </c>
      <c r="G75" s="14" t="s">
        <v>560</v>
      </c>
      <c r="H75" s="16"/>
      <c r="I75" s="16" t="s">
        <v>561</v>
      </c>
      <c r="J75" s="21" t="s">
        <v>56</v>
      </c>
      <c r="K75" s="17" t="n">
        <v>5</v>
      </c>
      <c r="L75" s="18" t="n">
        <v>6</v>
      </c>
      <c r="M75" s="19" t="s">
        <v>41</v>
      </c>
      <c r="N75" s="18" t="n">
        <v>6</v>
      </c>
      <c r="O75" s="20" t="n">
        <v>178.22</v>
      </c>
      <c r="P75" s="20" t="n">
        <v>337.7</v>
      </c>
      <c r="Q75" s="18" t="n">
        <v>15</v>
      </c>
      <c r="R75" s="18" t="n">
        <v>2</v>
      </c>
      <c r="S75" s="18" t="n">
        <v>364</v>
      </c>
      <c r="T75" s="18" t="n">
        <v>96</v>
      </c>
      <c r="U75" s="14" t="s">
        <v>118</v>
      </c>
      <c r="V75" s="16" t="s">
        <v>562</v>
      </c>
      <c r="W75" s="15" t="s">
        <v>563</v>
      </c>
      <c r="X75" s="15" t="s">
        <v>564</v>
      </c>
      <c r="Y75" s="16" t="s">
        <v>88</v>
      </c>
      <c r="Z75" s="21" t="s">
        <v>72</v>
      </c>
      <c r="AA75" s="21" t="s">
        <v>89</v>
      </c>
      <c r="AB75" s="22" t="n">
        <v>25.0196146</v>
      </c>
      <c r="AC75" s="22" t="n">
        <v>121.2187689</v>
      </c>
    </row>
    <row r="76" customFormat="false" ht="26.85" hidden="false" customHeight="false" outlineLevel="0" collapsed="false">
      <c r="A76" s="27" t="s">
        <v>435</v>
      </c>
      <c r="B76" s="12" t="n">
        <v>11.79</v>
      </c>
      <c r="C76" s="14" t="s">
        <v>565</v>
      </c>
      <c r="D76" s="14" t="s">
        <v>559</v>
      </c>
      <c r="E76" s="15" t="s">
        <v>79</v>
      </c>
      <c r="F76" s="15" t="s">
        <v>529</v>
      </c>
      <c r="G76" s="14" t="s">
        <v>566</v>
      </c>
      <c r="H76" s="16" t="s">
        <v>567</v>
      </c>
      <c r="I76" s="16" t="s">
        <v>561</v>
      </c>
      <c r="J76" s="21" t="s">
        <v>56</v>
      </c>
      <c r="K76" s="17" t="n">
        <v>5</v>
      </c>
      <c r="L76" s="18" t="n">
        <v>153</v>
      </c>
      <c r="M76" s="19" t="s">
        <v>41</v>
      </c>
      <c r="N76" s="18" t="n">
        <v>6</v>
      </c>
      <c r="O76" s="20" t="n">
        <v>178.22</v>
      </c>
      <c r="P76" s="20" t="n">
        <v>337.7</v>
      </c>
      <c r="Q76" s="18" t="n">
        <v>15</v>
      </c>
      <c r="R76" s="18" t="n">
        <v>2</v>
      </c>
      <c r="S76" s="18" t="n">
        <v>364</v>
      </c>
      <c r="T76" s="18" t="n">
        <v>96</v>
      </c>
      <c r="U76" s="14" t="s">
        <v>118</v>
      </c>
      <c r="V76" s="16" t="s">
        <v>562</v>
      </c>
      <c r="W76" s="15" t="s">
        <v>563</v>
      </c>
      <c r="X76" s="15" t="s">
        <v>564</v>
      </c>
      <c r="Y76" s="16" t="s">
        <v>88</v>
      </c>
      <c r="Z76" s="21" t="s">
        <v>72</v>
      </c>
      <c r="AA76" s="21" t="s">
        <v>89</v>
      </c>
      <c r="AB76" s="22" t="n">
        <v>25.0195821</v>
      </c>
      <c r="AC76" s="22" t="n">
        <v>121.2190134</v>
      </c>
    </row>
    <row r="77" customFormat="false" ht="15" hidden="false" customHeight="false" outlineLevel="0" collapsed="false">
      <c r="A77" s="27" t="s">
        <v>435</v>
      </c>
      <c r="B77" s="12" t="n">
        <v>11.85</v>
      </c>
      <c r="C77" s="14" t="s">
        <v>568</v>
      </c>
      <c r="D77" s="14" t="s">
        <v>569</v>
      </c>
      <c r="E77" s="15" t="s">
        <v>79</v>
      </c>
      <c r="F77" s="15" t="s">
        <v>570</v>
      </c>
      <c r="G77" s="14" t="s">
        <v>571</v>
      </c>
      <c r="H77" s="16" t="s">
        <v>572</v>
      </c>
      <c r="I77" s="16" t="s">
        <v>573</v>
      </c>
      <c r="J77" s="21" t="s">
        <v>56</v>
      </c>
      <c r="K77" s="17" t="n">
        <v>5</v>
      </c>
      <c r="L77" s="18" t="n">
        <v>16</v>
      </c>
      <c r="M77" s="19" t="s">
        <v>41</v>
      </c>
      <c r="N77" s="18" t="n">
        <v>2</v>
      </c>
      <c r="O77" s="20" t="n">
        <v>48.04</v>
      </c>
      <c r="P77" s="20" t="n">
        <v>249.66</v>
      </c>
      <c r="Q77" s="18" t="n">
        <v>11</v>
      </c>
      <c r="R77" s="18" t="n">
        <v>3</v>
      </c>
      <c r="S77" s="18" t="n">
        <v>227</v>
      </c>
      <c r="T77" s="18" t="n">
        <v>100</v>
      </c>
      <c r="U77" s="14" t="s">
        <v>118</v>
      </c>
      <c r="V77" s="16" t="s">
        <v>574</v>
      </c>
      <c r="W77" s="15" t="s">
        <v>575</v>
      </c>
      <c r="X77" s="15" t="s">
        <v>575</v>
      </c>
      <c r="Y77" s="16" t="s">
        <v>88</v>
      </c>
      <c r="Z77" s="21" t="s">
        <v>72</v>
      </c>
      <c r="AA77" s="21" t="s">
        <v>89</v>
      </c>
      <c r="AB77" s="22" t="n">
        <v>24.9839106</v>
      </c>
      <c r="AC77" s="22" t="n">
        <v>121.2724758</v>
      </c>
    </row>
    <row r="78" customFormat="false" ht="52.2" hidden="false" customHeight="false" outlineLevel="0" collapsed="false">
      <c r="A78" s="27" t="s">
        <v>435</v>
      </c>
      <c r="B78" s="12" t="n">
        <v>11.9</v>
      </c>
      <c r="C78" s="14" t="s">
        <v>576</v>
      </c>
      <c r="D78" s="14" t="s">
        <v>577</v>
      </c>
      <c r="E78" s="15" t="s">
        <v>79</v>
      </c>
      <c r="F78" s="15" t="s">
        <v>529</v>
      </c>
      <c r="G78" s="14" t="s">
        <v>578</v>
      </c>
      <c r="H78" s="16" t="s">
        <v>579</v>
      </c>
      <c r="I78" s="16" t="s">
        <v>580</v>
      </c>
      <c r="J78" s="21" t="s">
        <v>56</v>
      </c>
      <c r="K78" s="17" t="n">
        <v>5</v>
      </c>
      <c r="L78" s="18" t="n">
        <v>62</v>
      </c>
      <c r="M78" s="23" t="s">
        <v>43</v>
      </c>
      <c r="N78" s="18" t="n">
        <v>3</v>
      </c>
      <c r="O78" s="20" t="n">
        <v>49.44</v>
      </c>
      <c r="P78" s="20" t="n">
        <v>148.7</v>
      </c>
      <c r="Q78" s="18" t="n">
        <v>20</v>
      </c>
      <c r="R78" s="18" t="n">
        <v>2</v>
      </c>
      <c r="S78" s="18" t="n">
        <v>286</v>
      </c>
      <c r="T78" s="18" t="n">
        <v>86</v>
      </c>
      <c r="U78" s="14" t="s">
        <v>118</v>
      </c>
      <c r="V78" s="16" t="s">
        <v>581</v>
      </c>
      <c r="W78" s="15" t="s">
        <v>582</v>
      </c>
      <c r="X78" s="15" t="s">
        <v>582</v>
      </c>
      <c r="Y78" s="16" t="s">
        <v>88</v>
      </c>
      <c r="Z78" s="21" t="s">
        <v>72</v>
      </c>
      <c r="AA78" s="21" t="s">
        <v>89</v>
      </c>
      <c r="AB78" s="22" t="n">
        <v>25.0205633</v>
      </c>
      <c r="AC78" s="22" t="n">
        <v>121.2194341</v>
      </c>
    </row>
    <row r="79" customFormat="false" ht="39.55" hidden="false" customHeight="false" outlineLevel="0" collapsed="false">
      <c r="A79" s="27" t="s">
        <v>435</v>
      </c>
      <c r="B79" s="12" t="n">
        <v>11.94</v>
      </c>
      <c r="C79" s="13" t="s">
        <v>583</v>
      </c>
      <c r="D79" s="14" t="s">
        <v>584</v>
      </c>
      <c r="E79" s="15" t="s">
        <v>79</v>
      </c>
      <c r="F79" s="15" t="s">
        <v>529</v>
      </c>
      <c r="G79" s="14" t="s">
        <v>585</v>
      </c>
      <c r="H79" s="16" t="s">
        <v>586</v>
      </c>
      <c r="I79" s="16" t="s">
        <v>587</v>
      </c>
      <c r="J79" s="21" t="s">
        <v>56</v>
      </c>
      <c r="K79" s="17" t="n">
        <v>5</v>
      </c>
      <c r="L79" s="18" t="n">
        <v>11</v>
      </c>
      <c r="M79" s="23" t="s">
        <v>43</v>
      </c>
      <c r="N79" s="18" t="n">
        <v>3</v>
      </c>
      <c r="O79" s="20" t="n">
        <v>75</v>
      </c>
      <c r="P79" s="20" t="n">
        <v>180.31</v>
      </c>
      <c r="Q79" s="18" t="n">
        <v>18</v>
      </c>
      <c r="R79" s="18" t="n">
        <v>3</v>
      </c>
      <c r="S79" s="18" t="n">
        <v>366</v>
      </c>
      <c r="T79" s="18" t="n">
        <v>144</v>
      </c>
      <c r="U79" s="14" t="s">
        <v>118</v>
      </c>
      <c r="V79" s="16" t="s">
        <v>588</v>
      </c>
      <c r="W79" s="15" t="s">
        <v>589</v>
      </c>
      <c r="X79" s="15" t="s">
        <v>589</v>
      </c>
      <c r="Y79" s="16" t="s">
        <v>88</v>
      </c>
      <c r="Z79" s="21" t="s">
        <v>72</v>
      </c>
      <c r="AA79" s="21" t="s">
        <v>89</v>
      </c>
      <c r="AB79" s="22" t="n">
        <v>25.0205188</v>
      </c>
      <c r="AC79" s="22" t="n">
        <v>121.2204841</v>
      </c>
    </row>
    <row r="80" customFormat="false" ht="15" hidden="false" customHeight="false" outlineLevel="0" collapsed="false">
      <c r="A80" s="27" t="s">
        <v>435</v>
      </c>
      <c r="B80" s="12" t="n">
        <v>12.21</v>
      </c>
      <c r="C80" s="14" t="s">
        <v>590</v>
      </c>
      <c r="D80" s="14" t="s">
        <v>590</v>
      </c>
      <c r="E80" s="15" t="s">
        <v>79</v>
      </c>
      <c r="F80" s="15" t="s">
        <v>421</v>
      </c>
      <c r="G80" s="14" t="s">
        <v>591</v>
      </c>
      <c r="H80" s="16" t="s">
        <v>592</v>
      </c>
      <c r="I80" s="16" t="s">
        <v>593</v>
      </c>
      <c r="J80" s="16"/>
      <c r="K80" s="17" t="n">
        <v>3.3</v>
      </c>
      <c r="L80" s="18" t="n">
        <v>12</v>
      </c>
      <c r="M80" s="23" t="s">
        <v>43</v>
      </c>
      <c r="N80" s="18" t="n">
        <v>1</v>
      </c>
      <c r="O80" s="20" t="n">
        <v>33.8</v>
      </c>
      <c r="P80" s="20" t="n">
        <v>180.81</v>
      </c>
      <c r="Q80" s="18" t="n">
        <v>2</v>
      </c>
      <c r="R80" s="18" t="n">
        <v>1</v>
      </c>
      <c r="S80" s="18" t="n">
        <v>36</v>
      </c>
      <c r="T80" s="18"/>
      <c r="U80" s="14" t="s">
        <v>194</v>
      </c>
      <c r="V80" s="16" t="s">
        <v>594</v>
      </c>
      <c r="W80" s="15" t="s">
        <v>595</v>
      </c>
      <c r="X80" s="15" t="s">
        <v>595</v>
      </c>
      <c r="Y80" s="16" t="s">
        <v>88</v>
      </c>
      <c r="Z80" s="21" t="s">
        <v>72</v>
      </c>
      <c r="AA80" s="21" t="s">
        <v>89</v>
      </c>
      <c r="AB80" s="22" t="n">
        <v>24.8822091</v>
      </c>
      <c r="AC80" s="22" t="n">
        <v>121.291663</v>
      </c>
    </row>
    <row r="81" customFormat="false" ht="15" hidden="false" customHeight="false" outlineLevel="0" collapsed="false">
      <c r="A81" s="27" t="s">
        <v>435</v>
      </c>
      <c r="B81" s="12" t="n">
        <v>12.29</v>
      </c>
      <c r="C81" s="14" t="s">
        <v>596</v>
      </c>
      <c r="D81" s="13"/>
      <c r="E81" s="15" t="s">
        <v>79</v>
      </c>
      <c r="F81" s="15" t="s">
        <v>421</v>
      </c>
      <c r="G81" s="14" t="s">
        <v>597</v>
      </c>
      <c r="H81" s="16" t="s">
        <v>598</v>
      </c>
      <c r="I81" s="16"/>
      <c r="J81" s="16"/>
      <c r="K81" s="17"/>
      <c r="L81" s="18"/>
      <c r="M81" s="16"/>
      <c r="N81" s="18"/>
      <c r="O81" s="20"/>
      <c r="P81" s="20"/>
      <c r="Q81" s="18"/>
      <c r="R81" s="18"/>
      <c r="S81" s="18"/>
      <c r="T81" s="18"/>
      <c r="U81" s="13"/>
      <c r="V81" s="16"/>
      <c r="W81" s="16"/>
      <c r="X81" s="16"/>
      <c r="Y81" s="16"/>
      <c r="Z81" s="24"/>
      <c r="AA81" s="21" t="s">
        <v>89</v>
      </c>
      <c r="AB81" s="22" t="n">
        <v>24.877785</v>
      </c>
      <c r="AC81" s="22" t="n">
        <v>121.290627</v>
      </c>
    </row>
    <row r="82" customFormat="false" ht="26.85" hidden="false" customHeight="false" outlineLevel="0" collapsed="false">
      <c r="A82" s="27" t="s">
        <v>435</v>
      </c>
      <c r="B82" s="12" t="n">
        <v>12.39</v>
      </c>
      <c r="C82" s="14" t="s">
        <v>599</v>
      </c>
      <c r="D82" s="14" t="s">
        <v>599</v>
      </c>
      <c r="E82" s="15" t="s">
        <v>79</v>
      </c>
      <c r="F82" s="15" t="s">
        <v>421</v>
      </c>
      <c r="G82" s="14" t="s">
        <v>600</v>
      </c>
      <c r="H82" s="16" t="s">
        <v>601</v>
      </c>
      <c r="I82" s="16" t="s">
        <v>602</v>
      </c>
      <c r="J82" s="21" t="s">
        <v>56</v>
      </c>
      <c r="K82" s="17"/>
      <c r="L82" s="18"/>
      <c r="M82" s="23" t="s">
        <v>43</v>
      </c>
      <c r="N82" s="18" t="n">
        <v>2</v>
      </c>
      <c r="O82" s="20" t="n">
        <v>43.8</v>
      </c>
      <c r="P82" s="20" t="n">
        <v>110.67</v>
      </c>
      <c r="Q82" s="18" t="n">
        <v>10</v>
      </c>
      <c r="R82" s="18" t="n">
        <v>3</v>
      </c>
      <c r="S82" s="18" t="n">
        <v>181</v>
      </c>
      <c r="T82" s="18" t="n">
        <v>15</v>
      </c>
      <c r="U82" s="14" t="s">
        <v>603</v>
      </c>
      <c r="V82" s="16" t="s">
        <v>604</v>
      </c>
      <c r="W82" s="15" t="s">
        <v>605</v>
      </c>
      <c r="X82" s="15" t="s">
        <v>605</v>
      </c>
      <c r="Y82" s="16" t="s">
        <v>88</v>
      </c>
      <c r="Z82" s="21" t="s">
        <v>72</v>
      </c>
      <c r="AA82" s="21" t="s">
        <v>89</v>
      </c>
      <c r="AB82" s="22" t="n">
        <v>24.881392</v>
      </c>
      <c r="AC82" s="22" t="n">
        <v>121.2933068</v>
      </c>
    </row>
    <row r="83" customFormat="false" ht="15" hidden="false" customHeight="false" outlineLevel="0" collapsed="false">
      <c r="A83" s="27" t="s">
        <v>435</v>
      </c>
      <c r="B83" s="12" t="n">
        <v>12.45</v>
      </c>
      <c r="C83" s="14" t="s">
        <v>606</v>
      </c>
      <c r="D83" s="13"/>
      <c r="E83" s="15" t="s">
        <v>79</v>
      </c>
      <c r="F83" s="15" t="s">
        <v>607</v>
      </c>
      <c r="G83" s="14" t="s">
        <v>608</v>
      </c>
      <c r="H83" s="16" t="s">
        <v>609</v>
      </c>
      <c r="I83" s="16"/>
      <c r="J83" s="16"/>
      <c r="K83" s="17" t="n">
        <v>3</v>
      </c>
      <c r="L83" s="18" t="n">
        <v>2</v>
      </c>
      <c r="M83" s="16"/>
      <c r="N83" s="18"/>
      <c r="O83" s="20"/>
      <c r="P83" s="20"/>
      <c r="Q83" s="18"/>
      <c r="R83" s="18"/>
      <c r="S83" s="18"/>
      <c r="T83" s="18"/>
      <c r="U83" s="13"/>
      <c r="V83" s="16"/>
      <c r="W83" s="16"/>
      <c r="X83" s="16"/>
      <c r="Y83" s="16"/>
      <c r="Z83" s="24"/>
      <c r="AA83" s="21" t="s">
        <v>89</v>
      </c>
      <c r="AB83" s="22" t="n">
        <v>24.9913292</v>
      </c>
      <c r="AC83" s="22" t="n">
        <v>121.2735911</v>
      </c>
    </row>
    <row r="84" customFormat="false" ht="15" hidden="false" customHeight="false" outlineLevel="0" collapsed="false">
      <c r="A84" s="27" t="s">
        <v>435</v>
      </c>
      <c r="B84" s="12" t="n">
        <v>12.58</v>
      </c>
      <c r="C84" s="14" t="s">
        <v>610</v>
      </c>
      <c r="D84" s="13"/>
      <c r="E84" s="15" t="s">
        <v>79</v>
      </c>
      <c r="F84" s="15" t="s">
        <v>570</v>
      </c>
      <c r="G84" s="14" t="s">
        <v>611</v>
      </c>
      <c r="H84" s="16" t="s">
        <v>612</v>
      </c>
      <c r="I84" s="16"/>
      <c r="J84" s="16"/>
      <c r="K84" s="17" t="n">
        <v>4.3</v>
      </c>
      <c r="L84" s="18" t="n">
        <v>6</v>
      </c>
      <c r="M84" s="16"/>
      <c r="N84" s="18"/>
      <c r="O84" s="20"/>
      <c r="P84" s="20"/>
      <c r="Q84" s="18"/>
      <c r="R84" s="18"/>
      <c r="S84" s="18"/>
      <c r="T84" s="18"/>
      <c r="U84" s="13"/>
      <c r="V84" s="16"/>
      <c r="W84" s="16"/>
      <c r="X84" s="16"/>
      <c r="Y84" s="16"/>
      <c r="Z84" s="24"/>
      <c r="AA84" s="21" t="s">
        <v>89</v>
      </c>
      <c r="AB84" s="22" t="n">
        <v>24.9917854</v>
      </c>
      <c r="AC84" s="22" t="n">
        <v>121.2748414</v>
      </c>
    </row>
    <row r="85" customFormat="false" ht="15" hidden="false" customHeight="false" outlineLevel="0" collapsed="false">
      <c r="A85" s="27" t="s">
        <v>435</v>
      </c>
      <c r="B85" s="12" t="n">
        <v>12.58</v>
      </c>
      <c r="C85" s="14" t="s">
        <v>613</v>
      </c>
      <c r="D85" s="14" t="s">
        <v>614</v>
      </c>
      <c r="E85" s="15" t="s">
        <v>79</v>
      </c>
      <c r="F85" s="15" t="s">
        <v>464</v>
      </c>
      <c r="G85" s="14" t="s">
        <v>615</v>
      </c>
      <c r="H85" s="16" t="s">
        <v>616</v>
      </c>
      <c r="I85" s="16" t="s">
        <v>617</v>
      </c>
      <c r="J85" s="16"/>
      <c r="K85" s="17" t="n">
        <v>4.5</v>
      </c>
      <c r="L85" s="18" t="n">
        <v>11</v>
      </c>
      <c r="M85" s="23" t="s">
        <v>43</v>
      </c>
      <c r="N85" s="18" t="n">
        <v>2</v>
      </c>
      <c r="O85" s="20" t="n">
        <v>65.94</v>
      </c>
      <c r="P85" s="20" t="n">
        <v>171.56</v>
      </c>
      <c r="Q85" s="18" t="n">
        <v>4</v>
      </c>
      <c r="R85" s="18" t="n">
        <v>2</v>
      </c>
      <c r="S85" s="18" t="n">
        <v>108</v>
      </c>
      <c r="T85" s="18" t="n">
        <v>54</v>
      </c>
      <c r="U85" s="14" t="s">
        <v>118</v>
      </c>
      <c r="V85" s="16" t="s">
        <v>618</v>
      </c>
      <c r="W85" s="15" t="s">
        <v>619</v>
      </c>
      <c r="X85" s="15" t="s">
        <v>619</v>
      </c>
      <c r="Y85" s="16" t="s">
        <v>88</v>
      </c>
      <c r="Z85" s="21" t="s">
        <v>72</v>
      </c>
      <c r="AA85" s="21" t="s">
        <v>89</v>
      </c>
      <c r="AB85" s="22" t="n">
        <v>24.958542</v>
      </c>
      <c r="AC85" s="22" t="n">
        <v>121.2955987</v>
      </c>
    </row>
    <row r="86" customFormat="false" ht="15" hidden="false" customHeight="false" outlineLevel="0" collapsed="false">
      <c r="A86" s="27" t="s">
        <v>435</v>
      </c>
      <c r="B86" s="12" t="n">
        <v>12.59</v>
      </c>
      <c r="C86" s="14" t="s">
        <v>620</v>
      </c>
      <c r="D86" s="13"/>
      <c r="E86" s="15" t="s">
        <v>79</v>
      </c>
      <c r="F86" s="15" t="s">
        <v>464</v>
      </c>
      <c r="G86" s="14" t="s">
        <v>621</v>
      </c>
      <c r="H86" s="16" t="s">
        <v>622</v>
      </c>
      <c r="I86" s="16"/>
      <c r="J86" s="16"/>
      <c r="K86" s="17" t="n">
        <v>5</v>
      </c>
      <c r="L86" s="18" t="n">
        <v>8</v>
      </c>
      <c r="M86" s="16"/>
      <c r="N86" s="18"/>
      <c r="O86" s="20"/>
      <c r="P86" s="20"/>
      <c r="Q86" s="18"/>
      <c r="R86" s="18"/>
      <c r="S86" s="18"/>
      <c r="T86" s="18"/>
      <c r="U86" s="13"/>
      <c r="V86" s="16"/>
      <c r="W86" s="16"/>
      <c r="X86" s="16"/>
      <c r="Y86" s="16"/>
      <c r="Z86" s="24"/>
      <c r="AA86" s="21" t="s">
        <v>89</v>
      </c>
      <c r="AB86" s="22" t="n">
        <v>24.9566991</v>
      </c>
      <c r="AC86" s="22" t="n">
        <v>121.2964148</v>
      </c>
    </row>
    <row r="87" customFormat="false" ht="15" hidden="false" customHeight="false" outlineLevel="0" collapsed="false">
      <c r="A87" s="27" t="s">
        <v>435</v>
      </c>
      <c r="B87" s="12" t="n">
        <v>12.62</v>
      </c>
      <c r="C87" s="14" t="s">
        <v>623</v>
      </c>
      <c r="D87" s="14" t="s">
        <v>624</v>
      </c>
      <c r="E87" s="15" t="s">
        <v>79</v>
      </c>
      <c r="F87" s="15" t="s">
        <v>464</v>
      </c>
      <c r="G87" s="14" t="s">
        <v>625</v>
      </c>
      <c r="H87" s="16" t="s">
        <v>626</v>
      </c>
      <c r="I87" s="16" t="s">
        <v>627</v>
      </c>
      <c r="J87" s="16"/>
      <c r="K87" s="17"/>
      <c r="L87" s="18"/>
      <c r="M87" s="23" t="s">
        <v>43</v>
      </c>
      <c r="N87" s="18" t="n">
        <v>3</v>
      </c>
      <c r="O87" s="20" t="n">
        <v>37.18</v>
      </c>
      <c r="P87" s="20" t="n">
        <v>87.69</v>
      </c>
      <c r="Q87" s="18" t="n">
        <v>3</v>
      </c>
      <c r="R87" s="18" t="n">
        <v>1</v>
      </c>
      <c r="S87" s="18" t="n">
        <v>30</v>
      </c>
      <c r="T87" s="18" t="n">
        <v>30</v>
      </c>
      <c r="U87" s="14" t="s">
        <v>84</v>
      </c>
      <c r="V87" s="16" t="s">
        <v>628</v>
      </c>
      <c r="W87" s="15" t="s">
        <v>629</v>
      </c>
      <c r="X87" s="15" t="s">
        <v>629</v>
      </c>
      <c r="Y87" s="16" t="s">
        <v>88</v>
      </c>
      <c r="Z87" s="21" t="s">
        <v>72</v>
      </c>
      <c r="AA87" s="21" t="s">
        <v>89</v>
      </c>
      <c r="AB87" s="22" t="n">
        <v>24.9577142</v>
      </c>
      <c r="AC87" s="22" t="n">
        <v>121.2962628</v>
      </c>
    </row>
    <row r="88" customFormat="false" ht="15" hidden="false" customHeight="false" outlineLevel="0" collapsed="false">
      <c r="A88" s="27" t="s">
        <v>435</v>
      </c>
      <c r="B88" s="12" t="n">
        <v>12.63</v>
      </c>
      <c r="C88" s="13" t="s">
        <v>630</v>
      </c>
      <c r="D88" s="14" t="s">
        <v>631</v>
      </c>
      <c r="E88" s="15" t="s">
        <v>79</v>
      </c>
      <c r="F88" s="15" t="s">
        <v>570</v>
      </c>
      <c r="G88" s="14" t="s">
        <v>632</v>
      </c>
      <c r="H88" s="16" t="s">
        <v>633</v>
      </c>
      <c r="I88" s="16" t="s">
        <v>634</v>
      </c>
      <c r="J88" s="21" t="s">
        <v>56</v>
      </c>
      <c r="K88" s="17" t="n">
        <v>5</v>
      </c>
      <c r="L88" s="18" t="n">
        <v>13</v>
      </c>
      <c r="M88" s="23" t="s">
        <v>43</v>
      </c>
      <c r="N88" s="18" t="n">
        <v>2</v>
      </c>
      <c r="O88" s="20" t="n">
        <v>39.52</v>
      </c>
      <c r="P88" s="20" t="n">
        <v>101.47</v>
      </c>
      <c r="Q88" s="18" t="n">
        <v>12</v>
      </c>
      <c r="R88" s="18" t="n">
        <v>1</v>
      </c>
      <c r="S88" s="18" t="n">
        <v>182</v>
      </c>
      <c r="T88" s="18" t="n">
        <v>122</v>
      </c>
      <c r="U88" s="14" t="s">
        <v>194</v>
      </c>
      <c r="V88" s="16" t="s">
        <v>635</v>
      </c>
      <c r="W88" s="15" t="s">
        <v>636</v>
      </c>
      <c r="X88" s="15" t="s">
        <v>636</v>
      </c>
      <c r="Y88" s="16" t="s">
        <v>88</v>
      </c>
      <c r="Z88" s="21" t="s">
        <v>72</v>
      </c>
      <c r="AA88" s="21" t="s">
        <v>89</v>
      </c>
      <c r="AB88" s="22" t="n">
        <v>24.9922031</v>
      </c>
      <c r="AC88" s="22" t="n">
        <v>121.2750814</v>
      </c>
    </row>
    <row r="89" customFormat="false" ht="26.85" hidden="false" customHeight="false" outlineLevel="0" collapsed="false">
      <c r="A89" s="27" t="s">
        <v>435</v>
      </c>
      <c r="B89" s="12" t="n">
        <v>12.63</v>
      </c>
      <c r="C89" s="14" t="s">
        <v>637</v>
      </c>
      <c r="D89" s="14" t="s">
        <v>638</v>
      </c>
      <c r="E89" s="15" t="s">
        <v>79</v>
      </c>
      <c r="F89" s="15" t="s">
        <v>464</v>
      </c>
      <c r="G89" s="14" t="s">
        <v>639</v>
      </c>
      <c r="H89" s="16" t="s">
        <v>640</v>
      </c>
      <c r="I89" s="16" t="s">
        <v>641</v>
      </c>
      <c r="J89" s="21" t="s">
        <v>56</v>
      </c>
      <c r="K89" s="17" t="n">
        <v>4.6</v>
      </c>
      <c r="L89" s="18" t="n">
        <v>91</v>
      </c>
      <c r="M89" s="19" t="s">
        <v>41</v>
      </c>
      <c r="N89" s="18" t="n">
        <v>5</v>
      </c>
      <c r="O89" s="20" t="n">
        <v>116.28</v>
      </c>
      <c r="P89" s="20" t="n">
        <v>256.94</v>
      </c>
      <c r="Q89" s="18" t="n">
        <v>5</v>
      </c>
      <c r="R89" s="18" t="n">
        <v>5</v>
      </c>
      <c r="S89" s="18" t="n">
        <v>93</v>
      </c>
      <c r="T89" s="18" t="n">
        <v>93</v>
      </c>
      <c r="U89" s="14" t="s">
        <v>118</v>
      </c>
      <c r="V89" s="16" t="s">
        <v>642</v>
      </c>
      <c r="W89" s="15" t="s">
        <v>643</v>
      </c>
      <c r="X89" s="15" t="s">
        <v>643</v>
      </c>
      <c r="Y89" s="16" t="s">
        <v>88</v>
      </c>
      <c r="Z89" s="21" t="s">
        <v>72</v>
      </c>
      <c r="AA89" s="21" t="s">
        <v>89</v>
      </c>
      <c r="AB89" s="22" t="n">
        <v>24.9577556</v>
      </c>
      <c r="AC89" s="22" t="n">
        <v>121.2963669</v>
      </c>
    </row>
    <row r="90" customFormat="false" ht="15" hidden="false" customHeight="false" outlineLevel="0" collapsed="false">
      <c r="A90" s="27" t="s">
        <v>435</v>
      </c>
      <c r="B90" s="12" t="n">
        <v>12.65</v>
      </c>
      <c r="C90" s="14" t="s">
        <v>644</v>
      </c>
      <c r="D90" s="13"/>
      <c r="E90" s="15" t="s">
        <v>79</v>
      </c>
      <c r="F90" s="15" t="s">
        <v>464</v>
      </c>
      <c r="G90" s="14" t="s">
        <v>645</v>
      </c>
      <c r="H90" s="16"/>
      <c r="I90" s="16"/>
      <c r="J90" s="16"/>
      <c r="K90" s="17"/>
      <c r="L90" s="18"/>
      <c r="M90" s="16"/>
      <c r="N90" s="18"/>
      <c r="O90" s="20"/>
      <c r="P90" s="20"/>
      <c r="Q90" s="18"/>
      <c r="R90" s="18"/>
      <c r="S90" s="18"/>
      <c r="T90" s="18"/>
      <c r="U90" s="13"/>
      <c r="V90" s="16"/>
      <c r="W90" s="16"/>
      <c r="X90" s="16"/>
      <c r="Y90" s="16"/>
      <c r="Z90" s="24"/>
      <c r="AA90" s="21" t="s">
        <v>89</v>
      </c>
      <c r="AB90" s="22" t="n">
        <v>24.9568049</v>
      </c>
      <c r="AC90" s="22" t="n">
        <v>121.2969808</v>
      </c>
    </row>
    <row r="91" customFormat="false" ht="26.85" hidden="false" customHeight="false" outlineLevel="0" collapsed="false">
      <c r="A91" s="27" t="s">
        <v>435</v>
      </c>
      <c r="B91" s="12" t="n">
        <v>12.72</v>
      </c>
      <c r="C91" s="14" t="s">
        <v>646</v>
      </c>
      <c r="D91" s="14" t="s">
        <v>647</v>
      </c>
      <c r="E91" s="15" t="s">
        <v>79</v>
      </c>
      <c r="F91" s="15" t="s">
        <v>570</v>
      </c>
      <c r="G91" s="14" t="s">
        <v>648</v>
      </c>
      <c r="H91" s="16" t="s">
        <v>649</v>
      </c>
      <c r="I91" s="16" t="s">
        <v>650</v>
      </c>
      <c r="J91" s="21" t="s">
        <v>56</v>
      </c>
      <c r="K91" s="17" t="n">
        <v>5</v>
      </c>
      <c r="L91" s="18" t="n">
        <v>63</v>
      </c>
      <c r="M91" s="23" t="s">
        <v>43</v>
      </c>
      <c r="N91" s="18" t="n">
        <v>4</v>
      </c>
      <c r="O91" s="20" t="n">
        <v>85.44</v>
      </c>
      <c r="P91" s="20" t="n">
        <v>141.85</v>
      </c>
      <c r="Q91" s="18" t="n">
        <v>4</v>
      </c>
      <c r="R91" s="18" t="n">
        <v>6</v>
      </c>
      <c r="S91" s="18" t="n">
        <v>70</v>
      </c>
      <c r="T91" s="18" t="n">
        <v>17</v>
      </c>
      <c r="U91" s="14" t="s">
        <v>194</v>
      </c>
      <c r="V91" s="16" t="s">
        <v>651</v>
      </c>
      <c r="W91" s="15" t="s">
        <v>652</v>
      </c>
      <c r="X91" s="15" t="s">
        <v>652</v>
      </c>
      <c r="Y91" s="16" t="s">
        <v>109</v>
      </c>
      <c r="Z91" s="21" t="s">
        <v>72</v>
      </c>
      <c r="AA91" s="21" t="s">
        <v>89</v>
      </c>
      <c r="AB91" s="22" t="n">
        <v>24.988014</v>
      </c>
      <c r="AC91" s="22" t="n">
        <v>121.279811</v>
      </c>
    </row>
    <row r="92" customFormat="false" ht="15" hidden="false" customHeight="false" outlineLevel="0" collapsed="false">
      <c r="A92" s="27" t="s">
        <v>435</v>
      </c>
      <c r="B92" s="12" t="n">
        <v>12.85</v>
      </c>
      <c r="C92" s="14" t="s">
        <v>653</v>
      </c>
      <c r="D92" s="14" t="s">
        <v>653</v>
      </c>
      <c r="E92" s="15" t="s">
        <v>79</v>
      </c>
      <c r="F92" s="15" t="s">
        <v>570</v>
      </c>
      <c r="G92" s="14" t="s">
        <v>654</v>
      </c>
      <c r="H92" s="16" t="s">
        <v>655</v>
      </c>
      <c r="I92" s="16" t="s">
        <v>656</v>
      </c>
      <c r="J92" s="16"/>
      <c r="K92" s="17" t="n">
        <v>3</v>
      </c>
      <c r="L92" s="18" t="n">
        <v>2</v>
      </c>
      <c r="M92" s="19" t="s">
        <v>41</v>
      </c>
      <c r="N92" s="18" t="n">
        <v>6</v>
      </c>
      <c r="O92" s="20" t="n">
        <v>174.32</v>
      </c>
      <c r="P92" s="20" t="n">
        <v>282.67</v>
      </c>
      <c r="Q92" s="18" t="n">
        <v>6</v>
      </c>
      <c r="R92" s="18" t="n">
        <v>4</v>
      </c>
      <c r="S92" s="18" t="n">
        <v>136</v>
      </c>
      <c r="T92" s="18" t="n">
        <v>48</v>
      </c>
      <c r="U92" s="14" t="s">
        <v>118</v>
      </c>
      <c r="V92" s="16" t="s">
        <v>657</v>
      </c>
      <c r="W92" s="15" t="s">
        <v>658</v>
      </c>
      <c r="X92" s="15" t="s">
        <v>658</v>
      </c>
      <c r="Y92" s="16" t="s">
        <v>88</v>
      </c>
      <c r="Z92" s="21" t="s">
        <v>72</v>
      </c>
      <c r="AA92" s="21" t="s">
        <v>89</v>
      </c>
      <c r="AB92" s="22" t="n">
        <v>24.9900201</v>
      </c>
      <c r="AC92" s="22" t="n">
        <v>121.2797267</v>
      </c>
    </row>
    <row r="93" customFormat="false" ht="15" hidden="false" customHeight="false" outlineLevel="0" collapsed="false">
      <c r="A93" s="27" t="s">
        <v>435</v>
      </c>
      <c r="B93" s="12" t="n">
        <v>12.85</v>
      </c>
      <c r="C93" s="14" t="s">
        <v>659</v>
      </c>
      <c r="D93" s="14" t="s">
        <v>660</v>
      </c>
      <c r="E93" s="15" t="s">
        <v>79</v>
      </c>
      <c r="F93" s="15" t="s">
        <v>464</v>
      </c>
      <c r="G93" s="14" t="s">
        <v>661</v>
      </c>
      <c r="H93" s="16"/>
      <c r="I93" s="16" t="s">
        <v>662</v>
      </c>
      <c r="J93" s="16"/>
      <c r="K93" s="17" t="n">
        <v>2</v>
      </c>
      <c r="L93" s="18" t="n">
        <v>4</v>
      </c>
      <c r="M93" s="25" t="s">
        <v>39</v>
      </c>
      <c r="N93" s="18" t="n">
        <v>4</v>
      </c>
      <c r="O93" s="20" t="n">
        <v>281.81</v>
      </c>
      <c r="P93" s="20" t="n">
        <v>409.84</v>
      </c>
      <c r="Q93" s="18" t="n">
        <v>4</v>
      </c>
      <c r="R93" s="18" t="n">
        <v>2</v>
      </c>
      <c r="S93" s="18" t="n">
        <v>200</v>
      </c>
      <c r="T93" s="18" t="n">
        <v>108</v>
      </c>
      <c r="U93" s="14" t="s">
        <v>118</v>
      </c>
      <c r="V93" s="16" t="s">
        <v>663</v>
      </c>
      <c r="W93" s="15" t="s">
        <v>664</v>
      </c>
      <c r="X93" s="15" t="s">
        <v>665</v>
      </c>
      <c r="Y93" s="16" t="s">
        <v>88</v>
      </c>
      <c r="Z93" s="21" t="s">
        <v>72</v>
      </c>
      <c r="AA93" s="21" t="s">
        <v>89</v>
      </c>
      <c r="AB93" s="22" t="n">
        <v>24.9571086</v>
      </c>
      <c r="AC93" s="22" t="n">
        <v>121.298924</v>
      </c>
    </row>
    <row r="94" customFormat="false" ht="15" hidden="false" customHeight="false" outlineLevel="0" collapsed="false">
      <c r="A94" s="27" t="s">
        <v>435</v>
      </c>
      <c r="B94" s="12" t="n">
        <v>12.85</v>
      </c>
      <c r="C94" s="14" t="s">
        <v>666</v>
      </c>
      <c r="D94" s="14" t="s">
        <v>660</v>
      </c>
      <c r="E94" s="15" t="s">
        <v>79</v>
      </c>
      <c r="F94" s="15" t="s">
        <v>464</v>
      </c>
      <c r="G94" s="14" t="s">
        <v>667</v>
      </c>
      <c r="H94" s="16" t="s">
        <v>668</v>
      </c>
      <c r="I94" s="16" t="s">
        <v>662</v>
      </c>
      <c r="J94" s="16"/>
      <c r="K94" s="17" t="n">
        <v>1</v>
      </c>
      <c r="L94" s="18" t="n">
        <v>1</v>
      </c>
      <c r="M94" s="25" t="s">
        <v>39</v>
      </c>
      <c r="N94" s="18" t="n">
        <v>4</v>
      </c>
      <c r="O94" s="20" t="n">
        <v>281.81</v>
      </c>
      <c r="P94" s="20" t="n">
        <v>409.84</v>
      </c>
      <c r="Q94" s="18" t="n">
        <v>4</v>
      </c>
      <c r="R94" s="18" t="n">
        <v>2</v>
      </c>
      <c r="S94" s="18" t="n">
        <v>200</v>
      </c>
      <c r="T94" s="18" t="n">
        <v>108</v>
      </c>
      <c r="U94" s="14" t="s">
        <v>118</v>
      </c>
      <c r="V94" s="16" t="s">
        <v>663</v>
      </c>
      <c r="W94" s="15" t="s">
        <v>664</v>
      </c>
      <c r="X94" s="15" t="s">
        <v>665</v>
      </c>
      <c r="Y94" s="16" t="s">
        <v>88</v>
      </c>
      <c r="Z94" s="21" t="s">
        <v>72</v>
      </c>
      <c r="AA94" s="21" t="s">
        <v>89</v>
      </c>
      <c r="AB94" s="22" t="n">
        <v>24.9569366</v>
      </c>
      <c r="AC94" s="22" t="n">
        <v>121.2989824</v>
      </c>
    </row>
    <row r="95" customFormat="false" ht="15" hidden="false" customHeight="false" outlineLevel="0" collapsed="false">
      <c r="A95" s="27" t="s">
        <v>435</v>
      </c>
      <c r="B95" s="12" t="n">
        <v>12.99</v>
      </c>
      <c r="C95" s="14" t="s">
        <v>669</v>
      </c>
      <c r="D95" s="14" t="s">
        <v>670</v>
      </c>
      <c r="E95" s="15" t="s">
        <v>79</v>
      </c>
      <c r="F95" s="15" t="s">
        <v>464</v>
      </c>
      <c r="G95" s="14" t="s">
        <v>671</v>
      </c>
      <c r="H95" s="16" t="s">
        <v>672</v>
      </c>
      <c r="I95" s="16" t="s">
        <v>673</v>
      </c>
      <c r="J95" s="16"/>
      <c r="K95" s="17" t="n">
        <v>5</v>
      </c>
      <c r="L95" s="18" t="n">
        <v>4</v>
      </c>
      <c r="M95" s="19" t="s">
        <v>41</v>
      </c>
      <c r="N95" s="18" t="n">
        <v>5</v>
      </c>
      <c r="O95" s="20" t="n">
        <v>142.28</v>
      </c>
      <c r="P95" s="20" t="n">
        <v>285.11</v>
      </c>
      <c r="Q95" s="18" t="n">
        <v>10</v>
      </c>
      <c r="R95" s="18" t="n">
        <v>3</v>
      </c>
      <c r="S95" s="18" t="n">
        <v>255</v>
      </c>
      <c r="T95" s="18" t="n">
        <v>186</v>
      </c>
      <c r="U95" s="14" t="s">
        <v>118</v>
      </c>
      <c r="V95" s="16" t="s">
        <v>674</v>
      </c>
      <c r="W95" s="15" t="s">
        <v>675</v>
      </c>
      <c r="X95" s="15" t="s">
        <v>676</v>
      </c>
      <c r="Y95" s="16" t="s">
        <v>88</v>
      </c>
      <c r="Z95" s="21" t="s">
        <v>72</v>
      </c>
      <c r="AA95" s="21" t="s">
        <v>89</v>
      </c>
      <c r="AB95" s="22" t="n">
        <v>24.958772</v>
      </c>
      <c r="AC95" s="22" t="n">
        <v>121.2997327</v>
      </c>
    </row>
    <row r="96" customFormat="false" ht="26.85" hidden="false" customHeight="false" outlineLevel="0" collapsed="false">
      <c r="A96" s="27" t="s">
        <v>435</v>
      </c>
      <c r="B96" s="12" t="n">
        <v>13.15</v>
      </c>
      <c r="C96" s="14" t="s">
        <v>677</v>
      </c>
      <c r="D96" s="14" t="s">
        <v>678</v>
      </c>
      <c r="E96" s="15" t="s">
        <v>79</v>
      </c>
      <c r="F96" s="15" t="s">
        <v>570</v>
      </c>
      <c r="G96" s="14" t="s">
        <v>679</v>
      </c>
      <c r="H96" s="16" t="s">
        <v>680</v>
      </c>
      <c r="I96" s="16" t="s">
        <v>681</v>
      </c>
      <c r="J96" s="16"/>
      <c r="K96" s="17" t="n">
        <v>4.9</v>
      </c>
      <c r="L96" s="18" t="n">
        <v>13</v>
      </c>
      <c r="M96" s="19" t="s">
        <v>41</v>
      </c>
      <c r="N96" s="18" t="n">
        <v>4</v>
      </c>
      <c r="O96" s="20" t="n">
        <v>99</v>
      </c>
      <c r="P96" s="20" t="n">
        <v>235.81</v>
      </c>
      <c r="Q96" s="18" t="n">
        <v>4</v>
      </c>
      <c r="R96" s="18" t="n">
        <v>2</v>
      </c>
      <c r="S96" s="18" t="n">
        <v>60</v>
      </c>
      <c r="T96" s="18" t="n">
        <v>15</v>
      </c>
      <c r="U96" s="14" t="s">
        <v>94</v>
      </c>
      <c r="V96" s="16" t="s">
        <v>682</v>
      </c>
      <c r="W96" s="15" t="s">
        <v>683</v>
      </c>
      <c r="X96" s="15" t="s">
        <v>684</v>
      </c>
      <c r="Y96" s="16" t="s">
        <v>88</v>
      </c>
      <c r="Z96" s="21" t="s">
        <v>72</v>
      </c>
      <c r="AA96" s="21" t="s">
        <v>89</v>
      </c>
      <c r="AB96" s="22" t="n">
        <v>24.99152</v>
      </c>
      <c r="AC96" s="22" t="n">
        <v>121.282253</v>
      </c>
    </row>
    <row r="97" customFormat="false" ht="26.85" hidden="false" customHeight="false" outlineLevel="0" collapsed="false">
      <c r="A97" s="27" t="s">
        <v>435</v>
      </c>
      <c r="B97" s="12" t="n">
        <v>13.23</v>
      </c>
      <c r="C97" s="14" t="s">
        <v>685</v>
      </c>
      <c r="D97" s="13"/>
      <c r="E97" s="15" t="s">
        <v>686</v>
      </c>
      <c r="F97" s="15" t="s">
        <v>687</v>
      </c>
      <c r="G97" s="14" t="s">
        <v>688</v>
      </c>
      <c r="H97" s="16" t="s">
        <v>689</v>
      </c>
      <c r="I97" s="16"/>
      <c r="J97" s="21" t="s">
        <v>56</v>
      </c>
      <c r="K97" s="17" t="n">
        <v>4</v>
      </c>
      <c r="L97" s="18" t="n">
        <v>86</v>
      </c>
      <c r="M97" s="16"/>
      <c r="N97" s="18"/>
      <c r="O97" s="20"/>
      <c r="P97" s="20"/>
      <c r="Q97" s="18"/>
      <c r="R97" s="18"/>
      <c r="S97" s="18"/>
      <c r="T97" s="18"/>
      <c r="U97" s="13"/>
      <c r="V97" s="16"/>
      <c r="W97" s="16"/>
      <c r="X97" s="16"/>
      <c r="Y97" s="16"/>
      <c r="Z97" s="24"/>
      <c r="AA97" s="21" t="s">
        <v>89</v>
      </c>
      <c r="AB97" s="22" t="n">
        <v>24.888522</v>
      </c>
      <c r="AC97" s="22" t="n">
        <v>121.051681</v>
      </c>
    </row>
    <row r="98" customFormat="false" ht="15" hidden="false" customHeight="false" outlineLevel="0" collapsed="false">
      <c r="A98" s="27" t="s">
        <v>435</v>
      </c>
      <c r="B98" s="12" t="n">
        <v>13.39</v>
      </c>
      <c r="C98" s="14" t="s">
        <v>690</v>
      </c>
      <c r="D98" s="14" t="s">
        <v>691</v>
      </c>
      <c r="E98" s="15" t="s">
        <v>686</v>
      </c>
      <c r="F98" s="15" t="s">
        <v>687</v>
      </c>
      <c r="G98" s="14" t="s">
        <v>692</v>
      </c>
      <c r="H98" s="16" t="s">
        <v>693</v>
      </c>
      <c r="I98" s="16" t="s">
        <v>694</v>
      </c>
      <c r="J98" s="16"/>
      <c r="K98" s="17" t="n">
        <v>4.8</v>
      </c>
      <c r="L98" s="18" t="n">
        <v>462</v>
      </c>
      <c r="M98" s="25" t="s">
        <v>39</v>
      </c>
      <c r="N98" s="18" t="n">
        <v>12</v>
      </c>
      <c r="O98" s="20" t="n">
        <v>270.07</v>
      </c>
      <c r="P98" s="20" t="n">
        <v>586.87</v>
      </c>
      <c r="Q98" s="18" t="n">
        <v>20</v>
      </c>
      <c r="R98" s="18" t="n">
        <v>10</v>
      </c>
      <c r="S98" s="18" t="n">
        <v>330</v>
      </c>
      <c r="T98" s="18" t="n">
        <v>150</v>
      </c>
      <c r="U98" s="14" t="s">
        <v>194</v>
      </c>
      <c r="V98" s="16" t="s">
        <v>695</v>
      </c>
      <c r="W98" s="15" t="s">
        <v>696</v>
      </c>
      <c r="X98" s="15" t="s">
        <v>696</v>
      </c>
      <c r="Y98" s="16" t="s">
        <v>109</v>
      </c>
      <c r="Z98" s="21" t="s">
        <v>72</v>
      </c>
      <c r="AA98" s="21" t="s">
        <v>89</v>
      </c>
      <c r="AB98" s="22" t="n">
        <v>24.904961</v>
      </c>
      <c r="AC98" s="22" t="n">
        <v>121.046451</v>
      </c>
    </row>
    <row r="99" customFormat="false" ht="15" hidden="false" customHeight="false" outlineLevel="0" collapsed="false">
      <c r="A99" s="27" t="s">
        <v>435</v>
      </c>
      <c r="B99" s="12" t="n">
        <v>13.6</v>
      </c>
      <c r="C99" s="14" t="s">
        <v>697</v>
      </c>
      <c r="D99" s="14" t="s">
        <v>698</v>
      </c>
      <c r="E99" s="15" t="s">
        <v>686</v>
      </c>
      <c r="F99" s="15" t="s">
        <v>687</v>
      </c>
      <c r="G99" s="14" t="s">
        <v>699</v>
      </c>
      <c r="H99" s="16" t="s">
        <v>700</v>
      </c>
      <c r="I99" s="16" t="s">
        <v>701</v>
      </c>
      <c r="J99" s="16"/>
      <c r="K99" s="17" t="n">
        <v>5</v>
      </c>
      <c r="L99" s="18" t="n">
        <v>2</v>
      </c>
      <c r="M99" s="23" t="s">
        <v>43</v>
      </c>
      <c r="N99" s="18" t="n">
        <v>1</v>
      </c>
      <c r="O99" s="20" t="n">
        <v>30.03</v>
      </c>
      <c r="P99" s="20" t="n">
        <v>79.72</v>
      </c>
      <c r="Q99" s="18" t="n">
        <v>2</v>
      </c>
      <c r="R99" s="18" t="n">
        <v>5</v>
      </c>
      <c r="S99" s="18" t="n">
        <v>100</v>
      </c>
      <c r="T99" s="18" t="n">
        <v>100</v>
      </c>
      <c r="U99" s="14" t="s">
        <v>84</v>
      </c>
      <c r="V99" s="16" t="s">
        <v>702</v>
      </c>
      <c r="W99" s="15" t="s">
        <v>703</v>
      </c>
      <c r="X99" s="15" t="s">
        <v>703</v>
      </c>
      <c r="Y99" s="16" t="s">
        <v>109</v>
      </c>
      <c r="Z99" s="21" t="s">
        <v>72</v>
      </c>
      <c r="AA99" s="21" t="s">
        <v>89</v>
      </c>
      <c r="AB99" s="22" t="n">
        <v>24.9062052</v>
      </c>
      <c r="AC99" s="22" t="n">
        <v>121.0441674</v>
      </c>
    </row>
    <row r="100" customFormat="false" ht="15" hidden="false" customHeight="false" outlineLevel="0" collapsed="false">
      <c r="A100" s="27" t="s">
        <v>435</v>
      </c>
      <c r="B100" s="12" t="n">
        <v>13.98</v>
      </c>
      <c r="C100" s="14" t="s">
        <v>704</v>
      </c>
      <c r="D100" s="14" t="s">
        <v>705</v>
      </c>
      <c r="E100" s="15" t="s">
        <v>686</v>
      </c>
      <c r="F100" s="15" t="s">
        <v>706</v>
      </c>
      <c r="G100" s="14" t="s">
        <v>707</v>
      </c>
      <c r="H100" s="16" t="s">
        <v>708</v>
      </c>
      <c r="I100" s="16" t="s">
        <v>709</v>
      </c>
      <c r="J100" s="16"/>
      <c r="K100" s="17" t="n">
        <v>5</v>
      </c>
      <c r="L100" s="18" t="n">
        <v>1</v>
      </c>
      <c r="M100" s="23" t="s">
        <v>43</v>
      </c>
      <c r="N100" s="18" t="n">
        <v>1</v>
      </c>
      <c r="O100" s="20" t="n">
        <v>53.09</v>
      </c>
      <c r="P100" s="20" t="n">
        <v>113.84</v>
      </c>
      <c r="Q100" s="18" t="n">
        <v>2</v>
      </c>
      <c r="R100" s="18" t="n">
        <v>1</v>
      </c>
      <c r="S100" s="18" t="n">
        <v>20</v>
      </c>
      <c r="T100" s="18" t="n">
        <v>20</v>
      </c>
      <c r="U100" s="14" t="s">
        <v>84</v>
      </c>
      <c r="V100" s="16" t="s">
        <v>710</v>
      </c>
      <c r="W100" s="15" t="s">
        <v>711</v>
      </c>
      <c r="X100" s="15" t="s">
        <v>711</v>
      </c>
      <c r="Y100" s="16" t="s">
        <v>109</v>
      </c>
      <c r="Z100" s="21" t="s">
        <v>72</v>
      </c>
      <c r="AA100" s="21" t="s">
        <v>89</v>
      </c>
      <c r="AB100" s="22" t="n">
        <v>24.79457</v>
      </c>
      <c r="AC100" s="22" t="n">
        <v>121.17548</v>
      </c>
    </row>
    <row r="101" customFormat="false" ht="39.55" hidden="false" customHeight="false" outlineLevel="0" collapsed="false">
      <c r="A101" s="27" t="s">
        <v>435</v>
      </c>
      <c r="B101" s="12" t="n">
        <v>13.98</v>
      </c>
      <c r="C101" s="14" t="s">
        <v>712</v>
      </c>
      <c r="D101" s="14" t="s">
        <v>713</v>
      </c>
      <c r="E101" s="15" t="s">
        <v>79</v>
      </c>
      <c r="F101" s="15" t="s">
        <v>607</v>
      </c>
      <c r="G101" s="14" t="s">
        <v>714</v>
      </c>
      <c r="H101" s="16" t="s">
        <v>715</v>
      </c>
      <c r="I101" s="16" t="s">
        <v>282</v>
      </c>
      <c r="J101" s="21" t="s">
        <v>56</v>
      </c>
      <c r="K101" s="17" t="n">
        <v>5</v>
      </c>
      <c r="L101" s="18" t="n">
        <v>685</v>
      </c>
      <c r="M101" s="25" t="s">
        <v>39</v>
      </c>
      <c r="N101" s="18" t="n">
        <v>10</v>
      </c>
      <c r="O101" s="20" t="n">
        <v>217.25</v>
      </c>
      <c r="P101" s="20" t="n">
        <v>398.73</v>
      </c>
      <c r="Q101" s="18" t="n">
        <v>16</v>
      </c>
      <c r="R101" s="18" t="n">
        <v>19</v>
      </c>
      <c r="S101" s="18" t="n">
        <v>302</v>
      </c>
      <c r="T101" s="18" t="n">
        <v>302</v>
      </c>
      <c r="U101" s="14" t="s">
        <v>84</v>
      </c>
      <c r="V101" s="16" t="s">
        <v>716</v>
      </c>
      <c r="W101" s="15" t="s">
        <v>717</v>
      </c>
      <c r="X101" s="15" t="s">
        <v>718</v>
      </c>
      <c r="Y101" s="16" t="s">
        <v>88</v>
      </c>
      <c r="Z101" s="21" t="s">
        <v>72</v>
      </c>
      <c r="AA101" s="21" t="s">
        <v>89</v>
      </c>
      <c r="AB101" s="22" t="n">
        <v>25.0247321</v>
      </c>
      <c r="AC101" s="22" t="n">
        <v>121.2553744</v>
      </c>
    </row>
    <row r="102" customFormat="false" ht="15" hidden="false" customHeight="false" outlineLevel="0" collapsed="false">
      <c r="A102" s="27" t="s">
        <v>435</v>
      </c>
      <c r="B102" s="12" t="n">
        <v>14.04</v>
      </c>
      <c r="C102" s="14" t="s">
        <v>719</v>
      </c>
      <c r="D102" s="13"/>
      <c r="E102" s="15" t="s">
        <v>686</v>
      </c>
      <c r="F102" s="15" t="s">
        <v>687</v>
      </c>
      <c r="G102" s="14" t="s">
        <v>720</v>
      </c>
      <c r="H102" s="16" t="s">
        <v>721</v>
      </c>
      <c r="I102" s="16"/>
      <c r="J102" s="21" t="s">
        <v>56</v>
      </c>
      <c r="K102" s="17" t="n">
        <v>4.2</v>
      </c>
      <c r="L102" s="18" t="n">
        <v>19</v>
      </c>
      <c r="M102" s="16"/>
      <c r="N102" s="18"/>
      <c r="O102" s="20"/>
      <c r="P102" s="20"/>
      <c r="Q102" s="18"/>
      <c r="R102" s="18"/>
      <c r="S102" s="18"/>
      <c r="T102" s="18"/>
      <c r="U102" s="13"/>
      <c r="V102" s="16"/>
      <c r="W102" s="16"/>
      <c r="X102" s="16"/>
      <c r="Y102" s="16"/>
      <c r="Z102" s="24"/>
      <c r="AA102" s="21" t="s">
        <v>89</v>
      </c>
      <c r="AB102" s="22" t="n">
        <v>24.8945567</v>
      </c>
      <c r="AC102" s="22" t="n">
        <v>121.041866</v>
      </c>
    </row>
    <row r="103" customFormat="false" ht="15" hidden="false" customHeight="false" outlineLevel="0" collapsed="false">
      <c r="A103" s="27" t="s">
        <v>435</v>
      </c>
      <c r="B103" s="12" t="n">
        <v>14.12</v>
      </c>
      <c r="C103" s="13" t="s">
        <v>722</v>
      </c>
      <c r="D103" s="13"/>
      <c r="E103" s="15" t="s">
        <v>686</v>
      </c>
      <c r="F103" s="15" t="s">
        <v>723</v>
      </c>
      <c r="G103" s="14" t="s">
        <v>724</v>
      </c>
      <c r="H103" s="16" t="s">
        <v>725</v>
      </c>
      <c r="I103" s="16"/>
      <c r="J103" s="16"/>
      <c r="K103" s="17" t="n">
        <v>4.4</v>
      </c>
      <c r="L103" s="18" t="n">
        <v>13</v>
      </c>
      <c r="M103" s="16"/>
      <c r="N103" s="18"/>
      <c r="O103" s="20"/>
      <c r="P103" s="20"/>
      <c r="Q103" s="18"/>
      <c r="R103" s="18"/>
      <c r="S103" s="18"/>
      <c r="T103" s="18"/>
      <c r="U103" s="13"/>
      <c r="V103" s="16"/>
      <c r="W103" s="16"/>
      <c r="X103" s="16"/>
      <c r="Y103" s="16"/>
      <c r="Z103" s="24"/>
      <c r="AA103" s="21" t="s">
        <v>89</v>
      </c>
      <c r="AB103" s="22" t="n">
        <v>24.826931</v>
      </c>
      <c r="AC103" s="22" t="n">
        <v>121.083271</v>
      </c>
    </row>
    <row r="104" customFormat="false" ht="15" hidden="false" customHeight="false" outlineLevel="0" collapsed="false">
      <c r="A104" s="27" t="s">
        <v>435</v>
      </c>
      <c r="B104" s="12" t="n">
        <v>14.15</v>
      </c>
      <c r="C104" s="14" t="s">
        <v>726</v>
      </c>
      <c r="D104" s="14" t="s">
        <v>727</v>
      </c>
      <c r="E104" s="15" t="s">
        <v>686</v>
      </c>
      <c r="F104" s="15" t="s">
        <v>706</v>
      </c>
      <c r="G104" s="14" t="s">
        <v>728</v>
      </c>
      <c r="H104" s="16" t="s">
        <v>729</v>
      </c>
      <c r="I104" s="16" t="s">
        <v>730</v>
      </c>
      <c r="J104" s="21" t="s">
        <v>56</v>
      </c>
      <c r="K104" s="17"/>
      <c r="L104" s="18"/>
      <c r="M104" s="19" t="s">
        <v>41</v>
      </c>
      <c r="N104" s="18" t="n">
        <v>4</v>
      </c>
      <c r="O104" s="20" t="n">
        <v>189.17</v>
      </c>
      <c r="P104" s="20" t="n">
        <v>228.33</v>
      </c>
      <c r="Q104" s="18" t="n">
        <v>42</v>
      </c>
      <c r="R104" s="18" t="n">
        <v>5</v>
      </c>
      <c r="S104" s="18" t="n">
        <v>1623</v>
      </c>
      <c r="T104" s="18" t="n">
        <v>528</v>
      </c>
      <c r="U104" s="14" t="s">
        <v>194</v>
      </c>
      <c r="V104" s="16" t="s">
        <v>731</v>
      </c>
      <c r="W104" s="15" t="s">
        <v>732</v>
      </c>
      <c r="X104" s="15" t="s">
        <v>732</v>
      </c>
      <c r="Y104" s="16" t="s">
        <v>88</v>
      </c>
      <c r="Z104" s="21" t="s">
        <v>72</v>
      </c>
      <c r="AA104" s="21" t="s">
        <v>89</v>
      </c>
      <c r="AB104" s="22" t="n">
        <v>24.7930519</v>
      </c>
      <c r="AC104" s="22" t="n">
        <v>121.1740264</v>
      </c>
    </row>
    <row r="105" customFormat="false" ht="15" hidden="false" customHeight="false" outlineLevel="0" collapsed="false">
      <c r="A105" s="27" t="s">
        <v>435</v>
      </c>
      <c r="B105" s="12" t="n">
        <v>14.19</v>
      </c>
      <c r="C105" s="14" t="s">
        <v>733</v>
      </c>
      <c r="D105" s="14" t="s">
        <v>734</v>
      </c>
      <c r="E105" s="15" t="s">
        <v>79</v>
      </c>
      <c r="F105" s="15" t="s">
        <v>511</v>
      </c>
      <c r="G105" s="14" t="s">
        <v>735</v>
      </c>
      <c r="H105" s="16"/>
      <c r="I105" s="16" t="s">
        <v>736</v>
      </c>
      <c r="J105" s="16"/>
      <c r="K105" s="17"/>
      <c r="L105" s="18"/>
      <c r="M105" s="19" t="s">
        <v>41</v>
      </c>
      <c r="N105" s="18" t="n">
        <v>6</v>
      </c>
      <c r="O105" s="20" t="n">
        <v>90.62</v>
      </c>
      <c r="P105" s="20" t="n">
        <v>155.26</v>
      </c>
      <c r="Q105" s="18" t="n">
        <v>12</v>
      </c>
      <c r="R105" s="18" t="n">
        <v>1</v>
      </c>
      <c r="S105" s="18" t="n">
        <v>177</v>
      </c>
      <c r="T105" s="18" t="n">
        <v>127</v>
      </c>
      <c r="U105" s="14" t="s">
        <v>118</v>
      </c>
      <c r="V105" s="16" t="s">
        <v>737</v>
      </c>
      <c r="W105" s="15" t="s">
        <v>738</v>
      </c>
      <c r="X105" s="15" t="s">
        <v>738</v>
      </c>
      <c r="Y105" s="16" t="s">
        <v>88</v>
      </c>
      <c r="Z105" s="21" t="s">
        <v>72</v>
      </c>
      <c r="AA105" s="21" t="s">
        <v>89</v>
      </c>
      <c r="AB105" s="22" t="n">
        <v>25.0437234</v>
      </c>
      <c r="AC105" s="22" t="n">
        <v>121.1424201</v>
      </c>
    </row>
    <row r="106" customFormat="false" ht="15" hidden="false" customHeight="false" outlineLevel="0" collapsed="false">
      <c r="A106" s="27" t="s">
        <v>435</v>
      </c>
      <c r="B106" s="12" t="n">
        <v>14.19</v>
      </c>
      <c r="C106" s="14" t="s">
        <v>739</v>
      </c>
      <c r="D106" s="14" t="s">
        <v>740</v>
      </c>
      <c r="E106" s="15" t="s">
        <v>79</v>
      </c>
      <c r="F106" s="15" t="s">
        <v>607</v>
      </c>
      <c r="G106" s="14" t="s">
        <v>741</v>
      </c>
      <c r="H106" s="16" t="s">
        <v>742</v>
      </c>
      <c r="I106" s="16" t="s">
        <v>743</v>
      </c>
      <c r="J106" s="21" t="s">
        <v>56</v>
      </c>
      <c r="K106" s="17" t="n">
        <v>4.9</v>
      </c>
      <c r="L106" s="18" t="n">
        <v>15</v>
      </c>
      <c r="M106" s="23" t="s">
        <v>43</v>
      </c>
      <c r="N106" s="18" t="n">
        <v>3</v>
      </c>
      <c r="O106" s="20" t="n">
        <v>62.99</v>
      </c>
      <c r="P106" s="20" t="n">
        <v>109.92</v>
      </c>
      <c r="Q106" s="18" t="n">
        <v>5</v>
      </c>
      <c r="R106" s="18" t="n">
        <v>1</v>
      </c>
      <c r="S106" s="18" t="n">
        <v>86</v>
      </c>
      <c r="T106" s="18" t="n">
        <v>86</v>
      </c>
      <c r="U106" s="14" t="s">
        <v>118</v>
      </c>
      <c r="V106" s="16" t="s">
        <v>744</v>
      </c>
      <c r="W106" s="15" t="s">
        <v>745</v>
      </c>
      <c r="X106" s="15" t="s">
        <v>745</v>
      </c>
      <c r="Y106" s="16" t="s">
        <v>88</v>
      </c>
      <c r="Z106" s="21" t="s">
        <v>72</v>
      </c>
      <c r="AA106" s="21" t="s">
        <v>89</v>
      </c>
      <c r="AB106" s="22" t="n">
        <v>25.0259069</v>
      </c>
      <c r="AC106" s="22" t="n">
        <v>121.2571228</v>
      </c>
    </row>
    <row r="107" customFormat="false" ht="15" hidden="false" customHeight="false" outlineLevel="0" collapsed="false">
      <c r="A107" s="27" t="s">
        <v>435</v>
      </c>
      <c r="B107" s="12" t="n">
        <v>14.2</v>
      </c>
      <c r="C107" s="13" t="s">
        <v>746</v>
      </c>
      <c r="D107" s="14" t="s">
        <v>747</v>
      </c>
      <c r="E107" s="15" t="s">
        <v>686</v>
      </c>
      <c r="F107" s="15" t="s">
        <v>687</v>
      </c>
      <c r="G107" s="14" t="s">
        <v>748</v>
      </c>
      <c r="H107" s="16" t="s">
        <v>749</v>
      </c>
      <c r="I107" s="16" t="s">
        <v>750</v>
      </c>
      <c r="J107" s="21" t="s">
        <v>56</v>
      </c>
      <c r="K107" s="17" t="n">
        <v>5</v>
      </c>
      <c r="L107" s="18" t="n">
        <v>88</v>
      </c>
      <c r="M107" s="23" t="s">
        <v>43</v>
      </c>
      <c r="N107" s="18" t="n">
        <v>4</v>
      </c>
      <c r="O107" s="20" t="n">
        <v>76.2</v>
      </c>
      <c r="P107" s="20" t="n">
        <v>148.46</v>
      </c>
      <c r="Q107" s="18" t="n">
        <v>9</v>
      </c>
      <c r="R107" s="18" t="n">
        <v>4</v>
      </c>
      <c r="S107" s="18" t="n">
        <v>129</v>
      </c>
      <c r="T107" s="18" t="n">
        <v>129</v>
      </c>
      <c r="U107" s="14" t="s">
        <v>194</v>
      </c>
      <c r="V107" s="16" t="s">
        <v>751</v>
      </c>
      <c r="W107" s="15" t="s">
        <v>752</v>
      </c>
      <c r="X107" s="15" t="s">
        <v>753</v>
      </c>
      <c r="Y107" s="16" t="s">
        <v>88</v>
      </c>
      <c r="Z107" s="21" t="s">
        <v>72</v>
      </c>
      <c r="AA107" s="21" t="s">
        <v>89</v>
      </c>
      <c r="AB107" s="22" t="n">
        <v>24.9021573</v>
      </c>
      <c r="AC107" s="22" t="n">
        <v>121.0387417</v>
      </c>
    </row>
    <row r="108" customFormat="false" ht="15" hidden="false" customHeight="false" outlineLevel="0" collapsed="false">
      <c r="A108" s="27" t="s">
        <v>435</v>
      </c>
      <c r="B108" s="12" t="n">
        <v>14.22</v>
      </c>
      <c r="C108" s="14" t="s">
        <v>754</v>
      </c>
      <c r="D108" s="14" t="s">
        <v>755</v>
      </c>
      <c r="E108" s="15" t="s">
        <v>79</v>
      </c>
      <c r="F108" s="15" t="s">
        <v>607</v>
      </c>
      <c r="G108" s="14" t="s">
        <v>756</v>
      </c>
      <c r="H108" s="16" t="s">
        <v>757</v>
      </c>
      <c r="I108" s="16" t="s">
        <v>758</v>
      </c>
      <c r="J108" s="16"/>
      <c r="K108" s="17" t="n">
        <v>3.9</v>
      </c>
      <c r="L108" s="18" t="n">
        <v>13</v>
      </c>
      <c r="M108" s="19" t="s">
        <v>41</v>
      </c>
      <c r="N108" s="18" t="n">
        <v>4</v>
      </c>
      <c r="O108" s="20" t="n">
        <v>120.73</v>
      </c>
      <c r="P108" s="20" t="n">
        <v>204.36</v>
      </c>
      <c r="Q108" s="18" t="n">
        <v>7</v>
      </c>
      <c r="R108" s="18" t="n">
        <v>3</v>
      </c>
      <c r="S108" s="18" t="n">
        <v>210</v>
      </c>
      <c r="T108" s="18" t="n">
        <v>100</v>
      </c>
      <c r="U108" s="14" t="s">
        <v>118</v>
      </c>
      <c r="V108" s="16" t="s">
        <v>759</v>
      </c>
      <c r="W108" s="15" t="s">
        <v>760</v>
      </c>
      <c r="X108" s="15" t="s">
        <v>760</v>
      </c>
      <c r="Y108" s="16" t="s">
        <v>88</v>
      </c>
      <c r="Z108" s="21" t="s">
        <v>72</v>
      </c>
      <c r="AA108" s="21" t="s">
        <v>89</v>
      </c>
      <c r="AB108" s="22" t="n">
        <v>25.0245338</v>
      </c>
      <c r="AC108" s="22" t="n">
        <v>121.2597601</v>
      </c>
    </row>
    <row r="109" customFormat="false" ht="15" hidden="false" customHeight="false" outlineLevel="0" collapsed="false">
      <c r="A109" s="27" t="s">
        <v>435</v>
      </c>
      <c r="B109" s="12" t="n">
        <v>14.23</v>
      </c>
      <c r="C109" s="14" t="s">
        <v>761</v>
      </c>
      <c r="D109" s="14" t="s">
        <v>762</v>
      </c>
      <c r="E109" s="15" t="s">
        <v>79</v>
      </c>
      <c r="F109" s="15" t="s">
        <v>511</v>
      </c>
      <c r="G109" s="14" t="s">
        <v>763</v>
      </c>
      <c r="H109" s="16" t="s">
        <v>764</v>
      </c>
      <c r="I109" s="16" t="s">
        <v>765</v>
      </c>
      <c r="J109" s="21" t="s">
        <v>56</v>
      </c>
      <c r="K109" s="17" t="n">
        <v>4.4</v>
      </c>
      <c r="L109" s="18" t="n">
        <v>5</v>
      </c>
      <c r="M109" s="23" t="s">
        <v>43</v>
      </c>
      <c r="N109" s="18" t="n">
        <v>4</v>
      </c>
      <c r="O109" s="20" t="n">
        <v>63.75</v>
      </c>
      <c r="P109" s="20" t="n">
        <v>168.2</v>
      </c>
      <c r="Q109" s="18" t="n">
        <v>4</v>
      </c>
      <c r="R109" s="18" t="n">
        <v>3</v>
      </c>
      <c r="S109" s="18" t="n">
        <v>120</v>
      </c>
      <c r="T109" s="18" t="n">
        <v>60</v>
      </c>
      <c r="U109" s="14" t="s">
        <v>118</v>
      </c>
      <c r="V109" s="16" t="s">
        <v>766</v>
      </c>
      <c r="W109" s="15" t="s">
        <v>767</v>
      </c>
      <c r="X109" s="15" t="s">
        <v>767</v>
      </c>
      <c r="Y109" s="16" t="s">
        <v>88</v>
      </c>
      <c r="Z109" s="21" t="s">
        <v>72</v>
      </c>
      <c r="AA109" s="21" t="s">
        <v>89</v>
      </c>
      <c r="AB109" s="22" t="n">
        <v>25.044156</v>
      </c>
      <c r="AC109" s="22" t="n">
        <v>121.1426847</v>
      </c>
    </row>
    <row r="110" customFormat="false" ht="15" hidden="false" customHeight="false" outlineLevel="0" collapsed="false">
      <c r="A110" s="27" t="s">
        <v>435</v>
      </c>
      <c r="B110" s="12" t="n">
        <v>14.23</v>
      </c>
      <c r="C110" s="14" t="s">
        <v>768</v>
      </c>
      <c r="D110" s="13"/>
      <c r="E110" s="15" t="s">
        <v>686</v>
      </c>
      <c r="F110" s="15" t="s">
        <v>706</v>
      </c>
      <c r="G110" s="14" t="s">
        <v>769</v>
      </c>
      <c r="H110" s="16" t="s">
        <v>770</v>
      </c>
      <c r="I110" s="16"/>
      <c r="J110" s="16"/>
      <c r="K110" s="17" t="n">
        <v>5</v>
      </c>
      <c r="L110" s="18" t="n">
        <v>3</v>
      </c>
      <c r="M110" s="16"/>
      <c r="N110" s="18"/>
      <c r="O110" s="20"/>
      <c r="P110" s="20"/>
      <c r="Q110" s="18"/>
      <c r="R110" s="18"/>
      <c r="S110" s="18"/>
      <c r="T110" s="18"/>
      <c r="U110" s="13"/>
      <c r="V110" s="16"/>
      <c r="W110" s="16"/>
      <c r="X110" s="16"/>
      <c r="Y110" s="16"/>
      <c r="Z110" s="24"/>
      <c r="AA110" s="21" t="s">
        <v>89</v>
      </c>
      <c r="AB110" s="22" t="n">
        <v>24.7922469</v>
      </c>
      <c r="AC110" s="22" t="n">
        <v>121.1770648</v>
      </c>
    </row>
    <row r="111" customFormat="false" ht="15" hidden="false" customHeight="false" outlineLevel="0" collapsed="false">
      <c r="A111" s="27" t="s">
        <v>435</v>
      </c>
      <c r="B111" s="12" t="n">
        <v>14.27</v>
      </c>
      <c r="C111" s="14" t="s">
        <v>771</v>
      </c>
      <c r="D111" s="14" t="s">
        <v>772</v>
      </c>
      <c r="E111" s="15" t="s">
        <v>686</v>
      </c>
      <c r="F111" s="15" t="s">
        <v>687</v>
      </c>
      <c r="G111" s="14" t="s">
        <v>773</v>
      </c>
      <c r="H111" s="16" t="s">
        <v>774</v>
      </c>
      <c r="I111" s="16" t="s">
        <v>775</v>
      </c>
      <c r="J111" s="16"/>
      <c r="K111" s="17"/>
      <c r="L111" s="18"/>
      <c r="M111" s="23" t="s">
        <v>43</v>
      </c>
      <c r="N111" s="18" t="n">
        <v>3</v>
      </c>
      <c r="O111" s="20" t="n">
        <v>84.98</v>
      </c>
      <c r="P111" s="20" t="n">
        <v>195.64</v>
      </c>
      <c r="Q111" s="18" t="n">
        <v>8</v>
      </c>
      <c r="R111" s="18" t="n">
        <v>3</v>
      </c>
      <c r="S111" s="18" t="n">
        <v>184</v>
      </c>
      <c r="T111" s="18" t="n">
        <v>60</v>
      </c>
      <c r="U111" s="14" t="s">
        <v>194</v>
      </c>
      <c r="V111" s="16" t="s">
        <v>776</v>
      </c>
      <c r="W111" s="15" t="s">
        <v>777</v>
      </c>
      <c r="X111" s="15" t="s">
        <v>778</v>
      </c>
      <c r="Y111" s="16" t="s">
        <v>109</v>
      </c>
      <c r="Z111" s="21" t="s">
        <v>72</v>
      </c>
      <c r="AA111" s="21" t="s">
        <v>89</v>
      </c>
      <c r="AB111" s="22" t="n">
        <v>24.9022274</v>
      </c>
      <c r="AC111" s="22" t="n">
        <v>121.0380588</v>
      </c>
    </row>
    <row r="112" customFormat="false" ht="15" hidden="false" customHeight="false" outlineLevel="0" collapsed="false">
      <c r="A112" s="27" t="s">
        <v>435</v>
      </c>
      <c r="B112" s="12" t="n">
        <v>14.29</v>
      </c>
      <c r="C112" s="14" t="s">
        <v>779</v>
      </c>
      <c r="D112" s="14" t="s">
        <v>780</v>
      </c>
      <c r="E112" s="15" t="s">
        <v>686</v>
      </c>
      <c r="F112" s="15" t="s">
        <v>687</v>
      </c>
      <c r="G112" s="14" t="s">
        <v>781</v>
      </c>
      <c r="H112" s="16" t="s">
        <v>782</v>
      </c>
      <c r="I112" s="16"/>
      <c r="J112" s="16"/>
      <c r="K112" s="17" t="n">
        <v>5</v>
      </c>
      <c r="L112" s="18" t="n">
        <v>4</v>
      </c>
      <c r="M112" s="23" t="s">
        <v>43</v>
      </c>
      <c r="N112" s="18" t="n">
        <v>1</v>
      </c>
      <c r="O112" s="20" t="n">
        <v>33</v>
      </c>
      <c r="P112" s="20" t="n">
        <v>114</v>
      </c>
      <c r="Q112" s="18" t="n">
        <v>2</v>
      </c>
      <c r="R112" s="18" t="n">
        <v>1</v>
      </c>
      <c r="S112" s="18" t="n">
        <v>30</v>
      </c>
      <c r="T112" s="18" t="n">
        <v>30</v>
      </c>
      <c r="U112" s="14" t="s">
        <v>84</v>
      </c>
      <c r="V112" s="16" t="s">
        <v>783</v>
      </c>
      <c r="W112" s="15" t="s">
        <v>784</v>
      </c>
      <c r="X112" s="15" t="s">
        <v>784</v>
      </c>
      <c r="Y112" s="16" t="s">
        <v>109</v>
      </c>
      <c r="Z112" s="21" t="s">
        <v>72</v>
      </c>
      <c r="AA112" s="21" t="s">
        <v>89</v>
      </c>
      <c r="AB112" s="22" t="n">
        <v>24.9015336</v>
      </c>
      <c r="AC112" s="22" t="n">
        <v>121.0379552</v>
      </c>
    </row>
    <row r="113" customFormat="false" ht="26.85" hidden="false" customHeight="false" outlineLevel="0" collapsed="false">
      <c r="A113" s="27" t="s">
        <v>435</v>
      </c>
      <c r="B113" s="12" t="n">
        <v>14.33</v>
      </c>
      <c r="C113" s="14" t="s">
        <v>785</v>
      </c>
      <c r="D113" s="13"/>
      <c r="E113" s="15" t="s">
        <v>79</v>
      </c>
      <c r="F113" s="15" t="s">
        <v>607</v>
      </c>
      <c r="G113" s="14" t="s">
        <v>786</v>
      </c>
      <c r="H113" s="16" t="s">
        <v>787</v>
      </c>
      <c r="I113" s="16"/>
      <c r="J113" s="21" t="s">
        <v>56</v>
      </c>
      <c r="K113" s="17" t="n">
        <v>5</v>
      </c>
      <c r="L113" s="18" t="n">
        <v>41</v>
      </c>
      <c r="M113" s="16"/>
      <c r="N113" s="18"/>
      <c r="O113" s="20"/>
      <c r="P113" s="20"/>
      <c r="Q113" s="18"/>
      <c r="R113" s="18"/>
      <c r="S113" s="18"/>
      <c r="T113" s="18"/>
      <c r="U113" s="13"/>
      <c r="V113" s="16"/>
      <c r="W113" s="16"/>
      <c r="X113" s="16"/>
      <c r="Y113" s="16"/>
      <c r="Z113" s="24"/>
      <c r="AA113" s="21" t="s">
        <v>89</v>
      </c>
      <c r="AB113" s="22" t="n">
        <v>25.0254781</v>
      </c>
      <c r="AC113" s="22" t="n">
        <v>121.2603071</v>
      </c>
    </row>
    <row r="114" customFormat="false" ht="15" hidden="false" customHeight="false" outlineLevel="0" collapsed="false">
      <c r="A114" s="27" t="s">
        <v>435</v>
      </c>
      <c r="B114" s="12" t="n">
        <v>14.36</v>
      </c>
      <c r="C114" s="13" t="s">
        <v>788</v>
      </c>
      <c r="D114" s="14" t="s">
        <v>789</v>
      </c>
      <c r="E114" s="15" t="s">
        <v>79</v>
      </c>
      <c r="F114" s="15" t="s">
        <v>511</v>
      </c>
      <c r="G114" s="14" t="s">
        <v>790</v>
      </c>
      <c r="H114" s="16" t="s">
        <v>791</v>
      </c>
      <c r="I114" s="16" t="s">
        <v>792</v>
      </c>
      <c r="J114" s="21" t="s">
        <v>56</v>
      </c>
      <c r="K114" s="17" t="n">
        <v>4</v>
      </c>
      <c r="L114" s="18" t="n">
        <v>3</v>
      </c>
      <c r="M114" s="19" t="s">
        <v>41</v>
      </c>
      <c r="N114" s="18" t="n">
        <v>5</v>
      </c>
      <c r="O114" s="20" t="n">
        <v>159.78</v>
      </c>
      <c r="P114" s="20" t="n">
        <v>264.99</v>
      </c>
      <c r="Q114" s="18" t="n">
        <v>7</v>
      </c>
      <c r="R114" s="18" t="n">
        <v>3</v>
      </c>
      <c r="S114" s="18" t="n">
        <v>168</v>
      </c>
      <c r="T114" s="18" t="n">
        <v>120</v>
      </c>
      <c r="U114" s="14" t="s">
        <v>118</v>
      </c>
      <c r="V114" s="16" t="s">
        <v>793</v>
      </c>
      <c r="W114" s="15" t="s">
        <v>794</v>
      </c>
      <c r="X114" s="15" t="s">
        <v>794</v>
      </c>
      <c r="Y114" s="16" t="s">
        <v>109</v>
      </c>
      <c r="Z114" s="21" t="s">
        <v>72</v>
      </c>
      <c r="AA114" s="21" t="s">
        <v>89</v>
      </c>
      <c r="AB114" s="22" t="n">
        <v>25.045111</v>
      </c>
      <c r="AC114" s="22" t="n">
        <v>121.1418899</v>
      </c>
    </row>
    <row r="115" customFormat="false" ht="15" hidden="false" customHeight="false" outlineLevel="0" collapsed="false">
      <c r="A115" s="27" t="s">
        <v>435</v>
      </c>
      <c r="B115" s="12" t="n">
        <v>14.49</v>
      </c>
      <c r="C115" s="14" t="s">
        <v>795</v>
      </c>
      <c r="D115" s="13"/>
      <c r="E115" s="15" t="s">
        <v>686</v>
      </c>
      <c r="F115" s="15" t="s">
        <v>723</v>
      </c>
      <c r="G115" s="14" t="s">
        <v>796</v>
      </c>
      <c r="H115" s="16"/>
      <c r="I115" s="16"/>
      <c r="J115" s="16"/>
      <c r="K115" s="17"/>
      <c r="L115" s="18"/>
      <c r="M115" s="16"/>
      <c r="N115" s="18"/>
      <c r="O115" s="20"/>
      <c r="P115" s="20"/>
      <c r="Q115" s="18"/>
      <c r="R115" s="18"/>
      <c r="S115" s="18"/>
      <c r="T115" s="18"/>
      <c r="U115" s="13"/>
      <c r="V115" s="16"/>
      <c r="W115" s="16"/>
      <c r="X115" s="16"/>
      <c r="Y115" s="16"/>
      <c r="Z115" s="24"/>
      <c r="AA115" s="21" t="s">
        <v>89</v>
      </c>
      <c r="AB115" s="22" t="n">
        <v>24.8279271</v>
      </c>
      <c r="AC115" s="22" t="n">
        <v>121.0767811</v>
      </c>
    </row>
    <row r="116" customFormat="false" ht="15" hidden="false" customHeight="false" outlineLevel="0" collapsed="false">
      <c r="A116" s="27" t="s">
        <v>435</v>
      </c>
      <c r="B116" s="12" t="n">
        <v>14.74</v>
      </c>
      <c r="C116" s="14" t="s">
        <v>797</v>
      </c>
      <c r="D116" s="14" t="s">
        <v>798</v>
      </c>
      <c r="E116" s="15" t="s">
        <v>79</v>
      </c>
      <c r="F116" s="15" t="s">
        <v>511</v>
      </c>
      <c r="G116" s="14" t="s">
        <v>799</v>
      </c>
      <c r="H116" s="16" t="s">
        <v>800</v>
      </c>
      <c r="I116" s="16" t="s">
        <v>801</v>
      </c>
      <c r="J116" s="16"/>
      <c r="K116" s="17" t="n">
        <v>5</v>
      </c>
      <c r="L116" s="18" t="n">
        <v>5</v>
      </c>
      <c r="M116" s="23" t="s">
        <v>43</v>
      </c>
      <c r="N116" s="18" t="n">
        <v>1</v>
      </c>
      <c r="O116" s="20" t="n">
        <v>35.37</v>
      </c>
      <c r="P116" s="20" t="n">
        <v>74.47</v>
      </c>
      <c r="Q116" s="18" t="n">
        <v>4</v>
      </c>
      <c r="R116" s="18" t="n">
        <v>5</v>
      </c>
      <c r="S116" s="18" t="n">
        <v>80</v>
      </c>
      <c r="T116" s="18" t="n">
        <v>40</v>
      </c>
      <c r="U116" s="14" t="s">
        <v>118</v>
      </c>
      <c r="V116" s="16" t="s">
        <v>802</v>
      </c>
      <c r="W116" s="15" t="s">
        <v>803</v>
      </c>
      <c r="X116" s="15" t="s">
        <v>803</v>
      </c>
      <c r="Y116" s="16" t="s">
        <v>88</v>
      </c>
      <c r="Z116" s="21" t="s">
        <v>72</v>
      </c>
      <c r="AA116" s="21" t="s">
        <v>89</v>
      </c>
      <c r="AB116" s="22" t="n">
        <v>25.049078</v>
      </c>
      <c r="AC116" s="22" t="n">
        <v>121.143618</v>
      </c>
    </row>
    <row r="117" customFormat="false" ht="15" hidden="false" customHeight="false" outlineLevel="0" collapsed="false">
      <c r="A117" s="27" t="s">
        <v>435</v>
      </c>
      <c r="B117" s="12" t="n">
        <v>14.8</v>
      </c>
      <c r="C117" s="14" t="s">
        <v>804</v>
      </c>
      <c r="D117" s="14" t="s">
        <v>805</v>
      </c>
      <c r="E117" s="15" t="s">
        <v>686</v>
      </c>
      <c r="F117" s="15" t="s">
        <v>706</v>
      </c>
      <c r="G117" s="14" t="s">
        <v>806</v>
      </c>
      <c r="H117" s="16" t="s">
        <v>807</v>
      </c>
      <c r="I117" s="16" t="s">
        <v>808</v>
      </c>
      <c r="J117" s="16"/>
      <c r="K117" s="17" t="n">
        <v>4</v>
      </c>
      <c r="L117" s="18" t="n">
        <v>3</v>
      </c>
      <c r="M117" s="25" t="s">
        <v>39</v>
      </c>
      <c r="N117" s="18" t="n">
        <v>9</v>
      </c>
      <c r="O117" s="20" t="n">
        <v>304</v>
      </c>
      <c r="P117" s="20" t="n">
        <v>665.22</v>
      </c>
      <c r="Q117" s="18" t="n">
        <v>28</v>
      </c>
      <c r="R117" s="18" t="n">
        <v>13</v>
      </c>
      <c r="S117" s="18" t="n">
        <v>560</v>
      </c>
      <c r="T117" s="18" t="n">
        <v>280</v>
      </c>
      <c r="U117" s="14" t="s">
        <v>84</v>
      </c>
      <c r="V117" s="16" t="s">
        <v>809</v>
      </c>
      <c r="W117" s="15" t="s">
        <v>810</v>
      </c>
      <c r="X117" s="15" t="s">
        <v>811</v>
      </c>
      <c r="Y117" s="16" t="s">
        <v>88</v>
      </c>
      <c r="Z117" s="21" t="s">
        <v>72</v>
      </c>
      <c r="AA117" s="21" t="s">
        <v>89</v>
      </c>
      <c r="AB117" s="22" t="n">
        <v>24.7871957</v>
      </c>
      <c r="AC117" s="22" t="n">
        <v>121.1809414</v>
      </c>
    </row>
    <row r="118" customFormat="false" ht="15" hidden="false" customHeight="false" outlineLevel="0" collapsed="false">
      <c r="A118" s="28" t="s">
        <v>812</v>
      </c>
      <c r="B118" s="12" t="n">
        <v>15.48</v>
      </c>
      <c r="C118" s="14" t="s">
        <v>813</v>
      </c>
      <c r="D118" s="13"/>
      <c r="E118" s="15" t="s">
        <v>79</v>
      </c>
      <c r="F118" s="15" t="s">
        <v>529</v>
      </c>
      <c r="G118" s="14" t="s">
        <v>814</v>
      </c>
      <c r="H118" s="16" t="s">
        <v>815</v>
      </c>
      <c r="I118" s="16"/>
      <c r="J118" s="16"/>
      <c r="K118" s="17"/>
      <c r="L118" s="18"/>
      <c r="M118" s="16"/>
      <c r="N118" s="18"/>
      <c r="O118" s="20"/>
      <c r="P118" s="20"/>
      <c r="Q118" s="18"/>
      <c r="R118" s="18"/>
      <c r="S118" s="18"/>
      <c r="T118" s="18"/>
      <c r="U118" s="13"/>
      <c r="V118" s="16"/>
      <c r="W118" s="16"/>
      <c r="X118" s="16"/>
      <c r="Y118" s="16"/>
      <c r="Z118" s="24"/>
      <c r="AA118" s="21" t="s">
        <v>89</v>
      </c>
      <c r="AB118" s="22" t="n">
        <v>25.052608</v>
      </c>
      <c r="AC118" s="22" t="n">
        <v>121.225673</v>
      </c>
    </row>
    <row r="119" customFormat="false" ht="15" hidden="false" customHeight="false" outlineLevel="0" collapsed="false">
      <c r="A119" s="28" t="s">
        <v>812</v>
      </c>
      <c r="B119" s="12" t="n">
        <v>15.76</v>
      </c>
      <c r="C119" s="14" t="s">
        <v>816</v>
      </c>
      <c r="D119" s="14" t="s">
        <v>816</v>
      </c>
      <c r="E119" s="15" t="s">
        <v>79</v>
      </c>
      <c r="F119" s="15" t="s">
        <v>529</v>
      </c>
      <c r="G119" s="14" t="s">
        <v>817</v>
      </c>
      <c r="H119" s="16" t="s">
        <v>818</v>
      </c>
      <c r="I119" s="16" t="s">
        <v>819</v>
      </c>
      <c r="J119" s="16"/>
      <c r="K119" s="17" t="n">
        <v>3.9</v>
      </c>
      <c r="L119" s="18" t="n">
        <v>11</v>
      </c>
      <c r="M119" s="25" t="s">
        <v>39</v>
      </c>
      <c r="N119" s="18" t="n">
        <v>4</v>
      </c>
      <c r="O119" s="20" t="n">
        <v>146.62</v>
      </c>
      <c r="P119" s="20" t="n">
        <v>492.32</v>
      </c>
      <c r="Q119" s="18" t="n">
        <v>4</v>
      </c>
      <c r="R119" s="18" t="n">
        <v>3</v>
      </c>
      <c r="S119" s="18" t="n">
        <v>80</v>
      </c>
      <c r="T119" s="18" t="n">
        <v>60</v>
      </c>
      <c r="U119" s="14" t="s">
        <v>118</v>
      </c>
      <c r="V119" s="16" t="s">
        <v>820</v>
      </c>
      <c r="W119" s="15" t="s">
        <v>821</v>
      </c>
      <c r="X119" s="15" t="s">
        <v>821</v>
      </c>
      <c r="Y119" s="16" t="s">
        <v>109</v>
      </c>
      <c r="Z119" s="21" t="s">
        <v>72</v>
      </c>
      <c r="AA119" s="21" t="s">
        <v>89</v>
      </c>
      <c r="AB119" s="22" t="n">
        <v>25.0604575</v>
      </c>
      <c r="AC119" s="22" t="n">
        <v>121.2007682</v>
      </c>
    </row>
    <row r="120" customFormat="false" ht="15" hidden="false" customHeight="false" outlineLevel="0" collapsed="false">
      <c r="A120" s="28" t="s">
        <v>812</v>
      </c>
      <c r="B120" s="12" t="n">
        <v>15.76</v>
      </c>
      <c r="C120" s="14" t="s">
        <v>822</v>
      </c>
      <c r="D120" s="14" t="s">
        <v>823</v>
      </c>
      <c r="E120" s="15" t="s">
        <v>79</v>
      </c>
      <c r="F120" s="15" t="s">
        <v>529</v>
      </c>
      <c r="G120" s="14" t="s">
        <v>824</v>
      </c>
      <c r="H120" s="16" t="s">
        <v>825</v>
      </c>
      <c r="I120" s="16" t="s">
        <v>282</v>
      </c>
      <c r="J120" s="21" t="s">
        <v>56</v>
      </c>
      <c r="K120" s="17" t="n">
        <v>5</v>
      </c>
      <c r="L120" s="18" t="n">
        <v>464</v>
      </c>
      <c r="M120" s="25" t="s">
        <v>39</v>
      </c>
      <c r="N120" s="18" t="n">
        <v>4</v>
      </c>
      <c r="O120" s="20" t="n">
        <v>96.5</v>
      </c>
      <c r="P120" s="20" t="n">
        <v>417.54</v>
      </c>
      <c r="Q120" s="18" t="n">
        <v>8</v>
      </c>
      <c r="R120" s="18" t="n">
        <v>17</v>
      </c>
      <c r="S120" s="18" t="n">
        <v>176</v>
      </c>
      <c r="T120" s="18" t="n">
        <v>176</v>
      </c>
      <c r="U120" s="14" t="s">
        <v>84</v>
      </c>
      <c r="V120" s="16" t="s">
        <v>826</v>
      </c>
      <c r="W120" s="15" t="s">
        <v>827</v>
      </c>
      <c r="X120" s="15" t="s">
        <v>828</v>
      </c>
      <c r="Y120" s="16" t="s">
        <v>88</v>
      </c>
      <c r="Z120" s="21" t="s">
        <v>72</v>
      </c>
      <c r="AA120" s="21" t="s">
        <v>89</v>
      </c>
      <c r="AB120" s="22" t="n">
        <v>25.060535</v>
      </c>
      <c r="AC120" s="22" t="n">
        <v>121.2003789</v>
      </c>
    </row>
    <row r="121" customFormat="false" ht="26.85" hidden="false" customHeight="false" outlineLevel="0" collapsed="false">
      <c r="A121" s="28" t="s">
        <v>812</v>
      </c>
      <c r="B121" s="12" t="n">
        <v>15.82</v>
      </c>
      <c r="C121" s="14" t="s">
        <v>829</v>
      </c>
      <c r="D121" s="14" t="s">
        <v>830</v>
      </c>
      <c r="E121" s="15" t="s">
        <v>79</v>
      </c>
      <c r="F121" s="15" t="s">
        <v>529</v>
      </c>
      <c r="G121" s="14" t="s">
        <v>831</v>
      </c>
      <c r="H121" s="16" t="s">
        <v>832</v>
      </c>
      <c r="I121" s="16" t="s">
        <v>833</v>
      </c>
      <c r="J121" s="21" t="s">
        <v>56</v>
      </c>
      <c r="K121" s="17" t="n">
        <v>4.9</v>
      </c>
      <c r="L121" s="18" t="n">
        <v>49</v>
      </c>
      <c r="M121" s="23" t="s">
        <v>43</v>
      </c>
      <c r="N121" s="18" t="n">
        <v>2</v>
      </c>
      <c r="O121" s="20" t="n">
        <v>45.55</v>
      </c>
      <c r="P121" s="20" t="n">
        <v>160.71</v>
      </c>
      <c r="Q121" s="18" t="n">
        <v>2</v>
      </c>
      <c r="R121" s="18" t="n">
        <v>5</v>
      </c>
      <c r="S121" s="18" t="n">
        <v>74</v>
      </c>
      <c r="T121" s="18" t="n">
        <v>37</v>
      </c>
      <c r="U121" s="14" t="s">
        <v>84</v>
      </c>
      <c r="V121" s="16" t="s">
        <v>834</v>
      </c>
      <c r="W121" s="15" t="s">
        <v>835</v>
      </c>
      <c r="X121" s="15" t="s">
        <v>835</v>
      </c>
      <c r="Y121" s="16" t="s">
        <v>88</v>
      </c>
      <c r="Z121" s="21" t="s">
        <v>72</v>
      </c>
      <c r="AA121" s="21" t="s">
        <v>89</v>
      </c>
      <c r="AB121" s="22" t="n">
        <v>25.0611095</v>
      </c>
      <c r="AC121" s="22" t="n">
        <v>121.2004163</v>
      </c>
    </row>
    <row r="122" customFormat="false" ht="15" hidden="false" customHeight="false" outlineLevel="0" collapsed="false">
      <c r="A122" s="28" t="s">
        <v>812</v>
      </c>
      <c r="B122" s="12" t="n">
        <v>15.84</v>
      </c>
      <c r="C122" s="14" t="s">
        <v>836</v>
      </c>
      <c r="D122" s="14" t="s">
        <v>837</v>
      </c>
      <c r="E122" s="15" t="s">
        <v>79</v>
      </c>
      <c r="F122" s="15" t="s">
        <v>529</v>
      </c>
      <c r="G122" s="14" t="s">
        <v>838</v>
      </c>
      <c r="H122" s="16" t="s">
        <v>839</v>
      </c>
      <c r="I122" s="16" t="s">
        <v>840</v>
      </c>
      <c r="J122" s="21" t="s">
        <v>56</v>
      </c>
      <c r="K122" s="17" t="n">
        <v>4.8</v>
      </c>
      <c r="L122" s="18" t="n">
        <v>24</v>
      </c>
      <c r="M122" s="19" t="s">
        <v>41</v>
      </c>
      <c r="N122" s="18" t="n">
        <v>4</v>
      </c>
      <c r="O122" s="20" t="n">
        <v>140.14</v>
      </c>
      <c r="P122" s="20" t="n">
        <v>376.42</v>
      </c>
      <c r="Q122" s="18" t="n">
        <v>12</v>
      </c>
      <c r="R122" s="18" t="n">
        <v>2</v>
      </c>
      <c r="S122" s="18" t="n">
        <v>324</v>
      </c>
      <c r="T122" s="18" t="n">
        <v>218</v>
      </c>
      <c r="U122" s="14" t="s">
        <v>194</v>
      </c>
      <c r="V122" s="16" t="s">
        <v>841</v>
      </c>
      <c r="W122" s="15" t="s">
        <v>842</v>
      </c>
      <c r="X122" s="15" t="s">
        <v>842</v>
      </c>
      <c r="Y122" s="16" t="s">
        <v>88</v>
      </c>
      <c r="Z122" s="21" t="s">
        <v>72</v>
      </c>
      <c r="AA122" s="21" t="s">
        <v>89</v>
      </c>
      <c r="AB122" s="22" t="n">
        <v>25.0612057</v>
      </c>
      <c r="AC122" s="22" t="n">
        <v>121.2007426</v>
      </c>
    </row>
    <row r="123" customFormat="false" ht="15" hidden="false" customHeight="false" outlineLevel="0" collapsed="false">
      <c r="A123" s="28" t="s">
        <v>812</v>
      </c>
      <c r="B123" s="12" t="n">
        <v>16</v>
      </c>
      <c r="C123" s="14" t="s">
        <v>843</v>
      </c>
      <c r="D123" s="13"/>
      <c r="E123" s="15" t="s">
        <v>79</v>
      </c>
      <c r="F123" s="15" t="s">
        <v>529</v>
      </c>
      <c r="G123" s="14" t="s">
        <v>844</v>
      </c>
      <c r="H123" s="16" t="s">
        <v>845</v>
      </c>
      <c r="I123" s="16"/>
      <c r="J123" s="21" t="s">
        <v>56</v>
      </c>
      <c r="K123" s="17" t="n">
        <v>4</v>
      </c>
      <c r="L123" s="18" t="n">
        <v>4</v>
      </c>
      <c r="M123" s="16"/>
      <c r="N123" s="18"/>
      <c r="O123" s="20"/>
      <c r="P123" s="20"/>
      <c r="Q123" s="18"/>
      <c r="R123" s="18"/>
      <c r="S123" s="18"/>
      <c r="T123" s="18"/>
      <c r="U123" s="13"/>
      <c r="V123" s="16"/>
      <c r="W123" s="16"/>
      <c r="X123" s="16"/>
      <c r="Y123" s="16"/>
      <c r="Z123" s="24"/>
      <c r="AA123" s="21" t="s">
        <v>89</v>
      </c>
      <c r="AB123" s="22" t="n">
        <v>25.0635011</v>
      </c>
      <c r="AC123" s="22" t="n">
        <v>121.1933558</v>
      </c>
    </row>
    <row r="124" customFormat="false" ht="15" hidden="false" customHeight="false" outlineLevel="0" collapsed="false">
      <c r="A124" s="28" t="s">
        <v>812</v>
      </c>
      <c r="B124" s="12" t="n">
        <v>16.06</v>
      </c>
      <c r="C124" s="14" t="s">
        <v>846</v>
      </c>
      <c r="D124" s="13"/>
      <c r="E124" s="15" t="s">
        <v>79</v>
      </c>
      <c r="F124" s="15" t="s">
        <v>511</v>
      </c>
      <c r="G124" s="14" t="s">
        <v>847</v>
      </c>
      <c r="H124" s="16" t="s">
        <v>848</v>
      </c>
      <c r="I124" s="16"/>
      <c r="J124" s="16"/>
      <c r="K124" s="17" t="n">
        <v>5</v>
      </c>
      <c r="L124" s="18" t="n">
        <v>1</v>
      </c>
      <c r="M124" s="16"/>
      <c r="N124" s="18"/>
      <c r="O124" s="20"/>
      <c r="P124" s="20"/>
      <c r="Q124" s="18"/>
      <c r="R124" s="18"/>
      <c r="S124" s="18"/>
      <c r="T124" s="18"/>
      <c r="U124" s="13"/>
      <c r="V124" s="16"/>
      <c r="W124" s="16"/>
      <c r="X124" s="16"/>
      <c r="Y124" s="16"/>
      <c r="Z124" s="24"/>
      <c r="AA124" s="21" t="s">
        <v>89</v>
      </c>
      <c r="AB124" s="22" t="n">
        <v>25.03462</v>
      </c>
      <c r="AC124" s="22" t="n">
        <v>121.080759</v>
      </c>
    </row>
    <row r="125" customFormat="false" ht="26.85" hidden="false" customHeight="false" outlineLevel="0" collapsed="false">
      <c r="A125" s="28" t="s">
        <v>812</v>
      </c>
      <c r="B125" s="12" t="n">
        <v>16.07</v>
      </c>
      <c r="C125" s="14" t="s">
        <v>849</v>
      </c>
      <c r="D125" s="14" t="s">
        <v>849</v>
      </c>
      <c r="E125" s="15" t="s">
        <v>850</v>
      </c>
      <c r="F125" s="15" t="s">
        <v>851</v>
      </c>
      <c r="G125" s="14" t="s">
        <v>852</v>
      </c>
      <c r="H125" s="16" t="s">
        <v>853</v>
      </c>
      <c r="I125" s="16" t="s">
        <v>854</v>
      </c>
      <c r="J125" s="16"/>
      <c r="K125" s="17"/>
      <c r="L125" s="18"/>
      <c r="M125" s="19" t="s">
        <v>41</v>
      </c>
      <c r="N125" s="18" t="n">
        <v>3</v>
      </c>
      <c r="O125" s="20" t="n">
        <v>85</v>
      </c>
      <c r="P125" s="20" t="n">
        <v>234.45</v>
      </c>
      <c r="Q125" s="18" t="n">
        <v>4</v>
      </c>
      <c r="R125" s="18" t="n">
        <v>8</v>
      </c>
      <c r="S125" s="18" t="n">
        <v>84</v>
      </c>
      <c r="T125" s="18"/>
      <c r="U125" s="14" t="s">
        <v>94</v>
      </c>
      <c r="V125" s="16" t="s">
        <v>855</v>
      </c>
      <c r="W125" s="15" t="s">
        <v>856</v>
      </c>
      <c r="X125" s="15" t="s">
        <v>856</v>
      </c>
      <c r="Y125" s="16" t="s">
        <v>88</v>
      </c>
      <c r="Z125" s="21" t="s">
        <v>72</v>
      </c>
      <c r="AA125" s="21" t="s">
        <v>89</v>
      </c>
      <c r="AB125" s="22" t="n">
        <v>24.9411945</v>
      </c>
      <c r="AC125" s="22" t="n">
        <v>121.3358555</v>
      </c>
    </row>
    <row r="126" customFormat="false" ht="26.85" hidden="false" customHeight="false" outlineLevel="0" collapsed="false">
      <c r="A126" s="28" t="s">
        <v>812</v>
      </c>
      <c r="B126" s="12" t="n">
        <v>16.07</v>
      </c>
      <c r="C126" s="14" t="s">
        <v>857</v>
      </c>
      <c r="D126" s="14" t="s">
        <v>849</v>
      </c>
      <c r="E126" s="15" t="s">
        <v>850</v>
      </c>
      <c r="F126" s="15" t="s">
        <v>851</v>
      </c>
      <c r="G126" s="14" t="s">
        <v>858</v>
      </c>
      <c r="H126" s="16" t="s">
        <v>859</v>
      </c>
      <c r="I126" s="16" t="s">
        <v>854</v>
      </c>
      <c r="J126" s="21" t="s">
        <v>56</v>
      </c>
      <c r="K126" s="17" t="n">
        <v>3.7</v>
      </c>
      <c r="L126" s="18" t="n">
        <v>13</v>
      </c>
      <c r="M126" s="19" t="s">
        <v>41</v>
      </c>
      <c r="N126" s="18" t="n">
        <v>3</v>
      </c>
      <c r="O126" s="20" t="n">
        <v>85</v>
      </c>
      <c r="P126" s="20" t="n">
        <v>234.45</v>
      </c>
      <c r="Q126" s="18" t="n">
        <v>4</v>
      </c>
      <c r="R126" s="18" t="n">
        <v>8</v>
      </c>
      <c r="S126" s="18" t="n">
        <v>84</v>
      </c>
      <c r="T126" s="18"/>
      <c r="U126" s="14" t="s">
        <v>94</v>
      </c>
      <c r="V126" s="16" t="s">
        <v>855</v>
      </c>
      <c r="W126" s="15" t="s">
        <v>856</v>
      </c>
      <c r="X126" s="15" t="s">
        <v>856</v>
      </c>
      <c r="Y126" s="16" t="s">
        <v>88</v>
      </c>
      <c r="Z126" s="21" t="s">
        <v>72</v>
      </c>
      <c r="AA126" s="21" t="s">
        <v>89</v>
      </c>
      <c r="AB126" s="22" t="n">
        <v>24.9411945</v>
      </c>
      <c r="AC126" s="22" t="n">
        <v>121.3358555</v>
      </c>
    </row>
    <row r="127" customFormat="false" ht="15" hidden="false" customHeight="false" outlineLevel="0" collapsed="false">
      <c r="A127" s="28" t="s">
        <v>812</v>
      </c>
      <c r="B127" s="12" t="n">
        <v>16.09</v>
      </c>
      <c r="C127" s="14" t="s">
        <v>860</v>
      </c>
      <c r="D127" s="14" t="s">
        <v>861</v>
      </c>
      <c r="E127" s="15" t="s">
        <v>79</v>
      </c>
      <c r="F127" s="15" t="s">
        <v>511</v>
      </c>
      <c r="G127" s="14" t="s">
        <v>862</v>
      </c>
      <c r="H127" s="16" t="s">
        <v>863</v>
      </c>
      <c r="I127" s="16" t="s">
        <v>864</v>
      </c>
      <c r="J127" s="21" t="s">
        <v>56</v>
      </c>
      <c r="K127" s="17" t="n">
        <v>5</v>
      </c>
      <c r="L127" s="18" t="n">
        <v>89</v>
      </c>
      <c r="M127" s="19" t="s">
        <v>41</v>
      </c>
      <c r="N127" s="18" t="n">
        <v>7</v>
      </c>
      <c r="O127" s="20" t="n">
        <v>162.67</v>
      </c>
      <c r="P127" s="20" t="n">
        <v>283.75</v>
      </c>
      <c r="Q127" s="18" t="n">
        <v>7</v>
      </c>
      <c r="R127" s="18" t="n">
        <v>6</v>
      </c>
      <c r="S127" s="18" t="n">
        <v>109</v>
      </c>
      <c r="T127" s="18" t="n">
        <v>64</v>
      </c>
      <c r="U127" s="14" t="s">
        <v>84</v>
      </c>
      <c r="V127" s="16" t="s">
        <v>865</v>
      </c>
      <c r="W127" s="15" t="s">
        <v>866</v>
      </c>
      <c r="X127" s="15" t="s">
        <v>866</v>
      </c>
      <c r="Y127" s="16" t="s">
        <v>88</v>
      </c>
      <c r="Z127" s="21" t="s">
        <v>72</v>
      </c>
      <c r="AA127" s="21" t="s">
        <v>89</v>
      </c>
      <c r="AB127" s="22" t="n">
        <v>25.0355432</v>
      </c>
      <c r="AC127" s="22" t="n">
        <v>121.0817345</v>
      </c>
    </row>
    <row r="128" customFormat="false" ht="39.55" hidden="false" customHeight="false" outlineLevel="0" collapsed="false">
      <c r="A128" s="28" t="s">
        <v>812</v>
      </c>
      <c r="B128" s="12" t="n">
        <v>16.1</v>
      </c>
      <c r="C128" s="14" t="s">
        <v>867</v>
      </c>
      <c r="D128" s="14" t="s">
        <v>868</v>
      </c>
      <c r="E128" s="15" t="s">
        <v>79</v>
      </c>
      <c r="F128" s="15" t="s">
        <v>529</v>
      </c>
      <c r="G128" s="14" t="s">
        <v>869</v>
      </c>
      <c r="H128" s="16" t="s">
        <v>870</v>
      </c>
      <c r="I128" s="16" t="s">
        <v>871</v>
      </c>
      <c r="J128" s="21" t="s">
        <v>56</v>
      </c>
      <c r="K128" s="17" t="n">
        <v>4.5</v>
      </c>
      <c r="L128" s="18" t="n">
        <v>33</v>
      </c>
      <c r="M128" s="19" t="s">
        <v>41</v>
      </c>
      <c r="N128" s="18" t="n">
        <v>7</v>
      </c>
      <c r="O128" s="20" t="n">
        <v>93.82</v>
      </c>
      <c r="P128" s="20" t="n">
        <v>199.52</v>
      </c>
      <c r="Q128" s="18" t="n">
        <v>10</v>
      </c>
      <c r="R128" s="18" t="n">
        <v>1</v>
      </c>
      <c r="S128" s="18" t="n">
        <v>152</v>
      </c>
      <c r="T128" s="18" t="n">
        <v>92</v>
      </c>
      <c r="U128" s="14" t="s">
        <v>872</v>
      </c>
      <c r="V128" s="16" t="s">
        <v>873</v>
      </c>
      <c r="W128" s="15" t="s">
        <v>874</v>
      </c>
      <c r="X128" s="15" t="s">
        <v>874</v>
      </c>
      <c r="Y128" s="16" t="s">
        <v>88</v>
      </c>
      <c r="Z128" s="21" t="s">
        <v>72</v>
      </c>
      <c r="AA128" s="21" t="s">
        <v>89</v>
      </c>
      <c r="AB128" s="22" t="n">
        <v>25.0635864</v>
      </c>
      <c r="AC128" s="22" t="n">
        <v>121.200497</v>
      </c>
    </row>
    <row r="129" customFormat="false" ht="15" hidden="false" customHeight="false" outlineLevel="0" collapsed="false">
      <c r="A129" s="28" t="s">
        <v>812</v>
      </c>
      <c r="B129" s="12" t="n">
        <v>16.42</v>
      </c>
      <c r="C129" s="14" t="s">
        <v>875</v>
      </c>
      <c r="D129" s="13"/>
      <c r="E129" s="15" t="s">
        <v>79</v>
      </c>
      <c r="F129" s="15" t="s">
        <v>570</v>
      </c>
      <c r="G129" s="14" t="s">
        <v>876</v>
      </c>
      <c r="H129" s="16" t="s">
        <v>877</v>
      </c>
      <c r="I129" s="16"/>
      <c r="J129" s="16"/>
      <c r="K129" s="17"/>
      <c r="L129" s="18"/>
      <c r="M129" s="16"/>
      <c r="N129" s="18"/>
      <c r="O129" s="20"/>
      <c r="P129" s="20"/>
      <c r="Q129" s="18"/>
      <c r="R129" s="18"/>
      <c r="S129" s="18"/>
      <c r="T129" s="18"/>
      <c r="U129" s="13"/>
      <c r="V129" s="16"/>
      <c r="W129" s="16"/>
      <c r="X129" s="16"/>
      <c r="Y129" s="16"/>
      <c r="Z129" s="24"/>
      <c r="AA129" s="21" t="s">
        <v>89</v>
      </c>
      <c r="AB129" s="22" t="n">
        <v>24.996076</v>
      </c>
      <c r="AC129" s="22" t="n">
        <v>121.317883</v>
      </c>
    </row>
    <row r="130" customFormat="false" ht="15" hidden="false" customHeight="false" outlineLevel="0" collapsed="false">
      <c r="A130" s="28" t="s">
        <v>812</v>
      </c>
      <c r="B130" s="12" t="n">
        <v>16.44</v>
      </c>
      <c r="C130" s="14" t="s">
        <v>878</v>
      </c>
      <c r="D130" s="14" t="s">
        <v>879</v>
      </c>
      <c r="E130" s="15" t="s">
        <v>79</v>
      </c>
      <c r="F130" s="15" t="s">
        <v>511</v>
      </c>
      <c r="G130" s="14" t="s">
        <v>880</v>
      </c>
      <c r="H130" s="16" t="s">
        <v>881</v>
      </c>
      <c r="I130" s="16" t="s">
        <v>882</v>
      </c>
      <c r="J130" s="16"/>
      <c r="K130" s="17" t="n">
        <v>4.2</v>
      </c>
      <c r="L130" s="18" t="n">
        <v>6</v>
      </c>
      <c r="M130" s="23" t="s">
        <v>43</v>
      </c>
      <c r="N130" s="18" t="n">
        <v>2</v>
      </c>
      <c r="O130" s="20" t="n">
        <v>73.6</v>
      </c>
      <c r="P130" s="20" t="n">
        <v>172.57</v>
      </c>
      <c r="Q130" s="18" t="n">
        <v>2</v>
      </c>
      <c r="R130" s="18" t="n">
        <v>2</v>
      </c>
      <c r="S130" s="18" t="n">
        <v>60</v>
      </c>
      <c r="T130" s="18" t="n">
        <v>60</v>
      </c>
      <c r="U130" s="14" t="s">
        <v>84</v>
      </c>
      <c r="V130" s="16" t="s">
        <v>883</v>
      </c>
      <c r="W130" s="15" t="s">
        <v>884</v>
      </c>
      <c r="X130" s="15" t="s">
        <v>885</v>
      </c>
      <c r="Y130" s="16" t="s">
        <v>88</v>
      </c>
      <c r="Z130" s="21" t="s">
        <v>72</v>
      </c>
      <c r="AA130" s="21" t="s">
        <v>89</v>
      </c>
      <c r="AB130" s="22" t="n">
        <v>25.038556</v>
      </c>
      <c r="AC130" s="22" t="n">
        <v>121.0803436</v>
      </c>
    </row>
    <row r="131" customFormat="false" ht="15" hidden="false" customHeight="false" outlineLevel="0" collapsed="false">
      <c r="A131" s="28" t="s">
        <v>812</v>
      </c>
      <c r="B131" s="12" t="n">
        <v>16.45</v>
      </c>
      <c r="C131" s="14" t="s">
        <v>886</v>
      </c>
      <c r="D131" s="14" t="s">
        <v>887</v>
      </c>
      <c r="E131" s="15" t="s">
        <v>79</v>
      </c>
      <c r="F131" s="15" t="s">
        <v>570</v>
      </c>
      <c r="G131" s="14" t="s">
        <v>888</v>
      </c>
      <c r="H131" s="16" t="s">
        <v>889</v>
      </c>
      <c r="I131" s="16" t="s">
        <v>890</v>
      </c>
      <c r="J131" s="21" t="s">
        <v>56</v>
      </c>
      <c r="K131" s="17" t="n">
        <v>5</v>
      </c>
      <c r="L131" s="18" t="n">
        <v>10</v>
      </c>
      <c r="M131" s="23" t="s">
        <v>43</v>
      </c>
      <c r="N131" s="18" t="n">
        <v>2</v>
      </c>
      <c r="O131" s="20" t="n">
        <v>30.53</v>
      </c>
      <c r="P131" s="20" t="n">
        <v>108.69</v>
      </c>
      <c r="Q131" s="18" t="n">
        <v>26</v>
      </c>
      <c r="R131" s="18" t="n">
        <v>2</v>
      </c>
      <c r="S131" s="18" t="n">
        <v>468</v>
      </c>
      <c r="T131" s="18" t="n">
        <v>468</v>
      </c>
      <c r="U131" s="14" t="s">
        <v>194</v>
      </c>
      <c r="V131" s="16" t="s">
        <v>891</v>
      </c>
      <c r="W131" s="15" t="s">
        <v>892</v>
      </c>
      <c r="X131" s="15" t="s">
        <v>892</v>
      </c>
      <c r="Y131" s="16" t="s">
        <v>88</v>
      </c>
      <c r="Z131" s="21" t="s">
        <v>72</v>
      </c>
      <c r="AA131" s="21" t="s">
        <v>89</v>
      </c>
      <c r="AB131" s="22" t="n">
        <v>24.9954535</v>
      </c>
      <c r="AC131" s="22" t="n">
        <v>121.3186909</v>
      </c>
    </row>
    <row r="132" customFormat="false" ht="15" hidden="false" customHeight="false" outlineLevel="0" collapsed="false">
      <c r="A132" s="28" t="s">
        <v>812</v>
      </c>
      <c r="B132" s="12" t="n">
        <v>16.51</v>
      </c>
      <c r="C132" s="14" t="s">
        <v>893</v>
      </c>
      <c r="D132" s="14" t="s">
        <v>894</v>
      </c>
      <c r="E132" s="15" t="s">
        <v>79</v>
      </c>
      <c r="F132" s="15" t="s">
        <v>570</v>
      </c>
      <c r="G132" s="14" t="s">
        <v>895</v>
      </c>
      <c r="H132" s="16" t="s">
        <v>896</v>
      </c>
      <c r="I132" s="16" t="s">
        <v>897</v>
      </c>
      <c r="J132" s="16"/>
      <c r="K132" s="17" t="n">
        <v>5</v>
      </c>
      <c r="L132" s="18" t="n">
        <v>31</v>
      </c>
      <c r="M132" s="19" t="s">
        <v>41</v>
      </c>
      <c r="N132" s="18" t="n">
        <v>5</v>
      </c>
      <c r="O132" s="20" t="n">
        <v>109.78</v>
      </c>
      <c r="P132" s="20" t="n">
        <v>194.56</v>
      </c>
      <c r="Q132" s="18" t="n">
        <v>10</v>
      </c>
      <c r="R132" s="18" t="n">
        <v>2</v>
      </c>
      <c r="S132" s="18" t="n">
        <v>215</v>
      </c>
      <c r="T132" s="18" t="n">
        <v>168</v>
      </c>
      <c r="U132" s="14" t="s">
        <v>118</v>
      </c>
      <c r="V132" s="16" t="s">
        <v>898</v>
      </c>
      <c r="W132" s="15" t="s">
        <v>899</v>
      </c>
      <c r="X132" s="15" t="s">
        <v>900</v>
      </c>
      <c r="Y132" s="16" t="s">
        <v>88</v>
      </c>
      <c r="Z132" s="21" t="s">
        <v>72</v>
      </c>
      <c r="AA132" s="21" t="s">
        <v>89</v>
      </c>
      <c r="AB132" s="22" t="n">
        <v>24.9967983</v>
      </c>
      <c r="AC132" s="22" t="n">
        <v>121.3184547</v>
      </c>
    </row>
    <row r="133" customFormat="false" ht="26.85" hidden="false" customHeight="false" outlineLevel="0" collapsed="false">
      <c r="A133" s="28" t="s">
        <v>812</v>
      </c>
      <c r="B133" s="12" t="n">
        <v>16.9</v>
      </c>
      <c r="C133" s="14" t="s">
        <v>901</v>
      </c>
      <c r="D133" s="14" t="s">
        <v>902</v>
      </c>
      <c r="E133" s="15" t="s">
        <v>850</v>
      </c>
      <c r="F133" s="15" t="s">
        <v>851</v>
      </c>
      <c r="G133" s="14" t="s">
        <v>903</v>
      </c>
      <c r="H133" s="16" t="s">
        <v>904</v>
      </c>
      <c r="I133" s="16" t="s">
        <v>905</v>
      </c>
      <c r="J133" s="16"/>
      <c r="K133" s="17" t="n">
        <v>4.2</v>
      </c>
      <c r="L133" s="18" t="n">
        <v>14</v>
      </c>
      <c r="M133" s="19" t="s">
        <v>41</v>
      </c>
      <c r="N133" s="18" t="n">
        <v>4</v>
      </c>
      <c r="O133" s="20" t="n">
        <v>59.32</v>
      </c>
      <c r="P133" s="20" t="n">
        <v>203.01</v>
      </c>
      <c r="Q133" s="18" t="n">
        <v>6</v>
      </c>
      <c r="R133" s="18" t="n">
        <v>1</v>
      </c>
      <c r="S133" s="18" t="n">
        <v>73</v>
      </c>
      <c r="T133" s="18" t="n">
        <v>48</v>
      </c>
      <c r="U133" s="14" t="s">
        <v>906</v>
      </c>
      <c r="V133" s="16" t="s">
        <v>907</v>
      </c>
      <c r="W133" s="15" t="s">
        <v>908</v>
      </c>
      <c r="X133" s="15" t="s">
        <v>909</v>
      </c>
      <c r="Y133" s="16" t="s">
        <v>109</v>
      </c>
      <c r="Z133" s="21" t="s">
        <v>72</v>
      </c>
      <c r="AA133" s="21" t="s">
        <v>89</v>
      </c>
      <c r="AB133" s="22" t="n">
        <v>24.956103</v>
      </c>
      <c r="AC133" s="22" t="n">
        <v>121.3410124</v>
      </c>
    </row>
    <row r="134" customFormat="false" ht="15" hidden="false" customHeight="false" outlineLevel="0" collapsed="false">
      <c r="A134" s="28" t="s">
        <v>812</v>
      </c>
      <c r="B134" s="12" t="n">
        <v>16.91</v>
      </c>
      <c r="C134" s="14" t="s">
        <v>910</v>
      </c>
      <c r="D134" s="13"/>
      <c r="E134" s="15" t="s">
        <v>79</v>
      </c>
      <c r="F134" s="15" t="s">
        <v>570</v>
      </c>
      <c r="G134" s="14" t="s">
        <v>911</v>
      </c>
      <c r="H134" s="16" t="s">
        <v>912</v>
      </c>
      <c r="I134" s="16"/>
      <c r="J134" s="16"/>
      <c r="K134" s="17"/>
      <c r="L134" s="18"/>
      <c r="M134" s="16"/>
      <c r="N134" s="18"/>
      <c r="O134" s="20"/>
      <c r="P134" s="20"/>
      <c r="Q134" s="18"/>
      <c r="R134" s="18"/>
      <c r="S134" s="18"/>
      <c r="T134" s="18"/>
      <c r="U134" s="13"/>
      <c r="V134" s="16"/>
      <c r="W134" s="16"/>
      <c r="X134" s="16"/>
      <c r="Y134" s="16"/>
      <c r="Z134" s="24"/>
      <c r="AA134" s="21" t="s">
        <v>89</v>
      </c>
      <c r="AB134" s="22" t="n">
        <v>25.0257529</v>
      </c>
      <c r="AC134" s="22" t="n">
        <v>121.299017</v>
      </c>
    </row>
    <row r="135" customFormat="false" ht="52.2" hidden="false" customHeight="false" outlineLevel="0" collapsed="false">
      <c r="A135" s="28" t="s">
        <v>812</v>
      </c>
      <c r="B135" s="12" t="n">
        <v>16.93</v>
      </c>
      <c r="C135" s="14" t="s">
        <v>913</v>
      </c>
      <c r="D135" s="14" t="s">
        <v>914</v>
      </c>
      <c r="E135" s="15" t="s">
        <v>79</v>
      </c>
      <c r="F135" s="15" t="s">
        <v>570</v>
      </c>
      <c r="G135" s="14" t="s">
        <v>915</v>
      </c>
      <c r="H135" s="16" t="s">
        <v>916</v>
      </c>
      <c r="I135" s="16" t="s">
        <v>917</v>
      </c>
      <c r="J135" s="21" t="s">
        <v>56</v>
      </c>
      <c r="K135" s="17" t="n">
        <v>5</v>
      </c>
      <c r="L135" s="18" t="n">
        <v>104</v>
      </c>
      <c r="M135" s="19" t="s">
        <v>41</v>
      </c>
      <c r="N135" s="18" t="n">
        <v>5</v>
      </c>
      <c r="O135" s="20" t="n">
        <v>82.78</v>
      </c>
      <c r="P135" s="20" t="n">
        <v>231.44</v>
      </c>
      <c r="Q135" s="18" t="n">
        <v>23</v>
      </c>
      <c r="R135" s="18" t="n">
        <v>7</v>
      </c>
      <c r="S135" s="18" t="n">
        <v>415</v>
      </c>
      <c r="T135" s="18" t="n">
        <v>182</v>
      </c>
      <c r="U135" s="14" t="s">
        <v>352</v>
      </c>
      <c r="V135" s="16" t="s">
        <v>918</v>
      </c>
      <c r="W135" s="15" t="s">
        <v>919</v>
      </c>
      <c r="X135" s="15" t="s">
        <v>919</v>
      </c>
      <c r="Y135" s="16" t="s">
        <v>88</v>
      </c>
      <c r="Z135" s="21" t="s">
        <v>72</v>
      </c>
      <c r="AA135" s="21" t="s">
        <v>89</v>
      </c>
      <c r="AB135" s="22" t="n">
        <v>25.0251486</v>
      </c>
      <c r="AC135" s="22" t="n">
        <v>121.2998856</v>
      </c>
    </row>
    <row r="136" customFormat="false" ht="15" hidden="false" customHeight="false" outlineLevel="0" collapsed="false">
      <c r="A136" s="28" t="s">
        <v>812</v>
      </c>
      <c r="B136" s="12" t="n">
        <v>17.06</v>
      </c>
      <c r="C136" s="14" t="s">
        <v>920</v>
      </c>
      <c r="D136" s="14" t="s">
        <v>921</v>
      </c>
      <c r="E136" s="15" t="s">
        <v>850</v>
      </c>
      <c r="F136" s="15" t="s">
        <v>851</v>
      </c>
      <c r="G136" s="14" t="s">
        <v>922</v>
      </c>
      <c r="H136" s="16"/>
      <c r="I136" s="16" t="s">
        <v>923</v>
      </c>
      <c r="J136" s="16"/>
      <c r="K136" s="17"/>
      <c r="L136" s="18"/>
      <c r="M136" s="23" t="s">
        <v>43</v>
      </c>
      <c r="N136" s="18" t="n">
        <v>3</v>
      </c>
      <c r="O136" s="20" t="n">
        <v>47.08</v>
      </c>
      <c r="P136" s="20" t="n">
        <v>79.46</v>
      </c>
      <c r="Q136" s="18" t="n">
        <v>3</v>
      </c>
      <c r="R136" s="18" t="n">
        <v>5</v>
      </c>
      <c r="S136" s="18" t="n">
        <v>48</v>
      </c>
      <c r="T136" s="18" t="n">
        <v>48</v>
      </c>
      <c r="U136" s="14" t="s">
        <v>84</v>
      </c>
      <c r="V136" s="16" t="s">
        <v>924</v>
      </c>
      <c r="W136" s="15" t="s">
        <v>925</v>
      </c>
      <c r="X136" s="15" t="s">
        <v>926</v>
      </c>
      <c r="Y136" s="16" t="s">
        <v>88</v>
      </c>
      <c r="Z136" s="21" t="s">
        <v>72</v>
      </c>
      <c r="AA136" s="21" t="s">
        <v>89</v>
      </c>
      <c r="AB136" s="22" t="n">
        <v>24.9546111</v>
      </c>
      <c r="AC136" s="22" t="n">
        <v>121.3430724</v>
      </c>
    </row>
    <row r="137" customFormat="false" ht="15" hidden="false" customHeight="false" outlineLevel="0" collapsed="false">
      <c r="A137" s="28" t="s">
        <v>812</v>
      </c>
      <c r="B137" s="12" t="n">
        <v>17.4</v>
      </c>
      <c r="C137" s="14" t="s">
        <v>927</v>
      </c>
      <c r="D137" s="14" t="s">
        <v>928</v>
      </c>
      <c r="E137" s="15" t="s">
        <v>79</v>
      </c>
      <c r="F137" s="15" t="s">
        <v>607</v>
      </c>
      <c r="G137" s="14" t="s">
        <v>929</v>
      </c>
      <c r="H137" s="16" t="s">
        <v>930</v>
      </c>
      <c r="I137" s="16" t="s">
        <v>931</v>
      </c>
      <c r="J137" s="21" t="s">
        <v>56</v>
      </c>
      <c r="K137" s="17" t="n">
        <v>5</v>
      </c>
      <c r="L137" s="18" t="n">
        <v>5</v>
      </c>
      <c r="M137" s="23" t="s">
        <v>43</v>
      </c>
      <c r="N137" s="18" t="n">
        <v>4</v>
      </c>
      <c r="O137" s="20" t="n">
        <v>67.14</v>
      </c>
      <c r="P137" s="20" t="n">
        <v>99.17</v>
      </c>
      <c r="Q137" s="18" t="n">
        <v>4</v>
      </c>
      <c r="R137" s="18" t="n">
        <v>9</v>
      </c>
      <c r="S137" s="18" t="n">
        <v>52</v>
      </c>
      <c r="T137" s="18" t="n">
        <v>52</v>
      </c>
      <c r="U137" s="14" t="s">
        <v>84</v>
      </c>
      <c r="V137" s="16" t="s">
        <v>932</v>
      </c>
      <c r="W137" s="15" t="s">
        <v>933</v>
      </c>
      <c r="X137" s="15" t="s">
        <v>934</v>
      </c>
      <c r="Y137" s="16" t="s">
        <v>88</v>
      </c>
      <c r="Z137" s="21" t="s">
        <v>72</v>
      </c>
      <c r="AA137" s="21" t="s">
        <v>89</v>
      </c>
      <c r="AB137" s="22" t="n">
        <v>25.038801</v>
      </c>
      <c r="AC137" s="22" t="n">
        <v>121.290785</v>
      </c>
    </row>
    <row r="138" customFormat="false" ht="15" hidden="false" customHeight="false" outlineLevel="0" collapsed="false">
      <c r="A138" s="28" t="s">
        <v>812</v>
      </c>
      <c r="B138" s="12" t="n">
        <v>17.43</v>
      </c>
      <c r="C138" s="13" t="s">
        <v>935</v>
      </c>
      <c r="D138" s="14" t="s">
        <v>936</v>
      </c>
      <c r="E138" s="15" t="s">
        <v>850</v>
      </c>
      <c r="F138" s="15" t="s">
        <v>851</v>
      </c>
      <c r="G138" s="14" t="s">
        <v>937</v>
      </c>
      <c r="H138" s="16"/>
      <c r="I138" s="16"/>
      <c r="J138" s="16"/>
      <c r="K138" s="17" t="n">
        <v>5</v>
      </c>
      <c r="L138" s="18" t="n">
        <v>8</v>
      </c>
      <c r="M138" s="23" t="s">
        <v>43</v>
      </c>
      <c r="N138" s="18" t="n">
        <v>3</v>
      </c>
      <c r="O138" s="20" t="n">
        <v>68.82</v>
      </c>
      <c r="P138" s="20" t="n">
        <v>122.12</v>
      </c>
      <c r="Q138" s="18" t="n">
        <v>8</v>
      </c>
      <c r="R138" s="18" t="n">
        <v>1</v>
      </c>
      <c r="S138" s="18" t="n">
        <v>160</v>
      </c>
      <c r="T138" s="18" t="n">
        <v>100</v>
      </c>
      <c r="U138" s="14" t="s">
        <v>194</v>
      </c>
      <c r="V138" s="16" t="s">
        <v>938</v>
      </c>
      <c r="W138" s="15" t="s">
        <v>939</v>
      </c>
      <c r="X138" s="15" t="s">
        <v>939</v>
      </c>
      <c r="Y138" s="16" t="s">
        <v>88</v>
      </c>
      <c r="Z138" s="21" t="s">
        <v>72</v>
      </c>
      <c r="AA138" s="21" t="s">
        <v>89</v>
      </c>
      <c r="AB138" s="22" t="n">
        <v>24.9538126</v>
      </c>
      <c r="AC138" s="22" t="n">
        <v>121.3470001</v>
      </c>
    </row>
    <row r="139" customFormat="false" ht="26.85" hidden="false" customHeight="false" outlineLevel="0" collapsed="false">
      <c r="A139" s="28" t="s">
        <v>812</v>
      </c>
      <c r="B139" s="12" t="n">
        <v>17.45</v>
      </c>
      <c r="C139" s="14" t="s">
        <v>940</v>
      </c>
      <c r="D139" s="14" t="s">
        <v>941</v>
      </c>
      <c r="E139" s="15" t="s">
        <v>850</v>
      </c>
      <c r="F139" s="15" t="s">
        <v>851</v>
      </c>
      <c r="G139" s="14" t="s">
        <v>942</v>
      </c>
      <c r="H139" s="16" t="s">
        <v>943</v>
      </c>
      <c r="I139" s="16"/>
      <c r="J139" s="21" t="s">
        <v>56</v>
      </c>
      <c r="K139" s="17" t="n">
        <v>4.5</v>
      </c>
      <c r="L139" s="18" t="n">
        <v>34</v>
      </c>
      <c r="M139" s="25" t="s">
        <v>39</v>
      </c>
      <c r="N139" s="18" t="n">
        <v>6</v>
      </c>
      <c r="O139" s="20" t="n">
        <v>237.85</v>
      </c>
      <c r="P139" s="20" t="n">
        <v>590.55</v>
      </c>
      <c r="Q139" s="18" t="n">
        <v>6</v>
      </c>
      <c r="R139" s="18" t="n">
        <v>15</v>
      </c>
      <c r="S139" s="18" t="n">
        <v>160</v>
      </c>
      <c r="T139" s="18" t="n">
        <v>160</v>
      </c>
      <c r="U139" s="14" t="s">
        <v>944</v>
      </c>
      <c r="V139" s="16" t="s">
        <v>945</v>
      </c>
      <c r="W139" s="15" t="s">
        <v>946</v>
      </c>
      <c r="X139" s="15" t="s">
        <v>946</v>
      </c>
      <c r="Y139" s="16" t="s">
        <v>88</v>
      </c>
      <c r="Z139" s="21" t="s">
        <v>72</v>
      </c>
      <c r="AA139" s="21" t="s">
        <v>89</v>
      </c>
      <c r="AB139" s="22" t="n">
        <v>24.9550567</v>
      </c>
      <c r="AC139" s="22" t="n">
        <v>121.3469488</v>
      </c>
    </row>
    <row r="140" customFormat="false" ht="39.55" hidden="false" customHeight="false" outlineLevel="0" collapsed="false">
      <c r="A140" s="28" t="s">
        <v>812</v>
      </c>
      <c r="B140" s="12" t="n">
        <v>17.46</v>
      </c>
      <c r="C140" s="14" t="s">
        <v>947</v>
      </c>
      <c r="D140" s="14" t="s">
        <v>948</v>
      </c>
      <c r="E140" s="15" t="s">
        <v>850</v>
      </c>
      <c r="F140" s="15" t="s">
        <v>851</v>
      </c>
      <c r="G140" s="14" t="s">
        <v>949</v>
      </c>
      <c r="H140" s="16" t="s">
        <v>950</v>
      </c>
      <c r="I140" s="16" t="s">
        <v>951</v>
      </c>
      <c r="J140" s="21" t="s">
        <v>56</v>
      </c>
      <c r="K140" s="17" t="n">
        <v>5</v>
      </c>
      <c r="L140" s="18" t="n">
        <v>122</v>
      </c>
      <c r="M140" s="23" t="s">
        <v>43</v>
      </c>
      <c r="N140" s="18" t="n">
        <v>3</v>
      </c>
      <c r="O140" s="20" t="n">
        <v>42.79</v>
      </c>
      <c r="P140" s="20" t="n">
        <v>158.42</v>
      </c>
      <c r="Q140" s="18" t="n">
        <v>20</v>
      </c>
      <c r="R140" s="18" t="n">
        <v>10</v>
      </c>
      <c r="S140" s="18" t="n">
        <v>266</v>
      </c>
      <c r="T140" s="18" t="n">
        <v>128</v>
      </c>
      <c r="U140" s="14" t="s">
        <v>952</v>
      </c>
      <c r="V140" s="16" t="s">
        <v>953</v>
      </c>
      <c r="W140" s="15" t="s">
        <v>954</v>
      </c>
      <c r="X140" s="15" t="s">
        <v>955</v>
      </c>
      <c r="Y140" s="16" t="s">
        <v>88</v>
      </c>
      <c r="Z140" s="21" t="s">
        <v>72</v>
      </c>
      <c r="AA140" s="21" t="s">
        <v>89</v>
      </c>
      <c r="AB140" s="22" t="n">
        <v>24.955105</v>
      </c>
      <c r="AC140" s="22" t="n">
        <v>121.3470209</v>
      </c>
    </row>
    <row r="141" customFormat="false" ht="15" hidden="false" customHeight="false" outlineLevel="0" collapsed="false">
      <c r="A141" s="28" t="s">
        <v>812</v>
      </c>
      <c r="B141" s="12" t="n">
        <v>17.47</v>
      </c>
      <c r="C141" s="14" t="s">
        <v>956</v>
      </c>
      <c r="D141" s="13"/>
      <c r="E141" s="15" t="s">
        <v>850</v>
      </c>
      <c r="F141" s="15" t="s">
        <v>851</v>
      </c>
      <c r="G141" s="14" t="s">
        <v>957</v>
      </c>
      <c r="H141" s="16" t="s">
        <v>958</v>
      </c>
      <c r="I141" s="16"/>
      <c r="J141" s="16"/>
      <c r="K141" s="17"/>
      <c r="L141" s="18"/>
      <c r="M141" s="16"/>
      <c r="N141" s="18"/>
      <c r="O141" s="20"/>
      <c r="P141" s="20"/>
      <c r="Q141" s="18"/>
      <c r="R141" s="18"/>
      <c r="S141" s="18"/>
      <c r="T141" s="18"/>
      <c r="U141" s="13"/>
      <c r="V141" s="16"/>
      <c r="W141" s="16"/>
      <c r="X141" s="16"/>
      <c r="Y141" s="16"/>
      <c r="Z141" s="24"/>
      <c r="AA141" s="21" t="s">
        <v>89</v>
      </c>
      <c r="AB141" s="22" t="n">
        <v>24.954727</v>
      </c>
      <c r="AC141" s="22" t="n">
        <v>121.347181</v>
      </c>
    </row>
    <row r="142" customFormat="false" ht="26.85" hidden="false" customHeight="false" outlineLevel="0" collapsed="false">
      <c r="A142" s="28" t="s">
        <v>812</v>
      </c>
      <c r="B142" s="12" t="n">
        <v>17.56</v>
      </c>
      <c r="C142" s="14" t="s">
        <v>959</v>
      </c>
      <c r="D142" s="13"/>
      <c r="E142" s="15" t="s">
        <v>79</v>
      </c>
      <c r="F142" s="15" t="s">
        <v>607</v>
      </c>
      <c r="G142" s="14" t="s">
        <v>960</v>
      </c>
      <c r="H142" s="16" t="s">
        <v>961</v>
      </c>
      <c r="I142" s="16"/>
      <c r="J142" s="21" t="s">
        <v>56</v>
      </c>
      <c r="K142" s="17" t="n">
        <v>3.7</v>
      </c>
      <c r="L142" s="18" t="n">
        <v>3</v>
      </c>
      <c r="M142" s="16"/>
      <c r="N142" s="18"/>
      <c r="O142" s="20"/>
      <c r="P142" s="20"/>
      <c r="Q142" s="18"/>
      <c r="R142" s="18"/>
      <c r="S142" s="18"/>
      <c r="T142" s="18"/>
      <c r="U142" s="13"/>
      <c r="V142" s="16"/>
      <c r="W142" s="16"/>
      <c r="X142" s="16"/>
      <c r="Y142" s="16"/>
      <c r="Z142" s="24"/>
      <c r="AA142" s="21" t="s">
        <v>89</v>
      </c>
      <c r="AB142" s="22" t="n">
        <v>25.0398001</v>
      </c>
      <c r="AC142" s="22" t="n">
        <v>121.2919408</v>
      </c>
    </row>
    <row r="143" customFormat="false" ht="15" hidden="false" customHeight="false" outlineLevel="0" collapsed="false">
      <c r="A143" s="28" t="s">
        <v>812</v>
      </c>
      <c r="B143" s="12" t="n">
        <v>17.64</v>
      </c>
      <c r="C143" s="14" t="s">
        <v>962</v>
      </c>
      <c r="D143" s="14" t="s">
        <v>963</v>
      </c>
      <c r="E143" s="15" t="s">
        <v>850</v>
      </c>
      <c r="F143" s="15" t="s">
        <v>851</v>
      </c>
      <c r="G143" s="14" t="s">
        <v>964</v>
      </c>
      <c r="H143" s="16" t="s">
        <v>965</v>
      </c>
      <c r="I143" s="16"/>
      <c r="J143" s="21" t="s">
        <v>56</v>
      </c>
      <c r="K143" s="17" t="n">
        <v>5</v>
      </c>
      <c r="L143" s="18" t="n">
        <v>18</v>
      </c>
      <c r="M143" s="25" t="s">
        <v>39</v>
      </c>
      <c r="N143" s="18" t="n">
        <v>8</v>
      </c>
      <c r="O143" s="20" t="n">
        <v>245.62</v>
      </c>
      <c r="P143" s="20" t="n">
        <v>456.52</v>
      </c>
      <c r="Q143" s="18"/>
      <c r="R143" s="18" t="n">
        <v>4</v>
      </c>
      <c r="S143" s="18"/>
      <c r="T143" s="18"/>
      <c r="U143" s="14" t="s">
        <v>194</v>
      </c>
      <c r="V143" s="16" t="s">
        <v>966</v>
      </c>
      <c r="W143" s="15" t="s">
        <v>967</v>
      </c>
      <c r="X143" s="15" t="s">
        <v>967</v>
      </c>
      <c r="Y143" s="16" t="s">
        <v>88</v>
      </c>
      <c r="Z143" s="21" t="s">
        <v>72</v>
      </c>
      <c r="AA143" s="21" t="s">
        <v>89</v>
      </c>
      <c r="AB143" s="22" t="n">
        <v>24.9537584</v>
      </c>
      <c r="AC143" s="22" t="n">
        <v>121.3491549</v>
      </c>
    </row>
    <row r="144" customFormat="false" ht="15" hidden="false" customHeight="false" outlineLevel="0" collapsed="false">
      <c r="A144" s="28" t="s">
        <v>812</v>
      </c>
      <c r="B144" s="12" t="n">
        <v>17.65</v>
      </c>
      <c r="C144" s="14" t="s">
        <v>968</v>
      </c>
      <c r="D144" s="14" t="s">
        <v>969</v>
      </c>
      <c r="E144" s="15" t="s">
        <v>850</v>
      </c>
      <c r="F144" s="15" t="s">
        <v>851</v>
      </c>
      <c r="G144" s="14" t="s">
        <v>970</v>
      </c>
      <c r="H144" s="16" t="s">
        <v>971</v>
      </c>
      <c r="I144" s="16" t="s">
        <v>972</v>
      </c>
      <c r="J144" s="21" t="s">
        <v>56</v>
      </c>
      <c r="K144" s="17" t="n">
        <v>4.9</v>
      </c>
      <c r="L144" s="18" t="n">
        <v>44</v>
      </c>
      <c r="M144" s="19" t="s">
        <v>41</v>
      </c>
      <c r="N144" s="18" t="n">
        <v>6</v>
      </c>
      <c r="O144" s="20" t="n">
        <v>122.73</v>
      </c>
      <c r="P144" s="20" t="n">
        <v>275.39</v>
      </c>
      <c r="Q144" s="18" t="n">
        <v>3</v>
      </c>
      <c r="R144" s="18" t="n">
        <v>6</v>
      </c>
      <c r="S144" s="18" t="n">
        <v>84</v>
      </c>
      <c r="T144" s="18" t="n">
        <v>84</v>
      </c>
      <c r="U144" s="14" t="s">
        <v>84</v>
      </c>
      <c r="V144" s="16" t="s">
        <v>973</v>
      </c>
      <c r="W144" s="15" t="s">
        <v>974</v>
      </c>
      <c r="X144" s="15" t="s">
        <v>975</v>
      </c>
      <c r="Y144" s="16" t="s">
        <v>88</v>
      </c>
      <c r="Z144" s="21" t="s">
        <v>72</v>
      </c>
      <c r="AA144" s="21" t="s">
        <v>89</v>
      </c>
      <c r="AB144" s="22" t="n">
        <v>24.9549466</v>
      </c>
      <c r="AC144" s="22" t="n">
        <v>121.3489229</v>
      </c>
    </row>
    <row r="145" customFormat="false" ht="15" hidden="false" customHeight="false" outlineLevel="0" collapsed="false">
      <c r="A145" s="28" t="s">
        <v>812</v>
      </c>
      <c r="B145" s="12" t="n">
        <v>18.55</v>
      </c>
      <c r="C145" s="14" t="s">
        <v>976</v>
      </c>
      <c r="D145" s="14" t="s">
        <v>977</v>
      </c>
      <c r="E145" s="15" t="s">
        <v>686</v>
      </c>
      <c r="F145" s="15" t="s">
        <v>978</v>
      </c>
      <c r="G145" s="14" t="s">
        <v>979</v>
      </c>
      <c r="H145" s="16" t="s">
        <v>980</v>
      </c>
      <c r="I145" s="16" t="s">
        <v>981</v>
      </c>
      <c r="J145" s="21" t="s">
        <v>56</v>
      </c>
      <c r="K145" s="17" t="n">
        <v>4.6</v>
      </c>
      <c r="L145" s="18" t="n">
        <v>59</v>
      </c>
      <c r="M145" s="19" t="s">
        <v>41</v>
      </c>
      <c r="N145" s="18" t="n">
        <v>7</v>
      </c>
      <c r="O145" s="20" t="n">
        <v>127.47</v>
      </c>
      <c r="P145" s="20" t="n">
        <v>195.5</v>
      </c>
      <c r="Q145" s="18" t="n">
        <v>20</v>
      </c>
      <c r="R145" s="18" t="n">
        <v>10</v>
      </c>
      <c r="S145" s="18" t="n">
        <v>440</v>
      </c>
      <c r="T145" s="18" t="n">
        <v>88</v>
      </c>
      <c r="U145" s="14" t="s">
        <v>194</v>
      </c>
      <c r="V145" s="16" t="s">
        <v>982</v>
      </c>
      <c r="W145" s="15" t="s">
        <v>983</v>
      </c>
      <c r="X145" s="15" t="s">
        <v>984</v>
      </c>
      <c r="Y145" s="16" t="s">
        <v>88</v>
      </c>
      <c r="Z145" s="21" t="s">
        <v>72</v>
      </c>
      <c r="AA145" s="21" t="s">
        <v>89</v>
      </c>
      <c r="AB145" s="22" t="n">
        <v>24.835987</v>
      </c>
      <c r="AC145" s="22" t="n">
        <v>121.0194854</v>
      </c>
    </row>
    <row r="146" customFormat="false" ht="15" hidden="false" customHeight="false" outlineLevel="0" collapsed="false">
      <c r="A146" s="28" t="s">
        <v>812</v>
      </c>
      <c r="B146" s="12" t="n">
        <v>18.61</v>
      </c>
      <c r="C146" s="14" t="s">
        <v>985</v>
      </c>
      <c r="D146" s="14" t="s">
        <v>986</v>
      </c>
      <c r="E146" s="15" t="s">
        <v>686</v>
      </c>
      <c r="F146" s="15" t="s">
        <v>987</v>
      </c>
      <c r="G146" s="14" t="s">
        <v>988</v>
      </c>
      <c r="H146" s="16" t="s">
        <v>989</v>
      </c>
      <c r="I146" s="16" t="s">
        <v>990</v>
      </c>
      <c r="J146" s="21" t="s">
        <v>56</v>
      </c>
      <c r="K146" s="17" t="n">
        <v>3.7</v>
      </c>
      <c r="L146" s="18" t="n">
        <v>29</v>
      </c>
      <c r="M146" s="25" t="s">
        <v>39</v>
      </c>
      <c r="N146" s="18" t="n">
        <v>19</v>
      </c>
      <c r="O146" s="20" t="n">
        <v>618.36</v>
      </c>
      <c r="P146" s="20" t="n">
        <v>982.14</v>
      </c>
      <c r="Q146" s="18" t="n">
        <v>42</v>
      </c>
      <c r="R146" s="18" t="n">
        <v>18</v>
      </c>
      <c r="S146" s="18" t="n">
        <v>1294</v>
      </c>
      <c r="T146" s="18" t="n">
        <v>324</v>
      </c>
      <c r="U146" s="14" t="s">
        <v>194</v>
      </c>
      <c r="V146" s="16" t="s">
        <v>991</v>
      </c>
      <c r="W146" s="15" t="s">
        <v>992</v>
      </c>
      <c r="X146" s="15" t="s">
        <v>993</v>
      </c>
      <c r="Y146" s="16" t="s">
        <v>88</v>
      </c>
      <c r="Z146" s="21" t="s">
        <v>72</v>
      </c>
      <c r="AA146" s="21" t="s">
        <v>89</v>
      </c>
      <c r="AB146" s="22" t="n">
        <v>24.879009</v>
      </c>
      <c r="AC146" s="22" t="n">
        <v>120.999306</v>
      </c>
    </row>
    <row r="147" customFormat="false" ht="26.85" hidden="false" customHeight="false" outlineLevel="0" collapsed="false">
      <c r="A147" s="28" t="s">
        <v>812</v>
      </c>
      <c r="B147" s="12" t="n">
        <v>18.78</v>
      </c>
      <c r="C147" s="14" t="s">
        <v>994</v>
      </c>
      <c r="D147" s="14" t="s">
        <v>995</v>
      </c>
      <c r="E147" s="15" t="s">
        <v>79</v>
      </c>
      <c r="F147" s="15" t="s">
        <v>996</v>
      </c>
      <c r="G147" s="14" t="s">
        <v>997</v>
      </c>
      <c r="H147" s="16" t="s">
        <v>998</v>
      </c>
      <c r="I147" s="16" t="s">
        <v>999</v>
      </c>
      <c r="J147" s="16"/>
      <c r="K147" s="17" t="n">
        <v>5</v>
      </c>
      <c r="L147" s="18" t="n">
        <v>3</v>
      </c>
      <c r="M147" s="23" t="s">
        <v>43</v>
      </c>
      <c r="N147" s="18" t="n">
        <v>3</v>
      </c>
      <c r="O147" s="20" t="n">
        <v>53.67</v>
      </c>
      <c r="P147" s="20" t="n">
        <v>157.44</v>
      </c>
      <c r="Q147" s="18" t="n">
        <v>3</v>
      </c>
      <c r="R147" s="18" t="n">
        <v>2</v>
      </c>
      <c r="S147" s="18" t="n">
        <v>46</v>
      </c>
      <c r="T147" s="18" t="n">
        <v>32</v>
      </c>
      <c r="U147" s="14" t="s">
        <v>94</v>
      </c>
      <c r="V147" s="16" t="s">
        <v>1000</v>
      </c>
      <c r="W147" s="15" t="s">
        <v>1001</v>
      </c>
      <c r="X147" s="15" t="s">
        <v>1002</v>
      </c>
      <c r="Y147" s="16" t="s">
        <v>88</v>
      </c>
      <c r="Z147" s="21" t="s">
        <v>72</v>
      </c>
      <c r="AA147" s="21" t="s">
        <v>89</v>
      </c>
      <c r="AB147" s="22" t="n">
        <v>24.9965584</v>
      </c>
      <c r="AC147" s="22" t="n">
        <v>121.344304</v>
      </c>
    </row>
    <row r="148" customFormat="false" ht="26.85" hidden="false" customHeight="false" outlineLevel="0" collapsed="false">
      <c r="A148" s="28" t="s">
        <v>812</v>
      </c>
      <c r="B148" s="12" t="n">
        <v>18.86</v>
      </c>
      <c r="C148" s="14" t="s">
        <v>1003</v>
      </c>
      <c r="D148" s="14" t="s">
        <v>1004</v>
      </c>
      <c r="E148" s="15" t="s">
        <v>686</v>
      </c>
      <c r="F148" s="15" t="s">
        <v>978</v>
      </c>
      <c r="G148" s="14" t="s">
        <v>1005</v>
      </c>
      <c r="H148" s="16" t="s">
        <v>1006</v>
      </c>
      <c r="I148" s="16" t="s">
        <v>1007</v>
      </c>
      <c r="J148" s="21" t="s">
        <v>56</v>
      </c>
      <c r="K148" s="17"/>
      <c r="L148" s="18"/>
      <c r="M148" s="19" t="s">
        <v>41</v>
      </c>
      <c r="N148" s="18" t="n">
        <v>4</v>
      </c>
      <c r="O148" s="20" t="n">
        <v>255.9</v>
      </c>
      <c r="P148" s="20" t="n">
        <v>338.14</v>
      </c>
      <c r="Q148" s="18" t="n">
        <v>63</v>
      </c>
      <c r="R148" s="18" t="n">
        <v>7</v>
      </c>
      <c r="S148" s="18" t="n">
        <v>1773</v>
      </c>
      <c r="T148" s="18" t="n">
        <v>545</v>
      </c>
      <c r="U148" s="14" t="s">
        <v>194</v>
      </c>
      <c r="V148" s="16" t="s">
        <v>1008</v>
      </c>
      <c r="W148" s="15" t="s">
        <v>1009</v>
      </c>
      <c r="X148" s="15" t="s">
        <v>1010</v>
      </c>
      <c r="Y148" s="16" t="s">
        <v>88</v>
      </c>
      <c r="Z148" s="21" t="s">
        <v>72</v>
      </c>
      <c r="AA148" s="21" t="s">
        <v>89</v>
      </c>
      <c r="AB148" s="22" t="n">
        <v>24.8032379</v>
      </c>
      <c r="AC148" s="22" t="n">
        <v>121.0427837</v>
      </c>
    </row>
    <row r="149" customFormat="false" ht="15" hidden="false" customHeight="false" outlineLevel="0" collapsed="false">
      <c r="A149" s="28" t="s">
        <v>812</v>
      </c>
      <c r="B149" s="12" t="n">
        <v>18.92</v>
      </c>
      <c r="C149" s="14" t="s">
        <v>1011</v>
      </c>
      <c r="D149" s="14" t="s">
        <v>1012</v>
      </c>
      <c r="E149" s="15" t="s">
        <v>686</v>
      </c>
      <c r="F149" s="15" t="s">
        <v>1013</v>
      </c>
      <c r="G149" s="14" t="s">
        <v>1014</v>
      </c>
      <c r="H149" s="16" t="s">
        <v>1015</v>
      </c>
      <c r="I149" s="16" t="s">
        <v>1016</v>
      </c>
      <c r="J149" s="21" t="s">
        <v>56</v>
      </c>
      <c r="K149" s="17" t="n">
        <v>4.9</v>
      </c>
      <c r="L149" s="18" t="n">
        <v>9</v>
      </c>
      <c r="M149" s="19" t="s">
        <v>41</v>
      </c>
      <c r="N149" s="18" t="n">
        <v>5</v>
      </c>
      <c r="O149" s="20" t="n">
        <v>182.53</v>
      </c>
      <c r="P149" s="20" t="n">
        <v>331.52</v>
      </c>
      <c r="Q149" s="18" t="n">
        <v>20</v>
      </c>
      <c r="R149" s="18" t="n">
        <v>17</v>
      </c>
      <c r="S149" s="18" t="n">
        <v>552</v>
      </c>
      <c r="T149" s="18" t="n">
        <v>144</v>
      </c>
      <c r="U149" s="14" t="s">
        <v>194</v>
      </c>
      <c r="V149" s="16" t="s">
        <v>1017</v>
      </c>
      <c r="W149" s="15" t="s">
        <v>1018</v>
      </c>
      <c r="X149" s="15" t="s">
        <v>1018</v>
      </c>
      <c r="Y149" s="16" t="s">
        <v>109</v>
      </c>
      <c r="Z149" s="21" t="s">
        <v>72</v>
      </c>
      <c r="AA149" s="21" t="s">
        <v>89</v>
      </c>
      <c r="AB149" s="22" t="n">
        <v>24.7759963</v>
      </c>
      <c r="AC149" s="22" t="n">
        <v>121.0786921</v>
      </c>
    </row>
    <row r="150" customFormat="false" ht="26.85" hidden="false" customHeight="false" outlineLevel="0" collapsed="false">
      <c r="A150" s="28" t="s">
        <v>812</v>
      </c>
      <c r="B150" s="12" t="n">
        <v>18.94</v>
      </c>
      <c r="C150" s="14" t="s">
        <v>1019</v>
      </c>
      <c r="D150" s="14" t="s">
        <v>1020</v>
      </c>
      <c r="E150" s="15" t="s">
        <v>686</v>
      </c>
      <c r="F150" s="15" t="s">
        <v>987</v>
      </c>
      <c r="G150" s="14" t="s">
        <v>1021</v>
      </c>
      <c r="H150" s="16" t="s">
        <v>1022</v>
      </c>
      <c r="I150" s="16" t="s">
        <v>1023</v>
      </c>
      <c r="J150" s="16"/>
      <c r="K150" s="17" t="n">
        <v>4.8</v>
      </c>
      <c r="L150" s="18" t="n">
        <v>33</v>
      </c>
      <c r="M150" s="19" t="s">
        <v>41</v>
      </c>
      <c r="N150" s="18" t="n">
        <v>4</v>
      </c>
      <c r="O150" s="20" t="n">
        <v>78.63</v>
      </c>
      <c r="P150" s="20" t="n">
        <v>214.49</v>
      </c>
      <c r="Q150" s="18" t="n">
        <v>22</v>
      </c>
      <c r="R150" s="18" t="n">
        <v>8</v>
      </c>
      <c r="S150" s="18" t="n">
        <v>346</v>
      </c>
      <c r="T150" s="18" t="n">
        <v>152</v>
      </c>
      <c r="U150" s="14" t="s">
        <v>194</v>
      </c>
      <c r="V150" s="16" t="s">
        <v>1024</v>
      </c>
      <c r="W150" s="15" t="s">
        <v>1025</v>
      </c>
      <c r="X150" s="15" t="s">
        <v>1026</v>
      </c>
      <c r="Y150" s="16" t="s">
        <v>109</v>
      </c>
      <c r="Z150" s="21" t="s">
        <v>72</v>
      </c>
      <c r="AA150" s="21" t="s">
        <v>89</v>
      </c>
      <c r="AB150" s="22" t="n">
        <v>24.8730429</v>
      </c>
      <c r="AC150" s="22" t="n">
        <v>120.9977603</v>
      </c>
    </row>
    <row r="151" customFormat="false" ht="15" hidden="false" customHeight="false" outlineLevel="0" collapsed="false">
      <c r="A151" s="28" t="s">
        <v>812</v>
      </c>
      <c r="B151" s="12" t="n">
        <v>18.95</v>
      </c>
      <c r="C151" s="14" t="s">
        <v>1027</v>
      </c>
      <c r="D151" s="13"/>
      <c r="E151" s="15" t="s">
        <v>850</v>
      </c>
      <c r="F151" s="15" t="s">
        <v>1028</v>
      </c>
      <c r="G151" s="14" t="s">
        <v>1029</v>
      </c>
      <c r="H151" s="16" t="s">
        <v>1030</v>
      </c>
      <c r="I151" s="16"/>
      <c r="J151" s="16"/>
      <c r="K151" s="17" t="n">
        <v>5</v>
      </c>
      <c r="L151" s="18" t="n">
        <v>1</v>
      </c>
      <c r="M151" s="16"/>
      <c r="N151" s="18"/>
      <c r="O151" s="20"/>
      <c r="P151" s="20"/>
      <c r="Q151" s="18"/>
      <c r="R151" s="18"/>
      <c r="S151" s="18"/>
      <c r="T151" s="18"/>
      <c r="U151" s="13"/>
      <c r="V151" s="16"/>
      <c r="W151" s="16"/>
      <c r="X151" s="16"/>
      <c r="Y151" s="16"/>
      <c r="Z151" s="24"/>
      <c r="AA151" s="21" t="s">
        <v>89</v>
      </c>
      <c r="AB151" s="22" t="n">
        <v>24.9272977</v>
      </c>
      <c r="AC151" s="22" t="n">
        <v>121.365942</v>
      </c>
    </row>
    <row r="152" customFormat="false" ht="15" hidden="false" customHeight="false" outlineLevel="0" collapsed="false">
      <c r="A152" s="28" t="s">
        <v>812</v>
      </c>
      <c r="B152" s="12" t="n">
        <v>19.06</v>
      </c>
      <c r="C152" s="14" t="s">
        <v>1031</v>
      </c>
      <c r="D152" s="13"/>
      <c r="E152" s="15" t="s">
        <v>686</v>
      </c>
      <c r="F152" s="15" t="s">
        <v>1013</v>
      </c>
      <c r="G152" s="14" t="s">
        <v>1032</v>
      </c>
      <c r="H152" s="16" t="s">
        <v>1033</v>
      </c>
      <c r="I152" s="16"/>
      <c r="J152" s="21" t="s">
        <v>56</v>
      </c>
      <c r="K152" s="17" t="n">
        <v>4.8</v>
      </c>
      <c r="L152" s="18" t="n">
        <v>63</v>
      </c>
      <c r="M152" s="16"/>
      <c r="N152" s="18"/>
      <c r="O152" s="20"/>
      <c r="P152" s="20"/>
      <c r="Q152" s="18"/>
      <c r="R152" s="18"/>
      <c r="S152" s="18"/>
      <c r="T152" s="18"/>
      <c r="U152" s="13"/>
      <c r="V152" s="16"/>
      <c r="W152" s="16"/>
      <c r="X152" s="16"/>
      <c r="Y152" s="16"/>
      <c r="Z152" s="24"/>
      <c r="AA152" s="21" t="s">
        <v>89</v>
      </c>
      <c r="AB152" s="22" t="n">
        <v>24.7761036</v>
      </c>
      <c r="AC152" s="22" t="n">
        <v>121.075864</v>
      </c>
    </row>
    <row r="153" customFormat="false" ht="15" hidden="false" customHeight="false" outlineLevel="0" collapsed="false">
      <c r="A153" s="28" t="s">
        <v>812</v>
      </c>
      <c r="B153" s="12" t="n">
        <v>19.07</v>
      </c>
      <c r="C153" s="13" t="s">
        <v>1034</v>
      </c>
      <c r="D153" s="14" t="s">
        <v>1035</v>
      </c>
      <c r="E153" s="15" t="s">
        <v>686</v>
      </c>
      <c r="F153" s="15" t="s">
        <v>978</v>
      </c>
      <c r="G153" s="14" t="s">
        <v>1036</v>
      </c>
      <c r="H153" s="16" t="s">
        <v>1037</v>
      </c>
      <c r="I153" s="16" t="s">
        <v>1038</v>
      </c>
      <c r="J153" s="21" t="s">
        <v>56</v>
      </c>
      <c r="K153" s="17" t="n">
        <v>5</v>
      </c>
      <c r="L153" s="18" t="n">
        <v>32</v>
      </c>
      <c r="M153" s="23" t="s">
        <v>43</v>
      </c>
      <c r="N153" s="18" t="n">
        <v>4</v>
      </c>
      <c r="O153" s="20" t="n">
        <v>72.82</v>
      </c>
      <c r="P153" s="20" t="n">
        <v>165.2</v>
      </c>
      <c r="Q153" s="18" t="n">
        <v>24</v>
      </c>
      <c r="R153" s="18" t="n">
        <v>3</v>
      </c>
      <c r="S153" s="18" t="n">
        <v>342</v>
      </c>
      <c r="T153" s="18" t="n">
        <v>92</v>
      </c>
      <c r="U153" s="14" t="s">
        <v>1039</v>
      </c>
      <c r="V153" s="16" t="s">
        <v>1040</v>
      </c>
      <c r="W153" s="15" t="s">
        <v>1041</v>
      </c>
      <c r="X153" s="15" t="s">
        <v>1042</v>
      </c>
      <c r="Y153" s="16" t="s">
        <v>88</v>
      </c>
      <c r="Z153" s="21" t="s">
        <v>72</v>
      </c>
      <c r="AA153" s="21" t="s">
        <v>89</v>
      </c>
      <c r="AB153" s="22" t="n">
        <v>24.8024378</v>
      </c>
      <c r="AC153" s="22" t="n">
        <v>121.0407576</v>
      </c>
    </row>
    <row r="154" customFormat="false" ht="26.85" hidden="false" customHeight="false" outlineLevel="0" collapsed="false">
      <c r="A154" s="28" t="s">
        <v>812</v>
      </c>
      <c r="B154" s="12" t="n">
        <v>19.16</v>
      </c>
      <c r="C154" s="14" t="s">
        <v>1043</v>
      </c>
      <c r="D154" s="14" t="s">
        <v>1044</v>
      </c>
      <c r="E154" s="15" t="s">
        <v>79</v>
      </c>
      <c r="F154" s="15" t="s">
        <v>529</v>
      </c>
      <c r="G154" s="14" t="s">
        <v>1045</v>
      </c>
      <c r="H154" s="16" t="s">
        <v>1046</v>
      </c>
      <c r="I154" s="16" t="s">
        <v>1047</v>
      </c>
      <c r="J154" s="21" t="s">
        <v>56</v>
      </c>
      <c r="K154" s="17" t="n">
        <v>5</v>
      </c>
      <c r="L154" s="18" t="n">
        <v>13</v>
      </c>
      <c r="M154" s="23" t="s">
        <v>43</v>
      </c>
      <c r="N154" s="18" t="n">
        <v>4</v>
      </c>
      <c r="O154" s="20" t="n">
        <v>82.42</v>
      </c>
      <c r="P154" s="20" t="n">
        <v>175.55</v>
      </c>
      <c r="Q154" s="18" t="n">
        <v>4</v>
      </c>
      <c r="R154" s="18" t="n">
        <v>3</v>
      </c>
      <c r="S154" s="18" t="n">
        <v>84</v>
      </c>
      <c r="T154" s="18" t="n">
        <v>42</v>
      </c>
      <c r="U154" s="14" t="s">
        <v>84</v>
      </c>
      <c r="V154" s="16" t="s">
        <v>1048</v>
      </c>
      <c r="W154" s="15" t="s">
        <v>1049</v>
      </c>
      <c r="X154" s="15" t="s">
        <v>1049</v>
      </c>
      <c r="Y154" s="16" t="s">
        <v>88</v>
      </c>
      <c r="Z154" s="21" t="s">
        <v>72</v>
      </c>
      <c r="AA154" s="21" t="s">
        <v>89</v>
      </c>
      <c r="AB154" s="22" t="n">
        <v>25.0768178</v>
      </c>
      <c r="AC154" s="22" t="n">
        <v>121.2576754</v>
      </c>
    </row>
    <row r="155" customFormat="false" ht="15" hidden="false" customHeight="false" outlineLevel="0" collapsed="false">
      <c r="A155" s="28" t="s">
        <v>812</v>
      </c>
      <c r="B155" s="12" t="n">
        <v>19.5</v>
      </c>
      <c r="C155" s="14" t="s">
        <v>1050</v>
      </c>
      <c r="D155" s="14" t="s">
        <v>1051</v>
      </c>
      <c r="E155" s="15" t="s">
        <v>850</v>
      </c>
      <c r="F155" s="15" t="s">
        <v>1028</v>
      </c>
      <c r="G155" s="14" t="s">
        <v>1052</v>
      </c>
      <c r="H155" s="16" t="s">
        <v>1053</v>
      </c>
      <c r="I155" s="16"/>
      <c r="J155" s="16"/>
      <c r="K155" s="17" t="n">
        <v>5</v>
      </c>
      <c r="L155" s="18" t="n">
        <v>4</v>
      </c>
      <c r="M155" s="23" t="s">
        <v>43</v>
      </c>
      <c r="N155" s="18" t="n">
        <v>4</v>
      </c>
      <c r="O155" s="20" t="n">
        <v>67.8</v>
      </c>
      <c r="P155" s="20" t="n">
        <v>139.25</v>
      </c>
      <c r="Q155" s="18" t="n">
        <v>4</v>
      </c>
      <c r="R155" s="18" t="n">
        <v>6</v>
      </c>
      <c r="S155" s="18" t="n">
        <v>64</v>
      </c>
      <c r="T155" s="18" t="n">
        <v>32</v>
      </c>
      <c r="U155" s="14" t="s">
        <v>194</v>
      </c>
      <c r="V155" s="16" t="s">
        <v>1054</v>
      </c>
      <c r="W155" s="15" t="s">
        <v>1055</v>
      </c>
      <c r="X155" s="15" t="s">
        <v>1056</v>
      </c>
      <c r="Y155" s="16" t="s">
        <v>88</v>
      </c>
      <c r="Z155" s="21" t="s">
        <v>72</v>
      </c>
      <c r="AA155" s="21" t="s">
        <v>89</v>
      </c>
      <c r="AB155" s="22" t="n">
        <v>24.926815</v>
      </c>
      <c r="AC155" s="22" t="n">
        <v>121.37139</v>
      </c>
    </row>
    <row r="156" customFormat="false" ht="15" hidden="false" customHeight="false" outlineLevel="0" collapsed="false">
      <c r="A156" s="28" t="s">
        <v>812</v>
      </c>
      <c r="B156" s="12" t="n">
        <v>19.7</v>
      </c>
      <c r="C156" s="14" t="s">
        <v>1057</v>
      </c>
      <c r="D156" s="14" t="s">
        <v>1058</v>
      </c>
      <c r="E156" s="15" t="s">
        <v>850</v>
      </c>
      <c r="F156" s="15" t="s">
        <v>1028</v>
      </c>
      <c r="G156" s="14" t="s">
        <v>1059</v>
      </c>
      <c r="H156" s="16" t="s">
        <v>1060</v>
      </c>
      <c r="I156" s="16" t="s">
        <v>1061</v>
      </c>
      <c r="J156" s="16"/>
      <c r="K156" s="17" t="n">
        <v>5</v>
      </c>
      <c r="L156" s="18" t="n">
        <v>9</v>
      </c>
      <c r="M156" s="23" t="s">
        <v>43</v>
      </c>
      <c r="N156" s="18" t="n">
        <v>2</v>
      </c>
      <c r="O156" s="20" t="n">
        <v>34.55</v>
      </c>
      <c r="P156" s="20" t="n">
        <v>87.68</v>
      </c>
      <c r="Q156" s="18" t="n">
        <v>2</v>
      </c>
      <c r="R156" s="18" t="n">
        <v>2</v>
      </c>
      <c r="S156" s="18" t="n">
        <v>56</v>
      </c>
      <c r="T156" s="18" t="n">
        <v>56</v>
      </c>
      <c r="U156" s="14" t="s">
        <v>84</v>
      </c>
      <c r="V156" s="16" t="s">
        <v>1062</v>
      </c>
      <c r="W156" s="15" t="s">
        <v>1063</v>
      </c>
      <c r="X156" s="15" t="s">
        <v>1063</v>
      </c>
      <c r="Y156" s="16" t="s">
        <v>88</v>
      </c>
      <c r="Z156" s="21" t="s">
        <v>72</v>
      </c>
      <c r="AA156" s="21" t="s">
        <v>89</v>
      </c>
      <c r="AB156" s="22" t="n">
        <v>24.9279567</v>
      </c>
      <c r="AC156" s="22" t="n">
        <v>121.3733262</v>
      </c>
    </row>
    <row r="157" customFormat="false" ht="26.85" hidden="false" customHeight="false" outlineLevel="0" collapsed="false">
      <c r="A157" s="28" t="s">
        <v>812</v>
      </c>
      <c r="B157" s="12" t="n">
        <v>19.86</v>
      </c>
      <c r="C157" s="14" t="s">
        <v>1064</v>
      </c>
      <c r="D157" s="13"/>
      <c r="E157" s="15" t="s">
        <v>686</v>
      </c>
      <c r="F157" s="15" t="s">
        <v>978</v>
      </c>
      <c r="G157" s="14" t="s">
        <v>1065</v>
      </c>
      <c r="H157" s="16" t="s">
        <v>1066</v>
      </c>
      <c r="I157" s="16"/>
      <c r="J157" s="21" t="s">
        <v>56</v>
      </c>
      <c r="K157" s="17" t="n">
        <v>5</v>
      </c>
      <c r="L157" s="18" t="n">
        <v>302</v>
      </c>
      <c r="M157" s="16"/>
      <c r="N157" s="18"/>
      <c r="O157" s="20"/>
      <c r="P157" s="20"/>
      <c r="Q157" s="18"/>
      <c r="R157" s="18"/>
      <c r="S157" s="18"/>
      <c r="T157" s="18"/>
      <c r="U157" s="13"/>
      <c r="V157" s="16"/>
      <c r="W157" s="16"/>
      <c r="X157" s="16"/>
      <c r="Y157" s="16"/>
      <c r="Z157" s="24"/>
      <c r="AA157" s="21" t="s">
        <v>89</v>
      </c>
      <c r="AB157" s="22" t="n">
        <v>24.8158007</v>
      </c>
      <c r="AC157" s="22" t="n">
        <v>121.0185247</v>
      </c>
    </row>
    <row r="158" customFormat="false" ht="15" hidden="false" customHeight="false" outlineLevel="0" collapsed="false">
      <c r="A158" s="28" t="s">
        <v>812</v>
      </c>
      <c r="B158" s="12" t="n">
        <v>19.92</v>
      </c>
      <c r="C158" s="14" t="s">
        <v>1067</v>
      </c>
      <c r="D158" s="13"/>
      <c r="E158" s="15" t="s">
        <v>686</v>
      </c>
      <c r="F158" s="15" t="s">
        <v>978</v>
      </c>
      <c r="G158" s="14" t="s">
        <v>1068</v>
      </c>
      <c r="H158" s="16" t="s">
        <v>1069</v>
      </c>
      <c r="I158" s="16"/>
      <c r="J158" s="16"/>
      <c r="K158" s="17"/>
      <c r="L158" s="18"/>
      <c r="M158" s="16"/>
      <c r="N158" s="18"/>
      <c r="O158" s="20"/>
      <c r="P158" s="20"/>
      <c r="Q158" s="18"/>
      <c r="R158" s="18"/>
      <c r="S158" s="18"/>
      <c r="T158" s="18"/>
      <c r="U158" s="13"/>
      <c r="V158" s="16"/>
      <c r="W158" s="16"/>
      <c r="X158" s="16"/>
      <c r="Y158" s="16"/>
      <c r="Z158" s="24"/>
      <c r="AA158" s="21" t="s">
        <v>89</v>
      </c>
      <c r="AB158" s="22" t="n">
        <v>24.8122437</v>
      </c>
      <c r="AC158" s="22" t="n">
        <v>121.0206246</v>
      </c>
    </row>
    <row r="159" customFormat="false" ht="15" hidden="false" customHeight="false" outlineLevel="0" collapsed="false">
      <c r="A159" s="28" t="s">
        <v>812</v>
      </c>
      <c r="B159" s="12" t="n">
        <v>19.93</v>
      </c>
      <c r="C159" s="14" t="s">
        <v>1070</v>
      </c>
      <c r="D159" s="13"/>
      <c r="E159" s="15" t="s">
        <v>850</v>
      </c>
      <c r="F159" s="15" t="s">
        <v>1028</v>
      </c>
      <c r="G159" s="14" t="s">
        <v>1071</v>
      </c>
      <c r="H159" s="16" t="s">
        <v>1072</v>
      </c>
      <c r="I159" s="16"/>
      <c r="J159" s="16"/>
      <c r="K159" s="17" t="n">
        <v>4</v>
      </c>
      <c r="L159" s="18" t="n">
        <v>1</v>
      </c>
      <c r="M159" s="16"/>
      <c r="N159" s="18"/>
      <c r="O159" s="20"/>
      <c r="P159" s="20"/>
      <c r="Q159" s="18"/>
      <c r="R159" s="18"/>
      <c r="S159" s="18"/>
      <c r="T159" s="18"/>
      <c r="U159" s="13"/>
      <c r="V159" s="16"/>
      <c r="W159" s="16"/>
      <c r="X159" s="16"/>
      <c r="Y159" s="16"/>
      <c r="Z159" s="24"/>
      <c r="AA159" s="21" t="s">
        <v>89</v>
      </c>
      <c r="AB159" s="22" t="n">
        <v>24.928149</v>
      </c>
      <c r="AC159" s="22" t="n">
        <v>121.375618</v>
      </c>
    </row>
    <row r="160" customFormat="false" ht="15" hidden="false" customHeight="false" outlineLevel="0" collapsed="false">
      <c r="A160" s="28" t="s">
        <v>812</v>
      </c>
      <c r="B160" s="12" t="n">
        <v>19.94</v>
      </c>
      <c r="C160" s="14" t="s">
        <v>1073</v>
      </c>
      <c r="D160" s="14" t="s">
        <v>1074</v>
      </c>
      <c r="E160" s="15" t="s">
        <v>686</v>
      </c>
      <c r="F160" s="15" t="s">
        <v>978</v>
      </c>
      <c r="G160" s="14" t="s">
        <v>1075</v>
      </c>
      <c r="H160" s="16" t="s">
        <v>1076</v>
      </c>
      <c r="I160" s="16" t="s">
        <v>1077</v>
      </c>
      <c r="J160" s="16"/>
      <c r="K160" s="17" t="n">
        <v>4.2</v>
      </c>
      <c r="L160" s="18" t="n">
        <v>5</v>
      </c>
      <c r="M160" s="23" t="s">
        <v>43</v>
      </c>
      <c r="N160" s="18" t="n">
        <v>2</v>
      </c>
      <c r="O160" s="20" t="n">
        <v>48.93</v>
      </c>
      <c r="P160" s="20" t="n">
        <v>117.06</v>
      </c>
      <c r="Q160" s="18" t="n">
        <v>9</v>
      </c>
      <c r="R160" s="18" t="n">
        <v>3</v>
      </c>
      <c r="S160" s="18" t="n">
        <v>185</v>
      </c>
      <c r="T160" s="18" t="n">
        <v>59</v>
      </c>
      <c r="U160" s="14" t="s">
        <v>84</v>
      </c>
      <c r="V160" s="16" t="s">
        <v>1078</v>
      </c>
      <c r="W160" s="15" t="s">
        <v>1079</v>
      </c>
      <c r="X160" s="15" t="s">
        <v>1079</v>
      </c>
      <c r="Y160" s="16" t="s">
        <v>109</v>
      </c>
      <c r="Z160" s="21" t="s">
        <v>72</v>
      </c>
      <c r="AA160" s="21" t="s">
        <v>89</v>
      </c>
      <c r="AB160" s="22" t="n">
        <v>24.8435919</v>
      </c>
      <c r="AC160" s="22" t="n">
        <v>120.9994138</v>
      </c>
    </row>
  </sheetData>
  <hyperlinks>
    <hyperlink ref="Z2" r:id="rId1" display="立案頁"/>
    <hyperlink ref="AA2" r:id="rId2" display="地圖"/>
    <hyperlink ref="J3" r:id="rId3" display="官網"/>
    <hyperlink ref="Z3" r:id="rId4" display="立案頁"/>
    <hyperlink ref="AA3" r:id="rId5" display="地圖"/>
    <hyperlink ref="J4" r:id="rId6" display="官網"/>
    <hyperlink ref="AA4" r:id="rId7" display="地圖"/>
    <hyperlink ref="Z5" r:id="rId8" display="立案頁"/>
    <hyperlink ref="AA5" r:id="rId9" display="地圖"/>
    <hyperlink ref="AA6" r:id="rId10" display="地圖"/>
    <hyperlink ref="Z7" r:id="rId11" display="立案頁"/>
    <hyperlink ref="AA7" r:id="rId12" display="地圖"/>
    <hyperlink ref="Z8" r:id="rId13" display="立案頁"/>
    <hyperlink ref="AA8" r:id="rId14" display="地圖"/>
    <hyperlink ref="J9" r:id="rId15" display="官網"/>
    <hyperlink ref="Z9" r:id="rId16" display="立案頁"/>
    <hyperlink ref="AA9" r:id="rId17" display="地圖"/>
    <hyperlink ref="J10" r:id="rId18" display="官網"/>
    <hyperlink ref="Z10" r:id="rId19" display="立案頁"/>
    <hyperlink ref="AA10" r:id="rId20" display="地圖"/>
    <hyperlink ref="Z11" r:id="rId21" display="立案頁"/>
    <hyperlink ref="AA11" r:id="rId22" display="地圖"/>
    <hyperlink ref="J12" r:id="rId23" display="官網"/>
    <hyperlink ref="Z12" r:id="rId24" display="立案頁"/>
    <hyperlink ref="AA12" r:id="rId25" display="地圖"/>
    <hyperlink ref="Z13" r:id="rId26" display="立案頁"/>
    <hyperlink ref="AA13" r:id="rId27" display="地圖"/>
    <hyperlink ref="J14" r:id="rId28" display="官網"/>
    <hyperlink ref="Z14" r:id="rId29" display="立案頁"/>
    <hyperlink ref="AA14" r:id="rId30" display="地圖"/>
    <hyperlink ref="Z15" r:id="rId31" display="立案頁"/>
    <hyperlink ref="AA15" r:id="rId32" display="地圖"/>
    <hyperlink ref="J16" r:id="rId33" display="官網"/>
    <hyperlink ref="Z16" r:id="rId34" display="立案頁"/>
    <hyperlink ref="AA16" r:id="rId35" display="地圖"/>
    <hyperlink ref="AA17" r:id="rId36" display="地圖"/>
    <hyperlink ref="J18" r:id="rId37" display="官網"/>
    <hyperlink ref="Z18" r:id="rId38" display="立案頁"/>
    <hyperlink ref="AA18" r:id="rId39" display="地圖"/>
    <hyperlink ref="Z19" r:id="rId40" display="立案頁"/>
    <hyperlink ref="AA19" r:id="rId41" display="地圖"/>
    <hyperlink ref="J20" r:id="rId42" display="官網"/>
    <hyperlink ref="Z20" r:id="rId43" display="立案頁"/>
    <hyperlink ref="AA20" r:id="rId44" display="地圖"/>
    <hyperlink ref="J21" r:id="rId45" display="官網"/>
    <hyperlink ref="Z21" r:id="rId46" display="立案頁"/>
    <hyperlink ref="AA21" r:id="rId47" display="地圖"/>
    <hyperlink ref="J22" r:id="rId48" display="官網"/>
    <hyperlink ref="Z22" r:id="rId49" display="立案頁"/>
    <hyperlink ref="AA22" r:id="rId50" display="地圖"/>
    <hyperlink ref="Z23" r:id="rId51" display="立案頁"/>
    <hyperlink ref="AA23" r:id="rId52" display="地圖"/>
    <hyperlink ref="J24" r:id="rId53" display="官網"/>
    <hyperlink ref="Z24" r:id="rId54" display="立案頁"/>
    <hyperlink ref="AA24" r:id="rId55" display="地圖"/>
    <hyperlink ref="AA25" r:id="rId56" display="地圖"/>
    <hyperlink ref="Z26" r:id="rId57" display="立案頁"/>
    <hyperlink ref="AA26" r:id="rId58" display="地圖"/>
    <hyperlink ref="Z27" r:id="rId59" display="立案頁"/>
    <hyperlink ref="AA27" r:id="rId60" display="地圖"/>
    <hyperlink ref="Z28" r:id="rId61" display="立案頁"/>
    <hyperlink ref="AA28" r:id="rId62" display="地圖"/>
    <hyperlink ref="Z29" r:id="rId63" display="立案頁"/>
    <hyperlink ref="AA29" r:id="rId64" display="地圖"/>
    <hyperlink ref="J30" r:id="rId65" display="官網"/>
    <hyperlink ref="Z30" r:id="rId66" display="立案頁"/>
    <hyperlink ref="AA30" r:id="rId67" display="地圖"/>
    <hyperlink ref="Z31" r:id="rId68" display="立案頁"/>
    <hyperlink ref="AA31" r:id="rId69" display="地圖"/>
    <hyperlink ref="J32" r:id="rId70" display="官網"/>
    <hyperlink ref="Z32" r:id="rId71" display="立案頁"/>
    <hyperlink ref="AA32" r:id="rId72" display="地圖"/>
    <hyperlink ref="Z33" r:id="rId73" display="立案頁"/>
    <hyperlink ref="AA33" r:id="rId74" display="地圖"/>
    <hyperlink ref="J34" r:id="rId75" display="官網"/>
    <hyperlink ref="Z34" r:id="rId76" display="立案頁"/>
    <hyperlink ref="AA34" r:id="rId77" display="地圖"/>
    <hyperlink ref="J35" r:id="rId78" display="官網"/>
    <hyperlink ref="Z35" r:id="rId79" display="立案頁"/>
    <hyperlink ref="AA35" r:id="rId80" display="地圖"/>
    <hyperlink ref="AA36" r:id="rId81" display="地圖"/>
    <hyperlink ref="J37" r:id="rId82" display="官網"/>
    <hyperlink ref="Z37" r:id="rId83" display="立案頁"/>
    <hyperlink ref="AA37" r:id="rId84" display="地圖"/>
    <hyperlink ref="J38" r:id="rId85" display="官網"/>
    <hyperlink ref="AA38" r:id="rId86" display="地圖"/>
    <hyperlink ref="J39" r:id="rId87" display="官網"/>
    <hyperlink ref="Z39" r:id="rId88" display="立案頁"/>
    <hyperlink ref="AA39" r:id="rId89" display="地圖"/>
    <hyperlink ref="Z40" r:id="rId90" display="立案頁"/>
    <hyperlink ref="AA40" r:id="rId91" display="地圖"/>
    <hyperlink ref="J41" r:id="rId92" display="官網"/>
    <hyperlink ref="Z41" r:id="rId93" display="立案頁"/>
    <hyperlink ref="AA41" r:id="rId94" display="地圖"/>
    <hyperlink ref="J42" r:id="rId95" display="官網"/>
    <hyperlink ref="Z42" r:id="rId96" display="立案頁"/>
    <hyperlink ref="AA42" r:id="rId97" display="地圖"/>
    <hyperlink ref="AA43" r:id="rId98" display="地圖"/>
    <hyperlink ref="Z44" r:id="rId99" display="立案頁"/>
    <hyperlink ref="AA44" r:id="rId100" display="地圖"/>
    <hyperlink ref="Z45" r:id="rId101" display="立案頁"/>
    <hyperlink ref="AA45" r:id="rId102" display="地圖"/>
    <hyperlink ref="Z46" r:id="rId103" display="立案頁"/>
    <hyperlink ref="AA46" r:id="rId104" display="地圖"/>
    <hyperlink ref="AA47" r:id="rId105" display="地圖"/>
    <hyperlink ref="Z48" r:id="rId106" display="立案頁"/>
    <hyperlink ref="AA48" r:id="rId107" display="地圖"/>
    <hyperlink ref="AA49" r:id="rId108" display="地圖"/>
    <hyperlink ref="Z50" r:id="rId109" display="立案頁"/>
    <hyperlink ref="AA50" r:id="rId110" display="地圖"/>
    <hyperlink ref="Z51" r:id="rId111" display="立案頁"/>
    <hyperlink ref="AA51" r:id="rId112" display="地圖"/>
    <hyperlink ref="AA52" r:id="rId113" display="地圖"/>
    <hyperlink ref="Z53" r:id="rId114" display="立案頁"/>
    <hyperlink ref="AA53" r:id="rId115" display="地圖"/>
    <hyperlink ref="Z54" r:id="rId116" display="立案頁"/>
    <hyperlink ref="AA54" r:id="rId117" display="地圖"/>
    <hyperlink ref="J55" r:id="rId118" display="官網"/>
    <hyperlink ref="Z55" r:id="rId119" display="立案頁"/>
    <hyperlink ref="AA55" r:id="rId120" display="地圖"/>
    <hyperlink ref="AA56" r:id="rId121" display="地圖"/>
    <hyperlink ref="Z57" r:id="rId122" display="立案頁"/>
    <hyperlink ref="AA57" r:id="rId123" display="地圖"/>
    <hyperlink ref="J58" r:id="rId124" display="官網"/>
    <hyperlink ref="Z58" r:id="rId125" display="立案頁"/>
    <hyperlink ref="AA58" r:id="rId126" display="地圖"/>
    <hyperlink ref="J59" r:id="rId127" display="官網"/>
    <hyperlink ref="Z59" r:id="rId128" display="立案頁"/>
    <hyperlink ref="AA59" r:id="rId129" display="地圖"/>
    <hyperlink ref="J60" r:id="rId130" display="官網"/>
    <hyperlink ref="Z60" r:id="rId131" display="立案頁"/>
    <hyperlink ref="AA60" r:id="rId132" display="地圖"/>
    <hyperlink ref="AA61" r:id="rId133" display="地圖"/>
    <hyperlink ref="J62" r:id="rId134" display="官網"/>
    <hyperlink ref="Z62" r:id="rId135" display="立案頁"/>
    <hyperlink ref="AA62" r:id="rId136" display="地圖"/>
    <hyperlink ref="Z63" r:id="rId137" display="立案頁"/>
    <hyperlink ref="AA63" r:id="rId138" display="地圖"/>
    <hyperlink ref="J64" r:id="rId139" display="官網"/>
    <hyperlink ref="Z64" r:id="rId140" display="立案頁"/>
    <hyperlink ref="AA64" r:id="rId141" display="地圖"/>
    <hyperlink ref="Z65" r:id="rId142" display="立案頁"/>
    <hyperlink ref="AA65" r:id="rId143" display="地圖"/>
    <hyperlink ref="AA66" r:id="rId144" display="地圖"/>
    <hyperlink ref="Z67" r:id="rId145" display="立案頁"/>
    <hyperlink ref="AA67" r:id="rId146" display="地圖"/>
    <hyperlink ref="J68" r:id="rId147" display="官網"/>
    <hyperlink ref="Z68" r:id="rId148" display="立案頁"/>
    <hyperlink ref="AA68" r:id="rId149" display="地圖"/>
    <hyperlink ref="J69" r:id="rId150" display="官網"/>
    <hyperlink ref="Z69" r:id="rId151" display="立案頁"/>
    <hyperlink ref="AA69" r:id="rId152" display="地圖"/>
    <hyperlink ref="AA70" r:id="rId153" display="地圖"/>
    <hyperlink ref="AA71" r:id="rId154" display="地圖"/>
    <hyperlink ref="Z72" r:id="rId155" display="立案頁"/>
    <hyperlink ref="AA72" r:id="rId156" display="地圖"/>
    <hyperlink ref="AA73" r:id="rId157" display="地圖"/>
    <hyperlink ref="J74" r:id="rId158" display="官網"/>
    <hyperlink ref="Z74" r:id="rId159" display="立案頁"/>
    <hyperlink ref="AA74" r:id="rId160" display="地圖"/>
    <hyperlink ref="J75" r:id="rId161" display="官網"/>
    <hyperlink ref="Z75" r:id="rId162" display="立案頁"/>
    <hyperlink ref="AA75" r:id="rId163" display="地圖"/>
    <hyperlink ref="J76" r:id="rId164" display="官網"/>
    <hyperlink ref="Z76" r:id="rId165" display="立案頁"/>
    <hyperlink ref="AA76" r:id="rId166" display="地圖"/>
    <hyperlink ref="J77" r:id="rId167" display="官網"/>
    <hyperlink ref="Z77" r:id="rId168" display="立案頁"/>
    <hyperlink ref="AA77" r:id="rId169" display="地圖"/>
    <hyperlink ref="J78" r:id="rId170" display="官網"/>
    <hyperlink ref="Z78" r:id="rId171" display="立案頁"/>
    <hyperlink ref="AA78" r:id="rId172" display="地圖"/>
    <hyperlink ref="J79" r:id="rId173" display="官網"/>
    <hyperlink ref="Z79" r:id="rId174" display="立案頁"/>
    <hyperlink ref="AA79" r:id="rId175" display="地圖"/>
    <hyperlink ref="Z80" r:id="rId176" display="立案頁"/>
    <hyperlink ref="AA80" r:id="rId177" display="地圖"/>
    <hyperlink ref="AA81" r:id="rId178" display="地圖"/>
    <hyperlink ref="J82" r:id="rId179" display="官網"/>
    <hyperlink ref="Z82" r:id="rId180" display="立案頁"/>
    <hyperlink ref="AA82" r:id="rId181" display="地圖"/>
    <hyperlink ref="AA83" r:id="rId182" display="地圖"/>
    <hyperlink ref="AA84" r:id="rId183" display="地圖"/>
    <hyperlink ref="Z85" r:id="rId184" display="立案頁"/>
    <hyperlink ref="AA85" r:id="rId185" display="地圖"/>
    <hyperlink ref="AA86" r:id="rId186" display="地圖"/>
    <hyperlink ref="Z87" r:id="rId187" display="立案頁"/>
    <hyperlink ref="AA87" r:id="rId188" display="地圖"/>
    <hyperlink ref="J88" r:id="rId189" display="官網"/>
    <hyperlink ref="Z88" r:id="rId190" display="立案頁"/>
    <hyperlink ref="AA88" r:id="rId191" display="地圖"/>
    <hyperlink ref="J89" r:id="rId192" display="官網"/>
    <hyperlink ref="Z89" r:id="rId193" display="立案頁"/>
    <hyperlink ref="AA89" r:id="rId194" display="地圖"/>
    <hyperlink ref="AA90" r:id="rId195" display="地圖"/>
    <hyperlink ref="J91" r:id="rId196" display="官網"/>
    <hyperlink ref="Z91" r:id="rId197" display="立案頁"/>
    <hyperlink ref="AA91" r:id="rId198" display="地圖"/>
    <hyperlink ref="Z92" r:id="rId199" display="立案頁"/>
    <hyperlink ref="AA92" r:id="rId200" display="地圖"/>
    <hyperlink ref="Z93" r:id="rId201" display="立案頁"/>
    <hyperlink ref="AA93" r:id="rId202" display="地圖"/>
    <hyperlink ref="Z94" r:id="rId203" display="立案頁"/>
    <hyperlink ref="AA94" r:id="rId204" display="地圖"/>
    <hyperlink ref="Z95" r:id="rId205" display="立案頁"/>
    <hyperlink ref="AA95" r:id="rId206" display="地圖"/>
    <hyperlink ref="Z96" r:id="rId207" display="立案頁"/>
    <hyperlink ref="AA96" r:id="rId208" display="地圖"/>
    <hyperlink ref="J97" r:id="rId209" display="官網"/>
    <hyperlink ref="AA97" r:id="rId210" display="地圖"/>
    <hyperlink ref="Z98" r:id="rId211" display="立案頁"/>
    <hyperlink ref="AA98" r:id="rId212" display="地圖"/>
    <hyperlink ref="Z99" r:id="rId213" display="立案頁"/>
    <hyperlink ref="AA99" r:id="rId214" display="地圖"/>
    <hyperlink ref="Z100" r:id="rId215" display="立案頁"/>
    <hyperlink ref="AA100" r:id="rId216" display="地圖"/>
    <hyperlink ref="J101" r:id="rId217" display="官網"/>
    <hyperlink ref="Z101" r:id="rId218" display="立案頁"/>
    <hyperlink ref="AA101" r:id="rId219" display="地圖"/>
    <hyperlink ref="J102" r:id="rId220" display="官網"/>
    <hyperlink ref="AA102" r:id="rId221" display="地圖"/>
    <hyperlink ref="AA103" r:id="rId222" display="地圖"/>
    <hyperlink ref="J104" r:id="rId223" display="官網"/>
    <hyperlink ref="Z104" r:id="rId224" display="立案頁"/>
    <hyperlink ref="AA104" r:id="rId225" display="地圖"/>
    <hyperlink ref="Z105" r:id="rId226" display="立案頁"/>
    <hyperlink ref="AA105" r:id="rId227" display="地圖"/>
    <hyperlink ref="J106" r:id="rId228" display="官網"/>
    <hyperlink ref="Z106" r:id="rId229" display="立案頁"/>
    <hyperlink ref="AA106" r:id="rId230" display="地圖"/>
    <hyperlink ref="J107" r:id="rId231" display="官網"/>
    <hyperlink ref="Z107" r:id="rId232" display="立案頁"/>
    <hyperlink ref="AA107" r:id="rId233" display="地圖"/>
    <hyperlink ref="Z108" r:id="rId234" display="立案頁"/>
    <hyperlink ref="AA108" r:id="rId235" display="地圖"/>
    <hyperlink ref="J109" r:id="rId236" display="官網"/>
    <hyperlink ref="Z109" r:id="rId237" display="立案頁"/>
    <hyperlink ref="AA109" r:id="rId238" display="地圖"/>
    <hyperlink ref="AA110" r:id="rId239" display="地圖"/>
    <hyperlink ref="Z111" r:id="rId240" display="立案頁"/>
    <hyperlink ref="AA111" r:id="rId241" display="地圖"/>
    <hyperlink ref="Z112" r:id="rId242" display="立案頁"/>
    <hyperlink ref="AA112" r:id="rId243" display="地圖"/>
    <hyperlink ref="J113" r:id="rId244" display="官網"/>
    <hyperlink ref="AA113" r:id="rId245" display="地圖"/>
    <hyperlink ref="J114" r:id="rId246" display="官網"/>
    <hyperlink ref="Z114" r:id="rId247" display="立案頁"/>
    <hyperlink ref="AA114" r:id="rId248" display="地圖"/>
    <hyperlink ref="AA115" r:id="rId249" display="地圖"/>
    <hyperlink ref="Z116" r:id="rId250" display="立案頁"/>
    <hyperlink ref="AA116" r:id="rId251" display="地圖"/>
    <hyperlink ref="Z117" r:id="rId252" display="立案頁"/>
    <hyperlink ref="AA117" r:id="rId253" display="地圖"/>
    <hyperlink ref="AA118" r:id="rId254" display="地圖"/>
    <hyperlink ref="Z119" r:id="rId255" display="立案頁"/>
    <hyperlink ref="AA119" r:id="rId256" display="地圖"/>
    <hyperlink ref="J120" r:id="rId257" display="官網"/>
    <hyperlink ref="Z120" r:id="rId258" display="立案頁"/>
    <hyperlink ref="AA120" r:id="rId259" display="地圖"/>
    <hyperlink ref="J121" r:id="rId260" display="官網"/>
    <hyperlink ref="Z121" r:id="rId261" display="立案頁"/>
    <hyperlink ref="AA121" r:id="rId262" display="地圖"/>
    <hyperlink ref="J122" r:id="rId263" display="官網"/>
    <hyperlink ref="Z122" r:id="rId264" display="立案頁"/>
    <hyperlink ref="AA122" r:id="rId265" display="地圖"/>
    <hyperlink ref="J123" r:id="rId266" display="官網"/>
    <hyperlink ref="AA123" r:id="rId267" display="地圖"/>
    <hyperlink ref="AA124" r:id="rId268" display="地圖"/>
    <hyperlink ref="Z125" r:id="rId269" display="立案頁"/>
    <hyperlink ref="AA125" r:id="rId270" display="地圖"/>
    <hyperlink ref="J126" r:id="rId271" display="官網"/>
    <hyperlink ref="Z126" r:id="rId272" display="立案頁"/>
    <hyperlink ref="AA126" r:id="rId273" display="地圖"/>
    <hyperlink ref="J127" r:id="rId274" display="官網"/>
    <hyperlink ref="Z127" r:id="rId275" display="立案頁"/>
    <hyperlink ref="AA127" r:id="rId276" display="地圖"/>
    <hyperlink ref="J128" r:id="rId277" display="官網"/>
    <hyperlink ref="Z128" r:id="rId278" display="立案頁"/>
    <hyperlink ref="AA128" r:id="rId279" display="地圖"/>
    <hyperlink ref="AA129" r:id="rId280" display="地圖"/>
    <hyperlink ref="Z130" r:id="rId281" display="立案頁"/>
    <hyperlink ref="AA130" r:id="rId282" display="地圖"/>
    <hyperlink ref="J131" r:id="rId283" display="官網"/>
    <hyperlink ref="Z131" r:id="rId284" display="立案頁"/>
    <hyperlink ref="AA131" r:id="rId285" display="地圖"/>
    <hyperlink ref="Z132" r:id="rId286" display="立案頁"/>
    <hyperlink ref="AA132" r:id="rId287" display="地圖"/>
    <hyperlink ref="Z133" r:id="rId288" display="立案頁"/>
    <hyperlink ref="AA133" r:id="rId289" display="地圖"/>
    <hyperlink ref="AA134" r:id="rId290" display="地圖"/>
    <hyperlink ref="J135" r:id="rId291" display="官網"/>
    <hyperlink ref="Z135" r:id="rId292" display="立案頁"/>
    <hyperlink ref="AA135" r:id="rId293" display="地圖"/>
    <hyperlink ref="Z136" r:id="rId294" display="立案頁"/>
    <hyperlink ref="AA136" r:id="rId295" display="地圖"/>
    <hyperlink ref="J137" r:id="rId296" display="官網"/>
    <hyperlink ref="Z137" r:id="rId297" display="立案頁"/>
    <hyperlink ref="AA137" r:id="rId298" display="地圖"/>
    <hyperlink ref="Z138" r:id="rId299" display="立案頁"/>
    <hyperlink ref="AA138" r:id="rId300" display="地圖"/>
    <hyperlink ref="J139" r:id="rId301" display="官網"/>
    <hyperlink ref="Z139" r:id="rId302" display="立案頁"/>
    <hyperlink ref="AA139" r:id="rId303" display="地圖"/>
    <hyperlink ref="J140" r:id="rId304" display="官網"/>
    <hyperlink ref="Z140" r:id="rId305" display="立案頁"/>
    <hyperlink ref="AA140" r:id="rId306" display="地圖"/>
    <hyperlink ref="AA141" r:id="rId307" display="地圖"/>
    <hyperlink ref="J142" r:id="rId308" display="官網"/>
    <hyperlink ref="AA142" r:id="rId309" display="地圖"/>
    <hyperlink ref="J143" r:id="rId310" display="官網"/>
    <hyperlink ref="Z143" r:id="rId311" display="立案頁"/>
    <hyperlink ref="AA143" r:id="rId312" display="地圖"/>
    <hyperlink ref="J144" r:id="rId313" display="官網"/>
    <hyperlink ref="Z144" r:id="rId314" display="立案頁"/>
    <hyperlink ref="AA144" r:id="rId315" display="地圖"/>
    <hyperlink ref="J145" r:id="rId316" display="官網"/>
    <hyperlink ref="Z145" r:id="rId317" display="立案頁"/>
    <hyperlink ref="AA145" r:id="rId318" display="地圖"/>
    <hyperlink ref="J146" r:id="rId319" display="官網"/>
    <hyperlink ref="Z146" r:id="rId320" display="立案頁"/>
    <hyperlink ref="AA146" r:id="rId321" display="地圖"/>
    <hyperlink ref="Z147" r:id="rId322" display="立案頁"/>
    <hyperlink ref="AA147" r:id="rId323" display="地圖"/>
    <hyperlink ref="J148" r:id="rId324" display="官網"/>
    <hyperlink ref="Z148" r:id="rId325" display="立案頁"/>
    <hyperlink ref="AA148" r:id="rId326" display="地圖"/>
    <hyperlink ref="J149" r:id="rId327" display="官網"/>
    <hyperlink ref="Z149" r:id="rId328" display="立案頁"/>
    <hyperlink ref="AA149" r:id="rId329" display="地圖"/>
    <hyperlink ref="Z150" r:id="rId330" display="立案頁"/>
    <hyperlink ref="AA150" r:id="rId331" display="地圖"/>
    <hyperlink ref="AA151" r:id="rId332" display="地圖"/>
    <hyperlink ref="J152" r:id="rId333" display="官網"/>
    <hyperlink ref="AA152" r:id="rId334" display="地圖"/>
    <hyperlink ref="J153" r:id="rId335" display="官網"/>
    <hyperlink ref="Z153" r:id="rId336" display="立案頁"/>
    <hyperlink ref="AA153" r:id="rId337" display="地圖"/>
    <hyperlink ref="J154" r:id="rId338" display="官網"/>
    <hyperlink ref="Z154" r:id="rId339" display="立案頁"/>
    <hyperlink ref="AA154" r:id="rId340" display="地圖"/>
    <hyperlink ref="Z155" r:id="rId341" display="立案頁"/>
    <hyperlink ref="AA155" r:id="rId342" display="地圖"/>
    <hyperlink ref="Z156" r:id="rId343" display="立案頁"/>
    <hyperlink ref="AA156" r:id="rId344" display="地圖"/>
    <hyperlink ref="J157" r:id="rId345" display="官網"/>
    <hyperlink ref="AA157" r:id="rId346" display="地圖"/>
    <hyperlink ref="AA158" r:id="rId347" display="地圖"/>
    <hyperlink ref="AA159" r:id="rId348" display="地圖"/>
    <hyperlink ref="Z160" r:id="rId349" display="立案頁"/>
    <hyperlink ref="AA160" r:id="rId350" display="地圖"/>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35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6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2" min="1" style="0" width="10"/>
    <col collapsed="false" customWidth="true" hidden="false" outlineLevel="0" max="3" min="3" style="0" width="42"/>
    <col collapsed="false" customWidth="true" hidden="false" outlineLevel="0" max="4" min="4" style="0" width="36"/>
    <col collapsed="false" customWidth="true" hidden="false" outlineLevel="0" max="5" min="5" style="0" width="15"/>
    <col collapsed="false" customWidth="true" hidden="false" outlineLevel="0" max="6" min="6" style="0" width="30"/>
    <col collapsed="false" customWidth="true" hidden="false" outlineLevel="0" max="7" min="7" style="0" width="7"/>
    <col collapsed="false" customWidth="true" hidden="false" outlineLevel="0" max="8" min="8" style="0" width="8"/>
    <col collapsed="false" customWidth="true" hidden="false" outlineLevel="0" max="9" min="9" style="0" width="12"/>
    <col collapsed="false" customWidth="true" hidden="false" outlineLevel="0" max="10" min="10" style="0" width="14"/>
    <col collapsed="false" customWidth="true" hidden="false" outlineLevel="0" max="11" min="11" style="0" width="11"/>
    <col collapsed="false" customWidth="true" hidden="false" outlineLevel="0" max="13" min="12" style="0" width="12"/>
    <col collapsed="false" customWidth="true" hidden="false" outlineLevel="0" max="14" min="14" style="0" width="14"/>
    <col collapsed="false" customWidth="true" hidden="false" outlineLevel="0" max="16" min="15" style="0" width="22"/>
    <col collapsed="false" customWidth="true" hidden="false" outlineLevel="0" max="17" min="17" style="0" width="10"/>
    <col collapsed="false" customWidth="true" hidden="false" outlineLevel="0" max="20" min="18" style="0" width="11"/>
    <col collapsed="false" customWidth="true" hidden="false" outlineLevel="0" max="21" min="21" style="0" width="10"/>
  </cols>
  <sheetData>
    <row r="1" customFormat="false" ht="30" hidden="false" customHeight="true" outlineLevel="0" collapsed="false">
      <c r="A1" s="29" t="s">
        <v>51</v>
      </c>
      <c r="B1" s="29" t="s">
        <v>52</v>
      </c>
      <c r="C1" s="29" t="s">
        <v>50</v>
      </c>
      <c r="D1" s="29" t="s">
        <v>53</v>
      </c>
      <c r="E1" s="29" t="s">
        <v>54</v>
      </c>
      <c r="F1" s="30" t="s">
        <v>55</v>
      </c>
      <c r="G1" s="29" t="s">
        <v>59</v>
      </c>
      <c r="H1" s="29" t="s">
        <v>60</v>
      </c>
      <c r="I1" s="29" t="s">
        <v>61</v>
      </c>
      <c r="J1" s="29" t="s">
        <v>62</v>
      </c>
      <c r="K1" s="29" t="s">
        <v>63</v>
      </c>
      <c r="L1" s="29" t="s">
        <v>64</v>
      </c>
      <c r="M1" s="29" t="s">
        <v>65</v>
      </c>
      <c r="N1" s="29" t="s">
        <v>66</v>
      </c>
      <c r="O1" s="29" t="s">
        <v>1080</v>
      </c>
      <c r="P1" s="29" t="s">
        <v>67</v>
      </c>
      <c r="Q1" s="29" t="s">
        <v>1081</v>
      </c>
      <c r="R1" s="29" t="s">
        <v>68</v>
      </c>
      <c r="S1" s="29" t="s">
        <v>69</v>
      </c>
      <c r="T1" s="29" t="s">
        <v>70</v>
      </c>
      <c r="U1" s="29" t="s">
        <v>72</v>
      </c>
    </row>
    <row r="2" customFormat="false" ht="26.85" hidden="false" customHeight="false" outlineLevel="0" collapsed="false">
      <c r="A2" s="15" t="s">
        <v>1082</v>
      </c>
      <c r="B2" s="15" t="s">
        <v>1083</v>
      </c>
      <c r="C2" s="14" t="s">
        <v>1084</v>
      </c>
      <c r="D2" s="14" t="s">
        <v>1085</v>
      </c>
      <c r="E2" s="16" t="s">
        <v>1086</v>
      </c>
      <c r="F2" s="16" t="s">
        <v>1087</v>
      </c>
      <c r="G2" s="25" t="s">
        <v>39</v>
      </c>
      <c r="H2" s="18" t="n">
        <v>39</v>
      </c>
      <c r="I2" s="20" t="n">
        <v>1149.74</v>
      </c>
      <c r="J2" s="20" t="n">
        <v>2825.37</v>
      </c>
      <c r="K2" s="18" t="n">
        <v>203</v>
      </c>
      <c r="L2" s="18" t="n">
        <v>38</v>
      </c>
      <c r="M2" s="18" t="n">
        <v>12180</v>
      </c>
      <c r="N2" s="18" t="n">
        <v>1740</v>
      </c>
      <c r="O2" s="14" t="s">
        <v>1088</v>
      </c>
      <c r="P2" s="14" t="s">
        <v>84</v>
      </c>
      <c r="Q2" s="15" t="s">
        <v>1089</v>
      </c>
      <c r="R2" s="16" t="s">
        <v>1090</v>
      </c>
      <c r="S2" s="15" t="s">
        <v>1091</v>
      </c>
      <c r="T2" s="15" t="s">
        <v>1092</v>
      </c>
      <c r="U2" s="21" t="s">
        <v>72</v>
      </c>
    </row>
    <row r="3" customFormat="false" ht="15" hidden="false" customHeight="false" outlineLevel="0" collapsed="false">
      <c r="A3" s="15" t="s">
        <v>1082</v>
      </c>
      <c r="B3" s="15" t="s">
        <v>1083</v>
      </c>
      <c r="C3" s="14" t="s">
        <v>1093</v>
      </c>
      <c r="D3" s="14" t="s">
        <v>1094</v>
      </c>
      <c r="E3" s="16" t="s">
        <v>1095</v>
      </c>
      <c r="F3" s="16" t="s">
        <v>1096</v>
      </c>
      <c r="G3" s="23" t="s">
        <v>43</v>
      </c>
      <c r="H3" s="18" t="n">
        <v>2</v>
      </c>
      <c r="I3" s="20" t="n">
        <v>105.71</v>
      </c>
      <c r="J3" s="20" t="n">
        <v>193.89</v>
      </c>
      <c r="K3" s="18" t="n">
        <v>2</v>
      </c>
      <c r="L3" s="18" t="n">
        <v>10</v>
      </c>
      <c r="M3" s="18" t="n">
        <v>120</v>
      </c>
      <c r="N3" s="18" t="n">
        <v>120</v>
      </c>
      <c r="O3" s="14" t="s">
        <v>1097</v>
      </c>
      <c r="P3" s="14" t="s">
        <v>84</v>
      </c>
      <c r="Q3" s="15" t="s">
        <v>1089</v>
      </c>
      <c r="R3" s="16" t="s">
        <v>1098</v>
      </c>
      <c r="S3" s="15" t="s">
        <v>1099</v>
      </c>
      <c r="T3" s="15" t="s">
        <v>1100</v>
      </c>
      <c r="U3" s="21" t="s">
        <v>72</v>
      </c>
    </row>
    <row r="4" customFormat="false" ht="26.85" hidden="false" customHeight="false" outlineLevel="0" collapsed="false">
      <c r="A4" s="15" t="s">
        <v>1082</v>
      </c>
      <c r="B4" s="15" t="s">
        <v>1083</v>
      </c>
      <c r="C4" s="14" t="s">
        <v>1101</v>
      </c>
      <c r="D4" s="14" t="s">
        <v>1102</v>
      </c>
      <c r="E4" s="16" t="s">
        <v>1103</v>
      </c>
      <c r="F4" s="16" t="s">
        <v>1104</v>
      </c>
      <c r="G4" s="23" t="s">
        <v>43</v>
      </c>
      <c r="H4" s="18" t="n">
        <v>2</v>
      </c>
      <c r="I4" s="20" t="n">
        <v>62.82</v>
      </c>
      <c r="J4" s="20" t="n">
        <v>124</v>
      </c>
      <c r="K4" s="18" t="n">
        <v>15</v>
      </c>
      <c r="L4" s="18" t="n">
        <v>32</v>
      </c>
      <c r="M4" s="18" t="n">
        <v>780</v>
      </c>
      <c r="N4" s="18" t="n">
        <v>156</v>
      </c>
      <c r="O4" s="14" t="s">
        <v>1088</v>
      </c>
      <c r="P4" s="14" t="s">
        <v>118</v>
      </c>
      <c r="Q4" s="15" t="s">
        <v>1089</v>
      </c>
      <c r="R4" s="16" t="s">
        <v>1105</v>
      </c>
      <c r="S4" s="15" t="s">
        <v>1106</v>
      </c>
      <c r="T4" s="15" t="s">
        <v>1107</v>
      </c>
      <c r="U4" s="21" t="s">
        <v>72</v>
      </c>
    </row>
    <row r="5" customFormat="false" ht="26.85" hidden="false" customHeight="false" outlineLevel="0" collapsed="false">
      <c r="A5" s="15" t="s">
        <v>1082</v>
      </c>
      <c r="B5" s="15" t="s">
        <v>1083</v>
      </c>
      <c r="C5" s="14" t="s">
        <v>1108</v>
      </c>
      <c r="D5" s="14" t="s">
        <v>1109</v>
      </c>
      <c r="E5" s="16" t="s">
        <v>1110</v>
      </c>
      <c r="F5" s="16" t="s">
        <v>1111</v>
      </c>
      <c r="G5" s="23" t="s">
        <v>43</v>
      </c>
      <c r="H5" s="18" t="n">
        <v>2</v>
      </c>
      <c r="I5" s="20" t="n">
        <v>68.73</v>
      </c>
      <c r="J5" s="20" t="n">
        <v>149.83</v>
      </c>
      <c r="K5" s="18" t="n">
        <v>4</v>
      </c>
      <c r="L5" s="18" t="n">
        <v>15</v>
      </c>
      <c r="M5" s="18" t="n">
        <v>240</v>
      </c>
      <c r="N5" s="18" t="n">
        <v>240</v>
      </c>
      <c r="O5" s="14" t="s">
        <v>1088</v>
      </c>
      <c r="P5" s="14" t="s">
        <v>84</v>
      </c>
      <c r="Q5" s="15" t="s">
        <v>1089</v>
      </c>
      <c r="R5" s="16" t="s">
        <v>1112</v>
      </c>
      <c r="S5" s="15" t="s">
        <v>1113</v>
      </c>
      <c r="T5" s="15" t="s">
        <v>1114</v>
      </c>
      <c r="U5" s="21" t="s">
        <v>72</v>
      </c>
    </row>
    <row r="6" customFormat="false" ht="15" hidden="false" customHeight="false" outlineLevel="0" collapsed="false">
      <c r="A6" s="15" t="s">
        <v>1082</v>
      </c>
      <c r="B6" s="15" t="s">
        <v>1083</v>
      </c>
      <c r="C6" s="14" t="s">
        <v>1115</v>
      </c>
      <c r="D6" s="14" t="s">
        <v>1116</v>
      </c>
      <c r="E6" s="16" t="s">
        <v>1117</v>
      </c>
      <c r="F6" s="16" t="s">
        <v>1118</v>
      </c>
      <c r="G6" s="23" t="s">
        <v>43</v>
      </c>
      <c r="H6" s="18" t="n">
        <v>1</v>
      </c>
      <c r="I6" s="20" t="n">
        <v>32.88</v>
      </c>
      <c r="J6" s="20" t="n">
        <v>82.8</v>
      </c>
      <c r="K6" s="18" t="n">
        <v>5</v>
      </c>
      <c r="L6" s="18" t="n">
        <v>8</v>
      </c>
      <c r="M6" s="18" t="n">
        <v>135</v>
      </c>
      <c r="N6" s="18" t="n">
        <v>27</v>
      </c>
      <c r="O6" s="14" t="s">
        <v>1097</v>
      </c>
      <c r="P6" s="14" t="s">
        <v>118</v>
      </c>
      <c r="Q6" s="15" t="s">
        <v>1089</v>
      </c>
      <c r="R6" s="16" t="s">
        <v>1119</v>
      </c>
      <c r="S6" s="15" t="s">
        <v>1120</v>
      </c>
      <c r="T6" s="15" t="s">
        <v>1121</v>
      </c>
      <c r="U6" s="21" t="s">
        <v>72</v>
      </c>
    </row>
    <row r="7" customFormat="false" ht="15" hidden="false" customHeight="false" outlineLevel="0" collapsed="false">
      <c r="A7" s="15" t="s">
        <v>1082</v>
      </c>
      <c r="B7" s="15" t="s">
        <v>1083</v>
      </c>
      <c r="C7" s="14" t="s">
        <v>1122</v>
      </c>
      <c r="D7" s="14" t="s">
        <v>1123</v>
      </c>
      <c r="E7" s="16" t="s">
        <v>1124</v>
      </c>
      <c r="F7" s="16" t="s">
        <v>1125</v>
      </c>
      <c r="G7" s="23" t="s">
        <v>43</v>
      </c>
      <c r="H7" s="18" t="n">
        <v>4</v>
      </c>
      <c r="I7" s="20" t="n">
        <v>69.66</v>
      </c>
      <c r="J7" s="20" t="n">
        <v>113.78</v>
      </c>
      <c r="K7" s="18" t="n">
        <v>28</v>
      </c>
      <c r="L7" s="18" t="n">
        <v>7</v>
      </c>
      <c r="M7" s="18" t="n">
        <v>560</v>
      </c>
      <c r="N7" s="18" t="n">
        <v>80</v>
      </c>
      <c r="O7" s="14" t="s">
        <v>1126</v>
      </c>
      <c r="P7" s="14" t="s">
        <v>84</v>
      </c>
      <c r="Q7" s="15" t="s">
        <v>1089</v>
      </c>
      <c r="R7" s="16" t="s">
        <v>1127</v>
      </c>
      <c r="S7" s="15" t="s">
        <v>1128</v>
      </c>
      <c r="T7" s="15" t="s">
        <v>1129</v>
      </c>
      <c r="U7" s="21" t="s">
        <v>72</v>
      </c>
    </row>
    <row r="8" customFormat="false" ht="15" hidden="false" customHeight="false" outlineLevel="0" collapsed="false">
      <c r="A8" s="15" t="s">
        <v>1082</v>
      </c>
      <c r="B8" s="15" t="s">
        <v>1083</v>
      </c>
      <c r="C8" s="14" t="s">
        <v>1130</v>
      </c>
      <c r="D8" s="14" t="s">
        <v>1131</v>
      </c>
      <c r="E8" s="16" t="s">
        <v>1132</v>
      </c>
      <c r="F8" s="16" t="s">
        <v>1133</v>
      </c>
      <c r="G8" s="23" t="s">
        <v>43</v>
      </c>
      <c r="H8" s="18" t="n">
        <v>3</v>
      </c>
      <c r="I8" s="20" t="n">
        <v>44.82</v>
      </c>
      <c r="J8" s="20" t="n">
        <v>104.38</v>
      </c>
      <c r="K8" s="18" t="n">
        <v>2</v>
      </c>
      <c r="L8" s="18" t="n">
        <v>2</v>
      </c>
      <c r="M8" s="18" t="n">
        <v>34</v>
      </c>
      <c r="N8" s="18" t="n">
        <v>34</v>
      </c>
      <c r="O8" s="14" t="s">
        <v>1126</v>
      </c>
      <c r="P8" s="14" t="s">
        <v>84</v>
      </c>
      <c r="Q8" s="15" t="s">
        <v>1089</v>
      </c>
      <c r="R8" s="16" t="s">
        <v>1134</v>
      </c>
      <c r="S8" s="15" t="s">
        <v>1135</v>
      </c>
      <c r="T8" s="15" t="s">
        <v>1136</v>
      </c>
      <c r="U8" s="21" t="s">
        <v>72</v>
      </c>
    </row>
    <row r="9" customFormat="false" ht="15" hidden="false" customHeight="false" outlineLevel="0" collapsed="false">
      <c r="A9" s="15" t="s">
        <v>1082</v>
      </c>
      <c r="B9" s="15" t="s">
        <v>1083</v>
      </c>
      <c r="C9" s="14" t="s">
        <v>1137</v>
      </c>
      <c r="D9" s="14" t="s">
        <v>1138</v>
      </c>
      <c r="E9" s="16" t="s">
        <v>1139</v>
      </c>
      <c r="F9" s="16" t="s">
        <v>1140</v>
      </c>
      <c r="G9" s="19" t="s">
        <v>41</v>
      </c>
      <c r="H9" s="18" t="n">
        <v>3</v>
      </c>
      <c r="I9" s="20" t="n">
        <v>148.82</v>
      </c>
      <c r="J9" s="20" t="n">
        <v>232.991</v>
      </c>
      <c r="K9" s="18" t="n">
        <v>3</v>
      </c>
      <c r="L9" s="18" t="n">
        <v>21</v>
      </c>
      <c r="M9" s="18" t="n">
        <v>180</v>
      </c>
      <c r="N9" s="18" t="n">
        <v>180</v>
      </c>
      <c r="O9" s="14" t="s">
        <v>1097</v>
      </c>
      <c r="P9" s="14" t="s">
        <v>84</v>
      </c>
      <c r="Q9" s="15" t="s">
        <v>1089</v>
      </c>
      <c r="R9" s="16" t="s">
        <v>1141</v>
      </c>
      <c r="S9" s="15" t="s">
        <v>1142</v>
      </c>
      <c r="T9" s="15" t="s">
        <v>1142</v>
      </c>
      <c r="U9" s="21" t="s">
        <v>72</v>
      </c>
    </row>
    <row r="10" customFormat="false" ht="15" hidden="false" customHeight="false" outlineLevel="0" collapsed="false">
      <c r="A10" s="15" t="s">
        <v>1082</v>
      </c>
      <c r="B10" s="15" t="s">
        <v>1083</v>
      </c>
      <c r="C10" s="14" t="s">
        <v>1143</v>
      </c>
      <c r="D10" s="14" t="s">
        <v>1144</v>
      </c>
      <c r="E10" s="16" t="s">
        <v>1145</v>
      </c>
      <c r="F10" s="16" t="s">
        <v>1146</v>
      </c>
      <c r="G10" s="25" t="s">
        <v>39</v>
      </c>
      <c r="H10" s="18" t="n">
        <v>11</v>
      </c>
      <c r="I10" s="20" t="n">
        <v>199.16</v>
      </c>
      <c r="J10" s="20" t="n">
        <v>442.06</v>
      </c>
      <c r="K10" s="18" t="n">
        <v>66</v>
      </c>
      <c r="L10" s="18" t="n">
        <v>28</v>
      </c>
      <c r="M10" s="18" t="n">
        <v>3960</v>
      </c>
      <c r="N10" s="18" t="n">
        <v>660</v>
      </c>
      <c r="O10" s="14" t="s">
        <v>1088</v>
      </c>
      <c r="P10" s="14" t="s">
        <v>84</v>
      </c>
      <c r="Q10" s="15" t="s">
        <v>1089</v>
      </c>
      <c r="R10" s="16" t="s">
        <v>1147</v>
      </c>
      <c r="S10" s="15" t="s">
        <v>1148</v>
      </c>
      <c r="T10" s="15" t="s">
        <v>1149</v>
      </c>
      <c r="U10" s="21" t="s">
        <v>72</v>
      </c>
    </row>
    <row r="11" customFormat="false" ht="15" hidden="false" customHeight="false" outlineLevel="0" collapsed="false">
      <c r="A11" s="15" t="s">
        <v>1082</v>
      </c>
      <c r="B11" s="15" t="s">
        <v>1083</v>
      </c>
      <c r="C11" s="14" t="s">
        <v>1150</v>
      </c>
      <c r="D11" s="14" t="s">
        <v>1151</v>
      </c>
      <c r="E11" s="16" t="s">
        <v>1152</v>
      </c>
      <c r="F11" s="16" t="s">
        <v>1153</v>
      </c>
      <c r="G11" s="19" t="s">
        <v>41</v>
      </c>
      <c r="H11" s="18" t="n">
        <v>5</v>
      </c>
      <c r="I11" s="20" t="n">
        <v>66.58</v>
      </c>
      <c r="J11" s="20" t="n">
        <v>120.09</v>
      </c>
      <c r="K11" s="18" t="n">
        <v>20</v>
      </c>
      <c r="L11" s="18" t="n">
        <v>29</v>
      </c>
      <c r="M11" s="18" t="n">
        <v>1100</v>
      </c>
      <c r="N11" s="18" t="n">
        <v>220</v>
      </c>
      <c r="O11" s="14" t="s">
        <v>1088</v>
      </c>
      <c r="P11" s="14" t="s">
        <v>84</v>
      </c>
      <c r="Q11" s="15" t="s">
        <v>1089</v>
      </c>
      <c r="R11" s="16" t="s">
        <v>1154</v>
      </c>
      <c r="S11" s="15" t="s">
        <v>1148</v>
      </c>
      <c r="T11" s="15" t="s">
        <v>1155</v>
      </c>
      <c r="U11" s="21" t="s">
        <v>72</v>
      </c>
    </row>
    <row r="12" customFormat="false" ht="15" hidden="false" customHeight="false" outlineLevel="0" collapsed="false">
      <c r="A12" s="15" t="s">
        <v>1082</v>
      </c>
      <c r="B12" s="15" t="s">
        <v>1083</v>
      </c>
      <c r="C12" s="14" t="s">
        <v>1156</v>
      </c>
      <c r="D12" s="14" t="s">
        <v>1157</v>
      </c>
      <c r="E12" s="16" t="s">
        <v>1158</v>
      </c>
      <c r="F12" s="16" t="s">
        <v>1159</v>
      </c>
      <c r="G12" s="23" t="s">
        <v>43</v>
      </c>
      <c r="H12" s="18" t="n">
        <v>2</v>
      </c>
      <c r="I12" s="20" t="n">
        <v>51.12</v>
      </c>
      <c r="J12" s="20" t="n">
        <v>166.56</v>
      </c>
      <c r="K12" s="18" t="n">
        <v>2</v>
      </c>
      <c r="L12" s="18" t="n">
        <v>3</v>
      </c>
      <c r="M12" s="18" t="n">
        <v>84</v>
      </c>
      <c r="N12" s="18" t="n">
        <v>84</v>
      </c>
      <c r="O12" s="14" t="s">
        <v>1126</v>
      </c>
      <c r="P12" s="14" t="s">
        <v>84</v>
      </c>
      <c r="Q12" s="15" t="s">
        <v>1089</v>
      </c>
      <c r="R12" s="16" t="s">
        <v>1160</v>
      </c>
      <c r="S12" s="15" t="s">
        <v>1161</v>
      </c>
      <c r="T12" s="15" t="s">
        <v>1161</v>
      </c>
      <c r="U12" s="21" t="s">
        <v>72</v>
      </c>
    </row>
    <row r="13" customFormat="false" ht="15" hidden="false" customHeight="false" outlineLevel="0" collapsed="false">
      <c r="A13" s="15" t="s">
        <v>1082</v>
      </c>
      <c r="B13" s="15" t="s">
        <v>1083</v>
      </c>
      <c r="C13" s="14" t="s">
        <v>1162</v>
      </c>
      <c r="D13" s="14" t="s">
        <v>1163</v>
      </c>
      <c r="E13" s="16" t="s">
        <v>1164</v>
      </c>
      <c r="F13" s="16" t="s">
        <v>1165</v>
      </c>
      <c r="G13" s="19" t="s">
        <v>41</v>
      </c>
      <c r="H13" s="18" t="n">
        <v>7</v>
      </c>
      <c r="I13" s="20" t="n">
        <v>141.28</v>
      </c>
      <c r="J13" s="20" t="n">
        <v>316.3</v>
      </c>
      <c r="K13" s="18" t="n">
        <v>18</v>
      </c>
      <c r="L13" s="18" t="n">
        <v>3</v>
      </c>
      <c r="M13" s="18" t="n">
        <v>180</v>
      </c>
      <c r="N13" s="18" t="n">
        <v>30</v>
      </c>
      <c r="O13" s="14" t="s">
        <v>1088</v>
      </c>
      <c r="P13" s="14" t="s">
        <v>1166</v>
      </c>
      <c r="Q13" s="15" t="s">
        <v>1089</v>
      </c>
      <c r="R13" s="16" t="s">
        <v>1167</v>
      </c>
      <c r="S13" s="15" t="s">
        <v>1168</v>
      </c>
      <c r="T13" s="15" t="s">
        <v>1168</v>
      </c>
      <c r="U13" s="21" t="s">
        <v>72</v>
      </c>
    </row>
    <row r="14" customFormat="false" ht="15" hidden="false" customHeight="false" outlineLevel="0" collapsed="false">
      <c r="A14" s="15" t="s">
        <v>1082</v>
      </c>
      <c r="B14" s="15" t="s">
        <v>1083</v>
      </c>
      <c r="C14" s="14" t="s">
        <v>1169</v>
      </c>
      <c r="D14" s="14" t="s">
        <v>1170</v>
      </c>
      <c r="E14" s="16" t="s">
        <v>1171</v>
      </c>
      <c r="F14" s="16" t="s">
        <v>1172</v>
      </c>
      <c r="G14" s="23" t="s">
        <v>43</v>
      </c>
      <c r="H14" s="18" t="n">
        <v>3</v>
      </c>
      <c r="I14" s="20" t="n">
        <v>48.77</v>
      </c>
      <c r="J14" s="20" t="n">
        <v>98.5</v>
      </c>
      <c r="K14" s="18" t="n">
        <v>1</v>
      </c>
      <c r="L14" s="18" t="n">
        <v>1</v>
      </c>
      <c r="M14" s="18" t="n">
        <v>10</v>
      </c>
      <c r="N14" s="18" t="n">
        <v>10</v>
      </c>
      <c r="O14" s="14" t="s">
        <v>1088</v>
      </c>
      <c r="P14" s="14" t="s">
        <v>118</v>
      </c>
      <c r="Q14" s="15" t="s">
        <v>1089</v>
      </c>
      <c r="R14" s="16" t="s">
        <v>1173</v>
      </c>
      <c r="S14" s="15" t="s">
        <v>1174</v>
      </c>
      <c r="T14" s="15" t="s">
        <v>1174</v>
      </c>
      <c r="U14" s="21" t="s">
        <v>72</v>
      </c>
    </row>
    <row r="15" customFormat="false" ht="15" hidden="false" customHeight="false" outlineLevel="0" collapsed="false">
      <c r="A15" s="15" t="s">
        <v>1082</v>
      </c>
      <c r="B15" s="15" t="s">
        <v>1083</v>
      </c>
      <c r="C15" s="14" t="s">
        <v>1175</v>
      </c>
      <c r="D15" s="14" t="s">
        <v>1176</v>
      </c>
      <c r="E15" s="16" t="s">
        <v>1177</v>
      </c>
      <c r="F15" s="16"/>
      <c r="G15" s="23" t="s">
        <v>43</v>
      </c>
      <c r="H15" s="18" t="n">
        <v>3</v>
      </c>
      <c r="I15" s="20" t="n">
        <v>56.68</v>
      </c>
      <c r="J15" s="20" t="n">
        <v>84.16</v>
      </c>
      <c r="K15" s="18" t="n">
        <v>4</v>
      </c>
      <c r="L15" s="18" t="n">
        <v>3</v>
      </c>
      <c r="M15" s="18" t="n">
        <v>188</v>
      </c>
      <c r="N15" s="18" t="n">
        <v>141</v>
      </c>
      <c r="O15" s="14" t="s">
        <v>1097</v>
      </c>
      <c r="P15" s="14" t="s">
        <v>118</v>
      </c>
      <c r="Q15" s="15" t="s">
        <v>1089</v>
      </c>
      <c r="R15" s="16" t="s">
        <v>1178</v>
      </c>
      <c r="S15" s="15" t="s">
        <v>1179</v>
      </c>
      <c r="T15" s="15" t="s">
        <v>1180</v>
      </c>
      <c r="U15" s="21" t="s">
        <v>72</v>
      </c>
    </row>
    <row r="16" customFormat="false" ht="26.85" hidden="false" customHeight="false" outlineLevel="0" collapsed="false">
      <c r="A16" s="15" t="s">
        <v>1082</v>
      </c>
      <c r="B16" s="15" t="s">
        <v>1083</v>
      </c>
      <c r="C16" s="14" t="s">
        <v>1181</v>
      </c>
      <c r="D16" s="14" t="s">
        <v>1182</v>
      </c>
      <c r="E16" s="16" t="s">
        <v>1183</v>
      </c>
      <c r="F16" s="16" t="s">
        <v>1184</v>
      </c>
      <c r="G16" s="23" t="s">
        <v>43</v>
      </c>
      <c r="H16" s="18" t="n">
        <v>4</v>
      </c>
      <c r="I16" s="20" t="n">
        <v>110.11</v>
      </c>
      <c r="J16" s="20" t="n">
        <v>176.01</v>
      </c>
      <c r="K16" s="18" t="n">
        <v>2</v>
      </c>
      <c r="L16" s="18" t="n">
        <v>4</v>
      </c>
      <c r="M16" s="18" t="n">
        <v>120</v>
      </c>
      <c r="N16" s="18" t="n">
        <v>60</v>
      </c>
      <c r="O16" s="14" t="s">
        <v>1126</v>
      </c>
      <c r="P16" s="14" t="s">
        <v>1185</v>
      </c>
      <c r="Q16" s="15" t="s">
        <v>1089</v>
      </c>
      <c r="R16" s="16" t="s">
        <v>1186</v>
      </c>
      <c r="S16" s="15" t="s">
        <v>1187</v>
      </c>
      <c r="T16" s="15" t="s">
        <v>1188</v>
      </c>
      <c r="U16" s="21" t="s">
        <v>72</v>
      </c>
    </row>
    <row r="17" customFormat="false" ht="26.85" hidden="false" customHeight="false" outlineLevel="0" collapsed="false">
      <c r="A17" s="15" t="s">
        <v>1082</v>
      </c>
      <c r="B17" s="15" t="s">
        <v>1083</v>
      </c>
      <c r="C17" s="14" t="s">
        <v>1189</v>
      </c>
      <c r="D17" s="14" t="s">
        <v>1190</v>
      </c>
      <c r="E17" s="16" t="s">
        <v>1191</v>
      </c>
      <c r="F17" s="16" t="s">
        <v>1192</v>
      </c>
      <c r="G17" s="23" t="s">
        <v>43</v>
      </c>
      <c r="H17" s="18" t="n">
        <v>2</v>
      </c>
      <c r="I17" s="20" t="n">
        <v>37.57</v>
      </c>
      <c r="J17" s="20" t="n">
        <v>100</v>
      </c>
      <c r="K17" s="18" t="n">
        <v>14</v>
      </c>
      <c r="L17" s="18" t="n">
        <v>6</v>
      </c>
      <c r="M17" s="18" t="n">
        <v>434</v>
      </c>
      <c r="N17" s="18" t="n">
        <v>62</v>
      </c>
      <c r="O17" s="14" t="s">
        <v>1097</v>
      </c>
      <c r="P17" s="14" t="s">
        <v>872</v>
      </c>
      <c r="Q17" s="15" t="s">
        <v>1089</v>
      </c>
      <c r="R17" s="16" t="s">
        <v>1193</v>
      </c>
      <c r="S17" s="15" t="s">
        <v>1194</v>
      </c>
      <c r="T17" s="15" t="s">
        <v>1194</v>
      </c>
      <c r="U17" s="21" t="s">
        <v>72</v>
      </c>
    </row>
    <row r="18" customFormat="false" ht="15" hidden="false" customHeight="false" outlineLevel="0" collapsed="false">
      <c r="A18" s="15" t="s">
        <v>1082</v>
      </c>
      <c r="B18" s="15" t="s">
        <v>1083</v>
      </c>
      <c r="C18" s="14" t="s">
        <v>1195</v>
      </c>
      <c r="D18" s="14" t="s">
        <v>1196</v>
      </c>
      <c r="E18" s="16" t="s">
        <v>1197</v>
      </c>
      <c r="F18" s="16" t="s">
        <v>1198</v>
      </c>
      <c r="G18" s="23" t="s">
        <v>43</v>
      </c>
      <c r="H18" s="18" t="n">
        <v>2</v>
      </c>
      <c r="I18" s="20" t="n">
        <v>38.23</v>
      </c>
      <c r="J18" s="20" t="n">
        <v>84.67</v>
      </c>
      <c r="K18" s="18" t="n">
        <v>10</v>
      </c>
      <c r="L18" s="18" t="n">
        <v>3</v>
      </c>
      <c r="M18" s="18" t="n">
        <v>310</v>
      </c>
      <c r="N18" s="18" t="n">
        <v>62</v>
      </c>
      <c r="O18" s="14" t="s">
        <v>1097</v>
      </c>
      <c r="P18" s="14" t="s">
        <v>84</v>
      </c>
      <c r="Q18" s="15" t="s">
        <v>1089</v>
      </c>
      <c r="R18" s="16" t="s">
        <v>1199</v>
      </c>
      <c r="S18" s="15" t="s">
        <v>1200</v>
      </c>
      <c r="T18" s="15" t="s">
        <v>1201</v>
      </c>
      <c r="U18" s="21" t="s">
        <v>72</v>
      </c>
    </row>
    <row r="19" customFormat="false" ht="15" hidden="false" customHeight="false" outlineLevel="0" collapsed="false">
      <c r="A19" s="15" t="s">
        <v>1082</v>
      </c>
      <c r="B19" s="15" t="s">
        <v>1083</v>
      </c>
      <c r="C19" s="14" t="s">
        <v>1202</v>
      </c>
      <c r="D19" s="14" t="s">
        <v>1203</v>
      </c>
      <c r="E19" s="16" t="s">
        <v>1204</v>
      </c>
      <c r="F19" s="16" t="s">
        <v>1205</v>
      </c>
      <c r="G19" s="23" t="s">
        <v>43</v>
      </c>
      <c r="H19" s="18" t="n">
        <v>2</v>
      </c>
      <c r="I19" s="20" t="n">
        <v>35.56</v>
      </c>
      <c r="J19" s="20" t="n">
        <v>71</v>
      </c>
      <c r="K19" s="18" t="n">
        <v>4</v>
      </c>
      <c r="L19" s="18" t="n">
        <v>2</v>
      </c>
      <c r="M19" s="18" t="n">
        <v>116</v>
      </c>
      <c r="N19" s="18" t="n">
        <v>58</v>
      </c>
      <c r="O19" s="14" t="s">
        <v>1206</v>
      </c>
      <c r="P19" s="14" t="s">
        <v>84</v>
      </c>
      <c r="Q19" s="15" t="s">
        <v>1089</v>
      </c>
      <c r="R19" s="16" t="s">
        <v>1207</v>
      </c>
      <c r="S19" s="15" t="s">
        <v>1208</v>
      </c>
      <c r="T19" s="15" t="s">
        <v>1209</v>
      </c>
      <c r="U19" s="21" t="s">
        <v>72</v>
      </c>
    </row>
    <row r="20" customFormat="false" ht="15" hidden="false" customHeight="false" outlineLevel="0" collapsed="false">
      <c r="A20" s="15" t="s">
        <v>1082</v>
      </c>
      <c r="B20" s="15" t="s">
        <v>1083</v>
      </c>
      <c r="C20" s="14" t="s">
        <v>1210</v>
      </c>
      <c r="D20" s="14" t="s">
        <v>1211</v>
      </c>
      <c r="E20" s="16" t="s">
        <v>1212</v>
      </c>
      <c r="F20" s="16" t="s">
        <v>1213</v>
      </c>
      <c r="G20" s="19" t="s">
        <v>41</v>
      </c>
      <c r="H20" s="18" t="n">
        <v>7</v>
      </c>
      <c r="I20" s="20" t="n">
        <v>73.21</v>
      </c>
      <c r="J20" s="20" t="n">
        <v>146.74</v>
      </c>
      <c r="K20" s="18" t="n">
        <v>14</v>
      </c>
      <c r="L20" s="18" t="n">
        <v>29</v>
      </c>
      <c r="M20" s="18" t="n">
        <v>840</v>
      </c>
      <c r="N20" s="18" t="n">
        <v>420</v>
      </c>
      <c r="O20" s="14" t="s">
        <v>1097</v>
      </c>
      <c r="P20" s="14" t="s">
        <v>84</v>
      </c>
      <c r="Q20" s="15" t="s">
        <v>1089</v>
      </c>
      <c r="R20" s="16" t="s">
        <v>1214</v>
      </c>
      <c r="S20" s="15" t="s">
        <v>1215</v>
      </c>
      <c r="T20" s="15" t="s">
        <v>1216</v>
      </c>
      <c r="U20" s="21" t="s">
        <v>72</v>
      </c>
    </row>
    <row r="21" customFormat="false" ht="15" hidden="false" customHeight="false" outlineLevel="0" collapsed="false">
      <c r="A21" s="15" t="s">
        <v>1082</v>
      </c>
      <c r="B21" s="15" t="s">
        <v>1083</v>
      </c>
      <c r="C21" s="14" t="s">
        <v>1217</v>
      </c>
      <c r="D21" s="14" t="s">
        <v>1218</v>
      </c>
      <c r="E21" s="16" t="s">
        <v>1219</v>
      </c>
      <c r="F21" s="16" t="s">
        <v>1220</v>
      </c>
      <c r="G21" s="23" t="s">
        <v>43</v>
      </c>
      <c r="H21" s="18" t="n">
        <v>2</v>
      </c>
      <c r="I21" s="20" t="n">
        <v>76.36</v>
      </c>
      <c r="J21" s="20" t="n">
        <v>143.52</v>
      </c>
      <c r="K21" s="18" t="n">
        <v>2</v>
      </c>
      <c r="L21" s="18" t="n">
        <v>15</v>
      </c>
      <c r="M21" s="18" t="n">
        <v>120</v>
      </c>
      <c r="N21" s="18" t="n">
        <v>120</v>
      </c>
      <c r="O21" s="14" t="s">
        <v>1097</v>
      </c>
      <c r="P21" s="14" t="s">
        <v>84</v>
      </c>
      <c r="Q21" s="15" t="s">
        <v>1089</v>
      </c>
      <c r="R21" s="16" t="s">
        <v>1221</v>
      </c>
      <c r="S21" s="16" t="s">
        <v>1222</v>
      </c>
      <c r="T21" s="15" t="s">
        <v>1223</v>
      </c>
      <c r="U21" s="21" t="s">
        <v>72</v>
      </c>
    </row>
    <row r="22" customFormat="false" ht="15" hidden="false" customHeight="false" outlineLevel="0" collapsed="false">
      <c r="A22" s="15" t="s">
        <v>1082</v>
      </c>
      <c r="B22" s="15" t="s">
        <v>1083</v>
      </c>
      <c r="C22" s="14" t="s">
        <v>1224</v>
      </c>
      <c r="D22" s="14" t="s">
        <v>1225</v>
      </c>
      <c r="E22" s="16" t="s">
        <v>1226</v>
      </c>
      <c r="F22" s="16" t="s">
        <v>1227</v>
      </c>
      <c r="G22" s="25" t="s">
        <v>39</v>
      </c>
      <c r="H22" s="18" t="n">
        <v>8</v>
      </c>
      <c r="I22" s="20" t="n">
        <v>204</v>
      </c>
      <c r="J22" s="20" t="n">
        <v>389.41</v>
      </c>
      <c r="K22" s="18" t="n">
        <v>36</v>
      </c>
      <c r="L22" s="18" t="n">
        <v>54</v>
      </c>
      <c r="M22" s="18" t="n">
        <v>2160</v>
      </c>
      <c r="N22" s="18" t="n">
        <v>240</v>
      </c>
      <c r="O22" s="14" t="s">
        <v>1097</v>
      </c>
      <c r="P22" s="14" t="s">
        <v>84</v>
      </c>
      <c r="Q22" s="15" t="s">
        <v>1089</v>
      </c>
      <c r="R22" s="16" t="s">
        <v>1228</v>
      </c>
      <c r="S22" s="15" t="s">
        <v>1229</v>
      </c>
      <c r="T22" s="15" t="s">
        <v>1229</v>
      </c>
      <c r="U22" s="21" t="s">
        <v>72</v>
      </c>
    </row>
    <row r="23" customFormat="false" ht="15" hidden="false" customHeight="false" outlineLevel="0" collapsed="false">
      <c r="A23" s="15" t="s">
        <v>1082</v>
      </c>
      <c r="B23" s="15" t="s">
        <v>1083</v>
      </c>
      <c r="C23" s="14" t="s">
        <v>1230</v>
      </c>
      <c r="D23" s="14" t="s">
        <v>1231</v>
      </c>
      <c r="E23" s="16" t="s">
        <v>1232</v>
      </c>
      <c r="F23" s="16" t="s">
        <v>1233</v>
      </c>
      <c r="G23" s="19" t="s">
        <v>41</v>
      </c>
      <c r="H23" s="18" t="n">
        <v>5</v>
      </c>
      <c r="I23" s="20" t="n">
        <v>84.62</v>
      </c>
      <c r="J23" s="20" t="n">
        <v>183.39</v>
      </c>
      <c r="K23" s="18" t="n">
        <v>12</v>
      </c>
      <c r="L23" s="18" t="n">
        <v>1</v>
      </c>
      <c r="M23" s="18" t="n">
        <v>720</v>
      </c>
      <c r="N23" s="18" t="n">
        <v>180</v>
      </c>
      <c r="O23" s="14" t="s">
        <v>1097</v>
      </c>
      <c r="P23" s="14" t="s">
        <v>1234</v>
      </c>
      <c r="Q23" s="15" t="s">
        <v>1089</v>
      </c>
      <c r="R23" s="16" t="s">
        <v>1235</v>
      </c>
      <c r="S23" s="15" t="s">
        <v>1236</v>
      </c>
      <c r="T23" s="15" t="s">
        <v>1237</v>
      </c>
      <c r="U23" s="21" t="s">
        <v>72</v>
      </c>
    </row>
    <row r="24" customFormat="false" ht="15" hidden="false" customHeight="false" outlineLevel="0" collapsed="false">
      <c r="A24" s="15" t="s">
        <v>1082</v>
      </c>
      <c r="B24" s="15" t="s">
        <v>1083</v>
      </c>
      <c r="C24" s="14" t="s">
        <v>1238</v>
      </c>
      <c r="D24" s="14" t="s">
        <v>1239</v>
      </c>
      <c r="E24" s="16" t="s">
        <v>1240</v>
      </c>
      <c r="F24" s="16" t="s">
        <v>1241</v>
      </c>
      <c r="G24" s="23" t="s">
        <v>43</v>
      </c>
      <c r="H24" s="18" t="n">
        <v>1</v>
      </c>
      <c r="I24" s="20" t="n">
        <v>40.9</v>
      </c>
      <c r="J24" s="20" t="n">
        <v>72.81</v>
      </c>
      <c r="K24" s="18" t="n">
        <v>5</v>
      </c>
      <c r="L24" s="18" t="n">
        <v>1</v>
      </c>
      <c r="M24" s="18" t="n">
        <v>170</v>
      </c>
      <c r="N24" s="18" t="n">
        <v>170</v>
      </c>
      <c r="O24" s="14" t="s">
        <v>1097</v>
      </c>
      <c r="P24" s="14" t="s">
        <v>84</v>
      </c>
      <c r="Q24" s="15" t="s">
        <v>1089</v>
      </c>
      <c r="R24" s="16" t="s">
        <v>1242</v>
      </c>
      <c r="S24" s="15" t="s">
        <v>1243</v>
      </c>
      <c r="T24" s="15" t="s">
        <v>1243</v>
      </c>
      <c r="U24" s="21" t="s">
        <v>72</v>
      </c>
    </row>
    <row r="25" customFormat="false" ht="26.85" hidden="false" customHeight="false" outlineLevel="0" collapsed="false">
      <c r="A25" s="15" t="s">
        <v>1082</v>
      </c>
      <c r="B25" s="15" t="s">
        <v>1083</v>
      </c>
      <c r="C25" s="14" t="s">
        <v>1244</v>
      </c>
      <c r="D25" s="14" t="s">
        <v>1245</v>
      </c>
      <c r="E25" s="16" t="s">
        <v>1246</v>
      </c>
      <c r="F25" s="16" t="s">
        <v>1247</v>
      </c>
      <c r="G25" s="23" t="s">
        <v>43</v>
      </c>
      <c r="H25" s="18" t="n">
        <v>2</v>
      </c>
      <c r="I25" s="20" t="n">
        <v>44.67</v>
      </c>
      <c r="J25" s="20" t="n">
        <v>81.93</v>
      </c>
      <c r="K25" s="18" t="n">
        <v>28</v>
      </c>
      <c r="L25" s="18" t="n">
        <v>19</v>
      </c>
      <c r="M25" s="18" t="n">
        <v>672</v>
      </c>
      <c r="N25" s="18" t="n">
        <v>96</v>
      </c>
      <c r="O25" s="14" t="s">
        <v>1097</v>
      </c>
      <c r="P25" s="14" t="s">
        <v>872</v>
      </c>
      <c r="Q25" s="15" t="s">
        <v>1089</v>
      </c>
      <c r="R25" s="16" t="s">
        <v>1248</v>
      </c>
      <c r="S25" s="15" t="s">
        <v>1249</v>
      </c>
      <c r="T25" s="15" t="s">
        <v>1249</v>
      </c>
      <c r="U25" s="21" t="s">
        <v>72</v>
      </c>
    </row>
    <row r="26" customFormat="false" ht="15" hidden="false" customHeight="false" outlineLevel="0" collapsed="false">
      <c r="A26" s="15" t="s">
        <v>1082</v>
      </c>
      <c r="B26" s="15" t="s">
        <v>1083</v>
      </c>
      <c r="C26" s="14" t="s">
        <v>1250</v>
      </c>
      <c r="D26" s="14" t="s">
        <v>1251</v>
      </c>
      <c r="E26" s="16" t="s">
        <v>1252</v>
      </c>
      <c r="F26" s="16" t="s">
        <v>1253</v>
      </c>
      <c r="G26" s="19" t="s">
        <v>41</v>
      </c>
      <c r="H26" s="18" t="n">
        <v>6</v>
      </c>
      <c r="I26" s="20" t="n">
        <v>134.01</v>
      </c>
      <c r="J26" s="20" t="n">
        <v>169.52</v>
      </c>
      <c r="K26" s="18" t="n">
        <v>6</v>
      </c>
      <c r="L26" s="18" t="n">
        <v>12</v>
      </c>
      <c r="M26" s="18" t="n">
        <v>360</v>
      </c>
      <c r="N26" s="18" t="n">
        <v>360</v>
      </c>
      <c r="O26" s="14" t="s">
        <v>1097</v>
      </c>
      <c r="P26" s="14" t="s">
        <v>84</v>
      </c>
      <c r="Q26" s="15" t="s">
        <v>1089</v>
      </c>
      <c r="R26" s="16" t="s">
        <v>1254</v>
      </c>
      <c r="S26" s="15" t="s">
        <v>1255</v>
      </c>
      <c r="T26" s="15" t="s">
        <v>1255</v>
      </c>
      <c r="U26" s="21" t="s">
        <v>72</v>
      </c>
    </row>
    <row r="27" customFormat="false" ht="26.85" hidden="false" customHeight="false" outlineLevel="0" collapsed="false">
      <c r="A27" s="15" t="s">
        <v>1082</v>
      </c>
      <c r="B27" s="15" t="s">
        <v>1083</v>
      </c>
      <c r="C27" s="14" t="s">
        <v>1256</v>
      </c>
      <c r="D27" s="14" t="s">
        <v>1257</v>
      </c>
      <c r="E27" s="16" t="s">
        <v>1258</v>
      </c>
      <c r="F27" s="16" t="s">
        <v>1259</v>
      </c>
      <c r="G27" s="23" t="s">
        <v>43</v>
      </c>
      <c r="H27" s="18" t="n">
        <v>3</v>
      </c>
      <c r="I27" s="20" t="n">
        <v>37.87</v>
      </c>
      <c r="J27" s="20" t="n">
        <v>77.56</v>
      </c>
      <c r="K27" s="18" t="n">
        <v>12</v>
      </c>
      <c r="L27" s="18" t="n">
        <v>1</v>
      </c>
      <c r="M27" s="18" t="n">
        <v>372</v>
      </c>
      <c r="N27" s="18" t="n">
        <v>124</v>
      </c>
      <c r="O27" s="14" t="s">
        <v>1097</v>
      </c>
      <c r="P27" s="14" t="s">
        <v>1260</v>
      </c>
      <c r="Q27" s="15" t="s">
        <v>1089</v>
      </c>
      <c r="R27" s="16" t="s">
        <v>1261</v>
      </c>
      <c r="S27" s="15" t="s">
        <v>1262</v>
      </c>
      <c r="T27" s="15" t="s">
        <v>1263</v>
      </c>
      <c r="U27" s="21" t="s">
        <v>72</v>
      </c>
    </row>
    <row r="28" customFormat="false" ht="15" hidden="false" customHeight="false" outlineLevel="0" collapsed="false">
      <c r="A28" s="15" t="s">
        <v>1082</v>
      </c>
      <c r="B28" s="15" t="s">
        <v>1083</v>
      </c>
      <c r="C28" s="14" t="s">
        <v>1264</v>
      </c>
      <c r="D28" s="14" t="s">
        <v>1265</v>
      </c>
      <c r="E28" s="16" t="s">
        <v>1266</v>
      </c>
      <c r="F28" s="16" t="s">
        <v>1267</v>
      </c>
      <c r="G28" s="19" t="s">
        <v>41</v>
      </c>
      <c r="H28" s="18" t="n">
        <v>7</v>
      </c>
      <c r="I28" s="20" t="n">
        <v>110.69</v>
      </c>
      <c r="J28" s="20" t="n">
        <v>178.89</v>
      </c>
      <c r="K28" s="18" t="n">
        <v>15</v>
      </c>
      <c r="L28" s="18" t="n">
        <v>13</v>
      </c>
      <c r="M28" s="18" t="n">
        <v>225</v>
      </c>
      <c r="N28" s="18" t="n">
        <v>45</v>
      </c>
      <c r="O28" s="14" t="s">
        <v>1097</v>
      </c>
      <c r="P28" s="14" t="s">
        <v>118</v>
      </c>
      <c r="Q28" s="15" t="s">
        <v>1089</v>
      </c>
      <c r="R28" s="16" t="s">
        <v>1268</v>
      </c>
      <c r="S28" s="15" t="s">
        <v>1269</v>
      </c>
      <c r="T28" s="15" t="s">
        <v>1269</v>
      </c>
      <c r="U28" s="21" t="s">
        <v>72</v>
      </c>
    </row>
    <row r="29" customFormat="false" ht="26.85" hidden="false" customHeight="false" outlineLevel="0" collapsed="false">
      <c r="A29" s="15" t="s">
        <v>1082</v>
      </c>
      <c r="B29" s="15" t="s">
        <v>1083</v>
      </c>
      <c r="C29" s="14" t="s">
        <v>1270</v>
      </c>
      <c r="D29" s="14" t="s">
        <v>1271</v>
      </c>
      <c r="E29" s="16" t="s">
        <v>1272</v>
      </c>
      <c r="F29" s="16" t="s">
        <v>1273</v>
      </c>
      <c r="G29" s="23" t="s">
        <v>43</v>
      </c>
      <c r="H29" s="18" t="n">
        <v>4</v>
      </c>
      <c r="I29" s="20" t="n">
        <v>57.51</v>
      </c>
      <c r="J29" s="20" t="n">
        <v>162.98</v>
      </c>
      <c r="K29" s="18" t="n">
        <v>4</v>
      </c>
      <c r="L29" s="18" t="n">
        <v>3</v>
      </c>
      <c r="M29" s="18" t="n">
        <v>188</v>
      </c>
      <c r="N29" s="18" t="n">
        <v>188</v>
      </c>
      <c r="O29" s="14" t="s">
        <v>1097</v>
      </c>
      <c r="P29" s="14" t="s">
        <v>84</v>
      </c>
      <c r="Q29" s="15" t="s">
        <v>1089</v>
      </c>
      <c r="R29" s="16" t="s">
        <v>1274</v>
      </c>
      <c r="S29" s="15" t="s">
        <v>1275</v>
      </c>
      <c r="T29" s="15" t="s">
        <v>1276</v>
      </c>
      <c r="U29" s="21" t="s">
        <v>72</v>
      </c>
    </row>
    <row r="30" customFormat="false" ht="15" hidden="false" customHeight="false" outlineLevel="0" collapsed="false">
      <c r="A30" s="15" t="s">
        <v>1082</v>
      </c>
      <c r="B30" s="15" t="s">
        <v>1083</v>
      </c>
      <c r="C30" s="14" t="s">
        <v>1277</v>
      </c>
      <c r="D30" s="14" t="s">
        <v>1278</v>
      </c>
      <c r="E30" s="16" t="s">
        <v>1279</v>
      </c>
      <c r="F30" s="16" t="s">
        <v>1280</v>
      </c>
      <c r="G30" s="23" t="s">
        <v>43</v>
      </c>
      <c r="H30" s="18" t="n">
        <v>2</v>
      </c>
      <c r="I30" s="20" t="n">
        <v>37.78</v>
      </c>
      <c r="J30" s="20" t="n">
        <v>90.78</v>
      </c>
      <c r="K30" s="18" t="n">
        <v>3</v>
      </c>
      <c r="L30" s="18" t="n">
        <v>6</v>
      </c>
      <c r="M30" s="18" t="n">
        <v>102</v>
      </c>
      <c r="N30" s="18" t="n">
        <v>102</v>
      </c>
      <c r="O30" s="14" t="s">
        <v>1088</v>
      </c>
      <c r="P30" s="14" t="s">
        <v>84</v>
      </c>
      <c r="Q30" s="15" t="s">
        <v>1089</v>
      </c>
      <c r="R30" s="16" t="s">
        <v>1281</v>
      </c>
      <c r="S30" s="15" t="s">
        <v>1282</v>
      </c>
      <c r="T30" s="15" t="s">
        <v>1283</v>
      </c>
      <c r="U30" s="21" t="s">
        <v>72</v>
      </c>
    </row>
    <row r="31" customFormat="false" ht="39.55" hidden="false" customHeight="false" outlineLevel="0" collapsed="false">
      <c r="A31" s="15" t="s">
        <v>1082</v>
      </c>
      <c r="B31" s="15" t="s">
        <v>1083</v>
      </c>
      <c r="C31" s="14" t="s">
        <v>1284</v>
      </c>
      <c r="D31" s="14" t="s">
        <v>1285</v>
      </c>
      <c r="E31" s="16" t="s">
        <v>1286</v>
      </c>
      <c r="F31" s="16" t="s">
        <v>1287</v>
      </c>
      <c r="G31" s="19" t="s">
        <v>41</v>
      </c>
      <c r="H31" s="18" t="n">
        <v>5</v>
      </c>
      <c r="I31" s="20" t="n">
        <v>224.04</v>
      </c>
      <c r="J31" s="20" t="n">
        <v>360.9</v>
      </c>
      <c r="K31" s="18" t="n">
        <v>8</v>
      </c>
      <c r="L31" s="18" t="n">
        <v>6</v>
      </c>
      <c r="M31" s="18" t="n">
        <v>480</v>
      </c>
      <c r="N31" s="18" t="n">
        <v>60</v>
      </c>
      <c r="O31" s="14" t="s">
        <v>1097</v>
      </c>
      <c r="P31" s="14" t="s">
        <v>1288</v>
      </c>
      <c r="Q31" s="15" t="s">
        <v>1089</v>
      </c>
      <c r="R31" s="16" t="s">
        <v>1289</v>
      </c>
      <c r="S31" s="15" t="s">
        <v>1290</v>
      </c>
      <c r="T31" s="15" t="s">
        <v>1291</v>
      </c>
      <c r="U31" s="21" t="s">
        <v>72</v>
      </c>
    </row>
    <row r="32" customFormat="false" ht="15" hidden="false" customHeight="false" outlineLevel="0" collapsed="false">
      <c r="A32" s="15" t="s">
        <v>1082</v>
      </c>
      <c r="B32" s="15" t="s">
        <v>1292</v>
      </c>
      <c r="C32" s="14" t="s">
        <v>1293</v>
      </c>
      <c r="D32" s="14" t="s">
        <v>1294</v>
      </c>
      <c r="E32" s="16" t="s">
        <v>1295</v>
      </c>
      <c r="F32" s="16" t="s">
        <v>1296</v>
      </c>
      <c r="G32" s="23" t="s">
        <v>43</v>
      </c>
      <c r="H32" s="18" t="n">
        <v>3</v>
      </c>
      <c r="I32" s="20" t="n">
        <v>165.65</v>
      </c>
      <c r="J32" s="20" t="n">
        <v>193.76</v>
      </c>
      <c r="K32" s="18" t="n">
        <v>210</v>
      </c>
      <c r="L32" s="18" t="n">
        <v>57</v>
      </c>
      <c r="M32" s="18" t="n">
        <v>9240</v>
      </c>
      <c r="N32" s="18" t="n">
        <v>440</v>
      </c>
      <c r="O32" s="14" t="s">
        <v>1088</v>
      </c>
      <c r="P32" s="14" t="s">
        <v>84</v>
      </c>
      <c r="Q32" s="15" t="s">
        <v>1089</v>
      </c>
      <c r="R32" s="16" t="s">
        <v>1297</v>
      </c>
      <c r="S32" s="15" t="s">
        <v>1298</v>
      </c>
      <c r="T32" s="15" t="s">
        <v>1299</v>
      </c>
      <c r="U32" s="21" t="s">
        <v>72</v>
      </c>
    </row>
    <row r="33" customFormat="false" ht="15" hidden="false" customHeight="false" outlineLevel="0" collapsed="false">
      <c r="A33" s="15" t="s">
        <v>1082</v>
      </c>
      <c r="B33" s="15" t="s">
        <v>1292</v>
      </c>
      <c r="C33" s="14" t="s">
        <v>1300</v>
      </c>
      <c r="D33" s="14" t="s">
        <v>1301</v>
      </c>
      <c r="E33" s="16" t="s">
        <v>1295</v>
      </c>
      <c r="F33" s="16" t="s">
        <v>1296</v>
      </c>
      <c r="G33" s="23" t="s">
        <v>43</v>
      </c>
      <c r="H33" s="18" t="n">
        <v>3</v>
      </c>
      <c r="I33" s="20" t="n">
        <v>85.8</v>
      </c>
      <c r="J33" s="20" t="n">
        <v>127.87</v>
      </c>
      <c r="K33" s="18" t="n">
        <v>180</v>
      </c>
      <c r="L33" s="18" t="n">
        <v>47</v>
      </c>
      <c r="M33" s="18" t="n">
        <v>3060</v>
      </c>
      <c r="N33" s="18" t="n">
        <v>170</v>
      </c>
      <c r="O33" s="14" t="s">
        <v>1097</v>
      </c>
      <c r="P33" s="14" t="s">
        <v>84</v>
      </c>
      <c r="Q33" s="15" t="s">
        <v>1089</v>
      </c>
      <c r="R33" s="16" t="s">
        <v>1297</v>
      </c>
      <c r="S33" s="15" t="s">
        <v>1298</v>
      </c>
      <c r="T33" s="15" t="s">
        <v>1302</v>
      </c>
      <c r="U33" s="21" t="s">
        <v>72</v>
      </c>
    </row>
    <row r="34" customFormat="false" ht="26.85" hidden="false" customHeight="false" outlineLevel="0" collapsed="false">
      <c r="A34" s="15" t="s">
        <v>1082</v>
      </c>
      <c r="B34" s="15" t="s">
        <v>1292</v>
      </c>
      <c r="C34" s="14" t="s">
        <v>1303</v>
      </c>
      <c r="D34" s="14" t="s">
        <v>1304</v>
      </c>
      <c r="E34" s="16" t="s">
        <v>1305</v>
      </c>
      <c r="F34" s="16" t="s">
        <v>1306</v>
      </c>
      <c r="G34" s="25" t="s">
        <v>39</v>
      </c>
      <c r="H34" s="18" t="n">
        <v>11</v>
      </c>
      <c r="I34" s="20" t="n">
        <v>117.84</v>
      </c>
      <c r="J34" s="20" t="n">
        <v>282.56</v>
      </c>
      <c r="K34" s="18" t="n">
        <v>8</v>
      </c>
      <c r="L34" s="18" t="n">
        <v>90</v>
      </c>
      <c r="M34" s="18" t="n">
        <v>480</v>
      </c>
      <c r="N34" s="18" t="n">
        <v>60</v>
      </c>
      <c r="O34" s="14" t="s">
        <v>1097</v>
      </c>
      <c r="P34" s="14" t="s">
        <v>84</v>
      </c>
      <c r="Q34" s="15" t="s">
        <v>1089</v>
      </c>
      <c r="R34" s="16" t="s">
        <v>1307</v>
      </c>
      <c r="S34" s="15" t="s">
        <v>1308</v>
      </c>
      <c r="T34" s="15" t="s">
        <v>1309</v>
      </c>
      <c r="U34" s="21" t="s">
        <v>72</v>
      </c>
    </row>
    <row r="35" customFormat="false" ht="26.85" hidden="false" customHeight="false" outlineLevel="0" collapsed="false">
      <c r="A35" s="15" t="s">
        <v>1082</v>
      </c>
      <c r="B35" s="15" t="s">
        <v>1292</v>
      </c>
      <c r="C35" s="14" t="s">
        <v>1310</v>
      </c>
      <c r="D35" s="14" t="s">
        <v>1311</v>
      </c>
      <c r="E35" s="16" t="s">
        <v>1312</v>
      </c>
      <c r="F35" s="16" t="s">
        <v>1306</v>
      </c>
      <c r="G35" s="25" t="s">
        <v>39</v>
      </c>
      <c r="H35" s="18" t="n">
        <v>31</v>
      </c>
      <c r="I35" s="20" t="n">
        <v>169.53</v>
      </c>
      <c r="J35" s="20" t="n">
        <v>281.17</v>
      </c>
      <c r="K35" s="18" t="n">
        <v>10</v>
      </c>
      <c r="L35" s="18" t="n">
        <v>49</v>
      </c>
      <c r="M35" s="18" t="n">
        <v>600</v>
      </c>
      <c r="N35" s="18" t="n">
        <v>120</v>
      </c>
      <c r="O35" s="14" t="s">
        <v>1097</v>
      </c>
      <c r="P35" s="14" t="s">
        <v>84</v>
      </c>
      <c r="Q35" s="15" t="s">
        <v>1089</v>
      </c>
      <c r="R35" s="16" t="s">
        <v>1313</v>
      </c>
      <c r="S35" s="15" t="s">
        <v>1308</v>
      </c>
      <c r="T35" s="15" t="s">
        <v>1314</v>
      </c>
      <c r="U35" s="21" t="s">
        <v>72</v>
      </c>
    </row>
    <row r="36" customFormat="false" ht="26.85" hidden="false" customHeight="false" outlineLevel="0" collapsed="false">
      <c r="A36" s="15" t="s">
        <v>1082</v>
      </c>
      <c r="B36" s="15" t="s">
        <v>1292</v>
      </c>
      <c r="C36" s="14" t="s">
        <v>1315</v>
      </c>
      <c r="D36" s="14" t="s">
        <v>1316</v>
      </c>
      <c r="E36" s="16" t="s">
        <v>1317</v>
      </c>
      <c r="F36" s="16" t="s">
        <v>1318</v>
      </c>
      <c r="G36" s="23" t="s">
        <v>43</v>
      </c>
      <c r="H36" s="18" t="n">
        <v>1</v>
      </c>
      <c r="I36" s="20" t="n">
        <v>49.89</v>
      </c>
      <c r="J36" s="20" t="n">
        <v>173.27</v>
      </c>
      <c r="K36" s="18" t="n">
        <v>2</v>
      </c>
      <c r="L36" s="18" t="n">
        <v>5</v>
      </c>
      <c r="M36" s="18" t="n">
        <v>82</v>
      </c>
      <c r="N36" s="18" t="n">
        <v>41</v>
      </c>
      <c r="O36" s="14" t="s">
        <v>1097</v>
      </c>
      <c r="P36" s="14" t="s">
        <v>515</v>
      </c>
      <c r="Q36" s="15" t="s">
        <v>1089</v>
      </c>
      <c r="R36" s="16" t="s">
        <v>1319</v>
      </c>
      <c r="S36" s="15" t="s">
        <v>1320</v>
      </c>
      <c r="T36" s="15" t="s">
        <v>1321</v>
      </c>
      <c r="U36" s="21" t="s">
        <v>72</v>
      </c>
    </row>
    <row r="37" customFormat="false" ht="15" hidden="false" customHeight="false" outlineLevel="0" collapsed="false">
      <c r="A37" s="15" t="s">
        <v>1082</v>
      </c>
      <c r="B37" s="15" t="s">
        <v>1292</v>
      </c>
      <c r="C37" s="14" t="s">
        <v>1322</v>
      </c>
      <c r="D37" s="14" t="s">
        <v>1323</v>
      </c>
      <c r="E37" s="16" t="s">
        <v>1324</v>
      </c>
      <c r="F37" s="16" t="s">
        <v>1325</v>
      </c>
      <c r="G37" s="25" t="s">
        <v>39</v>
      </c>
      <c r="H37" s="18" t="n">
        <v>9</v>
      </c>
      <c r="I37" s="20" t="n">
        <v>201.58</v>
      </c>
      <c r="J37" s="20" t="n">
        <v>421.13</v>
      </c>
      <c r="K37" s="18" t="n">
        <v>40</v>
      </c>
      <c r="L37" s="18" t="n">
        <v>38</v>
      </c>
      <c r="M37" s="18" t="n">
        <v>800</v>
      </c>
      <c r="N37" s="18" t="n">
        <v>160</v>
      </c>
      <c r="O37" s="14" t="s">
        <v>1088</v>
      </c>
      <c r="P37" s="14" t="s">
        <v>84</v>
      </c>
      <c r="Q37" s="15" t="s">
        <v>1089</v>
      </c>
      <c r="R37" s="16" t="s">
        <v>1326</v>
      </c>
      <c r="S37" s="15" t="s">
        <v>1327</v>
      </c>
      <c r="T37" s="15" t="s">
        <v>1328</v>
      </c>
      <c r="U37" s="21" t="s">
        <v>72</v>
      </c>
    </row>
    <row r="38" customFormat="false" ht="26.85" hidden="false" customHeight="false" outlineLevel="0" collapsed="false">
      <c r="A38" s="15" t="s">
        <v>1082</v>
      </c>
      <c r="B38" s="15" t="s">
        <v>1292</v>
      </c>
      <c r="C38" s="14" t="s">
        <v>1329</v>
      </c>
      <c r="D38" s="14" t="s">
        <v>1330</v>
      </c>
      <c r="E38" s="16" t="s">
        <v>1331</v>
      </c>
      <c r="F38" s="16" t="s">
        <v>1332</v>
      </c>
      <c r="G38" s="19" t="s">
        <v>41</v>
      </c>
      <c r="H38" s="18" t="n">
        <v>5</v>
      </c>
      <c r="I38" s="20" t="n">
        <v>105.41</v>
      </c>
      <c r="J38" s="20" t="n">
        <v>165.2</v>
      </c>
      <c r="K38" s="18" t="n">
        <v>25</v>
      </c>
      <c r="L38" s="18" t="n">
        <v>12</v>
      </c>
      <c r="M38" s="18" t="n">
        <v>1500</v>
      </c>
      <c r="N38" s="18" t="n">
        <v>300</v>
      </c>
      <c r="O38" s="14" t="s">
        <v>1088</v>
      </c>
      <c r="P38" s="14" t="s">
        <v>84</v>
      </c>
      <c r="Q38" s="15" t="s">
        <v>1089</v>
      </c>
      <c r="R38" s="16" t="s">
        <v>1333</v>
      </c>
      <c r="S38" s="15" t="s">
        <v>1334</v>
      </c>
      <c r="T38" s="15" t="s">
        <v>1335</v>
      </c>
      <c r="U38" s="21" t="s">
        <v>72</v>
      </c>
    </row>
    <row r="39" customFormat="false" ht="26.85" hidden="false" customHeight="false" outlineLevel="0" collapsed="false">
      <c r="A39" s="15" t="s">
        <v>1082</v>
      </c>
      <c r="B39" s="15" t="s">
        <v>1292</v>
      </c>
      <c r="C39" s="14" t="s">
        <v>1336</v>
      </c>
      <c r="D39" s="14" t="s">
        <v>1337</v>
      </c>
      <c r="E39" s="16" t="s">
        <v>1338</v>
      </c>
      <c r="F39" s="16" t="s">
        <v>1339</v>
      </c>
      <c r="G39" s="23" t="s">
        <v>43</v>
      </c>
      <c r="H39" s="18" t="n">
        <v>2</v>
      </c>
      <c r="I39" s="20" t="n">
        <v>46.01</v>
      </c>
      <c r="J39" s="20" t="n">
        <v>103.82</v>
      </c>
      <c r="K39" s="18" t="n">
        <v>12</v>
      </c>
      <c r="L39" s="18" t="n">
        <v>2</v>
      </c>
      <c r="M39" s="18" t="n">
        <v>456</v>
      </c>
      <c r="N39" s="18" t="n">
        <v>114</v>
      </c>
      <c r="O39" s="14" t="s">
        <v>1126</v>
      </c>
      <c r="P39" s="14" t="s">
        <v>84</v>
      </c>
      <c r="Q39" s="15" t="s">
        <v>1089</v>
      </c>
      <c r="R39" s="16" t="s">
        <v>1340</v>
      </c>
      <c r="S39" s="15" t="s">
        <v>1341</v>
      </c>
      <c r="T39" s="15" t="s">
        <v>1342</v>
      </c>
      <c r="U39" s="21" t="s">
        <v>72</v>
      </c>
    </row>
    <row r="40" customFormat="false" ht="15" hidden="false" customHeight="false" outlineLevel="0" collapsed="false">
      <c r="A40" s="15" t="s">
        <v>1082</v>
      </c>
      <c r="B40" s="15" t="s">
        <v>1292</v>
      </c>
      <c r="C40" s="14" t="s">
        <v>1343</v>
      </c>
      <c r="D40" s="14" t="s">
        <v>1344</v>
      </c>
      <c r="E40" s="16" t="s">
        <v>1345</v>
      </c>
      <c r="F40" s="16" t="s">
        <v>1346</v>
      </c>
      <c r="G40" s="25" t="s">
        <v>39</v>
      </c>
      <c r="H40" s="18" t="n">
        <v>10</v>
      </c>
      <c r="I40" s="20" t="n">
        <v>296.77</v>
      </c>
      <c r="J40" s="20" t="n">
        <v>717.75</v>
      </c>
      <c r="K40" s="18" t="n">
        <v>35</v>
      </c>
      <c r="L40" s="18" t="n">
        <v>96</v>
      </c>
      <c r="M40" s="18" t="n">
        <v>2100</v>
      </c>
      <c r="N40" s="18" t="n">
        <v>420</v>
      </c>
      <c r="O40" s="14" t="s">
        <v>1126</v>
      </c>
      <c r="P40" s="14" t="s">
        <v>84</v>
      </c>
      <c r="Q40" s="15" t="s">
        <v>1089</v>
      </c>
      <c r="R40" s="16" t="s">
        <v>1347</v>
      </c>
      <c r="S40" s="15" t="s">
        <v>1348</v>
      </c>
      <c r="T40" s="15" t="s">
        <v>1349</v>
      </c>
      <c r="U40" s="21" t="s">
        <v>72</v>
      </c>
    </row>
    <row r="41" customFormat="false" ht="15" hidden="false" customHeight="false" outlineLevel="0" collapsed="false">
      <c r="A41" s="15" t="s">
        <v>1082</v>
      </c>
      <c r="B41" s="15" t="s">
        <v>1292</v>
      </c>
      <c r="C41" s="14" t="s">
        <v>1350</v>
      </c>
      <c r="D41" s="14" t="s">
        <v>1351</v>
      </c>
      <c r="E41" s="16" t="s">
        <v>1352</v>
      </c>
      <c r="F41" s="16" t="s">
        <v>1353</v>
      </c>
      <c r="G41" s="25" t="s">
        <v>39</v>
      </c>
      <c r="H41" s="18" t="n">
        <v>3</v>
      </c>
      <c r="I41" s="20" t="n">
        <v>436.34</v>
      </c>
      <c r="J41" s="20" t="n">
        <v>626.91</v>
      </c>
      <c r="K41" s="18" t="n">
        <v>25</v>
      </c>
      <c r="L41" s="18" t="n">
        <v>20</v>
      </c>
      <c r="M41" s="18" t="n">
        <v>1500</v>
      </c>
      <c r="N41" s="18" t="n">
        <v>300</v>
      </c>
      <c r="O41" s="14" t="s">
        <v>1097</v>
      </c>
      <c r="P41" s="14" t="s">
        <v>118</v>
      </c>
      <c r="Q41" s="15" t="s">
        <v>1089</v>
      </c>
      <c r="R41" s="16" t="s">
        <v>1340</v>
      </c>
      <c r="S41" s="15" t="s">
        <v>1354</v>
      </c>
      <c r="T41" s="15" t="s">
        <v>1355</v>
      </c>
      <c r="U41" s="21" t="s">
        <v>72</v>
      </c>
    </row>
    <row r="42" customFormat="false" ht="15" hidden="false" customHeight="false" outlineLevel="0" collapsed="false">
      <c r="A42" s="15" t="s">
        <v>1082</v>
      </c>
      <c r="B42" s="15" t="s">
        <v>1292</v>
      </c>
      <c r="C42" s="14" t="s">
        <v>1356</v>
      </c>
      <c r="D42" s="14" t="s">
        <v>1357</v>
      </c>
      <c r="E42" s="16" t="s">
        <v>1358</v>
      </c>
      <c r="F42" s="16" t="s">
        <v>1359</v>
      </c>
      <c r="G42" s="23" t="s">
        <v>43</v>
      </c>
      <c r="H42" s="18" t="n">
        <v>1</v>
      </c>
      <c r="I42" s="20" t="n">
        <v>187.66</v>
      </c>
      <c r="J42" s="20" t="n">
        <v>195.16</v>
      </c>
      <c r="K42" s="18" t="n">
        <v>15</v>
      </c>
      <c r="L42" s="18" t="n">
        <v>40</v>
      </c>
      <c r="M42" s="18" t="n">
        <v>900</v>
      </c>
      <c r="N42" s="18" t="n">
        <v>180</v>
      </c>
      <c r="O42" s="14" t="s">
        <v>1088</v>
      </c>
      <c r="P42" s="14" t="s">
        <v>118</v>
      </c>
      <c r="Q42" s="15" t="s">
        <v>1089</v>
      </c>
      <c r="R42" s="16" t="s">
        <v>1360</v>
      </c>
      <c r="S42" s="15" t="s">
        <v>1361</v>
      </c>
      <c r="T42" s="15" t="s">
        <v>1362</v>
      </c>
      <c r="U42" s="21" t="s">
        <v>72</v>
      </c>
    </row>
    <row r="43" customFormat="false" ht="15" hidden="false" customHeight="false" outlineLevel="0" collapsed="false">
      <c r="A43" s="15" t="s">
        <v>1082</v>
      </c>
      <c r="B43" s="15" t="s">
        <v>1292</v>
      </c>
      <c r="C43" s="14" t="s">
        <v>1363</v>
      </c>
      <c r="D43" s="14" t="s">
        <v>1364</v>
      </c>
      <c r="E43" s="16" t="s">
        <v>1358</v>
      </c>
      <c r="F43" s="16" t="s">
        <v>1359</v>
      </c>
      <c r="G43" s="23" t="s">
        <v>43</v>
      </c>
      <c r="H43" s="18" t="n">
        <v>1</v>
      </c>
      <c r="I43" s="20" t="n">
        <v>185.02</v>
      </c>
      <c r="J43" s="20" t="n">
        <v>192.52</v>
      </c>
      <c r="K43" s="18" t="n">
        <v>10</v>
      </c>
      <c r="L43" s="18" t="n">
        <v>45</v>
      </c>
      <c r="M43" s="18" t="n">
        <v>600</v>
      </c>
      <c r="N43" s="18" t="n">
        <v>120</v>
      </c>
      <c r="O43" s="14" t="s">
        <v>1088</v>
      </c>
      <c r="P43" s="14" t="s">
        <v>84</v>
      </c>
      <c r="Q43" s="15" t="s">
        <v>1089</v>
      </c>
      <c r="R43" s="16" t="s">
        <v>1365</v>
      </c>
      <c r="S43" s="15" t="s">
        <v>1361</v>
      </c>
      <c r="T43" s="15" t="s">
        <v>1366</v>
      </c>
      <c r="U43" s="21" t="s">
        <v>72</v>
      </c>
    </row>
    <row r="44" customFormat="false" ht="15" hidden="false" customHeight="false" outlineLevel="0" collapsed="false">
      <c r="A44" s="15" t="s">
        <v>1082</v>
      </c>
      <c r="B44" s="15" t="s">
        <v>1292</v>
      </c>
      <c r="C44" s="14" t="s">
        <v>1367</v>
      </c>
      <c r="D44" s="14" t="s">
        <v>1368</v>
      </c>
      <c r="E44" s="16" t="s">
        <v>1358</v>
      </c>
      <c r="F44" s="16" t="s">
        <v>1359</v>
      </c>
      <c r="G44" s="23" t="s">
        <v>43</v>
      </c>
      <c r="H44" s="18" t="n">
        <v>1</v>
      </c>
      <c r="I44" s="20" t="n">
        <v>137.71</v>
      </c>
      <c r="J44" s="20" t="n">
        <v>145.21</v>
      </c>
      <c r="K44" s="18" t="n">
        <v>10</v>
      </c>
      <c r="L44" s="18" t="n">
        <v>38</v>
      </c>
      <c r="M44" s="18" t="n">
        <v>600</v>
      </c>
      <c r="N44" s="18" t="n">
        <v>120</v>
      </c>
      <c r="O44" s="14" t="s">
        <v>1097</v>
      </c>
      <c r="P44" s="14" t="s">
        <v>118</v>
      </c>
      <c r="Q44" s="15" t="s">
        <v>1089</v>
      </c>
      <c r="R44" s="16" t="s">
        <v>1365</v>
      </c>
      <c r="S44" s="15" t="s">
        <v>1361</v>
      </c>
      <c r="T44" s="15" t="s">
        <v>1369</v>
      </c>
      <c r="U44" s="21" t="s">
        <v>72</v>
      </c>
    </row>
    <row r="45" customFormat="false" ht="15" hidden="false" customHeight="false" outlineLevel="0" collapsed="false">
      <c r="A45" s="15" t="s">
        <v>1082</v>
      </c>
      <c r="B45" s="15" t="s">
        <v>1292</v>
      </c>
      <c r="C45" s="14" t="s">
        <v>1370</v>
      </c>
      <c r="D45" s="14" t="s">
        <v>1371</v>
      </c>
      <c r="E45" s="16" t="s">
        <v>1372</v>
      </c>
      <c r="F45" s="16" t="s">
        <v>1373</v>
      </c>
      <c r="G45" s="23" t="s">
        <v>43</v>
      </c>
      <c r="H45" s="18" t="n">
        <v>3</v>
      </c>
      <c r="I45" s="20" t="n">
        <v>104.6</v>
      </c>
      <c r="J45" s="20" t="n">
        <v>181.75</v>
      </c>
      <c r="K45" s="18" t="n">
        <v>5</v>
      </c>
      <c r="L45" s="18" t="n">
        <v>9</v>
      </c>
      <c r="M45" s="18" t="n">
        <v>125</v>
      </c>
      <c r="N45" s="18" t="n">
        <v>125</v>
      </c>
      <c r="O45" s="14" t="s">
        <v>1097</v>
      </c>
      <c r="P45" s="14" t="s">
        <v>84</v>
      </c>
      <c r="Q45" s="15" t="s">
        <v>1089</v>
      </c>
      <c r="R45" s="16" t="s">
        <v>1374</v>
      </c>
      <c r="S45" s="15" t="s">
        <v>1375</v>
      </c>
      <c r="T45" s="15" t="s">
        <v>1376</v>
      </c>
      <c r="U45" s="21" t="s">
        <v>72</v>
      </c>
    </row>
    <row r="46" customFormat="false" ht="26.85" hidden="false" customHeight="false" outlineLevel="0" collapsed="false">
      <c r="A46" s="15" t="s">
        <v>1082</v>
      </c>
      <c r="B46" s="15" t="s">
        <v>1292</v>
      </c>
      <c r="C46" s="14" t="s">
        <v>1377</v>
      </c>
      <c r="D46" s="14" t="s">
        <v>1378</v>
      </c>
      <c r="E46" s="16" t="s">
        <v>1379</v>
      </c>
      <c r="F46" s="16" t="s">
        <v>1380</v>
      </c>
      <c r="G46" s="25" t="s">
        <v>39</v>
      </c>
      <c r="H46" s="18" t="n">
        <v>12</v>
      </c>
      <c r="I46" s="20" t="n">
        <v>459.17</v>
      </c>
      <c r="J46" s="20" t="n">
        <v>803.67</v>
      </c>
      <c r="K46" s="18" t="n">
        <v>1</v>
      </c>
      <c r="L46" s="18" t="n">
        <v>32</v>
      </c>
      <c r="M46" s="18" t="n">
        <v>60</v>
      </c>
      <c r="N46" s="18" t="n">
        <v>60</v>
      </c>
      <c r="O46" s="14" t="s">
        <v>1088</v>
      </c>
      <c r="P46" s="14" t="s">
        <v>84</v>
      </c>
      <c r="Q46" s="15" t="s">
        <v>1089</v>
      </c>
      <c r="R46" s="16" t="s">
        <v>1381</v>
      </c>
      <c r="S46" s="15" t="s">
        <v>1382</v>
      </c>
      <c r="T46" s="15" t="s">
        <v>1383</v>
      </c>
      <c r="U46" s="21" t="s">
        <v>72</v>
      </c>
    </row>
    <row r="47" customFormat="false" ht="26.85" hidden="false" customHeight="false" outlineLevel="0" collapsed="false">
      <c r="A47" s="15" t="s">
        <v>1082</v>
      </c>
      <c r="B47" s="15" t="s">
        <v>1292</v>
      </c>
      <c r="C47" s="14" t="s">
        <v>1384</v>
      </c>
      <c r="D47" s="14" t="s">
        <v>1385</v>
      </c>
      <c r="E47" s="16" t="s">
        <v>1386</v>
      </c>
      <c r="F47" s="16" t="s">
        <v>1387</v>
      </c>
      <c r="G47" s="25" t="s">
        <v>39</v>
      </c>
      <c r="H47" s="18" t="n">
        <v>12</v>
      </c>
      <c r="I47" s="20" t="n">
        <v>201.29</v>
      </c>
      <c r="J47" s="20" t="n">
        <v>808.24</v>
      </c>
      <c r="K47" s="18" t="n">
        <v>48</v>
      </c>
      <c r="L47" s="18" t="n">
        <v>51</v>
      </c>
      <c r="M47" s="18" t="n">
        <v>2880</v>
      </c>
      <c r="N47" s="18" t="n">
        <v>720</v>
      </c>
      <c r="O47" s="14" t="s">
        <v>1097</v>
      </c>
      <c r="P47" s="14" t="s">
        <v>84</v>
      </c>
      <c r="Q47" s="15" t="s">
        <v>1089</v>
      </c>
      <c r="R47" s="16" t="s">
        <v>1388</v>
      </c>
      <c r="S47" s="15" t="s">
        <v>1389</v>
      </c>
      <c r="T47" s="15" t="s">
        <v>1390</v>
      </c>
      <c r="U47" s="21" t="s">
        <v>72</v>
      </c>
    </row>
    <row r="48" customFormat="false" ht="26.85" hidden="false" customHeight="false" outlineLevel="0" collapsed="false">
      <c r="A48" s="15" t="s">
        <v>1082</v>
      </c>
      <c r="B48" s="15" t="s">
        <v>1292</v>
      </c>
      <c r="C48" s="14" t="s">
        <v>1391</v>
      </c>
      <c r="D48" s="14" t="s">
        <v>1392</v>
      </c>
      <c r="E48" s="16" t="s">
        <v>1393</v>
      </c>
      <c r="F48" s="16" t="s">
        <v>1394</v>
      </c>
      <c r="G48" s="19" t="s">
        <v>41</v>
      </c>
      <c r="H48" s="18" t="n">
        <v>6</v>
      </c>
      <c r="I48" s="20" t="n">
        <v>134.38</v>
      </c>
      <c r="J48" s="20" t="n">
        <v>210.6</v>
      </c>
      <c r="K48" s="18" t="n">
        <v>36</v>
      </c>
      <c r="L48" s="18" t="n">
        <v>26</v>
      </c>
      <c r="M48" s="18" t="n">
        <v>2160</v>
      </c>
      <c r="N48" s="18" t="n">
        <v>360</v>
      </c>
      <c r="O48" s="14" t="s">
        <v>1088</v>
      </c>
      <c r="P48" s="14" t="s">
        <v>118</v>
      </c>
      <c r="Q48" s="15" t="s">
        <v>1089</v>
      </c>
      <c r="R48" s="16" t="s">
        <v>1395</v>
      </c>
      <c r="S48" s="15" t="s">
        <v>1396</v>
      </c>
      <c r="T48" s="15" t="s">
        <v>1397</v>
      </c>
      <c r="U48" s="21" t="s">
        <v>72</v>
      </c>
    </row>
    <row r="49" customFormat="false" ht="26.85" hidden="false" customHeight="false" outlineLevel="0" collapsed="false">
      <c r="A49" s="15" t="s">
        <v>1082</v>
      </c>
      <c r="B49" s="15" t="s">
        <v>1292</v>
      </c>
      <c r="C49" s="14" t="s">
        <v>1398</v>
      </c>
      <c r="D49" s="14" t="s">
        <v>1399</v>
      </c>
      <c r="E49" s="16" t="s">
        <v>1400</v>
      </c>
      <c r="F49" s="16" t="s">
        <v>1401</v>
      </c>
      <c r="G49" s="23" t="s">
        <v>43</v>
      </c>
      <c r="H49" s="18" t="n">
        <v>3</v>
      </c>
      <c r="I49" s="20" t="n">
        <v>131.41</v>
      </c>
      <c r="J49" s="20" t="n">
        <v>163.24</v>
      </c>
      <c r="K49" s="18" t="n">
        <v>2</v>
      </c>
      <c r="L49" s="18" t="n">
        <v>11</v>
      </c>
      <c r="M49" s="18" t="n">
        <v>120</v>
      </c>
      <c r="N49" s="18" t="n">
        <v>60</v>
      </c>
      <c r="O49" s="14" t="s">
        <v>1126</v>
      </c>
      <c r="P49" s="14" t="s">
        <v>84</v>
      </c>
      <c r="Q49" s="15" t="s">
        <v>1089</v>
      </c>
      <c r="R49" s="16" t="s">
        <v>1402</v>
      </c>
      <c r="S49" s="15" t="s">
        <v>1403</v>
      </c>
      <c r="T49" s="15" t="s">
        <v>1404</v>
      </c>
      <c r="U49" s="21" t="s">
        <v>72</v>
      </c>
    </row>
    <row r="50" customFormat="false" ht="26.85" hidden="false" customHeight="false" outlineLevel="0" collapsed="false">
      <c r="A50" s="15" t="s">
        <v>1082</v>
      </c>
      <c r="B50" s="15" t="s">
        <v>1292</v>
      </c>
      <c r="C50" s="14" t="s">
        <v>1405</v>
      </c>
      <c r="D50" s="14" t="s">
        <v>1406</v>
      </c>
      <c r="E50" s="16" t="s">
        <v>1407</v>
      </c>
      <c r="F50" s="16" t="s">
        <v>1408</v>
      </c>
      <c r="G50" s="23" t="s">
        <v>43</v>
      </c>
      <c r="H50" s="18" t="n">
        <v>3</v>
      </c>
      <c r="I50" s="20" t="n">
        <v>72.37</v>
      </c>
      <c r="J50" s="20" t="n">
        <v>98.01</v>
      </c>
      <c r="K50" s="18" t="n">
        <v>18</v>
      </c>
      <c r="L50" s="18" t="n">
        <v>6</v>
      </c>
      <c r="M50" s="18" t="n">
        <v>900</v>
      </c>
      <c r="N50" s="18" t="n">
        <v>150</v>
      </c>
      <c r="O50" s="14" t="s">
        <v>1088</v>
      </c>
      <c r="P50" s="14" t="s">
        <v>352</v>
      </c>
      <c r="Q50" s="15" t="s">
        <v>1089</v>
      </c>
      <c r="R50" s="16" t="s">
        <v>1409</v>
      </c>
      <c r="S50" s="15" t="s">
        <v>1410</v>
      </c>
      <c r="T50" s="15" t="s">
        <v>1411</v>
      </c>
      <c r="U50" s="21" t="s">
        <v>72</v>
      </c>
    </row>
    <row r="51" customFormat="false" ht="15" hidden="false" customHeight="false" outlineLevel="0" collapsed="false">
      <c r="A51" s="15" t="s">
        <v>1082</v>
      </c>
      <c r="B51" s="15" t="s">
        <v>1292</v>
      </c>
      <c r="C51" s="14" t="s">
        <v>1412</v>
      </c>
      <c r="D51" s="14" t="s">
        <v>1413</v>
      </c>
      <c r="E51" s="16" t="s">
        <v>1414</v>
      </c>
      <c r="F51" s="16" t="s">
        <v>1415</v>
      </c>
      <c r="G51" s="23" t="s">
        <v>43</v>
      </c>
      <c r="H51" s="18" t="n">
        <v>4</v>
      </c>
      <c r="I51" s="20" t="n">
        <v>56.12</v>
      </c>
      <c r="J51" s="20" t="n">
        <v>95.38</v>
      </c>
      <c r="K51" s="18" t="n">
        <v>6</v>
      </c>
      <c r="L51" s="18" t="n">
        <v>7</v>
      </c>
      <c r="M51" s="18" t="n">
        <v>120</v>
      </c>
      <c r="N51" s="18" t="n">
        <v>20</v>
      </c>
      <c r="O51" s="14" t="s">
        <v>1088</v>
      </c>
      <c r="P51" s="14" t="s">
        <v>84</v>
      </c>
      <c r="Q51" s="15" t="s">
        <v>1089</v>
      </c>
      <c r="R51" s="16" t="s">
        <v>1416</v>
      </c>
      <c r="S51" s="15" t="s">
        <v>1417</v>
      </c>
      <c r="T51" s="15" t="s">
        <v>1417</v>
      </c>
      <c r="U51" s="21" t="s">
        <v>72</v>
      </c>
    </row>
    <row r="52" customFormat="false" ht="15" hidden="false" customHeight="false" outlineLevel="0" collapsed="false">
      <c r="A52" s="15" t="s">
        <v>1082</v>
      </c>
      <c r="B52" s="15" t="s">
        <v>1292</v>
      </c>
      <c r="C52" s="14" t="s">
        <v>1418</v>
      </c>
      <c r="D52" s="14" t="s">
        <v>1419</v>
      </c>
      <c r="E52" s="16" t="s">
        <v>1420</v>
      </c>
      <c r="F52" s="16" t="s">
        <v>1421</v>
      </c>
      <c r="G52" s="23" t="s">
        <v>43</v>
      </c>
      <c r="H52" s="18" t="n">
        <v>2</v>
      </c>
      <c r="I52" s="20" t="n">
        <v>54.81</v>
      </c>
      <c r="J52" s="20" t="n">
        <v>118.38</v>
      </c>
      <c r="K52" s="18" t="n">
        <v>2</v>
      </c>
      <c r="L52" s="18" t="n">
        <v>2</v>
      </c>
      <c r="M52" s="18" t="n">
        <v>90</v>
      </c>
      <c r="N52" s="18" t="n">
        <v>90</v>
      </c>
      <c r="O52" s="14" t="s">
        <v>1097</v>
      </c>
      <c r="P52" s="14" t="s">
        <v>84</v>
      </c>
      <c r="Q52" s="15" t="s">
        <v>1089</v>
      </c>
      <c r="R52" s="16" t="s">
        <v>1422</v>
      </c>
      <c r="S52" s="15" t="s">
        <v>1423</v>
      </c>
      <c r="T52" s="15" t="s">
        <v>1423</v>
      </c>
      <c r="U52" s="21" t="s">
        <v>72</v>
      </c>
    </row>
    <row r="53" customFormat="false" ht="15" hidden="false" customHeight="false" outlineLevel="0" collapsed="false">
      <c r="A53" s="15" t="s">
        <v>1082</v>
      </c>
      <c r="B53" s="15" t="s">
        <v>1292</v>
      </c>
      <c r="C53" s="14" t="s">
        <v>1424</v>
      </c>
      <c r="D53" s="14" t="s">
        <v>1425</v>
      </c>
      <c r="E53" s="16" t="s">
        <v>1426</v>
      </c>
      <c r="F53" s="16"/>
      <c r="G53" s="23" t="s">
        <v>43</v>
      </c>
      <c r="H53" s="18" t="n">
        <v>2</v>
      </c>
      <c r="I53" s="20" t="n">
        <v>85.5</v>
      </c>
      <c r="J53" s="20" t="n">
        <v>85.5</v>
      </c>
      <c r="K53" s="18" t="n">
        <v>4</v>
      </c>
      <c r="L53" s="18" t="n">
        <v>2</v>
      </c>
      <c r="M53" s="18" t="n">
        <v>240</v>
      </c>
      <c r="N53" s="18" t="n">
        <v>120</v>
      </c>
      <c r="O53" s="14" t="s">
        <v>1088</v>
      </c>
      <c r="P53" s="14" t="s">
        <v>84</v>
      </c>
      <c r="Q53" s="15" t="s">
        <v>1089</v>
      </c>
      <c r="R53" s="16" t="s">
        <v>1427</v>
      </c>
      <c r="S53" s="15" t="s">
        <v>1428</v>
      </c>
      <c r="T53" s="15" t="s">
        <v>1429</v>
      </c>
      <c r="U53" s="21" t="s">
        <v>72</v>
      </c>
    </row>
    <row r="54" customFormat="false" ht="15" hidden="false" customHeight="false" outlineLevel="0" collapsed="false">
      <c r="A54" s="15" t="s">
        <v>1082</v>
      </c>
      <c r="B54" s="15" t="s">
        <v>1292</v>
      </c>
      <c r="C54" s="14" t="s">
        <v>1430</v>
      </c>
      <c r="D54" s="14" t="s">
        <v>1431</v>
      </c>
      <c r="E54" s="16" t="s">
        <v>1432</v>
      </c>
      <c r="F54" s="16" t="s">
        <v>1433</v>
      </c>
      <c r="G54" s="23" t="s">
        <v>43</v>
      </c>
      <c r="H54" s="18" t="n">
        <v>3</v>
      </c>
      <c r="I54" s="20" t="n">
        <v>49.57</v>
      </c>
      <c r="J54" s="20" t="n">
        <v>110.04</v>
      </c>
      <c r="K54" s="18" t="n">
        <v>4</v>
      </c>
      <c r="L54" s="18" t="n">
        <v>2</v>
      </c>
      <c r="M54" s="18" t="n">
        <v>56</v>
      </c>
      <c r="N54" s="18" t="n">
        <v>28</v>
      </c>
      <c r="O54" s="14" t="s">
        <v>1097</v>
      </c>
      <c r="P54" s="14" t="s">
        <v>84</v>
      </c>
      <c r="Q54" s="15" t="s">
        <v>1089</v>
      </c>
      <c r="R54" s="16" t="s">
        <v>1434</v>
      </c>
      <c r="S54" s="15" t="s">
        <v>1435</v>
      </c>
      <c r="T54" s="15" t="s">
        <v>1436</v>
      </c>
      <c r="U54" s="21" t="s">
        <v>72</v>
      </c>
    </row>
    <row r="55" customFormat="false" ht="15" hidden="false" customHeight="false" outlineLevel="0" collapsed="false">
      <c r="A55" s="15" t="s">
        <v>1082</v>
      </c>
      <c r="B55" s="15" t="s">
        <v>1292</v>
      </c>
      <c r="C55" s="14" t="s">
        <v>1437</v>
      </c>
      <c r="D55" s="14" t="s">
        <v>1438</v>
      </c>
      <c r="E55" s="16" t="s">
        <v>1439</v>
      </c>
      <c r="F55" s="16" t="s">
        <v>1440</v>
      </c>
      <c r="G55" s="19" t="s">
        <v>41</v>
      </c>
      <c r="H55" s="18" t="n">
        <v>5</v>
      </c>
      <c r="I55" s="20" t="n">
        <v>80.31</v>
      </c>
      <c r="J55" s="20" t="n">
        <v>190.18</v>
      </c>
      <c r="K55" s="18" t="n">
        <v>18</v>
      </c>
      <c r="L55" s="18" t="n">
        <v>11</v>
      </c>
      <c r="M55" s="18" t="n">
        <v>1080</v>
      </c>
      <c r="N55" s="18" t="n">
        <v>180</v>
      </c>
      <c r="O55" s="14" t="s">
        <v>1097</v>
      </c>
      <c r="P55" s="14" t="s">
        <v>84</v>
      </c>
      <c r="Q55" s="15" t="s">
        <v>1089</v>
      </c>
      <c r="R55" s="16" t="s">
        <v>1261</v>
      </c>
      <c r="S55" s="15" t="s">
        <v>1441</v>
      </c>
      <c r="T55" s="15" t="s">
        <v>1441</v>
      </c>
      <c r="U55" s="21" t="s">
        <v>72</v>
      </c>
    </row>
    <row r="56" customFormat="false" ht="15" hidden="false" customHeight="false" outlineLevel="0" collapsed="false">
      <c r="A56" s="15" t="s">
        <v>1082</v>
      </c>
      <c r="B56" s="15" t="s">
        <v>1292</v>
      </c>
      <c r="C56" s="14" t="s">
        <v>1442</v>
      </c>
      <c r="D56" s="14" t="s">
        <v>1443</v>
      </c>
      <c r="E56" s="16" t="s">
        <v>1358</v>
      </c>
      <c r="F56" s="16" t="s">
        <v>1444</v>
      </c>
      <c r="G56" s="23" t="s">
        <v>43</v>
      </c>
      <c r="H56" s="18" t="n">
        <v>1</v>
      </c>
      <c r="I56" s="20" t="n">
        <v>187.66</v>
      </c>
      <c r="J56" s="20" t="n">
        <v>196.16</v>
      </c>
      <c r="K56" s="18" t="n">
        <v>10</v>
      </c>
      <c r="L56" s="18" t="n">
        <v>21</v>
      </c>
      <c r="M56" s="18" t="n">
        <v>600</v>
      </c>
      <c r="N56" s="18" t="n">
        <v>120</v>
      </c>
      <c r="O56" s="14" t="s">
        <v>1088</v>
      </c>
      <c r="P56" s="14" t="s">
        <v>118</v>
      </c>
      <c r="Q56" s="15" t="s">
        <v>1089</v>
      </c>
      <c r="R56" s="16" t="s">
        <v>1365</v>
      </c>
      <c r="S56" s="15" t="s">
        <v>1445</v>
      </c>
      <c r="T56" s="15" t="s">
        <v>1445</v>
      </c>
      <c r="U56" s="21" t="s">
        <v>72</v>
      </c>
    </row>
    <row r="57" customFormat="false" ht="26.85" hidden="false" customHeight="false" outlineLevel="0" collapsed="false">
      <c r="A57" s="15" t="s">
        <v>1082</v>
      </c>
      <c r="B57" s="15" t="s">
        <v>1292</v>
      </c>
      <c r="C57" s="14" t="s">
        <v>1446</v>
      </c>
      <c r="D57" s="14" t="s">
        <v>1447</v>
      </c>
      <c r="E57" s="16" t="s">
        <v>1448</v>
      </c>
      <c r="F57" s="16" t="s">
        <v>1449</v>
      </c>
      <c r="G57" s="23" t="s">
        <v>43</v>
      </c>
      <c r="H57" s="18" t="n">
        <v>4</v>
      </c>
      <c r="I57" s="20" t="n">
        <v>107.99</v>
      </c>
      <c r="J57" s="20" t="n">
        <v>125.58</v>
      </c>
      <c r="K57" s="18" t="n">
        <v>36</v>
      </c>
      <c r="L57" s="18" t="n">
        <v>18</v>
      </c>
      <c r="M57" s="18" t="n">
        <v>2160</v>
      </c>
      <c r="N57" s="18" t="n">
        <v>240</v>
      </c>
      <c r="O57" s="14" t="s">
        <v>1126</v>
      </c>
      <c r="P57" s="14" t="s">
        <v>1185</v>
      </c>
      <c r="Q57" s="15" t="s">
        <v>1089</v>
      </c>
      <c r="R57" s="16" t="s">
        <v>1450</v>
      </c>
      <c r="S57" s="15" t="s">
        <v>1451</v>
      </c>
      <c r="T57" s="15" t="s">
        <v>1452</v>
      </c>
      <c r="U57" s="21" t="s">
        <v>72</v>
      </c>
    </row>
    <row r="58" customFormat="false" ht="15" hidden="false" customHeight="false" outlineLevel="0" collapsed="false">
      <c r="A58" s="15" t="s">
        <v>1082</v>
      </c>
      <c r="B58" s="15" t="s">
        <v>1292</v>
      </c>
      <c r="C58" s="14" t="s">
        <v>1453</v>
      </c>
      <c r="D58" s="14" t="s">
        <v>1454</v>
      </c>
      <c r="E58" s="16" t="s">
        <v>1455</v>
      </c>
      <c r="F58" s="16" t="s">
        <v>1456</v>
      </c>
      <c r="G58" s="23" t="s">
        <v>43</v>
      </c>
      <c r="H58" s="18" t="n">
        <v>4</v>
      </c>
      <c r="I58" s="20" t="n">
        <v>117.15</v>
      </c>
      <c r="J58" s="20" t="n">
        <v>192.34</v>
      </c>
      <c r="K58" s="18" t="n">
        <v>8</v>
      </c>
      <c r="L58" s="18" t="n">
        <v>4</v>
      </c>
      <c r="M58" s="18" t="n">
        <v>160</v>
      </c>
      <c r="N58" s="18" t="n">
        <v>80</v>
      </c>
      <c r="O58" s="14" t="s">
        <v>1097</v>
      </c>
      <c r="P58" s="14" t="s">
        <v>84</v>
      </c>
      <c r="Q58" s="15" t="s">
        <v>1089</v>
      </c>
      <c r="R58" s="16" t="s">
        <v>1457</v>
      </c>
      <c r="S58" s="15" t="s">
        <v>1458</v>
      </c>
      <c r="T58" s="15" t="s">
        <v>1458</v>
      </c>
      <c r="U58" s="21" t="s">
        <v>72</v>
      </c>
    </row>
    <row r="59" customFormat="false" ht="15" hidden="false" customHeight="false" outlineLevel="0" collapsed="false">
      <c r="A59" s="15" t="s">
        <v>1082</v>
      </c>
      <c r="B59" s="15" t="s">
        <v>1292</v>
      </c>
      <c r="C59" s="14" t="s">
        <v>1459</v>
      </c>
      <c r="D59" s="14" t="s">
        <v>1460</v>
      </c>
      <c r="E59" s="16" t="s">
        <v>1461</v>
      </c>
      <c r="F59" s="16" t="s">
        <v>1462</v>
      </c>
      <c r="G59" s="23" t="s">
        <v>43</v>
      </c>
      <c r="H59" s="18" t="n">
        <v>4</v>
      </c>
      <c r="I59" s="20" t="n">
        <v>56.18</v>
      </c>
      <c r="J59" s="20" t="n">
        <v>99.68</v>
      </c>
      <c r="K59" s="18" t="n">
        <v>5</v>
      </c>
      <c r="L59" s="18" t="n">
        <v>9</v>
      </c>
      <c r="M59" s="18" t="n">
        <v>160</v>
      </c>
      <c r="N59" s="18" t="n">
        <v>32</v>
      </c>
      <c r="O59" s="14" t="s">
        <v>1126</v>
      </c>
      <c r="P59" s="14" t="s">
        <v>84</v>
      </c>
      <c r="Q59" s="15" t="s">
        <v>1089</v>
      </c>
      <c r="R59" s="16" t="s">
        <v>1463</v>
      </c>
      <c r="S59" s="15" t="s">
        <v>1464</v>
      </c>
      <c r="T59" s="15" t="s">
        <v>1465</v>
      </c>
      <c r="U59" s="21" t="s">
        <v>72</v>
      </c>
    </row>
    <row r="60" customFormat="false" ht="15" hidden="false" customHeight="false" outlineLevel="0" collapsed="false">
      <c r="A60" s="15" t="s">
        <v>1082</v>
      </c>
      <c r="B60" s="15" t="s">
        <v>1292</v>
      </c>
      <c r="C60" s="14" t="s">
        <v>1466</v>
      </c>
      <c r="D60" s="14" t="s">
        <v>1467</v>
      </c>
      <c r="E60" s="16" t="s">
        <v>1468</v>
      </c>
      <c r="F60" s="16" t="s">
        <v>1469</v>
      </c>
      <c r="G60" s="23" t="s">
        <v>43</v>
      </c>
      <c r="H60" s="18" t="n">
        <v>3</v>
      </c>
      <c r="I60" s="20" t="n">
        <v>41.12</v>
      </c>
      <c r="J60" s="20" t="n">
        <v>81.54</v>
      </c>
      <c r="K60" s="18" t="n">
        <v>7</v>
      </c>
      <c r="L60" s="18" t="n">
        <v>9</v>
      </c>
      <c r="M60" s="18" t="n">
        <v>140</v>
      </c>
      <c r="N60" s="18" t="n">
        <v>20</v>
      </c>
      <c r="O60" s="14" t="s">
        <v>1097</v>
      </c>
      <c r="P60" s="14" t="s">
        <v>84</v>
      </c>
      <c r="Q60" s="15" t="s">
        <v>1089</v>
      </c>
      <c r="R60" s="16" t="s">
        <v>1470</v>
      </c>
      <c r="S60" s="15" t="s">
        <v>1471</v>
      </c>
      <c r="T60" s="15" t="s">
        <v>1471</v>
      </c>
      <c r="U60" s="21" t="s">
        <v>72</v>
      </c>
    </row>
    <row r="61" customFormat="false" ht="15" hidden="false" customHeight="false" outlineLevel="0" collapsed="false">
      <c r="A61" s="15" t="s">
        <v>1082</v>
      </c>
      <c r="B61" s="15" t="s">
        <v>1292</v>
      </c>
      <c r="C61" s="14" t="s">
        <v>1472</v>
      </c>
      <c r="D61" s="14" t="s">
        <v>1473</v>
      </c>
      <c r="E61" s="16" t="s">
        <v>1474</v>
      </c>
      <c r="F61" s="16" t="s">
        <v>1475</v>
      </c>
      <c r="G61" s="23" t="s">
        <v>43</v>
      </c>
      <c r="H61" s="18" t="n">
        <v>2</v>
      </c>
      <c r="I61" s="20" t="n">
        <v>43.36</v>
      </c>
      <c r="J61" s="20" t="n">
        <v>92.36</v>
      </c>
      <c r="K61" s="18" t="n">
        <v>8</v>
      </c>
      <c r="L61" s="18" t="n">
        <v>40</v>
      </c>
      <c r="M61" s="18" t="n">
        <v>288</v>
      </c>
      <c r="N61" s="18" t="n">
        <v>36</v>
      </c>
      <c r="O61" s="14" t="s">
        <v>1088</v>
      </c>
      <c r="P61" s="14" t="s">
        <v>118</v>
      </c>
      <c r="Q61" s="15" t="s">
        <v>1089</v>
      </c>
      <c r="R61" s="16" t="s">
        <v>1476</v>
      </c>
      <c r="S61" s="15" t="s">
        <v>1477</v>
      </c>
      <c r="T61" s="15" t="s">
        <v>1478</v>
      </c>
      <c r="U61" s="21" t="s">
        <v>72</v>
      </c>
    </row>
    <row r="62" customFormat="false" ht="15" hidden="false" customHeight="false" outlineLevel="0" collapsed="false">
      <c r="A62" s="15" t="s">
        <v>1082</v>
      </c>
      <c r="B62" s="15" t="s">
        <v>1292</v>
      </c>
      <c r="C62" s="14" t="s">
        <v>1479</v>
      </c>
      <c r="D62" s="14" t="s">
        <v>1480</v>
      </c>
      <c r="E62" s="16" t="s">
        <v>1481</v>
      </c>
      <c r="F62" s="16"/>
      <c r="G62" s="23" t="s">
        <v>43</v>
      </c>
      <c r="H62" s="18" t="n">
        <v>3</v>
      </c>
      <c r="I62" s="20" t="n">
        <v>73.9</v>
      </c>
      <c r="J62" s="20" t="n">
        <v>118.03</v>
      </c>
      <c r="K62" s="18" t="n">
        <v>15</v>
      </c>
      <c r="L62" s="18" t="n">
        <v>5</v>
      </c>
      <c r="M62" s="18" t="n">
        <v>330</v>
      </c>
      <c r="N62" s="18" t="n">
        <v>66</v>
      </c>
      <c r="O62" s="14" t="s">
        <v>1088</v>
      </c>
      <c r="P62" s="14" t="s">
        <v>84</v>
      </c>
      <c r="Q62" s="15" t="s">
        <v>1089</v>
      </c>
      <c r="R62" s="16" t="s">
        <v>1482</v>
      </c>
      <c r="S62" s="15" t="s">
        <v>1483</v>
      </c>
      <c r="T62" s="15" t="s">
        <v>1484</v>
      </c>
      <c r="U62" s="21" t="s">
        <v>72</v>
      </c>
    </row>
    <row r="63" customFormat="false" ht="15" hidden="false" customHeight="false" outlineLevel="0" collapsed="false">
      <c r="A63" s="15" t="s">
        <v>1082</v>
      </c>
      <c r="B63" s="15" t="s">
        <v>1292</v>
      </c>
      <c r="C63" s="14" t="s">
        <v>1485</v>
      </c>
      <c r="D63" s="14" t="s">
        <v>1486</v>
      </c>
      <c r="E63" s="16" t="s">
        <v>1487</v>
      </c>
      <c r="F63" s="16" t="s">
        <v>1488</v>
      </c>
      <c r="G63" s="23" t="s">
        <v>43</v>
      </c>
      <c r="H63" s="18" t="n">
        <v>4</v>
      </c>
      <c r="I63" s="20" t="n">
        <v>101</v>
      </c>
      <c r="J63" s="20" t="n">
        <v>188.61</v>
      </c>
      <c r="K63" s="18" t="n">
        <v>12</v>
      </c>
      <c r="L63" s="18" t="n">
        <v>58</v>
      </c>
      <c r="M63" s="18" t="n">
        <v>252</v>
      </c>
      <c r="N63" s="18" t="n">
        <v>84</v>
      </c>
      <c r="O63" s="14" t="s">
        <v>1097</v>
      </c>
      <c r="P63" s="14" t="s">
        <v>84</v>
      </c>
      <c r="Q63" s="15" t="s">
        <v>1089</v>
      </c>
      <c r="R63" s="16" t="s">
        <v>1489</v>
      </c>
      <c r="S63" s="15" t="s">
        <v>1490</v>
      </c>
      <c r="T63" s="15" t="s">
        <v>1491</v>
      </c>
      <c r="U63" s="21" t="s">
        <v>72</v>
      </c>
    </row>
    <row r="64" customFormat="false" ht="15" hidden="false" customHeight="false" outlineLevel="0" collapsed="false">
      <c r="A64" s="15" t="s">
        <v>1082</v>
      </c>
      <c r="B64" s="15" t="s">
        <v>1292</v>
      </c>
      <c r="C64" s="14" t="s">
        <v>1492</v>
      </c>
      <c r="D64" s="14" t="s">
        <v>1493</v>
      </c>
      <c r="E64" s="16" t="s">
        <v>1494</v>
      </c>
      <c r="F64" s="16" t="s">
        <v>1488</v>
      </c>
      <c r="G64" s="25" t="s">
        <v>39</v>
      </c>
      <c r="H64" s="18" t="n">
        <v>5</v>
      </c>
      <c r="I64" s="20" t="n">
        <v>212.5</v>
      </c>
      <c r="J64" s="20" t="n">
        <v>433.18</v>
      </c>
      <c r="K64" s="18" t="n">
        <v>3</v>
      </c>
      <c r="L64" s="18" t="n">
        <v>61</v>
      </c>
      <c r="M64" s="18" t="n">
        <v>180</v>
      </c>
      <c r="N64" s="18" t="n">
        <v>60</v>
      </c>
      <c r="O64" s="14" t="s">
        <v>1097</v>
      </c>
      <c r="P64" s="14" t="s">
        <v>84</v>
      </c>
      <c r="Q64" s="15" t="s">
        <v>1089</v>
      </c>
      <c r="R64" s="16" t="s">
        <v>1495</v>
      </c>
      <c r="S64" s="15" t="s">
        <v>1490</v>
      </c>
      <c r="T64" s="15" t="s">
        <v>1490</v>
      </c>
      <c r="U64" s="21" t="s">
        <v>72</v>
      </c>
    </row>
    <row r="65" customFormat="false" ht="15" hidden="false" customHeight="false" outlineLevel="0" collapsed="false">
      <c r="A65" s="15" t="s">
        <v>1082</v>
      </c>
      <c r="B65" s="15" t="s">
        <v>1292</v>
      </c>
      <c r="C65" s="14" t="s">
        <v>1496</v>
      </c>
      <c r="D65" s="14" t="s">
        <v>1497</v>
      </c>
      <c r="E65" s="16" t="s">
        <v>1498</v>
      </c>
      <c r="F65" s="16" t="s">
        <v>1499</v>
      </c>
      <c r="G65" s="23" t="s">
        <v>43</v>
      </c>
      <c r="H65" s="18" t="n">
        <v>2</v>
      </c>
      <c r="I65" s="20" t="n">
        <v>71.47</v>
      </c>
      <c r="J65" s="20" t="n">
        <v>122.37</v>
      </c>
      <c r="K65" s="18" t="n">
        <v>9</v>
      </c>
      <c r="L65" s="18" t="n">
        <v>4</v>
      </c>
      <c r="M65" s="18" t="n">
        <v>531</v>
      </c>
      <c r="N65" s="18" t="n">
        <v>177</v>
      </c>
      <c r="O65" s="14" t="s">
        <v>1097</v>
      </c>
      <c r="P65" s="14" t="s">
        <v>118</v>
      </c>
      <c r="Q65" s="15" t="s">
        <v>1089</v>
      </c>
      <c r="R65" s="16" t="s">
        <v>1500</v>
      </c>
      <c r="S65" s="15" t="s">
        <v>1501</v>
      </c>
      <c r="T65" s="15" t="s">
        <v>1502</v>
      </c>
      <c r="U65" s="21" t="s">
        <v>72</v>
      </c>
    </row>
    <row r="66" customFormat="false" ht="39.55" hidden="false" customHeight="false" outlineLevel="0" collapsed="false">
      <c r="A66" s="15" t="s">
        <v>1082</v>
      </c>
      <c r="B66" s="15" t="s">
        <v>1292</v>
      </c>
      <c r="C66" s="14" t="s">
        <v>1503</v>
      </c>
      <c r="D66" s="14" t="s">
        <v>1504</v>
      </c>
      <c r="E66" s="16" t="s">
        <v>1505</v>
      </c>
      <c r="F66" s="16" t="s">
        <v>1506</v>
      </c>
      <c r="G66" s="19" t="s">
        <v>41</v>
      </c>
      <c r="H66" s="18" t="n">
        <v>5</v>
      </c>
      <c r="I66" s="20" t="n">
        <v>129.13</v>
      </c>
      <c r="J66" s="20" t="n">
        <v>185.52</v>
      </c>
      <c r="K66" s="18" t="n">
        <v>35</v>
      </c>
      <c r="L66" s="18" t="n">
        <v>4</v>
      </c>
      <c r="M66" s="18" t="n">
        <v>2100</v>
      </c>
      <c r="N66" s="18" t="n">
        <v>300</v>
      </c>
      <c r="O66" s="14" t="s">
        <v>1097</v>
      </c>
      <c r="P66" s="14" t="s">
        <v>1507</v>
      </c>
      <c r="Q66" s="15" t="s">
        <v>1089</v>
      </c>
      <c r="R66" s="16" t="s">
        <v>1508</v>
      </c>
      <c r="S66" s="15" t="s">
        <v>1509</v>
      </c>
      <c r="T66" s="15" t="s">
        <v>1509</v>
      </c>
      <c r="U66" s="21" t="s">
        <v>72</v>
      </c>
    </row>
    <row r="67" customFormat="false" ht="15" hidden="false" customHeight="false" outlineLevel="0" collapsed="false">
      <c r="A67" s="15" t="s">
        <v>1082</v>
      </c>
      <c r="B67" s="15" t="s">
        <v>1292</v>
      </c>
      <c r="C67" s="14" t="s">
        <v>1510</v>
      </c>
      <c r="D67" s="14" t="s">
        <v>1511</v>
      </c>
      <c r="E67" s="16" t="s">
        <v>1512</v>
      </c>
      <c r="F67" s="16" t="s">
        <v>1513</v>
      </c>
      <c r="G67" s="19" t="s">
        <v>41</v>
      </c>
      <c r="H67" s="18" t="n">
        <v>5</v>
      </c>
      <c r="I67" s="20" t="n">
        <v>105.35</v>
      </c>
      <c r="J67" s="20" t="n">
        <v>238.07</v>
      </c>
      <c r="K67" s="18" t="n">
        <v>3</v>
      </c>
      <c r="L67" s="18" t="n">
        <v>7</v>
      </c>
      <c r="M67" s="18" t="n">
        <v>180</v>
      </c>
      <c r="N67" s="18" t="n">
        <v>180</v>
      </c>
      <c r="O67" s="14" t="s">
        <v>1097</v>
      </c>
      <c r="P67" s="14" t="s">
        <v>84</v>
      </c>
      <c r="Q67" s="15" t="s">
        <v>1089</v>
      </c>
      <c r="R67" s="16" t="s">
        <v>1514</v>
      </c>
      <c r="S67" s="15" t="s">
        <v>1515</v>
      </c>
      <c r="T67" s="15" t="s">
        <v>1516</v>
      </c>
      <c r="U67" s="21" t="s">
        <v>72</v>
      </c>
    </row>
    <row r="68" customFormat="false" ht="15" hidden="false" customHeight="false" outlineLevel="0" collapsed="false">
      <c r="A68" s="15" t="s">
        <v>1082</v>
      </c>
      <c r="B68" s="15" t="s">
        <v>1292</v>
      </c>
      <c r="C68" s="14" t="s">
        <v>1517</v>
      </c>
      <c r="D68" s="14" t="s">
        <v>1518</v>
      </c>
      <c r="E68" s="16" t="s">
        <v>1519</v>
      </c>
      <c r="F68" s="16" t="s">
        <v>1520</v>
      </c>
      <c r="G68" s="23" t="s">
        <v>43</v>
      </c>
      <c r="H68" s="18" t="n">
        <v>3</v>
      </c>
      <c r="I68" s="20" t="n">
        <v>59.33</v>
      </c>
      <c r="J68" s="20" t="n">
        <v>124.78</v>
      </c>
      <c r="K68" s="18" t="n">
        <v>3</v>
      </c>
      <c r="L68" s="18" t="n">
        <v>1</v>
      </c>
      <c r="M68" s="18" t="n">
        <v>147</v>
      </c>
      <c r="N68" s="18" t="n">
        <v>147</v>
      </c>
      <c r="O68" s="14" t="s">
        <v>1097</v>
      </c>
      <c r="P68" s="14" t="s">
        <v>84</v>
      </c>
      <c r="Q68" s="15" t="s">
        <v>1089</v>
      </c>
      <c r="R68" s="16" t="s">
        <v>1521</v>
      </c>
      <c r="S68" s="15" t="s">
        <v>1522</v>
      </c>
      <c r="T68" s="15" t="s">
        <v>1522</v>
      </c>
      <c r="U68" s="21" t="s">
        <v>72</v>
      </c>
    </row>
    <row r="69" customFormat="false" ht="15" hidden="false" customHeight="false" outlineLevel="0" collapsed="false">
      <c r="A69" s="15" t="s">
        <v>1082</v>
      </c>
      <c r="B69" s="15" t="s">
        <v>1292</v>
      </c>
      <c r="C69" s="14" t="s">
        <v>1523</v>
      </c>
      <c r="D69" s="14" t="s">
        <v>1524</v>
      </c>
      <c r="E69" s="16" t="s">
        <v>1525</v>
      </c>
      <c r="F69" s="16" t="s">
        <v>1526</v>
      </c>
      <c r="G69" s="23" t="s">
        <v>43</v>
      </c>
      <c r="H69" s="18" t="n">
        <v>1</v>
      </c>
      <c r="I69" s="20" t="n">
        <v>39.59</v>
      </c>
      <c r="J69" s="20" t="n">
        <v>82.64</v>
      </c>
      <c r="K69" s="18" t="n">
        <v>1</v>
      </c>
      <c r="L69" s="18" t="n">
        <v>1</v>
      </c>
      <c r="M69" s="18" t="n">
        <v>32</v>
      </c>
      <c r="N69" s="18" t="n">
        <v>32</v>
      </c>
      <c r="O69" s="14" t="s">
        <v>1097</v>
      </c>
      <c r="P69" s="14" t="s">
        <v>84</v>
      </c>
      <c r="Q69" s="15" t="s">
        <v>1089</v>
      </c>
      <c r="R69" s="16" t="s">
        <v>1527</v>
      </c>
      <c r="S69" s="15" t="s">
        <v>1528</v>
      </c>
      <c r="T69" s="15" t="s">
        <v>1529</v>
      </c>
      <c r="U69" s="21" t="s">
        <v>72</v>
      </c>
    </row>
    <row r="70" customFormat="false" ht="15" hidden="false" customHeight="false" outlineLevel="0" collapsed="false">
      <c r="A70" s="15" t="s">
        <v>1082</v>
      </c>
      <c r="B70" s="15" t="s">
        <v>1292</v>
      </c>
      <c r="C70" s="14" t="s">
        <v>1530</v>
      </c>
      <c r="D70" s="14" t="s">
        <v>1531</v>
      </c>
      <c r="E70" s="16" t="s">
        <v>1532</v>
      </c>
      <c r="F70" s="16" t="s">
        <v>1533</v>
      </c>
      <c r="G70" s="23" t="s">
        <v>43</v>
      </c>
      <c r="H70" s="18" t="n">
        <v>2</v>
      </c>
      <c r="I70" s="20" t="n">
        <v>75.34</v>
      </c>
      <c r="J70" s="20" t="n">
        <v>130.17</v>
      </c>
      <c r="K70" s="18" t="n">
        <v>3</v>
      </c>
      <c r="L70" s="18" t="n">
        <v>9</v>
      </c>
      <c r="M70" s="18" t="n">
        <v>180</v>
      </c>
      <c r="N70" s="18" t="n">
        <v>60</v>
      </c>
      <c r="O70" s="14" t="s">
        <v>1088</v>
      </c>
      <c r="P70" s="14" t="s">
        <v>84</v>
      </c>
      <c r="Q70" s="15" t="s">
        <v>1089</v>
      </c>
      <c r="R70" s="16" t="s">
        <v>1534</v>
      </c>
      <c r="S70" s="15" t="s">
        <v>1535</v>
      </c>
      <c r="T70" s="15" t="s">
        <v>1535</v>
      </c>
      <c r="U70" s="21" t="s">
        <v>72</v>
      </c>
    </row>
    <row r="71" customFormat="false" ht="15" hidden="false" customHeight="false" outlineLevel="0" collapsed="false">
      <c r="A71" s="15" t="s">
        <v>1082</v>
      </c>
      <c r="B71" s="15" t="s">
        <v>1292</v>
      </c>
      <c r="C71" s="14" t="s">
        <v>1536</v>
      </c>
      <c r="D71" s="14" t="s">
        <v>1537</v>
      </c>
      <c r="E71" s="16" t="s">
        <v>1538</v>
      </c>
      <c r="F71" s="16" t="s">
        <v>1539</v>
      </c>
      <c r="G71" s="19" t="s">
        <v>41</v>
      </c>
      <c r="H71" s="18" t="n">
        <v>5</v>
      </c>
      <c r="I71" s="20" t="n">
        <v>45.29</v>
      </c>
      <c r="J71" s="20" t="n">
        <v>116.48</v>
      </c>
      <c r="K71" s="18" t="n">
        <v>16</v>
      </c>
      <c r="L71" s="18" t="n">
        <v>9</v>
      </c>
      <c r="M71" s="18" t="n">
        <v>592</v>
      </c>
      <c r="N71" s="18" t="n">
        <v>296</v>
      </c>
      <c r="O71" s="14" t="s">
        <v>1088</v>
      </c>
      <c r="P71" s="14" t="s">
        <v>84</v>
      </c>
      <c r="Q71" s="15" t="s">
        <v>1089</v>
      </c>
      <c r="R71" s="16" t="s">
        <v>1540</v>
      </c>
      <c r="S71" s="15" t="s">
        <v>1541</v>
      </c>
      <c r="T71" s="15" t="s">
        <v>1542</v>
      </c>
      <c r="U71" s="21" t="s">
        <v>72</v>
      </c>
    </row>
    <row r="72" customFormat="false" ht="15" hidden="false" customHeight="false" outlineLevel="0" collapsed="false">
      <c r="A72" s="15" t="s">
        <v>1082</v>
      </c>
      <c r="B72" s="15" t="s">
        <v>1292</v>
      </c>
      <c r="C72" s="14" t="s">
        <v>1543</v>
      </c>
      <c r="D72" s="14" t="s">
        <v>1544</v>
      </c>
      <c r="E72" s="16" t="s">
        <v>1545</v>
      </c>
      <c r="F72" s="16" t="s">
        <v>1546</v>
      </c>
      <c r="G72" s="19" t="s">
        <v>41</v>
      </c>
      <c r="H72" s="18" t="n">
        <v>7</v>
      </c>
      <c r="I72" s="20" t="n">
        <v>252.96</v>
      </c>
      <c r="J72" s="20" t="n">
        <v>367.75</v>
      </c>
      <c r="K72" s="18" t="n">
        <v>4</v>
      </c>
      <c r="L72" s="18" t="n">
        <v>9</v>
      </c>
      <c r="M72" s="18" t="n">
        <v>80</v>
      </c>
      <c r="N72" s="18" t="n">
        <v>40</v>
      </c>
      <c r="O72" s="14" t="s">
        <v>1097</v>
      </c>
      <c r="P72" s="14" t="s">
        <v>84</v>
      </c>
      <c r="Q72" s="15" t="s">
        <v>1089</v>
      </c>
      <c r="R72" s="16" t="s">
        <v>1547</v>
      </c>
      <c r="S72" s="15" t="s">
        <v>1548</v>
      </c>
      <c r="T72" s="15" t="s">
        <v>1549</v>
      </c>
      <c r="U72" s="21" t="s">
        <v>72</v>
      </c>
    </row>
    <row r="73" customFormat="false" ht="15" hidden="false" customHeight="false" outlineLevel="0" collapsed="false">
      <c r="A73" s="15" t="s">
        <v>1082</v>
      </c>
      <c r="B73" s="15" t="s">
        <v>1292</v>
      </c>
      <c r="C73" s="14" t="s">
        <v>1550</v>
      </c>
      <c r="D73" s="14" t="s">
        <v>1551</v>
      </c>
      <c r="E73" s="16" t="s">
        <v>1552</v>
      </c>
      <c r="F73" s="16" t="s">
        <v>1553</v>
      </c>
      <c r="G73" s="19" t="s">
        <v>41</v>
      </c>
      <c r="H73" s="18" t="n">
        <v>7</v>
      </c>
      <c r="I73" s="20" t="n">
        <v>81.38</v>
      </c>
      <c r="J73" s="20" t="n">
        <v>148.02</v>
      </c>
      <c r="K73" s="18" t="n">
        <v>6</v>
      </c>
      <c r="L73" s="18" t="n">
        <v>5</v>
      </c>
      <c r="M73" s="18" t="n">
        <v>72</v>
      </c>
      <c r="N73" s="18" t="n">
        <v>72</v>
      </c>
      <c r="O73" s="14" t="s">
        <v>1097</v>
      </c>
      <c r="P73" s="14" t="s">
        <v>84</v>
      </c>
      <c r="Q73" s="15" t="s">
        <v>1089</v>
      </c>
      <c r="R73" s="16" t="s">
        <v>1554</v>
      </c>
      <c r="S73" s="15" t="s">
        <v>1555</v>
      </c>
      <c r="T73" s="15" t="s">
        <v>1556</v>
      </c>
      <c r="U73" s="21" t="s">
        <v>72</v>
      </c>
    </row>
    <row r="74" customFormat="false" ht="15" hidden="false" customHeight="false" outlineLevel="0" collapsed="false">
      <c r="A74" s="15" t="s">
        <v>1082</v>
      </c>
      <c r="B74" s="15" t="s">
        <v>1292</v>
      </c>
      <c r="C74" s="14" t="s">
        <v>1557</v>
      </c>
      <c r="D74" s="14" t="s">
        <v>1558</v>
      </c>
      <c r="E74" s="16" t="s">
        <v>1559</v>
      </c>
      <c r="F74" s="16" t="s">
        <v>1560</v>
      </c>
      <c r="G74" s="19" t="s">
        <v>41</v>
      </c>
      <c r="H74" s="18" t="n">
        <v>6</v>
      </c>
      <c r="I74" s="20" t="n">
        <v>109.83</v>
      </c>
      <c r="J74" s="20" t="n">
        <v>197.32</v>
      </c>
      <c r="K74" s="18" t="n">
        <v>18</v>
      </c>
      <c r="L74" s="18" t="n">
        <v>43</v>
      </c>
      <c r="M74" s="18" t="n">
        <v>1080</v>
      </c>
      <c r="N74" s="18" t="n">
        <v>360</v>
      </c>
      <c r="O74" s="14" t="s">
        <v>1097</v>
      </c>
      <c r="P74" s="14" t="s">
        <v>84</v>
      </c>
      <c r="Q74" s="15" t="s">
        <v>1089</v>
      </c>
      <c r="R74" s="16" t="s">
        <v>1561</v>
      </c>
      <c r="S74" s="15" t="s">
        <v>1562</v>
      </c>
      <c r="T74" s="15" t="s">
        <v>1563</v>
      </c>
      <c r="U74" s="21" t="s">
        <v>72</v>
      </c>
    </row>
    <row r="75" customFormat="false" ht="26.85" hidden="false" customHeight="false" outlineLevel="0" collapsed="false">
      <c r="A75" s="15" t="s">
        <v>1082</v>
      </c>
      <c r="B75" s="15" t="s">
        <v>1292</v>
      </c>
      <c r="C75" s="14" t="s">
        <v>1564</v>
      </c>
      <c r="D75" s="14" t="s">
        <v>1565</v>
      </c>
      <c r="E75" s="16" t="s">
        <v>1566</v>
      </c>
      <c r="F75" s="16" t="s">
        <v>1567</v>
      </c>
      <c r="G75" s="23" t="s">
        <v>43</v>
      </c>
      <c r="H75" s="18" t="n">
        <v>3</v>
      </c>
      <c r="I75" s="20" t="n">
        <v>106.07</v>
      </c>
      <c r="J75" s="20" t="n">
        <v>196.6</v>
      </c>
      <c r="K75" s="18" t="n">
        <v>51</v>
      </c>
      <c r="L75" s="18" t="n">
        <v>38</v>
      </c>
      <c r="M75" s="18" t="n">
        <v>1530</v>
      </c>
      <c r="N75" s="18" t="n">
        <v>90</v>
      </c>
      <c r="O75" s="14" t="s">
        <v>1088</v>
      </c>
      <c r="P75" s="14" t="s">
        <v>84</v>
      </c>
      <c r="Q75" s="15" t="s">
        <v>1089</v>
      </c>
      <c r="R75" s="16" t="s">
        <v>1568</v>
      </c>
      <c r="S75" s="15" t="s">
        <v>1569</v>
      </c>
      <c r="T75" s="15" t="s">
        <v>1570</v>
      </c>
      <c r="U75" s="21" t="s">
        <v>72</v>
      </c>
    </row>
    <row r="76" customFormat="false" ht="26.85" hidden="false" customHeight="false" outlineLevel="0" collapsed="false">
      <c r="A76" s="15" t="s">
        <v>1082</v>
      </c>
      <c r="B76" s="15" t="s">
        <v>1292</v>
      </c>
      <c r="C76" s="14" t="s">
        <v>1571</v>
      </c>
      <c r="D76" s="14" t="s">
        <v>1572</v>
      </c>
      <c r="E76" s="16" t="s">
        <v>1573</v>
      </c>
      <c r="F76" s="16" t="s">
        <v>1574</v>
      </c>
      <c r="G76" s="19" t="s">
        <v>41</v>
      </c>
      <c r="H76" s="18" t="n">
        <v>6</v>
      </c>
      <c r="I76" s="20" t="n">
        <v>216.31</v>
      </c>
      <c r="J76" s="20" t="n">
        <v>337.25</v>
      </c>
      <c r="K76" s="18" t="n">
        <v>60</v>
      </c>
      <c r="L76" s="18" t="n">
        <v>49</v>
      </c>
      <c r="M76" s="18" t="n">
        <v>3600</v>
      </c>
      <c r="N76" s="18" t="n">
        <v>600</v>
      </c>
      <c r="O76" s="14" t="s">
        <v>1088</v>
      </c>
      <c r="P76" s="14" t="s">
        <v>84</v>
      </c>
      <c r="Q76" s="15" t="s">
        <v>1089</v>
      </c>
      <c r="R76" s="16" t="s">
        <v>1575</v>
      </c>
      <c r="S76" s="15" t="s">
        <v>1576</v>
      </c>
      <c r="T76" s="15" t="s">
        <v>1577</v>
      </c>
      <c r="U76" s="21" t="s">
        <v>72</v>
      </c>
    </row>
    <row r="77" customFormat="false" ht="15" hidden="false" customHeight="false" outlineLevel="0" collapsed="false">
      <c r="A77" s="15" t="s">
        <v>1082</v>
      </c>
      <c r="B77" s="15" t="s">
        <v>1292</v>
      </c>
      <c r="C77" s="14" t="s">
        <v>1578</v>
      </c>
      <c r="D77" s="14" t="s">
        <v>1579</v>
      </c>
      <c r="E77" s="16" t="s">
        <v>1580</v>
      </c>
      <c r="F77" s="16" t="s">
        <v>1581</v>
      </c>
      <c r="G77" s="23" t="s">
        <v>43</v>
      </c>
      <c r="H77" s="18" t="n">
        <v>3</v>
      </c>
      <c r="I77" s="20" t="n">
        <v>55.35</v>
      </c>
      <c r="J77" s="20" t="n">
        <v>110.32</v>
      </c>
      <c r="K77" s="18" t="n">
        <v>1</v>
      </c>
      <c r="L77" s="18" t="n">
        <v>10</v>
      </c>
      <c r="M77" s="18" t="n">
        <v>54</v>
      </c>
      <c r="N77" s="18" t="n">
        <v>54</v>
      </c>
      <c r="O77" s="14" t="s">
        <v>1097</v>
      </c>
      <c r="P77" s="14" t="s">
        <v>118</v>
      </c>
      <c r="Q77" s="15" t="s">
        <v>1089</v>
      </c>
      <c r="R77" s="16" t="s">
        <v>1582</v>
      </c>
      <c r="S77" s="15" t="s">
        <v>1583</v>
      </c>
      <c r="T77" s="15" t="s">
        <v>1584</v>
      </c>
      <c r="U77" s="21" t="s">
        <v>72</v>
      </c>
    </row>
    <row r="78" customFormat="false" ht="26.85" hidden="false" customHeight="false" outlineLevel="0" collapsed="false">
      <c r="A78" s="15" t="s">
        <v>1082</v>
      </c>
      <c r="B78" s="15" t="s">
        <v>1292</v>
      </c>
      <c r="C78" s="14" t="s">
        <v>1585</v>
      </c>
      <c r="D78" s="14" t="s">
        <v>1586</v>
      </c>
      <c r="E78" s="16" t="s">
        <v>1587</v>
      </c>
      <c r="F78" s="16" t="s">
        <v>1588</v>
      </c>
      <c r="G78" s="19" t="s">
        <v>41</v>
      </c>
      <c r="H78" s="18" t="n">
        <v>5</v>
      </c>
      <c r="I78" s="20" t="n">
        <v>212.1</v>
      </c>
      <c r="J78" s="20" t="n">
        <v>367.7</v>
      </c>
      <c r="K78" s="18" t="n">
        <v>30</v>
      </c>
      <c r="L78" s="18" t="n">
        <v>6</v>
      </c>
      <c r="M78" s="18" t="n">
        <v>600</v>
      </c>
      <c r="N78" s="18" t="n">
        <v>100</v>
      </c>
      <c r="O78" s="14" t="s">
        <v>1097</v>
      </c>
      <c r="P78" s="14" t="s">
        <v>84</v>
      </c>
      <c r="Q78" s="15" t="s">
        <v>1089</v>
      </c>
      <c r="R78" s="16" t="s">
        <v>106</v>
      </c>
      <c r="S78" s="15" t="s">
        <v>1589</v>
      </c>
      <c r="T78" s="15" t="s">
        <v>1590</v>
      </c>
      <c r="U78" s="21" t="s">
        <v>72</v>
      </c>
    </row>
    <row r="79" customFormat="false" ht="15" hidden="false" customHeight="false" outlineLevel="0" collapsed="false">
      <c r="A79" s="15" t="s">
        <v>1082</v>
      </c>
      <c r="B79" s="15" t="s">
        <v>1591</v>
      </c>
      <c r="C79" s="14" t="s">
        <v>1592</v>
      </c>
      <c r="D79" s="14" t="s">
        <v>1593</v>
      </c>
      <c r="E79" s="16" t="s">
        <v>1594</v>
      </c>
      <c r="F79" s="16" t="s">
        <v>1595</v>
      </c>
      <c r="G79" s="23" t="s">
        <v>43</v>
      </c>
      <c r="H79" s="18" t="n">
        <v>4</v>
      </c>
      <c r="I79" s="20" t="n">
        <v>55.76</v>
      </c>
      <c r="J79" s="20" t="n">
        <v>93.22</v>
      </c>
      <c r="K79" s="18" t="n">
        <v>12</v>
      </c>
      <c r="L79" s="18" t="n">
        <v>5</v>
      </c>
      <c r="M79" s="18" t="n">
        <v>156</v>
      </c>
      <c r="N79" s="18" t="n">
        <v>26</v>
      </c>
      <c r="O79" s="14" t="s">
        <v>1088</v>
      </c>
      <c r="P79" s="14" t="s">
        <v>84</v>
      </c>
      <c r="Q79" s="15" t="s">
        <v>1089</v>
      </c>
      <c r="R79" s="16" t="s">
        <v>1596</v>
      </c>
      <c r="S79" s="15" t="s">
        <v>1597</v>
      </c>
      <c r="T79" s="15" t="s">
        <v>1598</v>
      </c>
      <c r="U79" s="21" t="s">
        <v>72</v>
      </c>
    </row>
    <row r="80" customFormat="false" ht="26.85" hidden="false" customHeight="false" outlineLevel="0" collapsed="false">
      <c r="A80" s="15" t="s">
        <v>1082</v>
      </c>
      <c r="B80" s="15" t="s">
        <v>1591</v>
      </c>
      <c r="C80" s="14" t="s">
        <v>1599</v>
      </c>
      <c r="D80" s="14" t="s">
        <v>1600</v>
      </c>
      <c r="E80" s="16" t="s">
        <v>1601</v>
      </c>
      <c r="F80" s="16" t="s">
        <v>1602</v>
      </c>
      <c r="G80" s="23" t="s">
        <v>43</v>
      </c>
      <c r="H80" s="18" t="n">
        <v>1</v>
      </c>
      <c r="I80" s="20" t="n">
        <v>48.28</v>
      </c>
      <c r="J80" s="20" t="n">
        <v>99.08</v>
      </c>
      <c r="K80" s="18" t="n">
        <v>5</v>
      </c>
      <c r="L80" s="18" t="n">
        <v>26</v>
      </c>
      <c r="M80" s="18" t="n">
        <v>200</v>
      </c>
      <c r="N80" s="18" t="n">
        <v>40</v>
      </c>
      <c r="O80" s="14" t="s">
        <v>1097</v>
      </c>
      <c r="P80" s="14" t="s">
        <v>118</v>
      </c>
      <c r="Q80" s="15" t="s">
        <v>1089</v>
      </c>
      <c r="R80" s="16" t="s">
        <v>1603</v>
      </c>
      <c r="S80" s="15" t="s">
        <v>1604</v>
      </c>
      <c r="T80" s="15" t="s">
        <v>1605</v>
      </c>
      <c r="U80" s="21" t="s">
        <v>72</v>
      </c>
    </row>
    <row r="81" customFormat="false" ht="26.85" hidden="false" customHeight="false" outlineLevel="0" collapsed="false">
      <c r="A81" s="15" t="s">
        <v>1082</v>
      </c>
      <c r="B81" s="15" t="s">
        <v>1591</v>
      </c>
      <c r="C81" s="14" t="s">
        <v>1606</v>
      </c>
      <c r="D81" s="14" t="s">
        <v>1607</v>
      </c>
      <c r="E81" s="16" t="s">
        <v>1608</v>
      </c>
      <c r="F81" s="16" t="s">
        <v>1609</v>
      </c>
      <c r="G81" s="19" t="s">
        <v>41</v>
      </c>
      <c r="H81" s="18" t="n">
        <v>6</v>
      </c>
      <c r="I81" s="20" t="n">
        <v>122.59</v>
      </c>
      <c r="J81" s="20" t="n">
        <v>214.68</v>
      </c>
      <c r="K81" s="18" t="n">
        <v>3</v>
      </c>
      <c r="L81" s="18" t="n">
        <v>3</v>
      </c>
      <c r="M81" s="18" t="n">
        <v>120</v>
      </c>
      <c r="N81" s="18" t="n">
        <v>120</v>
      </c>
      <c r="O81" s="14" t="s">
        <v>1097</v>
      </c>
      <c r="P81" s="14" t="s">
        <v>84</v>
      </c>
      <c r="Q81" s="15" t="s">
        <v>1089</v>
      </c>
      <c r="R81" s="16" t="s">
        <v>1610</v>
      </c>
      <c r="S81" s="15" t="s">
        <v>1611</v>
      </c>
      <c r="T81" s="15" t="s">
        <v>1611</v>
      </c>
      <c r="U81" s="21" t="s">
        <v>72</v>
      </c>
    </row>
    <row r="82" customFormat="false" ht="15" hidden="false" customHeight="false" outlineLevel="0" collapsed="false">
      <c r="A82" s="15" t="s">
        <v>1082</v>
      </c>
      <c r="B82" s="15" t="s">
        <v>1591</v>
      </c>
      <c r="C82" s="14" t="s">
        <v>1612</v>
      </c>
      <c r="D82" s="14" t="s">
        <v>1613</v>
      </c>
      <c r="E82" s="16" t="s">
        <v>1614</v>
      </c>
      <c r="F82" s="16" t="s">
        <v>1615</v>
      </c>
      <c r="G82" s="19" t="s">
        <v>41</v>
      </c>
      <c r="H82" s="18" t="n">
        <v>6</v>
      </c>
      <c r="I82" s="20" t="n">
        <v>124.44</v>
      </c>
      <c r="J82" s="20" t="n">
        <v>223.97</v>
      </c>
      <c r="K82" s="18" t="n">
        <v>6</v>
      </c>
      <c r="L82" s="18" t="n">
        <v>17</v>
      </c>
      <c r="M82" s="18" t="n">
        <v>120</v>
      </c>
      <c r="N82" s="18" t="n">
        <v>120</v>
      </c>
      <c r="O82" s="14" t="s">
        <v>1097</v>
      </c>
      <c r="P82" s="14" t="s">
        <v>84</v>
      </c>
      <c r="Q82" s="15" t="s">
        <v>1089</v>
      </c>
      <c r="R82" s="16" t="s">
        <v>1616</v>
      </c>
      <c r="S82" s="15" t="s">
        <v>1617</v>
      </c>
      <c r="T82" s="15" t="s">
        <v>1618</v>
      </c>
      <c r="U82" s="21" t="s">
        <v>72</v>
      </c>
    </row>
    <row r="83" customFormat="false" ht="15" hidden="false" customHeight="false" outlineLevel="0" collapsed="false">
      <c r="A83" s="15" t="s">
        <v>1082</v>
      </c>
      <c r="B83" s="15" t="s">
        <v>1591</v>
      </c>
      <c r="C83" s="14" t="s">
        <v>1619</v>
      </c>
      <c r="D83" s="14" t="s">
        <v>1620</v>
      </c>
      <c r="E83" s="16" t="s">
        <v>1614</v>
      </c>
      <c r="F83" s="16" t="s">
        <v>1615</v>
      </c>
      <c r="G83" s="23" t="s">
        <v>43</v>
      </c>
      <c r="H83" s="18" t="n">
        <v>2</v>
      </c>
      <c r="I83" s="20" t="n">
        <v>32.59</v>
      </c>
      <c r="J83" s="20" t="n">
        <v>111.86</v>
      </c>
      <c r="K83" s="18" t="n">
        <v>3</v>
      </c>
      <c r="L83" s="18" t="n">
        <v>17</v>
      </c>
      <c r="M83" s="18" t="n">
        <v>42</v>
      </c>
      <c r="N83" s="18" t="n">
        <v>42</v>
      </c>
      <c r="O83" s="14" t="s">
        <v>1126</v>
      </c>
      <c r="P83" s="14" t="s">
        <v>84</v>
      </c>
      <c r="Q83" s="15" t="s">
        <v>1089</v>
      </c>
      <c r="R83" s="16" t="s">
        <v>1621</v>
      </c>
      <c r="S83" s="15" t="s">
        <v>1622</v>
      </c>
      <c r="T83" s="15" t="s">
        <v>1623</v>
      </c>
      <c r="U83" s="21" t="s">
        <v>72</v>
      </c>
    </row>
    <row r="84" customFormat="false" ht="15" hidden="false" customHeight="false" outlineLevel="0" collapsed="false">
      <c r="A84" s="15" t="s">
        <v>1082</v>
      </c>
      <c r="B84" s="15" t="s">
        <v>1591</v>
      </c>
      <c r="C84" s="14" t="s">
        <v>1624</v>
      </c>
      <c r="D84" s="14" t="s">
        <v>1625</v>
      </c>
      <c r="E84" s="16" t="s">
        <v>1626</v>
      </c>
      <c r="F84" s="16" t="s">
        <v>1627</v>
      </c>
      <c r="G84" s="23" t="s">
        <v>43</v>
      </c>
      <c r="H84" s="18" t="n">
        <v>4</v>
      </c>
      <c r="I84" s="20" t="n">
        <v>63.22</v>
      </c>
      <c r="J84" s="20" t="n">
        <v>159.49</v>
      </c>
      <c r="K84" s="18" t="n">
        <v>4</v>
      </c>
      <c r="L84" s="18" t="n">
        <v>5</v>
      </c>
      <c r="M84" s="18" t="n">
        <v>208</v>
      </c>
      <c r="N84" s="18" t="n">
        <v>208</v>
      </c>
      <c r="O84" s="14" t="s">
        <v>1126</v>
      </c>
      <c r="P84" s="14" t="s">
        <v>84</v>
      </c>
      <c r="Q84" s="15" t="s">
        <v>1089</v>
      </c>
      <c r="R84" s="16" t="s">
        <v>1628</v>
      </c>
      <c r="S84" s="15" t="s">
        <v>1629</v>
      </c>
      <c r="T84" s="15" t="s">
        <v>1630</v>
      </c>
      <c r="U84" s="21" t="s">
        <v>72</v>
      </c>
    </row>
    <row r="85" customFormat="false" ht="15" hidden="false" customHeight="false" outlineLevel="0" collapsed="false">
      <c r="A85" s="15" t="s">
        <v>1082</v>
      </c>
      <c r="B85" s="15" t="s">
        <v>1591</v>
      </c>
      <c r="C85" s="14" t="s">
        <v>1631</v>
      </c>
      <c r="D85" s="14" t="s">
        <v>1632</v>
      </c>
      <c r="E85" s="16" t="s">
        <v>1633</v>
      </c>
      <c r="F85" s="16" t="s">
        <v>1627</v>
      </c>
      <c r="G85" s="23" t="s">
        <v>43</v>
      </c>
      <c r="H85" s="18" t="n">
        <v>2</v>
      </c>
      <c r="I85" s="20" t="n">
        <v>51.75</v>
      </c>
      <c r="J85" s="20" t="n">
        <v>116.76</v>
      </c>
      <c r="K85" s="18" t="n">
        <v>2</v>
      </c>
      <c r="L85" s="18" t="n">
        <v>6</v>
      </c>
      <c r="M85" s="18" t="n">
        <v>86</v>
      </c>
      <c r="N85" s="18" t="n">
        <v>86</v>
      </c>
      <c r="O85" s="14" t="s">
        <v>1097</v>
      </c>
      <c r="P85" s="14" t="s">
        <v>84</v>
      </c>
      <c r="Q85" s="15" t="s">
        <v>1089</v>
      </c>
      <c r="R85" s="16" t="s">
        <v>1634</v>
      </c>
      <c r="S85" s="15" t="s">
        <v>1629</v>
      </c>
      <c r="T85" s="15" t="s">
        <v>1635</v>
      </c>
      <c r="U85" s="21" t="s">
        <v>72</v>
      </c>
    </row>
    <row r="86" customFormat="false" ht="15" hidden="false" customHeight="false" outlineLevel="0" collapsed="false">
      <c r="A86" s="15" t="s">
        <v>1082</v>
      </c>
      <c r="B86" s="15" t="s">
        <v>1591</v>
      </c>
      <c r="C86" s="14" t="s">
        <v>1636</v>
      </c>
      <c r="D86" s="14" t="s">
        <v>1637</v>
      </c>
      <c r="E86" s="16" t="s">
        <v>1638</v>
      </c>
      <c r="F86" s="16" t="s">
        <v>1639</v>
      </c>
      <c r="G86" s="23" t="s">
        <v>43</v>
      </c>
      <c r="H86" s="18" t="n">
        <v>3</v>
      </c>
      <c r="I86" s="20" t="n">
        <v>42.58</v>
      </c>
      <c r="J86" s="20" t="n">
        <v>99.26</v>
      </c>
      <c r="K86" s="18" t="n">
        <v>4</v>
      </c>
      <c r="L86" s="18" t="n">
        <v>4</v>
      </c>
      <c r="M86" s="18" t="n">
        <v>208</v>
      </c>
      <c r="N86" s="18" t="n">
        <v>208</v>
      </c>
      <c r="O86" s="14" t="s">
        <v>1088</v>
      </c>
      <c r="P86" s="14" t="s">
        <v>84</v>
      </c>
      <c r="Q86" s="15" t="s">
        <v>1089</v>
      </c>
      <c r="R86" s="16" t="s">
        <v>1640</v>
      </c>
      <c r="S86" s="15" t="s">
        <v>1641</v>
      </c>
      <c r="T86" s="15" t="s">
        <v>1641</v>
      </c>
      <c r="U86" s="21" t="s">
        <v>72</v>
      </c>
    </row>
    <row r="87" customFormat="false" ht="15" hidden="false" customHeight="false" outlineLevel="0" collapsed="false">
      <c r="A87" s="15" t="s">
        <v>1082</v>
      </c>
      <c r="B87" s="15" t="s">
        <v>1591</v>
      </c>
      <c r="C87" s="14" t="s">
        <v>1642</v>
      </c>
      <c r="D87" s="14" t="s">
        <v>1643</v>
      </c>
      <c r="E87" s="16" t="s">
        <v>1644</v>
      </c>
      <c r="F87" s="16" t="s">
        <v>1645</v>
      </c>
      <c r="G87" s="23" t="s">
        <v>43</v>
      </c>
      <c r="H87" s="18" t="n">
        <v>4</v>
      </c>
      <c r="I87" s="20" t="n">
        <v>48</v>
      </c>
      <c r="J87" s="20" t="n">
        <v>74.21</v>
      </c>
      <c r="K87" s="18" t="n">
        <v>9</v>
      </c>
      <c r="L87" s="18" t="n">
        <v>6</v>
      </c>
      <c r="M87" s="18" t="n">
        <v>297</v>
      </c>
      <c r="N87" s="18" t="n">
        <v>99</v>
      </c>
      <c r="O87" s="14" t="s">
        <v>1088</v>
      </c>
      <c r="P87" s="14" t="s">
        <v>84</v>
      </c>
      <c r="Q87" s="15" t="s">
        <v>1089</v>
      </c>
      <c r="R87" s="16" t="s">
        <v>1575</v>
      </c>
      <c r="S87" s="15" t="s">
        <v>1646</v>
      </c>
      <c r="T87" s="15" t="s">
        <v>1647</v>
      </c>
      <c r="U87" s="21" t="s">
        <v>72</v>
      </c>
    </row>
    <row r="88" customFormat="false" ht="15" hidden="false" customHeight="false" outlineLevel="0" collapsed="false">
      <c r="A88" s="15" t="s">
        <v>1082</v>
      </c>
      <c r="B88" s="15" t="s">
        <v>1591</v>
      </c>
      <c r="C88" s="14" t="s">
        <v>1648</v>
      </c>
      <c r="D88" s="14" t="s">
        <v>1649</v>
      </c>
      <c r="E88" s="16" t="s">
        <v>1650</v>
      </c>
      <c r="F88" s="16" t="s">
        <v>1651</v>
      </c>
      <c r="G88" s="19" t="s">
        <v>41</v>
      </c>
      <c r="H88" s="18" t="n">
        <v>7</v>
      </c>
      <c r="I88" s="20" t="n">
        <v>130.5</v>
      </c>
      <c r="J88" s="20" t="n">
        <v>250.01</v>
      </c>
      <c r="K88" s="18" t="n">
        <v>6</v>
      </c>
      <c r="L88" s="18" t="n">
        <v>14</v>
      </c>
      <c r="M88" s="18" t="n">
        <v>360</v>
      </c>
      <c r="N88" s="18" t="n">
        <v>180</v>
      </c>
      <c r="O88" s="14" t="s">
        <v>1088</v>
      </c>
      <c r="P88" s="14" t="s">
        <v>118</v>
      </c>
      <c r="Q88" s="15" t="s">
        <v>1089</v>
      </c>
      <c r="R88" s="16" t="s">
        <v>1652</v>
      </c>
      <c r="S88" s="15" t="s">
        <v>1653</v>
      </c>
      <c r="T88" s="15" t="s">
        <v>1654</v>
      </c>
      <c r="U88" s="21" t="s">
        <v>72</v>
      </c>
    </row>
    <row r="89" customFormat="false" ht="15" hidden="false" customHeight="false" outlineLevel="0" collapsed="false">
      <c r="A89" s="15" t="s">
        <v>1082</v>
      </c>
      <c r="B89" s="15" t="s">
        <v>1591</v>
      </c>
      <c r="C89" s="14" t="s">
        <v>1655</v>
      </c>
      <c r="D89" s="14" t="s">
        <v>1656</v>
      </c>
      <c r="E89" s="16" t="s">
        <v>1657</v>
      </c>
      <c r="F89" s="16" t="s">
        <v>1658</v>
      </c>
      <c r="G89" s="23" t="s">
        <v>43</v>
      </c>
      <c r="H89" s="18" t="n">
        <v>3</v>
      </c>
      <c r="I89" s="20" t="n">
        <v>37.31</v>
      </c>
      <c r="J89" s="20" t="n">
        <v>83.27</v>
      </c>
      <c r="K89" s="18" t="n">
        <v>6</v>
      </c>
      <c r="L89" s="18" t="n">
        <v>10</v>
      </c>
      <c r="M89" s="18" t="n">
        <v>120</v>
      </c>
      <c r="N89" s="18" t="n">
        <v>40</v>
      </c>
      <c r="O89" s="14" t="s">
        <v>1097</v>
      </c>
      <c r="P89" s="14" t="s">
        <v>84</v>
      </c>
      <c r="Q89" s="15" t="s">
        <v>1089</v>
      </c>
      <c r="R89" s="16" t="s">
        <v>1457</v>
      </c>
      <c r="S89" s="15" t="s">
        <v>1659</v>
      </c>
      <c r="T89" s="15" t="s">
        <v>1660</v>
      </c>
      <c r="U89" s="21" t="s">
        <v>72</v>
      </c>
    </row>
    <row r="90" customFormat="false" ht="26.85" hidden="false" customHeight="false" outlineLevel="0" collapsed="false">
      <c r="A90" s="15" t="s">
        <v>1082</v>
      </c>
      <c r="B90" s="15" t="s">
        <v>1591</v>
      </c>
      <c r="C90" s="14" t="s">
        <v>1661</v>
      </c>
      <c r="D90" s="14" t="s">
        <v>1662</v>
      </c>
      <c r="E90" s="16" t="s">
        <v>1663</v>
      </c>
      <c r="F90" s="16" t="s">
        <v>1664</v>
      </c>
      <c r="G90" s="23" t="s">
        <v>43</v>
      </c>
      <c r="H90" s="18" t="n">
        <v>3</v>
      </c>
      <c r="I90" s="20" t="n">
        <v>40.11</v>
      </c>
      <c r="J90" s="20" t="n">
        <v>108.73</v>
      </c>
      <c r="K90" s="18" t="n">
        <v>8</v>
      </c>
      <c r="L90" s="18" t="n">
        <v>9</v>
      </c>
      <c r="M90" s="18" t="n">
        <v>256</v>
      </c>
      <c r="N90" s="18" t="n">
        <v>32</v>
      </c>
      <c r="O90" s="14" t="s">
        <v>1097</v>
      </c>
      <c r="P90" s="14" t="s">
        <v>1185</v>
      </c>
      <c r="Q90" s="15" t="s">
        <v>1089</v>
      </c>
      <c r="R90" s="16" t="s">
        <v>1665</v>
      </c>
      <c r="S90" s="15" t="s">
        <v>1666</v>
      </c>
      <c r="T90" s="15" t="s">
        <v>1667</v>
      </c>
      <c r="U90" s="21" t="s">
        <v>72</v>
      </c>
    </row>
    <row r="91" customFormat="false" ht="15" hidden="false" customHeight="false" outlineLevel="0" collapsed="false">
      <c r="A91" s="15" t="s">
        <v>1082</v>
      </c>
      <c r="B91" s="15" t="s">
        <v>1591</v>
      </c>
      <c r="C91" s="14" t="s">
        <v>1668</v>
      </c>
      <c r="D91" s="14" t="s">
        <v>1669</v>
      </c>
      <c r="E91" s="16" t="s">
        <v>1670</v>
      </c>
      <c r="F91" s="16" t="s">
        <v>1671</v>
      </c>
      <c r="G91" s="23" t="s">
        <v>43</v>
      </c>
      <c r="H91" s="18" t="n">
        <v>2</v>
      </c>
      <c r="I91" s="20" t="n">
        <v>37.95</v>
      </c>
      <c r="J91" s="20" t="n">
        <v>97.04</v>
      </c>
      <c r="K91" s="18" t="n">
        <v>4</v>
      </c>
      <c r="L91" s="18" t="n">
        <v>7</v>
      </c>
      <c r="M91" s="18" t="n">
        <v>100</v>
      </c>
      <c r="N91" s="18" t="n">
        <v>50</v>
      </c>
      <c r="O91" s="14" t="s">
        <v>1088</v>
      </c>
      <c r="P91" s="14" t="s">
        <v>1166</v>
      </c>
      <c r="Q91" s="15" t="s">
        <v>1089</v>
      </c>
      <c r="R91" s="16" t="s">
        <v>1672</v>
      </c>
      <c r="S91" s="15" t="s">
        <v>1673</v>
      </c>
      <c r="T91" s="15" t="s">
        <v>1674</v>
      </c>
      <c r="U91" s="21" t="s">
        <v>72</v>
      </c>
    </row>
    <row r="92" customFormat="false" ht="39.55" hidden="false" customHeight="false" outlineLevel="0" collapsed="false">
      <c r="A92" s="15" t="s">
        <v>1082</v>
      </c>
      <c r="B92" s="15" t="s">
        <v>1591</v>
      </c>
      <c r="C92" s="14" t="s">
        <v>1675</v>
      </c>
      <c r="D92" s="14" t="s">
        <v>1676</v>
      </c>
      <c r="E92" s="16" t="s">
        <v>1677</v>
      </c>
      <c r="F92" s="16" t="s">
        <v>1678</v>
      </c>
      <c r="G92" s="23" t="s">
        <v>43</v>
      </c>
      <c r="H92" s="18" t="n">
        <v>4</v>
      </c>
      <c r="I92" s="20" t="n">
        <v>41.82</v>
      </c>
      <c r="J92" s="20" t="n">
        <v>86.07</v>
      </c>
      <c r="K92" s="18" t="n">
        <v>28</v>
      </c>
      <c r="L92" s="18" t="n">
        <v>4</v>
      </c>
      <c r="M92" s="18" t="n">
        <v>952</v>
      </c>
      <c r="N92" s="18" t="n">
        <v>136</v>
      </c>
      <c r="O92" s="14" t="s">
        <v>1097</v>
      </c>
      <c r="P92" s="14" t="s">
        <v>1288</v>
      </c>
      <c r="Q92" s="15" t="s">
        <v>1089</v>
      </c>
      <c r="R92" s="16" t="s">
        <v>1679</v>
      </c>
      <c r="S92" s="15" t="s">
        <v>1680</v>
      </c>
      <c r="T92" s="15" t="s">
        <v>1680</v>
      </c>
      <c r="U92" s="21" t="s">
        <v>72</v>
      </c>
    </row>
    <row r="93" customFormat="false" ht="15" hidden="false" customHeight="false" outlineLevel="0" collapsed="false">
      <c r="A93" s="15" t="s">
        <v>1082</v>
      </c>
      <c r="B93" s="15" t="s">
        <v>1591</v>
      </c>
      <c r="C93" s="14" t="s">
        <v>1681</v>
      </c>
      <c r="D93" s="14" t="s">
        <v>1682</v>
      </c>
      <c r="E93" s="16" t="s">
        <v>1683</v>
      </c>
      <c r="F93" s="16" t="s">
        <v>1684</v>
      </c>
      <c r="G93" s="23" t="s">
        <v>43</v>
      </c>
      <c r="H93" s="18" t="n">
        <v>4</v>
      </c>
      <c r="I93" s="20" t="n">
        <v>64.98</v>
      </c>
      <c r="J93" s="20" t="n">
        <v>107.97</v>
      </c>
      <c r="K93" s="18" t="n">
        <v>4</v>
      </c>
      <c r="L93" s="18" t="n">
        <v>6</v>
      </c>
      <c r="M93" s="18" t="n">
        <v>216</v>
      </c>
      <c r="N93" s="18" t="n">
        <v>216</v>
      </c>
      <c r="O93" s="14" t="s">
        <v>1088</v>
      </c>
      <c r="P93" s="14" t="s">
        <v>84</v>
      </c>
      <c r="Q93" s="15" t="s">
        <v>1089</v>
      </c>
      <c r="R93" s="16" t="s">
        <v>1685</v>
      </c>
      <c r="S93" s="15" t="s">
        <v>1686</v>
      </c>
      <c r="T93" s="15" t="s">
        <v>1687</v>
      </c>
      <c r="U93" s="21" t="s">
        <v>72</v>
      </c>
    </row>
    <row r="94" customFormat="false" ht="15" hidden="false" customHeight="false" outlineLevel="0" collapsed="false">
      <c r="A94" s="15" t="s">
        <v>1082</v>
      </c>
      <c r="B94" s="15" t="s">
        <v>1591</v>
      </c>
      <c r="C94" s="14" t="s">
        <v>1688</v>
      </c>
      <c r="D94" s="14" t="s">
        <v>1689</v>
      </c>
      <c r="E94" s="16" t="s">
        <v>1690</v>
      </c>
      <c r="F94" s="16" t="s">
        <v>1691</v>
      </c>
      <c r="G94" s="23" t="s">
        <v>43</v>
      </c>
      <c r="H94" s="18" t="n">
        <v>2</v>
      </c>
      <c r="I94" s="20" t="n">
        <v>38.74</v>
      </c>
      <c r="J94" s="20" t="n">
        <v>105.93</v>
      </c>
      <c r="K94" s="18" t="n">
        <v>10</v>
      </c>
      <c r="L94" s="18" t="n">
        <v>4</v>
      </c>
      <c r="M94" s="18" t="n">
        <v>320</v>
      </c>
      <c r="N94" s="18" t="n">
        <v>64</v>
      </c>
      <c r="O94" s="14" t="s">
        <v>1097</v>
      </c>
      <c r="P94" s="14" t="s">
        <v>84</v>
      </c>
      <c r="Q94" s="15" t="s">
        <v>1089</v>
      </c>
      <c r="R94" s="16" t="s">
        <v>1402</v>
      </c>
      <c r="S94" s="15" t="s">
        <v>1692</v>
      </c>
      <c r="T94" s="15" t="s">
        <v>1693</v>
      </c>
      <c r="U94" s="21" t="s">
        <v>72</v>
      </c>
    </row>
    <row r="95" customFormat="false" ht="15" hidden="false" customHeight="false" outlineLevel="0" collapsed="false">
      <c r="A95" s="15" t="s">
        <v>1082</v>
      </c>
      <c r="B95" s="15" t="s">
        <v>1591</v>
      </c>
      <c r="C95" s="14" t="s">
        <v>1694</v>
      </c>
      <c r="D95" s="14" t="s">
        <v>1695</v>
      </c>
      <c r="E95" s="16" t="s">
        <v>1696</v>
      </c>
      <c r="F95" s="16" t="s">
        <v>1697</v>
      </c>
      <c r="G95" s="23" t="s">
        <v>43</v>
      </c>
      <c r="H95" s="18" t="n">
        <v>3</v>
      </c>
      <c r="I95" s="20" t="n">
        <v>35.79</v>
      </c>
      <c r="J95" s="20" t="n">
        <v>86.03</v>
      </c>
      <c r="K95" s="18" t="n">
        <v>3</v>
      </c>
      <c r="L95" s="18" t="n">
        <v>2</v>
      </c>
      <c r="M95" s="18" t="n">
        <v>36</v>
      </c>
      <c r="N95" s="18" t="n">
        <v>36</v>
      </c>
      <c r="O95" s="14" t="s">
        <v>1088</v>
      </c>
      <c r="P95" s="14" t="s">
        <v>84</v>
      </c>
      <c r="Q95" s="15" t="s">
        <v>1089</v>
      </c>
      <c r="R95" s="16" t="s">
        <v>1698</v>
      </c>
      <c r="S95" s="15" t="s">
        <v>1699</v>
      </c>
      <c r="T95" s="15" t="s">
        <v>1699</v>
      </c>
      <c r="U95" s="21" t="s">
        <v>72</v>
      </c>
    </row>
    <row r="96" customFormat="false" ht="15" hidden="false" customHeight="false" outlineLevel="0" collapsed="false">
      <c r="A96" s="15" t="s">
        <v>1082</v>
      </c>
      <c r="B96" s="15" t="s">
        <v>1591</v>
      </c>
      <c r="C96" s="14" t="s">
        <v>1700</v>
      </c>
      <c r="D96" s="14" t="s">
        <v>1701</v>
      </c>
      <c r="E96" s="16" t="s">
        <v>1702</v>
      </c>
      <c r="F96" s="16" t="s">
        <v>1703</v>
      </c>
      <c r="G96" s="23" t="s">
        <v>43</v>
      </c>
      <c r="H96" s="18" t="n">
        <v>3</v>
      </c>
      <c r="I96" s="20" t="n">
        <v>30.94</v>
      </c>
      <c r="J96" s="20" t="n">
        <v>72.96</v>
      </c>
      <c r="K96" s="18" t="n">
        <v>21</v>
      </c>
      <c r="L96" s="18" t="n">
        <v>7</v>
      </c>
      <c r="M96" s="18" t="n">
        <v>1050</v>
      </c>
      <c r="N96" s="18" t="n">
        <v>150</v>
      </c>
      <c r="O96" s="14" t="s">
        <v>1126</v>
      </c>
      <c r="P96" s="14" t="s">
        <v>118</v>
      </c>
      <c r="Q96" s="15" t="s">
        <v>1089</v>
      </c>
      <c r="R96" s="16" t="s">
        <v>1704</v>
      </c>
      <c r="S96" s="15" t="s">
        <v>1705</v>
      </c>
      <c r="T96" s="15" t="s">
        <v>1705</v>
      </c>
      <c r="U96" s="21" t="s">
        <v>72</v>
      </c>
    </row>
    <row r="97" customFormat="false" ht="15" hidden="false" customHeight="false" outlineLevel="0" collapsed="false">
      <c r="A97" s="15" t="s">
        <v>1082</v>
      </c>
      <c r="B97" s="15" t="s">
        <v>1591</v>
      </c>
      <c r="C97" s="14" t="s">
        <v>1706</v>
      </c>
      <c r="D97" s="14" t="s">
        <v>1707</v>
      </c>
      <c r="E97" s="16" t="s">
        <v>1708</v>
      </c>
      <c r="F97" s="16" t="s">
        <v>1709</v>
      </c>
      <c r="G97" s="23" t="s">
        <v>43</v>
      </c>
      <c r="H97" s="18" t="n">
        <v>2</v>
      </c>
      <c r="I97" s="20" t="n">
        <v>38.34</v>
      </c>
      <c r="J97" s="20" t="n">
        <v>95.78</v>
      </c>
      <c r="K97" s="18" t="n">
        <v>1</v>
      </c>
      <c r="L97" s="18" t="n">
        <v>2</v>
      </c>
      <c r="M97" s="18" t="n">
        <v>31</v>
      </c>
      <c r="N97" s="18" t="n">
        <v>31</v>
      </c>
      <c r="O97" s="14" t="s">
        <v>1088</v>
      </c>
      <c r="P97" s="14" t="s">
        <v>118</v>
      </c>
      <c r="Q97" s="15" t="s">
        <v>1089</v>
      </c>
      <c r="R97" s="16" t="s">
        <v>1710</v>
      </c>
      <c r="S97" s="15" t="s">
        <v>1711</v>
      </c>
      <c r="T97" s="15" t="s">
        <v>1711</v>
      </c>
      <c r="U97" s="21" t="s">
        <v>72</v>
      </c>
    </row>
    <row r="98" customFormat="false" ht="15" hidden="false" customHeight="false" outlineLevel="0" collapsed="false">
      <c r="A98" s="15" t="s">
        <v>1082</v>
      </c>
      <c r="B98" s="15" t="s">
        <v>1591</v>
      </c>
      <c r="C98" s="14" t="s">
        <v>1712</v>
      </c>
      <c r="D98" s="14" t="s">
        <v>1713</v>
      </c>
      <c r="E98" s="16" t="s">
        <v>1714</v>
      </c>
      <c r="F98" s="16" t="s">
        <v>1715</v>
      </c>
      <c r="G98" s="19" t="s">
        <v>41</v>
      </c>
      <c r="H98" s="18" t="n">
        <v>5</v>
      </c>
      <c r="I98" s="20" t="n">
        <v>56.16</v>
      </c>
      <c r="J98" s="20" t="n">
        <v>84.62</v>
      </c>
      <c r="K98" s="18" t="n">
        <v>3</v>
      </c>
      <c r="L98" s="18" t="n">
        <v>4</v>
      </c>
      <c r="M98" s="18" t="n">
        <v>138</v>
      </c>
      <c r="N98" s="18" t="n">
        <v>46</v>
      </c>
      <c r="O98" s="14" t="s">
        <v>1088</v>
      </c>
      <c r="P98" s="14" t="s">
        <v>1716</v>
      </c>
      <c r="Q98" s="15" t="s">
        <v>1089</v>
      </c>
      <c r="R98" s="16" t="s">
        <v>1199</v>
      </c>
      <c r="S98" s="15" t="s">
        <v>1717</v>
      </c>
      <c r="T98" s="15" t="s">
        <v>1717</v>
      </c>
      <c r="U98" s="21" t="s">
        <v>72</v>
      </c>
    </row>
    <row r="99" customFormat="false" ht="15" hidden="false" customHeight="false" outlineLevel="0" collapsed="false">
      <c r="A99" s="15" t="s">
        <v>1082</v>
      </c>
      <c r="B99" s="15" t="s">
        <v>1591</v>
      </c>
      <c r="C99" s="14" t="s">
        <v>1718</v>
      </c>
      <c r="D99" s="14" t="s">
        <v>1719</v>
      </c>
      <c r="E99" s="16" t="s">
        <v>1614</v>
      </c>
      <c r="F99" s="16" t="s">
        <v>1615</v>
      </c>
      <c r="G99" s="19" t="s">
        <v>41</v>
      </c>
      <c r="H99" s="18" t="n">
        <v>5</v>
      </c>
      <c r="I99" s="20" t="n">
        <v>154.43</v>
      </c>
      <c r="J99" s="20" t="n">
        <v>226.34</v>
      </c>
      <c r="K99" s="18" t="n">
        <v>4</v>
      </c>
      <c r="L99" s="18" t="n">
        <v>19</v>
      </c>
      <c r="M99" s="18" t="n">
        <v>80</v>
      </c>
      <c r="N99" s="18" t="n">
        <v>80</v>
      </c>
      <c r="O99" s="14" t="s">
        <v>1126</v>
      </c>
      <c r="P99" s="14" t="s">
        <v>84</v>
      </c>
      <c r="Q99" s="15" t="s">
        <v>1089</v>
      </c>
      <c r="R99" s="16" t="s">
        <v>1134</v>
      </c>
      <c r="S99" s="15" t="s">
        <v>1720</v>
      </c>
      <c r="T99" s="15" t="s">
        <v>1721</v>
      </c>
      <c r="U99" s="21" t="s">
        <v>72</v>
      </c>
    </row>
    <row r="100" customFormat="false" ht="39.55" hidden="false" customHeight="false" outlineLevel="0" collapsed="false">
      <c r="A100" s="15" t="s">
        <v>1082</v>
      </c>
      <c r="B100" s="15" t="s">
        <v>1591</v>
      </c>
      <c r="C100" s="14" t="s">
        <v>1722</v>
      </c>
      <c r="D100" s="14" t="s">
        <v>1723</v>
      </c>
      <c r="E100" s="16" t="s">
        <v>1724</v>
      </c>
      <c r="F100" s="16" t="s">
        <v>1725</v>
      </c>
      <c r="G100" s="19" t="s">
        <v>41</v>
      </c>
      <c r="H100" s="18" t="n">
        <v>5</v>
      </c>
      <c r="I100" s="20" t="n">
        <v>87.59</v>
      </c>
      <c r="J100" s="20" t="n">
        <v>129.31</v>
      </c>
      <c r="K100" s="18" t="n">
        <v>12</v>
      </c>
      <c r="L100" s="18" t="n">
        <v>12</v>
      </c>
      <c r="M100" s="18" t="n">
        <v>240</v>
      </c>
      <c r="N100" s="18" t="n">
        <v>60</v>
      </c>
      <c r="O100" s="14" t="s">
        <v>1126</v>
      </c>
      <c r="P100" s="14" t="s">
        <v>1726</v>
      </c>
      <c r="Q100" s="15" t="s">
        <v>1089</v>
      </c>
      <c r="R100" s="16" t="s">
        <v>1281</v>
      </c>
      <c r="S100" s="15" t="s">
        <v>1727</v>
      </c>
      <c r="T100" s="15" t="s">
        <v>1728</v>
      </c>
      <c r="U100" s="21" t="s">
        <v>72</v>
      </c>
    </row>
    <row r="101" customFormat="false" ht="15" hidden="false" customHeight="false" outlineLevel="0" collapsed="false">
      <c r="A101" s="15" t="s">
        <v>1082</v>
      </c>
      <c r="B101" s="15" t="s">
        <v>1591</v>
      </c>
      <c r="C101" s="14" t="s">
        <v>1729</v>
      </c>
      <c r="D101" s="14" t="s">
        <v>1730</v>
      </c>
      <c r="E101" s="16" t="s">
        <v>1731</v>
      </c>
      <c r="F101" s="16" t="s">
        <v>1732</v>
      </c>
      <c r="G101" s="23" t="s">
        <v>43</v>
      </c>
      <c r="H101" s="18" t="n">
        <v>3</v>
      </c>
      <c r="I101" s="20" t="n">
        <v>47.75</v>
      </c>
      <c r="J101" s="20" t="n">
        <v>83.33</v>
      </c>
      <c r="K101" s="18" t="n">
        <v>6</v>
      </c>
      <c r="L101" s="18" t="n">
        <v>2</v>
      </c>
      <c r="M101" s="18" t="n">
        <v>234</v>
      </c>
      <c r="N101" s="18" t="n">
        <v>117</v>
      </c>
      <c r="O101" s="14" t="s">
        <v>1088</v>
      </c>
      <c r="P101" s="14" t="s">
        <v>84</v>
      </c>
      <c r="Q101" s="15" t="s">
        <v>1089</v>
      </c>
      <c r="R101" s="16" t="s">
        <v>1733</v>
      </c>
      <c r="S101" s="15" t="s">
        <v>1734</v>
      </c>
      <c r="T101" s="15" t="s">
        <v>1734</v>
      </c>
      <c r="U101" s="21" t="s">
        <v>72</v>
      </c>
    </row>
    <row r="102" customFormat="false" ht="15" hidden="false" customHeight="false" outlineLevel="0" collapsed="false">
      <c r="A102" s="15" t="s">
        <v>1082</v>
      </c>
      <c r="B102" s="15" t="s">
        <v>1591</v>
      </c>
      <c r="C102" s="14" t="s">
        <v>1735</v>
      </c>
      <c r="D102" s="14" t="s">
        <v>1736</v>
      </c>
      <c r="E102" s="16" t="s">
        <v>1737</v>
      </c>
      <c r="F102" s="16" t="s">
        <v>1738</v>
      </c>
      <c r="G102" s="25" t="s">
        <v>39</v>
      </c>
      <c r="H102" s="18" t="n">
        <v>13</v>
      </c>
      <c r="I102" s="20" t="n">
        <v>201.43</v>
      </c>
      <c r="J102" s="20" t="n">
        <v>358.81</v>
      </c>
      <c r="K102" s="18" t="n">
        <v>6</v>
      </c>
      <c r="L102" s="18" t="n">
        <v>28</v>
      </c>
      <c r="M102" s="18" t="n">
        <v>120</v>
      </c>
      <c r="N102" s="18" t="n">
        <v>20</v>
      </c>
      <c r="O102" s="14" t="s">
        <v>1097</v>
      </c>
      <c r="P102" s="14" t="s">
        <v>84</v>
      </c>
      <c r="Q102" s="15" t="s">
        <v>1089</v>
      </c>
      <c r="R102" s="16" t="s">
        <v>1739</v>
      </c>
      <c r="S102" s="15" t="s">
        <v>1740</v>
      </c>
      <c r="T102" s="15" t="s">
        <v>1740</v>
      </c>
      <c r="U102" s="21" t="s">
        <v>72</v>
      </c>
    </row>
    <row r="103" customFormat="false" ht="15" hidden="false" customHeight="false" outlineLevel="0" collapsed="false">
      <c r="A103" s="15" t="s">
        <v>1082</v>
      </c>
      <c r="B103" s="15" t="s">
        <v>1591</v>
      </c>
      <c r="C103" s="14" t="s">
        <v>1741</v>
      </c>
      <c r="D103" s="14" t="s">
        <v>1742</v>
      </c>
      <c r="E103" s="16" t="s">
        <v>1743</v>
      </c>
      <c r="F103" s="16" t="s">
        <v>1744</v>
      </c>
      <c r="G103" s="23" t="s">
        <v>43</v>
      </c>
      <c r="H103" s="18" t="n">
        <v>3</v>
      </c>
      <c r="I103" s="20" t="n">
        <v>40.83</v>
      </c>
      <c r="J103" s="20" t="n">
        <v>93.41</v>
      </c>
      <c r="K103" s="18" t="n">
        <v>8</v>
      </c>
      <c r="L103" s="18" t="n">
        <v>13</v>
      </c>
      <c r="M103" s="18" t="n">
        <v>272</v>
      </c>
      <c r="N103" s="18" t="n">
        <v>136</v>
      </c>
      <c r="O103" s="14" t="s">
        <v>1097</v>
      </c>
      <c r="P103" s="14" t="s">
        <v>84</v>
      </c>
      <c r="Q103" s="15" t="s">
        <v>1089</v>
      </c>
      <c r="R103" s="16" t="s">
        <v>1745</v>
      </c>
      <c r="S103" s="15" t="s">
        <v>1746</v>
      </c>
      <c r="T103" s="15" t="s">
        <v>1747</v>
      </c>
      <c r="U103" s="21" t="s">
        <v>72</v>
      </c>
    </row>
    <row r="104" customFormat="false" ht="15" hidden="false" customHeight="false" outlineLevel="0" collapsed="false">
      <c r="A104" s="15" t="s">
        <v>1082</v>
      </c>
      <c r="B104" s="15" t="s">
        <v>1591</v>
      </c>
      <c r="C104" s="14" t="s">
        <v>1748</v>
      </c>
      <c r="D104" s="14" t="s">
        <v>1749</v>
      </c>
      <c r="E104" s="16" t="s">
        <v>1750</v>
      </c>
      <c r="F104" s="16" t="s">
        <v>1751</v>
      </c>
      <c r="G104" s="23" t="s">
        <v>43</v>
      </c>
      <c r="H104" s="18" t="n">
        <v>3</v>
      </c>
      <c r="I104" s="20" t="n">
        <v>43.03</v>
      </c>
      <c r="J104" s="20" t="n">
        <v>74.45</v>
      </c>
      <c r="K104" s="18" t="n">
        <v>3</v>
      </c>
      <c r="L104" s="18" t="n">
        <v>4</v>
      </c>
      <c r="M104" s="18" t="n">
        <v>105</v>
      </c>
      <c r="N104" s="18" t="n">
        <v>105</v>
      </c>
      <c r="O104" s="14" t="s">
        <v>1088</v>
      </c>
      <c r="P104" s="14" t="s">
        <v>118</v>
      </c>
      <c r="Q104" s="15" t="s">
        <v>1089</v>
      </c>
      <c r="R104" s="16" t="s">
        <v>1752</v>
      </c>
      <c r="S104" s="15" t="s">
        <v>1753</v>
      </c>
      <c r="T104" s="15" t="s">
        <v>1754</v>
      </c>
      <c r="U104" s="21" t="s">
        <v>72</v>
      </c>
    </row>
    <row r="105" customFormat="false" ht="15" hidden="false" customHeight="false" outlineLevel="0" collapsed="false">
      <c r="A105" s="15" t="s">
        <v>1082</v>
      </c>
      <c r="B105" s="15" t="s">
        <v>1591</v>
      </c>
      <c r="C105" s="14" t="s">
        <v>1755</v>
      </c>
      <c r="D105" s="14" t="s">
        <v>1756</v>
      </c>
      <c r="E105" s="16" t="s">
        <v>1757</v>
      </c>
      <c r="F105" s="16" t="s">
        <v>1758</v>
      </c>
      <c r="G105" s="23" t="s">
        <v>43</v>
      </c>
      <c r="H105" s="18" t="n">
        <v>3</v>
      </c>
      <c r="I105" s="20" t="n">
        <v>39.85</v>
      </c>
      <c r="J105" s="20" t="n">
        <v>82.4</v>
      </c>
      <c r="K105" s="18" t="n">
        <v>3</v>
      </c>
      <c r="L105" s="18" t="n">
        <v>7</v>
      </c>
      <c r="M105" s="18" t="n">
        <v>99</v>
      </c>
      <c r="N105" s="18" t="n">
        <v>99</v>
      </c>
      <c r="O105" s="14" t="s">
        <v>1088</v>
      </c>
      <c r="P105" s="14" t="s">
        <v>84</v>
      </c>
      <c r="Q105" s="15" t="s">
        <v>1089</v>
      </c>
      <c r="R105" s="16" t="s">
        <v>1759</v>
      </c>
      <c r="S105" s="15" t="s">
        <v>1760</v>
      </c>
      <c r="T105" s="15" t="s">
        <v>1761</v>
      </c>
      <c r="U105" s="21" t="s">
        <v>72</v>
      </c>
    </row>
    <row r="106" customFormat="false" ht="26.85" hidden="false" customHeight="false" outlineLevel="0" collapsed="false">
      <c r="A106" s="15" t="s">
        <v>1082</v>
      </c>
      <c r="B106" s="15" t="s">
        <v>1591</v>
      </c>
      <c r="C106" s="14" t="s">
        <v>1762</v>
      </c>
      <c r="D106" s="14" t="s">
        <v>1763</v>
      </c>
      <c r="E106" s="16" t="s">
        <v>1764</v>
      </c>
      <c r="F106" s="16" t="s">
        <v>1765</v>
      </c>
      <c r="G106" s="23" t="s">
        <v>43</v>
      </c>
      <c r="H106" s="18" t="n">
        <v>3</v>
      </c>
      <c r="I106" s="20" t="n">
        <v>30.3</v>
      </c>
      <c r="J106" s="20" t="n">
        <v>76.36</v>
      </c>
      <c r="K106" s="18" t="n">
        <v>39</v>
      </c>
      <c r="L106" s="18" t="n">
        <v>4</v>
      </c>
      <c r="M106" s="18" t="n">
        <v>975</v>
      </c>
      <c r="N106" s="18" t="n">
        <v>75</v>
      </c>
      <c r="O106" s="14" t="s">
        <v>1097</v>
      </c>
      <c r="P106" s="14" t="s">
        <v>1766</v>
      </c>
      <c r="Q106" s="15" t="s">
        <v>1089</v>
      </c>
      <c r="R106" s="16" t="s">
        <v>1307</v>
      </c>
      <c r="S106" s="15" t="s">
        <v>1767</v>
      </c>
      <c r="T106" s="15" t="s">
        <v>1768</v>
      </c>
      <c r="U106" s="21" t="s">
        <v>72</v>
      </c>
    </row>
    <row r="107" customFormat="false" ht="15" hidden="false" customHeight="false" outlineLevel="0" collapsed="false">
      <c r="A107" s="15" t="s">
        <v>1082</v>
      </c>
      <c r="B107" s="15" t="s">
        <v>1591</v>
      </c>
      <c r="C107" s="14" t="s">
        <v>1769</v>
      </c>
      <c r="D107" s="14" t="s">
        <v>1770</v>
      </c>
      <c r="E107" s="16"/>
      <c r="F107" s="16" t="s">
        <v>1771</v>
      </c>
      <c r="G107" s="23" t="s">
        <v>43</v>
      </c>
      <c r="H107" s="18" t="n">
        <v>3</v>
      </c>
      <c r="I107" s="20" t="n">
        <v>53.51</v>
      </c>
      <c r="J107" s="20" t="n">
        <v>92.98</v>
      </c>
      <c r="K107" s="18" t="n">
        <v>15</v>
      </c>
      <c r="L107" s="18" t="n">
        <v>2</v>
      </c>
      <c r="M107" s="18" t="n">
        <v>660</v>
      </c>
      <c r="N107" s="18" t="n">
        <v>132</v>
      </c>
      <c r="O107" s="14" t="s">
        <v>1097</v>
      </c>
      <c r="P107" s="14" t="s">
        <v>118</v>
      </c>
      <c r="Q107" s="15" t="s">
        <v>1089</v>
      </c>
      <c r="R107" s="16" t="s">
        <v>1772</v>
      </c>
      <c r="S107" s="15" t="s">
        <v>1773</v>
      </c>
      <c r="T107" s="15" t="s">
        <v>1774</v>
      </c>
      <c r="U107" s="21" t="s">
        <v>72</v>
      </c>
    </row>
    <row r="108" customFormat="false" ht="15" hidden="false" customHeight="false" outlineLevel="0" collapsed="false">
      <c r="A108" s="15" t="s">
        <v>1082</v>
      </c>
      <c r="B108" s="15" t="s">
        <v>1591</v>
      </c>
      <c r="C108" s="14" t="s">
        <v>1775</v>
      </c>
      <c r="D108" s="14" t="s">
        <v>1776</v>
      </c>
      <c r="E108" s="16" t="s">
        <v>1777</v>
      </c>
      <c r="F108" s="16" t="s">
        <v>1778</v>
      </c>
      <c r="G108" s="19" t="s">
        <v>41</v>
      </c>
      <c r="H108" s="18" t="n">
        <v>5</v>
      </c>
      <c r="I108" s="20" t="n">
        <v>107.17</v>
      </c>
      <c r="J108" s="20" t="n">
        <v>366.79</v>
      </c>
      <c r="K108" s="18" t="n">
        <v>8</v>
      </c>
      <c r="L108" s="18" t="n">
        <v>12</v>
      </c>
      <c r="M108" s="18" t="n">
        <v>480</v>
      </c>
      <c r="N108" s="18" t="n">
        <v>240</v>
      </c>
      <c r="O108" s="14" t="s">
        <v>1126</v>
      </c>
      <c r="P108" s="14" t="s">
        <v>84</v>
      </c>
      <c r="Q108" s="15" t="s">
        <v>1089</v>
      </c>
      <c r="R108" s="16" t="s">
        <v>1779</v>
      </c>
      <c r="S108" s="15" t="s">
        <v>1780</v>
      </c>
      <c r="T108" s="15" t="s">
        <v>1780</v>
      </c>
      <c r="U108" s="21" t="s">
        <v>72</v>
      </c>
    </row>
    <row r="109" customFormat="false" ht="15" hidden="false" customHeight="false" outlineLevel="0" collapsed="false">
      <c r="A109" s="15" t="s">
        <v>1082</v>
      </c>
      <c r="B109" s="15" t="s">
        <v>1591</v>
      </c>
      <c r="C109" s="14" t="s">
        <v>1781</v>
      </c>
      <c r="D109" s="14" t="s">
        <v>1782</v>
      </c>
      <c r="E109" s="16" t="s">
        <v>1783</v>
      </c>
      <c r="F109" s="16" t="s">
        <v>1784</v>
      </c>
      <c r="G109" s="23" t="s">
        <v>43</v>
      </c>
      <c r="H109" s="18" t="n">
        <v>2</v>
      </c>
      <c r="I109" s="20" t="n">
        <v>63.2</v>
      </c>
      <c r="J109" s="20" t="n">
        <v>110.51</v>
      </c>
      <c r="K109" s="18" t="n">
        <v>12</v>
      </c>
      <c r="L109" s="18" t="n">
        <v>5</v>
      </c>
      <c r="M109" s="18" t="n">
        <v>432</v>
      </c>
      <c r="N109" s="18" t="n">
        <v>72</v>
      </c>
      <c r="O109" s="14" t="s">
        <v>1088</v>
      </c>
      <c r="P109" s="14" t="s">
        <v>84</v>
      </c>
      <c r="Q109" s="15" t="s">
        <v>1089</v>
      </c>
      <c r="R109" s="16" t="s">
        <v>1785</v>
      </c>
      <c r="S109" s="15" t="s">
        <v>1786</v>
      </c>
      <c r="T109" s="15" t="s">
        <v>1786</v>
      </c>
      <c r="U109" s="21" t="s">
        <v>72</v>
      </c>
    </row>
    <row r="110" customFormat="false" ht="15" hidden="false" customHeight="false" outlineLevel="0" collapsed="false">
      <c r="A110" s="15" t="s">
        <v>1082</v>
      </c>
      <c r="B110" s="15" t="s">
        <v>1591</v>
      </c>
      <c r="C110" s="14" t="s">
        <v>1787</v>
      </c>
      <c r="D110" s="14" t="s">
        <v>1788</v>
      </c>
      <c r="E110" s="16" t="s">
        <v>1789</v>
      </c>
      <c r="F110" s="16" t="s">
        <v>1790</v>
      </c>
      <c r="G110" s="25" t="s">
        <v>39</v>
      </c>
      <c r="H110" s="18" t="n">
        <v>8</v>
      </c>
      <c r="I110" s="20" t="n">
        <v>225.72</v>
      </c>
      <c r="J110" s="20" t="n">
        <v>464.78</v>
      </c>
      <c r="K110" s="18" t="n">
        <v>50</v>
      </c>
      <c r="L110" s="18" t="n">
        <v>36</v>
      </c>
      <c r="M110" s="18" t="n">
        <v>3000</v>
      </c>
      <c r="N110" s="18" t="n">
        <v>3000</v>
      </c>
      <c r="O110" s="14" t="s">
        <v>1088</v>
      </c>
      <c r="P110" s="14" t="s">
        <v>84</v>
      </c>
      <c r="Q110" s="15" t="s">
        <v>1089</v>
      </c>
      <c r="R110" s="16" t="s">
        <v>1791</v>
      </c>
      <c r="S110" s="15" t="s">
        <v>1792</v>
      </c>
      <c r="T110" s="15" t="s">
        <v>1793</v>
      </c>
      <c r="U110" s="21" t="s">
        <v>72</v>
      </c>
    </row>
    <row r="111" customFormat="false" ht="39.55" hidden="false" customHeight="false" outlineLevel="0" collapsed="false">
      <c r="A111" s="15" t="s">
        <v>1082</v>
      </c>
      <c r="B111" s="15" t="s">
        <v>1591</v>
      </c>
      <c r="C111" s="14" t="s">
        <v>1794</v>
      </c>
      <c r="D111" s="14" t="s">
        <v>1795</v>
      </c>
      <c r="E111" s="16" t="s">
        <v>1796</v>
      </c>
      <c r="F111" s="16" t="s">
        <v>1797</v>
      </c>
      <c r="G111" s="23" t="s">
        <v>43</v>
      </c>
      <c r="H111" s="18" t="n">
        <v>4</v>
      </c>
      <c r="I111" s="20" t="n">
        <v>67.59</v>
      </c>
      <c r="J111" s="20" t="n">
        <v>194.75</v>
      </c>
      <c r="K111" s="18" t="n">
        <v>8</v>
      </c>
      <c r="L111" s="18" t="n">
        <v>6</v>
      </c>
      <c r="M111" s="18" t="n">
        <v>128</v>
      </c>
      <c r="N111" s="18" t="n">
        <v>16</v>
      </c>
      <c r="O111" s="14" t="s">
        <v>1088</v>
      </c>
      <c r="P111" s="14" t="s">
        <v>1798</v>
      </c>
      <c r="Q111" s="15" t="s">
        <v>1089</v>
      </c>
      <c r="R111" s="16" t="s">
        <v>1799</v>
      </c>
      <c r="S111" s="15" t="s">
        <v>1800</v>
      </c>
      <c r="T111" s="15" t="s">
        <v>1801</v>
      </c>
      <c r="U111" s="21" t="s">
        <v>72</v>
      </c>
    </row>
    <row r="112" customFormat="false" ht="26.85" hidden="false" customHeight="false" outlineLevel="0" collapsed="false">
      <c r="A112" s="15" t="s">
        <v>1082</v>
      </c>
      <c r="B112" s="15" t="s">
        <v>1591</v>
      </c>
      <c r="C112" s="14" t="s">
        <v>1802</v>
      </c>
      <c r="D112" s="14" t="s">
        <v>1803</v>
      </c>
      <c r="E112" s="16" t="s">
        <v>1804</v>
      </c>
      <c r="F112" s="16" t="s">
        <v>1805</v>
      </c>
      <c r="G112" s="19" t="s">
        <v>41</v>
      </c>
      <c r="H112" s="18" t="n">
        <v>5</v>
      </c>
      <c r="I112" s="20" t="n">
        <v>119.8</v>
      </c>
      <c r="J112" s="20" t="n">
        <v>143.52</v>
      </c>
      <c r="K112" s="18" t="n">
        <v>12</v>
      </c>
      <c r="L112" s="18" t="n">
        <v>94</v>
      </c>
      <c r="M112" s="18" t="n">
        <v>720</v>
      </c>
      <c r="N112" s="18" t="n">
        <v>60</v>
      </c>
      <c r="O112" s="14" t="s">
        <v>1097</v>
      </c>
      <c r="P112" s="14" t="s">
        <v>84</v>
      </c>
      <c r="Q112" s="15" t="s">
        <v>1089</v>
      </c>
      <c r="R112" s="16" t="s">
        <v>1806</v>
      </c>
      <c r="S112" s="15" t="s">
        <v>1807</v>
      </c>
      <c r="T112" s="15" t="s">
        <v>1808</v>
      </c>
      <c r="U112" s="21" t="s">
        <v>72</v>
      </c>
    </row>
    <row r="113" customFormat="false" ht="26.85" hidden="false" customHeight="false" outlineLevel="0" collapsed="false">
      <c r="A113" s="15" t="s">
        <v>1082</v>
      </c>
      <c r="B113" s="15" t="s">
        <v>1591</v>
      </c>
      <c r="C113" s="14" t="s">
        <v>1809</v>
      </c>
      <c r="D113" s="14" t="s">
        <v>1810</v>
      </c>
      <c r="E113" s="16" t="s">
        <v>1811</v>
      </c>
      <c r="F113" s="16" t="s">
        <v>1812</v>
      </c>
      <c r="G113" s="25" t="s">
        <v>39</v>
      </c>
      <c r="H113" s="18" t="n">
        <v>9</v>
      </c>
      <c r="I113" s="20" t="n">
        <v>215.62</v>
      </c>
      <c r="J113" s="20" t="n">
        <v>368.47</v>
      </c>
      <c r="K113" s="18" t="n">
        <v>6</v>
      </c>
      <c r="L113" s="18" t="n">
        <v>11</v>
      </c>
      <c r="M113" s="18" t="n">
        <v>360</v>
      </c>
      <c r="N113" s="18" t="n">
        <v>360</v>
      </c>
      <c r="O113" s="14" t="s">
        <v>1126</v>
      </c>
      <c r="P113" s="14" t="s">
        <v>84</v>
      </c>
      <c r="Q113" s="15" t="s">
        <v>1089</v>
      </c>
      <c r="R113" s="16" t="s">
        <v>1307</v>
      </c>
      <c r="S113" s="15" t="s">
        <v>1813</v>
      </c>
      <c r="T113" s="15" t="s">
        <v>1814</v>
      </c>
      <c r="U113" s="21" t="s">
        <v>72</v>
      </c>
    </row>
    <row r="114" customFormat="false" ht="26.85" hidden="false" customHeight="false" outlineLevel="0" collapsed="false">
      <c r="A114" s="15" t="s">
        <v>1082</v>
      </c>
      <c r="B114" s="15" t="s">
        <v>1591</v>
      </c>
      <c r="C114" s="14" t="s">
        <v>1815</v>
      </c>
      <c r="D114" s="14" t="s">
        <v>1816</v>
      </c>
      <c r="E114" s="16" t="s">
        <v>1817</v>
      </c>
      <c r="F114" s="16" t="s">
        <v>1812</v>
      </c>
      <c r="G114" s="19" t="s">
        <v>41</v>
      </c>
      <c r="H114" s="18" t="n">
        <v>6</v>
      </c>
      <c r="I114" s="20" t="n">
        <v>225.76</v>
      </c>
      <c r="J114" s="20" t="n">
        <v>367.44</v>
      </c>
      <c r="K114" s="18" t="n">
        <v>27</v>
      </c>
      <c r="L114" s="18" t="n">
        <v>12</v>
      </c>
      <c r="M114" s="18" t="n">
        <v>540</v>
      </c>
      <c r="N114" s="18" t="n">
        <v>180</v>
      </c>
      <c r="O114" s="14" t="s">
        <v>1126</v>
      </c>
      <c r="P114" s="14" t="s">
        <v>84</v>
      </c>
      <c r="Q114" s="15" t="s">
        <v>1089</v>
      </c>
      <c r="R114" s="16" t="s">
        <v>1207</v>
      </c>
      <c r="S114" s="15" t="s">
        <v>1813</v>
      </c>
      <c r="T114" s="15" t="s">
        <v>1818</v>
      </c>
      <c r="U114" s="21" t="s">
        <v>72</v>
      </c>
    </row>
    <row r="115" customFormat="false" ht="15" hidden="false" customHeight="false" outlineLevel="0" collapsed="false">
      <c r="A115" s="15" t="s">
        <v>1082</v>
      </c>
      <c r="B115" s="15" t="s">
        <v>1819</v>
      </c>
      <c r="C115" s="14" t="s">
        <v>1820</v>
      </c>
      <c r="D115" s="14" t="s">
        <v>1821</v>
      </c>
      <c r="E115" s="16" t="s">
        <v>1822</v>
      </c>
      <c r="F115" s="16" t="s">
        <v>1823</v>
      </c>
      <c r="G115" s="19" t="s">
        <v>41</v>
      </c>
      <c r="H115" s="18" t="n">
        <v>6</v>
      </c>
      <c r="I115" s="20" t="n">
        <v>159.78</v>
      </c>
      <c r="J115" s="20" t="n">
        <v>268.11</v>
      </c>
      <c r="K115" s="18" t="n">
        <v>36</v>
      </c>
      <c r="L115" s="18" t="n">
        <v>18</v>
      </c>
      <c r="M115" s="18" t="n">
        <v>2160</v>
      </c>
      <c r="N115" s="18" t="n">
        <v>360</v>
      </c>
      <c r="O115" s="14" t="s">
        <v>1097</v>
      </c>
      <c r="P115" s="14" t="s">
        <v>118</v>
      </c>
      <c r="Q115" s="15" t="s">
        <v>1089</v>
      </c>
      <c r="R115" s="16" t="s">
        <v>1824</v>
      </c>
      <c r="S115" s="15" t="s">
        <v>1825</v>
      </c>
      <c r="T115" s="15" t="s">
        <v>1826</v>
      </c>
      <c r="U115" s="21" t="s">
        <v>72</v>
      </c>
    </row>
    <row r="116" customFormat="false" ht="15" hidden="false" customHeight="false" outlineLevel="0" collapsed="false">
      <c r="A116" s="15" t="s">
        <v>1082</v>
      </c>
      <c r="B116" s="15" t="s">
        <v>1819</v>
      </c>
      <c r="C116" s="14" t="s">
        <v>1827</v>
      </c>
      <c r="D116" s="14" t="s">
        <v>1828</v>
      </c>
      <c r="E116" s="16" t="s">
        <v>1829</v>
      </c>
      <c r="F116" s="16" t="s">
        <v>1830</v>
      </c>
      <c r="G116" s="23" t="s">
        <v>43</v>
      </c>
      <c r="H116" s="18" t="n">
        <v>3</v>
      </c>
      <c r="I116" s="20" t="n">
        <v>49.19</v>
      </c>
      <c r="J116" s="20" t="n">
        <v>138.49</v>
      </c>
      <c r="K116" s="18" t="n">
        <v>2</v>
      </c>
      <c r="L116" s="18" t="n">
        <v>12</v>
      </c>
      <c r="M116" s="18" t="n">
        <v>54</v>
      </c>
      <c r="N116" s="18" t="n">
        <v>54</v>
      </c>
      <c r="O116" s="14" t="s">
        <v>1126</v>
      </c>
      <c r="P116" s="14" t="s">
        <v>84</v>
      </c>
      <c r="Q116" s="15" t="s">
        <v>1089</v>
      </c>
      <c r="R116" s="16" t="s">
        <v>1307</v>
      </c>
      <c r="S116" s="15" t="s">
        <v>1831</v>
      </c>
      <c r="T116" s="15" t="s">
        <v>1832</v>
      </c>
      <c r="U116" s="21" t="s">
        <v>72</v>
      </c>
    </row>
    <row r="117" customFormat="false" ht="26.85" hidden="false" customHeight="false" outlineLevel="0" collapsed="false">
      <c r="A117" s="15" t="s">
        <v>1082</v>
      </c>
      <c r="B117" s="15" t="s">
        <v>1819</v>
      </c>
      <c r="C117" s="14" t="s">
        <v>1833</v>
      </c>
      <c r="D117" s="14" t="s">
        <v>1834</v>
      </c>
      <c r="E117" s="16" t="s">
        <v>1835</v>
      </c>
      <c r="F117" s="16" t="s">
        <v>1836</v>
      </c>
      <c r="G117" s="19" t="s">
        <v>41</v>
      </c>
      <c r="H117" s="18" t="n">
        <v>4</v>
      </c>
      <c r="I117" s="20" t="n">
        <v>117.04</v>
      </c>
      <c r="J117" s="20" t="n">
        <v>274.2</v>
      </c>
      <c r="K117" s="18" t="n">
        <v>8</v>
      </c>
      <c r="L117" s="18" t="n">
        <v>86</v>
      </c>
      <c r="M117" s="18" t="n">
        <v>480</v>
      </c>
      <c r="N117" s="18" t="n">
        <v>240</v>
      </c>
      <c r="O117" s="14" t="s">
        <v>1126</v>
      </c>
      <c r="P117" s="14" t="s">
        <v>1166</v>
      </c>
      <c r="Q117" s="15" t="s">
        <v>1089</v>
      </c>
      <c r="R117" s="16" t="s">
        <v>1837</v>
      </c>
      <c r="S117" s="15" t="s">
        <v>1348</v>
      </c>
      <c r="T117" s="15" t="s">
        <v>1838</v>
      </c>
      <c r="U117" s="21" t="s">
        <v>72</v>
      </c>
    </row>
    <row r="118" customFormat="false" ht="26.85" hidden="false" customHeight="false" outlineLevel="0" collapsed="false">
      <c r="A118" s="15" t="s">
        <v>1082</v>
      </c>
      <c r="B118" s="15" t="s">
        <v>1819</v>
      </c>
      <c r="C118" s="14" t="s">
        <v>1839</v>
      </c>
      <c r="D118" s="14" t="s">
        <v>1840</v>
      </c>
      <c r="E118" s="16" t="s">
        <v>1841</v>
      </c>
      <c r="F118" s="16" t="s">
        <v>1842</v>
      </c>
      <c r="G118" s="23" t="s">
        <v>43</v>
      </c>
      <c r="H118" s="18" t="n">
        <v>3</v>
      </c>
      <c r="I118" s="20" t="n">
        <v>50.15</v>
      </c>
      <c r="J118" s="20" t="n">
        <v>89.99</v>
      </c>
      <c r="K118" s="18" t="n">
        <v>35</v>
      </c>
      <c r="L118" s="18" t="n">
        <v>7</v>
      </c>
      <c r="M118" s="18" t="n">
        <v>2100</v>
      </c>
      <c r="N118" s="18" t="n">
        <v>300</v>
      </c>
      <c r="O118" s="14" t="s">
        <v>1126</v>
      </c>
      <c r="P118" s="14" t="s">
        <v>84</v>
      </c>
      <c r="Q118" s="15" t="s">
        <v>1089</v>
      </c>
      <c r="R118" s="16" t="s">
        <v>1596</v>
      </c>
      <c r="S118" s="15" t="s">
        <v>1843</v>
      </c>
      <c r="T118" s="15" t="s">
        <v>1844</v>
      </c>
      <c r="U118" s="21" t="s">
        <v>72</v>
      </c>
    </row>
    <row r="119" customFormat="false" ht="26.85" hidden="false" customHeight="false" outlineLevel="0" collapsed="false">
      <c r="A119" s="15" t="s">
        <v>1082</v>
      </c>
      <c r="B119" s="15" t="s">
        <v>1819</v>
      </c>
      <c r="C119" s="14" t="s">
        <v>1845</v>
      </c>
      <c r="D119" s="14" t="s">
        <v>1846</v>
      </c>
      <c r="E119" s="16" t="s">
        <v>1847</v>
      </c>
      <c r="F119" s="16" t="s">
        <v>1848</v>
      </c>
      <c r="G119" s="23" t="s">
        <v>43</v>
      </c>
      <c r="H119" s="18" t="n">
        <v>4</v>
      </c>
      <c r="I119" s="20" t="n">
        <v>45.36</v>
      </c>
      <c r="J119" s="20" t="n">
        <v>78.35</v>
      </c>
      <c r="K119" s="18" t="n">
        <v>12</v>
      </c>
      <c r="L119" s="18" t="n">
        <v>11</v>
      </c>
      <c r="M119" s="18" t="n">
        <v>444</v>
      </c>
      <c r="N119" s="18" t="n">
        <v>148</v>
      </c>
      <c r="O119" s="14" t="s">
        <v>1097</v>
      </c>
      <c r="P119" s="14" t="s">
        <v>118</v>
      </c>
      <c r="Q119" s="15" t="s">
        <v>1089</v>
      </c>
      <c r="R119" s="16" t="s">
        <v>1849</v>
      </c>
      <c r="S119" s="15" t="s">
        <v>1850</v>
      </c>
      <c r="T119" s="15" t="s">
        <v>1851</v>
      </c>
      <c r="U119" s="21" t="s">
        <v>72</v>
      </c>
    </row>
    <row r="120" customFormat="false" ht="15" hidden="false" customHeight="false" outlineLevel="0" collapsed="false">
      <c r="A120" s="15" t="s">
        <v>1082</v>
      </c>
      <c r="B120" s="15" t="s">
        <v>1819</v>
      </c>
      <c r="C120" s="14" t="s">
        <v>1852</v>
      </c>
      <c r="D120" s="14" t="s">
        <v>1853</v>
      </c>
      <c r="E120" s="16" t="s">
        <v>1854</v>
      </c>
      <c r="F120" s="16" t="s">
        <v>1855</v>
      </c>
      <c r="G120" s="25" t="s">
        <v>39</v>
      </c>
      <c r="H120" s="18" t="n">
        <v>9</v>
      </c>
      <c r="I120" s="20" t="n">
        <v>155.32</v>
      </c>
      <c r="J120" s="20" t="n">
        <v>277.63</v>
      </c>
      <c r="K120" s="18" t="n">
        <v>30</v>
      </c>
      <c r="L120" s="18" t="n">
        <v>3</v>
      </c>
      <c r="M120" s="18" t="n">
        <v>1800</v>
      </c>
      <c r="N120" s="18" t="n">
        <v>600</v>
      </c>
      <c r="O120" s="14" t="s">
        <v>1088</v>
      </c>
      <c r="P120" s="14" t="s">
        <v>84</v>
      </c>
      <c r="Q120" s="15" t="s">
        <v>1089</v>
      </c>
      <c r="R120" s="16" t="s">
        <v>1856</v>
      </c>
      <c r="S120" s="15" t="s">
        <v>1857</v>
      </c>
      <c r="T120" s="15" t="s">
        <v>1858</v>
      </c>
      <c r="U120" s="21" t="s">
        <v>72</v>
      </c>
    </row>
    <row r="121" customFormat="false" ht="26.85" hidden="false" customHeight="false" outlineLevel="0" collapsed="false">
      <c r="A121" s="15" t="s">
        <v>1082</v>
      </c>
      <c r="B121" s="15" t="s">
        <v>1819</v>
      </c>
      <c r="C121" s="14" t="s">
        <v>1859</v>
      </c>
      <c r="D121" s="14" t="s">
        <v>1860</v>
      </c>
      <c r="E121" s="16" t="s">
        <v>1861</v>
      </c>
      <c r="F121" s="16" t="s">
        <v>1862</v>
      </c>
      <c r="G121" s="19" t="s">
        <v>41</v>
      </c>
      <c r="H121" s="18" t="n">
        <v>5</v>
      </c>
      <c r="I121" s="20" t="n">
        <v>48.73</v>
      </c>
      <c r="J121" s="20" t="n">
        <v>105.1</v>
      </c>
      <c r="K121" s="18" t="n">
        <v>16</v>
      </c>
      <c r="L121" s="18" t="n">
        <v>63</v>
      </c>
      <c r="M121" s="18" t="n">
        <v>672</v>
      </c>
      <c r="N121" s="18" t="n">
        <v>168</v>
      </c>
      <c r="O121" s="14" t="s">
        <v>1088</v>
      </c>
      <c r="P121" s="14" t="s">
        <v>84</v>
      </c>
      <c r="Q121" s="15" t="s">
        <v>1089</v>
      </c>
      <c r="R121" s="16" t="s">
        <v>1863</v>
      </c>
      <c r="S121" s="15" t="s">
        <v>1864</v>
      </c>
      <c r="T121" s="15" t="s">
        <v>1865</v>
      </c>
      <c r="U121" s="21" t="s">
        <v>72</v>
      </c>
    </row>
    <row r="122" customFormat="false" ht="26.85" hidden="false" customHeight="false" outlineLevel="0" collapsed="false">
      <c r="A122" s="15" t="s">
        <v>1082</v>
      </c>
      <c r="B122" s="15" t="s">
        <v>1819</v>
      </c>
      <c r="C122" s="14" t="s">
        <v>1866</v>
      </c>
      <c r="D122" s="14" t="s">
        <v>1867</v>
      </c>
      <c r="E122" s="16" t="s">
        <v>1868</v>
      </c>
      <c r="F122" s="16" t="s">
        <v>1862</v>
      </c>
      <c r="G122" s="23" t="s">
        <v>43</v>
      </c>
      <c r="H122" s="18" t="n">
        <v>4</v>
      </c>
      <c r="I122" s="20" t="n">
        <v>57.45</v>
      </c>
      <c r="J122" s="20" t="n">
        <v>97.47</v>
      </c>
      <c r="K122" s="18" t="n">
        <v>16</v>
      </c>
      <c r="L122" s="18" t="n">
        <v>63</v>
      </c>
      <c r="M122" s="18" t="n">
        <v>240</v>
      </c>
      <c r="N122" s="18" t="n">
        <v>60</v>
      </c>
      <c r="O122" s="14" t="s">
        <v>1097</v>
      </c>
      <c r="P122" s="14" t="s">
        <v>84</v>
      </c>
      <c r="Q122" s="15" t="s">
        <v>1089</v>
      </c>
      <c r="R122" s="16" t="s">
        <v>1869</v>
      </c>
      <c r="S122" s="15" t="s">
        <v>1864</v>
      </c>
      <c r="T122" s="15" t="s">
        <v>1870</v>
      </c>
      <c r="U122" s="21" t="s">
        <v>72</v>
      </c>
    </row>
    <row r="123" customFormat="false" ht="26.85" hidden="false" customHeight="false" outlineLevel="0" collapsed="false">
      <c r="A123" s="15" t="s">
        <v>1082</v>
      </c>
      <c r="B123" s="15" t="s">
        <v>1819</v>
      </c>
      <c r="C123" s="14" t="s">
        <v>1871</v>
      </c>
      <c r="D123" s="14" t="s">
        <v>1872</v>
      </c>
      <c r="E123" s="16" t="s">
        <v>1873</v>
      </c>
      <c r="F123" s="16" t="s">
        <v>1874</v>
      </c>
      <c r="G123" s="23" t="s">
        <v>43</v>
      </c>
      <c r="H123" s="18" t="n">
        <v>4</v>
      </c>
      <c r="I123" s="20" t="n">
        <v>133.11</v>
      </c>
      <c r="J123" s="20" t="n">
        <v>184.61</v>
      </c>
      <c r="K123" s="18" t="n">
        <v>4</v>
      </c>
      <c r="L123" s="18" t="n">
        <v>12</v>
      </c>
      <c r="M123" s="18" t="n">
        <v>240</v>
      </c>
      <c r="N123" s="18" t="n">
        <v>240</v>
      </c>
      <c r="O123" s="14" t="s">
        <v>1097</v>
      </c>
      <c r="P123" s="14" t="s">
        <v>84</v>
      </c>
      <c r="Q123" s="15" t="s">
        <v>1089</v>
      </c>
      <c r="R123" s="16" t="s">
        <v>1199</v>
      </c>
      <c r="S123" s="15" t="s">
        <v>1875</v>
      </c>
      <c r="T123" s="15" t="s">
        <v>1876</v>
      </c>
      <c r="U123" s="21" t="s">
        <v>72</v>
      </c>
    </row>
    <row r="124" customFormat="false" ht="26.85" hidden="false" customHeight="false" outlineLevel="0" collapsed="false">
      <c r="A124" s="15" t="s">
        <v>1082</v>
      </c>
      <c r="B124" s="15" t="s">
        <v>1819</v>
      </c>
      <c r="C124" s="14" t="s">
        <v>1877</v>
      </c>
      <c r="D124" s="14" t="s">
        <v>1878</v>
      </c>
      <c r="E124" s="16" t="s">
        <v>1873</v>
      </c>
      <c r="F124" s="16" t="s">
        <v>1874</v>
      </c>
      <c r="G124" s="19" t="s">
        <v>41</v>
      </c>
      <c r="H124" s="18" t="n">
        <v>3</v>
      </c>
      <c r="I124" s="20" t="n">
        <v>139.5</v>
      </c>
      <c r="J124" s="20" t="n">
        <v>224.95</v>
      </c>
      <c r="K124" s="18" t="n">
        <v>3</v>
      </c>
      <c r="L124" s="18" t="n">
        <v>16</v>
      </c>
      <c r="M124" s="18" t="n">
        <v>180</v>
      </c>
      <c r="N124" s="18" t="n">
        <v>180</v>
      </c>
      <c r="O124" s="14" t="s">
        <v>1097</v>
      </c>
      <c r="P124" s="14" t="s">
        <v>84</v>
      </c>
      <c r="Q124" s="15" t="s">
        <v>1089</v>
      </c>
      <c r="R124" s="16" t="s">
        <v>1879</v>
      </c>
      <c r="S124" s="15" t="s">
        <v>1875</v>
      </c>
      <c r="T124" s="15" t="s">
        <v>1880</v>
      </c>
      <c r="U124" s="21" t="s">
        <v>72</v>
      </c>
    </row>
    <row r="125" customFormat="false" ht="15" hidden="false" customHeight="false" outlineLevel="0" collapsed="false">
      <c r="A125" s="15" t="s">
        <v>1082</v>
      </c>
      <c r="B125" s="15" t="s">
        <v>1819</v>
      </c>
      <c r="C125" s="14" t="s">
        <v>1881</v>
      </c>
      <c r="D125" s="14" t="s">
        <v>1882</v>
      </c>
      <c r="E125" s="16" t="s">
        <v>1883</v>
      </c>
      <c r="F125" s="16" t="s">
        <v>1475</v>
      </c>
      <c r="G125" s="23" t="s">
        <v>43</v>
      </c>
      <c r="H125" s="18" t="n">
        <v>1</v>
      </c>
      <c r="I125" s="20" t="n">
        <v>34.06</v>
      </c>
      <c r="J125" s="20" t="n">
        <v>107.4</v>
      </c>
      <c r="K125" s="18" t="n">
        <v>10</v>
      </c>
      <c r="L125" s="18" t="n">
        <v>20</v>
      </c>
      <c r="M125" s="18" t="n">
        <v>350</v>
      </c>
      <c r="N125" s="18" t="n">
        <v>70</v>
      </c>
      <c r="O125" s="14" t="s">
        <v>1097</v>
      </c>
      <c r="P125" s="14" t="s">
        <v>118</v>
      </c>
      <c r="Q125" s="15" t="s">
        <v>1089</v>
      </c>
      <c r="R125" s="16" t="s">
        <v>1884</v>
      </c>
      <c r="S125" s="15" t="s">
        <v>1477</v>
      </c>
      <c r="T125" s="15" t="s">
        <v>1885</v>
      </c>
      <c r="U125" s="21" t="s">
        <v>72</v>
      </c>
    </row>
    <row r="126" customFormat="false" ht="15" hidden="false" customHeight="false" outlineLevel="0" collapsed="false">
      <c r="A126" s="15" t="s">
        <v>1082</v>
      </c>
      <c r="B126" s="15" t="s">
        <v>1819</v>
      </c>
      <c r="C126" s="14" t="s">
        <v>1886</v>
      </c>
      <c r="D126" s="14" t="s">
        <v>1887</v>
      </c>
      <c r="E126" s="16" t="s">
        <v>1888</v>
      </c>
      <c r="F126" s="16" t="s">
        <v>1889</v>
      </c>
      <c r="G126" s="19" t="s">
        <v>41</v>
      </c>
      <c r="H126" s="18" t="n">
        <v>5</v>
      </c>
      <c r="I126" s="20" t="n">
        <v>62.84</v>
      </c>
      <c r="J126" s="20" t="n">
        <v>94.25</v>
      </c>
      <c r="K126" s="18" t="n">
        <v>15</v>
      </c>
      <c r="L126" s="18" t="n">
        <v>7</v>
      </c>
      <c r="M126" s="18" t="n">
        <v>525</v>
      </c>
      <c r="N126" s="18" t="n">
        <v>175</v>
      </c>
      <c r="O126" s="14" t="s">
        <v>1097</v>
      </c>
      <c r="P126" s="14" t="s">
        <v>84</v>
      </c>
      <c r="Q126" s="15" t="s">
        <v>1089</v>
      </c>
      <c r="R126" s="16" t="s">
        <v>1890</v>
      </c>
      <c r="S126" s="15" t="s">
        <v>1891</v>
      </c>
      <c r="T126" s="15" t="s">
        <v>1891</v>
      </c>
      <c r="U126" s="21" t="s">
        <v>72</v>
      </c>
    </row>
    <row r="127" customFormat="false" ht="15" hidden="false" customHeight="false" outlineLevel="0" collapsed="false">
      <c r="A127" s="15" t="s">
        <v>1082</v>
      </c>
      <c r="B127" s="15" t="s">
        <v>1819</v>
      </c>
      <c r="C127" s="14" t="s">
        <v>1892</v>
      </c>
      <c r="D127" s="14" t="s">
        <v>1893</v>
      </c>
      <c r="E127" s="16" t="s">
        <v>1894</v>
      </c>
      <c r="F127" s="16" t="s">
        <v>1895</v>
      </c>
      <c r="G127" s="23" t="s">
        <v>43</v>
      </c>
      <c r="H127" s="18" t="n">
        <v>3</v>
      </c>
      <c r="I127" s="20" t="n">
        <v>41.05</v>
      </c>
      <c r="J127" s="20" t="n">
        <v>93.01</v>
      </c>
      <c r="K127" s="18" t="n">
        <v>3</v>
      </c>
      <c r="L127" s="18" t="n">
        <v>3</v>
      </c>
      <c r="M127" s="18" t="n">
        <v>39</v>
      </c>
      <c r="N127" s="18" t="n">
        <v>39</v>
      </c>
      <c r="O127" s="14" t="s">
        <v>1126</v>
      </c>
      <c r="P127" s="14" t="s">
        <v>84</v>
      </c>
      <c r="Q127" s="15" t="s">
        <v>1089</v>
      </c>
      <c r="R127" s="16" t="s">
        <v>1685</v>
      </c>
      <c r="S127" s="15" t="s">
        <v>1896</v>
      </c>
      <c r="T127" s="15" t="s">
        <v>1897</v>
      </c>
      <c r="U127" s="21" t="s">
        <v>72</v>
      </c>
    </row>
    <row r="128" customFormat="false" ht="15" hidden="false" customHeight="false" outlineLevel="0" collapsed="false">
      <c r="A128" s="15" t="s">
        <v>1082</v>
      </c>
      <c r="B128" s="15" t="s">
        <v>1819</v>
      </c>
      <c r="C128" s="14" t="s">
        <v>1898</v>
      </c>
      <c r="D128" s="14" t="s">
        <v>1899</v>
      </c>
      <c r="E128" s="16" t="s">
        <v>1900</v>
      </c>
      <c r="F128" s="16" t="s">
        <v>1901</v>
      </c>
      <c r="G128" s="23" t="s">
        <v>43</v>
      </c>
      <c r="H128" s="18" t="n">
        <v>4</v>
      </c>
      <c r="I128" s="20" t="n">
        <v>56.77</v>
      </c>
      <c r="J128" s="20" t="n">
        <v>114.49</v>
      </c>
      <c r="K128" s="18" t="n">
        <v>3</v>
      </c>
      <c r="L128" s="18" t="n">
        <v>8</v>
      </c>
      <c r="M128" s="18" t="n">
        <v>141</v>
      </c>
      <c r="N128" s="18" t="n">
        <v>141</v>
      </c>
      <c r="O128" s="14" t="s">
        <v>1097</v>
      </c>
      <c r="P128" s="14" t="s">
        <v>84</v>
      </c>
      <c r="Q128" s="15" t="s">
        <v>1089</v>
      </c>
      <c r="R128" s="16" t="s">
        <v>1902</v>
      </c>
      <c r="S128" s="15" t="s">
        <v>1903</v>
      </c>
      <c r="T128" s="15" t="s">
        <v>1903</v>
      </c>
      <c r="U128" s="21" t="s">
        <v>72</v>
      </c>
    </row>
    <row r="129" customFormat="false" ht="15" hidden="false" customHeight="false" outlineLevel="0" collapsed="false">
      <c r="A129" s="15" t="s">
        <v>1082</v>
      </c>
      <c r="B129" s="15" t="s">
        <v>1819</v>
      </c>
      <c r="C129" s="14" t="s">
        <v>1904</v>
      </c>
      <c r="D129" s="14" t="s">
        <v>1905</v>
      </c>
      <c r="E129" s="16" t="s">
        <v>1906</v>
      </c>
      <c r="F129" s="16"/>
      <c r="G129" s="23" t="s">
        <v>43</v>
      </c>
      <c r="H129" s="18" t="n">
        <v>3</v>
      </c>
      <c r="I129" s="20" t="n">
        <v>45.67</v>
      </c>
      <c r="J129" s="20" t="n">
        <v>98.55</v>
      </c>
      <c r="K129" s="18" t="n">
        <v>9</v>
      </c>
      <c r="L129" s="18" t="n">
        <v>2</v>
      </c>
      <c r="M129" s="18" t="n">
        <v>450</v>
      </c>
      <c r="N129" s="18" t="n">
        <v>150</v>
      </c>
      <c r="O129" s="14" t="s">
        <v>1097</v>
      </c>
      <c r="P129" s="14" t="s">
        <v>118</v>
      </c>
      <c r="Q129" s="15" t="s">
        <v>1089</v>
      </c>
      <c r="R129" s="16" t="s">
        <v>1105</v>
      </c>
      <c r="S129" s="15" t="s">
        <v>1907</v>
      </c>
      <c r="T129" s="15" t="s">
        <v>1907</v>
      </c>
      <c r="U129" s="21" t="s">
        <v>72</v>
      </c>
    </row>
    <row r="130" customFormat="false" ht="15" hidden="false" customHeight="false" outlineLevel="0" collapsed="false">
      <c r="A130" s="15" t="s">
        <v>1082</v>
      </c>
      <c r="B130" s="15" t="s">
        <v>1819</v>
      </c>
      <c r="C130" s="14" t="s">
        <v>1908</v>
      </c>
      <c r="D130" s="14" t="s">
        <v>1909</v>
      </c>
      <c r="E130" s="16" t="s">
        <v>1910</v>
      </c>
      <c r="F130" s="16" t="s">
        <v>1911</v>
      </c>
      <c r="G130" s="23" t="s">
        <v>43</v>
      </c>
      <c r="H130" s="18" t="n">
        <v>2</v>
      </c>
      <c r="I130" s="20" t="n">
        <v>34.22</v>
      </c>
      <c r="J130" s="20" t="n">
        <v>83.54</v>
      </c>
      <c r="K130" s="18" t="n">
        <v>6</v>
      </c>
      <c r="L130" s="18" t="n">
        <v>10</v>
      </c>
      <c r="M130" s="18" t="n">
        <v>180</v>
      </c>
      <c r="N130" s="18" t="n">
        <v>60</v>
      </c>
      <c r="O130" s="14" t="s">
        <v>1097</v>
      </c>
      <c r="P130" s="14" t="s">
        <v>84</v>
      </c>
      <c r="Q130" s="15" t="s">
        <v>1089</v>
      </c>
      <c r="R130" s="16" t="s">
        <v>1912</v>
      </c>
      <c r="S130" s="15" t="s">
        <v>1913</v>
      </c>
      <c r="T130" s="15" t="s">
        <v>1913</v>
      </c>
      <c r="U130" s="21" t="s">
        <v>72</v>
      </c>
    </row>
    <row r="131" customFormat="false" ht="15" hidden="false" customHeight="false" outlineLevel="0" collapsed="false">
      <c r="A131" s="15" t="s">
        <v>1082</v>
      </c>
      <c r="B131" s="15" t="s">
        <v>1819</v>
      </c>
      <c r="C131" s="14" t="s">
        <v>1914</v>
      </c>
      <c r="D131" s="14" t="s">
        <v>1915</v>
      </c>
      <c r="E131" s="16" t="s">
        <v>1910</v>
      </c>
      <c r="F131" s="16" t="s">
        <v>1911</v>
      </c>
      <c r="G131" s="23" t="s">
        <v>43</v>
      </c>
      <c r="H131" s="18" t="n">
        <v>3</v>
      </c>
      <c r="I131" s="20" t="n">
        <v>54.85</v>
      </c>
      <c r="J131" s="20" t="n">
        <v>83.98</v>
      </c>
      <c r="K131" s="18" t="n">
        <v>15</v>
      </c>
      <c r="L131" s="18" t="n">
        <v>10</v>
      </c>
      <c r="M131" s="18" t="n">
        <v>720</v>
      </c>
      <c r="N131" s="18" t="n">
        <v>144</v>
      </c>
      <c r="O131" s="14" t="s">
        <v>1097</v>
      </c>
      <c r="P131" s="14" t="s">
        <v>84</v>
      </c>
      <c r="Q131" s="15" t="s">
        <v>1089</v>
      </c>
      <c r="R131" s="16" t="s">
        <v>1916</v>
      </c>
      <c r="S131" s="15" t="s">
        <v>1913</v>
      </c>
      <c r="T131" s="15" t="s">
        <v>1917</v>
      </c>
      <c r="U131" s="21" t="s">
        <v>72</v>
      </c>
    </row>
    <row r="132" customFormat="false" ht="15" hidden="false" customHeight="false" outlineLevel="0" collapsed="false">
      <c r="A132" s="15" t="s">
        <v>1082</v>
      </c>
      <c r="B132" s="15" t="s">
        <v>1819</v>
      </c>
      <c r="C132" s="14" t="s">
        <v>1918</v>
      </c>
      <c r="D132" s="14" t="s">
        <v>1919</v>
      </c>
      <c r="E132" s="16" t="s">
        <v>1910</v>
      </c>
      <c r="F132" s="16" t="s">
        <v>1911</v>
      </c>
      <c r="G132" s="23" t="s">
        <v>43</v>
      </c>
      <c r="H132" s="18" t="n">
        <v>4</v>
      </c>
      <c r="I132" s="20" t="n">
        <v>103.31</v>
      </c>
      <c r="J132" s="20" t="n">
        <v>167.08</v>
      </c>
      <c r="K132" s="18" t="n">
        <v>28</v>
      </c>
      <c r="L132" s="18" t="n">
        <v>8</v>
      </c>
      <c r="M132" s="18" t="n">
        <v>980</v>
      </c>
      <c r="N132" s="18" t="n">
        <v>140</v>
      </c>
      <c r="O132" s="14" t="s">
        <v>1097</v>
      </c>
      <c r="P132" s="14" t="s">
        <v>1166</v>
      </c>
      <c r="Q132" s="15" t="s">
        <v>1089</v>
      </c>
      <c r="R132" s="16" t="s">
        <v>1672</v>
      </c>
      <c r="S132" s="15" t="s">
        <v>1920</v>
      </c>
      <c r="T132" s="15" t="s">
        <v>1920</v>
      </c>
      <c r="U132" s="21" t="s">
        <v>72</v>
      </c>
    </row>
    <row r="133" customFormat="false" ht="15" hidden="false" customHeight="false" outlineLevel="0" collapsed="false">
      <c r="A133" s="15" t="s">
        <v>1082</v>
      </c>
      <c r="B133" s="15" t="s">
        <v>1819</v>
      </c>
      <c r="C133" s="14" t="s">
        <v>1921</v>
      </c>
      <c r="D133" s="14" t="s">
        <v>1922</v>
      </c>
      <c r="E133" s="16" t="s">
        <v>1923</v>
      </c>
      <c r="F133" s="16" t="s">
        <v>1924</v>
      </c>
      <c r="G133" s="19" t="s">
        <v>41</v>
      </c>
      <c r="H133" s="18" t="n">
        <v>4</v>
      </c>
      <c r="I133" s="20" t="n">
        <v>86.43</v>
      </c>
      <c r="J133" s="20" t="n">
        <v>217.63</v>
      </c>
      <c r="K133" s="18" t="n">
        <v>7</v>
      </c>
      <c r="L133" s="18" t="n">
        <v>8</v>
      </c>
      <c r="M133" s="18" t="n">
        <v>420</v>
      </c>
      <c r="N133" s="18" t="n">
        <v>60</v>
      </c>
      <c r="O133" s="14" t="s">
        <v>1097</v>
      </c>
      <c r="P133" s="14" t="s">
        <v>84</v>
      </c>
      <c r="Q133" s="15" t="s">
        <v>1089</v>
      </c>
      <c r="R133" s="16" t="s">
        <v>1228</v>
      </c>
      <c r="S133" s="15" t="s">
        <v>1925</v>
      </c>
      <c r="T133" s="15" t="s">
        <v>1925</v>
      </c>
      <c r="U133" s="21" t="s">
        <v>72</v>
      </c>
    </row>
    <row r="134" customFormat="false" ht="15" hidden="false" customHeight="false" outlineLevel="0" collapsed="false">
      <c r="A134" s="15" t="s">
        <v>1082</v>
      </c>
      <c r="B134" s="15" t="s">
        <v>1819</v>
      </c>
      <c r="C134" s="14" t="s">
        <v>1926</v>
      </c>
      <c r="D134" s="14" t="s">
        <v>1927</v>
      </c>
      <c r="E134" s="16" t="s">
        <v>1928</v>
      </c>
      <c r="F134" s="16" t="s">
        <v>1929</v>
      </c>
      <c r="G134" s="19" t="s">
        <v>41</v>
      </c>
      <c r="H134" s="18" t="n">
        <v>6</v>
      </c>
      <c r="I134" s="20" t="n">
        <v>120.14</v>
      </c>
      <c r="J134" s="20" t="n">
        <v>192.2</v>
      </c>
      <c r="K134" s="18" t="n">
        <v>42</v>
      </c>
      <c r="L134" s="18" t="n">
        <v>7</v>
      </c>
      <c r="M134" s="18" t="n">
        <v>2520</v>
      </c>
      <c r="N134" s="18" t="n">
        <v>360</v>
      </c>
      <c r="O134" s="14" t="s">
        <v>1097</v>
      </c>
      <c r="P134" s="14" t="s">
        <v>84</v>
      </c>
      <c r="Q134" s="15" t="s">
        <v>1089</v>
      </c>
      <c r="R134" s="16" t="s">
        <v>1134</v>
      </c>
      <c r="S134" s="15" t="s">
        <v>1925</v>
      </c>
      <c r="T134" s="15" t="s">
        <v>1930</v>
      </c>
      <c r="U134" s="21" t="s">
        <v>72</v>
      </c>
    </row>
    <row r="135" customFormat="false" ht="15" hidden="false" customHeight="false" outlineLevel="0" collapsed="false">
      <c r="A135" s="15" t="s">
        <v>1082</v>
      </c>
      <c r="B135" s="15" t="s">
        <v>1819</v>
      </c>
      <c r="C135" s="14" t="s">
        <v>1931</v>
      </c>
      <c r="D135" s="14" t="s">
        <v>1932</v>
      </c>
      <c r="E135" s="16" t="s">
        <v>1933</v>
      </c>
      <c r="F135" s="16" t="s">
        <v>1934</v>
      </c>
      <c r="G135" s="23" t="s">
        <v>43</v>
      </c>
      <c r="H135" s="18" t="n">
        <v>2</v>
      </c>
      <c r="I135" s="20" t="n">
        <v>51.15</v>
      </c>
      <c r="J135" s="20" t="n">
        <v>85.48</v>
      </c>
      <c r="K135" s="18"/>
      <c r="L135" s="18"/>
      <c r="M135" s="18"/>
      <c r="N135" s="18"/>
      <c r="O135" s="14" t="s">
        <v>1126</v>
      </c>
      <c r="P135" s="14" t="s">
        <v>84</v>
      </c>
      <c r="Q135" s="15" t="s">
        <v>1089</v>
      </c>
      <c r="R135" s="16" t="s">
        <v>1457</v>
      </c>
      <c r="S135" s="15" t="s">
        <v>1935</v>
      </c>
      <c r="T135" s="15" t="s">
        <v>1935</v>
      </c>
      <c r="U135" s="21" t="s">
        <v>72</v>
      </c>
    </row>
    <row r="136" customFormat="false" ht="15" hidden="false" customHeight="false" outlineLevel="0" collapsed="false">
      <c r="A136" s="15" t="s">
        <v>1082</v>
      </c>
      <c r="B136" s="15" t="s">
        <v>1819</v>
      </c>
      <c r="C136" s="14" t="s">
        <v>1936</v>
      </c>
      <c r="D136" s="14" t="s">
        <v>1937</v>
      </c>
      <c r="E136" s="16" t="s">
        <v>1938</v>
      </c>
      <c r="F136" s="16" t="s">
        <v>1939</v>
      </c>
      <c r="G136" s="23" t="s">
        <v>43</v>
      </c>
      <c r="H136" s="18" t="n">
        <v>2</v>
      </c>
      <c r="I136" s="20" t="n">
        <v>75.93</v>
      </c>
      <c r="J136" s="20" t="n">
        <v>127.35</v>
      </c>
      <c r="K136" s="18" t="n">
        <v>2</v>
      </c>
      <c r="L136" s="18" t="n">
        <v>6</v>
      </c>
      <c r="M136" s="18" t="n">
        <v>120</v>
      </c>
      <c r="N136" s="18" t="n">
        <v>60</v>
      </c>
      <c r="O136" s="14" t="s">
        <v>1126</v>
      </c>
      <c r="P136" s="14" t="s">
        <v>118</v>
      </c>
      <c r="Q136" s="15" t="s">
        <v>1089</v>
      </c>
      <c r="R136" s="16" t="s">
        <v>1940</v>
      </c>
      <c r="S136" s="15" t="s">
        <v>1941</v>
      </c>
      <c r="T136" s="15" t="s">
        <v>1942</v>
      </c>
      <c r="U136" s="21" t="s">
        <v>72</v>
      </c>
    </row>
    <row r="137" customFormat="false" ht="15" hidden="false" customHeight="false" outlineLevel="0" collapsed="false">
      <c r="A137" s="15" t="s">
        <v>1082</v>
      </c>
      <c r="B137" s="15" t="s">
        <v>1819</v>
      </c>
      <c r="C137" s="14" t="s">
        <v>1943</v>
      </c>
      <c r="D137" s="14" t="s">
        <v>1944</v>
      </c>
      <c r="E137" s="16" t="s">
        <v>1945</v>
      </c>
      <c r="F137" s="16" t="s">
        <v>1946</v>
      </c>
      <c r="G137" s="19" t="s">
        <v>41</v>
      </c>
      <c r="H137" s="18" t="n">
        <v>6</v>
      </c>
      <c r="I137" s="20" t="n">
        <v>116.4</v>
      </c>
      <c r="J137" s="20" t="n">
        <v>199.64</v>
      </c>
      <c r="K137" s="18" t="n">
        <v>24</v>
      </c>
      <c r="L137" s="18" t="n">
        <v>2</v>
      </c>
      <c r="M137" s="18" t="n">
        <v>2328</v>
      </c>
      <c r="N137" s="18" t="n">
        <v>582</v>
      </c>
      <c r="O137" s="14" t="s">
        <v>1088</v>
      </c>
      <c r="P137" s="14" t="s">
        <v>84</v>
      </c>
      <c r="Q137" s="15" t="s">
        <v>1089</v>
      </c>
      <c r="R137" s="16" t="s">
        <v>1947</v>
      </c>
      <c r="S137" s="15" t="s">
        <v>1948</v>
      </c>
      <c r="T137" s="15" t="s">
        <v>1948</v>
      </c>
      <c r="U137" s="21" t="s">
        <v>72</v>
      </c>
    </row>
    <row r="138" customFormat="false" ht="15" hidden="false" customHeight="false" outlineLevel="0" collapsed="false">
      <c r="A138" s="15" t="s">
        <v>1082</v>
      </c>
      <c r="B138" s="15" t="s">
        <v>1819</v>
      </c>
      <c r="C138" s="14" t="s">
        <v>1949</v>
      </c>
      <c r="D138" s="14" t="s">
        <v>1950</v>
      </c>
      <c r="E138" s="16" t="s">
        <v>1951</v>
      </c>
      <c r="F138" s="16" t="s">
        <v>1952</v>
      </c>
      <c r="G138" s="23" t="s">
        <v>43</v>
      </c>
      <c r="H138" s="18" t="n">
        <v>4</v>
      </c>
      <c r="I138" s="20" t="n">
        <v>95.19</v>
      </c>
      <c r="J138" s="20" t="n">
        <v>155.23</v>
      </c>
      <c r="K138" s="18" t="n">
        <v>20</v>
      </c>
      <c r="L138" s="18" t="n">
        <v>5</v>
      </c>
      <c r="M138" s="18" t="n">
        <v>1020</v>
      </c>
      <c r="N138" s="18" t="n">
        <v>204</v>
      </c>
      <c r="O138" s="14" t="s">
        <v>1126</v>
      </c>
      <c r="P138" s="14" t="s">
        <v>118</v>
      </c>
      <c r="Q138" s="15" t="s">
        <v>1089</v>
      </c>
      <c r="R138" s="16" t="s">
        <v>1953</v>
      </c>
      <c r="S138" s="15" t="s">
        <v>1954</v>
      </c>
      <c r="T138" s="15" t="s">
        <v>1954</v>
      </c>
      <c r="U138" s="21" t="s">
        <v>72</v>
      </c>
    </row>
    <row r="139" customFormat="false" ht="15" hidden="false" customHeight="false" outlineLevel="0" collapsed="false">
      <c r="A139" s="15" t="s">
        <v>1082</v>
      </c>
      <c r="B139" s="15" t="s">
        <v>1819</v>
      </c>
      <c r="C139" s="14" t="s">
        <v>1955</v>
      </c>
      <c r="D139" s="14" t="s">
        <v>1956</v>
      </c>
      <c r="E139" s="16" t="s">
        <v>1957</v>
      </c>
      <c r="F139" s="16" t="s">
        <v>1958</v>
      </c>
      <c r="G139" s="25" t="s">
        <v>39</v>
      </c>
      <c r="H139" s="18" t="n">
        <v>12</v>
      </c>
      <c r="I139" s="20" t="n">
        <v>250.64</v>
      </c>
      <c r="J139" s="20" t="n">
        <v>436.13</v>
      </c>
      <c r="K139" s="18" t="n">
        <v>50</v>
      </c>
      <c r="L139" s="18" t="n">
        <v>11</v>
      </c>
      <c r="M139" s="18" t="n">
        <v>3000</v>
      </c>
      <c r="N139" s="18" t="n">
        <v>600</v>
      </c>
      <c r="O139" s="14" t="s">
        <v>1088</v>
      </c>
      <c r="P139" s="14" t="s">
        <v>84</v>
      </c>
      <c r="Q139" s="15" t="s">
        <v>1089</v>
      </c>
      <c r="R139" s="16" t="s">
        <v>1959</v>
      </c>
      <c r="S139" s="15" t="s">
        <v>1960</v>
      </c>
      <c r="T139" s="15" t="s">
        <v>1960</v>
      </c>
      <c r="U139" s="21" t="s">
        <v>72</v>
      </c>
    </row>
    <row r="140" customFormat="false" ht="15" hidden="false" customHeight="false" outlineLevel="0" collapsed="false">
      <c r="A140" s="15" t="s">
        <v>1082</v>
      </c>
      <c r="B140" s="15" t="s">
        <v>1819</v>
      </c>
      <c r="C140" s="14" t="s">
        <v>1961</v>
      </c>
      <c r="D140" s="14" t="s">
        <v>1962</v>
      </c>
      <c r="E140" s="16" t="s">
        <v>1963</v>
      </c>
      <c r="F140" s="16" t="s">
        <v>1964</v>
      </c>
      <c r="G140" s="19" t="s">
        <v>41</v>
      </c>
      <c r="H140" s="18" t="n">
        <v>5</v>
      </c>
      <c r="I140" s="20" t="n">
        <v>101.29</v>
      </c>
      <c r="J140" s="20" t="n">
        <v>180.56</v>
      </c>
      <c r="K140" s="18" t="n">
        <v>20</v>
      </c>
      <c r="L140" s="18" t="n">
        <v>13</v>
      </c>
      <c r="M140" s="18" t="n">
        <v>1200</v>
      </c>
      <c r="N140" s="18" t="n">
        <v>240</v>
      </c>
      <c r="O140" s="14" t="s">
        <v>1088</v>
      </c>
      <c r="P140" s="14" t="s">
        <v>84</v>
      </c>
      <c r="Q140" s="15" t="s">
        <v>1089</v>
      </c>
      <c r="R140" s="16" t="s">
        <v>1112</v>
      </c>
      <c r="S140" s="15" t="s">
        <v>1965</v>
      </c>
      <c r="T140" s="15" t="s">
        <v>1966</v>
      </c>
      <c r="U140" s="21" t="s">
        <v>72</v>
      </c>
    </row>
    <row r="141" customFormat="false" ht="26.85" hidden="false" customHeight="false" outlineLevel="0" collapsed="false">
      <c r="A141" s="15" t="s">
        <v>1082</v>
      </c>
      <c r="B141" s="15" t="s">
        <v>1819</v>
      </c>
      <c r="C141" s="14" t="s">
        <v>1967</v>
      </c>
      <c r="D141" s="14" t="s">
        <v>1968</v>
      </c>
      <c r="E141" s="16" t="s">
        <v>1969</v>
      </c>
      <c r="F141" s="16" t="s">
        <v>1970</v>
      </c>
      <c r="G141" s="23" t="s">
        <v>43</v>
      </c>
      <c r="H141" s="18" t="n">
        <v>4</v>
      </c>
      <c r="I141" s="20" t="n">
        <v>84.97</v>
      </c>
      <c r="J141" s="20" t="n">
        <v>187.7</v>
      </c>
      <c r="K141" s="18" t="n">
        <v>12</v>
      </c>
      <c r="L141" s="18" t="n">
        <v>4</v>
      </c>
      <c r="M141" s="18" t="n">
        <v>396</v>
      </c>
      <c r="N141" s="18" t="n">
        <v>66</v>
      </c>
      <c r="O141" s="14" t="s">
        <v>1097</v>
      </c>
      <c r="P141" s="14" t="s">
        <v>1971</v>
      </c>
      <c r="Q141" s="15" t="s">
        <v>1089</v>
      </c>
      <c r="R141" s="16" t="s">
        <v>1672</v>
      </c>
      <c r="S141" s="15" t="s">
        <v>1972</v>
      </c>
      <c r="T141" s="15" t="s">
        <v>1972</v>
      </c>
      <c r="U141" s="21" t="s">
        <v>72</v>
      </c>
    </row>
    <row r="142" customFormat="false" ht="15" hidden="false" customHeight="false" outlineLevel="0" collapsed="false">
      <c r="A142" s="15" t="s">
        <v>1082</v>
      </c>
      <c r="B142" s="15" t="s">
        <v>1819</v>
      </c>
      <c r="C142" s="14" t="s">
        <v>1973</v>
      </c>
      <c r="D142" s="14" t="s">
        <v>1974</v>
      </c>
      <c r="E142" s="16" t="s">
        <v>1975</v>
      </c>
      <c r="F142" s="16" t="s">
        <v>1976</v>
      </c>
      <c r="G142" s="23" t="s">
        <v>43</v>
      </c>
      <c r="H142" s="18" t="n">
        <v>3</v>
      </c>
      <c r="I142" s="20" t="n">
        <v>83.98</v>
      </c>
      <c r="J142" s="20" t="n">
        <v>128.18</v>
      </c>
      <c r="K142" s="18" t="n">
        <v>12</v>
      </c>
      <c r="L142" s="18" t="n">
        <v>3</v>
      </c>
      <c r="M142" s="18" t="n">
        <v>720</v>
      </c>
      <c r="N142" s="18" t="n">
        <v>180</v>
      </c>
      <c r="O142" s="14" t="s">
        <v>1097</v>
      </c>
      <c r="P142" s="14" t="s">
        <v>1166</v>
      </c>
      <c r="Q142" s="15" t="s">
        <v>1089</v>
      </c>
      <c r="R142" s="16" t="s">
        <v>1977</v>
      </c>
      <c r="S142" s="15" t="s">
        <v>1978</v>
      </c>
      <c r="T142" s="15" t="s">
        <v>1979</v>
      </c>
      <c r="U142" s="21" t="s">
        <v>72</v>
      </c>
    </row>
    <row r="143" customFormat="false" ht="15" hidden="false" customHeight="false" outlineLevel="0" collapsed="false">
      <c r="A143" s="15" t="s">
        <v>1082</v>
      </c>
      <c r="B143" s="15" t="s">
        <v>1819</v>
      </c>
      <c r="C143" s="14" t="s">
        <v>1980</v>
      </c>
      <c r="D143" s="14" t="s">
        <v>1981</v>
      </c>
      <c r="E143" s="16" t="s">
        <v>1982</v>
      </c>
      <c r="F143" s="16" t="s">
        <v>1983</v>
      </c>
      <c r="G143" s="23" t="s">
        <v>43</v>
      </c>
      <c r="H143" s="18" t="n">
        <v>3</v>
      </c>
      <c r="I143" s="20" t="n">
        <v>46.67</v>
      </c>
      <c r="J143" s="20" t="n">
        <v>101.41</v>
      </c>
      <c r="K143" s="18" t="n">
        <v>15</v>
      </c>
      <c r="L143" s="18" t="n">
        <v>3</v>
      </c>
      <c r="M143" s="18" t="n">
        <v>570</v>
      </c>
      <c r="N143" s="18" t="n">
        <v>114</v>
      </c>
      <c r="O143" s="14" t="s">
        <v>1097</v>
      </c>
      <c r="P143" s="14" t="s">
        <v>118</v>
      </c>
      <c r="Q143" s="15" t="s">
        <v>1089</v>
      </c>
      <c r="R143" s="16" t="s">
        <v>1772</v>
      </c>
      <c r="S143" s="15" t="s">
        <v>1984</v>
      </c>
      <c r="T143" s="15" t="s">
        <v>1984</v>
      </c>
      <c r="U143" s="21" t="s">
        <v>72</v>
      </c>
    </row>
    <row r="144" customFormat="false" ht="15" hidden="false" customHeight="false" outlineLevel="0" collapsed="false">
      <c r="A144" s="15" t="s">
        <v>1082</v>
      </c>
      <c r="B144" s="15" t="s">
        <v>1819</v>
      </c>
      <c r="C144" s="14" t="s">
        <v>1985</v>
      </c>
      <c r="D144" s="14" t="s">
        <v>1986</v>
      </c>
      <c r="E144" s="16" t="s">
        <v>1987</v>
      </c>
      <c r="F144" s="16" t="s">
        <v>1988</v>
      </c>
      <c r="G144" s="19" t="s">
        <v>41</v>
      </c>
      <c r="H144" s="18" t="n">
        <v>6</v>
      </c>
      <c r="I144" s="20" t="n">
        <v>107.22</v>
      </c>
      <c r="J144" s="20" t="n">
        <v>198.43</v>
      </c>
      <c r="K144" s="18" t="n">
        <v>8</v>
      </c>
      <c r="L144" s="18" t="n">
        <v>6</v>
      </c>
      <c r="M144" s="18" t="n">
        <v>328</v>
      </c>
      <c r="N144" s="18" t="n">
        <v>82</v>
      </c>
      <c r="O144" s="14" t="s">
        <v>1126</v>
      </c>
      <c r="P144" s="14" t="s">
        <v>84</v>
      </c>
      <c r="Q144" s="15" t="s">
        <v>1089</v>
      </c>
      <c r="R144" s="16" t="s">
        <v>1628</v>
      </c>
      <c r="S144" s="15" t="s">
        <v>1989</v>
      </c>
      <c r="T144" s="15" t="s">
        <v>1989</v>
      </c>
      <c r="U144" s="21" t="s">
        <v>72</v>
      </c>
    </row>
    <row r="145" customFormat="false" ht="15" hidden="false" customHeight="false" outlineLevel="0" collapsed="false">
      <c r="A145" s="15" t="s">
        <v>1082</v>
      </c>
      <c r="B145" s="15" t="s">
        <v>1819</v>
      </c>
      <c r="C145" s="14" t="s">
        <v>1990</v>
      </c>
      <c r="D145" s="14" t="s">
        <v>1991</v>
      </c>
      <c r="E145" s="16" t="s">
        <v>1992</v>
      </c>
      <c r="F145" s="16" t="s">
        <v>1993</v>
      </c>
      <c r="G145" s="23" t="s">
        <v>43</v>
      </c>
      <c r="H145" s="18" t="n">
        <v>3</v>
      </c>
      <c r="I145" s="20" t="n">
        <v>34.52</v>
      </c>
      <c r="J145" s="20" t="n">
        <v>90.85</v>
      </c>
      <c r="K145" s="18" t="n">
        <v>9</v>
      </c>
      <c r="L145" s="18" t="n">
        <v>13</v>
      </c>
      <c r="M145" s="18" t="n">
        <v>252</v>
      </c>
      <c r="N145" s="18" t="n">
        <v>84</v>
      </c>
      <c r="O145" s="14" t="s">
        <v>1097</v>
      </c>
      <c r="P145" s="14" t="s">
        <v>84</v>
      </c>
      <c r="Q145" s="15" t="s">
        <v>1089</v>
      </c>
      <c r="R145" s="16" t="s">
        <v>1994</v>
      </c>
      <c r="S145" s="15" t="s">
        <v>1995</v>
      </c>
      <c r="T145" s="15" t="s">
        <v>1995</v>
      </c>
      <c r="U145" s="21" t="s">
        <v>72</v>
      </c>
    </row>
    <row r="146" customFormat="false" ht="15" hidden="false" customHeight="false" outlineLevel="0" collapsed="false">
      <c r="A146" s="15" t="s">
        <v>1082</v>
      </c>
      <c r="B146" s="15" t="s">
        <v>1819</v>
      </c>
      <c r="C146" s="14" t="s">
        <v>1996</v>
      </c>
      <c r="D146" s="14" t="s">
        <v>1997</v>
      </c>
      <c r="E146" s="16" t="s">
        <v>1998</v>
      </c>
      <c r="F146" s="16" t="s">
        <v>1999</v>
      </c>
      <c r="G146" s="23" t="s">
        <v>43</v>
      </c>
      <c r="H146" s="18" t="n">
        <v>4</v>
      </c>
      <c r="I146" s="20" t="n">
        <v>91.57</v>
      </c>
      <c r="J146" s="20" t="n">
        <v>102.96</v>
      </c>
      <c r="K146" s="18" t="n">
        <v>2</v>
      </c>
      <c r="L146" s="18" t="n">
        <v>6</v>
      </c>
      <c r="M146" s="18" t="n">
        <v>100</v>
      </c>
      <c r="N146" s="18" t="n">
        <v>100</v>
      </c>
      <c r="O146" s="14" t="s">
        <v>1126</v>
      </c>
      <c r="P146" s="14" t="s">
        <v>84</v>
      </c>
      <c r="Q146" s="15" t="s">
        <v>1089</v>
      </c>
      <c r="R146" s="16" t="s">
        <v>1090</v>
      </c>
      <c r="S146" s="15" t="s">
        <v>2000</v>
      </c>
      <c r="T146" s="15" t="s">
        <v>2001</v>
      </c>
      <c r="U146" s="21" t="s">
        <v>72</v>
      </c>
    </row>
    <row r="147" customFormat="false" ht="15" hidden="false" customHeight="false" outlineLevel="0" collapsed="false">
      <c r="A147" s="15" t="s">
        <v>1082</v>
      </c>
      <c r="B147" s="15" t="s">
        <v>1819</v>
      </c>
      <c r="C147" s="14" t="s">
        <v>2002</v>
      </c>
      <c r="D147" s="14" t="s">
        <v>2003</v>
      </c>
      <c r="E147" s="16" t="s">
        <v>2004</v>
      </c>
      <c r="F147" s="16" t="s">
        <v>2005</v>
      </c>
      <c r="G147" s="23" t="s">
        <v>43</v>
      </c>
      <c r="H147" s="18" t="n">
        <v>3</v>
      </c>
      <c r="I147" s="20" t="n">
        <v>54.71</v>
      </c>
      <c r="J147" s="20" t="n">
        <v>94.43</v>
      </c>
      <c r="K147" s="18" t="n">
        <v>30</v>
      </c>
      <c r="L147" s="18" t="n">
        <v>10</v>
      </c>
      <c r="M147" s="18" t="n">
        <v>2520</v>
      </c>
      <c r="N147" s="18" t="n">
        <v>504</v>
      </c>
      <c r="O147" s="14" t="s">
        <v>1097</v>
      </c>
      <c r="P147" s="14" t="s">
        <v>84</v>
      </c>
      <c r="Q147" s="15" t="s">
        <v>1089</v>
      </c>
      <c r="R147" s="16" t="s">
        <v>1463</v>
      </c>
      <c r="S147" s="15" t="s">
        <v>2006</v>
      </c>
      <c r="T147" s="15" t="s">
        <v>2007</v>
      </c>
      <c r="U147" s="21" t="s">
        <v>72</v>
      </c>
    </row>
    <row r="148" customFormat="false" ht="15" hidden="false" customHeight="false" outlineLevel="0" collapsed="false">
      <c r="A148" s="15" t="s">
        <v>1082</v>
      </c>
      <c r="B148" s="15" t="s">
        <v>1819</v>
      </c>
      <c r="C148" s="14" t="s">
        <v>2008</v>
      </c>
      <c r="D148" s="14" t="s">
        <v>2009</v>
      </c>
      <c r="E148" s="16" t="s">
        <v>2010</v>
      </c>
      <c r="F148" s="16" t="s">
        <v>2011</v>
      </c>
      <c r="G148" s="23" t="s">
        <v>43</v>
      </c>
      <c r="H148" s="18" t="n">
        <v>3</v>
      </c>
      <c r="I148" s="20" t="n">
        <v>91.95</v>
      </c>
      <c r="J148" s="20" t="n">
        <v>145.09</v>
      </c>
      <c r="K148" s="18" t="n">
        <v>4</v>
      </c>
      <c r="L148" s="18" t="n">
        <v>2</v>
      </c>
      <c r="M148" s="18" t="n">
        <v>168</v>
      </c>
      <c r="N148" s="18" t="n">
        <v>84</v>
      </c>
      <c r="O148" s="14" t="s">
        <v>1097</v>
      </c>
      <c r="P148" s="14" t="s">
        <v>84</v>
      </c>
      <c r="Q148" s="15" t="s">
        <v>1089</v>
      </c>
      <c r="R148" s="16" t="s">
        <v>2012</v>
      </c>
      <c r="S148" s="15" t="s">
        <v>2013</v>
      </c>
      <c r="T148" s="15" t="s">
        <v>2013</v>
      </c>
      <c r="U148" s="21" t="s">
        <v>72</v>
      </c>
    </row>
    <row r="149" customFormat="false" ht="15" hidden="false" customHeight="false" outlineLevel="0" collapsed="false">
      <c r="A149" s="15" t="s">
        <v>1082</v>
      </c>
      <c r="B149" s="15" t="s">
        <v>1819</v>
      </c>
      <c r="C149" s="14" t="s">
        <v>2014</v>
      </c>
      <c r="D149" s="14" t="s">
        <v>2015</v>
      </c>
      <c r="E149" s="16" t="s">
        <v>2016</v>
      </c>
      <c r="F149" s="16" t="s">
        <v>2017</v>
      </c>
      <c r="G149" s="23" t="s">
        <v>43</v>
      </c>
      <c r="H149" s="18" t="n">
        <v>4</v>
      </c>
      <c r="I149" s="20" t="n">
        <v>114.8</v>
      </c>
      <c r="J149" s="20" t="n">
        <v>170.89</v>
      </c>
      <c r="K149" s="18" t="n">
        <v>4</v>
      </c>
      <c r="L149" s="18" t="n">
        <v>7</v>
      </c>
      <c r="M149" s="18" t="n">
        <v>166</v>
      </c>
      <c r="N149" s="18" t="n">
        <v>31</v>
      </c>
      <c r="O149" s="14" t="s">
        <v>1088</v>
      </c>
      <c r="P149" s="14" t="s">
        <v>515</v>
      </c>
      <c r="Q149" s="15" t="s">
        <v>1089</v>
      </c>
      <c r="R149" s="16" t="s">
        <v>2018</v>
      </c>
      <c r="S149" s="15" t="s">
        <v>2019</v>
      </c>
      <c r="T149" s="15" t="s">
        <v>2019</v>
      </c>
      <c r="U149" s="21" t="s">
        <v>72</v>
      </c>
    </row>
    <row r="150" customFormat="false" ht="15" hidden="false" customHeight="false" outlineLevel="0" collapsed="false">
      <c r="A150" s="15" t="s">
        <v>1082</v>
      </c>
      <c r="B150" s="15" t="s">
        <v>1819</v>
      </c>
      <c r="C150" s="14" t="s">
        <v>2020</v>
      </c>
      <c r="D150" s="14" t="s">
        <v>2021</v>
      </c>
      <c r="E150" s="16" t="s">
        <v>2022</v>
      </c>
      <c r="F150" s="16" t="s">
        <v>2023</v>
      </c>
      <c r="G150" s="23" t="s">
        <v>43</v>
      </c>
      <c r="H150" s="18" t="n">
        <v>4</v>
      </c>
      <c r="I150" s="20" t="n">
        <v>71.45</v>
      </c>
      <c r="J150" s="20" t="n">
        <v>129.45</v>
      </c>
      <c r="K150" s="18" t="n">
        <v>6</v>
      </c>
      <c r="L150" s="18" t="n">
        <v>10</v>
      </c>
      <c r="M150" s="18" t="n">
        <v>96</v>
      </c>
      <c r="N150" s="18" t="n">
        <v>48</v>
      </c>
      <c r="O150" s="14" t="s">
        <v>1097</v>
      </c>
      <c r="P150" s="14" t="s">
        <v>84</v>
      </c>
      <c r="Q150" s="15" t="s">
        <v>1089</v>
      </c>
      <c r="R150" s="16" t="s">
        <v>2024</v>
      </c>
      <c r="S150" s="15" t="s">
        <v>1215</v>
      </c>
      <c r="T150" s="15" t="s">
        <v>2025</v>
      </c>
      <c r="U150" s="21" t="s">
        <v>72</v>
      </c>
    </row>
    <row r="151" customFormat="false" ht="15" hidden="false" customHeight="false" outlineLevel="0" collapsed="false">
      <c r="A151" s="15" t="s">
        <v>1082</v>
      </c>
      <c r="B151" s="15" t="s">
        <v>1819</v>
      </c>
      <c r="C151" s="14" t="s">
        <v>2026</v>
      </c>
      <c r="D151" s="14" t="s">
        <v>2027</v>
      </c>
      <c r="E151" s="16" t="s">
        <v>2028</v>
      </c>
      <c r="F151" s="16" t="s">
        <v>2029</v>
      </c>
      <c r="G151" s="25" t="s">
        <v>39</v>
      </c>
      <c r="H151" s="18" t="n">
        <v>8</v>
      </c>
      <c r="I151" s="20" t="n">
        <v>181.35</v>
      </c>
      <c r="J151" s="20" t="n">
        <v>350.31</v>
      </c>
      <c r="K151" s="18" t="n">
        <v>10</v>
      </c>
      <c r="L151" s="18" t="n">
        <v>17</v>
      </c>
      <c r="M151" s="18" t="n">
        <v>600</v>
      </c>
      <c r="N151" s="18" t="n">
        <v>120</v>
      </c>
      <c r="O151" s="14" t="s">
        <v>1088</v>
      </c>
      <c r="P151" s="14" t="s">
        <v>84</v>
      </c>
      <c r="Q151" s="15" t="s">
        <v>1089</v>
      </c>
      <c r="R151" s="16" t="s">
        <v>2030</v>
      </c>
      <c r="S151" s="15" t="s">
        <v>2031</v>
      </c>
      <c r="T151" s="15" t="s">
        <v>2032</v>
      </c>
      <c r="U151" s="21" t="s">
        <v>72</v>
      </c>
    </row>
    <row r="152" customFormat="false" ht="15" hidden="false" customHeight="false" outlineLevel="0" collapsed="false">
      <c r="A152" s="15" t="s">
        <v>1082</v>
      </c>
      <c r="B152" s="15" t="s">
        <v>1819</v>
      </c>
      <c r="C152" s="14" t="s">
        <v>2033</v>
      </c>
      <c r="D152" s="14" t="s">
        <v>2034</v>
      </c>
      <c r="E152" s="16" t="s">
        <v>2035</v>
      </c>
      <c r="F152" s="16" t="s">
        <v>2036</v>
      </c>
      <c r="G152" s="23" t="s">
        <v>43</v>
      </c>
      <c r="H152" s="18" t="n">
        <v>3</v>
      </c>
      <c r="I152" s="20" t="n">
        <v>101.91</v>
      </c>
      <c r="J152" s="20" t="n">
        <v>186.51</v>
      </c>
      <c r="K152" s="18" t="n">
        <v>3</v>
      </c>
      <c r="L152" s="18" t="n">
        <v>6</v>
      </c>
      <c r="M152" s="18" t="n">
        <v>105</v>
      </c>
      <c r="N152" s="18" t="n">
        <v>105</v>
      </c>
      <c r="O152" s="14" t="s">
        <v>1088</v>
      </c>
      <c r="P152" s="14" t="s">
        <v>84</v>
      </c>
      <c r="Q152" s="15" t="s">
        <v>1089</v>
      </c>
      <c r="R152" s="16" t="s">
        <v>2037</v>
      </c>
      <c r="S152" s="15" t="s">
        <v>2038</v>
      </c>
      <c r="T152" s="15" t="s">
        <v>2039</v>
      </c>
      <c r="U152" s="21" t="s">
        <v>72</v>
      </c>
    </row>
    <row r="153" customFormat="false" ht="15" hidden="false" customHeight="false" outlineLevel="0" collapsed="false">
      <c r="A153" s="15" t="s">
        <v>1082</v>
      </c>
      <c r="B153" s="15" t="s">
        <v>1819</v>
      </c>
      <c r="C153" s="14" t="s">
        <v>2040</v>
      </c>
      <c r="D153" s="14" t="s">
        <v>2041</v>
      </c>
      <c r="E153" s="16" t="s">
        <v>2042</v>
      </c>
      <c r="F153" s="16" t="s">
        <v>2043</v>
      </c>
      <c r="G153" s="23" t="s">
        <v>43</v>
      </c>
      <c r="H153" s="18" t="n">
        <v>2</v>
      </c>
      <c r="I153" s="20" t="n">
        <v>44.48</v>
      </c>
      <c r="J153" s="20" t="n">
        <v>145.1</v>
      </c>
      <c r="K153" s="18" t="n">
        <v>2</v>
      </c>
      <c r="L153" s="18" t="n">
        <v>2</v>
      </c>
      <c r="M153" s="18" t="n">
        <v>74</v>
      </c>
      <c r="N153" s="18" t="n">
        <v>74</v>
      </c>
      <c r="O153" s="14" t="s">
        <v>1126</v>
      </c>
      <c r="P153" s="14" t="s">
        <v>84</v>
      </c>
      <c r="Q153" s="15" t="s">
        <v>1089</v>
      </c>
      <c r="R153" s="16" t="s">
        <v>2044</v>
      </c>
      <c r="S153" s="15" t="s">
        <v>2045</v>
      </c>
      <c r="T153" s="15" t="s">
        <v>2045</v>
      </c>
      <c r="U153" s="21" t="s">
        <v>72</v>
      </c>
    </row>
    <row r="154" customFormat="false" ht="15" hidden="false" customHeight="false" outlineLevel="0" collapsed="false">
      <c r="A154" s="15" t="s">
        <v>1082</v>
      </c>
      <c r="B154" s="15" t="s">
        <v>1819</v>
      </c>
      <c r="C154" s="14" t="s">
        <v>2046</v>
      </c>
      <c r="D154" s="14" t="s">
        <v>2047</v>
      </c>
      <c r="E154" s="16" t="s">
        <v>2048</v>
      </c>
      <c r="F154" s="16" t="s">
        <v>2049</v>
      </c>
      <c r="G154" s="23" t="s">
        <v>43</v>
      </c>
      <c r="H154" s="18" t="n">
        <v>4</v>
      </c>
      <c r="I154" s="20" t="n">
        <v>40.04</v>
      </c>
      <c r="J154" s="20" t="n">
        <v>71.91</v>
      </c>
      <c r="K154" s="18" t="n">
        <v>4</v>
      </c>
      <c r="L154" s="18" t="n">
        <v>3</v>
      </c>
      <c r="M154" s="18" t="n">
        <v>132</v>
      </c>
      <c r="N154" s="18" t="n">
        <v>66</v>
      </c>
      <c r="O154" s="14" t="s">
        <v>1126</v>
      </c>
      <c r="P154" s="14" t="s">
        <v>202</v>
      </c>
      <c r="Q154" s="15" t="s">
        <v>1089</v>
      </c>
      <c r="R154" s="16" t="s">
        <v>2050</v>
      </c>
      <c r="S154" s="15" t="s">
        <v>2051</v>
      </c>
      <c r="T154" s="15" t="s">
        <v>2051</v>
      </c>
      <c r="U154" s="21" t="s">
        <v>72</v>
      </c>
    </row>
    <row r="155" customFormat="false" ht="15" hidden="false" customHeight="false" outlineLevel="0" collapsed="false">
      <c r="A155" s="15" t="s">
        <v>1082</v>
      </c>
      <c r="B155" s="15" t="s">
        <v>1819</v>
      </c>
      <c r="C155" s="14" t="s">
        <v>2052</v>
      </c>
      <c r="D155" s="14" t="s">
        <v>2053</v>
      </c>
      <c r="E155" s="16" t="s">
        <v>2054</v>
      </c>
      <c r="F155" s="16" t="s">
        <v>2055</v>
      </c>
      <c r="G155" s="23" t="s">
        <v>43</v>
      </c>
      <c r="H155" s="18" t="n">
        <v>3</v>
      </c>
      <c r="I155" s="20" t="n">
        <v>39.14</v>
      </c>
      <c r="J155" s="20" t="n">
        <v>82.31</v>
      </c>
      <c r="K155" s="18" t="n">
        <v>3</v>
      </c>
      <c r="L155" s="18" t="n">
        <v>2</v>
      </c>
      <c r="M155" s="18" t="n">
        <v>96</v>
      </c>
      <c r="N155" s="18" t="n">
        <v>96</v>
      </c>
      <c r="O155" s="14" t="s">
        <v>1088</v>
      </c>
      <c r="P155" s="14" t="s">
        <v>84</v>
      </c>
      <c r="Q155" s="15" t="s">
        <v>1089</v>
      </c>
      <c r="R155" s="16" t="s">
        <v>2056</v>
      </c>
      <c r="S155" s="15" t="s">
        <v>2057</v>
      </c>
      <c r="T155" s="15" t="s">
        <v>2057</v>
      </c>
      <c r="U155" s="21" t="s">
        <v>72</v>
      </c>
    </row>
    <row r="156" customFormat="false" ht="15" hidden="false" customHeight="false" outlineLevel="0" collapsed="false">
      <c r="A156" s="15" t="s">
        <v>1082</v>
      </c>
      <c r="B156" s="15" t="s">
        <v>1819</v>
      </c>
      <c r="C156" s="14" t="s">
        <v>2058</v>
      </c>
      <c r="D156" s="14" t="s">
        <v>2059</v>
      </c>
      <c r="E156" s="16" t="s">
        <v>2060</v>
      </c>
      <c r="F156" s="16" t="s">
        <v>2061</v>
      </c>
      <c r="G156" s="23" t="s">
        <v>43</v>
      </c>
      <c r="H156" s="18" t="n">
        <v>3</v>
      </c>
      <c r="I156" s="20" t="n">
        <v>57.32</v>
      </c>
      <c r="J156" s="20" t="n">
        <v>97.12</v>
      </c>
      <c r="K156" s="18" t="n">
        <v>15</v>
      </c>
      <c r="L156" s="18" t="n">
        <v>8</v>
      </c>
      <c r="M156" s="18" t="n">
        <v>705</v>
      </c>
      <c r="N156" s="18" t="n">
        <v>141</v>
      </c>
      <c r="O156" s="14" t="s">
        <v>1097</v>
      </c>
      <c r="P156" s="14" t="s">
        <v>118</v>
      </c>
      <c r="Q156" s="15" t="s">
        <v>1089</v>
      </c>
      <c r="R156" s="16" t="s">
        <v>1856</v>
      </c>
      <c r="S156" s="15" t="s">
        <v>2062</v>
      </c>
      <c r="T156" s="15" t="s">
        <v>2063</v>
      </c>
      <c r="U156" s="21" t="s">
        <v>72</v>
      </c>
    </row>
    <row r="157" customFormat="false" ht="15" hidden="false" customHeight="false" outlineLevel="0" collapsed="false">
      <c r="A157" s="15" t="s">
        <v>1082</v>
      </c>
      <c r="B157" s="15" t="s">
        <v>1819</v>
      </c>
      <c r="C157" s="14" t="s">
        <v>2064</v>
      </c>
      <c r="D157" s="14" t="s">
        <v>2065</v>
      </c>
      <c r="E157" s="16" t="s">
        <v>2066</v>
      </c>
      <c r="F157" s="16" t="s">
        <v>2067</v>
      </c>
      <c r="G157" s="19" t="s">
        <v>41</v>
      </c>
      <c r="H157" s="18" t="n">
        <v>7</v>
      </c>
      <c r="I157" s="20" t="n">
        <v>51.54</v>
      </c>
      <c r="J157" s="20" t="n">
        <v>105.79</v>
      </c>
      <c r="K157" s="18" t="n">
        <v>14</v>
      </c>
      <c r="L157" s="18" t="n">
        <v>30</v>
      </c>
      <c r="M157" s="18" t="n">
        <v>602</v>
      </c>
      <c r="N157" s="18" t="n">
        <v>301</v>
      </c>
      <c r="O157" s="14" t="s">
        <v>1126</v>
      </c>
      <c r="P157" s="14" t="s">
        <v>84</v>
      </c>
      <c r="Q157" s="15" t="s">
        <v>1089</v>
      </c>
      <c r="R157" s="16" t="s">
        <v>2068</v>
      </c>
      <c r="S157" s="15" t="s">
        <v>2069</v>
      </c>
      <c r="T157" s="15" t="s">
        <v>2070</v>
      </c>
      <c r="U157" s="21" t="s">
        <v>72</v>
      </c>
    </row>
    <row r="158" customFormat="false" ht="15" hidden="false" customHeight="false" outlineLevel="0" collapsed="false">
      <c r="A158" s="15" t="s">
        <v>1082</v>
      </c>
      <c r="B158" s="15" t="s">
        <v>1819</v>
      </c>
      <c r="C158" s="14" t="s">
        <v>2071</v>
      </c>
      <c r="D158" s="14" t="s">
        <v>2072</v>
      </c>
      <c r="E158" s="16" t="s">
        <v>2073</v>
      </c>
      <c r="F158" s="16" t="s">
        <v>2074</v>
      </c>
      <c r="G158" s="23" t="s">
        <v>43</v>
      </c>
      <c r="H158" s="18" t="n">
        <v>2</v>
      </c>
      <c r="I158" s="20" t="n">
        <v>68.7</v>
      </c>
      <c r="J158" s="20" t="n">
        <v>156.05</v>
      </c>
      <c r="K158" s="18" t="n">
        <v>2</v>
      </c>
      <c r="L158" s="18" t="n">
        <v>11</v>
      </c>
      <c r="M158" s="18" t="n">
        <v>114</v>
      </c>
      <c r="N158" s="18" t="n">
        <v>114</v>
      </c>
      <c r="O158" s="14" t="s">
        <v>1097</v>
      </c>
      <c r="P158" s="14" t="s">
        <v>84</v>
      </c>
      <c r="Q158" s="15" t="s">
        <v>1089</v>
      </c>
      <c r="R158" s="16" t="s">
        <v>2075</v>
      </c>
      <c r="S158" s="16" t="s">
        <v>2076</v>
      </c>
      <c r="T158" s="15" t="s">
        <v>2077</v>
      </c>
      <c r="U158" s="21" t="s">
        <v>72</v>
      </c>
    </row>
    <row r="159" customFormat="false" ht="15" hidden="false" customHeight="false" outlineLevel="0" collapsed="false">
      <c r="A159" s="15" t="s">
        <v>1082</v>
      </c>
      <c r="B159" s="15" t="s">
        <v>1819</v>
      </c>
      <c r="C159" s="14" t="s">
        <v>2078</v>
      </c>
      <c r="D159" s="14" t="s">
        <v>2079</v>
      </c>
      <c r="E159" s="16" t="s">
        <v>2080</v>
      </c>
      <c r="F159" s="16" t="s">
        <v>2081</v>
      </c>
      <c r="G159" s="23" t="s">
        <v>43</v>
      </c>
      <c r="H159" s="18" t="n">
        <v>4</v>
      </c>
      <c r="I159" s="20" t="n">
        <v>73.78</v>
      </c>
      <c r="J159" s="20" t="n">
        <v>184.68</v>
      </c>
      <c r="K159" s="18" t="n">
        <v>4</v>
      </c>
      <c r="L159" s="18" t="n">
        <v>8</v>
      </c>
      <c r="M159" s="18" t="n">
        <v>240</v>
      </c>
      <c r="N159" s="18" t="n">
        <v>240</v>
      </c>
      <c r="O159" s="14" t="s">
        <v>1126</v>
      </c>
      <c r="P159" s="14" t="s">
        <v>84</v>
      </c>
      <c r="Q159" s="15" t="s">
        <v>1089</v>
      </c>
      <c r="R159" s="16" t="s">
        <v>2082</v>
      </c>
      <c r="S159" s="15" t="s">
        <v>2083</v>
      </c>
      <c r="T159" s="15" t="s">
        <v>2083</v>
      </c>
      <c r="U159" s="21" t="s">
        <v>72</v>
      </c>
    </row>
    <row r="160" customFormat="false" ht="15" hidden="false" customHeight="false" outlineLevel="0" collapsed="false">
      <c r="A160" s="15" t="s">
        <v>1082</v>
      </c>
      <c r="B160" s="15" t="s">
        <v>1819</v>
      </c>
      <c r="C160" s="14" t="s">
        <v>2084</v>
      </c>
      <c r="D160" s="14" t="s">
        <v>2085</v>
      </c>
      <c r="E160" s="16" t="s">
        <v>2086</v>
      </c>
      <c r="F160" s="16"/>
      <c r="G160" s="23" t="s">
        <v>43</v>
      </c>
      <c r="H160" s="18" t="n">
        <v>2</v>
      </c>
      <c r="I160" s="20" t="n">
        <v>30.19</v>
      </c>
      <c r="J160" s="20" t="n">
        <v>73.91</v>
      </c>
      <c r="K160" s="18" t="n">
        <v>4</v>
      </c>
      <c r="L160" s="18" t="n">
        <v>3</v>
      </c>
      <c r="M160" s="18" t="n">
        <v>100</v>
      </c>
      <c r="N160" s="18" t="n">
        <v>50</v>
      </c>
      <c r="O160" s="14" t="s">
        <v>1088</v>
      </c>
      <c r="P160" s="14" t="s">
        <v>84</v>
      </c>
      <c r="Q160" s="15" t="s">
        <v>1089</v>
      </c>
      <c r="R160" s="16" t="s">
        <v>1837</v>
      </c>
      <c r="S160" s="15" t="s">
        <v>2087</v>
      </c>
      <c r="T160" s="15" t="s">
        <v>2088</v>
      </c>
      <c r="U160" s="21" t="s">
        <v>72</v>
      </c>
    </row>
    <row r="161" customFormat="false" ht="26.85" hidden="false" customHeight="false" outlineLevel="0" collapsed="false">
      <c r="A161" s="15" t="s">
        <v>1082</v>
      </c>
      <c r="B161" s="15" t="s">
        <v>1819</v>
      </c>
      <c r="C161" s="14" t="s">
        <v>2089</v>
      </c>
      <c r="D161" s="14" t="s">
        <v>2090</v>
      </c>
      <c r="E161" s="16" t="s">
        <v>2091</v>
      </c>
      <c r="F161" s="16" t="s">
        <v>2092</v>
      </c>
      <c r="G161" s="19" t="s">
        <v>41</v>
      </c>
      <c r="H161" s="18" t="n">
        <v>5</v>
      </c>
      <c r="I161" s="20" t="n">
        <v>120.76</v>
      </c>
      <c r="J161" s="20" t="n">
        <v>206.48</v>
      </c>
      <c r="K161" s="18" t="n">
        <v>55</v>
      </c>
      <c r="L161" s="18" t="n">
        <v>42</v>
      </c>
      <c r="M161" s="18" t="n">
        <v>3300</v>
      </c>
      <c r="N161" s="18" t="n">
        <v>300</v>
      </c>
      <c r="O161" s="14" t="s">
        <v>1097</v>
      </c>
      <c r="P161" s="14" t="s">
        <v>2093</v>
      </c>
      <c r="Q161" s="15" t="s">
        <v>1089</v>
      </c>
      <c r="R161" s="16" t="s">
        <v>2094</v>
      </c>
      <c r="S161" s="15" t="s">
        <v>2095</v>
      </c>
      <c r="T161" s="15" t="s">
        <v>2096</v>
      </c>
      <c r="U161" s="21" t="s">
        <v>72</v>
      </c>
    </row>
    <row r="162" customFormat="false" ht="15" hidden="false" customHeight="false" outlineLevel="0" collapsed="false">
      <c r="A162" s="15" t="s">
        <v>1082</v>
      </c>
      <c r="B162" s="15" t="s">
        <v>1819</v>
      </c>
      <c r="C162" s="14" t="s">
        <v>2097</v>
      </c>
      <c r="D162" s="14" t="s">
        <v>2098</v>
      </c>
      <c r="E162" s="16" t="s">
        <v>2099</v>
      </c>
      <c r="F162" s="16" t="s">
        <v>2100</v>
      </c>
      <c r="G162" s="19" t="s">
        <v>41</v>
      </c>
      <c r="H162" s="18" t="n">
        <v>6</v>
      </c>
      <c r="I162" s="20" t="n">
        <v>36.91</v>
      </c>
      <c r="J162" s="20" t="n">
        <v>94.62</v>
      </c>
      <c r="K162" s="18" t="n">
        <v>2</v>
      </c>
      <c r="L162" s="18" t="n">
        <v>3</v>
      </c>
      <c r="M162" s="18" t="n">
        <v>74</v>
      </c>
      <c r="N162" s="18" t="n">
        <v>37</v>
      </c>
      <c r="O162" s="14" t="s">
        <v>1097</v>
      </c>
      <c r="P162" s="14" t="s">
        <v>202</v>
      </c>
      <c r="Q162" s="15" t="s">
        <v>1089</v>
      </c>
      <c r="R162" s="16" t="s">
        <v>1199</v>
      </c>
      <c r="S162" s="15" t="s">
        <v>2101</v>
      </c>
      <c r="T162" s="15" t="s">
        <v>2101</v>
      </c>
      <c r="U162" s="21" t="s">
        <v>72</v>
      </c>
    </row>
    <row r="163" customFormat="false" ht="15" hidden="false" customHeight="false" outlineLevel="0" collapsed="false">
      <c r="A163" s="15" t="s">
        <v>1082</v>
      </c>
      <c r="B163" s="15" t="s">
        <v>1819</v>
      </c>
      <c r="C163" s="14" t="s">
        <v>2102</v>
      </c>
      <c r="D163" s="14" t="s">
        <v>2103</v>
      </c>
      <c r="E163" s="16" t="s">
        <v>2104</v>
      </c>
      <c r="F163" s="16" t="s">
        <v>2105</v>
      </c>
      <c r="G163" s="23" t="s">
        <v>43</v>
      </c>
      <c r="H163" s="18" t="n">
        <v>3</v>
      </c>
      <c r="I163" s="20" t="n">
        <v>35.55</v>
      </c>
      <c r="J163" s="20" t="n">
        <v>113.42</v>
      </c>
      <c r="K163" s="18" t="n">
        <v>24</v>
      </c>
      <c r="L163" s="18" t="n">
        <v>4</v>
      </c>
      <c r="M163" s="18" t="n">
        <v>672</v>
      </c>
      <c r="N163" s="18" t="n">
        <v>84</v>
      </c>
      <c r="O163" s="14" t="s">
        <v>1088</v>
      </c>
      <c r="P163" s="14" t="s">
        <v>94</v>
      </c>
      <c r="Q163" s="15" t="s">
        <v>1089</v>
      </c>
      <c r="R163" s="16" t="s">
        <v>1779</v>
      </c>
      <c r="S163" s="15" t="s">
        <v>2106</v>
      </c>
      <c r="T163" s="15" t="s">
        <v>2107</v>
      </c>
      <c r="U163" s="21" t="s">
        <v>72</v>
      </c>
    </row>
    <row r="164" customFormat="false" ht="15" hidden="false" customHeight="false" outlineLevel="0" collapsed="false">
      <c r="A164" s="15" t="s">
        <v>1082</v>
      </c>
      <c r="B164" s="15" t="s">
        <v>1819</v>
      </c>
      <c r="C164" s="14" t="s">
        <v>2108</v>
      </c>
      <c r="D164" s="14" t="s">
        <v>2109</v>
      </c>
      <c r="E164" s="16" t="s">
        <v>2110</v>
      </c>
      <c r="F164" s="16" t="s">
        <v>2111</v>
      </c>
      <c r="G164" s="23" t="s">
        <v>43</v>
      </c>
      <c r="H164" s="18" t="n">
        <v>4</v>
      </c>
      <c r="I164" s="20" t="n">
        <v>63.12</v>
      </c>
      <c r="J164" s="20" t="n">
        <v>95.46</v>
      </c>
      <c r="K164" s="18" t="n">
        <v>12</v>
      </c>
      <c r="L164" s="18" t="n">
        <v>7</v>
      </c>
      <c r="M164" s="18" t="n">
        <v>624</v>
      </c>
      <c r="N164" s="18" t="n">
        <v>156</v>
      </c>
      <c r="O164" s="14" t="s">
        <v>1088</v>
      </c>
      <c r="P164" s="14" t="s">
        <v>118</v>
      </c>
      <c r="Q164" s="15" t="s">
        <v>1089</v>
      </c>
      <c r="R164" s="16" t="s">
        <v>2112</v>
      </c>
      <c r="S164" s="15" t="s">
        <v>2113</v>
      </c>
      <c r="T164" s="15" t="s">
        <v>2114</v>
      </c>
      <c r="U164" s="21" t="s">
        <v>72</v>
      </c>
    </row>
    <row r="165" customFormat="false" ht="26.85" hidden="false" customHeight="false" outlineLevel="0" collapsed="false">
      <c r="A165" s="15" t="s">
        <v>1082</v>
      </c>
      <c r="B165" s="15" t="s">
        <v>1819</v>
      </c>
      <c r="C165" s="14" t="s">
        <v>2115</v>
      </c>
      <c r="D165" s="14" t="s">
        <v>2116</v>
      </c>
      <c r="E165" s="16" t="s">
        <v>2117</v>
      </c>
      <c r="F165" s="16" t="s">
        <v>2118</v>
      </c>
      <c r="G165" s="25" t="s">
        <v>39</v>
      </c>
      <c r="H165" s="18" t="n">
        <v>12</v>
      </c>
      <c r="I165" s="20" t="n">
        <v>264.7</v>
      </c>
      <c r="J165" s="20" t="n">
        <v>432.49</v>
      </c>
      <c r="K165" s="18" t="n">
        <v>84</v>
      </c>
      <c r="L165" s="18" t="n">
        <v>40</v>
      </c>
      <c r="M165" s="18" t="n">
        <v>5040</v>
      </c>
      <c r="N165" s="18" t="n">
        <v>720</v>
      </c>
      <c r="O165" s="14" t="s">
        <v>1097</v>
      </c>
      <c r="P165" s="14" t="s">
        <v>84</v>
      </c>
      <c r="Q165" s="15" t="s">
        <v>1089</v>
      </c>
      <c r="R165" s="16" t="s">
        <v>2119</v>
      </c>
      <c r="S165" s="15" t="s">
        <v>2120</v>
      </c>
      <c r="T165" s="15" t="s">
        <v>2121</v>
      </c>
      <c r="U165" s="21" t="s">
        <v>72</v>
      </c>
    </row>
    <row r="166" customFormat="false" ht="15" hidden="false" customHeight="false" outlineLevel="0" collapsed="false">
      <c r="A166" s="15" t="s">
        <v>1082</v>
      </c>
      <c r="B166" s="15" t="s">
        <v>1819</v>
      </c>
      <c r="C166" s="14" t="s">
        <v>2122</v>
      </c>
      <c r="D166" s="14" t="s">
        <v>2123</v>
      </c>
      <c r="E166" s="16" t="s">
        <v>2124</v>
      </c>
      <c r="F166" s="16"/>
      <c r="G166" s="25" t="s">
        <v>39</v>
      </c>
      <c r="H166" s="18" t="n">
        <v>8</v>
      </c>
      <c r="I166" s="20" t="n">
        <v>132.82</v>
      </c>
      <c r="J166" s="20" t="n">
        <v>228.03</v>
      </c>
      <c r="K166" s="18" t="n">
        <v>8</v>
      </c>
      <c r="L166" s="18" t="n">
        <v>1</v>
      </c>
      <c r="M166" s="18" t="n">
        <v>480</v>
      </c>
      <c r="N166" s="18" t="n">
        <v>480</v>
      </c>
      <c r="O166" s="14" t="s">
        <v>2125</v>
      </c>
      <c r="P166" s="14" t="s">
        <v>84</v>
      </c>
      <c r="Q166" s="15" t="s">
        <v>1089</v>
      </c>
      <c r="R166" s="16" t="s">
        <v>2126</v>
      </c>
      <c r="S166" s="15" t="s">
        <v>2127</v>
      </c>
      <c r="T166" s="15" t="s">
        <v>2127</v>
      </c>
      <c r="U166" s="21" t="s">
        <v>72</v>
      </c>
    </row>
    <row r="167" customFormat="false" ht="15" hidden="false" customHeight="false" outlineLevel="0" collapsed="false">
      <c r="A167" s="15" t="s">
        <v>1082</v>
      </c>
      <c r="B167" s="15" t="s">
        <v>1819</v>
      </c>
      <c r="C167" s="14" t="s">
        <v>2128</v>
      </c>
      <c r="D167" s="14" t="s">
        <v>2129</v>
      </c>
      <c r="E167" s="16" t="s">
        <v>2130</v>
      </c>
      <c r="F167" s="16" t="s">
        <v>2131</v>
      </c>
      <c r="G167" s="19" t="s">
        <v>41</v>
      </c>
      <c r="H167" s="18" t="n">
        <v>5</v>
      </c>
      <c r="I167" s="20" t="n">
        <v>104</v>
      </c>
      <c r="J167" s="20" t="n">
        <v>295.98</v>
      </c>
      <c r="K167" s="18" t="n">
        <v>25</v>
      </c>
      <c r="L167" s="18" t="n">
        <v>6</v>
      </c>
      <c r="M167" s="18" t="n">
        <v>1500</v>
      </c>
      <c r="N167" s="18" t="n">
        <v>300</v>
      </c>
      <c r="O167" s="14" t="s">
        <v>1088</v>
      </c>
      <c r="P167" s="14" t="s">
        <v>84</v>
      </c>
      <c r="Q167" s="15" t="s">
        <v>1089</v>
      </c>
      <c r="R167" s="16" t="s">
        <v>2132</v>
      </c>
      <c r="S167" s="15" t="s">
        <v>2133</v>
      </c>
      <c r="T167" s="15" t="s">
        <v>2134</v>
      </c>
      <c r="U167" s="21" t="s">
        <v>72</v>
      </c>
    </row>
    <row r="168" customFormat="false" ht="39.55" hidden="false" customHeight="false" outlineLevel="0" collapsed="false">
      <c r="A168" s="15" t="s">
        <v>1082</v>
      </c>
      <c r="B168" s="15" t="s">
        <v>1819</v>
      </c>
      <c r="C168" s="14" t="s">
        <v>2135</v>
      </c>
      <c r="D168" s="14" t="s">
        <v>2136</v>
      </c>
      <c r="E168" s="16" t="s">
        <v>2137</v>
      </c>
      <c r="F168" s="16" t="s">
        <v>2138</v>
      </c>
      <c r="G168" s="23" t="s">
        <v>43</v>
      </c>
      <c r="H168" s="18" t="n">
        <v>4</v>
      </c>
      <c r="I168" s="20" t="n">
        <v>72.33</v>
      </c>
      <c r="J168" s="20" t="n">
        <v>184.49</v>
      </c>
      <c r="K168" s="18" t="n">
        <v>24</v>
      </c>
      <c r="L168" s="18" t="n">
        <v>5</v>
      </c>
      <c r="M168" s="18" t="n">
        <v>1440</v>
      </c>
      <c r="N168" s="18" t="n">
        <v>240</v>
      </c>
      <c r="O168" s="14" t="s">
        <v>1097</v>
      </c>
      <c r="P168" s="14" t="s">
        <v>952</v>
      </c>
      <c r="Q168" s="15" t="s">
        <v>1089</v>
      </c>
      <c r="R168" s="16" t="s">
        <v>1890</v>
      </c>
      <c r="S168" s="15" t="s">
        <v>2139</v>
      </c>
      <c r="T168" s="15" t="s">
        <v>2140</v>
      </c>
      <c r="U168" s="21" t="s">
        <v>72</v>
      </c>
    </row>
    <row r="169" customFormat="false" ht="26.85" hidden="false" customHeight="false" outlineLevel="0" collapsed="false">
      <c r="A169" s="15" t="s">
        <v>1082</v>
      </c>
      <c r="B169" s="15" t="s">
        <v>1819</v>
      </c>
      <c r="C169" s="14" t="s">
        <v>2141</v>
      </c>
      <c r="D169" s="14" t="s">
        <v>2142</v>
      </c>
      <c r="E169" s="16" t="s">
        <v>2143</v>
      </c>
      <c r="F169" s="16"/>
      <c r="G169" s="19" t="s">
        <v>41</v>
      </c>
      <c r="H169" s="18" t="n">
        <v>5</v>
      </c>
      <c r="I169" s="20" t="n">
        <v>75.23</v>
      </c>
      <c r="J169" s="20" t="n">
        <v>167.82</v>
      </c>
      <c r="K169" s="18" t="n">
        <v>9</v>
      </c>
      <c r="L169" s="18" t="n">
        <v>1</v>
      </c>
      <c r="M169" s="18" t="n">
        <v>261</v>
      </c>
      <c r="N169" s="18" t="n">
        <v>87</v>
      </c>
      <c r="O169" s="14" t="s">
        <v>1088</v>
      </c>
      <c r="P169" s="14" t="s">
        <v>1766</v>
      </c>
      <c r="Q169" s="15" t="s">
        <v>1089</v>
      </c>
      <c r="R169" s="16" t="s">
        <v>1547</v>
      </c>
      <c r="S169" s="15" t="s">
        <v>2144</v>
      </c>
      <c r="T169" s="15" t="s">
        <v>2145</v>
      </c>
      <c r="U169" s="21" t="s">
        <v>72</v>
      </c>
    </row>
    <row r="170" customFormat="false" ht="15" hidden="false" customHeight="false" outlineLevel="0" collapsed="false">
      <c r="A170" s="15" t="s">
        <v>1082</v>
      </c>
      <c r="B170" s="15" t="s">
        <v>1819</v>
      </c>
      <c r="C170" s="14" t="s">
        <v>2146</v>
      </c>
      <c r="D170" s="14" t="s">
        <v>2147</v>
      </c>
      <c r="E170" s="16" t="s">
        <v>2148</v>
      </c>
      <c r="F170" s="16" t="s">
        <v>2149</v>
      </c>
      <c r="G170" s="23" t="s">
        <v>43</v>
      </c>
      <c r="H170" s="18" t="n">
        <v>3</v>
      </c>
      <c r="I170" s="20" t="n">
        <v>36.26</v>
      </c>
      <c r="J170" s="20" t="n">
        <v>72.65</v>
      </c>
      <c r="K170" s="18" t="n">
        <v>6</v>
      </c>
      <c r="L170" s="18" t="n">
        <v>9</v>
      </c>
      <c r="M170" s="18" t="n">
        <v>180</v>
      </c>
      <c r="N170" s="18" t="n">
        <v>90</v>
      </c>
      <c r="O170" s="14" t="s">
        <v>1088</v>
      </c>
      <c r="P170" s="14" t="s">
        <v>118</v>
      </c>
      <c r="Q170" s="15" t="s">
        <v>1089</v>
      </c>
      <c r="R170" s="16" t="s">
        <v>2150</v>
      </c>
      <c r="S170" s="15" t="s">
        <v>2151</v>
      </c>
      <c r="T170" s="15" t="s">
        <v>2152</v>
      </c>
      <c r="U170" s="21" t="s">
        <v>72</v>
      </c>
    </row>
    <row r="171" customFormat="false" ht="15" hidden="false" customHeight="false" outlineLevel="0" collapsed="false">
      <c r="A171" s="15" t="s">
        <v>1082</v>
      </c>
      <c r="B171" s="15" t="s">
        <v>1819</v>
      </c>
      <c r="C171" s="14" t="s">
        <v>2153</v>
      </c>
      <c r="D171" s="14" t="s">
        <v>2154</v>
      </c>
      <c r="E171" s="16" t="s">
        <v>2155</v>
      </c>
      <c r="F171" s="16" t="s">
        <v>2156</v>
      </c>
      <c r="G171" s="23" t="s">
        <v>43</v>
      </c>
      <c r="H171" s="18" t="n">
        <v>3</v>
      </c>
      <c r="I171" s="20" t="n">
        <v>43.75</v>
      </c>
      <c r="J171" s="20" t="n">
        <v>93.91</v>
      </c>
      <c r="K171" s="18" t="n">
        <v>6</v>
      </c>
      <c r="L171" s="18" t="n">
        <v>1</v>
      </c>
      <c r="M171" s="18" t="n">
        <v>480</v>
      </c>
      <c r="N171" s="18" t="n">
        <v>30</v>
      </c>
      <c r="O171" s="14" t="s">
        <v>1126</v>
      </c>
      <c r="P171" s="14" t="s">
        <v>118</v>
      </c>
      <c r="Q171" s="15" t="s">
        <v>1089</v>
      </c>
      <c r="R171" s="16" t="s">
        <v>2157</v>
      </c>
      <c r="S171" s="15" t="s">
        <v>2158</v>
      </c>
      <c r="T171" s="15" t="s">
        <v>2158</v>
      </c>
      <c r="U171" s="21" t="s">
        <v>72</v>
      </c>
    </row>
    <row r="172" customFormat="false" ht="26.85" hidden="false" customHeight="false" outlineLevel="0" collapsed="false">
      <c r="A172" s="15" t="s">
        <v>1082</v>
      </c>
      <c r="B172" s="15" t="s">
        <v>1819</v>
      </c>
      <c r="C172" s="14" t="s">
        <v>2159</v>
      </c>
      <c r="D172" s="14" t="s">
        <v>2160</v>
      </c>
      <c r="E172" s="16" t="s">
        <v>2161</v>
      </c>
      <c r="F172" s="16" t="s">
        <v>2162</v>
      </c>
      <c r="G172" s="19" t="s">
        <v>41</v>
      </c>
      <c r="H172" s="18" t="n">
        <v>6</v>
      </c>
      <c r="I172" s="20" t="n">
        <v>78.06</v>
      </c>
      <c r="J172" s="20" t="n">
        <v>149.5</v>
      </c>
      <c r="K172" s="18" t="n">
        <v>3</v>
      </c>
      <c r="L172" s="18" t="n">
        <v>4</v>
      </c>
      <c r="M172" s="18" t="n">
        <v>180</v>
      </c>
      <c r="N172" s="18" t="n">
        <v>180</v>
      </c>
      <c r="O172" s="14" t="s">
        <v>1097</v>
      </c>
      <c r="P172" s="14" t="s">
        <v>84</v>
      </c>
      <c r="Q172" s="15" t="s">
        <v>1089</v>
      </c>
      <c r="R172" s="16" t="s">
        <v>1940</v>
      </c>
      <c r="S172" s="15" t="s">
        <v>2163</v>
      </c>
      <c r="T172" s="15" t="s">
        <v>2164</v>
      </c>
      <c r="U172" s="21" t="s">
        <v>72</v>
      </c>
    </row>
    <row r="173" customFormat="false" ht="15" hidden="false" customHeight="false" outlineLevel="0" collapsed="false">
      <c r="A173" s="15" t="s">
        <v>1082</v>
      </c>
      <c r="B173" s="15" t="s">
        <v>1819</v>
      </c>
      <c r="C173" s="14" t="s">
        <v>2165</v>
      </c>
      <c r="D173" s="14" t="s">
        <v>2166</v>
      </c>
      <c r="E173" s="16" t="s">
        <v>1829</v>
      </c>
      <c r="F173" s="16" t="s">
        <v>1830</v>
      </c>
      <c r="G173" s="23" t="s">
        <v>43</v>
      </c>
      <c r="H173" s="18" t="n">
        <v>4</v>
      </c>
      <c r="I173" s="20" t="n">
        <v>91.63</v>
      </c>
      <c r="J173" s="20" t="n">
        <v>138.49</v>
      </c>
      <c r="K173" s="18" t="n">
        <v>6</v>
      </c>
      <c r="L173" s="18" t="n">
        <v>13</v>
      </c>
      <c r="M173" s="18" t="n">
        <v>270</v>
      </c>
      <c r="N173" s="18" t="n">
        <v>135</v>
      </c>
      <c r="O173" s="14" t="s">
        <v>1126</v>
      </c>
      <c r="P173" s="14" t="s">
        <v>84</v>
      </c>
      <c r="Q173" s="15" t="s">
        <v>1089</v>
      </c>
      <c r="R173" s="16" t="s">
        <v>1307</v>
      </c>
      <c r="S173" s="15" t="s">
        <v>2167</v>
      </c>
      <c r="T173" s="15" t="s">
        <v>2168</v>
      </c>
      <c r="U173" s="21" t="s">
        <v>72</v>
      </c>
    </row>
    <row r="174" customFormat="false" ht="26.85" hidden="false" customHeight="false" outlineLevel="0" collapsed="false">
      <c r="A174" s="15" t="s">
        <v>1082</v>
      </c>
      <c r="B174" s="15" t="s">
        <v>1819</v>
      </c>
      <c r="C174" s="14" t="s">
        <v>2169</v>
      </c>
      <c r="D174" s="14" t="s">
        <v>2170</v>
      </c>
      <c r="E174" s="16" t="s">
        <v>2171</v>
      </c>
      <c r="F174" s="16" t="s">
        <v>2172</v>
      </c>
      <c r="G174" s="19" t="s">
        <v>41</v>
      </c>
      <c r="H174" s="18" t="n">
        <v>6</v>
      </c>
      <c r="I174" s="20" t="n">
        <v>159.05</v>
      </c>
      <c r="J174" s="20" t="n">
        <v>216.31</v>
      </c>
      <c r="K174" s="18" t="n">
        <v>36</v>
      </c>
      <c r="L174" s="18" t="n">
        <v>29</v>
      </c>
      <c r="M174" s="18" t="n">
        <v>2160</v>
      </c>
      <c r="N174" s="18" t="n">
        <v>360</v>
      </c>
      <c r="O174" s="14" t="s">
        <v>1126</v>
      </c>
      <c r="P174" s="14" t="s">
        <v>84</v>
      </c>
      <c r="Q174" s="15" t="s">
        <v>1089</v>
      </c>
      <c r="R174" s="16" t="s">
        <v>1879</v>
      </c>
      <c r="S174" s="15" t="s">
        <v>1397</v>
      </c>
      <c r="T174" s="15" t="s">
        <v>2173</v>
      </c>
      <c r="U174" s="21" t="s">
        <v>72</v>
      </c>
    </row>
    <row r="175" customFormat="false" ht="15" hidden="false" customHeight="false" outlineLevel="0" collapsed="false">
      <c r="A175" s="15" t="s">
        <v>1082</v>
      </c>
      <c r="B175" s="15" t="s">
        <v>1819</v>
      </c>
      <c r="C175" s="14" t="s">
        <v>2174</v>
      </c>
      <c r="D175" s="14" t="s">
        <v>2175</v>
      </c>
      <c r="E175" s="16" t="s">
        <v>2176</v>
      </c>
      <c r="F175" s="16" t="s">
        <v>2172</v>
      </c>
      <c r="G175" s="23" t="s">
        <v>43</v>
      </c>
      <c r="H175" s="18" t="n">
        <v>4</v>
      </c>
      <c r="I175" s="20" t="n">
        <v>124.18</v>
      </c>
      <c r="J175" s="20" t="n">
        <v>148.06</v>
      </c>
      <c r="K175" s="18" t="n">
        <v>24</v>
      </c>
      <c r="L175" s="18" t="n">
        <v>26</v>
      </c>
      <c r="M175" s="18" t="n">
        <v>1440</v>
      </c>
      <c r="N175" s="18" t="n">
        <v>240</v>
      </c>
      <c r="O175" s="14" t="s">
        <v>1126</v>
      </c>
      <c r="P175" s="14" t="s">
        <v>84</v>
      </c>
      <c r="Q175" s="15" t="s">
        <v>1089</v>
      </c>
      <c r="R175" s="16" t="s">
        <v>1575</v>
      </c>
      <c r="S175" s="15" t="s">
        <v>1397</v>
      </c>
      <c r="T175" s="15" t="s">
        <v>2177</v>
      </c>
      <c r="U175" s="21" t="s">
        <v>72</v>
      </c>
    </row>
    <row r="176" customFormat="false" ht="15" hidden="false" customHeight="false" outlineLevel="0" collapsed="false">
      <c r="A176" s="15" t="s">
        <v>1082</v>
      </c>
      <c r="B176" s="15" t="s">
        <v>1819</v>
      </c>
      <c r="C176" s="14" t="s">
        <v>2178</v>
      </c>
      <c r="D176" s="14" t="s">
        <v>2179</v>
      </c>
      <c r="E176" s="16" t="s">
        <v>2180</v>
      </c>
      <c r="F176" s="16" t="s">
        <v>2181</v>
      </c>
      <c r="G176" s="23" t="s">
        <v>43</v>
      </c>
      <c r="H176" s="18" t="n">
        <v>4</v>
      </c>
      <c r="I176" s="20" t="n">
        <v>74.5</v>
      </c>
      <c r="J176" s="20" t="n">
        <v>148.1</v>
      </c>
      <c r="K176" s="18" t="n">
        <v>16</v>
      </c>
      <c r="L176" s="18" t="n">
        <v>9</v>
      </c>
      <c r="M176" s="18" t="n">
        <v>960</v>
      </c>
      <c r="N176" s="18" t="n">
        <v>240</v>
      </c>
      <c r="O176" s="14" t="s">
        <v>1088</v>
      </c>
      <c r="P176" s="14" t="s">
        <v>84</v>
      </c>
      <c r="Q176" s="15" t="s">
        <v>1089</v>
      </c>
      <c r="R176" s="16" t="s">
        <v>1779</v>
      </c>
      <c r="S176" s="15" t="s">
        <v>2182</v>
      </c>
      <c r="T176" s="15" t="s">
        <v>2183</v>
      </c>
      <c r="U176" s="21" t="s">
        <v>72</v>
      </c>
    </row>
    <row r="177" customFormat="false" ht="15" hidden="false" customHeight="false" outlineLevel="0" collapsed="false">
      <c r="A177" s="15" t="s">
        <v>1082</v>
      </c>
      <c r="B177" s="15" t="s">
        <v>1819</v>
      </c>
      <c r="C177" s="14" t="s">
        <v>2184</v>
      </c>
      <c r="D177" s="14" t="s">
        <v>2185</v>
      </c>
      <c r="E177" s="16" t="s">
        <v>2180</v>
      </c>
      <c r="F177" s="16" t="s">
        <v>2181</v>
      </c>
      <c r="G177" s="23" t="s">
        <v>43</v>
      </c>
      <c r="H177" s="18" t="n">
        <v>3</v>
      </c>
      <c r="I177" s="20" t="n">
        <v>39.64</v>
      </c>
      <c r="J177" s="20" t="n">
        <v>92.07</v>
      </c>
      <c r="K177" s="18" t="n">
        <v>15</v>
      </c>
      <c r="L177" s="18" t="n">
        <v>9</v>
      </c>
      <c r="M177" s="18" t="n">
        <v>495</v>
      </c>
      <c r="N177" s="18" t="n">
        <v>99</v>
      </c>
      <c r="O177" s="14" t="s">
        <v>1088</v>
      </c>
      <c r="P177" s="14" t="s">
        <v>84</v>
      </c>
      <c r="Q177" s="15" t="s">
        <v>1089</v>
      </c>
      <c r="R177" s="16" t="s">
        <v>1160</v>
      </c>
      <c r="S177" s="15" t="s">
        <v>2182</v>
      </c>
      <c r="T177" s="15" t="s">
        <v>2186</v>
      </c>
      <c r="U177" s="21" t="s">
        <v>72</v>
      </c>
    </row>
    <row r="178" customFormat="false" ht="15" hidden="false" customHeight="false" outlineLevel="0" collapsed="false">
      <c r="A178" s="15" t="s">
        <v>1082</v>
      </c>
      <c r="B178" s="15" t="s">
        <v>1819</v>
      </c>
      <c r="C178" s="14" t="s">
        <v>2187</v>
      </c>
      <c r="D178" s="14" t="s">
        <v>2188</v>
      </c>
      <c r="E178" s="16" t="s">
        <v>2189</v>
      </c>
      <c r="F178" s="16" t="s">
        <v>2190</v>
      </c>
      <c r="G178" s="23" t="s">
        <v>43</v>
      </c>
      <c r="H178" s="18" t="n">
        <v>1</v>
      </c>
      <c r="I178" s="20" t="n">
        <v>35.96</v>
      </c>
      <c r="J178" s="20" t="n">
        <v>96.39</v>
      </c>
      <c r="K178" s="18" t="n">
        <v>2</v>
      </c>
      <c r="L178" s="18" t="n">
        <v>18</v>
      </c>
      <c r="M178" s="18" t="n">
        <v>58</v>
      </c>
      <c r="N178" s="18" t="n">
        <v>29</v>
      </c>
      <c r="O178" s="14" t="s">
        <v>1097</v>
      </c>
      <c r="P178" s="14" t="s">
        <v>84</v>
      </c>
      <c r="Q178" s="15" t="s">
        <v>1089</v>
      </c>
      <c r="R178" s="16" t="s">
        <v>2191</v>
      </c>
      <c r="S178" s="15" t="s">
        <v>2192</v>
      </c>
      <c r="T178" s="15" t="s">
        <v>2193</v>
      </c>
      <c r="U178" s="21" t="s">
        <v>72</v>
      </c>
    </row>
    <row r="179" customFormat="false" ht="26.85" hidden="false" customHeight="false" outlineLevel="0" collapsed="false">
      <c r="A179" s="15" t="s">
        <v>1082</v>
      </c>
      <c r="B179" s="15" t="s">
        <v>1819</v>
      </c>
      <c r="C179" s="14" t="s">
        <v>2194</v>
      </c>
      <c r="D179" s="14" t="s">
        <v>2195</v>
      </c>
      <c r="E179" s="16" t="s">
        <v>2196</v>
      </c>
      <c r="F179" s="16" t="s">
        <v>2197</v>
      </c>
      <c r="G179" s="23" t="s">
        <v>43</v>
      </c>
      <c r="H179" s="18" t="n">
        <v>3</v>
      </c>
      <c r="I179" s="20" t="n">
        <v>44.73</v>
      </c>
      <c r="J179" s="20" t="n">
        <v>92.07</v>
      </c>
      <c r="K179" s="18" t="n">
        <v>9</v>
      </c>
      <c r="L179" s="18" t="n">
        <v>6</v>
      </c>
      <c r="M179" s="18" t="n">
        <v>360</v>
      </c>
      <c r="N179" s="18" t="n">
        <v>120</v>
      </c>
      <c r="O179" s="14" t="s">
        <v>1097</v>
      </c>
      <c r="P179" s="14" t="s">
        <v>84</v>
      </c>
      <c r="Q179" s="15" t="s">
        <v>1089</v>
      </c>
      <c r="R179" s="16" t="s">
        <v>2198</v>
      </c>
      <c r="S179" s="15" t="s">
        <v>2199</v>
      </c>
      <c r="T179" s="15" t="s">
        <v>2200</v>
      </c>
      <c r="U179" s="21" t="s">
        <v>72</v>
      </c>
    </row>
    <row r="180" customFormat="false" ht="15" hidden="false" customHeight="false" outlineLevel="0" collapsed="false">
      <c r="A180" s="15" t="s">
        <v>1082</v>
      </c>
      <c r="B180" s="15" t="s">
        <v>2201</v>
      </c>
      <c r="C180" s="14" t="s">
        <v>2202</v>
      </c>
      <c r="D180" s="14" t="s">
        <v>2203</v>
      </c>
      <c r="E180" s="16" t="s">
        <v>2204</v>
      </c>
      <c r="F180" s="16" t="s">
        <v>2205</v>
      </c>
      <c r="G180" s="23" t="s">
        <v>43</v>
      </c>
      <c r="H180" s="18" t="n">
        <v>2</v>
      </c>
      <c r="I180" s="20" t="n">
        <v>41.18</v>
      </c>
      <c r="J180" s="20" t="n">
        <v>136.33</v>
      </c>
      <c r="K180" s="18" t="n">
        <v>15</v>
      </c>
      <c r="L180" s="18" t="n">
        <v>3</v>
      </c>
      <c r="M180" s="18" t="n">
        <v>300</v>
      </c>
      <c r="N180" s="18" t="n">
        <v>60</v>
      </c>
      <c r="O180" s="14" t="s">
        <v>1088</v>
      </c>
      <c r="P180" s="14" t="s">
        <v>118</v>
      </c>
      <c r="Q180" s="15" t="s">
        <v>1089</v>
      </c>
      <c r="R180" s="16" t="s">
        <v>2206</v>
      </c>
      <c r="S180" s="15" t="s">
        <v>2207</v>
      </c>
      <c r="T180" s="15" t="s">
        <v>2208</v>
      </c>
      <c r="U180" s="21" t="s">
        <v>72</v>
      </c>
    </row>
    <row r="181" customFormat="false" ht="15" hidden="false" customHeight="false" outlineLevel="0" collapsed="false">
      <c r="A181" s="15" t="s">
        <v>1082</v>
      </c>
      <c r="B181" s="15" t="s">
        <v>2201</v>
      </c>
      <c r="C181" s="14" t="s">
        <v>2209</v>
      </c>
      <c r="D181" s="14" t="s">
        <v>2210</v>
      </c>
      <c r="E181" s="16" t="s">
        <v>2211</v>
      </c>
      <c r="F181" s="16" t="s">
        <v>2212</v>
      </c>
      <c r="G181" s="23" t="s">
        <v>43</v>
      </c>
      <c r="H181" s="18" t="n">
        <v>3</v>
      </c>
      <c r="I181" s="20" t="n">
        <v>48.46</v>
      </c>
      <c r="J181" s="20" t="n">
        <v>93.33</v>
      </c>
      <c r="K181" s="18" t="n">
        <v>5</v>
      </c>
      <c r="L181" s="18" t="n">
        <v>4</v>
      </c>
      <c r="M181" s="18" t="n">
        <v>200</v>
      </c>
      <c r="N181" s="18" t="n">
        <v>40</v>
      </c>
      <c r="O181" s="14" t="s">
        <v>1088</v>
      </c>
      <c r="P181" s="14" t="s">
        <v>118</v>
      </c>
      <c r="Q181" s="15" t="s">
        <v>1089</v>
      </c>
      <c r="R181" s="16" t="s">
        <v>2213</v>
      </c>
      <c r="S181" s="15" t="s">
        <v>2214</v>
      </c>
      <c r="T181" s="15" t="s">
        <v>2214</v>
      </c>
      <c r="U181" s="21" t="s">
        <v>72</v>
      </c>
    </row>
    <row r="182" customFormat="false" ht="15" hidden="false" customHeight="false" outlineLevel="0" collapsed="false">
      <c r="A182" s="15" t="s">
        <v>1082</v>
      </c>
      <c r="B182" s="15" t="s">
        <v>2201</v>
      </c>
      <c r="C182" s="14" t="s">
        <v>2215</v>
      </c>
      <c r="D182" s="14" t="s">
        <v>2216</v>
      </c>
      <c r="E182" s="16" t="s">
        <v>2217</v>
      </c>
      <c r="F182" s="16" t="s">
        <v>2218</v>
      </c>
      <c r="G182" s="19" t="s">
        <v>41</v>
      </c>
      <c r="H182" s="18" t="n">
        <v>5</v>
      </c>
      <c r="I182" s="20" t="n">
        <v>90.72</v>
      </c>
      <c r="J182" s="20" t="n">
        <v>238.69</v>
      </c>
      <c r="K182" s="18" t="n">
        <v>4</v>
      </c>
      <c r="L182" s="18" t="n">
        <v>5</v>
      </c>
      <c r="M182" s="18" t="n">
        <v>208</v>
      </c>
      <c r="N182" s="18" t="n">
        <v>208</v>
      </c>
      <c r="O182" s="14" t="s">
        <v>1088</v>
      </c>
      <c r="P182" s="14" t="s">
        <v>84</v>
      </c>
      <c r="Q182" s="15" t="s">
        <v>1089</v>
      </c>
      <c r="R182" s="16" t="s">
        <v>2219</v>
      </c>
      <c r="S182" s="15" t="s">
        <v>2220</v>
      </c>
      <c r="T182" s="15" t="s">
        <v>2221</v>
      </c>
      <c r="U182" s="21" t="s">
        <v>72</v>
      </c>
    </row>
    <row r="183" customFormat="false" ht="15" hidden="false" customHeight="false" outlineLevel="0" collapsed="false">
      <c r="A183" s="15" t="s">
        <v>1082</v>
      </c>
      <c r="B183" s="15" t="s">
        <v>2201</v>
      </c>
      <c r="C183" s="14" t="s">
        <v>2222</v>
      </c>
      <c r="D183" s="14" t="s">
        <v>2223</v>
      </c>
      <c r="E183" s="16" t="s">
        <v>2224</v>
      </c>
      <c r="F183" s="16" t="s">
        <v>2225</v>
      </c>
      <c r="G183" s="23" t="s">
        <v>43</v>
      </c>
      <c r="H183" s="18" t="n">
        <v>2</v>
      </c>
      <c r="I183" s="20" t="n">
        <v>39.06</v>
      </c>
      <c r="J183" s="20" t="n">
        <v>109.82</v>
      </c>
      <c r="K183" s="18" t="n">
        <v>4</v>
      </c>
      <c r="L183" s="18" t="n">
        <v>2</v>
      </c>
      <c r="M183" s="18" t="n">
        <v>128</v>
      </c>
      <c r="N183" s="18" t="n">
        <v>32</v>
      </c>
      <c r="O183" s="14" t="s">
        <v>1097</v>
      </c>
      <c r="P183" s="14" t="s">
        <v>118</v>
      </c>
      <c r="Q183" s="15" t="s">
        <v>1089</v>
      </c>
      <c r="R183" s="16" t="s">
        <v>2226</v>
      </c>
      <c r="S183" s="15" t="s">
        <v>2227</v>
      </c>
      <c r="T183" s="15" t="s">
        <v>2227</v>
      </c>
      <c r="U183" s="21" t="s">
        <v>72</v>
      </c>
    </row>
    <row r="184" customFormat="false" ht="15" hidden="false" customHeight="false" outlineLevel="0" collapsed="false">
      <c r="A184" s="15" t="s">
        <v>1082</v>
      </c>
      <c r="B184" s="15" t="s">
        <v>2201</v>
      </c>
      <c r="C184" s="14" t="s">
        <v>2228</v>
      </c>
      <c r="D184" s="14" t="s">
        <v>2229</v>
      </c>
      <c r="E184" s="16" t="s">
        <v>2230</v>
      </c>
      <c r="F184" s="16" t="s">
        <v>2231</v>
      </c>
      <c r="G184" s="19" t="s">
        <v>41</v>
      </c>
      <c r="H184" s="18" t="n">
        <v>6</v>
      </c>
      <c r="I184" s="20" t="n">
        <v>111.37</v>
      </c>
      <c r="J184" s="20" t="n">
        <v>143.52</v>
      </c>
      <c r="K184" s="18" t="n">
        <v>20</v>
      </c>
      <c r="L184" s="18" t="n">
        <v>29</v>
      </c>
      <c r="M184" s="18" t="n">
        <v>1200</v>
      </c>
      <c r="N184" s="18" t="n">
        <v>240</v>
      </c>
      <c r="O184" s="14" t="s">
        <v>1097</v>
      </c>
      <c r="P184" s="14" t="s">
        <v>84</v>
      </c>
      <c r="Q184" s="15" t="s">
        <v>1089</v>
      </c>
      <c r="R184" s="16" t="s">
        <v>1186</v>
      </c>
      <c r="S184" s="15" t="s">
        <v>2232</v>
      </c>
      <c r="T184" s="15" t="s">
        <v>2232</v>
      </c>
      <c r="U184" s="21" t="s">
        <v>72</v>
      </c>
    </row>
    <row r="185" customFormat="false" ht="15" hidden="false" customHeight="false" outlineLevel="0" collapsed="false">
      <c r="A185" s="15" t="s">
        <v>1082</v>
      </c>
      <c r="B185" s="15" t="s">
        <v>2201</v>
      </c>
      <c r="C185" s="14" t="s">
        <v>2233</v>
      </c>
      <c r="D185" s="14" t="s">
        <v>2234</v>
      </c>
      <c r="E185" s="16" t="s">
        <v>2235</v>
      </c>
      <c r="F185" s="16" t="s">
        <v>2236</v>
      </c>
      <c r="G185" s="19" t="s">
        <v>41</v>
      </c>
      <c r="H185" s="18" t="n">
        <v>5</v>
      </c>
      <c r="I185" s="20" t="n">
        <v>37.38</v>
      </c>
      <c r="J185" s="20" t="n">
        <v>94.04</v>
      </c>
      <c r="K185" s="18" t="n">
        <v>10</v>
      </c>
      <c r="L185" s="18" t="n">
        <v>5</v>
      </c>
      <c r="M185" s="18" t="n">
        <v>100</v>
      </c>
      <c r="N185" s="18" t="n">
        <v>50</v>
      </c>
      <c r="O185" s="14" t="s">
        <v>1097</v>
      </c>
      <c r="P185" s="14" t="s">
        <v>84</v>
      </c>
      <c r="Q185" s="15" t="s">
        <v>1089</v>
      </c>
      <c r="R185" s="16" t="s">
        <v>2237</v>
      </c>
      <c r="S185" s="15" t="s">
        <v>2238</v>
      </c>
      <c r="T185" s="15" t="s">
        <v>2238</v>
      </c>
      <c r="U185" s="21" t="s">
        <v>72</v>
      </c>
    </row>
    <row r="186" customFormat="false" ht="15" hidden="false" customHeight="false" outlineLevel="0" collapsed="false">
      <c r="A186" s="15" t="s">
        <v>1082</v>
      </c>
      <c r="B186" s="15" t="s">
        <v>2201</v>
      </c>
      <c r="C186" s="14" t="s">
        <v>2239</v>
      </c>
      <c r="D186" s="14" t="s">
        <v>2240</v>
      </c>
      <c r="E186" s="16" t="s">
        <v>2241</v>
      </c>
      <c r="F186" s="16" t="s">
        <v>2242</v>
      </c>
      <c r="G186" s="23" t="s">
        <v>43</v>
      </c>
      <c r="H186" s="18" t="n">
        <v>4</v>
      </c>
      <c r="I186" s="20" t="n">
        <v>65.37</v>
      </c>
      <c r="J186" s="20" t="n">
        <v>112.73</v>
      </c>
      <c r="K186" s="18" t="n">
        <v>6</v>
      </c>
      <c r="L186" s="18" t="n">
        <v>2</v>
      </c>
      <c r="M186" s="18" t="n">
        <v>324</v>
      </c>
      <c r="N186" s="18" t="n">
        <v>108</v>
      </c>
      <c r="O186" s="14" t="s">
        <v>1097</v>
      </c>
      <c r="P186" s="14" t="s">
        <v>84</v>
      </c>
      <c r="Q186" s="15" t="s">
        <v>1089</v>
      </c>
      <c r="R186" s="16" t="s">
        <v>1863</v>
      </c>
      <c r="S186" s="15" t="s">
        <v>2243</v>
      </c>
      <c r="T186" s="15" t="s">
        <v>2244</v>
      </c>
      <c r="U186" s="21" t="s">
        <v>72</v>
      </c>
    </row>
    <row r="187" customFormat="false" ht="15" hidden="false" customHeight="false" outlineLevel="0" collapsed="false">
      <c r="A187" s="15" t="s">
        <v>1082</v>
      </c>
      <c r="B187" s="15" t="s">
        <v>2201</v>
      </c>
      <c r="C187" s="14" t="s">
        <v>2245</v>
      </c>
      <c r="D187" s="14" t="s">
        <v>2246</v>
      </c>
      <c r="E187" s="16" t="s">
        <v>2247</v>
      </c>
      <c r="F187" s="16" t="s">
        <v>2248</v>
      </c>
      <c r="G187" s="23" t="s">
        <v>43</v>
      </c>
      <c r="H187" s="18" t="n">
        <v>3</v>
      </c>
      <c r="I187" s="20" t="n">
        <v>41.3</v>
      </c>
      <c r="J187" s="20" t="n">
        <v>94.28</v>
      </c>
      <c r="K187" s="18" t="n">
        <v>2</v>
      </c>
      <c r="L187" s="18" t="n">
        <v>1</v>
      </c>
      <c r="M187" s="18" t="n">
        <v>26</v>
      </c>
      <c r="N187" s="18" t="n">
        <v>26</v>
      </c>
      <c r="O187" s="14" t="s">
        <v>1097</v>
      </c>
      <c r="P187" s="14" t="s">
        <v>84</v>
      </c>
      <c r="Q187" s="15" t="s">
        <v>1089</v>
      </c>
      <c r="R187" s="16" t="s">
        <v>2249</v>
      </c>
      <c r="S187" s="15" t="s">
        <v>2250</v>
      </c>
      <c r="T187" s="15" t="s">
        <v>2251</v>
      </c>
      <c r="U187" s="21" t="s">
        <v>72</v>
      </c>
    </row>
    <row r="188" customFormat="false" ht="15" hidden="false" customHeight="false" outlineLevel="0" collapsed="false">
      <c r="A188" s="15" t="s">
        <v>1082</v>
      </c>
      <c r="B188" s="15" t="s">
        <v>2201</v>
      </c>
      <c r="C188" s="14" t="s">
        <v>2252</v>
      </c>
      <c r="D188" s="14" t="s">
        <v>2253</v>
      </c>
      <c r="E188" s="16" t="s">
        <v>2254</v>
      </c>
      <c r="F188" s="16" t="s">
        <v>2255</v>
      </c>
      <c r="G188" s="23" t="s">
        <v>43</v>
      </c>
      <c r="H188" s="18" t="n">
        <v>3</v>
      </c>
      <c r="I188" s="20" t="n">
        <v>81.49</v>
      </c>
      <c r="J188" s="20" t="n">
        <v>143.78</v>
      </c>
      <c r="K188" s="18" t="n">
        <v>8</v>
      </c>
      <c r="L188" s="18" t="n">
        <v>1</v>
      </c>
      <c r="M188" s="18" t="n">
        <v>480</v>
      </c>
      <c r="N188" s="18" t="n">
        <v>240</v>
      </c>
      <c r="O188" s="14" t="s">
        <v>1097</v>
      </c>
      <c r="P188" s="14" t="s">
        <v>118</v>
      </c>
      <c r="Q188" s="15" t="s">
        <v>1089</v>
      </c>
      <c r="R188" s="16" t="s">
        <v>1772</v>
      </c>
      <c r="S188" s="15" t="s">
        <v>2256</v>
      </c>
      <c r="T188" s="15" t="s">
        <v>2256</v>
      </c>
      <c r="U188" s="21" t="s">
        <v>72</v>
      </c>
    </row>
    <row r="189" customFormat="false" ht="15" hidden="false" customHeight="false" outlineLevel="0" collapsed="false">
      <c r="A189" s="15" t="s">
        <v>1082</v>
      </c>
      <c r="B189" s="15" t="s">
        <v>2201</v>
      </c>
      <c r="C189" s="14" t="s">
        <v>2257</v>
      </c>
      <c r="D189" s="14" t="s">
        <v>2258</v>
      </c>
      <c r="E189" s="16" t="s">
        <v>2259</v>
      </c>
      <c r="F189" s="16" t="s">
        <v>2260</v>
      </c>
      <c r="G189" s="23" t="s">
        <v>43</v>
      </c>
      <c r="H189" s="18" t="n">
        <v>4</v>
      </c>
      <c r="I189" s="20" t="n">
        <v>67.43</v>
      </c>
      <c r="J189" s="20" t="n">
        <v>126.21</v>
      </c>
      <c r="K189" s="18" t="n">
        <v>12</v>
      </c>
      <c r="L189" s="18" t="n">
        <v>15</v>
      </c>
      <c r="M189" s="18" t="n">
        <v>672</v>
      </c>
      <c r="N189" s="18" t="n">
        <v>224</v>
      </c>
      <c r="O189" s="14" t="s">
        <v>1097</v>
      </c>
      <c r="P189" s="14" t="s">
        <v>118</v>
      </c>
      <c r="Q189" s="15" t="s">
        <v>1089</v>
      </c>
      <c r="R189" s="16" t="s">
        <v>1634</v>
      </c>
      <c r="S189" s="15" t="s">
        <v>2261</v>
      </c>
      <c r="T189" s="15" t="s">
        <v>2261</v>
      </c>
      <c r="U189" s="21" t="s">
        <v>72</v>
      </c>
    </row>
    <row r="190" customFormat="false" ht="15" hidden="false" customHeight="false" outlineLevel="0" collapsed="false">
      <c r="A190" s="15" t="s">
        <v>1082</v>
      </c>
      <c r="B190" s="15" t="s">
        <v>2201</v>
      </c>
      <c r="C190" s="14" t="s">
        <v>2262</v>
      </c>
      <c r="D190" s="14" t="s">
        <v>2263</v>
      </c>
      <c r="E190" s="16" t="s">
        <v>2264</v>
      </c>
      <c r="F190" s="16" t="s">
        <v>2265</v>
      </c>
      <c r="G190" s="19" t="s">
        <v>41</v>
      </c>
      <c r="H190" s="18" t="n">
        <v>5</v>
      </c>
      <c r="I190" s="20" t="n">
        <v>126.47</v>
      </c>
      <c r="J190" s="20" t="n">
        <v>193.24</v>
      </c>
      <c r="K190" s="18" t="n">
        <v>15</v>
      </c>
      <c r="L190" s="18" t="n">
        <v>5</v>
      </c>
      <c r="M190" s="18" t="n">
        <v>180</v>
      </c>
      <c r="N190" s="18" t="n">
        <v>36</v>
      </c>
      <c r="O190" s="14" t="s">
        <v>1088</v>
      </c>
      <c r="P190" s="14" t="s">
        <v>84</v>
      </c>
      <c r="Q190" s="15" t="s">
        <v>1089</v>
      </c>
      <c r="R190" s="16" t="s">
        <v>1745</v>
      </c>
      <c r="S190" s="15" t="s">
        <v>2266</v>
      </c>
      <c r="T190" s="15" t="s">
        <v>2266</v>
      </c>
      <c r="U190" s="21" t="s">
        <v>72</v>
      </c>
    </row>
    <row r="191" customFormat="false" ht="15" hidden="false" customHeight="false" outlineLevel="0" collapsed="false">
      <c r="A191" s="15" t="s">
        <v>1082</v>
      </c>
      <c r="B191" s="15" t="s">
        <v>2201</v>
      </c>
      <c r="C191" s="14" t="s">
        <v>2267</v>
      </c>
      <c r="D191" s="14" t="s">
        <v>2268</v>
      </c>
      <c r="E191" s="16" t="s">
        <v>2269</v>
      </c>
      <c r="F191" s="16" t="s">
        <v>2270</v>
      </c>
      <c r="G191" s="25" t="s">
        <v>39</v>
      </c>
      <c r="H191" s="18" t="n">
        <v>11</v>
      </c>
      <c r="I191" s="20" t="n">
        <v>131.53</v>
      </c>
      <c r="J191" s="20" t="n">
        <v>181.54</v>
      </c>
      <c r="K191" s="18" t="n">
        <v>3</v>
      </c>
      <c r="L191" s="18" t="n">
        <v>24</v>
      </c>
      <c r="M191" s="18" t="n">
        <v>180</v>
      </c>
      <c r="N191" s="18" t="n">
        <v>60</v>
      </c>
      <c r="O191" s="14" t="s">
        <v>1097</v>
      </c>
      <c r="P191" s="14" t="s">
        <v>84</v>
      </c>
      <c r="Q191" s="15" t="s">
        <v>1089</v>
      </c>
      <c r="R191" s="16" t="s">
        <v>2271</v>
      </c>
      <c r="S191" s="15" t="s">
        <v>2272</v>
      </c>
      <c r="T191" s="15" t="s">
        <v>2273</v>
      </c>
      <c r="U191" s="21" t="s">
        <v>72</v>
      </c>
    </row>
    <row r="192" customFormat="false" ht="15" hidden="false" customHeight="false" outlineLevel="0" collapsed="false">
      <c r="A192" s="15" t="s">
        <v>1082</v>
      </c>
      <c r="B192" s="15" t="s">
        <v>2201</v>
      </c>
      <c r="C192" s="14" t="s">
        <v>2274</v>
      </c>
      <c r="D192" s="14" t="s">
        <v>2275</v>
      </c>
      <c r="E192" s="16" t="s">
        <v>2276</v>
      </c>
      <c r="F192" s="16" t="s">
        <v>2277</v>
      </c>
      <c r="G192" s="23" t="s">
        <v>43</v>
      </c>
      <c r="H192" s="18" t="n">
        <v>4</v>
      </c>
      <c r="I192" s="20" t="n">
        <v>90.9</v>
      </c>
      <c r="J192" s="20" t="n">
        <v>164.3</v>
      </c>
      <c r="K192" s="18" t="n">
        <v>12</v>
      </c>
      <c r="L192" s="18" t="n">
        <v>14</v>
      </c>
      <c r="M192" s="18" t="n">
        <v>720</v>
      </c>
      <c r="N192" s="18" t="n">
        <v>240</v>
      </c>
      <c r="O192" s="14" t="s">
        <v>1097</v>
      </c>
      <c r="P192" s="14" t="s">
        <v>84</v>
      </c>
      <c r="Q192" s="15" t="s">
        <v>1089</v>
      </c>
      <c r="R192" s="16" t="s">
        <v>2278</v>
      </c>
      <c r="S192" s="15" t="s">
        <v>2279</v>
      </c>
      <c r="T192" s="15" t="s">
        <v>2280</v>
      </c>
      <c r="U192" s="21" t="s">
        <v>72</v>
      </c>
    </row>
    <row r="193" customFormat="false" ht="15" hidden="false" customHeight="false" outlineLevel="0" collapsed="false">
      <c r="A193" s="15" t="s">
        <v>1082</v>
      </c>
      <c r="B193" s="15" t="s">
        <v>2201</v>
      </c>
      <c r="C193" s="14" t="s">
        <v>2281</v>
      </c>
      <c r="D193" s="14" t="s">
        <v>2282</v>
      </c>
      <c r="E193" s="16" t="s">
        <v>2283</v>
      </c>
      <c r="F193" s="16" t="s">
        <v>2284</v>
      </c>
      <c r="G193" s="23" t="s">
        <v>43</v>
      </c>
      <c r="H193" s="18" t="n">
        <v>2</v>
      </c>
      <c r="I193" s="20" t="n">
        <v>41.52</v>
      </c>
      <c r="J193" s="20" t="n">
        <v>100.01</v>
      </c>
      <c r="K193" s="18" t="n">
        <v>20</v>
      </c>
      <c r="L193" s="18" t="n">
        <v>3</v>
      </c>
      <c r="M193" s="18" t="n">
        <v>680</v>
      </c>
      <c r="N193" s="18" t="n">
        <v>136</v>
      </c>
      <c r="O193" s="14" t="s">
        <v>1097</v>
      </c>
      <c r="P193" s="14" t="s">
        <v>118</v>
      </c>
      <c r="Q193" s="15" t="s">
        <v>1089</v>
      </c>
      <c r="R193" s="16" t="s">
        <v>2285</v>
      </c>
      <c r="S193" s="15" t="s">
        <v>2286</v>
      </c>
      <c r="T193" s="15" t="s">
        <v>2287</v>
      </c>
      <c r="U193" s="21" t="s">
        <v>72</v>
      </c>
    </row>
    <row r="194" customFormat="false" ht="15" hidden="false" customHeight="false" outlineLevel="0" collapsed="false">
      <c r="A194" s="15" t="s">
        <v>1082</v>
      </c>
      <c r="B194" s="15" t="s">
        <v>2201</v>
      </c>
      <c r="C194" s="14" t="s">
        <v>2288</v>
      </c>
      <c r="D194" s="14" t="s">
        <v>2289</v>
      </c>
      <c r="E194" s="16" t="s">
        <v>2290</v>
      </c>
      <c r="F194" s="16" t="s">
        <v>2291</v>
      </c>
      <c r="G194" s="23" t="s">
        <v>43</v>
      </c>
      <c r="H194" s="18" t="n">
        <v>4</v>
      </c>
      <c r="I194" s="20" t="n">
        <v>75.02</v>
      </c>
      <c r="J194" s="20" t="n">
        <v>161.14</v>
      </c>
      <c r="K194" s="18" t="n">
        <v>10</v>
      </c>
      <c r="L194" s="18" t="n">
        <v>7</v>
      </c>
      <c r="M194" s="18" t="n">
        <v>600</v>
      </c>
      <c r="N194" s="18" t="n">
        <v>120</v>
      </c>
      <c r="O194" s="14" t="s">
        <v>1097</v>
      </c>
      <c r="P194" s="14" t="s">
        <v>118</v>
      </c>
      <c r="Q194" s="15" t="s">
        <v>1089</v>
      </c>
      <c r="R194" s="16" t="s">
        <v>1500</v>
      </c>
      <c r="S194" s="15" t="s">
        <v>2292</v>
      </c>
      <c r="T194" s="15" t="s">
        <v>2293</v>
      </c>
      <c r="U194" s="21" t="s">
        <v>72</v>
      </c>
    </row>
    <row r="195" customFormat="false" ht="15" hidden="false" customHeight="false" outlineLevel="0" collapsed="false">
      <c r="A195" s="15" t="s">
        <v>1082</v>
      </c>
      <c r="B195" s="15" t="s">
        <v>2201</v>
      </c>
      <c r="C195" s="14" t="s">
        <v>2294</v>
      </c>
      <c r="D195" s="14" t="s">
        <v>2295</v>
      </c>
      <c r="E195" s="16" t="s">
        <v>2296</v>
      </c>
      <c r="F195" s="16" t="s">
        <v>2297</v>
      </c>
      <c r="G195" s="23" t="s">
        <v>43</v>
      </c>
      <c r="H195" s="18" t="n">
        <v>2</v>
      </c>
      <c r="I195" s="20" t="n">
        <v>34.08</v>
      </c>
      <c r="J195" s="20" t="n">
        <v>92.93</v>
      </c>
      <c r="K195" s="18" t="n">
        <v>3</v>
      </c>
      <c r="L195" s="18" t="n">
        <v>1</v>
      </c>
      <c r="M195" s="18" t="n">
        <v>84</v>
      </c>
      <c r="N195" s="18" t="n">
        <v>84</v>
      </c>
      <c r="O195" s="14" t="s">
        <v>1088</v>
      </c>
      <c r="P195" s="14" t="s">
        <v>84</v>
      </c>
      <c r="Q195" s="15" t="s">
        <v>1089</v>
      </c>
      <c r="R195" s="16" t="s">
        <v>2298</v>
      </c>
      <c r="S195" s="15" t="s">
        <v>2299</v>
      </c>
      <c r="T195" s="15" t="s">
        <v>2299</v>
      </c>
      <c r="U195" s="21" t="s">
        <v>72</v>
      </c>
    </row>
    <row r="196" customFormat="false" ht="15" hidden="false" customHeight="false" outlineLevel="0" collapsed="false">
      <c r="A196" s="15" t="s">
        <v>1082</v>
      </c>
      <c r="B196" s="15" t="s">
        <v>2201</v>
      </c>
      <c r="C196" s="14" t="s">
        <v>2300</v>
      </c>
      <c r="D196" s="14" t="s">
        <v>2301</v>
      </c>
      <c r="E196" s="16" t="s">
        <v>2302</v>
      </c>
      <c r="F196" s="16" t="s">
        <v>2303</v>
      </c>
      <c r="G196" s="23" t="s">
        <v>43</v>
      </c>
      <c r="H196" s="18" t="n">
        <v>1</v>
      </c>
      <c r="I196" s="20" t="n">
        <v>31.53</v>
      </c>
      <c r="J196" s="20" t="n">
        <v>74.71</v>
      </c>
      <c r="K196" s="18" t="n">
        <v>3</v>
      </c>
      <c r="L196" s="18" t="n">
        <v>2</v>
      </c>
      <c r="M196" s="18" t="n">
        <v>114</v>
      </c>
      <c r="N196" s="18" t="n">
        <v>38</v>
      </c>
      <c r="O196" s="14" t="s">
        <v>1126</v>
      </c>
      <c r="P196" s="14" t="s">
        <v>118</v>
      </c>
      <c r="Q196" s="15" t="s">
        <v>1089</v>
      </c>
      <c r="R196" s="16" t="s">
        <v>1186</v>
      </c>
      <c r="S196" s="15" t="s">
        <v>2304</v>
      </c>
      <c r="T196" s="15" t="s">
        <v>2304</v>
      </c>
      <c r="U196" s="21" t="s">
        <v>72</v>
      </c>
    </row>
    <row r="197" customFormat="false" ht="15" hidden="false" customHeight="false" outlineLevel="0" collapsed="false">
      <c r="A197" s="15" t="s">
        <v>1082</v>
      </c>
      <c r="B197" s="15" t="s">
        <v>2201</v>
      </c>
      <c r="C197" s="14" t="s">
        <v>2305</v>
      </c>
      <c r="D197" s="14" t="s">
        <v>2306</v>
      </c>
      <c r="E197" s="16" t="s">
        <v>2307</v>
      </c>
      <c r="F197" s="16" t="s">
        <v>2308</v>
      </c>
      <c r="G197" s="23" t="s">
        <v>43</v>
      </c>
      <c r="H197" s="18" t="n">
        <v>2</v>
      </c>
      <c r="I197" s="20" t="n">
        <v>36.12</v>
      </c>
      <c r="J197" s="20" t="n">
        <v>78.6</v>
      </c>
      <c r="K197" s="18" t="n">
        <v>12</v>
      </c>
      <c r="L197" s="18" t="n">
        <v>3</v>
      </c>
      <c r="M197" s="18" t="n">
        <v>360</v>
      </c>
      <c r="N197" s="18" t="n">
        <v>120</v>
      </c>
      <c r="O197" s="14" t="s">
        <v>1126</v>
      </c>
      <c r="P197" s="14" t="s">
        <v>84</v>
      </c>
      <c r="Q197" s="15" t="s">
        <v>1089</v>
      </c>
      <c r="R197" s="16" t="s">
        <v>2309</v>
      </c>
      <c r="S197" s="15" t="s">
        <v>2310</v>
      </c>
      <c r="T197" s="15" t="s">
        <v>2311</v>
      </c>
      <c r="U197" s="21" t="s">
        <v>72</v>
      </c>
    </row>
    <row r="198" customFormat="false" ht="15" hidden="false" customHeight="false" outlineLevel="0" collapsed="false">
      <c r="A198" s="15" t="s">
        <v>1082</v>
      </c>
      <c r="B198" s="15" t="s">
        <v>2201</v>
      </c>
      <c r="C198" s="14" t="s">
        <v>2312</v>
      </c>
      <c r="D198" s="14" t="s">
        <v>2313</v>
      </c>
      <c r="E198" s="16" t="s">
        <v>2314</v>
      </c>
      <c r="F198" s="16"/>
      <c r="G198" s="23" t="s">
        <v>43</v>
      </c>
      <c r="H198" s="18" t="n">
        <v>3</v>
      </c>
      <c r="I198" s="20" t="n">
        <v>37.9</v>
      </c>
      <c r="J198" s="20" t="n">
        <v>91.2</v>
      </c>
      <c r="K198" s="18" t="n">
        <v>18</v>
      </c>
      <c r="L198" s="18" t="n">
        <v>4</v>
      </c>
      <c r="M198" s="18" t="n">
        <v>558</v>
      </c>
      <c r="N198" s="18" t="n">
        <v>93</v>
      </c>
      <c r="O198" s="14" t="s">
        <v>1126</v>
      </c>
      <c r="P198" s="14" t="s">
        <v>118</v>
      </c>
      <c r="Q198" s="15" t="s">
        <v>1089</v>
      </c>
      <c r="R198" s="16" t="s">
        <v>2315</v>
      </c>
      <c r="S198" s="15" t="s">
        <v>2316</v>
      </c>
      <c r="T198" s="15" t="s">
        <v>2317</v>
      </c>
      <c r="U198" s="21" t="s">
        <v>72</v>
      </c>
    </row>
    <row r="199" customFormat="false" ht="15" hidden="false" customHeight="false" outlineLevel="0" collapsed="false">
      <c r="A199" s="15" t="s">
        <v>1082</v>
      </c>
      <c r="B199" s="15" t="s">
        <v>2201</v>
      </c>
      <c r="C199" s="14" t="s">
        <v>2318</v>
      </c>
      <c r="D199" s="14" t="s">
        <v>2319</v>
      </c>
      <c r="E199" s="16" t="s">
        <v>2320</v>
      </c>
      <c r="F199" s="16" t="s">
        <v>2321</v>
      </c>
      <c r="G199" s="19" t="s">
        <v>41</v>
      </c>
      <c r="H199" s="18" t="n">
        <v>5</v>
      </c>
      <c r="I199" s="20" t="n">
        <v>85.19</v>
      </c>
      <c r="J199" s="20" t="n">
        <v>160.8</v>
      </c>
      <c r="K199" s="18" t="n">
        <v>12</v>
      </c>
      <c r="L199" s="18" t="n">
        <v>7</v>
      </c>
      <c r="M199" s="18" t="n">
        <v>720</v>
      </c>
      <c r="N199" s="18" t="n">
        <v>180</v>
      </c>
      <c r="O199" s="14" t="s">
        <v>1097</v>
      </c>
      <c r="P199" s="14" t="s">
        <v>118</v>
      </c>
      <c r="Q199" s="15" t="s">
        <v>1089</v>
      </c>
      <c r="R199" s="16" t="s">
        <v>1228</v>
      </c>
      <c r="S199" s="15" t="s">
        <v>2322</v>
      </c>
      <c r="T199" s="15" t="s">
        <v>2322</v>
      </c>
      <c r="U199" s="21" t="s">
        <v>72</v>
      </c>
    </row>
    <row r="200" customFormat="false" ht="15" hidden="false" customHeight="false" outlineLevel="0" collapsed="false">
      <c r="A200" s="15" t="s">
        <v>1082</v>
      </c>
      <c r="B200" s="15" t="s">
        <v>2201</v>
      </c>
      <c r="C200" s="14" t="s">
        <v>2323</v>
      </c>
      <c r="D200" s="14" t="s">
        <v>2324</v>
      </c>
      <c r="E200" s="16" t="s">
        <v>2325</v>
      </c>
      <c r="F200" s="16"/>
      <c r="G200" s="23" t="s">
        <v>43</v>
      </c>
      <c r="H200" s="18" t="n">
        <v>3</v>
      </c>
      <c r="I200" s="20" t="n">
        <v>79.8</v>
      </c>
      <c r="J200" s="20" t="n">
        <v>151.38</v>
      </c>
      <c r="K200" s="18" t="n">
        <v>7</v>
      </c>
      <c r="L200" s="18" t="n">
        <v>3</v>
      </c>
      <c r="M200" s="18" t="n">
        <v>420</v>
      </c>
      <c r="N200" s="18" t="n">
        <v>420</v>
      </c>
      <c r="O200" s="14" t="s">
        <v>1126</v>
      </c>
      <c r="P200" s="14" t="s">
        <v>84</v>
      </c>
      <c r="Q200" s="15" t="s">
        <v>1089</v>
      </c>
      <c r="R200" s="16" t="s">
        <v>682</v>
      </c>
      <c r="S200" s="15" t="s">
        <v>2326</v>
      </c>
      <c r="T200" s="15" t="s">
        <v>2327</v>
      </c>
      <c r="U200" s="21" t="s">
        <v>72</v>
      </c>
    </row>
    <row r="201" customFormat="false" ht="15" hidden="false" customHeight="false" outlineLevel="0" collapsed="false">
      <c r="A201" s="15" t="s">
        <v>1082</v>
      </c>
      <c r="B201" s="15" t="s">
        <v>2201</v>
      </c>
      <c r="C201" s="14" t="s">
        <v>2328</v>
      </c>
      <c r="D201" s="14" t="s">
        <v>2329</v>
      </c>
      <c r="E201" s="16" t="s">
        <v>2330</v>
      </c>
      <c r="F201" s="16" t="s">
        <v>2331</v>
      </c>
      <c r="G201" s="23" t="s">
        <v>43</v>
      </c>
      <c r="H201" s="18" t="n">
        <v>3</v>
      </c>
      <c r="I201" s="20" t="n">
        <v>46.77</v>
      </c>
      <c r="J201" s="20" t="n">
        <v>99.66</v>
      </c>
      <c r="K201" s="18" t="n">
        <v>8</v>
      </c>
      <c r="L201" s="18" t="n">
        <v>10</v>
      </c>
      <c r="M201" s="18" t="n">
        <v>304</v>
      </c>
      <c r="N201" s="18" t="n">
        <v>38</v>
      </c>
      <c r="O201" s="14" t="s">
        <v>1097</v>
      </c>
      <c r="P201" s="14" t="s">
        <v>84</v>
      </c>
      <c r="Q201" s="15" t="s">
        <v>1089</v>
      </c>
      <c r="R201" s="16" t="s">
        <v>2332</v>
      </c>
      <c r="S201" s="15" t="s">
        <v>2333</v>
      </c>
      <c r="T201" s="15" t="s">
        <v>2334</v>
      </c>
      <c r="U201" s="21" t="s">
        <v>72</v>
      </c>
    </row>
    <row r="202" customFormat="false" ht="15" hidden="false" customHeight="false" outlineLevel="0" collapsed="false">
      <c r="A202" s="15" t="s">
        <v>1082</v>
      </c>
      <c r="B202" s="15" t="s">
        <v>2201</v>
      </c>
      <c r="C202" s="14" t="s">
        <v>2335</v>
      </c>
      <c r="D202" s="14" t="s">
        <v>2336</v>
      </c>
      <c r="E202" s="16" t="s">
        <v>2337</v>
      </c>
      <c r="F202" s="16" t="s">
        <v>2338</v>
      </c>
      <c r="G202" s="19" t="s">
        <v>41</v>
      </c>
      <c r="H202" s="18" t="n">
        <v>5</v>
      </c>
      <c r="I202" s="20" t="n">
        <v>146.53</v>
      </c>
      <c r="J202" s="20" t="n">
        <v>194.97</v>
      </c>
      <c r="K202" s="18" t="n">
        <v>7</v>
      </c>
      <c r="L202" s="18" t="n">
        <v>22</v>
      </c>
      <c r="M202" s="18" t="n">
        <v>154</v>
      </c>
      <c r="N202" s="18" t="n">
        <v>154</v>
      </c>
      <c r="O202" s="14" t="s">
        <v>1097</v>
      </c>
      <c r="P202" s="14" t="s">
        <v>84</v>
      </c>
      <c r="Q202" s="15" t="s">
        <v>1089</v>
      </c>
      <c r="R202" s="16" t="s">
        <v>2278</v>
      </c>
      <c r="S202" s="15" t="s">
        <v>2339</v>
      </c>
      <c r="T202" s="15" t="s">
        <v>2339</v>
      </c>
      <c r="U202" s="21" t="s">
        <v>72</v>
      </c>
    </row>
    <row r="203" customFormat="false" ht="15" hidden="false" customHeight="false" outlineLevel="0" collapsed="false">
      <c r="A203" s="15" t="s">
        <v>1082</v>
      </c>
      <c r="B203" s="15" t="s">
        <v>2201</v>
      </c>
      <c r="C203" s="14" t="s">
        <v>2340</v>
      </c>
      <c r="D203" s="14" t="s">
        <v>2341</v>
      </c>
      <c r="E203" s="16" t="s">
        <v>2342</v>
      </c>
      <c r="F203" s="16" t="s">
        <v>2343</v>
      </c>
      <c r="G203" s="23" t="s">
        <v>43</v>
      </c>
      <c r="H203" s="18" t="n">
        <v>3</v>
      </c>
      <c r="I203" s="20" t="n">
        <v>51.38</v>
      </c>
      <c r="J203" s="20" t="n">
        <v>112.31</v>
      </c>
      <c r="K203" s="18" t="n">
        <v>5</v>
      </c>
      <c r="L203" s="18" t="n">
        <v>4</v>
      </c>
      <c r="M203" s="18" t="n">
        <v>85</v>
      </c>
      <c r="N203" s="18" t="n">
        <v>85</v>
      </c>
      <c r="O203" s="14" t="s">
        <v>1126</v>
      </c>
      <c r="P203" s="14" t="s">
        <v>84</v>
      </c>
      <c r="Q203" s="15" t="s">
        <v>1089</v>
      </c>
      <c r="R203" s="16" t="s">
        <v>2344</v>
      </c>
      <c r="S203" s="15" t="s">
        <v>2345</v>
      </c>
      <c r="T203" s="15" t="s">
        <v>2346</v>
      </c>
      <c r="U203" s="21" t="s">
        <v>72</v>
      </c>
    </row>
    <row r="204" customFormat="false" ht="15" hidden="false" customHeight="false" outlineLevel="0" collapsed="false">
      <c r="A204" s="15" t="s">
        <v>1082</v>
      </c>
      <c r="B204" s="15" t="s">
        <v>2201</v>
      </c>
      <c r="C204" s="14" t="s">
        <v>2347</v>
      </c>
      <c r="D204" s="14" t="s">
        <v>2348</v>
      </c>
      <c r="E204" s="16" t="s">
        <v>2349</v>
      </c>
      <c r="F204" s="16" t="s">
        <v>2350</v>
      </c>
      <c r="G204" s="19" t="s">
        <v>41</v>
      </c>
      <c r="H204" s="18" t="n">
        <v>5</v>
      </c>
      <c r="I204" s="20" t="n">
        <v>93.99</v>
      </c>
      <c r="J204" s="20" t="n">
        <v>188.57</v>
      </c>
      <c r="K204" s="18" t="n">
        <v>5</v>
      </c>
      <c r="L204" s="18" t="n">
        <v>5</v>
      </c>
      <c r="M204" s="18" t="n">
        <v>300</v>
      </c>
      <c r="N204" s="18" t="n">
        <v>60</v>
      </c>
      <c r="O204" s="14" t="s">
        <v>1097</v>
      </c>
      <c r="P204" s="14" t="s">
        <v>84</v>
      </c>
      <c r="Q204" s="15" t="s">
        <v>1089</v>
      </c>
      <c r="R204" s="16" t="s">
        <v>1733</v>
      </c>
      <c r="S204" s="15" t="s">
        <v>2351</v>
      </c>
      <c r="T204" s="15" t="s">
        <v>2352</v>
      </c>
      <c r="U204" s="21" t="s">
        <v>72</v>
      </c>
    </row>
    <row r="205" customFormat="false" ht="15" hidden="false" customHeight="false" outlineLevel="0" collapsed="false">
      <c r="A205" s="15" t="s">
        <v>1082</v>
      </c>
      <c r="B205" s="15" t="s">
        <v>2201</v>
      </c>
      <c r="C205" s="14" t="s">
        <v>2353</v>
      </c>
      <c r="D205" s="14" t="s">
        <v>2354</v>
      </c>
      <c r="E205" s="16" t="s">
        <v>2355</v>
      </c>
      <c r="F205" s="16" t="s">
        <v>1790</v>
      </c>
      <c r="G205" s="19" t="s">
        <v>41</v>
      </c>
      <c r="H205" s="18" t="n">
        <v>5</v>
      </c>
      <c r="I205" s="20" t="n">
        <v>144.98</v>
      </c>
      <c r="J205" s="20" t="n">
        <v>199.06</v>
      </c>
      <c r="K205" s="18" t="n">
        <v>5</v>
      </c>
      <c r="L205" s="18" t="n">
        <v>29</v>
      </c>
      <c r="M205" s="18" t="n">
        <v>300</v>
      </c>
      <c r="N205" s="18" t="n">
        <v>300</v>
      </c>
      <c r="O205" s="14" t="s">
        <v>1088</v>
      </c>
      <c r="P205" s="14" t="s">
        <v>84</v>
      </c>
      <c r="Q205" s="15" t="s">
        <v>1089</v>
      </c>
      <c r="R205" s="16" t="s">
        <v>2356</v>
      </c>
      <c r="S205" s="15" t="s">
        <v>2357</v>
      </c>
      <c r="T205" s="15" t="s">
        <v>2358</v>
      </c>
      <c r="U205" s="21" t="s">
        <v>72</v>
      </c>
    </row>
    <row r="206" customFormat="false" ht="15" hidden="false" customHeight="false" outlineLevel="0" collapsed="false">
      <c r="A206" s="15" t="s">
        <v>1082</v>
      </c>
      <c r="B206" s="15" t="s">
        <v>2201</v>
      </c>
      <c r="C206" s="14" t="s">
        <v>2359</v>
      </c>
      <c r="D206" s="14" t="s">
        <v>2360</v>
      </c>
      <c r="E206" s="16" t="s">
        <v>2361</v>
      </c>
      <c r="F206" s="16" t="s">
        <v>1790</v>
      </c>
      <c r="G206" s="23" t="s">
        <v>43</v>
      </c>
      <c r="H206" s="18" t="n">
        <v>3</v>
      </c>
      <c r="I206" s="20" t="n">
        <v>89</v>
      </c>
      <c r="J206" s="20" t="n">
        <v>145.5</v>
      </c>
      <c r="K206" s="18" t="n">
        <v>3</v>
      </c>
      <c r="L206" s="18" t="n">
        <v>26</v>
      </c>
      <c r="M206" s="18" t="n">
        <v>180</v>
      </c>
      <c r="N206" s="18" t="n">
        <v>180</v>
      </c>
      <c r="O206" s="14" t="s">
        <v>1097</v>
      </c>
      <c r="P206" s="14" t="s">
        <v>118</v>
      </c>
      <c r="Q206" s="15" t="s">
        <v>1089</v>
      </c>
      <c r="R206" s="16" t="s">
        <v>2362</v>
      </c>
      <c r="S206" s="15" t="s">
        <v>2363</v>
      </c>
      <c r="T206" s="15" t="s">
        <v>2364</v>
      </c>
      <c r="U206" s="21" t="s">
        <v>72</v>
      </c>
    </row>
    <row r="207" customFormat="false" ht="26.85" hidden="false" customHeight="false" outlineLevel="0" collapsed="false">
      <c r="A207" s="15" t="s">
        <v>1082</v>
      </c>
      <c r="B207" s="15" t="s">
        <v>2201</v>
      </c>
      <c r="C207" s="14" t="s">
        <v>2365</v>
      </c>
      <c r="D207" s="14" t="s">
        <v>2366</v>
      </c>
      <c r="E207" s="16" t="s">
        <v>2367</v>
      </c>
      <c r="F207" s="16" t="s">
        <v>2368</v>
      </c>
      <c r="G207" s="23" t="s">
        <v>43</v>
      </c>
      <c r="H207" s="18" t="n">
        <v>3</v>
      </c>
      <c r="I207" s="20" t="n">
        <v>172.08</v>
      </c>
      <c r="J207" s="20" t="n">
        <v>198.86</v>
      </c>
      <c r="K207" s="18" t="n">
        <v>16</v>
      </c>
      <c r="L207" s="18" t="n">
        <v>10</v>
      </c>
      <c r="M207" s="18" t="n">
        <v>960</v>
      </c>
      <c r="N207" s="18" t="n">
        <v>240</v>
      </c>
      <c r="O207" s="14" t="s">
        <v>1097</v>
      </c>
      <c r="P207" s="14" t="s">
        <v>1716</v>
      </c>
      <c r="Q207" s="15" t="s">
        <v>1089</v>
      </c>
      <c r="R207" s="16" t="s">
        <v>1916</v>
      </c>
      <c r="S207" s="15" t="s">
        <v>1807</v>
      </c>
      <c r="T207" s="15" t="s">
        <v>2369</v>
      </c>
      <c r="U207" s="21" t="s">
        <v>72</v>
      </c>
    </row>
    <row r="208" customFormat="false" ht="26.85" hidden="false" customHeight="false" outlineLevel="0" collapsed="false">
      <c r="A208" s="15" t="s">
        <v>1082</v>
      </c>
      <c r="B208" s="15" t="s">
        <v>2370</v>
      </c>
      <c r="C208" s="14" t="s">
        <v>2371</v>
      </c>
      <c r="D208" s="14" t="s">
        <v>2372</v>
      </c>
      <c r="E208" s="16" t="s">
        <v>2373</v>
      </c>
      <c r="F208" s="16" t="s">
        <v>2374</v>
      </c>
      <c r="G208" s="25" t="s">
        <v>39</v>
      </c>
      <c r="H208" s="18" t="n">
        <v>16</v>
      </c>
      <c r="I208" s="20" t="n">
        <v>605.59</v>
      </c>
      <c r="J208" s="20" t="n">
        <v>1429.39</v>
      </c>
      <c r="K208" s="18" t="n">
        <v>11</v>
      </c>
      <c r="L208" s="18" t="n">
        <v>19</v>
      </c>
      <c r="M208" s="18" t="n">
        <v>462</v>
      </c>
      <c r="N208" s="18" t="n">
        <v>42</v>
      </c>
      <c r="O208" s="14" t="s">
        <v>1126</v>
      </c>
      <c r="P208" s="14" t="s">
        <v>1766</v>
      </c>
      <c r="Q208" s="15" t="s">
        <v>1089</v>
      </c>
      <c r="R208" s="16" t="s">
        <v>2375</v>
      </c>
      <c r="S208" s="15" t="s">
        <v>2376</v>
      </c>
      <c r="T208" s="15" t="s">
        <v>2377</v>
      </c>
      <c r="U208" s="21" t="s">
        <v>72</v>
      </c>
    </row>
    <row r="209" customFormat="false" ht="39.55" hidden="false" customHeight="false" outlineLevel="0" collapsed="false">
      <c r="A209" s="15" t="s">
        <v>1082</v>
      </c>
      <c r="B209" s="15" t="s">
        <v>2370</v>
      </c>
      <c r="C209" s="14" t="s">
        <v>2378</v>
      </c>
      <c r="D209" s="14" t="s">
        <v>2379</v>
      </c>
      <c r="E209" s="16" t="s">
        <v>2380</v>
      </c>
      <c r="F209" s="16" t="s">
        <v>2381</v>
      </c>
      <c r="G209" s="25" t="s">
        <v>39</v>
      </c>
      <c r="H209" s="18" t="n">
        <v>10</v>
      </c>
      <c r="I209" s="20" t="n">
        <v>140.3</v>
      </c>
      <c r="J209" s="20" t="n">
        <v>229.73</v>
      </c>
      <c r="K209" s="18" t="n">
        <v>21</v>
      </c>
      <c r="L209" s="18" t="n">
        <v>9</v>
      </c>
      <c r="M209" s="18" t="n">
        <v>420</v>
      </c>
      <c r="N209" s="18" t="n">
        <v>60</v>
      </c>
      <c r="O209" s="14" t="s">
        <v>1088</v>
      </c>
      <c r="P209" s="14" t="s">
        <v>515</v>
      </c>
      <c r="Q209" s="15" t="s">
        <v>1089</v>
      </c>
      <c r="R209" s="16" t="s">
        <v>2382</v>
      </c>
      <c r="S209" s="15" t="s">
        <v>2383</v>
      </c>
      <c r="T209" s="15" t="s">
        <v>2384</v>
      </c>
      <c r="U209" s="21" t="s">
        <v>72</v>
      </c>
    </row>
    <row r="210" customFormat="false" ht="26.85" hidden="false" customHeight="false" outlineLevel="0" collapsed="false">
      <c r="A210" s="15" t="s">
        <v>1082</v>
      </c>
      <c r="B210" s="15" t="s">
        <v>2370</v>
      </c>
      <c r="C210" s="14" t="s">
        <v>2385</v>
      </c>
      <c r="D210" s="14" t="s">
        <v>2386</v>
      </c>
      <c r="E210" s="16" t="s">
        <v>2387</v>
      </c>
      <c r="F210" s="16" t="s">
        <v>2388</v>
      </c>
      <c r="G210" s="23" t="s">
        <v>43</v>
      </c>
      <c r="H210" s="18" t="n">
        <v>2</v>
      </c>
      <c r="I210" s="20" t="n">
        <v>89.45</v>
      </c>
      <c r="J210" s="20" t="n">
        <v>139.72</v>
      </c>
      <c r="K210" s="18" t="n">
        <v>35</v>
      </c>
      <c r="L210" s="18" t="n">
        <v>64</v>
      </c>
      <c r="M210" s="18" t="n">
        <v>2100</v>
      </c>
      <c r="N210" s="18" t="n">
        <v>420</v>
      </c>
      <c r="O210" s="14" t="s">
        <v>1097</v>
      </c>
      <c r="P210" s="14" t="s">
        <v>118</v>
      </c>
      <c r="Q210" s="15" t="s">
        <v>1089</v>
      </c>
      <c r="R210" s="16" t="s">
        <v>2389</v>
      </c>
      <c r="S210" s="15" t="s">
        <v>2390</v>
      </c>
      <c r="T210" s="15" t="s">
        <v>2390</v>
      </c>
      <c r="U210" s="21" t="s">
        <v>72</v>
      </c>
    </row>
    <row r="211" customFormat="false" ht="26.85" hidden="false" customHeight="false" outlineLevel="0" collapsed="false">
      <c r="A211" s="15" t="s">
        <v>1082</v>
      </c>
      <c r="B211" s="15" t="s">
        <v>2370</v>
      </c>
      <c r="C211" s="14" t="s">
        <v>2391</v>
      </c>
      <c r="D211" s="14" t="s">
        <v>2392</v>
      </c>
      <c r="E211" s="16" t="s">
        <v>2393</v>
      </c>
      <c r="F211" s="16" t="s">
        <v>2394</v>
      </c>
      <c r="G211" s="23" t="s">
        <v>43</v>
      </c>
      <c r="H211" s="18" t="n">
        <v>1</v>
      </c>
      <c r="I211" s="20" t="n">
        <v>30.24</v>
      </c>
      <c r="J211" s="20" t="n">
        <v>105.05</v>
      </c>
      <c r="K211" s="18" t="n">
        <v>5</v>
      </c>
      <c r="L211" s="18" t="n">
        <v>2</v>
      </c>
      <c r="M211" s="18" t="n">
        <v>100</v>
      </c>
      <c r="N211" s="18" t="n">
        <v>20</v>
      </c>
      <c r="O211" s="14" t="s">
        <v>1097</v>
      </c>
      <c r="P211" s="14" t="s">
        <v>84</v>
      </c>
      <c r="Q211" s="15" t="s">
        <v>1089</v>
      </c>
      <c r="R211" s="16" t="s">
        <v>2395</v>
      </c>
      <c r="S211" s="15" t="s">
        <v>2396</v>
      </c>
      <c r="T211" s="15" t="s">
        <v>1283</v>
      </c>
      <c r="U211" s="21" t="s">
        <v>72</v>
      </c>
    </row>
    <row r="212" customFormat="false" ht="26.85" hidden="false" customHeight="false" outlineLevel="0" collapsed="false">
      <c r="A212" s="15" t="s">
        <v>1082</v>
      </c>
      <c r="B212" s="15" t="s">
        <v>2370</v>
      </c>
      <c r="C212" s="14" t="s">
        <v>2397</v>
      </c>
      <c r="D212" s="14" t="s">
        <v>2398</v>
      </c>
      <c r="E212" s="16" t="s">
        <v>2399</v>
      </c>
      <c r="F212" s="16" t="s">
        <v>2400</v>
      </c>
      <c r="G212" s="25" t="s">
        <v>39</v>
      </c>
      <c r="H212" s="18" t="n">
        <v>8</v>
      </c>
      <c r="I212" s="20" t="n">
        <v>145.62</v>
      </c>
      <c r="J212" s="20" t="n">
        <v>229.13</v>
      </c>
      <c r="K212" s="18" t="n">
        <v>6</v>
      </c>
      <c r="L212" s="18" t="n">
        <v>8</v>
      </c>
      <c r="M212" s="18" t="n">
        <v>126</v>
      </c>
      <c r="N212" s="18" t="n">
        <v>21</v>
      </c>
      <c r="O212" s="14" t="s">
        <v>1097</v>
      </c>
      <c r="P212" s="14" t="s">
        <v>84</v>
      </c>
      <c r="Q212" s="15" t="s">
        <v>1089</v>
      </c>
      <c r="R212" s="16" t="s">
        <v>1514</v>
      </c>
      <c r="S212" s="15" t="s">
        <v>2401</v>
      </c>
      <c r="T212" s="15" t="s">
        <v>2402</v>
      </c>
      <c r="U212" s="21" t="s">
        <v>72</v>
      </c>
    </row>
    <row r="213" customFormat="false" ht="15" hidden="false" customHeight="false" outlineLevel="0" collapsed="false">
      <c r="A213" s="15" t="s">
        <v>1082</v>
      </c>
      <c r="B213" s="15" t="s">
        <v>2370</v>
      </c>
      <c r="C213" s="14" t="s">
        <v>2403</v>
      </c>
      <c r="D213" s="14" t="s">
        <v>2404</v>
      </c>
      <c r="E213" s="16" t="s">
        <v>2405</v>
      </c>
      <c r="F213" s="16" t="s">
        <v>2406</v>
      </c>
      <c r="G213" s="19" t="s">
        <v>41</v>
      </c>
      <c r="H213" s="18" t="n">
        <v>6</v>
      </c>
      <c r="I213" s="20" t="n">
        <v>123.51</v>
      </c>
      <c r="J213" s="20" t="n">
        <v>188</v>
      </c>
      <c r="K213" s="18" t="n">
        <v>3</v>
      </c>
      <c r="L213" s="18" t="n">
        <v>3</v>
      </c>
      <c r="M213" s="18" t="n">
        <v>150</v>
      </c>
      <c r="N213" s="18" t="n">
        <v>150</v>
      </c>
      <c r="O213" s="14" t="s">
        <v>1126</v>
      </c>
      <c r="P213" s="14" t="s">
        <v>84</v>
      </c>
      <c r="Q213" s="15" t="s">
        <v>1089</v>
      </c>
      <c r="R213" s="16" t="s">
        <v>1127</v>
      </c>
      <c r="S213" s="15" t="s">
        <v>2407</v>
      </c>
      <c r="T213" s="15" t="s">
        <v>2408</v>
      </c>
      <c r="U213" s="21" t="s">
        <v>72</v>
      </c>
    </row>
    <row r="214" customFormat="false" ht="15" hidden="false" customHeight="false" outlineLevel="0" collapsed="false">
      <c r="A214" s="15" t="s">
        <v>1082</v>
      </c>
      <c r="B214" s="15" t="s">
        <v>2370</v>
      </c>
      <c r="C214" s="14" t="s">
        <v>2409</v>
      </c>
      <c r="D214" s="14" t="s">
        <v>2410</v>
      </c>
      <c r="E214" s="16" t="s">
        <v>2411</v>
      </c>
      <c r="F214" s="16" t="s">
        <v>2412</v>
      </c>
      <c r="G214" s="23" t="s">
        <v>43</v>
      </c>
      <c r="H214" s="18" t="n">
        <v>3</v>
      </c>
      <c r="I214" s="20" t="n">
        <v>36.4</v>
      </c>
      <c r="J214" s="20" t="n">
        <v>76.66</v>
      </c>
      <c r="K214" s="18" t="n">
        <v>15</v>
      </c>
      <c r="L214" s="18" t="n">
        <v>9</v>
      </c>
      <c r="M214" s="18" t="n">
        <v>450</v>
      </c>
      <c r="N214" s="18" t="n">
        <v>90</v>
      </c>
      <c r="O214" s="14" t="s">
        <v>1097</v>
      </c>
      <c r="P214" s="14" t="s">
        <v>84</v>
      </c>
      <c r="Q214" s="15" t="s">
        <v>1089</v>
      </c>
      <c r="R214" s="16" t="s">
        <v>2413</v>
      </c>
      <c r="S214" s="15" t="s">
        <v>2414</v>
      </c>
      <c r="T214" s="15" t="s">
        <v>2414</v>
      </c>
      <c r="U214" s="21" t="s">
        <v>72</v>
      </c>
    </row>
    <row r="215" customFormat="false" ht="26.85" hidden="false" customHeight="false" outlineLevel="0" collapsed="false">
      <c r="A215" s="15" t="s">
        <v>1082</v>
      </c>
      <c r="B215" s="15" t="s">
        <v>2415</v>
      </c>
      <c r="C215" s="14" t="s">
        <v>2416</v>
      </c>
      <c r="D215" s="14" t="s">
        <v>2417</v>
      </c>
      <c r="E215" s="16" t="s">
        <v>2418</v>
      </c>
      <c r="F215" s="16" t="s">
        <v>1306</v>
      </c>
      <c r="G215" s="25" t="s">
        <v>39</v>
      </c>
      <c r="H215" s="18" t="n">
        <v>11</v>
      </c>
      <c r="I215" s="20" t="n">
        <v>40.18</v>
      </c>
      <c r="J215" s="20" t="n">
        <v>106.41</v>
      </c>
      <c r="K215" s="18" t="n">
        <v>21</v>
      </c>
      <c r="L215" s="18" t="n">
        <v>58</v>
      </c>
      <c r="M215" s="18" t="n">
        <v>1176</v>
      </c>
      <c r="N215" s="18" t="n">
        <v>168</v>
      </c>
      <c r="O215" s="14" t="s">
        <v>1097</v>
      </c>
      <c r="P215" s="14" t="s">
        <v>84</v>
      </c>
      <c r="Q215" s="15" t="s">
        <v>1089</v>
      </c>
      <c r="R215" s="16" t="s">
        <v>2419</v>
      </c>
      <c r="S215" s="15" t="s">
        <v>2420</v>
      </c>
      <c r="T215" s="15" t="s">
        <v>2421</v>
      </c>
      <c r="U215" s="21" t="s">
        <v>72</v>
      </c>
    </row>
    <row r="216" customFormat="false" ht="26.85" hidden="false" customHeight="false" outlineLevel="0" collapsed="false">
      <c r="A216" s="15" t="s">
        <v>1082</v>
      </c>
      <c r="B216" s="15" t="s">
        <v>2415</v>
      </c>
      <c r="C216" s="14" t="s">
        <v>2422</v>
      </c>
      <c r="D216" s="14" t="s">
        <v>2423</v>
      </c>
      <c r="E216" s="16" t="s">
        <v>2418</v>
      </c>
      <c r="F216" s="16" t="s">
        <v>1306</v>
      </c>
      <c r="G216" s="25" t="s">
        <v>39</v>
      </c>
      <c r="H216" s="18" t="n">
        <v>10</v>
      </c>
      <c r="I216" s="20" t="n">
        <v>67.21</v>
      </c>
      <c r="J216" s="20" t="n">
        <v>127.66</v>
      </c>
      <c r="K216" s="18" t="n">
        <v>21</v>
      </c>
      <c r="L216" s="18" t="n">
        <v>23</v>
      </c>
      <c r="M216" s="18" t="n">
        <v>903</v>
      </c>
      <c r="N216" s="18" t="n">
        <v>129</v>
      </c>
      <c r="O216" s="14" t="s">
        <v>1097</v>
      </c>
      <c r="P216" s="14" t="s">
        <v>84</v>
      </c>
      <c r="Q216" s="15" t="s">
        <v>1089</v>
      </c>
      <c r="R216" s="16" t="s">
        <v>2419</v>
      </c>
      <c r="S216" s="15" t="s">
        <v>2420</v>
      </c>
      <c r="T216" s="15" t="s">
        <v>2424</v>
      </c>
      <c r="U216" s="21" t="s">
        <v>72</v>
      </c>
    </row>
    <row r="217" customFormat="false" ht="26.85" hidden="false" customHeight="false" outlineLevel="0" collapsed="false">
      <c r="A217" s="15" t="s">
        <v>1082</v>
      </c>
      <c r="B217" s="15" t="s">
        <v>2415</v>
      </c>
      <c r="C217" s="14" t="s">
        <v>2425</v>
      </c>
      <c r="D217" s="14" t="s">
        <v>2426</v>
      </c>
      <c r="E217" s="16" t="s">
        <v>2427</v>
      </c>
      <c r="F217" s="16" t="s">
        <v>2428</v>
      </c>
      <c r="G217" s="23" t="s">
        <v>43</v>
      </c>
      <c r="H217" s="18" t="n">
        <v>4</v>
      </c>
      <c r="I217" s="20" t="n">
        <v>64.47</v>
      </c>
      <c r="J217" s="20" t="n">
        <v>104.19</v>
      </c>
      <c r="K217" s="18" t="n">
        <v>8</v>
      </c>
      <c r="L217" s="18" t="n">
        <v>3</v>
      </c>
      <c r="M217" s="18" t="n">
        <v>424</v>
      </c>
      <c r="N217" s="18" t="n">
        <v>212</v>
      </c>
      <c r="O217" s="14" t="s">
        <v>1088</v>
      </c>
      <c r="P217" s="14" t="s">
        <v>84</v>
      </c>
      <c r="Q217" s="15" t="s">
        <v>1089</v>
      </c>
      <c r="R217" s="16" t="s">
        <v>2429</v>
      </c>
      <c r="S217" s="15" t="s">
        <v>2430</v>
      </c>
      <c r="T217" s="15" t="s">
        <v>2430</v>
      </c>
      <c r="U217" s="21" t="s">
        <v>72</v>
      </c>
    </row>
    <row r="218" customFormat="false" ht="26.85" hidden="false" customHeight="false" outlineLevel="0" collapsed="false">
      <c r="A218" s="15" t="s">
        <v>1082</v>
      </c>
      <c r="B218" s="15" t="s">
        <v>2415</v>
      </c>
      <c r="C218" s="14" t="s">
        <v>2431</v>
      </c>
      <c r="D218" s="14" t="s">
        <v>2432</v>
      </c>
      <c r="E218" s="16" t="s">
        <v>2433</v>
      </c>
      <c r="F218" s="16" t="s">
        <v>2434</v>
      </c>
      <c r="G218" s="25" t="s">
        <v>39</v>
      </c>
      <c r="H218" s="18" t="n">
        <v>8</v>
      </c>
      <c r="I218" s="20" t="n">
        <v>54.45</v>
      </c>
      <c r="J218" s="20" t="n">
        <v>126.95</v>
      </c>
      <c r="K218" s="18" t="n">
        <v>12</v>
      </c>
      <c r="L218" s="18" t="n">
        <v>5</v>
      </c>
      <c r="M218" s="18" t="n">
        <v>324</v>
      </c>
      <c r="N218" s="18" t="n">
        <v>54</v>
      </c>
      <c r="O218" s="14" t="s">
        <v>1097</v>
      </c>
      <c r="P218" s="14" t="s">
        <v>84</v>
      </c>
      <c r="Q218" s="15" t="s">
        <v>1089</v>
      </c>
      <c r="R218" s="16" t="s">
        <v>2435</v>
      </c>
      <c r="S218" s="15" t="s">
        <v>2436</v>
      </c>
      <c r="T218" s="15" t="s">
        <v>2437</v>
      </c>
      <c r="U218" s="21" t="s">
        <v>72</v>
      </c>
    </row>
    <row r="219" customFormat="false" ht="26.85" hidden="false" customHeight="false" outlineLevel="0" collapsed="false">
      <c r="A219" s="15" t="s">
        <v>1082</v>
      </c>
      <c r="B219" s="15" t="s">
        <v>2415</v>
      </c>
      <c r="C219" s="14" t="s">
        <v>2438</v>
      </c>
      <c r="D219" s="14" t="s">
        <v>2439</v>
      </c>
      <c r="E219" s="16" t="s">
        <v>2440</v>
      </c>
      <c r="F219" s="16" t="s">
        <v>2441</v>
      </c>
      <c r="G219" s="19" t="s">
        <v>41</v>
      </c>
      <c r="H219" s="18" t="n">
        <v>5</v>
      </c>
      <c r="I219" s="20" t="n">
        <v>78.73</v>
      </c>
      <c r="J219" s="20" t="n">
        <v>138.78</v>
      </c>
      <c r="K219" s="18" t="n">
        <v>20</v>
      </c>
      <c r="L219" s="18" t="n">
        <v>15</v>
      </c>
      <c r="M219" s="18" t="n">
        <v>1680</v>
      </c>
      <c r="N219" s="18" t="n">
        <v>336</v>
      </c>
      <c r="O219" s="14" t="s">
        <v>1088</v>
      </c>
      <c r="P219" s="14" t="s">
        <v>84</v>
      </c>
      <c r="Q219" s="15" t="s">
        <v>1089</v>
      </c>
      <c r="R219" s="16" t="s">
        <v>2442</v>
      </c>
      <c r="S219" s="15" t="s">
        <v>1334</v>
      </c>
      <c r="T219" s="15" t="s">
        <v>2443</v>
      </c>
      <c r="U219" s="21" t="s">
        <v>72</v>
      </c>
    </row>
    <row r="220" customFormat="false" ht="26.85" hidden="false" customHeight="false" outlineLevel="0" collapsed="false">
      <c r="A220" s="15" t="s">
        <v>1082</v>
      </c>
      <c r="B220" s="15" t="s">
        <v>2415</v>
      </c>
      <c r="C220" s="14" t="s">
        <v>2444</v>
      </c>
      <c r="D220" s="14" t="s">
        <v>2445</v>
      </c>
      <c r="E220" s="16" t="s">
        <v>2440</v>
      </c>
      <c r="F220" s="16" t="s">
        <v>2441</v>
      </c>
      <c r="G220" s="23" t="s">
        <v>43</v>
      </c>
      <c r="H220" s="18" t="n">
        <v>3</v>
      </c>
      <c r="I220" s="20" t="n">
        <v>52.94</v>
      </c>
      <c r="J220" s="20" t="n">
        <v>96.82</v>
      </c>
      <c r="K220" s="18" t="n">
        <v>3</v>
      </c>
      <c r="L220" s="18" t="n">
        <v>14</v>
      </c>
      <c r="M220" s="18" t="n">
        <v>132</v>
      </c>
      <c r="N220" s="18" t="n">
        <v>132</v>
      </c>
      <c r="O220" s="14" t="s">
        <v>1088</v>
      </c>
      <c r="P220" s="14" t="s">
        <v>118</v>
      </c>
      <c r="Q220" s="15" t="s">
        <v>1089</v>
      </c>
      <c r="R220" s="16" t="s">
        <v>2446</v>
      </c>
      <c r="S220" s="15" t="s">
        <v>1334</v>
      </c>
      <c r="T220" s="15" t="s">
        <v>2447</v>
      </c>
      <c r="U220" s="21" t="s">
        <v>72</v>
      </c>
    </row>
    <row r="221" customFormat="false" ht="26.85" hidden="false" customHeight="false" outlineLevel="0" collapsed="false">
      <c r="A221" s="15" t="s">
        <v>1082</v>
      </c>
      <c r="B221" s="15" t="s">
        <v>2415</v>
      </c>
      <c r="C221" s="14" t="s">
        <v>2448</v>
      </c>
      <c r="D221" s="14" t="s">
        <v>2449</v>
      </c>
      <c r="E221" s="16" t="s">
        <v>2450</v>
      </c>
      <c r="F221" s="16" t="s">
        <v>2441</v>
      </c>
      <c r="G221" s="25" t="s">
        <v>39</v>
      </c>
      <c r="H221" s="18" t="n">
        <v>8</v>
      </c>
      <c r="I221" s="20" t="n">
        <v>106.49</v>
      </c>
      <c r="J221" s="20" t="n">
        <v>183.11</v>
      </c>
      <c r="K221" s="18" t="n">
        <v>4</v>
      </c>
      <c r="L221" s="18" t="n">
        <v>18</v>
      </c>
      <c r="M221" s="18" t="n">
        <v>240</v>
      </c>
      <c r="N221" s="18" t="n">
        <v>240</v>
      </c>
      <c r="O221" s="14" t="s">
        <v>1088</v>
      </c>
      <c r="P221" s="14" t="s">
        <v>84</v>
      </c>
      <c r="Q221" s="15" t="s">
        <v>1089</v>
      </c>
      <c r="R221" s="16" t="s">
        <v>2451</v>
      </c>
      <c r="S221" s="15" t="s">
        <v>1334</v>
      </c>
      <c r="T221" s="15" t="s">
        <v>2452</v>
      </c>
      <c r="U221" s="21" t="s">
        <v>72</v>
      </c>
    </row>
    <row r="222" customFormat="false" ht="15" hidden="false" customHeight="false" outlineLevel="0" collapsed="false">
      <c r="A222" s="15" t="s">
        <v>1082</v>
      </c>
      <c r="B222" s="15" t="s">
        <v>2415</v>
      </c>
      <c r="C222" s="14" t="s">
        <v>2453</v>
      </c>
      <c r="D222" s="14" t="s">
        <v>2454</v>
      </c>
      <c r="E222" s="16" t="s">
        <v>2455</v>
      </c>
      <c r="F222" s="16" t="s">
        <v>2456</v>
      </c>
      <c r="G222" s="19" t="s">
        <v>41</v>
      </c>
      <c r="H222" s="18" t="n">
        <v>7</v>
      </c>
      <c r="I222" s="20" t="n">
        <v>77.21</v>
      </c>
      <c r="J222" s="20" t="n">
        <v>160.78</v>
      </c>
      <c r="K222" s="18" t="n">
        <v>3</v>
      </c>
      <c r="L222" s="18" t="n">
        <v>14</v>
      </c>
      <c r="M222" s="18" t="n">
        <v>180</v>
      </c>
      <c r="N222" s="18" t="n">
        <v>60</v>
      </c>
      <c r="O222" s="14" t="s">
        <v>1088</v>
      </c>
      <c r="P222" s="14" t="s">
        <v>84</v>
      </c>
      <c r="Q222" s="15" t="s">
        <v>1089</v>
      </c>
      <c r="R222" s="16" t="s">
        <v>1254</v>
      </c>
      <c r="S222" s="15" t="s">
        <v>2457</v>
      </c>
      <c r="T222" s="15" t="s">
        <v>2457</v>
      </c>
      <c r="U222" s="21" t="s">
        <v>72</v>
      </c>
    </row>
    <row r="223" customFormat="false" ht="15" hidden="false" customHeight="false" outlineLevel="0" collapsed="false">
      <c r="A223" s="15" t="s">
        <v>1082</v>
      </c>
      <c r="B223" s="15" t="s">
        <v>2415</v>
      </c>
      <c r="C223" s="14" t="s">
        <v>2458</v>
      </c>
      <c r="D223" s="14" t="s">
        <v>2459</v>
      </c>
      <c r="E223" s="16" t="s">
        <v>2460</v>
      </c>
      <c r="F223" s="16" t="s">
        <v>2461</v>
      </c>
      <c r="G223" s="23" t="s">
        <v>43</v>
      </c>
      <c r="H223" s="18" t="n">
        <v>4</v>
      </c>
      <c r="I223" s="20" t="n">
        <v>74.06</v>
      </c>
      <c r="J223" s="20" t="n">
        <v>157.93</v>
      </c>
      <c r="K223" s="18" t="n">
        <v>16</v>
      </c>
      <c r="L223" s="18" t="n">
        <v>1</v>
      </c>
      <c r="M223" s="18" t="n">
        <v>960</v>
      </c>
      <c r="N223" s="18" t="n">
        <v>240</v>
      </c>
      <c r="O223" s="14" t="s">
        <v>1088</v>
      </c>
      <c r="P223" s="14" t="s">
        <v>118</v>
      </c>
      <c r="Q223" s="15" t="s">
        <v>1089</v>
      </c>
      <c r="R223" s="16" t="s">
        <v>2462</v>
      </c>
      <c r="S223" s="15" t="s">
        <v>2463</v>
      </c>
      <c r="T223" s="15" t="s">
        <v>2464</v>
      </c>
      <c r="U223" s="21" t="s">
        <v>72</v>
      </c>
    </row>
    <row r="224" customFormat="false" ht="26.85" hidden="false" customHeight="false" outlineLevel="0" collapsed="false">
      <c r="A224" s="15" t="s">
        <v>1082</v>
      </c>
      <c r="B224" s="15" t="s">
        <v>2415</v>
      </c>
      <c r="C224" s="14" t="s">
        <v>2465</v>
      </c>
      <c r="D224" s="14" t="s">
        <v>2466</v>
      </c>
      <c r="E224" s="16" t="s">
        <v>2467</v>
      </c>
      <c r="F224" s="16" t="s">
        <v>2468</v>
      </c>
      <c r="G224" s="23" t="s">
        <v>43</v>
      </c>
      <c r="H224" s="18" t="n">
        <v>4</v>
      </c>
      <c r="I224" s="20" t="n">
        <v>67.38</v>
      </c>
      <c r="J224" s="20" t="n">
        <v>197.72</v>
      </c>
      <c r="K224" s="18" t="n">
        <v>24</v>
      </c>
      <c r="L224" s="18" t="n">
        <v>10</v>
      </c>
      <c r="M224" s="18" t="n">
        <v>1344</v>
      </c>
      <c r="N224" s="18" t="n">
        <v>224</v>
      </c>
      <c r="O224" s="14" t="s">
        <v>1097</v>
      </c>
      <c r="P224" s="14" t="s">
        <v>2469</v>
      </c>
      <c r="Q224" s="15" t="s">
        <v>1089</v>
      </c>
      <c r="R224" s="16" t="s">
        <v>2470</v>
      </c>
      <c r="S224" s="15" t="s">
        <v>2471</v>
      </c>
      <c r="T224" s="15" t="s">
        <v>2472</v>
      </c>
      <c r="U224" s="21" t="s">
        <v>72</v>
      </c>
    </row>
    <row r="225" customFormat="false" ht="26.85" hidden="false" customHeight="false" outlineLevel="0" collapsed="false">
      <c r="A225" s="15" t="s">
        <v>1082</v>
      </c>
      <c r="B225" s="15" t="s">
        <v>2415</v>
      </c>
      <c r="C225" s="14" t="s">
        <v>2473</v>
      </c>
      <c r="D225" s="14" t="s">
        <v>2474</v>
      </c>
      <c r="E225" s="16" t="s">
        <v>2475</v>
      </c>
      <c r="F225" s="16" t="s">
        <v>2476</v>
      </c>
      <c r="G225" s="23" t="s">
        <v>43</v>
      </c>
      <c r="H225" s="18" t="n">
        <v>3</v>
      </c>
      <c r="I225" s="20" t="n">
        <v>113.09</v>
      </c>
      <c r="J225" s="20" t="n">
        <v>199.74</v>
      </c>
      <c r="K225" s="18" t="n">
        <v>12</v>
      </c>
      <c r="L225" s="18" t="n">
        <v>5</v>
      </c>
      <c r="M225" s="18" t="n">
        <v>720</v>
      </c>
      <c r="N225" s="18" t="n">
        <v>180</v>
      </c>
      <c r="O225" s="14" t="s">
        <v>1126</v>
      </c>
      <c r="P225" s="14" t="s">
        <v>84</v>
      </c>
      <c r="Q225" s="15" t="s">
        <v>1089</v>
      </c>
      <c r="R225" s="16" t="s">
        <v>2477</v>
      </c>
      <c r="S225" s="15" t="s">
        <v>2478</v>
      </c>
      <c r="T225" s="15" t="s">
        <v>2479</v>
      </c>
      <c r="U225" s="21" t="s">
        <v>72</v>
      </c>
    </row>
    <row r="226" customFormat="false" ht="26.85" hidden="false" customHeight="false" outlineLevel="0" collapsed="false">
      <c r="A226" s="15" t="s">
        <v>1082</v>
      </c>
      <c r="B226" s="15" t="s">
        <v>2415</v>
      </c>
      <c r="C226" s="14" t="s">
        <v>2480</v>
      </c>
      <c r="D226" s="14" t="s">
        <v>2481</v>
      </c>
      <c r="E226" s="16" t="s">
        <v>2475</v>
      </c>
      <c r="F226" s="16" t="s">
        <v>2476</v>
      </c>
      <c r="G226" s="23" t="s">
        <v>43</v>
      </c>
      <c r="H226" s="18" t="n">
        <v>3</v>
      </c>
      <c r="I226" s="20" t="n">
        <v>63.8</v>
      </c>
      <c r="J226" s="20" t="n">
        <v>122</v>
      </c>
      <c r="K226" s="18" t="n">
        <v>12</v>
      </c>
      <c r="L226" s="18" t="n">
        <v>5</v>
      </c>
      <c r="M226" s="18" t="n">
        <v>636</v>
      </c>
      <c r="N226" s="18" t="n">
        <v>159</v>
      </c>
      <c r="O226" s="14" t="s">
        <v>1126</v>
      </c>
      <c r="P226" s="14" t="s">
        <v>84</v>
      </c>
      <c r="Q226" s="15" t="s">
        <v>1089</v>
      </c>
      <c r="R226" s="16" t="s">
        <v>1333</v>
      </c>
      <c r="S226" s="15" t="s">
        <v>2478</v>
      </c>
      <c r="T226" s="15" t="s">
        <v>2482</v>
      </c>
      <c r="U226" s="21" t="s">
        <v>72</v>
      </c>
    </row>
    <row r="227" customFormat="false" ht="15" hidden="false" customHeight="false" outlineLevel="0" collapsed="false">
      <c r="A227" s="15" t="s">
        <v>1082</v>
      </c>
      <c r="B227" s="15" t="s">
        <v>2415</v>
      </c>
      <c r="C227" s="14" t="s">
        <v>2483</v>
      </c>
      <c r="D227" s="14" t="s">
        <v>2484</v>
      </c>
      <c r="E227" s="16" t="s">
        <v>2485</v>
      </c>
      <c r="F227" s="16" t="s">
        <v>2486</v>
      </c>
      <c r="G227" s="23" t="s">
        <v>43</v>
      </c>
      <c r="H227" s="18" t="n">
        <v>1</v>
      </c>
      <c r="I227" s="20" t="n">
        <v>84.28</v>
      </c>
      <c r="J227" s="20" t="n">
        <v>167.57</v>
      </c>
      <c r="K227" s="18" t="n">
        <v>4</v>
      </c>
      <c r="L227" s="18" t="n">
        <v>7</v>
      </c>
      <c r="M227" s="18" t="n">
        <v>240</v>
      </c>
      <c r="N227" s="18" t="n">
        <v>60</v>
      </c>
      <c r="O227" s="14" t="s">
        <v>1097</v>
      </c>
      <c r="P227" s="14" t="s">
        <v>118</v>
      </c>
      <c r="Q227" s="15" t="s">
        <v>1089</v>
      </c>
      <c r="R227" s="16" t="s">
        <v>1500</v>
      </c>
      <c r="S227" s="15" t="s">
        <v>2487</v>
      </c>
      <c r="T227" s="15" t="s">
        <v>2488</v>
      </c>
      <c r="U227" s="21" t="s">
        <v>72</v>
      </c>
    </row>
    <row r="228" customFormat="false" ht="15" hidden="false" customHeight="false" outlineLevel="0" collapsed="false">
      <c r="A228" s="15" t="s">
        <v>1082</v>
      </c>
      <c r="B228" s="15" t="s">
        <v>2415</v>
      </c>
      <c r="C228" s="14" t="s">
        <v>2489</v>
      </c>
      <c r="D228" s="14" t="s">
        <v>2490</v>
      </c>
      <c r="E228" s="16" t="s">
        <v>2491</v>
      </c>
      <c r="F228" s="16" t="s">
        <v>2492</v>
      </c>
      <c r="G228" s="25" t="s">
        <v>39</v>
      </c>
      <c r="H228" s="18" t="n">
        <v>9</v>
      </c>
      <c r="I228" s="20" t="n">
        <v>163.49</v>
      </c>
      <c r="J228" s="20" t="n">
        <v>300.64</v>
      </c>
      <c r="K228" s="18" t="n">
        <v>10</v>
      </c>
      <c r="L228" s="18" t="n">
        <v>6</v>
      </c>
      <c r="M228" s="18" t="n">
        <v>500</v>
      </c>
      <c r="N228" s="18" t="n">
        <v>100</v>
      </c>
      <c r="O228" s="14" t="s">
        <v>1097</v>
      </c>
      <c r="P228" s="14" t="s">
        <v>84</v>
      </c>
      <c r="Q228" s="15" t="s">
        <v>1089</v>
      </c>
      <c r="R228" s="16" t="s">
        <v>2493</v>
      </c>
      <c r="S228" s="15" t="s">
        <v>2494</v>
      </c>
      <c r="T228" s="15" t="s">
        <v>2495</v>
      </c>
      <c r="U228" s="21" t="s">
        <v>72</v>
      </c>
    </row>
    <row r="229" customFormat="false" ht="26.85" hidden="false" customHeight="false" outlineLevel="0" collapsed="false">
      <c r="A229" s="15" t="s">
        <v>1082</v>
      </c>
      <c r="B229" s="15" t="s">
        <v>2415</v>
      </c>
      <c r="C229" s="14" t="s">
        <v>2496</v>
      </c>
      <c r="D229" s="14" t="s">
        <v>2497</v>
      </c>
      <c r="E229" s="16" t="s">
        <v>2498</v>
      </c>
      <c r="F229" s="16" t="s">
        <v>2499</v>
      </c>
      <c r="G229" s="19" t="s">
        <v>41</v>
      </c>
      <c r="H229" s="18" t="n">
        <v>7</v>
      </c>
      <c r="I229" s="20" t="n">
        <v>142</v>
      </c>
      <c r="J229" s="20" t="n">
        <v>199.21</v>
      </c>
      <c r="K229" s="18" t="n">
        <v>12</v>
      </c>
      <c r="L229" s="18" t="n">
        <v>29</v>
      </c>
      <c r="M229" s="18" t="n">
        <v>720</v>
      </c>
      <c r="N229" s="18" t="n">
        <v>120</v>
      </c>
      <c r="O229" s="14" t="s">
        <v>1126</v>
      </c>
      <c r="P229" s="14" t="s">
        <v>118</v>
      </c>
      <c r="Q229" s="15" t="s">
        <v>1089</v>
      </c>
      <c r="R229" s="16" t="s">
        <v>2500</v>
      </c>
      <c r="S229" s="15" t="s">
        <v>1348</v>
      </c>
      <c r="T229" s="15" t="s">
        <v>2501</v>
      </c>
      <c r="U229" s="21" t="s">
        <v>72</v>
      </c>
    </row>
    <row r="230" customFormat="false" ht="26.85" hidden="false" customHeight="false" outlineLevel="0" collapsed="false">
      <c r="A230" s="15" t="s">
        <v>1082</v>
      </c>
      <c r="B230" s="15" t="s">
        <v>2415</v>
      </c>
      <c r="C230" s="14" t="s">
        <v>2502</v>
      </c>
      <c r="D230" s="14" t="s">
        <v>2503</v>
      </c>
      <c r="E230" s="16" t="s">
        <v>2504</v>
      </c>
      <c r="F230" s="16" t="s">
        <v>2505</v>
      </c>
      <c r="G230" s="25" t="s">
        <v>39</v>
      </c>
      <c r="H230" s="18" t="n">
        <v>12</v>
      </c>
      <c r="I230" s="20" t="n">
        <v>650.89</v>
      </c>
      <c r="J230" s="20" t="n">
        <v>1241.8</v>
      </c>
      <c r="K230" s="18" t="n">
        <v>156</v>
      </c>
      <c r="L230" s="18" t="n">
        <v>10</v>
      </c>
      <c r="M230" s="18" t="n">
        <v>9360</v>
      </c>
      <c r="N230" s="18" t="n">
        <v>720</v>
      </c>
      <c r="O230" s="14" t="s">
        <v>1088</v>
      </c>
      <c r="P230" s="14" t="s">
        <v>515</v>
      </c>
      <c r="Q230" s="15" t="s">
        <v>1089</v>
      </c>
      <c r="R230" s="16" t="s">
        <v>2506</v>
      </c>
      <c r="S230" s="15" t="s">
        <v>2507</v>
      </c>
      <c r="T230" s="15" t="s">
        <v>2508</v>
      </c>
      <c r="U230" s="21" t="s">
        <v>72</v>
      </c>
    </row>
    <row r="231" customFormat="false" ht="26.85" hidden="false" customHeight="false" outlineLevel="0" collapsed="false">
      <c r="A231" s="15" t="s">
        <v>1082</v>
      </c>
      <c r="B231" s="15" t="s">
        <v>2415</v>
      </c>
      <c r="C231" s="14" t="s">
        <v>2509</v>
      </c>
      <c r="D231" s="14" t="s">
        <v>2510</v>
      </c>
      <c r="E231" s="16" t="s">
        <v>2511</v>
      </c>
      <c r="F231" s="16" t="s">
        <v>2512</v>
      </c>
      <c r="G231" s="23" t="s">
        <v>43</v>
      </c>
      <c r="H231" s="18" t="n">
        <v>4</v>
      </c>
      <c r="I231" s="20" t="n">
        <v>156.35</v>
      </c>
      <c r="J231" s="20" t="n">
        <v>191.04</v>
      </c>
      <c r="K231" s="18" t="n">
        <v>12</v>
      </c>
      <c r="L231" s="18" t="n">
        <v>30</v>
      </c>
      <c r="M231" s="18" t="n">
        <v>720</v>
      </c>
      <c r="N231" s="18" t="n">
        <v>240</v>
      </c>
      <c r="O231" s="14" t="s">
        <v>1097</v>
      </c>
      <c r="P231" s="14" t="s">
        <v>84</v>
      </c>
      <c r="Q231" s="15" t="s">
        <v>1089</v>
      </c>
      <c r="R231" s="16" t="s">
        <v>2513</v>
      </c>
      <c r="S231" s="15" t="s">
        <v>2514</v>
      </c>
      <c r="T231" s="15" t="s">
        <v>2515</v>
      </c>
      <c r="U231" s="21" t="s">
        <v>72</v>
      </c>
    </row>
    <row r="232" customFormat="false" ht="26.85" hidden="false" customHeight="false" outlineLevel="0" collapsed="false">
      <c r="A232" s="15" t="s">
        <v>1082</v>
      </c>
      <c r="B232" s="15" t="s">
        <v>2415</v>
      </c>
      <c r="C232" s="14" t="s">
        <v>2516</v>
      </c>
      <c r="D232" s="14" t="s">
        <v>2517</v>
      </c>
      <c r="E232" s="16" t="s">
        <v>2511</v>
      </c>
      <c r="F232" s="16" t="s">
        <v>2512</v>
      </c>
      <c r="G232" s="23" t="s">
        <v>43</v>
      </c>
      <c r="H232" s="18" t="n">
        <v>4</v>
      </c>
      <c r="I232" s="20" t="n">
        <v>97.55</v>
      </c>
      <c r="J232" s="20" t="n">
        <v>193.82</v>
      </c>
      <c r="K232" s="18" t="n">
        <v>12</v>
      </c>
      <c r="L232" s="18" t="n">
        <v>39</v>
      </c>
      <c r="M232" s="18" t="n">
        <v>720</v>
      </c>
      <c r="N232" s="18" t="n">
        <v>240</v>
      </c>
      <c r="O232" s="14" t="s">
        <v>1097</v>
      </c>
      <c r="P232" s="14" t="s">
        <v>84</v>
      </c>
      <c r="Q232" s="15" t="s">
        <v>1089</v>
      </c>
      <c r="R232" s="16" t="s">
        <v>2513</v>
      </c>
      <c r="S232" s="15" t="s">
        <v>2514</v>
      </c>
      <c r="T232" s="15" t="s">
        <v>2518</v>
      </c>
      <c r="U232" s="21" t="s">
        <v>72</v>
      </c>
    </row>
    <row r="233" customFormat="false" ht="15" hidden="false" customHeight="false" outlineLevel="0" collapsed="false">
      <c r="A233" s="15" t="s">
        <v>1082</v>
      </c>
      <c r="B233" s="15" t="s">
        <v>2415</v>
      </c>
      <c r="C233" s="14" t="s">
        <v>2519</v>
      </c>
      <c r="D233" s="14" t="s">
        <v>2520</v>
      </c>
      <c r="E233" s="16" t="s">
        <v>2521</v>
      </c>
      <c r="F233" s="16" t="s">
        <v>2522</v>
      </c>
      <c r="G233" s="23" t="s">
        <v>43</v>
      </c>
      <c r="H233" s="18" t="n">
        <v>3</v>
      </c>
      <c r="I233" s="20" t="n">
        <v>73.98</v>
      </c>
      <c r="J233" s="20" t="n">
        <v>135.35</v>
      </c>
      <c r="K233" s="18" t="n">
        <v>3</v>
      </c>
      <c r="L233" s="18" t="n">
        <v>2</v>
      </c>
      <c r="M233" s="18" t="n">
        <v>78</v>
      </c>
      <c r="N233" s="18" t="n">
        <v>78</v>
      </c>
      <c r="O233" s="14" t="s">
        <v>1088</v>
      </c>
      <c r="P233" s="14" t="s">
        <v>84</v>
      </c>
      <c r="Q233" s="15" t="s">
        <v>1089</v>
      </c>
      <c r="R233" s="16" t="s">
        <v>2523</v>
      </c>
      <c r="S233" s="15" t="s">
        <v>2524</v>
      </c>
      <c r="T233" s="15" t="s">
        <v>2524</v>
      </c>
      <c r="U233" s="21" t="s">
        <v>72</v>
      </c>
    </row>
    <row r="234" customFormat="false" ht="15" hidden="false" customHeight="false" outlineLevel="0" collapsed="false">
      <c r="A234" s="15" t="s">
        <v>1082</v>
      </c>
      <c r="B234" s="15" t="s">
        <v>2415</v>
      </c>
      <c r="C234" s="14" t="s">
        <v>2525</v>
      </c>
      <c r="D234" s="14" t="s">
        <v>2526</v>
      </c>
      <c r="E234" s="16" t="s">
        <v>2527</v>
      </c>
      <c r="F234" s="16" t="s">
        <v>2528</v>
      </c>
      <c r="G234" s="23" t="s">
        <v>43</v>
      </c>
      <c r="H234" s="18" t="n">
        <v>2</v>
      </c>
      <c r="I234" s="20" t="n">
        <v>32.23</v>
      </c>
      <c r="J234" s="20" t="n">
        <v>79.91</v>
      </c>
      <c r="K234" s="18" t="n">
        <v>18</v>
      </c>
      <c r="L234" s="18" t="n">
        <v>9</v>
      </c>
      <c r="M234" s="18" t="n">
        <v>468</v>
      </c>
      <c r="N234" s="18" t="n">
        <v>52</v>
      </c>
      <c r="O234" s="14" t="s">
        <v>1097</v>
      </c>
      <c r="P234" s="14" t="s">
        <v>84</v>
      </c>
      <c r="Q234" s="15" t="s">
        <v>1089</v>
      </c>
      <c r="R234" s="16" t="s">
        <v>2529</v>
      </c>
      <c r="S234" s="15" t="s">
        <v>2530</v>
      </c>
      <c r="T234" s="15" t="s">
        <v>2531</v>
      </c>
      <c r="U234" s="21" t="s">
        <v>72</v>
      </c>
    </row>
    <row r="235" customFormat="false" ht="77.6" hidden="false" customHeight="false" outlineLevel="0" collapsed="false">
      <c r="A235" s="15" t="s">
        <v>1082</v>
      </c>
      <c r="B235" s="15" t="s">
        <v>2415</v>
      </c>
      <c r="C235" s="14" t="s">
        <v>2532</v>
      </c>
      <c r="D235" s="14" t="s">
        <v>2533</v>
      </c>
      <c r="E235" s="16" t="s">
        <v>2534</v>
      </c>
      <c r="F235" s="16" t="s">
        <v>2535</v>
      </c>
      <c r="G235" s="19" t="s">
        <v>41</v>
      </c>
      <c r="H235" s="18" t="n">
        <v>5</v>
      </c>
      <c r="I235" s="20" t="n">
        <v>122.14</v>
      </c>
      <c r="J235" s="20" t="n">
        <v>162.2</v>
      </c>
      <c r="K235" s="18" t="n">
        <v>22</v>
      </c>
      <c r="L235" s="18" t="n">
        <v>55</v>
      </c>
      <c r="M235" s="18" t="n">
        <v>1320</v>
      </c>
      <c r="N235" s="18" t="n">
        <v>60</v>
      </c>
      <c r="O235" s="14" t="s">
        <v>1097</v>
      </c>
      <c r="P235" s="14" t="s">
        <v>2536</v>
      </c>
      <c r="Q235" s="15" t="s">
        <v>1089</v>
      </c>
      <c r="R235" s="16" t="s">
        <v>2537</v>
      </c>
      <c r="S235" s="15" t="s">
        <v>2538</v>
      </c>
      <c r="T235" s="15" t="s">
        <v>2539</v>
      </c>
      <c r="U235" s="21" t="s">
        <v>72</v>
      </c>
    </row>
    <row r="236" customFormat="false" ht="15" hidden="false" customHeight="false" outlineLevel="0" collapsed="false">
      <c r="A236" s="15" t="s">
        <v>1082</v>
      </c>
      <c r="B236" s="15" t="s">
        <v>2415</v>
      </c>
      <c r="C236" s="14" t="s">
        <v>2540</v>
      </c>
      <c r="D236" s="14" t="s">
        <v>2541</v>
      </c>
      <c r="E236" s="16" t="s">
        <v>2542</v>
      </c>
      <c r="F236" s="16" t="s">
        <v>2543</v>
      </c>
      <c r="G236" s="23" t="s">
        <v>43</v>
      </c>
      <c r="H236" s="18" t="n">
        <v>3</v>
      </c>
      <c r="I236" s="20" t="n">
        <v>86.99</v>
      </c>
      <c r="J236" s="20" t="n">
        <v>148.11</v>
      </c>
      <c r="K236" s="18" t="n">
        <v>12</v>
      </c>
      <c r="L236" s="18" t="n">
        <v>27</v>
      </c>
      <c r="M236" s="18" t="n">
        <v>720</v>
      </c>
      <c r="N236" s="18" t="n">
        <v>120</v>
      </c>
      <c r="O236" s="14" t="s">
        <v>1097</v>
      </c>
      <c r="P236" s="14" t="s">
        <v>118</v>
      </c>
      <c r="Q236" s="15" t="s">
        <v>1089</v>
      </c>
      <c r="R236" s="16" t="s">
        <v>1313</v>
      </c>
      <c r="S236" s="15" t="s">
        <v>2544</v>
      </c>
      <c r="T236" s="15" t="s">
        <v>2544</v>
      </c>
      <c r="U236" s="21" t="s">
        <v>72</v>
      </c>
    </row>
    <row r="237" customFormat="false" ht="26.85" hidden="false" customHeight="false" outlineLevel="0" collapsed="false">
      <c r="A237" s="15" t="s">
        <v>1082</v>
      </c>
      <c r="B237" s="15" t="s">
        <v>2415</v>
      </c>
      <c r="C237" s="14" t="s">
        <v>2545</v>
      </c>
      <c r="D237" s="14" t="s">
        <v>2546</v>
      </c>
      <c r="E237" s="16" t="s">
        <v>2547</v>
      </c>
      <c r="F237" s="16" t="s">
        <v>2548</v>
      </c>
      <c r="G237" s="19" t="s">
        <v>41</v>
      </c>
      <c r="H237" s="18" t="n">
        <v>6</v>
      </c>
      <c r="I237" s="20" t="n">
        <v>129.36</v>
      </c>
      <c r="J237" s="20" t="n">
        <v>195.43</v>
      </c>
      <c r="K237" s="18" t="n">
        <v>9</v>
      </c>
      <c r="L237" s="18" t="n">
        <v>2</v>
      </c>
      <c r="M237" s="18" t="n">
        <v>540</v>
      </c>
      <c r="N237" s="18" t="n">
        <v>180</v>
      </c>
      <c r="O237" s="14" t="s">
        <v>1088</v>
      </c>
      <c r="P237" s="14" t="s">
        <v>118</v>
      </c>
      <c r="Q237" s="15" t="s">
        <v>1089</v>
      </c>
      <c r="R237" s="16" t="s">
        <v>1340</v>
      </c>
      <c r="S237" s="15" t="s">
        <v>2549</v>
      </c>
      <c r="T237" s="15" t="s">
        <v>2550</v>
      </c>
      <c r="U237" s="21" t="s">
        <v>72</v>
      </c>
    </row>
    <row r="238" customFormat="false" ht="15" hidden="false" customHeight="false" outlineLevel="0" collapsed="false">
      <c r="A238" s="15" t="s">
        <v>1082</v>
      </c>
      <c r="B238" s="15" t="s">
        <v>2415</v>
      </c>
      <c r="C238" s="14" t="s">
        <v>2551</v>
      </c>
      <c r="D238" s="14" t="s">
        <v>2552</v>
      </c>
      <c r="E238" s="16" t="s">
        <v>2553</v>
      </c>
      <c r="F238" s="16" t="s">
        <v>2554</v>
      </c>
      <c r="G238" s="23" t="s">
        <v>43</v>
      </c>
      <c r="H238" s="18" t="n">
        <v>2</v>
      </c>
      <c r="I238" s="20" t="n">
        <v>36.58</v>
      </c>
      <c r="J238" s="20" t="n">
        <v>108.14</v>
      </c>
      <c r="K238" s="18" t="n">
        <v>9</v>
      </c>
      <c r="L238" s="18" t="n">
        <v>1</v>
      </c>
      <c r="M238" s="18" t="n">
        <v>270</v>
      </c>
      <c r="N238" s="18" t="n">
        <v>60</v>
      </c>
      <c r="O238" s="14" t="s">
        <v>1126</v>
      </c>
      <c r="P238" s="14" t="s">
        <v>84</v>
      </c>
      <c r="Q238" s="15" t="s">
        <v>1089</v>
      </c>
      <c r="R238" s="16" t="s">
        <v>1527</v>
      </c>
      <c r="S238" s="15" t="s">
        <v>2555</v>
      </c>
      <c r="T238" s="15" t="s">
        <v>2555</v>
      </c>
      <c r="U238" s="21" t="s">
        <v>72</v>
      </c>
    </row>
    <row r="239" customFormat="false" ht="15" hidden="false" customHeight="false" outlineLevel="0" collapsed="false">
      <c r="A239" s="15" t="s">
        <v>1082</v>
      </c>
      <c r="B239" s="15" t="s">
        <v>2415</v>
      </c>
      <c r="C239" s="14" t="s">
        <v>2556</v>
      </c>
      <c r="D239" s="14" t="s">
        <v>2557</v>
      </c>
      <c r="E239" s="16" t="s">
        <v>2558</v>
      </c>
      <c r="F239" s="16" t="s">
        <v>2559</v>
      </c>
      <c r="G239" s="23" t="s">
        <v>43</v>
      </c>
      <c r="H239" s="18" t="n">
        <v>3</v>
      </c>
      <c r="I239" s="20" t="n">
        <v>69.86</v>
      </c>
      <c r="J239" s="20" t="n">
        <v>103.41</v>
      </c>
      <c r="K239" s="18" t="n">
        <v>12</v>
      </c>
      <c r="L239" s="18" t="n">
        <v>11</v>
      </c>
      <c r="M239" s="18" t="n">
        <v>720</v>
      </c>
      <c r="N239" s="18" t="n">
        <v>240</v>
      </c>
      <c r="O239" s="14" t="s">
        <v>1088</v>
      </c>
      <c r="P239" s="14" t="s">
        <v>84</v>
      </c>
      <c r="Q239" s="15" t="s">
        <v>1089</v>
      </c>
      <c r="R239" s="16" t="s">
        <v>2560</v>
      </c>
      <c r="S239" s="15" t="s">
        <v>2561</v>
      </c>
      <c r="T239" s="15" t="s">
        <v>262</v>
      </c>
      <c r="U239" s="21" t="s">
        <v>72</v>
      </c>
    </row>
    <row r="240" customFormat="false" ht="15" hidden="false" customHeight="false" outlineLevel="0" collapsed="false">
      <c r="A240" s="15" t="s">
        <v>1082</v>
      </c>
      <c r="B240" s="15" t="s">
        <v>2415</v>
      </c>
      <c r="C240" s="14" t="s">
        <v>2562</v>
      </c>
      <c r="D240" s="14" t="s">
        <v>2563</v>
      </c>
      <c r="E240" s="16" t="s">
        <v>2564</v>
      </c>
      <c r="F240" s="16" t="s">
        <v>2565</v>
      </c>
      <c r="G240" s="23" t="s">
        <v>43</v>
      </c>
      <c r="H240" s="18" t="n">
        <v>3</v>
      </c>
      <c r="I240" s="20" t="n">
        <v>58.87</v>
      </c>
      <c r="J240" s="20" t="n">
        <v>108.45</v>
      </c>
      <c r="K240" s="18" t="n">
        <v>9</v>
      </c>
      <c r="L240" s="18" t="n">
        <v>3</v>
      </c>
      <c r="M240" s="18" t="n">
        <v>441</v>
      </c>
      <c r="N240" s="18" t="n">
        <v>147</v>
      </c>
      <c r="O240" s="14" t="s">
        <v>1088</v>
      </c>
      <c r="P240" s="14" t="s">
        <v>84</v>
      </c>
      <c r="Q240" s="15" t="s">
        <v>1089</v>
      </c>
      <c r="R240" s="16" t="s">
        <v>2566</v>
      </c>
      <c r="S240" s="15" t="s">
        <v>2567</v>
      </c>
      <c r="T240" s="15" t="s">
        <v>2568</v>
      </c>
      <c r="U240" s="21" t="s">
        <v>72</v>
      </c>
    </row>
    <row r="241" customFormat="false" ht="15" hidden="false" customHeight="false" outlineLevel="0" collapsed="false">
      <c r="A241" s="15" t="s">
        <v>1082</v>
      </c>
      <c r="B241" s="15" t="s">
        <v>2415</v>
      </c>
      <c r="C241" s="14" t="s">
        <v>2569</v>
      </c>
      <c r="D241" s="14" t="s">
        <v>2570</v>
      </c>
      <c r="E241" s="16" t="s">
        <v>2571</v>
      </c>
      <c r="F241" s="16" t="s">
        <v>2572</v>
      </c>
      <c r="G241" s="23" t="s">
        <v>43</v>
      </c>
      <c r="H241" s="18" t="n">
        <v>1</v>
      </c>
      <c r="I241" s="20" t="n">
        <v>31.27</v>
      </c>
      <c r="J241" s="20" t="n">
        <v>79.31</v>
      </c>
      <c r="K241" s="18" t="n">
        <v>20</v>
      </c>
      <c r="L241" s="18" t="n">
        <v>4</v>
      </c>
      <c r="M241" s="18" t="n">
        <v>520</v>
      </c>
      <c r="N241" s="18" t="n">
        <v>130</v>
      </c>
      <c r="O241" s="14" t="s">
        <v>1088</v>
      </c>
      <c r="P241" s="14" t="s">
        <v>84</v>
      </c>
      <c r="Q241" s="15" t="s">
        <v>1089</v>
      </c>
      <c r="R241" s="16" t="s">
        <v>2573</v>
      </c>
      <c r="S241" s="15" t="s">
        <v>2574</v>
      </c>
      <c r="T241" s="15" t="s">
        <v>2574</v>
      </c>
      <c r="U241" s="21" t="s">
        <v>72</v>
      </c>
    </row>
    <row r="242" customFormat="false" ht="15" hidden="false" customHeight="false" outlineLevel="0" collapsed="false">
      <c r="A242" s="15" t="s">
        <v>1082</v>
      </c>
      <c r="B242" s="15" t="s">
        <v>2415</v>
      </c>
      <c r="C242" s="14" t="s">
        <v>2575</v>
      </c>
      <c r="D242" s="14" t="s">
        <v>2576</v>
      </c>
      <c r="E242" s="16" t="s">
        <v>2577</v>
      </c>
      <c r="F242" s="16" t="s">
        <v>2578</v>
      </c>
      <c r="G242" s="23" t="s">
        <v>43</v>
      </c>
      <c r="H242" s="18" t="n">
        <v>4</v>
      </c>
      <c r="I242" s="20" t="n">
        <v>40.98</v>
      </c>
      <c r="J242" s="20" t="n">
        <v>116.88</v>
      </c>
      <c r="K242" s="18" t="n">
        <v>8</v>
      </c>
      <c r="L242" s="18" t="n">
        <v>6</v>
      </c>
      <c r="M242" s="18" t="n">
        <v>272</v>
      </c>
      <c r="N242" s="18" t="n">
        <v>136</v>
      </c>
      <c r="O242" s="14" t="s">
        <v>1088</v>
      </c>
      <c r="P242" s="14" t="s">
        <v>118</v>
      </c>
      <c r="Q242" s="15" t="s">
        <v>1089</v>
      </c>
      <c r="R242" s="16" t="s">
        <v>2579</v>
      </c>
      <c r="S242" s="15" t="s">
        <v>2580</v>
      </c>
      <c r="T242" s="15" t="s">
        <v>2580</v>
      </c>
      <c r="U242" s="21" t="s">
        <v>72</v>
      </c>
    </row>
    <row r="243" customFormat="false" ht="15" hidden="false" customHeight="false" outlineLevel="0" collapsed="false">
      <c r="A243" s="15" t="s">
        <v>1082</v>
      </c>
      <c r="B243" s="15" t="s">
        <v>2415</v>
      </c>
      <c r="C243" s="14" t="s">
        <v>2581</v>
      </c>
      <c r="D243" s="14" t="s">
        <v>2582</v>
      </c>
      <c r="E243" s="16" t="s">
        <v>2583</v>
      </c>
      <c r="F243" s="16"/>
      <c r="G243" s="23" t="s">
        <v>43</v>
      </c>
      <c r="H243" s="18" t="n">
        <v>3</v>
      </c>
      <c r="I243" s="20" t="n">
        <v>30.07</v>
      </c>
      <c r="J243" s="20" t="n">
        <v>87.62</v>
      </c>
      <c r="K243" s="18" t="n">
        <v>24</v>
      </c>
      <c r="L243" s="18" t="n">
        <v>3</v>
      </c>
      <c r="M243" s="18" t="n">
        <v>600</v>
      </c>
      <c r="N243" s="18" t="n">
        <v>100</v>
      </c>
      <c r="O243" s="14" t="s">
        <v>1097</v>
      </c>
      <c r="P243" s="14" t="s">
        <v>84</v>
      </c>
      <c r="Q243" s="15" t="s">
        <v>1089</v>
      </c>
      <c r="R243" s="16" t="s">
        <v>1856</v>
      </c>
      <c r="S243" s="15" t="s">
        <v>2584</v>
      </c>
      <c r="T243" s="15" t="s">
        <v>2585</v>
      </c>
      <c r="U243" s="21" t="s">
        <v>72</v>
      </c>
    </row>
    <row r="244" customFormat="false" ht="15" hidden="false" customHeight="false" outlineLevel="0" collapsed="false">
      <c r="A244" s="15" t="s">
        <v>1082</v>
      </c>
      <c r="B244" s="15" t="s">
        <v>2415</v>
      </c>
      <c r="C244" s="14" t="s">
        <v>2586</v>
      </c>
      <c r="D244" s="14" t="s">
        <v>2587</v>
      </c>
      <c r="E244" s="16" t="s">
        <v>2588</v>
      </c>
      <c r="F244" s="16" t="s">
        <v>1153</v>
      </c>
      <c r="G244" s="23" t="s">
        <v>43</v>
      </c>
      <c r="H244" s="18" t="n">
        <v>3</v>
      </c>
      <c r="I244" s="20" t="n">
        <v>50.842</v>
      </c>
      <c r="J244" s="20" t="n">
        <v>86.62</v>
      </c>
      <c r="K244" s="18" t="n">
        <v>11</v>
      </c>
      <c r="L244" s="18" t="n">
        <v>21</v>
      </c>
      <c r="M244" s="18" t="n">
        <v>462</v>
      </c>
      <c r="N244" s="18" t="n">
        <v>126</v>
      </c>
      <c r="O244" s="14" t="s">
        <v>1097</v>
      </c>
      <c r="P244" s="14" t="s">
        <v>84</v>
      </c>
      <c r="Q244" s="15" t="s">
        <v>1089</v>
      </c>
      <c r="R244" s="16" t="s">
        <v>1105</v>
      </c>
      <c r="S244" s="15" t="s">
        <v>1148</v>
      </c>
      <c r="T244" s="15" t="s">
        <v>2589</v>
      </c>
      <c r="U244" s="21" t="s">
        <v>72</v>
      </c>
    </row>
    <row r="245" customFormat="false" ht="15" hidden="false" customHeight="false" outlineLevel="0" collapsed="false">
      <c r="A245" s="15" t="s">
        <v>1082</v>
      </c>
      <c r="B245" s="15" t="s">
        <v>2415</v>
      </c>
      <c r="C245" s="14" t="s">
        <v>2590</v>
      </c>
      <c r="D245" s="14" t="s">
        <v>2591</v>
      </c>
      <c r="E245" s="16" t="s">
        <v>2592</v>
      </c>
      <c r="F245" s="16" t="s">
        <v>1153</v>
      </c>
      <c r="G245" s="23" t="s">
        <v>43</v>
      </c>
      <c r="H245" s="18" t="n">
        <v>4</v>
      </c>
      <c r="I245" s="20" t="n">
        <v>98.16</v>
      </c>
      <c r="J245" s="20" t="n">
        <v>189.25</v>
      </c>
      <c r="K245" s="18" t="n">
        <v>16</v>
      </c>
      <c r="L245" s="18" t="n">
        <v>21</v>
      </c>
      <c r="M245" s="18" t="n">
        <v>608</v>
      </c>
      <c r="N245" s="18" t="n">
        <v>152</v>
      </c>
      <c r="O245" s="14" t="s">
        <v>1097</v>
      </c>
      <c r="P245" s="14" t="s">
        <v>84</v>
      </c>
      <c r="Q245" s="15" t="s">
        <v>1089</v>
      </c>
      <c r="R245" s="16" t="s">
        <v>2593</v>
      </c>
      <c r="S245" s="15" t="s">
        <v>1148</v>
      </c>
      <c r="T245" s="15" t="s">
        <v>2594</v>
      </c>
      <c r="U245" s="21" t="s">
        <v>72</v>
      </c>
    </row>
    <row r="246" customFormat="false" ht="15" hidden="false" customHeight="false" outlineLevel="0" collapsed="false">
      <c r="A246" s="15" t="s">
        <v>1082</v>
      </c>
      <c r="B246" s="15" t="s">
        <v>2415</v>
      </c>
      <c r="C246" s="14" t="s">
        <v>2595</v>
      </c>
      <c r="D246" s="14" t="s">
        <v>2596</v>
      </c>
      <c r="E246" s="16" t="s">
        <v>2588</v>
      </c>
      <c r="F246" s="16" t="s">
        <v>1153</v>
      </c>
      <c r="G246" s="25" t="s">
        <v>39</v>
      </c>
      <c r="H246" s="18" t="n">
        <v>9</v>
      </c>
      <c r="I246" s="20" t="n">
        <v>129.12</v>
      </c>
      <c r="J246" s="20" t="n">
        <v>241.11</v>
      </c>
      <c r="K246" s="18" t="n">
        <v>40</v>
      </c>
      <c r="L246" s="18" t="n">
        <v>23</v>
      </c>
      <c r="M246" s="18" t="n">
        <v>2400</v>
      </c>
      <c r="N246" s="18" t="n">
        <v>480</v>
      </c>
      <c r="O246" s="14" t="s">
        <v>1097</v>
      </c>
      <c r="P246" s="14" t="s">
        <v>84</v>
      </c>
      <c r="Q246" s="15" t="s">
        <v>1089</v>
      </c>
      <c r="R246" s="16" t="s">
        <v>85</v>
      </c>
      <c r="S246" s="15" t="s">
        <v>1148</v>
      </c>
      <c r="T246" s="15" t="s">
        <v>2597</v>
      </c>
      <c r="U246" s="21" t="s">
        <v>72</v>
      </c>
    </row>
    <row r="247" customFormat="false" ht="15" hidden="false" customHeight="false" outlineLevel="0" collapsed="false">
      <c r="A247" s="15" t="s">
        <v>1082</v>
      </c>
      <c r="B247" s="15" t="s">
        <v>2415</v>
      </c>
      <c r="C247" s="14" t="s">
        <v>2598</v>
      </c>
      <c r="D247" s="14" t="s">
        <v>2599</v>
      </c>
      <c r="E247" s="16" t="s">
        <v>2600</v>
      </c>
      <c r="F247" s="16" t="s">
        <v>2601</v>
      </c>
      <c r="G247" s="23" t="s">
        <v>43</v>
      </c>
      <c r="H247" s="18" t="n">
        <v>4</v>
      </c>
      <c r="I247" s="20" t="n">
        <v>58.46</v>
      </c>
      <c r="J247" s="20" t="n">
        <v>123.42</v>
      </c>
      <c r="K247" s="18" t="n">
        <v>20</v>
      </c>
      <c r="L247" s="18" t="n">
        <v>6</v>
      </c>
      <c r="M247" s="18" t="n">
        <v>960</v>
      </c>
      <c r="N247" s="18" t="n">
        <v>192</v>
      </c>
      <c r="O247" s="14" t="s">
        <v>1097</v>
      </c>
      <c r="P247" s="14" t="s">
        <v>84</v>
      </c>
      <c r="Q247" s="15" t="s">
        <v>1089</v>
      </c>
      <c r="R247" s="16" t="s">
        <v>2602</v>
      </c>
      <c r="S247" s="15" t="s">
        <v>2603</v>
      </c>
      <c r="T247" s="15" t="s">
        <v>2603</v>
      </c>
      <c r="U247" s="21" t="s">
        <v>72</v>
      </c>
    </row>
    <row r="248" customFormat="false" ht="15" hidden="false" customHeight="false" outlineLevel="0" collapsed="false">
      <c r="A248" s="15" t="s">
        <v>1082</v>
      </c>
      <c r="B248" s="15" t="s">
        <v>2415</v>
      </c>
      <c r="C248" s="14" t="s">
        <v>2604</v>
      </c>
      <c r="D248" s="14" t="s">
        <v>2605</v>
      </c>
      <c r="E248" s="16" t="s">
        <v>2606</v>
      </c>
      <c r="F248" s="16" t="s">
        <v>2607</v>
      </c>
      <c r="G248" s="23" t="s">
        <v>43</v>
      </c>
      <c r="H248" s="18" t="n">
        <v>2</v>
      </c>
      <c r="I248" s="20" t="n">
        <v>31.54</v>
      </c>
      <c r="J248" s="20" t="n">
        <v>70.86</v>
      </c>
      <c r="K248" s="18" t="n">
        <v>2</v>
      </c>
      <c r="L248" s="18" t="n">
        <v>7</v>
      </c>
      <c r="M248" s="18" t="n">
        <v>28</v>
      </c>
      <c r="N248" s="18" t="n">
        <v>28</v>
      </c>
      <c r="O248" s="14" t="s">
        <v>1097</v>
      </c>
      <c r="P248" s="14" t="s">
        <v>118</v>
      </c>
      <c r="Q248" s="15" t="s">
        <v>1089</v>
      </c>
      <c r="R248" s="16" t="s">
        <v>2608</v>
      </c>
      <c r="S248" s="15" t="s">
        <v>2609</v>
      </c>
      <c r="T248" s="15" t="s">
        <v>2609</v>
      </c>
      <c r="U248" s="21" t="s">
        <v>72</v>
      </c>
    </row>
    <row r="249" customFormat="false" ht="15" hidden="false" customHeight="false" outlineLevel="0" collapsed="false">
      <c r="A249" s="15" t="s">
        <v>1082</v>
      </c>
      <c r="B249" s="15" t="s">
        <v>2415</v>
      </c>
      <c r="C249" s="14" t="s">
        <v>2610</v>
      </c>
      <c r="D249" s="14" t="s">
        <v>2611</v>
      </c>
      <c r="E249" s="16" t="s">
        <v>2612</v>
      </c>
      <c r="F249" s="16" t="s">
        <v>2613</v>
      </c>
      <c r="G249" s="23" t="s">
        <v>43</v>
      </c>
      <c r="H249" s="18" t="n">
        <v>2</v>
      </c>
      <c r="I249" s="20" t="n">
        <v>44.16</v>
      </c>
      <c r="J249" s="20" t="n">
        <v>127.42</v>
      </c>
      <c r="K249" s="18" t="n">
        <v>3</v>
      </c>
      <c r="L249" s="18" t="n">
        <v>4</v>
      </c>
      <c r="M249" s="18" t="n">
        <v>180</v>
      </c>
      <c r="N249" s="18" t="n">
        <v>60</v>
      </c>
      <c r="O249" s="14" t="s">
        <v>1097</v>
      </c>
      <c r="P249" s="14" t="s">
        <v>118</v>
      </c>
      <c r="Q249" s="15" t="s">
        <v>1089</v>
      </c>
      <c r="R249" s="16" t="s">
        <v>2614</v>
      </c>
      <c r="S249" s="15" t="s">
        <v>2615</v>
      </c>
      <c r="T249" s="15" t="s">
        <v>2615</v>
      </c>
      <c r="U249" s="21" t="s">
        <v>72</v>
      </c>
    </row>
    <row r="250" customFormat="false" ht="15" hidden="false" customHeight="false" outlineLevel="0" collapsed="false">
      <c r="A250" s="15" t="s">
        <v>1082</v>
      </c>
      <c r="B250" s="15" t="s">
        <v>2415</v>
      </c>
      <c r="C250" s="14" t="s">
        <v>2616</v>
      </c>
      <c r="D250" s="14" t="s">
        <v>2617</v>
      </c>
      <c r="E250" s="16" t="s">
        <v>2618</v>
      </c>
      <c r="F250" s="16" t="s">
        <v>2619</v>
      </c>
      <c r="G250" s="23" t="s">
        <v>43</v>
      </c>
      <c r="H250" s="18" t="n">
        <v>4</v>
      </c>
      <c r="I250" s="20" t="n">
        <v>68.12</v>
      </c>
      <c r="J250" s="20" t="n">
        <v>122.75</v>
      </c>
      <c r="K250" s="18" t="n">
        <v>20</v>
      </c>
      <c r="L250" s="18" t="n">
        <v>2</v>
      </c>
      <c r="M250" s="18" t="n">
        <v>780</v>
      </c>
      <c r="N250" s="18" t="n">
        <v>156</v>
      </c>
      <c r="O250" s="14" t="s">
        <v>1097</v>
      </c>
      <c r="P250" s="14" t="s">
        <v>118</v>
      </c>
      <c r="Q250" s="15" t="s">
        <v>1089</v>
      </c>
      <c r="R250" s="16" t="s">
        <v>2620</v>
      </c>
      <c r="S250" s="15" t="s">
        <v>2621</v>
      </c>
      <c r="T250" s="15" t="s">
        <v>2622</v>
      </c>
      <c r="U250" s="21" t="s">
        <v>72</v>
      </c>
    </row>
    <row r="251" customFormat="false" ht="15" hidden="false" customHeight="false" outlineLevel="0" collapsed="false">
      <c r="A251" s="15" t="s">
        <v>1082</v>
      </c>
      <c r="B251" s="15" t="s">
        <v>2415</v>
      </c>
      <c r="C251" s="14" t="s">
        <v>2623</v>
      </c>
      <c r="D251" s="14" t="s">
        <v>2624</v>
      </c>
      <c r="E251" s="16" t="s">
        <v>2625</v>
      </c>
      <c r="F251" s="16" t="s">
        <v>2626</v>
      </c>
      <c r="G251" s="23" t="s">
        <v>43</v>
      </c>
      <c r="H251" s="18" t="n">
        <v>4</v>
      </c>
      <c r="I251" s="20" t="n">
        <v>54.93</v>
      </c>
      <c r="J251" s="20" t="n">
        <v>109.5</v>
      </c>
      <c r="K251" s="18" t="n">
        <v>2</v>
      </c>
      <c r="L251" s="18" t="n">
        <v>10</v>
      </c>
      <c r="M251" s="18" t="n">
        <v>24</v>
      </c>
      <c r="N251" s="18" t="n">
        <v>24</v>
      </c>
      <c r="O251" s="14" t="s">
        <v>1088</v>
      </c>
      <c r="P251" s="14" t="s">
        <v>84</v>
      </c>
      <c r="Q251" s="15" t="s">
        <v>1089</v>
      </c>
      <c r="R251" s="16" t="s">
        <v>1228</v>
      </c>
      <c r="S251" s="15" t="s">
        <v>2627</v>
      </c>
      <c r="T251" s="15" t="s">
        <v>2627</v>
      </c>
      <c r="U251" s="21" t="s">
        <v>72</v>
      </c>
    </row>
    <row r="252" customFormat="false" ht="15" hidden="false" customHeight="false" outlineLevel="0" collapsed="false">
      <c r="A252" s="15" t="s">
        <v>1082</v>
      </c>
      <c r="B252" s="15" t="s">
        <v>2415</v>
      </c>
      <c r="C252" s="14" t="s">
        <v>2628</v>
      </c>
      <c r="D252" s="14" t="s">
        <v>2629</v>
      </c>
      <c r="E252" s="16" t="s">
        <v>2630</v>
      </c>
      <c r="F252" s="16" t="s">
        <v>2631</v>
      </c>
      <c r="G252" s="23" t="s">
        <v>43</v>
      </c>
      <c r="H252" s="18" t="n">
        <v>3</v>
      </c>
      <c r="I252" s="20" t="n">
        <v>38.38</v>
      </c>
      <c r="J252" s="20" t="n">
        <v>83.32</v>
      </c>
      <c r="K252" s="18" t="n">
        <v>1</v>
      </c>
      <c r="L252" s="18" t="n">
        <v>4</v>
      </c>
      <c r="M252" s="18" t="n">
        <v>31</v>
      </c>
      <c r="N252" s="18" t="n">
        <v>31</v>
      </c>
      <c r="O252" s="14" t="s">
        <v>1097</v>
      </c>
      <c r="P252" s="14" t="s">
        <v>84</v>
      </c>
      <c r="Q252" s="15" t="s">
        <v>1089</v>
      </c>
      <c r="R252" s="16" t="s">
        <v>1863</v>
      </c>
      <c r="S252" s="15" t="s">
        <v>2632</v>
      </c>
      <c r="T252" s="15" t="s">
        <v>2632</v>
      </c>
      <c r="U252" s="21" t="s">
        <v>72</v>
      </c>
    </row>
    <row r="253" customFormat="false" ht="15" hidden="false" customHeight="false" outlineLevel="0" collapsed="false">
      <c r="A253" s="15" t="s">
        <v>1082</v>
      </c>
      <c r="B253" s="15" t="s">
        <v>2415</v>
      </c>
      <c r="C253" s="14" t="s">
        <v>2633</v>
      </c>
      <c r="D253" s="14" t="s">
        <v>2634</v>
      </c>
      <c r="E253" s="16" t="s">
        <v>2635</v>
      </c>
      <c r="F253" s="16" t="s">
        <v>2636</v>
      </c>
      <c r="G253" s="23" t="s">
        <v>43</v>
      </c>
      <c r="H253" s="18" t="n">
        <v>4</v>
      </c>
      <c r="I253" s="20" t="n">
        <v>60.18</v>
      </c>
      <c r="J253" s="20" t="n">
        <v>122.74</v>
      </c>
      <c r="K253" s="18" t="n">
        <v>15</v>
      </c>
      <c r="L253" s="18" t="n">
        <v>6</v>
      </c>
      <c r="M253" s="18" t="n">
        <v>750</v>
      </c>
      <c r="N253" s="18" t="n">
        <v>150</v>
      </c>
      <c r="O253" s="14" t="s">
        <v>1088</v>
      </c>
      <c r="P253" s="14" t="s">
        <v>118</v>
      </c>
      <c r="Q253" s="15" t="s">
        <v>1089</v>
      </c>
      <c r="R253" s="16" t="s">
        <v>2637</v>
      </c>
      <c r="S253" s="15" t="s">
        <v>2638</v>
      </c>
      <c r="T253" s="15" t="s">
        <v>2639</v>
      </c>
      <c r="U253" s="21" t="s">
        <v>72</v>
      </c>
    </row>
    <row r="254" customFormat="false" ht="15" hidden="false" customHeight="false" outlineLevel="0" collapsed="false">
      <c r="A254" s="15" t="s">
        <v>1082</v>
      </c>
      <c r="B254" s="15" t="s">
        <v>2415</v>
      </c>
      <c r="C254" s="14" t="s">
        <v>2640</v>
      </c>
      <c r="D254" s="14" t="s">
        <v>2641</v>
      </c>
      <c r="E254" s="16" t="s">
        <v>2642</v>
      </c>
      <c r="F254" s="16" t="s">
        <v>2643</v>
      </c>
      <c r="G254" s="23" t="s">
        <v>43</v>
      </c>
      <c r="H254" s="18" t="n">
        <v>4</v>
      </c>
      <c r="I254" s="20" t="n">
        <v>74.36</v>
      </c>
      <c r="J254" s="20" t="n">
        <v>168.94</v>
      </c>
      <c r="K254" s="18" t="n">
        <v>12</v>
      </c>
      <c r="L254" s="18" t="n">
        <v>4</v>
      </c>
      <c r="M254" s="18" t="n">
        <v>516</v>
      </c>
      <c r="N254" s="18" t="n">
        <v>86</v>
      </c>
      <c r="O254" s="14" t="s">
        <v>1097</v>
      </c>
      <c r="P254" s="14" t="s">
        <v>84</v>
      </c>
      <c r="Q254" s="15" t="s">
        <v>1089</v>
      </c>
      <c r="R254" s="16" t="s">
        <v>2644</v>
      </c>
      <c r="S254" s="15" t="s">
        <v>2645</v>
      </c>
      <c r="T254" s="15" t="s">
        <v>2645</v>
      </c>
      <c r="U254" s="21" t="s">
        <v>72</v>
      </c>
    </row>
    <row r="255" customFormat="false" ht="15" hidden="false" customHeight="false" outlineLevel="0" collapsed="false">
      <c r="A255" s="15" t="s">
        <v>1082</v>
      </c>
      <c r="B255" s="15" t="s">
        <v>2415</v>
      </c>
      <c r="C255" s="14" t="s">
        <v>2646</v>
      </c>
      <c r="D255" s="14" t="s">
        <v>2647</v>
      </c>
      <c r="E255" s="16" t="s">
        <v>2648</v>
      </c>
      <c r="F255" s="16" t="s">
        <v>2649</v>
      </c>
      <c r="G255" s="23" t="s">
        <v>43</v>
      </c>
      <c r="H255" s="18" t="n">
        <v>4</v>
      </c>
      <c r="I255" s="20" t="n">
        <v>56.9</v>
      </c>
      <c r="J255" s="20" t="n">
        <v>116.11</v>
      </c>
      <c r="K255" s="18" t="n">
        <v>8</v>
      </c>
      <c r="L255" s="18" t="n">
        <v>11</v>
      </c>
      <c r="M255" s="18" t="n">
        <v>88</v>
      </c>
      <c r="N255" s="18" t="n">
        <v>44</v>
      </c>
      <c r="O255" s="14" t="s">
        <v>1088</v>
      </c>
      <c r="P255" s="14" t="s">
        <v>118</v>
      </c>
      <c r="Q255" s="15" t="s">
        <v>1089</v>
      </c>
      <c r="R255" s="16" t="s">
        <v>2650</v>
      </c>
      <c r="S255" s="15" t="s">
        <v>2651</v>
      </c>
      <c r="T255" s="15" t="s">
        <v>2652</v>
      </c>
      <c r="U255" s="21" t="s">
        <v>72</v>
      </c>
    </row>
    <row r="256" customFormat="false" ht="15" hidden="false" customHeight="false" outlineLevel="0" collapsed="false">
      <c r="A256" s="15" t="s">
        <v>1082</v>
      </c>
      <c r="B256" s="15" t="s">
        <v>2415</v>
      </c>
      <c r="C256" s="14" t="s">
        <v>2653</v>
      </c>
      <c r="D256" s="14" t="s">
        <v>2654</v>
      </c>
      <c r="E256" s="16" t="s">
        <v>2655</v>
      </c>
      <c r="F256" s="16" t="s">
        <v>2656</v>
      </c>
      <c r="G256" s="23" t="s">
        <v>43</v>
      </c>
      <c r="H256" s="18" t="n">
        <v>3</v>
      </c>
      <c r="I256" s="20" t="n">
        <v>60.09</v>
      </c>
      <c r="J256" s="20" t="n">
        <v>114.39</v>
      </c>
      <c r="K256" s="18" t="n">
        <v>10</v>
      </c>
      <c r="L256" s="18" t="n">
        <v>4</v>
      </c>
      <c r="M256" s="18" t="n">
        <v>120</v>
      </c>
      <c r="N256" s="18" t="n">
        <v>24</v>
      </c>
      <c r="O256" s="14" t="s">
        <v>1126</v>
      </c>
      <c r="P256" s="14" t="s">
        <v>84</v>
      </c>
      <c r="Q256" s="15" t="s">
        <v>1089</v>
      </c>
      <c r="R256" s="16" t="s">
        <v>1186</v>
      </c>
      <c r="S256" s="15" t="s">
        <v>2657</v>
      </c>
      <c r="T256" s="15" t="s">
        <v>2657</v>
      </c>
      <c r="U256" s="21" t="s">
        <v>72</v>
      </c>
    </row>
    <row r="257" customFormat="false" ht="15" hidden="false" customHeight="false" outlineLevel="0" collapsed="false">
      <c r="A257" s="15" t="s">
        <v>1082</v>
      </c>
      <c r="B257" s="15" t="s">
        <v>2415</v>
      </c>
      <c r="C257" s="14" t="s">
        <v>2658</v>
      </c>
      <c r="D257" s="14" t="s">
        <v>2659</v>
      </c>
      <c r="E257" s="16" t="s">
        <v>2660</v>
      </c>
      <c r="F257" s="16" t="s">
        <v>2661</v>
      </c>
      <c r="G257" s="23" t="s">
        <v>43</v>
      </c>
      <c r="H257" s="18" t="n">
        <v>3</v>
      </c>
      <c r="I257" s="20" t="n">
        <v>49.91</v>
      </c>
      <c r="J257" s="20" t="n">
        <v>70.16</v>
      </c>
      <c r="K257" s="18" t="n">
        <v>1</v>
      </c>
      <c r="L257" s="18" t="n">
        <v>6</v>
      </c>
      <c r="M257" s="18" t="n">
        <v>41</v>
      </c>
      <c r="N257" s="18" t="n">
        <v>41</v>
      </c>
      <c r="O257" s="14" t="s">
        <v>1088</v>
      </c>
      <c r="P257" s="14" t="s">
        <v>84</v>
      </c>
      <c r="Q257" s="15" t="s">
        <v>1089</v>
      </c>
      <c r="R257" s="16" t="s">
        <v>1596</v>
      </c>
      <c r="S257" s="15" t="s">
        <v>2662</v>
      </c>
      <c r="T257" s="15" t="s">
        <v>2663</v>
      </c>
      <c r="U257" s="21" t="s">
        <v>72</v>
      </c>
    </row>
    <row r="258" customFormat="false" ht="15" hidden="false" customHeight="false" outlineLevel="0" collapsed="false">
      <c r="A258" s="15" t="s">
        <v>1082</v>
      </c>
      <c r="B258" s="15" t="s">
        <v>2415</v>
      </c>
      <c r="C258" s="14" t="s">
        <v>2664</v>
      </c>
      <c r="D258" s="14" t="s">
        <v>2665</v>
      </c>
      <c r="E258" s="16" t="s">
        <v>2666</v>
      </c>
      <c r="F258" s="16" t="s">
        <v>2667</v>
      </c>
      <c r="G258" s="19" t="s">
        <v>41</v>
      </c>
      <c r="H258" s="18" t="n">
        <v>5</v>
      </c>
      <c r="I258" s="20" t="n">
        <v>87.43</v>
      </c>
      <c r="J258" s="20" t="n">
        <v>163.918</v>
      </c>
      <c r="K258" s="18" t="n">
        <v>10</v>
      </c>
      <c r="L258" s="18" t="n">
        <v>5</v>
      </c>
      <c r="M258" s="18" t="n">
        <v>600</v>
      </c>
      <c r="N258" s="18" t="n">
        <v>120</v>
      </c>
      <c r="O258" s="14" t="s">
        <v>1088</v>
      </c>
      <c r="P258" s="14" t="s">
        <v>84</v>
      </c>
      <c r="Q258" s="15" t="s">
        <v>1089</v>
      </c>
      <c r="R258" s="16" t="s">
        <v>2668</v>
      </c>
      <c r="S258" s="15" t="s">
        <v>2669</v>
      </c>
      <c r="T258" s="15" t="s">
        <v>2669</v>
      </c>
      <c r="U258" s="21" t="s">
        <v>72</v>
      </c>
    </row>
    <row r="259" customFormat="false" ht="15" hidden="false" customHeight="false" outlineLevel="0" collapsed="false">
      <c r="A259" s="15" t="s">
        <v>1082</v>
      </c>
      <c r="B259" s="15" t="s">
        <v>2415</v>
      </c>
      <c r="C259" s="14" t="s">
        <v>2670</v>
      </c>
      <c r="D259" s="14" t="s">
        <v>2671</v>
      </c>
      <c r="E259" s="16" t="s">
        <v>2672</v>
      </c>
      <c r="F259" s="16" t="s">
        <v>2673</v>
      </c>
      <c r="G259" s="23" t="s">
        <v>43</v>
      </c>
      <c r="H259" s="18" t="n">
        <v>4</v>
      </c>
      <c r="I259" s="20" t="n">
        <v>58.27</v>
      </c>
      <c r="J259" s="20" t="n">
        <v>105.06</v>
      </c>
      <c r="K259" s="18" t="n">
        <v>3</v>
      </c>
      <c r="L259" s="18" t="n">
        <v>3</v>
      </c>
      <c r="M259" s="18" t="n">
        <v>57</v>
      </c>
      <c r="N259" s="18" t="n">
        <v>19</v>
      </c>
      <c r="O259" s="14" t="s">
        <v>1097</v>
      </c>
      <c r="P259" s="14" t="s">
        <v>1716</v>
      </c>
      <c r="Q259" s="15" t="s">
        <v>1089</v>
      </c>
      <c r="R259" s="16" t="s">
        <v>2674</v>
      </c>
      <c r="S259" s="15" t="s">
        <v>2675</v>
      </c>
      <c r="T259" s="15" t="s">
        <v>2676</v>
      </c>
      <c r="U259" s="21" t="s">
        <v>72</v>
      </c>
    </row>
    <row r="260" customFormat="false" ht="15" hidden="false" customHeight="false" outlineLevel="0" collapsed="false">
      <c r="A260" s="15" t="s">
        <v>1082</v>
      </c>
      <c r="B260" s="15" t="s">
        <v>2415</v>
      </c>
      <c r="C260" s="14" t="s">
        <v>2677</v>
      </c>
      <c r="D260" s="14" t="s">
        <v>2678</v>
      </c>
      <c r="E260" s="16" t="s">
        <v>2679</v>
      </c>
      <c r="F260" s="16" t="s">
        <v>2680</v>
      </c>
      <c r="G260" s="23" t="s">
        <v>43</v>
      </c>
      <c r="H260" s="18" t="n">
        <v>3</v>
      </c>
      <c r="I260" s="20" t="n">
        <v>53.48</v>
      </c>
      <c r="J260" s="20" t="n">
        <v>120.61</v>
      </c>
      <c r="K260" s="18" t="n">
        <v>2</v>
      </c>
      <c r="L260" s="18" t="n">
        <v>6</v>
      </c>
      <c r="M260" s="18" t="n">
        <v>88</v>
      </c>
      <c r="N260" s="18" t="n">
        <v>88</v>
      </c>
      <c r="O260" s="14" t="s">
        <v>1097</v>
      </c>
      <c r="P260" s="14" t="s">
        <v>84</v>
      </c>
      <c r="Q260" s="15" t="s">
        <v>1089</v>
      </c>
      <c r="R260" s="16" t="s">
        <v>2681</v>
      </c>
      <c r="S260" s="15" t="s">
        <v>2682</v>
      </c>
      <c r="T260" s="16" t="s">
        <v>2683</v>
      </c>
      <c r="U260" s="21" t="s">
        <v>72</v>
      </c>
    </row>
    <row r="261" customFormat="false" ht="15" hidden="false" customHeight="false" outlineLevel="0" collapsed="false">
      <c r="A261" s="15" t="s">
        <v>1082</v>
      </c>
      <c r="B261" s="15" t="s">
        <v>2415</v>
      </c>
      <c r="C261" s="14" t="s">
        <v>2684</v>
      </c>
      <c r="D261" s="14" t="s">
        <v>2685</v>
      </c>
      <c r="E261" s="16" t="s">
        <v>2686</v>
      </c>
      <c r="F261" s="16" t="s">
        <v>2687</v>
      </c>
      <c r="G261" s="23" t="s">
        <v>43</v>
      </c>
      <c r="H261" s="18" t="n">
        <v>3</v>
      </c>
      <c r="I261" s="20" t="n">
        <v>39.91</v>
      </c>
      <c r="J261" s="20" t="n">
        <v>124.93</v>
      </c>
      <c r="K261" s="18" t="n">
        <v>6</v>
      </c>
      <c r="L261" s="18" t="n">
        <v>3</v>
      </c>
      <c r="M261" s="18" t="n">
        <v>198</v>
      </c>
      <c r="N261" s="18" t="n">
        <v>99</v>
      </c>
      <c r="O261" s="14" t="s">
        <v>1088</v>
      </c>
      <c r="P261" s="14" t="s">
        <v>118</v>
      </c>
      <c r="Q261" s="15" t="s">
        <v>1089</v>
      </c>
      <c r="R261" s="16" t="s">
        <v>2688</v>
      </c>
      <c r="S261" s="15" t="s">
        <v>2689</v>
      </c>
      <c r="T261" s="15" t="s">
        <v>2690</v>
      </c>
      <c r="U261" s="21" t="s">
        <v>72</v>
      </c>
    </row>
    <row r="262" customFormat="false" ht="26.85" hidden="false" customHeight="false" outlineLevel="0" collapsed="false">
      <c r="A262" s="15" t="s">
        <v>1082</v>
      </c>
      <c r="B262" s="15" t="s">
        <v>2415</v>
      </c>
      <c r="C262" s="14" t="s">
        <v>2691</v>
      </c>
      <c r="D262" s="14" t="s">
        <v>2692</v>
      </c>
      <c r="E262" s="16" t="s">
        <v>2693</v>
      </c>
      <c r="F262" s="16" t="s">
        <v>2694</v>
      </c>
      <c r="G262" s="23" t="s">
        <v>43</v>
      </c>
      <c r="H262" s="18" t="n">
        <v>3</v>
      </c>
      <c r="I262" s="20" t="n">
        <v>38.18</v>
      </c>
      <c r="J262" s="20" t="n">
        <v>75.33</v>
      </c>
      <c r="K262" s="18" t="n">
        <v>21</v>
      </c>
      <c r="L262" s="18" t="n">
        <v>3</v>
      </c>
      <c r="M262" s="18" t="n">
        <v>378</v>
      </c>
      <c r="N262" s="18" t="n">
        <v>54</v>
      </c>
      <c r="O262" s="14" t="s">
        <v>1097</v>
      </c>
      <c r="P262" s="14" t="s">
        <v>906</v>
      </c>
      <c r="Q262" s="15" t="s">
        <v>1089</v>
      </c>
      <c r="R262" s="16" t="s">
        <v>2695</v>
      </c>
      <c r="S262" s="15" t="s">
        <v>2696</v>
      </c>
      <c r="T262" s="15" t="s">
        <v>2696</v>
      </c>
      <c r="U262" s="21" t="s">
        <v>72</v>
      </c>
    </row>
    <row r="263" customFormat="false" ht="15" hidden="false" customHeight="false" outlineLevel="0" collapsed="false">
      <c r="A263" s="15" t="s">
        <v>1082</v>
      </c>
      <c r="B263" s="15" t="s">
        <v>2415</v>
      </c>
      <c r="C263" s="14" t="s">
        <v>2697</v>
      </c>
      <c r="D263" s="14" t="s">
        <v>2698</v>
      </c>
      <c r="E263" s="16" t="s">
        <v>2699</v>
      </c>
      <c r="F263" s="16" t="s">
        <v>2700</v>
      </c>
      <c r="G263" s="23" t="s">
        <v>43</v>
      </c>
      <c r="H263" s="18" t="n">
        <v>3</v>
      </c>
      <c r="I263" s="20" t="n">
        <v>40.05</v>
      </c>
      <c r="J263" s="20" t="n">
        <v>89.42</v>
      </c>
      <c r="K263" s="18" t="n">
        <v>9</v>
      </c>
      <c r="L263" s="18" t="n">
        <v>7</v>
      </c>
      <c r="M263" s="18" t="n">
        <v>297</v>
      </c>
      <c r="N263" s="18" t="n">
        <v>99</v>
      </c>
      <c r="O263" s="14" t="s">
        <v>1088</v>
      </c>
      <c r="P263" s="14" t="s">
        <v>118</v>
      </c>
      <c r="Q263" s="15" t="s">
        <v>1089</v>
      </c>
      <c r="R263" s="16" t="s">
        <v>1902</v>
      </c>
      <c r="S263" s="15" t="s">
        <v>2701</v>
      </c>
      <c r="T263" s="15" t="s">
        <v>2701</v>
      </c>
      <c r="U263" s="21" t="s">
        <v>72</v>
      </c>
    </row>
    <row r="264" customFormat="false" ht="15" hidden="false" customHeight="false" outlineLevel="0" collapsed="false">
      <c r="A264" s="15" t="s">
        <v>1082</v>
      </c>
      <c r="B264" s="15" t="s">
        <v>2415</v>
      </c>
      <c r="C264" s="14" t="s">
        <v>2702</v>
      </c>
      <c r="D264" s="14" t="s">
        <v>2703</v>
      </c>
      <c r="E264" s="16" t="s">
        <v>2704</v>
      </c>
      <c r="F264" s="16" t="s">
        <v>2705</v>
      </c>
      <c r="G264" s="19" t="s">
        <v>41</v>
      </c>
      <c r="H264" s="18" t="n">
        <v>6</v>
      </c>
      <c r="I264" s="20" t="n">
        <v>69.69</v>
      </c>
      <c r="J264" s="20" t="n">
        <v>117</v>
      </c>
      <c r="K264" s="18" t="n">
        <v>30</v>
      </c>
      <c r="L264" s="18" t="n">
        <v>8</v>
      </c>
      <c r="M264" s="18" t="n">
        <v>1740</v>
      </c>
      <c r="N264" s="18" t="n">
        <v>348</v>
      </c>
      <c r="O264" s="14" t="s">
        <v>1097</v>
      </c>
      <c r="P264" s="14" t="s">
        <v>84</v>
      </c>
      <c r="Q264" s="15" t="s">
        <v>1089</v>
      </c>
      <c r="R264" s="16" t="s">
        <v>1616</v>
      </c>
      <c r="S264" s="15" t="s">
        <v>2706</v>
      </c>
      <c r="T264" s="15" t="s">
        <v>2707</v>
      </c>
      <c r="U264" s="21" t="s">
        <v>72</v>
      </c>
    </row>
    <row r="265" customFormat="false" ht="15" hidden="false" customHeight="false" outlineLevel="0" collapsed="false">
      <c r="A265" s="15" t="s">
        <v>1082</v>
      </c>
      <c r="B265" s="15" t="s">
        <v>2415</v>
      </c>
      <c r="C265" s="14" t="s">
        <v>2708</v>
      </c>
      <c r="D265" s="14" t="s">
        <v>2709</v>
      </c>
      <c r="E265" s="16" t="s">
        <v>2710</v>
      </c>
      <c r="F265" s="16" t="s">
        <v>2711</v>
      </c>
      <c r="G265" s="23" t="s">
        <v>43</v>
      </c>
      <c r="H265" s="18" t="n">
        <v>2</v>
      </c>
      <c r="I265" s="20" t="n">
        <v>52.8</v>
      </c>
      <c r="J265" s="20" t="n">
        <v>89.12</v>
      </c>
      <c r="K265" s="18" t="n">
        <v>15</v>
      </c>
      <c r="L265" s="18" t="n">
        <v>27</v>
      </c>
      <c r="M265" s="18" t="n">
        <v>645</v>
      </c>
      <c r="N265" s="18" t="n">
        <v>129</v>
      </c>
      <c r="O265" s="14" t="s">
        <v>1097</v>
      </c>
      <c r="P265" s="14" t="s">
        <v>118</v>
      </c>
      <c r="Q265" s="15" t="s">
        <v>1089</v>
      </c>
      <c r="R265" s="16" t="s">
        <v>2712</v>
      </c>
      <c r="S265" s="15" t="s">
        <v>2713</v>
      </c>
      <c r="T265" s="15" t="s">
        <v>2714</v>
      </c>
      <c r="U265" s="21" t="s">
        <v>72</v>
      </c>
    </row>
    <row r="266" customFormat="false" ht="15" hidden="false" customHeight="false" outlineLevel="0" collapsed="false">
      <c r="A266" s="15" t="s">
        <v>1082</v>
      </c>
      <c r="B266" s="15" t="s">
        <v>2415</v>
      </c>
      <c r="C266" s="14" t="s">
        <v>2715</v>
      </c>
      <c r="D266" s="14" t="s">
        <v>2716</v>
      </c>
      <c r="E266" s="16" t="s">
        <v>2717</v>
      </c>
      <c r="F266" s="16" t="s">
        <v>2718</v>
      </c>
      <c r="G266" s="23" t="s">
        <v>43</v>
      </c>
      <c r="H266" s="18" t="n">
        <v>2</v>
      </c>
      <c r="I266" s="20" t="n">
        <v>59.22</v>
      </c>
      <c r="J266" s="20" t="n">
        <v>87.05</v>
      </c>
      <c r="K266" s="18" t="n">
        <v>25</v>
      </c>
      <c r="L266" s="18" t="n">
        <v>1</v>
      </c>
      <c r="M266" s="18" t="n">
        <v>1225</v>
      </c>
      <c r="N266" s="18" t="n">
        <v>245</v>
      </c>
      <c r="O266" s="14" t="s">
        <v>1097</v>
      </c>
      <c r="P266" s="14" t="s">
        <v>118</v>
      </c>
      <c r="Q266" s="15" t="s">
        <v>1089</v>
      </c>
      <c r="R266" s="16" t="s">
        <v>2719</v>
      </c>
      <c r="S266" s="15" t="s">
        <v>2720</v>
      </c>
      <c r="T266" s="15" t="s">
        <v>2721</v>
      </c>
      <c r="U266" s="21" t="s">
        <v>72</v>
      </c>
    </row>
    <row r="267" customFormat="false" ht="26.85" hidden="false" customHeight="false" outlineLevel="0" collapsed="false">
      <c r="A267" s="15" t="s">
        <v>1082</v>
      </c>
      <c r="B267" s="15" t="s">
        <v>2415</v>
      </c>
      <c r="C267" s="14" t="s">
        <v>2722</v>
      </c>
      <c r="D267" s="14" t="s">
        <v>2723</v>
      </c>
      <c r="E267" s="16" t="s">
        <v>2724</v>
      </c>
      <c r="F267" s="16" t="s">
        <v>2725</v>
      </c>
      <c r="G267" s="23" t="s">
        <v>43</v>
      </c>
      <c r="H267" s="18" t="n">
        <v>4</v>
      </c>
      <c r="I267" s="20" t="n">
        <v>102.15</v>
      </c>
      <c r="J267" s="20" t="n">
        <v>180.34</v>
      </c>
      <c r="K267" s="18" t="n">
        <v>10</v>
      </c>
      <c r="L267" s="18" t="n">
        <v>15</v>
      </c>
      <c r="M267" s="18" t="n">
        <v>600</v>
      </c>
      <c r="N267" s="18" t="n">
        <v>120</v>
      </c>
      <c r="O267" s="14" t="s">
        <v>1097</v>
      </c>
      <c r="P267" s="14" t="s">
        <v>1185</v>
      </c>
      <c r="Q267" s="15" t="s">
        <v>1089</v>
      </c>
      <c r="R267" s="16" t="s">
        <v>2726</v>
      </c>
      <c r="S267" s="15" t="s">
        <v>2727</v>
      </c>
      <c r="T267" s="15" t="s">
        <v>2727</v>
      </c>
      <c r="U267" s="21" t="s">
        <v>72</v>
      </c>
    </row>
    <row r="268" customFormat="false" ht="15" hidden="false" customHeight="false" outlineLevel="0" collapsed="false">
      <c r="A268" s="15" t="s">
        <v>1082</v>
      </c>
      <c r="B268" s="15" t="s">
        <v>2415</v>
      </c>
      <c r="C268" s="14" t="s">
        <v>2728</v>
      </c>
      <c r="D268" s="14" t="s">
        <v>2729</v>
      </c>
      <c r="E268" s="16" t="s">
        <v>2730</v>
      </c>
      <c r="F268" s="16" t="s">
        <v>2731</v>
      </c>
      <c r="G268" s="23" t="s">
        <v>43</v>
      </c>
      <c r="H268" s="18" t="n">
        <v>2</v>
      </c>
      <c r="I268" s="20" t="n">
        <v>47.76</v>
      </c>
      <c r="J268" s="20" t="n">
        <v>111.15</v>
      </c>
      <c r="K268" s="18" t="n">
        <v>10</v>
      </c>
      <c r="L268" s="18" t="n">
        <v>8</v>
      </c>
      <c r="M268" s="18" t="n">
        <v>390</v>
      </c>
      <c r="N268" s="18" t="n">
        <v>78</v>
      </c>
      <c r="O268" s="14" t="s">
        <v>1097</v>
      </c>
      <c r="P268" s="14" t="s">
        <v>118</v>
      </c>
      <c r="Q268" s="15" t="s">
        <v>1089</v>
      </c>
      <c r="R268" s="16" t="s">
        <v>2732</v>
      </c>
      <c r="S268" s="15" t="s">
        <v>2733</v>
      </c>
      <c r="T268" s="15" t="s">
        <v>2733</v>
      </c>
      <c r="U268" s="21" t="s">
        <v>72</v>
      </c>
    </row>
    <row r="269" customFormat="false" ht="15" hidden="false" customHeight="false" outlineLevel="0" collapsed="false">
      <c r="A269" s="15" t="s">
        <v>1082</v>
      </c>
      <c r="B269" s="15" t="s">
        <v>2415</v>
      </c>
      <c r="C269" s="14" t="s">
        <v>2734</v>
      </c>
      <c r="D269" s="14" t="s">
        <v>2735</v>
      </c>
      <c r="E269" s="16" t="s">
        <v>2736</v>
      </c>
      <c r="F269" s="16" t="s">
        <v>2737</v>
      </c>
      <c r="G269" s="19" t="s">
        <v>41</v>
      </c>
      <c r="H269" s="18" t="n">
        <v>5</v>
      </c>
      <c r="I269" s="20" t="n">
        <v>79.39</v>
      </c>
      <c r="J269" s="20" t="n">
        <v>189.2</v>
      </c>
      <c r="K269" s="18" t="n">
        <v>5</v>
      </c>
      <c r="L269" s="18" t="n">
        <v>3</v>
      </c>
      <c r="M269" s="18" t="n">
        <v>300</v>
      </c>
      <c r="N269" s="18" t="n">
        <v>300</v>
      </c>
      <c r="O269" s="14" t="s">
        <v>1126</v>
      </c>
      <c r="P269" s="14" t="s">
        <v>84</v>
      </c>
      <c r="Q269" s="15" t="s">
        <v>1089</v>
      </c>
      <c r="R269" s="16" t="s">
        <v>2435</v>
      </c>
      <c r="S269" s="15" t="s">
        <v>2738</v>
      </c>
      <c r="T269" s="15" t="s">
        <v>2738</v>
      </c>
      <c r="U269" s="21" t="s">
        <v>72</v>
      </c>
    </row>
    <row r="270" customFormat="false" ht="15" hidden="false" customHeight="false" outlineLevel="0" collapsed="false">
      <c r="A270" s="15" t="s">
        <v>1082</v>
      </c>
      <c r="B270" s="15" t="s">
        <v>2415</v>
      </c>
      <c r="C270" s="14" t="s">
        <v>2739</v>
      </c>
      <c r="D270" s="14" t="s">
        <v>2740</v>
      </c>
      <c r="E270" s="16" t="s">
        <v>2741</v>
      </c>
      <c r="F270" s="16"/>
      <c r="G270" s="23" t="s">
        <v>43</v>
      </c>
      <c r="H270" s="18" t="n">
        <v>2</v>
      </c>
      <c r="I270" s="20" t="n">
        <v>34.1</v>
      </c>
      <c r="J270" s="20" t="n">
        <v>88.7</v>
      </c>
      <c r="K270" s="18" t="n">
        <v>4</v>
      </c>
      <c r="L270" s="18" t="n">
        <v>5</v>
      </c>
      <c r="M270" s="18" t="n">
        <v>60</v>
      </c>
      <c r="N270" s="18" t="n">
        <v>30</v>
      </c>
      <c r="O270" s="14" t="s">
        <v>1097</v>
      </c>
      <c r="P270" s="14" t="s">
        <v>84</v>
      </c>
      <c r="Q270" s="15" t="s">
        <v>1089</v>
      </c>
      <c r="R270" s="16" t="s">
        <v>1186</v>
      </c>
      <c r="S270" s="15" t="s">
        <v>2742</v>
      </c>
      <c r="T270" s="15" t="s">
        <v>2743</v>
      </c>
      <c r="U270" s="21" t="s">
        <v>72</v>
      </c>
    </row>
    <row r="271" customFormat="false" ht="15" hidden="false" customHeight="false" outlineLevel="0" collapsed="false">
      <c r="A271" s="15" t="s">
        <v>1082</v>
      </c>
      <c r="B271" s="15" t="s">
        <v>2415</v>
      </c>
      <c r="C271" s="14" t="s">
        <v>2744</v>
      </c>
      <c r="D271" s="14" t="s">
        <v>2745</v>
      </c>
      <c r="E271" s="16" t="s">
        <v>2746</v>
      </c>
      <c r="F271" s="16"/>
      <c r="G271" s="23" t="s">
        <v>43</v>
      </c>
      <c r="H271" s="18" t="n">
        <v>4</v>
      </c>
      <c r="I271" s="20" t="n">
        <v>46.28</v>
      </c>
      <c r="J271" s="20" t="n">
        <v>100.87</v>
      </c>
      <c r="K271" s="18" t="n">
        <v>1</v>
      </c>
      <c r="L271" s="18" t="n">
        <v>1</v>
      </c>
      <c r="M271" s="18" t="n">
        <v>38</v>
      </c>
      <c r="N271" s="18" t="n">
        <v>38</v>
      </c>
      <c r="O271" s="14" t="s">
        <v>1126</v>
      </c>
      <c r="P271" s="14" t="s">
        <v>84</v>
      </c>
      <c r="Q271" s="15" t="s">
        <v>1089</v>
      </c>
      <c r="R271" s="16" t="s">
        <v>1863</v>
      </c>
      <c r="S271" s="15" t="s">
        <v>2747</v>
      </c>
      <c r="T271" s="15" t="s">
        <v>2747</v>
      </c>
      <c r="U271" s="21" t="s">
        <v>72</v>
      </c>
    </row>
    <row r="272" customFormat="false" ht="15" hidden="false" customHeight="false" outlineLevel="0" collapsed="false">
      <c r="A272" s="15" t="s">
        <v>1082</v>
      </c>
      <c r="B272" s="15" t="s">
        <v>2415</v>
      </c>
      <c r="C272" s="14" t="s">
        <v>2748</v>
      </c>
      <c r="D272" s="14" t="s">
        <v>2749</v>
      </c>
      <c r="E272" s="16" t="s">
        <v>2750</v>
      </c>
      <c r="F272" s="16" t="s">
        <v>2751</v>
      </c>
      <c r="G272" s="23" t="s">
        <v>43</v>
      </c>
      <c r="H272" s="18" t="n">
        <v>4</v>
      </c>
      <c r="I272" s="20" t="n">
        <v>81.16</v>
      </c>
      <c r="J272" s="20" t="n">
        <v>120.53</v>
      </c>
      <c r="K272" s="18" t="n">
        <v>16</v>
      </c>
      <c r="L272" s="18" t="n">
        <v>5</v>
      </c>
      <c r="M272" s="18" t="n">
        <v>960</v>
      </c>
      <c r="N272" s="18" t="n">
        <v>240</v>
      </c>
      <c r="O272" s="14" t="s">
        <v>1088</v>
      </c>
      <c r="P272" s="14" t="s">
        <v>118</v>
      </c>
      <c r="Q272" s="15" t="s">
        <v>1089</v>
      </c>
      <c r="R272" s="16" t="s">
        <v>682</v>
      </c>
      <c r="S272" s="15" t="s">
        <v>2752</v>
      </c>
      <c r="T272" s="15" t="s">
        <v>2752</v>
      </c>
      <c r="U272" s="21" t="s">
        <v>72</v>
      </c>
    </row>
    <row r="273" customFormat="false" ht="15" hidden="false" customHeight="false" outlineLevel="0" collapsed="false">
      <c r="A273" s="15" t="s">
        <v>1082</v>
      </c>
      <c r="B273" s="15" t="s">
        <v>2415</v>
      </c>
      <c r="C273" s="14" t="s">
        <v>2753</v>
      </c>
      <c r="D273" s="14" t="s">
        <v>2754</v>
      </c>
      <c r="E273" s="16" t="s">
        <v>2755</v>
      </c>
      <c r="F273" s="16" t="s">
        <v>2756</v>
      </c>
      <c r="G273" s="23" t="s">
        <v>43</v>
      </c>
      <c r="H273" s="18" t="n">
        <v>4</v>
      </c>
      <c r="I273" s="20" t="n">
        <v>58.66</v>
      </c>
      <c r="J273" s="20" t="n">
        <v>103.86</v>
      </c>
      <c r="K273" s="18" t="n">
        <v>10</v>
      </c>
      <c r="L273" s="18" t="n">
        <v>2</v>
      </c>
      <c r="M273" s="18" t="n">
        <v>480</v>
      </c>
      <c r="N273" s="18" t="n">
        <v>96</v>
      </c>
      <c r="O273" s="14" t="s">
        <v>1088</v>
      </c>
      <c r="P273" s="14" t="s">
        <v>84</v>
      </c>
      <c r="Q273" s="15" t="s">
        <v>1089</v>
      </c>
      <c r="R273" s="16" t="s">
        <v>2757</v>
      </c>
      <c r="S273" s="15" t="s">
        <v>2758</v>
      </c>
      <c r="T273" s="15" t="s">
        <v>2758</v>
      </c>
      <c r="U273" s="21" t="s">
        <v>72</v>
      </c>
    </row>
    <row r="274" customFormat="false" ht="15" hidden="false" customHeight="false" outlineLevel="0" collapsed="false">
      <c r="A274" s="15" t="s">
        <v>1082</v>
      </c>
      <c r="B274" s="15" t="s">
        <v>2415</v>
      </c>
      <c r="C274" s="14" t="s">
        <v>2759</v>
      </c>
      <c r="D274" s="14" t="s">
        <v>2760</v>
      </c>
      <c r="E274" s="16" t="s">
        <v>2761</v>
      </c>
      <c r="F274" s="16" t="s">
        <v>2762</v>
      </c>
      <c r="G274" s="23" t="s">
        <v>43</v>
      </c>
      <c r="H274" s="18" t="n">
        <v>3</v>
      </c>
      <c r="I274" s="20" t="n">
        <v>58.96</v>
      </c>
      <c r="J274" s="20" t="n">
        <v>115.84</v>
      </c>
      <c r="K274" s="18" t="n">
        <v>1</v>
      </c>
      <c r="L274" s="18" t="n">
        <v>4</v>
      </c>
      <c r="M274" s="18" t="n">
        <v>49</v>
      </c>
      <c r="N274" s="18" t="n">
        <v>49</v>
      </c>
      <c r="O274" s="14" t="s">
        <v>1088</v>
      </c>
      <c r="P274" s="14" t="s">
        <v>84</v>
      </c>
      <c r="Q274" s="15" t="s">
        <v>1089</v>
      </c>
      <c r="R274" s="16" t="s">
        <v>1547</v>
      </c>
      <c r="S274" s="15" t="s">
        <v>2763</v>
      </c>
      <c r="T274" s="15" t="s">
        <v>2764</v>
      </c>
      <c r="U274" s="21" t="s">
        <v>72</v>
      </c>
    </row>
    <row r="275" customFormat="false" ht="15" hidden="false" customHeight="false" outlineLevel="0" collapsed="false">
      <c r="A275" s="15" t="s">
        <v>1082</v>
      </c>
      <c r="B275" s="15" t="s">
        <v>2415</v>
      </c>
      <c r="C275" s="14" t="s">
        <v>2765</v>
      </c>
      <c r="D275" s="14" t="s">
        <v>2766</v>
      </c>
      <c r="E275" s="16" t="s">
        <v>2767</v>
      </c>
      <c r="F275" s="16"/>
      <c r="G275" s="23" t="s">
        <v>43</v>
      </c>
      <c r="H275" s="18" t="n">
        <v>3</v>
      </c>
      <c r="I275" s="20" t="n">
        <v>39.16</v>
      </c>
      <c r="J275" s="20" t="n">
        <v>96.94</v>
      </c>
      <c r="K275" s="18" t="n">
        <v>5</v>
      </c>
      <c r="L275" s="18" t="n">
        <v>2</v>
      </c>
      <c r="M275" s="18" t="n">
        <v>160</v>
      </c>
      <c r="N275" s="18" t="n">
        <v>32</v>
      </c>
      <c r="O275" s="14" t="s">
        <v>1088</v>
      </c>
      <c r="P275" s="14" t="s">
        <v>84</v>
      </c>
      <c r="Q275" s="15" t="s">
        <v>1089</v>
      </c>
      <c r="R275" s="16" t="s">
        <v>1902</v>
      </c>
      <c r="S275" s="15" t="s">
        <v>2768</v>
      </c>
      <c r="T275" s="15" t="s">
        <v>2769</v>
      </c>
      <c r="U275" s="21" t="s">
        <v>72</v>
      </c>
    </row>
    <row r="276" customFormat="false" ht="15" hidden="false" customHeight="false" outlineLevel="0" collapsed="false">
      <c r="A276" s="15" t="s">
        <v>1082</v>
      </c>
      <c r="B276" s="15" t="s">
        <v>2415</v>
      </c>
      <c r="C276" s="14" t="s">
        <v>2770</v>
      </c>
      <c r="D276" s="14" t="s">
        <v>2771</v>
      </c>
      <c r="E276" s="16" t="s">
        <v>2772</v>
      </c>
      <c r="F276" s="16" t="s">
        <v>2773</v>
      </c>
      <c r="G276" s="23" t="s">
        <v>43</v>
      </c>
      <c r="H276" s="18" t="n">
        <v>4</v>
      </c>
      <c r="I276" s="20" t="n">
        <v>52.11</v>
      </c>
      <c r="J276" s="20" t="n">
        <v>83.36</v>
      </c>
      <c r="K276" s="18" t="n">
        <v>10</v>
      </c>
      <c r="L276" s="18" t="n">
        <v>13</v>
      </c>
      <c r="M276" s="18" t="n">
        <v>200</v>
      </c>
      <c r="N276" s="18" t="n">
        <v>40</v>
      </c>
      <c r="O276" s="14" t="s">
        <v>1097</v>
      </c>
      <c r="P276" s="14" t="s">
        <v>84</v>
      </c>
      <c r="Q276" s="15" t="s">
        <v>1089</v>
      </c>
      <c r="R276" s="16" t="s">
        <v>1463</v>
      </c>
      <c r="S276" s="15" t="s">
        <v>2774</v>
      </c>
      <c r="T276" s="15" t="s">
        <v>2774</v>
      </c>
      <c r="U276" s="21" t="s">
        <v>72</v>
      </c>
    </row>
    <row r="277" customFormat="false" ht="15" hidden="false" customHeight="false" outlineLevel="0" collapsed="false">
      <c r="A277" s="15" t="s">
        <v>1082</v>
      </c>
      <c r="B277" s="15" t="s">
        <v>2415</v>
      </c>
      <c r="C277" s="14" t="s">
        <v>2775</v>
      </c>
      <c r="D277" s="14" t="s">
        <v>2776</v>
      </c>
      <c r="E277" s="16" t="s">
        <v>2750</v>
      </c>
      <c r="F277" s="16" t="s">
        <v>2777</v>
      </c>
      <c r="G277" s="23" t="s">
        <v>43</v>
      </c>
      <c r="H277" s="18" t="n">
        <v>2</v>
      </c>
      <c r="I277" s="20" t="n">
        <v>33.55</v>
      </c>
      <c r="J277" s="20" t="n">
        <v>75.025</v>
      </c>
      <c r="K277" s="18" t="n">
        <v>12</v>
      </c>
      <c r="L277" s="18" t="n">
        <v>2</v>
      </c>
      <c r="M277" s="18" t="n">
        <v>168</v>
      </c>
      <c r="N277" s="18" t="n">
        <v>28</v>
      </c>
      <c r="O277" s="14" t="s">
        <v>1126</v>
      </c>
      <c r="P277" s="14" t="s">
        <v>84</v>
      </c>
      <c r="Q277" s="15" t="s">
        <v>1089</v>
      </c>
      <c r="R277" s="16" t="s">
        <v>1207</v>
      </c>
      <c r="S277" s="15" t="s">
        <v>2778</v>
      </c>
      <c r="T277" s="15" t="s">
        <v>2779</v>
      </c>
      <c r="U277" s="21" t="s">
        <v>72</v>
      </c>
    </row>
    <row r="278" customFormat="false" ht="15" hidden="false" customHeight="false" outlineLevel="0" collapsed="false">
      <c r="A278" s="15" t="s">
        <v>1082</v>
      </c>
      <c r="B278" s="15" t="s">
        <v>2415</v>
      </c>
      <c r="C278" s="14" t="s">
        <v>2780</v>
      </c>
      <c r="D278" s="14" t="s">
        <v>2781</v>
      </c>
      <c r="E278" s="16" t="s">
        <v>2782</v>
      </c>
      <c r="F278" s="16"/>
      <c r="G278" s="23" t="s">
        <v>43</v>
      </c>
      <c r="H278" s="18" t="n">
        <v>3</v>
      </c>
      <c r="I278" s="20" t="n">
        <v>55.49</v>
      </c>
      <c r="J278" s="20" t="n">
        <v>88.43</v>
      </c>
      <c r="K278" s="18" t="n">
        <v>3</v>
      </c>
      <c r="L278" s="18" t="n">
        <v>1</v>
      </c>
      <c r="M278" s="18" t="n">
        <v>54</v>
      </c>
      <c r="N278" s="18" t="n">
        <v>54</v>
      </c>
      <c r="O278" s="14" t="s">
        <v>1126</v>
      </c>
      <c r="P278" s="14" t="s">
        <v>84</v>
      </c>
      <c r="Q278" s="15" t="s">
        <v>1089</v>
      </c>
      <c r="R278" s="16" t="s">
        <v>2382</v>
      </c>
      <c r="S278" s="15" t="s">
        <v>2783</v>
      </c>
      <c r="T278" s="15" t="s">
        <v>2783</v>
      </c>
      <c r="U278" s="21" t="s">
        <v>72</v>
      </c>
    </row>
    <row r="279" customFormat="false" ht="15" hidden="false" customHeight="false" outlineLevel="0" collapsed="false">
      <c r="A279" s="15" t="s">
        <v>1082</v>
      </c>
      <c r="B279" s="15" t="s">
        <v>2415</v>
      </c>
      <c r="C279" s="14" t="s">
        <v>2784</v>
      </c>
      <c r="D279" s="14" t="s">
        <v>2785</v>
      </c>
      <c r="E279" s="16" t="s">
        <v>2786</v>
      </c>
      <c r="F279" s="16" t="s">
        <v>2787</v>
      </c>
      <c r="G279" s="23" t="s">
        <v>43</v>
      </c>
      <c r="H279" s="18" t="n">
        <v>2</v>
      </c>
      <c r="I279" s="20" t="n">
        <v>67.33</v>
      </c>
      <c r="J279" s="20" t="n">
        <v>138.64</v>
      </c>
      <c r="K279" s="18" t="n">
        <v>7</v>
      </c>
      <c r="L279" s="18" t="n">
        <v>8</v>
      </c>
      <c r="M279" s="18" t="n">
        <v>392</v>
      </c>
      <c r="N279" s="18" t="n">
        <v>56</v>
      </c>
      <c r="O279" s="14" t="s">
        <v>1097</v>
      </c>
      <c r="P279" s="14" t="s">
        <v>1716</v>
      </c>
      <c r="Q279" s="15" t="s">
        <v>1089</v>
      </c>
      <c r="R279" s="16" t="s">
        <v>2788</v>
      </c>
      <c r="S279" s="15" t="s">
        <v>2789</v>
      </c>
      <c r="T279" s="15" t="s">
        <v>2790</v>
      </c>
      <c r="U279" s="21" t="s">
        <v>72</v>
      </c>
    </row>
    <row r="280" customFormat="false" ht="39.55" hidden="false" customHeight="false" outlineLevel="0" collapsed="false">
      <c r="A280" s="15" t="s">
        <v>1082</v>
      </c>
      <c r="B280" s="15" t="s">
        <v>2415</v>
      </c>
      <c r="C280" s="14" t="s">
        <v>2791</v>
      </c>
      <c r="D280" s="14" t="s">
        <v>2792</v>
      </c>
      <c r="E280" s="16" t="s">
        <v>2793</v>
      </c>
      <c r="F280" s="16" t="s">
        <v>2787</v>
      </c>
      <c r="G280" s="23" t="s">
        <v>43</v>
      </c>
      <c r="H280" s="18" t="n">
        <v>2</v>
      </c>
      <c r="I280" s="20" t="n">
        <v>82.63</v>
      </c>
      <c r="J280" s="20" t="n">
        <v>160.82</v>
      </c>
      <c r="K280" s="18" t="n">
        <v>12</v>
      </c>
      <c r="L280" s="18" t="n">
        <v>6</v>
      </c>
      <c r="M280" s="18" t="n">
        <v>720</v>
      </c>
      <c r="N280" s="18" t="n">
        <v>180</v>
      </c>
      <c r="O280" s="14" t="s">
        <v>1097</v>
      </c>
      <c r="P280" s="14" t="s">
        <v>952</v>
      </c>
      <c r="Q280" s="15" t="s">
        <v>1089</v>
      </c>
      <c r="R280" s="16" t="s">
        <v>1500</v>
      </c>
      <c r="S280" s="15" t="s">
        <v>2789</v>
      </c>
      <c r="T280" s="15" t="s">
        <v>2794</v>
      </c>
      <c r="U280" s="21" t="s">
        <v>72</v>
      </c>
    </row>
    <row r="281" customFormat="false" ht="15" hidden="false" customHeight="false" outlineLevel="0" collapsed="false">
      <c r="A281" s="15" t="s">
        <v>1082</v>
      </c>
      <c r="B281" s="15" t="s">
        <v>2415</v>
      </c>
      <c r="C281" s="14" t="s">
        <v>2795</v>
      </c>
      <c r="D281" s="14" t="s">
        <v>2796</v>
      </c>
      <c r="E281" s="16" t="s">
        <v>2797</v>
      </c>
      <c r="F281" s="16" t="s">
        <v>2798</v>
      </c>
      <c r="G281" s="23" t="s">
        <v>43</v>
      </c>
      <c r="H281" s="18" t="n">
        <v>3</v>
      </c>
      <c r="I281" s="20" t="n">
        <v>31.69</v>
      </c>
      <c r="J281" s="20" t="n">
        <v>88.88</v>
      </c>
      <c r="K281" s="18" t="n">
        <v>12</v>
      </c>
      <c r="L281" s="18" t="n">
        <v>2</v>
      </c>
      <c r="M281" s="18" t="n">
        <v>312</v>
      </c>
      <c r="N281" s="18" t="n">
        <v>104</v>
      </c>
      <c r="O281" s="14" t="s">
        <v>1097</v>
      </c>
      <c r="P281" s="14" t="s">
        <v>118</v>
      </c>
      <c r="Q281" s="15" t="s">
        <v>1089</v>
      </c>
      <c r="R281" s="16" t="s">
        <v>1307</v>
      </c>
      <c r="S281" s="15" t="s">
        <v>2799</v>
      </c>
      <c r="T281" s="15" t="s">
        <v>2799</v>
      </c>
      <c r="U281" s="21" t="s">
        <v>72</v>
      </c>
    </row>
    <row r="282" customFormat="false" ht="26.85" hidden="false" customHeight="false" outlineLevel="0" collapsed="false">
      <c r="A282" s="15" t="s">
        <v>1082</v>
      </c>
      <c r="B282" s="15" t="s">
        <v>2415</v>
      </c>
      <c r="C282" s="14" t="s">
        <v>2800</v>
      </c>
      <c r="D282" s="14" t="s">
        <v>2801</v>
      </c>
      <c r="E282" s="16" t="s">
        <v>2802</v>
      </c>
      <c r="F282" s="16" t="s">
        <v>2803</v>
      </c>
      <c r="G282" s="19" t="s">
        <v>41</v>
      </c>
      <c r="H282" s="18" t="n">
        <v>4</v>
      </c>
      <c r="I282" s="20" t="n">
        <v>186.41</v>
      </c>
      <c r="J282" s="20" t="n">
        <v>275.18</v>
      </c>
      <c r="K282" s="18" t="n">
        <v>6</v>
      </c>
      <c r="L282" s="18" t="n">
        <v>23</v>
      </c>
      <c r="M282" s="18" t="n">
        <v>312</v>
      </c>
      <c r="N282" s="18" t="n">
        <v>52</v>
      </c>
      <c r="O282" s="14" t="s">
        <v>1097</v>
      </c>
      <c r="P282" s="14" t="s">
        <v>118</v>
      </c>
      <c r="Q282" s="15" t="s">
        <v>1089</v>
      </c>
      <c r="R282" s="16" t="s">
        <v>2804</v>
      </c>
      <c r="S282" s="15" t="s">
        <v>2805</v>
      </c>
      <c r="T282" s="15" t="s">
        <v>2806</v>
      </c>
      <c r="U282" s="21" t="s">
        <v>72</v>
      </c>
    </row>
    <row r="283" customFormat="false" ht="26.85" hidden="false" customHeight="false" outlineLevel="0" collapsed="false">
      <c r="A283" s="15" t="s">
        <v>1082</v>
      </c>
      <c r="B283" s="15" t="s">
        <v>2415</v>
      </c>
      <c r="C283" s="14" t="s">
        <v>2807</v>
      </c>
      <c r="D283" s="14" t="s">
        <v>2808</v>
      </c>
      <c r="E283" s="16" t="s">
        <v>2802</v>
      </c>
      <c r="F283" s="16" t="s">
        <v>2803</v>
      </c>
      <c r="G283" s="23" t="s">
        <v>43</v>
      </c>
      <c r="H283" s="18" t="n">
        <v>1</v>
      </c>
      <c r="I283" s="20" t="n">
        <v>121.9</v>
      </c>
      <c r="J283" s="20" t="n">
        <v>133.62</v>
      </c>
      <c r="K283" s="18" t="n">
        <v>6</v>
      </c>
      <c r="L283" s="18" t="n">
        <v>23</v>
      </c>
      <c r="M283" s="18" t="n">
        <v>360</v>
      </c>
      <c r="N283" s="18" t="n">
        <v>60</v>
      </c>
      <c r="O283" s="14" t="s">
        <v>1097</v>
      </c>
      <c r="P283" s="14" t="s">
        <v>118</v>
      </c>
      <c r="Q283" s="15" t="s">
        <v>1089</v>
      </c>
      <c r="R283" s="16" t="s">
        <v>1561</v>
      </c>
      <c r="S283" s="15" t="s">
        <v>2809</v>
      </c>
      <c r="T283" s="15" t="s">
        <v>2810</v>
      </c>
      <c r="U283" s="21" t="s">
        <v>72</v>
      </c>
    </row>
    <row r="284" customFormat="false" ht="26.85" hidden="false" customHeight="false" outlineLevel="0" collapsed="false">
      <c r="A284" s="15" t="s">
        <v>1082</v>
      </c>
      <c r="B284" s="15" t="s">
        <v>2415</v>
      </c>
      <c r="C284" s="14" t="s">
        <v>2811</v>
      </c>
      <c r="D284" s="14" t="s">
        <v>2812</v>
      </c>
      <c r="E284" s="16" t="s">
        <v>2813</v>
      </c>
      <c r="F284" s="16" t="s">
        <v>2814</v>
      </c>
      <c r="G284" s="19" t="s">
        <v>41</v>
      </c>
      <c r="H284" s="18" t="n">
        <v>5</v>
      </c>
      <c r="I284" s="20" t="n">
        <v>73.45</v>
      </c>
      <c r="J284" s="20" t="n">
        <v>146.92</v>
      </c>
      <c r="K284" s="18" t="n">
        <v>4</v>
      </c>
      <c r="L284" s="18" t="n">
        <v>51</v>
      </c>
      <c r="M284" s="18" t="n">
        <v>240</v>
      </c>
      <c r="N284" s="18" t="n">
        <v>60</v>
      </c>
      <c r="O284" s="14" t="s">
        <v>1097</v>
      </c>
      <c r="P284" s="14" t="s">
        <v>84</v>
      </c>
      <c r="Q284" s="15" t="s">
        <v>1089</v>
      </c>
      <c r="R284" s="16" t="s">
        <v>1207</v>
      </c>
      <c r="S284" s="15" t="s">
        <v>2815</v>
      </c>
      <c r="T284" s="15" t="s">
        <v>2815</v>
      </c>
      <c r="U284" s="21" t="s">
        <v>72</v>
      </c>
    </row>
    <row r="285" customFormat="false" ht="15" hidden="false" customHeight="false" outlineLevel="0" collapsed="false">
      <c r="A285" s="15" t="s">
        <v>1082</v>
      </c>
      <c r="B285" s="15" t="s">
        <v>2816</v>
      </c>
      <c r="C285" s="14" t="s">
        <v>2817</v>
      </c>
      <c r="D285" s="14" t="s">
        <v>2818</v>
      </c>
      <c r="E285" s="16" t="s">
        <v>2819</v>
      </c>
      <c r="F285" s="16" t="s">
        <v>2820</v>
      </c>
      <c r="G285" s="19" t="s">
        <v>41</v>
      </c>
      <c r="H285" s="18" t="n">
        <v>6</v>
      </c>
      <c r="I285" s="20" t="n">
        <v>109.01</v>
      </c>
      <c r="J285" s="20" t="n">
        <v>136.94</v>
      </c>
      <c r="K285" s="18" t="n">
        <v>20</v>
      </c>
      <c r="L285" s="18" t="n">
        <v>12</v>
      </c>
      <c r="M285" s="18" t="n">
        <v>460</v>
      </c>
      <c r="N285" s="18" t="n">
        <v>92</v>
      </c>
      <c r="O285" s="14" t="s">
        <v>1126</v>
      </c>
      <c r="P285" s="14" t="s">
        <v>84</v>
      </c>
      <c r="Q285" s="15" t="s">
        <v>1089</v>
      </c>
      <c r="R285" s="16" t="s">
        <v>2821</v>
      </c>
      <c r="S285" s="15" t="s">
        <v>2822</v>
      </c>
      <c r="T285" s="15" t="s">
        <v>2823</v>
      </c>
      <c r="U285" s="21" t="s">
        <v>72</v>
      </c>
    </row>
    <row r="286" customFormat="false" ht="15" hidden="false" customHeight="false" outlineLevel="0" collapsed="false">
      <c r="A286" s="15" t="s">
        <v>1082</v>
      </c>
      <c r="B286" s="15" t="s">
        <v>2816</v>
      </c>
      <c r="C286" s="14" t="s">
        <v>2824</v>
      </c>
      <c r="D286" s="14" t="s">
        <v>2825</v>
      </c>
      <c r="E286" s="16" t="s">
        <v>2826</v>
      </c>
      <c r="F286" s="16" t="s">
        <v>2827</v>
      </c>
      <c r="G286" s="19" t="s">
        <v>41</v>
      </c>
      <c r="H286" s="18" t="n">
        <v>5</v>
      </c>
      <c r="I286" s="20" t="n">
        <v>113.48</v>
      </c>
      <c r="J286" s="20" t="n">
        <v>177.83</v>
      </c>
      <c r="K286" s="18" t="n">
        <v>24</v>
      </c>
      <c r="L286" s="18" t="n">
        <v>1</v>
      </c>
      <c r="M286" s="18" t="n">
        <v>1440</v>
      </c>
      <c r="N286" s="18" t="n">
        <v>360</v>
      </c>
      <c r="O286" s="14" t="s">
        <v>1097</v>
      </c>
      <c r="P286" s="14" t="s">
        <v>118</v>
      </c>
      <c r="Q286" s="15" t="s">
        <v>1089</v>
      </c>
      <c r="R286" s="16" t="s">
        <v>2828</v>
      </c>
      <c r="S286" s="15" t="s">
        <v>2829</v>
      </c>
      <c r="T286" s="15" t="s">
        <v>2830</v>
      </c>
      <c r="U286" s="21" t="s">
        <v>72</v>
      </c>
    </row>
    <row r="287" customFormat="false" ht="15" hidden="false" customHeight="false" outlineLevel="0" collapsed="false">
      <c r="A287" s="15" t="s">
        <v>1082</v>
      </c>
      <c r="B287" s="15" t="s">
        <v>2816</v>
      </c>
      <c r="C287" s="14" t="s">
        <v>2831</v>
      </c>
      <c r="D287" s="14" t="s">
        <v>2832</v>
      </c>
      <c r="E287" s="16" t="s">
        <v>2833</v>
      </c>
      <c r="F287" s="16" t="s">
        <v>2834</v>
      </c>
      <c r="G287" s="23" t="s">
        <v>43</v>
      </c>
      <c r="H287" s="18" t="n">
        <v>2</v>
      </c>
      <c r="I287" s="20" t="n">
        <v>71.54</v>
      </c>
      <c r="J287" s="20" t="n">
        <v>90.68</v>
      </c>
      <c r="K287" s="18" t="n">
        <v>2</v>
      </c>
      <c r="L287" s="18" t="n">
        <v>2</v>
      </c>
      <c r="M287" s="18" t="n">
        <v>118</v>
      </c>
      <c r="N287" s="18" t="n">
        <v>118</v>
      </c>
      <c r="O287" s="14" t="s">
        <v>1097</v>
      </c>
      <c r="P287" s="14" t="s">
        <v>118</v>
      </c>
      <c r="Q287" s="15" t="s">
        <v>1089</v>
      </c>
      <c r="R287" s="16" t="s">
        <v>2614</v>
      </c>
      <c r="S287" s="15" t="s">
        <v>2835</v>
      </c>
      <c r="T287" s="15" t="s">
        <v>2836</v>
      </c>
      <c r="U287" s="21" t="s">
        <v>72</v>
      </c>
    </row>
    <row r="288" customFormat="false" ht="15" hidden="false" customHeight="false" outlineLevel="0" collapsed="false">
      <c r="A288" s="15" t="s">
        <v>1082</v>
      </c>
      <c r="B288" s="15" t="s">
        <v>2816</v>
      </c>
      <c r="C288" s="14" t="s">
        <v>2837</v>
      </c>
      <c r="D288" s="14" t="s">
        <v>2838</v>
      </c>
      <c r="E288" s="16" t="s">
        <v>2839</v>
      </c>
      <c r="F288" s="16" t="s">
        <v>2840</v>
      </c>
      <c r="G288" s="19" t="s">
        <v>41</v>
      </c>
      <c r="H288" s="18" t="n">
        <v>4</v>
      </c>
      <c r="I288" s="20" t="n">
        <v>92.88</v>
      </c>
      <c r="J288" s="20" t="n">
        <v>257.39</v>
      </c>
      <c r="K288" s="18"/>
      <c r="L288" s="18" t="n">
        <v>4</v>
      </c>
      <c r="M288" s="18"/>
      <c r="N288" s="18"/>
      <c r="O288" s="13"/>
      <c r="P288" s="14" t="s">
        <v>84</v>
      </c>
      <c r="Q288" s="15" t="s">
        <v>1089</v>
      </c>
      <c r="R288" s="16" t="s">
        <v>2841</v>
      </c>
      <c r="S288" s="15" t="s">
        <v>2842</v>
      </c>
      <c r="T288" s="15" t="s">
        <v>2842</v>
      </c>
      <c r="U288" s="21" t="s">
        <v>72</v>
      </c>
    </row>
    <row r="289" customFormat="false" ht="15" hidden="false" customHeight="false" outlineLevel="0" collapsed="false">
      <c r="A289" s="15" t="s">
        <v>1082</v>
      </c>
      <c r="B289" s="15" t="s">
        <v>2816</v>
      </c>
      <c r="C289" s="14" t="s">
        <v>2843</v>
      </c>
      <c r="D289" s="14" t="s">
        <v>2844</v>
      </c>
      <c r="E289" s="16" t="s">
        <v>2845</v>
      </c>
      <c r="F289" s="16" t="s">
        <v>2846</v>
      </c>
      <c r="G289" s="23" t="s">
        <v>43</v>
      </c>
      <c r="H289" s="18" t="n">
        <v>3</v>
      </c>
      <c r="I289" s="20" t="n">
        <v>47.16</v>
      </c>
      <c r="J289" s="20" t="n">
        <v>109.25</v>
      </c>
      <c r="K289" s="18" t="n">
        <v>3</v>
      </c>
      <c r="L289" s="18" t="n">
        <v>2</v>
      </c>
      <c r="M289" s="18" t="n">
        <v>117</v>
      </c>
      <c r="N289" s="18" t="n">
        <v>117</v>
      </c>
      <c r="O289" s="14" t="s">
        <v>1126</v>
      </c>
      <c r="P289" s="14" t="s">
        <v>84</v>
      </c>
      <c r="Q289" s="15" t="s">
        <v>1089</v>
      </c>
      <c r="R289" s="16" t="s">
        <v>2847</v>
      </c>
      <c r="S289" s="15" t="s">
        <v>2848</v>
      </c>
      <c r="T289" s="15" t="s">
        <v>2848</v>
      </c>
      <c r="U289" s="21" t="s">
        <v>72</v>
      </c>
    </row>
    <row r="290" customFormat="false" ht="15" hidden="false" customHeight="false" outlineLevel="0" collapsed="false">
      <c r="A290" s="15" t="s">
        <v>1082</v>
      </c>
      <c r="B290" s="15" t="s">
        <v>2816</v>
      </c>
      <c r="C290" s="14" t="s">
        <v>2849</v>
      </c>
      <c r="D290" s="14" t="s">
        <v>2850</v>
      </c>
      <c r="E290" s="16" t="s">
        <v>2851</v>
      </c>
      <c r="F290" s="16" t="s">
        <v>2852</v>
      </c>
      <c r="G290" s="19" t="s">
        <v>41</v>
      </c>
      <c r="H290" s="18" t="n">
        <v>5</v>
      </c>
      <c r="I290" s="20" t="n">
        <v>79.636</v>
      </c>
      <c r="J290" s="20" t="n">
        <v>147</v>
      </c>
      <c r="K290" s="18" t="n">
        <v>7</v>
      </c>
      <c r="L290" s="18" t="n">
        <v>8</v>
      </c>
      <c r="M290" s="18" t="n">
        <v>420</v>
      </c>
      <c r="N290" s="18" t="n">
        <v>60</v>
      </c>
      <c r="O290" s="14" t="s">
        <v>1097</v>
      </c>
      <c r="P290" s="14" t="s">
        <v>84</v>
      </c>
      <c r="Q290" s="15" t="s">
        <v>1089</v>
      </c>
      <c r="R290" s="16" t="s">
        <v>2853</v>
      </c>
      <c r="S290" s="15" t="s">
        <v>2854</v>
      </c>
      <c r="T290" s="15" t="s">
        <v>2855</v>
      </c>
      <c r="U290" s="21" t="s">
        <v>72</v>
      </c>
    </row>
    <row r="291" customFormat="false" ht="15" hidden="false" customHeight="false" outlineLevel="0" collapsed="false">
      <c r="A291" s="15" t="s">
        <v>1082</v>
      </c>
      <c r="B291" s="15" t="s">
        <v>2816</v>
      </c>
      <c r="C291" s="14" t="s">
        <v>2856</v>
      </c>
      <c r="D291" s="14" t="s">
        <v>2857</v>
      </c>
      <c r="E291" s="16" t="s">
        <v>2858</v>
      </c>
      <c r="F291" s="16" t="s">
        <v>2859</v>
      </c>
      <c r="G291" s="23" t="s">
        <v>43</v>
      </c>
      <c r="H291" s="18" t="n">
        <v>3</v>
      </c>
      <c r="I291" s="20" t="n">
        <v>46.57</v>
      </c>
      <c r="J291" s="20" t="n">
        <v>111.2</v>
      </c>
      <c r="K291" s="18" t="n">
        <v>3</v>
      </c>
      <c r="L291" s="18" t="n">
        <v>3</v>
      </c>
      <c r="M291" s="18" t="n">
        <v>114</v>
      </c>
      <c r="N291" s="18" t="n">
        <v>114</v>
      </c>
      <c r="O291" s="14" t="s">
        <v>1126</v>
      </c>
      <c r="P291" s="14" t="s">
        <v>84</v>
      </c>
      <c r="Q291" s="15" t="s">
        <v>1089</v>
      </c>
      <c r="R291" s="16" t="s">
        <v>1739</v>
      </c>
      <c r="S291" s="15" t="s">
        <v>2860</v>
      </c>
      <c r="T291" s="15" t="s">
        <v>2860</v>
      </c>
      <c r="U291" s="21" t="s">
        <v>72</v>
      </c>
    </row>
    <row r="292" customFormat="false" ht="15" hidden="false" customHeight="false" outlineLevel="0" collapsed="false">
      <c r="A292" s="15" t="s">
        <v>1082</v>
      </c>
      <c r="B292" s="15" t="s">
        <v>2816</v>
      </c>
      <c r="C292" s="14" t="s">
        <v>2861</v>
      </c>
      <c r="D292" s="14" t="s">
        <v>2862</v>
      </c>
      <c r="E292" s="16" t="s">
        <v>2863</v>
      </c>
      <c r="F292" s="16" t="s">
        <v>2864</v>
      </c>
      <c r="G292" s="23" t="s">
        <v>43</v>
      </c>
      <c r="H292" s="18" t="n">
        <v>4</v>
      </c>
      <c r="I292" s="20" t="n">
        <v>48.1</v>
      </c>
      <c r="J292" s="20" t="n">
        <v>89.25</v>
      </c>
      <c r="K292" s="18" t="n">
        <v>8</v>
      </c>
      <c r="L292" s="18" t="n">
        <v>7</v>
      </c>
      <c r="M292" s="18" t="n">
        <v>320</v>
      </c>
      <c r="N292" s="18" t="n">
        <v>160</v>
      </c>
      <c r="O292" s="14" t="s">
        <v>1097</v>
      </c>
      <c r="P292" s="14" t="s">
        <v>84</v>
      </c>
      <c r="Q292" s="15" t="s">
        <v>1089</v>
      </c>
      <c r="R292" s="16" t="s">
        <v>2865</v>
      </c>
      <c r="S292" s="15" t="s">
        <v>2866</v>
      </c>
      <c r="T292" s="15" t="s">
        <v>2867</v>
      </c>
      <c r="U292" s="21" t="s">
        <v>72</v>
      </c>
    </row>
    <row r="293" customFormat="false" ht="15" hidden="false" customHeight="false" outlineLevel="0" collapsed="false">
      <c r="A293" s="15" t="s">
        <v>1082</v>
      </c>
      <c r="B293" s="15" t="s">
        <v>2816</v>
      </c>
      <c r="C293" s="14" t="s">
        <v>2868</v>
      </c>
      <c r="D293" s="14" t="s">
        <v>2869</v>
      </c>
      <c r="E293" s="16" t="s">
        <v>2870</v>
      </c>
      <c r="F293" s="16" t="s">
        <v>2871</v>
      </c>
      <c r="G293" s="23" t="s">
        <v>43</v>
      </c>
      <c r="H293" s="18" t="n">
        <v>1</v>
      </c>
      <c r="I293" s="20" t="n">
        <v>32.76</v>
      </c>
      <c r="J293" s="20" t="n">
        <v>95.44</v>
      </c>
      <c r="K293" s="18" t="n">
        <v>6</v>
      </c>
      <c r="L293" s="18" t="n">
        <v>5</v>
      </c>
      <c r="M293" s="18" t="n">
        <v>162</v>
      </c>
      <c r="N293" s="18" t="n">
        <v>54</v>
      </c>
      <c r="O293" s="14" t="s">
        <v>1088</v>
      </c>
      <c r="P293" s="14" t="s">
        <v>84</v>
      </c>
      <c r="Q293" s="15" t="s">
        <v>1089</v>
      </c>
      <c r="R293" s="16" t="s">
        <v>2872</v>
      </c>
      <c r="S293" s="15" t="s">
        <v>2873</v>
      </c>
      <c r="T293" s="15" t="s">
        <v>2873</v>
      </c>
      <c r="U293" s="21" t="s">
        <v>72</v>
      </c>
    </row>
    <row r="294" customFormat="false" ht="15" hidden="false" customHeight="false" outlineLevel="0" collapsed="false">
      <c r="A294" s="15" t="s">
        <v>1082</v>
      </c>
      <c r="B294" s="15" t="s">
        <v>2816</v>
      </c>
      <c r="C294" s="14" t="s">
        <v>2874</v>
      </c>
      <c r="D294" s="14" t="s">
        <v>2875</v>
      </c>
      <c r="E294" s="16" t="s">
        <v>2876</v>
      </c>
      <c r="F294" s="16" t="s">
        <v>2877</v>
      </c>
      <c r="G294" s="25" t="s">
        <v>39</v>
      </c>
      <c r="H294" s="18" t="n">
        <v>8</v>
      </c>
      <c r="I294" s="20" t="n">
        <v>100.43</v>
      </c>
      <c r="J294" s="20" t="n">
        <v>171.25</v>
      </c>
      <c r="K294" s="18" t="n">
        <v>10</v>
      </c>
      <c r="L294" s="18" t="n">
        <v>7</v>
      </c>
      <c r="M294" s="18" t="n">
        <v>500</v>
      </c>
      <c r="N294" s="18" t="n">
        <v>100</v>
      </c>
      <c r="O294" s="14" t="s">
        <v>1088</v>
      </c>
      <c r="P294" s="14" t="s">
        <v>84</v>
      </c>
      <c r="Q294" s="15" t="s">
        <v>1089</v>
      </c>
      <c r="R294" s="16" t="s">
        <v>2878</v>
      </c>
      <c r="S294" s="15" t="s">
        <v>2879</v>
      </c>
      <c r="T294" s="15" t="s">
        <v>2879</v>
      </c>
      <c r="U294" s="21" t="s">
        <v>72</v>
      </c>
    </row>
    <row r="295" customFormat="false" ht="39.55" hidden="false" customHeight="false" outlineLevel="0" collapsed="false">
      <c r="A295" s="15" t="s">
        <v>1082</v>
      </c>
      <c r="B295" s="15" t="s">
        <v>2816</v>
      </c>
      <c r="C295" s="14" t="s">
        <v>2880</v>
      </c>
      <c r="D295" s="14" t="s">
        <v>2881</v>
      </c>
      <c r="E295" s="16" t="s">
        <v>2882</v>
      </c>
      <c r="F295" s="16" t="s">
        <v>2883</v>
      </c>
      <c r="G295" s="19" t="s">
        <v>41</v>
      </c>
      <c r="H295" s="18" t="n">
        <v>5</v>
      </c>
      <c r="I295" s="20" t="n">
        <v>86.59</v>
      </c>
      <c r="J295" s="20" t="n">
        <v>135.66</v>
      </c>
      <c r="K295" s="18" t="n">
        <v>6</v>
      </c>
      <c r="L295" s="18" t="n">
        <v>8</v>
      </c>
      <c r="M295" s="18" t="n">
        <v>144</v>
      </c>
      <c r="N295" s="18" t="n">
        <v>24</v>
      </c>
      <c r="O295" s="14" t="s">
        <v>1088</v>
      </c>
      <c r="P295" s="14" t="s">
        <v>1288</v>
      </c>
      <c r="Q295" s="15" t="s">
        <v>1089</v>
      </c>
      <c r="R295" s="16" t="s">
        <v>2884</v>
      </c>
      <c r="S295" s="15" t="s">
        <v>2885</v>
      </c>
      <c r="T295" s="15" t="s">
        <v>2886</v>
      </c>
      <c r="U295" s="21" t="s">
        <v>72</v>
      </c>
    </row>
    <row r="296" customFormat="false" ht="15" hidden="false" customHeight="false" outlineLevel="0" collapsed="false">
      <c r="A296" s="15" t="s">
        <v>1082</v>
      </c>
      <c r="B296" s="15" t="s">
        <v>2816</v>
      </c>
      <c r="C296" s="14" t="s">
        <v>2887</v>
      </c>
      <c r="D296" s="14" t="s">
        <v>2888</v>
      </c>
      <c r="E296" s="16" t="s">
        <v>2889</v>
      </c>
      <c r="F296" s="16" t="s">
        <v>2890</v>
      </c>
      <c r="G296" s="23" t="s">
        <v>43</v>
      </c>
      <c r="H296" s="18" t="n">
        <v>3</v>
      </c>
      <c r="I296" s="20" t="n">
        <v>55.87</v>
      </c>
      <c r="J296" s="20" t="n">
        <v>176.5</v>
      </c>
      <c r="K296" s="18" t="n">
        <v>6</v>
      </c>
      <c r="L296" s="18" t="n">
        <v>19</v>
      </c>
      <c r="M296" s="18" t="n">
        <v>90</v>
      </c>
      <c r="N296" s="18" t="n">
        <v>15</v>
      </c>
      <c r="O296" s="14" t="s">
        <v>1126</v>
      </c>
      <c r="P296" s="14" t="s">
        <v>84</v>
      </c>
      <c r="Q296" s="15" t="s">
        <v>1089</v>
      </c>
      <c r="R296" s="16" t="s">
        <v>2891</v>
      </c>
      <c r="S296" s="15" t="s">
        <v>2544</v>
      </c>
      <c r="T296" s="15" t="s">
        <v>2892</v>
      </c>
      <c r="U296" s="21" t="s">
        <v>72</v>
      </c>
    </row>
    <row r="297" customFormat="false" ht="15" hidden="false" customHeight="false" outlineLevel="0" collapsed="false">
      <c r="A297" s="15" t="s">
        <v>1082</v>
      </c>
      <c r="B297" s="15" t="s">
        <v>2816</v>
      </c>
      <c r="C297" s="14" t="s">
        <v>2893</v>
      </c>
      <c r="D297" s="14" t="s">
        <v>2894</v>
      </c>
      <c r="E297" s="16" t="s">
        <v>2895</v>
      </c>
      <c r="F297" s="16" t="s">
        <v>2896</v>
      </c>
      <c r="G297" s="23" t="s">
        <v>43</v>
      </c>
      <c r="H297" s="18" t="n">
        <v>3</v>
      </c>
      <c r="I297" s="20" t="n">
        <v>91.58</v>
      </c>
      <c r="J297" s="20" t="n">
        <v>156.93</v>
      </c>
      <c r="K297" s="18" t="n">
        <v>25</v>
      </c>
      <c r="L297" s="18" t="n">
        <v>1</v>
      </c>
      <c r="M297" s="18" t="n">
        <v>1500</v>
      </c>
      <c r="N297" s="18" t="n">
        <v>300</v>
      </c>
      <c r="O297" s="14" t="s">
        <v>1126</v>
      </c>
      <c r="P297" s="14" t="s">
        <v>118</v>
      </c>
      <c r="Q297" s="15" t="s">
        <v>1089</v>
      </c>
      <c r="R297" s="16" t="s">
        <v>2150</v>
      </c>
      <c r="S297" s="15" t="s">
        <v>2897</v>
      </c>
      <c r="T297" s="15" t="s">
        <v>2897</v>
      </c>
      <c r="U297" s="21" t="s">
        <v>72</v>
      </c>
    </row>
    <row r="298" customFormat="false" ht="15" hidden="false" customHeight="false" outlineLevel="0" collapsed="false">
      <c r="A298" s="15" t="s">
        <v>1082</v>
      </c>
      <c r="B298" s="15" t="s">
        <v>2816</v>
      </c>
      <c r="C298" s="14" t="s">
        <v>2898</v>
      </c>
      <c r="D298" s="14" t="s">
        <v>2899</v>
      </c>
      <c r="E298" s="16" t="s">
        <v>2900</v>
      </c>
      <c r="F298" s="16"/>
      <c r="G298" s="23" t="s">
        <v>43</v>
      </c>
      <c r="H298" s="18" t="n">
        <v>3</v>
      </c>
      <c r="I298" s="20" t="n">
        <v>41</v>
      </c>
      <c r="J298" s="20" t="n">
        <v>73.15</v>
      </c>
      <c r="K298" s="18" t="n">
        <v>12</v>
      </c>
      <c r="L298" s="18"/>
      <c r="M298" s="18" t="n">
        <v>408</v>
      </c>
      <c r="N298" s="18" t="n">
        <v>102</v>
      </c>
      <c r="O298" s="14" t="s">
        <v>1097</v>
      </c>
      <c r="P298" s="14" t="s">
        <v>84</v>
      </c>
      <c r="Q298" s="15" t="s">
        <v>1089</v>
      </c>
      <c r="R298" s="16" t="s">
        <v>2901</v>
      </c>
      <c r="S298" s="15" t="s">
        <v>2902</v>
      </c>
      <c r="T298" s="15" t="s">
        <v>2902</v>
      </c>
      <c r="U298" s="21" t="s">
        <v>72</v>
      </c>
    </row>
    <row r="299" customFormat="false" ht="15" hidden="false" customHeight="false" outlineLevel="0" collapsed="false">
      <c r="A299" s="15" t="s">
        <v>1082</v>
      </c>
      <c r="B299" s="15" t="s">
        <v>2816</v>
      </c>
      <c r="C299" s="14" t="s">
        <v>2903</v>
      </c>
      <c r="D299" s="14" t="s">
        <v>2904</v>
      </c>
      <c r="E299" s="16" t="s">
        <v>2905</v>
      </c>
      <c r="F299" s="16" t="s">
        <v>2906</v>
      </c>
      <c r="G299" s="19" t="s">
        <v>41</v>
      </c>
      <c r="H299" s="18" t="n">
        <v>7</v>
      </c>
      <c r="I299" s="20" t="n">
        <v>85.13</v>
      </c>
      <c r="J299" s="20" t="n">
        <v>183.65</v>
      </c>
      <c r="K299" s="18" t="n">
        <v>42</v>
      </c>
      <c r="L299" s="18" t="n">
        <v>15</v>
      </c>
      <c r="M299" s="18" t="n">
        <v>2520</v>
      </c>
      <c r="N299" s="18" t="n">
        <v>420</v>
      </c>
      <c r="O299" s="14" t="s">
        <v>1088</v>
      </c>
      <c r="P299" s="14" t="s">
        <v>1716</v>
      </c>
      <c r="Q299" s="15" t="s">
        <v>1089</v>
      </c>
      <c r="R299" s="16" t="s">
        <v>1940</v>
      </c>
      <c r="S299" s="15" t="s">
        <v>2907</v>
      </c>
      <c r="T299" s="15" t="s">
        <v>2908</v>
      </c>
      <c r="U299" s="21" t="s">
        <v>72</v>
      </c>
    </row>
    <row r="300" customFormat="false" ht="15" hidden="false" customHeight="false" outlineLevel="0" collapsed="false">
      <c r="A300" s="15" t="s">
        <v>1082</v>
      </c>
      <c r="B300" s="15" t="s">
        <v>2816</v>
      </c>
      <c r="C300" s="14" t="s">
        <v>2909</v>
      </c>
      <c r="D300" s="14" t="s">
        <v>2910</v>
      </c>
      <c r="E300" s="16" t="s">
        <v>2911</v>
      </c>
      <c r="F300" s="16" t="s">
        <v>2912</v>
      </c>
      <c r="G300" s="23" t="s">
        <v>43</v>
      </c>
      <c r="H300" s="18" t="n">
        <v>1</v>
      </c>
      <c r="I300" s="20" t="n">
        <v>31.72</v>
      </c>
      <c r="J300" s="20" t="n">
        <v>72.25</v>
      </c>
      <c r="K300" s="18" t="n">
        <v>2</v>
      </c>
      <c r="L300" s="18" t="n">
        <v>2</v>
      </c>
      <c r="M300" s="18" t="n">
        <v>52</v>
      </c>
      <c r="N300" s="18" t="n">
        <v>26</v>
      </c>
      <c r="O300" s="14" t="s">
        <v>1097</v>
      </c>
      <c r="P300" s="14" t="s">
        <v>84</v>
      </c>
      <c r="Q300" s="15" t="s">
        <v>1089</v>
      </c>
      <c r="R300" s="16" t="s">
        <v>2913</v>
      </c>
      <c r="S300" s="15" t="s">
        <v>2914</v>
      </c>
      <c r="T300" s="15" t="s">
        <v>2915</v>
      </c>
      <c r="U300" s="21" t="s">
        <v>72</v>
      </c>
    </row>
    <row r="301" customFormat="false" ht="26.85" hidden="false" customHeight="false" outlineLevel="0" collapsed="false">
      <c r="A301" s="15" t="s">
        <v>1082</v>
      </c>
      <c r="B301" s="15" t="s">
        <v>2916</v>
      </c>
      <c r="C301" s="14" t="s">
        <v>2917</v>
      </c>
      <c r="D301" s="14" t="s">
        <v>2918</v>
      </c>
      <c r="E301" s="16" t="s">
        <v>2919</v>
      </c>
      <c r="F301" s="16" t="s">
        <v>2920</v>
      </c>
      <c r="G301" s="25" t="s">
        <v>39</v>
      </c>
      <c r="H301" s="18" t="n">
        <v>10</v>
      </c>
      <c r="I301" s="20" t="n">
        <v>99.34</v>
      </c>
      <c r="J301" s="20" t="n">
        <v>166.25</v>
      </c>
      <c r="K301" s="18" t="n">
        <v>6</v>
      </c>
      <c r="L301" s="18" t="n">
        <v>40</v>
      </c>
      <c r="M301" s="18" t="n">
        <v>144</v>
      </c>
      <c r="N301" s="18" t="n">
        <v>144</v>
      </c>
      <c r="O301" s="14" t="s">
        <v>1126</v>
      </c>
      <c r="P301" s="14" t="s">
        <v>84</v>
      </c>
      <c r="Q301" s="15" t="s">
        <v>1089</v>
      </c>
      <c r="R301" s="16" t="s">
        <v>2921</v>
      </c>
      <c r="S301" s="15" t="s">
        <v>2922</v>
      </c>
      <c r="T301" s="15" t="s">
        <v>2923</v>
      </c>
      <c r="U301" s="21" t="s">
        <v>72</v>
      </c>
    </row>
    <row r="302" customFormat="false" ht="26.85" hidden="false" customHeight="false" outlineLevel="0" collapsed="false">
      <c r="A302" s="15" t="s">
        <v>1082</v>
      </c>
      <c r="B302" s="15" t="s">
        <v>2916</v>
      </c>
      <c r="C302" s="14" t="s">
        <v>2924</v>
      </c>
      <c r="D302" s="14" t="s">
        <v>2925</v>
      </c>
      <c r="E302" s="16" t="s">
        <v>2926</v>
      </c>
      <c r="F302" s="16" t="s">
        <v>2927</v>
      </c>
      <c r="G302" s="23" t="s">
        <v>43</v>
      </c>
      <c r="H302" s="18" t="n">
        <v>3</v>
      </c>
      <c r="I302" s="20" t="n">
        <v>62.26</v>
      </c>
      <c r="J302" s="20" t="n">
        <v>114.49</v>
      </c>
      <c r="K302" s="18" t="n">
        <v>9</v>
      </c>
      <c r="L302" s="18" t="n">
        <v>20</v>
      </c>
      <c r="M302" s="18" t="n">
        <v>459</v>
      </c>
      <c r="N302" s="18" t="n">
        <v>153</v>
      </c>
      <c r="O302" s="14" t="s">
        <v>1088</v>
      </c>
      <c r="P302" s="14" t="s">
        <v>352</v>
      </c>
      <c r="Q302" s="15" t="s">
        <v>1089</v>
      </c>
      <c r="R302" s="16" t="s">
        <v>2928</v>
      </c>
      <c r="S302" s="15" t="s">
        <v>2929</v>
      </c>
      <c r="T302" s="15" t="s">
        <v>2930</v>
      </c>
      <c r="U302" s="21" t="s">
        <v>72</v>
      </c>
    </row>
    <row r="303" customFormat="false" ht="26.85" hidden="false" customHeight="false" outlineLevel="0" collapsed="false">
      <c r="A303" s="15" t="s">
        <v>1082</v>
      </c>
      <c r="B303" s="15" t="s">
        <v>2916</v>
      </c>
      <c r="C303" s="14" t="s">
        <v>2931</v>
      </c>
      <c r="D303" s="14" t="s">
        <v>2932</v>
      </c>
      <c r="E303" s="16" t="s">
        <v>2933</v>
      </c>
      <c r="F303" s="16" t="s">
        <v>2934</v>
      </c>
      <c r="G303" s="23" t="s">
        <v>43</v>
      </c>
      <c r="H303" s="18" t="n">
        <v>3</v>
      </c>
      <c r="I303" s="20" t="n">
        <v>44.01</v>
      </c>
      <c r="J303" s="20" t="n">
        <v>71.08</v>
      </c>
      <c r="K303" s="18" t="n">
        <v>10</v>
      </c>
      <c r="L303" s="18" t="n">
        <v>3</v>
      </c>
      <c r="M303" s="18" t="n">
        <v>360</v>
      </c>
      <c r="N303" s="18" t="n">
        <v>36</v>
      </c>
      <c r="O303" s="14" t="s">
        <v>1088</v>
      </c>
      <c r="P303" s="14" t="s">
        <v>872</v>
      </c>
      <c r="Q303" s="15" t="s">
        <v>1089</v>
      </c>
      <c r="R303" s="16" t="s">
        <v>2935</v>
      </c>
      <c r="S303" s="15" t="s">
        <v>2936</v>
      </c>
      <c r="T303" s="15" t="s">
        <v>2937</v>
      </c>
      <c r="U303" s="21" t="s">
        <v>72</v>
      </c>
    </row>
    <row r="304" customFormat="false" ht="26.85" hidden="false" customHeight="false" outlineLevel="0" collapsed="false">
      <c r="A304" s="15" t="s">
        <v>1082</v>
      </c>
      <c r="B304" s="15" t="s">
        <v>2916</v>
      </c>
      <c r="C304" s="14" t="s">
        <v>2938</v>
      </c>
      <c r="D304" s="14" t="s">
        <v>2939</v>
      </c>
      <c r="E304" s="16" t="s">
        <v>2940</v>
      </c>
      <c r="F304" s="16" t="s">
        <v>2934</v>
      </c>
      <c r="G304" s="23" t="s">
        <v>43</v>
      </c>
      <c r="H304" s="18" t="n">
        <v>2</v>
      </c>
      <c r="I304" s="20" t="n">
        <v>30.54</v>
      </c>
      <c r="J304" s="20" t="n">
        <v>107.17</v>
      </c>
      <c r="K304" s="18" t="n">
        <v>24</v>
      </c>
      <c r="L304" s="18" t="n">
        <v>10</v>
      </c>
      <c r="M304" s="18" t="n">
        <v>600</v>
      </c>
      <c r="N304" s="18" t="n">
        <v>75</v>
      </c>
      <c r="O304" s="14" t="s">
        <v>1088</v>
      </c>
      <c r="P304" s="14" t="s">
        <v>872</v>
      </c>
      <c r="Q304" s="15" t="s">
        <v>1089</v>
      </c>
      <c r="R304" s="16" t="s">
        <v>2941</v>
      </c>
      <c r="S304" s="15" t="s">
        <v>2936</v>
      </c>
      <c r="T304" s="15" t="s">
        <v>2942</v>
      </c>
      <c r="U304" s="21" t="s">
        <v>72</v>
      </c>
    </row>
    <row r="305" customFormat="false" ht="26.85" hidden="false" customHeight="false" outlineLevel="0" collapsed="false">
      <c r="A305" s="15" t="s">
        <v>1082</v>
      </c>
      <c r="B305" s="15" t="s">
        <v>2916</v>
      </c>
      <c r="C305" s="14" t="s">
        <v>2943</v>
      </c>
      <c r="D305" s="14" t="s">
        <v>2944</v>
      </c>
      <c r="E305" s="16" t="s">
        <v>2945</v>
      </c>
      <c r="F305" s="16" t="s">
        <v>2946</v>
      </c>
      <c r="G305" s="25" t="s">
        <v>39</v>
      </c>
      <c r="H305" s="18" t="n">
        <v>19</v>
      </c>
      <c r="I305" s="20" t="n">
        <v>549.56</v>
      </c>
      <c r="J305" s="20" t="n">
        <v>992.28</v>
      </c>
      <c r="K305" s="18" t="n">
        <v>54</v>
      </c>
      <c r="L305" s="18" t="n">
        <v>38</v>
      </c>
      <c r="M305" s="18" t="n">
        <v>1512</v>
      </c>
      <c r="N305" s="18" t="n">
        <v>448</v>
      </c>
      <c r="O305" s="14" t="s">
        <v>1088</v>
      </c>
      <c r="P305" s="14" t="s">
        <v>84</v>
      </c>
      <c r="Q305" s="15" t="s">
        <v>1089</v>
      </c>
      <c r="R305" s="16" t="s">
        <v>2451</v>
      </c>
      <c r="S305" s="15" t="s">
        <v>1091</v>
      </c>
      <c r="T305" s="15" t="s">
        <v>2031</v>
      </c>
      <c r="U305" s="21" t="s">
        <v>72</v>
      </c>
    </row>
    <row r="306" customFormat="false" ht="26.85" hidden="false" customHeight="false" outlineLevel="0" collapsed="false">
      <c r="A306" s="15" t="s">
        <v>1082</v>
      </c>
      <c r="B306" s="15" t="s">
        <v>2916</v>
      </c>
      <c r="C306" s="14" t="s">
        <v>2947</v>
      </c>
      <c r="D306" s="14" t="s">
        <v>2948</v>
      </c>
      <c r="E306" s="16" t="s">
        <v>2949</v>
      </c>
      <c r="F306" s="16" t="s">
        <v>2950</v>
      </c>
      <c r="G306" s="25" t="s">
        <v>39</v>
      </c>
      <c r="H306" s="18" t="n">
        <v>21</v>
      </c>
      <c r="I306" s="20" t="n">
        <v>567.08</v>
      </c>
      <c r="J306" s="20" t="n">
        <v>1069.5</v>
      </c>
      <c r="K306" s="18" t="n">
        <v>5</v>
      </c>
      <c r="L306" s="18" t="n">
        <v>28</v>
      </c>
      <c r="M306" s="18" t="n">
        <v>300</v>
      </c>
      <c r="N306" s="18" t="n">
        <v>60</v>
      </c>
      <c r="O306" s="14" t="s">
        <v>1088</v>
      </c>
      <c r="P306" s="14" t="s">
        <v>118</v>
      </c>
      <c r="Q306" s="15" t="s">
        <v>1089</v>
      </c>
      <c r="R306" s="16" t="s">
        <v>2419</v>
      </c>
      <c r="S306" s="15" t="s">
        <v>1091</v>
      </c>
      <c r="T306" s="15" t="s">
        <v>2951</v>
      </c>
      <c r="U306" s="21" t="s">
        <v>72</v>
      </c>
    </row>
    <row r="307" customFormat="false" ht="15" hidden="false" customHeight="false" outlineLevel="0" collapsed="false">
      <c r="A307" s="15" t="s">
        <v>1082</v>
      </c>
      <c r="B307" s="15" t="s">
        <v>2916</v>
      </c>
      <c r="C307" s="14" t="s">
        <v>2952</v>
      </c>
      <c r="D307" s="14" t="s">
        <v>2953</v>
      </c>
      <c r="E307" s="16" t="s">
        <v>2954</v>
      </c>
      <c r="F307" s="16" t="s">
        <v>2955</v>
      </c>
      <c r="G307" s="19" t="s">
        <v>41</v>
      </c>
      <c r="H307" s="18" t="n">
        <v>5</v>
      </c>
      <c r="I307" s="20" t="n">
        <v>81.27</v>
      </c>
      <c r="J307" s="20" t="n">
        <v>145.31</v>
      </c>
      <c r="K307" s="18" t="n">
        <v>15</v>
      </c>
      <c r="L307" s="18" t="n">
        <v>2</v>
      </c>
      <c r="M307" s="18" t="n">
        <v>255</v>
      </c>
      <c r="N307" s="18" t="n">
        <v>51</v>
      </c>
      <c r="O307" s="14" t="s">
        <v>1088</v>
      </c>
      <c r="P307" s="14" t="s">
        <v>118</v>
      </c>
      <c r="Q307" s="15" t="s">
        <v>1089</v>
      </c>
      <c r="R307" s="16" t="s">
        <v>2956</v>
      </c>
      <c r="S307" s="15" t="s">
        <v>2957</v>
      </c>
      <c r="T307" s="15" t="s">
        <v>2958</v>
      </c>
      <c r="U307" s="21" t="s">
        <v>72</v>
      </c>
    </row>
    <row r="308" customFormat="false" ht="15" hidden="false" customHeight="false" outlineLevel="0" collapsed="false">
      <c r="A308" s="15" t="s">
        <v>1082</v>
      </c>
      <c r="B308" s="15" t="s">
        <v>2916</v>
      </c>
      <c r="C308" s="14" t="s">
        <v>2959</v>
      </c>
      <c r="D308" s="14" t="s">
        <v>2960</v>
      </c>
      <c r="E308" s="16" t="s">
        <v>2961</v>
      </c>
      <c r="F308" s="16" t="s">
        <v>2962</v>
      </c>
      <c r="G308" s="25" t="s">
        <v>39</v>
      </c>
      <c r="H308" s="18" t="n">
        <v>9</v>
      </c>
      <c r="I308" s="20" t="n">
        <v>196.14</v>
      </c>
      <c r="J308" s="20" t="n">
        <v>364.77</v>
      </c>
      <c r="K308" s="18" t="n">
        <v>5</v>
      </c>
      <c r="L308" s="18" t="n">
        <v>18</v>
      </c>
      <c r="M308" s="18" t="n">
        <v>100</v>
      </c>
      <c r="N308" s="18" t="n">
        <v>20</v>
      </c>
      <c r="O308" s="14" t="s">
        <v>1088</v>
      </c>
      <c r="P308" s="14" t="s">
        <v>84</v>
      </c>
      <c r="Q308" s="15" t="s">
        <v>1089</v>
      </c>
      <c r="R308" s="16" t="s">
        <v>1489</v>
      </c>
      <c r="S308" s="15" t="s">
        <v>2957</v>
      </c>
      <c r="T308" s="15" t="s">
        <v>2963</v>
      </c>
      <c r="U308" s="21" t="s">
        <v>72</v>
      </c>
    </row>
    <row r="309" customFormat="false" ht="15" hidden="false" customHeight="false" outlineLevel="0" collapsed="false">
      <c r="A309" s="15" t="s">
        <v>1082</v>
      </c>
      <c r="B309" s="15" t="s">
        <v>2916</v>
      </c>
      <c r="C309" s="14" t="s">
        <v>2964</v>
      </c>
      <c r="D309" s="14" t="s">
        <v>2965</v>
      </c>
      <c r="E309" s="16" t="s">
        <v>2966</v>
      </c>
      <c r="F309" s="16" t="s">
        <v>2967</v>
      </c>
      <c r="G309" s="19" t="s">
        <v>41</v>
      </c>
      <c r="H309" s="18" t="n">
        <v>5</v>
      </c>
      <c r="I309" s="20" t="n">
        <v>101.75</v>
      </c>
      <c r="J309" s="20" t="n">
        <v>190.27</v>
      </c>
      <c r="K309" s="18" t="n">
        <v>5</v>
      </c>
      <c r="L309" s="18" t="n">
        <v>12</v>
      </c>
      <c r="M309" s="18" t="n">
        <v>90</v>
      </c>
      <c r="N309" s="18" t="n">
        <v>90</v>
      </c>
      <c r="O309" s="14" t="s">
        <v>1126</v>
      </c>
      <c r="P309" s="14" t="s">
        <v>84</v>
      </c>
      <c r="Q309" s="15" t="s">
        <v>1089</v>
      </c>
      <c r="R309" s="16" t="s">
        <v>2968</v>
      </c>
      <c r="S309" s="15" t="s">
        <v>2969</v>
      </c>
      <c r="T309" s="15" t="s">
        <v>2970</v>
      </c>
      <c r="U309" s="21" t="s">
        <v>72</v>
      </c>
    </row>
    <row r="310" customFormat="false" ht="26.85" hidden="false" customHeight="false" outlineLevel="0" collapsed="false">
      <c r="A310" s="15" t="s">
        <v>1082</v>
      </c>
      <c r="B310" s="15" t="s">
        <v>2916</v>
      </c>
      <c r="C310" s="14" t="s">
        <v>2971</v>
      </c>
      <c r="D310" s="14" t="s">
        <v>2972</v>
      </c>
      <c r="E310" s="16" t="s">
        <v>2973</v>
      </c>
      <c r="F310" s="16" t="s">
        <v>2974</v>
      </c>
      <c r="G310" s="23" t="s">
        <v>43</v>
      </c>
      <c r="H310" s="18" t="n">
        <v>4</v>
      </c>
      <c r="I310" s="20" t="n">
        <v>119.5</v>
      </c>
      <c r="J310" s="20" t="n">
        <v>199.73</v>
      </c>
      <c r="K310" s="18" t="n">
        <v>6</v>
      </c>
      <c r="L310" s="18" t="n">
        <v>35</v>
      </c>
      <c r="M310" s="18" t="n">
        <v>360</v>
      </c>
      <c r="N310" s="18" t="n">
        <v>180</v>
      </c>
      <c r="O310" s="14" t="s">
        <v>1097</v>
      </c>
      <c r="P310" s="14" t="s">
        <v>202</v>
      </c>
      <c r="Q310" s="15" t="s">
        <v>1089</v>
      </c>
      <c r="R310" s="16" t="s">
        <v>2975</v>
      </c>
      <c r="S310" s="15" t="s">
        <v>2976</v>
      </c>
      <c r="T310" s="15" t="s">
        <v>2977</v>
      </c>
      <c r="U310" s="21" t="s">
        <v>72</v>
      </c>
    </row>
    <row r="311" customFormat="false" ht="26.85" hidden="false" customHeight="false" outlineLevel="0" collapsed="false">
      <c r="A311" s="15" t="s">
        <v>1082</v>
      </c>
      <c r="B311" s="15" t="s">
        <v>2916</v>
      </c>
      <c r="C311" s="14" t="s">
        <v>2978</v>
      </c>
      <c r="D311" s="14" t="s">
        <v>2979</v>
      </c>
      <c r="E311" s="16" t="s">
        <v>2973</v>
      </c>
      <c r="F311" s="16" t="s">
        <v>2974</v>
      </c>
      <c r="G311" s="25" t="s">
        <v>39</v>
      </c>
      <c r="H311" s="18" t="n">
        <v>10</v>
      </c>
      <c r="I311" s="20" t="n">
        <v>63.26</v>
      </c>
      <c r="J311" s="20" t="n">
        <v>127</v>
      </c>
      <c r="K311" s="18" t="n">
        <v>14</v>
      </c>
      <c r="L311" s="18" t="n">
        <v>35</v>
      </c>
      <c r="M311" s="18" t="n">
        <v>462</v>
      </c>
      <c r="N311" s="18" t="n">
        <v>231</v>
      </c>
      <c r="O311" s="14" t="s">
        <v>1097</v>
      </c>
      <c r="P311" s="14" t="s">
        <v>202</v>
      </c>
      <c r="Q311" s="15" t="s">
        <v>1089</v>
      </c>
      <c r="R311" s="16" t="s">
        <v>2226</v>
      </c>
      <c r="S311" s="15" t="s">
        <v>2980</v>
      </c>
      <c r="T311" s="15" t="s">
        <v>2981</v>
      </c>
      <c r="U311" s="21" t="s">
        <v>72</v>
      </c>
    </row>
    <row r="312" customFormat="false" ht="26.85" hidden="false" customHeight="false" outlineLevel="0" collapsed="false">
      <c r="A312" s="15" t="s">
        <v>1082</v>
      </c>
      <c r="B312" s="15" t="s">
        <v>2916</v>
      </c>
      <c r="C312" s="14" t="s">
        <v>2982</v>
      </c>
      <c r="D312" s="14" t="s">
        <v>2983</v>
      </c>
      <c r="E312" s="16" t="s">
        <v>2984</v>
      </c>
      <c r="F312" s="16" t="s">
        <v>2985</v>
      </c>
      <c r="G312" s="25" t="s">
        <v>39</v>
      </c>
      <c r="H312" s="18" t="n">
        <v>10</v>
      </c>
      <c r="I312" s="20" t="n">
        <v>160.94</v>
      </c>
      <c r="J312" s="20" t="n">
        <v>253.02</v>
      </c>
      <c r="K312" s="18" t="n">
        <v>20</v>
      </c>
      <c r="L312" s="18" t="n">
        <v>12</v>
      </c>
      <c r="M312" s="18" t="n">
        <v>1200</v>
      </c>
      <c r="N312" s="18" t="n">
        <v>240</v>
      </c>
      <c r="O312" s="14" t="s">
        <v>1088</v>
      </c>
      <c r="P312" s="14" t="s">
        <v>84</v>
      </c>
      <c r="Q312" s="15" t="s">
        <v>1089</v>
      </c>
      <c r="R312" s="16" t="s">
        <v>2986</v>
      </c>
      <c r="S312" s="15" t="s">
        <v>1334</v>
      </c>
      <c r="T312" s="15" t="s">
        <v>2987</v>
      </c>
      <c r="U312" s="21" t="s">
        <v>72</v>
      </c>
    </row>
    <row r="313" customFormat="false" ht="26.85" hidden="false" customHeight="false" outlineLevel="0" collapsed="false">
      <c r="A313" s="15" t="s">
        <v>1082</v>
      </c>
      <c r="B313" s="15" t="s">
        <v>2916</v>
      </c>
      <c r="C313" s="14" t="s">
        <v>2988</v>
      </c>
      <c r="D313" s="14" t="s">
        <v>2989</v>
      </c>
      <c r="E313" s="16" t="s">
        <v>2990</v>
      </c>
      <c r="F313" s="16" t="s">
        <v>2991</v>
      </c>
      <c r="G313" s="19" t="s">
        <v>41</v>
      </c>
      <c r="H313" s="18" t="n">
        <v>5</v>
      </c>
      <c r="I313" s="20" t="n">
        <v>91.46</v>
      </c>
      <c r="J313" s="20" t="n">
        <v>151.96</v>
      </c>
      <c r="K313" s="18" t="n">
        <v>8</v>
      </c>
      <c r="L313" s="18" t="n">
        <v>10</v>
      </c>
      <c r="M313" s="18" t="n">
        <v>168</v>
      </c>
      <c r="N313" s="18" t="n">
        <v>84</v>
      </c>
      <c r="O313" s="14" t="s">
        <v>1097</v>
      </c>
      <c r="P313" s="14" t="s">
        <v>118</v>
      </c>
      <c r="Q313" s="15" t="s">
        <v>1089</v>
      </c>
      <c r="R313" s="16" t="s">
        <v>2992</v>
      </c>
      <c r="S313" s="15" t="s">
        <v>1334</v>
      </c>
      <c r="T313" s="15" t="s">
        <v>2993</v>
      </c>
      <c r="U313" s="21" t="s">
        <v>72</v>
      </c>
    </row>
    <row r="314" customFormat="false" ht="26.85" hidden="false" customHeight="false" outlineLevel="0" collapsed="false">
      <c r="A314" s="15" t="s">
        <v>1082</v>
      </c>
      <c r="B314" s="15" t="s">
        <v>2916</v>
      </c>
      <c r="C314" s="14" t="s">
        <v>2994</v>
      </c>
      <c r="D314" s="14" t="s">
        <v>2995</v>
      </c>
      <c r="E314" s="16" t="s">
        <v>2990</v>
      </c>
      <c r="F314" s="16" t="s">
        <v>2991</v>
      </c>
      <c r="G314" s="19" t="s">
        <v>41</v>
      </c>
      <c r="H314" s="18" t="n">
        <v>5</v>
      </c>
      <c r="I314" s="20" t="n">
        <v>103.84</v>
      </c>
      <c r="J314" s="20" t="n">
        <v>153.27</v>
      </c>
      <c r="K314" s="18" t="n">
        <v>8</v>
      </c>
      <c r="L314" s="18" t="n">
        <v>10</v>
      </c>
      <c r="M314" s="18" t="n">
        <v>168</v>
      </c>
      <c r="N314" s="18" t="n">
        <v>84</v>
      </c>
      <c r="O314" s="14" t="s">
        <v>1097</v>
      </c>
      <c r="P314" s="14" t="s">
        <v>118</v>
      </c>
      <c r="Q314" s="15" t="s">
        <v>1089</v>
      </c>
      <c r="R314" s="16" t="s">
        <v>2992</v>
      </c>
      <c r="S314" s="15" t="s">
        <v>1334</v>
      </c>
      <c r="T314" s="15" t="s">
        <v>2996</v>
      </c>
      <c r="U314" s="21" t="s">
        <v>72</v>
      </c>
    </row>
    <row r="315" customFormat="false" ht="26.85" hidden="false" customHeight="false" outlineLevel="0" collapsed="false">
      <c r="A315" s="15" t="s">
        <v>1082</v>
      </c>
      <c r="B315" s="15" t="s">
        <v>2916</v>
      </c>
      <c r="C315" s="14" t="s">
        <v>2997</v>
      </c>
      <c r="D315" s="14" t="s">
        <v>2998</v>
      </c>
      <c r="E315" s="16" t="s">
        <v>2999</v>
      </c>
      <c r="F315" s="16" t="s">
        <v>3000</v>
      </c>
      <c r="G315" s="19" t="s">
        <v>41</v>
      </c>
      <c r="H315" s="18" t="n">
        <v>7</v>
      </c>
      <c r="I315" s="20" t="n">
        <v>130.79</v>
      </c>
      <c r="J315" s="20" t="n">
        <v>199.08</v>
      </c>
      <c r="K315" s="18" t="n">
        <v>42</v>
      </c>
      <c r="L315" s="18" t="n">
        <v>15</v>
      </c>
      <c r="M315" s="18" t="n">
        <v>2520</v>
      </c>
      <c r="N315" s="18" t="n">
        <v>360</v>
      </c>
      <c r="O315" s="14" t="s">
        <v>3001</v>
      </c>
      <c r="P315" s="14" t="s">
        <v>84</v>
      </c>
      <c r="Q315" s="15" t="s">
        <v>1089</v>
      </c>
      <c r="R315" s="16" t="s">
        <v>1489</v>
      </c>
      <c r="S315" s="15" t="s">
        <v>1334</v>
      </c>
      <c r="T315" s="15" t="s">
        <v>3002</v>
      </c>
      <c r="U315" s="21" t="s">
        <v>72</v>
      </c>
    </row>
    <row r="316" customFormat="false" ht="26.85" hidden="false" customHeight="false" outlineLevel="0" collapsed="false">
      <c r="A316" s="15" t="s">
        <v>1082</v>
      </c>
      <c r="B316" s="15" t="s">
        <v>2916</v>
      </c>
      <c r="C316" s="14" t="s">
        <v>3003</v>
      </c>
      <c r="D316" s="14" t="s">
        <v>3004</v>
      </c>
      <c r="E316" s="16" t="s">
        <v>3005</v>
      </c>
      <c r="F316" s="16" t="s">
        <v>3006</v>
      </c>
      <c r="G316" s="23" t="s">
        <v>43</v>
      </c>
      <c r="H316" s="18" t="n">
        <v>3</v>
      </c>
      <c r="I316" s="20" t="n">
        <v>77.55</v>
      </c>
      <c r="J316" s="20" t="n">
        <v>131.77</v>
      </c>
      <c r="K316" s="18" t="n">
        <v>15</v>
      </c>
      <c r="L316" s="18" t="n">
        <v>16</v>
      </c>
      <c r="M316" s="18" t="n">
        <v>900</v>
      </c>
      <c r="N316" s="18" t="n">
        <v>180</v>
      </c>
      <c r="O316" s="14" t="s">
        <v>1088</v>
      </c>
      <c r="P316" s="14" t="s">
        <v>84</v>
      </c>
      <c r="Q316" s="15" t="s">
        <v>1089</v>
      </c>
      <c r="R316" s="16" t="s">
        <v>3007</v>
      </c>
      <c r="S316" s="15" t="s">
        <v>1334</v>
      </c>
      <c r="T316" s="15" t="s">
        <v>3008</v>
      </c>
      <c r="U316" s="21" t="s">
        <v>72</v>
      </c>
    </row>
    <row r="317" customFormat="false" ht="15" hidden="false" customHeight="false" outlineLevel="0" collapsed="false">
      <c r="A317" s="15" t="s">
        <v>1082</v>
      </c>
      <c r="B317" s="15" t="s">
        <v>2916</v>
      </c>
      <c r="C317" s="14" t="s">
        <v>3009</v>
      </c>
      <c r="D317" s="14" t="s">
        <v>3010</v>
      </c>
      <c r="E317" s="16" t="s">
        <v>2999</v>
      </c>
      <c r="F317" s="16" t="s">
        <v>3000</v>
      </c>
      <c r="G317" s="23" t="s">
        <v>43</v>
      </c>
      <c r="H317" s="18" t="n">
        <v>3</v>
      </c>
      <c r="I317" s="20" t="n">
        <v>51.65</v>
      </c>
      <c r="J317" s="20" t="n">
        <v>92.98</v>
      </c>
      <c r="K317" s="18" t="n">
        <v>6</v>
      </c>
      <c r="L317" s="18" t="n">
        <v>10</v>
      </c>
      <c r="M317" s="18" t="n">
        <v>246</v>
      </c>
      <c r="N317" s="18" t="n">
        <v>82</v>
      </c>
      <c r="O317" s="14" t="s">
        <v>3011</v>
      </c>
      <c r="P317" s="14" t="s">
        <v>84</v>
      </c>
      <c r="Q317" s="15" t="s">
        <v>1089</v>
      </c>
      <c r="R317" s="16" t="s">
        <v>1489</v>
      </c>
      <c r="S317" s="15" t="s">
        <v>1334</v>
      </c>
      <c r="T317" s="15" t="s">
        <v>3012</v>
      </c>
      <c r="U317" s="21" t="s">
        <v>72</v>
      </c>
    </row>
    <row r="318" customFormat="false" ht="26.85" hidden="false" customHeight="false" outlineLevel="0" collapsed="false">
      <c r="A318" s="15" t="s">
        <v>1082</v>
      </c>
      <c r="B318" s="15" t="s">
        <v>2916</v>
      </c>
      <c r="C318" s="14" t="s">
        <v>3013</v>
      </c>
      <c r="D318" s="14" t="s">
        <v>3014</v>
      </c>
      <c r="E318" s="16" t="s">
        <v>3005</v>
      </c>
      <c r="F318" s="16" t="s">
        <v>3006</v>
      </c>
      <c r="G318" s="23" t="s">
        <v>43</v>
      </c>
      <c r="H318" s="18" t="n">
        <v>3</v>
      </c>
      <c r="I318" s="20" t="n">
        <v>47.85</v>
      </c>
      <c r="J318" s="20" t="n">
        <v>96.25</v>
      </c>
      <c r="K318" s="18" t="n">
        <v>3</v>
      </c>
      <c r="L318" s="18" t="n">
        <v>13</v>
      </c>
      <c r="M318" s="18" t="n">
        <v>117</v>
      </c>
      <c r="N318" s="18" t="n">
        <v>117</v>
      </c>
      <c r="O318" s="14" t="s">
        <v>1088</v>
      </c>
      <c r="P318" s="14" t="s">
        <v>84</v>
      </c>
      <c r="Q318" s="15" t="s">
        <v>1089</v>
      </c>
      <c r="R318" s="16" t="s">
        <v>2573</v>
      </c>
      <c r="S318" s="15" t="s">
        <v>1334</v>
      </c>
      <c r="T318" s="15" t="s">
        <v>3015</v>
      </c>
      <c r="U318" s="21" t="s">
        <v>72</v>
      </c>
    </row>
    <row r="319" customFormat="false" ht="26.85" hidden="false" customHeight="false" outlineLevel="0" collapsed="false">
      <c r="A319" s="15" t="s">
        <v>1082</v>
      </c>
      <c r="B319" s="15" t="s">
        <v>2916</v>
      </c>
      <c r="C319" s="14" t="s">
        <v>3016</v>
      </c>
      <c r="D319" s="14" t="s">
        <v>3017</v>
      </c>
      <c r="E319" s="16" t="s">
        <v>3018</v>
      </c>
      <c r="F319" s="16" t="s">
        <v>3006</v>
      </c>
      <c r="G319" s="23" t="s">
        <v>43</v>
      </c>
      <c r="H319" s="18" t="n">
        <v>4</v>
      </c>
      <c r="I319" s="20" t="n">
        <v>79.03</v>
      </c>
      <c r="J319" s="20" t="n">
        <v>143.66</v>
      </c>
      <c r="K319" s="18" t="n">
        <v>4</v>
      </c>
      <c r="L319" s="18" t="n">
        <v>18</v>
      </c>
      <c r="M319" s="18" t="n">
        <v>240</v>
      </c>
      <c r="N319" s="18" t="n">
        <v>240</v>
      </c>
      <c r="O319" s="14" t="s">
        <v>1088</v>
      </c>
      <c r="P319" s="14" t="s">
        <v>84</v>
      </c>
      <c r="Q319" s="15" t="s">
        <v>1089</v>
      </c>
      <c r="R319" s="16" t="s">
        <v>3019</v>
      </c>
      <c r="S319" s="15" t="s">
        <v>1334</v>
      </c>
      <c r="T319" s="15" t="s">
        <v>3020</v>
      </c>
      <c r="U319" s="21" t="s">
        <v>72</v>
      </c>
    </row>
    <row r="320" customFormat="false" ht="26.85" hidden="false" customHeight="false" outlineLevel="0" collapsed="false">
      <c r="A320" s="15" t="s">
        <v>1082</v>
      </c>
      <c r="B320" s="15" t="s">
        <v>2916</v>
      </c>
      <c r="C320" s="14" t="s">
        <v>3021</v>
      </c>
      <c r="D320" s="14" t="s">
        <v>3022</v>
      </c>
      <c r="E320" s="16" t="s">
        <v>3005</v>
      </c>
      <c r="F320" s="16" t="s">
        <v>3006</v>
      </c>
      <c r="G320" s="23" t="s">
        <v>43</v>
      </c>
      <c r="H320" s="18" t="n">
        <v>4</v>
      </c>
      <c r="I320" s="20" t="n">
        <v>82.15</v>
      </c>
      <c r="J320" s="20" t="n">
        <v>143.66</v>
      </c>
      <c r="K320" s="18" t="n">
        <v>4</v>
      </c>
      <c r="L320" s="18" t="n">
        <v>20</v>
      </c>
      <c r="M320" s="18" t="n">
        <v>240</v>
      </c>
      <c r="N320" s="18" t="n">
        <v>240</v>
      </c>
      <c r="O320" s="14" t="s">
        <v>1088</v>
      </c>
      <c r="P320" s="14" t="s">
        <v>84</v>
      </c>
      <c r="Q320" s="15" t="s">
        <v>1089</v>
      </c>
      <c r="R320" s="16" t="s">
        <v>2573</v>
      </c>
      <c r="S320" s="15" t="s">
        <v>1334</v>
      </c>
      <c r="T320" s="15" t="s">
        <v>3023</v>
      </c>
      <c r="U320" s="21" t="s">
        <v>72</v>
      </c>
    </row>
    <row r="321" customFormat="false" ht="15" hidden="false" customHeight="false" outlineLevel="0" collapsed="false">
      <c r="A321" s="15" t="s">
        <v>1082</v>
      </c>
      <c r="B321" s="15" t="s">
        <v>2916</v>
      </c>
      <c r="C321" s="14" t="s">
        <v>3024</v>
      </c>
      <c r="D321" s="14" t="s">
        <v>3025</v>
      </c>
      <c r="E321" s="16" t="s">
        <v>3026</v>
      </c>
      <c r="F321" s="16" t="s">
        <v>3027</v>
      </c>
      <c r="G321" s="19" t="s">
        <v>41</v>
      </c>
      <c r="H321" s="18" t="n">
        <v>7</v>
      </c>
      <c r="I321" s="20" t="n">
        <v>108.19</v>
      </c>
      <c r="J321" s="20" t="n">
        <v>228.35</v>
      </c>
      <c r="K321" s="18" t="n">
        <v>28</v>
      </c>
      <c r="L321" s="18" t="n">
        <v>8</v>
      </c>
      <c r="M321" s="18" t="n">
        <v>420</v>
      </c>
      <c r="N321" s="18" t="n">
        <v>105</v>
      </c>
      <c r="O321" s="14" t="s">
        <v>1126</v>
      </c>
      <c r="P321" s="14" t="s">
        <v>84</v>
      </c>
      <c r="Q321" s="15" t="s">
        <v>1089</v>
      </c>
      <c r="R321" s="16" t="s">
        <v>3028</v>
      </c>
      <c r="S321" s="15" t="s">
        <v>3029</v>
      </c>
      <c r="T321" s="15" t="s">
        <v>3030</v>
      </c>
      <c r="U321" s="21" t="s">
        <v>72</v>
      </c>
    </row>
    <row r="322" customFormat="false" ht="26.85" hidden="false" customHeight="false" outlineLevel="0" collapsed="false">
      <c r="A322" s="15" t="s">
        <v>1082</v>
      </c>
      <c r="B322" s="15" t="s">
        <v>2916</v>
      </c>
      <c r="C322" s="14" t="s">
        <v>3031</v>
      </c>
      <c r="D322" s="14" t="s">
        <v>3032</v>
      </c>
      <c r="E322" s="16" t="s">
        <v>2475</v>
      </c>
      <c r="F322" s="16" t="s">
        <v>2476</v>
      </c>
      <c r="G322" s="19" t="s">
        <v>41</v>
      </c>
      <c r="H322" s="18" t="n">
        <v>5</v>
      </c>
      <c r="I322" s="20" t="n">
        <v>90.37</v>
      </c>
      <c r="J322" s="20" t="n">
        <v>192.29</v>
      </c>
      <c r="K322" s="18" t="n">
        <v>8</v>
      </c>
      <c r="L322" s="18" t="n">
        <v>13</v>
      </c>
      <c r="M322" s="18" t="n">
        <v>128</v>
      </c>
      <c r="N322" s="18" t="n">
        <v>48</v>
      </c>
      <c r="O322" s="14" t="s">
        <v>1126</v>
      </c>
      <c r="P322" s="14" t="s">
        <v>118</v>
      </c>
      <c r="Q322" s="15" t="s">
        <v>1089</v>
      </c>
      <c r="R322" s="16" t="s">
        <v>682</v>
      </c>
      <c r="S322" s="15" t="s">
        <v>2478</v>
      </c>
      <c r="T322" s="15" t="s">
        <v>3033</v>
      </c>
      <c r="U322" s="21" t="s">
        <v>72</v>
      </c>
    </row>
    <row r="323" customFormat="false" ht="26.85" hidden="false" customHeight="false" outlineLevel="0" collapsed="false">
      <c r="A323" s="15" t="s">
        <v>1082</v>
      </c>
      <c r="B323" s="15" t="s">
        <v>2916</v>
      </c>
      <c r="C323" s="14" t="s">
        <v>3034</v>
      </c>
      <c r="D323" s="14" t="s">
        <v>3035</v>
      </c>
      <c r="E323" s="16" t="s">
        <v>2475</v>
      </c>
      <c r="F323" s="16" t="s">
        <v>2476</v>
      </c>
      <c r="G323" s="23" t="s">
        <v>43</v>
      </c>
      <c r="H323" s="18" t="n">
        <v>3</v>
      </c>
      <c r="I323" s="20" t="n">
        <v>49.77</v>
      </c>
      <c r="J323" s="20" t="n">
        <v>101.9</v>
      </c>
      <c r="K323" s="18" t="n">
        <v>7</v>
      </c>
      <c r="L323" s="18" t="n">
        <v>11</v>
      </c>
      <c r="M323" s="18" t="n">
        <v>98</v>
      </c>
      <c r="N323" s="18" t="n">
        <v>42</v>
      </c>
      <c r="O323" s="14" t="s">
        <v>1126</v>
      </c>
      <c r="P323" s="14" t="s">
        <v>118</v>
      </c>
      <c r="Q323" s="15" t="s">
        <v>1089</v>
      </c>
      <c r="R323" s="16" t="s">
        <v>3036</v>
      </c>
      <c r="S323" s="15" t="s">
        <v>2478</v>
      </c>
      <c r="T323" s="15" t="s">
        <v>3037</v>
      </c>
      <c r="U323" s="21" t="s">
        <v>72</v>
      </c>
    </row>
    <row r="324" customFormat="false" ht="26.85" hidden="false" customHeight="false" outlineLevel="0" collapsed="false">
      <c r="A324" s="15" t="s">
        <v>1082</v>
      </c>
      <c r="B324" s="15" t="s">
        <v>2916</v>
      </c>
      <c r="C324" s="14" t="s">
        <v>3038</v>
      </c>
      <c r="D324" s="14" t="s">
        <v>3039</v>
      </c>
      <c r="E324" s="16" t="s">
        <v>2475</v>
      </c>
      <c r="F324" s="16" t="s">
        <v>2476</v>
      </c>
      <c r="G324" s="23" t="s">
        <v>43</v>
      </c>
      <c r="H324" s="18" t="n">
        <v>3</v>
      </c>
      <c r="I324" s="20" t="n">
        <v>71.13</v>
      </c>
      <c r="J324" s="20" t="n">
        <v>161.66</v>
      </c>
      <c r="K324" s="18" t="n">
        <v>10</v>
      </c>
      <c r="L324" s="18" t="n">
        <v>13</v>
      </c>
      <c r="M324" s="18" t="n">
        <v>590</v>
      </c>
      <c r="N324" s="18" t="n">
        <v>118</v>
      </c>
      <c r="O324" s="14" t="s">
        <v>1126</v>
      </c>
      <c r="P324" s="14" t="s">
        <v>118</v>
      </c>
      <c r="Q324" s="15" t="s">
        <v>1089</v>
      </c>
      <c r="R324" s="16" t="s">
        <v>2419</v>
      </c>
      <c r="S324" s="15" t="s">
        <v>2478</v>
      </c>
      <c r="T324" s="15" t="s">
        <v>3040</v>
      </c>
      <c r="U324" s="21" t="s">
        <v>72</v>
      </c>
    </row>
    <row r="325" customFormat="false" ht="26.85" hidden="false" customHeight="false" outlineLevel="0" collapsed="false">
      <c r="A325" s="15" t="s">
        <v>1082</v>
      </c>
      <c r="B325" s="15" t="s">
        <v>2916</v>
      </c>
      <c r="C325" s="14" t="s">
        <v>3041</v>
      </c>
      <c r="D325" s="14" t="s">
        <v>3042</v>
      </c>
      <c r="E325" s="16" t="s">
        <v>3043</v>
      </c>
      <c r="F325" s="16" t="s">
        <v>2476</v>
      </c>
      <c r="G325" s="23" t="s">
        <v>43</v>
      </c>
      <c r="H325" s="18" t="n">
        <v>3</v>
      </c>
      <c r="I325" s="20" t="n">
        <v>67.45</v>
      </c>
      <c r="J325" s="20" t="n">
        <v>110.79</v>
      </c>
      <c r="K325" s="18" t="n">
        <v>15</v>
      </c>
      <c r="L325" s="18" t="n">
        <v>6</v>
      </c>
      <c r="M325" s="18" t="n">
        <v>900</v>
      </c>
      <c r="N325" s="18" t="n">
        <v>300</v>
      </c>
      <c r="O325" s="14" t="s">
        <v>1097</v>
      </c>
      <c r="P325" s="14" t="s">
        <v>84</v>
      </c>
      <c r="Q325" s="15" t="s">
        <v>1089</v>
      </c>
      <c r="R325" s="16" t="s">
        <v>3044</v>
      </c>
      <c r="S325" s="15" t="s">
        <v>2478</v>
      </c>
      <c r="T325" s="15" t="s">
        <v>3045</v>
      </c>
      <c r="U325" s="21" t="s">
        <v>72</v>
      </c>
    </row>
    <row r="326" customFormat="false" ht="26.85" hidden="false" customHeight="false" outlineLevel="0" collapsed="false">
      <c r="A326" s="15" t="s">
        <v>1082</v>
      </c>
      <c r="B326" s="15" t="s">
        <v>2916</v>
      </c>
      <c r="C326" s="14" t="s">
        <v>3046</v>
      </c>
      <c r="D326" s="14" t="s">
        <v>3047</v>
      </c>
      <c r="E326" s="16" t="s">
        <v>3048</v>
      </c>
      <c r="F326" s="16" t="s">
        <v>3049</v>
      </c>
      <c r="G326" s="23" t="s">
        <v>43</v>
      </c>
      <c r="H326" s="18" t="n">
        <v>4</v>
      </c>
      <c r="I326" s="20" t="n">
        <v>45.49</v>
      </c>
      <c r="J326" s="20" t="n">
        <v>94.98</v>
      </c>
      <c r="K326" s="18" t="n">
        <v>20</v>
      </c>
      <c r="L326" s="18" t="n">
        <v>15</v>
      </c>
      <c r="M326" s="18" t="n">
        <v>240</v>
      </c>
      <c r="N326" s="18" t="n">
        <v>48</v>
      </c>
      <c r="O326" s="14" t="s">
        <v>1097</v>
      </c>
      <c r="P326" s="14" t="s">
        <v>118</v>
      </c>
      <c r="Q326" s="15" t="s">
        <v>1089</v>
      </c>
      <c r="R326" s="16" t="s">
        <v>3050</v>
      </c>
      <c r="S326" s="15" t="s">
        <v>3051</v>
      </c>
      <c r="T326" s="15" t="s">
        <v>3052</v>
      </c>
      <c r="U326" s="21" t="s">
        <v>72</v>
      </c>
    </row>
    <row r="327" customFormat="false" ht="26.85" hidden="false" customHeight="false" outlineLevel="0" collapsed="false">
      <c r="A327" s="15" t="s">
        <v>1082</v>
      </c>
      <c r="B327" s="15" t="s">
        <v>2916</v>
      </c>
      <c r="C327" s="14" t="s">
        <v>3053</v>
      </c>
      <c r="D327" s="14" t="s">
        <v>3054</v>
      </c>
      <c r="E327" s="16" t="s">
        <v>3055</v>
      </c>
      <c r="F327" s="16" t="s">
        <v>3056</v>
      </c>
      <c r="G327" s="23" t="s">
        <v>43</v>
      </c>
      <c r="H327" s="18" t="n">
        <v>3</v>
      </c>
      <c r="I327" s="20" t="n">
        <v>52.74</v>
      </c>
      <c r="J327" s="20" t="n">
        <v>87.41</v>
      </c>
      <c r="K327" s="18" t="n">
        <v>18</v>
      </c>
      <c r="L327" s="18" t="n">
        <v>1</v>
      </c>
      <c r="M327" s="18" t="n">
        <v>630</v>
      </c>
      <c r="N327" s="18" t="n">
        <v>105</v>
      </c>
      <c r="O327" s="14" t="s">
        <v>1126</v>
      </c>
      <c r="P327" s="14" t="s">
        <v>352</v>
      </c>
      <c r="Q327" s="15" t="s">
        <v>1089</v>
      </c>
      <c r="R327" s="16" t="s">
        <v>2732</v>
      </c>
      <c r="S327" s="15" t="s">
        <v>3057</v>
      </c>
      <c r="T327" s="15" t="s">
        <v>3058</v>
      </c>
      <c r="U327" s="21" t="s">
        <v>72</v>
      </c>
    </row>
    <row r="328" customFormat="false" ht="26.85" hidden="false" customHeight="false" outlineLevel="0" collapsed="false">
      <c r="A328" s="15" t="s">
        <v>1082</v>
      </c>
      <c r="B328" s="15" t="s">
        <v>2916</v>
      </c>
      <c r="C328" s="14" t="s">
        <v>3059</v>
      </c>
      <c r="D328" s="14" t="s">
        <v>3060</v>
      </c>
      <c r="E328" s="16" t="s">
        <v>3061</v>
      </c>
      <c r="F328" s="16" t="s">
        <v>3062</v>
      </c>
      <c r="G328" s="19" t="s">
        <v>41</v>
      </c>
      <c r="H328" s="18" t="n">
        <v>5</v>
      </c>
      <c r="I328" s="20" t="n">
        <v>143.34</v>
      </c>
      <c r="J328" s="20" t="n">
        <v>173.35</v>
      </c>
      <c r="K328" s="18" t="n">
        <v>3</v>
      </c>
      <c r="L328" s="18" t="n">
        <v>39</v>
      </c>
      <c r="M328" s="18" t="n">
        <v>87</v>
      </c>
      <c r="N328" s="18" t="n">
        <v>87</v>
      </c>
      <c r="O328" s="14" t="s">
        <v>1126</v>
      </c>
      <c r="P328" s="14" t="s">
        <v>118</v>
      </c>
      <c r="Q328" s="15" t="s">
        <v>1089</v>
      </c>
      <c r="R328" s="16" t="s">
        <v>3063</v>
      </c>
      <c r="S328" s="15" t="s">
        <v>3064</v>
      </c>
      <c r="T328" s="15" t="s">
        <v>3065</v>
      </c>
      <c r="U328" s="21" t="s">
        <v>72</v>
      </c>
    </row>
    <row r="329" customFormat="false" ht="26.85" hidden="false" customHeight="false" outlineLevel="0" collapsed="false">
      <c r="A329" s="15" t="s">
        <v>1082</v>
      </c>
      <c r="B329" s="15" t="s">
        <v>2916</v>
      </c>
      <c r="C329" s="14" t="s">
        <v>3066</v>
      </c>
      <c r="D329" s="14" t="s">
        <v>3067</v>
      </c>
      <c r="E329" s="16" t="s">
        <v>3068</v>
      </c>
      <c r="F329" s="16" t="s">
        <v>3069</v>
      </c>
      <c r="G329" s="25" t="s">
        <v>39</v>
      </c>
      <c r="H329" s="18" t="n">
        <v>11</v>
      </c>
      <c r="I329" s="20" t="n">
        <v>186.3</v>
      </c>
      <c r="J329" s="20" t="n">
        <v>453.11</v>
      </c>
      <c r="K329" s="18" t="n">
        <v>6</v>
      </c>
      <c r="L329" s="18" t="n">
        <v>131</v>
      </c>
      <c r="M329" s="18" t="n">
        <v>360</v>
      </c>
      <c r="N329" s="18" t="n">
        <v>180</v>
      </c>
      <c r="O329" s="14" t="s">
        <v>1126</v>
      </c>
      <c r="P329" s="14" t="s">
        <v>84</v>
      </c>
      <c r="Q329" s="15" t="s">
        <v>1089</v>
      </c>
      <c r="R329" s="16" t="s">
        <v>3070</v>
      </c>
      <c r="S329" s="15" t="s">
        <v>1348</v>
      </c>
      <c r="T329" s="15" t="s">
        <v>3071</v>
      </c>
      <c r="U329" s="21" t="s">
        <v>72</v>
      </c>
    </row>
    <row r="330" customFormat="false" ht="15" hidden="false" customHeight="false" outlineLevel="0" collapsed="false">
      <c r="A330" s="15" t="s">
        <v>1082</v>
      </c>
      <c r="B330" s="15" t="s">
        <v>2916</v>
      </c>
      <c r="C330" s="14" t="s">
        <v>3072</v>
      </c>
      <c r="D330" s="14" t="s">
        <v>3073</v>
      </c>
      <c r="E330" s="16" t="s">
        <v>3074</v>
      </c>
      <c r="F330" s="16" t="s">
        <v>1373</v>
      </c>
      <c r="G330" s="23" t="s">
        <v>43</v>
      </c>
      <c r="H330" s="18" t="n">
        <v>2</v>
      </c>
      <c r="I330" s="20" t="n">
        <v>39.43</v>
      </c>
      <c r="J330" s="20" t="n">
        <v>103.2</v>
      </c>
      <c r="K330" s="18" t="n">
        <v>2</v>
      </c>
      <c r="L330" s="18" t="n">
        <v>4</v>
      </c>
      <c r="M330" s="18" t="n">
        <v>82</v>
      </c>
      <c r="N330" s="18" t="n">
        <v>82</v>
      </c>
      <c r="O330" s="14" t="s">
        <v>1097</v>
      </c>
      <c r="P330" s="14" t="s">
        <v>84</v>
      </c>
      <c r="Q330" s="15" t="s">
        <v>1089</v>
      </c>
      <c r="R330" s="16" t="s">
        <v>3075</v>
      </c>
      <c r="S330" s="15" t="s">
        <v>3076</v>
      </c>
      <c r="T330" s="15" t="s">
        <v>3077</v>
      </c>
      <c r="U330" s="21" t="s">
        <v>72</v>
      </c>
    </row>
    <row r="331" customFormat="false" ht="15" hidden="false" customHeight="false" outlineLevel="0" collapsed="false">
      <c r="A331" s="15" t="s">
        <v>1082</v>
      </c>
      <c r="B331" s="15" t="s">
        <v>2916</v>
      </c>
      <c r="C331" s="14" t="s">
        <v>3078</v>
      </c>
      <c r="D331" s="14" t="s">
        <v>3079</v>
      </c>
      <c r="E331" s="16" t="s">
        <v>3080</v>
      </c>
      <c r="F331" s="16" t="s">
        <v>3081</v>
      </c>
      <c r="G331" s="19" t="s">
        <v>41</v>
      </c>
      <c r="H331" s="18" t="n">
        <v>7</v>
      </c>
      <c r="I331" s="20" t="n">
        <v>112.16</v>
      </c>
      <c r="J331" s="20" t="n">
        <v>167.18</v>
      </c>
      <c r="K331" s="18" t="n">
        <v>5</v>
      </c>
      <c r="L331" s="18" t="n">
        <v>9</v>
      </c>
      <c r="M331" s="18" t="n">
        <v>300</v>
      </c>
      <c r="N331" s="18" t="n">
        <v>60</v>
      </c>
      <c r="O331" s="14" t="s">
        <v>1126</v>
      </c>
      <c r="P331" s="14" t="s">
        <v>84</v>
      </c>
      <c r="Q331" s="15" t="s">
        <v>1089</v>
      </c>
      <c r="R331" s="16" t="s">
        <v>3082</v>
      </c>
      <c r="S331" s="15" t="s">
        <v>3083</v>
      </c>
      <c r="T331" s="15" t="s">
        <v>3084</v>
      </c>
      <c r="U331" s="21" t="s">
        <v>72</v>
      </c>
    </row>
    <row r="332" customFormat="false" ht="15" hidden="false" customHeight="false" outlineLevel="0" collapsed="false">
      <c r="A332" s="15" t="s">
        <v>1082</v>
      </c>
      <c r="B332" s="15" t="s">
        <v>2916</v>
      </c>
      <c r="C332" s="14" t="s">
        <v>3085</v>
      </c>
      <c r="D332" s="14" t="s">
        <v>3086</v>
      </c>
      <c r="E332" s="16" t="s">
        <v>3087</v>
      </c>
      <c r="F332" s="16" t="s">
        <v>3088</v>
      </c>
      <c r="G332" s="19" t="s">
        <v>41</v>
      </c>
      <c r="H332" s="18" t="n">
        <v>7</v>
      </c>
      <c r="I332" s="20" t="n">
        <v>122.34</v>
      </c>
      <c r="J332" s="20" t="n">
        <v>242.06</v>
      </c>
      <c r="K332" s="18" t="n">
        <v>4</v>
      </c>
      <c r="L332" s="18" t="n">
        <v>10</v>
      </c>
      <c r="M332" s="18" t="n">
        <v>80</v>
      </c>
      <c r="N332" s="18" t="n">
        <v>20</v>
      </c>
      <c r="O332" s="14" t="s">
        <v>1126</v>
      </c>
      <c r="P332" s="14" t="s">
        <v>84</v>
      </c>
      <c r="Q332" s="15" t="s">
        <v>1089</v>
      </c>
      <c r="R332" s="16" t="s">
        <v>3089</v>
      </c>
      <c r="S332" s="15" t="s">
        <v>3090</v>
      </c>
      <c r="T332" s="15" t="s">
        <v>3091</v>
      </c>
      <c r="U332" s="21" t="s">
        <v>72</v>
      </c>
    </row>
    <row r="333" customFormat="false" ht="26.85" hidden="false" customHeight="false" outlineLevel="0" collapsed="false">
      <c r="A333" s="15" t="s">
        <v>1082</v>
      </c>
      <c r="B333" s="15" t="s">
        <v>2916</v>
      </c>
      <c r="C333" s="14" t="s">
        <v>3092</v>
      </c>
      <c r="D333" s="14" t="s">
        <v>3093</v>
      </c>
      <c r="E333" s="16" t="s">
        <v>3094</v>
      </c>
      <c r="F333" s="16" t="s">
        <v>3095</v>
      </c>
      <c r="G333" s="19" t="s">
        <v>41</v>
      </c>
      <c r="H333" s="18" t="n">
        <v>6</v>
      </c>
      <c r="I333" s="20" t="n">
        <v>145.67</v>
      </c>
      <c r="J333" s="20" t="n">
        <v>216.38</v>
      </c>
      <c r="K333" s="18" t="n">
        <v>25</v>
      </c>
      <c r="L333" s="18" t="n">
        <v>44</v>
      </c>
      <c r="M333" s="18" t="n">
        <v>1500</v>
      </c>
      <c r="N333" s="18" t="n">
        <v>300</v>
      </c>
      <c r="O333" s="14" t="s">
        <v>1126</v>
      </c>
      <c r="P333" s="14" t="s">
        <v>84</v>
      </c>
      <c r="Q333" s="15" t="s">
        <v>1089</v>
      </c>
      <c r="R333" s="16" t="s">
        <v>3096</v>
      </c>
      <c r="S333" s="15" t="s">
        <v>3097</v>
      </c>
      <c r="T333" s="15" t="s">
        <v>3098</v>
      </c>
      <c r="U333" s="21" t="s">
        <v>72</v>
      </c>
    </row>
    <row r="334" customFormat="false" ht="26.85" hidden="false" customHeight="false" outlineLevel="0" collapsed="false">
      <c r="A334" s="15" t="s">
        <v>1082</v>
      </c>
      <c r="B334" s="15" t="s">
        <v>2916</v>
      </c>
      <c r="C334" s="14" t="s">
        <v>3099</v>
      </c>
      <c r="D334" s="14" t="s">
        <v>3100</v>
      </c>
      <c r="E334" s="16" t="s">
        <v>3101</v>
      </c>
      <c r="F334" s="16" t="s">
        <v>1862</v>
      </c>
      <c r="G334" s="23" t="s">
        <v>43</v>
      </c>
      <c r="H334" s="18" t="n">
        <v>4</v>
      </c>
      <c r="I334" s="20" t="n">
        <v>49.89</v>
      </c>
      <c r="J334" s="20" t="n">
        <v>107.57</v>
      </c>
      <c r="K334" s="18" t="n">
        <v>8</v>
      </c>
      <c r="L334" s="18" t="n">
        <v>90</v>
      </c>
      <c r="M334" s="18" t="n">
        <v>328</v>
      </c>
      <c r="N334" s="18" t="n">
        <v>164</v>
      </c>
      <c r="O334" s="14" t="s">
        <v>1097</v>
      </c>
      <c r="P334" s="14" t="s">
        <v>84</v>
      </c>
      <c r="Q334" s="15" t="s">
        <v>1089</v>
      </c>
      <c r="R334" s="16" t="s">
        <v>3102</v>
      </c>
      <c r="S334" s="15" t="s">
        <v>1864</v>
      </c>
      <c r="T334" s="15" t="s">
        <v>3103</v>
      </c>
      <c r="U334" s="21" t="s">
        <v>72</v>
      </c>
    </row>
    <row r="335" customFormat="false" ht="26.85" hidden="false" customHeight="false" outlineLevel="0" collapsed="false">
      <c r="A335" s="15" t="s">
        <v>1082</v>
      </c>
      <c r="B335" s="15" t="s">
        <v>2916</v>
      </c>
      <c r="C335" s="14" t="s">
        <v>3104</v>
      </c>
      <c r="D335" s="14" t="s">
        <v>3105</v>
      </c>
      <c r="E335" s="16" t="s">
        <v>3106</v>
      </c>
      <c r="F335" s="16" t="s">
        <v>1862</v>
      </c>
      <c r="G335" s="23" t="s">
        <v>43</v>
      </c>
      <c r="H335" s="18" t="n">
        <v>4</v>
      </c>
      <c r="I335" s="20" t="n">
        <v>55.82</v>
      </c>
      <c r="J335" s="20" t="n">
        <v>129.81</v>
      </c>
      <c r="K335" s="18" t="n">
        <v>3</v>
      </c>
      <c r="L335" s="18" t="n">
        <v>103</v>
      </c>
      <c r="M335" s="18" t="n">
        <v>138</v>
      </c>
      <c r="N335" s="18" t="n">
        <v>138</v>
      </c>
      <c r="O335" s="14" t="s">
        <v>1097</v>
      </c>
      <c r="P335" s="14" t="s">
        <v>84</v>
      </c>
      <c r="Q335" s="15" t="s">
        <v>1089</v>
      </c>
      <c r="R335" s="16" t="s">
        <v>3107</v>
      </c>
      <c r="S335" s="15" t="s">
        <v>3108</v>
      </c>
      <c r="T335" s="15" t="s">
        <v>3109</v>
      </c>
      <c r="U335" s="21" t="s">
        <v>72</v>
      </c>
    </row>
    <row r="336" customFormat="false" ht="15" hidden="false" customHeight="false" outlineLevel="0" collapsed="false">
      <c r="A336" s="15" t="s">
        <v>1082</v>
      </c>
      <c r="B336" s="15" t="s">
        <v>2916</v>
      </c>
      <c r="C336" s="14" t="s">
        <v>3110</v>
      </c>
      <c r="D336" s="14" t="s">
        <v>3111</v>
      </c>
      <c r="E336" s="16" t="s">
        <v>3112</v>
      </c>
      <c r="F336" s="16" t="s">
        <v>3113</v>
      </c>
      <c r="G336" s="19" t="s">
        <v>41</v>
      </c>
      <c r="H336" s="18" t="n">
        <v>5</v>
      </c>
      <c r="I336" s="20" t="n">
        <v>137.01</v>
      </c>
      <c r="J336" s="20" t="n">
        <v>201.76</v>
      </c>
      <c r="K336" s="18" t="n">
        <v>30</v>
      </c>
      <c r="L336" s="18" t="n">
        <v>1</v>
      </c>
      <c r="M336" s="18" t="n">
        <v>1800</v>
      </c>
      <c r="N336" s="18" t="n">
        <v>300</v>
      </c>
      <c r="O336" s="14" t="s">
        <v>1126</v>
      </c>
      <c r="P336" s="14" t="s">
        <v>84</v>
      </c>
      <c r="Q336" s="15" t="s">
        <v>1089</v>
      </c>
      <c r="R336" s="16" t="s">
        <v>1127</v>
      </c>
      <c r="S336" s="15" t="s">
        <v>3114</v>
      </c>
      <c r="T336" s="15" t="s">
        <v>3115</v>
      </c>
      <c r="U336" s="21" t="s">
        <v>72</v>
      </c>
    </row>
    <row r="337" customFormat="false" ht="15" hidden="false" customHeight="false" outlineLevel="0" collapsed="false">
      <c r="A337" s="15" t="s">
        <v>1082</v>
      </c>
      <c r="B337" s="15" t="s">
        <v>2916</v>
      </c>
      <c r="C337" s="14" t="s">
        <v>3116</v>
      </c>
      <c r="D337" s="14" t="s">
        <v>3117</v>
      </c>
      <c r="E337" s="16" t="s">
        <v>3112</v>
      </c>
      <c r="F337" s="16" t="s">
        <v>3118</v>
      </c>
      <c r="G337" s="19" t="s">
        <v>41</v>
      </c>
      <c r="H337" s="18" t="n">
        <v>5</v>
      </c>
      <c r="I337" s="20" t="n">
        <v>87.29</v>
      </c>
      <c r="J337" s="20" t="n">
        <v>113.04</v>
      </c>
      <c r="K337" s="18" t="n">
        <v>20</v>
      </c>
      <c r="L337" s="18" t="n">
        <v>6</v>
      </c>
      <c r="M337" s="18" t="n">
        <v>1200</v>
      </c>
      <c r="N337" s="18" t="n">
        <v>300</v>
      </c>
      <c r="O337" s="14" t="s">
        <v>1126</v>
      </c>
      <c r="P337" s="14" t="s">
        <v>84</v>
      </c>
      <c r="Q337" s="15" t="s">
        <v>1089</v>
      </c>
      <c r="R337" s="16" t="s">
        <v>1489</v>
      </c>
      <c r="S337" s="15" t="s">
        <v>3114</v>
      </c>
      <c r="T337" s="15" t="s">
        <v>3119</v>
      </c>
      <c r="U337" s="21" t="s">
        <v>72</v>
      </c>
    </row>
    <row r="338" customFormat="false" ht="15" hidden="false" customHeight="false" outlineLevel="0" collapsed="false">
      <c r="A338" s="15" t="s">
        <v>1082</v>
      </c>
      <c r="B338" s="15" t="s">
        <v>2916</v>
      </c>
      <c r="C338" s="14" t="s">
        <v>3120</v>
      </c>
      <c r="D338" s="14" t="s">
        <v>3121</v>
      </c>
      <c r="E338" s="16" t="s">
        <v>3122</v>
      </c>
      <c r="F338" s="16" t="s">
        <v>3123</v>
      </c>
      <c r="G338" s="19" t="s">
        <v>41</v>
      </c>
      <c r="H338" s="18" t="n">
        <v>5</v>
      </c>
      <c r="I338" s="20" t="n">
        <v>138.82</v>
      </c>
      <c r="J338" s="20" t="n">
        <v>179.02</v>
      </c>
      <c r="K338" s="18" t="n">
        <v>8</v>
      </c>
      <c r="L338" s="18" t="n">
        <v>1</v>
      </c>
      <c r="M338" s="18" t="n">
        <v>480</v>
      </c>
      <c r="N338" s="18" t="n">
        <v>240</v>
      </c>
      <c r="O338" s="14" t="s">
        <v>1126</v>
      </c>
      <c r="P338" s="14" t="s">
        <v>84</v>
      </c>
      <c r="Q338" s="15" t="s">
        <v>1089</v>
      </c>
      <c r="R338" s="16" t="s">
        <v>1340</v>
      </c>
      <c r="S338" s="15" t="s">
        <v>3124</v>
      </c>
      <c r="T338" s="15" t="s">
        <v>3125</v>
      </c>
      <c r="U338" s="21" t="s">
        <v>72</v>
      </c>
    </row>
    <row r="339" customFormat="false" ht="26.85" hidden="false" customHeight="false" outlineLevel="0" collapsed="false">
      <c r="A339" s="15" t="s">
        <v>1082</v>
      </c>
      <c r="B339" s="15" t="s">
        <v>2916</v>
      </c>
      <c r="C339" s="14" t="s">
        <v>3126</v>
      </c>
      <c r="D339" s="14" t="s">
        <v>3127</v>
      </c>
      <c r="E339" s="16" t="s">
        <v>3128</v>
      </c>
      <c r="F339" s="16" t="s">
        <v>3129</v>
      </c>
      <c r="G339" s="23" t="s">
        <v>43</v>
      </c>
      <c r="H339" s="18" t="n">
        <v>3</v>
      </c>
      <c r="I339" s="20" t="n">
        <v>66.03</v>
      </c>
      <c r="J339" s="20" t="n">
        <v>112.49</v>
      </c>
      <c r="K339" s="18" t="n">
        <v>4</v>
      </c>
      <c r="L339" s="18" t="n">
        <v>1</v>
      </c>
      <c r="M339" s="18" t="n">
        <v>220</v>
      </c>
      <c r="N339" s="18" t="n">
        <v>220</v>
      </c>
      <c r="O339" s="14" t="s">
        <v>1097</v>
      </c>
      <c r="P339" s="14" t="s">
        <v>84</v>
      </c>
      <c r="Q339" s="15" t="s">
        <v>1089</v>
      </c>
      <c r="R339" s="16" t="s">
        <v>3130</v>
      </c>
      <c r="S339" s="15" t="s">
        <v>3131</v>
      </c>
      <c r="T339" s="15" t="s">
        <v>3132</v>
      </c>
      <c r="U339" s="21" t="s">
        <v>72</v>
      </c>
    </row>
    <row r="340" customFormat="false" ht="26.85" hidden="false" customHeight="false" outlineLevel="0" collapsed="false">
      <c r="A340" s="15" t="s">
        <v>1082</v>
      </c>
      <c r="B340" s="15" t="s">
        <v>2916</v>
      </c>
      <c r="C340" s="14" t="s">
        <v>3133</v>
      </c>
      <c r="D340" s="14" t="s">
        <v>3134</v>
      </c>
      <c r="E340" s="16" t="s">
        <v>3135</v>
      </c>
      <c r="F340" s="16" t="s">
        <v>3136</v>
      </c>
      <c r="G340" s="23" t="s">
        <v>43</v>
      </c>
      <c r="H340" s="18" t="n">
        <v>3</v>
      </c>
      <c r="I340" s="20" t="n">
        <v>50.5</v>
      </c>
      <c r="J340" s="20" t="n">
        <v>114.56</v>
      </c>
      <c r="K340" s="18" t="n">
        <v>16</v>
      </c>
      <c r="L340" s="18" t="n">
        <v>10</v>
      </c>
      <c r="M340" s="18" t="n">
        <v>272</v>
      </c>
      <c r="N340" s="18" t="n">
        <v>102</v>
      </c>
      <c r="O340" s="14" t="s">
        <v>1097</v>
      </c>
      <c r="P340" s="14" t="s">
        <v>515</v>
      </c>
      <c r="Q340" s="15" t="s">
        <v>1089</v>
      </c>
      <c r="R340" s="16" t="s">
        <v>3137</v>
      </c>
      <c r="S340" s="15" t="s">
        <v>3138</v>
      </c>
      <c r="T340" s="15" t="s">
        <v>3139</v>
      </c>
      <c r="U340" s="21" t="s">
        <v>72</v>
      </c>
    </row>
    <row r="341" customFormat="false" ht="26.85" hidden="false" customHeight="false" outlineLevel="0" collapsed="false">
      <c r="A341" s="15" t="s">
        <v>1082</v>
      </c>
      <c r="B341" s="15" t="s">
        <v>2916</v>
      </c>
      <c r="C341" s="14" t="s">
        <v>3140</v>
      </c>
      <c r="D341" s="14" t="s">
        <v>3141</v>
      </c>
      <c r="E341" s="16" t="s">
        <v>3142</v>
      </c>
      <c r="F341" s="16" t="s">
        <v>3136</v>
      </c>
      <c r="G341" s="23" t="s">
        <v>43</v>
      </c>
      <c r="H341" s="18" t="n">
        <v>4</v>
      </c>
      <c r="I341" s="20" t="n">
        <v>76.2</v>
      </c>
      <c r="J341" s="20" t="n">
        <v>144.24</v>
      </c>
      <c r="K341" s="18" t="n">
        <v>13</v>
      </c>
      <c r="L341" s="18" t="n">
        <v>11</v>
      </c>
      <c r="M341" s="18" t="n">
        <v>234</v>
      </c>
      <c r="N341" s="18" t="n">
        <v>72</v>
      </c>
      <c r="O341" s="14" t="s">
        <v>1088</v>
      </c>
      <c r="P341" s="14" t="s">
        <v>3143</v>
      </c>
      <c r="Q341" s="15" t="s">
        <v>1089</v>
      </c>
      <c r="R341" s="16" t="s">
        <v>3144</v>
      </c>
      <c r="S341" s="15" t="s">
        <v>3145</v>
      </c>
      <c r="T341" s="15" t="s">
        <v>3146</v>
      </c>
      <c r="U341" s="21" t="s">
        <v>72</v>
      </c>
    </row>
    <row r="342" customFormat="false" ht="26.85" hidden="false" customHeight="false" outlineLevel="0" collapsed="false">
      <c r="A342" s="15" t="s">
        <v>1082</v>
      </c>
      <c r="B342" s="15" t="s">
        <v>2916</v>
      </c>
      <c r="C342" s="14" t="s">
        <v>3147</v>
      </c>
      <c r="D342" s="14" t="s">
        <v>3148</v>
      </c>
      <c r="E342" s="16" t="s">
        <v>3149</v>
      </c>
      <c r="F342" s="16" t="s">
        <v>3150</v>
      </c>
      <c r="G342" s="23" t="s">
        <v>43</v>
      </c>
      <c r="H342" s="18" t="n">
        <v>1</v>
      </c>
      <c r="I342" s="20" t="n">
        <v>59.21</v>
      </c>
      <c r="J342" s="20" t="n">
        <v>128.29</v>
      </c>
      <c r="K342" s="18" t="n">
        <v>3</v>
      </c>
      <c r="L342" s="18" t="n">
        <v>1</v>
      </c>
      <c r="M342" s="18" t="n">
        <v>147</v>
      </c>
      <c r="N342" s="18" t="n">
        <v>147</v>
      </c>
      <c r="O342" s="14" t="s">
        <v>1088</v>
      </c>
      <c r="P342" s="14" t="s">
        <v>84</v>
      </c>
      <c r="Q342" s="15" t="s">
        <v>1089</v>
      </c>
      <c r="R342" s="16" t="s">
        <v>3151</v>
      </c>
      <c r="S342" s="15" t="s">
        <v>3152</v>
      </c>
      <c r="T342" s="15" t="s">
        <v>3153</v>
      </c>
      <c r="U342" s="21" t="s">
        <v>72</v>
      </c>
    </row>
    <row r="343" customFormat="false" ht="15" hidden="false" customHeight="false" outlineLevel="0" collapsed="false">
      <c r="A343" s="15" t="s">
        <v>1082</v>
      </c>
      <c r="B343" s="15" t="s">
        <v>2916</v>
      </c>
      <c r="C343" s="14" t="s">
        <v>3154</v>
      </c>
      <c r="D343" s="14" t="s">
        <v>3155</v>
      </c>
      <c r="E343" s="16" t="s">
        <v>3156</v>
      </c>
      <c r="F343" s="16" t="s">
        <v>3157</v>
      </c>
      <c r="G343" s="23" t="s">
        <v>43</v>
      </c>
      <c r="H343" s="18" t="n">
        <v>2</v>
      </c>
      <c r="I343" s="20" t="n">
        <v>36.01</v>
      </c>
      <c r="J343" s="20" t="n">
        <v>109.3</v>
      </c>
      <c r="K343" s="18" t="n">
        <v>10</v>
      </c>
      <c r="L343" s="18" t="n">
        <v>12</v>
      </c>
      <c r="M343" s="18" t="n">
        <v>300</v>
      </c>
      <c r="N343" s="18" t="n">
        <v>60</v>
      </c>
      <c r="O343" s="14" t="s">
        <v>1097</v>
      </c>
      <c r="P343" s="14" t="s">
        <v>118</v>
      </c>
      <c r="Q343" s="15" t="s">
        <v>1089</v>
      </c>
      <c r="R343" s="16" t="s">
        <v>3158</v>
      </c>
      <c r="S343" s="15" t="s">
        <v>3159</v>
      </c>
      <c r="T343" s="15" t="s">
        <v>3160</v>
      </c>
      <c r="U343" s="21" t="s">
        <v>72</v>
      </c>
    </row>
    <row r="344" customFormat="false" ht="15" hidden="false" customHeight="false" outlineLevel="0" collapsed="false">
      <c r="A344" s="15" t="s">
        <v>1082</v>
      </c>
      <c r="B344" s="15" t="s">
        <v>2916</v>
      </c>
      <c r="C344" s="14" t="s">
        <v>3161</v>
      </c>
      <c r="D344" s="14" t="s">
        <v>3162</v>
      </c>
      <c r="E344" s="16" t="s">
        <v>3163</v>
      </c>
      <c r="F344" s="16" t="s">
        <v>3164</v>
      </c>
      <c r="G344" s="19" t="s">
        <v>41</v>
      </c>
      <c r="H344" s="18" t="n">
        <v>5</v>
      </c>
      <c r="I344" s="20" t="n">
        <v>81.9</v>
      </c>
      <c r="J344" s="20" t="n">
        <v>162.4</v>
      </c>
      <c r="K344" s="18" t="n">
        <v>60</v>
      </c>
      <c r="L344" s="18" t="n">
        <v>27</v>
      </c>
      <c r="M344" s="18" t="n">
        <v>3600</v>
      </c>
      <c r="N344" s="18" t="n">
        <v>600</v>
      </c>
      <c r="O344" s="14" t="s">
        <v>1126</v>
      </c>
      <c r="P344" s="14" t="s">
        <v>1716</v>
      </c>
      <c r="Q344" s="15" t="s">
        <v>1089</v>
      </c>
      <c r="R344" s="16" t="s">
        <v>3165</v>
      </c>
      <c r="S344" s="15" t="s">
        <v>3166</v>
      </c>
      <c r="T344" s="15" t="s">
        <v>3167</v>
      </c>
      <c r="U344" s="21" t="s">
        <v>72</v>
      </c>
    </row>
    <row r="345" customFormat="false" ht="15" hidden="false" customHeight="false" outlineLevel="0" collapsed="false">
      <c r="A345" s="15" t="s">
        <v>1082</v>
      </c>
      <c r="B345" s="15" t="s">
        <v>2916</v>
      </c>
      <c r="C345" s="14" t="s">
        <v>3168</v>
      </c>
      <c r="D345" s="14" t="s">
        <v>3169</v>
      </c>
      <c r="E345" s="16" t="s">
        <v>3170</v>
      </c>
      <c r="F345" s="16" t="s">
        <v>3171</v>
      </c>
      <c r="G345" s="19" t="s">
        <v>41</v>
      </c>
      <c r="H345" s="18" t="n">
        <v>6</v>
      </c>
      <c r="I345" s="20" t="n">
        <v>151.1</v>
      </c>
      <c r="J345" s="20" t="n">
        <v>277.27</v>
      </c>
      <c r="K345" s="18" t="n">
        <v>9</v>
      </c>
      <c r="L345" s="18" t="n">
        <v>9</v>
      </c>
      <c r="M345" s="18" t="n">
        <v>243</v>
      </c>
      <c r="N345" s="18" t="n">
        <v>81</v>
      </c>
      <c r="O345" s="14" t="s">
        <v>1088</v>
      </c>
      <c r="P345" s="14" t="s">
        <v>118</v>
      </c>
      <c r="Q345" s="15" t="s">
        <v>1089</v>
      </c>
      <c r="R345" s="16" t="s">
        <v>3172</v>
      </c>
      <c r="S345" s="15" t="s">
        <v>3173</v>
      </c>
      <c r="T345" s="15" t="s">
        <v>3174</v>
      </c>
      <c r="U345" s="21" t="s">
        <v>72</v>
      </c>
    </row>
    <row r="346" customFormat="false" ht="15" hidden="false" customHeight="false" outlineLevel="0" collapsed="false">
      <c r="A346" s="15" t="s">
        <v>1082</v>
      </c>
      <c r="B346" s="15" t="s">
        <v>2916</v>
      </c>
      <c r="C346" s="14" t="s">
        <v>3175</v>
      </c>
      <c r="D346" s="14" t="s">
        <v>3176</v>
      </c>
      <c r="E346" s="16" t="s">
        <v>3177</v>
      </c>
      <c r="F346" s="16" t="s">
        <v>3178</v>
      </c>
      <c r="G346" s="23" t="s">
        <v>43</v>
      </c>
      <c r="H346" s="18" t="n">
        <v>4</v>
      </c>
      <c r="I346" s="20" t="n">
        <v>64.58</v>
      </c>
      <c r="J346" s="20" t="n">
        <v>112.52</v>
      </c>
      <c r="K346" s="18" t="n">
        <v>8</v>
      </c>
      <c r="L346" s="18" t="n">
        <v>5</v>
      </c>
      <c r="M346" s="18" t="n">
        <v>400</v>
      </c>
      <c r="N346" s="18" t="n">
        <v>200</v>
      </c>
      <c r="O346" s="14" t="s">
        <v>1097</v>
      </c>
      <c r="P346" s="14" t="s">
        <v>118</v>
      </c>
      <c r="Q346" s="15" t="s">
        <v>1089</v>
      </c>
      <c r="R346" s="16" t="s">
        <v>3179</v>
      </c>
      <c r="S346" s="15" t="s">
        <v>3180</v>
      </c>
      <c r="T346" s="15" t="s">
        <v>3181</v>
      </c>
      <c r="U346" s="21" t="s">
        <v>72</v>
      </c>
    </row>
    <row r="347" customFormat="false" ht="15" hidden="false" customHeight="false" outlineLevel="0" collapsed="false">
      <c r="A347" s="15" t="s">
        <v>1082</v>
      </c>
      <c r="B347" s="15" t="s">
        <v>2916</v>
      </c>
      <c r="C347" s="14" t="s">
        <v>3182</v>
      </c>
      <c r="D347" s="14" t="s">
        <v>3183</v>
      </c>
      <c r="E347" s="16" t="s">
        <v>3184</v>
      </c>
      <c r="F347" s="16" t="s">
        <v>3185</v>
      </c>
      <c r="G347" s="23" t="s">
        <v>43</v>
      </c>
      <c r="H347" s="18" t="n">
        <v>3</v>
      </c>
      <c r="I347" s="20" t="n">
        <v>64</v>
      </c>
      <c r="J347" s="20" t="n">
        <v>120.17</v>
      </c>
      <c r="K347" s="18" t="n">
        <v>1</v>
      </c>
      <c r="L347" s="18" t="n">
        <v>4</v>
      </c>
      <c r="M347" s="18" t="n">
        <v>30</v>
      </c>
      <c r="N347" s="18" t="n">
        <v>30</v>
      </c>
      <c r="O347" s="14" t="s">
        <v>1088</v>
      </c>
      <c r="P347" s="14" t="s">
        <v>84</v>
      </c>
      <c r="Q347" s="15" t="s">
        <v>1089</v>
      </c>
      <c r="R347" s="16" t="s">
        <v>2382</v>
      </c>
      <c r="S347" s="15" t="s">
        <v>3186</v>
      </c>
      <c r="T347" s="15" t="s">
        <v>3186</v>
      </c>
      <c r="U347" s="21" t="s">
        <v>72</v>
      </c>
    </row>
    <row r="348" customFormat="false" ht="15" hidden="false" customHeight="false" outlineLevel="0" collapsed="false">
      <c r="A348" s="15" t="s">
        <v>1082</v>
      </c>
      <c r="B348" s="15" t="s">
        <v>2916</v>
      </c>
      <c r="C348" s="14" t="s">
        <v>3187</v>
      </c>
      <c r="D348" s="14" t="s">
        <v>3188</v>
      </c>
      <c r="E348" s="16" t="s">
        <v>3189</v>
      </c>
      <c r="F348" s="16" t="s">
        <v>3190</v>
      </c>
      <c r="G348" s="23" t="s">
        <v>43</v>
      </c>
      <c r="H348" s="18" t="n">
        <v>4</v>
      </c>
      <c r="I348" s="20" t="n">
        <v>62.73</v>
      </c>
      <c r="J348" s="20" t="n">
        <v>138.54</v>
      </c>
      <c r="K348" s="18" t="n">
        <v>16</v>
      </c>
      <c r="L348" s="18" t="n">
        <v>3</v>
      </c>
      <c r="M348" s="18" t="n">
        <v>832</v>
      </c>
      <c r="N348" s="18" t="n">
        <v>208</v>
      </c>
      <c r="O348" s="14" t="s">
        <v>1088</v>
      </c>
      <c r="P348" s="14" t="s">
        <v>118</v>
      </c>
      <c r="Q348" s="15" t="s">
        <v>1089</v>
      </c>
      <c r="R348" s="16" t="s">
        <v>2044</v>
      </c>
      <c r="S348" s="15" t="s">
        <v>3191</v>
      </c>
      <c r="T348" s="15" t="s">
        <v>3191</v>
      </c>
      <c r="U348" s="21" t="s">
        <v>72</v>
      </c>
    </row>
    <row r="349" customFormat="false" ht="15" hidden="false" customHeight="false" outlineLevel="0" collapsed="false">
      <c r="A349" s="15" t="s">
        <v>1082</v>
      </c>
      <c r="B349" s="15" t="s">
        <v>2916</v>
      </c>
      <c r="C349" s="14" t="s">
        <v>3192</v>
      </c>
      <c r="D349" s="14" t="s">
        <v>3193</v>
      </c>
      <c r="E349" s="16" t="s">
        <v>3194</v>
      </c>
      <c r="F349" s="16" t="s">
        <v>3195</v>
      </c>
      <c r="G349" s="19" t="s">
        <v>41</v>
      </c>
      <c r="H349" s="18" t="n">
        <v>5</v>
      </c>
      <c r="I349" s="20" t="n">
        <v>34.37</v>
      </c>
      <c r="J349" s="20" t="n">
        <v>111.34</v>
      </c>
      <c r="K349" s="18" t="n">
        <v>25</v>
      </c>
      <c r="L349" s="18" t="n">
        <v>2</v>
      </c>
      <c r="M349" s="18" t="n">
        <v>275</v>
      </c>
      <c r="N349" s="18" t="n">
        <v>55</v>
      </c>
      <c r="O349" s="14" t="s">
        <v>1097</v>
      </c>
      <c r="P349" s="14" t="s">
        <v>118</v>
      </c>
      <c r="Q349" s="15" t="s">
        <v>1089</v>
      </c>
      <c r="R349" s="16" t="s">
        <v>3196</v>
      </c>
      <c r="S349" s="15" t="s">
        <v>3197</v>
      </c>
      <c r="T349" s="15" t="s">
        <v>3197</v>
      </c>
      <c r="U349" s="21" t="s">
        <v>72</v>
      </c>
    </row>
    <row r="350" customFormat="false" ht="15" hidden="false" customHeight="false" outlineLevel="0" collapsed="false">
      <c r="A350" s="15" t="s">
        <v>1082</v>
      </c>
      <c r="B350" s="15" t="s">
        <v>2916</v>
      </c>
      <c r="C350" s="14" t="s">
        <v>3198</v>
      </c>
      <c r="D350" s="14" t="s">
        <v>3199</v>
      </c>
      <c r="E350" s="16" t="s">
        <v>3200</v>
      </c>
      <c r="F350" s="16" t="s">
        <v>3201</v>
      </c>
      <c r="G350" s="19" t="s">
        <v>41</v>
      </c>
      <c r="H350" s="18" t="n">
        <v>5</v>
      </c>
      <c r="I350" s="20" t="n">
        <v>71.79</v>
      </c>
      <c r="J350" s="20" t="n">
        <v>203.5</v>
      </c>
      <c r="K350" s="18" t="n">
        <v>25</v>
      </c>
      <c r="L350" s="18" t="n">
        <v>20</v>
      </c>
      <c r="M350" s="18" t="n">
        <v>1500</v>
      </c>
      <c r="N350" s="18" t="n">
        <v>300</v>
      </c>
      <c r="O350" s="14" t="s">
        <v>1088</v>
      </c>
      <c r="P350" s="14" t="s">
        <v>84</v>
      </c>
      <c r="Q350" s="15" t="s">
        <v>1089</v>
      </c>
      <c r="R350" s="16" t="s">
        <v>3202</v>
      </c>
      <c r="S350" s="15" t="s">
        <v>1148</v>
      </c>
      <c r="T350" s="15" t="s">
        <v>2447</v>
      </c>
      <c r="U350" s="21" t="s">
        <v>72</v>
      </c>
    </row>
    <row r="351" customFormat="false" ht="15" hidden="false" customHeight="false" outlineLevel="0" collapsed="false">
      <c r="A351" s="15" t="s">
        <v>1082</v>
      </c>
      <c r="B351" s="15" t="s">
        <v>2916</v>
      </c>
      <c r="C351" s="14" t="s">
        <v>3203</v>
      </c>
      <c r="D351" s="14" t="s">
        <v>3204</v>
      </c>
      <c r="E351" s="16" t="s">
        <v>3205</v>
      </c>
      <c r="F351" s="16" t="s">
        <v>3206</v>
      </c>
      <c r="G351" s="23" t="s">
        <v>43</v>
      </c>
      <c r="H351" s="18" t="n">
        <v>4</v>
      </c>
      <c r="I351" s="20" t="n">
        <v>33.6</v>
      </c>
      <c r="J351" s="20" t="n">
        <v>121.52</v>
      </c>
      <c r="K351" s="18" t="n">
        <v>8</v>
      </c>
      <c r="L351" s="18" t="n">
        <v>3</v>
      </c>
      <c r="M351" s="18" t="n">
        <v>104</v>
      </c>
      <c r="N351" s="18" t="n">
        <v>26</v>
      </c>
      <c r="O351" s="14" t="s">
        <v>1097</v>
      </c>
      <c r="P351" s="14" t="s">
        <v>118</v>
      </c>
      <c r="Q351" s="15" t="s">
        <v>1089</v>
      </c>
      <c r="R351" s="16" t="s">
        <v>3207</v>
      </c>
      <c r="S351" s="15" t="s">
        <v>3208</v>
      </c>
      <c r="T351" s="15" t="s">
        <v>3209</v>
      </c>
      <c r="U351" s="21" t="s">
        <v>72</v>
      </c>
    </row>
    <row r="352" customFormat="false" ht="15" hidden="false" customHeight="false" outlineLevel="0" collapsed="false">
      <c r="A352" s="15" t="s">
        <v>1082</v>
      </c>
      <c r="B352" s="15" t="s">
        <v>2916</v>
      </c>
      <c r="C352" s="14" t="s">
        <v>3210</v>
      </c>
      <c r="D352" s="14" t="s">
        <v>3211</v>
      </c>
      <c r="E352" s="16" t="s">
        <v>3212</v>
      </c>
      <c r="F352" s="16" t="s">
        <v>1513</v>
      </c>
      <c r="G352" s="19" t="s">
        <v>41</v>
      </c>
      <c r="H352" s="18" t="n">
        <v>6</v>
      </c>
      <c r="I352" s="20" t="n">
        <v>142.3</v>
      </c>
      <c r="J352" s="20" t="n">
        <v>249.27</v>
      </c>
      <c r="K352" s="18" t="n">
        <v>6</v>
      </c>
      <c r="L352" s="18" t="n">
        <v>12</v>
      </c>
      <c r="M352" s="18" t="n">
        <v>360</v>
      </c>
      <c r="N352" s="18" t="n">
        <v>360</v>
      </c>
      <c r="O352" s="14" t="s">
        <v>1097</v>
      </c>
      <c r="P352" s="14" t="s">
        <v>84</v>
      </c>
      <c r="Q352" s="15" t="s">
        <v>1089</v>
      </c>
      <c r="R352" s="16" t="s">
        <v>2891</v>
      </c>
      <c r="S352" s="15" t="s">
        <v>3213</v>
      </c>
      <c r="T352" s="15" t="s">
        <v>3214</v>
      </c>
      <c r="U352" s="21" t="s">
        <v>72</v>
      </c>
    </row>
    <row r="353" customFormat="false" ht="15" hidden="false" customHeight="false" outlineLevel="0" collapsed="false">
      <c r="A353" s="15" t="s">
        <v>1082</v>
      </c>
      <c r="B353" s="15" t="s">
        <v>2916</v>
      </c>
      <c r="C353" s="14" t="s">
        <v>3215</v>
      </c>
      <c r="D353" s="14" t="s">
        <v>3216</v>
      </c>
      <c r="E353" s="16" t="s">
        <v>3217</v>
      </c>
      <c r="F353" s="16" t="s">
        <v>3218</v>
      </c>
      <c r="G353" s="23" t="s">
        <v>43</v>
      </c>
      <c r="H353" s="18" t="n">
        <v>2</v>
      </c>
      <c r="I353" s="20" t="n">
        <v>57</v>
      </c>
      <c r="J353" s="20" t="n">
        <v>134.69</v>
      </c>
      <c r="K353" s="18" t="n">
        <v>2</v>
      </c>
      <c r="L353" s="18" t="n">
        <v>1</v>
      </c>
      <c r="M353" s="18" t="n">
        <v>94</v>
      </c>
      <c r="N353" s="18" t="n">
        <v>94</v>
      </c>
      <c r="O353" s="14" t="s">
        <v>1088</v>
      </c>
      <c r="P353" s="14" t="s">
        <v>84</v>
      </c>
      <c r="Q353" s="15" t="s">
        <v>1089</v>
      </c>
      <c r="R353" s="16" t="s">
        <v>2593</v>
      </c>
      <c r="S353" s="15" t="s">
        <v>3219</v>
      </c>
      <c r="T353" s="15" t="s">
        <v>3219</v>
      </c>
      <c r="U353" s="21" t="s">
        <v>72</v>
      </c>
    </row>
    <row r="354" customFormat="false" ht="26.85" hidden="false" customHeight="false" outlineLevel="0" collapsed="false">
      <c r="A354" s="15" t="s">
        <v>1082</v>
      </c>
      <c r="B354" s="15" t="s">
        <v>2916</v>
      </c>
      <c r="C354" s="14" t="s">
        <v>3220</v>
      </c>
      <c r="D354" s="14" t="s">
        <v>3221</v>
      </c>
      <c r="E354" s="16" t="s">
        <v>3222</v>
      </c>
      <c r="F354" s="16" t="s">
        <v>3223</v>
      </c>
      <c r="G354" s="23" t="s">
        <v>43</v>
      </c>
      <c r="H354" s="18" t="n">
        <v>3</v>
      </c>
      <c r="I354" s="20" t="n">
        <v>50.01</v>
      </c>
      <c r="J354" s="20" t="n">
        <v>88.79</v>
      </c>
      <c r="K354" s="18" t="n">
        <v>3</v>
      </c>
      <c r="L354" s="18" t="n">
        <v>2</v>
      </c>
      <c r="M354" s="18" t="n">
        <v>48</v>
      </c>
      <c r="N354" s="18" t="n">
        <v>16</v>
      </c>
      <c r="O354" s="14" t="s">
        <v>1097</v>
      </c>
      <c r="P354" s="14" t="s">
        <v>352</v>
      </c>
      <c r="Q354" s="15" t="s">
        <v>1089</v>
      </c>
      <c r="R354" s="16" t="s">
        <v>3224</v>
      </c>
      <c r="S354" s="15" t="s">
        <v>3225</v>
      </c>
      <c r="T354" s="15" t="s">
        <v>3226</v>
      </c>
      <c r="U354" s="21" t="s">
        <v>72</v>
      </c>
    </row>
    <row r="355" customFormat="false" ht="15" hidden="false" customHeight="false" outlineLevel="0" collapsed="false">
      <c r="A355" s="15" t="s">
        <v>1082</v>
      </c>
      <c r="B355" s="15" t="s">
        <v>2916</v>
      </c>
      <c r="C355" s="14" t="s">
        <v>3227</v>
      </c>
      <c r="D355" s="14" t="s">
        <v>3228</v>
      </c>
      <c r="E355" s="16" t="s">
        <v>3229</v>
      </c>
      <c r="F355" s="16" t="s">
        <v>3230</v>
      </c>
      <c r="G355" s="23" t="s">
        <v>43</v>
      </c>
      <c r="H355" s="18" t="n">
        <v>2</v>
      </c>
      <c r="I355" s="20" t="n">
        <v>47.65</v>
      </c>
      <c r="J355" s="20" t="n">
        <v>130.69</v>
      </c>
      <c r="K355" s="18" t="n">
        <v>5</v>
      </c>
      <c r="L355" s="18" t="n">
        <v>2</v>
      </c>
      <c r="M355" s="18" t="n">
        <v>245</v>
      </c>
      <c r="N355" s="18" t="n">
        <v>245</v>
      </c>
      <c r="O355" s="14" t="s">
        <v>1097</v>
      </c>
      <c r="P355" s="14" t="s">
        <v>84</v>
      </c>
      <c r="Q355" s="15" t="s">
        <v>1089</v>
      </c>
      <c r="R355" s="16" t="s">
        <v>1884</v>
      </c>
      <c r="S355" s="15" t="s">
        <v>3231</v>
      </c>
      <c r="T355" s="15" t="s">
        <v>3232</v>
      </c>
      <c r="U355" s="21" t="s">
        <v>72</v>
      </c>
    </row>
    <row r="356" customFormat="false" ht="15" hidden="false" customHeight="false" outlineLevel="0" collapsed="false">
      <c r="A356" s="15" t="s">
        <v>1082</v>
      </c>
      <c r="B356" s="15" t="s">
        <v>2916</v>
      </c>
      <c r="C356" s="14" t="s">
        <v>3233</v>
      </c>
      <c r="D356" s="14" t="s">
        <v>3234</v>
      </c>
      <c r="E356" s="16" t="s">
        <v>3235</v>
      </c>
      <c r="F356" s="16" t="s">
        <v>3236</v>
      </c>
      <c r="G356" s="23" t="s">
        <v>43</v>
      </c>
      <c r="H356" s="18" t="n">
        <v>3</v>
      </c>
      <c r="I356" s="20" t="n">
        <v>37.56</v>
      </c>
      <c r="J356" s="20" t="n">
        <v>115.65</v>
      </c>
      <c r="K356" s="18" t="n">
        <v>8</v>
      </c>
      <c r="L356" s="18" t="n">
        <v>29</v>
      </c>
      <c r="M356" s="18" t="n">
        <v>80</v>
      </c>
      <c r="N356" s="18" t="n">
        <v>20</v>
      </c>
      <c r="O356" s="14" t="s">
        <v>1088</v>
      </c>
      <c r="P356" s="14" t="s">
        <v>84</v>
      </c>
      <c r="Q356" s="15" t="s">
        <v>1089</v>
      </c>
      <c r="R356" s="16" t="s">
        <v>85</v>
      </c>
      <c r="S356" s="15" t="s">
        <v>3237</v>
      </c>
      <c r="T356" s="15" t="s">
        <v>3237</v>
      </c>
      <c r="U356" s="21" t="s">
        <v>72</v>
      </c>
    </row>
    <row r="357" customFormat="false" ht="15" hidden="false" customHeight="false" outlineLevel="0" collapsed="false">
      <c r="A357" s="15" t="s">
        <v>1082</v>
      </c>
      <c r="B357" s="15" t="s">
        <v>2916</v>
      </c>
      <c r="C357" s="14" t="s">
        <v>3238</v>
      </c>
      <c r="D357" s="14" t="s">
        <v>3239</v>
      </c>
      <c r="E357" s="16" t="s">
        <v>3240</v>
      </c>
      <c r="F357" s="16" t="s">
        <v>3241</v>
      </c>
      <c r="G357" s="19" t="s">
        <v>41</v>
      </c>
      <c r="H357" s="18" t="n">
        <v>6</v>
      </c>
      <c r="I357" s="20" t="n">
        <v>95.79</v>
      </c>
      <c r="J357" s="20" t="n">
        <v>150.1</v>
      </c>
      <c r="K357" s="18" t="n">
        <v>6</v>
      </c>
      <c r="L357" s="18" t="n">
        <v>6</v>
      </c>
      <c r="M357" s="18" t="n">
        <v>360</v>
      </c>
      <c r="N357" s="18" t="n">
        <v>180</v>
      </c>
      <c r="O357" s="14" t="s">
        <v>1088</v>
      </c>
      <c r="P357" s="14" t="s">
        <v>84</v>
      </c>
      <c r="Q357" s="15" t="s">
        <v>1089</v>
      </c>
      <c r="R357" s="16" t="s">
        <v>3242</v>
      </c>
      <c r="S357" s="15" t="s">
        <v>3243</v>
      </c>
      <c r="T357" s="15" t="s">
        <v>3243</v>
      </c>
      <c r="U357" s="21" t="s">
        <v>72</v>
      </c>
    </row>
    <row r="358" customFormat="false" ht="15" hidden="false" customHeight="false" outlineLevel="0" collapsed="false">
      <c r="A358" s="15" t="s">
        <v>1082</v>
      </c>
      <c r="B358" s="15" t="s">
        <v>2916</v>
      </c>
      <c r="C358" s="14" t="s">
        <v>3244</v>
      </c>
      <c r="D358" s="14" t="s">
        <v>3245</v>
      </c>
      <c r="E358" s="16" t="s">
        <v>3246</v>
      </c>
      <c r="F358" s="16" t="s">
        <v>3247</v>
      </c>
      <c r="G358" s="23" t="s">
        <v>43</v>
      </c>
      <c r="H358" s="18" t="n">
        <v>4</v>
      </c>
      <c r="I358" s="20" t="n">
        <v>67.38</v>
      </c>
      <c r="J358" s="20" t="n">
        <v>164.44</v>
      </c>
      <c r="K358" s="18" t="n">
        <v>4</v>
      </c>
      <c r="L358" s="18" t="n">
        <v>3</v>
      </c>
      <c r="M358" s="18" t="n">
        <v>224</v>
      </c>
      <c r="N358" s="18" t="n">
        <v>224</v>
      </c>
      <c r="O358" s="14" t="s">
        <v>1097</v>
      </c>
      <c r="P358" s="14" t="s">
        <v>84</v>
      </c>
      <c r="Q358" s="15" t="s">
        <v>1089</v>
      </c>
      <c r="R358" s="16" t="s">
        <v>3248</v>
      </c>
      <c r="S358" s="15" t="s">
        <v>3249</v>
      </c>
      <c r="T358" s="15" t="s">
        <v>3249</v>
      </c>
      <c r="U358" s="21" t="s">
        <v>72</v>
      </c>
    </row>
    <row r="359" customFormat="false" ht="15" hidden="false" customHeight="false" outlineLevel="0" collapsed="false">
      <c r="A359" s="15" t="s">
        <v>1082</v>
      </c>
      <c r="B359" s="15" t="s">
        <v>2916</v>
      </c>
      <c r="C359" s="14" t="s">
        <v>3250</v>
      </c>
      <c r="D359" s="14" t="s">
        <v>3251</v>
      </c>
      <c r="E359" s="16" t="s">
        <v>3252</v>
      </c>
      <c r="F359" s="16" t="s">
        <v>3253</v>
      </c>
      <c r="G359" s="23" t="s">
        <v>43</v>
      </c>
      <c r="H359" s="18" t="n">
        <v>3</v>
      </c>
      <c r="I359" s="20" t="n">
        <v>42.61</v>
      </c>
      <c r="J359" s="20" t="n">
        <v>110.69</v>
      </c>
      <c r="K359" s="18" t="n">
        <v>7</v>
      </c>
      <c r="L359" s="18" t="n">
        <v>4</v>
      </c>
      <c r="M359" s="18" t="n">
        <v>154</v>
      </c>
      <c r="N359" s="18" t="n">
        <v>44</v>
      </c>
      <c r="O359" s="14" t="s">
        <v>1097</v>
      </c>
      <c r="P359" s="14" t="s">
        <v>84</v>
      </c>
      <c r="Q359" s="15" t="s">
        <v>1089</v>
      </c>
      <c r="R359" s="16" t="s">
        <v>3254</v>
      </c>
      <c r="S359" s="15" t="s">
        <v>3255</v>
      </c>
      <c r="T359" s="15" t="s">
        <v>3255</v>
      </c>
      <c r="U359" s="21" t="s">
        <v>72</v>
      </c>
    </row>
    <row r="360" customFormat="false" ht="15" hidden="false" customHeight="false" outlineLevel="0" collapsed="false">
      <c r="A360" s="15" t="s">
        <v>1082</v>
      </c>
      <c r="B360" s="15" t="s">
        <v>2916</v>
      </c>
      <c r="C360" s="14" t="s">
        <v>3256</v>
      </c>
      <c r="D360" s="14" t="s">
        <v>3257</v>
      </c>
      <c r="E360" s="16" t="s">
        <v>3258</v>
      </c>
      <c r="F360" s="16" t="s">
        <v>3259</v>
      </c>
      <c r="G360" s="23" t="s">
        <v>43</v>
      </c>
      <c r="H360" s="18" t="n">
        <v>4</v>
      </c>
      <c r="I360" s="20" t="n">
        <v>60.26</v>
      </c>
      <c r="J360" s="20" t="n">
        <v>115.9</v>
      </c>
      <c r="K360" s="18" t="n">
        <v>7</v>
      </c>
      <c r="L360" s="18" t="n">
        <v>8</v>
      </c>
      <c r="M360" s="18" t="n">
        <v>192</v>
      </c>
      <c r="N360" s="18" t="n">
        <v>132</v>
      </c>
      <c r="O360" s="14" t="s">
        <v>1088</v>
      </c>
      <c r="P360" s="14" t="s">
        <v>84</v>
      </c>
      <c r="Q360" s="15" t="s">
        <v>1089</v>
      </c>
      <c r="R360" s="16" t="s">
        <v>3260</v>
      </c>
      <c r="S360" s="15" t="s">
        <v>3261</v>
      </c>
      <c r="T360" s="15" t="s">
        <v>3262</v>
      </c>
      <c r="U360" s="21" t="s">
        <v>72</v>
      </c>
    </row>
    <row r="361" customFormat="false" ht="15" hidden="false" customHeight="false" outlineLevel="0" collapsed="false">
      <c r="A361" s="15" t="s">
        <v>1082</v>
      </c>
      <c r="B361" s="15" t="s">
        <v>2916</v>
      </c>
      <c r="C361" s="14" t="s">
        <v>3263</v>
      </c>
      <c r="D361" s="14" t="s">
        <v>3264</v>
      </c>
      <c r="E361" s="16" t="s">
        <v>3265</v>
      </c>
      <c r="F361" s="16" t="s">
        <v>3266</v>
      </c>
      <c r="G361" s="23" t="s">
        <v>43</v>
      </c>
      <c r="H361" s="18" t="n">
        <v>4</v>
      </c>
      <c r="I361" s="20" t="n">
        <v>65.8</v>
      </c>
      <c r="J361" s="20" t="n">
        <v>97.67</v>
      </c>
      <c r="K361" s="18" t="n">
        <v>3</v>
      </c>
      <c r="L361" s="18" t="n">
        <v>1</v>
      </c>
      <c r="M361" s="18" t="n">
        <v>99</v>
      </c>
      <c r="N361" s="18" t="n">
        <v>99</v>
      </c>
      <c r="O361" s="14" t="s">
        <v>1126</v>
      </c>
      <c r="P361" s="14" t="s">
        <v>84</v>
      </c>
      <c r="Q361" s="15" t="s">
        <v>1089</v>
      </c>
      <c r="R361" s="16" t="s">
        <v>3267</v>
      </c>
      <c r="S361" s="15" t="s">
        <v>3268</v>
      </c>
      <c r="T361" s="15" t="s">
        <v>3268</v>
      </c>
      <c r="U361" s="21" t="s">
        <v>72</v>
      </c>
    </row>
    <row r="362" customFormat="false" ht="15" hidden="false" customHeight="false" outlineLevel="0" collapsed="false">
      <c r="A362" s="15" t="s">
        <v>1082</v>
      </c>
      <c r="B362" s="15" t="s">
        <v>2916</v>
      </c>
      <c r="C362" s="14" t="s">
        <v>3269</v>
      </c>
      <c r="D362" s="14" t="s">
        <v>3270</v>
      </c>
      <c r="E362" s="16" t="s">
        <v>3271</v>
      </c>
      <c r="F362" s="16" t="s">
        <v>3272</v>
      </c>
      <c r="G362" s="19" t="s">
        <v>41</v>
      </c>
      <c r="H362" s="18" t="n">
        <v>5</v>
      </c>
      <c r="I362" s="20" t="n">
        <v>105.2</v>
      </c>
      <c r="J362" s="20" t="n">
        <v>181.5</v>
      </c>
      <c r="K362" s="18" t="n">
        <v>4</v>
      </c>
      <c r="L362" s="18" t="n">
        <v>9</v>
      </c>
      <c r="M362" s="18" t="n">
        <v>240</v>
      </c>
      <c r="N362" s="18" t="n">
        <v>240</v>
      </c>
      <c r="O362" s="14" t="s">
        <v>1088</v>
      </c>
      <c r="P362" s="14" t="s">
        <v>84</v>
      </c>
      <c r="Q362" s="15" t="s">
        <v>1089</v>
      </c>
      <c r="R362" s="16" t="s">
        <v>3273</v>
      </c>
      <c r="S362" s="15" t="s">
        <v>3274</v>
      </c>
      <c r="T362" s="15" t="s">
        <v>3275</v>
      </c>
      <c r="U362" s="21" t="s">
        <v>72</v>
      </c>
    </row>
    <row r="363" customFormat="false" ht="26.85" hidden="false" customHeight="false" outlineLevel="0" collapsed="false">
      <c r="A363" s="15" t="s">
        <v>1082</v>
      </c>
      <c r="B363" s="15" t="s">
        <v>2916</v>
      </c>
      <c r="C363" s="14" t="s">
        <v>3276</v>
      </c>
      <c r="D363" s="14" t="s">
        <v>3277</v>
      </c>
      <c r="E363" s="16" t="s">
        <v>3278</v>
      </c>
      <c r="F363" s="16" t="s">
        <v>3279</v>
      </c>
      <c r="G363" s="23" t="s">
        <v>43</v>
      </c>
      <c r="H363" s="18" t="n">
        <v>3</v>
      </c>
      <c r="I363" s="20" t="n">
        <v>44.26</v>
      </c>
      <c r="J363" s="20" t="n">
        <v>128.01</v>
      </c>
      <c r="K363" s="18" t="n">
        <v>4</v>
      </c>
      <c r="L363" s="18" t="n">
        <v>4</v>
      </c>
      <c r="M363" s="18" t="n">
        <v>144</v>
      </c>
      <c r="N363" s="18" t="n">
        <v>72</v>
      </c>
      <c r="O363" s="14" t="s">
        <v>1126</v>
      </c>
      <c r="P363" s="14" t="s">
        <v>1185</v>
      </c>
      <c r="Q363" s="15" t="s">
        <v>1089</v>
      </c>
      <c r="R363" s="16" t="s">
        <v>1261</v>
      </c>
      <c r="S363" s="15" t="s">
        <v>3280</v>
      </c>
      <c r="T363" s="15" t="s">
        <v>3281</v>
      </c>
      <c r="U363" s="21" t="s">
        <v>72</v>
      </c>
    </row>
    <row r="364" customFormat="false" ht="26.85" hidden="false" customHeight="false" outlineLevel="0" collapsed="false">
      <c r="A364" s="15" t="s">
        <v>1082</v>
      </c>
      <c r="B364" s="15" t="s">
        <v>2916</v>
      </c>
      <c r="C364" s="14" t="s">
        <v>3282</v>
      </c>
      <c r="D364" s="14" t="s">
        <v>3283</v>
      </c>
      <c r="E364" s="16" t="s">
        <v>3284</v>
      </c>
      <c r="F364" s="16" t="s">
        <v>3285</v>
      </c>
      <c r="G364" s="23" t="s">
        <v>43</v>
      </c>
      <c r="H364" s="18" t="n">
        <v>3</v>
      </c>
      <c r="I364" s="20" t="n">
        <v>42.99</v>
      </c>
      <c r="J364" s="20" t="n">
        <v>95.18</v>
      </c>
      <c r="K364" s="18" t="n">
        <v>24</v>
      </c>
      <c r="L364" s="18" t="n">
        <v>5</v>
      </c>
      <c r="M364" s="18" t="n">
        <v>840</v>
      </c>
      <c r="N364" s="18" t="n">
        <v>210</v>
      </c>
      <c r="O364" s="14" t="s">
        <v>1097</v>
      </c>
      <c r="P364" s="14" t="s">
        <v>352</v>
      </c>
      <c r="Q364" s="15" t="s">
        <v>1089</v>
      </c>
      <c r="R364" s="16" t="s">
        <v>3286</v>
      </c>
      <c r="S364" s="15" t="s">
        <v>3287</v>
      </c>
      <c r="T364" s="15" t="s">
        <v>3288</v>
      </c>
      <c r="U364" s="21" t="s">
        <v>72</v>
      </c>
    </row>
    <row r="365" customFormat="false" ht="15" hidden="false" customHeight="false" outlineLevel="0" collapsed="false">
      <c r="A365" s="15" t="s">
        <v>1082</v>
      </c>
      <c r="B365" s="15" t="s">
        <v>2916</v>
      </c>
      <c r="C365" s="14" t="s">
        <v>3289</v>
      </c>
      <c r="D365" s="14" t="s">
        <v>3290</v>
      </c>
      <c r="E365" s="16" t="s">
        <v>3291</v>
      </c>
      <c r="F365" s="16" t="s">
        <v>3292</v>
      </c>
      <c r="G365" s="23" t="s">
        <v>43</v>
      </c>
      <c r="H365" s="18" t="n">
        <v>3</v>
      </c>
      <c r="I365" s="20" t="n">
        <v>60.51</v>
      </c>
      <c r="J365" s="20" t="n">
        <v>107.54</v>
      </c>
      <c r="K365" s="18" t="n">
        <v>9</v>
      </c>
      <c r="L365" s="18" t="n">
        <v>6</v>
      </c>
      <c r="M365" s="18" t="n">
        <v>450</v>
      </c>
      <c r="N365" s="18" t="n">
        <v>150</v>
      </c>
      <c r="O365" s="14" t="s">
        <v>1126</v>
      </c>
      <c r="P365" s="14" t="s">
        <v>84</v>
      </c>
      <c r="Q365" s="15" t="s">
        <v>1089</v>
      </c>
      <c r="R365" s="16" t="s">
        <v>3293</v>
      </c>
      <c r="S365" s="15" t="s">
        <v>3294</v>
      </c>
      <c r="T365" s="15" t="s">
        <v>3294</v>
      </c>
      <c r="U365" s="21" t="s">
        <v>72</v>
      </c>
    </row>
    <row r="366" customFormat="false" ht="15" hidden="false" customHeight="false" outlineLevel="0" collapsed="false">
      <c r="A366" s="15" t="s">
        <v>1082</v>
      </c>
      <c r="B366" s="15" t="s">
        <v>2916</v>
      </c>
      <c r="C366" s="14" t="s">
        <v>3295</v>
      </c>
      <c r="D366" s="14" t="s">
        <v>3296</v>
      </c>
      <c r="E366" s="16" t="s">
        <v>3297</v>
      </c>
      <c r="F366" s="16" t="s">
        <v>3298</v>
      </c>
      <c r="G366" s="23" t="s">
        <v>43</v>
      </c>
      <c r="H366" s="18" t="n">
        <v>3</v>
      </c>
      <c r="I366" s="20" t="n">
        <v>56.52</v>
      </c>
      <c r="J366" s="20" t="n">
        <v>98.43</v>
      </c>
      <c r="K366" s="18" t="n">
        <v>12</v>
      </c>
      <c r="L366" s="18" t="n">
        <v>5</v>
      </c>
      <c r="M366" s="18" t="n">
        <v>240</v>
      </c>
      <c r="N366" s="18" t="n">
        <v>60</v>
      </c>
      <c r="O366" s="14" t="s">
        <v>1088</v>
      </c>
      <c r="P366" s="14" t="s">
        <v>118</v>
      </c>
      <c r="Q366" s="15" t="s">
        <v>1089</v>
      </c>
      <c r="R366" s="16" t="s">
        <v>3299</v>
      </c>
      <c r="S366" s="15" t="s">
        <v>3300</v>
      </c>
      <c r="T366" s="15" t="s">
        <v>3300</v>
      </c>
      <c r="U366" s="21" t="s">
        <v>72</v>
      </c>
    </row>
    <row r="367" customFormat="false" ht="15" hidden="false" customHeight="false" outlineLevel="0" collapsed="false">
      <c r="A367" s="15" t="s">
        <v>1082</v>
      </c>
      <c r="B367" s="15" t="s">
        <v>2916</v>
      </c>
      <c r="C367" s="14" t="s">
        <v>3301</v>
      </c>
      <c r="D367" s="14" t="s">
        <v>3302</v>
      </c>
      <c r="E367" s="16" t="s">
        <v>3303</v>
      </c>
      <c r="F367" s="16" t="s">
        <v>3304</v>
      </c>
      <c r="G367" s="19" t="s">
        <v>41</v>
      </c>
      <c r="H367" s="18" t="n">
        <v>5</v>
      </c>
      <c r="I367" s="20" t="n">
        <v>72.52</v>
      </c>
      <c r="J367" s="20" t="n">
        <v>169.47</v>
      </c>
      <c r="K367" s="18" t="n">
        <v>12</v>
      </c>
      <c r="L367" s="18" t="n">
        <v>11</v>
      </c>
      <c r="M367" s="18" t="n">
        <v>720</v>
      </c>
      <c r="N367" s="18" t="n">
        <v>240</v>
      </c>
      <c r="O367" s="14" t="s">
        <v>1097</v>
      </c>
      <c r="P367" s="14" t="s">
        <v>118</v>
      </c>
      <c r="Q367" s="15" t="s">
        <v>1089</v>
      </c>
      <c r="R367" s="16" t="s">
        <v>3305</v>
      </c>
      <c r="S367" s="15" t="s">
        <v>3306</v>
      </c>
      <c r="T367" s="15" t="s">
        <v>3307</v>
      </c>
      <c r="U367" s="21" t="s">
        <v>72</v>
      </c>
    </row>
    <row r="368" customFormat="false" ht="15" hidden="false" customHeight="false" outlineLevel="0" collapsed="false">
      <c r="A368" s="15" t="s">
        <v>1082</v>
      </c>
      <c r="B368" s="15" t="s">
        <v>2916</v>
      </c>
      <c r="C368" s="14" t="s">
        <v>3308</v>
      </c>
      <c r="D368" s="14" t="s">
        <v>3309</v>
      </c>
      <c r="E368" s="16" t="s">
        <v>3310</v>
      </c>
      <c r="F368" s="16" t="s">
        <v>3311</v>
      </c>
      <c r="G368" s="23" t="s">
        <v>43</v>
      </c>
      <c r="H368" s="18" t="n">
        <v>4</v>
      </c>
      <c r="I368" s="20" t="n">
        <v>105.04</v>
      </c>
      <c r="J368" s="20" t="n">
        <v>131.55</v>
      </c>
      <c r="K368" s="18" t="n">
        <v>5</v>
      </c>
      <c r="L368" s="18" t="n">
        <v>19</v>
      </c>
      <c r="M368" s="18" t="n">
        <v>135</v>
      </c>
      <c r="N368" s="18" t="n">
        <v>27</v>
      </c>
      <c r="O368" s="14" t="s">
        <v>1088</v>
      </c>
      <c r="P368" s="14" t="s">
        <v>84</v>
      </c>
      <c r="Q368" s="15" t="s">
        <v>1089</v>
      </c>
      <c r="R368" s="16" t="s">
        <v>3312</v>
      </c>
      <c r="S368" s="15" t="s">
        <v>3313</v>
      </c>
      <c r="T368" s="15" t="s">
        <v>3314</v>
      </c>
      <c r="U368" s="21" t="s">
        <v>72</v>
      </c>
    </row>
    <row r="369" customFormat="false" ht="15" hidden="false" customHeight="false" outlineLevel="0" collapsed="false">
      <c r="A369" s="15" t="s">
        <v>1082</v>
      </c>
      <c r="B369" s="15" t="s">
        <v>2916</v>
      </c>
      <c r="C369" s="14" t="s">
        <v>3315</v>
      </c>
      <c r="D369" s="14" t="s">
        <v>3316</v>
      </c>
      <c r="E369" s="16" t="s">
        <v>3317</v>
      </c>
      <c r="F369" s="16" t="s">
        <v>3318</v>
      </c>
      <c r="G369" s="23" t="s">
        <v>43</v>
      </c>
      <c r="H369" s="18" t="n">
        <v>3</v>
      </c>
      <c r="I369" s="20" t="n">
        <v>45.44</v>
      </c>
      <c r="J369" s="20" t="n">
        <v>108.76</v>
      </c>
      <c r="K369" s="18" t="n">
        <v>6</v>
      </c>
      <c r="L369" s="18" t="n">
        <v>2</v>
      </c>
      <c r="M369" s="18" t="n">
        <v>120</v>
      </c>
      <c r="N369" s="18" t="n">
        <v>60</v>
      </c>
      <c r="O369" s="14" t="s">
        <v>1126</v>
      </c>
      <c r="P369" s="14" t="s">
        <v>84</v>
      </c>
      <c r="Q369" s="15" t="s">
        <v>1089</v>
      </c>
      <c r="R369" s="16" t="s">
        <v>2841</v>
      </c>
      <c r="S369" s="15" t="s">
        <v>3319</v>
      </c>
      <c r="T369" s="15" t="s">
        <v>3319</v>
      </c>
      <c r="U369" s="21" t="s">
        <v>72</v>
      </c>
    </row>
    <row r="370" customFormat="false" ht="15" hidden="false" customHeight="false" outlineLevel="0" collapsed="false">
      <c r="A370" s="15" t="s">
        <v>1082</v>
      </c>
      <c r="B370" s="15" t="s">
        <v>2916</v>
      </c>
      <c r="C370" s="14" t="s">
        <v>3320</v>
      </c>
      <c r="D370" s="14" t="s">
        <v>3321</v>
      </c>
      <c r="E370" s="16" t="s">
        <v>3322</v>
      </c>
      <c r="F370" s="16" t="s">
        <v>3323</v>
      </c>
      <c r="G370" s="23" t="s">
        <v>43</v>
      </c>
      <c r="H370" s="18" t="n">
        <v>4</v>
      </c>
      <c r="I370" s="20" t="n">
        <v>72.35</v>
      </c>
      <c r="J370" s="20" t="n">
        <v>142.24</v>
      </c>
      <c r="K370" s="18" t="n">
        <v>3</v>
      </c>
      <c r="L370" s="18" t="n">
        <v>6</v>
      </c>
      <c r="M370" s="18" t="n">
        <v>180</v>
      </c>
      <c r="N370" s="18" t="n">
        <v>60</v>
      </c>
      <c r="O370" s="14" t="s">
        <v>1126</v>
      </c>
      <c r="P370" s="14" t="s">
        <v>118</v>
      </c>
      <c r="Q370" s="15" t="s">
        <v>1089</v>
      </c>
      <c r="R370" s="16" t="s">
        <v>3324</v>
      </c>
      <c r="S370" s="15" t="s">
        <v>3325</v>
      </c>
      <c r="T370" s="15" t="s">
        <v>3325</v>
      </c>
      <c r="U370" s="21" t="s">
        <v>72</v>
      </c>
    </row>
    <row r="371" customFormat="false" ht="15" hidden="false" customHeight="false" outlineLevel="0" collapsed="false">
      <c r="A371" s="15" t="s">
        <v>1082</v>
      </c>
      <c r="B371" s="15" t="s">
        <v>2916</v>
      </c>
      <c r="C371" s="14" t="s">
        <v>3326</v>
      </c>
      <c r="D371" s="14" t="s">
        <v>3327</v>
      </c>
      <c r="E371" s="16" t="s">
        <v>3328</v>
      </c>
      <c r="F371" s="16"/>
      <c r="G371" s="23" t="s">
        <v>43</v>
      </c>
      <c r="H371" s="18" t="n">
        <v>2</v>
      </c>
      <c r="I371" s="20" t="n">
        <v>33.96</v>
      </c>
      <c r="J371" s="20" t="n">
        <v>96.25</v>
      </c>
      <c r="K371" s="18" t="n">
        <v>1</v>
      </c>
      <c r="L371" s="18" t="n">
        <v>1</v>
      </c>
      <c r="M371" s="18" t="n">
        <v>20</v>
      </c>
      <c r="N371" s="18" t="n">
        <v>20</v>
      </c>
      <c r="O371" s="14" t="s">
        <v>1097</v>
      </c>
      <c r="P371" s="14" t="s">
        <v>84</v>
      </c>
      <c r="Q371" s="15" t="s">
        <v>1089</v>
      </c>
      <c r="R371" s="16" t="s">
        <v>3329</v>
      </c>
      <c r="S371" s="15" t="s">
        <v>3330</v>
      </c>
      <c r="T371" s="15" t="s">
        <v>3330</v>
      </c>
      <c r="U371" s="21" t="s">
        <v>72</v>
      </c>
    </row>
    <row r="372" customFormat="false" ht="15" hidden="false" customHeight="false" outlineLevel="0" collapsed="false">
      <c r="A372" s="15" t="s">
        <v>1082</v>
      </c>
      <c r="B372" s="15" t="s">
        <v>2916</v>
      </c>
      <c r="C372" s="14" t="s">
        <v>3331</v>
      </c>
      <c r="D372" s="14" t="s">
        <v>3332</v>
      </c>
      <c r="E372" s="16" t="s">
        <v>3333</v>
      </c>
      <c r="F372" s="16" t="s">
        <v>3334</v>
      </c>
      <c r="G372" s="23" t="s">
        <v>43</v>
      </c>
      <c r="H372" s="18" t="n">
        <v>1</v>
      </c>
      <c r="I372" s="20" t="n">
        <v>35.86</v>
      </c>
      <c r="J372" s="20" t="n">
        <v>72.38</v>
      </c>
      <c r="K372" s="18" t="n">
        <v>4</v>
      </c>
      <c r="L372" s="18" t="n">
        <v>1</v>
      </c>
      <c r="M372" s="18" t="n">
        <v>116</v>
      </c>
      <c r="N372" s="18" t="n">
        <v>87</v>
      </c>
      <c r="O372" s="14" t="s">
        <v>1097</v>
      </c>
      <c r="P372" s="14" t="s">
        <v>84</v>
      </c>
      <c r="Q372" s="15" t="s">
        <v>1089</v>
      </c>
      <c r="R372" s="16" t="s">
        <v>3335</v>
      </c>
      <c r="S372" s="15" t="s">
        <v>3336</v>
      </c>
      <c r="T372" s="15" t="s">
        <v>3337</v>
      </c>
      <c r="U372" s="21" t="s">
        <v>72</v>
      </c>
    </row>
    <row r="373" customFormat="false" ht="15" hidden="false" customHeight="false" outlineLevel="0" collapsed="false">
      <c r="A373" s="15" t="s">
        <v>1082</v>
      </c>
      <c r="B373" s="15" t="s">
        <v>2916</v>
      </c>
      <c r="C373" s="14" t="s">
        <v>3338</v>
      </c>
      <c r="D373" s="14" t="s">
        <v>3339</v>
      </c>
      <c r="E373" s="16" t="s">
        <v>3340</v>
      </c>
      <c r="F373" s="16" t="s">
        <v>3341</v>
      </c>
      <c r="G373" s="23" t="s">
        <v>43</v>
      </c>
      <c r="H373" s="18" t="n">
        <v>4</v>
      </c>
      <c r="I373" s="20" t="n">
        <v>62.5</v>
      </c>
      <c r="J373" s="20" t="n">
        <v>126.81</v>
      </c>
      <c r="K373" s="18" t="n">
        <v>4</v>
      </c>
      <c r="L373" s="18"/>
      <c r="M373" s="18" t="n">
        <v>208</v>
      </c>
      <c r="N373" s="18" t="n">
        <v>208</v>
      </c>
      <c r="O373" s="14" t="s">
        <v>1126</v>
      </c>
      <c r="P373" s="14" t="s">
        <v>84</v>
      </c>
      <c r="Q373" s="15" t="s">
        <v>1089</v>
      </c>
      <c r="R373" s="16" t="s">
        <v>1470</v>
      </c>
      <c r="S373" s="15" t="s">
        <v>3342</v>
      </c>
      <c r="T373" s="15" t="s">
        <v>3343</v>
      </c>
      <c r="U373" s="21" t="s">
        <v>72</v>
      </c>
    </row>
    <row r="374" customFormat="false" ht="15" hidden="false" customHeight="false" outlineLevel="0" collapsed="false">
      <c r="A374" s="15" t="s">
        <v>1082</v>
      </c>
      <c r="B374" s="15" t="s">
        <v>2916</v>
      </c>
      <c r="C374" s="14" t="s">
        <v>3344</v>
      </c>
      <c r="D374" s="14" t="s">
        <v>3345</v>
      </c>
      <c r="E374" s="16" t="s">
        <v>3346</v>
      </c>
      <c r="F374" s="16" t="s">
        <v>2649</v>
      </c>
      <c r="G374" s="19" t="s">
        <v>41</v>
      </c>
      <c r="H374" s="18" t="n">
        <v>5</v>
      </c>
      <c r="I374" s="20" t="n">
        <v>69.26</v>
      </c>
      <c r="J374" s="20" t="n">
        <v>134.56</v>
      </c>
      <c r="K374" s="18" t="n">
        <v>5</v>
      </c>
      <c r="L374" s="18" t="n">
        <v>5</v>
      </c>
      <c r="M374" s="18" t="n">
        <v>75</v>
      </c>
      <c r="N374" s="18" t="n">
        <v>75</v>
      </c>
      <c r="O374" s="14" t="s">
        <v>1097</v>
      </c>
      <c r="P374" s="14" t="s">
        <v>84</v>
      </c>
      <c r="Q374" s="15" t="s">
        <v>1089</v>
      </c>
      <c r="R374" s="16" t="s">
        <v>2695</v>
      </c>
      <c r="S374" s="15" t="s">
        <v>3347</v>
      </c>
      <c r="T374" s="15" t="s">
        <v>3348</v>
      </c>
      <c r="U374" s="21" t="s">
        <v>72</v>
      </c>
    </row>
    <row r="375" customFormat="false" ht="15" hidden="false" customHeight="false" outlineLevel="0" collapsed="false">
      <c r="A375" s="15" t="s">
        <v>1082</v>
      </c>
      <c r="B375" s="15" t="s">
        <v>2916</v>
      </c>
      <c r="C375" s="14" t="s">
        <v>3349</v>
      </c>
      <c r="D375" s="14" t="s">
        <v>3350</v>
      </c>
      <c r="E375" s="16" t="s">
        <v>3351</v>
      </c>
      <c r="F375" s="16" t="s">
        <v>3352</v>
      </c>
      <c r="G375" s="25" t="s">
        <v>39</v>
      </c>
      <c r="H375" s="18" t="n">
        <v>5</v>
      </c>
      <c r="I375" s="20" t="n">
        <v>233</v>
      </c>
      <c r="J375" s="20" t="n">
        <v>497.98</v>
      </c>
      <c r="K375" s="18" t="n">
        <v>20</v>
      </c>
      <c r="L375" s="18" t="n">
        <v>18</v>
      </c>
      <c r="M375" s="18" t="n">
        <v>1200</v>
      </c>
      <c r="N375" s="18" t="n">
        <v>300</v>
      </c>
      <c r="O375" s="14" t="s">
        <v>1097</v>
      </c>
      <c r="P375" s="14" t="s">
        <v>84</v>
      </c>
      <c r="Q375" s="15" t="s">
        <v>1089</v>
      </c>
      <c r="R375" s="16" t="s">
        <v>3353</v>
      </c>
      <c r="S375" s="15" t="s">
        <v>3354</v>
      </c>
      <c r="T375" s="15" t="s">
        <v>3355</v>
      </c>
      <c r="U375" s="21" t="s">
        <v>72</v>
      </c>
    </row>
    <row r="376" customFormat="false" ht="15" hidden="false" customHeight="false" outlineLevel="0" collapsed="false">
      <c r="A376" s="15" t="s">
        <v>1082</v>
      </c>
      <c r="B376" s="15" t="s">
        <v>2916</v>
      </c>
      <c r="C376" s="14" t="s">
        <v>3356</v>
      </c>
      <c r="D376" s="14" t="s">
        <v>3357</v>
      </c>
      <c r="E376" s="16" t="s">
        <v>3351</v>
      </c>
      <c r="F376" s="16" t="s">
        <v>3352</v>
      </c>
      <c r="G376" s="23" t="s">
        <v>43</v>
      </c>
      <c r="H376" s="18" t="n">
        <v>3</v>
      </c>
      <c r="I376" s="20" t="n">
        <v>62.11</v>
      </c>
      <c r="J376" s="20" t="n">
        <v>105.21</v>
      </c>
      <c r="K376" s="18" t="n">
        <v>3</v>
      </c>
      <c r="L376" s="18" t="n">
        <v>13</v>
      </c>
      <c r="M376" s="18" t="n">
        <v>153</v>
      </c>
      <c r="N376" s="18" t="n">
        <v>153</v>
      </c>
      <c r="O376" s="14" t="s">
        <v>1097</v>
      </c>
      <c r="P376" s="14" t="s">
        <v>84</v>
      </c>
      <c r="Q376" s="15" t="s">
        <v>1089</v>
      </c>
      <c r="R376" s="16" t="s">
        <v>3358</v>
      </c>
      <c r="S376" s="15" t="s">
        <v>3354</v>
      </c>
      <c r="T376" s="15" t="s">
        <v>3354</v>
      </c>
      <c r="U376" s="21" t="s">
        <v>72</v>
      </c>
    </row>
    <row r="377" customFormat="false" ht="15" hidden="false" customHeight="false" outlineLevel="0" collapsed="false">
      <c r="A377" s="15" t="s">
        <v>1082</v>
      </c>
      <c r="B377" s="15" t="s">
        <v>2916</v>
      </c>
      <c r="C377" s="14" t="s">
        <v>3359</v>
      </c>
      <c r="D377" s="14" t="s">
        <v>3360</v>
      </c>
      <c r="E377" s="16" t="s">
        <v>3361</v>
      </c>
      <c r="F377" s="16" t="s">
        <v>3362</v>
      </c>
      <c r="G377" s="23" t="s">
        <v>43</v>
      </c>
      <c r="H377" s="18" t="n">
        <v>4</v>
      </c>
      <c r="I377" s="20" t="n">
        <v>61.93</v>
      </c>
      <c r="J377" s="20" t="n">
        <v>114.35</v>
      </c>
      <c r="K377" s="18" t="n">
        <v>20</v>
      </c>
      <c r="L377" s="18" t="n">
        <v>8</v>
      </c>
      <c r="M377" s="18" t="n">
        <v>1000</v>
      </c>
      <c r="N377" s="18" t="n">
        <v>200</v>
      </c>
      <c r="O377" s="14" t="s">
        <v>1097</v>
      </c>
      <c r="P377" s="14" t="s">
        <v>84</v>
      </c>
      <c r="Q377" s="15" t="s">
        <v>1089</v>
      </c>
      <c r="R377" s="16" t="s">
        <v>3363</v>
      </c>
      <c r="S377" s="15" t="s">
        <v>3364</v>
      </c>
      <c r="T377" s="15" t="s">
        <v>3364</v>
      </c>
      <c r="U377" s="21" t="s">
        <v>72</v>
      </c>
    </row>
    <row r="378" customFormat="false" ht="15" hidden="false" customHeight="false" outlineLevel="0" collapsed="false">
      <c r="A378" s="15" t="s">
        <v>1082</v>
      </c>
      <c r="B378" s="15" t="s">
        <v>2916</v>
      </c>
      <c r="C378" s="14" t="s">
        <v>3365</v>
      </c>
      <c r="D378" s="14" t="s">
        <v>3366</v>
      </c>
      <c r="E378" s="16" t="s">
        <v>3367</v>
      </c>
      <c r="F378" s="16" t="s">
        <v>3368</v>
      </c>
      <c r="G378" s="23" t="s">
        <v>43</v>
      </c>
      <c r="H378" s="18" t="n">
        <v>3</v>
      </c>
      <c r="I378" s="20" t="n">
        <v>84.27</v>
      </c>
      <c r="J378" s="20" t="n">
        <v>107.5</v>
      </c>
      <c r="K378" s="18" t="n">
        <v>10</v>
      </c>
      <c r="L378" s="18" t="n">
        <v>6</v>
      </c>
      <c r="M378" s="18" t="n">
        <v>600</v>
      </c>
      <c r="N378" s="18" t="n">
        <v>120</v>
      </c>
      <c r="O378" s="14" t="s">
        <v>1088</v>
      </c>
      <c r="P378" s="14" t="s">
        <v>84</v>
      </c>
      <c r="Q378" s="15" t="s">
        <v>1089</v>
      </c>
      <c r="R378" s="16" t="s">
        <v>2082</v>
      </c>
      <c r="S378" s="15" t="s">
        <v>3369</v>
      </c>
      <c r="T378" s="15" t="s">
        <v>3369</v>
      </c>
      <c r="U378" s="21" t="s">
        <v>72</v>
      </c>
    </row>
    <row r="379" customFormat="false" ht="15" hidden="false" customHeight="false" outlineLevel="0" collapsed="false">
      <c r="A379" s="15" t="s">
        <v>1082</v>
      </c>
      <c r="B379" s="15" t="s">
        <v>2916</v>
      </c>
      <c r="C379" s="14" t="s">
        <v>3370</v>
      </c>
      <c r="D379" s="14" t="s">
        <v>3371</v>
      </c>
      <c r="E379" s="16" t="s">
        <v>3372</v>
      </c>
      <c r="F379" s="16" t="s">
        <v>3373</v>
      </c>
      <c r="G379" s="23" t="s">
        <v>43</v>
      </c>
      <c r="H379" s="18" t="n">
        <v>3</v>
      </c>
      <c r="I379" s="20" t="n">
        <v>81.12</v>
      </c>
      <c r="J379" s="20" t="n">
        <v>145.17</v>
      </c>
      <c r="K379" s="18" t="n">
        <v>25</v>
      </c>
      <c r="L379" s="18" t="n">
        <v>1</v>
      </c>
      <c r="M379" s="18" t="n">
        <v>1500</v>
      </c>
      <c r="N379" s="18" t="n">
        <v>300</v>
      </c>
      <c r="O379" s="14" t="s">
        <v>1097</v>
      </c>
      <c r="P379" s="14" t="s">
        <v>1716</v>
      </c>
      <c r="Q379" s="15" t="s">
        <v>1089</v>
      </c>
      <c r="R379" s="16" t="s">
        <v>1340</v>
      </c>
      <c r="S379" s="15" t="s">
        <v>3374</v>
      </c>
      <c r="T379" s="15" t="s">
        <v>3374</v>
      </c>
      <c r="U379" s="21" t="s">
        <v>72</v>
      </c>
    </row>
    <row r="380" customFormat="false" ht="15" hidden="false" customHeight="false" outlineLevel="0" collapsed="false">
      <c r="A380" s="15" t="s">
        <v>1082</v>
      </c>
      <c r="B380" s="15" t="s">
        <v>2916</v>
      </c>
      <c r="C380" s="14" t="s">
        <v>3375</v>
      </c>
      <c r="D380" s="14" t="s">
        <v>3376</v>
      </c>
      <c r="E380" s="16" t="s">
        <v>3377</v>
      </c>
      <c r="F380" s="16" t="s">
        <v>3378</v>
      </c>
      <c r="G380" s="23" t="s">
        <v>43</v>
      </c>
      <c r="H380" s="18" t="n">
        <v>3</v>
      </c>
      <c r="I380" s="20" t="n">
        <v>60.58</v>
      </c>
      <c r="J380" s="20" t="n">
        <v>119.5</v>
      </c>
      <c r="K380" s="18" t="n">
        <v>4</v>
      </c>
      <c r="L380" s="18" t="n">
        <v>3</v>
      </c>
      <c r="M380" s="18" t="n">
        <v>200</v>
      </c>
      <c r="N380" s="18" t="n">
        <v>50</v>
      </c>
      <c r="O380" s="14" t="s">
        <v>1097</v>
      </c>
      <c r="P380" s="14" t="s">
        <v>84</v>
      </c>
      <c r="Q380" s="15" t="s">
        <v>1089</v>
      </c>
      <c r="R380" s="16" t="s">
        <v>3379</v>
      </c>
      <c r="S380" s="15" t="s">
        <v>3380</v>
      </c>
      <c r="T380" s="15" t="s">
        <v>3380</v>
      </c>
      <c r="U380" s="21" t="s">
        <v>72</v>
      </c>
    </row>
    <row r="381" customFormat="false" ht="15" hidden="false" customHeight="false" outlineLevel="0" collapsed="false">
      <c r="A381" s="15" t="s">
        <v>1082</v>
      </c>
      <c r="B381" s="15" t="s">
        <v>2916</v>
      </c>
      <c r="C381" s="14" t="s">
        <v>3381</v>
      </c>
      <c r="D381" s="14" t="s">
        <v>3382</v>
      </c>
      <c r="E381" s="16" t="s">
        <v>3383</v>
      </c>
      <c r="F381" s="16"/>
      <c r="G381" s="23" t="s">
        <v>43</v>
      </c>
      <c r="H381" s="18" t="n">
        <v>3</v>
      </c>
      <c r="I381" s="20" t="n">
        <v>52.41</v>
      </c>
      <c r="J381" s="20" t="n">
        <v>117.14</v>
      </c>
      <c r="K381" s="18" t="n">
        <v>9</v>
      </c>
      <c r="L381" s="18" t="n">
        <v>1</v>
      </c>
      <c r="M381" s="18" t="n">
        <v>387</v>
      </c>
      <c r="N381" s="18" t="n">
        <v>129</v>
      </c>
      <c r="O381" s="14" t="s">
        <v>1088</v>
      </c>
      <c r="P381" s="14" t="s">
        <v>84</v>
      </c>
      <c r="Q381" s="15" t="s">
        <v>1089</v>
      </c>
      <c r="R381" s="16" t="s">
        <v>3384</v>
      </c>
      <c r="S381" s="15" t="s">
        <v>3385</v>
      </c>
      <c r="T381" s="16"/>
      <c r="U381" s="21" t="s">
        <v>72</v>
      </c>
    </row>
    <row r="382" customFormat="false" ht="15" hidden="false" customHeight="false" outlineLevel="0" collapsed="false">
      <c r="A382" s="15" t="s">
        <v>1082</v>
      </c>
      <c r="B382" s="15" t="s">
        <v>2916</v>
      </c>
      <c r="C382" s="14" t="s">
        <v>3386</v>
      </c>
      <c r="D382" s="14" t="s">
        <v>3387</v>
      </c>
      <c r="E382" s="16" t="s">
        <v>3388</v>
      </c>
      <c r="F382" s="16" t="s">
        <v>1513</v>
      </c>
      <c r="G382" s="23" t="s">
        <v>43</v>
      </c>
      <c r="H382" s="18" t="n">
        <v>4</v>
      </c>
      <c r="I382" s="20" t="n">
        <v>66.33</v>
      </c>
      <c r="J382" s="20" t="n">
        <v>127.94</v>
      </c>
      <c r="K382" s="18" t="n">
        <v>4</v>
      </c>
      <c r="L382" s="18" t="n">
        <v>5</v>
      </c>
      <c r="M382" s="18" t="n">
        <v>220</v>
      </c>
      <c r="N382" s="18" t="n">
        <v>220</v>
      </c>
      <c r="O382" s="14" t="s">
        <v>1097</v>
      </c>
      <c r="P382" s="14" t="s">
        <v>118</v>
      </c>
      <c r="Q382" s="15" t="s">
        <v>1089</v>
      </c>
      <c r="R382" s="16" t="s">
        <v>3389</v>
      </c>
      <c r="S382" s="15" t="s">
        <v>3390</v>
      </c>
      <c r="T382" s="15" t="s">
        <v>3391</v>
      </c>
      <c r="U382" s="21" t="s">
        <v>72</v>
      </c>
    </row>
    <row r="383" customFormat="false" ht="15" hidden="false" customHeight="false" outlineLevel="0" collapsed="false">
      <c r="A383" s="15" t="s">
        <v>1082</v>
      </c>
      <c r="B383" s="15" t="s">
        <v>2916</v>
      </c>
      <c r="C383" s="14" t="s">
        <v>3392</v>
      </c>
      <c r="D383" s="14" t="s">
        <v>3393</v>
      </c>
      <c r="E383" s="16" t="s">
        <v>3394</v>
      </c>
      <c r="F383" s="16"/>
      <c r="G383" s="23" t="s">
        <v>43</v>
      </c>
      <c r="H383" s="18" t="n">
        <v>3</v>
      </c>
      <c r="I383" s="20" t="n">
        <v>50.08</v>
      </c>
      <c r="J383" s="20" t="n">
        <v>101.51</v>
      </c>
      <c r="K383" s="18" t="n">
        <v>2</v>
      </c>
      <c r="L383" s="18" t="n">
        <v>2</v>
      </c>
      <c r="M383" s="18" t="n">
        <v>60</v>
      </c>
      <c r="N383" s="18" t="n">
        <v>30</v>
      </c>
      <c r="O383" s="14" t="s">
        <v>1097</v>
      </c>
      <c r="P383" s="14" t="s">
        <v>118</v>
      </c>
      <c r="Q383" s="15" t="s">
        <v>1089</v>
      </c>
      <c r="R383" s="16" t="s">
        <v>3395</v>
      </c>
      <c r="S383" s="15" t="s">
        <v>3396</v>
      </c>
      <c r="T383" s="15" t="s">
        <v>3396</v>
      </c>
      <c r="U383" s="21" t="s">
        <v>72</v>
      </c>
    </row>
    <row r="384" customFormat="false" ht="15" hidden="false" customHeight="false" outlineLevel="0" collapsed="false">
      <c r="A384" s="15" t="s">
        <v>1082</v>
      </c>
      <c r="B384" s="15" t="s">
        <v>2916</v>
      </c>
      <c r="C384" s="14" t="s">
        <v>3397</v>
      </c>
      <c r="D384" s="14" t="s">
        <v>3398</v>
      </c>
      <c r="E384" s="16" t="s">
        <v>3399</v>
      </c>
      <c r="F384" s="16" t="s">
        <v>3400</v>
      </c>
      <c r="G384" s="19" t="s">
        <v>41</v>
      </c>
      <c r="H384" s="18" t="n">
        <v>5</v>
      </c>
      <c r="I384" s="20" t="n">
        <v>122.54</v>
      </c>
      <c r="J384" s="20" t="n">
        <v>197.54</v>
      </c>
      <c r="K384" s="18" t="n">
        <v>12</v>
      </c>
      <c r="L384" s="18" t="n">
        <v>62</v>
      </c>
      <c r="M384" s="18" t="n">
        <v>720</v>
      </c>
      <c r="N384" s="18" t="n">
        <v>240</v>
      </c>
      <c r="O384" s="14" t="s">
        <v>1097</v>
      </c>
      <c r="P384" s="14" t="s">
        <v>84</v>
      </c>
      <c r="Q384" s="15" t="s">
        <v>1089</v>
      </c>
      <c r="R384" s="16" t="s">
        <v>2435</v>
      </c>
      <c r="S384" s="15" t="s">
        <v>3401</v>
      </c>
      <c r="T384" s="15" t="s">
        <v>3401</v>
      </c>
      <c r="U384" s="21" t="s">
        <v>72</v>
      </c>
    </row>
    <row r="385" customFormat="false" ht="15" hidden="false" customHeight="false" outlineLevel="0" collapsed="false">
      <c r="A385" s="15" t="s">
        <v>1082</v>
      </c>
      <c r="B385" s="15" t="s">
        <v>2916</v>
      </c>
      <c r="C385" s="14" t="s">
        <v>3402</v>
      </c>
      <c r="D385" s="14" t="s">
        <v>3403</v>
      </c>
      <c r="E385" s="16" t="s">
        <v>3404</v>
      </c>
      <c r="F385" s="16" t="s">
        <v>1513</v>
      </c>
      <c r="G385" s="23" t="s">
        <v>43</v>
      </c>
      <c r="H385" s="18" t="n">
        <v>3</v>
      </c>
      <c r="I385" s="20" t="n">
        <v>59.68</v>
      </c>
      <c r="J385" s="20" t="n">
        <v>113.82</v>
      </c>
      <c r="K385" s="18" t="n">
        <v>3</v>
      </c>
      <c r="L385" s="18" t="n">
        <v>10</v>
      </c>
      <c r="M385" s="18" t="n">
        <v>165</v>
      </c>
      <c r="N385" s="18" t="n">
        <v>165</v>
      </c>
      <c r="O385" s="14" t="s">
        <v>1097</v>
      </c>
      <c r="P385" s="14" t="s">
        <v>84</v>
      </c>
      <c r="Q385" s="15" t="s">
        <v>1089</v>
      </c>
      <c r="R385" s="16" t="s">
        <v>3405</v>
      </c>
      <c r="S385" s="15" t="s">
        <v>3213</v>
      </c>
      <c r="T385" s="15" t="s">
        <v>3406</v>
      </c>
      <c r="U385" s="21" t="s">
        <v>72</v>
      </c>
    </row>
    <row r="386" customFormat="false" ht="15" hidden="false" customHeight="false" outlineLevel="0" collapsed="false">
      <c r="A386" s="15" t="s">
        <v>1082</v>
      </c>
      <c r="B386" s="15" t="s">
        <v>2916</v>
      </c>
      <c r="C386" s="14" t="s">
        <v>3407</v>
      </c>
      <c r="D386" s="14" t="s">
        <v>3408</v>
      </c>
      <c r="E386" s="16" t="s">
        <v>3409</v>
      </c>
      <c r="F386" s="16" t="s">
        <v>3410</v>
      </c>
      <c r="G386" s="23" t="s">
        <v>43</v>
      </c>
      <c r="H386" s="18" t="n">
        <v>3</v>
      </c>
      <c r="I386" s="20" t="n">
        <v>53.71</v>
      </c>
      <c r="J386" s="20" t="n">
        <v>81.49</v>
      </c>
      <c r="K386" s="18" t="n">
        <v>3</v>
      </c>
      <c r="L386" s="18" t="n">
        <v>10</v>
      </c>
      <c r="M386" s="18" t="n">
        <v>216</v>
      </c>
      <c r="N386" s="18" t="n">
        <v>216</v>
      </c>
      <c r="O386" s="14" t="s">
        <v>1097</v>
      </c>
      <c r="P386" s="14" t="s">
        <v>84</v>
      </c>
      <c r="Q386" s="15" t="s">
        <v>1089</v>
      </c>
      <c r="R386" s="16" t="s">
        <v>2375</v>
      </c>
      <c r="S386" s="15" t="s">
        <v>3411</v>
      </c>
      <c r="T386" s="15" t="s">
        <v>3411</v>
      </c>
      <c r="U386" s="21" t="s">
        <v>72</v>
      </c>
    </row>
    <row r="387" customFormat="false" ht="15" hidden="false" customHeight="false" outlineLevel="0" collapsed="false">
      <c r="A387" s="15" t="s">
        <v>1082</v>
      </c>
      <c r="B387" s="15" t="s">
        <v>2916</v>
      </c>
      <c r="C387" s="14" t="s">
        <v>3412</v>
      </c>
      <c r="D387" s="14" t="s">
        <v>3413</v>
      </c>
      <c r="E387" s="16" t="s">
        <v>3414</v>
      </c>
      <c r="F387" s="16" t="s">
        <v>3415</v>
      </c>
      <c r="G387" s="23" t="s">
        <v>43</v>
      </c>
      <c r="H387" s="18" t="n">
        <v>3</v>
      </c>
      <c r="I387" s="20" t="n">
        <v>38.58</v>
      </c>
      <c r="J387" s="20" t="n">
        <v>81.9</v>
      </c>
      <c r="K387" s="18" t="n">
        <v>2</v>
      </c>
      <c r="L387" s="18" t="n">
        <v>1</v>
      </c>
      <c r="M387" s="18" t="n">
        <v>64</v>
      </c>
      <c r="N387" s="18" t="n">
        <v>32</v>
      </c>
      <c r="O387" s="14" t="s">
        <v>1088</v>
      </c>
      <c r="P387" s="14" t="s">
        <v>84</v>
      </c>
      <c r="Q387" s="15" t="s">
        <v>1089</v>
      </c>
      <c r="R387" s="16" t="s">
        <v>3416</v>
      </c>
      <c r="S387" s="15" t="s">
        <v>3417</v>
      </c>
      <c r="T387" s="15" t="s">
        <v>3418</v>
      </c>
      <c r="U387" s="21" t="s">
        <v>72</v>
      </c>
    </row>
    <row r="388" customFormat="false" ht="15" hidden="false" customHeight="false" outlineLevel="0" collapsed="false">
      <c r="A388" s="15" t="s">
        <v>1082</v>
      </c>
      <c r="B388" s="15" t="s">
        <v>2916</v>
      </c>
      <c r="C388" s="14" t="s">
        <v>3419</v>
      </c>
      <c r="D388" s="14" t="s">
        <v>3420</v>
      </c>
      <c r="E388" s="16" t="s">
        <v>3421</v>
      </c>
      <c r="F388" s="16" t="s">
        <v>3422</v>
      </c>
      <c r="G388" s="19" t="s">
        <v>41</v>
      </c>
      <c r="H388" s="18" t="n">
        <v>5</v>
      </c>
      <c r="I388" s="20" t="n">
        <v>67.89</v>
      </c>
      <c r="J388" s="20" t="n">
        <v>111.8</v>
      </c>
      <c r="K388" s="18" t="n">
        <v>9</v>
      </c>
      <c r="L388" s="18" t="n">
        <v>11</v>
      </c>
      <c r="M388" s="18" t="n">
        <v>504</v>
      </c>
      <c r="N388" s="18" t="n">
        <v>112</v>
      </c>
      <c r="O388" s="14" t="s">
        <v>1097</v>
      </c>
      <c r="P388" s="14" t="s">
        <v>84</v>
      </c>
      <c r="Q388" s="15" t="s">
        <v>1089</v>
      </c>
      <c r="R388" s="16" t="s">
        <v>1977</v>
      </c>
      <c r="S388" s="15" t="s">
        <v>3423</v>
      </c>
      <c r="T388" s="15" t="s">
        <v>3423</v>
      </c>
      <c r="U388" s="21" t="s">
        <v>72</v>
      </c>
    </row>
    <row r="389" customFormat="false" ht="15" hidden="false" customHeight="false" outlineLevel="0" collapsed="false">
      <c r="A389" s="15" t="s">
        <v>1082</v>
      </c>
      <c r="B389" s="15" t="s">
        <v>2916</v>
      </c>
      <c r="C389" s="14" t="s">
        <v>3424</v>
      </c>
      <c r="D389" s="14" t="s">
        <v>3425</v>
      </c>
      <c r="E389" s="16" t="s">
        <v>3426</v>
      </c>
      <c r="F389" s="16" t="s">
        <v>3427</v>
      </c>
      <c r="G389" s="23" t="s">
        <v>43</v>
      </c>
      <c r="H389" s="18" t="n">
        <v>3</v>
      </c>
      <c r="I389" s="20" t="n">
        <v>92.72</v>
      </c>
      <c r="J389" s="20" t="n">
        <v>196.77</v>
      </c>
      <c r="K389" s="18" t="n">
        <v>6</v>
      </c>
      <c r="L389" s="18" t="n">
        <v>2</v>
      </c>
      <c r="M389" s="18" t="n">
        <v>150</v>
      </c>
      <c r="N389" s="18" t="n">
        <v>150</v>
      </c>
      <c r="O389" s="14" t="s">
        <v>1097</v>
      </c>
      <c r="P389" s="14" t="s">
        <v>84</v>
      </c>
      <c r="Q389" s="15" t="s">
        <v>1089</v>
      </c>
      <c r="R389" s="16" t="s">
        <v>1890</v>
      </c>
      <c r="S389" s="15" t="s">
        <v>3428</v>
      </c>
      <c r="T389" s="15" t="s">
        <v>3429</v>
      </c>
      <c r="U389" s="21" t="s">
        <v>72</v>
      </c>
    </row>
    <row r="390" customFormat="false" ht="15" hidden="false" customHeight="false" outlineLevel="0" collapsed="false">
      <c r="A390" s="15" t="s">
        <v>1082</v>
      </c>
      <c r="B390" s="15" t="s">
        <v>2916</v>
      </c>
      <c r="C390" s="14" t="s">
        <v>3430</v>
      </c>
      <c r="D390" s="14" t="s">
        <v>3431</v>
      </c>
      <c r="E390" s="16" t="s">
        <v>3094</v>
      </c>
      <c r="F390" s="16" t="s">
        <v>3062</v>
      </c>
      <c r="G390" s="23" t="s">
        <v>43</v>
      </c>
      <c r="H390" s="18" t="n">
        <v>2</v>
      </c>
      <c r="I390" s="20" t="n">
        <v>76.42</v>
      </c>
      <c r="J390" s="20" t="n">
        <v>139.96</v>
      </c>
      <c r="K390" s="18" t="n">
        <v>10</v>
      </c>
      <c r="L390" s="18" t="n">
        <v>39</v>
      </c>
      <c r="M390" s="18" t="n">
        <v>600</v>
      </c>
      <c r="N390" s="18" t="n">
        <v>120</v>
      </c>
      <c r="O390" s="14" t="s">
        <v>1088</v>
      </c>
      <c r="P390" s="14" t="s">
        <v>118</v>
      </c>
      <c r="Q390" s="15" t="s">
        <v>1089</v>
      </c>
      <c r="R390" s="16" t="s">
        <v>3432</v>
      </c>
      <c r="S390" s="15" t="s">
        <v>3433</v>
      </c>
      <c r="T390" s="15" t="s">
        <v>3434</v>
      </c>
      <c r="U390" s="21" t="s">
        <v>72</v>
      </c>
    </row>
    <row r="391" customFormat="false" ht="15" hidden="false" customHeight="false" outlineLevel="0" collapsed="false">
      <c r="A391" s="15" t="s">
        <v>1082</v>
      </c>
      <c r="B391" s="15" t="s">
        <v>2916</v>
      </c>
      <c r="C391" s="14" t="s">
        <v>3435</v>
      </c>
      <c r="D391" s="14" t="s">
        <v>3436</v>
      </c>
      <c r="E391" s="16" t="s">
        <v>3437</v>
      </c>
      <c r="F391" s="16" t="s">
        <v>3438</v>
      </c>
      <c r="G391" s="23" t="s">
        <v>43</v>
      </c>
      <c r="H391" s="18" t="n">
        <v>2</v>
      </c>
      <c r="I391" s="20" t="n">
        <v>35.55</v>
      </c>
      <c r="J391" s="20" t="n">
        <v>119.33</v>
      </c>
      <c r="K391" s="18" t="n">
        <v>9</v>
      </c>
      <c r="L391" s="18" t="n">
        <v>1</v>
      </c>
      <c r="M391" s="18" t="n">
        <v>261</v>
      </c>
      <c r="N391" s="18" t="n">
        <v>87</v>
      </c>
      <c r="O391" s="14" t="s">
        <v>1126</v>
      </c>
      <c r="P391" s="14" t="s">
        <v>84</v>
      </c>
      <c r="Q391" s="15" t="s">
        <v>1089</v>
      </c>
      <c r="R391" s="16" t="s">
        <v>3439</v>
      </c>
      <c r="S391" s="15" t="s">
        <v>3440</v>
      </c>
      <c r="T391" s="15" t="s">
        <v>3440</v>
      </c>
      <c r="U391" s="21" t="s">
        <v>72</v>
      </c>
    </row>
    <row r="392" customFormat="false" ht="15" hidden="false" customHeight="false" outlineLevel="0" collapsed="false">
      <c r="A392" s="15" t="s">
        <v>1082</v>
      </c>
      <c r="B392" s="15" t="s">
        <v>2916</v>
      </c>
      <c r="C392" s="14" t="s">
        <v>3441</v>
      </c>
      <c r="D392" s="14" t="s">
        <v>3442</v>
      </c>
      <c r="E392" s="16" t="s">
        <v>3443</v>
      </c>
      <c r="F392" s="16" t="s">
        <v>3444</v>
      </c>
      <c r="G392" s="23" t="s">
        <v>43</v>
      </c>
      <c r="H392" s="18" t="n">
        <v>3</v>
      </c>
      <c r="I392" s="20" t="n">
        <v>74.68</v>
      </c>
      <c r="J392" s="20" t="n">
        <v>134.1</v>
      </c>
      <c r="K392" s="18" t="n">
        <v>7</v>
      </c>
      <c r="L392" s="18" t="n">
        <v>2</v>
      </c>
      <c r="M392" s="18" t="n">
        <v>161</v>
      </c>
      <c r="N392" s="18" t="n">
        <v>23</v>
      </c>
      <c r="O392" s="14" t="s">
        <v>1088</v>
      </c>
      <c r="P392" s="14" t="s">
        <v>118</v>
      </c>
      <c r="Q392" s="15" t="s">
        <v>1089</v>
      </c>
      <c r="R392" s="16" t="s">
        <v>1134</v>
      </c>
      <c r="S392" s="15" t="s">
        <v>3445</v>
      </c>
      <c r="T392" s="15" t="s">
        <v>3445</v>
      </c>
      <c r="U392" s="21" t="s">
        <v>72</v>
      </c>
    </row>
    <row r="393" customFormat="false" ht="15" hidden="false" customHeight="false" outlineLevel="0" collapsed="false">
      <c r="A393" s="15" t="s">
        <v>1082</v>
      </c>
      <c r="B393" s="15" t="s">
        <v>2916</v>
      </c>
      <c r="C393" s="14" t="s">
        <v>3446</v>
      </c>
      <c r="D393" s="14" t="s">
        <v>3447</v>
      </c>
      <c r="E393" s="16" t="s">
        <v>3448</v>
      </c>
      <c r="F393" s="16" t="s">
        <v>3449</v>
      </c>
      <c r="G393" s="19" t="s">
        <v>41</v>
      </c>
      <c r="H393" s="18" t="n">
        <v>4</v>
      </c>
      <c r="I393" s="20" t="n">
        <v>117.71</v>
      </c>
      <c r="J393" s="20" t="n">
        <v>258.7</v>
      </c>
      <c r="K393" s="18" t="n">
        <v>8</v>
      </c>
      <c r="L393" s="18" t="n">
        <v>26</v>
      </c>
      <c r="M393" s="18" t="n">
        <v>480</v>
      </c>
      <c r="N393" s="18" t="n">
        <v>240</v>
      </c>
      <c r="O393" s="14" t="s">
        <v>1126</v>
      </c>
      <c r="P393" s="14" t="s">
        <v>84</v>
      </c>
      <c r="Q393" s="15" t="s">
        <v>1089</v>
      </c>
      <c r="R393" s="16" t="s">
        <v>3450</v>
      </c>
      <c r="S393" s="15" t="s">
        <v>3451</v>
      </c>
      <c r="T393" s="15" t="s">
        <v>3451</v>
      </c>
      <c r="U393" s="21" t="s">
        <v>72</v>
      </c>
    </row>
    <row r="394" customFormat="false" ht="15" hidden="false" customHeight="false" outlineLevel="0" collapsed="false">
      <c r="A394" s="15" t="s">
        <v>1082</v>
      </c>
      <c r="B394" s="15" t="s">
        <v>2916</v>
      </c>
      <c r="C394" s="14" t="s">
        <v>3452</v>
      </c>
      <c r="D394" s="14" t="s">
        <v>3453</v>
      </c>
      <c r="E394" s="16" t="s">
        <v>3454</v>
      </c>
      <c r="F394" s="16" t="s">
        <v>3455</v>
      </c>
      <c r="G394" s="23" t="s">
        <v>43</v>
      </c>
      <c r="H394" s="18" t="n">
        <v>1</v>
      </c>
      <c r="I394" s="20" t="n">
        <v>32.87</v>
      </c>
      <c r="J394" s="20" t="n">
        <v>82.16</v>
      </c>
      <c r="K394" s="18" t="n">
        <v>9</v>
      </c>
      <c r="L394" s="18" t="n">
        <v>3</v>
      </c>
      <c r="M394" s="18" t="n">
        <v>243</v>
      </c>
      <c r="N394" s="18" t="n">
        <v>81</v>
      </c>
      <c r="O394" s="14" t="s">
        <v>1097</v>
      </c>
      <c r="P394" s="14" t="s">
        <v>118</v>
      </c>
      <c r="Q394" s="15" t="s">
        <v>1089</v>
      </c>
      <c r="R394" s="16" t="s">
        <v>3456</v>
      </c>
      <c r="S394" s="15" t="s">
        <v>3457</v>
      </c>
      <c r="T394" s="15" t="s">
        <v>3458</v>
      </c>
      <c r="U394" s="21" t="s">
        <v>72</v>
      </c>
    </row>
    <row r="395" customFormat="false" ht="26.85" hidden="false" customHeight="false" outlineLevel="0" collapsed="false">
      <c r="A395" s="15" t="s">
        <v>1082</v>
      </c>
      <c r="B395" s="15" t="s">
        <v>2916</v>
      </c>
      <c r="C395" s="14" t="s">
        <v>3459</v>
      </c>
      <c r="D395" s="14" t="s">
        <v>3460</v>
      </c>
      <c r="E395" s="16" t="s">
        <v>3461</v>
      </c>
      <c r="F395" s="16" t="s">
        <v>3462</v>
      </c>
      <c r="G395" s="23" t="s">
        <v>43</v>
      </c>
      <c r="H395" s="18" t="n">
        <v>2</v>
      </c>
      <c r="I395" s="20" t="n">
        <v>51.73</v>
      </c>
      <c r="J395" s="20" t="n">
        <v>115.53</v>
      </c>
      <c r="K395" s="18" t="n">
        <v>10</v>
      </c>
      <c r="L395" s="18" t="n">
        <v>3</v>
      </c>
      <c r="M395" s="18" t="n">
        <v>430</v>
      </c>
      <c r="N395" s="18" t="n">
        <v>86</v>
      </c>
      <c r="O395" s="14" t="s">
        <v>1088</v>
      </c>
      <c r="P395" s="14" t="s">
        <v>872</v>
      </c>
      <c r="Q395" s="15" t="s">
        <v>1089</v>
      </c>
      <c r="R395" s="16" t="s">
        <v>2419</v>
      </c>
      <c r="S395" s="15" t="s">
        <v>3463</v>
      </c>
      <c r="T395" s="15" t="s">
        <v>3464</v>
      </c>
      <c r="U395" s="21" t="s">
        <v>72</v>
      </c>
    </row>
    <row r="396" customFormat="false" ht="15" hidden="false" customHeight="false" outlineLevel="0" collapsed="false">
      <c r="A396" s="15" t="s">
        <v>1082</v>
      </c>
      <c r="B396" s="15" t="s">
        <v>2916</v>
      </c>
      <c r="C396" s="14" t="s">
        <v>3465</v>
      </c>
      <c r="D396" s="14" t="s">
        <v>3466</v>
      </c>
      <c r="E396" s="16" t="s">
        <v>3467</v>
      </c>
      <c r="F396" s="16" t="s">
        <v>3468</v>
      </c>
      <c r="G396" s="23" t="s">
        <v>43</v>
      </c>
      <c r="H396" s="18" t="n">
        <v>3</v>
      </c>
      <c r="I396" s="20" t="n">
        <v>87.13</v>
      </c>
      <c r="J396" s="20" t="n">
        <v>197.46</v>
      </c>
      <c r="K396" s="18" t="n">
        <v>15</v>
      </c>
      <c r="L396" s="18" t="n">
        <v>6</v>
      </c>
      <c r="M396" s="18" t="n">
        <v>645</v>
      </c>
      <c r="N396" s="18" t="n">
        <v>129</v>
      </c>
      <c r="O396" s="14" t="s">
        <v>1088</v>
      </c>
      <c r="P396" s="14" t="s">
        <v>118</v>
      </c>
      <c r="Q396" s="15" t="s">
        <v>1089</v>
      </c>
      <c r="R396" s="16" t="s">
        <v>3469</v>
      </c>
      <c r="S396" s="15" t="s">
        <v>3470</v>
      </c>
      <c r="T396" s="15" t="s">
        <v>3471</v>
      </c>
      <c r="U396" s="21" t="s">
        <v>72</v>
      </c>
    </row>
    <row r="397" customFormat="false" ht="15" hidden="false" customHeight="false" outlineLevel="0" collapsed="false">
      <c r="A397" s="15" t="s">
        <v>1082</v>
      </c>
      <c r="B397" s="15" t="s">
        <v>2916</v>
      </c>
      <c r="C397" s="14" t="s">
        <v>3472</v>
      </c>
      <c r="D397" s="14" t="s">
        <v>3473</v>
      </c>
      <c r="E397" s="16" t="s">
        <v>3467</v>
      </c>
      <c r="F397" s="16" t="s">
        <v>3468</v>
      </c>
      <c r="G397" s="19" t="s">
        <v>41</v>
      </c>
      <c r="H397" s="18" t="n">
        <v>5</v>
      </c>
      <c r="I397" s="20" t="n">
        <v>142.47</v>
      </c>
      <c r="J397" s="20" t="n">
        <v>197.46</v>
      </c>
      <c r="K397" s="18" t="n">
        <v>15</v>
      </c>
      <c r="L397" s="18" t="n">
        <v>6</v>
      </c>
      <c r="M397" s="18" t="n">
        <v>570</v>
      </c>
      <c r="N397" s="18" t="n">
        <v>114</v>
      </c>
      <c r="O397" s="14" t="s">
        <v>1088</v>
      </c>
      <c r="P397" s="14" t="s">
        <v>118</v>
      </c>
      <c r="Q397" s="15" t="s">
        <v>1089</v>
      </c>
      <c r="R397" s="16" t="s">
        <v>3474</v>
      </c>
      <c r="S397" s="15" t="s">
        <v>3470</v>
      </c>
      <c r="T397" s="15" t="s">
        <v>3475</v>
      </c>
      <c r="U397" s="21" t="s">
        <v>72</v>
      </c>
    </row>
    <row r="398" customFormat="false" ht="15" hidden="false" customHeight="false" outlineLevel="0" collapsed="false">
      <c r="A398" s="15" t="s">
        <v>1082</v>
      </c>
      <c r="B398" s="15" t="s">
        <v>2916</v>
      </c>
      <c r="C398" s="14" t="s">
        <v>3476</v>
      </c>
      <c r="D398" s="14" t="s">
        <v>3477</v>
      </c>
      <c r="E398" s="16" t="s">
        <v>3478</v>
      </c>
      <c r="F398" s="16" t="s">
        <v>3479</v>
      </c>
      <c r="G398" s="19" t="s">
        <v>41</v>
      </c>
      <c r="H398" s="18" t="n">
        <v>5</v>
      </c>
      <c r="I398" s="20" t="n">
        <v>129.7</v>
      </c>
      <c r="J398" s="20" t="n">
        <v>233.05</v>
      </c>
      <c r="K398" s="18" t="n">
        <v>60</v>
      </c>
      <c r="L398" s="18" t="n">
        <v>20</v>
      </c>
      <c r="M398" s="18" t="n">
        <v>3600</v>
      </c>
      <c r="N398" s="18" t="n">
        <v>600</v>
      </c>
      <c r="O398" s="14" t="s">
        <v>1126</v>
      </c>
      <c r="P398" s="14" t="s">
        <v>84</v>
      </c>
      <c r="Q398" s="15" t="s">
        <v>1089</v>
      </c>
      <c r="R398" s="16" t="s">
        <v>3480</v>
      </c>
      <c r="S398" s="15" t="s">
        <v>3481</v>
      </c>
      <c r="T398" s="15" t="s">
        <v>3482</v>
      </c>
      <c r="U398" s="21" t="s">
        <v>72</v>
      </c>
    </row>
    <row r="399" customFormat="false" ht="15" hidden="false" customHeight="false" outlineLevel="0" collapsed="false">
      <c r="A399" s="15" t="s">
        <v>1082</v>
      </c>
      <c r="B399" s="15" t="s">
        <v>2916</v>
      </c>
      <c r="C399" s="14" t="s">
        <v>3483</v>
      </c>
      <c r="D399" s="14" t="s">
        <v>3484</v>
      </c>
      <c r="E399" s="16" t="s">
        <v>3485</v>
      </c>
      <c r="F399" s="16" t="s">
        <v>3486</v>
      </c>
      <c r="G399" s="25" t="s">
        <v>39</v>
      </c>
      <c r="H399" s="18" t="n">
        <v>20</v>
      </c>
      <c r="I399" s="20" t="n">
        <v>498.33</v>
      </c>
      <c r="J399" s="20" t="n">
        <v>829.49</v>
      </c>
      <c r="K399" s="18" t="n">
        <v>18</v>
      </c>
      <c r="L399" s="18" t="n">
        <v>52</v>
      </c>
      <c r="M399" s="18" t="n">
        <v>1080</v>
      </c>
      <c r="N399" s="18" t="n">
        <v>180</v>
      </c>
      <c r="O399" s="14" t="s">
        <v>1126</v>
      </c>
      <c r="P399" s="14" t="s">
        <v>118</v>
      </c>
      <c r="Q399" s="15" t="s">
        <v>1089</v>
      </c>
      <c r="R399" s="16" t="s">
        <v>3487</v>
      </c>
      <c r="S399" s="15" t="s">
        <v>3488</v>
      </c>
      <c r="T399" s="15" t="s">
        <v>3488</v>
      </c>
      <c r="U399" s="21" t="s">
        <v>72</v>
      </c>
    </row>
    <row r="400" customFormat="false" ht="15" hidden="false" customHeight="false" outlineLevel="0" collapsed="false">
      <c r="A400" s="15" t="s">
        <v>1082</v>
      </c>
      <c r="B400" s="15" t="s">
        <v>2916</v>
      </c>
      <c r="C400" s="14" t="s">
        <v>3489</v>
      </c>
      <c r="D400" s="14" t="s">
        <v>3490</v>
      </c>
      <c r="E400" s="16" t="s">
        <v>3491</v>
      </c>
      <c r="F400" s="16" t="s">
        <v>3492</v>
      </c>
      <c r="G400" s="23" t="s">
        <v>43</v>
      </c>
      <c r="H400" s="18" t="n">
        <v>2</v>
      </c>
      <c r="I400" s="20" t="n">
        <v>40.82</v>
      </c>
      <c r="J400" s="20" t="n">
        <v>152.98</v>
      </c>
      <c r="K400" s="18" t="n">
        <v>18</v>
      </c>
      <c r="L400" s="18" t="n">
        <v>4</v>
      </c>
      <c r="M400" s="18" t="n">
        <v>306</v>
      </c>
      <c r="N400" s="18" t="n">
        <v>102</v>
      </c>
      <c r="O400" s="14" t="s">
        <v>1097</v>
      </c>
      <c r="P400" s="14" t="s">
        <v>118</v>
      </c>
      <c r="Q400" s="15" t="s">
        <v>1089</v>
      </c>
      <c r="R400" s="16" t="s">
        <v>3050</v>
      </c>
      <c r="S400" s="15" t="s">
        <v>3493</v>
      </c>
      <c r="T400" s="15" t="s">
        <v>3493</v>
      </c>
      <c r="U400" s="21" t="s">
        <v>72</v>
      </c>
    </row>
    <row r="401" customFormat="false" ht="15" hidden="false" customHeight="false" outlineLevel="0" collapsed="false">
      <c r="A401" s="15" t="s">
        <v>1082</v>
      </c>
      <c r="B401" s="15" t="s">
        <v>2916</v>
      </c>
      <c r="C401" s="14" t="s">
        <v>3494</v>
      </c>
      <c r="D401" s="14" t="s">
        <v>3495</v>
      </c>
      <c r="E401" s="16" t="s">
        <v>3496</v>
      </c>
      <c r="F401" s="16" t="s">
        <v>3497</v>
      </c>
      <c r="G401" s="19" t="s">
        <v>41</v>
      </c>
      <c r="H401" s="18" t="n">
        <v>5</v>
      </c>
      <c r="I401" s="20" t="n">
        <v>58.15</v>
      </c>
      <c r="J401" s="20" t="n">
        <v>118.09</v>
      </c>
      <c r="K401" s="18" t="n">
        <v>24</v>
      </c>
      <c r="L401" s="18" t="n">
        <v>5</v>
      </c>
      <c r="M401" s="18" t="n">
        <v>1128</v>
      </c>
      <c r="N401" s="18" t="n">
        <v>188</v>
      </c>
      <c r="O401" s="14" t="s">
        <v>1097</v>
      </c>
      <c r="P401" s="14" t="s">
        <v>84</v>
      </c>
      <c r="Q401" s="15" t="s">
        <v>1089</v>
      </c>
      <c r="R401" s="16" t="s">
        <v>3498</v>
      </c>
      <c r="S401" s="15" t="s">
        <v>3499</v>
      </c>
      <c r="T401" s="15" t="s">
        <v>3500</v>
      </c>
      <c r="U401" s="21" t="s">
        <v>72</v>
      </c>
    </row>
    <row r="402" customFormat="false" ht="15" hidden="false" customHeight="false" outlineLevel="0" collapsed="false">
      <c r="A402" s="15" t="s">
        <v>1082</v>
      </c>
      <c r="B402" s="15" t="s">
        <v>2916</v>
      </c>
      <c r="C402" s="14" t="s">
        <v>3501</v>
      </c>
      <c r="D402" s="14" t="s">
        <v>3502</v>
      </c>
      <c r="E402" s="16" t="s">
        <v>3149</v>
      </c>
      <c r="F402" s="16" t="s">
        <v>3150</v>
      </c>
      <c r="G402" s="19" t="s">
        <v>41</v>
      </c>
      <c r="H402" s="18" t="n">
        <v>6</v>
      </c>
      <c r="I402" s="20" t="n">
        <v>58.35</v>
      </c>
      <c r="J402" s="20" t="n">
        <v>139.85</v>
      </c>
      <c r="K402" s="18" t="n">
        <v>12</v>
      </c>
      <c r="L402" s="18" t="n">
        <v>38</v>
      </c>
      <c r="M402" s="18" t="n">
        <v>576</v>
      </c>
      <c r="N402" s="18" t="n">
        <v>288</v>
      </c>
      <c r="O402" s="14" t="s">
        <v>1097</v>
      </c>
      <c r="P402" s="14" t="s">
        <v>84</v>
      </c>
      <c r="Q402" s="15" t="s">
        <v>1089</v>
      </c>
      <c r="R402" s="16" t="s">
        <v>2344</v>
      </c>
      <c r="S402" s="15" t="s">
        <v>3152</v>
      </c>
      <c r="T402" s="15" t="s">
        <v>3152</v>
      </c>
      <c r="U402" s="21" t="s">
        <v>72</v>
      </c>
    </row>
    <row r="403" customFormat="false" ht="15" hidden="false" customHeight="false" outlineLevel="0" collapsed="false">
      <c r="A403" s="15" t="s">
        <v>1082</v>
      </c>
      <c r="B403" s="15" t="s">
        <v>2916</v>
      </c>
      <c r="C403" s="14" t="s">
        <v>3503</v>
      </c>
      <c r="D403" s="14" t="s">
        <v>3504</v>
      </c>
      <c r="E403" s="16" t="s">
        <v>3505</v>
      </c>
      <c r="F403" s="16" t="s">
        <v>3506</v>
      </c>
      <c r="G403" s="23" t="s">
        <v>43</v>
      </c>
      <c r="H403" s="18" t="n">
        <v>4</v>
      </c>
      <c r="I403" s="20" t="n">
        <v>109.36</v>
      </c>
      <c r="J403" s="20" t="n">
        <v>67.07</v>
      </c>
      <c r="K403" s="18" t="n">
        <v>10</v>
      </c>
      <c r="L403" s="18" t="n">
        <v>4</v>
      </c>
      <c r="M403" s="18" t="n">
        <v>200</v>
      </c>
      <c r="N403" s="18" t="n">
        <v>60</v>
      </c>
      <c r="O403" s="14" t="s">
        <v>1088</v>
      </c>
      <c r="P403" s="14" t="s">
        <v>84</v>
      </c>
      <c r="Q403" s="15" t="s">
        <v>1089</v>
      </c>
      <c r="R403" s="16" t="s">
        <v>2573</v>
      </c>
      <c r="S403" s="15" t="s">
        <v>3507</v>
      </c>
      <c r="T403" s="15" t="s">
        <v>3507</v>
      </c>
      <c r="U403" s="21" t="s">
        <v>72</v>
      </c>
    </row>
    <row r="404" customFormat="false" ht="15" hidden="false" customHeight="false" outlineLevel="0" collapsed="false">
      <c r="A404" s="15" t="s">
        <v>1082</v>
      </c>
      <c r="B404" s="15" t="s">
        <v>2916</v>
      </c>
      <c r="C404" s="14" t="s">
        <v>3508</v>
      </c>
      <c r="D404" s="14" t="s">
        <v>3509</v>
      </c>
      <c r="E404" s="16" t="s">
        <v>3510</v>
      </c>
      <c r="F404" s="16" t="s">
        <v>3511</v>
      </c>
      <c r="G404" s="23" t="s">
        <v>43</v>
      </c>
      <c r="H404" s="18" t="n">
        <v>4</v>
      </c>
      <c r="I404" s="20" t="n">
        <v>66.41</v>
      </c>
      <c r="J404" s="20" t="n">
        <v>85.01</v>
      </c>
      <c r="K404" s="18" t="n">
        <v>33</v>
      </c>
      <c r="L404" s="18" t="n">
        <v>11</v>
      </c>
      <c r="M404" s="18" t="n">
        <v>528</v>
      </c>
      <c r="N404" s="18" t="n">
        <v>112</v>
      </c>
      <c r="O404" s="14" t="s">
        <v>1097</v>
      </c>
      <c r="P404" s="14" t="s">
        <v>84</v>
      </c>
      <c r="Q404" s="15" t="s">
        <v>1089</v>
      </c>
      <c r="R404" s="16" t="s">
        <v>2493</v>
      </c>
      <c r="S404" s="15" t="s">
        <v>3512</v>
      </c>
      <c r="T404" s="15" t="s">
        <v>3512</v>
      </c>
      <c r="U404" s="21" t="s">
        <v>72</v>
      </c>
    </row>
    <row r="405" customFormat="false" ht="15" hidden="false" customHeight="false" outlineLevel="0" collapsed="false">
      <c r="A405" s="15" t="s">
        <v>1082</v>
      </c>
      <c r="B405" s="15" t="s">
        <v>2916</v>
      </c>
      <c r="C405" s="14" t="s">
        <v>3513</v>
      </c>
      <c r="D405" s="14" t="s">
        <v>3514</v>
      </c>
      <c r="E405" s="16" t="s">
        <v>3515</v>
      </c>
      <c r="F405" s="16" t="s">
        <v>3516</v>
      </c>
      <c r="G405" s="23" t="s">
        <v>43</v>
      </c>
      <c r="H405" s="18" t="n">
        <v>2</v>
      </c>
      <c r="I405" s="20" t="n">
        <v>74</v>
      </c>
      <c r="J405" s="20" t="n">
        <v>96.85</v>
      </c>
      <c r="K405" s="18" t="n">
        <v>2</v>
      </c>
      <c r="L405" s="18" t="n">
        <v>3</v>
      </c>
      <c r="M405" s="18" t="n">
        <v>120</v>
      </c>
      <c r="N405" s="18" t="n">
        <v>120</v>
      </c>
      <c r="O405" s="14" t="s">
        <v>1097</v>
      </c>
      <c r="P405" s="14" t="s">
        <v>84</v>
      </c>
      <c r="Q405" s="15" t="s">
        <v>1089</v>
      </c>
      <c r="R405" s="16" t="s">
        <v>3517</v>
      </c>
      <c r="S405" s="15" t="s">
        <v>3518</v>
      </c>
      <c r="T405" s="15" t="s">
        <v>3518</v>
      </c>
      <c r="U405" s="21" t="s">
        <v>72</v>
      </c>
    </row>
    <row r="406" customFormat="false" ht="15" hidden="false" customHeight="false" outlineLevel="0" collapsed="false">
      <c r="A406" s="15" t="s">
        <v>1082</v>
      </c>
      <c r="B406" s="15" t="s">
        <v>2916</v>
      </c>
      <c r="C406" s="14" t="s">
        <v>3519</v>
      </c>
      <c r="D406" s="14" t="s">
        <v>3520</v>
      </c>
      <c r="E406" s="16" t="s">
        <v>3521</v>
      </c>
      <c r="F406" s="16" t="s">
        <v>3522</v>
      </c>
      <c r="G406" s="25" t="s">
        <v>39</v>
      </c>
      <c r="H406" s="18" t="n">
        <v>9</v>
      </c>
      <c r="I406" s="20" t="n">
        <v>67.32</v>
      </c>
      <c r="J406" s="20" t="n">
        <v>112.25</v>
      </c>
      <c r="K406" s="18" t="n">
        <v>6</v>
      </c>
      <c r="L406" s="18" t="n">
        <v>17</v>
      </c>
      <c r="M406" s="18" t="n">
        <v>336</v>
      </c>
      <c r="N406" s="18" t="n">
        <v>112</v>
      </c>
      <c r="O406" s="14" t="s">
        <v>1097</v>
      </c>
      <c r="P406" s="14" t="s">
        <v>84</v>
      </c>
      <c r="Q406" s="15" t="s">
        <v>1089</v>
      </c>
      <c r="R406" s="16" t="s">
        <v>2435</v>
      </c>
      <c r="S406" s="15" t="s">
        <v>3523</v>
      </c>
      <c r="T406" s="15" t="s">
        <v>3524</v>
      </c>
      <c r="U406" s="21" t="s">
        <v>72</v>
      </c>
    </row>
    <row r="407" customFormat="false" ht="15" hidden="false" customHeight="false" outlineLevel="0" collapsed="false">
      <c r="A407" s="15" t="s">
        <v>1082</v>
      </c>
      <c r="B407" s="15" t="s">
        <v>2916</v>
      </c>
      <c r="C407" s="14" t="s">
        <v>3525</v>
      </c>
      <c r="D407" s="14" t="s">
        <v>3526</v>
      </c>
      <c r="E407" s="16" t="s">
        <v>3527</v>
      </c>
      <c r="F407" s="16" t="s">
        <v>3528</v>
      </c>
      <c r="G407" s="19" t="s">
        <v>41</v>
      </c>
      <c r="H407" s="18" t="n">
        <v>3</v>
      </c>
      <c r="I407" s="20" t="n">
        <v>131.81</v>
      </c>
      <c r="J407" s="20" t="n">
        <v>203.03</v>
      </c>
      <c r="K407" s="18" t="n">
        <v>3</v>
      </c>
      <c r="L407" s="18" t="n">
        <v>2</v>
      </c>
      <c r="M407" s="18" t="n">
        <v>180</v>
      </c>
      <c r="N407" s="18" t="n">
        <v>180</v>
      </c>
      <c r="O407" s="14" t="s">
        <v>1097</v>
      </c>
      <c r="P407" s="14" t="s">
        <v>84</v>
      </c>
      <c r="Q407" s="15" t="s">
        <v>1089</v>
      </c>
      <c r="R407" s="16" t="s">
        <v>1685</v>
      </c>
      <c r="S407" s="15" t="s">
        <v>3529</v>
      </c>
      <c r="T407" s="15" t="s">
        <v>3529</v>
      </c>
      <c r="U407" s="21" t="s">
        <v>72</v>
      </c>
    </row>
    <row r="408" customFormat="false" ht="15" hidden="false" customHeight="false" outlineLevel="0" collapsed="false">
      <c r="A408" s="15" t="s">
        <v>1082</v>
      </c>
      <c r="B408" s="15" t="s">
        <v>2916</v>
      </c>
      <c r="C408" s="14" t="s">
        <v>3530</v>
      </c>
      <c r="D408" s="14" t="s">
        <v>3531</v>
      </c>
      <c r="E408" s="16" t="s">
        <v>3532</v>
      </c>
      <c r="F408" s="16" t="s">
        <v>3528</v>
      </c>
      <c r="G408" s="23" t="s">
        <v>43</v>
      </c>
      <c r="H408" s="18" t="n">
        <v>4</v>
      </c>
      <c r="I408" s="20" t="n">
        <v>146.53</v>
      </c>
      <c r="J408" s="20" t="n">
        <v>187.69</v>
      </c>
      <c r="K408" s="18" t="n">
        <v>4</v>
      </c>
      <c r="L408" s="18" t="n">
        <v>3</v>
      </c>
      <c r="M408" s="18" t="n">
        <v>240</v>
      </c>
      <c r="N408" s="18" t="n">
        <v>240</v>
      </c>
      <c r="O408" s="14" t="s">
        <v>1097</v>
      </c>
      <c r="P408" s="14" t="s">
        <v>84</v>
      </c>
      <c r="Q408" s="15" t="s">
        <v>1089</v>
      </c>
      <c r="R408" s="16" t="s">
        <v>2395</v>
      </c>
      <c r="S408" s="15" t="s">
        <v>3529</v>
      </c>
      <c r="T408" s="15" t="s">
        <v>3533</v>
      </c>
      <c r="U408" s="21" t="s">
        <v>72</v>
      </c>
    </row>
    <row r="409" customFormat="false" ht="15" hidden="false" customHeight="false" outlineLevel="0" collapsed="false">
      <c r="A409" s="15" t="s">
        <v>1082</v>
      </c>
      <c r="B409" s="15" t="s">
        <v>2916</v>
      </c>
      <c r="C409" s="14" t="s">
        <v>3534</v>
      </c>
      <c r="D409" s="14" t="s">
        <v>3535</v>
      </c>
      <c r="E409" s="16" t="s">
        <v>3536</v>
      </c>
      <c r="F409" s="16" t="s">
        <v>3537</v>
      </c>
      <c r="G409" s="23" t="s">
        <v>43</v>
      </c>
      <c r="H409" s="18" t="n">
        <v>2</v>
      </c>
      <c r="I409" s="20" t="n">
        <v>40.39</v>
      </c>
      <c r="J409" s="20" t="n">
        <v>78.34</v>
      </c>
      <c r="K409" s="18" t="n">
        <v>2</v>
      </c>
      <c r="L409" s="18" t="n">
        <v>1</v>
      </c>
      <c r="M409" s="18" t="n">
        <v>60</v>
      </c>
      <c r="N409" s="18" t="n">
        <v>60</v>
      </c>
      <c r="O409" s="14" t="s">
        <v>1097</v>
      </c>
      <c r="P409" s="14" t="s">
        <v>84</v>
      </c>
      <c r="Q409" s="15" t="s">
        <v>1089</v>
      </c>
      <c r="R409" s="16" t="s">
        <v>1434</v>
      </c>
      <c r="S409" s="15" t="s">
        <v>3538</v>
      </c>
      <c r="T409" s="15" t="s">
        <v>3538</v>
      </c>
      <c r="U409" s="21" t="s">
        <v>72</v>
      </c>
    </row>
    <row r="410" customFormat="false" ht="15" hidden="false" customHeight="false" outlineLevel="0" collapsed="false">
      <c r="A410" s="15" t="s">
        <v>1082</v>
      </c>
      <c r="B410" s="15" t="s">
        <v>2916</v>
      </c>
      <c r="C410" s="14" t="s">
        <v>3539</v>
      </c>
      <c r="D410" s="14" t="s">
        <v>3540</v>
      </c>
      <c r="E410" s="16" t="s">
        <v>3541</v>
      </c>
      <c r="F410" s="16" t="s">
        <v>3542</v>
      </c>
      <c r="G410" s="23" t="s">
        <v>43</v>
      </c>
      <c r="H410" s="18" t="n">
        <v>3</v>
      </c>
      <c r="I410" s="20" t="n">
        <v>70.18</v>
      </c>
      <c r="J410" s="20" t="n">
        <v>117.84</v>
      </c>
      <c r="K410" s="18" t="n">
        <v>2</v>
      </c>
      <c r="L410" s="18" t="n">
        <v>3</v>
      </c>
      <c r="M410" s="18" t="n">
        <v>44</v>
      </c>
      <c r="N410" s="18" t="n">
        <v>44</v>
      </c>
      <c r="O410" s="14" t="s">
        <v>1126</v>
      </c>
      <c r="P410" s="14" t="s">
        <v>118</v>
      </c>
      <c r="Q410" s="15" t="s">
        <v>1089</v>
      </c>
      <c r="R410" s="16" t="s">
        <v>3543</v>
      </c>
      <c r="S410" s="16" t="s">
        <v>3544</v>
      </c>
      <c r="T410" s="15" t="s">
        <v>3545</v>
      </c>
      <c r="U410" s="21" t="s">
        <v>72</v>
      </c>
    </row>
    <row r="411" customFormat="false" ht="15" hidden="false" customHeight="false" outlineLevel="0" collapsed="false">
      <c r="A411" s="15" t="s">
        <v>1082</v>
      </c>
      <c r="B411" s="15" t="s">
        <v>2916</v>
      </c>
      <c r="C411" s="14" t="s">
        <v>3546</v>
      </c>
      <c r="D411" s="14" t="s">
        <v>3547</v>
      </c>
      <c r="E411" s="16" t="s">
        <v>3548</v>
      </c>
      <c r="F411" s="16" t="s">
        <v>1513</v>
      </c>
      <c r="G411" s="19" t="s">
        <v>41</v>
      </c>
      <c r="H411" s="18" t="n">
        <v>5</v>
      </c>
      <c r="I411" s="20" t="n">
        <v>101.91</v>
      </c>
      <c r="J411" s="20" t="n">
        <v>174</v>
      </c>
      <c r="K411" s="18" t="n">
        <v>5</v>
      </c>
      <c r="L411" s="18" t="n">
        <v>6</v>
      </c>
      <c r="M411" s="18" t="n">
        <v>300</v>
      </c>
      <c r="N411" s="18" t="n">
        <v>300</v>
      </c>
      <c r="O411" s="14" t="s">
        <v>1097</v>
      </c>
      <c r="P411" s="14" t="s">
        <v>84</v>
      </c>
      <c r="Q411" s="15" t="s">
        <v>1089</v>
      </c>
      <c r="R411" s="16" t="s">
        <v>3549</v>
      </c>
      <c r="S411" s="15" t="s">
        <v>3213</v>
      </c>
      <c r="T411" s="15" t="s">
        <v>3550</v>
      </c>
      <c r="U411" s="21" t="s">
        <v>72</v>
      </c>
    </row>
    <row r="412" customFormat="false" ht="15" hidden="false" customHeight="false" outlineLevel="0" collapsed="false">
      <c r="A412" s="15" t="s">
        <v>1082</v>
      </c>
      <c r="B412" s="15" t="s">
        <v>2916</v>
      </c>
      <c r="C412" s="14" t="s">
        <v>3551</v>
      </c>
      <c r="D412" s="14" t="s">
        <v>3552</v>
      </c>
      <c r="E412" s="16" t="s">
        <v>3404</v>
      </c>
      <c r="F412" s="16" t="s">
        <v>1513</v>
      </c>
      <c r="G412" s="23" t="s">
        <v>43</v>
      </c>
      <c r="H412" s="18" t="n">
        <v>3</v>
      </c>
      <c r="I412" s="20" t="n">
        <v>56.19</v>
      </c>
      <c r="J412" s="20" t="n">
        <v>105.48</v>
      </c>
      <c r="K412" s="18" t="n">
        <v>3</v>
      </c>
      <c r="L412" s="18" t="n">
        <v>9</v>
      </c>
      <c r="M412" s="18" t="n">
        <v>180</v>
      </c>
      <c r="N412" s="18" t="n">
        <v>180</v>
      </c>
      <c r="O412" s="14" t="s">
        <v>1097</v>
      </c>
      <c r="P412" s="14" t="s">
        <v>84</v>
      </c>
      <c r="Q412" s="15" t="s">
        <v>1089</v>
      </c>
      <c r="R412" s="16" t="s">
        <v>3267</v>
      </c>
      <c r="S412" s="15" t="s">
        <v>3553</v>
      </c>
      <c r="T412" s="15" t="s">
        <v>3553</v>
      </c>
      <c r="U412" s="21" t="s">
        <v>72</v>
      </c>
    </row>
    <row r="413" customFormat="false" ht="15" hidden="false" customHeight="false" outlineLevel="0" collapsed="false">
      <c r="A413" s="15" t="s">
        <v>1082</v>
      </c>
      <c r="B413" s="15" t="s">
        <v>2916</v>
      </c>
      <c r="C413" s="14" t="s">
        <v>3554</v>
      </c>
      <c r="D413" s="14" t="s">
        <v>3555</v>
      </c>
      <c r="E413" s="16" t="s">
        <v>3556</v>
      </c>
      <c r="F413" s="16"/>
      <c r="G413" s="23" t="s">
        <v>43</v>
      </c>
      <c r="H413" s="18" t="n">
        <v>4</v>
      </c>
      <c r="I413" s="20" t="n">
        <v>54.7</v>
      </c>
      <c r="J413" s="20" t="n">
        <v>187.43</v>
      </c>
      <c r="K413" s="18" t="n">
        <v>3</v>
      </c>
      <c r="L413" s="18" t="n">
        <v>5</v>
      </c>
      <c r="M413" s="18" t="n">
        <v>60</v>
      </c>
      <c r="N413" s="18" t="n">
        <v>60</v>
      </c>
      <c r="O413" s="14" t="s">
        <v>1097</v>
      </c>
      <c r="P413" s="14" t="s">
        <v>84</v>
      </c>
      <c r="Q413" s="15" t="s">
        <v>1089</v>
      </c>
      <c r="R413" s="16" t="s">
        <v>3557</v>
      </c>
      <c r="S413" s="15" t="s">
        <v>3558</v>
      </c>
      <c r="T413" s="15" t="s">
        <v>3558</v>
      </c>
      <c r="U413" s="21" t="s">
        <v>72</v>
      </c>
    </row>
    <row r="414" customFormat="false" ht="15" hidden="false" customHeight="false" outlineLevel="0" collapsed="false">
      <c r="A414" s="15" t="s">
        <v>1082</v>
      </c>
      <c r="B414" s="15" t="s">
        <v>2916</v>
      </c>
      <c r="C414" s="14" t="s">
        <v>3559</v>
      </c>
      <c r="D414" s="14" t="s">
        <v>3560</v>
      </c>
      <c r="E414" s="16" t="s">
        <v>3561</v>
      </c>
      <c r="F414" s="16" t="s">
        <v>3562</v>
      </c>
      <c r="G414" s="19" t="s">
        <v>41</v>
      </c>
      <c r="H414" s="18" t="n">
        <v>6</v>
      </c>
      <c r="I414" s="20" t="n">
        <v>105.35</v>
      </c>
      <c r="J414" s="20" t="n">
        <v>256.26</v>
      </c>
      <c r="K414" s="18" t="n">
        <v>3</v>
      </c>
      <c r="L414" s="18" t="n">
        <v>46</v>
      </c>
      <c r="M414" s="18" t="n">
        <v>90</v>
      </c>
      <c r="N414" s="18" t="n">
        <v>30</v>
      </c>
      <c r="O414" s="14" t="s">
        <v>1097</v>
      </c>
      <c r="P414" s="14" t="s">
        <v>84</v>
      </c>
      <c r="Q414" s="15" t="s">
        <v>1089</v>
      </c>
      <c r="R414" s="16" t="s">
        <v>3563</v>
      </c>
      <c r="S414" s="15" t="s">
        <v>3564</v>
      </c>
      <c r="T414" s="15" t="s">
        <v>3565</v>
      </c>
      <c r="U414" s="21" t="s">
        <v>72</v>
      </c>
    </row>
    <row r="415" customFormat="false" ht="15" hidden="false" customHeight="false" outlineLevel="0" collapsed="false">
      <c r="A415" s="15" t="s">
        <v>1082</v>
      </c>
      <c r="B415" s="15" t="s">
        <v>2916</v>
      </c>
      <c r="C415" s="14" t="s">
        <v>3566</v>
      </c>
      <c r="D415" s="14" t="s">
        <v>3567</v>
      </c>
      <c r="E415" s="16" t="s">
        <v>3568</v>
      </c>
      <c r="F415" s="16" t="s">
        <v>3569</v>
      </c>
      <c r="G415" s="23" t="s">
        <v>43</v>
      </c>
      <c r="H415" s="18" t="n">
        <v>3</v>
      </c>
      <c r="I415" s="20" t="n">
        <v>33.83</v>
      </c>
      <c r="J415" s="20" t="n">
        <v>105.92</v>
      </c>
      <c r="K415" s="18" t="n">
        <v>3</v>
      </c>
      <c r="L415" s="18" t="n">
        <v>5</v>
      </c>
      <c r="M415" s="18" t="n">
        <v>60</v>
      </c>
      <c r="N415" s="18" t="n">
        <v>60</v>
      </c>
      <c r="O415" s="14" t="s">
        <v>1088</v>
      </c>
      <c r="P415" s="14" t="s">
        <v>84</v>
      </c>
      <c r="Q415" s="15" t="s">
        <v>1089</v>
      </c>
      <c r="R415" s="16" t="s">
        <v>3570</v>
      </c>
      <c r="S415" s="15" t="s">
        <v>3571</v>
      </c>
      <c r="T415" s="15" t="s">
        <v>3572</v>
      </c>
      <c r="U415" s="21" t="s">
        <v>72</v>
      </c>
    </row>
    <row r="416" customFormat="false" ht="15" hidden="false" customHeight="false" outlineLevel="0" collapsed="false">
      <c r="A416" s="15" t="s">
        <v>1082</v>
      </c>
      <c r="B416" s="15" t="s">
        <v>2916</v>
      </c>
      <c r="C416" s="14" t="s">
        <v>3573</v>
      </c>
      <c r="D416" s="14" t="s">
        <v>3574</v>
      </c>
      <c r="E416" s="16" t="s">
        <v>3575</v>
      </c>
      <c r="F416" s="16" t="s">
        <v>3576</v>
      </c>
      <c r="G416" s="23" t="s">
        <v>43</v>
      </c>
      <c r="H416" s="18" t="n">
        <v>3</v>
      </c>
      <c r="I416" s="20" t="n">
        <v>48.03</v>
      </c>
      <c r="J416" s="20" t="n">
        <v>132.14</v>
      </c>
      <c r="K416" s="18" t="n">
        <v>1</v>
      </c>
      <c r="L416" s="18" t="n">
        <v>5</v>
      </c>
      <c r="M416" s="18" t="n">
        <v>40</v>
      </c>
      <c r="N416" s="18" t="n">
        <v>40</v>
      </c>
      <c r="O416" s="14" t="s">
        <v>1097</v>
      </c>
      <c r="P416" s="14" t="s">
        <v>84</v>
      </c>
      <c r="Q416" s="15" t="s">
        <v>1089</v>
      </c>
      <c r="R416" s="16" t="s">
        <v>3577</v>
      </c>
      <c r="S416" s="15" t="s">
        <v>2580</v>
      </c>
      <c r="T416" s="15" t="s">
        <v>3578</v>
      </c>
      <c r="U416" s="21" t="s">
        <v>72</v>
      </c>
    </row>
    <row r="417" customFormat="false" ht="26.85" hidden="false" customHeight="false" outlineLevel="0" collapsed="false">
      <c r="A417" s="15" t="s">
        <v>1082</v>
      </c>
      <c r="B417" s="15" t="s">
        <v>2916</v>
      </c>
      <c r="C417" s="14" t="s">
        <v>3579</v>
      </c>
      <c r="D417" s="14" t="s">
        <v>3580</v>
      </c>
      <c r="E417" s="16" t="s">
        <v>3581</v>
      </c>
      <c r="F417" s="16" t="s">
        <v>3582</v>
      </c>
      <c r="G417" s="19" t="s">
        <v>41</v>
      </c>
      <c r="H417" s="18" t="n">
        <v>5</v>
      </c>
      <c r="I417" s="20" t="n">
        <v>110.41</v>
      </c>
      <c r="J417" s="20" t="n">
        <v>161.61</v>
      </c>
      <c r="K417" s="18" t="n">
        <v>4</v>
      </c>
      <c r="L417" s="18" t="n">
        <v>6</v>
      </c>
      <c r="M417" s="18" t="n">
        <v>224</v>
      </c>
      <c r="N417" s="18" t="n">
        <v>224</v>
      </c>
      <c r="O417" s="14" t="s">
        <v>1097</v>
      </c>
      <c r="P417" s="14" t="s">
        <v>84</v>
      </c>
      <c r="Q417" s="15" t="s">
        <v>1089</v>
      </c>
      <c r="R417" s="16" t="s">
        <v>3583</v>
      </c>
      <c r="S417" s="15" t="s">
        <v>3584</v>
      </c>
      <c r="T417" s="15" t="s">
        <v>3585</v>
      </c>
      <c r="U417" s="21" t="s">
        <v>72</v>
      </c>
    </row>
    <row r="418" customFormat="false" ht="26.85" hidden="false" customHeight="false" outlineLevel="0" collapsed="false">
      <c r="A418" s="15" t="s">
        <v>1082</v>
      </c>
      <c r="B418" s="15" t="s">
        <v>2916</v>
      </c>
      <c r="C418" s="14" t="s">
        <v>3586</v>
      </c>
      <c r="D418" s="14" t="s">
        <v>3587</v>
      </c>
      <c r="E418" s="16" t="s">
        <v>3588</v>
      </c>
      <c r="F418" s="16" t="s">
        <v>3589</v>
      </c>
      <c r="G418" s="23" t="s">
        <v>43</v>
      </c>
      <c r="H418" s="18" t="n">
        <v>4</v>
      </c>
      <c r="I418" s="20" t="n">
        <v>74</v>
      </c>
      <c r="J418" s="20" t="n">
        <v>169.42</v>
      </c>
      <c r="K418" s="18" t="n">
        <v>4</v>
      </c>
      <c r="L418" s="18" t="n">
        <v>10</v>
      </c>
      <c r="M418" s="18" t="n">
        <v>240</v>
      </c>
      <c r="N418" s="18" t="n">
        <v>240</v>
      </c>
      <c r="O418" s="14" t="s">
        <v>1097</v>
      </c>
      <c r="P418" s="14" t="s">
        <v>84</v>
      </c>
      <c r="Q418" s="15" t="s">
        <v>1089</v>
      </c>
      <c r="R418" s="16" t="s">
        <v>1470</v>
      </c>
      <c r="S418" s="15" t="s">
        <v>2163</v>
      </c>
      <c r="T418" s="15" t="s">
        <v>3590</v>
      </c>
      <c r="U418" s="21" t="s">
        <v>72</v>
      </c>
    </row>
    <row r="419" customFormat="false" ht="26.85" hidden="false" customHeight="false" outlineLevel="0" collapsed="false">
      <c r="A419" s="15" t="s">
        <v>1082</v>
      </c>
      <c r="B419" s="15" t="s">
        <v>2916</v>
      </c>
      <c r="C419" s="14" t="s">
        <v>3591</v>
      </c>
      <c r="D419" s="14" t="s">
        <v>3592</v>
      </c>
      <c r="E419" s="16" t="s">
        <v>3593</v>
      </c>
      <c r="F419" s="16" t="s">
        <v>3594</v>
      </c>
      <c r="G419" s="25" t="s">
        <v>39</v>
      </c>
      <c r="H419" s="18" t="n">
        <v>9</v>
      </c>
      <c r="I419" s="20" t="n">
        <v>234.89</v>
      </c>
      <c r="J419" s="20" t="n">
        <v>472.9</v>
      </c>
      <c r="K419" s="18" t="n">
        <v>9</v>
      </c>
      <c r="L419" s="18" t="n">
        <v>8</v>
      </c>
      <c r="M419" s="18" t="n">
        <v>540</v>
      </c>
      <c r="N419" s="18" t="n">
        <v>540</v>
      </c>
      <c r="O419" s="14" t="s">
        <v>1097</v>
      </c>
      <c r="P419" s="14" t="s">
        <v>84</v>
      </c>
      <c r="Q419" s="15" t="s">
        <v>1089</v>
      </c>
      <c r="R419" s="16" t="s">
        <v>1090</v>
      </c>
      <c r="S419" s="15" t="s">
        <v>2163</v>
      </c>
      <c r="T419" s="15" t="s">
        <v>3595</v>
      </c>
      <c r="U419" s="21" t="s">
        <v>72</v>
      </c>
    </row>
    <row r="420" customFormat="false" ht="26.85" hidden="false" customHeight="false" outlineLevel="0" collapsed="false">
      <c r="A420" s="15" t="s">
        <v>1082</v>
      </c>
      <c r="B420" s="15" t="s">
        <v>2916</v>
      </c>
      <c r="C420" s="14" t="s">
        <v>3596</v>
      </c>
      <c r="D420" s="14" t="s">
        <v>3597</v>
      </c>
      <c r="E420" s="16" t="s">
        <v>3598</v>
      </c>
      <c r="F420" s="16" t="s">
        <v>3599</v>
      </c>
      <c r="G420" s="23" t="s">
        <v>43</v>
      </c>
      <c r="H420" s="18" t="n">
        <v>4</v>
      </c>
      <c r="I420" s="20" t="n">
        <v>121.53</v>
      </c>
      <c r="J420" s="20" t="n">
        <v>156.31</v>
      </c>
      <c r="K420" s="18" t="n">
        <v>6</v>
      </c>
      <c r="L420" s="18" t="n">
        <v>142</v>
      </c>
      <c r="M420" s="18" t="n">
        <v>360</v>
      </c>
      <c r="N420" s="18" t="n">
        <v>180</v>
      </c>
      <c r="O420" s="14" t="s">
        <v>1097</v>
      </c>
      <c r="P420" s="14" t="s">
        <v>84</v>
      </c>
      <c r="Q420" s="15" t="s">
        <v>1089</v>
      </c>
      <c r="R420" s="16" t="s">
        <v>3600</v>
      </c>
      <c r="S420" s="15" t="s">
        <v>3601</v>
      </c>
      <c r="T420" s="15" t="s">
        <v>3602</v>
      </c>
      <c r="U420" s="21" t="s">
        <v>72</v>
      </c>
    </row>
    <row r="421" customFormat="false" ht="15" hidden="false" customHeight="false" outlineLevel="0" collapsed="false">
      <c r="A421" s="15" t="s">
        <v>1082</v>
      </c>
      <c r="B421" s="15" t="s">
        <v>2916</v>
      </c>
      <c r="C421" s="14" t="s">
        <v>3603</v>
      </c>
      <c r="D421" s="14" t="s">
        <v>3604</v>
      </c>
      <c r="E421" s="16" t="s">
        <v>3605</v>
      </c>
      <c r="F421" s="16" t="s">
        <v>3606</v>
      </c>
      <c r="G421" s="23" t="s">
        <v>43</v>
      </c>
      <c r="H421" s="18" t="n">
        <v>2</v>
      </c>
      <c r="I421" s="20" t="n">
        <v>78.9</v>
      </c>
      <c r="J421" s="20" t="n">
        <v>78.9</v>
      </c>
      <c r="K421" s="18" t="n">
        <v>20</v>
      </c>
      <c r="L421" s="18" t="n">
        <v>148</v>
      </c>
      <c r="M421" s="18" t="n">
        <v>1248</v>
      </c>
      <c r="N421" s="18" t="n">
        <v>130</v>
      </c>
      <c r="O421" s="14" t="s">
        <v>1088</v>
      </c>
      <c r="P421" s="14" t="s">
        <v>84</v>
      </c>
      <c r="Q421" s="15" t="s">
        <v>1089</v>
      </c>
      <c r="R421" s="16" t="s">
        <v>3607</v>
      </c>
      <c r="S421" s="15" t="s">
        <v>3608</v>
      </c>
      <c r="T421" s="15" t="s">
        <v>3609</v>
      </c>
      <c r="U421" s="21" t="s">
        <v>72</v>
      </c>
    </row>
    <row r="422" customFormat="false" ht="26.85" hidden="false" customHeight="false" outlineLevel="0" collapsed="false">
      <c r="A422" s="15" t="s">
        <v>1082</v>
      </c>
      <c r="B422" s="15" t="s">
        <v>2916</v>
      </c>
      <c r="C422" s="14" t="s">
        <v>3610</v>
      </c>
      <c r="D422" s="14" t="s">
        <v>3611</v>
      </c>
      <c r="E422" s="16" t="s">
        <v>3612</v>
      </c>
      <c r="F422" s="16" t="s">
        <v>1812</v>
      </c>
      <c r="G422" s="23" t="s">
        <v>43</v>
      </c>
      <c r="H422" s="18" t="n">
        <v>4</v>
      </c>
      <c r="I422" s="20" t="n">
        <v>94.63</v>
      </c>
      <c r="J422" s="20" t="n">
        <v>182.2</v>
      </c>
      <c r="K422" s="18" t="n">
        <v>4</v>
      </c>
      <c r="L422" s="18" t="n">
        <v>14</v>
      </c>
      <c r="M422" s="18" t="n">
        <v>240</v>
      </c>
      <c r="N422" s="18" t="n">
        <v>240</v>
      </c>
      <c r="O422" s="14" t="s">
        <v>1126</v>
      </c>
      <c r="P422" s="14" t="s">
        <v>84</v>
      </c>
      <c r="Q422" s="15" t="s">
        <v>1089</v>
      </c>
      <c r="R422" s="16" t="s">
        <v>3613</v>
      </c>
      <c r="S422" s="15" t="s">
        <v>3614</v>
      </c>
      <c r="T422" s="15" t="s">
        <v>3615</v>
      </c>
      <c r="U422" s="21" t="s">
        <v>72</v>
      </c>
    </row>
    <row r="423" customFormat="false" ht="15" hidden="false" customHeight="false" outlineLevel="0" collapsed="false">
      <c r="A423" s="15" t="s">
        <v>1082</v>
      </c>
      <c r="B423" s="15" t="s">
        <v>2916</v>
      </c>
      <c r="C423" s="14" t="s">
        <v>3616</v>
      </c>
      <c r="D423" s="14" t="s">
        <v>3617</v>
      </c>
      <c r="E423" s="16" t="s">
        <v>3612</v>
      </c>
      <c r="F423" s="16" t="s">
        <v>1812</v>
      </c>
      <c r="G423" s="23" t="s">
        <v>43</v>
      </c>
      <c r="H423" s="18" t="n">
        <v>3</v>
      </c>
      <c r="I423" s="20" t="n">
        <v>73.39</v>
      </c>
      <c r="J423" s="20" t="n">
        <v>156</v>
      </c>
      <c r="K423" s="18" t="n">
        <v>1</v>
      </c>
      <c r="L423" s="18" t="n">
        <v>16</v>
      </c>
      <c r="M423" s="18" t="n">
        <v>59</v>
      </c>
      <c r="N423" s="18" t="n">
        <v>59</v>
      </c>
      <c r="O423" s="14" t="s">
        <v>1126</v>
      </c>
      <c r="P423" s="14" t="s">
        <v>84</v>
      </c>
      <c r="Q423" s="15" t="s">
        <v>1089</v>
      </c>
      <c r="R423" s="16" t="s">
        <v>3613</v>
      </c>
      <c r="S423" s="15" t="s">
        <v>3614</v>
      </c>
      <c r="T423" s="15" t="s">
        <v>3618</v>
      </c>
      <c r="U423" s="21" t="s">
        <v>72</v>
      </c>
    </row>
    <row r="424" customFormat="false" ht="26.85" hidden="false" customHeight="false" outlineLevel="0" collapsed="false">
      <c r="A424" s="15" t="s">
        <v>1082</v>
      </c>
      <c r="B424" s="15" t="s">
        <v>2916</v>
      </c>
      <c r="C424" s="14" t="s">
        <v>3619</v>
      </c>
      <c r="D424" s="14" t="s">
        <v>3620</v>
      </c>
      <c r="E424" s="16" t="s">
        <v>3621</v>
      </c>
      <c r="F424" s="16" t="s">
        <v>2814</v>
      </c>
      <c r="G424" s="25" t="s">
        <v>39</v>
      </c>
      <c r="H424" s="18" t="n">
        <v>19</v>
      </c>
      <c r="I424" s="20" t="n">
        <v>189.64</v>
      </c>
      <c r="J424" s="20" t="n">
        <v>491.37</v>
      </c>
      <c r="K424" s="18" t="n">
        <v>48</v>
      </c>
      <c r="L424" s="18" t="n">
        <v>69</v>
      </c>
      <c r="M424" s="18" t="n">
        <v>2880</v>
      </c>
      <c r="N424" s="18" t="n">
        <v>720</v>
      </c>
      <c r="O424" s="14" t="s">
        <v>1097</v>
      </c>
      <c r="P424" s="14" t="s">
        <v>84</v>
      </c>
      <c r="Q424" s="15" t="s">
        <v>1089</v>
      </c>
      <c r="R424" s="16" t="s">
        <v>1254</v>
      </c>
      <c r="S424" s="15" t="s">
        <v>3622</v>
      </c>
      <c r="T424" s="15" t="s">
        <v>3623</v>
      </c>
      <c r="U424" s="21" t="s">
        <v>72</v>
      </c>
    </row>
    <row r="425" customFormat="false" ht="15" hidden="false" customHeight="false" outlineLevel="0" collapsed="false">
      <c r="A425" s="15" t="s">
        <v>1082</v>
      </c>
      <c r="B425" s="15" t="s">
        <v>3624</v>
      </c>
      <c r="C425" s="14" t="s">
        <v>3625</v>
      </c>
      <c r="D425" s="14" t="s">
        <v>3626</v>
      </c>
      <c r="E425" s="16" t="s">
        <v>3627</v>
      </c>
      <c r="F425" s="16" t="s">
        <v>2535</v>
      </c>
      <c r="G425" s="23" t="s">
        <v>43</v>
      </c>
      <c r="H425" s="18" t="n">
        <v>4</v>
      </c>
      <c r="I425" s="20" t="n">
        <v>153.09</v>
      </c>
      <c r="J425" s="20" t="n">
        <v>197.08</v>
      </c>
      <c r="K425" s="18" t="n">
        <v>20</v>
      </c>
      <c r="L425" s="18" t="n">
        <v>37</v>
      </c>
      <c r="M425" s="18" t="n">
        <v>400</v>
      </c>
      <c r="N425" s="18" t="n">
        <v>20</v>
      </c>
      <c r="O425" s="14" t="s">
        <v>2125</v>
      </c>
      <c r="P425" s="14" t="s">
        <v>84</v>
      </c>
      <c r="Q425" s="15" t="s">
        <v>1089</v>
      </c>
      <c r="R425" s="16" t="s">
        <v>3628</v>
      </c>
      <c r="S425" s="15" t="s">
        <v>1298</v>
      </c>
      <c r="T425" s="15" t="s">
        <v>3629</v>
      </c>
      <c r="U425" s="21" t="s">
        <v>72</v>
      </c>
    </row>
    <row r="426" customFormat="false" ht="26.85" hidden="false" customHeight="false" outlineLevel="0" collapsed="false">
      <c r="A426" s="15" t="s">
        <v>1082</v>
      </c>
      <c r="B426" s="15" t="s">
        <v>3624</v>
      </c>
      <c r="C426" s="14" t="s">
        <v>3630</v>
      </c>
      <c r="D426" s="14" t="s">
        <v>3631</v>
      </c>
      <c r="E426" s="16" t="s">
        <v>3632</v>
      </c>
      <c r="F426" s="16" t="s">
        <v>3633</v>
      </c>
      <c r="G426" s="19" t="s">
        <v>41</v>
      </c>
      <c r="H426" s="18" t="n">
        <v>6</v>
      </c>
      <c r="I426" s="20" t="n">
        <v>79.15</v>
      </c>
      <c r="J426" s="20" t="n">
        <v>169.08</v>
      </c>
      <c r="K426" s="18" t="n">
        <v>2</v>
      </c>
      <c r="L426" s="18" t="n">
        <v>6</v>
      </c>
      <c r="M426" s="18" t="n">
        <v>52</v>
      </c>
      <c r="N426" s="18" t="n">
        <v>26</v>
      </c>
      <c r="O426" s="14" t="s">
        <v>1088</v>
      </c>
      <c r="P426" s="14" t="s">
        <v>118</v>
      </c>
      <c r="Q426" s="15" t="s">
        <v>1089</v>
      </c>
      <c r="R426" s="16" t="s">
        <v>3634</v>
      </c>
      <c r="S426" s="15" t="s">
        <v>3635</v>
      </c>
      <c r="T426" s="15" t="s">
        <v>3636</v>
      </c>
      <c r="U426" s="21" t="s">
        <v>72</v>
      </c>
    </row>
    <row r="427" customFormat="false" ht="26.85" hidden="false" customHeight="false" outlineLevel="0" collapsed="false">
      <c r="A427" s="15" t="s">
        <v>1082</v>
      </c>
      <c r="B427" s="15" t="s">
        <v>3624</v>
      </c>
      <c r="C427" s="14" t="s">
        <v>3637</v>
      </c>
      <c r="D427" s="14" t="s">
        <v>3638</v>
      </c>
      <c r="E427" s="16" t="s">
        <v>3639</v>
      </c>
      <c r="F427" s="16" t="s">
        <v>1862</v>
      </c>
      <c r="G427" s="23" t="s">
        <v>43</v>
      </c>
      <c r="H427" s="18" t="n">
        <v>4</v>
      </c>
      <c r="I427" s="20" t="n">
        <v>65.37</v>
      </c>
      <c r="J427" s="20" t="n">
        <v>97.64</v>
      </c>
      <c r="K427" s="18" t="n">
        <v>8</v>
      </c>
      <c r="L427" s="18" t="n">
        <v>72</v>
      </c>
      <c r="M427" s="18" t="n">
        <v>136</v>
      </c>
      <c r="N427" s="18" t="n">
        <v>34</v>
      </c>
      <c r="O427" s="14" t="s">
        <v>1097</v>
      </c>
      <c r="P427" s="14" t="s">
        <v>84</v>
      </c>
      <c r="Q427" s="15" t="s">
        <v>1089</v>
      </c>
      <c r="R427" s="16" t="s">
        <v>85</v>
      </c>
      <c r="S427" s="15" t="s">
        <v>3108</v>
      </c>
      <c r="T427" s="15" t="s">
        <v>3640</v>
      </c>
      <c r="U427" s="21" t="s">
        <v>72</v>
      </c>
    </row>
    <row r="428" customFormat="false" ht="26.85" hidden="false" customHeight="false" outlineLevel="0" collapsed="false">
      <c r="A428" s="15" t="s">
        <v>1082</v>
      </c>
      <c r="B428" s="15" t="s">
        <v>3624</v>
      </c>
      <c r="C428" s="14" t="s">
        <v>3641</v>
      </c>
      <c r="D428" s="14" t="s">
        <v>3642</v>
      </c>
      <c r="E428" s="16" t="s">
        <v>3643</v>
      </c>
      <c r="F428" s="16" t="s">
        <v>2476</v>
      </c>
      <c r="G428" s="25" t="s">
        <v>39</v>
      </c>
      <c r="H428" s="18" t="n">
        <v>6</v>
      </c>
      <c r="I428" s="20" t="n">
        <v>111.39</v>
      </c>
      <c r="J428" s="20" t="n">
        <v>476.47</v>
      </c>
      <c r="K428" s="18" t="n">
        <v>24</v>
      </c>
      <c r="L428" s="18" t="n">
        <v>5</v>
      </c>
      <c r="M428" s="18" t="n">
        <v>1440</v>
      </c>
      <c r="N428" s="18" t="n">
        <v>720</v>
      </c>
      <c r="O428" s="14" t="s">
        <v>3644</v>
      </c>
      <c r="P428" s="14" t="s">
        <v>84</v>
      </c>
      <c r="Q428" s="15" t="s">
        <v>1089</v>
      </c>
      <c r="R428" s="16" t="s">
        <v>3645</v>
      </c>
      <c r="S428" s="15" t="s">
        <v>2478</v>
      </c>
      <c r="T428" s="15" t="s">
        <v>3646</v>
      </c>
      <c r="U428" s="21" t="s">
        <v>72</v>
      </c>
    </row>
    <row r="429" customFormat="false" ht="15" hidden="false" customHeight="false" outlineLevel="0" collapsed="false">
      <c r="A429" s="15" t="s">
        <v>1082</v>
      </c>
      <c r="B429" s="15" t="s">
        <v>3624</v>
      </c>
      <c r="C429" s="14" t="s">
        <v>3647</v>
      </c>
      <c r="D429" s="14" t="s">
        <v>3648</v>
      </c>
      <c r="E429" s="16" t="s">
        <v>3649</v>
      </c>
      <c r="F429" s="16" t="s">
        <v>3650</v>
      </c>
      <c r="G429" s="23" t="s">
        <v>43</v>
      </c>
      <c r="H429" s="18" t="n">
        <v>3</v>
      </c>
      <c r="I429" s="20" t="n">
        <v>39.54</v>
      </c>
      <c r="J429" s="20" t="n">
        <v>79.98</v>
      </c>
      <c r="K429" s="18" t="n">
        <v>1</v>
      </c>
      <c r="L429" s="18" t="n">
        <v>3</v>
      </c>
      <c r="M429" s="18" t="n">
        <v>18</v>
      </c>
      <c r="N429" s="18" t="n">
        <v>18</v>
      </c>
      <c r="O429" s="14" t="s">
        <v>1097</v>
      </c>
      <c r="P429" s="14" t="s">
        <v>84</v>
      </c>
      <c r="Q429" s="15" t="s">
        <v>1089</v>
      </c>
      <c r="R429" s="16" t="s">
        <v>3651</v>
      </c>
      <c r="S429" s="15" t="s">
        <v>3652</v>
      </c>
      <c r="T429" s="15" t="s">
        <v>3653</v>
      </c>
      <c r="U429" s="21" t="s">
        <v>72</v>
      </c>
    </row>
    <row r="430" customFormat="false" ht="15" hidden="false" customHeight="false" outlineLevel="0" collapsed="false">
      <c r="A430" s="15" t="s">
        <v>1082</v>
      </c>
      <c r="B430" s="15" t="s">
        <v>3624</v>
      </c>
      <c r="C430" s="14" t="s">
        <v>3654</v>
      </c>
      <c r="D430" s="14" t="s">
        <v>3655</v>
      </c>
      <c r="E430" s="16" t="s">
        <v>3656</v>
      </c>
      <c r="F430" s="16" t="s">
        <v>3657</v>
      </c>
      <c r="G430" s="23" t="s">
        <v>43</v>
      </c>
      <c r="H430" s="18" t="n">
        <v>3</v>
      </c>
      <c r="I430" s="20" t="n">
        <v>44.7</v>
      </c>
      <c r="J430" s="20" t="n">
        <v>89.96</v>
      </c>
      <c r="K430" s="18" t="n">
        <v>3</v>
      </c>
      <c r="L430" s="18"/>
      <c r="M430" s="18" t="n">
        <v>90</v>
      </c>
      <c r="N430" s="18" t="n">
        <v>90</v>
      </c>
      <c r="O430" s="14" t="s">
        <v>1097</v>
      </c>
      <c r="P430" s="14" t="s">
        <v>84</v>
      </c>
      <c r="Q430" s="15" t="s">
        <v>1089</v>
      </c>
      <c r="R430" s="16" t="s">
        <v>1261</v>
      </c>
      <c r="S430" s="15" t="s">
        <v>3658</v>
      </c>
      <c r="T430" s="15" t="s">
        <v>3658</v>
      </c>
      <c r="U430" s="21" t="s">
        <v>72</v>
      </c>
    </row>
    <row r="431" customFormat="false" ht="15" hidden="false" customHeight="false" outlineLevel="0" collapsed="false">
      <c r="A431" s="15" t="s">
        <v>1082</v>
      </c>
      <c r="B431" s="15" t="s">
        <v>3624</v>
      </c>
      <c r="C431" s="14" t="s">
        <v>3659</v>
      </c>
      <c r="D431" s="14" t="s">
        <v>3660</v>
      </c>
      <c r="E431" s="16" t="s">
        <v>3661</v>
      </c>
      <c r="F431" s="16" t="s">
        <v>3662</v>
      </c>
      <c r="G431" s="23" t="s">
        <v>43</v>
      </c>
      <c r="H431" s="18" t="n">
        <v>3</v>
      </c>
      <c r="I431" s="20" t="n">
        <v>31.05</v>
      </c>
      <c r="J431" s="20" t="n">
        <v>84.39</v>
      </c>
      <c r="K431" s="18" t="n">
        <v>1</v>
      </c>
      <c r="L431" s="18" t="n">
        <v>4</v>
      </c>
      <c r="M431" s="18" t="n">
        <v>20</v>
      </c>
      <c r="N431" s="18" t="n">
        <v>20</v>
      </c>
      <c r="O431" s="14" t="s">
        <v>1088</v>
      </c>
      <c r="P431" s="14" t="s">
        <v>84</v>
      </c>
      <c r="Q431" s="15" t="s">
        <v>1089</v>
      </c>
      <c r="R431" s="16" t="s">
        <v>1890</v>
      </c>
      <c r="S431" s="15" t="s">
        <v>3663</v>
      </c>
      <c r="T431" s="15" t="s">
        <v>3663</v>
      </c>
      <c r="U431" s="21" t="s">
        <v>72</v>
      </c>
    </row>
    <row r="432" customFormat="false" ht="15" hidden="false" customHeight="false" outlineLevel="0" collapsed="false">
      <c r="A432" s="15" t="s">
        <v>1082</v>
      </c>
      <c r="B432" s="15" t="s">
        <v>3624</v>
      </c>
      <c r="C432" s="14" t="s">
        <v>3664</v>
      </c>
      <c r="D432" s="14" t="s">
        <v>3665</v>
      </c>
      <c r="E432" s="16" t="s">
        <v>3666</v>
      </c>
      <c r="F432" s="16"/>
      <c r="G432" s="23" t="s">
        <v>43</v>
      </c>
      <c r="H432" s="18" t="n">
        <v>3</v>
      </c>
      <c r="I432" s="20" t="n">
        <v>47.49</v>
      </c>
      <c r="J432" s="20" t="n">
        <v>88.71</v>
      </c>
      <c r="K432" s="18" t="n">
        <v>7</v>
      </c>
      <c r="L432" s="18" t="n">
        <v>3</v>
      </c>
      <c r="M432" s="18" t="n">
        <v>140</v>
      </c>
      <c r="N432" s="18" t="n">
        <v>20</v>
      </c>
      <c r="O432" s="14" t="s">
        <v>1088</v>
      </c>
      <c r="P432" s="14" t="s">
        <v>84</v>
      </c>
      <c r="Q432" s="15" t="s">
        <v>1089</v>
      </c>
      <c r="R432" s="16" t="s">
        <v>3667</v>
      </c>
      <c r="S432" s="15" t="s">
        <v>3668</v>
      </c>
      <c r="T432" s="15" t="s">
        <v>3669</v>
      </c>
      <c r="U432" s="21" t="s">
        <v>72</v>
      </c>
    </row>
    <row r="433" customFormat="false" ht="15" hidden="false" customHeight="false" outlineLevel="0" collapsed="false">
      <c r="A433" s="15" t="s">
        <v>1082</v>
      </c>
      <c r="B433" s="15" t="s">
        <v>3624</v>
      </c>
      <c r="C433" s="14" t="s">
        <v>3670</v>
      </c>
      <c r="D433" s="14" t="s">
        <v>3671</v>
      </c>
      <c r="E433" s="16" t="s">
        <v>3672</v>
      </c>
      <c r="F433" s="16" t="s">
        <v>3673</v>
      </c>
      <c r="G433" s="23" t="s">
        <v>43</v>
      </c>
      <c r="H433" s="18" t="n">
        <v>3</v>
      </c>
      <c r="I433" s="20" t="n">
        <v>47.41</v>
      </c>
      <c r="J433" s="20" t="n">
        <v>83.97</v>
      </c>
      <c r="K433" s="18" t="n">
        <v>12</v>
      </c>
      <c r="L433" s="18" t="n">
        <v>5</v>
      </c>
      <c r="M433" s="18" t="n">
        <v>468</v>
      </c>
      <c r="N433" s="18" t="n">
        <v>156</v>
      </c>
      <c r="O433" s="14" t="s">
        <v>1088</v>
      </c>
      <c r="P433" s="14" t="s">
        <v>118</v>
      </c>
      <c r="Q433" s="15" t="s">
        <v>1089</v>
      </c>
      <c r="R433" s="16" t="s">
        <v>1884</v>
      </c>
      <c r="S433" s="15" t="s">
        <v>3674</v>
      </c>
      <c r="T433" s="15" t="s">
        <v>3674</v>
      </c>
      <c r="U433" s="21" t="s">
        <v>72</v>
      </c>
    </row>
    <row r="434" customFormat="false" ht="15" hidden="false" customHeight="false" outlineLevel="0" collapsed="false">
      <c r="A434" s="15" t="s">
        <v>1082</v>
      </c>
      <c r="B434" s="15" t="s">
        <v>3624</v>
      </c>
      <c r="C434" s="14" t="s">
        <v>3675</v>
      </c>
      <c r="D434" s="14" t="s">
        <v>3676</v>
      </c>
      <c r="E434" s="16" t="s">
        <v>3677</v>
      </c>
      <c r="F434" s="16" t="s">
        <v>3678</v>
      </c>
      <c r="G434" s="23" t="s">
        <v>43</v>
      </c>
      <c r="H434" s="18" t="n">
        <v>3</v>
      </c>
      <c r="I434" s="20" t="n">
        <v>44.19</v>
      </c>
      <c r="J434" s="20" t="n">
        <v>80.71</v>
      </c>
      <c r="K434" s="18" t="n">
        <v>5</v>
      </c>
      <c r="L434" s="18" t="n">
        <v>4</v>
      </c>
      <c r="M434" s="18" t="n">
        <v>50</v>
      </c>
      <c r="N434" s="18" t="n">
        <v>10</v>
      </c>
      <c r="O434" s="14" t="s">
        <v>1097</v>
      </c>
      <c r="P434" s="14" t="s">
        <v>84</v>
      </c>
      <c r="Q434" s="15" t="s">
        <v>1089</v>
      </c>
      <c r="R434" s="16" t="s">
        <v>2891</v>
      </c>
      <c r="S434" s="15" t="s">
        <v>3679</v>
      </c>
      <c r="T434" s="15" t="s">
        <v>3680</v>
      </c>
      <c r="U434" s="21" t="s">
        <v>72</v>
      </c>
    </row>
    <row r="435" customFormat="false" ht="15" hidden="false" customHeight="false" outlineLevel="0" collapsed="false">
      <c r="A435" s="15" t="s">
        <v>1082</v>
      </c>
      <c r="B435" s="15" t="s">
        <v>3624</v>
      </c>
      <c r="C435" s="14" t="s">
        <v>3681</v>
      </c>
      <c r="D435" s="14" t="s">
        <v>3682</v>
      </c>
      <c r="E435" s="16" t="s">
        <v>3677</v>
      </c>
      <c r="F435" s="16" t="s">
        <v>3678</v>
      </c>
      <c r="G435" s="23" t="s">
        <v>43</v>
      </c>
      <c r="H435" s="18" t="n">
        <v>3</v>
      </c>
      <c r="I435" s="20" t="n">
        <v>40.43</v>
      </c>
      <c r="J435" s="20" t="n">
        <v>80</v>
      </c>
      <c r="K435" s="18" t="n">
        <v>15</v>
      </c>
      <c r="L435" s="18" t="n">
        <v>5</v>
      </c>
      <c r="M435" s="18" t="n">
        <v>495</v>
      </c>
      <c r="N435" s="18" t="n">
        <v>99</v>
      </c>
      <c r="O435" s="14" t="s">
        <v>1097</v>
      </c>
      <c r="P435" s="14" t="s">
        <v>118</v>
      </c>
      <c r="Q435" s="15" t="s">
        <v>1089</v>
      </c>
      <c r="R435" s="16" t="s">
        <v>3683</v>
      </c>
      <c r="S435" s="15" t="s">
        <v>3679</v>
      </c>
      <c r="T435" s="15" t="s">
        <v>3684</v>
      </c>
      <c r="U435" s="21" t="s">
        <v>72</v>
      </c>
    </row>
    <row r="436" customFormat="false" ht="15" hidden="false" customHeight="false" outlineLevel="0" collapsed="false">
      <c r="A436" s="15" t="s">
        <v>1082</v>
      </c>
      <c r="B436" s="15" t="s">
        <v>3624</v>
      </c>
      <c r="C436" s="14" t="s">
        <v>3685</v>
      </c>
      <c r="D436" s="14" t="s">
        <v>3686</v>
      </c>
      <c r="E436" s="16" t="s">
        <v>3687</v>
      </c>
      <c r="F436" s="16" t="s">
        <v>3688</v>
      </c>
      <c r="G436" s="23" t="s">
        <v>43</v>
      </c>
      <c r="H436" s="18" t="n">
        <v>2</v>
      </c>
      <c r="I436" s="20" t="n">
        <v>31.14</v>
      </c>
      <c r="J436" s="20" t="n">
        <v>77.12</v>
      </c>
      <c r="K436" s="18" t="n">
        <v>3</v>
      </c>
      <c r="L436" s="18" t="n">
        <v>1</v>
      </c>
      <c r="M436" s="18" t="n">
        <v>19</v>
      </c>
      <c r="N436" s="18" t="n">
        <v>7</v>
      </c>
      <c r="O436" s="14" t="s">
        <v>1088</v>
      </c>
      <c r="P436" s="14" t="s">
        <v>118</v>
      </c>
      <c r="Q436" s="15" t="s">
        <v>1089</v>
      </c>
      <c r="R436" s="16" t="s">
        <v>3689</v>
      </c>
      <c r="S436" s="15" t="s">
        <v>3690</v>
      </c>
      <c r="T436" s="15" t="s">
        <v>3690</v>
      </c>
      <c r="U436" s="21" t="s">
        <v>72</v>
      </c>
    </row>
    <row r="437" customFormat="false" ht="15" hidden="false" customHeight="false" outlineLevel="0" collapsed="false">
      <c r="A437" s="15" t="s">
        <v>1082</v>
      </c>
      <c r="B437" s="15" t="s">
        <v>3624</v>
      </c>
      <c r="C437" s="14" t="s">
        <v>3691</v>
      </c>
      <c r="D437" s="14" t="s">
        <v>3692</v>
      </c>
      <c r="E437" s="16" t="s">
        <v>3693</v>
      </c>
      <c r="F437" s="16" t="s">
        <v>3694</v>
      </c>
      <c r="G437" s="19" t="s">
        <v>41</v>
      </c>
      <c r="H437" s="18" t="n">
        <v>7</v>
      </c>
      <c r="I437" s="20" t="n">
        <v>125.55</v>
      </c>
      <c r="J437" s="20" t="n">
        <v>222.52</v>
      </c>
      <c r="K437" s="18" t="n">
        <v>25</v>
      </c>
      <c r="L437" s="18" t="n">
        <v>9</v>
      </c>
      <c r="M437" s="18" t="n">
        <v>1500</v>
      </c>
      <c r="N437" s="18" t="n">
        <v>300</v>
      </c>
      <c r="O437" s="14" t="s">
        <v>1126</v>
      </c>
      <c r="P437" s="14" t="s">
        <v>84</v>
      </c>
      <c r="Q437" s="15" t="s">
        <v>1089</v>
      </c>
      <c r="R437" s="16" t="s">
        <v>1739</v>
      </c>
      <c r="S437" s="15" t="s">
        <v>3695</v>
      </c>
      <c r="T437" s="15" t="s">
        <v>3696</v>
      </c>
      <c r="U437" s="21" t="s">
        <v>72</v>
      </c>
    </row>
    <row r="438" customFormat="false" ht="15" hidden="false" customHeight="false" outlineLevel="0" collapsed="false">
      <c r="A438" s="15" t="s">
        <v>1082</v>
      </c>
      <c r="B438" s="15" t="s">
        <v>3624</v>
      </c>
      <c r="C438" s="14" t="s">
        <v>3697</v>
      </c>
      <c r="D438" s="14" t="s">
        <v>3698</v>
      </c>
      <c r="E438" s="16" t="s">
        <v>3699</v>
      </c>
      <c r="F438" s="16" t="s">
        <v>3700</v>
      </c>
      <c r="G438" s="23" t="s">
        <v>43</v>
      </c>
      <c r="H438" s="18" t="n">
        <v>3</v>
      </c>
      <c r="I438" s="20" t="n">
        <v>37.59</v>
      </c>
      <c r="J438" s="20" t="n">
        <v>82.51</v>
      </c>
      <c r="K438" s="18" t="n">
        <v>7</v>
      </c>
      <c r="L438" s="18" t="n">
        <v>3</v>
      </c>
      <c r="M438" s="18" t="n">
        <v>105</v>
      </c>
      <c r="N438" s="18" t="n">
        <v>15</v>
      </c>
      <c r="O438" s="14" t="s">
        <v>1097</v>
      </c>
      <c r="P438" s="14" t="s">
        <v>84</v>
      </c>
      <c r="Q438" s="15" t="s">
        <v>1089</v>
      </c>
      <c r="R438" s="16" t="s">
        <v>3701</v>
      </c>
      <c r="S438" s="15" t="s">
        <v>3702</v>
      </c>
      <c r="T438" s="15" t="s">
        <v>3702</v>
      </c>
      <c r="U438" s="21" t="s">
        <v>72</v>
      </c>
    </row>
    <row r="439" customFormat="false" ht="15" hidden="false" customHeight="false" outlineLevel="0" collapsed="false">
      <c r="A439" s="15" t="s">
        <v>1082</v>
      </c>
      <c r="B439" s="15" t="s">
        <v>3624</v>
      </c>
      <c r="C439" s="14" t="s">
        <v>3703</v>
      </c>
      <c r="D439" s="14" t="s">
        <v>3704</v>
      </c>
      <c r="E439" s="16" t="s">
        <v>3705</v>
      </c>
      <c r="F439" s="16" t="s">
        <v>3706</v>
      </c>
      <c r="G439" s="23" t="s">
        <v>43</v>
      </c>
      <c r="H439" s="18" t="n">
        <v>2</v>
      </c>
      <c r="I439" s="20" t="n">
        <v>34.99</v>
      </c>
      <c r="J439" s="20" t="n">
        <v>92.2</v>
      </c>
      <c r="K439" s="18" t="n">
        <v>9</v>
      </c>
      <c r="L439" s="18" t="n">
        <v>6</v>
      </c>
      <c r="M439" s="18" t="n">
        <v>261</v>
      </c>
      <c r="N439" s="18" t="n">
        <v>87</v>
      </c>
      <c r="O439" s="14" t="s">
        <v>1097</v>
      </c>
      <c r="P439" s="14" t="s">
        <v>118</v>
      </c>
      <c r="Q439" s="15" t="s">
        <v>1089</v>
      </c>
      <c r="R439" s="16" t="s">
        <v>1340</v>
      </c>
      <c r="S439" s="15" t="s">
        <v>3707</v>
      </c>
      <c r="T439" s="15" t="s">
        <v>3708</v>
      </c>
      <c r="U439" s="21" t="s">
        <v>72</v>
      </c>
    </row>
    <row r="440" customFormat="false" ht="15" hidden="false" customHeight="false" outlineLevel="0" collapsed="false">
      <c r="A440" s="15" t="s">
        <v>1082</v>
      </c>
      <c r="B440" s="15" t="s">
        <v>3624</v>
      </c>
      <c r="C440" s="14" t="s">
        <v>3709</v>
      </c>
      <c r="D440" s="14" t="s">
        <v>3710</v>
      </c>
      <c r="E440" s="16" t="s">
        <v>3711</v>
      </c>
      <c r="F440" s="16" t="s">
        <v>3712</v>
      </c>
      <c r="G440" s="19" t="s">
        <v>41</v>
      </c>
      <c r="H440" s="18" t="n">
        <v>5</v>
      </c>
      <c r="I440" s="20" t="n">
        <v>98.17</v>
      </c>
      <c r="J440" s="20" t="n">
        <v>189.6</v>
      </c>
      <c r="K440" s="18" t="n">
        <v>5</v>
      </c>
      <c r="L440" s="18" t="n">
        <v>13</v>
      </c>
      <c r="M440" s="18" t="n">
        <v>300</v>
      </c>
      <c r="N440" s="18" t="n">
        <v>300</v>
      </c>
      <c r="O440" s="14" t="s">
        <v>1088</v>
      </c>
      <c r="P440" s="14" t="s">
        <v>84</v>
      </c>
      <c r="Q440" s="15" t="s">
        <v>1089</v>
      </c>
      <c r="R440" s="16" t="s">
        <v>3713</v>
      </c>
      <c r="S440" s="15" t="s">
        <v>3714</v>
      </c>
      <c r="T440" s="15" t="s">
        <v>3715</v>
      </c>
      <c r="U440" s="21" t="s">
        <v>72</v>
      </c>
    </row>
    <row r="441" customFormat="false" ht="15" hidden="false" customHeight="false" outlineLevel="0" collapsed="false">
      <c r="A441" s="15" t="s">
        <v>1082</v>
      </c>
      <c r="B441" s="15" t="s">
        <v>3624</v>
      </c>
      <c r="C441" s="14" t="s">
        <v>3716</v>
      </c>
      <c r="D441" s="14" t="s">
        <v>3717</v>
      </c>
      <c r="E441" s="16" t="s">
        <v>3718</v>
      </c>
      <c r="F441" s="16"/>
      <c r="G441" s="23" t="s">
        <v>43</v>
      </c>
      <c r="H441" s="18" t="n">
        <v>3</v>
      </c>
      <c r="I441" s="20" t="n">
        <v>51.3</v>
      </c>
      <c r="J441" s="20" t="n">
        <v>124.88</v>
      </c>
      <c r="K441" s="18" t="n">
        <v>1</v>
      </c>
      <c r="L441" s="18" t="n">
        <v>1</v>
      </c>
      <c r="M441" s="18" t="n">
        <v>10</v>
      </c>
      <c r="N441" s="18" t="n">
        <v>10</v>
      </c>
      <c r="O441" s="14" t="s">
        <v>1126</v>
      </c>
      <c r="P441" s="14" t="s">
        <v>84</v>
      </c>
      <c r="Q441" s="15" t="s">
        <v>1089</v>
      </c>
      <c r="R441" s="16" t="s">
        <v>2593</v>
      </c>
      <c r="S441" s="15" t="s">
        <v>3719</v>
      </c>
      <c r="T441" s="15" t="s">
        <v>3719</v>
      </c>
      <c r="U441" s="21" t="s">
        <v>72</v>
      </c>
    </row>
    <row r="442" customFormat="false" ht="15" hidden="false" customHeight="false" outlineLevel="0" collapsed="false">
      <c r="A442" s="15" t="s">
        <v>1082</v>
      </c>
      <c r="B442" s="15" t="s">
        <v>3624</v>
      </c>
      <c r="C442" s="14" t="s">
        <v>3720</v>
      </c>
      <c r="D442" s="14" t="s">
        <v>3721</v>
      </c>
      <c r="E442" s="16" t="s">
        <v>3722</v>
      </c>
      <c r="F442" s="16" t="s">
        <v>3723</v>
      </c>
      <c r="G442" s="23" t="s">
        <v>43</v>
      </c>
      <c r="H442" s="18" t="n">
        <v>4</v>
      </c>
      <c r="I442" s="20" t="n">
        <v>105.12</v>
      </c>
      <c r="J442" s="20" t="n">
        <v>149.34</v>
      </c>
      <c r="K442" s="18" t="n">
        <v>8</v>
      </c>
      <c r="L442" s="18" t="n">
        <v>8</v>
      </c>
      <c r="M442" s="18" t="n">
        <v>80</v>
      </c>
      <c r="N442" s="18" t="n">
        <v>20</v>
      </c>
      <c r="O442" s="14" t="s">
        <v>3724</v>
      </c>
      <c r="P442" s="14" t="s">
        <v>84</v>
      </c>
      <c r="Q442" s="15" t="s">
        <v>1089</v>
      </c>
      <c r="R442" s="16" t="s">
        <v>1869</v>
      </c>
      <c r="S442" s="15" t="s">
        <v>3725</v>
      </c>
      <c r="T442" s="15" t="s">
        <v>3725</v>
      </c>
      <c r="U442" s="21" t="s">
        <v>72</v>
      </c>
    </row>
    <row r="443" customFormat="false" ht="15" hidden="false" customHeight="false" outlineLevel="0" collapsed="false">
      <c r="A443" s="15" t="s">
        <v>1082</v>
      </c>
      <c r="B443" s="15" t="s">
        <v>3624</v>
      </c>
      <c r="C443" s="14" t="s">
        <v>3726</v>
      </c>
      <c r="D443" s="14" t="s">
        <v>3727</v>
      </c>
      <c r="E443" s="16" t="s">
        <v>3728</v>
      </c>
      <c r="F443" s="16" t="s">
        <v>3729</v>
      </c>
      <c r="G443" s="23" t="s">
        <v>43</v>
      </c>
      <c r="H443" s="18" t="n">
        <v>3</v>
      </c>
      <c r="I443" s="20" t="n">
        <v>70.3</v>
      </c>
      <c r="J443" s="20" t="n">
        <v>122.62</v>
      </c>
      <c r="K443" s="18" t="n">
        <v>10</v>
      </c>
      <c r="L443" s="18" t="n">
        <v>9</v>
      </c>
      <c r="M443" s="18" t="n">
        <v>580</v>
      </c>
      <c r="N443" s="18" t="n">
        <v>116</v>
      </c>
      <c r="O443" s="14" t="s">
        <v>1088</v>
      </c>
      <c r="P443" s="14" t="s">
        <v>84</v>
      </c>
      <c r="Q443" s="15" t="s">
        <v>1089</v>
      </c>
      <c r="R443" s="16" t="s">
        <v>1739</v>
      </c>
      <c r="S443" s="15" t="s">
        <v>3730</v>
      </c>
      <c r="T443" s="15" t="s">
        <v>3731</v>
      </c>
      <c r="U443" s="21" t="s">
        <v>72</v>
      </c>
    </row>
    <row r="444" customFormat="false" ht="15" hidden="false" customHeight="false" outlineLevel="0" collapsed="false">
      <c r="A444" s="15" t="s">
        <v>1082</v>
      </c>
      <c r="B444" s="15" t="s">
        <v>3624</v>
      </c>
      <c r="C444" s="14" t="s">
        <v>3732</v>
      </c>
      <c r="D444" s="14" t="s">
        <v>3733</v>
      </c>
      <c r="E444" s="16" t="s">
        <v>3734</v>
      </c>
      <c r="F444" s="16" t="s">
        <v>3735</v>
      </c>
      <c r="G444" s="19" t="s">
        <v>41</v>
      </c>
      <c r="H444" s="18" t="n">
        <v>7</v>
      </c>
      <c r="I444" s="20" t="n">
        <v>108.1</v>
      </c>
      <c r="J444" s="20" t="n">
        <v>178.82</v>
      </c>
      <c r="K444" s="18" t="n">
        <v>9</v>
      </c>
      <c r="L444" s="18" t="n">
        <v>11</v>
      </c>
      <c r="M444" s="18" t="n">
        <v>522</v>
      </c>
      <c r="N444" s="18" t="n">
        <v>174</v>
      </c>
      <c r="O444" s="14" t="s">
        <v>1088</v>
      </c>
      <c r="P444" s="14" t="s">
        <v>118</v>
      </c>
      <c r="Q444" s="15" t="s">
        <v>1089</v>
      </c>
      <c r="R444" s="16" t="s">
        <v>2614</v>
      </c>
      <c r="S444" s="15" t="s">
        <v>3736</v>
      </c>
      <c r="T444" s="15" t="s">
        <v>3736</v>
      </c>
      <c r="U444" s="21" t="s">
        <v>72</v>
      </c>
    </row>
    <row r="445" customFormat="false" ht="15" hidden="false" customHeight="false" outlineLevel="0" collapsed="false">
      <c r="A445" s="15" t="s">
        <v>1082</v>
      </c>
      <c r="B445" s="15" t="s">
        <v>3624</v>
      </c>
      <c r="C445" s="14" t="s">
        <v>3737</v>
      </c>
      <c r="D445" s="14" t="s">
        <v>3738</v>
      </c>
      <c r="E445" s="16" t="s">
        <v>3739</v>
      </c>
      <c r="F445" s="16" t="s">
        <v>3740</v>
      </c>
      <c r="G445" s="23" t="s">
        <v>43</v>
      </c>
      <c r="H445" s="18" t="n">
        <v>4</v>
      </c>
      <c r="I445" s="20" t="n">
        <v>98</v>
      </c>
      <c r="J445" s="20" t="n">
        <v>172.96</v>
      </c>
      <c r="K445" s="18" t="n">
        <v>20</v>
      </c>
      <c r="L445" s="18" t="n">
        <v>4</v>
      </c>
      <c r="M445" s="18" t="n">
        <v>1200</v>
      </c>
      <c r="N445" s="18" t="n">
        <v>240</v>
      </c>
      <c r="O445" s="14" t="s">
        <v>1126</v>
      </c>
      <c r="P445" s="14" t="s">
        <v>84</v>
      </c>
      <c r="Q445" s="15" t="s">
        <v>1089</v>
      </c>
      <c r="R445" s="16" t="s">
        <v>2271</v>
      </c>
      <c r="S445" s="15" t="s">
        <v>3741</v>
      </c>
      <c r="T445" s="15" t="s">
        <v>3742</v>
      </c>
      <c r="U445" s="21" t="s">
        <v>72</v>
      </c>
    </row>
    <row r="446" customFormat="false" ht="15" hidden="false" customHeight="false" outlineLevel="0" collapsed="false">
      <c r="A446" s="15" t="s">
        <v>1082</v>
      </c>
      <c r="B446" s="15" t="s">
        <v>3624</v>
      </c>
      <c r="C446" s="14" t="s">
        <v>3743</v>
      </c>
      <c r="D446" s="14" t="s">
        <v>3744</v>
      </c>
      <c r="E446" s="16" t="s">
        <v>3745</v>
      </c>
      <c r="F446" s="16" t="s">
        <v>3746</v>
      </c>
      <c r="G446" s="23" t="s">
        <v>43</v>
      </c>
      <c r="H446" s="18" t="n">
        <v>3</v>
      </c>
      <c r="I446" s="20" t="n">
        <v>54.61</v>
      </c>
      <c r="J446" s="20" t="n">
        <v>76.17</v>
      </c>
      <c r="K446" s="18" t="n">
        <v>8</v>
      </c>
      <c r="L446" s="18" t="n">
        <v>5</v>
      </c>
      <c r="M446" s="18" t="n">
        <v>160</v>
      </c>
      <c r="N446" s="18" t="n">
        <v>40</v>
      </c>
      <c r="O446" s="14" t="s">
        <v>1126</v>
      </c>
      <c r="P446" s="14" t="s">
        <v>84</v>
      </c>
      <c r="Q446" s="15" t="s">
        <v>1089</v>
      </c>
      <c r="R446" s="16" t="s">
        <v>3747</v>
      </c>
      <c r="S446" s="15" t="s">
        <v>3748</v>
      </c>
      <c r="T446" s="15" t="s">
        <v>3749</v>
      </c>
      <c r="U446" s="21" t="s">
        <v>72</v>
      </c>
    </row>
    <row r="447" customFormat="false" ht="39.55" hidden="false" customHeight="false" outlineLevel="0" collapsed="false">
      <c r="A447" s="15" t="s">
        <v>1082</v>
      </c>
      <c r="B447" s="15" t="s">
        <v>3624</v>
      </c>
      <c r="C447" s="14" t="s">
        <v>3750</v>
      </c>
      <c r="D447" s="14" t="s">
        <v>3751</v>
      </c>
      <c r="E447" s="16" t="s">
        <v>3752</v>
      </c>
      <c r="F447" s="16" t="s">
        <v>3753</v>
      </c>
      <c r="G447" s="23" t="s">
        <v>43</v>
      </c>
      <c r="H447" s="18" t="n">
        <v>2</v>
      </c>
      <c r="I447" s="20" t="n">
        <v>34.6</v>
      </c>
      <c r="J447" s="20" t="n">
        <v>78.51</v>
      </c>
      <c r="K447" s="18" t="n">
        <v>10</v>
      </c>
      <c r="L447" s="18" t="n">
        <v>4</v>
      </c>
      <c r="M447" s="18" t="n">
        <v>330</v>
      </c>
      <c r="N447" s="18" t="n">
        <v>66</v>
      </c>
      <c r="O447" s="14" t="s">
        <v>1126</v>
      </c>
      <c r="P447" s="14" t="s">
        <v>952</v>
      </c>
      <c r="Q447" s="15" t="s">
        <v>1089</v>
      </c>
      <c r="R447" s="16" t="s">
        <v>2419</v>
      </c>
      <c r="S447" s="15" t="s">
        <v>3754</v>
      </c>
      <c r="T447" s="15" t="s">
        <v>3754</v>
      </c>
      <c r="U447" s="21" t="s">
        <v>72</v>
      </c>
    </row>
    <row r="448" customFormat="false" ht="15" hidden="false" customHeight="false" outlineLevel="0" collapsed="false">
      <c r="A448" s="15" t="s">
        <v>1082</v>
      </c>
      <c r="B448" s="15" t="s">
        <v>3624</v>
      </c>
      <c r="C448" s="14" t="s">
        <v>3755</v>
      </c>
      <c r="D448" s="14" t="s">
        <v>3756</v>
      </c>
      <c r="E448" s="16" t="s">
        <v>3757</v>
      </c>
      <c r="F448" s="16" t="s">
        <v>3758</v>
      </c>
      <c r="G448" s="23" t="s">
        <v>43</v>
      </c>
      <c r="H448" s="18" t="n">
        <v>2</v>
      </c>
      <c r="I448" s="20" t="n">
        <v>39.73</v>
      </c>
      <c r="J448" s="20" t="n">
        <v>83.18</v>
      </c>
      <c r="K448" s="18" t="n">
        <v>1</v>
      </c>
      <c r="L448" s="18" t="n">
        <v>2</v>
      </c>
      <c r="M448" s="18" t="n">
        <v>30</v>
      </c>
      <c r="N448" s="18" t="n">
        <v>30</v>
      </c>
      <c r="O448" s="14" t="s">
        <v>1097</v>
      </c>
      <c r="P448" s="14" t="s">
        <v>84</v>
      </c>
      <c r="Q448" s="15" t="s">
        <v>1089</v>
      </c>
      <c r="R448" s="16" t="s">
        <v>3759</v>
      </c>
      <c r="S448" s="15" t="s">
        <v>3760</v>
      </c>
      <c r="T448" s="15" t="s">
        <v>3761</v>
      </c>
      <c r="U448" s="21" t="s">
        <v>72</v>
      </c>
    </row>
    <row r="449" customFormat="false" ht="15" hidden="false" customHeight="false" outlineLevel="0" collapsed="false">
      <c r="A449" s="15" t="s">
        <v>1082</v>
      </c>
      <c r="B449" s="15" t="s">
        <v>3624</v>
      </c>
      <c r="C449" s="14" t="s">
        <v>3762</v>
      </c>
      <c r="D449" s="14" t="s">
        <v>3763</v>
      </c>
      <c r="E449" s="16" t="s">
        <v>3764</v>
      </c>
      <c r="F449" s="16" t="s">
        <v>3765</v>
      </c>
      <c r="G449" s="19" t="s">
        <v>41</v>
      </c>
      <c r="H449" s="18" t="n">
        <v>5</v>
      </c>
      <c r="I449" s="20" t="n">
        <v>97.82</v>
      </c>
      <c r="J449" s="20" t="n">
        <v>194.91</v>
      </c>
      <c r="K449" s="18" t="n">
        <v>2</v>
      </c>
      <c r="L449" s="18" t="n">
        <v>3</v>
      </c>
      <c r="M449" s="18" t="n">
        <v>60</v>
      </c>
      <c r="N449" s="18" t="n">
        <v>60</v>
      </c>
      <c r="O449" s="14" t="s">
        <v>1097</v>
      </c>
      <c r="P449" s="14" t="s">
        <v>84</v>
      </c>
      <c r="Q449" s="15" t="s">
        <v>1089</v>
      </c>
      <c r="R449" s="16" t="s">
        <v>3766</v>
      </c>
      <c r="S449" s="15" t="s">
        <v>3767</v>
      </c>
      <c r="T449" s="15" t="s">
        <v>3768</v>
      </c>
      <c r="U449" s="21" t="s">
        <v>72</v>
      </c>
    </row>
    <row r="450" customFormat="false" ht="15" hidden="false" customHeight="false" outlineLevel="0" collapsed="false">
      <c r="A450" s="15" t="s">
        <v>1082</v>
      </c>
      <c r="B450" s="15" t="s">
        <v>3624</v>
      </c>
      <c r="C450" s="14" t="s">
        <v>3769</v>
      </c>
      <c r="D450" s="14" t="s">
        <v>3770</v>
      </c>
      <c r="E450" s="16" t="s">
        <v>3771</v>
      </c>
      <c r="F450" s="16" t="s">
        <v>3772</v>
      </c>
      <c r="G450" s="23" t="s">
        <v>43</v>
      </c>
      <c r="H450" s="18" t="n">
        <v>4</v>
      </c>
      <c r="I450" s="20" t="n">
        <v>148.68</v>
      </c>
      <c r="J450" s="20" t="n">
        <v>186.21</v>
      </c>
      <c r="K450" s="18" t="n">
        <v>3</v>
      </c>
      <c r="L450" s="18" t="n">
        <v>28</v>
      </c>
      <c r="M450" s="18" t="n">
        <v>180</v>
      </c>
      <c r="N450" s="18" t="n">
        <v>180</v>
      </c>
      <c r="O450" s="14" t="s">
        <v>1097</v>
      </c>
      <c r="P450" s="14" t="s">
        <v>84</v>
      </c>
      <c r="Q450" s="15" t="s">
        <v>1089</v>
      </c>
      <c r="R450" s="16" t="s">
        <v>3773</v>
      </c>
      <c r="S450" s="15" t="s">
        <v>3774</v>
      </c>
      <c r="T450" s="15" t="s">
        <v>3775</v>
      </c>
      <c r="U450" s="21" t="s">
        <v>72</v>
      </c>
    </row>
    <row r="451" customFormat="false" ht="15" hidden="false" customHeight="false" outlineLevel="0" collapsed="false">
      <c r="A451" s="15" t="s">
        <v>1082</v>
      </c>
      <c r="B451" s="15" t="s">
        <v>3624</v>
      </c>
      <c r="C451" s="14" t="s">
        <v>3776</v>
      </c>
      <c r="D451" s="14" t="s">
        <v>3777</v>
      </c>
      <c r="E451" s="16" t="s">
        <v>3778</v>
      </c>
      <c r="F451" s="16" t="s">
        <v>3779</v>
      </c>
      <c r="G451" s="19" t="s">
        <v>41</v>
      </c>
      <c r="H451" s="18" t="n">
        <v>6</v>
      </c>
      <c r="I451" s="20" t="n">
        <v>87.62</v>
      </c>
      <c r="J451" s="20" t="n">
        <v>196.05</v>
      </c>
      <c r="K451" s="18" t="n">
        <v>4</v>
      </c>
      <c r="L451" s="18" t="n">
        <v>8</v>
      </c>
      <c r="M451" s="18" t="n">
        <v>104</v>
      </c>
      <c r="N451" s="18" t="n">
        <v>52</v>
      </c>
      <c r="O451" s="14" t="s">
        <v>1097</v>
      </c>
      <c r="P451" s="14" t="s">
        <v>84</v>
      </c>
      <c r="Q451" s="15" t="s">
        <v>1089</v>
      </c>
      <c r="R451" s="16" t="s">
        <v>2012</v>
      </c>
      <c r="S451" s="15" t="s">
        <v>3780</v>
      </c>
      <c r="T451" s="15" t="s">
        <v>3781</v>
      </c>
      <c r="U451" s="21" t="s">
        <v>72</v>
      </c>
    </row>
    <row r="452" customFormat="false" ht="26.85" hidden="false" customHeight="false" outlineLevel="0" collapsed="false">
      <c r="A452" s="15" t="s">
        <v>1082</v>
      </c>
      <c r="B452" s="15" t="s">
        <v>3624</v>
      </c>
      <c r="C452" s="14" t="s">
        <v>3782</v>
      </c>
      <c r="D452" s="14" t="s">
        <v>3783</v>
      </c>
      <c r="E452" s="16" t="s">
        <v>3784</v>
      </c>
      <c r="F452" s="16" t="s">
        <v>3785</v>
      </c>
      <c r="G452" s="23" t="s">
        <v>43</v>
      </c>
      <c r="H452" s="18" t="n">
        <v>3</v>
      </c>
      <c r="I452" s="20" t="n">
        <v>47.29</v>
      </c>
      <c r="J452" s="20" t="n">
        <v>131.89</v>
      </c>
      <c r="K452" s="18" t="n">
        <v>9</v>
      </c>
      <c r="L452" s="18" t="n">
        <v>11</v>
      </c>
      <c r="M452" s="18" t="n">
        <v>351</v>
      </c>
      <c r="N452" s="18" t="n">
        <v>117</v>
      </c>
      <c r="O452" s="14" t="s">
        <v>1088</v>
      </c>
      <c r="P452" s="14" t="s">
        <v>906</v>
      </c>
      <c r="Q452" s="15" t="s">
        <v>1089</v>
      </c>
      <c r="R452" s="16" t="s">
        <v>1561</v>
      </c>
      <c r="S452" s="15" t="s">
        <v>3786</v>
      </c>
      <c r="T452" s="15" t="s">
        <v>3787</v>
      </c>
      <c r="U452" s="21" t="s">
        <v>72</v>
      </c>
    </row>
    <row r="453" customFormat="false" ht="15" hidden="false" customHeight="false" outlineLevel="0" collapsed="false">
      <c r="A453" s="15" t="s">
        <v>1082</v>
      </c>
      <c r="B453" s="15" t="s">
        <v>3624</v>
      </c>
      <c r="C453" s="14" t="s">
        <v>3788</v>
      </c>
      <c r="D453" s="14" t="s">
        <v>3789</v>
      </c>
      <c r="E453" s="16" t="s">
        <v>3728</v>
      </c>
      <c r="F453" s="16" t="s">
        <v>3729</v>
      </c>
      <c r="G453" s="23" t="s">
        <v>43</v>
      </c>
      <c r="H453" s="18" t="n">
        <v>3</v>
      </c>
      <c r="I453" s="20" t="n">
        <v>50.34</v>
      </c>
      <c r="J453" s="20" t="n">
        <v>109.24</v>
      </c>
      <c r="K453" s="18" t="n">
        <v>4</v>
      </c>
      <c r="L453" s="18" t="n">
        <v>7</v>
      </c>
      <c r="M453" s="18" t="n">
        <v>164</v>
      </c>
      <c r="N453" s="18" t="n">
        <v>164</v>
      </c>
      <c r="O453" s="14" t="s">
        <v>1126</v>
      </c>
      <c r="P453" s="14" t="s">
        <v>118</v>
      </c>
      <c r="Q453" s="15" t="s">
        <v>1089</v>
      </c>
      <c r="R453" s="16" t="s">
        <v>1916</v>
      </c>
      <c r="S453" s="15" t="s">
        <v>3730</v>
      </c>
      <c r="T453" s="15" t="s">
        <v>3790</v>
      </c>
      <c r="U453" s="21" t="s">
        <v>72</v>
      </c>
    </row>
    <row r="454" customFormat="false" ht="15" hidden="false" customHeight="false" outlineLevel="0" collapsed="false">
      <c r="A454" s="15" t="s">
        <v>1082</v>
      </c>
      <c r="B454" s="15" t="s">
        <v>3624</v>
      </c>
      <c r="C454" s="14" t="s">
        <v>3791</v>
      </c>
      <c r="D454" s="14" t="s">
        <v>3792</v>
      </c>
      <c r="E454" s="16" t="s">
        <v>3793</v>
      </c>
      <c r="F454" s="16" t="s">
        <v>3779</v>
      </c>
      <c r="G454" s="23" t="s">
        <v>43</v>
      </c>
      <c r="H454" s="18" t="n">
        <v>4</v>
      </c>
      <c r="I454" s="20" t="n">
        <v>82.74</v>
      </c>
      <c r="J454" s="20" t="n">
        <v>199.54</v>
      </c>
      <c r="K454" s="18" t="n">
        <v>35</v>
      </c>
      <c r="L454" s="18" t="n">
        <v>9</v>
      </c>
      <c r="M454" s="18" t="n">
        <v>700</v>
      </c>
      <c r="N454" s="18" t="n">
        <v>140</v>
      </c>
      <c r="O454" s="14" t="s">
        <v>1088</v>
      </c>
      <c r="P454" s="14" t="s">
        <v>84</v>
      </c>
      <c r="Q454" s="15" t="s">
        <v>1089</v>
      </c>
      <c r="R454" s="16" t="s">
        <v>2493</v>
      </c>
      <c r="S454" s="15" t="s">
        <v>3780</v>
      </c>
      <c r="T454" s="15" t="s">
        <v>3780</v>
      </c>
      <c r="U454" s="21" t="s">
        <v>72</v>
      </c>
    </row>
    <row r="455" customFormat="false" ht="15" hidden="false" customHeight="false" outlineLevel="0" collapsed="false">
      <c r="A455" s="15" t="s">
        <v>1082</v>
      </c>
      <c r="B455" s="15" t="s">
        <v>3624</v>
      </c>
      <c r="C455" s="14" t="s">
        <v>3794</v>
      </c>
      <c r="D455" s="14" t="s">
        <v>3795</v>
      </c>
      <c r="E455" s="16" t="s">
        <v>3796</v>
      </c>
      <c r="F455" s="16" t="s">
        <v>3797</v>
      </c>
      <c r="G455" s="23" t="s">
        <v>43</v>
      </c>
      <c r="H455" s="18" t="n">
        <v>3</v>
      </c>
      <c r="I455" s="20" t="n">
        <v>37.64</v>
      </c>
      <c r="J455" s="20" t="n">
        <v>76.34</v>
      </c>
      <c r="K455" s="18" t="n">
        <v>1</v>
      </c>
      <c r="L455" s="18" t="n">
        <v>4</v>
      </c>
      <c r="M455" s="18" t="n">
        <v>20</v>
      </c>
      <c r="N455" s="18" t="n">
        <v>20</v>
      </c>
      <c r="O455" s="14" t="s">
        <v>1088</v>
      </c>
      <c r="P455" s="14" t="s">
        <v>84</v>
      </c>
      <c r="Q455" s="15" t="s">
        <v>1089</v>
      </c>
      <c r="R455" s="16" t="s">
        <v>1554</v>
      </c>
      <c r="S455" s="15" t="s">
        <v>3798</v>
      </c>
      <c r="T455" s="15" t="s">
        <v>3798</v>
      </c>
      <c r="U455" s="21" t="s">
        <v>72</v>
      </c>
    </row>
    <row r="456" customFormat="false" ht="15" hidden="false" customHeight="false" outlineLevel="0" collapsed="false">
      <c r="A456" s="15" t="s">
        <v>1082</v>
      </c>
      <c r="B456" s="15" t="s">
        <v>3624</v>
      </c>
      <c r="C456" s="14" t="s">
        <v>3799</v>
      </c>
      <c r="D456" s="14" t="s">
        <v>3800</v>
      </c>
      <c r="E456" s="16" t="s">
        <v>3801</v>
      </c>
      <c r="F456" s="16" t="s">
        <v>1812</v>
      </c>
      <c r="G456" s="19" t="s">
        <v>41</v>
      </c>
      <c r="H456" s="18" t="n">
        <v>6</v>
      </c>
      <c r="I456" s="20" t="n">
        <v>154</v>
      </c>
      <c r="J456" s="20" t="n">
        <v>305.4</v>
      </c>
      <c r="K456" s="18" t="n">
        <v>1</v>
      </c>
      <c r="L456" s="18" t="n">
        <v>9</v>
      </c>
      <c r="M456" s="18" t="n">
        <v>10</v>
      </c>
      <c r="N456" s="18" t="n">
        <v>10</v>
      </c>
      <c r="O456" s="14" t="s">
        <v>1126</v>
      </c>
      <c r="P456" s="14" t="s">
        <v>84</v>
      </c>
      <c r="Q456" s="15" t="s">
        <v>1089</v>
      </c>
      <c r="R456" s="16" t="s">
        <v>3480</v>
      </c>
      <c r="S456" s="15" t="s">
        <v>1813</v>
      </c>
      <c r="T456" s="15" t="s">
        <v>3802</v>
      </c>
      <c r="U456" s="21" t="s">
        <v>72</v>
      </c>
    </row>
    <row r="457" customFormat="false" ht="26.85" hidden="false" customHeight="false" outlineLevel="0" collapsed="false">
      <c r="A457" s="15" t="s">
        <v>1082</v>
      </c>
      <c r="B457" s="15" t="s">
        <v>3624</v>
      </c>
      <c r="C457" s="14" t="s">
        <v>3803</v>
      </c>
      <c r="D457" s="14" t="s">
        <v>3804</v>
      </c>
      <c r="E457" s="16" t="s">
        <v>3805</v>
      </c>
      <c r="F457" s="16" t="s">
        <v>3806</v>
      </c>
      <c r="G457" s="19" t="s">
        <v>41</v>
      </c>
      <c r="H457" s="18" t="n">
        <v>5</v>
      </c>
      <c r="I457" s="20" t="n">
        <v>95.51</v>
      </c>
      <c r="J457" s="20" t="n">
        <v>197.62</v>
      </c>
      <c r="K457" s="18" t="n">
        <v>32</v>
      </c>
      <c r="L457" s="18" t="n">
        <v>17</v>
      </c>
      <c r="M457" s="18" t="n">
        <v>1920</v>
      </c>
      <c r="N457" s="18" t="n">
        <v>240</v>
      </c>
      <c r="O457" s="14" t="s">
        <v>1097</v>
      </c>
      <c r="P457" s="14" t="s">
        <v>3143</v>
      </c>
      <c r="Q457" s="15" t="s">
        <v>1089</v>
      </c>
      <c r="R457" s="16" t="s">
        <v>3807</v>
      </c>
      <c r="S457" s="15" t="s">
        <v>3808</v>
      </c>
      <c r="T457" s="15" t="s">
        <v>3808</v>
      </c>
      <c r="U457" s="21" t="s">
        <v>72</v>
      </c>
    </row>
    <row r="458" customFormat="false" ht="26.85" hidden="false" customHeight="false" outlineLevel="0" collapsed="false">
      <c r="A458" s="15" t="s">
        <v>1082</v>
      </c>
      <c r="B458" s="15" t="s">
        <v>3624</v>
      </c>
      <c r="C458" s="14" t="s">
        <v>3809</v>
      </c>
      <c r="D458" s="14" t="s">
        <v>3810</v>
      </c>
      <c r="E458" s="16" t="s">
        <v>3811</v>
      </c>
      <c r="F458" s="16" t="s">
        <v>1812</v>
      </c>
      <c r="G458" s="25" t="s">
        <v>39</v>
      </c>
      <c r="H458" s="18" t="n">
        <v>9</v>
      </c>
      <c r="I458" s="20" t="n">
        <v>265.45</v>
      </c>
      <c r="J458" s="20" t="n">
        <v>443.9</v>
      </c>
      <c r="K458" s="18" t="n">
        <v>3</v>
      </c>
      <c r="L458" s="18" t="n">
        <v>17</v>
      </c>
      <c r="M458" s="18" t="n">
        <v>180</v>
      </c>
      <c r="N458" s="18" t="n">
        <v>60</v>
      </c>
      <c r="O458" s="14" t="s">
        <v>1126</v>
      </c>
      <c r="P458" s="14" t="s">
        <v>84</v>
      </c>
      <c r="Q458" s="15" t="s">
        <v>1089</v>
      </c>
      <c r="R458" s="16" t="s">
        <v>2044</v>
      </c>
      <c r="S458" s="15" t="s">
        <v>3812</v>
      </c>
      <c r="T458" s="15" t="s">
        <v>1813</v>
      </c>
      <c r="U458" s="21" t="s">
        <v>72</v>
      </c>
    </row>
    <row r="459" customFormat="false" ht="26.85" hidden="false" customHeight="false" outlineLevel="0" collapsed="false">
      <c r="A459" s="15" t="s">
        <v>1082</v>
      </c>
      <c r="B459" s="15" t="s">
        <v>3624</v>
      </c>
      <c r="C459" s="14" t="s">
        <v>3813</v>
      </c>
      <c r="D459" s="14" t="s">
        <v>3814</v>
      </c>
      <c r="E459" s="16" t="s">
        <v>3815</v>
      </c>
      <c r="F459" s="16" t="s">
        <v>1812</v>
      </c>
      <c r="G459" s="23" t="s">
        <v>43</v>
      </c>
      <c r="H459" s="18" t="n">
        <v>3</v>
      </c>
      <c r="I459" s="20" t="n">
        <v>78.44</v>
      </c>
      <c r="J459" s="20" t="n">
        <v>101.67</v>
      </c>
      <c r="K459" s="18" t="n">
        <v>6</v>
      </c>
      <c r="L459" s="18" t="n">
        <v>27</v>
      </c>
      <c r="M459" s="18" t="n">
        <v>360</v>
      </c>
      <c r="N459" s="18" t="n">
        <v>360</v>
      </c>
      <c r="O459" s="14" t="s">
        <v>1126</v>
      </c>
      <c r="P459" s="14" t="s">
        <v>84</v>
      </c>
      <c r="Q459" s="15" t="s">
        <v>1089</v>
      </c>
      <c r="R459" s="16" t="s">
        <v>2853</v>
      </c>
      <c r="S459" s="15" t="s">
        <v>3614</v>
      </c>
      <c r="T459" s="15" t="s">
        <v>3816</v>
      </c>
      <c r="U459" s="21" t="s">
        <v>72</v>
      </c>
    </row>
    <row r="460" customFormat="false" ht="26.85" hidden="false" customHeight="false" outlineLevel="0" collapsed="false">
      <c r="A460" s="15" t="s">
        <v>1082</v>
      </c>
      <c r="B460" s="15" t="s">
        <v>3624</v>
      </c>
      <c r="C460" s="14" t="s">
        <v>3817</v>
      </c>
      <c r="D460" s="14" t="s">
        <v>3818</v>
      </c>
      <c r="E460" s="16" t="s">
        <v>3815</v>
      </c>
      <c r="F460" s="16" t="s">
        <v>1812</v>
      </c>
      <c r="G460" s="23" t="s">
        <v>43</v>
      </c>
      <c r="H460" s="18" t="n">
        <v>3</v>
      </c>
      <c r="I460" s="20" t="n">
        <v>73.76</v>
      </c>
      <c r="J460" s="20" t="n">
        <v>137.82</v>
      </c>
      <c r="K460" s="18" t="n">
        <v>3</v>
      </c>
      <c r="L460" s="18" t="n">
        <v>21</v>
      </c>
      <c r="M460" s="18" t="n">
        <v>180</v>
      </c>
      <c r="N460" s="18" t="n">
        <v>180</v>
      </c>
      <c r="O460" s="14" t="s">
        <v>1126</v>
      </c>
      <c r="P460" s="14" t="s">
        <v>84</v>
      </c>
      <c r="Q460" s="15" t="s">
        <v>1089</v>
      </c>
      <c r="R460" s="16" t="s">
        <v>3766</v>
      </c>
      <c r="S460" s="15" t="s">
        <v>3614</v>
      </c>
      <c r="T460" s="15" t="s">
        <v>3819</v>
      </c>
      <c r="U460" s="21" t="s">
        <v>72</v>
      </c>
    </row>
    <row r="461" customFormat="false" ht="26.85" hidden="false" customHeight="false" outlineLevel="0" collapsed="false">
      <c r="A461" s="15" t="s">
        <v>1082</v>
      </c>
      <c r="B461" s="15" t="s">
        <v>3624</v>
      </c>
      <c r="C461" s="14" t="s">
        <v>3820</v>
      </c>
      <c r="D461" s="14" t="s">
        <v>3821</v>
      </c>
      <c r="E461" s="16" t="s">
        <v>3811</v>
      </c>
      <c r="F461" s="16" t="s">
        <v>1812</v>
      </c>
      <c r="G461" s="23" t="s">
        <v>43</v>
      </c>
      <c r="H461" s="18" t="n">
        <v>3</v>
      </c>
      <c r="I461" s="20" t="n">
        <v>73.01</v>
      </c>
      <c r="J461" s="20" t="n">
        <v>119.6</v>
      </c>
      <c r="K461" s="18" t="n">
        <v>3</v>
      </c>
      <c r="L461" s="18" t="n">
        <v>22</v>
      </c>
      <c r="M461" s="18" t="n">
        <v>180</v>
      </c>
      <c r="N461" s="18" t="n">
        <v>180</v>
      </c>
      <c r="O461" s="14" t="s">
        <v>1126</v>
      </c>
      <c r="P461" s="14" t="s">
        <v>84</v>
      </c>
      <c r="Q461" s="15" t="s">
        <v>1089</v>
      </c>
      <c r="R461" s="16" t="s">
        <v>3822</v>
      </c>
      <c r="S461" s="15" t="s">
        <v>3812</v>
      </c>
      <c r="T461" s="15" t="s">
        <v>3823</v>
      </c>
      <c r="U461" s="21" t="s">
        <v>72</v>
      </c>
    </row>
    <row r="462" customFormat="false" ht="26.85" hidden="false" customHeight="false" outlineLevel="0" collapsed="false">
      <c r="A462" s="15" t="s">
        <v>1082</v>
      </c>
      <c r="B462" s="15" t="s">
        <v>3624</v>
      </c>
      <c r="C462" s="14" t="s">
        <v>3824</v>
      </c>
      <c r="D462" s="14" t="s">
        <v>3825</v>
      </c>
      <c r="E462" s="16" t="s">
        <v>3815</v>
      </c>
      <c r="F462" s="16" t="s">
        <v>1812</v>
      </c>
      <c r="G462" s="23" t="s">
        <v>43</v>
      </c>
      <c r="H462" s="18" t="n">
        <v>3</v>
      </c>
      <c r="I462" s="20" t="n">
        <v>97.64</v>
      </c>
      <c r="J462" s="20" t="n">
        <v>123.33</v>
      </c>
      <c r="K462" s="18" t="n">
        <v>4</v>
      </c>
      <c r="L462" s="18" t="n">
        <v>21</v>
      </c>
      <c r="M462" s="18" t="n">
        <v>84</v>
      </c>
      <c r="N462" s="18" t="n">
        <v>42</v>
      </c>
      <c r="O462" s="14" t="s">
        <v>1126</v>
      </c>
      <c r="P462" s="14" t="s">
        <v>84</v>
      </c>
      <c r="Q462" s="15" t="s">
        <v>1089</v>
      </c>
      <c r="R462" s="16" t="s">
        <v>1869</v>
      </c>
      <c r="S462" s="15" t="s">
        <v>3614</v>
      </c>
      <c r="T462" s="15" t="s">
        <v>3826</v>
      </c>
      <c r="U462" s="21" t="s">
        <v>72</v>
      </c>
    </row>
    <row r="463" customFormat="false" ht="26.85" hidden="false" customHeight="false" outlineLevel="0" collapsed="false">
      <c r="A463" s="15" t="s">
        <v>1082</v>
      </c>
      <c r="B463" s="15" t="s">
        <v>3624</v>
      </c>
      <c r="C463" s="14" t="s">
        <v>3827</v>
      </c>
      <c r="D463" s="14" t="s">
        <v>3828</v>
      </c>
      <c r="E463" s="16" t="s">
        <v>3829</v>
      </c>
      <c r="F463" s="16" t="s">
        <v>1812</v>
      </c>
      <c r="G463" s="19" t="s">
        <v>41</v>
      </c>
      <c r="H463" s="18" t="n">
        <v>4</v>
      </c>
      <c r="I463" s="20" t="n">
        <v>175.46</v>
      </c>
      <c r="J463" s="20" t="n">
        <v>296.6</v>
      </c>
      <c r="K463" s="18" t="n">
        <v>3</v>
      </c>
      <c r="L463" s="18" t="n">
        <v>11</v>
      </c>
      <c r="M463" s="18" t="n">
        <v>135</v>
      </c>
      <c r="N463" s="18" t="n">
        <v>45</v>
      </c>
      <c r="O463" s="14" t="s">
        <v>1126</v>
      </c>
      <c r="P463" s="14" t="s">
        <v>84</v>
      </c>
      <c r="Q463" s="15" t="s">
        <v>1089</v>
      </c>
      <c r="R463" s="16" t="s">
        <v>2878</v>
      </c>
      <c r="S463" s="15" t="s">
        <v>3812</v>
      </c>
      <c r="T463" s="15" t="s">
        <v>3830</v>
      </c>
      <c r="U463" s="21" t="s">
        <v>72</v>
      </c>
    </row>
    <row r="464" customFormat="false" ht="26.85" hidden="false" customHeight="false" outlineLevel="0" collapsed="false">
      <c r="A464" s="15" t="s">
        <v>1082</v>
      </c>
      <c r="B464" s="15" t="s">
        <v>3831</v>
      </c>
      <c r="C464" s="14" t="s">
        <v>3832</v>
      </c>
      <c r="D464" s="14" t="s">
        <v>3833</v>
      </c>
      <c r="E464" s="16" t="s">
        <v>3834</v>
      </c>
      <c r="F464" s="16" t="s">
        <v>3835</v>
      </c>
      <c r="G464" s="25" t="s">
        <v>39</v>
      </c>
      <c r="H464" s="18" t="n">
        <v>10</v>
      </c>
      <c r="I464" s="20" t="n">
        <v>234.86</v>
      </c>
      <c r="J464" s="20" t="n">
        <v>504.15</v>
      </c>
      <c r="K464" s="18" t="n">
        <v>9</v>
      </c>
      <c r="L464" s="18" t="n">
        <v>16</v>
      </c>
      <c r="M464" s="18" t="n">
        <v>540</v>
      </c>
      <c r="N464" s="18" t="n">
        <v>540</v>
      </c>
      <c r="O464" s="14" t="s">
        <v>1097</v>
      </c>
      <c r="P464" s="14" t="s">
        <v>84</v>
      </c>
      <c r="Q464" s="15" t="s">
        <v>1089</v>
      </c>
      <c r="R464" s="16" t="s">
        <v>3028</v>
      </c>
      <c r="S464" s="15" t="s">
        <v>1334</v>
      </c>
      <c r="T464" s="15" t="s">
        <v>3836</v>
      </c>
      <c r="U464" s="21" t="s">
        <v>72</v>
      </c>
    </row>
    <row r="465" customFormat="false" ht="15" hidden="false" customHeight="false" outlineLevel="0" collapsed="false">
      <c r="A465" s="15" t="s">
        <v>1082</v>
      </c>
      <c r="B465" s="15" t="s">
        <v>3831</v>
      </c>
      <c r="C465" s="14" t="s">
        <v>3837</v>
      </c>
      <c r="D465" s="14" t="s">
        <v>3838</v>
      </c>
      <c r="E465" s="16" t="s">
        <v>3839</v>
      </c>
      <c r="F465" s="16" t="s">
        <v>1104</v>
      </c>
      <c r="G465" s="23" t="s">
        <v>43</v>
      </c>
      <c r="H465" s="18" t="n">
        <v>3</v>
      </c>
      <c r="I465" s="20" t="n">
        <v>67.57</v>
      </c>
      <c r="J465" s="20" t="n">
        <v>160.5</v>
      </c>
      <c r="K465" s="18" t="n">
        <v>18</v>
      </c>
      <c r="L465" s="18" t="n">
        <v>33</v>
      </c>
      <c r="M465" s="18" t="n">
        <v>1008</v>
      </c>
      <c r="N465" s="18" t="n">
        <v>168</v>
      </c>
      <c r="O465" s="14" t="s">
        <v>1088</v>
      </c>
      <c r="P465" s="14" t="s">
        <v>118</v>
      </c>
      <c r="Q465" s="15" t="s">
        <v>1089</v>
      </c>
      <c r="R465" s="16" t="s">
        <v>1561</v>
      </c>
      <c r="S465" s="15" t="s">
        <v>1106</v>
      </c>
      <c r="T465" s="15" t="s">
        <v>3840</v>
      </c>
      <c r="U465" s="21" t="s">
        <v>72</v>
      </c>
    </row>
    <row r="466" customFormat="false" ht="26.85" hidden="false" customHeight="false" outlineLevel="0" collapsed="false">
      <c r="A466" s="15" t="s">
        <v>1082</v>
      </c>
      <c r="B466" s="15" t="s">
        <v>3831</v>
      </c>
      <c r="C466" s="14" t="s">
        <v>3841</v>
      </c>
      <c r="D466" s="14" t="s">
        <v>3842</v>
      </c>
      <c r="E466" s="16" t="s">
        <v>3843</v>
      </c>
      <c r="F466" s="16" t="s">
        <v>3844</v>
      </c>
      <c r="G466" s="23" t="s">
        <v>43</v>
      </c>
      <c r="H466" s="18" t="n">
        <v>4</v>
      </c>
      <c r="I466" s="20" t="n">
        <v>60.62</v>
      </c>
      <c r="J466" s="20" t="n">
        <v>101.89</v>
      </c>
      <c r="K466" s="18" t="n">
        <v>24</v>
      </c>
      <c r="L466" s="18" t="n">
        <v>36</v>
      </c>
      <c r="M466" s="18" t="n">
        <v>1200</v>
      </c>
      <c r="N466" s="18" t="n">
        <v>150</v>
      </c>
      <c r="O466" s="14" t="s">
        <v>1097</v>
      </c>
      <c r="P466" s="14" t="s">
        <v>118</v>
      </c>
      <c r="Q466" s="15" t="s">
        <v>1089</v>
      </c>
      <c r="R466" s="16" t="s">
        <v>2150</v>
      </c>
      <c r="S466" s="15" t="s">
        <v>3845</v>
      </c>
      <c r="T466" s="15" t="s">
        <v>3846</v>
      </c>
      <c r="U466" s="21" t="s">
        <v>72</v>
      </c>
    </row>
    <row r="467" customFormat="false" ht="15" hidden="false" customHeight="false" outlineLevel="0" collapsed="false">
      <c r="A467" s="15" t="s">
        <v>1082</v>
      </c>
      <c r="B467" s="15" t="s">
        <v>3831</v>
      </c>
      <c r="C467" s="14" t="s">
        <v>3847</v>
      </c>
      <c r="D467" s="14" t="s">
        <v>3848</v>
      </c>
      <c r="E467" s="16" t="s">
        <v>3849</v>
      </c>
      <c r="F467" s="16" t="s">
        <v>3844</v>
      </c>
      <c r="G467" s="23" t="s">
        <v>43</v>
      </c>
      <c r="H467" s="18" t="n">
        <v>4</v>
      </c>
      <c r="I467" s="20" t="n">
        <v>61.16</v>
      </c>
      <c r="J467" s="20" t="n">
        <v>96.2</v>
      </c>
      <c r="K467" s="18" t="n">
        <v>32</v>
      </c>
      <c r="L467" s="18" t="n">
        <v>35</v>
      </c>
      <c r="M467" s="18" t="n">
        <v>1600</v>
      </c>
      <c r="N467" s="18" t="n">
        <v>200</v>
      </c>
      <c r="O467" s="14" t="s">
        <v>1097</v>
      </c>
      <c r="P467" s="14" t="s">
        <v>118</v>
      </c>
      <c r="Q467" s="15" t="s">
        <v>1089</v>
      </c>
      <c r="R467" s="16" t="s">
        <v>1884</v>
      </c>
      <c r="S467" s="15" t="s">
        <v>3850</v>
      </c>
      <c r="T467" s="15" t="s">
        <v>3851</v>
      </c>
      <c r="U467" s="21" t="s">
        <v>72</v>
      </c>
    </row>
    <row r="468" customFormat="false" ht="26.85" hidden="false" customHeight="false" outlineLevel="0" collapsed="false">
      <c r="A468" s="15" t="s">
        <v>1082</v>
      </c>
      <c r="B468" s="15" t="s">
        <v>3831</v>
      </c>
      <c r="C468" s="14" t="s">
        <v>3852</v>
      </c>
      <c r="D468" s="14" t="s">
        <v>3853</v>
      </c>
      <c r="E468" s="16" t="s">
        <v>3854</v>
      </c>
      <c r="F468" s="16" t="s">
        <v>1862</v>
      </c>
      <c r="G468" s="23" t="s">
        <v>43</v>
      </c>
      <c r="H468" s="18" t="n">
        <v>4</v>
      </c>
      <c r="I468" s="20" t="n">
        <v>66.76</v>
      </c>
      <c r="J468" s="20" t="n">
        <v>147</v>
      </c>
      <c r="K468" s="18" t="n">
        <v>5</v>
      </c>
      <c r="L468" s="18" t="n">
        <v>79</v>
      </c>
      <c r="M468" s="18" t="n">
        <v>275</v>
      </c>
      <c r="N468" s="18" t="n">
        <v>275</v>
      </c>
      <c r="O468" s="14" t="s">
        <v>1097</v>
      </c>
      <c r="P468" s="14" t="s">
        <v>84</v>
      </c>
      <c r="Q468" s="15" t="s">
        <v>1089</v>
      </c>
      <c r="R468" s="16" t="s">
        <v>3855</v>
      </c>
      <c r="S468" s="15" t="s">
        <v>3856</v>
      </c>
      <c r="T468" s="15" t="s">
        <v>3857</v>
      </c>
      <c r="U468" s="21" t="s">
        <v>72</v>
      </c>
    </row>
    <row r="469" customFormat="false" ht="26.85" hidden="false" customHeight="false" outlineLevel="0" collapsed="false">
      <c r="A469" s="15" t="s">
        <v>1082</v>
      </c>
      <c r="B469" s="15" t="s">
        <v>3831</v>
      </c>
      <c r="C469" s="14" t="s">
        <v>3858</v>
      </c>
      <c r="D469" s="14" t="s">
        <v>3859</v>
      </c>
      <c r="E469" s="16" t="s">
        <v>3860</v>
      </c>
      <c r="F469" s="16" t="s">
        <v>3861</v>
      </c>
      <c r="G469" s="19" t="s">
        <v>41</v>
      </c>
      <c r="H469" s="18" t="n">
        <v>5</v>
      </c>
      <c r="I469" s="20" t="n">
        <v>80.82</v>
      </c>
      <c r="J469" s="20" t="n">
        <v>127.44</v>
      </c>
      <c r="K469" s="18" t="n">
        <v>1</v>
      </c>
      <c r="L469" s="18" t="n">
        <v>5</v>
      </c>
      <c r="M469" s="18" t="n">
        <v>60</v>
      </c>
      <c r="N469" s="18" t="n">
        <v>60</v>
      </c>
      <c r="O469" s="14" t="s">
        <v>1088</v>
      </c>
      <c r="P469" s="14" t="s">
        <v>118</v>
      </c>
      <c r="Q469" s="15" t="s">
        <v>1089</v>
      </c>
      <c r="R469" s="16" t="s">
        <v>3862</v>
      </c>
      <c r="S469" s="15" t="s">
        <v>3863</v>
      </c>
      <c r="T469" s="15" t="s">
        <v>3864</v>
      </c>
      <c r="U469" s="21" t="s">
        <v>72</v>
      </c>
    </row>
    <row r="470" customFormat="false" ht="15" hidden="false" customHeight="false" outlineLevel="0" collapsed="false">
      <c r="A470" s="15" t="s">
        <v>1082</v>
      </c>
      <c r="B470" s="15" t="s">
        <v>3831</v>
      </c>
      <c r="C470" s="14" t="s">
        <v>3865</v>
      </c>
      <c r="D470" s="14" t="s">
        <v>3866</v>
      </c>
      <c r="E470" s="16" t="s">
        <v>3867</v>
      </c>
      <c r="F470" s="16" t="s">
        <v>3868</v>
      </c>
      <c r="G470" s="19" t="s">
        <v>41</v>
      </c>
      <c r="H470" s="18" t="n">
        <v>6</v>
      </c>
      <c r="I470" s="20" t="n">
        <v>118.31</v>
      </c>
      <c r="J470" s="20" t="n">
        <v>213.68</v>
      </c>
      <c r="K470" s="18" t="n">
        <v>42</v>
      </c>
      <c r="L470" s="18" t="n">
        <v>13</v>
      </c>
      <c r="M470" s="18" t="n">
        <v>1050</v>
      </c>
      <c r="N470" s="18" t="n">
        <v>150</v>
      </c>
      <c r="O470" s="14" t="s">
        <v>1097</v>
      </c>
      <c r="P470" s="14" t="s">
        <v>84</v>
      </c>
      <c r="Q470" s="15" t="s">
        <v>1089</v>
      </c>
      <c r="R470" s="16" t="s">
        <v>1228</v>
      </c>
      <c r="S470" s="15" t="s">
        <v>3869</v>
      </c>
      <c r="T470" s="15" t="s">
        <v>3869</v>
      </c>
      <c r="U470" s="21" t="s">
        <v>72</v>
      </c>
    </row>
    <row r="471" customFormat="false" ht="15" hidden="false" customHeight="false" outlineLevel="0" collapsed="false">
      <c r="A471" s="15" t="s">
        <v>1082</v>
      </c>
      <c r="B471" s="15" t="s">
        <v>3831</v>
      </c>
      <c r="C471" s="14" t="s">
        <v>3870</v>
      </c>
      <c r="D471" s="14" t="s">
        <v>3871</v>
      </c>
      <c r="E471" s="16" t="s">
        <v>3872</v>
      </c>
      <c r="F471" s="16" t="s">
        <v>3873</v>
      </c>
      <c r="G471" s="23" t="s">
        <v>43</v>
      </c>
      <c r="H471" s="18" t="n">
        <v>2</v>
      </c>
      <c r="I471" s="20" t="n">
        <v>43.68</v>
      </c>
      <c r="J471" s="20" t="n">
        <v>95.63</v>
      </c>
      <c r="K471" s="18" t="n">
        <v>4</v>
      </c>
      <c r="L471" s="18" t="n">
        <v>6</v>
      </c>
      <c r="M471" s="18" t="n">
        <v>120</v>
      </c>
      <c r="N471" s="18" t="n">
        <v>120</v>
      </c>
      <c r="O471" s="14" t="s">
        <v>1097</v>
      </c>
      <c r="P471" s="14" t="s">
        <v>84</v>
      </c>
      <c r="Q471" s="15" t="s">
        <v>1089</v>
      </c>
      <c r="R471" s="16" t="s">
        <v>2853</v>
      </c>
      <c r="S471" s="15" t="s">
        <v>3874</v>
      </c>
      <c r="T471" s="15" t="s">
        <v>3874</v>
      </c>
      <c r="U471" s="21" t="s">
        <v>72</v>
      </c>
    </row>
    <row r="472" customFormat="false" ht="15" hidden="false" customHeight="false" outlineLevel="0" collapsed="false">
      <c r="A472" s="15" t="s">
        <v>1082</v>
      </c>
      <c r="B472" s="15" t="s">
        <v>3831</v>
      </c>
      <c r="C472" s="14" t="s">
        <v>3875</v>
      </c>
      <c r="D472" s="14" t="s">
        <v>3876</v>
      </c>
      <c r="E472" s="16" t="s">
        <v>3877</v>
      </c>
      <c r="F472" s="16" t="s">
        <v>3878</v>
      </c>
      <c r="G472" s="19" t="s">
        <v>41</v>
      </c>
      <c r="H472" s="18" t="n">
        <v>7</v>
      </c>
      <c r="I472" s="20" t="n">
        <v>113.87</v>
      </c>
      <c r="J472" s="20" t="n">
        <v>195.48</v>
      </c>
      <c r="K472" s="18" t="n">
        <v>2</v>
      </c>
      <c r="L472" s="18" t="n">
        <v>5</v>
      </c>
      <c r="M472" s="18" t="n">
        <v>100</v>
      </c>
      <c r="N472" s="18" t="n">
        <v>100</v>
      </c>
      <c r="O472" s="14" t="s">
        <v>1126</v>
      </c>
      <c r="P472" s="14" t="s">
        <v>118</v>
      </c>
      <c r="Q472" s="15" t="s">
        <v>1089</v>
      </c>
      <c r="R472" s="16" t="s">
        <v>3879</v>
      </c>
      <c r="S472" s="15" t="s">
        <v>3880</v>
      </c>
      <c r="T472" s="15" t="s">
        <v>3880</v>
      </c>
      <c r="U472" s="21" t="s">
        <v>72</v>
      </c>
    </row>
    <row r="473" customFormat="false" ht="15" hidden="false" customHeight="false" outlineLevel="0" collapsed="false">
      <c r="A473" s="15" t="s">
        <v>1082</v>
      </c>
      <c r="B473" s="15" t="s">
        <v>3831</v>
      </c>
      <c r="C473" s="14" t="s">
        <v>3881</v>
      </c>
      <c r="D473" s="14" t="s">
        <v>3882</v>
      </c>
      <c r="E473" s="16" t="s">
        <v>3883</v>
      </c>
      <c r="F473" s="16" t="s">
        <v>3884</v>
      </c>
      <c r="G473" s="23" t="s">
        <v>43</v>
      </c>
      <c r="H473" s="18" t="n">
        <v>4</v>
      </c>
      <c r="I473" s="20" t="n">
        <v>105.78</v>
      </c>
      <c r="J473" s="20" t="n">
        <v>174.05</v>
      </c>
      <c r="K473" s="18" t="n">
        <v>4</v>
      </c>
      <c r="L473" s="18" t="n">
        <v>4</v>
      </c>
      <c r="M473" s="18" t="n">
        <v>240</v>
      </c>
      <c r="N473" s="18" t="n">
        <v>240</v>
      </c>
      <c r="O473" s="14" t="s">
        <v>1088</v>
      </c>
      <c r="P473" s="14" t="s">
        <v>84</v>
      </c>
      <c r="Q473" s="15" t="s">
        <v>1089</v>
      </c>
      <c r="R473" s="16" t="s">
        <v>2435</v>
      </c>
      <c r="S473" s="15" t="s">
        <v>3885</v>
      </c>
      <c r="T473" s="15" t="s">
        <v>3886</v>
      </c>
      <c r="U473" s="21" t="s">
        <v>72</v>
      </c>
    </row>
    <row r="474" customFormat="false" ht="15" hidden="false" customHeight="false" outlineLevel="0" collapsed="false">
      <c r="A474" s="15" t="s">
        <v>1082</v>
      </c>
      <c r="B474" s="15" t="s">
        <v>3831</v>
      </c>
      <c r="C474" s="14" t="s">
        <v>3887</v>
      </c>
      <c r="D474" s="14" t="s">
        <v>3888</v>
      </c>
      <c r="E474" s="16" t="s">
        <v>3889</v>
      </c>
      <c r="F474" s="16" t="s">
        <v>3890</v>
      </c>
      <c r="G474" s="23" t="s">
        <v>43</v>
      </c>
      <c r="H474" s="18" t="n">
        <v>3</v>
      </c>
      <c r="I474" s="20" t="n">
        <v>38.18</v>
      </c>
      <c r="J474" s="20" t="n">
        <v>83.91</v>
      </c>
      <c r="K474" s="18" t="n">
        <v>12</v>
      </c>
      <c r="L474" s="18" t="n">
        <v>1</v>
      </c>
      <c r="M474" s="18" t="n">
        <v>372</v>
      </c>
      <c r="N474" s="18" t="n">
        <v>93</v>
      </c>
      <c r="O474" s="14" t="s">
        <v>1088</v>
      </c>
      <c r="P474" s="14" t="s">
        <v>84</v>
      </c>
      <c r="Q474" s="15" t="s">
        <v>1089</v>
      </c>
      <c r="R474" s="16" t="s">
        <v>3891</v>
      </c>
      <c r="S474" s="15" t="s">
        <v>3892</v>
      </c>
      <c r="T474" s="15" t="s">
        <v>3892</v>
      </c>
      <c r="U474" s="21" t="s">
        <v>72</v>
      </c>
    </row>
    <row r="475" customFormat="false" ht="15" hidden="false" customHeight="false" outlineLevel="0" collapsed="false">
      <c r="A475" s="15" t="s">
        <v>1082</v>
      </c>
      <c r="B475" s="15" t="s">
        <v>3831</v>
      </c>
      <c r="C475" s="14" t="s">
        <v>3893</v>
      </c>
      <c r="D475" s="14" t="s">
        <v>3894</v>
      </c>
      <c r="E475" s="16" t="s">
        <v>3895</v>
      </c>
      <c r="F475" s="16" t="s">
        <v>3896</v>
      </c>
      <c r="G475" s="23" t="s">
        <v>43</v>
      </c>
      <c r="H475" s="18" t="n">
        <v>4</v>
      </c>
      <c r="I475" s="20" t="n">
        <v>79.91</v>
      </c>
      <c r="J475" s="20" t="n">
        <v>127.07</v>
      </c>
      <c r="K475" s="18" t="n">
        <v>12</v>
      </c>
      <c r="L475" s="18" t="n">
        <v>4</v>
      </c>
      <c r="M475" s="18" t="n">
        <v>720</v>
      </c>
      <c r="N475" s="18" t="n">
        <v>240</v>
      </c>
      <c r="O475" s="14" t="s">
        <v>1097</v>
      </c>
      <c r="P475" s="14" t="s">
        <v>84</v>
      </c>
      <c r="Q475" s="15" t="s">
        <v>1089</v>
      </c>
      <c r="R475" s="16" t="s">
        <v>3897</v>
      </c>
      <c r="S475" s="15" t="s">
        <v>3898</v>
      </c>
      <c r="T475" s="15" t="s">
        <v>3899</v>
      </c>
      <c r="U475" s="21" t="s">
        <v>72</v>
      </c>
    </row>
    <row r="476" customFormat="false" ht="15" hidden="false" customHeight="false" outlineLevel="0" collapsed="false">
      <c r="A476" s="15" t="s">
        <v>1082</v>
      </c>
      <c r="B476" s="15" t="s">
        <v>3831</v>
      </c>
      <c r="C476" s="14" t="s">
        <v>3900</v>
      </c>
      <c r="D476" s="14" t="s">
        <v>3901</v>
      </c>
      <c r="E476" s="16" t="s">
        <v>3902</v>
      </c>
      <c r="F476" s="16" t="s">
        <v>3903</v>
      </c>
      <c r="G476" s="23" t="s">
        <v>43</v>
      </c>
      <c r="H476" s="18" t="n">
        <v>4</v>
      </c>
      <c r="I476" s="20" t="n">
        <v>138.4</v>
      </c>
      <c r="J476" s="20" t="n">
        <v>194.64</v>
      </c>
      <c r="K476" s="18" t="n">
        <v>1</v>
      </c>
      <c r="L476" s="18" t="n">
        <v>4</v>
      </c>
      <c r="M476" s="18" t="n">
        <v>60</v>
      </c>
      <c r="N476" s="18" t="n">
        <v>60</v>
      </c>
      <c r="O476" s="14" t="s">
        <v>1126</v>
      </c>
      <c r="P476" s="14" t="s">
        <v>84</v>
      </c>
      <c r="Q476" s="15" t="s">
        <v>1089</v>
      </c>
      <c r="R476" s="16" t="s">
        <v>3904</v>
      </c>
      <c r="S476" s="15" t="s">
        <v>3905</v>
      </c>
      <c r="T476" s="15" t="s">
        <v>3906</v>
      </c>
      <c r="U476" s="21" t="s">
        <v>72</v>
      </c>
    </row>
    <row r="477" customFormat="false" ht="15" hidden="false" customHeight="false" outlineLevel="0" collapsed="false">
      <c r="A477" s="15" t="s">
        <v>1082</v>
      </c>
      <c r="B477" s="15" t="s">
        <v>3831</v>
      </c>
      <c r="C477" s="14" t="s">
        <v>3907</v>
      </c>
      <c r="D477" s="14" t="s">
        <v>3908</v>
      </c>
      <c r="E477" s="16" t="s">
        <v>3909</v>
      </c>
      <c r="F477" s="16" t="s">
        <v>3910</v>
      </c>
      <c r="G477" s="19" t="s">
        <v>41</v>
      </c>
      <c r="H477" s="18" t="n">
        <v>7</v>
      </c>
      <c r="I477" s="20" t="n">
        <v>93.4</v>
      </c>
      <c r="J477" s="20" t="n">
        <v>140.72</v>
      </c>
      <c r="K477" s="18" t="n">
        <v>45</v>
      </c>
      <c r="L477" s="18" t="n">
        <v>14</v>
      </c>
      <c r="M477" s="18" t="n">
        <v>2700</v>
      </c>
      <c r="N477" s="18" t="n">
        <v>300</v>
      </c>
      <c r="O477" s="14" t="s">
        <v>1126</v>
      </c>
      <c r="P477" s="14" t="s">
        <v>84</v>
      </c>
      <c r="Q477" s="15" t="s">
        <v>1089</v>
      </c>
      <c r="R477" s="16" t="s">
        <v>3911</v>
      </c>
      <c r="S477" s="15" t="s">
        <v>3912</v>
      </c>
      <c r="T477" s="15" t="s">
        <v>3913</v>
      </c>
      <c r="U477" s="21" t="s">
        <v>72</v>
      </c>
    </row>
    <row r="478" customFormat="false" ht="15" hidden="false" customHeight="false" outlineLevel="0" collapsed="false">
      <c r="A478" s="15" t="s">
        <v>1082</v>
      </c>
      <c r="B478" s="15" t="s">
        <v>3831</v>
      </c>
      <c r="C478" s="14" t="s">
        <v>3914</v>
      </c>
      <c r="D478" s="14" t="s">
        <v>3915</v>
      </c>
      <c r="E478" s="16" t="s">
        <v>3916</v>
      </c>
      <c r="F478" s="16" t="s">
        <v>3917</v>
      </c>
      <c r="G478" s="23" t="s">
        <v>43</v>
      </c>
      <c r="H478" s="18" t="n">
        <v>3</v>
      </c>
      <c r="I478" s="20" t="n">
        <v>50.4</v>
      </c>
      <c r="J478" s="20" t="n">
        <v>105.5</v>
      </c>
      <c r="K478" s="18" t="n">
        <v>4</v>
      </c>
      <c r="L478" s="18" t="n">
        <v>3</v>
      </c>
      <c r="M478" s="18" t="n">
        <v>168</v>
      </c>
      <c r="N478" s="18" t="n">
        <v>42</v>
      </c>
      <c r="O478" s="14" t="s">
        <v>1097</v>
      </c>
      <c r="P478" s="14" t="s">
        <v>84</v>
      </c>
      <c r="Q478" s="15" t="s">
        <v>1089</v>
      </c>
      <c r="R478" s="16" t="s">
        <v>85</v>
      </c>
      <c r="S478" s="15" t="s">
        <v>3918</v>
      </c>
      <c r="T478" s="15" t="s">
        <v>3918</v>
      </c>
      <c r="U478" s="21" t="s">
        <v>72</v>
      </c>
    </row>
    <row r="479" customFormat="false" ht="15" hidden="false" customHeight="false" outlineLevel="0" collapsed="false">
      <c r="A479" s="15" t="s">
        <v>1082</v>
      </c>
      <c r="B479" s="15" t="s">
        <v>3831</v>
      </c>
      <c r="C479" s="14" t="s">
        <v>3919</v>
      </c>
      <c r="D479" s="14" t="s">
        <v>3920</v>
      </c>
      <c r="E479" s="16" t="s">
        <v>3921</v>
      </c>
      <c r="F479" s="16"/>
      <c r="G479" s="19" t="s">
        <v>41</v>
      </c>
      <c r="H479" s="18" t="n">
        <v>5</v>
      </c>
      <c r="I479" s="20" t="n">
        <v>78.01</v>
      </c>
      <c r="J479" s="20" t="n">
        <v>156</v>
      </c>
      <c r="K479" s="18" t="n">
        <v>20</v>
      </c>
      <c r="L479" s="18" t="n">
        <v>2</v>
      </c>
      <c r="M479" s="18" t="n">
        <v>1200</v>
      </c>
      <c r="N479" s="18" t="n">
        <v>300</v>
      </c>
      <c r="O479" s="14" t="s">
        <v>1097</v>
      </c>
      <c r="P479" s="14" t="s">
        <v>84</v>
      </c>
      <c r="Q479" s="15" t="s">
        <v>1089</v>
      </c>
      <c r="R479" s="16" t="s">
        <v>2847</v>
      </c>
      <c r="S479" s="15" t="s">
        <v>3922</v>
      </c>
      <c r="T479" s="15" t="s">
        <v>3922</v>
      </c>
      <c r="U479" s="21" t="s">
        <v>72</v>
      </c>
    </row>
    <row r="480" customFormat="false" ht="15" hidden="false" customHeight="false" outlineLevel="0" collapsed="false">
      <c r="A480" s="15" t="s">
        <v>1082</v>
      </c>
      <c r="B480" s="15" t="s">
        <v>3831</v>
      </c>
      <c r="C480" s="14" t="s">
        <v>3923</v>
      </c>
      <c r="D480" s="14" t="s">
        <v>3924</v>
      </c>
      <c r="E480" s="16" t="s">
        <v>3925</v>
      </c>
      <c r="F480" s="16" t="s">
        <v>3926</v>
      </c>
      <c r="G480" s="25" t="s">
        <v>39</v>
      </c>
      <c r="H480" s="18" t="n">
        <v>11</v>
      </c>
      <c r="I480" s="20" t="n">
        <v>359.25</v>
      </c>
      <c r="J480" s="20" t="n">
        <v>652.21</v>
      </c>
      <c r="K480" s="18" t="n">
        <v>72</v>
      </c>
      <c r="L480" s="18" t="n">
        <v>190</v>
      </c>
      <c r="M480" s="18" t="n">
        <v>4320</v>
      </c>
      <c r="N480" s="18" t="n">
        <v>720</v>
      </c>
      <c r="O480" s="14" t="s">
        <v>1097</v>
      </c>
      <c r="P480" s="14" t="s">
        <v>515</v>
      </c>
      <c r="Q480" s="15" t="s">
        <v>1089</v>
      </c>
      <c r="R480" s="16" t="s">
        <v>1849</v>
      </c>
      <c r="S480" s="15" t="s">
        <v>3927</v>
      </c>
      <c r="T480" s="15" t="s">
        <v>3928</v>
      </c>
      <c r="U480" s="21" t="s">
        <v>72</v>
      </c>
    </row>
    <row r="481" customFormat="false" ht="15" hidden="false" customHeight="false" outlineLevel="0" collapsed="false">
      <c r="A481" s="15" t="s">
        <v>1082</v>
      </c>
      <c r="B481" s="15" t="s">
        <v>3831</v>
      </c>
      <c r="C481" s="14" t="s">
        <v>3929</v>
      </c>
      <c r="D481" s="14" t="s">
        <v>3930</v>
      </c>
      <c r="E481" s="16" t="s">
        <v>3931</v>
      </c>
      <c r="F481" s="16" t="s">
        <v>3932</v>
      </c>
      <c r="G481" s="23" t="s">
        <v>43</v>
      </c>
      <c r="H481" s="18" t="n">
        <v>2</v>
      </c>
      <c r="I481" s="20" t="n">
        <v>36.06</v>
      </c>
      <c r="J481" s="20" t="n">
        <v>120.39</v>
      </c>
      <c r="K481" s="18" t="n">
        <v>15</v>
      </c>
      <c r="L481" s="18" t="n">
        <v>4</v>
      </c>
      <c r="M481" s="18" t="n">
        <v>450</v>
      </c>
      <c r="N481" s="18" t="n">
        <v>90</v>
      </c>
      <c r="O481" s="14" t="s">
        <v>1088</v>
      </c>
      <c r="P481" s="14" t="s">
        <v>118</v>
      </c>
      <c r="Q481" s="15" t="s">
        <v>1089</v>
      </c>
      <c r="R481" s="16" t="s">
        <v>3933</v>
      </c>
      <c r="S481" s="15" t="s">
        <v>3934</v>
      </c>
      <c r="T481" s="15" t="s">
        <v>3934</v>
      </c>
      <c r="U481" s="21" t="s">
        <v>72</v>
      </c>
    </row>
    <row r="482" customFormat="false" ht="15" hidden="false" customHeight="false" outlineLevel="0" collapsed="false">
      <c r="A482" s="15" t="s">
        <v>1082</v>
      </c>
      <c r="B482" s="15" t="s">
        <v>3831</v>
      </c>
      <c r="C482" s="14" t="s">
        <v>3935</v>
      </c>
      <c r="D482" s="14" t="s">
        <v>3936</v>
      </c>
      <c r="E482" s="16" t="s">
        <v>3937</v>
      </c>
      <c r="F482" s="16" t="s">
        <v>3938</v>
      </c>
      <c r="G482" s="23" t="s">
        <v>43</v>
      </c>
      <c r="H482" s="18" t="n">
        <v>3</v>
      </c>
      <c r="I482" s="20" t="n">
        <v>58.39</v>
      </c>
      <c r="J482" s="20" t="n">
        <v>112.41</v>
      </c>
      <c r="K482" s="18" t="n">
        <v>15</v>
      </c>
      <c r="L482" s="18" t="n">
        <v>17</v>
      </c>
      <c r="M482" s="18" t="n">
        <v>435</v>
      </c>
      <c r="N482" s="18" t="n">
        <v>87</v>
      </c>
      <c r="O482" s="14" t="s">
        <v>1097</v>
      </c>
      <c r="P482" s="14" t="s">
        <v>84</v>
      </c>
      <c r="Q482" s="15" t="s">
        <v>1089</v>
      </c>
      <c r="R482" s="16" t="s">
        <v>3939</v>
      </c>
      <c r="S482" s="15" t="s">
        <v>3940</v>
      </c>
      <c r="T482" s="15" t="s">
        <v>3941</v>
      </c>
      <c r="U482" s="21" t="s">
        <v>72</v>
      </c>
    </row>
    <row r="483" customFormat="false" ht="15" hidden="false" customHeight="false" outlineLevel="0" collapsed="false">
      <c r="A483" s="15" t="s">
        <v>1082</v>
      </c>
      <c r="B483" s="15" t="s">
        <v>3831</v>
      </c>
      <c r="C483" s="14" t="s">
        <v>3942</v>
      </c>
      <c r="D483" s="14" t="s">
        <v>3943</v>
      </c>
      <c r="E483" s="16" t="s">
        <v>3944</v>
      </c>
      <c r="F483" s="16" t="s">
        <v>3945</v>
      </c>
      <c r="G483" s="23" t="s">
        <v>43</v>
      </c>
      <c r="H483" s="18" t="n">
        <v>3</v>
      </c>
      <c r="I483" s="20" t="n">
        <v>43.55</v>
      </c>
      <c r="J483" s="20" t="n">
        <v>79.05</v>
      </c>
      <c r="K483" s="18" t="n">
        <v>3</v>
      </c>
      <c r="L483" s="18" t="n">
        <v>3</v>
      </c>
      <c r="M483" s="18" t="n">
        <v>105</v>
      </c>
      <c r="N483" s="18" t="n">
        <v>105</v>
      </c>
      <c r="O483" s="14" t="s">
        <v>1088</v>
      </c>
      <c r="P483" s="14" t="s">
        <v>118</v>
      </c>
      <c r="Q483" s="15" t="s">
        <v>1089</v>
      </c>
      <c r="R483" s="16" t="s">
        <v>3946</v>
      </c>
      <c r="S483" s="15" t="s">
        <v>3947</v>
      </c>
      <c r="T483" s="15" t="s">
        <v>3947</v>
      </c>
      <c r="U483" s="21" t="s">
        <v>72</v>
      </c>
    </row>
    <row r="484" customFormat="false" ht="15" hidden="false" customHeight="false" outlineLevel="0" collapsed="false">
      <c r="A484" s="15" t="s">
        <v>1082</v>
      </c>
      <c r="B484" s="15" t="s">
        <v>3831</v>
      </c>
      <c r="C484" s="14" t="s">
        <v>3948</v>
      </c>
      <c r="D484" s="14" t="s">
        <v>3949</v>
      </c>
      <c r="E484" s="16" t="s">
        <v>3950</v>
      </c>
      <c r="F484" s="16" t="s">
        <v>3951</v>
      </c>
      <c r="G484" s="19" t="s">
        <v>41</v>
      </c>
      <c r="H484" s="18" t="n">
        <v>7</v>
      </c>
      <c r="I484" s="20" t="n">
        <v>166.29</v>
      </c>
      <c r="J484" s="20" t="n">
        <v>261.15</v>
      </c>
      <c r="K484" s="18" t="n">
        <v>10</v>
      </c>
      <c r="L484" s="18" t="n">
        <v>16</v>
      </c>
      <c r="M484" s="18" t="n">
        <v>600</v>
      </c>
      <c r="N484" s="18" t="n">
        <v>120</v>
      </c>
      <c r="O484" s="14" t="s">
        <v>1088</v>
      </c>
      <c r="P484" s="14" t="s">
        <v>118</v>
      </c>
      <c r="Q484" s="15" t="s">
        <v>1089</v>
      </c>
      <c r="R484" s="16" t="s">
        <v>1500</v>
      </c>
      <c r="S484" s="15" t="s">
        <v>3905</v>
      </c>
      <c r="T484" s="15" t="s">
        <v>3952</v>
      </c>
      <c r="U484" s="21" t="s">
        <v>72</v>
      </c>
    </row>
    <row r="485" customFormat="false" ht="15" hidden="false" customHeight="false" outlineLevel="0" collapsed="false">
      <c r="A485" s="15" t="s">
        <v>1082</v>
      </c>
      <c r="B485" s="15" t="s">
        <v>3831</v>
      </c>
      <c r="C485" s="14" t="s">
        <v>3953</v>
      </c>
      <c r="D485" s="14" t="s">
        <v>3954</v>
      </c>
      <c r="E485" s="16" t="s">
        <v>3955</v>
      </c>
      <c r="F485" s="16" t="s">
        <v>3956</v>
      </c>
      <c r="G485" s="23" t="s">
        <v>43</v>
      </c>
      <c r="H485" s="18" t="n">
        <v>4</v>
      </c>
      <c r="I485" s="20" t="n">
        <v>63.74</v>
      </c>
      <c r="J485" s="20" t="n">
        <v>110.09</v>
      </c>
      <c r="K485" s="18" t="n">
        <v>4</v>
      </c>
      <c r="L485" s="18" t="n">
        <v>7</v>
      </c>
      <c r="M485" s="18" t="n">
        <v>220</v>
      </c>
      <c r="N485" s="18" t="n">
        <v>220</v>
      </c>
      <c r="O485" s="14" t="s">
        <v>1097</v>
      </c>
      <c r="P485" s="14" t="s">
        <v>84</v>
      </c>
      <c r="Q485" s="15" t="s">
        <v>1089</v>
      </c>
      <c r="R485" s="16" t="s">
        <v>1739</v>
      </c>
      <c r="S485" s="15" t="s">
        <v>3957</v>
      </c>
      <c r="T485" s="15" t="s">
        <v>3957</v>
      </c>
      <c r="U485" s="21" t="s">
        <v>72</v>
      </c>
    </row>
    <row r="486" customFormat="false" ht="15" hidden="false" customHeight="false" outlineLevel="0" collapsed="false">
      <c r="A486" s="15" t="s">
        <v>1082</v>
      </c>
      <c r="B486" s="15" t="s">
        <v>3831</v>
      </c>
      <c r="C486" s="14" t="s">
        <v>3958</v>
      </c>
      <c r="D486" s="14" t="s">
        <v>3959</v>
      </c>
      <c r="E486" s="16" t="s">
        <v>3955</v>
      </c>
      <c r="F486" s="16" t="s">
        <v>3956</v>
      </c>
      <c r="G486" s="23" t="s">
        <v>43</v>
      </c>
      <c r="H486" s="18" t="n">
        <v>3</v>
      </c>
      <c r="I486" s="20" t="n">
        <v>64.18</v>
      </c>
      <c r="J486" s="20" t="n">
        <v>91.67</v>
      </c>
      <c r="K486" s="18" t="n">
        <v>3</v>
      </c>
      <c r="L486" s="18" t="n">
        <v>5</v>
      </c>
      <c r="M486" s="18" t="n">
        <v>135</v>
      </c>
      <c r="N486" s="18" t="n">
        <v>135</v>
      </c>
      <c r="O486" s="14" t="s">
        <v>1126</v>
      </c>
      <c r="P486" s="14" t="s">
        <v>84</v>
      </c>
      <c r="Q486" s="15" t="s">
        <v>1089</v>
      </c>
      <c r="R486" s="16" t="s">
        <v>1879</v>
      </c>
      <c r="S486" s="15" t="s">
        <v>3957</v>
      </c>
      <c r="T486" s="15" t="s">
        <v>3960</v>
      </c>
      <c r="U486" s="21" t="s">
        <v>72</v>
      </c>
    </row>
    <row r="487" customFormat="false" ht="15" hidden="false" customHeight="false" outlineLevel="0" collapsed="false">
      <c r="A487" s="15" t="s">
        <v>1082</v>
      </c>
      <c r="B487" s="15" t="s">
        <v>3831</v>
      </c>
      <c r="C487" s="14" t="s">
        <v>3961</v>
      </c>
      <c r="D487" s="14" t="s">
        <v>3962</v>
      </c>
      <c r="E487" s="16" t="s">
        <v>3955</v>
      </c>
      <c r="F487" s="16" t="s">
        <v>3956</v>
      </c>
      <c r="G487" s="23" t="s">
        <v>43</v>
      </c>
      <c r="H487" s="18" t="n">
        <v>3</v>
      </c>
      <c r="I487" s="20" t="n">
        <v>51.1</v>
      </c>
      <c r="J487" s="20" t="n">
        <v>85.73</v>
      </c>
      <c r="K487" s="18" t="n">
        <v>1</v>
      </c>
      <c r="L487" s="18" t="n">
        <v>3</v>
      </c>
      <c r="M487" s="18" t="n">
        <v>42</v>
      </c>
      <c r="N487" s="18" t="n">
        <v>42</v>
      </c>
      <c r="O487" s="14" t="s">
        <v>1097</v>
      </c>
      <c r="P487" s="14" t="s">
        <v>84</v>
      </c>
      <c r="Q487" s="15" t="s">
        <v>1089</v>
      </c>
      <c r="R487" s="16" t="s">
        <v>1704</v>
      </c>
      <c r="S487" s="15" t="s">
        <v>3957</v>
      </c>
      <c r="T487" s="15" t="s">
        <v>3963</v>
      </c>
      <c r="U487" s="21" t="s">
        <v>72</v>
      </c>
    </row>
    <row r="488" customFormat="false" ht="15" hidden="false" customHeight="false" outlineLevel="0" collapsed="false">
      <c r="A488" s="15" t="s">
        <v>1082</v>
      </c>
      <c r="B488" s="15" t="s">
        <v>3831</v>
      </c>
      <c r="C488" s="14" t="s">
        <v>3964</v>
      </c>
      <c r="D488" s="14" t="s">
        <v>3965</v>
      </c>
      <c r="E488" s="16" t="s">
        <v>3955</v>
      </c>
      <c r="F488" s="16" t="s">
        <v>3956</v>
      </c>
      <c r="G488" s="23" t="s">
        <v>43</v>
      </c>
      <c r="H488" s="18" t="n">
        <v>4</v>
      </c>
      <c r="I488" s="20" t="n">
        <v>106.4</v>
      </c>
      <c r="J488" s="20" t="n">
        <v>162</v>
      </c>
      <c r="K488" s="18" t="n">
        <v>4</v>
      </c>
      <c r="L488" s="18" t="n">
        <v>18</v>
      </c>
      <c r="M488" s="18" t="n">
        <v>120</v>
      </c>
      <c r="N488" s="18" t="n">
        <v>120</v>
      </c>
      <c r="O488" s="14" t="s">
        <v>1097</v>
      </c>
      <c r="P488" s="14" t="s">
        <v>84</v>
      </c>
      <c r="Q488" s="15" t="s">
        <v>1089</v>
      </c>
      <c r="R488" s="16" t="s">
        <v>1457</v>
      </c>
      <c r="S488" s="15" t="s">
        <v>3957</v>
      </c>
      <c r="T488" s="15" t="s">
        <v>3966</v>
      </c>
      <c r="U488" s="21" t="s">
        <v>72</v>
      </c>
    </row>
    <row r="489" customFormat="false" ht="15" hidden="false" customHeight="false" outlineLevel="0" collapsed="false">
      <c r="A489" s="15" t="s">
        <v>1082</v>
      </c>
      <c r="B489" s="15" t="s">
        <v>3831</v>
      </c>
      <c r="C489" s="14" t="s">
        <v>3967</v>
      </c>
      <c r="D489" s="14" t="s">
        <v>3968</v>
      </c>
      <c r="E489" s="16" t="s">
        <v>3969</v>
      </c>
      <c r="F489" s="16" t="s">
        <v>3970</v>
      </c>
      <c r="G489" s="19" t="s">
        <v>41</v>
      </c>
      <c r="H489" s="18" t="n">
        <v>5</v>
      </c>
      <c r="I489" s="20" t="n">
        <v>96.48</v>
      </c>
      <c r="J489" s="20" t="n">
        <v>149.89</v>
      </c>
      <c r="K489" s="18" t="n">
        <v>3</v>
      </c>
      <c r="L489" s="18" t="n">
        <v>27</v>
      </c>
      <c r="M489" s="18" t="n">
        <v>180</v>
      </c>
      <c r="N489" s="18" t="n">
        <v>60</v>
      </c>
      <c r="O489" s="14" t="s">
        <v>1088</v>
      </c>
      <c r="P489" s="14" t="s">
        <v>84</v>
      </c>
      <c r="Q489" s="15" t="s">
        <v>1089</v>
      </c>
      <c r="R489" s="16" t="s">
        <v>2435</v>
      </c>
      <c r="S489" s="15" t="s">
        <v>3971</v>
      </c>
      <c r="T489" s="15" t="s">
        <v>3972</v>
      </c>
      <c r="U489" s="21" t="s">
        <v>72</v>
      </c>
    </row>
    <row r="490" customFormat="false" ht="15" hidden="false" customHeight="false" outlineLevel="0" collapsed="false">
      <c r="A490" s="15" t="s">
        <v>1082</v>
      </c>
      <c r="B490" s="15" t="s">
        <v>3831</v>
      </c>
      <c r="C490" s="14" t="s">
        <v>3973</v>
      </c>
      <c r="D490" s="14" t="s">
        <v>3974</v>
      </c>
      <c r="E490" s="16" t="s">
        <v>3975</v>
      </c>
      <c r="F490" s="16" t="s">
        <v>3976</v>
      </c>
      <c r="G490" s="23" t="s">
        <v>43</v>
      </c>
      <c r="H490" s="18" t="n">
        <v>3</v>
      </c>
      <c r="I490" s="20" t="n">
        <v>44.15</v>
      </c>
      <c r="J490" s="20" t="n">
        <v>74.77</v>
      </c>
      <c r="K490" s="18" t="n">
        <v>25</v>
      </c>
      <c r="L490" s="18" t="n">
        <v>34</v>
      </c>
      <c r="M490" s="18" t="n">
        <v>900</v>
      </c>
      <c r="N490" s="18" t="n">
        <v>180</v>
      </c>
      <c r="O490" s="14" t="s">
        <v>1126</v>
      </c>
      <c r="P490" s="14" t="s">
        <v>84</v>
      </c>
      <c r="Q490" s="15" t="s">
        <v>1089</v>
      </c>
      <c r="R490" s="16" t="s">
        <v>3977</v>
      </c>
      <c r="S490" s="15" t="s">
        <v>3978</v>
      </c>
      <c r="T490" s="15" t="s">
        <v>3979</v>
      </c>
      <c r="U490" s="21" t="s">
        <v>72</v>
      </c>
    </row>
    <row r="491" customFormat="false" ht="15" hidden="false" customHeight="false" outlineLevel="0" collapsed="false">
      <c r="A491" s="15" t="s">
        <v>1082</v>
      </c>
      <c r="B491" s="15" t="s">
        <v>3831</v>
      </c>
      <c r="C491" s="14" t="s">
        <v>3980</v>
      </c>
      <c r="D491" s="14" t="s">
        <v>3981</v>
      </c>
      <c r="E491" s="16" t="s">
        <v>3982</v>
      </c>
      <c r="F491" s="16" t="s">
        <v>3938</v>
      </c>
      <c r="G491" s="23" t="s">
        <v>43</v>
      </c>
      <c r="H491" s="18" t="n">
        <v>3</v>
      </c>
      <c r="I491" s="20" t="n">
        <v>49.86</v>
      </c>
      <c r="J491" s="20" t="n">
        <v>126.66</v>
      </c>
      <c r="K491" s="18" t="n">
        <v>10</v>
      </c>
      <c r="L491" s="18" t="n">
        <v>10</v>
      </c>
      <c r="M491" s="18" t="n">
        <v>410</v>
      </c>
      <c r="N491" s="18" t="n">
        <v>82</v>
      </c>
      <c r="O491" s="14" t="s">
        <v>1097</v>
      </c>
      <c r="P491" s="14" t="s">
        <v>118</v>
      </c>
      <c r="Q491" s="15" t="s">
        <v>1089</v>
      </c>
      <c r="R491" s="16" t="s">
        <v>1340</v>
      </c>
      <c r="S491" s="15" t="s">
        <v>3983</v>
      </c>
      <c r="T491" s="15" t="s">
        <v>3984</v>
      </c>
      <c r="U491" s="21" t="s">
        <v>72</v>
      </c>
    </row>
    <row r="492" customFormat="false" ht="15" hidden="false" customHeight="false" outlineLevel="0" collapsed="false">
      <c r="A492" s="15" t="s">
        <v>1082</v>
      </c>
      <c r="B492" s="15" t="s">
        <v>3831</v>
      </c>
      <c r="C492" s="14" t="s">
        <v>3985</v>
      </c>
      <c r="D492" s="14" t="s">
        <v>3986</v>
      </c>
      <c r="E492" s="16" t="s">
        <v>3987</v>
      </c>
      <c r="F492" s="16" t="s">
        <v>3988</v>
      </c>
      <c r="G492" s="19" t="s">
        <v>41</v>
      </c>
      <c r="H492" s="18" t="n">
        <v>6</v>
      </c>
      <c r="I492" s="20" t="n">
        <v>81.9</v>
      </c>
      <c r="J492" s="20" t="n">
        <v>153.76</v>
      </c>
      <c r="K492" s="18" t="n">
        <v>15</v>
      </c>
      <c r="L492" s="18" t="n">
        <v>13</v>
      </c>
      <c r="M492" s="18" t="n">
        <v>480</v>
      </c>
      <c r="N492" s="18" t="n">
        <v>96</v>
      </c>
      <c r="O492" s="14" t="s">
        <v>1088</v>
      </c>
      <c r="P492" s="14" t="s">
        <v>118</v>
      </c>
      <c r="Q492" s="15" t="s">
        <v>1089</v>
      </c>
      <c r="R492" s="16" t="s">
        <v>2285</v>
      </c>
      <c r="S492" s="15" t="s">
        <v>3989</v>
      </c>
      <c r="T492" s="15" t="s">
        <v>3989</v>
      </c>
      <c r="U492" s="21" t="s">
        <v>72</v>
      </c>
    </row>
    <row r="493" customFormat="false" ht="15" hidden="false" customHeight="false" outlineLevel="0" collapsed="false">
      <c r="A493" s="15" t="s">
        <v>1082</v>
      </c>
      <c r="B493" s="15" t="s">
        <v>3831</v>
      </c>
      <c r="C493" s="14" t="s">
        <v>3990</v>
      </c>
      <c r="D493" s="14" t="s">
        <v>3991</v>
      </c>
      <c r="E493" s="16" t="s">
        <v>3992</v>
      </c>
      <c r="F493" s="16" t="s">
        <v>3993</v>
      </c>
      <c r="G493" s="23" t="s">
        <v>43</v>
      </c>
      <c r="H493" s="18" t="n">
        <v>4</v>
      </c>
      <c r="I493" s="20" t="n">
        <v>37.34</v>
      </c>
      <c r="J493" s="20" t="n">
        <v>95.55</v>
      </c>
      <c r="K493" s="18" t="n">
        <v>2</v>
      </c>
      <c r="L493" s="18" t="n">
        <v>4</v>
      </c>
      <c r="M493" s="18" t="n">
        <v>40</v>
      </c>
      <c r="N493" s="18" t="n">
        <v>20</v>
      </c>
      <c r="O493" s="14" t="s">
        <v>1097</v>
      </c>
      <c r="P493" s="14" t="s">
        <v>84</v>
      </c>
      <c r="Q493" s="15" t="s">
        <v>1089</v>
      </c>
      <c r="R493" s="16" t="s">
        <v>1514</v>
      </c>
      <c r="S493" s="15" t="s">
        <v>3994</v>
      </c>
      <c r="T493" s="15" t="s">
        <v>3994</v>
      </c>
      <c r="U493" s="21" t="s">
        <v>72</v>
      </c>
    </row>
    <row r="494" customFormat="false" ht="15" hidden="false" customHeight="false" outlineLevel="0" collapsed="false">
      <c r="A494" s="15" t="s">
        <v>1082</v>
      </c>
      <c r="B494" s="15" t="s">
        <v>3831</v>
      </c>
      <c r="C494" s="14" t="s">
        <v>3995</v>
      </c>
      <c r="D494" s="14" t="s">
        <v>3996</v>
      </c>
      <c r="E494" s="16" t="s">
        <v>3997</v>
      </c>
      <c r="F494" s="16" t="s">
        <v>3998</v>
      </c>
      <c r="G494" s="23" t="s">
        <v>43</v>
      </c>
      <c r="H494" s="18" t="n">
        <v>3</v>
      </c>
      <c r="I494" s="20" t="n">
        <v>77.74</v>
      </c>
      <c r="J494" s="20" t="n">
        <v>135.22</v>
      </c>
      <c r="K494" s="18" t="n">
        <v>44</v>
      </c>
      <c r="L494" s="18" t="n">
        <v>1</v>
      </c>
      <c r="M494" s="18" t="n">
        <v>2640</v>
      </c>
      <c r="N494" s="18" t="n">
        <v>240</v>
      </c>
      <c r="O494" s="14" t="s">
        <v>1097</v>
      </c>
      <c r="P494" s="14" t="s">
        <v>118</v>
      </c>
      <c r="Q494" s="15" t="s">
        <v>1089</v>
      </c>
      <c r="R494" s="16" t="s">
        <v>3999</v>
      </c>
      <c r="S494" s="15" t="s">
        <v>4000</v>
      </c>
      <c r="T494" s="15" t="s">
        <v>4000</v>
      </c>
      <c r="U494" s="21" t="s">
        <v>72</v>
      </c>
    </row>
    <row r="495" customFormat="false" ht="15" hidden="false" customHeight="false" outlineLevel="0" collapsed="false">
      <c r="A495" s="15" t="s">
        <v>1082</v>
      </c>
      <c r="B495" s="15" t="s">
        <v>3831</v>
      </c>
      <c r="C495" s="14" t="s">
        <v>4001</v>
      </c>
      <c r="D495" s="14" t="s">
        <v>4002</v>
      </c>
      <c r="E495" s="16" t="s">
        <v>4003</v>
      </c>
      <c r="F495" s="16" t="s">
        <v>4004</v>
      </c>
      <c r="G495" s="23" t="s">
        <v>43</v>
      </c>
      <c r="H495" s="18" t="n">
        <v>3</v>
      </c>
      <c r="I495" s="20" t="n">
        <v>56.05</v>
      </c>
      <c r="J495" s="20" t="n">
        <v>101.94</v>
      </c>
      <c r="K495" s="18" t="n">
        <v>15</v>
      </c>
      <c r="L495" s="18" t="n">
        <v>1</v>
      </c>
      <c r="M495" s="18" t="n">
        <v>270</v>
      </c>
      <c r="N495" s="18" t="n">
        <v>54</v>
      </c>
      <c r="O495" s="14" t="s">
        <v>1088</v>
      </c>
      <c r="P495" s="14" t="s">
        <v>334</v>
      </c>
      <c r="Q495" s="15" t="s">
        <v>1089</v>
      </c>
      <c r="R495" s="16" t="s">
        <v>4005</v>
      </c>
      <c r="S495" s="15" t="s">
        <v>4006</v>
      </c>
      <c r="T495" s="15" t="s">
        <v>4006</v>
      </c>
      <c r="U495" s="21" t="s">
        <v>72</v>
      </c>
    </row>
    <row r="496" customFormat="false" ht="15" hidden="false" customHeight="false" outlineLevel="0" collapsed="false">
      <c r="A496" s="15" t="s">
        <v>1082</v>
      </c>
      <c r="B496" s="15" t="s">
        <v>3831</v>
      </c>
      <c r="C496" s="14" t="s">
        <v>4007</v>
      </c>
      <c r="D496" s="14" t="s">
        <v>4008</v>
      </c>
      <c r="E496" s="16" t="s">
        <v>4009</v>
      </c>
      <c r="F496" s="16"/>
      <c r="G496" s="23" t="s">
        <v>43</v>
      </c>
      <c r="H496" s="18" t="n">
        <v>2</v>
      </c>
      <c r="I496" s="20" t="n">
        <v>40.59</v>
      </c>
      <c r="J496" s="20" t="n">
        <v>72.13</v>
      </c>
      <c r="K496" s="18" t="n">
        <v>12</v>
      </c>
      <c r="L496" s="18" t="n">
        <v>4</v>
      </c>
      <c r="M496" s="18" t="n">
        <v>408</v>
      </c>
      <c r="N496" s="18" t="n">
        <v>68</v>
      </c>
      <c r="O496" s="14" t="s">
        <v>1126</v>
      </c>
      <c r="P496" s="14" t="s">
        <v>84</v>
      </c>
      <c r="Q496" s="15" t="s">
        <v>1089</v>
      </c>
      <c r="R496" s="16" t="s">
        <v>4010</v>
      </c>
      <c r="S496" s="15" t="s">
        <v>4011</v>
      </c>
      <c r="T496" s="15" t="s">
        <v>4012</v>
      </c>
      <c r="U496" s="21" t="s">
        <v>72</v>
      </c>
    </row>
    <row r="497" customFormat="false" ht="15" hidden="false" customHeight="false" outlineLevel="0" collapsed="false">
      <c r="A497" s="15" t="s">
        <v>1082</v>
      </c>
      <c r="B497" s="15" t="s">
        <v>3831</v>
      </c>
      <c r="C497" s="14" t="s">
        <v>4013</v>
      </c>
      <c r="D497" s="14" t="s">
        <v>4014</v>
      </c>
      <c r="E497" s="16" t="s">
        <v>4015</v>
      </c>
      <c r="F497" s="16" t="s">
        <v>4016</v>
      </c>
      <c r="G497" s="23" t="s">
        <v>43</v>
      </c>
      <c r="H497" s="18" t="n">
        <v>3</v>
      </c>
      <c r="I497" s="20" t="n">
        <v>51.5</v>
      </c>
      <c r="J497" s="20" t="n">
        <v>99.38</v>
      </c>
      <c r="K497" s="18" t="n">
        <v>16</v>
      </c>
      <c r="L497" s="18" t="n">
        <v>5</v>
      </c>
      <c r="M497" s="18" t="n">
        <v>672</v>
      </c>
      <c r="N497" s="18" t="n">
        <v>168</v>
      </c>
      <c r="O497" s="14" t="s">
        <v>1088</v>
      </c>
      <c r="P497" s="14" t="s">
        <v>118</v>
      </c>
      <c r="Q497" s="15" t="s">
        <v>1089</v>
      </c>
      <c r="R497" s="16" t="s">
        <v>2732</v>
      </c>
      <c r="S497" s="15" t="s">
        <v>4017</v>
      </c>
      <c r="T497" s="15" t="s">
        <v>4018</v>
      </c>
      <c r="U497" s="21" t="s">
        <v>72</v>
      </c>
    </row>
    <row r="498" customFormat="false" ht="15" hidden="false" customHeight="false" outlineLevel="0" collapsed="false">
      <c r="A498" s="15" t="s">
        <v>1082</v>
      </c>
      <c r="B498" s="15" t="s">
        <v>3831</v>
      </c>
      <c r="C498" s="14" t="s">
        <v>4019</v>
      </c>
      <c r="D498" s="14" t="s">
        <v>4020</v>
      </c>
      <c r="E498" s="16" t="s">
        <v>4021</v>
      </c>
      <c r="F498" s="16" t="s">
        <v>4022</v>
      </c>
      <c r="G498" s="23" t="s">
        <v>43</v>
      </c>
      <c r="H498" s="18" t="n">
        <v>3</v>
      </c>
      <c r="I498" s="20" t="n">
        <v>95</v>
      </c>
      <c r="J498" s="20" t="n">
        <v>135.84</v>
      </c>
      <c r="K498" s="18" t="n">
        <v>4</v>
      </c>
      <c r="L498" s="18" t="n">
        <v>16</v>
      </c>
      <c r="M498" s="18" t="n">
        <v>192</v>
      </c>
      <c r="N498" s="18" t="n">
        <v>96</v>
      </c>
      <c r="O498" s="14" t="s">
        <v>1097</v>
      </c>
      <c r="P498" s="14" t="s">
        <v>84</v>
      </c>
      <c r="Q498" s="15" t="s">
        <v>1089</v>
      </c>
      <c r="R498" s="16" t="s">
        <v>1785</v>
      </c>
      <c r="S498" s="16" t="s">
        <v>1222</v>
      </c>
      <c r="T498" s="15" t="s">
        <v>4023</v>
      </c>
      <c r="U498" s="21" t="s">
        <v>72</v>
      </c>
    </row>
    <row r="499" customFormat="false" ht="15" hidden="false" customHeight="false" outlineLevel="0" collapsed="false">
      <c r="A499" s="15" t="s">
        <v>1082</v>
      </c>
      <c r="B499" s="15" t="s">
        <v>3831</v>
      </c>
      <c r="C499" s="14" t="s">
        <v>4024</v>
      </c>
      <c r="D499" s="14" t="s">
        <v>4025</v>
      </c>
      <c r="E499" s="16" t="s">
        <v>4021</v>
      </c>
      <c r="F499" s="16" t="s">
        <v>4022</v>
      </c>
      <c r="G499" s="23" t="s">
        <v>43</v>
      </c>
      <c r="H499" s="18" t="n">
        <v>2</v>
      </c>
      <c r="I499" s="20" t="n">
        <v>112.47</v>
      </c>
      <c r="J499" s="20" t="n">
        <v>147.83</v>
      </c>
      <c r="K499" s="18" t="n">
        <v>2</v>
      </c>
      <c r="L499" s="18" t="n">
        <v>16</v>
      </c>
      <c r="M499" s="18" t="n">
        <v>120</v>
      </c>
      <c r="N499" s="18" t="n">
        <v>120</v>
      </c>
      <c r="O499" s="14" t="s">
        <v>1097</v>
      </c>
      <c r="P499" s="14" t="s">
        <v>84</v>
      </c>
      <c r="Q499" s="15" t="s">
        <v>1089</v>
      </c>
      <c r="R499" s="16" t="s">
        <v>2150</v>
      </c>
      <c r="S499" s="16" t="s">
        <v>1222</v>
      </c>
      <c r="T499" s="15" t="s">
        <v>4026</v>
      </c>
      <c r="U499" s="21" t="s">
        <v>72</v>
      </c>
    </row>
    <row r="500" customFormat="false" ht="15" hidden="false" customHeight="false" outlineLevel="0" collapsed="false">
      <c r="A500" s="15" t="s">
        <v>1082</v>
      </c>
      <c r="B500" s="15" t="s">
        <v>3831</v>
      </c>
      <c r="C500" s="14" t="s">
        <v>4027</v>
      </c>
      <c r="D500" s="14" t="s">
        <v>4028</v>
      </c>
      <c r="E500" s="16" t="s">
        <v>4021</v>
      </c>
      <c r="F500" s="16" t="s">
        <v>4022</v>
      </c>
      <c r="G500" s="23" t="s">
        <v>43</v>
      </c>
      <c r="H500" s="18" t="n">
        <v>2</v>
      </c>
      <c r="I500" s="20" t="n">
        <v>109.94</v>
      </c>
      <c r="J500" s="20" t="n">
        <v>157.76</v>
      </c>
      <c r="K500" s="18" t="n">
        <v>2</v>
      </c>
      <c r="L500" s="18" t="n">
        <v>17</v>
      </c>
      <c r="M500" s="18" t="n">
        <v>120</v>
      </c>
      <c r="N500" s="18" t="n">
        <v>120</v>
      </c>
      <c r="O500" s="14" t="s">
        <v>1097</v>
      </c>
      <c r="P500" s="14" t="s">
        <v>84</v>
      </c>
      <c r="Q500" s="15" t="s">
        <v>1089</v>
      </c>
      <c r="R500" s="16" t="s">
        <v>1902</v>
      </c>
      <c r="S500" s="16" t="s">
        <v>1222</v>
      </c>
      <c r="T500" s="15" t="s">
        <v>4029</v>
      </c>
      <c r="U500" s="21" t="s">
        <v>72</v>
      </c>
    </row>
    <row r="501" customFormat="false" ht="15" hidden="false" customHeight="false" outlineLevel="0" collapsed="false">
      <c r="A501" s="15" t="s">
        <v>1082</v>
      </c>
      <c r="B501" s="15" t="s">
        <v>3831</v>
      </c>
      <c r="C501" s="14" t="s">
        <v>4030</v>
      </c>
      <c r="D501" s="14" t="s">
        <v>4031</v>
      </c>
      <c r="E501" s="16" t="s">
        <v>4032</v>
      </c>
      <c r="F501" s="16" t="s">
        <v>4033</v>
      </c>
      <c r="G501" s="23" t="s">
        <v>43</v>
      </c>
      <c r="H501" s="18" t="n">
        <v>2</v>
      </c>
      <c r="I501" s="20" t="n">
        <v>48.84</v>
      </c>
      <c r="J501" s="20" t="n">
        <v>86.29</v>
      </c>
      <c r="K501" s="18" t="n">
        <v>14</v>
      </c>
      <c r="L501" s="18" t="n">
        <v>6</v>
      </c>
      <c r="M501" s="18" t="n">
        <v>560</v>
      </c>
      <c r="N501" s="18" t="n">
        <v>80</v>
      </c>
      <c r="O501" s="14" t="s">
        <v>1097</v>
      </c>
      <c r="P501" s="14" t="s">
        <v>118</v>
      </c>
      <c r="Q501" s="15" t="s">
        <v>1089</v>
      </c>
      <c r="R501" s="16" t="s">
        <v>1199</v>
      </c>
      <c r="S501" s="15" t="s">
        <v>4034</v>
      </c>
      <c r="T501" s="15" t="s">
        <v>4035</v>
      </c>
      <c r="U501" s="21" t="s">
        <v>72</v>
      </c>
    </row>
    <row r="502" customFormat="false" ht="15" hidden="false" customHeight="false" outlineLevel="0" collapsed="false">
      <c r="A502" s="15" t="s">
        <v>1082</v>
      </c>
      <c r="B502" s="15" t="s">
        <v>3831</v>
      </c>
      <c r="C502" s="14" t="s">
        <v>4036</v>
      </c>
      <c r="D502" s="14" t="s">
        <v>4037</v>
      </c>
      <c r="E502" s="16" t="s">
        <v>4038</v>
      </c>
      <c r="F502" s="16" t="s">
        <v>4039</v>
      </c>
      <c r="G502" s="19" t="s">
        <v>41</v>
      </c>
      <c r="H502" s="18" t="n">
        <v>5</v>
      </c>
      <c r="I502" s="20" t="n">
        <v>83.63</v>
      </c>
      <c r="J502" s="20" t="n">
        <v>154.77</v>
      </c>
      <c r="K502" s="18" t="n">
        <v>30</v>
      </c>
      <c r="L502" s="18" t="n">
        <v>7</v>
      </c>
      <c r="M502" s="18" t="n">
        <v>1080</v>
      </c>
      <c r="N502" s="18" t="n">
        <v>216</v>
      </c>
      <c r="O502" s="14" t="s">
        <v>1126</v>
      </c>
      <c r="P502" s="14" t="s">
        <v>84</v>
      </c>
      <c r="Q502" s="15" t="s">
        <v>1089</v>
      </c>
      <c r="R502" s="16" t="s">
        <v>4010</v>
      </c>
      <c r="S502" s="15" t="s">
        <v>1629</v>
      </c>
      <c r="T502" s="15" t="s">
        <v>4040</v>
      </c>
      <c r="U502" s="21" t="s">
        <v>72</v>
      </c>
    </row>
    <row r="503" customFormat="false" ht="15" hidden="false" customHeight="false" outlineLevel="0" collapsed="false">
      <c r="A503" s="15" t="s">
        <v>1082</v>
      </c>
      <c r="B503" s="15" t="s">
        <v>3831</v>
      </c>
      <c r="C503" s="14" t="s">
        <v>4041</v>
      </c>
      <c r="D503" s="14" t="s">
        <v>4042</v>
      </c>
      <c r="E503" s="16" t="s">
        <v>4043</v>
      </c>
      <c r="F503" s="16" t="s">
        <v>4044</v>
      </c>
      <c r="G503" s="23" t="s">
        <v>43</v>
      </c>
      <c r="H503" s="18" t="n">
        <v>4</v>
      </c>
      <c r="I503" s="20" t="n">
        <v>59.54</v>
      </c>
      <c r="J503" s="20" t="n">
        <v>124.16</v>
      </c>
      <c r="K503" s="18" t="n">
        <v>20</v>
      </c>
      <c r="L503" s="18" t="n">
        <v>34</v>
      </c>
      <c r="M503" s="18" t="n">
        <v>1200</v>
      </c>
      <c r="N503" s="18" t="n">
        <v>240</v>
      </c>
      <c r="O503" s="14" t="s">
        <v>1126</v>
      </c>
      <c r="P503" s="14" t="s">
        <v>84</v>
      </c>
      <c r="Q503" s="15" t="s">
        <v>1089</v>
      </c>
      <c r="R503" s="16" t="s">
        <v>4045</v>
      </c>
      <c r="S503" s="15" t="s">
        <v>4046</v>
      </c>
      <c r="T503" s="15" t="s">
        <v>4046</v>
      </c>
      <c r="U503" s="21" t="s">
        <v>72</v>
      </c>
    </row>
    <row r="504" customFormat="false" ht="15" hidden="false" customHeight="false" outlineLevel="0" collapsed="false">
      <c r="A504" s="15" t="s">
        <v>1082</v>
      </c>
      <c r="B504" s="15" t="s">
        <v>3831</v>
      </c>
      <c r="C504" s="14" t="s">
        <v>4047</v>
      </c>
      <c r="D504" s="14" t="s">
        <v>4048</v>
      </c>
      <c r="E504" s="16" t="s">
        <v>4049</v>
      </c>
      <c r="F504" s="16" t="s">
        <v>4039</v>
      </c>
      <c r="G504" s="23" t="s">
        <v>43</v>
      </c>
      <c r="H504" s="18" t="n">
        <v>3</v>
      </c>
      <c r="I504" s="20" t="n">
        <v>46.09</v>
      </c>
      <c r="J504" s="20" t="n">
        <v>112.56</v>
      </c>
      <c r="K504" s="18" t="n">
        <v>3</v>
      </c>
      <c r="L504" s="18" t="n">
        <v>5</v>
      </c>
      <c r="M504" s="18" t="n">
        <v>114</v>
      </c>
      <c r="N504" s="18" t="n">
        <v>114</v>
      </c>
      <c r="O504" s="14" t="s">
        <v>1097</v>
      </c>
      <c r="P504" s="14" t="s">
        <v>84</v>
      </c>
      <c r="Q504" s="15" t="s">
        <v>1089</v>
      </c>
      <c r="R504" s="16" t="s">
        <v>1959</v>
      </c>
      <c r="S504" s="15" t="s">
        <v>1629</v>
      </c>
      <c r="T504" s="15" t="s">
        <v>4050</v>
      </c>
      <c r="U504" s="21" t="s">
        <v>72</v>
      </c>
    </row>
    <row r="505" customFormat="false" ht="15" hidden="false" customHeight="false" outlineLevel="0" collapsed="false">
      <c r="A505" s="15" t="s">
        <v>1082</v>
      </c>
      <c r="B505" s="15" t="s">
        <v>3831</v>
      </c>
      <c r="C505" s="14" t="s">
        <v>4051</v>
      </c>
      <c r="D505" s="14" t="s">
        <v>4052</v>
      </c>
      <c r="E505" s="16" t="s">
        <v>4053</v>
      </c>
      <c r="F505" s="16" t="s">
        <v>4054</v>
      </c>
      <c r="G505" s="23" t="s">
        <v>43</v>
      </c>
      <c r="H505" s="18" t="n">
        <v>3</v>
      </c>
      <c r="I505" s="20" t="n">
        <v>37.1</v>
      </c>
      <c r="J505" s="20" t="n">
        <v>100.22</v>
      </c>
      <c r="K505" s="18" t="n">
        <v>9</v>
      </c>
      <c r="L505" s="18" t="n">
        <v>2</v>
      </c>
      <c r="M505" s="18" t="n">
        <v>270</v>
      </c>
      <c r="N505" s="18" t="n">
        <v>90</v>
      </c>
      <c r="O505" s="14" t="s">
        <v>1126</v>
      </c>
      <c r="P505" s="14" t="s">
        <v>84</v>
      </c>
      <c r="Q505" s="15" t="s">
        <v>1089</v>
      </c>
      <c r="R505" s="16" t="s">
        <v>2382</v>
      </c>
      <c r="S505" s="15" t="s">
        <v>4055</v>
      </c>
      <c r="T505" s="15" t="s">
        <v>4055</v>
      </c>
      <c r="U505" s="21" t="s">
        <v>72</v>
      </c>
    </row>
    <row r="506" customFormat="false" ht="15" hidden="false" customHeight="false" outlineLevel="0" collapsed="false">
      <c r="A506" s="15" t="s">
        <v>1082</v>
      </c>
      <c r="B506" s="15" t="s">
        <v>3831</v>
      </c>
      <c r="C506" s="14" t="s">
        <v>4056</v>
      </c>
      <c r="D506" s="14" t="s">
        <v>4057</v>
      </c>
      <c r="E506" s="16" t="s">
        <v>4058</v>
      </c>
      <c r="F506" s="16" t="s">
        <v>4059</v>
      </c>
      <c r="G506" s="23" t="s">
        <v>43</v>
      </c>
      <c r="H506" s="18" t="n">
        <v>4</v>
      </c>
      <c r="I506" s="20" t="n">
        <v>86.44</v>
      </c>
      <c r="J506" s="20" t="n">
        <v>129.55</v>
      </c>
      <c r="K506" s="18" t="n">
        <v>4</v>
      </c>
      <c r="L506" s="18" t="n">
        <v>1</v>
      </c>
      <c r="M506" s="18" t="n">
        <v>240</v>
      </c>
      <c r="N506" s="18" t="n">
        <v>240</v>
      </c>
      <c r="O506" s="14" t="s">
        <v>1126</v>
      </c>
      <c r="P506" s="14" t="s">
        <v>84</v>
      </c>
      <c r="Q506" s="15" t="s">
        <v>1089</v>
      </c>
      <c r="R506" s="16" t="s">
        <v>1879</v>
      </c>
      <c r="S506" s="15" t="s">
        <v>4060</v>
      </c>
      <c r="T506" s="15" t="s">
        <v>4060</v>
      </c>
      <c r="U506" s="21" t="s">
        <v>72</v>
      </c>
    </row>
    <row r="507" customFormat="false" ht="15" hidden="false" customHeight="false" outlineLevel="0" collapsed="false">
      <c r="A507" s="15" t="s">
        <v>1082</v>
      </c>
      <c r="B507" s="15" t="s">
        <v>3831</v>
      </c>
      <c r="C507" s="14" t="s">
        <v>4061</v>
      </c>
      <c r="D507" s="14" t="s">
        <v>4062</v>
      </c>
      <c r="E507" s="16" t="s">
        <v>4063</v>
      </c>
      <c r="F507" s="16" t="s">
        <v>4064</v>
      </c>
      <c r="G507" s="25" t="s">
        <v>39</v>
      </c>
      <c r="H507" s="18" t="n">
        <v>10</v>
      </c>
      <c r="I507" s="20" t="n">
        <v>183.19</v>
      </c>
      <c r="J507" s="20" t="n">
        <v>309.57</v>
      </c>
      <c r="K507" s="18" t="n">
        <v>12</v>
      </c>
      <c r="L507" s="18" t="n">
        <v>4</v>
      </c>
      <c r="M507" s="18" t="n">
        <v>540</v>
      </c>
      <c r="N507" s="18" t="n">
        <v>135</v>
      </c>
      <c r="O507" s="14" t="s">
        <v>1097</v>
      </c>
      <c r="P507" s="14" t="s">
        <v>84</v>
      </c>
      <c r="Q507" s="15" t="s">
        <v>1089</v>
      </c>
      <c r="R507" s="16" t="s">
        <v>1994</v>
      </c>
      <c r="S507" s="15" t="s">
        <v>4065</v>
      </c>
      <c r="T507" s="15" t="s">
        <v>4066</v>
      </c>
      <c r="U507" s="21" t="s">
        <v>72</v>
      </c>
    </row>
    <row r="508" customFormat="false" ht="15" hidden="false" customHeight="false" outlineLevel="0" collapsed="false">
      <c r="A508" s="15" t="s">
        <v>1082</v>
      </c>
      <c r="B508" s="15" t="s">
        <v>3831</v>
      </c>
      <c r="C508" s="14" t="s">
        <v>4067</v>
      </c>
      <c r="D508" s="14" t="s">
        <v>4068</v>
      </c>
      <c r="E508" s="16" t="s">
        <v>4069</v>
      </c>
      <c r="F508" s="16" t="s">
        <v>4070</v>
      </c>
      <c r="G508" s="23" t="s">
        <v>43</v>
      </c>
      <c r="H508" s="18" t="n">
        <v>3</v>
      </c>
      <c r="I508" s="20" t="n">
        <v>47.21</v>
      </c>
      <c r="J508" s="20" t="n">
        <v>102.44</v>
      </c>
      <c r="K508" s="18" t="n">
        <v>9</v>
      </c>
      <c r="L508" s="18" t="n">
        <v>3</v>
      </c>
      <c r="M508" s="18" t="n">
        <v>351</v>
      </c>
      <c r="N508" s="18" t="n">
        <v>117</v>
      </c>
      <c r="O508" s="14" t="s">
        <v>1088</v>
      </c>
      <c r="P508" s="14" t="s">
        <v>84</v>
      </c>
      <c r="Q508" s="15" t="s">
        <v>1089</v>
      </c>
      <c r="R508" s="16" t="s">
        <v>4010</v>
      </c>
      <c r="S508" s="15" t="s">
        <v>3500</v>
      </c>
      <c r="T508" s="15" t="s">
        <v>3499</v>
      </c>
      <c r="U508" s="21" t="s">
        <v>72</v>
      </c>
    </row>
    <row r="509" customFormat="false" ht="15" hidden="false" customHeight="false" outlineLevel="0" collapsed="false">
      <c r="A509" s="15" t="s">
        <v>1082</v>
      </c>
      <c r="B509" s="15" t="s">
        <v>3831</v>
      </c>
      <c r="C509" s="14" t="s">
        <v>4071</v>
      </c>
      <c r="D509" s="14" t="s">
        <v>4072</v>
      </c>
      <c r="E509" s="16" t="s">
        <v>4073</v>
      </c>
      <c r="F509" s="16" t="s">
        <v>4074</v>
      </c>
      <c r="G509" s="19" t="s">
        <v>41</v>
      </c>
      <c r="H509" s="18" t="n">
        <v>4</v>
      </c>
      <c r="I509" s="20" t="n">
        <v>116.67</v>
      </c>
      <c r="J509" s="20" t="n">
        <v>213.39</v>
      </c>
      <c r="K509" s="18" t="n">
        <v>8</v>
      </c>
      <c r="L509" s="18" t="n">
        <v>2</v>
      </c>
      <c r="M509" s="18" t="n">
        <v>480</v>
      </c>
      <c r="N509" s="18" t="n">
        <v>240</v>
      </c>
      <c r="O509" s="14" t="s">
        <v>1126</v>
      </c>
      <c r="P509" s="14" t="s">
        <v>84</v>
      </c>
      <c r="Q509" s="15" t="s">
        <v>1089</v>
      </c>
      <c r="R509" s="16" t="s">
        <v>4075</v>
      </c>
      <c r="S509" s="15" t="s">
        <v>4076</v>
      </c>
      <c r="T509" s="15" t="s">
        <v>4077</v>
      </c>
      <c r="U509" s="21" t="s">
        <v>72</v>
      </c>
    </row>
    <row r="510" customFormat="false" ht="15" hidden="false" customHeight="false" outlineLevel="0" collapsed="false">
      <c r="A510" s="15" t="s">
        <v>1082</v>
      </c>
      <c r="B510" s="15" t="s">
        <v>3831</v>
      </c>
      <c r="C510" s="14" t="s">
        <v>4078</v>
      </c>
      <c r="D510" s="14" t="s">
        <v>4079</v>
      </c>
      <c r="E510" s="16" t="s">
        <v>4080</v>
      </c>
      <c r="F510" s="16" t="s">
        <v>4081</v>
      </c>
      <c r="G510" s="23" t="s">
        <v>43</v>
      </c>
      <c r="H510" s="18" t="n">
        <v>4</v>
      </c>
      <c r="I510" s="20" t="n">
        <v>64.72</v>
      </c>
      <c r="J510" s="20" t="n">
        <v>147.14</v>
      </c>
      <c r="K510" s="18" t="n">
        <v>12</v>
      </c>
      <c r="L510" s="18" t="n">
        <v>37</v>
      </c>
      <c r="M510" s="18" t="n">
        <v>660</v>
      </c>
      <c r="N510" s="18" t="n">
        <v>220</v>
      </c>
      <c r="O510" s="14" t="s">
        <v>1088</v>
      </c>
      <c r="P510" s="14" t="s">
        <v>118</v>
      </c>
      <c r="Q510" s="15" t="s">
        <v>1089</v>
      </c>
      <c r="R510" s="16" t="s">
        <v>1596</v>
      </c>
      <c r="S510" s="15" t="s">
        <v>2651</v>
      </c>
      <c r="T510" s="15" t="s">
        <v>4082</v>
      </c>
      <c r="U510" s="21" t="s">
        <v>72</v>
      </c>
    </row>
    <row r="511" customFormat="false" ht="15" hidden="false" customHeight="false" outlineLevel="0" collapsed="false">
      <c r="A511" s="15" t="s">
        <v>1082</v>
      </c>
      <c r="B511" s="15" t="s">
        <v>3831</v>
      </c>
      <c r="C511" s="14" t="s">
        <v>4083</v>
      </c>
      <c r="D511" s="14" t="s">
        <v>4084</v>
      </c>
      <c r="E511" s="16" t="s">
        <v>4085</v>
      </c>
      <c r="F511" s="16" t="s">
        <v>4086</v>
      </c>
      <c r="G511" s="23" t="s">
        <v>43</v>
      </c>
      <c r="H511" s="18" t="n">
        <v>3</v>
      </c>
      <c r="I511" s="20" t="n">
        <v>60.2</v>
      </c>
      <c r="J511" s="20" t="n">
        <v>156.38</v>
      </c>
      <c r="K511" s="18" t="n">
        <v>6</v>
      </c>
      <c r="L511" s="18" t="n">
        <v>22</v>
      </c>
      <c r="M511" s="18" t="n">
        <v>300</v>
      </c>
      <c r="N511" s="18" t="n">
        <v>150</v>
      </c>
      <c r="O511" s="14" t="s">
        <v>1126</v>
      </c>
      <c r="P511" s="14" t="s">
        <v>84</v>
      </c>
      <c r="Q511" s="15" t="s">
        <v>1089</v>
      </c>
      <c r="R511" s="16" t="s">
        <v>1160</v>
      </c>
      <c r="S511" s="15" t="s">
        <v>4087</v>
      </c>
      <c r="T511" s="15" t="s">
        <v>4088</v>
      </c>
      <c r="U511" s="21" t="s">
        <v>72</v>
      </c>
    </row>
    <row r="512" customFormat="false" ht="15" hidden="false" customHeight="false" outlineLevel="0" collapsed="false">
      <c r="A512" s="15" t="s">
        <v>1082</v>
      </c>
      <c r="B512" s="15" t="s">
        <v>3831</v>
      </c>
      <c r="C512" s="14" t="s">
        <v>4089</v>
      </c>
      <c r="D512" s="14" t="s">
        <v>4090</v>
      </c>
      <c r="E512" s="16" t="s">
        <v>4091</v>
      </c>
      <c r="F512" s="16" t="s">
        <v>1790</v>
      </c>
      <c r="G512" s="23" t="s">
        <v>43</v>
      </c>
      <c r="H512" s="18" t="n">
        <v>3</v>
      </c>
      <c r="I512" s="20" t="n">
        <v>85.32</v>
      </c>
      <c r="J512" s="20" t="n">
        <v>148.33</v>
      </c>
      <c r="K512" s="18" t="n">
        <v>6</v>
      </c>
      <c r="L512" s="18" t="n">
        <v>13</v>
      </c>
      <c r="M512" s="18" t="n">
        <v>150</v>
      </c>
      <c r="N512" s="18" t="n">
        <v>150</v>
      </c>
      <c r="O512" s="14" t="s">
        <v>4092</v>
      </c>
      <c r="P512" s="14" t="s">
        <v>84</v>
      </c>
      <c r="Q512" s="15" t="s">
        <v>1089</v>
      </c>
      <c r="R512" s="16" t="s">
        <v>4093</v>
      </c>
      <c r="S512" s="15" t="s">
        <v>1792</v>
      </c>
      <c r="T512" s="15" t="s">
        <v>4094</v>
      </c>
      <c r="U512" s="21" t="s">
        <v>72</v>
      </c>
    </row>
    <row r="513" customFormat="false" ht="26.85" hidden="false" customHeight="false" outlineLevel="0" collapsed="false">
      <c r="A513" s="15" t="s">
        <v>1082</v>
      </c>
      <c r="B513" s="15" t="s">
        <v>3831</v>
      </c>
      <c r="C513" s="14" t="s">
        <v>4095</v>
      </c>
      <c r="D513" s="14" t="s">
        <v>4096</v>
      </c>
      <c r="E513" s="16" t="s">
        <v>4091</v>
      </c>
      <c r="F513" s="16" t="s">
        <v>1790</v>
      </c>
      <c r="G513" s="23" t="s">
        <v>43</v>
      </c>
      <c r="H513" s="18" t="n">
        <v>2</v>
      </c>
      <c r="I513" s="20" t="n">
        <v>65.27</v>
      </c>
      <c r="J513" s="20" t="n">
        <v>179.35</v>
      </c>
      <c r="K513" s="18" t="n">
        <v>4</v>
      </c>
      <c r="L513" s="18" t="n">
        <v>13</v>
      </c>
      <c r="M513" s="18" t="n">
        <v>108</v>
      </c>
      <c r="N513" s="18" t="n">
        <v>108</v>
      </c>
      <c r="O513" s="14" t="s">
        <v>4092</v>
      </c>
      <c r="P513" s="14" t="s">
        <v>84</v>
      </c>
      <c r="Q513" s="15" t="s">
        <v>1089</v>
      </c>
      <c r="R513" s="16" t="s">
        <v>4097</v>
      </c>
      <c r="S513" s="15" t="s">
        <v>1792</v>
      </c>
      <c r="T513" s="15" t="s">
        <v>4098</v>
      </c>
      <c r="U513" s="21" t="s">
        <v>72</v>
      </c>
    </row>
    <row r="514" customFormat="false" ht="15" hidden="false" customHeight="false" outlineLevel="0" collapsed="false">
      <c r="A514" s="15" t="s">
        <v>1082</v>
      </c>
      <c r="B514" s="15" t="s">
        <v>3831</v>
      </c>
      <c r="C514" s="14" t="s">
        <v>4099</v>
      </c>
      <c r="D514" s="14" t="s">
        <v>4100</v>
      </c>
      <c r="E514" s="16" t="s">
        <v>4101</v>
      </c>
      <c r="F514" s="16" t="s">
        <v>4102</v>
      </c>
      <c r="G514" s="23" t="s">
        <v>43</v>
      </c>
      <c r="H514" s="18" t="n">
        <v>4</v>
      </c>
      <c r="I514" s="20" t="n">
        <v>66.7</v>
      </c>
      <c r="J514" s="20" t="n">
        <v>121.49</v>
      </c>
      <c r="K514" s="18" t="n">
        <v>6</v>
      </c>
      <c r="L514" s="18" t="n">
        <v>1</v>
      </c>
      <c r="M514" s="18" t="n">
        <v>330</v>
      </c>
      <c r="N514" s="18" t="n">
        <v>110</v>
      </c>
      <c r="O514" s="14" t="s">
        <v>1088</v>
      </c>
      <c r="P514" s="14" t="s">
        <v>118</v>
      </c>
      <c r="Q514" s="15" t="s">
        <v>1089</v>
      </c>
      <c r="R514" s="16" t="s">
        <v>1500</v>
      </c>
      <c r="S514" s="15" t="s">
        <v>4103</v>
      </c>
      <c r="T514" s="15" t="s">
        <v>4104</v>
      </c>
      <c r="U514" s="21" t="s">
        <v>72</v>
      </c>
    </row>
    <row r="515" customFormat="false" ht="15" hidden="false" customHeight="false" outlineLevel="0" collapsed="false">
      <c r="A515" s="15" t="s">
        <v>1082</v>
      </c>
      <c r="B515" s="15" t="s">
        <v>4105</v>
      </c>
      <c r="C515" s="14" t="s">
        <v>4106</v>
      </c>
      <c r="D515" s="14" t="s">
        <v>4107</v>
      </c>
      <c r="E515" s="16" t="s">
        <v>4108</v>
      </c>
      <c r="F515" s="16" t="s">
        <v>4109</v>
      </c>
      <c r="G515" s="25" t="s">
        <v>39</v>
      </c>
      <c r="H515" s="18" t="n">
        <v>19</v>
      </c>
      <c r="I515" s="20" t="n">
        <v>872.01</v>
      </c>
      <c r="J515" s="20" t="n">
        <v>2115.3</v>
      </c>
      <c r="K515" s="18" t="n">
        <v>190</v>
      </c>
      <c r="L515" s="18" t="n">
        <v>260</v>
      </c>
      <c r="M515" s="18" t="n">
        <v>11400</v>
      </c>
      <c r="N515" s="18" t="n">
        <v>1140</v>
      </c>
      <c r="O515" s="14" t="s">
        <v>1088</v>
      </c>
      <c r="P515" s="14" t="s">
        <v>84</v>
      </c>
      <c r="Q515" s="15" t="s">
        <v>1089</v>
      </c>
      <c r="R515" s="16" t="s">
        <v>4110</v>
      </c>
      <c r="S515" s="15" t="s">
        <v>1807</v>
      </c>
      <c r="T515" s="15" t="s">
        <v>4111</v>
      </c>
      <c r="U515" s="21" t="s">
        <v>72</v>
      </c>
    </row>
    <row r="516" customFormat="false" ht="15" hidden="false" customHeight="false" outlineLevel="0" collapsed="false">
      <c r="A516" s="15" t="s">
        <v>1082</v>
      </c>
      <c r="B516" s="15" t="s">
        <v>4105</v>
      </c>
      <c r="C516" s="14" t="s">
        <v>4112</v>
      </c>
      <c r="D516" s="14" t="s">
        <v>4113</v>
      </c>
      <c r="E516" s="16" t="s">
        <v>4114</v>
      </c>
      <c r="F516" s="16" t="s">
        <v>4115</v>
      </c>
      <c r="G516" s="23" t="s">
        <v>43</v>
      </c>
      <c r="H516" s="18" t="n">
        <v>4</v>
      </c>
      <c r="I516" s="20" t="n">
        <v>70.44</v>
      </c>
      <c r="J516" s="20" t="n">
        <v>127.03</v>
      </c>
      <c r="K516" s="18" t="n">
        <v>4</v>
      </c>
      <c r="L516" s="18" t="n">
        <v>2</v>
      </c>
      <c r="M516" s="18" t="n">
        <v>232</v>
      </c>
      <c r="N516" s="18" t="n">
        <v>232</v>
      </c>
      <c r="O516" s="14" t="s">
        <v>1097</v>
      </c>
      <c r="P516" s="14" t="s">
        <v>84</v>
      </c>
      <c r="Q516" s="15" t="s">
        <v>1089</v>
      </c>
      <c r="R516" s="16" t="s">
        <v>4116</v>
      </c>
      <c r="S516" s="15" t="s">
        <v>2829</v>
      </c>
      <c r="T516" s="15" t="s">
        <v>4117</v>
      </c>
      <c r="U516" s="21" t="s">
        <v>72</v>
      </c>
    </row>
    <row r="517" customFormat="false" ht="15" hidden="false" customHeight="false" outlineLevel="0" collapsed="false">
      <c r="A517" s="15" t="s">
        <v>1082</v>
      </c>
      <c r="B517" s="15" t="s">
        <v>4105</v>
      </c>
      <c r="C517" s="14" t="s">
        <v>4118</v>
      </c>
      <c r="D517" s="14" t="s">
        <v>4119</v>
      </c>
      <c r="E517" s="16" t="s">
        <v>4120</v>
      </c>
      <c r="F517" s="16" t="s">
        <v>4121</v>
      </c>
      <c r="G517" s="23" t="s">
        <v>43</v>
      </c>
      <c r="H517" s="18" t="n">
        <v>4</v>
      </c>
      <c r="I517" s="20" t="n">
        <v>96.34</v>
      </c>
      <c r="J517" s="20" t="n">
        <v>167.78</v>
      </c>
      <c r="K517" s="18" t="n">
        <v>15</v>
      </c>
      <c r="L517" s="18" t="n">
        <v>6</v>
      </c>
      <c r="M517" s="18" t="n">
        <v>300</v>
      </c>
      <c r="N517" s="18" t="n">
        <v>60</v>
      </c>
      <c r="O517" s="14" t="s">
        <v>1097</v>
      </c>
      <c r="P517" s="14" t="s">
        <v>84</v>
      </c>
      <c r="Q517" s="15" t="s">
        <v>1089</v>
      </c>
      <c r="R517" s="16" t="s">
        <v>1134</v>
      </c>
      <c r="S517" s="15" t="s">
        <v>4122</v>
      </c>
      <c r="T517" s="15" t="s">
        <v>4122</v>
      </c>
      <c r="U517" s="21" t="s">
        <v>72</v>
      </c>
    </row>
    <row r="518" customFormat="false" ht="15" hidden="false" customHeight="false" outlineLevel="0" collapsed="false">
      <c r="A518" s="15" t="s">
        <v>1082</v>
      </c>
      <c r="B518" s="15" t="s">
        <v>4105</v>
      </c>
      <c r="C518" s="14" t="s">
        <v>4123</v>
      </c>
      <c r="D518" s="14" t="s">
        <v>4124</v>
      </c>
      <c r="E518" s="16" t="s">
        <v>4125</v>
      </c>
      <c r="F518" s="16" t="s">
        <v>4126</v>
      </c>
      <c r="G518" s="19" t="s">
        <v>41</v>
      </c>
      <c r="H518" s="18" t="n">
        <v>6</v>
      </c>
      <c r="I518" s="20" t="n">
        <v>145.38</v>
      </c>
      <c r="J518" s="20" t="n">
        <v>221.35</v>
      </c>
      <c r="K518" s="18" t="n">
        <v>20</v>
      </c>
      <c r="L518" s="18" t="n">
        <v>9</v>
      </c>
      <c r="M518" s="18" t="n">
        <v>1200</v>
      </c>
      <c r="N518" s="18" t="n">
        <v>1200</v>
      </c>
      <c r="O518" s="14" t="s">
        <v>1088</v>
      </c>
      <c r="P518" s="14" t="s">
        <v>84</v>
      </c>
      <c r="Q518" s="15" t="s">
        <v>1089</v>
      </c>
      <c r="R518" s="16" t="s">
        <v>4127</v>
      </c>
      <c r="S518" s="15" t="s">
        <v>4128</v>
      </c>
      <c r="T518" s="15" t="s">
        <v>4128</v>
      </c>
      <c r="U518" s="21" t="s">
        <v>72</v>
      </c>
    </row>
    <row r="519" customFormat="false" ht="15" hidden="false" customHeight="false" outlineLevel="0" collapsed="false">
      <c r="A519" s="15" t="s">
        <v>1082</v>
      </c>
      <c r="B519" s="15" t="s">
        <v>4105</v>
      </c>
      <c r="C519" s="14" t="s">
        <v>4129</v>
      </c>
      <c r="D519" s="14" t="s">
        <v>4130</v>
      </c>
      <c r="E519" s="16" t="s">
        <v>4131</v>
      </c>
      <c r="F519" s="16" t="s">
        <v>4132</v>
      </c>
      <c r="G519" s="23" t="s">
        <v>43</v>
      </c>
      <c r="H519" s="18" t="n">
        <v>4</v>
      </c>
      <c r="I519" s="20" t="n">
        <v>64.85</v>
      </c>
      <c r="J519" s="20" t="n">
        <v>125.33</v>
      </c>
      <c r="K519" s="18" t="n">
        <v>20</v>
      </c>
      <c r="L519" s="18" t="n">
        <v>7</v>
      </c>
      <c r="M519" s="18" t="n">
        <v>1080</v>
      </c>
      <c r="N519" s="18" t="n">
        <v>216</v>
      </c>
      <c r="O519" s="14" t="s">
        <v>1088</v>
      </c>
      <c r="P519" s="14" t="s">
        <v>118</v>
      </c>
      <c r="Q519" s="15" t="s">
        <v>1089</v>
      </c>
      <c r="R519" s="16" t="s">
        <v>2732</v>
      </c>
      <c r="S519" s="15" t="s">
        <v>4133</v>
      </c>
      <c r="T519" s="15" t="s">
        <v>4134</v>
      </c>
      <c r="U519" s="21" t="s">
        <v>72</v>
      </c>
    </row>
    <row r="520" customFormat="false" ht="15" hidden="false" customHeight="false" outlineLevel="0" collapsed="false">
      <c r="A520" s="15" t="s">
        <v>1082</v>
      </c>
      <c r="B520" s="15" t="s">
        <v>4105</v>
      </c>
      <c r="C520" s="14" t="s">
        <v>4135</v>
      </c>
      <c r="D520" s="14" t="s">
        <v>4136</v>
      </c>
      <c r="E520" s="16" t="s">
        <v>4137</v>
      </c>
      <c r="F520" s="16" t="s">
        <v>4138</v>
      </c>
      <c r="G520" s="23" t="s">
        <v>43</v>
      </c>
      <c r="H520" s="18" t="n">
        <v>3</v>
      </c>
      <c r="I520" s="20" t="n">
        <v>30.3</v>
      </c>
      <c r="J520" s="20" t="n">
        <v>75.28</v>
      </c>
      <c r="K520" s="18" t="n">
        <v>3</v>
      </c>
      <c r="L520" s="18" t="n">
        <v>1</v>
      </c>
      <c r="M520" s="18" t="n">
        <v>30</v>
      </c>
      <c r="N520" s="18" t="n">
        <v>10</v>
      </c>
      <c r="O520" s="14" t="s">
        <v>1088</v>
      </c>
      <c r="P520" s="14" t="s">
        <v>118</v>
      </c>
      <c r="Q520" s="15" t="s">
        <v>1089</v>
      </c>
      <c r="R520" s="16" t="s">
        <v>4139</v>
      </c>
      <c r="S520" s="15" t="s">
        <v>4140</v>
      </c>
      <c r="T520" s="15" t="s">
        <v>4140</v>
      </c>
      <c r="U520" s="21" t="s">
        <v>72</v>
      </c>
    </row>
    <row r="521" customFormat="false" ht="15" hidden="false" customHeight="false" outlineLevel="0" collapsed="false">
      <c r="A521" s="15" t="s">
        <v>1082</v>
      </c>
      <c r="B521" s="15" t="s">
        <v>4105</v>
      </c>
      <c r="C521" s="14" t="s">
        <v>4141</v>
      </c>
      <c r="D521" s="14" t="s">
        <v>4142</v>
      </c>
      <c r="E521" s="16" t="s">
        <v>4143</v>
      </c>
      <c r="F521" s="16" t="s">
        <v>4144</v>
      </c>
      <c r="G521" s="25" t="s">
        <v>39</v>
      </c>
      <c r="H521" s="18" t="n">
        <v>11</v>
      </c>
      <c r="I521" s="20" t="n">
        <v>96.8</v>
      </c>
      <c r="J521" s="20" t="n">
        <v>218.62</v>
      </c>
      <c r="K521" s="18" t="n">
        <v>11</v>
      </c>
      <c r="L521" s="18" t="n">
        <v>4</v>
      </c>
      <c r="M521" s="18" t="n">
        <v>110</v>
      </c>
      <c r="N521" s="18" t="n">
        <v>50</v>
      </c>
      <c r="O521" s="14" t="s">
        <v>1097</v>
      </c>
      <c r="P521" s="14" t="s">
        <v>84</v>
      </c>
      <c r="Q521" s="15" t="s">
        <v>1089</v>
      </c>
      <c r="R521" s="16" t="s">
        <v>4145</v>
      </c>
      <c r="S521" s="15" t="s">
        <v>4146</v>
      </c>
      <c r="T521" s="15" t="s">
        <v>4147</v>
      </c>
      <c r="U521" s="21" t="s">
        <v>72</v>
      </c>
    </row>
    <row r="522" customFormat="false" ht="15" hidden="false" customHeight="false" outlineLevel="0" collapsed="false">
      <c r="A522" s="15" t="s">
        <v>1082</v>
      </c>
      <c r="B522" s="15" t="s">
        <v>4105</v>
      </c>
      <c r="C522" s="14" t="s">
        <v>4148</v>
      </c>
      <c r="D522" s="14" t="s">
        <v>4149</v>
      </c>
      <c r="E522" s="16" t="s">
        <v>4150</v>
      </c>
      <c r="F522" s="16" t="s">
        <v>4151</v>
      </c>
      <c r="G522" s="23" t="s">
        <v>43</v>
      </c>
      <c r="H522" s="18" t="n">
        <v>1</v>
      </c>
      <c r="I522" s="20" t="n">
        <v>39.86</v>
      </c>
      <c r="J522" s="20" t="n">
        <v>77.89</v>
      </c>
      <c r="K522" s="18" t="n">
        <v>3</v>
      </c>
      <c r="L522" s="18" t="n">
        <v>3</v>
      </c>
      <c r="M522" s="18" t="n">
        <v>99</v>
      </c>
      <c r="N522" s="18" t="n">
        <v>33</v>
      </c>
      <c r="O522" s="14" t="s">
        <v>1097</v>
      </c>
      <c r="P522" s="14" t="s">
        <v>118</v>
      </c>
      <c r="Q522" s="15" t="s">
        <v>1089</v>
      </c>
      <c r="R522" s="16" t="s">
        <v>4152</v>
      </c>
      <c r="S522" s="15" t="s">
        <v>4153</v>
      </c>
      <c r="T522" s="15" t="s">
        <v>4154</v>
      </c>
      <c r="U522" s="21" t="s">
        <v>72</v>
      </c>
    </row>
    <row r="523" customFormat="false" ht="15" hidden="false" customHeight="false" outlineLevel="0" collapsed="false">
      <c r="A523" s="15" t="s">
        <v>1082</v>
      </c>
      <c r="B523" s="15" t="s">
        <v>4105</v>
      </c>
      <c r="C523" s="14" t="s">
        <v>4155</v>
      </c>
      <c r="D523" s="14" t="s">
        <v>4156</v>
      </c>
      <c r="E523" s="16" t="s">
        <v>4157</v>
      </c>
      <c r="F523" s="16" t="s">
        <v>4158</v>
      </c>
      <c r="G523" s="23" t="s">
        <v>43</v>
      </c>
      <c r="H523" s="18" t="n">
        <v>3</v>
      </c>
      <c r="I523" s="20" t="n">
        <v>78.94</v>
      </c>
      <c r="J523" s="20" t="n">
        <v>110.51</v>
      </c>
      <c r="K523" s="18" t="n">
        <v>8</v>
      </c>
      <c r="L523" s="18" t="n">
        <v>1</v>
      </c>
      <c r="M523" s="18" t="n">
        <v>480</v>
      </c>
      <c r="N523" s="18" t="n">
        <v>240</v>
      </c>
      <c r="O523" s="14" t="s">
        <v>1126</v>
      </c>
      <c r="P523" s="14" t="s">
        <v>118</v>
      </c>
      <c r="Q523" s="15" t="s">
        <v>1089</v>
      </c>
      <c r="R523" s="16" t="s">
        <v>2614</v>
      </c>
      <c r="S523" s="15" t="s">
        <v>4159</v>
      </c>
      <c r="T523" s="15" t="s">
        <v>4159</v>
      </c>
      <c r="U523" s="21" t="s">
        <v>72</v>
      </c>
    </row>
    <row r="524" customFormat="false" ht="15" hidden="false" customHeight="false" outlineLevel="0" collapsed="false">
      <c r="A524" s="15" t="s">
        <v>1082</v>
      </c>
      <c r="B524" s="15" t="s">
        <v>4105</v>
      </c>
      <c r="C524" s="14" t="s">
        <v>4160</v>
      </c>
      <c r="D524" s="14" t="s">
        <v>4161</v>
      </c>
      <c r="E524" s="16" t="s">
        <v>4162</v>
      </c>
      <c r="F524" s="16" t="s">
        <v>4163</v>
      </c>
      <c r="G524" s="23" t="s">
        <v>43</v>
      </c>
      <c r="H524" s="18" t="n">
        <v>4</v>
      </c>
      <c r="I524" s="20" t="n">
        <v>84.17</v>
      </c>
      <c r="J524" s="20" t="n">
        <v>147.24</v>
      </c>
      <c r="K524" s="18" t="n">
        <v>4</v>
      </c>
      <c r="L524" s="18" t="n">
        <v>4</v>
      </c>
      <c r="M524" s="18" t="n">
        <v>80</v>
      </c>
      <c r="N524" s="18" t="n">
        <v>80</v>
      </c>
      <c r="O524" s="14" t="s">
        <v>1097</v>
      </c>
      <c r="P524" s="14" t="s">
        <v>84</v>
      </c>
      <c r="Q524" s="15" t="s">
        <v>1089</v>
      </c>
      <c r="R524" s="16" t="s">
        <v>2891</v>
      </c>
      <c r="S524" s="15" t="s">
        <v>1767</v>
      </c>
      <c r="T524" s="15" t="s">
        <v>4164</v>
      </c>
      <c r="U524" s="21" t="s">
        <v>72</v>
      </c>
    </row>
    <row r="525" customFormat="false" ht="15" hidden="false" customHeight="false" outlineLevel="0" collapsed="false">
      <c r="A525" s="15" t="s">
        <v>1082</v>
      </c>
      <c r="B525" s="15" t="s">
        <v>4105</v>
      </c>
      <c r="C525" s="14" t="s">
        <v>4165</v>
      </c>
      <c r="D525" s="14" t="s">
        <v>4166</v>
      </c>
      <c r="E525" s="16" t="s">
        <v>4167</v>
      </c>
      <c r="F525" s="16" t="s">
        <v>4168</v>
      </c>
      <c r="G525" s="19" t="s">
        <v>41</v>
      </c>
      <c r="H525" s="18" t="n">
        <v>7</v>
      </c>
      <c r="I525" s="20" t="n">
        <v>131.71</v>
      </c>
      <c r="J525" s="20" t="n">
        <v>192.61</v>
      </c>
      <c r="K525" s="18" t="n">
        <v>5</v>
      </c>
      <c r="L525" s="18" t="n">
        <v>9</v>
      </c>
      <c r="M525" s="18" t="n">
        <v>105</v>
      </c>
      <c r="N525" s="18" t="n">
        <v>21</v>
      </c>
      <c r="O525" s="14" t="s">
        <v>1088</v>
      </c>
      <c r="P525" s="14" t="s">
        <v>84</v>
      </c>
      <c r="Q525" s="15" t="s">
        <v>1089</v>
      </c>
      <c r="R525" s="16" t="s">
        <v>2344</v>
      </c>
      <c r="S525" s="15" t="s">
        <v>4169</v>
      </c>
      <c r="T525" s="15" t="s">
        <v>4169</v>
      </c>
      <c r="U525" s="21" t="s">
        <v>72</v>
      </c>
    </row>
    <row r="526" customFormat="false" ht="15" hidden="false" customHeight="false" outlineLevel="0" collapsed="false">
      <c r="A526" s="15" t="s">
        <v>1082</v>
      </c>
      <c r="B526" s="15" t="s">
        <v>4105</v>
      </c>
      <c r="C526" s="14" t="s">
        <v>4170</v>
      </c>
      <c r="D526" s="14" t="s">
        <v>4171</v>
      </c>
      <c r="E526" s="16" t="s">
        <v>4172</v>
      </c>
      <c r="F526" s="16" t="s">
        <v>4173</v>
      </c>
      <c r="G526" s="23" t="s">
        <v>43</v>
      </c>
      <c r="H526" s="18" t="n">
        <v>1</v>
      </c>
      <c r="I526" s="20" t="n">
        <v>44.14</v>
      </c>
      <c r="J526" s="20" t="n">
        <v>101.81</v>
      </c>
      <c r="K526" s="18" t="n">
        <v>6</v>
      </c>
      <c r="L526" s="18" t="n">
        <v>1</v>
      </c>
      <c r="M526" s="18" t="n">
        <v>216</v>
      </c>
      <c r="N526" s="18" t="n">
        <v>108</v>
      </c>
      <c r="O526" s="14" t="s">
        <v>1097</v>
      </c>
      <c r="P526" s="14" t="s">
        <v>84</v>
      </c>
      <c r="Q526" s="15" t="s">
        <v>1089</v>
      </c>
      <c r="R526" s="16" t="s">
        <v>4174</v>
      </c>
      <c r="S526" s="15" t="s">
        <v>4175</v>
      </c>
      <c r="T526" s="15" t="s">
        <v>4176</v>
      </c>
      <c r="U526" s="21" t="s">
        <v>72</v>
      </c>
    </row>
    <row r="527" customFormat="false" ht="15" hidden="false" customHeight="false" outlineLevel="0" collapsed="false">
      <c r="A527" s="15" t="s">
        <v>1082</v>
      </c>
      <c r="B527" s="15" t="s">
        <v>4105</v>
      </c>
      <c r="C527" s="14" t="s">
        <v>4177</v>
      </c>
      <c r="D527" s="14" t="s">
        <v>4178</v>
      </c>
      <c r="E527" s="16" t="s">
        <v>4179</v>
      </c>
      <c r="F527" s="16" t="s">
        <v>4180</v>
      </c>
      <c r="G527" s="23" t="s">
        <v>43</v>
      </c>
      <c r="H527" s="18" t="n">
        <v>3</v>
      </c>
      <c r="I527" s="20" t="n">
        <v>60.72</v>
      </c>
      <c r="J527" s="20" t="n">
        <v>107.27</v>
      </c>
      <c r="K527" s="18" t="n">
        <v>8</v>
      </c>
      <c r="L527" s="18" t="n">
        <v>5</v>
      </c>
      <c r="M527" s="18" t="n">
        <v>400</v>
      </c>
      <c r="N527" s="18" t="n">
        <v>50</v>
      </c>
      <c r="O527" s="14" t="s">
        <v>1088</v>
      </c>
      <c r="P527" s="14" t="s">
        <v>515</v>
      </c>
      <c r="Q527" s="15" t="s">
        <v>1089</v>
      </c>
      <c r="R527" s="16" t="s">
        <v>2315</v>
      </c>
      <c r="S527" s="15" t="s">
        <v>4181</v>
      </c>
      <c r="T527" s="15" t="s">
        <v>4182</v>
      </c>
      <c r="U527" s="21" t="s">
        <v>72</v>
      </c>
    </row>
    <row r="528" customFormat="false" ht="15" hidden="false" customHeight="false" outlineLevel="0" collapsed="false">
      <c r="A528" s="15" t="s">
        <v>1082</v>
      </c>
      <c r="B528" s="15" t="s">
        <v>4105</v>
      </c>
      <c r="C528" s="14" t="s">
        <v>4183</v>
      </c>
      <c r="D528" s="14" t="s">
        <v>4184</v>
      </c>
      <c r="E528" s="16" t="s">
        <v>4185</v>
      </c>
      <c r="F528" s="16" t="s">
        <v>4186</v>
      </c>
      <c r="G528" s="23" t="s">
        <v>43</v>
      </c>
      <c r="H528" s="18" t="n">
        <v>4</v>
      </c>
      <c r="I528" s="20" t="n">
        <v>68.44</v>
      </c>
      <c r="J528" s="20" t="n">
        <v>114.62</v>
      </c>
      <c r="K528" s="18" t="n">
        <v>9</v>
      </c>
      <c r="L528" s="18" t="n">
        <v>9</v>
      </c>
      <c r="M528" s="18" t="n">
        <v>396</v>
      </c>
      <c r="N528" s="18" t="n">
        <v>132</v>
      </c>
      <c r="O528" s="14" t="s">
        <v>1088</v>
      </c>
      <c r="P528" s="14" t="s">
        <v>118</v>
      </c>
      <c r="Q528" s="15" t="s">
        <v>1089</v>
      </c>
      <c r="R528" s="16" t="s">
        <v>4187</v>
      </c>
      <c r="S528" s="15" t="s">
        <v>4188</v>
      </c>
      <c r="T528" s="15" t="s">
        <v>4189</v>
      </c>
      <c r="U528" s="21" t="s">
        <v>72</v>
      </c>
    </row>
    <row r="529" customFormat="false" ht="15" hidden="false" customHeight="false" outlineLevel="0" collapsed="false">
      <c r="A529" s="15" t="s">
        <v>1082</v>
      </c>
      <c r="B529" s="15" t="s">
        <v>4105</v>
      </c>
      <c r="C529" s="14" t="s">
        <v>4190</v>
      </c>
      <c r="D529" s="14" t="s">
        <v>4191</v>
      </c>
      <c r="E529" s="16" t="s">
        <v>4192</v>
      </c>
      <c r="F529" s="16" t="s">
        <v>4193</v>
      </c>
      <c r="G529" s="23" t="s">
        <v>43</v>
      </c>
      <c r="H529" s="18" t="n">
        <v>2</v>
      </c>
      <c r="I529" s="20" t="n">
        <v>54.79</v>
      </c>
      <c r="J529" s="20" t="n">
        <v>88.81</v>
      </c>
      <c r="K529" s="18" t="n">
        <v>4</v>
      </c>
      <c r="L529" s="18" t="n">
        <v>2</v>
      </c>
      <c r="M529" s="18" t="n">
        <v>60</v>
      </c>
      <c r="N529" s="18" t="n">
        <v>60</v>
      </c>
      <c r="O529" s="14" t="s">
        <v>1126</v>
      </c>
      <c r="P529" s="14" t="s">
        <v>84</v>
      </c>
      <c r="Q529" s="15" t="s">
        <v>1089</v>
      </c>
      <c r="R529" s="16" t="s">
        <v>4194</v>
      </c>
      <c r="S529" s="15" t="s">
        <v>3507</v>
      </c>
      <c r="T529" s="15" t="s">
        <v>3507</v>
      </c>
      <c r="U529" s="21" t="s">
        <v>72</v>
      </c>
    </row>
    <row r="530" customFormat="false" ht="26.85" hidden="false" customHeight="false" outlineLevel="0" collapsed="false">
      <c r="A530" s="15" t="s">
        <v>1082</v>
      </c>
      <c r="B530" s="15" t="s">
        <v>4105</v>
      </c>
      <c r="C530" s="14" t="s">
        <v>4195</v>
      </c>
      <c r="D530" s="14" t="s">
        <v>4196</v>
      </c>
      <c r="E530" s="16" t="s">
        <v>4197</v>
      </c>
      <c r="F530" s="16" t="s">
        <v>4198</v>
      </c>
      <c r="G530" s="23" t="s">
        <v>43</v>
      </c>
      <c r="H530" s="18" t="n">
        <v>3</v>
      </c>
      <c r="I530" s="20" t="n">
        <v>56.81</v>
      </c>
      <c r="J530" s="20" t="n">
        <v>103.7</v>
      </c>
      <c r="K530" s="18" t="n">
        <v>24</v>
      </c>
      <c r="L530" s="18" t="n">
        <v>9</v>
      </c>
      <c r="M530" s="18" t="n">
        <v>1128</v>
      </c>
      <c r="N530" s="18" t="n">
        <v>141</v>
      </c>
      <c r="O530" s="14" t="s">
        <v>1097</v>
      </c>
      <c r="P530" s="14" t="s">
        <v>906</v>
      </c>
      <c r="Q530" s="15" t="s">
        <v>1089</v>
      </c>
      <c r="R530" s="16" t="s">
        <v>4199</v>
      </c>
      <c r="S530" s="15" t="s">
        <v>4200</v>
      </c>
      <c r="T530" s="15" t="s">
        <v>4200</v>
      </c>
      <c r="U530" s="21" t="s">
        <v>72</v>
      </c>
    </row>
    <row r="531" customFormat="false" ht="15" hidden="false" customHeight="false" outlineLevel="0" collapsed="false">
      <c r="A531" s="15" t="s">
        <v>1082</v>
      </c>
      <c r="B531" s="15" t="s">
        <v>4105</v>
      </c>
      <c r="C531" s="14" t="s">
        <v>4201</v>
      </c>
      <c r="D531" s="14" t="s">
        <v>4202</v>
      </c>
      <c r="E531" s="16" t="s">
        <v>4203</v>
      </c>
      <c r="F531" s="16" t="s">
        <v>4204</v>
      </c>
      <c r="G531" s="23" t="s">
        <v>43</v>
      </c>
      <c r="H531" s="18" t="n">
        <v>1</v>
      </c>
      <c r="I531" s="20" t="n">
        <v>35.5</v>
      </c>
      <c r="J531" s="20" t="n">
        <v>70.42</v>
      </c>
      <c r="K531" s="18" t="n">
        <v>5</v>
      </c>
      <c r="L531" s="18" t="n">
        <v>4</v>
      </c>
      <c r="M531" s="18" t="n">
        <v>155</v>
      </c>
      <c r="N531" s="18" t="n">
        <v>31</v>
      </c>
      <c r="O531" s="14" t="s">
        <v>1088</v>
      </c>
      <c r="P531" s="14" t="s">
        <v>84</v>
      </c>
      <c r="Q531" s="15" t="s">
        <v>1089</v>
      </c>
      <c r="R531" s="16" t="s">
        <v>1207</v>
      </c>
      <c r="S531" s="15" t="s">
        <v>4205</v>
      </c>
      <c r="T531" s="15" t="s">
        <v>4205</v>
      </c>
      <c r="U531" s="21" t="s">
        <v>72</v>
      </c>
    </row>
    <row r="532" customFormat="false" ht="15" hidden="false" customHeight="false" outlineLevel="0" collapsed="false">
      <c r="A532" s="15" t="s">
        <v>1082</v>
      </c>
      <c r="B532" s="15" t="s">
        <v>4105</v>
      </c>
      <c r="C532" s="14" t="s">
        <v>4206</v>
      </c>
      <c r="D532" s="14" t="s">
        <v>4207</v>
      </c>
      <c r="E532" s="16" t="s">
        <v>4208</v>
      </c>
      <c r="F532" s="16" t="s">
        <v>4209</v>
      </c>
      <c r="G532" s="19" t="s">
        <v>41</v>
      </c>
      <c r="H532" s="18" t="n">
        <v>5</v>
      </c>
      <c r="I532" s="20" t="n">
        <v>101.71</v>
      </c>
      <c r="J532" s="20" t="n">
        <v>199.29</v>
      </c>
      <c r="K532" s="18" t="n">
        <v>10</v>
      </c>
      <c r="L532" s="18" t="n">
        <v>7</v>
      </c>
      <c r="M532" s="18" t="n">
        <v>600</v>
      </c>
      <c r="N532" s="18" t="n">
        <v>300</v>
      </c>
      <c r="O532" s="14" t="s">
        <v>1088</v>
      </c>
      <c r="P532" s="14" t="s">
        <v>84</v>
      </c>
      <c r="Q532" s="15" t="s">
        <v>1089</v>
      </c>
      <c r="R532" s="16" t="s">
        <v>1856</v>
      </c>
      <c r="S532" s="15" t="s">
        <v>4210</v>
      </c>
      <c r="T532" s="15" t="s">
        <v>4210</v>
      </c>
      <c r="U532" s="21" t="s">
        <v>72</v>
      </c>
    </row>
    <row r="533" customFormat="false" ht="15" hidden="false" customHeight="false" outlineLevel="0" collapsed="false">
      <c r="A533" s="15" t="s">
        <v>850</v>
      </c>
      <c r="B533" s="15" t="s">
        <v>1028</v>
      </c>
      <c r="C533" s="14" t="s">
        <v>4211</v>
      </c>
      <c r="D533" s="14" t="s">
        <v>4212</v>
      </c>
      <c r="E533" s="16" t="s">
        <v>4213</v>
      </c>
      <c r="F533" s="16" t="s">
        <v>4214</v>
      </c>
      <c r="G533" s="19" t="s">
        <v>41</v>
      </c>
      <c r="H533" s="18" t="n">
        <v>3</v>
      </c>
      <c r="I533" s="20" t="n">
        <v>123.88</v>
      </c>
      <c r="J533" s="20" t="n">
        <v>221.25</v>
      </c>
      <c r="K533" s="18" t="n">
        <v>3</v>
      </c>
      <c r="L533" s="18" t="n">
        <v>4</v>
      </c>
      <c r="M533" s="18" t="n">
        <v>130</v>
      </c>
      <c r="N533" s="18" t="n">
        <v>60</v>
      </c>
      <c r="O533" s="14" t="s">
        <v>4215</v>
      </c>
      <c r="P533" s="14" t="s">
        <v>118</v>
      </c>
      <c r="Q533" s="15" t="s">
        <v>1089</v>
      </c>
      <c r="R533" s="16" t="s">
        <v>4216</v>
      </c>
      <c r="S533" s="15" t="s">
        <v>4217</v>
      </c>
      <c r="T533" s="15" t="s">
        <v>4218</v>
      </c>
      <c r="U533" s="21" t="s">
        <v>72</v>
      </c>
    </row>
    <row r="534" customFormat="false" ht="15" hidden="false" customHeight="false" outlineLevel="0" collapsed="false">
      <c r="A534" s="15" t="s">
        <v>850</v>
      </c>
      <c r="B534" s="15" t="s">
        <v>1028</v>
      </c>
      <c r="C534" s="14" t="s">
        <v>4219</v>
      </c>
      <c r="D534" s="14" t="s">
        <v>4220</v>
      </c>
      <c r="E534" s="16" t="s">
        <v>4221</v>
      </c>
      <c r="F534" s="16" t="s">
        <v>4222</v>
      </c>
      <c r="G534" s="23" t="s">
        <v>43</v>
      </c>
      <c r="H534" s="18" t="n">
        <v>3</v>
      </c>
      <c r="I534" s="20" t="n">
        <v>111</v>
      </c>
      <c r="J534" s="20" t="n">
        <v>111.88</v>
      </c>
      <c r="K534" s="18" t="n">
        <v>3</v>
      </c>
      <c r="L534" s="18" t="n">
        <v>2</v>
      </c>
      <c r="M534" s="18" t="n">
        <v>90</v>
      </c>
      <c r="N534" s="18" t="n">
        <v>90</v>
      </c>
      <c r="O534" s="14" t="s">
        <v>4223</v>
      </c>
      <c r="P534" s="14" t="s">
        <v>84</v>
      </c>
      <c r="Q534" s="15" t="s">
        <v>1089</v>
      </c>
      <c r="R534" s="16" t="s">
        <v>4224</v>
      </c>
      <c r="S534" s="15" t="s">
        <v>4225</v>
      </c>
      <c r="T534" s="15" t="s">
        <v>4226</v>
      </c>
      <c r="U534" s="21" t="s">
        <v>72</v>
      </c>
    </row>
    <row r="535" customFormat="false" ht="26.85" hidden="false" customHeight="false" outlineLevel="0" collapsed="false">
      <c r="A535" s="15" t="s">
        <v>850</v>
      </c>
      <c r="B535" s="15" t="s">
        <v>1028</v>
      </c>
      <c r="C535" s="14" t="s">
        <v>4227</v>
      </c>
      <c r="D535" s="14" t="s">
        <v>4228</v>
      </c>
      <c r="E535" s="16" t="s">
        <v>4229</v>
      </c>
      <c r="F535" s="16"/>
      <c r="G535" s="19" t="s">
        <v>41</v>
      </c>
      <c r="H535" s="18" t="n">
        <v>7</v>
      </c>
      <c r="I535" s="20" t="n">
        <v>116.78</v>
      </c>
      <c r="J535" s="20" t="n">
        <v>256.32</v>
      </c>
      <c r="K535" s="18" t="n">
        <v>5</v>
      </c>
      <c r="L535" s="18" t="n">
        <v>2</v>
      </c>
      <c r="M535" s="18" t="n">
        <v>86</v>
      </c>
      <c r="N535" s="18" t="n">
        <v>86</v>
      </c>
      <c r="O535" s="14" t="s">
        <v>4230</v>
      </c>
      <c r="P535" s="14" t="s">
        <v>118</v>
      </c>
      <c r="Q535" s="15" t="s">
        <v>1089</v>
      </c>
      <c r="R535" s="16" t="s">
        <v>4231</v>
      </c>
      <c r="S535" s="15" t="s">
        <v>4232</v>
      </c>
      <c r="T535" s="15" t="s">
        <v>4232</v>
      </c>
      <c r="U535" s="21" t="s">
        <v>72</v>
      </c>
    </row>
    <row r="536" customFormat="false" ht="15" hidden="false" customHeight="false" outlineLevel="0" collapsed="false">
      <c r="A536" s="15" t="s">
        <v>850</v>
      </c>
      <c r="B536" s="15" t="s">
        <v>1028</v>
      </c>
      <c r="C536" s="14" t="s">
        <v>4233</v>
      </c>
      <c r="D536" s="14" t="s">
        <v>4234</v>
      </c>
      <c r="E536" s="16" t="s">
        <v>4235</v>
      </c>
      <c r="F536" s="16"/>
      <c r="G536" s="23" t="s">
        <v>43</v>
      </c>
      <c r="H536" s="18" t="n">
        <v>2</v>
      </c>
      <c r="I536" s="20" t="n">
        <v>31.53</v>
      </c>
      <c r="J536" s="20" t="n">
        <v>146.3</v>
      </c>
      <c r="K536" s="18" t="n">
        <v>2</v>
      </c>
      <c r="L536" s="18"/>
      <c r="M536" s="18" t="n">
        <v>28</v>
      </c>
      <c r="N536" s="18" t="n">
        <v>28</v>
      </c>
      <c r="O536" s="14" t="s">
        <v>1097</v>
      </c>
      <c r="P536" s="14" t="s">
        <v>84</v>
      </c>
      <c r="Q536" s="15" t="s">
        <v>1089</v>
      </c>
      <c r="R536" s="16" t="s">
        <v>4236</v>
      </c>
      <c r="S536" s="15" t="s">
        <v>589</v>
      </c>
      <c r="T536" s="15" t="s">
        <v>4237</v>
      </c>
      <c r="U536" s="21" t="s">
        <v>72</v>
      </c>
    </row>
    <row r="537" customFormat="false" ht="15" hidden="false" customHeight="false" outlineLevel="0" collapsed="false">
      <c r="A537" s="15" t="s">
        <v>850</v>
      </c>
      <c r="B537" s="15" t="s">
        <v>1028</v>
      </c>
      <c r="C537" s="14" t="s">
        <v>4238</v>
      </c>
      <c r="D537" s="14" t="s">
        <v>4239</v>
      </c>
      <c r="E537" s="16" t="s">
        <v>4240</v>
      </c>
      <c r="F537" s="16" t="s">
        <v>4241</v>
      </c>
      <c r="G537" s="23" t="s">
        <v>43</v>
      </c>
      <c r="H537" s="18" t="n">
        <v>4</v>
      </c>
      <c r="I537" s="20" t="n">
        <v>67.77</v>
      </c>
      <c r="J537" s="20" t="n">
        <v>129.97</v>
      </c>
      <c r="K537" s="18" t="n">
        <v>4</v>
      </c>
      <c r="L537" s="18" t="n">
        <v>1</v>
      </c>
      <c r="M537" s="18" t="n">
        <v>72</v>
      </c>
      <c r="N537" s="18" t="n">
        <v>48</v>
      </c>
      <c r="O537" s="14" t="s">
        <v>4223</v>
      </c>
      <c r="P537" s="14" t="s">
        <v>118</v>
      </c>
      <c r="Q537" s="15" t="s">
        <v>1089</v>
      </c>
      <c r="R537" s="16" t="s">
        <v>4242</v>
      </c>
      <c r="S537" s="15" t="s">
        <v>4243</v>
      </c>
      <c r="T537" s="15" t="s">
        <v>4243</v>
      </c>
      <c r="U537" s="21" t="s">
        <v>72</v>
      </c>
    </row>
    <row r="538" customFormat="false" ht="15" hidden="false" customHeight="false" outlineLevel="0" collapsed="false">
      <c r="A538" s="15" t="s">
        <v>850</v>
      </c>
      <c r="B538" s="15" t="s">
        <v>1028</v>
      </c>
      <c r="C538" s="14" t="s">
        <v>4244</v>
      </c>
      <c r="D538" s="14" t="s">
        <v>4245</v>
      </c>
      <c r="E538" s="16" t="s">
        <v>4246</v>
      </c>
      <c r="F538" s="16" t="s">
        <v>4247</v>
      </c>
      <c r="G538" s="23" t="s">
        <v>43</v>
      </c>
      <c r="H538" s="18" t="n">
        <v>4</v>
      </c>
      <c r="I538" s="20" t="n">
        <v>55.33</v>
      </c>
      <c r="J538" s="20" t="n">
        <v>150.66</v>
      </c>
      <c r="K538" s="18" t="n">
        <v>4</v>
      </c>
      <c r="L538" s="18" t="n">
        <v>4</v>
      </c>
      <c r="M538" s="18" t="n">
        <v>60</v>
      </c>
      <c r="N538" s="18" t="n">
        <v>60</v>
      </c>
      <c r="O538" s="14" t="s">
        <v>4248</v>
      </c>
      <c r="P538" s="14" t="s">
        <v>118</v>
      </c>
      <c r="Q538" s="15" t="s">
        <v>1089</v>
      </c>
      <c r="R538" s="16" t="s">
        <v>4249</v>
      </c>
      <c r="S538" s="15" t="s">
        <v>4250</v>
      </c>
      <c r="T538" s="15" t="s">
        <v>4250</v>
      </c>
      <c r="U538" s="21" t="s">
        <v>72</v>
      </c>
    </row>
    <row r="539" customFormat="false" ht="15" hidden="false" customHeight="false" outlineLevel="0" collapsed="false">
      <c r="A539" s="15" t="s">
        <v>850</v>
      </c>
      <c r="B539" s="15" t="s">
        <v>1028</v>
      </c>
      <c r="C539" s="14" t="s">
        <v>4251</v>
      </c>
      <c r="D539" s="14" t="s">
        <v>4252</v>
      </c>
      <c r="E539" s="16" t="s">
        <v>4253</v>
      </c>
      <c r="F539" s="16"/>
      <c r="G539" s="19" t="s">
        <v>41</v>
      </c>
      <c r="H539" s="18" t="n">
        <v>2</v>
      </c>
      <c r="I539" s="20" t="n">
        <v>72</v>
      </c>
      <c r="J539" s="20" t="n">
        <v>213.39</v>
      </c>
      <c r="K539" s="18" t="n">
        <v>2</v>
      </c>
      <c r="L539" s="18" t="n">
        <v>6</v>
      </c>
      <c r="M539" s="18" t="n">
        <v>120</v>
      </c>
      <c r="N539" s="18" t="n">
        <v>120</v>
      </c>
      <c r="O539" s="14" t="s">
        <v>1088</v>
      </c>
      <c r="P539" s="14" t="s">
        <v>84</v>
      </c>
      <c r="Q539" s="15" t="s">
        <v>1089</v>
      </c>
      <c r="R539" s="16" t="s">
        <v>4254</v>
      </c>
      <c r="S539" s="15" t="s">
        <v>4255</v>
      </c>
      <c r="T539" s="15" t="s">
        <v>4256</v>
      </c>
      <c r="U539" s="21" t="s">
        <v>72</v>
      </c>
    </row>
    <row r="540" customFormat="false" ht="15" hidden="false" customHeight="false" outlineLevel="0" collapsed="false">
      <c r="A540" s="15" t="s">
        <v>850</v>
      </c>
      <c r="B540" s="15" t="s">
        <v>1028</v>
      </c>
      <c r="C540" s="14" t="s">
        <v>1058</v>
      </c>
      <c r="D540" s="14" t="s">
        <v>4257</v>
      </c>
      <c r="E540" s="16" t="s">
        <v>4258</v>
      </c>
      <c r="F540" s="16" t="s">
        <v>1061</v>
      </c>
      <c r="G540" s="23" t="s">
        <v>43</v>
      </c>
      <c r="H540" s="18" t="n">
        <v>2</v>
      </c>
      <c r="I540" s="20" t="n">
        <v>34.55</v>
      </c>
      <c r="J540" s="20" t="n">
        <v>87.68</v>
      </c>
      <c r="K540" s="18" t="n">
        <v>2</v>
      </c>
      <c r="L540" s="18" t="n">
        <v>2</v>
      </c>
      <c r="M540" s="18" t="n">
        <v>56</v>
      </c>
      <c r="N540" s="18" t="n">
        <v>56</v>
      </c>
      <c r="O540" s="14" t="s">
        <v>1097</v>
      </c>
      <c r="P540" s="14" t="s">
        <v>84</v>
      </c>
      <c r="Q540" s="15" t="s">
        <v>1089</v>
      </c>
      <c r="R540" s="16" t="s">
        <v>1062</v>
      </c>
      <c r="S540" s="15" t="s">
        <v>1063</v>
      </c>
      <c r="T540" s="15" t="s">
        <v>1063</v>
      </c>
      <c r="U540" s="21" t="s">
        <v>72</v>
      </c>
    </row>
    <row r="541" customFormat="false" ht="15" hidden="false" customHeight="false" outlineLevel="0" collapsed="false">
      <c r="A541" s="15" t="s">
        <v>850</v>
      </c>
      <c r="B541" s="15" t="s">
        <v>1028</v>
      </c>
      <c r="C541" s="14" t="s">
        <v>4259</v>
      </c>
      <c r="D541" s="14" t="s">
        <v>4260</v>
      </c>
      <c r="E541" s="16" t="s">
        <v>4261</v>
      </c>
      <c r="F541" s="16" t="s">
        <v>4262</v>
      </c>
      <c r="G541" s="23" t="s">
        <v>43</v>
      </c>
      <c r="H541" s="18" t="n">
        <v>3</v>
      </c>
      <c r="I541" s="20" t="n">
        <v>54.63</v>
      </c>
      <c r="J541" s="20" t="n">
        <v>150.66</v>
      </c>
      <c r="K541" s="18" t="n">
        <v>3</v>
      </c>
      <c r="L541" s="18" t="n">
        <v>1</v>
      </c>
      <c r="M541" s="18" t="n">
        <v>98</v>
      </c>
      <c r="N541" s="18" t="n">
        <v>98</v>
      </c>
      <c r="O541" s="14" t="s">
        <v>4263</v>
      </c>
      <c r="P541" s="14" t="s">
        <v>118</v>
      </c>
      <c r="Q541" s="15" t="s">
        <v>1089</v>
      </c>
      <c r="R541" s="16" t="s">
        <v>4264</v>
      </c>
      <c r="S541" s="15" t="s">
        <v>4265</v>
      </c>
      <c r="T541" s="15" t="s">
        <v>4265</v>
      </c>
      <c r="U541" s="21" t="s">
        <v>72</v>
      </c>
    </row>
    <row r="542" customFormat="false" ht="15" hidden="false" customHeight="false" outlineLevel="0" collapsed="false">
      <c r="A542" s="15" t="s">
        <v>850</v>
      </c>
      <c r="B542" s="15" t="s">
        <v>1028</v>
      </c>
      <c r="C542" s="14" t="s">
        <v>4266</v>
      </c>
      <c r="D542" s="14" t="s">
        <v>4267</v>
      </c>
      <c r="E542" s="16" t="s">
        <v>4268</v>
      </c>
      <c r="F542" s="16"/>
      <c r="G542" s="19" t="s">
        <v>41</v>
      </c>
      <c r="H542" s="18" t="n">
        <v>7</v>
      </c>
      <c r="I542" s="20" t="n">
        <v>138</v>
      </c>
      <c r="J542" s="20" t="n">
        <v>214.76</v>
      </c>
      <c r="K542" s="18" t="n">
        <v>3</v>
      </c>
      <c r="L542" s="18" t="n">
        <v>1</v>
      </c>
      <c r="M542" s="18" t="n">
        <v>57</v>
      </c>
      <c r="N542" s="18" t="n">
        <v>57</v>
      </c>
      <c r="O542" s="14" t="s">
        <v>1126</v>
      </c>
      <c r="P542" s="14" t="s">
        <v>84</v>
      </c>
      <c r="Q542" s="15" t="s">
        <v>1089</v>
      </c>
      <c r="R542" s="16" t="s">
        <v>4269</v>
      </c>
      <c r="S542" s="15" t="s">
        <v>4270</v>
      </c>
      <c r="T542" s="15" t="s">
        <v>4271</v>
      </c>
      <c r="U542" s="21" t="s">
        <v>72</v>
      </c>
    </row>
    <row r="543" customFormat="false" ht="15" hidden="false" customHeight="false" outlineLevel="0" collapsed="false">
      <c r="A543" s="15" t="s">
        <v>850</v>
      </c>
      <c r="B543" s="15" t="s">
        <v>1028</v>
      </c>
      <c r="C543" s="14" t="s">
        <v>4272</v>
      </c>
      <c r="D543" s="14" t="s">
        <v>4273</v>
      </c>
      <c r="E543" s="16" t="s">
        <v>4274</v>
      </c>
      <c r="F543" s="16" t="s">
        <v>4275</v>
      </c>
      <c r="G543" s="23" t="s">
        <v>43</v>
      </c>
      <c r="H543" s="18" t="n">
        <v>2</v>
      </c>
      <c r="I543" s="20" t="n">
        <v>37.29</v>
      </c>
      <c r="J543" s="20" t="n">
        <v>78.05</v>
      </c>
      <c r="K543" s="18" t="n">
        <v>2</v>
      </c>
      <c r="L543" s="18" t="n">
        <v>2</v>
      </c>
      <c r="M543" s="18" t="n">
        <v>60</v>
      </c>
      <c r="N543" s="18" t="n">
        <v>60</v>
      </c>
      <c r="O543" s="14" t="s">
        <v>4276</v>
      </c>
      <c r="P543" s="14" t="s">
        <v>84</v>
      </c>
      <c r="Q543" s="15" t="s">
        <v>1089</v>
      </c>
      <c r="R543" s="16" t="s">
        <v>4277</v>
      </c>
      <c r="S543" s="15" t="s">
        <v>4278</v>
      </c>
      <c r="T543" s="15" t="s">
        <v>4278</v>
      </c>
      <c r="U543" s="21" t="s">
        <v>72</v>
      </c>
    </row>
    <row r="544" customFormat="false" ht="15" hidden="false" customHeight="false" outlineLevel="0" collapsed="false">
      <c r="A544" s="15" t="s">
        <v>850</v>
      </c>
      <c r="B544" s="15" t="s">
        <v>1028</v>
      </c>
      <c r="C544" s="14" t="s">
        <v>4279</v>
      </c>
      <c r="D544" s="14" t="s">
        <v>4280</v>
      </c>
      <c r="E544" s="16" t="s">
        <v>4281</v>
      </c>
      <c r="F544" s="16" t="s">
        <v>4282</v>
      </c>
      <c r="G544" s="23" t="s">
        <v>43</v>
      </c>
      <c r="H544" s="18" t="n">
        <v>3</v>
      </c>
      <c r="I544" s="20" t="n">
        <v>127.52</v>
      </c>
      <c r="J544" s="20" t="n">
        <v>192.6</v>
      </c>
      <c r="K544" s="18" t="n">
        <v>9</v>
      </c>
      <c r="L544" s="18" t="n">
        <v>6</v>
      </c>
      <c r="M544" s="18" t="n">
        <v>315</v>
      </c>
      <c r="N544" s="18" t="n">
        <v>315</v>
      </c>
      <c r="O544" s="14" t="s">
        <v>4283</v>
      </c>
      <c r="P544" s="14" t="s">
        <v>84</v>
      </c>
      <c r="Q544" s="15" t="s">
        <v>1089</v>
      </c>
      <c r="R544" s="16" t="s">
        <v>4284</v>
      </c>
      <c r="S544" s="15" t="s">
        <v>4285</v>
      </c>
      <c r="T544" s="15" t="s">
        <v>4286</v>
      </c>
      <c r="U544" s="21" t="s">
        <v>72</v>
      </c>
    </row>
    <row r="545" customFormat="false" ht="26.85" hidden="false" customHeight="false" outlineLevel="0" collapsed="false">
      <c r="A545" s="15" t="s">
        <v>850</v>
      </c>
      <c r="B545" s="15" t="s">
        <v>1028</v>
      </c>
      <c r="C545" s="14" t="s">
        <v>4287</v>
      </c>
      <c r="D545" s="14" t="s">
        <v>4288</v>
      </c>
      <c r="E545" s="16" t="s">
        <v>4289</v>
      </c>
      <c r="F545" s="16"/>
      <c r="G545" s="19" t="s">
        <v>41</v>
      </c>
      <c r="H545" s="18" t="n">
        <v>6</v>
      </c>
      <c r="I545" s="20" t="n">
        <v>133.76</v>
      </c>
      <c r="J545" s="20" t="n">
        <v>275.26</v>
      </c>
      <c r="K545" s="18" t="n">
        <v>9</v>
      </c>
      <c r="L545" s="18" t="n">
        <v>1</v>
      </c>
      <c r="M545" s="18" t="n">
        <v>565</v>
      </c>
      <c r="N545" s="18" t="n">
        <v>565</v>
      </c>
      <c r="O545" s="14" t="s">
        <v>4290</v>
      </c>
      <c r="P545" s="14" t="s">
        <v>118</v>
      </c>
      <c r="Q545" s="15" t="s">
        <v>1089</v>
      </c>
      <c r="R545" s="16" t="s">
        <v>4291</v>
      </c>
      <c r="S545" s="15" t="s">
        <v>4292</v>
      </c>
      <c r="T545" s="15" t="s">
        <v>4292</v>
      </c>
      <c r="U545" s="21" t="s">
        <v>72</v>
      </c>
    </row>
    <row r="546" customFormat="false" ht="26.85" hidden="false" customHeight="false" outlineLevel="0" collapsed="false">
      <c r="A546" s="15" t="s">
        <v>850</v>
      </c>
      <c r="B546" s="15" t="s">
        <v>1028</v>
      </c>
      <c r="C546" s="14" t="s">
        <v>4293</v>
      </c>
      <c r="D546" s="14" t="s">
        <v>4294</v>
      </c>
      <c r="E546" s="16" t="s">
        <v>4295</v>
      </c>
      <c r="F546" s="16"/>
      <c r="G546" s="19" t="s">
        <v>41</v>
      </c>
      <c r="H546" s="18" t="n">
        <v>6</v>
      </c>
      <c r="I546" s="20" t="n">
        <v>104.446</v>
      </c>
      <c r="J546" s="20" t="n">
        <v>137.1</v>
      </c>
      <c r="K546" s="18" t="n">
        <v>4</v>
      </c>
      <c r="L546" s="18" t="n">
        <v>5</v>
      </c>
      <c r="M546" s="18" t="n">
        <v>70</v>
      </c>
      <c r="N546" s="18" t="n">
        <v>70</v>
      </c>
      <c r="O546" s="14" t="s">
        <v>4296</v>
      </c>
      <c r="P546" s="14" t="s">
        <v>118</v>
      </c>
      <c r="Q546" s="15" t="s">
        <v>1089</v>
      </c>
      <c r="R546" s="16" t="s">
        <v>4297</v>
      </c>
      <c r="S546" s="15" t="s">
        <v>4298</v>
      </c>
      <c r="T546" s="15" t="s">
        <v>4299</v>
      </c>
      <c r="U546" s="21" t="s">
        <v>72</v>
      </c>
    </row>
    <row r="547" customFormat="false" ht="26.85" hidden="false" customHeight="false" outlineLevel="0" collapsed="false">
      <c r="A547" s="15" t="s">
        <v>850</v>
      </c>
      <c r="B547" s="15" t="s">
        <v>1028</v>
      </c>
      <c r="C547" s="14" t="s">
        <v>4300</v>
      </c>
      <c r="D547" s="14" t="s">
        <v>4301</v>
      </c>
      <c r="E547" s="16" t="s">
        <v>4302</v>
      </c>
      <c r="F547" s="16" t="s">
        <v>4303</v>
      </c>
      <c r="G547" s="25" t="s">
        <v>39</v>
      </c>
      <c r="H547" s="18" t="n">
        <v>16</v>
      </c>
      <c r="I547" s="20" t="n">
        <v>278.6711</v>
      </c>
      <c r="J547" s="20" t="n">
        <v>665.89</v>
      </c>
      <c r="K547" s="18" t="n">
        <v>10</v>
      </c>
      <c r="L547" s="18" t="n">
        <v>19</v>
      </c>
      <c r="M547" s="18" t="n">
        <v>158</v>
      </c>
      <c r="N547" s="18" t="n">
        <v>64</v>
      </c>
      <c r="O547" s="14" t="s">
        <v>4304</v>
      </c>
      <c r="P547" s="14" t="s">
        <v>906</v>
      </c>
      <c r="Q547" s="15" t="s">
        <v>1089</v>
      </c>
      <c r="R547" s="16" t="s">
        <v>4305</v>
      </c>
      <c r="S547" s="15" t="s">
        <v>4306</v>
      </c>
      <c r="T547" s="15" t="s">
        <v>4307</v>
      </c>
      <c r="U547" s="21" t="s">
        <v>72</v>
      </c>
    </row>
    <row r="548" customFormat="false" ht="15" hidden="false" customHeight="false" outlineLevel="0" collapsed="false">
      <c r="A548" s="15" t="s">
        <v>850</v>
      </c>
      <c r="B548" s="15" t="s">
        <v>1028</v>
      </c>
      <c r="C548" s="14" t="s">
        <v>4308</v>
      </c>
      <c r="D548" s="14" t="s">
        <v>4309</v>
      </c>
      <c r="E548" s="16" t="s">
        <v>4310</v>
      </c>
      <c r="F548" s="16" t="s">
        <v>4311</v>
      </c>
      <c r="G548" s="19" t="s">
        <v>41</v>
      </c>
      <c r="H548" s="18" t="n">
        <v>6</v>
      </c>
      <c r="I548" s="20" t="n">
        <v>113.11</v>
      </c>
      <c r="J548" s="20" t="n">
        <v>246.24</v>
      </c>
      <c r="K548" s="18" t="n">
        <v>6</v>
      </c>
      <c r="L548" s="18" t="n">
        <v>4</v>
      </c>
      <c r="M548" s="18" t="n">
        <v>540</v>
      </c>
      <c r="N548" s="18" t="n">
        <v>540</v>
      </c>
      <c r="O548" s="14" t="s">
        <v>4276</v>
      </c>
      <c r="P548" s="14" t="s">
        <v>84</v>
      </c>
      <c r="Q548" s="15" t="s">
        <v>1089</v>
      </c>
      <c r="R548" s="16" t="s">
        <v>4312</v>
      </c>
      <c r="S548" s="15" t="s">
        <v>4313</v>
      </c>
      <c r="T548" s="15" t="s">
        <v>4313</v>
      </c>
      <c r="U548" s="21" t="s">
        <v>72</v>
      </c>
    </row>
    <row r="549" customFormat="false" ht="15" hidden="false" customHeight="false" outlineLevel="0" collapsed="false">
      <c r="A549" s="15" t="s">
        <v>850</v>
      </c>
      <c r="B549" s="15" t="s">
        <v>1028</v>
      </c>
      <c r="C549" s="14" t="s">
        <v>4314</v>
      </c>
      <c r="D549" s="14" t="s">
        <v>4315</v>
      </c>
      <c r="E549" s="16" t="s">
        <v>4316</v>
      </c>
      <c r="F549" s="16" t="s">
        <v>4303</v>
      </c>
      <c r="G549" s="19" t="s">
        <v>41</v>
      </c>
      <c r="H549" s="18" t="n">
        <v>5</v>
      </c>
      <c r="I549" s="20" t="n">
        <v>160.24</v>
      </c>
      <c r="J549" s="20" t="n">
        <v>246.71</v>
      </c>
      <c r="K549" s="18" t="n">
        <v>2</v>
      </c>
      <c r="L549" s="18" t="n">
        <v>7</v>
      </c>
      <c r="M549" s="18" t="n">
        <v>98</v>
      </c>
      <c r="N549" s="18" t="n">
        <v>98</v>
      </c>
      <c r="O549" s="14" t="s">
        <v>1088</v>
      </c>
      <c r="P549" s="14" t="s">
        <v>118</v>
      </c>
      <c r="Q549" s="15" t="s">
        <v>1089</v>
      </c>
      <c r="R549" s="16" t="s">
        <v>4317</v>
      </c>
      <c r="S549" s="15" t="s">
        <v>4306</v>
      </c>
      <c r="T549" s="15" t="s">
        <v>4306</v>
      </c>
      <c r="U549" s="21" t="s">
        <v>72</v>
      </c>
    </row>
    <row r="550" customFormat="false" ht="15" hidden="false" customHeight="false" outlineLevel="0" collapsed="false">
      <c r="A550" s="15" t="s">
        <v>850</v>
      </c>
      <c r="B550" s="15" t="s">
        <v>1028</v>
      </c>
      <c r="C550" s="14" t="s">
        <v>4318</v>
      </c>
      <c r="D550" s="14" t="s">
        <v>4319</v>
      </c>
      <c r="E550" s="16" t="s">
        <v>4320</v>
      </c>
      <c r="F550" s="16"/>
      <c r="G550" s="23" t="s">
        <v>43</v>
      </c>
      <c r="H550" s="18" t="n">
        <v>2</v>
      </c>
      <c r="I550" s="20" t="n">
        <v>36.43</v>
      </c>
      <c r="J550" s="20" t="n">
        <v>76.42</v>
      </c>
      <c r="K550" s="18" t="n">
        <v>4</v>
      </c>
      <c r="L550" s="18" t="n">
        <v>6</v>
      </c>
      <c r="M550" s="18" t="n">
        <v>68</v>
      </c>
      <c r="N550" s="18" t="n">
        <v>68</v>
      </c>
      <c r="O550" s="14" t="s">
        <v>4321</v>
      </c>
      <c r="P550" s="14" t="s">
        <v>118</v>
      </c>
      <c r="Q550" s="15" t="s">
        <v>1089</v>
      </c>
      <c r="R550" s="16" t="s">
        <v>4322</v>
      </c>
      <c r="S550" s="15" t="s">
        <v>4323</v>
      </c>
      <c r="T550" s="15" t="s">
        <v>4324</v>
      </c>
      <c r="U550" s="21" t="s">
        <v>72</v>
      </c>
    </row>
    <row r="551" customFormat="false" ht="15" hidden="false" customHeight="false" outlineLevel="0" collapsed="false">
      <c r="A551" s="15" t="s">
        <v>850</v>
      </c>
      <c r="B551" s="15" t="s">
        <v>1028</v>
      </c>
      <c r="C551" s="14" t="s">
        <v>4325</v>
      </c>
      <c r="D551" s="14" t="s">
        <v>4326</v>
      </c>
      <c r="E551" s="16" t="s">
        <v>4327</v>
      </c>
      <c r="F551" s="16" t="s">
        <v>4328</v>
      </c>
      <c r="G551" s="19" t="s">
        <v>41</v>
      </c>
      <c r="H551" s="18" t="n">
        <v>4</v>
      </c>
      <c r="I551" s="20" t="n">
        <v>74.8</v>
      </c>
      <c r="J551" s="20" t="n">
        <v>292.92</v>
      </c>
      <c r="K551" s="18" t="n">
        <v>5</v>
      </c>
      <c r="L551" s="18" t="n">
        <v>3</v>
      </c>
      <c r="M551" s="18" t="n">
        <v>96</v>
      </c>
      <c r="N551" s="18" t="n">
        <v>66</v>
      </c>
      <c r="O551" s="14" t="s">
        <v>4223</v>
      </c>
      <c r="P551" s="14" t="s">
        <v>118</v>
      </c>
      <c r="Q551" s="15" t="s">
        <v>1089</v>
      </c>
      <c r="R551" s="16" t="s">
        <v>4329</v>
      </c>
      <c r="S551" s="15" t="s">
        <v>4330</v>
      </c>
      <c r="T551" s="15" t="s">
        <v>4331</v>
      </c>
      <c r="U551" s="21" t="s">
        <v>72</v>
      </c>
    </row>
    <row r="552" customFormat="false" ht="26.85" hidden="false" customHeight="false" outlineLevel="0" collapsed="false">
      <c r="A552" s="15" t="s">
        <v>850</v>
      </c>
      <c r="B552" s="15" t="s">
        <v>1028</v>
      </c>
      <c r="C552" s="14" t="s">
        <v>4332</v>
      </c>
      <c r="D552" s="14" t="s">
        <v>4333</v>
      </c>
      <c r="E552" s="16" t="s">
        <v>4334</v>
      </c>
      <c r="F552" s="16"/>
      <c r="G552" s="23" t="s">
        <v>43</v>
      </c>
      <c r="H552" s="18" t="n">
        <v>4</v>
      </c>
      <c r="I552" s="20" t="n">
        <v>71.86</v>
      </c>
      <c r="J552" s="20" t="n">
        <v>101.24</v>
      </c>
      <c r="K552" s="18" t="n">
        <v>4</v>
      </c>
      <c r="L552" s="18"/>
      <c r="M552" s="18" t="n">
        <v>64</v>
      </c>
      <c r="N552" s="18" t="n">
        <v>64</v>
      </c>
      <c r="O552" s="14" t="s">
        <v>4335</v>
      </c>
      <c r="P552" s="14" t="s">
        <v>118</v>
      </c>
      <c r="Q552" s="15" t="s">
        <v>1089</v>
      </c>
      <c r="R552" s="16" t="s">
        <v>4336</v>
      </c>
      <c r="S552" s="15" t="s">
        <v>4337</v>
      </c>
      <c r="T552" s="15" t="s">
        <v>4338</v>
      </c>
      <c r="U552" s="21" t="s">
        <v>72</v>
      </c>
    </row>
    <row r="553" customFormat="false" ht="15" hidden="false" customHeight="false" outlineLevel="0" collapsed="false">
      <c r="A553" s="15" t="s">
        <v>850</v>
      </c>
      <c r="B553" s="15" t="s">
        <v>1028</v>
      </c>
      <c r="C553" s="14" t="s">
        <v>4339</v>
      </c>
      <c r="D553" s="14" t="s">
        <v>4340</v>
      </c>
      <c r="E553" s="16" t="s">
        <v>4341</v>
      </c>
      <c r="F553" s="16" t="s">
        <v>4342</v>
      </c>
      <c r="G553" s="23" t="s">
        <v>43</v>
      </c>
      <c r="H553" s="18" t="n">
        <v>2</v>
      </c>
      <c r="I553" s="20" t="n">
        <v>55.98</v>
      </c>
      <c r="J553" s="20" t="n">
        <v>156.52</v>
      </c>
      <c r="K553" s="18" t="n">
        <v>2</v>
      </c>
      <c r="L553" s="18" t="n">
        <v>3</v>
      </c>
      <c r="M553" s="18" t="n">
        <v>46</v>
      </c>
      <c r="N553" s="18" t="n">
        <v>46</v>
      </c>
      <c r="O553" s="14" t="s">
        <v>4343</v>
      </c>
      <c r="P553" s="14" t="s">
        <v>84</v>
      </c>
      <c r="Q553" s="15" t="s">
        <v>1089</v>
      </c>
      <c r="R553" s="16" t="s">
        <v>4344</v>
      </c>
      <c r="S553" s="15" t="s">
        <v>4345</v>
      </c>
      <c r="T553" s="15" t="s">
        <v>4346</v>
      </c>
      <c r="U553" s="21" t="s">
        <v>72</v>
      </c>
    </row>
    <row r="554" customFormat="false" ht="15" hidden="false" customHeight="false" outlineLevel="0" collapsed="false">
      <c r="A554" s="15" t="s">
        <v>850</v>
      </c>
      <c r="B554" s="15" t="s">
        <v>1028</v>
      </c>
      <c r="C554" s="14" t="s">
        <v>4347</v>
      </c>
      <c r="D554" s="14" t="s">
        <v>4348</v>
      </c>
      <c r="E554" s="16" t="s">
        <v>4349</v>
      </c>
      <c r="F554" s="16"/>
      <c r="G554" s="23" t="s">
        <v>43</v>
      </c>
      <c r="H554" s="18" t="n">
        <v>2</v>
      </c>
      <c r="I554" s="20" t="n">
        <v>68.21</v>
      </c>
      <c r="J554" s="20" t="n">
        <v>88.8</v>
      </c>
      <c r="K554" s="18" t="n">
        <v>4</v>
      </c>
      <c r="L554" s="18" t="n">
        <v>1</v>
      </c>
      <c r="M554" s="18" t="n">
        <v>112</v>
      </c>
      <c r="N554" s="18" t="n">
        <v>56</v>
      </c>
      <c r="O554" s="14" t="s">
        <v>1088</v>
      </c>
      <c r="P554" s="14" t="s">
        <v>118</v>
      </c>
      <c r="Q554" s="15" t="s">
        <v>1089</v>
      </c>
      <c r="R554" s="16" t="s">
        <v>4350</v>
      </c>
      <c r="S554" s="15" t="s">
        <v>4351</v>
      </c>
      <c r="T554" s="15" t="s">
        <v>4352</v>
      </c>
      <c r="U554" s="21" t="s">
        <v>72</v>
      </c>
    </row>
    <row r="555" customFormat="false" ht="15" hidden="false" customHeight="false" outlineLevel="0" collapsed="false">
      <c r="A555" s="15" t="s">
        <v>850</v>
      </c>
      <c r="B555" s="15" t="s">
        <v>1028</v>
      </c>
      <c r="C555" s="14" t="s">
        <v>4353</v>
      </c>
      <c r="D555" s="14" t="s">
        <v>4354</v>
      </c>
      <c r="E555" s="16" t="s">
        <v>4355</v>
      </c>
      <c r="F555" s="16" t="s">
        <v>4356</v>
      </c>
      <c r="G555" s="19" t="s">
        <v>41</v>
      </c>
      <c r="H555" s="18" t="n">
        <v>4</v>
      </c>
      <c r="I555" s="20" t="n">
        <v>88.55</v>
      </c>
      <c r="J555" s="20" t="n">
        <v>291.74</v>
      </c>
      <c r="K555" s="18" t="n">
        <v>10</v>
      </c>
      <c r="L555" s="18" t="n">
        <v>7</v>
      </c>
      <c r="M555" s="18" t="n">
        <v>180</v>
      </c>
      <c r="N555" s="18" t="n">
        <v>180</v>
      </c>
      <c r="O555" s="14" t="s">
        <v>1088</v>
      </c>
      <c r="P555" s="14" t="s">
        <v>84</v>
      </c>
      <c r="Q555" s="15" t="s">
        <v>1089</v>
      </c>
      <c r="R555" s="16" t="s">
        <v>4357</v>
      </c>
      <c r="S555" s="15" t="s">
        <v>4358</v>
      </c>
      <c r="T555" s="15" t="s">
        <v>4359</v>
      </c>
      <c r="U555" s="21" t="s">
        <v>72</v>
      </c>
    </row>
    <row r="556" customFormat="false" ht="26.85" hidden="false" customHeight="false" outlineLevel="0" collapsed="false">
      <c r="A556" s="15" t="s">
        <v>850</v>
      </c>
      <c r="B556" s="15" t="s">
        <v>1028</v>
      </c>
      <c r="C556" s="14" t="s">
        <v>4360</v>
      </c>
      <c r="D556" s="14" t="s">
        <v>4361</v>
      </c>
      <c r="E556" s="16" t="s">
        <v>4362</v>
      </c>
      <c r="F556" s="16" t="s">
        <v>4363</v>
      </c>
      <c r="G556" s="19" t="s">
        <v>41</v>
      </c>
      <c r="H556" s="18" t="n">
        <v>3</v>
      </c>
      <c r="I556" s="20" t="n">
        <v>67.93</v>
      </c>
      <c r="J556" s="20" t="n">
        <v>221.67</v>
      </c>
      <c r="K556" s="18" t="n">
        <v>9</v>
      </c>
      <c r="L556" s="18" t="n">
        <v>3</v>
      </c>
      <c r="M556" s="18" t="n">
        <v>165</v>
      </c>
      <c r="N556" s="18" t="n">
        <v>54</v>
      </c>
      <c r="O556" s="14" t="s">
        <v>4364</v>
      </c>
      <c r="P556" s="14" t="s">
        <v>4365</v>
      </c>
      <c r="Q556" s="15" t="s">
        <v>1089</v>
      </c>
      <c r="R556" s="16" t="s">
        <v>4366</v>
      </c>
      <c r="S556" s="15" t="s">
        <v>4367</v>
      </c>
      <c r="T556" s="15" t="s">
        <v>4368</v>
      </c>
      <c r="U556" s="21" t="s">
        <v>72</v>
      </c>
    </row>
    <row r="557" customFormat="false" ht="15" hidden="false" customHeight="false" outlineLevel="0" collapsed="false">
      <c r="A557" s="15" t="s">
        <v>850</v>
      </c>
      <c r="B557" s="15" t="s">
        <v>1028</v>
      </c>
      <c r="C557" s="14" t="s">
        <v>4369</v>
      </c>
      <c r="D557" s="14" t="s">
        <v>4370</v>
      </c>
      <c r="E557" s="16" t="s">
        <v>4371</v>
      </c>
      <c r="F557" s="16" t="s">
        <v>4372</v>
      </c>
      <c r="G557" s="19" t="s">
        <v>41</v>
      </c>
      <c r="H557" s="18" t="n">
        <v>4</v>
      </c>
      <c r="I557" s="20" t="n">
        <v>68.21</v>
      </c>
      <c r="J557" s="20" t="n">
        <v>212.46</v>
      </c>
      <c r="K557" s="18" t="n">
        <v>7</v>
      </c>
      <c r="L557" s="18" t="n">
        <v>5</v>
      </c>
      <c r="M557" s="18" t="n">
        <v>190</v>
      </c>
      <c r="N557" s="18" t="n">
        <v>60</v>
      </c>
      <c r="O557" s="14" t="s">
        <v>4223</v>
      </c>
      <c r="P557" s="14" t="s">
        <v>118</v>
      </c>
      <c r="Q557" s="15" t="s">
        <v>1089</v>
      </c>
      <c r="R557" s="16" t="s">
        <v>4373</v>
      </c>
      <c r="S557" s="15" t="s">
        <v>4374</v>
      </c>
      <c r="T557" s="15" t="s">
        <v>4375</v>
      </c>
      <c r="U557" s="21" t="s">
        <v>72</v>
      </c>
    </row>
    <row r="558" customFormat="false" ht="15" hidden="false" customHeight="false" outlineLevel="0" collapsed="false">
      <c r="A558" s="15" t="s">
        <v>850</v>
      </c>
      <c r="B558" s="15" t="s">
        <v>1028</v>
      </c>
      <c r="C558" s="14" t="s">
        <v>4376</v>
      </c>
      <c r="D558" s="14" t="s">
        <v>4377</v>
      </c>
      <c r="E558" s="16" t="s">
        <v>4378</v>
      </c>
      <c r="F558" s="16"/>
      <c r="G558" s="19" t="s">
        <v>41</v>
      </c>
      <c r="H558" s="18" t="n">
        <v>4</v>
      </c>
      <c r="I558" s="20" t="n">
        <v>87.16</v>
      </c>
      <c r="J558" s="20" t="n">
        <v>306.55</v>
      </c>
      <c r="K558" s="18" t="n">
        <v>3</v>
      </c>
      <c r="L558" s="18" t="n">
        <v>7</v>
      </c>
      <c r="M558" s="18" t="n">
        <v>71</v>
      </c>
      <c r="N558" s="18" t="n">
        <v>19</v>
      </c>
      <c r="O558" s="14" t="s">
        <v>4276</v>
      </c>
      <c r="P558" s="14" t="s">
        <v>118</v>
      </c>
      <c r="Q558" s="15" t="s">
        <v>1089</v>
      </c>
      <c r="R558" s="16" t="s">
        <v>4379</v>
      </c>
      <c r="S558" s="15" t="s">
        <v>4380</v>
      </c>
      <c r="T558" s="15" t="s">
        <v>4381</v>
      </c>
      <c r="U558" s="21" t="s">
        <v>72</v>
      </c>
    </row>
    <row r="559" customFormat="false" ht="39.55" hidden="false" customHeight="false" outlineLevel="0" collapsed="false">
      <c r="A559" s="15" t="s">
        <v>850</v>
      </c>
      <c r="B559" s="15" t="s">
        <v>1028</v>
      </c>
      <c r="C559" s="14" t="s">
        <v>4382</v>
      </c>
      <c r="D559" s="14" t="s">
        <v>4383</v>
      </c>
      <c r="E559" s="16" t="s">
        <v>4384</v>
      </c>
      <c r="F559" s="16"/>
      <c r="G559" s="23" t="s">
        <v>43</v>
      </c>
      <c r="H559" s="18" t="n">
        <v>2</v>
      </c>
      <c r="I559" s="20" t="n">
        <v>47.61</v>
      </c>
      <c r="J559" s="20" t="n">
        <v>113.63</v>
      </c>
      <c r="K559" s="18" t="n">
        <v>17</v>
      </c>
      <c r="L559" s="18" t="n">
        <v>3</v>
      </c>
      <c r="M559" s="18" t="n">
        <v>538</v>
      </c>
      <c r="N559" s="18" t="n">
        <v>150</v>
      </c>
      <c r="O559" s="14" t="s">
        <v>4385</v>
      </c>
      <c r="P559" s="14" t="s">
        <v>952</v>
      </c>
      <c r="Q559" s="15" t="s">
        <v>1089</v>
      </c>
      <c r="R559" s="16" t="s">
        <v>4386</v>
      </c>
      <c r="S559" s="15" t="s">
        <v>4387</v>
      </c>
      <c r="T559" s="15" t="s">
        <v>4388</v>
      </c>
      <c r="U559" s="21" t="s">
        <v>72</v>
      </c>
    </row>
    <row r="560" customFormat="false" ht="15" hidden="false" customHeight="false" outlineLevel="0" collapsed="false">
      <c r="A560" s="15" t="s">
        <v>850</v>
      </c>
      <c r="B560" s="15" t="s">
        <v>1028</v>
      </c>
      <c r="C560" s="14" t="s">
        <v>4389</v>
      </c>
      <c r="D560" s="14" t="s">
        <v>4390</v>
      </c>
      <c r="E560" s="16" t="s">
        <v>4391</v>
      </c>
      <c r="F560" s="16"/>
      <c r="G560" s="19" t="s">
        <v>41</v>
      </c>
      <c r="H560" s="18" t="n">
        <v>6</v>
      </c>
      <c r="I560" s="20" t="n">
        <v>165.91</v>
      </c>
      <c r="J560" s="20" t="n">
        <v>291.53</v>
      </c>
      <c r="K560" s="18" t="n">
        <v>9</v>
      </c>
      <c r="L560" s="18" t="n">
        <v>3</v>
      </c>
      <c r="M560" s="18" t="n">
        <v>168</v>
      </c>
      <c r="N560" s="18" t="n">
        <v>60</v>
      </c>
      <c r="O560" s="14" t="s">
        <v>4215</v>
      </c>
      <c r="P560" s="14" t="s">
        <v>118</v>
      </c>
      <c r="Q560" s="15" t="s">
        <v>1089</v>
      </c>
      <c r="R560" s="16" t="s">
        <v>4392</v>
      </c>
      <c r="S560" s="15" t="s">
        <v>4393</v>
      </c>
      <c r="T560" s="15" t="s">
        <v>4394</v>
      </c>
      <c r="U560" s="21" t="s">
        <v>72</v>
      </c>
    </row>
    <row r="561" customFormat="false" ht="15" hidden="false" customHeight="false" outlineLevel="0" collapsed="false">
      <c r="A561" s="15" t="s">
        <v>850</v>
      </c>
      <c r="B561" s="15" t="s">
        <v>1028</v>
      </c>
      <c r="C561" s="14" t="s">
        <v>4395</v>
      </c>
      <c r="D561" s="14" t="s">
        <v>4396</v>
      </c>
      <c r="E561" s="16" t="s">
        <v>4397</v>
      </c>
      <c r="F561" s="16"/>
      <c r="G561" s="19" t="s">
        <v>41</v>
      </c>
      <c r="H561" s="18" t="n">
        <v>5</v>
      </c>
      <c r="I561" s="20" t="n">
        <v>153.51</v>
      </c>
      <c r="J561" s="20" t="n">
        <v>319.53</v>
      </c>
      <c r="K561" s="18" t="n">
        <v>5</v>
      </c>
      <c r="L561" s="18" t="n">
        <v>7</v>
      </c>
      <c r="M561" s="18" t="n">
        <v>140</v>
      </c>
      <c r="N561" s="18" t="n">
        <v>102</v>
      </c>
      <c r="O561" s="14" t="s">
        <v>1097</v>
      </c>
      <c r="P561" s="14" t="s">
        <v>118</v>
      </c>
      <c r="Q561" s="15" t="s">
        <v>1089</v>
      </c>
      <c r="R561" s="16" t="s">
        <v>4398</v>
      </c>
      <c r="S561" s="15" t="s">
        <v>4393</v>
      </c>
      <c r="T561" s="15" t="s">
        <v>4393</v>
      </c>
      <c r="U561" s="21" t="s">
        <v>72</v>
      </c>
    </row>
    <row r="562" customFormat="false" ht="39.55" hidden="false" customHeight="false" outlineLevel="0" collapsed="false">
      <c r="A562" s="15" t="s">
        <v>850</v>
      </c>
      <c r="B562" s="15" t="s">
        <v>1028</v>
      </c>
      <c r="C562" s="14" t="s">
        <v>4399</v>
      </c>
      <c r="D562" s="14" t="s">
        <v>4400</v>
      </c>
      <c r="E562" s="16" t="s">
        <v>4401</v>
      </c>
      <c r="F562" s="16"/>
      <c r="G562" s="19" t="s">
        <v>41</v>
      </c>
      <c r="H562" s="18" t="n">
        <v>5</v>
      </c>
      <c r="I562" s="20" t="n">
        <v>76.718</v>
      </c>
      <c r="J562" s="20" t="n">
        <v>136.88</v>
      </c>
      <c r="K562" s="18" t="n">
        <v>12</v>
      </c>
      <c r="L562" s="18" t="n">
        <v>5</v>
      </c>
      <c r="M562" s="18" t="n">
        <v>120</v>
      </c>
      <c r="N562" s="18" t="n">
        <v>20</v>
      </c>
      <c r="O562" s="14" t="s">
        <v>4215</v>
      </c>
      <c r="P562" s="14" t="s">
        <v>952</v>
      </c>
      <c r="Q562" s="15" t="s">
        <v>1089</v>
      </c>
      <c r="R562" s="16" t="s">
        <v>4402</v>
      </c>
      <c r="S562" s="15" t="s">
        <v>4403</v>
      </c>
      <c r="T562" s="15" t="s">
        <v>4404</v>
      </c>
      <c r="U562" s="21" t="s">
        <v>72</v>
      </c>
    </row>
    <row r="563" customFormat="false" ht="15" hidden="false" customHeight="false" outlineLevel="0" collapsed="false">
      <c r="A563" s="15" t="s">
        <v>850</v>
      </c>
      <c r="B563" s="15" t="s">
        <v>1028</v>
      </c>
      <c r="C563" s="14" t="s">
        <v>4405</v>
      </c>
      <c r="D563" s="14" t="s">
        <v>4406</v>
      </c>
      <c r="E563" s="16" t="s">
        <v>4407</v>
      </c>
      <c r="F563" s="16"/>
      <c r="G563" s="23" t="s">
        <v>43</v>
      </c>
      <c r="H563" s="18" t="n">
        <v>3</v>
      </c>
      <c r="I563" s="20" t="n">
        <v>80.83</v>
      </c>
      <c r="J563" s="20" t="n">
        <v>158.29</v>
      </c>
      <c r="K563" s="18" t="n">
        <v>6</v>
      </c>
      <c r="L563" s="18" t="n">
        <v>2</v>
      </c>
      <c r="M563" s="18" t="n">
        <v>168</v>
      </c>
      <c r="N563" s="18" t="n">
        <v>56</v>
      </c>
      <c r="O563" s="14" t="s">
        <v>4408</v>
      </c>
      <c r="P563" s="14" t="s">
        <v>118</v>
      </c>
      <c r="Q563" s="15" t="s">
        <v>1089</v>
      </c>
      <c r="R563" s="16" t="s">
        <v>4409</v>
      </c>
      <c r="S563" s="15" t="s">
        <v>4298</v>
      </c>
      <c r="T563" s="15" t="s">
        <v>4410</v>
      </c>
      <c r="U563" s="21" t="s">
        <v>72</v>
      </c>
    </row>
    <row r="564" customFormat="false" ht="15" hidden="false" customHeight="false" outlineLevel="0" collapsed="false">
      <c r="A564" s="15" t="s">
        <v>850</v>
      </c>
      <c r="B564" s="15" t="s">
        <v>1028</v>
      </c>
      <c r="C564" s="14" t="s">
        <v>4411</v>
      </c>
      <c r="D564" s="14" t="s">
        <v>4412</v>
      </c>
      <c r="E564" s="16" t="s">
        <v>4413</v>
      </c>
      <c r="F564" s="16" t="s">
        <v>4414</v>
      </c>
      <c r="G564" s="25" t="s">
        <v>39</v>
      </c>
      <c r="H564" s="18" t="n">
        <v>18</v>
      </c>
      <c r="I564" s="20" t="n">
        <v>1350</v>
      </c>
      <c r="J564" s="20" t="n">
        <v>1840.55</v>
      </c>
      <c r="K564" s="18" t="n">
        <v>18</v>
      </c>
      <c r="L564" s="18" t="n">
        <v>1</v>
      </c>
      <c r="M564" s="18" t="n">
        <v>1080</v>
      </c>
      <c r="N564" s="18" t="n">
        <v>1080</v>
      </c>
      <c r="O564" s="14" t="s">
        <v>4223</v>
      </c>
      <c r="P564" s="14" t="s">
        <v>84</v>
      </c>
      <c r="Q564" s="15" t="s">
        <v>1089</v>
      </c>
      <c r="R564" s="16" t="s">
        <v>4415</v>
      </c>
      <c r="S564" s="15" t="s">
        <v>4416</v>
      </c>
      <c r="T564" s="15" t="s">
        <v>4416</v>
      </c>
      <c r="U564" s="21" t="s">
        <v>72</v>
      </c>
    </row>
    <row r="565" customFormat="false" ht="15" hidden="false" customHeight="false" outlineLevel="0" collapsed="false">
      <c r="A565" s="15" t="s">
        <v>850</v>
      </c>
      <c r="B565" s="15" t="s">
        <v>4417</v>
      </c>
      <c r="C565" s="14" t="s">
        <v>4418</v>
      </c>
      <c r="D565" s="14" t="s">
        <v>4419</v>
      </c>
      <c r="E565" s="16" t="s">
        <v>4420</v>
      </c>
      <c r="F565" s="16"/>
      <c r="G565" s="23" t="s">
        <v>43</v>
      </c>
      <c r="H565" s="18" t="n">
        <v>2</v>
      </c>
      <c r="I565" s="20" t="n">
        <v>31</v>
      </c>
      <c r="J565" s="20" t="n">
        <v>104.04</v>
      </c>
      <c r="K565" s="18" t="n">
        <v>4</v>
      </c>
      <c r="L565" s="18" t="n">
        <v>4</v>
      </c>
      <c r="M565" s="18" t="n">
        <v>56</v>
      </c>
      <c r="N565" s="18" t="n">
        <v>28</v>
      </c>
      <c r="O565" s="14" t="s">
        <v>1088</v>
      </c>
      <c r="P565" s="14" t="s">
        <v>84</v>
      </c>
      <c r="Q565" s="15" t="s">
        <v>1089</v>
      </c>
      <c r="R565" s="16" t="s">
        <v>4421</v>
      </c>
      <c r="S565" s="15" t="s">
        <v>4422</v>
      </c>
      <c r="T565" s="15" t="s">
        <v>4422</v>
      </c>
      <c r="U565" s="21" t="s">
        <v>72</v>
      </c>
    </row>
    <row r="566" customFormat="false" ht="26.85" hidden="false" customHeight="false" outlineLevel="0" collapsed="false">
      <c r="A566" s="15" t="s">
        <v>850</v>
      </c>
      <c r="B566" s="15" t="s">
        <v>4417</v>
      </c>
      <c r="C566" s="14" t="s">
        <v>4423</v>
      </c>
      <c r="D566" s="14" t="s">
        <v>4424</v>
      </c>
      <c r="E566" s="16" t="s">
        <v>4425</v>
      </c>
      <c r="F566" s="16" t="s">
        <v>4426</v>
      </c>
      <c r="G566" s="19" t="s">
        <v>41</v>
      </c>
      <c r="H566" s="18" t="n">
        <v>2</v>
      </c>
      <c r="I566" s="20" t="n">
        <v>36.78</v>
      </c>
      <c r="J566" s="20" t="n">
        <v>251.22</v>
      </c>
      <c r="K566" s="18" t="n">
        <v>6</v>
      </c>
      <c r="L566" s="18" t="n">
        <v>5</v>
      </c>
      <c r="M566" s="18" t="n">
        <v>180</v>
      </c>
      <c r="N566" s="18" t="n">
        <v>90</v>
      </c>
      <c r="O566" s="14" t="s">
        <v>1097</v>
      </c>
      <c r="P566" s="14" t="s">
        <v>118</v>
      </c>
      <c r="Q566" s="15" t="s">
        <v>1089</v>
      </c>
      <c r="R566" s="16" t="s">
        <v>4427</v>
      </c>
      <c r="S566" s="15" t="s">
        <v>4428</v>
      </c>
      <c r="T566" s="15" t="s">
        <v>4428</v>
      </c>
      <c r="U566" s="21" t="s">
        <v>72</v>
      </c>
    </row>
    <row r="567" customFormat="false" ht="15" hidden="false" customHeight="false" outlineLevel="0" collapsed="false">
      <c r="A567" s="15" t="s">
        <v>850</v>
      </c>
      <c r="B567" s="15" t="s">
        <v>4417</v>
      </c>
      <c r="C567" s="14" t="s">
        <v>4429</v>
      </c>
      <c r="D567" s="14" t="s">
        <v>4430</v>
      </c>
      <c r="E567" s="16" t="s">
        <v>4431</v>
      </c>
      <c r="F567" s="16" t="s">
        <v>4432</v>
      </c>
      <c r="G567" s="23" t="s">
        <v>43</v>
      </c>
      <c r="H567" s="18" t="n">
        <v>2</v>
      </c>
      <c r="I567" s="20" t="n">
        <v>57.26</v>
      </c>
      <c r="J567" s="20" t="n">
        <v>101.44</v>
      </c>
      <c r="K567" s="18" t="n">
        <v>2</v>
      </c>
      <c r="L567" s="18" t="n">
        <v>1</v>
      </c>
      <c r="M567" s="18" t="n">
        <v>47</v>
      </c>
      <c r="N567" s="18" t="n">
        <v>47</v>
      </c>
      <c r="O567" s="14" t="s">
        <v>1126</v>
      </c>
      <c r="P567" s="14" t="s">
        <v>84</v>
      </c>
      <c r="Q567" s="15" t="s">
        <v>1089</v>
      </c>
      <c r="R567" s="16" t="s">
        <v>4433</v>
      </c>
      <c r="S567" s="15" t="s">
        <v>4434</v>
      </c>
      <c r="T567" s="15" t="s">
        <v>4434</v>
      </c>
      <c r="U567" s="21" t="s">
        <v>72</v>
      </c>
    </row>
    <row r="568" customFormat="false" ht="15" hidden="false" customHeight="false" outlineLevel="0" collapsed="false">
      <c r="A568" s="15" t="s">
        <v>850</v>
      </c>
      <c r="B568" s="15" t="s">
        <v>4435</v>
      </c>
      <c r="C568" s="14" t="s">
        <v>4436</v>
      </c>
      <c r="D568" s="14" t="s">
        <v>4437</v>
      </c>
      <c r="E568" s="16" t="s">
        <v>4438</v>
      </c>
      <c r="F568" s="16" t="s">
        <v>4439</v>
      </c>
      <c r="G568" s="19" t="s">
        <v>41</v>
      </c>
      <c r="H568" s="18" t="n">
        <v>5</v>
      </c>
      <c r="I568" s="20" t="n">
        <v>100</v>
      </c>
      <c r="J568" s="20" t="n">
        <v>268.53</v>
      </c>
      <c r="K568" s="18" t="n">
        <v>5</v>
      </c>
      <c r="L568" s="18" t="n">
        <v>7</v>
      </c>
      <c r="M568" s="18" t="n">
        <v>81</v>
      </c>
      <c r="N568" s="18" t="n">
        <v>53</v>
      </c>
      <c r="O568" s="14" t="s">
        <v>1097</v>
      </c>
      <c r="P568" s="14" t="s">
        <v>118</v>
      </c>
      <c r="Q568" s="15" t="s">
        <v>1089</v>
      </c>
      <c r="R568" s="16" t="s">
        <v>1482</v>
      </c>
      <c r="S568" s="15" t="s">
        <v>4440</v>
      </c>
      <c r="T568" s="15" t="s">
        <v>4441</v>
      </c>
      <c r="U568" s="21" t="s">
        <v>72</v>
      </c>
    </row>
    <row r="569" customFormat="false" ht="64.9" hidden="false" customHeight="false" outlineLevel="0" collapsed="false">
      <c r="A569" s="15" t="s">
        <v>850</v>
      </c>
      <c r="B569" s="15" t="s">
        <v>4435</v>
      </c>
      <c r="C569" s="14" t="s">
        <v>4442</v>
      </c>
      <c r="D569" s="14" t="s">
        <v>4443</v>
      </c>
      <c r="E569" s="16" t="s">
        <v>4444</v>
      </c>
      <c r="F569" s="16" t="s">
        <v>4445</v>
      </c>
      <c r="G569" s="25" t="s">
        <v>39</v>
      </c>
      <c r="H569" s="18" t="n">
        <v>9</v>
      </c>
      <c r="I569" s="20" t="n">
        <v>378.18</v>
      </c>
      <c r="J569" s="20" t="n">
        <v>599.13</v>
      </c>
      <c r="K569" s="18" t="n">
        <v>106</v>
      </c>
      <c r="L569" s="18" t="n">
        <v>128</v>
      </c>
      <c r="M569" s="18" t="n">
        <v>5300</v>
      </c>
      <c r="N569" s="18" t="n">
        <v>550</v>
      </c>
      <c r="O569" s="14" t="s">
        <v>4446</v>
      </c>
      <c r="P569" s="14" t="s">
        <v>4447</v>
      </c>
      <c r="Q569" s="15" t="s">
        <v>1089</v>
      </c>
      <c r="R569" s="16" t="s">
        <v>4448</v>
      </c>
      <c r="S569" s="15" t="s">
        <v>2538</v>
      </c>
      <c r="T569" s="15" t="s">
        <v>4449</v>
      </c>
      <c r="U569" s="21" t="s">
        <v>72</v>
      </c>
    </row>
    <row r="570" customFormat="false" ht="26.85" hidden="false" customHeight="false" outlineLevel="0" collapsed="false">
      <c r="A570" s="15" t="s">
        <v>850</v>
      </c>
      <c r="B570" s="15" t="s">
        <v>4435</v>
      </c>
      <c r="C570" s="14" t="s">
        <v>4450</v>
      </c>
      <c r="D570" s="14" t="s">
        <v>4451</v>
      </c>
      <c r="E570" s="16" t="s">
        <v>4452</v>
      </c>
      <c r="F570" s="16"/>
      <c r="G570" s="19" t="s">
        <v>41</v>
      </c>
      <c r="H570" s="18" t="n">
        <v>6</v>
      </c>
      <c r="I570" s="20" t="n">
        <v>131.67</v>
      </c>
      <c r="J570" s="20" t="n">
        <v>144.06</v>
      </c>
      <c r="K570" s="18" t="n">
        <v>6</v>
      </c>
      <c r="L570" s="18" t="n">
        <v>2</v>
      </c>
      <c r="M570" s="18" t="n">
        <v>117</v>
      </c>
      <c r="N570" s="18" t="n">
        <v>57</v>
      </c>
      <c r="O570" s="14" t="s">
        <v>1097</v>
      </c>
      <c r="P570" s="14" t="s">
        <v>118</v>
      </c>
      <c r="Q570" s="15" t="s">
        <v>1089</v>
      </c>
      <c r="R570" s="16" t="s">
        <v>4453</v>
      </c>
      <c r="S570" s="15" t="s">
        <v>4454</v>
      </c>
      <c r="T570" s="15" t="s">
        <v>4455</v>
      </c>
      <c r="U570" s="21" t="s">
        <v>72</v>
      </c>
    </row>
    <row r="571" customFormat="false" ht="26.85" hidden="false" customHeight="false" outlineLevel="0" collapsed="false">
      <c r="A571" s="15" t="s">
        <v>850</v>
      </c>
      <c r="B571" s="15" t="s">
        <v>4435</v>
      </c>
      <c r="C571" s="14" t="s">
        <v>4456</v>
      </c>
      <c r="D571" s="14" t="s">
        <v>4457</v>
      </c>
      <c r="E571" s="16" t="s">
        <v>4458</v>
      </c>
      <c r="F571" s="16" t="s">
        <v>1387</v>
      </c>
      <c r="G571" s="23" t="s">
        <v>43</v>
      </c>
      <c r="H571" s="18" t="n">
        <v>3</v>
      </c>
      <c r="I571" s="20" t="n">
        <v>85.68</v>
      </c>
      <c r="J571" s="20" t="n">
        <v>159.41</v>
      </c>
      <c r="K571" s="18" t="n">
        <v>11</v>
      </c>
      <c r="L571" s="18" t="n">
        <v>30</v>
      </c>
      <c r="M571" s="18" t="n">
        <v>242</v>
      </c>
      <c r="N571" s="18" t="n">
        <v>132</v>
      </c>
      <c r="O571" s="14" t="s">
        <v>4276</v>
      </c>
      <c r="P571" s="14" t="s">
        <v>84</v>
      </c>
      <c r="Q571" s="15" t="s">
        <v>1089</v>
      </c>
      <c r="R571" s="16" t="s">
        <v>4459</v>
      </c>
      <c r="S571" s="15" t="s">
        <v>4460</v>
      </c>
      <c r="T571" s="15" t="s">
        <v>4461</v>
      </c>
      <c r="U571" s="21" t="s">
        <v>72</v>
      </c>
    </row>
    <row r="572" customFormat="false" ht="15" hidden="false" customHeight="false" outlineLevel="0" collapsed="false">
      <c r="A572" s="15" t="s">
        <v>850</v>
      </c>
      <c r="B572" s="15" t="s">
        <v>4435</v>
      </c>
      <c r="C572" s="14" t="s">
        <v>4462</v>
      </c>
      <c r="D572" s="14" t="s">
        <v>4463</v>
      </c>
      <c r="E572" s="16" t="s">
        <v>4464</v>
      </c>
      <c r="F572" s="16"/>
      <c r="G572" s="23" t="s">
        <v>43</v>
      </c>
      <c r="H572" s="18" t="n">
        <v>3</v>
      </c>
      <c r="I572" s="20" t="n">
        <v>45.76</v>
      </c>
      <c r="J572" s="20" t="n">
        <v>80.9</v>
      </c>
      <c r="K572" s="18" t="n">
        <v>2</v>
      </c>
      <c r="L572" s="18" t="n">
        <v>7</v>
      </c>
      <c r="M572" s="18" t="n">
        <v>26</v>
      </c>
      <c r="N572" s="18" t="n">
        <v>26</v>
      </c>
      <c r="O572" s="14" t="s">
        <v>4465</v>
      </c>
      <c r="P572" s="14" t="s">
        <v>84</v>
      </c>
      <c r="Q572" s="15" t="s">
        <v>1089</v>
      </c>
      <c r="R572" s="16" t="s">
        <v>4466</v>
      </c>
      <c r="S572" s="15" t="s">
        <v>4467</v>
      </c>
      <c r="T572" s="15" t="s">
        <v>4467</v>
      </c>
      <c r="U572" s="21" t="s">
        <v>72</v>
      </c>
    </row>
    <row r="573" customFormat="false" ht="26.85" hidden="false" customHeight="false" outlineLevel="0" collapsed="false">
      <c r="A573" s="15" t="s">
        <v>850</v>
      </c>
      <c r="B573" s="15" t="s">
        <v>4435</v>
      </c>
      <c r="C573" s="14" t="s">
        <v>4468</v>
      </c>
      <c r="D573" s="14" t="s">
        <v>4469</v>
      </c>
      <c r="E573" s="16" t="s">
        <v>4470</v>
      </c>
      <c r="F573" s="16"/>
      <c r="G573" s="23" t="s">
        <v>43</v>
      </c>
      <c r="H573" s="18" t="n">
        <v>3</v>
      </c>
      <c r="I573" s="20" t="n">
        <v>51.63</v>
      </c>
      <c r="J573" s="20" t="n">
        <v>93.56</v>
      </c>
      <c r="K573" s="18" t="n">
        <v>4</v>
      </c>
      <c r="L573" s="18" t="n">
        <v>13</v>
      </c>
      <c r="M573" s="18" t="n">
        <v>68</v>
      </c>
      <c r="N573" s="18" t="n">
        <v>68</v>
      </c>
      <c r="O573" s="14" t="s">
        <v>4471</v>
      </c>
      <c r="P573" s="14" t="s">
        <v>118</v>
      </c>
      <c r="Q573" s="15" t="s">
        <v>1089</v>
      </c>
      <c r="R573" s="16" t="s">
        <v>4472</v>
      </c>
      <c r="S573" s="15" t="s">
        <v>4473</v>
      </c>
      <c r="T573" s="15" t="s">
        <v>262</v>
      </c>
      <c r="U573" s="21" t="s">
        <v>72</v>
      </c>
    </row>
    <row r="574" customFormat="false" ht="15" hidden="false" customHeight="false" outlineLevel="0" collapsed="false">
      <c r="A574" s="15" t="s">
        <v>850</v>
      </c>
      <c r="B574" s="15" t="s">
        <v>4435</v>
      </c>
      <c r="C574" s="14" t="s">
        <v>4474</v>
      </c>
      <c r="D574" s="14" t="s">
        <v>4475</v>
      </c>
      <c r="E574" s="16" t="s">
        <v>4476</v>
      </c>
      <c r="F574" s="16"/>
      <c r="G574" s="19" t="s">
        <v>41</v>
      </c>
      <c r="H574" s="18" t="n">
        <v>4</v>
      </c>
      <c r="I574" s="20" t="n">
        <v>71.74</v>
      </c>
      <c r="J574" s="20" t="n">
        <v>213.19</v>
      </c>
      <c r="K574" s="18" t="n">
        <v>4</v>
      </c>
      <c r="L574" s="18" t="n">
        <v>7</v>
      </c>
      <c r="M574" s="18" t="n">
        <v>116</v>
      </c>
      <c r="N574" s="18" t="n">
        <v>54</v>
      </c>
      <c r="O574" s="14" t="s">
        <v>4223</v>
      </c>
      <c r="P574" s="14" t="s">
        <v>118</v>
      </c>
      <c r="Q574" s="15" t="s">
        <v>1089</v>
      </c>
      <c r="R574" s="16" t="s">
        <v>4477</v>
      </c>
      <c r="S574" s="15" t="s">
        <v>4478</v>
      </c>
      <c r="T574" s="15" t="s">
        <v>4479</v>
      </c>
      <c r="U574" s="21" t="s">
        <v>72</v>
      </c>
    </row>
    <row r="575" customFormat="false" ht="15" hidden="false" customHeight="false" outlineLevel="0" collapsed="false">
      <c r="A575" s="15" t="s">
        <v>850</v>
      </c>
      <c r="B575" s="15" t="s">
        <v>4435</v>
      </c>
      <c r="C575" s="14" t="s">
        <v>4480</v>
      </c>
      <c r="D575" s="14" t="s">
        <v>4481</v>
      </c>
      <c r="E575" s="16" t="s">
        <v>4482</v>
      </c>
      <c r="F575" s="16" t="s">
        <v>4483</v>
      </c>
      <c r="G575" s="19" t="s">
        <v>41</v>
      </c>
      <c r="H575" s="18" t="n">
        <v>6</v>
      </c>
      <c r="I575" s="20" t="n">
        <v>101.95</v>
      </c>
      <c r="J575" s="20" t="n">
        <v>277.25</v>
      </c>
      <c r="K575" s="18" t="n">
        <v>6</v>
      </c>
      <c r="L575" s="18" t="n">
        <v>67</v>
      </c>
      <c r="M575" s="18" t="n">
        <v>114</v>
      </c>
      <c r="N575" s="18" t="n">
        <v>114</v>
      </c>
      <c r="O575" s="14" t="s">
        <v>1126</v>
      </c>
      <c r="P575" s="14" t="s">
        <v>84</v>
      </c>
      <c r="Q575" s="15" t="s">
        <v>1089</v>
      </c>
      <c r="R575" s="16" t="s">
        <v>4484</v>
      </c>
      <c r="S575" s="15" t="s">
        <v>1348</v>
      </c>
      <c r="T575" s="15" t="s">
        <v>4485</v>
      </c>
      <c r="U575" s="21" t="s">
        <v>72</v>
      </c>
    </row>
    <row r="576" customFormat="false" ht="39.55" hidden="false" customHeight="false" outlineLevel="0" collapsed="false">
      <c r="A576" s="15" t="s">
        <v>850</v>
      </c>
      <c r="B576" s="15" t="s">
        <v>4435</v>
      </c>
      <c r="C576" s="14" t="s">
        <v>4486</v>
      </c>
      <c r="D576" s="14" t="s">
        <v>4487</v>
      </c>
      <c r="E576" s="16" t="s">
        <v>4488</v>
      </c>
      <c r="F576" s="16" t="s">
        <v>4489</v>
      </c>
      <c r="G576" s="23" t="s">
        <v>43</v>
      </c>
      <c r="H576" s="18" t="n">
        <v>3</v>
      </c>
      <c r="I576" s="20" t="n">
        <v>39.72</v>
      </c>
      <c r="J576" s="20" t="n">
        <v>77.57</v>
      </c>
      <c r="K576" s="18" t="n">
        <v>3</v>
      </c>
      <c r="L576" s="18" t="n">
        <v>4</v>
      </c>
      <c r="M576" s="18" t="n">
        <v>48</v>
      </c>
      <c r="N576" s="18" t="n">
        <v>16</v>
      </c>
      <c r="O576" s="14" t="s">
        <v>1088</v>
      </c>
      <c r="P576" s="14" t="s">
        <v>4490</v>
      </c>
      <c r="Q576" s="15" t="s">
        <v>1089</v>
      </c>
      <c r="R576" s="16" t="s">
        <v>4491</v>
      </c>
      <c r="S576" s="15" t="s">
        <v>4492</v>
      </c>
      <c r="T576" s="15" t="s">
        <v>4492</v>
      </c>
      <c r="U576" s="21" t="s">
        <v>72</v>
      </c>
    </row>
    <row r="577" customFormat="false" ht="26.85" hidden="false" customHeight="false" outlineLevel="0" collapsed="false">
      <c r="A577" s="15" t="s">
        <v>850</v>
      </c>
      <c r="B577" s="15" t="s">
        <v>4435</v>
      </c>
      <c r="C577" s="14" t="s">
        <v>4493</v>
      </c>
      <c r="D577" s="14" t="s">
        <v>4494</v>
      </c>
      <c r="E577" s="16" t="s">
        <v>4495</v>
      </c>
      <c r="F577" s="16" t="s">
        <v>4496</v>
      </c>
      <c r="G577" s="19" t="s">
        <v>41</v>
      </c>
      <c r="H577" s="18" t="n">
        <v>5</v>
      </c>
      <c r="I577" s="20" t="n">
        <v>90.37</v>
      </c>
      <c r="J577" s="20" t="n">
        <v>137.36</v>
      </c>
      <c r="K577" s="18" t="n">
        <v>5</v>
      </c>
      <c r="L577" s="18" t="n">
        <v>13</v>
      </c>
      <c r="M577" s="18" t="n">
        <v>85</v>
      </c>
      <c r="N577" s="18" t="n">
        <v>85</v>
      </c>
      <c r="O577" s="14" t="s">
        <v>4497</v>
      </c>
      <c r="P577" s="14" t="s">
        <v>118</v>
      </c>
      <c r="Q577" s="15" t="s">
        <v>1089</v>
      </c>
      <c r="R577" s="16" t="s">
        <v>4498</v>
      </c>
      <c r="S577" s="15" t="s">
        <v>4499</v>
      </c>
      <c r="T577" s="15" t="s">
        <v>4500</v>
      </c>
      <c r="U577" s="21" t="s">
        <v>72</v>
      </c>
    </row>
    <row r="578" customFormat="false" ht="15" hidden="false" customHeight="false" outlineLevel="0" collapsed="false">
      <c r="A578" s="15" t="s">
        <v>850</v>
      </c>
      <c r="B578" s="15" t="s">
        <v>4435</v>
      </c>
      <c r="C578" s="14" t="s">
        <v>4501</v>
      </c>
      <c r="D578" s="14" t="s">
        <v>4502</v>
      </c>
      <c r="E578" s="16" t="s">
        <v>4503</v>
      </c>
      <c r="F578" s="16" t="s">
        <v>4504</v>
      </c>
      <c r="G578" s="23" t="s">
        <v>43</v>
      </c>
      <c r="H578" s="18" t="n">
        <v>3</v>
      </c>
      <c r="I578" s="20" t="n">
        <v>50.47</v>
      </c>
      <c r="J578" s="20" t="n">
        <v>114.2</v>
      </c>
      <c r="K578" s="18" t="n">
        <v>4</v>
      </c>
      <c r="L578" s="18" t="n">
        <v>8</v>
      </c>
      <c r="M578" s="18" t="n">
        <v>54</v>
      </c>
      <c r="N578" s="18" t="n">
        <v>24</v>
      </c>
      <c r="O578" s="14" t="s">
        <v>4505</v>
      </c>
      <c r="P578" s="14" t="s">
        <v>118</v>
      </c>
      <c r="Q578" s="15" t="s">
        <v>1089</v>
      </c>
      <c r="R578" s="16" t="s">
        <v>4506</v>
      </c>
      <c r="S578" s="15" t="s">
        <v>4507</v>
      </c>
      <c r="T578" s="15" t="s">
        <v>4507</v>
      </c>
      <c r="U578" s="21" t="s">
        <v>72</v>
      </c>
    </row>
    <row r="579" customFormat="false" ht="15" hidden="false" customHeight="false" outlineLevel="0" collapsed="false">
      <c r="A579" s="15" t="s">
        <v>850</v>
      </c>
      <c r="B579" s="15" t="s">
        <v>4435</v>
      </c>
      <c r="C579" s="14" t="s">
        <v>4508</v>
      </c>
      <c r="D579" s="14" t="s">
        <v>4509</v>
      </c>
      <c r="E579" s="16" t="s">
        <v>4510</v>
      </c>
      <c r="F579" s="16" t="s">
        <v>4511</v>
      </c>
      <c r="G579" s="23" t="s">
        <v>43</v>
      </c>
      <c r="H579" s="18" t="n">
        <v>2</v>
      </c>
      <c r="I579" s="20" t="n">
        <v>54.94</v>
      </c>
      <c r="J579" s="20" t="n">
        <v>84.8</v>
      </c>
      <c r="K579" s="18" t="n">
        <v>2</v>
      </c>
      <c r="L579" s="18" t="n">
        <v>3</v>
      </c>
      <c r="M579" s="18" t="n">
        <v>50</v>
      </c>
      <c r="N579" s="18" t="n">
        <v>25</v>
      </c>
      <c r="O579" s="14" t="s">
        <v>4223</v>
      </c>
      <c r="P579" s="14" t="s">
        <v>118</v>
      </c>
      <c r="Q579" s="15" t="s">
        <v>1089</v>
      </c>
      <c r="R579" s="16" t="s">
        <v>4512</v>
      </c>
      <c r="S579" s="15" t="s">
        <v>4513</v>
      </c>
      <c r="T579" s="15" t="s">
        <v>4514</v>
      </c>
      <c r="U579" s="21" t="s">
        <v>72</v>
      </c>
    </row>
    <row r="580" customFormat="false" ht="15" hidden="false" customHeight="false" outlineLevel="0" collapsed="false">
      <c r="A580" s="15" t="s">
        <v>850</v>
      </c>
      <c r="B580" s="15" t="s">
        <v>4435</v>
      </c>
      <c r="C580" s="14" t="s">
        <v>4515</v>
      </c>
      <c r="D580" s="14" t="s">
        <v>4516</v>
      </c>
      <c r="E580" s="16" t="s">
        <v>4517</v>
      </c>
      <c r="F580" s="16" t="s">
        <v>4518</v>
      </c>
      <c r="G580" s="23" t="s">
        <v>43</v>
      </c>
      <c r="H580" s="18" t="n">
        <v>3</v>
      </c>
      <c r="I580" s="20" t="n">
        <v>92.71</v>
      </c>
      <c r="J580" s="20" t="n">
        <v>99.39</v>
      </c>
      <c r="K580" s="18" t="n">
        <v>6</v>
      </c>
      <c r="L580" s="18" t="n">
        <v>4</v>
      </c>
      <c r="M580" s="18" t="n">
        <v>216</v>
      </c>
      <c r="N580" s="18" t="n">
        <v>108</v>
      </c>
      <c r="O580" s="14" t="s">
        <v>4446</v>
      </c>
      <c r="P580" s="14" t="s">
        <v>118</v>
      </c>
      <c r="Q580" s="15" t="s">
        <v>1089</v>
      </c>
      <c r="R580" s="16" t="s">
        <v>4519</v>
      </c>
      <c r="S580" s="15" t="s">
        <v>4520</v>
      </c>
      <c r="T580" s="15" t="s">
        <v>4521</v>
      </c>
      <c r="U580" s="21" t="s">
        <v>72</v>
      </c>
    </row>
    <row r="581" customFormat="false" ht="15" hidden="false" customHeight="false" outlineLevel="0" collapsed="false">
      <c r="A581" s="15" t="s">
        <v>850</v>
      </c>
      <c r="B581" s="15" t="s">
        <v>4435</v>
      </c>
      <c r="C581" s="14" t="s">
        <v>4522</v>
      </c>
      <c r="D581" s="14" t="s">
        <v>4523</v>
      </c>
      <c r="E581" s="16" t="s">
        <v>4524</v>
      </c>
      <c r="F581" s="16"/>
      <c r="G581" s="23" t="s">
        <v>43</v>
      </c>
      <c r="H581" s="18" t="n">
        <v>2</v>
      </c>
      <c r="I581" s="20" t="n">
        <v>50.721</v>
      </c>
      <c r="J581" s="20" t="n">
        <v>122.69</v>
      </c>
      <c r="K581" s="18" t="n">
        <v>5</v>
      </c>
      <c r="L581" s="18" t="n">
        <v>14</v>
      </c>
      <c r="M581" s="18" t="n">
        <v>205</v>
      </c>
      <c r="N581" s="18" t="n">
        <v>164</v>
      </c>
      <c r="O581" s="14" t="s">
        <v>4525</v>
      </c>
      <c r="P581" s="14" t="s">
        <v>118</v>
      </c>
      <c r="Q581" s="15" t="s">
        <v>1089</v>
      </c>
      <c r="R581" s="16" t="s">
        <v>4526</v>
      </c>
      <c r="S581" s="15" t="s">
        <v>4527</v>
      </c>
      <c r="T581" s="15" t="s">
        <v>4528</v>
      </c>
      <c r="U581" s="21" t="s">
        <v>72</v>
      </c>
    </row>
    <row r="582" customFormat="false" ht="15" hidden="false" customHeight="false" outlineLevel="0" collapsed="false">
      <c r="A582" s="15" t="s">
        <v>850</v>
      </c>
      <c r="B582" s="15" t="s">
        <v>4435</v>
      </c>
      <c r="C582" s="14" t="s">
        <v>4529</v>
      </c>
      <c r="D582" s="14" t="s">
        <v>4530</v>
      </c>
      <c r="E582" s="16" t="s">
        <v>4531</v>
      </c>
      <c r="F582" s="16" t="s">
        <v>4532</v>
      </c>
      <c r="G582" s="19" t="s">
        <v>41</v>
      </c>
      <c r="H582" s="18" t="n">
        <v>6</v>
      </c>
      <c r="I582" s="20" t="n">
        <v>115.25</v>
      </c>
      <c r="J582" s="20" t="n">
        <v>219.52</v>
      </c>
      <c r="K582" s="18" t="n">
        <v>6</v>
      </c>
      <c r="L582" s="18" t="n">
        <v>5</v>
      </c>
      <c r="M582" s="18" t="n">
        <v>102</v>
      </c>
      <c r="N582" s="18" t="n">
        <v>68</v>
      </c>
      <c r="O582" s="14" t="s">
        <v>1097</v>
      </c>
      <c r="P582" s="14" t="s">
        <v>118</v>
      </c>
      <c r="Q582" s="15" t="s">
        <v>1089</v>
      </c>
      <c r="R582" s="16" t="s">
        <v>4533</v>
      </c>
      <c r="S582" s="15" t="s">
        <v>4534</v>
      </c>
      <c r="T582" s="15" t="s">
        <v>4534</v>
      </c>
      <c r="U582" s="21" t="s">
        <v>72</v>
      </c>
    </row>
    <row r="583" customFormat="false" ht="15" hidden="false" customHeight="false" outlineLevel="0" collapsed="false">
      <c r="A583" s="15" t="s">
        <v>850</v>
      </c>
      <c r="B583" s="15" t="s">
        <v>4435</v>
      </c>
      <c r="C583" s="14" t="s">
        <v>4535</v>
      </c>
      <c r="D583" s="14" t="s">
        <v>4536</v>
      </c>
      <c r="E583" s="16" t="s">
        <v>4537</v>
      </c>
      <c r="F583" s="16" t="s">
        <v>4538</v>
      </c>
      <c r="G583" s="23" t="s">
        <v>43</v>
      </c>
      <c r="H583" s="18" t="n">
        <v>2</v>
      </c>
      <c r="I583" s="20" t="n">
        <v>47.31</v>
      </c>
      <c r="J583" s="20" t="n">
        <v>87.38</v>
      </c>
      <c r="K583" s="18" t="n">
        <v>4</v>
      </c>
      <c r="L583" s="18" t="n">
        <v>3</v>
      </c>
      <c r="M583" s="18" t="n">
        <v>80</v>
      </c>
      <c r="N583" s="18" t="n">
        <v>40</v>
      </c>
      <c r="O583" s="14" t="s">
        <v>1097</v>
      </c>
      <c r="P583" s="14" t="s">
        <v>118</v>
      </c>
      <c r="Q583" s="15" t="s">
        <v>1089</v>
      </c>
      <c r="R583" s="16" t="s">
        <v>4539</v>
      </c>
      <c r="S583" s="15" t="s">
        <v>4540</v>
      </c>
      <c r="T583" s="15" t="s">
        <v>4541</v>
      </c>
      <c r="U583" s="21" t="s">
        <v>72</v>
      </c>
    </row>
    <row r="584" customFormat="false" ht="26.85" hidden="false" customHeight="false" outlineLevel="0" collapsed="false">
      <c r="A584" s="15" t="s">
        <v>850</v>
      </c>
      <c r="B584" s="15" t="s">
        <v>4435</v>
      </c>
      <c r="C584" s="14" t="s">
        <v>4542</v>
      </c>
      <c r="D584" s="14" t="s">
        <v>4543</v>
      </c>
      <c r="E584" s="16" t="s">
        <v>4544</v>
      </c>
      <c r="F584" s="16" t="s">
        <v>4545</v>
      </c>
      <c r="G584" s="23" t="s">
        <v>43</v>
      </c>
      <c r="H584" s="18" t="n">
        <v>4</v>
      </c>
      <c r="I584" s="20" t="n">
        <v>107.36</v>
      </c>
      <c r="J584" s="20" t="n">
        <v>143.25</v>
      </c>
      <c r="K584" s="18" t="n">
        <v>5</v>
      </c>
      <c r="L584" s="18" t="n">
        <v>4</v>
      </c>
      <c r="M584" s="18" t="n">
        <v>190</v>
      </c>
      <c r="N584" s="18" t="n">
        <v>190</v>
      </c>
      <c r="O584" s="14" t="s">
        <v>4546</v>
      </c>
      <c r="P584" s="14" t="s">
        <v>118</v>
      </c>
      <c r="Q584" s="15" t="s">
        <v>1089</v>
      </c>
      <c r="R584" s="16" t="s">
        <v>4547</v>
      </c>
      <c r="S584" s="15" t="s">
        <v>4548</v>
      </c>
      <c r="T584" s="15" t="s">
        <v>4548</v>
      </c>
      <c r="U584" s="21" t="s">
        <v>72</v>
      </c>
    </row>
    <row r="585" customFormat="false" ht="15" hidden="false" customHeight="false" outlineLevel="0" collapsed="false">
      <c r="A585" s="15" t="s">
        <v>850</v>
      </c>
      <c r="B585" s="15" t="s">
        <v>4435</v>
      </c>
      <c r="C585" s="14" t="s">
        <v>4549</v>
      </c>
      <c r="D585" s="14" t="s">
        <v>4550</v>
      </c>
      <c r="E585" s="16" t="s">
        <v>4551</v>
      </c>
      <c r="F585" s="16" t="s">
        <v>4552</v>
      </c>
      <c r="G585" s="23" t="s">
        <v>43</v>
      </c>
      <c r="H585" s="18" t="n">
        <v>3</v>
      </c>
      <c r="I585" s="20" t="n">
        <v>52.58</v>
      </c>
      <c r="J585" s="20" t="n">
        <v>107.85</v>
      </c>
      <c r="K585" s="18" t="n">
        <v>4</v>
      </c>
      <c r="L585" s="18" t="n">
        <v>1</v>
      </c>
      <c r="M585" s="18" t="n">
        <v>57</v>
      </c>
      <c r="N585" s="18" t="n">
        <v>28</v>
      </c>
      <c r="O585" s="14" t="s">
        <v>1097</v>
      </c>
      <c r="P585" s="14" t="s">
        <v>118</v>
      </c>
      <c r="Q585" s="15" t="s">
        <v>1089</v>
      </c>
      <c r="R585" s="16" t="s">
        <v>4553</v>
      </c>
      <c r="S585" s="15" t="s">
        <v>4554</v>
      </c>
      <c r="T585" s="15" t="s">
        <v>4554</v>
      </c>
      <c r="U585" s="21" t="s">
        <v>72</v>
      </c>
    </row>
    <row r="586" customFormat="false" ht="15" hidden="false" customHeight="false" outlineLevel="0" collapsed="false">
      <c r="A586" s="15" t="s">
        <v>850</v>
      </c>
      <c r="B586" s="15" t="s">
        <v>4435</v>
      </c>
      <c r="C586" s="14" t="s">
        <v>4555</v>
      </c>
      <c r="D586" s="14" t="s">
        <v>4556</v>
      </c>
      <c r="E586" s="16" t="s">
        <v>4557</v>
      </c>
      <c r="F586" s="16"/>
      <c r="G586" s="23" t="s">
        <v>43</v>
      </c>
      <c r="H586" s="18" t="n">
        <v>1</v>
      </c>
      <c r="I586" s="20" t="n">
        <v>64.52</v>
      </c>
      <c r="J586" s="20" t="n">
        <v>70.2</v>
      </c>
      <c r="K586" s="18" t="n">
        <v>1</v>
      </c>
      <c r="L586" s="18" t="n">
        <v>1</v>
      </c>
      <c r="M586" s="18" t="n">
        <v>53</v>
      </c>
      <c r="N586" s="18" t="n">
        <v>53</v>
      </c>
      <c r="O586" s="14" t="s">
        <v>1088</v>
      </c>
      <c r="P586" s="14" t="s">
        <v>84</v>
      </c>
      <c r="Q586" s="15" t="s">
        <v>1089</v>
      </c>
      <c r="R586" s="16" t="s">
        <v>4558</v>
      </c>
      <c r="S586" s="15" t="s">
        <v>4559</v>
      </c>
      <c r="T586" s="15" t="s">
        <v>4560</v>
      </c>
      <c r="U586" s="21" t="s">
        <v>72</v>
      </c>
    </row>
    <row r="587" customFormat="false" ht="15" hidden="false" customHeight="false" outlineLevel="0" collapsed="false">
      <c r="A587" s="15" t="s">
        <v>850</v>
      </c>
      <c r="B587" s="15" t="s">
        <v>4435</v>
      </c>
      <c r="C587" s="14" t="s">
        <v>4561</v>
      </c>
      <c r="D587" s="14" t="s">
        <v>4562</v>
      </c>
      <c r="E587" s="16" t="s">
        <v>4563</v>
      </c>
      <c r="F587" s="16"/>
      <c r="G587" s="25" t="s">
        <v>39</v>
      </c>
      <c r="H587" s="18" t="n">
        <v>16</v>
      </c>
      <c r="I587" s="20" t="n">
        <v>358.14</v>
      </c>
      <c r="J587" s="20" t="n">
        <v>888.28</v>
      </c>
      <c r="K587" s="18" t="n">
        <v>21</v>
      </c>
      <c r="L587" s="18" t="n">
        <v>7</v>
      </c>
      <c r="M587" s="18" t="n">
        <v>556</v>
      </c>
      <c r="N587" s="18" t="n">
        <v>486</v>
      </c>
      <c r="O587" s="14" t="s">
        <v>4223</v>
      </c>
      <c r="P587" s="14" t="s">
        <v>118</v>
      </c>
      <c r="Q587" s="15" t="s">
        <v>1089</v>
      </c>
      <c r="R587" s="16" t="s">
        <v>4564</v>
      </c>
      <c r="S587" s="15" t="s">
        <v>4565</v>
      </c>
      <c r="T587" s="15" t="s">
        <v>4566</v>
      </c>
      <c r="U587" s="21" t="s">
        <v>72</v>
      </c>
    </row>
    <row r="588" customFormat="false" ht="26.85" hidden="false" customHeight="false" outlineLevel="0" collapsed="false">
      <c r="A588" s="15" t="s">
        <v>850</v>
      </c>
      <c r="B588" s="15" t="s">
        <v>4435</v>
      </c>
      <c r="C588" s="14" t="s">
        <v>4567</v>
      </c>
      <c r="D588" s="14" t="s">
        <v>4568</v>
      </c>
      <c r="E588" s="16" t="s">
        <v>4569</v>
      </c>
      <c r="F588" s="16"/>
      <c r="G588" s="19" t="s">
        <v>41</v>
      </c>
      <c r="H588" s="18" t="n">
        <v>5</v>
      </c>
      <c r="I588" s="20" t="n">
        <v>101.99</v>
      </c>
      <c r="J588" s="20" t="n">
        <v>101.99</v>
      </c>
      <c r="K588" s="18" t="n">
        <v>3</v>
      </c>
      <c r="L588" s="18" t="n">
        <v>3</v>
      </c>
      <c r="M588" s="18" t="n">
        <v>39</v>
      </c>
      <c r="N588" s="18" t="n">
        <v>27</v>
      </c>
      <c r="O588" s="14" t="s">
        <v>4570</v>
      </c>
      <c r="P588" s="14" t="s">
        <v>906</v>
      </c>
      <c r="Q588" s="15" t="s">
        <v>1089</v>
      </c>
      <c r="R588" s="16" t="s">
        <v>4571</v>
      </c>
      <c r="S588" s="15" t="s">
        <v>4572</v>
      </c>
      <c r="T588" s="15" t="s">
        <v>4572</v>
      </c>
      <c r="U588" s="21" t="s">
        <v>72</v>
      </c>
    </row>
    <row r="589" customFormat="false" ht="15" hidden="false" customHeight="false" outlineLevel="0" collapsed="false">
      <c r="A589" s="15" t="s">
        <v>850</v>
      </c>
      <c r="B589" s="15" t="s">
        <v>4435</v>
      </c>
      <c r="C589" s="14" t="s">
        <v>4573</v>
      </c>
      <c r="D589" s="14" t="s">
        <v>4574</v>
      </c>
      <c r="E589" s="16" t="s">
        <v>4575</v>
      </c>
      <c r="F589" s="16" t="s">
        <v>4576</v>
      </c>
      <c r="G589" s="19" t="s">
        <v>41</v>
      </c>
      <c r="H589" s="18" t="n">
        <v>5</v>
      </c>
      <c r="I589" s="20" t="n">
        <v>83.76</v>
      </c>
      <c r="J589" s="20" t="n">
        <v>127.06</v>
      </c>
      <c r="K589" s="18" t="n">
        <v>5</v>
      </c>
      <c r="L589" s="18" t="n">
        <v>3</v>
      </c>
      <c r="M589" s="18" t="n">
        <v>72</v>
      </c>
      <c r="N589" s="18" t="n">
        <v>49</v>
      </c>
      <c r="O589" s="14" t="s">
        <v>1097</v>
      </c>
      <c r="P589" s="14" t="s">
        <v>118</v>
      </c>
      <c r="Q589" s="15" t="s">
        <v>1089</v>
      </c>
      <c r="R589" s="16" t="s">
        <v>4577</v>
      </c>
      <c r="S589" s="15" t="s">
        <v>4578</v>
      </c>
      <c r="T589" s="15" t="s">
        <v>4579</v>
      </c>
      <c r="U589" s="21" t="s">
        <v>72</v>
      </c>
    </row>
    <row r="590" customFormat="false" ht="15" hidden="false" customHeight="false" outlineLevel="0" collapsed="false">
      <c r="A590" s="15" t="s">
        <v>850</v>
      </c>
      <c r="B590" s="15" t="s">
        <v>4435</v>
      </c>
      <c r="C590" s="14" t="s">
        <v>4580</v>
      </c>
      <c r="D590" s="14" t="s">
        <v>4581</v>
      </c>
      <c r="E590" s="16" t="s">
        <v>4582</v>
      </c>
      <c r="F590" s="16" t="s">
        <v>4583</v>
      </c>
      <c r="G590" s="19" t="s">
        <v>41</v>
      </c>
      <c r="H590" s="18" t="n">
        <v>5</v>
      </c>
      <c r="I590" s="20" t="n">
        <v>148.73</v>
      </c>
      <c r="J590" s="20" t="n">
        <v>386.34</v>
      </c>
      <c r="K590" s="18" t="n">
        <v>14</v>
      </c>
      <c r="L590" s="18" t="n">
        <v>7</v>
      </c>
      <c r="M590" s="18" t="n">
        <v>426</v>
      </c>
      <c r="N590" s="18" t="n">
        <v>108</v>
      </c>
      <c r="O590" s="14" t="s">
        <v>4446</v>
      </c>
      <c r="P590" s="14" t="s">
        <v>118</v>
      </c>
      <c r="Q590" s="15" t="s">
        <v>1089</v>
      </c>
      <c r="R590" s="16" t="s">
        <v>4584</v>
      </c>
      <c r="S590" s="15" t="s">
        <v>4585</v>
      </c>
      <c r="T590" s="15" t="s">
        <v>4585</v>
      </c>
      <c r="U590" s="21" t="s">
        <v>72</v>
      </c>
    </row>
    <row r="591" customFormat="false" ht="15" hidden="false" customHeight="false" outlineLevel="0" collapsed="false">
      <c r="A591" s="15" t="s">
        <v>850</v>
      </c>
      <c r="B591" s="15" t="s">
        <v>4435</v>
      </c>
      <c r="C591" s="14" t="s">
        <v>4586</v>
      </c>
      <c r="D591" s="14" t="s">
        <v>4587</v>
      </c>
      <c r="E591" s="16" t="s">
        <v>4588</v>
      </c>
      <c r="F591" s="16" t="s">
        <v>4589</v>
      </c>
      <c r="G591" s="19" t="s">
        <v>41</v>
      </c>
      <c r="H591" s="18" t="n">
        <v>6</v>
      </c>
      <c r="I591" s="20" t="n">
        <v>43.18</v>
      </c>
      <c r="J591" s="20" t="n">
        <v>270.9</v>
      </c>
      <c r="K591" s="18" t="n">
        <v>4</v>
      </c>
      <c r="L591" s="18" t="n">
        <v>5</v>
      </c>
      <c r="M591" s="18" t="n">
        <v>96</v>
      </c>
      <c r="N591" s="18" t="n">
        <v>48</v>
      </c>
      <c r="O591" s="14" t="s">
        <v>1088</v>
      </c>
      <c r="P591" s="14" t="s">
        <v>515</v>
      </c>
      <c r="Q591" s="15" t="s">
        <v>1089</v>
      </c>
      <c r="R591" s="16" t="s">
        <v>4590</v>
      </c>
      <c r="S591" s="15" t="s">
        <v>4591</v>
      </c>
      <c r="T591" s="15" t="s">
        <v>4591</v>
      </c>
      <c r="U591" s="21" t="s">
        <v>72</v>
      </c>
    </row>
    <row r="592" customFormat="false" ht="15" hidden="false" customHeight="false" outlineLevel="0" collapsed="false">
      <c r="A592" s="15" t="s">
        <v>850</v>
      </c>
      <c r="B592" s="15" t="s">
        <v>4435</v>
      </c>
      <c r="C592" s="14" t="s">
        <v>4592</v>
      </c>
      <c r="D592" s="14" t="s">
        <v>4593</v>
      </c>
      <c r="E592" s="16" t="s">
        <v>4594</v>
      </c>
      <c r="F592" s="16" t="s">
        <v>4595</v>
      </c>
      <c r="G592" s="23" t="s">
        <v>43</v>
      </c>
      <c r="H592" s="18" t="n">
        <v>3</v>
      </c>
      <c r="I592" s="20" t="n">
        <v>53.34</v>
      </c>
      <c r="J592" s="20" t="n">
        <v>154.7</v>
      </c>
      <c r="K592" s="18" t="n">
        <v>3</v>
      </c>
      <c r="L592" s="18" t="n">
        <v>1</v>
      </c>
      <c r="M592" s="18" t="n">
        <v>129</v>
      </c>
      <c r="N592" s="18" t="n">
        <v>129</v>
      </c>
      <c r="O592" s="14" t="s">
        <v>1097</v>
      </c>
      <c r="P592" s="14" t="s">
        <v>84</v>
      </c>
      <c r="Q592" s="15" t="s">
        <v>1089</v>
      </c>
      <c r="R592" s="16" t="s">
        <v>4596</v>
      </c>
      <c r="S592" s="15" t="s">
        <v>4597</v>
      </c>
      <c r="T592" s="15" t="s">
        <v>4598</v>
      </c>
      <c r="U592" s="21" t="s">
        <v>72</v>
      </c>
    </row>
    <row r="593" customFormat="false" ht="15" hidden="false" customHeight="false" outlineLevel="0" collapsed="false">
      <c r="A593" s="15" t="s">
        <v>850</v>
      </c>
      <c r="B593" s="15" t="s">
        <v>4435</v>
      </c>
      <c r="C593" s="14" t="s">
        <v>4599</v>
      </c>
      <c r="D593" s="14" t="s">
        <v>4600</v>
      </c>
      <c r="E593" s="16" t="s">
        <v>4601</v>
      </c>
      <c r="F593" s="16"/>
      <c r="G593" s="23" t="s">
        <v>43</v>
      </c>
      <c r="H593" s="18" t="n">
        <v>2</v>
      </c>
      <c r="I593" s="20" t="n">
        <v>42.29</v>
      </c>
      <c r="J593" s="20" t="n">
        <v>81.6</v>
      </c>
      <c r="K593" s="18" t="n">
        <v>4</v>
      </c>
      <c r="L593" s="18" t="n">
        <v>2</v>
      </c>
      <c r="M593" s="18" t="n">
        <v>68</v>
      </c>
      <c r="N593" s="18" t="n">
        <v>68</v>
      </c>
      <c r="O593" s="14" t="s">
        <v>4602</v>
      </c>
      <c r="P593" s="14" t="s">
        <v>118</v>
      </c>
      <c r="Q593" s="15" t="s">
        <v>1089</v>
      </c>
      <c r="R593" s="16" t="s">
        <v>4603</v>
      </c>
      <c r="S593" s="15" t="s">
        <v>4604</v>
      </c>
      <c r="T593" s="15" t="s">
        <v>4604</v>
      </c>
      <c r="U593" s="21" t="s">
        <v>72</v>
      </c>
    </row>
    <row r="594" customFormat="false" ht="15" hidden="false" customHeight="false" outlineLevel="0" collapsed="false">
      <c r="A594" s="15" t="s">
        <v>850</v>
      </c>
      <c r="B594" s="15" t="s">
        <v>4435</v>
      </c>
      <c r="C594" s="14" t="s">
        <v>4605</v>
      </c>
      <c r="D594" s="14" t="s">
        <v>4606</v>
      </c>
      <c r="E594" s="16" t="s">
        <v>4607</v>
      </c>
      <c r="F594" s="16" t="s">
        <v>4608</v>
      </c>
      <c r="G594" s="25" t="s">
        <v>39</v>
      </c>
      <c r="H594" s="18" t="n">
        <v>4</v>
      </c>
      <c r="I594" s="20" t="n">
        <v>30</v>
      </c>
      <c r="J594" s="20" t="n">
        <v>438.2</v>
      </c>
      <c r="K594" s="18" t="n">
        <v>10</v>
      </c>
      <c r="L594" s="18" t="n">
        <v>7</v>
      </c>
      <c r="M594" s="18" t="n">
        <v>240</v>
      </c>
      <c r="N594" s="18" t="n">
        <v>240</v>
      </c>
      <c r="O594" s="14" t="s">
        <v>1088</v>
      </c>
      <c r="P594" s="14" t="s">
        <v>84</v>
      </c>
      <c r="Q594" s="15" t="s">
        <v>1089</v>
      </c>
      <c r="R594" s="16" t="s">
        <v>4609</v>
      </c>
      <c r="S594" s="15" t="s">
        <v>4610</v>
      </c>
      <c r="T594" s="15" t="s">
        <v>4610</v>
      </c>
      <c r="U594" s="21" t="s">
        <v>72</v>
      </c>
    </row>
    <row r="595" customFormat="false" ht="15" hidden="false" customHeight="false" outlineLevel="0" collapsed="false">
      <c r="A595" s="15" t="s">
        <v>850</v>
      </c>
      <c r="B595" s="15" t="s">
        <v>4435</v>
      </c>
      <c r="C595" s="14" t="s">
        <v>4611</v>
      </c>
      <c r="D595" s="14" t="s">
        <v>4612</v>
      </c>
      <c r="E595" s="16" t="s">
        <v>4613</v>
      </c>
      <c r="F595" s="16" t="s">
        <v>4614</v>
      </c>
      <c r="G595" s="23" t="s">
        <v>43</v>
      </c>
      <c r="H595" s="18" t="n">
        <v>4</v>
      </c>
      <c r="I595" s="20" t="n">
        <v>62.68</v>
      </c>
      <c r="J595" s="20" t="n">
        <v>119.53</v>
      </c>
      <c r="K595" s="18" t="n">
        <v>4</v>
      </c>
      <c r="L595" s="18" t="n">
        <v>2</v>
      </c>
      <c r="M595" s="18" t="n">
        <v>51</v>
      </c>
      <c r="N595" s="18" t="n">
        <v>39</v>
      </c>
      <c r="O595" s="14" t="s">
        <v>1097</v>
      </c>
      <c r="P595" s="14" t="s">
        <v>118</v>
      </c>
      <c r="Q595" s="15" t="s">
        <v>1089</v>
      </c>
      <c r="R595" s="16" t="s">
        <v>4615</v>
      </c>
      <c r="S595" s="15" t="s">
        <v>4616</v>
      </c>
      <c r="T595" s="15" t="s">
        <v>4617</v>
      </c>
      <c r="U595" s="21" t="s">
        <v>72</v>
      </c>
    </row>
    <row r="596" customFormat="false" ht="15" hidden="false" customHeight="false" outlineLevel="0" collapsed="false">
      <c r="A596" s="15" t="s">
        <v>850</v>
      </c>
      <c r="B596" s="15" t="s">
        <v>4435</v>
      </c>
      <c r="C596" s="14" t="s">
        <v>4618</v>
      </c>
      <c r="D596" s="14" t="s">
        <v>4619</v>
      </c>
      <c r="E596" s="16" t="s">
        <v>4620</v>
      </c>
      <c r="F596" s="16"/>
      <c r="G596" s="23" t="s">
        <v>43</v>
      </c>
      <c r="H596" s="18" t="n">
        <v>4</v>
      </c>
      <c r="I596" s="20" t="n">
        <v>74.95</v>
      </c>
      <c r="J596" s="20" t="n">
        <v>98.01</v>
      </c>
      <c r="K596" s="18" t="n">
        <v>4</v>
      </c>
      <c r="L596" s="18" t="n">
        <v>5</v>
      </c>
      <c r="M596" s="18" t="n">
        <v>88</v>
      </c>
      <c r="N596" s="18" t="n">
        <v>44</v>
      </c>
      <c r="O596" s="14" t="s">
        <v>1088</v>
      </c>
      <c r="P596" s="14" t="s">
        <v>118</v>
      </c>
      <c r="Q596" s="15" t="s">
        <v>1089</v>
      </c>
      <c r="R596" s="16" t="s">
        <v>4621</v>
      </c>
      <c r="S596" s="15" t="s">
        <v>4622</v>
      </c>
      <c r="T596" s="15" t="s">
        <v>4622</v>
      </c>
      <c r="U596" s="21" t="s">
        <v>72</v>
      </c>
    </row>
    <row r="597" customFormat="false" ht="15" hidden="false" customHeight="false" outlineLevel="0" collapsed="false">
      <c r="A597" s="15" t="s">
        <v>850</v>
      </c>
      <c r="B597" s="15" t="s">
        <v>4435</v>
      </c>
      <c r="C597" s="14" t="s">
        <v>4623</v>
      </c>
      <c r="D597" s="14" t="s">
        <v>4624</v>
      </c>
      <c r="E597" s="16" t="s">
        <v>4625</v>
      </c>
      <c r="F597" s="16"/>
      <c r="G597" s="23" t="s">
        <v>43</v>
      </c>
      <c r="H597" s="18" t="n">
        <v>3</v>
      </c>
      <c r="I597" s="20" t="n">
        <v>45.23</v>
      </c>
      <c r="J597" s="20" t="n">
        <v>73.63</v>
      </c>
      <c r="K597" s="18" t="n">
        <v>4</v>
      </c>
      <c r="L597" s="18" t="n">
        <v>1</v>
      </c>
      <c r="M597" s="18" t="n">
        <v>84</v>
      </c>
      <c r="N597" s="18" t="n">
        <v>56</v>
      </c>
      <c r="O597" s="14" t="s">
        <v>1088</v>
      </c>
      <c r="P597" s="14" t="s">
        <v>118</v>
      </c>
      <c r="Q597" s="15" t="s">
        <v>1089</v>
      </c>
      <c r="R597" s="16" t="s">
        <v>4626</v>
      </c>
      <c r="S597" s="15" t="s">
        <v>4627</v>
      </c>
      <c r="T597" s="15" t="s">
        <v>4628</v>
      </c>
      <c r="U597" s="21" t="s">
        <v>72</v>
      </c>
    </row>
    <row r="598" customFormat="false" ht="15" hidden="false" customHeight="false" outlineLevel="0" collapsed="false">
      <c r="A598" s="15" t="s">
        <v>850</v>
      </c>
      <c r="B598" s="15" t="s">
        <v>4435</v>
      </c>
      <c r="C598" s="14" t="s">
        <v>4629</v>
      </c>
      <c r="D598" s="14" t="s">
        <v>4630</v>
      </c>
      <c r="E598" s="16" t="s">
        <v>4631</v>
      </c>
      <c r="F598" s="16"/>
      <c r="G598" s="19" t="s">
        <v>41</v>
      </c>
      <c r="H598" s="18" t="n">
        <v>6</v>
      </c>
      <c r="I598" s="20" t="n">
        <v>84.74</v>
      </c>
      <c r="J598" s="20" t="n">
        <v>178.2</v>
      </c>
      <c r="K598" s="18" t="n">
        <v>4</v>
      </c>
      <c r="L598" s="18" t="n">
        <v>1</v>
      </c>
      <c r="M598" s="18" t="n">
        <v>80</v>
      </c>
      <c r="N598" s="18" t="n">
        <v>40</v>
      </c>
      <c r="O598" s="14" t="s">
        <v>1126</v>
      </c>
      <c r="P598" s="14" t="s">
        <v>118</v>
      </c>
      <c r="Q598" s="15" t="s">
        <v>1089</v>
      </c>
      <c r="R598" s="16" t="s">
        <v>4632</v>
      </c>
      <c r="S598" s="15" t="s">
        <v>4633</v>
      </c>
      <c r="T598" s="15" t="s">
        <v>4633</v>
      </c>
      <c r="U598" s="21" t="s">
        <v>72</v>
      </c>
    </row>
    <row r="599" customFormat="false" ht="26.85" hidden="false" customHeight="false" outlineLevel="0" collapsed="false">
      <c r="A599" s="15" t="s">
        <v>850</v>
      </c>
      <c r="B599" s="15" t="s">
        <v>4435</v>
      </c>
      <c r="C599" s="14" t="s">
        <v>4634</v>
      </c>
      <c r="D599" s="14" t="s">
        <v>4635</v>
      </c>
      <c r="E599" s="16" t="s">
        <v>4636</v>
      </c>
      <c r="F599" s="16"/>
      <c r="G599" s="23" t="s">
        <v>43</v>
      </c>
      <c r="H599" s="18" t="n">
        <v>3</v>
      </c>
      <c r="I599" s="20" t="n">
        <v>33.43</v>
      </c>
      <c r="J599" s="20" t="n">
        <v>80.43</v>
      </c>
      <c r="K599" s="18" t="n">
        <v>3</v>
      </c>
      <c r="L599" s="18" t="n">
        <v>1</v>
      </c>
      <c r="M599" s="18" t="n">
        <v>33</v>
      </c>
      <c r="N599" s="18" t="n">
        <v>33</v>
      </c>
      <c r="O599" s="14" t="s">
        <v>4637</v>
      </c>
      <c r="P599" s="14" t="s">
        <v>118</v>
      </c>
      <c r="Q599" s="15" t="s">
        <v>1089</v>
      </c>
      <c r="R599" s="16" t="s">
        <v>4638</v>
      </c>
      <c r="S599" s="15" t="s">
        <v>4639</v>
      </c>
      <c r="T599" s="15" t="s">
        <v>4640</v>
      </c>
      <c r="U599" s="21" t="s">
        <v>72</v>
      </c>
    </row>
    <row r="600" customFormat="false" ht="15" hidden="false" customHeight="false" outlineLevel="0" collapsed="false">
      <c r="A600" s="15" t="s">
        <v>850</v>
      </c>
      <c r="B600" s="15" t="s">
        <v>4435</v>
      </c>
      <c r="C600" s="14" t="s">
        <v>4641</v>
      </c>
      <c r="D600" s="14" t="s">
        <v>4642</v>
      </c>
      <c r="E600" s="16" t="s">
        <v>4643</v>
      </c>
      <c r="F600" s="16" t="s">
        <v>4644</v>
      </c>
      <c r="G600" s="25" t="s">
        <v>39</v>
      </c>
      <c r="H600" s="18" t="n">
        <v>8</v>
      </c>
      <c r="I600" s="20" t="n">
        <v>33</v>
      </c>
      <c r="J600" s="20"/>
      <c r="K600" s="18" t="n">
        <v>4</v>
      </c>
      <c r="L600" s="18" t="n">
        <v>5</v>
      </c>
      <c r="M600" s="18" t="n">
        <v>560</v>
      </c>
      <c r="N600" s="18" t="n">
        <v>560</v>
      </c>
      <c r="O600" s="14" t="s">
        <v>1088</v>
      </c>
      <c r="P600" s="14" t="s">
        <v>84</v>
      </c>
      <c r="Q600" s="15" t="s">
        <v>1089</v>
      </c>
      <c r="R600" s="16" t="s">
        <v>4645</v>
      </c>
      <c r="S600" s="15" t="s">
        <v>4646</v>
      </c>
      <c r="T600" s="15" t="s">
        <v>4646</v>
      </c>
      <c r="U600" s="21" t="s">
        <v>72</v>
      </c>
    </row>
    <row r="601" customFormat="false" ht="15" hidden="false" customHeight="false" outlineLevel="0" collapsed="false">
      <c r="A601" s="15" t="s">
        <v>850</v>
      </c>
      <c r="B601" s="15" t="s">
        <v>4435</v>
      </c>
      <c r="C601" s="14" t="s">
        <v>4647</v>
      </c>
      <c r="D601" s="14" t="s">
        <v>4648</v>
      </c>
      <c r="E601" s="16" t="s">
        <v>4649</v>
      </c>
      <c r="F601" s="16"/>
      <c r="G601" s="19" t="s">
        <v>41</v>
      </c>
      <c r="H601" s="18" t="n">
        <v>6</v>
      </c>
      <c r="I601" s="20" t="n">
        <v>89.4</v>
      </c>
      <c r="J601" s="20" t="n">
        <v>144</v>
      </c>
      <c r="K601" s="18" t="n">
        <v>4</v>
      </c>
      <c r="L601" s="18" t="n">
        <v>1</v>
      </c>
      <c r="M601" s="18" t="n">
        <v>62</v>
      </c>
      <c r="N601" s="18" t="n">
        <v>62</v>
      </c>
      <c r="O601" s="14" t="s">
        <v>4650</v>
      </c>
      <c r="P601" s="14" t="s">
        <v>118</v>
      </c>
      <c r="Q601" s="15" t="s">
        <v>1089</v>
      </c>
      <c r="R601" s="16" t="s">
        <v>4651</v>
      </c>
      <c r="S601" s="15" t="s">
        <v>4652</v>
      </c>
      <c r="T601" s="15" t="s">
        <v>4653</v>
      </c>
      <c r="U601" s="21" t="s">
        <v>72</v>
      </c>
    </row>
    <row r="602" customFormat="false" ht="15" hidden="false" customHeight="false" outlineLevel="0" collapsed="false">
      <c r="A602" s="15" t="s">
        <v>850</v>
      </c>
      <c r="B602" s="15" t="s">
        <v>4435</v>
      </c>
      <c r="C602" s="14" t="s">
        <v>4654</v>
      </c>
      <c r="D602" s="14" t="s">
        <v>4655</v>
      </c>
      <c r="E602" s="16" t="s">
        <v>4656</v>
      </c>
      <c r="F602" s="16"/>
      <c r="G602" s="23" t="s">
        <v>43</v>
      </c>
      <c r="H602" s="18" t="n">
        <v>1</v>
      </c>
      <c r="I602" s="20" t="n">
        <v>35</v>
      </c>
      <c r="J602" s="20" t="n">
        <v>58.37</v>
      </c>
      <c r="K602" s="18" t="n">
        <v>4</v>
      </c>
      <c r="L602" s="18" t="n">
        <v>4</v>
      </c>
      <c r="M602" s="18" t="n">
        <v>48</v>
      </c>
      <c r="N602" s="18" t="n">
        <v>12</v>
      </c>
      <c r="O602" s="14" t="s">
        <v>4657</v>
      </c>
      <c r="P602" s="14" t="s">
        <v>84</v>
      </c>
      <c r="Q602" s="15" t="s">
        <v>1089</v>
      </c>
      <c r="R602" s="16" t="s">
        <v>4658</v>
      </c>
      <c r="S602" s="15" t="s">
        <v>4659</v>
      </c>
      <c r="T602" s="15" t="s">
        <v>4659</v>
      </c>
      <c r="U602" s="21" t="s">
        <v>72</v>
      </c>
    </row>
    <row r="603" customFormat="false" ht="15" hidden="false" customHeight="false" outlineLevel="0" collapsed="false">
      <c r="A603" s="15" t="s">
        <v>850</v>
      </c>
      <c r="B603" s="15" t="s">
        <v>4435</v>
      </c>
      <c r="C603" s="14" t="s">
        <v>4660</v>
      </c>
      <c r="D603" s="14" t="s">
        <v>4661</v>
      </c>
      <c r="E603" s="16" t="s">
        <v>4662</v>
      </c>
      <c r="F603" s="16" t="s">
        <v>4663</v>
      </c>
      <c r="G603" s="23" t="s">
        <v>43</v>
      </c>
      <c r="H603" s="18" t="n">
        <v>3</v>
      </c>
      <c r="I603" s="20" t="n">
        <v>30.87</v>
      </c>
      <c r="J603" s="20" t="n">
        <v>98.38</v>
      </c>
      <c r="K603" s="18" t="n">
        <v>4</v>
      </c>
      <c r="L603" s="18" t="n">
        <v>9</v>
      </c>
      <c r="M603" s="18" t="n">
        <v>50</v>
      </c>
      <c r="N603" s="18" t="n">
        <v>26</v>
      </c>
      <c r="O603" s="14" t="s">
        <v>4664</v>
      </c>
      <c r="P603" s="14" t="s">
        <v>118</v>
      </c>
      <c r="Q603" s="15" t="s">
        <v>1089</v>
      </c>
      <c r="R603" s="16" t="s">
        <v>4665</v>
      </c>
      <c r="S603" s="15" t="s">
        <v>4666</v>
      </c>
      <c r="T603" s="15" t="s">
        <v>4666</v>
      </c>
      <c r="U603" s="21" t="s">
        <v>72</v>
      </c>
    </row>
    <row r="604" customFormat="false" ht="26.85" hidden="false" customHeight="false" outlineLevel="0" collapsed="false">
      <c r="A604" s="15" t="s">
        <v>850</v>
      </c>
      <c r="B604" s="15" t="s">
        <v>4435</v>
      </c>
      <c r="C604" s="14" t="s">
        <v>4667</v>
      </c>
      <c r="D604" s="14" t="s">
        <v>4668</v>
      </c>
      <c r="E604" s="16" t="s">
        <v>4669</v>
      </c>
      <c r="F604" s="16"/>
      <c r="G604" s="19" t="s">
        <v>41</v>
      </c>
      <c r="H604" s="18" t="n">
        <v>7</v>
      </c>
      <c r="I604" s="20" t="n">
        <v>72.23</v>
      </c>
      <c r="J604" s="20" t="n">
        <v>195.98</v>
      </c>
      <c r="K604" s="18" t="n">
        <v>3</v>
      </c>
      <c r="L604" s="18" t="n">
        <v>6</v>
      </c>
      <c r="M604" s="18" t="n">
        <v>33</v>
      </c>
      <c r="N604" s="18" t="n">
        <v>33</v>
      </c>
      <c r="O604" s="14" t="s">
        <v>4670</v>
      </c>
      <c r="P604" s="14" t="s">
        <v>118</v>
      </c>
      <c r="Q604" s="15" t="s">
        <v>1089</v>
      </c>
      <c r="R604" s="16" t="s">
        <v>4671</v>
      </c>
      <c r="S604" s="15" t="s">
        <v>4672</v>
      </c>
      <c r="T604" s="15" t="s">
        <v>4673</v>
      </c>
      <c r="U604" s="21" t="s">
        <v>72</v>
      </c>
    </row>
    <row r="605" customFormat="false" ht="15" hidden="false" customHeight="false" outlineLevel="0" collapsed="false">
      <c r="A605" s="15" t="s">
        <v>850</v>
      </c>
      <c r="B605" s="15" t="s">
        <v>4435</v>
      </c>
      <c r="C605" s="14" t="s">
        <v>4674</v>
      </c>
      <c r="D605" s="14" t="s">
        <v>4675</v>
      </c>
      <c r="E605" s="16" t="s">
        <v>4676</v>
      </c>
      <c r="F605" s="16" t="s">
        <v>4677</v>
      </c>
      <c r="G605" s="23" t="s">
        <v>43</v>
      </c>
      <c r="H605" s="18" t="n">
        <v>2</v>
      </c>
      <c r="I605" s="20" t="n">
        <v>45.38</v>
      </c>
      <c r="J605" s="20" t="n">
        <v>52.02</v>
      </c>
      <c r="K605" s="18" t="n">
        <v>2</v>
      </c>
      <c r="L605" s="18" t="n">
        <v>3</v>
      </c>
      <c r="M605" s="18" t="n">
        <v>44</v>
      </c>
      <c r="N605" s="18" t="n">
        <v>44</v>
      </c>
      <c r="O605" s="14" t="s">
        <v>1126</v>
      </c>
      <c r="P605" s="14" t="s">
        <v>84</v>
      </c>
      <c r="Q605" s="15" t="s">
        <v>1089</v>
      </c>
      <c r="R605" s="16" t="s">
        <v>4678</v>
      </c>
      <c r="S605" s="15" t="s">
        <v>4679</v>
      </c>
      <c r="T605" s="15" t="s">
        <v>4680</v>
      </c>
      <c r="U605" s="21" t="s">
        <v>72</v>
      </c>
    </row>
    <row r="606" customFormat="false" ht="15" hidden="false" customHeight="false" outlineLevel="0" collapsed="false">
      <c r="A606" s="15" t="s">
        <v>850</v>
      </c>
      <c r="B606" s="15" t="s">
        <v>4435</v>
      </c>
      <c r="C606" s="14" t="s">
        <v>4681</v>
      </c>
      <c r="D606" s="14" t="s">
        <v>4682</v>
      </c>
      <c r="E606" s="16" t="s">
        <v>4683</v>
      </c>
      <c r="F606" s="16" t="s">
        <v>4684</v>
      </c>
      <c r="G606" s="19" t="s">
        <v>41</v>
      </c>
      <c r="H606" s="18" t="n">
        <v>7</v>
      </c>
      <c r="I606" s="20" t="n">
        <v>166.33</v>
      </c>
      <c r="J606" s="20" t="n">
        <v>241.91</v>
      </c>
      <c r="K606" s="18" t="n">
        <v>4</v>
      </c>
      <c r="L606" s="18" t="n">
        <v>2</v>
      </c>
      <c r="M606" s="18" t="n">
        <v>112</v>
      </c>
      <c r="N606" s="18" t="n">
        <v>112</v>
      </c>
      <c r="O606" s="13" t="s">
        <v>4685</v>
      </c>
      <c r="P606" s="14" t="s">
        <v>118</v>
      </c>
      <c r="Q606" s="15" t="s">
        <v>1089</v>
      </c>
      <c r="R606" s="16" t="s">
        <v>4686</v>
      </c>
      <c r="S606" s="15" t="s">
        <v>4687</v>
      </c>
      <c r="T606" s="15" t="s">
        <v>4687</v>
      </c>
      <c r="U606" s="21" t="s">
        <v>72</v>
      </c>
    </row>
    <row r="607" customFormat="false" ht="15" hidden="false" customHeight="false" outlineLevel="0" collapsed="false">
      <c r="A607" s="15" t="s">
        <v>850</v>
      </c>
      <c r="B607" s="15" t="s">
        <v>4435</v>
      </c>
      <c r="C607" s="14" t="s">
        <v>4688</v>
      </c>
      <c r="D607" s="14" t="s">
        <v>4689</v>
      </c>
      <c r="E607" s="16" t="s">
        <v>4690</v>
      </c>
      <c r="F607" s="16" t="s">
        <v>4691</v>
      </c>
      <c r="G607" s="23" t="s">
        <v>43</v>
      </c>
      <c r="H607" s="18" t="n">
        <v>2</v>
      </c>
      <c r="I607" s="20" t="n">
        <v>44.733</v>
      </c>
      <c r="J607" s="20" t="n">
        <v>83.94</v>
      </c>
      <c r="K607" s="18" t="n">
        <v>4</v>
      </c>
      <c r="L607" s="18" t="n">
        <v>1</v>
      </c>
      <c r="M607" s="18" t="n">
        <v>74</v>
      </c>
      <c r="N607" s="18" t="n">
        <v>40</v>
      </c>
      <c r="O607" s="14" t="s">
        <v>1126</v>
      </c>
      <c r="P607" s="14" t="s">
        <v>118</v>
      </c>
      <c r="Q607" s="15" t="s">
        <v>1089</v>
      </c>
      <c r="R607" s="16" t="s">
        <v>4692</v>
      </c>
      <c r="S607" s="15" t="s">
        <v>4693</v>
      </c>
      <c r="T607" s="15" t="s">
        <v>4694</v>
      </c>
      <c r="U607" s="21" t="s">
        <v>72</v>
      </c>
    </row>
    <row r="608" customFormat="false" ht="15" hidden="false" customHeight="false" outlineLevel="0" collapsed="false">
      <c r="A608" s="15" t="s">
        <v>850</v>
      </c>
      <c r="B608" s="15" t="s">
        <v>4435</v>
      </c>
      <c r="C608" s="14" t="s">
        <v>4695</v>
      </c>
      <c r="D608" s="14" t="s">
        <v>4696</v>
      </c>
      <c r="E608" s="16" t="s">
        <v>4697</v>
      </c>
      <c r="F608" s="16"/>
      <c r="G608" s="25" t="s">
        <v>39</v>
      </c>
      <c r="H608" s="18" t="n">
        <v>6</v>
      </c>
      <c r="I608" s="20" t="n">
        <v>262.31</v>
      </c>
      <c r="J608" s="20" t="n">
        <v>1801.09</v>
      </c>
      <c r="K608" s="18" t="n">
        <v>16</v>
      </c>
      <c r="L608" s="18" t="n">
        <v>14</v>
      </c>
      <c r="M608" s="18" t="n">
        <v>652</v>
      </c>
      <c r="N608" s="18" t="n">
        <v>144</v>
      </c>
      <c r="O608" s="14" t="s">
        <v>4215</v>
      </c>
      <c r="P608" s="14" t="s">
        <v>1716</v>
      </c>
      <c r="Q608" s="15" t="s">
        <v>1089</v>
      </c>
      <c r="R608" s="16" t="s">
        <v>4698</v>
      </c>
      <c r="S608" s="15" t="s">
        <v>4699</v>
      </c>
      <c r="T608" s="15" t="s">
        <v>4699</v>
      </c>
      <c r="U608" s="21" t="s">
        <v>72</v>
      </c>
    </row>
    <row r="609" customFormat="false" ht="39.55" hidden="false" customHeight="false" outlineLevel="0" collapsed="false">
      <c r="A609" s="15" t="s">
        <v>850</v>
      </c>
      <c r="B609" s="15" t="s">
        <v>4435</v>
      </c>
      <c r="C609" s="14" t="s">
        <v>4700</v>
      </c>
      <c r="D609" s="14" t="s">
        <v>4701</v>
      </c>
      <c r="E609" s="16" t="s">
        <v>4702</v>
      </c>
      <c r="F609" s="16"/>
      <c r="G609" s="25" t="s">
        <v>39</v>
      </c>
      <c r="H609" s="18" t="n">
        <v>16</v>
      </c>
      <c r="I609" s="20" t="n">
        <v>404.78</v>
      </c>
      <c r="J609" s="20" t="n">
        <v>735.74</v>
      </c>
      <c r="K609" s="18" t="n">
        <v>11</v>
      </c>
      <c r="L609" s="18" t="n">
        <v>12</v>
      </c>
      <c r="M609" s="18" t="n">
        <v>242</v>
      </c>
      <c r="N609" s="18" t="n">
        <v>88</v>
      </c>
      <c r="O609" s="14" t="s">
        <v>4343</v>
      </c>
      <c r="P609" s="14" t="s">
        <v>1288</v>
      </c>
      <c r="Q609" s="15" t="s">
        <v>1089</v>
      </c>
      <c r="R609" s="16" t="s">
        <v>4703</v>
      </c>
      <c r="S609" s="15" t="s">
        <v>4565</v>
      </c>
      <c r="T609" s="15" t="s">
        <v>4704</v>
      </c>
      <c r="U609" s="21" t="s">
        <v>72</v>
      </c>
    </row>
    <row r="610" customFormat="false" ht="15" hidden="false" customHeight="false" outlineLevel="0" collapsed="false">
      <c r="A610" s="15" t="s">
        <v>850</v>
      </c>
      <c r="B610" s="15" t="s">
        <v>4435</v>
      </c>
      <c r="C610" s="14" t="s">
        <v>4705</v>
      </c>
      <c r="D610" s="14" t="s">
        <v>4706</v>
      </c>
      <c r="E610" s="16" t="s">
        <v>4702</v>
      </c>
      <c r="F610" s="16"/>
      <c r="G610" s="25" t="s">
        <v>39</v>
      </c>
      <c r="H610" s="18" t="n">
        <v>8</v>
      </c>
      <c r="I610" s="20" t="n">
        <v>192.99</v>
      </c>
      <c r="J610" s="20" t="n">
        <v>420.95</v>
      </c>
      <c r="K610" s="18" t="n">
        <v>9</v>
      </c>
      <c r="L610" s="18" t="n">
        <v>12</v>
      </c>
      <c r="M610" s="18" t="n">
        <v>225</v>
      </c>
      <c r="N610" s="18" t="n">
        <v>225</v>
      </c>
      <c r="O610" s="14" t="s">
        <v>4223</v>
      </c>
      <c r="P610" s="14" t="s">
        <v>84</v>
      </c>
      <c r="Q610" s="15" t="s">
        <v>1089</v>
      </c>
      <c r="R610" s="16" t="s">
        <v>4707</v>
      </c>
      <c r="S610" s="15" t="s">
        <v>4565</v>
      </c>
      <c r="T610" s="15" t="s">
        <v>4708</v>
      </c>
      <c r="U610" s="21" t="s">
        <v>72</v>
      </c>
    </row>
    <row r="611" customFormat="false" ht="15" hidden="false" customHeight="false" outlineLevel="0" collapsed="false">
      <c r="A611" s="15" t="s">
        <v>850</v>
      </c>
      <c r="B611" s="15" t="s">
        <v>4435</v>
      </c>
      <c r="C611" s="14" t="s">
        <v>4709</v>
      </c>
      <c r="D611" s="14" t="s">
        <v>4710</v>
      </c>
      <c r="E611" s="16" t="s">
        <v>4711</v>
      </c>
      <c r="F611" s="16" t="s">
        <v>4712</v>
      </c>
      <c r="G611" s="25" t="s">
        <v>39</v>
      </c>
      <c r="H611" s="18" t="n">
        <v>8</v>
      </c>
      <c r="I611" s="20" t="n">
        <v>30</v>
      </c>
      <c r="J611" s="20" t="n">
        <v>226.03</v>
      </c>
      <c r="K611" s="18" t="n">
        <v>7</v>
      </c>
      <c r="L611" s="18" t="n">
        <v>4</v>
      </c>
      <c r="M611" s="18" t="n">
        <v>129</v>
      </c>
      <c r="N611" s="18" t="n">
        <v>48</v>
      </c>
      <c r="O611" s="14" t="s">
        <v>4713</v>
      </c>
      <c r="P611" s="14" t="s">
        <v>118</v>
      </c>
      <c r="Q611" s="15" t="s">
        <v>1089</v>
      </c>
      <c r="R611" s="16" t="s">
        <v>4714</v>
      </c>
      <c r="S611" s="15" t="s">
        <v>4715</v>
      </c>
      <c r="T611" s="15" t="s">
        <v>4716</v>
      </c>
      <c r="U611" s="21" t="s">
        <v>72</v>
      </c>
    </row>
    <row r="612" customFormat="false" ht="39.55" hidden="false" customHeight="false" outlineLevel="0" collapsed="false">
      <c r="A612" s="15" t="s">
        <v>850</v>
      </c>
      <c r="B612" s="15" t="s">
        <v>4435</v>
      </c>
      <c r="C612" s="14" t="s">
        <v>4717</v>
      </c>
      <c r="D612" s="14" t="s">
        <v>4718</v>
      </c>
      <c r="E612" s="16" t="s">
        <v>4719</v>
      </c>
      <c r="F612" s="16"/>
      <c r="G612" s="19" t="s">
        <v>41</v>
      </c>
      <c r="H612" s="18" t="n">
        <v>4</v>
      </c>
      <c r="I612" s="20" t="n">
        <v>85.65</v>
      </c>
      <c r="J612" s="20" t="n">
        <v>202.63</v>
      </c>
      <c r="K612" s="18" t="n">
        <v>12</v>
      </c>
      <c r="L612" s="18" t="n">
        <v>4</v>
      </c>
      <c r="M612" s="18" t="n">
        <v>212</v>
      </c>
      <c r="N612" s="18" t="n">
        <v>30</v>
      </c>
      <c r="O612" s="14" t="s">
        <v>1097</v>
      </c>
      <c r="P612" s="14" t="s">
        <v>952</v>
      </c>
      <c r="Q612" s="15" t="s">
        <v>1089</v>
      </c>
      <c r="R612" s="16" t="s">
        <v>4720</v>
      </c>
      <c r="S612" s="15" t="s">
        <v>4721</v>
      </c>
      <c r="T612" s="15" t="s">
        <v>4721</v>
      </c>
      <c r="U612" s="21" t="s">
        <v>72</v>
      </c>
    </row>
    <row r="613" customFormat="false" ht="26.85" hidden="false" customHeight="false" outlineLevel="0" collapsed="false">
      <c r="A613" s="15" t="s">
        <v>850</v>
      </c>
      <c r="B613" s="15" t="s">
        <v>4435</v>
      </c>
      <c r="C613" s="14" t="s">
        <v>4722</v>
      </c>
      <c r="D613" s="14" t="s">
        <v>4723</v>
      </c>
      <c r="E613" s="16" t="s">
        <v>4724</v>
      </c>
      <c r="F613" s="16"/>
      <c r="G613" s="19" t="s">
        <v>41</v>
      </c>
      <c r="H613" s="18" t="n">
        <v>4</v>
      </c>
      <c r="I613" s="20" t="n">
        <v>89.3964</v>
      </c>
      <c r="J613" s="20" t="n">
        <v>210.12</v>
      </c>
      <c r="K613" s="18" t="n">
        <v>4</v>
      </c>
      <c r="L613" s="18"/>
      <c r="M613" s="18" t="n">
        <v>100</v>
      </c>
      <c r="N613" s="18" t="n">
        <v>100</v>
      </c>
      <c r="O613" s="14" t="s">
        <v>4725</v>
      </c>
      <c r="P613" s="14" t="s">
        <v>118</v>
      </c>
      <c r="Q613" s="15" t="s">
        <v>1089</v>
      </c>
      <c r="R613" s="16" t="s">
        <v>4726</v>
      </c>
      <c r="S613" s="15" t="s">
        <v>4727</v>
      </c>
      <c r="T613" s="15" t="s">
        <v>4728</v>
      </c>
      <c r="U613" s="21" t="s">
        <v>72</v>
      </c>
    </row>
    <row r="614" customFormat="false" ht="15" hidden="false" customHeight="false" outlineLevel="0" collapsed="false">
      <c r="A614" s="15" t="s">
        <v>850</v>
      </c>
      <c r="B614" s="15" t="s">
        <v>4435</v>
      </c>
      <c r="C614" s="14" t="s">
        <v>4729</v>
      </c>
      <c r="D614" s="14" t="s">
        <v>4730</v>
      </c>
      <c r="E614" s="16" t="s">
        <v>4731</v>
      </c>
      <c r="F614" s="16"/>
      <c r="G614" s="23" t="s">
        <v>43</v>
      </c>
      <c r="H614" s="18" t="n">
        <v>3</v>
      </c>
      <c r="I614" s="20" t="n">
        <v>54.1</v>
      </c>
      <c r="J614" s="20" t="n">
        <v>78.83</v>
      </c>
      <c r="K614" s="18" t="n">
        <v>5</v>
      </c>
      <c r="L614" s="18" t="n">
        <v>1</v>
      </c>
      <c r="M614" s="18" t="n">
        <v>72</v>
      </c>
      <c r="N614" s="18" t="n">
        <v>15</v>
      </c>
      <c r="O614" s="14" t="s">
        <v>4215</v>
      </c>
      <c r="P614" s="14" t="s">
        <v>118</v>
      </c>
      <c r="Q614" s="15" t="s">
        <v>1089</v>
      </c>
      <c r="R614" s="16" t="s">
        <v>4732</v>
      </c>
      <c r="S614" s="15" t="s">
        <v>4733</v>
      </c>
      <c r="T614" s="15" t="s">
        <v>4734</v>
      </c>
      <c r="U614" s="21" t="s">
        <v>72</v>
      </c>
    </row>
    <row r="615" customFormat="false" ht="15" hidden="false" customHeight="false" outlineLevel="0" collapsed="false">
      <c r="A615" s="15" t="s">
        <v>850</v>
      </c>
      <c r="B615" s="15" t="s">
        <v>4435</v>
      </c>
      <c r="C615" s="14" t="s">
        <v>4735</v>
      </c>
      <c r="D615" s="14" t="s">
        <v>4736</v>
      </c>
      <c r="E615" s="16" t="s">
        <v>4737</v>
      </c>
      <c r="F615" s="16"/>
      <c r="G615" s="23" t="s">
        <v>43</v>
      </c>
      <c r="H615" s="18" t="n">
        <v>3</v>
      </c>
      <c r="I615" s="20" t="n">
        <v>74.2</v>
      </c>
      <c r="J615" s="20" t="n">
        <v>124.31</v>
      </c>
      <c r="K615" s="18" t="n">
        <v>2</v>
      </c>
      <c r="L615" s="18"/>
      <c r="M615" s="18" t="n">
        <v>60</v>
      </c>
      <c r="N615" s="18" t="n">
        <v>60</v>
      </c>
      <c r="O615" s="14" t="s">
        <v>1088</v>
      </c>
      <c r="P615" s="14" t="s">
        <v>118</v>
      </c>
      <c r="Q615" s="15" t="s">
        <v>1089</v>
      </c>
      <c r="R615" s="16" t="s">
        <v>4738</v>
      </c>
      <c r="S615" s="15" t="s">
        <v>4739</v>
      </c>
      <c r="T615" s="15" t="s">
        <v>4740</v>
      </c>
      <c r="U615" s="21" t="s">
        <v>72</v>
      </c>
    </row>
    <row r="616" customFormat="false" ht="15" hidden="false" customHeight="false" outlineLevel="0" collapsed="false">
      <c r="A616" s="15" t="s">
        <v>850</v>
      </c>
      <c r="B616" s="15" t="s">
        <v>4435</v>
      </c>
      <c r="C616" s="14" t="s">
        <v>4741</v>
      </c>
      <c r="D616" s="14" t="s">
        <v>4742</v>
      </c>
      <c r="E616" s="16" t="s">
        <v>4743</v>
      </c>
      <c r="F616" s="16" t="s">
        <v>4744</v>
      </c>
      <c r="G616" s="19" t="s">
        <v>41</v>
      </c>
      <c r="H616" s="18" t="n">
        <v>5</v>
      </c>
      <c r="I616" s="20" t="n">
        <v>72.05</v>
      </c>
      <c r="J616" s="20" t="n">
        <v>226</v>
      </c>
      <c r="K616" s="18" t="n">
        <v>6</v>
      </c>
      <c r="L616" s="18" t="n">
        <v>11</v>
      </c>
      <c r="M616" s="18" t="n">
        <v>90</v>
      </c>
      <c r="N616" s="18" t="n">
        <v>30</v>
      </c>
      <c r="O616" s="14" t="s">
        <v>4215</v>
      </c>
      <c r="P616" s="14" t="s">
        <v>118</v>
      </c>
      <c r="Q616" s="15" t="s">
        <v>1089</v>
      </c>
      <c r="R616" s="16" t="s">
        <v>4745</v>
      </c>
      <c r="S616" s="15" t="s">
        <v>4746</v>
      </c>
      <c r="T616" s="15" t="s">
        <v>4746</v>
      </c>
      <c r="U616" s="21" t="s">
        <v>72</v>
      </c>
    </row>
    <row r="617" customFormat="false" ht="26.85" hidden="false" customHeight="false" outlineLevel="0" collapsed="false">
      <c r="A617" s="15" t="s">
        <v>850</v>
      </c>
      <c r="B617" s="15" t="s">
        <v>4435</v>
      </c>
      <c r="C617" s="14" t="s">
        <v>4747</v>
      </c>
      <c r="D617" s="14" t="s">
        <v>4748</v>
      </c>
      <c r="E617" s="16" t="s">
        <v>4749</v>
      </c>
      <c r="F617" s="16" t="s">
        <v>4750</v>
      </c>
      <c r="G617" s="23" t="s">
        <v>43</v>
      </c>
      <c r="H617" s="18" t="n">
        <v>4</v>
      </c>
      <c r="I617" s="20" t="n">
        <v>59.51</v>
      </c>
      <c r="J617" s="20" t="n">
        <v>91.3</v>
      </c>
      <c r="K617" s="18" t="n">
        <v>3</v>
      </c>
      <c r="L617" s="18" t="n">
        <v>2</v>
      </c>
      <c r="M617" s="18" t="n">
        <v>55</v>
      </c>
      <c r="N617" s="18" t="n">
        <v>19</v>
      </c>
      <c r="O617" s="14" t="s">
        <v>4751</v>
      </c>
      <c r="P617" s="14" t="s">
        <v>352</v>
      </c>
      <c r="Q617" s="15" t="s">
        <v>1089</v>
      </c>
      <c r="R617" s="16" t="s">
        <v>4752</v>
      </c>
      <c r="S617" s="15" t="s">
        <v>4753</v>
      </c>
      <c r="T617" s="15" t="s">
        <v>4753</v>
      </c>
      <c r="U617" s="21" t="s">
        <v>72</v>
      </c>
    </row>
    <row r="618" customFormat="false" ht="26.85" hidden="false" customHeight="false" outlineLevel="0" collapsed="false">
      <c r="A618" s="15" t="s">
        <v>850</v>
      </c>
      <c r="B618" s="15" t="s">
        <v>4435</v>
      </c>
      <c r="C618" s="14" t="s">
        <v>4754</v>
      </c>
      <c r="D618" s="14" t="s">
        <v>4755</v>
      </c>
      <c r="E618" s="16" t="s">
        <v>4756</v>
      </c>
      <c r="F618" s="16"/>
      <c r="G618" s="23" t="s">
        <v>43</v>
      </c>
      <c r="H618" s="18" t="n">
        <v>4</v>
      </c>
      <c r="I618" s="20" t="n">
        <v>49.87</v>
      </c>
      <c r="J618" s="20" t="n">
        <v>106.35</v>
      </c>
      <c r="K618" s="18" t="n">
        <v>4</v>
      </c>
      <c r="L618" s="18" t="n">
        <v>5</v>
      </c>
      <c r="M618" s="18" t="n">
        <v>60</v>
      </c>
      <c r="N618" s="18" t="n">
        <v>60</v>
      </c>
      <c r="O618" s="14" t="s">
        <v>4751</v>
      </c>
      <c r="P618" s="14" t="s">
        <v>118</v>
      </c>
      <c r="Q618" s="15" t="s">
        <v>1089</v>
      </c>
      <c r="R618" s="16" t="s">
        <v>4757</v>
      </c>
      <c r="S618" s="15" t="s">
        <v>4758</v>
      </c>
      <c r="T618" s="15" t="s">
        <v>4758</v>
      </c>
      <c r="U618" s="21" t="s">
        <v>72</v>
      </c>
    </row>
    <row r="619" customFormat="false" ht="26.85" hidden="false" customHeight="false" outlineLevel="0" collapsed="false">
      <c r="A619" s="15" t="s">
        <v>850</v>
      </c>
      <c r="B619" s="15" t="s">
        <v>4435</v>
      </c>
      <c r="C619" s="14" t="s">
        <v>4759</v>
      </c>
      <c r="D619" s="14" t="s">
        <v>4760</v>
      </c>
      <c r="E619" s="16" t="s">
        <v>4761</v>
      </c>
      <c r="F619" s="16"/>
      <c r="G619" s="25" t="s">
        <v>39</v>
      </c>
      <c r="H619" s="18" t="n">
        <v>8</v>
      </c>
      <c r="I619" s="20" t="n">
        <v>143.51</v>
      </c>
      <c r="J619" s="20" t="n">
        <v>294.69</v>
      </c>
      <c r="K619" s="18" t="n">
        <v>6</v>
      </c>
      <c r="L619" s="18" t="n">
        <v>2</v>
      </c>
      <c r="M619" s="18" t="n">
        <v>148</v>
      </c>
      <c r="N619" s="18" t="n">
        <v>148</v>
      </c>
      <c r="O619" s="14" t="s">
        <v>4762</v>
      </c>
      <c r="P619" s="14" t="s">
        <v>118</v>
      </c>
      <c r="Q619" s="15" t="s">
        <v>1089</v>
      </c>
      <c r="R619" s="16" t="s">
        <v>4763</v>
      </c>
      <c r="S619" s="15" t="s">
        <v>4764</v>
      </c>
      <c r="T619" s="15" t="s">
        <v>4765</v>
      </c>
      <c r="U619" s="21" t="s">
        <v>72</v>
      </c>
    </row>
    <row r="620" customFormat="false" ht="26.85" hidden="false" customHeight="false" outlineLevel="0" collapsed="false">
      <c r="A620" s="15" t="s">
        <v>850</v>
      </c>
      <c r="B620" s="15" t="s">
        <v>4435</v>
      </c>
      <c r="C620" s="14" t="s">
        <v>4766</v>
      </c>
      <c r="D620" s="14" t="s">
        <v>4767</v>
      </c>
      <c r="E620" s="16" t="s">
        <v>4768</v>
      </c>
      <c r="F620" s="16"/>
      <c r="G620" s="23" t="s">
        <v>43</v>
      </c>
      <c r="H620" s="18" t="n">
        <v>4</v>
      </c>
      <c r="I620" s="20" t="n">
        <v>84.6</v>
      </c>
      <c r="J620" s="20" t="n">
        <v>110.73</v>
      </c>
      <c r="K620" s="18" t="n">
        <v>7</v>
      </c>
      <c r="L620" s="18" t="n">
        <v>3</v>
      </c>
      <c r="M620" s="18" t="n">
        <v>247</v>
      </c>
      <c r="N620" s="18" t="n">
        <v>72</v>
      </c>
      <c r="O620" s="14" t="s">
        <v>4276</v>
      </c>
      <c r="P620" s="14" t="s">
        <v>1185</v>
      </c>
      <c r="Q620" s="15" t="s">
        <v>1089</v>
      </c>
      <c r="R620" s="16" t="s">
        <v>4769</v>
      </c>
      <c r="S620" s="15" t="s">
        <v>4770</v>
      </c>
      <c r="T620" s="15" t="s">
        <v>4771</v>
      </c>
      <c r="U620" s="21" t="s">
        <v>72</v>
      </c>
    </row>
    <row r="621" customFormat="false" ht="15" hidden="false" customHeight="false" outlineLevel="0" collapsed="false">
      <c r="A621" s="15" t="s">
        <v>850</v>
      </c>
      <c r="B621" s="15" t="s">
        <v>4435</v>
      </c>
      <c r="C621" s="14" t="s">
        <v>4772</v>
      </c>
      <c r="D621" s="14" t="s">
        <v>4773</v>
      </c>
      <c r="E621" s="16" t="s">
        <v>4774</v>
      </c>
      <c r="F621" s="16" t="s">
        <v>4663</v>
      </c>
      <c r="G621" s="23" t="s">
        <v>43</v>
      </c>
      <c r="H621" s="18" t="n">
        <v>2</v>
      </c>
      <c r="I621" s="20" t="n">
        <v>64.49</v>
      </c>
      <c r="J621" s="20" t="n">
        <v>133.56</v>
      </c>
      <c r="K621" s="18" t="n">
        <v>4</v>
      </c>
      <c r="L621" s="18" t="n">
        <v>13</v>
      </c>
      <c r="M621" s="18" t="n">
        <v>106</v>
      </c>
      <c r="N621" s="18" t="n">
        <v>53</v>
      </c>
      <c r="O621" s="14" t="s">
        <v>4223</v>
      </c>
      <c r="P621" s="14" t="s">
        <v>118</v>
      </c>
      <c r="Q621" s="15" t="s">
        <v>1089</v>
      </c>
      <c r="R621" s="16" t="s">
        <v>4775</v>
      </c>
      <c r="S621" s="15" t="s">
        <v>4776</v>
      </c>
      <c r="T621" s="15" t="s">
        <v>4777</v>
      </c>
      <c r="U621" s="21" t="s">
        <v>72</v>
      </c>
    </row>
    <row r="622" customFormat="false" ht="15" hidden="false" customHeight="false" outlineLevel="0" collapsed="false">
      <c r="A622" s="15" t="s">
        <v>850</v>
      </c>
      <c r="B622" s="15" t="s">
        <v>4435</v>
      </c>
      <c r="C622" s="14" t="s">
        <v>4778</v>
      </c>
      <c r="D622" s="14" t="s">
        <v>4779</v>
      </c>
      <c r="E622" s="16" t="s">
        <v>4780</v>
      </c>
      <c r="F622" s="16"/>
      <c r="G622" s="23" t="s">
        <v>43</v>
      </c>
      <c r="H622" s="18" t="n">
        <v>2</v>
      </c>
      <c r="I622" s="20" t="n">
        <v>40.64</v>
      </c>
      <c r="J622" s="20" t="n">
        <v>139.24</v>
      </c>
      <c r="K622" s="18" t="n">
        <v>3</v>
      </c>
      <c r="L622" s="18" t="n">
        <v>7</v>
      </c>
      <c r="M622" s="18" t="n">
        <v>57</v>
      </c>
      <c r="N622" s="18" t="n">
        <v>19</v>
      </c>
      <c r="O622" s="14" t="s">
        <v>1097</v>
      </c>
      <c r="P622" s="14" t="s">
        <v>84</v>
      </c>
      <c r="Q622" s="15" t="s">
        <v>1089</v>
      </c>
      <c r="R622" s="16" t="s">
        <v>4781</v>
      </c>
      <c r="S622" s="15" t="s">
        <v>4733</v>
      </c>
      <c r="T622" s="15" t="s">
        <v>4733</v>
      </c>
      <c r="U622" s="21" t="s">
        <v>72</v>
      </c>
    </row>
    <row r="623" customFormat="false" ht="26.85" hidden="false" customHeight="false" outlineLevel="0" collapsed="false">
      <c r="A623" s="15" t="s">
        <v>850</v>
      </c>
      <c r="B623" s="15" t="s">
        <v>4435</v>
      </c>
      <c r="C623" s="14" t="s">
        <v>4782</v>
      </c>
      <c r="D623" s="14" t="s">
        <v>4783</v>
      </c>
      <c r="E623" s="16" t="s">
        <v>4784</v>
      </c>
      <c r="F623" s="16"/>
      <c r="G623" s="25" t="s">
        <v>39</v>
      </c>
      <c r="H623" s="18" t="n">
        <v>12</v>
      </c>
      <c r="I623" s="20" t="n">
        <v>197.06</v>
      </c>
      <c r="J623" s="20" t="n">
        <v>472.86</v>
      </c>
      <c r="K623" s="18" t="n">
        <v>11</v>
      </c>
      <c r="L623" s="18" t="n">
        <v>9</v>
      </c>
      <c r="M623" s="18" t="n">
        <v>516</v>
      </c>
      <c r="N623" s="18" t="n">
        <v>516</v>
      </c>
      <c r="O623" s="14" t="s">
        <v>4785</v>
      </c>
      <c r="P623" s="14" t="s">
        <v>118</v>
      </c>
      <c r="Q623" s="15" t="s">
        <v>1089</v>
      </c>
      <c r="R623" s="16" t="s">
        <v>4786</v>
      </c>
      <c r="S623" s="15" t="s">
        <v>4787</v>
      </c>
      <c r="T623" s="15" t="s">
        <v>4787</v>
      </c>
      <c r="U623" s="21" t="s">
        <v>72</v>
      </c>
    </row>
    <row r="624" customFormat="false" ht="26.85" hidden="false" customHeight="false" outlineLevel="0" collapsed="false">
      <c r="A624" s="15" t="s">
        <v>850</v>
      </c>
      <c r="B624" s="15" t="s">
        <v>4435</v>
      </c>
      <c r="C624" s="14" t="s">
        <v>4788</v>
      </c>
      <c r="D624" s="14" t="s">
        <v>4789</v>
      </c>
      <c r="E624" s="16" t="s">
        <v>4790</v>
      </c>
      <c r="F624" s="16" t="s">
        <v>4791</v>
      </c>
      <c r="G624" s="19" t="s">
        <v>41</v>
      </c>
      <c r="H624" s="18" t="n">
        <v>6</v>
      </c>
      <c r="I624" s="20" t="n">
        <v>91.53</v>
      </c>
      <c r="J624" s="20" t="n">
        <v>203.15</v>
      </c>
      <c r="K624" s="18" t="n">
        <v>6</v>
      </c>
      <c r="L624" s="18" t="n">
        <v>4</v>
      </c>
      <c r="M624" s="18" t="n">
        <v>100</v>
      </c>
      <c r="N624" s="18" t="n">
        <v>30</v>
      </c>
      <c r="O624" s="14" t="s">
        <v>4276</v>
      </c>
      <c r="P624" s="14" t="s">
        <v>352</v>
      </c>
      <c r="Q624" s="15" t="s">
        <v>1089</v>
      </c>
      <c r="R624" s="16" t="s">
        <v>4792</v>
      </c>
      <c r="S624" s="15" t="s">
        <v>4793</v>
      </c>
      <c r="T624" s="15" t="s">
        <v>4793</v>
      </c>
      <c r="U624" s="21" t="s">
        <v>72</v>
      </c>
    </row>
    <row r="625" customFormat="false" ht="15" hidden="false" customHeight="false" outlineLevel="0" collapsed="false">
      <c r="A625" s="15" t="s">
        <v>850</v>
      </c>
      <c r="B625" s="15" t="s">
        <v>4435</v>
      </c>
      <c r="C625" s="14" t="s">
        <v>4794</v>
      </c>
      <c r="D625" s="14" t="s">
        <v>4795</v>
      </c>
      <c r="E625" s="16" t="s">
        <v>4796</v>
      </c>
      <c r="F625" s="16" t="s">
        <v>4797</v>
      </c>
      <c r="G625" s="23" t="s">
        <v>43</v>
      </c>
      <c r="H625" s="18" t="n">
        <v>2</v>
      </c>
      <c r="I625" s="20" t="n">
        <v>51.16</v>
      </c>
      <c r="J625" s="20" t="n">
        <v>77.97</v>
      </c>
      <c r="K625" s="18" t="n">
        <v>4</v>
      </c>
      <c r="L625" s="18" t="n">
        <v>2</v>
      </c>
      <c r="M625" s="18" t="n">
        <v>168</v>
      </c>
      <c r="N625" s="18" t="n">
        <v>168</v>
      </c>
      <c r="O625" s="14" t="s">
        <v>4798</v>
      </c>
      <c r="P625" s="14" t="s">
        <v>118</v>
      </c>
      <c r="Q625" s="15" t="s">
        <v>1089</v>
      </c>
      <c r="R625" s="16" t="s">
        <v>4799</v>
      </c>
      <c r="S625" s="15" t="s">
        <v>4800</v>
      </c>
      <c r="T625" s="15" t="s">
        <v>4801</v>
      </c>
      <c r="U625" s="21" t="s">
        <v>72</v>
      </c>
    </row>
    <row r="626" customFormat="false" ht="15" hidden="false" customHeight="false" outlineLevel="0" collapsed="false">
      <c r="A626" s="15" t="s">
        <v>850</v>
      </c>
      <c r="B626" s="15" t="s">
        <v>4435</v>
      </c>
      <c r="C626" s="14" t="s">
        <v>4802</v>
      </c>
      <c r="D626" s="14" t="s">
        <v>4803</v>
      </c>
      <c r="E626" s="16" t="s">
        <v>4804</v>
      </c>
      <c r="F626" s="16" t="s">
        <v>4805</v>
      </c>
      <c r="G626" s="19" t="s">
        <v>41</v>
      </c>
      <c r="H626" s="18" t="n">
        <v>6</v>
      </c>
      <c r="I626" s="20" t="n">
        <v>196.53</v>
      </c>
      <c r="J626" s="20" t="n">
        <v>353.84</v>
      </c>
      <c r="K626" s="18" t="n">
        <v>4</v>
      </c>
      <c r="L626" s="18" t="n">
        <v>4</v>
      </c>
      <c r="M626" s="18" t="n">
        <v>82</v>
      </c>
      <c r="N626" s="18" t="n">
        <v>16</v>
      </c>
      <c r="O626" s="14" t="s">
        <v>4223</v>
      </c>
      <c r="P626" s="14" t="s">
        <v>118</v>
      </c>
      <c r="Q626" s="15" t="s">
        <v>1089</v>
      </c>
      <c r="R626" s="16" t="s">
        <v>4806</v>
      </c>
      <c r="S626" s="15" t="s">
        <v>4807</v>
      </c>
      <c r="T626" s="15" t="s">
        <v>4807</v>
      </c>
      <c r="U626" s="21" t="s">
        <v>72</v>
      </c>
    </row>
    <row r="627" customFormat="false" ht="15" hidden="false" customHeight="false" outlineLevel="0" collapsed="false">
      <c r="A627" s="15" t="s">
        <v>850</v>
      </c>
      <c r="B627" s="15" t="s">
        <v>4435</v>
      </c>
      <c r="C627" s="14" t="s">
        <v>4808</v>
      </c>
      <c r="D627" s="14" t="s">
        <v>4809</v>
      </c>
      <c r="E627" s="16" t="s">
        <v>4810</v>
      </c>
      <c r="F627" s="16" t="s">
        <v>4811</v>
      </c>
      <c r="G627" s="23" t="s">
        <v>43</v>
      </c>
      <c r="H627" s="18" t="n">
        <v>2</v>
      </c>
      <c r="I627" s="20" t="n">
        <v>44.03</v>
      </c>
      <c r="J627" s="20" t="n">
        <v>133.88</v>
      </c>
      <c r="K627" s="18" t="n">
        <v>2</v>
      </c>
      <c r="L627" s="18" t="n">
        <v>4</v>
      </c>
      <c r="M627" s="18" t="n">
        <v>72</v>
      </c>
      <c r="N627" s="18" t="n">
        <v>72</v>
      </c>
      <c r="O627" s="14" t="s">
        <v>1097</v>
      </c>
      <c r="P627" s="14" t="s">
        <v>84</v>
      </c>
      <c r="Q627" s="15" t="s">
        <v>1089</v>
      </c>
      <c r="R627" s="16" t="s">
        <v>4812</v>
      </c>
      <c r="S627" s="15" t="s">
        <v>4813</v>
      </c>
      <c r="T627" s="15" t="s">
        <v>4814</v>
      </c>
      <c r="U627" s="21" t="s">
        <v>72</v>
      </c>
    </row>
    <row r="628" customFormat="false" ht="15" hidden="false" customHeight="false" outlineLevel="0" collapsed="false">
      <c r="A628" s="15" t="s">
        <v>850</v>
      </c>
      <c r="B628" s="15" t="s">
        <v>4435</v>
      </c>
      <c r="C628" s="14" t="s">
        <v>4815</v>
      </c>
      <c r="D628" s="14" t="s">
        <v>4816</v>
      </c>
      <c r="E628" s="16" t="s">
        <v>4817</v>
      </c>
      <c r="F628" s="16"/>
      <c r="G628" s="23" t="s">
        <v>43</v>
      </c>
      <c r="H628" s="18" t="n">
        <v>3</v>
      </c>
      <c r="I628" s="20" t="n">
        <v>46.2</v>
      </c>
      <c r="J628" s="20" t="n">
        <v>182.9</v>
      </c>
      <c r="K628" s="18" t="n">
        <v>2</v>
      </c>
      <c r="L628" s="18" t="n">
        <v>4</v>
      </c>
      <c r="M628" s="18" t="n">
        <v>24</v>
      </c>
      <c r="N628" s="18" t="n">
        <v>24</v>
      </c>
      <c r="O628" s="14" t="s">
        <v>1097</v>
      </c>
      <c r="P628" s="14" t="s">
        <v>84</v>
      </c>
      <c r="Q628" s="15" t="s">
        <v>1089</v>
      </c>
      <c r="R628" s="16" t="s">
        <v>4818</v>
      </c>
      <c r="S628" s="15" t="s">
        <v>4819</v>
      </c>
      <c r="T628" s="15" t="s">
        <v>4819</v>
      </c>
      <c r="U628" s="21" t="s">
        <v>72</v>
      </c>
    </row>
    <row r="629" customFormat="false" ht="15" hidden="false" customHeight="false" outlineLevel="0" collapsed="false">
      <c r="A629" s="15" t="s">
        <v>850</v>
      </c>
      <c r="B629" s="15" t="s">
        <v>4435</v>
      </c>
      <c r="C629" s="14" t="s">
        <v>4820</v>
      </c>
      <c r="D629" s="14" t="s">
        <v>4821</v>
      </c>
      <c r="E629" s="16" t="s">
        <v>4822</v>
      </c>
      <c r="F629" s="16"/>
      <c r="G629" s="23" t="s">
        <v>43</v>
      </c>
      <c r="H629" s="18" t="n">
        <v>3</v>
      </c>
      <c r="I629" s="20" t="n">
        <v>60.89</v>
      </c>
      <c r="J629" s="20" t="n">
        <v>107.08</v>
      </c>
      <c r="K629" s="18" t="n">
        <v>3</v>
      </c>
      <c r="L629" s="18" t="n">
        <v>2</v>
      </c>
      <c r="M629" s="18" t="n">
        <v>49</v>
      </c>
      <c r="N629" s="18" t="n">
        <v>18</v>
      </c>
      <c r="O629" s="14" t="s">
        <v>1088</v>
      </c>
      <c r="P629" s="14" t="s">
        <v>94</v>
      </c>
      <c r="Q629" s="15" t="s">
        <v>1089</v>
      </c>
      <c r="R629" s="16" t="s">
        <v>4823</v>
      </c>
      <c r="S629" s="15" t="s">
        <v>4824</v>
      </c>
      <c r="T629" s="15" t="s">
        <v>4825</v>
      </c>
      <c r="U629" s="21" t="s">
        <v>72</v>
      </c>
    </row>
    <row r="630" customFormat="false" ht="26.85" hidden="false" customHeight="false" outlineLevel="0" collapsed="false">
      <c r="A630" s="15" t="s">
        <v>850</v>
      </c>
      <c r="B630" s="15" t="s">
        <v>4435</v>
      </c>
      <c r="C630" s="14" t="s">
        <v>4826</v>
      </c>
      <c r="D630" s="14" t="s">
        <v>4827</v>
      </c>
      <c r="E630" s="16" t="s">
        <v>4828</v>
      </c>
      <c r="F630" s="16" t="s">
        <v>4829</v>
      </c>
      <c r="G630" s="25" t="s">
        <v>39</v>
      </c>
      <c r="H630" s="18" t="n">
        <v>5</v>
      </c>
      <c r="I630" s="20" t="n">
        <v>99.28</v>
      </c>
      <c r="J630" s="20" t="n">
        <v>412.52</v>
      </c>
      <c r="K630" s="18" t="n">
        <v>4</v>
      </c>
      <c r="L630" s="18" t="n">
        <v>5</v>
      </c>
      <c r="M630" s="18" t="n">
        <v>134</v>
      </c>
      <c r="N630" s="18" t="n">
        <v>134</v>
      </c>
      <c r="O630" s="14" t="s">
        <v>4830</v>
      </c>
      <c r="P630" s="14" t="s">
        <v>118</v>
      </c>
      <c r="Q630" s="15" t="s">
        <v>1089</v>
      </c>
      <c r="R630" s="16" t="s">
        <v>3379</v>
      </c>
      <c r="S630" s="15" t="s">
        <v>4831</v>
      </c>
      <c r="T630" s="15" t="s">
        <v>4831</v>
      </c>
      <c r="U630" s="21" t="s">
        <v>72</v>
      </c>
    </row>
    <row r="631" customFormat="false" ht="15" hidden="false" customHeight="false" outlineLevel="0" collapsed="false">
      <c r="A631" s="15" t="s">
        <v>850</v>
      </c>
      <c r="B631" s="15" t="s">
        <v>4435</v>
      </c>
      <c r="C631" s="14" t="s">
        <v>4832</v>
      </c>
      <c r="D631" s="14" t="s">
        <v>4833</v>
      </c>
      <c r="E631" s="16" t="s">
        <v>4834</v>
      </c>
      <c r="F631" s="16" t="s">
        <v>4835</v>
      </c>
      <c r="G631" s="25" t="s">
        <v>39</v>
      </c>
      <c r="H631" s="18" t="n">
        <v>18</v>
      </c>
      <c r="I631" s="20" t="n">
        <v>304.29</v>
      </c>
      <c r="J631" s="20" t="n">
        <v>572.67</v>
      </c>
      <c r="K631" s="18" t="n">
        <v>22</v>
      </c>
      <c r="L631" s="18" t="n">
        <v>5</v>
      </c>
      <c r="M631" s="18" t="n">
        <v>572</v>
      </c>
      <c r="N631" s="18" t="n">
        <v>182</v>
      </c>
      <c r="O631" s="14" t="s">
        <v>4385</v>
      </c>
      <c r="P631" s="14" t="s">
        <v>515</v>
      </c>
      <c r="Q631" s="15" t="s">
        <v>1089</v>
      </c>
      <c r="R631" s="16" t="s">
        <v>4836</v>
      </c>
      <c r="S631" s="15" t="s">
        <v>4837</v>
      </c>
      <c r="T631" s="15" t="s">
        <v>4837</v>
      </c>
      <c r="U631" s="21" t="s">
        <v>72</v>
      </c>
    </row>
    <row r="632" customFormat="false" ht="26.85" hidden="false" customHeight="false" outlineLevel="0" collapsed="false">
      <c r="A632" s="15" t="s">
        <v>850</v>
      </c>
      <c r="B632" s="15" t="s">
        <v>4435</v>
      </c>
      <c r="C632" s="14" t="s">
        <v>4838</v>
      </c>
      <c r="D632" s="14" t="s">
        <v>4839</v>
      </c>
      <c r="E632" s="16" t="s">
        <v>4840</v>
      </c>
      <c r="F632" s="16"/>
      <c r="G632" s="25" t="s">
        <v>39</v>
      </c>
      <c r="H632" s="18" t="n">
        <v>9</v>
      </c>
      <c r="I632" s="20" t="n">
        <v>30</v>
      </c>
      <c r="J632" s="20" t="n">
        <v>640.88</v>
      </c>
      <c r="K632" s="18" t="n">
        <v>16</v>
      </c>
      <c r="L632" s="18" t="n">
        <v>12</v>
      </c>
      <c r="M632" s="18" t="n">
        <v>384</v>
      </c>
      <c r="N632" s="18" t="n">
        <v>216</v>
      </c>
      <c r="O632" s="14" t="s">
        <v>1097</v>
      </c>
      <c r="P632" s="14" t="s">
        <v>1166</v>
      </c>
      <c r="Q632" s="15" t="s">
        <v>1089</v>
      </c>
      <c r="R632" s="16" t="s">
        <v>4547</v>
      </c>
      <c r="S632" s="15" t="s">
        <v>4565</v>
      </c>
      <c r="T632" s="15" t="s">
        <v>4565</v>
      </c>
      <c r="U632" s="21" t="s">
        <v>72</v>
      </c>
    </row>
    <row r="633" customFormat="false" ht="15" hidden="false" customHeight="false" outlineLevel="0" collapsed="false">
      <c r="A633" s="15" t="s">
        <v>850</v>
      </c>
      <c r="B633" s="15" t="s">
        <v>4435</v>
      </c>
      <c r="C633" s="14" t="s">
        <v>4841</v>
      </c>
      <c r="D633" s="14" t="s">
        <v>4842</v>
      </c>
      <c r="E633" s="16" t="s">
        <v>4843</v>
      </c>
      <c r="F633" s="16"/>
      <c r="G633" s="23" t="s">
        <v>43</v>
      </c>
      <c r="H633" s="18" t="n">
        <v>3</v>
      </c>
      <c r="I633" s="20" t="n">
        <v>55.86</v>
      </c>
      <c r="J633" s="20" t="n">
        <v>119.23</v>
      </c>
      <c r="K633" s="18" t="n">
        <v>2</v>
      </c>
      <c r="L633" s="18" t="n">
        <v>6</v>
      </c>
      <c r="M633" s="18" t="n">
        <v>42</v>
      </c>
      <c r="N633" s="18" t="n">
        <v>42</v>
      </c>
      <c r="O633" s="14" t="s">
        <v>4223</v>
      </c>
      <c r="P633" s="14" t="s">
        <v>84</v>
      </c>
      <c r="Q633" s="15" t="s">
        <v>1089</v>
      </c>
      <c r="R633" s="16" t="s">
        <v>4844</v>
      </c>
      <c r="S633" s="15" t="s">
        <v>4845</v>
      </c>
      <c r="T633" s="15" t="s">
        <v>4845</v>
      </c>
      <c r="U633" s="21" t="s">
        <v>72</v>
      </c>
    </row>
    <row r="634" customFormat="false" ht="15" hidden="false" customHeight="false" outlineLevel="0" collapsed="false">
      <c r="A634" s="15" t="s">
        <v>850</v>
      </c>
      <c r="B634" s="15" t="s">
        <v>4435</v>
      </c>
      <c r="C634" s="14" t="s">
        <v>4846</v>
      </c>
      <c r="D634" s="14" t="s">
        <v>4847</v>
      </c>
      <c r="E634" s="16" t="s">
        <v>4848</v>
      </c>
      <c r="F634" s="16"/>
      <c r="G634" s="19" t="s">
        <v>41</v>
      </c>
      <c r="H634" s="18" t="n">
        <v>6</v>
      </c>
      <c r="I634" s="20" t="n">
        <v>103.16</v>
      </c>
      <c r="J634" s="20" t="n">
        <v>210.84</v>
      </c>
      <c r="K634" s="18" t="n">
        <v>6</v>
      </c>
      <c r="L634" s="18" t="n">
        <v>7</v>
      </c>
      <c r="M634" s="18" t="n">
        <v>94</v>
      </c>
      <c r="N634" s="18" t="n">
        <v>36</v>
      </c>
      <c r="O634" s="14" t="s">
        <v>4215</v>
      </c>
      <c r="P634" s="14" t="s">
        <v>84</v>
      </c>
      <c r="Q634" s="15" t="s">
        <v>1089</v>
      </c>
      <c r="R634" s="16" t="s">
        <v>4849</v>
      </c>
      <c r="S634" s="15" t="s">
        <v>4850</v>
      </c>
      <c r="T634" s="15" t="s">
        <v>4851</v>
      </c>
      <c r="U634" s="21" t="s">
        <v>72</v>
      </c>
    </row>
    <row r="635" customFormat="false" ht="15" hidden="false" customHeight="false" outlineLevel="0" collapsed="false">
      <c r="A635" s="15" t="s">
        <v>850</v>
      </c>
      <c r="B635" s="15" t="s">
        <v>4435</v>
      </c>
      <c r="C635" s="14" t="s">
        <v>4852</v>
      </c>
      <c r="D635" s="14" t="s">
        <v>4853</v>
      </c>
      <c r="E635" s="16" t="s">
        <v>4854</v>
      </c>
      <c r="F635" s="16" t="s">
        <v>4855</v>
      </c>
      <c r="G635" s="25" t="s">
        <v>39</v>
      </c>
      <c r="H635" s="18" t="n">
        <v>16</v>
      </c>
      <c r="I635" s="20" t="n">
        <v>396.86</v>
      </c>
      <c r="J635" s="20" t="n">
        <v>982.92</v>
      </c>
      <c r="K635" s="18" t="n">
        <v>21</v>
      </c>
      <c r="L635" s="18" t="n">
        <v>27</v>
      </c>
      <c r="M635" s="18" t="n">
        <v>519</v>
      </c>
      <c r="N635" s="18" t="n">
        <v>300</v>
      </c>
      <c r="O635" s="14" t="s">
        <v>1097</v>
      </c>
      <c r="P635" s="14" t="s">
        <v>118</v>
      </c>
      <c r="Q635" s="15" t="s">
        <v>1089</v>
      </c>
      <c r="R635" s="16" t="s">
        <v>4856</v>
      </c>
      <c r="S635" s="15" t="s">
        <v>2544</v>
      </c>
      <c r="T635" s="15" t="s">
        <v>4857</v>
      </c>
      <c r="U635" s="21" t="s">
        <v>72</v>
      </c>
    </row>
    <row r="636" customFormat="false" ht="15" hidden="false" customHeight="false" outlineLevel="0" collapsed="false">
      <c r="A636" s="15" t="s">
        <v>850</v>
      </c>
      <c r="B636" s="15" t="s">
        <v>4435</v>
      </c>
      <c r="C636" s="14" t="s">
        <v>4858</v>
      </c>
      <c r="D636" s="14" t="s">
        <v>4859</v>
      </c>
      <c r="E636" s="16" t="s">
        <v>4860</v>
      </c>
      <c r="F636" s="16"/>
      <c r="G636" s="19" t="s">
        <v>41</v>
      </c>
      <c r="H636" s="18" t="n">
        <v>5</v>
      </c>
      <c r="I636" s="20" t="n">
        <v>71.18</v>
      </c>
      <c r="J636" s="20" t="n">
        <v>136.06</v>
      </c>
      <c r="K636" s="18" t="n">
        <v>5</v>
      </c>
      <c r="L636" s="18" t="n">
        <v>3</v>
      </c>
      <c r="M636" s="18" t="n">
        <v>69</v>
      </c>
      <c r="N636" s="18" t="n">
        <v>69</v>
      </c>
      <c r="O636" s="14" t="s">
        <v>4861</v>
      </c>
      <c r="P636" s="14" t="s">
        <v>118</v>
      </c>
      <c r="Q636" s="15" t="s">
        <v>1089</v>
      </c>
      <c r="R636" s="16" t="s">
        <v>4862</v>
      </c>
      <c r="S636" s="15" t="s">
        <v>4863</v>
      </c>
      <c r="T636" s="15" t="s">
        <v>4864</v>
      </c>
      <c r="U636" s="21" t="s">
        <v>72</v>
      </c>
    </row>
    <row r="637" customFormat="false" ht="26.85" hidden="false" customHeight="false" outlineLevel="0" collapsed="false">
      <c r="A637" s="15" t="s">
        <v>850</v>
      </c>
      <c r="B637" s="15" t="s">
        <v>4435</v>
      </c>
      <c r="C637" s="14" t="s">
        <v>4865</v>
      </c>
      <c r="D637" s="14" t="s">
        <v>4866</v>
      </c>
      <c r="E637" s="16" t="s">
        <v>4867</v>
      </c>
      <c r="F637" s="16"/>
      <c r="G637" s="23" t="s">
        <v>43</v>
      </c>
      <c r="H637" s="18" t="n">
        <v>4</v>
      </c>
      <c r="I637" s="20" t="n">
        <v>83.4</v>
      </c>
      <c r="J637" s="20" t="n">
        <v>143</v>
      </c>
      <c r="K637" s="18" t="n">
        <v>4</v>
      </c>
      <c r="L637" s="18" t="n">
        <v>2</v>
      </c>
      <c r="M637" s="18" t="n">
        <v>68</v>
      </c>
      <c r="N637" s="18" t="n">
        <v>68</v>
      </c>
      <c r="O637" s="14" t="s">
        <v>1126</v>
      </c>
      <c r="P637" s="14" t="s">
        <v>118</v>
      </c>
      <c r="Q637" s="15" t="s">
        <v>1089</v>
      </c>
      <c r="R637" s="16" t="s">
        <v>4868</v>
      </c>
      <c r="S637" s="15" t="s">
        <v>4869</v>
      </c>
      <c r="T637" s="15" t="s">
        <v>4870</v>
      </c>
      <c r="U637" s="21" t="s">
        <v>72</v>
      </c>
    </row>
    <row r="638" customFormat="false" ht="26.85" hidden="false" customHeight="false" outlineLevel="0" collapsed="false">
      <c r="A638" s="15" t="s">
        <v>850</v>
      </c>
      <c r="B638" s="15" t="s">
        <v>4435</v>
      </c>
      <c r="C638" s="14" t="s">
        <v>4871</v>
      </c>
      <c r="D638" s="14" t="s">
        <v>4872</v>
      </c>
      <c r="E638" s="16" t="s">
        <v>4873</v>
      </c>
      <c r="F638" s="16"/>
      <c r="G638" s="19" t="s">
        <v>41</v>
      </c>
      <c r="H638" s="18" t="n">
        <v>7</v>
      </c>
      <c r="I638" s="20" t="n">
        <v>160.36</v>
      </c>
      <c r="J638" s="20" t="n">
        <v>256.9</v>
      </c>
      <c r="K638" s="18" t="n">
        <v>8</v>
      </c>
      <c r="L638" s="18" t="n">
        <v>12</v>
      </c>
      <c r="M638" s="18" t="n">
        <v>208</v>
      </c>
      <c r="N638" s="18" t="n">
        <v>104</v>
      </c>
      <c r="O638" s="14" t="s">
        <v>4874</v>
      </c>
      <c r="P638" s="14" t="s">
        <v>118</v>
      </c>
      <c r="Q638" s="15" t="s">
        <v>1089</v>
      </c>
      <c r="R638" s="16" t="s">
        <v>4577</v>
      </c>
      <c r="S638" s="15" t="s">
        <v>4869</v>
      </c>
      <c r="T638" s="15" t="s">
        <v>4875</v>
      </c>
      <c r="U638" s="21" t="s">
        <v>72</v>
      </c>
    </row>
    <row r="639" customFormat="false" ht="15" hidden="false" customHeight="false" outlineLevel="0" collapsed="false">
      <c r="A639" s="15" t="s">
        <v>850</v>
      </c>
      <c r="B639" s="15" t="s">
        <v>4435</v>
      </c>
      <c r="C639" s="14" t="s">
        <v>4876</v>
      </c>
      <c r="D639" s="14" t="s">
        <v>4877</v>
      </c>
      <c r="E639" s="16" t="s">
        <v>4878</v>
      </c>
      <c r="F639" s="16"/>
      <c r="G639" s="23" t="s">
        <v>43</v>
      </c>
      <c r="H639" s="18" t="n">
        <v>2</v>
      </c>
      <c r="I639" s="20" t="n">
        <v>30.33</v>
      </c>
      <c r="J639" s="20" t="n">
        <v>76.31</v>
      </c>
      <c r="K639" s="18" t="n">
        <v>4</v>
      </c>
      <c r="L639" s="18" t="n">
        <v>1</v>
      </c>
      <c r="M639" s="18" t="n">
        <v>60</v>
      </c>
      <c r="N639" s="18" t="n">
        <v>30</v>
      </c>
      <c r="O639" s="14" t="s">
        <v>4223</v>
      </c>
      <c r="P639" s="14" t="s">
        <v>118</v>
      </c>
      <c r="Q639" s="15" t="s">
        <v>1089</v>
      </c>
      <c r="R639" s="16" t="s">
        <v>4879</v>
      </c>
      <c r="S639" s="15" t="s">
        <v>4880</v>
      </c>
      <c r="T639" s="15" t="s">
        <v>4881</v>
      </c>
      <c r="U639" s="21" t="s">
        <v>72</v>
      </c>
    </row>
    <row r="640" customFormat="false" ht="26.85" hidden="false" customHeight="false" outlineLevel="0" collapsed="false">
      <c r="A640" s="15" t="s">
        <v>850</v>
      </c>
      <c r="B640" s="15" t="s">
        <v>4435</v>
      </c>
      <c r="C640" s="14" t="s">
        <v>4882</v>
      </c>
      <c r="D640" s="14" t="s">
        <v>4883</v>
      </c>
      <c r="E640" s="16" t="s">
        <v>4884</v>
      </c>
      <c r="F640" s="16" t="s">
        <v>4885</v>
      </c>
      <c r="G640" s="23" t="s">
        <v>43</v>
      </c>
      <c r="H640" s="18" t="n">
        <v>3</v>
      </c>
      <c r="I640" s="20" t="n">
        <v>61.48</v>
      </c>
      <c r="J640" s="20" t="n">
        <v>104.92</v>
      </c>
      <c r="K640" s="18" t="n">
        <v>6</v>
      </c>
      <c r="L640" s="18"/>
      <c r="M640" s="18" t="n">
        <v>96</v>
      </c>
      <c r="N640" s="18" t="n">
        <v>32</v>
      </c>
      <c r="O640" s="14" t="s">
        <v>4223</v>
      </c>
      <c r="P640" s="14" t="s">
        <v>1766</v>
      </c>
      <c r="Q640" s="15" t="s">
        <v>1089</v>
      </c>
      <c r="R640" s="16" t="s">
        <v>4886</v>
      </c>
      <c r="S640" s="15" t="s">
        <v>4887</v>
      </c>
      <c r="T640" s="15" t="s">
        <v>4888</v>
      </c>
      <c r="U640" s="21" t="s">
        <v>72</v>
      </c>
    </row>
    <row r="641" customFormat="false" ht="15" hidden="false" customHeight="false" outlineLevel="0" collapsed="false">
      <c r="A641" s="15" t="s">
        <v>850</v>
      </c>
      <c r="B641" s="15" t="s">
        <v>4435</v>
      </c>
      <c r="C641" s="14" t="s">
        <v>4889</v>
      </c>
      <c r="D641" s="14" t="s">
        <v>4890</v>
      </c>
      <c r="E641" s="16" t="s">
        <v>4891</v>
      </c>
      <c r="F641" s="16" t="s">
        <v>4892</v>
      </c>
      <c r="G641" s="19" t="s">
        <v>41</v>
      </c>
      <c r="H641" s="18" t="n">
        <v>3</v>
      </c>
      <c r="I641" s="20" t="n">
        <v>116.84</v>
      </c>
      <c r="J641" s="20" t="n">
        <v>332</v>
      </c>
      <c r="K641" s="18" t="n">
        <v>3</v>
      </c>
      <c r="L641" s="18" t="n">
        <v>27</v>
      </c>
      <c r="M641" s="18" t="n">
        <v>106</v>
      </c>
      <c r="N641" s="18" t="n">
        <v>40</v>
      </c>
      <c r="O641" s="14" t="s">
        <v>4276</v>
      </c>
      <c r="P641" s="14" t="s">
        <v>1166</v>
      </c>
      <c r="Q641" s="15" t="s">
        <v>1089</v>
      </c>
      <c r="R641" s="16" t="s">
        <v>4893</v>
      </c>
      <c r="S641" s="15" t="s">
        <v>4894</v>
      </c>
      <c r="T641" s="15" t="s">
        <v>4895</v>
      </c>
      <c r="U641" s="21" t="s">
        <v>72</v>
      </c>
    </row>
    <row r="642" customFormat="false" ht="26.85" hidden="false" customHeight="false" outlineLevel="0" collapsed="false">
      <c r="A642" s="15" t="s">
        <v>850</v>
      </c>
      <c r="B642" s="15" t="s">
        <v>4435</v>
      </c>
      <c r="C642" s="14" t="s">
        <v>4896</v>
      </c>
      <c r="D642" s="14" t="s">
        <v>4897</v>
      </c>
      <c r="E642" s="16" t="s">
        <v>4898</v>
      </c>
      <c r="F642" s="16" t="s">
        <v>4899</v>
      </c>
      <c r="G642" s="19" t="s">
        <v>41</v>
      </c>
      <c r="H642" s="18" t="n">
        <v>6</v>
      </c>
      <c r="I642" s="20" t="n">
        <v>115.95</v>
      </c>
      <c r="J642" s="20" t="n">
        <v>275.71</v>
      </c>
      <c r="K642" s="18" t="n">
        <v>8</v>
      </c>
      <c r="L642" s="18" t="n">
        <v>9</v>
      </c>
      <c r="M642" s="18" t="n">
        <v>117</v>
      </c>
      <c r="N642" s="18" t="n">
        <v>56</v>
      </c>
      <c r="O642" s="14" t="s">
        <v>4215</v>
      </c>
      <c r="P642" s="14" t="s">
        <v>118</v>
      </c>
      <c r="Q642" s="15" t="s">
        <v>1089</v>
      </c>
      <c r="R642" s="16" t="s">
        <v>4900</v>
      </c>
      <c r="S642" s="15" t="s">
        <v>4901</v>
      </c>
      <c r="T642" s="15" t="s">
        <v>4902</v>
      </c>
      <c r="U642" s="21" t="s">
        <v>72</v>
      </c>
    </row>
    <row r="643" customFormat="false" ht="15" hidden="false" customHeight="false" outlineLevel="0" collapsed="false">
      <c r="A643" s="15" t="s">
        <v>850</v>
      </c>
      <c r="B643" s="15" t="s">
        <v>4435</v>
      </c>
      <c r="C643" s="14" t="s">
        <v>4903</v>
      </c>
      <c r="D643" s="14" t="s">
        <v>4904</v>
      </c>
      <c r="E643" s="16" t="s">
        <v>4905</v>
      </c>
      <c r="F643" s="16"/>
      <c r="G643" s="23" t="s">
        <v>43</v>
      </c>
      <c r="H643" s="18" t="n">
        <v>3</v>
      </c>
      <c r="I643" s="20" t="n">
        <v>39.82</v>
      </c>
      <c r="J643" s="20" t="n">
        <v>129.95</v>
      </c>
      <c r="K643" s="18" t="n">
        <v>4</v>
      </c>
      <c r="L643" s="18" t="n">
        <v>6</v>
      </c>
      <c r="M643" s="18" t="n">
        <v>76</v>
      </c>
      <c r="N643" s="18" t="n">
        <v>52</v>
      </c>
      <c r="O643" s="14" t="s">
        <v>1097</v>
      </c>
      <c r="P643" s="14" t="s">
        <v>118</v>
      </c>
      <c r="Q643" s="15" t="s">
        <v>1089</v>
      </c>
      <c r="R643" s="16" t="s">
        <v>4906</v>
      </c>
      <c r="S643" s="15" t="s">
        <v>4907</v>
      </c>
      <c r="T643" s="15" t="s">
        <v>4908</v>
      </c>
      <c r="U643" s="21" t="s">
        <v>72</v>
      </c>
    </row>
    <row r="644" customFormat="false" ht="52.2" hidden="false" customHeight="false" outlineLevel="0" collapsed="false">
      <c r="A644" s="15" t="s">
        <v>850</v>
      </c>
      <c r="B644" s="15" t="s">
        <v>4435</v>
      </c>
      <c r="C644" s="14" t="s">
        <v>4909</v>
      </c>
      <c r="D644" s="14" t="s">
        <v>4910</v>
      </c>
      <c r="E644" s="16" t="s">
        <v>4911</v>
      </c>
      <c r="F644" s="16"/>
      <c r="G644" s="25" t="s">
        <v>39</v>
      </c>
      <c r="H644" s="18" t="n">
        <v>12</v>
      </c>
      <c r="I644" s="20" t="n">
        <v>312.56</v>
      </c>
      <c r="J644" s="20" t="n">
        <v>758.82</v>
      </c>
      <c r="K644" s="18" t="n">
        <v>19</v>
      </c>
      <c r="L644" s="18" t="n">
        <v>11</v>
      </c>
      <c r="M644" s="18" t="n">
        <v>429</v>
      </c>
      <c r="N644" s="18" t="n">
        <v>156</v>
      </c>
      <c r="O644" s="14" t="s">
        <v>4223</v>
      </c>
      <c r="P644" s="14" t="s">
        <v>4912</v>
      </c>
      <c r="Q644" s="15" t="s">
        <v>1089</v>
      </c>
      <c r="R644" s="16" t="s">
        <v>4564</v>
      </c>
      <c r="S644" s="15" t="s">
        <v>4565</v>
      </c>
      <c r="T644" s="15" t="s">
        <v>4913</v>
      </c>
      <c r="U644" s="21" t="s">
        <v>72</v>
      </c>
    </row>
    <row r="645" customFormat="false" ht="39.55" hidden="false" customHeight="false" outlineLevel="0" collapsed="false">
      <c r="A645" s="15" t="s">
        <v>850</v>
      </c>
      <c r="B645" s="15" t="s">
        <v>4435</v>
      </c>
      <c r="C645" s="14" t="s">
        <v>4914</v>
      </c>
      <c r="D645" s="14" t="s">
        <v>4915</v>
      </c>
      <c r="E645" s="16" t="s">
        <v>4916</v>
      </c>
      <c r="F645" s="16"/>
      <c r="G645" s="19" t="s">
        <v>41</v>
      </c>
      <c r="H645" s="18" t="n">
        <v>4</v>
      </c>
      <c r="I645" s="20" t="n">
        <v>112.69</v>
      </c>
      <c r="J645" s="20" t="n">
        <v>323.19</v>
      </c>
      <c r="K645" s="18" t="n">
        <v>8</v>
      </c>
      <c r="L645" s="18" t="n">
        <v>9</v>
      </c>
      <c r="M645" s="18" t="n">
        <v>168</v>
      </c>
      <c r="N645" s="18" t="n">
        <v>42</v>
      </c>
      <c r="O645" s="14" t="s">
        <v>4223</v>
      </c>
      <c r="P645" s="14" t="s">
        <v>1726</v>
      </c>
      <c r="Q645" s="15" t="s">
        <v>1089</v>
      </c>
      <c r="R645" s="16" t="s">
        <v>4917</v>
      </c>
      <c r="S645" s="15" t="s">
        <v>4565</v>
      </c>
      <c r="T645" s="15" t="s">
        <v>4918</v>
      </c>
      <c r="U645" s="21" t="s">
        <v>72</v>
      </c>
    </row>
    <row r="646" customFormat="false" ht="39.55" hidden="false" customHeight="false" outlineLevel="0" collapsed="false">
      <c r="A646" s="15" t="s">
        <v>850</v>
      </c>
      <c r="B646" s="15" t="s">
        <v>4435</v>
      </c>
      <c r="C646" s="14" t="s">
        <v>4919</v>
      </c>
      <c r="D646" s="14" t="s">
        <v>4920</v>
      </c>
      <c r="E646" s="16" t="s">
        <v>4921</v>
      </c>
      <c r="F646" s="16" t="s">
        <v>4922</v>
      </c>
      <c r="G646" s="23" t="s">
        <v>43</v>
      </c>
      <c r="H646" s="18" t="n">
        <v>4</v>
      </c>
      <c r="I646" s="20" t="n">
        <v>90.22</v>
      </c>
      <c r="J646" s="20" t="n">
        <v>136.18</v>
      </c>
      <c r="K646" s="18" t="n">
        <v>12</v>
      </c>
      <c r="L646" s="18" t="n">
        <v>6</v>
      </c>
      <c r="M646" s="18" t="n">
        <v>232</v>
      </c>
      <c r="N646" s="18" t="n">
        <v>40</v>
      </c>
      <c r="O646" s="14" t="s">
        <v>1088</v>
      </c>
      <c r="P646" s="14" t="s">
        <v>952</v>
      </c>
      <c r="Q646" s="15" t="s">
        <v>1089</v>
      </c>
      <c r="R646" s="16" t="s">
        <v>4923</v>
      </c>
      <c r="S646" s="15" t="s">
        <v>4924</v>
      </c>
      <c r="T646" s="15" t="s">
        <v>4924</v>
      </c>
      <c r="U646" s="21" t="s">
        <v>72</v>
      </c>
    </row>
    <row r="647" customFormat="false" ht="26.85" hidden="false" customHeight="false" outlineLevel="0" collapsed="false">
      <c r="A647" s="15" t="s">
        <v>850</v>
      </c>
      <c r="B647" s="15" t="s">
        <v>4435</v>
      </c>
      <c r="C647" s="14" t="s">
        <v>4925</v>
      </c>
      <c r="D647" s="14" t="s">
        <v>4926</v>
      </c>
      <c r="E647" s="16" t="s">
        <v>4927</v>
      </c>
      <c r="F647" s="16" t="s">
        <v>4928</v>
      </c>
      <c r="G647" s="23" t="s">
        <v>43</v>
      </c>
      <c r="H647" s="18" t="n">
        <v>2</v>
      </c>
      <c r="I647" s="20" t="n">
        <v>34.3</v>
      </c>
      <c r="J647" s="20" t="n">
        <v>129.82</v>
      </c>
      <c r="K647" s="18" t="n">
        <v>4</v>
      </c>
      <c r="L647" s="18" t="n">
        <v>2</v>
      </c>
      <c r="M647" s="18" t="n">
        <v>56</v>
      </c>
      <c r="N647" s="18" t="n">
        <v>56</v>
      </c>
      <c r="O647" s="14" t="s">
        <v>4929</v>
      </c>
      <c r="P647" s="14" t="s">
        <v>118</v>
      </c>
      <c r="Q647" s="15" t="s">
        <v>1089</v>
      </c>
      <c r="R647" s="16" t="s">
        <v>4930</v>
      </c>
      <c r="S647" s="15" t="s">
        <v>4931</v>
      </c>
      <c r="T647" s="15" t="s">
        <v>4931</v>
      </c>
      <c r="U647" s="21" t="s">
        <v>72</v>
      </c>
    </row>
    <row r="648" customFormat="false" ht="39.55" hidden="false" customHeight="false" outlineLevel="0" collapsed="false">
      <c r="A648" s="15" t="s">
        <v>850</v>
      </c>
      <c r="B648" s="15" t="s">
        <v>4435</v>
      </c>
      <c r="C648" s="14" t="s">
        <v>4932</v>
      </c>
      <c r="D648" s="14" t="s">
        <v>4933</v>
      </c>
      <c r="E648" s="16" t="s">
        <v>4934</v>
      </c>
      <c r="F648" s="16"/>
      <c r="G648" s="19" t="s">
        <v>41</v>
      </c>
      <c r="H648" s="18" t="n">
        <v>7</v>
      </c>
      <c r="I648" s="20" t="n">
        <v>103.18</v>
      </c>
      <c r="J648" s="20" t="n">
        <v>170.37</v>
      </c>
      <c r="K648" s="18" t="n">
        <v>6</v>
      </c>
      <c r="L648" s="18" t="n">
        <v>11</v>
      </c>
      <c r="M648" s="18" t="n">
        <v>150</v>
      </c>
      <c r="N648" s="18" t="n">
        <v>50</v>
      </c>
      <c r="O648" s="14" t="s">
        <v>4935</v>
      </c>
      <c r="P648" s="14" t="s">
        <v>4490</v>
      </c>
      <c r="Q648" s="15" t="s">
        <v>1089</v>
      </c>
      <c r="R648" s="16" t="s">
        <v>4936</v>
      </c>
      <c r="S648" s="15" t="s">
        <v>4937</v>
      </c>
      <c r="T648" s="15" t="s">
        <v>4937</v>
      </c>
      <c r="U648" s="21" t="s">
        <v>72</v>
      </c>
    </row>
    <row r="649" customFormat="false" ht="15" hidden="false" customHeight="false" outlineLevel="0" collapsed="false">
      <c r="A649" s="15" t="s">
        <v>850</v>
      </c>
      <c r="B649" s="15" t="s">
        <v>4435</v>
      </c>
      <c r="C649" s="14" t="s">
        <v>4938</v>
      </c>
      <c r="D649" s="14" t="s">
        <v>4939</v>
      </c>
      <c r="E649" s="16" t="s">
        <v>4940</v>
      </c>
      <c r="F649" s="16" t="s">
        <v>4941</v>
      </c>
      <c r="G649" s="19" t="s">
        <v>41</v>
      </c>
      <c r="H649" s="18" t="n">
        <v>5</v>
      </c>
      <c r="I649" s="20" t="n">
        <v>79.21</v>
      </c>
      <c r="J649" s="20" t="n">
        <v>160.3</v>
      </c>
      <c r="K649" s="18" t="n">
        <v>6</v>
      </c>
      <c r="L649" s="18" t="n">
        <v>7</v>
      </c>
      <c r="M649" s="18" t="n">
        <v>99</v>
      </c>
      <c r="N649" s="18" t="n">
        <v>51</v>
      </c>
      <c r="O649" s="14" t="s">
        <v>1126</v>
      </c>
      <c r="P649" s="14" t="s">
        <v>118</v>
      </c>
      <c r="Q649" s="15" t="s">
        <v>1089</v>
      </c>
      <c r="R649" s="16" t="s">
        <v>4942</v>
      </c>
      <c r="S649" s="15" t="s">
        <v>4943</v>
      </c>
      <c r="T649" s="15" t="s">
        <v>4944</v>
      </c>
      <c r="U649" s="21" t="s">
        <v>72</v>
      </c>
    </row>
    <row r="650" customFormat="false" ht="15" hidden="false" customHeight="false" outlineLevel="0" collapsed="false">
      <c r="A650" s="15" t="s">
        <v>850</v>
      </c>
      <c r="B650" s="15" t="s">
        <v>4435</v>
      </c>
      <c r="C650" s="14" t="s">
        <v>4945</v>
      </c>
      <c r="D650" s="14" t="s">
        <v>4946</v>
      </c>
      <c r="E650" s="16" t="s">
        <v>4940</v>
      </c>
      <c r="F650" s="16" t="s">
        <v>4941</v>
      </c>
      <c r="G650" s="23" t="s">
        <v>43</v>
      </c>
      <c r="H650" s="18" t="n">
        <v>4</v>
      </c>
      <c r="I650" s="20" t="n">
        <v>83.01</v>
      </c>
      <c r="J650" s="20" t="n">
        <v>80.15</v>
      </c>
      <c r="K650" s="18" t="n">
        <v>4</v>
      </c>
      <c r="L650" s="18" t="n">
        <v>8</v>
      </c>
      <c r="M650" s="18" t="n">
        <v>72</v>
      </c>
      <c r="N650" s="18" t="n">
        <v>72</v>
      </c>
      <c r="O650" s="13" t="s">
        <v>4947</v>
      </c>
      <c r="P650" s="14" t="s">
        <v>118</v>
      </c>
      <c r="Q650" s="15" t="s">
        <v>1089</v>
      </c>
      <c r="R650" s="16" t="s">
        <v>4231</v>
      </c>
      <c r="S650" s="15" t="s">
        <v>4943</v>
      </c>
      <c r="T650" s="15" t="s">
        <v>4943</v>
      </c>
      <c r="U650" s="21" t="s">
        <v>72</v>
      </c>
    </row>
    <row r="651" customFormat="false" ht="26.85" hidden="false" customHeight="false" outlineLevel="0" collapsed="false">
      <c r="A651" s="15" t="s">
        <v>850</v>
      </c>
      <c r="B651" s="15" t="s">
        <v>4435</v>
      </c>
      <c r="C651" s="14" t="s">
        <v>4948</v>
      </c>
      <c r="D651" s="14" t="s">
        <v>4949</v>
      </c>
      <c r="E651" s="16" t="s">
        <v>4950</v>
      </c>
      <c r="F651" s="16"/>
      <c r="G651" s="19" t="s">
        <v>41</v>
      </c>
      <c r="H651" s="18" t="n">
        <v>6</v>
      </c>
      <c r="I651" s="20" t="n">
        <v>88.27</v>
      </c>
      <c r="J651" s="20" t="n">
        <v>194.75</v>
      </c>
      <c r="K651" s="18" t="n">
        <v>19</v>
      </c>
      <c r="L651" s="18" t="n">
        <v>7</v>
      </c>
      <c r="M651" s="18" t="n">
        <v>215</v>
      </c>
      <c r="N651" s="18" t="n">
        <v>97</v>
      </c>
      <c r="O651" s="14" t="s">
        <v>4951</v>
      </c>
      <c r="P651" s="14" t="s">
        <v>118</v>
      </c>
      <c r="Q651" s="15" t="s">
        <v>1089</v>
      </c>
      <c r="R651" s="16" t="s">
        <v>4952</v>
      </c>
      <c r="S651" s="15" t="s">
        <v>4953</v>
      </c>
      <c r="T651" s="15" t="s">
        <v>4953</v>
      </c>
      <c r="U651" s="21" t="s">
        <v>72</v>
      </c>
    </row>
    <row r="652" customFormat="false" ht="15" hidden="false" customHeight="false" outlineLevel="0" collapsed="false">
      <c r="A652" s="15" t="s">
        <v>850</v>
      </c>
      <c r="B652" s="15" t="s">
        <v>4435</v>
      </c>
      <c r="C652" s="14" t="s">
        <v>4954</v>
      </c>
      <c r="D652" s="14" t="s">
        <v>4955</v>
      </c>
      <c r="E652" s="16" t="s">
        <v>4956</v>
      </c>
      <c r="F652" s="16"/>
      <c r="G652" s="23" t="s">
        <v>43</v>
      </c>
      <c r="H652" s="18" t="n">
        <v>2</v>
      </c>
      <c r="I652" s="20" t="n">
        <v>48.75</v>
      </c>
      <c r="J652" s="20" t="n">
        <v>88.11</v>
      </c>
      <c r="K652" s="18" t="n">
        <v>2</v>
      </c>
      <c r="L652" s="18" t="n">
        <v>1</v>
      </c>
      <c r="M652" s="18" t="n">
        <v>40</v>
      </c>
      <c r="N652" s="18" t="n">
        <v>14</v>
      </c>
      <c r="O652" s="14" t="s">
        <v>4343</v>
      </c>
      <c r="P652" s="14" t="s">
        <v>118</v>
      </c>
      <c r="Q652" s="15" t="s">
        <v>1089</v>
      </c>
      <c r="R652" s="16" t="s">
        <v>4957</v>
      </c>
      <c r="S652" s="15" t="s">
        <v>4958</v>
      </c>
      <c r="T652" s="15" t="s">
        <v>4958</v>
      </c>
      <c r="U652" s="21" t="s">
        <v>72</v>
      </c>
    </row>
    <row r="653" customFormat="false" ht="26.85" hidden="false" customHeight="false" outlineLevel="0" collapsed="false">
      <c r="A653" s="15" t="s">
        <v>850</v>
      </c>
      <c r="B653" s="15" t="s">
        <v>4435</v>
      </c>
      <c r="C653" s="14" t="s">
        <v>4959</v>
      </c>
      <c r="D653" s="14" t="s">
        <v>4960</v>
      </c>
      <c r="E653" s="16" t="s">
        <v>4961</v>
      </c>
      <c r="F653" s="16"/>
      <c r="G653" s="23" t="s">
        <v>43</v>
      </c>
      <c r="H653" s="18" t="n">
        <v>1</v>
      </c>
      <c r="I653" s="20" t="n">
        <v>39.86</v>
      </c>
      <c r="J653" s="20" t="n">
        <v>70.3</v>
      </c>
      <c r="K653" s="18" t="n">
        <v>2</v>
      </c>
      <c r="L653" s="18"/>
      <c r="M653" s="18" t="n">
        <v>66</v>
      </c>
      <c r="N653" s="18" t="n">
        <v>66</v>
      </c>
      <c r="O653" s="14" t="s">
        <v>4751</v>
      </c>
      <c r="P653" s="14" t="s">
        <v>118</v>
      </c>
      <c r="Q653" s="15" t="s">
        <v>1089</v>
      </c>
      <c r="R653" s="16" t="s">
        <v>4962</v>
      </c>
      <c r="S653" s="16" t="s">
        <v>4963</v>
      </c>
      <c r="T653" s="15" t="s">
        <v>4964</v>
      </c>
      <c r="U653" s="21" t="s">
        <v>72</v>
      </c>
    </row>
    <row r="654" customFormat="false" ht="15" hidden="false" customHeight="false" outlineLevel="0" collapsed="false">
      <c r="A654" s="15" t="s">
        <v>850</v>
      </c>
      <c r="B654" s="15" t="s">
        <v>4435</v>
      </c>
      <c r="C654" s="14" t="s">
        <v>4965</v>
      </c>
      <c r="D654" s="14" t="s">
        <v>4966</v>
      </c>
      <c r="E654" s="16" t="s">
        <v>4967</v>
      </c>
      <c r="F654" s="16"/>
      <c r="G654" s="23" t="s">
        <v>43</v>
      </c>
      <c r="H654" s="18" t="n">
        <v>2</v>
      </c>
      <c r="I654" s="20" t="n">
        <v>49.2</v>
      </c>
      <c r="J654" s="20" t="n">
        <v>87.51</v>
      </c>
      <c r="K654" s="18" t="n">
        <v>2</v>
      </c>
      <c r="L654" s="18" t="n">
        <v>1</v>
      </c>
      <c r="M654" s="18" t="n">
        <v>40</v>
      </c>
      <c r="N654" s="18" t="n">
        <v>28</v>
      </c>
      <c r="O654" s="14" t="s">
        <v>1097</v>
      </c>
      <c r="P654" s="14" t="s">
        <v>1166</v>
      </c>
      <c r="Q654" s="15" t="s">
        <v>1089</v>
      </c>
      <c r="R654" s="16" t="s">
        <v>4968</v>
      </c>
      <c r="S654" s="15" t="s">
        <v>4969</v>
      </c>
      <c r="T654" s="15" t="s">
        <v>4970</v>
      </c>
      <c r="U654" s="21" t="s">
        <v>72</v>
      </c>
    </row>
    <row r="655" customFormat="false" ht="15" hidden="false" customHeight="false" outlineLevel="0" collapsed="false">
      <c r="A655" s="15" t="s">
        <v>850</v>
      </c>
      <c r="B655" s="15" t="s">
        <v>4971</v>
      </c>
      <c r="C655" s="14" t="s">
        <v>4972</v>
      </c>
      <c r="D655" s="14" t="s">
        <v>4973</v>
      </c>
      <c r="E655" s="16" t="s">
        <v>4974</v>
      </c>
      <c r="F655" s="16" t="s">
        <v>4975</v>
      </c>
      <c r="G655" s="19" t="s">
        <v>41</v>
      </c>
      <c r="H655" s="18" t="n">
        <v>7</v>
      </c>
      <c r="I655" s="20" t="n">
        <v>235.54</v>
      </c>
      <c r="J655" s="20" t="n">
        <v>392.02</v>
      </c>
      <c r="K655" s="18" t="n">
        <v>7</v>
      </c>
      <c r="L655" s="18" t="n">
        <v>4</v>
      </c>
      <c r="M655" s="18" t="n">
        <v>332</v>
      </c>
      <c r="N655" s="18" t="n">
        <v>332</v>
      </c>
      <c r="O655" s="14" t="s">
        <v>4976</v>
      </c>
      <c r="P655" s="14" t="s">
        <v>118</v>
      </c>
      <c r="Q655" s="15" t="s">
        <v>1089</v>
      </c>
      <c r="R655" s="16" t="s">
        <v>4977</v>
      </c>
      <c r="S655" s="15" t="s">
        <v>4978</v>
      </c>
      <c r="T655" s="15" t="s">
        <v>4979</v>
      </c>
      <c r="U655" s="21" t="s">
        <v>72</v>
      </c>
    </row>
    <row r="656" customFormat="false" ht="26.85" hidden="false" customHeight="false" outlineLevel="0" collapsed="false">
      <c r="A656" s="15" t="s">
        <v>850</v>
      </c>
      <c r="B656" s="15" t="s">
        <v>4971</v>
      </c>
      <c r="C656" s="14" t="s">
        <v>4980</v>
      </c>
      <c r="D656" s="14" t="s">
        <v>4981</v>
      </c>
      <c r="E656" s="16" t="s">
        <v>4982</v>
      </c>
      <c r="F656" s="16"/>
      <c r="G656" s="25" t="s">
        <v>39</v>
      </c>
      <c r="H656" s="18" t="n">
        <v>17</v>
      </c>
      <c r="I656" s="20" t="n">
        <v>365.9</v>
      </c>
      <c r="J656" s="20" t="n">
        <v>640.49</v>
      </c>
      <c r="K656" s="18" t="n">
        <v>14</v>
      </c>
      <c r="L656" s="18" t="n">
        <v>21</v>
      </c>
      <c r="M656" s="18" t="n">
        <v>294</v>
      </c>
      <c r="N656" s="18" t="n">
        <v>231</v>
      </c>
      <c r="O656" s="14" t="s">
        <v>4983</v>
      </c>
      <c r="P656" s="14" t="s">
        <v>84</v>
      </c>
      <c r="Q656" s="15" t="s">
        <v>1089</v>
      </c>
      <c r="R656" s="16" t="s">
        <v>4984</v>
      </c>
      <c r="S656" s="15" t="s">
        <v>4985</v>
      </c>
      <c r="T656" s="15" t="s">
        <v>4986</v>
      </c>
      <c r="U656" s="21" t="s">
        <v>72</v>
      </c>
    </row>
    <row r="657" customFormat="false" ht="26.85" hidden="false" customHeight="false" outlineLevel="0" collapsed="false">
      <c r="A657" s="15" t="s">
        <v>850</v>
      </c>
      <c r="B657" s="15" t="s">
        <v>4971</v>
      </c>
      <c r="C657" s="14" t="s">
        <v>4987</v>
      </c>
      <c r="D657" s="14" t="s">
        <v>4988</v>
      </c>
      <c r="E657" s="16" t="s">
        <v>4989</v>
      </c>
      <c r="F657" s="16" t="s">
        <v>4990</v>
      </c>
      <c r="G657" s="23" t="s">
        <v>43</v>
      </c>
      <c r="H657" s="18" t="n">
        <v>3</v>
      </c>
      <c r="I657" s="20" t="n">
        <v>83.17</v>
      </c>
      <c r="J657" s="20" t="n">
        <v>144</v>
      </c>
      <c r="K657" s="18" t="n">
        <v>3</v>
      </c>
      <c r="L657" s="18" t="n">
        <v>2</v>
      </c>
      <c r="M657" s="18" t="n">
        <v>67</v>
      </c>
      <c r="N657" s="18" t="n">
        <v>22</v>
      </c>
      <c r="O657" s="14" t="s">
        <v>4276</v>
      </c>
      <c r="P657" s="14" t="s">
        <v>906</v>
      </c>
      <c r="Q657" s="15" t="s">
        <v>1089</v>
      </c>
      <c r="R657" s="16" t="s">
        <v>4991</v>
      </c>
      <c r="S657" s="15" t="s">
        <v>4992</v>
      </c>
      <c r="T657" s="15" t="s">
        <v>4993</v>
      </c>
      <c r="U657" s="21" t="s">
        <v>72</v>
      </c>
    </row>
    <row r="658" customFormat="false" ht="15" hidden="false" customHeight="false" outlineLevel="0" collapsed="false">
      <c r="A658" s="15" t="s">
        <v>850</v>
      </c>
      <c r="B658" s="15" t="s">
        <v>4971</v>
      </c>
      <c r="C658" s="14" t="s">
        <v>4994</v>
      </c>
      <c r="D658" s="14" t="s">
        <v>4995</v>
      </c>
      <c r="E658" s="16" t="s">
        <v>4996</v>
      </c>
      <c r="F658" s="16" t="s">
        <v>4997</v>
      </c>
      <c r="G658" s="23" t="s">
        <v>43</v>
      </c>
      <c r="H658" s="18" t="n">
        <v>2</v>
      </c>
      <c r="I658" s="20" t="n">
        <v>70.37</v>
      </c>
      <c r="J658" s="20" t="n">
        <v>130.57</v>
      </c>
      <c r="K658" s="18" t="n">
        <v>6</v>
      </c>
      <c r="L658" s="18" t="n">
        <v>2</v>
      </c>
      <c r="M658" s="18" t="n">
        <v>150</v>
      </c>
      <c r="N658" s="18" t="n">
        <v>50</v>
      </c>
      <c r="O658" s="14" t="s">
        <v>4998</v>
      </c>
      <c r="P658" s="14" t="s">
        <v>118</v>
      </c>
      <c r="Q658" s="15" t="s">
        <v>1089</v>
      </c>
      <c r="R658" s="16" t="s">
        <v>4999</v>
      </c>
      <c r="S658" s="15" t="s">
        <v>5000</v>
      </c>
      <c r="T658" s="15" t="s">
        <v>5001</v>
      </c>
      <c r="U658" s="21" t="s">
        <v>72</v>
      </c>
    </row>
    <row r="659" customFormat="false" ht="15" hidden="false" customHeight="false" outlineLevel="0" collapsed="false">
      <c r="A659" s="15" t="s">
        <v>850</v>
      </c>
      <c r="B659" s="15" t="s">
        <v>4971</v>
      </c>
      <c r="C659" s="14" t="s">
        <v>5002</v>
      </c>
      <c r="D659" s="14" t="s">
        <v>5003</v>
      </c>
      <c r="E659" s="16" t="s">
        <v>5004</v>
      </c>
      <c r="F659" s="16"/>
      <c r="G659" s="19" t="s">
        <v>41</v>
      </c>
      <c r="H659" s="18" t="n">
        <v>4</v>
      </c>
      <c r="I659" s="20" t="n">
        <v>85.6</v>
      </c>
      <c r="J659" s="20" t="n">
        <v>209.58</v>
      </c>
      <c r="K659" s="18" t="n">
        <v>4</v>
      </c>
      <c r="L659" s="18" t="n">
        <v>5</v>
      </c>
      <c r="M659" s="18" t="n">
        <v>120</v>
      </c>
      <c r="N659" s="18" t="n">
        <v>120</v>
      </c>
      <c r="O659" s="14" t="s">
        <v>4343</v>
      </c>
      <c r="P659" s="14" t="s">
        <v>84</v>
      </c>
      <c r="Q659" s="15" t="s">
        <v>1089</v>
      </c>
      <c r="R659" s="16" t="s">
        <v>5005</v>
      </c>
      <c r="S659" s="15" t="s">
        <v>5006</v>
      </c>
      <c r="T659" s="15" t="s">
        <v>5007</v>
      </c>
      <c r="U659" s="21" t="s">
        <v>72</v>
      </c>
    </row>
    <row r="660" customFormat="false" ht="15" hidden="false" customHeight="false" outlineLevel="0" collapsed="false">
      <c r="A660" s="15" t="s">
        <v>850</v>
      </c>
      <c r="B660" s="15" t="s">
        <v>4971</v>
      </c>
      <c r="C660" s="14" t="s">
        <v>5008</v>
      </c>
      <c r="D660" s="14" t="s">
        <v>5009</v>
      </c>
      <c r="E660" s="16" t="s">
        <v>5010</v>
      </c>
      <c r="F660" s="16"/>
      <c r="G660" s="23" t="s">
        <v>43</v>
      </c>
      <c r="H660" s="18" t="n">
        <v>1</v>
      </c>
      <c r="I660" s="20" t="n">
        <v>46.48</v>
      </c>
      <c r="J660" s="20" t="n">
        <v>89.41</v>
      </c>
      <c r="K660" s="18" t="n">
        <v>2</v>
      </c>
      <c r="L660" s="18" t="n">
        <v>2</v>
      </c>
      <c r="M660" s="18" t="n">
        <v>152</v>
      </c>
      <c r="N660" s="18" t="n">
        <v>152</v>
      </c>
      <c r="O660" s="14" t="s">
        <v>1126</v>
      </c>
      <c r="P660" s="14" t="s">
        <v>84</v>
      </c>
      <c r="Q660" s="15" t="s">
        <v>1089</v>
      </c>
      <c r="R660" s="16" t="s">
        <v>5011</v>
      </c>
      <c r="S660" s="15" t="s">
        <v>5012</v>
      </c>
      <c r="T660" s="15" t="s">
        <v>5013</v>
      </c>
      <c r="U660" s="21" t="s">
        <v>72</v>
      </c>
    </row>
    <row r="661" customFormat="false" ht="15" hidden="false" customHeight="false" outlineLevel="0" collapsed="false">
      <c r="A661" s="15" t="s">
        <v>850</v>
      </c>
      <c r="B661" s="15" t="s">
        <v>4971</v>
      </c>
      <c r="C661" s="14" t="s">
        <v>5014</v>
      </c>
      <c r="D661" s="14" t="s">
        <v>5015</v>
      </c>
      <c r="E661" s="16" t="s">
        <v>5016</v>
      </c>
      <c r="F661" s="16" t="s">
        <v>5017</v>
      </c>
      <c r="G661" s="25" t="s">
        <v>39</v>
      </c>
      <c r="H661" s="18" t="n">
        <v>11</v>
      </c>
      <c r="I661" s="20" t="n">
        <v>242.41</v>
      </c>
      <c r="J661" s="20" t="n">
        <v>366.54</v>
      </c>
      <c r="K661" s="18" t="n">
        <v>7</v>
      </c>
      <c r="L661" s="18" t="n">
        <v>5</v>
      </c>
      <c r="M661" s="18" t="n">
        <v>252</v>
      </c>
      <c r="N661" s="18" t="n">
        <v>252</v>
      </c>
      <c r="O661" s="14" t="s">
        <v>5018</v>
      </c>
      <c r="P661" s="14" t="s">
        <v>118</v>
      </c>
      <c r="Q661" s="15" t="s">
        <v>1089</v>
      </c>
      <c r="R661" s="16" t="s">
        <v>5019</v>
      </c>
      <c r="S661" s="15" t="s">
        <v>5020</v>
      </c>
      <c r="T661" s="15" t="s">
        <v>5021</v>
      </c>
      <c r="U661" s="21" t="s">
        <v>72</v>
      </c>
    </row>
    <row r="662" customFormat="false" ht="39.55" hidden="false" customHeight="false" outlineLevel="0" collapsed="false">
      <c r="A662" s="15" t="s">
        <v>850</v>
      </c>
      <c r="B662" s="15" t="s">
        <v>4971</v>
      </c>
      <c r="C662" s="14" t="s">
        <v>5022</v>
      </c>
      <c r="D662" s="14" t="s">
        <v>5023</v>
      </c>
      <c r="E662" s="16" t="s">
        <v>5024</v>
      </c>
      <c r="F662" s="16" t="s">
        <v>5025</v>
      </c>
      <c r="G662" s="23" t="s">
        <v>43</v>
      </c>
      <c r="H662" s="18" t="n">
        <v>4</v>
      </c>
      <c r="I662" s="20" t="n">
        <v>59.09</v>
      </c>
      <c r="J662" s="20" t="n">
        <v>105.88</v>
      </c>
      <c r="K662" s="18" t="n">
        <v>8</v>
      </c>
      <c r="L662" s="18" t="n">
        <v>8</v>
      </c>
      <c r="M662" s="18"/>
      <c r="N662" s="18"/>
      <c r="O662" s="14" t="s">
        <v>4276</v>
      </c>
      <c r="P662" s="14" t="s">
        <v>4490</v>
      </c>
      <c r="Q662" s="15" t="s">
        <v>1089</v>
      </c>
      <c r="R662" s="16" t="s">
        <v>5026</v>
      </c>
      <c r="S662" s="15" t="s">
        <v>5027</v>
      </c>
      <c r="T662" s="15" t="s">
        <v>5028</v>
      </c>
      <c r="U662" s="21" t="s">
        <v>72</v>
      </c>
    </row>
    <row r="663" customFormat="false" ht="15" hidden="false" customHeight="false" outlineLevel="0" collapsed="false">
      <c r="A663" s="15" t="s">
        <v>850</v>
      </c>
      <c r="B663" s="15" t="s">
        <v>4971</v>
      </c>
      <c r="C663" s="14" t="s">
        <v>5029</v>
      </c>
      <c r="D663" s="14" t="s">
        <v>5030</v>
      </c>
      <c r="E663" s="16" t="s">
        <v>5031</v>
      </c>
      <c r="F663" s="16" t="s">
        <v>5032</v>
      </c>
      <c r="G663" s="19" t="s">
        <v>41</v>
      </c>
      <c r="H663" s="18" t="n">
        <v>4</v>
      </c>
      <c r="I663" s="20" t="n">
        <v>107.497</v>
      </c>
      <c r="J663" s="20" t="n">
        <v>234.18</v>
      </c>
      <c r="K663" s="18" t="n">
        <v>3</v>
      </c>
      <c r="L663" s="18" t="n">
        <v>4</v>
      </c>
      <c r="M663" s="18" t="n">
        <v>111</v>
      </c>
      <c r="N663" s="18" t="n">
        <v>74</v>
      </c>
      <c r="O663" s="14" t="s">
        <v>4276</v>
      </c>
      <c r="P663" s="14" t="s">
        <v>94</v>
      </c>
      <c r="Q663" s="15" t="s">
        <v>1089</v>
      </c>
      <c r="R663" s="16" t="s">
        <v>5033</v>
      </c>
      <c r="S663" s="15" t="s">
        <v>5034</v>
      </c>
      <c r="T663" s="15" t="s">
        <v>5035</v>
      </c>
      <c r="U663" s="21" t="s">
        <v>72</v>
      </c>
    </row>
    <row r="664" customFormat="false" ht="39.55" hidden="false" customHeight="false" outlineLevel="0" collapsed="false">
      <c r="A664" s="15" t="s">
        <v>850</v>
      </c>
      <c r="B664" s="15" t="s">
        <v>4971</v>
      </c>
      <c r="C664" s="14" t="s">
        <v>5036</v>
      </c>
      <c r="D664" s="14" t="s">
        <v>5037</v>
      </c>
      <c r="E664" s="16" t="s">
        <v>5038</v>
      </c>
      <c r="F664" s="16" t="s">
        <v>5039</v>
      </c>
      <c r="G664" s="25" t="s">
        <v>39</v>
      </c>
      <c r="H664" s="18" t="n">
        <v>8</v>
      </c>
      <c r="I664" s="20" t="n">
        <v>140.84</v>
      </c>
      <c r="J664" s="20" t="n">
        <v>232.15</v>
      </c>
      <c r="K664" s="18" t="n">
        <v>16</v>
      </c>
      <c r="L664" s="18" t="n">
        <v>13</v>
      </c>
      <c r="M664" s="18" t="n">
        <v>320</v>
      </c>
      <c r="N664" s="18" t="n">
        <v>80</v>
      </c>
      <c r="O664" s="14" t="s">
        <v>4215</v>
      </c>
      <c r="P664" s="14" t="s">
        <v>5040</v>
      </c>
      <c r="Q664" s="15" t="s">
        <v>1089</v>
      </c>
      <c r="R664" s="16" t="s">
        <v>5041</v>
      </c>
      <c r="S664" s="15" t="s">
        <v>5042</v>
      </c>
      <c r="T664" s="15" t="s">
        <v>5042</v>
      </c>
      <c r="U664" s="21" t="s">
        <v>72</v>
      </c>
    </row>
    <row r="665" customFormat="false" ht="26.85" hidden="false" customHeight="false" outlineLevel="0" collapsed="false">
      <c r="A665" s="15" t="s">
        <v>850</v>
      </c>
      <c r="B665" s="15" t="s">
        <v>4971</v>
      </c>
      <c r="C665" s="14" t="s">
        <v>5043</v>
      </c>
      <c r="D665" s="14" t="s">
        <v>5044</v>
      </c>
      <c r="E665" s="16" t="s">
        <v>5045</v>
      </c>
      <c r="F665" s="16" t="s">
        <v>5046</v>
      </c>
      <c r="G665" s="23" t="s">
        <v>43</v>
      </c>
      <c r="H665" s="18" t="n">
        <v>2</v>
      </c>
      <c r="I665" s="20" t="n">
        <v>44.99</v>
      </c>
      <c r="J665" s="20" t="n">
        <v>73.54</v>
      </c>
      <c r="K665" s="18" t="n">
        <v>4</v>
      </c>
      <c r="L665" s="18" t="n">
        <v>6</v>
      </c>
      <c r="M665" s="18" t="n">
        <v>74</v>
      </c>
      <c r="N665" s="18" t="n">
        <v>42</v>
      </c>
      <c r="O665" s="14" t="s">
        <v>5047</v>
      </c>
      <c r="P665" s="14" t="s">
        <v>84</v>
      </c>
      <c r="Q665" s="15" t="s">
        <v>1089</v>
      </c>
      <c r="R665" s="16" t="s">
        <v>5048</v>
      </c>
      <c r="S665" s="15" t="s">
        <v>5049</v>
      </c>
      <c r="T665" s="15" t="s">
        <v>5050</v>
      </c>
      <c r="U665" s="21" t="s">
        <v>72</v>
      </c>
    </row>
    <row r="666" customFormat="false" ht="15" hidden="false" customHeight="false" outlineLevel="0" collapsed="false">
      <c r="A666" s="15" t="s">
        <v>850</v>
      </c>
      <c r="B666" s="15" t="s">
        <v>4971</v>
      </c>
      <c r="C666" s="14" t="s">
        <v>5051</v>
      </c>
      <c r="D666" s="14" t="s">
        <v>5052</v>
      </c>
      <c r="E666" s="16" t="s">
        <v>5053</v>
      </c>
      <c r="F666" s="16"/>
      <c r="G666" s="23" t="s">
        <v>43</v>
      </c>
      <c r="H666" s="18" t="n">
        <v>3</v>
      </c>
      <c r="I666" s="20" t="n">
        <v>54.88</v>
      </c>
      <c r="J666" s="20" t="n">
        <v>81.51</v>
      </c>
      <c r="K666" s="18" t="n">
        <v>3</v>
      </c>
      <c r="L666" s="18" t="n">
        <v>1</v>
      </c>
      <c r="M666" s="18" t="n">
        <v>45</v>
      </c>
      <c r="N666" s="18" t="n">
        <v>45</v>
      </c>
      <c r="O666" s="14" t="s">
        <v>1088</v>
      </c>
      <c r="P666" s="14" t="s">
        <v>84</v>
      </c>
      <c r="Q666" s="15" t="s">
        <v>1089</v>
      </c>
      <c r="R666" s="16" t="s">
        <v>5054</v>
      </c>
      <c r="S666" s="15" t="s">
        <v>5055</v>
      </c>
      <c r="T666" s="15" t="s">
        <v>5056</v>
      </c>
      <c r="U666" s="21" t="s">
        <v>72</v>
      </c>
    </row>
    <row r="667" customFormat="false" ht="15" hidden="false" customHeight="false" outlineLevel="0" collapsed="false">
      <c r="A667" s="15" t="s">
        <v>850</v>
      </c>
      <c r="B667" s="15" t="s">
        <v>4971</v>
      </c>
      <c r="C667" s="14" t="s">
        <v>5057</v>
      </c>
      <c r="D667" s="14" t="s">
        <v>5058</v>
      </c>
      <c r="E667" s="16" t="s">
        <v>5059</v>
      </c>
      <c r="F667" s="16"/>
      <c r="G667" s="23" t="s">
        <v>43</v>
      </c>
      <c r="H667" s="18" t="n">
        <v>2</v>
      </c>
      <c r="I667" s="20" t="n">
        <v>41.57</v>
      </c>
      <c r="J667" s="20" t="n">
        <v>107.03</v>
      </c>
      <c r="K667" s="18" t="n">
        <v>2</v>
      </c>
      <c r="L667" s="18" t="n">
        <v>3</v>
      </c>
      <c r="M667" s="18" t="n">
        <v>34</v>
      </c>
      <c r="N667" s="18" t="n">
        <v>34</v>
      </c>
      <c r="O667" s="14" t="s">
        <v>5060</v>
      </c>
      <c r="P667" s="14" t="s">
        <v>118</v>
      </c>
      <c r="Q667" s="15" t="s">
        <v>1089</v>
      </c>
      <c r="R667" s="16" t="s">
        <v>5061</v>
      </c>
      <c r="S667" s="15" t="s">
        <v>5062</v>
      </c>
      <c r="T667" s="15" t="s">
        <v>5062</v>
      </c>
      <c r="U667" s="21" t="s">
        <v>72</v>
      </c>
    </row>
    <row r="668" customFormat="false" ht="26.85" hidden="false" customHeight="false" outlineLevel="0" collapsed="false">
      <c r="A668" s="15" t="s">
        <v>850</v>
      </c>
      <c r="B668" s="15" t="s">
        <v>4971</v>
      </c>
      <c r="C668" s="14" t="s">
        <v>5063</v>
      </c>
      <c r="D668" s="14" t="s">
        <v>5064</v>
      </c>
      <c r="E668" s="16" t="s">
        <v>5065</v>
      </c>
      <c r="F668" s="16"/>
      <c r="G668" s="23" t="s">
        <v>43</v>
      </c>
      <c r="H668" s="18" t="n">
        <v>2</v>
      </c>
      <c r="I668" s="20" t="n">
        <v>55.71</v>
      </c>
      <c r="J668" s="20" t="n">
        <v>104.68</v>
      </c>
      <c r="K668" s="18" t="n">
        <v>4</v>
      </c>
      <c r="L668" s="18" t="n">
        <v>10</v>
      </c>
      <c r="M668" s="18" t="n">
        <v>100</v>
      </c>
      <c r="N668" s="18" t="n">
        <v>100</v>
      </c>
      <c r="O668" s="14" t="s">
        <v>4751</v>
      </c>
      <c r="P668" s="14" t="s">
        <v>118</v>
      </c>
      <c r="Q668" s="15" t="s">
        <v>1089</v>
      </c>
      <c r="R668" s="16" t="s">
        <v>5066</v>
      </c>
      <c r="S668" s="15" t="s">
        <v>5067</v>
      </c>
      <c r="T668" s="15" t="s">
        <v>5068</v>
      </c>
      <c r="U668" s="21" t="s">
        <v>72</v>
      </c>
    </row>
    <row r="669" customFormat="false" ht="15" hidden="false" customHeight="false" outlineLevel="0" collapsed="false">
      <c r="A669" s="15" t="s">
        <v>850</v>
      </c>
      <c r="B669" s="15" t="s">
        <v>4971</v>
      </c>
      <c r="C669" s="14" t="s">
        <v>5069</v>
      </c>
      <c r="D669" s="14" t="s">
        <v>5070</v>
      </c>
      <c r="E669" s="16" t="s">
        <v>5071</v>
      </c>
      <c r="F669" s="16" t="s">
        <v>5072</v>
      </c>
      <c r="G669" s="23" t="s">
        <v>43</v>
      </c>
      <c r="H669" s="18" t="n">
        <v>3</v>
      </c>
      <c r="I669" s="20" t="n">
        <v>60.24</v>
      </c>
      <c r="J669" s="20" t="n">
        <v>111.69</v>
      </c>
      <c r="K669" s="18" t="n">
        <v>3</v>
      </c>
      <c r="L669" s="18" t="n">
        <v>3</v>
      </c>
      <c r="M669" s="18" t="n">
        <v>147</v>
      </c>
      <c r="N669" s="18" t="n">
        <v>147</v>
      </c>
      <c r="O669" s="14" t="s">
        <v>1088</v>
      </c>
      <c r="P669" s="14" t="s">
        <v>84</v>
      </c>
      <c r="Q669" s="15" t="s">
        <v>1089</v>
      </c>
      <c r="R669" s="16" t="s">
        <v>5073</v>
      </c>
      <c r="S669" s="15" t="s">
        <v>5074</v>
      </c>
      <c r="T669" s="15" t="s">
        <v>5074</v>
      </c>
      <c r="U669" s="21" t="s">
        <v>72</v>
      </c>
    </row>
    <row r="670" customFormat="false" ht="26.85" hidden="false" customHeight="false" outlineLevel="0" collapsed="false">
      <c r="A670" s="15" t="s">
        <v>850</v>
      </c>
      <c r="B670" s="15" t="s">
        <v>4971</v>
      </c>
      <c r="C670" s="14" t="s">
        <v>5075</v>
      </c>
      <c r="D670" s="14" t="s">
        <v>5076</v>
      </c>
      <c r="E670" s="16" t="s">
        <v>5077</v>
      </c>
      <c r="F670" s="16" t="s">
        <v>5078</v>
      </c>
      <c r="G670" s="19" t="s">
        <v>41</v>
      </c>
      <c r="H670" s="18" t="n">
        <v>5</v>
      </c>
      <c r="I670" s="20" t="n">
        <v>132.5</v>
      </c>
      <c r="J670" s="20" t="n">
        <v>222.07</v>
      </c>
      <c r="K670" s="18" t="n">
        <v>4</v>
      </c>
      <c r="L670" s="18" t="n">
        <v>4</v>
      </c>
      <c r="M670" s="18" t="n">
        <v>108</v>
      </c>
      <c r="N670" s="18" t="n">
        <v>108</v>
      </c>
      <c r="O670" s="14" t="s">
        <v>5079</v>
      </c>
      <c r="P670" s="14" t="s">
        <v>118</v>
      </c>
      <c r="Q670" s="15" t="s">
        <v>1089</v>
      </c>
      <c r="R670" s="16" t="s">
        <v>5080</v>
      </c>
      <c r="S670" s="15" t="s">
        <v>5081</v>
      </c>
      <c r="T670" s="15" t="s">
        <v>5082</v>
      </c>
      <c r="U670" s="21" t="s">
        <v>72</v>
      </c>
    </row>
    <row r="671" customFormat="false" ht="15" hidden="false" customHeight="false" outlineLevel="0" collapsed="false">
      <c r="A671" s="15" t="s">
        <v>850</v>
      </c>
      <c r="B671" s="15" t="s">
        <v>4971</v>
      </c>
      <c r="C671" s="14" t="s">
        <v>5083</v>
      </c>
      <c r="D671" s="14" t="s">
        <v>5084</v>
      </c>
      <c r="E671" s="16" t="s">
        <v>5085</v>
      </c>
      <c r="F671" s="16"/>
      <c r="G671" s="19" t="s">
        <v>41</v>
      </c>
      <c r="H671" s="18" t="n">
        <v>7</v>
      </c>
      <c r="I671" s="20" t="n">
        <v>80.4</v>
      </c>
      <c r="J671" s="20" t="n">
        <v>293.33</v>
      </c>
      <c r="K671" s="18" t="n">
        <v>4</v>
      </c>
      <c r="L671" s="18" t="n">
        <v>2</v>
      </c>
      <c r="M671" s="18" t="n">
        <v>134</v>
      </c>
      <c r="N671" s="18" t="n">
        <v>64</v>
      </c>
      <c r="O671" s="14" t="s">
        <v>1097</v>
      </c>
      <c r="P671" s="14" t="s">
        <v>118</v>
      </c>
      <c r="Q671" s="15" t="s">
        <v>1089</v>
      </c>
      <c r="R671" s="16" t="s">
        <v>5086</v>
      </c>
      <c r="S671" s="15" t="s">
        <v>5087</v>
      </c>
      <c r="T671" s="15" t="s">
        <v>5088</v>
      </c>
      <c r="U671" s="21" t="s">
        <v>72</v>
      </c>
    </row>
    <row r="672" customFormat="false" ht="15" hidden="false" customHeight="false" outlineLevel="0" collapsed="false">
      <c r="A672" s="15" t="s">
        <v>850</v>
      </c>
      <c r="B672" s="15" t="s">
        <v>4971</v>
      </c>
      <c r="C672" s="14" t="s">
        <v>5089</v>
      </c>
      <c r="D672" s="14" t="s">
        <v>5090</v>
      </c>
      <c r="E672" s="16" t="s">
        <v>5091</v>
      </c>
      <c r="F672" s="16"/>
      <c r="G672" s="23" t="s">
        <v>43</v>
      </c>
      <c r="H672" s="18" t="n">
        <v>3</v>
      </c>
      <c r="I672" s="20" t="n">
        <v>36.54</v>
      </c>
      <c r="J672" s="20" t="n">
        <v>78.6</v>
      </c>
      <c r="K672" s="18" t="n">
        <v>2</v>
      </c>
      <c r="L672" s="18" t="n">
        <v>2</v>
      </c>
      <c r="M672" s="18" t="n">
        <v>30</v>
      </c>
      <c r="N672" s="18" t="n">
        <v>30</v>
      </c>
      <c r="O672" s="14" t="s">
        <v>1088</v>
      </c>
      <c r="P672" s="14" t="s">
        <v>84</v>
      </c>
      <c r="Q672" s="15" t="s">
        <v>1089</v>
      </c>
      <c r="R672" s="16" t="s">
        <v>5092</v>
      </c>
      <c r="S672" s="15" t="s">
        <v>5093</v>
      </c>
      <c r="T672" s="15" t="s">
        <v>5093</v>
      </c>
      <c r="U672" s="21" t="s">
        <v>72</v>
      </c>
    </row>
    <row r="673" customFormat="false" ht="15" hidden="false" customHeight="false" outlineLevel="0" collapsed="false">
      <c r="A673" s="15" t="s">
        <v>850</v>
      </c>
      <c r="B673" s="15" t="s">
        <v>4971</v>
      </c>
      <c r="C673" s="14" t="s">
        <v>5094</v>
      </c>
      <c r="D673" s="14" t="s">
        <v>5095</v>
      </c>
      <c r="E673" s="16" t="s">
        <v>5096</v>
      </c>
      <c r="F673" s="16"/>
      <c r="G673" s="23" t="s">
        <v>43</v>
      </c>
      <c r="H673" s="18" t="n">
        <v>3</v>
      </c>
      <c r="I673" s="20" t="n">
        <v>41.26</v>
      </c>
      <c r="J673" s="20" t="n">
        <v>101.83</v>
      </c>
      <c r="K673" s="18" t="n">
        <v>2</v>
      </c>
      <c r="L673" s="18" t="n">
        <v>1</v>
      </c>
      <c r="M673" s="18" t="n">
        <v>66</v>
      </c>
      <c r="N673" s="18" t="n">
        <v>66</v>
      </c>
      <c r="O673" s="14" t="s">
        <v>1088</v>
      </c>
      <c r="P673" s="14" t="s">
        <v>84</v>
      </c>
      <c r="Q673" s="15" t="s">
        <v>1089</v>
      </c>
      <c r="R673" s="16" t="s">
        <v>5097</v>
      </c>
      <c r="S673" s="15" t="s">
        <v>5098</v>
      </c>
      <c r="T673" s="15" t="s">
        <v>5098</v>
      </c>
      <c r="U673" s="21" t="s">
        <v>72</v>
      </c>
    </row>
    <row r="674" customFormat="false" ht="26.85" hidden="false" customHeight="false" outlineLevel="0" collapsed="false">
      <c r="A674" s="15" t="s">
        <v>850</v>
      </c>
      <c r="B674" s="15" t="s">
        <v>4971</v>
      </c>
      <c r="C674" s="14" t="s">
        <v>5099</v>
      </c>
      <c r="D674" s="14" t="s">
        <v>5100</v>
      </c>
      <c r="E674" s="16" t="s">
        <v>5101</v>
      </c>
      <c r="F674" s="16" t="s">
        <v>5102</v>
      </c>
      <c r="G674" s="25" t="s">
        <v>39</v>
      </c>
      <c r="H674" s="18" t="n">
        <v>7</v>
      </c>
      <c r="I674" s="20" t="n">
        <v>233.44</v>
      </c>
      <c r="J674" s="20" t="n">
        <v>509.11</v>
      </c>
      <c r="K674" s="18" t="n">
        <v>7</v>
      </c>
      <c r="L674" s="18" t="n">
        <v>26</v>
      </c>
      <c r="M674" s="18" t="n">
        <v>300</v>
      </c>
      <c r="N674" s="18" t="n">
        <v>80</v>
      </c>
      <c r="O674" s="14" t="s">
        <v>4215</v>
      </c>
      <c r="P674" s="14" t="s">
        <v>118</v>
      </c>
      <c r="Q674" s="15" t="s">
        <v>1089</v>
      </c>
      <c r="R674" s="16" t="s">
        <v>5103</v>
      </c>
      <c r="S674" s="15" t="s">
        <v>4473</v>
      </c>
      <c r="T674" s="15" t="s">
        <v>5104</v>
      </c>
      <c r="U674" s="21" t="s">
        <v>72</v>
      </c>
    </row>
    <row r="675" customFormat="false" ht="15" hidden="false" customHeight="false" outlineLevel="0" collapsed="false">
      <c r="A675" s="15" t="s">
        <v>850</v>
      </c>
      <c r="B675" s="15" t="s">
        <v>4971</v>
      </c>
      <c r="C675" s="14" t="s">
        <v>5105</v>
      </c>
      <c r="D675" s="14" t="s">
        <v>5106</v>
      </c>
      <c r="E675" s="16" t="s">
        <v>5107</v>
      </c>
      <c r="F675" s="16"/>
      <c r="G675" s="25" t="s">
        <v>39</v>
      </c>
      <c r="H675" s="18" t="n">
        <v>2</v>
      </c>
      <c r="I675" s="20" t="n">
        <v>66.01</v>
      </c>
      <c r="J675" s="20" t="n">
        <v>529.02</v>
      </c>
      <c r="K675" s="18" t="n">
        <v>4</v>
      </c>
      <c r="L675" s="18" t="n">
        <v>3</v>
      </c>
      <c r="M675" s="18" t="n">
        <v>216</v>
      </c>
      <c r="N675" s="18" t="n">
        <v>162</v>
      </c>
      <c r="O675" s="14" t="s">
        <v>1097</v>
      </c>
      <c r="P675" s="14" t="s">
        <v>118</v>
      </c>
      <c r="Q675" s="15" t="s">
        <v>1089</v>
      </c>
      <c r="R675" s="16" t="s">
        <v>5108</v>
      </c>
      <c r="S675" s="15" t="s">
        <v>5109</v>
      </c>
      <c r="T675" s="15" t="s">
        <v>5110</v>
      </c>
      <c r="U675" s="21" t="s">
        <v>72</v>
      </c>
    </row>
    <row r="676" customFormat="false" ht="15" hidden="false" customHeight="false" outlineLevel="0" collapsed="false">
      <c r="A676" s="15" t="s">
        <v>850</v>
      </c>
      <c r="B676" s="15" t="s">
        <v>4971</v>
      </c>
      <c r="C676" s="14" t="s">
        <v>5111</v>
      </c>
      <c r="D676" s="14" t="s">
        <v>5112</v>
      </c>
      <c r="E676" s="16" t="s">
        <v>5113</v>
      </c>
      <c r="F676" s="16" t="s">
        <v>5114</v>
      </c>
      <c r="G676" s="23" t="s">
        <v>43</v>
      </c>
      <c r="H676" s="18" t="n">
        <v>3</v>
      </c>
      <c r="I676" s="20" t="n">
        <v>54.5</v>
      </c>
      <c r="J676" s="20" t="n">
        <v>85.37</v>
      </c>
      <c r="K676" s="18" t="n">
        <v>3</v>
      </c>
      <c r="L676" s="18" t="n">
        <v>4</v>
      </c>
      <c r="M676" s="18" t="n">
        <v>59</v>
      </c>
      <c r="N676" s="18" t="n">
        <v>17</v>
      </c>
      <c r="O676" s="14" t="s">
        <v>1097</v>
      </c>
      <c r="P676" s="14" t="s">
        <v>118</v>
      </c>
      <c r="Q676" s="15" t="s">
        <v>1089</v>
      </c>
      <c r="R676" s="16" t="s">
        <v>5115</v>
      </c>
      <c r="S676" s="15" t="s">
        <v>5116</v>
      </c>
      <c r="T676" s="15" t="s">
        <v>5117</v>
      </c>
      <c r="U676" s="21" t="s">
        <v>72</v>
      </c>
    </row>
    <row r="677" customFormat="false" ht="15" hidden="false" customHeight="false" outlineLevel="0" collapsed="false">
      <c r="A677" s="15" t="s">
        <v>850</v>
      </c>
      <c r="B677" s="15" t="s">
        <v>4971</v>
      </c>
      <c r="C677" s="14" t="s">
        <v>5118</v>
      </c>
      <c r="D677" s="14" t="s">
        <v>5119</v>
      </c>
      <c r="E677" s="16" t="s">
        <v>5120</v>
      </c>
      <c r="F677" s="16" t="s">
        <v>5121</v>
      </c>
      <c r="G677" s="23" t="s">
        <v>43</v>
      </c>
      <c r="H677" s="18" t="n">
        <v>2</v>
      </c>
      <c r="I677" s="20" t="n">
        <v>71.66</v>
      </c>
      <c r="J677" s="20" t="n">
        <v>93.58</v>
      </c>
      <c r="K677" s="18" t="n">
        <v>3</v>
      </c>
      <c r="L677" s="18" t="n">
        <v>3</v>
      </c>
      <c r="M677" s="18" t="n">
        <v>77</v>
      </c>
      <c r="N677" s="18" t="n">
        <v>49</v>
      </c>
      <c r="O677" s="14" t="s">
        <v>5122</v>
      </c>
      <c r="P677" s="14" t="s">
        <v>118</v>
      </c>
      <c r="Q677" s="15" t="s">
        <v>1089</v>
      </c>
      <c r="R677" s="16" t="s">
        <v>5123</v>
      </c>
      <c r="S677" s="15" t="s">
        <v>5124</v>
      </c>
      <c r="T677" s="15" t="s">
        <v>5124</v>
      </c>
      <c r="U677" s="21" t="s">
        <v>72</v>
      </c>
    </row>
    <row r="678" customFormat="false" ht="15" hidden="false" customHeight="false" outlineLevel="0" collapsed="false">
      <c r="A678" s="15" t="s">
        <v>850</v>
      </c>
      <c r="B678" s="15" t="s">
        <v>4971</v>
      </c>
      <c r="C678" s="14" t="s">
        <v>5125</v>
      </c>
      <c r="D678" s="14" t="s">
        <v>5126</v>
      </c>
      <c r="E678" s="16" t="s">
        <v>5127</v>
      </c>
      <c r="F678" s="16"/>
      <c r="G678" s="19" t="s">
        <v>41</v>
      </c>
      <c r="H678" s="18" t="n">
        <v>5</v>
      </c>
      <c r="I678" s="20" t="n">
        <v>105.8</v>
      </c>
      <c r="J678" s="20" t="n">
        <v>170.93</v>
      </c>
      <c r="K678" s="18" t="n">
        <v>3</v>
      </c>
      <c r="L678" s="18" t="n">
        <v>7</v>
      </c>
      <c r="M678" s="18" t="n">
        <v>51</v>
      </c>
      <c r="N678" s="18" t="n">
        <v>51</v>
      </c>
      <c r="O678" s="14" t="s">
        <v>1097</v>
      </c>
      <c r="P678" s="14" t="s">
        <v>84</v>
      </c>
      <c r="Q678" s="15" t="s">
        <v>1089</v>
      </c>
      <c r="R678" s="16" t="s">
        <v>5128</v>
      </c>
      <c r="S678" s="15" t="s">
        <v>5129</v>
      </c>
      <c r="T678" s="15" t="s">
        <v>5130</v>
      </c>
      <c r="U678" s="21" t="s">
        <v>72</v>
      </c>
    </row>
    <row r="679" customFormat="false" ht="15" hidden="false" customHeight="false" outlineLevel="0" collapsed="false">
      <c r="A679" s="15" t="s">
        <v>850</v>
      </c>
      <c r="B679" s="15" t="s">
        <v>4971</v>
      </c>
      <c r="C679" s="14" t="s">
        <v>5131</v>
      </c>
      <c r="D679" s="14" t="s">
        <v>5132</v>
      </c>
      <c r="E679" s="16" t="s">
        <v>5133</v>
      </c>
      <c r="F679" s="16" t="s">
        <v>5134</v>
      </c>
      <c r="G679" s="23" t="s">
        <v>43</v>
      </c>
      <c r="H679" s="18" t="n">
        <v>1</v>
      </c>
      <c r="I679" s="20" t="n">
        <v>66.34</v>
      </c>
      <c r="J679" s="20" t="n">
        <v>70.3</v>
      </c>
      <c r="K679" s="18" t="n">
        <v>2</v>
      </c>
      <c r="L679" s="18" t="n">
        <v>2</v>
      </c>
      <c r="M679" s="18" t="n">
        <v>30</v>
      </c>
      <c r="N679" s="18" t="n">
        <v>30</v>
      </c>
      <c r="O679" s="14" t="s">
        <v>1126</v>
      </c>
      <c r="P679" s="14" t="s">
        <v>84</v>
      </c>
      <c r="Q679" s="15" t="s">
        <v>1089</v>
      </c>
      <c r="R679" s="16" t="s">
        <v>5135</v>
      </c>
      <c r="S679" s="15" t="s">
        <v>5136</v>
      </c>
      <c r="T679" s="15" t="s">
        <v>5137</v>
      </c>
      <c r="U679" s="21" t="s">
        <v>72</v>
      </c>
    </row>
    <row r="680" customFormat="false" ht="15" hidden="false" customHeight="false" outlineLevel="0" collapsed="false">
      <c r="A680" s="15" t="s">
        <v>850</v>
      </c>
      <c r="B680" s="15" t="s">
        <v>4971</v>
      </c>
      <c r="C680" s="14" t="s">
        <v>5138</v>
      </c>
      <c r="D680" s="14" t="s">
        <v>5139</v>
      </c>
      <c r="E680" s="16" t="s">
        <v>5140</v>
      </c>
      <c r="F680" s="16"/>
      <c r="G680" s="23" t="s">
        <v>43</v>
      </c>
      <c r="H680" s="18" t="n">
        <v>4</v>
      </c>
      <c r="I680" s="20" t="n">
        <v>76.59</v>
      </c>
      <c r="J680" s="20" t="n">
        <v>90.95</v>
      </c>
      <c r="K680" s="18" t="n">
        <v>4</v>
      </c>
      <c r="L680" s="18" t="n">
        <v>1</v>
      </c>
      <c r="M680" s="18" t="n">
        <v>80</v>
      </c>
      <c r="N680" s="18" t="n">
        <v>80</v>
      </c>
      <c r="O680" s="14" t="s">
        <v>5141</v>
      </c>
      <c r="P680" s="14" t="s">
        <v>118</v>
      </c>
      <c r="Q680" s="15" t="s">
        <v>1089</v>
      </c>
      <c r="R680" s="16" t="s">
        <v>1268</v>
      </c>
      <c r="S680" s="15" t="s">
        <v>5142</v>
      </c>
      <c r="T680" s="15" t="s">
        <v>5142</v>
      </c>
      <c r="U680" s="21" t="s">
        <v>72</v>
      </c>
    </row>
    <row r="681" customFormat="false" ht="15" hidden="false" customHeight="false" outlineLevel="0" collapsed="false">
      <c r="A681" s="15" t="s">
        <v>850</v>
      </c>
      <c r="B681" s="15" t="s">
        <v>4971</v>
      </c>
      <c r="C681" s="14" t="s">
        <v>5143</v>
      </c>
      <c r="D681" s="14" t="s">
        <v>5144</v>
      </c>
      <c r="E681" s="16" t="s">
        <v>5145</v>
      </c>
      <c r="F681" s="16"/>
      <c r="G681" s="19" t="s">
        <v>41</v>
      </c>
      <c r="H681" s="18" t="n">
        <v>3</v>
      </c>
      <c r="I681" s="20" t="n">
        <v>65.9</v>
      </c>
      <c r="J681" s="20" t="n">
        <v>396.61</v>
      </c>
      <c r="K681" s="18" t="n">
        <v>4</v>
      </c>
      <c r="L681" s="18" t="n">
        <v>2</v>
      </c>
      <c r="M681" s="18" t="n">
        <v>76</v>
      </c>
      <c r="N681" s="18" t="n">
        <v>76</v>
      </c>
      <c r="O681" s="14" t="s">
        <v>5146</v>
      </c>
      <c r="P681" s="14" t="s">
        <v>118</v>
      </c>
      <c r="Q681" s="15" t="s">
        <v>1089</v>
      </c>
      <c r="R681" s="16" t="s">
        <v>5147</v>
      </c>
      <c r="S681" s="15" t="s">
        <v>5148</v>
      </c>
      <c r="T681" s="15" t="s">
        <v>5148</v>
      </c>
      <c r="U681" s="21" t="s">
        <v>72</v>
      </c>
    </row>
    <row r="682" customFormat="false" ht="15" hidden="false" customHeight="false" outlineLevel="0" collapsed="false">
      <c r="A682" s="15" t="s">
        <v>850</v>
      </c>
      <c r="B682" s="15" t="s">
        <v>4971</v>
      </c>
      <c r="C682" s="14" t="s">
        <v>5149</v>
      </c>
      <c r="D682" s="14" t="s">
        <v>5150</v>
      </c>
      <c r="E682" s="16" t="s">
        <v>5151</v>
      </c>
      <c r="F682" s="16"/>
      <c r="G682" s="23" t="s">
        <v>43</v>
      </c>
      <c r="H682" s="18" t="n">
        <v>3</v>
      </c>
      <c r="I682" s="20" t="n">
        <v>59.75</v>
      </c>
      <c r="J682" s="20" t="n">
        <v>196.24</v>
      </c>
      <c r="K682" s="18" t="n">
        <v>3</v>
      </c>
      <c r="L682" s="18" t="n">
        <v>3</v>
      </c>
      <c r="M682" s="18" t="n">
        <v>48</v>
      </c>
      <c r="N682" s="18" t="n">
        <v>16</v>
      </c>
      <c r="O682" s="14" t="s">
        <v>1088</v>
      </c>
      <c r="P682" s="14" t="s">
        <v>118</v>
      </c>
      <c r="Q682" s="15" t="s">
        <v>1089</v>
      </c>
      <c r="R682" s="16" t="s">
        <v>5152</v>
      </c>
      <c r="S682" s="15" t="s">
        <v>5153</v>
      </c>
      <c r="T682" s="15" t="s">
        <v>5153</v>
      </c>
      <c r="U682" s="21" t="s">
        <v>72</v>
      </c>
    </row>
    <row r="683" customFormat="false" ht="15" hidden="false" customHeight="false" outlineLevel="0" collapsed="false">
      <c r="A683" s="15" t="s">
        <v>850</v>
      </c>
      <c r="B683" s="15" t="s">
        <v>4971</v>
      </c>
      <c r="C683" s="14" t="s">
        <v>5154</v>
      </c>
      <c r="D683" s="14" t="s">
        <v>5155</v>
      </c>
      <c r="E683" s="16" t="s">
        <v>5156</v>
      </c>
      <c r="F683" s="16"/>
      <c r="G683" s="23" t="s">
        <v>43</v>
      </c>
      <c r="H683" s="18" t="n">
        <v>3</v>
      </c>
      <c r="I683" s="20" t="n">
        <v>43.36</v>
      </c>
      <c r="J683" s="20" t="n">
        <v>103.26</v>
      </c>
      <c r="K683" s="18" t="n">
        <v>4</v>
      </c>
      <c r="L683" s="18" t="n">
        <v>1</v>
      </c>
      <c r="M683" s="18" t="n">
        <v>62</v>
      </c>
      <c r="N683" s="18" t="n">
        <v>62</v>
      </c>
      <c r="O683" s="14" t="s">
        <v>5157</v>
      </c>
      <c r="P683" s="14" t="s">
        <v>118</v>
      </c>
      <c r="Q683" s="15" t="s">
        <v>1089</v>
      </c>
      <c r="R683" s="16" t="s">
        <v>5158</v>
      </c>
      <c r="S683" s="15" t="s">
        <v>5159</v>
      </c>
      <c r="T683" s="15" t="s">
        <v>5160</v>
      </c>
      <c r="U683" s="21" t="s">
        <v>72</v>
      </c>
    </row>
    <row r="684" customFormat="false" ht="39.55" hidden="false" customHeight="false" outlineLevel="0" collapsed="false">
      <c r="A684" s="15" t="s">
        <v>850</v>
      </c>
      <c r="B684" s="15" t="s">
        <v>4971</v>
      </c>
      <c r="C684" s="14" t="s">
        <v>5161</v>
      </c>
      <c r="D684" s="14" t="s">
        <v>5162</v>
      </c>
      <c r="E684" s="16" t="s">
        <v>5163</v>
      </c>
      <c r="F684" s="16" t="s">
        <v>5164</v>
      </c>
      <c r="G684" s="23" t="s">
        <v>43</v>
      </c>
      <c r="H684" s="18" t="n">
        <v>3</v>
      </c>
      <c r="I684" s="20" t="n">
        <v>50.7</v>
      </c>
      <c r="J684" s="20" t="n">
        <v>94.96</v>
      </c>
      <c r="K684" s="18" t="n">
        <v>19</v>
      </c>
      <c r="L684" s="18" t="n">
        <v>6</v>
      </c>
      <c r="M684" s="18" t="n">
        <v>285</v>
      </c>
      <c r="N684" s="18" t="n">
        <v>105</v>
      </c>
      <c r="O684" s="14" t="s">
        <v>5165</v>
      </c>
      <c r="P684" s="14" t="s">
        <v>952</v>
      </c>
      <c r="Q684" s="15" t="s">
        <v>1089</v>
      </c>
      <c r="R684" s="16" t="s">
        <v>5166</v>
      </c>
      <c r="S684" s="15" t="s">
        <v>5167</v>
      </c>
      <c r="T684" s="15" t="s">
        <v>5168</v>
      </c>
      <c r="U684" s="21" t="s">
        <v>72</v>
      </c>
    </row>
    <row r="685" customFormat="false" ht="26.85" hidden="false" customHeight="false" outlineLevel="0" collapsed="false">
      <c r="A685" s="15" t="s">
        <v>850</v>
      </c>
      <c r="B685" s="15" t="s">
        <v>4971</v>
      </c>
      <c r="C685" s="14" t="s">
        <v>5169</v>
      </c>
      <c r="D685" s="14" t="s">
        <v>5170</v>
      </c>
      <c r="E685" s="16" t="s">
        <v>5171</v>
      </c>
      <c r="F685" s="16" t="s">
        <v>5172</v>
      </c>
      <c r="G685" s="23" t="s">
        <v>43</v>
      </c>
      <c r="H685" s="18" t="n">
        <v>2</v>
      </c>
      <c r="I685" s="20" t="n">
        <v>76</v>
      </c>
      <c r="J685" s="20" t="n">
        <v>178.98</v>
      </c>
      <c r="K685" s="18" t="n">
        <v>4</v>
      </c>
      <c r="L685" s="18" t="n">
        <v>7</v>
      </c>
      <c r="M685" s="18" t="n">
        <v>124</v>
      </c>
      <c r="N685" s="18" t="n">
        <v>64</v>
      </c>
      <c r="O685" s="14" t="s">
        <v>5173</v>
      </c>
      <c r="P685" s="14" t="s">
        <v>352</v>
      </c>
      <c r="Q685" s="15" t="s">
        <v>1089</v>
      </c>
      <c r="R685" s="16" t="s">
        <v>1554</v>
      </c>
      <c r="S685" s="15" t="s">
        <v>5174</v>
      </c>
      <c r="T685" s="15" t="s">
        <v>5175</v>
      </c>
      <c r="U685" s="21" t="s">
        <v>72</v>
      </c>
    </row>
    <row r="686" customFormat="false" ht="15" hidden="false" customHeight="false" outlineLevel="0" collapsed="false">
      <c r="A686" s="15" t="s">
        <v>850</v>
      </c>
      <c r="B686" s="15" t="s">
        <v>4971</v>
      </c>
      <c r="C686" s="14" t="s">
        <v>5176</v>
      </c>
      <c r="D686" s="14" t="s">
        <v>5177</v>
      </c>
      <c r="E686" s="16" t="s">
        <v>5178</v>
      </c>
      <c r="F686" s="16"/>
      <c r="G686" s="19" t="s">
        <v>41</v>
      </c>
      <c r="H686" s="18" t="n">
        <v>5</v>
      </c>
      <c r="I686" s="20" t="n">
        <v>70.04</v>
      </c>
      <c r="J686" s="20" t="n">
        <v>128.8</v>
      </c>
      <c r="K686" s="18" t="n">
        <v>4</v>
      </c>
      <c r="L686" s="18" t="n">
        <v>5</v>
      </c>
      <c r="M686" s="18" t="n">
        <v>96</v>
      </c>
      <c r="N686" s="18" t="n">
        <v>48</v>
      </c>
      <c r="O686" s="14" t="s">
        <v>4223</v>
      </c>
      <c r="P686" s="14" t="s">
        <v>1716</v>
      </c>
      <c r="Q686" s="15" t="s">
        <v>1089</v>
      </c>
      <c r="R686" s="16" t="s">
        <v>1554</v>
      </c>
      <c r="S686" s="15" t="s">
        <v>5175</v>
      </c>
      <c r="T686" s="15" t="s">
        <v>5179</v>
      </c>
      <c r="U686" s="21" t="s">
        <v>72</v>
      </c>
    </row>
    <row r="687" customFormat="false" ht="15" hidden="false" customHeight="false" outlineLevel="0" collapsed="false">
      <c r="A687" s="15" t="s">
        <v>850</v>
      </c>
      <c r="B687" s="15" t="s">
        <v>4971</v>
      </c>
      <c r="C687" s="14" t="s">
        <v>5180</v>
      </c>
      <c r="D687" s="14" t="s">
        <v>5181</v>
      </c>
      <c r="E687" s="16" t="s">
        <v>5182</v>
      </c>
      <c r="F687" s="16" t="s">
        <v>5183</v>
      </c>
      <c r="G687" s="23" t="s">
        <v>43</v>
      </c>
      <c r="H687" s="18" t="n">
        <v>2</v>
      </c>
      <c r="I687" s="20" t="n">
        <v>46.9</v>
      </c>
      <c r="J687" s="20" t="n">
        <v>165.61</v>
      </c>
      <c r="K687" s="18" t="n">
        <v>2</v>
      </c>
      <c r="L687" s="18" t="n">
        <v>3</v>
      </c>
      <c r="M687" s="18" t="n">
        <v>38</v>
      </c>
      <c r="N687" s="18" t="n">
        <v>38</v>
      </c>
      <c r="O687" s="14" t="s">
        <v>4343</v>
      </c>
      <c r="P687" s="14" t="s">
        <v>84</v>
      </c>
      <c r="Q687" s="15" t="s">
        <v>1089</v>
      </c>
      <c r="R687" s="16" t="s">
        <v>5184</v>
      </c>
      <c r="S687" s="15" t="s">
        <v>5185</v>
      </c>
      <c r="T687" s="15" t="s">
        <v>5185</v>
      </c>
      <c r="U687" s="21" t="s">
        <v>72</v>
      </c>
    </row>
    <row r="688" customFormat="false" ht="15" hidden="false" customHeight="false" outlineLevel="0" collapsed="false">
      <c r="A688" s="15" t="s">
        <v>850</v>
      </c>
      <c r="B688" s="15" t="s">
        <v>4971</v>
      </c>
      <c r="C688" s="14" t="s">
        <v>5186</v>
      </c>
      <c r="D688" s="14" t="s">
        <v>5187</v>
      </c>
      <c r="E688" s="16" t="s">
        <v>5188</v>
      </c>
      <c r="F688" s="16" t="s">
        <v>5189</v>
      </c>
      <c r="G688" s="19" t="s">
        <v>41</v>
      </c>
      <c r="H688" s="18" t="n">
        <v>5</v>
      </c>
      <c r="I688" s="20" t="n">
        <v>120.2</v>
      </c>
      <c r="J688" s="20" t="n">
        <v>233.32</v>
      </c>
      <c r="K688" s="18" t="n">
        <v>6</v>
      </c>
      <c r="L688" s="18" t="n">
        <v>2</v>
      </c>
      <c r="M688" s="18" t="n">
        <v>122</v>
      </c>
      <c r="N688" s="18" t="n">
        <v>80</v>
      </c>
      <c r="O688" s="14" t="s">
        <v>1088</v>
      </c>
      <c r="P688" s="14" t="s">
        <v>118</v>
      </c>
      <c r="Q688" s="15" t="s">
        <v>1089</v>
      </c>
      <c r="R688" s="16" t="s">
        <v>5190</v>
      </c>
      <c r="S688" s="15" t="s">
        <v>5191</v>
      </c>
      <c r="T688" s="15" t="s">
        <v>5192</v>
      </c>
      <c r="U688" s="21" t="s">
        <v>72</v>
      </c>
    </row>
    <row r="689" customFormat="false" ht="15" hidden="false" customHeight="false" outlineLevel="0" collapsed="false">
      <c r="A689" s="15" t="s">
        <v>850</v>
      </c>
      <c r="B689" s="15" t="s">
        <v>4971</v>
      </c>
      <c r="C689" s="14" t="s">
        <v>5193</v>
      </c>
      <c r="D689" s="14" t="s">
        <v>5194</v>
      </c>
      <c r="E689" s="16" t="s">
        <v>5195</v>
      </c>
      <c r="F689" s="16"/>
      <c r="G689" s="23" t="s">
        <v>43</v>
      </c>
      <c r="H689" s="18" t="n">
        <v>3</v>
      </c>
      <c r="I689" s="20" t="n">
        <v>51.14</v>
      </c>
      <c r="J689" s="20" t="n">
        <v>166.27</v>
      </c>
      <c r="K689" s="18" t="n">
        <v>3</v>
      </c>
      <c r="L689" s="18" t="n">
        <v>10</v>
      </c>
      <c r="M689" s="18" t="n">
        <v>45</v>
      </c>
      <c r="N689" s="18" t="n">
        <v>30</v>
      </c>
      <c r="O689" s="14" t="s">
        <v>1088</v>
      </c>
      <c r="P689" s="14" t="s">
        <v>118</v>
      </c>
      <c r="Q689" s="15" t="s">
        <v>1089</v>
      </c>
      <c r="R689" s="16" t="s">
        <v>5196</v>
      </c>
      <c r="S689" s="15" t="s">
        <v>5197</v>
      </c>
      <c r="T689" s="15" t="s">
        <v>5197</v>
      </c>
      <c r="U689" s="21" t="s">
        <v>72</v>
      </c>
    </row>
    <row r="690" customFormat="false" ht="15" hidden="false" customHeight="false" outlineLevel="0" collapsed="false">
      <c r="A690" s="15" t="s">
        <v>850</v>
      </c>
      <c r="B690" s="15" t="s">
        <v>4971</v>
      </c>
      <c r="C690" s="14" t="s">
        <v>5198</v>
      </c>
      <c r="D690" s="14" t="s">
        <v>5199</v>
      </c>
      <c r="E690" s="16" t="s">
        <v>5200</v>
      </c>
      <c r="F690" s="16" t="s">
        <v>5201</v>
      </c>
      <c r="G690" s="23" t="s">
        <v>43</v>
      </c>
      <c r="H690" s="18" t="n">
        <v>3</v>
      </c>
      <c r="I690" s="20" t="n">
        <v>68.92</v>
      </c>
      <c r="J690" s="20" t="n">
        <v>167.51</v>
      </c>
      <c r="K690" s="18" t="n">
        <v>7</v>
      </c>
      <c r="L690" s="18" t="n">
        <v>19</v>
      </c>
      <c r="M690" s="18" t="n">
        <v>68</v>
      </c>
      <c r="N690" s="18" t="n">
        <v>28</v>
      </c>
      <c r="O690" s="14" t="s">
        <v>4951</v>
      </c>
      <c r="P690" s="14" t="s">
        <v>118</v>
      </c>
      <c r="Q690" s="15" t="s">
        <v>1089</v>
      </c>
      <c r="R690" s="16" t="s">
        <v>5202</v>
      </c>
      <c r="S690" s="15" t="s">
        <v>5203</v>
      </c>
      <c r="T690" s="15" t="s">
        <v>5204</v>
      </c>
      <c r="U690" s="21" t="s">
        <v>72</v>
      </c>
    </row>
    <row r="691" customFormat="false" ht="15" hidden="false" customHeight="false" outlineLevel="0" collapsed="false">
      <c r="A691" s="15" t="s">
        <v>850</v>
      </c>
      <c r="B691" s="15" t="s">
        <v>4971</v>
      </c>
      <c r="C691" s="14" t="s">
        <v>5205</v>
      </c>
      <c r="D691" s="14" t="s">
        <v>5206</v>
      </c>
      <c r="E691" s="16" t="s">
        <v>5207</v>
      </c>
      <c r="F691" s="16" t="s">
        <v>5208</v>
      </c>
      <c r="G691" s="23" t="s">
        <v>43</v>
      </c>
      <c r="H691" s="18" t="n">
        <v>2</v>
      </c>
      <c r="I691" s="20" t="n">
        <v>32.77</v>
      </c>
      <c r="J691" s="20" t="n">
        <v>83.42</v>
      </c>
      <c r="K691" s="18" t="n">
        <v>2</v>
      </c>
      <c r="L691" s="18" t="n">
        <v>1</v>
      </c>
      <c r="M691" s="18" t="n">
        <v>26</v>
      </c>
      <c r="N691" s="18" t="n">
        <v>26</v>
      </c>
      <c r="O691" s="14" t="s">
        <v>5209</v>
      </c>
      <c r="P691" s="14" t="s">
        <v>118</v>
      </c>
      <c r="Q691" s="15" t="s">
        <v>1089</v>
      </c>
      <c r="R691" s="16" t="s">
        <v>4269</v>
      </c>
      <c r="S691" s="15" t="s">
        <v>5210</v>
      </c>
      <c r="T691" s="15" t="s">
        <v>5211</v>
      </c>
      <c r="U691" s="21" t="s">
        <v>72</v>
      </c>
    </row>
    <row r="692" customFormat="false" ht="26.85" hidden="false" customHeight="false" outlineLevel="0" collapsed="false">
      <c r="A692" s="15" t="s">
        <v>850</v>
      </c>
      <c r="B692" s="15" t="s">
        <v>4971</v>
      </c>
      <c r="C692" s="14" t="s">
        <v>5212</v>
      </c>
      <c r="D692" s="14" t="s">
        <v>5213</v>
      </c>
      <c r="E692" s="16" t="s">
        <v>5214</v>
      </c>
      <c r="F692" s="16"/>
      <c r="G692" s="23" t="s">
        <v>43</v>
      </c>
      <c r="H692" s="18" t="n">
        <v>4</v>
      </c>
      <c r="I692" s="20" t="n">
        <v>51.24</v>
      </c>
      <c r="J692" s="20" t="n">
        <v>156.68</v>
      </c>
      <c r="K692" s="18" t="n">
        <v>4</v>
      </c>
      <c r="L692" s="18" t="n">
        <v>1</v>
      </c>
      <c r="M692" s="18" t="n">
        <v>40</v>
      </c>
      <c r="N692" s="18" t="n">
        <v>30</v>
      </c>
      <c r="O692" s="14" t="s">
        <v>4751</v>
      </c>
      <c r="P692" s="14" t="s">
        <v>352</v>
      </c>
      <c r="Q692" s="15" t="s">
        <v>1089</v>
      </c>
      <c r="R692" s="16" t="s">
        <v>5215</v>
      </c>
      <c r="S692" s="15" t="s">
        <v>5216</v>
      </c>
      <c r="T692" s="15" t="s">
        <v>5216</v>
      </c>
      <c r="U692" s="21" t="s">
        <v>72</v>
      </c>
    </row>
    <row r="693" customFormat="false" ht="15" hidden="false" customHeight="false" outlineLevel="0" collapsed="false">
      <c r="A693" s="15" t="s">
        <v>850</v>
      </c>
      <c r="B693" s="15" t="s">
        <v>4971</v>
      </c>
      <c r="C693" s="14" t="s">
        <v>5217</v>
      </c>
      <c r="D693" s="14" t="s">
        <v>5218</v>
      </c>
      <c r="E693" s="16" t="s">
        <v>5219</v>
      </c>
      <c r="F693" s="16" t="s">
        <v>5220</v>
      </c>
      <c r="G693" s="23" t="s">
        <v>43</v>
      </c>
      <c r="H693" s="18" t="n">
        <v>4</v>
      </c>
      <c r="I693" s="20" t="n">
        <v>75.31</v>
      </c>
      <c r="J693" s="20" t="n">
        <v>156.74</v>
      </c>
      <c r="K693" s="18" t="n">
        <v>4</v>
      </c>
      <c r="L693" s="18" t="n">
        <v>5</v>
      </c>
      <c r="M693" s="18" t="n">
        <v>61</v>
      </c>
      <c r="N693" s="18" t="n">
        <v>31</v>
      </c>
      <c r="O693" s="14" t="s">
        <v>1097</v>
      </c>
      <c r="P693" s="14" t="s">
        <v>118</v>
      </c>
      <c r="Q693" s="15" t="s">
        <v>1089</v>
      </c>
      <c r="R693" s="16" t="s">
        <v>5221</v>
      </c>
      <c r="S693" s="15" t="s">
        <v>5222</v>
      </c>
      <c r="T693" s="15" t="s">
        <v>5223</v>
      </c>
      <c r="U693" s="21" t="s">
        <v>72</v>
      </c>
    </row>
    <row r="694" customFormat="false" ht="15" hidden="false" customHeight="false" outlineLevel="0" collapsed="false">
      <c r="A694" s="15" t="s">
        <v>850</v>
      </c>
      <c r="B694" s="15" t="s">
        <v>4971</v>
      </c>
      <c r="C694" s="14" t="s">
        <v>5224</v>
      </c>
      <c r="D694" s="14" t="s">
        <v>5225</v>
      </c>
      <c r="E694" s="16" t="s">
        <v>5226</v>
      </c>
      <c r="F694" s="16" t="s">
        <v>5227</v>
      </c>
      <c r="G694" s="23" t="s">
        <v>43</v>
      </c>
      <c r="H694" s="18" t="n">
        <v>3</v>
      </c>
      <c r="I694" s="20" t="n">
        <v>58.87</v>
      </c>
      <c r="J694" s="20" t="n">
        <v>91.2</v>
      </c>
      <c r="K694" s="18" t="n">
        <v>4</v>
      </c>
      <c r="L694" s="18" t="n">
        <v>4</v>
      </c>
      <c r="M694" s="18" t="n">
        <v>80</v>
      </c>
      <c r="N694" s="18" t="n">
        <v>40</v>
      </c>
      <c r="O694" s="14" t="s">
        <v>1097</v>
      </c>
      <c r="P694" s="14" t="s">
        <v>118</v>
      </c>
      <c r="Q694" s="15" t="s">
        <v>1089</v>
      </c>
      <c r="R694" s="16" t="s">
        <v>5228</v>
      </c>
      <c r="S694" s="15" t="s">
        <v>5229</v>
      </c>
      <c r="T694" s="15" t="s">
        <v>5229</v>
      </c>
      <c r="U694" s="21" t="s">
        <v>72</v>
      </c>
    </row>
    <row r="695" customFormat="false" ht="15" hidden="false" customHeight="false" outlineLevel="0" collapsed="false">
      <c r="A695" s="15" t="s">
        <v>850</v>
      </c>
      <c r="B695" s="15" t="s">
        <v>4971</v>
      </c>
      <c r="C695" s="14" t="s">
        <v>5230</v>
      </c>
      <c r="D695" s="14" t="s">
        <v>5231</v>
      </c>
      <c r="E695" s="16" t="s">
        <v>5232</v>
      </c>
      <c r="F695" s="16" t="s">
        <v>5233</v>
      </c>
      <c r="G695" s="23" t="s">
        <v>43</v>
      </c>
      <c r="H695" s="18" t="n">
        <v>2</v>
      </c>
      <c r="I695" s="20" t="n">
        <v>33.65</v>
      </c>
      <c r="J695" s="20" t="n">
        <v>70.81</v>
      </c>
      <c r="K695" s="18" t="n">
        <v>4</v>
      </c>
      <c r="L695" s="18" t="n">
        <v>10</v>
      </c>
      <c r="M695" s="18" t="n">
        <v>48</v>
      </c>
      <c r="N695" s="18" t="n">
        <v>36</v>
      </c>
      <c r="O695" s="14" t="s">
        <v>5234</v>
      </c>
      <c r="P695" s="14" t="s">
        <v>118</v>
      </c>
      <c r="Q695" s="15" t="s">
        <v>1089</v>
      </c>
      <c r="R695" s="16" t="s">
        <v>5235</v>
      </c>
      <c r="S695" s="15" t="s">
        <v>5236</v>
      </c>
      <c r="T695" s="15" t="s">
        <v>5236</v>
      </c>
      <c r="U695" s="21" t="s">
        <v>72</v>
      </c>
    </row>
    <row r="696" customFormat="false" ht="15" hidden="false" customHeight="false" outlineLevel="0" collapsed="false">
      <c r="A696" s="15" t="s">
        <v>850</v>
      </c>
      <c r="B696" s="15" t="s">
        <v>4971</v>
      </c>
      <c r="C696" s="14" t="s">
        <v>5237</v>
      </c>
      <c r="D696" s="14" t="s">
        <v>5238</v>
      </c>
      <c r="E696" s="16" t="s">
        <v>5239</v>
      </c>
      <c r="F696" s="16"/>
      <c r="G696" s="19" t="s">
        <v>41</v>
      </c>
      <c r="H696" s="18" t="n">
        <v>6</v>
      </c>
      <c r="I696" s="20" t="n">
        <v>129.653</v>
      </c>
      <c r="J696" s="20" t="n">
        <v>264.51</v>
      </c>
      <c r="K696" s="18" t="n">
        <v>4</v>
      </c>
      <c r="L696" s="18" t="n">
        <v>6</v>
      </c>
      <c r="M696" s="18" t="n">
        <v>114</v>
      </c>
      <c r="N696" s="18" t="n">
        <v>114</v>
      </c>
      <c r="O696" s="14" t="s">
        <v>5240</v>
      </c>
      <c r="P696" s="14" t="s">
        <v>118</v>
      </c>
      <c r="Q696" s="15" t="s">
        <v>1089</v>
      </c>
      <c r="R696" s="16" t="s">
        <v>5241</v>
      </c>
      <c r="S696" s="15" t="s">
        <v>5242</v>
      </c>
      <c r="T696" s="15" t="s">
        <v>5243</v>
      </c>
      <c r="U696" s="21" t="s">
        <v>72</v>
      </c>
    </row>
    <row r="697" customFormat="false" ht="15" hidden="false" customHeight="false" outlineLevel="0" collapsed="false">
      <c r="A697" s="15" t="s">
        <v>850</v>
      </c>
      <c r="B697" s="15" t="s">
        <v>4971</v>
      </c>
      <c r="C697" s="14" t="s">
        <v>5244</v>
      </c>
      <c r="D697" s="14" t="s">
        <v>5245</v>
      </c>
      <c r="E697" s="16" t="s">
        <v>5246</v>
      </c>
      <c r="F697" s="16"/>
      <c r="G697" s="23" t="s">
        <v>43</v>
      </c>
      <c r="H697" s="18" t="n">
        <v>2</v>
      </c>
      <c r="I697" s="20" t="n">
        <v>31.35</v>
      </c>
      <c r="J697" s="20" t="n">
        <v>90</v>
      </c>
      <c r="K697" s="18" t="n">
        <v>2</v>
      </c>
      <c r="L697" s="18" t="n">
        <v>1</v>
      </c>
      <c r="M697" s="18" t="n">
        <v>50</v>
      </c>
      <c r="N697" s="18" t="n">
        <v>50</v>
      </c>
      <c r="O697" s="14" t="s">
        <v>1097</v>
      </c>
      <c r="P697" s="14" t="s">
        <v>84</v>
      </c>
      <c r="Q697" s="15" t="s">
        <v>1089</v>
      </c>
      <c r="R697" s="16" t="s">
        <v>2068</v>
      </c>
      <c r="S697" s="15" t="s">
        <v>5247</v>
      </c>
      <c r="T697" s="15" t="s">
        <v>5247</v>
      </c>
      <c r="U697" s="21" t="s">
        <v>72</v>
      </c>
    </row>
    <row r="698" customFormat="false" ht="15" hidden="false" customHeight="false" outlineLevel="0" collapsed="false">
      <c r="A698" s="15" t="s">
        <v>850</v>
      </c>
      <c r="B698" s="15" t="s">
        <v>4971</v>
      </c>
      <c r="C698" s="14" t="s">
        <v>5248</v>
      </c>
      <c r="D698" s="14" t="s">
        <v>5249</v>
      </c>
      <c r="E698" s="16" t="s">
        <v>5250</v>
      </c>
      <c r="F698" s="16" t="s">
        <v>5251</v>
      </c>
      <c r="G698" s="23" t="s">
        <v>43</v>
      </c>
      <c r="H698" s="18" t="n">
        <v>1</v>
      </c>
      <c r="I698" s="20" t="n">
        <v>30</v>
      </c>
      <c r="J698" s="20" t="n">
        <v>133.78</v>
      </c>
      <c r="K698" s="18" t="n">
        <v>3</v>
      </c>
      <c r="L698" s="18" t="n">
        <v>3</v>
      </c>
      <c r="M698" s="18" t="n">
        <v>72</v>
      </c>
      <c r="N698" s="18" t="n">
        <v>24</v>
      </c>
      <c r="O698" s="14" t="s">
        <v>1126</v>
      </c>
      <c r="P698" s="14" t="s">
        <v>94</v>
      </c>
      <c r="Q698" s="15" t="s">
        <v>1089</v>
      </c>
      <c r="R698" s="16" t="s">
        <v>5252</v>
      </c>
      <c r="S698" s="15" t="s">
        <v>5253</v>
      </c>
      <c r="T698" s="15" t="s">
        <v>5254</v>
      </c>
      <c r="U698" s="21" t="s">
        <v>72</v>
      </c>
    </row>
    <row r="699" customFormat="false" ht="15" hidden="false" customHeight="false" outlineLevel="0" collapsed="false">
      <c r="A699" s="15" t="s">
        <v>850</v>
      </c>
      <c r="B699" s="15" t="s">
        <v>4971</v>
      </c>
      <c r="C699" s="14" t="s">
        <v>5255</v>
      </c>
      <c r="D699" s="14" t="s">
        <v>5256</v>
      </c>
      <c r="E699" s="16" t="s">
        <v>5257</v>
      </c>
      <c r="F699" s="16" t="s">
        <v>5258</v>
      </c>
      <c r="G699" s="23" t="s">
        <v>43</v>
      </c>
      <c r="H699" s="18" t="n">
        <v>3</v>
      </c>
      <c r="I699" s="20" t="n">
        <v>37.66</v>
      </c>
      <c r="J699" s="20" t="n">
        <v>86.5</v>
      </c>
      <c r="K699" s="18" t="n">
        <v>5</v>
      </c>
      <c r="L699" s="18" t="n">
        <v>5</v>
      </c>
      <c r="M699" s="18" t="n">
        <v>60</v>
      </c>
      <c r="N699" s="18" t="n">
        <v>24</v>
      </c>
      <c r="O699" s="14" t="s">
        <v>5259</v>
      </c>
      <c r="P699" s="14" t="s">
        <v>84</v>
      </c>
      <c r="Q699" s="15" t="s">
        <v>1089</v>
      </c>
      <c r="R699" s="16" t="s">
        <v>5260</v>
      </c>
      <c r="S699" s="15" t="s">
        <v>5261</v>
      </c>
      <c r="T699" s="15" t="s">
        <v>5261</v>
      </c>
      <c r="U699" s="21" t="s">
        <v>72</v>
      </c>
    </row>
    <row r="700" customFormat="false" ht="26.85" hidden="false" customHeight="false" outlineLevel="0" collapsed="false">
      <c r="A700" s="15" t="s">
        <v>850</v>
      </c>
      <c r="B700" s="15" t="s">
        <v>4971</v>
      </c>
      <c r="C700" s="14" t="s">
        <v>5262</v>
      </c>
      <c r="D700" s="14" t="s">
        <v>5263</v>
      </c>
      <c r="E700" s="16" t="s">
        <v>5264</v>
      </c>
      <c r="F700" s="16"/>
      <c r="G700" s="19" t="s">
        <v>41</v>
      </c>
      <c r="H700" s="18" t="n">
        <v>6</v>
      </c>
      <c r="I700" s="20" t="n">
        <v>233.93</v>
      </c>
      <c r="J700" s="20" t="n">
        <v>399.39</v>
      </c>
      <c r="K700" s="18" t="n">
        <v>12</v>
      </c>
      <c r="L700" s="18" t="n">
        <v>17</v>
      </c>
      <c r="M700" s="18" t="n">
        <v>492</v>
      </c>
      <c r="N700" s="18" t="n">
        <v>492</v>
      </c>
      <c r="O700" s="14" t="s">
        <v>1126</v>
      </c>
      <c r="P700" s="14" t="s">
        <v>84</v>
      </c>
      <c r="Q700" s="15" t="s">
        <v>1089</v>
      </c>
      <c r="R700" s="16" t="s">
        <v>5265</v>
      </c>
      <c r="S700" s="15" t="s">
        <v>5266</v>
      </c>
      <c r="T700" s="15" t="s">
        <v>5266</v>
      </c>
      <c r="U700" s="21" t="s">
        <v>72</v>
      </c>
    </row>
    <row r="701" customFormat="false" ht="26.85" hidden="false" customHeight="false" outlineLevel="0" collapsed="false">
      <c r="A701" s="15" t="s">
        <v>850</v>
      </c>
      <c r="B701" s="15" t="s">
        <v>4971</v>
      </c>
      <c r="C701" s="14" t="s">
        <v>5267</v>
      </c>
      <c r="D701" s="14" t="s">
        <v>5268</v>
      </c>
      <c r="E701" s="16" t="s">
        <v>5269</v>
      </c>
      <c r="F701" s="16" t="s">
        <v>5270</v>
      </c>
      <c r="G701" s="19" t="s">
        <v>41</v>
      </c>
      <c r="H701" s="18" t="n">
        <v>7</v>
      </c>
      <c r="I701" s="20" t="n">
        <v>122.34</v>
      </c>
      <c r="J701" s="20" t="n">
        <v>324.99</v>
      </c>
      <c r="K701" s="18" t="n">
        <v>8</v>
      </c>
      <c r="L701" s="18" t="n">
        <v>23</v>
      </c>
      <c r="M701" s="18" t="n">
        <v>240</v>
      </c>
      <c r="N701" s="18" t="n">
        <v>120</v>
      </c>
      <c r="O701" s="14" t="s">
        <v>4215</v>
      </c>
      <c r="P701" s="14" t="s">
        <v>118</v>
      </c>
      <c r="Q701" s="15" t="s">
        <v>1089</v>
      </c>
      <c r="R701" s="16" t="s">
        <v>5271</v>
      </c>
      <c r="S701" s="15" t="s">
        <v>4473</v>
      </c>
      <c r="T701" s="15" t="s">
        <v>4473</v>
      </c>
      <c r="U701" s="21" t="s">
        <v>72</v>
      </c>
    </row>
    <row r="702" customFormat="false" ht="15" hidden="false" customHeight="false" outlineLevel="0" collapsed="false">
      <c r="A702" s="15" t="s">
        <v>850</v>
      </c>
      <c r="B702" s="15" t="s">
        <v>4971</v>
      </c>
      <c r="C702" s="14" t="s">
        <v>5272</v>
      </c>
      <c r="D702" s="14" t="s">
        <v>5273</v>
      </c>
      <c r="E702" s="16" t="s">
        <v>5274</v>
      </c>
      <c r="F702" s="16"/>
      <c r="G702" s="23" t="s">
        <v>43</v>
      </c>
      <c r="H702" s="18" t="n">
        <v>2</v>
      </c>
      <c r="I702" s="20" t="n">
        <v>38</v>
      </c>
      <c r="J702" s="20" t="n">
        <v>103.77</v>
      </c>
      <c r="K702" s="18" t="n">
        <v>2</v>
      </c>
      <c r="L702" s="18" t="n">
        <v>2</v>
      </c>
      <c r="M702" s="18" t="n">
        <v>62</v>
      </c>
      <c r="N702" s="18" t="n">
        <v>62</v>
      </c>
      <c r="O702" s="14" t="s">
        <v>1126</v>
      </c>
      <c r="P702" s="14" t="s">
        <v>84</v>
      </c>
      <c r="Q702" s="15" t="s">
        <v>1089</v>
      </c>
      <c r="R702" s="16" t="s">
        <v>5275</v>
      </c>
      <c r="S702" s="15" t="s">
        <v>5276</v>
      </c>
      <c r="T702" s="15" t="s">
        <v>5277</v>
      </c>
      <c r="U702" s="21" t="s">
        <v>72</v>
      </c>
    </row>
    <row r="703" customFormat="false" ht="15" hidden="false" customHeight="false" outlineLevel="0" collapsed="false">
      <c r="A703" s="15" t="s">
        <v>850</v>
      </c>
      <c r="B703" s="15" t="s">
        <v>4971</v>
      </c>
      <c r="C703" s="14" t="s">
        <v>5278</v>
      </c>
      <c r="D703" s="14" t="s">
        <v>5279</v>
      </c>
      <c r="E703" s="16" t="s">
        <v>5280</v>
      </c>
      <c r="F703" s="16" t="s">
        <v>5281</v>
      </c>
      <c r="G703" s="23" t="s">
        <v>43</v>
      </c>
      <c r="H703" s="18" t="n">
        <v>3</v>
      </c>
      <c r="I703" s="20" t="n">
        <v>43.44</v>
      </c>
      <c r="J703" s="20" t="n">
        <v>85.37</v>
      </c>
      <c r="K703" s="18" t="n">
        <v>2</v>
      </c>
      <c r="L703" s="18" t="n">
        <v>1</v>
      </c>
      <c r="M703" s="18" t="n">
        <v>24</v>
      </c>
      <c r="N703" s="18" t="n">
        <v>24</v>
      </c>
      <c r="O703" s="14" t="s">
        <v>1126</v>
      </c>
      <c r="P703" s="14" t="s">
        <v>84</v>
      </c>
      <c r="Q703" s="15" t="s">
        <v>1089</v>
      </c>
      <c r="R703" s="16" t="s">
        <v>5282</v>
      </c>
      <c r="S703" s="15" t="s">
        <v>5283</v>
      </c>
      <c r="T703" s="15" t="s">
        <v>5283</v>
      </c>
      <c r="U703" s="21" t="s">
        <v>72</v>
      </c>
    </row>
    <row r="704" customFormat="false" ht="15" hidden="false" customHeight="false" outlineLevel="0" collapsed="false">
      <c r="A704" s="15" t="s">
        <v>850</v>
      </c>
      <c r="B704" s="15" t="s">
        <v>4971</v>
      </c>
      <c r="C704" s="14" t="s">
        <v>5284</v>
      </c>
      <c r="D704" s="14" t="s">
        <v>5285</v>
      </c>
      <c r="E704" s="16" t="s">
        <v>5286</v>
      </c>
      <c r="F704" s="16"/>
      <c r="G704" s="23" t="s">
        <v>43</v>
      </c>
      <c r="H704" s="18" t="n">
        <v>3</v>
      </c>
      <c r="I704" s="20" t="n">
        <v>56.54</v>
      </c>
      <c r="J704" s="20" t="n">
        <v>169.73</v>
      </c>
      <c r="K704" s="18" t="n">
        <v>4</v>
      </c>
      <c r="L704" s="18" t="n">
        <v>4</v>
      </c>
      <c r="M704" s="18" t="n">
        <v>60</v>
      </c>
      <c r="N704" s="18" t="n">
        <v>32</v>
      </c>
      <c r="O704" s="14" t="s">
        <v>4223</v>
      </c>
      <c r="P704" s="14" t="s">
        <v>118</v>
      </c>
      <c r="Q704" s="15" t="s">
        <v>1089</v>
      </c>
      <c r="R704" s="16" t="s">
        <v>5287</v>
      </c>
      <c r="S704" s="15" t="s">
        <v>5288</v>
      </c>
      <c r="T704" s="15" t="s">
        <v>5289</v>
      </c>
      <c r="U704" s="21" t="s">
        <v>72</v>
      </c>
    </row>
    <row r="705" customFormat="false" ht="15" hidden="false" customHeight="false" outlineLevel="0" collapsed="false">
      <c r="A705" s="15" t="s">
        <v>850</v>
      </c>
      <c r="B705" s="15" t="s">
        <v>4971</v>
      </c>
      <c r="C705" s="14" t="s">
        <v>5290</v>
      </c>
      <c r="D705" s="14" t="s">
        <v>5291</v>
      </c>
      <c r="E705" s="16" t="s">
        <v>5292</v>
      </c>
      <c r="F705" s="16"/>
      <c r="G705" s="23" t="s">
        <v>43</v>
      </c>
      <c r="H705" s="18" t="n">
        <v>3</v>
      </c>
      <c r="I705" s="20" t="n">
        <v>96.97</v>
      </c>
      <c r="J705" s="20" t="n">
        <v>138.33</v>
      </c>
      <c r="K705" s="18" t="n">
        <v>3</v>
      </c>
      <c r="L705" s="18" t="n">
        <v>4</v>
      </c>
      <c r="M705" s="18" t="n">
        <v>114</v>
      </c>
      <c r="N705" s="18" t="n">
        <v>38</v>
      </c>
      <c r="O705" s="14" t="s">
        <v>1097</v>
      </c>
      <c r="P705" s="14" t="s">
        <v>118</v>
      </c>
      <c r="Q705" s="15" t="s">
        <v>1089</v>
      </c>
      <c r="R705" s="16" t="s">
        <v>5293</v>
      </c>
      <c r="S705" s="15" t="s">
        <v>5294</v>
      </c>
      <c r="T705" s="15" t="s">
        <v>5294</v>
      </c>
      <c r="U705" s="21" t="s">
        <v>72</v>
      </c>
    </row>
    <row r="706" customFormat="false" ht="15" hidden="false" customHeight="false" outlineLevel="0" collapsed="false">
      <c r="A706" s="15" t="s">
        <v>850</v>
      </c>
      <c r="B706" s="15" t="s">
        <v>4971</v>
      </c>
      <c r="C706" s="14" t="s">
        <v>5295</v>
      </c>
      <c r="D706" s="14" t="s">
        <v>5296</v>
      </c>
      <c r="E706" s="16" t="s">
        <v>5297</v>
      </c>
      <c r="F706" s="16"/>
      <c r="G706" s="23" t="s">
        <v>43</v>
      </c>
      <c r="H706" s="18" t="n">
        <v>2</v>
      </c>
      <c r="I706" s="20" t="n">
        <v>52.8</v>
      </c>
      <c r="J706" s="20" t="n">
        <v>130.82</v>
      </c>
      <c r="K706" s="18" t="n">
        <v>2</v>
      </c>
      <c r="L706" s="18" t="n">
        <v>1</v>
      </c>
      <c r="M706" s="18" t="n">
        <v>43</v>
      </c>
      <c r="N706" s="18" t="n">
        <v>43</v>
      </c>
      <c r="O706" s="14" t="s">
        <v>1097</v>
      </c>
      <c r="P706" s="14" t="s">
        <v>84</v>
      </c>
      <c r="Q706" s="15" t="s">
        <v>1089</v>
      </c>
      <c r="R706" s="16" t="s">
        <v>5298</v>
      </c>
      <c r="S706" s="15" t="s">
        <v>5299</v>
      </c>
      <c r="T706" s="15" t="s">
        <v>5300</v>
      </c>
      <c r="U706" s="21" t="s">
        <v>72</v>
      </c>
    </row>
    <row r="707" customFormat="false" ht="15" hidden="false" customHeight="false" outlineLevel="0" collapsed="false">
      <c r="A707" s="15" t="s">
        <v>850</v>
      </c>
      <c r="B707" s="15" t="s">
        <v>4971</v>
      </c>
      <c r="C707" s="14" t="s">
        <v>5301</v>
      </c>
      <c r="D707" s="14" t="s">
        <v>5302</v>
      </c>
      <c r="E707" s="16" t="s">
        <v>5303</v>
      </c>
      <c r="F707" s="16" t="s">
        <v>5304</v>
      </c>
      <c r="G707" s="23" t="s">
        <v>43</v>
      </c>
      <c r="H707" s="18" t="n">
        <v>2</v>
      </c>
      <c r="I707" s="20" t="n">
        <v>73.78</v>
      </c>
      <c r="J707" s="20" t="n">
        <v>96.38</v>
      </c>
      <c r="K707" s="18" t="n">
        <v>4</v>
      </c>
      <c r="L707" s="18" t="n">
        <v>7</v>
      </c>
      <c r="M707" s="18" t="n">
        <v>124</v>
      </c>
      <c r="N707" s="18" t="n">
        <v>62</v>
      </c>
      <c r="O707" s="14" t="s">
        <v>5305</v>
      </c>
      <c r="P707" s="14" t="s">
        <v>118</v>
      </c>
      <c r="Q707" s="15" t="s">
        <v>1089</v>
      </c>
      <c r="R707" s="16" t="s">
        <v>5306</v>
      </c>
      <c r="S707" s="15" t="s">
        <v>5307</v>
      </c>
      <c r="T707" s="15" t="s">
        <v>5308</v>
      </c>
      <c r="U707" s="21" t="s">
        <v>72</v>
      </c>
    </row>
    <row r="708" customFormat="false" ht="15" hidden="false" customHeight="false" outlineLevel="0" collapsed="false">
      <c r="A708" s="15" t="s">
        <v>850</v>
      </c>
      <c r="B708" s="15" t="s">
        <v>4971</v>
      </c>
      <c r="C708" s="14" t="s">
        <v>5309</v>
      </c>
      <c r="D708" s="14" t="s">
        <v>5310</v>
      </c>
      <c r="E708" s="16" t="s">
        <v>5311</v>
      </c>
      <c r="F708" s="16" t="s">
        <v>5312</v>
      </c>
      <c r="G708" s="23" t="s">
        <v>43</v>
      </c>
      <c r="H708" s="18" t="n">
        <v>3</v>
      </c>
      <c r="I708" s="20" t="n">
        <v>80.72</v>
      </c>
      <c r="J708" s="20" t="n">
        <v>141.37</v>
      </c>
      <c r="K708" s="18" t="n">
        <v>3</v>
      </c>
      <c r="L708" s="18" t="n">
        <v>4</v>
      </c>
      <c r="M708" s="18" t="n">
        <v>62</v>
      </c>
      <c r="N708" s="18" t="n">
        <v>62</v>
      </c>
      <c r="O708" s="14" t="s">
        <v>5313</v>
      </c>
      <c r="P708" s="14" t="s">
        <v>118</v>
      </c>
      <c r="Q708" s="15" t="s">
        <v>1089</v>
      </c>
      <c r="R708" s="16" t="s">
        <v>5314</v>
      </c>
      <c r="S708" s="15" t="s">
        <v>5315</v>
      </c>
      <c r="T708" s="15" t="s">
        <v>5315</v>
      </c>
      <c r="U708" s="21" t="s">
        <v>72</v>
      </c>
    </row>
    <row r="709" customFormat="false" ht="15" hidden="false" customHeight="false" outlineLevel="0" collapsed="false">
      <c r="A709" s="15" t="s">
        <v>850</v>
      </c>
      <c r="B709" s="15" t="s">
        <v>4971</v>
      </c>
      <c r="C709" s="14" t="s">
        <v>5316</v>
      </c>
      <c r="D709" s="14" t="s">
        <v>5317</v>
      </c>
      <c r="E709" s="16" t="s">
        <v>5318</v>
      </c>
      <c r="F709" s="16"/>
      <c r="G709" s="25" t="s">
        <v>39</v>
      </c>
      <c r="H709" s="18" t="n">
        <v>8</v>
      </c>
      <c r="I709" s="20" t="n">
        <v>138.63</v>
      </c>
      <c r="J709" s="20" t="n">
        <v>251.06</v>
      </c>
      <c r="K709" s="18" t="n">
        <v>2</v>
      </c>
      <c r="L709" s="18" t="n">
        <v>2</v>
      </c>
      <c r="M709" s="18" t="n">
        <v>42</v>
      </c>
      <c r="N709" s="18" t="n">
        <v>42</v>
      </c>
      <c r="O709" s="14" t="s">
        <v>5319</v>
      </c>
      <c r="P709" s="14" t="s">
        <v>118</v>
      </c>
      <c r="Q709" s="15" t="s">
        <v>1089</v>
      </c>
      <c r="R709" s="16" t="s">
        <v>5320</v>
      </c>
      <c r="S709" s="15" t="s">
        <v>5321</v>
      </c>
      <c r="T709" s="15" t="s">
        <v>5321</v>
      </c>
      <c r="U709" s="21" t="s">
        <v>72</v>
      </c>
    </row>
    <row r="710" customFormat="false" ht="26.85" hidden="false" customHeight="false" outlineLevel="0" collapsed="false">
      <c r="A710" s="15" t="s">
        <v>850</v>
      </c>
      <c r="B710" s="15" t="s">
        <v>4971</v>
      </c>
      <c r="C710" s="14" t="s">
        <v>5322</v>
      </c>
      <c r="D710" s="14" t="s">
        <v>5323</v>
      </c>
      <c r="E710" s="16" t="s">
        <v>5324</v>
      </c>
      <c r="F710" s="16" t="s">
        <v>5325</v>
      </c>
      <c r="G710" s="25" t="s">
        <v>39</v>
      </c>
      <c r="H710" s="18" t="n">
        <v>7</v>
      </c>
      <c r="I710" s="20" t="n">
        <v>385.27</v>
      </c>
      <c r="J710" s="20" t="n">
        <v>650.5</v>
      </c>
      <c r="K710" s="18" t="n">
        <v>9</v>
      </c>
      <c r="L710" s="18" t="n">
        <v>26</v>
      </c>
      <c r="M710" s="18" t="n">
        <v>555</v>
      </c>
      <c r="N710" s="18" t="n">
        <v>555</v>
      </c>
      <c r="O710" s="14" t="s">
        <v>5326</v>
      </c>
      <c r="P710" s="14" t="s">
        <v>118</v>
      </c>
      <c r="Q710" s="15" t="s">
        <v>1089</v>
      </c>
      <c r="R710" s="16" t="s">
        <v>5327</v>
      </c>
      <c r="S710" s="15" t="s">
        <v>5328</v>
      </c>
      <c r="T710" s="15" t="s">
        <v>5329</v>
      </c>
      <c r="U710" s="21" t="s">
        <v>72</v>
      </c>
    </row>
    <row r="711" customFormat="false" ht="39.55" hidden="false" customHeight="false" outlineLevel="0" collapsed="false">
      <c r="A711" s="15" t="s">
        <v>850</v>
      </c>
      <c r="B711" s="15" t="s">
        <v>4971</v>
      </c>
      <c r="C711" s="14" t="s">
        <v>5330</v>
      </c>
      <c r="D711" s="14" t="s">
        <v>5331</v>
      </c>
      <c r="E711" s="16" t="s">
        <v>5332</v>
      </c>
      <c r="F711" s="16" t="s">
        <v>5333</v>
      </c>
      <c r="G711" s="19" t="s">
        <v>41</v>
      </c>
      <c r="H711" s="18" t="n">
        <v>7</v>
      </c>
      <c r="I711" s="20" t="n">
        <v>112.61</v>
      </c>
      <c r="J711" s="20" t="n">
        <v>225.67</v>
      </c>
      <c r="K711" s="18" t="n">
        <v>6</v>
      </c>
      <c r="L711" s="18" t="n">
        <v>13</v>
      </c>
      <c r="M711" s="18" t="n">
        <v>108</v>
      </c>
      <c r="N711" s="18" t="n">
        <v>72</v>
      </c>
      <c r="O711" s="14" t="s">
        <v>4751</v>
      </c>
      <c r="P711" s="14" t="s">
        <v>952</v>
      </c>
      <c r="Q711" s="15" t="s">
        <v>1089</v>
      </c>
      <c r="R711" s="16" t="s">
        <v>5334</v>
      </c>
      <c r="S711" s="15" t="s">
        <v>5335</v>
      </c>
      <c r="T711" s="15" t="s">
        <v>5335</v>
      </c>
      <c r="U711" s="21" t="s">
        <v>72</v>
      </c>
    </row>
    <row r="712" customFormat="false" ht="15" hidden="false" customHeight="false" outlineLevel="0" collapsed="false">
      <c r="A712" s="15" t="s">
        <v>850</v>
      </c>
      <c r="B712" s="15" t="s">
        <v>5336</v>
      </c>
      <c r="C712" s="14" t="s">
        <v>5337</v>
      </c>
      <c r="D712" s="14" t="s">
        <v>5338</v>
      </c>
      <c r="E712" s="16" t="s">
        <v>5339</v>
      </c>
      <c r="F712" s="16" t="s">
        <v>5340</v>
      </c>
      <c r="G712" s="23" t="s">
        <v>43</v>
      </c>
      <c r="H712" s="18" t="n">
        <v>2</v>
      </c>
      <c r="I712" s="20" t="n">
        <v>49.79</v>
      </c>
      <c r="J712" s="20" t="n">
        <v>158.62</v>
      </c>
      <c r="K712" s="18" t="n">
        <v>2</v>
      </c>
      <c r="L712" s="18"/>
      <c r="M712" s="18" t="n">
        <v>56</v>
      </c>
      <c r="N712" s="18" t="n">
        <v>56</v>
      </c>
      <c r="O712" s="14" t="s">
        <v>4343</v>
      </c>
      <c r="P712" s="14" t="s">
        <v>84</v>
      </c>
      <c r="Q712" s="15" t="s">
        <v>1089</v>
      </c>
      <c r="R712" s="16" t="s">
        <v>5341</v>
      </c>
      <c r="S712" s="15" t="s">
        <v>5342</v>
      </c>
      <c r="T712" s="15" t="s">
        <v>5342</v>
      </c>
      <c r="U712" s="21" t="s">
        <v>72</v>
      </c>
    </row>
    <row r="713" customFormat="false" ht="15" hidden="false" customHeight="false" outlineLevel="0" collapsed="false">
      <c r="A713" s="15" t="s">
        <v>850</v>
      </c>
      <c r="B713" s="15" t="s">
        <v>5336</v>
      </c>
      <c r="C713" s="14" t="s">
        <v>5343</v>
      </c>
      <c r="D713" s="14" t="s">
        <v>5344</v>
      </c>
      <c r="E713" s="16" t="s">
        <v>5345</v>
      </c>
      <c r="F713" s="16" t="s">
        <v>5346</v>
      </c>
      <c r="G713" s="23" t="s">
        <v>43</v>
      </c>
      <c r="H713" s="18" t="n">
        <v>2</v>
      </c>
      <c r="I713" s="20" t="n">
        <v>100.25</v>
      </c>
      <c r="J713" s="20" t="n">
        <v>184.73</v>
      </c>
      <c r="K713" s="18" t="n">
        <v>4</v>
      </c>
      <c r="L713" s="18" t="n">
        <v>3</v>
      </c>
      <c r="M713" s="18" t="n">
        <v>56</v>
      </c>
      <c r="N713" s="18" t="n">
        <v>28</v>
      </c>
      <c r="O713" s="14" t="s">
        <v>4983</v>
      </c>
      <c r="P713" s="14" t="s">
        <v>118</v>
      </c>
      <c r="Q713" s="15" t="s">
        <v>1089</v>
      </c>
      <c r="R713" s="16" t="s">
        <v>5347</v>
      </c>
      <c r="S713" s="15" t="s">
        <v>5348</v>
      </c>
      <c r="T713" s="15" t="s">
        <v>5348</v>
      </c>
      <c r="U713" s="21" t="s">
        <v>72</v>
      </c>
    </row>
    <row r="714" customFormat="false" ht="26.85" hidden="false" customHeight="false" outlineLevel="0" collapsed="false">
      <c r="A714" s="15" t="s">
        <v>850</v>
      </c>
      <c r="B714" s="15" t="s">
        <v>5336</v>
      </c>
      <c r="C714" s="14" t="s">
        <v>5349</v>
      </c>
      <c r="D714" s="14" t="s">
        <v>5350</v>
      </c>
      <c r="E714" s="16" t="s">
        <v>5351</v>
      </c>
      <c r="F714" s="16" t="s">
        <v>5352</v>
      </c>
      <c r="G714" s="19" t="s">
        <v>41</v>
      </c>
      <c r="H714" s="18" t="n">
        <v>4</v>
      </c>
      <c r="I714" s="20" t="n">
        <v>101.05</v>
      </c>
      <c r="J714" s="20" t="n">
        <v>245.02</v>
      </c>
      <c r="K714" s="18" t="n">
        <v>10</v>
      </c>
      <c r="L714" s="18" t="n">
        <v>7</v>
      </c>
      <c r="M714" s="18" t="n">
        <v>228</v>
      </c>
      <c r="N714" s="18" t="n">
        <v>192</v>
      </c>
      <c r="O714" s="14" t="s">
        <v>4446</v>
      </c>
      <c r="P714" s="14" t="s">
        <v>84</v>
      </c>
      <c r="Q714" s="15" t="s">
        <v>1089</v>
      </c>
      <c r="R714" s="16" t="s">
        <v>5353</v>
      </c>
      <c r="S714" s="15" t="s">
        <v>1091</v>
      </c>
      <c r="T714" s="15" t="s">
        <v>5354</v>
      </c>
      <c r="U714" s="21" t="s">
        <v>72</v>
      </c>
    </row>
    <row r="715" customFormat="false" ht="15" hidden="false" customHeight="false" outlineLevel="0" collapsed="false">
      <c r="A715" s="15" t="s">
        <v>850</v>
      </c>
      <c r="B715" s="15" t="s">
        <v>5336</v>
      </c>
      <c r="C715" s="14" t="s">
        <v>5355</v>
      </c>
      <c r="D715" s="14" t="s">
        <v>5356</v>
      </c>
      <c r="E715" s="16" t="s">
        <v>5357</v>
      </c>
      <c r="F715" s="16"/>
      <c r="G715" s="23" t="s">
        <v>43</v>
      </c>
      <c r="H715" s="18" t="n">
        <v>3</v>
      </c>
      <c r="I715" s="20" t="n">
        <v>49.66</v>
      </c>
      <c r="J715" s="20" t="n">
        <v>154.7</v>
      </c>
      <c r="K715" s="18" t="n">
        <v>2</v>
      </c>
      <c r="L715" s="18" t="n">
        <v>5</v>
      </c>
      <c r="M715" s="18" t="n">
        <v>20</v>
      </c>
      <c r="N715" s="18" t="n">
        <v>20</v>
      </c>
      <c r="O715" s="14" t="s">
        <v>4223</v>
      </c>
      <c r="P715" s="14" t="s">
        <v>84</v>
      </c>
      <c r="Q715" s="15" t="s">
        <v>1089</v>
      </c>
      <c r="R715" s="16" t="s">
        <v>5358</v>
      </c>
      <c r="S715" s="15" t="s">
        <v>5359</v>
      </c>
      <c r="T715" s="15" t="s">
        <v>5360</v>
      </c>
      <c r="U715" s="21" t="s">
        <v>72</v>
      </c>
    </row>
    <row r="716" customFormat="false" ht="15" hidden="false" customHeight="false" outlineLevel="0" collapsed="false">
      <c r="A716" s="15" t="s">
        <v>850</v>
      </c>
      <c r="B716" s="15" t="s">
        <v>5336</v>
      </c>
      <c r="C716" s="14" t="s">
        <v>5361</v>
      </c>
      <c r="D716" s="14" t="s">
        <v>5362</v>
      </c>
      <c r="E716" s="16" t="s">
        <v>5363</v>
      </c>
      <c r="F716" s="16"/>
      <c r="G716" s="23" t="s">
        <v>43</v>
      </c>
      <c r="H716" s="18" t="n">
        <v>2</v>
      </c>
      <c r="I716" s="20" t="n">
        <v>45.96</v>
      </c>
      <c r="J716" s="20" t="n">
        <v>161.21</v>
      </c>
      <c r="K716" s="18" t="n">
        <v>2</v>
      </c>
      <c r="L716" s="18" t="n">
        <v>2</v>
      </c>
      <c r="M716" s="18" t="n">
        <v>38</v>
      </c>
      <c r="N716" s="18" t="n">
        <v>19</v>
      </c>
      <c r="O716" s="14" t="s">
        <v>4343</v>
      </c>
      <c r="P716" s="14" t="s">
        <v>118</v>
      </c>
      <c r="Q716" s="15" t="s">
        <v>1089</v>
      </c>
      <c r="R716" s="16" t="s">
        <v>5364</v>
      </c>
      <c r="S716" s="15" t="s">
        <v>5365</v>
      </c>
      <c r="T716" s="15" t="s">
        <v>5365</v>
      </c>
      <c r="U716" s="21" t="s">
        <v>72</v>
      </c>
    </row>
    <row r="717" customFormat="false" ht="26.85" hidden="false" customHeight="false" outlineLevel="0" collapsed="false">
      <c r="A717" s="15" t="s">
        <v>850</v>
      </c>
      <c r="B717" s="15" t="s">
        <v>5336</v>
      </c>
      <c r="C717" s="14" t="s">
        <v>5366</v>
      </c>
      <c r="D717" s="14" t="s">
        <v>5367</v>
      </c>
      <c r="E717" s="16" t="s">
        <v>5368</v>
      </c>
      <c r="F717" s="16"/>
      <c r="G717" s="23" t="s">
        <v>43</v>
      </c>
      <c r="H717" s="18" t="n">
        <v>2</v>
      </c>
      <c r="I717" s="20" t="n">
        <v>53.45</v>
      </c>
      <c r="J717" s="20" t="n">
        <v>76.22</v>
      </c>
      <c r="K717" s="18" t="n">
        <v>10</v>
      </c>
      <c r="L717" s="18" t="n">
        <v>1</v>
      </c>
      <c r="M717" s="18" t="n">
        <v>180</v>
      </c>
      <c r="N717" s="18" t="n">
        <v>42</v>
      </c>
      <c r="O717" s="14" t="s">
        <v>4215</v>
      </c>
      <c r="P717" s="14" t="s">
        <v>906</v>
      </c>
      <c r="Q717" s="15" t="s">
        <v>1089</v>
      </c>
      <c r="R717" s="16" t="s">
        <v>5369</v>
      </c>
      <c r="S717" s="15" t="s">
        <v>5370</v>
      </c>
      <c r="T717" s="15" t="s">
        <v>5371</v>
      </c>
      <c r="U717" s="21" t="s">
        <v>72</v>
      </c>
    </row>
    <row r="718" customFormat="false" ht="26.85" hidden="false" customHeight="false" outlineLevel="0" collapsed="false">
      <c r="A718" s="15" t="s">
        <v>850</v>
      </c>
      <c r="B718" s="15" t="s">
        <v>5336</v>
      </c>
      <c r="C718" s="14" t="s">
        <v>5372</v>
      </c>
      <c r="D718" s="14" t="s">
        <v>5373</v>
      </c>
      <c r="E718" s="16" t="s">
        <v>5374</v>
      </c>
      <c r="F718" s="16" t="s">
        <v>5375</v>
      </c>
      <c r="G718" s="19" t="s">
        <v>41</v>
      </c>
      <c r="H718" s="18" t="n">
        <v>5</v>
      </c>
      <c r="I718" s="20" t="n">
        <v>77.72</v>
      </c>
      <c r="J718" s="20" t="n">
        <v>238.52</v>
      </c>
      <c r="K718" s="18" t="n">
        <v>5</v>
      </c>
      <c r="L718" s="18" t="n">
        <v>8</v>
      </c>
      <c r="M718" s="18" t="n">
        <v>72</v>
      </c>
      <c r="N718" s="18" t="n">
        <v>72</v>
      </c>
      <c r="O718" s="14" t="s">
        <v>5376</v>
      </c>
      <c r="P718" s="14" t="s">
        <v>118</v>
      </c>
      <c r="Q718" s="15" t="s">
        <v>1089</v>
      </c>
      <c r="R718" s="16" t="s">
        <v>5377</v>
      </c>
      <c r="S718" s="15" t="s">
        <v>5378</v>
      </c>
      <c r="T718" s="15" t="s">
        <v>5378</v>
      </c>
      <c r="U718" s="21" t="s">
        <v>72</v>
      </c>
    </row>
    <row r="719" customFormat="false" ht="26.85" hidden="false" customHeight="false" outlineLevel="0" collapsed="false">
      <c r="A719" s="15" t="s">
        <v>850</v>
      </c>
      <c r="B719" s="15" t="s">
        <v>5336</v>
      </c>
      <c r="C719" s="14" t="s">
        <v>5379</v>
      </c>
      <c r="D719" s="14" t="s">
        <v>5380</v>
      </c>
      <c r="E719" s="16" t="s">
        <v>5381</v>
      </c>
      <c r="F719" s="16" t="s">
        <v>5382</v>
      </c>
      <c r="G719" s="23" t="s">
        <v>43</v>
      </c>
      <c r="H719" s="18" t="n">
        <v>1</v>
      </c>
      <c r="I719" s="20" t="n">
        <v>44.54</v>
      </c>
      <c r="J719" s="20" t="n">
        <v>86.92</v>
      </c>
      <c r="K719" s="18" t="n">
        <v>4</v>
      </c>
      <c r="L719" s="18" t="n">
        <v>2</v>
      </c>
      <c r="M719" s="18" t="n">
        <v>148</v>
      </c>
      <c r="N719" s="18" t="n">
        <v>148</v>
      </c>
      <c r="O719" s="14" t="s">
        <v>5383</v>
      </c>
      <c r="P719" s="14" t="s">
        <v>118</v>
      </c>
      <c r="Q719" s="15" t="s">
        <v>1089</v>
      </c>
      <c r="R719" s="16" t="s">
        <v>5384</v>
      </c>
      <c r="S719" s="15" t="s">
        <v>5385</v>
      </c>
      <c r="T719" s="15" t="s">
        <v>5385</v>
      </c>
      <c r="U719" s="21" t="s">
        <v>72</v>
      </c>
    </row>
    <row r="720" customFormat="false" ht="15" hidden="false" customHeight="false" outlineLevel="0" collapsed="false">
      <c r="A720" s="15" t="s">
        <v>850</v>
      </c>
      <c r="B720" s="15" t="s">
        <v>5336</v>
      </c>
      <c r="C720" s="14" t="s">
        <v>5386</v>
      </c>
      <c r="D720" s="14" t="s">
        <v>5387</v>
      </c>
      <c r="E720" s="16" t="s">
        <v>5388</v>
      </c>
      <c r="F720" s="16" t="s">
        <v>5389</v>
      </c>
      <c r="G720" s="19" t="s">
        <v>41</v>
      </c>
      <c r="H720" s="18" t="n">
        <v>2</v>
      </c>
      <c r="I720" s="20" t="n">
        <v>30</v>
      </c>
      <c r="J720" s="20" t="n">
        <v>231.09</v>
      </c>
      <c r="K720" s="18" t="n">
        <v>4</v>
      </c>
      <c r="L720" s="18" t="n">
        <v>8</v>
      </c>
      <c r="M720" s="18" t="n">
        <v>72</v>
      </c>
      <c r="N720" s="18" t="n">
        <v>72</v>
      </c>
      <c r="O720" s="14" t="s">
        <v>5390</v>
      </c>
      <c r="P720" s="14" t="s">
        <v>94</v>
      </c>
      <c r="Q720" s="15" t="s">
        <v>1089</v>
      </c>
      <c r="R720" s="16" t="s">
        <v>5391</v>
      </c>
      <c r="S720" s="15" t="s">
        <v>5392</v>
      </c>
      <c r="T720" s="15" t="s">
        <v>5393</v>
      </c>
      <c r="U720" s="21" t="s">
        <v>72</v>
      </c>
    </row>
    <row r="721" customFormat="false" ht="26.85" hidden="false" customHeight="false" outlineLevel="0" collapsed="false">
      <c r="A721" s="15" t="s">
        <v>850</v>
      </c>
      <c r="B721" s="15" t="s">
        <v>5336</v>
      </c>
      <c r="C721" s="14" t="s">
        <v>5394</v>
      </c>
      <c r="D721" s="14" t="s">
        <v>5395</v>
      </c>
      <c r="E721" s="16" t="s">
        <v>5396</v>
      </c>
      <c r="F721" s="16" t="s">
        <v>5397</v>
      </c>
      <c r="G721" s="23" t="s">
        <v>43</v>
      </c>
      <c r="H721" s="18" t="n">
        <v>2</v>
      </c>
      <c r="I721" s="20" t="n">
        <v>41.36</v>
      </c>
      <c r="J721" s="20" t="n">
        <v>79.1</v>
      </c>
      <c r="K721" s="18" t="n">
        <v>4</v>
      </c>
      <c r="L721" s="18" t="n">
        <v>1</v>
      </c>
      <c r="M721" s="18" t="n">
        <v>82</v>
      </c>
      <c r="N721" s="18" t="n">
        <v>82</v>
      </c>
      <c r="O721" s="14" t="s">
        <v>5398</v>
      </c>
      <c r="P721" s="14" t="s">
        <v>118</v>
      </c>
      <c r="Q721" s="15" t="s">
        <v>1089</v>
      </c>
      <c r="R721" s="16" t="s">
        <v>5399</v>
      </c>
      <c r="S721" s="15" t="s">
        <v>5400</v>
      </c>
      <c r="T721" s="15" t="s">
        <v>5400</v>
      </c>
      <c r="U721" s="21" t="s">
        <v>72</v>
      </c>
    </row>
    <row r="722" customFormat="false" ht="15" hidden="false" customHeight="false" outlineLevel="0" collapsed="false">
      <c r="A722" s="15" t="s">
        <v>850</v>
      </c>
      <c r="B722" s="15" t="s">
        <v>5336</v>
      </c>
      <c r="C722" s="14" t="s">
        <v>5401</v>
      </c>
      <c r="D722" s="14" t="s">
        <v>5402</v>
      </c>
      <c r="E722" s="16" t="s">
        <v>5403</v>
      </c>
      <c r="F722" s="16"/>
      <c r="G722" s="19" t="s">
        <v>41</v>
      </c>
      <c r="H722" s="18" t="n">
        <v>3</v>
      </c>
      <c r="I722" s="20" t="n">
        <v>54.39</v>
      </c>
      <c r="J722" s="20" t="n">
        <v>396.86</v>
      </c>
      <c r="K722" s="18" t="n">
        <v>3</v>
      </c>
      <c r="L722" s="18" t="n">
        <v>3</v>
      </c>
      <c r="M722" s="18" t="n">
        <v>44</v>
      </c>
      <c r="N722" s="18" t="n">
        <v>28</v>
      </c>
      <c r="O722" s="14" t="s">
        <v>4223</v>
      </c>
      <c r="P722" s="14" t="s">
        <v>118</v>
      </c>
      <c r="Q722" s="15" t="s">
        <v>1089</v>
      </c>
      <c r="R722" s="16" t="s">
        <v>5404</v>
      </c>
      <c r="S722" s="15" t="s">
        <v>5405</v>
      </c>
      <c r="T722" s="15" t="s">
        <v>5405</v>
      </c>
      <c r="U722" s="21" t="s">
        <v>72</v>
      </c>
    </row>
    <row r="723" customFormat="false" ht="26.85" hidden="false" customHeight="false" outlineLevel="0" collapsed="false">
      <c r="A723" s="15" t="s">
        <v>850</v>
      </c>
      <c r="B723" s="15" t="s">
        <v>5336</v>
      </c>
      <c r="C723" s="14" t="s">
        <v>5406</v>
      </c>
      <c r="D723" s="14" t="s">
        <v>5407</v>
      </c>
      <c r="E723" s="16" t="s">
        <v>5408</v>
      </c>
      <c r="F723" s="16" t="s">
        <v>5409</v>
      </c>
      <c r="G723" s="19" t="s">
        <v>41</v>
      </c>
      <c r="H723" s="18" t="n">
        <v>4</v>
      </c>
      <c r="I723" s="20" t="n">
        <v>164.46</v>
      </c>
      <c r="J723" s="20" t="n">
        <v>284.97</v>
      </c>
      <c r="K723" s="18" t="n">
        <v>2</v>
      </c>
      <c r="L723" s="18" t="n">
        <v>8</v>
      </c>
      <c r="M723" s="18" t="n">
        <v>120</v>
      </c>
      <c r="N723" s="18" t="n">
        <v>60</v>
      </c>
      <c r="O723" s="14" t="s">
        <v>4546</v>
      </c>
      <c r="P723" s="14" t="s">
        <v>84</v>
      </c>
      <c r="Q723" s="15" t="s">
        <v>1089</v>
      </c>
      <c r="R723" s="16" t="s">
        <v>5410</v>
      </c>
      <c r="S723" s="15" t="s">
        <v>5411</v>
      </c>
      <c r="T723" s="15" t="s">
        <v>5412</v>
      </c>
      <c r="U723" s="21" t="s">
        <v>72</v>
      </c>
    </row>
    <row r="724" customFormat="false" ht="15" hidden="false" customHeight="false" outlineLevel="0" collapsed="false">
      <c r="A724" s="15" t="s">
        <v>850</v>
      </c>
      <c r="B724" s="15" t="s">
        <v>5336</v>
      </c>
      <c r="C724" s="14" t="s">
        <v>5413</v>
      </c>
      <c r="D724" s="14" t="s">
        <v>5414</v>
      </c>
      <c r="E724" s="16" t="s">
        <v>5408</v>
      </c>
      <c r="F724" s="16" t="s">
        <v>5415</v>
      </c>
      <c r="G724" s="23" t="s">
        <v>43</v>
      </c>
      <c r="H724" s="18" t="n">
        <v>3</v>
      </c>
      <c r="I724" s="20" t="n">
        <v>118</v>
      </c>
      <c r="J724" s="20" t="n">
        <v>118.67</v>
      </c>
      <c r="K724" s="18" t="n">
        <v>4</v>
      </c>
      <c r="L724" s="18" t="n">
        <v>7</v>
      </c>
      <c r="M724" s="18" t="n">
        <v>80</v>
      </c>
      <c r="N724" s="18" t="n">
        <v>40</v>
      </c>
      <c r="O724" s="14" t="s">
        <v>5416</v>
      </c>
      <c r="P724" s="14" t="s">
        <v>118</v>
      </c>
      <c r="Q724" s="15" t="s">
        <v>1089</v>
      </c>
      <c r="R724" s="16" t="s">
        <v>5417</v>
      </c>
      <c r="S724" s="15" t="s">
        <v>5418</v>
      </c>
      <c r="T724" s="15" t="s">
        <v>5418</v>
      </c>
      <c r="U724" s="21" t="s">
        <v>72</v>
      </c>
    </row>
    <row r="725" customFormat="false" ht="15" hidden="false" customHeight="false" outlineLevel="0" collapsed="false">
      <c r="A725" s="15" t="s">
        <v>850</v>
      </c>
      <c r="B725" s="15" t="s">
        <v>5336</v>
      </c>
      <c r="C725" s="14" t="s">
        <v>5419</v>
      </c>
      <c r="D725" s="14" t="s">
        <v>5420</v>
      </c>
      <c r="E725" s="16" t="s">
        <v>5421</v>
      </c>
      <c r="F725" s="16" t="s">
        <v>5422</v>
      </c>
      <c r="G725" s="23" t="s">
        <v>43</v>
      </c>
      <c r="H725" s="18" t="n">
        <v>3</v>
      </c>
      <c r="I725" s="20" t="n">
        <v>56</v>
      </c>
      <c r="J725" s="20" t="n">
        <v>127.99</v>
      </c>
      <c r="K725" s="18" t="n">
        <v>6</v>
      </c>
      <c r="L725" s="18" t="n">
        <v>1</v>
      </c>
      <c r="M725" s="18" t="n">
        <v>123</v>
      </c>
      <c r="N725" s="18" t="n">
        <v>90</v>
      </c>
      <c r="O725" s="14" t="s">
        <v>4215</v>
      </c>
      <c r="P725" s="14" t="s">
        <v>84</v>
      </c>
      <c r="Q725" s="15" t="s">
        <v>1089</v>
      </c>
      <c r="R725" s="16" t="s">
        <v>855</v>
      </c>
      <c r="S725" s="15" t="s">
        <v>5423</v>
      </c>
      <c r="T725" s="15" t="s">
        <v>5424</v>
      </c>
      <c r="U725" s="21" t="s">
        <v>72</v>
      </c>
    </row>
    <row r="726" customFormat="false" ht="15" hidden="false" customHeight="false" outlineLevel="0" collapsed="false">
      <c r="A726" s="15" t="s">
        <v>850</v>
      </c>
      <c r="B726" s="15" t="s">
        <v>5336</v>
      </c>
      <c r="C726" s="14" t="s">
        <v>5425</v>
      </c>
      <c r="D726" s="14" t="s">
        <v>5426</v>
      </c>
      <c r="E726" s="16" t="s">
        <v>5427</v>
      </c>
      <c r="F726" s="16"/>
      <c r="G726" s="23" t="s">
        <v>43</v>
      </c>
      <c r="H726" s="18" t="n">
        <v>3</v>
      </c>
      <c r="I726" s="20" t="n">
        <v>54.12</v>
      </c>
      <c r="J726" s="20" t="n">
        <v>96.49</v>
      </c>
      <c r="K726" s="18" t="n">
        <v>5</v>
      </c>
      <c r="L726" s="18" t="n">
        <v>2</v>
      </c>
      <c r="M726" s="18" t="n">
        <v>75</v>
      </c>
      <c r="N726" s="18" t="n">
        <v>75</v>
      </c>
      <c r="O726" s="14" t="s">
        <v>5428</v>
      </c>
      <c r="P726" s="14" t="s">
        <v>118</v>
      </c>
      <c r="Q726" s="15" t="s">
        <v>1089</v>
      </c>
      <c r="R726" s="16" t="s">
        <v>5429</v>
      </c>
      <c r="S726" s="15" t="s">
        <v>5430</v>
      </c>
      <c r="T726" s="15" t="s">
        <v>5430</v>
      </c>
      <c r="U726" s="21" t="s">
        <v>72</v>
      </c>
    </row>
    <row r="727" customFormat="false" ht="15" hidden="false" customHeight="false" outlineLevel="0" collapsed="false">
      <c r="A727" s="15" t="s">
        <v>850</v>
      </c>
      <c r="B727" s="15" t="s">
        <v>5336</v>
      </c>
      <c r="C727" s="14" t="s">
        <v>5431</v>
      </c>
      <c r="D727" s="14" t="s">
        <v>5432</v>
      </c>
      <c r="E727" s="16" t="s">
        <v>5433</v>
      </c>
      <c r="F727" s="16"/>
      <c r="G727" s="23" t="s">
        <v>43</v>
      </c>
      <c r="H727" s="18" t="n">
        <v>4</v>
      </c>
      <c r="I727" s="20" t="n">
        <v>40.13</v>
      </c>
      <c r="J727" s="20" t="n">
        <v>115.74</v>
      </c>
      <c r="K727" s="18" t="n">
        <v>4</v>
      </c>
      <c r="L727" s="18"/>
      <c r="M727" s="18" t="n">
        <v>50</v>
      </c>
      <c r="N727" s="18" t="n">
        <v>5</v>
      </c>
      <c r="O727" s="14" t="s">
        <v>4223</v>
      </c>
      <c r="P727" s="14" t="s">
        <v>202</v>
      </c>
      <c r="Q727" s="15" t="s">
        <v>1089</v>
      </c>
      <c r="R727" s="16" t="s">
        <v>5434</v>
      </c>
      <c r="S727" s="15" t="s">
        <v>5435</v>
      </c>
      <c r="T727" s="15" t="s">
        <v>5435</v>
      </c>
      <c r="U727" s="21" t="s">
        <v>72</v>
      </c>
    </row>
    <row r="728" customFormat="false" ht="15" hidden="false" customHeight="false" outlineLevel="0" collapsed="false">
      <c r="A728" s="15" t="s">
        <v>850</v>
      </c>
      <c r="B728" s="15" t="s">
        <v>5336</v>
      </c>
      <c r="C728" s="14" t="s">
        <v>5436</v>
      </c>
      <c r="D728" s="14" t="s">
        <v>5437</v>
      </c>
      <c r="E728" s="16" t="s">
        <v>5438</v>
      </c>
      <c r="F728" s="16"/>
      <c r="G728" s="23" t="s">
        <v>43</v>
      </c>
      <c r="H728" s="18" t="n">
        <v>2</v>
      </c>
      <c r="I728" s="20" t="n">
        <v>32.38</v>
      </c>
      <c r="J728" s="20" t="n">
        <v>177.01</v>
      </c>
      <c r="K728" s="18" t="n">
        <v>2</v>
      </c>
      <c r="L728" s="18" t="n">
        <v>2</v>
      </c>
      <c r="M728" s="18" t="n">
        <v>52</v>
      </c>
      <c r="N728" s="18" t="n">
        <v>52</v>
      </c>
      <c r="O728" s="14" t="s">
        <v>1088</v>
      </c>
      <c r="P728" s="14" t="s">
        <v>84</v>
      </c>
      <c r="Q728" s="15" t="s">
        <v>1089</v>
      </c>
      <c r="R728" s="16" t="s">
        <v>5439</v>
      </c>
      <c r="S728" s="15" t="s">
        <v>5440</v>
      </c>
      <c r="T728" s="15" t="s">
        <v>5440</v>
      </c>
      <c r="U728" s="21" t="s">
        <v>72</v>
      </c>
    </row>
    <row r="729" customFormat="false" ht="15" hidden="false" customHeight="false" outlineLevel="0" collapsed="false">
      <c r="A729" s="15" t="s">
        <v>850</v>
      </c>
      <c r="B729" s="15" t="s">
        <v>5336</v>
      </c>
      <c r="C729" s="14" t="s">
        <v>5441</v>
      </c>
      <c r="D729" s="14" t="s">
        <v>5442</v>
      </c>
      <c r="E729" s="16" t="s">
        <v>5443</v>
      </c>
      <c r="F729" s="16" t="s">
        <v>5444</v>
      </c>
      <c r="G729" s="23" t="s">
        <v>43</v>
      </c>
      <c r="H729" s="18" t="n">
        <v>2</v>
      </c>
      <c r="I729" s="20" t="n">
        <v>47.16</v>
      </c>
      <c r="J729" s="20" t="n">
        <v>124.4</v>
      </c>
      <c r="K729" s="18" t="n">
        <v>2</v>
      </c>
      <c r="L729" s="18" t="n">
        <v>2</v>
      </c>
      <c r="M729" s="18" t="n">
        <v>76</v>
      </c>
      <c r="N729" s="18" t="n">
        <v>76</v>
      </c>
      <c r="O729" s="14" t="s">
        <v>1126</v>
      </c>
      <c r="P729" s="14" t="s">
        <v>84</v>
      </c>
      <c r="Q729" s="15" t="s">
        <v>1089</v>
      </c>
      <c r="R729" s="16" t="s">
        <v>5445</v>
      </c>
      <c r="S729" s="15" t="s">
        <v>5446</v>
      </c>
      <c r="T729" s="15" t="s">
        <v>5446</v>
      </c>
      <c r="U729" s="21" t="s">
        <v>72</v>
      </c>
    </row>
    <row r="730" customFormat="false" ht="26.85" hidden="false" customHeight="false" outlineLevel="0" collapsed="false">
      <c r="A730" s="15" t="s">
        <v>850</v>
      </c>
      <c r="B730" s="15" t="s">
        <v>5447</v>
      </c>
      <c r="C730" s="14" t="s">
        <v>5448</v>
      </c>
      <c r="D730" s="14" t="s">
        <v>5449</v>
      </c>
      <c r="E730" s="16" t="s">
        <v>5450</v>
      </c>
      <c r="F730" s="16"/>
      <c r="G730" s="23" t="s">
        <v>43</v>
      </c>
      <c r="H730" s="18" t="n">
        <v>4</v>
      </c>
      <c r="I730" s="20" t="n">
        <v>49</v>
      </c>
      <c r="J730" s="20" t="n">
        <v>127.02</v>
      </c>
      <c r="K730" s="18" t="n">
        <v>4</v>
      </c>
      <c r="L730" s="18" t="n">
        <v>7</v>
      </c>
      <c r="M730" s="18" t="n">
        <v>39</v>
      </c>
      <c r="N730" s="18" t="n">
        <v>15</v>
      </c>
      <c r="O730" s="14" t="s">
        <v>1097</v>
      </c>
      <c r="P730" s="14" t="s">
        <v>118</v>
      </c>
      <c r="Q730" s="15" t="s">
        <v>1089</v>
      </c>
      <c r="R730" s="16" t="s">
        <v>5451</v>
      </c>
      <c r="S730" s="15" t="s">
        <v>5452</v>
      </c>
      <c r="T730" s="15" t="s">
        <v>5453</v>
      </c>
      <c r="U730" s="21" t="s">
        <v>72</v>
      </c>
    </row>
    <row r="731" customFormat="false" ht="26.85" hidden="false" customHeight="false" outlineLevel="0" collapsed="false">
      <c r="A731" s="15" t="s">
        <v>850</v>
      </c>
      <c r="B731" s="15" t="s">
        <v>5447</v>
      </c>
      <c r="C731" s="14" t="s">
        <v>5454</v>
      </c>
      <c r="D731" s="14" t="s">
        <v>5455</v>
      </c>
      <c r="E731" s="16" t="s">
        <v>5456</v>
      </c>
      <c r="F731" s="16"/>
      <c r="G731" s="23" t="s">
        <v>43</v>
      </c>
      <c r="H731" s="18" t="n">
        <v>4</v>
      </c>
      <c r="I731" s="20" t="n">
        <v>81.47</v>
      </c>
      <c r="J731" s="20" t="n">
        <v>127.74</v>
      </c>
      <c r="K731" s="18" t="n">
        <v>6</v>
      </c>
      <c r="L731" s="18" t="n">
        <v>5</v>
      </c>
      <c r="M731" s="18" t="n">
        <v>92</v>
      </c>
      <c r="N731" s="18" t="n">
        <v>32</v>
      </c>
      <c r="O731" s="14" t="s">
        <v>4215</v>
      </c>
      <c r="P731" s="14" t="s">
        <v>906</v>
      </c>
      <c r="Q731" s="15" t="s">
        <v>1089</v>
      </c>
      <c r="R731" s="16" t="s">
        <v>5457</v>
      </c>
      <c r="S731" s="15" t="s">
        <v>5458</v>
      </c>
      <c r="T731" s="15" t="s">
        <v>2584</v>
      </c>
      <c r="U731" s="21" t="s">
        <v>72</v>
      </c>
    </row>
    <row r="732" customFormat="false" ht="26.85" hidden="false" customHeight="false" outlineLevel="0" collapsed="false">
      <c r="A732" s="15" t="s">
        <v>850</v>
      </c>
      <c r="B732" s="15" t="s">
        <v>5447</v>
      </c>
      <c r="C732" s="14" t="s">
        <v>5459</v>
      </c>
      <c r="D732" s="14" t="s">
        <v>5460</v>
      </c>
      <c r="E732" s="16" t="s">
        <v>5461</v>
      </c>
      <c r="F732" s="16"/>
      <c r="G732" s="19" t="s">
        <v>41</v>
      </c>
      <c r="H732" s="18" t="n">
        <v>4</v>
      </c>
      <c r="I732" s="20" t="n">
        <v>81.99</v>
      </c>
      <c r="J732" s="20" t="n">
        <v>214.2</v>
      </c>
      <c r="K732" s="18" t="n">
        <v>3</v>
      </c>
      <c r="L732" s="18" t="n">
        <v>1</v>
      </c>
      <c r="M732" s="18" t="n">
        <v>67</v>
      </c>
      <c r="N732" s="18" t="n">
        <v>37</v>
      </c>
      <c r="O732" s="14" t="s">
        <v>5462</v>
      </c>
      <c r="P732" s="14" t="s">
        <v>906</v>
      </c>
      <c r="Q732" s="15" t="s">
        <v>1089</v>
      </c>
      <c r="R732" s="16" t="s">
        <v>5463</v>
      </c>
      <c r="S732" s="15" t="s">
        <v>5464</v>
      </c>
      <c r="T732" s="15" t="s">
        <v>5465</v>
      </c>
      <c r="U732" s="21" t="s">
        <v>72</v>
      </c>
    </row>
    <row r="733" customFormat="false" ht="15" hidden="false" customHeight="false" outlineLevel="0" collapsed="false">
      <c r="A733" s="15" t="s">
        <v>850</v>
      </c>
      <c r="B733" s="15" t="s">
        <v>5447</v>
      </c>
      <c r="C733" s="14" t="s">
        <v>5466</v>
      </c>
      <c r="D733" s="14" t="s">
        <v>5467</v>
      </c>
      <c r="E733" s="16" t="s">
        <v>5468</v>
      </c>
      <c r="F733" s="16"/>
      <c r="G733" s="23" t="s">
        <v>43</v>
      </c>
      <c r="H733" s="18" t="n">
        <v>3</v>
      </c>
      <c r="I733" s="20" t="n">
        <v>60.26</v>
      </c>
      <c r="J733" s="20" t="n">
        <v>119.945</v>
      </c>
      <c r="K733" s="18" t="n">
        <v>4</v>
      </c>
      <c r="L733" s="18" t="n">
        <v>1</v>
      </c>
      <c r="M733" s="18" t="n">
        <v>71</v>
      </c>
      <c r="N733" s="18" t="n">
        <v>44</v>
      </c>
      <c r="O733" s="14" t="s">
        <v>1088</v>
      </c>
      <c r="P733" s="14" t="s">
        <v>118</v>
      </c>
      <c r="Q733" s="15" t="s">
        <v>1089</v>
      </c>
      <c r="R733" s="16" t="s">
        <v>5469</v>
      </c>
      <c r="S733" s="15" t="s">
        <v>5470</v>
      </c>
      <c r="T733" s="15" t="s">
        <v>5470</v>
      </c>
      <c r="U733" s="21" t="s">
        <v>72</v>
      </c>
    </row>
    <row r="734" customFormat="false" ht="15" hidden="false" customHeight="false" outlineLevel="0" collapsed="false">
      <c r="A734" s="15" t="s">
        <v>850</v>
      </c>
      <c r="B734" s="15" t="s">
        <v>5447</v>
      </c>
      <c r="C734" s="14" t="s">
        <v>5471</v>
      </c>
      <c r="D734" s="14" t="s">
        <v>5472</v>
      </c>
      <c r="E734" s="16" t="s">
        <v>5473</v>
      </c>
      <c r="F734" s="16" t="s">
        <v>5474</v>
      </c>
      <c r="G734" s="23" t="s">
        <v>43</v>
      </c>
      <c r="H734" s="18" t="n">
        <v>4</v>
      </c>
      <c r="I734" s="20" t="n">
        <v>68</v>
      </c>
      <c r="J734" s="20" t="n">
        <v>88.23</v>
      </c>
      <c r="K734" s="18" t="n">
        <v>4</v>
      </c>
      <c r="L734" s="18" t="n">
        <v>4</v>
      </c>
      <c r="M734" s="18" t="n">
        <v>60</v>
      </c>
      <c r="N734" s="18" t="n">
        <v>60</v>
      </c>
      <c r="O734" s="14" t="s">
        <v>5475</v>
      </c>
      <c r="P734" s="14" t="s">
        <v>118</v>
      </c>
      <c r="Q734" s="15" t="s">
        <v>1089</v>
      </c>
      <c r="R734" s="16" t="s">
        <v>5476</v>
      </c>
      <c r="S734" s="15" t="s">
        <v>5477</v>
      </c>
      <c r="T734" s="15" t="s">
        <v>5478</v>
      </c>
      <c r="U734" s="21" t="s">
        <v>72</v>
      </c>
    </row>
    <row r="735" customFormat="false" ht="15" hidden="false" customHeight="false" outlineLevel="0" collapsed="false">
      <c r="A735" s="15" t="s">
        <v>850</v>
      </c>
      <c r="B735" s="15" t="s">
        <v>5447</v>
      </c>
      <c r="C735" s="14" t="s">
        <v>5479</v>
      </c>
      <c r="D735" s="14" t="s">
        <v>5480</v>
      </c>
      <c r="E735" s="16" t="s">
        <v>5481</v>
      </c>
      <c r="F735" s="16" t="s">
        <v>5482</v>
      </c>
      <c r="G735" s="19" t="s">
        <v>41</v>
      </c>
      <c r="H735" s="18" t="n">
        <v>2</v>
      </c>
      <c r="I735" s="20" t="n">
        <v>54.48</v>
      </c>
      <c r="J735" s="20" t="n">
        <v>202.02</v>
      </c>
      <c r="K735" s="18" t="n">
        <v>2</v>
      </c>
      <c r="L735" s="18" t="n">
        <v>1</v>
      </c>
      <c r="M735" s="18" t="n">
        <v>46</v>
      </c>
      <c r="N735" s="18" t="n">
        <v>46</v>
      </c>
      <c r="O735" s="14" t="s">
        <v>1088</v>
      </c>
      <c r="P735" s="14" t="s">
        <v>84</v>
      </c>
      <c r="Q735" s="15" t="s">
        <v>1089</v>
      </c>
      <c r="R735" s="16" t="s">
        <v>5483</v>
      </c>
      <c r="S735" s="15" t="s">
        <v>5452</v>
      </c>
      <c r="T735" s="15" t="s">
        <v>5484</v>
      </c>
      <c r="U735" s="21" t="s">
        <v>72</v>
      </c>
    </row>
    <row r="736" customFormat="false" ht="15" hidden="false" customHeight="false" outlineLevel="0" collapsed="false">
      <c r="A736" s="15" t="s">
        <v>850</v>
      </c>
      <c r="B736" s="15" t="s">
        <v>5447</v>
      </c>
      <c r="C736" s="14" t="s">
        <v>5485</v>
      </c>
      <c r="D736" s="14" t="s">
        <v>5486</v>
      </c>
      <c r="E736" s="16" t="s">
        <v>5487</v>
      </c>
      <c r="F736" s="16"/>
      <c r="G736" s="23" t="s">
        <v>43</v>
      </c>
      <c r="H736" s="18" t="n">
        <v>4</v>
      </c>
      <c r="I736" s="20" t="n">
        <v>49.82</v>
      </c>
      <c r="J736" s="20" t="n">
        <v>81.12</v>
      </c>
      <c r="K736" s="18" t="n">
        <v>4</v>
      </c>
      <c r="L736" s="18" t="n">
        <v>1</v>
      </c>
      <c r="M736" s="18" t="n">
        <v>52</v>
      </c>
      <c r="N736" s="18" t="n">
        <v>52</v>
      </c>
      <c r="O736" s="14" t="s">
        <v>5488</v>
      </c>
      <c r="P736" s="14" t="s">
        <v>118</v>
      </c>
      <c r="Q736" s="15" t="s">
        <v>1089</v>
      </c>
      <c r="R736" s="16" t="s">
        <v>5293</v>
      </c>
      <c r="S736" s="15" t="s">
        <v>5489</v>
      </c>
      <c r="T736" s="15" t="s">
        <v>5490</v>
      </c>
      <c r="U736" s="21" t="s">
        <v>72</v>
      </c>
    </row>
    <row r="737" customFormat="false" ht="15" hidden="false" customHeight="false" outlineLevel="0" collapsed="false">
      <c r="A737" s="15" t="s">
        <v>850</v>
      </c>
      <c r="B737" s="15" t="s">
        <v>5447</v>
      </c>
      <c r="C737" s="14" t="s">
        <v>5491</v>
      </c>
      <c r="D737" s="14" t="s">
        <v>5492</v>
      </c>
      <c r="E737" s="16" t="s">
        <v>5493</v>
      </c>
      <c r="F737" s="16"/>
      <c r="G737" s="23" t="s">
        <v>43</v>
      </c>
      <c r="H737" s="18" t="n">
        <v>3</v>
      </c>
      <c r="I737" s="20" t="n">
        <v>52.15</v>
      </c>
      <c r="J737" s="20" t="n">
        <v>116.98</v>
      </c>
      <c r="K737" s="18" t="n">
        <v>3</v>
      </c>
      <c r="L737" s="18" t="n">
        <v>1</v>
      </c>
      <c r="M737" s="18" t="n">
        <v>46</v>
      </c>
      <c r="N737" s="18" t="n">
        <v>26</v>
      </c>
      <c r="O737" s="14" t="s">
        <v>4223</v>
      </c>
      <c r="P737" s="14" t="s">
        <v>118</v>
      </c>
      <c r="Q737" s="15" t="s">
        <v>1089</v>
      </c>
      <c r="R737" s="16" t="s">
        <v>5494</v>
      </c>
      <c r="S737" s="15" t="s">
        <v>5495</v>
      </c>
      <c r="T737" s="15" t="s">
        <v>5495</v>
      </c>
      <c r="U737" s="21" t="s">
        <v>72</v>
      </c>
    </row>
    <row r="738" customFormat="false" ht="15" hidden="false" customHeight="false" outlineLevel="0" collapsed="false">
      <c r="A738" s="15" t="s">
        <v>850</v>
      </c>
      <c r="B738" s="15" t="s">
        <v>5447</v>
      </c>
      <c r="C738" s="14" t="s">
        <v>5496</v>
      </c>
      <c r="D738" s="14" t="s">
        <v>5497</v>
      </c>
      <c r="E738" s="16" t="s">
        <v>5498</v>
      </c>
      <c r="F738" s="16"/>
      <c r="G738" s="23" t="s">
        <v>43</v>
      </c>
      <c r="H738" s="18" t="n">
        <v>4</v>
      </c>
      <c r="I738" s="20" t="n">
        <v>39.9</v>
      </c>
      <c r="J738" s="20" t="n">
        <v>75.968</v>
      </c>
      <c r="K738" s="18" t="n">
        <v>4</v>
      </c>
      <c r="L738" s="18" t="n">
        <v>1</v>
      </c>
      <c r="M738" s="18" t="n">
        <v>44</v>
      </c>
      <c r="N738" s="18" t="n">
        <v>22</v>
      </c>
      <c r="O738" s="14" t="s">
        <v>4223</v>
      </c>
      <c r="P738" s="14" t="s">
        <v>202</v>
      </c>
      <c r="Q738" s="15" t="s">
        <v>1089</v>
      </c>
      <c r="R738" s="16" t="s">
        <v>2056</v>
      </c>
      <c r="S738" s="15" t="s">
        <v>5499</v>
      </c>
      <c r="T738" s="15" t="s">
        <v>5499</v>
      </c>
      <c r="U738" s="21" t="s">
        <v>72</v>
      </c>
    </row>
    <row r="739" customFormat="false" ht="15" hidden="false" customHeight="false" outlineLevel="0" collapsed="false">
      <c r="A739" s="15" t="s">
        <v>850</v>
      </c>
      <c r="B739" s="15" t="s">
        <v>5447</v>
      </c>
      <c r="C739" s="14" t="s">
        <v>5500</v>
      </c>
      <c r="D739" s="14" t="s">
        <v>5501</v>
      </c>
      <c r="E739" s="16" t="s">
        <v>5502</v>
      </c>
      <c r="F739" s="16"/>
      <c r="G739" s="19" t="s">
        <v>41</v>
      </c>
      <c r="H739" s="18" t="n">
        <v>5</v>
      </c>
      <c r="I739" s="20" t="n">
        <v>70.73</v>
      </c>
      <c r="J739" s="20" t="n">
        <v>193.44</v>
      </c>
      <c r="K739" s="18" t="n">
        <v>4</v>
      </c>
      <c r="L739" s="18" t="n">
        <v>9</v>
      </c>
      <c r="M739" s="18" t="n">
        <v>73</v>
      </c>
      <c r="N739" s="18" t="n">
        <v>51</v>
      </c>
      <c r="O739" s="14" t="s">
        <v>5503</v>
      </c>
      <c r="P739" s="14" t="s">
        <v>118</v>
      </c>
      <c r="Q739" s="15" t="s">
        <v>1089</v>
      </c>
      <c r="R739" s="16" t="s">
        <v>5504</v>
      </c>
      <c r="S739" s="15" t="s">
        <v>5505</v>
      </c>
      <c r="T739" s="15" t="s">
        <v>5505</v>
      </c>
      <c r="U739" s="21" t="s">
        <v>72</v>
      </c>
    </row>
    <row r="740" customFormat="false" ht="64.9" hidden="false" customHeight="false" outlineLevel="0" collapsed="false">
      <c r="A740" s="15" t="s">
        <v>850</v>
      </c>
      <c r="B740" s="15" t="s">
        <v>5506</v>
      </c>
      <c r="C740" s="14" t="s">
        <v>5507</v>
      </c>
      <c r="D740" s="14" t="s">
        <v>5508</v>
      </c>
      <c r="E740" s="16" t="s">
        <v>5509</v>
      </c>
      <c r="F740" s="16" t="s">
        <v>5510</v>
      </c>
      <c r="G740" s="25" t="s">
        <v>39</v>
      </c>
      <c r="H740" s="18" t="n">
        <v>9</v>
      </c>
      <c r="I740" s="20" t="n">
        <v>301.24</v>
      </c>
      <c r="J740" s="20" t="n">
        <v>480.28</v>
      </c>
      <c r="K740" s="18" t="n">
        <v>100</v>
      </c>
      <c r="L740" s="18" t="n">
        <v>86</v>
      </c>
      <c r="M740" s="18" t="n">
        <v>2015</v>
      </c>
      <c r="N740" s="18" t="n">
        <v>216</v>
      </c>
      <c r="O740" s="14" t="s">
        <v>4446</v>
      </c>
      <c r="P740" s="14" t="s">
        <v>4447</v>
      </c>
      <c r="Q740" s="15" t="s">
        <v>1089</v>
      </c>
      <c r="R740" s="16" t="s">
        <v>4626</v>
      </c>
      <c r="S740" s="15" t="s">
        <v>2538</v>
      </c>
      <c r="T740" s="15" t="s">
        <v>5511</v>
      </c>
      <c r="U740" s="21" t="s">
        <v>72</v>
      </c>
    </row>
    <row r="741" customFormat="false" ht="15" hidden="false" customHeight="false" outlineLevel="0" collapsed="false">
      <c r="A741" s="15" t="s">
        <v>850</v>
      </c>
      <c r="B741" s="15" t="s">
        <v>5506</v>
      </c>
      <c r="C741" s="14" t="s">
        <v>5512</v>
      </c>
      <c r="D741" s="14" t="s">
        <v>5513</v>
      </c>
      <c r="E741" s="16" t="s">
        <v>5514</v>
      </c>
      <c r="F741" s="16"/>
      <c r="G741" s="23" t="s">
        <v>43</v>
      </c>
      <c r="H741" s="18" t="n">
        <v>3</v>
      </c>
      <c r="I741" s="20" t="n">
        <v>73.87</v>
      </c>
      <c r="J741" s="20" t="n">
        <v>132.3</v>
      </c>
      <c r="K741" s="18" t="n">
        <v>4</v>
      </c>
      <c r="L741" s="18" t="n">
        <v>1</v>
      </c>
      <c r="M741" s="18" t="n">
        <v>120</v>
      </c>
      <c r="N741" s="18" t="n">
        <v>60</v>
      </c>
      <c r="O741" s="14" t="s">
        <v>1097</v>
      </c>
      <c r="P741" s="14" t="s">
        <v>118</v>
      </c>
      <c r="Q741" s="15" t="s">
        <v>1089</v>
      </c>
      <c r="R741" s="16" t="s">
        <v>5515</v>
      </c>
      <c r="S741" s="15" t="s">
        <v>5516</v>
      </c>
      <c r="T741" s="15" t="s">
        <v>5516</v>
      </c>
      <c r="U741" s="21" t="s">
        <v>72</v>
      </c>
    </row>
    <row r="742" customFormat="false" ht="15" hidden="false" customHeight="false" outlineLevel="0" collapsed="false">
      <c r="A742" s="15" t="s">
        <v>850</v>
      </c>
      <c r="B742" s="15" t="s">
        <v>5506</v>
      </c>
      <c r="C742" s="14" t="s">
        <v>5517</v>
      </c>
      <c r="D742" s="14" t="s">
        <v>5518</v>
      </c>
      <c r="E742" s="16" t="s">
        <v>5519</v>
      </c>
      <c r="F742" s="16"/>
      <c r="G742" s="23" t="s">
        <v>43</v>
      </c>
      <c r="H742" s="18" t="n">
        <v>2</v>
      </c>
      <c r="I742" s="20" t="n">
        <v>62.42</v>
      </c>
      <c r="J742" s="20" t="n">
        <v>95.76</v>
      </c>
      <c r="K742" s="18" t="n">
        <v>2</v>
      </c>
      <c r="L742" s="18" t="n">
        <v>5</v>
      </c>
      <c r="M742" s="18" t="n">
        <v>54</v>
      </c>
      <c r="N742" s="18" t="n">
        <v>27</v>
      </c>
      <c r="O742" s="14" t="s">
        <v>1088</v>
      </c>
      <c r="P742" s="14" t="s">
        <v>94</v>
      </c>
      <c r="Q742" s="15" t="s">
        <v>1089</v>
      </c>
      <c r="R742" s="16" t="s">
        <v>5520</v>
      </c>
      <c r="S742" s="15" t="s">
        <v>5521</v>
      </c>
      <c r="T742" s="15" t="s">
        <v>5522</v>
      </c>
      <c r="U742" s="21" t="s">
        <v>72</v>
      </c>
    </row>
    <row r="743" customFormat="false" ht="15" hidden="false" customHeight="false" outlineLevel="0" collapsed="false">
      <c r="A743" s="15" t="s">
        <v>850</v>
      </c>
      <c r="B743" s="15" t="s">
        <v>5506</v>
      </c>
      <c r="C743" s="14" t="s">
        <v>5523</v>
      </c>
      <c r="D743" s="14" t="s">
        <v>5524</v>
      </c>
      <c r="E743" s="16" t="s">
        <v>5525</v>
      </c>
      <c r="F743" s="16"/>
      <c r="G743" s="19" t="s">
        <v>41</v>
      </c>
      <c r="H743" s="18" t="n">
        <v>5</v>
      </c>
      <c r="I743" s="20" t="n">
        <v>109.42</v>
      </c>
      <c r="J743" s="20" t="n">
        <v>169.61</v>
      </c>
      <c r="K743" s="18" t="n">
        <v>3</v>
      </c>
      <c r="L743" s="18" t="n">
        <v>12</v>
      </c>
      <c r="M743" s="18" t="n">
        <v>65</v>
      </c>
      <c r="N743" s="18" t="n">
        <v>65</v>
      </c>
      <c r="O743" s="14" t="s">
        <v>5313</v>
      </c>
      <c r="P743" s="14" t="s">
        <v>118</v>
      </c>
      <c r="Q743" s="15" t="s">
        <v>1089</v>
      </c>
      <c r="R743" s="16" t="s">
        <v>5526</v>
      </c>
      <c r="S743" s="15" t="s">
        <v>5527</v>
      </c>
      <c r="T743" s="15" t="s">
        <v>5527</v>
      </c>
      <c r="U743" s="21" t="s">
        <v>72</v>
      </c>
    </row>
    <row r="744" customFormat="false" ht="26.85" hidden="false" customHeight="false" outlineLevel="0" collapsed="false">
      <c r="A744" s="15" t="s">
        <v>850</v>
      </c>
      <c r="B744" s="15" t="s">
        <v>5506</v>
      </c>
      <c r="C744" s="14" t="s">
        <v>5528</v>
      </c>
      <c r="D744" s="14" t="s">
        <v>5529</v>
      </c>
      <c r="E744" s="16" t="s">
        <v>5530</v>
      </c>
      <c r="F744" s="16"/>
      <c r="G744" s="23" t="s">
        <v>43</v>
      </c>
      <c r="H744" s="18" t="n">
        <v>1</v>
      </c>
      <c r="I744" s="20" t="n">
        <v>42.82</v>
      </c>
      <c r="J744" s="20" t="n">
        <v>79.65</v>
      </c>
      <c r="K744" s="18" t="n">
        <v>2</v>
      </c>
      <c r="L744" s="18" t="n">
        <v>2</v>
      </c>
      <c r="M744" s="18" t="n">
        <v>70</v>
      </c>
      <c r="N744" s="18" t="n">
        <v>70</v>
      </c>
      <c r="O744" s="14" t="s">
        <v>4751</v>
      </c>
      <c r="P744" s="14" t="s">
        <v>118</v>
      </c>
      <c r="Q744" s="15" t="s">
        <v>1089</v>
      </c>
      <c r="R744" s="16" t="s">
        <v>5531</v>
      </c>
      <c r="S744" s="15" t="s">
        <v>5532</v>
      </c>
      <c r="T744" s="15" t="s">
        <v>5533</v>
      </c>
      <c r="U744" s="21" t="s">
        <v>72</v>
      </c>
    </row>
    <row r="745" customFormat="false" ht="26.85" hidden="false" customHeight="false" outlineLevel="0" collapsed="false">
      <c r="A745" s="15" t="s">
        <v>850</v>
      </c>
      <c r="B745" s="15" t="s">
        <v>5506</v>
      </c>
      <c r="C745" s="14" t="s">
        <v>5534</v>
      </c>
      <c r="D745" s="14" t="s">
        <v>5535</v>
      </c>
      <c r="E745" s="16" t="s">
        <v>5536</v>
      </c>
      <c r="F745" s="16" t="s">
        <v>5537</v>
      </c>
      <c r="G745" s="23" t="s">
        <v>43</v>
      </c>
      <c r="H745" s="18" t="n">
        <v>2</v>
      </c>
      <c r="I745" s="20" t="n">
        <v>83.15</v>
      </c>
      <c r="J745" s="20" t="n">
        <v>145.83</v>
      </c>
      <c r="K745" s="18" t="n">
        <v>6</v>
      </c>
      <c r="L745" s="18" t="n">
        <v>6</v>
      </c>
      <c r="M745" s="18" t="n">
        <v>138</v>
      </c>
      <c r="N745" s="18" t="n">
        <v>46</v>
      </c>
      <c r="O745" s="14" t="s">
        <v>4343</v>
      </c>
      <c r="P745" s="14" t="s">
        <v>906</v>
      </c>
      <c r="Q745" s="15" t="s">
        <v>1089</v>
      </c>
      <c r="R745" s="16" t="s">
        <v>5538</v>
      </c>
      <c r="S745" s="15" t="s">
        <v>5539</v>
      </c>
      <c r="T745" s="15" t="s">
        <v>5539</v>
      </c>
      <c r="U745" s="21" t="s">
        <v>72</v>
      </c>
    </row>
    <row r="746" customFormat="false" ht="15" hidden="false" customHeight="false" outlineLevel="0" collapsed="false">
      <c r="A746" s="15" t="s">
        <v>850</v>
      </c>
      <c r="B746" s="15" t="s">
        <v>5506</v>
      </c>
      <c r="C746" s="14" t="s">
        <v>5540</v>
      </c>
      <c r="D746" s="14" t="s">
        <v>5541</v>
      </c>
      <c r="E746" s="16" t="s">
        <v>5542</v>
      </c>
      <c r="F746" s="16" t="s">
        <v>5543</v>
      </c>
      <c r="G746" s="23" t="s">
        <v>43</v>
      </c>
      <c r="H746" s="18" t="n">
        <v>1</v>
      </c>
      <c r="I746" s="20" t="n">
        <v>106.98</v>
      </c>
      <c r="J746" s="20" t="n">
        <v>118.49</v>
      </c>
      <c r="K746" s="18" t="n">
        <v>1</v>
      </c>
      <c r="L746" s="18" t="n">
        <v>4</v>
      </c>
      <c r="M746" s="18" t="n">
        <v>60</v>
      </c>
      <c r="N746" s="18" t="n">
        <v>60</v>
      </c>
      <c r="O746" s="14" t="s">
        <v>1126</v>
      </c>
      <c r="P746" s="14" t="s">
        <v>84</v>
      </c>
      <c r="Q746" s="15" t="s">
        <v>1089</v>
      </c>
      <c r="R746" s="16" t="s">
        <v>5544</v>
      </c>
      <c r="S746" s="15" t="s">
        <v>5545</v>
      </c>
      <c r="T746" s="15" t="s">
        <v>5546</v>
      </c>
      <c r="U746" s="21" t="s">
        <v>72</v>
      </c>
    </row>
    <row r="747" customFormat="false" ht="15" hidden="false" customHeight="false" outlineLevel="0" collapsed="false">
      <c r="A747" s="15" t="s">
        <v>850</v>
      </c>
      <c r="B747" s="15" t="s">
        <v>5506</v>
      </c>
      <c r="C747" s="14" t="s">
        <v>5547</v>
      </c>
      <c r="D747" s="14" t="s">
        <v>5548</v>
      </c>
      <c r="E747" s="16" t="s">
        <v>5549</v>
      </c>
      <c r="F747" s="16"/>
      <c r="G747" s="23" t="s">
        <v>43</v>
      </c>
      <c r="H747" s="18" t="n">
        <v>4</v>
      </c>
      <c r="I747" s="20" t="n">
        <v>30</v>
      </c>
      <c r="J747" s="20" t="n">
        <v>150.06</v>
      </c>
      <c r="K747" s="18" t="n">
        <v>4</v>
      </c>
      <c r="L747" s="18" t="n">
        <v>1</v>
      </c>
      <c r="M747" s="18" t="n">
        <v>96</v>
      </c>
      <c r="N747" s="18" t="n">
        <v>48</v>
      </c>
      <c r="O747" s="14" t="s">
        <v>4223</v>
      </c>
      <c r="P747" s="14" t="s">
        <v>94</v>
      </c>
      <c r="Q747" s="15" t="s">
        <v>1089</v>
      </c>
      <c r="R747" s="16" t="s">
        <v>5550</v>
      </c>
      <c r="S747" s="15" t="s">
        <v>5551</v>
      </c>
      <c r="T747" s="15" t="s">
        <v>5552</v>
      </c>
      <c r="U747" s="21" t="s">
        <v>72</v>
      </c>
    </row>
    <row r="748" customFormat="false" ht="15" hidden="false" customHeight="false" outlineLevel="0" collapsed="false">
      <c r="A748" s="15" t="s">
        <v>850</v>
      </c>
      <c r="B748" s="15" t="s">
        <v>5506</v>
      </c>
      <c r="C748" s="14" t="s">
        <v>5553</v>
      </c>
      <c r="D748" s="14" t="s">
        <v>5554</v>
      </c>
      <c r="E748" s="16" t="s">
        <v>5555</v>
      </c>
      <c r="F748" s="16" t="s">
        <v>5556</v>
      </c>
      <c r="G748" s="23" t="s">
        <v>43</v>
      </c>
      <c r="H748" s="18" t="n">
        <v>1</v>
      </c>
      <c r="I748" s="20" t="n">
        <v>48.993</v>
      </c>
      <c r="J748" s="20" t="n">
        <v>70.72</v>
      </c>
      <c r="K748" s="18" t="n">
        <v>2</v>
      </c>
      <c r="L748" s="18" t="n">
        <v>1</v>
      </c>
      <c r="M748" s="18" t="n">
        <v>52</v>
      </c>
      <c r="N748" s="18" t="n">
        <v>26</v>
      </c>
      <c r="O748" s="14" t="s">
        <v>4446</v>
      </c>
      <c r="P748" s="14" t="s">
        <v>84</v>
      </c>
      <c r="Q748" s="15" t="s">
        <v>1089</v>
      </c>
      <c r="R748" s="16" t="s">
        <v>5557</v>
      </c>
      <c r="S748" s="15" t="s">
        <v>5558</v>
      </c>
      <c r="T748" s="15" t="s">
        <v>5558</v>
      </c>
      <c r="U748" s="21" t="s">
        <v>72</v>
      </c>
    </row>
    <row r="749" customFormat="false" ht="26.85" hidden="false" customHeight="false" outlineLevel="0" collapsed="false">
      <c r="A749" s="15" t="s">
        <v>850</v>
      </c>
      <c r="B749" s="15" t="s">
        <v>5506</v>
      </c>
      <c r="C749" s="14" t="s">
        <v>5559</v>
      </c>
      <c r="D749" s="14" t="s">
        <v>5560</v>
      </c>
      <c r="E749" s="16" t="s">
        <v>5561</v>
      </c>
      <c r="F749" s="16" t="s">
        <v>5562</v>
      </c>
      <c r="G749" s="19" t="s">
        <v>41</v>
      </c>
      <c r="H749" s="18" t="n">
        <v>6</v>
      </c>
      <c r="I749" s="20" t="n">
        <v>145.714</v>
      </c>
      <c r="J749" s="20" t="n">
        <v>229.23</v>
      </c>
      <c r="K749" s="18" t="n">
        <v>6</v>
      </c>
      <c r="L749" s="18" t="n">
        <v>3</v>
      </c>
      <c r="M749" s="18" t="n">
        <v>360</v>
      </c>
      <c r="N749" s="18" t="n">
        <v>240</v>
      </c>
      <c r="O749" s="14" t="s">
        <v>5563</v>
      </c>
      <c r="P749" s="14" t="s">
        <v>906</v>
      </c>
      <c r="Q749" s="15" t="s">
        <v>1089</v>
      </c>
      <c r="R749" s="16" t="s">
        <v>5564</v>
      </c>
      <c r="S749" s="15" t="s">
        <v>5565</v>
      </c>
      <c r="T749" s="15" t="s">
        <v>5565</v>
      </c>
      <c r="U749" s="21" t="s">
        <v>72</v>
      </c>
    </row>
    <row r="750" customFormat="false" ht="15" hidden="false" customHeight="false" outlineLevel="0" collapsed="false">
      <c r="A750" s="15" t="s">
        <v>850</v>
      </c>
      <c r="B750" s="15" t="s">
        <v>5506</v>
      </c>
      <c r="C750" s="14" t="s">
        <v>5566</v>
      </c>
      <c r="D750" s="14" t="s">
        <v>5567</v>
      </c>
      <c r="E750" s="16" t="s">
        <v>5568</v>
      </c>
      <c r="F750" s="16" t="s">
        <v>5569</v>
      </c>
      <c r="G750" s="23" t="s">
        <v>43</v>
      </c>
      <c r="H750" s="18" t="n">
        <v>3</v>
      </c>
      <c r="I750" s="20" t="n">
        <v>32.31</v>
      </c>
      <c r="J750" s="20" t="n">
        <v>81.07</v>
      </c>
      <c r="K750" s="18" t="n">
        <v>4</v>
      </c>
      <c r="L750" s="18" t="n">
        <v>1</v>
      </c>
      <c r="M750" s="18" t="n">
        <v>72</v>
      </c>
      <c r="N750" s="18" t="n">
        <v>72</v>
      </c>
      <c r="O750" s="14" t="s">
        <v>1126</v>
      </c>
      <c r="P750" s="14" t="s">
        <v>84</v>
      </c>
      <c r="Q750" s="15" t="s">
        <v>1089</v>
      </c>
      <c r="R750" s="16" t="s">
        <v>5570</v>
      </c>
      <c r="S750" s="15" t="s">
        <v>5571</v>
      </c>
      <c r="T750" s="15" t="s">
        <v>5571</v>
      </c>
      <c r="U750" s="21" t="s">
        <v>72</v>
      </c>
    </row>
    <row r="751" customFormat="false" ht="26.85" hidden="false" customHeight="false" outlineLevel="0" collapsed="false">
      <c r="A751" s="15" t="s">
        <v>850</v>
      </c>
      <c r="B751" s="15" t="s">
        <v>5506</v>
      </c>
      <c r="C751" s="14" t="s">
        <v>5572</v>
      </c>
      <c r="D751" s="14" t="s">
        <v>5573</v>
      </c>
      <c r="E751" s="16" t="s">
        <v>5574</v>
      </c>
      <c r="F751" s="16"/>
      <c r="G751" s="23" t="s">
        <v>43</v>
      </c>
      <c r="H751" s="18" t="n">
        <v>3</v>
      </c>
      <c r="I751" s="20" t="n">
        <v>41.01</v>
      </c>
      <c r="J751" s="20" t="n">
        <v>78.8</v>
      </c>
      <c r="K751" s="18" t="n">
        <v>6</v>
      </c>
      <c r="L751" s="18" t="n">
        <v>4</v>
      </c>
      <c r="M751" s="18" t="n">
        <v>66</v>
      </c>
      <c r="N751" s="18" t="n">
        <v>26</v>
      </c>
      <c r="O751" s="14" t="s">
        <v>5575</v>
      </c>
      <c r="P751" s="14" t="s">
        <v>872</v>
      </c>
      <c r="Q751" s="15" t="s">
        <v>1089</v>
      </c>
      <c r="R751" s="16" t="s">
        <v>5576</v>
      </c>
      <c r="S751" s="15" t="s">
        <v>5577</v>
      </c>
      <c r="T751" s="15" t="s">
        <v>5577</v>
      </c>
      <c r="U751" s="21" t="s">
        <v>72</v>
      </c>
    </row>
    <row r="752" customFormat="false" ht="25.35" hidden="false" customHeight="false" outlineLevel="0" collapsed="false">
      <c r="A752" s="15" t="s">
        <v>850</v>
      </c>
      <c r="B752" s="15" t="s">
        <v>5506</v>
      </c>
      <c r="C752" s="14" t="s">
        <v>5578</v>
      </c>
      <c r="D752" s="14" t="s">
        <v>5579</v>
      </c>
      <c r="E752" s="16" t="s">
        <v>5580</v>
      </c>
      <c r="F752" s="16" t="s">
        <v>5581</v>
      </c>
      <c r="G752" s="19" t="s">
        <v>41</v>
      </c>
      <c r="H752" s="18" t="n">
        <v>7</v>
      </c>
      <c r="I752" s="20" t="n">
        <v>91.57</v>
      </c>
      <c r="J752" s="20" t="n">
        <v>330.4</v>
      </c>
      <c r="K752" s="18" t="n">
        <v>8</v>
      </c>
      <c r="L752" s="18" t="n">
        <v>15</v>
      </c>
      <c r="M752" s="18" t="n">
        <v>380</v>
      </c>
      <c r="N752" s="18" t="n">
        <v>380</v>
      </c>
      <c r="O752" s="14" t="s">
        <v>5582</v>
      </c>
      <c r="P752" s="14" t="s">
        <v>118</v>
      </c>
      <c r="Q752" s="15" t="s">
        <v>1089</v>
      </c>
      <c r="R752" s="16" t="s">
        <v>4512</v>
      </c>
      <c r="S752" s="15" t="s">
        <v>5583</v>
      </c>
      <c r="T752" s="15" t="s">
        <v>5584</v>
      </c>
      <c r="U752" s="21" t="s">
        <v>72</v>
      </c>
    </row>
    <row r="753" customFormat="false" ht="26.85" hidden="false" customHeight="false" outlineLevel="0" collapsed="false">
      <c r="A753" s="15" t="s">
        <v>850</v>
      </c>
      <c r="B753" s="15" t="s">
        <v>5506</v>
      </c>
      <c r="C753" s="14" t="s">
        <v>5585</v>
      </c>
      <c r="D753" s="14" t="s">
        <v>5586</v>
      </c>
      <c r="E753" s="16" t="s">
        <v>5587</v>
      </c>
      <c r="F753" s="16" t="s">
        <v>5588</v>
      </c>
      <c r="G753" s="25" t="s">
        <v>39</v>
      </c>
      <c r="H753" s="18" t="n">
        <v>10</v>
      </c>
      <c r="I753" s="20" t="n">
        <v>177.16</v>
      </c>
      <c r="J753" s="20" t="n">
        <v>327.3</v>
      </c>
      <c r="K753" s="18" t="n">
        <v>16</v>
      </c>
      <c r="L753" s="18" t="n">
        <v>10</v>
      </c>
      <c r="M753" s="18" t="n">
        <v>344</v>
      </c>
      <c r="N753" s="18" t="n">
        <v>144</v>
      </c>
      <c r="O753" s="14" t="s">
        <v>1126</v>
      </c>
      <c r="P753" s="14" t="s">
        <v>352</v>
      </c>
      <c r="Q753" s="15" t="s">
        <v>1089</v>
      </c>
      <c r="R753" s="16" t="s">
        <v>5589</v>
      </c>
      <c r="S753" s="15" t="s">
        <v>5590</v>
      </c>
      <c r="T753" s="15" t="s">
        <v>5591</v>
      </c>
      <c r="U753" s="21" t="s">
        <v>72</v>
      </c>
    </row>
    <row r="754" customFormat="false" ht="15" hidden="false" customHeight="false" outlineLevel="0" collapsed="false">
      <c r="A754" s="15" t="s">
        <v>850</v>
      </c>
      <c r="B754" s="15" t="s">
        <v>5506</v>
      </c>
      <c r="C754" s="14" t="s">
        <v>5592</v>
      </c>
      <c r="D754" s="14" t="s">
        <v>5593</v>
      </c>
      <c r="E754" s="16" t="s">
        <v>5594</v>
      </c>
      <c r="F754" s="16"/>
      <c r="G754" s="23" t="s">
        <v>43</v>
      </c>
      <c r="H754" s="18" t="n">
        <v>4</v>
      </c>
      <c r="I754" s="20" t="n">
        <v>60.67</v>
      </c>
      <c r="J754" s="20" t="n">
        <v>154.93</v>
      </c>
      <c r="K754" s="18" t="n">
        <v>2</v>
      </c>
      <c r="L754" s="18" t="n">
        <v>1</v>
      </c>
      <c r="M754" s="18" t="n">
        <v>98</v>
      </c>
      <c r="N754" s="18" t="n">
        <v>98</v>
      </c>
      <c r="O754" s="14" t="s">
        <v>1126</v>
      </c>
      <c r="P754" s="14" t="s">
        <v>84</v>
      </c>
      <c r="Q754" s="15" t="s">
        <v>1089</v>
      </c>
      <c r="R754" s="16" t="s">
        <v>5595</v>
      </c>
      <c r="S754" s="15" t="s">
        <v>5596</v>
      </c>
      <c r="T754" s="15" t="s">
        <v>5597</v>
      </c>
      <c r="U754" s="21" t="s">
        <v>72</v>
      </c>
    </row>
    <row r="755" customFormat="false" ht="15" hidden="false" customHeight="false" outlineLevel="0" collapsed="false">
      <c r="A755" s="15" t="s">
        <v>850</v>
      </c>
      <c r="B755" s="15" t="s">
        <v>5506</v>
      </c>
      <c r="C755" s="14" t="s">
        <v>5598</v>
      </c>
      <c r="D755" s="14" t="s">
        <v>5599</v>
      </c>
      <c r="E755" s="16" t="s">
        <v>5600</v>
      </c>
      <c r="F755" s="16"/>
      <c r="G755" s="23" t="s">
        <v>43</v>
      </c>
      <c r="H755" s="18" t="n">
        <v>2</v>
      </c>
      <c r="I755" s="20" t="n">
        <v>49.9</v>
      </c>
      <c r="J755" s="20" t="n">
        <v>126.32</v>
      </c>
      <c r="K755" s="18" t="n">
        <v>2</v>
      </c>
      <c r="L755" s="18" t="n">
        <v>1</v>
      </c>
      <c r="M755" s="18" t="n">
        <v>38</v>
      </c>
      <c r="N755" s="18" t="n">
        <v>38</v>
      </c>
      <c r="O755" s="14" t="s">
        <v>1097</v>
      </c>
      <c r="P755" s="14" t="s">
        <v>84</v>
      </c>
      <c r="Q755" s="15" t="s">
        <v>1089</v>
      </c>
      <c r="R755" s="16" t="s">
        <v>4698</v>
      </c>
      <c r="S755" s="15" t="s">
        <v>5601</v>
      </c>
      <c r="T755" s="15" t="s">
        <v>5601</v>
      </c>
      <c r="U755" s="21" t="s">
        <v>72</v>
      </c>
    </row>
    <row r="756" customFormat="false" ht="26.85" hidden="false" customHeight="false" outlineLevel="0" collapsed="false">
      <c r="A756" s="15" t="s">
        <v>850</v>
      </c>
      <c r="B756" s="15" t="s">
        <v>5506</v>
      </c>
      <c r="C756" s="14" t="s">
        <v>5602</v>
      </c>
      <c r="D756" s="14" t="s">
        <v>5603</v>
      </c>
      <c r="E756" s="16" t="s">
        <v>5604</v>
      </c>
      <c r="F756" s="16" t="s">
        <v>5605</v>
      </c>
      <c r="G756" s="25" t="s">
        <v>39</v>
      </c>
      <c r="H756" s="18" t="n">
        <v>13</v>
      </c>
      <c r="I756" s="20" t="n">
        <v>355.7</v>
      </c>
      <c r="J756" s="20" t="n">
        <v>1062.2</v>
      </c>
      <c r="K756" s="18" t="n">
        <v>7</v>
      </c>
      <c r="L756" s="18" t="n">
        <v>9</v>
      </c>
      <c r="M756" s="18" t="n">
        <v>161</v>
      </c>
      <c r="N756" s="18" t="n">
        <v>161</v>
      </c>
      <c r="O756" s="14" t="s">
        <v>5606</v>
      </c>
      <c r="P756" s="14" t="s">
        <v>118</v>
      </c>
      <c r="Q756" s="15" t="s">
        <v>1089</v>
      </c>
      <c r="R756" s="16" t="s">
        <v>5607</v>
      </c>
      <c r="S756" s="15" t="s">
        <v>5608</v>
      </c>
      <c r="T756" s="15" t="s">
        <v>5608</v>
      </c>
      <c r="U756" s="21" t="s">
        <v>72</v>
      </c>
    </row>
    <row r="757" customFormat="false" ht="15" hidden="false" customHeight="false" outlineLevel="0" collapsed="false">
      <c r="A757" s="15" t="s">
        <v>850</v>
      </c>
      <c r="B757" s="15" t="s">
        <v>5506</v>
      </c>
      <c r="C757" s="14" t="s">
        <v>5609</v>
      </c>
      <c r="D757" s="14" t="s">
        <v>5610</v>
      </c>
      <c r="E757" s="16" t="s">
        <v>5611</v>
      </c>
      <c r="F757" s="16"/>
      <c r="G757" s="23" t="s">
        <v>43</v>
      </c>
      <c r="H757" s="18" t="n">
        <v>3</v>
      </c>
      <c r="I757" s="20" t="n">
        <v>70.64</v>
      </c>
      <c r="J757" s="20" t="n">
        <v>137.48</v>
      </c>
      <c r="K757" s="18" t="n">
        <v>3</v>
      </c>
      <c r="L757" s="18" t="n">
        <v>1</v>
      </c>
      <c r="M757" s="18" t="n">
        <v>99</v>
      </c>
      <c r="N757" s="18" t="n">
        <v>15</v>
      </c>
      <c r="O757" s="14" t="s">
        <v>4343</v>
      </c>
      <c r="P757" s="14" t="s">
        <v>118</v>
      </c>
      <c r="Q757" s="15" t="s">
        <v>1089</v>
      </c>
      <c r="R757" s="16" t="s">
        <v>5612</v>
      </c>
      <c r="S757" s="15" t="s">
        <v>5551</v>
      </c>
      <c r="T757" s="15" t="s">
        <v>5613</v>
      </c>
      <c r="U757" s="21" t="s">
        <v>72</v>
      </c>
    </row>
    <row r="758" customFormat="false" ht="15" hidden="false" customHeight="false" outlineLevel="0" collapsed="false">
      <c r="A758" s="15" t="s">
        <v>850</v>
      </c>
      <c r="B758" s="15" t="s">
        <v>5506</v>
      </c>
      <c r="C758" s="14" t="s">
        <v>5614</v>
      </c>
      <c r="D758" s="14" t="s">
        <v>5615</v>
      </c>
      <c r="E758" s="16" t="s">
        <v>5616</v>
      </c>
      <c r="F758" s="16"/>
      <c r="G758" s="23" t="s">
        <v>43</v>
      </c>
      <c r="H758" s="18" t="n">
        <v>2</v>
      </c>
      <c r="I758" s="20" t="n">
        <v>31.8754</v>
      </c>
      <c r="J758" s="20" t="n">
        <v>70.84</v>
      </c>
      <c r="K758" s="18" t="n">
        <v>2</v>
      </c>
      <c r="L758" s="18"/>
      <c r="M758" s="18" t="n">
        <v>30</v>
      </c>
      <c r="N758" s="18" t="n">
        <v>30</v>
      </c>
      <c r="O758" s="14" t="s">
        <v>1126</v>
      </c>
      <c r="P758" s="14" t="s">
        <v>84</v>
      </c>
      <c r="Q758" s="15" t="s">
        <v>1089</v>
      </c>
      <c r="R758" s="16" t="s">
        <v>5617</v>
      </c>
      <c r="S758" s="15" t="s">
        <v>5618</v>
      </c>
      <c r="T758" s="15" t="s">
        <v>5618</v>
      </c>
      <c r="U758" s="21" t="s">
        <v>72</v>
      </c>
    </row>
    <row r="759" customFormat="false" ht="26.85" hidden="false" customHeight="false" outlineLevel="0" collapsed="false">
      <c r="A759" s="15" t="s">
        <v>850</v>
      </c>
      <c r="B759" s="15" t="s">
        <v>5506</v>
      </c>
      <c r="C759" s="14" t="s">
        <v>5619</v>
      </c>
      <c r="D759" s="14" t="s">
        <v>5620</v>
      </c>
      <c r="E759" s="16" t="s">
        <v>5621</v>
      </c>
      <c r="F759" s="16" t="s">
        <v>5622</v>
      </c>
      <c r="G759" s="19" t="s">
        <v>41</v>
      </c>
      <c r="H759" s="18" t="n">
        <v>5</v>
      </c>
      <c r="I759" s="20" t="n">
        <v>108.14</v>
      </c>
      <c r="J759" s="20" t="n">
        <v>154.57</v>
      </c>
      <c r="K759" s="18" t="n">
        <v>4</v>
      </c>
      <c r="L759" s="18" t="n">
        <v>1</v>
      </c>
      <c r="M759" s="18" t="n">
        <v>176</v>
      </c>
      <c r="N759" s="18" t="n">
        <v>78</v>
      </c>
      <c r="O759" s="14" t="s">
        <v>4343</v>
      </c>
      <c r="P759" s="14" t="s">
        <v>1185</v>
      </c>
      <c r="Q759" s="15" t="s">
        <v>1089</v>
      </c>
      <c r="R759" s="16" t="s">
        <v>5623</v>
      </c>
      <c r="S759" s="15" t="s">
        <v>5624</v>
      </c>
      <c r="T759" s="15" t="s">
        <v>5625</v>
      </c>
      <c r="U759" s="21" t="s">
        <v>72</v>
      </c>
    </row>
    <row r="760" customFormat="false" ht="15" hidden="false" customHeight="false" outlineLevel="0" collapsed="false">
      <c r="A760" s="15" t="s">
        <v>850</v>
      </c>
      <c r="B760" s="15" t="s">
        <v>5506</v>
      </c>
      <c r="C760" s="14" t="s">
        <v>5626</v>
      </c>
      <c r="D760" s="14" t="s">
        <v>5627</v>
      </c>
      <c r="E760" s="16" t="s">
        <v>5628</v>
      </c>
      <c r="F760" s="16" t="s">
        <v>5629</v>
      </c>
      <c r="G760" s="23" t="s">
        <v>43</v>
      </c>
      <c r="H760" s="18" t="n">
        <v>2</v>
      </c>
      <c r="I760" s="20" t="n">
        <v>46.73</v>
      </c>
      <c r="J760" s="20" t="n">
        <v>147.02</v>
      </c>
      <c r="K760" s="18" t="n">
        <v>2</v>
      </c>
      <c r="L760" s="18" t="n">
        <v>3</v>
      </c>
      <c r="M760" s="18" t="n">
        <v>38</v>
      </c>
      <c r="N760" s="18" t="n">
        <v>19</v>
      </c>
      <c r="O760" s="14" t="s">
        <v>4343</v>
      </c>
      <c r="P760" s="14" t="s">
        <v>118</v>
      </c>
      <c r="Q760" s="15" t="s">
        <v>1089</v>
      </c>
      <c r="R760" s="16" t="s">
        <v>5630</v>
      </c>
      <c r="S760" s="15" t="s">
        <v>5631</v>
      </c>
      <c r="T760" s="15" t="s">
        <v>5631</v>
      </c>
      <c r="U760" s="21" t="s">
        <v>72</v>
      </c>
    </row>
    <row r="761" customFormat="false" ht="39.55" hidden="false" customHeight="false" outlineLevel="0" collapsed="false">
      <c r="A761" s="15" t="s">
        <v>850</v>
      </c>
      <c r="B761" s="15" t="s">
        <v>5506</v>
      </c>
      <c r="C761" s="14" t="s">
        <v>5632</v>
      </c>
      <c r="D761" s="14" t="s">
        <v>5633</v>
      </c>
      <c r="E761" s="16" t="s">
        <v>5634</v>
      </c>
      <c r="F761" s="16" t="s">
        <v>5635</v>
      </c>
      <c r="G761" s="23" t="s">
        <v>43</v>
      </c>
      <c r="H761" s="18" t="n">
        <v>3</v>
      </c>
      <c r="I761" s="20" t="n">
        <v>74.57</v>
      </c>
      <c r="J761" s="20" t="n">
        <v>136.74</v>
      </c>
      <c r="K761" s="18" t="n">
        <v>4</v>
      </c>
      <c r="L761" s="18" t="n">
        <v>7</v>
      </c>
      <c r="M761" s="18" t="n">
        <v>88</v>
      </c>
      <c r="N761" s="18" t="n">
        <v>44</v>
      </c>
      <c r="O761" s="14" t="s">
        <v>5636</v>
      </c>
      <c r="P761" s="14" t="s">
        <v>952</v>
      </c>
      <c r="Q761" s="15" t="s">
        <v>1089</v>
      </c>
      <c r="R761" s="16" t="s">
        <v>5637</v>
      </c>
      <c r="S761" s="15" t="s">
        <v>5638</v>
      </c>
      <c r="T761" s="15" t="s">
        <v>5639</v>
      </c>
      <c r="U761" s="21" t="s">
        <v>72</v>
      </c>
    </row>
    <row r="762" customFormat="false" ht="15" hidden="false" customHeight="false" outlineLevel="0" collapsed="false">
      <c r="A762" s="15" t="s">
        <v>850</v>
      </c>
      <c r="B762" s="15" t="s">
        <v>5506</v>
      </c>
      <c r="C762" s="14" t="s">
        <v>5640</v>
      </c>
      <c r="D762" s="14" t="s">
        <v>5641</v>
      </c>
      <c r="E762" s="16" t="s">
        <v>5642</v>
      </c>
      <c r="F762" s="16" t="s">
        <v>5643</v>
      </c>
      <c r="G762" s="23" t="s">
        <v>43</v>
      </c>
      <c r="H762" s="18" t="n">
        <v>3</v>
      </c>
      <c r="I762" s="20" t="n">
        <v>41.25</v>
      </c>
      <c r="J762" s="20" t="n">
        <v>109.45</v>
      </c>
      <c r="K762" s="18" t="n">
        <v>7</v>
      </c>
      <c r="L762" s="18" t="n">
        <v>3</v>
      </c>
      <c r="M762" s="18" t="n">
        <v>89</v>
      </c>
      <c r="N762" s="18" t="n">
        <v>70</v>
      </c>
      <c r="O762" s="14" t="s">
        <v>5503</v>
      </c>
      <c r="P762" s="14" t="s">
        <v>118</v>
      </c>
      <c r="Q762" s="15" t="s">
        <v>1089</v>
      </c>
      <c r="R762" s="16" t="s">
        <v>5644</v>
      </c>
      <c r="S762" s="15" t="s">
        <v>5645</v>
      </c>
      <c r="T762" s="15" t="s">
        <v>5646</v>
      </c>
      <c r="U762" s="21" t="s">
        <v>72</v>
      </c>
    </row>
    <row r="763" customFormat="false" ht="39.55" hidden="false" customHeight="false" outlineLevel="0" collapsed="false">
      <c r="A763" s="15" t="s">
        <v>850</v>
      </c>
      <c r="B763" s="15" t="s">
        <v>5506</v>
      </c>
      <c r="C763" s="14" t="s">
        <v>5647</v>
      </c>
      <c r="D763" s="14" t="s">
        <v>5648</v>
      </c>
      <c r="E763" s="16" t="s">
        <v>5649</v>
      </c>
      <c r="F763" s="16" t="s">
        <v>5650</v>
      </c>
      <c r="G763" s="25" t="s">
        <v>39</v>
      </c>
      <c r="H763" s="18" t="n">
        <v>9</v>
      </c>
      <c r="I763" s="20" t="n">
        <v>245.58</v>
      </c>
      <c r="J763" s="20" t="n">
        <v>469.7</v>
      </c>
      <c r="K763" s="18" t="n">
        <v>16</v>
      </c>
      <c r="L763" s="18" t="n">
        <v>10</v>
      </c>
      <c r="M763" s="18" t="n">
        <v>356</v>
      </c>
      <c r="N763" s="18" t="n">
        <v>240</v>
      </c>
      <c r="O763" s="14" t="s">
        <v>4935</v>
      </c>
      <c r="P763" s="14" t="s">
        <v>952</v>
      </c>
      <c r="Q763" s="15" t="s">
        <v>1089</v>
      </c>
      <c r="R763" s="16" t="s">
        <v>5651</v>
      </c>
      <c r="S763" s="15" t="s">
        <v>5652</v>
      </c>
      <c r="T763" s="15" t="s">
        <v>5653</v>
      </c>
      <c r="U763" s="21" t="s">
        <v>72</v>
      </c>
    </row>
    <row r="764" customFormat="false" ht="15" hidden="false" customHeight="false" outlineLevel="0" collapsed="false">
      <c r="A764" s="15" t="s">
        <v>850</v>
      </c>
      <c r="B764" s="15" t="s">
        <v>5506</v>
      </c>
      <c r="C764" s="14" t="s">
        <v>5654</v>
      </c>
      <c r="D764" s="14" t="s">
        <v>5655</v>
      </c>
      <c r="E764" s="16" t="s">
        <v>5656</v>
      </c>
      <c r="F764" s="16"/>
      <c r="G764" s="19" t="s">
        <v>41</v>
      </c>
      <c r="H764" s="18" t="n">
        <v>5</v>
      </c>
      <c r="I764" s="20" t="n">
        <v>48.58</v>
      </c>
      <c r="J764" s="20" t="n">
        <v>172.39</v>
      </c>
      <c r="K764" s="18" t="n">
        <v>4</v>
      </c>
      <c r="L764" s="18" t="n">
        <v>3</v>
      </c>
      <c r="M764" s="18" t="n">
        <v>92</v>
      </c>
      <c r="N764" s="18" t="n">
        <v>46</v>
      </c>
      <c r="O764" s="14" t="s">
        <v>4215</v>
      </c>
      <c r="P764" s="14" t="s">
        <v>118</v>
      </c>
      <c r="Q764" s="15" t="s">
        <v>1089</v>
      </c>
      <c r="R764" s="16" t="s">
        <v>5657</v>
      </c>
      <c r="S764" s="15" t="s">
        <v>5658</v>
      </c>
      <c r="T764" s="15" t="s">
        <v>5659</v>
      </c>
      <c r="U764" s="21" t="s">
        <v>72</v>
      </c>
    </row>
    <row r="765" customFormat="false" ht="26.85" hidden="false" customHeight="false" outlineLevel="0" collapsed="false">
      <c r="A765" s="15" t="s">
        <v>850</v>
      </c>
      <c r="B765" s="15" t="s">
        <v>5506</v>
      </c>
      <c r="C765" s="14" t="s">
        <v>5660</v>
      </c>
      <c r="D765" s="14" t="s">
        <v>5661</v>
      </c>
      <c r="E765" s="16" t="s">
        <v>5662</v>
      </c>
      <c r="F765" s="16" t="s">
        <v>5663</v>
      </c>
      <c r="G765" s="23" t="s">
        <v>43</v>
      </c>
      <c r="H765" s="18" t="n">
        <v>2</v>
      </c>
      <c r="I765" s="20" t="n">
        <v>42.19</v>
      </c>
      <c r="J765" s="20" t="n">
        <v>178.835</v>
      </c>
      <c r="K765" s="18" t="n">
        <v>8</v>
      </c>
      <c r="L765" s="18" t="n">
        <v>18</v>
      </c>
      <c r="M765" s="18" t="n">
        <v>176</v>
      </c>
      <c r="N765" s="18" t="n">
        <v>44</v>
      </c>
      <c r="O765" s="14" t="s">
        <v>5664</v>
      </c>
      <c r="P765" s="14" t="s">
        <v>906</v>
      </c>
      <c r="Q765" s="15" t="s">
        <v>1089</v>
      </c>
      <c r="R765" s="16" t="s">
        <v>5665</v>
      </c>
      <c r="S765" s="15" t="s">
        <v>5666</v>
      </c>
      <c r="T765" s="15" t="s">
        <v>5667</v>
      </c>
      <c r="U765" s="21" t="s">
        <v>72</v>
      </c>
    </row>
    <row r="766" customFormat="false" ht="15" hidden="false" customHeight="false" outlineLevel="0" collapsed="false">
      <c r="A766" s="15" t="s">
        <v>850</v>
      </c>
      <c r="B766" s="15" t="s">
        <v>5506</v>
      </c>
      <c r="C766" s="14" t="s">
        <v>5668</v>
      </c>
      <c r="D766" s="14" t="s">
        <v>5669</v>
      </c>
      <c r="E766" s="16" t="s">
        <v>5670</v>
      </c>
      <c r="F766" s="16" t="s">
        <v>5671</v>
      </c>
      <c r="G766" s="23" t="s">
        <v>43</v>
      </c>
      <c r="H766" s="18" t="n">
        <v>1</v>
      </c>
      <c r="I766" s="20" t="n">
        <v>42.11</v>
      </c>
      <c r="J766" s="20" t="n">
        <v>75.57</v>
      </c>
      <c r="K766" s="18" t="n">
        <v>4</v>
      </c>
      <c r="L766" s="18" t="n">
        <v>1</v>
      </c>
      <c r="M766" s="18" t="n">
        <v>140</v>
      </c>
      <c r="N766" s="18" t="n">
        <v>70</v>
      </c>
      <c r="O766" s="14" t="s">
        <v>1097</v>
      </c>
      <c r="P766" s="14" t="s">
        <v>118</v>
      </c>
      <c r="Q766" s="15" t="s">
        <v>1089</v>
      </c>
      <c r="R766" s="16" t="s">
        <v>5672</v>
      </c>
      <c r="S766" s="15" t="s">
        <v>5673</v>
      </c>
      <c r="T766" s="15" t="s">
        <v>5674</v>
      </c>
      <c r="U766" s="21" t="s">
        <v>72</v>
      </c>
    </row>
    <row r="767" customFormat="false" ht="15" hidden="false" customHeight="false" outlineLevel="0" collapsed="false">
      <c r="A767" s="15" t="s">
        <v>850</v>
      </c>
      <c r="B767" s="15" t="s">
        <v>5506</v>
      </c>
      <c r="C767" s="14" t="s">
        <v>5675</v>
      </c>
      <c r="D767" s="14" t="s">
        <v>5676</v>
      </c>
      <c r="E767" s="16" t="s">
        <v>5677</v>
      </c>
      <c r="F767" s="16" t="s">
        <v>5678</v>
      </c>
      <c r="G767" s="23" t="s">
        <v>43</v>
      </c>
      <c r="H767" s="18" t="n">
        <v>3</v>
      </c>
      <c r="I767" s="20" t="n">
        <v>47.06</v>
      </c>
      <c r="J767" s="20" t="n">
        <v>158.96</v>
      </c>
      <c r="K767" s="18" t="n">
        <v>3</v>
      </c>
      <c r="L767" s="18" t="n">
        <v>1</v>
      </c>
      <c r="M767" s="18" t="n">
        <v>117</v>
      </c>
      <c r="N767" s="18" t="n">
        <v>117</v>
      </c>
      <c r="O767" s="14" t="s">
        <v>1088</v>
      </c>
      <c r="P767" s="14" t="s">
        <v>84</v>
      </c>
      <c r="Q767" s="15" t="s">
        <v>1089</v>
      </c>
      <c r="R767" s="16" t="s">
        <v>5679</v>
      </c>
      <c r="S767" s="15" t="s">
        <v>5680</v>
      </c>
      <c r="T767" s="15" t="s">
        <v>5680</v>
      </c>
      <c r="U767" s="21" t="s">
        <v>72</v>
      </c>
    </row>
    <row r="768" customFormat="false" ht="15" hidden="false" customHeight="false" outlineLevel="0" collapsed="false">
      <c r="A768" s="15" t="s">
        <v>850</v>
      </c>
      <c r="B768" s="15" t="s">
        <v>5506</v>
      </c>
      <c r="C768" s="14" t="s">
        <v>5681</v>
      </c>
      <c r="D768" s="14" t="s">
        <v>5682</v>
      </c>
      <c r="E768" s="16" t="s">
        <v>5683</v>
      </c>
      <c r="F768" s="16" t="s">
        <v>5684</v>
      </c>
      <c r="G768" s="19" t="s">
        <v>41</v>
      </c>
      <c r="H768" s="18" t="n">
        <v>4</v>
      </c>
      <c r="I768" s="20" t="n">
        <v>83.56</v>
      </c>
      <c r="J768" s="20" t="n">
        <v>287.04</v>
      </c>
      <c r="K768" s="18" t="n">
        <v>8</v>
      </c>
      <c r="L768" s="18" t="n">
        <v>9</v>
      </c>
      <c r="M768" s="18" t="n">
        <v>120</v>
      </c>
      <c r="N768" s="18" t="n">
        <v>90</v>
      </c>
      <c r="O768" s="14" t="s">
        <v>4223</v>
      </c>
      <c r="P768" s="14" t="s">
        <v>118</v>
      </c>
      <c r="Q768" s="15" t="s">
        <v>1089</v>
      </c>
      <c r="R768" s="16" t="s">
        <v>5685</v>
      </c>
      <c r="S768" s="15" t="s">
        <v>5686</v>
      </c>
      <c r="T768" s="15" t="s">
        <v>5687</v>
      </c>
      <c r="U768" s="21" t="s">
        <v>72</v>
      </c>
    </row>
    <row r="769" customFormat="false" ht="26.85" hidden="false" customHeight="false" outlineLevel="0" collapsed="false">
      <c r="A769" s="15" t="s">
        <v>850</v>
      </c>
      <c r="B769" s="15" t="s">
        <v>5506</v>
      </c>
      <c r="C769" s="14" t="s">
        <v>5688</v>
      </c>
      <c r="D769" s="14" t="s">
        <v>5689</v>
      </c>
      <c r="E769" s="16" t="s">
        <v>5690</v>
      </c>
      <c r="F769" s="16" t="s">
        <v>5691</v>
      </c>
      <c r="G769" s="19" t="s">
        <v>41</v>
      </c>
      <c r="H769" s="18" t="n">
        <v>7</v>
      </c>
      <c r="I769" s="20" t="n">
        <v>109.54</v>
      </c>
      <c r="J769" s="20" t="n">
        <v>239.72</v>
      </c>
      <c r="K769" s="18" t="n">
        <v>4</v>
      </c>
      <c r="L769" s="18" t="n">
        <v>7</v>
      </c>
      <c r="M769" s="18" t="n">
        <v>66</v>
      </c>
      <c r="N769" s="18" t="n">
        <v>66</v>
      </c>
      <c r="O769" s="14" t="s">
        <v>4296</v>
      </c>
      <c r="P769" s="14" t="s">
        <v>118</v>
      </c>
      <c r="Q769" s="15" t="s">
        <v>1089</v>
      </c>
      <c r="R769" s="16" t="s">
        <v>5692</v>
      </c>
      <c r="S769" s="15" t="s">
        <v>5693</v>
      </c>
      <c r="T769" s="15" t="s">
        <v>5693</v>
      </c>
      <c r="U769" s="21" t="s">
        <v>72</v>
      </c>
    </row>
    <row r="770" customFormat="false" ht="25.35" hidden="false" customHeight="false" outlineLevel="0" collapsed="false">
      <c r="A770" s="15" t="s">
        <v>850</v>
      </c>
      <c r="B770" s="15" t="s">
        <v>5506</v>
      </c>
      <c r="C770" s="14" t="s">
        <v>5694</v>
      </c>
      <c r="D770" s="14" t="s">
        <v>5695</v>
      </c>
      <c r="E770" s="16" t="s">
        <v>5696</v>
      </c>
      <c r="F770" s="16" t="s">
        <v>5697</v>
      </c>
      <c r="G770" s="19" t="s">
        <v>41</v>
      </c>
      <c r="H770" s="18" t="n">
        <v>6</v>
      </c>
      <c r="I770" s="20" t="n">
        <v>159.27</v>
      </c>
      <c r="J770" s="20" t="n">
        <v>339.84</v>
      </c>
      <c r="K770" s="18" t="n">
        <v>4</v>
      </c>
      <c r="L770" s="18" t="n">
        <v>9</v>
      </c>
      <c r="M770" s="18" t="n">
        <v>258</v>
      </c>
      <c r="N770" s="18" t="n">
        <v>258</v>
      </c>
      <c r="O770" s="14" t="s">
        <v>5698</v>
      </c>
      <c r="P770" s="14" t="s">
        <v>118</v>
      </c>
      <c r="Q770" s="15" t="s">
        <v>1089</v>
      </c>
      <c r="R770" s="16" t="s">
        <v>5699</v>
      </c>
      <c r="S770" s="15" t="s">
        <v>5700</v>
      </c>
      <c r="T770" s="15" t="s">
        <v>5700</v>
      </c>
      <c r="U770" s="21" t="s">
        <v>72</v>
      </c>
    </row>
    <row r="771" customFormat="false" ht="26.85" hidden="false" customHeight="false" outlineLevel="0" collapsed="false">
      <c r="A771" s="15" t="s">
        <v>850</v>
      </c>
      <c r="B771" s="15" t="s">
        <v>5506</v>
      </c>
      <c r="C771" s="14" t="s">
        <v>5701</v>
      </c>
      <c r="D771" s="14" t="s">
        <v>5702</v>
      </c>
      <c r="E771" s="16" t="s">
        <v>5703</v>
      </c>
      <c r="F771" s="16"/>
      <c r="G771" s="23" t="s">
        <v>43</v>
      </c>
      <c r="H771" s="18" t="n">
        <v>4</v>
      </c>
      <c r="I771" s="20" t="n">
        <v>131.7</v>
      </c>
      <c r="J771" s="20" t="n">
        <v>195.89</v>
      </c>
      <c r="K771" s="18" t="n">
        <v>4</v>
      </c>
      <c r="L771" s="18" t="n">
        <v>5</v>
      </c>
      <c r="M771" s="18" t="n">
        <v>156</v>
      </c>
      <c r="N771" s="18" t="n">
        <v>156</v>
      </c>
      <c r="O771" s="14" t="s">
        <v>5704</v>
      </c>
      <c r="P771" s="14" t="s">
        <v>118</v>
      </c>
      <c r="Q771" s="15" t="s">
        <v>1089</v>
      </c>
      <c r="R771" s="16" t="s">
        <v>5705</v>
      </c>
      <c r="S771" s="15" t="s">
        <v>5700</v>
      </c>
      <c r="T771" s="15" t="s">
        <v>5706</v>
      </c>
      <c r="U771" s="21" t="s">
        <v>72</v>
      </c>
    </row>
    <row r="772" customFormat="false" ht="26.85" hidden="false" customHeight="false" outlineLevel="0" collapsed="false">
      <c r="A772" s="15" t="s">
        <v>850</v>
      </c>
      <c r="B772" s="15" t="s">
        <v>5506</v>
      </c>
      <c r="C772" s="14" t="s">
        <v>5707</v>
      </c>
      <c r="D772" s="14" t="s">
        <v>5708</v>
      </c>
      <c r="E772" s="16" t="s">
        <v>5709</v>
      </c>
      <c r="F772" s="16"/>
      <c r="G772" s="23" t="s">
        <v>43</v>
      </c>
      <c r="H772" s="18" t="n">
        <v>4</v>
      </c>
      <c r="I772" s="20" t="n">
        <v>64.97</v>
      </c>
      <c r="J772" s="20" t="n">
        <v>148.23</v>
      </c>
      <c r="K772" s="18" t="n">
        <v>5</v>
      </c>
      <c r="L772" s="18" t="n">
        <v>2</v>
      </c>
      <c r="M772" s="18" t="n">
        <v>100</v>
      </c>
      <c r="N772" s="18" t="n">
        <v>80</v>
      </c>
      <c r="O772" s="14" t="s">
        <v>4751</v>
      </c>
      <c r="P772" s="14" t="s">
        <v>118</v>
      </c>
      <c r="Q772" s="15" t="s">
        <v>1089</v>
      </c>
      <c r="R772" s="16" t="s">
        <v>5710</v>
      </c>
      <c r="S772" s="15" t="s">
        <v>5711</v>
      </c>
      <c r="T772" s="15" t="s">
        <v>5712</v>
      </c>
      <c r="U772" s="21" t="s">
        <v>72</v>
      </c>
    </row>
    <row r="773" customFormat="false" ht="26.85" hidden="false" customHeight="false" outlineLevel="0" collapsed="false">
      <c r="A773" s="15" t="s">
        <v>850</v>
      </c>
      <c r="B773" s="15" t="s">
        <v>5506</v>
      </c>
      <c r="C773" s="14" t="s">
        <v>5713</v>
      </c>
      <c r="D773" s="14" t="s">
        <v>5714</v>
      </c>
      <c r="E773" s="16" t="s">
        <v>5715</v>
      </c>
      <c r="F773" s="16" t="s">
        <v>5716</v>
      </c>
      <c r="G773" s="25" t="s">
        <v>39</v>
      </c>
      <c r="H773" s="18" t="n">
        <v>4</v>
      </c>
      <c r="I773" s="20" t="n">
        <v>175.33</v>
      </c>
      <c r="J773" s="20" t="n">
        <v>486.22</v>
      </c>
      <c r="K773" s="18" t="n">
        <v>6</v>
      </c>
      <c r="L773" s="18" t="n">
        <v>10</v>
      </c>
      <c r="M773" s="18" t="n">
        <v>246</v>
      </c>
      <c r="N773" s="18" t="n">
        <v>164</v>
      </c>
      <c r="O773" s="14" t="s">
        <v>5717</v>
      </c>
      <c r="P773" s="14" t="s">
        <v>906</v>
      </c>
      <c r="Q773" s="15" t="s">
        <v>1089</v>
      </c>
      <c r="R773" s="16" t="s">
        <v>5718</v>
      </c>
      <c r="S773" s="15" t="s">
        <v>5652</v>
      </c>
      <c r="T773" s="15" t="s">
        <v>5719</v>
      </c>
      <c r="U773" s="21" t="s">
        <v>72</v>
      </c>
    </row>
    <row r="774" customFormat="false" ht="15" hidden="false" customHeight="false" outlineLevel="0" collapsed="false">
      <c r="A774" s="15" t="s">
        <v>850</v>
      </c>
      <c r="B774" s="15" t="s">
        <v>5506</v>
      </c>
      <c r="C774" s="14" t="s">
        <v>5720</v>
      </c>
      <c r="D774" s="14" t="s">
        <v>5721</v>
      </c>
      <c r="E774" s="16" t="s">
        <v>5722</v>
      </c>
      <c r="F774" s="16" t="s">
        <v>5723</v>
      </c>
      <c r="G774" s="19" t="s">
        <v>41</v>
      </c>
      <c r="H774" s="18" t="n">
        <v>5</v>
      </c>
      <c r="I774" s="20" t="n">
        <v>96.99</v>
      </c>
      <c r="J774" s="20" t="n">
        <v>165.82</v>
      </c>
      <c r="K774" s="18" t="n">
        <v>4</v>
      </c>
      <c r="L774" s="18" t="n">
        <v>3</v>
      </c>
      <c r="M774" s="18" t="n">
        <v>74</v>
      </c>
      <c r="N774" s="18" t="n">
        <v>36</v>
      </c>
      <c r="O774" s="14" t="s">
        <v>1088</v>
      </c>
      <c r="P774" s="14" t="s">
        <v>118</v>
      </c>
      <c r="Q774" s="15" t="s">
        <v>1089</v>
      </c>
      <c r="R774" s="16" t="s">
        <v>5724</v>
      </c>
      <c r="S774" s="15" t="s">
        <v>5725</v>
      </c>
      <c r="T774" s="15" t="s">
        <v>5726</v>
      </c>
      <c r="U774" s="21" t="s">
        <v>72</v>
      </c>
    </row>
    <row r="775" customFormat="false" ht="15" hidden="false" customHeight="false" outlineLevel="0" collapsed="false">
      <c r="A775" s="15" t="s">
        <v>850</v>
      </c>
      <c r="B775" s="15" t="s">
        <v>5506</v>
      </c>
      <c r="C775" s="14" t="s">
        <v>5727</v>
      </c>
      <c r="D775" s="14" t="s">
        <v>5728</v>
      </c>
      <c r="E775" s="16" t="s">
        <v>5729</v>
      </c>
      <c r="F775" s="16" t="s">
        <v>5730</v>
      </c>
      <c r="G775" s="19" t="s">
        <v>41</v>
      </c>
      <c r="H775" s="18" t="n">
        <v>5</v>
      </c>
      <c r="I775" s="20" t="n">
        <v>194.86</v>
      </c>
      <c r="J775" s="20" t="n">
        <v>316.33</v>
      </c>
      <c r="K775" s="18" t="n">
        <v>5</v>
      </c>
      <c r="L775" s="18" t="n">
        <v>1</v>
      </c>
      <c r="M775" s="18" t="n">
        <v>285</v>
      </c>
      <c r="N775" s="18" t="n">
        <v>122</v>
      </c>
      <c r="O775" s="14" t="s">
        <v>1126</v>
      </c>
      <c r="P775" s="14" t="s">
        <v>94</v>
      </c>
      <c r="Q775" s="15" t="s">
        <v>1089</v>
      </c>
      <c r="R775" s="16" t="s">
        <v>5731</v>
      </c>
      <c r="S775" s="15" t="s">
        <v>5732</v>
      </c>
      <c r="T775" s="15" t="s">
        <v>5733</v>
      </c>
      <c r="U775" s="21" t="s">
        <v>72</v>
      </c>
    </row>
    <row r="776" customFormat="false" ht="15" hidden="false" customHeight="false" outlineLevel="0" collapsed="false">
      <c r="A776" s="15" t="s">
        <v>850</v>
      </c>
      <c r="B776" s="15" t="s">
        <v>5506</v>
      </c>
      <c r="C776" s="14" t="s">
        <v>5734</v>
      </c>
      <c r="D776" s="14" t="s">
        <v>5735</v>
      </c>
      <c r="E776" s="16" t="s">
        <v>5736</v>
      </c>
      <c r="F776" s="16" t="s">
        <v>5737</v>
      </c>
      <c r="G776" s="23" t="s">
        <v>43</v>
      </c>
      <c r="H776" s="18" t="n">
        <v>3</v>
      </c>
      <c r="I776" s="20" t="n">
        <v>41.36</v>
      </c>
      <c r="J776" s="20" t="n">
        <v>155.8</v>
      </c>
      <c r="K776" s="18" t="n">
        <v>9</v>
      </c>
      <c r="L776" s="18" t="n">
        <v>3</v>
      </c>
      <c r="M776" s="18" t="n">
        <v>288</v>
      </c>
      <c r="N776" s="18" t="n">
        <v>288</v>
      </c>
      <c r="O776" s="14" t="s">
        <v>4223</v>
      </c>
      <c r="P776" s="14" t="s">
        <v>1166</v>
      </c>
      <c r="Q776" s="15" t="s">
        <v>1089</v>
      </c>
      <c r="R776" s="16" t="s">
        <v>5738</v>
      </c>
      <c r="S776" s="15" t="s">
        <v>5739</v>
      </c>
      <c r="T776" s="15" t="s">
        <v>5739</v>
      </c>
      <c r="U776" s="21" t="s">
        <v>72</v>
      </c>
    </row>
    <row r="777" customFormat="false" ht="15" hidden="false" customHeight="false" outlineLevel="0" collapsed="false">
      <c r="A777" s="15" t="s">
        <v>850</v>
      </c>
      <c r="B777" s="15" t="s">
        <v>5506</v>
      </c>
      <c r="C777" s="14" t="s">
        <v>5740</v>
      </c>
      <c r="D777" s="14" t="s">
        <v>5741</v>
      </c>
      <c r="E777" s="16" t="s">
        <v>5742</v>
      </c>
      <c r="F777" s="16"/>
      <c r="G777" s="23" t="s">
        <v>43</v>
      </c>
      <c r="H777" s="18" t="n">
        <v>4</v>
      </c>
      <c r="I777" s="20" t="n">
        <v>38</v>
      </c>
      <c r="J777" s="20" t="n">
        <v>78.78</v>
      </c>
      <c r="K777" s="18" t="n">
        <v>4</v>
      </c>
      <c r="L777" s="18" t="n">
        <v>1</v>
      </c>
      <c r="M777" s="18" t="n">
        <v>32</v>
      </c>
      <c r="N777" s="18" t="n">
        <v>32</v>
      </c>
      <c r="O777" s="14" t="s">
        <v>4223</v>
      </c>
      <c r="P777" s="14" t="s">
        <v>84</v>
      </c>
      <c r="Q777" s="15" t="s">
        <v>1089</v>
      </c>
      <c r="R777" s="16" t="s">
        <v>5743</v>
      </c>
      <c r="S777" s="15" t="s">
        <v>5744</v>
      </c>
      <c r="T777" s="15" t="s">
        <v>5745</v>
      </c>
      <c r="U777" s="21" t="s">
        <v>72</v>
      </c>
    </row>
    <row r="778" customFormat="false" ht="15" hidden="false" customHeight="false" outlineLevel="0" collapsed="false">
      <c r="A778" s="15" t="s">
        <v>850</v>
      </c>
      <c r="B778" s="15" t="s">
        <v>5506</v>
      </c>
      <c r="C778" s="14" t="s">
        <v>5746</v>
      </c>
      <c r="D778" s="14" t="s">
        <v>5747</v>
      </c>
      <c r="E778" s="16" t="s">
        <v>5748</v>
      </c>
      <c r="F778" s="16"/>
      <c r="G778" s="19" t="s">
        <v>41</v>
      </c>
      <c r="H778" s="18" t="n">
        <v>5</v>
      </c>
      <c r="I778" s="20" t="n">
        <v>31.75</v>
      </c>
      <c r="J778" s="20" t="n">
        <v>184.91</v>
      </c>
      <c r="K778" s="18" t="n">
        <v>5</v>
      </c>
      <c r="L778" s="18" t="n">
        <v>14</v>
      </c>
      <c r="M778" s="18" t="n">
        <v>79</v>
      </c>
      <c r="N778" s="18" t="n">
        <v>14</v>
      </c>
      <c r="O778" s="14" t="s">
        <v>4215</v>
      </c>
      <c r="P778" s="14" t="s">
        <v>118</v>
      </c>
      <c r="Q778" s="15" t="s">
        <v>1089</v>
      </c>
      <c r="R778" s="16" t="s">
        <v>5749</v>
      </c>
      <c r="S778" s="15" t="s">
        <v>5750</v>
      </c>
      <c r="T778" s="15" t="s">
        <v>5751</v>
      </c>
      <c r="U778" s="21" t="s">
        <v>72</v>
      </c>
    </row>
    <row r="779" customFormat="false" ht="15" hidden="false" customHeight="false" outlineLevel="0" collapsed="false">
      <c r="A779" s="15" t="s">
        <v>850</v>
      </c>
      <c r="B779" s="15" t="s">
        <v>5506</v>
      </c>
      <c r="C779" s="14" t="s">
        <v>5752</v>
      </c>
      <c r="D779" s="14" t="s">
        <v>5753</v>
      </c>
      <c r="E779" s="16" t="s">
        <v>5754</v>
      </c>
      <c r="F779" s="16" t="s">
        <v>5755</v>
      </c>
      <c r="G779" s="23" t="s">
        <v>43</v>
      </c>
      <c r="H779" s="18" t="n">
        <v>4</v>
      </c>
      <c r="I779" s="20" t="n">
        <v>83.42</v>
      </c>
      <c r="J779" s="20" t="n">
        <v>196.51</v>
      </c>
      <c r="K779" s="18" t="n">
        <v>4</v>
      </c>
      <c r="L779" s="18" t="n">
        <v>2</v>
      </c>
      <c r="M779" s="18" t="n">
        <v>136</v>
      </c>
      <c r="N779" s="18" t="n">
        <v>72</v>
      </c>
      <c r="O779" s="14" t="s">
        <v>1088</v>
      </c>
      <c r="P779" s="14" t="s">
        <v>1166</v>
      </c>
      <c r="Q779" s="15" t="s">
        <v>1089</v>
      </c>
      <c r="R779" s="16" t="s">
        <v>5679</v>
      </c>
      <c r="S779" s="15" t="s">
        <v>5756</v>
      </c>
      <c r="T779" s="15" t="s">
        <v>5756</v>
      </c>
      <c r="U779" s="21" t="s">
        <v>72</v>
      </c>
    </row>
    <row r="780" customFormat="false" ht="15" hidden="false" customHeight="false" outlineLevel="0" collapsed="false">
      <c r="A780" s="15" t="s">
        <v>850</v>
      </c>
      <c r="B780" s="15" t="s">
        <v>5506</v>
      </c>
      <c r="C780" s="14" t="s">
        <v>5757</v>
      </c>
      <c r="D780" s="14" t="s">
        <v>5758</v>
      </c>
      <c r="E780" s="16" t="s">
        <v>5759</v>
      </c>
      <c r="F780" s="16" t="s">
        <v>5760</v>
      </c>
      <c r="G780" s="23" t="s">
        <v>43</v>
      </c>
      <c r="H780" s="18" t="n">
        <v>3</v>
      </c>
      <c r="I780" s="20" t="n">
        <v>48.4</v>
      </c>
      <c r="J780" s="20" t="n">
        <v>125</v>
      </c>
      <c r="K780" s="18" t="n">
        <v>3</v>
      </c>
      <c r="L780" s="18" t="n">
        <v>4</v>
      </c>
      <c r="M780" s="18" t="n">
        <v>120</v>
      </c>
      <c r="N780" s="18" t="n">
        <v>120</v>
      </c>
      <c r="O780" s="14" t="s">
        <v>1088</v>
      </c>
      <c r="P780" s="14" t="s">
        <v>84</v>
      </c>
      <c r="Q780" s="15" t="s">
        <v>1089</v>
      </c>
      <c r="R780" s="16" t="s">
        <v>1634</v>
      </c>
      <c r="S780" s="15" t="s">
        <v>5761</v>
      </c>
      <c r="T780" s="15" t="s">
        <v>5761</v>
      </c>
      <c r="U780" s="21" t="s">
        <v>72</v>
      </c>
    </row>
    <row r="781" customFormat="false" ht="15" hidden="false" customHeight="false" outlineLevel="0" collapsed="false">
      <c r="A781" s="15" t="s">
        <v>850</v>
      </c>
      <c r="B781" s="15" t="s">
        <v>5762</v>
      </c>
      <c r="C781" s="13" t="s">
        <v>5763</v>
      </c>
      <c r="D781" s="14" t="s">
        <v>5764</v>
      </c>
      <c r="E781" s="16" t="s">
        <v>5765</v>
      </c>
      <c r="F781" s="16" t="s">
        <v>5766</v>
      </c>
      <c r="G781" s="23" t="s">
        <v>43</v>
      </c>
      <c r="H781" s="18" t="n">
        <v>3</v>
      </c>
      <c r="I781" s="20" t="n">
        <v>45.98</v>
      </c>
      <c r="J781" s="20" t="n">
        <v>81.52</v>
      </c>
      <c r="K781" s="18" t="n">
        <v>4</v>
      </c>
      <c r="L781" s="18" t="n">
        <v>1</v>
      </c>
      <c r="M781" s="18" t="n">
        <v>52</v>
      </c>
      <c r="N781" s="18" t="n">
        <v>20</v>
      </c>
      <c r="O781" s="14" t="s">
        <v>4215</v>
      </c>
      <c r="P781" s="14" t="s">
        <v>118</v>
      </c>
      <c r="Q781" s="15" t="s">
        <v>1089</v>
      </c>
      <c r="R781" s="16" t="s">
        <v>5607</v>
      </c>
      <c r="S781" s="15" t="s">
        <v>5767</v>
      </c>
      <c r="T781" s="15" t="s">
        <v>5767</v>
      </c>
      <c r="U781" s="21" t="s">
        <v>72</v>
      </c>
    </row>
    <row r="782" customFormat="false" ht="26.85" hidden="false" customHeight="false" outlineLevel="0" collapsed="false">
      <c r="A782" s="15" t="s">
        <v>850</v>
      </c>
      <c r="B782" s="15" t="s">
        <v>5762</v>
      </c>
      <c r="C782" s="14" t="s">
        <v>5768</v>
      </c>
      <c r="D782" s="14" t="s">
        <v>5769</v>
      </c>
      <c r="E782" s="16" t="s">
        <v>5770</v>
      </c>
      <c r="F782" s="16"/>
      <c r="G782" s="25" t="s">
        <v>39</v>
      </c>
      <c r="H782" s="18" t="n">
        <v>8</v>
      </c>
      <c r="I782" s="20" t="n">
        <v>214.46</v>
      </c>
      <c r="J782" s="20" t="n">
        <v>476.53</v>
      </c>
      <c r="K782" s="18" t="n">
        <v>23</v>
      </c>
      <c r="L782" s="18" t="n">
        <v>16</v>
      </c>
      <c r="M782" s="18" t="n">
        <v>506</v>
      </c>
      <c r="N782" s="18" t="n">
        <v>396</v>
      </c>
      <c r="O782" s="14" t="s">
        <v>4446</v>
      </c>
      <c r="P782" s="14" t="s">
        <v>118</v>
      </c>
      <c r="Q782" s="15" t="s">
        <v>1089</v>
      </c>
      <c r="R782" s="16" t="s">
        <v>1685</v>
      </c>
      <c r="S782" s="15" t="s">
        <v>5771</v>
      </c>
      <c r="T782" s="15" t="s">
        <v>5772</v>
      </c>
      <c r="U782" s="21" t="s">
        <v>72</v>
      </c>
    </row>
    <row r="783" customFormat="false" ht="15" hidden="false" customHeight="false" outlineLevel="0" collapsed="false">
      <c r="A783" s="15" t="s">
        <v>850</v>
      </c>
      <c r="B783" s="15" t="s">
        <v>5762</v>
      </c>
      <c r="C783" s="14" t="s">
        <v>5773</v>
      </c>
      <c r="D783" s="14" t="s">
        <v>5774</v>
      </c>
      <c r="E783" s="16" t="s">
        <v>5775</v>
      </c>
      <c r="F783" s="16"/>
      <c r="G783" s="19" t="s">
        <v>41</v>
      </c>
      <c r="H783" s="18" t="n">
        <v>6</v>
      </c>
      <c r="I783" s="20" t="n">
        <v>66.97</v>
      </c>
      <c r="J783" s="20" t="n">
        <v>166.59</v>
      </c>
      <c r="K783" s="18" t="n">
        <v>6</v>
      </c>
      <c r="L783" s="18" t="n">
        <v>2</v>
      </c>
      <c r="M783" s="18" t="n">
        <v>75</v>
      </c>
      <c r="N783" s="18" t="n">
        <v>36</v>
      </c>
      <c r="O783" s="14" t="s">
        <v>4385</v>
      </c>
      <c r="P783" s="14" t="s">
        <v>84</v>
      </c>
      <c r="Q783" s="15" t="s">
        <v>1089</v>
      </c>
      <c r="R783" s="16" t="s">
        <v>5776</v>
      </c>
      <c r="S783" s="15" t="s">
        <v>5777</v>
      </c>
      <c r="T783" s="15" t="s">
        <v>5777</v>
      </c>
      <c r="U783" s="21" t="s">
        <v>72</v>
      </c>
    </row>
    <row r="784" customFormat="false" ht="15" hidden="false" customHeight="false" outlineLevel="0" collapsed="false">
      <c r="A784" s="15" t="s">
        <v>850</v>
      </c>
      <c r="B784" s="15" t="s">
        <v>5762</v>
      </c>
      <c r="C784" s="14" t="s">
        <v>5778</v>
      </c>
      <c r="D784" s="14" t="s">
        <v>5779</v>
      </c>
      <c r="E784" s="16" t="s">
        <v>5780</v>
      </c>
      <c r="F784" s="16" t="s">
        <v>5781</v>
      </c>
      <c r="G784" s="23" t="s">
        <v>43</v>
      </c>
      <c r="H784" s="18" t="n">
        <v>3</v>
      </c>
      <c r="I784" s="20" t="n">
        <v>44.83</v>
      </c>
      <c r="J784" s="20" t="n">
        <v>113.8</v>
      </c>
      <c r="K784" s="18" t="n">
        <v>3</v>
      </c>
      <c r="L784" s="18" t="n">
        <v>1</v>
      </c>
      <c r="M784" s="18" t="n">
        <v>37</v>
      </c>
      <c r="N784" s="18" t="n">
        <v>37</v>
      </c>
      <c r="O784" s="14" t="s">
        <v>5782</v>
      </c>
      <c r="P784" s="14" t="s">
        <v>118</v>
      </c>
      <c r="Q784" s="15" t="s">
        <v>1089</v>
      </c>
      <c r="R784" s="16" t="s">
        <v>5783</v>
      </c>
      <c r="S784" s="15" t="s">
        <v>5784</v>
      </c>
      <c r="T784" s="15" t="s">
        <v>5784</v>
      </c>
      <c r="U784" s="21" t="s">
        <v>72</v>
      </c>
    </row>
    <row r="785" customFormat="false" ht="15" hidden="false" customHeight="false" outlineLevel="0" collapsed="false">
      <c r="A785" s="15" t="s">
        <v>850</v>
      </c>
      <c r="B785" s="15" t="s">
        <v>5762</v>
      </c>
      <c r="C785" s="14" t="s">
        <v>5785</v>
      </c>
      <c r="D785" s="14" t="s">
        <v>5786</v>
      </c>
      <c r="E785" s="16" t="s">
        <v>5787</v>
      </c>
      <c r="F785" s="16" t="s">
        <v>1104</v>
      </c>
      <c r="G785" s="23" t="s">
        <v>43</v>
      </c>
      <c r="H785" s="18" t="n">
        <v>1</v>
      </c>
      <c r="I785" s="20" t="n">
        <v>57.42</v>
      </c>
      <c r="J785" s="20" t="n">
        <v>138.65</v>
      </c>
      <c r="K785" s="18" t="n">
        <v>3</v>
      </c>
      <c r="L785" s="18" t="n">
        <v>38</v>
      </c>
      <c r="M785" s="18" t="n">
        <v>141</v>
      </c>
      <c r="N785" s="18" t="n">
        <v>94</v>
      </c>
      <c r="O785" s="14" t="s">
        <v>4215</v>
      </c>
      <c r="P785" s="14" t="s">
        <v>118</v>
      </c>
      <c r="Q785" s="15" t="s">
        <v>1089</v>
      </c>
      <c r="R785" s="16" t="s">
        <v>5788</v>
      </c>
      <c r="S785" s="15" t="s">
        <v>1106</v>
      </c>
      <c r="T785" s="15" t="s">
        <v>5789</v>
      </c>
      <c r="U785" s="21" t="s">
        <v>72</v>
      </c>
    </row>
    <row r="786" customFormat="false" ht="15" hidden="false" customHeight="false" outlineLevel="0" collapsed="false">
      <c r="A786" s="15" t="s">
        <v>850</v>
      </c>
      <c r="B786" s="15" t="s">
        <v>5762</v>
      </c>
      <c r="C786" s="14" t="s">
        <v>5790</v>
      </c>
      <c r="D786" s="14" t="s">
        <v>5791</v>
      </c>
      <c r="E786" s="16" t="s">
        <v>5792</v>
      </c>
      <c r="F786" s="16" t="s">
        <v>5793</v>
      </c>
      <c r="G786" s="25" t="s">
        <v>39</v>
      </c>
      <c r="H786" s="18" t="n">
        <v>8</v>
      </c>
      <c r="I786" s="20" t="n">
        <v>156.36</v>
      </c>
      <c r="J786" s="20" t="n">
        <v>304.09</v>
      </c>
      <c r="K786" s="18" t="n">
        <v>18</v>
      </c>
      <c r="L786" s="18" t="n">
        <v>19</v>
      </c>
      <c r="M786" s="18" t="n">
        <v>396</v>
      </c>
      <c r="N786" s="18" t="n">
        <v>264</v>
      </c>
      <c r="O786" s="14" t="s">
        <v>4215</v>
      </c>
      <c r="P786" s="14" t="s">
        <v>118</v>
      </c>
      <c r="Q786" s="15" t="s">
        <v>1089</v>
      </c>
      <c r="R786" s="16" t="s">
        <v>5794</v>
      </c>
      <c r="S786" s="15" t="s">
        <v>5795</v>
      </c>
      <c r="T786" s="15" t="s">
        <v>5796</v>
      </c>
      <c r="U786" s="21" t="s">
        <v>72</v>
      </c>
    </row>
    <row r="787" customFormat="false" ht="15" hidden="false" customHeight="false" outlineLevel="0" collapsed="false">
      <c r="A787" s="15" t="s">
        <v>850</v>
      </c>
      <c r="B787" s="15" t="s">
        <v>5762</v>
      </c>
      <c r="C787" s="14" t="s">
        <v>5797</v>
      </c>
      <c r="D787" s="14" t="s">
        <v>5798</v>
      </c>
      <c r="E787" s="16" t="s">
        <v>5799</v>
      </c>
      <c r="F787" s="16" t="s">
        <v>5800</v>
      </c>
      <c r="G787" s="25" t="s">
        <v>39</v>
      </c>
      <c r="H787" s="18" t="n">
        <v>4</v>
      </c>
      <c r="I787" s="20" t="n">
        <v>113.1</v>
      </c>
      <c r="J787" s="20" t="n">
        <v>408.92</v>
      </c>
      <c r="K787" s="18" t="n">
        <v>4</v>
      </c>
      <c r="L787" s="18"/>
      <c r="M787" s="18" t="n">
        <v>48</v>
      </c>
      <c r="N787" s="18" t="n">
        <v>28</v>
      </c>
      <c r="O787" s="14" t="s">
        <v>4215</v>
      </c>
      <c r="P787" s="14" t="s">
        <v>118</v>
      </c>
      <c r="Q787" s="15" t="s">
        <v>1089</v>
      </c>
      <c r="R787" s="16" t="s">
        <v>5801</v>
      </c>
      <c r="S787" s="15" t="s">
        <v>5802</v>
      </c>
      <c r="T787" s="15" t="s">
        <v>5803</v>
      </c>
      <c r="U787" s="21" t="s">
        <v>72</v>
      </c>
    </row>
    <row r="788" customFormat="false" ht="15" hidden="false" customHeight="false" outlineLevel="0" collapsed="false">
      <c r="A788" s="15" t="s">
        <v>850</v>
      </c>
      <c r="B788" s="15" t="s">
        <v>5762</v>
      </c>
      <c r="C788" s="14" t="s">
        <v>5804</v>
      </c>
      <c r="D788" s="14" t="s">
        <v>5805</v>
      </c>
      <c r="E788" s="16" t="s">
        <v>5806</v>
      </c>
      <c r="F788" s="16"/>
      <c r="G788" s="23" t="s">
        <v>43</v>
      </c>
      <c r="H788" s="18" t="n">
        <v>3</v>
      </c>
      <c r="I788" s="20" t="n">
        <v>38.43</v>
      </c>
      <c r="J788" s="20" t="n">
        <v>87.95</v>
      </c>
      <c r="K788" s="18" t="n">
        <v>3</v>
      </c>
      <c r="L788" s="18"/>
      <c r="M788" s="18" t="n">
        <v>30</v>
      </c>
      <c r="N788" s="18" t="n">
        <v>30</v>
      </c>
      <c r="O788" s="14" t="s">
        <v>1088</v>
      </c>
      <c r="P788" s="14" t="s">
        <v>84</v>
      </c>
      <c r="Q788" s="15" t="s">
        <v>1089</v>
      </c>
      <c r="R788" s="16" t="s">
        <v>5807</v>
      </c>
      <c r="S788" s="15" t="s">
        <v>5808</v>
      </c>
      <c r="T788" s="15" t="s">
        <v>5809</v>
      </c>
      <c r="U788" s="21" t="s">
        <v>72</v>
      </c>
    </row>
    <row r="789" customFormat="false" ht="15" hidden="false" customHeight="false" outlineLevel="0" collapsed="false">
      <c r="A789" s="15" t="s">
        <v>850</v>
      </c>
      <c r="B789" s="15" t="s">
        <v>5762</v>
      </c>
      <c r="C789" s="14" t="s">
        <v>5810</v>
      </c>
      <c r="D789" s="14" t="s">
        <v>5811</v>
      </c>
      <c r="E789" s="16" t="s">
        <v>5812</v>
      </c>
      <c r="F789" s="16" t="s">
        <v>5813</v>
      </c>
      <c r="G789" s="19" t="s">
        <v>41</v>
      </c>
      <c r="H789" s="18" t="n">
        <v>5</v>
      </c>
      <c r="I789" s="20" t="n">
        <v>126.78</v>
      </c>
      <c r="J789" s="20" t="n">
        <v>294.41</v>
      </c>
      <c r="K789" s="18" t="n">
        <v>8</v>
      </c>
      <c r="L789" s="18" t="n">
        <v>56</v>
      </c>
      <c r="M789" s="18" t="n">
        <v>152</v>
      </c>
      <c r="N789" s="18" t="n">
        <v>114</v>
      </c>
      <c r="O789" s="14" t="s">
        <v>1126</v>
      </c>
      <c r="P789" s="14" t="s">
        <v>84</v>
      </c>
      <c r="Q789" s="15" t="s">
        <v>1089</v>
      </c>
      <c r="R789" s="16" t="s">
        <v>5814</v>
      </c>
      <c r="S789" s="15" t="s">
        <v>5815</v>
      </c>
      <c r="T789" s="15" t="s">
        <v>5816</v>
      </c>
      <c r="U789" s="21" t="s">
        <v>72</v>
      </c>
    </row>
    <row r="790" customFormat="false" ht="15" hidden="false" customHeight="false" outlineLevel="0" collapsed="false">
      <c r="A790" s="15" t="s">
        <v>850</v>
      </c>
      <c r="B790" s="15" t="s">
        <v>5762</v>
      </c>
      <c r="C790" s="14" t="s">
        <v>5817</v>
      </c>
      <c r="D790" s="14" t="s">
        <v>5818</v>
      </c>
      <c r="E790" s="16" t="s">
        <v>5819</v>
      </c>
      <c r="F790" s="16" t="s">
        <v>5820</v>
      </c>
      <c r="G790" s="23" t="s">
        <v>43</v>
      </c>
      <c r="H790" s="18" t="n">
        <v>3</v>
      </c>
      <c r="I790" s="20" t="n">
        <v>65.23</v>
      </c>
      <c r="J790" s="20" t="n">
        <v>122.23</v>
      </c>
      <c r="K790" s="18" t="n">
        <v>4</v>
      </c>
      <c r="L790" s="18" t="n">
        <v>4</v>
      </c>
      <c r="M790" s="18" t="n">
        <v>80</v>
      </c>
      <c r="N790" s="18" t="n">
        <v>44</v>
      </c>
      <c r="O790" s="14" t="s">
        <v>4276</v>
      </c>
      <c r="P790" s="14" t="s">
        <v>84</v>
      </c>
      <c r="Q790" s="15" t="s">
        <v>1089</v>
      </c>
      <c r="R790" s="16" t="s">
        <v>5821</v>
      </c>
      <c r="S790" s="15" t="s">
        <v>5822</v>
      </c>
      <c r="T790" s="15" t="s">
        <v>5822</v>
      </c>
      <c r="U790" s="21" t="s">
        <v>72</v>
      </c>
    </row>
    <row r="791" customFormat="false" ht="15" hidden="false" customHeight="false" outlineLevel="0" collapsed="false">
      <c r="A791" s="15" t="s">
        <v>850</v>
      </c>
      <c r="B791" s="15" t="s">
        <v>5762</v>
      </c>
      <c r="C791" s="14" t="s">
        <v>5823</v>
      </c>
      <c r="D791" s="14" t="s">
        <v>5824</v>
      </c>
      <c r="E791" s="16" t="s">
        <v>5825</v>
      </c>
      <c r="F791" s="16" t="s">
        <v>5826</v>
      </c>
      <c r="G791" s="23" t="s">
        <v>43</v>
      </c>
      <c r="H791" s="18" t="n">
        <v>2</v>
      </c>
      <c r="I791" s="20" t="n">
        <v>35.38</v>
      </c>
      <c r="J791" s="20" t="n">
        <v>70.01</v>
      </c>
      <c r="K791" s="18" t="n">
        <v>2</v>
      </c>
      <c r="L791" s="18" t="n">
        <v>3</v>
      </c>
      <c r="M791" s="18" t="n">
        <v>30</v>
      </c>
      <c r="N791" s="18" t="n">
        <v>30</v>
      </c>
      <c r="O791" s="14" t="s">
        <v>4223</v>
      </c>
      <c r="P791" s="14" t="s">
        <v>84</v>
      </c>
      <c r="Q791" s="15" t="s">
        <v>1089</v>
      </c>
      <c r="R791" s="16" t="s">
        <v>4900</v>
      </c>
      <c r="S791" s="15" t="s">
        <v>5827</v>
      </c>
      <c r="T791" s="15" t="s">
        <v>5827</v>
      </c>
      <c r="U791" s="21" t="s">
        <v>72</v>
      </c>
    </row>
    <row r="792" customFormat="false" ht="15" hidden="false" customHeight="false" outlineLevel="0" collapsed="false">
      <c r="A792" s="15" t="s">
        <v>850</v>
      </c>
      <c r="B792" s="15" t="s">
        <v>5762</v>
      </c>
      <c r="C792" s="14" t="s">
        <v>5828</v>
      </c>
      <c r="D792" s="14" t="s">
        <v>5829</v>
      </c>
      <c r="E792" s="16" t="s">
        <v>5830</v>
      </c>
      <c r="F792" s="16"/>
      <c r="G792" s="19" t="s">
        <v>41</v>
      </c>
      <c r="H792" s="18" t="n">
        <v>5</v>
      </c>
      <c r="I792" s="20" t="n">
        <v>103.94</v>
      </c>
      <c r="J792" s="20" t="n">
        <v>290.53</v>
      </c>
      <c r="K792" s="18" t="n">
        <v>3</v>
      </c>
      <c r="L792" s="18"/>
      <c r="M792" s="18" t="n">
        <v>54</v>
      </c>
      <c r="N792" s="18" t="n">
        <v>54</v>
      </c>
      <c r="O792" s="14" t="s">
        <v>4223</v>
      </c>
      <c r="P792" s="14" t="s">
        <v>84</v>
      </c>
      <c r="Q792" s="15" t="s">
        <v>1089</v>
      </c>
      <c r="R792" s="16" t="s">
        <v>5831</v>
      </c>
      <c r="S792" s="15" t="s">
        <v>5832</v>
      </c>
      <c r="T792" s="15" t="s">
        <v>5833</v>
      </c>
      <c r="U792" s="21" t="s">
        <v>72</v>
      </c>
    </row>
    <row r="793" customFormat="false" ht="15" hidden="false" customHeight="false" outlineLevel="0" collapsed="false">
      <c r="A793" s="15" t="s">
        <v>850</v>
      </c>
      <c r="B793" s="15" t="s">
        <v>5762</v>
      </c>
      <c r="C793" s="14" t="s">
        <v>5834</v>
      </c>
      <c r="D793" s="14" t="s">
        <v>5835</v>
      </c>
      <c r="E793" s="16" t="s">
        <v>5836</v>
      </c>
      <c r="F793" s="16"/>
      <c r="G793" s="23" t="s">
        <v>43</v>
      </c>
      <c r="H793" s="18" t="n">
        <v>2</v>
      </c>
      <c r="I793" s="20" t="n">
        <v>35.63</v>
      </c>
      <c r="J793" s="20" t="n">
        <v>84.92</v>
      </c>
      <c r="K793" s="18" t="n">
        <v>2</v>
      </c>
      <c r="L793" s="18" t="n">
        <v>4</v>
      </c>
      <c r="M793" s="18" t="n">
        <v>29</v>
      </c>
      <c r="N793" s="18" t="n">
        <v>29</v>
      </c>
      <c r="O793" s="14" t="s">
        <v>1126</v>
      </c>
      <c r="P793" s="14" t="s">
        <v>84</v>
      </c>
      <c r="Q793" s="15" t="s">
        <v>1089</v>
      </c>
      <c r="R793" s="16" t="s">
        <v>5837</v>
      </c>
      <c r="S793" s="15" t="s">
        <v>5838</v>
      </c>
      <c r="T793" s="15" t="s">
        <v>5838</v>
      </c>
      <c r="U793" s="21" t="s">
        <v>72</v>
      </c>
    </row>
    <row r="794" customFormat="false" ht="15" hidden="false" customHeight="false" outlineLevel="0" collapsed="false">
      <c r="A794" s="15" t="s">
        <v>850</v>
      </c>
      <c r="B794" s="15" t="s">
        <v>5762</v>
      </c>
      <c r="C794" s="14" t="s">
        <v>5839</v>
      </c>
      <c r="D794" s="14" t="s">
        <v>5840</v>
      </c>
      <c r="E794" s="16" t="s">
        <v>5841</v>
      </c>
      <c r="F794" s="16" t="s">
        <v>5842</v>
      </c>
      <c r="G794" s="25" t="s">
        <v>39</v>
      </c>
      <c r="H794" s="18" t="n">
        <v>4</v>
      </c>
      <c r="I794" s="20" t="n">
        <v>160.8</v>
      </c>
      <c r="J794" s="20" t="n">
        <v>658.65</v>
      </c>
      <c r="K794" s="18" t="n">
        <v>4</v>
      </c>
      <c r="L794" s="18" t="n">
        <v>13</v>
      </c>
      <c r="M794" s="18" t="n">
        <v>112</v>
      </c>
      <c r="N794" s="18" t="n">
        <v>112</v>
      </c>
      <c r="O794" s="14" t="s">
        <v>4276</v>
      </c>
      <c r="P794" s="14" t="s">
        <v>84</v>
      </c>
      <c r="Q794" s="15" t="s">
        <v>1089</v>
      </c>
      <c r="R794" s="16" t="s">
        <v>5843</v>
      </c>
      <c r="S794" s="15" t="s">
        <v>5844</v>
      </c>
      <c r="T794" s="15" t="s">
        <v>5845</v>
      </c>
      <c r="U794" s="21" t="s">
        <v>72</v>
      </c>
    </row>
    <row r="795" customFormat="false" ht="15" hidden="false" customHeight="false" outlineLevel="0" collapsed="false">
      <c r="A795" s="15" t="s">
        <v>850</v>
      </c>
      <c r="B795" s="15" t="s">
        <v>5762</v>
      </c>
      <c r="C795" s="14" t="s">
        <v>5846</v>
      </c>
      <c r="D795" s="14" t="s">
        <v>5847</v>
      </c>
      <c r="E795" s="16" t="s">
        <v>5848</v>
      </c>
      <c r="F795" s="16" t="s">
        <v>5849</v>
      </c>
      <c r="G795" s="23" t="s">
        <v>43</v>
      </c>
      <c r="H795" s="18" t="n">
        <v>2</v>
      </c>
      <c r="I795" s="20" t="n">
        <v>38.64</v>
      </c>
      <c r="J795" s="20" t="n">
        <v>84.81</v>
      </c>
      <c r="K795" s="18" t="n">
        <v>2</v>
      </c>
      <c r="L795" s="18" t="n">
        <v>1</v>
      </c>
      <c r="M795" s="18" t="n">
        <v>32</v>
      </c>
      <c r="N795" s="18" t="n">
        <v>32</v>
      </c>
      <c r="O795" s="14" t="s">
        <v>1126</v>
      </c>
      <c r="P795" s="14" t="s">
        <v>84</v>
      </c>
      <c r="Q795" s="15" t="s">
        <v>1089</v>
      </c>
      <c r="R795" s="16" t="s">
        <v>5850</v>
      </c>
      <c r="S795" s="15" t="s">
        <v>5851</v>
      </c>
      <c r="T795" s="15" t="s">
        <v>3653</v>
      </c>
      <c r="U795" s="21" t="s">
        <v>72</v>
      </c>
    </row>
    <row r="796" customFormat="false" ht="15" hidden="false" customHeight="false" outlineLevel="0" collapsed="false">
      <c r="A796" s="15" t="s">
        <v>850</v>
      </c>
      <c r="B796" s="15" t="s">
        <v>5762</v>
      </c>
      <c r="C796" s="14" t="s">
        <v>5852</v>
      </c>
      <c r="D796" s="14" t="s">
        <v>5853</v>
      </c>
      <c r="E796" s="16" t="s">
        <v>5854</v>
      </c>
      <c r="F796" s="16" t="s">
        <v>5855</v>
      </c>
      <c r="G796" s="23" t="s">
        <v>43</v>
      </c>
      <c r="H796" s="18" t="n">
        <v>3</v>
      </c>
      <c r="I796" s="20" t="n">
        <v>47.79</v>
      </c>
      <c r="J796" s="20" t="n">
        <v>103.96</v>
      </c>
      <c r="K796" s="18" t="n">
        <v>6</v>
      </c>
      <c r="L796" s="18" t="n">
        <v>4</v>
      </c>
      <c r="M796" s="18" t="n">
        <v>160</v>
      </c>
      <c r="N796" s="18" t="n">
        <v>52</v>
      </c>
      <c r="O796" s="14" t="s">
        <v>1126</v>
      </c>
      <c r="P796" s="14" t="s">
        <v>94</v>
      </c>
      <c r="Q796" s="15" t="s">
        <v>1089</v>
      </c>
      <c r="R796" s="16" t="s">
        <v>5856</v>
      </c>
      <c r="S796" s="15" t="s">
        <v>1001</v>
      </c>
      <c r="T796" s="15" t="s">
        <v>1001</v>
      </c>
      <c r="U796" s="21" t="s">
        <v>72</v>
      </c>
    </row>
    <row r="797" customFormat="false" ht="15" hidden="false" customHeight="false" outlineLevel="0" collapsed="false">
      <c r="A797" s="15" t="s">
        <v>850</v>
      </c>
      <c r="B797" s="15" t="s">
        <v>5762</v>
      </c>
      <c r="C797" s="14" t="s">
        <v>5857</v>
      </c>
      <c r="D797" s="14" t="s">
        <v>5858</v>
      </c>
      <c r="E797" s="16" t="s">
        <v>5859</v>
      </c>
      <c r="F797" s="16" t="s">
        <v>5860</v>
      </c>
      <c r="G797" s="19" t="s">
        <v>41</v>
      </c>
      <c r="H797" s="18" t="n">
        <v>5</v>
      </c>
      <c r="I797" s="20" t="n">
        <v>105.303</v>
      </c>
      <c r="J797" s="20" t="n">
        <v>232.76</v>
      </c>
      <c r="K797" s="18" t="n">
        <v>9</v>
      </c>
      <c r="L797" s="18" t="n">
        <v>3</v>
      </c>
      <c r="M797" s="18" t="n">
        <v>171</v>
      </c>
      <c r="N797" s="18" t="n">
        <v>171</v>
      </c>
      <c r="O797" s="14" t="s">
        <v>1126</v>
      </c>
      <c r="P797" s="14" t="s">
        <v>84</v>
      </c>
      <c r="Q797" s="15" t="s">
        <v>1089</v>
      </c>
      <c r="R797" s="16" t="s">
        <v>5861</v>
      </c>
      <c r="S797" s="15" t="s">
        <v>4565</v>
      </c>
      <c r="T797" s="15" t="s">
        <v>5862</v>
      </c>
      <c r="U797" s="21" t="s">
        <v>72</v>
      </c>
    </row>
    <row r="798" customFormat="false" ht="26.85" hidden="false" customHeight="false" outlineLevel="0" collapsed="false">
      <c r="A798" s="15" t="s">
        <v>850</v>
      </c>
      <c r="B798" s="15" t="s">
        <v>5762</v>
      </c>
      <c r="C798" s="14" t="s">
        <v>5863</v>
      </c>
      <c r="D798" s="14" t="s">
        <v>5864</v>
      </c>
      <c r="E798" s="16" t="s">
        <v>5859</v>
      </c>
      <c r="F798" s="16" t="s">
        <v>5860</v>
      </c>
      <c r="G798" s="19" t="s">
        <v>41</v>
      </c>
      <c r="H798" s="18" t="n">
        <v>7</v>
      </c>
      <c r="I798" s="20" t="n">
        <v>117.93</v>
      </c>
      <c r="J798" s="20" t="n">
        <v>342.28</v>
      </c>
      <c r="K798" s="18" t="n">
        <v>6</v>
      </c>
      <c r="L798" s="18" t="n">
        <v>3</v>
      </c>
      <c r="M798" s="18" t="n">
        <v>570</v>
      </c>
      <c r="N798" s="18" t="n">
        <v>570</v>
      </c>
      <c r="O798" s="14" t="s">
        <v>4276</v>
      </c>
      <c r="P798" s="14" t="s">
        <v>84</v>
      </c>
      <c r="Q798" s="15" t="s">
        <v>1089</v>
      </c>
      <c r="R798" s="16" t="s">
        <v>5865</v>
      </c>
      <c r="S798" s="15" t="s">
        <v>5866</v>
      </c>
      <c r="T798" s="15" t="s">
        <v>5867</v>
      </c>
      <c r="U798" s="21" t="s">
        <v>72</v>
      </c>
    </row>
    <row r="799" customFormat="false" ht="15" hidden="false" customHeight="false" outlineLevel="0" collapsed="false">
      <c r="A799" s="15" t="s">
        <v>850</v>
      </c>
      <c r="B799" s="15" t="s">
        <v>5762</v>
      </c>
      <c r="C799" s="14" t="s">
        <v>5868</v>
      </c>
      <c r="D799" s="14" t="s">
        <v>5869</v>
      </c>
      <c r="E799" s="16" t="s">
        <v>5870</v>
      </c>
      <c r="F799" s="16" t="s">
        <v>5860</v>
      </c>
      <c r="G799" s="23" t="s">
        <v>43</v>
      </c>
      <c r="H799" s="18" t="n">
        <v>4</v>
      </c>
      <c r="I799" s="20" t="n">
        <v>83.77</v>
      </c>
      <c r="J799" s="20" t="n">
        <v>143.74</v>
      </c>
      <c r="K799" s="18" t="n">
        <v>7</v>
      </c>
      <c r="L799" s="18" t="n">
        <v>2</v>
      </c>
      <c r="M799" s="18" t="n">
        <v>140</v>
      </c>
      <c r="N799" s="18" t="n">
        <v>140</v>
      </c>
      <c r="O799" s="14" t="s">
        <v>1097</v>
      </c>
      <c r="P799" s="14" t="s">
        <v>84</v>
      </c>
      <c r="Q799" s="15" t="s">
        <v>1089</v>
      </c>
      <c r="R799" s="16" t="s">
        <v>5871</v>
      </c>
      <c r="S799" s="15" t="s">
        <v>4565</v>
      </c>
      <c r="T799" s="15" t="s">
        <v>5866</v>
      </c>
      <c r="U799" s="21" t="s">
        <v>72</v>
      </c>
    </row>
    <row r="800" customFormat="false" ht="39.55" hidden="false" customHeight="false" outlineLevel="0" collapsed="false">
      <c r="A800" s="15" t="s">
        <v>850</v>
      </c>
      <c r="B800" s="15" t="s">
        <v>5762</v>
      </c>
      <c r="C800" s="14" t="s">
        <v>5872</v>
      </c>
      <c r="D800" s="14" t="s">
        <v>5873</v>
      </c>
      <c r="E800" s="16" t="s">
        <v>5874</v>
      </c>
      <c r="F800" s="16" t="s">
        <v>5875</v>
      </c>
      <c r="G800" s="23" t="s">
        <v>43</v>
      </c>
      <c r="H800" s="18" t="n">
        <v>2</v>
      </c>
      <c r="I800" s="20" t="n">
        <v>83.43</v>
      </c>
      <c r="J800" s="20" t="n">
        <v>156.63</v>
      </c>
      <c r="K800" s="18" t="n">
        <v>9</v>
      </c>
      <c r="L800" s="18" t="n">
        <v>4</v>
      </c>
      <c r="M800" s="18" t="n">
        <v>612</v>
      </c>
      <c r="N800" s="18" t="n">
        <v>340</v>
      </c>
      <c r="O800" s="14" t="s">
        <v>5876</v>
      </c>
      <c r="P800" s="14" t="s">
        <v>5877</v>
      </c>
      <c r="Q800" s="15" t="s">
        <v>1089</v>
      </c>
      <c r="R800" s="16" t="s">
        <v>5878</v>
      </c>
      <c r="S800" s="15" t="s">
        <v>5879</v>
      </c>
      <c r="T800" s="15" t="s">
        <v>5880</v>
      </c>
      <c r="U800" s="21" t="s">
        <v>72</v>
      </c>
    </row>
    <row r="801" customFormat="false" ht="15" hidden="false" customHeight="false" outlineLevel="0" collapsed="false">
      <c r="A801" s="15" t="s">
        <v>850</v>
      </c>
      <c r="B801" s="15" t="s">
        <v>5762</v>
      </c>
      <c r="C801" s="14" t="s">
        <v>5881</v>
      </c>
      <c r="D801" s="14" t="s">
        <v>5882</v>
      </c>
      <c r="E801" s="16" t="s">
        <v>5883</v>
      </c>
      <c r="F801" s="16" t="s">
        <v>5884</v>
      </c>
      <c r="G801" s="19" t="s">
        <v>41</v>
      </c>
      <c r="H801" s="18" t="n">
        <v>4</v>
      </c>
      <c r="I801" s="20" t="n">
        <v>76</v>
      </c>
      <c r="J801" s="20" t="n">
        <v>202.11</v>
      </c>
      <c r="K801" s="18" t="n">
        <v>4</v>
      </c>
      <c r="L801" s="18" t="n">
        <v>1</v>
      </c>
      <c r="M801" s="18" t="n">
        <v>252</v>
      </c>
      <c r="N801" s="18" t="n">
        <v>252</v>
      </c>
      <c r="O801" s="14" t="s">
        <v>4223</v>
      </c>
      <c r="P801" s="14" t="s">
        <v>84</v>
      </c>
      <c r="Q801" s="15" t="s">
        <v>1089</v>
      </c>
      <c r="R801" s="16" t="s">
        <v>5885</v>
      </c>
      <c r="S801" s="15" t="s">
        <v>5886</v>
      </c>
      <c r="T801" s="15" t="s">
        <v>5886</v>
      </c>
      <c r="U801" s="21" t="s">
        <v>72</v>
      </c>
    </row>
    <row r="802" customFormat="false" ht="15" hidden="false" customHeight="false" outlineLevel="0" collapsed="false">
      <c r="A802" s="15" t="s">
        <v>850</v>
      </c>
      <c r="B802" s="15" t="s">
        <v>5762</v>
      </c>
      <c r="C802" s="14" t="s">
        <v>5887</v>
      </c>
      <c r="D802" s="14" t="s">
        <v>5888</v>
      </c>
      <c r="E802" s="16" t="s">
        <v>5889</v>
      </c>
      <c r="F802" s="16"/>
      <c r="G802" s="23" t="s">
        <v>43</v>
      </c>
      <c r="H802" s="18" t="n">
        <v>2</v>
      </c>
      <c r="I802" s="20" t="n">
        <v>41.88</v>
      </c>
      <c r="J802" s="20" t="n">
        <v>81.43</v>
      </c>
      <c r="K802" s="18" t="n">
        <v>4</v>
      </c>
      <c r="L802" s="18" t="n">
        <v>1</v>
      </c>
      <c r="M802" s="18" t="n">
        <v>80</v>
      </c>
      <c r="N802" s="18" t="n">
        <v>40</v>
      </c>
      <c r="O802" s="14" t="s">
        <v>1126</v>
      </c>
      <c r="P802" s="14" t="s">
        <v>118</v>
      </c>
      <c r="Q802" s="15" t="s">
        <v>1089</v>
      </c>
      <c r="R802" s="16" t="s">
        <v>5890</v>
      </c>
      <c r="S802" s="15" t="s">
        <v>5891</v>
      </c>
      <c r="T802" s="15" t="s">
        <v>5891</v>
      </c>
      <c r="U802" s="21" t="s">
        <v>72</v>
      </c>
    </row>
    <row r="803" customFormat="false" ht="15" hidden="false" customHeight="false" outlineLevel="0" collapsed="false">
      <c r="A803" s="15" t="s">
        <v>850</v>
      </c>
      <c r="B803" s="15" t="s">
        <v>5762</v>
      </c>
      <c r="C803" s="14" t="s">
        <v>5892</v>
      </c>
      <c r="D803" s="14" t="s">
        <v>5893</v>
      </c>
      <c r="E803" s="16" t="s">
        <v>5894</v>
      </c>
      <c r="F803" s="16"/>
      <c r="G803" s="19" t="s">
        <v>41</v>
      </c>
      <c r="H803" s="18" t="n">
        <v>2</v>
      </c>
      <c r="I803" s="20" t="n">
        <v>38.6</v>
      </c>
      <c r="J803" s="20" t="n">
        <v>203.22</v>
      </c>
      <c r="K803" s="18" t="n">
        <v>2</v>
      </c>
      <c r="L803" s="18" t="n">
        <v>2</v>
      </c>
      <c r="M803" s="18" t="n">
        <v>66</v>
      </c>
      <c r="N803" s="18" t="n">
        <v>66</v>
      </c>
      <c r="O803" s="14" t="s">
        <v>4343</v>
      </c>
      <c r="P803" s="14" t="s">
        <v>84</v>
      </c>
      <c r="Q803" s="15" t="s">
        <v>1089</v>
      </c>
      <c r="R803" s="16" t="s">
        <v>5895</v>
      </c>
      <c r="S803" s="15" t="s">
        <v>5896</v>
      </c>
      <c r="T803" s="15" t="s">
        <v>5896</v>
      </c>
      <c r="U803" s="21" t="s">
        <v>72</v>
      </c>
    </row>
    <row r="804" customFormat="false" ht="26.85" hidden="false" customHeight="false" outlineLevel="0" collapsed="false">
      <c r="A804" s="15" t="s">
        <v>850</v>
      </c>
      <c r="B804" s="15" t="s">
        <v>5762</v>
      </c>
      <c r="C804" s="14" t="s">
        <v>5897</v>
      </c>
      <c r="D804" s="14" t="s">
        <v>5898</v>
      </c>
      <c r="E804" s="16" t="s">
        <v>5899</v>
      </c>
      <c r="F804" s="16"/>
      <c r="G804" s="23" t="s">
        <v>43</v>
      </c>
      <c r="H804" s="18" t="n">
        <v>2</v>
      </c>
      <c r="I804" s="20" t="n">
        <v>57.66</v>
      </c>
      <c r="J804" s="20" t="n">
        <v>75.66</v>
      </c>
      <c r="K804" s="18" t="n">
        <v>3</v>
      </c>
      <c r="L804" s="18" t="n">
        <v>1</v>
      </c>
      <c r="M804" s="18" t="n">
        <v>69</v>
      </c>
      <c r="N804" s="18" t="n">
        <v>69</v>
      </c>
      <c r="O804" s="14" t="s">
        <v>5900</v>
      </c>
      <c r="P804" s="14" t="s">
        <v>118</v>
      </c>
      <c r="Q804" s="15" t="s">
        <v>1089</v>
      </c>
      <c r="R804" s="16" t="s">
        <v>5901</v>
      </c>
      <c r="S804" s="15" t="s">
        <v>5902</v>
      </c>
      <c r="T804" s="15" t="s">
        <v>5903</v>
      </c>
      <c r="U804" s="21" t="s">
        <v>72</v>
      </c>
    </row>
    <row r="805" customFormat="false" ht="15" hidden="false" customHeight="false" outlineLevel="0" collapsed="false">
      <c r="A805" s="15" t="s">
        <v>850</v>
      </c>
      <c r="B805" s="15" t="s">
        <v>5762</v>
      </c>
      <c r="C805" s="14" t="s">
        <v>5904</v>
      </c>
      <c r="D805" s="14" t="s">
        <v>5905</v>
      </c>
      <c r="E805" s="16" t="s">
        <v>5906</v>
      </c>
      <c r="F805" s="16" t="s">
        <v>5907</v>
      </c>
      <c r="G805" s="19" t="s">
        <v>41</v>
      </c>
      <c r="H805" s="18" t="n">
        <v>5</v>
      </c>
      <c r="I805" s="20" t="n">
        <v>110.76</v>
      </c>
      <c r="J805" s="20" t="n">
        <v>281.1</v>
      </c>
      <c r="K805" s="18" t="n">
        <v>4</v>
      </c>
      <c r="L805" s="18" t="n">
        <v>4</v>
      </c>
      <c r="M805" s="18" t="n">
        <v>178</v>
      </c>
      <c r="N805" s="18" t="n">
        <v>178</v>
      </c>
      <c r="O805" s="14" t="s">
        <v>5908</v>
      </c>
      <c r="P805" s="14" t="s">
        <v>84</v>
      </c>
      <c r="Q805" s="15" t="s">
        <v>1089</v>
      </c>
      <c r="R805" s="16" t="s">
        <v>5909</v>
      </c>
      <c r="S805" s="15" t="s">
        <v>5910</v>
      </c>
      <c r="T805" s="15" t="s">
        <v>5910</v>
      </c>
      <c r="U805" s="21" t="s">
        <v>72</v>
      </c>
    </row>
    <row r="806" customFormat="false" ht="26.85" hidden="false" customHeight="false" outlineLevel="0" collapsed="false">
      <c r="A806" s="15" t="s">
        <v>850</v>
      </c>
      <c r="B806" s="15" t="s">
        <v>5762</v>
      </c>
      <c r="C806" s="14" t="s">
        <v>5911</v>
      </c>
      <c r="D806" s="14" t="s">
        <v>5912</v>
      </c>
      <c r="E806" s="16" t="s">
        <v>5913</v>
      </c>
      <c r="F806" s="16" t="s">
        <v>5914</v>
      </c>
      <c r="G806" s="23" t="s">
        <v>43</v>
      </c>
      <c r="H806" s="18" t="n">
        <v>3</v>
      </c>
      <c r="I806" s="20" t="n">
        <v>69.25</v>
      </c>
      <c r="J806" s="20" t="n">
        <v>86.6</v>
      </c>
      <c r="K806" s="18" t="n">
        <v>3</v>
      </c>
      <c r="L806" s="18" t="n">
        <v>3</v>
      </c>
      <c r="M806" s="18" t="n">
        <v>168</v>
      </c>
      <c r="N806" s="18" t="n">
        <v>168</v>
      </c>
      <c r="O806" s="14" t="s">
        <v>5915</v>
      </c>
      <c r="P806" s="14" t="s">
        <v>84</v>
      </c>
      <c r="Q806" s="15" t="s">
        <v>1089</v>
      </c>
      <c r="R806" s="16" t="s">
        <v>5916</v>
      </c>
      <c r="S806" s="15" t="s">
        <v>5917</v>
      </c>
      <c r="T806" s="15" t="s">
        <v>5917</v>
      </c>
      <c r="U806" s="21" t="s">
        <v>72</v>
      </c>
    </row>
    <row r="807" customFormat="false" ht="15" hidden="false" customHeight="false" outlineLevel="0" collapsed="false">
      <c r="A807" s="15" t="s">
        <v>850</v>
      </c>
      <c r="B807" s="15" t="s">
        <v>5762</v>
      </c>
      <c r="C807" s="14" t="s">
        <v>5918</v>
      </c>
      <c r="D807" s="14" t="s">
        <v>5919</v>
      </c>
      <c r="E807" s="16" t="s">
        <v>5920</v>
      </c>
      <c r="F807" s="16" t="s">
        <v>5921</v>
      </c>
      <c r="G807" s="23" t="s">
        <v>43</v>
      </c>
      <c r="H807" s="18" t="n">
        <v>2</v>
      </c>
      <c r="I807" s="20" t="n">
        <v>32.92</v>
      </c>
      <c r="J807" s="20" t="n">
        <v>127.6</v>
      </c>
      <c r="K807" s="18" t="n">
        <v>2</v>
      </c>
      <c r="L807" s="18" t="n">
        <v>3</v>
      </c>
      <c r="M807" s="18" t="n">
        <v>26</v>
      </c>
      <c r="N807" s="18" t="n">
        <v>26</v>
      </c>
      <c r="O807" s="14" t="s">
        <v>1126</v>
      </c>
      <c r="P807" s="14" t="s">
        <v>84</v>
      </c>
      <c r="Q807" s="15" t="s">
        <v>1089</v>
      </c>
      <c r="R807" s="16" t="s">
        <v>5837</v>
      </c>
      <c r="S807" s="15" t="s">
        <v>5922</v>
      </c>
      <c r="T807" s="15" t="s">
        <v>5922</v>
      </c>
      <c r="U807" s="21" t="s">
        <v>72</v>
      </c>
    </row>
    <row r="808" customFormat="false" ht="26.85" hidden="false" customHeight="false" outlineLevel="0" collapsed="false">
      <c r="A808" s="15" t="s">
        <v>850</v>
      </c>
      <c r="B808" s="15" t="s">
        <v>5762</v>
      </c>
      <c r="C808" s="14" t="s">
        <v>5923</v>
      </c>
      <c r="D808" s="14" t="s">
        <v>5924</v>
      </c>
      <c r="E808" s="16" t="s">
        <v>5925</v>
      </c>
      <c r="F808" s="16" t="s">
        <v>5926</v>
      </c>
      <c r="G808" s="23" t="s">
        <v>43</v>
      </c>
      <c r="H808" s="18" t="n">
        <v>2</v>
      </c>
      <c r="I808" s="20" t="n">
        <v>118.92</v>
      </c>
      <c r="J808" s="20" t="n">
        <v>177.07</v>
      </c>
      <c r="K808" s="18" t="n">
        <v>3</v>
      </c>
      <c r="L808" s="18" t="n">
        <v>1</v>
      </c>
      <c r="M808" s="18" t="n">
        <v>159</v>
      </c>
      <c r="N808" s="18" t="n">
        <v>106</v>
      </c>
      <c r="O808" s="14" t="s">
        <v>5927</v>
      </c>
      <c r="P808" s="14" t="s">
        <v>352</v>
      </c>
      <c r="Q808" s="15" t="s">
        <v>1089</v>
      </c>
      <c r="R808" s="16" t="s">
        <v>5928</v>
      </c>
      <c r="S808" s="15" t="s">
        <v>5929</v>
      </c>
      <c r="T808" s="15" t="s">
        <v>5929</v>
      </c>
      <c r="U808" s="21" t="s">
        <v>72</v>
      </c>
    </row>
    <row r="809" customFormat="false" ht="15" hidden="false" customHeight="false" outlineLevel="0" collapsed="false">
      <c r="A809" s="15" t="s">
        <v>850</v>
      </c>
      <c r="B809" s="15" t="s">
        <v>5762</v>
      </c>
      <c r="C809" s="14" t="s">
        <v>5930</v>
      </c>
      <c r="D809" s="14" t="s">
        <v>5931</v>
      </c>
      <c r="E809" s="16" t="s">
        <v>5932</v>
      </c>
      <c r="F809" s="16"/>
      <c r="G809" s="23" t="s">
        <v>43</v>
      </c>
      <c r="H809" s="18" t="n">
        <v>3</v>
      </c>
      <c r="I809" s="20" t="n">
        <v>33.61</v>
      </c>
      <c r="J809" s="20" t="n">
        <v>78.77</v>
      </c>
      <c r="K809" s="18" t="n">
        <v>4</v>
      </c>
      <c r="L809" s="18" t="n">
        <v>3</v>
      </c>
      <c r="M809" s="18" t="n">
        <v>44</v>
      </c>
      <c r="N809" s="18" t="n">
        <v>22</v>
      </c>
      <c r="O809" s="14" t="s">
        <v>1126</v>
      </c>
      <c r="P809" s="14" t="s">
        <v>118</v>
      </c>
      <c r="Q809" s="15" t="s">
        <v>1089</v>
      </c>
      <c r="R809" s="16" t="s">
        <v>4269</v>
      </c>
      <c r="S809" s="15" t="s">
        <v>5933</v>
      </c>
      <c r="T809" s="15" t="s">
        <v>5933</v>
      </c>
      <c r="U809" s="21" t="s">
        <v>72</v>
      </c>
    </row>
    <row r="810" customFormat="false" ht="15" hidden="false" customHeight="false" outlineLevel="0" collapsed="false">
      <c r="A810" s="15" t="s">
        <v>850</v>
      </c>
      <c r="B810" s="15" t="s">
        <v>5762</v>
      </c>
      <c r="C810" s="14" t="s">
        <v>5934</v>
      </c>
      <c r="D810" s="14" t="s">
        <v>5935</v>
      </c>
      <c r="E810" s="16" t="s">
        <v>5936</v>
      </c>
      <c r="F810" s="16" t="s">
        <v>5937</v>
      </c>
      <c r="G810" s="25" t="s">
        <v>39</v>
      </c>
      <c r="H810" s="18" t="n">
        <v>8</v>
      </c>
      <c r="I810" s="20" t="n">
        <v>200.7</v>
      </c>
      <c r="J810" s="20" t="n">
        <v>340.03</v>
      </c>
      <c r="K810" s="18" t="n">
        <v>6</v>
      </c>
      <c r="L810" s="18" t="n">
        <v>6</v>
      </c>
      <c r="M810" s="18" t="n">
        <v>90</v>
      </c>
      <c r="N810" s="18" t="n">
        <v>90</v>
      </c>
      <c r="O810" s="14" t="s">
        <v>1097</v>
      </c>
      <c r="P810" s="14" t="s">
        <v>84</v>
      </c>
      <c r="Q810" s="15" t="s">
        <v>1089</v>
      </c>
      <c r="R810" s="16" t="s">
        <v>5938</v>
      </c>
      <c r="S810" s="15" t="s">
        <v>5939</v>
      </c>
      <c r="T810" s="15" t="s">
        <v>5939</v>
      </c>
      <c r="U810" s="21" t="s">
        <v>72</v>
      </c>
    </row>
    <row r="811" customFormat="false" ht="15" hidden="false" customHeight="false" outlineLevel="0" collapsed="false">
      <c r="A811" s="15" t="s">
        <v>850</v>
      </c>
      <c r="B811" s="15" t="s">
        <v>5762</v>
      </c>
      <c r="C811" s="14" t="s">
        <v>5940</v>
      </c>
      <c r="D811" s="14" t="s">
        <v>5941</v>
      </c>
      <c r="E811" s="16" t="s">
        <v>5942</v>
      </c>
      <c r="F811" s="16" t="s">
        <v>5943</v>
      </c>
      <c r="G811" s="23" t="s">
        <v>43</v>
      </c>
      <c r="H811" s="18" t="n">
        <v>1</v>
      </c>
      <c r="I811" s="20" t="n">
        <v>30</v>
      </c>
      <c r="J811" s="20" t="n">
        <v>70.33</v>
      </c>
      <c r="K811" s="18" t="n">
        <v>2</v>
      </c>
      <c r="L811" s="18" t="n">
        <v>1</v>
      </c>
      <c r="M811" s="18" t="n">
        <v>24</v>
      </c>
      <c r="N811" s="18" t="n">
        <v>24</v>
      </c>
      <c r="O811" s="14" t="s">
        <v>4223</v>
      </c>
      <c r="P811" s="14" t="s">
        <v>84</v>
      </c>
      <c r="Q811" s="15" t="s">
        <v>1089</v>
      </c>
      <c r="R811" s="16" t="s">
        <v>3933</v>
      </c>
      <c r="S811" s="15" t="s">
        <v>5944</v>
      </c>
      <c r="T811" s="15" t="s">
        <v>5945</v>
      </c>
      <c r="U811" s="21" t="s">
        <v>72</v>
      </c>
    </row>
    <row r="812" customFormat="false" ht="26.85" hidden="false" customHeight="false" outlineLevel="0" collapsed="false">
      <c r="A812" s="15" t="s">
        <v>850</v>
      </c>
      <c r="B812" s="15" t="s">
        <v>5762</v>
      </c>
      <c r="C812" s="14" t="s">
        <v>5946</v>
      </c>
      <c r="D812" s="14" t="s">
        <v>5947</v>
      </c>
      <c r="E812" s="16" t="s">
        <v>5948</v>
      </c>
      <c r="F812" s="16" t="s">
        <v>5949</v>
      </c>
      <c r="G812" s="25" t="s">
        <v>39</v>
      </c>
      <c r="H812" s="18" t="n">
        <v>6</v>
      </c>
      <c r="I812" s="20" t="n">
        <v>260.38</v>
      </c>
      <c r="J812" s="20" t="n">
        <v>421.67</v>
      </c>
      <c r="K812" s="18" t="n">
        <v>9</v>
      </c>
      <c r="L812" s="18" t="n">
        <v>17</v>
      </c>
      <c r="M812" s="18" t="n">
        <v>540</v>
      </c>
      <c r="N812" s="18" t="n">
        <v>540</v>
      </c>
      <c r="O812" s="14" t="s">
        <v>5950</v>
      </c>
      <c r="P812" s="14" t="s">
        <v>118</v>
      </c>
      <c r="Q812" s="15" t="s">
        <v>1089</v>
      </c>
      <c r="R812" s="16" t="s">
        <v>5951</v>
      </c>
      <c r="S812" s="15" t="s">
        <v>5952</v>
      </c>
      <c r="T812" s="15" t="s">
        <v>5952</v>
      </c>
      <c r="U812" s="21" t="s">
        <v>72</v>
      </c>
    </row>
    <row r="813" customFormat="false" ht="15" hidden="false" customHeight="false" outlineLevel="0" collapsed="false">
      <c r="A813" s="15" t="s">
        <v>850</v>
      </c>
      <c r="B813" s="15" t="s">
        <v>5762</v>
      </c>
      <c r="C813" s="14" t="s">
        <v>5953</v>
      </c>
      <c r="D813" s="14" t="s">
        <v>5954</v>
      </c>
      <c r="E813" s="16" t="s">
        <v>5955</v>
      </c>
      <c r="F813" s="16"/>
      <c r="G813" s="23" t="s">
        <v>43</v>
      </c>
      <c r="H813" s="18" t="n">
        <v>3</v>
      </c>
      <c r="I813" s="20" t="n">
        <v>52.71</v>
      </c>
      <c r="J813" s="20" t="n">
        <v>109.5</v>
      </c>
      <c r="K813" s="18" t="n">
        <v>2</v>
      </c>
      <c r="L813" s="18" t="n">
        <v>2</v>
      </c>
      <c r="M813" s="18" t="n">
        <v>44</v>
      </c>
      <c r="N813" s="18" t="n">
        <v>44</v>
      </c>
      <c r="O813" s="14" t="s">
        <v>4215</v>
      </c>
      <c r="P813" s="14" t="s">
        <v>118</v>
      </c>
      <c r="Q813" s="15" t="s">
        <v>1089</v>
      </c>
      <c r="R813" s="16" t="s">
        <v>5956</v>
      </c>
      <c r="S813" s="15" t="s">
        <v>5957</v>
      </c>
      <c r="T813" s="15" t="s">
        <v>5957</v>
      </c>
      <c r="U813" s="21" t="s">
        <v>72</v>
      </c>
    </row>
    <row r="814" customFormat="false" ht="26.85" hidden="false" customHeight="false" outlineLevel="0" collapsed="false">
      <c r="A814" s="15" t="s">
        <v>850</v>
      </c>
      <c r="B814" s="15" t="s">
        <v>5762</v>
      </c>
      <c r="C814" s="14" t="s">
        <v>5958</v>
      </c>
      <c r="D814" s="14" t="s">
        <v>5959</v>
      </c>
      <c r="E814" s="16" t="s">
        <v>5960</v>
      </c>
      <c r="F814" s="16" t="s">
        <v>5961</v>
      </c>
      <c r="G814" s="19" t="s">
        <v>41</v>
      </c>
      <c r="H814" s="18" t="n">
        <v>7</v>
      </c>
      <c r="I814" s="20" t="n">
        <v>99.5</v>
      </c>
      <c r="J814" s="20" t="n">
        <v>174.28</v>
      </c>
      <c r="K814" s="18" t="n">
        <v>6</v>
      </c>
      <c r="L814" s="18" t="n">
        <v>2</v>
      </c>
      <c r="M814" s="18" t="n">
        <v>73</v>
      </c>
      <c r="N814" s="18" t="n">
        <v>32</v>
      </c>
      <c r="O814" s="14" t="s">
        <v>5962</v>
      </c>
      <c r="P814" s="14" t="s">
        <v>906</v>
      </c>
      <c r="Q814" s="15" t="s">
        <v>1089</v>
      </c>
      <c r="R814" s="16" t="s">
        <v>5963</v>
      </c>
      <c r="S814" s="15" t="s">
        <v>5964</v>
      </c>
      <c r="T814" s="15" t="s">
        <v>5965</v>
      </c>
      <c r="U814" s="21" t="s">
        <v>72</v>
      </c>
    </row>
    <row r="815" customFormat="false" ht="39.55" hidden="false" customHeight="false" outlineLevel="0" collapsed="false">
      <c r="A815" s="15" t="s">
        <v>850</v>
      </c>
      <c r="B815" s="15" t="s">
        <v>5762</v>
      </c>
      <c r="C815" s="14" t="s">
        <v>5966</v>
      </c>
      <c r="D815" s="14" t="s">
        <v>5967</v>
      </c>
      <c r="E815" s="16" t="s">
        <v>5968</v>
      </c>
      <c r="F815" s="16"/>
      <c r="G815" s="25" t="s">
        <v>39</v>
      </c>
      <c r="H815" s="18" t="n">
        <v>10</v>
      </c>
      <c r="I815" s="20" t="n">
        <v>165.11</v>
      </c>
      <c r="J815" s="20" t="n">
        <v>392.75</v>
      </c>
      <c r="K815" s="18" t="n">
        <v>15</v>
      </c>
      <c r="L815" s="18" t="n">
        <v>6</v>
      </c>
      <c r="M815" s="18" t="n">
        <v>181</v>
      </c>
      <c r="N815" s="18" t="n">
        <v>98</v>
      </c>
      <c r="O815" s="14" t="s">
        <v>4385</v>
      </c>
      <c r="P815" s="14" t="s">
        <v>1726</v>
      </c>
      <c r="Q815" s="15" t="s">
        <v>1089</v>
      </c>
      <c r="R815" s="16" t="s">
        <v>5969</v>
      </c>
      <c r="S815" s="15" t="s">
        <v>5970</v>
      </c>
      <c r="T815" s="15" t="s">
        <v>5971</v>
      </c>
      <c r="U815" s="21" t="s">
        <v>72</v>
      </c>
    </row>
    <row r="816" customFormat="false" ht="26.85" hidden="false" customHeight="false" outlineLevel="0" collapsed="false">
      <c r="A816" s="15" t="s">
        <v>850</v>
      </c>
      <c r="B816" s="15" t="s">
        <v>5762</v>
      </c>
      <c r="C816" s="14" t="s">
        <v>5972</v>
      </c>
      <c r="D816" s="14" t="s">
        <v>5973</v>
      </c>
      <c r="E816" s="16" t="s">
        <v>5974</v>
      </c>
      <c r="F816" s="16" t="s">
        <v>5975</v>
      </c>
      <c r="G816" s="19" t="s">
        <v>41</v>
      </c>
      <c r="H816" s="18" t="n">
        <v>7</v>
      </c>
      <c r="I816" s="20" t="n">
        <v>97.95</v>
      </c>
      <c r="J816" s="20" t="n">
        <v>220.28</v>
      </c>
      <c r="K816" s="18" t="n">
        <v>7</v>
      </c>
      <c r="L816" s="18" t="n">
        <v>10</v>
      </c>
      <c r="M816" s="18" t="n">
        <v>84</v>
      </c>
      <c r="N816" s="18" t="n">
        <v>84</v>
      </c>
      <c r="O816" s="14" t="s">
        <v>5976</v>
      </c>
      <c r="P816" s="14" t="s">
        <v>118</v>
      </c>
      <c r="Q816" s="15" t="s">
        <v>1089</v>
      </c>
      <c r="R816" s="16" t="s">
        <v>5977</v>
      </c>
      <c r="S816" s="15" t="s">
        <v>5978</v>
      </c>
      <c r="T816" s="15" t="s">
        <v>5978</v>
      </c>
      <c r="U816" s="21" t="s">
        <v>72</v>
      </c>
    </row>
    <row r="817" customFormat="false" ht="15" hidden="false" customHeight="false" outlineLevel="0" collapsed="false">
      <c r="A817" s="15" t="s">
        <v>850</v>
      </c>
      <c r="B817" s="15" t="s">
        <v>5762</v>
      </c>
      <c r="C817" s="14" t="s">
        <v>5979</v>
      </c>
      <c r="D817" s="14" t="s">
        <v>5980</v>
      </c>
      <c r="E817" s="16" t="s">
        <v>5981</v>
      </c>
      <c r="F817" s="16" t="s">
        <v>5982</v>
      </c>
      <c r="G817" s="23" t="s">
        <v>43</v>
      </c>
      <c r="H817" s="18" t="n">
        <v>3</v>
      </c>
      <c r="I817" s="20" t="n">
        <v>45.98</v>
      </c>
      <c r="J817" s="20" t="n">
        <v>75.66</v>
      </c>
      <c r="K817" s="18" t="n">
        <v>4</v>
      </c>
      <c r="L817" s="18" t="n">
        <v>3</v>
      </c>
      <c r="M817" s="18" t="n">
        <v>68</v>
      </c>
      <c r="N817" s="18" t="n">
        <v>68</v>
      </c>
      <c r="O817" s="13" t="s">
        <v>5983</v>
      </c>
      <c r="P817" s="14" t="s">
        <v>118</v>
      </c>
      <c r="Q817" s="15" t="s">
        <v>1089</v>
      </c>
      <c r="R817" s="16" t="s">
        <v>5984</v>
      </c>
      <c r="S817" s="15" t="s">
        <v>5985</v>
      </c>
      <c r="T817" s="15" t="s">
        <v>5985</v>
      </c>
      <c r="U817" s="21" t="s">
        <v>72</v>
      </c>
    </row>
    <row r="818" customFormat="false" ht="15" hidden="false" customHeight="false" outlineLevel="0" collapsed="false">
      <c r="A818" s="15" t="s">
        <v>850</v>
      </c>
      <c r="B818" s="15" t="s">
        <v>5762</v>
      </c>
      <c r="C818" s="14" t="s">
        <v>5986</v>
      </c>
      <c r="D818" s="14" t="s">
        <v>5987</v>
      </c>
      <c r="E818" s="16" t="s">
        <v>5988</v>
      </c>
      <c r="F818" s="16"/>
      <c r="G818" s="19" t="s">
        <v>41</v>
      </c>
      <c r="H818" s="18" t="n">
        <v>4</v>
      </c>
      <c r="I818" s="20" t="n">
        <v>61.2</v>
      </c>
      <c r="J818" s="20" t="n">
        <v>261.12</v>
      </c>
      <c r="K818" s="18" t="n">
        <v>6</v>
      </c>
      <c r="L818" s="18" t="n">
        <v>4</v>
      </c>
      <c r="M818" s="18" t="n">
        <v>72</v>
      </c>
      <c r="N818" s="18" t="n">
        <v>72</v>
      </c>
      <c r="O818" s="14" t="s">
        <v>5989</v>
      </c>
      <c r="P818" s="14" t="s">
        <v>118</v>
      </c>
      <c r="Q818" s="15" t="s">
        <v>1089</v>
      </c>
      <c r="R818" s="16" t="s">
        <v>4823</v>
      </c>
      <c r="S818" s="15" t="s">
        <v>5990</v>
      </c>
      <c r="T818" s="15" t="s">
        <v>5990</v>
      </c>
      <c r="U818" s="21" t="s">
        <v>72</v>
      </c>
    </row>
    <row r="819" customFormat="false" ht="39.55" hidden="false" customHeight="false" outlineLevel="0" collapsed="false">
      <c r="A819" s="15" t="s">
        <v>850</v>
      </c>
      <c r="B819" s="15" t="s">
        <v>5762</v>
      </c>
      <c r="C819" s="14" t="s">
        <v>5991</v>
      </c>
      <c r="D819" s="14" t="s">
        <v>5992</v>
      </c>
      <c r="E819" s="16" t="s">
        <v>5993</v>
      </c>
      <c r="F819" s="16"/>
      <c r="G819" s="23" t="s">
        <v>43</v>
      </c>
      <c r="H819" s="18" t="n">
        <v>4</v>
      </c>
      <c r="I819" s="20" t="n">
        <v>65.06</v>
      </c>
      <c r="J819" s="20" t="n">
        <v>170.32</v>
      </c>
      <c r="K819" s="18" t="n">
        <v>7</v>
      </c>
      <c r="L819" s="18" t="n">
        <v>6</v>
      </c>
      <c r="M819" s="18" t="n">
        <v>96</v>
      </c>
      <c r="N819" s="18" t="n">
        <v>46</v>
      </c>
      <c r="O819" s="14" t="s">
        <v>1097</v>
      </c>
      <c r="P819" s="14" t="s">
        <v>5994</v>
      </c>
      <c r="Q819" s="15" t="s">
        <v>1089</v>
      </c>
      <c r="R819" s="16" t="s">
        <v>5995</v>
      </c>
      <c r="S819" s="15" t="s">
        <v>5996</v>
      </c>
      <c r="T819" s="15" t="s">
        <v>5996</v>
      </c>
      <c r="U819" s="21" t="s">
        <v>72</v>
      </c>
    </row>
    <row r="820" customFormat="false" ht="15" hidden="false" customHeight="false" outlineLevel="0" collapsed="false">
      <c r="A820" s="15" t="s">
        <v>850</v>
      </c>
      <c r="B820" s="15" t="s">
        <v>5762</v>
      </c>
      <c r="C820" s="14" t="s">
        <v>5997</v>
      </c>
      <c r="D820" s="14" t="s">
        <v>5998</v>
      </c>
      <c r="E820" s="16" t="s">
        <v>5999</v>
      </c>
      <c r="F820" s="16" t="s">
        <v>6000</v>
      </c>
      <c r="G820" s="19" t="s">
        <v>41</v>
      </c>
      <c r="H820" s="18" t="n">
        <v>2</v>
      </c>
      <c r="I820" s="20" t="n">
        <v>30</v>
      </c>
      <c r="J820" s="20" t="n">
        <v>233.47</v>
      </c>
      <c r="K820" s="18" t="n">
        <v>2</v>
      </c>
      <c r="L820" s="18" t="n">
        <v>4</v>
      </c>
      <c r="M820" s="18" t="n">
        <v>48</v>
      </c>
      <c r="N820" s="18" t="n">
        <v>48</v>
      </c>
      <c r="O820" s="14" t="s">
        <v>4343</v>
      </c>
      <c r="P820" s="14" t="s">
        <v>84</v>
      </c>
      <c r="Q820" s="15" t="s">
        <v>1089</v>
      </c>
      <c r="R820" s="16" t="s">
        <v>6001</v>
      </c>
      <c r="S820" s="15" t="s">
        <v>6002</v>
      </c>
      <c r="T820" s="15" t="s">
        <v>6003</v>
      </c>
      <c r="U820" s="21" t="s">
        <v>72</v>
      </c>
    </row>
    <row r="821" customFormat="false" ht="15" hidden="false" customHeight="false" outlineLevel="0" collapsed="false">
      <c r="A821" s="15" t="s">
        <v>850</v>
      </c>
      <c r="B821" s="15" t="s">
        <v>5762</v>
      </c>
      <c r="C821" s="14" t="s">
        <v>6004</v>
      </c>
      <c r="D821" s="14" t="s">
        <v>6005</v>
      </c>
      <c r="E821" s="16" t="s">
        <v>6006</v>
      </c>
      <c r="F821" s="16"/>
      <c r="G821" s="23" t="s">
        <v>43</v>
      </c>
      <c r="H821" s="18" t="n">
        <v>2</v>
      </c>
      <c r="I821" s="20" t="n">
        <v>36.7</v>
      </c>
      <c r="J821" s="20" t="n">
        <v>79.24</v>
      </c>
      <c r="K821" s="18" t="n">
        <v>2</v>
      </c>
      <c r="L821" s="18" t="n">
        <v>3</v>
      </c>
      <c r="M821" s="18" t="n">
        <v>28</v>
      </c>
      <c r="N821" s="18" t="n">
        <v>28</v>
      </c>
      <c r="O821" s="14" t="s">
        <v>4223</v>
      </c>
      <c r="P821" s="14" t="s">
        <v>84</v>
      </c>
      <c r="Q821" s="15" t="s">
        <v>1089</v>
      </c>
      <c r="R821" s="16" t="s">
        <v>6007</v>
      </c>
      <c r="S821" s="15" t="s">
        <v>6008</v>
      </c>
      <c r="T821" s="15" t="s">
        <v>6009</v>
      </c>
      <c r="U821" s="21" t="s">
        <v>72</v>
      </c>
    </row>
    <row r="822" customFormat="false" ht="26.85" hidden="false" customHeight="false" outlineLevel="0" collapsed="false">
      <c r="A822" s="15" t="s">
        <v>850</v>
      </c>
      <c r="B822" s="15" t="s">
        <v>5762</v>
      </c>
      <c r="C822" s="14" t="s">
        <v>6010</v>
      </c>
      <c r="D822" s="14" t="s">
        <v>6011</v>
      </c>
      <c r="E822" s="16" t="s">
        <v>6012</v>
      </c>
      <c r="F822" s="16"/>
      <c r="G822" s="23" t="s">
        <v>43</v>
      </c>
      <c r="H822" s="18" t="n">
        <v>2</v>
      </c>
      <c r="I822" s="20" t="n">
        <v>33.39</v>
      </c>
      <c r="J822" s="20" t="n">
        <v>75.66</v>
      </c>
      <c r="K822" s="18" t="n">
        <v>3</v>
      </c>
      <c r="L822" s="18" t="n">
        <v>4</v>
      </c>
      <c r="M822" s="18" t="n">
        <v>51</v>
      </c>
      <c r="N822" s="18" t="n">
        <v>51</v>
      </c>
      <c r="O822" s="13" t="s">
        <v>6013</v>
      </c>
      <c r="P822" s="14" t="s">
        <v>118</v>
      </c>
      <c r="Q822" s="15" t="s">
        <v>1089</v>
      </c>
      <c r="R822" s="16" t="s">
        <v>6014</v>
      </c>
      <c r="S822" s="15" t="s">
        <v>6015</v>
      </c>
      <c r="T822" s="15" t="s">
        <v>6016</v>
      </c>
      <c r="U822" s="21" t="s">
        <v>72</v>
      </c>
    </row>
    <row r="823" customFormat="false" ht="15" hidden="false" customHeight="false" outlineLevel="0" collapsed="false">
      <c r="A823" s="15" t="s">
        <v>850</v>
      </c>
      <c r="B823" s="15" t="s">
        <v>5762</v>
      </c>
      <c r="C823" s="14" t="s">
        <v>6017</v>
      </c>
      <c r="D823" s="14" t="s">
        <v>6018</v>
      </c>
      <c r="E823" s="16" t="s">
        <v>6019</v>
      </c>
      <c r="F823" s="16"/>
      <c r="G823" s="25" t="s">
        <v>39</v>
      </c>
      <c r="H823" s="18" t="n">
        <v>6</v>
      </c>
      <c r="I823" s="20" t="n">
        <v>248.8</v>
      </c>
      <c r="J823" s="20" t="n">
        <v>469.34</v>
      </c>
      <c r="K823" s="18" t="n">
        <v>12</v>
      </c>
      <c r="L823" s="18" t="n">
        <v>14</v>
      </c>
      <c r="M823" s="18" t="n">
        <v>408</v>
      </c>
      <c r="N823" s="18" t="n">
        <v>132</v>
      </c>
      <c r="O823" s="14" t="s">
        <v>6020</v>
      </c>
      <c r="P823" s="14" t="s">
        <v>118</v>
      </c>
      <c r="Q823" s="15" t="s">
        <v>1089</v>
      </c>
      <c r="R823" s="16" t="s">
        <v>6021</v>
      </c>
      <c r="S823" s="15" t="s">
        <v>5902</v>
      </c>
      <c r="T823" s="15" t="s">
        <v>5902</v>
      </c>
      <c r="U823" s="21" t="s">
        <v>72</v>
      </c>
    </row>
    <row r="824" customFormat="false" ht="15" hidden="false" customHeight="false" outlineLevel="0" collapsed="false">
      <c r="A824" s="15" t="s">
        <v>850</v>
      </c>
      <c r="B824" s="15" t="s">
        <v>5762</v>
      </c>
      <c r="C824" s="14" t="s">
        <v>6022</v>
      </c>
      <c r="D824" s="14" t="s">
        <v>6023</v>
      </c>
      <c r="E824" s="16" t="s">
        <v>6024</v>
      </c>
      <c r="F824" s="16"/>
      <c r="G824" s="19" t="s">
        <v>41</v>
      </c>
      <c r="H824" s="18" t="n">
        <v>6</v>
      </c>
      <c r="I824" s="20" t="n">
        <v>105.51</v>
      </c>
      <c r="J824" s="20" t="n">
        <v>218.85</v>
      </c>
      <c r="K824" s="18" t="n">
        <v>5</v>
      </c>
      <c r="L824" s="18" t="n">
        <v>2</v>
      </c>
      <c r="M824" s="18" t="n">
        <v>129</v>
      </c>
      <c r="N824" s="18" t="n">
        <v>129</v>
      </c>
      <c r="O824" s="14" t="s">
        <v>6025</v>
      </c>
      <c r="P824" s="14" t="s">
        <v>118</v>
      </c>
      <c r="Q824" s="15" t="s">
        <v>1089</v>
      </c>
      <c r="R824" s="16" t="s">
        <v>6026</v>
      </c>
      <c r="S824" s="15" t="s">
        <v>6027</v>
      </c>
      <c r="T824" s="15" t="s">
        <v>6028</v>
      </c>
      <c r="U824" s="21" t="s">
        <v>72</v>
      </c>
    </row>
    <row r="825" customFormat="false" ht="15" hidden="false" customHeight="false" outlineLevel="0" collapsed="false">
      <c r="A825" s="15" t="s">
        <v>850</v>
      </c>
      <c r="B825" s="15" t="s">
        <v>5762</v>
      </c>
      <c r="C825" s="14" t="s">
        <v>6029</v>
      </c>
      <c r="D825" s="14" t="s">
        <v>6030</v>
      </c>
      <c r="E825" s="16" t="s">
        <v>6031</v>
      </c>
      <c r="F825" s="16"/>
      <c r="G825" s="23" t="s">
        <v>43</v>
      </c>
      <c r="H825" s="18" t="n">
        <v>4</v>
      </c>
      <c r="I825" s="20" t="n">
        <v>63.87</v>
      </c>
      <c r="J825" s="20" t="n">
        <v>98.71</v>
      </c>
      <c r="K825" s="18" t="n">
        <v>4</v>
      </c>
      <c r="L825" s="18" t="n">
        <v>1</v>
      </c>
      <c r="M825" s="18" t="n">
        <v>60</v>
      </c>
      <c r="N825" s="18" t="n">
        <v>60</v>
      </c>
      <c r="O825" s="14" t="s">
        <v>1097</v>
      </c>
      <c r="P825" s="14" t="s">
        <v>84</v>
      </c>
      <c r="Q825" s="15" t="s">
        <v>1089</v>
      </c>
      <c r="R825" s="16" t="s">
        <v>6032</v>
      </c>
      <c r="S825" s="15" t="s">
        <v>2088</v>
      </c>
      <c r="T825" s="15" t="s">
        <v>2088</v>
      </c>
      <c r="U825" s="21" t="s">
        <v>72</v>
      </c>
    </row>
    <row r="826" customFormat="false" ht="15" hidden="false" customHeight="false" outlineLevel="0" collapsed="false">
      <c r="A826" s="15" t="s">
        <v>850</v>
      </c>
      <c r="B826" s="15" t="s">
        <v>5762</v>
      </c>
      <c r="C826" s="14" t="s">
        <v>6033</v>
      </c>
      <c r="D826" s="14" t="s">
        <v>6034</v>
      </c>
      <c r="E826" s="16" t="s">
        <v>6035</v>
      </c>
      <c r="F826" s="16" t="s">
        <v>6036</v>
      </c>
      <c r="G826" s="23" t="s">
        <v>43</v>
      </c>
      <c r="H826" s="18" t="n">
        <v>2</v>
      </c>
      <c r="I826" s="20" t="n">
        <v>30.98</v>
      </c>
      <c r="J826" s="20" t="n">
        <v>97.6</v>
      </c>
      <c r="K826" s="18" t="n">
        <v>2</v>
      </c>
      <c r="L826" s="18" t="n">
        <v>2</v>
      </c>
      <c r="M826" s="18" t="n">
        <v>24</v>
      </c>
      <c r="N826" s="18" t="n">
        <v>24</v>
      </c>
      <c r="O826" s="14" t="s">
        <v>4276</v>
      </c>
      <c r="P826" s="14" t="s">
        <v>84</v>
      </c>
      <c r="Q826" s="15" t="s">
        <v>1089</v>
      </c>
      <c r="R826" s="16" t="s">
        <v>6037</v>
      </c>
      <c r="S826" s="15" t="s">
        <v>6038</v>
      </c>
      <c r="T826" s="15" t="s">
        <v>6039</v>
      </c>
      <c r="U826" s="21" t="s">
        <v>72</v>
      </c>
    </row>
    <row r="827" customFormat="false" ht="15" hidden="false" customHeight="false" outlineLevel="0" collapsed="false">
      <c r="A827" s="15" t="s">
        <v>850</v>
      </c>
      <c r="B827" s="15" t="s">
        <v>5762</v>
      </c>
      <c r="C827" s="14" t="s">
        <v>6040</v>
      </c>
      <c r="D827" s="14" t="s">
        <v>6041</v>
      </c>
      <c r="E827" s="16" t="s">
        <v>6042</v>
      </c>
      <c r="F827" s="16" t="s">
        <v>6043</v>
      </c>
      <c r="G827" s="23" t="s">
        <v>43</v>
      </c>
      <c r="H827" s="18" t="n">
        <v>3</v>
      </c>
      <c r="I827" s="20" t="n">
        <v>59.32</v>
      </c>
      <c r="J827" s="20" t="n">
        <v>87.63</v>
      </c>
      <c r="K827" s="18" t="n">
        <v>2</v>
      </c>
      <c r="L827" s="18" t="n">
        <v>1</v>
      </c>
      <c r="M827" s="18" t="n">
        <v>48</v>
      </c>
      <c r="N827" s="18" t="n">
        <v>48</v>
      </c>
      <c r="O827" s="14" t="s">
        <v>1097</v>
      </c>
      <c r="P827" s="14" t="s">
        <v>84</v>
      </c>
      <c r="Q827" s="15" t="s">
        <v>1089</v>
      </c>
      <c r="R827" s="16" t="s">
        <v>6044</v>
      </c>
      <c r="S827" s="15" t="s">
        <v>6045</v>
      </c>
      <c r="T827" s="15" t="s">
        <v>6045</v>
      </c>
      <c r="U827" s="21" t="s">
        <v>72</v>
      </c>
    </row>
    <row r="828" customFormat="false" ht="15" hidden="false" customHeight="false" outlineLevel="0" collapsed="false">
      <c r="A828" s="15" t="s">
        <v>850</v>
      </c>
      <c r="B828" s="15" t="s">
        <v>5762</v>
      </c>
      <c r="C828" s="14" t="s">
        <v>6046</v>
      </c>
      <c r="D828" s="14" t="s">
        <v>6047</v>
      </c>
      <c r="E828" s="16" t="s">
        <v>6048</v>
      </c>
      <c r="F828" s="16" t="s">
        <v>6049</v>
      </c>
      <c r="G828" s="23" t="s">
        <v>43</v>
      </c>
      <c r="H828" s="18" t="n">
        <v>2</v>
      </c>
      <c r="I828" s="20" t="n">
        <v>39</v>
      </c>
      <c r="J828" s="20" t="n">
        <v>156.85</v>
      </c>
      <c r="K828" s="18" t="n">
        <v>2</v>
      </c>
      <c r="L828" s="18" t="n">
        <v>6</v>
      </c>
      <c r="M828" s="18" t="n">
        <v>22</v>
      </c>
      <c r="N828" s="18" t="n">
        <v>22</v>
      </c>
      <c r="O828" s="14" t="s">
        <v>4223</v>
      </c>
      <c r="P828" s="14" t="s">
        <v>84</v>
      </c>
      <c r="Q828" s="15" t="s">
        <v>1089</v>
      </c>
      <c r="R828" s="16" t="s">
        <v>6050</v>
      </c>
      <c r="S828" s="15" t="s">
        <v>6051</v>
      </c>
      <c r="T828" s="15" t="s">
        <v>6052</v>
      </c>
      <c r="U828" s="21" t="s">
        <v>72</v>
      </c>
    </row>
    <row r="829" customFormat="false" ht="26.85" hidden="false" customHeight="false" outlineLevel="0" collapsed="false">
      <c r="A829" s="15" t="s">
        <v>850</v>
      </c>
      <c r="B829" s="15" t="s">
        <v>5762</v>
      </c>
      <c r="C829" s="14" t="s">
        <v>6053</v>
      </c>
      <c r="D829" s="14" t="s">
        <v>6054</v>
      </c>
      <c r="E829" s="16" t="s">
        <v>6055</v>
      </c>
      <c r="F829" s="16" t="s">
        <v>1812</v>
      </c>
      <c r="G829" s="23" t="s">
        <v>43</v>
      </c>
      <c r="H829" s="18" t="n">
        <v>3</v>
      </c>
      <c r="I829" s="20" t="n">
        <v>95.06</v>
      </c>
      <c r="J829" s="20" t="n">
        <v>182.89</v>
      </c>
      <c r="K829" s="18" t="n">
        <v>3</v>
      </c>
      <c r="L829" s="18" t="n">
        <v>17</v>
      </c>
      <c r="M829" s="18" t="n">
        <v>234</v>
      </c>
      <c r="N829" s="18" t="n">
        <v>234</v>
      </c>
      <c r="O829" s="14" t="s">
        <v>4343</v>
      </c>
      <c r="P829" s="14" t="s">
        <v>84</v>
      </c>
      <c r="Q829" s="15" t="s">
        <v>1089</v>
      </c>
      <c r="R829" s="16" t="s">
        <v>6056</v>
      </c>
      <c r="S829" s="15" t="s">
        <v>1813</v>
      </c>
      <c r="T829" s="15" t="s">
        <v>6057</v>
      </c>
      <c r="U829" s="21" t="s">
        <v>72</v>
      </c>
    </row>
    <row r="830" customFormat="false" ht="26.85" hidden="false" customHeight="false" outlineLevel="0" collapsed="false">
      <c r="A830" s="15" t="s">
        <v>850</v>
      </c>
      <c r="B830" s="15" t="s">
        <v>5762</v>
      </c>
      <c r="C830" s="14" t="s">
        <v>6058</v>
      </c>
      <c r="D830" s="14" t="s">
        <v>6059</v>
      </c>
      <c r="E830" s="16" t="s">
        <v>6060</v>
      </c>
      <c r="F830" s="16" t="s">
        <v>1812</v>
      </c>
      <c r="G830" s="23" t="s">
        <v>43</v>
      </c>
      <c r="H830" s="18" t="n">
        <v>3</v>
      </c>
      <c r="I830" s="20" t="n">
        <v>91.97</v>
      </c>
      <c r="J830" s="20" t="n">
        <v>134.39</v>
      </c>
      <c r="K830" s="18" t="n">
        <v>4</v>
      </c>
      <c r="L830" s="18" t="n">
        <v>9</v>
      </c>
      <c r="M830" s="18" t="n">
        <v>304</v>
      </c>
      <c r="N830" s="18" t="n">
        <v>304</v>
      </c>
      <c r="O830" s="14" t="s">
        <v>4276</v>
      </c>
      <c r="P830" s="14" t="s">
        <v>84</v>
      </c>
      <c r="Q830" s="15" t="s">
        <v>1089</v>
      </c>
      <c r="R830" s="16" t="s">
        <v>6061</v>
      </c>
      <c r="S830" s="15" t="s">
        <v>1813</v>
      </c>
      <c r="T830" s="15" t="s">
        <v>6062</v>
      </c>
      <c r="U830" s="21" t="s">
        <v>72</v>
      </c>
    </row>
    <row r="831" customFormat="false" ht="15" hidden="false" customHeight="false" outlineLevel="0" collapsed="false">
      <c r="A831" s="15" t="s">
        <v>850</v>
      </c>
      <c r="B831" s="15" t="s">
        <v>5762</v>
      </c>
      <c r="C831" s="14" t="s">
        <v>6063</v>
      </c>
      <c r="D831" s="14" t="s">
        <v>6064</v>
      </c>
      <c r="E831" s="16" t="s">
        <v>6065</v>
      </c>
      <c r="F831" s="16"/>
      <c r="G831" s="23" t="s">
        <v>43</v>
      </c>
      <c r="H831" s="18" t="n">
        <v>3</v>
      </c>
      <c r="I831" s="20" t="n">
        <v>33.5</v>
      </c>
      <c r="J831" s="20" t="n">
        <v>84.25</v>
      </c>
      <c r="K831" s="18" t="n">
        <v>2</v>
      </c>
      <c r="L831" s="18" t="n">
        <v>4</v>
      </c>
      <c r="M831" s="18" t="n">
        <v>26</v>
      </c>
      <c r="N831" s="18" t="n">
        <v>26</v>
      </c>
      <c r="O831" s="14" t="s">
        <v>4276</v>
      </c>
      <c r="P831" s="14" t="s">
        <v>84</v>
      </c>
      <c r="Q831" s="15" t="s">
        <v>1089</v>
      </c>
      <c r="R831" s="16" t="s">
        <v>5293</v>
      </c>
      <c r="S831" s="15" t="s">
        <v>1746</v>
      </c>
      <c r="T831" s="15" t="s">
        <v>1746</v>
      </c>
      <c r="U831" s="21" t="s">
        <v>72</v>
      </c>
    </row>
    <row r="832" customFormat="false" ht="15" hidden="false" customHeight="false" outlineLevel="0" collapsed="false">
      <c r="A832" s="15" t="s">
        <v>850</v>
      </c>
      <c r="B832" s="15" t="s">
        <v>5762</v>
      </c>
      <c r="C832" s="14" t="s">
        <v>6066</v>
      </c>
      <c r="D832" s="14" t="s">
        <v>6067</v>
      </c>
      <c r="E832" s="16" t="s">
        <v>6068</v>
      </c>
      <c r="F832" s="16" t="s">
        <v>6069</v>
      </c>
      <c r="G832" s="25" t="s">
        <v>39</v>
      </c>
      <c r="H832" s="18" t="n">
        <v>11</v>
      </c>
      <c r="I832" s="20" t="n">
        <v>156.5</v>
      </c>
      <c r="J832" s="20" t="n">
        <v>302.04</v>
      </c>
      <c r="K832" s="18" t="n">
        <v>11</v>
      </c>
      <c r="L832" s="18" t="n">
        <v>19</v>
      </c>
      <c r="M832" s="18" t="n">
        <v>132</v>
      </c>
      <c r="N832" s="18" t="n">
        <v>42</v>
      </c>
      <c r="O832" s="14" t="s">
        <v>1088</v>
      </c>
      <c r="P832" s="14" t="s">
        <v>118</v>
      </c>
      <c r="Q832" s="15" t="s">
        <v>1089</v>
      </c>
      <c r="R832" s="16" t="s">
        <v>5320</v>
      </c>
      <c r="S832" s="15" t="s">
        <v>6070</v>
      </c>
      <c r="T832" s="15" t="s">
        <v>6071</v>
      </c>
      <c r="U832" s="21" t="s">
        <v>72</v>
      </c>
    </row>
    <row r="833" customFormat="false" ht="15" hidden="false" customHeight="false" outlineLevel="0" collapsed="false">
      <c r="A833" s="15" t="s">
        <v>850</v>
      </c>
      <c r="B833" s="15" t="s">
        <v>5762</v>
      </c>
      <c r="C833" s="14" t="s">
        <v>6072</v>
      </c>
      <c r="D833" s="14" t="s">
        <v>6073</v>
      </c>
      <c r="E833" s="16" t="s">
        <v>6074</v>
      </c>
      <c r="F833" s="16" t="s">
        <v>6075</v>
      </c>
      <c r="G833" s="23" t="s">
        <v>43</v>
      </c>
      <c r="H833" s="18" t="n">
        <v>2</v>
      </c>
      <c r="I833" s="20" t="n">
        <v>32.8</v>
      </c>
      <c r="J833" s="20" t="n">
        <v>74.52</v>
      </c>
      <c r="K833" s="18" t="n">
        <v>2</v>
      </c>
      <c r="L833" s="18" t="n">
        <v>2</v>
      </c>
      <c r="M833" s="18" t="n">
        <v>28</v>
      </c>
      <c r="N833" s="18" t="n">
        <v>28</v>
      </c>
      <c r="O833" s="14" t="s">
        <v>4276</v>
      </c>
      <c r="P833" s="14" t="s">
        <v>84</v>
      </c>
      <c r="Q833" s="15" t="s">
        <v>1089</v>
      </c>
      <c r="R833" s="16" t="s">
        <v>6076</v>
      </c>
      <c r="S833" s="15" t="s">
        <v>6077</v>
      </c>
      <c r="T833" s="15" t="s">
        <v>6077</v>
      </c>
      <c r="U833" s="21" t="s">
        <v>72</v>
      </c>
    </row>
    <row r="834" customFormat="false" ht="52.2" hidden="false" customHeight="false" outlineLevel="0" collapsed="false">
      <c r="A834" s="15" t="s">
        <v>850</v>
      </c>
      <c r="B834" s="15" t="s">
        <v>5762</v>
      </c>
      <c r="C834" s="14" t="s">
        <v>6078</v>
      </c>
      <c r="D834" s="14" t="s">
        <v>6079</v>
      </c>
      <c r="E834" s="16" t="s">
        <v>6080</v>
      </c>
      <c r="F834" s="16"/>
      <c r="G834" s="19" t="s">
        <v>41</v>
      </c>
      <c r="H834" s="18" t="n">
        <v>5</v>
      </c>
      <c r="I834" s="20" t="n">
        <v>113.17</v>
      </c>
      <c r="J834" s="20" t="n">
        <v>190.91</v>
      </c>
      <c r="K834" s="18" t="n">
        <v>77</v>
      </c>
      <c r="L834" s="18" t="n">
        <v>19</v>
      </c>
      <c r="M834" s="18" t="n">
        <v>2464</v>
      </c>
      <c r="N834" s="18" t="n">
        <v>640</v>
      </c>
      <c r="O834" s="14" t="s">
        <v>4446</v>
      </c>
      <c r="P834" s="14" t="s">
        <v>6081</v>
      </c>
      <c r="Q834" s="15" t="s">
        <v>1089</v>
      </c>
      <c r="R834" s="16" t="s">
        <v>6082</v>
      </c>
      <c r="S834" s="15" t="s">
        <v>6083</v>
      </c>
      <c r="T834" s="15" t="s">
        <v>6083</v>
      </c>
      <c r="U834" s="21" t="s">
        <v>72</v>
      </c>
    </row>
    <row r="835" customFormat="false" ht="26.85" hidden="false" customHeight="false" outlineLevel="0" collapsed="false">
      <c r="A835" s="15" t="s">
        <v>850</v>
      </c>
      <c r="B835" s="15" t="s">
        <v>5762</v>
      </c>
      <c r="C835" s="14" t="s">
        <v>6084</v>
      </c>
      <c r="D835" s="14" t="s">
        <v>6085</v>
      </c>
      <c r="E835" s="16" t="s">
        <v>6086</v>
      </c>
      <c r="F835" s="16" t="s">
        <v>1812</v>
      </c>
      <c r="G835" s="25" t="s">
        <v>39</v>
      </c>
      <c r="H835" s="18" t="n">
        <v>16</v>
      </c>
      <c r="I835" s="20" t="n">
        <v>439.4</v>
      </c>
      <c r="J835" s="20" t="n">
        <v>870.25</v>
      </c>
      <c r="K835" s="18" t="n">
        <v>19</v>
      </c>
      <c r="L835" s="18" t="n">
        <v>54</v>
      </c>
      <c r="M835" s="18" t="n">
        <v>421</v>
      </c>
      <c r="N835" s="18" t="n">
        <v>308</v>
      </c>
      <c r="O835" s="14" t="s">
        <v>4385</v>
      </c>
      <c r="P835" s="14" t="s">
        <v>334</v>
      </c>
      <c r="Q835" s="15" t="s">
        <v>1089</v>
      </c>
      <c r="R835" s="16" t="s">
        <v>6087</v>
      </c>
      <c r="S835" s="15" t="s">
        <v>1813</v>
      </c>
      <c r="T835" s="15" t="s">
        <v>6088</v>
      </c>
      <c r="U835" s="21" t="s">
        <v>72</v>
      </c>
    </row>
    <row r="836" customFormat="false" ht="15" hidden="false" customHeight="false" outlineLevel="0" collapsed="false">
      <c r="A836" s="15" t="s">
        <v>850</v>
      </c>
      <c r="B836" s="15" t="s">
        <v>5762</v>
      </c>
      <c r="C836" s="14" t="s">
        <v>6089</v>
      </c>
      <c r="D836" s="14" t="s">
        <v>6090</v>
      </c>
      <c r="E836" s="16" t="s">
        <v>6091</v>
      </c>
      <c r="F836" s="16" t="s">
        <v>6092</v>
      </c>
      <c r="G836" s="23" t="s">
        <v>43</v>
      </c>
      <c r="H836" s="18" t="n">
        <v>3</v>
      </c>
      <c r="I836" s="20" t="n">
        <v>56.26</v>
      </c>
      <c r="J836" s="20" t="n">
        <v>77.15</v>
      </c>
      <c r="K836" s="18" t="n">
        <v>4</v>
      </c>
      <c r="L836" s="18" t="n">
        <v>8</v>
      </c>
      <c r="M836" s="18" t="n">
        <v>90</v>
      </c>
      <c r="N836" s="18" t="n">
        <v>90</v>
      </c>
      <c r="O836" s="14" t="s">
        <v>6093</v>
      </c>
      <c r="P836" s="14" t="s">
        <v>118</v>
      </c>
      <c r="Q836" s="15" t="s">
        <v>1089</v>
      </c>
      <c r="R836" s="16" t="s">
        <v>6094</v>
      </c>
      <c r="S836" s="15" t="s">
        <v>6095</v>
      </c>
      <c r="T836" s="15" t="s">
        <v>6096</v>
      </c>
      <c r="U836" s="21" t="s">
        <v>72</v>
      </c>
    </row>
    <row r="837" customFormat="false" ht="64.9" hidden="false" customHeight="false" outlineLevel="0" collapsed="false">
      <c r="A837" s="15" t="s">
        <v>850</v>
      </c>
      <c r="B837" s="15" t="s">
        <v>6097</v>
      </c>
      <c r="C837" s="14" t="s">
        <v>6098</v>
      </c>
      <c r="D837" s="14" t="s">
        <v>6099</v>
      </c>
      <c r="E837" s="16" t="s">
        <v>6100</v>
      </c>
      <c r="F837" s="16" t="s">
        <v>6101</v>
      </c>
      <c r="G837" s="19" t="s">
        <v>41</v>
      </c>
      <c r="H837" s="18" t="n">
        <v>5</v>
      </c>
      <c r="I837" s="20" t="n">
        <v>198.08</v>
      </c>
      <c r="J837" s="20" t="n">
        <v>351.87</v>
      </c>
      <c r="K837" s="18" t="n">
        <v>85</v>
      </c>
      <c r="L837" s="18" t="n">
        <v>34</v>
      </c>
      <c r="M837" s="18" t="n">
        <v>4165</v>
      </c>
      <c r="N837" s="18" t="n">
        <v>343</v>
      </c>
      <c r="O837" s="14" t="s">
        <v>4215</v>
      </c>
      <c r="P837" s="14" t="s">
        <v>6102</v>
      </c>
      <c r="Q837" s="15" t="s">
        <v>1089</v>
      </c>
      <c r="R837" s="16" t="s">
        <v>6103</v>
      </c>
      <c r="S837" s="15" t="s">
        <v>2538</v>
      </c>
      <c r="T837" s="15" t="s">
        <v>6104</v>
      </c>
      <c r="U837" s="21" t="s">
        <v>72</v>
      </c>
    </row>
    <row r="838" customFormat="false" ht="15" hidden="false" customHeight="false" outlineLevel="0" collapsed="false">
      <c r="A838" s="15" t="s">
        <v>850</v>
      </c>
      <c r="B838" s="15" t="s">
        <v>6097</v>
      </c>
      <c r="C838" s="14" t="s">
        <v>6105</v>
      </c>
      <c r="D838" s="14" t="s">
        <v>6106</v>
      </c>
      <c r="E838" s="16" t="s">
        <v>6107</v>
      </c>
      <c r="F838" s="16"/>
      <c r="G838" s="19" t="s">
        <v>41</v>
      </c>
      <c r="H838" s="18" t="n">
        <v>4</v>
      </c>
      <c r="I838" s="20" t="n">
        <v>85.7</v>
      </c>
      <c r="J838" s="20" t="n">
        <v>202.24</v>
      </c>
      <c r="K838" s="18" t="n">
        <v>4</v>
      </c>
      <c r="L838" s="18" t="n">
        <v>7</v>
      </c>
      <c r="M838" s="18" t="n">
        <v>69</v>
      </c>
      <c r="N838" s="18" t="n">
        <v>26</v>
      </c>
      <c r="O838" s="14" t="s">
        <v>4223</v>
      </c>
      <c r="P838" s="14" t="s">
        <v>118</v>
      </c>
      <c r="Q838" s="15" t="s">
        <v>1089</v>
      </c>
      <c r="R838" s="16" t="s">
        <v>6108</v>
      </c>
      <c r="S838" s="15" t="s">
        <v>6109</v>
      </c>
      <c r="T838" s="15" t="s">
        <v>6109</v>
      </c>
      <c r="U838" s="21" t="s">
        <v>72</v>
      </c>
    </row>
    <row r="839" customFormat="false" ht="15" hidden="false" customHeight="false" outlineLevel="0" collapsed="false">
      <c r="A839" s="15" t="s">
        <v>850</v>
      </c>
      <c r="B839" s="15" t="s">
        <v>6097</v>
      </c>
      <c r="C839" s="14" t="s">
        <v>6110</v>
      </c>
      <c r="D839" s="14" t="s">
        <v>6111</v>
      </c>
      <c r="E839" s="16" t="s">
        <v>6112</v>
      </c>
      <c r="F839" s="16" t="s">
        <v>6113</v>
      </c>
      <c r="G839" s="23" t="s">
        <v>43</v>
      </c>
      <c r="H839" s="18" t="n">
        <v>3</v>
      </c>
      <c r="I839" s="20" t="n">
        <v>47</v>
      </c>
      <c r="J839" s="20" t="n">
        <v>138.37</v>
      </c>
      <c r="K839" s="18" t="n">
        <v>17</v>
      </c>
      <c r="L839" s="18" t="n">
        <v>5</v>
      </c>
      <c r="M839" s="18" t="n">
        <v>222</v>
      </c>
      <c r="N839" s="18" t="n">
        <v>36</v>
      </c>
      <c r="O839" s="14" t="s">
        <v>4215</v>
      </c>
      <c r="P839" s="14" t="s">
        <v>118</v>
      </c>
      <c r="Q839" s="15" t="s">
        <v>1089</v>
      </c>
      <c r="R839" s="16" t="s">
        <v>6114</v>
      </c>
      <c r="S839" s="15" t="s">
        <v>6115</v>
      </c>
      <c r="T839" s="15" t="s">
        <v>6116</v>
      </c>
      <c r="U839" s="21" t="s">
        <v>72</v>
      </c>
    </row>
    <row r="840" customFormat="false" ht="15" hidden="false" customHeight="false" outlineLevel="0" collapsed="false">
      <c r="A840" s="15" t="s">
        <v>850</v>
      </c>
      <c r="B840" s="15" t="s">
        <v>6097</v>
      </c>
      <c r="C840" s="14" t="s">
        <v>6117</v>
      </c>
      <c r="D840" s="14" t="s">
        <v>6118</v>
      </c>
      <c r="E840" s="16" t="s">
        <v>6119</v>
      </c>
      <c r="F840" s="16"/>
      <c r="G840" s="19" t="s">
        <v>41</v>
      </c>
      <c r="H840" s="18" t="n">
        <v>7</v>
      </c>
      <c r="I840" s="20" t="n">
        <v>157.37</v>
      </c>
      <c r="J840" s="20" t="n">
        <v>287.37</v>
      </c>
      <c r="K840" s="18" t="n">
        <v>10</v>
      </c>
      <c r="L840" s="18" t="n">
        <v>2</v>
      </c>
      <c r="M840" s="18" t="n">
        <v>150</v>
      </c>
      <c r="N840" s="18" t="n">
        <v>150</v>
      </c>
      <c r="O840" s="14" t="s">
        <v>4998</v>
      </c>
      <c r="P840" s="14" t="s">
        <v>118</v>
      </c>
      <c r="Q840" s="15" t="s">
        <v>1089</v>
      </c>
      <c r="R840" s="16" t="s">
        <v>6120</v>
      </c>
      <c r="S840" s="15" t="s">
        <v>6121</v>
      </c>
      <c r="T840" s="15" t="s">
        <v>6121</v>
      </c>
      <c r="U840" s="21" t="s">
        <v>72</v>
      </c>
    </row>
    <row r="841" customFormat="false" ht="26.85" hidden="false" customHeight="false" outlineLevel="0" collapsed="false">
      <c r="A841" s="15" t="s">
        <v>850</v>
      </c>
      <c r="B841" s="15" t="s">
        <v>6097</v>
      </c>
      <c r="C841" s="14" t="s">
        <v>6122</v>
      </c>
      <c r="D841" s="14" t="s">
        <v>6123</v>
      </c>
      <c r="E841" s="16" t="s">
        <v>6124</v>
      </c>
      <c r="F841" s="16" t="s">
        <v>6125</v>
      </c>
      <c r="G841" s="19" t="s">
        <v>41</v>
      </c>
      <c r="H841" s="18" t="n">
        <v>6</v>
      </c>
      <c r="I841" s="20" t="n">
        <v>144</v>
      </c>
      <c r="J841" s="20" t="n">
        <v>379.33</v>
      </c>
      <c r="K841" s="18" t="n">
        <v>6</v>
      </c>
      <c r="L841" s="18" t="n">
        <v>7</v>
      </c>
      <c r="M841" s="18" t="n">
        <v>144</v>
      </c>
      <c r="N841" s="18" t="n">
        <v>96</v>
      </c>
      <c r="O841" s="14" t="s">
        <v>6126</v>
      </c>
      <c r="P841" s="14" t="s">
        <v>352</v>
      </c>
      <c r="Q841" s="15" t="s">
        <v>1089</v>
      </c>
      <c r="R841" s="16" t="s">
        <v>6127</v>
      </c>
      <c r="S841" s="15" t="s">
        <v>6128</v>
      </c>
      <c r="T841" s="15" t="s">
        <v>6129</v>
      </c>
      <c r="U841" s="21" t="s">
        <v>72</v>
      </c>
    </row>
    <row r="842" customFormat="false" ht="15" hidden="false" customHeight="false" outlineLevel="0" collapsed="false">
      <c r="A842" s="15" t="s">
        <v>850</v>
      </c>
      <c r="B842" s="15" t="s">
        <v>6097</v>
      </c>
      <c r="C842" s="14" t="s">
        <v>6130</v>
      </c>
      <c r="D842" s="14" t="s">
        <v>6131</v>
      </c>
      <c r="E842" s="16" t="s">
        <v>6132</v>
      </c>
      <c r="F842" s="16" t="s">
        <v>1104</v>
      </c>
      <c r="G842" s="23" t="s">
        <v>43</v>
      </c>
      <c r="H842" s="18" t="n">
        <v>2</v>
      </c>
      <c r="I842" s="20" t="n">
        <v>83.66</v>
      </c>
      <c r="J842" s="20" t="n">
        <v>161.67</v>
      </c>
      <c r="K842" s="18" t="n">
        <v>4</v>
      </c>
      <c r="L842" s="18" t="n">
        <v>19</v>
      </c>
      <c r="M842" s="18" t="n">
        <v>72</v>
      </c>
      <c r="N842" s="18" t="n">
        <v>36</v>
      </c>
      <c r="O842" s="14" t="s">
        <v>4215</v>
      </c>
      <c r="P842" s="14" t="s">
        <v>118</v>
      </c>
      <c r="Q842" s="15" t="s">
        <v>1089</v>
      </c>
      <c r="R842" s="16" t="s">
        <v>6133</v>
      </c>
      <c r="S842" s="15" t="s">
        <v>1106</v>
      </c>
      <c r="T842" s="15" t="s">
        <v>6134</v>
      </c>
      <c r="U842" s="21" t="s">
        <v>72</v>
      </c>
    </row>
    <row r="843" customFormat="false" ht="15" hidden="false" customHeight="false" outlineLevel="0" collapsed="false">
      <c r="A843" s="15" t="s">
        <v>850</v>
      </c>
      <c r="B843" s="15" t="s">
        <v>6097</v>
      </c>
      <c r="C843" s="14" t="s">
        <v>6135</v>
      </c>
      <c r="D843" s="14" t="s">
        <v>6136</v>
      </c>
      <c r="E843" s="16" t="s">
        <v>6137</v>
      </c>
      <c r="F843" s="16" t="s">
        <v>6138</v>
      </c>
      <c r="G843" s="25" t="s">
        <v>39</v>
      </c>
      <c r="H843" s="18" t="n">
        <v>7</v>
      </c>
      <c r="I843" s="20" t="n">
        <v>242.16</v>
      </c>
      <c r="J843" s="20" t="n">
        <v>485.55</v>
      </c>
      <c r="K843" s="18" t="n">
        <v>10</v>
      </c>
      <c r="L843" s="18" t="n">
        <v>5</v>
      </c>
      <c r="M843" s="18" t="n">
        <v>360</v>
      </c>
      <c r="N843" s="18" t="n">
        <v>360</v>
      </c>
      <c r="O843" s="14" t="s">
        <v>4343</v>
      </c>
      <c r="P843" s="14" t="s">
        <v>84</v>
      </c>
      <c r="Q843" s="15" t="s">
        <v>1089</v>
      </c>
      <c r="R843" s="16" t="s">
        <v>6139</v>
      </c>
      <c r="S843" s="15" t="s">
        <v>6140</v>
      </c>
      <c r="T843" s="15" t="s">
        <v>6140</v>
      </c>
      <c r="U843" s="21" t="s">
        <v>72</v>
      </c>
    </row>
    <row r="844" customFormat="false" ht="15" hidden="false" customHeight="false" outlineLevel="0" collapsed="false">
      <c r="A844" s="15" t="s">
        <v>850</v>
      </c>
      <c r="B844" s="15" t="s">
        <v>6097</v>
      </c>
      <c r="C844" s="14" t="s">
        <v>6141</v>
      </c>
      <c r="D844" s="14" t="s">
        <v>6142</v>
      </c>
      <c r="E844" s="16" t="s">
        <v>6143</v>
      </c>
      <c r="F844" s="16" t="s">
        <v>6144</v>
      </c>
      <c r="G844" s="23" t="s">
        <v>43</v>
      </c>
      <c r="H844" s="18" t="n">
        <v>3</v>
      </c>
      <c r="I844" s="20" t="n">
        <v>82.53</v>
      </c>
      <c r="J844" s="20" t="n">
        <v>161.16</v>
      </c>
      <c r="K844" s="18" t="n">
        <v>4</v>
      </c>
      <c r="L844" s="18" t="n">
        <v>5</v>
      </c>
      <c r="M844" s="18" t="n">
        <v>91</v>
      </c>
      <c r="N844" s="18" t="n">
        <v>91</v>
      </c>
      <c r="O844" s="14" t="s">
        <v>4343</v>
      </c>
      <c r="P844" s="14" t="s">
        <v>84</v>
      </c>
      <c r="Q844" s="15" t="s">
        <v>1089</v>
      </c>
      <c r="R844" s="16" t="s">
        <v>6145</v>
      </c>
      <c r="S844" s="15" t="s">
        <v>6146</v>
      </c>
      <c r="T844" s="15" t="s">
        <v>6147</v>
      </c>
      <c r="U844" s="21" t="s">
        <v>72</v>
      </c>
    </row>
    <row r="845" customFormat="false" ht="15" hidden="false" customHeight="false" outlineLevel="0" collapsed="false">
      <c r="A845" s="15" t="s">
        <v>850</v>
      </c>
      <c r="B845" s="15" t="s">
        <v>6097</v>
      </c>
      <c r="C845" s="14" t="s">
        <v>6148</v>
      </c>
      <c r="D845" s="14" t="s">
        <v>6149</v>
      </c>
      <c r="E845" s="16" t="s">
        <v>6150</v>
      </c>
      <c r="F845" s="16" t="s">
        <v>1387</v>
      </c>
      <c r="G845" s="25" t="s">
        <v>39</v>
      </c>
      <c r="H845" s="18" t="n">
        <v>8</v>
      </c>
      <c r="I845" s="20" t="n">
        <v>30</v>
      </c>
      <c r="J845" s="20" t="n">
        <v>647.787</v>
      </c>
      <c r="K845" s="18" t="n">
        <v>15</v>
      </c>
      <c r="L845" s="18" t="n">
        <v>19</v>
      </c>
      <c r="M845" s="18" t="n">
        <v>360</v>
      </c>
      <c r="N845" s="18" t="n">
        <v>216</v>
      </c>
      <c r="O845" s="14" t="s">
        <v>4276</v>
      </c>
      <c r="P845" s="14" t="s">
        <v>118</v>
      </c>
      <c r="Q845" s="15" t="s">
        <v>1089</v>
      </c>
      <c r="R845" s="16" t="s">
        <v>5538</v>
      </c>
      <c r="S845" s="15" t="s">
        <v>4460</v>
      </c>
      <c r="T845" s="15" t="s">
        <v>6151</v>
      </c>
      <c r="U845" s="21" t="s">
        <v>72</v>
      </c>
    </row>
    <row r="846" customFormat="false" ht="15" hidden="false" customHeight="false" outlineLevel="0" collapsed="false">
      <c r="A846" s="15" t="s">
        <v>850</v>
      </c>
      <c r="B846" s="15" t="s">
        <v>6097</v>
      </c>
      <c r="C846" s="14" t="s">
        <v>6152</v>
      </c>
      <c r="D846" s="14" t="s">
        <v>6153</v>
      </c>
      <c r="E846" s="16" t="s">
        <v>6154</v>
      </c>
      <c r="F846" s="16" t="s">
        <v>6155</v>
      </c>
      <c r="G846" s="19" t="s">
        <v>41</v>
      </c>
      <c r="H846" s="18" t="n">
        <v>6</v>
      </c>
      <c r="I846" s="20" t="n">
        <v>110.64</v>
      </c>
      <c r="J846" s="20" t="n">
        <v>193.8</v>
      </c>
      <c r="K846" s="18" t="n">
        <v>6</v>
      </c>
      <c r="L846" s="18" t="n">
        <v>7</v>
      </c>
      <c r="M846" s="18" t="n">
        <v>126</v>
      </c>
      <c r="N846" s="18" t="n">
        <v>126</v>
      </c>
      <c r="O846" s="14" t="s">
        <v>1088</v>
      </c>
      <c r="P846" s="14" t="s">
        <v>84</v>
      </c>
      <c r="Q846" s="15" t="s">
        <v>1089</v>
      </c>
      <c r="R846" s="16" t="s">
        <v>6156</v>
      </c>
      <c r="S846" s="15" t="s">
        <v>6157</v>
      </c>
      <c r="T846" s="15" t="s">
        <v>6158</v>
      </c>
      <c r="U846" s="21" t="s">
        <v>72</v>
      </c>
    </row>
    <row r="847" customFormat="false" ht="39.55" hidden="false" customHeight="false" outlineLevel="0" collapsed="false">
      <c r="A847" s="15" t="s">
        <v>850</v>
      </c>
      <c r="B847" s="15" t="s">
        <v>6097</v>
      </c>
      <c r="C847" s="14" t="s">
        <v>6159</v>
      </c>
      <c r="D847" s="14" t="s">
        <v>6160</v>
      </c>
      <c r="E847" s="16" t="s">
        <v>6161</v>
      </c>
      <c r="F847" s="16" t="s">
        <v>6162</v>
      </c>
      <c r="G847" s="19" t="s">
        <v>41</v>
      </c>
      <c r="H847" s="18" t="n">
        <v>4</v>
      </c>
      <c r="I847" s="20" t="n">
        <v>143.61</v>
      </c>
      <c r="J847" s="20" t="n">
        <v>259.16</v>
      </c>
      <c r="K847" s="18" t="n">
        <v>4</v>
      </c>
      <c r="L847" s="18" t="n">
        <v>5</v>
      </c>
      <c r="M847" s="18" t="n">
        <v>95</v>
      </c>
      <c r="N847" s="18" t="n">
        <v>95</v>
      </c>
      <c r="O847" s="14" t="s">
        <v>6163</v>
      </c>
      <c r="P847" s="14" t="s">
        <v>118</v>
      </c>
      <c r="Q847" s="15" t="s">
        <v>1089</v>
      </c>
      <c r="R847" s="16" t="s">
        <v>6164</v>
      </c>
      <c r="S847" s="15" t="s">
        <v>6165</v>
      </c>
      <c r="T847" s="15" t="s">
        <v>6166</v>
      </c>
      <c r="U847" s="21" t="s">
        <v>72</v>
      </c>
    </row>
    <row r="848" customFormat="false" ht="15" hidden="false" customHeight="false" outlineLevel="0" collapsed="false">
      <c r="A848" s="15" t="s">
        <v>850</v>
      </c>
      <c r="B848" s="15" t="s">
        <v>6097</v>
      </c>
      <c r="C848" s="14" t="s">
        <v>6167</v>
      </c>
      <c r="D848" s="14" t="s">
        <v>6168</v>
      </c>
      <c r="E848" s="16" t="s">
        <v>6169</v>
      </c>
      <c r="F848" s="16" t="s">
        <v>6170</v>
      </c>
      <c r="G848" s="23" t="s">
        <v>43</v>
      </c>
      <c r="H848" s="18" t="n">
        <v>3</v>
      </c>
      <c r="I848" s="20" t="n">
        <v>51.37</v>
      </c>
      <c r="J848" s="20" t="n">
        <v>109.47</v>
      </c>
      <c r="K848" s="18" t="n">
        <v>4</v>
      </c>
      <c r="L848" s="18" t="n">
        <v>4</v>
      </c>
      <c r="M848" s="18" t="n">
        <v>112</v>
      </c>
      <c r="N848" s="18" t="n">
        <v>56</v>
      </c>
      <c r="O848" s="14" t="s">
        <v>4983</v>
      </c>
      <c r="P848" s="14" t="s">
        <v>84</v>
      </c>
      <c r="Q848" s="15" t="s">
        <v>1089</v>
      </c>
      <c r="R848" s="16" t="s">
        <v>6171</v>
      </c>
      <c r="S848" s="15" t="s">
        <v>6172</v>
      </c>
      <c r="T848" s="15" t="s">
        <v>6173</v>
      </c>
      <c r="U848" s="21" t="s">
        <v>72</v>
      </c>
    </row>
    <row r="849" customFormat="false" ht="15" hidden="false" customHeight="false" outlineLevel="0" collapsed="false">
      <c r="A849" s="15" t="s">
        <v>850</v>
      </c>
      <c r="B849" s="15" t="s">
        <v>6097</v>
      </c>
      <c r="C849" s="14" t="s">
        <v>6174</v>
      </c>
      <c r="D849" s="14" t="s">
        <v>6175</v>
      </c>
      <c r="E849" s="16" t="s">
        <v>6176</v>
      </c>
      <c r="F849" s="16" t="s">
        <v>6177</v>
      </c>
      <c r="G849" s="23" t="s">
        <v>43</v>
      </c>
      <c r="H849" s="18" t="n">
        <v>2</v>
      </c>
      <c r="I849" s="20" t="n">
        <v>55</v>
      </c>
      <c r="J849" s="20" t="n">
        <v>96.25</v>
      </c>
      <c r="K849" s="18" t="n">
        <v>4</v>
      </c>
      <c r="L849" s="18" t="n">
        <v>1</v>
      </c>
      <c r="M849" s="18" t="n">
        <v>132</v>
      </c>
      <c r="N849" s="18" t="n">
        <v>66</v>
      </c>
      <c r="O849" s="14" t="s">
        <v>4983</v>
      </c>
      <c r="P849" s="14" t="s">
        <v>84</v>
      </c>
      <c r="Q849" s="15" t="s">
        <v>1089</v>
      </c>
      <c r="R849" s="16" t="s">
        <v>6178</v>
      </c>
      <c r="S849" s="15" t="s">
        <v>6179</v>
      </c>
      <c r="T849" s="15" t="s">
        <v>6180</v>
      </c>
      <c r="U849" s="21" t="s">
        <v>72</v>
      </c>
    </row>
    <row r="850" customFormat="false" ht="15" hidden="false" customHeight="false" outlineLevel="0" collapsed="false">
      <c r="A850" s="15" t="s">
        <v>850</v>
      </c>
      <c r="B850" s="15" t="s">
        <v>6097</v>
      </c>
      <c r="C850" s="14" t="s">
        <v>6181</v>
      </c>
      <c r="D850" s="14" t="s">
        <v>6182</v>
      </c>
      <c r="E850" s="16" t="s">
        <v>6183</v>
      </c>
      <c r="F850" s="16" t="s">
        <v>6184</v>
      </c>
      <c r="G850" s="19" t="s">
        <v>41</v>
      </c>
      <c r="H850" s="18" t="n">
        <v>3</v>
      </c>
      <c r="I850" s="20" t="n">
        <v>110.62</v>
      </c>
      <c r="J850" s="20" t="n">
        <v>295.21</v>
      </c>
      <c r="K850" s="18" t="n">
        <v>12</v>
      </c>
      <c r="L850" s="18" t="n">
        <v>74</v>
      </c>
      <c r="M850" s="18" t="n">
        <v>301</v>
      </c>
      <c r="N850" s="18" t="n">
        <v>150</v>
      </c>
      <c r="O850" s="14" t="s">
        <v>1126</v>
      </c>
      <c r="P850" s="14" t="s">
        <v>1166</v>
      </c>
      <c r="Q850" s="15" t="s">
        <v>1089</v>
      </c>
      <c r="R850" s="16" t="s">
        <v>6185</v>
      </c>
      <c r="S850" s="15" t="s">
        <v>6186</v>
      </c>
      <c r="T850" s="15" t="s">
        <v>6187</v>
      </c>
      <c r="U850" s="21" t="s">
        <v>72</v>
      </c>
    </row>
    <row r="851" customFormat="false" ht="26.85" hidden="false" customHeight="false" outlineLevel="0" collapsed="false">
      <c r="A851" s="15" t="s">
        <v>850</v>
      </c>
      <c r="B851" s="15" t="s">
        <v>6097</v>
      </c>
      <c r="C851" s="14" t="s">
        <v>6188</v>
      </c>
      <c r="D851" s="14" t="s">
        <v>6189</v>
      </c>
      <c r="E851" s="16" t="s">
        <v>6190</v>
      </c>
      <c r="F851" s="16" t="s">
        <v>6191</v>
      </c>
      <c r="G851" s="25" t="s">
        <v>39</v>
      </c>
      <c r="H851" s="18" t="n">
        <v>6</v>
      </c>
      <c r="I851" s="20" t="n">
        <v>198.83</v>
      </c>
      <c r="J851" s="20" t="n">
        <v>442.13</v>
      </c>
      <c r="K851" s="18" t="n">
        <v>8</v>
      </c>
      <c r="L851" s="18" t="n">
        <v>42</v>
      </c>
      <c r="M851" s="18" t="n">
        <v>224</v>
      </c>
      <c r="N851" s="18" t="n">
        <v>56</v>
      </c>
      <c r="O851" s="14" t="s">
        <v>4385</v>
      </c>
      <c r="P851" s="14" t="s">
        <v>515</v>
      </c>
      <c r="Q851" s="15" t="s">
        <v>1089</v>
      </c>
      <c r="R851" s="16" t="s">
        <v>6192</v>
      </c>
      <c r="S851" s="15" t="s">
        <v>1348</v>
      </c>
      <c r="T851" s="15" t="s">
        <v>6193</v>
      </c>
      <c r="U851" s="21" t="s">
        <v>72</v>
      </c>
    </row>
    <row r="852" customFormat="false" ht="26.85" hidden="false" customHeight="false" outlineLevel="0" collapsed="false">
      <c r="A852" s="15" t="s">
        <v>850</v>
      </c>
      <c r="B852" s="15" t="s">
        <v>6097</v>
      </c>
      <c r="C852" s="14" t="s">
        <v>6194</v>
      </c>
      <c r="D852" s="14" t="s">
        <v>6195</v>
      </c>
      <c r="E852" s="16" t="s">
        <v>6196</v>
      </c>
      <c r="F852" s="16"/>
      <c r="G852" s="25" t="s">
        <v>39</v>
      </c>
      <c r="H852" s="18" t="n">
        <v>10</v>
      </c>
      <c r="I852" s="20" t="n">
        <v>288.62</v>
      </c>
      <c r="J852" s="20" t="n">
        <v>474</v>
      </c>
      <c r="K852" s="18" t="n">
        <v>12</v>
      </c>
      <c r="L852" s="18" t="n">
        <v>20</v>
      </c>
      <c r="M852" s="18" t="n">
        <v>234</v>
      </c>
      <c r="N852" s="18" t="n">
        <v>234</v>
      </c>
      <c r="O852" s="14" t="s">
        <v>6197</v>
      </c>
      <c r="P852" s="14" t="s">
        <v>118</v>
      </c>
      <c r="Q852" s="15" t="s">
        <v>1089</v>
      </c>
      <c r="R852" s="16" t="s">
        <v>6198</v>
      </c>
      <c r="S852" s="15" t="s">
        <v>6199</v>
      </c>
      <c r="T852" s="15" t="s">
        <v>6199</v>
      </c>
      <c r="U852" s="21" t="s">
        <v>72</v>
      </c>
    </row>
    <row r="853" customFormat="false" ht="15" hidden="false" customHeight="false" outlineLevel="0" collapsed="false">
      <c r="A853" s="15" t="s">
        <v>850</v>
      </c>
      <c r="B853" s="15" t="s">
        <v>6097</v>
      </c>
      <c r="C853" s="14" t="s">
        <v>6200</v>
      </c>
      <c r="D853" s="14" t="s">
        <v>6201</v>
      </c>
      <c r="E853" s="16" t="s">
        <v>6202</v>
      </c>
      <c r="F853" s="16" t="s">
        <v>6203</v>
      </c>
      <c r="G853" s="23" t="s">
        <v>43</v>
      </c>
      <c r="H853" s="18" t="n">
        <v>4</v>
      </c>
      <c r="I853" s="20" t="n">
        <v>68.34</v>
      </c>
      <c r="J853" s="20" t="n">
        <v>106.92</v>
      </c>
      <c r="K853" s="18" t="n">
        <v>4</v>
      </c>
      <c r="L853" s="18" t="n">
        <v>1</v>
      </c>
      <c r="M853" s="18" t="n">
        <v>39</v>
      </c>
      <c r="N853" s="18" t="n">
        <v>23</v>
      </c>
      <c r="O853" s="14" t="s">
        <v>1126</v>
      </c>
      <c r="P853" s="14" t="s">
        <v>118</v>
      </c>
      <c r="Q853" s="15" t="s">
        <v>1089</v>
      </c>
      <c r="R853" s="16" t="s">
        <v>6204</v>
      </c>
      <c r="S853" s="15" t="s">
        <v>6205</v>
      </c>
      <c r="T853" s="15" t="s">
        <v>6205</v>
      </c>
      <c r="U853" s="21" t="s">
        <v>72</v>
      </c>
    </row>
    <row r="854" customFormat="false" ht="26.85" hidden="false" customHeight="false" outlineLevel="0" collapsed="false">
      <c r="A854" s="15" t="s">
        <v>850</v>
      </c>
      <c r="B854" s="15" t="s">
        <v>6097</v>
      </c>
      <c r="C854" s="14" t="s">
        <v>6206</v>
      </c>
      <c r="D854" s="14" t="s">
        <v>6207</v>
      </c>
      <c r="E854" s="16" t="s">
        <v>6208</v>
      </c>
      <c r="F854" s="16" t="s">
        <v>6209</v>
      </c>
      <c r="G854" s="19" t="s">
        <v>41</v>
      </c>
      <c r="H854" s="18" t="n">
        <v>6</v>
      </c>
      <c r="I854" s="20" t="n">
        <v>115.74</v>
      </c>
      <c r="J854" s="20" t="n">
        <v>163.73</v>
      </c>
      <c r="K854" s="18" t="n">
        <v>8</v>
      </c>
      <c r="L854" s="18" t="n">
        <v>8</v>
      </c>
      <c r="M854" s="18" t="n">
        <v>208</v>
      </c>
      <c r="N854" s="18" t="n">
        <v>182</v>
      </c>
      <c r="O854" s="14" t="s">
        <v>6210</v>
      </c>
      <c r="P854" s="14" t="s">
        <v>118</v>
      </c>
      <c r="Q854" s="15" t="s">
        <v>1089</v>
      </c>
      <c r="R854" s="16" t="s">
        <v>6211</v>
      </c>
      <c r="S854" s="15" t="s">
        <v>6212</v>
      </c>
      <c r="T854" s="15" t="s">
        <v>6212</v>
      </c>
      <c r="U854" s="21" t="s">
        <v>72</v>
      </c>
    </row>
    <row r="855" customFormat="false" ht="15" hidden="false" customHeight="false" outlineLevel="0" collapsed="false">
      <c r="A855" s="15" t="s">
        <v>850</v>
      </c>
      <c r="B855" s="15" t="s">
        <v>6097</v>
      </c>
      <c r="C855" s="14" t="s">
        <v>6213</v>
      </c>
      <c r="D855" s="14" t="s">
        <v>6214</v>
      </c>
      <c r="E855" s="16" t="s">
        <v>6215</v>
      </c>
      <c r="F855" s="16"/>
      <c r="G855" s="23" t="s">
        <v>43</v>
      </c>
      <c r="H855" s="18" t="n">
        <v>2</v>
      </c>
      <c r="I855" s="20" t="n">
        <v>51.03</v>
      </c>
      <c r="J855" s="20" t="n">
        <v>112.84</v>
      </c>
      <c r="K855" s="18" t="n">
        <v>2</v>
      </c>
      <c r="L855" s="18" t="n">
        <v>7</v>
      </c>
      <c r="M855" s="18" t="n">
        <v>42</v>
      </c>
      <c r="N855" s="18" t="n">
        <v>22</v>
      </c>
      <c r="O855" s="14" t="s">
        <v>4343</v>
      </c>
      <c r="P855" s="14" t="s">
        <v>118</v>
      </c>
      <c r="Q855" s="15" t="s">
        <v>1089</v>
      </c>
      <c r="R855" s="16" t="s">
        <v>6216</v>
      </c>
      <c r="S855" s="15" t="s">
        <v>6217</v>
      </c>
      <c r="T855" s="15" t="s">
        <v>6217</v>
      </c>
      <c r="U855" s="21" t="s">
        <v>72</v>
      </c>
    </row>
    <row r="856" customFormat="false" ht="26.85" hidden="false" customHeight="false" outlineLevel="0" collapsed="false">
      <c r="A856" s="15" t="s">
        <v>850</v>
      </c>
      <c r="B856" s="15" t="s">
        <v>6097</v>
      </c>
      <c r="C856" s="14" t="s">
        <v>6218</v>
      </c>
      <c r="D856" s="14" t="s">
        <v>6219</v>
      </c>
      <c r="E856" s="16" t="s">
        <v>6220</v>
      </c>
      <c r="F856" s="16" t="s">
        <v>6221</v>
      </c>
      <c r="G856" s="23" t="s">
        <v>43</v>
      </c>
      <c r="H856" s="18" t="n">
        <v>1</v>
      </c>
      <c r="I856" s="20" t="n">
        <v>72</v>
      </c>
      <c r="J856" s="20" t="n">
        <v>95.41</v>
      </c>
      <c r="K856" s="18" t="n">
        <v>2</v>
      </c>
      <c r="L856" s="18"/>
      <c r="M856" s="18" t="n">
        <v>120</v>
      </c>
      <c r="N856" s="18" t="n">
        <v>120</v>
      </c>
      <c r="O856" s="14" t="s">
        <v>6222</v>
      </c>
      <c r="P856" s="14" t="s">
        <v>84</v>
      </c>
      <c r="Q856" s="15" t="s">
        <v>1089</v>
      </c>
      <c r="R856" s="16" t="s">
        <v>6223</v>
      </c>
      <c r="S856" s="15" t="s">
        <v>6224</v>
      </c>
      <c r="T856" s="15" t="s">
        <v>6224</v>
      </c>
      <c r="U856" s="21" t="s">
        <v>72</v>
      </c>
    </row>
    <row r="857" customFormat="false" ht="15" hidden="false" customHeight="false" outlineLevel="0" collapsed="false">
      <c r="A857" s="15" t="s">
        <v>850</v>
      </c>
      <c r="B857" s="15" t="s">
        <v>6097</v>
      </c>
      <c r="C857" s="14" t="s">
        <v>6225</v>
      </c>
      <c r="D857" s="14" t="s">
        <v>6226</v>
      </c>
      <c r="E857" s="16" t="s">
        <v>6227</v>
      </c>
      <c r="F857" s="16"/>
      <c r="G857" s="25" t="s">
        <v>39</v>
      </c>
      <c r="H857" s="18" t="n">
        <v>6</v>
      </c>
      <c r="I857" s="20" t="n">
        <v>193.93</v>
      </c>
      <c r="J857" s="20" t="n">
        <v>519.44</v>
      </c>
      <c r="K857" s="18" t="n">
        <v>10</v>
      </c>
      <c r="L857" s="18" t="n">
        <v>15</v>
      </c>
      <c r="M857" s="18" t="n">
        <v>330</v>
      </c>
      <c r="N857" s="18" t="n">
        <v>144</v>
      </c>
      <c r="O857" s="14" t="s">
        <v>4215</v>
      </c>
      <c r="P857" s="14" t="s">
        <v>118</v>
      </c>
      <c r="Q857" s="15" t="s">
        <v>1089</v>
      </c>
      <c r="R857" s="16" t="s">
        <v>6228</v>
      </c>
      <c r="S857" s="15" t="s">
        <v>4699</v>
      </c>
      <c r="T857" s="15" t="s">
        <v>6229</v>
      </c>
      <c r="U857" s="21" t="s">
        <v>72</v>
      </c>
    </row>
    <row r="858" customFormat="false" ht="39.55" hidden="false" customHeight="false" outlineLevel="0" collapsed="false">
      <c r="A858" s="15" t="s">
        <v>850</v>
      </c>
      <c r="B858" s="15" t="s">
        <v>6097</v>
      </c>
      <c r="C858" s="14" t="s">
        <v>6230</v>
      </c>
      <c r="D858" s="14" t="s">
        <v>6231</v>
      </c>
      <c r="E858" s="16" t="s">
        <v>6232</v>
      </c>
      <c r="F858" s="16"/>
      <c r="G858" s="25" t="s">
        <v>39</v>
      </c>
      <c r="H858" s="18" t="n">
        <v>10</v>
      </c>
      <c r="I858" s="20" t="n">
        <v>144.5</v>
      </c>
      <c r="J858" s="20" t="n">
        <v>368.74</v>
      </c>
      <c r="K858" s="18" t="n">
        <v>17</v>
      </c>
      <c r="L858" s="18" t="n">
        <v>13</v>
      </c>
      <c r="M858" s="18" t="n">
        <v>192</v>
      </c>
      <c r="N858" s="18" t="n">
        <v>72</v>
      </c>
      <c r="O858" s="14" t="s">
        <v>4215</v>
      </c>
      <c r="P858" s="14" t="s">
        <v>6233</v>
      </c>
      <c r="Q858" s="15" t="s">
        <v>1089</v>
      </c>
      <c r="R858" s="16" t="s">
        <v>6234</v>
      </c>
      <c r="S858" s="15" t="s">
        <v>6235</v>
      </c>
      <c r="T858" s="15" t="s">
        <v>6235</v>
      </c>
      <c r="U858" s="21" t="s">
        <v>72</v>
      </c>
    </row>
    <row r="859" customFormat="false" ht="26.85" hidden="false" customHeight="false" outlineLevel="0" collapsed="false">
      <c r="A859" s="15" t="s">
        <v>850</v>
      </c>
      <c r="B859" s="15" t="s">
        <v>6097</v>
      </c>
      <c r="C859" s="14" t="s">
        <v>6236</v>
      </c>
      <c r="D859" s="14" t="s">
        <v>6237</v>
      </c>
      <c r="E859" s="16" t="s">
        <v>6238</v>
      </c>
      <c r="F859" s="16" t="s">
        <v>6239</v>
      </c>
      <c r="G859" s="19" t="s">
        <v>41</v>
      </c>
      <c r="H859" s="18" t="n">
        <v>5</v>
      </c>
      <c r="I859" s="20" t="n">
        <v>78.89</v>
      </c>
      <c r="J859" s="20" t="n">
        <v>251.44</v>
      </c>
      <c r="K859" s="18" t="n">
        <v>3</v>
      </c>
      <c r="L859" s="18" t="n">
        <v>8</v>
      </c>
      <c r="M859" s="18" t="n">
        <v>46</v>
      </c>
      <c r="N859" s="18" t="n">
        <v>16</v>
      </c>
      <c r="O859" s="14" t="s">
        <v>1097</v>
      </c>
      <c r="P859" s="14" t="s">
        <v>118</v>
      </c>
      <c r="Q859" s="15" t="s">
        <v>1089</v>
      </c>
      <c r="R859" s="16" t="s">
        <v>6240</v>
      </c>
      <c r="S859" s="15" t="s">
        <v>6241</v>
      </c>
      <c r="T859" s="15" t="s">
        <v>6242</v>
      </c>
      <c r="U859" s="21" t="s">
        <v>72</v>
      </c>
    </row>
    <row r="860" customFormat="false" ht="26.85" hidden="false" customHeight="false" outlineLevel="0" collapsed="false">
      <c r="A860" s="15" t="s">
        <v>850</v>
      </c>
      <c r="B860" s="15" t="s">
        <v>6097</v>
      </c>
      <c r="C860" s="14" t="s">
        <v>6243</v>
      </c>
      <c r="D860" s="14" t="s">
        <v>6244</v>
      </c>
      <c r="E860" s="16" t="s">
        <v>6245</v>
      </c>
      <c r="F860" s="16"/>
      <c r="G860" s="25" t="s">
        <v>39</v>
      </c>
      <c r="H860" s="18" t="n">
        <v>15</v>
      </c>
      <c r="I860" s="20" t="n">
        <v>187.94</v>
      </c>
      <c r="J860" s="20" t="n">
        <v>313</v>
      </c>
      <c r="K860" s="18" t="n">
        <v>12</v>
      </c>
      <c r="L860" s="18" t="n">
        <v>10</v>
      </c>
      <c r="M860" s="18" t="n">
        <v>138</v>
      </c>
      <c r="N860" s="18" t="n">
        <v>138</v>
      </c>
      <c r="O860" s="14" t="s">
        <v>6246</v>
      </c>
      <c r="P860" s="14" t="s">
        <v>118</v>
      </c>
      <c r="Q860" s="15" t="s">
        <v>1089</v>
      </c>
      <c r="R860" s="16" t="s">
        <v>6247</v>
      </c>
      <c r="S860" s="15" t="s">
        <v>6248</v>
      </c>
      <c r="T860" s="15" t="s">
        <v>6248</v>
      </c>
      <c r="U860" s="21" t="s">
        <v>72</v>
      </c>
    </row>
    <row r="861" customFormat="false" ht="26.85" hidden="false" customHeight="false" outlineLevel="0" collapsed="false">
      <c r="A861" s="15" t="s">
        <v>850</v>
      </c>
      <c r="B861" s="15" t="s">
        <v>6097</v>
      </c>
      <c r="C861" s="14" t="s">
        <v>6249</v>
      </c>
      <c r="D861" s="14" t="s">
        <v>6250</v>
      </c>
      <c r="E861" s="16" t="s">
        <v>6251</v>
      </c>
      <c r="F861" s="16"/>
      <c r="G861" s="25" t="s">
        <v>39</v>
      </c>
      <c r="H861" s="18" t="n">
        <v>7</v>
      </c>
      <c r="I861" s="20" t="n">
        <v>175.28</v>
      </c>
      <c r="J861" s="20" t="n">
        <v>417.24</v>
      </c>
      <c r="K861" s="18" t="n">
        <v>4</v>
      </c>
      <c r="L861" s="18" t="n">
        <v>5</v>
      </c>
      <c r="M861" s="18" t="n">
        <v>92</v>
      </c>
      <c r="N861" s="18" t="n">
        <v>92</v>
      </c>
      <c r="O861" s="14" t="s">
        <v>6252</v>
      </c>
      <c r="P861" s="14" t="s">
        <v>118</v>
      </c>
      <c r="Q861" s="15" t="s">
        <v>1089</v>
      </c>
      <c r="R861" s="16" t="s">
        <v>6253</v>
      </c>
      <c r="S861" s="15" t="s">
        <v>6254</v>
      </c>
      <c r="T861" s="15" t="s">
        <v>6254</v>
      </c>
      <c r="U861" s="21" t="s">
        <v>72</v>
      </c>
    </row>
    <row r="862" customFormat="false" ht="15" hidden="false" customHeight="false" outlineLevel="0" collapsed="false">
      <c r="A862" s="15" t="s">
        <v>850</v>
      </c>
      <c r="B862" s="15" t="s">
        <v>6097</v>
      </c>
      <c r="C862" s="14" t="s">
        <v>6255</v>
      </c>
      <c r="D862" s="14" t="s">
        <v>6256</v>
      </c>
      <c r="E862" s="16" t="s">
        <v>6257</v>
      </c>
      <c r="F862" s="16" t="s">
        <v>6258</v>
      </c>
      <c r="G862" s="25" t="s">
        <v>39</v>
      </c>
      <c r="H862" s="18" t="n">
        <v>8</v>
      </c>
      <c r="I862" s="20" t="n">
        <v>160.68</v>
      </c>
      <c r="J862" s="20" t="n">
        <v>449.81</v>
      </c>
      <c r="K862" s="18" t="n">
        <v>8</v>
      </c>
      <c r="L862" s="18" t="n">
        <v>9</v>
      </c>
      <c r="M862" s="18" t="n">
        <v>120</v>
      </c>
      <c r="N862" s="18" t="n">
        <v>120</v>
      </c>
      <c r="O862" s="14" t="s">
        <v>4276</v>
      </c>
      <c r="P862" s="14" t="s">
        <v>84</v>
      </c>
      <c r="Q862" s="15" t="s">
        <v>1089</v>
      </c>
      <c r="R862" s="16" t="s">
        <v>6259</v>
      </c>
      <c r="S862" s="15" t="s">
        <v>6260</v>
      </c>
      <c r="T862" s="15" t="s">
        <v>6260</v>
      </c>
      <c r="U862" s="21" t="s">
        <v>72</v>
      </c>
    </row>
    <row r="863" customFormat="false" ht="15" hidden="false" customHeight="false" outlineLevel="0" collapsed="false">
      <c r="A863" s="15" t="s">
        <v>850</v>
      </c>
      <c r="B863" s="15" t="s">
        <v>6097</v>
      </c>
      <c r="C863" s="14" t="s">
        <v>6261</v>
      </c>
      <c r="D863" s="14" t="s">
        <v>6262</v>
      </c>
      <c r="E863" s="16" t="s">
        <v>6263</v>
      </c>
      <c r="F863" s="16" t="s">
        <v>6264</v>
      </c>
      <c r="G863" s="23" t="s">
        <v>43</v>
      </c>
      <c r="H863" s="18" t="n">
        <v>1</v>
      </c>
      <c r="I863" s="20" t="n">
        <v>86.17</v>
      </c>
      <c r="J863" s="20" t="n">
        <v>106.31</v>
      </c>
      <c r="K863" s="18" t="n">
        <v>5</v>
      </c>
      <c r="L863" s="18" t="n">
        <v>7</v>
      </c>
      <c r="M863" s="18" t="n">
        <v>300</v>
      </c>
      <c r="N863" s="18" t="n">
        <v>60</v>
      </c>
      <c r="O863" s="14" t="s">
        <v>4215</v>
      </c>
      <c r="P863" s="14" t="s">
        <v>118</v>
      </c>
      <c r="Q863" s="15" t="s">
        <v>1089</v>
      </c>
      <c r="R863" s="16" t="s">
        <v>6265</v>
      </c>
      <c r="S863" s="15" t="s">
        <v>6266</v>
      </c>
      <c r="T863" s="15" t="s">
        <v>6267</v>
      </c>
      <c r="U863" s="21" t="s">
        <v>72</v>
      </c>
    </row>
    <row r="864" customFormat="false" ht="26.85" hidden="false" customHeight="false" outlineLevel="0" collapsed="false">
      <c r="A864" s="15" t="s">
        <v>850</v>
      </c>
      <c r="B864" s="15" t="s">
        <v>6097</v>
      </c>
      <c r="C864" s="14" t="s">
        <v>6268</v>
      </c>
      <c r="D864" s="14" t="s">
        <v>6269</v>
      </c>
      <c r="E864" s="16" t="s">
        <v>6270</v>
      </c>
      <c r="F864" s="16"/>
      <c r="G864" s="23" t="s">
        <v>43</v>
      </c>
      <c r="H864" s="18" t="n">
        <v>3</v>
      </c>
      <c r="I864" s="20" t="n">
        <v>65.77</v>
      </c>
      <c r="J864" s="20" t="n">
        <v>126.33</v>
      </c>
      <c r="K864" s="18" t="n">
        <v>4</v>
      </c>
      <c r="L864" s="18" t="n">
        <v>1</v>
      </c>
      <c r="M864" s="18" t="n">
        <v>88</v>
      </c>
      <c r="N864" s="18" t="n">
        <v>44</v>
      </c>
      <c r="O864" s="14" t="s">
        <v>6271</v>
      </c>
      <c r="P864" s="14" t="s">
        <v>1185</v>
      </c>
      <c r="Q864" s="15" t="s">
        <v>1089</v>
      </c>
      <c r="R864" s="16" t="s">
        <v>6272</v>
      </c>
      <c r="S864" s="15" t="s">
        <v>6273</v>
      </c>
      <c r="T864" s="15" t="s">
        <v>6273</v>
      </c>
      <c r="U864" s="21" t="s">
        <v>72</v>
      </c>
    </row>
    <row r="865" customFormat="false" ht="25.35" hidden="false" customHeight="false" outlineLevel="0" collapsed="false">
      <c r="A865" s="15" t="s">
        <v>850</v>
      </c>
      <c r="B865" s="15" t="s">
        <v>6097</v>
      </c>
      <c r="C865" s="14" t="s">
        <v>6274</v>
      </c>
      <c r="D865" s="14" t="s">
        <v>6275</v>
      </c>
      <c r="E865" s="16" t="s">
        <v>6276</v>
      </c>
      <c r="F865" s="16"/>
      <c r="G865" s="25" t="s">
        <v>39</v>
      </c>
      <c r="H865" s="18" t="n">
        <v>8</v>
      </c>
      <c r="I865" s="20" t="n">
        <v>210.48</v>
      </c>
      <c r="J865" s="20" t="n">
        <v>402.58</v>
      </c>
      <c r="K865" s="18" t="n">
        <v>9</v>
      </c>
      <c r="L865" s="18" t="n">
        <v>8</v>
      </c>
      <c r="M865" s="18" t="n">
        <v>207</v>
      </c>
      <c r="N865" s="18" t="n">
        <v>207</v>
      </c>
      <c r="O865" s="14" t="s">
        <v>6277</v>
      </c>
      <c r="P865" s="14" t="s">
        <v>118</v>
      </c>
      <c r="Q865" s="15" t="s">
        <v>1089</v>
      </c>
      <c r="R865" s="16" t="s">
        <v>6278</v>
      </c>
      <c r="S865" s="15" t="s">
        <v>6279</v>
      </c>
      <c r="T865" s="15" t="s">
        <v>6279</v>
      </c>
      <c r="U865" s="21" t="s">
        <v>72</v>
      </c>
    </row>
    <row r="866" customFormat="false" ht="15" hidden="false" customHeight="false" outlineLevel="0" collapsed="false">
      <c r="A866" s="15" t="s">
        <v>850</v>
      </c>
      <c r="B866" s="15" t="s">
        <v>6097</v>
      </c>
      <c r="C866" s="14" t="s">
        <v>6280</v>
      </c>
      <c r="D866" s="14" t="s">
        <v>6281</v>
      </c>
      <c r="E866" s="16" t="s">
        <v>6282</v>
      </c>
      <c r="F866" s="16"/>
      <c r="G866" s="19" t="s">
        <v>41</v>
      </c>
      <c r="H866" s="18" t="n">
        <v>4</v>
      </c>
      <c r="I866" s="20" t="n">
        <v>75.78</v>
      </c>
      <c r="J866" s="20" t="n">
        <v>302.84</v>
      </c>
      <c r="K866" s="18" t="n">
        <v>6</v>
      </c>
      <c r="L866" s="18" t="n">
        <v>19</v>
      </c>
      <c r="M866" s="18" t="n">
        <v>92</v>
      </c>
      <c r="N866" s="18" t="n">
        <v>32</v>
      </c>
      <c r="O866" s="14" t="s">
        <v>4215</v>
      </c>
      <c r="P866" s="14" t="s">
        <v>118</v>
      </c>
      <c r="Q866" s="15" t="s">
        <v>1089</v>
      </c>
      <c r="R866" s="16" t="s">
        <v>6283</v>
      </c>
      <c r="S866" s="15" t="s">
        <v>6284</v>
      </c>
      <c r="T866" s="15" t="s">
        <v>6285</v>
      </c>
      <c r="U866" s="21" t="s">
        <v>72</v>
      </c>
    </row>
    <row r="867" customFormat="false" ht="26.85" hidden="false" customHeight="false" outlineLevel="0" collapsed="false">
      <c r="A867" s="15" t="s">
        <v>850</v>
      </c>
      <c r="B867" s="15" t="s">
        <v>6097</v>
      </c>
      <c r="C867" s="14" t="s">
        <v>6286</v>
      </c>
      <c r="D867" s="14" t="s">
        <v>6287</v>
      </c>
      <c r="E867" s="16" t="s">
        <v>6288</v>
      </c>
      <c r="F867" s="16" t="s">
        <v>6289</v>
      </c>
      <c r="G867" s="23" t="s">
        <v>43</v>
      </c>
      <c r="H867" s="18" t="n">
        <v>3</v>
      </c>
      <c r="I867" s="20" t="n">
        <v>59.164</v>
      </c>
      <c r="J867" s="20" t="n">
        <v>78.16</v>
      </c>
      <c r="K867" s="18" t="n">
        <v>4</v>
      </c>
      <c r="L867" s="18" t="n">
        <v>1</v>
      </c>
      <c r="M867" s="18" t="n">
        <v>64</v>
      </c>
      <c r="N867" s="18" t="n">
        <v>26</v>
      </c>
      <c r="O867" s="14" t="s">
        <v>1126</v>
      </c>
      <c r="P867" s="14" t="s">
        <v>1185</v>
      </c>
      <c r="Q867" s="15" t="s">
        <v>1089</v>
      </c>
      <c r="R867" s="16" t="s">
        <v>6290</v>
      </c>
      <c r="S867" s="15" t="s">
        <v>6291</v>
      </c>
      <c r="T867" s="15" t="s">
        <v>6291</v>
      </c>
      <c r="U867" s="21" t="s">
        <v>72</v>
      </c>
    </row>
    <row r="868" customFormat="false" ht="15" hidden="false" customHeight="false" outlineLevel="0" collapsed="false">
      <c r="A868" s="15" t="s">
        <v>850</v>
      </c>
      <c r="B868" s="15" t="s">
        <v>6097</v>
      </c>
      <c r="C868" s="14" t="s">
        <v>6292</v>
      </c>
      <c r="D868" s="14" t="s">
        <v>6293</v>
      </c>
      <c r="E868" s="16" t="s">
        <v>6294</v>
      </c>
      <c r="F868" s="16"/>
      <c r="G868" s="23" t="s">
        <v>43</v>
      </c>
      <c r="H868" s="18" t="n">
        <v>3</v>
      </c>
      <c r="I868" s="20" t="n">
        <v>35.49</v>
      </c>
      <c r="J868" s="20" t="n">
        <v>79.04</v>
      </c>
      <c r="K868" s="18" t="n">
        <v>4</v>
      </c>
      <c r="L868" s="18" t="n">
        <v>2</v>
      </c>
      <c r="M868" s="18" t="n">
        <v>35</v>
      </c>
      <c r="N868" s="18" t="n">
        <v>17</v>
      </c>
      <c r="O868" s="14" t="s">
        <v>1126</v>
      </c>
      <c r="P868" s="14" t="s">
        <v>118</v>
      </c>
      <c r="Q868" s="15" t="s">
        <v>1089</v>
      </c>
      <c r="R868" s="16" t="s">
        <v>6295</v>
      </c>
      <c r="S868" s="15" t="s">
        <v>6296</v>
      </c>
      <c r="T868" s="15" t="s">
        <v>6297</v>
      </c>
      <c r="U868" s="21" t="s">
        <v>72</v>
      </c>
    </row>
    <row r="869" customFormat="false" ht="15" hidden="false" customHeight="false" outlineLevel="0" collapsed="false">
      <c r="A869" s="15" t="s">
        <v>850</v>
      </c>
      <c r="B869" s="15" t="s">
        <v>6097</v>
      </c>
      <c r="C869" s="14" t="s">
        <v>6298</v>
      </c>
      <c r="D869" s="14" t="s">
        <v>6299</v>
      </c>
      <c r="E869" s="16" t="s">
        <v>6300</v>
      </c>
      <c r="F869" s="16"/>
      <c r="G869" s="23" t="s">
        <v>43</v>
      </c>
      <c r="H869" s="18" t="n">
        <v>2</v>
      </c>
      <c r="I869" s="20" t="n">
        <v>29</v>
      </c>
      <c r="J869" s="20" t="n">
        <v>77.35</v>
      </c>
      <c r="K869" s="18" t="n">
        <v>2</v>
      </c>
      <c r="L869" s="18" t="n">
        <v>1</v>
      </c>
      <c r="M869" s="18" t="n">
        <v>25</v>
      </c>
      <c r="N869" s="18" t="n">
        <v>25</v>
      </c>
      <c r="O869" s="14" t="s">
        <v>4223</v>
      </c>
      <c r="P869" s="14" t="s">
        <v>84</v>
      </c>
      <c r="Q869" s="15" t="s">
        <v>1089</v>
      </c>
      <c r="R869" s="16" t="s">
        <v>6301</v>
      </c>
      <c r="S869" s="15" t="s">
        <v>6302</v>
      </c>
      <c r="T869" s="15" t="s">
        <v>6303</v>
      </c>
      <c r="U869" s="21" t="s">
        <v>72</v>
      </c>
    </row>
    <row r="870" customFormat="false" ht="26.85" hidden="false" customHeight="false" outlineLevel="0" collapsed="false">
      <c r="A870" s="15" t="s">
        <v>850</v>
      </c>
      <c r="B870" s="15" t="s">
        <v>6097</v>
      </c>
      <c r="C870" s="14" t="s">
        <v>6304</v>
      </c>
      <c r="D870" s="14" t="s">
        <v>6305</v>
      </c>
      <c r="E870" s="16" t="s">
        <v>6306</v>
      </c>
      <c r="F870" s="16" t="s">
        <v>6307</v>
      </c>
      <c r="G870" s="23" t="s">
        <v>43</v>
      </c>
      <c r="H870" s="18" t="n">
        <v>2</v>
      </c>
      <c r="I870" s="20" t="n">
        <v>31.35</v>
      </c>
      <c r="J870" s="20" t="n">
        <v>80.84</v>
      </c>
      <c r="K870" s="18" t="n">
        <v>8</v>
      </c>
      <c r="L870" s="18" t="n">
        <v>10</v>
      </c>
      <c r="M870" s="18" t="n">
        <v>200</v>
      </c>
      <c r="N870" s="18" t="n">
        <v>48</v>
      </c>
      <c r="O870" s="14" t="s">
        <v>4215</v>
      </c>
      <c r="P870" s="14" t="s">
        <v>906</v>
      </c>
      <c r="Q870" s="15" t="s">
        <v>1089</v>
      </c>
      <c r="R870" s="16" t="s">
        <v>6308</v>
      </c>
      <c r="S870" s="15" t="s">
        <v>6309</v>
      </c>
      <c r="T870" s="15" t="s">
        <v>6309</v>
      </c>
      <c r="U870" s="21" t="s">
        <v>72</v>
      </c>
    </row>
    <row r="871" customFormat="false" ht="15" hidden="false" customHeight="false" outlineLevel="0" collapsed="false">
      <c r="A871" s="15" t="s">
        <v>850</v>
      </c>
      <c r="B871" s="15" t="s">
        <v>6097</v>
      </c>
      <c r="C871" s="14" t="s">
        <v>6310</v>
      </c>
      <c r="D871" s="14" t="s">
        <v>6311</v>
      </c>
      <c r="E871" s="16" t="s">
        <v>6312</v>
      </c>
      <c r="F871" s="16" t="s">
        <v>6313</v>
      </c>
      <c r="G871" s="23" t="s">
        <v>43</v>
      </c>
      <c r="H871" s="18" t="n">
        <v>3</v>
      </c>
      <c r="I871" s="20" t="n">
        <v>49.57</v>
      </c>
      <c r="J871" s="20" t="n">
        <v>83.43</v>
      </c>
      <c r="K871" s="18" t="n">
        <v>4</v>
      </c>
      <c r="L871" s="18" t="n">
        <v>2</v>
      </c>
      <c r="M871" s="18" t="n">
        <v>60</v>
      </c>
      <c r="N871" s="18" t="n">
        <v>20</v>
      </c>
      <c r="O871" s="14" t="s">
        <v>1126</v>
      </c>
      <c r="P871" s="14" t="s">
        <v>118</v>
      </c>
      <c r="Q871" s="15" t="s">
        <v>1089</v>
      </c>
      <c r="R871" s="16" t="s">
        <v>6314</v>
      </c>
      <c r="S871" s="15" t="s">
        <v>6315</v>
      </c>
      <c r="T871" s="15" t="s">
        <v>6315</v>
      </c>
      <c r="U871" s="21" t="s">
        <v>72</v>
      </c>
    </row>
    <row r="872" customFormat="false" ht="15" hidden="false" customHeight="false" outlineLevel="0" collapsed="false">
      <c r="A872" s="15" t="s">
        <v>850</v>
      </c>
      <c r="B872" s="15" t="s">
        <v>6097</v>
      </c>
      <c r="C872" s="14" t="s">
        <v>6316</v>
      </c>
      <c r="D872" s="14" t="s">
        <v>6317</v>
      </c>
      <c r="E872" s="16" t="s">
        <v>6318</v>
      </c>
      <c r="F872" s="16" t="s">
        <v>6319</v>
      </c>
      <c r="G872" s="23" t="s">
        <v>43</v>
      </c>
      <c r="H872" s="18" t="n">
        <v>4</v>
      </c>
      <c r="I872" s="20" t="n">
        <v>73.74</v>
      </c>
      <c r="J872" s="20" t="n">
        <v>138.57</v>
      </c>
      <c r="K872" s="18" t="n">
        <v>4</v>
      </c>
      <c r="L872" s="18" t="n">
        <v>4</v>
      </c>
      <c r="M872" s="18" t="n">
        <v>118</v>
      </c>
      <c r="N872" s="18" t="n">
        <v>118</v>
      </c>
      <c r="O872" s="14" t="s">
        <v>4798</v>
      </c>
      <c r="P872" s="14" t="s">
        <v>118</v>
      </c>
      <c r="Q872" s="15" t="s">
        <v>1089</v>
      </c>
      <c r="R872" s="16" t="s">
        <v>5504</v>
      </c>
      <c r="S872" s="15" t="s">
        <v>6320</v>
      </c>
      <c r="T872" s="15" t="s">
        <v>6321</v>
      </c>
      <c r="U872" s="21" t="s">
        <v>72</v>
      </c>
    </row>
    <row r="873" customFormat="false" ht="26.85" hidden="false" customHeight="false" outlineLevel="0" collapsed="false">
      <c r="A873" s="15" t="s">
        <v>850</v>
      </c>
      <c r="B873" s="15" t="s">
        <v>6097</v>
      </c>
      <c r="C873" s="14" t="s">
        <v>6322</v>
      </c>
      <c r="D873" s="14" t="s">
        <v>6323</v>
      </c>
      <c r="E873" s="16" t="s">
        <v>6324</v>
      </c>
      <c r="F873" s="16" t="s">
        <v>6325</v>
      </c>
      <c r="G873" s="23" t="s">
        <v>43</v>
      </c>
      <c r="H873" s="18" t="n">
        <v>2</v>
      </c>
      <c r="I873" s="20" t="n">
        <v>46.08</v>
      </c>
      <c r="J873" s="20" t="n">
        <v>109.35</v>
      </c>
      <c r="K873" s="18" t="n">
        <v>3</v>
      </c>
      <c r="L873" s="18" t="n">
        <v>3</v>
      </c>
      <c r="M873" s="18" t="n">
        <v>59</v>
      </c>
      <c r="N873" s="18" t="n">
        <v>59</v>
      </c>
      <c r="O873" s="14" t="s">
        <v>6326</v>
      </c>
      <c r="P873" s="14" t="s">
        <v>118</v>
      </c>
      <c r="Q873" s="15" t="s">
        <v>1089</v>
      </c>
      <c r="R873" s="16" t="s">
        <v>6327</v>
      </c>
      <c r="S873" s="15" t="s">
        <v>6328</v>
      </c>
      <c r="T873" s="15" t="s">
        <v>6329</v>
      </c>
      <c r="U873" s="21" t="s">
        <v>72</v>
      </c>
    </row>
    <row r="874" customFormat="false" ht="26.85" hidden="false" customHeight="false" outlineLevel="0" collapsed="false">
      <c r="A874" s="15" t="s">
        <v>850</v>
      </c>
      <c r="B874" s="15" t="s">
        <v>6097</v>
      </c>
      <c r="C874" s="14" t="s">
        <v>6330</v>
      </c>
      <c r="D874" s="14" t="s">
        <v>6331</v>
      </c>
      <c r="E874" s="16" t="s">
        <v>6332</v>
      </c>
      <c r="F874" s="16"/>
      <c r="G874" s="19" t="s">
        <v>41</v>
      </c>
      <c r="H874" s="18" t="n">
        <v>6</v>
      </c>
      <c r="I874" s="20" t="n">
        <v>157.11</v>
      </c>
      <c r="J874" s="20" t="n">
        <v>262.36</v>
      </c>
      <c r="K874" s="18" t="n">
        <v>7</v>
      </c>
      <c r="L874" s="18" t="n">
        <v>9</v>
      </c>
      <c r="M874" s="18" t="n">
        <v>224</v>
      </c>
      <c r="N874" s="18" t="n">
        <v>224</v>
      </c>
      <c r="O874" s="14" t="s">
        <v>5900</v>
      </c>
      <c r="P874" s="14" t="s">
        <v>118</v>
      </c>
      <c r="Q874" s="15" t="s">
        <v>1089</v>
      </c>
      <c r="R874" s="16" t="s">
        <v>6333</v>
      </c>
      <c r="S874" s="15" t="s">
        <v>6334</v>
      </c>
      <c r="T874" s="15" t="s">
        <v>6334</v>
      </c>
      <c r="U874" s="21" t="s">
        <v>72</v>
      </c>
    </row>
    <row r="875" customFormat="false" ht="26.85" hidden="false" customHeight="false" outlineLevel="0" collapsed="false">
      <c r="A875" s="15" t="s">
        <v>850</v>
      </c>
      <c r="B875" s="15" t="s">
        <v>6097</v>
      </c>
      <c r="C875" s="14" t="s">
        <v>6335</v>
      </c>
      <c r="D875" s="14" t="s">
        <v>6336</v>
      </c>
      <c r="E875" s="16" t="s">
        <v>6337</v>
      </c>
      <c r="F875" s="16"/>
      <c r="G875" s="23" t="s">
        <v>43</v>
      </c>
      <c r="H875" s="18" t="n">
        <v>3</v>
      </c>
      <c r="I875" s="20" t="n">
        <v>44.46</v>
      </c>
      <c r="J875" s="20" t="n">
        <v>84.69</v>
      </c>
      <c r="K875" s="18" t="n">
        <v>3</v>
      </c>
      <c r="L875" s="18" t="n">
        <v>2</v>
      </c>
      <c r="M875" s="18" t="n">
        <v>36</v>
      </c>
      <c r="N875" s="18" t="n">
        <v>36</v>
      </c>
      <c r="O875" s="14" t="s">
        <v>6338</v>
      </c>
      <c r="P875" s="14" t="s">
        <v>118</v>
      </c>
      <c r="Q875" s="15" t="s">
        <v>1089</v>
      </c>
      <c r="R875" s="16" t="s">
        <v>6339</v>
      </c>
      <c r="S875" s="15" t="s">
        <v>6340</v>
      </c>
      <c r="T875" s="15" t="s">
        <v>6341</v>
      </c>
      <c r="U875" s="21" t="s">
        <v>72</v>
      </c>
    </row>
    <row r="876" customFormat="false" ht="26.85" hidden="false" customHeight="false" outlineLevel="0" collapsed="false">
      <c r="A876" s="15" t="s">
        <v>850</v>
      </c>
      <c r="B876" s="15" t="s">
        <v>6097</v>
      </c>
      <c r="C876" s="14" t="s">
        <v>6342</v>
      </c>
      <c r="D876" s="14" t="s">
        <v>6343</v>
      </c>
      <c r="E876" s="16" t="s">
        <v>6344</v>
      </c>
      <c r="F876" s="16"/>
      <c r="G876" s="23" t="s">
        <v>43</v>
      </c>
      <c r="H876" s="18" t="n">
        <v>3</v>
      </c>
      <c r="I876" s="20" t="n">
        <v>60.22</v>
      </c>
      <c r="J876" s="20" t="n">
        <v>105.33</v>
      </c>
      <c r="K876" s="18" t="n">
        <v>4</v>
      </c>
      <c r="L876" s="18" t="n">
        <v>3</v>
      </c>
      <c r="M876" s="18" t="n">
        <v>65</v>
      </c>
      <c r="N876" s="18" t="n">
        <v>34</v>
      </c>
      <c r="O876" s="14" t="s">
        <v>4670</v>
      </c>
      <c r="P876" s="14" t="s">
        <v>352</v>
      </c>
      <c r="Q876" s="15" t="s">
        <v>1089</v>
      </c>
      <c r="R876" s="16" t="s">
        <v>6345</v>
      </c>
      <c r="S876" s="15" t="s">
        <v>6346</v>
      </c>
      <c r="T876" s="15" t="s">
        <v>6346</v>
      </c>
      <c r="U876" s="21" t="s">
        <v>72</v>
      </c>
    </row>
    <row r="877" customFormat="false" ht="15" hidden="false" customHeight="false" outlineLevel="0" collapsed="false">
      <c r="A877" s="15" t="s">
        <v>850</v>
      </c>
      <c r="B877" s="15" t="s">
        <v>6097</v>
      </c>
      <c r="C877" s="14" t="s">
        <v>6347</v>
      </c>
      <c r="D877" s="14" t="s">
        <v>6348</v>
      </c>
      <c r="E877" s="16" t="s">
        <v>6349</v>
      </c>
      <c r="F877" s="16" t="s">
        <v>6350</v>
      </c>
      <c r="G877" s="23" t="s">
        <v>43</v>
      </c>
      <c r="H877" s="18" t="n">
        <v>2</v>
      </c>
      <c r="I877" s="20" t="n">
        <v>74.816</v>
      </c>
      <c r="J877" s="20" t="n">
        <v>147.68</v>
      </c>
      <c r="K877" s="18" t="n">
        <v>4</v>
      </c>
      <c r="L877" s="18" t="n">
        <v>10</v>
      </c>
      <c r="M877" s="18" t="n">
        <v>244</v>
      </c>
      <c r="N877" s="18" t="n">
        <v>244</v>
      </c>
      <c r="O877" s="14" t="s">
        <v>4798</v>
      </c>
      <c r="P877" s="14" t="s">
        <v>118</v>
      </c>
      <c r="Q877" s="15" t="s">
        <v>1089</v>
      </c>
      <c r="R877" s="16" t="s">
        <v>6351</v>
      </c>
      <c r="S877" s="15" t="s">
        <v>6352</v>
      </c>
      <c r="T877" s="15" t="s">
        <v>6353</v>
      </c>
      <c r="U877" s="21" t="s">
        <v>72</v>
      </c>
    </row>
    <row r="878" customFormat="false" ht="15" hidden="false" customHeight="false" outlineLevel="0" collapsed="false">
      <c r="A878" s="15" t="s">
        <v>850</v>
      </c>
      <c r="B878" s="15" t="s">
        <v>6097</v>
      </c>
      <c r="C878" s="14" t="s">
        <v>6354</v>
      </c>
      <c r="D878" s="14" t="s">
        <v>6355</v>
      </c>
      <c r="E878" s="16" t="s">
        <v>6356</v>
      </c>
      <c r="F878" s="16"/>
      <c r="G878" s="23" t="s">
        <v>43</v>
      </c>
      <c r="H878" s="18" t="n">
        <v>2</v>
      </c>
      <c r="I878" s="20" t="n">
        <v>41.77</v>
      </c>
      <c r="J878" s="20" t="n">
        <v>197.36</v>
      </c>
      <c r="K878" s="18" t="n">
        <v>2</v>
      </c>
      <c r="L878" s="18" t="n">
        <v>3</v>
      </c>
      <c r="M878" s="18" t="n">
        <v>34</v>
      </c>
      <c r="N878" s="18" t="n">
        <v>34</v>
      </c>
      <c r="O878" s="14" t="s">
        <v>4983</v>
      </c>
      <c r="P878" s="14" t="s">
        <v>84</v>
      </c>
      <c r="Q878" s="15" t="s">
        <v>1089</v>
      </c>
      <c r="R878" s="16" t="s">
        <v>6357</v>
      </c>
      <c r="S878" s="15" t="s">
        <v>6358</v>
      </c>
      <c r="T878" s="15" t="s">
        <v>6358</v>
      </c>
      <c r="U878" s="21" t="s">
        <v>72</v>
      </c>
    </row>
    <row r="879" customFormat="false" ht="15" hidden="false" customHeight="false" outlineLevel="0" collapsed="false">
      <c r="A879" s="15" t="s">
        <v>850</v>
      </c>
      <c r="B879" s="15" t="s">
        <v>6097</v>
      </c>
      <c r="C879" s="14" t="s">
        <v>6359</v>
      </c>
      <c r="D879" s="14" t="s">
        <v>6360</v>
      </c>
      <c r="E879" s="16" t="s">
        <v>6361</v>
      </c>
      <c r="F879" s="16"/>
      <c r="G879" s="23" t="s">
        <v>43</v>
      </c>
      <c r="H879" s="18" t="n">
        <v>2</v>
      </c>
      <c r="I879" s="20" t="n">
        <v>45.37</v>
      </c>
      <c r="J879" s="20" t="n">
        <v>85.35</v>
      </c>
      <c r="K879" s="18" t="n">
        <v>2</v>
      </c>
      <c r="L879" s="18" t="n">
        <v>1</v>
      </c>
      <c r="M879" s="18" t="n">
        <v>72</v>
      </c>
      <c r="N879" s="18" t="n">
        <v>72</v>
      </c>
      <c r="O879" s="14" t="s">
        <v>1126</v>
      </c>
      <c r="P879" s="14" t="s">
        <v>84</v>
      </c>
      <c r="Q879" s="15" t="s">
        <v>1089</v>
      </c>
      <c r="R879" s="16" t="s">
        <v>6362</v>
      </c>
      <c r="S879" s="15" t="s">
        <v>6363</v>
      </c>
      <c r="T879" s="15" t="s">
        <v>6364</v>
      </c>
      <c r="U879" s="21" t="s">
        <v>72</v>
      </c>
    </row>
    <row r="880" customFormat="false" ht="15" hidden="false" customHeight="false" outlineLevel="0" collapsed="false">
      <c r="A880" s="15" t="s">
        <v>850</v>
      </c>
      <c r="B880" s="15" t="s">
        <v>6097</v>
      </c>
      <c r="C880" s="14" t="s">
        <v>6365</v>
      </c>
      <c r="D880" s="14" t="s">
        <v>6366</v>
      </c>
      <c r="E880" s="16" t="s">
        <v>6367</v>
      </c>
      <c r="F880" s="16"/>
      <c r="G880" s="19" t="s">
        <v>41</v>
      </c>
      <c r="H880" s="18" t="n">
        <v>6</v>
      </c>
      <c r="I880" s="20" t="n">
        <v>97.06</v>
      </c>
      <c r="J880" s="20" t="n">
        <v>153.67</v>
      </c>
      <c r="K880" s="18" t="n">
        <v>4</v>
      </c>
      <c r="L880" s="18" t="n">
        <v>3</v>
      </c>
      <c r="M880" s="18" t="n">
        <v>72</v>
      </c>
      <c r="N880" s="18" t="n">
        <v>72</v>
      </c>
      <c r="O880" s="14" t="s">
        <v>6368</v>
      </c>
      <c r="P880" s="14" t="s">
        <v>84</v>
      </c>
      <c r="Q880" s="15" t="s">
        <v>1089</v>
      </c>
      <c r="R880" s="16" t="s">
        <v>6369</v>
      </c>
      <c r="S880" s="15" t="s">
        <v>6370</v>
      </c>
      <c r="T880" s="15" t="s">
        <v>6370</v>
      </c>
      <c r="U880" s="21" t="s">
        <v>72</v>
      </c>
    </row>
    <row r="881" customFormat="false" ht="26.85" hidden="false" customHeight="false" outlineLevel="0" collapsed="false">
      <c r="A881" s="15" t="s">
        <v>850</v>
      </c>
      <c r="B881" s="15" t="s">
        <v>6097</v>
      </c>
      <c r="C881" s="14" t="s">
        <v>6371</v>
      </c>
      <c r="D881" s="14" t="s">
        <v>6372</v>
      </c>
      <c r="E881" s="16" t="s">
        <v>6373</v>
      </c>
      <c r="F881" s="16" t="s">
        <v>6374</v>
      </c>
      <c r="G881" s="23" t="s">
        <v>43</v>
      </c>
      <c r="H881" s="18" t="n">
        <v>4</v>
      </c>
      <c r="I881" s="20" t="n">
        <v>54.73</v>
      </c>
      <c r="J881" s="20" t="n">
        <v>85.32</v>
      </c>
      <c r="K881" s="18" t="n">
        <v>6</v>
      </c>
      <c r="L881" s="18" t="n">
        <v>1</v>
      </c>
      <c r="M881" s="18" t="n">
        <v>88</v>
      </c>
      <c r="N881" s="18" t="n">
        <v>48</v>
      </c>
      <c r="O881" s="14" t="s">
        <v>5462</v>
      </c>
      <c r="P881" s="14" t="s">
        <v>906</v>
      </c>
      <c r="Q881" s="15" t="s">
        <v>1089</v>
      </c>
      <c r="R881" s="16" t="s">
        <v>6375</v>
      </c>
      <c r="S881" s="15" t="s">
        <v>6376</v>
      </c>
      <c r="T881" s="15" t="s">
        <v>6376</v>
      </c>
      <c r="U881" s="21" t="s">
        <v>72</v>
      </c>
    </row>
    <row r="882" customFormat="false" ht="15" hidden="false" customHeight="false" outlineLevel="0" collapsed="false">
      <c r="A882" s="15" t="s">
        <v>850</v>
      </c>
      <c r="B882" s="15" t="s">
        <v>6097</v>
      </c>
      <c r="C882" s="14" t="s">
        <v>6377</v>
      </c>
      <c r="D882" s="14" t="s">
        <v>6378</v>
      </c>
      <c r="E882" s="16" t="s">
        <v>6379</v>
      </c>
      <c r="F882" s="16"/>
      <c r="G882" s="23" t="s">
        <v>43</v>
      </c>
      <c r="H882" s="18" t="n">
        <v>4</v>
      </c>
      <c r="I882" s="20" t="n">
        <v>108</v>
      </c>
      <c r="J882" s="20" t="n">
        <v>122</v>
      </c>
      <c r="K882" s="18" t="n">
        <v>4</v>
      </c>
      <c r="L882" s="18" t="n">
        <v>11</v>
      </c>
      <c r="M882" s="18" t="n">
        <v>92</v>
      </c>
      <c r="N882" s="18" t="n">
        <v>46</v>
      </c>
      <c r="O882" s="14" t="s">
        <v>4223</v>
      </c>
      <c r="P882" s="14" t="s">
        <v>118</v>
      </c>
      <c r="Q882" s="15" t="s">
        <v>1089</v>
      </c>
      <c r="R882" s="16" t="s">
        <v>6380</v>
      </c>
      <c r="S882" s="15" t="s">
        <v>6381</v>
      </c>
      <c r="T882" s="15" t="s">
        <v>6381</v>
      </c>
      <c r="U882" s="21" t="s">
        <v>72</v>
      </c>
    </row>
    <row r="883" customFormat="false" ht="15" hidden="false" customHeight="false" outlineLevel="0" collapsed="false">
      <c r="A883" s="15" t="s">
        <v>850</v>
      </c>
      <c r="B883" s="15" t="s">
        <v>6097</v>
      </c>
      <c r="C883" s="14" t="s">
        <v>6382</v>
      </c>
      <c r="D883" s="14" t="s">
        <v>6383</v>
      </c>
      <c r="E883" s="16" t="s">
        <v>6384</v>
      </c>
      <c r="F883" s="16"/>
      <c r="G883" s="23" t="s">
        <v>43</v>
      </c>
      <c r="H883" s="18" t="n">
        <v>2</v>
      </c>
      <c r="I883" s="20" t="n">
        <v>69.39</v>
      </c>
      <c r="J883" s="20" t="n">
        <v>141.68</v>
      </c>
      <c r="K883" s="18" t="n">
        <v>7</v>
      </c>
      <c r="L883" s="18" t="n">
        <v>3</v>
      </c>
      <c r="M883" s="18" t="n">
        <v>215</v>
      </c>
      <c r="N883" s="18" t="n">
        <v>173</v>
      </c>
      <c r="O883" s="14" t="s">
        <v>5157</v>
      </c>
      <c r="P883" s="14" t="s">
        <v>118</v>
      </c>
      <c r="Q883" s="15" t="s">
        <v>1089</v>
      </c>
      <c r="R883" s="16" t="s">
        <v>6283</v>
      </c>
      <c r="S883" s="15" t="s">
        <v>6284</v>
      </c>
      <c r="T883" s="15" t="s">
        <v>6385</v>
      </c>
      <c r="U883" s="21" t="s">
        <v>72</v>
      </c>
    </row>
    <row r="884" customFormat="false" ht="15" hidden="false" customHeight="false" outlineLevel="0" collapsed="false">
      <c r="A884" s="15" t="s">
        <v>850</v>
      </c>
      <c r="B884" s="15" t="s">
        <v>6097</v>
      </c>
      <c r="C884" s="14" t="s">
        <v>6386</v>
      </c>
      <c r="D884" s="14" t="s">
        <v>6387</v>
      </c>
      <c r="E884" s="16" t="s">
        <v>6388</v>
      </c>
      <c r="F884" s="16" t="s">
        <v>6389</v>
      </c>
      <c r="G884" s="23" t="s">
        <v>43</v>
      </c>
      <c r="H884" s="18" t="n">
        <v>3</v>
      </c>
      <c r="I884" s="20" t="n">
        <v>77.99</v>
      </c>
      <c r="J884" s="20" t="n">
        <v>175.76</v>
      </c>
      <c r="K884" s="18" t="n">
        <v>15</v>
      </c>
      <c r="L884" s="18" t="n">
        <v>3</v>
      </c>
      <c r="M884" s="18" t="n">
        <v>360</v>
      </c>
      <c r="N884" s="18" t="n">
        <v>72</v>
      </c>
      <c r="O884" s="14" t="s">
        <v>4215</v>
      </c>
      <c r="P884" s="14" t="s">
        <v>118</v>
      </c>
      <c r="Q884" s="15" t="s">
        <v>1089</v>
      </c>
      <c r="R884" s="16" t="s">
        <v>6390</v>
      </c>
      <c r="S884" s="15" t="s">
        <v>6391</v>
      </c>
      <c r="T884" s="15" t="s">
        <v>6391</v>
      </c>
      <c r="U884" s="21" t="s">
        <v>72</v>
      </c>
    </row>
    <row r="885" customFormat="false" ht="15" hidden="false" customHeight="false" outlineLevel="0" collapsed="false">
      <c r="A885" s="15" t="s">
        <v>850</v>
      </c>
      <c r="B885" s="15" t="s">
        <v>6097</v>
      </c>
      <c r="C885" s="14" t="s">
        <v>6392</v>
      </c>
      <c r="D885" s="14" t="s">
        <v>6393</v>
      </c>
      <c r="E885" s="16" t="s">
        <v>6394</v>
      </c>
      <c r="F885" s="16" t="s">
        <v>6395</v>
      </c>
      <c r="G885" s="19" t="s">
        <v>41</v>
      </c>
      <c r="H885" s="18" t="n">
        <v>6</v>
      </c>
      <c r="I885" s="20" t="n">
        <v>114.07</v>
      </c>
      <c r="J885" s="20" t="n">
        <v>187.39</v>
      </c>
      <c r="K885" s="18" t="n">
        <v>6</v>
      </c>
      <c r="L885" s="18" t="n">
        <v>4</v>
      </c>
      <c r="M885" s="18" t="n">
        <v>156</v>
      </c>
      <c r="N885" s="18" t="n">
        <v>72</v>
      </c>
      <c r="O885" s="14" t="s">
        <v>1126</v>
      </c>
      <c r="P885" s="14" t="s">
        <v>118</v>
      </c>
      <c r="Q885" s="15" t="s">
        <v>1089</v>
      </c>
      <c r="R885" s="16" t="s">
        <v>4291</v>
      </c>
      <c r="S885" s="15" t="s">
        <v>6396</v>
      </c>
      <c r="T885" s="15" t="s">
        <v>6397</v>
      </c>
      <c r="U885" s="21" t="s">
        <v>72</v>
      </c>
    </row>
    <row r="886" customFormat="false" ht="15" hidden="false" customHeight="false" outlineLevel="0" collapsed="false">
      <c r="A886" s="15" t="s">
        <v>850</v>
      </c>
      <c r="B886" s="15" t="s">
        <v>6097</v>
      </c>
      <c r="C886" s="14" t="s">
        <v>6398</v>
      </c>
      <c r="D886" s="14" t="s">
        <v>6399</v>
      </c>
      <c r="E886" s="16" t="s">
        <v>6400</v>
      </c>
      <c r="F886" s="16" t="s">
        <v>6401</v>
      </c>
      <c r="G886" s="19" t="s">
        <v>41</v>
      </c>
      <c r="H886" s="18" t="n">
        <v>4</v>
      </c>
      <c r="I886" s="20" t="n">
        <v>95.76</v>
      </c>
      <c r="J886" s="20" t="n">
        <v>257.83</v>
      </c>
      <c r="K886" s="18" t="n">
        <v>3</v>
      </c>
      <c r="L886" s="18" t="n">
        <v>2</v>
      </c>
      <c r="M886" s="18" t="n">
        <v>60</v>
      </c>
      <c r="N886" s="18" t="n">
        <v>40</v>
      </c>
      <c r="O886" s="14" t="s">
        <v>1097</v>
      </c>
      <c r="P886" s="14" t="s">
        <v>84</v>
      </c>
      <c r="Q886" s="15" t="s">
        <v>1089</v>
      </c>
      <c r="R886" s="16" t="s">
        <v>6402</v>
      </c>
      <c r="S886" s="15" t="s">
        <v>6403</v>
      </c>
      <c r="T886" s="15" t="s">
        <v>6404</v>
      </c>
      <c r="U886" s="21" t="s">
        <v>72</v>
      </c>
    </row>
    <row r="887" customFormat="false" ht="52.2" hidden="false" customHeight="false" outlineLevel="0" collapsed="false">
      <c r="A887" s="15" t="s">
        <v>850</v>
      </c>
      <c r="B887" s="15" t="s">
        <v>6097</v>
      </c>
      <c r="C887" s="14" t="s">
        <v>6405</v>
      </c>
      <c r="D887" s="14" t="s">
        <v>6406</v>
      </c>
      <c r="E887" s="16" t="s">
        <v>6407</v>
      </c>
      <c r="F887" s="16" t="s">
        <v>6408</v>
      </c>
      <c r="G887" s="19" t="s">
        <v>41</v>
      </c>
      <c r="H887" s="18" t="n">
        <v>7</v>
      </c>
      <c r="I887" s="20" t="n">
        <v>196.13</v>
      </c>
      <c r="J887" s="20" t="n">
        <v>310.91</v>
      </c>
      <c r="K887" s="18" t="n">
        <v>13</v>
      </c>
      <c r="L887" s="18" t="n">
        <v>2</v>
      </c>
      <c r="M887" s="18" t="n">
        <v>296</v>
      </c>
      <c r="N887" s="18" t="n">
        <v>66</v>
      </c>
      <c r="O887" s="14" t="s">
        <v>4223</v>
      </c>
      <c r="P887" s="14" t="s">
        <v>4912</v>
      </c>
      <c r="Q887" s="15" t="s">
        <v>1089</v>
      </c>
      <c r="R887" s="16" t="s">
        <v>6409</v>
      </c>
      <c r="S887" s="15" t="s">
        <v>6410</v>
      </c>
      <c r="T887" s="15" t="s">
        <v>6411</v>
      </c>
      <c r="U887" s="21" t="s">
        <v>72</v>
      </c>
    </row>
    <row r="888" customFormat="false" ht="15" hidden="false" customHeight="false" outlineLevel="0" collapsed="false">
      <c r="A888" s="15" t="s">
        <v>850</v>
      </c>
      <c r="B888" s="15" t="s">
        <v>6097</v>
      </c>
      <c r="C888" s="14" t="s">
        <v>6412</v>
      </c>
      <c r="D888" s="14" t="s">
        <v>6413</v>
      </c>
      <c r="E888" s="16" t="s">
        <v>6414</v>
      </c>
      <c r="F888" s="16"/>
      <c r="G888" s="25" t="s">
        <v>39</v>
      </c>
      <c r="H888" s="18" t="n">
        <v>8</v>
      </c>
      <c r="I888" s="20" t="n">
        <v>131.16</v>
      </c>
      <c r="J888" s="20" t="n">
        <v>251.7</v>
      </c>
      <c r="K888" s="18" t="n">
        <v>8</v>
      </c>
      <c r="L888" s="18" t="n">
        <v>13</v>
      </c>
      <c r="M888" s="18" t="n">
        <v>88</v>
      </c>
      <c r="N888" s="18" t="n">
        <v>44</v>
      </c>
      <c r="O888" s="14" t="s">
        <v>4276</v>
      </c>
      <c r="P888" s="14" t="s">
        <v>118</v>
      </c>
      <c r="Q888" s="15" t="s">
        <v>1089</v>
      </c>
      <c r="R888" s="16" t="s">
        <v>6415</v>
      </c>
      <c r="S888" s="15" t="s">
        <v>6416</v>
      </c>
      <c r="T888" s="15" t="s">
        <v>6416</v>
      </c>
      <c r="U888" s="21" t="s">
        <v>72</v>
      </c>
    </row>
    <row r="889" customFormat="false" ht="26.85" hidden="false" customHeight="false" outlineLevel="0" collapsed="false">
      <c r="A889" s="15" t="s">
        <v>850</v>
      </c>
      <c r="B889" s="15" t="s">
        <v>6097</v>
      </c>
      <c r="C889" s="14" t="s">
        <v>6417</v>
      </c>
      <c r="D889" s="14" t="s">
        <v>6418</v>
      </c>
      <c r="E889" s="16" t="s">
        <v>6419</v>
      </c>
      <c r="F889" s="16"/>
      <c r="G889" s="23" t="s">
        <v>43</v>
      </c>
      <c r="H889" s="18" t="n">
        <v>4</v>
      </c>
      <c r="I889" s="20" t="n">
        <v>51.32</v>
      </c>
      <c r="J889" s="20" t="n">
        <v>91.19</v>
      </c>
      <c r="K889" s="18" t="n">
        <v>6</v>
      </c>
      <c r="L889" s="18" t="n">
        <v>6</v>
      </c>
      <c r="M889" s="18" t="n">
        <v>72</v>
      </c>
      <c r="N889" s="18" t="n">
        <v>52</v>
      </c>
      <c r="O889" s="14" t="s">
        <v>4751</v>
      </c>
      <c r="P889" s="14" t="s">
        <v>118</v>
      </c>
      <c r="Q889" s="15" t="s">
        <v>1089</v>
      </c>
      <c r="R889" s="16" t="s">
        <v>6420</v>
      </c>
      <c r="S889" s="15" t="s">
        <v>6212</v>
      </c>
      <c r="T889" s="15" t="s">
        <v>6421</v>
      </c>
      <c r="U889" s="21" t="s">
        <v>72</v>
      </c>
    </row>
    <row r="890" customFormat="false" ht="15" hidden="false" customHeight="false" outlineLevel="0" collapsed="false">
      <c r="A890" s="15" t="s">
        <v>850</v>
      </c>
      <c r="B890" s="15" t="s">
        <v>6097</v>
      </c>
      <c r="C890" s="14" t="s">
        <v>6422</v>
      </c>
      <c r="D890" s="14" t="s">
        <v>6423</v>
      </c>
      <c r="E890" s="16" t="s">
        <v>6424</v>
      </c>
      <c r="F890" s="16"/>
      <c r="G890" s="23" t="s">
        <v>43</v>
      </c>
      <c r="H890" s="18" t="n">
        <v>3</v>
      </c>
      <c r="I890" s="20" t="n">
        <v>43.24</v>
      </c>
      <c r="J890" s="20" t="n">
        <v>76.76</v>
      </c>
      <c r="K890" s="18" t="n">
        <v>4</v>
      </c>
      <c r="L890" s="18"/>
      <c r="M890" s="18" t="n">
        <v>52</v>
      </c>
      <c r="N890" s="18" t="n">
        <v>52</v>
      </c>
      <c r="O890" s="14" t="s">
        <v>5259</v>
      </c>
      <c r="P890" s="14" t="s">
        <v>118</v>
      </c>
      <c r="Q890" s="15" t="s">
        <v>1089</v>
      </c>
      <c r="R890" s="16" t="s">
        <v>6425</v>
      </c>
      <c r="S890" s="15" t="s">
        <v>6426</v>
      </c>
      <c r="T890" s="15" t="s">
        <v>6427</v>
      </c>
      <c r="U890" s="21" t="s">
        <v>72</v>
      </c>
    </row>
    <row r="891" customFormat="false" ht="26.85" hidden="false" customHeight="false" outlineLevel="0" collapsed="false">
      <c r="A891" s="15" t="s">
        <v>850</v>
      </c>
      <c r="B891" s="15" t="s">
        <v>6097</v>
      </c>
      <c r="C891" s="14" t="s">
        <v>6428</v>
      </c>
      <c r="D891" s="14" t="s">
        <v>6429</v>
      </c>
      <c r="E891" s="16" t="s">
        <v>6430</v>
      </c>
      <c r="F891" s="16"/>
      <c r="G891" s="19" t="s">
        <v>41</v>
      </c>
      <c r="H891" s="18" t="n">
        <v>6</v>
      </c>
      <c r="I891" s="20" t="n">
        <v>116.215</v>
      </c>
      <c r="J891" s="20" t="n">
        <v>251.85</v>
      </c>
      <c r="K891" s="18" t="n">
        <v>5</v>
      </c>
      <c r="L891" s="18" t="n">
        <v>11</v>
      </c>
      <c r="M891" s="18" t="n">
        <v>96</v>
      </c>
      <c r="N891" s="18" t="n">
        <v>24</v>
      </c>
      <c r="O891" s="14" t="s">
        <v>1097</v>
      </c>
      <c r="P891" s="14" t="s">
        <v>118</v>
      </c>
      <c r="Q891" s="15" t="s">
        <v>1089</v>
      </c>
      <c r="R891" s="16" t="s">
        <v>6431</v>
      </c>
      <c r="S891" s="15" t="s">
        <v>3458</v>
      </c>
      <c r="T891" s="15" t="s">
        <v>3458</v>
      </c>
      <c r="U891" s="21" t="s">
        <v>72</v>
      </c>
    </row>
    <row r="892" customFormat="false" ht="26.85" hidden="false" customHeight="false" outlineLevel="0" collapsed="false">
      <c r="A892" s="15" t="s">
        <v>850</v>
      </c>
      <c r="B892" s="15" t="s">
        <v>6097</v>
      </c>
      <c r="C892" s="14" t="s">
        <v>6432</v>
      </c>
      <c r="D892" s="14" t="s">
        <v>6433</v>
      </c>
      <c r="E892" s="16" t="s">
        <v>6434</v>
      </c>
      <c r="F892" s="16" t="s">
        <v>6435</v>
      </c>
      <c r="G892" s="23" t="s">
        <v>43</v>
      </c>
      <c r="H892" s="18" t="n">
        <v>2</v>
      </c>
      <c r="I892" s="20" t="n">
        <v>46.09</v>
      </c>
      <c r="J892" s="20" t="n">
        <v>75.64</v>
      </c>
      <c r="K892" s="18" t="n">
        <v>3</v>
      </c>
      <c r="L892" s="18" t="n">
        <v>7</v>
      </c>
      <c r="M892" s="18" t="n">
        <v>64</v>
      </c>
      <c r="N892" s="18" t="n">
        <v>26</v>
      </c>
      <c r="O892" s="14" t="s">
        <v>1126</v>
      </c>
      <c r="P892" s="14" t="s">
        <v>906</v>
      </c>
      <c r="Q892" s="15" t="s">
        <v>1089</v>
      </c>
      <c r="R892" s="16" t="s">
        <v>6436</v>
      </c>
      <c r="S892" s="15" t="s">
        <v>6437</v>
      </c>
      <c r="T892" s="15" t="s">
        <v>6438</v>
      </c>
      <c r="U892" s="21" t="s">
        <v>72</v>
      </c>
    </row>
    <row r="893" customFormat="false" ht="15" hidden="false" customHeight="false" outlineLevel="0" collapsed="false">
      <c r="A893" s="15" t="s">
        <v>850</v>
      </c>
      <c r="B893" s="15" t="s">
        <v>6097</v>
      </c>
      <c r="C893" s="14" t="s">
        <v>6439</v>
      </c>
      <c r="D893" s="14" t="s">
        <v>6440</v>
      </c>
      <c r="E893" s="16" t="s">
        <v>6441</v>
      </c>
      <c r="F893" s="16"/>
      <c r="G893" s="23" t="s">
        <v>43</v>
      </c>
      <c r="H893" s="18" t="n">
        <v>2</v>
      </c>
      <c r="I893" s="20" t="n">
        <v>61.54</v>
      </c>
      <c r="J893" s="20" t="n">
        <v>75.63</v>
      </c>
      <c r="K893" s="18" t="n">
        <v>4</v>
      </c>
      <c r="L893" s="18" t="n">
        <v>1</v>
      </c>
      <c r="M893" s="18" t="n">
        <v>120</v>
      </c>
      <c r="N893" s="18" t="n">
        <v>120</v>
      </c>
      <c r="O893" s="13" t="s">
        <v>4947</v>
      </c>
      <c r="P893" s="14" t="s">
        <v>118</v>
      </c>
      <c r="Q893" s="15" t="s">
        <v>1089</v>
      </c>
      <c r="R893" s="16" t="s">
        <v>2579</v>
      </c>
      <c r="S893" s="15" t="s">
        <v>6442</v>
      </c>
      <c r="T893" s="15" t="s">
        <v>6443</v>
      </c>
      <c r="U893" s="21" t="s">
        <v>72</v>
      </c>
    </row>
    <row r="894" customFormat="false" ht="15" hidden="false" customHeight="false" outlineLevel="0" collapsed="false">
      <c r="A894" s="15" t="s">
        <v>850</v>
      </c>
      <c r="B894" s="15" t="s">
        <v>6097</v>
      </c>
      <c r="C894" s="14" t="s">
        <v>6444</v>
      </c>
      <c r="D894" s="14" t="s">
        <v>6445</v>
      </c>
      <c r="E894" s="16" t="s">
        <v>6446</v>
      </c>
      <c r="F894" s="16" t="s">
        <v>6447</v>
      </c>
      <c r="G894" s="19" t="s">
        <v>41</v>
      </c>
      <c r="H894" s="18" t="n">
        <v>5</v>
      </c>
      <c r="I894" s="20" t="n">
        <v>113.59</v>
      </c>
      <c r="J894" s="20" t="n">
        <v>251.51</v>
      </c>
      <c r="K894" s="18" t="n">
        <v>6</v>
      </c>
      <c r="L894" s="18"/>
      <c r="M894" s="18" t="n">
        <v>268</v>
      </c>
      <c r="N894" s="18" t="n">
        <v>176</v>
      </c>
      <c r="O894" s="14" t="s">
        <v>6448</v>
      </c>
      <c r="P894" s="14" t="s">
        <v>118</v>
      </c>
      <c r="Q894" s="15" t="s">
        <v>1089</v>
      </c>
      <c r="R894" s="16" t="s">
        <v>6449</v>
      </c>
      <c r="S894" s="15" t="s">
        <v>6450</v>
      </c>
      <c r="T894" s="15" t="s">
        <v>6451</v>
      </c>
      <c r="U894" s="21" t="s">
        <v>72</v>
      </c>
    </row>
    <row r="895" customFormat="false" ht="15" hidden="false" customHeight="false" outlineLevel="0" collapsed="false">
      <c r="A895" s="15" t="s">
        <v>850</v>
      </c>
      <c r="B895" s="15" t="s">
        <v>6097</v>
      </c>
      <c r="C895" s="14" t="s">
        <v>6452</v>
      </c>
      <c r="D895" s="14" t="s">
        <v>6453</v>
      </c>
      <c r="E895" s="16" t="s">
        <v>6454</v>
      </c>
      <c r="F895" s="16" t="s">
        <v>6447</v>
      </c>
      <c r="G895" s="23" t="s">
        <v>43</v>
      </c>
      <c r="H895" s="18" t="n">
        <v>3</v>
      </c>
      <c r="I895" s="20" t="n">
        <v>84.68</v>
      </c>
      <c r="J895" s="20" t="n">
        <v>164.63</v>
      </c>
      <c r="K895" s="18" t="n">
        <v>4</v>
      </c>
      <c r="L895" s="18" t="n">
        <v>3</v>
      </c>
      <c r="M895" s="18" t="n">
        <v>138</v>
      </c>
      <c r="N895" s="18" t="n">
        <v>138</v>
      </c>
      <c r="O895" s="14" t="s">
        <v>6455</v>
      </c>
      <c r="P895" s="14" t="s">
        <v>118</v>
      </c>
      <c r="Q895" s="15" t="s">
        <v>1089</v>
      </c>
      <c r="R895" s="16" t="s">
        <v>6456</v>
      </c>
      <c r="S895" s="15" t="s">
        <v>6450</v>
      </c>
      <c r="T895" s="15" t="s">
        <v>6450</v>
      </c>
      <c r="U895" s="21" t="s">
        <v>72</v>
      </c>
    </row>
    <row r="896" customFormat="false" ht="15" hidden="false" customHeight="false" outlineLevel="0" collapsed="false">
      <c r="A896" s="15" t="s">
        <v>850</v>
      </c>
      <c r="B896" s="15" t="s">
        <v>6097</v>
      </c>
      <c r="C896" s="14" t="s">
        <v>6457</v>
      </c>
      <c r="D896" s="14" t="s">
        <v>6458</v>
      </c>
      <c r="E896" s="16" t="s">
        <v>6459</v>
      </c>
      <c r="F896" s="16" t="s">
        <v>6460</v>
      </c>
      <c r="G896" s="23" t="s">
        <v>43</v>
      </c>
      <c r="H896" s="18" t="n">
        <v>4</v>
      </c>
      <c r="I896" s="20" t="n">
        <v>59.19</v>
      </c>
      <c r="J896" s="20" t="n">
        <v>157.37</v>
      </c>
      <c r="K896" s="18" t="n">
        <v>22</v>
      </c>
      <c r="L896" s="18" t="n">
        <v>2</v>
      </c>
      <c r="M896" s="18" t="n">
        <v>220</v>
      </c>
      <c r="N896" s="18" t="n">
        <v>45</v>
      </c>
      <c r="O896" s="14" t="s">
        <v>4215</v>
      </c>
      <c r="P896" s="14" t="s">
        <v>118</v>
      </c>
      <c r="Q896" s="15" t="s">
        <v>1089</v>
      </c>
      <c r="R896" s="16" t="s">
        <v>6461</v>
      </c>
      <c r="S896" s="15" t="s">
        <v>6462</v>
      </c>
      <c r="T896" s="15" t="s">
        <v>6463</v>
      </c>
      <c r="U896" s="21" t="s">
        <v>72</v>
      </c>
    </row>
    <row r="897" customFormat="false" ht="15" hidden="false" customHeight="false" outlineLevel="0" collapsed="false">
      <c r="A897" s="15" t="s">
        <v>850</v>
      </c>
      <c r="B897" s="15" t="s">
        <v>6097</v>
      </c>
      <c r="C897" s="14" t="s">
        <v>6464</v>
      </c>
      <c r="D897" s="14" t="s">
        <v>6465</v>
      </c>
      <c r="E897" s="16" t="s">
        <v>6466</v>
      </c>
      <c r="F897" s="16" t="s">
        <v>6467</v>
      </c>
      <c r="G897" s="25" t="s">
        <v>39</v>
      </c>
      <c r="H897" s="18" t="n">
        <v>18</v>
      </c>
      <c r="I897" s="20" t="n">
        <v>359.51</v>
      </c>
      <c r="J897" s="20" t="n">
        <v>762.57</v>
      </c>
      <c r="K897" s="18" t="n">
        <v>15</v>
      </c>
      <c r="L897" s="18" t="n">
        <v>13</v>
      </c>
      <c r="M897" s="18" t="n">
        <v>270</v>
      </c>
      <c r="N897" s="18" t="n">
        <v>162</v>
      </c>
      <c r="O897" s="14" t="s">
        <v>4223</v>
      </c>
      <c r="P897" s="14" t="s">
        <v>118</v>
      </c>
      <c r="Q897" s="15" t="s">
        <v>1089</v>
      </c>
      <c r="R897" s="16" t="s">
        <v>2056</v>
      </c>
      <c r="S897" s="15" t="s">
        <v>6468</v>
      </c>
      <c r="T897" s="15" t="s">
        <v>2113</v>
      </c>
      <c r="U897" s="21" t="s">
        <v>72</v>
      </c>
    </row>
    <row r="898" customFormat="false" ht="15" hidden="false" customHeight="false" outlineLevel="0" collapsed="false">
      <c r="A898" s="15" t="s">
        <v>850</v>
      </c>
      <c r="B898" s="15" t="s">
        <v>6097</v>
      </c>
      <c r="C898" s="14" t="s">
        <v>6469</v>
      </c>
      <c r="D898" s="14" t="s">
        <v>6470</v>
      </c>
      <c r="E898" s="16" t="s">
        <v>6471</v>
      </c>
      <c r="F898" s="16"/>
      <c r="G898" s="23" t="s">
        <v>43</v>
      </c>
      <c r="H898" s="18" t="n">
        <v>2</v>
      </c>
      <c r="I898" s="20" t="n">
        <v>32.64</v>
      </c>
      <c r="J898" s="20" t="n">
        <v>75</v>
      </c>
      <c r="K898" s="18" t="n">
        <v>4</v>
      </c>
      <c r="L898" s="18" t="n">
        <v>2</v>
      </c>
      <c r="M898" s="18" t="n">
        <v>68</v>
      </c>
      <c r="N898" s="18" t="n">
        <v>29</v>
      </c>
      <c r="O898" s="14" t="s">
        <v>1088</v>
      </c>
      <c r="P898" s="14" t="s">
        <v>94</v>
      </c>
      <c r="Q898" s="15" t="s">
        <v>1089</v>
      </c>
      <c r="R898" s="16" t="s">
        <v>6472</v>
      </c>
      <c r="S898" s="15" t="s">
        <v>6473</v>
      </c>
      <c r="T898" s="15" t="s">
        <v>6474</v>
      </c>
      <c r="U898" s="21" t="s">
        <v>72</v>
      </c>
    </row>
    <row r="899" customFormat="false" ht="15" hidden="false" customHeight="false" outlineLevel="0" collapsed="false">
      <c r="A899" s="15" t="s">
        <v>850</v>
      </c>
      <c r="B899" s="15" t="s">
        <v>6097</v>
      </c>
      <c r="C899" s="14" t="s">
        <v>6475</v>
      </c>
      <c r="D899" s="14" t="s">
        <v>6476</v>
      </c>
      <c r="E899" s="16" t="s">
        <v>6477</v>
      </c>
      <c r="F899" s="16"/>
      <c r="G899" s="23" t="s">
        <v>43</v>
      </c>
      <c r="H899" s="18" t="n">
        <v>3</v>
      </c>
      <c r="I899" s="20" t="n">
        <v>34.37</v>
      </c>
      <c r="J899" s="20" t="n">
        <v>157.28</v>
      </c>
      <c r="K899" s="18" t="n">
        <v>4</v>
      </c>
      <c r="L899" s="18" t="n">
        <v>2</v>
      </c>
      <c r="M899" s="18" t="n">
        <v>432</v>
      </c>
      <c r="N899" s="18" t="n">
        <v>432</v>
      </c>
      <c r="O899" s="14" t="s">
        <v>1126</v>
      </c>
      <c r="P899" s="14" t="s">
        <v>84</v>
      </c>
      <c r="Q899" s="15" t="s">
        <v>1089</v>
      </c>
      <c r="R899" s="16" t="s">
        <v>6478</v>
      </c>
      <c r="S899" s="15" t="s">
        <v>6479</v>
      </c>
      <c r="T899" s="15" t="s">
        <v>6480</v>
      </c>
      <c r="U899" s="21" t="s">
        <v>72</v>
      </c>
    </row>
    <row r="900" customFormat="false" ht="15" hidden="false" customHeight="false" outlineLevel="0" collapsed="false">
      <c r="A900" s="15" t="s">
        <v>850</v>
      </c>
      <c r="B900" s="15" t="s">
        <v>6097</v>
      </c>
      <c r="C900" s="14" t="s">
        <v>6481</v>
      </c>
      <c r="D900" s="14" t="s">
        <v>6482</v>
      </c>
      <c r="E900" s="16" t="s">
        <v>6483</v>
      </c>
      <c r="F900" s="16" t="s">
        <v>6484</v>
      </c>
      <c r="G900" s="19" t="s">
        <v>41</v>
      </c>
      <c r="H900" s="18" t="n">
        <v>4</v>
      </c>
      <c r="I900" s="20" t="n">
        <v>109.02</v>
      </c>
      <c r="J900" s="20" t="n">
        <v>343.5</v>
      </c>
      <c r="K900" s="18" t="n">
        <v>4</v>
      </c>
      <c r="L900" s="18" t="n">
        <v>1</v>
      </c>
      <c r="M900" s="18" t="n">
        <v>88</v>
      </c>
      <c r="N900" s="18" t="n">
        <v>88</v>
      </c>
      <c r="O900" s="14" t="s">
        <v>4343</v>
      </c>
      <c r="P900" s="14" t="s">
        <v>84</v>
      </c>
      <c r="Q900" s="15" t="s">
        <v>1089</v>
      </c>
      <c r="R900" s="16" t="s">
        <v>6485</v>
      </c>
      <c r="S900" s="15" t="s">
        <v>6486</v>
      </c>
      <c r="T900" s="15" t="s">
        <v>6487</v>
      </c>
      <c r="U900" s="21" t="s">
        <v>72</v>
      </c>
    </row>
    <row r="901" customFormat="false" ht="15" hidden="false" customHeight="false" outlineLevel="0" collapsed="false">
      <c r="A901" s="15" t="s">
        <v>850</v>
      </c>
      <c r="B901" s="15" t="s">
        <v>6097</v>
      </c>
      <c r="C901" s="14" t="s">
        <v>6488</v>
      </c>
      <c r="D901" s="14" t="s">
        <v>6489</v>
      </c>
      <c r="E901" s="16" t="s">
        <v>6490</v>
      </c>
      <c r="F901" s="16" t="s">
        <v>6491</v>
      </c>
      <c r="G901" s="23" t="s">
        <v>43</v>
      </c>
      <c r="H901" s="18" t="n">
        <v>3</v>
      </c>
      <c r="I901" s="20" t="n">
        <v>85.82</v>
      </c>
      <c r="J901" s="20" t="n">
        <v>105.43</v>
      </c>
      <c r="K901" s="18" t="n">
        <v>3</v>
      </c>
      <c r="L901" s="18" t="n">
        <v>2</v>
      </c>
      <c r="M901" s="18" t="n">
        <v>87</v>
      </c>
      <c r="N901" s="18" t="n">
        <v>87</v>
      </c>
      <c r="O901" s="14" t="s">
        <v>6492</v>
      </c>
      <c r="P901" s="14" t="s">
        <v>118</v>
      </c>
      <c r="Q901" s="15" t="s">
        <v>1089</v>
      </c>
      <c r="R901" s="16" t="s">
        <v>6493</v>
      </c>
      <c r="S901" s="15" t="s">
        <v>6494</v>
      </c>
      <c r="T901" s="15" t="s">
        <v>6494</v>
      </c>
      <c r="U901" s="21" t="s">
        <v>72</v>
      </c>
    </row>
    <row r="902" customFormat="false" ht="15" hidden="false" customHeight="false" outlineLevel="0" collapsed="false">
      <c r="A902" s="15" t="s">
        <v>850</v>
      </c>
      <c r="B902" s="15" t="s">
        <v>6097</v>
      </c>
      <c r="C902" s="14" t="s">
        <v>6495</v>
      </c>
      <c r="D902" s="14" t="s">
        <v>6496</v>
      </c>
      <c r="E902" s="16" t="s">
        <v>6497</v>
      </c>
      <c r="F902" s="16"/>
      <c r="G902" s="23" t="s">
        <v>43</v>
      </c>
      <c r="H902" s="18" t="n">
        <v>3</v>
      </c>
      <c r="I902" s="20" t="n">
        <v>44.55</v>
      </c>
      <c r="J902" s="20" t="n">
        <v>87.79</v>
      </c>
      <c r="K902" s="18" t="n">
        <v>2</v>
      </c>
      <c r="L902" s="18" t="n">
        <v>1</v>
      </c>
      <c r="M902" s="18" t="n">
        <v>20</v>
      </c>
      <c r="N902" s="18" t="n">
        <v>20</v>
      </c>
      <c r="O902" s="14" t="s">
        <v>4223</v>
      </c>
      <c r="P902" s="14" t="s">
        <v>84</v>
      </c>
      <c r="Q902" s="15" t="s">
        <v>1089</v>
      </c>
      <c r="R902" s="16" t="s">
        <v>4621</v>
      </c>
      <c r="S902" s="15" t="s">
        <v>6498</v>
      </c>
      <c r="T902" s="15" t="s">
        <v>6498</v>
      </c>
      <c r="U902" s="21" t="s">
        <v>72</v>
      </c>
    </row>
    <row r="903" customFormat="false" ht="15" hidden="false" customHeight="false" outlineLevel="0" collapsed="false">
      <c r="A903" s="15" t="s">
        <v>850</v>
      </c>
      <c r="B903" s="15" t="s">
        <v>6097</v>
      </c>
      <c r="C903" s="14" t="s">
        <v>6499</v>
      </c>
      <c r="D903" s="14" t="s">
        <v>6500</v>
      </c>
      <c r="E903" s="16" t="s">
        <v>6501</v>
      </c>
      <c r="F903" s="16"/>
      <c r="G903" s="23" t="s">
        <v>43</v>
      </c>
      <c r="H903" s="18" t="n">
        <v>4</v>
      </c>
      <c r="I903" s="20" t="n">
        <v>72.2</v>
      </c>
      <c r="J903" s="20" t="n">
        <v>152.58</v>
      </c>
      <c r="K903" s="18" t="n">
        <v>4</v>
      </c>
      <c r="L903" s="18" t="n">
        <v>13</v>
      </c>
      <c r="M903" s="18" t="n">
        <v>112</v>
      </c>
      <c r="N903" s="18" t="n">
        <v>112</v>
      </c>
      <c r="O903" s="14" t="s">
        <v>1088</v>
      </c>
      <c r="P903" s="14" t="s">
        <v>84</v>
      </c>
      <c r="Q903" s="15" t="s">
        <v>1089</v>
      </c>
      <c r="R903" s="16" t="s">
        <v>6502</v>
      </c>
      <c r="S903" s="15" t="s">
        <v>6503</v>
      </c>
      <c r="T903" s="15" t="s">
        <v>6504</v>
      </c>
      <c r="U903" s="21" t="s">
        <v>72</v>
      </c>
    </row>
    <row r="904" customFormat="false" ht="15" hidden="false" customHeight="false" outlineLevel="0" collapsed="false">
      <c r="A904" s="15" t="s">
        <v>850</v>
      </c>
      <c r="B904" s="15" t="s">
        <v>6097</v>
      </c>
      <c r="C904" s="14" t="s">
        <v>6505</v>
      </c>
      <c r="D904" s="14" t="s">
        <v>6506</v>
      </c>
      <c r="E904" s="16" t="s">
        <v>6507</v>
      </c>
      <c r="F904" s="16" t="s">
        <v>6508</v>
      </c>
      <c r="G904" s="23" t="s">
        <v>43</v>
      </c>
      <c r="H904" s="18" t="n">
        <v>2</v>
      </c>
      <c r="I904" s="20" t="n">
        <v>55.31</v>
      </c>
      <c r="J904" s="20" t="n">
        <v>129.46</v>
      </c>
      <c r="K904" s="18" t="n">
        <v>2</v>
      </c>
      <c r="L904" s="18" t="n">
        <v>2</v>
      </c>
      <c r="M904" s="18" t="n">
        <v>20</v>
      </c>
      <c r="N904" s="18" t="n">
        <v>20</v>
      </c>
      <c r="O904" s="14" t="s">
        <v>1126</v>
      </c>
      <c r="P904" s="14" t="s">
        <v>84</v>
      </c>
      <c r="Q904" s="15" t="s">
        <v>1089</v>
      </c>
      <c r="R904" s="16" t="s">
        <v>5837</v>
      </c>
      <c r="S904" s="15" t="s">
        <v>6509</v>
      </c>
      <c r="T904" s="15" t="s">
        <v>6510</v>
      </c>
      <c r="U904" s="21" t="s">
        <v>72</v>
      </c>
    </row>
    <row r="905" customFormat="false" ht="15" hidden="false" customHeight="false" outlineLevel="0" collapsed="false">
      <c r="A905" s="15" t="s">
        <v>850</v>
      </c>
      <c r="B905" s="15" t="s">
        <v>6097</v>
      </c>
      <c r="C905" s="14" t="s">
        <v>6511</v>
      </c>
      <c r="D905" s="14" t="s">
        <v>6512</v>
      </c>
      <c r="E905" s="16" t="s">
        <v>6513</v>
      </c>
      <c r="F905" s="16" t="s">
        <v>6514</v>
      </c>
      <c r="G905" s="19" t="s">
        <v>41</v>
      </c>
      <c r="H905" s="18" t="n">
        <v>5</v>
      </c>
      <c r="I905" s="20" t="n">
        <v>91.01</v>
      </c>
      <c r="J905" s="20" t="n">
        <v>143.43</v>
      </c>
      <c r="K905" s="18" t="n">
        <v>2</v>
      </c>
      <c r="L905" s="18" t="n">
        <v>1</v>
      </c>
      <c r="M905" s="18" t="n">
        <v>50</v>
      </c>
      <c r="N905" s="18" t="n">
        <v>50</v>
      </c>
      <c r="O905" s="14" t="s">
        <v>1097</v>
      </c>
      <c r="P905" s="14" t="s">
        <v>84</v>
      </c>
      <c r="Q905" s="15" t="s">
        <v>1089</v>
      </c>
      <c r="R905" s="16" t="s">
        <v>6515</v>
      </c>
      <c r="S905" s="15" t="s">
        <v>6516</v>
      </c>
      <c r="T905" s="15" t="s">
        <v>6517</v>
      </c>
      <c r="U905" s="21" t="s">
        <v>72</v>
      </c>
    </row>
    <row r="906" customFormat="false" ht="15" hidden="false" customHeight="false" outlineLevel="0" collapsed="false">
      <c r="A906" s="15" t="s">
        <v>850</v>
      </c>
      <c r="B906" s="15" t="s">
        <v>6097</v>
      </c>
      <c r="C906" s="14" t="s">
        <v>6518</v>
      </c>
      <c r="D906" s="14" t="s">
        <v>6519</v>
      </c>
      <c r="E906" s="16" t="s">
        <v>6520</v>
      </c>
      <c r="F906" s="16" t="s">
        <v>6521</v>
      </c>
      <c r="G906" s="23" t="s">
        <v>43</v>
      </c>
      <c r="H906" s="18" t="n">
        <v>2</v>
      </c>
      <c r="I906" s="20" t="n">
        <v>59</v>
      </c>
      <c r="J906" s="20" t="n">
        <v>103.68</v>
      </c>
      <c r="K906" s="18" t="n">
        <v>6</v>
      </c>
      <c r="L906" s="18" t="n">
        <v>3</v>
      </c>
      <c r="M906" s="18" t="n">
        <v>98</v>
      </c>
      <c r="N906" s="18" t="n">
        <v>46</v>
      </c>
      <c r="O906" s="14" t="s">
        <v>4215</v>
      </c>
      <c r="P906" s="14" t="s">
        <v>118</v>
      </c>
      <c r="Q906" s="15" t="s">
        <v>1089</v>
      </c>
      <c r="R906" s="16" t="s">
        <v>6522</v>
      </c>
      <c r="S906" s="15" t="s">
        <v>6340</v>
      </c>
      <c r="T906" s="15" t="s">
        <v>6340</v>
      </c>
      <c r="U906" s="21" t="s">
        <v>72</v>
      </c>
    </row>
    <row r="907" customFormat="false" ht="15" hidden="false" customHeight="false" outlineLevel="0" collapsed="false">
      <c r="A907" s="15" t="s">
        <v>850</v>
      </c>
      <c r="B907" s="15" t="s">
        <v>6097</v>
      </c>
      <c r="C907" s="14" t="s">
        <v>6523</v>
      </c>
      <c r="D907" s="14" t="s">
        <v>6524</v>
      </c>
      <c r="E907" s="16" t="s">
        <v>6525</v>
      </c>
      <c r="F907" s="16"/>
      <c r="G907" s="25" t="s">
        <v>39</v>
      </c>
      <c r="H907" s="18" t="n">
        <v>10</v>
      </c>
      <c r="I907" s="20" t="n">
        <v>286.62</v>
      </c>
      <c r="J907" s="20" t="n">
        <v>760.1</v>
      </c>
      <c r="K907" s="18" t="n">
        <v>14</v>
      </c>
      <c r="L907" s="18" t="n">
        <v>15</v>
      </c>
      <c r="M907" s="18" t="n">
        <v>392</v>
      </c>
      <c r="N907" s="18" t="n">
        <v>168</v>
      </c>
      <c r="O907" s="14" t="s">
        <v>4276</v>
      </c>
      <c r="P907" s="14" t="s">
        <v>84</v>
      </c>
      <c r="Q907" s="15" t="s">
        <v>1089</v>
      </c>
      <c r="R907" s="16" t="s">
        <v>6526</v>
      </c>
      <c r="S907" s="15" t="s">
        <v>6527</v>
      </c>
      <c r="T907" s="15" t="s">
        <v>6528</v>
      </c>
      <c r="U907" s="21" t="s">
        <v>72</v>
      </c>
    </row>
    <row r="908" customFormat="false" ht="15" hidden="false" customHeight="false" outlineLevel="0" collapsed="false">
      <c r="A908" s="15" t="s">
        <v>850</v>
      </c>
      <c r="B908" s="15" t="s">
        <v>6097</v>
      </c>
      <c r="C908" s="14" t="s">
        <v>6529</v>
      </c>
      <c r="D908" s="14" t="s">
        <v>6530</v>
      </c>
      <c r="E908" s="16" t="s">
        <v>6531</v>
      </c>
      <c r="F908" s="16"/>
      <c r="G908" s="25" t="s">
        <v>39</v>
      </c>
      <c r="H908" s="18" t="n">
        <v>7</v>
      </c>
      <c r="I908" s="20" t="n">
        <v>310.946</v>
      </c>
      <c r="J908" s="20" t="n">
        <v>780.63</v>
      </c>
      <c r="K908" s="18" t="n">
        <v>7</v>
      </c>
      <c r="L908" s="18" t="n">
        <v>23</v>
      </c>
      <c r="M908" s="18" t="n">
        <v>112</v>
      </c>
      <c r="N908" s="18" t="n">
        <v>112</v>
      </c>
      <c r="O908" s="14" t="s">
        <v>1126</v>
      </c>
      <c r="P908" s="14" t="s">
        <v>84</v>
      </c>
      <c r="Q908" s="15" t="s">
        <v>1089</v>
      </c>
      <c r="R908" s="16" t="s">
        <v>6532</v>
      </c>
      <c r="S908" s="15" t="s">
        <v>3173</v>
      </c>
      <c r="T908" s="15" t="s">
        <v>6533</v>
      </c>
      <c r="U908" s="21" t="s">
        <v>72</v>
      </c>
    </row>
    <row r="909" customFormat="false" ht="15" hidden="false" customHeight="false" outlineLevel="0" collapsed="false">
      <c r="A909" s="15" t="s">
        <v>850</v>
      </c>
      <c r="B909" s="15" t="s">
        <v>6097</v>
      </c>
      <c r="C909" s="14" t="s">
        <v>6534</v>
      </c>
      <c r="D909" s="14" t="s">
        <v>6535</v>
      </c>
      <c r="E909" s="16" t="s">
        <v>6536</v>
      </c>
      <c r="F909" s="16" t="s">
        <v>6537</v>
      </c>
      <c r="G909" s="23" t="s">
        <v>43</v>
      </c>
      <c r="H909" s="18" t="n">
        <v>2</v>
      </c>
      <c r="I909" s="20" t="n">
        <v>30.8</v>
      </c>
      <c r="J909" s="20" t="n">
        <v>76.76</v>
      </c>
      <c r="K909" s="18" t="n">
        <v>2</v>
      </c>
      <c r="L909" s="18" t="n">
        <v>1</v>
      </c>
      <c r="M909" s="18" t="n">
        <v>26</v>
      </c>
      <c r="N909" s="18" t="n">
        <v>26</v>
      </c>
      <c r="O909" s="14" t="s">
        <v>4343</v>
      </c>
      <c r="P909" s="14" t="s">
        <v>84</v>
      </c>
      <c r="Q909" s="15" t="s">
        <v>1089</v>
      </c>
      <c r="R909" s="16" t="s">
        <v>6538</v>
      </c>
      <c r="S909" s="15" t="s">
        <v>4548</v>
      </c>
      <c r="T909" s="15" t="s">
        <v>6539</v>
      </c>
      <c r="U909" s="21" t="s">
        <v>72</v>
      </c>
    </row>
    <row r="910" customFormat="false" ht="15" hidden="false" customHeight="false" outlineLevel="0" collapsed="false">
      <c r="A910" s="15" t="s">
        <v>850</v>
      </c>
      <c r="B910" s="15" t="s">
        <v>6097</v>
      </c>
      <c r="C910" s="14" t="s">
        <v>6540</v>
      </c>
      <c r="D910" s="14" t="s">
        <v>6541</v>
      </c>
      <c r="E910" s="16" t="s">
        <v>6542</v>
      </c>
      <c r="F910" s="16" t="s">
        <v>6543</v>
      </c>
      <c r="G910" s="23" t="s">
        <v>43</v>
      </c>
      <c r="H910" s="18" t="n">
        <v>3</v>
      </c>
      <c r="I910" s="20" t="n">
        <v>36.66</v>
      </c>
      <c r="J910" s="20" t="n">
        <v>71.86</v>
      </c>
      <c r="K910" s="18" t="n">
        <v>3</v>
      </c>
      <c r="L910" s="18" t="n">
        <v>1</v>
      </c>
      <c r="M910" s="18" t="n">
        <v>30</v>
      </c>
      <c r="N910" s="18" t="n">
        <v>20</v>
      </c>
      <c r="O910" s="14" t="s">
        <v>1097</v>
      </c>
      <c r="P910" s="14" t="s">
        <v>118</v>
      </c>
      <c r="Q910" s="15" t="s">
        <v>1089</v>
      </c>
      <c r="R910" s="16" t="s">
        <v>6544</v>
      </c>
      <c r="S910" s="15" t="s">
        <v>6545</v>
      </c>
      <c r="T910" s="15" t="s">
        <v>6545</v>
      </c>
      <c r="U910" s="21" t="s">
        <v>72</v>
      </c>
    </row>
    <row r="911" customFormat="false" ht="15" hidden="false" customHeight="false" outlineLevel="0" collapsed="false">
      <c r="A911" s="15" t="s">
        <v>850</v>
      </c>
      <c r="B911" s="15" t="s">
        <v>6097</v>
      </c>
      <c r="C911" s="14" t="s">
        <v>6546</v>
      </c>
      <c r="D911" s="14" t="s">
        <v>6547</v>
      </c>
      <c r="E911" s="16" t="s">
        <v>6548</v>
      </c>
      <c r="F911" s="16"/>
      <c r="G911" s="23" t="s">
        <v>43</v>
      </c>
      <c r="H911" s="18" t="n">
        <v>4</v>
      </c>
      <c r="I911" s="20" t="n">
        <v>61.27</v>
      </c>
      <c r="J911" s="20" t="n">
        <v>170.21</v>
      </c>
      <c r="K911" s="18" t="n">
        <v>4</v>
      </c>
      <c r="L911" s="18" t="n">
        <v>4</v>
      </c>
      <c r="M911" s="18" t="n">
        <v>49</v>
      </c>
      <c r="N911" s="18" t="n">
        <v>49</v>
      </c>
      <c r="O911" s="14" t="s">
        <v>5488</v>
      </c>
      <c r="P911" s="14" t="s">
        <v>118</v>
      </c>
      <c r="Q911" s="15" t="s">
        <v>1089</v>
      </c>
      <c r="R911" s="16" t="s">
        <v>5404</v>
      </c>
      <c r="S911" s="15" t="s">
        <v>6549</v>
      </c>
      <c r="T911" s="15" t="s">
        <v>6549</v>
      </c>
      <c r="U911" s="21" t="s">
        <v>72</v>
      </c>
    </row>
    <row r="912" customFormat="false" ht="15" hidden="false" customHeight="false" outlineLevel="0" collapsed="false">
      <c r="A912" s="15" t="s">
        <v>850</v>
      </c>
      <c r="B912" s="15" t="s">
        <v>6097</v>
      </c>
      <c r="C912" s="14" t="s">
        <v>6550</v>
      </c>
      <c r="D912" s="14" t="s">
        <v>6551</v>
      </c>
      <c r="E912" s="16" t="s">
        <v>6552</v>
      </c>
      <c r="F912" s="16" t="s">
        <v>6553</v>
      </c>
      <c r="G912" s="25" t="s">
        <v>39</v>
      </c>
      <c r="H912" s="18" t="n">
        <v>9</v>
      </c>
      <c r="I912" s="20" t="n">
        <v>164.82</v>
      </c>
      <c r="J912" s="20" t="n">
        <v>227.16</v>
      </c>
      <c r="K912" s="18" t="n">
        <v>8</v>
      </c>
      <c r="L912" s="18" t="n">
        <v>12</v>
      </c>
      <c r="M912" s="18" t="n">
        <v>160</v>
      </c>
      <c r="N912" s="18" t="n">
        <v>80</v>
      </c>
      <c r="O912" s="14" t="s">
        <v>4276</v>
      </c>
      <c r="P912" s="14" t="s">
        <v>118</v>
      </c>
      <c r="Q912" s="15" t="s">
        <v>1089</v>
      </c>
      <c r="R912" s="16" t="s">
        <v>6554</v>
      </c>
      <c r="S912" s="15" t="s">
        <v>6555</v>
      </c>
      <c r="T912" s="15" t="s">
        <v>6556</v>
      </c>
      <c r="U912" s="21" t="s">
        <v>72</v>
      </c>
    </row>
    <row r="913" customFormat="false" ht="15" hidden="false" customHeight="false" outlineLevel="0" collapsed="false">
      <c r="A913" s="15" t="s">
        <v>850</v>
      </c>
      <c r="B913" s="15" t="s">
        <v>6097</v>
      </c>
      <c r="C913" s="14" t="s">
        <v>6557</v>
      </c>
      <c r="D913" s="14" t="s">
        <v>6558</v>
      </c>
      <c r="E913" s="16" t="s">
        <v>6559</v>
      </c>
      <c r="F913" s="16" t="s">
        <v>6560</v>
      </c>
      <c r="G913" s="23" t="s">
        <v>43</v>
      </c>
      <c r="H913" s="18" t="n">
        <v>4</v>
      </c>
      <c r="I913" s="20" t="n">
        <v>59.46</v>
      </c>
      <c r="J913" s="20" t="n">
        <v>189.02</v>
      </c>
      <c r="K913" s="18" t="n">
        <v>4</v>
      </c>
      <c r="L913" s="18" t="n">
        <v>2</v>
      </c>
      <c r="M913" s="18" t="n">
        <v>96</v>
      </c>
      <c r="N913" s="18" t="n">
        <v>46</v>
      </c>
      <c r="O913" s="14" t="s">
        <v>1126</v>
      </c>
      <c r="P913" s="14" t="s">
        <v>1166</v>
      </c>
      <c r="Q913" s="15" t="s">
        <v>1089</v>
      </c>
      <c r="R913" s="16" t="s">
        <v>6561</v>
      </c>
      <c r="S913" s="15" t="s">
        <v>6562</v>
      </c>
      <c r="T913" s="15" t="s">
        <v>6563</v>
      </c>
      <c r="U913" s="21" t="s">
        <v>72</v>
      </c>
    </row>
    <row r="914" customFormat="false" ht="15" hidden="false" customHeight="false" outlineLevel="0" collapsed="false">
      <c r="A914" s="15" t="s">
        <v>850</v>
      </c>
      <c r="B914" s="15" t="s">
        <v>6097</v>
      </c>
      <c r="C914" s="14" t="s">
        <v>6564</v>
      </c>
      <c r="D914" s="14" t="s">
        <v>6565</v>
      </c>
      <c r="E914" s="16" t="s">
        <v>6566</v>
      </c>
      <c r="F914" s="16" t="s">
        <v>6567</v>
      </c>
      <c r="G914" s="23" t="s">
        <v>43</v>
      </c>
      <c r="H914" s="18" t="n">
        <v>4</v>
      </c>
      <c r="I914" s="20" t="n">
        <v>71.32</v>
      </c>
      <c r="J914" s="20" t="n">
        <v>178.16</v>
      </c>
      <c r="K914" s="18" t="n">
        <v>4</v>
      </c>
      <c r="L914" s="18" t="n">
        <v>8</v>
      </c>
      <c r="M914" s="18" t="n">
        <v>109</v>
      </c>
      <c r="N914" s="18" t="n">
        <v>62</v>
      </c>
      <c r="O914" s="14" t="s">
        <v>6568</v>
      </c>
      <c r="P914" s="14" t="s">
        <v>118</v>
      </c>
      <c r="Q914" s="15" t="s">
        <v>1089</v>
      </c>
      <c r="R914" s="16" t="s">
        <v>6569</v>
      </c>
      <c r="S914" s="15" t="s">
        <v>6570</v>
      </c>
      <c r="T914" s="15" t="s">
        <v>6571</v>
      </c>
      <c r="U914" s="21" t="s">
        <v>72</v>
      </c>
    </row>
    <row r="915" customFormat="false" ht="15" hidden="false" customHeight="false" outlineLevel="0" collapsed="false">
      <c r="A915" s="15" t="s">
        <v>850</v>
      </c>
      <c r="B915" s="15" t="s">
        <v>6097</v>
      </c>
      <c r="C915" s="14" t="s">
        <v>6572</v>
      </c>
      <c r="D915" s="14" t="s">
        <v>6573</v>
      </c>
      <c r="E915" s="16" t="s">
        <v>6574</v>
      </c>
      <c r="F915" s="16"/>
      <c r="G915" s="23" t="s">
        <v>43</v>
      </c>
      <c r="H915" s="18" t="n">
        <v>4</v>
      </c>
      <c r="I915" s="20" t="n">
        <v>64.8</v>
      </c>
      <c r="J915" s="20" t="n">
        <v>176.02</v>
      </c>
      <c r="K915" s="18" t="n">
        <v>4</v>
      </c>
      <c r="L915" s="18" t="n">
        <v>4</v>
      </c>
      <c r="M915" s="18" t="n">
        <v>54</v>
      </c>
      <c r="N915" s="18" t="n">
        <v>30</v>
      </c>
      <c r="O915" s="14" t="s">
        <v>4276</v>
      </c>
      <c r="P915" s="14" t="s">
        <v>84</v>
      </c>
      <c r="Q915" s="15" t="s">
        <v>1089</v>
      </c>
      <c r="R915" s="16" t="s">
        <v>6575</v>
      </c>
      <c r="S915" s="15" t="s">
        <v>6576</v>
      </c>
      <c r="T915" s="15" t="s">
        <v>6577</v>
      </c>
      <c r="U915" s="21" t="s">
        <v>72</v>
      </c>
    </row>
    <row r="916" customFormat="false" ht="15" hidden="false" customHeight="false" outlineLevel="0" collapsed="false">
      <c r="A916" s="15" t="s">
        <v>850</v>
      </c>
      <c r="B916" s="15" t="s">
        <v>6097</v>
      </c>
      <c r="C916" s="14" t="s">
        <v>6578</v>
      </c>
      <c r="D916" s="14" t="s">
        <v>6579</v>
      </c>
      <c r="E916" s="16" t="s">
        <v>6580</v>
      </c>
      <c r="F916" s="16" t="s">
        <v>6581</v>
      </c>
      <c r="G916" s="19" t="s">
        <v>41</v>
      </c>
      <c r="H916" s="18" t="n">
        <v>3</v>
      </c>
      <c r="I916" s="20" t="n">
        <v>67.54</v>
      </c>
      <c r="J916" s="20" t="n">
        <v>277.41</v>
      </c>
      <c r="K916" s="18" t="n">
        <v>4</v>
      </c>
      <c r="L916" s="18" t="n">
        <v>4</v>
      </c>
      <c r="M916" s="18" t="n">
        <v>150</v>
      </c>
      <c r="N916" s="18" t="n">
        <v>135</v>
      </c>
      <c r="O916" s="14" t="s">
        <v>4276</v>
      </c>
      <c r="P916" s="14" t="s">
        <v>118</v>
      </c>
      <c r="Q916" s="15" t="s">
        <v>1089</v>
      </c>
      <c r="R916" s="16" t="s">
        <v>6582</v>
      </c>
      <c r="S916" s="15" t="s">
        <v>6583</v>
      </c>
      <c r="T916" s="15" t="s">
        <v>6584</v>
      </c>
      <c r="U916" s="21" t="s">
        <v>72</v>
      </c>
    </row>
    <row r="917" customFormat="false" ht="15" hidden="false" customHeight="false" outlineLevel="0" collapsed="false">
      <c r="A917" s="15" t="s">
        <v>850</v>
      </c>
      <c r="B917" s="15" t="s">
        <v>6097</v>
      </c>
      <c r="C917" s="14" t="s">
        <v>6585</v>
      </c>
      <c r="D917" s="14" t="s">
        <v>6586</v>
      </c>
      <c r="E917" s="16" t="s">
        <v>6587</v>
      </c>
      <c r="F917" s="16" t="s">
        <v>6588</v>
      </c>
      <c r="G917" s="23" t="s">
        <v>43</v>
      </c>
      <c r="H917" s="18" t="n">
        <v>2</v>
      </c>
      <c r="I917" s="20" t="n">
        <v>75.08</v>
      </c>
      <c r="J917" s="20" t="n">
        <v>180.5</v>
      </c>
      <c r="K917" s="18" t="n">
        <v>2</v>
      </c>
      <c r="L917" s="18" t="n">
        <v>2</v>
      </c>
      <c r="M917" s="18" t="n">
        <v>61</v>
      </c>
      <c r="N917" s="18" t="n">
        <v>61</v>
      </c>
      <c r="O917" s="14" t="s">
        <v>4223</v>
      </c>
      <c r="P917" s="14" t="s">
        <v>84</v>
      </c>
      <c r="Q917" s="15" t="s">
        <v>1089</v>
      </c>
      <c r="R917" s="16" t="s">
        <v>6589</v>
      </c>
      <c r="S917" s="15" t="s">
        <v>6590</v>
      </c>
      <c r="T917" s="15" t="s">
        <v>6591</v>
      </c>
      <c r="U917" s="21" t="s">
        <v>72</v>
      </c>
    </row>
    <row r="918" customFormat="false" ht="26.85" hidden="false" customHeight="false" outlineLevel="0" collapsed="false">
      <c r="A918" s="15" t="s">
        <v>850</v>
      </c>
      <c r="B918" s="15" t="s">
        <v>6097</v>
      </c>
      <c r="C918" s="14" t="s">
        <v>6592</v>
      </c>
      <c r="D918" s="14" t="s">
        <v>6593</v>
      </c>
      <c r="E918" s="16" t="s">
        <v>6594</v>
      </c>
      <c r="F918" s="16" t="s">
        <v>6595</v>
      </c>
      <c r="G918" s="19" t="s">
        <v>41</v>
      </c>
      <c r="H918" s="18" t="n">
        <v>5</v>
      </c>
      <c r="I918" s="20" t="n">
        <v>93.71</v>
      </c>
      <c r="J918" s="20" t="n">
        <v>257.89</v>
      </c>
      <c r="K918" s="18" t="n">
        <v>7</v>
      </c>
      <c r="L918" s="18" t="n">
        <v>2</v>
      </c>
      <c r="M918" s="18" t="n">
        <v>120</v>
      </c>
      <c r="N918" s="18" t="n">
        <v>18</v>
      </c>
      <c r="O918" s="14" t="s">
        <v>4223</v>
      </c>
      <c r="P918" s="14" t="s">
        <v>118</v>
      </c>
      <c r="Q918" s="15" t="s">
        <v>1089</v>
      </c>
      <c r="R918" s="16" t="s">
        <v>6596</v>
      </c>
      <c r="S918" s="15" t="s">
        <v>6597</v>
      </c>
      <c r="T918" s="15" t="s">
        <v>6597</v>
      </c>
      <c r="U918" s="21" t="s">
        <v>72</v>
      </c>
    </row>
    <row r="919" customFormat="false" ht="15" hidden="false" customHeight="false" outlineLevel="0" collapsed="false">
      <c r="A919" s="15" t="s">
        <v>850</v>
      </c>
      <c r="B919" s="15" t="s">
        <v>6097</v>
      </c>
      <c r="C919" s="14" t="s">
        <v>6598</v>
      </c>
      <c r="D919" s="14" t="s">
        <v>6599</v>
      </c>
      <c r="E919" s="16" t="s">
        <v>6600</v>
      </c>
      <c r="F919" s="16" t="s">
        <v>6601</v>
      </c>
      <c r="G919" s="23" t="s">
        <v>43</v>
      </c>
      <c r="H919" s="18" t="n">
        <v>4</v>
      </c>
      <c r="I919" s="20" t="n">
        <v>78.57</v>
      </c>
      <c r="J919" s="20" t="n">
        <v>155.31</v>
      </c>
      <c r="K919" s="18" t="n">
        <v>3</v>
      </c>
      <c r="L919" s="18" t="n">
        <v>9</v>
      </c>
      <c r="M919" s="18" t="n">
        <v>111</v>
      </c>
      <c r="N919" s="18" t="n">
        <v>37</v>
      </c>
      <c r="O919" s="14" t="s">
        <v>4446</v>
      </c>
      <c r="P919" s="14" t="s">
        <v>118</v>
      </c>
      <c r="Q919" s="15" t="s">
        <v>1089</v>
      </c>
      <c r="R919" s="16" t="s">
        <v>6602</v>
      </c>
      <c r="S919" s="15" t="s">
        <v>6603</v>
      </c>
      <c r="T919" s="15" t="s">
        <v>6604</v>
      </c>
      <c r="U919" s="21" t="s">
        <v>72</v>
      </c>
    </row>
    <row r="920" customFormat="false" ht="26.85" hidden="false" customHeight="false" outlineLevel="0" collapsed="false">
      <c r="A920" s="15" t="s">
        <v>850</v>
      </c>
      <c r="B920" s="15" t="s">
        <v>6097</v>
      </c>
      <c r="C920" s="14" t="s">
        <v>6605</v>
      </c>
      <c r="D920" s="14" t="s">
        <v>6606</v>
      </c>
      <c r="E920" s="16" t="s">
        <v>6607</v>
      </c>
      <c r="F920" s="16"/>
      <c r="G920" s="19" t="s">
        <v>41</v>
      </c>
      <c r="H920" s="18" t="n">
        <v>5</v>
      </c>
      <c r="I920" s="20" t="n">
        <v>87.98</v>
      </c>
      <c r="J920" s="20" t="n">
        <v>186.23</v>
      </c>
      <c r="K920" s="18" t="n">
        <v>5</v>
      </c>
      <c r="L920" s="18" t="n">
        <v>6</v>
      </c>
      <c r="M920" s="18" t="n">
        <v>95</v>
      </c>
      <c r="N920" s="18" t="n">
        <v>95</v>
      </c>
      <c r="O920" s="14" t="s">
        <v>6608</v>
      </c>
      <c r="P920" s="14" t="s">
        <v>118</v>
      </c>
      <c r="Q920" s="15" t="s">
        <v>1089</v>
      </c>
      <c r="R920" s="16" t="s">
        <v>6609</v>
      </c>
      <c r="S920" s="15" t="s">
        <v>6610</v>
      </c>
      <c r="T920" s="15" t="s">
        <v>6611</v>
      </c>
      <c r="U920" s="21" t="s">
        <v>72</v>
      </c>
    </row>
    <row r="921" customFormat="false" ht="15" hidden="false" customHeight="false" outlineLevel="0" collapsed="false">
      <c r="A921" s="15" t="s">
        <v>850</v>
      </c>
      <c r="B921" s="15" t="s">
        <v>6097</v>
      </c>
      <c r="C921" s="14" t="s">
        <v>6612</v>
      </c>
      <c r="D921" s="14" t="s">
        <v>6613</v>
      </c>
      <c r="E921" s="16" t="s">
        <v>6614</v>
      </c>
      <c r="F921" s="16"/>
      <c r="G921" s="25" t="s">
        <v>39</v>
      </c>
      <c r="H921" s="18" t="n">
        <v>8</v>
      </c>
      <c r="I921" s="20" t="n">
        <v>179.91</v>
      </c>
      <c r="J921" s="20" t="n">
        <v>412.18</v>
      </c>
      <c r="K921" s="18" t="n">
        <v>8</v>
      </c>
      <c r="L921" s="18" t="n">
        <v>8</v>
      </c>
      <c r="M921" s="18" t="n">
        <v>248</v>
      </c>
      <c r="N921" s="18" t="n">
        <v>248</v>
      </c>
      <c r="O921" s="14" t="s">
        <v>6615</v>
      </c>
      <c r="P921" s="14" t="s">
        <v>118</v>
      </c>
      <c r="Q921" s="15" t="s">
        <v>1089</v>
      </c>
      <c r="R921" s="16" t="s">
        <v>6616</v>
      </c>
      <c r="S921" s="15" t="s">
        <v>6241</v>
      </c>
      <c r="T921" s="15" t="s">
        <v>6617</v>
      </c>
      <c r="U921" s="21" t="s">
        <v>72</v>
      </c>
    </row>
    <row r="922" customFormat="false" ht="26.85" hidden="false" customHeight="false" outlineLevel="0" collapsed="false">
      <c r="A922" s="15" t="s">
        <v>850</v>
      </c>
      <c r="B922" s="15" t="s">
        <v>6097</v>
      </c>
      <c r="C922" s="14" t="s">
        <v>6618</v>
      </c>
      <c r="D922" s="14" t="s">
        <v>6619</v>
      </c>
      <c r="E922" s="16" t="s">
        <v>6620</v>
      </c>
      <c r="F922" s="16" t="s">
        <v>6621</v>
      </c>
      <c r="G922" s="23" t="s">
        <v>43</v>
      </c>
      <c r="H922" s="18" t="n">
        <v>4</v>
      </c>
      <c r="I922" s="20" t="n">
        <v>67.62</v>
      </c>
      <c r="J922" s="20" t="n">
        <v>160.35</v>
      </c>
      <c r="K922" s="18" t="n">
        <v>4</v>
      </c>
      <c r="L922" s="18" t="n">
        <v>8</v>
      </c>
      <c r="M922" s="18" t="n">
        <v>76</v>
      </c>
      <c r="N922" s="18" t="n">
        <v>76</v>
      </c>
      <c r="O922" s="14" t="s">
        <v>6622</v>
      </c>
      <c r="P922" s="14" t="s">
        <v>84</v>
      </c>
      <c r="Q922" s="15" t="s">
        <v>1089</v>
      </c>
      <c r="R922" s="16" t="s">
        <v>6204</v>
      </c>
      <c r="S922" s="15" t="s">
        <v>6623</v>
      </c>
      <c r="T922" s="15" t="s">
        <v>6623</v>
      </c>
      <c r="U922" s="21" t="s">
        <v>72</v>
      </c>
    </row>
    <row r="923" customFormat="false" ht="15" hidden="false" customHeight="false" outlineLevel="0" collapsed="false">
      <c r="A923" s="15" t="s">
        <v>850</v>
      </c>
      <c r="B923" s="15" t="s">
        <v>6097</v>
      </c>
      <c r="C923" s="14" t="s">
        <v>6624</v>
      </c>
      <c r="D923" s="14" t="s">
        <v>6625</v>
      </c>
      <c r="E923" s="16" t="s">
        <v>6626</v>
      </c>
      <c r="F923" s="16" t="s">
        <v>6627</v>
      </c>
      <c r="G923" s="23" t="s">
        <v>43</v>
      </c>
      <c r="H923" s="18" t="n">
        <v>1</v>
      </c>
      <c r="I923" s="20" t="n">
        <v>30.56</v>
      </c>
      <c r="J923" s="20" t="n">
        <v>82.08</v>
      </c>
      <c r="K923" s="18" t="n">
        <v>5</v>
      </c>
      <c r="L923" s="18" t="n">
        <v>1</v>
      </c>
      <c r="M923" s="18" t="n">
        <v>150</v>
      </c>
      <c r="N923" s="18" t="n">
        <v>150</v>
      </c>
      <c r="O923" s="14" t="s">
        <v>1126</v>
      </c>
      <c r="P923" s="14" t="s">
        <v>84</v>
      </c>
      <c r="Q923" s="15" t="s">
        <v>1089</v>
      </c>
      <c r="R923" s="16" t="s">
        <v>6628</v>
      </c>
      <c r="S923" s="15" t="s">
        <v>6629</v>
      </c>
      <c r="T923" s="15" t="s">
        <v>6629</v>
      </c>
      <c r="U923" s="21" t="s">
        <v>72</v>
      </c>
    </row>
    <row r="924" customFormat="false" ht="26.85" hidden="false" customHeight="false" outlineLevel="0" collapsed="false">
      <c r="A924" s="15" t="s">
        <v>850</v>
      </c>
      <c r="B924" s="15" t="s">
        <v>6097</v>
      </c>
      <c r="C924" s="14" t="s">
        <v>6630</v>
      </c>
      <c r="D924" s="14" t="s">
        <v>6631</v>
      </c>
      <c r="E924" s="16" t="s">
        <v>6306</v>
      </c>
      <c r="F924" s="16" t="s">
        <v>6307</v>
      </c>
      <c r="G924" s="23" t="s">
        <v>43</v>
      </c>
      <c r="H924" s="18" t="n">
        <v>2</v>
      </c>
      <c r="I924" s="20" t="n">
        <v>43</v>
      </c>
      <c r="J924" s="20" t="n">
        <v>91.89</v>
      </c>
      <c r="K924" s="18" t="n">
        <v>4</v>
      </c>
      <c r="L924" s="18" t="n">
        <v>3</v>
      </c>
      <c r="M924" s="18" t="n">
        <v>72</v>
      </c>
      <c r="N924" s="18" t="n">
        <v>72</v>
      </c>
      <c r="O924" s="14" t="s">
        <v>4546</v>
      </c>
      <c r="P924" s="14" t="s">
        <v>84</v>
      </c>
      <c r="Q924" s="15" t="s">
        <v>1089</v>
      </c>
      <c r="R924" s="16" t="s">
        <v>6632</v>
      </c>
      <c r="S924" s="15" t="s">
        <v>6309</v>
      </c>
      <c r="T924" s="15" t="s">
        <v>6633</v>
      </c>
      <c r="U924" s="21" t="s">
        <v>72</v>
      </c>
    </row>
    <row r="925" customFormat="false" ht="15" hidden="false" customHeight="false" outlineLevel="0" collapsed="false">
      <c r="A925" s="15" t="s">
        <v>850</v>
      </c>
      <c r="B925" s="15" t="s">
        <v>6097</v>
      </c>
      <c r="C925" s="14" t="s">
        <v>6634</v>
      </c>
      <c r="D925" s="14" t="s">
        <v>6635</v>
      </c>
      <c r="E925" s="16" t="s">
        <v>6636</v>
      </c>
      <c r="F925" s="16" t="s">
        <v>6637</v>
      </c>
      <c r="G925" s="23" t="s">
        <v>43</v>
      </c>
      <c r="H925" s="18" t="n">
        <v>3</v>
      </c>
      <c r="I925" s="20" t="n">
        <v>44.3</v>
      </c>
      <c r="J925" s="20" t="n">
        <v>74.67</v>
      </c>
      <c r="K925" s="18" t="n">
        <v>3</v>
      </c>
      <c r="L925" s="18" t="n">
        <v>1</v>
      </c>
      <c r="M925" s="18" t="n">
        <v>36</v>
      </c>
      <c r="N925" s="18" t="n">
        <v>36</v>
      </c>
      <c r="O925" s="14" t="s">
        <v>1097</v>
      </c>
      <c r="P925" s="14" t="s">
        <v>84</v>
      </c>
      <c r="Q925" s="15" t="s">
        <v>1089</v>
      </c>
      <c r="R925" s="16" t="s">
        <v>6638</v>
      </c>
      <c r="S925" s="15" t="s">
        <v>6639</v>
      </c>
      <c r="T925" s="15" t="s">
        <v>6639</v>
      </c>
      <c r="U925" s="21" t="s">
        <v>72</v>
      </c>
    </row>
    <row r="926" customFormat="false" ht="15" hidden="false" customHeight="false" outlineLevel="0" collapsed="false">
      <c r="A926" s="15" t="s">
        <v>850</v>
      </c>
      <c r="B926" s="15" t="s">
        <v>6097</v>
      </c>
      <c r="C926" s="14" t="s">
        <v>6640</v>
      </c>
      <c r="D926" s="14" t="s">
        <v>6641</v>
      </c>
      <c r="E926" s="16" t="s">
        <v>6642</v>
      </c>
      <c r="F926" s="16" t="s">
        <v>6643</v>
      </c>
      <c r="G926" s="23" t="s">
        <v>43</v>
      </c>
      <c r="H926" s="18" t="n">
        <v>2</v>
      </c>
      <c r="I926" s="20" t="n">
        <v>32.69</v>
      </c>
      <c r="J926" s="20" t="n">
        <v>66.79</v>
      </c>
      <c r="K926" s="18" t="n">
        <v>2</v>
      </c>
      <c r="L926" s="18" t="n">
        <v>1</v>
      </c>
      <c r="M926" s="18" t="n">
        <v>30</v>
      </c>
      <c r="N926" s="18" t="n">
        <v>30</v>
      </c>
      <c r="O926" s="14" t="s">
        <v>4983</v>
      </c>
      <c r="P926" s="14" t="s">
        <v>84</v>
      </c>
      <c r="Q926" s="15" t="s">
        <v>1089</v>
      </c>
      <c r="R926" s="16" t="s">
        <v>6644</v>
      </c>
      <c r="S926" s="15" t="s">
        <v>6645</v>
      </c>
      <c r="T926" s="15" t="s">
        <v>6646</v>
      </c>
      <c r="U926" s="21" t="s">
        <v>72</v>
      </c>
    </row>
    <row r="927" customFormat="false" ht="15" hidden="false" customHeight="false" outlineLevel="0" collapsed="false">
      <c r="A927" s="15" t="s">
        <v>850</v>
      </c>
      <c r="B927" s="15" t="s">
        <v>6097</v>
      </c>
      <c r="C927" s="14" t="s">
        <v>6647</v>
      </c>
      <c r="D927" s="14" t="s">
        <v>6648</v>
      </c>
      <c r="E927" s="16" t="s">
        <v>6649</v>
      </c>
      <c r="F927" s="16" t="s">
        <v>6650</v>
      </c>
      <c r="G927" s="23" t="s">
        <v>43</v>
      </c>
      <c r="H927" s="18" t="n">
        <v>4</v>
      </c>
      <c r="I927" s="20" t="n">
        <v>70.73</v>
      </c>
      <c r="J927" s="20" t="n">
        <v>113.09</v>
      </c>
      <c r="K927" s="18" t="n">
        <v>5</v>
      </c>
      <c r="L927" s="18" t="n">
        <v>3</v>
      </c>
      <c r="M927" s="18" t="n">
        <v>86</v>
      </c>
      <c r="N927" s="18" t="n">
        <v>16</v>
      </c>
      <c r="O927" s="14" t="s">
        <v>4223</v>
      </c>
      <c r="P927" s="14" t="s">
        <v>118</v>
      </c>
      <c r="Q927" s="15" t="s">
        <v>1089</v>
      </c>
      <c r="R927" s="16" t="s">
        <v>6651</v>
      </c>
      <c r="S927" s="15" t="s">
        <v>6652</v>
      </c>
      <c r="T927" s="15" t="s">
        <v>6653</v>
      </c>
      <c r="U927" s="21" t="s">
        <v>72</v>
      </c>
    </row>
    <row r="928" customFormat="false" ht="15" hidden="false" customHeight="false" outlineLevel="0" collapsed="false">
      <c r="A928" s="15" t="s">
        <v>850</v>
      </c>
      <c r="B928" s="15" t="s">
        <v>6097</v>
      </c>
      <c r="C928" s="14" t="s">
        <v>6654</v>
      </c>
      <c r="D928" s="14" t="s">
        <v>6655</v>
      </c>
      <c r="E928" s="16" t="s">
        <v>6656</v>
      </c>
      <c r="F928" s="16" t="s">
        <v>6657</v>
      </c>
      <c r="G928" s="23" t="s">
        <v>43</v>
      </c>
      <c r="H928" s="18" t="n">
        <v>2</v>
      </c>
      <c r="I928" s="20" t="n">
        <v>57.93</v>
      </c>
      <c r="J928" s="20" t="n">
        <v>91.5</v>
      </c>
      <c r="K928" s="18" t="n">
        <v>16</v>
      </c>
      <c r="L928" s="18" t="n">
        <v>7</v>
      </c>
      <c r="M928" s="18" t="n">
        <v>752</v>
      </c>
      <c r="N928" s="18" t="n">
        <v>376</v>
      </c>
      <c r="O928" s="14" t="s">
        <v>1126</v>
      </c>
      <c r="P928" s="14" t="s">
        <v>84</v>
      </c>
      <c r="Q928" s="15" t="s">
        <v>1089</v>
      </c>
      <c r="R928" s="16" t="s">
        <v>6561</v>
      </c>
      <c r="S928" s="15" t="s">
        <v>6658</v>
      </c>
      <c r="T928" s="15" t="s">
        <v>6659</v>
      </c>
      <c r="U928" s="21" t="s">
        <v>72</v>
      </c>
    </row>
    <row r="929" customFormat="false" ht="15" hidden="false" customHeight="false" outlineLevel="0" collapsed="false">
      <c r="A929" s="15" t="s">
        <v>850</v>
      </c>
      <c r="B929" s="15" t="s">
        <v>6097</v>
      </c>
      <c r="C929" s="14" t="s">
        <v>6660</v>
      </c>
      <c r="D929" s="14" t="s">
        <v>6661</v>
      </c>
      <c r="E929" s="16" t="s">
        <v>6662</v>
      </c>
      <c r="F929" s="16"/>
      <c r="G929" s="23" t="s">
        <v>43</v>
      </c>
      <c r="H929" s="18" t="n">
        <v>2</v>
      </c>
      <c r="I929" s="20" t="n">
        <v>50.12</v>
      </c>
      <c r="J929" s="20" t="n">
        <v>165.24</v>
      </c>
      <c r="K929" s="18" t="n">
        <v>4</v>
      </c>
      <c r="L929" s="18" t="n">
        <v>1</v>
      </c>
      <c r="M929" s="18" t="n">
        <v>123</v>
      </c>
      <c r="N929" s="18" t="n">
        <v>41</v>
      </c>
      <c r="O929" s="14" t="s">
        <v>4223</v>
      </c>
      <c r="P929" s="14" t="s">
        <v>84</v>
      </c>
      <c r="Q929" s="15" t="s">
        <v>1089</v>
      </c>
      <c r="R929" s="16" t="s">
        <v>6204</v>
      </c>
      <c r="S929" s="15" t="s">
        <v>6663</v>
      </c>
      <c r="T929" s="15" t="s">
        <v>6664</v>
      </c>
      <c r="U929" s="21" t="s">
        <v>72</v>
      </c>
    </row>
    <row r="930" customFormat="false" ht="26.85" hidden="false" customHeight="false" outlineLevel="0" collapsed="false">
      <c r="A930" s="15" t="s">
        <v>850</v>
      </c>
      <c r="B930" s="15" t="s">
        <v>6097</v>
      </c>
      <c r="C930" s="14" t="s">
        <v>6665</v>
      </c>
      <c r="D930" s="14" t="s">
        <v>6666</v>
      </c>
      <c r="E930" s="16" t="s">
        <v>6667</v>
      </c>
      <c r="F930" s="16"/>
      <c r="G930" s="19" t="s">
        <v>41</v>
      </c>
      <c r="H930" s="18" t="n">
        <v>6</v>
      </c>
      <c r="I930" s="20" t="n">
        <v>112.93</v>
      </c>
      <c r="J930" s="20" t="n">
        <v>200.35</v>
      </c>
      <c r="K930" s="18" t="n">
        <v>6</v>
      </c>
      <c r="L930" s="18" t="n">
        <v>3</v>
      </c>
      <c r="M930" s="18" t="n">
        <v>126</v>
      </c>
      <c r="N930" s="18" t="n">
        <v>84</v>
      </c>
      <c r="O930" s="14" t="s">
        <v>4751</v>
      </c>
      <c r="P930" s="14" t="s">
        <v>118</v>
      </c>
      <c r="Q930" s="15" t="s">
        <v>1089</v>
      </c>
      <c r="R930" s="16" t="s">
        <v>6668</v>
      </c>
      <c r="S930" s="15" t="s">
        <v>6669</v>
      </c>
      <c r="T930" s="15" t="s">
        <v>6669</v>
      </c>
      <c r="U930" s="21" t="s">
        <v>72</v>
      </c>
    </row>
    <row r="931" customFormat="false" ht="26.85" hidden="false" customHeight="false" outlineLevel="0" collapsed="false">
      <c r="A931" s="15" t="s">
        <v>850</v>
      </c>
      <c r="B931" s="15" t="s">
        <v>6097</v>
      </c>
      <c r="C931" s="14" t="s">
        <v>6670</v>
      </c>
      <c r="D931" s="14" t="s">
        <v>6671</v>
      </c>
      <c r="E931" s="16" t="s">
        <v>6672</v>
      </c>
      <c r="F931" s="16" t="s">
        <v>6673</v>
      </c>
      <c r="G931" s="23" t="s">
        <v>43</v>
      </c>
      <c r="H931" s="18" t="n">
        <v>4</v>
      </c>
      <c r="I931" s="20" t="n">
        <v>72.84</v>
      </c>
      <c r="J931" s="20" t="n">
        <v>154.17</v>
      </c>
      <c r="K931" s="18" t="n">
        <v>8</v>
      </c>
      <c r="L931" s="18" t="n">
        <v>4</v>
      </c>
      <c r="M931" s="18" t="n">
        <v>89</v>
      </c>
      <c r="N931" s="18" t="n">
        <v>23</v>
      </c>
      <c r="O931" s="14" t="s">
        <v>4951</v>
      </c>
      <c r="P931" s="14" t="s">
        <v>3143</v>
      </c>
      <c r="Q931" s="15" t="s">
        <v>1089</v>
      </c>
      <c r="R931" s="16" t="s">
        <v>6674</v>
      </c>
      <c r="S931" s="15" t="s">
        <v>6675</v>
      </c>
      <c r="T931" s="15" t="s">
        <v>6676</v>
      </c>
      <c r="U931" s="21" t="s">
        <v>72</v>
      </c>
    </row>
    <row r="932" customFormat="false" ht="15" hidden="false" customHeight="false" outlineLevel="0" collapsed="false">
      <c r="A932" s="15" t="s">
        <v>850</v>
      </c>
      <c r="B932" s="15" t="s">
        <v>6097</v>
      </c>
      <c r="C932" s="14" t="s">
        <v>6677</v>
      </c>
      <c r="D932" s="14" t="s">
        <v>6678</v>
      </c>
      <c r="E932" s="16" t="s">
        <v>6679</v>
      </c>
      <c r="F932" s="16" t="s">
        <v>6680</v>
      </c>
      <c r="G932" s="23" t="s">
        <v>43</v>
      </c>
      <c r="H932" s="18" t="n">
        <v>3</v>
      </c>
      <c r="I932" s="20" t="n">
        <v>36.82</v>
      </c>
      <c r="J932" s="20" t="n">
        <v>74.86</v>
      </c>
      <c r="K932" s="18" t="n">
        <v>6</v>
      </c>
      <c r="L932" s="18" t="n">
        <v>3</v>
      </c>
      <c r="M932" s="18" t="n">
        <v>84</v>
      </c>
      <c r="N932" s="18" t="n">
        <v>84</v>
      </c>
      <c r="O932" s="14" t="s">
        <v>6681</v>
      </c>
      <c r="P932" s="14" t="s">
        <v>118</v>
      </c>
      <c r="Q932" s="15" t="s">
        <v>1089</v>
      </c>
      <c r="R932" s="16" t="s">
        <v>6682</v>
      </c>
      <c r="S932" s="15" t="s">
        <v>6683</v>
      </c>
      <c r="T932" s="15" t="s">
        <v>6683</v>
      </c>
      <c r="U932" s="21" t="s">
        <v>72</v>
      </c>
    </row>
    <row r="933" customFormat="false" ht="15" hidden="false" customHeight="false" outlineLevel="0" collapsed="false">
      <c r="A933" s="15" t="s">
        <v>850</v>
      </c>
      <c r="B933" s="15" t="s">
        <v>6097</v>
      </c>
      <c r="C933" s="14" t="s">
        <v>6684</v>
      </c>
      <c r="D933" s="14" t="s">
        <v>6685</v>
      </c>
      <c r="E933" s="16" t="s">
        <v>6686</v>
      </c>
      <c r="F933" s="16"/>
      <c r="G933" s="23" t="s">
        <v>43</v>
      </c>
      <c r="H933" s="18" t="n">
        <v>3</v>
      </c>
      <c r="I933" s="20" t="n">
        <v>44.66</v>
      </c>
      <c r="J933" s="20" t="n">
        <v>93.04</v>
      </c>
      <c r="K933" s="18" t="n">
        <v>4</v>
      </c>
      <c r="L933" s="18" t="n">
        <v>1</v>
      </c>
      <c r="M933" s="18" t="n">
        <v>50</v>
      </c>
      <c r="N933" s="18" t="n">
        <v>28</v>
      </c>
      <c r="O933" s="14" t="s">
        <v>1088</v>
      </c>
      <c r="P933" s="14" t="s">
        <v>118</v>
      </c>
      <c r="Q933" s="15" t="s">
        <v>1089</v>
      </c>
      <c r="R933" s="16" t="s">
        <v>6687</v>
      </c>
      <c r="S933" s="15" t="s">
        <v>6688</v>
      </c>
      <c r="T933" s="15" t="s">
        <v>6688</v>
      </c>
      <c r="U933" s="21" t="s">
        <v>72</v>
      </c>
    </row>
    <row r="934" customFormat="false" ht="26.85" hidden="false" customHeight="false" outlineLevel="0" collapsed="false">
      <c r="A934" s="15" t="s">
        <v>850</v>
      </c>
      <c r="B934" s="15" t="s">
        <v>6097</v>
      </c>
      <c r="C934" s="14" t="s">
        <v>6689</v>
      </c>
      <c r="D934" s="14" t="s">
        <v>6690</v>
      </c>
      <c r="E934" s="16" t="s">
        <v>6691</v>
      </c>
      <c r="F934" s="16"/>
      <c r="G934" s="19" t="s">
        <v>41</v>
      </c>
      <c r="H934" s="18" t="n">
        <v>4</v>
      </c>
      <c r="I934" s="20" t="n">
        <v>123.84</v>
      </c>
      <c r="J934" s="20" t="n">
        <v>330.08</v>
      </c>
      <c r="K934" s="18" t="n">
        <v>4</v>
      </c>
      <c r="L934" s="18" t="n">
        <v>9</v>
      </c>
      <c r="M934" s="18" t="n">
        <v>114</v>
      </c>
      <c r="N934" s="18" t="n">
        <v>114</v>
      </c>
      <c r="O934" s="14" t="s">
        <v>5383</v>
      </c>
      <c r="P934" s="14" t="s">
        <v>118</v>
      </c>
      <c r="Q934" s="15" t="s">
        <v>1089</v>
      </c>
      <c r="R934" s="16" t="s">
        <v>6692</v>
      </c>
      <c r="S934" s="15" t="s">
        <v>6693</v>
      </c>
      <c r="T934" s="15" t="s">
        <v>6693</v>
      </c>
      <c r="U934" s="21" t="s">
        <v>72</v>
      </c>
    </row>
    <row r="935" customFormat="false" ht="15" hidden="false" customHeight="false" outlineLevel="0" collapsed="false">
      <c r="A935" s="15" t="s">
        <v>850</v>
      </c>
      <c r="B935" s="15" t="s">
        <v>6097</v>
      </c>
      <c r="C935" s="14" t="s">
        <v>6694</v>
      </c>
      <c r="D935" s="14" t="s">
        <v>6695</v>
      </c>
      <c r="E935" s="16" t="s">
        <v>6696</v>
      </c>
      <c r="F935" s="16" t="s">
        <v>6697</v>
      </c>
      <c r="G935" s="19" t="s">
        <v>41</v>
      </c>
      <c r="H935" s="18" t="n">
        <v>6</v>
      </c>
      <c r="I935" s="20" t="n">
        <v>72.08</v>
      </c>
      <c r="J935" s="20" t="n">
        <v>173.4</v>
      </c>
      <c r="K935" s="18" t="n">
        <v>6</v>
      </c>
      <c r="L935" s="18" t="n">
        <v>13</v>
      </c>
      <c r="M935" s="18" t="n">
        <v>57</v>
      </c>
      <c r="N935" s="18" t="n">
        <v>57</v>
      </c>
      <c r="O935" s="14" t="s">
        <v>1088</v>
      </c>
      <c r="P935" s="14" t="s">
        <v>84</v>
      </c>
      <c r="Q935" s="15" t="s">
        <v>1089</v>
      </c>
      <c r="R935" s="16" t="s">
        <v>6698</v>
      </c>
      <c r="S935" s="15" t="s">
        <v>6699</v>
      </c>
      <c r="T935" s="15" t="s">
        <v>6699</v>
      </c>
      <c r="U935" s="21" t="s">
        <v>72</v>
      </c>
    </row>
    <row r="936" customFormat="false" ht="26.85" hidden="false" customHeight="false" outlineLevel="0" collapsed="false">
      <c r="A936" s="15" t="s">
        <v>850</v>
      </c>
      <c r="B936" s="15" t="s">
        <v>6097</v>
      </c>
      <c r="C936" s="14" t="s">
        <v>6700</v>
      </c>
      <c r="D936" s="14" t="s">
        <v>6701</v>
      </c>
      <c r="E936" s="16" t="s">
        <v>6702</v>
      </c>
      <c r="F936" s="16" t="s">
        <v>6703</v>
      </c>
      <c r="G936" s="25" t="s">
        <v>39</v>
      </c>
      <c r="H936" s="18" t="n">
        <v>14</v>
      </c>
      <c r="I936" s="20" t="n">
        <v>180.89</v>
      </c>
      <c r="J936" s="20" t="n">
        <v>410.01</v>
      </c>
      <c r="K936" s="18" t="n">
        <v>12</v>
      </c>
      <c r="L936" s="18" t="n">
        <v>19</v>
      </c>
      <c r="M936" s="18" t="n">
        <v>338</v>
      </c>
      <c r="N936" s="18" t="n">
        <v>130</v>
      </c>
      <c r="O936" s="14" t="s">
        <v>4385</v>
      </c>
      <c r="P936" s="14" t="s">
        <v>352</v>
      </c>
      <c r="Q936" s="15" t="s">
        <v>1089</v>
      </c>
      <c r="R936" s="16" t="s">
        <v>6704</v>
      </c>
      <c r="S936" s="15" t="s">
        <v>2544</v>
      </c>
      <c r="T936" s="15" t="s">
        <v>6705</v>
      </c>
      <c r="U936" s="21" t="s">
        <v>72</v>
      </c>
    </row>
    <row r="937" customFormat="false" ht="15" hidden="false" customHeight="false" outlineLevel="0" collapsed="false">
      <c r="A937" s="15" t="s">
        <v>850</v>
      </c>
      <c r="B937" s="15" t="s">
        <v>6097</v>
      </c>
      <c r="C937" s="14" t="s">
        <v>6706</v>
      </c>
      <c r="D937" s="14" t="s">
        <v>6707</v>
      </c>
      <c r="E937" s="16" t="s">
        <v>6708</v>
      </c>
      <c r="F937" s="16" t="s">
        <v>6709</v>
      </c>
      <c r="G937" s="19" t="s">
        <v>41</v>
      </c>
      <c r="H937" s="18" t="n">
        <v>3</v>
      </c>
      <c r="I937" s="20" t="n">
        <v>50</v>
      </c>
      <c r="J937" s="20" t="n">
        <v>204.7</v>
      </c>
      <c r="K937" s="18" t="n">
        <v>3</v>
      </c>
      <c r="L937" s="18" t="n">
        <v>2</v>
      </c>
      <c r="M937" s="18" t="n">
        <v>144</v>
      </c>
      <c r="N937" s="18" t="n">
        <v>144</v>
      </c>
      <c r="O937" s="14" t="s">
        <v>4343</v>
      </c>
      <c r="P937" s="14" t="s">
        <v>84</v>
      </c>
      <c r="Q937" s="15" t="s">
        <v>1089</v>
      </c>
      <c r="R937" s="16" t="s">
        <v>6710</v>
      </c>
      <c r="S937" s="15" t="s">
        <v>6711</v>
      </c>
      <c r="T937" s="15" t="s">
        <v>6712</v>
      </c>
      <c r="U937" s="21" t="s">
        <v>72</v>
      </c>
    </row>
    <row r="938" customFormat="false" ht="52.2" hidden="false" customHeight="false" outlineLevel="0" collapsed="false">
      <c r="A938" s="15" t="s">
        <v>850</v>
      </c>
      <c r="B938" s="15" t="s">
        <v>6097</v>
      </c>
      <c r="C938" s="14" t="s">
        <v>6713</v>
      </c>
      <c r="D938" s="14" t="s">
        <v>6714</v>
      </c>
      <c r="E938" s="16" t="s">
        <v>6715</v>
      </c>
      <c r="F938" s="16"/>
      <c r="G938" s="25" t="s">
        <v>39</v>
      </c>
      <c r="H938" s="18" t="n">
        <v>5</v>
      </c>
      <c r="I938" s="20" t="n">
        <v>180.02</v>
      </c>
      <c r="J938" s="20" t="n">
        <v>559.26</v>
      </c>
      <c r="K938" s="18" t="n">
        <v>20</v>
      </c>
      <c r="L938" s="18" t="n">
        <v>17</v>
      </c>
      <c r="M938" s="18" t="n">
        <v>460</v>
      </c>
      <c r="N938" s="18" t="n">
        <v>138</v>
      </c>
      <c r="O938" s="14" t="s">
        <v>1097</v>
      </c>
      <c r="P938" s="14" t="s">
        <v>4912</v>
      </c>
      <c r="Q938" s="15" t="s">
        <v>1089</v>
      </c>
      <c r="R938" s="16" t="s">
        <v>6716</v>
      </c>
      <c r="S938" s="15" t="s">
        <v>6717</v>
      </c>
      <c r="T938" s="15" t="s">
        <v>6718</v>
      </c>
      <c r="U938" s="21" t="s">
        <v>72</v>
      </c>
    </row>
    <row r="939" customFormat="false" ht="26.85" hidden="false" customHeight="false" outlineLevel="0" collapsed="false">
      <c r="A939" s="15" t="s">
        <v>850</v>
      </c>
      <c r="B939" s="15" t="s">
        <v>6097</v>
      </c>
      <c r="C939" s="14" t="s">
        <v>6719</v>
      </c>
      <c r="D939" s="14" t="s">
        <v>6720</v>
      </c>
      <c r="E939" s="16" t="s">
        <v>6721</v>
      </c>
      <c r="F939" s="16" t="s">
        <v>6722</v>
      </c>
      <c r="G939" s="19" t="s">
        <v>41</v>
      </c>
      <c r="H939" s="18" t="n">
        <v>6</v>
      </c>
      <c r="I939" s="20" t="n">
        <v>148.3</v>
      </c>
      <c r="J939" s="20" t="n">
        <v>217.82</v>
      </c>
      <c r="K939" s="18" t="n">
        <v>8</v>
      </c>
      <c r="L939" s="18" t="n">
        <v>6</v>
      </c>
      <c r="M939" s="18" t="n">
        <v>160</v>
      </c>
      <c r="N939" s="18" t="n">
        <v>76</v>
      </c>
      <c r="O939" s="14" t="s">
        <v>4215</v>
      </c>
      <c r="P939" s="14" t="s">
        <v>118</v>
      </c>
      <c r="Q939" s="15" t="s">
        <v>1089</v>
      </c>
      <c r="R939" s="16" t="s">
        <v>6723</v>
      </c>
      <c r="S939" s="15" t="s">
        <v>6724</v>
      </c>
      <c r="T939" s="15" t="s">
        <v>6725</v>
      </c>
      <c r="U939" s="21" t="s">
        <v>72</v>
      </c>
    </row>
    <row r="940" customFormat="false" ht="15" hidden="false" customHeight="false" outlineLevel="0" collapsed="false">
      <c r="A940" s="15" t="s">
        <v>850</v>
      </c>
      <c r="B940" s="15" t="s">
        <v>6097</v>
      </c>
      <c r="C940" s="14" t="s">
        <v>6726</v>
      </c>
      <c r="D940" s="14" t="s">
        <v>6727</v>
      </c>
      <c r="E940" s="16" t="s">
        <v>6728</v>
      </c>
      <c r="F940" s="16" t="s">
        <v>6729</v>
      </c>
      <c r="G940" s="23" t="s">
        <v>43</v>
      </c>
      <c r="H940" s="18" t="n">
        <v>2</v>
      </c>
      <c r="I940" s="20" t="n">
        <v>30</v>
      </c>
      <c r="J940" s="20" t="n">
        <v>70</v>
      </c>
      <c r="K940" s="18" t="n">
        <v>2</v>
      </c>
      <c r="L940" s="18" t="n">
        <v>3</v>
      </c>
      <c r="M940" s="18" t="n">
        <v>20</v>
      </c>
      <c r="N940" s="18" t="n">
        <v>20</v>
      </c>
      <c r="O940" s="14" t="s">
        <v>6730</v>
      </c>
      <c r="P940" s="14" t="s">
        <v>84</v>
      </c>
      <c r="Q940" s="15" t="s">
        <v>1089</v>
      </c>
      <c r="R940" s="16" t="s">
        <v>6731</v>
      </c>
      <c r="S940" s="15" t="s">
        <v>6732</v>
      </c>
      <c r="T940" s="15" t="s">
        <v>6732</v>
      </c>
      <c r="U940" s="21" t="s">
        <v>72</v>
      </c>
    </row>
    <row r="941" customFormat="false" ht="15" hidden="false" customHeight="false" outlineLevel="0" collapsed="false">
      <c r="A941" s="15" t="s">
        <v>850</v>
      </c>
      <c r="B941" s="15" t="s">
        <v>6097</v>
      </c>
      <c r="C941" s="14" t="s">
        <v>6733</v>
      </c>
      <c r="D941" s="14" t="s">
        <v>6734</v>
      </c>
      <c r="E941" s="16" t="s">
        <v>6735</v>
      </c>
      <c r="F941" s="16" t="s">
        <v>6736</v>
      </c>
      <c r="G941" s="23" t="s">
        <v>43</v>
      </c>
      <c r="H941" s="18" t="n">
        <v>2</v>
      </c>
      <c r="I941" s="20" t="n">
        <v>61.6</v>
      </c>
      <c r="J941" s="20" t="n">
        <v>96.38</v>
      </c>
      <c r="K941" s="18" t="n">
        <v>2</v>
      </c>
      <c r="L941" s="18" t="n">
        <v>3</v>
      </c>
      <c r="M941" s="18" t="n">
        <v>52</v>
      </c>
      <c r="N941" s="18" t="n">
        <v>52</v>
      </c>
      <c r="O941" s="14" t="s">
        <v>1126</v>
      </c>
      <c r="P941" s="14" t="s">
        <v>84</v>
      </c>
      <c r="Q941" s="15" t="s">
        <v>1089</v>
      </c>
      <c r="R941" s="16" t="s">
        <v>1199</v>
      </c>
      <c r="S941" s="15" t="s">
        <v>6737</v>
      </c>
      <c r="T941" s="15" t="s">
        <v>6737</v>
      </c>
      <c r="U941" s="21" t="s">
        <v>72</v>
      </c>
    </row>
    <row r="942" customFormat="false" ht="15" hidden="false" customHeight="false" outlineLevel="0" collapsed="false">
      <c r="A942" s="15" t="s">
        <v>850</v>
      </c>
      <c r="B942" s="15" t="s">
        <v>6097</v>
      </c>
      <c r="C942" s="14" t="s">
        <v>6738</v>
      </c>
      <c r="D942" s="14" t="s">
        <v>6739</v>
      </c>
      <c r="E942" s="16" t="s">
        <v>6740</v>
      </c>
      <c r="F942" s="16"/>
      <c r="G942" s="19" t="s">
        <v>41</v>
      </c>
      <c r="H942" s="18" t="n">
        <v>5</v>
      </c>
      <c r="I942" s="20" t="n">
        <v>124.18</v>
      </c>
      <c r="J942" s="20" t="n">
        <v>229.82</v>
      </c>
      <c r="K942" s="18" t="n">
        <v>9</v>
      </c>
      <c r="L942" s="18" t="n">
        <v>12</v>
      </c>
      <c r="M942" s="18" t="n">
        <v>211</v>
      </c>
      <c r="N942" s="18" t="n">
        <v>48</v>
      </c>
      <c r="O942" s="14" t="s">
        <v>4385</v>
      </c>
      <c r="P942" s="14" t="s">
        <v>118</v>
      </c>
      <c r="Q942" s="15" t="s">
        <v>1089</v>
      </c>
      <c r="R942" s="16" t="s">
        <v>1347</v>
      </c>
      <c r="S942" s="15" t="s">
        <v>6741</v>
      </c>
      <c r="T942" s="15" t="s">
        <v>6741</v>
      </c>
      <c r="U942" s="21" t="s">
        <v>72</v>
      </c>
    </row>
    <row r="943" customFormat="false" ht="15" hidden="false" customHeight="false" outlineLevel="0" collapsed="false">
      <c r="A943" s="15" t="s">
        <v>850</v>
      </c>
      <c r="B943" s="15" t="s">
        <v>6097</v>
      </c>
      <c r="C943" s="14" t="s">
        <v>6742</v>
      </c>
      <c r="D943" s="14" t="s">
        <v>6743</v>
      </c>
      <c r="E943" s="16" t="s">
        <v>6744</v>
      </c>
      <c r="F943" s="16" t="s">
        <v>6745</v>
      </c>
      <c r="G943" s="23" t="s">
        <v>43</v>
      </c>
      <c r="H943" s="18" t="n">
        <v>2</v>
      </c>
      <c r="I943" s="20" t="n">
        <v>34.98</v>
      </c>
      <c r="J943" s="20" t="n">
        <v>93.29</v>
      </c>
      <c r="K943" s="18" t="n">
        <v>6</v>
      </c>
      <c r="L943" s="18" t="n">
        <v>4</v>
      </c>
      <c r="M943" s="18" t="n">
        <v>84</v>
      </c>
      <c r="N943" s="18" t="n">
        <v>28</v>
      </c>
      <c r="O943" s="14" t="s">
        <v>4385</v>
      </c>
      <c r="P943" s="14" t="s">
        <v>118</v>
      </c>
      <c r="Q943" s="15" t="s">
        <v>1089</v>
      </c>
      <c r="R943" s="16" t="s">
        <v>6746</v>
      </c>
      <c r="S943" s="15" t="s">
        <v>6747</v>
      </c>
      <c r="T943" s="15" t="s">
        <v>6427</v>
      </c>
      <c r="U943" s="21" t="s">
        <v>72</v>
      </c>
    </row>
    <row r="944" customFormat="false" ht="15" hidden="false" customHeight="false" outlineLevel="0" collapsed="false">
      <c r="A944" s="15" t="s">
        <v>850</v>
      </c>
      <c r="B944" s="15" t="s">
        <v>6097</v>
      </c>
      <c r="C944" s="14" t="s">
        <v>6748</v>
      </c>
      <c r="D944" s="14" t="s">
        <v>6749</v>
      </c>
      <c r="E944" s="16" t="s">
        <v>6750</v>
      </c>
      <c r="F944" s="16" t="s">
        <v>6751</v>
      </c>
      <c r="G944" s="23" t="s">
        <v>43</v>
      </c>
      <c r="H944" s="18" t="n">
        <v>3</v>
      </c>
      <c r="I944" s="20" t="n">
        <v>122.14</v>
      </c>
      <c r="J944" s="20" t="n">
        <v>153.13</v>
      </c>
      <c r="K944" s="18" t="n">
        <v>3</v>
      </c>
      <c r="L944" s="18" t="n">
        <v>4</v>
      </c>
      <c r="M944" s="18" t="n">
        <v>101</v>
      </c>
      <c r="N944" s="18" t="n">
        <v>31</v>
      </c>
      <c r="O944" s="14" t="s">
        <v>1097</v>
      </c>
      <c r="P944" s="14" t="s">
        <v>515</v>
      </c>
      <c r="Q944" s="15" t="s">
        <v>1089</v>
      </c>
      <c r="R944" s="16" t="s">
        <v>6752</v>
      </c>
      <c r="S944" s="15" t="s">
        <v>6753</v>
      </c>
      <c r="T944" s="15" t="s">
        <v>6753</v>
      </c>
      <c r="U944" s="21" t="s">
        <v>72</v>
      </c>
    </row>
    <row r="945" customFormat="false" ht="64.9" hidden="false" customHeight="false" outlineLevel="0" collapsed="false">
      <c r="A945" s="15" t="s">
        <v>850</v>
      </c>
      <c r="B945" s="15" t="s">
        <v>6754</v>
      </c>
      <c r="C945" s="14" t="s">
        <v>6755</v>
      </c>
      <c r="D945" s="14" t="s">
        <v>6756</v>
      </c>
      <c r="E945" s="16" t="s">
        <v>6757</v>
      </c>
      <c r="F945" s="16"/>
      <c r="G945" s="25" t="s">
        <v>39</v>
      </c>
      <c r="H945" s="18" t="n">
        <v>7</v>
      </c>
      <c r="I945" s="20" t="n">
        <v>391.16</v>
      </c>
      <c r="J945" s="20" t="n">
        <v>485.75</v>
      </c>
      <c r="K945" s="18" t="n">
        <v>195</v>
      </c>
      <c r="L945" s="18" t="n">
        <v>102</v>
      </c>
      <c r="M945" s="18" t="n">
        <v>6825</v>
      </c>
      <c r="N945" s="18" t="n">
        <v>245</v>
      </c>
      <c r="O945" s="14" t="s">
        <v>4215</v>
      </c>
      <c r="P945" s="14" t="s">
        <v>6758</v>
      </c>
      <c r="Q945" s="15" t="s">
        <v>1089</v>
      </c>
      <c r="R945" s="16" t="s">
        <v>6759</v>
      </c>
      <c r="S945" s="15" t="s">
        <v>2538</v>
      </c>
      <c r="T945" s="15" t="s">
        <v>6760</v>
      </c>
      <c r="U945" s="21" t="s">
        <v>72</v>
      </c>
    </row>
    <row r="946" customFormat="false" ht="52.2" hidden="false" customHeight="false" outlineLevel="0" collapsed="false">
      <c r="A946" s="15" t="s">
        <v>850</v>
      </c>
      <c r="B946" s="15" t="s">
        <v>6754</v>
      </c>
      <c r="C946" s="14" t="s">
        <v>6761</v>
      </c>
      <c r="D946" s="14" t="s">
        <v>6762</v>
      </c>
      <c r="E946" s="16" t="s">
        <v>6757</v>
      </c>
      <c r="F946" s="16" t="s">
        <v>6763</v>
      </c>
      <c r="G946" s="23" t="s">
        <v>43</v>
      </c>
      <c r="H946" s="18" t="n">
        <v>4</v>
      </c>
      <c r="I946" s="20" t="n">
        <v>59.57</v>
      </c>
      <c r="J946" s="20" t="n">
        <v>151.45</v>
      </c>
      <c r="K946" s="18" t="n">
        <v>65</v>
      </c>
      <c r="L946" s="18" t="n">
        <v>71</v>
      </c>
      <c r="M946" s="18" t="n">
        <v>1820</v>
      </c>
      <c r="N946" s="18" t="n">
        <v>56</v>
      </c>
      <c r="O946" s="14" t="s">
        <v>4446</v>
      </c>
      <c r="P946" s="14" t="s">
        <v>6764</v>
      </c>
      <c r="Q946" s="15" t="s">
        <v>1089</v>
      </c>
      <c r="R946" s="16" t="s">
        <v>6765</v>
      </c>
      <c r="S946" s="15" t="s">
        <v>2538</v>
      </c>
      <c r="T946" s="15" t="s">
        <v>6766</v>
      </c>
      <c r="U946" s="21" t="s">
        <v>72</v>
      </c>
    </row>
    <row r="947" customFormat="false" ht="26.85" hidden="false" customHeight="false" outlineLevel="0" collapsed="false">
      <c r="A947" s="15" t="s">
        <v>850</v>
      </c>
      <c r="B947" s="15" t="s">
        <v>6754</v>
      </c>
      <c r="C947" s="14" t="s">
        <v>6767</v>
      </c>
      <c r="D947" s="14" t="s">
        <v>6768</v>
      </c>
      <c r="E947" s="16" t="s">
        <v>6769</v>
      </c>
      <c r="F947" s="16" t="s">
        <v>6770</v>
      </c>
      <c r="G947" s="23" t="s">
        <v>43</v>
      </c>
      <c r="H947" s="18" t="n">
        <v>4</v>
      </c>
      <c r="I947" s="20" t="n">
        <v>80.84</v>
      </c>
      <c r="J947" s="20" t="n">
        <v>144.82</v>
      </c>
      <c r="K947" s="18" t="n">
        <v>6</v>
      </c>
      <c r="L947" s="18" t="n">
        <v>16</v>
      </c>
      <c r="M947" s="18" t="n">
        <v>180</v>
      </c>
      <c r="N947" s="18" t="n">
        <v>180</v>
      </c>
      <c r="O947" s="14" t="s">
        <v>4670</v>
      </c>
      <c r="P947" s="14" t="s">
        <v>118</v>
      </c>
      <c r="Q947" s="15" t="s">
        <v>1089</v>
      </c>
      <c r="R947" s="16" t="s">
        <v>6771</v>
      </c>
      <c r="S947" s="15" t="s">
        <v>6772</v>
      </c>
      <c r="T947" s="15" t="s">
        <v>6773</v>
      </c>
      <c r="U947" s="21" t="s">
        <v>72</v>
      </c>
    </row>
    <row r="948" customFormat="false" ht="26.85" hidden="false" customHeight="false" outlineLevel="0" collapsed="false">
      <c r="A948" s="15" t="s">
        <v>850</v>
      </c>
      <c r="B948" s="15" t="s">
        <v>6754</v>
      </c>
      <c r="C948" s="14" t="s">
        <v>6774</v>
      </c>
      <c r="D948" s="14" t="s">
        <v>6775</v>
      </c>
      <c r="E948" s="16" t="s">
        <v>6776</v>
      </c>
      <c r="F948" s="16" t="s">
        <v>6777</v>
      </c>
      <c r="G948" s="25" t="s">
        <v>39</v>
      </c>
      <c r="H948" s="18" t="n">
        <v>27</v>
      </c>
      <c r="I948" s="20" t="n">
        <v>601.83</v>
      </c>
      <c r="J948" s="20" t="n">
        <v>1094.06</v>
      </c>
      <c r="K948" s="18" t="n">
        <v>24</v>
      </c>
      <c r="L948" s="18" t="n">
        <v>24</v>
      </c>
      <c r="M948" s="18" t="n">
        <v>392</v>
      </c>
      <c r="N948" s="18" t="n">
        <v>289</v>
      </c>
      <c r="O948" s="14" t="s">
        <v>4983</v>
      </c>
      <c r="P948" s="14" t="s">
        <v>118</v>
      </c>
      <c r="Q948" s="15" t="s">
        <v>1089</v>
      </c>
      <c r="R948" s="16" t="s">
        <v>6778</v>
      </c>
      <c r="S948" s="15" t="s">
        <v>6779</v>
      </c>
      <c r="T948" s="15" t="s">
        <v>6780</v>
      </c>
      <c r="U948" s="21" t="s">
        <v>72</v>
      </c>
    </row>
    <row r="949" customFormat="false" ht="15" hidden="false" customHeight="false" outlineLevel="0" collapsed="false">
      <c r="A949" s="15" t="s">
        <v>850</v>
      </c>
      <c r="B949" s="15" t="s">
        <v>6754</v>
      </c>
      <c r="C949" s="14" t="s">
        <v>6781</v>
      </c>
      <c r="D949" s="14" t="s">
        <v>6782</v>
      </c>
      <c r="E949" s="16" t="s">
        <v>6783</v>
      </c>
      <c r="F949" s="16" t="s">
        <v>1387</v>
      </c>
      <c r="G949" s="25" t="s">
        <v>39</v>
      </c>
      <c r="H949" s="18" t="n">
        <v>9</v>
      </c>
      <c r="I949" s="20" t="n">
        <v>209.63</v>
      </c>
      <c r="J949" s="20" t="n">
        <v>349.86</v>
      </c>
      <c r="K949" s="18" t="n">
        <v>11</v>
      </c>
      <c r="L949" s="18" t="n">
        <v>28</v>
      </c>
      <c r="M949" s="18" t="n">
        <v>253</v>
      </c>
      <c r="N949" s="18" t="n">
        <v>115</v>
      </c>
      <c r="O949" s="14" t="s">
        <v>4983</v>
      </c>
      <c r="P949" s="14" t="s">
        <v>84</v>
      </c>
      <c r="Q949" s="15" t="s">
        <v>1089</v>
      </c>
      <c r="R949" s="16" t="s">
        <v>4459</v>
      </c>
      <c r="S949" s="15" t="s">
        <v>4460</v>
      </c>
      <c r="T949" s="15" t="s">
        <v>6784</v>
      </c>
      <c r="U949" s="21" t="s">
        <v>72</v>
      </c>
    </row>
    <row r="950" customFormat="false" ht="15" hidden="false" customHeight="false" outlineLevel="0" collapsed="false">
      <c r="A950" s="15" t="s">
        <v>850</v>
      </c>
      <c r="B950" s="15" t="s">
        <v>6754</v>
      </c>
      <c r="C950" s="14" t="s">
        <v>6785</v>
      </c>
      <c r="D950" s="14" t="s">
        <v>6786</v>
      </c>
      <c r="E950" s="16" t="s">
        <v>6787</v>
      </c>
      <c r="F950" s="16" t="s">
        <v>6788</v>
      </c>
      <c r="G950" s="23" t="s">
        <v>43</v>
      </c>
      <c r="H950" s="18" t="n">
        <v>2</v>
      </c>
      <c r="I950" s="20" t="n">
        <v>36.73</v>
      </c>
      <c r="J950" s="20" t="n">
        <v>80.06</v>
      </c>
      <c r="K950" s="18" t="n">
        <v>3</v>
      </c>
      <c r="L950" s="18" t="n">
        <v>2</v>
      </c>
      <c r="M950" s="18" t="n">
        <v>90</v>
      </c>
      <c r="N950" s="18" t="n">
        <v>90</v>
      </c>
      <c r="O950" s="14" t="s">
        <v>1097</v>
      </c>
      <c r="P950" s="14" t="s">
        <v>84</v>
      </c>
      <c r="Q950" s="15" t="s">
        <v>1089</v>
      </c>
      <c r="R950" s="16" t="s">
        <v>6789</v>
      </c>
      <c r="S950" s="15" t="s">
        <v>6790</v>
      </c>
      <c r="T950" s="15" t="s">
        <v>6790</v>
      </c>
      <c r="U950" s="21" t="s">
        <v>72</v>
      </c>
    </row>
    <row r="951" customFormat="false" ht="15" hidden="false" customHeight="false" outlineLevel="0" collapsed="false">
      <c r="A951" s="15" t="s">
        <v>850</v>
      </c>
      <c r="B951" s="15" t="s">
        <v>6754</v>
      </c>
      <c r="C951" s="14" t="s">
        <v>6791</v>
      </c>
      <c r="D951" s="14" t="s">
        <v>6792</v>
      </c>
      <c r="E951" s="16" t="s">
        <v>6793</v>
      </c>
      <c r="F951" s="16"/>
      <c r="G951" s="23" t="s">
        <v>43</v>
      </c>
      <c r="H951" s="18" t="n">
        <v>1</v>
      </c>
      <c r="I951" s="20" t="n">
        <v>30</v>
      </c>
      <c r="J951" s="20" t="n">
        <v>70</v>
      </c>
      <c r="K951" s="18" t="n">
        <v>4</v>
      </c>
      <c r="L951" s="18" t="n">
        <v>1</v>
      </c>
      <c r="M951" s="18" t="n">
        <v>96</v>
      </c>
      <c r="N951" s="18" t="n">
        <v>48</v>
      </c>
      <c r="O951" s="14" t="s">
        <v>1097</v>
      </c>
      <c r="P951" s="14" t="s">
        <v>84</v>
      </c>
      <c r="Q951" s="15" t="s">
        <v>1089</v>
      </c>
      <c r="R951" s="16" t="s">
        <v>6794</v>
      </c>
      <c r="S951" s="15" t="s">
        <v>6795</v>
      </c>
      <c r="T951" s="15" t="s">
        <v>6795</v>
      </c>
      <c r="U951" s="21" t="s">
        <v>72</v>
      </c>
    </row>
    <row r="952" customFormat="false" ht="26.85" hidden="false" customHeight="false" outlineLevel="0" collapsed="false">
      <c r="A952" s="15" t="s">
        <v>850</v>
      </c>
      <c r="B952" s="15" t="s">
        <v>6754</v>
      </c>
      <c r="C952" s="14" t="s">
        <v>6796</v>
      </c>
      <c r="D952" s="14" t="s">
        <v>6797</v>
      </c>
      <c r="E952" s="16" t="s">
        <v>6798</v>
      </c>
      <c r="F952" s="16"/>
      <c r="G952" s="19" t="s">
        <v>41</v>
      </c>
      <c r="H952" s="18" t="n">
        <v>6</v>
      </c>
      <c r="I952" s="20" t="n">
        <v>152.44</v>
      </c>
      <c r="J952" s="20" t="n">
        <v>253.44</v>
      </c>
      <c r="K952" s="18" t="n">
        <v>6</v>
      </c>
      <c r="L952" s="18" t="n">
        <v>25</v>
      </c>
      <c r="M952" s="18" t="n">
        <v>168</v>
      </c>
      <c r="N952" s="18" t="n">
        <v>168</v>
      </c>
      <c r="O952" s="14" t="s">
        <v>4751</v>
      </c>
      <c r="P952" s="14" t="s">
        <v>118</v>
      </c>
      <c r="Q952" s="15" t="s">
        <v>1089</v>
      </c>
      <c r="R952" s="16" t="s">
        <v>6799</v>
      </c>
      <c r="S952" s="15" t="s">
        <v>4473</v>
      </c>
      <c r="T952" s="15" t="s">
        <v>6800</v>
      </c>
      <c r="U952" s="21" t="s">
        <v>72</v>
      </c>
    </row>
    <row r="953" customFormat="false" ht="15" hidden="false" customHeight="false" outlineLevel="0" collapsed="false">
      <c r="A953" s="15" t="s">
        <v>850</v>
      </c>
      <c r="B953" s="15" t="s">
        <v>6754</v>
      </c>
      <c r="C953" s="14" t="s">
        <v>6801</v>
      </c>
      <c r="D953" s="14" t="s">
        <v>6802</v>
      </c>
      <c r="E953" s="16" t="s">
        <v>6803</v>
      </c>
      <c r="F953" s="16"/>
      <c r="G953" s="25" t="s">
        <v>39</v>
      </c>
      <c r="H953" s="18" t="n">
        <v>15</v>
      </c>
      <c r="I953" s="20" t="n">
        <v>398.72</v>
      </c>
      <c r="J953" s="20" t="n">
        <v>739.92</v>
      </c>
      <c r="K953" s="18" t="n">
        <v>52</v>
      </c>
      <c r="L953" s="18" t="n">
        <v>82</v>
      </c>
      <c r="M953" s="18" t="n">
        <v>2236</v>
      </c>
      <c r="N953" s="18" t="n">
        <v>86</v>
      </c>
      <c r="O953" s="14" t="s">
        <v>4215</v>
      </c>
      <c r="P953" s="14" t="s">
        <v>118</v>
      </c>
      <c r="Q953" s="15" t="s">
        <v>1089</v>
      </c>
      <c r="R953" s="16" t="s">
        <v>6804</v>
      </c>
      <c r="S953" s="15" t="s">
        <v>6805</v>
      </c>
      <c r="T953" s="15" t="s">
        <v>6806</v>
      </c>
      <c r="U953" s="21" t="s">
        <v>72</v>
      </c>
    </row>
    <row r="954" customFormat="false" ht="15" hidden="false" customHeight="false" outlineLevel="0" collapsed="false">
      <c r="A954" s="15" t="s">
        <v>850</v>
      </c>
      <c r="B954" s="15" t="s">
        <v>6754</v>
      </c>
      <c r="C954" s="14" t="s">
        <v>6807</v>
      </c>
      <c r="D954" s="14" t="s">
        <v>6808</v>
      </c>
      <c r="E954" s="16" t="s">
        <v>6809</v>
      </c>
      <c r="F954" s="16" t="s">
        <v>6810</v>
      </c>
      <c r="G954" s="19" t="s">
        <v>41</v>
      </c>
      <c r="H954" s="18" t="n">
        <v>5</v>
      </c>
      <c r="I954" s="20" t="n">
        <v>238.75</v>
      </c>
      <c r="J954" s="20" t="n">
        <v>238.75</v>
      </c>
      <c r="K954" s="18" t="n">
        <v>6</v>
      </c>
      <c r="L954" s="18" t="n">
        <v>4</v>
      </c>
      <c r="M954" s="18" t="n">
        <v>240</v>
      </c>
      <c r="N954" s="18" t="n">
        <v>160</v>
      </c>
      <c r="O954" s="14" t="s">
        <v>1097</v>
      </c>
      <c r="P954" s="14" t="s">
        <v>94</v>
      </c>
      <c r="Q954" s="15" t="s">
        <v>1089</v>
      </c>
      <c r="R954" s="16" t="s">
        <v>5550</v>
      </c>
      <c r="S954" s="15" t="s">
        <v>6811</v>
      </c>
      <c r="T954" s="15" t="s">
        <v>6812</v>
      </c>
      <c r="U954" s="21" t="s">
        <v>72</v>
      </c>
    </row>
    <row r="955" customFormat="false" ht="26.85" hidden="false" customHeight="false" outlineLevel="0" collapsed="false">
      <c r="A955" s="15" t="s">
        <v>850</v>
      </c>
      <c r="B955" s="15" t="s">
        <v>6754</v>
      </c>
      <c r="C955" s="14" t="s">
        <v>6813</v>
      </c>
      <c r="D955" s="14" t="s">
        <v>6814</v>
      </c>
      <c r="E955" s="16" t="s">
        <v>6815</v>
      </c>
      <c r="F955" s="16" t="s">
        <v>4282</v>
      </c>
      <c r="G955" s="23" t="s">
        <v>43</v>
      </c>
      <c r="H955" s="18" t="n">
        <v>2</v>
      </c>
      <c r="I955" s="20" t="n">
        <v>56.42</v>
      </c>
      <c r="J955" s="20" t="n">
        <v>98.98</v>
      </c>
      <c r="K955" s="18" t="n">
        <v>6</v>
      </c>
      <c r="L955" s="18" t="n">
        <v>4</v>
      </c>
      <c r="M955" s="18" t="n">
        <v>138</v>
      </c>
      <c r="N955" s="18" t="n">
        <v>115</v>
      </c>
      <c r="O955" s="14" t="s">
        <v>6816</v>
      </c>
      <c r="P955" s="14" t="s">
        <v>118</v>
      </c>
      <c r="Q955" s="15" t="s">
        <v>1089</v>
      </c>
      <c r="R955" s="16" t="s">
        <v>6247</v>
      </c>
      <c r="S955" s="15" t="s">
        <v>6817</v>
      </c>
      <c r="T955" s="15" t="s">
        <v>4285</v>
      </c>
      <c r="U955" s="21" t="s">
        <v>72</v>
      </c>
    </row>
    <row r="956" customFormat="false" ht="15" hidden="false" customHeight="false" outlineLevel="0" collapsed="false">
      <c r="A956" s="15" t="s">
        <v>850</v>
      </c>
      <c r="B956" s="15" t="s">
        <v>6754</v>
      </c>
      <c r="C956" s="14" t="s">
        <v>6818</v>
      </c>
      <c r="D956" s="14" t="s">
        <v>6819</v>
      </c>
      <c r="E956" s="16" t="s">
        <v>6820</v>
      </c>
      <c r="F956" s="16" t="s">
        <v>6821</v>
      </c>
      <c r="G956" s="25" t="s">
        <v>39</v>
      </c>
      <c r="H956" s="18" t="n">
        <v>7</v>
      </c>
      <c r="I956" s="20" t="n">
        <v>166.03</v>
      </c>
      <c r="J956" s="20" t="n">
        <v>432.38</v>
      </c>
      <c r="K956" s="18" t="n">
        <v>5</v>
      </c>
      <c r="L956" s="18" t="n">
        <v>4</v>
      </c>
      <c r="M956" s="18" t="n">
        <v>110</v>
      </c>
      <c r="N956" s="18" t="n">
        <v>110</v>
      </c>
      <c r="O956" s="14" t="s">
        <v>4276</v>
      </c>
      <c r="P956" s="14" t="s">
        <v>84</v>
      </c>
      <c r="Q956" s="15" t="s">
        <v>1089</v>
      </c>
      <c r="R956" s="16" t="s">
        <v>6822</v>
      </c>
      <c r="S956" s="15" t="s">
        <v>5185</v>
      </c>
      <c r="T956" s="15" t="s">
        <v>6823</v>
      </c>
      <c r="U956" s="21" t="s">
        <v>72</v>
      </c>
    </row>
    <row r="957" customFormat="false" ht="15" hidden="false" customHeight="false" outlineLevel="0" collapsed="false">
      <c r="A957" s="15" t="s">
        <v>850</v>
      </c>
      <c r="B957" s="15" t="s">
        <v>6754</v>
      </c>
      <c r="C957" s="14" t="s">
        <v>6824</v>
      </c>
      <c r="D957" s="14" t="s">
        <v>6825</v>
      </c>
      <c r="E957" s="16" t="s">
        <v>6826</v>
      </c>
      <c r="F957" s="16" t="s">
        <v>6827</v>
      </c>
      <c r="G957" s="25" t="s">
        <v>39</v>
      </c>
      <c r="H957" s="18" t="n">
        <v>8</v>
      </c>
      <c r="I957" s="20" t="n">
        <v>247.33</v>
      </c>
      <c r="J957" s="20" t="n">
        <v>866.428</v>
      </c>
      <c r="K957" s="18" t="n">
        <v>8</v>
      </c>
      <c r="L957" s="18" t="n">
        <v>45</v>
      </c>
      <c r="M957" s="18" t="n">
        <v>292</v>
      </c>
      <c r="N957" s="18" t="n">
        <v>292</v>
      </c>
      <c r="O957" s="14" t="s">
        <v>1126</v>
      </c>
      <c r="P957" s="14" t="s">
        <v>84</v>
      </c>
      <c r="Q957" s="15" t="s">
        <v>1089</v>
      </c>
      <c r="R957" s="16" t="s">
        <v>6828</v>
      </c>
      <c r="S957" s="15" t="s">
        <v>1348</v>
      </c>
      <c r="T957" s="15" t="s">
        <v>6829</v>
      </c>
      <c r="U957" s="21" t="s">
        <v>72</v>
      </c>
    </row>
    <row r="958" customFormat="false" ht="15" hidden="false" customHeight="false" outlineLevel="0" collapsed="false">
      <c r="A958" s="15" t="s">
        <v>850</v>
      </c>
      <c r="B958" s="15" t="s">
        <v>6754</v>
      </c>
      <c r="C958" s="14" t="s">
        <v>6830</v>
      </c>
      <c r="D958" s="14" t="s">
        <v>6831</v>
      </c>
      <c r="E958" s="16" t="s">
        <v>6832</v>
      </c>
      <c r="F958" s="16"/>
      <c r="G958" s="23" t="s">
        <v>43</v>
      </c>
      <c r="H958" s="18" t="n">
        <v>4</v>
      </c>
      <c r="I958" s="20" t="n">
        <v>59.02</v>
      </c>
      <c r="J958" s="20" t="n">
        <v>147.21</v>
      </c>
      <c r="K958" s="18" t="n">
        <v>3</v>
      </c>
      <c r="L958" s="18" t="n">
        <v>4</v>
      </c>
      <c r="M958" s="18" t="n">
        <v>41</v>
      </c>
      <c r="N958" s="18" t="n">
        <v>13</v>
      </c>
      <c r="O958" s="14" t="s">
        <v>1097</v>
      </c>
      <c r="P958" s="14" t="s">
        <v>118</v>
      </c>
      <c r="Q958" s="15" t="s">
        <v>1089</v>
      </c>
      <c r="R958" s="16" t="s">
        <v>6833</v>
      </c>
      <c r="S958" s="15" t="s">
        <v>6834</v>
      </c>
      <c r="T958" s="15" t="s">
        <v>6834</v>
      </c>
      <c r="U958" s="21" t="s">
        <v>72</v>
      </c>
    </row>
    <row r="959" customFormat="false" ht="15" hidden="false" customHeight="false" outlineLevel="0" collapsed="false">
      <c r="A959" s="15" t="s">
        <v>850</v>
      </c>
      <c r="B959" s="15" t="s">
        <v>6754</v>
      </c>
      <c r="C959" s="14" t="s">
        <v>6835</v>
      </c>
      <c r="D959" s="14" t="s">
        <v>6836</v>
      </c>
      <c r="E959" s="16" t="s">
        <v>6837</v>
      </c>
      <c r="F959" s="16" t="s">
        <v>6838</v>
      </c>
      <c r="G959" s="23" t="s">
        <v>43</v>
      </c>
      <c r="H959" s="18" t="n">
        <v>4</v>
      </c>
      <c r="I959" s="20" t="n">
        <v>59.22</v>
      </c>
      <c r="J959" s="20" t="n">
        <v>121.06</v>
      </c>
      <c r="K959" s="18" t="n">
        <v>4</v>
      </c>
      <c r="L959" s="18" t="n">
        <v>5</v>
      </c>
      <c r="M959" s="18" t="n">
        <v>36</v>
      </c>
      <c r="N959" s="18" t="n">
        <v>18</v>
      </c>
      <c r="O959" s="14" t="s">
        <v>4223</v>
      </c>
      <c r="P959" s="14" t="s">
        <v>118</v>
      </c>
      <c r="Q959" s="15" t="s">
        <v>1089</v>
      </c>
      <c r="R959" s="16" t="s">
        <v>826</v>
      </c>
      <c r="S959" s="15" t="s">
        <v>6839</v>
      </c>
      <c r="T959" s="15" t="s">
        <v>6840</v>
      </c>
      <c r="U959" s="21" t="s">
        <v>72</v>
      </c>
    </row>
    <row r="960" customFormat="false" ht="15" hidden="false" customHeight="false" outlineLevel="0" collapsed="false">
      <c r="A960" s="15" t="s">
        <v>850</v>
      </c>
      <c r="B960" s="15" t="s">
        <v>6754</v>
      </c>
      <c r="C960" s="14" t="s">
        <v>6841</v>
      </c>
      <c r="D960" s="14" t="s">
        <v>6842</v>
      </c>
      <c r="E960" s="16" t="s">
        <v>6843</v>
      </c>
      <c r="F960" s="16"/>
      <c r="G960" s="23" t="s">
        <v>43</v>
      </c>
      <c r="H960" s="18" t="n">
        <v>3</v>
      </c>
      <c r="I960" s="20" t="n">
        <v>42.66</v>
      </c>
      <c r="J960" s="20" t="n">
        <v>85.36</v>
      </c>
      <c r="K960" s="18" t="n">
        <v>4</v>
      </c>
      <c r="L960" s="18" t="n">
        <v>1</v>
      </c>
      <c r="M960" s="18" t="n">
        <v>61</v>
      </c>
      <c r="N960" s="18" t="n">
        <v>61</v>
      </c>
      <c r="O960" s="14" t="s">
        <v>6844</v>
      </c>
      <c r="P960" s="14" t="s">
        <v>118</v>
      </c>
      <c r="Q960" s="15" t="s">
        <v>1089</v>
      </c>
      <c r="R960" s="16" t="s">
        <v>6845</v>
      </c>
      <c r="S960" s="15" t="s">
        <v>6846</v>
      </c>
      <c r="T960" s="15" t="s">
        <v>6846</v>
      </c>
      <c r="U960" s="21" t="s">
        <v>72</v>
      </c>
    </row>
    <row r="961" customFormat="false" ht="15" hidden="false" customHeight="false" outlineLevel="0" collapsed="false">
      <c r="A961" s="15" t="s">
        <v>850</v>
      </c>
      <c r="B961" s="15" t="s">
        <v>6754</v>
      </c>
      <c r="C961" s="14" t="s">
        <v>6847</v>
      </c>
      <c r="D961" s="14" t="s">
        <v>6848</v>
      </c>
      <c r="E961" s="16" t="s">
        <v>6849</v>
      </c>
      <c r="F961" s="16"/>
      <c r="G961" s="23" t="s">
        <v>43</v>
      </c>
      <c r="H961" s="18" t="n">
        <v>2</v>
      </c>
      <c r="I961" s="20" t="n">
        <v>25.04</v>
      </c>
      <c r="J961" s="20" t="n">
        <v>133.8</v>
      </c>
      <c r="K961" s="18" t="n">
        <v>2</v>
      </c>
      <c r="L961" s="18" t="n">
        <v>5</v>
      </c>
      <c r="M961" s="18" t="n">
        <v>18</v>
      </c>
      <c r="N961" s="18" t="n">
        <v>18</v>
      </c>
      <c r="O961" s="14" t="s">
        <v>4408</v>
      </c>
      <c r="P961" s="14" t="s">
        <v>84</v>
      </c>
      <c r="Q961" s="15" t="s">
        <v>1089</v>
      </c>
      <c r="R961" s="16" t="s">
        <v>6850</v>
      </c>
      <c r="S961" s="15" t="s">
        <v>6851</v>
      </c>
      <c r="T961" s="15" t="s">
        <v>6851</v>
      </c>
      <c r="U961" s="21" t="s">
        <v>72</v>
      </c>
    </row>
    <row r="962" customFormat="false" ht="26.85" hidden="false" customHeight="false" outlineLevel="0" collapsed="false">
      <c r="A962" s="15" t="s">
        <v>850</v>
      </c>
      <c r="B962" s="15" t="s">
        <v>6754</v>
      </c>
      <c r="C962" s="14" t="s">
        <v>6852</v>
      </c>
      <c r="D962" s="14" t="s">
        <v>6853</v>
      </c>
      <c r="E962" s="16" t="s">
        <v>6854</v>
      </c>
      <c r="F962" s="16" t="s">
        <v>6855</v>
      </c>
      <c r="G962" s="25" t="s">
        <v>39</v>
      </c>
      <c r="H962" s="18" t="n">
        <v>11</v>
      </c>
      <c r="I962" s="20" t="n">
        <v>252.07</v>
      </c>
      <c r="J962" s="20" t="n">
        <v>370.58</v>
      </c>
      <c r="K962" s="18" t="n">
        <v>9</v>
      </c>
      <c r="L962" s="18" t="n">
        <v>14</v>
      </c>
      <c r="M962" s="18" t="n">
        <v>151</v>
      </c>
      <c r="N962" s="18" t="n">
        <v>126</v>
      </c>
      <c r="O962" s="14" t="s">
        <v>6856</v>
      </c>
      <c r="P962" s="14" t="s">
        <v>118</v>
      </c>
      <c r="Q962" s="15" t="s">
        <v>1089</v>
      </c>
      <c r="R962" s="16" t="s">
        <v>6857</v>
      </c>
      <c r="S962" s="15" t="s">
        <v>6858</v>
      </c>
      <c r="T962" s="15" t="s">
        <v>6859</v>
      </c>
      <c r="U962" s="21" t="s">
        <v>72</v>
      </c>
    </row>
    <row r="963" customFormat="false" ht="26.85" hidden="false" customHeight="false" outlineLevel="0" collapsed="false">
      <c r="A963" s="15" t="s">
        <v>850</v>
      </c>
      <c r="B963" s="15" t="s">
        <v>6754</v>
      </c>
      <c r="C963" s="14" t="s">
        <v>6860</v>
      </c>
      <c r="D963" s="14" t="s">
        <v>6861</v>
      </c>
      <c r="E963" s="16" t="s">
        <v>6862</v>
      </c>
      <c r="F963" s="16" t="s">
        <v>6863</v>
      </c>
      <c r="G963" s="25" t="s">
        <v>39</v>
      </c>
      <c r="H963" s="18" t="n">
        <v>7</v>
      </c>
      <c r="I963" s="20" t="n">
        <v>533.3</v>
      </c>
      <c r="J963" s="20" t="n">
        <v>953.36</v>
      </c>
      <c r="K963" s="18" t="n">
        <v>10</v>
      </c>
      <c r="L963" s="18" t="n">
        <v>23</v>
      </c>
      <c r="M963" s="18" t="n">
        <v>539</v>
      </c>
      <c r="N963" s="18" t="n">
        <v>539</v>
      </c>
      <c r="O963" s="14" t="s">
        <v>4670</v>
      </c>
      <c r="P963" s="14" t="s">
        <v>118</v>
      </c>
      <c r="Q963" s="15" t="s">
        <v>1089</v>
      </c>
      <c r="R963" s="16" t="s">
        <v>6864</v>
      </c>
      <c r="S963" s="15" t="s">
        <v>6865</v>
      </c>
      <c r="T963" s="15" t="s">
        <v>6866</v>
      </c>
      <c r="U963" s="21" t="s">
        <v>72</v>
      </c>
    </row>
    <row r="964" customFormat="false" ht="15" hidden="false" customHeight="false" outlineLevel="0" collapsed="false">
      <c r="A964" s="15" t="s">
        <v>850</v>
      </c>
      <c r="B964" s="15" t="s">
        <v>6754</v>
      </c>
      <c r="C964" s="14" t="s">
        <v>6867</v>
      </c>
      <c r="D964" s="14" t="s">
        <v>6868</v>
      </c>
      <c r="E964" s="16" t="s">
        <v>6869</v>
      </c>
      <c r="F964" s="16" t="s">
        <v>6870</v>
      </c>
      <c r="G964" s="23" t="s">
        <v>43</v>
      </c>
      <c r="H964" s="18" t="n">
        <v>2</v>
      </c>
      <c r="I964" s="20" t="n">
        <v>37.27</v>
      </c>
      <c r="J964" s="20" t="n">
        <v>75.37</v>
      </c>
      <c r="K964" s="18" t="n">
        <v>6</v>
      </c>
      <c r="L964" s="18" t="n">
        <v>2</v>
      </c>
      <c r="M964" s="18" t="n">
        <v>96</v>
      </c>
      <c r="N964" s="18" t="n">
        <v>60</v>
      </c>
      <c r="O964" s="14" t="s">
        <v>1097</v>
      </c>
      <c r="P964" s="14" t="s">
        <v>84</v>
      </c>
      <c r="Q964" s="15" t="s">
        <v>1089</v>
      </c>
      <c r="R964" s="16" t="s">
        <v>6871</v>
      </c>
      <c r="S964" s="15" t="s">
        <v>6872</v>
      </c>
      <c r="T964" s="15" t="s">
        <v>6872</v>
      </c>
      <c r="U964" s="21" t="s">
        <v>72</v>
      </c>
    </row>
    <row r="965" customFormat="false" ht="26.85" hidden="false" customHeight="false" outlineLevel="0" collapsed="false">
      <c r="A965" s="15" t="s">
        <v>850</v>
      </c>
      <c r="B965" s="15" t="s">
        <v>6754</v>
      </c>
      <c r="C965" s="14" t="s">
        <v>6873</v>
      </c>
      <c r="D965" s="14" t="s">
        <v>6874</v>
      </c>
      <c r="E965" s="16" t="s">
        <v>6875</v>
      </c>
      <c r="F965" s="16"/>
      <c r="G965" s="19" t="s">
        <v>41</v>
      </c>
      <c r="H965" s="18" t="n">
        <v>6</v>
      </c>
      <c r="I965" s="20" t="n">
        <v>90.74</v>
      </c>
      <c r="J965" s="20" t="n">
        <v>187.33</v>
      </c>
      <c r="K965" s="18" t="n">
        <v>4</v>
      </c>
      <c r="L965" s="18" t="n">
        <v>3</v>
      </c>
      <c r="M965" s="18" t="n">
        <v>48</v>
      </c>
      <c r="N965" s="18" t="n">
        <v>48</v>
      </c>
      <c r="O965" s="14" t="s">
        <v>4751</v>
      </c>
      <c r="P965" s="14" t="s">
        <v>118</v>
      </c>
      <c r="Q965" s="15" t="s">
        <v>1089</v>
      </c>
      <c r="R965" s="16" t="s">
        <v>6876</v>
      </c>
      <c r="S965" s="15" t="s">
        <v>6877</v>
      </c>
      <c r="T965" s="15" t="s">
        <v>6878</v>
      </c>
      <c r="U965" s="21" t="s">
        <v>72</v>
      </c>
    </row>
    <row r="966" customFormat="false" ht="26.85" hidden="false" customHeight="false" outlineLevel="0" collapsed="false">
      <c r="A966" s="15" t="s">
        <v>850</v>
      </c>
      <c r="B966" s="15" t="s">
        <v>6754</v>
      </c>
      <c r="C966" s="14" t="s">
        <v>6879</v>
      </c>
      <c r="D966" s="14" t="s">
        <v>6880</v>
      </c>
      <c r="E966" s="16" t="s">
        <v>6881</v>
      </c>
      <c r="F966" s="16" t="s">
        <v>6882</v>
      </c>
      <c r="G966" s="23" t="s">
        <v>43</v>
      </c>
      <c r="H966" s="18" t="n">
        <v>4</v>
      </c>
      <c r="I966" s="20" t="n">
        <v>106.32</v>
      </c>
      <c r="J966" s="20" t="n">
        <v>106.3</v>
      </c>
      <c r="K966" s="18" t="n">
        <v>9</v>
      </c>
      <c r="L966" s="18" t="n">
        <v>1</v>
      </c>
      <c r="M966" s="18" t="n">
        <v>112</v>
      </c>
      <c r="N966" s="18" t="n">
        <v>30</v>
      </c>
      <c r="O966" s="14" t="s">
        <v>4215</v>
      </c>
      <c r="P966" s="14" t="s">
        <v>6883</v>
      </c>
      <c r="Q966" s="15" t="s">
        <v>1089</v>
      </c>
      <c r="R966" s="16" t="s">
        <v>6884</v>
      </c>
      <c r="S966" s="15" t="s">
        <v>6885</v>
      </c>
      <c r="T966" s="15" t="s">
        <v>6886</v>
      </c>
      <c r="U966" s="21" t="s">
        <v>72</v>
      </c>
    </row>
    <row r="967" customFormat="false" ht="15" hidden="false" customHeight="false" outlineLevel="0" collapsed="false">
      <c r="A967" s="15" t="s">
        <v>850</v>
      </c>
      <c r="B967" s="15" t="s">
        <v>6754</v>
      </c>
      <c r="C967" s="14" t="s">
        <v>6887</v>
      </c>
      <c r="D967" s="14" t="s">
        <v>6888</v>
      </c>
      <c r="E967" s="16" t="s">
        <v>6889</v>
      </c>
      <c r="F967" s="16"/>
      <c r="G967" s="23" t="s">
        <v>43</v>
      </c>
      <c r="H967" s="18" t="n">
        <v>3</v>
      </c>
      <c r="I967" s="20" t="n">
        <v>75.93</v>
      </c>
      <c r="J967" s="20" t="n">
        <v>98.67</v>
      </c>
      <c r="K967" s="18" t="n">
        <v>3</v>
      </c>
      <c r="L967" s="18" t="n">
        <v>4</v>
      </c>
      <c r="M967" s="18" t="n">
        <v>96</v>
      </c>
      <c r="N967" s="18" t="n">
        <v>96</v>
      </c>
      <c r="O967" s="14" t="s">
        <v>4408</v>
      </c>
      <c r="P967" s="14" t="s">
        <v>118</v>
      </c>
      <c r="Q967" s="15" t="s">
        <v>1089</v>
      </c>
      <c r="R967" s="16" t="s">
        <v>6890</v>
      </c>
      <c r="S967" s="15" t="s">
        <v>6891</v>
      </c>
      <c r="T967" s="15" t="s">
        <v>6892</v>
      </c>
      <c r="U967" s="21" t="s">
        <v>72</v>
      </c>
    </row>
    <row r="968" customFormat="false" ht="26.85" hidden="false" customHeight="false" outlineLevel="0" collapsed="false">
      <c r="A968" s="15" t="s">
        <v>850</v>
      </c>
      <c r="B968" s="15" t="s">
        <v>6754</v>
      </c>
      <c r="C968" s="14" t="s">
        <v>6893</v>
      </c>
      <c r="D968" s="14" t="s">
        <v>6894</v>
      </c>
      <c r="E968" s="16" t="s">
        <v>6895</v>
      </c>
      <c r="F968" s="16"/>
      <c r="G968" s="19" t="s">
        <v>41</v>
      </c>
      <c r="H968" s="18" t="n">
        <v>5</v>
      </c>
      <c r="I968" s="20" t="n">
        <v>93.91</v>
      </c>
      <c r="J968" s="20" t="n">
        <v>167.52</v>
      </c>
      <c r="K968" s="18" t="n">
        <v>7</v>
      </c>
      <c r="L968" s="18" t="n">
        <v>6</v>
      </c>
      <c r="M968" s="18" t="n">
        <v>191</v>
      </c>
      <c r="N968" s="18" t="n">
        <v>96</v>
      </c>
      <c r="O968" s="14" t="s">
        <v>4385</v>
      </c>
      <c r="P968" s="14" t="s">
        <v>906</v>
      </c>
      <c r="Q968" s="15" t="s">
        <v>1089</v>
      </c>
      <c r="R968" s="16" t="s">
        <v>6896</v>
      </c>
      <c r="S968" s="15" t="s">
        <v>6897</v>
      </c>
      <c r="T968" s="15" t="s">
        <v>6898</v>
      </c>
      <c r="U968" s="21" t="s">
        <v>72</v>
      </c>
    </row>
    <row r="969" customFormat="false" ht="15" hidden="false" customHeight="false" outlineLevel="0" collapsed="false">
      <c r="A969" s="15" t="s">
        <v>850</v>
      </c>
      <c r="B969" s="15" t="s">
        <v>6754</v>
      </c>
      <c r="C969" s="14" t="s">
        <v>6899</v>
      </c>
      <c r="D969" s="14" t="s">
        <v>6900</v>
      </c>
      <c r="E969" s="16" t="s">
        <v>6901</v>
      </c>
      <c r="F969" s="16"/>
      <c r="G969" s="23" t="s">
        <v>43</v>
      </c>
      <c r="H969" s="18" t="n">
        <v>4</v>
      </c>
      <c r="I969" s="20" t="n">
        <v>80.64</v>
      </c>
      <c r="J969" s="20" t="n">
        <v>121.16</v>
      </c>
      <c r="K969" s="18" t="n">
        <v>4</v>
      </c>
      <c r="L969" s="18" t="n">
        <v>19</v>
      </c>
      <c r="M969" s="18" t="n">
        <v>70</v>
      </c>
      <c r="N969" s="18" t="n">
        <v>32</v>
      </c>
      <c r="O969" s="14" t="s">
        <v>4223</v>
      </c>
      <c r="P969" s="14" t="s">
        <v>118</v>
      </c>
      <c r="Q969" s="15" t="s">
        <v>1089</v>
      </c>
      <c r="R969" s="16" t="s">
        <v>6902</v>
      </c>
      <c r="S969" s="15" t="s">
        <v>5203</v>
      </c>
      <c r="T969" s="15" t="s">
        <v>5203</v>
      </c>
      <c r="U969" s="21" t="s">
        <v>72</v>
      </c>
    </row>
    <row r="970" customFormat="false" ht="15" hidden="false" customHeight="false" outlineLevel="0" collapsed="false">
      <c r="A970" s="15" t="s">
        <v>850</v>
      </c>
      <c r="B970" s="15" t="s">
        <v>6754</v>
      </c>
      <c r="C970" s="14" t="s">
        <v>6903</v>
      </c>
      <c r="D970" s="14" t="s">
        <v>6904</v>
      </c>
      <c r="E970" s="16" t="s">
        <v>6905</v>
      </c>
      <c r="F970" s="16"/>
      <c r="G970" s="19" t="s">
        <v>41</v>
      </c>
      <c r="H970" s="18" t="n">
        <v>7</v>
      </c>
      <c r="I970" s="20" t="n">
        <v>123.1</v>
      </c>
      <c r="J970" s="20" t="n">
        <v>282.08</v>
      </c>
      <c r="K970" s="18" t="n">
        <v>9</v>
      </c>
      <c r="L970" s="18" t="n">
        <v>9</v>
      </c>
      <c r="M970" s="18" t="n">
        <v>167</v>
      </c>
      <c r="N970" s="18" t="n">
        <v>133</v>
      </c>
      <c r="O970" s="14" t="s">
        <v>4215</v>
      </c>
      <c r="P970" s="14" t="s">
        <v>118</v>
      </c>
      <c r="Q970" s="15" t="s">
        <v>1089</v>
      </c>
      <c r="R970" s="16" t="s">
        <v>6906</v>
      </c>
      <c r="S970" s="15" t="s">
        <v>6907</v>
      </c>
      <c r="T970" s="15" t="s">
        <v>6908</v>
      </c>
      <c r="U970" s="21" t="s">
        <v>72</v>
      </c>
    </row>
    <row r="971" customFormat="false" ht="15" hidden="false" customHeight="false" outlineLevel="0" collapsed="false">
      <c r="A971" s="15" t="s">
        <v>850</v>
      </c>
      <c r="B971" s="15" t="s">
        <v>6754</v>
      </c>
      <c r="C971" s="14" t="s">
        <v>6909</v>
      </c>
      <c r="D971" s="14" t="s">
        <v>6910</v>
      </c>
      <c r="E971" s="16" t="s">
        <v>6911</v>
      </c>
      <c r="F971" s="16" t="s">
        <v>6912</v>
      </c>
      <c r="G971" s="23" t="s">
        <v>43</v>
      </c>
      <c r="H971" s="18" t="n">
        <v>2</v>
      </c>
      <c r="I971" s="20" t="n">
        <v>48.3643</v>
      </c>
      <c r="J971" s="20" t="n">
        <v>87.82</v>
      </c>
      <c r="K971" s="18" t="n">
        <v>4</v>
      </c>
      <c r="L971" s="18" t="n">
        <v>6</v>
      </c>
      <c r="M971" s="18" t="n">
        <v>108</v>
      </c>
      <c r="N971" s="18" t="n">
        <v>108</v>
      </c>
      <c r="O971" s="14" t="s">
        <v>6913</v>
      </c>
      <c r="P971" s="14" t="s">
        <v>118</v>
      </c>
      <c r="Q971" s="15" t="s">
        <v>1089</v>
      </c>
      <c r="R971" s="16" t="s">
        <v>6914</v>
      </c>
      <c r="S971" s="15" t="s">
        <v>6915</v>
      </c>
      <c r="T971" s="15" t="s">
        <v>6915</v>
      </c>
      <c r="U971" s="21" t="s">
        <v>72</v>
      </c>
    </row>
    <row r="972" customFormat="false" ht="26.85" hidden="false" customHeight="false" outlineLevel="0" collapsed="false">
      <c r="A972" s="15" t="s">
        <v>850</v>
      </c>
      <c r="B972" s="15" t="s">
        <v>6754</v>
      </c>
      <c r="C972" s="14" t="s">
        <v>6916</v>
      </c>
      <c r="D972" s="14" t="s">
        <v>6917</v>
      </c>
      <c r="E972" s="16" t="s">
        <v>6918</v>
      </c>
      <c r="F972" s="16" t="s">
        <v>6919</v>
      </c>
      <c r="G972" s="19" t="s">
        <v>41</v>
      </c>
      <c r="H972" s="18" t="n">
        <v>5</v>
      </c>
      <c r="I972" s="20" t="n">
        <v>62.46</v>
      </c>
      <c r="J972" s="20" t="n">
        <v>268.19</v>
      </c>
      <c r="K972" s="18" t="n">
        <v>5</v>
      </c>
      <c r="L972" s="18" t="n">
        <v>15</v>
      </c>
      <c r="M972" s="18" t="n">
        <v>89</v>
      </c>
      <c r="N972" s="18" t="n">
        <v>30</v>
      </c>
      <c r="O972" s="14" t="s">
        <v>4215</v>
      </c>
      <c r="P972" s="14" t="s">
        <v>118</v>
      </c>
      <c r="Q972" s="15" t="s">
        <v>1089</v>
      </c>
      <c r="R972" s="16" t="s">
        <v>6920</v>
      </c>
      <c r="S972" s="15" t="s">
        <v>6921</v>
      </c>
      <c r="T972" s="15" t="s">
        <v>6922</v>
      </c>
      <c r="U972" s="21" t="s">
        <v>72</v>
      </c>
    </row>
    <row r="973" customFormat="false" ht="15" hidden="false" customHeight="false" outlineLevel="0" collapsed="false">
      <c r="A973" s="15" t="s">
        <v>850</v>
      </c>
      <c r="B973" s="15" t="s">
        <v>6754</v>
      </c>
      <c r="C973" s="14" t="s">
        <v>6923</v>
      </c>
      <c r="D973" s="14" t="s">
        <v>6924</v>
      </c>
      <c r="E973" s="16" t="s">
        <v>6925</v>
      </c>
      <c r="F973" s="16" t="s">
        <v>6926</v>
      </c>
      <c r="G973" s="23" t="s">
        <v>43</v>
      </c>
      <c r="H973" s="18" t="n">
        <v>4</v>
      </c>
      <c r="I973" s="20" t="n">
        <v>84.66</v>
      </c>
      <c r="J973" s="20" t="n">
        <v>167.08</v>
      </c>
      <c r="K973" s="18" t="n">
        <v>10</v>
      </c>
      <c r="L973" s="18" t="n">
        <v>8</v>
      </c>
      <c r="M973" s="18" t="n">
        <v>188</v>
      </c>
      <c r="N973" s="18" t="n">
        <v>120</v>
      </c>
      <c r="O973" s="14" t="s">
        <v>4385</v>
      </c>
      <c r="P973" s="14" t="s">
        <v>118</v>
      </c>
      <c r="Q973" s="15" t="s">
        <v>1089</v>
      </c>
      <c r="R973" s="16" t="s">
        <v>6927</v>
      </c>
      <c r="S973" s="15" t="s">
        <v>6928</v>
      </c>
      <c r="T973" s="15" t="s">
        <v>6929</v>
      </c>
      <c r="U973" s="21" t="s">
        <v>72</v>
      </c>
    </row>
    <row r="974" customFormat="false" ht="15" hidden="false" customHeight="false" outlineLevel="0" collapsed="false">
      <c r="A974" s="15" t="s">
        <v>850</v>
      </c>
      <c r="B974" s="15" t="s">
        <v>6754</v>
      </c>
      <c r="C974" s="14" t="s">
        <v>6930</v>
      </c>
      <c r="D974" s="14" t="s">
        <v>6931</v>
      </c>
      <c r="E974" s="16" t="s">
        <v>6932</v>
      </c>
      <c r="F974" s="16"/>
      <c r="G974" s="23" t="s">
        <v>43</v>
      </c>
      <c r="H974" s="18" t="n">
        <v>1</v>
      </c>
      <c r="I974" s="20" t="n">
        <v>30</v>
      </c>
      <c r="J974" s="20" t="n">
        <v>148.4</v>
      </c>
      <c r="K974" s="18" t="n">
        <v>2</v>
      </c>
      <c r="L974" s="18" t="n">
        <v>1</v>
      </c>
      <c r="M974" s="18" t="n">
        <v>48</v>
      </c>
      <c r="N974" s="18" t="n">
        <v>48</v>
      </c>
      <c r="O974" s="14" t="s">
        <v>1126</v>
      </c>
      <c r="P974" s="14" t="s">
        <v>84</v>
      </c>
      <c r="Q974" s="15" t="s">
        <v>1089</v>
      </c>
      <c r="R974" s="16" t="s">
        <v>6933</v>
      </c>
      <c r="S974" s="15" t="s">
        <v>6934</v>
      </c>
      <c r="T974" s="15" t="s">
        <v>6934</v>
      </c>
      <c r="U974" s="21" t="s">
        <v>72</v>
      </c>
    </row>
    <row r="975" customFormat="false" ht="26.85" hidden="false" customHeight="false" outlineLevel="0" collapsed="false">
      <c r="A975" s="15" t="s">
        <v>850</v>
      </c>
      <c r="B975" s="15" t="s">
        <v>6754</v>
      </c>
      <c r="C975" s="14" t="s">
        <v>6935</v>
      </c>
      <c r="D975" s="14" t="s">
        <v>6936</v>
      </c>
      <c r="E975" s="16" t="s">
        <v>6937</v>
      </c>
      <c r="F975" s="16" t="s">
        <v>6938</v>
      </c>
      <c r="G975" s="23" t="s">
        <v>43</v>
      </c>
      <c r="H975" s="18" t="n">
        <v>3</v>
      </c>
      <c r="I975" s="20" t="n">
        <v>86.11</v>
      </c>
      <c r="J975" s="20" t="n">
        <v>130.49</v>
      </c>
      <c r="K975" s="18" t="n">
        <v>4</v>
      </c>
      <c r="L975" s="18" t="n">
        <v>5</v>
      </c>
      <c r="M975" s="18" t="n">
        <v>116</v>
      </c>
      <c r="N975" s="18" t="n">
        <v>116</v>
      </c>
      <c r="O975" s="14" t="s">
        <v>6939</v>
      </c>
      <c r="P975" s="14" t="s">
        <v>118</v>
      </c>
      <c r="Q975" s="15" t="s">
        <v>1089</v>
      </c>
      <c r="R975" s="16" t="s">
        <v>5831</v>
      </c>
      <c r="S975" s="15" t="s">
        <v>6940</v>
      </c>
      <c r="T975" s="15" t="s">
        <v>6940</v>
      </c>
      <c r="U975" s="21" t="s">
        <v>72</v>
      </c>
    </row>
    <row r="976" customFormat="false" ht="15" hidden="false" customHeight="false" outlineLevel="0" collapsed="false">
      <c r="A976" s="15" t="s">
        <v>850</v>
      </c>
      <c r="B976" s="15" t="s">
        <v>6754</v>
      </c>
      <c r="C976" s="14" t="s">
        <v>6941</v>
      </c>
      <c r="D976" s="14" t="s">
        <v>6942</v>
      </c>
      <c r="E976" s="16" t="s">
        <v>6943</v>
      </c>
      <c r="F976" s="16"/>
      <c r="G976" s="23" t="s">
        <v>43</v>
      </c>
      <c r="H976" s="18" t="n">
        <v>2</v>
      </c>
      <c r="I976" s="20" t="n">
        <v>49</v>
      </c>
      <c r="J976" s="20" t="n">
        <v>84.37</v>
      </c>
      <c r="K976" s="18" t="n">
        <v>9</v>
      </c>
      <c r="L976" s="18" t="n">
        <v>2</v>
      </c>
      <c r="M976" s="18" t="n">
        <v>198</v>
      </c>
      <c r="N976" s="18" t="n">
        <v>75</v>
      </c>
      <c r="O976" s="14" t="s">
        <v>4215</v>
      </c>
      <c r="P976" s="14" t="s">
        <v>334</v>
      </c>
      <c r="Q976" s="15" t="s">
        <v>1089</v>
      </c>
      <c r="R976" s="16" t="s">
        <v>6944</v>
      </c>
      <c r="S976" s="15" t="s">
        <v>6945</v>
      </c>
      <c r="T976" s="15" t="s">
        <v>6945</v>
      </c>
      <c r="U976" s="21" t="s">
        <v>72</v>
      </c>
    </row>
    <row r="977" customFormat="false" ht="26.85" hidden="false" customHeight="false" outlineLevel="0" collapsed="false">
      <c r="A977" s="15" t="s">
        <v>850</v>
      </c>
      <c r="B977" s="15" t="s">
        <v>6754</v>
      </c>
      <c r="C977" s="14" t="s">
        <v>6946</v>
      </c>
      <c r="D977" s="14" t="s">
        <v>6947</v>
      </c>
      <c r="E977" s="16" t="s">
        <v>6948</v>
      </c>
      <c r="F977" s="16" t="s">
        <v>6949</v>
      </c>
      <c r="G977" s="19" t="s">
        <v>41</v>
      </c>
      <c r="H977" s="18" t="n">
        <v>4</v>
      </c>
      <c r="I977" s="20" t="n">
        <v>153.17</v>
      </c>
      <c r="J977" s="20" t="n">
        <v>325.1</v>
      </c>
      <c r="K977" s="18" t="n">
        <v>3</v>
      </c>
      <c r="L977" s="18" t="n">
        <v>3</v>
      </c>
      <c r="M977" s="18" t="n">
        <v>72</v>
      </c>
      <c r="N977" s="18" t="n">
        <v>72</v>
      </c>
      <c r="O977" s="14" t="s">
        <v>6950</v>
      </c>
      <c r="P977" s="14" t="s">
        <v>118</v>
      </c>
      <c r="Q977" s="15" t="s">
        <v>1089</v>
      </c>
      <c r="R977" s="16" t="s">
        <v>4415</v>
      </c>
      <c r="S977" s="15" t="s">
        <v>6951</v>
      </c>
      <c r="T977" s="15" t="s">
        <v>6951</v>
      </c>
      <c r="U977" s="21" t="s">
        <v>72</v>
      </c>
    </row>
    <row r="978" customFormat="false" ht="15" hidden="false" customHeight="false" outlineLevel="0" collapsed="false">
      <c r="A978" s="15" t="s">
        <v>850</v>
      </c>
      <c r="B978" s="15" t="s">
        <v>6754</v>
      </c>
      <c r="C978" s="14" t="s">
        <v>6952</v>
      </c>
      <c r="D978" s="14" t="s">
        <v>6953</v>
      </c>
      <c r="E978" s="16" t="s">
        <v>6954</v>
      </c>
      <c r="F978" s="16" t="s">
        <v>6955</v>
      </c>
      <c r="G978" s="23" t="s">
        <v>43</v>
      </c>
      <c r="H978" s="18" t="n">
        <v>3</v>
      </c>
      <c r="I978" s="20" t="n">
        <v>62.34</v>
      </c>
      <c r="J978" s="20" t="n">
        <v>155.98</v>
      </c>
      <c r="K978" s="18" t="n">
        <v>2</v>
      </c>
      <c r="L978" s="18" t="n">
        <v>3</v>
      </c>
      <c r="M978" s="18" t="n">
        <v>102</v>
      </c>
      <c r="N978" s="18" t="n">
        <v>102</v>
      </c>
      <c r="O978" s="14" t="s">
        <v>1126</v>
      </c>
      <c r="P978" s="14" t="s">
        <v>84</v>
      </c>
      <c r="Q978" s="15" t="s">
        <v>1089</v>
      </c>
      <c r="R978" s="16" t="s">
        <v>6956</v>
      </c>
      <c r="S978" s="15" t="s">
        <v>6957</v>
      </c>
      <c r="T978" s="15" t="s">
        <v>6958</v>
      </c>
      <c r="U978" s="21" t="s">
        <v>72</v>
      </c>
    </row>
    <row r="979" customFormat="false" ht="15" hidden="false" customHeight="false" outlineLevel="0" collapsed="false">
      <c r="A979" s="15" t="s">
        <v>850</v>
      </c>
      <c r="B979" s="15" t="s">
        <v>6754</v>
      </c>
      <c r="C979" s="14" t="s">
        <v>6959</v>
      </c>
      <c r="D979" s="14" t="s">
        <v>6960</v>
      </c>
      <c r="E979" s="16" t="s">
        <v>6961</v>
      </c>
      <c r="F979" s="16" t="s">
        <v>6962</v>
      </c>
      <c r="G979" s="23" t="s">
        <v>43</v>
      </c>
      <c r="H979" s="18" t="n">
        <v>4</v>
      </c>
      <c r="I979" s="20" t="n">
        <v>118</v>
      </c>
      <c r="J979" s="20" t="n">
        <v>199.14</v>
      </c>
      <c r="K979" s="18" t="n">
        <v>12</v>
      </c>
      <c r="L979" s="18" t="n">
        <v>3</v>
      </c>
      <c r="M979" s="18" t="n">
        <v>240</v>
      </c>
      <c r="N979" s="18" t="n">
        <v>160</v>
      </c>
      <c r="O979" s="14" t="s">
        <v>4446</v>
      </c>
      <c r="P979" s="14" t="s">
        <v>84</v>
      </c>
      <c r="Q979" s="15" t="s">
        <v>1089</v>
      </c>
      <c r="R979" s="16" t="s">
        <v>6963</v>
      </c>
      <c r="S979" s="15" t="s">
        <v>3934</v>
      </c>
      <c r="T979" s="15" t="s">
        <v>6964</v>
      </c>
      <c r="U979" s="21" t="s">
        <v>72</v>
      </c>
    </row>
    <row r="980" customFormat="false" ht="15" hidden="false" customHeight="false" outlineLevel="0" collapsed="false">
      <c r="A980" s="15" t="s">
        <v>850</v>
      </c>
      <c r="B980" s="15" t="s">
        <v>6754</v>
      </c>
      <c r="C980" s="14" t="s">
        <v>6965</v>
      </c>
      <c r="D980" s="14" t="s">
        <v>6966</v>
      </c>
      <c r="E980" s="16" t="s">
        <v>6967</v>
      </c>
      <c r="F980" s="16" t="s">
        <v>6968</v>
      </c>
      <c r="G980" s="23" t="s">
        <v>43</v>
      </c>
      <c r="H980" s="18" t="n">
        <v>2</v>
      </c>
      <c r="I980" s="20" t="n">
        <v>41</v>
      </c>
      <c r="J980" s="20" t="n">
        <v>78.67</v>
      </c>
      <c r="K980" s="18" t="n">
        <v>2</v>
      </c>
      <c r="L980" s="18" t="n">
        <v>3</v>
      </c>
      <c r="M980" s="18" t="n">
        <v>70</v>
      </c>
      <c r="N980" s="18" t="n">
        <v>70</v>
      </c>
      <c r="O980" s="14" t="s">
        <v>1088</v>
      </c>
      <c r="P980" s="14" t="s">
        <v>84</v>
      </c>
      <c r="Q980" s="15" t="s">
        <v>1089</v>
      </c>
      <c r="R980" s="16" t="s">
        <v>6969</v>
      </c>
      <c r="S980" s="15" t="s">
        <v>6970</v>
      </c>
      <c r="T980" s="15" t="s">
        <v>6970</v>
      </c>
      <c r="U980" s="21" t="s">
        <v>72</v>
      </c>
    </row>
    <row r="981" customFormat="false" ht="15" hidden="false" customHeight="false" outlineLevel="0" collapsed="false">
      <c r="A981" s="15" t="s">
        <v>850</v>
      </c>
      <c r="B981" s="15" t="s">
        <v>6754</v>
      </c>
      <c r="C981" s="14" t="s">
        <v>6971</v>
      </c>
      <c r="D981" s="14" t="s">
        <v>6972</v>
      </c>
      <c r="E981" s="16" t="s">
        <v>6973</v>
      </c>
      <c r="F981" s="16" t="s">
        <v>6974</v>
      </c>
      <c r="G981" s="19" t="s">
        <v>41</v>
      </c>
      <c r="H981" s="18" t="n">
        <v>4</v>
      </c>
      <c r="I981" s="20" t="n">
        <v>110.4</v>
      </c>
      <c r="J981" s="20" t="n">
        <v>226.13</v>
      </c>
      <c r="K981" s="18" t="n">
        <v>4</v>
      </c>
      <c r="L981" s="18" t="n">
        <v>8</v>
      </c>
      <c r="M981" s="18" t="n">
        <v>92</v>
      </c>
      <c r="N981" s="18" t="n">
        <v>92</v>
      </c>
      <c r="O981" s="14" t="s">
        <v>6975</v>
      </c>
      <c r="P981" s="14" t="s">
        <v>118</v>
      </c>
      <c r="Q981" s="15" t="s">
        <v>1089</v>
      </c>
      <c r="R981" s="16" t="s">
        <v>6976</v>
      </c>
      <c r="S981" s="15" t="s">
        <v>6977</v>
      </c>
      <c r="T981" s="15" t="s">
        <v>6977</v>
      </c>
      <c r="U981" s="21" t="s">
        <v>72</v>
      </c>
    </row>
    <row r="982" customFormat="false" ht="26.85" hidden="false" customHeight="false" outlineLevel="0" collapsed="false">
      <c r="A982" s="15" t="s">
        <v>850</v>
      </c>
      <c r="B982" s="15" t="s">
        <v>6754</v>
      </c>
      <c r="C982" s="14" t="s">
        <v>6978</v>
      </c>
      <c r="D982" s="14" t="s">
        <v>6979</v>
      </c>
      <c r="E982" s="16" t="s">
        <v>6980</v>
      </c>
      <c r="F982" s="16" t="s">
        <v>6981</v>
      </c>
      <c r="G982" s="23" t="s">
        <v>43</v>
      </c>
      <c r="H982" s="18" t="n">
        <v>3</v>
      </c>
      <c r="I982" s="20" t="n">
        <v>96.25</v>
      </c>
      <c r="J982" s="20" t="n">
        <v>153.15</v>
      </c>
      <c r="K982" s="18" t="n">
        <v>6</v>
      </c>
      <c r="L982" s="18" t="n">
        <v>18</v>
      </c>
      <c r="M982" s="18" t="n">
        <v>165</v>
      </c>
      <c r="N982" s="18" t="n">
        <v>165</v>
      </c>
      <c r="O982" s="14" t="s">
        <v>6982</v>
      </c>
      <c r="P982" s="14" t="s">
        <v>118</v>
      </c>
      <c r="Q982" s="15" t="s">
        <v>1089</v>
      </c>
      <c r="R982" s="16" t="s">
        <v>6983</v>
      </c>
      <c r="S982" s="15" t="s">
        <v>6984</v>
      </c>
      <c r="T982" s="15" t="s">
        <v>6985</v>
      </c>
      <c r="U982" s="21" t="s">
        <v>72</v>
      </c>
    </row>
    <row r="983" customFormat="false" ht="15" hidden="false" customHeight="false" outlineLevel="0" collapsed="false">
      <c r="A983" s="15" t="s">
        <v>850</v>
      </c>
      <c r="B983" s="15" t="s">
        <v>6754</v>
      </c>
      <c r="C983" s="14" t="s">
        <v>6986</v>
      </c>
      <c r="D983" s="14" t="s">
        <v>6987</v>
      </c>
      <c r="E983" s="16" t="s">
        <v>6988</v>
      </c>
      <c r="F983" s="16" t="s">
        <v>6989</v>
      </c>
      <c r="G983" s="23" t="s">
        <v>43</v>
      </c>
      <c r="H983" s="18" t="n">
        <v>3</v>
      </c>
      <c r="I983" s="20" t="n">
        <v>54.96</v>
      </c>
      <c r="J983" s="20" t="n">
        <v>147.72</v>
      </c>
      <c r="K983" s="18" t="n">
        <v>3</v>
      </c>
      <c r="L983" s="18" t="n">
        <v>4</v>
      </c>
      <c r="M983" s="18" t="n">
        <v>57</v>
      </c>
      <c r="N983" s="18" t="n">
        <v>57</v>
      </c>
      <c r="O983" s="14" t="s">
        <v>4343</v>
      </c>
      <c r="P983" s="14" t="s">
        <v>84</v>
      </c>
      <c r="Q983" s="15" t="s">
        <v>1089</v>
      </c>
      <c r="R983" s="16" t="s">
        <v>6990</v>
      </c>
      <c r="S983" s="15" t="s">
        <v>6991</v>
      </c>
      <c r="T983" s="15" t="s">
        <v>6991</v>
      </c>
      <c r="U983" s="21" t="s">
        <v>72</v>
      </c>
    </row>
    <row r="984" customFormat="false" ht="15" hidden="false" customHeight="false" outlineLevel="0" collapsed="false">
      <c r="A984" s="15" t="s">
        <v>850</v>
      </c>
      <c r="B984" s="15" t="s">
        <v>6754</v>
      </c>
      <c r="C984" s="14" t="s">
        <v>6992</v>
      </c>
      <c r="D984" s="14" t="s">
        <v>6993</v>
      </c>
      <c r="E984" s="16" t="s">
        <v>6994</v>
      </c>
      <c r="F984" s="16"/>
      <c r="G984" s="23" t="s">
        <v>43</v>
      </c>
      <c r="H984" s="18" t="n">
        <v>2</v>
      </c>
      <c r="I984" s="20" t="n">
        <v>50.42</v>
      </c>
      <c r="J984" s="20" t="n">
        <v>124.82</v>
      </c>
      <c r="K984" s="18" t="n">
        <v>4</v>
      </c>
      <c r="L984" s="18" t="n">
        <v>7</v>
      </c>
      <c r="M984" s="18" t="n">
        <v>79</v>
      </c>
      <c r="N984" s="18" t="n">
        <v>38</v>
      </c>
      <c r="O984" s="14" t="s">
        <v>1097</v>
      </c>
      <c r="P984" s="14" t="s">
        <v>118</v>
      </c>
      <c r="Q984" s="15" t="s">
        <v>1089</v>
      </c>
      <c r="R984" s="16" t="s">
        <v>3379</v>
      </c>
      <c r="S984" s="15" t="s">
        <v>6995</v>
      </c>
      <c r="T984" s="15" t="s">
        <v>6995</v>
      </c>
      <c r="U984" s="21" t="s">
        <v>72</v>
      </c>
    </row>
    <row r="985" customFormat="false" ht="15" hidden="false" customHeight="false" outlineLevel="0" collapsed="false">
      <c r="A985" s="15" t="s">
        <v>850</v>
      </c>
      <c r="B985" s="15" t="s">
        <v>6754</v>
      </c>
      <c r="C985" s="14" t="s">
        <v>6996</v>
      </c>
      <c r="D985" s="14" t="s">
        <v>6997</v>
      </c>
      <c r="E985" s="16" t="s">
        <v>6998</v>
      </c>
      <c r="F985" s="16" t="s">
        <v>6981</v>
      </c>
      <c r="G985" s="19" t="s">
        <v>41</v>
      </c>
      <c r="H985" s="18" t="n">
        <v>6</v>
      </c>
      <c r="I985" s="20" t="n">
        <v>91.14</v>
      </c>
      <c r="J985" s="20" t="n">
        <v>168.59</v>
      </c>
      <c r="K985" s="18" t="n">
        <v>6</v>
      </c>
      <c r="L985" s="18" t="n">
        <v>10</v>
      </c>
      <c r="M985" s="18" t="n">
        <v>84</v>
      </c>
      <c r="N985" s="18" t="n">
        <v>28</v>
      </c>
      <c r="O985" s="14" t="s">
        <v>4385</v>
      </c>
      <c r="P985" s="14" t="s">
        <v>118</v>
      </c>
      <c r="Q985" s="15" t="s">
        <v>1089</v>
      </c>
      <c r="R985" s="16" t="s">
        <v>6999</v>
      </c>
      <c r="S985" s="15" t="s">
        <v>6985</v>
      </c>
      <c r="T985" s="15" t="s">
        <v>7000</v>
      </c>
      <c r="U985" s="21" t="s">
        <v>72</v>
      </c>
    </row>
    <row r="986" customFormat="false" ht="15" hidden="false" customHeight="false" outlineLevel="0" collapsed="false">
      <c r="A986" s="15" t="s">
        <v>850</v>
      </c>
      <c r="B986" s="15" t="s">
        <v>6754</v>
      </c>
      <c r="C986" s="14" t="s">
        <v>7001</v>
      </c>
      <c r="D986" s="14" t="s">
        <v>7002</v>
      </c>
      <c r="E986" s="16" t="s">
        <v>7003</v>
      </c>
      <c r="F986" s="16"/>
      <c r="G986" s="23" t="s">
        <v>43</v>
      </c>
      <c r="H986" s="18" t="n">
        <v>3</v>
      </c>
      <c r="I986" s="20" t="n">
        <v>77.28</v>
      </c>
      <c r="J986" s="20" t="n">
        <v>147.93</v>
      </c>
      <c r="K986" s="18" t="n">
        <v>3</v>
      </c>
      <c r="L986" s="18" t="n">
        <v>1</v>
      </c>
      <c r="M986" s="18" t="n">
        <v>96</v>
      </c>
      <c r="N986" s="18" t="n">
        <v>96</v>
      </c>
      <c r="O986" s="14" t="s">
        <v>4223</v>
      </c>
      <c r="P986" s="14" t="s">
        <v>84</v>
      </c>
      <c r="Q986" s="15" t="s">
        <v>1089</v>
      </c>
      <c r="R986" s="16" t="s">
        <v>7004</v>
      </c>
      <c r="S986" s="15" t="s">
        <v>7005</v>
      </c>
      <c r="T986" s="15" t="s">
        <v>7006</v>
      </c>
      <c r="U986" s="21" t="s">
        <v>72</v>
      </c>
    </row>
    <row r="987" customFormat="false" ht="15" hidden="false" customHeight="false" outlineLevel="0" collapsed="false">
      <c r="A987" s="15" t="s">
        <v>850</v>
      </c>
      <c r="B987" s="15" t="s">
        <v>6754</v>
      </c>
      <c r="C987" s="14" t="s">
        <v>7007</v>
      </c>
      <c r="D987" s="14" t="s">
        <v>7008</v>
      </c>
      <c r="E987" s="16" t="s">
        <v>7009</v>
      </c>
      <c r="F987" s="16" t="s">
        <v>7010</v>
      </c>
      <c r="G987" s="23" t="s">
        <v>43</v>
      </c>
      <c r="H987" s="18" t="n">
        <v>2</v>
      </c>
      <c r="I987" s="20" t="n">
        <v>52.8</v>
      </c>
      <c r="J987" s="20" t="n">
        <v>116.56</v>
      </c>
      <c r="K987" s="18" t="n">
        <v>3</v>
      </c>
      <c r="L987" s="18" t="n">
        <v>1</v>
      </c>
      <c r="M987" s="18" t="n">
        <v>66</v>
      </c>
      <c r="N987" s="18" t="n">
        <v>66</v>
      </c>
      <c r="O987" s="14" t="s">
        <v>7011</v>
      </c>
      <c r="P987" s="14" t="s">
        <v>118</v>
      </c>
      <c r="Q987" s="15" t="s">
        <v>1089</v>
      </c>
      <c r="R987" s="16" t="s">
        <v>7012</v>
      </c>
      <c r="S987" s="15" t="s">
        <v>7013</v>
      </c>
      <c r="T987" s="15" t="s">
        <v>7014</v>
      </c>
      <c r="U987" s="21" t="s">
        <v>72</v>
      </c>
    </row>
    <row r="988" customFormat="false" ht="15" hidden="false" customHeight="false" outlineLevel="0" collapsed="false">
      <c r="A988" s="15" t="s">
        <v>850</v>
      </c>
      <c r="B988" s="15" t="s">
        <v>6754</v>
      </c>
      <c r="C988" s="14" t="s">
        <v>7015</v>
      </c>
      <c r="D988" s="14" t="s">
        <v>7016</v>
      </c>
      <c r="E988" s="16" t="s">
        <v>7017</v>
      </c>
      <c r="F988" s="16" t="s">
        <v>7018</v>
      </c>
      <c r="G988" s="19" t="s">
        <v>41</v>
      </c>
      <c r="H988" s="18" t="n">
        <v>7</v>
      </c>
      <c r="I988" s="20" t="n">
        <v>112.32</v>
      </c>
      <c r="J988" s="20" t="n">
        <v>218.38</v>
      </c>
      <c r="K988" s="18" t="n">
        <v>31</v>
      </c>
      <c r="L988" s="18" t="n">
        <v>12</v>
      </c>
      <c r="M988" s="18" t="n">
        <v>473</v>
      </c>
      <c r="N988" s="18" t="n">
        <v>98</v>
      </c>
      <c r="O988" s="14" t="s">
        <v>4385</v>
      </c>
      <c r="P988" s="14" t="s">
        <v>118</v>
      </c>
      <c r="Q988" s="15" t="s">
        <v>1089</v>
      </c>
      <c r="R988" s="16" t="s">
        <v>1000</v>
      </c>
      <c r="S988" s="15" t="s">
        <v>7019</v>
      </c>
      <c r="T988" s="15" t="s">
        <v>7020</v>
      </c>
      <c r="U988" s="21" t="s">
        <v>72</v>
      </c>
    </row>
    <row r="989" customFormat="false" ht="15" hidden="false" customHeight="false" outlineLevel="0" collapsed="false">
      <c r="A989" s="15" t="s">
        <v>850</v>
      </c>
      <c r="B989" s="15" t="s">
        <v>6754</v>
      </c>
      <c r="C989" s="14" t="s">
        <v>7021</v>
      </c>
      <c r="D989" s="14" t="s">
        <v>7022</v>
      </c>
      <c r="E989" s="16" t="s">
        <v>7023</v>
      </c>
      <c r="F989" s="16" t="s">
        <v>7024</v>
      </c>
      <c r="G989" s="19" t="s">
        <v>41</v>
      </c>
      <c r="H989" s="18" t="n">
        <v>4</v>
      </c>
      <c r="I989" s="20" t="n">
        <v>143.26</v>
      </c>
      <c r="J989" s="20" t="n">
        <v>209.45</v>
      </c>
      <c r="K989" s="18" t="n">
        <v>6</v>
      </c>
      <c r="L989" s="18" t="n">
        <v>11</v>
      </c>
      <c r="M989" s="18" t="n">
        <v>210</v>
      </c>
      <c r="N989" s="18" t="n">
        <v>120</v>
      </c>
      <c r="O989" s="14" t="s">
        <v>1126</v>
      </c>
      <c r="P989" s="14" t="s">
        <v>118</v>
      </c>
      <c r="Q989" s="15" t="s">
        <v>1089</v>
      </c>
      <c r="R989" s="16" t="s">
        <v>7025</v>
      </c>
      <c r="S989" s="15" t="s">
        <v>7026</v>
      </c>
      <c r="T989" s="15" t="s">
        <v>7026</v>
      </c>
      <c r="U989" s="21" t="s">
        <v>72</v>
      </c>
    </row>
    <row r="990" customFormat="false" ht="26.85" hidden="false" customHeight="false" outlineLevel="0" collapsed="false">
      <c r="A990" s="15" t="s">
        <v>850</v>
      </c>
      <c r="B990" s="15" t="s">
        <v>6754</v>
      </c>
      <c r="C990" s="14" t="s">
        <v>7027</v>
      </c>
      <c r="D990" s="14" t="s">
        <v>7028</v>
      </c>
      <c r="E990" s="16" t="s">
        <v>7029</v>
      </c>
      <c r="F990" s="16"/>
      <c r="G990" s="19" t="s">
        <v>41</v>
      </c>
      <c r="H990" s="18" t="n">
        <v>6</v>
      </c>
      <c r="I990" s="20" t="n">
        <v>178.99</v>
      </c>
      <c r="J990" s="20" t="n">
        <v>257.25</v>
      </c>
      <c r="K990" s="18" t="n">
        <v>5</v>
      </c>
      <c r="L990" s="18" t="n">
        <v>2</v>
      </c>
      <c r="M990" s="18" t="n">
        <v>163</v>
      </c>
      <c r="N990" s="18" t="n">
        <v>163</v>
      </c>
      <c r="O990" s="14" t="s">
        <v>7030</v>
      </c>
      <c r="P990" s="14" t="s">
        <v>118</v>
      </c>
      <c r="Q990" s="15" t="s">
        <v>1089</v>
      </c>
      <c r="R990" s="16" t="s">
        <v>7031</v>
      </c>
      <c r="S990" s="15" t="s">
        <v>7032</v>
      </c>
      <c r="T990" s="15" t="s">
        <v>7032</v>
      </c>
      <c r="U990" s="21" t="s">
        <v>72</v>
      </c>
    </row>
    <row r="991" customFormat="false" ht="15" hidden="false" customHeight="false" outlineLevel="0" collapsed="false">
      <c r="A991" s="15" t="s">
        <v>850</v>
      </c>
      <c r="B991" s="15" t="s">
        <v>6754</v>
      </c>
      <c r="C991" s="14" t="s">
        <v>7033</v>
      </c>
      <c r="D991" s="14" t="s">
        <v>7034</v>
      </c>
      <c r="E991" s="16" t="s">
        <v>7035</v>
      </c>
      <c r="F991" s="16"/>
      <c r="G991" s="19" t="s">
        <v>41</v>
      </c>
      <c r="H991" s="18" t="n">
        <v>4</v>
      </c>
      <c r="I991" s="20" t="n">
        <v>112.43</v>
      </c>
      <c r="J991" s="20" t="n">
        <v>267.87</v>
      </c>
      <c r="K991" s="18" t="n">
        <v>6</v>
      </c>
      <c r="L991" s="18" t="n">
        <v>6</v>
      </c>
      <c r="M991" s="18" t="n">
        <v>146</v>
      </c>
      <c r="N991" s="18" t="n">
        <v>92</v>
      </c>
      <c r="O991" s="14" t="s">
        <v>4215</v>
      </c>
      <c r="P991" s="14" t="s">
        <v>84</v>
      </c>
      <c r="Q991" s="15" t="s">
        <v>1089</v>
      </c>
      <c r="R991" s="16" t="s">
        <v>7036</v>
      </c>
      <c r="S991" s="15" t="s">
        <v>7037</v>
      </c>
      <c r="T991" s="15" t="s">
        <v>7038</v>
      </c>
      <c r="U991" s="21" t="s">
        <v>72</v>
      </c>
    </row>
    <row r="992" customFormat="false" ht="15" hidden="false" customHeight="false" outlineLevel="0" collapsed="false">
      <c r="A992" s="15" t="s">
        <v>850</v>
      </c>
      <c r="B992" s="15" t="s">
        <v>6754</v>
      </c>
      <c r="C992" s="14" t="s">
        <v>7039</v>
      </c>
      <c r="D992" s="14" t="s">
        <v>7040</v>
      </c>
      <c r="E992" s="16" t="s">
        <v>7041</v>
      </c>
      <c r="F992" s="16"/>
      <c r="G992" s="23" t="s">
        <v>43</v>
      </c>
      <c r="H992" s="18" t="n">
        <v>3</v>
      </c>
      <c r="I992" s="20" t="n">
        <v>30</v>
      </c>
      <c r="J992" s="20" t="n">
        <v>144.88</v>
      </c>
      <c r="K992" s="18" t="n">
        <v>4</v>
      </c>
      <c r="L992" s="18" t="n">
        <v>2</v>
      </c>
      <c r="M992" s="18" t="n">
        <v>96</v>
      </c>
      <c r="N992" s="18" t="n">
        <v>48</v>
      </c>
      <c r="O992" s="14" t="s">
        <v>1126</v>
      </c>
      <c r="P992" s="14" t="s">
        <v>118</v>
      </c>
      <c r="Q992" s="15" t="s">
        <v>1089</v>
      </c>
      <c r="R992" s="16" t="s">
        <v>7042</v>
      </c>
      <c r="S992" s="15" t="s">
        <v>7043</v>
      </c>
      <c r="T992" s="15" t="s">
        <v>7043</v>
      </c>
      <c r="U992" s="21" t="s">
        <v>72</v>
      </c>
    </row>
    <row r="993" customFormat="false" ht="15" hidden="false" customHeight="false" outlineLevel="0" collapsed="false">
      <c r="A993" s="15" t="s">
        <v>850</v>
      </c>
      <c r="B993" s="15" t="s">
        <v>6754</v>
      </c>
      <c r="C993" s="14" t="s">
        <v>7044</v>
      </c>
      <c r="D993" s="14" t="s">
        <v>7045</v>
      </c>
      <c r="E993" s="16" t="s">
        <v>7046</v>
      </c>
      <c r="F993" s="16" t="s">
        <v>7047</v>
      </c>
      <c r="G993" s="23" t="s">
        <v>43</v>
      </c>
      <c r="H993" s="18" t="n">
        <v>2</v>
      </c>
      <c r="I993" s="20" t="n">
        <v>61.72</v>
      </c>
      <c r="J993" s="20" t="n">
        <v>101.85</v>
      </c>
      <c r="K993" s="18" t="n">
        <v>3</v>
      </c>
      <c r="L993" s="18"/>
      <c r="M993" s="18" t="n">
        <v>125</v>
      </c>
      <c r="N993" s="18" t="n">
        <v>125</v>
      </c>
      <c r="O993" s="14" t="s">
        <v>7048</v>
      </c>
      <c r="P993" s="14" t="s">
        <v>118</v>
      </c>
      <c r="Q993" s="15" t="s">
        <v>1089</v>
      </c>
      <c r="R993" s="16" t="s">
        <v>7049</v>
      </c>
      <c r="S993" s="15" t="s">
        <v>7050</v>
      </c>
      <c r="T993" s="15" t="s">
        <v>7051</v>
      </c>
      <c r="U993" s="21" t="s">
        <v>72</v>
      </c>
    </row>
    <row r="994" customFormat="false" ht="15" hidden="false" customHeight="false" outlineLevel="0" collapsed="false">
      <c r="A994" s="15" t="s">
        <v>850</v>
      </c>
      <c r="B994" s="15" t="s">
        <v>6754</v>
      </c>
      <c r="C994" s="14" t="s">
        <v>7052</v>
      </c>
      <c r="D994" s="14" t="s">
        <v>7053</v>
      </c>
      <c r="E994" s="16" t="s">
        <v>7054</v>
      </c>
      <c r="F994" s="16"/>
      <c r="G994" s="19" t="s">
        <v>41</v>
      </c>
      <c r="H994" s="18" t="n">
        <v>2</v>
      </c>
      <c r="I994" s="20" t="n">
        <v>41.31</v>
      </c>
      <c r="J994" s="20" t="n">
        <v>278.44</v>
      </c>
      <c r="K994" s="18" t="n">
        <v>2</v>
      </c>
      <c r="L994" s="18" t="n">
        <v>1</v>
      </c>
      <c r="M994" s="18" t="n">
        <v>36</v>
      </c>
      <c r="N994" s="18" t="n">
        <v>36</v>
      </c>
      <c r="O994" s="14" t="s">
        <v>1126</v>
      </c>
      <c r="P994" s="14" t="s">
        <v>84</v>
      </c>
      <c r="Q994" s="15" t="s">
        <v>1089</v>
      </c>
      <c r="R994" s="16" t="s">
        <v>7055</v>
      </c>
      <c r="S994" s="15" t="s">
        <v>7056</v>
      </c>
      <c r="T994" s="15" t="s">
        <v>7057</v>
      </c>
      <c r="U994" s="21" t="s">
        <v>72</v>
      </c>
    </row>
    <row r="995" customFormat="false" ht="15" hidden="false" customHeight="false" outlineLevel="0" collapsed="false">
      <c r="A995" s="15" t="s">
        <v>850</v>
      </c>
      <c r="B995" s="15" t="s">
        <v>6754</v>
      </c>
      <c r="C995" s="14" t="s">
        <v>7058</v>
      </c>
      <c r="D995" s="14" t="s">
        <v>7059</v>
      </c>
      <c r="E995" s="16" t="s">
        <v>7060</v>
      </c>
      <c r="F995" s="16" t="s">
        <v>2985</v>
      </c>
      <c r="G995" s="25" t="s">
        <v>39</v>
      </c>
      <c r="H995" s="18" t="n">
        <v>8</v>
      </c>
      <c r="I995" s="20" t="n">
        <v>181.4</v>
      </c>
      <c r="J995" s="20" t="n">
        <v>333.94</v>
      </c>
      <c r="K995" s="18" t="n">
        <v>7</v>
      </c>
      <c r="L995" s="18" t="n">
        <v>11</v>
      </c>
      <c r="M995" s="18" t="n">
        <v>119</v>
      </c>
      <c r="N995" s="18" t="n">
        <v>119</v>
      </c>
      <c r="O995" s="14" t="s">
        <v>1088</v>
      </c>
      <c r="P995" s="14" t="s">
        <v>84</v>
      </c>
      <c r="Q995" s="15" t="s">
        <v>1089</v>
      </c>
      <c r="R995" s="16" t="s">
        <v>7061</v>
      </c>
      <c r="S995" s="15" t="s">
        <v>7062</v>
      </c>
      <c r="T995" s="15" t="s">
        <v>7063</v>
      </c>
      <c r="U995" s="21" t="s">
        <v>72</v>
      </c>
    </row>
    <row r="996" customFormat="false" ht="15" hidden="false" customHeight="false" outlineLevel="0" collapsed="false">
      <c r="A996" s="15" t="s">
        <v>850</v>
      </c>
      <c r="B996" s="15" t="s">
        <v>6754</v>
      </c>
      <c r="C996" s="14" t="s">
        <v>7064</v>
      </c>
      <c r="D996" s="14" t="s">
        <v>7065</v>
      </c>
      <c r="E996" s="16" t="s">
        <v>7066</v>
      </c>
      <c r="F996" s="16" t="s">
        <v>7067</v>
      </c>
      <c r="G996" s="23" t="s">
        <v>43</v>
      </c>
      <c r="H996" s="18" t="n">
        <v>3</v>
      </c>
      <c r="I996" s="20" t="n">
        <v>67.52</v>
      </c>
      <c r="J996" s="20" t="n">
        <v>173.52</v>
      </c>
      <c r="K996" s="18" t="n">
        <v>6</v>
      </c>
      <c r="L996" s="18" t="n">
        <v>3</v>
      </c>
      <c r="M996" s="18" t="n">
        <v>78</v>
      </c>
      <c r="N996" s="18" t="n">
        <v>45</v>
      </c>
      <c r="O996" s="14" t="s">
        <v>4215</v>
      </c>
      <c r="P996" s="14" t="s">
        <v>118</v>
      </c>
      <c r="Q996" s="15" t="s">
        <v>1089</v>
      </c>
      <c r="R996" s="16" t="s">
        <v>7068</v>
      </c>
      <c r="S996" s="15" t="s">
        <v>7069</v>
      </c>
      <c r="T996" s="15" t="s">
        <v>7069</v>
      </c>
      <c r="U996" s="21" t="s">
        <v>72</v>
      </c>
    </row>
    <row r="997" customFormat="false" ht="15" hidden="false" customHeight="false" outlineLevel="0" collapsed="false">
      <c r="A997" s="15" t="s">
        <v>850</v>
      </c>
      <c r="B997" s="15" t="s">
        <v>6754</v>
      </c>
      <c r="C997" s="14" t="s">
        <v>7070</v>
      </c>
      <c r="D997" s="14" t="s">
        <v>7071</v>
      </c>
      <c r="E997" s="16" t="s">
        <v>7072</v>
      </c>
      <c r="F997" s="16" t="s">
        <v>7073</v>
      </c>
      <c r="G997" s="23" t="s">
        <v>43</v>
      </c>
      <c r="H997" s="18" t="n">
        <v>2</v>
      </c>
      <c r="I997" s="20" t="n">
        <v>56.03</v>
      </c>
      <c r="J997" s="20" t="n">
        <v>91.76</v>
      </c>
      <c r="K997" s="18" t="n">
        <v>3</v>
      </c>
      <c r="L997" s="18" t="n">
        <v>3</v>
      </c>
      <c r="M997" s="18" t="n">
        <v>64</v>
      </c>
      <c r="N997" s="18" t="n">
        <v>26</v>
      </c>
      <c r="O997" s="14" t="s">
        <v>4223</v>
      </c>
      <c r="P997" s="14" t="s">
        <v>118</v>
      </c>
      <c r="Q997" s="15" t="s">
        <v>1089</v>
      </c>
      <c r="R997" s="16" t="s">
        <v>4242</v>
      </c>
      <c r="S997" s="15" t="s">
        <v>7074</v>
      </c>
      <c r="T997" s="15" t="s">
        <v>7074</v>
      </c>
      <c r="U997" s="21" t="s">
        <v>72</v>
      </c>
    </row>
    <row r="998" customFormat="false" ht="39.55" hidden="false" customHeight="false" outlineLevel="0" collapsed="false">
      <c r="A998" s="15" t="s">
        <v>850</v>
      </c>
      <c r="B998" s="15" t="s">
        <v>6754</v>
      </c>
      <c r="C998" s="14" t="s">
        <v>7075</v>
      </c>
      <c r="D998" s="14" t="s">
        <v>7076</v>
      </c>
      <c r="E998" s="16" t="s">
        <v>7077</v>
      </c>
      <c r="F998" s="16" t="s">
        <v>7078</v>
      </c>
      <c r="G998" s="25" t="s">
        <v>39</v>
      </c>
      <c r="H998" s="18" t="n">
        <v>9</v>
      </c>
      <c r="I998" s="20" t="n">
        <v>48.42</v>
      </c>
      <c r="J998" s="20" t="n">
        <v>252.2</v>
      </c>
      <c r="K998" s="18" t="n">
        <v>4</v>
      </c>
      <c r="L998" s="18" t="n">
        <v>11</v>
      </c>
      <c r="M998" s="18" t="n">
        <v>88</v>
      </c>
      <c r="N998" s="18" t="n">
        <v>88</v>
      </c>
      <c r="O998" s="14" t="s">
        <v>7079</v>
      </c>
      <c r="P998" s="14" t="s">
        <v>118</v>
      </c>
      <c r="Q998" s="15" t="s">
        <v>1089</v>
      </c>
      <c r="R998" s="16" t="s">
        <v>7080</v>
      </c>
      <c r="S998" s="15" t="s">
        <v>7081</v>
      </c>
      <c r="T998" s="15" t="s">
        <v>7081</v>
      </c>
      <c r="U998" s="21" t="s">
        <v>72</v>
      </c>
    </row>
    <row r="999" customFormat="false" ht="15" hidden="false" customHeight="false" outlineLevel="0" collapsed="false">
      <c r="A999" s="15" t="s">
        <v>850</v>
      </c>
      <c r="B999" s="15" t="s">
        <v>6754</v>
      </c>
      <c r="C999" s="14" t="s">
        <v>7082</v>
      </c>
      <c r="D999" s="14" t="s">
        <v>7083</v>
      </c>
      <c r="E999" s="16" t="s">
        <v>7084</v>
      </c>
      <c r="F999" s="16" t="s">
        <v>7085</v>
      </c>
      <c r="G999" s="23" t="s">
        <v>43</v>
      </c>
      <c r="H999" s="18" t="n">
        <v>1</v>
      </c>
      <c r="I999" s="20" t="n">
        <v>41.18</v>
      </c>
      <c r="J999" s="20" t="n">
        <v>75.22</v>
      </c>
      <c r="K999" s="18" t="n">
        <v>3</v>
      </c>
      <c r="L999" s="18" t="n">
        <v>2</v>
      </c>
      <c r="M999" s="18" t="n">
        <v>102</v>
      </c>
      <c r="N999" s="18" t="n">
        <v>34</v>
      </c>
      <c r="O999" s="14" t="s">
        <v>1097</v>
      </c>
      <c r="P999" s="14" t="s">
        <v>515</v>
      </c>
      <c r="Q999" s="15" t="s">
        <v>1089</v>
      </c>
      <c r="R999" s="16" t="s">
        <v>7086</v>
      </c>
      <c r="S999" s="15" t="s">
        <v>7087</v>
      </c>
      <c r="T999" s="15" t="s">
        <v>7088</v>
      </c>
      <c r="U999" s="21" t="s">
        <v>72</v>
      </c>
    </row>
    <row r="1000" customFormat="false" ht="26.85" hidden="false" customHeight="false" outlineLevel="0" collapsed="false">
      <c r="A1000" s="15" t="s">
        <v>850</v>
      </c>
      <c r="B1000" s="15" t="s">
        <v>6754</v>
      </c>
      <c r="C1000" s="14" t="s">
        <v>7089</v>
      </c>
      <c r="D1000" s="14" t="s">
        <v>7090</v>
      </c>
      <c r="E1000" s="16" t="s">
        <v>7091</v>
      </c>
      <c r="F1000" s="16" t="s">
        <v>7092</v>
      </c>
      <c r="G1000" s="23" t="s">
        <v>43</v>
      </c>
      <c r="H1000" s="18" t="n">
        <v>3</v>
      </c>
      <c r="I1000" s="20" t="n">
        <v>63.22</v>
      </c>
      <c r="J1000" s="20" t="n">
        <v>137.4</v>
      </c>
      <c r="K1000" s="18" t="n">
        <v>15</v>
      </c>
      <c r="L1000" s="18" t="n">
        <v>6</v>
      </c>
      <c r="M1000" s="18" t="n">
        <v>198</v>
      </c>
      <c r="N1000" s="18" t="n">
        <v>48</v>
      </c>
      <c r="O1000" s="14" t="s">
        <v>4215</v>
      </c>
      <c r="P1000" s="14" t="s">
        <v>352</v>
      </c>
      <c r="Q1000" s="15" t="s">
        <v>1089</v>
      </c>
      <c r="R1000" s="16" t="s">
        <v>7093</v>
      </c>
      <c r="S1000" s="15" t="s">
        <v>7094</v>
      </c>
      <c r="T1000" s="15" t="s">
        <v>7095</v>
      </c>
      <c r="U1000" s="21" t="s">
        <v>72</v>
      </c>
    </row>
    <row r="1001" customFormat="false" ht="26.85" hidden="false" customHeight="false" outlineLevel="0" collapsed="false">
      <c r="A1001" s="15" t="s">
        <v>850</v>
      </c>
      <c r="B1001" s="15" t="s">
        <v>6754</v>
      </c>
      <c r="C1001" s="14" t="s">
        <v>7096</v>
      </c>
      <c r="D1001" s="14" t="s">
        <v>7097</v>
      </c>
      <c r="E1001" s="16" t="s">
        <v>7098</v>
      </c>
      <c r="F1001" s="16" t="s">
        <v>7099</v>
      </c>
      <c r="G1001" s="23" t="s">
        <v>43</v>
      </c>
      <c r="H1001" s="18" t="n">
        <v>2</v>
      </c>
      <c r="I1001" s="20" t="n">
        <v>39.07</v>
      </c>
      <c r="J1001" s="20" t="n">
        <v>108.62</v>
      </c>
      <c r="K1001" s="18" t="n">
        <v>4</v>
      </c>
      <c r="L1001" s="18" t="n">
        <v>2</v>
      </c>
      <c r="M1001" s="18" t="n">
        <v>60</v>
      </c>
      <c r="N1001" s="18" t="n">
        <v>60</v>
      </c>
      <c r="O1001" s="14" t="s">
        <v>7100</v>
      </c>
      <c r="P1001" s="14" t="s">
        <v>118</v>
      </c>
      <c r="Q1001" s="15" t="s">
        <v>1089</v>
      </c>
      <c r="R1001" s="16" t="s">
        <v>7101</v>
      </c>
      <c r="S1001" s="15" t="s">
        <v>7102</v>
      </c>
      <c r="T1001" s="15" t="s">
        <v>7102</v>
      </c>
      <c r="U1001" s="21" t="s">
        <v>72</v>
      </c>
    </row>
    <row r="1002" customFormat="false" ht="15" hidden="false" customHeight="false" outlineLevel="0" collapsed="false">
      <c r="A1002" s="15" t="s">
        <v>850</v>
      </c>
      <c r="B1002" s="15" t="s">
        <v>6754</v>
      </c>
      <c r="C1002" s="14" t="s">
        <v>7103</v>
      </c>
      <c r="D1002" s="14" t="s">
        <v>7104</v>
      </c>
      <c r="E1002" s="16" t="s">
        <v>7105</v>
      </c>
      <c r="F1002" s="16"/>
      <c r="G1002" s="23" t="s">
        <v>43</v>
      </c>
      <c r="H1002" s="18" t="n">
        <v>2</v>
      </c>
      <c r="I1002" s="20" t="n">
        <v>42.28</v>
      </c>
      <c r="J1002" s="20" t="n">
        <v>125.97</v>
      </c>
      <c r="K1002" s="18" t="n">
        <v>2</v>
      </c>
      <c r="L1002" s="18" t="n">
        <v>6</v>
      </c>
      <c r="M1002" s="18" t="n">
        <v>68</v>
      </c>
      <c r="N1002" s="18" t="n">
        <v>68</v>
      </c>
      <c r="O1002" s="14" t="s">
        <v>1126</v>
      </c>
      <c r="P1002" s="14" t="s">
        <v>84</v>
      </c>
      <c r="Q1002" s="15" t="s">
        <v>1089</v>
      </c>
      <c r="R1002" s="16" t="s">
        <v>7106</v>
      </c>
      <c r="S1002" s="15" t="s">
        <v>7107</v>
      </c>
      <c r="T1002" s="15" t="s">
        <v>7108</v>
      </c>
      <c r="U1002" s="21" t="s">
        <v>72</v>
      </c>
    </row>
    <row r="1003" customFormat="false" ht="15" hidden="false" customHeight="false" outlineLevel="0" collapsed="false">
      <c r="A1003" s="15" t="s">
        <v>850</v>
      </c>
      <c r="B1003" s="15" t="s">
        <v>6754</v>
      </c>
      <c r="C1003" s="14" t="s">
        <v>7109</v>
      </c>
      <c r="D1003" s="14" t="s">
        <v>7110</v>
      </c>
      <c r="E1003" s="16" t="s">
        <v>7111</v>
      </c>
      <c r="F1003" s="16" t="s">
        <v>7112</v>
      </c>
      <c r="G1003" s="23" t="s">
        <v>43</v>
      </c>
      <c r="H1003" s="18" t="n">
        <v>2</v>
      </c>
      <c r="I1003" s="20" t="n">
        <v>96</v>
      </c>
      <c r="J1003" s="20" t="n">
        <v>96</v>
      </c>
      <c r="K1003" s="18" t="n">
        <v>2</v>
      </c>
      <c r="L1003" s="18" t="n">
        <v>6</v>
      </c>
      <c r="M1003" s="18" t="n">
        <v>80</v>
      </c>
      <c r="N1003" s="18" t="n">
        <v>80</v>
      </c>
      <c r="O1003" s="14" t="s">
        <v>1126</v>
      </c>
      <c r="P1003" s="14" t="s">
        <v>84</v>
      </c>
      <c r="Q1003" s="15" t="s">
        <v>1089</v>
      </c>
      <c r="R1003" s="16" t="s">
        <v>7113</v>
      </c>
      <c r="S1003" s="15" t="s">
        <v>7114</v>
      </c>
      <c r="T1003" s="15" t="s">
        <v>7115</v>
      </c>
      <c r="U1003" s="21" t="s">
        <v>72</v>
      </c>
    </row>
    <row r="1004" customFormat="false" ht="15" hidden="false" customHeight="false" outlineLevel="0" collapsed="false">
      <c r="A1004" s="15" t="s">
        <v>850</v>
      </c>
      <c r="B1004" s="15" t="s">
        <v>6754</v>
      </c>
      <c r="C1004" s="14" t="s">
        <v>7116</v>
      </c>
      <c r="D1004" s="14" t="s">
        <v>7117</v>
      </c>
      <c r="E1004" s="16" t="s">
        <v>7118</v>
      </c>
      <c r="F1004" s="16" t="s">
        <v>7119</v>
      </c>
      <c r="G1004" s="23" t="s">
        <v>43</v>
      </c>
      <c r="H1004" s="18" t="n">
        <v>4</v>
      </c>
      <c r="I1004" s="20" t="n">
        <v>30</v>
      </c>
      <c r="J1004" s="20" t="n">
        <v>134.52</v>
      </c>
      <c r="K1004" s="18" t="n">
        <v>7</v>
      </c>
      <c r="L1004" s="18" t="n">
        <v>4</v>
      </c>
      <c r="M1004" s="18" t="n">
        <v>224</v>
      </c>
      <c r="N1004" s="18" t="n">
        <v>128</v>
      </c>
      <c r="O1004" s="14" t="s">
        <v>7120</v>
      </c>
      <c r="P1004" s="14" t="s">
        <v>118</v>
      </c>
      <c r="Q1004" s="15" t="s">
        <v>1089</v>
      </c>
      <c r="R1004" s="16" t="s">
        <v>7121</v>
      </c>
      <c r="S1004" s="15" t="s">
        <v>4807</v>
      </c>
      <c r="T1004" s="15" t="s">
        <v>4807</v>
      </c>
      <c r="U1004" s="21" t="s">
        <v>72</v>
      </c>
    </row>
    <row r="1005" customFormat="false" ht="15" hidden="false" customHeight="false" outlineLevel="0" collapsed="false">
      <c r="A1005" s="15" t="s">
        <v>850</v>
      </c>
      <c r="B1005" s="15" t="s">
        <v>6754</v>
      </c>
      <c r="C1005" s="14" t="s">
        <v>7122</v>
      </c>
      <c r="D1005" s="14" t="s">
        <v>7123</v>
      </c>
      <c r="E1005" s="16" t="s">
        <v>7124</v>
      </c>
      <c r="F1005" s="16" t="s">
        <v>7125</v>
      </c>
      <c r="G1005" s="23" t="s">
        <v>43</v>
      </c>
      <c r="H1005" s="18" t="n">
        <v>4</v>
      </c>
      <c r="I1005" s="20" t="n">
        <v>71.12</v>
      </c>
      <c r="J1005" s="20" t="n">
        <v>189.88</v>
      </c>
      <c r="K1005" s="18" t="n">
        <v>4</v>
      </c>
      <c r="L1005" s="18" t="n">
        <v>10</v>
      </c>
      <c r="M1005" s="18" t="n">
        <v>72</v>
      </c>
      <c r="N1005" s="18" t="n">
        <v>72</v>
      </c>
      <c r="O1005" s="14" t="s">
        <v>4276</v>
      </c>
      <c r="P1005" s="14" t="s">
        <v>84</v>
      </c>
      <c r="Q1005" s="15" t="s">
        <v>1089</v>
      </c>
      <c r="R1005" s="16" t="s">
        <v>7126</v>
      </c>
      <c r="S1005" s="15" t="s">
        <v>7127</v>
      </c>
      <c r="T1005" s="15" t="s">
        <v>7127</v>
      </c>
      <c r="U1005" s="21" t="s">
        <v>72</v>
      </c>
    </row>
    <row r="1006" customFormat="false" ht="26.85" hidden="false" customHeight="false" outlineLevel="0" collapsed="false">
      <c r="A1006" s="15" t="s">
        <v>850</v>
      </c>
      <c r="B1006" s="15" t="s">
        <v>6754</v>
      </c>
      <c r="C1006" s="14" t="s">
        <v>7128</v>
      </c>
      <c r="D1006" s="14" t="s">
        <v>7129</v>
      </c>
      <c r="E1006" s="16" t="s">
        <v>7130</v>
      </c>
      <c r="F1006" s="16" t="s">
        <v>7131</v>
      </c>
      <c r="G1006" s="23" t="s">
        <v>43</v>
      </c>
      <c r="H1006" s="18" t="n">
        <v>2</v>
      </c>
      <c r="I1006" s="20" t="n">
        <v>30</v>
      </c>
      <c r="J1006" s="20" t="n">
        <v>91.65</v>
      </c>
      <c r="K1006" s="18" t="n">
        <v>7</v>
      </c>
      <c r="L1006" s="18" t="n">
        <v>14</v>
      </c>
      <c r="M1006" s="18" t="n">
        <v>84</v>
      </c>
      <c r="N1006" s="18" t="n">
        <v>24</v>
      </c>
      <c r="O1006" s="14" t="s">
        <v>5664</v>
      </c>
      <c r="P1006" s="14" t="s">
        <v>906</v>
      </c>
      <c r="Q1006" s="15" t="s">
        <v>1089</v>
      </c>
      <c r="R1006" s="16" t="s">
        <v>7132</v>
      </c>
      <c r="S1006" s="15" t="s">
        <v>7133</v>
      </c>
      <c r="T1006" s="15" t="s">
        <v>7133</v>
      </c>
      <c r="U1006" s="21" t="s">
        <v>72</v>
      </c>
    </row>
    <row r="1007" customFormat="false" ht="15" hidden="false" customHeight="false" outlineLevel="0" collapsed="false">
      <c r="A1007" s="15" t="s">
        <v>850</v>
      </c>
      <c r="B1007" s="15" t="s">
        <v>6754</v>
      </c>
      <c r="C1007" s="14" t="s">
        <v>7134</v>
      </c>
      <c r="D1007" s="14" t="s">
        <v>7135</v>
      </c>
      <c r="E1007" s="16" t="s">
        <v>7136</v>
      </c>
      <c r="F1007" s="16"/>
      <c r="G1007" s="23" t="s">
        <v>43</v>
      </c>
      <c r="H1007" s="18" t="n">
        <v>2</v>
      </c>
      <c r="I1007" s="20" t="n">
        <v>37.34</v>
      </c>
      <c r="J1007" s="20" t="n">
        <v>83.78</v>
      </c>
      <c r="K1007" s="18" t="n">
        <v>10</v>
      </c>
      <c r="L1007" s="18"/>
      <c r="M1007" s="18" t="n">
        <v>220</v>
      </c>
      <c r="N1007" s="18" t="n">
        <v>220</v>
      </c>
      <c r="O1007" s="14" t="s">
        <v>4215</v>
      </c>
      <c r="P1007" s="14" t="s">
        <v>118</v>
      </c>
      <c r="Q1007" s="15" t="s">
        <v>1089</v>
      </c>
      <c r="R1007" s="16" t="s">
        <v>7137</v>
      </c>
      <c r="S1007" s="15" t="s">
        <v>7138</v>
      </c>
      <c r="T1007" s="15" t="s">
        <v>7139</v>
      </c>
      <c r="U1007" s="21" t="s">
        <v>72</v>
      </c>
    </row>
    <row r="1008" customFormat="false" ht="15" hidden="false" customHeight="false" outlineLevel="0" collapsed="false">
      <c r="A1008" s="15" t="s">
        <v>850</v>
      </c>
      <c r="B1008" s="15" t="s">
        <v>6754</v>
      </c>
      <c r="C1008" s="14" t="s">
        <v>7140</v>
      </c>
      <c r="D1008" s="14" t="s">
        <v>7141</v>
      </c>
      <c r="E1008" s="16" t="s">
        <v>7142</v>
      </c>
      <c r="F1008" s="16"/>
      <c r="G1008" s="23" t="s">
        <v>43</v>
      </c>
      <c r="H1008" s="18" t="n">
        <v>2</v>
      </c>
      <c r="I1008" s="20" t="n">
        <v>34.5</v>
      </c>
      <c r="J1008" s="20" t="n">
        <v>78.65</v>
      </c>
      <c r="K1008" s="18" t="n">
        <v>2</v>
      </c>
      <c r="L1008" s="18" t="n">
        <v>1</v>
      </c>
      <c r="M1008" s="18" t="n">
        <v>28</v>
      </c>
      <c r="N1008" s="18" t="n">
        <v>28</v>
      </c>
      <c r="O1008" s="14" t="s">
        <v>1088</v>
      </c>
      <c r="P1008" s="14" t="s">
        <v>84</v>
      </c>
      <c r="Q1008" s="15" t="s">
        <v>1089</v>
      </c>
      <c r="R1008" s="16" t="s">
        <v>5657</v>
      </c>
      <c r="S1008" s="15" t="s">
        <v>7143</v>
      </c>
      <c r="T1008" s="15" t="s">
        <v>7143</v>
      </c>
      <c r="U1008" s="21" t="s">
        <v>72</v>
      </c>
    </row>
    <row r="1009" customFormat="false" ht="15" hidden="false" customHeight="false" outlineLevel="0" collapsed="false">
      <c r="A1009" s="15" t="s">
        <v>850</v>
      </c>
      <c r="B1009" s="15" t="s">
        <v>6754</v>
      </c>
      <c r="C1009" s="14" t="s">
        <v>7144</v>
      </c>
      <c r="D1009" s="14" t="s">
        <v>7145</v>
      </c>
      <c r="E1009" s="16" t="s">
        <v>7146</v>
      </c>
      <c r="F1009" s="16" t="s">
        <v>7147</v>
      </c>
      <c r="G1009" s="23" t="s">
        <v>43</v>
      </c>
      <c r="H1009" s="18" t="n">
        <v>2</v>
      </c>
      <c r="I1009" s="20" t="n">
        <v>124</v>
      </c>
      <c r="J1009" s="20" t="n">
        <v>124.5</v>
      </c>
      <c r="K1009" s="18" t="n">
        <v>2</v>
      </c>
      <c r="L1009" s="18" t="n">
        <v>3</v>
      </c>
      <c r="M1009" s="18" t="n">
        <v>102</v>
      </c>
      <c r="N1009" s="18" t="n">
        <v>102</v>
      </c>
      <c r="O1009" s="14" t="s">
        <v>7148</v>
      </c>
      <c r="P1009" s="14" t="s">
        <v>84</v>
      </c>
      <c r="Q1009" s="15" t="s">
        <v>1089</v>
      </c>
      <c r="R1009" s="16" t="s">
        <v>4999</v>
      </c>
      <c r="S1009" s="15" t="s">
        <v>7149</v>
      </c>
      <c r="T1009" s="15" t="s">
        <v>7149</v>
      </c>
      <c r="U1009" s="21" t="s">
        <v>72</v>
      </c>
    </row>
    <row r="1010" customFormat="false" ht="26.85" hidden="false" customHeight="false" outlineLevel="0" collapsed="false">
      <c r="A1010" s="15" t="s">
        <v>850</v>
      </c>
      <c r="B1010" s="15" t="s">
        <v>6754</v>
      </c>
      <c r="C1010" s="14" t="s">
        <v>7150</v>
      </c>
      <c r="D1010" s="14" t="s">
        <v>7151</v>
      </c>
      <c r="E1010" s="16" t="s">
        <v>7152</v>
      </c>
      <c r="F1010" s="16"/>
      <c r="G1010" s="19" t="s">
        <v>41</v>
      </c>
      <c r="H1010" s="18" t="n">
        <v>4</v>
      </c>
      <c r="I1010" s="20" t="n">
        <v>99</v>
      </c>
      <c r="J1010" s="20" t="n">
        <v>220.95</v>
      </c>
      <c r="K1010" s="18" t="n">
        <v>6</v>
      </c>
      <c r="L1010" s="18" t="n">
        <v>6</v>
      </c>
      <c r="M1010" s="18" t="n">
        <v>134</v>
      </c>
      <c r="N1010" s="18" t="n">
        <v>34</v>
      </c>
      <c r="O1010" s="14" t="s">
        <v>7153</v>
      </c>
      <c r="P1010" s="14" t="s">
        <v>352</v>
      </c>
      <c r="Q1010" s="15" t="s">
        <v>1089</v>
      </c>
      <c r="R1010" s="16" t="s">
        <v>1596</v>
      </c>
      <c r="S1010" s="15" t="s">
        <v>7154</v>
      </c>
      <c r="T1010" s="15" t="s">
        <v>7155</v>
      </c>
      <c r="U1010" s="21" t="s">
        <v>72</v>
      </c>
    </row>
    <row r="1011" customFormat="false" ht="15" hidden="false" customHeight="false" outlineLevel="0" collapsed="false">
      <c r="A1011" s="15" t="s">
        <v>850</v>
      </c>
      <c r="B1011" s="15" t="s">
        <v>6754</v>
      </c>
      <c r="C1011" s="14" t="s">
        <v>7156</v>
      </c>
      <c r="D1011" s="14" t="s">
        <v>7157</v>
      </c>
      <c r="E1011" s="16" t="s">
        <v>7158</v>
      </c>
      <c r="F1011" s="16" t="s">
        <v>6938</v>
      </c>
      <c r="G1011" s="23" t="s">
        <v>43</v>
      </c>
      <c r="H1011" s="18" t="n">
        <v>2</v>
      </c>
      <c r="I1011" s="20" t="n">
        <v>34.1</v>
      </c>
      <c r="J1011" s="20" t="n">
        <v>96.76</v>
      </c>
      <c r="K1011" s="18" t="n">
        <v>2</v>
      </c>
      <c r="L1011" s="18" t="n">
        <v>1</v>
      </c>
      <c r="M1011" s="18" t="n">
        <v>56</v>
      </c>
      <c r="N1011" s="18" t="n">
        <v>56</v>
      </c>
      <c r="O1011" s="14" t="s">
        <v>4223</v>
      </c>
      <c r="P1011" s="14" t="s">
        <v>84</v>
      </c>
      <c r="Q1011" s="15" t="s">
        <v>1089</v>
      </c>
      <c r="R1011" s="16" t="s">
        <v>7159</v>
      </c>
      <c r="S1011" s="15" t="s">
        <v>6940</v>
      </c>
      <c r="T1011" s="15" t="s">
        <v>7160</v>
      </c>
      <c r="U1011" s="21" t="s">
        <v>72</v>
      </c>
    </row>
    <row r="1012" customFormat="false" ht="15" hidden="false" customHeight="false" outlineLevel="0" collapsed="false">
      <c r="A1012" s="15" t="s">
        <v>850</v>
      </c>
      <c r="B1012" s="15" t="s">
        <v>6754</v>
      </c>
      <c r="C1012" s="14" t="s">
        <v>7161</v>
      </c>
      <c r="D1012" s="14" t="s">
        <v>7162</v>
      </c>
      <c r="E1012" s="16" t="s">
        <v>7163</v>
      </c>
      <c r="F1012" s="16" t="s">
        <v>7164</v>
      </c>
      <c r="G1012" s="23" t="s">
        <v>43</v>
      </c>
      <c r="H1012" s="18" t="n">
        <v>2</v>
      </c>
      <c r="I1012" s="20" t="n">
        <v>59.09</v>
      </c>
      <c r="J1012" s="20" t="n">
        <v>132.08</v>
      </c>
      <c r="K1012" s="18" t="n">
        <v>2</v>
      </c>
      <c r="L1012" s="18" t="n">
        <v>6</v>
      </c>
      <c r="M1012" s="18" t="n">
        <v>48</v>
      </c>
      <c r="N1012" s="18" t="n">
        <v>48</v>
      </c>
      <c r="O1012" s="14" t="s">
        <v>7165</v>
      </c>
      <c r="P1012" s="14" t="s">
        <v>118</v>
      </c>
      <c r="Q1012" s="15" t="s">
        <v>1089</v>
      </c>
      <c r="R1012" s="16" t="s">
        <v>7166</v>
      </c>
      <c r="S1012" s="15" t="s">
        <v>7167</v>
      </c>
      <c r="T1012" s="15" t="s">
        <v>7167</v>
      </c>
      <c r="U1012" s="21" t="s">
        <v>72</v>
      </c>
    </row>
    <row r="1013" customFormat="false" ht="26.85" hidden="false" customHeight="false" outlineLevel="0" collapsed="false">
      <c r="A1013" s="15" t="s">
        <v>850</v>
      </c>
      <c r="B1013" s="15" t="s">
        <v>6754</v>
      </c>
      <c r="C1013" s="14" t="s">
        <v>7168</v>
      </c>
      <c r="D1013" s="14" t="s">
        <v>7169</v>
      </c>
      <c r="E1013" s="16" t="s">
        <v>7170</v>
      </c>
      <c r="F1013" s="16"/>
      <c r="G1013" s="23" t="s">
        <v>43</v>
      </c>
      <c r="H1013" s="18" t="n">
        <v>4</v>
      </c>
      <c r="I1013" s="20" t="n">
        <v>54.4</v>
      </c>
      <c r="J1013" s="20" t="n">
        <v>123.29</v>
      </c>
      <c r="K1013" s="18" t="n">
        <v>5</v>
      </c>
      <c r="L1013" s="18" t="n">
        <v>5</v>
      </c>
      <c r="M1013" s="18" t="n">
        <v>65</v>
      </c>
      <c r="N1013" s="18" t="n">
        <v>39</v>
      </c>
      <c r="O1013" s="14" t="s">
        <v>7171</v>
      </c>
      <c r="P1013" s="14" t="s">
        <v>1716</v>
      </c>
      <c r="Q1013" s="15" t="s">
        <v>1089</v>
      </c>
      <c r="R1013" s="16" t="s">
        <v>7172</v>
      </c>
      <c r="S1013" s="15" t="s">
        <v>7173</v>
      </c>
      <c r="T1013" s="15" t="s">
        <v>7174</v>
      </c>
      <c r="U1013" s="21" t="s">
        <v>72</v>
      </c>
    </row>
    <row r="1014" customFormat="false" ht="15" hidden="false" customHeight="false" outlineLevel="0" collapsed="false">
      <c r="A1014" s="15" t="s">
        <v>850</v>
      </c>
      <c r="B1014" s="15" t="s">
        <v>6754</v>
      </c>
      <c r="C1014" s="14" t="s">
        <v>7175</v>
      </c>
      <c r="D1014" s="14" t="s">
        <v>7176</v>
      </c>
      <c r="E1014" s="16" t="s">
        <v>7177</v>
      </c>
      <c r="F1014" s="16"/>
      <c r="G1014" s="23" t="s">
        <v>43</v>
      </c>
      <c r="H1014" s="18" t="n">
        <v>3</v>
      </c>
      <c r="I1014" s="20" t="n">
        <v>41.4</v>
      </c>
      <c r="J1014" s="20" t="n">
        <v>70.03</v>
      </c>
      <c r="K1014" s="18" t="n">
        <v>2</v>
      </c>
      <c r="L1014" s="18" t="n">
        <v>1</v>
      </c>
      <c r="M1014" s="18" t="n">
        <v>48</v>
      </c>
      <c r="N1014" s="18" t="n">
        <v>48</v>
      </c>
      <c r="O1014" s="14" t="s">
        <v>4276</v>
      </c>
      <c r="P1014" s="14" t="s">
        <v>84</v>
      </c>
      <c r="Q1014" s="15" t="s">
        <v>1089</v>
      </c>
      <c r="R1014" s="16" t="s">
        <v>7178</v>
      </c>
      <c r="S1014" s="15" t="s">
        <v>7179</v>
      </c>
      <c r="T1014" s="15" t="s">
        <v>7179</v>
      </c>
      <c r="U1014" s="21" t="s">
        <v>72</v>
      </c>
    </row>
    <row r="1015" customFormat="false" ht="26.85" hidden="false" customHeight="false" outlineLevel="0" collapsed="false">
      <c r="A1015" s="15" t="s">
        <v>850</v>
      </c>
      <c r="B1015" s="15" t="s">
        <v>6754</v>
      </c>
      <c r="C1015" s="14" t="s">
        <v>7180</v>
      </c>
      <c r="D1015" s="14" t="s">
        <v>7181</v>
      </c>
      <c r="E1015" s="16" t="s">
        <v>7182</v>
      </c>
      <c r="F1015" s="16"/>
      <c r="G1015" s="25" t="s">
        <v>39</v>
      </c>
      <c r="H1015" s="18" t="n">
        <v>8</v>
      </c>
      <c r="I1015" s="20" t="n">
        <v>114.9</v>
      </c>
      <c r="J1015" s="20" t="n">
        <v>217.1</v>
      </c>
      <c r="K1015" s="18" t="n">
        <v>8</v>
      </c>
      <c r="L1015" s="18" t="n">
        <v>4</v>
      </c>
      <c r="M1015" s="18" t="n">
        <v>175</v>
      </c>
      <c r="N1015" s="18" t="n">
        <v>175</v>
      </c>
      <c r="O1015" s="14" t="s">
        <v>7183</v>
      </c>
      <c r="P1015" s="14" t="s">
        <v>118</v>
      </c>
      <c r="Q1015" s="15" t="s">
        <v>1089</v>
      </c>
      <c r="R1015" s="16" t="s">
        <v>7184</v>
      </c>
      <c r="S1015" s="15" t="s">
        <v>7185</v>
      </c>
      <c r="T1015" s="15" t="s">
        <v>7186</v>
      </c>
      <c r="U1015" s="21" t="s">
        <v>72</v>
      </c>
    </row>
    <row r="1016" customFormat="false" ht="39.55" hidden="false" customHeight="false" outlineLevel="0" collapsed="false">
      <c r="A1016" s="15" t="s">
        <v>850</v>
      </c>
      <c r="B1016" s="15" t="s">
        <v>6754</v>
      </c>
      <c r="C1016" s="14" t="s">
        <v>7187</v>
      </c>
      <c r="D1016" s="14" t="s">
        <v>7188</v>
      </c>
      <c r="E1016" s="16" t="s">
        <v>7189</v>
      </c>
      <c r="F1016" s="16" t="s">
        <v>7190</v>
      </c>
      <c r="G1016" s="25" t="s">
        <v>39</v>
      </c>
      <c r="H1016" s="18" t="n">
        <v>11</v>
      </c>
      <c r="I1016" s="20" t="n">
        <v>310.7</v>
      </c>
      <c r="J1016" s="20" t="n">
        <v>750.73</v>
      </c>
      <c r="K1016" s="18" t="n">
        <v>11</v>
      </c>
      <c r="L1016" s="18" t="n">
        <v>12</v>
      </c>
      <c r="M1016" s="18" t="n">
        <v>451</v>
      </c>
      <c r="N1016" s="18" t="n">
        <v>287</v>
      </c>
      <c r="O1016" s="14" t="s">
        <v>1126</v>
      </c>
      <c r="P1016" s="14" t="s">
        <v>118</v>
      </c>
      <c r="Q1016" s="15" t="s">
        <v>1089</v>
      </c>
      <c r="R1016" s="16" t="s">
        <v>7191</v>
      </c>
      <c r="S1016" s="15" t="s">
        <v>7192</v>
      </c>
      <c r="T1016" s="15" t="s">
        <v>7193</v>
      </c>
      <c r="U1016" s="21" t="s">
        <v>72</v>
      </c>
    </row>
    <row r="1017" customFormat="false" ht="26.85" hidden="false" customHeight="false" outlineLevel="0" collapsed="false">
      <c r="A1017" s="15" t="s">
        <v>850</v>
      </c>
      <c r="B1017" s="15" t="s">
        <v>6754</v>
      </c>
      <c r="C1017" s="14" t="s">
        <v>7194</v>
      </c>
      <c r="D1017" s="14" t="s">
        <v>7195</v>
      </c>
      <c r="E1017" s="16" t="s">
        <v>7196</v>
      </c>
      <c r="F1017" s="16"/>
      <c r="G1017" s="25" t="s">
        <v>39</v>
      </c>
      <c r="H1017" s="18" t="n">
        <v>3</v>
      </c>
      <c r="I1017" s="20" t="n">
        <v>118.07</v>
      </c>
      <c r="J1017" s="20" t="n">
        <v>419.57</v>
      </c>
      <c r="K1017" s="18" t="n">
        <v>4</v>
      </c>
      <c r="L1017" s="18" t="n">
        <v>4</v>
      </c>
      <c r="M1017" s="18" t="n">
        <v>97</v>
      </c>
      <c r="N1017" s="18" t="n">
        <v>97</v>
      </c>
      <c r="O1017" s="14" t="s">
        <v>5475</v>
      </c>
      <c r="P1017" s="14" t="s">
        <v>118</v>
      </c>
      <c r="Q1017" s="15" t="s">
        <v>1089</v>
      </c>
      <c r="R1017" s="16" t="s">
        <v>6145</v>
      </c>
      <c r="S1017" s="15" t="s">
        <v>7197</v>
      </c>
      <c r="T1017" s="15" t="s">
        <v>7197</v>
      </c>
      <c r="U1017" s="21" t="s">
        <v>72</v>
      </c>
    </row>
    <row r="1018" customFormat="false" ht="15" hidden="false" customHeight="false" outlineLevel="0" collapsed="false">
      <c r="A1018" s="15" t="s">
        <v>850</v>
      </c>
      <c r="B1018" s="15" t="s">
        <v>6754</v>
      </c>
      <c r="C1018" s="14" t="s">
        <v>7198</v>
      </c>
      <c r="D1018" s="14" t="s">
        <v>7199</v>
      </c>
      <c r="E1018" s="16" t="s">
        <v>7200</v>
      </c>
      <c r="F1018" s="16"/>
      <c r="G1018" s="23" t="s">
        <v>43</v>
      </c>
      <c r="H1018" s="18" t="n">
        <v>4</v>
      </c>
      <c r="I1018" s="20" t="n">
        <v>50</v>
      </c>
      <c r="J1018" s="20" t="n">
        <v>112.54</v>
      </c>
      <c r="K1018" s="18" t="n">
        <v>4</v>
      </c>
      <c r="L1018" s="18" t="n">
        <v>2</v>
      </c>
      <c r="M1018" s="18" t="n">
        <v>58</v>
      </c>
      <c r="N1018" s="18" t="n">
        <v>40</v>
      </c>
      <c r="O1018" s="14" t="s">
        <v>4223</v>
      </c>
      <c r="P1018" s="14" t="s">
        <v>1166</v>
      </c>
      <c r="Q1018" s="15" t="s">
        <v>1089</v>
      </c>
      <c r="R1018" s="16" t="s">
        <v>7201</v>
      </c>
      <c r="S1018" s="15" t="s">
        <v>7202</v>
      </c>
      <c r="T1018" s="15" t="s">
        <v>7202</v>
      </c>
      <c r="U1018" s="21" t="s">
        <v>72</v>
      </c>
    </row>
    <row r="1019" customFormat="false" ht="26.85" hidden="false" customHeight="false" outlineLevel="0" collapsed="false">
      <c r="A1019" s="15" t="s">
        <v>850</v>
      </c>
      <c r="B1019" s="15" t="s">
        <v>6754</v>
      </c>
      <c r="C1019" s="14" t="s">
        <v>7203</v>
      </c>
      <c r="D1019" s="14" t="s">
        <v>7204</v>
      </c>
      <c r="E1019" s="16" t="s">
        <v>7205</v>
      </c>
      <c r="F1019" s="16"/>
      <c r="G1019" s="25" t="s">
        <v>39</v>
      </c>
      <c r="H1019" s="18" t="n">
        <v>9</v>
      </c>
      <c r="I1019" s="20" t="n">
        <v>172.1</v>
      </c>
      <c r="J1019" s="20" t="n">
        <v>255.85</v>
      </c>
      <c r="K1019" s="18" t="n">
        <v>18</v>
      </c>
      <c r="L1019" s="18" t="n">
        <v>10</v>
      </c>
      <c r="M1019" s="18" t="n">
        <v>324</v>
      </c>
      <c r="N1019" s="18" t="n">
        <v>126</v>
      </c>
      <c r="O1019" s="14" t="s">
        <v>4215</v>
      </c>
      <c r="P1019" s="14" t="s">
        <v>118</v>
      </c>
      <c r="Q1019" s="15" t="s">
        <v>1089</v>
      </c>
      <c r="R1019" s="16" t="s">
        <v>6850</v>
      </c>
      <c r="S1019" s="15" t="s">
        <v>7206</v>
      </c>
      <c r="T1019" s="15" t="s">
        <v>7206</v>
      </c>
      <c r="U1019" s="21" t="s">
        <v>72</v>
      </c>
    </row>
    <row r="1020" customFormat="false" ht="15" hidden="false" customHeight="false" outlineLevel="0" collapsed="false">
      <c r="A1020" s="15" t="s">
        <v>850</v>
      </c>
      <c r="B1020" s="15" t="s">
        <v>6754</v>
      </c>
      <c r="C1020" s="14" t="s">
        <v>7207</v>
      </c>
      <c r="D1020" s="14" t="s">
        <v>7208</v>
      </c>
      <c r="E1020" s="16" t="s">
        <v>7209</v>
      </c>
      <c r="F1020" s="16" t="s">
        <v>7210</v>
      </c>
      <c r="G1020" s="23" t="s">
        <v>43</v>
      </c>
      <c r="H1020" s="18" t="n">
        <v>2</v>
      </c>
      <c r="I1020" s="20" t="n">
        <v>46.77</v>
      </c>
      <c r="J1020" s="20" t="n">
        <v>76.65</v>
      </c>
      <c r="K1020" s="18" t="n">
        <v>4</v>
      </c>
      <c r="L1020" s="18" t="n">
        <v>2</v>
      </c>
      <c r="M1020" s="18" t="n">
        <v>76</v>
      </c>
      <c r="N1020" s="18" t="n">
        <v>76</v>
      </c>
      <c r="O1020" s="14" t="s">
        <v>7211</v>
      </c>
      <c r="P1020" s="14" t="s">
        <v>118</v>
      </c>
      <c r="Q1020" s="15" t="s">
        <v>1089</v>
      </c>
      <c r="R1020" s="16" t="s">
        <v>7212</v>
      </c>
      <c r="S1020" s="15" t="s">
        <v>7213</v>
      </c>
      <c r="T1020" s="15" t="s">
        <v>7214</v>
      </c>
      <c r="U1020" s="21" t="s">
        <v>72</v>
      </c>
    </row>
    <row r="1021" customFormat="false" ht="15" hidden="false" customHeight="false" outlineLevel="0" collapsed="false">
      <c r="A1021" s="15" t="s">
        <v>850</v>
      </c>
      <c r="B1021" s="15" t="s">
        <v>6754</v>
      </c>
      <c r="C1021" s="14" t="s">
        <v>7215</v>
      </c>
      <c r="D1021" s="14" t="s">
        <v>7216</v>
      </c>
      <c r="E1021" s="16" t="s">
        <v>7217</v>
      </c>
      <c r="F1021" s="16"/>
      <c r="G1021" s="19" t="s">
        <v>41</v>
      </c>
      <c r="H1021" s="18" t="n">
        <v>5</v>
      </c>
      <c r="I1021" s="20" t="n">
        <v>71.18</v>
      </c>
      <c r="J1021" s="20" t="n">
        <v>154.16</v>
      </c>
      <c r="K1021" s="18" t="n">
        <v>5</v>
      </c>
      <c r="L1021" s="18" t="n">
        <v>6</v>
      </c>
      <c r="M1021" s="18" t="n">
        <v>120</v>
      </c>
      <c r="N1021" s="18" t="n">
        <v>48</v>
      </c>
      <c r="O1021" s="14" t="s">
        <v>4223</v>
      </c>
      <c r="P1021" s="14" t="s">
        <v>94</v>
      </c>
      <c r="Q1021" s="15" t="s">
        <v>1089</v>
      </c>
      <c r="R1021" s="16" t="s">
        <v>7218</v>
      </c>
      <c r="S1021" s="15" t="s">
        <v>7219</v>
      </c>
      <c r="T1021" s="15" t="s">
        <v>7219</v>
      </c>
      <c r="U1021" s="21" t="s">
        <v>72</v>
      </c>
    </row>
    <row r="1022" customFormat="false" ht="15" hidden="false" customHeight="false" outlineLevel="0" collapsed="false">
      <c r="A1022" s="15" t="s">
        <v>850</v>
      </c>
      <c r="B1022" s="15" t="s">
        <v>6754</v>
      </c>
      <c r="C1022" s="14" t="s">
        <v>7220</v>
      </c>
      <c r="D1022" s="14" t="s">
        <v>7221</v>
      </c>
      <c r="E1022" s="16" t="s">
        <v>7222</v>
      </c>
      <c r="F1022" s="16"/>
      <c r="G1022" s="23" t="s">
        <v>43</v>
      </c>
      <c r="H1022" s="18" t="n">
        <v>1</v>
      </c>
      <c r="I1022" s="20" t="n">
        <v>30</v>
      </c>
      <c r="J1022" s="20" t="n">
        <v>79.83</v>
      </c>
      <c r="K1022" s="18" t="n">
        <v>1</v>
      </c>
      <c r="L1022" s="18" t="n">
        <v>4</v>
      </c>
      <c r="M1022" s="18" t="n">
        <v>24</v>
      </c>
      <c r="N1022" s="18" t="n">
        <v>24</v>
      </c>
      <c r="O1022" s="14" t="s">
        <v>4276</v>
      </c>
      <c r="P1022" s="14" t="s">
        <v>84</v>
      </c>
      <c r="Q1022" s="15" t="s">
        <v>1089</v>
      </c>
      <c r="R1022" s="16" t="s">
        <v>7223</v>
      </c>
      <c r="S1022" s="15" t="s">
        <v>7224</v>
      </c>
      <c r="T1022" s="15" t="s">
        <v>7224</v>
      </c>
      <c r="U1022" s="21" t="s">
        <v>72</v>
      </c>
    </row>
    <row r="1023" customFormat="false" ht="26.85" hidden="false" customHeight="false" outlineLevel="0" collapsed="false">
      <c r="A1023" s="15" t="s">
        <v>850</v>
      </c>
      <c r="B1023" s="15" t="s">
        <v>6754</v>
      </c>
      <c r="C1023" s="14" t="s">
        <v>7225</v>
      </c>
      <c r="D1023" s="14" t="s">
        <v>7226</v>
      </c>
      <c r="E1023" s="16" t="s">
        <v>7227</v>
      </c>
      <c r="F1023" s="16" t="s">
        <v>7228</v>
      </c>
      <c r="G1023" s="23" t="s">
        <v>43</v>
      </c>
      <c r="H1023" s="18" t="n">
        <v>4</v>
      </c>
      <c r="I1023" s="20" t="n">
        <v>58</v>
      </c>
      <c r="J1023" s="20" t="n">
        <v>192.45</v>
      </c>
      <c r="K1023" s="18" t="n">
        <v>6</v>
      </c>
      <c r="L1023" s="18" t="n">
        <v>1</v>
      </c>
      <c r="M1023" s="18" t="n">
        <v>152</v>
      </c>
      <c r="N1023" s="18" t="n">
        <v>40</v>
      </c>
      <c r="O1023" s="14" t="s">
        <v>1088</v>
      </c>
      <c r="P1023" s="14" t="s">
        <v>906</v>
      </c>
      <c r="Q1023" s="15" t="s">
        <v>1089</v>
      </c>
      <c r="R1023" s="16" t="s">
        <v>7229</v>
      </c>
      <c r="S1023" s="15" t="s">
        <v>7230</v>
      </c>
      <c r="T1023" s="15" t="s">
        <v>7230</v>
      </c>
      <c r="U1023" s="21" t="s">
        <v>72</v>
      </c>
    </row>
    <row r="1024" customFormat="false" ht="15" hidden="false" customHeight="false" outlineLevel="0" collapsed="false">
      <c r="A1024" s="15" t="s">
        <v>850</v>
      </c>
      <c r="B1024" s="15" t="s">
        <v>6754</v>
      </c>
      <c r="C1024" s="14" t="s">
        <v>7231</v>
      </c>
      <c r="D1024" s="14" t="s">
        <v>7232</v>
      </c>
      <c r="E1024" s="16" t="s">
        <v>7233</v>
      </c>
      <c r="F1024" s="16" t="s">
        <v>7234</v>
      </c>
      <c r="G1024" s="23" t="s">
        <v>43</v>
      </c>
      <c r="H1024" s="18" t="n">
        <v>2</v>
      </c>
      <c r="I1024" s="20" t="n">
        <v>46.29</v>
      </c>
      <c r="J1024" s="20" t="n">
        <v>189.88</v>
      </c>
      <c r="K1024" s="18" t="n">
        <v>4</v>
      </c>
      <c r="L1024" s="18" t="n">
        <v>4</v>
      </c>
      <c r="M1024" s="18" t="n">
        <v>76</v>
      </c>
      <c r="N1024" s="18" t="n">
        <v>38</v>
      </c>
      <c r="O1024" s="14" t="s">
        <v>4276</v>
      </c>
      <c r="P1024" s="14" t="s">
        <v>118</v>
      </c>
      <c r="Q1024" s="15" t="s">
        <v>1089</v>
      </c>
      <c r="R1024" s="16" t="s">
        <v>7235</v>
      </c>
      <c r="S1024" s="15" t="s">
        <v>7236</v>
      </c>
      <c r="T1024" s="15" t="s">
        <v>7236</v>
      </c>
      <c r="U1024" s="21" t="s">
        <v>72</v>
      </c>
    </row>
    <row r="1025" customFormat="false" ht="15" hidden="false" customHeight="false" outlineLevel="0" collapsed="false">
      <c r="A1025" s="15" t="s">
        <v>850</v>
      </c>
      <c r="B1025" s="15" t="s">
        <v>6754</v>
      </c>
      <c r="C1025" s="14" t="s">
        <v>7237</v>
      </c>
      <c r="D1025" s="14" t="s">
        <v>7238</v>
      </c>
      <c r="E1025" s="16" t="s">
        <v>7239</v>
      </c>
      <c r="F1025" s="16"/>
      <c r="G1025" s="19" t="s">
        <v>41</v>
      </c>
      <c r="H1025" s="18" t="n">
        <v>4</v>
      </c>
      <c r="I1025" s="20" t="n">
        <v>79.29</v>
      </c>
      <c r="J1025" s="20" t="n">
        <v>246.2</v>
      </c>
      <c r="K1025" s="18" t="n">
        <v>4</v>
      </c>
      <c r="L1025" s="18" t="n">
        <v>2</v>
      </c>
      <c r="M1025" s="18" t="n">
        <v>96</v>
      </c>
      <c r="N1025" s="18" t="n">
        <v>80</v>
      </c>
      <c r="O1025" s="14" t="s">
        <v>7240</v>
      </c>
      <c r="P1025" s="14" t="s">
        <v>118</v>
      </c>
      <c r="Q1025" s="15" t="s">
        <v>1089</v>
      </c>
      <c r="R1025" s="16" t="s">
        <v>7241</v>
      </c>
      <c r="S1025" s="15" t="s">
        <v>7242</v>
      </c>
      <c r="T1025" s="15" t="s">
        <v>7243</v>
      </c>
      <c r="U1025" s="21" t="s">
        <v>72</v>
      </c>
    </row>
    <row r="1026" customFormat="false" ht="15" hidden="false" customHeight="false" outlineLevel="0" collapsed="false">
      <c r="A1026" s="15" t="s">
        <v>850</v>
      </c>
      <c r="B1026" s="15" t="s">
        <v>6754</v>
      </c>
      <c r="C1026" s="14" t="s">
        <v>7244</v>
      </c>
      <c r="D1026" s="14" t="s">
        <v>7245</v>
      </c>
      <c r="E1026" s="16" t="s">
        <v>7246</v>
      </c>
      <c r="F1026" s="16" t="s">
        <v>7247</v>
      </c>
      <c r="G1026" s="23" t="s">
        <v>43</v>
      </c>
      <c r="H1026" s="18" t="n">
        <v>2</v>
      </c>
      <c r="I1026" s="20" t="n">
        <v>37.8</v>
      </c>
      <c r="J1026" s="20" t="n">
        <v>68.76</v>
      </c>
      <c r="K1026" s="18" t="n">
        <v>2</v>
      </c>
      <c r="L1026" s="18" t="n">
        <v>1</v>
      </c>
      <c r="M1026" s="18" t="n">
        <v>36</v>
      </c>
      <c r="N1026" s="18" t="n">
        <v>36</v>
      </c>
      <c r="O1026" s="14" t="s">
        <v>1097</v>
      </c>
      <c r="P1026" s="14" t="s">
        <v>84</v>
      </c>
      <c r="Q1026" s="15" t="s">
        <v>1089</v>
      </c>
      <c r="R1026" s="16" t="s">
        <v>7248</v>
      </c>
      <c r="S1026" s="15" t="s">
        <v>7249</v>
      </c>
      <c r="T1026" s="15" t="s">
        <v>7249</v>
      </c>
      <c r="U1026" s="21" t="s">
        <v>72</v>
      </c>
    </row>
    <row r="1027" customFormat="false" ht="26.85" hidden="false" customHeight="false" outlineLevel="0" collapsed="false">
      <c r="A1027" s="15" t="s">
        <v>850</v>
      </c>
      <c r="B1027" s="15" t="s">
        <v>6754</v>
      </c>
      <c r="C1027" s="14" t="s">
        <v>7250</v>
      </c>
      <c r="D1027" s="14" t="s">
        <v>7251</v>
      </c>
      <c r="E1027" s="16" t="s">
        <v>7252</v>
      </c>
      <c r="F1027" s="16" t="s">
        <v>7253</v>
      </c>
      <c r="G1027" s="23" t="s">
        <v>43</v>
      </c>
      <c r="H1027" s="18" t="n">
        <v>3</v>
      </c>
      <c r="I1027" s="20" t="n">
        <v>61.48</v>
      </c>
      <c r="J1027" s="20" t="n">
        <v>95.43</v>
      </c>
      <c r="K1027" s="18" t="n">
        <v>6</v>
      </c>
      <c r="L1027" s="18" t="n">
        <v>11</v>
      </c>
      <c r="M1027" s="18" t="n">
        <v>128</v>
      </c>
      <c r="N1027" s="18" t="n">
        <v>88</v>
      </c>
      <c r="O1027" s="14" t="s">
        <v>7254</v>
      </c>
      <c r="P1027" s="14" t="s">
        <v>515</v>
      </c>
      <c r="Q1027" s="15" t="s">
        <v>1089</v>
      </c>
      <c r="R1027" s="16" t="s">
        <v>7255</v>
      </c>
      <c r="S1027" s="15" t="s">
        <v>7256</v>
      </c>
      <c r="T1027" s="15" t="s">
        <v>7257</v>
      </c>
      <c r="U1027" s="21" t="s">
        <v>72</v>
      </c>
    </row>
    <row r="1028" customFormat="false" ht="26.85" hidden="false" customHeight="false" outlineLevel="0" collapsed="false">
      <c r="A1028" s="15" t="s">
        <v>850</v>
      </c>
      <c r="B1028" s="15" t="s">
        <v>6754</v>
      </c>
      <c r="C1028" s="14" t="s">
        <v>7258</v>
      </c>
      <c r="D1028" s="14" t="s">
        <v>7259</v>
      </c>
      <c r="E1028" s="16" t="s">
        <v>7260</v>
      </c>
      <c r="F1028" s="16"/>
      <c r="G1028" s="25" t="s">
        <v>39</v>
      </c>
      <c r="H1028" s="18" t="n">
        <v>3</v>
      </c>
      <c r="I1028" s="20" t="n">
        <v>167.33</v>
      </c>
      <c r="J1028" s="20" t="n">
        <v>1010.92</v>
      </c>
      <c r="K1028" s="18" t="n">
        <v>3</v>
      </c>
      <c r="L1028" s="18" t="n">
        <v>6</v>
      </c>
      <c r="M1028" s="18" t="n">
        <v>149</v>
      </c>
      <c r="N1028" s="18" t="n">
        <v>149</v>
      </c>
      <c r="O1028" s="14" t="s">
        <v>7261</v>
      </c>
      <c r="P1028" s="14" t="s">
        <v>84</v>
      </c>
      <c r="Q1028" s="15" t="s">
        <v>1089</v>
      </c>
      <c r="R1028" s="16" t="s">
        <v>5166</v>
      </c>
      <c r="S1028" s="15" t="s">
        <v>7262</v>
      </c>
      <c r="T1028" s="15" t="s">
        <v>7262</v>
      </c>
      <c r="U1028" s="21" t="s">
        <v>72</v>
      </c>
    </row>
    <row r="1029" customFormat="false" ht="52.2" hidden="false" customHeight="false" outlineLevel="0" collapsed="false">
      <c r="A1029" s="15" t="s">
        <v>850</v>
      </c>
      <c r="B1029" s="15" t="s">
        <v>6754</v>
      </c>
      <c r="C1029" s="14" t="s">
        <v>7263</v>
      </c>
      <c r="D1029" s="14" t="s">
        <v>7264</v>
      </c>
      <c r="E1029" s="16" t="s">
        <v>7265</v>
      </c>
      <c r="F1029" s="16"/>
      <c r="G1029" s="19" t="s">
        <v>41</v>
      </c>
      <c r="H1029" s="18" t="n">
        <v>6</v>
      </c>
      <c r="I1029" s="20" t="n">
        <v>86.73</v>
      </c>
      <c r="J1029" s="20" t="n">
        <v>155.43</v>
      </c>
      <c r="K1029" s="18" t="n">
        <v>26</v>
      </c>
      <c r="L1029" s="18" t="n">
        <v>10</v>
      </c>
      <c r="M1029" s="18" t="n">
        <v>312</v>
      </c>
      <c r="N1029" s="18" t="n">
        <v>96</v>
      </c>
      <c r="O1029" s="14" t="s">
        <v>1126</v>
      </c>
      <c r="P1029" s="14" t="s">
        <v>4912</v>
      </c>
      <c r="Q1029" s="15" t="s">
        <v>1089</v>
      </c>
      <c r="R1029" s="16" t="s">
        <v>7266</v>
      </c>
      <c r="S1029" s="15" t="s">
        <v>7267</v>
      </c>
      <c r="T1029" s="15" t="s">
        <v>7268</v>
      </c>
      <c r="U1029" s="21" t="s">
        <v>72</v>
      </c>
    </row>
    <row r="1030" customFormat="false" ht="15" hidden="false" customHeight="false" outlineLevel="0" collapsed="false">
      <c r="A1030" s="15" t="s">
        <v>850</v>
      </c>
      <c r="B1030" s="15" t="s">
        <v>6754</v>
      </c>
      <c r="C1030" s="14" t="s">
        <v>7269</v>
      </c>
      <c r="D1030" s="14" t="s">
        <v>7270</v>
      </c>
      <c r="E1030" s="16" t="s">
        <v>7271</v>
      </c>
      <c r="F1030" s="16"/>
      <c r="G1030" s="23" t="s">
        <v>43</v>
      </c>
      <c r="H1030" s="18" t="n">
        <v>1</v>
      </c>
      <c r="I1030" s="20" t="n">
        <v>37.35</v>
      </c>
      <c r="J1030" s="20" t="n">
        <v>90.06</v>
      </c>
      <c r="K1030" s="18" t="n">
        <v>2</v>
      </c>
      <c r="L1030" s="18" t="n">
        <v>2</v>
      </c>
      <c r="M1030" s="18" t="n">
        <v>62</v>
      </c>
      <c r="N1030" s="18" t="n">
        <v>31</v>
      </c>
      <c r="O1030" s="14" t="s">
        <v>1097</v>
      </c>
      <c r="P1030" s="14" t="s">
        <v>84</v>
      </c>
      <c r="Q1030" s="15" t="s">
        <v>1089</v>
      </c>
      <c r="R1030" s="16" t="s">
        <v>7272</v>
      </c>
      <c r="S1030" s="15" t="s">
        <v>7273</v>
      </c>
      <c r="T1030" s="15" t="s">
        <v>7273</v>
      </c>
      <c r="U1030" s="21" t="s">
        <v>72</v>
      </c>
    </row>
    <row r="1031" customFormat="false" ht="26.85" hidden="false" customHeight="false" outlineLevel="0" collapsed="false">
      <c r="A1031" s="15" t="s">
        <v>850</v>
      </c>
      <c r="B1031" s="15" t="s">
        <v>6754</v>
      </c>
      <c r="C1031" s="14" t="s">
        <v>7274</v>
      </c>
      <c r="D1031" s="14" t="s">
        <v>7275</v>
      </c>
      <c r="E1031" s="16" t="s">
        <v>7276</v>
      </c>
      <c r="F1031" s="16"/>
      <c r="G1031" s="23" t="s">
        <v>43</v>
      </c>
      <c r="H1031" s="18" t="n">
        <v>3</v>
      </c>
      <c r="I1031" s="20" t="n">
        <v>33.64</v>
      </c>
      <c r="J1031" s="20" t="n">
        <v>74.84</v>
      </c>
      <c r="K1031" s="18" t="n">
        <v>6</v>
      </c>
      <c r="L1031" s="18"/>
      <c r="M1031" s="18" t="n">
        <v>54</v>
      </c>
      <c r="N1031" s="18" t="n">
        <v>18</v>
      </c>
      <c r="O1031" s="14" t="s">
        <v>7277</v>
      </c>
      <c r="P1031" s="14" t="s">
        <v>906</v>
      </c>
      <c r="Q1031" s="15" t="s">
        <v>1089</v>
      </c>
      <c r="R1031" s="16" t="s">
        <v>7278</v>
      </c>
      <c r="S1031" s="15" t="s">
        <v>7279</v>
      </c>
      <c r="T1031" s="15" t="s">
        <v>7279</v>
      </c>
      <c r="U1031" s="21" t="s">
        <v>72</v>
      </c>
    </row>
    <row r="1032" customFormat="false" ht="15" hidden="false" customHeight="false" outlineLevel="0" collapsed="false">
      <c r="A1032" s="15" t="s">
        <v>850</v>
      </c>
      <c r="B1032" s="15" t="s">
        <v>6754</v>
      </c>
      <c r="C1032" s="14" t="s">
        <v>7280</v>
      </c>
      <c r="D1032" s="14" t="s">
        <v>7281</v>
      </c>
      <c r="E1032" s="16" t="s">
        <v>7282</v>
      </c>
      <c r="F1032" s="16" t="s">
        <v>7283</v>
      </c>
      <c r="G1032" s="23" t="s">
        <v>43</v>
      </c>
      <c r="H1032" s="18" t="n">
        <v>2</v>
      </c>
      <c r="I1032" s="20" t="n">
        <v>30.57</v>
      </c>
      <c r="J1032" s="20" t="n">
        <v>132.68</v>
      </c>
      <c r="K1032" s="18" t="n">
        <v>2</v>
      </c>
      <c r="L1032" s="18" t="n">
        <v>1</v>
      </c>
      <c r="M1032" s="18" t="n">
        <v>32</v>
      </c>
      <c r="N1032" s="18" t="n">
        <v>16</v>
      </c>
      <c r="O1032" s="14" t="s">
        <v>4223</v>
      </c>
      <c r="P1032" s="14" t="s">
        <v>84</v>
      </c>
      <c r="Q1032" s="15" t="s">
        <v>1089</v>
      </c>
      <c r="R1032" s="16" t="s">
        <v>7284</v>
      </c>
      <c r="S1032" s="15" t="s">
        <v>7285</v>
      </c>
      <c r="T1032" s="15" t="s">
        <v>7285</v>
      </c>
      <c r="U1032" s="21" t="s">
        <v>72</v>
      </c>
    </row>
    <row r="1033" customFormat="false" ht="15" hidden="false" customHeight="false" outlineLevel="0" collapsed="false">
      <c r="A1033" s="15" t="s">
        <v>850</v>
      </c>
      <c r="B1033" s="15" t="s">
        <v>6754</v>
      </c>
      <c r="C1033" s="14" t="s">
        <v>7286</v>
      </c>
      <c r="D1033" s="14" t="s">
        <v>7287</v>
      </c>
      <c r="E1033" s="16" t="s">
        <v>7288</v>
      </c>
      <c r="F1033" s="16"/>
      <c r="G1033" s="23" t="s">
        <v>43</v>
      </c>
      <c r="H1033" s="18" t="n">
        <v>2</v>
      </c>
      <c r="I1033" s="20" t="n">
        <v>64.71</v>
      </c>
      <c r="J1033" s="20" t="n">
        <v>144.49</v>
      </c>
      <c r="K1033" s="18" t="n">
        <v>2</v>
      </c>
      <c r="L1033" s="18" t="n">
        <v>2</v>
      </c>
      <c r="M1033" s="18" t="n">
        <v>106</v>
      </c>
      <c r="N1033" s="18" t="n">
        <v>106</v>
      </c>
      <c r="O1033" s="14" t="s">
        <v>1126</v>
      </c>
      <c r="P1033" s="14" t="s">
        <v>84</v>
      </c>
      <c r="Q1033" s="15" t="s">
        <v>1089</v>
      </c>
      <c r="R1033" s="16" t="s">
        <v>7289</v>
      </c>
      <c r="S1033" s="15" t="s">
        <v>7290</v>
      </c>
      <c r="T1033" s="15" t="s">
        <v>7291</v>
      </c>
      <c r="U1033" s="21" t="s">
        <v>72</v>
      </c>
    </row>
    <row r="1034" customFormat="false" ht="26.85" hidden="false" customHeight="false" outlineLevel="0" collapsed="false">
      <c r="A1034" s="15" t="s">
        <v>850</v>
      </c>
      <c r="B1034" s="15" t="s">
        <v>6754</v>
      </c>
      <c r="C1034" s="14" t="s">
        <v>7292</v>
      </c>
      <c r="D1034" s="14" t="s">
        <v>7293</v>
      </c>
      <c r="E1034" s="16" t="s">
        <v>7294</v>
      </c>
      <c r="F1034" s="16"/>
      <c r="G1034" s="23" t="s">
        <v>43</v>
      </c>
      <c r="H1034" s="18" t="n">
        <v>3</v>
      </c>
      <c r="I1034" s="20" t="n">
        <v>54.1</v>
      </c>
      <c r="J1034" s="20" t="n">
        <v>96.84</v>
      </c>
      <c r="K1034" s="18" t="n">
        <v>3</v>
      </c>
      <c r="L1034" s="18" t="n">
        <v>4</v>
      </c>
      <c r="M1034" s="18" t="n">
        <v>45</v>
      </c>
      <c r="N1034" s="18" t="n">
        <v>45</v>
      </c>
      <c r="O1034" s="14" t="s">
        <v>7295</v>
      </c>
      <c r="P1034" s="14" t="s">
        <v>118</v>
      </c>
      <c r="Q1034" s="15" t="s">
        <v>1089</v>
      </c>
      <c r="R1034" s="16" t="s">
        <v>7296</v>
      </c>
      <c r="S1034" s="15" t="s">
        <v>7297</v>
      </c>
      <c r="T1034" s="15" t="s">
        <v>7297</v>
      </c>
      <c r="U1034" s="21" t="s">
        <v>72</v>
      </c>
    </row>
    <row r="1035" customFormat="false" ht="26.85" hidden="false" customHeight="false" outlineLevel="0" collapsed="false">
      <c r="A1035" s="15" t="s">
        <v>850</v>
      </c>
      <c r="B1035" s="15" t="s">
        <v>6754</v>
      </c>
      <c r="C1035" s="14" t="s">
        <v>7298</v>
      </c>
      <c r="D1035" s="14" t="s">
        <v>7299</v>
      </c>
      <c r="E1035" s="16" t="s">
        <v>7300</v>
      </c>
      <c r="F1035" s="16" t="s">
        <v>7301</v>
      </c>
      <c r="G1035" s="23" t="s">
        <v>43</v>
      </c>
      <c r="H1035" s="18" t="n">
        <v>4</v>
      </c>
      <c r="I1035" s="20" t="n">
        <v>65</v>
      </c>
      <c r="J1035" s="20" t="n">
        <v>113.31</v>
      </c>
      <c r="K1035" s="18" t="n">
        <v>7</v>
      </c>
      <c r="L1035" s="18" t="n">
        <v>9</v>
      </c>
      <c r="M1035" s="18" t="n">
        <v>84</v>
      </c>
      <c r="N1035" s="18" t="n">
        <v>24</v>
      </c>
      <c r="O1035" s="14" t="s">
        <v>6448</v>
      </c>
      <c r="P1035" s="14" t="s">
        <v>906</v>
      </c>
      <c r="Q1035" s="15" t="s">
        <v>1089</v>
      </c>
      <c r="R1035" s="16" t="s">
        <v>4836</v>
      </c>
      <c r="S1035" s="15" t="s">
        <v>7302</v>
      </c>
      <c r="T1035" s="15" t="s">
        <v>7302</v>
      </c>
      <c r="U1035" s="21" t="s">
        <v>72</v>
      </c>
    </row>
    <row r="1036" customFormat="false" ht="26.85" hidden="false" customHeight="false" outlineLevel="0" collapsed="false">
      <c r="A1036" s="15" t="s">
        <v>850</v>
      </c>
      <c r="B1036" s="15" t="s">
        <v>6754</v>
      </c>
      <c r="C1036" s="14" t="s">
        <v>7303</v>
      </c>
      <c r="D1036" s="14" t="s">
        <v>7304</v>
      </c>
      <c r="E1036" s="16" t="s">
        <v>7305</v>
      </c>
      <c r="F1036" s="16" t="s">
        <v>7306</v>
      </c>
      <c r="G1036" s="25" t="s">
        <v>39</v>
      </c>
      <c r="H1036" s="18" t="n">
        <v>8</v>
      </c>
      <c r="I1036" s="20" t="n">
        <v>212.46</v>
      </c>
      <c r="J1036" s="20" t="n">
        <v>369.28</v>
      </c>
      <c r="K1036" s="18" t="n">
        <v>6</v>
      </c>
      <c r="L1036" s="18" t="n">
        <v>21</v>
      </c>
      <c r="M1036" s="18" t="n">
        <v>157</v>
      </c>
      <c r="N1036" s="18" t="n">
        <v>11</v>
      </c>
      <c r="O1036" s="14" t="s">
        <v>1097</v>
      </c>
      <c r="P1036" s="14" t="s">
        <v>84</v>
      </c>
      <c r="Q1036" s="15" t="s">
        <v>1089</v>
      </c>
      <c r="R1036" s="16" t="s">
        <v>7307</v>
      </c>
      <c r="S1036" s="15" t="s">
        <v>7308</v>
      </c>
      <c r="T1036" s="15" t="s">
        <v>7309</v>
      </c>
      <c r="U1036" s="21" t="s">
        <v>72</v>
      </c>
    </row>
    <row r="1037" customFormat="false" ht="26.85" hidden="false" customHeight="false" outlineLevel="0" collapsed="false">
      <c r="A1037" s="15" t="s">
        <v>850</v>
      </c>
      <c r="B1037" s="15" t="s">
        <v>6754</v>
      </c>
      <c r="C1037" s="14" t="s">
        <v>7310</v>
      </c>
      <c r="D1037" s="14" t="s">
        <v>7311</v>
      </c>
      <c r="E1037" s="16" t="s">
        <v>7312</v>
      </c>
      <c r="F1037" s="16" t="s">
        <v>7313</v>
      </c>
      <c r="G1037" s="23" t="s">
        <v>43</v>
      </c>
      <c r="H1037" s="18" t="n">
        <v>3</v>
      </c>
      <c r="I1037" s="20" t="n">
        <v>102.27</v>
      </c>
      <c r="J1037" s="20" t="n">
        <v>164.95</v>
      </c>
      <c r="K1037" s="18" t="n">
        <v>9</v>
      </c>
      <c r="L1037" s="18" t="n">
        <v>5</v>
      </c>
      <c r="M1037" s="18" t="n">
        <v>198</v>
      </c>
      <c r="N1037" s="18" t="n">
        <v>88</v>
      </c>
      <c r="O1037" s="14" t="s">
        <v>1097</v>
      </c>
      <c r="P1037" s="14" t="s">
        <v>872</v>
      </c>
      <c r="Q1037" s="15" t="s">
        <v>1089</v>
      </c>
      <c r="R1037" s="16" t="s">
        <v>7314</v>
      </c>
      <c r="S1037" s="15" t="s">
        <v>7315</v>
      </c>
      <c r="T1037" s="15" t="s">
        <v>7316</v>
      </c>
      <c r="U1037" s="21" t="s">
        <v>72</v>
      </c>
    </row>
    <row r="1038" customFormat="false" ht="26.85" hidden="false" customHeight="false" outlineLevel="0" collapsed="false">
      <c r="A1038" s="15" t="s">
        <v>850</v>
      </c>
      <c r="B1038" s="15" t="s">
        <v>6754</v>
      </c>
      <c r="C1038" s="14" t="s">
        <v>7317</v>
      </c>
      <c r="D1038" s="14" t="s">
        <v>7318</v>
      </c>
      <c r="E1038" s="16" t="s">
        <v>7319</v>
      </c>
      <c r="F1038" s="16" t="s">
        <v>7320</v>
      </c>
      <c r="G1038" s="23" t="s">
        <v>43</v>
      </c>
      <c r="H1038" s="18" t="n">
        <v>2</v>
      </c>
      <c r="I1038" s="20" t="n">
        <v>33</v>
      </c>
      <c r="J1038" s="20" t="n">
        <v>173</v>
      </c>
      <c r="K1038" s="18" t="n">
        <v>3</v>
      </c>
      <c r="L1038" s="18" t="n">
        <v>3</v>
      </c>
      <c r="M1038" s="18" t="n">
        <v>78</v>
      </c>
      <c r="N1038" s="18" t="n">
        <v>78</v>
      </c>
      <c r="O1038" s="14" t="s">
        <v>7171</v>
      </c>
      <c r="P1038" s="14" t="s">
        <v>118</v>
      </c>
      <c r="Q1038" s="15" t="s">
        <v>1089</v>
      </c>
      <c r="R1038" s="16" t="s">
        <v>7321</v>
      </c>
      <c r="S1038" s="15" t="s">
        <v>7322</v>
      </c>
      <c r="T1038" s="15" t="s">
        <v>7322</v>
      </c>
      <c r="U1038" s="21" t="s">
        <v>72</v>
      </c>
    </row>
    <row r="1039" customFormat="false" ht="26.85" hidden="false" customHeight="false" outlineLevel="0" collapsed="false">
      <c r="A1039" s="15" t="s">
        <v>850</v>
      </c>
      <c r="B1039" s="15" t="s">
        <v>6754</v>
      </c>
      <c r="C1039" s="14" t="s">
        <v>7323</v>
      </c>
      <c r="D1039" s="14" t="s">
        <v>7324</v>
      </c>
      <c r="E1039" s="16" t="s">
        <v>7325</v>
      </c>
      <c r="F1039" s="16" t="s">
        <v>7326</v>
      </c>
      <c r="G1039" s="19" t="s">
        <v>41</v>
      </c>
      <c r="H1039" s="18" t="n">
        <v>3</v>
      </c>
      <c r="I1039" s="20" t="n">
        <v>40.06</v>
      </c>
      <c r="J1039" s="20" t="n">
        <v>228.04</v>
      </c>
      <c r="K1039" s="18" t="n">
        <v>3</v>
      </c>
      <c r="L1039" s="18" t="n">
        <v>3</v>
      </c>
      <c r="M1039" s="18" t="n">
        <v>42</v>
      </c>
      <c r="N1039" s="18" t="n">
        <v>42</v>
      </c>
      <c r="O1039" s="14" t="s">
        <v>7327</v>
      </c>
      <c r="P1039" s="14" t="s">
        <v>118</v>
      </c>
      <c r="Q1039" s="15" t="s">
        <v>1089</v>
      </c>
      <c r="R1039" s="16" t="s">
        <v>7328</v>
      </c>
      <c r="S1039" s="15" t="s">
        <v>7329</v>
      </c>
      <c r="T1039" s="15" t="s">
        <v>7330</v>
      </c>
      <c r="U1039" s="21" t="s">
        <v>72</v>
      </c>
    </row>
    <row r="1040" customFormat="false" ht="15" hidden="false" customHeight="false" outlineLevel="0" collapsed="false">
      <c r="A1040" s="15" t="s">
        <v>850</v>
      </c>
      <c r="B1040" s="15" t="s">
        <v>6754</v>
      </c>
      <c r="C1040" s="14" t="s">
        <v>7331</v>
      </c>
      <c r="D1040" s="14" t="s">
        <v>7332</v>
      </c>
      <c r="E1040" s="16" t="s">
        <v>7333</v>
      </c>
      <c r="F1040" s="16" t="s">
        <v>1373</v>
      </c>
      <c r="G1040" s="19" t="s">
        <v>41</v>
      </c>
      <c r="H1040" s="18" t="n">
        <v>4</v>
      </c>
      <c r="I1040" s="20" t="n">
        <v>148.64</v>
      </c>
      <c r="J1040" s="20" t="n">
        <v>285.73</v>
      </c>
      <c r="K1040" s="18" t="n">
        <v>4</v>
      </c>
      <c r="L1040" s="18" t="n">
        <v>8</v>
      </c>
      <c r="M1040" s="18" t="n">
        <v>140</v>
      </c>
      <c r="N1040" s="18" t="n">
        <v>140</v>
      </c>
      <c r="O1040" s="14" t="s">
        <v>4276</v>
      </c>
      <c r="P1040" s="14" t="s">
        <v>84</v>
      </c>
      <c r="Q1040" s="15" t="s">
        <v>1089</v>
      </c>
      <c r="R1040" s="16" t="s">
        <v>7241</v>
      </c>
      <c r="S1040" s="15" t="s">
        <v>7334</v>
      </c>
      <c r="T1040" s="15" t="s">
        <v>7335</v>
      </c>
      <c r="U1040" s="21" t="s">
        <v>72</v>
      </c>
    </row>
    <row r="1041" customFormat="false" ht="15" hidden="false" customHeight="false" outlineLevel="0" collapsed="false">
      <c r="A1041" s="15" t="s">
        <v>850</v>
      </c>
      <c r="B1041" s="15" t="s">
        <v>6754</v>
      </c>
      <c r="C1041" s="14" t="s">
        <v>7336</v>
      </c>
      <c r="D1041" s="14" t="s">
        <v>7337</v>
      </c>
      <c r="E1041" s="16" t="s">
        <v>7338</v>
      </c>
      <c r="F1041" s="16"/>
      <c r="G1041" s="23" t="s">
        <v>43</v>
      </c>
      <c r="H1041" s="18" t="n">
        <v>2</v>
      </c>
      <c r="I1041" s="20" t="n">
        <v>49.07</v>
      </c>
      <c r="J1041" s="20" t="n">
        <v>105.15</v>
      </c>
      <c r="K1041" s="18" t="n">
        <v>4</v>
      </c>
      <c r="L1041" s="18" t="n">
        <v>1</v>
      </c>
      <c r="M1041" s="18" t="n">
        <v>84</v>
      </c>
      <c r="N1041" s="18" t="n">
        <v>21</v>
      </c>
      <c r="O1041" s="14" t="s">
        <v>1097</v>
      </c>
      <c r="P1041" s="14" t="s">
        <v>118</v>
      </c>
      <c r="Q1041" s="15" t="s">
        <v>1089</v>
      </c>
      <c r="R1041" s="16" t="s">
        <v>7339</v>
      </c>
      <c r="S1041" s="15" t="s">
        <v>7340</v>
      </c>
      <c r="T1041" s="15" t="s">
        <v>7341</v>
      </c>
      <c r="U1041" s="21" t="s">
        <v>72</v>
      </c>
    </row>
    <row r="1042" customFormat="false" ht="15" hidden="false" customHeight="false" outlineLevel="0" collapsed="false">
      <c r="A1042" s="15" t="s">
        <v>850</v>
      </c>
      <c r="B1042" s="15" t="s">
        <v>6754</v>
      </c>
      <c r="C1042" s="14" t="s">
        <v>7342</v>
      </c>
      <c r="D1042" s="14" t="s">
        <v>7343</v>
      </c>
      <c r="E1042" s="16" t="s">
        <v>7344</v>
      </c>
      <c r="F1042" s="16"/>
      <c r="G1042" s="23" t="s">
        <v>43</v>
      </c>
      <c r="H1042" s="18" t="n">
        <v>2</v>
      </c>
      <c r="I1042" s="20" t="n">
        <v>43.96</v>
      </c>
      <c r="J1042" s="20" t="n">
        <v>124.06</v>
      </c>
      <c r="K1042" s="18" t="n">
        <v>2</v>
      </c>
      <c r="L1042" s="18" t="n">
        <v>1</v>
      </c>
      <c r="M1042" s="18" t="n">
        <v>42</v>
      </c>
      <c r="N1042" s="18" t="n">
        <v>42</v>
      </c>
      <c r="O1042" s="14" t="s">
        <v>4983</v>
      </c>
      <c r="P1042" s="14" t="s">
        <v>94</v>
      </c>
      <c r="Q1042" s="15" t="s">
        <v>1089</v>
      </c>
      <c r="R1042" s="16" t="s">
        <v>7345</v>
      </c>
      <c r="S1042" s="15" t="s">
        <v>7346</v>
      </c>
      <c r="T1042" s="15" t="s">
        <v>7346</v>
      </c>
      <c r="U1042" s="21" t="s">
        <v>72</v>
      </c>
    </row>
    <row r="1043" customFormat="false" ht="15" hidden="false" customHeight="false" outlineLevel="0" collapsed="false">
      <c r="A1043" s="15" t="s">
        <v>850</v>
      </c>
      <c r="B1043" s="15" t="s">
        <v>6754</v>
      </c>
      <c r="C1043" s="14" t="s">
        <v>7347</v>
      </c>
      <c r="D1043" s="14" t="s">
        <v>7348</v>
      </c>
      <c r="E1043" s="16" t="s">
        <v>7349</v>
      </c>
      <c r="F1043" s="16" t="s">
        <v>7350</v>
      </c>
      <c r="G1043" s="19" t="s">
        <v>41</v>
      </c>
      <c r="H1043" s="18" t="n">
        <v>3</v>
      </c>
      <c r="I1043" s="20" t="n">
        <v>157.05</v>
      </c>
      <c r="J1043" s="20" t="n">
        <v>215.28</v>
      </c>
      <c r="K1043" s="18" t="n">
        <v>5</v>
      </c>
      <c r="L1043" s="18" t="n">
        <v>7</v>
      </c>
      <c r="M1043" s="18" t="n">
        <v>212</v>
      </c>
      <c r="N1043" s="18" t="n">
        <v>144</v>
      </c>
      <c r="O1043" s="14" t="s">
        <v>5259</v>
      </c>
      <c r="P1043" s="14" t="s">
        <v>118</v>
      </c>
      <c r="Q1043" s="15" t="s">
        <v>1089</v>
      </c>
      <c r="R1043" s="16" t="s">
        <v>7351</v>
      </c>
      <c r="S1043" s="15" t="s">
        <v>7352</v>
      </c>
      <c r="T1043" s="15" t="s">
        <v>7353</v>
      </c>
      <c r="U1043" s="21" t="s">
        <v>72</v>
      </c>
    </row>
    <row r="1044" customFormat="false" ht="15" hidden="false" customHeight="false" outlineLevel="0" collapsed="false">
      <c r="A1044" s="15" t="s">
        <v>850</v>
      </c>
      <c r="B1044" s="15" t="s">
        <v>6754</v>
      </c>
      <c r="C1044" s="14" t="s">
        <v>7354</v>
      </c>
      <c r="D1044" s="14" t="s">
        <v>7355</v>
      </c>
      <c r="E1044" s="16" t="s">
        <v>7356</v>
      </c>
      <c r="F1044" s="16" t="s">
        <v>7357</v>
      </c>
      <c r="G1044" s="19" t="s">
        <v>41</v>
      </c>
      <c r="H1044" s="18" t="n">
        <v>7</v>
      </c>
      <c r="I1044" s="20" t="n">
        <v>95.4</v>
      </c>
      <c r="J1044" s="20" t="n">
        <v>221.93</v>
      </c>
      <c r="K1044" s="18" t="n">
        <v>4</v>
      </c>
      <c r="L1044" s="18" t="n">
        <v>4</v>
      </c>
      <c r="M1044" s="18" t="n">
        <v>140</v>
      </c>
      <c r="N1044" s="18" t="n">
        <v>72</v>
      </c>
      <c r="O1044" s="14" t="s">
        <v>1088</v>
      </c>
      <c r="P1044" s="14" t="s">
        <v>118</v>
      </c>
      <c r="Q1044" s="15" t="s">
        <v>1089</v>
      </c>
      <c r="R1044" s="16" t="s">
        <v>4312</v>
      </c>
      <c r="S1044" s="15" t="s">
        <v>7358</v>
      </c>
      <c r="T1044" s="15" t="s">
        <v>7359</v>
      </c>
      <c r="U1044" s="21" t="s">
        <v>72</v>
      </c>
    </row>
    <row r="1045" customFormat="false" ht="15" hidden="false" customHeight="false" outlineLevel="0" collapsed="false">
      <c r="A1045" s="15" t="s">
        <v>850</v>
      </c>
      <c r="B1045" s="15" t="s">
        <v>6754</v>
      </c>
      <c r="C1045" s="14" t="s">
        <v>7360</v>
      </c>
      <c r="D1045" s="14" t="s">
        <v>7361</v>
      </c>
      <c r="E1045" s="16" t="s">
        <v>7362</v>
      </c>
      <c r="F1045" s="16" t="s">
        <v>7363</v>
      </c>
      <c r="G1045" s="23" t="s">
        <v>43</v>
      </c>
      <c r="H1045" s="18" t="n">
        <v>1</v>
      </c>
      <c r="I1045" s="20" t="n">
        <v>37.51</v>
      </c>
      <c r="J1045" s="20" t="n">
        <v>73.81</v>
      </c>
      <c r="K1045" s="18" t="n">
        <v>4</v>
      </c>
      <c r="L1045" s="18" t="n">
        <v>1</v>
      </c>
      <c r="M1045" s="18" t="n">
        <v>124</v>
      </c>
      <c r="N1045" s="18" t="n">
        <v>62</v>
      </c>
      <c r="O1045" s="14" t="s">
        <v>1097</v>
      </c>
      <c r="P1045" s="14" t="s">
        <v>118</v>
      </c>
      <c r="Q1045" s="15" t="s">
        <v>1089</v>
      </c>
      <c r="R1045" s="16" t="s">
        <v>7364</v>
      </c>
      <c r="S1045" s="15" t="s">
        <v>7365</v>
      </c>
      <c r="T1045" s="15" t="s">
        <v>7365</v>
      </c>
      <c r="U1045" s="21" t="s">
        <v>72</v>
      </c>
    </row>
    <row r="1046" customFormat="false" ht="15" hidden="false" customHeight="false" outlineLevel="0" collapsed="false">
      <c r="A1046" s="15" t="s">
        <v>850</v>
      </c>
      <c r="B1046" s="15" t="s">
        <v>6754</v>
      </c>
      <c r="C1046" s="14" t="s">
        <v>7366</v>
      </c>
      <c r="D1046" s="14" t="s">
        <v>7367</v>
      </c>
      <c r="E1046" s="16" t="s">
        <v>7368</v>
      </c>
      <c r="F1046" s="16"/>
      <c r="G1046" s="23" t="s">
        <v>43</v>
      </c>
      <c r="H1046" s="18" t="n">
        <v>3</v>
      </c>
      <c r="I1046" s="20" t="n">
        <v>37.81</v>
      </c>
      <c r="J1046" s="20" t="n">
        <v>95.45</v>
      </c>
      <c r="K1046" s="18" t="n">
        <v>4</v>
      </c>
      <c r="L1046" s="18"/>
      <c r="M1046" s="18" t="n">
        <v>32</v>
      </c>
      <c r="N1046" s="18" t="n">
        <v>24</v>
      </c>
      <c r="O1046" s="14" t="s">
        <v>7369</v>
      </c>
      <c r="P1046" s="14" t="s">
        <v>118</v>
      </c>
      <c r="Q1046" s="15" t="s">
        <v>1089</v>
      </c>
      <c r="R1046" s="16" t="s">
        <v>7370</v>
      </c>
      <c r="S1046" s="15" t="s">
        <v>7371</v>
      </c>
      <c r="T1046" s="15" t="s">
        <v>7371</v>
      </c>
      <c r="U1046" s="21" t="s">
        <v>72</v>
      </c>
    </row>
    <row r="1047" customFormat="false" ht="15" hidden="false" customHeight="false" outlineLevel="0" collapsed="false">
      <c r="A1047" s="15" t="s">
        <v>850</v>
      </c>
      <c r="B1047" s="15" t="s">
        <v>6754</v>
      </c>
      <c r="C1047" s="14" t="s">
        <v>7372</v>
      </c>
      <c r="D1047" s="14" t="s">
        <v>7373</v>
      </c>
      <c r="E1047" s="16" t="s">
        <v>7374</v>
      </c>
      <c r="F1047" s="16" t="s">
        <v>7375</v>
      </c>
      <c r="G1047" s="23" t="s">
        <v>43</v>
      </c>
      <c r="H1047" s="18" t="n">
        <v>3</v>
      </c>
      <c r="I1047" s="20" t="n">
        <v>52.72</v>
      </c>
      <c r="J1047" s="20" t="n">
        <v>132.22</v>
      </c>
      <c r="K1047" s="18" t="n">
        <v>4</v>
      </c>
      <c r="L1047" s="18" t="n">
        <v>4</v>
      </c>
      <c r="M1047" s="18" t="n">
        <v>112</v>
      </c>
      <c r="N1047" s="18" t="n">
        <v>28</v>
      </c>
      <c r="O1047" s="14" t="s">
        <v>1126</v>
      </c>
      <c r="P1047" s="14" t="s">
        <v>118</v>
      </c>
      <c r="Q1047" s="15" t="s">
        <v>1089</v>
      </c>
      <c r="R1047" s="16" t="s">
        <v>7376</v>
      </c>
      <c r="S1047" s="15" t="s">
        <v>7377</v>
      </c>
      <c r="T1047" s="15" t="s">
        <v>7377</v>
      </c>
      <c r="U1047" s="21" t="s">
        <v>72</v>
      </c>
    </row>
    <row r="1048" customFormat="false" ht="26.85" hidden="false" customHeight="false" outlineLevel="0" collapsed="false">
      <c r="A1048" s="15" t="s">
        <v>850</v>
      </c>
      <c r="B1048" s="15" t="s">
        <v>6754</v>
      </c>
      <c r="C1048" s="14" t="s">
        <v>7378</v>
      </c>
      <c r="D1048" s="14" t="s">
        <v>7379</v>
      </c>
      <c r="E1048" s="16" t="s">
        <v>7380</v>
      </c>
      <c r="F1048" s="16"/>
      <c r="G1048" s="19" t="s">
        <v>41</v>
      </c>
      <c r="H1048" s="18" t="n">
        <v>4</v>
      </c>
      <c r="I1048" s="20" t="n">
        <v>73.8</v>
      </c>
      <c r="J1048" s="20" t="n">
        <v>225</v>
      </c>
      <c r="K1048" s="18" t="n">
        <v>4</v>
      </c>
      <c r="L1048" s="18" t="n">
        <v>3</v>
      </c>
      <c r="M1048" s="18" t="n">
        <v>60</v>
      </c>
      <c r="N1048" s="18" t="n">
        <v>60</v>
      </c>
      <c r="O1048" s="14" t="s">
        <v>7381</v>
      </c>
      <c r="P1048" s="14" t="s">
        <v>118</v>
      </c>
      <c r="Q1048" s="15" t="s">
        <v>1089</v>
      </c>
      <c r="R1048" s="16" t="s">
        <v>6339</v>
      </c>
      <c r="S1048" s="15" t="s">
        <v>7382</v>
      </c>
      <c r="T1048" s="15" t="s">
        <v>7383</v>
      </c>
      <c r="U1048" s="21" t="s">
        <v>72</v>
      </c>
    </row>
    <row r="1049" customFormat="false" ht="15" hidden="false" customHeight="false" outlineLevel="0" collapsed="false">
      <c r="A1049" s="15" t="s">
        <v>850</v>
      </c>
      <c r="B1049" s="15" t="s">
        <v>6754</v>
      </c>
      <c r="C1049" s="14" t="s">
        <v>7384</v>
      </c>
      <c r="D1049" s="14" t="s">
        <v>7385</v>
      </c>
      <c r="E1049" s="16" t="s">
        <v>7386</v>
      </c>
      <c r="F1049" s="16"/>
      <c r="G1049" s="23" t="s">
        <v>43</v>
      </c>
      <c r="H1049" s="18" t="n">
        <v>2</v>
      </c>
      <c r="I1049" s="20" t="n">
        <v>63.09</v>
      </c>
      <c r="J1049" s="20" t="n">
        <v>90.12</v>
      </c>
      <c r="K1049" s="18" t="n">
        <v>2</v>
      </c>
      <c r="L1049" s="18" t="n">
        <v>1</v>
      </c>
      <c r="M1049" s="18" t="n">
        <v>102</v>
      </c>
      <c r="N1049" s="18" t="n">
        <v>102</v>
      </c>
      <c r="O1049" s="14" t="s">
        <v>1126</v>
      </c>
      <c r="P1049" s="14" t="s">
        <v>84</v>
      </c>
      <c r="Q1049" s="15" t="s">
        <v>1089</v>
      </c>
      <c r="R1049" s="16" t="s">
        <v>7387</v>
      </c>
      <c r="S1049" s="15" t="s">
        <v>7388</v>
      </c>
      <c r="T1049" s="15" t="s">
        <v>7388</v>
      </c>
      <c r="U1049" s="21" t="s">
        <v>72</v>
      </c>
    </row>
    <row r="1050" customFormat="false" ht="15" hidden="false" customHeight="false" outlineLevel="0" collapsed="false">
      <c r="A1050" s="15" t="s">
        <v>850</v>
      </c>
      <c r="B1050" s="15" t="s">
        <v>6754</v>
      </c>
      <c r="C1050" s="14" t="s">
        <v>7389</v>
      </c>
      <c r="D1050" s="14" t="s">
        <v>7390</v>
      </c>
      <c r="E1050" s="16" t="s">
        <v>7391</v>
      </c>
      <c r="F1050" s="16" t="s">
        <v>7392</v>
      </c>
      <c r="G1050" s="19" t="s">
        <v>41</v>
      </c>
      <c r="H1050" s="18" t="n">
        <v>2</v>
      </c>
      <c r="I1050" s="20" t="n">
        <v>72.66</v>
      </c>
      <c r="J1050" s="20" t="n">
        <v>202</v>
      </c>
      <c r="K1050" s="18" t="n">
        <v>7</v>
      </c>
      <c r="L1050" s="18" t="n">
        <v>2</v>
      </c>
      <c r="M1050" s="18" t="n">
        <v>228</v>
      </c>
      <c r="N1050" s="18" t="n">
        <v>228</v>
      </c>
      <c r="O1050" s="14" t="s">
        <v>7393</v>
      </c>
      <c r="P1050" s="14" t="s">
        <v>118</v>
      </c>
      <c r="Q1050" s="15" t="s">
        <v>1089</v>
      </c>
      <c r="R1050" s="16" t="s">
        <v>7394</v>
      </c>
      <c r="S1050" s="15" t="s">
        <v>7395</v>
      </c>
      <c r="T1050" s="15" t="s">
        <v>7396</v>
      </c>
      <c r="U1050" s="21" t="s">
        <v>72</v>
      </c>
    </row>
    <row r="1051" customFormat="false" ht="15" hidden="false" customHeight="false" outlineLevel="0" collapsed="false">
      <c r="A1051" s="15" t="s">
        <v>850</v>
      </c>
      <c r="B1051" s="15" t="s">
        <v>6754</v>
      </c>
      <c r="C1051" s="14" t="s">
        <v>7397</v>
      </c>
      <c r="D1051" s="14" t="s">
        <v>7398</v>
      </c>
      <c r="E1051" s="16" t="s">
        <v>7399</v>
      </c>
      <c r="F1051" s="16" t="s">
        <v>7400</v>
      </c>
      <c r="G1051" s="25" t="s">
        <v>39</v>
      </c>
      <c r="H1051" s="18" t="n">
        <v>4</v>
      </c>
      <c r="I1051" s="20" t="n">
        <v>298.38</v>
      </c>
      <c r="J1051" s="20" t="n">
        <v>425.85</v>
      </c>
      <c r="K1051" s="18" t="n">
        <v>4</v>
      </c>
      <c r="L1051" s="18" t="n">
        <v>11</v>
      </c>
      <c r="M1051" s="18" t="n">
        <v>248</v>
      </c>
      <c r="N1051" s="18" t="n">
        <v>172</v>
      </c>
      <c r="O1051" s="14" t="s">
        <v>7401</v>
      </c>
      <c r="P1051" s="14" t="s">
        <v>118</v>
      </c>
      <c r="Q1051" s="15" t="s">
        <v>1089</v>
      </c>
      <c r="R1051" s="16" t="s">
        <v>7402</v>
      </c>
      <c r="S1051" s="15" t="s">
        <v>7403</v>
      </c>
      <c r="T1051" s="15" t="s">
        <v>7403</v>
      </c>
      <c r="U1051" s="21" t="s">
        <v>72</v>
      </c>
    </row>
    <row r="1052" customFormat="false" ht="15" hidden="false" customHeight="false" outlineLevel="0" collapsed="false">
      <c r="A1052" s="15" t="s">
        <v>850</v>
      </c>
      <c r="B1052" s="15" t="s">
        <v>6754</v>
      </c>
      <c r="C1052" s="14" t="s">
        <v>7404</v>
      </c>
      <c r="D1052" s="14" t="s">
        <v>7405</v>
      </c>
      <c r="E1052" s="16" t="s">
        <v>7406</v>
      </c>
      <c r="F1052" s="16" t="s">
        <v>7407</v>
      </c>
      <c r="G1052" s="19" t="s">
        <v>41</v>
      </c>
      <c r="H1052" s="18" t="n">
        <v>5</v>
      </c>
      <c r="I1052" s="20" t="n">
        <v>98.72</v>
      </c>
      <c r="J1052" s="20" t="n">
        <v>198.37</v>
      </c>
      <c r="K1052" s="18" t="n">
        <v>4</v>
      </c>
      <c r="L1052" s="18" t="n">
        <v>7</v>
      </c>
      <c r="M1052" s="18" t="n">
        <v>92</v>
      </c>
      <c r="N1052" s="18" t="n">
        <v>46</v>
      </c>
      <c r="O1052" s="14" t="s">
        <v>4385</v>
      </c>
      <c r="P1052" s="14" t="s">
        <v>84</v>
      </c>
      <c r="Q1052" s="15" t="s">
        <v>1089</v>
      </c>
      <c r="R1052" s="16" t="s">
        <v>7408</v>
      </c>
      <c r="S1052" s="15" t="s">
        <v>7409</v>
      </c>
      <c r="T1052" s="15" t="s">
        <v>7409</v>
      </c>
      <c r="U1052" s="21" t="s">
        <v>72</v>
      </c>
    </row>
    <row r="1053" customFormat="false" ht="15" hidden="false" customHeight="false" outlineLevel="0" collapsed="false">
      <c r="A1053" s="15" t="s">
        <v>850</v>
      </c>
      <c r="B1053" s="15" t="s">
        <v>6754</v>
      </c>
      <c r="C1053" s="14" t="s">
        <v>7410</v>
      </c>
      <c r="D1053" s="14" t="s">
        <v>7411</v>
      </c>
      <c r="E1053" s="16" t="s">
        <v>7412</v>
      </c>
      <c r="F1053" s="16" t="s">
        <v>7413</v>
      </c>
      <c r="G1053" s="23" t="s">
        <v>43</v>
      </c>
      <c r="H1053" s="18" t="n">
        <v>2</v>
      </c>
      <c r="I1053" s="20" t="n">
        <v>50.84</v>
      </c>
      <c r="J1053" s="20" t="n">
        <v>94.11</v>
      </c>
      <c r="K1053" s="18" t="n">
        <v>2</v>
      </c>
      <c r="L1053" s="18" t="n">
        <v>2</v>
      </c>
      <c r="M1053" s="18" t="n">
        <v>50</v>
      </c>
      <c r="N1053" s="18" t="n">
        <v>50</v>
      </c>
      <c r="O1053" s="14" t="s">
        <v>1126</v>
      </c>
      <c r="P1053" s="14" t="s">
        <v>84</v>
      </c>
      <c r="Q1053" s="15" t="s">
        <v>1089</v>
      </c>
      <c r="R1053" s="16" t="s">
        <v>7414</v>
      </c>
      <c r="S1053" s="15" t="s">
        <v>7415</v>
      </c>
      <c r="T1053" s="15" t="s">
        <v>7415</v>
      </c>
      <c r="U1053" s="21" t="s">
        <v>72</v>
      </c>
    </row>
    <row r="1054" customFormat="false" ht="15" hidden="false" customHeight="false" outlineLevel="0" collapsed="false">
      <c r="A1054" s="15" t="s">
        <v>850</v>
      </c>
      <c r="B1054" s="15" t="s">
        <v>6754</v>
      </c>
      <c r="C1054" s="14" t="s">
        <v>7416</v>
      </c>
      <c r="D1054" s="14" t="s">
        <v>7417</v>
      </c>
      <c r="E1054" s="16" t="s">
        <v>7418</v>
      </c>
      <c r="F1054" s="16" t="s">
        <v>7419</v>
      </c>
      <c r="G1054" s="23" t="s">
        <v>43</v>
      </c>
      <c r="H1054" s="18" t="n">
        <v>2</v>
      </c>
      <c r="I1054" s="20" t="n">
        <v>33.9</v>
      </c>
      <c r="J1054" s="20" t="n">
        <v>109.52</v>
      </c>
      <c r="K1054" s="18" t="n">
        <v>9</v>
      </c>
      <c r="L1054" s="18" t="n">
        <v>6</v>
      </c>
      <c r="M1054" s="18" t="n">
        <v>252</v>
      </c>
      <c r="N1054" s="18" t="n">
        <v>56</v>
      </c>
      <c r="O1054" s="14" t="s">
        <v>4983</v>
      </c>
      <c r="P1054" s="14" t="s">
        <v>84</v>
      </c>
      <c r="Q1054" s="15" t="s">
        <v>1089</v>
      </c>
      <c r="R1054" s="16" t="s">
        <v>5909</v>
      </c>
      <c r="S1054" s="15" t="s">
        <v>7420</v>
      </c>
      <c r="T1054" s="15" t="s">
        <v>7420</v>
      </c>
      <c r="U1054" s="21" t="s">
        <v>72</v>
      </c>
    </row>
    <row r="1055" customFormat="false" ht="26.85" hidden="false" customHeight="false" outlineLevel="0" collapsed="false">
      <c r="A1055" s="15" t="s">
        <v>850</v>
      </c>
      <c r="B1055" s="15" t="s">
        <v>6754</v>
      </c>
      <c r="C1055" s="14" t="s">
        <v>7421</v>
      </c>
      <c r="D1055" s="14" t="s">
        <v>7422</v>
      </c>
      <c r="E1055" s="16" t="s">
        <v>7423</v>
      </c>
      <c r="F1055" s="16" t="s">
        <v>7424</v>
      </c>
      <c r="G1055" s="19" t="s">
        <v>41</v>
      </c>
      <c r="H1055" s="18" t="n">
        <v>4</v>
      </c>
      <c r="I1055" s="20" t="n">
        <v>111.1023</v>
      </c>
      <c r="J1055" s="20" t="n">
        <v>239.67</v>
      </c>
      <c r="K1055" s="18" t="n">
        <v>4</v>
      </c>
      <c r="L1055" s="18" t="n">
        <v>3</v>
      </c>
      <c r="M1055" s="18" t="n">
        <v>122</v>
      </c>
      <c r="N1055" s="18" t="n">
        <v>122</v>
      </c>
      <c r="O1055" s="14" t="s">
        <v>7425</v>
      </c>
      <c r="P1055" s="14" t="s">
        <v>118</v>
      </c>
      <c r="Q1055" s="15" t="s">
        <v>1089</v>
      </c>
      <c r="R1055" s="16" t="s">
        <v>7426</v>
      </c>
      <c r="S1055" s="15" t="s">
        <v>7427</v>
      </c>
      <c r="T1055" s="15" t="s">
        <v>7427</v>
      </c>
      <c r="U1055" s="21" t="s">
        <v>72</v>
      </c>
    </row>
    <row r="1056" customFormat="false" ht="15" hidden="false" customHeight="false" outlineLevel="0" collapsed="false">
      <c r="A1056" s="15" t="s">
        <v>850</v>
      </c>
      <c r="B1056" s="15" t="s">
        <v>6754</v>
      </c>
      <c r="C1056" s="14" t="s">
        <v>7428</v>
      </c>
      <c r="D1056" s="14" t="s">
        <v>7429</v>
      </c>
      <c r="E1056" s="16" t="s">
        <v>7430</v>
      </c>
      <c r="F1056" s="16" t="s">
        <v>7431</v>
      </c>
      <c r="G1056" s="23" t="s">
        <v>43</v>
      </c>
      <c r="H1056" s="18" t="n">
        <v>2</v>
      </c>
      <c r="I1056" s="20" t="n">
        <v>40.85</v>
      </c>
      <c r="J1056" s="20" t="n">
        <v>74.57</v>
      </c>
      <c r="K1056" s="18" t="n">
        <v>4</v>
      </c>
      <c r="L1056" s="18" t="n">
        <v>1</v>
      </c>
      <c r="M1056" s="18" t="n">
        <v>112</v>
      </c>
      <c r="N1056" s="18" t="n">
        <v>112</v>
      </c>
      <c r="O1056" s="14" t="s">
        <v>7432</v>
      </c>
      <c r="P1056" s="14" t="s">
        <v>118</v>
      </c>
      <c r="Q1056" s="15" t="s">
        <v>1089</v>
      </c>
      <c r="R1056" s="16" t="s">
        <v>7433</v>
      </c>
      <c r="S1056" s="15" t="s">
        <v>7434</v>
      </c>
      <c r="T1056" s="15" t="s">
        <v>7434</v>
      </c>
      <c r="U1056" s="21" t="s">
        <v>72</v>
      </c>
    </row>
    <row r="1057" customFormat="false" ht="15" hidden="false" customHeight="false" outlineLevel="0" collapsed="false">
      <c r="A1057" s="15" t="s">
        <v>850</v>
      </c>
      <c r="B1057" s="15" t="s">
        <v>6754</v>
      </c>
      <c r="C1057" s="14" t="s">
        <v>7435</v>
      </c>
      <c r="D1057" s="14" t="s">
        <v>7436</v>
      </c>
      <c r="E1057" s="16" t="s">
        <v>7437</v>
      </c>
      <c r="F1057" s="16"/>
      <c r="G1057" s="23" t="s">
        <v>43</v>
      </c>
      <c r="H1057" s="18" t="n">
        <v>2</v>
      </c>
      <c r="I1057" s="20" t="n">
        <v>36</v>
      </c>
      <c r="J1057" s="20" t="n">
        <v>131.82</v>
      </c>
      <c r="K1057" s="18" t="n">
        <v>2</v>
      </c>
      <c r="L1057" s="18" t="n">
        <v>1</v>
      </c>
      <c r="M1057" s="18" t="n">
        <v>56</v>
      </c>
      <c r="N1057" s="18" t="n">
        <v>56</v>
      </c>
      <c r="O1057" s="14" t="s">
        <v>1097</v>
      </c>
      <c r="P1057" s="14" t="s">
        <v>84</v>
      </c>
      <c r="Q1057" s="15" t="s">
        <v>1089</v>
      </c>
      <c r="R1057" s="16" t="s">
        <v>7438</v>
      </c>
      <c r="S1057" s="15" t="s">
        <v>7439</v>
      </c>
      <c r="T1057" s="15" t="s">
        <v>7439</v>
      </c>
      <c r="U1057" s="21" t="s">
        <v>72</v>
      </c>
    </row>
    <row r="1058" customFormat="false" ht="15" hidden="false" customHeight="false" outlineLevel="0" collapsed="false">
      <c r="A1058" s="15" t="s">
        <v>850</v>
      </c>
      <c r="B1058" s="15" t="s">
        <v>6754</v>
      </c>
      <c r="C1058" s="14" t="s">
        <v>7440</v>
      </c>
      <c r="D1058" s="14" t="s">
        <v>7441</v>
      </c>
      <c r="E1058" s="16" t="s">
        <v>7442</v>
      </c>
      <c r="F1058" s="16" t="s">
        <v>7443</v>
      </c>
      <c r="G1058" s="23" t="s">
        <v>43</v>
      </c>
      <c r="H1058" s="18" t="n">
        <v>2</v>
      </c>
      <c r="I1058" s="20" t="n">
        <v>30.82</v>
      </c>
      <c r="J1058" s="20" t="n">
        <v>97.48</v>
      </c>
      <c r="K1058" s="18" t="n">
        <v>2</v>
      </c>
      <c r="L1058" s="18" t="n">
        <v>3</v>
      </c>
      <c r="M1058" s="18" t="n">
        <v>26</v>
      </c>
      <c r="N1058" s="18" t="n">
        <v>26</v>
      </c>
      <c r="O1058" s="14" t="s">
        <v>1126</v>
      </c>
      <c r="P1058" s="14" t="s">
        <v>84</v>
      </c>
      <c r="Q1058" s="15" t="s">
        <v>1089</v>
      </c>
      <c r="R1058" s="16" t="s">
        <v>7444</v>
      </c>
      <c r="S1058" s="15" t="s">
        <v>7445</v>
      </c>
      <c r="T1058" s="15" t="s">
        <v>7445</v>
      </c>
      <c r="U1058" s="21" t="s">
        <v>72</v>
      </c>
    </row>
    <row r="1059" customFormat="false" ht="15" hidden="false" customHeight="false" outlineLevel="0" collapsed="false">
      <c r="A1059" s="15" t="s">
        <v>850</v>
      </c>
      <c r="B1059" s="15" t="s">
        <v>6754</v>
      </c>
      <c r="C1059" s="14" t="s">
        <v>7446</v>
      </c>
      <c r="D1059" s="14" t="s">
        <v>7447</v>
      </c>
      <c r="E1059" s="16" t="s">
        <v>7448</v>
      </c>
      <c r="F1059" s="16" t="s">
        <v>7449</v>
      </c>
      <c r="G1059" s="19" t="s">
        <v>41</v>
      </c>
      <c r="H1059" s="18" t="n">
        <v>6</v>
      </c>
      <c r="I1059" s="20" t="n">
        <v>99.68</v>
      </c>
      <c r="J1059" s="20" t="n">
        <v>188.57</v>
      </c>
      <c r="K1059" s="18" t="n">
        <v>6</v>
      </c>
      <c r="L1059" s="18" t="n">
        <v>7</v>
      </c>
      <c r="M1059" s="18" t="n">
        <v>78</v>
      </c>
      <c r="N1059" s="18" t="n">
        <v>78</v>
      </c>
      <c r="O1059" s="14" t="s">
        <v>4223</v>
      </c>
      <c r="P1059" s="14" t="s">
        <v>84</v>
      </c>
      <c r="Q1059" s="15" t="s">
        <v>1089</v>
      </c>
      <c r="R1059" s="16" t="s">
        <v>7450</v>
      </c>
      <c r="S1059" s="15" t="s">
        <v>7451</v>
      </c>
      <c r="T1059" s="15" t="s">
        <v>7451</v>
      </c>
      <c r="U1059" s="21" t="s">
        <v>72</v>
      </c>
    </row>
    <row r="1060" customFormat="false" ht="15" hidden="false" customHeight="false" outlineLevel="0" collapsed="false">
      <c r="A1060" s="15" t="s">
        <v>850</v>
      </c>
      <c r="B1060" s="15" t="s">
        <v>6754</v>
      </c>
      <c r="C1060" s="14" t="s">
        <v>7452</v>
      </c>
      <c r="D1060" s="14" t="s">
        <v>7453</v>
      </c>
      <c r="E1060" s="16" t="s">
        <v>7454</v>
      </c>
      <c r="F1060" s="16" t="s">
        <v>7455</v>
      </c>
      <c r="G1060" s="23" t="s">
        <v>43</v>
      </c>
      <c r="H1060" s="18" t="n">
        <v>2</v>
      </c>
      <c r="I1060" s="20" t="n">
        <v>30.91</v>
      </c>
      <c r="J1060" s="20" t="n">
        <v>133.51</v>
      </c>
      <c r="K1060" s="18" t="n">
        <v>2</v>
      </c>
      <c r="L1060" s="18" t="n">
        <v>3</v>
      </c>
      <c r="M1060" s="18" t="n">
        <v>24</v>
      </c>
      <c r="N1060" s="18" t="n">
        <v>24</v>
      </c>
      <c r="O1060" s="14" t="s">
        <v>4223</v>
      </c>
      <c r="P1060" s="14" t="s">
        <v>84</v>
      </c>
      <c r="Q1060" s="15" t="s">
        <v>1089</v>
      </c>
      <c r="R1060" s="16" t="s">
        <v>7456</v>
      </c>
      <c r="S1060" s="15" t="s">
        <v>7457</v>
      </c>
      <c r="T1060" s="15" t="s">
        <v>7457</v>
      </c>
      <c r="U1060" s="21" t="s">
        <v>72</v>
      </c>
    </row>
    <row r="1061" customFormat="false" ht="15" hidden="false" customHeight="false" outlineLevel="0" collapsed="false">
      <c r="A1061" s="15" t="s">
        <v>850</v>
      </c>
      <c r="B1061" s="15" t="s">
        <v>6754</v>
      </c>
      <c r="C1061" s="14" t="s">
        <v>7458</v>
      </c>
      <c r="D1061" s="14" t="s">
        <v>7459</v>
      </c>
      <c r="E1061" s="16" t="s">
        <v>7460</v>
      </c>
      <c r="F1061" s="16" t="s">
        <v>7461</v>
      </c>
      <c r="G1061" s="25" t="s">
        <v>39</v>
      </c>
      <c r="H1061" s="18" t="n">
        <v>12</v>
      </c>
      <c r="I1061" s="20" t="n">
        <v>201.49</v>
      </c>
      <c r="J1061" s="20" t="n">
        <v>428.45</v>
      </c>
      <c r="K1061" s="18" t="n">
        <v>11</v>
      </c>
      <c r="L1061" s="18" t="n">
        <v>13</v>
      </c>
      <c r="M1061" s="18" t="n">
        <v>154</v>
      </c>
      <c r="N1061" s="18" t="n">
        <v>56</v>
      </c>
      <c r="O1061" s="14" t="s">
        <v>4983</v>
      </c>
      <c r="P1061" s="14" t="s">
        <v>118</v>
      </c>
      <c r="Q1061" s="15" t="s">
        <v>1089</v>
      </c>
      <c r="R1061" s="16" t="s">
        <v>7462</v>
      </c>
      <c r="S1061" s="15" t="s">
        <v>7463</v>
      </c>
      <c r="T1061" s="15" t="s">
        <v>7464</v>
      </c>
      <c r="U1061" s="21" t="s">
        <v>72</v>
      </c>
    </row>
    <row r="1062" customFormat="false" ht="15" hidden="false" customHeight="false" outlineLevel="0" collapsed="false">
      <c r="A1062" s="15" t="s">
        <v>850</v>
      </c>
      <c r="B1062" s="15" t="s">
        <v>6754</v>
      </c>
      <c r="C1062" s="14" t="s">
        <v>7465</v>
      </c>
      <c r="D1062" s="14" t="s">
        <v>7466</v>
      </c>
      <c r="E1062" s="16" t="s">
        <v>7467</v>
      </c>
      <c r="F1062" s="16" t="s">
        <v>7468</v>
      </c>
      <c r="G1062" s="25" t="s">
        <v>39</v>
      </c>
      <c r="H1062" s="18" t="n">
        <v>5</v>
      </c>
      <c r="I1062" s="20" t="n">
        <v>253.46</v>
      </c>
      <c r="J1062" s="20" t="n">
        <v>421.84</v>
      </c>
      <c r="K1062" s="18" t="n">
        <v>5</v>
      </c>
      <c r="L1062" s="18" t="n">
        <v>9</v>
      </c>
      <c r="M1062" s="18" t="n">
        <v>209</v>
      </c>
      <c r="N1062" s="18" t="n">
        <v>209</v>
      </c>
      <c r="O1062" s="14" t="s">
        <v>7469</v>
      </c>
      <c r="P1062" s="14" t="s">
        <v>84</v>
      </c>
      <c r="Q1062" s="15" t="s">
        <v>1089</v>
      </c>
      <c r="R1062" s="16" t="s">
        <v>7470</v>
      </c>
      <c r="S1062" s="15" t="s">
        <v>7471</v>
      </c>
      <c r="T1062" s="15" t="s">
        <v>7472</v>
      </c>
      <c r="U1062" s="21" t="s">
        <v>72</v>
      </c>
    </row>
    <row r="1063" customFormat="false" ht="15" hidden="false" customHeight="false" outlineLevel="0" collapsed="false">
      <c r="A1063" s="15" t="s">
        <v>850</v>
      </c>
      <c r="B1063" s="15" t="s">
        <v>6754</v>
      </c>
      <c r="C1063" s="14" t="s">
        <v>7473</v>
      </c>
      <c r="D1063" s="14" t="s">
        <v>7474</v>
      </c>
      <c r="E1063" s="16" t="s">
        <v>7475</v>
      </c>
      <c r="F1063" s="16" t="s">
        <v>7476</v>
      </c>
      <c r="G1063" s="25" t="s">
        <v>39</v>
      </c>
      <c r="H1063" s="18" t="n">
        <v>17</v>
      </c>
      <c r="I1063" s="20" t="n">
        <v>515.98</v>
      </c>
      <c r="J1063" s="20" t="n">
        <v>726.84</v>
      </c>
      <c r="K1063" s="18" t="n">
        <v>9</v>
      </c>
      <c r="L1063" s="18" t="n">
        <v>38</v>
      </c>
      <c r="M1063" s="18" t="n">
        <v>261</v>
      </c>
      <c r="N1063" s="18" t="n">
        <v>232</v>
      </c>
      <c r="O1063" s="14" t="s">
        <v>1126</v>
      </c>
      <c r="P1063" s="14" t="s">
        <v>84</v>
      </c>
      <c r="Q1063" s="15" t="s">
        <v>1089</v>
      </c>
      <c r="R1063" s="16" t="s">
        <v>7477</v>
      </c>
      <c r="S1063" s="15" t="s">
        <v>3488</v>
      </c>
      <c r="T1063" s="15" t="s">
        <v>900</v>
      </c>
      <c r="U1063" s="21" t="s">
        <v>72</v>
      </c>
    </row>
    <row r="1064" customFormat="false" ht="15" hidden="false" customHeight="false" outlineLevel="0" collapsed="false">
      <c r="A1064" s="15" t="s">
        <v>850</v>
      </c>
      <c r="B1064" s="15" t="s">
        <v>6754</v>
      </c>
      <c r="C1064" s="14" t="s">
        <v>7478</v>
      </c>
      <c r="D1064" s="14" t="s">
        <v>7479</v>
      </c>
      <c r="E1064" s="16" t="s">
        <v>7480</v>
      </c>
      <c r="F1064" s="16" t="s">
        <v>7481</v>
      </c>
      <c r="G1064" s="23" t="s">
        <v>43</v>
      </c>
      <c r="H1064" s="18" t="n">
        <v>2</v>
      </c>
      <c r="I1064" s="20" t="n">
        <v>60.48</v>
      </c>
      <c r="J1064" s="20" t="n">
        <v>78.91</v>
      </c>
      <c r="K1064" s="18" t="n">
        <v>3</v>
      </c>
      <c r="L1064" s="18" t="n">
        <v>6</v>
      </c>
      <c r="M1064" s="18" t="n">
        <v>75</v>
      </c>
      <c r="N1064" s="18" t="n">
        <v>50</v>
      </c>
      <c r="O1064" s="14" t="s">
        <v>4223</v>
      </c>
      <c r="P1064" s="14" t="s">
        <v>84</v>
      </c>
      <c r="Q1064" s="15" t="s">
        <v>1089</v>
      </c>
      <c r="R1064" s="16" t="s">
        <v>7482</v>
      </c>
      <c r="S1064" s="15" t="s">
        <v>7483</v>
      </c>
      <c r="T1064" s="15" t="s">
        <v>7484</v>
      </c>
      <c r="U1064" s="21" t="s">
        <v>72</v>
      </c>
    </row>
    <row r="1065" customFormat="false" ht="15" hidden="false" customHeight="false" outlineLevel="0" collapsed="false">
      <c r="A1065" s="15" t="s">
        <v>850</v>
      </c>
      <c r="B1065" s="15" t="s">
        <v>6754</v>
      </c>
      <c r="C1065" s="14" t="s">
        <v>7485</v>
      </c>
      <c r="D1065" s="14" t="s">
        <v>7486</v>
      </c>
      <c r="E1065" s="16" t="s">
        <v>7487</v>
      </c>
      <c r="F1065" s="16"/>
      <c r="G1065" s="23" t="s">
        <v>43</v>
      </c>
      <c r="H1065" s="18" t="n">
        <v>4</v>
      </c>
      <c r="I1065" s="20" t="n">
        <v>63.16</v>
      </c>
      <c r="J1065" s="20" t="n">
        <v>79.459</v>
      </c>
      <c r="K1065" s="18" t="n">
        <v>4</v>
      </c>
      <c r="L1065" s="18" t="n">
        <v>1</v>
      </c>
      <c r="M1065" s="18" t="n">
        <v>51</v>
      </c>
      <c r="N1065" s="18" t="n">
        <v>25</v>
      </c>
      <c r="O1065" s="14" t="s">
        <v>7488</v>
      </c>
      <c r="P1065" s="14" t="s">
        <v>118</v>
      </c>
      <c r="Q1065" s="15" t="s">
        <v>1089</v>
      </c>
      <c r="R1065" s="16" t="s">
        <v>7489</v>
      </c>
      <c r="S1065" s="15" t="s">
        <v>7490</v>
      </c>
      <c r="T1065" s="15" t="s">
        <v>7491</v>
      </c>
      <c r="U1065" s="21" t="s">
        <v>72</v>
      </c>
    </row>
    <row r="1066" customFormat="false" ht="15" hidden="false" customHeight="false" outlineLevel="0" collapsed="false">
      <c r="A1066" s="15" t="s">
        <v>850</v>
      </c>
      <c r="B1066" s="15" t="s">
        <v>6754</v>
      </c>
      <c r="C1066" s="14" t="s">
        <v>7492</v>
      </c>
      <c r="D1066" s="14" t="s">
        <v>7493</v>
      </c>
      <c r="E1066" s="16" t="s">
        <v>7494</v>
      </c>
      <c r="F1066" s="16" t="s">
        <v>7495</v>
      </c>
      <c r="G1066" s="23" t="s">
        <v>43</v>
      </c>
      <c r="H1066" s="18" t="n">
        <v>2</v>
      </c>
      <c r="I1066" s="20" t="n">
        <v>62.86</v>
      </c>
      <c r="J1066" s="20" t="n">
        <v>158.94</v>
      </c>
      <c r="K1066" s="18" t="n">
        <v>3</v>
      </c>
      <c r="L1066" s="18" t="n">
        <v>4</v>
      </c>
      <c r="M1066" s="18" t="n">
        <v>153</v>
      </c>
      <c r="N1066" s="18" t="n">
        <v>153</v>
      </c>
      <c r="O1066" s="14" t="s">
        <v>1088</v>
      </c>
      <c r="P1066" s="14" t="s">
        <v>84</v>
      </c>
      <c r="Q1066" s="15" t="s">
        <v>1089</v>
      </c>
      <c r="R1066" s="16" t="s">
        <v>5630</v>
      </c>
      <c r="S1066" s="15" t="s">
        <v>7496</v>
      </c>
      <c r="T1066" s="15" t="s">
        <v>7496</v>
      </c>
      <c r="U1066" s="21" t="s">
        <v>72</v>
      </c>
    </row>
    <row r="1067" customFormat="false" ht="15" hidden="false" customHeight="false" outlineLevel="0" collapsed="false">
      <c r="A1067" s="15" t="s">
        <v>850</v>
      </c>
      <c r="B1067" s="15" t="s">
        <v>6754</v>
      </c>
      <c r="C1067" s="14" t="s">
        <v>7497</v>
      </c>
      <c r="D1067" s="14" t="s">
        <v>7498</v>
      </c>
      <c r="E1067" s="16" t="s">
        <v>7499</v>
      </c>
      <c r="F1067" s="16" t="s">
        <v>7500</v>
      </c>
      <c r="G1067" s="19" t="s">
        <v>41</v>
      </c>
      <c r="H1067" s="18" t="n">
        <v>5</v>
      </c>
      <c r="I1067" s="20" t="n">
        <v>66.38</v>
      </c>
      <c r="J1067" s="20" t="n">
        <v>130.428</v>
      </c>
      <c r="K1067" s="18" t="n">
        <v>4</v>
      </c>
      <c r="L1067" s="18" t="n">
        <v>3</v>
      </c>
      <c r="M1067" s="18" t="n">
        <v>49</v>
      </c>
      <c r="N1067" s="18" t="n">
        <v>35</v>
      </c>
      <c r="O1067" s="14" t="s">
        <v>7501</v>
      </c>
      <c r="P1067" s="14" t="s">
        <v>118</v>
      </c>
      <c r="Q1067" s="15" t="s">
        <v>1089</v>
      </c>
      <c r="R1067" s="16" t="s">
        <v>7502</v>
      </c>
      <c r="S1067" s="15" t="s">
        <v>7503</v>
      </c>
      <c r="T1067" s="15" t="s">
        <v>7504</v>
      </c>
      <c r="U1067" s="21" t="s">
        <v>72</v>
      </c>
    </row>
    <row r="1068" customFormat="false" ht="15" hidden="false" customHeight="false" outlineLevel="0" collapsed="false">
      <c r="A1068" s="15" t="s">
        <v>850</v>
      </c>
      <c r="B1068" s="15" t="s">
        <v>6754</v>
      </c>
      <c r="C1068" s="14" t="s">
        <v>7505</v>
      </c>
      <c r="D1068" s="14" t="s">
        <v>7506</v>
      </c>
      <c r="E1068" s="16" t="s">
        <v>7507</v>
      </c>
      <c r="F1068" s="16"/>
      <c r="G1068" s="23" t="s">
        <v>43</v>
      </c>
      <c r="H1068" s="18" t="n">
        <v>3</v>
      </c>
      <c r="I1068" s="20" t="n">
        <v>51.48</v>
      </c>
      <c r="J1068" s="20" t="n">
        <v>103.64</v>
      </c>
      <c r="K1068" s="18" t="n">
        <v>2</v>
      </c>
      <c r="L1068" s="18" t="n">
        <v>2</v>
      </c>
      <c r="M1068" s="18" t="n">
        <v>34</v>
      </c>
      <c r="N1068" s="18" t="n">
        <v>17</v>
      </c>
      <c r="O1068" s="14" t="s">
        <v>1097</v>
      </c>
      <c r="P1068" s="14" t="s">
        <v>118</v>
      </c>
      <c r="Q1068" s="15" t="s">
        <v>1089</v>
      </c>
      <c r="R1068" s="16" t="s">
        <v>7508</v>
      </c>
      <c r="S1068" s="15" t="s">
        <v>7509</v>
      </c>
      <c r="T1068" s="15" t="s">
        <v>7509</v>
      </c>
      <c r="U1068" s="21" t="s">
        <v>72</v>
      </c>
    </row>
    <row r="1069" customFormat="false" ht="26.85" hidden="false" customHeight="false" outlineLevel="0" collapsed="false">
      <c r="A1069" s="15" t="s">
        <v>850</v>
      </c>
      <c r="B1069" s="15" t="s">
        <v>6754</v>
      </c>
      <c r="C1069" s="14" t="s">
        <v>7510</v>
      </c>
      <c r="D1069" s="14" t="s">
        <v>7511</v>
      </c>
      <c r="E1069" s="16" t="s">
        <v>7512</v>
      </c>
      <c r="F1069" s="16" t="s">
        <v>6981</v>
      </c>
      <c r="G1069" s="23" t="s">
        <v>43</v>
      </c>
      <c r="H1069" s="18" t="n">
        <v>3</v>
      </c>
      <c r="I1069" s="20" t="n">
        <v>60.06</v>
      </c>
      <c r="J1069" s="20" t="n">
        <v>116.32</v>
      </c>
      <c r="K1069" s="18" t="n">
        <v>5</v>
      </c>
      <c r="L1069" s="18" t="n">
        <v>3</v>
      </c>
      <c r="M1069" s="18" t="n">
        <v>240</v>
      </c>
      <c r="N1069" s="18" t="n">
        <v>240</v>
      </c>
      <c r="O1069" s="14" t="s">
        <v>7513</v>
      </c>
      <c r="P1069" s="14" t="s">
        <v>118</v>
      </c>
      <c r="Q1069" s="15" t="s">
        <v>1089</v>
      </c>
      <c r="R1069" s="16" t="s">
        <v>7272</v>
      </c>
      <c r="S1069" s="15" t="s">
        <v>6984</v>
      </c>
      <c r="T1069" s="15" t="s">
        <v>6984</v>
      </c>
      <c r="U1069" s="21" t="s">
        <v>72</v>
      </c>
    </row>
    <row r="1070" customFormat="false" ht="39.55" hidden="false" customHeight="false" outlineLevel="0" collapsed="false">
      <c r="A1070" s="15" t="s">
        <v>850</v>
      </c>
      <c r="B1070" s="15" t="s">
        <v>6754</v>
      </c>
      <c r="C1070" s="14" t="s">
        <v>7514</v>
      </c>
      <c r="D1070" s="14" t="s">
        <v>7515</v>
      </c>
      <c r="E1070" s="16" t="s">
        <v>7516</v>
      </c>
      <c r="F1070" s="16" t="s">
        <v>7517</v>
      </c>
      <c r="G1070" s="23" t="s">
        <v>43</v>
      </c>
      <c r="H1070" s="18" t="n">
        <v>4</v>
      </c>
      <c r="I1070" s="20" t="n">
        <v>109.25</v>
      </c>
      <c r="J1070" s="20" t="n">
        <v>116.46</v>
      </c>
      <c r="K1070" s="18" t="n">
        <v>8</v>
      </c>
      <c r="L1070" s="18" t="n">
        <v>3</v>
      </c>
      <c r="M1070" s="18" t="n">
        <v>178</v>
      </c>
      <c r="N1070" s="18" t="n">
        <v>24</v>
      </c>
      <c r="O1070" s="14" t="s">
        <v>4343</v>
      </c>
      <c r="P1070" s="14" t="s">
        <v>952</v>
      </c>
      <c r="Q1070" s="15" t="s">
        <v>1089</v>
      </c>
      <c r="R1070" s="16" t="s">
        <v>7518</v>
      </c>
      <c r="S1070" s="15" t="s">
        <v>7519</v>
      </c>
      <c r="T1070" s="15" t="s">
        <v>7519</v>
      </c>
      <c r="U1070" s="21" t="s">
        <v>72</v>
      </c>
    </row>
    <row r="1071" customFormat="false" ht="15" hidden="false" customHeight="false" outlineLevel="0" collapsed="false">
      <c r="A1071" s="15" t="s">
        <v>850</v>
      </c>
      <c r="B1071" s="15" t="s">
        <v>6754</v>
      </c>
      <c r="C1071" s="14" t="s">
        <v>7520</v>
      </c>
      <c r="D1071" s="14" t="s">
        <v>7521</v>
      </c>
      <c r="E1071" s="16" t="s">
        <v>7522</v>
      </c>
      <c r="F1071" s="16" t="s">
        <v>7523</v>
      </c>
      <c r="G1071" s="25" t="s">
        <v>39</v>
      </c>
      <c r="H1071" s="18" t="n">
        <v>8</v>
      </c>
      <c r="I1071" s="20" t="n">
        <v>134.15</v>
      </c>
      <c r="J1071" s="20" t="n">
        <v>251.25</v>
      </c>
      <c r="K1071" s="18" t="n">
        <v>4</v>
      </c>
      <c r="L1071" s="18" t="n">
        <v>6</v>
      </c>
      <c r="M1071" s="18" t="n">
        <v>96</v>
      </c>
      <c r="N1071" s="18" t="n">
        <v>46</v>
      </c>
      <c r="O1071" s="14" t="s">
        <v>1126</v>
      </c>
      <c r="P1071" s="14" t="s">
        <v>118</v>
      </c>
      <c r="Q1071" s="15" t="s">
        <v>1089</v>
      </c>
      <c r="R1071" s="16" t="s">
        <v>7524</v>
      </c>
      <c r="S1071" s="15" t="s">
        <v>7525</v>
      </c>
      <c r="T1071" s="15" t="s">
        <v>7525</v>
      </c>
      <c r="U1071" s="21" t="s">
        <v>72</v>
      </c>
    </row>
    <row r="1072" customFormat="false" ht="15" hidden="false" customHeight="false" outlineLevel="0" collapsed="false">
      <c r="A1072" s="15" t="s">
        <v>850</v>
      </c>
      <c r="B1072" s="15" t="s">
        <v>6754</v>
      </c>
      <c r="C1072" s="14" t="s">
        <v>7526</v>
      </c>
      <c r="D1072" s="14" t="s">
        <v>7527</v>
      </c>
      <c r="E1072" s="16" t="s">
        <v>7528</v>
      </c>
      <c r="F1072" s="16" t="s">
        <v>7529</v>
      </c>
      <c r="G1072" s="25" t="s">
        <v>39</v>
      </c>
      <c r="H1072" s="18" t="n">
        <v>4</v>
      </c>
      <c r="I1072" s="20" t="n">
        <v>270.34</v>
      </c>
      <c r="J1072" s="20" t="n">
        <v>440.42</v>
      </c>
      <c r="K1072" s="18" t="n">
        <v>4</v>
      </c>
      <c r="L1072" s="18" t="n">
        <v>7</v>
      </c>
      <c r="M1072" s="18" t="n">
        <v>232</v>
      </c>
      <c r="N1072" s="18" t="n">
        <v>120</v>
      </c>
      <c r="O1072" s="14" t="s">
        <v>4215</v>
      </c>
      <c r="P1072" s="14" t="s">
        <v>118</v>
      </c>
      <c r="Q1072" s="15" t="s">
        <v>1089</v>
      </c>
      <c r="R1072" s="16" t="s">
        <v>1409</v>
      </c>
      <c r="S1072" s="15" t="s">
        <v>7403</v>
      </c>
      <c r="T1072" s="15" t="s">
        <v>7530</v>
      </c>
      <c r="U1072" s="21" t="s">
        <v>72</v>
      </c>
    </row>
    <row r="1073" customFormat="false" ht="15" hidden="false" customHeight="false" outlineLevel="0" collapsed="false">
      <c r="A1073" s="15" t="s">
        <v>850</v>
      </c>
      <c r="B1073" s="15" t="s">
        <v>6754</v>
      </c>
      <c r="C1073" s="14" t="s">
        <v>7531</v>
      </c>
      <c r="D1073" s="14" t="s">
        <v>7532</v>
      </c>
      <c r="E1073" s="16" t="s">
        <v>7533</v>
      </c>
      <c r="F1073" s="16" t="s">
        <v>7534</v>
      </c>
      <c r="G1073" s="25" t="s">
        <v>39</v>
      </c>
      <c r="H1073" s="18" t="n">
        <v>5</v>
      </c>
      <c r="I1073" s="20" t="n">
        <v>350.028</v>
      </c>
      <c r="J1073" s="20" t="n">
        <v>499.87</v>
      </c>
      <c r="K1073" s="18" t="n">
        <v>4</v>
      </c>
      <c r="L1073" s="18" t="n">
        <v>19</v>
      </c>
      <c r="M1073" s="18" t="n">
        <v>384</v>
      </c>
      <c r="N1073" s="18" t="n">
        <v>192</v>
      </c>
      <c r="O1073" s="14" t="s">
        <v>7535</v>
      </c>
      <c r="P1073" s="14" t="s">
        <v>118</v>
      </c>
      <c r="Q1073" s="15" t="s">
        <v>1089</v>
      </c>
      <c r="R1073" s="16" t="s">
        <v>7536</v>
      </c>
      <c r="S1073" s="15" t="s">
        <v>7537</v>
      </c>
      <c r="T1073" s="15" t="s">
        <v>7537</v>
      </c>
      <c r="U1073" s="21" t="s">
        <v>72</v>
      </c>
    </row>
    <row r="1074" customFormat="false" ht="15" hidden="false" customHeight="false" outlineLevel="0" collapsed="false">
      <c r="A1074" s="15" t="s">
        <v>850</v>
      </c>
      <c r="B1074" s="15" t="s">
        <v>6754</v>
      </c>
      <c r="C1074" s="14" t="s">
        <v>7538</v>
      </c>
      <c r="D1074" s="14" t="s">
        <v>7539</v>
      </c>
      <c r="E1074" s="16" t="s">
        <v>7540</v>
      </c>
      <c r="F1074" s="16" t="s">
        <v>7541</v>
      </c>
      <c r="G1074" s="23" t="s">
        <v>43</v>
      </c>
      <c r="H1074" s="18" t="n">
        <v>4</v>
      </c>
      <c r="I1074" s="20" t="n">
        <v>78.29</v>
      </c>
      <c r="J1074" s="20" t="n">
        <v>139.04</v>
      </c>
      <c r="K1074" s="18" t="n">
        <v>4</v>
      </c>
      <c r="L1074" s="18" t="n">
        <v>4</v>
      </c>
      <c r="M1074" s="18" t="n">
        <v>130</v>
      </c>
      <c r="N1074" s="18" t="n">
        <v>68</v>
      </c>
      <c r="O1074" s="14" t="s">
        <v>1097</v>
      </c>
      <c r="P1074" s="14" t="s">
        <v>84</v>
      </c>
      <c r="Q1074" s="15" t="s">
        <v>1089</v>
      </c>
      <c r="R1074" s="16" t="s">
        <v>7542</v>
      </c>
      <c r="S1074" s="15" t="s">
        <v>7543</v>
      </c>
      <c r="T1074" s="15" t="s">
        <v>7544</v>
      </c>
      <c r="U1074" s="21" t="s">
        <v>72</v>
      </c>
    </row>
    <row r="1075" customFormat="false" ht="15" hidden="false" customHeight="false" outlineLevel="0" collapsed="false">
      <c r="A1075" s="15" t="s">
        <v>850</v>
      </c>
      <c r="B1075" s="15" t="s">
        <v>6754</v>
      </c>
      <c r="C1075" s="14" t="s">
        <v>7545</v>
      </c>
      <c r="D1075" s="14" t="s">
        <v>7546</v>
      </c>
      <c r="E1075" s="16" t="s">
        <v>7547</v>
      </c>
      <c r="F1075" s="16"/>
      <c r="G1075" s="23" t="s">
        <v>43</v>
      </c>
      <c r="H1075" s="18" t="n">
        <v>4</v>
      </c>
      <c r="I1075" s="20" t="n">
        <v>53.36</v>
      </c>
      <c r="J1075" s="20" t="n">
        <v>123.36</v>
      </c>
      <c r="K1075" s="18" t="n">
        <v>5</v>
      </c>
      <c r="L1075" s="18" t="n">
        <v>11</v>
      </c>
      <c r="M1075" s="18" t="n">
        <v>171</v>
      </c>
      <c r="N1075" s="18" t="n">
        <v>19</v>
      </c>
      <c r="O1075" s="14" t="s">
        <v>4276</v>
      </c>
      <c r="P1075" s="14" t="s">
        <v>202</v>
      </c>
      <c r="Q1075" s="15" t="s">
        <v>1089</v>
      </c>
      <c r="R1075" s="16" t="s">
        <v>7548</v>
      </c>
      <c r="S1075" s="15" t="s">
        <v>7549</v>
      </c>
      <c r="T1075" s="15" t="s">
        <v>7550</v>
      </c>
      <c r="U1075" s="21" t="s">
        <v>72</v>
      </c>
    </row>
    <row r="1076" customFormat="false" ht="15" hidden="false" customHeight="false" outlineLevel="0" collapsed="false">
      <c r="A1076" s="15" t="s">
        <v>850</v>
      </c>
      <c r="B1076" s="15" t="s">
        <v>6754</v>
      </c>
      <c r="C1076" s="14" t="s">
        <v>7551</v>
      </c>
      <c r="D1076" s="14" t="s">
        <v>7552</v>
      </c>
      <c r="E1076" s="16" t="s">
        <v>7553</v>
      </c>
      <c r="F1076" s="16" t="s">
        <v>7554</v>
      </c>
      <c r="G1076" s="19" t="s">
        <v>41</v>
      </c>
      <c r="H1076" s="18" t="n">
        <v>2</v>
      </c>
      <c r="I1076" s="20" t="n">
        <v>54.41</v>
      </c>
      <c r="J1076" s="20" t="n">
        <v>217.29</v>
      </c>
      <c r="K1076" s="18" t="n">
        <v>2</v>
      </c>
      <c r="L1076" s="18" t="n">
        <v>1</v>
      </c>
      <c r="M1076" s="18" t="n">
        <v>80</v>
      </c>
      <c r="N1076" s="18" t="n">
        <v>80</v>
      </c>
      <c r="O1076" s="14" t="s">
        <v>1088</v>
      </c>
      <c r="P1076" s="14" t="s">
        <v>84</v>
      </c>
      <c r="Q1076" s="15" t="s">
        <v>1089</v>
      </c>
      <c r="R1076" s="16" t="s">
        <v>7555</v>
      </c>
      <c r="S1076" s="15" t="s">
        <v>7556</v>
      </c>
      <c r="T1076" s="15" t="s">
        <v>7557</v>
      </c>
      <c r="U1076" s="21" t="s">
        <v>72</v>
      </c>
    </row>
    <row r="1077" customFormat="false" ht="15" hidden="false" customHeight="false" outlineLevel="0" collapsed="false">
      <c r="A1077" s="15" t="s">
        <v>850</v>
      </c>
      <c r="B1077" s="15" t="s">
        <v>6754</v>
      </c>
      <c r="C1077" s="14" t="s">
        <v>7558</v>
      </c>
      <c r="D1077" s="14" t="s">
        <v>7559</v>
      </c>
      <c r="E1077" s="16" t="s">
        <v>7560</v>
      </c>
      <c r="F1077" s="16" t="s">
        <v>7561</v>
      </c>
      <c r="G1077" s="25" t="s">
        <v>39</v>
      </c>
      <c r="H1077" s="18" t="n">
        <v>6</v>
      </c>
      <c r="I1077" s="20" t="n">
        <v>191.21</v>
      </c>
      <c r="J1077" s="20" t="n">
        <v>486.92</v>
      </c>
      <c r="K1077" s="18" t="n">
        <v>7</v>
      </c>
      <c r="L1077" s="18" t="n">
        <v>11</v>
      </c>
      <c r="M1077" s="18" t="n">
        <v>189</v>
      </c>
      <c r="N1077" s="18" t="n">
        <v>100</v>
      </c>
      <c r="O1077" s="14" t="s">
        <v>4215</v>
      </c>
      <c r="P1077" s="14" t="s">
        <v>84</v>
      </c>
      <c r="Q1077" s="15" t="s">
        <v>1089</v>
      </c>
      <c r="R1077" s="16" t="s">
        <v>7562</v>
      </c>
      <c r="S1077" s="15" t="s">
        <v>7563</v>
      </c>
      <c r="T1077" s="15" t="s">
        <v>7564</v>
      </c>
      <c r="U1077" s="21" t="s">
        <v>72</v>
      </c>
    </row>
    <row r="1078" customFormat="false" ht="15" hidden="false" customHeight="false" outlineLevel="0" collapsed="false">
      <c r="A1078" s="15" t="s">
        <v>850</v>
      </c>
      <c r="B1078" s="15" t="s">
        <v>6754</v>
      </c>
      <c r="C1078" s="14" t="s">
        <v>7565</v>
      </c>
      <c r="D1078" s="14" t="s">
        <v>7566</v>
      </c>
      <c r="E1078" s="16" t="s">
        <v>7567</v>
      </c>
      <c r="F1078" s="16"/>
      <c r="G1078" s="23" t="s">
        <v>43</v>
      </c>
      <c r="H1078" s="18" t="n">
        <v>3</v>
      </c>
      <c r="I1078" s="20" t="n">
        <v>43.16</v>
      </c>
      <c r="J1078" s="20" t="n">
        <v>76.98</v>
      </c>
      <c r="K1078" s="18" t="n">
        <v>3</v>
      </c>
      <c r="L1078" s="18" t="n">
        <v>3</v>
      </c>
      <c r="M1078" s="18" t="n">
        <v>39</v>
      </c>
      <c r="N1078" s="18" t="n">
        <v>39</v>
      </c>
      <c r="O1078" s="14" t="s">
        <v>7568</v>
      </c>
      <c r="P1078" s="14" t="s">
        <v>118</v>
      </c>
      <c r="Q1078" s="15" t="s">
        <v>1089</v>
      </c>
      <c r="R1078" s="16" t="s">
        <v>7569</v>
      </c>
      <c r="S1078" s="15" t="s">
        <v>7570</v>
      </c>
      <c r="T1078" s="15" t="s">
        <v>7570</v>
      </c>
      <c r="U1078" s="21" t="s">
        <v>72</v>
      </c>
    </row>
    <row r="1079" customFormat="false" ht="15" hidden="false" customHeight="false" outlineLevel="0" collapsed="false">
      <c r="A1079" s="15" t="s">
        <v>850</v>
      </c>
      <c r="B1079" s="15" t="s">
        <v>6754</v>
      </c>
      <c r="C1079" s="14" t="s">
        <v>7571</v>
      </c>
      <c r="D1079" s="14" t="s">
        <v>7572</v>
      </c>
      <c r="E1079" s="16" t="s">
        <v>7573</v>
      </c>
      <c r="F1079" s="16" t="s">
        <v>7574</v>
      </c>
      <c r="G1079" s="23" t="s">
        <v>43</v>
      </c>
      <c r="H1079" s="18" t="n">
        <v>3</v>
      </c>
      <c r="I1079" s="20" t="n">
        <v>81.84</v>
      </c>
      <c r="J1079" s="20" t="n">
        <v>106.63</v>
      </c>
      <c r="K1079" s="18" t="n">
        <v>4</v>
      </c>
      <c r="L1079" s="18" t="n">
        <v>2</v>
      </c>
      <c r="M1079" s="18" t="n">
        <v>104</v>
      </c>
      <c r="N1079" s="18" t="n">
        <v>64</v>
      </c>
      <c r="O1079" s="14" t="s">
        <v>1097</v>
      </c>
      <c r="P1079" s="14" t="s">
        <v>118</v>
      </c>
      <c r="Q1079" s="15" t="s">
        <v>1089</v>
      </c>
      <c r="R1079" s="16" t="s">
        <v>7575</v>
      </c>
      <c r="S1079" s="15" t="s">
        <v>7576</v>
      </c>
      <c r="T1079" s="15" t="s">
        <v>7576</v>
      </c>
      <c r="U1079" s="21" t="s">
        <v>72</v>
      </c>
    </row>
    <row r="1080" customFormat="false" ht="15" hidden="false" customHeight="false" outlineLevel="0" collapsed="false">
      <c r="A1080" s="15" t="s">
        <v>850</v>
      </c>
      <c r="B1080" s="15" t="s">
        <v>6754</v>
      </c>
      <c r="C1080" s="14" t="s">
        <v>7577</v>
      </c>
      <c r="D1080" s="14" t="s">
        <v>7578</v>
      </c>
      <c r="E1080" s="16" t="s">
        <v>7579</v>
      </c>
      <c r="F1080" s="16" t="s">
        <v>7580</v>
      </c>
      <c r="G1080" s="19" t="s">
        <v>41</v>
      </c>
      <c r="H1080" s="18" t="n">
        <v>4</v>
      </c>
      <c r="I1080" s="20" t="n">
        <v>72.72</v>
      </c>
      <c r="J1080" s="20" t="n">
        <v>340.17</v>
      </c>
      <c r="K1080" s="18" t="n">
        <v>6</v>
      </c>
      <c r="L1080" s="18" t="n">
        <v>8</v>
      </c>
      <c r="M1080" s="18" t="n">
        <v>60</v>
      </c>
      <c r="N1080" s="18"/>
      <c r="O1080" s="14" t="s">
        <v>1126</v>
      </c>
      <c r="P1080" s="14" t="s">
        <v>118</v>
      </c>
      <c r="Q1080" s="15" t="s">
        <v>1089</v>
      </c>
      <c r="R1080" s="16" t="s">
        <v>7581</v>
      </c>
      <c r="S1080" s="15" t="s">
        <v>7582</v>
      </c>
      <c r="T1080" s="15" t="s">
        <v>7582</v>
      </c>
      <c r="U1080" s="21" t="s">
        <v>72</v>
      </c>
    </row>
    <row r="1081" customFormat="false" ht="15" hidden="false" customHeight="false" outlineLevel="0" collapsed="false">
      <c r="A1081" s="15" t="s">
        <v>850</v>
      </c>
      <c r="B1081" s="15" t="s">
        <v>6754</v>
      </c>
      <c r="C1081" s="14" t="s">
        <v>7583</v>
      </c>
      <c r="D1081" s="14" t="s">
        <v>7584</v>
      </c>
      <c r="E1081" s="16" t="s">
        <v>7585</v>
      </c>
      <c r="F1081" s="16" t="s">
        <v>7586</v>
      </c>
      <c r="G1081" s="23" t="s">
        <v>43</v>
      </c>
      <c r="H1081" s="18" t="n">
        <v>1</v>
      </c>
      <c r="I1081" s="20" t="n">
        <v>74.23</v>
      </c>
      <c r="J1081" s="20" t="n">
        <v>131.88</v>
      </c>
      <c r="K1081" s="18" t="n">
        <v>4</v>
      </c>
      <c r="L1081" s="18" t="n">
        <v>3</v>
      </c>
      <c r="M1081" s="18" t="n">
        <v>82</v>
      </c>
      <c r="N1081" s="18" t="n">
        <v>62</v>
      </c>
      <c r="O1081" s="14" t="s">
        <v>5664</v>
      </c>
      <c r="P1081" s="14" t="s">
        <v>118</v>
      </c>
      <c r="Q1081" s="15" t="s">
        <v>1089</v>
      </c>
      <c r="R1081" s="16" t="s">
        <v>7587</v>
      </c>
      <c r="S1081" s="15" t="s">
        <v>7588</v>
      </c>
      <c r="T1081" s="15" t="s">
        <v>7588</v>
      </c>
      <c r="U1081" s="21" t="s">
        <v>72</v>
      </c>
    </row>
    <row r="1082" customFormat="false" ht="15" hidden="false" customHeight="false" outlineLevel="0" collapsed="false">
      <c r="A1082" s="15" t="s">
        <v>850</v>
      </c>
      <c r="B1082" s="15" t="s">
        <v>6754</v>
      </c>
      <c r="C1082" s="14" t="s">
        <v>7589</v>
      </c>
      <c r="D1082" s="14" t="s">
        <v>7590</v>
      </c>
      <c r="E1082" s="16" t="s">
        <v>7591</v>
      </c>
      <c r="F1082" s="16" t="s">
        <v>7592</v>
      </c>
      <c r="G1082" s="19" t="s">
        <v>41</v>
      </c>
      <c r="H1082" s="18" t="n">
        <v>6</v>
      </c>
      <c r="I1082" s="20" t="n">
        <v>134.9</v>
      </c>
      <c r="J1082" s="20" t="n">
        <v>285.45</v>
      </c>
      <c r="K1082" s="18" t="n">
        <v>8</v>
      </c>
      <c r="L1082" s="18" t="n">
        <v>12</v>
      </c>
      <c r="M1082" s="18" t="n">
        <v>154</v>
      </c>
      <c r="N1082" s="18" t="n">
        <v>38</v>
      </c>
      <c r="O1082" s="14" t="s">
        <v>4983</v>
      </c>
      <c r="P1082" s="14" t="s">
        <v>118</v>
      </c>
      <c r="Q1082" s="15" t="s">
        <v>1089</v>
      </c>
      <c r="R1082" s="16" t="s">
        <v>7593</v>
      </c>
      <c r="S1082" s="15" t="s">
        <v>7594</v>
      </c>
      <c r="T1082" s="15" t="s">
        <v>7594</v>
      </c>
      <c r="U1082" s="21" t="s">
        <v>72</v>
      </c>
    </row>
    <row r="1083" customFormat="false" ht="26.85" hidden="false" customHeight="false" outlineLevel="0" collapsed="false">
      <c r="A1083" s="15" t="s">
        <v>850</v>
      </c>
      <c r="B1083" s="15" t="s">
        <v>6754</v>
      </c>
      <c r="C1083" s="14" t="s">
        <v>7595</v>
      </c>
      <c r="D1083" s="14" t="s">
        <v>7596</v>
      </c>
      <c r="E1083" s="16" t="s">
        <v>7597</v>
      </c>
      <c r="F1083" s="16"/>
      <c r="G1083" s="19" t="s">
        <v>41</v>
      </c>
      <c r="H1083" s="18" t="n">
        <v>3</v>
      </c>
      <c r="I1083" s="20" t="n">
        <v>204.24</v>
      </c>
      <c r="J1083" s="20" t="n">
        <v>310.19</v>
      </c>
      <c r="K1083" s="18" t="n">
        <v>3</v>
      </c>
      <c r="L1083" s="18" t="n">
        <v>30</v>
      </c>
      <c r="M1083" s="18" t="n">
        <v>180</v>
      </c>
      <c r="N1083" s="18" t="n">
        <v>180</v>
      </c>
      <c r="O1083" s="14" t="s">
        <v>7598</v>
      </c>
      <c r="P1083" s="14" t="s">
        <v>118</v>
      </c>
      <c r="Q1083" s="15" t="s">
        <v>1089</v>
      </c>
      <c r="R1083" s="16" t="s">
        <v>4714</v>
      </c>
      <c r="S1083" s="15" t="s">
        <v>7599</v>
      </c>
      <c r="T1083" s="15" t="s">
        <v>7600</v>
      </c>
      <c r="U1083" s="21" t="s">
        <v>72</v>
      </c>
    </row>
    <row r="1084" customFormat="false" ht="15" hidden="false" customHeight="false" outlineLevel="0" collapsed="false">
      <c r="A1084" s="15" t="s">
        <v>850</v>
      </c>
      <c r="B1084" s="15" t="s">
        <v>6754</v>
      </c>
      <c r="C1084" s="14" t="s">
        <v>7601</v>
      </c>
      <c r="D1084" s="14" t="s">
        <v>7602</v>
      </c>
      <c r="E1084" s="16" t="s">
        <v>7603</v>
      </c>
      <c r="F1084" s="16"/>
      <c r="G1084" s="23" t="s">
        <v>43</v>
      </c>
      <c r="H1084" s="18" t="n">
        <v>3</v>
      </c>
      <c r="I1084" s="20" t="n">
        <v>56</v>
      </c>
      <c r="J1084" s="20" t="n">
        <v>97.07</v>
      </c>
      <c r="K1084" s="18" t="n">
        <v>4</v>
      </c>
      <c r="L1084" s="18" t="n">
        <v>3</v>
      </c>
      <c r="M1084" s="18" t="n">
        <v>59</v>
      </c>
      <c r="N1084" s="18" t="n">
        <v>14</v>
      </c>
      <c r="O1084" s="14" t="s">
        <v>7604</v>
      </c>
      <c r="P1084" s="14" t="s">
        <v>118</v>
      </c>
      <c r="Q1084" s="15" t="s">
        <v>1089</v>
      </c>
      <c r="R1084" s="16" t="s">
        <v>7605</v>
      </c>
      <c r="S1084" s="15" t="s">
        <v>7606</v>
      </c>
      <c r="T1084" s="15" t="s">
        <v>7607</v>
      </c>
      <c r="U1084" s="21" t="s">
        <v>72</v>
      </c>
    </row>
    <row r="1085" customFormat="false" ht="26.85" hidden="false" customHeight="false" outlineLevel="0" collapsed="false">
      <c r="A1085" s="15" t="s">
        <v>850</v>
      </c>
      <c r="B1085" s="15" t="s">
        <v>6754</v>
      </c>
      <c r="C1085" s="14" t="s">
        <v>7608</v>
      </c>
      <c r="D1085" s="14" t="s">
        <v>7609</v>
      </c>
      <c r="E1085" s="16" t="s">
        <v>7610</v>
      </c>
      <c r="F1085" s="16" t="s">
        <v>7611</v>
      </c>
      <c r="G1085" s="23" t="s">
        <v>43</v>
      </c>
      <c r="H1085" s="18" t="n">
        <v>2</v>
      </c>
      <c r="I1085" s="20" t="n">
        <v>30</v>
      </c>
      <c r="J1085" s="20" t="n">
        <v>177.01</v>
      </c>
      <c r="K1085" s="18" t="n">
        <v>13</v>
      </c>
      <c r="L1085" s="18" t="n">
        <v>22</v>
      </c>
      <c r="M1085" s="18" t="n">
        <v>156</v>
      </c>
      <c r="N1085" s="18" t="n">
        <v>36</v>
      </c>
      <c r="O1085" s="14" t="s">
        <v>5664</v>
      </c>
      <c r="P1085" s="14" t="s">
        <v>906</v>
      </c>
      <c r="Q1085" s="15" t="s">
        <v>1089</v>
      </c>
      <c r="R1085" s="16" t="s">
        <v>7612</v>
      </c>
      <c r="S1085" s="15" t="s">
        <v>7613</v>
      </c>
      <c r="T1085" s="15" t="s">
        <v>7613</v>
      </c>
      <c r="U1085" s="21" t="s">
        <v>72</v>
      </c>
    </row>
    <row r="1086" customFormat="false" ht="15" hidden="false" customHeight="false" outlineLevel="0" collapsed="false">
      <c r="A1086" s="15" t="s">
        <v>850</v>
      </c>
      <c r="B1086" s="15" t="s">
        <v>6754</v>
      </c>
      <c r="C1086" s="14" t="s">
        <v>7614</v>
      </c>
      <c r="D1086" s="14" t="s">
        <v>7615</v>
      </c>
      <c r="E1086" s="16" t="s">
        <v>7616</v>
      </c>
      <c r="F1086" s="16" t="s">
        <v>7617</v>
      </c>
      <c r="G1086" s="23" t="s">
        <v>43</v>
      </c>
      <c r="H1086" s="18" t="n">
        <v>1</v>
      </c>
      <c r="I1086" s="20" t="n">
        <v>44.37</v>
      </c>
      <c r="J1086" s="20" t="n">
        <v>56.37</v>
      </c>
      <c r="K1086" s="18" t="n">
        <v>3</v>
      </c>
      <c r="L1086" s="18" t="n">
        <v>2</v>
      </c>
      <c r="M1086" s="18" t="n">
        <v>57</v>
      </c>
      <c r="N1086" s="18" t="n">
        <v>38</v>
      </c>
      <c r="O1086" s="14" t="s">
        <v>1126</v>
      </c>
      <c r="P1086" s="14" t="s">
        <v>84</v>
      </c>
      <c r="Q1086" s="15" t="s">
        <v>1089</v>
      </c>
      <c r="R1086" s="16" t="s">
        <v>7618</v>
      </c>
      <c r="S1086" s="15" t="s">
        <v>7619</v>
      </c>
      <c r="T1086" s="15" t="s">
        <v>7619</v>
      </c>
      <c r="U1086" s="21" t="s">
        <v>72</v>
      </c>
    </row>
    <row r="1087" customFormat="false" ht="15" hidden="false" customHeight="false" outlineLevel="0" collapsed="false">
      <c r="A1087" s="15" t="s">
        <v>850</v>
      </c>
      <c r="B1087" s="15" t="s">
        <v>6754</v>
      </c>
      <c r="C1087" s="14" t="s">
        <v>7620</v>
      </c>
      <c r="D1087" s="14" t="s">
        <v>7621</v>
      </c>
      <c r="E1087" s="16" t="s">
        <v>7622</v>
      </c>
      <c r="F1087" s="16"/>
      <c r="G1087" s="19" t="s">
        <v>41</v>
      </c>
      <c r="H1087" s="18" t="n">
        <v>5</v>
      </c>
      <c r="I1087" s="20" t="n">
        <v>100.5</v>
      </c>
      <c r="J1087" s="20" t="n">
        <v>211.28</v>
      </c>
      <c r="K1087" s="18" t="n">
        <v>8</v>
      </c>
      <c r="L1087" s="18" t="n">
        <v>4</v>
      </c>
      <c r="M1087" s="18" t="n">
        <v>192</v>
      </c>
      <c r="N1087" s="18" t="n">
        <v>48</v>
      </c>
      <c r="O1087" s="14" t="s">
        <v>4215</v>
      </c>
      <c r="P1087" s="14" t="s">
        <v>84</v>
      </c>
      <c r="Q1087" s="15" t="s">
        <v>1089</v>
      </c>
      <c r="R1087" s="16" t="s">
        <v>7623</v>
      </c>
      <c r="S1087" s="15" t="s">
        <v>7624</v>
      </c>
      <c r="T1087" s="15" t="s">
        <v>7625</v>
      </c>
      <c r="U1087" s="21" t="s">
        <v>72</v>
      </c>
    </row>
    <row r="1088" customFormat="false" ht="15" hidden="false" customHeight="false" outlineLevel="0" collapsed="false">
      <c r="A1088" s="15" t="s">
        <v>850</v>
      </c>
      <c r="B1088" s="15" t="s">
        <v>6754</v>
      </c>
      <c r="C1088" s="14" t="s">
        <v>7626</v>
      </c>
      <c r="D1088" s="14" t="s">
        <v>7627</v>
      </c>
      <c r="E1088" s="16" t="s">
        <v>7628</v>
      </c>
      <c r="F1088" s="16" t="s">
        <v>7629</v>
      </c>
      <c r="G1088" s="23" t="s">
        <v>43</v>
      </c>
      <c r="H1088" s="18" t="n">
        <v>3</v>
      </c>
      <c r="I1088" s="20" t="n">
        <v>46.8</v>
      </c>
      <c r="J1088" s="20" t="n">
        <v>116.46</v>
      </c>
      <c r="K1088" s="18" t="n">
        <v>4</v>
      </c>
      <c r="L1088" s="18" t="n">
        <v>3</v>
      </c>
      <c r="M1088" s="18" t="n">
        <v>156</v>
      </c>
      <c r="N1088" s="18" t="n">
        <v>78</v>
      </c>
      <c r="O1088" s="14" t="s">
        <v>4223</v>
      </c>
      <c r="P1088" s="14" t="s">
        <v>84</v>
      </c>
      <c r="Q1088" s="15" t="s">
        <v>1089</v>
      </c>
      <c r="R1088" s="16" t="s">
        <v>4312</v>
      </c>
      <c r="S1088" s="15" t="s">
        <v>7630</v>
      </c>
      <c r="T1088" s="15" t="s">
        <v>4381</v>
      </c>
      <c r="U1088" s="21" t="s">
        <v>72</v>
      </c>
    </row>
    <row r="1089" customFormat="false" ht="26.85" hidden="false" customHeight="false" outlineLevel="0" collapsed="false">
      <c r="A1089" s="15" t="s">
        <v>850</v>
      </c>
      <c r="B1089" s="15" t="s">
        <v>6754</v>
      </c>
      <c r="C1089" s="14" t="s">
        <v>7631</v>
      </c>
      <c r="D1089" s="14" t="s">
        <v>7632</v>
      </c>
      <c r="E1089" s="16" t="s">
        <v>7633</v>
      </c>
      <c r="F1089" s="16" t="s">
        <v>1812</v>
      </c>
      <c r="G1089" s="19" t="s">
        <v>41</v>
      </c>
      <c r="H1089" s="18" t="n">
        <v>7</v>
      </c>
      <c r="I1089" s="20" t="n">
        <v>203.92</v>
      </c>
      <c r="J1089" s="20" t="n">
        <v>304.35</v>
      </c>
      <c r="K1089" s="18" t="n">
        <v>7</v>
      </c>
      <c r="L1089" s="18" t="n">
        <v>10</v>
      </c>
      <c r="M1089" s="18" t="n">
        <v>126</v>
      </c>
      <c r="N1089" s="18" t="n">
        <v>105</v>
      </c>
      <c r="O1089" s="14" t="s">
        <v>4276</v>
      </c>
      <c r="P1089" s="14" t="s">
        <v>118</v>
      </c>
      <c r="Q1089" s="15" t="s">
        <v>1089</v>
      </c>
      <c r="R1089" s="16" t="s">
        <v>7634</v>
      </c>
      <c r="S1089" s="15" t="s">
        <v>1813</v>
      </c>
      <c r="T1089" s="15" t="s">
        <v>7635</v>
      </c>
      <c r="U1089" s="21" t="s">
        <v>72</v>
      </c>
    </row>
    <row r="1090" customFormat="false" ht="26.85" hidden="false" customHeight="false" outlineLevel="0" collapsed="false">
      <c r="A1090" s="15" t="s">
        <v>850</v>
      </c>
      <c r="B1090" s="15" t="s">
        <v>6754</v>
      </c>
      <c r="C1090" s="14" t="s">
        <v>7636</v>
      </c>
      <c r="D1090" s="14" t="s">
        <v>7637</v>
      </c>
      <c r="E1090" s="16" t="s">
        <v>7638</v>
      </c>
      <c r="F1090" s="16" t="s">
        <v>1812</v>
      </c>
      <c r="G1090" s="23" t="s">
        <v>43</v>
      </c>
      <c r="H1090" s="18" t="n">
        <v>2</v>
      </c>
      <c r="I1090" s="20" t="n">
        <v>70.75</v>
      </c>
      <c r="J1090" s="20" t="n">
        <v>181.47</v>
      </c>
      <c r="K1090" s="18" t="n">
        <v>4</v>
      </c>
      <c r="L1090" s="18" t="n">
        <v>13</v>
      </c>
      <c r="M1090" s="18" t="n">
        <v>464</v>
      </c>
      <c r="N1090" s="18" t="n">
        <v>464</v>
      </c>
      <c r="O1090" s="14" t="s">
        <v>1126</v>
      </c>
      <c r="P1090" s="14" t="s">
        <v>84</v>
      </c>
      <c r="Q1090" s="15" t="s">
        <v>1089</v>
      </c>
      <c r="R1090" s="16" t="s">
        <v>7639</v>
      </c>
      <c r="S1090" s="15" t="s">
        <v>1813</v>
      </c>
      <c r="T1090" s="15" t="s">
        <v>7640</v>
      </c>
      <c r="U1090" s="21" t="s">
        <v>72</v>
      </c>
    </row>
    <row r="1091" customFormat="false" ht="15" hidden="false" customHeight="false" outlineLevel="0" collapsed="false">
      <c r="A1091" s="15" t="s">
        <v>850</v>
      </c>
      <c r="B1091" s="15" t="s">
        <v>6754</v>
      </c>
      <c r="C1091" s="14" t="s">
        <v>7641</v>
      </c>
      <c r="D1091" s="14" t="s">
        <v>7642</v>
      </c>
      <c r="E1091" s="16" t="s">
        <v>7643</v>
      </c>
      <c r="F1091" s="16"/>
      <c r="G1091" s="23" t="s">
        <v>43</v>
      </c>
      <c r="H1091" s="18" t="n">
        <v>2</v>
      </c>
      <c r="I1091" s="20" t="n">
        <v>75.01</v>
      </c>
      <c r="J1091" s="20" t="n">
        <v>196.93</v>
      </c>
      <c r="K1091" s="18" t="n">
        <v>2</v>
      </c>
      <c r="L1091" s="18" t="n">
        <v>6</v>
      </c>
      <c r="M1091" s="18" t="n">
        <v>68</v>
      </c>
      <c r="N1091" s="18" t="n">
        <v>68</v>
      </c>
      <c r="O1091" s="14" t="s">
        <v>4343</v>
      </c>
      <c r="P1091" s="14" t="s">
        <v>84</v>
      </c>
      <c r="Q1091" s="15" t="s">
        <v>1089</v>
      </c>
      <c r="R1091" s="16" t="s">
        <v>7644</v>
      </c>
      <c r="S1091" s="15" t="s">
        <v>7645</v>
      </c>
      <c r="T1091" s="15" t="s">
        <v>7646</v>
      </c>
      <c r="U1091" s="21" t="s">
        <v>72</v>
      </c>
    </row>
    <row r="1092" customFormat="false" ht="26.85" hidden="false" customHeight="false" outlineLevel="0" collapsed="false">
      <c r="A1092" s="15" t="s">
        <v>850</v>
      </c>
      <c r="B1092" s="15" t="s">
        <v>6754</v>
      </c>
      <c r="C1092" s="14" t="s">
        <v>7647</v>
      </c>
      <c r="D1092" s="14" t="s">
        <v>7648</v>
      </c>
      <c r="E1092" s="16" t="s">
        <v>7649</v>
      </c>
      <c r="F1092" s="16"/>
      <c r="G1092" s="25" t="s">
        <v>39</v>
      </c>
      <c r="H1092" s="18" t="n">
        <v>9</v>
      </c>
      <c r="I1092" s="20" t="n">
        <v>106.07</v>
      </c>
      <c r="J1092" s="20" t="n">
        <v>246.1</v>
      </c>
      <c r="K1092" s="18" t="n">
        <v>4</v>
      </c>
      <c r="L1092" s="18" t="n">
        <v>4</v>
      </c>
      <c r="M1092" s="18" t="n">
        <v>56</v>
      </c>
      <c r="N1092" s="18" t="n">
        <v>56</v>
      </c>
      <c r="O1092" s="14" t="s">
        <v>1097</v>
      </c>
      <c r="P1092" s="14" t="s">
        <v>84</v>
      </c>
      <c r="Q1092" s="15" t="s">
        <v>1089</v>
      </c>
      <c r="R1092" s="16" t="s">
        <v>7650</v>
      </c>
      <c r="S1092" s="15" t="s">
        <v>7651</v>
      </c>
      <c r="T1092" s="15" t="s">
        <v>745</v>
      </c>
      <c r="U1092" s="21" t="s">
        <v>72</v>
      </c>
    </row>
    <row r="1093" customFormat="false" ht="15" hidden="false" customHeight="false" outlineLevel="0" collapsed="false">
      <c r="A1093" s="15" t="s">
        <v>850</v>
      </c>
      <c r="B1093" s="15" t="s">
        <v>6754</v>
      </c>
      <c r="C1093" s="14" t="s">
        <v>7652</v>
      </c>
      <c r="D1093" s="14" t="s">
        <v>7653</v>
      </c>
      <c r="E1093" s="16" t="s">
        <v>7654</v>
      </c>
      <c r="F1093" s="16"/>
      <c r="G1093" s="19" t="s">
        <v>41</v>
      </c>
      <c r="H1093" s="18" t="n">
        <v>6</v>
      </c>
      <c r="I1093" s="20" t="n">
        <v>184.51</v>
      </c>
      <c r="J1093" s="20" t="n">
        <v>337.66</v>
      </c>
      <c r="K1093" s="18" t="n">
        <v>4</v>
      </c>
      <c r="L1093" s="18" t="n">
        <v>7</v>
      </c>
      <c r="M1093" s="18" t="n">
        <v>134</v>
      </c>
      <c r="N1093" s="18" t="n">
        <v>67</v>
      </c>
      <c r="O1093" s="14" t="s">
        <v>4713</v>
      </c>
      <c r="P1093" s="14" t="s">
        <v>118</v>
      </c>
      <c r="Q1093" s="15" t="s">
        <v>1089</v>
      </c>
      <c r="R1093" s="16" t="s">
        <v>7655</v>
      </c>
      <c r="S1093" s="15" t="s">
        <v>7656</v>
      </c>
      <c r="T1093" s="15" t="s">
        <v>7657</v>
      </c>
      <c r="U1093" s="21" t="s">
        <v>72</v>
      </c>
    </row>
    <row r="1094" customFormat="false" ht="26.85" hidden="false" customHeight="false" outlineLevel="0" collapsed="false">
      <c r="A1094" s="15" t="s">
        <v>850</v>
      </c>
      <c r="B1094" s="15" t="s">
        <v>6754</v>
      </c>
      <c r="C1094" s="14" t="s">
        <v>7658</v>
      </c>
      <c r="D1094" s="14" t="s">
        <v>7659</v>
      </c>
      <c r="E1094" s="16" t="s">
        <v>7660</v>
      </c>
      <c r="F1094" s="16" t="s">
        <v>7661</v>
      </c>
      <c r="G1094" s="19" t="s">
        <v>41</v>
      </c>
      <c r="H1094" s="18" t="n">
        <v>7</v>
      </c>
      <c r="I1094" s="20" t="n">
        <v>139.483</v>
      </c>
      <c r="J1094" s="20" t="n">
        <v>274.58</v>
      </c>
      <c r="K1094" s="18" t="n">
        <v>6</v>
      </c>
      <c r="L1094" s="18" t="n">
        <v>1</v>
      </c>
      <c r="M1094" s="18" t="n">
        <v>138</v>
      </c>
      <c r="N1094" s="18" t="n">
        <v>138</v>
      </c>
      <c r="O1094" s="14" t="s">
        <v>7662</v>
      </c>
      <c r="P1094" s="14" t="s">
        <v>118</v>
      </c>
      <c r="Q1094" s="15" t="s">
        <v>1089</v>
      </c>
      <c r="R1094" s="16" t="s">
        <v>7663</v>
      </c>
      <c r="S1094" s="15" t="s">
        <v>7664</v>
      </c>
      <c r="T1094" s="15" t="s">
        <v>7664</v>
      </c>
      <c r="U1094" s="21" t="s">
        <v>72</v>
      </c>
    </row>
    <row r="1095" customFormat="false" ht="15" hidden="false" customHeight="false" outlineLevel="0" collapsed="false">
      <c r="A1095" s="15" t="s">
        <v>850</v>
      </c>
      <c r="B1095" s="15" t="s">
        <v>6754</v>
      </c>
      <c r="C1095" s="14" t="s">
        <v>7665</v>
      </c>
      <c r="D1095" s="14" t="s">
        <v>7666</v>
      </c>
      <c r="E1095" s="16" t="s">
        <v>7667</v>
      </c>
      <c r="F1095" s="16"/>
      <c r="G1095" s="19" t="s">
        <v>41</v>
      </c>
      <c r="H1095" s="18" t="n">
        <v>2</v>
      </c>
      <c r="I1095" s="20" t="n">
        <v>57.69</v>
      </c>
      <c r="J1095" s="20" t="n">
        <v>226.9</v>
      </c>
      <c r="K1095" s="18" t="n">
        <v>5</v>
      </c>
      <c r="L1095" s="18" t="n">
        <v>6</v>
      </c>
      <c r="M1095" s="18" t="n">
        <v>240</v>
      </c>
      <c r="N1095" s="18" t="n">
        <v>144</v>
      </c>
      <c r="O1095" s="14" t="s">
        <v>4223</v>
      </c>
      <c r="P1095" s="14" t="s">
        <v>84</v>
      </c>
      <c r="Q1095" s="15" t="s">
        <v>1089</v>
      </c>
      <c r="R1095" s="16" t="s">
        <v>7668</v>
      </c>
      <c r="S1095" s="15" t="s">
        <v>7037</v>
      </c>
      <c r="T1095" s="15" t="s">
        <v>7669</v>
      </c>
      <c r="U1095" s="21" t="s">
        <v>72</v>
      </c>
    </row>
    <row r="1096" customFormat="false" ht="15" hidden="false" customHeight="false" outlineLevel="0" collapsed="false">
      <c r="A1096" s="15" t="s">
        <v>850</v>
      </c>
      <c r="B1096" s="15" t="s">
        <v>6754</v>
      </c>
      <c r="C1096" s="14" t="s">
        <v>7670</v>
      </c>
      <c r="D1096" s="14" t="s">
        <v>7671</v>
      </c>
      <c r="E1096" s="16" t="s">
        <v>7672</v>
      </c>
      <c r="F1096" s="16" t="s">
        <v>7673</v>
      </c>
      <c r="G1096" s="23" t="s">
        <v>43</v>
      </c>
      <c r="H1096" s="18" t="n">
        <v>2</v>
      </c>
      <c r="I1096" s="20" t="n">
        <v>44.67</v>
      </c>
      <c r="J1096" s="20" t="n">
        <v>74.67</v>
      </c>
      <c r="K1096" s="18" t="n">
        <v>2</v>
      </c>
      <c r="L1096" s="18" t="n">
        <v>2</v>
      </c>
      <c r="M1096" s="18" t="n">
        <v>36</v>
      </c>
      <c r="N1096" s="18" t="n">
        <v>36</v>
      </c>
      <c r="O1096" s="14" t="s">
        <v>4276</v>
      </c>
      <c r="P1096" s="14" t="s">
        <v>84</v>
      </c>
      <c r="Q1096" s="15" t="s">
        <v>1089</v>
      </c>
      <c r="R1096" s="16" t="s">
        <v>7674</v>
      </c>
      <c r="S1096" s="15" t="s">
        <v>7675</v>
      </c>
      <c r="T1096" s="15" t="s">
        <v>7675</v>
      </c>
      <c r="U1096" s="21" t="s">
        <v>72</v>
      </c>
    </row>
    <row r="1097" customFormat="false" ht="15" hidden="false" customHeight="false" outlineLevel="0" collapsed="false">
      <c r="A1097" s="15" t="s">
        <v>850</v>
      </c>
      <c r="B1097" s="15" t="s">
        <v>6754</v>
      </c>
      <c r="C1097" s="14" t="s">
        <v>7676</v>
      </c>
      <c r="D1097" s="14" t="s">
        <v>7677</v>
      </c>
      <c r="E1097" s="16" t="s">
        <v>7678</v>
      </c>
      <c r="F1097" s="16" t="s">
        <v>7679</v>
      </c>
      <c r="G1097" s="19" t="s">
        <v>41</v>
      </c>
      <c r="H1097" s="18" t="n">
        <v>4</v>
      </c>
      <c r="I1097" s="20" t="n">
        <v>71.56</v>
      </c>
      <c r="J1097" s="20" t="n">
        <v>261.98</v>
      </c>
      <c r="K1097" s="18" t="n">
        <v>12</v>
      </c>
      <c r="L1097" s="18" t="n">
        <v>2</v>
      </c>
      <c r="M1097" s="18" t="n">
        <v>216</v>
      </c>
      <c r="N1097" s="18" t="n">
        <v>216</v>
      </c>
      <c r="O1097" s="14" t="s">
        <v>7680</v>
      </c>
      <c r="P1097" s="14" t="s">
        <v>118</v>
      </c>
      <c r="Q1097" s="15" t="s">
        <v>1089</v>
      </c>
      <c r="R1097" s="16" t="s">
        <v>7681</v>
      </c>
      <c r="S1097" s="15" t="s">
        <v>3863</v>
      </c>
      <c r="T1097" s="15" t="s">
        <v>3863</v>
      </c>
      <c r="U1097" s="21" t="s">
        <v>72</v>
      </c>
    </row>
    <row r="1098" customFormat="false" ht="15" hidden="false" customHeight="false" outlineLevel="0" collapsed="false">
      <c r="A1098" s="15" t="s">
        <v>850</v>
      </c>
      <c r="B1098" s="15" t="s">
        <v>6754</v>
      </c>
      <c r="C1098" s="14" t="s">
        <v>7682</v>
      </c>
      <c r="D1098" s="14" t="s">
        <v>7683</v>
      </c>
      <c r="E1098" s="16" t="s">
        <v>7684</v>
      </c>
      <c r="F1098" s="16"/>
      <c r="G1098" s="23" t="s">
        <v>43</v>
      </c>
      <c r="H1098" s="18" t="n">
        <v>3</v>
      </c>
      <c r="I1098" s="20" t="n">
        <v>58.333</v>
      </c>
      <c r="J1098" s="20" t="n">
        <v>99.28</v>
      </c>
      <c r="K1098" s="18" t="n">
        <v>4</v>
      </c>
      <c r="L1098" s="18" t="n">
        <v>8</v>
      </c>
      <c r="M1098" s="18" t="n">
        <v>72</v>
      </c>
      <c r="N1098" s="18" t="n">
        <v>72</v>
      </c>
      <c r="O1098" s="14" t="s">
        <v>7685</v>
      </c>
      <c r="P1098" s="14" t="s">
        <v>118</v>
      </c>
      <c r="Q1098" s="15" t="s">
        <v>1089</v>
      </c>
      <c r="R1098" s="16" t="s">
        <v>7339</v>
      </c>
      <c r="S1098" s="15" t="s">
        <v>7686</v>
      </c>
      <c r="T1098" s="15" t="s">
        <v>7687</v>
      </c>
      <c r="U1098" s="21" t="s">
        <v>72</v>
      </c>
    </row>
    <row r="1099" customFormat="false" ht="15" hidden="false" customHeight="false" outlineLevel="0" collapsed="false">
      <c r="A1099" s="15" t="s">
        <v>850</v>
      </c>
      <c r="B1099" s="15" t="s">
        <v>6754</v>
      </c>
      <c r="C1099" s="14" t="s">
        <v>7688</v>
      </c>
      <c r="D1099" s="14" t="s">
        <v>7689</v>
      </c>
      <c r="E1099" s="16" t="s">
        <v>7690</v>
      </c>
      <c r="F1099" s="16" t="s">
        <v>3599</v>
      </c>
      <c r="G1099" s="19" t="s">
        <v>41</v>
      </c>
      <c r="H1099" s="18" t="n">
        <v>4</v>
      </c>
      <c r="I1099" s="20" t="n">
        <v>118.84</v>
      </c>
      <c r="J1099" s="20" t="n">
        <v>285.19</v>
      </c>
      <c r="K1099" s="18" t="n">
        <v>10</v>
      </c>
      <c r="L1099" s="18" t="n">
        <v>117</v>
      </c>
      <c r="M1099" s="18" t="n">
        <v>320</v>
      </c>
      <c r="N1099" s="18" t="n">
        <v>272</v>
      </c>
      <c r="O1099" s="14" t="s">
        <v>4215</v>
      </c>
      <c r="P1099" s="14" t="s">
        <v>84</v>
      </c>
      <c r="Q1099" s="15" t="s">
        <v>1089</v>
      </c>
      <c r="R1099" s="16" t="s">
        <v>7691</v>
      </c>
      <c r="S1099" s="15" t="s">
        <v>7692</v>
      </c>
      <c r="T1099" s="15" t="s">
        <v>7693</v>
      </c>
      <c r="U1099" s="21" t="s">
        <v>72</v>
      </c>
    </row>
    <row r="1100" customFormat="false" ht="26.85" hidden="false" customHeight="false" outlineLevel="0" collapsed="false">
      <c r="A1100" s="15" t="s">
        <v>850</v>
      </c>
      <c r="B1100" s="15" t="s">
        <v>6754</v>
      </c>
      <c r="C1100" s="14" t="s">
        <v>7694</v>
      </c>
      <c r="D1100" s="14" t="s">
        <v>7695</v>
      </c>
      <c r="E1100" s="16" t="s">
        <v>7696</v>
      </c>
      <c r="F1100" s="16" t="s">
        <v>7697</v>
      </c>
      <c r="G1100" s="19" t="s">
        <v>41</v>
      </c>
      <c r="H1100" s="18" t="n">
        <v>5</v>
      </c>
      <c r="I1100" s="20" t="n">
        <v>112.72</v>
      </c>
      <c r="J1100" s="20" t="n">
        <v>181.31</v>
      </c>
      <c r="K1100" s="18" t="n">
        <v>6</v>
      </c>
      <c r="L1100" s="18" t="n">
        <v>5</v>
      </c>
      <c r="M1100" s="18" t="n">
        <v>174</v>
      </c>
      <c r="N1100" s="18" t="n">
        <v>174</v>
      </c>
      <c r="O1100" s="14" t="s">
        <v>4670</v>
      </c>
      <c r="P1100" s="14" t="s">
        <v>118</v>
      </c>
      <c r="Q1100" s="15" t="s">
        <v>1089</v>
      </c>
      <c r="R1100" s="16" t="s">
        <v>7698</v>
      </c>
      <c r="S1100" s="15" t="s">
        <v>7699</v>
      </c>
      <c r="T1100" s="15" t="s">
        <v>7700</v>
      </c>
      <c r="U1100" s="21" t="s">
        <v>72</v>
      </c>
    </row>
    <row r="1101" customFormat="false" ht="39.55" hidden="false" customHeight="false" outlineLevel="0" collapsed="false">
      <c r="A1101" s="15" t="s">
        <v>850</v>
      </c>
      <c r="B1101" s="15" t="s">
        <v>6754</v>
      </c>
      <c r="C1101" s="14" t="s">
        <v>7701</v>
      </c>
      <c r="D1101" s="14" t="s">
        <v>7702</v>
      </c>
      <c r="E1101" s="16" t="s">
        <v>7703</v>
      </c>
      <c r="F1101" s="16"/>
      <c r="G1101" s="23" t="s">
        <v>43</v>
      </c>
      <c r="H1101" s="18" t="n">
        <v>1</v>
      </c>
      <c r="I1101" s="20" t="n">
        <v>109.24</v>
      </c>
      <c r="J1101" s="20" t="n">
        <v>127.61</v>
      </c>
      <c r="K1101" s="18" t="n">
        <v>3</v>
      </c>
      <c r="L1101" s="18" t="n">
        <v>3</v>
      </c>
      <c r="M1101" s="18" t="n">
        <v>75</v>
      </c>
      <c r="N1101" s="18" t="n">
        <v>25</v>
      </c>
      <c r="O1101" s="14" t="s">
        <v>4983</v>
      </c>
      <c r="P1101" s="14" t="s">
        <v>4490</v>
      </c>
      <c r="Q1101" s="15" t="s">
        <v>1089</v>
      </c>
      <c r="R1101" s="16" t="s">
        <v>5544</v>
      </c>
      <c r="S1101" s="15" t="s">
        <v>7704</v>
      </c>
      <c r="T1101" s="15" t="s">
        <v>7704</v>
      </c>
      <c r="U1101" s="21" t="s">
        <v>72</v>
      </c>
    </row>
    <row r="1102" customFormat="false" ht="26.85" hidden="false" customHeight="false" outlineLevel="0" collapsed="false">
      <c r="A1102" s="15" t="s">
        <v>850</v>
      </c>
      <c r="B1102" s="15" t="s">
        <v>6754</v>
      </c>
      <c r="C1102" s="14" t="s">
        <v>7705</v>
      </c>
      <c r="D1102" s="14" t="s">
        <v>7706</v>
      </c>
      <c r="E1102" s="16" t="s">
        <v>7707</v>
      </c>
      <c r="F1102" s="16" t="s">
        <v>7708</v>
      </c>
      <c r="G1102" s="19" t="s">
        <v>41</v>
      </c>
      <c r="H1102" s="18" t="n">
        <v>4</v>
      </c>
      <c r="I1102" s="20" t="n">
        <v>101.34</v>
      </c>
      <c r="J1102" s="20" t="n">
        <v>213.31</v>
      </c>
      <c r="K1102" s="18" t="n">
        <v>8</v>
      </c>
      <c r="L1102" s="18" t="n">
        <v>3</v>
      </c>
      <c r="M1102" s="18" t="n">
        <v>118</v>
      </c>
      <c r="N1102" s="18" t="n">
        <v>32</v>
      </c>
      <c r="O1102" s="14" t="s">
        <v>7211</v>
      </c>
      <c r="P1102" s="14" t="s">
        <v>1716</v>
      </c>
      <c r="Q1102" s="15" t="s">
        <v>1089</v>
      </c>
      <c r="R1102" s="16" t="s">
        <v>7709</v>
      </c>
      <c r="S1102" s="15" t="s">
        <v>7710</v>
      </c>
      <c r="T1102" s="15" t="s">
        <v>7711</v>
      </c>
      <c r="U1102" s="21" t="s">
        <v>72</v>
      </c>
    </row>
    <row r="1103" customFormat="false" ht="26.85" hidden="false" customHeight="false" outlineLevel="0" collapsed="false">
      <c r="A1103" s="15" t="s">
        <v>850</v>
      </c>
      <c r="B1103" s="15" t="s">
        <v>6754</v>
      </c>
      <c r="C1103" s="14" t="s">
        <v>7712</v>
      </c>
      <c r="D1103" s="14" t="s">
        <v>7713</v>
      </c>
      <c r="E1103" s="16" t="s">
        <v>7714</v>
      </c>
      <c r="F1103" s="16"/>
      <c r="G1103" s="19" t="s">
        <v>41</v>
      </c>
      <c r="H1103" s="18" t="n">
        <v>5</v>
      </c>
      <c r="I1103" s="20" t="n">
        <v>171</v>
      </c>
      <c r="J1103" s="20" t="n">
        <v>388.3</v>
      </c>
      <c r="K1103" s="18" t="n">
        <v>24</v>
      </c>
      <c r="L1103" s="18" t="n">
        <v>4</v>
      </c>
      <c r="M1103" s="18" t="n">
        <v>1008</v>
      </c>
      <c r="N1103" s="18" t="n">
        <v>126</v>
      </c>
      <c r="O1103" s="14" t="s">
        <v>4446</v>
      </c>
      <c r="P1103" s="14" t="s">
        <v>118</v>
      </c>
      <c r="Q1103" s="15" t="s">
        <v>1089</v>
      </c>
      <c r="R1103" s="16" t="s">
        <v>7715</v>
      </c>
      <c r="S1103" s="15" t="s">
        <v>7716</v>
      </c>
      <c r="T1103" s="15" t="s">
        <v>7717</v>
      </c>
      <c r="U1103" s="21" t="s">
        <v>72</v>
      </c>
    </row>
    <row r="1104" customFormat="false" ht="15" hidden="false" customHeight="false" outlineLevel="0" collapsed="false">
      <c r="A1104" s="15" t="s">
        <v>850</v>
      </c>
      <c r="B1104" s="15" t="s">
        <v>6754</v>
      </c>
      <c r="C1104" s="14" t="s">
        <v>7718</v>
      </c>
      <c r="D1104" s="14" t="s">
        <v>7719</v>
      </c>
      <c r="E1104" s="16" t="s">
        <v>7720</v>
      </c>
      <c r="F1104" s="16" t="s">
        <v>7721</v>
      </c>
      <c r="G1104" s="25" t="s">
        <v>39</v>
      </c>
      <c r="H1104" s="18" t="n">
        <v>4</v>
      </c>
      <c r="I1104" s="20" t="n">
        <v>30</v>
      </c>
      <c r="J1104" s="20" t="n">
        <v>428.31</v>
      </c>
      <c r="K1104" s="18" t="n">
        <v>7</v>
      </c>
      <c r="L1104" s="18" t="n">
        <v>3</v>
      </c>
      <c r="M1104" s="18" t="n">
        <v>84</v>
      </c>
      <c r="N1104" s="18" t="n">
        <v>36</v>
      </c>
      <c r="O1104" s="14" t="s">
        <v>4983</v>
      </c>
      <c r="P1104" s="14" t="s">
        <v>94</v>
      </c>
      <c r="Q1104" s="15" t="s">
        <v>1089</v>
      </c>
      <c r="R1104" s="16" t="s">
        <v>7722</v>
      </c>
      <c r="S1104" s="15" t="s">
        <v>7723</v>
      </c>
      <c r="T1104" s="15" t="s">
        <v>7724</v>
      </c>
      <c r="U1104" s="21" t="s">
        <v>72</v>
      </c>
    </row>
    <row r="1105" customFormat="false" ht="39.55" hidden="false" customHeight="false" outlineLevel="0" collapsed="false">
      <c r="A1105" s="15" t="s">
        <v>850</v>
      </c>
      <c r="B1105" s="15" t="s">
        <v>7725</v>
      </c>
      <c r="C1105" s="14" t="s">
        <v>7726</v>
      </c>
      <c r="D1105" s="14" t="s">
        <v>7727</v>
      </c>
      <c r="E1105" s="16" t="s">
        <v>7728</v>
      </c>
      <c r="F1105" s="16"/>
      <c r="G1105" s="23" t="s">
        <v>43</v>
      </c>
      <c r="H1105" s="18" t="n">
        <v>2</v>
      </c>
      <c r="I1105" s="20" t="n">
        <v>48.12</v>
      </c>
      <c r="J1105" s="20" t="n">
        <v>156.88</v>
      </c>
      <c r="K1105" s="18" t="n">
        <v>6</v>
      </c>
      <c r="L1105" s="18" t="n">
        <v>4</v>
      </c>
      <c r="M1105" s="18" t="n">
        <v>101</v>
      </c>
      <c r="N1105" s="18" t="n">
        <v>29</v>
      </c>
      <c r="O1105" s="14" t="s">
        <v>4385</v>
      </c>
      <c r="P1105" s="14" t="s">
        <v>7729</v>
      </c>
      <c r="Q1105" s="15" t="s">
        <v>1089</v>
      </c>
      <c r="R1105" s="16" t="s">
        <v>5956</v>
      </c>
      <c r="S1105" s="15" t="s">
        <v>7730</v>
      </c>
      <c r="T1105" s="15" t="s">
        <v>7731</v>
      </c>
      <c r="U1105" s="21" t="s">
        <v>72</v>
      </c>
    </row>
    <row r="1106" customFormat="false" ht="15" hidden="false" customHeight="false" outlineLevel="0" collapsed="false">
      <c r="A1106" s="15" t="s">
        <v>850</v>
      </c>
      <c r="B1106" s="15" t="s">
        <v>7725</v>
      </c>
      <c r="C1106" s="14" t="s">
        <v>7732</v>
      </c>
      <c r="D1106" s="14" t="s">
        <v>7733</v>
      </c>
      <c r="E1106" s="16" t="s">
        <v>7734</v>
      </c>
      <c r="F1106" s="16" t="s">
        <v>7735</v>
      </c>
      <c r="G1106" s="19" t="s">
        <v>41</v>
      </c>
      <c r="H1106" s="18" t="n">
        <v>6</v>
      </c>
      <c r="I1106" s="20" t="n">
        <v>132.84</v>
      </c>
      <c r="J1106" s="20" t="n">
        <v>345.9</v>
      </c>
      <c r="K1106" s="18" t="n">
        <v>10</v>
      </c>
      <c r="L1106" s="18" t="n">
        <v>18</v>
      </c>
      <c r="M1106" s="18" t="n">
        <v>240</v>
      </c>
      <c r="N1106" s="18" t="n">
        <v>68</v>
      </c>
      <c r="O1106" s="14" t="s">
        <v>4215</v>
      </c>
      <c r="P1106" s="14" t="s">
        <v>118</v>
      </c>
      <c r="Q1106" s="15" t="s">
        <v>1089</v>
      </c>
      <c r="R1106" s="16" t="s">
        <v>7736</v>
      </c>
      <c r="S1106" s="15" t="s">
        <v>7737</v>
      </c>
      <c r="T1106" s="15" t="s">
        <v>7737</v>
      </c>
      <c r="U1106" s="21" t="s">
        <v>72</v>
      </c>
    </row>
    <row r="1107" customFormat="false" ht="15" hidden="false" customHeight="false" outlineLevel="0" collapsed="false">
      <c r="A1107" s="15" t="s">
        <v>850</v>
      </c>
      <c r="B1107" s="15" t="s">
        <v>7725</v>
      </c>
      <c r="C1107" s="14" t="s">
        <v>7738</v>
      </c>
      <c r="D1107" s="14" t="s">
        <v>7739</v>
      </c>
      <c r="E1107" s="16" t="s">
        <v>7740</v>
      </c>
      <c r="F1107" s="16"/>
      <c r="G1107" s="25" t="s">
        <v>39</v>
      </c>
      <c r="H1107" s="18" t="n">
        <v>12</v>
      </c>
      <c r="I1107" s="20" t="n">
        <v>320.79</v>
      </c>
      <c r="J1107" s="20" t="n">
        <v>665.088</v>
      </c>
      <c r="K1107" s="18" t="n">
        <v>29</v>
      </c>
      <c r="L1107" s="18" t="n">
        <v>8</v>
      </c>
      <c r="M1107" s="18" t="n">
        <v>696</v>
      </c>
      <c r="N1107" s="18" t="n">
        <v>408</v>
      </c>
      <c r="O1107" s="14" t="s">
        <v>4385</v>
      </c>
      <c r="P1107" s="14" t="s">
        <v>118</v>
      </c>
      <c r="Q1107" s="15" t="s">
        <v>1089</v>
      </c>
      <c r="R1107" s="16" t="s">
        <v>533</v>
      </c>
      <c r="S1107" s="15" t="s">
        <v>1091</v>
      </c>
      <c r="T1107" s="15" t="s">
        <v>7741</v>
      </c>
      <c r="U1107" s="21" t="s">
        <v>72</v>
      </c>
    </row>
    <row r="1108" customFormat="false" ht="15" hidden="false" customHeight="false" outlineLevel="0" collapsed="false">
      <c r="A1108" s="15" t="s">
        <v>850</v>
      </c>
      <c r="B1108" s="15" t="s">
        <v>7725</v>
      </c>
      <c r="C1108" s="14" t="s">
        <v>7742</v>
      </c>
      <c r="D1108" s="14" t="s">
        <v>7743</v>
      </c>
      <c r="E1108" s="16" t="s">
        <v>7744</v>
      </c>
      <c r="F1108" s="16" t="s">
        <v>7745</v>
      </c>
      <c r="G1108" s="23" t="s">
        <v>43</v>
      </c>
      <c r="H1108" s="18" t="n">
        <v>4</v>
      </c>
      <c r="I1108" s="20" t="n">
        <v>76.83</v>
      </c>
      <c r="J1108" s="20" t="n">
        <v>180.94</v>
      </c>
      <c r="K1108" s="18" t="n">
        <v>4</v>
      </c>
      <c r="L1108" s="18" t="n">
        <v>4</v>
      </c>
      <c r="M1108" s="18" t="n">
        <v>72</v>
      </c>
      <c r="N1108" s="18" t="n">
        <v>42</v>
      </c>
      <c r="O1108" s="14" t="s">
        <v>1097</v>
      </c>
      <c r="P1108" s="14" t="s">
        <v>84</v>
      </c>
      <c r="Q1108" s="15" t="s">
        <v>1089</v>
      </c>
      <c r="R1108" s="16" t="s">
        <v>7746</v>
      </c>
      <c r="S1108" s="15" t="s">
        <v>7747</v>
      </c>
      <c r="T1108" s="15" t="s">
        <v>7748</v>
      </c>
      <c r="U1108" s="21" t="s">
        <v>72</v>
      </c>
    </row>
    <row r="1109" customFormat="false" ht="39.55" hidden="false" customHeight="false" outlineLevel="0" collapsed="false">
      <c r="A1109" s="15" t="s">
        <v>850</v>
      </c>
      <c r="B1109" s="15" t="s">
        <v>7725</v>
      </c>
      <c r="C1109" s="14" t="s">
        <v>7749</v>
      </c>
      <c r="D1109" s="14" t="s">
        <v>7750</v>
      </c>
      <c r="E1109" s="16" t="s">
        <v>7751</v>
      </c>
      <c r="F1109" s="16"/>
      <c r="G1109" s="25" t="s">
        <v>39</v>
      </c>
      <c r="H1109" s="18" t="n">
        <v>8</v>
      </c>
      <c r="I1109" s="20" t="n">
        <v>215.1</v>
      </c>
      <c r="J1109" s="20" t="n">
        <v>315.06</v>
      </c>
      <c r="K1109" s="18" t="n">
        <v>8</v>
      </c>
      <c r="L1109" s="18"/>
      <c r="M1109" s="18" t="n">
        <v>200</v>
      </c>
      <c r="N1109" s="18" t="n">
        <v>150</v>
      </c>
      <c r="O1109" s="14" t="s">
        <v>7752</v>
      </c>
      <c r="P1109" s="14" t="s">
        <v>515</v>
      </c>
      <c r="Q1109" s="15" t="s">
        <v>1089</v>
      </c>
      <c r="R1109" s="16" t="s">
        <v>7753</v>
      </c>
      <c r="S1109" s="15" t="s">
        <v>7754</v>
      </c>
      <c r="T1109" s="15" t="s">
        <v>7755</v>
      </c>
      <c r="U1109" s="21" t="s">
        <v>72</v>
      </c>
    </row>
    <row r="1110" customFormat="false" ht="15" hidden="false" customHeight="false" outlineLevel="0" collapsed="false">
      <c r="A1110" s="15" t="s">
        <v>850</v>
      </c>
      <c r="B1110" s="15" t="s">
        <v>7725</v>
      </c>
      <c r="C1110" s="14" t="s">
        <v>7756</v>
      </c>
      <c r="D1110" s="14" t="s">
        <v>7757</v>
      </c>
      <c r="E1110" s="16" t="s">
        <v>7758</v>
      </c>
      <c r="F1110" s="16"/>
      <c r="G1110" s="19" t="s">
        <v>41</v>
      </c>
      <c r="H1110" s="18" t="n">
        <v>7</v>
      </c>
      <c r="I1110" s="20" t="n">
        <v>152.33</v>
      </c>
      <c r="J1110" s="20" t="n">
        <v>285.19</v>
      </c>
      <c r="K1110" s="18" t="n">
        <v>2</v>
      </c>
      <c r="L1110" s="18" t="n">
        <v>1</v>
      </c>
      <c r="M1110" s="18" t="n">
        <v>68</v>
      </c>
      <c r="N1110" s="18" t="n">
        <v>68</v>
      </c>
      <c r="O1110" s="14" t="s">
        <v>1088</v>
      </c>
      <c r="P1110" s="14" t="s">
        <v>84</v>
      </c>
      <c r="Q1110" s="15" t="s">
        <v>1089</v>
      </c>
      <c r="R1110" s="16" t="s">
        <v>7759</v>
      </c>
      <c r="S1110" s="15" t="s">
        <v>7760</v>
      </c>
      <c r="T1110" s="15" t="s">
        <v>7760</v>
      </c>
      <c r="U1110" s="21" t="s">
        <v>72</v>
      </c>
    </row>
    <row r="1111" customFormat="false" ht="15" hidden="false" customHeight="false" outlineLevel="0" collapsed="false">
      <c r="A1111" s="15" t="s">
        <v>850</v>
      </c>
      <c r="B1111" s="15" t="s">
        <v>7725</v>
      </c>
      <c r="C1111" s="14" t="s">
        <v>7761</v>
      </c>
      <c r="D1111" s="14" t="s">
        <v>7762</v>
      </c>
      <c r="E1111" s="16" t="s">
        <v>7763</v>
      </c>
      <c r="F1111" s="16"/>
      <c r="G1111" s="23" t="s">
        <v>43</v>
      </c>
      <c r="H1111" s="18" t="n">
        <v>2</v>
      </c>
      <c r="I1111" s="20" t="n">
        <v>39.35</v>
      </c>
      <c r="J1111" s="20" t="n">
        <v>87.49</v>
      </c>
      <c r="K1111" s="18" t="n">
        <v>2</v>
      </c>
      <c r="L1111" s="18" t="n">
        <v>1</v>
      </c>
      <c r="M1111" s="18" t="n">
        <v>20</v>
      </c>
      <c r="N1111" s="18" t="n">
        <v>20</v>
      </c>
      <c r="O1111" s="14" t="s">
        <v>1126</v>
      </c>
      <c r="P1111" s="14" t="s">
        <v>84</v>
      </c>
      <c r="Q1111" s="15" t="s">
        <v>1089</v>
      </c>
      <c r="R1111" s="16" t="s">
        <v>7764</v>
      </c>
      <c r="S1111" s="15" t="s">
        <v>7765</v>
      </c>
      <c r="T1111" s="15" t="s">
        <v>7765</v>
      </c>
      <c r="U1111" s="21" t="s">
        <v>72</v>
      </c>
    </row>
    <row r="1112" customFormat="false" ht="15" hidden="false" customHeight="false" outlineLevel="0" collapsed="false">
      <c r="A1112" s="15" t="s">
        <v>850</v>
      </c>
      <c r="B1112" s="15" t="s">
        <v>7725</v>
      </c>
      <c r="C1112" s="14" t="s">
        <v>7766</v>
      </c>
      <c r="D1112" s="14" t="s">
        <v>7767</v>
      </c>
      <c r="E1112" s="16" t="s">
        <v>7768</v>
      </c>
      <c r="F1112" s="16" t="s">
        <v>7769</v>
      </c>
      <c r="G1112" s="23" t="s">
        <v>43</v>
      </c>
      <c r="H1112" s="18" t="n">
        <v>2</v>
      </c>
      <c r="I1112" s="20" t="n">
        <v>48.49</v>
      </c>
      <c r="J1112" s="20" t="n">
        <v>121.06</v>
      </c>
      <c r="K1112" s="18" t="n">
        <v>4</v>
      </c>
      <c r="L1112" s="18" t="n">
        <v>7</v>
      </c>
      <c r="M1112" s="18" t="n">
        <v>92</v>
      </c>
      <c r="N1112" s="18" t="n">
        <v>46</v>
      </c>
      <c r="O1112" s="14" t="s">
        <v>1126</v>
      </c>
      <c r="P1112" s="14" t="s">
        <v>118</v>
      </c>
      <c r="Q1112" s="15" t="s">
        <v>1089</v>
      </c>
      <c r="R1112" s="16" t="s">
        <v>7770</v>
      </c>
      <c r="S1112" s="15" t="s">
        <v>7771</v>
      </c>
      <c r="T1112" s="15" t="s">
        <v>7772</v>
      </c>
      <c r="U1112" s="21" t="s">
        <v>72</v>
      </c>
    </row>
    <row r="1113" customFormat="false" ht="26.85" hidden="false" customHeight="false" outlineLevel="0" collapsed="false">
      <c r="A1113" s="15" t="s">
        <v>850</v>
      </c>
      <c r="B1113" s="15" t="s">
        <v>7725</v>
      </c>
      <c r="C1113" s="14" t="s">
        <v>7773</v>
      </c>
      <c r="D1113" s="14" t="s">
        <v>7774</v>
      </c>
      <c r="E1113" s="16" t="s">
        <v>7775</v>
      </c>
      <c r="F1113" s="16"/>
      <c r="G1113" s="25" t="s">
        <v>39</v>
      </c>
      <c r="H1113" s="18" t="n">
        <v>12</v>
      </c>
      <c r="I1113" s="20" t="n">
        <v>536.11</v>
      </c>
      <c r="J1113" s="20" t="n">
        <v>624.68</v>
      </c>
      <c r="K1113" s="18" t="n">
        <v>16</v>
      </c>
      <c r="L1113" s="18" t="n">
        <v>31</v>
      </c>
      <c r="M1113" s="18" t="n">
        <v>672</v>
      </c>
      <c r="N1113" s="18" t="n">
        <v>252</v>
      </c>
      <c r="O1113" s="14" t="s">
        <v>4446</v>
      </c>
      <c r="P1113" s="14" t="s">
        <v>872</v>
      </c>
      <c r="Q1113" s="15" t="s">
        <v>1089</v>
      </c>
      <c r="R1113" s="16" t="s">
        <v>7776</v>
      </c>
      <c r="S1113" s="15" t="s">
        <v>7777</v>
      </c>
      <c r="T1113" s="15" t="s">
        <v>7778</v>
      </c>
      <c r="U1113" s="21" t="s">
        <v>72</v>
      </c>
    </row>
    <row r="1114" customFormat="false" ht="26.85" hidden="false" customHeight="false" outlineLevel="0" collapsed="false">
      <c r="A1114" s="15" t="s">
        <v>850</v>
      </c>
      <c r="B1114" s="15" t="s">
        <v>7725</v>
      </c>
      <c r="C1114" s="14" t="s">
        <v>7779</v>
      </c>
      <c r="D1114" s="14" t="s">
        <v>7780</v>
      </c>
      <c r="E1114" s="16" t="s">
        <v>7781</v>
      </c>
      <c r="F1114" s="16" t="s">
        <v>7782</v>
      </c>
      <c r="G1114" s="19" t="s">
        <v>41</v>
      </c>
      <c r="H1114" s="18" t="n">
        <v>5</v>
      </c>
      <c r="I1114" s="20" t="n">
        <v>113.75</v>
      </c>
      <c r="J1114" s="20" t="n">
        <v>172.66</v>
      </c>
      <c r="K1114" s="18" t="n">
        <v>4</v>
      </c>
      <c r="L1114" s="18" t="n">
        <v>2</v>
      </c>
      <c r="M1114" s="18" t="n">
        <v>73</v>
      </c>
      <c r="N1114" s="18" t="n">
        <v>38</v>
      </c>
      <c r="O1114" s="14" t="s">
        <v>7783</v>
      </c>
      <c r="P1114" s="14" t="s">
        <v>118</v>
      </c>
      <c r="Q1114" s="15" t="s">
        <v>1089</v>
      </c>
      <c r="R1114" s="16" t="s">
        <v>7784</v>
      </c>
      <c r="S1114" s="15" t="s">
        <v>7785</v>
      </c>
      <c r="T1114" s="15" t="s">
        <v>7786</v>
      </c>
      <c r="U1114" s="21" t="s">
        <v>72</v>
      </c>
    </row>
    <row r="1115" customFormat="false" ht="15" hidden="false" customHeight="false" outlineLevel="0" collapsed="false">
      <c r="A1115" s="15" t="s">
        <v>850</v>
      </c>
      <c r="B1115" s="15" t="s">
        <v>7725</v>
      </c>
      <c r="C1115" s="14" t="s">
        <v>7787</v>
      </c>
      <c r="D1115" s="14" t="s">
        <v>7788</v>
      </c>
      <c r="E1115" s="16" t="s">
        <v>7789</v>
      </c>
      <c r="F1115" s="16"/>
      <c r="G1115" s="23" t="s">
        <v>43</v>
      </c>
      <c r="H1115" s="18" t="n">
        <v>3</v>
      </c>
      <c r="I1115" s="20" t="n">
        <v>37.6</v>
      </c>
      <c r="J1115" s="20" t="n">
        <v>98.6</v>
      </c>
      <c r="K1115" s="18" t="n">
        <v>3</v>
      </c>
      <c r="L1115" s="18" t="n">
        <v>1</v>
      </c>
      <c r="M1115" s="18" t="n">
        <v>30</v>
      </c>
      <c r="N1115" s="18" t="n">
        <v>30</v>
      </c>
      <c r="O1115" s="14" t="s">
        <v>4223</v>
      </c>
      <c r="P1115" s="14" t="s">
        <v>84</v>
      </c>
      <c r="Q1115" s="15" t="s">
        <v>1089</v>
      </c>
      <c r="R1115" s="16" t="s">
        <v>6674</v>
      </c>
      <c r="S1115" s="15" t="s">
        <v>7790</v>
      </c>
      <c r="T1115" s="15" t="s">
        <v>7791</v>
      </c>
      <c r="U1115" s="21" t="s">
        <v>72</v>
      </c>
    </row>
    <row r="1116" customFormat="false" ht="15" hidden="false" customHeight="false" outlineLevel="0" collapsed="false">
      <c r="A1116" s="15" t="s">
        <v>850</v>
      </c>
      <c r="B1116" s="15" t="s">
        <v>7725</v>
      </c>
      <c r="C1116" s="14" t="s">
        <v>7792</v>
      </c>
      <c r="D1116" s="14" t="s">
        <v>7793</v>
      </c>
      <c r="E1116" s="16" t="s">
        <v>7794</v>
      </c>
      <c r="F1116" s="16"/>
      <c r="G1116" s="19" t="s">
        <v>41</v>
      </c>
      <c r="H1116" s="18" t="n">
        <v>6</v>
      </c>
      <c r="I1116" s="20" t="n">
        <v>101.98</v>
      </c>
      <c r="J1116" s="20" t="n">
        <v>176.94</v>
      </c>
      <c r="K1116" s="18" t="n">
        <v>6</v>
      </c>
      <c r="L1116" s="18" t="n">
        <v>3</v>
      </c>
      <c r="M1116" s="18" t="n">
        <v>94</v>
      </c>
      <c r="N1116" s="18" t="n">
        <v>94</v>
      </c>
      <c r="O1116" s="14" t="s">
        <v>4223</v>
      </c>
      <c r="P1116" s="14" t="s">
        <v>84</v>
      </c>
      <c r="Q1116" s="15" t="s">
        <v>1089</v>
      </c>
      <c r="R1116" s="16" t="s">
        <v>7795</v>
      </c>
      <c r="S1116" s="15" t="s">
        <v>7796</v>
      </c>
      <c r="T1116" s="15" t="s">
        <v>7796</v>
      </c>
      <c r="U1116" s="21" t="s">
        <v>72</v>
      </c>
    </row>
    <row r="1117" customFormat="false" ht="15" hidden="false" customHeight="false" outlineLevel="0" collapsed="false">
      <c r="A1117" s="15" t="s">
        <v>850</v>
      </c>
      <c r="B1117" s="15" t="s">
        <v>7725</v>
      </c>
      <c r="C1117" s="14" t="s">
        <v>7797</v>
      </c>
      <c r="D1117" s="14" t="s">
        <v>7798</v>
      </c>
      <c r="E1117" s="16" t="s">
        <v>7799</v>
      </c>
      <c r="F1117" s="16"/>
      <c r="G1117" s="19" t="s">
        <v>41</v>
      </c>
      <c r="H1117" s="18" t="n">
        <v>2</v>
      </c>
      <c r="I1117" s="20" t="n">
        <v>47.1567</v>
      </c>
      <c r="J1117" s="20" t="n">
        <v>286.4</v>
      </c>
      <c r="K1117" s="18" t="n">
        <v>6</v>
      </c>
      <c r="L1117" s="18" t="n">
        <v>4</v>
      </c>
      <c r="M1117" s="18" t="n">
        <v>296</v>
      </c>
      <c r="N1117" s="18" t="n">
        <v>100</v>
      </c>
      <c r="O1117" s="14" t="s">
        <v>1097</v>
      </c>
      <c r="P1117" s="14" t="s">
        <v>118</v>
      </c>
      <c r="Q1117" s="15" t="s">
        <v>1089</v>
      </c>
      <c r="R1117" s="16" t="s">
        <v>7800</v>
      </c>
      <c r="S1117" s="15" t="s">
        <v>7801</v>
      </c>
      <c r="T1117" s="15" t="s">
        <v>7802</v>
      </c>
      <c r="U1117" s="21" t="s">
        <v>72</v>
      </c>
    </row>
    <row r="1118" customFormat="false" ht="15" hidden="false" customHeight="false" outlineLevel="0" collapsed="false">
      <c r="A1118" s="15" t="s">
        <v>850</v>
      </c>
      <c r="B1118" s="15" t="s">
        <v>7725</v>
      </c>
      <c r="C1118" s="14" t="s">
        <v>7803</v>
      </c>
      <c r="D1118" s="14" t="s">
        <v>7804</v>
      </c>
      <c r="E1118" s="16" t="s">
        <v>7805</v>
      </c>
      <c r="F1118" s="16"/>
      <c r="G1118" s="23" t="s">
        <v>43</v>
      </c>
      <c r="H1118" s="18" t="n">
        <v>2</v>
      </c>
      <c r="I1118" s="20" t="n">
        <v>37.08</v>
      </c>
      <c r="J1118" s="20" t="n">
        <v>72.58</v>
      </c>
      <c r="K1118" s="18" t="n">
        <v>2</v>
      </c>
      <c r="L1118" s="18" t="n">
        <v>1</v>
      </c>
      <c r="M1118" s="18" t="n">
        <v>30</v>
      </c>
      <c r="N1118" s="18" t="n">
        <v>30</v>
      </c>
      <c r="O1118" s="14" t="s">
        <v>4223</v>
      </c>
      <c r="P1118" s="14" t="s">
        <v>84</v>
      </c>
      <c r="Q1118" s="15" t="s">
        <v>1089</v>
      </c>
      <c r="R1118" s="16" t="s">
        <v>7806</v>
      </c>
      <c r="S1118" s="15" t="s">
        <v>7807</v>
      </c>
      <c r="T1118" s="15" t="s">
        <v>7807</v>
      </c>
      <c r="U1118" s="21" t="s">
        <v>72</v>
      </c>
    </row>
    <row r="1119" customFormat="false" ht="15" hidden="false" customHeight="false" outlineLevel="0" collapsed="false">
      <c r="A1119" s="15" t="s">
        <v>850</v>
      </c>
      <c r="B1119" s="15" t="s">
        <v>7725</v>
      </c>
      <c r="C1119" s="14" t="s">
        <v>7808</v>
      </c>
      <c r="D1119" s="14" t="s">
        <v>7809</v>
      </c>
      <c r="E1119" s="16" t="s">
        <v>7810</v>
      </c>
      <c r="F1119" s="16" t="s">
        <v>7811</v>
      </c>
      <c r="G1119" s="19" t="s">
        <v>41</v>
      </c>
      <c r="H1119" s="18" t="n">
        <v>4</v>
      </c>
      <c r="I1119" s="20" t="n">
        <v>97.5</v>
      </c>
      <c r="J1119" s="20" t="n">
        <v>225.03</v>
      </c>
      <c r="K1119" s="18" t="n">
        <v>4</v>
      </c>
      <c r="L1119" s="18" t="n">
        <v>2</v>
      </c>
      <c r="M1119" s="18" t="n">
        <v>80</v>
      </c>
      <c r="N1119" s="18" t="n">
        <v>40</v>
      </c>
      <c r="O1119" s="14" t="s">
        <v>7812</v>
      </c>
      <c r="P1119" s="14" t="s">
        <v>118</v>
      </c>
      <c r="Q1119" s="15" t="s">
        <v>1089</v>
      </c>
      <c r="R1119" s="16" t="s">
        <v>3358</v>
      </c>
      <c r="S1119" s="15" t="s">
        <v>7813</v>
      </c>
      <c r="T1119" s="15" t="s">
        <v>7813</v>
      </c>
      <c r="U1119" s="21" t="s">
        <v>72</v>
      </c>
    </row>
    <row r="1120" customFormat="false" ht="15" hidden="false" customHeight="false" outlineLevel="0" collapsed="false">
      <c r="A1120" s="15" t="s">
        <v>850</v>
      </c>
      <c r="B1120" s="15" t="s">
        <v>7725</v>
      </c>
      <c r="C1120" s="14" t="s">
        <v>7814</v>
      </c>
      <c r="D1120" s="14" t="s">
        <v>7815</v>
      </c>
      <c r="E1120" s="16" t="s">
        <v>7816</v>
      </c>
      <c r="F1120" s="16"/>
      <c r="G1120" s="23" t="s">
        <v>43</v>
      </c>
      <c r="H1120" s="18" t="n">
        <v>1</v>
      </c>
      <c r="I1120" s="20" t="n">
        <v>48.47</v>
      </c>
      <c r="J1120" s="20" t="n">
        <v>148.19</v>
      </c>
      <c r="K1120" s="18" t="n">
        <v>2</v>
      </c>
      <c r="L1120" s="18" t="n">
        <v>2</v>
      </c>
      <c r="M1120" s="18" t="n">
        <v>80</v>
      </c>
      <c r="N1120" s="18" t="n">
        <v>80</v>
      </c>
      <c r="O1120" s="14" t="s">
        <v>1097</v>
      </c>
      <c r="P1120" s="14" t="s">
        <v>84</v>
      </c>
      <c r="Q1120" s="15" t="s">
        <v>1089</v>
      </c>
      <c r="R1120" s="16" t="s">
        <v>7817</v>
      </c>
      <c r="S1120" s="15" t="s">
        <v>7818</v>
      </c>
      <c r="T1120" s="15" t="s">
        <v>7818</v>
      </c>
      <c r="U1120" s="21" t="s">
        <v>72</v>
      </c>
    </row>
    <row r="1121" customFormat="false" ht="39.55" hidden="false" customHeight="false" outlineLevel="0" collapsed="false">
      <c r="A1121" s="15" t="s">
        <v>850</v>
      </c>
      <c r="B1121" s="15" t="s">
        <v>7725</v>
      </c>
      <c r="C1121" s="14" t="s">
        <v>7819</v>
      </c>
      <c r="D1121" s="14" t="s">
        <v>7820</v>
      </c>
      <c r="E1121" s="16" t="s">
        <v>7821</v>
      </c>
      <c r="F1121" s="16"/>
      <c r="G1121" s="19" t="s">
        <v>41</v>
      </c>
      <c r="H1121" s="18" t="n">
        <v>7</v>
      </c>
      <c r="I1121" s="20" t="n">
        <v>186.27</v>
      </c>
      <c r="J1121" s="20" t="n">
        <v>311.28</v>
      </c>
      <c r="K1121" s="18" t="n">
        <v>8</v>
      </c>
      <c r="L1121" s="18" t="n">
        <v>5</v>
      </c>
      <c r="M1121" s="18" t="n">
        <v>432</v>
      </c>
      <c r="N1121" s="18" t="n">
        <v>108</v>
      </c>
      <c r="O1121" s="14" t="s">
        <v>4215</v>
      </c>
      <c r="P1121" s="14" t="s">
        <v>952</v>
      </c>
      <c r="Q1121" s="15" t="s">
        <v>1089</v>
      </c>
      <c r="R1121" s="16" t="s">
        <v>7822</v>
      </c>
      <c r="S1121" s="15" t="s">
        <v>7823</v>
      </c>
      <c r="T1121" s="15" t="s">
        <v>7824</v>
      </c>
      <c r="U1121" s="21" t="s">
        <v>72</v>
      </c>
    </row>
    <row r="1122" customFormat="false" ht="15" hidden="false" customHeight="false" outlineLevel="0" collapsed="false">
      <c r="A1122" s="15" t="s">
        <v>850</v>
      </c>
      <c r="B1122" s="15" t="s">
        <v>7725</v>
      </c>
      <c r="C1122" s="14" t="s">
        <v>7825</v>
      </c>
      <c r="D1122" s="14" t="s">
        <v>7826</v>
      </c>
      <c r="E1122" s="16" t="s">
        <v>7827</v>
      </c>
      <c r="F1122" s="16" t="s">
        <v>7828</v>
      </c>
      <c r="G1122" s="23" t="s">
        <v>43</v>
      </c>
      <c r="H1122" s="18" t="n">
        <v>3</v>
      </c>
      <c r="I1122" s="20" t="n">
        <v>42.99</v>
      </c>
      <c r="J1122" s="20" t="n">
        <v>107.62</v>
      </c>
      <c r="K1122" s="18" t="n">
        <v>3</v>
      </c>
      <c r="L1122" s="18" t="n">
        <v>5</v>
      </c>
      <c r="M1122" s="18" t="n">
        <v>42</v>
      </c>
      <c r="N1122" s="18" t="n">
        <v>42</v>
      </c>
      <c r="O1122" s="14" t="s">
        <v>4276</v>
      </c>
      <c r="P1122" s="14" t="s">
        <v>84</v>
      </c>
      <c r="Q1122" s="15" t="s">
        <v>1089</v>
      </c>
      <c r="R1122" s="16" t="s">
        <v>7829</v>
      </c>
      <c r="S1122" s="15" t="s">
        <v>7830</v>
      </c>
      <c r="T1122" s="15" t="s">
        <v>7830</v>
      </c>
      <c r="U1122" s="21" t="s">
        <v>72</v>
      </c>
    </row>
    <row r="1123" customFormat="false" ht="15" hidden="false" customHeight="false" outlineLevel="0" collapsed="false">
      <c r="A1123" s="15" t="s">
        <v>850</v>
      </c>
      <c r="B1123" s="15" t="s">
        <v>7725</v>
      </c>
      <c r="C1123" s="14" t="s">
        <v>7831</v>
      </c>
      <c r="D1123" s="14" t="s">
        <v>7832</v>
      </c>
      <c r="E1123" s="16" t="s">
        <v>7833</v>
      </c>
      <c r="F1123" s="16"/>
      <c r="G1123" s="19" t="s">
        <v>41</v>
      </c>
      <c r="H1123" s="18" t="n">
        <v>1</v>
      </c>
      <c r="I1123" s="20" t="n">
        <v>78.85</v>
      </c>
      <c r="J1123" s="20" t="n">
        <v>209.87</v>
      </c>
      <c r="K1123" s="18" t="n">
        <v>4</v>
      </c>
      <c r="L1123" s="18" t="n">
        <v>1</v>
      </c>
      <c r="M1123" s="18" t="n">
        <v>196</v>
      </c>
      <c r="N1123" s="18" t="n">
        <v>98</v>
      </c>
      <c r="O1123" s="14" t="s">
        <v>4223</v>
      </c>
      <c r="P1123" s="14" t="s">
        <v>118</v>
      </c>
      <c r="Q1123" s="15" t="s">
        <v>1089</v>
      </c>
      <c r="R1123" s="16" t="s">
        <v>7834</v>
      </c>
      <c r="S1123" s="15" t="s">
        <v>7835</v>
      </c>
      <c r="T1123" s="15" t="s">
        <v>7836</v>
      </c>
      <c r="U1123" s="21" t="s">
        <v>72</v>
      </c>
    </row>
    <row r="1124" customFormat="false" ht="26.85" hidden="false" customHeight="false" outlineLevel="0" collapsed="false">
      <c r="A1124" s="15" t="s">
        <v>850</v>
      </c>
      <c r="B1124" s="15" t="s">
        <v>7725</v>
      </c>
      <c r="C1124" s="14" t="s">
        <v>7837</v>
      </c>
      <c r="D1124" s="14" t="s">
        <v>7838</v>
      </c>
      <c r="E1124" s="16" t="s">
        <v>7839</v>
      </c>
      <c r="F1124" s="16" t="s">
        <v>7840</v>
      </c>
      <c r="G1124" s="23" t="s">
        <v>43</v>
      </c>
      <c r="H1124" s="18" t="n">
        <v>3</v>
      </c>
      <c r="I1124" s="20" t="n">
        <v>66.89</v>
      </c>
      <c r="J1124" s="20" t="n">
        <v>108.07</v>
      </c>
      <c r="K1124" s="18" t="n">
        <v>3</v>
      </c>
      <c r="L1124" s="18" t="n">
        <v>10</v>
      </c>
      <c r="M1124" s="18" t="n">
        <v>40</v>
      </c>
      <c r="N1124" s="18" t="n">
        <v>40</v>
      </c>
      <c r="O1124" s="14" t="s">
        <v>4670</v>
      </c>
      <c r="P1124" s="14" t="s">
        <v>118</v>
      </c>
      <c r="Q1124" s="15" t="s">
        <v>1089</v>
      </c>
      <c r="R1124" s="16" t="s">
        <v>7841</v>
      </c>
      <c r="S1124" s="15" t="s">
        <v>2651</v>
      </c>
      <c r="T1124" s="15" t="s">
        <v>7842</v>
      </c>
      <c r="U1124" s="21" t="s">
        <v>72</v>
      </c>
    </row>
    <row r="1125" customFormat="false" ht="39.55" hidden="false" customHeight="false" outlineLevel="0" collapsed="false">
      <c r="A1125" s="15" t="s">
        <v>850</v>
      </c>
      <c r="B1125" s="15" t="s">
        <v>7725</v>
      </c>
      <c r="C1125" s="14" t="s">
        <v>7843</v>
      </c>
      <c r="D1125" s="14" t="s">
        <v>7844</v>
      </c>
      <c r="E1125" s="16" t="s">
        <v>7845</v>
      </c>
      <c r="F1125" s="16"/>
      <c r="G1125" s="19" t="s">
        <v>41</v>
      </c>
      <c r="H1125" s="18" t="n">
        <v>5</v>
      </c>
      <c r="I1125" s="20" t="n">
        <v>167.21</v>
      </c>
      <c r="J1125" s="20" t="n">
        <v>198.66</v>
      </c>
      <c r="K1125" s="18" t="n">
        <v>5</v>
      </c>
      <c r="L1125" s="18" t="n">
        <v>3</v>
      </c>
      <c r="M1125" s="18" t="n">
        <v>330</v>
      </c>
      <c r="N1125" s="18" t="n">
        <v>270</v>
      </c>
      <c r="O1125" s="14" t="s">
        <v>4276</v>
      </c>
      <c r="P1125" s="14" t="s">
        <v>952</v>
      </c>
      <c r="Q1125" s="15" t="s">
        <v>1089</v>
      </c>
      <c r="R1125" s="16" t="s">
        <v>7846</v>
      </c>
      <c r="S1125" s="15" t="s">
        <v>7847</v>
      </c>
      <c r="T1125" s="15" t="s">
        <v>7848</v>
      </c>
      <c r="U1125" s="21" t="s">
        <v>72</v>
      </c>
    </row>
    <row r="1126" customFormat="false" ht="39.55" hidden="false" customHeight="false" outlineLevel="0" collapsed="false">
      <c r="A1126" s="15" t="s">
        <v>850</v>
      </c>
      <c r="B1126" s="15" t="s">
        <v>7725</v>
      </c>
      <c r="C1126" s="14" t="s">
        <v>7849</v>
      </c>
      <c r="D1126" s="14" t="s">
        <v>7850</v>
      </c>
      <c r="E1126" s="16" t="s">
        <v>7851</v>
      </c>
      <c r="F1126" s="16"/>
      <c r="G1126" s="19" t="s">
        <v>41</v>
      </c>
      <c r="H1126" s="18" t="n">
        <v>5</v>
      </c>
      <c r="I1126" s="20" t="n">
        <v>246.18</v>
      </c>
      <c r="J1126" s="20" t="n">
        <v>386.14</v>
      </c>
      <c r="K1126" s="18" t="n">
        <v>5</v>
      </c>
      <c r="L1126" s="18" t="n">
        <v>5</v>
      </c>
      <c r="M1126" s="18" t="n">
        <v>295</v>
      </c>
      <c r="N1126" s="18" t="n">
        <v>240</v>
      </c>
      <c r="O1126" s="14" t="s">
        <v>7852</v>
      </c>
      <c r="P1126" s="14" t="s">
        <v>7853</v>
      </c>
      <c r="Q1126" s="15" t="s">
        <v>1089</v>
      </c>
      <c r="R1126" s="16" t="s">
        <v>7854</v>
      </c>
      <c r="S1126" s="15" t="s">
        <v>7855</v>
      </c>
      <c r="T1126" s="15" t="s">
        <v>7856</v>
      </c>
      <c r="U1126" s="21" t="s">
        <v>72</v>
      </c>
    </row>
    <row r="1127" customFormat="false" ht="15" hidden="false" customHeight="false" outlineLevel="0" collapsed="false">
      <c r="A1127" s="15" t="s">
        <v>850</v>
      </c>
      <c r="B1127" s="15" t="s">
        <v>7725</v>
      </c>
      <c r="C1127" s="14" t="s">
        <v>7857</v>
      </c>
      <c r="D1127" s="14" t="s">
        <v>7858</v>
      </c>
      <c r="E1127" s="16" t="s">
        <v>7859</v>
      </c>
      <c r="F1127" s="16" t="s">
        <v>7860</v>
      </c>
      <c r="G1127" s="23" t="s">
        <v>43</v>
      </c>
      <c r="H1127" s="18" t="n">
        <v>1</v>
      </c>
      <c r="I1127" s="20" t="n">
        <v>69.09</v>
      </c>
      <c r="J1127" s="20" t="n">
        <v>82.8</v>
      </c>
      <c r="K1127" s="18" t="n">
        <v>4</v>
      </c>
      <c r="L1127" s="18" t="n">
        <v>1</v>
      </c>
      <c r="M1127" s="18" t="n">
        <v>216</v>
      </c>
      <c r="N1127" s="18" t="n">
        <v>216</v>
      </c>
      <c r="O1127" s="14" t="s">
        <v>7861</v>
      </c>
      <c r="P1127" s="14" t="s">
        <v>118</v>
      </c>
      <c r="Q1127" s="15" t="s">
        <v>1089</v>
      </c>
      <c r="R1127" s="16" t="s">
        <v>7862</v>
      </c>
      <c r="S1127" s="15" t="s">
        <v>7863</v>
      </c>
      <c r="T1127" s="15" t="s">
        <v>7863</v>
      </c>
      <c r="U1127" s="21" t="s">
        <v>72</v>
      </c>
    </row>
    <row r="1128" customFormat="false" ht="15" hidden="false" customHeight="false" outlineLevel="0" collapsed="false">
      <c r="A1128" s="15" t="s">
        <v>850</v>
      </c>
      <c r="B1128" s="15" t="s">
        <v>7725</v>
      </c>
      <c r="C1128" s="14" t="s">
        <v>7864</v>
      </c>
      <c r="D1128" s="14" t="s">
        <v>7865</v>
      </c>
      <c r="E1128" s="16" t="s">
        <v>7866</v>
      </c>
      <c r="F1128" s="16"/>
      <c r="G1128" s="23" t="s">
        <v>43</v>
      </c>
      <c r="H1128" s="18" t="n">
        <v>2</v>
      </c>
      <c r="I1128" s="20" t="n">
        <v>49.32</v>
      </c>
      <c r="J1128" s="20" t="n">
        <v>176.78</v>
      </c>
      <c r="K1128" s="18" t="n">
        <v>5</v>
      </c>
      <c r="L1128" s="18"/>
      <c r="M1128" s="18" t="n">
        <v>115</v>
      </c>
      <c r="N1128" s="18" t="n">
        <v>23</v>
      </c>
      <c r="O1128" s="14" t="s">
        <v>4215</v>
      </c>
      <c r="P1128" s="14" t="s">
        <v>118</v>
      </c>
      <c r="Q1128" s="15" t="s">
        <v>1089</v>
      </c>
      <c r="R1128" s="16" t="s">
        <v>7867</v>
      </c>
      <c r="S1128" s="15" t="s">
        <v>7868</v>
      </c>
      <c r="T1128" s="15" t="s">
        <v>7869</v>
      </c>
      <c r="U1128" s="21" t="s">
        <v>72</v>
      </c>
    </row>
    <row r="1129" customFormat="false" ht="15" hidden="false" customHeight="false" outlineLevel="0" collapsed="false">
      <c r="A1129" s="15" t="s">
        <v>850</v>
      </c>
      <c r="B1129" s="15" t="s">
        <v>7725</v>
      </c>
      <c r="C1129" s="14" t="s">
        <v>7870</v>
      </c>
      <c r="D1129" s="14" t="s">
        <v>7871</v>
      </c>
      <c r="E1129" s="16" t="s">
        <v>7872</v>
      </c>
      <c r="F1129" s="16"/>
      <c r="G1129" s="23" t="s">
        <v>43</v>
      </c>
      <c r="H1129" s="18" t="n">
        <v>2</v>
      </c>
      <c r="I1129" s="20" t="n">
        <v>43.92</v>
      </c>
      <c r="J1129" s="20" t="n">
        <v>83.85</v>
      </c>
      <c r="K1129" s="18" t="n">
        <v>20</v>
      </c>
      <c r="L1129" s="18"/>
      <c r="M1129" s="18" t="n">
        <v>500</v>
      </c>
      <c r="N1129" s="18" t="n">
        <v>175</v>
      </c>
      <c r="O1129" s="14" t="s">
        <v>4215</v>
      </c>
      <c r="P1129" s="14" t="s">
        <v>118</v>
      </c>
      <c r="Q1129" s="15" t="s">
        <v>1089</v>
      </c>
      <c r="R1129" s="16" t="s">
        <v>6804</v>
      </c>
      <c r="S1129" s="15" t="s">
        <v>7873</v>
      </c>
      <c r="T1129" s="15" t="s">
        <v>7874</v>
      </c>
      <c r="U1129" s="21" t="s">
        <v>72</v>
      </c>
    </row>
    <row r="1130" customFormat="false" ht="15" hidden="false" customHeight="false" outlineLevel="0" collapsed="false">
      <c r="A1130" s="15" t="s">
        <v>850</v>
      </c>
      <c r="B1130" s="15" t="s">
        <v>7725</v>
      </c>
      <c r="C1130" s="14" t="s">
        <v>7875</v>
      </c>
      <c r="D1130" s="14" t="s">
        <v>7876</v>
      </c>
      <c r="E1130" s="16" t="s">
        <v>7877</v>
      </c>
      <c r="F1130" s="16" t="s">
        <v>7878</v>
      </c>
      <c r="G1130" s="23" t="s">
        <v>43</v>
      </c>
      <c r="H1130" s="18" t="n">
        <v>3</v>
      </c>
      <c r="I1130" s="20" t="n">
        <v>51.42</v>
      </c>
      <c r="J1130" s="20" t="n">
        <v>77.1</v>
      </c>
      <c r="K1130" s="18" t="n">
        <v>5</v>
      </c>
      <c r="L1130" s="18" t="n">
        <v>4</v>
      </c>
      <c r="M1130" s="18" t="n">
        <v>81</v>
      </c>
      <c r="N1130" s="18" t="n">
        <v>12</v>
      </c>
      <c r="O1130" s="14" t="s">
        <v>1126</v>
      </c>
      <c r="P1130" s="14" t="s">
        <v>84</v>
      </c>
      <c r="Q1130" s="15" t="s">
        <v>1089</v>
      </c>
      <c r="R1130" s="16" t="s">
        <v>7879</v>
      </c>
      <c r="S1130" s="15" t="s">
        <v>7880</v>
      </c>
      <c r="T1130" s="15" t="s">
        <v>7880</v>
      </c>
      <c r="U1130" s="21" t="s">
        <v>72</v>
      </c>
    </row>
    <row r="1131" customFormat="false" ht="15" hidden="false" customHeight="false" outlineLevel="0" collapsed="false">
      <c r="A1131" s="15" t="s">
        <v>850</v>
      </c>
      <c r="B1131" s="15" t="s">
        <v>7725</v>
      </c>
      <c r="C1131" s="14" t="s">
        <v>7881</v>
      </c>
      <c r="D1131" s="14" t="s">
        <v>7882</v>
      </c>
      <c r="E1131" s="16" t="s">
        <v>7883</v>
      </c>
      <c r="F1131" s="16" t="s">
        <v>7884</v>
      </c>
      <c r="G1131" s="23" t="s">
        <v>43</v>
      </c>
      <c r="H1131" s="18" t="n">
        <v>2</v>
      </c>
      <c r="I1131" s="20" t="n">
        <v>63.41</v>
      </c>
      <c r="J1131" s="20" t="n">
        <v>172.67</v>
      </c>
      <c r="K1131" s="18" t="n">
        <v>2</v>
      </c>
      <c r="L1131" s="18" t="n">
        <v>5</v>
      </c>
      <c r="M1131" s="18" t="n">
        <v>56</v>
      </c>
      <c r="N1131" s="18" t="n">
        <v>56</v>
      </c>
      <c r="O1131" s="14" t="s">
        <v>1126</v>
      </c>
      <c r="P1131" s="14" t="s">
        <v>84</v>
      </c>
      <c r="Q1131" s="15" t="s">
        <v>1089</v>
      </c>
      <c r="R1131" s="16" t="s">
        <v>4930</v>
      </c>
      <c r="S1131" s="15" t="s">
        <v>7885</v>
      </c>
      <c r="T1131" s="15" t="s">
        <v>7886</v>
      </c>
      <c r="U1131" s="21" t="s">
        <v>72</v>
      </c>
    </row>
    <row r="1132" customFormat="false" ht="15" hidden="false" customHeight="false" outlineLevel="0" collapsed="false">
      <c r="A1132" s="15" t="s">
        <v>850</v>
      </c>
      <c r="B1132" s="15" t="s">
        <v>7725</v>
      </c>
      <c r="C1132" s="14" t="s">
        <v>7887</v>
      </c>
      <c r="D1132" s="14" t="s">
        <v>7888</v>
      </c>
      <c r="E1132" s="16" t="s">
        <v>7889</v>
      </c>
      <c r="F1132" s="16"/>
      <c r="G1132" s="19" t="s">
        <v>41</v>
      </c>
      <c r="H1132" s="18" t="n">
        <v>5</v>
      </c>
      <c r="I1132" s="20" t="n">
        <v>139.17</v>
      </c>
      <c r="J1132" s="20" t="n">
        <v>318.13</v>
      </c>
      <c r="K1132" s="18" t="n">
        <v>5</v>
      </c>
      <c r="L1132" s="18"/>
      <c r="M1132" s="18" t="n">
        <v>120</v>
      </c>
      <c r="N1132" s="18" t="n">
        <v>48</v>
      </c>
      <c r="O1132" s="14" t="s">
        <v>4215</v>
      </c>
      <c r="P1132" s="14" t="s">
        <v>515</v>
      </c>
      <c r="Q1132" s="15" t="s">
        <v>1089</v>
      </c>
      <c r="R1132" s="16" t="s">
        <v>7890</v>
      </c>
      <c r="S1132" s="15" t="s">
        <v>7891</v>
      </c>
      <c r="T1132" s="15" t="s">
        <v>7891</v>
      </c>
      <c r="U1132" s="21" t="s">
        <v>72</v>
      </c>
    </row>
    <row r="1133" customFormat="false" ht="15" hidden="false" customHeight="false" outlineLevel="0" collapsed="false">
      <c r="A1133" s="15" t="s">
        <v>850</v>
      </c>
      <c r="B1133" s="15" t="s">
        <v>7725</v>
      </c>
      <c r="C1133" s="14" t="s">
        <v>7892</v>
      </c>
      <c r="D1133" s="14" t="s">
        <v>7893</v>
      </c>
      <c r="E1133" s="16" t="s">
        <v>7894</v>
      </c>
      <c r="F1133" s="16" t="s">
        <v>7895</v>
      </c>
      <c r="G1133" s="23" t="s">
        <v>43</v>
      </c>
      <c r="H1133" s="18" t="n">
        <v>3</v>
      </c>
      <c r="I1133" s="20" t="n">
        <v>36.73</v>
      </c>
      <c r="J1133" s="20" t="n">
        <v>70.7</v>
      </c>
      <c r="K1133" s="18" t="n">
        <v>2</v>
      </c>
      <c r="L1133" s="18" t="n">
        <v>1</v>
      </c>
      <c r="M1133" s="18" t="n">
        <v>28</v>
      </c>
      <c r="N1133" s="18" t="n">
        <v>28</v>
      </c>
      <c r="O1133" s="14" t="s">
        <v>4276</v>
      </c>
      <c r="P1133" s="14" t="s">
        <v>84</v>
      </c>
      <c r="Q1133" s="15" t="s">
        <v>1089</v>
      </c>
      <c r="R1133" s="16" t="s">
        <v>2821</v>
      </c>
      <c r="S1133" s="15" t="s">
        <v>3213</v>
      </c>
      <c r="T1133" s="15" t="s">
        <v>3213</v>
      </c>
      <c r="U1133" s="21" t="s">
        <v>72</v>
      </c>
    </row>
    <row r="1134" customFormat="false" ht="15" hidden="false" customHeight="false" outlineLevel="0" collapsed="false">
      <c r="A1134" s="15" t="s">
        <v>850</v>
      </c>
      <c r="B1134" s="15" t="s">
        <v>7725</v>
      </c>
      <c r="C1134" s="14" t="s">
        <v>7896</v>
      </c>
      <c r="D1134" s="14" t="s">
        <v>7897</v>
      </c>
      <c r="E1134" s="16" t="s">
        <v>7898</v>
      </c>
      <c r="F1134" s="16"/>
      <c r="G1134" s="23" t="s">
        <v>43</v>
      </c>
      <c r="H1134" s="18" t="n">
        <v>2</v>
      </c>
      <c r="I1134" s="20" t="n">
        <v>33.52</v>
      </c>
      <c r="J1134" s="20" t="n">
        <v>81.1</v>
      </c>
      <c r="K1134" s="18" t="n">
        <v>2</v>
      </c>
      <c r="L1134" s="18" t="n">
        <v>1</v>
      </c>
      <c r="M1134" s="18" t="n">
        <v>54</v>
      </c>
      <c r="N1134" s="18" t="n">
        <v>54</v>
      </c>
      <c r="O1134" s="14" t="s">
        <v>1097</v>
      </c>
      <c r="P1134" s="14" t="s">
        <v>118</v>
      </c>
      <c r="Q1134" s="15" t="s">
        <v>1089</v>
      </c>
      <c r="R1134" s="16" t="s">
        <v>6920</v>
      </c>
      <c r="S1134" s="15" t="s">
        <v>7899</v>
      </c>
      <c r="T1134" s="15" t="s">
        <v>7899</v>
      </c>
      <c r="U1134" s="21" t="s">
        <v>72</v>
      </c>
    </row>
    <row r="1135" customFormat="false" ht="15" hidden="false" customHeight="false" outlineLevel="0" collapsed="false">
      <c r="A1135" s="15" t="s">
        <v>850</v>
      </c>
      <c r="B1135" s="15" t="s">
        <v>7725</v>
      </c>
      <c r="C1135" s="14" t="s">
        <v>7900</v>
      </c>
      <c r="D1135" s="14" t="s">
        <v>7901</v>
      </c>
      <c r="E1135" s="16" t="s">
        <v>7902</v>
      </c>
      <c r="F1135" s="16" t="s">
        <v>7903</v>
      </c>
      <c r="G1135" s="23" t="s">
        <v>43</v>
      </c>
      <c r="H1135" s="18" t="n">
        <v>3</v>
      </c>
      <c r="I1135" s="20" t="n">
        <v>83.34</v>
      </c>
      <c r="J1135" s="20" t="n">
        <v>97.51</v>
      </c>
      <c r="K1135" s="18" t="n">
        <v>3</v>
      </c>
      <c r="L1135" s="18" t="n">
        <v>1</v>
      </c>
      <c r="M1135" s="18" t="n">
        <v>99</v>
      </c>
      <c r="N1135" s="18" t="n">
        <v>99</v>
      </c>
      <c r="O1135" s="14" t="s">
        <v>4223</v>
      </c>
      <c r="P1135" s="14" t="s">
        <v>84</v>
      </c>
      <c r="Q1135" s="15" t="s">
        <v>1089</v>
      </c>
      <c r="R1135" s="16" t="s">
        <v>7904</v>
      </c>
      <c r="S1135" s="15" t="s">
        <v>7905</v>
      </c>
      <c r="T1135" s="15" t="s">
        <v>7905</v>
      </c>
      <c r="U1135" s="21" t="s">
        <v>72</v>
      </c>
    </row>
    <row r="1136" customFormat="false" ht="26.85" hidden="false" customHeight="false" outlineLevel="0" collapsed="false">
      <c r="A1136" s="15" t="s">
        <v>850</v>
      </c>
      <c r="B1136" s="15" t="s">
        <v>7725</v>
      </c>
      <c r="C1136" s="14" t="s">
        <v>7906</v>
      </c>
      <c r="D1136" s="14" t="s">
        <v>7907</v>
      </c>
      <c r="E1136" s="16" t="s">
        <v>7908</v>
      </c>
      <c r="F1136" s="16"/>
      <c r="G1136" s="23" t="s">
        <v>43</v>
      </c>
      <c r="H1136" s="18" t="n">
        <v>2</v>
      </c>
      <c r="I1136" s="20" t="n">
        <v>32.62</v>
      </c>
      <c r="J1136" s="20" t="n">
        <v>125.48</v>
      </c>
      <c r="K1136" s="18" t="n">
        <v>4</v>
      </c>
      <c r="L1136" s="18" t="n">
        <v>2</v>
      </c>
      <c r="M1136" s="18" t="n">
        <v>104</v>
      </c>
      <c r="N1136" s="18" t="n">
        <v>104</v>
      </c>
      <c r="O1136" s="14" t="s">
        <v>5398</v>
      </c>
      <c r="P1136" s="14" t="s">
        <v>118</v>
      </c>
      <c r="Q1136" s="15" t="s">
        <v>1089</v>
      </c>
      <c r="R1136" s="16" t="s">
        <v>6351</v>
      </c>
      <c r="S1136" s="15" t="s">
        <v>7909</v>
      </c>
      <c r="T1136" s="15" t="s">
        <v>7909</v>
      </c>
      <c r="U1136" s="21" t="s">
        <v>72</v>
      </c>
    </row>
    <row r="1137" customFormat="false" ht="26.85" hidden="false" customHeight="false" outlineLevel="0" collapsed="false">
      <c r="A1137" s="15" t="s">
        <v>850</v>
      </c>
      <c r="B1137" s="15" t="s">
        <v>7725</v>
      </c>
      <c r="C1137" s="14" t="s">
        <v>7910</v>
      </c>
      <c r="D1137" s="14" t="s">
        <v>7911</v>
      </c>
      <c r="E1137" s="16" t="s">
        <v>7912</v>
      </c>
      <c r="F1137" s="16"/>
      <c r="G1137" s="19" t="s">
        <v>41</v>
      </c>
      <c r="H1137" s="18" t="n">
        <v>6</v>
      </c>
      <c r="I1137" s="20" t="n">
        <v>140.36</v>
      </c>
      <c r="J1137" s="20" t="n">
        <v>321.93</v>
      </c>
      <c r="K1137" s="18" t="n">
        <v>18</v>
      </c>
      <c r="L1137" s="18" t="n">
        <v>25</v>
      </c>
      <c r="M1137" s="18" t="n">
        <v>738</v>
      </c>
      <c r="N1137" s="18" t="n">
        <v>82</v>
      </c>
      <c r="O1137" s="14" t="s">
        <v>4385</v>
      </c>
      <c r="P1137" s="14" t="s">
        <v>3143</v>
      </c>
      <c r="Q1137" s="15" t="s">
        <v>1089</v>
      </c>
      <c r="R1137" s="16" t="s">
        <v>7913</v>
      </c>
      <c r="S1137" s="15" t="s">
        <v>1825</v>
      </c>
      <c r="T1137" s="15" t="s">
        <v>1825</v>
      </c>
      <c r="U1137" s="21" t="s">
        <v>72</v>
      </c>
    </row>
    <row r="1138" customFormat="false" ht="15" hidden="false" customHeight="false" outlineLevel="0" collapsed="false">
      <c r="A1138" s="15" t="s">
        <v>850</v>
      </c>
      <c r="B1138" s="15" t="s">
        <v>7725</v>
      </c>
      <c r="C1138" s="14" t="s">
        <v>7914</v>
      </c>
      <c r="D1138" s="14" t="s">
        <v>7915</v>
      </c>
      <c r="E1138" s="16" t="s">
        <v>7916</v>
      </c>
      <c r="F1138" s="16"/>
      <c r="G1138" s="23" t="s">
        <v>43</v>
      </c>
      <c r="H1138" s="18" t="n">
        <v>4</v>
      </c>
      <c r="I1138" s="20" t="n">
        <v>56.84</v>
      </c>
      <c r="J1138" s="20" t="n">
        <v>174</v>
      </c>
      <c r="K1138" s="18" t="n">
        <v>4</v>
      </c>
      <c r="L1138" s="18" t="n">
        <v>4</v>
      </c>
      <c r="M1138" s="18" t="n">
        <v>92</v>
      </c>
      <c r="N1138" s="18" t="n">
        <v>92</v>
      </c>
      <c r="O1138" s="14" t="s">
        <v>1126</v>
      </c>
      <c r="P1138" s="14" t="s">
        <v>84</v>
      </c>
      <c r="Q1138" s="15" t="s">
        <v>1089</v>
      </c>
      <c r="R1138" s="16" t="s">
        <v>7917</v>
      </c>
      <c r="S1138" s="15" t="s">
        <v>7918</v>
      </c>
      <c r="T1138" s="15" t="s">
        <v>7919</v>
      </c>
      <c r="U1138" s="21" t="s">
        <v>72</v>
      </c>
    </row>
    <row r="1139" customFormat="false" ht="15" hidden="false" customHeight="false" outlineLevel="0" collapsed="false">
      <c r="A1139" s="15" t="s">
        <v>850</v>
      </c>
      <c r="B1139" s="15" t="s">
        <v>7725</v>
      </c>
      <c r="C1139" s="14" t="s">
        <v>7920</v>
      </c>
      <c r="D1139" s="14" t="s">
        <v>7921</v>
      </c>
      <c r="E1139" s="16" t="s">
        <v>7922</v>
      </c>
      <c r="F1139" s="16" t="s">
        <v>7923</v>
      </c>
      <c r="G1139" s="23" t="s">
        <v>43</v>
      </c>
      <c r="H1139" s="18" t="n">
        <v>4</v>
      </c>
      <c r="I1139" s="20" t="n">
        <v>85.76</v>
      </c>
      <c r="J1139" s="20" t="n">
        <v>189.97</v>
      </c>
      <c r="K1139" s="18" t="n">
        <v>10</v>
      </c>
      <c r="L1139" s="18" t="n">
        <v>10</v>
      </c>
      <c r="M1139" s="18" t="n">
        <v>261</v>
      </c>
      <c r="N1139" s="18" t="n">
        <v>156</v>
      </c>
      <c r="O1139" s="14" t="s">
        <v>4215</v>
      </c>
      <c r="P1139" s="14" t="s">
        <v>515</v>
      </c>
      <c r="Q1139" s="15" t="s">
        <v>1089</v>
      </c>
      <c r="R1139" s="16" t="s">
        <v>7924</v>
      </c>
      <c r="S1139" s="15" t="s">
        <v>7891</v>
      </c>
      <c r="T1139" s="15" t="s">
        <v>7925</v>
      </c>
      <c r="U1139" s="21" t="s">
        <v>72</v>
      </c>
    </row>
    <row r="1140" customFormat="false" ht="26.85" hidden="false" customHeight="false" outlineLevel="0" collapsed="false">
      <c r="A1140" s="15" t="s">
        <v>850</v>
      </c>
      <c r="B1140" s="15" t="s">
        <v>7725</v>
      </c>
      <c r="C1140" s="14" t="s">
        <v>7926</v>
      </c>
      <c r="D1140" s="14" t="s">
        <v>7927</v>
      </c>
      <c r="E1140" s="16" t="s">
        <v>7928</v>
      </c>
      <c r="F1140" s="16"/>
      <c r="G1140" s="23" t="s">
        <v>43</v>
      </c>
      <c r="H1140" s="18" t="n">
        <v>1</v>
      </c>
      <c r="I1140" s="20" t="n">
        <v>41.43</v>
      </c>
      <c r="J1140" s="20" t="n">
        <v>80.9</v>
      </c>
      <c r="K1140" s="18" t="n">
        <v>2</v>
      </c>
      <c r="L1140" s="18" t="n">
        <v>1</v>
      </c>
      <c r="M1140" s="18" t="n">
        <v>68</v>
      </c>
      <c r="N1140" s="18" t="n">
        <v>68</v>
      </c>
      <c r="O1140" s="14" t="s">
        <v>4751</v>
      </c>
      <c r="P1140" s="14" t="s">
        <v>118</v>
      </c>
      <c r="Q1140" s="15" t="s">
        <v>1089</v>
      </c>
      <c r="R1140" s="16" t="s">
        <v>7929</v>
      </c>
      <c r="S1140" s="15" t="s">
        <v>6328</v>
      </c>
      <c r="T1140" s="15" t="s">
        <v>7930</v>
      </c>
      <c r="U1140" s="21" t="s">
        <v>72</v>
      </c>
    </row>
    <row r="1141" customFormat="false" ht="64.9" hidden="false" customHeight="false" outlineLevel="0" collapsed="false">
      <c r="A1141" s="15" t="s">
        <v>850</v>
      </c>
      <c r="B1141" s="15" t="s">
        <v>7931</v>
      </c>
      <c r="C1141" s="14" t="s">
        <v>7932</v>
      </c>
      <c r="D1141" s="14" t="s">
        <v>7933</v>
      </c>
      <c r="E1141" s="16" t="s">
        <v>7934</v>
      </c>
      <c r="F1141" s="16"/>
      <c r="G1141" s="25" t="s">
        <v>39</v>
      </c>
      <c r="H1141" s="18" t="n">
        <v>7</v>
      </c>
      <c r="I1141" s="20" t="n">
        <v>351.49</v>
      </c>
      <c r="J1141" s="20" t="n">
        <v>434.95</v>
      </c>
      <c r="K1141" s="18" t="n">
        <v>160</v>
      </c>
      <c r="L1141" s="18" t="n">
        <v>64</v>
      </c>
      <c r="M1141" s="18" t="n">
        <v>3200</v>
      </c>
      <c r="N1141" s="18" t="n">
        <v>120</v>
      </c>
      <c r="O1141" s="14" t="s">
        <v>4446</v>
      </c>
      <c r="P1141" s="14" t="s">
        <v>7935</v>
      </c>
      <c r="Q1141" s="15" t="s">
        <v>1089</v>
      </c>
      <c r="R1141" s="16" t="s">
        <v>7936</v>
      </c>
      <c r="S1141" s="15" t="s">
        <v>2538</v>
      </c>
      <c r="T1141" s="15" t="s">
        <v>7937</v>
      </c>
      <c r="U1141" s="21" t="s">
        <v>72</v>
      </c>
    </row>
    <row r="1142" customFormat="false" ht="15" hidden="false" customHeight="false" outlineLevel="0" collapsed="false">
      <c r="A1142" s="15" t="s">
        <v>850</v>
      </c>
      <c r="B1142" s="15" t="s">
        <v>7931</v>
      </c>
      <c r="C1142" s="14" t="s">
        <v>7938</v>
      </c>
      <c r="D1142" s="14" t="s">
        <v>7939</v>
      </c>
      <c r="E1142" s="16" t="s">
        <v>7940</v>
      </c>
      <c r="F1142" s="16"/>
      <c r="G1142" s="23" t="s">
        <v>43</v>
      </c>
      <c r="H1142" s="18" t="n">
        <v>4</v>
      </c>
      <c r="I1142" s="20" t="n">
        <v>46.66</v>
      </c>
      <c r="J1142" s="20" t="n">
        <v>140.27</v>
      </c>
      <c r="K1142" s="18" t="n">
        <v>4</v>
      </c>
      <c r="L1142" s="18" t="n">
        <v>2</v>
      </c>
      <c r="M1142" s="18" t="n">
        <v>60</v>
      </c>
      <c r="N1142" s="18" t="n">
        <v>60</v>
      </c>
      <c r="O1142" s="14" t="s">
        <v>1126</v>
      </c>
      <c r="P1142" s="14" t="s">
        <v>84</v>
      </c>
      <c r="Q1142" s="15" t="s">
        <v>1089</v>
      </c>
      <c r="R1142" s="16" t="s">
        <v>7941</v>
      </c>
      <c r="S1142" s="15" t="s">
        <v>7942</v>
      </c>
      <c r="T1142" s="15" t="s">
        <v>7943</v>
      </c>
      <c r="U1142" s="21" t="s">
        <v>72</v>
      </c>
    </row>
    <row r="1143" customFormat="false" ht="15" hidden="false" customHeight="false" outlineLevel="0" collapsed="false">
      <c r="A1143" s="15" t="s">
        <v>850</v>
      </c>
      <c r="B1143" s="15" t="s">
        <v>7931</v>
      </c>
      <c r="C1143" s="14" t="s">
        <v>7944</v>
      </c>
      <c r="D1143" s="14" t="s">
        <v>7945</v>
      </c>
      <c r="E1143" s="16" t="s">
        <v>7946</v>
      </c>
      <c r="F1143" s="16"/>
      <c r="G1143" s="23" t="s">
        <v>43</v>
      </c>
      <c r="H1143" s="18" t="n">
        <v>2</v>
      </c>
      <c r="I1143" s="20" t="n">
        <v>42.64</v>
      </c>
      <c r="J1143" s="20" t="n">
        <v>88.57</v>
      </c>
      <c r="K1143" s="18" t="n">
        <v>2</v>
      </c>
      <c r="L1143" s="18" t="n">
        <v>2</v>
      </c>
      <c r="M1143" s="18" t="n">
        <v>30</v>
      </c>
      <c r="N1143" s="18" t="n">
        <v>15</v>
      </c>
      <c r="O1143" s="14" t="s">
        <v>4343</v>
      </c>
      <c r="P1143" s="14" t="s">
        <v>1166</v>
      </c>
      <c r="Q1143" s="15" t="s">
        <v>1089</v>
      </c>
      <c r="R1143" s="16" t="s">
        <v>7947</v>
      </c>
      <c r="S1143" s="15" t="s">
        <v>7948</v>
      </c>
      <c r="T1143" s="15" t="s">
        <v>7948</v>
      </c>
      <c r="U1143" s="21" t="s">
        <v>72</v>
      </c>
    </row>
    <row r="1144" customFormat="false" ht="15" hidden="false" customHeight="false" outlineLevel="0" collapsed="false">
      <c r="A1144" s="15" t="s">
        <v>850</v>
      </c>
      <c r="B1144" s="15" t="s">
        <v>7931</v>
      </c>
      <c r="C1144" s="14" t="s">
        <v>7949</v>
      </c>
      <c r="D1144" s="14" t="s">
        <v>7950</v>
      </c>
      <c r="E1144" s="16" t="s">
        <v>7951</v>
      </c>
      <c r="F1144" s="16" t="s">
        <v>7952</v>
      </c>
      <c r="G1144" s="25" t="s">
        <v>39</v>
      </c>
      <c r="H1144" s="18" t="n">
        <v>10</v>
      </c>
      <c r="I1144" s="20" t="n">
        <v>192.8</v>
      </c>
      <c r="J1144" s="20" t="n">
        <v>352.31</v>
      </c>
      <c r="K1144" s="18" t="n">
        <v>9</v>
      </c>
      <c r="L1144" s="18" t="n">
        <v>5</v>
      </c>
      <c r="M1144" s="18" t="n">
        <v>144</v>
      </c>
      <c r="N1144" s="18" t="n">
        <v>128</v>
      </c>
      <c r="O1144" s="14" t="s">
        <v>1088</v>
      </c>
      <c r="P1144" s="14" t="s">
        <v>118</v>
      </c>
      <c r="Q1144" s="15" t="s">
        <v>1089</v>
      </c>
      <c r="R1144" s="16" t="s">
        <v>7953</v>
      </c>
      <c r="S1144" s="15" t="s">
        <v>7954</v>
      </c>
      <c r="T1144" s="15" t="s">
        <v>7955</v>
      </c>
      <c r="U1144" s="21" t="s">
        <v>72</v>
      </c>
    </row>
    <row r="1145" customFormat="false" ht="15" hidden="false" customHeight="false" outlineLevel="0" collapsed="false">
      <c r="A1145" s="15" t="s">
        <v>850</v>
      </c>
      <c r="B1145" s="15" t="s">
        <v>7931</v>
      </c>
      <c r="C1145" s="14" t="s">
        <v>7956</v>
      </c>
      <c r="D1145" s="14" t="s">
        <v>7957</v>
      </c>
      <c r="E1145" s="16" t="s">
        <v>7958</v>
      </c>
      <c r="F1145" s="16" t="s">
        <v>7959</v>
      </c>
      <c r="G1145" s="19" t="s">
        <v>41</v>
      </c>
      <c r="H1145" s="18" t="n">
        <v>6</v>
      </c>
      <c r="I1145" s="20" t="n">
        <v>104.93</v>
      </c>
      <c r="J1145" s="20" t="n">
        <v>229.55</v>
      </c>
      <c r="K1145" s="18" t="n">
        <v>2</v>
      </c>
      <c r="L1145" s="18" t="n">
        <v>2</v>
      </c>
      <c r="M1145" s="18" t="n">
        <v>52</v>
      </c>
      <c r="N1145" s="18" t="n">
        <v>52</v>
      </c>
      <c r="O1145" s="14" t="s">
        <v>4215</v>
      </c>
      <c r="P1145" s="14" t="s">
        <v>84</v>
      </c>
      <c r="Q1145" s="15" t="s">
        <v>1089</v>
      </c>
      <c r="R1145" s="16" t="s">
        <v>4512</v>
      </c>
      <c r="S1145" s="15" t="s">
        <v>7960</v>
      </c>
      <c r="T1145" s="15" t="s">
        <v>7961</v>
      </c>
      <c r="U1145" s="21" t="s">
        <v>72</v>
      </c>
    </row>
    <row r="1146" customFormat="false" ht="26.85" hidden="false" customHeight="false" outlineLevel="0" collapsed="false">
      <c r="A1146" s="15" t="s">
        <v>850</v>
      </c>
      <c r="B1146" s="15" t="s">
        <v>7931</v>
      </c>
      <c r="C1146" s="14" t="s">
        <v>7962</v>
      </c>
      <c r="D1146" s="14" t="s">
        <v>7963</v>
      </c>
      <c r="E1146" s="16" t="s">
        <v>7964</v>
      </c>
      <c r="F1146" s="16"/>
      <c r="G1146" s="23" t="s">
        <v>43</v>
      </c>
      <c r="H1146" s="18" t="n">
        <v>2</v>
      </c>
      <c r="I1146" s="20" t="n">
        <v>33.04</v>
      </c>
      <c r="J1146" s="20" t="n">
        <v>75.28</v>
      </c>
      <c r="K1146" s="18" t="n">
        <v>3</v>
      </c>
      <c r="L1146" s="18" t="n">
        <v>5</v>
      </c>
      <c r="M1146" s="18" t="n">
        <v>42</v>
      </c>
      <c r="N1146" s="18" t="n">
        <v>42</v>
      </c>
      <c r="O1146" s="14" t="s">
        <v>7965</v>
      </c>
      <c r="P1146" s="14" t="s">
        <v>118</v>
      </c>
      <c r="Q1146" s="15" t="s">
        <v>1089</v>
      </c>
      <c r="R1146" s="16" t="s">
        <v>7966</v>
      </c>
      <c r="S1146" s="15" t="s">
        <v>7967</v>
      </c>
      <c r="T1146" s="15" t="s">
        <v>7967</v>
      </c>
      <c r="U1146" s="21" t="s">
        <v>72</v>
      </c>
    </row>
    <row r="1147" customFormat="false" ht="15" hidden="false" customHeight="false" outlineLevel="0" collapsed="false">
      <c r="A1147" s="15" t="s">
        <v>850</v>
      </c>
      <c r="B1147" s="15" t="s">
        <v>7931</v>
      </c>
      <c r="C1147" s="14" t="s">
        <v>7968</v>
      </c>
      <c r="D1147" s="14" t="s">
        <v>7969</v>
      </c>
      <c r="E1147" s="16" t="s">
        <v>7970</v>
      </c>
      <c r="F1147" s="16" t="s">
        <v>7971</v>
      </c>
      <c r="G1147" s="19" t="s">
        <v>41</v>
      </c>
      <c r="H1147" s="18" t="n">
        <v>5</v>
      </c>
      <c r="I1147" s="20" t="n">
        <v>79.58</v>
      </c>
      <c r="J1147" s="20" t="n">
        <v>254.74</v>
      </c>
      <c r="K1147" s="18" t="n">
        <v>5</v>
      </c>
      <c r="L1147" s="18" t="n">
        <v>12</v>
      </c>
      <c r="M1147" s="18" t="n">
        <v>55</v>
      </c>
      <c r="N1147" s="18" t="n">
        <v>43</v>
      </c>
      <c r="O1147" s="14" t="s">
        <v>4223</v>
      </c>
      <c r="P1147" s="14" t="s">
        <v>118</v>
      </c>
      <c r="Q1147" s="15" t="s">
        <v>1089</v>
      </c>
      <c r="R1147" s="16" t="s">
        <v>7972</v>
      </c>
      <c r="S1147" s="15" t="s">
        <v>7973</v>
      </c>
      <c r="T1147" s="15" t="s">
        <v>7973</v>
      </c>
      <c r="U1147" s="21" t="s">
        <v>72</v>
      </c>
    </row>
    <row r="1148" customFormat="false" ht="15" hidden="false" customHeight="false" outlineLevel="0" collapsed="false">
      <c r="A1148" s="15" t="s">
        <v>850</v>
      </c>
      <c r="B1148" s="15" t="s">
        <v>7931</v>
      </c>
      <c r="C1148" s="14" t="s">
        <v>7974</v>
      </c>
      <c r="D1148" s="14" t="s">
        <v>7975</v>
      </c>
      <c r="E1148" s="16" t="s">
        <v>7976</v>
      </c>
      <c r="F1148" s="16"/>
      <c r="G1148" s="23" t="s">
        <v>43</v>
      </c>
      <c r="H1148" s="18" t="n">
        <v>3</v>
      </c>
      <c r="I1148" s="20" t="n">
        <v>55.03</v>
      </c>
      <c r="J1148" s="20" t="n">
        <v>110.45</v>
      </c>
      <c r="K1148" s="18" t="n">
        <v>4</v>
      </c>
      <c r="L1148" s="18" t="n">
        <v>2</v>
      </c>
      <c r="M1148" s="18" t="n">
        <v>88</v>
      </c>
      <c r="N1148" s="18" t="n">
        <v>88</v>
      </c>
      <c r="O1148" s="14" t="s">
        <v>7977</v>
      </c>
      <c r="P1148" s="14" t="s">
        <v>118</v>
      </c>
      <c r="Q1148" s="15" t="s">
        <v>1089</v>
      </c>
      <c r="R1148" s="16" t="s">
        <v>5699</v>
      </c>
      <c r="S1148" s="15" t="s">
        <v>7978</v>
      </c>
      <c r="T1148" s="15" t="s">
        <v>7978</v>
      </c>
      <c r="U1148" s="21" t="s">
        <v>72</v>
      </c>
    </row>
    <row r="1149" customFormat="false" ht="15" hidden="false" customHeight="false" outlineLevel="0" collapsed="false">
      <c r="A1149" s="15" t="s">
        <v>850</v>
      </c>
      <c r="B1149" s="15" t="s">
        <v>7931</v>
      </c>
      <c r="C1149" s="14" t="s">
        <v>7979</v>
      </c>
      <c r="D1149" s="14" t="s">
        <v>7980</v>
      </c>
      <c r="E1149" s="16" t="s">
        <v>7981</v>
      </c>
      <c r="F1149" s="16" t="s">
        <v>7982</v>
      </c>
      <c r="G1149" s="23" t="s">
        <v>43</v>
      </c>
      <c r="H1149" s="18" t="n">
        <v>3</v>
      </c>
      <c r="I1149" s="20" t="n">
        <v>32.71</v>
      </c>
      <c r="J1149" s="20" t="n">
        <v>74</v>
      </c>
      <c r="K1149" s="18" t="n">
        <v>15</v>
      </c>
      <c r="L1149" s="18" t="n">
        <v>5</v>
      </c>
      <c r="M1149" s="18" t="n">
        <v>375</v>
      </c>
      <c r="N1149" s="18" t="n">
        <v>125</v>
      </c>
      <c r="O1149" s="14" t="s">
        <v>4215</v>
      </c>
      <c r="P1149" s="14" t="s">
        <v>118</v>
      </c>
      <c r="Q1149" s="15" t="s">
        <v>1089</v>
      </c>
      <c r="R1149" s="16" t="s">
        <v>6390</v>
      </c>
      <c r="S1149" s="15" t="s">
        <v>7983</v>
      </c>
      <c r="T1149" s="15" t="s">
        <v>7984</v>
      </c>
      <c r="U1149" s="21" t="s">
        <v>72</v>
      </c>
    </row>
    <row r="1150" customFormat="false" ht="15" hidden="false" customHeight="false" outlineLevel="0" collapsed="false">
      <c r="A1150" s="15" t="s">
        <v>850</v>
      </c>
      <c r="B1150" s="15" t="s">
        <v>7931</v>
      </c>
      <c r="C1150" s="14" t="s">
        <v>7985</v>
      </c>
      <c r="D1150" s="14" t="s">
        <v>7986</v>
      </c>
      <c r="E1150" s="16"/>
      <c r="F1150" s="16"/>
      <c r="G1150" s="23" t="s">
        <v>43</v>
      </c>
      <c r="H1150" s="18" t="n">
        <v>3</v>
      </c>
      <c r="I1150" s="20" t="n">
        <v>77.83</v>
      </c>
      <c r="J1150" s="20" t="n">
        <v>123.13</v>
      </c>
      <c r="K1150" s="18" t="n">
        <v>8</v>
      </c>
      <c r="L1150" s="18" t="n">
        <v>10</v>
      </c>
      <c r="M1150" s="18" t="n">
        <v>129</v>
      </c>
      <c r="N1150" s="18" t="n">
        <v>20</v>
      </c>
      <c r="O1150" s="14" t="s">
        <v>4215</v>
      </c>
      <c r="P1150" s="14" t="s">
        <v>118</v>
      </c>
      <c r="Q1150" s="15" t="s">
        <v>1089</v>
      </c>
      <c r="R1150" s="16" t="s">
        <v>7987</v>
      </c>
      <c r="S1150" s="15" t="s">
        <v>7988</v>
      </c>
      <c r="T1150" s="15" t="s">
        <v>7989</v>
      </c>
      <c r="U1150" s="21" t="s">
        <v>72</v>
      </c>
    </row>
    <row r="1151" customFormat="false" ht="15" hidden="false" customHeight="false" outlineLevel="0" collapsed="false">
      <c r="A1151" s="15" t="s">
        <v>850</v>
      </c>
      <c r="B1151" s="15" t="s">
        <v>7931</v>
      </c>
      <c r="C1151" s="14" t="s">
        <v>7990</v>
      </c>
      <c r="D1151" s="14" t="s">
        <v>7991</v>
      </c>
      <c r="E1151" s="16" t="s">
        <v>7992</v>
      </c>
      <c r="F1151" s="16" t="s">
        <v>7993</v>
      </c>
      <c r="G1151" s="23" t="s">
        <v>43</v>
      </c>
      <c r="H1151" s="18" t="n">
        <v>3</v>
      </c>
      <c r="I1151" s="20" t="n">
        <v>71.62</v>
      </c>
      <c r="J1151" s="20" t="n">
        <v>189.86</v>
      </c>
      <c r="K1151" s="18" t="n">
        <v>5</v>
      </c>
      <c r="L1151" s="18" t="n">
        <v>5</v>
      </c>
      <c r="M1151" s="18" t="n">
        <v>46</v>
      </c>
      <c r="N1151" s="18" t="n">
        <v>30</v>
      </c>
      <c r="O1151" s="14" t="s">
        <v>4385</v>
      </c>
      <c r="P1151" s="14" t="s">
        <v>118</v>
      </c>
      <c r="Q1151" s="15" t="s">
        <v>1089</v>
      </c>
      <c r="R1151" s="16" t="s">
        <v>4692</v>
      </c>
      <c r="S1151" s="15" t="s">
        <v>7994</v>
      </c>
      <c r="T1151" s="15" t="s">
        <v>7994</v>
      </c>
      <c r="U1151" s="21" t="s">
        <v>72</v>
      </c>
    </row>
    <row r="1152" customFormat="false" ht="15" hidden="false" customHeight="false" outlineLevel="0" collapsed="false">
      <c r="A1152" s="15" t="s">
        <v>850</v>
      </c>
      <c r="B1152" s="15" t="s">
        <v>7931</v>
      </c>
      <c r="C1152" s="14" t="s">
        <v>7995</v>
      </c>
      <c r="D1152" s="14" t="s">
        <v>7996</v>
      </c>
      <c r="E1152" s="16" t="s">
        <v>7997</v>
      </c>
      <c r="F1152" s="16"/>
      <c r="G1152" s="23" t="s">
        <v>43</v>
      </c>
      <c r="H1152" s="18" t="n">
        <v>2</v>
      </c>
      <c r="I1152" s="20" t="n">
        <v>38.94</v>
      </c>
      <c r="J1152" s="20" t="n">
        <v>110.73</v>
      </c>
      <c r="K1152" s="18" t="n">
        <v>3</v>
      </c>
      <c r="L1152" s="18" t="n">
        <v>2</v>
      </c>
      <c r="M1152" s="18" t="n">
        <v>42</v>
      </c>
      <c r="N1152" s="18" t="n">
        <v>42</v>
      </c>
      <c r="O1152" s="14" t="s">
        <v>7998</v>
      </c>
      <c r="P1152" s="14" t="s">
        <v>84</v>
      </c>
      <c r="Q1152" s="15" t="s">
        <v>1089</v>
      </c>
      <c r="R1152" s="16" t="s">
        <v>7999</v>
      </c>
      <c r="S1152" s="15" t="s">
        <v>8000</v>
      </c>
      <c r="T1152" s="15" t="s">
        <v>8001</v>
      </c>
      <c r="U1152" s="21" t="s">
        <v>72</v>
      </c>
    </row>
    <row r="1153" customFormat="false" ht="15" hidden="false" customHeight="false" outlineLevel="0" collapsed="false">
      <c r="A1153" s="15" t="s">
        <v>850</v>
      </c>
      <c r="B1153" s="15" t="s">
        <v>7931</v>
      </c>
      <c r="C1153" s="14" t="s">
        <v>8002</v>
      </c>
      <c r="D1153" s="14" t="s">
        <v>8003</v>
      </c>
      <c r="E1153" s="16" t="s">
        <v>8004</v>
      </c>
      <c r="F1153" s="16" t="s">
        <v>8005</v>
      </c>
      <c r="G1153" s="23" t="s">
        <v>43</v>
      </c>
      <c r="H1153" s="18" t="n">
        <v>2</v>
      </c>
      <c r="I1153" s="20" t="n">
        <v>42.9</v>
      </c>
      <c r="J1153" s="20" t="n">
        <v>121.7</v>
      </c>
      <c r="K1153" s="18" t="n">
        <v>2</v>
      </c>
      <c r="L1153" s="18" t="n">
        <v>3</v>
      </c>
      <c r="M1153" s="18" t="n">
        <v>35</v>
      </c>
      <c r="N1153" s="18" t="n">
        <v>35</v>
      </c>
      <c r="O1153" s="14" t="s">
        <v>8006</v>
      </c>
      <c r="P1153" s="14" t="s">
        <v>118</v>
      </c>
      <c r="Q1153" s="15" t="s">
        <v>1089</v>
      </c>
      <c r="R1153" s="16" t="s">
        <v>8007</v>
      </c>
      <c r="S1153" s="15" t="s">
        <v>8008</v>
      </c>
      <c r="T1153" s="15" t="s">
        <v>8009</v>
      </c>
      <c r="U1153" s="21" t="s">
        <v>72</v>
      </c>
    </row>
    <row r="1154" customFormat="false" ht="15" hidden="false" customHeight="false" outlineLevel="0" collapsed="false">
      <c r="A1154" s="15" t="s">
        <v>850</v>
      </c>
      <c r="B1154" s="15" t="s">
        <v>7931</v>
      </c>
      <c r="C1154" s="14" t="s">
        <v>8010</v>
      </c>
      <c r="D1154" s="14" t="s">
        <v>8011</v>
      </c>
      <c r="E1154" s="16" t="s">
        <v>8012</v>
      </c>
      <c r="F1154" s="16" t="s">
        <v>8013</v>
      </c>
      <c r="G1154" s="23" t="s">
        <v>43</v>
      </c>
      <c r="H1154" s="18" t="n">
        <v>3</v>
      </c>
      <c r="I1154" s="20" t="n">
        <v>50.57</v>
      </c>
      <c r="J1154" s="20" t="n">
        <v>143.52</v>
      </c>
      <c r="K1154" s="18" t="n">
        <v>2</v>
      </c>
      <c r="L1154" s="18" t="n">
        <v>3</v>
      </c>
      <c r="M1154" s="18" t="n">
        <v>82</v>
      </c>
      <c r="N1154" s="18" t="n">
        <v>82</v>
      </c>
      <c r="O1154" s="14" t="s">
        <v>1126</v>
      </c>
      <c r="P1154" s="14" t="s">
        <v>84</v>
      </c>
      <c r="Q1154" s="15" t="s">
        <v>1089</v>
      </c>
      <c r="R1154" s="16" t="s">
        <v>8014</v>
      </c>
      <c r="S1154" s="15" t="s">
        <v>8015</v>
      </c>
      <c r="T1154" s="15" t="s">
        <v>8016</v>
      </c>
      <c r="U1154" s="21" t="s">
        <v>72</v>
      </c>
    </row>
    <row r="1155" customFormat="false" ht="15" hidden="false" customHeight="false" outlineLevel="0" collapsed="false">
      <c r="A1155" s="15" t="s">
        <v>850</v>
      </c>
      <c r="B1155" s="15" t="s">
        <v>7931</v>
      </c>
      <c r="C1155" s="14" t="s">
        <v>8017</v>
      </c>
      <c r="D1155" s="14" t="s">
        <v>8018</v>
      </c>
      <c r="E1155" s="16" t="s">
        <v>8019</v>
      </c>
      <c r="F1155" s="16"/>
      <c r="G1155" s="19" t="s">
        <v>41</v>
      </c>
      <c r="H1155" s="18" t="n">
        <v>5</v>
      </c>
      <c r="I1155" s="20" t="n">
        <v>160.66</v>
      </c>
      <c r="J1155" s="20" t="n">
        <v>373.95</v>
      </c>
      <c r="K1155" s="18" t="n">
        <v>5</v>
      </c>
      <c r="L1155" s="18" t="n">
        <v>1</v>
      </c>
      <c r="M1155" s="18" t="n">
        <v>130</v>
      </c>
      <c r="N1155" s="18" t="n">
        <v>130</v>
      </c>
      <c r="O1155" s="14" t="s">
        <v>1097</v>
      </c>
      <c r="P1155" s="14" t="s">
        <v>84</v>
      </c>
      <c r="Q1155" s="15" t="s">
        <v>1089</v>
      </c>
      <c r="R1155" s="16" t="s">
        <v>8020</v>
      </c>
      <c r="S1155" s="15" t="s">
        <v>8021</v>
      </c>
      <c r="T1155" s="15" t="s">
        <v>8022</v>
      </c>
      <c r="U1155" s="21" t="s">
        <v>72</v>
      </c>
    </row>
    <row r="1156" customFormat="false" ht="15" hidden="false" customHeight="false" outlineLevel="0" collapsed="false">
      <c r="A1156" s="15" t="s">
        <v>850</v>
      </c>
      <c r="B1156" s="15" t="s">
        <v>7931</v>
      </c>
      <c r="C1156" s="14" t="s">
        <v>8023</v>
      </c>
      <c r="D1156" s="14" t="s">
        <v>8024</v>
      </c>
      <c r="E1156" s="16" t="s">
        <v>8025</v>
      </c>
      <c r="F1156" s="16"/>
      <c r="G1156" s="19" t="s">
        <v>41</v>
      </c>
      <c r="H1156" s="18" t="n">
        <v>5</v>
      </c>
      <c r="I1156" s="20" t="n">
        <v>135.47</v>
      </c>
      <c r="J1156" s="20" t="n">
        <v>233.05</v>
      </c>
      <c r="K1156" s="18" t="n">
        <v>12</v>
      </c>
      <c r="L1156" s="18" t="n">
        <v>8</v>
      </c>
      <c r="M1156" s="18" t="n">
        <v>120</v>
      </c>
      <c r="N1156" s="18" t="n">
        <v>40</v>
      </c>
      <c r="O1156" s="14" t="s">
        <v>4385</v>
      </c>
      <c r="P1156" s="14" t="s">
        <v>118</v>
      </c>
      <c r="Q1156" s="15" t="s">
        <v>1089</v>
      </c>
      <c r="R1156" s="16" t="s">
        <v>8026</v>
      </c>
      <c r="S1156" s="15" t="s">
        <v>8027</v>
      </c>
      <c r="T1156" s="15" t="s">
        <v>8027</v>
      </c>
      <c r="U1156" s="21" t="s">
        <v>72</v>
      </c>
    </row>
    <row r="1157" customFormat="false" ht="15" hidden="false" customHeight="false" outlineLevel="0" collapsed="false">
      <c r="A1157" s="15" t="s">
        <v>850</v>
      </c>
      <c r="B1157" s="15" t="s">
        <v>7931</v>
      </c>
      <c r="C1157" s="14" t="s">
        <v>8028</v>
      </c>
      <c r="D1157" s="14" t="s">
        <v>8029</v>
      </c>
      <c r="E1157" s="16" t="s">
        <v>8030</v>
      </c>
      <c r="F1157" s="16"/>
      <c r="G1157" s="23" t="s">
        <v>43</v>
      </c>
      <c r="H1157" s="18" t="n">
        <v>3</v>
      </c>
      <c r="I1157" s="20" t="n">
        <v>44.1992</v>
      </c>
      <c r="J1157" s="20" t="n">
        <v>79.37</v>
      </c>
      <c r="K1157" s="18" t="n">
        <v>3</v>
      </c>
      <c r="L1157" s="18" t="n">
        <v>12</v>
      </c>
      <c r="M1157" s="18" t="n">
        <v>42</v>
      </c>
      <c r="N1157" s="18" t="n">
        <v>42</v>
      </c>
      <c r="O1157" s="14" t="s">
        <v>4223</v>
      </c>
      <c r="P1157" s="14" t="s">
        <v>84</v>
      </c>
      <c r="Q1157" s="15" t="s">
        <v>1089</v>
      </c>
      <c r="R1157" s="16" t="s">
        <v>8031</v>
      </c>
      <c r="S1157" s="15" t="s">
        <v>8032</v>
      </c>
      <c r="T1157" s="15" t="s">
        <v>8033</v>
      </c>
      <c r="U1157" s="21" t="s">
        <v>72</v>
      </c>
    </row>
    <row r="1158" customFormat="false" ht="39.55" hidden="false" customHeight="false" outlineLevel="0" collapsed="false">
      <c r="A1158" s="15" t="s">
        <v>850</v>
      </c>
      <c r="B1158" s="15" t="s">
        <v>7931</v>
      </c>
      <c r="C1158" s="14" t="s">
        <v>8034</v>
      </c>
      <c r="D1158" s="14" t="s">
        <v>8035</v>
      </c>
      <c r="E1158" s="16" t="s">
        <v>8036</v>
      </c>
      <c r="F1158" s="16"/>
      <c r="G1158" s="23" t="s">
        <v>43</v>
      </c>
      <c r="H1158" s="18" t="n">
        <v>2</v>
      </c>
      <c r="I1158" s="20" t="n">
        <v>59.39</v>
      </c>
      <c r="J1158" s="20" t="n">
        <v>98.85</v>
      </c>
      <c r="K1158" s="18" t="n">
        <v>6</v>
      </c>
      <c r="L1158" s="18" t="n">
        <v>3</v>
      </c>
      <c r="M1158" s="18" t="n">
        <v>124</v>
      </c>
      <c r="N1158" s="18" t="n">
        <v>19</v>
      </c>
      <c r="O1158" s="14" t="s">
        <v>4223</v>
      </c>
      <c r="P1158" s="14" t="s">
        <v>1288</v>
      </c>
      <c r="Q1158" s="15" t="s">
        <v>1089</v>
      </c>
      <c r="R1158" s="16" t="s">
        <v>8037</v>
      </c>
      <c r="S1158" s="15" t="s">
        <v>8038</v>
      </c>
      <c r="T1158" s="15" t="s">
        <v>8038</v>
      </c>
      <c r="U1158" s="21" t="s">
        <v>72</v>
      </c>
    </row>
    <row r="1159" customFormat="false" ht="26.85" hidden="false" customHeight="false" outlineLevel="0" collapsed="false">
      <c r="A1159" s="15" t="s">
        <v>850</v>
      </c>
      <c r="B1159" s="15" t="s">
        <v>7931</v>
      </c>
      <c r="C1159" s="14" t="s">
        <v>8039</v>
      </c>
      <c r="D1159" s="14" t="s">
        <v>8040</v>
      </c>
      <c r="E1159" s="16" t="s">
        <v>8041</v>
      </c>
      <c r="F1159" s="16" t="s">
        <v>8042</v>
      </c>
      <c r="G1159" s="23" t="s">
        <v>43</v>
      </c>
      <c r="H1159" s="18" t="n">
        <v>2</v>
      </c>
      <c r="I1159" s="20" t="n">
        <v>80.58</v>
      </c>
      <c r="J1159" s="20" t="n">
        <v>130.34</v>
      </c>
      <c r="K1159" s="18" t="n">
        <v>4</v>
      </c>
      <c r="L1159" s="18" t="n">
        <v>7</v>
      </c>
      <c r="M1159" s="18" t="n">
        <v>180</v>
      </c>
      <c r="N1159" s="18" t="n">
        <v>180</v>
      </c>
      <c r="O1159" s="14" t="s">
        <v>8043</v>
      </c>
      <c r="P1159" s="14" t="s">
        <v>118</v>
      </c>
      <c r="Q1159" s="15" t="s">
        <v>1089</v>
      </c>
      <c r="R1159" s="16" t="s">
        <v>8044</v>
      </c>
      <c r="S1159" s="15" t="s">
        <v>8045</v>
      </c>
      <c r="T1159" s="15" t="s">
        <v>8045</v>
      </c>
      <c r="U1159" s="21" t="s">
        <v>72</v>
      </c>
    </row>
    <row r="1160" customFormat="false" ht="26.85" hidden="false" customHeight="false" outlineLevel="0" collapsed="false">
      <c r="A1160" s="15" t="s">
        <v>850</v>
      </c>
      <c r="B1160" s="15" t="s">
        <v>7931</v>
      </c>
      <c r="C1160" s="14" t="s">
        <v>8046</v>
      </c>
      <c r="D1160" s="14" t="s">
        <v>8047</v>
      </c>
      <c r="E1160" s="16" t="s">
        <v>8048</v>
      </c>
      <c r="F1160" s="16" t="s">
        <v>8049</v>
      </c>
      <c r="G1160" s="23" t="s">
        <v>43</v>
      </c>
      <c r="H1160" s="18" t="n">
        <v>1</v>
      </c>
      <c r="I1160" s="20" t="n">
        <v>30.175</v>
      </c>
      <c r="J1160" s="20" t="n">
        <v>103.5</v>
      </c>
      <c r="K1160" s="18" t="n">
        <v>4</v>
      </c>
      <c r="L1160" s="18" t="n">
        <v>2</v>
      </c>
      <c r="M1160" s="18" t="n">
        <v>100</v>
      </c>
      <c r="N1160" s="18" t="n">
        <v>25</v>
      </c>
      <c r="O1160" s="14" t="s">
        <v>8050</v>
      </c>
      <c r="P1160" s="14" t="s">
        <v>906</v>
      </c>
      <c r="Q1160" s="15" t="s">
        <v>1089</v>
      </c>
      <c r="R1160" s="16" t="s">
        <v>4769</v>
      </c>
      <c r="S1160" s="15" t="s">
        <v>8051</v>
      </c>
      <c r="T1160" s="15" t="s">
        <v>8052</v>
      </c>
      <c r="U1160" s="21" t="s">
        <v>72</v>
      </c>
    </row>
    <row r="1161" customFormat="false" ht="15" hidden="false" customHeight="false" outlineLevel="0" collapsed="false">
      <c r="A1161" s="15" t="s">
        <v>850</v>
      </c>
      <c r="B1161" s="15" t="s">
        <v>7931</v>
      </c>
      <c r="C1161" s="14" t="s">
        <v>8053</v>
      </c>
      <c r="D1161" s="14" t="s">
        <v>8054</v>
      </c>
      <c r="E1161" s="16" t="s">
        <v>8055</v>
      </c>
      <c r="F1161" s="16" t="s">
        <v>8056</v>
      </c>
      <c r="G1161" s="23" t="s">
        <v>43</v>
      </c>
      <c r="H1161" s="18" t="n">
        <v>4</v>
      </c>
      <c r="I1161" s="20" t="n">
        <v>69.93</v>
      </c>
      <c r="J1161" s="20" t="n">
        <v>176.17</v>
      </c>
      <c r="K1161" s="18" t="n">
        <v>6</v>
      </c>
      <c r="L1161" s="18" t="n">
        <v>6</v>
      </c>
      <c r="M1161" s="18" t="n">
        <v>80</v>
      </c>
      <c r="N1161" s="18" t="n">
        <v>40</v>
      </c>
      <c r="O1161" s="14" t="s">
        <v>4223</v>
      </c>
      <c r="P1161" s="14" t="s">
        <v>118</v>
      </c>
      <c r="Q1161" s="15" t="s">
        <v>1089</v>
      </c>
      <c r="R1161" s="16" t="s">
        <v>8057</v>
      </c>
      <c r="S1161" s="15" t="s">
        <v>8058</v>
      </c>
      <c r="T1161" s="15" t="s">
        <v>8059</v>
      </c>
      <c r="U1161" s="21" t="s">
        <v>72</v>
      </c>
    </row>
    <row r="1162" customFormat="false" ht="15" hidden="false" customHeight="false" outlineLevel="0" collapsed="false">
      <c r="A1162" s="15" t="s">
        <v>850</v>
      </c>
      <c r="B1162" s="15" t="s">
        <v>7931</v>
      </c>
      <c r="C1162" s="14" t="s">
        <v>8060</v>
      </c>
      <c r="D1162" s="14" t="s">
        <v>8061</v>
      </c>
      <c r="E1162" s="16" t="s">
        <v>8062</v>
      </c>
      <c r="F1162" s="16"/>
      <c r="G1162" s="23" t="s">
        <v>43</v>
      </c>
      <c r="H1162" s="18" t="n">
        <v>1</v>
      </c>
      <c r="I1162" s="20" t="n">
        <v>68.56</v>
      </c>
      <c r="J1162" s="20" t="n">
        <v>123.88</v>
      </c>
      <c r="K1162" s="18" t="n">
        <v>4</v>
      </c>
      <c r="L1162" s="18" t="n">
        <v>7</v>
      </c>
      <c r="M1162" s="18" t="n">
        <v>228</v>
      </c>
      <c r="N1162" s="18" t="n">
        <v>57</v>
      </c>
      <c r="O1162" s="14" t="s">
        <v>4215</v>
      </c>
      <c r="P1162" s="14" t="s">
        <v>118</v>
      </c>
      <c r="Q1162" s="15" t="s">
        <v>1089</v>
      </c>
      <c r="R1162" s="16" t="s">
        <v>8063</v>
      </c>
      <c r="S1162" s="15" t="s">
        <v>8064</v>
      </c>
      <c r="T1162" s="15" t="s">
        <v>8064</v>
      </c>
      <c r="U1162" s="21" t="s">
        <v>72</v>
      </c>
    </row>
    <row r="1163" customFormat="false" ht="15" hidden="false" customHeight="false" outlineLevel="0" collapsed="false">
      <c r="A1163" s="15" t="s">
        <v>850</v>
      </c>
      <c r="B1163" s="15" t="s">
        <v>7931</v>
      </c>
      <c r="C1163" s="14" t="s">
        <v>8065</v>
      </c>
      <c r="D1163" s="14" t="s">
        <v>8066</v>
      </c>
      <c r="E1163" s="16" t="s">
        <v>8067</v>
      </c>
      <c r="F1163" s="16" t="s">
        <v>8068</v>
      </c>
      <c r="G1163" s="23" t="s">
        <v>43</v>
      </c>
      <c r="H1163" s="18" t="n">
        <v>2</v>
      </c>
      <c r="I1163" s="20" t="n">
        <v>41.25</v>
      </c>
      <c r="J1163" s="20" t="n">
        <v>109.16</v>
      </c>
      <c r="K1163" s="18" t="n">
        <v>2</v>
      </c>
      <c r="L1163" s="18" t="n">
        <v>1</v>
      </c>
      <c r="M1163" s="18" t="n">
        <v>40</v>
      </c>
      <c r="N1163" s="18" t="n">
        <v>40</v>
      </c>
      <c r="O1163" s="14" t="s">
        <v>4276</v>
      </c>
      <c r="P1163" s="14" t="s">
        <v>84</v>
      </c>
      <c r="Q1163" s="15" t="s">
        <v>1089</v>
      </c>
      <c r="R1163" s="16" t="s">
        <v>8069</v>
      </c>
      <c r="S1163" s="15" t="s">
        <v>8070</v>
      </c>
      <c r="T1163" s="15" t="s">
        <v>8070</v>
      </c>
      <c r="U1163" s="21" t="s">
        <v>72</v>
      </c>
    </row>
    <row r="1164" customFormat="false" ht="15" hidden="false" customHeight="false" outlineLevel="0" collapsed="false">
      <c r="A1164" s="15" t="s">
        <v>850</v>
      </c>
      <c r="B1164" s="15" t="s">
        <v>7931</v>
      </c>
      <c r="C1164" s="14" t="s">
        <v>8071</v>
      </c>
      <c r="D1164" s="14" t="s">
        <v>8072</v>
      </c>
      <c r="E1164" s="16" t="s">
        <v>8073</v>
      </c>
      <c r="F1164" s="16"/>
      <c r="G1164" s="23" t="s">
        <v>43</v>
      </c>
      <c r="H1164" s="18" t="n">
        <v>3</v>
      </c>
      <c r="I1164" s="20" t="n">
        <v>56.98</v>
      </c>
      <c r="J1164" s="20" t="n">
        <v>94.36</v>
      </c>
      <c r="K1164" s="18" t="n">
        <v>3</v>
      </c>
      <c r="L1164" s="18" t="n">
        <v>4</v>
      </c>
      <c r="M1164" s="18" t="n">
        <v>60</v>
      </c>
      <c r="N1164" s="18" t="n">
        <v>60</v>
      </c>
      <c r="O1164" s="14" t="s">
        <v>4276</v>
      </c>
      <c r="P1164" s="14" t="s">
        <v>84</v>
      </c>
      <c r="Q1164" s="15" t="s">
        <v>1089</v>
      </c>
      <c r="R1164" s="16" t="s">
        <v>5607</v>
      </c>
      <c r="S1164" s="15" t="s">
        <v>7942</v>
      </c>
      <c r="T1164" s="15" t="s">
        <v>8074</v>
      </c>
      <c r="U1164" s="21" t="s">
        <v>72</v>
      </c>
    </row>
    <row r="1165" customFormat="false" ht="15" hidden="false" customHeight="false" outlineLevel="0" collapsed="false">
      <c r="A1165" s="15" t="s">
        <v>850</v>
      </c>
      <c r="B1165" s="15" t="s">
        <v>7931</v>
      </c>
      <c r="C1165" s="14" t="s">
        <v>8075</v>
      </c>
      <c r="D1165" s="14" t="s">
        <v>8076</v>
      </c>
      <c r="E1165" s="16" t="s">
        <v>8077</v>
      </c>
      <c r="F1165" s="16"/>
      <c r="G1165" s="23" t="s">
        <v>43</v>
      </c>
      <c r="H1165" s="18" t="n">
        <v>4</v>
      </c>
      <c r="I1165" s="20" t="n">
        <v>98.266</v>
      </c>
      <c r="J1165" s="20" t="n">
        <v>170.485</v>
      </c>
      <c r="K1165" s="18" t="n">
        <v>4</v>
      </c>
      <c r="L1165" s="18" t="n">
        <v>5</v>
      </c>
      <c r="M1165" s="18" t="n">
        <v>92</v>
      </c>
      <c r="N1165" s="18" t="n">
        <v>92</v>
      </c>
      <c r="O1165" s="14" t="s">
        <v>8078</v>
      </c>
      <c r="P1165" s="14" t="s">
        <v>118</v>
      </c>
      <c r="Q1165" s="15" t="s">
        <v>1089</v>
      </c>
      <c r="R1165" s="16" t="s">
        <v>8079</v>
      </c>
      <c r="S1165" s="15" t="s">
        <v>7686</v>
      </c>
      <c r="T1165" s="15" t="s">
        <v>8080</v>
      </c>
      <c r="U1165" s="21" t="s">
        <v>72</v>
      </c>
    </row>
    <row r="1166" customFormat="false" ht="15" hidden="false" customHeight="false" outlineLevel="0" collapsed="false">
      <c r="A1166" s="15" t="s">
        <v>850</v>
      </c>
      <c r="B1166" s="15" t="s">
        <v>7931</v>
      </c>
      <c r="C1166" s="14" t="s">
        <v>8081</v>
      </c>
      <c r="D1166" s="14" t="s">
        <v>8082</v>
      </c>
      <c r="E1166" s="16" t="s">
        <v>8083</v>
      </c>
      <c r="F1166" s="16"/>
      <c r="G1166" s="23" t="s">
        <v>43</v>
      </c>
      <c r="H1166" s="18" t="n">
        <v>2</v>
      </c>
      <c r="I1166" s="20" t="n">
        <v>33.09</v>
      </c>
      <c r="J1166" s="20" t="n">
        <v>94.34</v>
      </c>
      <c r="K1166" s="18" t="n">
        <v>2</v>
      </c>
      <c r="L1166" s="18" t="n">
        <v>2</v>
      </c>
      <c r="M1166" s="18" t="n">
        <v>32</v>
      </c>
      <c r="N1166" s="18" t="n">
        <v>32</v>
      </c>
      <c r="O1166" s="14" t="s">
        <v>4223</v>
      </c>
      <c r="P1166" s="14" t="s">
        <v>84</v>
      </c>
      <c r="Q1166" s="15" t="s">
        <v>1089</v>
      </c>
      <c r="R1166" s="16" t="s">
        <v>8084</v>
      </c>
      <c r="S1166" s="15" t="s">
        <v>8085</v>
      </c>
      <c r="T1166" s="15" t="s">
        <v>8086</v>
      </c>
      <c r="U1166" s="21" t="s">
        <v>72</v>
      </c>
    </row>
    <row r="1167" customFormat="false" ht="26.85" hidden="false" customHeight="false" outlineLevel="0" collapsed="false">
      <c r="A1167" s="15" t="s">
        <v>850</v>
      </c>
      <c r="B1167" s="15" t="s">
        <v>7931</v>
      </c>
      <c r="C1167" s="14" t="s">
        <v>8087</v>
      </c>
      <c r="D1167" s="14" t="s">
        <v>8088</v>
      </c>
      <c r="E1167" s="16" t="s">
        <v>8089</v>
      </c>
      <c r="F1167" s="16" t="s">
        <v>8090</v>
      </c>
      <c r="G1167" s="19" t="s">
        <v>41</v>
      </c>
      <c r="H1167" s="18" t="n">
        <v>6</v>
      </c>
      <c r="I1167" s="20" t="n">
        <v>80.17</v>
      </c>
      <c r="J1167" s="20" t="n">
        <v>159.77</v>
      </c>
      <c r="K1167" s="18" t="n">
        <v>6</v>
      </c>
      <c r="L1167" s="18" t="n">
        <v>5</v>
      </c>
      <c r="M1167" s="18" t="n">
        <v>76</v>
      </c>
      <c r="N1167" s="18" t="n">
        <v>22</v>
      </c>
      <c r="O1167" s="14" t="s">
        <v>1088</v>
      </c>
      <c r="P1167" s="14" t="s">
        <v>906</v>
      </c>
      <c r="Q1167" s="15" t="s">
        <v>1089</v>
      </c>
      <c r="R1167" s="16" t="s">
        <v>8091</v>
      </c>
      <c r="S1167" s="15" t="s">
        <v>8092</v>
      </c>
      <c r="T1167" s="15" t="s">
        <v>8093</v>
      </c>
      <c r="U1167" s="21" t="s">
        <v>72</v>
      </c>
    </row>
    <row r="1168" customFormat="false" ht="15" hidden="false" customHeight="false" outlineLevel="0" collapsed="false">
      <c r="A1168" s="15" t="s">
        <v>850</v>
      </c>
      <c r="B1168" s="15" t="s">
        <v>7931</v>
      </c>
      <c r="C1168" s="14" t="s">
        <v>8094</v>
      </c>
      <c r="D1168" s="14" t="s">
        <v>8095</v>
      </c>
      <c r="E1168" s="16" t="s">
        <v>8096</v>
      </c>
      <c r="F1168" s="16"/>
      <c r="G1168" s="19" t="s">
        <v>41</v>
      </c>
      <c r="H1168" s="18" t="n">
        <v>5</v>
      </c>
      <c r="I1168" s="20" t="n">
        <v>84.44</v>
      </c>
      <c r="J1168" s="20" t="n">
        <v>248.7</v>
      </c>
      <c r="K1168" s="18" t="n">
        <v>4</v>
      </c>
      <c r="L1168" s="18" t="n">
        <v>1</v>
      </c>
      <c r="M1168" s="18" t="n">
        <v>56</v>
      </c>
      <c r="N1168" s="18" t="n">
        <v>56</v>
      </c>
      <c r="O1168" s="14" t="s">
        <v>5503</v>
      </c>
      <c r="P1168" s="14" t="s">
        <v>118</v>
      </c>
      <c r="Q1168" s="15" t="s">
        <v>1089</v>
      </c>
      <c r="R1168" s="16" t="s">
        <v>2986</v>
      </c>
      <c r="S1168" s="15" t="s">
        <v>8097</v>
      </c>
      <c r="T1168" s="15" t="s">
        <v>8098</v>
      </c>
      <c r="U1168" s="21" t="s">
        <v>72</v>
      </c>
    </row>
    <row r="1169" customFormat="false" ht="15" hidden="false" customHeight="false" outlineLevel="0" collapsed="false">
      <c r="A1169" s="15" t="s">
        <v>850</v>
      </c>
      <c r="B1169" s="15" t="s">
        <v>7931</v>
      </c>
      <c r="C1169" s="14" t="s">
        <v>8099</v>
      </c>
      <c r="D1169" s="14" t="s">
        <v>8100</v>
      </c>
      <c r="E1169" s="16" t="s">
        <v>8101</v>
      </c>
      <c r="F1169" s="16" t="s">
        <v>8102</v>
      </c>
      <c r="G1169" s="23" t="s">
        <v>43</v>
      </c>
      <c r="H1169" s="18" t="n">
        <v>3</v>
      </c>
      <c r="I1169" s="20" t="n">
        <v>57.25</v>
      </c>
      <c r="J1169" s="20" t="n">
        <v>118.99</v>
      </c>
      <c r="K1169" s="18" t="n">
        <v>2</v>
      </c>
      <c r="L1169" s="18" t="n">
        <v>1</v>
      </c>
      <c r="M1169" s="18" t="n">
        <v>32</v>
      </c>
      <c r="N1169" s="18" t="n">
        <v>32</v>
      </c>
      <c r="O1169" s="14" t="s">
        <v>4983</v>
      </c>
      <c r="P1169" s="14" t="s">
        <v>84</v>
      </c>
      <c r="Q1169" s="15" t="s">
        <v>1089</v>
      </c>
      <c r="R1169" s="16" t="s">
        <v>8103</v>
      </c>
      <c r="S1169" s="15" t="s">
        <v>8104</v>
      </c>
      <c r="T1169" s="15" t="s">
        <v>8104</v>
      </c>
      <c r="U1169" s="21" t="s">
        <v>72</v>
      </c>
    </row>
    <row r="1170" customFormat="false" ht="15" hidden="false" customHeight="false" outlineLevel="0" collapsed="false">
      <c r="A1170" s="15" t="s">
        <v>850</v>
      </c>
      <c r="B1170" s="15" t="s">
        <v>7931</v>
      </c>
      <c r="C1170" s="14" t="s">
        <v>8105</v>
      </c>
      <c r="D1170" s="14" t="s">
        <v>8106</v>
      </c>
      <c r="E1170" s="16" t="s">
        <v>8077</v>
      </c>
      <c r="F1170" s="16" t="s">
        <v>8107</v>
      </c>
      <c r="G1170" s="23" t="s">
        <v>43</v>
      </c>
      <c r="H1170" s="18" t="n">
        <v>2</v>
      </c>
      <c r="I1170" s="20" t="n">
        <v>33</v>
      </c>
      <c r="J1170" s="20" t="n">
        <v>104.86</v>
      </c>
      <c r="K1170" s="18" t="n">
        <v>2</v>
      </c>
      <c r="L1170" s="18" t="n">
        <v>5</v>
      </c>
      <c r="M1170" s="18" t="n">
        <v>27</v>
      </c>
      <c r="N1170" s="18" t="n">
        <v>27</v>
      </c>
      <c r="O1170" s="14" t="s">
        <v>8108</v>
      </c>
      <c r="P1170" s="14" t="s">
        <v>118</v>
      </c>
      <c r="Q1170" s="15" t="s">
        <v>1089</v>
      </c>
      <c r="R1170" s="16" t="s">
        <v>6120</v>
      </c>
      <c r="S1170" s="15" t="s">
        <v>8109</v>
      </c>
      <c r="T1170" s="15" t="s">
        <v>8109</v>
      </c>
      <c r="U1170" s="21" t="s">
        <v>72</v>
      </c>
    </row>
    <row r="1171" customFormat="false" ht="15" hidden="false" customHeight="false" outlineLevel="0" collapsed="false">
      <c r="A1171" s="15" t="s">
        <v>850</v>
      </c>
      <c r="B1171" s="15" t="s">
        <v>7931</v>
      </c>
      <c r="C1171" s="14" t="s">
        <v>8110</v>
      </c>
      <c r="D1171" s="14" t="s">
        <v>8111</v>
      </c>
      <c r="E1171" s="16" t="s">
        <v>8112</v>
      </c>
      <c r="F1171" s="16"/>
      <c r="G1171" s="19" t="s">
        <v>41</v>
      </c>
      <c r="H1171" s="18" t="n">
        <v>5</v>
      </c>
      <c r="I1171" s="20" t="n">
        <v>71.61</v>
      </c>
      <c r="J1171" s="20" t="n">
        <v>165.45</v>
      </c>
      <c r="K1171" s="18" t="n">
        <v>10</v>
      </c>
      <c r="L1171" s="18" t="n">
        <v>3</v>
      </c>
      <c r="M1171" s="18" t="n">
        <v>220</v>
      </c>
      <c r="N1171" s="18" t="n">
        <v>40</v>
      </c>
      <c r="O1171" s="14" t="s">
        <v>4385</v>
      </c>
      <c r="P1171" s="14" t="s">
        <v>118</v>
      </c>
      <c r="Q1171" s="15" t="s">
        <v>1089</v>
      </c>
      <c r="R1171" s="16" t="s">
        <v>8113</v>
      </c>
      <c r="S1171" s="15" t="s">
        <v>8114</v>
      </c>
      <c r="T1171" s="15" t="s">
        <v>8115</v>
      </c>
      <c r="U1171" s="21" t="s">
        <v>72</v>
      </c>
    </row>
    <row r="1172" customFormat="false" ht="15" hidden="false" customHeight="false" outlineLevel="0" collapsed="false">
      <c r="A1172" s="15" t="s">
        <v>850</v>
      </c>
      <c r="B1172" s="15" t="s">
        <v>7931</v>
      </c>
      <c r="C1172" s="14" t="s">
        <v>8116</v>
      </c>
      <c r="D1172" s="14" t="s">
        <v>8117</v>
      </c>
      <c r="E1172" s="16" t="s">
        <v>8118</v>
      </c>
      <c r="F1172" s="16"/>
      <c r="G1172" s="23" t="s">
        <v>43</v>
      </c>
      <c r="H1172" s="18" t="n">
        <v>4</v>
      </c>
      <c r="I1172" s="20" t="n">
        <v>96.56</v>
      </c>
      <c r="J1172" s="20" t="n">
        <v>140.63</v>
      </c>
      <c r="K1172" s="18" t="n">
        <v>10</v>
      </c>
      <c r="L1172" s="18" t="n">
        <v>5</v>
      </c>
      <c r="M1172" s="18" t="n">
        <v>300</v>
      </c>
      <c r="N1172" s="18" t="n">
        <v>300</v>
      </c>
      <c r="O1172" s="14" t="s">
        <v>4215</v>
      </c>
      <c r="P1172" s="14" t="s">
        <v>118</v>
      </c>
      <c r="Q1172" s="15" t="s">
        <v>1089</v>
      </c>
      <c r="R1172" s="16" t="s">
        <v>7634</v>
      </c>
      <c r="S1172" s="15" t="s">
        <v>8119</v>
      </c>
      <c r="T1172" s="15" t="s">
        <v>8120</v>
      </c>
      <c r="U1172" s="21" t="s">
        <v>72</v>
      </c>
    </row>
    <row r="1173" customFormat="false" ht="15" hidden="false" customHeight="false" outlineLevel="0" collapsed="false">
      <c r="A1173" s="15" t="s">
        <v>850</v>
      </c>
      <c r="B1173" s="15" t="s">
        <v>7931</v>
      </c>
      <c r="C1173" s="14" t="s">
        <v>8121</v>
      </c>
      <c r="D1173" s="14" t="s">
        <v>8122</v>
      </c>
      <c r="E1173" s="16" t="s">
        <v>8123</v>
      </c>
      <c r="F1173" s="16" t="s">
        <v>8124</v>
      </c>
      <c r="G1173" s="23" t="s">
        <v>43</v>
      </c>
      <c r="H1173" s="18" t="n">
        <v>3</v>
      </c>
      <c r="I1173" s="20" t="n">
        <v>34.71</v>
      </c>
      <c r="J1173" s="20" t="n">
        <v>106.7</v>
      </c>
      <c r="K1173" s="18" t="n">
        <v>2</v>
      </c>
      <c r="L1173" s="18" t="n">
        <v>1</v>
      </c>
      <c r="M1173" s="18" t="n">
        <v>54</v>
      </c>
      <c r="N1173" s="18" t="n">
        <v>27</v>
      </c>
      <c r="O1173" s="14" t="s">
        <v>4223</v>
      </c>
      <c r="P1173" s="14" t="s">
        <v>118</v>
      </c>
      <c r="Q1173" s="15" t="s">
        <v>1089</v>
      </c>
      <c r="R1173" s="16" t="s">
        <v>8125</v>
      </c>
      <c r="S1173" s="15" t="s">
        <v>8126</v>
      </c>
      <c r="T1173" s="15" t="s">
        <v>8126</v>
      </c>
      <c r="U1173" s="21" t="s">
        <v>72</v>
      </c>
    </row>
    <row r="1174" customFormat="false" ht="64.9" hidden="false" customHeight="false" outlineLevel="0" collapsed="false">
      <c r="A1174" s="15" t="s">
        <v>850</v>
      </c>
      <c r="B1174" s="15" t="s">
        <v>8127</v>
      </c>
      <c r="C1174" s="14" t="s">
        <v>8128</v>
      </c>
      <c r="D1174" s="14" t="s">
        <v>8129</v>
      </c>
      <c r="E1174" s="16" t="s">
        <v>8130</v>
      </c>
      <c r="F1174" s="16" t="s">
        <v>8131</v>
      </c>
      <c r="G1174" s="25" t="s">
        <v>39</v>
      </c>
      <c r="H1174" s="18" t="n">
        <v>8</v>
      </c>
      <c r="I1174" s="20" t="n">
        <v>480</v>
      </c>
      <c r="J1174" s="20" t="n">
        <v>615.42</v>
      </c>
      <c r="K1174" s="18" t="n">
        <v>238</v>
      </c>
      <c r="L1174" s="18" t="n">
        <v>141</v>
      </c>
      <c r="M1174" s="18" t="n">
        <v>4760</v>
      </c>
      <c r="N1174" s="18" t="n">
        <v>240</v>
      </c>
      <c r="O1174" s="14" t="s">
        <v>4446</v>
      </c>
      <c r="P1174" s="14" t="s">
        <v>7935</v>
      </c>
      <c r="Q1174" s="15" t="s">
        <v>1089</v>
      </c>
      <c r="R1174" s="16" t="s">
        <v>8132</v>
      </c>
      <c r="S1174" s="15" t="s">
        <v>2538</v>
      </c>
      <c r="T1174" s="15" t="s">
        <v>8133</v>
      </c>
      <c r="U1174" s="21" t="s">
        <v>72</v>
      </c>
    </row>
    <row r="1175" customFormat="false" ht="26.85" hidden="false" customHeight="false" outlineLevel="0" collapsed="false">
      <c r="A1175" s="15" t="s">
        <v>850</v>
      </c>
      <c r="B1175" s="15" t="s">
        <v>8127</v>
      </c>
      <c r="C1175" s="14" t="s">
        <v>8134</v>
      </c>
      <c r="D1175" s="14" t="s">
        <v>8135</v>
      </c>
      <c r="E1175" s="16" t="s">
        <v>8136</v>
      </c>
      <c r="F1175" s="16"/>
      <c r="G1175" s="25" t="s">
        <v>39</v>
      </c>
      <c r="H1175" s="18" t="n">
        <v>8</v>
      </c>
      <c r="I1175" s="20" t="n">
        <v>30</v>
      </c>
      <c r="J1175" s="20" t="n">
        <v>330.14</v>
      </c>
      <c r="K1175" s="18" t="n">
        <v>8</v>
      </c>
      <c r="L1175" s="18" t="n">
        <v>1</v>
      </c>
      <c r="M1175" s="18" t="n">
        <v>192</v>
      </c>
      <c r="N1175" s="18" t="n">
        <v>72</v>
      </c>
      <c r="O1175" s="14" t="s">
        <v>4215</v>
      </c>
      <c r="P1175" s="14" t="s">
        <v>118</v>
      </c>
      <c r="Q1175" s="15" t="s">
        <v>1089</v>
      </c>
      <c r="R1175" s="16" t="s">
        <v>8137</v>
      </c>
      <c r="S1175" s="15" t="s">
        <v>8138</v>
      </c>
      <c r="T1175" s="15" t="s">
        <v>8139</v>
      </c>
      <c r="U1175" s="21" t="s">
        <v>72</v>
      </c>
    </row>
    <row r="1176" customFormat="false" ht="26.85" hidden="false" customHeight="false" outlineLevel="0" collapsed="false">
      <c r="A1176" s="15" t="s">
        <v>850</v>
      </c>
      <c r="B1176" s="15" t="s">
        <v>8127</v>
      </c>
      <c r="C1176" s="14" t="s">
        <v>8140</v>
      </c>
      <c r="D1176" s="14" t="s">
        <v>8141</v>
      </c>
      <c r="E1176" s="16" t="s">
        <v>8142</v>
      </c>
      <c r="F1176" s="16" t="s">
        <v>8143</v>
      </c>
      <c r="G1176" s="23" t="s">
        <v>43</v>
      </c>
      <c r="H1176" s="18" t="n">
        <v>2</v>
      </c>
      <c r="I1176" s="20" t="n">
        <v>45.94</v>
      </c>
      <c r="J1176" s="20" t="n">
        <v>102.31</v>
      </c>
      <c r="K1176" s="18" t="n">
        <v>4</v>
      </c>
      <c r="L1176" s="18" t="n">
        <v>7</v>
      </c>
      <c r="M1176" s="18" t="n">
        <v>76</v>
      </c>
      <c r="N1176" s="18" t="n">
        <v>76</v>
      </c>
      <c r="O1176" s="14" t="s">
        <v>8144</v>
      </c>
      <c r="P1176" s="14" t="s">
        <v>84</v>
      </c>
      <c r="Q1176" s="15" t="s">
        <v>1089</v>
      </c>
      <c r="R1176" s="16" t="s">
        <v>8145</v>
      </c>
      <c r="S1176" s="15" t="s">
        <v>8146</v>
      </c>
      <c r="T1176" s="15" t="s">
        <v>8146</v>
      </c>
      <c r="U1176" s="21" t="s">
        <v>72</v>
      </c>
    </row>
    <row r="1177" customFormat="false" ht="15" hidden="false" customHeight="false" outlineLevel="0" collapsed="false">
      <c r="A1177" s="15" t="s">
        <v>850</v>
      </c>
      <c r="B1177" s="15" t="s">
        <v>8127</v>
      </c>
      <c r="C1177" s="14" t="s">
        <v>8147</v>
      </c>
      <c r="D1177" s="14" t="s">
        <v>8148</v>
      </c>
      <c r="E1177" s="16" t="s">
        <v>8149</v>
      </c>
      <c r="F1177" s="16" t="s">
        <v>8150</v>
      </c>
      <c r="G1177" s="23" t="s">
        <v>43</v>
      </c>
      <c r="H1177" s="18" t="n">
        <v>3</v>
      </c>
      <c r="I1177" s="20" t="n">
        <v>47.1</v>
      </c>
      <c r="J1177" s="20" t="n">
        <v>93.93</v>
      </c>
      <c r="K1177" s="18" t="n">
        <v>12</v>
      </c>
      <c r="L1177" s="18" t="n">
        <v>5</v>
      </c>
      <c r="M1177" s="18" t="n">
        <v>270</v>
      </c>
      <c r="N1177" s="18" t="n">
        <v>80</v>
      </c>
      <c r="O1177" s="14" t="s">
        <v>1126</v>
      </c>
      <c r="P1177" s="14" t="s">
        <v>118</v>
      </c>
      <c r="Q1177" s="15" t="s">
        <v>1089</v>
      </c>
      <c r="R1177" s="16" t="s">
        <v>8151</v>
      </c>
      <c r="S1177" s="15" t="s">
        <v>8152</v>
      </c>
      <c r="T1177" s="15" t="s">
        <v>8152</v>
      </c>
      <c r="U1177" s="21" t="s">
        <v>72</v>
      </c>
    </row>
    <row r="1178" customFormat="false" ht="26.85" hidden="false" customHeight="false" outlineLevel="0" collapsed="false">
      <c r="A1178" s="15" t="s">
        <v>850</v>
      </c>
      <c r="B1178" s="15" t="s">
        <v>8127</v>
      </c>
      <c r="C1178" s="14" t="s">
        <v>8153</v>
      </c>
      <c r="D1178" s="14" t="s">
        <v>8154</v>
      </c>
      <c r="E1178" s="16" t="s">
        <v>8155</v>
      </c>
      <c r="F1178" s="16"/>
      <c r="G1178" s="19" t="s">
        <v>41</v>
      </c>
      <c r="H1178" s="18" t="n">
        <v>6</v>
      </c>
      <c r="I1178" s="20" t="n">
        <v>84.72</v>
      </c>
      <c r="J1178" s="20" t="n">
        <v>228.21</v>
      </c>
      <c r="K1178" s="18" t="n">
        <v>8</v>
      </c>
      <c r="L1178" s="18" t="n">
        <v>5</v>
      </c>
      <c r="M1178" s="18" t="n">
        <v>120</v>
      </c>
      <c r="N1178" s="18" t="n">
        <v>45</v>
      </c>
      <c r="O1178" s="14" t="s">
        <v>4215</v>
      </c>
      <c r="P1178" s="14" t="s">
        <v>352</v>
      </c>
      <c r="Q1178" s="15" t="s">
        <v>1089</v>
      </c>
      <c r="R1178" s="16" t="s">
        <v>4792</v>
      </c>
      <c r="S1178" s="15" t="s">
        <v>8156</v>
      </c>
      <c r="T1178" s="15" t="s">
        <v>8156</v>
      </c>
      <c r="U1178" s="21" t="s">
        <v>72</v>
      </c>
    </row>
    <row r="1179" customFormat="false" ht="26.85" hidden="false" customHeight="false" outlineLevel="0" collapsed="false">
      <c r="A1179" s="15" t="s">
        <v>850</v>
      </c>
      <c r="B1179" s="15" t="s">
        <v>8127</v>
      </c>
      <c r="C1179" s="14" t="s">
        <v>8157</v>
      </c>
      <c r="D1179" s="14" t="s">
        <v>8158</v>
      </c>
      <c r="E1179" s="16" t="s">
        <v>8159</v>
      </c>
      <c r="F1179" s="16" t="s">
        <v>8160</v>
      </c>
      <c r="G1179" s="19" t="s">
        <v>41</v>
      </c>
      <c r="H1179" s="18" t="n">
        <v>6</v>
      </c>
      <c r="I1179" s="20" t="n">
        <v>129.46</v>
      </c>
      <c r="J1179" s="20" t="n">
        <v>269.71</v>
      </c>
      <c r="K1179" s="18" t="n">
        <v>8</v>
      </c>
      <c r="L1179" s="18" t="n">
        <v>56</v>
      </c>
      <c r="M1179" s="18" t="n">
        <v>480</v>
      </c>
      <c r="N1179" s="18" t="n">
        <v>360</v>
      </c>
      <c r="O1179" s="14" t="s">
        <v>1126</v>
      </c>
      <c r="P1179" s="14" t="s">
        <v>515</v>
      </c>
      <c r="Q1179" s="15" t="s">
        <v>1089</v>
      </c>
      <c r="R1179" s="16" t="s">
        <v>8161</v>
      </c>
      <c r="S1179" s="15" t="s">
        <v>1348</v>
      </c>
      <c r="T1179" s="15" t="s">
        <v>8162</v>
      </c>
      <c r="U1179" s="21" t="s">
        <v>72</v>
      </c>
    </row>
    <row r="1180" customFormat="false" ht="15" hidden="false" customHeight="false" outlineLevel="0" collapsed="false">
      <c r="A1180" s="15" t="s">
        <v>850</v>
      </c>
      <c r="B1180" s="15" t="s">
        <v>8127</v>
      </c>
      <c r="C1180" s="14" t="s">
        <v>8163</v>
      </c>
      <c r="D1180" s="14" t="s">
        <v>8164</v>
      </c>
      <c r="E1180" s="16" t="s">
        <v>8165</v>
      </c>
      <c r="F1180" s="16"/>
      <c r="G1180" s="23" t="s">
        <v>43</v>
      </c>
      <c r="H1180" s="18" t="n">
        <v>4</v>
      </c>
      <c r="I1180" s="20" t="n">
        <v>138.31</v>
      </c>
      <c r="J1180" s="20" t="n">
        <v>198.21</v>
      </c>
      <c r="K1180" s="18" t="n">
        <v>4</v>
      </c>
      <c r="L1180" s="18" t="n">
        <v>5</v>
      </c>
      <c r="M1180" s="18" t="n">
        <v>156</v>
      </c>
      <c r="N1180" s="18" t="n">
        <v>156</v>
      </c>
      <c r="O1180" s="13" t="s">
        <v>8166</v>
      </c>
      <c r="P1180" s="14" t="s">
        <v>118</v>
      </c>
      <c r="Q1180" s="15" t="s">
        <v>1089</v>
      </c>
      <c r="R1180" s="16" t="s">
        <v>4539</v>
      </c>
      <c r="S1180" s="15" t="s">
        <v>8167</v>
      </c>
      <c r="T1180" s="15" t="s">
        <v>8168</v>
      </c>
      <c r="U1180" s="21" t="s">
        <v>72</v>
      </c>
    </row>
    <row r="1181" customFormat="false" ht="15" hidden="false" customHeight="false" outlineLevel="0" collapsed="false">
      <c r="A1181" s="15" t="s">
        <v>850</v>
      </c>
      <c r="B1181" s="15" t="s">
        <v>8127</v>
      </c>
      <c r="C1181" s="14" t="s">
        <v>8169</v>
      </c>
      <c r="D1181" s="14" t="s">
        <v>8170</v>
      </c>
      <c r="E1181" s="16" t="s">
        <v>8171</v>
      </c>
      <c r="F1181" s="16"/>
      <c r="G1181" s="23" t="s">
        <v>43</v>
      </c>
      <c r="H1181" s="18" t="n">
        <v>4</v>
      </c>
      <c r="I1181" s="20" t="n">
        <v>87.8</v>
      </c>
      <c r="J1181" s="20" t="n">
        <v>103.44</v>
      </c>
      <c r="K1181" s="18" t="n">
        <v>8</v>
      </c>
      <c r="L1181" s="18" t="n">
        <v>7</v>
      </c>
      <c r="M1181" s="18" t="n">
        <v>172</v>
      </c>
      <c r="N1181" s="18" t="n">
        <v>108</v>
      </c>
      <c r="O1181" s="14" t="s">
        <v>4215</v>
      </c>
      <c r="P1181" s="14" t="s">
        <v>84</v>
      </c>
      <c r="Q1181" s="15" t="s">
        <v>1089</v>
      </c>
      <c r="R1181" s="16" t="s">
        <v>8172</v>
      </c>
      <c r="S1181" s="15" t="s">
        <v>8173</v>
      </c>
      <c r="T1181" s="15" t="s">
        <v>8173</v>
      </c>
      <c r="U1181" s="21" t="s">
        <v>72</v>
      </c>
    </row>
    <row r="1182" customFormat="false" ht="15" hidden="false" customHeight="false" outlineLevel="0" collapsed="false">
      <c r="A1182" s="15" t="s">
        <v>850</v>
      </c>
      <c r="B1182" s="15" t="s">
        <v>8127</v>
      </c>
      <c r="C1182" s="14" t="s">
        <v>8174</v>
      </c>
      <c r="D1182" s="14" t="s">
        <v>8175</v>
      </c>
      <c r="E1182" s="16" t="s">
        <v>8176</v>
      </c>
      <c r="F1182" s="16"/>
      <c r="G1182" s="23" t="s">
        <v>43</v>
      </c>
      <c r="H1182" s="18" t="n">
        <v>3</v>
      </c>
      <c r="I1182" s="20" t="n">
        <v>73.52</v>
      </c>
      <c r="J1182" s="20" t="n">
        <v>112.53</v>
      </c>
      <c r="K1182" s="18" t="n">
        <v>6</v>
      </c>
      <c r="L1182" s="18" t="n">
        <v>8</v>
      </c>
      <c r="M1182" s="18" t="n">
        <v>180</v>
      </c>
      <c r="N1182" s="18" t="n">
        <v>60</v>
      </c>
      <c r="O1182" s="14" t="s">
        <v>4215</v>
      </c>
      <c r="P1182" s="14" t="s">
        <v>118</v>
      </c>
      <c r="Q1182" s="15" t="s">
        <v>1089</v>
      </c>
      <c r="R1182" s="16" t="s">
        <v>8177</v>
      </c>
      <c r="S1182" s="15" t="s">
        <v>8178</v>
      </c>
      <c r="T1182" s="15" t="s">
        <v>8179</v>
      </c>
      <c r="U1182" s="21" t="s">
        <v>72</v>
      </c>
    </row>
    <row r="1183" customFormat="false" ht="15" hidden="false" customHeight="false" outlineLevel="0" collapsed="false">
      <c r="A1183" s="15" t="s">
        <v>850</v>
      </c>
      <c r="B1183" s="15" t="s">
        <v>8127</v>
      </c>
      <c r="C1183" s="14" t="s">
        <v>8180</v>
      </c>
      <c r="D1183" s="14" t="s">
        <v>8181</v>
      </c>
      <c r="E1183" s="16" t="s">
        <v>8182</v>
      </c>
      <c r="F1183" s="16" t="s">
        <v>8183</v>
      </c>
      <c r="G1183" s="19" t="s">
        <v>41</v>
      </c>
      <c r="H1183" s="18" t="n">
        <v>6</v>
      </c>
      <c r="I1183" s="20" t="n">
        <v>109.96</v>
      </c>
      <c r="J1183" s="20" t="n">
        <v>149.43</v>
      </c>
      <c r="K1183" s="18" t="n">
        <v>17</v>
      </c>
      <c r="L1183" s="18" t="n">
        <v>8</v>
      </c>
      <c r="M1183" s="18" t="n">
        <v>321</v>
      </c>
      <c r="N1183" s="18" t="n">
        <v>111</v>
      </c>
      <c r="O1183" s="14" t="s">
        <v>8184</v>
      </c>
      <c r="P1183" s="14" t="s">
        <v>118</v>
      </c>
      <c r="Q1183" s="15" t="s">
        <v>1089</v>
      </c>
      <c r="R1183" s="16" t="s">
        <v>8185</v>
      </c>
      <c r="S1183" s="15" t="s">
        <v>8186</v>
      </c>
      <c r="T1183" s="15" t="s">
        <v>8186</v>
      </c>
      <c r="U1183" s="21" t="s">
        <v>72</v>
      </c>
    </row>
    <row r="1184" customFormat="false" ht="15" hidden="false" customHeight="false" outlineLevel="0" collapsed="false">
      <c r="A1184" s="15" t="s">
        <v>850</v>
      </c>
      <c r="B1184" s="15" t="s">
        <v>8127</v>
      </c>
      <c r="C1184" s="14" t="s">
        <v>8187</v>
      </c>
      <c r="D1184" s="14" t="s">
        <v>8188</v>
      </c>
      <c r="E1184" s="16" t="s">
        <v>8189</v>
      </c>
      <c r="F1184" s="16"/>
      <c r="G1184" s="23" t="s">
        <v>43</v>
      </c>
      <c r="H1184" s="18" t="n">
        <v>2</v>
      </c>
      <c r="I1184" s="20" t="n">
        <v>32.4</v>
      </c>
      <c r="J1184" s="20" t="n">
        <v>196.62</v>
      </c>
      <c r="K1184" s="18" t="n">
        <v>2</v>
      </c>
      <c r="L1184" s="18" t="n">
        <v>1</v>
      </c>
      <c r="M1184" s="18" t="n">
        <v>26</v>
      </c>
      <c r="N1184" s="18" t="n">
        <v>26</v>
      </c>
      <c r="O1184" s="14" t="s">
        <v>1088</v>
      </c>
      <c r="P1184" s="14" t="s">
        <v>84</v>
      </c>
      <c r="Q1184" s="15" t="s">
        <v>1089</v>
      </c>
      <c r="R1184" s="16" t="s">
        <v>8190</v>
      </c>
      <c r="S1184" s="15" t="s">
        <v>8191</v>
      </c>
      <c r="T1184" s="15" t="s">
        <v>8191</v>
      </c>
      <c r="U1184" s="21" t="s">
        <v>72</v>
      </c>
    </row>
    <row r="1185" customFormat="false" ht="15" hidden="false" customHeight="false" outlineLevel="0" collapsed="false">
      <c r="A1185" s="15" t="s">
        <v>850</v>
      </c>
      <c r="B1185" s="15" t="s">
        <v>8127</v>
      </c>
      <c r="C1185" s="14" t="s">
        <v>8192</v>
      </c>
      <c r="D1185" s="14" t="s">
        <v>8193</v>
      </c>
      <c r="E1185" s="16" t="s">
        <v>8194</v>
      </c>
      <c r="F1185" s="16"/>
      <c r="G1185" s="23" t="s">
        <v>43</v>
      </c>
      <c r="H1185" s="18" t="n">
        <v>2</v>
      </c>
      <c r="I1185" s="20" t="n">
        <v>45.93</v>
      </c>
      <c r="J1185" s="20" t="n">
        <v>101.86</v>
      </c>
      <c r="K1185" s="18" t="n">
        <v>2</v>
      </c>
      <c r="L1185" s="18" t="n">
        <v>2</v>
      </c>
      <c r="M1185" s="18" t="n">
        <v>70</v>
      </c>
      <c r="N1185" s="18" t="n">
        <v>70</v>
      </c>
      <c r="O1185" s="14" t="s">
        <v>1088</v>
      </c>
      <c r="P1185" s="14" t="s">
        <v>84</v>
      </c>
      <c r="Q1185" s="15" t="s">
        <v>1089</v>
      </c>
      <c r="R1185" s="16" t="s">
        <v>8195</v>
      </c>
      <c r="S1185" s="15" t="s">
        <v>8196</v>
      </c>
      <c r="T1185" s="15" t="s">
        <v>8196</v>
      </c>
      <c r="U1185" s="21" t="s">
        <v>72</v>
      </c>
    </row>
    <row r="1186" customFormat="false" ht="26.85" hidden="false" customHeight="false" outlineLevel="0" collapsed="false">
      <c r="A1186" s="15" t="s">
        <v>850</v>
      </c>
      <c r="B1186" s="15" t="s">
        <v>8127</v>
      </c>
      <c r="C1186" s="14" t="s">
        <v>8197</v>
      </c>
      <c r="D1186" s="14" t="s">
        <v>8198</v>
      </c>
      <c r="E1186" s="16" t="s">
        <v>8199</v>
      </c>
      <c r="F1186" s="16"/>
      <c r="G1186" s="19" t="s">
        <v>41</v>
      </c>
      <c r="H1186" s="18" t="n">
        <v>4</v>
      </c>
      <c r="I1186" s="20" t="n">
        <v>91.83</v>
      </c>
      <c r="J1186" s="20" t="n">
        <v>387.44</v>
      </c>
      <c r="K1186" s="18" t="n">
        <v>4</v>
      </c>
      <c r="L1186" s="18" t="n">
        <v>18</v>
      </c>
      <c r="M1186" s="18" t="n">
        <v>150</v>
      </c>
      <c r="N1186" s="18" t="n">
        <v>74</v>
      </c>
      <c r="O1186" s="14" t="s">
        <v>4215</v>
      </c>
      <c r="P1186" s="14" t="s">
        <v>118</v>
      </c>
      <c r="Q1186" s="15" t="s">
        <v>1089</v>
      </c>
      <c r="R1186" s="16" t="s">
        <v>8200</v>
      </c>
      <c r="S1186" s="15" t="s">
        <v>8201</v>
      </c>
      <c r="T1186" s="15" t="s">
        <v>8202</v>
      </c>
      <c r="U1186" s="21" t="s">
        <v>72</v>
      </c>
    </row>
    <row r="1187" customFormat="false" ht="15" hidden="false" customHeight="false" outlineLevel="0" collapsed="false">
      <c r="A1187" s="15" t="s">
        <v>850</v>
      </c>
      <c r="B1187" s="15" t="s">
        <v>8127</v>
      </c>
      <c r="C1187" s="14" t="s">
        <v>8203</v>
      </c>
      <c r="D1187" s="14" t="s">
        <v>8204</v>
      </c>
      <c r="E1187" s="16" t="s">
        <v>8205</v>
      </c>
      <c r="F1187" s="16"/>
      <c r="G1187" s="23" t="s">
        <v>43</v>
      </c>
      <c r="H1187" s="18" t="n">
        <v>3</v>
      </c>
      <c r="I1187" s="20" t="n">
        <v>40.34</v>
      </c>
      <c r="J1187" s="20" t="n">
        <v>144.03</v>
      </c>
      <c r="K1187" s="18" t="n">
        <v>5</v>
      </c>
      <c r="L1187" s="18" t="n">
        <v>8</v>
      </c>
      <c r="M1187" s="18" t="n">
        <v>59</v>
      </c>
      <c r="N1187" s="18" t="n">
        <v>52</v>
      </c>
      <c r="O1187" s="14" t="s">
        <v>8206</v>
      </c>
      <c r="P1187" s="14" t="s">
        <v>1716</v>
      </c>
      <c r="Q1187" s="15" t="s">
        <v>1089</v>
      </c>
      <c r="R1187" s="16" t="s">
        <v>2470</v>
      </c>
      <c r="S1187" s="15" t="s">
        <v>8207</v>
      </c>
      <c r="T1187" s="15" t="s">
        <v>8208</v>
      </c>
      <c r="U1187" s="21" t="s">
        <v>72</v>
      </c>
    </row>
    <row r="1188" customFormat="false" ht="26.85" hidden="false" customHeight="false" outlineLevel="0" collapsed="false">
      <c r="A1188" s="15" t="s">
        <v>850</v>
      </c>
      <c r="B1188" s="15" t="s">
        <v>8127</v>
      </c>
      <c r="C1188" s="14" t="s">
        <v>8209</v>
      </c>
      <c r="D1188" s="14" t="s">
        <v>8210</v>
      </c>
      <c r="E1188" s="16" t="s">
        <v>8211</v>
      </c>
      <c r="F1188" s="16" t="s">
        <v>8212</v>
      </c>
      <c r="G1188" s="25" t="s">
        <v>39</v>
      </c>
      <c r="H1188" s="18" t="n">
        <v>9</v>
      </c>
      <c r="I1188" s="20" t="n">
        <v>256.03</v>
      </c>
      <c r="J1188" s="20" t="n">
        <v>481.71</v>
      </c>
      <c r="K1188" s="18" t="n">
        <v>8</v>
      </c>
      <c r="L1188" s="18" t="n">
        <v>16</v>
      </c>
      <c r="M1188" s="18" t="n">
        <v>240</v>
      </c>
      <c r="N1188" s="18" t="n">
        <v>180</v>
      </c>
      <c r="O1188" s="14" t="s">
        <v>8213</v>
      </c>
      <c r="P1188" s="14" t="s">
        <v>118</v>
      </c>
      <c r="Q1188" s="15" t="s">
        <v>1089</v>
      </c>
      <c r="R1188" s="16" t="s">
        <v>4539</v>
      </c>
      <c r="S1188" s="15" t="s">
        <v>8214</v>
      </c>
      <c r="T1188" s="15" t="s">
        <v>8214</v>
      </c>
      <c r="U1188" s="21" t="s">
        <v>72</v>
      </c>
    </row>
    <row r="1189" customFormat="false" ht="15" hidden="false" customHeight="false" outlineLevel="0" collapsed="false">
      <c r="A1189" s="15" t="s">
        <v>850</v>
      </c>
      <c r="B1189" s="15" t="s">
        <v>8127</v>
      </c>
      <c r="C1189" s="14" t="s">
        <v>8215</v>
      </c>
      <c r="D1189" s="14" t="s">
        <v>8216</v>
      </c>
      <c r="E1189" s="16" t="s">
        <v>8217</v>
      </c>
      <c r="F1189" s="16" t="s">
        <v>8218</v>
      </c>
      <c r="G1189" s="23" t="s">
        <v>43</v>
      </c>
      <c r="H1189" s="18" t="n">
        <v>3</v>
      </c>
      <c r="I1189" s="20" t="n">
        <v>52.38</v>
      </c>
      <c r="J1189" s="20" t="n">
        <v>95.84</v>
      </c>
      <c r="K1189" s="18" t="n">
        <v>3</v>
      </c>
      <c r="L1189" s="18" t="n">
        <v>4</v>
      </c>
      <c r="M1189" s="18" t="n">
        <v>42</v>
      </c>
      <c r="N1189" s="18" t="n">
        <v>42</v>
      </c>
      <c r="O1189" s="14" t="s">
        <v>4276</v>
      </c>
      <c r="P1189" s="14" t="s">
        <v>84</v>
      </c>
      <c r="Q1189" s="15" t="s">
        <v>1089</v>
      </c>
      <c r="R1189" s="16" t="s">
        <v>8219</v>
      </c>
      <c r="S1189" s="15" t="s">
        <v>8220</v>
      </c>
      <c r="T1189" s="15" t="s">
        <v>8220</v>
      </c>
      <c r="U1189" s="21" t="s">
        <v>72</v>
      </c>
    </row>
    <row r="1190" customFormat="false" ht="15" hidden="false" customHeight="false" outlineLevel="0" collapsed="false">
      <c r="A1190" s="15" t="s">
        <v>850</v>
      </c>
      <c r="B1190" s="15" t="s">
        <v>8127</v>
      </c>
      <c r="C1190" s="14" t="s">
        <v>8221</v>
      </c>
      <c r="D1190" s="14" t="s">
        <v>8222</v>
      </c>
      <c r="E1190" s="16" t="s">
        <v>8223</v>
      </c>
      <c r="F1190" s="16"/>
      <c r="G1190" s="19" t="s">
        <v>41</v>
      </c>
      <c r="H1190" s="18" t="n">
        <v>4</v>
      </c>
      <c r="I1190" s="20" t="n">
        <v>30</v>
      </c>
      <c r="J1190" s="20" t="n">
        <v>203.1</v>
      </c>
      <c r="K1190" s="18" t="n">
        <v>4</v>
      </c>
      <c r="L1190" s="18" t="n">
        <v>1</v>
      </c>
      <c r="M1190" s="18" t="n">
        <v>96</v>
      </c>
      <c r="N1190" s="18" t="n">
        <v>96</v>
      </c>
      <c r="O1190" s="14" t="s">
        <v>1088</v>
      </c>
      <c r="P1190" s="14" t="s">
        <v>84</v>
      </c>
      <c r="Q1190" s="15" t="s">
        <v>1089</v>
      </c>
      <c r="R1190" s="16" t="s">
        <v>8224</v>
      </c>
      <c r="S1190" s="15" t="s">
        <v>8225</v>
      </c>
      <c r="T1190" s="15" t="s">
        <v>8225</v>
      </c>
      <c r="U1190" s="21" t="s">
        <v>72</v>
      </c>
    </row>
    <row r="1191" customFormat="false" ht="15" hidden="false" customHeight="false" outlineLevel="0" collapsed="false">
      <c r="A1191" s="15" t="s">
        <v>850</v>
      </c>
      <c r="B1191" s="15" t="s">
        <v>8127</v>
      </c>
      <c r="C1191" s="14" t="s">
        <v>8226</v>
      </c>
      <c r="D1191" s="14" t="s">
        <v>8227</v>
      </c>
      <c r="E1191" s="16" t="s">
        <v>8228</v>
      </c>
      <c r="F1191" s="16"/>
      <c r="G1191" s="19" t="s">
        <v>41</v>
      </c>
      <c r="H1191" s="18" t="n">
        <v>5</v>
      </c>
      <c r="I1191" s="20" t="n">
        <v>128.61</v>
      </c>
      <c r="J1191" s="20" t="n">
        <v>289.45</v>
      </c>
      <c r="K1191" s="18" t="n">
        <v>4</v>
      </c>
      <c r="L1191" s="18" t="n">
        <v>4</v>
      </c>
      <c r="M1191" s="18" t="n">
        <v>88</v>
      </c>
      <c r="N1191" s="18" t="n">
        <v>36</v>
      </c>
      <c r="O1191" s="14" t="s">
        <v>1126</v>
      </c>
      <c r="P1191" s="14" t="s">
        <v>118</v>
      </c>
      <c r="Q1191" s="15" t="s">
        <v>1089</v>
      </c>
      <c r="R1191" s="16" t="s">
        <v>8229</v>
      </c>
      <c r="S1191" s="15" t="s">
        <v>8230</v>
      </c>
      <c r="T1191" s="15" t="s">
        <v>8231</v>
      </c>
      <c r="U1191" s="21" t="s">
        <v>72</v>
      </c>
    </row>
    <row r="1192" customFormat="false" ht="15" hidden="false" customHeight="false" outlineLevel="0" collapsed="false">
      <c r="A1192" s="15" t="s">
        <v>850</v>
      </c>
      <c r="B1192" s="15" t="s">
        <v>8127</v>
      </c>
      <c r="C1192" s="14" t="s">
        <v>8232</v>
      </c>
      <c r="D1192" s="14" t="s">
        <v>8233</v>
      </c>
      <c r="E1192" s="16" t="s">
        <v>8234</v>
      </c>
      <c r="F1192" s="16" t="s">
        <v>8235</v>
      </c>
      <c r="G1192" s="23" t="s">
        <v>43</v>
      </c>
      <c r="H1192" s="18" t="n">
        <v>4</v>
      </c>
      <c r="I1192" s="20" t="n">
        <v>38.69</v>
      </c>
      <c r="J1192" s="20" t="n">
        <v>79.8</v>
      </c>
      <c r="K1192" s="18" t="n">
        <v>4</v>
      </c>
      <c r="L1192" s="18" t="n">
        <v>1</v>
      </c>
      <c r="M1192" s="18" t="n">
        <v>32</v>
      </c>
      <c r="N1192" s="18" t="n">
        <v>16</v>
      </c>
      <c r="O1192" s="14" t="s">
        <v>4343</v>
      </c>
      <c r="P1192" s="14" t="s">
        <v>94</v>
      </c>
      <c r="Q1192" s="15" t="s">
        <v>1089</v>
      </c>
      <c r="R1192" s="16" t="s">
        <v>8236</v>
      </c>
      <c r="S1192" s="15" t="s">
        <v>8237</v>
      </c>
      <c r="T1192" s="15" t="s">
        <v>8238</v>
      </c>
      <c r="U1192" s="21" t="s">
        <v>72</v>
      </c>
    </row>
    <row r="1193" customFormat="false" ht="26.85" hidden="false" customHeight="false" outlineLevel="0" collapsed="false">
      <c r="A1193" s="15" t="s">
        <v>850</v>
      </c>
      <c r="B1193" s="15" t="s">
        <v>8127</v>
      </c>
      <c r="C1193" s="14" t="s">
        <v>8239</v>
      </c>
      <c r="D1193" s="14" t="s">
        <v>8240</v>
      </c>
      <c r="E1193" s="16" t="s">
        <v>8241</v>
      </c>
      <c r="F1193" s="16" t="s">
        <v>8242</v>
      </c>
      <c r="G1193" s="19" t="s">
        <v>41</v>
      </c>
      <c r="H1193" s="18" t="n">
        <v>4</v>
      </c>
      <c r="I1193" s="20" t="n">
        <v>89.93</v>
      </c>
      <c r="J1193" s="20" t="n">
        <v>285.82</v>
      </c>
      <c r="K1193" s="18" t="n">
        <v>8</v>
      </c>
      <c r="L1193" s="18" t="n">
        <v>6</v>
      </c>
      <c r="M1193" s="18" t="n">
        <v>208</v>
      </c>
      <c r="N1193" s="18" t="n">
        <v>156</v>
      </c>
      <c r="O1193" s="14" t="s">
        <v>1088</v>
      </c>
      <c r="P1193" s="14" t="s">
        <v>94</v>
      </c>
      <c r="Q1193" s="15" t="s">
        <v>1089</v>
      </c>
      <c r="R1193" s="16" t="s">
        <v>4678</v>
      </c>
      <c r="S1193" s="15" t="s">
        <v>7213</v>
      </c>
      <c r="T1193" s="15" t="s">
        <v>8243</v>
      </c>
      <c r="U1193" s="21" t="s">
        <v>72</v>
      </c>
    </row>
    <row r="1194" customFormat="false" ht="26.85" hidden="false" customHeight="false" outlineLevel="0" collapsed="false">
      <c r="A1194" s="15" t="s">
        <v>850</v>
      </c>
      <c r="B1194" s="15" t="s">
        <v>8127</v>
      </c>
      <c r="C1194" s="14" t="s">
        <v>8244</v>
      </c>
      <c r="D1194" s="14" t="s">
        <v>8245</v>
      </c>
      <c r="E1194" s="16" t="s">
        <v>8246</v>
      </c>
      <c r="F1194" s="16" t="s">
        <v>8247</v>
      </c>
      <c r="G1194" s="19" t="s">
        <v>41</v>
      </c>
      <c r="H1194" s="18" t="n">
        <v>7</v>
      </c>
      <c r="I1194" s="20" t="n">
        <v>238.75</v>
      </c>
      <c r="J1194" s="20" t="n">
        <v>358.27</v>
      </c>
      <c r="K1194" s="18" t="n">
        <v>7</v>
      </c>
      <c r="L1194" s="18" t="n">
        <v>3</v>
      </c>
      <c r="M1194" s="18" t="n">
        <v>196</v>
      </c>
      <c r="N1194" s="18" t="n">
        <v>112</v>
      </c>
      <c r="O1194" s="14" t="s">
        <v>1097</v>
      </c>
      <c r="P1194" s="14" t="s">
        <v>352</v>
      </c>
      <c r="Q1194" s="15" t="s">
        <v>1089</v>
      </c>
      <c r="R1194" s="16" t="s">
        <v>8248</v>
      </c>
      <c r="S1194" s="15" t="s">
        <v>8249</v>
      </c>
      <c r="T1194" s="15" t="s">
        <v>8249</v>
      </c>
      <c r="U1194" s="21" t="s">
        <v>72</v>
      </c>
    </row>
    <row r="1195" customFormat="false" ht="26.85" hidden="false" customHeight="false" outlineLevel="0" collapsed="false">
      <c r="A1195" s="15" t="s">
        <v>850</v>
      </c>
      <c r="B1195" s="15" t="s">
        <v>8127</v>
      </c>
      <c r="C1195" s="14" t="s">
        <v>8250</v>
      </c>
      <c r="D1195" s="14" t="s">
        <v>8251</v>
      </c>
      <c r="E1195" s="16" t="s">
        <v>8252</v>
      </c>
      <c r="F1195" s="16"/>
      <c r="G1195" s="19" t="s">
        <v>41</v>
      </c>
      <c r="H1195" s="18" t="n">
        <v>7</v>
      </c>
      <c r="I1195" s="20" t="n">
        <v>151.46</v>
      </c>
      <c r="J1195" s="20" t="n">
        <v>232.97</v>
      </c>
      <c r="K1195" s="18" t="n">
        <v>7</v>
      </c>
      <c r="L1195" s="18" t="n">
        <v>5</v>
      </c>
      <c r="M1195" s="18" t="n">
        <v>302</v>
      </c>
      <c r="N1195" s="18" t="n">
        <v>168</v>
      </c>
      <c r="O1195" s="14" t="s">
        <v>4276</v>
      </c>
      <c r="P1195" s="14" t="s">
        <v>8253</v>
      </c>
      <c r="Q1195" s="15" t="s">
        <v>1089</v>
      </c>
      <c r="R1195" s="16" t="s">
        <v>8254</v>
      </c>
      <c r="S1195" s="15" t="s">
        <v>8255</v>
      </c>
      <c r="T1195" s="15" t="s">
        <v>8256</v>
      </c>
      <c r="U1195" s="21" t="s">
        <v>72</v>
      </c>
    </row>
    <row r="1196" customFormat="false" ht="15" hidden="false" customHeight="false" outlineLevel="0" collapsed="false">
      <c r="A1196" s="15" t="s">
        <v>850</v>
      </c>
      <c r="B1196" s="15" t="s">
        <v>8127</v>
      </c>
      <c r="C1196" s="14" t="s">
        <v>8257</v>
      </c>
      <c r="D1196" s="14" t="s">
        <v>8258</v>
      </c>
      <c r="E1196" s="16" t="s">
        <v>8259</v>
      </c>
      <c r="F1196" s="16" t="s">
        <v>8260</v>
      </c>
      <c r="G1196" s="23" t="s">
        <v>43</v>
      </c>
      <c r="H1196" s="18" t="n">
        <v>3</v>
      </c>
      <c r="I1196" s="20" t="n">
        <v>44.23</v>
      </c>
      <c r="J1196" s="20" t="n">
        <v>91.3</v>
      </c>
      <c r="K1196" s="18" t="n">
        <v>4</v>
      </c>
      <c r="L1196" s="18" t="n">
        <v>3</v>
      </c>
      <c r="M1196" s="18" t="n">
        <v>52</v>
      </c>
      <c r="N1196" s="18" t="n">
        <v>52</v>
      </c>
      <c r="O1196" s="14" t="s">
        <v>4248</v>
      </c>
      <c r="P1196" s="14" t="s">
        <v>118</v>
      </c>
      <c r="Q1196" s="15" t="s">
        <v>1089</v>
      </c>
      <c r="R1196" s="16" t="s">
        <v>8261</v>
      </c>
      <c r="S1196" s="15" t="s">
        <v>8262</v>
      </c>
      <c r="T1196" s="15" t="s">
        <v>8263</v>
      </c>
      <c r="U1196" s="21" t="s">
        <v>72</v>
      </c>
    </row>
    <row r="1197" customFormat="false" ht="15" hidden="false" customHeight="false" outlineLevel="0" collapsed="false">
      <c r="A1197" s="15" t="s">
        <v>850</v>
      </c>
      <c r="B1197" s="15" t="s">
        <v>8127</v>
      </c>
      <c r="C1197" s="14" t="s">
        <v>8264</v>
      </c>
      <c r="D1197" s="14" t="s">
        <v>8265</v>
      </c>
      <c r="E1197" s="16" t="s">
        <v>8266</v>
      </c>
      <c r="F1197" s="16"/>
      <c r="G1197" s="23" t="s">
        <v>43</v>
      </c>
      <c r="H1197" s="18" t="n">
        <v>2</v>
      </c>
      <c r="I1197" s="20" t="n">
        <v>45.1</v>
      </c>
      <c r="J1197" s="20" t="n">
        <v>73</v>
      </c>
      <c r="K1197" s="18" t="n">
        <v>2</v>
      </c>
      <c r="L1197" s="18"/>
      <c r="M1197" s="18" t="n">
        <v>48</v>
      </c>
      <c r="N1197" s="18" t="n">
        <v>48</v>
      </c>
      <c r="O1197" s="14" t="s">
        <v>4276</v>
      </c>
      <c r="P1197" s="14" t="s">
        <v>84</v>
      </c>
      <c r="Q1197" s="15" t="s">
        <v>1089</v>
      </c>
      <c r="R1197" s="16" t="s">
        <v>8267</v>
      </c>
      <c r="S1197" s="15" t="s">
        <v>8268</v>
      </c>
      <c r="T1197" s="15" t="s">
        <v>8268</v>
      </c>
      <c r="U1197" s="21" t="s">
        <v>72</v>
      </c>
    </row>
    <row r="1198" customFormat="false" ht="26.85" hidden="false" customHeight="false" outlineLevel="0" collapsed="false">
      <c r="A1198" s="15" t="s">
        <v>850</v>
      </c>
      <c r="B1198" s="15" t="s">
        <v>8127</v>
      </c>
      <c r="C1198" s="14" t="s">
        <v>8269</v>
      </c>
      <c r="D1198" s="14" t="s">
        <v>8270</v>
      </c>
      <c r="E1198" s="16" t="s">
        <v>8271</v>
      </c>
      <c r="F1198" s="16"/>
      <c r="G1198" s="23" t="s">
        <v>43</v>
      </c>
      <c r="H1198" s="18" t="n">
        <v>2</v>
      </c>
      <c r="I1198" s="20" t="n">
        <v>91.89</v>
      </c>
      <c r="J1198" s="20" t="n">
        <v>121.2</v>
      </c>
      <c r="K1198" s="18" t="n">
        <v>3</v>
      </c>
      <c r="L1198" s="18"/>
      <c r="M1198" s="18" t="n">
        <v>138</v>
      </c>
      <c r="N1198" s="18" t="n">
        <v>138</v>
      </c>
      <c r="O1198" s="14" t="s">
        <v>4751</v>
      </c>
      <c r="P1198" s="14" t="s">
        <v>118</v>
      </c>
      <c r="Q1198" s="15" t="s">
        <v>1089</v>
      </c>
      <c r="R1198" s="16" t="s">
        <v>2674</v>
      </c>
      <c r="S1198" s="15" t="s">
        <v>8272</v>
      </c>
      <c r="T1198" s="15" t="s">
        <v>8273</v>
      </c>
      <c r="U1198" s="21" t="s">
        <v>72</v>
      </c>
    </row>
    <row r="1199" customFormat="false" ht="26.85" hidden="false" customHeight="false" outlineLevel="0" collapsed="false">
      <c r="A1199" s="15" t="s">
        <v>850</v>
      </c>
      <c r="B1199" s="15" t="s">
        <v>8127</v>
      </c>
      <c r="C1199" s="14" t="s">
        <v>8274</v>
      </c>
      <c r="D1199" s="14" t="s">
        <v>8275</v>
      </c>
      <c r="E1199" s="16" t="s">
        <v>8276</v>
      </c>
      <c r="F1199" s="16" t="s">
        <v>8277</v>
      </c>
      <c r="G1199" s="19" t="s">
        <v>41</v>
      </c>
      <c r="H1199" s="18" t="n">
        <v>6</v>
      </c>
      <c r="I1199" s="20" t="n">
        <v>186.59</v>
      </c>
      <c r="J1199" s="20" t="n">
        <v>231.24</v>
      </c>
      <c r="K1199" s="18" t="n">
        <v>6</v>
      </c>
      <c r="L1199" s="18" t="n">
        <v>7</v>
      </c>
      <c r="M1199" s="18" t="n">
        <v>220</v>
      </c>
      <c r="N1199" s="18" t="n">
        <v>220</v>
      </c>
      <c r="O1199" s="14" t="s">
        <v>8278</v>
      </c>
      <c r="P1199" s="14" t="s">
        <v>118</v>
      </c>
      <c r="Q1199" s="15" t="s">
        <v>1089</v>
      </c>
      <c r="R1199" s="16" t="s">
        <v>8279</v>
      </c>
      <c r="S1199" s="15" t="s">
        <v>8280</v>
      </c>
      <c r="T1199" s="15" t="s">
        <v>8280</v>
      </c>
      <c r="U1199" s="21" t="s">
        <v>72</v>
      </c>
    </row>
    <row r="1200" customFormat="false" ht="26.85" hidden="false" customHeight="false" outlineLevel="0" collapsed="false">
      <c r="A1200" s="15" t="s">
        <v>850</v>
      </c>
      <c r="B1200" s="15" t="s">
        <v>8127</v>
      </c>
      <c r="C1200" s="14" t="s">
        <v>8281</v>
      </c>
      <c r="D1200" s="14" t="s">
        <v>8282</v>
      </c>
      <c r="E1200" s="16" t="s">
        <v>8283</v>
      </c>
      <c r="F1200" s="16"/>
      <c r="G1200" s="19" t="s">
        <v>41</v>
      </c>
      <c r="H1200" s="18" t="n">
        <v>5</v>
      </c>
      <c r="I1200" s="20" t="n">
        <v>105.18</v>
      </c>
      <c r="J1200" s="20" t="n">
        <v>148.31</v>
      </c>
      <c r="K1200" s="18" t="n">
        <v>19</v>
      </c>
      <c r="L1200" s="18"/>
      <c r="M1200" s="18" t="n">
        <v>4140</v>
      </c>
      <c r="N1200" s="18" t="n">
        <v>4100</v>
      </c>
      <c r="O1200" s="14" t="s">
        <v>5962</v>
      </c>
      <c r="P1200" s="14" t="s">
        <v>906</v>
      </c>
      <c r="Q1200" s="15" t="s">
        <v>1089</v>
      </c>
      <c r="R1200" s="16" t="s">
        <v>8284</v>
      </c>
      <c r="S1200" s="15" t="s">
        <v>8285</v>
      </c>
      <c r="T1200" s="15" t="s">
        <v>8286</v>
      </c>
      <c r="U1200" s="21" t="s">
        <v>72</v>
      </c>
    </row>
    <row r="1201" customFormat="false" ht="15" hidden="false" customHeight="false" outlineLevel="0" collapsed="false">
      <c r="A1201" s="15" t="s">
        <v>850</v>
      </c>
      <c r="B1201" s="15" t="s">
        <v>8127</v>
      </c>
      <c r="C1201" s="14" t="s">
        <v>8287</v>
      </c>
      <c r="D1201" s="14" t="s">
        <v>8288</v>
      </c>
      <c r="E1201" s="16" t="s">
        <v>8289</v>
      </c>
      <c r="F1201" s="16"/>
      <c r="G1201" s="23" t="s">
        <v>43</v>
      </c>
      <c r="H1201" s="18" t="n">
        <v>4</v>
      </c>
      <c r="I1201" s="20" t="n">
        <v>47.46</v>
      </c>
      <c r="J1201" s="20" t="n">
        <v>99.13</v>
      </c>
      <c r="K1201" s="18" t="n">
        <v>4</v>
      </c>
      <c r="L1201" s="18" t="n">
        <v>3</v>
      </c>
      <c r="M1201" s="18" t="n">
        <v>52</v>
      </c>
      <c r="N1201" s="18" t="n">
        <v>26</v>
      </c>
      <c r="O1201" s="14" t="s">
        <v>6730</v>
      </c>
      <c r="P1201" s="14" t="s">
        <v>118</v>
      </c>
      <c r="Q1201" s="15" t="s">
        <v>1089</v>
      </c>
      <c r="R1201" s="16" t="s">
        <v>8290</v>
      </c>
      <c r="S1201" s="15" t="s">
        <v>8291</v>
      </c>
      <c r="T1201" s="15" t="s">
        <v>8291</v>
      </c>
      <c r="U1201" s="21" t="s">
        <v>72</v>
      </c>
    </row>
    <row r="1202" customFormat="false" ht="15" hidden="false" customHeight="false" outlineLevel="0" collapsed="false">
      <c r="A1202" s="15" t="s">
        <v>850</v>
      </c>
      <c r="B1202" s="15" t="s">
        <v>8127</v>
      </c>
      <c r="C1202" s="14" t="s">
        <v>8292</v>
      </c>
      <c r="D1202" s="14" t="s">
        <v>8293</v>
      </c>
      <c r="E1202" s="16" t="s">
        <v>8294</v>
      </c>
      <c r="F1202" s="16"/>
      <c r="G1202" s="19" t="s">
        <v>41</v>
      </c>
      <c r="H1202" s="18" t="n">
        <v>6</v>
      </c>
      <c r="I1202" s="20" t="n">
        <v>125.01</v>
      </c>
      <c r="J1202" s="20" t="n">
        <v>197.97</v>
      </c>
      <c r="K1202" s="18" t="n">
        <v>4</v>
      </c>
      <c r="L1202" s="18" t="n">
        <v>3</v>
      </c>
      <c r="M1202" s="18" t="n">
        <v>96</v>
      </c>
      <c r="N1202" s="18" t="n">
        <v>96</v>
      </c>
      <c r="O1202" s="14" t="s">
        <v>1126</v>
      </c>
      <c r="P1202" s="14" t="s">
        <v>84</v>
      </c>
      <c r="Q1202" s="15" t="s">
        <v>1089</v>
      </c>
      <c r="R1202" s="16" t="s">
        <v>5327</v>
      </c>
      <c r="S1202" s="15" t="s">
        <v>8295</v>
      </c>
      <c r="T1202" s="15" t="s">
        <v>8295</v>
      </c>
      <c r="U1202" s="21" t="s">
        <v>72</v>
      </c>
    </row>
    <row r="1203" customFormat="false" ht="26.85" hidden="false" customHeight="false" outlineLevel="0" collapsed="false">
      <c r="A1203" s="15" t="s">
        <v>850</v>
      </c>
      <c r="B1203" s="15" t="s">
        <v>8127</v>
      </c>
      <c r="C1203" s="14" t="s">
        <v>8296</v>
      </c>
      <c r="D1203" s="14" t="s">
        <v>8297</v>
      </c>
      <c r="E1203" s="16" t="s">
        <v>8298</v>
      </c>
      <c r="F1203" s="16"/>
      <c r="G1203" s="23" t="s">
        <v>43</v>
      </c>
      <c r="H1203" s="18" t="n">
        <v>2</v>
      </c>
      <c r="I1203" s="20" t="n">
        <v>53.39</v>
      </c>
      <c r="J1203" s="20" t="n">
        <v>106.33</v>
      </c>
      <c r="K1203" s="18" t="n">
        <v>3</v>
      </c>
      <c r="L1203" s="18" t="n">
        <v>1</v>
      </c>
      <c r="M1203" s="18" t="n">
        <v>108</v>
      </c>
      <c r="N1203" s="18" t="n">
        <v>108</v>
      </c>
      <c r="O1203" s="14" t="s">
        <v>7171</v>
      </c>
      <c r="P1203" s="14" t="s">
        <v>118</v>
      </c>
      <c r="Q1203" s="15" t="s">
        <v>1089</v>
      </c>
      <c r="R1203" s="16" t="s">
        <v>8299</v>
      </c>
      <c r="S1203" s="15" t="s">
        <v>8300</v>
      </c>
      <c r="T1203" s="15" t="s">
        <v>8301</v>
      </c>
      <c r="U1203" s="21" t="s">
        <v>72</v>
      </c>
    </row>
    <row r="1204" customFormat="false" ht="26.85" hidden="false" customHeight="false" outlineLevel="0" collapsed="false">
      <c r="A1204" s="15" t="s">
        <v>850</v>
      </c>
      <c r="B1204" s="15" t="s">
        <v>8127</v>
      </c>
      <c r="C1204" s="14" t="s">
        <v>8302</v>
      </c>
      <c r="D1204" s="14" t="s">
        <v>8303</v>
      </c>
      <c r="E1204" s="16" t="s">
        <v>8304</v>
      </c>
      <c r="F1204" s="16"/>
      <c r="G1204" s="23" t="s">
        <v>43</v>
      </c>
      <c r="H1204" s="18" t="n">
        <v>3</v>
      </c>
      <c r="I1204" s="20" t="n">
        <v>46.44</v>
      </c>
      <c r="J1204" s="20" t="n">
        <v>127.76</v>
      </c>
      <c r="K1204" s="18" t="n">
        <v>3</v>
      </c>
      <c r="L1204" s="18" t="n">
        <v>1</v>
      </c>
      <c r="M1204" s="18" t="n">
        <v>37</v>
      </c>
      <c r="N1204" s="18" t="n">
        <v>37</v>
      </c>
      <c r="O1204" s="14" t="s">
        <v>4670</v>
      </c>
      <c r="P1204" s="14" t="s">
        <v>118</v>
      </c>
      <c r="Q1204" s="15" t="s">
        <v>1089</v>
      </c>
      <c r="R1204" s="16" t="s">
        <v>6896</v>
      </c>
      <c r="S1204" s="15" t="s">
        <v>8305</v>
      </c>
      <c r="T1204" s="15" t="s">
        <v>8305</v>
      </c>
      <c r="U1204" s="21" t="s">
        <v>72</v>
      </c>
    </row>
    <row r="1205" customFormat="false" ht="15" hidden="false" customHeight="false" outlineLevel="0" collapsed="false">
      <c r="A1205" s="15" t="s">
        <v>850</v>
      </c>
      <c r="B1205" s="15" t="s">
        <v>8127</v>
      </c>
      <c r="C1205" s="14" t="s">
        <v>8306</v>
      </c>
      <c r="D1205" s="14" t="s">
        <v>8307</v>
      </c>
      <c r="E1205" s="16" t="s">
        <v>8308</v>
      </c>
      <c r="F1205" s="16"/>
      <c r="G1205" s="23" t="s">
        <v>43</v>
      </c>
      <c r="H1205" s="18" t="n">
        <v>3</v>
      </c>
      <c r="I1205" s="20" t="n">
        <v>34.11</v>
      </c>
      <c r="J1205" s="20" t="n">
        <v>107.92</v>
      </c>
      <c r="K1205" s="18" t="n">
        <v>3</v>
      </c>
      <c r="L1205" s="18" t="n">
        <v>1</v>
      </c>
      <c r="M1205" s="18" t="n">
        <v>28</v>
      </c>
      <c r="N1205" s="18" t="n">
        <v>28</v>
      </c>
      <c r="O1205" s="14" t="s">
        <v>4276</v>
      </c>
      <c r="P1205" s="14" t="s">
        <v>84</v>
      </c>
      <c r="Q1205" s="15" t="s">
        <v>1089</v>
      </c>
      <c r="R1205" s="16" t="s">
        <v>8309</v>
      </c>
      <c r="S1205" s="15" t="s">
        <v>8310</v>
      </c>
      <c r="T1205" s="15" t="s">
        <v>8311</v>
      </c>
      <c r="U1205" s="21" t="s">
        <v>72</v>
      </c>
    </row>
    <row r="1206" customFormat="false" ht="15" hidden="false" customHeight="false" outlineLevel="0" collapsed="false">
      <c r="A1206" s="15" t="s">
        <v>850</v>
      </c>
      <c r="B1206" s="15" t="s">
        <v>8127</v>
      </c>
      <c r="C1206" s="14" t="s">
        <v>8312</v>
      </c>
      <c r="D1206" s="14" t="s">
        <v>8313</v>
      </c>
      <c r="E1206" s="16" t="s">
        <v>8314</v>
      </c>
      <c r="F1206" s="16" t="s">
        <v>8315</v>
      </c>
      <c r="G1206" s="23" t="s">
        <v>43</v>
      </c>
      <c r="H1206" s="18" t="n">
        <v>3</v>
      </c>
      <c r="I1206" s="20" t="n">
        <v>47.62</v>
      </c>
      <c r="J1206" s="20" t="n">
        <v>136.91</v>
      </c>
      <c r="K1206" s="18" t="n">
        <v>4</v>
      </c>
      <c r="L1206" s="18" t="n">
        <v>5</v>
      </c>
      <c r="M1206" s="18" t="n">
        <v>98</v>
      </c>
      <c r="N1206" s="18" t="n">
        <v>18</v>
      </c>
      <c r="O1206" s="14" t="s">
        <v>4223</v>
      </c>
      <c r="P1206" s="14" t="s">
        <v>118</v>
      </c>
      <c r="Q1206" s="15" t="s">
        <v>1089</v>
      </c>
      <c r="R1206" s="16" t="s">
        <v>8316</v>
      </c>
      <c r="S1206" s="15" t="s">
        <v>5686</v>
      </c>
      <c r="T1206" s="15" t="s">
        <v>8317</v>
      </c>
      <c r="U1206" s="21" t="s">
        <v>72</v>
      </c>
    </row>
    <row r="1207" customFormat="false" ht="15" hidden="false" customHeight="false" outlineLevel="0" collapsed="false">
      <c r="A1207" s="15" t="s">
        <v>850</v>
      </c>
      <c r="B1207" s="15" t="s">
        <v>8127</v>
      </c>
      <c r="C1207" s="14" t="s">
        <v>8318</v>
      </c>
      <c r="D1207" s="14" t="s">
        <v>8319</v>
      </c>
      <c r="E1207" s="16" t="s">
        <v>8320</v>
      </c>
      <c r="F1207" s="16" t="s">
        <v>8315</v>
      </c>
      <c r="G1207" s="19" t="s">
        <v>41</v>
      </c>
      <c r="H1207" s="18" t="n">
        <v>6</v>
      </c>
      <c r="I1207" s="20" t="n">
        <v>66.88</v>
      </c>
      <c r="J1207" s="20" t="n">
        <v>241.32</v>
      </c>
      <c r="K1207" s="18" t="n">
        <v>9</v>
      </c>
      <c r="L1207" s="18" t="n">
        <v>10</v>
      </c>
      <c r="M1207" s="18" t="n">
        <v>184</v>
      </c>
      <c r="N1207" s="18" t="n">
        <v>168</v>
      </c>
      <c r="O1207" s="14" t="s">
        <v>1097</v>
      </c>
      <c r="P1207" s="14" t="s">
        <v>8321</v>
      </c>
      <c r="Q1207" s="15" t="s">
        <v>1089</v>
      </c>
      <c r="R1207" s="16" t="s">
        <v>6145</v>
      </c>
      <c r="S1207" s="15" t="s">
        <v>5686</v>
      </c>
      <c r="T1207" s="15" t="s">
        <v>8322</v>
      </c>
      <c r="U1207" s="21" t="s">
        <v>72</v>
      </c>
    </row>
    <row r="1208" customFormat="false" ht="26.85" hidden="false" customHeight="false" outlineLevel="0" collapsed="false">
      <c r="A1208" s="15" t="s">
        <v>850</v>
      </c>
      <c r="B1208" s="15" t="s">
        <v>8127</v>
      </c>
      <c r="C1208" s="14" t="s">
        <v>8323</v>
      </c>
      <c r="D1208" s="14" t="s">
        <v>8324</v>
      </c>
      <c r="E1208" s="16" t="s">
        <v>8325</v>
      </c>
      <c r="F1208" s="16" t="s">
        <v>8326</v>
      </c>
      <c r="G1208" s="19" t="s">
        <v>41</v>
      </c>
      <c r="H1208" s="18" t="n">
        <v>4</v>
      </c>
      <c r="I1208" s="20" t="n">
        <v>160.93</v>
      </c>
      <c r="J1208" s="20" t="n">
        <v>300.59</v>
      </c>
      <c r="K1208" s="18" t="n">
        <v>7</v>
      </c>
      <c r="L1208" s="18" t="n">
        <v>4</v>
      </c>
      <c r="M1208" s="18" t="n">
        <v>252</v>
      </c>
      <c r="N1208" s="18" t="n">
        <v>252</v>
      </c>
      <c r="O1208" s="14" t="s">
        <v>4670</v>
      </c>
      <c r="P1208" s="14" t="s">
        <v>118</v>
      </c>
      <c r="Q1208" s="15" t="s">
        <v>1089</v>
      </c>
      <c r="R1208" s="16" t="s">
        <v>8327</v>
      </c>
      <c r="S1208" s="15" t="s">
        <v>5844</v>
      </c>
      <c r="T1208" s="15" t="s">
        <v>8328</v>
      </c>
      <c r="U1208" s="21" t="s">
        <v>72</v>
      </c>
    </row>
    <row r="1209" customFormat="false" ht="15" hidden="false" customHeight="false" outlineLevel="0" collapsed="false">
      <c r="A1209" s="15" t="s">
        <v>850</v>
      </c>
      <c r="B1209" s="15" t="s">
        <v>8127</v>
      </c>
      <c r="C1209" s="14" t="s">
        <v>8329</v>
      </c>
      <c r="D1209" s="14" t="s">
        <v>8330</v>
      </c>
      <c r="E1209" s="16" t="s">
        <v>8331</v>
      </c>
      <c r="F1209" s="16"/>
      <c r="G1209" s="23" t="s">
        <v>43</v>
      </c>
      <c r="H1209" s="18" t="n">
        <v>3</v>
      </c>
      <c r="I1209" s="20" t="n">
        <v>36.19</v>
      </c>
      <c r="J1209" s="20" t="n">
        <v>77</v>
      </c>
      <c r="K1209" s="18" t="n">
        <v>3</v>
      </c>
      <c r="L1209" s="18" t="n">
        <v>8</v>
      </c>
      <c r="M1209" s="18" t="n">
        <v>39</v>
      </c>
      <c r="N1209" s="18" t="n">
        <v>39</v>
      </c>
      <c r="O1209" s="14" t="s">
        <v>1097</v>
      </c>
      <c r="P1209" s="14" t="s">
        <v>84</v>
      </c>
      <c r="Q1209" s="15" t="s">
        <v>1089</v>
      </c>
      <c r="R1209" s="16" t="s">
        <v>8332</v>
      </c>
      <c r="S1209" s="15" t="s">
        <v>8295</v>
      </c>
      <c r="T1209" s="15" t="s">
        <v>8333</v>
      </c>
      <c r="U1209" s="21" t="s">
        <v>72</v>
      </c>
    </row>
    <row r="1210" customFormat="false" ht="15" hidden="false" customHeight="false" outlineLevel="0" collapsed="false">
      <c r="A1210" s="15" t="s">
        <v>850</v>
      </c>
      <c r="B1210" s="15" t="s">
        <v>8127</v>
      </c>
      <c r="C1210" s="14" t="s">
        <v>8334</v>
      </c>
      <c r="D1210" s="14" t="s">
        <v>8335</v>
      </c>
      <c r="E1210" s="16" t="s">
        <v>8336</v>
      </c>
      <c r="F1210" s="16" t="s">
        <v>8337</v>
      </c>
      <c r="G1210" s="23" t="s">
        <v>43</v>
      </c>
      <c r="H1210" s="18" t="n">
        <v>4</v>
      </c>
      <c r="I1210" s="20" t="n">
        <v>75.2</v>
      </c>
      <c r="J1210" s="20" t="n">
        <v>112.88</v>
      </c>
      <c r="K1210" s="18" t="n">
        <v>4</v>
      </c>
      <c r="L1210" s="18" t="n">
        <v>2</v>
      </c>
      <c r="M1210" s="18" t="n">
        <v>120</v>
      </c>
      <c r="N1210" s="18" t="n">
        <v>120</v>
      </c>
      <c r="O1210" s="14" t="s">
        <v>8338</v>
      </c>
      <c r="P1210" s="14" t="s">
        <v>118</v>
      </c>
      <c r="Q1210" s="15" t="s">
        <v>1089</v>
      </c>
      <c r="R1210" s="16" t="s">
        <v>8339</v>
      </c>
      <c r="S1210" s="15" t="s">
        <v>8340</v>
      </c>
      <c r="T1210" s="15" t="s">
        <v>8340</v>
      </c>
      <c r="U1210" s="21" t="s">
        <v>72</v>
      </c>
    </row>
    <row r="1211" customFormat="false" ht="15" hidden="false" customHeight="false" outlineLevel="0" collapsed="false">
      <c r="A1211" s="15" t="s">
        <v>850</v>
      </c>
      <c r="B1211" s="15" t="s">
        <v>8127</v>
      </c>
      <c r="C1211" s="14" t="s">
        <v>8341</v>
      </c>
      <c r="D1211" s="14" t="s">
        <v>8342</v>
      </c>
      <c r="E1211" s="16" t="s">
        <v>8343</v>
      </c>
      <c r="F1211" s="16"/>
      <c r="G1211" s="19" t="s">
        <v>41</v>
      </c>
      <c r="H1211" s="18" t="n">
        <v>5</v>
      </c>
      <c r="I1211" s="20" t="n">
        <v>125.88</v>
      </c>
      <c r="J1211" s="20" t="n">
        <v>294.84</v>
      </c>
      <c r="K1211" s="18" t="n">
        <v>5</v>
      </c>
      <c r="L1211" s="18" t="n">
        <v>2</v>
      </c>
      <c r="M1211" s="18" t="n">
        <v>95</v>
      </c>
      <c r="N1211" s="18" t="n">
        <v>30</v>
      </c>
      <c r="O1211" s="14" t="s">
        <v>1088</v>
      </c>
      <c r="P1211" s="14" t="s">
        <v>118</v>
      </c>
      <c r="Q1211" s="15" t="s">
        <v>1089</v>
      </c>
      <c r="R1211" s="16" t="s">
        <v>8344</v>
      </c>
      <c r="S1211" s="15" t="s">
        <v>8345</v>
      </c>
      <c r="T1211" s="15" t="s">
        <v>8345</v>
      </c>
      <c r="U1211" s="21" t="s">
        <v>72</v>
      </c>
    </row>
    <row r="1212" customFormat="false" ht="26.85" hidden="false" customHeight="false" outlineLevel="0" collapsed="false">
      <c r="A1212" s="15" t="s">
        <v>850</v>
      </c>
      <c r="B1212" s="15" t="s">
        <v>8127</v>
      </c>
      <c r="C1212" s="14" t="s">
        <v>8346</v>
      </c>
      <c r="D1212" s="14" t="s">
        <v>8347</v>
      </c>
      <c r="E1212" s="16" t="s">
        <v>8348</v>
      </c>
      <c r="F1212" s="16"/>
      <c r="G1212" s="23" t="s">
        <v>43</v>
      </c>
      <c r="H1212" s="18" t="n">
        <v>2</v>
      </c>
      <c r="I1212" s="20" t="n">
        <v>69.9</v>
      </c>
      <c r="J1212" s="20" t="n">
        <v>132.95</v>
      </c>
      <c r="K1212" s="18" t="n">
        <v>3</v>
      </c>
      <c r="L1212" s="18" t="n">
        <v>1</v>
      </c>
      <c r="M1212" s="18" t="n">
        <v>126</v>
      </c>
      <c r="N1212" s="18" t="n">
        <v>126</v>
      </c>
      <c r="O1212" s="14" t="s">
        <v>4670</v>
      </c>
      <c r="P1212" s="14" t="s">
        <v>118</v>
      </c>
      <c r="Q1212" s="15" t="s">
        <v>1089</v>
      </c>
      <c r="R1212" s="16" t="s">
        <v>8349</v>
      </c>
      <c r="S1212" s="15" t="s">
        <v>8272</v>
      </c>
      <c r="T1212" s="15" t="s">
        <v>8350</v>
      </c>
      <c r="U1212" s="21" t="s">
        <v>72</v>
      </c>
    </row>
    <row r="1213" customFormat="false" ht="15" hidden="false" customHeight="false" outlineLevel="0" collapsed="false">
      <c r="A1213" s="15" t="s">
        <v>850</v>
      </c>
      <c r="B1213" s="15" t="s">
        <v>8127</v>
      </c>
      <c r="C1213" s="14" t="s">
        <v>8351</v>
      </c>
      <c r="D1213" s="14" t="s">
        <v>8352</v>
      </c>
      <c r="E1213" s="16" t="s">
        <v>8353</v>
      </c>
      <c r="F1213" s="16"/>
      <c r="G1213" s="23" t="s">
        <v>43</v>
      </c>
      <c r="H1213" s="18" t="n">
        <v>3</v>
      </c>
      <c r="I1213" s="20" t="n">
        <v>51.44</v>
      </c>
      <c r="J1213" s="20" t="n">
        <v>144.09</v>
      </c>
      <c r="K1213" s="18" t="n">
        <v>4</v>
      </c>
      <c r="L1213" s="18" t="n">
        <v>5</v>
      </c>
      <c r="M1213" s="18" t="n">
        <v>76</v>
      </c>
      <c r="N1213" s="18" t="n">
        <v>76</v>
      </c>
      <c r="O1213" s="14" t="s">
        <v>8354</v>
      </c>
      <c r="P1213" s="14" t="s">
        <v>118</v>
      </c>
      <c r="Q1213" s="15" t="s">
        <v>1089</v>
      </c>
      <c r="R1213" s="16" t="s">
        <v>5347</v>
      </c>
      <c r="S1213" s="15" t="s">
        <v>8355</v>
      </c>
      <c r="T1213" s="15" t="s">
        <v>8356</v>
      </c>
      <c r="U1213" s="21" t="s">
        <v>72</v>
      </c>
    </row>
    <row r="1214" customFormat="false" ht="15" hidden="false" customHeight="false" outlineLevel="0" collapsed="false">
      <c r="A1214" s="15" t="s">
        <v>850</v>
      </c>
      <c r="B1214" s="15" t="s">
        <v>8127</v>
      </c>
      <c r="C1214" s="14" t="s">
        <v>8357</v>
      </c>
      <c r="D1214" s="14" t="s">
        <v>8358</v>
      </c>
      <c r="E1214" s="16" t="s">
        <v>8359</v>
      </c>
      <c r="F1214" s="16"/>
      <c r="G1214" s="23" t="s">
        <v>43</v>
      </c>
      <c r="H1214" s="18" t="n">
        <v>2</v>
      </c>
      <c r="I1214" s="20" t="n">
        <v>30</v>
      </c>
      <c r="J1214" s="20" t="n">
        <v>70</v>
      </c>
      <c r="K1214" s="18" t="n">
        <v>3</v>
      </c>
      <c r="L1214" s="18" t="n">
        <v>1</v>
      </c>
      <c r="M1214" s="18" t="n">
        <v>36</v>
      </c>
      <c r="N1214" s="18" t="n">
        <v>12</v>
      </c>
      <c r="O1214" s="14" t="s">
        <v>1097</v>
      </c>
      <c r="P1214" s="14" t="s">
        <v>118</v>
      </c>
      <c r="Q1214" s="15" t="s">
        <v>1089</v>
      </c>
      <c r="R1214" s="16" t="s">
        <v>8360</v>
      </c>
      <c r="S1214" s="15" t="s">
        <v>8361</v>
      </c>
      <c r="T1214" s="15" t="s">
        <v>8361</v>
      </c>
      <c r="U1214" s="21" t="s">
        <v>72</v>
      </c>
    </row>
    <row r="1215" customFormat="false" ht="15" hidden="false" customHeight="false" outlineLevel="0" collapsed="false">
      <c r="A1215" s="15" t="s">
        <v>850</v>
      </c>
      <c r="B1215" s="15" t="s">
        <v>8127</v>
      </c>
      <c r="C1215" s="14" t="s">
        <v>8362</v>
      </c>
      <c r="D1215" s="14" t="s">
        <v>8363</v>
      </c>
      <c r="E1215" s="16" t="s">
        <v>8364</v>
      </c>
      <c r="F1215" s="16" t="s">
        <v>8365</v>
      </c>
      <c r="G1215" s="23" t="s">
        <v>43</v>
      </c>
      <c r="H1215" s="18" t="n">
        <v>4</v>
      </c>
      <c r="I1215" s="20" t="n">
        <v>66.06</v>
      </c>
      <c r="J1215" s="20" t="n">
        <v>110.28</v>
      </c>
      <c r="K1215" s="18" t="n">
        <v>2</v>
      </c>
      <c r="L1215" s="18" t="n">
        <v>1</v>
      </c>
      <c r="M1215" s="18" t="n">
        <v>40</v>
      </c>
      <c r="N1215" s="18" t="n">
        <v>20</v>
      </c>
      <c r="O1215" s="14" t="s">
        <v>4446</v>
      </c>
      <c r="P1215" s="14" t="s">
        <v>118</v>
      </c>
      <c r="Q1215" s="15" t="s">
        <v>1089</v>
      </c>
      <c r="R1215" s="16" t="s">
        <v>8366</v>
      </c>
      <c r="S1215" s="15" t="s">
        <v>8367</v>
      </c>
      <c r="T1215" s="15" t="s">
        <v>8368</v>
      </c>
      <c r="U1215" s="21" t="s">
        <v>72</v>
      </c>
    </row>
    <row r="1216" customFormat="false" ht="26.85" hidden="false" customHeight="false" outlineLevel="0" collapsed="false">
      <c r="A1216" s="15" t="s">
        <v>850</v>
      </c>
      <c r="B1216" s="15" t="s">
        <v>8127</v>
      </c>
      <c r="C1216" s="14" t="s">
        <v>8369</v>
      </c>
      <c r="D1216" s="14" t="s">
        <v>8370</v>
      </c>
      <c r="E1216" s="16" t="s">
        <v>8371</v>
      </c>
      <c r="F1216" s="16" t="s">
        <v>8372</v>
      </c>
      <c r="G1216" s="25" t="s">
        <v>39</v>
      </c>
      <c r="H1216" s="18" t="n">
        <v>7</v>
      </c>
      <c r="I1216" s="20" t="n">
        <v>150.312</v>
      </c>
      <c r="J1216" s="20" t="n">
        <v>748.7</v>
      </c>
      <c r="K1216" s="18" t="n">
        <v>7</v>
      </c>
      <c r="L1216" s="18" t="n">
        <v>13</v>
      </c>
      <c r="M1216" s="18" t="n">
        <v>147</v>
      </c>
      <c r="N1216" s="18" t="n">
        <v>147</v>
      </c>
      <c r="O1216" s="14" t="s">
        <v>8373</v>
      </c>
      <c r="P1216" s="14" t="s">
        <v>118</v>
      </c>
      <c r="Q1216" s="15" t="s">
        <v>1089</v>
      </c>
      <c r="R1216" s="16" t="s">
        <v>8374</v>
      </c>
      <c r="S1216" s="15" t="s">
        <v>8375</v>
      </c>
      <c r="T1216" s="15" t="s">
        <v>8376</v>
      </c>
      <c r="U1216" s="21" t="s">
        <v>72</v>
      </c>
    </row>
    <row r="1217" customFormat="false" ht="15" hidden="false" customHeight="false" outlineLevel="0" collapsed="false">
      <c r="A1217" s="15" t="s">
        <v>850</v>
      </c>
      <c r="B1217" s="15" t="s">
        <v>8127</v>
      </c>
      <c r="C1217" s="14" t="s">
        <v>8377</v>
      </c>
      <c r="D1217" s="14" t="s">
        <v>8378</v>
      </c>
      <c r="E1217" s="16" t="s">
        <v>8379</v>
      </c>
      <c r="F1217" s="16" t="s">
        <v>8380</v>
      </c>
      <c r="G1217" s="19" t="s">
        <v>41</v>
      </c>
      <c r="H1217" s="18" t="n">
        <v>2</v>
      </c>
      <c r="I1217" s="20" t="n">
        <v>30</v>
      </c>
      <c r="J1217" s="20" t="n">
        <v>276.92</v>
      </c>
      <c r="K1217" s="18" t="n">
        <v>2</v>
      </c>
      <c r="L1217" s="18" t="n">
        <v>1</v>
      </c>
      <c r="M1217" s="18" t="n">
        <v>48</v>
      </c>
      <c r="N1217" s="18" t="n">
        <v>48</v>
      </c>
      <c r="O1217" s="14" t="s">
        <v>4343</v>
      </c>
      <c r="P1217" s="14" t="s">
        <v>84</v>
      </c>
      <c r="Q1217" s="15" t="s">
        <v>1089</v>
      </c>
      <c r="R1217" s="16" t="s">
        <v>8381</v>
      </c>
      <c r="S1217" s="15" t="s">
        <v>8382</v>
      </c>
      <c r="T1217" s="15" t="s">
        <v>8382</v>
      </c>
      <c r="U1217" s="21" t="s">
        <v>72</v>
      </c>
    </row>
    <row r="1218" customFormat="false" ht="15" hidden="false" customHeight="false" outlineLevel="0" collapsed="false">
      <c r="A1218" s="15" t="s">
        <v>850</v>
      </c>
      <c r="B1218" s="15" t="s">
        <v>8127</v>
      </c>
      <c r="C1218" s="14" t="s">
        <v>8383</v>
      </c>
      <c r="D1218" s="14" t="s">
        <v>8384</v>
      </c>
      <c r="E1218" s="16" t="s">
        <v>8385</v>
      </c>
      <c r="F1218" s="16"/>
      <c r="G1218" s="25" t="s">
        <v>39</v>
      </c>
      <c r="H1218" s="18" t="n">
        <v>2</v>
      </c>
      <c r="I1218" s="20" t="n">
        <v>30</v>
      </c>
      <c r="J1218" s="20" t="n">
        <v>455</v>
      </c>
      <c r="K1218" s="18" t="n">
        <v>9</v>
      </c>
      <c r="L1218" s="18" t="n">
        <v>2</v>
      </c>
      <c r="M1218" s="18" t="n">
        <v>270</v>
      </c>
      <c r="N1218" s="18" t="n">
        <v>210</v>
      </c>
      <c r="O1218" s="14" t="s">
        <v>8386</v>
      </c>
      <c r="P1218" s="14" t="s">
        <v>515</v>
      </c>
      <c r="Q1218" s="15" t="s">
        <v>1089</v>
      </c>
      <c r="R1218" s="16" t="s">
        <v>8387</v>
      </c>
      <c r="S1218" s="15" t="s">
        <v>8388</v>
      </c>
      <c r="T1218" s="15" t="s">
        <v>8389</v>
      </c>
      <c r="U1218" s="21" t="s">
        <v>72</v>
      </c>
    </row>
    <row r="1219" customFormat="false" ht="15" hidden="false" customHeight="false" outlineLevel="0" collapsed="false">
      <c r="A1219" s="15" t="s">
        <v>850</v>
      </c>
      <c r="B1219" s="15" t="s">
        <v>8127</v>
      </c>
      <c r="C1219" s="14" t="s">
        <v>8390</v>
      </c>
      <c r="D1219" s="14" t="s">
        <v>8391</v>
      </c>
      <c r="E1219" s="16" t="s">
        <v>8392</v>
      </c>
      <c r="F1219" s="16" t="s">
        <v>8393</v>
      </c>
      <c r="G1219" s="19" t="s">
        <v>41</v>
      </c>
      <c r="H1219" s="18" t="n">
        <v>4</v>
      </c>
      <c r="I1219" s="20" t="n">
        <v>49.75</v>
      </c>
      <c r="J1219" s="20" t="n">
        <v>219.19</v>
      </c>
      <c r="K1219" s="18" t="n">
        <v>2</v>
      </c>
      <c r="L1219" s="18" t="n">
        <v>4</v>
      </c>
      <c r="M1219" s="18" t="n">
        <v>26</v>
      </c>
      <c r="N1219" s="18" t="n">
        <v>26</v>
      </c>
      <c r="O1219" s="14" t="s">
        <v>4223</v>
      </c>
      <c r="P1219" s="14" t="s">
        <v>94</v>
      </c>
      <c r="Q1219" s="15" t="s">
        <v>1089</v>
      </c>
      <c r="R1219" s="16" t="s">
        <v>8394</v>
      </c>
      <c r="S1219" s="15" t="s">
        <v>8395</v>
      </c>
      <c r="T1219" s="15" t="s">
        <v>8396</v>
      </c>
      <c r="U1219" s="21" t="s">
        <v>72</v>
      </c>
    </row>
    <row r="1220" customFormat="false" ht="15" hidden="false" customHeight="false" outlineLevel="0" collapsed="false">
      <c r="A1220" s="15" t="s">
        <v>850</v>
      </c>
      <c r="B1220" s="15" t="s">
        <v>8127</v>
      </c>
      <c r="C1220" s="14" t="s">
        <v>8397</v>
      </c>
      <c r="D1220" s="14" t="s">
        <v>8398</v>
      </c>
      <c r="E1220" s="16" t="s">
        <v>8399</v>
      </c>
      <c r="F1220" s="16"/>
      <c r="G1220" s="23" t="s">
        <v>43</v>
      </c>
      <c r="H1220" s="18" t="n">
        <v>2</v>
      </c>
      <c r="I1220" s="20" t="n">
        <v>35.18</v>
      </c>
      <c r="J1220" s="20" t="n">
        <v>74.44</v>
      </c>
      <c r="K1220" s="18" t="n">
        <v>4</v>
      </c>
      <c r="L1220" s="18" t="n">
        <v>1</v>
      </c>
      <c r="M1220" s="18" t="n">
        <v>58</v>
      </c>
      <c r="N1220" s="18" t="n">
        <v>28</v>
      </c>
      <c r="O1220" s="14" t="s">
        <v>1097</v>
      </c>
      <c r="P1220" s="14" t="s">
        <v>94</v>
      </c>
      <c r="Q1220" s="15" t="s">
        <v>1089</v>
      </c>
      <c r="R1220" s="16" t="s">
        <v>8400</v>
      </c>
      <c r="S1220" s="15" t="s">
        <v>8401</v>
      </c>
      <c r="T1220" s="15" t="s">
        <v>8402</v>
      </c>
      <c r="U1220" s="21" t="s">
        <v>72</v>
      </c>
    </row>
    <row r="1221" customFormat="false" ht="15" hidden="false" customHeight="false" outlineLevel="0" collapsed="false">
      <c r="A1221" s="15" t="s">
        <v>850</v>
      </c>
      <c r="B1221" s="15" t="s">
        <v>8127</v>
      </c>
      <c r="C1221" s="14" t="s">
        <v>8403</v>
      </c>
      <c r="D1221" s="14" t="s">
        <v>8404</v>
      </c>
      <c r="E1221" s="16" t="s">
        <v>8405</v>
      </c>
      <c r="F1221" s="16" t="s">
        <v>1387</v>
      </c>
      <c r="G1221" s="19" t="s">
        <v>41</v>
      </c>
      <c r="H1221" s="18" t="n">
        <v>7</v>
      </c>
      <c r="I1221" s="20" t="n">
        <v>101.3</v>
      </c>
      <c r="J1221" s="20" t="n">
        <v>211.11</v>
      </c>
      <c r="K1221" s="18" t="n">
        <v>16</v>
      </c>
      <c r="L1221" s="18" t="n">
        <v>28</v>
      </c>
      <c r="M1221" s="18" t="n">
        <v>224</v>
      </c>
      <c r="N1221" s="18" t="n">
        <v>128</v>
      </c>
      <c r="O1221" s="14" t="s">
        <v>4276</v>
      </c>
      <c r="P1221" s="14" t="s">
        <v>84</v>
      </c>
      <c r="Q1221" s="15" t="s">
        <v>1089</v>
      </c>
      <c r="R1221" s="16" t="s">
        <v>8406</v>
      </c>
      <c r="S1221" s="15" t="s">
        <v>8407</v>
      </c>
      <c r="T1221" s="15" t="s">
        <v>8408</v>
      </c>
      <c r="U1221" s="21" t="s">
        <v>72</v>
      </c>
    </row>
    <row r="1222" customFormat="false" ht="26.85" hidden="false" customHeight="false" outlineLevel="0" collapsed="false">
      <c r="A1222" s="15" t="s">
        <v>850</v>
      </c>
      <c r="B1222" s="15" t="s">
        <v>8127</v>
      </c>
      <c r="C1222" s="14" t="s">
        <v>8409</v>
      </c>
      <c r="D1222" s="14" t="s">
        <v>8410</v>
      </c>
      <c r="E1222" s="16"/>
      <c r="F1222" s="16"/>
      <c r="G1222" s="23" t="s">
        <v>43</v>
      </c>
      <c r="H1222" s="18" t="n">
        <v>3</v>
      </c>
      <c r="I1222" s="20" t="n">
        <v>114.11</v>
      </c>
      <c r="J1222" s="20" t="n">
        <v>171.49</v>
      </c>
      <c r="K1222" s="18" t="n">
        <v>3</v>
      </c>
      <c r="L1222" s="18" t="n">
        <v>4</v>
      </c>
      <c r="M1222" s="18" t="n">
        <v>105</v>
      </c>
      <c r="N1222" s="18" t="n">
        <v>105</v>
      </c>
      <c r="O1222" s="14" t="s">
        <v>8411</v>
      </c>
      <c r="P1222" s="14" t="s">
        <v>118</v>
      </c>
      <c r="Q1222" s="15" t="s">
        <v>1089</v>
      </c>
      <c r="R1222" s="16" t="s">
        <v>8412</v>
      </c>
      <c r="S1222" s="15" t="s">
        <v>8413</v>
      </c>
      <c r="T1222" s="15" t="s">
        <v>8413</v>
      </c>
      <c r="U1222" s="21" t="s">
        <v>72</v>
      </c>
    </row>
    <row r="1223" customFormat="false" ht="26.85" hidden="false" customHeight="false" outlineLevel="0" collapsed="false">
      <c r="A1223" s="15" t="s">
        <v>850</v>
      </c>
      <c r="B1223" s="15" t="s">
        <v>8127</v>
      </c>
      <c r="C1223" s="14" t="s">
        <v>8414</v>
      </c>
      <c r="D1223" s="14" t="s">
        <v>8415</v>
      </c>
      <c r="E1223" s="16" t="s">
        <v>8416</v>
      </c>
      <c r="F1223" s="16"/>
      <c r="G1223" s="23" t="s">
        <v>43</v>
      </c>
      <c r="H1223" s="18" t="n">
        <v>2</v>
      </c>
      <c r="I1223" s="20" t="n">
        <v>33</v>
      </c>
      <c r="J1223" s="20" t="n">
        <v>73.31</v>
      </c>
      <c r="K1223" s="18" t="n">
        <v>2</v>
      </c>
      <c r="L1223" s="18" t="n">
        <v>4</v>
      </c>
      <c r="M1223" s="18" t="n">
        <v>36</v>
      </c>
      <c r="N1223" s="18" t="n">
        <v>36</v>
      </c>
      <c r="O1223" s="13" t="s">
        <v>8417</v>
      </c>
      <c r="P1223" s="14" t="s">
        <v>118</v>
      </c>
      <c r="Q1223" s="15" t="s">
        <v>1089</v>
      </c>
      <c r="R1223" s="16" t="s">
        <v>8418</v>
      </c>
      <c r="S1223" s="15" t="s">
        <v>8419</v>
      </c>
      <c r="T1223" s="15" t="s">
        <v>8419</v>
      </c>
      <c r="U1223" s="21" t="s">
        <v>72</v>
      </c>
    </row>
    <row r="1224" customFormat="false" ht="15" hidden="false" customHeight="false" outlineLevel="0" collapsed="false">
      <c r="A1224" s="15" t="s">
        <v>850</v>
      </c>
      <c r="B1224" s="15" t="s">
        <v>8127</v>
      </c>
      <c r="C1224" s="14" t="s">
        <v>8420</v>
      </c>
      <c r="D1224" s="14" t="s">
        <v>8421</v>
      </c>
      <c r="E1224" s="16" t="s">
        <v>8422</v>
      </c>
      <c r="F1224" s="16" t="s">
        <v>6955</v>
      </c>
      <c r="G1224" s="23" t="s">
        <v>43</v>
      </c>
      <c r="H1224" s="18" t="n">
        <v>2</v>
      </c>
      <c r="I1224" s="20" t="n">
        <v>60.08</v>
      </c>
      <c r="J1224" s="20" t="n">
        <v>114.5</v>
      </c>
      <c r="K1224" s="18" t="n">
        <v>2</v>
      </c>
      <c r="L1224" s="18" t="n">
        <v>4</v>
      </c>
      <c r="M1224" s="18" t="n">
        <v>50</v>
      </c>
      <c r="N1224" s="18" t="n">
        <v>50</v>
      </c>
      <c r="O1224" s="14" t="s">
        <v>4223</v>
      </c>
      <c r="P1224" s="14" t="s">
        <v>84</v>
      </c>
      <c r="Q1224" s="15" t="s">
        <v>1089</v>
      </c>
      <c r="R1224" s="16" t="s">
        <v>4836</v>
      </c>
      <c r="S1224" s="15" t="s">
        <v>6957</v>
      </c>
      <c r="T1224" s="15" t="s">
        <v>6957</v>
      </c>
      <c r="U1224" s="21" t="s">
        <v>72</v>
      </c>
    </row>
    <row r="1225" customFormat="false" ht="15" hidden="false" customHeight="false" outlineLevel="0" collapsed="false">
      <c r="A1225" s="15" t="s">
        <v>850</v>
      </c>
      <c r="B1225" s="15" t="s">
        <v>8127</v>
      </c>
      <c r="C1225" s="14" t="s">
        <v>8423</v>
      </c>
      <c r="D1225" s="14" t="s">
        <v>8424</v>
      </c>
      <c r="E1225" s="16" t="s">
        <v>8425</v>
      </c>
      <c r="F1225" s="16" t="s">
        <v>8426</v>
      </c>
      <c r="G1225" s="23" t="s">
        <v>43</v>
      </c>
      <c r="H1225" s="18" t="n">
        <v>2</v>
      </c>
      <c r="I1225" s="20" t="n">
        <v>30</v>
      </c>
      <c r="J1225" s="20" t="n">
        <v>149.65</v>
      </c>
      <c r="K1225" s="18" t="n">
        <v>4</v>
      </c>
      <c r="L1225" s="18" t="n">
        <v>1</v>
      </c>
      <c r="M1225" s="18" t="n">
        <v>96</v>
      </c>
      <c r="N1225" s="18" t="n">
        <v>48</v>
      </c>
      <c r="O1225" s="14" t="s">
        <v>4276</v>
      </c>
      <c r="P1225" s="14" t="s">
        <v>94</v>
      </c>
      <c r="Q1225" s="15" t="s">
        <v>1089</v>
      </c>
      <c r="R1225" s="16" t="s">
        <v>8427</v>
      </c>
      <c r="S1225" s="15" t="s">
        <v>8428</v>
      </c>
      <c r="T1225" s="15" t="s">
        <v>8428</v>
      </c>
      <c r="U1225" s="21" t="s">
        <v>72</v>
      </c>
    </row>
    <row r="1226" customFormat="false" ht="26.85" hidden="false" customHeight="false" outlineLevel="0" collapsed="false">
      <c r="A1226" s="15" t="s">
        <v>850</v>
      </c>
      <c r="B1226" s="15" t="s">
        <v>8127</v>
      </c>
      <c r="C1226" s="14" t="s">
        <v>8429</v>
      </c>
      <c r="D1226" s="14" t="s">
        <v>8430</v>
      </c>
      <c r="E1226" s="16" t="s">
        <v>8431</v>
      </c>
      <c r="F1226" s="16" t="s">
        <v>8432</v>
      </c>
      <c r="G1226" s="19" t="s">
        <v>41</v>
      </c>
      <c r="H1226" s="18" t="n">
        <v>5</v>
      </c>
      <c r="I1226" s="20" t="n">
        <v>217.88</v>
      </c>
      <c r="J1226" s="20" t="n">
        <v>377.49</v>
      </c>
      <c r="K1226" s="18" t="n">
        <v>4</v>
      </c>
      <c r="L1226" s="18" t="n">
        <v>13</v>
      </c>
      <c r="M1226" s="18" t="n">
        <v>156</v>
      </c>
      <c r="N1226" s="18" t="n">
        <v>156</v>
      </c>
      <c r="O1226" s="14" t="s">
        <v>5900</v>
      </c>
      <c r="P1226" s="14" t="s">
        <v>118</v>
      </c>
      <c r="Q1226" s="15" t="s">
        <v>1089</v>
      </c>
      <c r="R1226" s="16" t="s">
        <v>7795</v>
      </c>
      <c r="S1226" s="15" t="s">
        <v>8433</v>
      </c>
      <c r="T1226" s="15" t="s">
        <v>8434</v>
      </c>
      <c r="U1226" s="21" t="s">
        <v>72</v>
      </c>
    </row>
    <row r="1227" customFormat="false" ht="15" hidden="false" customHeight="false" outlineLevel="0" collapsed="false">
      <c r="A1227" s="15" t="s">
        <v>850</v>
      </c>
      <c r="B1227" s="15" t="s">
        <v>8127</v>
      </c>
      <c r="C1227" s="14" t="s">
        <v>8435</v>
      </c>
      <c r="D1227" s="14" t="s">
        <v>8436</v>
      </c>
      <c r="E1227" s="16" t="s">
        <v>8437</v>
      </c>
      <c r="F1227" s="16" t="s">
        <v>8438</v>
      </c>
      <c r="G1227" s="23" t="s">
        <v>43</v>
      </c>
      <c r="H1227" s="18" t="n">
        <v>1</v>
      </c>
      <c r="I1227" s="20" t="n">
        <v>49.39</v>
      </c>
      <c r="J1227" s="20" t="n">
        <v>91.6</v>
      </c>
      <c r="K1227" s="18" t="n">
        <v>6</v>
      </c>
      <c r="L1227" s="18" t="n">
        <v>2</v>
      </c>
      <c r="M1227" s="18" t="n">
        <v>246</v>
      </c>
      <c r="N1227" s="18" t="n">
        <v>82</v>
      </c>
      <c r="O1227" s="14" t="s">
        <v>4223</v>
      </c>
      <c r="P1227" s="14" t="s">
        <v>118</v>
      </c>
      <c r="Q1227" s="15" t="s">
        <v>1089</v>
      </c>
      <c r="R1227" s="16" t="s">
        <v>8439</v>
      </c>
      <c r="S1227" s="15" t="s">
        <v>8440</v>
      </c>
      <c r="T1227" s="15" t="s">
        <v>8440</v>
      </c>
      <c r="U1227" s="21" t="s">
        <v>72</v>
      </c>
    </row>
    <row r="1228" customFormat="false" ht="15" hidden="false" customHeight="false" outlineLevel="0" collapsed="false">
      <c r="A1228" s="15" t="s">
        <v>850</v>
      </c>
      <c r="B1228" s="15" t="s">
        <v>8127</v>
      </c>
      <c r="C1228" s="14" t="s">
        <v>8441</v>
      </c>
      <c r="D1228" s="14" t="s">
        <v>8442</v>
      </c>
      <c r="E1228" s="16" t="s">
        <v>8443</v>
      </c>
      <c r="F1228" s="16"/>
      <c r="G1228" s="23" t="s">
        <v>43</v>
      </c>
      <c r="H1228" s="18" t="n">
        <v>2</v>
      </c>
      <c r="I1228" s="20" t="n">
        <v>71.94</v>
      </c>
      <c r="J1228" s="20" t="n">
        <v>71.94</v>
      </c>
      <c r="K1228" s="18" t="n">
        <v>2</v>
      </c>
      <c r="L1228" s="18" t="n">
        <v>3</v>
      </c>
      <c r="M1228" s="18" t="n">
        <v>118</v>
      </c>
      <c r="N1228" s="18" t="n">
        <v>118</v>
      </c>
      <c r="O1228" s="14" t="s">
        <v>4983</v>
      </c>
      <c r="P1228" s="14" t="s">
        <v>84</v>
      </c>
      <c r="Q1228" s="15" t="s">
        <v>1089</v>
      </c>
      <c r="R1228" s="16" t="s">
        <v>8444</v>
      </c>
      <c r="S1228" s="15" t="s">
        <v>8445</v>
      </c>
      <c r="T1228" s="15" t="s">
        <v>8445</v>
      </c>
      <c r="U1228" s="21" t="s">
        <v>72</v>
      </c>
    </row>
    <row r="1229" customFormat="false" ht="15" hidden="false" customHeight="false" outlineLevel="0" collapsed="false">
      <c r="A1229" s="15" t="s">
        <v>850</v>
      </c>
      <c r="B1229" s="15" t="s">
        <v>8127</v>
      </c>
      <c r="C1229" s="14" t="s">
        <v>8446</v>
      </c>
      <c r="D1229" s="14" t="s">
        <v>8447</v>
      </c>
      <c r="E1229" s="16" t="s">
        <v>8448</v>
      </c>
      <c r="F1229" s="16"/>
      <c r="G1229" s="23" t="s">
        <v>43</v>
      </c>
      <c r="H1229" s="18" t="n">
        <v>2</v>
      </c>
      <c r="I1229" s="20" t="n">
        <v>42.12</v>
      </c>
      <c r="J1229" s="20" t="n">
        <v>87.35</v>
      </c>
      <c r="K1229" s="18" t="n">
        <v>4</v>
      </c>
      <c r="L1229" s="18" t="n">
        <v>3</v>
      </c>
      <c r="M1229" s="18" t="n">
        <v>76</v>
      </c>
      <c r="N1229" s="18" t="n">
        <v>76</v>
      </c>
      <c r="O1229" s="14" t="s">
        <v>1097</v>
      </c>
      <c r="P1229" s="14" t="s">
        <v>84</v>
      </c>
      <c r="Q1229" s="15" t="s">
        <v>1089</v>
      </c>
      <c r="R1229" s="16" t="s">
        <v>8449</v>
      </c>
      <c r="S1229" s="15" t="s">
        <v>8450</v>
      </c>
      <c r="T1229" s="15" t="s">
        <v>8450</v>
      </c>
      <c r="U1229" s="21" t="s">
        <v>72</v>
      </c>
    </row>
    <row r="1230" customFormat="false" ht="15" hidden="false" customHeight="false" outlineLevel="0" collapsed="false">
      <c r="A1230" s="15" t="s">
        <v>850</v>
      </c>
      <c r="B1230" s="15" t="s">
        <v>8127</v>
      </c>
      <c r="C1230" s="14" t="s">
        <v>8451</v>
      </c>
      <c r="D1230" s="14" t="s">
        <v>8452</v>
      </c>
      <c r="E1230" s="16" t="s">
        <v>8453</v>
      </c>
      <c r="F1230" s="16" t="s">
        <v>8454</v>
      </c>
      <c r="G1230" s="19" t="s">
        <v>41</v>
      </c>
      <c r="H1230" s="18" t="n">
        <v>5</v>
      </c>
      <c r="I1230" s="20" t="n">
        <v>63.91</v>
      </c>
      <c r="J1230" s="20" t="n">
        <v>183.08</v>
      </c>
      <c r="K1230" s="18" t="n">
        <v>9</v>
      </c>
      <c r="L1230" s="18" t="n">
        <v>8</v>
      </c>
      <c r="M1230" s="18" t="n">
        <v>126</v>
      </c>
      <c r="N1230" s="18" t="n">
        <v>126</v>
      </c>
      <c r="O1230" s="14" t="s">
        <v>1126</v>
      </c>
      <c r="P1230" s="14" t="s">
        <v>84</v>
      </c>
      <c r="Q1230" s="15" t="s">
        <v>1089</v>
      </c>
      <c r="R1230" s="16" t="s">
        <v>8455</v>
      </c>
      <c r="S1230" s="15" t="s">
        <v>8456</v>
      </c>
      <c r="T1230" s="15" t="s">
        <v>8456</v>
      </c>
      <c r="U1230" s="21" t="s">
        <v>72</v>
      </c>
    </row>
    <row r="1231" customFormat="false" ht="15" hidden="false" customHeight="false" outlineLevel="0" collapsed="false">
      <c r="A1231" s="15" t="s">
        <v>850</v>
      </c>
      <c r="B1231" s="15" t="s">
        <v>8127</v>
      </c>
      <c r="C1231" s="14" t="s">
        <v>8457</v>
      </c>
      <c r="D1231" s="14" t="s">
        <v>8458</v>
      </c>
      <c r="E1231" s="16" t="s">
        <v>8459</v>
      </c>
      <c r="F1231" s="16" t="s">
        <v>8460</v>
      </c>
      <c r="G1231" s="23" t="s">
        <v>43</v>
      </c>
      <c r="H1231" s="18" t="n">
        <v>2</v>
      </c>
      <c r="I1231" s="20" t="n">
        <v>39.71</v>
      </c>
      <c r="J1231" s="20" t="n">
        <v>89.47</v>
      </c>
      <c r="K1231" s="18" t="n">
        <v>2</v>
      </c>
      <c r="L1231" s="18" t="n">
        <v>1</v>
      </c>
      <c r="M1231" s="18" t="n">
        <v>38</v>
      </c>
      <c r="N1231" s="18" t="n">
        <v>38</v>
      </c>
      <c r="O1231" s="14" t="s">
        <v>1126</v>
      </c>
      <c r="P1231" s="14" t="s">
        <v>84</v>
      </c>
      <c r="Q1231" s="15" t="s">
        <v>1089</v>
      </c>
      <c r="R1231" s="16" t="s">
        <v>4472</v>
      </c>
      <c r="S1231" s="15" t="s">
        <v>8461</v>
      </c>
      <c r="T1231" s="15" t="s">
        <v>8461</v>
      </c>
      <c r="U1231" s="21" t="s">
        <v>72</v>
      </c>
    </row>
    <row r="1232" customFormat="false" ht="26.85" hidden="false" customHeight="false" outlineLevel="0" collapsed="false">
      <c r="A1232" s="15" t="s">
        <v>850</v>
      </c>
      <c r="B1232" s="15" t="s">
        <v>8127</v>
      </c>
      <c r="C1232" s="14" t="s">
        <v>8462</v>
      </c>
      <c r="D1232" s="14" t="s">
        <v>8463</v>
      </c>
      <c r="E1232" s="16" t="s">
        <v>8464</v>
      </c>
      <c r="F1232" s="16" t="s">
        <v>1812</v>
      </c>
      <c r="G1232" s="25" t="s">
        <v>39</v>
      </c>
      <c r="H1232" s="18" t="n">
        <v>8</v>
      </c>
      <c r="I1232" s="20" t="n">
        <v>245</v>
      </c>
      <c r="J1232" s="20" t="n">
        <v>481.3</v>
      </c>
      <c r="K1232" s="18" t="n">
        <v>8</v>
      </c>
      <c r="L1232" s="18" t="n">
        <v>17</v>
      </c>
      <c r="M1232" s="18" t="n">
        <v>232</v>
      </c>
      <c r="N1232" s="18" t="n">
        <v>232</v>
      </c>
      <c r="O1232" s="14" t="s">
        <v>4343</v>
      </c>
      <c r="P1232" s="14" t="s">
        <v>84</v>
      </c>
      <c r="Q1232" s="15" t="s">
        <v>1089</v>
      </c>
      <c r="R1232" s="16" t="s">
        <v>7086</v>
      </c>
      <c r="S1232" s="15" t="s">
        <v>1813</v>
      </c>
      <c r="T1232" s="15" t="s">
        <v>8465</v>
      </c>
      <c r="U1232" s="21" t="s">
        <v>72</v>
      </c>
    </row>
    <row r="1233" customFormat="false" ht="26.85" hidden="false" customHeight="false" outlineLevel="0" collapsed="false">
      <c r="A1233" s="15" t="s">
        <v>850</v>
      </c>
      <c r="B1233" s="15" t="s">
        <v>8127</v>
      </c>
      <c r="C1233" s="14" t="s">
        <v>8466</v>
      </c>
      <c r="D1233" s="14" t="s">
        <v>8467</v>
      </c>
      <c r="E1233" s="16" t="s">
        <v>8464</v>
      </c>
      <c r="F1233" s="16" t="s">
        <v>1812</v>
      </c>
      <c r="G1233" s="23" t="s">
        <v>43</v>
      </c>
      <c r="H1233" s="18" t="n">
        <v>4</v>
      </c>
      <c r="I1233" s="20" t="n">
        <v>114.1</v>
      </c>
      <c r="J1233" s="20" t="n">
        <v>188.9</v>
      </c>
      <c r="K1233" s="18" t="n">
        <v>6</v>
      </c>
      <c r="L1233" s="18" t="n">
        <v>14</v>
      </c>
      <c r="M1233" s="18" t="n">
        <v>150</v>
      </c>
      <c r="N1233" s="18" t="n">
        <v>150</v>
      </c>
      <c r="O1233" s="14" t="s">
        <v>4223</v>
      </c>
      <c r="P1233" s="14" t="s">
        <v>84</v>
      </c>
      <c r="Q1233" s="15" t="s">
        <v>1089</v>
      </c>
      <c r="R1233" s="16" t="s">
        <v>4818</v>
      </c>
      <c r="S1233" s="15" t="s">
        <v>1813</v>
      </c>
      <c r="T1233" s="15" t="s">
        <v>8468</v>
      </c>
      <c r="U1233" s="21" t="s">
        <v>72</v>
      </c>
    </row>
    <row r="1234" customFormat="false" ht="15" hidden="false" customHeight="false" outlineLevel="0" collapsed="false">
      <c r="A1234" s="15" t="s">
        <v>850</v>
      </c>
      <c r="B1234" s="15" t="s">
        <v>8127</v>
      </c>
      <c r="C1234" s="14" t="s">
        <v>8469</v>
      </c>
      <c r="D1234" s="14" t="s">
        <v>8470</v>
      </c>
      <c r="E1234" s="16" t="s">
        <v>8471</v>
      </c>
      <c r="F1234" s="16" t="s">
        <v>1812</v>
      </c>
      <c r="G1234" s="19" t="s">
        <v>41</v>
      </c>
      <c r="H1234" s="18" t="n">
        <v>7</v>
      </c>
      <c r="I1234" s="20" t="n">
        <v>247.1</v>
      </c>
      <c r="J1234" s="20" t="n">
        <v>303.73</v>
      </c>
      <c r="K1234" s="18" t="n">
        <v>10</v>
      </c>
      <c r="L1234" s="18" t="n">
        <v>19</v>
      </c>
      <c r="M1234" s="18" t="n">
        <v>290</v>
      </c>
      <c r="N1234" s="18" t="n">
        <v>232</v>
      </c>
      <c r="O1234" s="14" t="s">
        <v>4385</v>
      </c>
      <c r="P1234" s="14" t="s">
        <v>118</v>
      </c>
      <c r="Q1234" s="15" t="s">
        <v>1089</v>
      </c>
      <c r="R1234" s="16" t="s">
        <v>8472</v>
      </c>
      <c r="S1234" s="15" t="s">
        <v>1813</v>
      </c>
      <c r="T1234" s="15" t="s">
        <v>8473</v>
      </c>
      <c r="U1234" s="21" t="s">
        <v>72</v>
      </c>
    </row>
    <row r="1235" customFormat="false" ht="15" hidden="false" customHeight="false" outlineLevel="0" collapsed="false">
      <c r="A1235" s="15" t="s">
        <v>850</v>
      </c>
      <c r="B1235" s="15" t="s">
        <v>8127</v>
      </c>
      <c r="C1235" s="14" t="s">
        <v>8474</v>
      </c>
      <c r="D1235" s="14" t="s">
        <v>8475</v>
      </c>
      <c r="E1235" s="16" t="s">
        <v>8476</v>
      </c>
      <c r="F1235" s="16"/>
      <c r="G1235" s="25" t="s">
        <v>39</v>
      </c>
      <c r="H1235" s="18" t="n">
        <v>8</v>
      </c>
      <c r="I1235" s="20" t="n">
        <v>72.75</v>
      </c>
      <c r="J1235" s="20" t="n">
        <v>154.7</v>
      </c>
      <c r="K1235" s="18" t="n">
        <v>8</v>
      </c>
      <c r="L1235" s="18" t="n">
        <v>7</v>
      </c>
      <c r="M1235" s="18" t="n">
        <v>53</v>
      </c>
      <c r="N1235" s="18" t="n">
        <v>7</v>
      </c>
      <c r="O1235" s="14" t="s">
        <v>4446</v>
      </c>
      <c r="P1235" s="14" t="s">
        <v>118</v>
      </c>
      <c r="Q1235" s="15" t="s">
        <v>1089</v>
      </c>
      <c r="R1235" s="16" t="s">
        <v>8477</v>
      </c>
      <c r="S1235" s="15" t="s">
        <v>8478</v>
      </c>
      <c r="T1235" s="15" t="s">
        <v>8479</v>
      </c>
      <c r="U1235" s="21" t="s">
        <v>72</v>
      </c>
    </row>
    <row r="1236" customFormat="false" ht="39.55" hidden="false" customHeight="false" outlineLevel="0" collapsed="false">
      <c r="A1236" s="15" t="s">
        <v>850</v>
      </c>
      <c r="B1236" s="15" t="s">
        <v>8480</v>
      </c>
      <c r="C1236" s="14" t="s">
        <v>8481</v>
      </c>
      <c r="D1236" s="14" t="s">
        <v>8482</v>
      </c>
      <c r="E1236" s="16" t="s">
        <v>8483</v>
      </c>
      <c r="F1236" s="16" t="s">
        <v>8484</v>
      </c>
      <c r="G1236" s="25" t="s">
        <v>39</v>
      </c>
      <c r="H1236" s="18" t="n">
        <v>5</v>
      </c>
      <c r="I1236" s="20" t="n">
        <v>239.5</v>
      </c>
      <c r="J1236" s="20" t="n">
        <v>682.18</v>
      </c>
      <c r="K1236" s="18" t="n">
        <v>10</v>
      </c>
      <c r="L1236" s="18" t="n">
        <v>46</v>
      </c>
      <c r="M1236" s="18" t="n">
        <v>332</v>
      </c>
      <c r="N1236" s="18" t="n">
        <v>27</v>
      </c>
      <c r="O1236" s="14" t="s">
        <v>1097</v>
      </c>
      <c r="P1236" s="14" t="s">
        <v>8485</v>
      </c>
      <c r="Q1236" s="15" t="s">
        <v>1089</v>
      </c>
      <c r="R1236" s="16" t="s">
        <v>503</v>
      </c>
      <c r="S1236" s="15" t="s">
        <v>2538</v>
      </c>
      <c r="T1236" s="15" t="s">
        <v>8486</v>
      </c>
      <c r="U1236" s="21" t="s">
        <v>72</v>
      </c>
    </row>
    <row r="1237" customFormat="false" ht="39.55" hidden="false" customHeight="false" outlineLevel="0" collapsed="false">
      <c r="A1237" s="15" t="s">
        <v>850</v>
      </c>
      <c r="B1237" s="15" t="s">
        <v>8480</v>
      </c>
      <c r="C1237" s="14" t="s">
        <v>8487</v>
      </c>
      <c r="D1237" s="14" t="s">
        <v>8488</v>
      </c>
      <c r="E1237" s="16" t="s">
        <v>8489</v>
      </c>
      <c r="F1237" s="16"/>
      <c r="G1237" s="25" t="s">
        <v>39</v>
      </c>
      <c r="H1237" s="18" t="n">
        <v>12</v>
      </c>
      <c r="I1237" s="20" t="n">
        <v>253.3</v>
      </c>
      <c r="J1237" s="20" t="n">
        <v>450.32</v>
      </c>
      <c r="K1237" s="18" t="n">
        <v>23</v>
      </c>
      <c r="L1237" s="18" t="n">
        <v>18</v>
      </c>
      <c r="M1237" s="18" t="n">
        <v>445</v>
      </c>
      <c r="N1237" s="18" t="n">
        <v>280</v>
      </c>
      <c r="O1237" s="14" t="s">
        <v>4215</v>
      </c>
      <c r="P1237" s="14" t="s">
        <v>8490</v>
      </c>
      <c r="Q1237" s="15" t="s">
        <v>1089</v>
      </c>
      <c r="R1237" s="16" t="s">
        <v>8145</v>
      </c>
      <c r="S1237" s="15" t="s">
        <v>1091</v>
      </c>
      <c r="T1237" s="15" t="s">
        <v>8491</v>
      </c>
      <c r="U1237" s="21" t="s">
        <v>72</v>
      </c>
    </row>
    <row r="1238" customFormat="false" ht="15" hidden="false" customHeight="false" outlineLevel="0" collapsed="false">
      <c r="A1238" s="15" t="s">
        <v>850</v>
      </c>
      <c r="B1238" s="15" t="s">
        <v>8480</v>
      </c>
      <c r="C1238" s="14" t="s">
        <v>8492</v>
      </c>
      <c r="D1238" s="14" t="s">
        <v>8493</v>
      </c>
      <c r="E1238" s="16" t="s">
        <v>8494</v>
      </c>
      <c r="F1238" s="16" t="s">
        <v>8495</v>
      </c>
      <c r="G1238" s="25" t="s">
        <v>39</v>
      </c>
      <c r="H1238" s="18" t="n">
        <v>9</v>
      </c>
      <c r="I1238" s="20" t="n">
        <v>158.84</v>
      </c>
      <c r="J1238" s="20" t="n">
        <v>311.64</v>
      </c>
      <c r="K1238" s="18" t="n">
        <v>18</v>
      </c>
      <c r="L1238" s="18" t="n">
        <v>32</v>
      </c>
      <c r="M1238" s="18" t="n">
        <v>306</v>
      </c>
      <c r="N1238" s="18" t="n">
        <v>153</v>
      </c>
      <c r="O1238" s="14" t="s">
        <v>4983</v>
      </c>
      <c r="P1238" s="14" t="s">
        <v>84</v>
      </c>
      <c r="Q1238" s="15" t="s">
        <v>1089</v>
      </c>
      <c r="R1238" s="16" t="s">
        <v>8496</v>
      </c>
      <c r="S1238" s="15" t="s">
        <v>8497</v>
      </c>
      <c r="T1238" s="15" t="s">
        <v>8498</v>
      </c>
      <c r="U1238" s="21" t="s">
        <v>72</v>
      </c>
    </row>
    <row r="1239" customFormat="false" ht="15" hidden="false" customHeight="false" outlineLevel="0" collapsed="false">
      <c r="A1239" s="15" t="s">
        <v>850</v>
      </c>
      <c r="B1239" s="15" t="s">
        <v>8480</v>
      </c>
      <c r="C1239" s="14" t="s">
        <v>8499</v>
      </c>
      <c r="D1239" s="14" t="s">
        <v>8500</v>
      </c>
      <c r="E1239" s="16" t="s">
        <v>8501</v>
      </c>
      <c r="F1239" s="16"/>
      <c r="G1239" s="25" t="s">
        <v>39</v>
      </c>
      <c r="H1239" s="18" t="n">
        <v>8</v>
      </c>
      <c r="I1239" s="20" t="n">
        <v>231.45</v>
      </c>
      <c r="J1239" s="20" t="n">
        <v>779.79</v>
      </c>
      <c r="K1239" s="18" t="n">
        <v>4</v>
      </c>
      <c r="L1239" s="18" t="n">
        <v>3</v>
      </c>
      <c r="M1239" s="18" t="n">
        <v>188</v>
      </c>
      <c r="N1239" s="18" t="n">
        <v>141</v>
      </c>
      <c r="O1239" s="14" t="s">
        <v>4713</v>
      </c>
      <c r="P1239" s="14" t="s">
        <v>118</v>
      </c>
      <c r="Q1239" s="15" t="s">
        <v>1089</v>
      </c>
      <c r="R1239" s="16" t="s">
        <v>3807</v>
      </c>
      <c r="S1239" s="15" t="s">
        <v>8502</v>
      </c>
      <c r="T1239" s="15" t="s">
        <v>8503</v>
      </c>
      <c r="U1239" s="21" t="s">
        <v>72</v>
      </c>
    </row>
    <row r="1240" customFormat="false" ht="15" hidden="false" customHeight="false" outlineLevel="0" collapsed="false">
      <c r="A1240" s="15" t="s">
        <v>850</v>
      </c>
      <c r="B1240" s="15" t="s">
        <v>8480</v>
      </c>
      <c r="C1240" s="14" t="s">
        <v>8504</v>
      </c>
      <c r="D1240" s="14" t="s">
        <v>8505</v>
      </c>
      <c r="E1240" s="16" t="s">
        <v>8506</v>
      </c>
      <c r="F1240" s="16" t="s">
        <v>8507</v>
      </c>
      <c r="G1240" s="23" t="s">
        <v>43</v>
      </c>
      <c r="H1240" s="18" t="n">
        <v>3</v>
      </c>
      <c r="I1240" s="20" t="n">
        <v>67.57</v>
      </c>
      <c r="J1240" s="20" t="n">
        <v>107.58</v>
      </c>
      <c r="K1240" s="18" t="n">
        <v>3</v>
      </c>
      <c r="L1240" s="18" t="n">
        <v>1</v>
      </c>
      <c r="M1240" s="18" t="n">
        <v>69</v>
      </c>
      <c r="N1240" s="18" t="n">
        <v>69</v>
      </c>
      <c r="O1240" s="14" t="s">
        <v>8508</v>
      </c>
      <c r="P1240" s="14" t="s">
        <v>84</v>
      </c>
      <c r="Q1240" s="15" t="s">
        <v>1089</v>
      </c>
      <c r="R1240" s="16" t="s">
        <v>8137</v>
      </c>
      <c r="S1240" s="15" t="s">
        <v>8509</v>
      </c>
      <c r="T1240" s="15" t="s">
        <v>8509</v>
      </c>
      <c r="U1240" s="21" t="s">
        <v>72</v>
      </c>
    </row>
    <row r="1241" customFormat="false" ht="15" hidden="false" customHeight="false" outlineLevel="0" collapsed="false">
      <c r="A1241" s="15" t="s">
        <v>850</v>
      </c>
      <c r="B1241" s="15" t="s">
        <v>8480</v>
      </c>
      <c r="C1241" s="14" t="s">
        <v>8510</v>
      </c>
      <c r="D1241" s="14" t="s">
        <v>8511</v>
      </c>
      <c r="E1241" s="16" t="s">
        <v>8512</v>
      </c>
      <c r="F1241" s="16"/>
      <c r="G1241" s="19" t="s">
        <v>41</v>
      </c>
      <c r="H1241" s="18" t="n">
        <v>6</v>
      </c>
      <c r="I1241" s="20" t="n">
        <v>119.12</v>
      </c>
      <c r="J1241" s="20" t="n">
        <v>283.43</v>
      </c>
      <c r="K1241" s="18" t="n">
        <v>4</v>
      </c>
      <c r="L1241" s="18" t="n">
        <v>4</v>
      </c>
      <c r="M1241" s="18" t="n">
        <v>74</v>
      </c>
      <c r="N1241" s="18" t="n">
        <v>32</v>
      </c>
      <c r="O1241" s="14" t="s">
        <v>1126</v>
      </c>
      <c r="P1241" s="14" t="s">
        <v>118</v>
      </c>
      <c r="Q1241" s="15" t="s">
        <v>1089</v>
      </c>
      <c r="R1241" s="16" t="s">
        <v>8513</v>
      </c>
      <c r="S1241" s="15" t="s">
        <v>8514</v>
      </c>
      <c r="T1241" s="15" t="s">
        <v>8515</v>
      </c>
      <c r="U1241" s="21" t="s">
        <v>72</v>
      </c>
    </row>
    <row r="1242" customFormat="false" ht="15" hidden="false" customHeight="false" outlineLevel="0" collapsed="false">
      <c r="A1242" s="15" t="s">
        <v>850</v>
      </c>
      <c r="B1242" s="15" t="s">
        <v>8480</v>
      </c>
      <c r="C1242" s="14" t="s">
        <v>8516</v>
      </c>
      <c r="D1242" s="14" t="s">
        <v>8517</v>
      </c>
      <c r="E1242" s="16" t="s">
        <v>8518</v>
      </c>
      <c r="F1242" s="16"/>
      <c r="G1242" s="23" t="s">
        <v>43</v>
      </c>
      <c r="H1242" s="18" t="n">
        <v>2</v>
      </c>
      <c r="I1242" s="20" t="n">
        <v>30.93</v>
      </c>
      <c r="J1242" s="20" t="n">
        <v>85.2</v>
      </c>
      <c r="K1242" s="18" t="n">
        <v>4</v>
      </c>
      <c r="L1242" s="18" t="n">
        <v>8</v>
      </c>
      <c r="M1242" s="18" t="n">
        <v>55</v>
      </c>
      <c r="N1242" s="18" t="n">
        <v>25</v>
      </c>
      <c r="O1242" s="14" t="s">
        <v>1126</v>
      </c>
      <c r="P1242" s="14" t="s">
        <v>118</v>
      </c>
      <c r="Q1242" s="15" t="s">
        <v>1089</v>
      </c>
      <c r="R1242" s="16" t="s">
        <v>175</v>
      </c>
      <c r="S1242" s="15" t="s">
        <v>8519</v>
      </c>
      <c r="T1242" s="15" t="s">
        <v>8519</v>
      </c>
      <c r="U1242" s="21" t="s">
        <v>72</v>
      </c>
    </row>
    <row r="1243" customFormat="false" ht="15" hidden="false" customHeight="false" outlineLevel="0" collapsed="false">
      <c r="A1243" s="15" t="s">
        <v>850</v>
      </c>
      <c r="B1243" s="15" t="s">
        <v>8480</v>
      </c>
      <c r="C1243" s="14" t="s">
        <v>8520</v>
      </c>
      <c r="D1243" s="14" t="s">
        <v>8521</v>
      </c>
      <c r="E1243" s="16" t="s">
        <v>8522</v>
      </c>
      <c r="F1243" s="16" t="s">
        <v>8523</v>
      </c>
      <c r="G1243" s="23" t="s">
        <v>43</v>
      </c>
      <c r="H1243" s="18" t="n">
        <v>2</v>
      </c>
      <c r="I1243" s="20" t="n">
        <v>35.26</v>
      </c>
      <c r="J1243" s="20" t="n">
        <v>71.61</v>
      </c>
      <c r="K1243" s="18" t="n">
        <v>3</v>
      </c>
      <c r="L1243" s="18" t="n">
        <v>6</v>
      </c>
      <c r="M1243" s="18" t="n">
        <v>42</v>
      </c>
      <c r="N1243" s="18" t="n">
        <v>42</v>
      </c>
      <c r="O1243" s="14" t="s">
        <v>8524</v>
      </c>
      <c r="P1243" s="14" t="s">
        <v>515</v>
      </c>
      <c r="Q1243" s="15" t="s">
        <v>1089</v>
      </c>
      <c r="R1243" s="16" t="s">
        <v>6864</v>
      </c>
      <c r="S1243" s="15" t="s">
        <v>8525</v>
      </c>
      <c r="T1243" s="15" t="s">
        <v>8525</v>
      </c>
      <c r="U1243" s="21" t="s">
        <v>72</v>
      </c>
    </row>
    <row r="1244" customFormat="false" ht="15" hidden="false" customHeight="false" outlineLevel="0" collapsed="false">
      <c r="A1244" s="15" t="s">
        <v>850</v>
      </c>
      <c r="B1244" s="15" t="s">
        <v>8480</v>
      </c>
      <c r="C1244" s="14" t="s">
        <v>8526</v>
      </c>
      <c r="D1244" s="14" t="s">
        <v>8527</v>
      </c>
      <c r="E1244" s="16" t="s">
        <v>8528</v>
      </c>
      <c r="F1244" s="16" t="s">
        <v>8529</v>
      </c>
      <c r="G1244" s="23" t="s">
        <v>43</v>
      </c>
      <c r="H1244" s="18" t="n">
        <v>4</v>
      </c>
      <c r="I1244" s="20" t="n">
        <v>47.6</v>
      </c>
      <c r="J1244" s="20" t="n">
        <v>81.02</v>
      </c>
      <c r="K1244" s="18" t="n">
        <v>4</v>
      </c>
      <c r="L1244" s="18" t="n">
        <v>3</v>
      </c>
      <c r="M1244" s="18" t="n">
        <v>76</v>
      </c>
      <c r="N1244" s="18" t="n">
        <v>42</v>
      </c>
      <c r="O1244" s="14" t="s">
        <v>4343</v>
      </c>
      <c r="P1244" s="14" t="s">
        <v>118</v>
      </c>
      <c r="Q1244" s="15" t="s">
        <v>1089</v>
      </c>
      <c r="R1244" s="16" t="s">
        <v>8530</v>
      </c>
      <c r="S1244" s="15" t="s">
        <v>8531</v>
      </c>
      <c r="T1244" s="15" t="s">
        <v>8532</v>
      </c>
      <c r="U1244" s="21" t="s">
        <v>72</v>
      </c>
    </row>
    <row r="1245" customFormat="false" ht="26.85" hidden="false" customHeight="false" outlineLevel="0" collapsed="false">
      <c r="A1245" s="15" t="s">
        <v>850</v>
      </c>
      <c r="B1245" s="15" t="s">
        <v>8480</v>
      </c>
      <c r="C1245" s="14" t="s">
        <v>8533</v>
      </c>
      <c r="D1245" s="14" t="s">
        <v>8534</v>
      </c>
      <c r="E1245" s="16" t="s">
        <v>8535</v>
      </c>
      <c r="F1245" s="16"/>
      <c r="G1245" s="25" t="s">
        <v>39</v>
      </c>
      <c r="H1245" s="18" t="n">
        <v>13</v>
      </c>
      <c r="I1245" s="20" t="n">
        <v>343.27</v>
      </c>
      <c r="J1245" s="20" t="n">
        <v>621.88</v>
      </c>
      <c r="K1245" s="18" t="n">
        <v>5</v>
      </c>
      <c r="L1245" s="18" t="n">
        <v>3</v>
      </c>
      <c r="M1245" s="18" t="n">
        <v>135</v>
      </c>
      <c r="N1245" s="18" t="n">
        <v>108</v>
      </c>
      <c r="O1245" s="14" t="s">
        <v>8536</v>
      </c>
      <c r="P1245" s="14" t="s">
        <v>352</v>
      </c>
      <c r="Q1245" s="15" t="s">
        <v>1089</v>
      </c>
      <c r="R1245" s="16" t="s">
        <v>8537</v>
      </c>
      <c r="S1245" s="15" t="s">
        <v>8497</v>
      </c>
      <c r="T1245" s="15" t="s">
        <v>8538</v>
      </c>
      <c r="U1245" s="21" t="s">
        <v>72</v>
      </c>
    </row>
    <row r="1246" customFormat="false" ht="26.85" hidden="false" customHeight="false" outlineLevel="0" collapsed="false">
      <c r="A1246" s="15" t="s">
        <v>850</v>
      </c>
      <c r="B1246" s="15" t="s">
        <v>8480</v>
      </c>
      <c r="C1246" s="14" t="s">
        <v>8539</v>
      </c>
      <c r="D1246" s="14" t="s">
        <v>8540</v>
      </c>
      <c r="E1246" s="16" t="s">
        <v>8541</v>
      </c>
      <c r="F1246" s="16" t="s">
        <v>8542</v>
      </c>
      <c r="G1246" s="19" t="s">
        <v>41</v>
      </c>
      <c r="H1246" s="18" t="n">
        <v>4</v>
      </c>
      <c r="I1246" s="20" t="n">
        <v>204.544</v>
      </c>
      <c r="J1246" s="20" t="n">
        <v>283.66</v>
      </c>
      <c r="K1246" s="18" t="n">
        <v>5</v>
      </c>
      <c r="L1246" s="18" t="n">
        <v>4</v>
      </c>
      <c r="M1246" s="18" t="n">
        <v>249</v>
      </c>
      <c r="N1246" s="18" t="n">
        <v>249</v>
      </c>
      <c r="O1246" s="14" t="s">
        <v>8543</v>
      </c>
      <c r="P1246" s="14" t="s">
        <v>118</v>
      </c>
      <c r="Q1246" s="15" t="s">
        <v>1089</v>
      </c>
      <c r="R1246" s="16" t="s">
        <v>8544</v>
      </c>
      <c r="S1246" s="15" t="s">
        <v>8545</v>
      </c>
      <c r="T1246" s="15" t="s">
        <v>8546</v>
      </c>
      <c r="U1246" s="21" t="s">
        <v>72</v>
      </c>
    </row>
    <row r="1247" customFormat="false" ht="15" hidden="false" customHeight="false" outlineLevel="0" collapsed="false">
      <c r="A1247" s="15" t="s">
        <v>850</v>
      </c>
      <c r="B1247" s="15" t="s">
        <v>8480</v>
      </c>
      <c r="C1247" s="14" t="s">
        <v>8547</v>
      </c>
      <c r="D1247" s="14" t="s">
        <v>8548</v>
      </c>
      <c r="E1247" s="16" t="s">
        <v>8549</v>
      </c>
      <c r="F1247" s="16" t="s">
        <v>8550</v>
      </c>
      <c r="G1247" s="23" t="s">
        <v>43</v>
      </c>
      <c r="H1247" s="18" t="n">
        <v>4</v>
      </c>
      <c r="I1247" s="20" t="n">
        <v>65.43</v>
      </c>
      <c r="J1247" s="20" t="n">
        <v>110.12</v>
      </c>
      <c r="K1247" s="18" t="n">
        <v>4</v>
      </c>
      <c r="L1247" s="18" t="n">
        <v>3</v>
      </c>
      <c r="M1247" s="18" t="n">
        <v>52</v>
      </c>
      <c r="N1247" s="18" t="n">
        <v>26</v>
      </c>
      <c r="O1247" s="14" t="s">
        <v>1097</v>
      </c>
      <c r="P1247" s="14" t="s">
        <v>118</v>
      </c>
      <c r="Q1247" s="15" t="s">
        <v>1089</v>
      </c>
      <c r="R1247" s="16" t="s">
        <v>8551</v>
      </c>
      <c r="S1247" s="15" t="s">
        <v>8531</v>
      </c>
      <c r="T1247" s="15" t="s">
        <v>8531</v>
      </c>
      <c r="U1247" s="21" t="s">
        <v>72</v>
      </c>
    </row>
    <row r="1248" customFormat="false" ht="26.85" hidden="false" customHeight="false" outlineLevel="0" collapsed="false">
      <c r="A1248" s="15" t="s">
        <v>850</v>
      </c>
      <c r="B1248" s="15" t="s">
        <v>8480</v>
      </c>
      <c r="C1248" s="14" t="s">
        <v>8552</v>
      </c>
      <c r="D1248" s="14" t="s">
        <v>8553</v>
      </c>
      <c r="E1248" s="16" t="s">
        <v>8554</v>
      </c>
      <c r="F1248" s="16"/>
      <c r="G1248" s="25" t="s">
        <v>39</v>
      </c>
      <c r="H1248" s="18" t="n">
        <v>11</v>
      </c>
      <c r="I1248" s="20" t="n">
        <v>218.43</v>
      </c>
      <c r="J1248" s="20" t="n">
        <v>350.12</v>
      </c>
      <c r="K1248" s="18" t="n">
        <v>11</v>
      </c>
      <c r="L1248" s="18" t="n">
        <v>9</v>
      </c>
      <c r="M1248" s="18" t="n">
        <v>220</v>
      </c>
      <c r="N1248" s="18" t="n">
        <v>78</v>
      </c>
      <c r="O1248" s="14" t="s">
        <v>4385</v>
      </c>
      <c r="P1248" s="14" t="s">
        <v>118</v>
      </c>
      <c r="Q1248" s="15" t="s">
        <v>1089</v>
      </c>
      <c r="R1248" s="16" t="s">
        <v>5275</v>
      </c>
      <c r="S1248" s="15" t="s">
        <v>8555</v>
      </c>
      <c r="T1248" s="15" t="s">
        <v>8555</v>
      </c>
      <c r="U1248" s="21" t="s">
        <v>72</v>
      </c>
    </row>
    <row r="1249" customFormat="false" ht="15" hidden="false" customHeight="false" outlineLevel="0" collapsed="false">
      <c r="A1249" s="15" t="s">
        <v>850</v>
      </c>
      <c r="B1249" s="15" t="s">
        <v>8480</v>
      </c>
      <c r="C1249" s="14" t="s">
        <v>8556</v>
      </c>
      <c r="D1249" s="14" t="s">
        <v>8557</v>
      </c>
      <c r="E1249" s="16" t="s">
        <v>8558</v>
      </c>
      <c r="F1249" s="16"/>
      <c r="G1249" s="19" t="s">
        <v>41</v>
      </c>
      <c r="H1249" s="18" t="n">
        <v>6</v>
      </c>
      <c r="I1249" s="20" t="n">
        <v>95.409</v>
      </c>
      <c r="J1249" s="20" t="n">
        <v>209.2</v>
      </c>
      <c r="K1249" s="18" t="n">
        <v>7</v>
      </c>
      <c r="L1249" s="18" t="n">
        <v>3</v>
      </c>
      <c r="M1249" s="18" t="n">
        <v>154</v>
      </c>
      <c r="N1249" s="18" t="n">
        <v>125</v>
      </c>
      <c r="O1249" s="14" t="s">
        <v>3724</v>
      </c>
      <c r="P1249" s="14" t="s">
        <v>118</v>
      </c>
      <c r="Q1249" s="15" t="s">
        <v>1089</v>
      </c>
      <c r="R1249" s="16" t="s">
        <v>8559</v>
      </c>
      <c r="S1249" s="15" t="s">
        <v>8514</v>
      </c>
      <c r="T1249" s="15" t="s">
        <v>8514</v>
      </c>
      <c r="U1249" s="21" t="s">
        <v>72</v>
      </c>
    </row>
    <row r="1250" customFormat="false" ht="15" hidden="false" customHeight="false" outlineLevel="0" collapsed="false">
      <c r="A1250" s="15" t="s">
        <v>850</v>
      </c>
      <c r="B1250" s="15" t="s">
        <v>8480</v>
      </c>
      <c r="C1250" s="14" t="s">
        <v>8560</v>
      </c>
      <c r="D1250" s="14" t="s">
        <v>8561</v>
      </c>
      <c r="E1250" s="16" t="s">
        <v>8562</v>
      </c>
      <c r="F1250" s="16" t="s">
        <v>8563</v>
      </c>
      <c r="G1250" s="23" t="s">
        <v>43</v>
      </c>
      <c r="H1250" s="18" t="n">
        <v>3</v>
      </c>
      <c r="I1250" s="20" t="n">
        <v>53.84</v>
      </c>
      <c r="J1250" s="20" t="n">
        <v>121.27</v>
      </c>
      <c r="K1250" s="18" t="n">
        <v>5</v>
      </c>
      <c r="L1250" s="18" t="n">
        <v>2</v>
      </c>
      <c r="M1250" s="18" t="n">
        <v>78</v>
      </c>
      <c r="N1250" s="18" t="n">
        <v>36</v>
      </c>
      <c r="O1250" s="14" t="s">
        <v>4343</v>
      </c>
      <c r="P1250" s="14" t="s">
        <v>118</v>
      </c>
      <c r="Q1250" s="15" t="s">
        <v>1089</v>
      </c>
      <c r="R1250" s="16" t="s">
        <v>4344</v>
      </c>
      <c r="S1250" s="15" t="s">
        <v>8564</v>
      </c>
      <c r="T1250" s="15" t="s">
        <v>8564</v>
      </c>
      <c r="U1250" s="21" t="s">
        <v>72</v>
      </c>
    </row>
    <row r="1251" customFormat="false" ht="15" hidden="false" customHeight="false" outlineLevel="0" collapsed="false">
      <c r="A1251" s="15" t="s">
        <v>850</v>
      </c>
      <c r="B1251" s="15" t="s">
        <v>8480</v>
      </c>
      <c r="C1251" s="14" t="s">
        <v>8565</v>
      </c>
      <c r="D1251" s="14" t="s">
        <v>8566</v>
      </c>
      <c r="E1251" s="16" t="s">
        <v>8567</v>
      </c>
      <c r="F1251" s="16"/>
      <c r="G1251" s="19" t="s">
        <v>41</v>
      </c>
      <c r="H1251" s="18" t="n">
        <v>5</v>
      </c>
      <c r="I1251" s="20" t="n">
        <v>73.81</v>
      </c>
      <c r="J1251" s="20" t="n">
        <v>136.43</v>
      </c>
      <c r="K1251" s="18" t="n">
        <v>5</v>
      </c>
      <c r="L1251" s="18" t="n">
        <v>2</v>
      </c>
      <c r="M1251" s="18" t="n">
        <v>59</v>
      </c>
      <c r="N1251" s="18" t="n">
        <v>59</v>
      </c>
      <c r="O1251" s="14" t="s">
        <v>4343</v>
      </c>
      <c r="P1251" s="14" t="s">
        <v>84</v>
      </c>
      <c r="Q1251" s="15" t="s">
        <v>1089</v>
      </c>
      <c r="R1251" s="16" t="s">
        <v>793</v>
      </c>
      <c r="S1251" s="15" t="s">
        <v>8568</v>
      </c>
      <c r="T1251" s="15" t="s">
        <v>8568</v>
      </c>
      <c r="U1251" s="21" t="s">
        <v>72</v>
      </c>
    </row>
    <row r="1252" customFormat="false" ht="15" hidden="false" customHeight="false" outlineLevel="0" collapsed="false">
      <c r="A1252" s="15" t="s">
        <v>850</v>
      </c>
      <c r="B1252" s="15" t="s">
        <v>8480</v>
      </c>
      <c r="C1252" s="14" t="s">
        <v>8569</v>
      </c>
      <c r="D1252" s="14" t="s">
        <v>8570</v>
      </c>
      <c r="E1252" s="16" t="s">
        <v>8571</v>
      </c>
      <c r="F1252" s="16"/>
      <c r="G1252" s="23" t="s">
        <v>43</v>
      </c>
      <c r="H1252" s="18" t="n">
        <v>2</v>
      </c>
      <c r="I1252" s="20" t="n">
        <v>46.7</v>
      </c>
      <c r="J1252" s="20" t="n">
        <v>108.85</v>
      </c>
      <c r="K1252" s="18" t="n">
        <v>2</v>
      </c>
      <c r="L1252" s="18" t="n">
        <v>4</v>
      </c>
      <c r="M1252" s="18" t="n">
        <v>76</v>
      </c>
      <c r="N1252" s="18" t="n">
        <v>76</v>
      </c>
      <c r="O1252" s="14" t="s">
        <v>4343</v>
      </c>
      <c r="P1252" s="14" t="s">
        <v>84</v>
      </c>
      <c r="Q1252" s="15" t="s">
        <v>1089</v>
      </c>
      <c r="R1252" s="16" t="s">
        <v>8572</v>
      </c>
      <c r="S1252" s="15" t="s">
        <v>8573</v>
      </c>
      <c r="T1252" s="15" t="s">
        <v>8574</v>
      </c>
      <c r="U1252" s="21" t="s">
        <v>72</v>
      </c>
    </row>
    <row r="1253" customFormat="false" ht="15" hidden="false" customHeight="false" outlineLevel="0" collapsed="false">
      <c r="A1253" s="15" t="s">
        <v>850</v>
      </c>
      <c r="B1253" s="15" t="s">
        <v>8480</v>
      </c>
      <c r="C1253" s="14" t="s">
        <v>8575</v>
      </c>
      <c r="D1253" s="14" t="s">
        <v>8576</v>
      </c>
      <c r="E1253" s="16" t="s">
        <v>8577</v>
      </c>
      <c r="F1253" s="16"/>
      <c r="G1253" s="23" t="s">
        <v>43</v>
      </c>
      <c r="H1253" s="18" t="n">
        <v>3</v>
      </c>
      <c r="I1253" s="20" t="n">
        <v>32.34</v>
      </c>
      <c r="J1253" s="20" t="n">
        <v>71.875</v>
      </c>
      <c r="K1253" s="18" t="n">
        <v>3</v>
      </c>
      <c r="L1253" s="18" t="n">
        <v>2</v>
      </c>
      <c r="M1253" s="18" t="n">
        <v>75</v>
      </c>
      <c r="N1253" s="18" t="n">
        <v>75</v>
      </c>
      <c r="O1253" s="14" t="s">
        <v>4343</v>
      </c>
      <c r="P1253" s="14" t="s">
        <v>84</v>
      </c>
      <c r="Q1253" s="15" t="s">
        <v>1089</v>
      </c>
      <c r="R1253" s="16" t="s">
        <v>433</v>
      </c>
      <c r="S1253" s="15" t="s">
        <v>8578</v>
      </c>
      <c r="T1253" s="15" t="s">
        <v>8579</v>
      </c>
      <c r="U1253" s="21" t="s">
        <v>72</v>
      </c>
    </row>
    <row r="1254" customFormat="false" ht="39.55" hidden="false" customHeight="false" outlineLevel="0" collapsed="false">
      <c r="A1254" s="15" t="s">
        <v>850</v>
      </c>
      <c r="B1254" s="15" t="s">
        <v>8480</v>
      </c>
      <c r="C1254" s="14" t="s">
        <v>8580</v>
      </c>
      <c r="D1254" s="14" t="s">
        <v>8581</v>
      </c>
      <c r="E1254" s="16" t="s">
        <v>8582</v>
      </c>
      <c r="F1254" s="16"/>
      <c r="G1254" s="23" t="s">
        <v>43</v>
      </c>
      <c r="H1254" s="18" t="n">
        <v>3</v>
      </c>
      <c r="I1254" s="20" t="n">
        <v>55.01</v>
      </c>
      <c r="J1254" s="20" t="n">
        <v>143.34</v>
      </c>
      <c r="K1254" s="18" t="n">
        <v>6</v>
      </c>
      <c r="L1254" s="18" t="n">
        <v>5</v>
      </c>
      <c r="M1254" s="18" t="n">
        <v>92</v>
      </c>
      <c r="N1254" s="18" t="n">
        <v>30</v>
      </c>
      <c r="O1254" s="14" t="s">
        <v>5575</v>
      </c>
      <c r="P1254" s="14" t="s">
        <v>952</v>
      </c>
      <c r="Q1254" s="15" t="s">
        <v>1089</v>
      </c>
      <c r="R1254" s="16" t="s">
        <v>5576</v>
      </c>
      <c r="S1254" s="15" t="s">
        <v>8583</v>
      </c>
      <c r="T1254" s="15" t="s">
        <v>8583</v>
      </c>
      <c r="U1254" s="21" t="s">
        <v>72</v>
      </c>
    </row>
    <row r="1255" customFormat="false" ht="15" hidden="false" customHeight="false" outlineLevel="0" collapsed="false">
      <c r="A1255" s="15" t="s">
        <v>850</v>
      </c>
      <c r="B1255" s="15" t="s">
        <v>8480</v>
      </c>
      <c r="C1255" s="14" t="s">
        <v>8584</v>
      </c>
      <c r="D1255" s="14" t="s">
        <v>8585</v>
      </c>
      <c r="E1255" s="16" t="s">
        <v>8586</v>
      </c>
      <c r="F1255" s="16"/>
      <c r="G1255" s="19" t="s">
        <v>41</v>
      </c>
      <c r="H1255" s="18" t="n">
        <v>5</v>
      </c>
      <c r="I1255" s="20" t="n">
        <v>144.6</v>
      </c>
      <c r="J1255" s="20" t="n">
        <v>312.02</v>
      </c>
      <c r="K1255" s="18" t="n">
        <v>8</v>
      </c>
      <c r="L1255" s="18" t="n">
        <v>4</v>
      </c>
      <c r="M1255" s="18" t="n">
        <v>208</v>
      </c>
      <c r="N1255" s="18" t="n">
        <v>30</v>
      </c>
      <c r="O1255" s="14" t="s">
        <v>4223</v>
      </c>
      <c r="P1255" s="14" t="s">
        <v>118</v>
      </c>
      <c r="Q1255" s="15" t="s">
        <v>1089</v>
      </c>
      <c r="R1255" s="16" t="s">
        <v>8587</v>
      </c>
      <c r="S1255" s="15" t="s">
        <v>5673</v>
      </c>
      <c r="T1255" s="15" t="s">
        <v>8588</v>
      </c>
      <c r="U1255" s="21" t="s">
        <v>72</v>
      </c>
    </row>
    <row r="1256" customFormat="false" ht="26.85" hidden="false" customHeight="false" outlineLevel="0" collapsed="false">
      <c r="A1256" s="15" t="s">
        <v>850</v>
      </c>
      <c r="B1256" s="15" t="s">
        <v>8480</v>
      </c>
      <c r="C1256" s="14" t="s">
        <v>8589</v>
      </c>
      <c r="D1256" s="14" t="s">
        <v>8590</v>
      </c>
      <c r="E1256" s="16" t="s">
        <v>8591</v>
      </c>
      <c r="F1256" s="16"/>
      <c r="G1256" s="19" t="s">
        <v>41</v>
      </c>
      <c r="H1256" s="18" t="n">
        <v>7</v>
      </c>
      <c r="I1256" s="20" t="n">
        <v>139.33</v>
      </c>
      <c r="J1256" s="20" t="n">
        <v>357.79</v>
      </c>
      <c r="K1256" s="18" t="n">
        <v>6</v>
      </c>
      <c r="L1256" s="18" t="n">
        <v>9</v>
      </c>
      <c r="M1256" s="18" t="n">
        <v>64</v>
      </c>
      <c r="N1256" s="18" t="n">
        <v>44</v>
      </c>
      <c r="O1256" s="14" t="s">
        <v>4230</v>
      </c>
      <c r="P1256" s="14" t="s">
        <v>352</v>
      </c>
      <c r="Q1256" s="15" t="s">
        <v>1089</v>
      </c>
      <c r="R1256" s="16" t="s">
        <v>8592</v>
      </c>
      <c r="S1256" s="15" t="s">
        <v>8593</v>
      </c>
      <c r="T1256" s="15" t="s">
        <v>8594</v>
      </c>
      <c r="U1256" s="21" t="s">
        <v>72</v>
      </c>
    </row>
    <row r="1257" customFormat="false" ht="26.85" hidden="false" customHeight="false" outlineLevel="0" collapsed="false">
      <c r="A1257" s="15" t="s">
        <v>850</v>
      </c>
      <c r="B1257" s="15" t="s">
        <v>8480</v>
      </c>
      <c r="C1257" s="14" t="s">
        <v>8595</v>
      </c>
      <c r="D1257" s="14" t="s">
        <v>8596</v>
      </c>
      <c r="E1257" s="16" t="s">
        <v>8597</v>
      </c>
      <c r="F1257" s="16"/>
      <c r="G1257" s="19" t="s">
        <v>41</v>
      </c>
      <c r="H1257" s="18" t="n">
        <v>4</v>
      </c>
      <c r="I1257" s="20" t="n">
        <v>100.94</v>
      </c>
      <c r="J1257" s="20" t="n">
        <v>328.21</v>
      </c>
      <c r="K1257" s="18" t="n">
        <v>6</v>
      </c>
      <c r="L1257" s="18" t="n">
        <v>6</v>
      </c>
      <c r="M1257" s="18" t="n">
        <v>126</v>
      </c>
      <c r="N1257" s="18" t="n">
        <v>42</v>
      </c>
      <c r="O1257" s="14" t="s">
        <v>4385</v>
      </c>
      <c r="P1257" s="14" t="s">
        <v>352</v>
      </c>
      <c r="Q1257" s="15" t="s">
        <v>1089</v>
      </c>
      <c r="R1257" s="16" t="s">
        <v>8598</v>
      </c>
      <c r="S1257" s="15" t="s">
        <v>8599</v>
      </c>
      <c r="T1257" s="15" t="s">
        <v>8599</v>
      </c>
      <c r="U1257" s="21" t="s">
        <v>72</v>
      </c>
    </row>
    <row r="1258" customFormat="false" ht="26.85" hidden="false" customHeight="false" outlineLevel="0" collapsed="false">
      <c r="A1258" s="15" t="s">
        <v>850</v>
      </c>
      <c r="B1258" s="15" t="s">
        <v>8480</v>
      </c>
      <c r="C1258" s="14" t="s">
        <v>8600</v>
      </c>
      <c r="D1258" s="14" t="s">
        <v>8601</v>
      </c>
      <c r="E1258" s="16" t="s">
        <v>8602</v>
      </c>
      <c r="F1258" s="16" t="s">
        <v>8603</v>
      </c>
      <c r="G1258" s="23" t="s">
        <v>43</v>
      </c>
      <c r="H1258" s="18" t="n">
        <v>4</v>
      </c>
      <c r="I1258" s="20" t="n">
        <v>61.9</v>
      </c>
      <c r="J1258" s="20" t="n">
        <v>110.97</v>
      </c>
      <c r="K1258" s="18" t="n">
        <v>8</v>
      </c>
      <c r="L1258" s="18" t="n">
        <v>7</v>
      </c>
      <c r="M1258" s="18" t="n">
        <v>112</v>
      </c>
      <c r="N1258" s="18" t="n">
        <v>52</v>
      </c>
      <c r="O1258" s="14" t="s">
        <v>8604</v>
      </c>
      <c r="P1258" s="14" t="s">
        <v>118</v>
      </c>
      <c r="Q1258" s="15" t="s">
        <v>1089</v>
      </c>
      <c r="R1258" s="16" t="s">
        <v>5469</v>
      </c>
      <c r="S1258" s="15" t="s">
        <v>8605</v>
      </c>
      <c r="T1258" s="15" t="s">
        <v>8605</v>
      </c>
      <c r="U1258" s="21" t="s">
        <v>72</v>
      </c>
    </row>
    <row r="1259" customFormat="false" ht="15" hidden="false" customHeight="false" outlineLevel="0" collapsed="false">
      <c r="A1259" s="15" t="s">
        <v>850</v>
      </c>
      <c r="B1259" s="15" t="s">
        <v>8480</v>
      </c>
      <c r="C1259" s="14" t="s">
        <v>8606</v>
      </c>
      <c r="D1259" s="14" t="s">
        <v>8607</v>
      </c>
      <c r="E1259" s="16" t="s">
        <v>8608</v>
      </c>
      <c r="F1259" s="16" t="s">
        <v>8609</v>
      </c>
      <c r="G1259" s="23" t="s">
        <v>43</v>
      </c>
      <c r="H1259" s="18" t="n">
        <v>4</v>
      </c>
      <c r="I1259" s="20" t="n">
        <v>51.43</v>
      </c>
      <c r="J1259" s="20" t="n">
        <v>134.68</v>
      </c>
      <c r="K1259" s="18" t="n">
        <v>4</v>
      </c>
      <c r="L1259" s="18" t="n">
        <v>1</v>
      </c>
      <c r="M1259" s="18" t="n">
        <v>80</v>
      </c>
      <c r="N1259" s="18" t="n">
        <v>42</v>
      </c>
      <c r="O1259" s="14" t="s">
        <v>4223</v>
      </c>
      <c r="P1259" s="14" t="s">
        <v>118</v>
      </c>
      <c r="Q1259" s="15" t="s">
        <v>1089</v>
      </c>
      <c r="R1259" s="16" t="s">
        <v>1863</v>
      </c>
      <c r="S1259" s="15" t="s">
        <v>8610</v>
      </c>
      <c r="T1259" s="15" t="s">
        <v>8611</v>
      </c>
      <c r="U1259" s="21" t="s">
        <v>72</v>
      </c>
    </row>
    <row r="1260" customFormat="false" ht="15" hidden="false" customHeight="false" outlineLevel="0" collapsed="false">
      <c r="A1260" s="15" t="s">
        <v>850</v>
      </c>
      <c r="B1260" s="15" t="s">
        <v>8480</v>
      </c>
      <c r="C1260" s="14" t="s">
        <v>8612</v>
      </c>
      <c r="D1260" s="14" t="s">
        <v>8613</v>
      </c>
      <c r="E1260" s="16" t="s">
        <v>8614</v>
      </c>
      <c r="F1260" s="16" t="s">
        <v>8615</v>
      </c>
      <c r="G1260" s="19" t="s">
        <v>41</v>
      </c>
      <c r="H1260" s="18" t="n">
        <v>4</v>
      </c>
      <c r="I1260" s="20" t="n">
        <v>87.54</v>
      </c>
      <c r="J1260" s="20" t="n">
        <v>218.5</v>
      </c>
      <c r="K1260" s="18" t="n">
        <v>5</v>
      </c>
      <c r="L1260" s="18" t="n">
        <v>1</v>
      </c>
      <c r="M1260" s="18" t="n">
        <v>117</v>
      </c>
      <c r="N1260" s="18" t="n">
        <v>117</v>
      </c>
      <c r="O1260" s="14" t="s">
        <v>5488</v>
      </c>
      <c r="P1260" s="14" t="s">
        <v>118</v>
      </c>
      <c r="Q1260" s="15" t="s">
        <v>1089</v>
      </c>
      <c r="R1260" s="16" t="s">
        <v>8616</v>
      </c>
      <c r="S1260" s="15" t="s">
        <v>8617</v>
      </c>
      <c r="T1260" s="15" t="s">
        <v>8618</v>
      </c>
      <c r="U1260" s="21" t="s">
        <v>72</v>
      </c>
    </row>
    <row r="1261" customFormat="false" ht="15" hidden="false" customHeight="false" outlineLevel="0" collapsed="false">
      <c r="A1261" s="15" t="s">
        <v>850</v>
      </c>
      <c r="B1261" s="15" t="s">
        <v>8480</v>
      </c>
      <c r="C1261" s="14" t="s">
        <v>8619</v>
      </c>
      <c r="D1261" s="14" t="s">
        <v>8620</v>
      </c>
      <c r="E1261" s="16" t="s">
        <v>8621</v>
      </c>
      <c r="F1261" s="16" t="s">
        <v>8622</v>
      </c>
      <c r="G1261" s="19" t="s">
        <v>41</v>
      </c>
      <c r="H1261" s="18" t="n">
        <v>3</v>
      </c>
      <c r="I1261" s="20" t="n">
        <v>133.73</v>
      </c>
      <c r="J1261" s="20" t="n">
        <v>337.75</v>
      </c>
      <c r="K1261" s="18" t="n">
        <v>3</v>
      </c>
      <c r="L1261" s="18" t="n">
        <v>7</v>
      </c>
      <c r="M1261" s="18" t="n">
        <v>111</v>
      </c>
      <c r="N1261" s="18" t="n">
        <v>111</v>
      </c>
      <c r="O1261" s="14" t="s">
        <v>4223</v>
      </c>
      <c r="P1261" s="14" t="s">
        <v>84</v>
      </c>
      <c r="Q1261" s="15" t="s">
        <v>1089</v>
      </c>
      <c r="R1261" s="16" t="s">
        <v>8623</v>
      </c>
      <c r="S1261" s="15" t="s">
        <v>5844</v>
      </c>
      <c r="T1261" s="15" t="s">
        <v>8624</v>
      </c>
      <c r="U1261" s="21" t="s">
        <v>72</v>
      </c>
    </row>
    <row r="1262" customFormat="false" ht="15" hidden="false" customHeight="false" outlineLevel="0" collapsed="false">
      <c r="A1262" s="15" t="s">
        <v>850</v>
      </c>
      <c r="B1262" s="15" t="s">
        <v>8480</v>
      </c>
      <c r="C1262" s="14" t="s">
        <v>8625</v>
      </c>
      <c r="D1262" s="14" t="s">
        <v>8626</v>
      </c>
      <c r="E1262" s="16" t="s">
        <v>8627</v>
      </c>
      <c r="F1262" s="16"/>
      <c r="G1262" s="23" t="s">
        <v>43</v>
      </c>
      <c r="H1262" s="18" t="n">
        <v>2</v>
      </c>
      <c r="I1262" s="20" t="n">
        <v>38.5</v>
      </c>
      <c r="J1262" s="20" t="n">
        <v>88.44</v>
      </c>
      <c r="K1262" s="18" t="n">
        <v>2</v>
      </c>
      <c r="L1262" s="18" t="n">
        <v>8</v>
      </c>
      <c r="M1262" s="18" t="n">
        <v>30</v>
      </c>
      <c r="N1262" s="18" t="n">
        <v>8</v>
      </c>
      <c r="O1262" s="14" t="s">
        <v>4343</v>
      </c>
      <c r="P1262" s="14" t="s">
        <v>118</v>
      </c>
      <c r="Q1262" s="15" t="s">
        <v>1089</v>
      </c>
      <c r="R1262" s="16" t="s">
        <v>6561</v>
      </c>
      <c r="S1262" s="15" t="s">
        <v>8628</v>
      </c>
      <c r="T1262" s="15" t="s">
        <v>8629</v>
      </c>
      <c r="U1262" s="21" t="s">
        <v>72</v>
      </c>
    </row>
    <row r="1263" customFormat="false" ht="26.85" hidden="false" customHeight="false" outlineLevel="0" collapsed="false">
      <c r="A1263" s="15" t="s">
        <v>850</v>
      </c>
      <c r="B1263" s="15" t="s">
        <v>8480</v>
      </c>
      <c r="C1263" s="14" t="s">
        <v>8630</v>
      </c>
      <c r="D1263" s="14" t="s">
        <v>8631</v>
      </c>
      <c r="E1263" s="16" t="s">
        <v>8632</v>
      </c>
      <c r="F1263" s="16" t="s">
        <v>8633</v>
      </c>
      <c r="G1263" s="19" t="s">
        <v>41</v>
      </c>
      <c r="H1263" s="18" t="n">
        <v>7</v>
      </c>
      <c r="I1263" s="20" t="n">
        <v>157.69</v>
      </c>
      <c r="J1263" s="20" t="n">
        <v>281.16</v>
      </c>
      <c r="K1263" s="18" t="n">
        <v>10</v>
      </c>
      <c r="L1263" s="18" t="n">
        <v>5</v>
      </c>
      <c r="M1263" s="18" t="n">
        <v>335</v>
      </c>
      <c r="N1263" s="18" t="n">
        <v>335</v>
      </c>
      <c r="O1263" s="14" t="s">
        <v>8634</v>
      </c>
      <c r="P1263" s="14" t="s">
        <v>118</v>
      </c>
      <c r="Q1263" s="15" t="s">
        <v>1089</v>
      </c>
      <c r="R1263" s="16" t="s">
        <v>8635</v>
      </c>
      <c r="S1263" s="15" t="s">
        <v>8636</v>
      </c>
      <c r="T1263" s="15" t="s">
        <v>8636</v>
      </c>
      <c r="U1263" s="21" t="s">
        <v>72</v>
      </c>
    </row>
    <row r="1264" customFormat="false" ht="15" hidden="false" customHeight="false" outlineLevel="0" collapsed="false">
      <c r="A1264" s="15" t="s">
        <v>850</v>
      </c>
      <c r="B1264" s="15" t="s">
        <v>8480</v>
      </c>
      <c r="C1264" s="14" t="s">
        <v>8637</v>
      </c>
      <c r="D1264" s="14" t="s">
        <v>8638</v>
      </c>
      <c r="E1264" s="16" t="s">
        <v>8639</v>
      </c>
      <c r="F1264" s="16" t="s">
        <v>8640</v>
      </c>
      <c r="G1264" s="23" t="s">
        <v>43</v>
      </c>
      <c r="H1264" s="18" t="n">
        <v>3</v>
      </c>
      <c r="I1264" s="20" t="n">
        <v>44</v>
      </c>
      <c r="J1264" s="20" t="n">
        <v>83.5</v>
      </c>
      <c r="K1264" s="18" t="n">
        <v>4</v>
      </c>
      <c r="L1264" s="18" t="n">
        <v>2</v>
      </c>
      <c r="M1264" s="18" t="n">
        <v>49</v>
      </c>
      <c r="N1264" s="18" t="n">
        <v>13</v>
      </c>
      <c r="O1264" s="14" t="s">
        <v>4446</v>
      </c>
      <c r="P1264" s="14" t="s">
        <v>94</v>
      </c>
      <c r="Q1264" s="15" t="s">
        <v>1089</v>
      </c>
      <c r="R1264" s="16" t="s">
        <v>8641</v>
      </c>
      <c r="S1264" s="15" t="s">
        <v>3653</v>
      </c>
      <c r="T1264" s="15" t="s">
        <v>8642</v>
      </c>
      <c r="U1264" s="21" t="s">
        <v>72</v>
      </c>
    </row>
    <row r="1265" customFormat="false" ht="15" hidden="false" customHeight="false" outlineLevel="0" collapsed="false">
      <c r="A1265" s="15" t="s">
        <v>850</v>
      </c>
      <c r="B1265" s="15" t="s">
        <v>8480</v>
      </c>
      <c r="C1265" s="14" t="s">
        <v>8643</v>
      </c>
      <c r="D1265" s="14" t="s">
        <v>8644</v>
      </c>
      <c r="E1265" s="16" t="s">
        <v>8645</v>
      </c>
      <c r="F1265" s="16"/>
      <c r="G1265" s="23" t="s">
        <v>43</v>
      </c>
      <c r="H1265" s="18" t="n">
        <v>2</v>
      </c>
      <c r="I1265" s="20" t="n">
        <v>50.26</v>
      </c>
      <c r="J1265" s="20" t="n">
        <v>75.96</v>
      </c>
      <c r="K1265" s="18" t="n">
        <v>2</v>
      </c>
      <c r="L1265" s="18" t="n">
        <v>1</v>
      </c>
      <c r="M1265" s="18" t="n">
        <v>44</v>
      </c>
      <c r="N1265" s="18" t="n">
        <v>44</v>
      </c>
      <c r="O1265" s="14" t="s">
        <v>4983</v>
      </c>
      <c r="P1265" s="14" t="s">
        <v>84</v>
      </c>
      <c r="Q1265" s="15" t="s">
        <v>1089</v>
      </c>
      <c r="R1265" s="16" t="s">
        <v>8646</v>
      </c>
      <c r="S1265" s="15" t="s">
        <v>8647</v>
      </c>
      <c r="T1265" s="15" t="s">
        <v>8647</v>
      </c>
      <c r="U1265" s="21" t="s">
        <v>72</v>
      </c>
    </row>
    <row r="1266" customFormat="false" ht="15" hidden="false" customHeight="false" outlineLevel="0" collapsed="false">
      <c r="A1266" s="15" t="s">
        <v>850</v>
      </c>
      <c r="B1266" s="15" t="s">
        <v>8480</v>
      </c>
      <c r="C1266" s="14" t="s">
        <v>8648</v>
      </c>
      <c r="D1266" s="14" t="s">
        <v>8649</v>
      </c>
      <c r="E1266" s="16" t="s">
        <v>8650</v>
      </c>
      <c r="F1266" s="16" t="s">
        <v>8651</v>
      </c>
      <c r="G1266" s="23" t="s">
        <v>43</v>
      </c>
      <c r="H1266" s="18" t="n">
        <v>4</v>
      </c>
      <c r="I1266" s="20" t="n">
        <v>72</v>
      </c>
      <c r="J1266" s="20" t="n">
        <v>103.13</v>
      </c>
      <c r="K1266" s="18" t="n">
        <v>4</v>
      </c>
      <c r="L1266" s="18" t="n">
        <v>1</v>
      </c>
      <c r="M1266" s="18" t="n">
        <v>58</v>
      </c>
      <c r="N1266" s="18" t="n">
        <v>28</v>
      </c>
      <c r="O1266" s="14" t="s">
        <v>4223</v>
      </c>
      <c r="P1266" s="14" t="s">
        <v>515</v>
      </c>
      <c r="Q1266" s="15" t="s">
        <v>1089</v>
      </c>
      <c r="R1266" s="16" t="s">
        <v>8592</v>
      </c>
      <c r="S1266" s="15" t="s">
        <v>8652</v>
      </c>
      <c r="T1266" s="15" t="s">
        <v>8652</v>
      </c>
      <c r="U1266" s="21" t="s">
        <v>72</v>
      </c>
    </row>
    <row r="1267" customFormat="false" ht="15" hidden="false" customHeight="false" outlineLevel="0" collapsed="false">
      <c r="A1267" s="15" t="s">
        <v>850</v>
      </c>
      <c r="B1267" s="15" t="s">
        <v>8480</v>
      </c>
      <c r="C1267" s="14" t="s">
        <v>8653</v>
      </c>
      <c r="D1267" s="14" t="s">
        <v>8654</v>
      </c>
      <c r="E1267" s="16" t="s">
        <v>8655</v>
      </c>
      <c r="F1267" s="16" t="s">
        <v>8656</v>
      </c>
      <c r="G1267" s="25" t="s">
        <v>39</v>
      </c>
      <c r="H1267" s="18" t="n">
        <v>11</v>
      </c>
      <c r="I1267" s="20" t="n">
        <v>165.8</v>
      </c>
      <c r="J1267" s="20" t="n">
        <v>260.01</v>
      </c>
      <c r="K1267" s="18" t="n">
        <v>12</v>
      </c>
      <c r="L1267" s="18" t="n">
        <v>5</v>
      </c>
      <c r="M1267" s="18" t="n">
        <v>144</v>
      </c>
      <c r="N1267" s="18" t="n">
        <v>56</v>
      </c>
      <c r="O1267" s="14" t="s">
        <v>4446</v>
      </c>
      <c r="P1267" s="14" t="s">
        <v>118</v>
      </c>
      <c r="Q1267" s="15" t="s">
        <v>1089</v>
      </c>
      <c r="R1267" s="16" t="s">
        <v>8657</v>
      </c>
      <c r="S1267" s="15" t="s">
        <v>8658</v>
      </c>
      <c r="T1267" s="15" t="s">
        <v>8658</v>
      </c>
      <c r="U1267" s="21" t="s">
        <v>72</v>
      </c>
    </row>
    <row r="1268" customFormat="false" ht="15" hidden="false" customHeight="false" outlineLevel="0" collapsed="false">
      <c r="A1268" s="15" t="s">
        <v>850</v>
      </c>
      <c r="B1268" s="15" t="s">
        <v>8480</v>
      </c>
      <c r="C1268" s="14" t="s">
        <v>8659</v>
      </c>
      <c r="D1268" s="14" t="s">
        <v>8660</v>
      </c>
      <c r="E1268" s="16" t="s">
        <v>8661</v>
      </c>
      <c r="F1268" s="16" t="s">
        <v>8662</v>
      </c>
      <c r="G1268" s="23" t="s">
        <v>43</v>
      </c>
      <c r="H1268" s="18" t="n">
        <v>2</v>
      </c>
      <c r="I1268" s="20" t="n">
        <v>41.95</v>
      </c>
      <c r="J1268" s="20" t="n">
        <v>77.11</v>
      </c>
      <c r="K1268" s="18" t="n">
        <v>3</v>
      </c>
      <c r="L1268" s="18" t="n">
        <v>5</v>
      </c>
      <c r="M1268" s="18" t="n">
        <v>102</v>
      </c>
      <c r="N1268" s="18" t="n">
        <v>34</v>
      </c>
      <c r="O1268" s="14" t="s">
        <v>4223</v>
      </c>
      <c r="P1268" s="14" t="s">
        <v>118</v>
      </c>
      <c r="Q1268" s="15" t="s">
        <v>1089</v>
      </c>
      <c r="R1268" s="16" t="s">
        <v>8663</v>
      </c>
      <c r="S1268" s="15" t="s">
        <v>8664</v>
      </c>
      <c r="T1268" s="15" t="s">
        <v>8664</v>
      </c>
      <c r="U1268" s="21" t="s">
        <v>72</v>
      </c>
    </row>
    <row r="1269" customFormat="false" ht="26.85" hidden="false" customHeight="false" outlineLevel="0" collapsed="false">
      <c r="A1269" s="15" t="s">
        <v>850</v>
      </c>
      <c r="B1269" s="15" t="s">
        <v>8480</v>
      </c>
      <c r="C1269" s="14" t="s">
        <v>8665</v>
      </c>
      <c r="D1269" s="14" t="s">
        <v>8666</v>
      </c>
      <c r="E1269" s="16" t="s">
        <v>8667</v>
      </c>
      <c r="F1269" s="16" t="s">
        <v>8668</v>
      </c>
      <c r="G1269" s="19" t="s">
        <v>41</v>
      </c>
      <c r="H1269" s="18" t="n">
        <v>5</v>
      </c>
      <c r="I1269" s="20" t="n">
        <v>135.03</v>
      </c>
      <c r="J1269" s="20" t="n">
        <v>290.1</v>
      </c>
      <c r="K1269" s="18" t="n">
        <v>5</v>
      </c>
      <c r="L1269" s="18" t="n">
        <v>4</v>
      </c>
      <c r="M1269" s="18" t="n">
        <v>289</v>
      </c>
      <c r="N1269" s="18" t="n">
        <v>289</v>
      </c>
      <c r="O1269" s="14" t="s">
        <v>8669</v>
      </c>
      <c r="P1269" s="14" t="s">
        <v>118</v>
      </c>
      <c r="Q1269" s="15" t="s">
        <v>1089</v>
      </c>
      <c r="R1269" s="16" t="s">
        <v>8670</v>
      </c>
      <c r="S1269" s="15" t="s">
        <v>8671</v>
      </c>
      <c r="T1269" s="15" t="s">
        <v>8672</v>
      </c>
      <c r="U1269" s="21" t="s">
        <v>72</v>
      </c>
    </row>
    <row r="1270" customFormat="false" ht="15" hidden="false" customHeight="false" outlineLevel="0" collapsed="false">
      <c r="A1270" s="15" t="s">
        <v>850</v>
      </c>
      <c r="B1270" s="15" t="s">
        <v>8480</v>
      </c>
      <c r="C1270" s="14" t="s">
        <v>8673</v>
      </c>
      <c r="D1270" s="14" t="s">
        <v>8674</v>
      </c>
      <c r="E1270" s="16" t="s">
        <v>8675</v>
      </c>
      <c r="F1270" s="16" t="s">
        <v>8676</v>
      </c>
      <c r="G1270" s="25" t="s">
        <v>39</v>
      </c>
      <c r="H1270" s="18" t="n">
        <v>4</v>
      </c>
      <c r="I1270" s="20" t="n">
        <v>132.4</v>
      </c>
      <c r="J1270" s="20" t="n">
        <v>691.67</v>
      </c>
      <c r="K1270" s="18" t="n">
        <v>4</v>
      </c>
      <c r="L1270" s="18" t="n">
        <v>11</v>
      </c>
      <c r="M1270" s="18" t="n">
        <v>109</v>
      </c>
      <c r="N1270" s="18" t="n">
        <v>109</v>
      </c>
      <c r="O1270" s="14" t="s">
        <v>8677</v>
      </c>
      <c r="P1270" s="14" t="s">
        <v>118</v>
      </c>
      <c r="Q1270" s="15" t="s">
        <v>1089</v>
      </c>
      <c r="R1270" s="16" t="s">
        <v>8678</v>
      </c>
      <c r="S1270" s="15" t="s">
        <v>8679</v>
      </c>
      <c r="T1270" s="15" t="s">
        <v>8680</v>
      </c>
      <c r="U1270" s="21" t="s">
        <v>72</v>
      </c>
    </row>
    <row r="1271" customFormat="false" ht="15" hidden="false" customHeight="false" outlineLevel="0" collapsed="false">
      <c r="A1271" s="15" t="s">
        <v>850</v>
      </c>
      <c r="B1271" s="15" t="s">
        <v>8480</v>
      </c>
      <c r="C1271" s="14" t="s">
        <v>8681</v>
      </c>
      <c r="D1271" s="14" t="s">
        <v>8682</v>
      </c>
      <c r="E1271" s="16" t="s">
        <v>8683</v>
      </c>
      <c r="F1271" s="16"/>
      <c r="G1271" s="23" t="s">
        <v>43</v>
      </c>
      <c r="H1271" s="18" t="n">
        <v>3</v>
      </c>
      <c r="I1271" s="20" t="n">
        <v>43.22</v>
      </c>
      <c r="J1271" s="20" t="n">
        <v>105.38</v>
      </c>
      <c r="K1271" s="18" t="n">
        <v>4</v>
      </c>
      <c r="L1271" s="18" t="n">
        <v>17</v>
      </c>
      <c r="M1271" s="18" t="n">
        <v>56</v>
      </c>
      <c r="N1271" s="18" t="n">
        <v>28</v>
      </c>
      <c r="O1271" s="14" t="s">
        <v>1126</v>
      </c>
      <c r="P1271" s="14" t="s">
        <v>118</v>
      </c>
      <c r="Q1271" s="15" t="s">
        <v>1089</v>
      </c>
      <c r="R1271" s="16" t="s">
        <v>8684</v>
      </c>
      <c r="S1271" s="15" t="s">
        <v>8685</v>
      </c>
      <c r="T1271" s="15" t="s">
        <v>8685</v>
      </c>
      <c r="U1271" s="21" t="s">
        <v>72</v>
      </c>
    </row>
    <row r="1272" customFormat="false" ht="15" hidden="false" customHeight="false" outlineLevel="0" collapsed="false">
      <c r="A1272" s="15" t="s">
        <v>850</v>
      </c>
      <c r="B1272" s="15" t="s">
        <v>8480</v>
      </c>
      <c r="C1272" s="14" t="s">
        <v>8686</v>
      </c>
      <c r="D1272" s="14" t="s">
        <v>8687</v>
      </c>
      <c r="E1272" s="16" t="s">
        <v>8688</v>
      </c>
      <c r="F1272" s="16"/>
      <c r="G1272" s="23" t="s">
        <v>43</v>
      </c>
      <c r="H1272" s="18" t="n">
        <v>4</v>
      </c>
      <c r="I1272" s="20" t="n">
        <v>59.15</v>
      </c>
      <c r="J1272" s="20" t="n">
        <v>184.8</v>
      </c>
      <c r="K1272" s="18" t="n">
        <v>2</v>
      </c>
      <c r="L1272" s="18" t="n">
        <v>4</v>
      </c>
      <c r="M1272" s="18" t="n">
        <v>60</v>
      </c>
      <c r="N1272" s="18" t="n">
        <v>60</v>
      </c>
      <c r="O1272" s="14" t="s">
        <v>4343</v>
      </c>
      <c r="P1272" s="14" t="s">
        <v>94</v>
      </c>
      <c r="Q1272" s="15" t="s">
        <v>1089</v>
      </c>
      <c r="R1272" s="16" t="s">
        <v>4498</v>
      </c>
      <c r="S1272" s="15" t="s">
        <v>8689</v>
      </c>
      <c r="T1272" s="15" t="s">
        <v>8689</v>
      </c>
      <c r="U1272" s="21" t="s">
        <v>72</v>
      </c>
    </row>
    <row r="1273" customFormat="false" ht="15" hidden="false" customHeight="false" outlineLevel="0" collapsed="false">
      <c r="A1273" s="15" t="s">
        <v>850</v>
      </c>
      <c r="B1273" s="15" t="s">
        <v>8480</v>
      </c>
      <c r="C1273" s="14" t="s">
        <v>8690</v>
      </c>
      <c r="D1273" s="14" t="s">
        <v>8691</v>
      </c>
      <c r="E1273" s="16" t="s">
        <v>8692</v>
      </c>
      <c r="F1273" s="16" t="s">
        <v>8693</v>
      </c>
      <c r="G1273" s="23" t="s">
        <v>43</v>
      </c>
      <c r="H1273" s="18" t="n">
        <v>3</v>
      </c>
      <c r="I1273" s="20" t="n">
        <v>79.22</v>
      </c>
      <c r="J1273" s="20" t="n">
        <v>179.25</v>
      </c>
      <c r="K1273" s="18" t="n">
        <v>5</v>
      </c>
      <c r="L1273" s="18" t="n">
        <v>5</v>
      </c>
      <c r="M1273" s="18" t="n">
        <v>75</v>
      </c>
      <c r="N1273" s="18" t="n">
        <v>56</v>
      </c>
      <c r="O1273" s="14" t="s">
        <v>4223</v>
      </c>
      <c r="P1273" s="14" t="s">
        <v>84</v>
      </c>
      <c r="Q1273" s="15" t="s">
        <v>1089</v>
      </c>
      <c r="R1273" s="16" t="s">
        <v>8694</v>
      </c>
      <c r="S1273" s="15" t="s">
        <v>8695</v>
      </c>
      <c r="T1273" s="15" t="s">
        <v>8695</v>
      </c>
      <c r="U1273" s="21" t="s">
        <v>72</v>
      </c>
    </row>
    <row r="1274" customFormat="false" ht="26.85" hidden="false" customHeight="false" outlineLevel="0" collapsed="false">
      <c r="A1274" s="15" t="s">
        <v>850</v>
      </c>
      <c r="B1274" s="15" t="s">
        <v>8480</v>
      </c>
      <c r="C1274" s="14" t="s">
        <v>8696</v>
      </c>
      <c r="D1274" s="14" t="s">
        <v>8697</v>
      </c>
      <c r="E1274" s="16" t="s">
        <v>8698</v>
      </c>
      <c r="F1274" s="16"/>
      <c r="G1274" s="23" t="s">
        <v>43</v>
      </c>
      <c r="H1274" s="18" t="n">
        <v>4</v>
      </c>
      <c r="I1274" s="20" t="n">
        <v>80.48</v>
      </c>
      <c r="J1274" s="20" t="n">
        <v>167.48</v>
      </c>
      <c r="K1274" s="18" t="n">
        <v>4</v>
      </c>
      <c r="L1274" s="18" t="n">
        <v>6</v>
      </c>
      <c r="M1274" s="18" t="n">
        <v>80</v>
      </c>
      <c r="N1274" s="18" t="n">
        <v>80</v>
      </c>
      <c r="O1274" s="14" t="s">
        <v>6326</v>
      </c>
      <c r="P1274" s="14" t="s">
        <v>118</v>
      </c>
      <c r="Q1274" s="15" t="s">
        <v>1089</v>
      </c>
      <c r="R1274" s="16" t="s">
        <v>8699</v>
      </c>
      <c r="S1274" s="15" t="s">
        <v>8700</v>
      </c>
      <c r="T1274" s="15" t="s">
        <v>8700</v>
      </c>
      <c r="U1274" s="21" t="s">
        <v>72</v>
      </c>
    </row>
    <row r="1275" customFormat="false" ht="26.85" hidden="false" customHeight="false" outlineLevel="0" collapsed="false">
      <c r="A1275" s="15" t="s">
        <v>850</v>
      </c>
      <c r="B1275" s="15" t="s">
        <v>8480</v>
      </c>
      <c r="C1275" s="14" t="s">
        <v>8701</v>
      </c>
      <c r="D1275" s="14" t="s">
        <v>8702</v>
      </c>
      <c r="E1275" s="16" t="s">
        <v>8703</v>
      </c>
      <c r="F1275" s="16"/>
      <c r="G1275" s="23" t="s">
        <v>43</v>
      </c>
      <c r="H1275" s="18" t="n">
        <v>4</v>
      </c>
      <c r="I1275" s="20" t="n">
        <v>56.45</v>
      </c>
      <c r="J1275" s="20" t="n">
        <v>95.64</v>
      </c>
      <c r="K1275" s="18" t="n">
        <v>4</v>
      </c>
      <c r="L1275" s="18" t="n">
        <v>1</v>
      </c>
      <c r="M1275" s="18" t="n">
        <v>44</v>
      </c>
      <c r="N1275" s="18" t="n">
        <v>22</v>
      </c>
      <c r="O1275" s="13" t="s">
        <v>8704</v>
      </c>
      <c r="P1275" s="14" t="s">
        <v>118</v>
      </c>
      <c r="Q1275" s="15" t="s">
        <v>1089</v>
      </c>
      <c r="R1275" s="16" t="s">
        <v>8705</v>
      </c>
      <c r="S1275" s="15" t="s">
        <v>8706</v>
      </c>
      <c r="T1275" s="15" t="s">
        <v>8706</v>
      </c>
      <c r="U1275" s="21" t="s">
        <v>72</v>
      </c>
    </row>
    <row r="1276" customFormat="false" ht="15" hidden="false" customHeight="false" outlineLevel="0" collapsed="false">
      <c r="A1276" s="15" t="s">
        <v>850</v>
      </c>
      <c r="B1276" s="15" t="s">
        <v>8480</v>
      </c>
      <c r="C1276" s="14" t="s">
        <v>8707</v>
      </c>
      <c r="D1276" s="14" t="s">
        <v>8708</v>
      </c>
      <c r="E1276" s="16" t="s">
        <v>8709</v>
      </c>
      <c r="F1276" s="16" t="s">
        <v>8710</v>
      </c>
      <c r="G1276" s="19" t="s">
        <v>41</v>
      </c>
      <c r="H1276" s="18" t="n">
        <v>5</v>
      </c>
      <c r="I1276" s="20" t="n">
        <v>87.89</v>
      </c>
      <c r="J1276" s="20" t="n">
        <v>215.18</v>
      </c>
      <c r="K1276" s="18" t="n">
        <v>13</v>
      </c>
      <c r="L1276" s="18" t="n">
        <v>3</v>
      </c>
      <c r="M1276" s="18" t="n">
        <v>247</v>
      </c>
      <c r="N1276" s="18" t="n">
        <v>95</v>
      </c>
      <c r="O1276" s="14" t="s">
        <v>4385</v>
      </c>
      <c r="P1276" s="14" t="s">
        <v>118</v>
      </c>
      <c r="Q1276" s="15" t="s">
        <v>1089</v>
      </c>
      <c r="R1276" s="16" t="s">
        <v>8007</v>
      </c>
      <c r="S1276" s="15" t="s">
        <v>8711</v>
      </c>
      <c r="T1276" s="15" t="s">
        <v>8712</v>
      </c>
      <c r="U1276" s="21" t="s">
        <v>72</v>
      </c>
    </row>
    <row r="1277" customFormat="false" ht="15" hidden="false" customHeight="false" outlineLevel="0" collapsed="false">
      <c r="A1277" s="15" t="s">
        <v>850</v>
      </c>
      <c r="B1277" s="15" t="s">
        <v>8480</v>
      </c>
      <c r="C1277" s="14" t="s">
        <v>8713</v>
      </c>
      <c r="D1277" s="14" t="s">
        <v>8714</v>
      </c>
      <c r="E1277" s="16" t="s">
        <v>8715</v>
      </c>
      <c r="F1277" s="16" t="s">
        <v>8716</v>
      </c>
      <c r="G1277" s="23" t="s">
        <v>43</v>
      </c>
      <c r="H1277" s="18" t="n">
        <v>2</v>
      </c>
      <c r="I1277" s="20" t="n">
        <v>52.8</v>
      </c>
      <c r="J1277" s="20" t="n">
        <v>80.89</v>
      </c>
      <c r="K1277" s="18" t="n">
        <v>4</v>
      </c>
      <c r="L1277" s="18" t="n">
        <v>2</v>
      </c>
      <c r="M1277" s="18" t="n">
        <v>86</v>
      </c>
      <c r="N1277" s="18" t="n">
        <v>86</v>
      </c>
      <c r="O1277" s="14" t="s">
        <v>5157</v>
      </c>
      <c r="P1277" s="14" t="s">
        <v>118</v>
      </c>
      <c r="Q1277" s="15" t="s">
        <v>1089</v>
      </c>
      <c r="R1277" s="16" t="s">
        <v>6050</v>
      </c>
      <c r="S1277" s="15" t="s">
        <v>8717</v>
      </c>
      <c r="T1277" s="15" t="s">
        <v>8717</v>
      </c>
      <c r="U1277" s="21" t="s">
        <v>72</v>
      </c>
    </row>
    <row r="1278" customFormat="false" ht="15" hidden="false" customHeight="false" outlineLevel="0" collapsed="false">
      <c r="A1278" s="15" t="s">
        <v>850</v>
      </c>
      <c r="B1278" s="15" t="s">
        <v>8480</v>
      </c>
      <c r="C1278" s="14" t="s">
        <v>8718</v>
      </c>
      <c r="D1278" s="14" t="s">
        <v>8719</v>
      </c>
      <c r="E1278" s="16" t="s">
        <v>8720</v>
      </c>
      <c r="F1278" s="16"/>
      <c r="G1278" s="19" t="s">
        <v>41</v>
      </c>
      <c r="H1278" s="18" t="n">
        <v>5</v>
      </c>
      <c r="I1278" s="20" t="n">
        <v>117.91</v>
      </c>
      <c r="J1278" s="20" t="n">
        <v>280.44</v>
      </c>
      <c r="K1278" s="18" t="n">
        <v>6</v>
      </c>
      <c r="L1278" s="18" t="n">
        <v>7</v>
      </c>
      <c r="M1278" s="18" t="n">
        <v>117</v>
      </c>
      <c r="N1278" s="18" t="n">
        <v>38</v>
      </c>
      <c r="O1278" s="14" t="s">
        <v>4215</v>
      </c>
      <c r="P1278" s="14" t="s">
        <v>118</v>
      </c>
      <c r="Q1278" s="15" t="s">
        <v>1089</v>
      </c>
      <c r="R1278" s="16" t="s">
        <v>8721</v>
      </c>
      <c r="S1278" s="15" t="s">
        <v>8722</v>
      </c>
      <c r="T1278" s="15" t="s">
        <v>8723</v>
      </c>
      <c r="U1278" s="21" t="s">
        <v>72</v>
      </c>
    </row>
    <row r="1279" customFormat="false" ht="15" hidden="false" customHeight="false" outlineLevel="0" collapsed="false">
      <c r="A1279" s="15" t="s">
        <v>850</v>
      </c>
      <c r="B1279" s="15" t="s">
        <v>8480</v>
      </c>
      <c r="C1279" s="14" t="s">
        <v>8724</v>
      </c>
      <c r="D1279" s="14" t="s">
        <v>8725</v>
      </c>
      <c r="E1279" s="16" t="s">
        <v>8726</v>
      </c>
      <c r="F1279" s="16"/>
      <c r="G1279" s="23" t="s">
        <v>43</v>
      </c>
      <c r="H1279" s="18" t="n">
        <v>3</v>
      </c>
      <c r="I1279" s="20" t="n">
        <v>76.18</v>
      </c>
      <c r="J1279" s="20" t="n">
        <v>141.28</v>
      </c>
      <c r="K1279" s="18" t="n">
        <v>2</v>
      </c>
      <c r="L1279" s="18" t="n">
        <v>2</v>
      </c>
      <c r="M1279" s="18" t="n">
        <v>124</v>
      </c>
      <c r="N1279" s="18" t="n">
        <v>124</v>
      </c>
      <c r="O1279" s="14" t="s">
        <v>4408</v>
      </c>
      <c r="P1279" s="14" t="s">
        <v>84</v>
      </c>
      <c r="Q1279" s="15" t="s">
        <v>1089</v>
      </c>
      <c r="R1279" s="16" t="s">
        <v>8727</v>
      </c>
      <c r="S1279" s="15" t="s">
        <v>8728</v>
      </c>
      <c r="T1279" s="15" t="s">
        <v>8729</v>
      </c>
      <c r="U1279" s="21" t="s">
        <v>72</v>
      </c>
    </row>
    <row r="1280" customFormat="false" ht="15" hidden="false" customHeight="false" outlineLevel="0" collapsed="false">
      <c r="A1280" s="15" t="s">
        <v>850</v>
      </c>
      <c r="B1280" s="15" t="s">
        <v>8480</v>
      </c>
      <c r="C1280" s="14" t="s">
        <v>8730</v>
      </c>
      <c r="D1280" s="14" t="s">
        <v>8731</v>
      </c>
      <c r="E1280" s="16" t="s">
        <v>8732</v>
      </c>
      <c r="F1280" s="16"/>
      <c r="G1280" s="23" t="s">
        <v>43</v>
      </c>
      <c r="H1280" s="18" t="n">
        <v>3</v>
      </c>
      <c r="I1280" s="20" t="n">
        <v>37.4</v>
      </c>
      <c r="J1280" s="20" t="n">
        <v>73.51</v>
      </c>
      <c r="K1280" s="18" t="n">
        <v>4</v>
      </c>
      <c r="L1280" s="18"/>
      <c r="M1280" s="18" t="n">
        <v>40</v>
      </c>
      <c r="N1280" s="18" t="n">
        <v>31</v>
      </c>
      <c r="O1280" s="14" t="s">
        <v>8733</v>
      </c>
      <c r="P1280" s="14" t="s">
        <v>118</v>
      </c>
      <c r="Q1280" s="15" t="s">
        <v>1089</v>
      </c>
      <c r="R1280" s="16" t="s">
        <v>8734</v>
      </c>
      <c r="S1280" s="15" t="s">
        <v>8735</v>
      </c>
      <c r="T1280" s="15" t="s">
        <v>8736</v>
      </c>
      <c r="U1280" s="21" t="s">
        <v>72</v>
      </c>
    </row>
    <row r="1281" customFormat="false" ht="15" hidden="false" customHeight="false" outlineLevel="0" collapsed="false">
      <c r="A1281" s="15" t="s">
        <v>850</v>
      </c>
      <c r="B1281" s="15" t="s">
        <v>8737</v>
      </c>
      <c r="C1281" s="14" t="s">
        <v>8738</v>
      </c>
      <c r="D1281" s="14" t="s">
        <v>8739</v>
      </c>
      <c r="E1281" s="16" t="s">
        <v>8740</v>
      </c>
      <c r="F1281" s="16" t="s">
        <v>8741</v>
      </c>
      <c r="G1281" s="23" t="s">
        <v>43</v>
      </c>
      <c r="H1281" s="18" t="n">
        <v>2</v>
      </c>
      <c r="I1281" s="20" t="n">
        <v>37</v>
      </c>
      <c r="J1281" s="20" t="n">
        <v>107.58</v>
      </c>
      <c r="K1281" s="18" t="n">
        <v>4</v>
      </c>
      <c r="L1281" s="18" t="n">
        <v>2</v>
      </c>
      <c r="M1281" s="18" t="n">
        <v>72</v>
      </c>
      <c r="N1281" s="18" t="n">
        <v>72</v>
      </c>
      <c r="O1281" s="14" t="s">
        <v>5259</v>
      </c>
      <c r="P1281" s="14" t="s">
        <v>118</v>
      </c>
      <c r="Q1281" s="15" t="s">
        <v>1089</v>
      </c>
      <c r="R1281" s="16" t="s">
        <v>1547</v>
      </c>
      <c r="S1281" s="15" t="s">
        <v>8742</v>
      </c>
      <c r="T1281" s="15" t="s">
        <v>8743</v>
      </c>
      <c r="U1281" s="21" t="s">
        <v>72</v>
      </c>
    </row>
    <row r="1282" customFormat="false" ht="15" hidden="false" customHeight="false" outlineLevel="0" collapsed="false">
      <c r="A1282" s="15" t="s">
        <v>850</v>
      </c>
      <c r="B1282" s="15" t="s">
        <v>8737</v>
      </c>
      <c r="C1282" s="14" t="s">
        <v>8744</v>
      </c>
      <c r="D1282" s="14" t="s">
        <v>8745</v>
      </c>
      <c r="E1282" s="16" t="s">
        <v>8746</v>
      </c>
      <c r="F1282" s="16" t="s">
        <v>8747</v>
      </c>
      <c r="G1282" s="23" t="s">
        <v>43</v>
      </c>
      <c r="H1282" s="18" t="n">
        <v>3</v>
      </c>
      <c r="I1282" s="20" t="n">
        <v>67.77</v>
      </c>
      <c r="J1282" s="20" t="n">
        <v>173.84</v>
      </c>
      <c r="K1282" s="18" t="n">
        <v>3</v>
      </c>
      <c r="L1282" s="18" t="n">
        <v>3</v>
      </c>
      <c r="M1282" s="18" t="n">
        <v>168</v>
      </c>
      <c r="N1282" s="18" t="n">
        <v>168</v>
      </c>
      <c r="O1282" s="14" t="s">
        <v>1097</v>
      </c>
      <c r="P1282" s="14" t="s">
        <v>84</v>
      </c>
      <c r="Q1282" s="15" t="s">
        <v>1089</v>
      </c>
      <c r="R1282" s="16" t="s">
        <v>2206</v>
      </c>
      <c r="S1282" s="15" t="s">
        <v>6146</v>
      </c>
      <c r="T1282" s="15" t="s">
        <v>8748</v>
      </c>
      <c r="U1282" s="21" t="s">
        <v>72</v>
      </c>
    </row>
    <row r="1283" customFormat="false" ht="15" hidden="false" customHeight="false" outlineLevel="0" collapsed="false">
      <c r="A1283" s="15" t="s">
        <v>850</v>
      </c>
      <c r="B1283" s="15" t="s">
        <v>8737</v>
      </c>
      <c r="C1283" s="14" t="s">
        <v>8749</v>
      </c>
      <c r="D1283" s="14" t="s">
        <v>8750</v>
      </c>
      <c r="E1283" s="16" t="s">
        <v>8751</v>
      </c>
      <c r="F1283" s="16" t="s">
        <v>8752</v>
      </c>
      <c r="G1283" s="23" t="s">
        <v>43</v>
      </c>
      <c r="H1283" s="18" t="n">
        <v>3</v>
      </c>
      <c r="I1283" s="20" t="n">
        <v>39.69</v>
      </c>
      <c r="J1283" s="20" t="n">
        <v>103.03</v>
      </c>
      <c r="K1283" s="18" t="n">
        <v>7</v>
      </c>
      <c r="L1283" s="18" t="n">
        <v>7</v>
      </c>
      <c r="M1283" s="18" t="n">
        <v>154</v>
      </c>
      <c r="N1283" s="18" t="n">
        <v>44</v>
      </c>
      <c r="O1283" s="14" t="s">
        <v>4276</v>
      </c>
      <c r="P1283" s="14" t="s">
        <v>118</v>
      </c>
      <c r="Q1283" s="15" t="s">
        <v>1089</v>
      </c>
      <c r="R1283" s="16" t="s">
        <v>8753</v>
      </c>
      <c r="S1283" s="15" t="s">
        <v>8754</v>
      </c>
      <c r="T1283" s="15" t="s">
        <v>8754</v>
      </c>
      <c r="U1283" s="21" t="s">
        <v>72</v>
      </c>
    </row>
    <row r="1284" customFormat="false" ht="26.85" hidden="false" customHeight="false" outlineLevel="0" collapsed="false">
      <c r="A1284" s="15" t="s">
        <v>850</v>
      </c>
      <c r="B1284" s="15" t="s">
        <v>8737</v>
      </c>
      <c r="C1284" s="14" t="s">
        <v>8755</v>
      </c>
      <c r="D1284" s="14" t="s">
        <v>8756</v>
      </c>
      <c r="E1284" s="16" t="s">
        <v>8757</v>
      </c>
      <c r="F1284" s="16"/>
      <c r="G1284" s="23" t="s">
        <v>43</v>
      </c>
      <c r="H1284" s="18" t="n">
        <v>2</v>
      </c>
      <c r="I1284" s="20" t="n">
        <v>34.14</v>
      </c>
      <c r="J1284" s="20" t="n">
        <v>110.9</v>
      </c>
      <c r="K1284" s="18" t="n">
        <v>5</v>
      </c>
      <c r="L1284" s="18" t="n">
        <v>2</v>
      </c>
      <c r="M1284" s="18" t="n">
        <v>45</v>
      </c>
      <c r="N1284" s="18" t="n">
        <v>9</v>
      </c>
      <c r="O1284" s="14" t="s">
        <v>1126</v>
      </c>
      <c r="P1284" s="14" t="s">
        <v>1766</v>
      </c>
      <c r="Q1284" s="15" t="s">
        <v>1089</v>
      </c>
      <c r="R1284" s="16" t="s">
        <v>8758</v>
      </c>
      <c r="S1284" s="15" t="s">
        <v>8759</v>
      </c>
      <c r="T1284" s="15" t="s">
        <v>8759</v>
      </c>
      <c r="U1284" s="21" t="s">
        <v>72</v>
      </c>
    </row>
    <row r="1285" customFormat="false" ht="15" hidden="false" customHeight="false" outlineLevel="0" collapsed="false">
      <c r="A1285" s="15" t="s">
        <v>850</v>
      </c>
      <c r="B1285" s="15" t="s">
        <v>8737</v>
      </c>
      <c r="C1285" s="14" t="s">
        <v>8760</v>
      </c>
      <c r="D1285" s="14" t="s">
        <v>8761</v>
      </c>
      <c r="E1285" s="16" t="s">
        <v>8762</v>
      </c>
      <c r="F1285" s="16" t="s">
        <v>8763</v>
      </c>
      <c r="G1285" s="23" t="s">
        <v>43</v>
      </c>
      <c r="H1285" s="18" t="n">
        <v>2</v>
      </c>
      <c r="I1285" s="20" t="n">
        <v>35</v>
      </c>
      <c r="J1285" s="20" t="n">
        <v>95.73</v>
      </c>
      <c r="K1285" s="18" t="n">
        <v>4</v>
      </c>
      <c r="L1285" s="18" t="n">
        <v>4</v>
      </c>
      <c r="M1285" s="18" t="n">
        <v>56</v>
      </c>
      <c r="N1285" s="18" t="n">
        <v>28</v>
      </c>
      <c r="O1285" s="14" t="s">
        <v>7120</v>
      </c>
      <c r="P1285" s="14" t="s">
        <v>118</v>
      </c>
      <c r="Q1285" s="15" t="s">
        <v>1089</v>
      </c>
      <c r="R1285" s="16" t="s">
        <v>1685</v>
      </c>
      <c r="S1285" s="15" t="s">
        <v>8764</v>
      </c>
      <c r="T1285" s="15" t="s">
        <v>8764</v>
      </c>
      <c r="U1285" s="21" t="s">
        <v>72</v>
      </c>
    </row>
    <row r="1286" customFormat="false" ht="26.85" hidden="false" customHeight="false" outlineLevel="0" collapsed="false">
      <c r="A1286" s="15" t="s">
        <v>850</v>
      </c>
      <c r="B1286" s="15" t="s">
        <v>8737</v>
      </c>
      <c r="C1286" s="14" t="s">
        <v>8765</v>
      </c>
      <c r="D1286" s="14" t="s">
        <v>8766</v>
      </c>
      <c r="E1286" s="16" t="s">
        <v>8767</v>
      </c>
      <c r="F1286" s="16"/>
      <c r="G1286" s="23" t="s">
        <v>43</v>
      </c>
      <c r="H1286" s="18" t="n">
        <v>4</v>
      </c>
      <c r="I1286" s="20" t="n">
        <v>70.98</v>
      </c>
      <c r="J1286" s="20" t="n">
        <v>131.7</v>
      </c>
      <c r="K1286" s="18" t="n">
        <v>4</v>
      </c>
      <c r="L1286" s="18" t="n">
        <v>1</v>
      </c>
      <c r="M1286" s="18" t="n">
        <v>84</v>
      </c>
      <c r="N1286" s="18" t="n">
        <v>84</v>
      </c>
      <c r="O1286" s="14" t="s">
        <v>8768</v>
      </c>
      <c r="P1286" s="14" t="s">
        <v>84</v>
      </c>
      <c r="Q1286" s="15" t="s">
        <v>1089</v>
      </c>
      <c r="R1286" s="16" t="s">
        <v>8769</v>
      </c>
      <c r="S1286" s="15" t="s">
        <v>8742</v>
      </c>
      <c r="T1286" s="15" t="s">
        <v>8742</v>
      </c>
      <c r="U1286" s="21" t="s">
        <v>72</v>
      </c>
    </row>
    <row r="1287" customFormat="false" ht="15" hidden="false" customHeight="false" outlineLevel="0" collapsed="false">
      <c r="A1287" s="15" t="s">
        <v>850</v>
      </c>
      <c r="B1287" s="15" t="s">
        <v>8737</v>
      </c>
      <c r="C1287" s="14" t="s">
        <v>8770</v>
      </c>
      <c r="D1287" s="14" t="s">
        <v>8771</v>
      </c>
      <c r="E1287" s="16" t="s">
        <v>8772</v>
      </c>
      <c r="F1287" s="16"/>
      <c r="G1287" s="23" t="s">
        <v>43</v>
      </c>
      <c r="H1287" s="18" t="n">
        <v>3</v>
      </c>
      <c r="I1287" s="20" t="n">
        <v>42</v>
      </c>
      <c r="J1287" s="20" t="n">
        <v>180.15</v>
      </c>
      <c r="K1287" s="18" t="n">
        <v>2</v>
      </c>
      <c r="L1287" s="18" t="n">
        <v>2</v>
      </c>
      <c r="M1287" s="18" t="n">
        <v>66</v>
      </c>
      <c r="N1287" s="18" t="n">
        <v>66</v>
      </c>
      <c r="O1287" s="14" t="s">
        <v>1088</v>
      </c>
      <c r="P1287" s="14" t="s">
        <v>84</v>
      </c>
      <c r="Q1287" s="15" t="s">
        <v>1089</v>
      </c>
      <c r="R1287" s="16" t="s">
        <v>7364</v>
      </c>
      <c r="S1287" s="15" t="s">
        <v>8773</v>
      </c>
      <c r="T1287" s="15" t="s">
        <v>8774</v>
      </c>
      <c r="U1287" s="21" t="s">
        <v>72</v>
      </c>
    </row>
    <row r="1288" customFormat="false" ht="15" hidden="false" customHeight="false" outlineLevel="0" collapsed="false">
      <c r="A1288" s="15" t="s">
        <v>850</v>
      </c>
      <c r="B1288" s="15" t="s">
        <v>8737</v>
      </c>
      <c r="C1288" s="14" t="s">
        <v>8775</v>
      </c>
      <c r="D1288" s="14" t="s">
        <v>8776</v>
      </c>
      <c r="E1288" s="16" t="s">
        <v>8777</v>
      </c>
      <c r="F1288" s="16" t="s">
        <v>8778</v>
      </c>
      <c r="G1288" s="23" t="s">
        <v>43</v>
      </c>
      <c r="H1288" s="18" t="n">
        <v>3</v>
      </c>
      <c r="I1288" s="20" t="n">
        <v>55.55</v>
      </c>
      <c r="J1288" s="20" t="n">
        <v>174.01</v>
      </c>
      <c r="K1288" s="18" t="n">
        <v>2</v>
      </c>
      <c r="L1288" s="18" t="n">
        <v>5</v>
      </c>
      <c r="M1288" s="18" t="n">
        <v>90</v>
      </c>
      <c r="N1288" s="18" t="n">
        <v>90</v>
      </c>
      <c r="O1288" s="14" t="s">
        <v>1097</v>
      </c>
      <c r="P1288" s="14" t="s">
        <v>84</v>
      </c>
      <c r="Q1288" s="15" t="s">
        <v>1089</v>
      </c>
      <c r="R1288" s="16" t="s">
        <v>6682</v>
      </c>
      <c r="S1288" s="15" t="s">
        <v>8779</v>
      </c>
      <c r="T1288" s="15" t="s">
        <v>8779</v>
      </c>
      <c r="U1288" s="21" t="s">
        <v>72</v>
      </c>
    </row>
    <row r="1289" customFormat="false" ht="15" hidden="false" customHeight="false" outlineLevel="0" collapsed="false">
      <c r="A1289" s="15" t="s">
        <v>850</v>
      </c>
      <c r="B1289" s="15" t="s">
        <v>8737</v>
      </c>
      <c r="C1289" s="14" t="s">
        <v>8780</v>
      </c>
      <c r="D1289" s="14" t="s">
        <v>8781</v>
      </c>
      <c r="E1289" s="16" t="s">
        <v>8782</v>
      </c>
      <c r="F1289" s="16" t="s">
        <v>8783</v>
      </c>
      <c r="G1289" s="19" t="s">
        <v>41</v>
      </c>
      <c r="H1289" s="18" t="n">
        <v>4</v>
      </c>
      <c r="I1289" s="20" t="n">
        <v>113.71</v>
      </c>
      <c r="J1289" s="20" t="n">
        <v>379.41</v>
      </c>
      <c r="K1289" s="18" t="n">
        <v>4</v>
      </c>
      <c r="L1289" s="18" t="n">
        <v>1</v>
      </c>
      <c r="M1289" s="18" t="n">
        <v>92</v>
      </c>
      <c r="N1289" s="18" t="n">
        <v>41</v>
      </c>
      <c r="O1289" s="14" t="s">
        <v>1097</v>
      </c>
      <c r="P1289" s="14" t="s">
        <v>118</v>
      </c>
      <c r="Q1289" s="15" t="s">
        <v>1089</v>
      </c>
      <c r="R1289" s="16" t="s">
        <v>8784</v>
      </c>
      <c r="S1289" s="15" t="s">
        <v>8785</v>
      </c>
      <c r="T1289" s="15" t="s">
        <v>8786</v>
      </c>
      <c r="U1289" s="21" t="s">
        <v>72</v>
      </c>
    </row>
    <row r="1290" customFormat="false" ht="15" hidden="false" customHeight="false" outlineLevel="0" collapsed="false">
      <c r="A1290" s="15" t="s">
        <v>850</v>
      </c>
      <c r="B1290" s="15" t="s">
        <v>8737</v>
      </c>
      <c r="C1290" s="14" t="s">
        <v>8787</v>
      </c>
      <c r="D1290" s="14" t="s">
        <v>8788</v>
      </c>
      <c r="E1290" s="16" t="s">
        <v>8789</v>
      </c>
      <c r="F1290" s="16" t="s">
        <v>8790</v>
      </c>
      <c r="G1290" s="23" t="s">
        <v>43</v>
      </c>
      <c r="H1290" s="18" t="n">
        <v>3</v>
      </c>
      <c r="I1290" s="20" t="n">
        <v>38.04</v>
      </c>
      <c r="J1290" s="20" t="n">
        <v>109.05</v>
      </c>
      <c r="K1290" s="18" t="n">
        <v>6</v>
      </c>
      <c r="L1290" s="18" t="n">
        <v>6</v>
      </c>
      <c r="M1290" s="18" t="n">
        <v>74</v>
      </c>
      <c r="N1290" s="18" t="n">
        <v>32</v>
      </c>
      <c r="O1290" s="14" t="s">
        <v>4223</v>
      </c>
      <c r="P1290" s="14" t="s">
        <v>515</v>
      </c>
      <c r="Q1290" s="15" t="s">
        <v>1089</v>
      </c>
      <c r="R1290" s="16" t="s">
        <v>8791</v>
      </c>
      <c r="S1290" s="15" t="s">
        <v>8792</v>
      </c>
      <c r="T1290" s="15" t="s">
        <v>8793</v>
      </c>
      <c r="U1290" s="21" t="s">
        <v>72</v>
      </c>
    </row>
    <row r="1291" customFormat="false" ht="15" hidden="false" customHeight="false" outlineLevel="0" collapsed="false">
      <c r="A1291" s="15" t="s">
        <v>850</v>
      </c>
      <c r="B1291" s="15" t="s">
        <v>8737</v>
      </c>
      <c r="C1291" s="14" t="s">
        <v>8794</v>
      </c>
      <c r="D1291" s="14" t="s">
        <v>8795</v>
      </c>
      <c r="E1291" s="16" t="s">
        <v>8796</v>
      </c>
      <c r="F1291" s="16"/>
      <c r="G1291" s="23" t="s">
        <v>43</v>
      </c>
      <c r="H1291" s="18" t="n">
        <v>3</v>
      </c>
      <c r="I1291" s="20" t="n">
        <v>62.45</v>
      </c>
      <c r="J1291" s="20" t="n">
        <v>118.72</v>
      </c>
      <c r="K1291" s="18" t="n">
        <v>3</v>
      </c>
      <c r="L1291" s="18" t="n">
        <v>4</v>
      </c>
      <c r="M1291" s="18" t="n">
        <v>50</v>
      </c>
      <c r="N1291" s="18" t="n">
        <v>15</v>
      </c>
      <c r="O1291" s="14" t="s">
        <v>4223</v>
      </c>
      <c r="P1291" s="14" t="s">
        <v>118</v>
      </c>
      <c r="Q1291" s="15" t="s">
        <v>1089</v>
      </c>
      <c r="R1291" s="16" t="s">
        <v>8797</v>
      </c>
      <c r="S1291" s="15" t="s">
        <v>8798</v>
      </c>
      <c r="T1291" s="15" t="s">
        <v>8798</v>
      </c>
      <c r="U1291" s="21" t="s">
        <v>72</v>
      </c>
    </row>
    <row r="1292" customFormat="false" ht="26.85" hidden="false" customHeight="false" outlineLevel="0" collapsed="false">
      <c r="A1292" s="15" t="s">
        <v>850</v>
      </c>
      <c r="B1292" s="15" t="s">
        <v>8737</v>
      </c>
      <c r="C1292" s="14" t="s">
        <v>8799</v>
      </c>
      <c r="D1292" s="14" t="s">
        <v>8800</v>
      </c>
      <c r="E1292" s="16" t="s">
        <v>8801</v>
      </c>
      <c r="F1292" s="16"/>
      <c r="G1292" s="23" t="s">
        <v>43</v>
      </c>
      <c r="H1292" s="18" t="n">
        <v>3</v>
      </c>
      <c r="I1292" s="20" t="n">
        <v>67.2</v>
      </c>
      <c r="J1292" s="20" t="n">
        <v>185.49</v>
      </c>
      <c r="K1292" s="18" t="n">
        <v>4</v>
      </c>
      <c r="L1292" s="18" t="n">
        <v>4</v>
      </c>
      <c r="M1292" s="18" t="n">
        <v>144</v>
      </c>
      <c r="N1292" s="18" t="n">
        <v>72</v>
      </c>
      <c r="O1292" s="14" t="s">
        <v>8802</v>
      </c>
      <c r="P1292" s="14" t="s">
        <v>352</v>
      </c>
      <c r="Q1292" s="15" t="s">
        <v>1089</v>
      </c>
      <c r="R1292" s="16" t="s">
        <v>8803</v>
      </c>
      <c r="S1292" s="15" t="s">
        <v>8804</v>
      </c>
      <c r="T1292" s="15" t="s">
        <v>8804</v>
      </c>
      <c r="U1292" s="21" t="s">
        <v>72</v>
      </c>
    </row>
    <row r="1293" customFormat="false" ht="15" hidden="false" customHeight="false" outlineLevel="0" collapsed="false">
      <c r="A1293" s="15" t="s">
        <v>850</v>
      </c>
      <c r="B1293" s="15" t="s">
        <v>8737</v>
      </c>
      <c r="C1293" s="14" t="s">
        <v>8805</v>
      </c>
      <c r="D1293" s="14" t="s">
        <v>8806</v>
      </c>
      <c r="E1293" s="16" t="s">
        <v>8807</v>
      </c>
      <c r="F1293" s="16" t="s">
        <v>8808</v>
      </c>
      <c r="G1293" s="23" t="s">
        <v>43</v>
      </c>
      <c r="H1293" s="18" t="n">
        <v>2</v>
      </c>
      <c r="I1293" s="20" t="n">
        <v>44.55</v>
      </c>
      <c r="J1293" s="20" t="n">
        <v>128.75</v>
      </c>
      <c r="K1293" s="18" t="n">
        <v>2</v>
      </c>
      <c r="L1293" s="18" t="n">
        <v>6</v>
      </c>
      <c r="M1293" s="18" t="n">
        <v>36</v>
      </c>
      <c r="N1293" s="18" t="n">
        <v>13</v>
      </c>
      <c r="O1293" s="14" t="s">
        <v>4223</v>
      </c>
      <c r="P1293" s="14" t="s">
        <v>118</v>
      </c>
      <c r="Q1293" s="15" t="s">
        <v>1089</v>
      </c>
      <c r="R1293" s="16" t="s">
        <v>5147</v>
      </c>
      <c r="S1293" s="15" t="s">
        <v>8809</v>
      </c>
      <c r="T1293" s="15" t="s">
        <v>8809</v>
      </c>
      <c r="U1293" s="21" t="s">
        <v>72</v>
      </c>
    </row>
    <row r="1294" customFormat="false" ht="15" hidden="false" customHeight="false" outlineLevel="0" collapsed="false">
      <c r="A1294" s="15" t="s">
        <v>850</v>
      </c>
      <c r="B1294" s="15" t="s">
        <v>8737</v>
      </c>
      <c r="C1294" s="14" t="s">
        <v>8810</v>
      </c>
      <c r="D1294" s="14" t="s">
        <v>8811</v>
      </c>
      <c r="E1294" s="16" t="s">
        <v>8812</v>
      </c>
      <c r="F1294" s="16" t="s">
        <v>8813</v>
      </c>
      <c r="G1294" s="23" t="s">
        <v>43</v>
      </c>
      <c r="H1294" s="18" t="n">
        <v>4</v>
      </c>
      <c r="I1294" s="20" t="n">
        <v>84</v>
      </c>
      <c r="J1294" s="20" t="n">
        <v>179.43</v>
      </c>
      <c r="K1294" s="18" t="n">
        <v>5</v>
      </c>
      <c r="L1294" s="18" t="n">
        <v>2</v>
      </c>
      <c r="M1294" s="18" t="n">
        <v>75</v>
      </c>
      <c r="N1294" s="18" t="n">
        <v>18</v>
      </c>
      <c r="O1294" s="14" t="s">
        <v>1097</v>
      </c>
      <c r="P1294" s="14" t="s">
        <v>118</v>
      </c>
      <c r="Q1294" s="15" t="s">
        <v>1089</v>
      </c>
      <c r="R1294" s="16" t="s">
        <v>8814</v>
      </c>
      <c r="S1294" s="15" t="s">
        <v>8815</v>
      </c>
      <c r="T1294" s="15" t="s">
        <v>8815</v>
      </c>
      <c r="U1294" s="21" t="s">
        <v>72</v>
      </c>
    </row>
    <row r="1295" customFormat="false" ht="15" hidden="false" customHeight="false" outlineLevel="0" collapsed="false">
      <c r="A1295" s="15" t="s">
        <v>850</v>
      </c>
      <c r="B1295" s="15" t="s">
        <v>8737</v>
      </c>
      <c r="C1295" s="14" t="s">
        <v>8816</v>
      </c>
      <c r="D1295" s="14" t="s">
        <v>8817</v>
      </c>
      <c r="E1295" s="16" t="s">
        <v>8818</v>
      </c>
      <c r="F1295" s="16" t="s">
        <v>8819</v>
      </c>
      <c r="G1295" s="23" t="s">
        <v>43</v>
      </c>
      <c r="H1295" s="18" t="n">
        <v>4</v>
      </c>
      <c r="I1295" s="20" t="n">
        <v>63.42</v>
      </c>
      <c r="J1295" s="20" t="n">
        <v>155.43</v>
      </c>
      <c r="K1295" s="18" t="n">
        <v>4</v>
      </c>
      <c r="L1295" s="18" t="n">
        <v>3</v>
      </c>
      <c r="M1295" s="18" t="n">
        <v>100</v>
      </c>
      <c r="N1295" s="18" t="n">
        <v>100</v>
      </c>
      <c r="O1295" s="14" t="s">
        <v>8820</v>
      </c>
      <c r="P1295" s="14" t="s">
        <v>118</v>
      </c>
      <c r="Q1295" s="15" t="s">
        <v>1089</v>
      </c>
      <c r="R1295" s="16" t="s">
        <v>8821</v>
      </c>
      <c r="S1295" s="15" t="s">
        <v>8822</v>
      </c>
      <c r="T1295" s="15" t="s">
        <v>8822</v>
      </c>
      <c r="U1295" s="21" t="s">
        <v>72</v>
      </c>
    </row>
    <row r="1296" customFormat="false" ht="15" hidden="false" customHeight="false" outlineLevel="0" collapsed="false">
      <c r="A1296" s="15" t="s">
        <v>850</v>
      </c>
      <c r="B1296" s="15" t="s">
        <v>8737</v>
      </c>
      <c r="C1296" s="14" t="s">
        <v>8823</v>
      </c>
      <c r="D1296" s="14" t="s">
        <v>8824</v>
      </c>
      <c r="E1296" s="16" t="s">
        <v>8825</v>
      </c>
      <c r="F1296" s="16" t="s">
        <v>8826</v>
      </c>
      <c r="G1296" s="19" t="s">
        <v>41</v>
      </c>
      <c r="H1296" s="18" t="n">
        <v>3</v>
      </c>
      <c r="I1296" s="20" t="n">
        <v>77.18</v>
      </c>
      <c r="J1296" s="20" t="n">
        <v>273.71</v>
      </c>
      <c r="K1296" s="18" t="n">
        <v>3</v>
      </c>
      <c r="L1296" s="18" t="n">
        <v>19</v>
      </c>
      <c r="M1296" s="18" t="n">
        <v>62</v>
      </c>
      <c r="N1296" s="18" t="n">
        <v>20</v>
      </c>
      <c r="O1296" s="14" t="s">
        <v>4215</v>
      </c>
      <c r="P1296" s="14" t="s">
        <v>118</v>
      </c>
      <c r="Q1296" s="15" t="s">
        <v>1089</v>
      </c>
      <c r="R1296" s="16" t="s">
        <v>8827</v>
      </c>
      <c r="S1296" s="15" t="s">
        <v>8828</v>
      </c>
      <c r="T1296" s="15" t="s">
        <v>8829</v>
      </c>
      <c r="U1296" s="21" t="s">
        <v>72</v>
      </c>
    </row>
    <row r="1297" customFormat="false" ht="39.55" hidden="false" customHeight="false" outlineLevel="0" collapsed="false">
      <c r="A1297" s="15" t="s">
        <v>850</v>
      </c>
      <c r="B1297" s="15" t="s">
        <v>8737</v>
      </c>
      <c r="C1297" s="14" t="s">
        <v>8830</v>
      </c>
      <c r="D1297" s="14" t="s">
        <v>8831</v>
      </c>
      <c r="E1297" s="16" t="s">
        <v>8832</v>
      </c>
      <c r="F1297" s="16" t="s">
        <v>8833</v>
      </c>
      <c r="G1297" s="25" t="s">
        <v>39</v>
      </c>
      <c r="H1297" s="18" t="n">
        <v>9</v>
      </c>
      <c r="I1297" s="20" t="n">
        <v>240</v>
      </c>
      <c r="J1297" s="20" t="n">
        <v>426.49</v>
      </c>
      <c r="K1297" s="18" t="n">
        <v>9</v>
      </c>
      <c r="L1297" s="18" t="n">
        <v>9</v>
      </c>
      <c r="M1297" s="18" t="n">
        <v>135</v>
      </c>
      <c r="N1297" s="18" t="n">
        <v>135</v>
      </c>
      <c r="O1297" s="14" t="s">
        <v>8834</v>
      </c>
      <c r="P1297" s="14" t="s">
        <v>118</v>
      </c>
      <c r="Q1297" s="15" t="s">
        <v>1089</v>
      </c>
      <c r="R1297" s="16" t="s">
        <v>8835</v>
      </c>
      <c r="S1297" s="15" t="s">
        <v>8836</v>
      </c>
      <c r="T1297" s="15" t="s">
        <v>8837</v>
      </c>
      <c r="U1297" s="21" t="s">
        <v>72</v>
      </c>
    </row>
    <row r="1298" customFormat="false" ht="39.55" hidden="false" customHeight="false" outlineLevel="0" collapsed="false">
      <c r="A1298" s="15" t="s">
        <v>850</v>
      </c>
      <c r="B1298" s="15" t="s">
        <v>8737</v>
      </c>
      <c r="C1298" s="14" t="s">
        <v>8838</v>
      </c>
      <c r="D1298" s="14" t="s">
        <v>8839</v>
      </c>
      <c r="E1298" s="16" t="s">
        <v>8840</v>
      </c>
      <c r="F1298" s="16" t="s">
        <v>8841</v>
      </c>
      <c r="G1298" s="23" t="s">
        <v>43</v>
      </c>
      <c r="H1298" s="18" t="n">
        <v>3</v>
      </c>
      <c r="I1298" s="20" t="n">
        <v>62.53</v>
      </c>
      <c r="J1298" s="20" t="n">
        <v>86.73</v>
      </c>
      <c r="K1298" s="18" t="n">
        <v>16</v>
      </c>
      <c r="L1298" s="18" t="n">
        <v>14</v>
      </c>
      <c r="M1298" s="18" t="n">
        <v>448</v>
      </c>
      <c r="N1298" s="18" t="n">
        <v>140</v>
      </c>
      <c r="O1298" s="14" t="s">
        <v>8842</v>
      </c>
      <c r="P1298" s="14" t="s">
        <v>1798</v>
      </c>
      <c r="Q1298" s="15" t="s">
        <v>1089</v>
      </c>
      <c r="R1298" s="16" t="s">
        <v>8843</v>
      </c>
      <c r="S1298" s="15" t="s">
        <v>8844</v>
      </c>
      <c r="T1298" s="15" t="s">
        <v>8845</v>
      </c>
      <c r="U1298" s="21" t="s">
        <v>72</v>
      </c>
    </row>
    <row r="1299" customFormat="false" ht="26.85" hidden="false" customHeight="false" outlineLevel="0" collapsed="false">
      <c r="A1299" s="15" t="s">
        <v>850</v>
      </c>
      <c r="B1299" s="15" t="s">
        <v>8846</v>
      </c>
      <c r="C1299" s="14" t="s">
        <v>8847</v>
      </c>
      <c r="D1299" s="14" t="s">
        <v>8848</v>
      </c>
      <c r="E1299" s="16" t="s">
        <v>8849</v>
      </c>
      <c r="F1299" s="16" t="s">
        <v>8850</v>
      </c>
      <c r="G1299" s="23" t="s">
        <v>43</v>
      </c>
      <c r="H1299" s="18" t="n">
        <v>4</v>
      </c>
      <c r="I1299" s="20" t="n">
        <v>113.35</v>
      </c>
      <c r="J1299" s="20" t="n">
        <v>184.73</v>
      </c>
      <c r="K1299" s="18" t="n">
        <v>3</v>
      </c>
      <c r="L1299" s="18" t="n">
        <v>2</v>
      </c>
      <c r="M1299" s="18" t="n">
        <v>46</v>
      </c>
      <c r="N1299" s="18" t="n">
        <v>46</v>
      </c>
      <c r="O1299" s="14" t="s">
        <v>5900</v>
      </c>
      <c r="P1299" s="14" t="s">
        <v>118</v>
      </c>
      <c r="Q1299" s="15" t="s">
        <v>1089</v>
      </c>
      <c r="R1299" s="16" t="s">
        <v>4844</v>
      </c>
      <c r="S1299" s="15" t="s">
        <v>8851</v>
      </c>
      <c r="T1299" s="15" t="s">
        <v>8851</v>
      </c>
      <c r="U1299" s="21" t="s">
        <v>72</v>
      </c>
    </row>
    <row r="1300" customFormat="false" ht="15" hidden="false" customHeight="false" outlineLevel="0" collapsed="false">
      <c r="A1300" s="15" t="s">
        <v>850</v>
      </c>
      <c r="B1300" s="15" t="s">
        <v>8846</v>
      </c>
      <c r="C1300" s="14" t="s">
        <v>8852</v>
      </c>
      <c r="D1300" s="14" t="s">
        <v>8853</v>
      </c>
      <c r="E1300" s="16" t="s">
        <v>8854</v>
      </c>
      <c r="F1300" s="16" t="s">
        <v>8855</v>
      </c>
      <c r="G1300" s="23" t="s">
        <v>43</v>
      </c>
      <c r="H1300" s="18" t="n">
        <v>2</v>
      </c>
      <c r="I1300" s="20" t="n">
        <v>40.1</v>
      </c>
      <c r="J1300" s="20" t="n">
        <v>96.73</v>
      </c>
      <c r="K1300" s="18" t="n">
        <v>4</v>
      </c>
      <c r="L1300" s="18" t="n">
        <v>2</v>
      </c>
      <c r="M1300" s="18" t="n">
        <v>80</v>
      </c>
      <c r="N1300" s="18" t="n">
        <v>40</v>
      </c>
      <c r="O1300" s="14" t="s">
        <v>4223</v>
      </c>
      <c r="P1300" s="14" t="s">
        <v>118</v>
      </c>
      <c r="Q1300" s="15" t="s">
        <v>1089</v>
      </c>
      <c r="R1300" s="16" t="s">
        <v>4539</v>
      </c>
      <c r="S1300" s="15" t="s">
        <v>8856</v>
      </c>
      <c r="T1300" s="15" t="s">
        <v>8856</v>
      </c>
      <c r="U1300" s="21" t="s">
        <v>72</v>
      </c>
    </row>
    <row r="1301" customFormat="false" ht="39.55" hidden="false" customHeight="false" outlineLevel="0" collapsed="false">
      <c r="A1301" s="15" t="s">
        <v>850</v>
      </c>
      <c r="B1301" s="15" t="s">
        <v>8846</v>
      </c>
      <c r="C1301" s="14" t="s">
        <v>8857</v>
      </c>
      <c r="D1301" s="14" t="s">
        <v>8858</v>
      </c>
      <c r="E1301" s="16" t="s">
        <v>8859</v>
      </c>
      <c r="F1301" s="16"/>
      <c r="G1301" s="25" t="s">
        <v>39</v>
      </c>
      <c r="H1301" s="18" t="n">
        <v>7</v>
      </c>
      <c r="I1301" s="20" t="n">
        <v>375.33</v>
      </c>
      <c r="J1301" s="20" t="n">
        <v>968.02</v>
      </c>
      <c r="K1301" s="18" t="n">
        <v>85</v>
      </c>
      <c r="L1301" s="18" t="n">
        <v>13</v>
      </c>
      <c r="M1301" s="18" t="n">
        <v>4675</v>
      </c>
      <c r="N1301" s="18" t="n">
        <v>330</v>
      </c>
      <c r="O1301" s="14" t="s">
        <v>4215</v>
      </c>
      <c r="P1301" s="14" t="s">
        <v>8860</v>
      </c>
      <c r="Q1301" s="15" t="s">
        <v>1089</v>
      </c>
      <c r="R1301" s="16" t="s">
        <v>8861</v>
      </c>
      <c r="S1301" s="15" t="s">
        <v>8862</v>
      </c>
      <c r="T1301" s="15" t="s">
        <v>8863</v>
      </c>
      <c r="U1301" s="21" t="s">
        <v>72</v>
      </c>
    </row>
    <row r="1302" customFormat="false" ht="15" hidden="false" customHeight="false" outlineLevel="0" collapsed="false">
      <c r="A1302" s="15" t="s">
        <v>850</v>
      </c>
      <c r="B1302" s="15" t="s">
        <v>8846</v>
      </c>
      <c r="C1302" s="14" t="s">
        <v>8864</v>
      </c>
      <c r="D1302" s="14" t="s">
        <v>8865</v>
      </c>
      <c r="E1302" s="16" t="s">
        <v>8866</v>
      </c>
      <c r="F1302" s="16"/>
      <c r="G1302" s="19" t="s">
        <v>41</v>
      </c>
      <c r="H1302" s="18" t="n">
        <v>5</v>
      </c>
      <c r="I1302" s="20" t="n">
        <v>70.75</v>
      </c>
      <c r="J1302" s="20" t="n">
        <v>111.51</v>
      </c>
      <c r="K1302" s="18" t="n">
        <v>5</v>
      </c>
      <c r="L1302" s="18" t="n">
        <v>1</v>
      </c>
      <c r="M1302" s="18" t="n">
        <v>275</v>
      </c>
      <c r="N1302" s="18" t="n">
        <v>275</v>
      </c>
      <c r="O1302" s="14" t="s">
        <v>4223</v>
      </c>
      <c r="P1302" s="14" t="s">
        <v>84</v>
      </c>
      <c r="Q1302" s="15" t="s">
        <v>1089</v>
      </c>
      <c r="R1302" s="16" t="s">
        <v>8867</v>
      </c>
      <c r="S1302" s="15" t="s">
        <v>8868</v>
      </c>
      <c r="T1302" s="15" t="s">
        <v>8869</v>
      </c>
      <c r="U1302" s="21" t="s">
        <v>72</v>
      </c>
    </row>
    <row r="1303" customFormat="false" ht="26.85" hidden="false" customHeight="false" outlineLevel="0" collapsed="false">
      <c r="A1303" s="15" t="s">
        <v>850</v>
      </c>
      <c r="B1303" s="15" t="s">
        <v>8846</v>
      </c>
      <c r="C1303" s="14" t="s">
        <v>8870</v>
      </c>
      <c r="D1303" s="14" t="s">
        <v>8871</v>
      </c>
      <c r="E1303" s="16" t="s">
        <v>8872</v>
      </c>
      <c r="F1303" s="16"/>
      <c r="G1303" s="23" t="s">
        <v>43</v>
      </c>
      <c r="H1303" s="18" t="n">
        <v>4</v>
      </c>
      <c r="I1303" s="20" t="n">
        <v>72.45</v>
      </c>
      <c r="J1303" s="20" t="n">
        <v>125.57</v>
      </c>
      <c r="K1303" s="18" t="n">
        <v>4</v>
      </c>
      <c r="L1303" s="18" t="n">
        <v>2</v>
      </c>
      <c r="M1303" s="18" t="n">
        <v>68</v>
      </c>
      <c r="N1303" s="18" t="n">
        <v>68</v>
      </c>
      <c r="O1303" s="14" t="s">
        <v>4751</v>
      </c>
      <c r="P1303" s="14" t="s">
        <v>118</v>
      </c>
      <c r="Q1303" s="15" t="s">
        <v>1089</v>
      </c>
      <c r="R1303" s="16" t="s">
        <v>8873</v>
      </c>
      <c r="S1303" s="15" t="s">
        <v>8874</v>
      </c>
      <c r="T1303" s="15" t="s">
        <v>8874</v>
      </c>
      <c r="U1303" s="21" t="s">
        <v>72</v>
      </c>
    </row>
    <row r="1304" customFormat="false" ht="15" hidden="false" customHeight="false" outlineLevel="0" collapsed="false">
      <c r="A1304" s="15" t="s">
        <v>850</v>
      </c>
      <c r="B1304" s="15" t="s">
        <v>8846</v>
      </c>
      <c r="C1304" s="14" t="s">
        <v>8875</v>
      </c>
      <c r="D1304" s="14" t="s">
        <v>8876</v>
      </c>
      <c r="E1304" s="16" t="s">
        <v>8877</v>
      </c>
      <c r="F1304" s="16" t="s">
        <v>8878</v>
      </c>
      <c r="G1304" s="23" t="s">
        <v>43</v>
      </c>
      <c r="H1304" s="18" t="n">
        <v>2</v>
      </c>
      <c r="I1304" s="20" t="n">
        <v>74.65</v>
      </c>
      <c r="J1304" s="20" t="n">
        <v>93.06</v>
      </c>
      <c r="K1304" s="18" t="n">
        <v>4</v>
      </c>
      <c r="L1304" s="18" t="n">
        <v>3</v>
      </c>
      <c r="M1304" s="18" t="n">
        <v>164</v>
      </c>
      <c r="N1304" s="18" t="n">
        <v>82</v>
      </c>
      <c r="O1304" s="14" t="s">
        <v>4385</v>
      </c>
      <c r="P1304" s="14" t="s">
        <v>118</v>
      </c>
      <c r="Q1304" s="15" t="s">
        <v>1089</v>
      </c>
      <c r="R1304" s="16" t="s">
        <v>8879</v>
      </c>
      <c r="S1304" s="15" t="s">
        <v>5452</v>
      </c>
      <c r="T1304" s="15" t="s">
        <v>8880</v>
      </c>
      <c r="U1304" s="21" t="s">
        <v>72</v>
      </c>
    </row>
    <row r="1305" customFormat="false" ht="15" hidden="false" customHeight="false" outlineLevel="0" collapsed="false">
      <c r="A1305" s="15" t="s">
        <v>850</v>
      </c>
      <c r="B1305" s="15" t="s">
        <v>8846</v>
      </c>
      <c r="C1305" s="14" t="s">
        <v>8881</v>
      </c>
      <c r="D1305" s="14" t="s">
        <v>8882</v>
      </c>
      <c r="E1305" s="16" t="s">
        <v>8883</v>
      </c>
      <c r="F1305" s="16"/>
      <c r="G1305" s="23" t="s">
        <v>43</v>
      </c>
      <c r="H1305" s="18" t="n">
        <v>3</v>
      </c>
      <c r="I1305" s="20" t="n">
        <v>55.32</v>
      </c>
      <c r="J1305" s="20" t="n">
        <v>115.26</v>
      </c>
      <c r="K1305" s="18" t="n">
        <v>4</v>
      </c>
      <c r="L1305" s="18" t="n">
        <v>1</v>
      </c>
      <c r="M1305" s="18" t="n">
        <v>64</v>
      </c>
      <c r="N1305" s="18" t="n">
        <v>34</v>
      </c>
      <c r="O1305" s="14" t="s">
        <v>8884</v>
      </c>
      <c r="P1305" s="14" t="s">
        <v>118</v>
      </c>
      <c r="Q1305" s="15" t="s">
        <v>1089</v>
      </c>
      <c r="R1305" s="16" t="s">
        <v>8885</v>
      </c>
      <c r="S1305" s="15" t="s">
        <v>8886</v>
      </c>
      <c r="T1305" s="15" t="s">
        <v>8886</v>
      </c>
      <c r="U1305" s="21" t="s">
        <v>72</v>
      </c>
    </row>
    <row r="1306" customFormat="false" ht="26.85" hidden="false" customHeight="false" outlineLevel="0" collapsed="false">
      <c r="A1306" s="15" t="s">
        <v>850</v>
      </c>
      <c r="B1306" s="15" t="s">
        <v>8846</v>
      </c>
      <c r="C1306" s="14" t="s">
        <v>8887</v>
      </c>
      <c r="D1306" s="14" t="s">
        <v>8888</v>
      </c>
      <c r="E1306" s="16" t="s">
        <v>8889</v>
      </c>
      <c r="F1306" s="16" t="s">
        <v>8890</v>
      </c>
      <c r="G1306" s="23" t="s">
        <v>43</v>
      </c>
      <c r="H1306" s="18" t="n">
        <v>3</v>
      </c>
      <c r="I1306" s="20" t="n">
        <v>77.91</v>
      </c>
      <c r="J1306" s="20" t="n">
        <v>177.62</v>
      </c>
      <c r="K1306" s="18" t="n">
        <v>6</v>
      </c>
      <c r="L1306" s="18" t="n">
        <v>1</v>
      </c>
      <c r="M1306" s="18" t="n">
        <v>138</v>
      </c>
      <c r="N1306" s="18" t="n">
        <v>46</v>
      </c>
      <c r="O1306" s="14" t="s">
        <v>7783</v>
      </c>
      <c r="P1306" s="14" t="s">
        <v>352</v>
      </c>
      <c r="Q1306" s="15" t="s">
        <v>1089</v>
      </c>
      <c r="R1306" s="16" t="s">
        <v>8891</v>
      </c>
      <c r="S1306" s="15" t="s">
        <v>8892</v>
      </c>
      <c r="T1306" s="15" t="s">
        <v>8892</v>
      </c>
      <c r="U1306" s="21" t="s">
        <v>72</v>
      </c>
    </row>
    <row r="1307" customFormat="false" ht="15" hidden="false" customHeight="false" outlineLevel="0" collapsed="false">
      <c r="A1307" s="15" t="s">
        <v>850</v>
      </c>
      <c r="B1307" s="15" t="s">
        <v>8846</v>
      </c>
      <c r="C1307" s="14" t="s">
        <v>8893</v>
      </c>
      <c r="D1307" s="14" t="s">
        <v>8894</v>
      </c>
      <c r="E1307" s="16" t="s">
        <v>8895</v>
      </c>
      <c r="F1307" s="16"/>
      <c r="G1307" s="23" t="s">
        <v>43</v>
      </c>
      <c r="H1307" s="18" t="n">
        <v>2</v>
      </c>
      <c r="I1307" s="20" t="n">
        <v>73.3</v>
      </c>
      <c r="J1307" s="20" t="n">
        <v>97.55</v>
      </c>
      <c r="K1307" s="18" t="n">
        <v>6</v>
      </c>
      <c r="L1307" s="18" t="n">
        <v>1</v>
      </c>
      <c r="M1307" s="18" t="n">
        <v>156</v>
      </c>
      <c r="N1307" s="18" t="n">
        <v>60</v>
      </c>
      <c r="O1307" s="14" t="s">
        <v>4223</v>
      </c>
      <c r="P1307" s="14" t="s">
        <v>118</v>
      </c>
      <c r="Q1307" s="15" t="s">
        <v>1089</v>
      </c>
      <c r="R1307" s="16" t="s">
        <v>4775</v>
      </c>
      <c r="S1307" s="15" t="s">
        <v>8896</v>
      </c>
      <c r="T1307" s="15" t="s">
        <v>8897</v>
      </c>
      <c r="U1307" s="21" t="s">
        <v>72</v>
      </c>
    </row>
    <row r="1308" customFormat="false" ht="26.85" hidden="false" customHeight="false" outlineLevel="0" collapsed="false">
      <c r="A1308" s="15" t="s">
        <v>850</v>
      </c>
      <c r="B1308" s="15" t="s">
        <v>8846</v>
      </c>
      <c r="C1308" s="14" t="s">
        <v>8898</v>
      </c>
      <c r="D1308" s="14" t="s">
        <v>8899</v>
      </c>
      <c r="E1308" s="16" t="s">
        <v>8900</v>
      </c>
      <c r="F1308" s="16" t="s">
        <v>1387</v>
      </c>
      <c r="G1308" s="19" t="s">
        <v>41</v>
      </c>
      <c r="H1308" s="18" t="n">
        <v>4</v>
      </c>
      <c r="I1308" s="20" t="n">
        <v>107.25</v>
      </c>
      <c r="J1308" s="20" t="n">
        <v>272.8</v>
      </c>
      <c r="K1308" s="18" t="n">
        <v>14</v>
      </c>
      <c r="L1308" s="18" t="n">
        <v>16</v>
      </c>
      <c r="M1308" s="18" t="n">
        <v>322</v>
      </c>
      <c r="N1308" s="18" t="n">
        <v>138</v>
      </c>
      <c r="O1308" s="14" t="s">
        <v>4276</v>
      </c>
      <c r="P1308" s="14" t="s">
        <v>1166</v>
      </c>
      <c r="Q1308" s="15" t="s">
        <v>1089</v>
      </c>
      <c r="R1308" s="16" t="s">
        <v>8031</v>
      </c>
      <c r="S1308" s="15" t="s">
        <v>8407</v>
      </c>
      <c r="T1308" s="15" t="s">
        <v>8901</v>
      </c>
      <c r="U1308" s="21" t="s">
        <v>72</v>
      </c>
    </row>
    <row r="1309" customFormat="false" ht="26.85" hidden="false" customHeight="false" outlineLevel="0" collapsed="false">
      <c r="A1309" s="15" t="s">
        <v>850</v>
      </c>
      <c r="B1309" s="15" t="s">
        <v>8846</v>
      </c>
      <c r="C1309" s="14" t="s">
        <v>8902</v>
      </c>
      <c r="D1309" s="14" t="s">
        <v>8903</v>
      </c>
      <c r="E1309" s="16" t="s">
        <v>8904</v>
      </c>
      <c r="F1309" s="16"/>
      <c r="G1309" s="19" t="s">
        <v>41</v>
      </c>
      <c r="H1309" s="18" t="n">
        <v>6</v>
      </c>
      <c r="I1309" s="20" t="n">
        <v>128.37</v>
      </c>
      <c r="J1309" s="20" t="n">
        <v>189.24</v>
      </c>
      <c r="K1309" s="18" t="n">
        <v>7</v>
      </c>
      <c r="L1309" s="18" t="n">
        <v>4</v>
      </c>
      <c r="M1309" s="18" t="n">
        <v>154</v>
      </c>
      <c r="N1309" s="18" t="n">
        <v>66</v>
      </c>
      <c r="O1309" s="14" t="s">
        <v>8905</v>
      </c>
      <c r="P1309" s="14" t="s">
        <v>118</v>
      </c>
      <c r="Q1309" s="15" t="s">
        <v>1089</v>
      </c>
      <c r="R1309" s="16" t="s">
        <v>5494</v>
      </c>
      <c r="S1309" s="15" t="s">
        <v>8906</v>
      </c>
      <c r="T1309" s="15" t="s">
        <v>8906</v>
      </c>
      <c r="U1309" s="21" t="s">
        <v>72</v>
      </c>
    </row>
    <row r="1310" customFormat="false" ht="15" hidden="false" customHeight="false" outlineLevel="0" collapsed="false">
      <c r="A1310" s="15" t="s">
        <v>850</v>
      </c>
      <c r="B1310" s="15" t="s">
        <v>8846</v>
      </c>
      <c r="C1310" s="14" t="s">
        <v>8907</v>
      </c>
      <c r="D1310" s="14" t="s">
        <v>8908</v>
      </c>
      <c r="E1310" s="16" t="s">
        <v>8909</v>
      </c>
      <c r="F1310" s="16"/>
      <c r="G1310" s="23" t="s">
        <v>43</v>
      </c>
      <c r="H1310" s="18" t="n">
        <v>2</v>
      </c>
      <c r="I1310" s="20" t="n">
        <v>45.298</v>
      </c>
      <c r="J1310" s="20" t="n">
        <v>117.9</v>
      </c>
      <c r="K1310" s="18" t="n">
        <v>4</v>
      </c>
      <c r="L1310" s="18" t="n">
        <v>2</v>
      </c>
      <c r="M1310" s="18" t="n">
        <v>148</v>
      </c>
      <c r="N1310" s="18" t="n">
        <v>148</v>
      </c>
      <c r="O1310" s="14" t="s">
        <v>8910</v>
      </c>
      <c r="P1310" s="14" t="s">
        <v>118</v>
      </c>
      <c r="Q1310" s="15" t="s">
        <v>1089</v>
      </c>
      <c r="R1310" s="16" t="s">
        <v>8911</v>
      </c>
      <c r="S1310" s="15" t="s">
        <v>8912</v>
      </c>
      <c r="T1310" s="15" t="s">
        <v>8912</v>
      </c>
      <c r="U1310" s="21" t="s">
        <v>72</v>
      </c>
    </row>
    <row r="1311" customFormat="false" ht="26.85" hidden="false" customHeight="false" outlineLevel="0" collapsed="false">
      <c r="A1311" s="15" t="s">
        <v>850</v>
      </c>
      <c r="B1311" s="15" t="s">
        <v>8846</v>
      </c>
      <c r="C1311" s="14" t="s">
        <v>8913</v>
      </c>
      <c r="D1311" s="14" t="s">
        <v>8914</v>
      </c>
      <c r="E1311" s="16" t="s">
        <v>8915</v>
      </c>
      <c r="F1311" s="16"/>
      <c r="G1311" s="23" t="s">
        <v>43</v>
      </c>
      <c r="H1311" s="18" t="n">
        <v>2</v>
      </c>
      <c r="I1311" s="20" t="n">
        <v>49.2</v>
      </c>
      <c r="J1311" s="20" t="n">
        <v>131.69</v>
      </c>
      <c r="K1311" s="18" t="n">
        <v>8</v>
      </c>
      <c r="L1311" s="18" t="n">
        <v>16</v>
      </c>
      <c r="M1311" s="18" t="n">
        <v>168</v>
      </c>
      <c r="N1311" s="18" t="n">
        <v>63</v>
      </c>
      <c r="O1311" s="14" t="s">
        <v>4215</v>
      </c>
      <c r="P1311" s="14" t="s">
        <v>118</v>
      </c>
      <c r="Q1311" s="15" t="s">
        <v>1089</v>
      </c>
      <c r="R1311" s="16" t="s">
        <v>8439</v>
      </c>
      <c r="S1311" s="15" t="s">
        <v>8916</v>
      </c>
      <c r="T1311" s="15" t="s">
        <v>8917</v>
      </c>
      <c r="U1311" s="21" t="s">
        <v>72</v>
      </c>
    </row>
    <row r="1312" customFormat="false" ht="15" hidden="false" customHeight="false" outlineLevel="0" collapsed="false">
      <c r="A1312" s="15" t="s">
        <v>850</v>
      </c>
      <c r="B1312" s="15" t="s">
        <v>8846</v>
      </c>
      <c r="C1312" s="14" t="s">
        <v>8918</v>
      </c>
      <c r="D1312" s="14" t="s">
        <v>8919</v>
      </c>
      <c r="E1312" s="16" t="s">
        <v>8920</v>
      </c>
      <c r="F1312" s="16"/>
      <c r="G1312" s="23" t="s">
        <v>43</v>
      </c>
      <c r="H1312" s="18" t="n">
        <v>2</v>
      </c>
      <c r="I1312" s="20" t="n">
        <v>27</v>
      </c>
      <c r="J1312" s="20" t="n">
        <v>92.96</v>
      </c>
      <c r="K1312" s="18" t="n">
        <v>7</v>
      </c>
      <c r="L1312" s="18" t="n">
        <v>5</v>
      </c>
      <c r="M1312" s="18" t="n">
        <v>84</v>
      </c>
      <c r="N1312" s="18" t="n">
        <v>84</v>
      </c>
      <c r="O1312" s="14" t="s">
        <v>8921</v>
      </c>
      <c r="P1312" s="14" t="s">
        <v>118</v>
      </c>
      <c r="Q1312" s="15" t="s">
        <v>1089</v>
      </c>
      <c r="R1312" s="16" t="s">
        <v>8344</v>
      </c>
      <c r="S1312" s="15" t="s">
        <v>8922</v>
      </c>
      <c r="T1312" s="15" t="s">
        <v>8922</v>
      </c>
      <c r="U1312" s="21" t="s">
        <v>72</v>
      </c>
    </row>
    <row r="1313" customFormat="false" ht="26.85" hidden="false" customHeight="false" outlineLevel="0" collapsed="false">
      <c r="A1313" s="15" t="s">
        <v>850</v>
      </c>
      <c r="B1313" s="15" t="s">
        <v>8846</v>
      </c>
      <c r="C1313" s="14" t="s">
        <v>8923</v>
      </c>
      <c r="D1313" s="14" t="s">
        <v>8924</v>
      </c>
      <c r="E1313" s="16" t="s">
        <v>8925</v>
      </c>
      <c r="F1313" s="16" t="s">
        <v>8926</v>
      </c>
      <c r="G1313" s="25" t="s">
        <v>39</v>
      </c>
      <c r="H1313" s="18" t="n">
        <v>8</v>
      </c>
      <c r="I1313" s="20" t="n">
        <v>223.56</v>
      </c>
      <c r="J1313" s="20" t="n">
        <v>370.29</v>
      </c>
      <c r="K1313" s="18" t="n">
        <v>15</v>
      </c>
      <c r="L1313" s="18" t="n">
        <v>10</v>
      </c>
      <c r="M1313" s="18" t="n">
        <v>419</v>
      </c>
      <c r="N1313" s="18" t="n">
        <v>84</v>
      </c>
      <c r="O1313" s="14" t="s">
        <v>4215</v>
      </c>
      <c r="P1313" s="14" t="s">
        <v>1766</v>
      </c>
      <c r="Q1313" s="15" t="s">
        <v>1089</v>
      </c>
      <c r="R1313" s="16" t="s">
        <v>8927</v>
      </c>
      <c r="S1313" s="15" t="s">
        <v>8928</v>
      </c>
      <c r="T1313" s="15" t="s">
        <v>8929</v>
      </c>
      <c r="U1313" s="21" t="s">
        <v>72</v>
      </c>
    </row>
    <row r="1314" customFormat="false" ht="15" hidden="false" customHeight="false" outlineLevel="0" collapsed="false">
      <c r="A1314" s="15" t="s">
        <v>850</v>
      </c>
      <c r="B1314" s="15" t="s">
        <v>8846</v>
      </c>
      <c r="C1314" s="14" t="s">
        <v>8930</v>
      </c>
      <c r="D1314" s="14" t="s">
        <v>8931</v>
      </c>
      <c r="E1314" s="16" t="s">
        <v>8932</v>
      </c>
      <c r="F1314" s="16"/>
      <c r="G1314" s="23" t="s">
        <v>43</v>
      </c>
      <c r="H1314" s="18" t="n">
        <v>2</v>
      </c>
      <c r="I1314" s="20" t="n">
        <v>44.91</v>
      </c>
      <c r="J1314" s="20" t="n">
        <v>89.03</v>
      </c>
      <c r="K1314" s="18" t="n">
        <v>4</v>
      </c>
      <c r="L1314" s="18" t="n">
        <v>3</v>
      </c>
      <c r="M1314" s="18" t="n">
        <v>72</v>
      </c>
      <c r="N1314" s="18" t="n">
        <v>72</v>
      </c>
      <c r="O1314" s="14" t="s">
        <v>8543</v>
      </c>
      <c r="P1314" s="14" t="s">
        <v>118</v>
      </c>
      <c r="Q1314" s="15" t="s">
        <v>1089</v>
      </c>
      <c r="R1314" s="16" t="s">
        <v>8933</v>
      </c>
      <c r="S1314" s="15" t="s">
        <v>8934</v>
      </c>
      <c r="T1314" s="15" t="s">
        <v>8935</v>
      </c>
      <c r="U1314" s="21" t="s">
        <v>72</v>
      </c>
    </row>
    <row r="1315" customFormat="false" ht="15" hidden="false" customHeight="false" outlineLevel="0" collapsed="false">
      <c r="A1315" s="15" t="s">
        <v>850</v>
      </c>
      <c r="B1315" s="15" t="s">
        <v>8846</v>
      </c>
      <c r="C1315" s="14" t="s">
        <v>8936</v>
      </c>
      <c r="D1315" s="14" t="s">
        <v>8937</v>
      </c>
      <c r="E1315" s="16" t="s">
        <v>8938</v>
      </c>
      <c r="F1315" s="16"/>
      <c r="G1315" s="19" t="s">
        <v>41</v>
      </c>
      <c r="H1315" s="18" t="n">
        <v>4</v>
      </c>
      <c r="I1315" s="20" t="n">
        <v>74.25</v>
      </c>
      <c r="J1315" s="20" t="n">
        <v>220.05</v>
      </c>
      <c r="K1315" s="18" t="n">
        <v>4</v>
      </c>
      <c r="L1315" s="18" t="n">
        <v>2</v>
      </c>
      <c r="M1315" s="18" t="n">
        <v>75</v>
      </c>
      <c r="N1315" s="18" t="n">
        <v>43</v>
      </c>
      <c r="O1315" s="14" t="s">
        <v>1126</v>
      </c>
      <c r="P1315" s="14" t="s">
        <v>118</v>
      </c>
      <c r="Q1315" s="15" t="s">
        <v>1089</v>
      </c>
      <c r="R1315" s="16" t="s">
        <v>8939</v>
      </c>
      <c r="S1315" s="15" t="s">
        <v>8940</v>
      </c>
      <c r="T1315" s="15" t="s">
        <v>8941</v>
      </c>
      <c r="U1315" s="21" t="s">
        <v>72</v>
      </c>
    </row>
    <row r="1316" customFormat="false" ht="15" hidden="false" customHeight="false" outlineLevel="0" collapsed="false">
      <c r="A1316" s="15" t="s">
        <v>850</v>
      </c>
      <c r="B1316" s="15" t="s">
        <v>8846</v>
      </c>
      <c r="C1316" s="14" t="s">
        <v>8942</v>
      </c>
      <c r="D1316" s="14" t="s">
        <v>8943</v>
      </c>
      <c r="E1316" s="16" t="s">
        <v>8944</v>
      </c>
      <c r="F1316" s="16"/>
      <c r="G1316" s="19" t="s">
        <v>41</v>
      </c>
      <c r="H1316" s="18" t="n">
        <v>6</v>
      </c>
      <c r="I1316" s="20" t="n">
        <v>133.63</v>
      </c>
      <c r="J1316" s="20" t="n">
        <v>113.19</v>
      </c>
      <c r="K1316" s="18" t="n">
        <v>5</v>
      </c>
      <c r="L1316" s="18" t="n">
        <v>1</v>
      </c>
      <c r="M1316" s="18" t="n">
        <v>100</v>
      </c>
      <c r="N1316" s="18" t="n">
        <v>20</v>
      </c>
      <c r="O1316" s="14" t="s">
        <v>4215</v>
      </c>
      <c r="P1316" s="14" t="s">
        <v>118</v>
      </c>
      <c r="Q1316" s="15" t="s">
        <v>1089</v>
      </c>
      <c r="R1316" s="16" t="s">
        <v>8945</v>
      </c>
      <c r="S1316" s="15" t="s">
        <v>8946</v>
      </c>
      <c r="T1316" s="15" t="s">
        <v>8947</v>
      </c>
      <c r="U1316" s="21" t="s">
        <v>72</v>
      </c>
    </row>
    <row r="1317" customFormat="false" ht="15" hidden="false" customHeight="false" outlineLevel="0" collapsed="false">
      <c r="A1317" s="15" t="s">
        <v>850</v>
      </c>
      <c r="B1317" s="15" t="s">
        <v>8846</v>
      </c>
      <c r="C1317" s="14" t="s">
        <v>8948</v>
      </c>
      <c r="D1317" s="14" t="s">
        <v>8949</v>
      </c>
      <c r="E1317" s="16" t="s">
        <v>8950</v>
      </c>
      <c r="F1317" s="16" t="s">
        <v>8951</v>
      </c>
      <c r="G1317" s="23" t="s">
        <v>43</v>
      </c>
      <c r="H1317" s="18" t="n">
        <v>2</v>
      </c>
      <c r="I1317" s="20" t="n">
        <v>41.37</v>
      </c>
      <c r="J1317" s="20" t="n">
        <v>88.36</v>
      </c>
      <c r="K1317" s="18" t="n">
        <v>4</v>
      </c>
      <c r="L1317" s="18" t="n">
        <v>1</v>
      </c>
      <c r="M1317" s="18" t="n">
        <v>68</v>
      </c>
      <c r="N1317" s="18" t="n">
        <v>17</v>
      </c>
      <c r="O1317" s="14" t="s">
        <v>4223</v>
      </c>
      <c r="P1317" s="14" t="s">
        <v>515</v>
      </c>
      <c r="Q1317" s="15" t="s">
        <v>1089</v>
      </c>
      <c r="R1317" s="16" t="s">
        <v>6247</v>
      </c>
      <c r="S1317" s="15" t="s">
        <v>8952</v>
      </c>
      <c r="T1317" s="15" t="s">
        <v>8952</v>
      </c>
      <c r="U1317" s="21" t="s">
        <v>72</v>
      </c>
    </row>
    <row r="1318" customFormat="false" ht="25.35" hidden="false" customHeight="false" outlineLevel="0" collapsed="false">
      <c r="A1318" s="15" t="s">
        <v>850</v>
      </c>
      <c r="B1318" s="15" t="s">
        <v>8846</v>
      </c>
      <c r="C1318" s="14" t="s">
        <v>8953</v>
      </c>
      <c r="D1318" s="14" t="s">
        <v>8954</v>
      </c>
      <c r="E1318" s="16" t="s">
        <v>8955</v>
      </c>
      <c r="F1318" s="16"/>
      <c r="G1318" s="19" t="s">
        <v>41</v>
      </c>
      <c r="H1318" s="18" t="n">
        <v>4</v>
      </c>
      <c r="I1318" s="20" t="n">
        <v>133.7</v>
      </c>
      <c r="J1318" s="20" t="n">
        <v>299.56</v>
      </c>
      <c r="K1318" s="18" t="n">
        <v>4</v>
      </c>
      <c r="L1318" s="18"/>
      <c r="M1318" s="18" t="n">
        <v>109</v>
      </c>
      <c r="N1318" s="18" t="n">
        <v>109</v>
      </c>
      <c r="O1318" s="14" t="s">
        <v>8956</v>
      </c>
      <c r="P1318" s="14" t="s">
        <v>118</v>
      </c>
      <c r="Q1318" s="15" t="s">
        <v>1089</v>
      </c>
      <c r="R1318" s="16" t="s">
        <v>8957</v>
      </c>
      <c r="S1318" s="15" t="s">
        <v>8958</v>
      </c>
      <c r="T1318" s="15" t="s">
        <v>8958</v>
      </c>
      <c r="U1318" s="21" t="s">
        <v>72</v>
      </c>
    </row>
    <row r="1319" customFormat="false" ht="15" hidden="false" customHeight="false" outlineLevel="0" collapsed="false">
      <c r="A1319" s="15" t="s">
        <v>850</v>
      </c>
      <c r="B1319" s="15" t="s">
        <v>8846</v>
      </c>
      <c r="C1319" s="14" t="s">
        <v>8959</v>
      </c>
      <c r="D1319" s="14" t="s">
        <v>8960</v>
      </c>
      <c r="E1319" s="16" t="s">
        <v>8961</v>
      </c>
      <c r="F1319" s="16"/>
      <c r="G1319" s="25" t="s">
        <v>39</v>
      </c>
      <c r="H1319" s="18" t="n">
        <v>6</v>
      </c>
      <c r="I1319" s="20" t="n">
        <v>236.94</v>
      </c>
      <c r="J1319" s="20" t="n">
        <v>428.42</v>
      </c>
      <c r="K1319" s="18" t="n">
        <v>6</v>
      </c>
      <c r="L1319" s="18" t="n">
        <v>4</v>
      </c>
      <c r="M1319" s="18" t="n">
        <v>195</v>
      </c>
      <c r="N1319" s="18" t="n">
        <v>195</v>
      </c>
      <c r="O1319" s="14" t="s">
        <v>1126</v>
      </c>
      <c r="P1319" s="14" t="s">
        <v>84</v>
      </c>
      <c r="Q1319" s="15" t="s">
        <v>1089</v>
      </c>
      <c r="R1319" s="16" t="s">
        <v>8962</v>
      </c>
      <c r="S1319" s="15" t="s">
        <v>2561</v>
      </c>
      <c r="T1319" s="15" t="s">
        <v>8963</v>
      </c>
      <c r="U1319" s="21" t="s">
        <v>72</v>
      </c>
    </row>
    <row r="1320" customFormat="false" ht="26.85" hidden="false" customHeight="false" outlineLevel="0" collapsed="false">
      <c r="A1320" s="15" t="s">
        <v>850</v>
      </c>
      <c r="B1320" s="15" t="s">
        <v>8846</v>
      </c>
      <c r="C1320" s="14" t="s">
        <v>8964</v>
      </c>
      <c r="D1320" s="14" t="s">
        <v>8965</v>
      </c>
      <c r="E1320" s="16" t="s">
        <v>8966</v>
      </c>
      <c r="F1320" s="16"/>
      <c r="G1320" s="25" t="s">
        <v>39</v>
      </c>
      <c r="H1320" s="18" t="n">
        <v>8</v>
      </c>
      <c r="I1320" s="20" t="n">
        <v>120.1</v>
      </c>
      <c r="J1320" s="20" t="n">
        <v>266.79</v>
      </c>
      <c r="K1320" s="18" t="n">
        <v>8</v>
      </c>
      <c r="L1320" s="18" t="n">
        <v>2</v>
      </c>
      <c r="M1320" s="18" t="n">
        <v>114</v>
      </c>
      <c r="N1320" s="18" t="n">
        <v>50</v>
      </c>
      <c r="O1320" s="14" t="s">
        <v>8967</v>
      </c>
      <c r="P1320" s="14" t="s">
        <v>118</v>
      </c>
      <c r="Q1320" s="15" t="s">
        <v>1089</v>
      </c>
      <c r="R1320" s="16" t="s">
        <v>8968</v>
      </c>
      <c r="S1320" s="15" t="s">
        <v>8969</v>
      </c>
      <c r="T1320" s="15" t="s">
        <v>8970</v>
      </c>
      <c r="U1320" s="21" t="s">
        <v>72</v>
      </c>
    </row>
    <row r="1321" customFormat="false" ht="15" hidden="false" customHeight="false" outlineLevel="0" collapsed="false">
      <c r="A1321" s="15" t="s">
        <v>850</v>
      </c>
      <c r="B1321" s="15" t="s">
        <v>8846</v>
      </c>
      <c r="C1321" s="14" t="s">
        <v>8971</v>
      </c>
      <c r="D1321" s="14" t="s">
        <v>8972</v>
      </c>
      <c r="E1321" s="16" t="s">
        <v>8973</v>
      </c>
      <c r="F1321" s="16" t="s">
        <v>8974</v>
      </c>
      <c r="G1321" s="23" t="s">
        <v>43</v>
      </c>
      <c r="H1321" s="18" t="n">
        <v>4</v>
      </c>
      <c r="I1321" s="20" t="n">
        <v>98.42</v>
      </c>
      <c r="J1321" s="20" t="n">
        <v>195.86</v>
      </c>
      <c r="K1321" s="18" t="n">
        <v>10</v>
      </c>
      <c r="L1321" s="18" t="n">
        <v>2</v>
      </c>
      <c r="M1321" s="18" t="n">
        <v>200</v>
      </c>
      <c r="N1321" s="18" t="n">
        <v>80</v>
      </c>
      <c r="O1321" s="14" t="s">
        <v>4951</v>
      </c>
      <c r="P1321" s="14" t="s">
        <v>118</v>
      </c>
      <c r="Q1321" s="15" t="s">
        <v>1089</v>
      </c>
      <c r="R1321" s="16" t="s">
        <v>6192</v>
      </c>
      <c r="S1321" s="15" t="s">
        <v>8975</v>
      </c>
      <c r="T1321" s="15" t="s">
        <v>8975</v>
      </c>
      <c r="U1321" s="21" t="s">
        <v>72</v>
      </c>
    </row>
    <row r="1322" customFormat="false" ht="15" hidden="false" customHeight="false" outlineLevel="0" collapsed="false">
      <c r="A1322" s="15" t="s">
        <v>850</v>
      </c>
      <c r="B1322" s="15" t="s">
        <v>8846</v>
      </c>
      <c r="C1322" s="14" t="s">
        <v>8976</v>
      </c>
      <c r="D1322" s="14" t="s">
        <v>8977</v>
      </c>
      <c r="E1322" s="16" t="s">
        <v>8978</v>
      </c>
      <c r="F1322" s="16"/>
      <c r="G1322" s="19" t="s">
        <v>41</v>
      </c>
      <c r="H1322" s="18" t="n">
        <v>2</v>
      </c>
      <c r="I1322" s="20" t="n">
        <v>43.495</v>
      </c>
      <c r="J1322" s="20" t="n">
        <v>216.8</v>
      </c>
      <c r="K1322" s="18" t="n">
        <v>6</v>
      </c>
      <c r="L1322" s="18" t="n">
        <v>6</v>
      </c>
      <c r="M1322" s="18" t="n">
        <v>126</v>
      </c>
      <c r="N1322" s="18" t="n">
        <v>126</v>
      </c>
      <c r="O1322" s="14" t="s">
        <v>8979</v>
      </c>
      <c r="P1322" s="14" t="s">
        <v>118</v>
      </c>
      <c r="Q1322" s="15" t="s">
        <v>1089</v>
      </c>
      <c r="R1322" s="16" t="s">
        <v>7444</v>
      </c>
      <c r="S1322" s="15" t="s">
        <v>8980</v>
      </c>
      <c r="T1322" s="15" t="s">
        <v>8980</v>
      </c>
      <c r="U1322" s="21" t="s">
        <v>72</v>
      </c>
    </row>
    <row r="1323" customFormat="false" ht="26.85" hidden="false" customHeight="false" outlineLevel="0" collapsed="false">
      <c r="A1323" s="15" t="s">
        <v>850</v>
      </c>
      <c r="B1323" s="15" t="s">
        <v>8846</v>
      </c>
      <c r="C1323" s="14" t="s">
        <v>8981</v>
      </c>
      <c r="D1323" s="14" t="s">
        <v>8982</v>
      </c>
      <c r="E1323" s="16" t="s">
        <v>8983</v>
      </c>
      <c r="F1323" s="16"/>
      <c r="G1323" s="19" t="s">
        <v>41</v>
      </c>
      <c r="H1323" s="18" t="n">
        <v>4</v>
      </c>
      <c r="I1323" s="20" t="n">
        <v>144.27</v>
      </c>
      <c r="J1323" s="20" t="n">
        <v>282.87</v>
      </c>
      <c r="K1323" s="18" t="n">
        <v>8</v>
      </c>
      <c r="L1323" s="18"/>
      <c r="M1323" s="18" t="n">
        <v>256</v>
      </c>
      <c r="N1323" s="18" t="n">
        <v>96</v>
      </c>
      <c r="O1323" s="14" t="s">
        <v>4215</v>
      </c>
      <c r="P1323" s="14" t="s">
        <v>872</v>
      </c>
      <c r="Q1323" s="15" t="s">
        <v>1089</v>
      </c>
      <c r="R1323" s="16" t="s">
        <v>8984</v>
      </c>
      <c r="S1323" s="15" t="s">
        <v>8985</v>
      </c>
      <c r="T1323" s="15" t="s">
        <v>8986</v>
      </c>
      <c r="U1323" s="21" t="s">
        <v>72</v>
      </c>
    </row>
    <row r="1324" customFormat="false" ht="15" hidden="false" customHeight="false" outlineLevel="0" collapsed="false">
      <c r="A1324" s="15" t="s">
        <v>850</v>
      </c>
      <c r="B1324" s="15" t="s">
        <v>8846</v>
      </c>
      <c r="C1324" s="14" t="s">
        <v>8987</v>
      </c>
      <c r="D1324" s="14" t="s">
        <v>8988</v>
      </c>
      <c r="E1324" s="16" t="s">
        <v>8989</v>
      </c>
      <c r="F1324" s="16" t="s">
        <v>8990</v>
      </c>
      <c r="G1324" s="23" t="s">
        <v>43</v>
      </c>
      <c r="H1324" s="18" t="n">
        <v>2</v>
      </c>
      <c r="I1324" s="20" t="n">
        <v>33.47</v>
      </c>
      <c r="J1324" s="20" t="n">
        <v>73.02</v>
      </c>
      <c r="K1324" s="18" t="n">
        <v>2</v>
      </c>
      <c r="L1324" s="18" t="n">
        <v>3</v>
      </c>
      <c r="M1324" s="18" t="n">
        <v>27</v>
      </c>
      <c r="N1324" s="18" t="n">
        <v>27</v>
      </c>
      <c r="O1324" s="14" t="s">
        <v>4343</v>
      </c>
      <c r="P1324" s="14" t="s">
        <v>84</v>
      </c>
      <c r="Q1324" s="15" t="s">
        <v>1089</v>
      </c>
      <c r="R1324" s="16" t="s">
        <v>8991</v>
      </c>
      <c r="S1324" s="15" t="s">
        <v>8992</v>
      </c>
      <c r="T1324" s="15" t="s">
        <v>8993</v>
      </c>
      <c r="U1324" s="21" t="s">
        <v>72</v>
      </c>
    </row>
    <row r="1325" customFormat="false" ht="26.85" hidden="false" customHeight="false" outlineLevel="0" collapsed="false">
      <c r="A1325" s="15" t="s">
        <v>850</v>
      </c>
      <c r="B1325" s="15" t="s">
        <v>8846</v>
      </c>
      <c r="C1325" s="14" t="s">
        <v>8994</v>
      </c>
      <c r="D1325" s="14" t="s">
        <v>8995</v>
      </c>
      <c r="E1325" s="16" t="s">
        <v>8996</v>
      </c>
      <c r="F1325" s="16"/>
      <c r="G1325" s="23" t="s">
        <v>43</v>
      </c>
      <c r="H1325" s="18" t="n">
        <v>2</v>
      </c>
      <c r="I1325" s="20" t="n">
        <v>47.58</v>
      </c>
      <c r="J1325" s="20" t="n">
        <v>109.76</v>
      </c>
      <c r="K1325" s="18" t="n">
        <v>8</v>
      </c>
      <c r="L1325" s="18" t="n">
        <v>3</v>
      </c>
      <c r="M1325" s="18" t="n">
        <v>184</v>
      </c>
      <c r="N1325" s="18" t="n">
        <v>46</v>
      </c>
      <c r="O1325" s="14" t="s">
        <v>8997</v>
      </c>
      <c r="P1325" s="14" t="s">
        <v>84</v>
      </c>
      <c r="Q1325" s="15" t="s">
        <v>1089</v>
      </c>
      <c r="R1325" s="16" t="s">
        <v>7061</v>
      </c>
      <c r="S1325" s="15" t="s">
        <v>8998</v>
      </c>
      <c r="T1325" s="15" t="s">
        <v>8998</v>
      </c>
      <c r="U1325" s="21" t="s">
        <v>72</v>
      </c>
    </row>
    <row r="1326" customFormat="false" ht="15" hidden="false" customHeight="false" outlineLevel="0" collapsed="false">
      <c r="A1326" s="15" t="s">
        <v>850</v>
      </c>
      <c r="B1326" s="15" t="s">
        <v>8846</v>
      </c>
      <c r="C1326" s="14" t="s">
        <v>8999</v>
      </c>
      <c r="D1326" s="14" t="s">
        <v>9000</v>
      </c>
      <c r="E1326" s="16" t="s">
        <v>9001</v>
      </c>
      <c r="F1326" s="16"/>
      <c r="G1326" s="23" t="s">
        <v>43</v>
      </c>
      <c r="H1326" s="18" t="n">
        <v>2</v>
      </c>
      <c r="I1326" s="20" t="n">
        <v>31.59</v>
      </c>
      <c r="J1326" s="20" t="n">
        <v>117.25</v>
      </c>
      <c r="K1326" s="18" t="n">
        <v>2</v>
      </c>
      <c r="L1326" s="18" t="n">
        <v>2</v>
      </c>
      <c r="M1326" s="18" t="n">
        <v>28</v>
      </c>
      <c r="N1326" s="18" t="n">
        <v>28</v>
      </c>
      <c r="O1326" s="14" t="s">
        <v>4223</v>
      </c>
      <c r="P1326" s="14" t="s">
        <v>84</v>
      </c>
      <c r="Q1326" s="15" t="s">
        <v>1089</v>
      </c>
      <c r="R1326" s="16" t="s">
        <v>9002</v>
      </c>
      <c r="S1326" s="15" t="s">
        <v>9003</v>
      </c>
      <c r="T1326" s="15" t="s">
        <v>9004</v>
      </c>
      <c r="U1326" s="21" t="s">
        <v>72</v>
      </c>
    </row>
    <row r="1327" customFormat="false" ht="15" hidden="false" customHeight="false" outlineLevel="0" collapsed="false">
      <c r="A1327" s="15" t="s">
        <v>850</v>
      </c>
      <c r="B1327" s="15" t="s">
        <v>8846</v>
      </c>
      <c r="C1327" s="14" t="s">
        <v>9005</v>
      </c>
      <c r="D1327" s="14" t="s">
        <v>9006</v>
      </c>
      <c r="E1327" s="16" t="s">
        <v>9007</v>
      </c>
      <c r="F1327" s="16"/>
      <c r="G1327" s="23" t="s">
        <v>43</v>
      </c>
      <c r="H1327" s="18" t="n">
        <v>4</v>
      </c>
      <c r="I1327" s="20" t="n">
        <v>54.83</v>
      </c>
      <c r="J1327" s="20" t="n">
        <v>99.78</v>
      </c>
      <c r="K1327" s="18" t="n">
        <v>4</v>
      </c>
      <c r="L1327" s="18" t="n">
        <v>3</v>
      </c>
      <c r="M1327" s="18" t="n">
        <v>176</v>
      </c>
      <c r="N1327" s="18" t="n">
        <v>176</v>
      </c>
      <c r="O1327" s="14" t="s">
        <v>1126</v>
      </c>
      <c r="P1327" s="14" t="s">
        <v>84</v>
      </c>
      <c r="Q1327" s="15" t="s">
        <v>1089</v>
      </c>
      <c r="R1327" s="16" t="s">
        <v>4526</v>
      </c>
      <c r="S1327" s="15" t="s">
        <v>9008</v>
      </c>
      <c r="T1327" s="15" t="s">
        <v>9008</v>
      </c>
      <c r="U1327" s="21" t="s">
        <v>72</v>
      </c>
    </row>
    <row r="1328" customFormat="false" ht="26.85" hidden="false" customHeight="false" outlineLevel="0" collapsed="false">
      <c r="A1328" s="15" t="s">
        <v>850</v>
      </c>
      <c r="B1328" s="15" t="s">
        <v>8846</v>
      </c>
      <c r="C1328" s="14" t="s">
        <v>9009</v>
      </c>
      <c r="D1328" s="14" t="s">
        <v>9010</v>
      </c>
      <c r="E1328" s="16" t="s">
        <v>9011</v>
      </c>
      <c r="F1328" s="16"/>
      <c r="G1328" s="23" t="s">
        <v>43</v>
      </c>
      <c r="H1328" s="18" t="n">
        <v>3</v>
      </c>
      <c r="I1328" s="20" t="n">
        <v>54.35</v>
      </c>
      <c r="J1328" s="20" t="n">
        <v>104.64</v>
      </c>
      <c r="K1328" s="18" t="n">
        <v>3</v>
      </c>
      <c r="L1328" s="18" t="n">
        <v>3</v>
      </c>
      <c r="M1328" s="18" t="n">
        <v>51</v>
      </c>
      <c r="N1328" s="18" t="n">
        <v>51</v>
      </c>
      <c r="O1328" s="14" t="s">
        <v>9012</v>
      </c>
      <c r="P1328" s="14" t="s">
        <v>118</v>
      </c>
      <c r="Q1328" s="15" t="s">
        <v>1089</v>
      </c>
      <c r="R1328" s="16" t="s">
        <v>9013</v>
      </c>
      <c r="S1328" s="15" t="s">
        <v>9014</v>
      </c>
      <c r="T1328" s="15" t="s">
        <v>9014</v>
      </c>
      <c r="U1328" s="21" t="s">
        <v>72</v>
      </c>
    </row>
    <row r="1329" customFormat="false" ht="26.85" hidden="false" customHeight="false" outlineLevel="0" collapsed="false">
      <c r="A1329" s="15" t="s">
        <v>850</v>
      </c>
      <c r="B1329" s="15" t="s">
        <v>8846</v>
      </c>
      <c r="C1329" s="14" t="s">
        <v>9015</v>
      </c>
      <c r="D1329" s="14" t="s">
        <v>9016</v>
      </c>
      <c r="E1329" s="16" t="s">
        <v>9017</v>
      </c>
      <c r="F1329" s="16"/>
      <c r="G1329" s="23" t="s">
        <v>43</v>
      </c>
      <c r="H1329" s="18" t="n">
        <v>3</v>
      </c>
      <c r="I1329" s="20" t="n">
        <v>44.64</v>
      </c>
      <c r="J1329" s="20" t="n">
        <v>109.59</v>
      </c>
      <c r="K1329" s="18" t="n">
        <v>4</v>
      </c>
      <c r="L1329" s="18" t="n">
        <v>1</v>
      </c>
      <c r="M1329" s="18" t="n">
        <v>140</v>
      </c>
      <c r="N1329" s="18" t="n">
        <v>140</v>
      </c>
      <c r="O1329" s="14" t="s">
        <v>9018</v>
      </c>
      <c r="P1329" s="14" t="s">
        <v>118</v>
      </c>
      <c r="Q1329" s="15" t="s">
        <v>1089</v>
      </c>
      <c r="R1329" s="16" t="s">
        <v>9019</v>
      </c>
      <c r="S1329" s="15" t="s">
        <v>9020</v>
      </c>
      <c r="T1329" s="15" t="s">
        <v>9021</v>
      </c>
      <c r="U1329" s="21" t="s">
        <v>72</v>
      </c>
    </row>
    <row r="1330" customFormat="false" ht="15" hidden="false" customHeight="false" outlineLevel="0" collapsed="false">
      <c r="A1330" s="15" t="s">
        <v>850</v>
      </c>
      <c r="B1330" s="15" t="s">
        <v>8846</v>
      </c>
      <c r="C1330" s="14" t="s">
        <v>9022</v>
      </c>
      <c r="D1330" s="14" t="s">
        <v>9023</v>
      </c>
      <c r="E1330" s="16" t="s">
        <v>9024</v>
      </c>
      <c r="F1330" s="16" t="s">
        <v>9025</v>
      </c>
      <c r="G1330" s="23" t="s">
        <v>43</v>
      </c>
      <c r="H1330" s="18" t="n">
        <v>3</v>
      </c>
      <c r="I1330" s="20" t="n">
        <v>78.35</v>
      </c>
      <c r="J1330" s="20" t="n">
        <v>158.79</v>
      </c>
      <c r="K1330" s="18" t="n">
        <v>3</v>
      </c>
      <c r="L1330" s="18" t="n">
        <v>2</v>
      </c>
      <c r="M1330" s="18" t="n">
        <v>192</v>
      </c>
      <c r="N1330" s="18" t="n">
        <v>192</v>
      </c>
      <c r="O1330" s="14" t="s">
        <v>1126</v>
      </c>
      <c r="P1330" s="14" t="s">
        <v>84</v>
      </c>
      <c r="Q1330" s="15" t="s">
        <v>1089</v>
      </c>
      <c r="R1330" s="16" t="s">
        <v>9026</v>
      </c>
      <c r="S1330" s="15" t="s">
        <v>9027</v>
      </c>
      <c r="T1330" s="15" t="s">
        <v>9028</v>
      </c>
      <c r="U1330" s="21" t="s">
        <v>72</v>
      </c>
    </row>
    <row r="1331" customFormat="false" ht="26.85" hidden="false" customHeight="false" outlineLevel="0" collapsed="false">
      <c r="A1331" s="15" t="s">
        <v>850</v>
      </c>
      <c r="B1331" s="15" t="s">
        <v>8846</v>
      </c>
      <c r="C1331" s="14" t="s">
        <v>9029</v>
      </c>
      <c r="D1331" s="14" t="s">
        <v>9030</v>
      </c>
      <c r="E1331" s="16" t="s">
        <v>9031</v>
      </c>
      <c r="F1331" s="16" t="s">
        <v>9032</v>
      </c>
      <c r="G1331" s="23" t="s">
        <v>43</v>
      </c>
      <c r="H1331" s="18" t="n">
        <v>3</v>
      </c>
      <c r="I1331" s="20" t="n">
        <v>57.24</v>
      </c>
      <c r="J1331" s="20" t="n">
        <v>128.08</v>
      </c>
      <c r="K1331" s="18" t="n">
        <v>4</v>
      </c>
      <c r="L1331" s="18" t="n">
        <v>2</v>
      </c>
      <c r="M1331" s="18" t="n">
        <v>90</v>
      </c>
      <c r="N1331" s="18" t="n">
        <v>60</v>
      </c>
      <c r="O1331" s="14" t="s">
        <v>1088</v>
      </c>
      <c r="P1331" s="14" t="s">
        <v>202</v>
      </c>
      <c r="Q1331" s="15" t="s">
        <v>1089</v>
      </c>
      <c r="R1331" s="16" t="s">
        <v>9033</v>
      </c>
      <c r="S1331" s="15" t="s">
        <v>4869</v>
      </c>
      <c r="T1331" s="15" t="s">
        <v>9034</v>
      </c>
      <c r="U1331" s="21" t="s">
        <v>72</v>
      </c>
    </row>
    <row r="1332" customFormat="false" ht="52.2" hidden="false" customHeight="false" outlineLevel="0" collapsed="false">
      <c r="A1332" s="15" t="s">
        <v>850</v>
      </c>
      <c r="B1332" s="15" t="s">
        <v>8846</v>
      </c>
      <c r="C1332" s="14" t="s">
        <v>9035</v>
      </c>
      <c r="D1332" s="14" t="s">
        <v>9036</v>
      </c>
      <c r="E1332" s="16" t="s">
        <v>9037</v>
      </c>
      <c r="F1332" s="16" t="s">
        <v>9032</v>
      </c>
      <c r="G1332" s="25" t="s">
        <v>39</v>
      </c>
      <c r="H1332" s="18" t="n">
        <v>8</v>
      </c>
      <c r="I1332" s="20" t="n">
        <v>135.45</v>
      </c>
      <c r="J1332" s="20" t="n">
        <v>194.02</v>
      </c>
      <c r="K1332" s="18" t="n">
        <v>8</v>
      </c>
      <c r="L1332" s="18" t="n">
        <v>4</v>
      </c>
      <c r="M1332" s="18" t="n">
        <v>109</v>
      </c>
      <c r="N1332" s="18" t="n">
        <v>61</v>
      </c>
      <c r="O1332" s="14" t="s">
        <v>9038</v>
      </c>
      <c r="P1332" s="14" t="s">
        <v>952</v>
      </c>
      <c r="Q1332" s="15" t="s">
        <v>1089</v>
      </c>
      <c r="R1332" s="16" t="s">
        <v>9039</v>
      </c>
      <c r="S1332" s="15" t="s">
        <v>9040</v>
      </c>
      <c r="T1332" s="15" t="s">
        <v>9041</v>
      </c>
      <c r="U1332" s="21" t="s">
        <v>72</v>
      </c>
    </row>
    <row r="1333" customFormat="false" ht="15" hidden="false" customHeight="false" outlineLevel="0" collapsed="false">
      <c r="A1333" s="15" t="s">
        <v>850</v>
      </c>
      <c r="B1333" s="15" t="s">
        <v>8846</v>
      </c>
      <c r="C1333" s="14" t="s">
        <v>9042</v>
      </c>
      <c r="D1333" s="14" t="s">
        <v>9043</v>
      </c>
      <c r="E1333" s="16" t="s">
        <v>9044</v>
      </c>
      <c r="F1333" s="16"/>
      <c r="G1333" s="19" t="s">
        <v>41</v>
      </c>
      <c r="H1333" s="18" t="n">
        <v>2</v>
      </c>
      <c r="I1333" s="20" t="n">
        <v>84.41</v>
      </c>
      <c r="J1333" s="20" t="n">
        <v>271.54</v>
      </c>
      <c r="K1333" s="18" t="n">
        <v>2</v>
      </c>
      <c r="L1333" s="18" t="n">
        <v>1</v>
      </c>
      <c r="M1333" s="18" t="n">
        <v>70</v>
      </c>
      <c r="N1333" s="18" t="n">
        <v>70</v>
      </c>
      <c r="O1333" s="14" t="s">
        <v>4276</v>
      </c>
      <c r="P1333" s="14" t="s">
        <v>84</v>
      </c>
      <c r="Q1333" s="15" t="s">
        <v>1089</v>
      </c>
      <c r="R1333" s="16" t="s">
        <v>6192</v>
      </c>
      <c r="S1333" s="15" t="s">
        <v>4869</v>
      </c>
      <c r="T1333" s="15" t="s">
        <v>9045</v>
      </c>
      <c r="U1333" s="21" t="s">
        <v>72</v>
      </c>
    </row>
    <row r="1334" customFormat="false" ht="15" hidden="false" customHeight="false" outlineLevel="0" collapsed="false">
      <c r="A1334" s="15" t="s">
        <v>850</v>
      </c>
      <c r="B1334" s="15" t="s">
        <v>8846</v>
      </c>
      <c r="C1334" s="14" t="s">
        <v>9046</v>
      </c>
      <c r="D1334" s="14" t="s">
        <v>9047</v>
      </c>
      <c r="E1334" s="16" t="s">
        <v>9048</v>
      </c>
      <c r="F1334" s="16"/>
      <c r="G1334" s="23" t="s">
        <v>43</v>
      </c>
      <c r="H1334" s="18" t="n">
        <v>3</v>
      </c>
      <c r="I1334" s="20" t="n">
        <v>38.7258</v>
      </c>
      <c r="J1334" s="20" t="n">
        <v>87</v>
      </c>
      <c r="K1334" s="18" t="n">
        <v>3</v>
      </c>
      <c r="L1334" s="18"/>
      <c r="M1334" s="18" t="n">
        <v>36</v>
      </c>
      <c r="N1334" s="18" t="n">
        <v>36</v>
      </c>
      <c r="O1334" s="14" t="s">
        <v>1097</v>
      </c>
      <c r="P1334" s="14" t="s">
        <v>118</v>
      </c>
      <c r="Q1334" s="15" t="s">
        <v>1089</v>
      </c>
      <c r="R1334" s="16" t="s">
        <v>9049</v>
      </c>
      <c r="S1334" s="15" t="s">
        <v>9050</v>
      </c>
      <c r="T1334" s="15" t="s">
        <v>9050</v>
      </c>
      <c r="U1334" s="21" t="s">
        <v>72</v>
      </c>
    </row>
    <row r="1335" customFormat="false" ht="15" hidden="false" customHeight="false" outlineLevel="0" collapsed="false">
      <c r="A1335" s="15" t="s">
        <v>850</v>
      </c>
      <c r="B1335" s="15" t="s">
        <v>9051</v>
      </c>
      <c r="C1335" s="14" t="s">
        <v>9052</v>
      </c>
      <c r="D1335" s="14" t="s">
        <v>9053</v>
      </c>
      <c r="E1335" s="16" t="s">
        <v>9054</v>
      </c>
      <c r="F1335" s="16" t="s">
        <v>9055</v>
      </c>
      <c r="G1335" s="25" t="s">
        <v>39</v>
      </c>
      <c r="H1335" s="18" t="n">
        <v>9</v>
      </c>
      <c r="I1335" s="20" t="n">
        <v>195.53</v>
      </c>
      <c r="J1335" s="20" t="n">
        <v>319.54</v>
      </c>
      <c r="K1335" s="18" t="n">
        <v>9</v>
      </c>
      <c r="L1335" s="18" t="n">
        <v>7</v>
      </c>
      <c r="M1335" s="18" t="n">
        <v>189</v>
      </c>
      <c r="N1335" s="18" t="n">
        <v>63</v>
      </c>
      <c r="O1335" s="14" t="s">
        <v>4215</v>
      </c>
      <c r="P1335" s="14" t="s">
        <v>118</v>
      </c>
      <c r="Q1335" s="15" t="s">
        <v>1089</v>
      </c>
      <c r="R1335" s="16" t="s">
        <v>9056</v>
      </c>
      <c r="S1335" s="15" t="s">
        <v>9057</v>
      </c>
      <c r="T1335" s="15" t="s">
        <v>9057</v>
      </c>
      <c r="U1335" s="21" t="s">
        <v>72</v>
      </c>
    </row>
    <row r="1336" customFormat="false" ht="15" hidden="false" customHeight="false" outlineLevel="0" collapsed="false">
      <c r="A1336" s="15" t="s">
        <v>850</v>
      </c>
      <c r="B1336" s="15" t="s">
        <v>9058</v>
      </c>
      <c r="C1336" s="14" t="s">
        <v>9059</v>
      </c>
      <c r="D1336" s="14" t="s">
        <v>9060</v>
      </c>
      <c r="E1336" s="16" t="s">
        <v>9061</v>
      </c>
      <c r="F1336" s="16" t="s">
        <v>9062</v>
      </c>
      <c r="G1336" s="23" t="s">
        <v>43</v>
      </c>
      <c r="H1336" s="18" t="n">
        <v>4</v>
      </c>
      <c r="I1336" s="20" t="n">
        <v>65.54</v>
      </c>
      <c r="J1336" s="20" t="n">
        <v>138.78</v>
      </c>
      <c r="K1336" s="18" t="n">
        <v>17</v>
      </c>
      <c r="L1336" s="18" t="n">
        <v>3</v>
      </c>
      <c r="M1336" s="18" t="n">
        <v>260</v>
      </c>
      <c r="N1336" s="18" t="n">
        <v>98</v>
      </c>
      <c r="O1336" s="14" t="s">
        <v>4215</v>
      </c>
      <c r="P1336" s="14" t="s">
        <v>118</v>
      </c>
      <c r="Q1336" s="15" t="s">
        <v>1089</v>
      </c>
      <c r="R1336" s="16" t="s">
        <v>9063</v>
      </c>
      <c r="S1336" s="15" t="s">
        <v>9064</v>
      </c>
      <c r="T1336" s="15" t="s">
        <v>9064</v>
      </c>
      <c r="U1336" s="21" t="s">
        <v>72</v>
      </c>
    </row>
    <row r="1337" customFormat="false" ht="15" hidden="false" customHeight="false" outlineLevel="0" collapsed="false">
      <c r="A1337" s="15" t="s">
        <v>850</v>
      </c>
      <c r="B1337" s="15" t="s">
        <v>9058</v>
      </c>
      <c r="C1337" s="14" t="s">
        <v>9065</v>
      </c>
      <c r="D1337" s="14" t="s">
        <v>9066</v>
      </c>
      <c r="E1337" s="16" t="s">
        <v>9067</v>
      </c>
      <c r="F1337" s="16" t="s">
        <v>9068</v>
      </c>
      <c r="G1337" s="23" t="s">
        <v>43</v>
      </c>
      <c r="H1337" s="18" t="n">
        <v>2</v>
      </c>
      <c r="I1337" s="20" t="n">
        <v>34.14</v>
      </c>
      <c r="J1337" s="20" t="n">
        <v>86.53</v>
      </c>
      <c r="K1337" s="18" t="n">
        <v>2</v>
      </c>
      <c r="L1337" s="18" t="n">
        <v>2</v>
      </c>
      <c r="M1337" s="18" t="n">
        <v>27</v>
      </c>
      <c r="N1337" s="18" t="n">
        <v>13</v>
      </c>
      <c r="O1337" s="14" t="s">
        <v>4343</v>
      </c>
      <c r="P1337" s="14" t="s">
        <v>118</v>
      </c>
      <c r="Q1337" s="15" t="s">
        <v>1089</v>
      </c>
      <c r="R1337" s="16" t="s">
        <v>4596</v>
      </c>
      <c r="S1337" s="15" t="s">
        <v>9069</v>
      </c>
      <c r="T1337" s="15" t="s">
        <v>9070</v>
      </c>
      <c r="U1337" s="21" t="s">
        <v>72</v>
      </c>
    </row>
    <row r="1338" customFormat="false" ht="26.85" hidden="false" customHeight="false" outlineLevel="0" collapsed="false">
      <c r="A1338" s="15" t="s">
        <v>850</v>
      </c>
      <c r="B1338" s="15" t="s">
        <v>9058</v>
      </c>
      <c r="C1338" s="14" t="s">
        <v>9071</v>
      </c>
      <c r="D1338" s="14" t="s">
        <v>9072</v>
      </c>
      <c r="E1338" s="16" t="s">
        <v>9073</v>
      </c>
      <c r="F1338" s="16"/>
      <c r="G1338" s="19" t="s">
        <v>41</v>
      </c>
      <c r="H1338" s="18" t="n">
        <v>5</v>
      </c>
      <c r="I1338" s="20" t="n">
        <v>107.09</v>
      </c>
      <c r="J1338" s="20" t="n">
        <v>205.66</v>
      </c>
      <c r="K1338" s="18" t="n">
        <v>10</v>
      </c>
      <c r="L1338" s="18" t="n">
        <v>5</v>
      </c>
      <c r="M1338" s="18" t="n">
        <v>146</v>
      </c>
      <c r="N1338" s="18" t="n">
        <v>56</v>
      </c>
      <c r="O1338" s="14" t="s">
        <v>9074</v>
      </c>
      <c r="P1338" s="14" t="s">
        <v>906</v>
      </c>
      <c r="Q1338" s="15" t="s">
        <v>1089</v>
      </c>
      <c r="R1338" s="16" t="s">
        <v>9075</v>
      </c>
      <c r="S1338" s="15" t="s">
        <v>9076</v>
      </c>
      <c r="T1338" s="15" t="s">
        <v>9077</v>
      </c>
      <c r="U1338" s="21" t="s">
        <v>72</v>
      </c>
    </row>
    <row r="1339" customFormat="false" ht="15" hidden="false" customHeight="false" outlineLevel="0" collapsed="false">
      <c r="A1339" s="15" t="s">
        <v>850</v>
      </c>
      <c r="B1339" s="15" t="s">
        <v>9058</v>
      </c>
      <c r="C1339" s="14" t="s">
        <v>9078</v>
      </c>
      <c r="D1339" s="14" t="s">
        <v>9079</v>
      </c>
      <c r="E1339" s="16" t="s">
        <v>9080</v>
      </c>
      <c r="F1339" s="16"/>
      <c r="G1339" s="23" t="s">
        <v>43</v>
      </c>
      <c r="H1339" s="18" t="n">
        <v>2</v>
      </c>
      <c r="I1339" s="20" t="n">
        <v>33.93</v>
      </c>
      <c r="J1339" s="20" t="n">
        <v>120.74</v>
      </c>
      <c r="K1339" s="18" t="n">
        <v>2</v>
      </c>
      <c r="L1339" s="18" t="n">
        <v>2</v>
      </c>
      <c r="M1339" s="18" t="n">
        <v>28</v>
      </c>
      <c r="N1339" s="18" t="n">
        <v>28</v>
      </c>
      <c r="O1339" s="14" t="s">
        <v>1088</v>
      </c>
      <c r="P1339" s="14" t="s">
        <v>84</v>
      </c>
      <c r="Q1339" s="15" t="s">
        <v>1089</v>
      </c>
      <c r="R1339" s="16" t="s">
        <v>9081</v>
      </c>
      <c r="S1339" s="15" t="s">
        <v>9082</v>
      </c>
      <c r="T1339" s="15" t="s">
        <v>9083</v>
      </c>
      <c r="U1339" s="21" t="s">
        <v>72</v>
      </c>
    </row>
    <row r="1340" customFormat="false" ht="15" hidden="false" customHeight="false" outlineLevel="0" collapsed="false">
      <c r="A1340" s="15" t="s">
        <v>850</v>
      </c>
      <c r="B1340" s="15" t="s">
        <v>9058</v>
      </c>
      <c r="C1340" s="14" t="s">
        <v>9084</v>
      </c>
      <c r="D1340" s="14" t="s">
        <v>9085</v>
      </c>
      <c r="E1340" s="16" t="s">
        <v>9086</v>
      </c>
      <c r="F1340" s="16" t="s">
        <v>9087</v>
      </c>
      <c r="G1340" s="19" t="s">
        <v>41</v>
      </c>
      <c r="H1340" s="18" t="n">
        <v>3</v>
      </c>
      <c r="I1340" s="20" t="n">
        <v>78.66</v>
      </c>
      <c r="J1340" s="20" t="n">
        <v>201.68</v>
      </c>
      <c r="K1340" s="18" t="n">
        <v>8</v>
      </c>
      <c r="L1340" s="18" t="n">
        <v>10</v>
      </c>
      <c r="M1340" s="18" t="n">
        <v>162</v>
      </c>
      <c r="N1340" s="18" t="n">
        <v>126</v>
      </c>
      <c r="O1340" s="14" t="s">
        <v>4446</v>
      </c>
      <c r="P1340" s="14" t="s">
        <v>84</v>
      </c>
      <c r="Q1340" s="15" t="s">
        <v>1089</v>
      </c>
      <c r="R1340" s="16" t="s">
        <v>9088</v>
      </c>
      <c r="S1340" s="15" t="s">
        <v>9089</v>
      </c>
      <c r="T1340" s="15" t="s">
        <v>9090</v>
      </c>
      <c r="U1340" s="21" t="s">
        <v>72</v>
      </c>
    </row>
    <row r="1341" customFormat="false" ht="15" hidden="false" customHeight="false" outlineLevel="0" collapsed="false">
      <c r="A1341" s="15" t="s">
        <v>850</v>
      </c>
      <c r="B1341" s="15" t="s">
        <v>9091</v>
      </c>
      <c r="C1341" s="14" t="s">
        <v>9092</v>
      </c>
      <c r="D1341" s="14" t="s">
        <v>9093</v>
      </c>
      <c r="E1341" s="16" t="s">
        <v>9094</v>
      </c>
      <c r="F1341" s="16" t="s">
        <v>9095</v>
      </c>
      <c r="G1341" s="23" t="s">
        <v>43</v>
      </c>
      <c r="H1341" s="18" t="n">
        <v>2</v>
      </c>
      <c r="I1341" s="20" t="n">
        <v>57</v>
      </c>
      <c r="J1341" s="20" t="n">
        <v>132.27</v>
      </c>
      <c r="K1341" s="18" t="n">
        <v>2</v>
      </c>
      <c r="L1341" s="18" t="n">
        <v>1</v>
      </c>
      <c r="M1341" s="18" t="n">
        <v>76</v>
      </c>
      <c r="N1341" s="18" t="n">
        <v>76</v>
      </c>
      <c r="O1341" s="14" t="s">
        <v>1126</v>
      </c>
      <c r="P1341" s="14" t="s">
        <v>84</v>
      </c>
      <c r="Q1341" s="15" t="s">
        <v>1089</v>
      </c>
      <c r="R1341" s="16" t="s">
        <v>9096</v>
      </c>
      <c r="S1341" s="15" t="s">
        <v>9097</v>
      </c>
      <c r="T1341" s="15" t="s">
        <v>9098</v>
      </c>
      <c r="U1341" s="21" t="s">
        <v>72</v>
      </c>
    </row>
    <row r="1342" customFormat="false" ht="15" hidden="false" customHeight="false" outlineLevel="0" collapsed="false">
      <c r="A1342" s="15" t="s">
        <v>850</v>
      </c>
      <c r="B1342" s="15" t="s">
        <v>9091</v>
      </c>
      <c r="C1342" s="14" t="s">
        <v>9099</v>
      </c>
      <c r="D1342" s="14" t="s">
        <v>9100</v>
      </c>
      <c r="E1342" s="16" t="s">
        <v>9101</v>
      </c>
      <c r="F1342" s="16" t="s">
        <v>9102</v>
      </c>
      <c r="G1342" s="23" t="s">
        <v>43</v>
      </c>
      <c r="H1342" s="18" t="n">
        <v>2</v>
      </c>
      <c r="I1342" s="20" t="n">
        <v>45.67</v>
      </c>
      <c r="J1342" s="20" t="n">
        <v>122.93</v>
      </c>
      <c r="K1342" s="18" t="n">
        <v>2</v>
      </c>
      <c r="L1342" s="18" t="n">
        <v>3</v>
      </c>
      <c r="M1342" s="18" t="n">
        <v>37</v>
      </c>
      <c r="N1342" s="18" t="n">
        <v>37</v>
      </c>
      <c r="O1342" s="14" t="s">
        <v>9103</v>
      </c>
      <c r="P1342" s="14" t="s">
        <v>118</v>
      </c>
      <c r="Q1342" s="15" t="s">
        <v>1089</v>
      </c>
      <c r="R1342" s="16" t="s">
        <v>9104</v>
      </c>
      <c r="S1342" s="15" t="s">
        <v>9105</v>
      </c>
      <c r="T1342" s="15" t="s">
        <v>9106</v>
      </c>
      <c r="U1342" s="21" t="s">
        <v>72</v>
      </c>
    </row>
    <row r="1343" customFormat="false" ht="15" hidden="false" customHeight="false" outlineLevel="0" collapsed="false">
      <c r="A1343" s="15" t="s">
        <v>850</v>
      </c>
      <c r="B1343" s="15" t="s">
        <v>9107</v>
      </c>
      <c r="C1343" s="14" t="s">
        <v>9108</v>
      </c>
      <c r="D1343" s="14" t="s">
        <v>9109</v>
      </c>
      <c r="E1343" s="16" t="s">
        <v>9110</v>
      </c>
      <c r="F1343" s="16"/>
      <c r="G1343" s="23" t="s">
        <v>43</v>
      </c>
      <c r="H1343" s="18" t="n">
        <v>3</v>
      </c>
      <c r="I1343" s="20" t="n">
        <v>55.19</v>
      </c>
      <c r="J1343" s="20" t="n">
        <v>104.74</v>
      </c>
      <c r="K1343" s="18" t="n">
        <v>3</v>
      </c>
      <c r="L1343" s="18" t="n">
        <v>1</v>
      </c>
      <c r="M1343" s="18" t="n">
        <v>45</v>
      </c>
      <c r="N1343" s="18" t="n">
        <v>45</v>
      </c>
      <c r="O1343" s="14" t="s">
        <v>9111</v>
      </c>
      <c r="P1343" s="14" t="s">
        <v>118</v>
      </c>
      <c r="Q1343" s="15" t="s">
        <v>1089</v>
      </c>
      <c r="R1343" s="16" t="s">
        <v>9112</v>
      </c>
      <c r="S1343" s="15" t="s">
        <v>9113</v>
      </c>
      <c r="T1343" s="15" t="s">
        <v>9113</v>
      </c>
      <c r="U1343" s="21" t="s">
        <v>72</v>
      </c>
    </row>
    <row r="1344" customFormat="false" ht="15" hidden="false" customHeight="false" outlineLevel="0" collapsed="false">
      <c r="A1344" s="15" t="s">
        <v>850</v>
      </c>
      <c r="B1344" s="15" t="s">
        <v>9107</v>
      </c>
      <c r="C1344" s="14" t="s">
        <v>9114</v>
      </c>
      <c r="D1344" s="14" t="s">
        <v>9115</v>
      </c>
      <c r="E1344" s="16" t="s">
        <v>9116</v>
      </c>
      <c r="F1344" s="16" t="s">
        <v>9117</v>
      </c>
      <c r="G1344" s="23" t="s">
        <v>43</v>
      </c>
      <c r="H1344" s="18" t="n">
        <v>2</v>
      </c>
      <c r="I1344" s="20" t="n">
        <v>42.06</v>
      </c>
      <c r="J1344" s="20" t="n">
        <v>115.76</v>
      </c>
      <c r="K1344" s="18" t="n">
        <v>2</v>
      </c>
      <c r="L1344" s="18" t="n">
        <v>1</v>
      </c>
      <c r="M1344" s="18" t="n">
        <v>34</v>
      </c>
      <c r="N1344" s="18" t="n">
        <v>34</v>
      </c>
      <c r="O1344" s="14" t="s">
        <v>9118</v>
      </c>
      <c r="P1344" s="14" t="s">
        <v>84</v>
      </c>
      <c r="Q1344" s="15" t="s">
        <v>1089</v>
      </c>
      <c r="R1344" s="16" t="s">
        <v>9119</v>
      </c>
      <c r="S1344" s="15" t="s">
        <v>9120</v>
      </c>
      <c r="T1344" s="15" t="s">
        <v>9121</v>
      </c>
      <c r="U1344" s="21" t="s">
        <v>72</v>
      </c>
    </row>
    <row r="1345" customFormat="false" ht="64.9" hidden="false" customHeight="false" outlineLevel="0" collapsed="false">
      <c r="A1345" s="15" t="s">
        <v>850</v>
      </c>
      <c r="B1345" s="15" t="s">
        <v>9122</v>
      </c>
      <c r="C1345" s="14" t="s">
        <v>9123</v>
      </c>
      <c r="D1345" s="14" t="s">
        <v>9124</v>
      </c>
      <c r="E1345" s="16" t="s">
        <v>9125</v>
      </c>
      <c r="F1345" s="16" t="s">
        <v>9126</v>
      </c>
      <c r="G1345" s="19" t="s">
        <v>41</v>
      </c>
      <c r="H1345" s="18" t="n">
        <v>6</v>
      </c>
      <c r="I1345" s="20" t="n">
        <v>212.89</v>
      </c>
      <c r="J1345" s="20" t="n">
        <v>326.68</v>
      </c>
      <c r="K1345" s="18" t="n">
        <v>118</v>
      </c>
      <c r="L1345" s="18" t="n">
        <v>66</v>
      </c>
      <c r="M1345" s="18" t="n">
        <v>3776</v>
      </c>
      <c r="N1345" s="18" t="n">
        <v>192</v>
      </c>
      <c r="O1345" s="14" t="s">
        <v>1097</v>
      </c>
      <c r="P1345" s="14" t="s">
        <v>7935</v>
      </c>
      <c r="Q1345" s="15" t="s">
        <v>1089</v>
      </c>
      <c r="R1345" s="16" t="s">
        <v>9127</v>
      </c>
      <c r="S1345" s="15" t="s">
        <v>2538</v>
      </c>
      <c r="T1345" s="15" t="s">
        <v>9128</v>
      </c>
      <c r="U1345" s="21" t="s">
        <v>72</v>
      </c>
    </row>
    <row r="1346" customFormat="false" ht="15" hidden="false" customHeight="false" outlineLevel="0" collapsed="false">
      <c r="A1346" s="15" t="s">
        <v>850</v>
      </c>
      <c r="B1346" s="15" t="s">
        <v>9122</v>
      </c>
      <c r="C1346" s="14" t="s">
        <v>9129</v>
      </c>
      <c r="D1346" s="14" t="s">
        <v>9130</v>
      </c>
      <c r="E1346" s="16" t="s">
        <v>9131</v>
      </c>
      <c r="F1346" s="16" t="s">
        <v>9132</v>
      </c>
      <c r="G1346" s="19" t="s">
        <v>41</v>
      </c>
      <c r="H1346" s="18" t="n">
        <v>4</v>
      </c>
      <c r="I1346" s="20" t="n">
        <v>62.88</v>
      </c>
      <c r="J1346" s="20" t="n">
        <v>288.11</v>
      </c>
      <c r="K1346" s="18" t="n">
        <v>7</v>
      </c>
      <c r="L1346" s="18" t="n">
        <v>16</v>
      </c>
      <c r="M1346" s="18" t="n">
        <v>98</v>
      </c>
      <c r="N1346" s="18" t="n">
        <v>56</v>
      </c>
      <c r="O1346" s="14" t="s">
        <v>4446</v>
      </c>
      <c r="P1346" s="14" t="s">
        <v>118</v>
      </c>
      <c r="Q1346" s="15" t="s">
        <v>1089</v>
      </c>
      <c r="R1346" s="16" t="s">
        <v>7834</v>
      </c>
      <c r="S1346" s="15" t="s">
        <v>9133</v>
      </c>
      <c r="T1346" s="15" t="s">
        <v>9133</v>
      </c>
      <c r="U1346" s="21" t="s">
        <v>72</v>
      </c>
    </row>
    <row r="1347" customFormat="false" ht="15" hidden="false" customHeight="false" outlineLevel="0" collapsed="false">
      <c r="A1347" s="15" t="s">
        <v>850</v>
      </c>
      <c r="B1347" s="15" t="s">
        <v>9122</v>
      </c>
      <c r="C1347" s="14" t="s">
        <v>9134</v>
      </c>
      <c r="D1347" s="14" t="s">
        <v>9135</v>
      </c>
      <c r="E1347" s="16" t="s">
        <v>9136</v>
      </c>
      <c r="F1347" s="16" t="s">
        <v>9137</v>
      </c>
      <c r="G1347" s="23" t="s">
        <v>43</v>
      </c>
      <c r="H1347" s="18" t="n">
        <v>3</v>
      </c>
      <c r="I1347" s="20" t="n">
        <v>49.058</v>
      </c>
      <c r="J1347" s="20" t="n">
        <v>79.2</v>
      </c>
      <c r="K1347" s="18" t="n">
        <v>18</v>
      </c>
      <c r="L1347" s="18" t="n">
        <v>12</v>
      </c>
      <c r="M1347" s="18" t="n">
        <v>720</v>
      </c>
      <c r="N1347" s="18" t="n">
        <v>200</v>
      </c>
      <c r="O1347" s="14" t="s">
        <v>4446</v>
      </c>
      <c r="P1347" s="14" t="s">
        <v>515</v>
      </c>
      <c r="Q1347" s="15" t="s">
        <v>1089</v>
      </c>
      <c r="R1347" s="16" t="s">
        <v>9138</v>
      </c>
      <c r="S1347" s="15" t="s">
        <v>9139</v>
      </c>
      <c r="T1347" s="15" t="s">
        <v>9139</v>
      </c>
      <c r="U1347" s="21" t="s">
        <v>72</v>
      </c>
    </row>
    <row r="1348" customFormat="false" ht="15" hidden="false" customHeight="false" outlineLevel="0" collapsed="false">
      <c r="A1348" s="15" t="s">
        <v>850</v>
      </c>
      <c r="B1348" s="15" t="s">
        <v>9122</v>
      </c>
      <c r="C1348" s="14" t="s">
        <v>9140</v>
      </c>
      <c r="D1348" s="14" t="s">
        <v>9141</v>
      </c>
      <c r="E1348" s="16" t="s">
        <v>9142</v>
      </c>
      <c r="F1348" s="16" t="s">
        <v>9143</v>
      </c>
      <c r="G1348" s="23" t="s">
        <v>43</v>
      </c>
      <c r="H1348" s="18" t="n">
        <v>2</v>
      </c>
      <c r="I1348" s="20" t="n">
        <v>32.85</v>
      </c>
      <c r="J1348" s="20" t="n">
        <v>81.87</v>
      </c>
      <c r="K1348" s="18" t="n">
        <v>4</v>
      </c>
      <c r="L1348" s="18" t="n">
        <v>1</v>
      </c>
      <c r="M1348" s="18" t="n">
        <v>104</v>
      </c>
      <c r="N1348" s="18" t="n">
        <v>52</v>
      </c>
      <c r="O1348" s="14" t="s">
        <v>4223</v>
      </c>
      <c r="P1348" s="14" t="s">
        <v>118</v>
      </c>
      <c r="Q1348" s="15" t="s">
        <v>1089</v>
      </c>
      <c r="R1348" s="16" t="s">
        <v>5476</v>
      </c>
      <c r="S1348" s="15" t="s">
        <v>9144</v>
      </c>
      <c r="T1348" s="15" t="s">
        <v>9145</v>
      </c>
      <c r="U1348" s="21" t="s">
        <v>72</v>
      </c>
    </row>
    <row r="1349" customFormat="false" ht="26.85" hidden="false" customHeight="false" outlineLevel="0" collapsed="false">
      <c r="A1349" s="15" t="s">
        <v>850</v>
      </c>
      <c r="B1349" s="15" t="s">
        <v>9122</v>
      </c>
      <c r="C1349" s="14" t="s">
        <v>9146</v>
      </c>
      <c r="D1349" s="14" t="s">
        <v>9147</v>
      </c>
      <c r="E1349" s="16" t="s">
        <v>9148</v>
      </c>
      <c r="F1349" s="16" t="s">
        <v>9149</v>
      </c>
      <c r="G1349" s="19" t="s">
        <v>41</v>
      </c>
      <c r="H1349" s="18" t="n">
        <v>5</v>
      </c>
      <c r="I1349" s="20" t="n">
        <v>87.93</v>
      </c>
      <c r="J1349" s="20" t="n">
        <v>244.15</v>
      </c>
      <c r="K1349" s="18" t="n">
        <v>6</v>
      </c>
      <c r="L1349" s="18" t="n">
        <v>6</v>
      </c>
      <c r="M1349" s="18" t="n">
        <v>78</v>
      </c>
      <c r="N1349" s="18" t="n">
        <v>78</v>
      </c>
      <c r="O1349" s="14" t="s">
        <v>6338</v>
      </c>
      <c r="P1349" s="14" t="s">
        <v>118</v>
      </c>
      <c r="Q1349" s="15" t="s">
        <v>1089</v>
      </c>
      <c r="R1349" s="16" t="s">
        <v>9150</v>
      </c>
      <c r="S1349" s="15" t="s">
        <v>9151</v>
      </c>
      <c r="T1349" s="15" t="s">
        <v>9152</v>
      </c>
      <c r="U1349" s="21" t="s">
        <v>72</v>
      </c>
    </row>
    <row r="1350" customFormat="false" ht="15" hidden="false" customHeight="false" outlineLevel="0" collapsed="false">
      <c r="A1350" s="15" t="s">
        <v>850</v>
      </c>
      <c r="B1350" s="15" t="s">
        <v>9122</v>
      </c>
      <c r="C1350" s="14" t="s">
        <v>9153</v>
      </c>
      <c r="D1350" s="14" t="s">
        <v>9154</v>
      </c>
      <c r="E1350" s="16" t="s">
        <v>9155</v>
      </c>
      <c r="F1350" s="16"/>
      <c r="G1350" s="19" t="s">
        <v>41</v>
      </c>
      <c r="H1350" s="18" t="n">
        <v>4</v>
      </c>
      <c r="I1350" s="20" t="n">
        <v>42.17</v>
      </c>
      <c r="J1350" s="20" t="n">
        <v>206.06</v>
      </c>
      <c r="K1350" s="18" t="n">
        <v>4</v>
      </c>
      <c r="L1350" s="18" t="n">
        <v>6</v>
      </c>
      <c r="M1350" s="18" t="n">
        <v>40</v>
      </c>
      <c r="N1350" s="18" t="n">
        <v>28</v>
      </c>
      <c r="O1350" s="14" t="s">
        <v>4343</v>
      </c>
      <c r="P1350" s="14" t="s">
        <v>1716</v>
      </c>
      <c r="Q1350" s="15" t="s">
        <v>1089</v>
      </c>
      <c r="R1350" s="16" t="s">
        <v>9156</v>
      </c>
      <c r="S1350" s="15" t="s">
        <v>9157</v>
      </c>
      <c r="T1350" s="15" t="s">
        <v>9157</v>
      </c>
      <c r="U1350" s="21" t="s">
        <v>72</v>
      </c>
    </row>
    <row r="1351" customFormat="false" ht="15" hidden="false" customHeight="false" outlineLevel="0" collapsed="false">
      <c r="A1351" s="15" t="s">
        <v>850</v>
      </c>
      <c r="B1351" s="15" t="s">
        <v>9122</v>
      </c>
      <c r="C1351" s="14" t="s">
        <v>9158</v>
      </c>
      <c r="D1351" s="14" t="s">
        <v>9159</v>
      </c>
      <c r="E1351" s="16" t="s">
        <v>9160</v>
      </c>
      <c r="F1351" s="16" t="s">
        <v>9161</v>
      </c>
      <c r="G1351" s="23" t="s">
        <v>43</v>
      </c>
      <c r="H1351" s="18" t="n">
        <v>3</v>
      </c>
      <c r="I1351" s="20" t="n">
        <v>68.48</v>
      </c>
      <c r="J1351" s="20" t="n">
        <v>166.1</v>
      </c>
      <c r="K1351" s="18" t="n">
        <v>12</v>
      </c>
      <c r="L1351" s="18" t="n">
        <v>3</v>
      </c>
      <c r="M1351" s="18" t="n">
        <v>224</v>
      </c>
      <c r="N1351" s="18" t="n">
        <v>224</v>
      </c>
      <c r="O1351" s="14" t="s">
        <v>1126</v>
      </c>
      <c r="P1351" s="14" t="s">
        <v>84</v>
      </c>
      <c r="Q1351" s="15" t="s">
        <v>1089</v>
      </c>
      <c r="R1351" s="16" t="s">
        <v>9162</v>
      </c>
      <c r="S1351" s="15" t="s">
        <v>9163</v>
      </c>
      <c r="T1351" s="15" t="s">
        <v>9164</v>
      </c>
      <c r="U1351" s="21" t="s">
        <v>72</v>
      </c>
    </row>
    <row r="1352" customFormat="false" ht="15" hidden="false" customHeight="false" outlineLevel="0" collapsed="false">
      <c r="A1352" s="15" t="s">
        <v>850</v>
      </c>
      <c r="B1352" s="15" t="s">
        <v>9122</v>
      </c>
      <c r="C1352" s="14" t="s">
        <v>9165</v>
      </c>
      <c r="D1352" s="14" t="s">
        <v>9166</v>
      </c>
      <c r="E1352" s="16" t="s">
        <v>9167</v>
      </c>
      <c r="F1352" s="16"/>
      <c r="G1352" s="23" t="s">
        <v>43</v>
      </c>
      <c r="H1352" s="18" t="n">
        <v>2</v>
      </c>
      <c r="I1352" s="20" t="n">
        <v>31.45</v>
      </c>
      <c r="J1352" s="20" t="n">
        <v>70.72</v>
      </c>
      <c r="K1352" s="18" t="n">
        <v>2</v>
      </c>
      <c r="L1352" s="18" t="n">
        <v>1</v>
      </c>
      <c r="M1352" s="18" t="n">
        <v>26</v>
      </c>
      <c r="N1352" s="18" t="n">
        <v>26</v>
      </c>
      <c r="O1352" s="14" t="s">
        <v>1088</v>
      </c>
      <c r="P1352" s="14" t="s">
        <v>84</v>
      </c>
      <c r="Q1352" s="15" t="s">
        <v>1089</v>
      </c>
      <c r="R1352" s="16" t="s">
        <v>9168</v>
      </c>
      <c r="S1352" s="15" t="s">
        <v>711</v>
      </c>
      <c r="T1352" s="15" t="s">
        <v>9169</v>
      </c>
      <c r="U1352" s="21" t="s">
        <v>72</v>
      </c>
    </row>
    <row r="1353" customFormat="false" ht="26.85" hidden="false" customHeight="false" outlineLevel="0" collapsed="false">
      <c r="A1353" s="15" t="s">
        <v>850</v>
      </c>
      <c r="B1353" s="15" t="s">
        <v>9122</v>
      </c>
      <c r="C1353" s="14" t="s">
        <v>9170</v>
      </c>
      <c r="D1353" s="14" t="s">
        <v>9171</v>
      </c>
      <c r="E1353" s="16" t="s">
        <v>9172</v>
      </c>
      <c r="F1353" s="16"/>
      <c r="G1353" s="25" t="s">
        <v>39</v>
      </c>
      <c r="H1353" s="18" t="n">
        <v>8</v>
      </c>
      <c r="I1353" s="20" t="n">
        <v>109.71</v>
      </c>
      <c r="J1353" s="20" t="n">
        <v>233.98</v>
      </c>
      <c r="K1353" s="18" t="n">
        <v>4</v>
      </c>
      <c r="L1353" s="18" t="n">
        <v>8</v>
      </c>
      <c r="M1353" s="18" t="n">
        <v>236</v>
      </c>
      <c r="N1353" s="18" t="n">
        <v>236</v>
      </c>
      <c r="O1353" s="14" t="s">
        <v>5383</v>
      </c>
      <c r="P1353" s="14" t="s">
        <v>118</v>
      </c>
      <c r="Q1353" s="15" t="s">
        <v>1089</v>
      </c>
      <c r="R1353" s="16" t="s">
        <v>9173</v>
      </c>
      <c r="S1353" s="15" t="s">
        <v>9174</v>
      </c>
      <c r="T1353" s="15" t="s">
        <v>9174</v>
      </c>
      <c r="U1353" s="21" t="s">
        <v>72</v>
      </c>
    </row>
    <row r="1354" customFormat="false" ht="15" hidden="false" customHeight="false" outlineLevel="0" collapsed="false">
      <c r="A1354" s="15" t="s">
        <v>850</v>
      </c>
      <c r="B1354" s="15" t="s">
        <v>9122</v>
      </c>
      <c r="C1354" s="14" t="s">
        <v>9175</v>
      </c>
      <c r="D1354" s="14" t="s">
        <v>9176</v>
      </c>
      <c r="E1354" s="16" t="s">
        <v>9177</v>
      </c>
      <c r="F1354" s="16"/>
      <c r="G1354" s="23" t="s">
        <v>43</v>
      </c>
      <c r="H1354" s="18" t="n">
        <v>4</v>
      </c>
      <c r="I1354" s="20" t="n">
        <v>58.96</v>
      </c>
      <c r="J1354" s="20" t="n">
        <v>92.02</v>
      </c>
      <c r="K1354" s="18" t="n">
        <v>7</v>
      </c>
      <c r="L1354" s="18" t="n">
        <v>1</v>
      </c>
      <c r="M1354" s="18" t="n">
        <v>105</v>
      </c>
      <c r="N1354" s="18" t="n">
        <v>45</v>
      </c>
      <c r="O1354" s="14" t="s">
        <v>1097</v>
      </c>
      <c r="P1354" s="14" t="s">
        <v>94</v>
      </c>
      <c r="Q1354" s="15" t="s">
        <v>1089</v>
      </c>
      <c r="R1354" s="16" t="s">
        <v>9178</v>
      </c>
      <c r="S1354" s="15" t="s">
        <v>9179</v>
      </c>
      <c r="T1354" s="15" t="s">
        <v>9179</v>
      </c>
      <c r="U1354" s="21" t="s">
        <v>72</v>
      </c>
    </row>
    <row r="1355" customFormat="false" ht="15" hidden="false" customHeight="false" outlineLevel="0" collapsed="false">
      <c r="A1355" s="15" t="s">
        <v>850</v>
      </c>
      <c r="B1355" s="15" t="s">
        <v>9122</v>
      </c>
      <c r="C1355" s="14" t="s">
        <v>9180</v>
      </c>
      <c r="D1355" s="14" t="s">
        <v>9181</v>
      </c>
      <c r="E1355" s="16" t="s">
        <v>9182</v>
      </c>
      <c r="F1355" s="16" t="s">
        <v>9183</v>
      </c>
      <c r="G1355" s="23" t="s">
        <v>43</v>
      </c>
      <c r="H1355" s="18" t="n">
        <v>3</v>
      </c>
      <c r="I1355" s="20" t="n">
        <v>88</v>
      </c>
      <c r="J1355" s="20" t="n">
        <v>175.77</v>
      </c>
      <c r="K1355" s="18" t="n">
        <v>4</v>
      </c>
      <c r="L1355" s="18" t="n">
        <v>4</v>
      </c>
      <c r="M1355" s="18" t="n">
        <v>124</v>
      </c>
      <c r="N1355" s="18" t="n">
        <v>93</v>
      </c>
      <c r="O1355" s="14" t="s">
        <v>9184</v>
      </c>
      <c r="P1355" s="14" t="s">
        <v>118</v>
      </c>
      <c r="Q1355" s="15" t="s">
        <v>1089</v>
      </c>
      <c r="R1355" s="16" t="s">
        <v>9185</v>
      </c>
      <c r="S1355" s="15" t="s">
        <v>9186</v>
      </c>
      <c r="T1355" s="15" t="s">
        <v>9186</v>
      </c>
      <c r="U1355" s="21" t="s">
        <v>72</v>
      </c>
    </row>
    <row r="1356" customFormat="false" ht="26.85" hidden="false" customHeight="false" outlineLevel="0" collapsed="false">
      <c r="A1356" s="15" t="s">
        <v>850</v>
      </c>
      <c r="B1356" s="15" t="s">
        <v>9122</v>
      </c>
      <c r="C1356" s="14" t="s">
        <v>9187</v>
      </c>
      <c r="D1356" s="14" t="s">
        <v>9188</v>
      </c>
      <c r="E1356" s="16" t="s">
        <v>9189</v>
      </c>
      <c r="F1356" s="16"/>
      <c r="G1356" s="23" t="s">
        <v>43</v>
      </c>
      <c r="H1356" s="18" t="n">
        <v>2</v>
      </c>
      <c r="I1356" s="20" t="n">
        <v>46.6</v>
      </c>
      <c r="J1356" s="20" t="n">
        <v>117.95</v>
      </c>
      <c r="K1356" s="18" t="n">
        <v>6</v>
      </c>
      <c r="L1356" s="18" t="n">
        <v>8</v>
      </c>
      <c r="M1356" s="18" t="n">
        <v>74</v>
      </c>
      <c r="N1356" s="18" t="n">
        <v>52</v>
      </c>
      <c r="O1356" s="14" t="s">
        <v>9190</v>
      </c>
      <c r="P1356" s="14" t="s">
        <v>906</v>
      </c>
      <c r="Q1356" s="15" t="s">
        <v>1089</v>
      </c>
      <c r="R1356" s="16" t="s">
        <v>9191</v>
      </c>
      <c r="S1356" s="15" t="s">
        <v>9192</v>
      </c>
      <c r="T1356" s="15" t="s">
        <v>9192</v>
      </c>
      <c r="U1356" s="21" t="s">
        <v>72</v>
      </c>
    </row>
    <row r="1357" customFormat="false" ht="15" hidden="false" customHeight="false" outlineLevel="0" collapsed="false">
      <c r="A1357" s="15" t="s">
        <v>850</v>
      </c>
      <c r="B1357" s="15" t="s">
        <v>9122</v>
      </c>
      <c r="C1357" s="14" t="s">
        <v>9193</v>
      </c>
      <c r="D1357" s="14" t="s">
        <v>9194</v>
      </c>
      <c r="E1357" s="16" t="s">
        <v>9195</v>
      </c>
      <c r="F1357" s="16" t="s">
        <v>9196</v>
      </c>
      <c r="G1357" s="25" t="s">
        <v>39</v>
      </c>
      <c r="H1357" s="18" t="n">
        <v>14</v>
      </c>
      <c r="I1357" s="20" t="n">
        <v>271.039</v>
      </c>
      <c r="J1357" s="20" t="n">
        <v>425.37</v>
      </c>
      <c r="K1357" s="18" t="n">
        <v>8</v>
      </c>
      <c r="L1357" s="18" t="n">
        <v>2</v>
      </c>
      <c r="M1357" s="18" t="n">
        <v>136</v>
      </c>
      <c r="N1357" s="18" t="n">
        <v>85</v>
      </c>
      <c r="O1357" s="14" t="s">
        <v>1126</v>
      </c>
      <c r="P1357" s="14" t="s">
        <v>118</v>
      </c>
      <c r="Q1357" s="15" t="s">
        <v>1089</v>
      </c>
      <c r="R1357" s="16" t="s">
        <v>9197</v>
      </c>
      <c r="S1357" s="15" t="s">
        <v>9198</v>
      </c>
      <c r="T1357" s="15" t="s">
        <v>8941</v>
      </c>
      <c r="U1357" s="21" t="s">
        <v>72</v>
      </c>
    </row>
    <row r="1358" customFormat="false" ht="15" hidden="false" customHeight="false" outlineLevel="0" collapsed="false">
      <c r="A1358" s="15" t="s">
        <v>850</v>
      </c>
      <c r="B1358" s="15" t="s">
        <v>9122</v>
      </c>
      <c r="C1358" s="14" t="s">
        <v>9199</v>
      </c>
      <c r="D1358" s="14" t="s">
        <v>9200</v>
      </c>
      <c r="E1358" s="16" t="s">
        <v>9201</v>
      </c>
      <c r="F1358" s="16" t="s">
        <v>9202</v>
      </c>
      <c r="G1358" s="23" t="s">
        <v>43</v>
      </c>
      <c r="H1358" s="18" t="n">
        <v>1</v>
      </c>
      <c r="I1358" s="20" t="n">
        <v>37.182</v>
      </c>
      <c r="J1358" s="20" t="n">
        <v>107.3</v>
      </c>
      <c r="K1358" s="18" t="n">
        <v>4</v>
      </c>
      <c r="L1358" s="18" t="n">
        <v>5</v>
      </c>
      <c r="M1358" s="18" t="n">
        <v>120</v>
      </c>
      <c r="N1358" s="18" t="n">
        <v>120</v>
      </c>
      <c r="O1358" s="14" t="s">
        <v>9203</v>
      </c>
      <c r="P1358" s="14" t="s">
        <v>118</v>
      </c>
      <c r="Q1358" s="15" t="s">
        <v>1089</v>
      </c>
      <c r="R1358" s="16" t="s">
        <v>9204</v>
      </c>
      <c r="S1358" s="15" t="s">
        <v>9205</v>
      </c>
      <c r="T1358" s="15" t="s">
        <v>9206</v>
      </c>
      <c r="U1358" s="21" t="s">
        <v>72</v>
      </c>
    </row>
    <row r="1359" customFormat="false" ht="26.85" hidden="false" customHeight="false" outlineLevel="0" collapsed="false">
      <c r="A1359" s="15" t="s">
        <v>850</v>
      </c>
      <c r="B1359" s="15" t="s">
        <v>9122</v>
      </c>
      <c r="C1359" s="14" t="s">
        <v>9207</v>
      </c>
      <c r="D1359" s="14" t="s">
        <v>9208</v>
      </c>
      <c r="E1359" s="16" t="s">
        <v>9209</v>
      </c>
      <c r="F1359" s="16" t="s">
        <v>9210</v>
      </c>
      <c r="G1359" s="23" t="s">
        <v>43</v>
      </c>
      <c r="H1359" s="18" t="n">
        <v>1</v>
      </c>
      <c r="I1359" s="20" t="n">
        <v>56.62</v>
      </c>
      <c r="J1359" s="20" t="n">
        <v>104</v>
      </c>
      <c r="K1359" s="18" t="n">
        <v>4</v>
      </c>
      <c r="L1359" s="18" t="n">
        <v>15</v>
      </c>
      <c r="M1359" s="18" t="n">
        <v>188</v>
      </c>
      <c r="N1359" s="18" t="n">
        <v>188</v>
      </c>
      <c r="O1359" s="14" t="s">
        <v>9211</v>
      </c>
      <c r="P1359" s="14" t="s">
        <v>118</v>
      </c>
      <c r="Q1359" s="15" t="s">
        <v>1089</v>
      </c>
      <c r="R1359" s="16" t="s">
        <v>9212</v>
      </c>
      <c r="S1359" s="15" t="s">
        <v>9213</v>
      </c>
      <c r="T1359" s="15" t="s">
        <v>9213</v>
      </c>
      <c r="U1359" s="21" t="s">
        <v>72</v>
      </c>
    </row>
    <row r="1360" customFormat="false" ht="15" hidden="false" customHeight="false" outlineLevel="0" collapsed="false">
      <c r="A1360" s="15" t="s">
        <v>850</v>
      </c>
      <c r="B1360" s="15" t="s">
        <v>9122</v>
      </c>
      <c r="C1360" s="14" t="s">
        <v>9214</v>
      </c>
      <c r="D1360" s="14" t="s">
        <v>9215</v>
      </c>
      <c r="E1360" s="16" t="s">
        <v>9216</v>
      </c>
      <c r="F1360" s="16" t="s">
        <v>9217</v>
      </c>
      <c r="G1360" s="23" t="s">
        <v>43</v>
      </c>
      <c r="H1360" s="18" t="n">
        <v>2</v>
      </c>
      <c r="I1360" s="20" t="n">
        <v>33.84</v>
      </c>
      <c r="J1360" s="20" t="n">
        <v>91.97</v>
      </c>
      <c r="K1360" s="18" t="n">
        <v>2</v>
      </c>
      <c r="L1360" s="18" t="n">
        <v>9</v>
      </c>
      <c r="M1360" s="18" t="n">
        <v>36</v>
      </c>
      <c r="N1360" s="18" t="n">
        <v>36</v>
      </c>
      <c r="O1360" s="14" t="s">
        <v>4223</v>
      </c>
      <c r="P1360" s="14" t="s">
        <v>84</v>
      </c>
      <c r="Q1360" s="15" t="s">
        <v>1089</v>
      </c>
      <c r="R1360" s="16" t="s">
        <v>9218</v>
      </c>
      <c r="S1360" s="15" t="s">
        <v>9219</v>
      </c>
      <c r="T1360" s="15" t="s">
        <v>9219</v>
      </c>
      <c r="U1360" s="21" t="s">
        <v>72</v>
      </c>
    </row>
    <row r="1361" customFormat="false" ht="26.85" hidden="false" customHeight="false" outlineLevel="0" collapsed="false">
      <c r="A1361" s="15" t="s">
        <v>850</v>
      </c>
      <c r="B1361" s="15" t="s">
        <v>9122</v>
      </c>
      <c r="C1361" s="14" t="s">
        <v>9220</v>
      </c>
      <c r="D1361" s="14" t="s">
        <v>9221</v>
      </c>
      <c r="E1361" s="16" t="s">
        <v>9222</v>
      </c>
      <c r="F1361" s="16" t="s">
        <v>9223</v>
      </c>
      <c r="G1361" s="23" t="s">
        <v>43</v>
      </c>
      <c r="H1361" s="18" t="n">
        <v>4</v>
      </c>
      <c r="I1361" s="20" t="n">
        <v>61.39</v>
      </c>
      <c r="J1361" s="20" t="n">
        <v>98.86</v>
      </c>
      <c r="K1361" s="18" t="n">
        <v>5</v>
      </c>
      <c r="L1361" s="18" t="n">
        <v>21</v>
      </c>
      <c r="M1361" s="18" t="n">
        <v>245</v>
      </c>
      <c r="N1361" s="18" t="n">
        <v>245</v>
      </c>
      <c r="O1361" s="14" t="s">
        <v>4546</v>
      </c>
      <c r="P1361" s="14" t="s">
        <v>118</v>
      </c>
      <c r="Q1361" s="15" t="s">
        <v>1089</v>
      </c>
      <c r="R1361" s="16" t="s">
        <v>7289</v>
      </c>
      <c r="S1361" s="15" t="s">
        <v>9224</v>
      </c>
      <c r="T1361" s="15" t="s">
        <v>9225</v>
      </c>
      <c r="U1361" s="21" t="s">
        <v>72</v>
      </c>
    </row>
    <row r="1362" customFormat="false" ht="26.85" hidden="false" customHeight="false" outlineLevel="0" collapsed="false">
      <c r="A1362" s="15" t="s">
        <v>850</v>
      </c>
      <c r="B1362" s="15" t="s">
        <v>9122</v>
      </c>
      <c r="C1362" s="14" t="s">
        <v>9226</v>
      </c>
      <c r="D1362" s="14" t="s">
        <v>9227</v>
      </c>
      <c r="E1362" s="16" t="s">
        <v>9228</v>
      </c>
      <c r="F1362" s="16" t="s">
        <v>9229</v>
      </c>
      <c r="G1362" s="23" t="s">
        <v>43</v>
      </c>
      <c r="H1362" s="18" t="n">
        <v>3</v>
      </c>
      <c r="I1362" s="20" t="n">
        <v>45.3</v>
      </c>
      <c r="J1362" s="20" t="n">
        <v>159.45</v>
      </c>
      <c r="K1362" s="18" t="n">
        <v>6</v>
      </c>
      <c r="L1362" s="18" t="n">
        <v>4</v>
      </c>
      <c r="M1362" s="18" t="n">
        <v>69</v>
      </c>
      <c r="N1362" s="18" t="n">
        <v>51</v>
      </c>
      <c r="O1362" s="14" t="s">
        <v>9230</v>
      </c>
      <c r="P1362" s="14" t="s">
        <v>352</v>
      </c>
      <c r="Q1362" s="15" t="s">
        <v>1089</v>
      </c>
      <c r="R1362" s="16" t="s">
        <v>9231</v>
      </c>
      <c r="S1362" s="15" t="s">
        <v>9232</v>
      </c>
      <c r="T1362" s="15" t="s">
        <v>9233</v>
      </c>
      <c r="U1362" s="21" t="s">
        <v>72</v>
      </c>
    </row>
    <row r="1363" customFormat="false" ht="26.85" hidden="false" customHeight="false" outlineLevel="0" collapsed="false">
      <c r="A1363" s="15" t="s">
        <v>850</v>
      </c>
      <c r="B1363" s="15" t="s">
        <v>9122</v>
      </c>
      <c r="C1363" s="14" t="s">
        <v>9234</v>
      </c>
      <c r="D1363" s="14" t="s">
        <v>9235</v>
      </c>
      <c r="E1363" s="16" t="s">
        <v>9236</v>
      </c>
      <c r="F1363" s="16" t="s">
        <v>9237</v>
      </c>
      <c r="G1363" s="23" t="s">
        <v>43</v>
      </c>
      <c r="H1363" s="18" t="n">
        <v>4</v>
      </c>
      <c r="I1363" s="20" t="n">
        <v>92.49</v>
      </c>
      <c r="J1363" s="20" t="n">
        <v>135.1</v>
      </c>
      <c r="K1363" s="18" t="n">
        <v>8</v>
      </c>
      <c r="L1363" s="18" t="n">
        <v>3</v>
      </c>
      <c r="M1363" s="18" t="n">
        <v>176</v>
      </c>
      <c r="N1363" s="18" t="n">
        <v>62</v>
      </c>
      <c r="O1363" s="14" t="s">
        <v>1126</v>
      </c>
      <c r="P1363" s="14" t="s">
        <v>872</v>
      </c>
      <c r="Q1363" s="15" t="s">
        <v>1089</v>
      </c>
      <c r="R1363" s="16" t="s">
        <v>8091</v>
      </c>
      <c r="S1363" s="15" t="s">
        <v>9232</v>
      </c>
      <c r="T1363" s="15" t="s">
        <v>9238</v>
      </c>
      <c r="U1363" s="21" t="s">
        <v>72</v>
      </c>
    </row>
    <row r="1364" customFormat="false" ht="15" hidden="false" customHeight="false" outlineLevel="0" collapsed="false">
      <c r="A1364" s="15" t="s">
        <v>850</v>
      </c>
      <c r="B1364" s="15" t="s">
        <v>9122</v>
      </c>
      <c r="C1364" s="14" t="s">
        <v>9239</v>
      </c>
      <c r="D1364" s="14" t="s">
        <v>9240</v>
      </c>
      <c r="E1364" s="16" t="s">
        <v>9241</v>
      </c>
      <c r="F1364" s="16" t="s">
        <v>9242</v>
      </c>
      <c r="G1364" s="23" t="s">
        <v>43</v>
      </c>
      <c r="H1364" s="18" t="n">
        <v>2</v>
      </c>
      <c r="I1364" s="20" t="n">
        <v>66.84</v>
      </c>
      <c r="J1364" s="20" t="n">
        <v>86.85</v>
      </c>
      <c r="K1364" s="18" t="n">
        <v>3</v>
      </c>
      <c r="L1364" s="18" t="n">
        <v>7</v>
      </c>
      <c r="M1364" s="18" t="n">
        <v>135</v>
      </c>
      <c r="N1364" s="18" t="n">
        <v>108</v>
      </c>
      <c r="O1364" s="14" t="s">
        <v>4223</v>
      </c>
      <c r="P1364" s="14" t="s">
        <v>118</v>
      </c>
      <c r="Q1364" s="15" t="s">
        <v>1089</v>
      </c>
      <c r="R1364" s="16" t="s">
        <v>9243</v>
      </c>
      <c r="S1364" s="15" t="s">
        <v>9219</v>
      </c>
      <c r="T1364" s="15" t="s">
        <v>9244</v>
      </c>
      <c r="U1364" s="21" t="s">
        <v>72</v>
      </c>
    </row>
    <row r="1365" customFormat="false" ht="26.85" hidden="false" customHeight="false" outlineLevel="0" collapsed="false">
      <c r="A1365" s="15" t="s">
        <v>850</v>
      </c>
      <c r="B1365" s="15" t="s">
        <v>9122</v>
      </c>
      <c r="C1365" s="14" t="s">
        <v>9245</v>
      </c>
      <c r="D1365" s="14" t="s">
        <v>9246</v>
      </c>
      <c r="E1365" s="16" t="s">
        <v>9247</v>
      </c>
      <c r="F1365" s="16" t="s">
        <v>9248</v>
      </c>
      <c r="G1365" s="25" t="s">
        <v>39</v>
      </c>
      <c r="H1365" s="18" t="n">
        <v>10</v>
      </c>
      <c r="I1365" s="20" t="n">
        <v>181.12</v>
      </c>
      <c r="J1365" s="20" t="n">
        <v>477.74</v>
      </c>
      <c r="K1365" s="18" t="n">
        <v>6</v>
      </c>
      <c r="L1365" s="18" t="n">
        <v>10</v>
      </c>
      <c r="M1365" s="18" t="n">
        <v>57</v>
      </c>
      <c r="N1365" s="18" t="n">
        <v>46</v>
      </c>
      <c r="O1365" s="14" t="s">
        <v>1097</v>
      </c>
      <c r="P1365" s="14" t="s">
        <v>118</v>
      </c>
      <c r="Q1365" s="15" t="s">
        <v>1089</v>
      </c>
      <c r="R1365" s="16" t="s">
        <v>9249</v>
      </c>
      <c r="S1365" s="15" t="s">
        <v>9219</v>
      </c>
      <c r="T1365" s="15" t="s">
        <v>8402</v>
      </c>
      <c r="U1365" s="21" t="s">
        <v>72</v>
      </c>
    </row>
    <row r="1366" customFormat="false" ht="26.85" hidden="false" customHeight="false" outlineLevel="0" collapsed="false">
      <c r="A1366" s="15" t="s">
        <v>850</v>
      </c>
      <c r="B1366" s="15" t="s">
        <v>9122</v>
      </c>
      <c r="C1366" s="14" t="s">
        <v>9250</v>
      </c>
      <c r="D1366" s="14" t="s">
        <v>9251</v>
      </c>
      <c r="E1366" s="16" t="s">
        <v>9252</v>
      </c>
      <c r="F1366" s="16"/>
      <c r="G1366" s="23" t="s">
        <v>43</v>
      </c>
      <c r="H1366" s="18" t="n">
        <v>4</v>
      </c>
      <c r="I1366" s="20" t="n">
        <v>79.94</v>
      </c>
      <c r="J1366" s="20" t="n">
        <v>173.91</v>
      </c>
      <c r="K1366" s="18" t="n">
        <v>6</v>
      </c>
      <c r="L1366" s="18" t="n">
        <v>3</v>
      </c>
      <c r="M1366" s="18" t="n">
        <v>66</v>
      </c>
      <c r="N1366" s="18" t="n">
        <v>66</v>
      </c>
      <c r="O1366" s="14" t="s">
        <v>4546</v>
      </c>
      <c r="P1366" s="14" t="s">
        <v>118</v>
      </c>
      <c r="Q1366" s="15" t="s">
        <v>1089</v>
      </c>
      <c r="R1366" s="16" t="s">
        <v>9253</v>
      </c>
      <c r="S1366" s="15" t="s">
        <v>9254</v>
      </c>
      <c r="T1366" s="15" t="s">
        <v>9254</v>
      </c>
      <c r="U1366" s="21" t="s">
        <v>72</v>
      </c>
    </row>
    <row r="1367" customFormat="false" ht="15" hidden="false" customHeight="false" outlineLevel="0" collapsed="false">
      <c r="A1367" s="15" t="s">
        <v>850</v>
      </c>
      <c r="B1367" s="15" t="s">
        <v>9122</v>
      </c>
      <c r="C1367" s="14" t="s">
        <v>9255</v>
      </c>
      <c r="D1367" s="14" t="s">
        <v>9256</v>
      </c>
      <c r="E1367" s="16" t="s">
        <v>9257</v>
      </c>
      <c r="F1367" s="16" t="s">
        <v>9196</v>
      </c>
      <c r="G1367" s="19" t="s">
        <v>41</v>
      </c>
      <c r="H1367" s="18" t="n">
        <v>5</v>
      </c>
      <c r="I1367" s="20" t="n">
        <v>72.76</v>
      </c>
      <c r="J1367" s="20" t="n">
        <v>212.29</v>
      </c>
      <c r="K1367" s="18" t="n">
        <v>3</v>
      </c>
      <c r="L1367" s="18" t="n">
        <v>1</v>
      </c>
      <c r="M1367" s="18" t="n">
        <v>87</v>
      </c>
      <c r="N1367" s="18" t="n">
        <v>87</v>
      </c>
      <c r="O1367" s="14" t="s">
        <v>1097</v>
      </c>
      <c r="P1367" s="14" t="s">
        <v>84</v>
      </c>
      <c r="Q1367" s="15" t="s">
        <v>1089</v>
      </c>
      <c r="R1367" s="16" t="s">
        <v>9258</v>
      </c>
      <c r="S1367" s="15" t="s">
        <v>9198</v>
      </c>
      <c r="T1367" s="15" t="s">
        <v>9259</v>
      </c>
      <c r="U1367" s="21" t="s">
        <v>72</v>
      </c>
    </row>
    <row r="1368" customFormat="false" ht="26.85" hidden="false" customHeight="false" outlineLevel="0" collapsed="false">
      <c r="A1368" s="15" t="s">
        <v>850</v>
      </c>
      <c r="B1368" s="15" t="s">
        <v>9122</v>
      </c>
      <c r="C1368" s="14" t="s">
        <v>9260</v>
      </c>
      <c r="D1368" s="14" t="s">
        <v>9261</v>
      </c>
      <c r="E1368" s="16" t="s">
        <v>9262</v>
      </c>
      <c r="F1368" s="16"/>
      <c r="G1368" s="23" t="s">
        <v>43</v>
      </c>
      <c r="H1368" s="18" t="n">
        <v>3</v>
      </c>
      <c r="I1368" s="20" t="n">
        <v>50.97</v>
      </c>
      <c r="J1368" s="20" t="n">
        <v>167.3</v>
      </c>
      <c r="K1368" s="18" t="n">
        <v>3</v>
      </c>
      <c r="L1368" s="18" t="n">
        <v>1</v>
      </c>
      <c r="M1368" s="18" t="n">
        <v>41</v>
      </c>
      <c r="N1368" s="18" t="n">
        <v>11</v>
      </c>
      <c r="O1368" s="14" t="s">
        <v>1097</v>
      </c>
      <c r="P1368" s="14" t="s">
        <v>906</v>
      </c>
      <c r="Q1368" s="15" t="s">
        <v>1089</v>
      </c>
      <c r="R1368" s="16" t="s">
        <v>9263</v>
      </c>
      <c r="S1368" s="15" t="s">
        <v>9264</v>
      </c>
      <c r="T1368" s="15" t="s">
        <v>9264</v>
      </c>
      <c r="U1368" s="21" t="s">
        <v>72</v>
      </c>
    </row>
    <row r="1369" customFormat="false" ht="15" hidden="false" customHeight="false" outlineLevel="0" collapsed="false">
      <c r="A1369" s="15" t="s">
        <v>850</v>
      </c>
      <c r="B1369" s="15" t="s">
        <v>9122</v>
      </c>
      <c r="C1369" s="14" t="s">
        <v>9265</v>
      </c>
      <c r="D1369" s="14" t="s">
        <v>9266</v>
      </c>
      <c r="E1369" s="16" t="s">
        <v>9267</v>
      </c>
      <c r="F1369" s="16"/>
      <c r="G1369" s="19" t="s">
        <v>41</v>
      </c>
      <c r="H1369" s="18" t="n">
        <v>6</v>
      </c>
      <c r="I1369" s="20" t="n">
        <v>98.25</v>
      </c>
      <c r="J1369" s="20" t="n">
        <v>199.52</v>
      </c>
      <c r="K1369" s="18" t="n">
        <v>17</v>
      </c>
      <c r="L1369" s="18" t="n">
        <v>2</v>
      </c>
      <c r="M1369" s="18" t="n">
        <v>323</v>
      </c>
      <c r="N1369" s="18" t="n">
        <v>57</v>
      </c>
      <c r="O1369" s="14" t="s">
        <v>4215</v>
      </c>
      <c r="P1369" s="14" t="s">
        <v>118</v>
      </c>
      <c r="Q1369" s="15" t="s">
        <v>1089</v>
      </c>
      <c r="R1369" s="16" t="s">
        <v>9268</v>
      </c>
      <c r="S1369" s="15" t="s">
        <v>9269</v>
      </c>
      <c r="T1369" s="15" t="s">
        <v>9269</v>
      </c>
      <c r="U1369" s="21" t="s">
        <v>72</v>
      </c>
    </row>
    <row r="1370" customFormat="false" ht="26.85" hidden="false" customHeight="false" outlineLevel="0" collapsed="false">
      <c r="A1370" s="15" t="s">
        <v>850</v>
      </c>
      <c r="B1370" s="15" t="s">
        <v>9122</v>
      </c>
      <c r="C1370" s="14" t="s">
        <v>9270</v>
      </c>
      <c r="D1370" s="14" t="s">
        <v>9271</v>
      </c>
      <c r="E1370" s="16" t="s">
        <v>9272</v>
      </c>
      <c r="F1370" s="16" t="s">
        <v>9273</v>
      </c>
      <c r="G1370" s="23" t="s">
        <v>43</v>
      </c>
      <c r="H1370" s="18" t="n">
        <v>2</v>
      </c>
      <c r="I1370" s="20" t="n">
        <v>30.94</v>
      </c>
      <c r="J1370" s="20" t="n">
        <v>73.96</v>
      </c>
      <c r="K1370" s="18" t="n">
        <v>2</v>
      </c>
      <c r="L1370" s="18" t="n">
        <v>1</v>
      </c>
      <c r="M1370" s="18" t="n">
        <v>28</v>
      </c>
      <c r="N1370" s="18" t="n">
        <v>28</v>
      </c>
      <c r="O1370" s="14" t="s">
        <v>4751</v>
      </c>
      <c r="P1370" s="14" t="s">
        <v>118</v>
      </c>
      <c r="Q1370" s="15" t="s">
        <v>1089</v>
      </c>
      <c r="R1370" s="16" t="s">
        <v>5956</v>
      </c>
      <c r="S1370" s="15" t="s">
        <v>9274</v>
      </c>
      <c r="T1370" s="15" t="s">
        <v>9275</v>
      </c>
      <c r="U1370" s="21" t="s">
        <v>72</v>
      </c>
    </row>
    <row r="1371" customFormat="false" ht="26.85" hidden="false" customHeight="false" outlineLevel="0" collapsed="false">
      <c r="A1371" s="15" t="s">
        <v>850</v>
      </c>
      <c r="B1371" s="15" t="s">
        <v>9122</v>
      </c>
      <c r="C1371" s="14" t="s">
        <v>9276</v>
      </c>
      <c r="D1371" s="14" t="s">
        <v>9277</v>
      </c>
      <c r="E1371" s="16" t="s">
        <v>9278</v>
      </c>
      <c r="F1371" s="16"/>
      <c r="G1371" s="25" t="s">
        <v>39</v>
      </c>
      <c r="H1371" s="18" t="n">
        <v>8</v>
      </c>
      <c r="I1371" s="20" t="n">
        <v>163.9258</v>
      </c>
      <c r="J1371" s="20" t="n">
        <v>210.04</v>
      </c>
      <c r="K1371" s="18" t="n">
        <v>8</v>
      </c>
      <c r="L1371" s="18" t="n">
        <v>18</v>
      </c>
      <c r="M1371" s="18" t="n">
        <v>154</v>
      </c>
      <c r="N1371" s="18" t="n">
        <v>154</v>
      </c>
      <c r="O1371" s="13" t="s">
        <v>9279</v>
      </c>
      <c r="P1371" s="14" t="s">
        <v>118</v>
      </c>
      <c r="Q1371" s="15" t="s">
        <v>1089</v>
      </c>
      <c r="R1371" s="16" t="s">
        <v>9280</v>
      </c>
      <c r="S1371" s="15" t="s">
        <v>9281</v>
      </c>
      <c r="T1371" s="15" t="s">
        <v>9281</v>
      </c>
      <c r="U1371" s="21" t="s">
        <v>72</v>
      </c>
    </row>
    <row r="1372" customFormat="false" ht="26.85" hidden="false" customHeight="false" outlineLevel="0" collapsed="false">
      <c r="A1372" s="15" t="s">
        <v>850</v>
      </c>
      <c r="B1372" s="15" t="s">
        <v>9122</v>
      </c>
      <c r="C1372" s="14" t="s">
        <v>9282</v>
      </c>
      <c r="D1372" s="14" t="s">
        <v>9283</v>
      </c>
      <c r="E1372" s="16" t="s">
        <v>9284</v>
      </c>
      <c r="F1372" s="16"/>
      <c r="G1372" s="23" t="s">
        <v>43</v>
      </c>
      <c r="H1372" s="18" t="n">
        <v>2</v>
      </c>
      <c r="I1372" s="20" t="n">
        <v>31.89</v>
      </c>
      <c r="J1372" s="20" t="n">
        <v>120.53</v>
      </c>
      <c r="K1372" s="18" t="n">
        <v>4</v>
      </c>
      <c r="L1372" s="18" t="n">
        <v>4</v>
      </c>
      <c r="M1372" s="18" t="n">
        <v>52</v>
      </c>
      <c r="N1372" s="18" t="n">
        <v>52</v>
      </c>
      <c r="O1372" s="14" t="s">
        <v>9285</v>
      </c>
      <c r="P1372" s="14" t="s">
        <v>118</v>
      </c>
      <c r="Q1372" s="15" t="s">
        <v>1089</v>
      </c>
      <c r="R1372" s="16" t="s">
        <v>4698</v>
      </c>
      <c r="S1372" s="15" t="s">
        <v>9286</v>
      </c>
      <c r="T1372" s="15" t="s">
        <v>9286</v>
      </c>
      <c r="U1372" s="21" t="s">
        <v>72</v>
      </c>
    </row>
    <row r="1373" customFormat="false" ht="15" hidden="false" customHeight="false" outlineLevel="0" collapsed="false">
      <c r="A1373" s="15" t="s">
        <v>850</v>
      </c>
      <c r="B1373" s="15" t="s">
        <v>9122</v>
      </c>
      <c r="C1373" s="14" t="s">
        <v>9287</v>
      </c>
      <c r="D1373" s="14" t="s">
        <v>9288</v>
      </c>
      <c r="E1373" s="16" t="s">
        <v>9289</v>
      </c>
      <c r="F1373" s="16" t="s">
        <v>9290</v>
      </c>
      <c r="G1373" s="23" t="s">
        <v>43</v>
      </c>
      <c r="H1373" s="18" t="n">
        <v>2</v>
      </c>
      <c r="I1373" s="20" t="n">
        <v>39.84</v>
      </c>
      <c r="J1373" s="20" t="n">
        <v>79.85</v>
      </c>
      <c r="K1373" s="18" t="n">
        <v>6</v>
      </c>
      <c r="L1373" s="18" t="n">
        <v>3</v>
      </c>
      <c r="M1373" s="18" t="n">
        <v>132</v>
      </c>
      <c r="N1373" s="18" t="n">
        <v>44</v>
      </c>
      <c r="O1373" s="14" t="s">
        <v>4215</v>
      </c>
      <c r="P1373" s="14" t="s">
        <v>118</v>
      </c>
      <c r="Q1373" s="15" t="s">
        <v>1089</v>
      </c>
      <c r="R1373" s="16" t="s">
        <v>9291</v>
      </c>
      <c r="S1373" s="15" t="s">
        <v>9292</v>
      </c>
      <c r="T1373" s="15" t="s">
        <v>9293</v>
      </c>
      <c r="U1373" s="21" t="s">
        <v>72</v>
      </c>
    </row>
    <row r="1374" customFormat="false" ht="15" hidden="false" customHeight="false" outlineLevel="0" collapsed="false">
      <c r="A1374" s="15" t="s">
        <v>850</v>
      </c>
      <c r="B1374" s="15" t="s">
        <v>9122</v>
      </c>
      <c r="C1374" s="14" t="s">
        <v>9294</v>
      </c>
      <c r="D1374" s="14" t="s">
        <v>9295</v>
      </c>
      <c r="E1374" s="16" t="s">
        <v>9296</v>
      </c>
      <c r="F1374" s="16" t="s">
        <v>9297</v>
      </c>
      <c r="G1374" s="23" t="s">
        <v>43</v>
      </c>
      <c r="H1374" s="18" t="n">
        <v>3</v>
      </c>
      <c r="I1374" s="20" t="n">
        <v>30.39</v>
      </c>
      <c r="J1374" s="20" t="n">
        <v>73.96</v>
      </c>
      <c r="K1374" s="18" t="n">
        <v>4</v>
      </c>
      <c r="L1374" s="18" t="n">
        <v>4</v>
      </c>
      <c r="M1374" s="18" t="n">
        <v>35</v>
      </c>
      <c r="N1374" s="18" t="n">
        <v>16</v>
      </c>
      <c r="O1374" s="14" t="s">
        <v>1097</v>
      </c>
      <c r="P1374" s="14" t="s">
        <v>118</v>
      </c>
      <c r="Q1374" s="15" t="s">
        <v>1089</v>
      </c>
      <c r="R1374" s="16" t="s">
        <v>9298</v>
      </c>
      <c r="S1374" s="15" t="s">
        <v>9299</v>
      </c>
      <c r="T1374" s="15" t="s">
        <v>9299</v>
      </c>
      <c r="U1374" s="21" t="s">
        <v>72</v>
      </c>
    </row>
    <row r="1375" customFormat="false" ht="15" hidden="false" customHeight="false" outlineLevel="0" collapsed="false">
      <c r="A1375" s="15" t="s">
        <v>850</v>
      </c>
      <c r="B1375" s="15" t="s">
        <v>9122</v>
      </c>
      <c r="C1375" s="14" t="s">
        <v>9300</v>
      </c>
      <c r="D1375" s="14" t="s">
        <v>9301</v>
      </c>
      <c r="E1375" s="16" t="s">
        <v>9302</v>
      </c>
      <c r="F1375" s="16" t="s">
        <v>9303</v>
      </c>
      <c r="G1375" s="23" t="s">
        <v>43</v>
      </c>
      <c r="H1375" s="18" t="n">
        <v>3</v>
      </c>
      <c r="I1375" s="20" t="n">
        <v>52.83</v>
      </c>
      <c r="J1375" s="20" t="n">
        <v>82.95</v>
      </c>
      <c r="K1375" s="18" t="n">
        <v>4</v>
      </c>
      <c r="L1375" s="18" t="n">
        <v>1</v>
      </c>
      <c r="M1375" s="18" t="n">
        <v>58</v>
      </c>
      <c r="N1375" s="18" t="n">
        <v>58</v>
      </c>
      <c r="O1375" s="14" t="s">
        <v>5157</v>
      </c>
      <c r="P1375" s="14" t="s">
        <v>118</v>
      </c>
      <c r="Q1375" s="15" t="s">
        <v>1089</v>
      </c>
      <c r="R1375" s="16" t="s">
        <v>2928</v>
      </c>
      <c r="S1375" s="15" t="s">
        <v>9304</v>
      </c>
      <c r="T1375" s="15" t="s">
        <v>9304</v>
      </c>
      <c r="U1375" s="21" t="s">
        <v>72</v>
      </c>
    </row>
    <row r="1376" customFormat="false" ht="26.85" hidden="false" customHeight="false" outlineLevel="0" collapsed="false">
      <c r="A1376" s="15" t="s">
        <v>850</v>
      </c>
      <c r="B1376" s="15" t="s">
        <v>9122</v>
      </c>
      <c r="C1376" s="14" t="s">
        <v>9305</v>
      </c>
      <c r="D1376" s="14" t="s">
        <v>9306</v>
      </c>
      <c r="E1376" s="16" t="s">
        <v>9307</v>
      </c>
      <c r="F1376" s="16"/>
      <c r="G1376" s="23" t="s">
        <v>43</v>
      </c>
      <c r="H1376" s="18" t="n">
        <v>3</v>
      </c>
      <c r="I1376" s="20" t="n">
        <v>55.6</v>
      </c>
      <c r="J1376" s="20" t="n">
        <v>128.5</v>
      </c>
      <c r="K1376" s="18" t="n">
        <v>3</v>
      </c>
      <c r="L1376" s="18" t="n">
        <v>1</v>
      </c>
      <c r="M1376" s="18" t="n">
        <v>48</v>
      </c>
      <c r="N1376" s="18" t="n">
        <v>48</v>
      </c>
      <c r="O1376" s="14" t="s">
        <v>9308</v>
      </c>
      <c r="P1376" s="14" t="s">
        <v>118</v>
      </c>
      <c r="Q1376" s="15" t="s">
        <v>1089</v>
      </c>
      <c r="R1376" s="16" t="s">
        <v>7036</v>
      </c>
      <c r="S1376" s="15" t="s">
        <v>9309</v>
      </c>
      <c r="T1376" s="15" t="s">
        <v>9309</v>
      </c>
      <c r="U1376" s="21" t="s">
        <v>72</v>
      </c>
    </row>
    <row r="1377" customFormat="false" ht="15" hidden="false" customHeight="false" outlineLevel="0" collapsed="false">
      <c r="A1377" s="15" t="s">
        <v>850</v>
      </c>
      <c r="B1377" s="15" t="s">
        <v>9122</v>
      </c>
      <c r="C1377" s="14" t="s">
        <v>9310</v>
      </c>
      <c r="D1377" s="14" t="s">
        <v>9311</v>
      </c>
      <c r="E1377" s="16" t="s">
        <v>9312</v>
      </c>
      <c r="F1377" s="16" t="s">
        <v>9313</v>
      </c>
      <c r="G1377" s="25" t="s">
        <v>39</v>
      </c>
      <c r="H1377" s="18" t="n">
        <v>8</v>
      </c>
      <c r="I1377" s="20" t="n">
        <v>192.53</v>
      </c>
      <c r="J1377" s="20" t="n">
        <v>340.5</v>
      </c>
      <c r="K1377" s="18" t="n">
        <v>3</v>
      </c>
      <c r="L1377" s="18" t="n">
        <v>4</v>
      </c>
      <c r="M1377" s="18" t="n">
        <v>141</v>
      </c>
      <c r="N1377" s="18" t="n">
        <v>141</v>
      </c>
      <c r="O1377" s="14" t="s">
        <v>1126</v>
      </c>
      <c r="P1377" s="14" t="s">
        <v>84</v>
      </c>
      <c r="Q1377" s="15" t="s">
        <v>1089</v>
      </c>
      <c r="R1377" s="16" t="s">
        <v>9314</v>
      </c>
      <c r="S1377" s="15" t="s">
        <v>9315</v>
      </c>
      <c r="T1377" s="15" t="s">
        <v>9315</v>
      </c>
      <c r="U1377" s="21" t="s">
        <v>72</v>
      </c>
    </row>
    <row r="1378" customFormat="false" ht="15" hidden="false" customHeight="false" outlineLevel="0" collapsed="false">
      <c r="A1378" s="15" t="s">
        <v>850</v>
      </c>
      <c r="B1378" s="15" t="s">
        <v>9122</v>
      </c>
      <c r="C1378" s="14" t="s">
        <v>9316</v>
      </c>
      <c r="D1378" s="14" t="s">
        <v>9317</v>
      </c>
      <c r="E1378" s="16" t="s">
        <v>9318</v>
      </c>
      <c r="F1378" s="16" t="s">
        <v>9319</v>
      </c>
      <c r="G1378" s="23" t="s">
        <v>43</v>
      </c>
      <c r="H1378" s="18" t="n">
        <v>3</v>
      </c>
      <c r="I1378" s="20" t="n">
        <v>130.68</v>
      </c>
      <c r="J1378" s="20" t="n">
        <v>197.37</v>
      </c>
      <c r="K1378" s="18" t="n">
        <v>4</v>
      </c>
      <c r="L1378" s="18" t="n">
        <v>2</v>
      </c>
      <c r="M1378" s="18" t="n">
        <v>188</v>
      </c>
      <c r="N1378" s="18" t="n">
        <v>188</v>
      </c>
      <c r="O1378" s="14" t="s">
        <v>9320</v>
      </c>
      <c r="P1378" s="14" t="s">
        <v>118</v>
      </c>
      <c r="Q1378" s="15" t="s">
        <v>1089</v>
      </c>
      <c r="R1378" s="16" t="s">
        <v>9321</v>
      </c>
      <c r="S1378" s="15" t="s">
        <v>9322</v>
      </c>
      <c r="T1378" s="15" t="s">
        <v>9323</v>
      </c>
      <c r="U1378" s="21" t="s">
        <v>72</v>
      </c>
    </row>
    <row r="1379" customFormat="false" ht="26.85" hidden="false" customHeight="false" outlineLevel="0" collapsed="false">
      <c r="A1379" s="15" t="s">
        <v>850</v>
      </c>
      <c r="B1379" s="15" t="s">
        <v>9122</v>
      </c>
      <c r="C1379" s="14" t="s">
        <v>9324</v>
      </c>
      <c r="D1379" s="14" t="s">
        <v>9325</v>
      </c>
      <c r="E1379" s="16" t="s">
        <v>9326</v>
      </c>
      <c r="F1379" s="16" t="s">
        <v>9327</v>
      </c>
      <c r="G1379" s="19" t="s">
        <v>41</v>
      </c>
      <c r="H1379" s="18" t="n">
        <v>7</v>
      </c>
      <c r="I1379" s="20" t="n">
        <v>180.15</v>
      </c>
      <c r="J1379" s="20" t="n">
        <v>302.7</v>
      </c>
      <c r="K1379" s="18" t="n">
        <v>12</v>
      </c>
      <c r="L1379" s="18" t="n">
        <v>3</v>
      </c>
      <c r="M1379" s="18" t="n">
        <v>282</v>
      </c>
      <c r="N1379" s="18" t="n">
        <v>104</v>
      </c>
      <c r="O1379" s="14" t="s">
        <v>4385</v>
      </c>
      <c r="P1379" s="14" t="s">
        <v>3143</v>
      </c>
      <c r="Q1379" s="15" t="s">
        <v>1089</v>
      </c>
      <c r="R1379" s="16" t="s">
        <v>9328</v>
      </c>
      <c r="S1379" s="15" t="s">
        <v>9329</v>
      </c>
      <c r="T1379" s="15" t="s">
        <v>9330</v>
      </c>
      <c r="U1379" s="21" t="s">
        <v>72</v>
      </c>
    </row>
    <row r="1380" customFormat="false" ht="15" hidden="false" customHeight="false" outlineLevel="0" collapsed="false">
      <c r="A1380" s="15" t="s">
        <v>850</v>
      </c>
      <c r="B1380" s="15" t="s">
        <v>9122</v>
      </c>
      <c r="C1380" s="14" t="s">
        <v>9331</v>
      </c>
      <c r="D1380" s="14" t="s">
        <v>9332</v>
      </c>
      <c r="E1380" s="16" t="s">
        <v>9333</v>
      </c>
      <c r="F1380" s="16" t="s">
        <v>9334</v>
      </c>
      <c r="G1380" s="23" t="s">
        <v>43</v>
      </c>
      <c r="H1380" s="18" t="n">
        <v>2</v>
      </c>
      <c r="I1380" s="20" t="n">
        <v>44.96</v>
      </c>
      <c r="J1380" s="20" t="n">
        <v>116.04</v>
      </c>
      <c r="K1380" s="18" t="n">
        <v>16</v>
      </c>
      <c r="L1380" s="18" t="n">
        <v>4</v>
      </c>
      <c r="M1380" s="18" t="n">
        <v>368</v>
      </c>
      <c r="N1380" s="18" t="n">
        <v>161</v>
      </c>
      <c r="O1380" s="14" t="s">
        <v>9335</v>
      </c>
      <c r="P1380" s="14" t="s">
        <v>118</v>
      </c>
      <c r="Q1380" s="15" t="s">
        <v>1089</v>
      </c>
      <c r="R1380" s="16" t="s">
        <v>9336</v>
      </c>
      <c r="S1380" s="15" t="s">
        <v>9337</v>
      </c>
      <c r="T1380" s="15" t="s">
        <v>9338</v>
      </c>
      <c r="U1380" s="21" t="s">
        <v>72</v>
      </c>
    </row>
    <row r="1381" customFormat="false" ht="26.85" hidden="false" customHeight="false" outlineLevel="0" collapsed="false">
      <c r="A1381" s="15" t="s">
        <v>850</v>
      </c>
      <c r="B1381" s="15" t="s">
        <v>9122</v>
      </c>
      <c r="C1381" s="14" t="s">
        <v>9339</v>
      </c>
      <c r="D1381" s="14" t="s">
        <v>9340</v>
      </c>
      <c r="E1381" s="16" t="s">
        <v>9252</v>
      </c>
      <c r="F1381" s="16" t="s">
        <v>9341</v>
      </c>
      <c r="G1381" s="23" t="s">
        <v>43</v>
      </c>
      <c r="H1381" s="18" t="n">
        <v>3</v>
      </c>
      <c r="I1381" s="20" t="n">
        <v>50.3</v>
      </c>
      <c r="J1381" s="20" t="n">
        <v>166.625</v>
      </c>
      <c r="K1381" s="18" t="n">
        <v>6</v>
      </c>
      <c r="L1381" s="18" t="n">
        <v>4</v>
      </c>
      <c r="M1381" s="18" t="n">
        <v>84</v>
      </c>
      <c r="N1381" s="18" t="n">
        <v>84</v>
      </c>
      <c r="O1381" s="14" t="s">
        <v>4546</v>
      </c>
      <c r="P1381" s="14" t="s">
        <v>118</v>
      </c>
      <c r="Q1381" s="15" t="s">
        <v>1089</v>
      </c>
      <c r="R1381" s="16" t="s">
        <v>9342</v>
      </c>
      <c r="S1381" s="15" t="s">
        <v>9343</v>
      </c>
      <c r="T1381" s="15" t="s">
        <v>9343</v>
      </c>
      <c r="U1381" s="21" t="s">
        <v>72</v>
      </c>
    </row>
    <row r="1382" customFormat="false" ht="26.85" hidden="false" customHeight="false" outlineLevel="0" collapsed="false">
      <c r="A1382" s="15" t="s">
        <v>850</v>
      </c>
      <c r="B1382" s="15" t="s">
        <v>9122</v>
      </c>
      <c r="C1382" s="14" t="s">
        <v>9344</v>
      </c>
      <c r="D1382" s="14" t="s">
        <v>9345</v>
      </c>
      <c r="E1382" s="16" t="s">
        <v>9346</v>
      </c>
      <c r="F1382" s="16" t="s">
        <v>9347</v>
      </c>
      <c r="G1382" s="23" t="s">
        <v>43</v>
      </c>
      <c r="H1382" s="18" t="n">
        <v>3</v>
      </c>
      <c r="I1382" s="20" t="n">
        <v>54.99</v>
      </c>
      <c r="J1382" s="20" t="n">
        <v>95.89</v>
      </c>
      <c r="K1382" s="18" t="n">
        <v>3</v>
      </c>
      <c r="L1382" s="18" t="n">
        <v>3</v>
      </c>
      <c r="M1382" s="18" t="n">
        <v>45</v>
      </c>
      <c r="N1382" s="18" t="n">
        <v>45</v>
      </c>
      <c r="O1382" s="14" t="s">
        <v>9012</v>
      </c>
      <c r="P1382" s="14" t="s">
        <v>118</v>
      </c>
      <c r="Q1382" s="15" t="s">
        <v>1089</v>
      </c>
      <c r="R1382" s="16" t="s">
        <v>9348</v>
      </c>
      <c r="S1382" s="15" t="s">
        <v>9349</v>
      </c>
      <c r="T1382" s="15" t="s">
        <v>9349</v>
      </c>
      <c r="U1382" s="21" t="s">
        <v>72</v>
      </c>
    </row>
    <row r="1383" customFormat="false" ht="15" hidden="false" customHeight="false" outlineLevel="0" collapsed="false">
      <c r="A1383" s="15" t="s">
        <v>850</v>
      </c>
      <c r="B1383" s="15" t="s">
        <v>9122</v>
      </c>
      <c r="C1383" s="14" t="s">
        <v>9350</v>
      </c>
      <c r="D1383" s="14" t="s">
        <v>9351</v>
      </c>
      <c r="E1383" s="16" t="s">
        <v>9352</v>
      </c>
      <c r="F1383" s="16"/>
      <c r="G1383" s="23" t="s">
        <v>43</v>
      </c>
      <c r="H1383" s="18" t="n">
        <v>2</v>
      </c>
      <c r="I1383" s="20" t="n">
        <v>60.68</v>
      </c>
      <c r="J1383" s="20" t="n">
        <v>140.51</v>
      </c>
      <c r="K1383" s="18" t="n">
        <v>2</v>
      </c>
      <c r="L1383" s="18" t="n">
        <v>2</v>
      </c>
      <c r="M1383" s="18" t="n">
        <v>70</v>
      </c>
      <c r="N1383" s="18" t="n">
        <v>70</v>
      </c>
      <c r="O1383" s="14" t="s">
        <v>4223</v>
      </c>
      <c r="P1383" s="14" t="s">
        <v>84</v>
      </c>
      <c r="Q1383" s="15" t="s">
        <v>1089</v>
      </c>
      <c r="R1383" s="16" t="s">
        <v>9353</v>
      </c>
      <c r="S1383" s="15" t="s">
        <v>9354</v>
      </c>
      <c r="T1383" s="15" t="s">
        <v>9355</v>
      </c>
      <c r="U1383" s="21" t="s">
        <v>72</v>
      </c>
    </row>
    <row r="1384" customFormat="false" ht="15" hidden="false" customHeight="false" outlineLevel="0" collapsed="false">
      <c r="A1384" s="15" t="s">
        <v>850</v>
      </c>
      <c r="B1384" s="15" t="s">
        <v>9122</v>
      </c>
      <c r="C1384" s="14" t="s">
        <v>9356</v>
      </c>
      <c r="D1384" s="14" t="s">
        <v>9357</v>
      </c>
      <c r="E1384" s="16" t="s">
        <v>9358</v>
      </c>
      <c r="F1384" s="16" t="s">
        <v>9359</v>
      </c>
      <c r="G1384" s="23" t="s">
        <v>43</v>
      </c>
      <c r="H1384" s="18" t="n">
        <v>3</v>
      </c>
      <c r="I1384" s="20" t="n">
        <v>43.327</v>
      </c>
      <c r="J1384" s="20" t="n">
        <v>78.03</v>
      </c>
      <c r="K1384" s="18" t="n">
        <v>4</v>
      </c>
      <c r="L1384" s="18" t="n">
        <v>4</v>
      </c>
      <c r="M1384" s="18" t="n">
        <v>50</v>
      </c>
      <c r="N1384" s="18" t="n">
        <v>22</v>
      </c>
      <c r="O1384" s="14" t="s">
        <v>4223</v>
      </c>
      <c r="P1384" s="14" t="s">
        <v>118</v>
      </c>
      <c r="Q1384" s="15" t="s">
        <v>1089</v>
      </c>
      <c r="R1384" s="16" t="s">
        <v>9360</v>
      </c>
      <c r="S1384" s="15" t="s">
        <v>9361</v>
      </c>
      <c r="T1384" s="15" t="s">
        <v>9361</v>
      </c>
      <c r="U1384" s="21" t="s">
        <v>72</v>
      </c>
    </row>
    <row r="1385" customFormat="false" ht="26.85" hidden="false" customHeight="false" outlineLevel="0" collapsed="false">
      <c r="A1385" s="15" t="s">
        <v>850</v>
      </c>
      <c r="B1385" s="15" t="s">
        <v>9122</v>
      </c>
      <c r="C1385" s="14" t="s">
        <v>9362</v>
      </c>
      <c r="D1385" s="14" t="s">
        <v>9363</v>
      </c>
      <c r="E1385" s="16" t="s">
        <v>9364</v>
      </c>
      <c r="F1385" s="16"/>
      <c r="G1385" s="25" t="s">
        <v>39</v>
      </c>
      <c r="H1385" s="18" t="n">
        <v>9</v>
      </c>
      <c r="I1385" s="20" t="n">
        <v>164.86</v>
      </c>
      <c r="J1385" s="20" t="n">
        <v>393.93</v>
      </c>
      <c r="K1385" s="18" t="n">
        <v>8</v>
      </c>
      <c r="L1385" s="18" t="n">
        <v>5</v>
      </c>
      <c r="M1385" s="18" t="n">
        <v>160</v>
      </c>
      <c r="N1385" s="18" t="n">
        <v>160</v>
      </c>
      <c r="O1385" s="14" t="s">
        <v>9365</v>
      </c>
      <c r="P1385" s="14" t="s">
        <v>118</v>
      </c>
      <c r="Q1385" s="15" t="s">
        <v>1089</v>
      </c>
      <c r="R1385" s="16" t="s">
        <v>9366</v>
      </c>
      <c r="S1385" s="15" t="s">
        <v>9367</v>
      </c>
      <c r="T1385" s="15" t="s">
        <v>9368</v>
      </c>
      <c r="U1385" s="21" t="s">
        <v>72</v>
      </c>
    </row>
    <row r="1386" customFormat="false" ht="26.85" hidden="false" customHeight="false" outlineLevel="0" collapsed="false">
      <c r="A1386" s="15" t="s">
        <v>850</v>
      </c>
      <c r="B1386" s="15" t="s">
        <v>9122</v>
      </c>
      <c r="C1386" s="14" t="s">
        <v>9369</v>
      </c>
      <c r="D1386" s="14" t="s">
        <v>9370</v>
      </c>
      <c r="E1386" s="16" t="s">
        <v>9371</v>
      </c>
      <c r="F1386" s="16"/>
      <c r="G1386" s="23" t="s">
        <v>43</v>
      </c>
      <c r="H1386" s="18" t="n">
        <v>2</v>
      </c>
      <c r="I1386" s="20" t="n">
        <v>72.28</v>
      </c>
      <c r="J1386" s="20" t="n">
        <v>111.09</v>
      </c>
      <c r="K1386" s="18" t="n">
        <v>4</v>
      </c>
      <c r="L1386" s="18" t="n">
        <v>3</v>
      </c>
      <c r="M1386" s="18" t="n">
        <v>105</v>
      </c>
      <c r="N1386" s="18" t="n">
        <v>82</v>
      </c>
      <c r="O1386" s="14" t="s">
        <v>8604</v>
      </c>
      <c r="P1386" s="14" t="s">
        <v>872</v>
      </c>
      <c r="Q1386" s="15" t="s">
        <v>1089</v>
      </c>
      <c r="R1386" s="16" t="s">
        <v>6822</v>
      </c>
      <c r="S1386" s="15" t="s">
        <v>9372</v>
      </c>
      <c r="T1386" s="15" t="s">
        <v>9372</v>
      </c>
      <c r="U1386" s="21" t="s">
        <v>72</v>
      </c>
    </row>
    <row r="1387" customFormat="false" ht="15" hidden="false" customHeight="false" outlineLevel="0" collapsed="false">
      <c r="A1387" s="15" t="s">
        <v>850</v>
      </c>
      <c r="B1387" s="15" t="s">
        <v>9122</v>
      </c>
      <c r="C1387" s="14" t="s">
        <v>9373</v>
      </c>
      <c r="D1387" s="14" t="s">
        <v>9374</v>
      </c>
      <c r="E1387" s="16" t="s">
        <v>9375</v>
      </c>
      <c r="F1387" s="16" t="s">
        <v>9376</v>
      </c>
      <c r="G1387" s="23" t="s">
        <v>43</v>
      </c>
      <c r="H1387" s="18" t="n">
        <v>1</v>
      </c>
      <c r="I1387" s="20" t="n">
        <v>30</v>
      </c>
      <c r="J1387" s="20" t="n">
        <v>85.63</v>
      </c>
      <c r="K1387" s="18" t="n">
        <v>2</v>
      </c>
      <c r="L1387" s="18" t="n">
        <v>1</v>
      </c>
      <c r="M1387" s="18" t="n">
        <v>50</v>
      </c>
      <c r="N1387" s="18" t="n">
        <v>25</v>
      </c>
      <c r="O1387" s="14" t="s">
        <v>1097</v>
      </c>
      <c r="P1387" s="14" t="s">
        <v>202</v>
      </c>
      <c r="Q1387" s="15" t="s">
        <v>1089</v>
      </c>
      <c r="R1387" s="16" t="s">
        <v>9377</v>
      </c>
      <c r="S1387" s="15" t="s">
        <v>9378</v>
      </c>
      <c r="T1387" s="15" t="s">
        <v>6591</v>
      </c>
      <c r="U1387" s="21" t="s">
        <v>72</v>
      </c>
    </row>
    <row r="1388" customFormat="false" ht="26.85" hidden="false" customHeight="false" outlineLevel="0" collapsed="false">
      <c r="A1388" s="15" t="s">
        <v>850</v>
      </c>
      <c r="B1388" s="15" t="s">
        <v>9122</v>
      </c>
      <c r="C1388" s="14" t="s">
        <v>9379</v>
      </c>
      <c r="D1388" s="14" t="s">
        <v>9380</v>
      </c>
      <c r="E1388" s="16" t="s">
        <v>9381</v>
      </c>
      <c r="F1388" s="16" t="s">
        <v>9382</v>
      </c>
      <c r="G1388" s="25" t="s">
        <v>39</v>
      </c>
      <c r="H1388" s="18" t="n">
        <v>6</v>
      </c>
      <c r="I1388" s="20" t="n">
        <v>245.2</v>
      </c>
      <c r="J1388" s="20" t="n">
        <v>723.62</v>
      </c>
      <c r="K1388" s="18" t="n">
        <v>6</v>
      </c>
      <c r="L1388" s="18" t="n">
        <v>48</v>
      </c>
      <c r="M1388" s="18" t="n">
        <v>630</v>
      </c>
      <c r="N1388" s="18" t="n">
        <v>456</v>
      </c>
      <c r="O1388" s="14" t="s">
        <v>9383</v>
      </c>
      <c r="P1388" s="14" t="s">
        <v>118</v>
      </c>
      <c r="Q1388" s="15" t="s">
        <v>1089</v>
      </c>
      <c r="R1388" s="16" t="s">
        <v>4812</v>
      </c>
      <c r="S1388" s="15" t="s">
        <v>9384</v>
      </c>
      <c r="T1388" s="15" t="s">
        <v>9385</v>
      </c>
      <c r="U1388" s="21" t="s">
        <v>72</v>
      </c>
    </row>
    <row r="1389" customFormat="false" ht="15" hidden="false" customHeight="false" outlineLevel="0" collapsed="false">
      <c r="A1389" s="15" t="s">
        <v>850</v>
      </c>
      <c r="B1389" s="15" t="s">
        <v>9122</v>
      </c>
      <c r="C1389" s="14" t="s">
        <v>9386</v>
      </c>
      <c r="D1389" s="14" t="s">
        <v>9387</v>
      </c>
      <c r="E1389" s="16" t="s">
        <v>9388</v>
      </c>
      <c r="F1389" s="16" t="s">
        <v>9389</v>
      </c>
      <c r="G1389" s="23" t="s">
        <v>43</v>
      </c>
      <c r="H1389" s="18" t="n">
        <v>3</v>
      </c>
      <c r="I1389" s="20" t="n">
        <v>105.02</v>
      </c>
      <c r="J1389" s="20" t="n">
        <v>195.26</v>
      </c>
      <c r="K1389" s="18" t="n">
        <v>3</v>
      </c>
      <c r="L1389" s="18" t="n">
        <v>5</v>
      </c>
      <c r="M1389" s="18" t="n">
        <v>86</v>
      </c>
      <c r="N1389" s="18" t="n">
        <v>39</v>
      </c>
      <c r="O1389" s="14" t="s">
        <v>4983</v>
      </c>
      <c r="P1389" s="14" t="s">
        <v>118</v>
      </c>
      <c r="Q1389" s="15" t="s">
        <v>1089</v>
      </c>
      <c r="R1389" s="16" t="s">
        <v>9390</v>
      </c>
      <c r="S1389" s="15" t="s">
        <v>9391</v>
      </c>
      <c r="T1389" s="15" t="s">
        <v>9391</v>
      </c>
      <c r="U1389" s="21" t="s">
        <v>72</v>
      </c>
    </row>
    <row r="1390" customFormat="false" ht="15" hidden="false" customHeight="false" outlineLevel="0" collapsed="false">
      <c r="A1390" s="15" t="s">
        <v>850</v>
      </c>
      <c r="B1390" s="15" t="s">
        <v>9122</v>
      </c>
      <c r="C1390" s="14" t="s">
        <v>9392</v>
      </c>
      <c r="D1390" s="14" t="s">
        <v>9393</v>
      </c>
      <c r="E1390" s="16" t="s">
        <v>9394</v>
      </c>
      <c r="F1390" s="16" t="s">
        <v>9395</v>
      </c>
      <c r="G1390" s="23" t="s">
        <v>43</v>
      </c>
      <c r="H1390" s="18" t="n">
        <v>2</v>
      </c>
      <c r="I1390" s="20" t="n">
        <v>62.515</v>
      </c>
      <c r="J1390" s="20" t="n">
        <v>86.01</v>
      </c>
      <c r="K1390" s="18" t="n">
        <v>3</v>
      </c>
      <c r="L1390" s="18" t="n">
        <v>1</v>
      </c>
      <c r="M1390" s="18" t="n">
        <v>77</v>
      </c>
      <c r="N1390" s="18" t="n">
        <v>77</v>
      </c>
      <c r="O1390" s="14" t="s">
        <v>9396</v>
      </c>
      <c r="P1390" s="14" t="s">
        <v>118</v>
      </c>
      <c r="Q1390" s="15" t="s">
        <v>1089</v>
      </c>
      <c r="R1390" s="16" t="s">
        <v>9397</v>
      </c>
      <c r="S1390" s="15" t="s">
        <v>9398</v>
      </c>
      <c r="T1390" s="15" t="s">
        <v>9399</v>
      </c>
      <c r="U1390" s="21" t="s">
        <v>72</v>
      </c>
    </row>
    <row r="1391" customFormat="false" ht="15" hidden="false" customHeight="false" outlineLevel="0" collapsed="false">
      <c r="A1391" s="15" t="s">
        <v>850</v>
      </c>
      <c r="B1391" s="15" t="s">
        <v>9122</v>
      </c>
      <c r="C1391" s="14" t="s">
        <v>9400</v>
      </c>
      <c r="D1391" s="14" t="s">
        <v>9401</v>
      </c>
      <c r="E1391" s="16" t="s">
        <v>9402</v>
      </c>
      <c r="F1391" s="16" t="s">
        <v>9403</v>
      </c>
      <c r="G1391" s="19" t="s">
        <v>41</v>
      </c>
      <c r="H1391" s="18" t="n">
        <v>5</v>
      </c>
      <c r="I1391" s="20" t="n">
        <v>89.26</v>
      </c>
      <c r="J1391" s="20" t="n">
        <v>255.41</v>
      </c>
      <c r="K1391" s="18" t="n">
        <v>6</v>
      </c>
      <c r="L1391" s="18" t="n">
        <v>1</v>
      </c>
      <c r="M1391" s="18" t="n">
        <v>234</v>
      </c>
      <c r="N1391" s="18" t="n">
        <v>234</v>
      </c>
      <c r="O1391" s="14" t="s">
        <v>9404</v>
      </c>
      <c r="P1391" s="14" t="s">
        <v>84</v>
      </c>
      <c r="Q1391" s="15" t="s">
        <v>1089</v>
      </c>
      <c r="R1391" s="16" t="s">
        <v>9405</v>
      </c>
      <c r="S1391" s="15" t="s">
        <v>9406</v>
      </c>
      <c r="T1391" s="15" t="s">
        <v>9406</v>
      </c>
      <c r="U1391" s="21" t="s">
        <v>72</v>
      </c>
    </row>
    <row r="1392" customFormat="false" ht="15" hidden="false" customHeight="false" outlineLevel="0" collapsed="false">
      <c r="A1392" s="15" t="s">
        <v>850</v>
      </c>
      <c r="B1392" s="15" t="s">
        <v>9122</v>
      </c>
      <c r="C1392" s="14" t="s">
        <v>9407</v>
      </c>
      <c r="D1392" s="14" t="s">
        <v>9408</v>
      </c>
      <c r="E1392" s="16" t="s">
        <v>9409</v>
      </c>
      <c r="F1392" s="16" t="s">
        <v>9410</v>
      </c>
      <c r="G1392" s="25" t="s">
        <v>39</v>
      </c>
      <c r="H1392" s="18" t="n">
        <v>12</v>
      </c>
      <c r="I1392" s="20" t="n">
        <v>276.33</v>
      </c>
      <c r="J1392" s="20" t="n">
        <v>459.92</v>
      </c>
      <c r="K1392" s="18" t="n">
        <v>20</v>
      </c>
      <c r="L1392" s="18" t="n">
        <v>17</v>
      </c>
      <c r="M1392" s="18" t="n">
        <v>1685</v>
      </c>
      <c r="N1392" s="18" t="n">
        <v>1470</v>
      </c>
      <c r="O1392" s="14" t="s">
        <v>4446</v>
      </c>
      <c r="P1392" s="14" t="s">
        <v>118</v>
      </c>
      <c r="Q1392" s="15" t="s">
        <v>1089</v>
      </c>
      <c r="R1392" s="16" t="s">
        <v>9411</v>
      </c>
      <c r="S1392" s="15" t="s">
        <v>9412</v>
      </c>
      <c r="T1392" s="15" t="s">
        <v>9413</v>
      </c>
      <c r="U1392" s="21" t="s">
        <v>72</v>
      </c>
    </row>
    <row r="1393" customFormat="false" ht="26.85" hidden="false" customHeight="false" outlineLevel="0" collapsed="false">
      <c r="A1393" s="15" t="s">
        <v>850</v>
      </c>
      <c r="B1393" s="15" t="s">
        <v>9122</v>
      </c>
      <c r="C1393" s="14" t="s">
        <v>9414</v>
      </c>
      <c r="D1393" s="14" t="s">
        <v>9415</v>
      </c>
      <c r="E1393" s="16" t="s">
        <v>9416</v>
      </c>
      <c r="F1393" s="16" t="s">
        <v>9417</v>
      </c>
      <c r="G1393" s="23" t="s">
        <v>43</v>
      </c>
      <c r="H1393" s="18" t="n">
        <v>1</v>
      </c>
      <c r="I1393" s="20" t="n">
        <v>30</v>
      </c>
      <c r="J1393" s="20" t="n">
        <v>182.02</v>
      </c>
      <c r="K1393" s="18" t="n">
        <v>2</v>
      </c>
      <c r="L1393" s="18" t="n">
        <v>4</v>
      </c>
      <c r="M1393" s="18" t="n">
        <v>60</v>
      </c>
      <c r="N1393" s="18" t="n">
        <v>60</v>
      </c>
      <c r="O1393" s="14" t="s">
        <v>1088</v>
      </c>
      <c r="P1393" s="14" t="s">
        <v>84</v>
      </c>
      <c r="Q1393" s="15" t="s">
        <v>1089</v>
      </c>
      <c r="R1393" s="16" t="s">
        <v>6375</v>
      </c>
      <c r="S1393" s="15" t="s">
        <v>4869</v>
      </c>
      <c r="T1393" s="15" t="s">
        <v>9418</v>
      </c>
      <c r="U1393" s="21" t="s">
        <v>72</v>
      </c>
    </row>
    <row r="1394" customFormat="false" ht="15" hidden="false" customHeight="false" outlineLevel="0" collapsed="false">
      <c r="A1394" s="15" t="s">
        <v>850</v>
      </c>
      <c r="B1394" s="15" t="s">
        <v>9122</v>
      </c>
      <c r="C1394" s="14" t="s">
        <v>9419</v>
      </c>
      <c r="D1394" s="14" t="s">
        <v>9420</v>
      </c>
      <c r="E1394" s="16" t="s">
        <v>9421</v>
      </c>
      <c r="F1394" s="16"/>
      <c r="G1394" s="25" t="s">
        <v>39</v>
      </c>
      <c r="H1394" s="18" t="n">
        <v>11</v>
      </c>
      <c r="I1394" s="20" t="n">
        <v>421.28</v>
      </c>
      <c r="J1394" s="20" t="n">
        <v>709.28</v>
      </c>
      <c r="K1394" s="18" t="n">
        <v>11</v>
      </c>
      <c r="L1394" s="18" t="n">
        <v>18</v>
      </c>
      <c r="M1394" s="18" t="n">
        <v>264</v>
      </c>
      <c r="N1394" s="18" t="n">
        <v>216</v>
      </c>
      <c r="O1394" s="14" t="s">
        <v>4385</v>
      </c>
      <c r="P1394" s="14" t="s">
        <v>84</v>
      </c>
      <c r="Q1394" s="15" t="s">
        <v>1089</v>
      </c>
      <c r="R1394" s="16" t="s">
        <v>9422</v>
      </c>
      <c r="S1394" s="15" t="s">
        <v>9423</v>
      </c>
      <c r="T1394" s="15" t="s">
        <v>9424</v>
      </c>
      <c r="U1394" s="21" t="s">
        <v>72</v>
      </c>
    </row>
    <row r="1395" customFormat="false" ht="15" hidden="false" customHeight="false" outlineLevel="0" collapsed="false">
      <c r="A1395" s="15" t="s">
        <v>850</v>
      </c>
      <c r="B1395" s="15" t="s">
        <v>9122</v>
      </c>
      <c r="C1395" s="14" t="s">
        <v>9425</v>
      </c>
      <c r="D1395" s="14" t="s">
        <v>9426</v>
      </c>
      <c r="E1395" s="16" t="s">
        <v>9427</v>
      </c>
      <c r="F1395" s="16" t="s">
        <v>9428</v>
      </c>
      <c r="G1395" s="23" t="s">
        <v>43</v>
      </c>
      <c r="H1395" s="18" t="n">
        <v>2</v>
      </c>
      <c r="I1395" s="20" t="n">
        <v>42.88</v>
      </c>
      <c r="J1395" s="20" t="n">
        <v>124.96</v>
      </c>
      <c r="K1395" s="18" t="n">
        <v>8</v>
      </c>
      <c r="L1395" s="18" t="n">
        <v>4</v>
      </c>
      <c r="M1395" s="18" t="n">
        <v>160</v>
      </c>
      <c r="N1395" s="18" t="n">
        <v>40</v>
      </c>
      <c r="O1395" s="14" t="s">
        <v>4215</v>
      </c>
      <c r="P1395" s="14" t="s">
        <v>118</v>
      </c>
      <c r="Q1395" s="15" t="s">
        <v>1089</v>
      </c>
      <c r="R1395" s="16" t="s">
        <v>9429</v>
      </c>
      <c r="S1395" s="15" t="s">
        <v>9430</v>
      </c>
      <c r="T1395" s="15" t="s">
        <v>9430</v>
      </c>
      <c r="U1395" s="21" t="s">
        <v>72</v>
      </c>
    </row>
    <row r="1396" customFormat="false" ht="15" hidden="false" customHeight="false" outlineLevel="0" collapsed="false">
      <c r="A1396" s="15" t="s">
        <v>850</v>
      </c>
      <c r="B1396" s="15" t="s">
        <v>9122</v>
      </c>
      <c r="C1396" s="14" t="s">
        <v>9431</v>
      </c>
      <c r="D1396" s="14" t="s">
        <v>9432</v>
      </c>
      <c r="E1396" s="16" t="s">
        <v>9433</v>
      </c>
      <c r="F1396" s="16" t="s">
        <v>9434</v>
      </c>
      <c r="G1396" s="23" t="s">
        <v>43</v>
      </c>
      <c r="H1396" s="18" t="n">
        <v>3</v>
      </c>
      <c r="I1396" s="20" t="n">
        <v>46.89</v>
      </c>
      <c r="J1396" s="20" t="n">
        <v>100.93</v>
      </c>
      <c r="K1396" s="18" t="n">
        <v>4</v>
      </c>
      <c r="L1396" s="18" t="n">
        <v>3</v>
      </c>
      <c r="M1396" s="18" t="n">
        <v>60</v>
      </c>
      <c r="N1396" s="18" t="n">
        <v>60</v>
      </c>
      <c r="O1396" s="14" t="s">
        <v>8354</v>
      </c>
      <c r="P1396" s="14" t="s">
        <v>118</v>
      </c>
      <c r="Q1396" s="15" t="s">
        <v>1089</v>
      </c>
      <c r="R1396" s="16" t="s">
        <v>873</v>
      </c>
      <c r="S1396" s="15" t="s">
        <v>9435</v>
      </c>
      <c r="T1396" s="15" t="s">
        <v>9435</v>
      </c>
      <c r="U1396" s="21" t="s">
        <v>72</v>
      </c>
    </row>
    <row r="1397" customFormat="false" ht="15" hidden="false" customHeight="false" outlineLevel="0" collapsed="false">
      <c r="A1397" s="15" t="s">
        <v>850</v>
      </c>
      <c r="B1397" s="15" t="s">
        <v>9122</v>
      </c>
      <c r="C1397" s="14" t="s">
        <v>9436</v>
      </c>
      <c r="D1397" s="14" t="s">
        <v>9437</v>
      </c>
      <c r="E1397" s="16" t="s">
        <v>9438</v>
      </c>
      <c r="F1397" s="16" t="s">
        <v>9439</v>
      </c>
      <c r="G1397" s="19" t="s">
        <v>41</v>
      </c>
      <c r="H1397" s="18" t="n">
        <v>6</v>
      </c>
      <c r="I1397" s="20" t="n">
        <v>30</v>
      </c>
      <c r="J1397" s="20" t="n">
        <v>140.79</v>
      </c>
      <c r="K1397" s="18" t="n">
        <v>10</v>
      </c>
      <c r="L1397" s="18" t="n">
        <v>5</v>
      </c>
      <c r="M1397" s="18" t="n">
        <v>100</v>
      </c>
      <c r="N1397" s="18" t="n">
        <v>20</v>
      </c>
      <c r="O1397" s="14" t="s">
        <v>4385</v>
      </c>
      <c r="P1397" s="14" t="s">
        <v>84</v>
      </c>
      <c r="Q1397" s="15" t="s">
        <v>1089</v>
      </c>
      <c r="R1397" s="16" t="s">
        <v>9104</v>
      </c>
      <c r="S1397" s="15" t="s">
        <v>9440</v>
      </c>
      <c r="T1397" s="15" t="s">
        <v>9440</v>
      </c>
      <c r="U1397" s="21" t="s">
        <v>72</v>
      </c>
    </row>
    <row r="1398" customFormat="false" ht="15" hidden="false" customHeight="false" outlineLevel="0" collapsed="false">
      <c r="A1398" s="15" t="s">
        <v>850</v>
      </c>
      <c r="B1398" s="15" t="s">
        <v>9122</v>
      </c>
      <c r="C1398" s="14" t="s">
        <v>9441</v>
      </c>
      <c r="D1398" s="14" t="s">
        <v>9442</v>
      </c>
      <c r="E1398" s="16" t="s">
        <v>9443</v>
      </c>
      <c r="F1398" s="16" t="s">
        <v>9444</v>
      </c>
      <c r="G1398" s="23" t="s">
        <v>43</v>
      </c>
      <c r="H1398" s="18" t="n">
        <v>2</v>
      </c>
      <c r="I1398" s="20" t="n">
        <v>36.62</v>
      </c>
      <c r="J1398" s="20" t="n">
        <v>142.2</v>
      </c>
      <c r="K1398" s="18" t="n">
        <v>4</v>
      </c>
      <c r="L1398" s="18" t="n">
        <v>5</v>
      </c>
      <c r="M1398" s="18" t="n">
        <v>41</v>
      </c>
      <c r="N1398" s="18" t="n">
        <v>32</v>
      </c>
      <c r="O1398" s="14" t="s">
        <v>9445</v>
      </c>
      <c r="P1398" s="14" t="s">
        <v>118</v>
      </c>
      <c r="Q1398" s="15" t="s">
        <v>1089</v>
      </c>
      <c r="R1398" s="16" t="s">
        <v>9446</v>
      </c>
      <c r="S1398" s="15" t="s">
        <v>9447</v>
      </c>
      <c r="T1398" s="15" t="s">
        <v>9447</v>
      </c>
      <c r="U1398" s="21" t="s">
        <v>72</v>
      </c>
    </row>
    <row r="1399" customFormat="false" ht="15" hidden="false" customHeight="false" outlineLevel="0" collapsed="false">
      <c r="A1399" s="15" t="s">
        <v>850</v>
      </c>
      <c r="B1399" s="15" t="s">
        <v>9122</v>
      </c>
      <c r="C1399" s="14" t="s">
        <v>9448</v>
      </c>
      <c r="D1399" s="14" t="s">
        <v>9449</v>
      </c>
      <c r="E1399" s="16" t="s">
        <v>9450</v>
      </c>
      <c r="F1399" s="16" t="s">
        <v>9451</v>
      </c>
      <c r="G1399" s="23" t="s">
        <v>43</v>
      </c>
      <c r="H1399" s="18" t="n">
        <v>4</v>
      </c>
      <c r="I1399" s="20" t="n">
        <v>85.72</v>
      </c>
      <c r="J1399" s="20" t="n">
        <v>119.92</v>
      </c>
      <c r="K1399" s="18" t="n">
        <v>4</v>
      </c>
      <c r="L1399" s="18" t="n">
        <v>5</v>
      </c>
      <c r="M1399" s="18" t="n">
        <v>84</v>
      </c>
      <c r="N1399" s="18" t="n">
        <v>42</v>
      </c>
      <c r="O1399" s="14" t="s">
        <v>4343</v>
      </c>
      <c r="P1399" s="14" t="s">
        <v>118</v>
      </c>
      <c r="Q1399" s="15" t="s">
        <v>1089</v>
      </c>
      <c r="R1399" s="16" t="s">
        <v>9452</v>
      </c>
      <c r="S1399" s="15" t="s">
        <v>9453</v>
      </c>
      <c r="T1399" s="15" t="s">
        <v>9454</v>
      </c>
      <c r="U1399" s="21" t="s">
        <v>72</v>
      </c>
    </row>
    <row r="1400" customFormat="false" ht="26.85" hidden="false" customHeight="false" outlineLevel="0" collapsed="false">
      <c r="A1400" s="15" t="s">
        <v>850</v>
      </c>
      <c r="B1400" s="15" t="s">
        <v>9455</v>
      </c>
      <c r="C1400" s="14" t="s">
        <v>9456</v>
      </c>
      <c r="D1400" s="14" t="s">
        <v>9457</v>
      </c>
      <c r="E1400" s="16" t="s">
        <v>9458</v>
      </c>
      <c r="F1400" s="16"/>
      <c r="G1400" s="23" t="s">
        <v>43</v>
      </c>
      <c r="H1400" s="18" t="n">
        <v>2</v>
      </c>
      <c r="I1400" s="20" t="n">
        <v>37</v>
      </c>
      <c r="J1400" s="20" t="n">
        <v>89.51</v>
      </c>
      <c r="K1400" s="18" t="n">
        <v>3</v>
      </c>
      <c r="L1400" s="18" t="n">
        <v>1</v>
      </c>
      <c r="M1400" s="18" t="n">
        <v>45</v>
      </c>
      <c r="N1400" s="18" t="n">
        <v>15</v>
      </c>
      <c r="O1400" s="14" t="s">
        <v>4276</v>
      </c>
      <c r="P1400" s="14" t="s">
        <v>906</v>
      </c>
      <c r="Q1400" s="15" t="s">
        <v>1089</v>
      </c>
      <c r="R1400" s="16" t="s">
        <v>9459</v>
      </c>
      <c r="S1400" s="15" t="s">
        <v>9460</v>
      </c>
      <c r="T1400" s="15" t="s">
        <v>9460</v>
      </c>
      <c r="U1400" s="21" t="s">
        <v>72</v>
      </c>
    </row>
    <row r="1401" customFormat="false" ht="15" hidden="false" customHeight="false" outlineLevel="0" collapsed="false">
      <c r="A1401" s="15" t="s">
        <v>850</v>
      </c>
      <c r="B1401" s="15" t="s">
        <v>9461</v>
      </c>
      <c r="C1401" s="14" t="s">
        <v>9462</v>
      </c>
      <c r="D1401" s="14" t="s">
        <v>9463</v>
      </c>
      <c r="E1401" s="16" t="s">
        <v>9464</v>
      </c>
      <c r="F1401" s="16"/>
      <c r="G1401" s="23" t="s">
        <v>43</v>
      </c>
      <c r="H1401" s="18" t="n">
        <v>2</v>
      </c>
      <c r="I1401" s="20" t="n">
        <v>75.27</v>
      </c>
      <c r="J1401" s="20" t="n">
        <v>168.18</v>
      </c>
      <c r="K1401" s="18" t="n">
        <v>2</v>
      </c>
      <c r="L1401" s="18" t="n">
        <v>3</v>
      </c>
      <c r="M1401" s="18" t="n">
        <v>34</v>
      </c>
      <c r="N1401" s="18" t="n">
        <v>34</v>
      </c>
      <c r="O1401" s="14" t="s">
        <v>1088</v>
      </c>
      <c r="P1401" s="14" t="s">
        <v>84</v>
      </c>
      <c r="Q1401" s="15" t="s">
        <v>1089</v>
      </c>
      <c r="R1401" s="16" t="s">
        <v>9465</v>
      </c>
      <c r="S1401" s="15" t="s">
        <v>9466</v>
      </c>
      <c r="T1401" s="15" t="s">
        <v>9466</v>
      </c>
      <c r="U1401" s="21" t="s">
        <v>72</v>
      </c>
    </row>
    <row r="1402" customFormat="false" ht="15" hidden="false" customHeight="false" outlineLevel="0" collapsed="false">
      <c r="A1402" s="15" t="s">
        <v>850</v>
      </c>
      <c r="B1402" s="15" t="s">
        <v>9461</v>
      </c>
      <c r="C1402" s="14" t="s">
        <v>9467</v>
      </c>
      <c r="D1402" s="14" t="s">
        <v>9468</v>
      </c>
      <c r="E1402" s="16" t="s">
        <v>9469</v>
      </c>
      <c r="F1402" s="16"/>
      <c r="G1402" s="23" t="s">
        <v>43</v>
      </c>
      <c r="H1402" s="18" t="n">
        <v>3</v>
      </c>
      <c r="I1402" s="20" t="n">
        <v>55.32</v>
      </c>
      <c r="J1402" s="20" t="n">
        <v>117.46</v>
      </c>
      <c r="K1402" s="18" t="n">
        <v>4</v>
      </c>
      <c r="L1402" s="18" t="n">
        <v>3</v>
      </c>
      <c r="M1402" s="18" t="n">
        <v>128</v>
      </c>
      <c r="N1402" s="18" t="n">
        <v>64</v>
      </c>
      <c r="O1402" s="14" t="s">
        <v>6730</v>
      </c>
      <c r="P1402" s="14" t="s">
        <v>118</v>
      </c>
      <c r="Q1402" s="15" t="s">
        <v>1089</v>
      </c>
      <c r="R1402" s="16" t="s">
        <v>9470</v>
      </c>
      <c r="S1402" s="15" t="s">
        <v>9471</v>
      </c>
      <c r="T1402" s="15" t="s">
        <v>9471</v>
      </c>
      <c r="U1402" s="21" t="s">
        <v>72</v>
      </c>
    </row>
    <row r="1403" customFormat="false" ht="15" hidden="false" customHeight="false" outlineLevel="0" collapsed="false">
      <c r="A1403" s="15" t="s">
        <v>850</v>
      </c>
      <c r="B1403" s="15" t="s">
        <v>9461</v>
      </c>
      <c r="C1403" s="14" t="s">
        <v>9472</v>
      </c>
      <c r="D1403" s="14" t="s">
        <v>9473</v>
      </c>
      <c r="E1403" s="16" t="s">
        <v>9474</v>
      </c>
      <c r="F1403" s="16"/>
      <c r="G1403" s="23" t="s">
        <v>43</v>
      </c>
      <c r="H1403" s="18" t="n">
        <v>2</v>
      </c>
      <c r="I1403" s="20" t="n">
        <v>43.51</v>
      </c>
      <c r="J1403" s="20" t="n">
        <v>92.24</v>
      </c>
      <c r="K1403" s="18" t="n">
        <v>3</v>
      </c>
      <c r="L1403" s="18" t="n">
        <v>1</v>
      </c>
      <c r="M1403" s="18" t="n">
        <v>36</v>
      </c>
      <c r="N1403" s="18" t="n">
        <v>9</v>
      </c>
      <c r="O1403" s="14" t="s">
        <v>1097</v>
      </c>
      <c r="P1403" s="14" t="s">
        <v>118</v>
      </c>
      <c r="Q1403" s="15" t="s">
        <v>1089</v>
      </c>
      <c r="R1403" s="16" t="s">
        <v>9475</v>
      </c>
      <c r="S1403" s="15" t="s">
        <v>9476</v>
      </c>
      <c r="T1403" s="15" t="s">
        <v>9476</v>
      </c>
      <c r="U1403" s="21" t="s">
        <v>72</v>
      </c>
    </row>
    <row r="1404" customFormat="false" ht="15" hidden="false" customHeight="false" outlineLevel="0" collapsed="false">
      <c r="A1404" s="15" t="s">
        <v>850</v>
      </c>
      <c r="B1404" s="15" t="s">
        <v>9461</v>
      </c>
      <c r="C1404" s="14" t="s">
        <v>9477</v>
      </c>
      <c r="D1404" s="14" t="s">
        <v>9478</v>
      </c>
      <c r="E1404" s="16" t="s">
        <v>9479</v>
      </c>
      <c r="F1404" s="16"/>
      <c r="G1404" s="23" t="s">
        <v>43</v>
      </c>
      <c r="H1404" s="18" t="n">
        <v>3</v>
      </c>
      <c r="I1404" s="20" t="n">
        <v>62.67</v>
      </c>
      <c r="J1404" s="20" t="n">
        <v>123.89</v>
      </c>
      <c r="K1404" s="18" t="n">
        <v>4</v>
      </c>
      <c r="L1404" s="18" t="n">
        <v>1</v>
      </c>
      <c r="M1404" s="18" t="n">
        <v>75</v>
      </c>
      <c r="N1404" s="18" t="n">
        <v>48</v>
      </c>
      <c r="O1404" s="14" t="s">
        <v>1088</v>
      </c>
      <c r="P1404" s="14" t="s">
        <v>118</v>
      </c>
      <c r="Q1404" s="15" t="s">
        <v>1089</v>
      </c>
      <c r="R1404" s="16" t="s">
        <v>6687</v>
      </c>
      <c r="S1404" s="15" t="s">
        <v>9480</v>
      </c>
      <c r="T1404" s="15" t="s">
        <v>9480</v>
      </c>
      <c r="U1404" s="21" t="s">
        <v>72</v>
      </c>
    </row>
    <row r="1405" customFormat="false" ht="15" hidden="false" customHeight="false" outlineLevel="0" collapsed="false">
      <c r="A1405" s="15" t="s">
        <v>850</v>
      </c>
      <c r="B1405" s="15" t="s">
        <v>9461</v>
      </c>
      <c r="C1405" s="14" t="s">
        <v>9481</v>
      </c>
      <c r="D1405" s="14" t="s">
        <v>9482</v>
      </c>
      <c r="E1405" s="16" t="s">
        <v>9483</v>
      </c>
      <c r="F1405" s="16"/>
      <c r="G1405" s="23" t="s">
        <v>43</v>
      </c>
      <c r="H1405" s="18" t="n">
        <v>2</v>
      </c>
      <c r="I1405" s="20" t="n">
        <v>41.7588</v>
      </c>
      <c r="J1405" s="20" t="n">
        <v>132</v>
      </c>
      <c r="K1405" s="18" t="n">
        <v>4</v>
      </c>
      <c r="L1405" s="18" t="n">
        <v>1</v>
      </c>
      <c r="M1405" s="18" t="n">
        <v>136</v>
      </c>
      <c r="N1405" s="18" t="n">
        <v>68</v>
      </c>
      <c r="O1405" s="14" t="s">
        <v>1088</v>
      </c>
      <c r="P1405" s="14" t="s">
        <v>118</v>
      </c>
      <c r="Q1405" s="15" t="s">
        <v>1089</v>
      </c>
      <c r="R1405" s="16" t="s">
        <v>5314</v>
      </c>
      <c r="S1405" s="15" t="s">
        <v>9484</v>
      </c>
      <c r="T1405" s="15" t="s">
        <v>9484</v>
      </c>
      <c r="U1405" s="21" t="s">
        <v>72</v>
      </c>
    </row>
    <row r="1406" customFormat="false" ht="39.55" hidden="false" customHeight="false" outlineLevel="0" collapsed="false">
      <c r="A1406" s="15" t="s">
        <v>850</v>
      </c>
      <c r="B1406" s="15" t="s">
        <v>9461</v>
      </c>
      <c r="C1406" s="14" t="s">
        <v>9485</v>
      </c>
      <c r="D1406" s="14" t="s">
        <v>9486</v>
      </c>
      <c r="E1406" s="16" t="s">
        <v>9487</v>
      </c>
      <c r="F1406" s="16"/>
      <c r="G1406" s="19" t="s">
        <v>41</v>
      </c>
      <c r="H1406" s="18" t="n">
        <v>5</v>
      </c>
      <c r="I1406" s="20" t="n">
        <v>101.61</v>
      </c>
      <c r="J1406" s="20" t="n">
        <v>197.62</v>
      </c>
      <c r="K1406" s="18" t="n">
        <v>8</v>
      </c>
      <c r="L1406" s="18" t="n">
        <v>7</v>
      </c>
      <c r="M1406" s="18" t="n">
        <v>264</v>
      </c>
      <c r="N1406" s="18" t="n">
        <v>68</v>
      </c>
      <c r="O1406" s="14" t="s">
        <v>1088</v>
      </c>
      <c r="P1406" s="14" t="s">
        <v>952</v>
      </c>
      <c r="Q1406" s="15" t="s">
        <v>1089</v>
      </c>
      <c r="R1406" s="16" t="s">
        <v>7255</v>
      </c>
      <c r="S1406" s="15" t="s">
        <v>9488</v>
      </c>
      <c r="T1406" s="15" t="s">
        <v>9488</v>
      </c>
      <c r="U1406" s="21" t="s">
        <v>72</v>
      </c>
    </row>
    <row r="1407" customFormat="false" ht="15" hidden="false" customHeight="false" outlineLevel="0" collapsed="false">
      <c r="A1407" s="15" t="s">
        <v>850</v>
      </c>
      <c r="B1407" s="15" t="s">
        <v>851</v>
      </c>
      <c r="C1407" s="14" t="s">
        <v>9489</v>
      </c>
      <c r="D1407" s="14" t="s">
        <v>9490</v>
      </c>
      <c r="E1407" s="16" t="s">
        <v>9491</v>
      </c>
      <c r="F1407" s="16" t="s">
        <v>4214</v>
      </c>
      <c r="G1407" s="19" t="s">
        <v>41</v>
      </c>
      <c r="H1407" s="18" t="n">
        <v>4</v>
      </c>
      <c r="I1407" s="20" t="n">
        <v>105.02</v>
      </c>
      <c r="J1407" s="20" t="n">
        <v>397.1</v>
      </c>
      <c r="K1407" s="18" t="n">
        <v>4</v>
      </c>
      <c r="L1407" s="18" t="n">
        <v>19</v>
      </c>
      <c r="M1407" s="18" t="n">
        <v>97</v>
      </c>
      <c r="N1407" s="18" t="n">
        <v>52</v>
      </c>
      <c r="O1407" s="14" t="s">
        <v>4215</v>
      </c>
      <c r="P1407" s="14" t="s">
        <v>118</v>
      </c>
      <c r="Q1407" s="15" t="s">
        <v>1089</v>
      </c>
      <c r="R1407" s="16" t="s">
        <v>9492</v>
      </c>
      <c r="S1407" s="15" t="s">
        <v>4217</v>
      </c>
      <c r="T1407" s="15" t="s">
        <v>9493</v>
      </c>
      <c r="U1407" s="21" t="s">
        <v>72</v>
      </c>
    </row>
    <row r="1408" customFormat="false" ht="15" hidden="false" customHeight="false" outlineLevel="0" collapsed="false">
      <c r="A1408" s="15" t="s">
        <v>850</v>
      </c>
      <c r="B1408" s="15" t="s">
        <v>851</v>
      </c>
      <c r="C1408" s="14" t="s">
        <v>969</v>
      </c>
      <c r="D1408" s="14" t="s">
        <v>9494</v>
      </c>
      <c r="E1408" s="16" t="s">
        <v>9495</v>
      </c>
      <c r="F1408" s="16" t="s">
        <v>972</v>
      </c>
      <c r="G1408" s="19" t="s">
        <v>41</v>
      </c>
      <c r="H1408" s="18" t="n">
        <v>6</v>
      </c>
      <c r="I1408" s="20" t="n">
        <v>122.73</v>
      </c>
      <c r="J1408" s="20" t="n">
        <v>275.39</v>
      </c>
      <c r="K1408" s="18" t="n">
        <v>3</v>
      </c>
      <c r="L1408" s="18" t="n">
        <v>6</v>
      </c>
      <c r="M1408" s="18" t="n">
        <v>84</v>
      </c>
      <c r="N1408" s="18" t="n">
        <v>84</v>
      </c>
      <c r="O1408" s="14" t="s">
        <v>1126</v>
      </c>
      <c r="P1408" s="14" t="s">
        <v>84</v>
      </c>
      <c r="Q1408" s="15" t="s">
        <v>1089</v>
      </c>
      <c r="R1408" s="16" t="s">
        <v>973</v>
      </c>
      <c r="S1408" s="15" t="s">
        <v>974</v>
      </c>
      <c r="T1408" s="15" t="s">
        <v>975</v>
      </c>
      <c r="U1408" s="21" t="s">
        <v>72</v>
      </c>
    </row>
    <row r="1409" customFormat="false" ht="15" hidden="false" customHeight="false" outlineLevel="0" collapsed="false">
      <c r="A1409" s="15" t="s">
        <v>850</v>
      </c>
      <c r="B1409" s="15" t="s">
        <v>851</v>
      </c>
      <c r="C1409" s="14" t="s">
        <v>9496</v>
      </c>
      <c r="D1409" s="14" t="s">
        <v>9497</v>
      </c>
      <c r="E1409" s="16" t="s">
        <v>9498</v>
      </c>
      <c r="F1409" s="16"/>
      <c r="G1409" s="19" t="s">
        <v>41</v>
      </c>
      <c r="H1409" s="18" t="n">
        <v>4</v>
      </c>
      <c r="I1409" s="20" t="n">
        <v>86</v>
      </c>
      <c r="J1409" s="20" t="n">
        <v>203.01</v>
      </c>
      <c r="K1409" s="18" t="n">
        <v>4</v>
      </c>
      <c r="L1409" s="18" t="n">
        <v>1</v>
      </c>
      <c r="M1409" s="18" t="n">
        <v>142</v>
      </c>
      <c r="N1409" s="18" t="n">
        <v>142</v>
      </c>
      <c r="O1409" s="14" t="s">
        <v>9499</v>
      </c>
      <c r="P1409" s="14" t="s">
        <v>118</v>
      </c>
      <c r="Q1409" s="15" t="s">
        <v>1089</v>
      </c>
      <c r="R1409" s="16" t="s">
        <v>9500</v>
      </c>
      <c r="S1409" s="15" t="s">
        <v>4337</v>
      </c>
      <c r="T1409" s="15" t="s">
        <v>4337</v>
      </c>
      <c r="U1409" s="21" t="s">
        <v>72</v>
      </c>
    </row>
    <row r="1410" customFormat="false" ht="26.85" hidden="false" customHeight="false" outlineLevel="0" collapsed="false">
      <c r="A1410" s="15" t="s">
        <v>850</v>
      </c>
      <c r="B1410" s="15" t="s">
        <v>851</v>
      </c>
      <c r="C1410" s="14" t="s">
        <v>9501</v>
      </c>
      <c r="D1410" s="14" t="s">
        <v>9502</v>
      </c>
      <c r="E1410" s="16" t="s">
        <v>9503</v>
      </c>
      <c r="F1410" s="16" t="s">
        <v>9504</v>
      </c>
      <c r="G1410" s="23" t="s">
        <v>43</v>
      </c>
      <c r="H1410" s="18" t="n">
        <v>2</v>
      </c>
      <c r="I1410" s="20" t="n">
        <v>145.13</v>
      </c>
      <c r="J1410" s="20" t="n">
        <v>195.08</v>
      </c>
      <c r="K1410" s="18" t="n">
        <v>5</v>
      </c>
      <c r="L1410" s="18" t="n">
        <v>9</v>
      </c>
      <c r="M1410" s="18" t="n">
        <v>300</v>
      </c>
      <c r="N1410" s="18" t="n">
        <v>300</v>
      </c>
      <c r="O1410" s="14" t="s">
        <v>9505</v>
      </c>
      <c r="P1410" s="14" t="s">
        <v>84</v>
      </c>
      <c r="Q1410" s="15" t="s">
        <v>1089</v>
      </c>
      <c r="R1410" s="16" t="s">
        <v>6502</v>
      </c>
      <c r="S1410" s="15" t="s">
        <v>4217</v>
      </c>
      <c r="T1410" s="15" t="s">
        <v>9506</v>
      </c>
      <c r="U1410" s="21" t="s">
        <v>72</v>
      </c>
    </row>
    <row r="1411" customFormat="false" ht="15" hidden="false" customHeight="false" outlineLevel="0" collapsed="false">
      <c r="A1411" s="15" t="s">
        <v>850</v>
      </c>
      <c r="B1411" s="15" t="s">
        <v>851</v>
      </c>
      <c r="C1411" s="14" t="s">
        <v>849</v>
      </c>
      <c r="D1411" s="14" t="s">
        <v>9507</v>
      </c>
      <c r="E1411" s="16" t="s">
        <v>9508</v>
      </c>
      <c r="F1411" s="16" t="s">
        <v>854</v>
      </c>
      <c r="G1411" s="19" t="s">
        <v>41</v>
      </c>
      <c r="H1411" s="18" t="n">
        <v>3</v>
      </c>
      <c r="I1411" s="20" t="n">
        <v>85</v>
      </c>
      <c r="J1411" s="20" t="n">
        <v>234.45</v>
      </c>
      <c r="K1411" s="18" t="n">
        <v>4</v>
      </c>
      <c r="L1411" s="18" t="n">
        <v>8</v>
      </c>
      <c r="M1411" s="18" t="n">
        <v>84</v>
      </c>
      <c r="N1411" s="18"/>
      <c r="O1411" s="13"/>
      <c r="P1411" s="14" t="s">
        <v>94</v>
      </c>
      <c r="Q1411" s="15" t="s">
        <v>1089</v>
      </c>
      <c r="R1411" s="16" t="s">
        <v>855</v>
      </c>
      <c r="S1411" s="15" t="s">
        <v>856</v>
      </c>
      <c r="T1411" s="15" t="s">
        <v>856</v>
      </c>
      <c r="U1411" s="21" t="s">
        <v>72</v>
      </c>
    </row>
    <row r="1412" customFormat="false" ht="15" hidden="false" customHeight="false" outlineLevel="0" collapsed="false">
      <c r="A1412" s="15" t="s">
        <v>850</v>
      </c>
      <c r="B1412" s="15" t="s">
        <v>851</v>
      </c>
      <c r="C1412" s="14" t="s">
        <v>9509</v>
      </c>
      <c r="D1412" s="14" t="s">
        <v>9510</v>
      </c>
      <c r="E1412" s="16" t="s">
        <v>9511</v>
      </c>
      <c r="F1412" s="16" t="s">
        <v>4282</v>
      </c>
      <c r="G1412" s="19" t="s">
        <v>41</v>
      </c>
      <c r="H1412" s="18" t="n">
        <v>4</v>
      </c>
      <c r="I1412" s="20" t="n">
        <v>163.17</v>
      </c>
      <c r="J1412" s="20" t="n">
        <v>360.35</v>
      </c>
      <c r="K1412" s="18" t="n">
        <v>17</v>
      </c>
      <c r="L1412" s="18" t="n">
        <v>5</v>
      </c>
      <c r="M1412" s="18" t="n">
        <v>919</v>
      </c>
      <c r="N1412" s="18" t="n">
        <v>851</v>
      </c>
      <c r="O1412" s="14" t="s">
        <v>1088</v>
      </c>
      <c r="P1412" s="14" t="s">
        <v>84</v>
      </c>
      <c r="Q1412" s="15" t="s">
        <v>1089</v>
      </c>
      <c r="R1412" s="16" t="s">
        <v>9512</v>
      </c>
      <c r="S1412" s="15" t="s">
        <v>6817</v>
      </c>
      <c r="T1412" s="15" t="s">
        <v>9513</v>
      </c>
      <c r="U1412" s="21" t="s">
        <v>72</v>
      </c>
    </row>
    <row r="1413" customFormat="false" ht="15" hidden="false" customHeight="false" outlineLevel="0" collapsed="false">
      <c r="A1413" s="15" t="s">
        <v>850</v>
      </c>
      <c r="B1413" s="15" t="s">
        <v>851</v>
      </c>
      <c r="C1413" s="14" t="s">
        <v>9514</v>
      </c>
      <c r="D1413" s="14" t="s">
        <v>9515</v>
      </c>
      <c r="E1413" s="16" t="s">
        <v>9516</v>
      </c>
      <c r="F1413" s="16" t="s">
        <v>9517</v>
      </c>
      <c r="G1413" s="23" t="s">
        <v>43</v>
      </c>
      <c r="H1413" s="18" t="n">
        <v>2</v>
      </c>
      <c r="I1413" s="20" t="n">
        <v>32.57</v>
      </c>
      <c r="J1413" s="20" t="n">
        <v>143.94</v>
      </c>
      <c r="K1413" s="18" t="n">
        <v>4</v>
      </c>
      <c r="L1413" s="18" t="n">
        <v>6</v>
      </c>
      <c r="M1413" s="18" t="n">
        <v>104</v>
      </c>
      <c r="N1413" s="18" t="n">
        <v>104</v>
      </c>
      <c r="O1413" s="14" t="s">
        <v>1088</v>
      </c>
      <c r="P1413" s="14" t="s">
        <v>84</v>
      </c>
      <c r="Q1413" s="15" t="s">
        <v>1089</v>
      </c>
      <c r="R1413" s="16" t="s">
        <v>5895</v>
      </c>
      <c r="S1413" s="15" t="s">
        <v>9518</v>
      </c>
      <c r="T1413" s="15" t="s">
        <v>9519</v>
      </c>
      <c r="U1413" s="21" t="s">
        <v>72</v>
      </c>
    </row>
    <row r="1414" customFormat="false" ht="15" hidden="false" customHeight="false" outlineLevel="0" collapsed="false">
      <c r="A1414" s="15" t="s">
        <v>850</v>
      </c>
      <c r="B1414" s="15" t="s">
        <v>851</v>
      </c>
      <c r="C1414" s="14" t="s">
        <v>920</v>
      </c>
      <c r="D1414" s="14" t="s">
        <v>9520</v>
      </c>
      <c r="E1414" s="16" t="s">
        <v>9521</v>
      </c>
      <c r="F1414" s="16"/>
      <c r="G1414" s="23" t="s">
        <v>43</v>
      </c>
      <c r="H1414" s="18" t="n">
        <v>1</v>
      </c>
      <c r="I1414" s="20" t="n">
        <v>30</v>
      </c>
      <c r="J1414" s="20" t="n">
        <v>78.99</v>
      </c>
      <c r="K1414" s="18" t="n">
        <v>1</v>
      </c>
      <c r="L1414" s="18" t="n">
        <v>2</v>
      </c>
      <c r="M1414" s="18" t="n">
        <v>24</v>
      </c>
      <c r="N1414" s="18" t="n">
        <v>24</v>
      </c>
      <c r="O1414" s="14" t="s">
        <v>4223</v>
      </c>
      <c r="P1414" s="14" t="s">
        <v>84</v>
      </c>
      <c r="Q1414" s="15" t="s">
        <v>1089</v>
      </c>
      <c r="R1414" s="16" t="s">
        <v>9522</v>
      </c>
      <c r="S1414" s="15" t="s">
        <v>9523</v>
      </c>
      <c r="T1414" s="15" t="s">
        <v>9523</v>
      </c>
      <c r="U1414" s="21" t="s">
        <v>72</v>
      </c>
    </row>
    <row r="1415" customFormat="false" ht="26.85" hidden="false" customHeight="false" outlineLevel="0" collapsed="false">
      <c r="A1415" s="15" t="s">
        <v>850</v>
      </c>
      <c r="B1415" s="15" t="s">
        <v>851</v>
      </c>
      <c r="C1415" s="14" t="s">
        <v>9524</v>
      </c>
      <c r="D1415" s="14" t="s">
        <v>9525</v>
      </c>
      <c r="E1415" s="16" t="s">
        <v>9526</v>
      </c>
      <c r="F1415" s="16"/>
      <c r="G1415" s="25" t="s">
        <v>39</v>
      </c>
      <c r="H1415" s="18" t="n">
        <v>9</v>
      </c>
      <c r="I1415" s="20" t="n">
        <v>125.43</v>
      </c>
      <c r="J1415" s="20" t="n">
        <v>236.01</v>
      </c>
      <c r="K1415" s="18" t="n">
        <v>10</v>
      </c>
      <c r="L1415" s="18" t="n">
        <v>4</v>
      </c>
      <c r="M1415" s="18" t="n">
        <v>162</v>
      </c>
      <c r="N1415" s="18" t="n">
        <v>68</v>
      </c>
      <c r="O1415" s="14" t="s">
        <v>4223</v>
      </c>
      <c r="P1415" s="14" t="s">
        <v>906</v>
      </c>
      <c r="Q1415" s="15" t="s">
        <v>1089</v>
      </c>
      <c r="R1415" s="16" t="s">
        <v>651</v>
      </c>
      <c r="S1415" s="15" t="s">
        <v>9527</v>
      </c>
      <c r="T1415" s="15" t="s">
        <v>9528</v>
      </c>
      <c r="U1415" s="21" t="s">
        <v>72</v>
      </c>
    </row>
    <row r="1416" customFormat="false" ht="15" hidden="false" customHeight="false" outlineLevel="0" collapsed="false">
      <c r="A1416" s="15" t="s">
        <v>850</v>
      </c>
      <c r="B1416" s="15" t="s">
        <v>851</v>
      </c>
      <c r="C1416" s="14" t="s">
        <v>9529</v>
      </c>
      <c r="D1416" s="14" t="s">
        <v>9530</v>
      </c>
      <c r="E1416" s="16" t="s">
        <v>9531</v>
      </c>
      <c r="F1416" s="16" t="s">
        <v>9532</v>
      </c>
      <c r="G1416" s="19" t="s">
        <v>41</v>
      </c>
      <c r="H1416" s="18" t="n">
        <v>4</v>
      </c>
      <c r="I1416" s="20" t="n">
        <v>84.83</v>
      </c>
      <c r="J1416" s="20" t="n">
        <v>210.26</v>
      </c>
      <c r="K1416" s="18" t="n">
        <v>4</v>
      </c>
      <c r="L1416" s="18" t="n">
        <v>29</v>
      </c>
      <c r="M1416" s="18" t="n">
        <v>104</v>
      </c>
      <c r="N1416" s="18" t="n">
        <v>104</v>
      </c>
      <c r="O1416" s="14" t="s">
        <v>9533</v>
      </c>
      <c r="P1416" s="14" t="s">
        <v>118</v>
      </c>
      <c r="Q1416" s="15" t="s">
        <v>1089</v>
      </c>
      <c r="R1416" s="16" t="s">
        <v>9534</v>
      </c>
      <c r="S1416" s="15" t="s">
        <v>9535</v>
      </c>
      <c r="T1416" s="15" t="s">
        <v>9536</v>
      </c>
      <c r="U1416" s="21" t="s">
        <v>72</v>
      </c>
    </row>
    <row r="1417" customFormat="false" ht="15" hidden="false" customHeight="false" outlineLevel="0" collapsed="false">
      <c r="A1417" s="15" t="s">
        <v>850</v>
      </c>
      <c r="B1417" s="15" t="s">
        <v>851</v>
      </c>
      <c r="C1417" s="14" t="s">
        <v>9537</v>
      </c>
      <c r="D1417" s="14" t="s">
        <v>9538</v>
      </c>
      <c r="E1417" s="16" t="s">
        <v>9539</v>
      </c>
      <c r="F1417" s="16"/>
      <c r="G1417" s="19" t="s">
        <v>41</v>
      </c>
      <c r="H1417" s="18" t="n">
        <v>3</v>
      </c>
      <c r="I1417" s="20" t="n">
        <v>73.2</v>
      </c>
      <c r="J1417" s="20" t="n">
        <v>248.23</v>
      </c>
      <c r="K1417" s="18" t="n">
        <v>3</v>
      </c>
      <c r="L1417" s="18" t="n">
        <v>1</v>
      </c>
      <c r="M1417" s="18" t="n">
        <v>135</v>
      </c>
      <c r="N1417" s="18" t="n">
        <v>135</v>
      </c>
      <c r="O1417" s="14" t="s">
        <v>4223</v>
      </c>
      <c r="P1417" s="14" t="s">
        <v>84</v>
      </c>
      <c r="Q1417" s="15" t="s">
        <v>1089</v>
      </c>
      <c r="R1417" s="16" t="s">
        <v>9500</v>
      </c>
      <c r="S1417" s="15" t="s">
        <v>9540</v>
      </c>
      <c r="T1417" s="15" t="s">
        <v>9541</v>
      </c>
      <c r="U1417" s="21" t="s">
        <v>72</v>
      </c>
    </row>
    <row r="1418" customFormat="false" ht="15" hidden="false" customHeight="false" outlineLevel="0" collapsed="false">
      <c r="A1418" s="15" t="s">
        <v>850</v>
      </c>
      <c r="B1418" s="15" t="s">
        <v>851</v>
      </c>
      <c r="C1418" s="14" t="s">
        <v>9542</v>
      </c>
      <c r="D1418" s="14" t="s">
        <v>9543</v>
      </c>
      <c r="E1418" s="16" t="s">
        <v>9544</v>
      </c>
      <c r="F1418" s="16"/>
      <c r="G1418" s="23" t="s">
        <v>43</v>
      </c>
      <c r="H1418" s="18" t="n">
        <v>3</v>
      </c>
      <c r="I1418" s="20" t="n">
        <v>62.71</v>
      </c>
      <c r="J1418" s="20" t="n">
        <v>93.11</v>
      </c>
      <c r="K1418" s="18" t="n">
        <v>2</v>
      </c>
      <c r="L1418" s="18" t="n">
        <v>1</v>
      </c>
      <c r="M1418" s="18" t="n">
        <v>38</v>
      </c>
      <c r="N1418" s="18" t="n">
        <v>38</v>
      </c>
      <c r="O1418" s="14" t="s">
        <v>4215</v>
      </c>
      <c r="P1418" s="14" t="s">
        <v>118</v>
      </c>
      <c r="Q1418" s="15" t="s">
        <v>1089</v>
      </c>
      <c r="R1418" s="16" t="s">
        <v>8007</v>
      </c>
      <c r="S1418" s="15" t="s">
        <v>9545</v>
      </c>
      <c r="T1418" s="15" t="s">
        <v>9546</v>
      </c>
      <c r="U1418" s="21" t="s">
        <v>72</v>
      </c>
    </row>
    <row r="1419" customFormat="false" ht="39.55" hidden="false" customHeight="false" outlineLevel="0" collapsed="false">
      <c r="A1419" s="15" t="s">
        <v>850</v>
      </c>
      <c r="B1419" s="15" t="s">
        <v>851</v>
      </c>
      <c r="C1419" s="14" t="s">
        <v>948</v>
      </c>
      <c r="D1419" s="14" t="s">
        <v>9547</v>
      </c>
      <c r="E1419" s="16" t="s">
        <v>9548</v>
      </c>
      <c r="F1419" s="16" t="s">
        <v>951</v>
      </c>
      <c r="G1419" s="23" t="s">
        <v>43</v>
      </c>
      <c r="H1419" s="18" t="n">
        <v>3</v>
      </c>
      <c r="I1419" s="20" t="n">
        <v>42.7875</v>
      </c>
      <c r="J1419" s="20" t="n">
        <v>158.42</v>
      </c>
      <c r="K1419" s="18" t="n">
        <v>20</v>
      </c>
      <c r="L1419" s="18" t="n">
        <v>10</v>
      </c>
      <c r="M1419" s="18" t="n">
        <v>266</v>
      </c>
      <c r="N1419" s="18" t="n">
        <v>128</v>
      </c>
      <c r="O1419" s="14" t="s">
        <v>4935</v>
      </c>
      <c r="P1419" s="14" t="s">
        <v>952</v>
      </c>
      <c r="Q1419" s="15" t="s">
        <v>1089</v>
      </c>
      <c r="R1419" s="16" t="s">
        <v>953</v>
      </c>
      <c r="S1419" s="15" t="s">
        <v>954</v>
      </c>
      <c r="T1419" s="15" t="s">
        <v>955</v>
      </c>
      <c r="U1419" s="21" t="s">
        <v>72</v>
      </c>
    </row>
    <row r="1420" customFormat="false" ht="15" hidden="false" customHeight="false" outlineLevel="0" collapsed="false">
      <c r="A1420" s="15" t="s">
        <v>850</v>
      </c>
      <c r="B1420" s="15" t="s">
        <v>851</v>
      </c>
      <c r="C1420" s="14" t="s">
        <v>921</v>
      </c>
      <c r="D1420" s="14" t="s">
        <v>9549</v>
      </c>
      <c r="E1420" s="16" t="s">
        <v>9550</v>
      </c>
      <c r="F1420" s="16" t="s">
        <v>923</v>
      </c>
      <c r="G1420" s="23" t="s">
        <v>43</v>
      </c>
      <c r="H1420" s="18" t="n">
        <v>3</v>
      </c>
      <c r="I1420" s="20" t="n">
        <v>47.08</v>
      </c>
      <c r="J1420" s="20" t="n">
        <v>79.46</v>
      </c>
      <c r="K1420" s="18" t="n">
        <v>3</v>
      </c>
      <c r="L1420" s="18" t="n">
        <v>5</v>
      </c>
      <c r="M1420" s="18" t="n">
        <v>48</v>
      </c>
      <c r="N1420" s="18" t="n">
        <v>48</v>
      </c>
      <c r="O1420" s="14" t="s">
        <v>4223</v>
      </c>
      <c r="P1420" s="14" t="s">
        <v>84</v>
      </c>
      <c r="Q1420" s="15" t="s">
        <v>1089</v>
      </c>
      <c r="R1420" s="16" t="s">
        <v>924</v>
      </c>
      <c r="S1420" s="15" t="s">
        <v>925</v>
      </c>
      <c r="T1420" s="15" t="s">
        <v>926</v>
      </c>
      <c r="U1420" s="21" t="s">
        <v>72</v>
      </c>
    </row>
    <row r="1421" customFormat="false" ht="26.85" hidden="false" customHeight="false" outlineLevel="0" collapsed="false">
      <c r="A1421" s="15" t="s">
        <v>850</v>
      </c>
      <c r="B1421" s="15" t="s">
        <v>851</v>
      </c>
      <c r="C1421" s="14" t="s">
        <v>9551</v>
      </c>
      <c r="D1421" s="14" t="s">
        <v>9552</v>
      </c>
      <c r="E1421" s="16" t="s">
        <v>9553</v>
      </c>
      <c r="F1421" s="16"/>
      <c r="G1421" s="19" t="s">
        <v>41</v>
      </c>
      <c r="H1421" s="18" t="n">
        <v>2</v>
      </c>
      <c r="I1421" s="20" t="n">
        <v>147.62</v>
      </c>
      <c r="J1421" s="20" t="n">
        <v>365.02</v>
      </c>
      <c r="K1421" s="18" t="n">
        <v>4</v>
      </c>
      <c r="L1421" s="18" t="n">
        <v>9</v>
      </c>
      <c r="M1421" s="18" t="n">
        <v>120</v>
      </c>
      <c r="N1421" s="18" t="n">
        <v>120</v>
      </c>
      <c r="O1421" s="14" t="s">
        <v>9554</v>
      </c>
      <c r="P1421" s="14" t="s">
        <v>84</v>
      </c>
      <c r="Q1421" s="15" t="s">
        <v>1089</v>
      </c>
      <c r="R1421" s="16" t="s">
        <v>945</v>
      </c>
      <c r="S1421" s="15" t="s">
        <v>946</v>
      </c>
      <c r="T1421" s="15" t="s">
        <v>946</v>
      </c>
      <c r="U1421" s="21" t="s">
        <v>72</v>
      </c>
    </row>
    <row r="1422" customFormat="false" ht="26.85" hidden="false" customHeight="false" outlineLevel="0" collapsed="false">
      <c r="A1422" s="15" t="s">
        <v>850</v>
      </c>
      <c r="B1422" s="15" t="s">
        <v>851</v>
      </c>
      <c r="C1422" s="14" t="s">
        <v>902</v>
      </c>
      <c r="D1422" s="14" t="s">
        <v>9555</v>
      </c>
      <c r="E1422" s="16" t="s">
        <v>9556</v>
      </c>
      <c r="F1422" s="16" t="s">
        <v>905</v>
      </c>
      <c r="G1422" s="19" t="s">
        <v>41</v>
      </c>
      <c r="H1422" s="18" t="n">
        <v>4</v>
      </c>
      <c r="I1422" s="20" t="n">
        <v>59.32</v>
      </c>
      <c r="J1422" s="20" t="n">
        <v>203.01</v>
      </c>
      <c r="K1422" s="18" t="n">
        <v>6</v>
      </c>
      <c r="L1422" s="18" t="n">
        <v>1</v>
      </c>
      <c r="M1422" s="18" t="n">
        <v>73</v>
      </c>
      <c r="N1422" s="18" t="n">
        <v>48</v>
      </c>
      <c r="O1422" s="14" t="s">
        <v>9557</v>
      </c>
      <c r="P1422" s="14" t="s">
        <v>906</v>
      </c>
      <c r="Q1422" s="15" t="s">
        <v>1089</v>
      </c>
      <c r="R1422" s="16" t="s">
        <v>907</v>
      </c>
      <c r="S1422" s="15" t="s">
        <v>908</v>
      </c>
      <c r="T1422" s="15" t="s">
        <v>909</v>
      </c>
      <c r="U1422" s="21" t="s">
        <v>72</v>
      </c>
    </row>
    <row r="1423" customFormat="false" ht="39.55" hidden="false" customHeight="false" outlineLevel="0" collapsed="false">
      <c r="A1423" s="15" t="s">
        <v>79</v>
      </c>
      <c r="B1423" s="15" t="s">
        <v>214</v>
      </c>
      <c r="C1423" s="14" t="s">
        <v>9558</v>
      </c>
      <c r="D1423" s="14" t="s">
        <v>9559</v>
      </c>
      <c r="E1423" s="16" t="s">
        <v>9560</v>
      </c>
      <c r="F1423" s="16" t="s">
        <v>9561</v>
      </c>
      <c r="G1423" s="25" t="s">
        <v>39</v>
      </c>
      <c r="H1423" s="18" t="n">
        <v>9</v>
      </c>
      <c r="I1423" s="20" t="n">
        <v>294.97</v>
      </c>
      <c r="J1423" s="20" t="n">
        <v>294.97</v>
      </c>
      <c r="K1423" s="18" t="n">
        <v>9</v>
      </c>
      <c r="L1423" s="18" t="n">
        <v>5</v>
      </c>
      <c r="M1423" s="18" t="n">
        <v>226</v>
      </c>
      <c r="N1423" s="18" t="n">
        <v>50</v>
      </c>
      <c r="O1423" s="14" t="s">
        <v>1088</v>
      </c>
      <c r="P1423" s="14" t="s">
        <v>9562</v>
      </c>
      <c r="Q1423" s="15" t="s">
        <v>1089</v>
      </c>
      <c r="R1423" s="16" t="s">
        <v>3773</v>
      </c>
      <c r="S1423" s="15" t="s">
        <v>9563</v>
      </c>
      <c r="T1423" s="15" t="s">
        <v>9564</v>
      </c>
      <c r="U1423" s="21" t="s">
        <v>72</v>
      </c>
    </row>
    <row r="1424" customFormat="false" ht="15" hidden="false" customHeight="false" outlineLevel="0" collapsed="false">
      <c r="A1424" s="15" t="s">
        <v>79</v>
      </c>
      <c r="B1424" s="15" t="s">
        <v>214</v>
      </c>
      <c r="C1424" s="14" t="s">
        <v>9565</v>
      </c>
      <c r="D1424" s="14" t="s">
        <v>9566</v>
      </c>
      <c r="E1424" s="16" t="s">
        <v>9567</v>
      </c>
      <c r="F1424" s="16" t="s">
        <v>9568</v>
      </c>
      <c r="G1424" s="23" t="s">
        <v>43</v>
      </c>
      <c r="H1424" s="18" t="n">
        <v>1</v>
      </c>
      <c r="I1424" s="20" t="n">
        <v>39.39</v>
      </c>
      <c r="J1424" s="20" t="n">
        <v>80.5</v>
      </c>
      <c r="K1424" s="18" t="n">
        <v>8</v>
      </c>
      <c r="L1424" s="18" t="n">
        <v>3</v>
      </c>
      <c r="M1424" s="18" t="n">
        <v>256</v>
      </c>
      <c r="N1424" s="18" t="n">
        <v>32</v>
      </c>
      <c r="O1424" s="14" t="s">
        <v>1126</v>
      </c>
      <c r="P1424" s="14" t="s">
        <v>118</v>
      </c>
      <c r="Q1424" s="15" t="s">
        <v>1089</v>
      </c>
      <c r="R1424" s="16" t="s">
        <v>9569</v>
      </c>
      <c r="S1424" s="15" t="s">
        <v>9570</v>
      </c>
      <c r="T1424" s="15" t="s">
        <v>9570</v>
      </c>
      <c r="U1424" s="21" t="s">
        <v>72</v>
      </c>
    </row>
    <row r="1425" customFormat="false" ht="15" hidden="false" customHeight="false" outlineLevel="0" collapsed="false">
      <c r="A1425" s="15" t="s">
        <v>79</v>
      </c>
      <c r="B1425" s="15" t="s">
        <v>214</v>
      </c>
      <c r="C1425" s="14" t="s">
        <v>9571</v>
      </c>
      <c r="D1425" s="14" t="s">
        <v>9572</v>
      </c>
      <c r="E1425" s="16" t="s">
        <v>9573</v>
      </c>
      <c r="F1425" s="16" t="s">
        <v>9574</v>
      </c>
      <c r="G1425" s="23" t="s">
        <v>43</v>
      </c>
      <c r="H1425" s="18" t="n">
        <v>3</v>
      </c>
      <c r="I1425" s="20" t="n">
        <v>49.49</v>
      </c>
      <c r="J1425" s="20" t="n">
        <v>117.06</v>
      </c>
      <c r="K1425" s="18" t="n">
        <v>16</v>
      </c>
      <c r="L1425" s="18" t="n">
        <v>3</v>
      </c>
      <c r="M1425" s="18" t="n">
        <v>209</v>
      </c>
      <c r="N1425" s="18" t="n">
        <v>131</v>
      </c>
      <c r="O1425" s="14" t="s">
        <v>9575</v>
      </c>
      <c r="P1425" s="14" t="s">
        <v>118</v>
      </c>
      <c r="Q1425" s="15" t="s">
        <v>1089</v>
      </c>
      <c r="R1425" s="16" t="s">
        <v>9576</v>
      </c>
      <c r="S1425" s="15" t="s">
        <v>9577</v>
      </c>
      <c r="T1425" s="15" t="s">
        <v>9578</v>
      </c>
      <c r="U1425" s="21" t="s">
        <v>72</v>
      </c>
    </row>
    <row r="1426" customFormat="false" ht="15" hidden="false" customHeight="false" outlineLevel="0" collapsed="false">
      <c r="A1426" s="15" t="s">
        <v>79</v>
      </c>
      <c r="B1426" s="15" t="s">
        <v>214</v>
      </c>
      <c r="C1426" s="14" t="s">
        <v>9579</v>
      </c>
      <c r="D1426" s="14" t="s">
        <v>9580</v>
      </c>
      <c r="E1426" s="16" t="s">
        <v>9581</v>
      </c>
      <c r="F1426" s="16" t="s">
        <v>9582</v>
      </c>
      <c r="G1426" s="23" t="s">
        <v>43</v>
      </c>
      <c r="H1426" s="18" t="n">
        <v>1</v>
      </c>
      <c r="I1426" s="20" t="n">
        <v>70.45</v>
      </c>
      <c r="J1426" s="20" t="n">
        <v>112.44</v>
      </c>
      <c r="K1426" s="18" t="n">
        <v>8</v>
      </c>
      <c r="L1426" s="18" t="n">
        <v>3</v>
      </c>
      <c r="M1426" s="18" t="n">
        <v>464</v>
      </c>
      <c r="N1426" s="18" t="n">
        <v>348</v>
      </c>
      <c r="O1426" s="14" t="s">
        <v>9583</v>
      </c>
      <c r="P1426" s="14" t="s">
        <v>118</v>
      </c>
      <c r="Q1426" s="15" t="s">
        <v>1089</v>
      </c>
      <c r="R1426" s="16" t="s">
        <v>9584</v>
      </c>
      <c r="S1426" s="15" t="s">
        <v>9585</v>
      </c>
      <c r="T1426" s="15" t="s">
        <v>9585</v>
      </c>
      <c r="U1426" s="21" t="s">
        <v>72</v>
      </c>
    </row>
    <row r="1427" customFormat="false" ht="15" hidden="false" customHeight="false" outlineLevel="0" collapsed="false">
      <c r="A1427" s="15" t="s">
        <v>79</v>
      </c>
      <c r="B1427" s="15" t="s">
        <v>214</v>
      </c>
      <c r="C1427" s="14" t="s">
        <v>9586</v>
      </c>
      <c r="D1427" s="14" t="s">
        <v>9587</v>
      </c>
      <c r="E1427" s="16" t="s">
        <v>9588</v>
      </c>
      <c r="F1427" s="16" t="s">
        <v>9589</v>
      </c>
      <c r="G1427" s="23" t="s">
        <v>43</v>
      </c>
      <c r="H1427" s="18" t="n">
        <v>3</v>
      </c>
      <c r="I1427" s="20" t="n">
        <v>58.6</v>
      </c>
      <c r="J1427" s="20" t="n">
        <v>98.455</v>
      </c>
      <c r="K1427" s="18" t="n">
        <v>7</v>
      </c>
      <c r="L1427" s="18" t="n">
        <v>3</v>
      </c>
      <c r="M1427" s="18" t="n">
        <v>137</v>
      </c>
      <c r="N1427" s="18" t="n">
        <v>104</v>
      </c>
      <c r="O1427" s="14" t="s">
        <v>9590</v>
      </c>
      <c r="P1427" s="14" t="s">
        <v>118</v>
      </c>
      <c r="Q1427" s="15" t="s">
        <v>1089</v>
      </c>
      <c r="R1427" s="16" t="s">
        <v>9591</v>
      </c>
      <c r="S1427" s="15" t="s">
        <v>9592</v>
      </c>
      <c r="T1427" s="15" t="s">
        <v>9592</v>
      </c>
      <c r="U1427" s="21" t="s">
        <v>72</v>
      </c>
    </row>
    <row r="1428" customFormat="false" ht="15" hidden="false" customHeight="false" outlineLevel="0" collapsed="false">
      <c r="A1428" s="15" t="s">
        <v>79</v>
      </c>
      <c r="B1428" s="15" t="s">
        <v>214</v>
      </c>
      <c r="C1428" s="14" t="s">
        <v>9593</v>
      </c>
      <c r="D1428" s="14" t="s">
        <v>9594</v>
      </c>
      <c r="E1428" s="16" t="s">
        <v>9595</v>
      </c>
      <c r="F1428" s="16" t="s">
        <v>9596</v>
      </c>
      <c r="G1428" s="23" t="s">
        <v>43</v>
      </c>
      <c r="H1428" s="18" t="n">
        <v>4</v>
      </c>
      <c r="I1428" s="20" t="n">
        <v>88.26</v>
      </c>
      <c r="J1428" s="20" t="n">
        <v>189.99</v>
      </c>
      <c r="K1428" s="18" t="n">
        <v>4</v>
      </c>
      <c r="L1428" s="18" t="n">
        <v>4</v>
      </c>
      <c r="M1428" s="18" t="n">
        <v>62</v>
      </c>
      <c r="N1428" s="18" t="n">
        <v>62</v>
      </c>
      <c r="O1428" s="14" t="s">
        <v>9597</v>
      </c>
      <c r="P1428" s="14" t="s">
        <v>118</v>
      </c>
      <c r="Q1428" s="15" t="s">
        <v>1089</v>
      </c>
      <c r="R1428" s="16" t="s">
        <v>4942</v>
      </c>
      <c r="S1428" s="15" t="s">
        <v>9598</v>
      </c>
      <c r="T1428" s="15" t="s">
        <v>9599</v>
      </c>
      <c r="U1428" s="21" t="s">
        <v>72</v>
      </c>
    </row>
    <row r="1429" customFormat="false" ht="15" hidden="false" customHeight="false" outlineLevel="0" collapsed="false">
      <c r="A1429" s="15" t="s">
        <v>79</v>
      </c>
      <c r="B1429" s="15" t="s">
        <v>214</v>
      </c>
      <c r="C1429" s="14" t="s">
        <v>9600</v>
      </c>
      <c r="D1429" s="14" t="s">
        <v>9601</v>
      </c>
      <c r="E1429" s="16" t="s">
        <v>9602</v>
      </c>
      <c r="F1429" s="16" t="s">
        <v>9603</v>
      </c>
      <c r="G1429" s="25" t="s">
        <v>39</v>
      </c>
      <c r="H1429" s="18" t="n">
        <v>6</v>
      </c>
      <c r="I1429" s="20" t="n">
        <v>163.74</v>
      </c>
      <c r="J1429" s="20" t="n">
        <v>485.78</v>
      </c>
      <c r="K1429" s="18" t="n">
        <v>14</v>
      </c>
      <c r="L1429" s="18" t="n">
        <v>36</v>
      </c>
      <c r="M1429" s="18" t="n">
        <v>250</v>
      </c>
      <c r="N1429" s="18" t="n">
        <v>222</v>
      </c>
      <c r="O1429" s="14" t="s">
        <v>1126</v>
      </c>
      <c r="P1429" s="14" t="s">
        <v>84</v>
      </c>
      <c r="Q1429" s="15" t="s">
        <v>1089</v>
      </c>
      <c r="R1429" s="16" t="s">
        <v>9604</v>
      </c>
      <c r="S1429" s="15" t="s">
        <v>1348</v>
      </c>
      <c r="T1429" s="15" t="s">
        <v>9605</v>
      </c>
      <c r="U1429" s="21" t="s">
        <v>72</v>
      </c>
    </row>
    <row r="1430" customFormat="false" ht="15" hidden="false" customHeight="false" outlineLevel="0" collapsed="false">
      <c r="A1430" s="15" t="s">
        <v>79</v>
      </c>
      <c r="B1430" s="15" t="s">
        <v>214</v>
      </c>
      <c r="C1430" s="14" t="s">
        <v>9606</v>
      </c>
      <c r="D1430" s="14" t="s">
        <v>9607</v>
      </c>
      <c r="E1430" s="16" t="s">
        <v>9608</v>
      </c>
      <c r="F1430" s="16" t="s">
        <v>9609</v>
      </c>
      <c r="G1430" s="23" t="s">
        <v>43</v>
      </c>
      <c r="H1430" s="18" t="n">
        <v>2</v>
      </c>
      <c r="I1430" s="20" t="n">
        <v>47.95</v>
      </c>
      <c r="J1430" s="20" t="n">
        <v>88.93</v>
      </c>
      <c r="K1430" s="18" t="n">
        <v>27</v>
      </c>
      <c r="L1430" s="18" t="n">
        <v>3</v>
      </c>
      <c r="M1430" s="18" t="n">
        <v>504</v>
      </c>
      <c r="N1430" s="18" t="n">
        <v>117</v>
      </c>
      <c r="O1430" s="14" t="s">
        <v>1097</v>
      </c>
      <c r="P1430" s="14" t="s">
        <v>118</v>
      </c>
      <c r="Q1430" s="15" t="s">
        <v>1089</v>
      </c>
      <c r="R1430" s="16" t="s">
        <v>9610</v>
      </c>
      <c r="S1430" s="15" t="s">
        <v>9611</v>
      </c>
      <c r="T1430" s="15" t="s">
        <v>9612</v>
      </c>
      <c r="U1430" s="21" t="s">
        <v>72</v>
      </c>
    </row>
    <row r="1431" customFormat="false" ht="26.85" hidden="false" customHeight="false" outlineLevel="0" collapsed="false">
      <c r="A1431" s="15" t="s">
        <v>79</v>
      </c>
      <c r="B1431" s="15" t="s">
        <v>214</v>
      </c>
      <c r="C1431" s="14" t="s">
        <v>9613</v>
      </c>
      <c r="D1431" s="14" t="s">
        <v>9614</v>
      </c>
      <c r="E1431" s="16" t="s">
        <v>9615</v>
      </c>
      <c r="F1431" s="16" t="s">
        <v>9616</v>
      </c>
      <c r="G1431" s="19" t="s">
        <v>41</v>
      </c>
      <c r="H1431" s="18" t="n">
        <v>3</v>
      </c>
      <c r="I1431" s="20" t="n">
        <v>107.47</v>
      </c>
      <c r="J1431" s="20" t="n">
        <v>251.13</v>
      </c>
      <c r="K1431" s="18" t="n">
        <v>5</v>
      </c>
      <c r="L1431" s="18" t="n">
        <v>4</v>
      </c>
      <c r="M1431" s="18" t="n">
        <v>190</v>
      </c>
      <c r="N1431" s="18" t="n">
        <v>114</v>
      </c>
      <c r="O1431" s="14" t="s">
        <v>1126</v>
      </c>
      <c r="P1431" s="14" t="s">
        <v>84</v>
      </c>
      <c r="Q1431" s="15" t="s">
        <v>1089</v>
      </c>
      <c r="R1431" s="16" t="s">
        <v>9617</v>
      </c>
      <c r="S1431" s="15" t="s">
        <v>9618</v>
      </c>
      <c r="T1431" s="15" t="s">
        <v>9619</v>
      </c>
      <c r="U1431" s="21" t="s">
        <v>72</v>
      </c>
    </row>
    <row r="1432" customFormat="false" ht="15" hidden="false" customHeight="false" outlineLevel="0" collapsed="false">
      <c r="A1432" s="15" t="s">
        <v>79</v>
      </c>
      <c r="B1432" s="15" t="s">
        <v>214</v>
      </c>
      <c r="C1432" s="14" t="s">
        <v>9620</v>
      </c>
      <c r="D1432" s="14" t="s">
        <v>9621</v>
      </c>
      <c r="E1432" s="16" t="s">
        <v>9622</v>
      </c>
      <c r="F1432" s="16" t="s">
        <v>1387</v>
      </c>
      <c r="G1432" s="25" t="s">
        <v>39</v>
      </c>
      <c r="H1432" s="18" t="n">
        <v>7</v>
      </c>
      <c r="I1432" s="20" t="n">
        <v>247.8</v>
      </c>
      <c r="J1432" s="20" t="n">
        <v>455.93</v>
      </c>
      <c r="K1432" s="18" t="n">
        <v>15</v>
      </c>
      <c r="L1432" s="18" t="n">
        <v>8</v>
      </c>
      <c r="M1432" s="18" t="n">
        <v>435</v>
      </c>
      <c r="N1432" s="18" t="n">
        <v>261</v>
      </c>
      <c r="O1432" s="14" t="s">
        <v>1126</v>
      </c>
      <c r="P1432" s="14" t="s">
        <v>84</v>
      </c>
      <c r="Q1432" s="15" t="s">
        <v>1089</v>
      </c>
      <c r="R1432" s="16" t="s">
        <v>7444</v>
      </c>
      <c r="S1432" s="15" t="s">
        <v>4460</v>
      </c>
      <c r="T1432" s="15" t="s">
        <v>9623</v>
      </c>
      <c r="U1432" s="21" t="s">
        <v>72</v>
      </c>
    </row>
    <row r="1433" customFormat="false" ht="15" hidden="false" customHeight="false" outlineLevel="0" collapsed="false">
      <c r="A1433" s="15" t="s">
        <v>79</v>
      </c>
      <c r="B1433" s="15" t="s">
        <v>214</v>
      </c>
      <c r="C1433" s="14" t="s">
        <v>9624</v>
      </c>
      <c r="D1433" s="14" t="s">
        <v>9625</v>
      </c>
      <c r="E1433" s="16" t="s">
        <v>9626</v>
      </c>
      <c r="F1433" s="16" t="s">
        <v>9627</v>
      </c>
      <c r="G1433" s="19" t="s">
        <v>41</v>
      </c>
      <c r="H1433" s="18" t="n">
        <v>6</v>
      </c>
      <c r="I1433" s="20" t="n">
        <v>193.32</v>
      </c>
      <c r="J1433" s="20" t="n">
        <v>298.03</v>
      </c>
      <c r="K1433" s="18" t="n">
        <v>12</v>
      </c>
      <c r="L1433" s="18" t="n">
        <v>5</v>
      </c>
      <c r="M1433" s="18" t="n">
        <v>291</v>
      </c>
      <c r="N1433" s="18" t="n">
        <v>69</v>
      </c>
      <c r="O1433" s="14" t="s">
        <v>1126</v>
      </c>
      <c r="P1433" s="14" t="s">
        <v>118</v>
      </c>
      <c r="Q1433" s="15" t="s">
        <v>1089</v>
      </c>
      <c r="R1433" s="16" t="s">
        <v>9628</v>
      </c>
      <c r="S1433" s="15" t="s">
        <v>9629</v>
      </c>
      <c r="T1433" s="15" t="s">
        <v>9630</v>
      </c>
      <c r="U1433" s="21" t="s">
        <v>72</v>
      </c>
    </row>
    <row r="1434" customFormat="false" ht="15" hidden="false" customHeight="false" outlineLevel="0" collapsed="false">
      <c r="A1434" s="15" t="s">
        <v>79</v>
      </c>
      <c r="B1434" s="15" t="s">
        <v>214</v>
      </c>
      <c r="C1434" s="14" t="s">
        <v>9631</v>
      </c>
      <c r="D1434" s="14" t="s">
        <v>9632</v>
      </c>
      <c r="E1434" s="16" t="s">
        <v>9633</v>
      </c>
      <c r="F1434" s="16" t="s">
        <v>9634</v>
      </c>
      <c r="G1434" s="23" t="s">
        <v>43</v>
      </c>
      <c r="H1434" s="18" t="n">
        <v>2</v>
      </c>
      <c r="I1434" s="20" t="n">
        <v>31.5</v>
      </c>
      <c r="J1434" s="20" t="n">
        <v>73.7</v>
      </c>
      <c r="K1434" s="18" t="n">
        <v>17</v>
      </c>
      <c r="L1434" s="18" t="n">
        <v>1</v>
      </c>
      <c r="M1434" s="18" t="n">
        <v>221</v>
      </c>
      <c r="N1434" s="18" t="n">
        <v>104</v>
      </c>
      <c r="O1434" s="14" t="s">
        <v>3724</v>
      </c>
      <c r="P1434" s="14" t="s">
        <v>118</v>
      </c>
      <c r="Q1434" s="15" t="s">
        <v>1089</v>
      </c>
      <c r="R1434" s="16" t="s">
        <v>9635</v>
      </c>
      <c r="S1434" s="15" t="s">
        <v>9636</v>
      </c>
      <c r="T1434" s="15" t="s">
        <v>9637</v>
      </c>
      <c r="U1434" s="21" t="s">
        <v>72</v>
      </c>
    </row>
    <row r="1435" customFormat="false" ht="26.85" hidden="false" customHeight="false" outlineLevel="0" collapsed="false">
      <c r="A1435" s="15" t="s">
        <v>79</v>
      </c>
      <c r="B1435" s="15" t="s">
        <v>214</v>
      </c>
      <c r="C1435" s="14" t="s">
        <v>9638</v>
      </c>
      <c r="D1435" s="14" t="s">
        <v>9639</v>
      </c>
      <c r="E1435" s="16" t="s">
        <v>9640</v>
      </c>
      <c r="F1435" s="16" t="s">
        <v>9641</v>
      </c>
      <c r="G1435" s="23" t="s">
        <v>43</v>
      </c>
      <c r="H1435" s="18" t="n">
        <v>2</v>
      </c>
      <c r="I1435" s="20" t="n">
        <v>86.48</v>
      </c>
      <c r="J1435" s="20" t="n">
        <v>128.16</v>
      </c>
      <c r="K1435" s="18" t="n">
        <v>7</v>
      </c>
      <c r="L1435" s="18" t="n">
        <v>3</v>
      </c>
      <c r="M1435" s="18" t="n">
        <v>267</v>
      </c>
      <c r="N1435" s="18" t="n">
        <v>78</v>
      </c>
      <c r="O1435" s="14" t="s">
        <v>1126</v>
      </c>
      <c r="P1435" s="14" t="s">
        <v>352</v>
      </c>
      <c r="Q1435" s="15" t="s">
        <v>1089</v>
      </c>
      <c r="R1435" s="16" t="s">
        <v>9642</v>
      </c>
      <c r="S1435" s="15" t="s">
        <v>9643</v>
      </c>
      <c r="T1435" s="15" t="s">
        <v>9643</v>
      </c>
      <c r="U1435" s="21" t="s">
        <v>72</v>
      </c>
    </row>
    <row r="1436" customFormat="false" ht="26.85" hidden="false" customHeight="false" outlineLevel="0" collapsed="false">
      <c r="A1436" s="15" t="s">
        <v>79</v>
      </c>
      <c r="B1436" s="15" t="s">
        <v>214</v>
      </c>
      <c r="C1436" s="14" t="s">
        <v>9644</v>
      </c>
      <c r="D1436" s="14" t="s">
        <v>9645</v>
      </c>
      <c r="E1436" s="16" t="s">
        <v>9646</v>
      </c>
      <c r="F1436" s="16" t="s">
        <v>9647</v>
      </c>
      <c r="G1436" s="23" t="s">
        <v>43</v>
      </c>
      <c r="H1436" s="18" t="n">
        <v>2</v>
      </c>
      <c r="I1436" s="20" t="n">
        <v>62.32</v>
      </c>
      <c r="J1436" s="20" t="n">
        <v>122.91</v>
      </c>
      <c r="K1436" s="18" t="n">
        <v>3</v>
      </c>
      <c r="L1436" s="18" t="n">
        <v>1</v>
      </c>
      <c r="M1436" s="18" t="n">
        <v>92</v>
      </c>
      <c r="N1436" s="18" t="n">
        <v>41</v>
      </c>
      <c r="O1436" s="14" t="s">
        <v>1126</v>
      </c>
      <c r="P1436" s="14" t="s">
        <v>906</v>
      </c>
      <c r="Q1436" s="15" t="s">
        <v>1089</v>
      </c>
      <c r="R1436" s="16" t="s">
        <v>9648</v>
      </c>
      <c r="S1436" s="15" t="s">
        <v>9649</v>
      </c>
      <c r="T1436" s="15" t="s">
        <v>9649</v>
      </c>
      <c r="U1436" s="21" t="s">
        <v>72</v>
      </c>
    </row>
    <row r="1437" customFormat="false" ht="15" hidden="false" customHeight="false" outlineLevel="0" collapsed="false">
      <c r="A1437" s="15" t="s">
        <v>79</v>
      </c>
      <c r="B1437" s="15" t="s">
        <v>214</v>
      </c>
      <c r="C1437" s="14" t="s">
        <v>9650</v>
      </c>
      <c r="D1437" s="14" t="s">
        <v>9651</v>
      </c>
      <c r="E1437" s="16" t="s">
        <v>9652</v>
      </c>
      <c r="F1437" s="16" t="s">
        <v>9653</v>
      </c>
      <c r="G1437" s="19" t="s">
        <v>41</v>
      </c>
      <c r="H1437" s="18" t="n">
        <v>7</v>
      </c>
      <c r="I1437" s="20" t="n">
        <v>147.6</v>
      </c>
      <c r="J1437" s="20" t="n">
        <v>248.9</v>
      </c>
      <c r="K1437" s="18" t="n">
        <v>7</v>
      </c>
      <c r="L1437" s="18" t="n">
        <v>4</v>
      </c>
      <c r="M1437" s="18" t="n">
        <v>112</v>
      </c>
      <c r="N1437" s="18" t="n">
        <v>112</v>
      </c>
      <c r="O1437" s="14" t="s">
        <v>1126</v>
      </c>
      <c r="P1437" s="14" t="s">
        <v>84</v>
      </c>
      <c r="Q1437" s="15" t="s">
        <v>1089</v>
      </c>
      <c r="R1437" s="16" t="s">
        <v>9654</v>
      </c>
      <c r="S1437" s="15" t="s">
        <v>9655</v>
      </c>
      <c r="T1437" s="15" t="s">
        <v>9655</v>
      </c>
      <c r="U1437" s="21" t="s">
        <v>72</v>
      </c>
    </row>
    <row r="1438" customFormat="false" ht="15" hidden="false" customHeight="false" outlineLevel="0" collapsed="false">
      <c r="A1438" s="15" t="s">
        <v>79</v>
      </c>
      <c r="B1438" s="15" t="s">
        <v>214</v>
      </c>
      <c r="C1438" s="14" t="s">
        <v>9656</v>
      </c>
      <c r="D1438" s="14" t="s">
        <v>9657</v>
      </c>
      <c r="E1438" s="16" t="s">
        <v>9658</v>
      </c>
      <c r="F1438" s="16" t="s">
        <v>9659</v>
      </c>
      <c r="G1438" s="23" t="s">
        <v>43</v>
      </c>
      <c r="H1438" s="18" t="n">
        <v>2</v>
      </c>
      <c r="I1438" s="20" t="n">
        <v>48.18</v>
      </c>
      <c r="J1438" s="20" t="n">
        <v>119.56</v>
      </c>
      <c r="K1438" s="18" t="n">
        <v>3</v>
      </c>
      <c r="L1438" s="18" t="n">
        <v>1</v>
      </c>
      <c r="M1438" s="18" t="n">
        <v>59</v>
      </c>
      <c r="N1438" s="18" t="n">
        <v>20</v>
      </c>
      <c r="O1438" s="14" t="s">
        <v>1126</v>
      </c>
      <c r="P1438" s="14" t="s">
        <v>118</v>
      </c>
      <c r="Q1438" s="15" t="s">
        <v>1089</v>
      </c>
      <c r="R1438" s="16" t="s">
        <v>9660</v>
      </c>
      <c r="S1438" s="15" t="s">
        <v>9661</v>
      </c>
      <c r="T1438" s="15" t="s">
        <v>9661</v>
      </c>
      <c r="U1438" s="21" t="s">
        <v>72</v>
      </c>
    </row>
    <row r="1439" customFormat="false" ht="15" hidden="false" customHeight="false" outlineLevel="0" collapsed="false">
      <c r="A1439" s="15" t="s">
        <v>79</v>
      </c>
      <c r="B1439" s="15" t="s">
        <v>214</v>
      </c>
      <c r="C1439" s="14" t="s">
        <v>9662</v>
      </c>
      <c r="D1439" s="14" t="s">
        <v>9663</v>
      </c>
      <c r="E1439" s="16" t="s">
        <v>9664</v>
      </c>
      <c r="F1439" s="16" t="s">
        <v>9665</v>
      </c>
      <c r="G1439" s="19" t="s">
        <v>41</v>
      </c>
      <c r="H1439" s="18" t="n">
        <v>6</v>
      </c>
      <c r="I1439" s="20" t="n">
        <v>145.96</v>
      </c>
      <c r="J1439" s="20" t="n">
        <v>295.6</v>
      </c>
      <c r="K1439" s="18" t="n">
        <v>27</v>
      </c>
      <c r="L1439" s="18" t="n">
        <v>10</v>
      </c>
      <c r="M1439" s="18" t="n">
        <v>540</v>
      </c>
      <c r="N1439" s="18" t="n">
        <v>180</v>
      </c>
      <c r="O1439" s="14" t="s">
        <v>6448</v>
      </c>
      <c r="P1439" s="14" t="s">
        <v>118</v>
      </c>
      <c r="Q1439" s="15" t="s">
        <v>1089</v>
      </c>
      <c r="R1439" s="16" t="s">
        <v>5369</v>
      </c>
      <c r="S1439" s="15" t="s">
        <v>9666</v>
      </c>
      <c r="T1439" s="15" t="s">
        <v>9667</v>
      </c>
      <c r="U1439" s="21" t="s">
        <v>72</v>
      </c>
    </row>
    <row r="1440" customFormat="false" ht="15" hidden="false" customHeight="false" outlineLevel="0" collapsed="false">
      <c r="A1440" s="15" t="s">
        <v>79</v>
      </c>
      <c r="B1440" s="15" t="s">
        <v>214</v>
      </c>
      <c r="C1440" s="14" t="s">
        <v>9668</v>
      </c>
      <c r="D1440" s="14" t="s">
        <v>9669</v>
      </c>
      <c r="E1440" s="16" t="s">
        <v>9664</v>
      </c>
      <c r="F1440" s="16" t="s">
        <v>9665</v>
      </c>
      <c r="G1440" s="23" t="s">
        <v>43</v>
      </c>
      <c r="H1440" s="18" t="n">
        <v>4</v>
      </c>
      <c r="I1440" s="20" t="n">
        <v>80.52</v>
      </c>
      <c r="J1440" s="20" t="n">
        <v>140.06</v>
      </c>
      <c r="K1440" s="18" t="n">
        <v>14</v>
      </c>
      <c r="L1440" s="18" t="n">
        <v>11</v>
      </c>
      <c r="M1440" s="18" t="n">
        <v>276</v>
      </c>
      <c r="N1440" s="18" t="n">
        <v>120</v>
      </c>
      <c r="O1440" s="14" t="s">
        <v>1088</v>
      </c>
      <c r="P1440" s="14" t="s">
        <v>226</v>
      </c>
      <c r="Q1440" s="15" t="s">
        <v>1089</v>
      </c>
      <c r="R1440" s="16" t="s">
        <v>9670</v>
      </c>
      <c r="S1440" s="15" t="s">
        <v>9666</v>
      </c>
      <c r="T1440" s="15" t="s">
        <v>9666</v>
      </c>
      <c r="U1440" s="21" t="s">
        <v>72</v>
      </c>
    </row>
    <row r="1441" customFormat="false" ht="15" hidden="false" customHeight="false" outlineLevel="0" collapsed="false">
      <c r="A1441" s="15" t="s">
        <v>79</v>
      </c>
      <c r="B1441" s="15" t="s">
        <v>214</v>
      </c>
      <c r="C1441" s="14" t="s">
        <v>9671</v>
      </c>
      <c r="D1441" s="14" t="s">
        <v>9672</v>
      </c>
      <c r="E1441" s="16" t="s">
        <v>9673</v>
      </c>
      <c r="F1441" s="16" t="s">
        <v>9674</v>
      </c>
      <c r="G1441" s="23" t="s">
        <v>43</v>
      </c>
      <c r="H1441" s="18" t="n">
        <v>4</v>
      </c>
      <c r="I1441" s="20" t="n">
        <v>85.83</v>
      </c>
      <c r="J1441" s="20" t="n">
        <v>182.29</v>
      </c>
      <c r="K1441" s="18" t="n">
        <v>15</v>
      </c>
      <c r="L1441" s="18" t="n">
        <v>9</v>
      </c>
      <c r="M1441" s="18" t="n">
        <v>265</v>
      </c>
      <c r="N1441" s="18" t="n">
        <v>265</v>
      </c>
      <c r="O1441" s="14" t="s">
        <v>1126</v>
      </c>
      <c r="P1441" s="14" t="s">
        <v>84</v>
      </c>
      <c r="Q1441" s="15" t="s">
        <v>1089</v>
      </c>
      <c r="R1441" s="16" t="s">
        <v>9675</v>
      </c>
      <c r="S1441" s="15" t="s">
        <v>9676</v>
      </c>
      <c r="T1441" s="15" t="s">
        <v>9677</v>
      </c>
      <c r="U1441" s="21" t="s">
        <v>72</v>
      </c>
    </row>
    <row r="1442" customFormat="false" ht="15" hidden="false" customHeight="false" outlineLevel="0" collapsed="false">
      <c r="A1442" s="15" t="s">
        <v>79</v>
      </c>
      <c r="B1442" s="15" t="s">
        <v>214</v>
      </c>
      <c r="C1442" s="14" t="s">
        <v>9678</v>
      </c>
      <c r="D1442" s="14" t="s">
        <v>9679</v>
      </c>
      <c r="E1442" s="16" t="s">
        <v>9680</v>
      </c>
      <c r="F1442" s="16" t="s">
        <v>9681</v>
      </c>
      <c r="G1442" s="19" t="s">
        <v>41</v>
      </c>
      <c r="H1442" s="18" t="n">
        <v>6</v>
      </c>
      <c r="I1442" s="20" t="n">
        <v>127.52</v>
      </c>
      <c r="J1442" s="20" t="n">
        <v>272.95</v>
      </c>
      <c r="K1442" s="18" t="n">
        <v>8</v>
      </c>
      <c r="L1442" s="18" t="n">
        <v>3</v>
      </c>
      <c r="M1442" s="18" t="n">
        <v>142</v>
      </c>
      <c r="N1442" s="18" t="n">
        <v>80</v>
      </c>
      <c r="O1442" s="14" t="s">
        <v>3724</v>
      </c>
      <c r="P1442" s="14" t="s">
        <v>334</v>
      </c>
      <c r="Q1442" s="15" t="s">
        <v>1089</v>
      </c>
      <c r="R1442" s="16" t="s">
        <v>2523</v>
      </c>
      <c r="S1442" s="15" t="s">
        <v>9682</v>
      </c>
      <c r="T1442" s="15" t="s">
        <v>9682</v>
      </c>
      <c r="U1442" s="21" t="s">
        <v>72</v>
      </c>
    </row>
    <row r="1443" customFormat="false" ht="15" hidden="false" customHeight="false" outlineLevel="0" collapsed="false">
      <c r="A1443" s="15" t="s">
        <v>79</v>
      </c>
      <c r="B1443" s="15" t="s">
        <v>214</v>
      </c>
      <c r="C1443" s="14" t="s">
        <v>9683</v>
      </c>
      <c r="D1443" s="14" t="s">
        <v>9684</v>
      </c>
      <c r="E1443" s="16" t="s">
        <v>9685</v>
      </c>
      <c r="F1443" s="16" t="s">
        <v>9686</v>
      </c>
      <c r="G1443" s="23" t="s">
        <v>43</v>
      </c>
      <c r="H1443" s="18" t="n">
        <v>3</v>
      </c>
      <c r="I1443" s="20" t="n">
        <v>61.97</v>
      </c>
      <c r="J1443" s="20" t="n">
        <v>161.59</v>
      </c>
      <c r="K1443" s="18" t="n">
        <v>6</v>
      </c>
      <c r="L1443" s="18" t="n">
        <v>6</v>
      </c>
      <c r="M1443" s="18" t="n">
        <v>96</v>
      </c>
      <c r="N1443" s="18" t="n">
        <v>96</v>
      </c>
      <c r="O1443" s="14" t="s">
        <v>1088</v>
      </c>
      <c r="P1443" s="14" t="s">
        <v>84</v>
      </c>
      <c r="Q1443" s="15" t="s">
        <v>1089</v>
      </c>
      <c r="R1443" s="16" t="s">
        <v>9687</v>
      </c>
      <c r="S1443" s="15" t="s">
        <v>9688</v>
      </c>
      <c r="T1443" s="15" t="s">
        <v>9688</v>
      </c>
      <c r="U1443" s="21" t="s">
        <v>72</v>
      </c>
    </row>
    <row r="1444" customFormat="false" ht="15" hidden="false" customHeight="false" outlineLevel="0" collapsed="false">
      <c r="A1444" s="15" t="s">
        <v>79</v>
      </c>
      <c r="B1444" s="15" t="s">
        <v>214</v>
      </c>
      <c r="C1444" s="14" t="s">
        <v>9689</v>
      </c>
      <c r="D1444" s="14" t="s">
        <v>9690</v>
      </c>
      <c r="E1444" s="16" t="s">
        <v>9691</v>
      </c>
      <c r="F1444" s="16" t="s">
        <v>9692</v>
      </c>
      <c r="G1444" s="19" t="s">
        <v>41</v>
      </c>
      <c r="H1444" s="18" t="n">
        <v>6</v>
      </c>
      <c r="I1444" s="20" t="n">
        <v>126.7</v>
      </c>
      <c r="J1444" s="20" t="n">
        <v>292.96</v>
      </c>
      <c r="K1444" s="18" t="n">
        <v>26</v>
      </c>
      <c r="L1444" s="18" t="n">
        <v>5</v>
      </c>
      <c r="M1444" s="18" t="n">
        <v>414</v>
      </c>
      <c r="N1444" s="18" t="n">
        <v>120</v>
      </c>
      <c r="O1444" s="14" t="s">
        <v>1126</v>
      </c>
      <c r="P1444" s="14" t="s">
        <v>118</v>
      </c>
      <c r="Q1444" s="15" t="s">
        <v>1089</v>
      </c>
      <c r="R1444" s="16" t="s">
        <v>9693</v>
      </c>
      <c r="S1444" s="15" t="s">
        <v>9694</v>
      </c>
      <c r="T1444" s="15" t="s">
        <v>9694</v>
      </c>
      <c r="U1444" s="21" t="s">
        <v>72</v>
      </c>
    </row>
    <row r="1445" customFormat="false" ht="15" hidden="false" customHeight="false" outlineLevel="0" collapsed="false">
      <c r="A1445" s="15" t="s">
        <v>79</v>
      </c>
      <c r="B1445" s="15" t="s">
        <v>214</v>
      </c>
      <c r="C1445" s="14" t="s">
        <v>9695</v>
      </c>
      <c r="D1445" s="14" t="s">
        <v>9696</v>
      </c>
      <c r="E1445" s="16" t="s">
        <v>9697</v>
      </c>
      <c r="F1445" s="16" t="s">
        <v>9698</v>
      </c>
      <c r="G1445" s="19" t="s">
        <v>41</v>
      </c>
      <c r="H1445" s="18" t="n">
        <v>5</v>
      </c>
      <c r="I1445" s="20" t="n">
        <v>163.86</v>
      </c>
      <c r="J1445" s="20" t="n">
        <v>108.02</v>
      </c>
      <c r="K1445" s="18" t="n">
        <v>9</v>
      </c>
      <c r="L1445" s="18" t="n">
        <v>4</v>
      </c>
      <c r="M1445" s="18" t="n">
        <v>149</v>
      </c>
      <c r="N1445" s="18" t="n">
        <v>68</v>
      </c>
      <c r="O1445" s="14" t="s">
        <v>1126</v>
      </c>
      <c r="P1445" s="14" t="s">
        <v>226</v>
      </c>
      <c r="Q1445" s="15" t="s">
        <v>1089</v>
      </c>
      <c r="R1445" s="16" t="s">
        <v>9699</v>
      </c>
      <c r="S1445" s="15" t="s">
        <v>9700</v>
      </c>
      <c r="T1445" s="15" t="s">
        <v>9701</v>
      </c>
      <c r="U1445" s="21" t="s">
        <v>72</v>
      </c>
    </row>
    <row r="1446" customFormat="false" ht="15" hidden="false" customHeight="false" outlineLevel="0" collapsed="false">
      <c r="A1446" s="15" t="s">
        <v>79</v>
      </c>
      <c r="B1446" s="15" t="s">
        <v>214</v>
      </c>
      <c r="C1446" s="14" t="s">
        <v>9702</v>
      </c>
      <c r="D1446" s="14" t="s">
        <v>9703</v>
      </c>
      <c r="E1446" s="16" t="s">
        <v>9704</v>
      </c>
      <c r="F1446" s="16" t="s">
        <v>282</v>
      </c>
      <c r="G1446" s="19" t="s">
        <v>41</v>
      </c>
      <c r="H1446" s="18" t="n">
        <v>6</v>
      </c>
      <c r="I1446" s="20" t="n">
        <v>129.18</v>
      </c>
      <c r="J1446" s="20" t="n">
        <v>247.76</v>
      </c>
      <c r="K1446" s="18" t="n">
        <v>6</v>
      </c>
      <c r="L1446" s="18" t="n">
        <v>23</v>
      </c>
      <c r="M1446" s="18" t="n">
        <v>126</v>
      </c>
      <c r="N1446" s="18" t="n">
        <v>126</v>
      </c>
      <c r="O1446" s="14" t="s">
        <v>1088</v>
      </c>
      <c r="P1446" s="14" t="s">
        <v>84</v>
      </c>
      <c r="Q1446" s="15" t="s">
        <v>1089</v>
      </c>
      <c r="R1446" s="16" t="s">
        <v>9705</v>
      </c>
      <c r="S1446" s="15" t="s">
        <v>717</v>
      </c>
      <c r="T1446" s="15" t="s">
        <v>8058</v>
      </c>
      <c r="U1446" s="21" t="s">
        <v>72</v>
      </c>
    </row>
    <row r="1447" customFormat="false" ht="15" hidden="false" customHeight="false" outlineLevel="0" collapsed="false">
      <c r="A1447" s="15" t="s">
        <v>79</v>
      </c>
      <c r="B1447" s="15" t="s">
        <v>214</v>
      </c>
      <c r="C1447" s="14" t="s">
        <v>9706</v>
      </c>
      <c r="D1447" s="14" t="s">
        <v>9707</v>
      </c>
      <c r="E1447" s="16" t="s">
        <v>9708</v>
      </c>
      <c r="F1447" s="16" t="s">
        <v>9709</v>
      </c>
      <c r="G1447" s="19" t="s">
        <v>41</v>
      </c>
      <c r="H1447" s="18" t="n">
        <v>5</v>
      </c>
      <c r="I1447" s="20" t="n">
        <v>148.61</v>
      </c>
      <c r="J1447" s="20" t="n">
        <v>206.41</v>
      </c>
      <c r="K1447" s="18" t="n">
        <v>10</v>
      </c>
      <c r="L1447" s="18" t="n">
        <v>3</v>
      </c>
      <c r="M1447" s="18" t="n">
        <v>290</v>
      </c>
      <c r="N1447" s="18" t="n">
        <v>174</v>
      </c>
      <c r="O1447" s="14" t="s">
        <v>1126</v>
      </c>
      <c r="P1447" s="14" t="s">
        <v>118</v>
      </c>
      <c r="Q1447" s="15" t="s">
        <v>1089</v>
      </c>
      <c r="R1447" s="16" t="s">
        <v>663</v>
      </c>
      <c r="S1447" s="15" t="s">
        <v>9710</v>
      </c>
      <c r="T1447" s="15" t="s">
        <v>9710</v>
      </c>
      <c r="U1447" s="21" t="s">
        <v>72</v>
      </c>
    </row>
    <row r="1448" customFormat="false" ht="15" hidden="false" customHeight="false" outlineLevel="0" collapsed="false">
      <c r="A1448" s="15" t="s">
        <v>79</v>
      </c>
      <c r="B1448" s="15" t="s">
        <v>214</v>
      </c>
      <c r="C1448" s="14" t="s">
        <v>383</v>
      </c>
      <c r="D1448" s="14" t="s">
        <v>9711</v>
      </c>
      <c r="E1448" s="16" t="s">
        <v>9712</v>
      </c>
      <c r="F1448" s="16" t="s">
        <v>386</v>
      </c>
      <c r="G1448" s="23" t="s">
        <v>43</v>
      </c>
      <c r="H1448" s="18" t="n">
        <v>3</v>
      </c>
      <c r="I1448" s="20" t="n">
        <v>64.34</v>
      </c>
      <c r="J1448" s="20" t="n">
        <v>123.16</v>
      </c>
      <c r="K1448" s="18" t="n">
        <v>4</v>
      </c>
      <c r="L1448" s="18" t="n">
        <v>1</v>
      </c>
      <c r="M1448" s="18" t="n">
        <v>64</v>
      </c>
      <c r="N1448" s="18" t="n">
        <v>37</v>
      </c>
      <c r="O1448" s="14" t="s">
        <v>1126</v>
      </c>
      <c r="P1448" s="14" t="s">
        <v>94</v>
      </c>
      <c r="Q1448" s="15" t="s">
        <v>1089</v>
      </c>
      <c r="R1448" s="16" t="s">
        <v>387</v>
      </c>
      <c r="S1448" s="15" t="s">
        <v>388</v>
      </c>
      <c r="T1448" s="15" t="s">
        <v>389</v>
      </c>
      <c r="U1448" s="21" t="s">
        <v>72</v>
      </c>
    </row>
    <row r="1449" customFormat="false" ht="15" hidden="false" customHeight="false" outlineLevel="0" collapsed="false">
      <c r="A1449" s="15" t="s">
        <v>79</v>
      </c>
      <c r="B1449" s="15" t="s">
        <v>214</v>
      </c>
      <c r="C1449" s="14" t="s">
        <v>9713</v>
      </c>
      <c r="D1449" s="14" t="s">
        <v>9714</v>
      </c>
      <c r="E1449" s="16" t="s">
        <v>9715</v>
      </c>
      <c r="F1449" s="16" t="s">
        <v>9716</v>
      </c>
      <c r="G1449" s="23" t="s">
        <v>43</v>
      </c>
      <c r="H1449" s="18" t="n">
        <v>2</v>
      </c>
      <c r="I1449" s="20" t="n">
        <v>37.69</v>
      </c>
      <c r="J1449" s="20" t="n">
        <v>73.8</v>
      </c>
      <c r="K1449" s="18" t="n">
        <v>3</v>
      </c>
      <c r="L1449" s="18" t="n">
        <v>2</v>
      </c>
      <c r="M1449" s="18" t="n">
        <v>42</v>
      </c>
      <c r="N1449" s="18"/>
      <c r="O1449" s="13"/>
      <c r="P1449" s="14" t="s">
        <v>84</v>
      </c>
      <c r="Q1449" s="15" t="s">
        <v>1089</v>
      </c>
      <c r="R1449" s="16" t="s">
        <v>9717</v>
      </c>
      <c r="S1449" s="15" t="s">
        <v>9718</v>
      </c>
      <c r="T1449" s="15" t="s">
        <v>9718</v>
      </c>
      <c r="U1449" s="21" t="s">
        <v>72</v>
      </c>
    </row>
    <row r="1450" customFormat="false" ht="26.85" hidden="false" customHeight="false" outlineLevel="0" collapsed="false">
      <c r="A1450" s="15" t="s">
        <v>79</v>
      </c>
      <c r="B1450" s="15" t="s">
        <v>214</v>
      </c>
      <c r="C1450" s="14" t="s">
        <v>9719</v>
      </c>
      <c r="D1450" s="14" t="s">
        <v>9720</v>
      </c>
      <c r="E1450" s="16" t="s">
        <v>9721</v>
      </c>
      <c r="F1450" s="16" t="s">
        <v>9722</v>
      </c>
      <c r="G1450" s="25" t="s">
        <v>39</v>
      </c>
      <c r="H1450" s="18" t="n">
        <v>11</v>
      </c>
      <c r="I1450" s="20" t="n">
        <v>146.25</v>
      </c>
      <c r="J1450" s="20" t="n">
        <v>293.05</v>
      </c>
      <c r="K1450" s="18" t="n">
        <v>11</v>
      </c>
      <c r="L1450" s="18" t="n">
        <v>5</v>
      </c>
      <c r="M1450" s="18" t="n">
        <v>127</v>
      </c>
      <c r="N1450" s="18" t="n">
        <v>97</v>
      </c>
      <c r="O1450" s="14" t="s">
        <v>9723</v>
      </c>
      <c r="P1450" s="14" t="s">
        <v>334</v>
      </c>
      <c r="Q1450" s="15" t="s">
        <v>1089</v>
      </c>
      <c r="R1450" s="16" t="s">
        <v>9724</v>
      </c>
      <c r="S1450" s="15" t="s">
        <v>9725</v>
      </c>
      <c r="T1450" s="15" t="s">
        <v>9726</v>
      </c>
      <c r="U1450" s="21" t="s">
        <v>72</v>
      </c>
    </row>
    <row r="1451" customFormat="false" ht="15" hidden="false" customHeight="false" outlineLevel="0" collapsed="false">
      <c r="A1451" s="15" t="s">
        <v>79</v>
      </c>
      <c r="B1451" s="15" t="s">
        <v>214</v>
      </c>
      <c r="C1451" s="14" t="s">
        <v>9727</v>
      </c>
      <c r="D1451" s="14" t="s">
        <v>9728</v>
      </c>
      <c r="E1451" s="16" t="s">
        <v>9729</v>
      </c>
      <c r="F1451" s="16" t="s">
        <v>9730</v>
      </c>
      <c r="G1451" s="23" t="s">
        <v>43</v>
      </c>
      <c r="H1451" s="18" t="n">
        <v>1</v>
      </c>
      <c r="I1451" s="20" t="n">
        <v>41.86</v>
      </c>
      <c r="J1451" s="20" t="n">
        <v>87.48</v>
      </c>
      <c r="K1451" s="18" t="n">
        <v>3</v>
      </c>
      <c r="L1451" s="18" t="n">
        <v>3</v>
      </c>
      <c r="M1451" s="18" t="n">
        <v>102</v>
      </c>
      <c r="N1451" s="18" t="n">
        <v>34</v>
      </c>
      <c r="O1451" s="14" t="s">
        <v>1126</v>
      </c>
      <c r="P1451" s="14" t="s">
        <v>226</v>
      </c>
      <c r="Q1451" s="15" t="s">
        <v>1089</v>
      </c>
      <c r="R1451" s="16" t="s">
        <v>9731</v>
      </c>
      <c r="S1451" s="15" t="s">
        <v>9732</v>
      </c>
      <c r="T1451" s="15" t="s">
        <v>9732</v>
      </c>
      <c r="U1451" s="21" t="s">
        <v>72</v>
      </c>
    </row>
    <row r="1452" customFormat="false" ht="15" hidden="false" customHeight="false" outlineLevel="0" collapsed="false">
      <c r="A1452" s="15" t="s">
        <v>79</v>
      </c>
      <c r="B1452" s="15" t="s">
        <v>214</v>
      </c>
      <c r="C1452" s="14" t="s">
        <v>9733</v>
      </c>
      <c r="D1452" s="14" t="s">
        <v>9734</v>
      </c>
      <c r="E1452" s="16" t="s">
        <v>9735</v>
      </c>
      <c r="F1452" s="16" t="s">
        <v>9736</v>
      </c>
      <c r="G1452" s="19" t="s">
        <v>41</v>
      </c>
      <c r="H1452" s="18" t="n">
        <v>4</v>
      </c>
      <c r="I1452" s="20" t="n">
        <v>91.93</v>
      </c>
      <c r="J1452" s="20" t="n">
        <v>222.06</v>
      </c>
      <c r="K1452" s="18" t="n">
        <v>4</v>
      </c>
      <c r="L1452" s="18" t="n">
        <v>5</v>
      </c>
      <c r="M1452" s="18" t="n">
        <v>75</v>
      </c>
      <c r="N1452" s="18" t="n">
        <v>17</v>
      </c>
      <c r="O1452" s="14" t="s">
        <v>1126</v>
      </c>
      <c r="P1452" s="14" t="s">
        <v>118</v>
      </c>
      <c r="Q1452" s="15" t="s">
        <v>1089</v>
      </c>
      <c r="R1452" s="16" t="s">
        <v>9737</v>
      </c>
      <c r="S1452" s="15" t="s">
        <v>9738</v>
      </c>
      <c r="T1452" s="15" t="s">
        <v>9738</v>
      </c>
      <c r="U1452" s="21" t="s">
        <v>72</v>
      </c>
    </row>
    <row r="1453" customFormat="false" ht="15" hidden="false" customHeight="false" outlineLevel="0" collapsed="false">
      <c r="A1453" s="15" t="s">
        <v>79</v>
      </c>
      <c r="B1453" s="15" t="s">
        <v>214</v>
      </c>
      <c r="C1453" s="14" t="s">
        <v>9739</v>
      </c>
      <c r="D1453" s="14" t="s">
        <v>9740</v>
      </c>
      <c r="E1453" s="16" t="s">
        <v>9741</v>
      </c>
      <c r="F1453" s="16" t="s">
        <v>9742</v>
      </c>
      <c r="G1453" s="19" t="s">
        <v>41</v>
      </c>
      <c r="H1453" s="18" t="n">
        <v>2</v>
      </c>
      <c r="I1453" s="20" t="n">
        <v>111.27</v>
      </c>
      <c r="J1453" s="20" t="n">
        <v>225.08</v>
      </c>
      <c r="K1453" s="18" t="n">
        <v>44</v>
      </c>
      <c r="L1453" s="18" t="n">
        <v>8</v>
      </c>
      <c r="M1453" s="18" t="n">
        <v>1936</v>
      </c>
      <c r="N1453" s="18" t="n">
        <v>1144</v>
      </c>
      <c r="O1453" s="14" t="s">
        <v>3724</v>
      </c>
      <c r="P1453" s="14" t="s">
        <v>118</v>
      </c>
      <c r="Q1453" s="15" t="s">
        <v>1089</v>
      </c>
      <c r="R1453" s="16" t="s">
        <v>9743</v>
      </c>
      <c r="S1453" s="15" t="s">
        <v>9744</v>
      </c>
      <c r="T1453" s="15" t="s">
        <v>9745</v>
      </c>
      <c r="U1453" s="21" t="s">
        <v>72</v>
      </c>
    </row>
    <row r="1454" customFormat="false" ht="15" hidden="false" customHeight="false" outlineLevel="0" collapsed="false">
      <c r="A1454" s="15" t="s">
        <v>79</v>
      </c>
      <c r="B1454" s="15" t="s">
        <v>214</v>
      </c>
      <c r="C1454" s="14" t="s">
        <v>9746</v>
      </c>
      <c r="D1454" s="14" t="s">
        <v>9747</v>
      </c>
      <c r="E1454" s="16" t="s">
        <v>9748</v>
      </c>
      <c r="F1454" s="16" t="s">
        <v>9749</v>
      </c>
      <c r="G1454" s="23" t="s">
        <v>43</v>
      </c>
      <c r="H1454" s="18" t="n">
        <v>3</v>
      </c>
      <c r="I1454" s="20" t="n">
        <v>90.77</v>
      </c>
      <c r="J1454" s="20" t="n">
        <v>160.36</v>
      </c>
      <c r="K1454" s="18" t="n">
        <v>11</v>
      </c>
      <c r="L1454" s="18" t="n">
        <v>1</v>
      </c>
      <c r="M1454" s="18" t="n">
        <v>240</v>
      </c>
      <c r="N1454" s="18" t="n">
        <v>90</v>
      </c>
      <c r="O1454" s="14" t="s">
        <v>9750</v>
      </c>
      <c r="P1454" s="14" t="s">
        <v>118</v>
      </c>
      <c r="Q1454" s="15" t="s">
        <v>1089</v>
      </c>
      <c r="R1454" s="16" t="s">
        <v>9751</v>
      </c>
      <c r="S1454" s="15" t="s">
        <v>9752</v>
      </c>
      <c r="T1454" s="15" t="s">
        <v>9752</v>
      </c>
      <c r="U1454" s="21" t="s">
        <v>72</v>
      </c>
    </row>
    <row r="1455" customFormat="false" ht="26.85" hidden="false" customHeight="false" outlineLevel="0" collapsed="false">
      <c r="A1455" s="15" t="s">
        <v>79</v>
      </c>
      <c r="B1455" s="15" t="s">
        <v>214</v>
      </c>
      <c r="C1455" s="14" t="s">
        <v>9753</v>
      </c>
      <c r="D1455" s="14" t="s">
        <v>9754</v>
      </c>
      <c r="E1455" s="16" t="s">
        <v>9755</v>
      </c>
      <c r="F1455" s="16" t="s">
        <v>9756</v>
      </c>
      <c r="G1455" s="25" t="s">
        <v>39</v>
      </c>
      <c r="H1455" s="18" t="n">
        <v>11</v>
      </c>
      <c r="I1455" s="20" t="n">
        <v>279.64</v>
      </c>
      <c r="J1455" s="20" t="n">
        <v>603.03</v>
      </c>
      <c r="K1455" s="18" t="n">
        <v>11</v>
      </c>
      <c r="L1455" s="18" t="n">
        <v>13</v>
      </c>
      <c r="M1455" s="18" t="n">
        <v>276</v>
      </c>
      <c r="N1455" s="18" t="n">
        <v>77</v>
      </c>
      <c r="O1455" s="14" t="s">
        <v>9757</v>
      </c>
      <c r="P1455" s="14" t="s">
        <v>906</v>
      </c>
      <c r="Q1455" s="15" t="s">
        <v>1089</v>
      </c>
      <c r="R1455" s="16" t="s">
        <v>5909</v>
      </c>
      <c r="S1455" s="15" t="s">
        <v>9758</v>
      </c>
      <c r="T1455" s="15" t="s">
        <v>9758</v>
      </c>
      <c r="U1455" s="21" t="s">
        <v>72</v>
      </c>
    </row>
    <row r="1456" customFormat="false" ht="15" hidden="false" customHeight="false" outlineLevel="0" collapsed="false">
      <c r="A1456" s="15" t="s">
        <v>79</v>
      </c>
      <c r="B1456" s="15" t="s">
        <v>214</v>
      </c>
      <c r="C1456" s="14" t="s">
        <v>9759</v>
      </c>
      <c r="D1456" s="14" t="s">
        <v>9760</v>
      </c>
      <c r="E1456" s="16" t="s">
        <v>9761</v>
      </c>
      <c r="F1456" s="16"/>
      <c r="G1456" s="23" t="s">
        <v>43</v>
      </c>
      <c r="H1456" s="18" t="n">
        <v>1</v>
      </c>
      <c r="I1456" s="20" t="n">
        <v>36.25</v>
      </c>
      <c r="J1456" s="20" t="n">
        <v>122.9</v>
      </c>
      <c r="K1456" s="18" t="n">
        <v>7</v>
      </c>
      <c r="L1456" s="18" t="n">
        <v>7</v>
      </c>
      <c r="M1456" s="18" t="n">
        <v>210</v>
      </c>
      <c r="N1456" s="18" t="n">
        <v>60</v>
      </c>
      <c r="O1456" s="14" t="s">
        <v>1126</v>
      </c>
      <c r="P1456" s="14" t="s">
        <v>334</v>
      </c>
      <c r="Q1456" s="15" t="s">
        <v>1089</v>
      </c>
      <c r="R1456" s="16" t="s">
        <v>9762</v>
      </c>
      <c r="S1456" s="15" t="s">
        <v>9763</v>
      </c>
      <c r="T1456" s="15" t="s">
        <v>9763</v>
      </c>
      <c r="U1456" s="21" t="s">
        <v>72</v>
      </c>
    </row>
    <row r="1457" customFormat="false" ht="15" hidden="false" customHeight="false" outlineLevel="0" collapsed="false">
      <c r="A1457" s="15" t="s">
        <v>79</v>
      </c>
      <c r="B1457" s="15" t="s">
        <v>214</v>
      </c>
      <c r="C1457" s="14" t="s">
        <v>9764</v>
      </c>
      <c r="D1457" s="14" t="s">
        <v>9765</v>
      </c>
      <c r="E1457" s="16" t="s">
        <v>9766</v>
      </c>
      <c r="F1457" s="16" t="s">
        <v>9767</v>
      </c>
      <c r="G1457" s="25" t="s">
        <v>39</v>
      </c>
      <c r="H1457" s="18" t="n">
        <v>8</v>
      </c>
      <c r="I1457" s="20" t="n">
        <v>244.58</v>
      </c>
      <c r="J1457" s="20" t="n">
        <v>642.77</v>
      </c>
      <c r="K1457" s="18" t="n">
        <v>20</v>
      </c>
      <c r="L1457" s="18" t="n">
        <v>56</v>
      </c>
      <c r="M1457" s="18" t="n">
        <v>432</v>
      </c>
      <c r="N1457" s="18" t="n">
        <v>432</v>
      </c>
      <c r="O1457" s="14" t="s">
        <v>1126</v>
      </c>
      <c r="P1457" s="14" t="s">
        <v>84</v>
      </c>
      <c r="Q1457" s="15" t="s">
        <v>1089</v>
      </c>
      <c r="R1457" s="16" t="s">
        <v>9768</v>
      </c>
      <c r="S1457" s="15" t="s">
        <v>9769</v>
      </c>
      <c r="T1457" s="15" t="s">
        <v>9770</v>
      </c>
      <c r="U1457" s="21" t="s">
        <v>72</v>
      </c>
    </row>
    <row r="1458" customFormat="false" ht="15" hidden="false" customHeight="false" outlineLevel="0" collapsed="false">
      <c r="A1458" s="15" t="s">
        <v>79</v>
      </c>
      <c r="B1458" s="15" t="s">
        <v>214</v>
      </c>
      <c r="C1458" s="14" t="s">
        <v>9771</v>
      </c>
      <c r="D1458" s="14" t="s">
        <v>9772</v>
      </c>
      <c r="E1458" s="16" t="s">
        <v>9773</v>
      </c>
      <c r="F1458" s="16" t="s">
        <v>9774</v>
      </c>
      <c r="G1458" s="19" t="s">
        <v>41</v>
      </c>
      <c r="H1458" s="18" t="n">
        <v>4</v>
      </c>
      <c r="I1458" s="20" t="n">
        <v>134.44</v>
      </c>
      <c r="J1458" s="20" t="n">
        <v>246.29</v>
      </c>
      <c r="K1458" s="18" t="n">
        <v>5</v>
      </c>
      <c r="L1458" s="18" t="n">
        <v>2</v>
      </c>
      <c r="M1458" s="18" t="n">
        <v>140</v>
      </c>
      <c r="N1458" s="18" t="n">
        <v>60</v>
      </c>
      <c r="O1458" s="14" t="s">
        <v>1126</v>
      </c>
      <c r="P1458" s="14" t="s">
        <v>118</v>
      </c>
      <c r="Q1458" s="15" t="s">
        <v>1089</v>
      </c>
      <c r="R1458" s="16" t="s">
        <v>9775</v>
      </c>
      <c r="S1458" s="15" t="s">
        <v>9776</v>
      </c>
      <c r="T1458" s="15" t="s">
        <v>9777</v>
      </c>
      <c r="U1458" s="21" t="s">
        <v>72</v>
      </c>
    </row>
    <row r="1459" customFormat="false" ht="15" hidden="false" customHeight="false" outlineLevel="0" collapsed="false">
      <c r="A1459" s="15" t="s">
        <v>79</v>
      </c>
      <c r="B1459" s="15" t="s">
        <v>214</v>
      </c>
      <c r="C1459" s="14" t="s">
        <v>9778</v>
      </c>
      <c r="D1459" s="14" t="s">
        <v>9779</v>
      </c>
      <c r="E1459" s="16" t="s">
        <v>9780</v>
      </c>
      <c r="F1459" s="16" t="s">
        <v>9781</v>
      </c>
      <c r="G1459" s="23" t="s">
        <v>43</v>
      </c>
      <c r="H1459" s="18" t="n">
        <v>4</v>
      </c>
      <c r="I1459" s="20" t="n">
        <v>70.62</v>
      </c>
      <c r="J1459" s="20" t="n">
        <v>129.94</v>
      </c>
      <c r="K1459" s="18" t="n">
        <v>16</v>
      </c>
      <c r="L1459" s="18" t="n">
        <v>2</v>
      </c>
      <c r="M1459" s="18" t="n">
        <v>226</v>
      </c>
      <c r="N1459" s="18" t="n">
        <v>130</v>
      </c>
      <c r="O1459" s="14" t="s">
        <v>1088</v>
      </c>
      <c r="P1459" s="14" t="s">
        <v>118</v>
      </c>
      <c r="Q1459" s="15" t="s">
        <v>1089</v>
      </c>
      <c r="R1459" s="16" t="s">
        <v>9782</v>
      </c>
      <c r="S1459" s="15" t="s">
        <v>9783</v>
      </c>
      <c r="T1459" s="15" t="s">
        <v>9784</v>
      </c>
      <c r="U1459" s="21" t="s">
        <v>72</v>
      </c>
    </row>
    <row r="1460" customFormat="false" ht="15" hidden="false" customHeight="false" outlineLevel="0" collapsed="false">
      <c r="A1460" s="15" t="s">
        <v>79</v>
      </c>
      <c r="B1460" s="15" t="s">
        <v>214</v>
      </c>
      <c r="C1460" s="14" t="s">
        <v>447</v>
      </c>
      <c r="D1460" s="14" t="s">
        <v>9785</v>
      </c>
      <c r="E1460" s="16" t="s">
        <v>9786</v>
      </c>
      <c r="F1460" s="16" t="s">
        <v>450</v>
      </c>
      <c r="G1460" s="23" t="s">
        <v>43</v>
      </c>
      <c r="H1460" s="18" t="n">
        <v>2</v>
      </c>
      <c r="I1460" s="20" t="n">
        <v>52.21</v>
      </c>
      <c r="J1460" s="20" t="n">
        <v>119.46</v>
      </c>
      <c r="K1460" s="18" t="n">
        <v>8</v>
      </c>
      <c r="L1460" s="18" t="n">
        <v>3</v>
      </c>
      <c r="M1460" s="18" t="n">
        <v>172</v>
      </c>
      <c r="N1460" s="18" t="n">
        <v>84</v>
      </c>
      <c r="O1460" s="14" t="s">
        <v>9787</v>
      </c>
      <c r="P1460" s="14" t="s">
        <v>118</v>
      </c>
      <c r="Q1460" s="15" t="s">
        <v>1089</v>
      </c>
      <c r="R1460" s="16" t="s">
        <v>451</v>
      </c>
      <c r="S1460" s="15" t="s">
        <v>452</v>
      </c>
      <c r="T1460" s="15" t="s">
        <v>453</v>
      </c>
      <c r="U1460" s="21" t="s">
        <v>72</v>
      </c>
    </row>
    <row r="1461" customFormat="false" ht="15" hidden="false" customHeight="false" outlineLevel="0" collapsed="false">
      <c r="A1461" s="15" t="s">
        <v>79</v>
      </c>
      <c r="B1461" s="15" t="s">
        <v>214</v>
      </c>
      <c r="C1461" s="14" t="s">
        <v>9788</v>
      </c>
      <c r="D1461" s="14" t="s">
        <v>9789</v>
      </c>
      <c r="E1461" s="16" t="s">
        <v>9790</v>
      </c>
      <c r="F1461" s="16" t="s">
        <v>450</v>
      </c>
      <c r="G1461" s="23" t="s">
        <v>43</v>
      </c>
      <c r="H1461" s="18" t="n">
        <v>2</v>
      </c>
      <c r="I1461" s="20" t="n">
        <v>39.61</v>
      </c>
      <c r="J1461" s="20" t="n">
        <v>79.5</v>
      </c>
      <c r="K1461" s="18" t="n">
        <v>14</v>
      </c>
      <c r="L1461" s="18" t="n">
        <v>2</v>
      </c>
      <c r="M1461" s="18" t="n">
        <v>228</v>
      </c>
      <c r="N1461" s="18" t="n">
        <v>54</v>
      </c>
      <c r="O1461" s="14" t="s">
        <v>9791</v>
      </c>
      <c r="P1461" s="14" t="s">
        <v>118</v>
      </c>
      <c r="Q1461" s="15" t="s">
        <v>1089</v>
      </c>
      <c r="R1461" s="16" t="s">
        <v>9792</v>
      </c>
      <c r="S1461" s="15" t="s">
        <v>452</v>
      </c>
      <c r="T1461" s="15" t="s">
        <v>9793</v>
      </c>
      <c r="U1461" s="21" t="s">
        <v>72</v>
      </c>
    </row>
    <row r="1462" customFormat="false" ht="15" hidden="false" customHeight="false" outlineLevel="0" collapsed="false">
      <c r="A1462" s="15" t="s">
        <v>79</v>
      </c>
      <c r="B1462" s="15" t="s">
        <v>214</v>
      </c>
      <c r="C1462" s="14" t="s">
        <v>4618</v>
      </c>
      <c r="D1462" s="14" t="s">
        <v>9794</v>
      </c>
      <c r="E1462" s="16" t="s">
        <v>9795</v>
      </c>
      <c r="F1462" s="16" t="s">
        <v>9796</v>
      </c>
      <c r="G1462" s="23" t="s">
        <v>43</v>
      </c>
      <c r="H1462" s="18" t="n">
        <v>2</v>
      </c>
      <c r="I1462" s="20" t="n">
        <v>82.91</v>
      </c>
      <c r="J1462" s="20" t="n">
        <v>127.37</v>
      </c>
      <c r="K1462" s="18" t="n">
        <v>4</v>
      </c>
      <c r="L1462" s="18" t="n">
        <v>7</v>
      </c>
      <c r="M1462" s="18" t="n">
        <v>136</v>
      </c>
      <c r="N1462" s="18" t="n">
        <v>136</v>
      </c>
      <c r="O1462" s="14" t="s">
        <v>9797</v>
      </c>
      <c r="P1462" s="14" t="s">
        <v>118</v>
      </c>
      <c r="Q1462" s="15" t="s">
        <v>1089</v>
      </c>
      <c r="R1462" s="16" t="s">
        <v>9798</v>
      </c>
      <c r="S1462" s="15" t="s">
        <v>4622</v>
      </c>
      <c r="T1462" s="15" t="s">
        <v>9799</v>
      </c>
      <c r="U1462" s="21" t="s">
        <v>72</v>
      </c>
    </row>
    <row r="1463" customFormat="false" ht="15" hidden="false" customHeight="false" outlineLevel="0" collapsed="false">
      <c r="A1463" s="15" t="s">
        <v>79</v>
      </c>
      <c r="B1463" s="15" t="s">
        <v>214</v>
      </c>
      <c r="C1463" s="14" t="s">
        <v>9800</v>
      </c>
      <c r="D1463" s="14" t="s">
        <v>9801</v>
      </c>
      <c r="E1463" s="16" t="s">
        <v>9802</v>
      </c>
      <c r="F1463" s="16" t="s">
        <v>9803</v>
      </c>
      <c r="G1463" s="23" t="s">
        <v>43</v>
      </c>
      <c r="H1463" s="18" t="n">
        <v>1</v>
      </c>
      <c r="I1463" s="20" t="n">
        <v>65.92</v>
      </c>
      <c r="J1463" s="20" t="n">
        <v>103.54</v>
      </c>
      <c r="K1463" s="18" t="n">
        <v>4</v>
      </c>
      <c r="L1463" s="18" t="n">
        <v>4</v>
      </c>
      <c r="M1463" s="18" t="n">
        <v>216</v>
      </c>
      <c r="N1463" s="18" t="n">
        <v>216</v>
      </c>
      <c r="O1463" s="14" t="s">
        <v>9797</v>
      </c>
      <c r="P1463" s="14" t="s">
        <v>118</v>
      </c>
      <c r="Q1463" s="15" t="s">
        <v>1089</v>
      </c>
      <c r="R1463" s="16" t="s">
        <v>9804</v>
      </c>
      <c r="S1463" s="15" t="s">
        <v>4622</v>
      </c>
      <c r="T1463" s="15" t="s">
        <v>9805</v>
      </c>
      <c r="U1463" s="21" t="s">
        <v>72</v>
      </c>
    </row>
    <row r="1464" customFormat="false" ht="15" hidden="false" customHeight="false" outlineLevel="0" collapsed="false">
      <c r="A1464" s="15" t="s">
        <v>79</v>
      </c>
      <c r="B1464" s="15" t="s">
        <v>214</v>
      </c>
      <c r="C1464" s="14" t="s">
        <v>9806</v>
      </c>
      <c r="D1464" s="14" t="s">
        <v>9807</v>
      </c>
      <c r="E1464" s="16" t="s">
        <v>9808</v>
      </c>
      <c r="F1464" s="16" t="s">
        <v>9809</v>
      </c>
      <c r="G1464" s="23" t="s">
        <v>43</v>
      </c>
      <c r="H1464" s="18" t="n">
        <v>2</v>
      </c>
      <c r="I1464" s="20" t="n">
        <v>59.76</v>
      </c>
      <c r="J1464" s="20" t="n">
        <v>91.45</v>
      </c>
      <c r="K1464" s="18" t="n">
        <v>2</v>
      </c>
      <c r="L1464" s="18" t="n">
        <v>6</v>
      </c>
      <c r="M1464" s="18" t="n">
        <v>48</v>
      </c>
      <c r="N1464" s="18" t="n">
        <v>24</v>
      </c>
      <c r="O1464" s="14" t="s">
        <v>1126</v>
      </c>
      <c r="P1464" s="14" t="s">
        <v>94</v>
      </c>
      <c r="Q1464" s="15" t="s">
        <v>1089</v>
      </c>
      <c r="R1464" s="16" t="s">
        <v>4344</v>
      </c>
      <c r="S1464" s="15" t="s">
        <v>9810</v>
      </c>
      <c r="T1464" s="15" t="s">
        <v>9811</v>
      </c>
      <c r="U1464" s="21" t="s">
        <v>72</v>
      </c>
    </row>
    <row r="1465" customFormat="false" ht="15" hidden="false" customHeight="false" outlineLevel="0" collapsed="false">
      <c r="A1465" s="15" t="s">
        <v>79</v>
      </c>
      <c r="B1465" s="15" t="s">
        <v>214</v>
      </c>
      <c r="C1465" s="14" t="s">
        <v>9812</v>
      </c>
      <c r="D1465" s="14" t="s">
        <v>9813</v>
      </c>
      <c r="E1465" s="16" t="s">
        <v>9814</v>
      </c>
      <c r="F1465" s="16" t="s">
        <v>9815</v>
      </c>
      <c r="G1465" s="23" t="s">
        <v>43</v>
      </c>
      <c r="H1465" s="18" t="n">
        <v>3</v>
      </c>
      <c r="I1465" s="20" t="n">
        <v>73.25</v>
      </c>
      <c r="J1465" s="20" t="n">
        <v>113.03</v>
      </c>
      <c r="K1465" s="18" t="n">
        <v>16</v>
      </c>
      <c r="L1465" s="18" t="n">
        <v>3</v>
      </c>
      <c r="M1465" s="18" t="n">
        <v>252</v>
      </c>
      <c r="N1465" s="18" t="n">
        <v>60</v>
      </c>
      <c r="O1465" s="14" t="s">
        <v>9590</v>
      </c>
      <c r="P1465" s="14" t="s">
        <v>118</v>
      </c>
      <c r="Q1465" s="15" t="s">
        <v>1089</v>
      </c>
      <c r="R1465" s="16" t="s">
        <v>9816</v>
      </c>
      <c r="S1465" s="15" t="s">
        <v>9817</v>
      </c>
      <c r="T1465" s="15" t="s">
        <v>9817</v>
      </c>
      <c r="U1465" s="21" t="s">
        <v>72</v>
      </c>
    </row>
    <row r="1466" customFormat="false" ht="15" hidden="false" customHeight="false" outlineLevel="0" collapsed="false">
      <c r="A1466" s="15" t="s">
        <v>79</v>
      </c>
      <c r="B1466" s="15" t="s">
        <v>214</v>
      </c>
      <c r="C1466" s="14" t="s">
        <v>9818</v>
      </c>
      <c r="D1466" s="14" t="s">
        <v>9819</v>
      </c>
      <c r="E1466" s="16" t="s">
        <v>9820</v>
      </c>
      <c r="F1466" s="16" t="s">
        <v>9821</v>
      </c>
      <c r="G1466" s="23" t="s">
        <v>43</v>
      </c>
      <c r="H1466" s="18" t="n">
        <v>3</v>
      </c>
      <c r="I1466" s="20" t="n">
        <v>45.87</v>
      </c>
      <c r="J1466" s="20" t="n">
        <v>143.68</v>
      </c>
      <c r="K1466" s="18" t="n">
        <v>3</v>
      </c>
      <c r="L1466" s="18" t="n">
        <v>2</v>
      </c>
      <c r="M1466" s="18" t="n">
        <v>48</v>
      </c>
      <c r="N1466" s="18" t="n">
        <v>32</v>
      </c>
      <c r="O1466" s="14" t="s">
        <v>1126</v>
      </c>
      <c r="P1466" s="14" t="s">
        <v>84</v>
      </c>
      <c r="Q1466" s="15" t="s">
        <v>1089</v>
      </c>
      <c r="R1466" s="16" t="s">
        <v>7623</v>
      </c>
      <c r="S1466" s="15" t="s">
        <v>9822</v>
      </c>
      <c r="T1466" s="15" t="s">
        <v>9822</v>
      </c>
      <c r="U1466" s="21" t="s">
        <v>72</v>
      </c>
    </row>
    <row r="1467" customFormat="false" ht="15" hidden="false" customHeight="false" outlineLevel="0" collapsed="false">
      <c r="A1467" s="15" t="s">
        <v>79</v>
      </c>
      <c r="B1467" s="15" t="s">
        <v>214</v>
      </c>
      <c r="C1467" s="14" t="s">
        <v>9823</v>
      </c>
      <c r="D1467" s="14" t="s">
        <v>9824</v>
      </c>
      <c r="E1467" s="16" t="s">
        <v>9825</v>
      </c>
      <c r="F1467" s="16" t="s">
        <v>9826</v>
      </c>
      <c r="G1467" s="23" t="s">
        <v>43</v>
      </c>
      <c r="H1467" s="18" t="n">
        <v>3</v>
      </c>
      <c r="I1467" s="20" t="n">
        <v>46.96</v>
      </c>
      <c r="J1467" s="20" t="n">
        <v>117.23</v>
      </c>
      <c r="K1467" s="18" t="n">
        <v>4</v>
      </c>
      <c r="L1467" s="18"/>
      <c r="M1467" s="18" t="n">
        <v>49</v>
      </c>
      <c r="N1467" s="18" t="n">
        <v>11</v>
      </c>
      <c r="O1467" s="14" t="s">
        <v>1126</v>
      </c>
      <c r="P1467" s="14" t="s">
        <v>118</v>
      </c>
      <c r="Q1467" s="15" t="s">
        <v>1089</v>
      </c>
      <c r="R1467" s="16" t="s">
        <v>9827</v>
      </c>
      <c r="S1467" s="15" t="s">
        <v>9828</v>
      </c>
      <c r="T1467" s="15" t="s">
        <v>9829</v>
      </c>
      <c r="U1467" s="21" t="s">
        <v>72</v>
      </c>
    </row>
    <row r="1468" customFormat="false" ht="15" hidden="false" customHeight="false" outlineLevel="0" collapsed="false">
      <c r="A1468" s="15" t="s">
        <v>79</v>
      </c>
      <c r="B1468" s="15" t="s">
        <v>214</v>
      </c>
      <c r="C1468" s="14" t="s">
        <v>9830</v>
      </c>
      <c r="D1468" s="14" t="s">
        <v>9831</v>
      </c>
      <c r="E1468" s="16" t="s">
        <v>9832</v>
      </c>
      <c r="F1468" s="16" t="s">
        <v>9833</v>
      </c>
      <c r="G1468" s="19" t="s">
        <v>41</v>
      </c>
      <c r="H1468" s="18" t="n">
        <v>4</v>
      </c>
      <c r="I1468" s="20" t="n">
        <v>156.9</v>
      </c>
      <c r="J1468" s="20" t="n">
        <v>267.56</v>
      </c>
      <c r="K1468" s="18" t="n">
        <v>4</v>
      </c>
      <c r="L1468" s="18" t="n">
        <v>3</v>
      </c>
      <c r="M1468" s="18" t="n">
        <v>103</v>
      </c>
      <c r="N1468" s="18" t="n">
        <v>103</v>
      </c>
      <c r="O1468" s="14" t="s">
        <v>9834</v>
      </c>
      <c r="P1468" s="14" t="s">
        <v>84</v>
      </c>
      <c r="Q1468" s="15" t="s">
        <v>1089</v>
      </c>
      <c r="R1468" s="16" t="s">
        <v>9835</v>
      </c>
      <c r="S1468" s="15" t="s">
        <v>9836</v>
      </c>
      <c r="T1468" s="15" t="s">
        <v>9837</v>
      </c>
      <c r="U1468" s="21" t="s">
        <v>72</v>
      </c>
    </row>
    <row r="1469" customFormat="false" ht="15" hidden="false" customHeight="false" outlineLevel="0" collapsed="false">
      <c r="A1469" s="15" t="s">
        <v>79</v>
      </c>
      <c r="B1469" s="15" t="s">
        <v>214</v>
      </c>
      <c r="C1469" s="14" t="s">
        <v>9838</v>
      </c>
      <c r="D1469" s="14" t="s">
        <v>9839</v>
      </c>
      <c r="E1469" s="16" t="s">
        <v>9840</v>
      </c>
      <c r="F1469" s="16" t="s">
        <v>9841</v>
      </c>
      <c r="G1469" s="23" t="s">
        <v>43</v>
      </c>
      <c r="H1469" s="18" t="n">
        <v>3</v>
      </c>
      <c r="I1469" s="20" t="n">
        <v>51.58</v>
      </c>
      <c r="J1469" s="20" t="n">
        <v>104.91</v>
      </c>
      <c r="K1469" s="18" t="n">
        <v>5</v>
      </c>
      <c r="L1469" s="18" t="n">
        <v>3</v>
      </c>
      <c r="M1469" s="18" t="n">
        <v>70</v>
      </c>
      <c r="N1469" s="18" t="n">
        <v>42</v>
      </c>
      <c r="O1469" s="14" t="s">
        <v>1126</v>
      </c>
      <c r="P1469" s="14" t="s">
        <v>118</v>
      </c>
      <c r="Q1469" s="15" t="s">
        <v>1089</v>
      </c>
      <c r="R1469" s="16" t="s">
        <v>9842</v>
      </c>
      <c r="S1469" s="15" t="s">
        <v>426</v>
      </c>
      <c r="T1469" s="15" t="s">
        <v>9843</v>
      </c>
      <c r="U1469" s="21" t="s">
        <v>72</v>
      </c>
    </row>
    <row r="1470" customFormat="false" ht="15" hidden="false" customHeight="false" outlineLevel="0" collapsed="false">
      <c r="A1470" s="15" t="s">
        <v>79</v>
      </c>
      <c r="B1470" s="15" t="s">
        <v>214</v>
      </c>
      <c r="C1470" s="14" t="s">
        <v>9844</v>
      </c>
      <c r="D1470" s="14" t="s">
        <v>9845</v>
      </c>
      <c r="E1470" s="16" t="s">
        <v>9846</v>
      </c>
      <c r="F1470" s="16" t="s">
        <v>282</v>
      </c>
      <c r="G1470" s="25" t="s">
        <v>39</v>
      </c>
      <c r="H1470" s="18" t="n">
        <v>6</v>
      </c>
      <c r="I1470" s="20" t="n">
        <v>163.26</v>
      </c>
      <c r="J1470" s="20" t="n">
        <v>600.37</v>
      </c>
      <c r="K1470" s="18" t="n">
        <v>12</v>
      </c>
      <c r="L1470" s="18" t="n">
        <v>26</v>
      </c>
      <c r="M1470" s="18" t="n">
        <v>264</v>
      </c>
      <c r="N1470" s="18" t="n">
        <v>264</v>
      </c>
      <c r="O1470" s="14" t="s">
        <v>1126</v>
      </c>
      <c r="P1470" s="14" t="s">
        <v>84</v>
      </c>
      <c r="Q1470" s="15" t="s">
        <v>1089</v>
      </c>
      <c r="R1470" s="16" t="s">
        <v>4427</v>
      </c>
      <c r="S1470" s="15" t="s">
        <v>717</v>
      </c>
      <c r="T1470" s="15" t="s">
        <v>9847</v>
      </c>
      <c r="U1470" s="21" t="s">
        <v>72</v>
      </c>
    </row>
    <row r="1471" customFormat="false" ht="26.85" hidden="false" customHeight="false" outlineLevel="0" collapsed="false">
      <c r="A1471" s="15" t="s">
        <v>79</v>
      </c>
      <c r="B1471" s="15" t="s">
        <v>214</v>
      </c>
      <c r="C1471" s="14" t="s">
        <v>9848</v>
      </c>
      <c r="D1471" s="14" t="s">
        <v>9849</v>
      </c>
      <c r="E1471" s="16" t="s">
        <v>9850</v>
      </c>
      <c r="F1471" s="16" t="s">
        <v>9851</v>
      </c>
      <c r="G1471" s="25" t="s">
        <v>39</v>
      </c>
      <c r="H1471" s="18" t="n">
        <v>13</v>
      </c>
      <c r="I1471" s="20" t="n">
        <v>521.01</v>
      </c>
      <c r="J1471" s="20" t="n">
        <v>905.18</v>
      </c>
      <c r="K1471" s="18" t="n">
        <v>27</v>
      </c>
      <c r="L1471" s="18" t="n">
        <v>10</v>
      </c>
      <c r="M1471" s="18" t="n">
        <v>753</v>
      </c>
      <c r="N1471" s="18" t="n">
        <v>417</v>
      </c>
      <c r="O1471" s="14" t="s">
        <v>1126</v>
      </c>
      <c r="P1471" s="14" t="s">
        <v>906</v>
      </c>
      <c r="Q1471" s="15" t="s">
        <v>1089</v>
      </c>
      <c r="R1471" s="16" t="s">
        <v>4484</v>
      </c>
      <c r="S1471" s="15" t="s">
        <v>9852</v>
      </c>
      <c r="T1471" s="15" t="s">
        <v>9853</v>
      </c>
      <c r="U1471" s="21" t="s">
        <v>72</v>
      </c>
    </row>
    <row r="1472" customFormat="false" ht="15" hidden="false" customHeight="false" outlineLevel="0" collapsed="false">
      <c r="A1472" s="15" t="s">
        <v>79</v>
      </c>
      <c r="B1472" s="15" t="s">
        <v>214</v>
      </c>
      <c r="C1472" s="14" t="s">
        <v>9854</v>
      </c>
      <c r="D1472" s="14" t="s">
        <v>9855</v>
      </c>
      <c r="E1472" s="16" t="s">
        <v>9856</v>
      </c>
      <c r="F1472" s="16" t="s">
        <v>9857</v>
      </c>
      <c r="G1472" s="23" t="s">
        <v>43</v>
      </c>
      <c r="H1472" s="18" t="n">
        <v>3</v>
      </c>
      <c r="I1472" s="20" t="n">
        <v>33.51</v>
      </c>
      <c r="J1472" s="20" t="n">
        <v>76.32</v>
      </c>
      <c r="K1472" s="18" t="n">
        <v>3</v>
      </c>
      <c r="L1472" s="18" t="n">
        <v>5</v>
      </c>
      <c r="M1472" s="18" t="n">
        <v>33</v>
      </c>
      <c r="N1472" s="18" t="n">
        <v>33</v>
      </c>
      <c r="O1472" s="14" t="s">
        <v>1126</v>
      </c>
      <c r="P1472" s="14" t="s">
        <v>84</v>
      </c>
      <c r="Q1472" s="15" t="s">
        <v>1089</v>
      </c>
      <c r="R1472" s="16" t="s">
        <v>7698</v>
      </c>
      <c r="S1472" s="15" t="s">
        <v>9858</v>
      </c>
      <c r="T1472" s="15" t="s">
        <v>9859</v>
      </c>
      <c r="U1472" s="21" t="s">
        <v>72</v>
      </c>
    </row>
    <row r="1473" customFormat="false" ht="15" hidden="false" customHeight="false" outlineLevel="0" collapsed="false">
      <c r="A1473" s="15" t="s">
        <v>79</v>
      </c>
      <c r="B1473" s="15" t="s">
        <v>214</v>
      </c>
      <c r="C1473" s="14" t="s">
        <v>9860</v>
      </c>
      <c r="D1473" s="14" t="s">
        <v>9861</v>
      </c>
      <c r="E1473" s="16" t="s">
        <v>9862</v>
      </c>
      <c r="F1473" s="16" t="s">
        <v>9863</v>
      </c>
      <c r="G1473" s="19" t="s">
        <v>41</v>
      </c>
      <c r="H1473" s="18" t="n">
        <v>2</v>
      </c>
      <c r="I1473" s="20" t="n">
        <v>62.9</v>
      </c>
      <c r="J1473" s="20" t="n">
        <v>211.84</v>
      </c>
      <c r="K1473" s="18" t="n">
        <v>5</v>
      </c>
      <c r="L1473" s="18" t="n">
        <v>7</v>
      </c>
      <c r="M1473" s="18" t="n">
        <v>125</v>
      </c>
      <c r="N1473" s="18" t="n">
        <v>25</v>
      </c>
      <c r="O1473" s="14" t="s">
        <v>1126</v>
      </c>
      <c r="P1473" s="14" t="s">
        <v>334</v>
      </c>
      <c r="Q1473" s="15" t="s">
        <v>1089</v>
      </c>
      <c r="R1473" s="16" t="s">
        <v>7307</v>
      </c>
      <c r="S1473" s="15" t="s">
        <v>9864</v>
      </c>
      <c r="T1473" s="15" t="s">
        <v>9865</v>
      </c>
      <c r="U1473" s="21" t="s">
        <v>72</v>
      </c>
    </row>
    <row r="1474" customFormat="false" ht="15" hidden="false" customHeight="false" outlineLevel="0" collapsed="false">
      <c r="A1474" s="15" t="s">
        <v>79</v>
      </c>
      <c r="B1474" s="15" t="s">
        <v>214</v>
      </c>
      <c r="C1474" s="14" t="s">
        <v>330</v>
      </c>
      <c r="D1474" s="14" t="s">
        <v>9866</v>
      </c>
      <c r="E1474" s="16" t="s">
        <v>9867</v>
      </c>
      <c r="F1474" s="16" t="s">
        <v>333</v>
      </c>
      <c r="G1474" s="19" t="s">
        <v>41</v>
      </c>
      <c r="H1474" s="18" t="n">
        <v>4</v>
      </c>
      <c r="I1474" s="20" t="n">
        <v>104.14</v>
      </c>
      <c r="J1474" s="20" t="n">
        <v>214.14</v>
      </c>
      <c r="K1474" s="18" t="n">
        <v>10</v>
      </c>
      <c r="L1474" s="18" t="n">
        <v>1</v>
      </c>
      <c r="M1474" s="18" t="n">
        <v>219</v>
      </c>
      <c r="N1474" s="18" t="n">
        <v>52</v>
      </c>
      <c r="O1474" s="14" t="s">
        <v>1126</v>
      </c>
      <c r="P1474" s="14" t="s">
        <v>334</v>
      </c>
      <c r="Q1474" s="15" t="s">
        <v>1089</v>
      </c>
      <c r="R1474" s="16" t="s">
        <v>335</v>
      </c>
      <c r="S1474" s="15" t="s">
        <v>336</v>
      </c>
      <c r="T1474" s="15" t="s">
        <v>337</v>
      </c>
      <c r="U1474" s="21" t="s">
        <v>72</v>
      </c>
    </row>
    <row r="1475" customFormat="false" ht="15" hidden="false" customHeight="false" outlineLevel="0" collapsed="false">
      <c r="A1475" s="15" t="s">
        <v>79</v>
      </c>
      <c r="B1475" s="15" t="s">
        <v>214</v>
      </c>
      <c r="C1475" s="14" t="s">
        <v>9868</v>
      </c>
      <c r="D1475" s="14" t="s">
        <v>9869</v>
      </c>
      <c r="E1475" s="16" t="s">
        <v>9870</v>
      </c>
      <c r="F1475" s="16" t="s">
        <v>9871</v>
      </c>
      <c r="G1475" s="19" t="s">
        <v>41</v>
      </c>
      <c r="H1475" s="18" t="n">
        <v>5</v>
      </c>
      <c r="I1475" s="20" t="n">
        <v>186.62</v>
      </c>
      <c r="J1475" s="20" t="n">
        <v>301.9</v>
      </c>
      <c r="K1475" s="18" t="n">
        <v>8</v>
      </c>
      <c r="L1475" s="18" t="n">
        <v>4</v>
      </c>
      <c r="M1475" s="18" t="n">
        <v>203</v>
      </c>
      <c r="N1475" s="18" t="n">
        <v>22</v>
      </c>
      <c r="O1475" s="14" t="s">
        <v>1126</v>
      </c>
      <c r="P1475" s="14" t="s">
        <v>118</v>
      </c>
      <c r="Q1475" s="15" t="s">
        <v>1089</v>
      </c>
      <c r="R1475" s="16" t="s">
        <v>9872</v>
      </c>
      <c r="S1475" s="15" t="s">
        <v>9873</v>
      </c>
      <c r="T1475" s="15" t="s">
        <v>9873</v>
      </c>
      <c r="U1475" s="21" t="s">
        <v>72</v>
      </c>
    </row>
    <row r="1476" customFormat="false" ht="15" hidden="false" customHeight="false" outlineLevel="0" collapsed="false">
      <c r="A1476" s="15" t="s">
        <v>79</v>
      </c>
      <c r="B1476" s="15" t="s">
        <v>214</v>
      </c>
      <c r="C1476" s="14" t="s">
        <v>9874</v>
      </c>
      <c r="D1476" s="14" t="s">
        <v>9875</v>
      </c>
      <c r="E1476" s="16" t="s">
        <v>9876</v>
      </c>
      <c r="F1476" s="16" t="s">
        <v>9877</v>
      </c>
      <c r="G1476" s="19" t="s">
        <v>41</v>
      </c>
      <c r="H1476" s="18" t="n">
        <v>5</v>
      </c>
      <c r="I1476" s="20" t="n">
        <v>168.25</v>
      </c>
      <c r="J1476" s="20" t="n">
        <v>389.99</v>
      </c>
      <c r="K1476" s="18" t="n">
        <v>6</v>
      </c>
      <c r="L1476" s="18" t="n">
        <v>4</v>
      </c>
      <c r="M1476" s="18" t="n">
        <v>163</v>
      </c>
      <c r="N1476" s="18" t="n">
        <v>26</v>
      </c>
      <c r="O1476" s="14" t="s">
        <v>1126</v>
      </c>
      <c r="P1476" s="14" t="s">
        <v>334</v>
      </c>
      <c r="Q1476" s="15" t="s">
        <v>1089</v>
      </c>
      <c r="R1476" s="16" t="s">
        <v>9878</v>
      </c>
      <c r="S1476" s="15" t="s">
        <v>9879</v>
      </c>
      <c r="T1476" s="15" t="s">
        <v>9879</v>
      </c>
      <c r="U1476" s="21" t="s">
        <v>72</v>
      </c>
    </row>
    <row r="1477" customFormat="false" ht="15" hidden="false" customHeight="false" outlineLevel="0" collapsed="false">
      <c r="A1477" s="15" t="s">
        <v>79</v>
      </c>
      <c r="B1477" s="15" t="s">
        <v>214</v>
      </c>
      <c r="C1477" s="14" t="s">
        <v>9880</v>
      </c>
      <c r="D1477" s="14" t="s">
        <v>9881</v>
      </c>
      <c r="E1477" s="16" t="s">
        <v>9882</v>
      </c>
      <c r="F1477" s="16" t="s">
        <v>9883</v>
      </c>
      <c r="G1477" s="25" t="s">
        <v>39</v>
      </c>
      <c r="H1477" s="18" t="n">
        <v>10</v>
      </c>
      <c r="I1477" s="20" t="n">
        <v>69.85</v>
      </c>
      <c r="J1477" s="20" t="n">
        <v>251.42</v>
      </c>
      <c r="K1477" s="18" t="n">
        <v>36</v>
      </c>
      <c r="L1477" s="18" t="n">
        <v>4</v>
      </c>
      <c r="M1477" s="18" t="n">
        <v>72</v>
      </c>
      <c r="N1477" s="18" t="n">
        <v>18</v>
      </c>
      <c r="O1477" s="14" t="s">
        <v>3724</v>
      </c>
      <c r="P1477" s="14" t="s">
        <v>118</v>
      </c>
      <c r="Q1477" s="15" t="s">
        <v>1089</v>
      </c>
      <c r="R1477" s="16" t="s">
        <v>9884</v>
      </c>
      <c r="S1477" s="15" t="s">
        <v>9879</v>
      </c>
      <c r="T1477" s="15" t="s">
        <v>9885</v>
      </c>
      <c r="U1477" s="21" t="s">
        <v>72</v>
      </c>
    </row>
    <row r="1478" customFormat="false" ht="15" hidden="false" customHeight="false" outlineLevel="0" collapsed="false">
      <c r="A1478" s="15" t="s">
        <v>79</v>
      </c>
      <c r="B1478" s="15" t="s">
        <v>214</v>
      </c>
      <c r="C1478" s="14" t="s">
        <v>9886</v>
      </c>
      <c r="D1478" s="14" t="s">
        <v>9887</v>
      </c>
      <c r="E1478" s="16" t="s">
        <v>9888</v>
      </c>
      <c r="F1478" s="16" t="s">
        <v>9889</v>
      </c>
      <c r="G1478" s="19" t="s">
        <v>41</v>
      </c>
      <c r="H1478" s="18" t="n">
        <v>5</v>
      </c>
      <c r="I1478" s="20" t="n">
        <v>109.52</v>
      </c>
      <c r="J1478" s="20" t="n">
        <v>192</v>
      </c>
      <c r="K1478" s="18" t="n">
        <v>17</v>
      </c>
      <c r="L1478" s="18" t="n">
        <v>3</v>
      </c>
      <c r="M1478" s="18" t="n">
        <v>283</v>
      </c>
      <c r="N1478" s="18" t="n">
        <v>114</v>
      </c>
      <c r="O1478" s="14" t="s">
        <v>9890</v>
      </c>
      <c r="P1478" s="14" t="s">
        <v>118</v>
      </c>
      <c r="Q1478" s="15" t="s">
        <v>1089</v>
      </c>
      <c r="R1478" s="16" t="s">
        <v>9891</v>
      </c>
      <c r="S1478" s="15" t="s">
        <v>9892</v>
      </c>
      <c r="T1478" s="15" t="s">
        <v>9892</v>
      </c>
      <c r="U1478" s="21" t="s">
        <v>72</v>
      </c>
    </row>
    <row r="1479" customFormat="false" ht="15" hidden="false" customHeight="false" outlineLevel="0" collapsed="false">
      <c r="A1479" s="15" t="s">
        <v>79</v>
      </c>
      <c r="B1479" s="15" t="s">
        <v>214</v>
      </c>
      <c r="C1479" s="14" t="s">
        <v>9893</v>
      </c>
      <c r="D1479" s="14" t="s">
        <v>9894</v>
      </c>
      <c r="E1479" s="16" t="s">
        <v>9895</v>
      </c>
      <c r="F1479" s="16" t="s">
        <v>9896</v>
      </c>
      <c r="G1479" s="23" t="s">
        <v>43</v>
      </c>
      <c r="H1479" s="18" t="n">
        <v>1</v>
      </c>
      <c r="I1479" s="20" t="n">
        <v>40.65</v>
      </c>
      <c r="J1479" s="20" t="n">
        <v>123.27</v>
      </c>
      <c r="K1479" s="18" t="n">
        <v>9</v>
      </c>
      <c r="L1479" s="18" t="n">
        <v>2</v>
      </c>
      <c r="M1479" s="18" t="n">
        <v>297</v>
      </c>
      <c r="N1479" s="18" t="n">
        <v>231</v>
      </c>
      <c r="O1479" s="14" t="s">
        <v>1126</v>
      </c>
      <c r="P1479" s="14" t="s">
        <v>118</v>
      </c>
      <c r="Q1479" s="15" t="s">
        <v>1089</v>
      </c>
      <c r="R1479" s="16" t="s">
        <v>9897</v>
      </c>
      <c r="S1479" s="15" t="s">
        <v>9898</v>
      </c>
      <c r="T1479" s="15" t="s">
        <v>9898</v>
      </c>
      <c r="U1479" s="21" t="s">
        <v>72</v>
      </c>
    </row>
    <row r="1480" customFormat="false" ht="26.85" hidden="false" customHeight="false" outlineLevel="0" collapsed="false">
      <c r="A1480" s="15" t="s">
        <v>79</v>
      </c>
      <c r="B1480" s="15" t="s">
        <v>214</v>
      </c>
      <c r="C1480" s="14" t="s">
        <v>9899</v>
      </c>
      <c r="D1480" s="14" t="s">
        <v>9900</v>
      </c>
      <c r="E1480" s="16" t="s">
        <v>9901</v>
      </c>
      <c r="F1480" s="16" t="s">
        <v>9902</v>
      </c>
      <c r="G1480" s="23" t="s">
        <v>43</v>
      </c>
      <c r="H1480" s="18" t="n">
        <v>2</v>
      </c>
      <c r="I1480" s="20" t="n">
        <v>37.75</v>
      </c>
      <c r="J1480" s="20" t="n">
        <v>104.48</v>
      </c>
      <c r="K1480" s="18" t="n">
        <v>5</v>
      </c>
      <c r="L1480" s="18" t="n">
        <v>2</v>
      </c>
      <c r="M1480" s="18" t="n">
        <v>82</v>
      </c>
      <c r="N1480" s="18" t="n">
        <v>20</v>
      </c>
      <c r="O1480" s="14" t="s">
        <v>1126</v>
      </c>
      <c r="P1480" s="14" t="s">
        <v>906</v>
      </c>
      <c r="Q1480" s="15" t="s">
        <v>1089</v>
      </c>
      <c r="R1480" s="16" t="s">
        <v>9903</v>
      </c>
      <c r="S1480" s="15" t="s">
        <v>9904</v>
      </c>
      <c r="T1480" s="15" t="s">
        <v>9905</v>
      </c>
      <c r="U1480" s="21" t="s">
        <v>72</v>
      </c>
    </row>
    <row r="1481" customFormat="false" ht="26.85" hidden="false" customHeight="false" outlineLevel="0" collapsed="false">
      <c r="A1481" s="15" t="s">
        <v>79</v>
      </c>
      <c r="B1481" s="15" t="s">
        <v>214</v>
      </c>
      <c r="C1481" s="14" t="s">
        <v>9906</v>
      </c>
      <c r="D1481" s="14" t="s">
        <v>9907</v>
      </c>
      <c r="E1481" s="16" t="s">
        <v>9908</v>
      </c>
      <c r="F1481" s="16" t="s">
        <v>9909</v>
      </c>
      <c r="G1481" s="19" t="s">
        <v>41</v>
      </c>
      <c r="H1481" s="18" t="n">
        <v>4</v>
      </c>
      <c r="I1481" s="20" t="n">
        <v>78.81</v>
      </c>
      <c r="J1481" s="20" t="n">
        <v>238.97</v>
      </c>
      <c r="K1481" s="18" t="n">
        <v>7</v>
      </c>
      <c r="L1481" s="18" t="n">
        <v>1</v>
      </c>
      <c r="M1481" s="18" t="n">
        <v>115</v>
      </c>
      <c r="N1481" s="18" t="n">
        <v>61</v>
      </c>
      <c r="O1481" s="14" t="s">
        <v>9910</v>
      </c>
      <c r="P1481" s="14" t="s">
        <v>334</v>
      </c>
      <c r="Q1481" s="15" t="s">
        <v>1089</v>
      </c>
      <c r="R1481" s="16" t="s">
        <v>9911</v>
      </c>
      <c r="S1481" s="15" t="s">
        <v>336</v>
      </c>
      <c r="T1481" s="15" t="s">
        <v>9912</v>
      </c>
      <c r="U1481" s="21" t="s">
        <v>72</v>
      </c>
    </row>
    <row r="1482" customFormat="false" ht="26.85" hidden="false" customHeight="false" outlineLevel="0" collapsed="false">
      <c r="A1482" s="15" t="s">
        <v>79</v>
      </c>
      <c r="B1482" s="15" t="s">
        <v>214</v>
      </c>
      <c r="C1482" s="14" t="s">
        <v>9913</v>
      </c>
      <c r="D1482" s="14" t="s">
        <v>9914</v>
      </c>
      <c r="E1482" s="16" t="s">
        <v>9915</v>
      </c>
      <c r="F1482" s="16" t="s">
        <v>9916</v>
      </c>
      <c r="G1482" s="19" t="s">
        <v>41</v>
      </c>
      <c r="H1482" s="18" t="n">
        <v>6</v>
      </c>
      <c r="I1482" s="20" t="n">
        <v>110.71</v>
      </c>
      <c r="J1482" s="20" t="n">
        <v>237.72</v>
      </c>
      <c r="K1482" s="18" t="n">
        <v>8</v>
      </c>
      <c r="L1482" s="18" t="n">
        <v>1</v>
      </c>
      <c r="M1482" s="18" t="n">
        <v>98</v>
      </c>
      <c r="N1482" s="18" t="n">
        <v>20</v>
      </c>
      <c r="O1482" s="14" t="s">
        <v>1126</v>
      </c>
      <c r="P1482" s="14" t="s">
        <v>9917</v>
      </c>
      <c r="Q1482" s="15" t="s">
        <v>1089</v>
      </c>
      <c r="R1482" s="16" t="s">
        <v>9918</v>
      </c>
      <c r="S1482" s="15" t="s">
        <v>9919</v>
      </c>
      <c r="T1482" s="15" t="s">
        <v>9919</v>
      </c>
      <c r="U1482" s="21" t="s">
        <v>72</v>
      </c>
    </row>
    <row r="1483" customFormat="false" ht="15" hidden="false" customHeight="false" outlineLevel="0" collapsed="false">
      <c r="A1483" s="15" t="s">
        <v>79</v>
      </c>
      <c r="B1483" s="15" t="s">
        <v>214</v>
      </c>
      <c r="C1483" s="14" t="s">
        <v>9920</v>
      </c>
      <c r="D1483" s="14" t="s">
        <v>9921</v>
      </c>
      <c r="E1483" s="16" t="s">
        <v>9922</v>
      </c>
      <c r="F1483" s="16"/>
      <c r="G1483" s="23" t="s">
        <v>43</v>
      </c>
      <c r="H1483" s="18" t="n">
        <v>3</v>
      </c>
      <c r="I1483" s="20" t="n">
        <v>60.45</v>
      </c>
      <c r="J1483" s="20" t="n">
        <v>116.29</v>
      </c>
      <c r="K1483" s="18" t="n">
        <v>4</v>
      </c>
      <c r="L1483" s="18" t="n">
        <v>2</v>
      </c>
      <c r="M1483" s="18" t="n">
        <v>74</v>
      </c>
      <c r="N1483" s="18" t="n">
        <v>74</v>
      </c>
      <c r="O1483" s="14" t="s">
        <v>9923</v>
      </c>
      <c r="P1483" s="14" t="s">
        <v>84</v>
      </c>
      <c r="Q1483" s="15" t="s">
        <v>1089</v>
      </c>
      <c r="R1483" s="16" t="s">
        <v>6301</v>
      </c>
      <c r="S1483" s="15" t="s">
        <v>9924</v>
      </c>
      <c r="T1483" s="15" t="s">
        <v>9925</v>
      </c>
      <c r="U1483" s="21" t="s">
        <v>72</v>
      </c>
    </row>
    <row r="1484" customFormat="false" ht="15" hidden="false" customHeight="false" outlineLevel="0" collapsed="false">
      <c r="A1484" s="15" t="s">
        <v>79</v>
      </c>
      <c r="B1484" s="15" t="s">
        <v>214</v>
      </c>
      <c r="C1484" s="14" t="s">
        <v>9926</v>
      </c>
      <c r="D1484" s="14" t="s">
        <v>9927</v>
      </c>
      <c r="E1484" s="16" t="s">
        <v>9928</v>
      </c>
      <c r="F1484" s="16" t="s">
        <v>9929</v>
      </c>
      <c r="G1484" s="25" t="s">
        <v>39</v>
      </c>
      <c r="H1484" s="18" t="n">
        <v>9</v>
      </c>
      <c r="I1484" s="20" t="n">
        <v>256.74</v>
      </c>
      <c r="J1484" s="20" t="n">
        <v>384.2</v>
      </c>
      <c r="K1484" s="18" t="n">
        <v>12</v>
      </c>
      <c r="L1484" s="18" t="n">
        <v>9</v>
      </c>
      <c r="M1484" s="18" t="n">
        <v>270</v>
      </c>
      <c r="N1484" s="18" t="n">
        <v>270</v>
      </c>
      <c r="O1484" s="14" t="s">
        <v>1126</v>
      </c>
      <c r="P1484" s="14" t="s">
        <v>84</v>
      </c>
      <c r="Q1484" s="15" t="s">
        <v>1089</v>
      </c>
      <c r="R1484" s="16" t="s">
        <v>2356</v>
      </c>
      <c r="S1484" s="15" t="s">
        <v>2220</v>
      </c>
      <c r="T1484" s="15" t="s">
        <v>9930</v>
      </c>
      <c r="U1484" s="21" t="s">
        <v>72</v>
      </c>
    </row>
    <row r="1485" customFormat="false" ht="15" hidden="false" customHeight="false" outlineLevel="0" collapsed="false">
      <c r="A1485" s="15" t="s">
        <v>79</v>
      </c>
      <c r="B1485" s="15" t="s">
        <v>214</v>
      </c>
      <c r="C1485" s="14" t="s">
        <v>9931</v>
      </c>
      <c r="D1485" s="14" t="s">
        <v>9932</v>
      </c>
      <c r="E1485" s="16" t="s">
        <v>9933</v>
      </c>
      <c r="F1485" s="16" t="s">
        <v>9934</v>
      </c>
      <c r="G1485" s="19" t="s">
        <v>41</v>
      </c>
      <c r="H1485" s="18" t="n">
        <v>6</v>
      </c>
      <c r="I1485" s="20" t="n">
        <v>111.54</v>
      </c>
      <c r="J1485" s="20" t="n">
        <v>222.56</v>
      </c>
      <c r="K1485" s="18" t="n">
        <v>6</v>
      </c>
      <c r="L1485" s="18" t="n">
        <v>1</v>
      </c>
      <c r="M1485" s="18" t="n">
        <v>90</v>
      </c>
      <c r="N1485" s="18" t="n">
        <v>24</v>
      </c>
      <c r="O1485" s="14" t="s">
        <v>1126</v>
      </c>
      <c r="P1485" s="14" t="s">
        <v>118</v>
      </c>
      <c r="Q1485" s="15" t="s">
        <v>1089</v>
      </c>
      <c r="R1485" s="16" t="s">
        <v>9935</v>
      </c>
      <c r="S1485" s="15" t="s">
        <v>9836</v>
      </c>
      <c r="T1485" s="15" t="s">
        <v>9936</v>
      </c>
      <c r="U1485" s="21" t="s">
        <v>72</v>
      </c>
    </row>
    <row r="1486" customFormat="false" ht="15" hidden="false" customHeight="false" outlineLevel="0" collapsed="false">
      <c r="A1486" s="15" t="s">
        <v>79</v>
      </c>
      <c r="B1486" s="15" t="s">
        <v>214</v>
      </c>
      <c r="C1486" s="14" t="s">
        <v>9937</v>
      </c>
      <c r="D1486" s="14" t="s">
        <v>9938</v>
      </c>
      <c r="E1486" s="16" t="s">
        <v>9939</v>
      </c>
      <c r="F1486" s="16" t="s">
        <v>9940</v>
      </c>
      <c r="G1486" s="23" t="s">
        <v>43</v>
      </c>
      <c r="H1486" s="18" t="n">
        <v>2</v>
      </c>
      <c r="I1486" s="20" t="n">
        <v>87.1</v>
      </c>
      <c r="J1486" s="20" t="n">
        <v>161.93</v>
      </c>
      <c r="K1486" s="18" t="n">
        <v>4</v>
      </c>
      <c r="L1486" s="18" t="n">
        <v>3</v>
      </c>
      <c r="M1486" s="18" t="n">
        <v>144</v>
      </c>
      <c r="N1486" s="18" t="n">
        <v>144</v>
      </c>
      <c r="O1486" s="14" t="s">
        <v>1088</v>
      </c>
      <c r="P1486" s="14" t="s">
        <v>84</v>
      </c>
      <c r="Q1486" s="15" t="s">
        <v>1089</v>
      </c>
      <c r="R1486" s="16" t="s">
        <v>9941</v>
      </c>
      <c r="S1486" s="15" t="s">
        <v>9942</v>
      </c>
      <c r="T1486" s="15" t="s">
        <v>9943</v>
      </c>
      <c r="U1486" s="21" t="s">
        <v>72</v>
      </c>
    </row>
    <row r="1487" customFormat="false" ht="15" hidden="false" customHeight="false" outlineLevel="0" collapsed="false">
      <c r="A1487" s="15" t="s">
        <v>79</v>
      </c>
      <c r="B1487" s="15" t="s">
        <v>214</v>
      </c>
      <c r="C1487" s="14" t="s">
        <v>9944</v>
      </c>
      <c r="D1487" s="14" t="s">
        <v>9945</v>
      </c>
      <c r="E1487" s="16" t="s">
        <v>9946</v>
      </c>
      <c r="F1487" s="16" t="s">
        <v>9947</v>
      </c>
      <c r="G1487" s="23" t="s">
        <v>43</v>
      </c>
      <c r="H1487" s="18" t="n">
        <v>2</v>
      </c>
      <c r="I1487" s="20" t="n">
        <v>47.13</v>
      </c>
      <c r="J1487" s="20" t="n">
        <v>90.03</v>
      </c>
      <c r="K1487" s="18" t="n">
        <v>9</v>
      </c>
      <c r="L1487" s="18" t="n">
        <v>5</v>
      </c>
      <c r="M1487" s="18" t="n">
        <v>156</v>
      </c>
      <c r="N1487" s="18" t="n">
        <v>42</v>
      </c>
      <c r="O1487" s="14" t="s">
        <v>1126</v>
      </c>
      <c r="P1487" s="14" t="s">
        <v>118</v>
      </c>
      <c r="Q1487" s="15" t="s">
        <v>1089</v>
      </c>
      <c r="R1487" s="16" t="s">
        <v>9948</v>
      </c>
      <c r="S1487" s="15" t="s">
        <v>9949</v>
      </c>
      <c r="T1487" s="15" t="s">
        <v>9950</v>
      </c>
      <c r="U1487" s="21" t="s">
        <v>72</v>
      </c>
    </row>
    <row r="1488" customFormat="false" ht="15" hidden="false" customHeight="false" outlineLevel="0" collapsed="false">
      <c r="A1488" s="15" t="s">
        <v>79</v>
      </c>
      <c r="B1488" s="15" t="s">
        <v>214</v>
      </c>
      <c r="C1488" s="14" t="s">
        <v>9951</v>
      </c>
      <c r="D1488" s="14" t="s">
        <v>9952</v>
      </c>
      <c r="E1488" s="16" t="s">
        <v>9953</v>
      </c>
      <c r="F1488" s="16" t="s">
        <v>9954</v>
      </c>
      <c r="G1488" s="19" t="s">
        <v>41</v>
      </c>
      <c r="H1488" s="18" t="n">
        <v>6</v>
      </c>
      <c r="I1488" s="20" t="n">
        <v>200.01</v>
      </c>
      <c r="J1488" s="20" t="n">
        <v>377.92</v>
      </c>
      <c r="K1488" s="18" t="n">
        <v>20</v>
      </c>
      <c r="L1488" s="18" t="n">
        <v>5</v>
      </c>
      <c r="M1488" s="18" t="n">
        <v>358</v>
      </c>
      <c r="N1488" s="18" t="n">
        <v>100</v>
      </c>
      <c r="O1488" s="14" t="s">
        <v>9955</v>
      </c>
      <c r="P1488" s="14" t="s">
        <v>118</v>
      </c>
      <c r="Q1488" s="15" t="s">
        <v>1089</v>
      </c>
      <c r="R1488" s="16" t="s">
        <v>9956</v>
      </c>
      <c r="S1488" s="15" t="s">
        <v>9957</v>
      </c>
      <c r="T1488" s="15" t="s">
        <v>9957</v>
      </c>
      <c r="U1488" s="21" t="s">
        <v>72</v>
      </c>
    </row>
    <row r="1489" customFormat="false" ht="15" hidden="false" customHeight="false" outlineLevel="0" collapsed="false">
      <c r="A1489" s="15" t="s">
        <v>79</v>
      </c>
      <c r="B1489" s="15" t="s">
        <v>214</v>
      </c>
      <c r="C1489" s="14" t="s">
        <v>9958</v>
      </c>
      <c r="D1489" s="14" t="s">
        <v>9959</v>
      </c>
      <c r="E1489" s="16" t="s">
        <v>9960</v>
      </c>
      <c r="F1489" s="16" t="s">
        <v>9961</v>
      </c>
      <c r="G1489" s="23" t="s">
        <v>43</v>
      </c>
      <c r="H1489" s="18" t="n">
        <v>3</v>
      </c>
      <c r="I1489" s="20" t="n">
        <v>79.42</v>
      </c>
      <c r="J1489" s="20" t="n">
        <v>191.62</v>
      </c>
      <c r="K1489" s="18" t="n">
        <v>10</v>
      </c>
      <c r="L1489" s="18" t="n">
        <v>8</v>
      </c>
      <c r="M1489" s="18" t="n">
        <v>196</v>
      </c>
      <c r="N1489" s="18" t="n">
        <v>119</v>
      </c>
      <c r="O1489" s="14" t="s">
        <v>9962</v>
      </c>
      <c r="P1489" s="14" t="s">
        <v>118</v>
      </c>
      <c r="Q1489" s="15" t="s">
        <v>1089</v>
      </c>
      <c r="R1489" s="16" t="s">
        <v>9963</v>
      </c>
      <c r="S1489" s="15" t="s">
        <v>9964</v>
      </c>
      <c r="T1489" s="15" t="s">
        <v>9965</v>
      </c>
      <c r="U1489" s="21" t="s">
        <v>72</v>
      </c>
    </row>
    <row r="1490" customFormat="false" ht="15" hidden="false" customHeight="false" outlineLevel="0" collapsed="false">
      <c r="A1490" s="15" t="s">
        <v>79</v>
      </c>
      <c r="B1490" s="15" t="s">
        <v>214</v>
      </c>
      <c r="C1490" s="14" t="s">
        <v>9966</v>
      </c>
      <c r="D1490" s="14" t="s">
        <v>9967</v>
      </c>
      <c r="E1490" s="16" t="s">
        <v>9968</v>
      </c>
      <c r="F1490" s="16" t="s">
        <v>9969</v>
      </c>
      <c r="G1490" s="23" t="s">
        <v>43</v>
      </c>
      <c r="H1490" s="18" t="n">
        <v>3</v>
      </c>
      <c r="I1490" s="20" t="n">
        <v>75.48</v>
      </c>
      <c r="J1490" s="20" t="n">
        <v>178.71</v>
      </c>
      <c r="K1490" s="18" t="n">
        <v>3</v>
      </c>
      <c r="L1490" s="18" t="n">
        <v>6</v>
      </c>
      <c r="M1490" s="18" t="n">
        <v>42</v>
      </c>
      <c r="N1490" s="18" t="n">
        <v>28</v>
      </c>
      <c r="O1490" s="14" t="s">
        <v>1126</v>
      </c>
      <c r="P1490" s="14" t="s">
        <v>84</v>
      </c>
      <c r="Q1490" s="15" t="s">
        <v>1089</v>
      </c>
      <c r="R1490" s="16" t="s">
        <v>9970</v>
      </c>
      <c r="S1490" s="15" t="s">
        <v>9971</v>
      </c>
      <c r="T1490" s="15" t="s">
        <v>9972</v>
      </c>
      <c r="U1490" s="21" t="s">
        <v>72</v>
      </c>
    </row>
    <row r="1491" customFormat="false" ht="26.85" hidden="false" customHeight="false" outlineLevel="0" collapsed="false">
      <c r="A1491" s="15" t="s">
        <v>79</v>
      </c>
      <c r="B1491" s="15" t="s">
        <v>214</v>
      </c>
      <c r="C1491" s="14" t="s">
        <v>9973</v>
      </c>
      <c r="D1491" s="14" t="s">
        <v>9974</v>
      </c>
      <c r="E1491" s="16" t="s">
        <v>9975</v>
      </c>
      <c r="F1491" s="16" t="s">
        <v>9976</v>
      </c>
      <c r="G1491" s="23" t="s">
        <v>43</v>
      </c>
      <c r="H1491" s="18" t="n">
        <v>1</v>
      </c>
      <c r="I1491" s="20" t="n">
        <v>57.76</v>
      </c>
      <c r="J1491" s="20" t="n">
        <v>80.25</v>
      </c>
      <c r="K1491" s="18" t="n">
        <v>4</v>
      </c>
      <c r="L1491" s="18" t="n">
        <v>2</v>
      </c>
      <c r="M1491" s="18" t="n">
        <v>192</v>
      </c>
      <c r="N1491" s="18" t="n">
        <v>144</v>
      </c>
      <c r="O1491" s="14" t="s">
        <v>9977</v>
      </c>
      <c r="P1491" s="14" t="s">
        <v>118</v>
      </c>
      <c r="Q1491" s="15" t="s">
        <v>1089</v>
      </c>
      <c r="R1491" s="16" t="s">
        <v>9978</v>
      </c>
      <c r="S1491" s="15" t="s">
        <v>9979</v>
      </c>
      <c r="T1491" s="15" t="s">
        <v>9979</v>
      </c>
      <c r="U1491" s="21" t="s">
        <v>72</v>
      </c>
    </row>
    <row r="1492" customFormat="false" ht="15" hidden="false" customHeight="false" outlineLevel="0" collapsed="false">
      <c r="A1492" s="15" t="s">
        <v>79</v>
      </c>
      <c r="B1492" s="15" t="s">
        <v>214</v>
      </c>
      <c r="C1492" s="14" t="s">
        <v>9980</v>
      </c>
      <c r="D1492" s="14" t="s">
        <v>9981</v>
      </c>
      <c r="E1492" s="16" t="s">
        <v>9982</v>
      </c>
      <c r="F1492" s="16" t="s">
        <v>9983</v>
      </c>
      <c r="G1492" s="23" t="s">
        <v>43</v>
      </c>
      <c r="H1492" s="18" t="n">
        <v>4</v>
      </c>
      <c r="I1492" s="20" t="n">
        <v>68.94</v>
      </c>
      <c r="J1492" s="20" t="n">
        <v>140.3</v>
      </c>
      <c r="K1492" s="18" t="n">
        <v>29</v>
      </c>
      <c r="L1492" s="18" t="n">
        <v>2</v>
      </c>
      <c r="M1492" s="18" t="n">
        <v>340</v>
      </c>
      <c r="N1492" s="18" t="n">
        <v>55</v>
      </c>
      <c r="O1492" s="14" t="s">
        <v>1097</v>
      </c>
      <c r="P1492" s="14" t="s">
        <v>84</v>
      </c>
      <c r="Q1492" s="15" t="s">
        <v>1089</v>
      </c>
      <c r="R1492" s="16" t="s">
        <v>9984</v>
      </c>
      <c r="S1492" s="15" t="s">
        <v>9985</v>
      </c>
      <c r="T1492" s="15" t="s">
        <v>9986</v>
      </c>
      <c r="U1492" s="21" t="s">
        <v>72</v>
      </c>
    </row>
    <row r="1493" customFormat="false" ht="15" hidden="false" customHeight="false" outlineLevel="0" collapsed="false">
      <c r="A1493" s="15" t="s">
        <v>79</v>
      </c>
      <c r="B1493" s="15" t="s">
        <v>214</v>
      </c>
      <c r="C1493" s="14" t="s">
        <v>9987</v>
      </c>
      <c r="D1493" s="14" t="s">
        <v>9988</v>
      </c>
      <c r="E1493" s="16" t="s">
        <v>9989</v>
      </c>
      <c r="F1493" s="16" t="s">
        <v>9990</v>
      </c>
      <c r="G1493" s="19" t="s">
        <v>41</v>
      </c>
      <c r="H1493" s="18" t="n">
        <v>4</v>
      </c>
      <c r="I1493" s="20" t="n">
        <v>103.06</v>
      </c>
      <c r="J1493" s="20" t="n">
        <v>237.05</v>
      </c>
      <c r="K1493" s="18" t="n">
        <v>7</v>
      </c>
      <c r="L1493" s="18" t="n">
        <v>3</v>
      </c>
      <c r="M1493" s="18" t="n">
        <v>119</v>
      </c>
      <c r="N1493" s="18" t="n">
        <v>56</v>
      </c>
      <c r="O1493" s="14" t="s">
        <v>1126</v>
      </c>
      <c r="P1493" s="14" t="s">
        <v>84</v>
      </c>
      <c r="Q1493" s="15" t="s">
        <v>1089</v>
      </c>
      <c r="R1493" s="16" t="s">
        <v>9991</v>
      </c>
      <c r="S1493" s="15" t="s">
        <v>9992</v>
      </c>
      <c r="T1493" s="15" t="s">
        <v>9993</v>
      </c>
      <c r="U1493" s="21" t="s">
        <v>72</v>
      </c>
    </row>
    <row r="1494" customFormat="false" ht="15" hidden="false" customHeight="false" outlineLevel="0" collapsed="false">
      <c r="A1494" s="15" t="s">
        <v>79</v>
      </c>
      <c r="B1494" s="15" t="s">
        <v>214</v>
      </c>
      <c r="C1494" s="14" t="s">
        <v>9994</v>
      </c>
      <c r="D1494" s="14" t="s">
        <v>9995</v>
      </c>
      <c r="E1494" s="16" t="s">
        <v>9996</v>
      </c>
      <c r="F1494" s="16" t="s">
        <v>9990</v>
      </c>
      <c r="G1494" s="19" t="s">
        <v>41</v>
      </c>
      <c r="H1494" s="18" t="n">
        <v>7</v>
      </c>
      <c r="I1494" s="20" t="n">
        <v>199.02</v>
      </c>
      <c r="J1494" s="20" t="n">
        <v>291.79</v>
      </c>
      <c r="K1494" s="18" t="n">
        <v>16</v>
      </c>
      <c r="L1494" s="18" t="n">
        <v>2</v>
      </c>
      <c r="M1494" s="18" t="n">
        <v>456</v>
      </c>
      <c r="N1494" s="18" t="n">
        <v>198</v>
      </c>
      <c r="O1494" s="14" t="s">
        <v>9590</v>
      </c>
      <c r="P1494" s="14" t="s">
        <v>118</v>
      </c>
      <c r="Q1494" s="15" t="s">
        <v>1089</v>
      </c>
      <c r="R1494" s="16" t="s">
        <v>9997</v>
      </c>
      <c r="S1494" s="15" t="s">
        <v>9992</v>
      </c>
      <c r="T1494" s="15" t="s">
        <v>9998</v>
      </c>
      <c r="U1494" s="21" t="s">
        <v>72</v>
      </c>
    </row>
    <row r="1495" customFormat="false" ht="15" hidden="false" customHeight="false" outlineLevel="0" collapsed="false">
      <c r="A1495" s="15" t="s">
        <v>79</v>
      </c>
      <c r="B1495" s="15" t="s">
        <v>214</v>
      </c>
      <c r="C1495" s="14" t="s">
        <v>9999</v>
      </c>
      <c r="D1495" s="14" t="s">
        <v>10000</v>
      </c>
      <c r="E1495" s="16" t="s">
        <v>10001</v>
      </c>
      <c r="F1495" s="16" t="s">
        <v>9990</v>
      </c>
      <c r="G1495" s="23" t="s">
        <v>43</v>
      </c>
      <c r="H1495" s="18" t="n">
        <v>2</v>
      </c>
      <c r="I1495" s="20" t="n">
        <v>30.13</v>
      </c>
      <c r="J1495" s="20" t="n">
        <v>140.66</v>
      </c>
      <c r="K1495" s="18" t="n">
        <v>17</v>
      </c>
      <c r="L1495" s="18" t="n">
        <v>2</v>
      </c>
      <c r="M1495" s="18" t="n">
        <v>190</v>
      </c>
      <c r="N1495" s="18" t="n">
        <v>82</v>
      </c>
      <c r="O1495" s="14" t="s">
        <v>9590</v>
      </c>
      <c r="P1495" s="14" t="s">
        <v>118</v>
      </c>
      <c r="Q1495" s="15" t="s">
        <v>1089</v>
      </c>
      <c r="R1495" s="16" t="s">
        <v>10002</v>
      </c>
      <c r="S1495" s="15" t="s">
        <v>9992</v>
      </c>
      <c r="T1495" s="15" t="s">
        <v>3618</v>
      </c>
      <c r="U1495" s="21" t="s">
        <v>72</v>
      </c>
    </row>
    <row r="1496" customFormat="false" ht="15" hidden="false" customHeight="false" outlineLevel="0" collapsed="false">
      <c r="A1496" s="15" t="s">
        <v>79</v>
      </c>
      <c r="B1496" s="15" t="s">
        <v>214</v>
      </c>
      <c r="C1496" s="14" t="s">
        <v>10003</v>
      </c>
      <c r="D1496" s="14" t="s">
        <v>10004</v>
      </c>
      <c r="E1496" s="16" t="s">
        <v>10005</v>
      </c>
      <c r="F1496" s="16" t="s">
        <v>10006</v>
      </c>
      <c r="G1496" s="23" t="s">
        <v>43</v>
      </c>
      <c r="H1496" s="18" t="n">
        <v>4</v>
      </c>
      <c r="I1496" s="20" t="n">
        <v>35.88</v>
      </c>
      <c r="J1496" s="20" t="n">
        <v>75.3</v>
      </c>
      <c r="K1496" s="18" t="n">
        <v>14</v>
      </c>
      <c r="L1496" s="18" t="n">
        <v>3</v>
      </c>
      <c r="M1496" s="18" t="n">
        <v>83</v>
      </c>
      <c r="N1496" s="18" t="n">
        <v>17</v>
      </c>
      <c r="O1496" s="14" t="s">
        <v>3724</v>
      </c>
      <c r="P1496" s="14" t="s">
        <v>118</v>
      </c>
      <c r="Q1496" s="15" t="s">
        <v>1089</v>
      </c>
      <c r="R1496" s="16" t="s">
        <v>451</v>
      </c>
      <c r="S1496" s="15" t="s">
        <v>10007</v>
      </c>
      <c r="T1496" s="15" t="s">
        <v>10007</v>
      </c>
      <c r="U1496" s="21" t="s">
        <v>72</v>
      </c>
    </row>
    <row r="1497" customFormat="false" ht="15" hidden="false" customHeight="false" outlineLevel="0" collapsed="false">
      <c r="A1497" s="15" t="s">
        <v>79</v>
      </c>
      <c r="B1497" s="15" t="s">
        <v>214</v>
      </c>
      <c r="C1497" s="14" t="s">
        <v>10008</v>
      </c>
      <c r="D1497" s="14" t="s">
        <v>10009</v>
      </c>
      <c r="E1497" s="16" t="s">
        <v>10010</v>
      </c>
      <c r="F1497" s="16" t="s">
        <v>9990</v>
      </c>
      <c r="G1497" s="23" t="s">
        <v>43</v>
      </c>
      <c r="H1497" s="18" t="n">
        <v>3</v>
      </c>
      <c r="I1497" s="20" t="n">
        <v>75.39</v>
      </c>
      <c r="J1497" s="20" t="n">
        <v>169.76</v>
      </c>
      <c r="K1497" s="18" t="n">
        <v>10</v>
      </c>
      <c r="L1497" s="18" t="n">
        <v>5</v>
      </c>
      <c r="M1497" s="18" t="n">
        <v>198</v>
      </c>
      <c r="N1497" s="18" t="n">
        <v>65</v>
      </c>
      <c r="O1497" s="14" t="s">
        <v>3724</v>
      </c>
      <c r="P1497" s="14" t="s">
        <v>334</v>
      </c>
      <c r="Q1497" s="15" t="s">
        <v>1089</v>
      </c>
      <c r="R1497" s="16" t="s">
        <v>10011</v>
      </c>
      <c r="S1497" s="15" t="s">
        <v>9992</v>
      </c>
      <c r="T1497" s="15" t="s">
        <v>9992</v>
      </c>
      <c r="U1497" s="21" t="s">
        <v>72</v>
      </c>
    </row>
    <row r="1498" customFormat="false" ht="15" hidden="false" customHeight="false" outlineLevel="0" collapsed="false">
      <c r="A1498" s="15" t="s">
        <v>79</v>
      </c>
      <c r="B1498" s="15" t="s">
        <v>214</v>
      </c>
      <c r="C1498" s="14" t="s">
        <v>10012</v>
      </c>
      <c r="D1498" s="14" t="s">
        <v>10013</v>
      </c>
      <c r="E1498" s="16" t="s">
        <v>10014</v>
      </c>
      <c r="F1498" s="16"/>
      <c r="G1498" s="23" t="s">
        <v>43</v>
      </c>
      <c r="H1498" s="18" t="n">
        <v>3</v>
      </c>
      <c r="I1498" s="20" t="n">
        <v>78.79</v>
      </c>
      <c r="J1498" s="20" t="n">
        <v>120.96</v>
      </c>
      <c r="K1498" s="18" t="n">
        <v>10</v>
      </c>
      <c r="L1498" s="18" t="n">
        <v>2</v>
      </c>
      <c r="M1498" s="18" t="n">
        <v>228</v>
      </c>
      <c r="N1498" s="18" t="n">
        <v>180</v>
      </c>
      <c r="O1498" s="14" t="s">
        <v>10015</v>
      </c>
      <c r="P1498" s="14" t="s">
        <v>334</v>
      </c>
      <c r="Q1498" s="15" t="s">
        <v>1089</v>
      </c>
      <c r="R1498" s="16" t="s">
        <v>10016</v>
      </c>
      <c r="S1498" s="15" t="s">
        <v>10017</v>
      </c>
      <c r="T1498" s="15" t="s">
        <v>10017</v>
      </c>
      <c r="U1498" s="21" t="s">
        <v>72</v>
      </c>
    </row>
    <row r="1499" customFormat="false" ht="15" hidden="false" customHeight="false" outlineLevel="0" collapsed="false">
      <c r="A1499" s="15" t="s">
        <v>79</v>
      </c>
      <c r="B1499" s="15" t="s">
        <v>214</v>
      </c>
      <c r="C1499" s="14" t="s">
        <v>10018</v>
      </c>
      <c r="D1499" s="14" t="s">
        <v>10019</v>
      </c>
      <c r="E1499" s="16" t="s">
        <v>10020</v>
      </c>
      <c r="F1499" s="16" t="s">
        <v>10021</v>
      </c>
      <c r="G1499" s="23" t="s">
        <v>43</v>
      </c>
      <c r="H1499" s="18" t="n">
        <v>2</v>
      </c>
      <c r="I1499" s="20" t="n">
        <v>47.34</v>
      </c>
      <c r="J1499" s="20" t="n">
        <v>105.56</v>
      </c>
      <c r="K1499" s="18" t="n">
        <v>22</v>
      </c>
      <c r="L1499" s="18" t="n">
        <v>3</v>
      </c>
      <c r="M1499" s="18" t="n">
        <v>358</v>
      </c>
      <c r="N1499" s="18" t="n">
        <v>102</v>
      </c>
      <c r="O1499" s="14" t="s">
        <v>3724</v>
      </c>
      <c r="P1499" s="14" t="s">
        <v>118</v>
      </c>
      <c r="Q1499" s="15" t="s">
        <v>1089</v>
      </c>
      <c r="R1499" s="16" t="s">
        <v>10022</v>
      </c>
      <c r="S1499" s="15" t="s">
        <v>10023</v>
      </c>
      <c r="T1499" s="15" t="s">
        <v>10024</v>
      </c>
      <c r="U1499" s="21" t="s">
        <v>72</v>
      </c>
    </row>
    <row r="1500" customFormat="false" ht="26.85" hidden="false" customHeight="false" outlineLevel="0" collapsed="false">
      <c r="A1500" s="15" t="s">
        <v>79</v>
      </c>
      <c r="B1500" s="15" t="s">
        <v>214</v>
      </c>
      <c r="C1500" s="14" t="s">
        <v>10025</v>
      </c>
      <c r="D1500" s="14" t="s">
        <v>10026</v>
      </c>
      <c r="E1500" s="16" t="s">
        <v>10027</v>
      </c>
      <c r="F1500" s="16" t="s">
        <v>10028</v>
      </c>
      <c r="G1500" s="25" t="s">
        <v>39</v>
      </c>
      <c r="H1500" s="18" t="n">
        <v>9</v>
      </c>
      <c r="I1500" s="20" t="n">
        <v>153.69</v>
      </c>
      <c r="J1500" s="20" t="n">
        <v>346.2</v>
      </c>
      <c r="K1500" s="18" t="n">
        <v>11</v>
      </c>
      <c r="L1500" s="18" t="n">
        <v>7</v>
      </c>
      <c r="M1500" s="18" t="n">
        <v>140</v>
      </c>
      <c r="N1500" s="18" t="n">
        <v>35</v>
      </c>
      <c r="O1500" s="14" t="s">
        <v>10029</v>
      </c>
      <c r="P1500" s="14" t="s">
        <v>352</v>
      </c>
      <c r="Q1500" s="15" t="s">
        <v>1089</v>
      </c>
      <c r="R1500" s="16" t="s">
        <v>235</v>
      </c>
      <c r="S1500" s="15" t="s">
        <v>10030</v>
      </c>
      <c r="T1500" s="15" t="s">
        <v>10031</v>
      </c>
      <c r="U1500" s="21" t="s">
        <v>72</v>
      </c>
    </row>
    <row r="1501" customFormat="false" ht="15" hidden="false" customHeight="false" outlineLevel="0" collapsed="false">
      <c r="A1501" s="15" t="s">
        <v>79</v>
      </c>
      <c r="B1501" s="15" t="s">
        <v>214</v>
      </c>
      <c r="C1501" s="14" t="s">
        <v>10032</v>
      </c>
      <c r="D1501" s="14" t="s">
        <v>10033</v>
      </c>
      <c r="E1501" s="16" t="s">
        <v>10034</v>
      </c>
      <c r="F1501" s="16" t="s">
        <v>10035</v>
      </c>
      <c r="G1501" s="23" t="s">
        <v>43</v>
      </c>
      <c r="H1501" s="18" t="n">
        <v>3</v>
      </c>
      <c r="I1501" s="20" t="n">
        <v>56.27</v>
      </c>
      <c r="J1501" s="20" t="n">
        <v>112.18</v>
      </c>
      <c r="K1501" s="18" t="n">
        <v>10</v>
      </c>
      <c r="L1501" s="18" t="n">
        <v>4</v>
      </c>
      <c r="M1501" s="18" t="n">
        <v>136</v>
      </c>
      <c r="N1501" s="18" t="n">
        <v>72</v>
      </c>
      <c r="O1501" s="14" t="s">
        <v>1126</v>
      </c>
      <c r="P1501" s="14" t="s">
        <v>84</v>
      </c>
      <c r="Q1501" s="15" t="s">
        <v>1089</v>
      </c>
      <c r="R1501" s="16" t="s">
        <v>10036</v>
      </c>
      <c r="S1501" s="15" t="s">
        <v>10037</v>
      </c>
      <c r="T1501" s="15" t="s">
        <v>10037</v>
      </c>
      <c r="U1501" s="21" t="s">
        <v>72</v>
      </c>
    </row>
    <row r="1502" customFormat="false" ht="15" hidden="false" customHeight="false" outlineLevel="0" collapsed="false">
      <c r="A1502" s="15" t="s">
        <v>79</v>
      </c>
      <c r="B1502" s="15" t="s">
        <v>214</v>
      </c>
      <c r="C1502" s="14" t="s">
        <v>10038</v>
      </c>
      <c r="D1502" s="14" t="s">
        <v>10039</v>
      </c>
      <c r="E1502" s="16" t="s">
        <v>10040</v>
      </c>
      <c r="F1502" s="16" t="s">
        <v>10041</v>
      </c>
      <c r="G1502" s="23" t="s">
        <v>43</v>
      </c>
      <c r="H1502" s="18" t="n">
        <v>1</v>
      </c>
      <c r="I1502" s="20" t="n">
        <v>47.59</v>
      </c>
      <c r="J1502" s="20" t="n">
        <v>114.96</v>
      </c>
      <c r="K1502" s="18" t="n">
        <v>2</v>
      </c>
      <c r="L1502" s="18" t="n">
        <v>5</v>
      </c>
      <c r="M1502" s="18" t="n">
        <v>78</v>
      </c>
      <c r="N1502" s="18" t="n">
        <v>78</v>
      </c>
      <c r="O1502" s="14" t="s">
        <v>10042</v>
      </c>
      <c r="P1502" s="14" t="s">
        <v>118</v>
      </c>
      <c r="Q1502" s="15" t="s">
        <v>1089</v>
      </c>
      <c r="R1502" s="16" t="s">
        <v>10043</v>
      </c>
      <c r="S1502" s="15" t="s">
        <v>10044</v>
      </c>
      <c r="T1502" s="15" t="s">
        <v>10044</v>
      </c>
      <c r="U1502" s="21" t="s">
        <v>72</v>
      </c>
    </row>
    <row r="1503" customFormat="false" ht="15" hidden="false" customHeight="false" outlineLevel="0" collapsed="false">
      <c r="A1503" s="15" t="s">
        <v>79</v>
      </c>
      <c r="B1503" s="15" t="s">
        <v>214</v>
      </c>
      <c r="C1503" s="14" t="s">
        <v>10045</v>
      </c>
      <c r="D1503" s="14" t="s">
        <v>10046</v>
      </c>
      <c r="E1503" s="16" t="s">
        <v>10047</v>
      </c>
      <c r="F1503" s="16" t="s">
        <v>10041</v>
      </c>
      <c r="G1503" s="23" t="s">
        <v>43</v>
      </c>
      <c r="H1503" s="18" t="n">
        <v>2</v>
      </c>
      <c r="I1503" s="20" t="n">
        <v>61.09</v>
      </c>
      <c r="J1503" s="20" t="n">
        <v>122.03</v>
      </c>
      <c r="K1503" s="18" t="n">
        <v>4</v>
      </c>
      <c r="L1503" s="18" t="n">
        <v>4</v>
      </c>
      <c r="M1503" s="18" t="n">
        <v>100</v>
      </c>
      <c r="N1503" s="18" t="n">
        <v>100</v>
      </c>
      <c r="O1503" s="14" t="s">
        <v>10042</v>
      </c>
      <c r="P1503" s="14" t="s">
        <v>118</v>
      </c>
      <c r="Q1503" s="15" t="s">
        <v>1089</v>
      </c>
      <c r="R1503" s="16" t="s">
        <v>10048</v>
      </c>
      <c r="S1503" s="15" t="s">
        <v>10044</v>
      </c>
      <c r="T1503" s="15" t="s">
        <v>10049</v>
      </c>
      <c r="U1503" s="21" t="s">
        <v>72</v>
      </c>
    </row>
    <row r="1504" customFormat="false" ht="15" hidden="false" customHeight="false" outlineLevel="0" collapsed="false">
      <c r="A1504" s="15" t="s">
        <v>79</v>
      </c>
      <c r="B1504" s="15" t="s">
        <v>214</v>
      </c>
      <c r="C1504" s="14" t="s">
        <v>10050</v>
      </c>
      <c r="D1504" s="14" t="s">
        <v>10051</v>
      </c>
      <c r="E1504" s="16" t="s">
        <v>10052</v>
      </c>
      <c r="F1504" s="16" t="s">
        <v>10053</v>
      </c>
      <c r="G1504" s="23" t="s">
        <v>43</v>
      </c>
      <c r="H1504" s="18" t="n">
        <v>2</v>
      </c>
      <c r="I1504" s="20" t="n">
        <v>49.69</v>
      </c>
      <c r="J1504" s="20" t="n">
        <v>86.44</v>
      </c>
      <c r="K1504" s="18" t="n">
        <v>6</v>
      </c>
      <c r="L1504" s="18" t="n">
        <v>8</v>
      </c>
      <c r="M1504" s="18" t="n">
        <v>78</v>
      </c>
      <c r="N1504" s="18" t="n">
        <v>68</v>
      </c>
      <c r="O1504" s="14" t="s">
        <v>10054</v>
      </c>
      <c r="P1504" s="14" t="s">
        <v>118</v>
      </c>
      <c r="Q1504" s="15" t="s">
        <v>1089</v>
      </c>
      <c r="R1504" s="16" t="s">
        <v>10055</v>
      </c>
      <c r="S1504" s="15" t="s">
        <v>8045</v>
      </c>
      <c r="T1504" s="15" t="s">
        <v>10056</v>
      </c>
      <c r="U1504" s="21" t="s">
        <v>72</v>
      </c>
    </row>
    <row r="1505" customFormat="false" ht="15" hidden="false" customHeight="false" outlineLevel="0" collapsed="false">
      <c r="A1505" s="15" t="s">
        <v>79</v>
      </c>
      <c r="B1505" s="15" t="s">
        <v>214</v>
      </c>
      <c r="C1505" s="14" t="s">
        <v>10057</v>
      </c>
      <c r="D1505" s="14" t="s">
        <v>10058</v>
      </c>
      <c r="E1505" s="16" t="s">
        <v>10059</v>
      </c>
      <c r="F1505" s="16" t="s">
        <v>10060</v>
      </c>
      <c r="G1505" s="23" t="s">
        <v>43</v>
      </c>
      <c r="H1505" s="18" t="n">
        <v>2</v>
      </c>
      <c r="I1505" s="20" t="n">
        <v>32.97</v>
      </c>
      <c r="J1505" s="20" t="n">
        <v>114.11</v>
      </c>
      <c r="K1505" s="18" t="n">
        <v>4</v>
      </c>
      <c r="L1505" s="18" t="n">
        <v>10</v>
      </c>
      <c r="M1505" s="18" t="n">
        <v>108</v>
      </c>
      <c r="N1505" s="18" t="n">
        <v>48</v>
      </c>
      <c r="O1505" s="14" t="s">
        <v>1126</v>
      </c>
      <c r="P1505" s="14" t="s">
        <v>118</v>
      </c>
      <c r="Q1505" s="15" t="s">
        <v>1089</v>
      </c>
      <c r="R1505" s="16" t="s">
        <v>10061</v>
      </c>
      <c r="S1505" s="15" t="s">
        <v>10062</v>
      </c>
      <c r="T1505" s="15" t="s">
        <v>10062</v>
      </c>
      <c r="U1505" s="21" t="s">
        <v>72</v>
      </c>
    </row>
    <row r="1506" customFormat="false" ht="15" hidden="false" customHeight="false" outlineLevel="0" collapsed="false">
      <c r="A1506" s="15" t="s">
        <v>79</v>
      </c>
      <c r="B1506" s="15" t="s">
        <v>214</v>
      </c>
      <c r="C1506" s="14" t="s">
        <v>10063</v>
      </c>
      <c r="D1506" s="14" t="s">
        <v>10064</v>
      </c>
      <c r="E1506" s="16" t="s">
        <v>10065</v>
      </c>
      <c r="F1506" s="16" t="s">
        <v>10066</v>
      </c>
      <c r="G1506" s="19" t="s">
        <v>41</v>
      </c>
      <c r="H1506" s="18" t="n">
        <v>3</v>
      </c>
      <c r="I1506" s="20" t="n">
        <v>97.73</v>
      </c>
      <c r="J1506" s="20" t="n">
        <v>254.06</v>
      </c>
      <c r="K1506" s="18" t="n">
        <v>3</v>
      </c>
      <c r="L1506" s="18" t="n">
        <v>6</v>
      </c>
      <c r="M1506" s="18" t="n">
        <v>78</v>
      </c>
      <c r="N1506" s="18" t="n">
        <v>34</v>
      </c>
      <c r="O1506" s="14" t="s">
        <v>1126</v>
      </c>
      <c r="P1506" s="14" t="s">
        <v>118</v>
      </c>
      <c r="Q1506" s="15" t="s">
        <v>1089</v>
      </c>
      <c r="R1506" s="16" t="s">
        <v>10067</v>
      </c>
      <c r="S1506" s="15" t="s">
        <v>10062</v>
      </c>
      <c r="T1506" s="15" t="s">
        <v>10068</v>
      </c>
      <c r="U1506" s="21" t="s">
        <v>72</v>
      </c>
    </row>
    <row r="1507" customFormat="false" ht="15" hidden="false" customHeight="false" outlineLevel="0" collapsed="false">
      <c r="A1507" s="15" t="s">
        <v>79</v>
      </c>
      <c r="B1507" s="15" t="s">
        <v>214</v>
      </c>
      <c r="C1507" s="14" t="s">
        <v>10069</v>
      </c>
      <c r="D1507" s="14" t="s">
        <v>10070</v>
      </c>
      <c r="E1507" s="16" t="s">
        <v>10071</v>
      </c>
      <c r="F1507" s="16" t="s">
        <v>10072</v>
      </c>
      <c r="G1507" s="23" t="s">
        <v>43</v>
      </c>
      <c r="H1507" s="18" t="n">
        <v>2</v>
      </c>
      <c r="I1507" s="20" t="n">
        <v>75.22</v>
      </c>
      <c r="J1507" s="20" t="n">
        <v>139.75</v>
      </c>
      <c r="K1507" s="18" t="n">
        <v>8</v>
      </c>
      <c r="L1507" s="18" t="n">
        <v>2</v>
      </c>
      <c r="M1507" s="18" t="n">
        <v>248</v>
      </c>
      <c r="N1507" s="18" t="n">
        <v>124</v>
      </c>
      <c r="O1507" s="14" t="s">
        <v>10073</v>
      </c>
      <c r="P1507" s="14" t="s">
        <v>118</v>
      </c>
      <c r="Q1507" s="15" t="s">
        <v>1089</v>
      </c>
      <c r="R1507" s="16" t="s">
        <v>556</v>
      </c>
      <c r="S1507" s="15" t="s">
        <v>10074</v>
      </c>
      <c r="T1507" s="15" t="s">
        <v>10075</v>
      </c>
      <c r="U1507" s="21" t="s">
        <v>72</v>
      </c>
    </row>
    <row r="1508" customFormat="false" ht="15" hidden="false" customHeight="false" outlineLevel="0" collapsed="false">
      <c r="A1508" s="15" t="s">
        <v>79</v>
      </c>
      <c r="B1508" s="15" t="s">
        <v>214</v>
      </c>
      <c r="C1508" s="14" t="s">
        <v>10076</v>
      </c>
      <c r="D1508" s="14" t="s">
        <v>10077</v>
      </c>
      <c r="E1508" s="16" t="s">
        <v>10078</v>
      </c>
      <c r="F1508" s="16" t="s">
        <v>10079</v>
      </c>
      <c r="G1508" s="23" t="s">
        <v>43</v>
      </c>
      <c r="H1508" s="18" t="n">
        <v>4</v>
      </c>
      <c r="I1508" s="20" t="n">
        <v>64.07</v>
      </c>
      <c r="J1508" s="20" t="n">
        <v>102.39</v>
      </c>
      <c r="K1508" s="18" t="n">
        <v>4</v>
      </c>
      <c r="L1508" s="18" t="n">
        <v>3</v>
      </c>
      <c r="M1508" s="18" t="n">
        <v>52</v>
      </c>
      <c r="N1508" s="18" t="n">
        <v>26</v>
      </c>
      <c r="O1508" s="14" t="s">
        <v>1126</v>
      </c>
      <c r="P1508" s="14" t="s">
        <v>94</v>
      </c>
      <c r="Q1508" s="15" t="s">
        <v>1089</v>
      </c>
      <c r="R1508" s="16" t="s">
        <v>10080</v>
      </c>
      <c r="S1508" s="15" t="s">
        <v>10081</v>
      </c>
      <c r="T1508" s="15" t="s">
        <v>10082</v>
      </c>
      <c r="U1508" s="21" t="s">
        <v>72</v>
      </c>
    </row>
    <row r="1509" customFormat="false" ht="15" hidden="false" customHeight="false" outlineLevel="0" collapsed="false">
      <c r="A1509" s="15" t="s">
        <v>79</v>
      </c>
      <c r="B1509" s="15" t="s">
        <v>214</v>
      </c>
      <c r="C1509" s="14" t="s">
        <v>10083</v>
      </c>
      <c r="D1509" s="14" t="s">
        <v>10084</v>
      </c>
      <c r="E1509" s="16" t="s">
        <v>10085</v>
      </c>
      <c r="F1509" s="16" t="s">
        <v>10086</v>
      </c>
      <c r="G1509" s="23" t="s">
        <v>43</v>
      </c>
      <c r="H1509" s="18" t="n">
        <v>3</v>
      </c>
      <c r="I1509" s="20" t="n">
        <v>45.26</v>
      </c>
      <c r="J1509" s="20" t="n">
        <v>97.98</v>
      </c>
      <c r="K1509" s="18" t="n">
        <v>7</v>
      </c>
      <c r="L1509" s="18" t="n">
        <v>2</v>
      </c>
      <c r="M1509" s="18" t="n">
        <v>140</v>
      </c>
      <c r="N1509" s="18" t="n">
        <v>40</v>
      </c>
      <c r="O1509" s="14" t="s">
        <v>1126</v>
      </c>
      <c r="P1509" s="14" t="s">
        <v>84</v>
      </c>
      <c r="Q1509" s="15" t="s">
        <v>1089</v>
      </c>
      <c r="R1509" s="16" t="s">
        <v>10087</v>
      </c>
      <c r="S1509" s="15" t="s">
        <v>10088</v>
      </c>
      <c r="T1509" s="15" t="s">
        <v>10088</v>
      </c>
      <c r="U1509" s="21" t="s">
        <v>72</v>
      </c>
    </row>
    <row r="1510" customFormat="false" ht="15" hidden="false" customHeight="false" outlineLevel="0" collapsed="false">
      <c r="A1510" s="15" t="s">
        <v>79</v>
      </c>
      <c r="B1510" s="15" t="s">
        <v>214</v>
      </c>
      <c r="C1510" s="14" t="s">
        <v>10089</v>
      </c>
      <c r="D1510" s="14" t="s">
        <v>10090</v>
      </c>
      <c r="E1510" s="16" t="s">
        <v>10091</v>
      </c>
      <c r="F1510" s="16" t="s">
        <v>10092</v>
      </c>
      <c r="G1510" s="19" t="s">
        <v>41</v>
      </c>
      <c r="H1510" s="18" t="n">
        <v>6</v>
      </c>
      <c r="I1510" s="20" t="n">
        <v>106</v>
      </c>
      <c r="J1510" s="20" t="n">
        <v>247.76</v>
      </c>
      <c r="K1510" s="18" t="n">
        <v>29</v>
      </c>
      <c r="L1510" s="18" t="n">
        <v>12</v>
      </c>
      <c r="M1510" s="18" t="n">
        <v>378</v>
      </c>
      <c r="N1510" s="18" t="n">
        <v>92</v>
      </c>
      <c r="O1510" s="14" t="s">
        <v>3724</v>
      </c>
      <c r="P1510" s="14" t="s">
        <v>118</v>
      </c>
      <c r="Q1510" s="15" t="s">
        <v>1089</v>
      </c>
      <c r="R1510" s="16" t="s">
        <v>10093</v>
      </c>
      <c r="S1510" s="15" t="s">
        <v>10094</v>
      </c>
      <c r="T1510" s="15" t="s">
        <v>10095</v>
      </c>
      <c r="U1510" s="21" t="s">
        <v>72</v>
      </c>
    </row>
    <row r="1511" customFormat="false" ht="15" hidden="false" customHeight="false" outlineLevel="0" collapsed="false">
      <c r="A1511" s="15" t="s">
        <v>79</v>
      </c>
      <c r="B1511" s="15" t="s">
        <v>214</v>
      </c>
      <c r="C1511" s="14" t="s">
        <v>10096</v>
      </c>
      <c r="D1511" s="14" t="s">
        <v>10097</v>
      </c>
      <c r="E1511" s="16" t="s">
        <v>10098</v>
      </c>
      <c r="F1511" s="16" t="s">
        <v>10099</v>
      </c>
      <c r="G1511" s="23" t="s">
        <v>43</v>
      </c>
      <c r="H1511" s="18" t="n">
        <v>2</v>
      </c>
      <c r="I1511" s="20" t="n">
        <v>35.83</v>
      </c>
      <c r="J1511" s="20" t="n">
        <v>90.2</v>
      </c>
      <c r="K1511" s="18" t="n">
        <v>6</v>
      </c>
      <c r="L1511" s="18" t="n">
        <v>1</v>
      </c>
      <c r="M1511" s="18" t="n">
        <v>80</v>
      </c>
      <c r="N1511" s="18" t="n">
        <v>40</v>
      </c>
      <c r="O1511" s="14" t="s">
        <v>1126</v>
      </c>
      <c r="P1511" s="14" t="s">
        <v>118</v>
      </c>
      <c r="Q1511" s="15" t="s">
        <v>1089</v>
      </c>
      <c r="R1511" s="16" t="s">
        <v>10100</v>
      </c>
      <c r="S1511" s="15" t="s">
        <v>10101</v>
      </c>
      <c r="T1511" s="15" t="s">
        <v>10101</v>
      </c>
      <c r="U1511" s="21" t="s">
        <v>72</v>
      </c>
    </row>
    <row r="1512" customFormat="false" ht="15" hidden="false" customHeight="false" outlineLevel="0" collapsed="false">
      <c r="A1512" s="15" t="s">
        <v>79</v>
      </c>
      <c r="B1512" s="15" t="s">
        <v>214</v>
      </c>
      <c r="C1512" s="14" t="s">
        <v>10102</v>
      </c>
      <c r="D1512" s="14" t="s">
        <v>10103</v>
      </c>
      <c r="E1512" s="16" t="s">
        <v>10104</v>
      </c>
      <c r="F1512" s="16" t="s">
        <v>10105</v>
      </c>
      <c r="G1512" s="23" t="s">
        <v>43</v>
      </c>
      <c r="H1512" s="18" t="n">
        <v>2</v>
      </c>
      <c r="I1512" s="20" t="n">
        <v>48.19</v>
      </c>
      <c r="J1512" s="20" t="n">
        <v>87.35</v>
      </c>
      <c r="K1512" s="18" t="n">
        <v>2</v>
      </c>
      <c r="L1512" s="18" t="n">
        <v>1</v>
      </c>
      <c r="M1512" s="18" t="n">
        <v>39</v>
      </c>
      <c r="N1512" s="18" t="n">
        <v>23</v>
      </c>
      <c r="O1512" s="14" t="s">
        <v>1126</v>
      </c>
      <c r="P1512" s="14" t="s">
        <v>84</v>
      </c>
      <c r="Q1512" s="15" t="s">
        <v>1089</v>
      </c>
      <c r="R1512" s="16" t="s">
        <v>10106</v>
      </c>
      <c r="S1512" s="15" t="s">
        <v>10107</v>
      </c>
      <c r="T1512" s="15" t="s">
        <v>10107</v>
      </c>
      <c r="U1512" s="21" t="s">
        <v>72</v>
      </c>
    </row>
    <row r="1513" customFormat="false" ht="15" hidden="false" customHeight="false" outlineLevel="0" collapsed="false">
      <c r="A1513" s="15" t="s">
        <v>79</v>
      </c>
      <c r="B1513" s="15" t="s">
        <v>214</v>
      </c>
      <c r="C1513" s="14" t="s">
        <v>10108</v>
      </c>
      <c r="D1513" s="14" t="s">
        <v>10109</v>
      </c>
      <c r="E1513" s="16" t="s">
        <v>10110</v>
      </c>
      <c r="F1513" s="16" t="s">
        <v>10111</v>
      </c>
      <c r="G1513" s="19" t="s">
        <v>41</v>
      </c>
      <c r="H1513" s="18" t="n">
        <v>5</v>
      </c>
      <c r="I1513" s="20" t="n">
        <v>93.68</v>
      </c>
      <c r="J1513" s="20" t="n">
        <v>206.72</v>
      </c>
      <c r="K1513" s="18" t="n">
        <v>20</v>
      </c>
      <c r="L1513" s="18" t="n">
        <v>4</v>
      </c>
      <c r="M1513" s="18" t="n">
        <v>358</v>
      </c>
      <c r="N1513" s="18" t="n">
        <v>131</v>
      </c>
      <c r="O1513" s="14" t="s">
        <v>5962</v>
      </c>
      <c r="P1513" s="14" t="s">
        <v>1716</v>
      </c>
      <c r="Q1513" s="15" t="s">
        <v>1089</v>
      </c>
      <c r="R1513" s="16" t="s">
        <v>10112</v>
      </c>
      <c r="S1513" s="15" t="s">
        <v>10113</v>
      </c>
      <c r="T1513" s="15" t="s">
        <v>10114</v>
      </c>
      <c r="U1513" s="21" t="s">
        <v>72</v>
      </c>
    </row>
    <row r="1514" customFormat="false" ht="15" hidden="false" customHeight="false" outlineLevel="0" collapsed="false">
      <c r="A1514" s="15" t="s">
        <v>79</v>
      </c>
      <c r="B1514" s="15" t="s">
        <v>214</v>
      </c>
      <c r="C1514" s="14" t="s">
        <v>10115</v>
      </c>
      <c r="D1514" s="14" t="s">
        <v>10116</v>
      </c>
      <c r="E1514" s="16" t="s">
        <v>10117</v>
      </c>
      <c r="F1514" s="16" t="s">
        <v>10118</v>
      </c>
      <c r="G1514" s="19" t="s">
        <v>41</v>
      </c>
      <c r="H1514" s="18" t="n">
        <v>3</v>
      </c>
      <c r="I1514" s="20" t="n">
        <v>147.26</v>
      </c>
      <c r="J1514" s="20" t="n">
        <v>229.64</v>
      </c>
      <c r="K1514" s="18" t="n">
        <v>9</v>
      </c>
      <c r="L1514" s="18" t="n">
        <v>2</v>
      </c>
      <c r="M1514" s="18" t="n">
        <v>366</v>
      </c>
      <c r="N1514" s="18" t="n">
        <v>210</v>
      </c>
      <c r="O1514" s="14" t="s">
        <v>10119</v>
      </c>
      <c r="P1514" s="14" t="s">
        <v>334</v>
      </c>
      <c r="Q1514" s="15" t="s">
        <v>1089</v>
      </c>
      <c r="R1514" s="16" t="s">
        <v>9569</v>
      </c>
      <c r="S1514" s="15" t="s">
        <v>10120</v>
      </c>
      <c r="T1514" s="15" t="s">
        <v>10121</v>
      </c>
      <c r="U1514" s="21" t="s">
        <v>72</v>
      </c>
    </row>
    <row r="1515" customFormat="false" ht="26.85" hidden="false" customHeight="false" outlineLevel="0" collapsed="false">
      <c r="A1515" s="15" t="s">
        <v>79</v>
      </c>
      <c r="B1515" s="15" t="s">
        <v>214</v>
      </c>
      <c r="C1515" s="14" t="s">
        <v>10122</v>
      </c>
      <c r="D1515" s="14" t="s">
        <v>10123</v>
      </c>
      <c r="E1515" s="16" t="s">
        <v>10124</v>
      </c>
      <c r="F1515" s="16" t="s">
        <v>10125</v>
      </c>
      <c r="G1515" s="23" t="s">
        <v>43</v>
      </c>
      <c r="H1515" s="18" t="n">
        <v>4</v>
      </c>
      <c r="I1515" s="20" t="n">
        <v>88.23</v>
      </c>
      <c r="J1515" s="20" t="n">
        <v>161.46</v>
      </c>
      <c r="K1515" s="18" t="n">
        <v>13</v>
      </c>
      <c r="L1515" s="18" t="n">
        <v>3</v>
      </c>
      <c r="M1515" s="18" t="n">
        <v>272</v>
      </c>
      <c r="N1515" s="18" t="n">
        <v>126</v>
      </c>
      <c r="O1515" s="14" t="s">
        <v>5962</v>
      </c>
      <c r="P1515" s="14" t="s">
        <v>10126</v>
      </c>
      <c r="Q1515" s="15" t="s">
        <v>1089</v>
      </c>
      <c r="R1515" s="16" t="s">
        <v>10127</v>
      </c>
      <c r="S1515" s="15" t="s">
        <v>10120</v>
      </c>
      <c r="T1515" s="15" t="s">
        <v>10128</v>
      </c>
      <c r="U1515" s="21" t="s">
        <v>72</v>
      </c>
    </row>
    <row r="1516" customFormat="false" ht="15" hidden="false" customHeight="false" outlineLevel="0" collapsed="false">
      <c r="A1516" s="15" t="s">
        <v>79</v>
      </c>
      <c r="B1516" s="15" t="s">
        <v>214</v>
      </c>
      <c r="C1516" s="14" t="s">
        <v>10129</v>
      </c>
      <c r="D1516" s="14" t="s">
        <v>10130</v>
      </c>
      <c r="E1516" s="16" t="s">
        <v>10131</v>
      </c>
      <c r="F1516" s="16" t="s">
        <v>10132</v>
      </c>
      <c r="G1516" s="19" t="s">
        <v>41</v>
      </c>
      <c r="H1516" s="18" t="n">
        <v>6</v>
      </c>
      <c r="I1516" s="20" t="n">
        <v>154.2</v>
      </c>
      <c r="J1516" s="20" t="n">
        <v>317.96</v>
      </c>
      <c r="K1516" s="18" t="n">
        <v>13</v>
      </c>
      <c r="L1516" s="18" t="n">
        <v>3</v>
      </c>
      <c r="M1516" s="18" t="n">
        <v>270</v>
      </c>
      <c r="N1516" s="18" t="n">
        <v>166</v>
      </c>
      <c r="O1516" s="14" t="s">
        <v>10133</v>
      </c>
      <c r="P1516" s="14" t="s">
        <v>118</v>
      </c>
      <c r="Q1516" s="15" t="s">
        <v>1089</v>
      </c>
      <c r="R1516" s="16" t="s">
        <v>10134</v>
      </c>
      <c r="S1516" s="15" t="s">
        <v>10120</v>
      </c>
      <c r="T1516" s="15" t="s">
        <v>10135</v>
      </c>
      <c r="U1516" s="21" t="s">
        <v>72</v>
      </c>
    </row>
    <row r="1517" customFormat="false" ht="15" hidden="false" customHeight="false" outlineLevel="0" collapsed="false">
      <c r="A1517" s="15" t="s">
        <v>79</v>
      </c>
      <c r="B1517" s="15" t="s">
        <v>214</v>
      </c>
      <c r="C1517" s="14" t="s">
        <v>10136</v>
      </c>
      <c r="D1517" s="14" t="s">
        <v>10137</v>
      </c>
      <c r="E1517" s="16" t="s">
        <v>10138</v>
      </c>
      <c r="F1517" s="16" t="s">
        <v>10118</v>
      </c>
      <c r="G1517" s="23" t="s">
        <v>43</v>
      </c>
      <c r="H1517" s="18" t="n">
        <v>4</v>
      </c>
      <c r="I1517" s="20" t="n">
        <v>244.31</v>
      </c>
      <c r="J1517" s="20" t="n">
        <v>125.65</v>
      </c>
      <c r="K1517" s="18" t="n">
        <v>6</v>
      </c>
      <c r="L1517" s="18" t="n">
        <v>1</v>
      </c>
      <c r="M1517" s="18" t="n">
        <v>150</v>
      </c>
      <c r="N1517" s="18" t="n">
        <v>150</v>
      </c>
      <c r="O1517" s="14" t="s">
        <v>10139</v>
      </c>
      <c r="P1517" s="14" t="s">
        <v>118</v>
      </c>
      <c r="Q1517" s="15" t="s">
        <v>1089</v>
      </c>
      <c r="R1517" s="16" t="s">
        <v>10140</v>
      </c>
      <c r="S1517" s="15" t="s">
        <v>10120</v>
      </c>
      <c r="T1517" s="15" t="s">
        <v>10141</v>
      </c>
      <c r="U1517" s="21" t="s">
        <v>72</v>
      </c>
    </row>
    <row r="1518" customFormat="false" ht="15" hidden="false" customHeight="false" outlineLevel="0" collapsed="false">
      <c r="A1518" s="15" t="s">
        <v>79</v>
      </c>
      <c r="B1518" s="15" t="s">
        <v>214</v>
      </c>
      <c r="C1518" s="14" t="s">
        <v>10142</v>
      </c>
      <c r="D1518" s="14" t="s">
        <v>10143</v>
      </c>
      <c r="E1518" s="16" t="s">
        <v>10144</v>
      </c>
      <c r="F1518" s="16" t="s">
        <v>10145</v>
      </c>
      <c r="G1518" s="23" t="s">
        <v>43</v>
      </c>
      <c r="H1518" s="18" t="n">
        <v>2</v>
      </c>
      <c r="I1518" s="20" t="n">
        <v>68.29</v>
      </c>
      <c r="J1518" s="20" t="n">
        <v>155.84</v>
      </c>
      <c r="K1518" s="18" t="n">
        <v>2</v>
      </c>
      <c r="L1518" s="18" t="n">
        <v>2</v>
      </c>
      <c r="M1518" s="18" t="n">
        <v>24</v>
      </c>
      <c r="N1518" s="18" t="n">
        <v>24</v>
      </c>
      <c r="O1518" s="14" t="s">
        <v>1126</v>
      </c>
      <c r="P1518" s="14" t="s">
        <v>84</v>
      </c>
      <c r="Q1518" s="15" t="s">
        <v>1089</v>
      </c>
      <c r="R1518" s="16" t="s">
        <v>10146</v>
      </c>
      <c r="S1518" s="15" t="s">
        <v>10147</v>
      </c>
      <c r="T1518" s="15" t="s">
        <v>10147</v>
      </c>
      <c r="U1518" s="21" t="s">
        <v>72</v>
      </c>
    </row>
    <row r="1519" customFormat="false" ht="39.55" hidden="false" customHeight="false" outlineLevel="0" collapsed="false">
      <c r="A1519" s="15" t="s">
        <v>79</v>
      </c>
      <c r="B1519" s="15" t="s">
        <v>214</v>
      </c>
      <c r="C1519" s="14" t="s">
        <v>10148</v>
      </c>
      <c r="D1519" s="14" t="s">
        <v>10149</v>
      </c>
      <c r="E1519" s="16" t="s">
        <v>10150</v>
      </c>
      <c r="F1519" s="16" t="s">
        <v>10151</v>
      </c>
      <c r="G1519" s="19" t="s">
        <v>41</v>
      </c>
      <c r="H1519" s="18" t="n">
        <v>4</v>
      </c>
      <c r="I1519" s="20" t="n">
        <v>138.75</v>
      </c>
      <c r="J1519" s="20" t="n">
        <v>295.32</v>
      </c>
      <c r="K1519" s="18" t="n">
        <v>11</v>
      </c>
      <c r="L1519" s="18" t="n">
        <v>6</v>
      </c>
      <c r="M1519" s="18" t="n">
        <v>303</v>
      </c>
      <c r="N1519" s="18" t="n">
        <v>29</v>
      </c>
      <c r="O1519" s="14" t="s">
        <v>1126</v>
      </c>
      <c r="P1519" s="14" t="s">
        <v>4490</v>
      </c>
      <c r="Q1519" s="15" t="s">
        <v>1089</v>
      </c>
      <c r="R1519" s="16" t="s">
        <v>10152</v>
      </c>
      <c r="S1519" s="15" t="s">
        <v>10153</v>
      </c>
      <c r="T1519" s="15" t="s">
        <v>10153</v>
      </c>
      <c r="U1519" s="21" t="s">
        <v>72</v>
      </c>
    </row>
    <row r="1520" customFormat="false" ht="15" hidden="false" customHeight="false" outlineLevel="0" collapsed="false">
      <c r="A1520" s="15" t="s">
        <v>79</v>
      </c>
      <c r="B1520" s="15" t="s">
        <v>214</v>
      </c>
      <c r="C1520" s="14" t="s">
        <v>10154</v>
      </c>
      <c r="D1520" s="14" t="s">
        <v>10155</v>
      </c>
      <c r="E1520" s="16" t="s">
        <v>10156</v>
      </c>
      <c r="F1520" s="16" t="s">
        <v>10157</v>
      </c>
      <c r="G1520" s="19" t="s">
        <v>41</v>
      </c>
      <c r="H1520" s="18" t="n">
        <v>7</v>
      </c>
      <c r="I1520" s="20" t="n">
        <v>103.4</v>
      </c>
      <c r="J1520" s="20" t="n">
        <v>235.75</v>
      </c>
      <c r="K1520" s="18" t="n">
        <v>13</v>
      </c>
      <c r="L1520" s="18" t="n">
        <v>8</v>
      </c>
      <c r="M1520" s="18" t="n">
        <v>169</v>
      </c>
      <c r="N1520" s="18" t="n">
        <v>65</v>
      </c>
      <c r="O1520" s="14" t="s">
        <v>3724</v>
      </c>
      <c r="P1520" s="14" t="s">
        <v>118</v>
      </c>
      <c r="Q1520" s="15" t="s">
        <v>1089</v>
      </c>
      <c r="R1520" s="16" t="s">
        <v>7408</v>
      </c>
      <c r="S1520" s="15" t="s">
        <v>10158</v>
      </c>
      <c r="T1520" s="15" t="s">
        <v>10158</v>
      </c>
      <c r="U1520" s="21" t="s">
        <v>72</v>
      </c>
    </row>
    <row r="1521" customFormat="false" ht="15" hidden="false" customHeight="false" outlineLevel="0" collapsed="false">
      <c r="A1521" s="15" t="s">
        <v>79</v>
      </c>
      <c r="B1521" s="15" t="s">
        <v>214</v>
      </c>
      <c r="C1521" s="14" t="s">
        <v>10159</v>
      </c>
      <c r="D1521" s="14" t="s">
        <v>10160</v>
      </c>
      <c r="E1521" s="16" t="s">
        <v>9704</v>
      </c>
      <c r="F1521" s="16" t="s">
        <v>282</v>
      </c>
      <c r="G1521" s="25" t="s">
        <v>39</v>
      </c>
      <c r="H1521" s="18" t="n">
        <v>9</v>
      </c>
      <c r="I1521" s="20" t="n">
        <v>252</v>
      </c>
      <c r="J1521" s="20" t="n">
        <v>532.76</v>
      </c>
      <c r="K1521" s="18" t="n">
        <v>9</v>
      </c>
      <c r="L1521" s="18" t="n">
        <v>27</v>
      </c>
      <c r="M1521" s="18" t="n">
        <v>207</v>
      </c>
      <c r="N1521" s="18" t="n">
        <v>207</v>
      </c>
      <c r="O1521" s="14" t="s">
        <v>1088</v>
      </c>
      <c r="P1521" s="14" t="s">
        <v>84</v>
      </c>
      <c r="Q1521" s="15" t="s">
        <v>1089</v>
      </c>
      <c r="R1521" s="16" t="s">
        <v>10161</v>
      </c>
      <c r="S1521" s="15" t="s">
        <v>717</v>
      </c>
      <c r="T1521" s="15" t="s">
        <v>717</v>
      </c>
      <c r="U1521" s="21" t="s">
        <v>72</v>
      </c>
    </row>
    <row r="1522" customFormat="false" ht="15" hidden="false" customHeight="false" outlineLevel="0" collapsed="false">
      <c r="A1522" s="15" t="s">
        <v>79</v>
      </c>
      <c r="B1522" s="15" t="s">
        <v>214</v>
      </c>
      <c r="C1522" s="14" t="s">
        <v>10162</v>
      </c>
      <c r="D1522" s="14" t="s">
        <v>10163</v>
      </c>
      <c r="E1522" s="16" t="s">
        <v>10164</v>
      </c>
      <c r="F1522" s="16" t="s">
        <v>10165</v>
      </c>
      <c r="G1522" s="23" t="s">
        <v>43</v>
      </c>
      <c r="H1522" s="18" t="n">
        <v>3</v>
      </c>
      <c r="I1522" s="20" t="n">
        <v>43.76</v>
      </c>
      <c r="J1522" s="20" t="n">
        <v>105.25</v>
      </c>
      <c r="K1522" s="18" t="n">
        <v>24</v>
      </c>
      <c r="L1522" s="18" t="n">
        <v>2</v>
      </c>
      <c r="M1522" s="18" t="n">
        <v>267</v>
      </c>
      <c r="N1522" s="18" t="n">
        <v>99</v>
      </c>
      <c r="O1522" s="14" t="s">
        <v>10073</v>
      </c>
      <c r="P1522" s="14" t="s">
        <v>118</v>
      </c>
      <c r="Q1522" s="15" t="s">
        <v>1089</v>
      </c>
      <c r="R1522" s="16" t="s">
        <v>10166</v>
      </c>
      <c r="S1522" s="15" t="s">
        <v>10167</v>
      </c>
      <c r="T1522" s="15" t="s">
        <v>10167</v>
      </c>
      <c r="U1522" s="21" t="s">
        <v>72</v>
      </c>
    </row>
    <row r="1523" customFormat="false" ht="15" hidden="false" customHeight="false" outlineLevel="0" collapsed="false">
      <c r="A1523" s="15" t="s">
        <v>79</v>
      </c>
      <c r="B1523" s="15" t="s">
        <v>214</v>
      </c>
      <c r="C1523" s="14" t="s">
        <v>10168</v>
      </c>
      <c r="D1523" s="14" t="s">
        <v>10169</v>
      </c>
      <c r="E1523" s="16" t="s">
        <v>10170</v>
      </c>
      <c r="F1523" s="16" t="s">
        <v>10171</v>
      </c>
      <c r="G1523" s="19" t="s">
        <v>41</v>
      </c>
      <c r="H1523" s="18" t="n">
        <v>4</v>
      </c>
      <c r="I1523" s="20" t="n">
        <v>83.44</v>
      </c>
      <c r="J1523" s="20" t="n">
        <v>211.82</v>
      </c>
      <c r="K1523" s="18" t="n">
        <v>5</v>
      </c>
      <c r="L1523" s="18" t="n">
        <v>5</v>
      </c>
      <c r="M1523" s="18" t="n">
        <v>99</v>
      </c>
      <c r="N1523" s="18" t="n">
        <v>44</v>
      </c>
      <c r="O1523" s="14" t="s">
        <v>1126</v>
      </c>
      <c r="P1523" s="14" t="s">
        <v>118</v>
      </c>
      <c r="Q1523" s="15" t="s">
        <v>1089</v>
      </c>
      <c r="R1523" s="16" t="s">
        <v>9941</v>
      </c>
      <c r="S1523" s="15" t="s">
        <v>10172</v>
      </c>
      <c r="T1523" s="15" t="s">
        <v>10172</v>
      </c>
      <c r="U1523" s="21" t="s">
        <v>72</v>
      </c>
    </row>
    <row r="1524" customFormat="false" ht="15" hidden="false" customHeight="false" outlineLevel="0" collapsed="false">
      <c r="A1524" s="15" t="s">
        <v>79</v>
      </c>
      <c r="B1524" s="15" t="s">
        <v>214</v>
      </c>
      <c r="C1524" s="14" t="s">
        <v>10173</v>
      </c>
      <c r="D1524" s="14" t="s">
        <v>10174</v>
      </c>
      <c r="E1524" s="16" t="s">
        <v>10175</v>
      </c>
      <c r="F1524" s="16" t="s">
        <v>10176</v>
      </c>
      <c r="G1524" s="23" t="s">
        <v>43</v>
      </c>
      <c r="H1524" s="18" t="n">
        <v>1</v>
      </c>
      <c r="I1524" s="20" t="n">
        <v>125.25</v>
      </c>
      <c r="J1524" s="20" t="n">
        <v>195.63</v>
      </c>
      <c r="K1524" s="18" t="n">
        <v>4</v>
      </c>
      <c r="L1524" s="18" t="n">
        <v>5</v>
      </c>
      <c r="M1524" s="18" t="n">
        <v>240</v>
      </c>
      <c r="N1524" s="18" t="n">
        <v>120</v>
      </c>
      <c r="O1524" s="14" t="s">
        <v>10177</v>
      </c>
      <c r="P1524" s="14" t="s">
        <v>118</v>
      </c>
      <c r="Q1524" s="15" t="s">
        <v>1089</v>
      </c>
      <c r="R1524" s="16" t="s">
        <v>10178</v>
      </c>
      <c r="S1524" s="15" t="s">
        <v>10179</v>
      </c>
      <c r="T1524" s="15" t="s">
        <v>10179</v>
      </c>
      <c r="U1524" s="21" t="s">
        <v>72</v>
      </c>
    </row>
    <row r="1525" customFormat="false" ht="15" hidden="false" customHeight="false" outlineLevel="0" collapsed="false">
      <c r="A1525" s="15" t="s">
        <v>79</v>
      </c>
      <c r="B1525" s="15" t="s">
        <v>214</v>
      </c>
      <c r="C1525" s="14" t="s">
        <v>10180</v>
      </c>
      <c r="D1525" s="14" t="s">
        <v>10181</v>
      </c>
      <c r="E1525" s="16" t="s">
        <v>10182</v>
      </c>
      <c r="F1525" s="16" t="s">
        <v>10183</v>
      </c>
      <c r="G1525" s="23" t="s">
        <v>43</v>
      </c>
      <c r="H1525" s="18" t="n">
        <v>3</v>
      </c>
      <c r="I1525" s="20" t="n">
        <v>61.49</v>
      </c>
      <c r="J1525" s="20" t="n">
        <v>134.27</v>
      </c>
      <c r="K1525" s="18" t="n">
        <v>3</v>
      </c>
      <c r="L1525" s="18" t="n">
        <v>2</v>
      </c>
      <c r="M1525" s="18" t="n">
        <v>49</v>
      </c>
      <c r="N1525" s="18" t="n">
        <v>49</v>
      </c>
      <c r="O1525" s="14" t="s">
        <v>1097</v>
      </c>
      <c r="P1525" s="14" t="s">
        <v>84</v>
      </c>
      <c r="Q1525" s="15" t="s">
        <v>1089</v>
      </c>
      <c r="R1525" s="16" t="s">
        <v>10184</v>
      </c>
      <c r="S1525" s="15" t="s">
        <v>10185</v>
      </c>
      <c r="T1525" s="15" t="s">
        <v>10185</v>
      </c>
      <c r="U1525" s="21" t="s">
        <v>72</v>
      </c>
    </row>
    <row r="1526" customFormat="false" ht="15" hidden="false" customHeight="false" outlineLevel="0" collapsed="false">
      <c r="A1526" s="15" t="s">
        <v>79</v>
      </c>
      <c r="B1526" s="15" t="s">
        <v>214</v>
      </c>
      <c r="C1526" s="14" t="s">
        <v>10186</v>
      </c>
      <c r="D1526" s="14" t="s">
        <v>10187</v>
      </c>
      <c r="E1526" s="16" t="s">
        <v>10188</v>
      </c>
      <c r="F1526" s="16" t="s">
        <v>9934</v>
      </c>
      <c r="G1526" s="19" t="s">
        <v>41</v>
      </c>
      <c r="H1526" s="18" t="n">
        <v>4</v>
      </c>
      <c r="I1526" s="20" t="n">
        <v>100.52</v>
      </c>
      <c r="J1526" s="20" t="n">
        <v>248.04</v>
      </c>
      <c r="K1526" s="18" t="n">
        <v>90</v>
      </c>
      <c r="L1526" s="18" t="n">
        <v>1</v>
      </c>
      <c r="M1526" s="18" t="n">
        <v>1710</v>
      </c>
      <c r="N1526" s="18" t="n">
        <v>1395</v>
      </c>
      <c r="O1526" s="14" t="s">
        <v>10189</v>
      </c>
      <c r="P1526" s="14" t="s">
        <v>118</v>
      </c>
      <c r="Q1526" s="15" t="s">
        <v>1089</v>
      </c>
      <c r="R1526" s="16" t="s">
        <v>10190</v>
      </c>
      <c r="S1526" s="15" t="s">
        <v>9836</v>
      </c>
      <c r="T1526" s="15" t="s">
        <v>10191</v>
      </c>
      <c r="U1526" s="21" t="s">
        <v>72</v>
      </c>
    </row>
    <row r="1527" customFormat="false" ht="15" hidden="false" customHeight="false" outlineLevel="0" collapsed="false">
      <c r="A1527" s="15" t="s">
        <v>79</v>
      </c>
      <c r="B1527" s="15" t="s">
        <v>214</v>
      </c>
      <c r="C1527" s="14" t="s">
        <v>10192</v>
      </c>
      <c r="D1527" s="14" t="s">
        <v>10193</v>
      </c>
      <c r="E1527" s="16" t="s">
        <v>10194</v>
      </c>
      <c r="F1527" s="16" t="s">
        <v>10195</v>
      </c>
      <c r="G1527" s="23" t="s">
        <v>43</v>
      </c>
      <c r="H1527" s="18" t="n">
        <v>3</v>
      </c>
      <c r="I1527" s="20" t="n">
        <v>49.84</v>
      </c>
      <c r="J1527" s="20" t="n">
        <v>84.01</v>
      </c>
      <c r="K1527" s="18" t="n">
        <v>3</v>
      </c>
      <c r="L1527" s="18" t="n">
        <v>1</v>
      </c>
      <c r="M1527" s="18" t="n">
        <v>40</v>
      </c>
      <c r="N1527" s="18" t="n">
        <v>26</v>
      </c>
      <c r="O1527" s="14" t="s">
        <v>1126</v>
      </c>
      <c r="P1527" s="14" t="s">
        <v>226</v>
      </c>
      <c r="Q1527" s="15" t="s">
        <v>1089</v>
      </c>
      <c r="R1527" s="16" t="s">
        <v>10196</v>
      </c>
      <c r="S1527" s="15" t="s">
        <v>10197</v>
      </c>
      <c r="T1527" s="15" t="s">
        <v>10197</v>
      </c>
      <c r="U1527" s="21" t="s">
        <v>72</v>
      </c>
    </row>
    <row r="1528" customFormat="false" ht="15" hidden="false" customHeight="false" outlineLevel="0" collapsed="false">
      <c r="A1528" s="15" t="s">
        <v>79</v>
      </c>
      <c r="B1528" s="15" t="s">
        <v>214</v>
      </c>
      <c r="C1528" s="14" t="s">
        <v>10198</v>
      </c>
      <c r="D1528" s="14" t="s">
        <v>10199</v>
      </c>
      <c r="E1528" s="16" t="s">
        <v>10200</v>
      </c>
      <c r="F1528" s="16" t="s">
        <v>10201</v>
      </c>
      <c r="G1528" s="19" t="s">
        <v>41</v>
      </c>
      <c r="H1528" s="18" t="n">
        <v>5</v>
      </c>
      <c r="I1528" s="20" t="n">
        <v>90.11</v>
      </c>
      <c r="J1528" s="20" t="n">
        <v>178.57</v>
      </c>
      <c r="K1528" s="18" t="n">
        <v>5</v>
      </c>
      <c r="L1528" s="18" t="n">
        <v>1</v>
      </c>
      <c r="M1528" s="18" t="n">
        <v>75</v>
      </c>
      <c r="N1528" s="18" t="n">
        <v>75</v>
      </c>
      <c r="O1528" s="14" t="s">
        <v>1126</v>
      </c>
      <c r="P1528" s="14" t="s">
        <v>84</v>
      </c>
      <c r="Q1528" s="15" t="s">
        <v>1089</v>
      </c>
      <c r="R1528" s="16" t="s">
        <v>10202</v>
      </c>
      <c r="S1528" s="15" t="s">
        <v>10203</v>
      </c>
      <c r="T1528" s="15" t="s">
        <v>10203</v>
      </c>
      <c r="U1528" s="21" t="s">
        <v>72</v>
      </c>
    </row>
    <row r="1529" customFormat="false" ht="15" hidden="false" customHeight="false" outlineLevel="0" collapsed="false">
      <c r="A1529" s="15" t="s">
        <v>79</v>
      </c>
      <c r="B1529" s="15" t="s">
        <v>214</v>
      </c>
      <c r="C1529" s="14" t="s">
        <v>10204</v>
      </c>
      <c r="D1529" s="14" t="s">
        <v>10205</v>
      </c>
      <c r="E1529" s="16" t="s">
        <v>10206</v>
      </c>
      <c r="F1529" s="16" t="s">
        <v>10207</v>
      </c>
      <c r="G1529" s="23" t="s">
        <v>43</v>
      </c>
      <c r="H1529" s="18" t="n">
        <v>3</v>
      </c>
      <c r="I1529" s="20" t="n">
        <v>35.71</v>
      </c>
      <c r="J1529" s="20" t="n">
        <v>71.98</v>
      </c>
      <c r="K1529" s="18" t="n">
        <v>55</v>
      </c>
      <c r="L1529" s="18" t="n">
        <v>3</v>
      </c>
      <c r="M1529" s="18" t="n">
        <v>439</v>
      </c>
      <c r="N1529" s="18" t="n">
        <v>217</v>
      </c>
      <c r="O1529" s="14" t="s">
        <v>1097</v>
      </c>
      <c r="P1529" s="14" t="s">
        <v>118</v>
      </c>
      <c r="Q1529" s="15" t="s">
        <v>1089</v>
      </c>
      <c r="R1529" s="16" t="s">
        <v>10208</v>
      </c>
      <c r="S1529" s="15" t="s">
        <v>10209</v>
      </c>
      <c r="T1529" s="15" t="s">
        <v>10209</v>
      </c>
      <c r="U1529" s="21" t="s">
        <v>72</v>
      </c>
    </row>
    <row r="1530" customFormat="false" ht="15" hidden="false" customHeight="false" outlineLevel="0" collapsed="false">
      <c r="A1530" s="15" t="s">
        <v>79</v>
      </c>
      <c r="B1530" s="15" t="s">
        <v>214</v>
      </c>
      <c r="C1530" s="14" t="s">
        <v>10210</v>
      </c>
      <c r="D1530" s="14" t="s">
        <v>10211</v>
      </c>
      <c r="E1530" s="16" t="s">
        <v>10212</v>
      </c>
      <c r="F1530" s="16" t="s">
        <v>10213</v>
      </c>
      <c r="G1530" s="23" t="s">
        <v>43</v>
      </c>
      <c r="H1530" s="18" t="n">
        <v>2</v>
      </c>
      <c r="I1530" s="20" t="n">
        <v>49.02</v>
      </c>
      <c r="J1530" s="20" t="n">
        <v>145.49</v>
      </c>
      <c r="K1530" s="18" t="n">
        <v>11</v>
      </c>
      <c r="L1530" s="18" t="n">
        <v>3</v>
      </c>
      <c r="M1530" s="18" t="n">
        <v>175</v>
      </c>
      <c r="N1530" s="18" t="n">
        <v>115</v>
      </c>
      <c r="O1530" s="14" t="s">
        <v>10214</v>
      </c>
      <c r="P1530" s="14" t="s">
        <v>118</v>
      </c>
      <c r="Q1530" s="15" t="s">
        <v>1089</v>
      </c>
      <c r="R1530" s="16" t="s">
        <v>10215</v>
      </c>
      <c r="S1530" s="15" t="s">
        <v>10216</v>
      </c>
      <c r="T1530" s="15" t="s">
        <v>10216</v>
      </c>
      <c r="U1530" s="21" t="s">
        <v>72</v>
      </c>
    </row>
    <row r="1531" customFormat="false" ht="15" hidden="false" customHeight="false" outlineLevel="0" collapsed="false">
      <c r="A1531" s="15" t="s">
        <v>79</v>
      </c>
      <c r="B1531" s="15" t="s">
        <v>214</v>
      </c>
      <c r="C1531" s="14" t="s">
        <v>10217</v>
      </c>
      <c r="D1531" s="14" t="s">
        <v>10218</v>
      </c>
      <c r="E1531" s="16" t="s">
        <v>10219</v>
      </c>
      <c r="F1531" s="16" t="s">
        <v>10220</v>
      </c>
      <c r="G1531" s="25" t="s">
        <v>39</v>
      </c>
      <c r="H1531" s="18" t="n">
        <v>8</v>
      </c>
      <c r="I1531" s="20" t="n">
        <v>179.06</v>
      </c>
      <c r="J1531" s="20" t="n">
        <v>328.59</v>
      </c>
      <c r="K1531" s="18" t="n">
        <v>25</v>
      </c>
      <c r="L1531" s="18" t="n">
        <v>6</v>
      </c>
      <c r="M1531" s="18" t="n">
        <v>707</v>
      </c>
      <c r="N1531" s="18" t="n">
        <v>240</v>
      </c>
      <c r="O1531" s="14" t="s">
        <v>1126</v>
      </c>
      <c r="P1531" s="14" t="s">
        <v>118</v>
      </c>
      <c r="Q1531" s="15" t="s">
        <v>1089</v>
      </c>
      <c r="R1531" s="16" t="s">
        <v>10221</v>
      </c>
      <c r="S1531" s="15" t="s">
        <v>10222</v>
      </c>
      <c r="T1531" s="15" t="s">
        <v>10222</v>
      </c>
      <c r="U1531" s="21" t="s">
        <v>72</v>
      </c>
    </row>
    <row r="1532" customFormat="false" ht="15" hidden="false" customHeight="false" outlineLevel="0" collapsed="false">
      <c r="A1532" s="15" t="s">
        <v>79</v>
      </c>
      <c r="B1532" s="15" t="s">
        <v>214</v>
      </c>
      <c r="C1532" s="14" t="s">
        <v>10223</v>
      </c>
      <c r="D1532" s="14" t="s">
        <v>10224</v>
      </c>
      <c r="E1532" s="16" t="s">
        <v>10225</v>
      </c>
      <c r="F1532" s="16" t="s">
        <v>10226</v>
      </c>
      <c r="G1532" s="19" t="s">
        <v>41</v>
      </c>
      <c r="H1532" s="18" t="n">
        <v>5</v>
      </c>
      <c r="I1532" s="20" t="n">
        <v>92.85</v>
      </c>
      <c r="J1532" s="20" t="n">
        <v>191</v>
      </c>
      <c r="K1532" s="18" t="n">
        <v>8</v>
      </c>
      <c r="L1532" s="18" t="n">
        <v>5</v>
      </c>
      <c r="M1532" s="18" t="n">
        <v>95</v>
      </c>
      <c r="N1532" s="18" t="n">
        <v>55</v>
      </c>
      <c r="O1532" s="14" t="s">
        <v>10227</v>
      </c>
      <c r="P1532" s="14" t="s">
        <v>84</v>
      </c>
      <c r="Q1532" s="15" t="s">
        <v>1089</v>
      </c>
      <c r="R1532" s="16" t="s">
        <v>10228</v>
      </c>
      <c r="S1532" s="15" t="s">
        <v>10229</v>
      </c>
      <c r="T1532" s="15" t="s">
        <v>10229</v>
      </c>
      <c r="U1532" s="21" t="s">
        <v>72</v>
      </c>
    </row>
    <row r="1533" customFormat="false" ht="15" hidden="false" customHeight="false" outlineLevel="0" collapsed="false">
      <c r="A1533" s="15" t="s">
        <v>79</v>
      </c>
      <c r="B1533" s="15" t="s">
        <v>214</v>
      </c>
      <c r="C1533" s="14" t="s">
        <v>10230</v>
      </c>
      <c r="D1533" s="14" t="s">
        <v>10231</v>
      </c>
      <c r="E1533" s="16" t="s">
        <v>10232</v>
      </c>
      <c r="F1533" s="16" t="s">
        <v>282</v>
      </c>
      <c r="G1533" s="23" t="s">
        <v>43</v>
      </c>
      <c r="H1533" s="18" t="n">
        <v>2</v>
      </c>
      <c r="I1533" s="20" t="n">
        <v>73.42</v>
      </c>
      <c r="J1533" s="20" t="n">
        <v>140.66</v>
      </c>
      <c r="K1533" s="18" t="n">
        <v>2</v>
      </c>
      <c r="L1533" s="18" t="n">
        <v>16</v>
      </c>
      <c r="M1533" s="18" t="n">
        <v>30</v>
      </c>
      <c r="N1533" s="18" t="n">
        <v>30</v>
      </c>
      <c r="O1533" s="14" t="s">
        <v>1126</v>
      </c>
      <c r="P1533" s="14" t="s">
        <v>84</v>
      </c>
      <c r="Q1533" s="15" t="s">
        <v>1089</v>
      </c>
      <c r="R1533" s="16" t="s">
        <v>10233</v>
      </c>
      <c r="S1533" s="15" t="s">
        <v>10234</v>
      </c>
      <c r="T1533" s="15" t="s">
        <v>10235</v>
      </c>
      <c r="U1533" s="21" t="s">
        <v>72</v>
      </c>
    </row>
    <row r="1534" customFormat="false" ht="15" hidden="false" customHeight="false" outlineLevel="0" collapsed="false">
      <c r="A1534" s="15" t="s">
        <v>79</v>
      </c>
      <c r="B1534" s="15" t="s">
        <v>214</v>
      </c>
      <c r="C1534" s="14" t="s">
        <v>10236</v>
      </c>
      <c r="D1534" s="14" t="s">
        <v>10237</v>
      </c>
      <c r="E1534" s="16" t="s">
        <v>10238</v>
      </c>
      <c r="F1534" s="16" t="s">
        <v>10239</v>
      </c>
      <c r="G1534" s="25" t="s">
        <v>39</v>
      </c>
      <c r="H1534" s="18" t="n">
        <v>7</v>
      </c>
      <c r="I1534" s="20" t="n">
        <v>164.49</v>
      </c>
      <c r="J1534" s="20" t="n">
        <v>401.2</v>
      </c>
      <c r="K1534" s="18" t="n">
        <v>27</v>
      </c>
      <c r="L1534" s="18" t="n">
        <v>4</v>
      </c>
      <c r="M1534" s="18" t="n">
        <v>531</v>
      </c>
      <c r="N1534" s="18" t="n">
        <v>195</v>
      </c>
      <c r="O1534" s="14" t="s">
        <v>3724</v>
      </c>
      <c r="P1534" s="14" t="s">
        <v>118</v>
      </c>
      <c r="Q1534" s="15" t="s">
        <v>1089</v>
      </c>
      <c r="R1534" s="16" t="s">
        <v>10240</v>
      </c>
      <c r="S1534" s="15" t="s">
        <v>10241</v>
      </c>
      <c r="T1534" s="15" t="s">
        <v>10241</v>
      </c>
      <c r="U1534" s="21" t="s">
        <v>72</v>
      </c>
    </row>
    <row r="1535" customFormat="false" ht="15" hidden="false" customHeight="false" outlineLevel="0" collapsed="false">
      <c r="A1535" s="15" t="s">
        <v>79</v>
      </c>
      <c r="B1535" s="15" t="s">
        <v>214</v>
      </c>
      <c r="C1535" s="14" t="s">
        <v>10242</v>
      </c>
      <c r="D1535" s="14" t="s">
        <v>10243</v>
      </c>
      <c r="E1535" s="16" t="s">
        <v>10244</v>
      </c>
      <c r="F1535" s="16" t="s">
        <v>10245</v>
      </c>
      <c r="G1535" s="23" t="s">
        <v>43</v>
      </c>
      <c r="H1535" s="18" t="n">
        <v>4</v>
      </c>
      <c r="I1535" s="20" t="n">
        <v>71.06</v>
      </c>
      <c r="J1535" s="20" t="n">
        <v>185.62</v>
      </c>
      <c r="K1535" s="18" t="n">
        <v>5</v>
      </c>
      <c r="L1535" s="18" t="n">
        <v>2</v>
      </c>
      <c r="M1535" s="18" t="n">
        <v>75</v>
      </c>
      <c r="N1535" s="18" t="n">
        <v>75</v>
      </c>
      <c r="O1535" s="14" t="s">
        <v>1088</v>
      </c>
      <c r="P1535" s="14" t="s">
        <v>118</v>
      </c>
      <c r="Q1535" s="15" t="s">
        <v>1089</v>
      </c>
      <c r="R1535" s="16" t="s">
        <v>10246</v>
      </c>
      <c r="S1535" s="15" t="s">
        <v>10247</v>
      </c>
      <c r="T1535" s="15" t="s">
        <v>10247</v>
      </c>
      <c r="U1535" s="21" t="s">
        <v>72</v>
      </c>
    </row>
    <row r="1536" customFormat="false" ht="26.85" hidden="false" customHeight="false" outlineLevel="0" collapsed="false">
      <c r="A1536" s="15" t="s">
        <v>79</v>
      </c>
      <c r="B1536" s="15" t="s">
        <v>214</v>
      </c>
      <c r="C1536" s="14" t="s">
        <v>10248</v>
      </c>
      <c r="D1536" s="14" t="s">
        <v>10249</v>
      </c>
      <c r="E1536" s="16" t="s">
        <v>10250</v>
      </c>
      <c r="F1536" s="16" t="s">
        <v>10251</v>
      </c>
      <c r="G1536" s="23" t="s">
        <v>43</v>
      </c>
      <c r="H1536" s="18" t="n">
        <v>2</v>
      </c>
      <c r="I1536" s="20" t="n">
        <v>38.23</v>
      </c>
      <c r="J1536" s="20" t="n">
        <v>87.45</v>
      </c>
      <c r="K1536" s="18" t="n">
        <v>4</v>
      </c>
      <c r="L1536" s="18" t="n">
        <v>2</v>
      </c>
      <c r="M1536" s="18" t="n">
        <v>62</v>
      </c>
      <c r="N1536" s="18" t="n">
        <v>28</v>
      </c>
      <c r="O1536" s="14" t="s">
        <v>1126</v>
      </c>
      <c r="P1536" s="14" t="s">
        <v>1185</v>
      </c>
      <c r="Q1536" s="15" t="s">
        <v>1089</v>
      </c>
      <c r="R1536" s="16" t="s">
        <v>10252</v>
      </c>
      <c r="S1536" s="15" t="s">
        <v>10253</v>
      </c>
      <c r="T1536" s="15" t="s">
        <v>10253</v>
      </c>
      <c r="U1536" s="21" t="s">
        <v>72</v>
      </c>
    </row>
    <row r="1537" customFormat="false" ht="15" hidden="false" customHeight="false" outlineLevel="0" collapsed="false">
      <c r="A1537" s="15" t="s">
        <v>79</v>
      </c>
      <c r="B1537" s="15" t="s">
        <v>214</v>
      </c>
      <c r="C1537" s="14" t="s">
        <v>10254</v>
      </c>
      <c r="D1537" s="14" t="s">
        <v>10255</v>
      </c>
      <c r="E1537" s="16" t="s">
        <v>10256</v>
      </c>
      <c r="F1537" s="16" t="s">
        <v>10257</v>
      </c>
      <c r="G1537" s="23" t="s">
        <v>43</v>
      </c>
      <c r="H1537" s="18" t="n">
        <v>2</v>
      </c>
      <c r="I1537" s="20" t="n">
        <v>32.41</v>
      </c>
      <c r="J1537" s="20" t="n">
        <v>80.62</v>
      </c>
      <c r="K1537" s="18" t="n">
        <v>5</v>
      </c>
      <c r="L1537" s="18" t="n">
        <v>4</v>
      </c>
      <c r="M1537" s="18" t="n">
        <v>75</v>
      </c>
      <c r="N1537" s="18" t="n">
        <v>75</v>
      </c>
      <c r="O1537" s="14" t="s">
        <v>1126</v>
      </c>
      <c r="P1537" s="14" t="s">
        <v>1166</v>
      </c>
      <c r="Q1537" s="15" t="s">
        <v>1089</v>
      </c>
      <c r="R1537" s="16" t="s">
        <v>10258</v>
      </c>
      <c r="S1537" s="15" t="s">
        <v>10259</v>
      </c>
      <c r="T1537" s="15" t="s">
        <v>10259</v>
      </c>
      <c r="U1537" s="21" t="s">
        <v>72</v>
      </c>
    </row>
    <row r="1538" customFormat="false" ht="15" hidden="false" customHeight="false" outlineLevel="0" collapsed="false">
      <c r="A1538" s="15" t="s">
        <v>79</v>
      </c>
      <c r="B1538" s="15" t="s">
        <v>214</v>
      </c>
      <c r="C1538" s="14" t="s">
        <v>10260</v>
      </c>
      <c r="D1538" s="14" t="s">
        <v>10261</v>
      </c>
      <c r="E1538" s="16" t="s">
        <v>10262</v>
      </c>
      <c r="F1538" s="16" t="s">
        <v>10257</v>
      </c>
      <c r="G1538" s="23" t="s">
        <v>43</v>
      </c>
      <c r="H1538" s="18" t="n">
        <v>4</v>
      </c>
      <c r="I1538" s="20" t="n">
        <v>78.3</v>
      </c>
      <c r="J1538" s="20" t="n">
        <v>127.44</v>
      </c>
      <c r="K1538" s="18" t="n">
        <v>12</v>
      </c>
      <c r="L1538" s="18" t="n">
        <v>1</v>
      </c>
      <c r="M1538" s="18" t="n">
        <v>148</v>
      </c>
      <c r="N1538" s="18" t="n">
        <v>104</v>
      </c>
      <c r="O1538" s="14" t="s">
        <v>1126</v>
      </c>
      <c r="P1538" s="14" t="s">
        <v>118</v>
      </c>
      <c r="Q1538" s="15" t="s">
        <v>1089</v>
      </c>
      <c r="R1538" s="16" t="s">
        <v>10263</v>
      </c>
      <c r="S1538" s="15" t="s">
        <v>10259</v>
      </c>
      <c r="T1538" s="15" t="s">
        <v>10264</v>
      </c>
      <c r="U1538" s="21" t="s">
        <v>72</v>
      </c>
    </row>
    <row r="1539" customFormat="false" ht="15" hidden="false" customHeight="false" outlineLevel="0" collapsed="false">
      <c r="A1539" s="15" t="s">
        <v>79</v>
      </c>
      <c r="B1539" s="15" t="s">
        <v>214</v>
      </c>
      <c r="C1539" s="14" t="s">
        <v>10265</v>
      </c>
      <c r="D1539" s="14" t="s">
        <v>10266</v>
      </c>
      <c r="E1539" s="16" t="s">
        <v>10267</v>
      </c>
      <c r="F1539" s="16" t="s">
        <v>10268</v>
      </c>
      <c r="G1539" s="23" t="s">
        <v>43</v>
      </c>
      <c r="H1539" s="18" t="n">
        <v>3</v>
      </c>
      <c r="I1539" s="20" t="n">
        <v>46.26</v>
      </c>
      <c r="J1539" s="20" t="n">
        <v>140.84</v>
      </c>
      <c r="K1539" s="18" t="n">
        <v>3</v>
      </c>
      <c r="L1539" s="18" t="n">
        <v>2</v>
      </c>
      <c r="M1539" s="18" t="n">
        <v>37</v>
      </c>
      <c r="N1539" s="18" t="n">
        <v>19</v>
      </c>
      <c r="O1539" s="14" t="s">
        <v>1088</v>
      </c>
      <c r="P1539" s="14" t="s">
        <v>1716</v>
      </c>
      <c r="Q1539" s="15" t="s">
        <v>1089</v>
      </c>
      <c r="R1539" s="16" t="s">
        <v>10269</v>
      </c>
      <c r="S1539" s="15" t="s">
        <v>10270</v>
      </c>
      <c r="T1539" s="15" t="s">
        <v>10271</v>
      </c>
      <c r="U1539" s="21" t="s">
        <v>72</v>
      </c>
    </row>
    <row r="1540" customFormat="false" ht="15" hidden="false" customHeight="false" outlineLevel="0" collapsed="false">
      <c r="A1540" s="15" t="s">
        <v>79</v>
      </c>
      <c r="B1540" s="15" t="s">
        <v>214</v>
      </c>
      <c r="C1540" s="14" t="s">
        <v>10272</v>
      </c>
      <c r="D1540" s="14" t="s">
        <v>10273</v>
      </c>
      <c r="E1540" s="16" t="s">
        <v>10274</v>
      </c>
      <c r="F1540" s="16" t="s">
        <v>10275</v>
      </c>
      <c r="G1540" s="23" t="s">
        <v>43</v>
      </c>
      <c r="H1540" s="18" t="n">
        <v>4</v>
      </c>
      <c r="I1540" s="20" t="n">
        <v>197.03</v>
      </c>
      <c r="J1540" s="20" t="n">
        <v>197.03</v>
      </c>
      <c r="K1540" s="18" t="n">
        <v>4</v>
      </c>
      <c r="L1540" s="18" t="n">
        <v>1</v>
      </c>
      <c r="M1540" s="18" t="n">
        <v>164</v>
      </c>
      <c r="N1540" s="18" t="n">
        <v>164</v>
      </c>
      <c r="O1540" s="14" t="s">
        <v>1126</v>
      </c>
      <c r="P1540" s="14" t="s">
        <v>84</v>
      </c>
      <c r="Q1540" s="15" t="s">
        <v>1089</v>
      </c>
      <c r="R1540" s="16" t="s">
        <v>10276</v>
      </c>
      <c r="S1540" s="15" t="s">
        <v>10277</v>
      </c>
      <c r="T1540" s="15" t="s">
        <v>10278</v>
      </c>
      <c r="U1540" s="21" t="s">
        <v>72</v>
      </c>
    </row>
    <row r="1541" customFormat="false" ht="15" hidden="false" customHeight="false" outlineLevel="0" collapsed="false">
      <c r="A1541" s="15" t="s">
        <v>79</v>
      </c>
      <c r="B1541" s="15" t="s">
        <v>214</v>
      </c>
      <c r="C1541" s="14" t="s">
        <v>10279</v>
      </c>
      <c r="D1541" s="14" t="s">
        <v>10280</v>
      </c>
      <c r="E1541" s="16" t="s">
        <v>10281</v>
      </c>
      <c r="F1541" s="16" t="s">
        <v>10282</v>
      </c>
      <c r="G1541" s="25" t="s">
        <v>39</v>
      </c>
      <c r="H1541" s="18" t="n">
        <v>9</v>
      </c>
      <c r="I1541" s="20" t="n">
        <v>111.97</v>
      </c>
      <c r="J1541" s="20" t="n">
        <v>343.76</v>
      </c>
      <c r="K1541" s="18" t="n">
        <v>25</v>
      </c>
      <c r="L1541" s="18" t="n">
        <v>3</v>
      </c>
      <c r="M1541" s="18" t="n">
        <v>265</v>
      </c>
      <c r="N1541" s="18" t="n">
        <v>95</v>
      </c>
      <c r="O1541" s="14" t="s">
        <v>10283</v>
      </c>
      <c r="P1541" s="14" t="s">
        <v>118</v>
      </c>
      <c r="Q1541" s="15" t="s">
        <v>1089</v>
      </c>
      <c r="R1541" s="16" t="s">
        <v>10284</v>
      </c>
      <c r="S1541" s="15" t="s">
        <v>10285</v>
      </c>
      <c r="T1541" s="15" t="s">
        <v>10285</v>
      </c>
      <c r="U1541" s="21" t="s">
        <v>72</v>
      </c>
    </row>
    <row r="1542" customFormat="false" ht="15" hidden="false" customHeight="false" outlineLevel="0" collapsed="false">
      <c r="A1542" s="15" t="s">
        <v>79</v>
      </c>
      <c r="B1542" s="15" t="s">
        <v>214</v>
      </c>
      <c r="C1542" s="14" t="s">
        <v>10286</v>
      </c>
      <c r="D1542" s="14" t="s">
        <v>10287</v>
      </c>
      <c r="E1542" s="16" t="s">
        <v>10288</v>
      </c>
      <c r="F1542" s="16" t="s">
        <v>10289</v>
      </c>
      <c r="G1542" s="23" t="s">
        <v>43</v>
      </c>
      <c r="H1542" s="18" t="n">
        <v>3</v>
      </c>
      <c r="I1542" s="20" t="n">
        <v>33.82</v>
      </c>
      <c r="J1542" s="20" t="n">
        <v>72.8</v>
      </c>
      <c r="K1542" s="18" t="n">
        <v>3</v>
      </c>
      <c r="L1542" s="18" t="n">
        <v>1</v>
      </c>
      <c r="M1542" s="18" t="n">
        <v>25</v>
      </c>
      <c r="N1542" s="18" t="n">
        <v>18</v>
      </c>
      <c r="O1542" s="14" t="s">
        <v>1126</v>
      </c>
      <c r="P1542" s="14" t="s">
        <v>84</v>
      </c>
      <c r="Q1542" s="15" t="s">
        <v>1089</v>
      </c>
      <c r="R1542" s="16" t="s">
        <v>9212</v>
      </c>
      <c r="S1542" s="15" t="s">
        <v>10290</v>
      </c>
      <c r="T1542" s="15" t="s">
        <v>10290</v>
      </c>
      <c r="U1542" s="21" t="s">
        <v>72</v>
      </c>
    </row>
    <row r="1543" customFormat="false" ht="15" hidden="false" customHeight="false" outlineLevel="0" collapsed="false">
      <c r="A1543" s="15" t="s">
        <v>79</v>
      </c>
      <c r="B1543" s="15" t="s">
        <v>214</v>
      </c>
      <c r="C1543" s="14" t="s">
        <v>10291</v>
      </c>
      <c r="D1543" s="14" t="s">
        <v>10292</v>
      </c>
      <c r="E1543" s="16" t="s">
        <v>10293</v>
      </c>
      <c r="F1543" s="16" t="s">
        <v>10294</v>
      </c>
      <c r="G1543" s="19" t="s">
        <v>41</v>
      </c>
      <c r="H1543" s="18" t="n">
        <v>2</v>
      </c>
      <c r="I1543" s="20" t="n">
        <v>92.93</v>
      </c>
      <c r="J1543" s="20" t="n">
        <v>358.55</v>
      </c>
      <c r="K1543" s="18" t="n">
        <v>2</v>
      </c>
      <c r="L1543" s="18" t="n">
        <v>3</v>
      </c>
      <c r="M1543" s="18" t="n">
        <v>80</v>
      </c>
      <c r="N1543" s="18" t="n">
        <v>80</v>
      </c>
      <c r="O1543" s="14" t="s">
        <v>1126</v>
      </c>
      <c r="P1543" s="14" t="s">
        <v>84</v>
      </c>
      <c r="Q1543" s="15" t="s">
        <v>1089</v>
      </c>
      <c r="R1543" s="16" t="s">
        <v>10295</v>
      </c>
      <c r="S1543" s="15" t="s">
        <v>10296</v>
      </c>
      <c r="T1543" s="15" t="s">
        <v>10296</v>
      </c>
      <c r="U1543" s="21" t="s">
        <v>72</v>
      </c>
    </row>
    <row r="1544" customFormat="false" ht="15" hidden="false" customHeight="false" outlineLevel="0" collapsed="false">
      <c r="A1544" s="15" t="s">
        <v>79</v>
      </c>
      <c r="B1544" s="15" t="s">
        <v>214</v>
      </c>
      <c r="C1544" s="14" t="s">
        <v>10297</v>
      </c>
      <c r="D1544" s="14" t="s">
        <v>10298</v>
      </c>
      <c r="E1544" s="16" t="s">
        <v>10299</v>
      </c>
      <c r="F1544" s="16" t="s">
        <v>10300</v>
      </c>
      <c r="G1544" s="19" t="s">
        <v>41</v>
      </c>
      <c r="H1544" s="18" t="n">
        <v>6</v>
      </c>
      <c r="I1544" s="20" t="n">
        <v>155.19</v>
      </c>
      <c r="J1544" s="20" t="n">
        <v>263.77</v>
      </c>
      <c r="K1544" s="18" t="n">
        <v>14</v>
      </c>
      <c r="L1544" s="18" t="n">
        <v>7</v>
      </c>
      <c r="M1544" s="18" t="n">
        <v>343</v>
      </c>
      <c r="N1544" s="18" t="n">
        <v>216</v>
      </c>
      <c r="O1544" s="14" t="s">
        <v>9923</v>
      </c>
      <c r="P1544" s="14" t="s">
        <v>118</v>
      </c>
      <c r="Q1544" s="15" t="s">
        <v>1089</v>
      </c>
      <c r="R1544" s="16" t="s">
        <v>10301</v>
      </c>
      <c r="S1544" s="15" t="s">
        <v>10302</v>
      </c>
      <c r="T1544" s="15" t="s">
        <v>10303</v>
      </c>
      <c r="U1544" s="21" t="s">
        <v>72</v>
      </c>
    </row>
    <row r="1545" customFormat="false" ht="15" hidden="false" customHeight="false" outlineLevel="0" collapsed="false">
      <c r="A1545" s="15" t="s">
        <v>79</v>
      </c>
      <c r="B1545" s="15" t="s">
        <v>214</v>
      </c>
      <c r="C1545" s="14" t="s">
        <v>213</v>
      </c>
      <c r="D1545" s="14" t="s">
        <v>10304</v>
      </c>
      <c r="E1545" s="16" t="s">
        <v>10305</v>
      </c>
      <c r="F1545" s="16" t="s">
        <v>217</v>
      </c>
      <c r="G1545" s="23" t="s">
        <v>43</v>
      </c>
      <c r="H1545" s="18" t="n">
        <v>4</v>
      </c>
      <c r="I1545" s="20" t="n">
        <v>70.62</v>
      </c>
      <c r="J1545" s="20" t="n">
        <v>158.28</v>
      </c>
      <c r="K1545" s="18" t="n">
        <v>8</v>
      </c>
      <c r="L1545" s="18" t="n">
        <v>7</v>
      </c>
      <c r="M1545" s="18" t="n">
        <v>117</v>
      </c>
      <c r="N1545" s="18" t="n">
        <v>74</v>
      </c>
      <c r="O1545" s="14" t="s">
        <v>9923</v>
      </c>
      <c r="P1545" s="14" t="s">
        <v>118</v>
      </c>
      <c r="Q1545" s="15" t="s">
        <v>1089</v>
      </c>
      <c r="R1545" s="16" t="s">
        <v>218</v>
      </c>
      <c r="S1545" s="15" t="s">
        <v>219</v>
      </c>
      <c r="T1545" s="15" t="s">
        <v>220</v>
      </c>
      <c r="U1545" s="21" t="s">
        <v>72</v>
      </c>
    </row>
    <row r="1546" customFormat="false" ht="26.85" hidden="false" customHeight="false" outlineLevel="0" collapsed="false">
      <c r="A1546" s="15" t="s">
        <v>79</v>
      </c>
      <c r="B1546" s="15" t="s">
        <v>214</v>
      </c>
      <c r="C1546" s="14" t="s">
        <v>10306</v>
      </c>
      <c r="D1546" s="14" t="s">
        <v>10307</v>
      </c>
      <c r="E1546" s="16" t="s">
        <v>10308</v>
      </c>
      <c r="F1546" s="16" t="s">
        <v>10309</v>
      </c>
      <c r="G1546" s="23" t="s">
        <v>43</v>
      </c>
      <c r="H1546" s="18" t="n">
        <v>3</v>
      </c>
      <c r="I1546" s="20" t="n">
        <v>79.66</v>
      </c>
      <c r="J1546" s="20" t="n">
        <v>175</v>
      </c>
      <c r="K1546" s="18" t="n">
        <v>6</v>
      </c>
      <c r="L1546" s="18" t="n">
        <v>4</v>
      </c>
      <c r="M1546" s="18" t="n">
        <v>130</v>
      </c>
      <c r="N1546" s="18" t="n">
        <v>30</v>
      </c>
      <c r="O1546" s="14" t="s">
        <v>1126</v>
      </c>
      <c r="P1546" s="14" t="s">
        <v>1766</v>
      </c>
      <c r="Q1546" s="15" t="s">
        <v>1089</v>
      </c>
      <c r="R1546" s="16" t="s">
        <v>7101</v>
      </c>
      <c r="S1546" s="15" t="s">
        <v>10310</v>
      </c>
      <c r="T1546" s="15" t="s">
        <v>10310</v>
      </c>
      <c r="U1546" s="21" t="s">
        <v>72</v>
      </c>
    </row>
    <row r="1547" customFormat="false" ht="15" hidden="false" customHeight="false" outlineLevel="0" collapsed="false">
      <c r="A1547" s="15" t="s">
        <v>79</v>
      </c>
      <c r="B1547" s="15" t="s">
        <v>214</v>
      </c>
      <c r="C1547" s="14" t="s">
        <v>10311</v>
      </c>
      <c r="D1547" s="14" t="s">
        <v>10312</v>
      </c>
      <c r="E1547" s="16" t="s">
        <v>10313</v>
      </c>
      <c r="F1547" s="16" t="s">
        <v>10314</v>
      </c>
      <c r="G1547" s="23" t="s">
        <v>43</v>
      </c>
      <c r="H1547" s="18" t="n">
        <v>1</v>
      </c>
      <c r="I1547" s="20" t="n">
        <v>48.04</v>
      </c>
      <c r="J1547" s="20" t="n">
        <v>75.05</v>
      </c>
      <c r="K1547" s="18" t="n">
        <v>18</v>
      </c>
      <c r="L1547" s="18" t="n">
        <v>1</v>
      </c>
      <c r="M1547" s="18" t="n">
        <v>720</v>
      </c>
      <c r="N1547" s="18" t="n">
        <v>240</v>
      </c>
      <c r="O1547" s="14" t="s">
        <v>10315</v>
      </c>
      <c r="P1547" s="14" t="s">
        <v>226</v>
      </c>
      <c r="Q1547" s="15" t="s">
        <v>1089</v>
      </c>
      <c r="R1547" s="16" t="s">
        <v>10316</v>
      </c>
      <c r="S1547" s="15" t="s">
        <v>10317</v>
      </c>
      <c r="T1547" s="15" t="s">
        <v>10317</v>
      </c>
      <c r="U1547" s="21" t="s">
        <v>72</v>
      </c>
    </row>
    <row r="1548" customFormat="false" ht="26.85" hidden="false" customHeight="false" outlineLevel="0" collapsed="false">
      <c r="A1548" s="15" t="s">
        <v>79</v>
      </c>
      <c r="B1548" s="15" t="s">
        <v>214</v>
      </c>
      <c r="C1548" s="14" t="s">
        <v>348</v>
      </c>
      <c r="D1548" s="14" t="s">
        <v>10318</v>
      </c>
      <c r="E1548" s="16" t="s">
        <v>10319</v>
      </c>
      <c r="F1548" s="16" t="s">
        <v>351</v>
      </c>
      <c r="G1548" s="19" t="s">
        <v>41</v>
      </c>
      <c r="H1548" s="18" t="n">
        <v>5</v>
      </c>
      <c r="I1548" s="20" t="n">
        <v>136.79</v>
      </c>
      <c r="J1548" s="20" t="n">
        <v>250.26</v>
      </c>
      <c r="K1548" s="18" t="n">
        <v>11</v>
      </c>
      <c r="L1548" s="18" t="n">
        <v>14</v>
      </c>
      <c r="M1548" s="18" t="n">
        <v>242</v>
      </c>
      <c r="N1548" s="18" t="n">
        <v>83</v>
      </c>
      <c r="O1548" s="14" t="s">
        <v>10320</v>
      </c>
      <c r="P1548" s="14" t="s">
        <v>352</v>
      </c>
      <c r="Q1548" s="15" t="s">
        <v>1089</v>
      </c>
      <c r="R1548" s="16" t="s">
        <v>353</v>
      </c>
      <c r="S1548" s="15" t="s">
        <v>354</v>
      </c>
      <c r="T1548" s="15" t="s">
        <v>354</v>
      </c>
      <c r="U1548" s="21" t="s">
        <v>72</v>
      </c>
    </row>
    <row r="1549" customFormat="false" ht="15" hidden="false" customHeight="false" outlineLevel="0" collapsed="false">
      <c r="A1549" s="15" t="s">
        <v>79</v>
      </c>
      <c r="B1549" s="15" t="s">
        <v>214</v>
      </c>
      <c r="C1549" s="14" t="s">
        <v>339</v>
      </c>
      <c r="D1549" s="14" t="s">
        <v>10321</v>
      </c>
      <c r="E1549" s="16" t="s">
        <v>10322</v>
      </c>
      <c r="F1549" s="16" t="s">
        <v>342</v>
      </c>
      <c r="G1549" s="23" t="s">
        <v>43</v>
      </c>
      <c r="H1549" s="18" t="n">
        <v>2</v>
      </c>
      <c r="I1549" s="20" t="n">
        <v>56.26</v>
      </c>
      <c r="J1549" s="20" t="n">
        <v>151.38</v>
      </c>
      <c r="K1549" s="18" t="n">
        <v>16</v>
      </c>
      <c r="L1549" s="18" t="n">
        <v>5</v>
      </c>
      <c r="M1549" s="18" t="n">
        <v>368</v>
      </c>
      <c r="N1549" s="18" t="n">
        <v>146</v>
      </c>
      <c r="O1549" s="14" t="s">
        <v>10323</v>
      </c>
      <c r="P1549" s="14" t="s">
        <v>118</v>
      </c>
      <c r="Q1549" s="15" t="s">
        <v>1089</v>
      </c>
      <c r="R1549" s="16" t="s">
        <v>218</v>
      </c>
      <c r="S1549" s="15" t="s">
        <v>343</v>
      </c>
      <c r="T1549" s="15" t="s">
        <v>344</v>
      </c>
      <c r="U1549" s="21" t="s">
        <v>72</v>
      </c>
    </row>
    <row r="1550" customFormat="false" ht="15" hidden="false" customHeight="false" outlineLevel="0" collapsed="false">
      <c r="A1550" s="15" t="s">
        <v>79</v>
      </c>
      <c r="B1550" s="15" t="s">
        <v>214</v>
      </c>
      <c r="C1550" s="14" t="s">
        <v>10324</v>
      </c>
      <c r="D1550" s="14" t="s">
        <v>10325</v>
      </c>
      <c r="E1550" s="16" t="s">
        <v>10326</v>
      </c>
      <c r="F1550" s="16" t="s">
        <v>10327</v>
      </c>
      <c r="G1550" s="19" t="s">
        <v>41</v>
      </c>
      <c r="H1550" s="18" t="n">
        <v>4</v>
      </c>
      <c r="I1550" s="20" t="n">
        <v>113.69</v>
      </c>
      <c r="J1550" s="20" t="n">
        <v>218.46</v>
      </c>
      <c r="K1550" s="18" t="n">
        <v>12</v>
      </c>
      <c r="L1550" s="18" t="n">
        <v>8</v>
      </c>
      <c r="M1550" s="18" t="n">
        <v>293</v>
      </c>
      <c r="N1550" s="18" t="n">
        <v>100</v>
      </c>
      <c r="O1550" s="14" t="s">
        <v>1126</v>
      </c>
      <c r="P1550" s="14" t="s">
        <v>118</v>
      </c>
      <c r="Q1550" s="15" t="s">
        <v>1089</v>
      </c>
      <c r="R1550" s="16" t="s">
        <v>10328</v>
      </c>
      <c r="S1550" s="15" t="s">
        <v>10329</v>
      </c>
      <c r="T1550" s="15" t="s">
        <v>10330</v>
      </c>
      <c r="U1550" s="21" t="s">
        <v>72</v>
      </c>
    </row>
    <row r="1551" customFormat="false" ht="15" hidden="false" customHeight="false" outlineLevel="0" collapsed="false">
      <c r="A1551" s="15" t="s">
        <v>79</v>
      </c>
      <c r="B1551" s="15" t="s">
        <v>214</v>
      </c>
      <c r="C1551" s="14" t="s">
        <v>10331</v>
      </c>
      <c r="D1551" s="14" t="s">
        <v>10332</v>
      </c>
      <c r="E1551" s="16" t="s">
        <v>10333</v>
      </c>
      <c r="F1551" s="16" t="s">
        <v>10327</v>
      </c>
      <c r="G1551" s="19" t="s">
        <v>41</v>
      </c>
      <c r="H1551" s="18" t="n">
        <v>6</v>
      </c>
      <c r="I1551" s="20" t="n">
        <v>124.31</v>
      </c>
      <c r="J1551" s="20" t="n">
        <v>308.69</v>
      </c>
      <c r="K1551" s="18" t="n">
        <v>18</v>
      </c>
      <c r="L1551" s="18" t="n">
        <v>8</v>
      </c>
      <c r="M1551" s="18" t="n">
        <v>232</v>
      </c>
      <c r="N1551" s="18" t="n">
        <v>49</v>
      </c>
      <c r="O1551" s="14" t="s">
        <v>1126</v>
      </c>
      <c r="P1551" s="14" t="s">
        <v>118</v>
      </c>
      <c r="Q1551" s="15" t="s">
        <v>1089</v>
      </c>
      <c r="R1551" s="16" t="s">
        <v>10334</v>
      </c>
      <c r="S1551" s="15" t="s">
        <v>10329</v>
      </c>
      <c r="T1551" s="15" t="s">
        <v>10335</v>
      </c>
      <c r="U1551" s="21" t="s">
        <v>72</v>
      </c>
    </row>
    <row r="1552" customFormat="false" ht="15" hidden="false" customHeight="false" outlineLevel="0" collapsed="false">
      <c r="A1552" s="15" t="s">
        <v>79</v>
      </c>
      <c r="B1552" s="15" t="s">
        <v>214</v>
      </c>
      <c r="C1552" s="14" t="s">
        <v>10336</v>
      </c>
      <c r="D1552" s="14" t="s">
        <v>10337</v>
      </c>
      <c r="E1552" s="16" t="s">
        <v>10338</v>
      </c>
      <c r="F1552" s="16" t="s">
        <v>10339</v>
      </c>
      <c r="G1552" s="23" t="s">
        <v>43</v>
      </c>
      <c r="H1552" s="18" t="n">
        <v>3</v>
      </c>
      <c r="I1552" s="20" t="n">
        <v>89.09</v>
      </c>
      <c r="J1552" s="20" t="n">
        <v>175.48</v>
      </c>
      <c r="K1552" s="18" t="n">
        <v>4</v>
      </c>
      <c r="L1552" s="18" t="n">
        <v>3</v>
      </c>
      <c r="M1552" s="18" t="n">
        <v>94</v>
      </c>
      <c r="N1552" s="18" t="n">
        <v>94</v>
      </c>
      <c r="O1552" s="14" t="s">
        <v>10340</v>
      </c>
      <c r="P1552" s="14" t="s">
        <v>118</v>
      </c>
      <c r="Q1552" s="15" t="s">
        <v>1089</v>
      </c>
      <c r="R1552" s="16" t="s">
        <v>6716</v>
      </c>
      <c r="S1552" s="15" t="s">
        <v>10341</v>
      </c>
      <c r="T1552" s="15" t="s">
        <v>10342</v>
      </c>
      <c r="U1552" s="21" t="s">
        <v>72</v>
      </c>
    </row>
    <row r="1553" customFormat="false" ht="15" hidden="false" customHeight="false" outlineLevel="0" collapsed="false">
      <c r="A1553" s="15" t="s">
        <v>79</v>
      </c>
      <c r="B1553" s="15" t="s">
        <v>214</v>
      </c>
      <c r="C1553" s="14" t="s">
        <v>10343</v>
      </c>
      <c r="D1553" s="14" t="s">
        <v>10344</v>
      </c>
      <c r="E1553" s="16" t="s">
        <v>10345</v>
      </c>
      <c r="F1553" s="16" t="s">
        <v>10346</v>
      </c>
      <c r="G1553" s="23" t="s">
        <v>43</v>
      </c>
      <c r="H1553" s="18" t="n">
        <v>2</v>
      </c>
      <c r="I1553" s="20" t="n">
        <v>43.93</v>
      </c>
      <c r="J1553" s="20" t="n">
        <v>54.75</v>
      </c>
      <c r="K1553" s="18" t="n">
        <v>4</v>
      </c>
      <c r="L1553" s="18" t="n">
        <v>1</v>
      </c>
      <c r="M1553" s="18" t="n">
        <v>68</v>
      </c>
      <c r="N1553" s="18" t="n">
        <v>14</v>
      </c>
      <c r="O1553" s="14" t="s">
        <v>1126</v>
      </c>
      <c r="P1553" s="14" t="s">
        <v>118</v>
      </c>
      <c r="Q1553" s="15" t="s">
        <v>1089</v>
      </c>
      <c r="R1553" s="16" t="s">
        <v>10347</v>
      </c>
      <c r="S1553" s="15" t="s">
        <v>10348</v>
      </c>
      <c r="T1553" s="15" t="s">
        <v>10349</v>
      </c>
      <c r="U1553" s="21" t="s">
        <v>72</v>
      </c>
    </row>
    <row r="1554" customFormat="false" ht="15" hidden="false" customHeight="false" outlineLevel="0" collapsed="false">
      <c r="A1554" s="15" t="s">
        <v>79</v>
      </c>
      <c r="B1554" s="15" t="s">
        <v>214</v>
      </c>
      <c r="C1554" s="14" t="s">
        <v>10350</v>
      </c>
      <c r="D1554" s="14" t="s">
        <v>10351</v>
      </c>
      <c r="E1554" s="16" t="s">
        <v>10352</v>
      </c>
      <c r="F1554" s="16" t="s">
        <v>10353</v>
      </c>
      <c r="G1554" s="23" t="s">
        <v>43</v>
      </c>
      <c r="H1554" s="18" t="n">
        <v>2</v>
      </c>
      <c r="I1554" s="20" t="n">
        <v>33.55</v>
      </c>
      <c r="J1554" s="20" t="n">
        <v>80.09</v>
      </c>
      <c r="K1554" s="18" t="n">
        <v>4</v>
      </c>
      <c r="L1554" s="18" t="n">
        <v>3</v>
      </c>
      <c r="M1554" s="18" t="n">
        <v>46</v>
      </c>
      <c r="N1554" s="18" t="n">
        <v>10</v>
      </c>
      <c r="O1554" s="14" t="s">
        <v>1126</v>
      </c>
      <c r="P1554" s="14" t="s">
        <v>118</v>
      </c>
      <c r="Q1554" s="15" t="s">
        <v>1089</v>
      </c>
      <c r="R1554" s="16" t="s">
        <v>10354</v>
      </c>
      <c r="S1554" s="15" t="s">
        <v>10355</v>
      </c>
      <c r="T1554" s="15" t="s">
        <v>10355</v>
      </c>
      <c r="U1554" s="21" t="s">
        <v>72</v>
      </c>
    </row>
    <row r="1555" customFormat="false" ht="26.85" hidden="false" customHeight="false" outlineLevel="0" collapsed="false">
      <c r="A1555" s="15" t="s">
        <v>79</v>
      </c>
      <c r="B1555" s="15" t="s">
        <v>214</v>
      </c>
      <c r="C1555" s="14" t="s">
        <v>10356</v>
      </c>
      <c r="D1555" s="14" t="s">
        <v>10357</v>
      </c>
      <c r="E1555" s="16" t="s">
        <v>10358</v>
      </c>
      <c r="F1555" s="16" t="s">
        <v>10079</v>
      </c>
      <c r="G1555" s="23" t="s">
        <v>43</v>
      </c>
      <c r="H1555" s="18" t="n">
        <v>4</v>
      </c>
      <c r="I1555" s="20" t="n">
        <v>61.07</v>
      </c>
      <c r="J1555" s="20" t="n">
        <v>150.71</v>
      </c>
      <c r="K1555" s="18" t="n">
        <v>4</v>
      </c>
      <c r="L1555" s="18" t="n">
        <v>2</v>
      </c>
      <c r="M1555" s="18" t="n">
        <v>46</v>
      </c>
      <c r="N1555" s="18" t="n">
        <v>28</v>
      </c>
      <c r="O1555" s="14" t="s">
        <v>1126</v>
      </c>
      <c r="P1555" s="14" t="s">
        <v>906</v>
      </c>
      <c r="Q1555" s="15" t="s">
        <v>1089</v>
      </c>
      <c r="R1555" s="16" t="s">
        <v>10359</v>
      </c>
      <c r="S1555" s="15" t="s">
        <v>10081</v>
      </c>
      <c r="T1555" s="15" t="s">
        <v>10360</v>
      </c>
      <c r="U1555" s="21" t="s">
        <v>72</v>
      </c>
    </row>
    <row r="1556" customFormat="false" ht="15" hidden="false" customHeight="false" outlineLevel="0" collapsed="false">
      <c r="A1556" s="15" t="s">
        <v>79</v>
      </c>
      <c r="B1556" s="15" t="s">
        <v>214</v>
      </c>
      <c r="C1556" s="14" t="s">
        <v>10361</v>
      </c>
      <c r="D1556" s="14" t="s">
        <v>10362</v>
      </c>
      <c r="E1556" s="16" t="s">
        <v>10363</v>
      </c>
      <c r="F1556" s="16" t="s">
        <v>10364</v>
      </c>
      <c r="G1556" s="23" t="s">
        <v>43</v>
      </c>
      <c r="H1556" s="18" t="n">
        <v>1</v>
      </c>
      <c r="I1556" s="20" t="n">
        <v>48.13</v>
      </c>
      <c r="J1556" s="20" t="n">
        <v>145.06</v>
      </c>
      <c r="K1556" s="18" t="n">
        <v>4</v>
      </c>
      <c r="L1556" s="18" t="n">
        <v>6</v>
      </c>
      <c r="M1556" s="18" t="n">
        <v>120</v>
      </c>
      <c r="N1556" s="18" t="n">
        <v>120</v>
      </c>
      <c r="O1556" s="14" t="s">
        <v>1126</v>
      </c>
      <c r="P1556" s="14" t="s">
        <v>84</v>
      </c>
      <c r="Q1556" s="15" t="s">
        <v>1089</v>
      </c>
      <c r="R1556" s="16" t="s">
        <v>3862</v>
      </c>
      <c r="S1556" s="15" t="s">
        <v>3719</v>
      </c>
      <c r="T1556" s="15" t="s">
        <v>3719</v>
      </c>
      <c r="U1556" s="21" t="s">
        <v>72</v>
      </c>
    </row>
    <row r="1557" customFormat="false" ht="15" hidden="false" customHeight="false" outlineLevel="0" collapsed="false">
      <c r="A1557" s="15" t="s">
        <v>79</v>
      </c>
      <c r="B1557" s="15" t="s">
        <v>214</v>
      </c>
      <c r="C1557" s="14" t="s">
        <v>10365</v>
      </c>
      <c r="D1557" s="14" t="s">
        <v>10366</v>
      </c>
      <c r="E1557" s="16" t="s">
        <v>10367</v>
      </c>
      <c r="F1557" s="16" t="s">
        <v>10368</v>
      </c>
      <c r="G1557" s="19" t="s">
        <v>41</v>
      </c>
      <c r="H1557" s="18" t="n">
        <v>5</v>
      </c>
      <c r="I1557" s="20" t="n">
        <v>124.1</v>
      </c>
      <c r="J1557" s="20" t="n">
        <v>217.73</v>
      </c>
      <c r="K1557" s="18" t="n">
        <v>15</v>
      </c>
      <c r="L1557" s="18" t="n">
        <v>12</v>
      </c>
      <c r="M1557" s="18" t="n">
        <v>270</v>
      </c>
      <c r="N1557" s="18" t="n">
        <v>270</v>
      </c>
      <c r="O1557" s="14" t="s">
        <v>1088</v>
      </c>
      <c r="P1557" s="14" t="s">
        <v>84</v>
      </c>
      <c r="Q1557" s="15" t="s">
        <v>1089</v>
      </c>
      <c r="R1557" s="16" t="s">
        <v>10369</v>
      </c>
      <c r="S1557" s="15" t="s">
        <v>10370</v>
      </c>
      <c r="T1557" s="15" t="s">
        <v>10371</v>
      </c>
      <c r="U1557" s="21" t="s">
        <v>72</v>
      </c>
    </row>
    <row r="1558" customFormat="false" ht="15" hidden="false" customHeight="false" outlineLevel="0" collapsed="false">
      <c r="A1558" s="15" t="s">
        <v>79</v>
      </c>
      <c r="B1558" s="15" t="s">
        <v>214</v>
      </c>
      <c r="C1558" s="14" t="s">
        <v>10372</v>
      </c>
      <c r="D1558" s="14" t="s">
        <v>10373</v>
      </c>
      <c r="E1558" s="16" t="s">
        <v>10374</v>
      </c>
      <c r="F1558" s="16" t="s">
        <v>10375</v>
      </c>
      <c r="G1558" s="19" t="s">
        <v>41</v>
      </c>
      <c r="H1558" s="18" t="n">
        <v>7</v>
      </c>
      <c r="I1558" s="20" t="n">
        <v>118.59</v>
      </c>
      <c r="J1558" s="20" t="n">
        <v>346.41</v>
      </c>
      <c r="K1558" s="18" t="n">
        <v>23</v>
      </c>
      <c r="L1558" s="18" t="n">
        <v>7</v>
      </c>
      <c r="M1558" s="18" t="n">
        <v>292</v>
      </c>
      <c r="N1558" s="18" t="n">
        <v>64</v>
      </c>
      <c r="O1558" s="14" t="s">
        <v>10376</v>
      </c>
      <c r="P1558" s="14" t="s">
        <v>118</v>
      </c>
      <c r="Q1558" s="15" t="s">
        <v>1089</v>
      </c>
      <c r="R1558" s="16" t="s">
        <v>10377</v>
      </c>
      <c r="S1558" s="15" t="s">
        <v>10378</v>
      </c>
      <c r="T1558" s="15" t="s">
        <v>10379</v>
      </c>
      <c r="U1558" s="21" t="s">
        <v>72</v>
      </c>
    </row>
    <row r="1559" customFormat="false" ht="15" hidden="false" customHeight="false" outlineLevel="0" collapsed="false">
      <c r="A1559" s="15" t="s">
        <v>79</v>
      </c>
      <c r="B1559" s="15" t="s">
        <v>214</v>
      </c>
      <c r="C1559" s="14" t="s">
        <v>10380</v>
      </c>
      <c r="D1559" s="14" t="s">
        <v>10381</v>
      </c>
      <c r="E1559" s="16" t="s">
        <v>10382</v>
      </c>
      <c r="F1559" s="16" t="s">
        <v>10383</v>
      </c>
      <c r="G1559" s="23" t="s">
        <v>43</v>
      </c>
      <c r="H1559" s="18" t="n">
        <v>3</v>
      </c>
      <c r="I1559" s="20" t="n">
        <v>68.31</v>
      </c>
      <c r="J1559" s="20" t="n">
        <v>159.12</v>
      </c>
      <c r="K1559" s="18" t="n">
        <v>4</v>
      </c>
      <c r="L1559" s="18" t="n">
        <v>2</v>
      </c>
      <c r="M1559" s="18" t="n">
        <v>112</v>
      </c>
      <c r="N1559" s="18" t="n">
        <v>10</v>
      </c>
      <c r="O1559" s="14" t="s">
        <v>1126</v>
      </c>
      <c r="P1559" s="14" t="s">
        <v>118</v>
      </c>
      <c r="Q1559" s="15" t="s">
        <v>1089</v>
      </c>
      <c r="R1559" s="16" t="s">
        <v>8069</v>
      </c>
      <c r="S1559" s="15" t="s">
        <v>10384</v>
      </c>
      <c r="T1559" s="15" t="s">
        <v>10384</v>
      </c>
      <c r="U1559" s="21" t="s">
        <v>72</v>
      </c>
    </row>
    <row r="1560" customFormat="false" ht="15" hidden="false" customHeight="false" outlineLevel="0" collapsed="false">
      <c r="A1560" s="15" t="s">
        <v>79</v>
      </c>
      <c r="B1560" s="15" t="s">
        <v>214</v>
      </c>
      <c r="C1560" s="14" t="s">
        <v>10385</v>
      </c>
      <c r="D1560" s="14" t="s">
        <v>10386</v>
      </c>
      <c r="E1560" s="16" t="s">
        <v>10387</v>
      </c>
      <c r="F1560" s="16" t="s">
        <v>10388</v>
      </c>
      <c r="G1560" s="19" t="s">
        <v>41</v>
      </c>
      <c r="H1560" s="18" t="n">
        <v>6</v>
      </c>
      <c r="I1560" s="20" t="n">
        <v>107.88</v>
      </c>
      <c r="J1560" s="20" t="n">
        <v>239.95</v>
      </c>
      <c r="K1560" s="18" t="n">
        <v>13</v>
      </c>
      <c r="L1560" s="18" t="n">
        <v>4</v>
      </c>
      <c r="M1560" s="18" t="n">
        <v>185</v>
      </c>
      <c r="N1560" s="18" t="n">
        <v>133</v>
      </c>
      <c r="O1560" s="14" t="s">
        <v>10389</v>
      </c>
      <c r="P1560" s="14" t="s">
        <v>84</v>
      </c>
      <c r="Q1560" s="15" t="s">
        <v>1089</v>
      </c>
      <c r="R1560" s="16" t="s">
        <v>10390</v>
      </c>
      <c r="S1560" s="15" t="s">
        <v>10391</v>
      </c>
      <c r="T1560" s="15" t="s">
        <v>10391</v>
      </c>
      <c r="U1560" s="21" t="s">
        <v>72</v>
      </c>
    </row>
    <row r="1561" customFormat="false" ht="15" hidden="false" customHeight="false" outlineLevel="0" collapsed="false">
      <c r="A1561" s="15" t="s">
        <v>79</v>
      </c>
      <c r="B1561" s="15" t="s">
        <v>214</v>
      </c>
      <c r="C1561" s="14" t="s">
        <v>10392</v>
      </c>
      <c r="D1561" s="14" t="s">
        <v>10393</v>
      </c>
      <c r="E1561" s="16" t="s">
        <v>10394</v>
      </c>
      <c r="F1561" s="16" t="s">
        <v>10395</v>
      </c>
      <c r="G1561" s="23" t="s">
        <v>43</v>
      </c>
      <c r="H1561" s="18" t="n">
        <v>2</v>
      </c>
      <c r="I1561" s="20" t="n">
        <v>36.68</v>
      </c>
      <c r="J1561" s="20" t="n">
        <v>102.88</v>
      </c>
      <c r="K1561" s="18" t="n">
        <v>2</v>
      </c>
      <c r="L1561" s="18" t="n">
        <v>3</v>
      </c>
      <c r="M1561" s="18" t="n">
        <v>30</v>
      </c>
      <c r="N1561" s="18" t="n">
        <v>30</v>
      </c>
      <c r="O1561" s="14" t="s">
        <v>10396</v>
      </c>
      <c r="P1561" s="14" t="s">
        <v>84</v>
      </c>
      <c r="Q1561" s="15" t="s">
        <v>1089</v>
      </c>
      <c r="R1561" s="16" t="s">
        <v>10397</v>
      </c>
      <c r="S1561" s="15" t="s">
        <v>10398</v>
      </c>
      <c r="T1561" s="15" t="s">
        <v>10399</v>
      </c>
      <c r="U1561" s="21" t="s">
        <v>72</v>
      </c>
    </row>
    <row r="1562" customFormat="false" ht="15" hidden="false" customHeight="false" outlineLevel="0" collapsed="false">
      <c r="A1562" s="15" t="s">
        <v>79</v>
      </c>
      <c r="B1562" s="15" t="s">
        <v>214</v>
      </c>
      <c r="C1562" s="14" t="s">
        <v>10400</v>
      </c>
      <c r="D1562" s="14" t="s">
        <v>10401</v>
      </c>
      <c r="E1562" s="16" t="s">
        <v>10402</v>
      </c>
      <c r="F1562" s="16" t="s">
        <v>10403</v>
      </c>
      <c r="G1562" s="19" t="s">
        <v>41</v>
      </c>
      <c r="H1562" s="18" t="n">
        <v>3</v>
      </c>
      <c r="I1562" s="20" t="n">
        <v>158.73</v>
      </c>
      <c r="J1562" s="20" t="n">
        <v>313.51</v>
      </c>
      <c r="K1562" s="18" t="n">
        <v>20</v>
      </c>
      <c r="L1562" s="18" t="n">
        <v>9</v>
      </c>
      <c r="M1562" s="18" t="n">
        <v>880</v>
      </c>
      <c r="N1562" s="18" t="n">
        <v>352</v>
      </c>
      <c r="O1562" s="14" t="s">
        <v>10227</v>
      </c>
      <c r="P1562" s="14" t="s">
        <v>118</v>
      </c>
      <c r="Q1562" s="15" t="s">
        <v>1089</v>
      </c>
      <c r="R1562" s="16" t="s">
        <v>10404</v>
      </c>
      <c r="S1562" s="15" t="s">
        <v>10405</v>
      </c>
      <c r="T1562" s="15" t="s">
        <v>10406</v>
      </c>
      <c r="U1562" s="21" t="s">
        <v>72</v>
      </c>
    </row>
    <row r="1563" customFormat="false" ht="15" hidden="false" customHeight="false" outlineLevel="0" collapsed="false">
      <c r="A1563" s="15" t="s">
        <v>79</v>
      </c>
      <c r="B1563" s="15" t="s">
        <v>214</v>
      </c>
      <c r="C1563" s="14" t="s">
        <v>10407</v>
      </c>
      <c r="D1563" s="14" t="s">
        <v>10408</v>
      </c>
      <c r="E1563" s="16" t="s">
        <v>10409</v>
      </c>
      <c r="F1563" s="16" t="s">
        <v>10410</v>
      </c>
      <c r="G1563" s="19" t="s">
        <v>41</v>
      </c>
      <c r="H1563" s="18" t="n">
        <v>6</v>
      </c>
      <c r="I1563" s="20" t="n">
        <v>123.38</v>
      </c>
      <c r="J1563" s="20" t="n">
        <v>309.7</v>
      </c>
      <c r="K1563" s="18" t="n">
        <v>10</v>
      </c>
      <c r="L1563" s="18" t="n">
        <v>2</v>
      </c>
      <c r="M1563" s="18" t="n">
        <v>163</v>
      </c>
      <c r="N1563" s="18" t="n">
        <v>45</v>
      </c>
      <c r="O1563" s="14" t="s">
        <v>3724</v>
      </c>
      <c r="P1563" s="14" t="s">
        <v>334</v>
      </c>
      <c r="Q1563" s="15" t="s">
        <v>1089</v>
      </c>
      <c r="R1563" s="16" t="s">
        <v>10411</v>
      </c>
      <c r="S1563" s="15" t="s">
        <v>10405</v>
      </c>
      <c r="T1563" s="15" t="s">
        <v>10412</v>
      </c>
      <c r="U1563" s="21" t="s">
        <v>72</v>
      </c>
    </row>
    <row r="1564" customFormat="false" ht="15" hidden="false" customHeight="false" outlineLevel="0" collapsed="false">
      <c r="A1564" s="15" t="s">
        <v>79</v>
      </c>
      <c r="B1564" s="15" t="s">
        <v>214</v>
      </c>
      <c r="C1564" s="14" t="s">
        <v>10413</v>
      </c>
      <c r="D1564" s="14" t="s">
        <v>10414</v>
      </c>
      <c r="E1564" s="16" t="s">
        <v>10415</v>
      </c>
      <c r="F1564" s="16" t="s">
        <v>10416</v>
      </c>
      <c r="G1564" s="19" t="s">
        <v>41</v>
      </c>
      <c r="H1564" s="18" t="n">
        <v>5</v>
      </c>
      <c r="I1564" s="20" t="n">
        <v>128.37</v>
      </c>
      <c r="J1564" s="20" t="n">
        <v>203.24</v>
      </c>
      <c r="K1564" s="18" t="n">
        <v>5</v>
      </c>
      <c r="L1564" s="18" t="n">
        <v>5</v>
      </c>
      <c r="M1564" s="18" t="n">
        <v>94</v>
      </c>
      <c r="N1564" s="18" t="n">
        <v>80</v>
      </c>
      <c r="O1564" s="14" t="s">
        <v>10417</v>
      </c>
      <c r="P1564" s="14" t="s">
        <v>118</v>
      </c>
      <c r="Q1564" s="15" t="s">
        <v>1089</v>
      </c>
      <c r="R1564" s="16" t="s">
        <v>10418</v>
      </c>
      <c r="S1564" s="15" t="s">
        <v>10405</v>
      </c>
      <c r="T1564" s="15" t="s">
        <v>10419</v>
      </c>
      <c r="U1564" s="21" t="s">
        <v>72</v>
      </c>
    </row>
    <row r="1565" customFormat="false" ht="15" hidden="false" customHeight="false" outlineLevel="0" collapsed="false">
      <c r="A1565" s="15" t="s">
        <v>79</v>
      </c>
      <c r="B1565" s="15" t="s">
        <v>214</v>
      </c>
      <c r="C1565" s="14" t="s">
        <v>936</v>
      </c>
      <c r="D1565" s="14" t="s">
        <v>10420</v>
      </c>
      <c r="E1565" s="16"/>
      <c r="F1565" s="16" t="s">
        <v>10118</v>
      </c>
      <c r="G1565" s="23" t="s">
        <v>43</v>
      </c>
      <c r="H1565" s="18" t="n">
        <v>4</v>
      </c>
      <c r="I1565" s="20" t="n">
        <v>61.92</v>
      </c>
      <c r="J1565" s="20" t="n">
        <v>144.06</v>
      </c>
      <c r="K1565" s="18" t="n">
        <v>4</v>
      </c>
      <c r="L1565" s="18" t="n">
        <v>5</v>
      </c>
      <c r="M1565" s="18" t="n">
        <v>48</v>
      </c>
      <c r="N1565" s="18" t="n">
        <v>48</v>
      </c>
      <c r="O1565" s="14" t="s">
        <v>1088</v>
      </c>
      <c r="P1565" s="14" t="s">
        <v>84</v>
      </c>
      <c r="Q1565" s="15" t="s">
        <v>1089</v>
      </c>
      <c r="R1565" s="16" t="s">
        <v>6522</v>
      </c>
      <c r="S1565" s="15" t="s">
        <v>10120</v>
      </c>
      <c r="T1565" s="15" t="s">
        <v>10421</v>
      </c>
      <c r="U1565" s="21" t="s">
        <v>72</v>
      </c>
    </row>
    <row r="1566" customFormat="false" ht="15" hidden="false" customHeight="false" outlineLevel="0" collapsed="false">
      <c r="A1566" s="15" t="s">
        <v>79</v>
      </c>
      <c r="B1566" s="15" t="s">
        <v>214</v>
      </c>
      <c r="C1566" s="14" t="s">
        <v>10422</v>
      </c>
      <c r="D1566" s="14" t="s">
        <v>10423</v>
      </c>
      <c r="E1566" s="16" t="s">
        <v>10424</v>
      </c>
      <c r="F1566" s="16" t="s">
        <v>10425</v>
      </c>
      <c r="G1566" s="23" t="s">
        <v>43</v>
      </c>
      <c r="H1566" s="18" t="n">
        <v>2</v>
      </c>
      <c r="I1566" s="20" t="n">
        <v>45.9</v>
      </c>
      <c r="J1566" s="20" t="n">
        <v>126.68</v>
      </c>
      <c r="K1566" s="18" t="n">
        <v>6</v>
      </c>
      <c r="L1566" s="18" t="n">
        <v>2</v>
      </c>
      <c r="M1566" s="18" t="n">
        <v>120</v>
      </c>
      <c r="N1566" s="18" t="n">
        <v>46</v>
      </c>
      <c r="O1566" s="14" t="s">
        <v>1126</v>
      </c>
      <c r="P1566" s="14" t="s">
        <v>118</v>
      </c>
      <c r="Q1566" s="15" t="s">
        <v>1089</v>
      </c>
      <c r="R1566" s="16" t="s">
        <v>10426</v>
      </c>
      <c r="S1566" s="15" t="s">
        <v>10427</v>
      </c>
      <c r="T1566" s="15" t="s">
        <v>10428</v>
      </c>
      <c r="U1566" s="21" t="s">
        <v>72</v>
      </c>
    </row>
    <row r="1567" customFormat="false" ht="15" hidden="false" customHeight="false" outlineLevel="0" collapsed="false">
      <c r="A1567" s="15" t="s">
        <v>79</v>
      </c>
      <c r="B1567" s="15" t="s">
        <v>214</v>
      </c>
      <c r="C1567" s="14" t="s">
        <v>10429</v>
      </c>
      <c r="D1567" s="14" t="s">
        <v>10430</v>
      </c>
      <c r="E1567" s="16" t="s">
        <v>10431</v>
      </c>
      <c r="F1567" s="16" t="s">
        <v>10432</v>
      </c>
      <c r="G1567" s="23" t="s">
        <v>43</v>
      </c>
      <c r="H1567" s="18" t="n">
        <v>2</v>
      </c>
      <c r="I1567" s="20" t="n">
        <v>33.42</v>
      </c>
      <c r="J1567" s="20" t="n">
        <v>66.15</v>
      </c>
      <c r="K1567" s="18" t="n">
        <v>2</v>
      </c>
      <c r="L1567" s="18"/>
      <c r="M1567" s="18" t="n">
        <v>26</v>
      </c>
      <c r="N1567" s="18" t="n">
        <v>26</v>
      </c>
      <c r="O1567" s="14" t="s">
        <v>1088</v>
      </c>
      <c r="P1567" s="14" t="s">
        <v>84</v>
      </c>
      <c r="Q1567" s="15" t="s">
        <v>1089</v>
      </c>
      <c r="R1567" s="16" t="s">
        <v>10433</v>
      </c>
      <c r="S1567" s="15" t="s">
        <v>10434</v>
      </c>
      <c r="T1567" s="15" t="s">
        <v>10434</v>
      </c>
      <c r="U1567" s="21" t="s">
        <v>72</v>
      </c>
    </row>
    <row r="1568" customFormat="false" ht="15" hidden="false" customHeight="false" outlineLevel="0" collapsed="false">
      <c r="A1568" s="15" t="s">
        <v>79</v>
      </c>
      <c r="B1568" s="15" t="s">
        <v>214</v>
      </c>
      <c r="C1568" s="14" t="s">
        <v>10435</v>
      </c>
      <c r="D1568" s="14" t="s">
        <v>10436</v>
      </c>
      <c r="E1568" s="16" t="s">
        <v>10437</v>
      </c>
      <c r="F1568" s="16" t="s">
        <v>10438</v>
      </c>
      <c r="G1568" s="19" t="s">
        <v>41</v>
      </c>
      <c r="H1568" s="18" t="n">
        <v>5</v>
      </c>
      <c r="I1568" s="20" t="n">
        <v>86.13</v>
      </c>
      <c r="J1568" s="20" t="n">
        <v>177.48</v>
      </c>
      <c r="K1568" s="18" t="n">
        <v>5</v>
      </c>
      <c r="L1568" s="18" t="n">
        <v>2</v>
      </c>
      <c r="M1568" s="18" t="n">
        <v>80</v>
      </c>
      <c r="N1568" s="18" t="n">
        <v>80</v>
      </c>
      <c r="O1568" s="14" t="s">
        <v>1126</v>
      </c>
      <c r="P1568" s="14" t="s">
        <v>84</v>
      </c>
      <c r="Q1568" s="15" t="s">
        <v>1089</v>
      </c>
      <c r="R1568" s="16" t="s">
        <v>10439</v>
      </c>
      <c r="S1568" s="15" t="s">
        <v>10440</v>
      </c>
      <c r="T1568" s="15" t="s">
        <v>10440</v>
      </c>
      <c r="U1568" s="21" t="s">
        <v>72</v>
      </c>
    </row>
    <row r="1569" customFormat="false" ht="15" hidden="false" customHeight="false" outlineLevel="0" collapsed="false">
      <c r="A1569" s="15" t="s">
        <v>79</v>
      </c>
      <c r="B1569" s="15" t="s">
        <v>214</v>
      </c>
      <c r="C1569" s="14" t="s">
        <v>10441</v>
      </c>
      <c r="D1569" s="14" t="s">
        <v>10442</v>
      </c>
      <c r="E1569" s="16" t="s">
        <v>10443</v>
      </c>
      <c r="F1569" s="16" t="s">
        <v>10444</v>
      </c>
      <c r="G1569" s="23" t="s">
        <v>43</v>
      </c>
      <c r="H1569" s="18" t="n">
        <v>4</v>
      </c>
      <c r="I1569" s="20" t="n">
        <v>76.26</v>
      </c>
      <c r="J1569" s="20" t="n">
        <v>199.93</v>
      </c>
      <c r="K1569" s="18" t="n">
        <v>5</v>
      </c>
      <c r="L1569" s="18" t="n">
        <v>3</v>
      </c>
      <c r="M1569" s="18" t="n">
        <v>40</v>
      </c>
      <c r="N1569" s="18" t="n">
        <v>32</v>
      </c>
      <c r="O1569" s="14" t="s">
        <v>10139</v>
      </c>
      <c r="P1569" s="14" t="s">
        <v>118</v>
      </c>
      <c r="Q1569" s="15" t="s">
        <v>1089</v>
      </c>
      <c r="R1569" s="16" t="s">
        <v>10445</v>
      </c>
      <c r="S1569" s="15" t="s">
        <v>9810</v>
      </c>
      <c r="T1569" s="15" t="s">
        <v>9810</v>
      </c>
      <c r="U1569" s="21" t="s">
        <v>72</v>
      </c>
    </row>
    <row r="1570" customFormat="false" ht="26.85" hidden="false" customHeight="false" outlineLevel="0" collapsed="false">
      <c r="A1570" s="15" t="s">
        <v>79</v>
      </c>
      <c r="B1570" s="15" t="s">
        <v>214</v>
      </c>
      <c r="C1570" s="14" t="s">
        <v>10446</v>
      </c>
      <c r="D1570" s="14" t="s">
        <v>10447</v>
      </c>
      <c r="E1570" s="16" t="s">
        <v>10448</v>
      </c>
      <c r="F1570" s="16" t="s">
        <v>10449</v>
      </c>
      <c r="G1570" s="19" t="s">
        <v>41</v>
      </c>
      <c r="H1570" s="18" t="n">
        <v>7</v>
      </c>
      <c r="I1570" s="20" t="n">
        <v>159.83</v>
      </c>
      <c r="J1570" s="20" t="n">
        <v>304.01</v>
      </c>
      <c r="K1570" s="18" t="n">
        <v>12</v>
      </c>
      <c r="L1570" s="18" t="n">
        <v>10</v>
      </c>
      <c r="M1570" s="18" t="n">
        <v>244</v>
      </c>
      <c r="N1570" s="18" t="n">
        <v>126</v>
      </c>
      <c r="O1570" s="14" t="s">
        <v>1126</v>
      </c>
      <c r="P1570" s="14" t="s">
        <v>118</v>
      </c>
      <c r="Q1570" s="15" t="s">
        <v>1089</v>
      </c>
      <c r="R1570" s="16" t="s">
        <v>10450</v>
      </c>
      <c r="S1570" s="15" t="s">
        <v>10451</v>
      </c>
      <c r="T1570" s="15" t="s">
        <v>10452</v>
      </c>
      <c r="U1570" s="21" t="s">
        <v>72</v>
      </c>
    </row>
    <row r="1571" customFormat="false" ht="15" hidden="false" customHeight="false" outlineLevel="0" collapsed="false">
      <c r="A1571" s="15" t="s">
        <v>79</v>
      </c>
      <c r="B1571" s="15" t="s">
        <v>214</v>
      </c>
      <c r="C1571" s="14" t="s">
        <v>10453</v>
      </c>
      <c r="D1571" s="14" t="s">
        <v>10454</v>
      </c>
      <c r="E1571" s="16" t="s">
        <v>10455</v>
      </c>
      <c r="F1571" s="16" t="s">
        <v>10456</v>
      </c>
      <c r="G1571" s="23" t="s">
        <v>43</v>
      </c>
      <c r="H1571" s="18" t="n">
        <v>1</v>
      </c>
      <c r="I1571" s="20" t="n">
        <v>30.7</v>
      </c>
      <c r="J1571" s="20" t="n">
        <v>93.58</v>
      </c>
      <c r="K1571" s="18" t="n">
        <v>2</v>
      </c>
      <c r="L1571" s="18" t="n">
        <v>3</v>
      </c>
      <c r="M1571" s="18" t="n">
        <v>50</v>
      </c>
      <c r="N1571" s="18" t="n">
        <v>50</v>
      </c>
      <c r="O1571" s="14" t="s">
        <v>1126</v>
      </c>
      <c r="P1571" s="14" t="s">
        <v>84</v>
      </c>
      <c r="Q1571" s="15" t="s">
        <v>1089</v>
      </c>
      <c r="R1571" s="16" t="s">
        <v>5878</v>
      </c>
      <c r="S1571" s="15" t="s">
        <v>10457</v>
      </c>
      <c r="T1571" s="15" t="s">
        <v>10457</v>
      </c>
      <c r="U1571" s="21" t="s">
        <v>72</v>
      </c>
    </row>
    <row r="1572" customFormat="false" ht="15" hidden="false" customHeight="false" outlineLevel="0" collapsed="false">
      <c r="A1572" s="15" t="s">
        <v>79</v>
      </c>
      <c r="B1572" s="15" t="s">
        <v>214</v>
      </c>
      <c r="C1572" s="14" t="s">
        <v>10458</v>
      </c>
      <c r="D1572" s="14" t="s">
        <v>10459</v>
      </c>
      <c r="E1572" s="16" t="s">
        <v>10460</v>
      </c>
      <c r="F1572" s="16" t="s">
        <v>10461</v>
      </c>
      <c r="G1572" s="23" t="s">
        <v>43</v>
      </c>
      <c r="H1572" s="18" t="n">
        <v>3</v>
      </c>
      <c r="I1572" s="20" t="n">
        <v>70.29</v>
      </c>
      <c r="J1572" s="20" t="n">
        <v>173.41</v>
      </c>
      <c r="K1572" s="18" t="n">
        <v>8</v>
      </c>
      <c r="L1572" s="18" t="n">
        <v>3</v>
      </c>
      <c r="M1572" s="18" t="n">
        <v>158</v>
      </c>
      <c r="N1572" s="18" t="n">
        <v>90</v>
      </c>
      <c r="O1572" s="14" t="s">
        <v>6448</v>
      </c>
      <c r="P1572" s="14" t="s">
        <v>118</v>
      </c>
      <c r="Q1572" s="15" t="s">
        <v>1089</v>
      </c>
      <c r="R1572" s="16" t="s">
        <v>10462</v>
      </c>
      <c r="S1572" s="15" t="s">
        <v>10463</v>
      </c>
      <c r="T1572" s="15" t="s">
        <v>10464</v>
      </c>
      <c r="U1572" s="21" t="s">
        <v>72</v>
      </c>
    </row>
    <row r="1573" customFormat="false" ht="15" hidden="false" customHeight="false" outlineLevel="0" collapsed="false">
      <c r="A1573" s="15" t="s">
        <v>79</v>
      </c>
      <c r="B1573" s="15" t="s">
        <v>214</v>
      </c>
      <c r="C1573" s="14" t="s">
        <v>10465</v>
      </c>
      <c r="D1573" s="14" t="s">
        <v>10466</v>
      </c>
      <c r="E1573" s="16" t="s">
        <v>10467</v>
      </c>
      <c r="F1573" s="16"/>
      <c r="G1573" s="23" t="s">
        <v>43</v>
      </c>
      <c r="H1573" s="18" t="n">
        <v>3</v>
      </c>
      <c r="I1573" s="20" t="n">
        <v>69.76</v>
      </c>
      <c r="J1573" s="20" t="n">
        <v>158.64</v>
      </c>
      <c r="K1573" s="18" t="n">
        <v>4</v>
      </c>
      <c r="L1573" s="18" t="n">
        <v>2</v>
      </c>
      <c r="M1573" s="18" t="n">
        <v>70</v>
      </c>
      <c r="N1573" s="18" t="n">
        <v>30</v>
      </c>
      <c r="O1573" s="14" t="s">
        <v>1126</v>
      </c>
      <c r="P1573" s="14" t="s">
        <v>118</v>
      </c>
      <c r="Q1573" s="15" t="s">
        <v>1089</v>
      </c>
      <c r="R1573" s="16" t="s">
        <v>7438</v>
      </c>
      <c r="S1573" s="15" t="s">
        <v>10468</v>
      </c>
      <c r="T1573" s="15" t="s">
        <v>10469</v>
      </c>
      <c r="U1573" s="21" t="s">
        <v>72</v>
      </c>
    </row>
    <row r="1574" customFormat="false" ht="15" hidden="false" customHeight="false" outlineLevel="0" collapsed="false">
      <c r="A1574" s="15" t="s">
        <v>79</v>
      </c>
      <c r="B1574" s="15" t="s">
        <v>214</v>
      </c>
      <c r="C1574" s="14" t="s">
        <v>10470</v>
      </c>
      <c r="D1574" s="14" t="s">
        <v>10471</v>
      </c>
      <c r="E1574" s="16" t="s">
        <v>10472</v>
      </c>
      <c r="F1574" s="16" t="s">
        <v>282</v>
      </c>
      <c r="G1574" s="19" t="s">
        <v>41</v>
      </c>
      <c r="H1574" s="18" t="n">
        <v>4</v>
      </c>
      <c r="I1574" s="20" t="n">
        <v>96.27</v>
      </c>
      <c r="J1574" s="20" t="n">
        <v>267.9</v>
      </c>
      <c r="K1574" s="18" t="n">
        <v>4</v>
      </c>
      <c r="L1574" s="18" t="n">
        <v>14</v>
      </c>
      <c r="M1574" s="18" t="n">
        <v>72</v>
      </c>
      <c r="N1574" s="18" t="n">
        <v>72</v>
      </c>
      <c r="O1574" s="14" t="s">
        <v>1126</v>
      </c>
      <c r="P1574" s="14" t="s">
        <v>84</v>
      </c>
      <c r="Q1574" s="15" t="s">
        <v>1089</v>
      </c>
      <c r="R1574" s="16" t="s">
        <v>10473</v>
      </c>
      <c r="S1574" s="15" t="s">
        <v>717</v>
      </c>
      <c r="T1574" s="15" t="s">
        <v>10474</v>
      </c>
      <c r="U1574" s="21" t="s">
        <v>72</v>
      </c>
    </row>
    <row r="1575" customFormat="false" ht="15" hidden="false" customHeight="false" outlineLevel="0" collapsed="false">
      <c r="A1575" s="15" t="s">
        <v>79</v>
      </c>
      <c r="B1575" s="15" t="s">
        <v>214</v>
      </c>
      <c r="C1575" s="14" t="s">
        <v>10475</v>
      </c>
      <c r="D1575" s="14" t="s">
        <v>10476</v>
      </c>
      <c r="E1575" s="16" t="s">
        <v>10477</v>
      </c>
      <c r="F1575" s="16" t="s">
        <v>10478</v>
      </c>
      <c r="G1575" s="23" t="s">
        <v>43</v>
      </c>
      <c r="H1575" s="18" t="n">
        <v>4</v>
      </c>
      <c r="I1575" s="20" t="n">
        <v>94.83</v>
      </c>
      <c r="J1575" s="20" t="n">
        <v>190.1</v>
      </c>
      <c r="K1575" s="18" t="n">
        <v>8</v>
      </c>
      <c r="L1575" s="18" t="n">
        <v>12</v>
      </c>
      <c r="M1575" s="18" t="n">
        <v>152</v>
      </c>
      <c r="N1575" s="18" t="n">
        <v>76</v>
      </c>
      <c r="O1575" s="14" t="s">
        <v>1088</v>
      </c>
      <c r="P1575" s="14" t="s">
        <v>118</v>
      </c>
      <c r="Q1575" s="15" t="s">
        <v>1089</v>
      </c>
      <c r="R1575" s="16" t="s">
        <v>10479</v>
      </c>
      <c r="S1575" s="15" t="s">
        <v>10480</v>
      </c>
      <c r="T1575" s="15" t="s">
        <v>10481</v>
      </c>
      <c r="U1575" s="21" t="s">
        <v>72</v>
      </c>
    </row>
    <row r="1576" customFormat="false" ht="15" hidden="false" customHeight="false" outlineLevel="0" collapsed="false">
      <c r="A1576" s="15" t="s">
        <v>79</v>
      </c>
      <c r="B1576" s="15" t="s">
        <v>214</v>
      </c>
      <c r="C1576" s="14" t="s">
        <v>10482</v>
      </c>
      <c r="D1576" s="14" t="s">
        <v>10483</v>
      </c>
      <c r="E1576" s="16" t="s">
        <v>10484</v>
      </c>
      <c r="F1576" s="16" t="s">
        <v>10485</v>
      </c>
      <c r="G1576" s="23" t="s">
        <v>43</v>
      </c>
      <c r="H1576" s="18" t="n">
        <v>3</v>
      </c>
      <c r="I1576" s="20" t="n">
        <v>60.3</v>
      </c>
      <c r="J1576" s="20" t="n">
        <v>152.14</v>
      </c>
      <c r="K1576" s="18" t="n">
        <v>12</v>
      </c>
      <c r="L1576" s="18" t="n">
        <v>3</v>
      </c>
      <c r="M1576" s="18" t="n">
        <v>301</v>
      </c>
      <c r="N1576" s="18" t="n">
        <v>224</v>
      </c>
      <c r="O1576" s="14" t="s">
        <v>10486</v>
      </c>
      <c r="P1576" s="14" t="s">
        <v>118</v>
      </c>
      <c r="Q1576" s="15" t="s">
        <v>1089</v>
      </c>
      <c r="R1576" s="16" t="s">
        <v>10487</v>
      </c>
      <c r="S1576" s="15" t="s">
        <v>10488</v>
      </c>
      <c r="T1576" s="15" t="s">
        <v>10488</v>
      </c>
      <c r="U1576" s="21" t="s">
        <v>72</v>
      </c>
    </row>
    <row r="1577" customFormat="false" ht="15" hidden="false" customHeight="false" outlineLevel="0" collapsed="false">
      <c r="A1577" s="15" t="s">
        <v>79</v>
      </c>
      <c r="B1577" s="15" t="s">
        <v>214</v>
      </c>
      <c r="C1577" s="14" t="s">
        <v>10489</v>
      </c>
      <c r="D1577" s="14" t="s">
        <v>10490</v>
      </c>
      <c r="E1577" s="16" t="s">
        <v>10491</v>
      </c>
      <c r="F1577" s="16" t="s">
        <v>10492</v>
      </c>
      <c r="G1577" s="19" t="s">
        <v>41</v>
      </c>
      <c r="H1577" s="18" t="n">
        <v>6</v>
      </c>
      <c r="I1577" s="20" t="n">
        <v>103.28</v>
      </c>
      <c r="J1577" s="20" t="n">
        <v>195.78</v>
      </c>
      <c r="K1577" s="18" t="n">
        <v>8</v>
      </c>
      <c r="L1577" s="18" t="n">
        <v>4</v>
      </c>
      <c r="M1577" s="18" t="n">
        <v>110</v>
      </c>
      <c r="N1577" s="18" t="n">
        <v>56</v>
      </c>
      <c r="O1577" s="14" t="s">
        <v>10227</v>
      </c>
      <c r="P1577" s="14" t="s">
        <v>84</v>
      </c>
      <c r="Q1577" s="15" t="s">
        <v>1089</v>
      </c>
      <c r="R1577" s="16" t="s">
        <v>10493</v>
      </c>
      <c r="S1577" s="15" t="s">
        <v>10494</v>
      </c>
      <c r="T1577" s="15" t="s">
        <v>10495</v>
      </c>
      <c r="U1577" s="21" t="s">
        <v>72</v>
      </c>
    </row>
    <row r="1578" customFormat="false" ht="26.85" hidden="false" customHeight="false" outlineLevel="0" collapsed="false">
      <c r="A1578" s="15" t="s">
        <v>79</v>
      </c>
      <c r="B1578" s="15" t="s">
        <v>214</v>
      </c>
      <c r="C1578" s="14" t="s">
        <v>10496</v>
      </c>
      <c r="D1578" s="14" t="s">
        <v>10497</v>
      </c>
      <c r="E1578" s="16" t="s">
        <v>10498</v>
      </c>
      <c r="F1578" s="16" t="s">
        <v>10499</v>
      </c>
      <c r="G1578" s="19" t="s">
        <v>41</v>
      </c>
      <c r="H1578" s="18" t="n">
        <v>5</v>
      </c>
      <c r="I1578" s="20" t="n">
        <v>129.73</v>
      </c>
      <c r="J1578" s="20" t="n">
        <v>189.64</v>
      </c>
      <c r="K1578" s="18" t="n">
        <v>27</v>
      </c>
      <c r="L1578" s="18" t="n">
        <v>2</v>
      </c>
      <c r="M1578" s="18" t="n">
        <v>471</v>
      </c>
      <c r="N1578" s="18" t="n">
        <v>105</v>
      </c>
      <c r="O1578" s="14" t="s">
        <v>10500</v>
      </c>
      <c r="P1578" s="14" t="s">
        <v>118</v>
      </c>
      <c r="Q1578" s="15" t="s">
        <v>1089</v>
      </c>
      <c r="R1578" s="16" t="s">
        <v>4577</v>
      </c>
      <c r="S1578" s="15" t="s">
        <v>10501</v>
      </c>
      <c r="T1578" s="15" t="s">
        <v>10501</v>
      </c>
      <c r="U1578" s="21" t="s">
        <v>72</v>
      </c>
    </row>
    <row r="1579" customFormat="false" ht="15" hidden="false" customHeight="false" outlineLevel="0" collapsed="false">
      <c r="A1579" s="15" t="s">
        <v>79</v>
      </c>
      <c r="B1579" s="15" t="s">
        <v>214</v>
      </c>
      <c r="C1579" s="14" t="s">
        <v>10502</v>
      </c>
      <c r="D1579" s="14" t="s">
        <v>10503</v>
      </c>
      <c r="E1579" s="16" t="s">
        <v>10504</v>
      </c>
      <c r="F1579" s="16" t="s">
        <v>10505</v>
      </c>
      <c r="G1579" s="23" t="s">
        <v>43</v>
      </c>
      <c r="H1579" s="18" t="n">
        <v>2</v>
      </c>
      <c r="I1579" s="20" t="n">
        <v>37.096</v>
      </c>
      <c r="J1579" s="20" t="n">
        <v>97</v>
      </c>
      <c r="K1579" s="18" t="n">
        <v>8</v>
      </c>
      <c r="L1579" s="18" t="n">
        <v>2</v>
      </c>
      <c r="M1579" s="18" t="n">
        <v>160</v>
      </c>
      <c r="N1579" s="18" t="n">
        <v>80</v>
      </c>
      <c r="O1579" s="14" t="s">
        <v>1126</v>
      </c>
      <c r="P1579" s="14" t="s">
        <v>84</v>
      </c>
      <c r="Q1579" s="15" t="s">
        <v>1089</v>
      </c>
      <c r="R1579" s="16" t="s">
        <v>10506</v>
      </c>
      <c r="S1579" s="15" t="s">
        <v>10507</v>
      </c>
      <c r="T1579" s="15" t="s">
        <v>10507</v>
      </c>
      <c r="U1579" s="21" t="s">
        <v>72</v>
      </c>
    </row>
    <row r="1580" customFormat="false" ht="15" hidden="false" customHeight="false" outlineLevel="0" collapsed="false">
      <c r="A1580" s="15" t="s">
        <v>79</v>
      </c>
      <c r="B1580" s="15" t="s">
        <v>214</v>
      </c>
      <c r="C1580" s="14" t="s">
        <v>10508</v>
      </c>
      <c r="D1580" s="14" t="s">
        <v>10509</v>
      </c>
      <c r="E1580" s="16" t="s">
        <v>10510</v>
      </c>
      <c r="F1580" s="16" t="s">
        <v>10511</v>
      </c>
      <c r="G1580" s="23" t="s">
        <v>43</v>
      </c>
      <c r="H1580" s="18" t="n">
        <v>2</v>
      </c>
      <c r="I1580" s="20" t="n">
        <v>37.63</v>
      </c>
      <c r="J1580" s="20" t="n">
        <v>158.06</v>
      </c>
      <c r="K1580" s="18" t="n">
        <v>4</v>
      </c>
      <c r="L1580" s="18" t="n">
        <v>2</v>
      </c>
      <c r="M1580" s="18" t="n">
        <v>124</v>
      </c>
      <c r="N1580" s="18" t="n">
        <v>62</v>
      </c>
      <c r="O1580" s="14" t="s">
        <v>1126</v>
      </c>
      <c r="P1580" s="14" t="s">
        <v>118</v>
      </c>
      <c r="Q1580" s="15" t="s">
        <v>1089</v>
      </c>
      <c r="R1580" s="16" t="s">
        <v>10512</v>
      </c>
      <c r="S1580" s="15" t="s">
        <v>388</v>
      </c>
      <c r="T1580" s="15" t="s">
        <v>10513</v>
      </c>
      <c r="U1580" s="21" t="s">
        <v>72</v>
      </c>
    </row>
    <row r="1581" customFormat="false" ht="15" hidden="false" customHeight="false" outlineLevel="0" collapsed="false">
      <c r="A1581" s="15" t="s">
        <v>79</v>
      </c>
      <c r="B1581" s="15" t="s">
        <v>214</v>
      </c>
      <c r="C1581" s="14" t="s">
        <v>10514</v>
      </c>
      <c r="D1581" s="14" t="s">
        <v>10515</v>
      </c>
      <c r="E1581" s="16" t="s">
        <v>10516</v>
      </c>
      <c r="F1581" s="16" t="s">
        <v>10517</v>
      </c>
      <c r="G1581" s="19" t="s">
        <v>41</v>
      </c>
      <c r="H1581" s="18" t="n">
        <v>5</v>
      </c>
      <c r="I1581" s="20" t="n">
        <v>68.61</v>
      </c>
      <c r="J1581" s="20" t="n">
        <v>158.54</v>
      </c>
      <c r="K1581" s="18" t="n">
        <v>13</v>
      </c>
      <c r="L1581" s="18" t="n">
        <v>10</v>
      </c>
      <c r="M1581" s="18" t="n">
        <v>151</v>
      </c>
      <c r="N1581" s="18" t="n">
        <v>97</v>
      </c>
      <c r="O1581" s="14" t="s">
        <v>9590</v>
      </c>
      <c r="P1581" s="14" t="s">
        <v>118</v>
      </c>
      <c r="Q1581" s="15" t="s">
        <v>1089</v>
      </c>
      <c r="R1581" s="16" t="s">
        <v>10518</v>
      </c>
      <c r="S1581" s="15" t="s">
        <v>10519</v>
      </c>
      <c r="T1581" s="15" t="s">
        <v>10520</v>
      </c>
      <c r="U1581" s="21" t="s">
        <v>72</v>
      </c>
    </row>
    <row r="1582" customFormat="false" ht="39.55" hidden="false" customHeight="false" outlineLevel="0" collapsed="false">
      <c r="A1582" s="15" t="s">
        <v>79</v>
      </c>
      <c r="B1582" s="15" t="s">
        <v>214</v>
      </c>
      <c r="C1582" s="14" t="s">
        <v>10521</v>
      </c>
      <c r="D1582" s="14" t="s">
        <v>10522</v>
      </c>
      <c r="E1582" s="16" t="s">
        <v>10523</v>
      </c>
      <c r="F1582" s="16" t="s">
        <v>10524</v>
      </c>
      <c r="G1582" s="19" t="s">
        <v>41</v>
      </c>
      <c r="H1582" s="18" t="n">
        <v>5</v>
      </c>
      <c r="I1582" s="20" t="n">
        <v>91.63</v>
      </c>
      <c r="J1582" s="20" t="n">
        <v>231.5</v>
      </c>
      <c r="K1582" s="18" t="n">
        <v>8</v>
      </c>
      <c r="L1582" s="18" t="n">
        <v>3</v>
      </c>
      <c r="M1582" s="18" t="n">
        <v>112</v>
      </c>
      <c r="N1582" s="18" t="n">
        <v>28</v>
      </c>
      <c r="O1582" s="14" t="s">
        <v>1126</v>
      </c>
      <c r="P1582" s="14" t="s">
        <v>952</v>
      </c>
      <c r="Q1582" s="15" t="s">
        <v>1089</v>
      </c>
      <c r="R1582" s="16" t="s">
        <v>5391</v>
      </c>
      <c r="S1582" s="15" t="s">
        <v>10525</v>
      </c>
      <c r="T1582" s="15" t="s">
        <v>10525</v>
      </c>
      <c r="U1582" s="21" t="s">
        <v>72</v>
      </c>
    </row>
    <row r="1583" customFormat="false" ht="15" hidden="false" customHeight="false" outlineLevel="0" collapsed="false">
      <c r="A1583" s="15" t="s">
        <v>79</v>
      </c>
      <c r="B1583" s="15" t="s">
        <v>214</v>
      </c>
      <c r="C1583" s="14" t="s">
        <v>10526</v>
      </c>
      <c r="D1583" s="14" t="s">
        <v>10527</v>
      </c>
      <c r="E1583" s="16" t="s">
        <v>10528</v>
      </c>
      <c r="F1583" s="16" t="s">
        <v>10529</v>
      </c>
      <c r="G1583" s="23" t="s">
        <v>43</v>
      </c>
      <c r="H1583" s="18" t="n">
        <v>3</v>
      </c>
      <c r="I1583" s="20" t="n">
        <v>65.3</v>
      </c>
      <c r="J1583" s="20" t="n">
        <v>173.25</v>
      </c>
      <c r="K1583" s="18" t="n">
        <v>3</v>
      </c>
      <c r="L1583" s="18" t="n">
        <v>2</v>
      </c>
      <c r="M1583" s="18" t="n">
        <v>53</v>
      </c>
      <c r="N1583" s="18" t="n">
        <v>36</v>
      </c>
      <c r="O1583" s="14" t="s">
        <v>1126</v>
      </c>
      <c r="P1583" s="14" t="s">
        <v>118</v>
      </c>
      <c r="Q1583" s="15" t="s">
        <v>1089</v>
      </c>
      <c r="R1583" s="16" t="s">
        <v>4484</v>
      </c>
      <c r="S1583" s="15" t="s">
        <v>10530</v>
      </c>
      <c r="T1583" s="15" t="s">
        <v>10530</v>
      </c>
      <c r="U1583" s="21" t="s">
        <v>72</v>
      </c>
    </row>
    <row r="1584" customFormat="false" ht="26.85" hidden="false" customHeight="false" outlineLevel="0" collapsed="false">
      <c r="A1584" s="15" t="s">
        <v>79</v>
      </c>
      <c r="B1584" s="15" t="s">
        <v>214</v>
      </c>
      <c r="C1584" s="14" t="s">
        <v>10531</v>
      </c>
      <c r="D1584" s="14" t="s">
        <v>10532</v>
      </c>
      <c r="E1584" s="16" t="s">
        <v>10533</v>
      </c>
      <c r="F1584" s="16" t="s">
        <v>10534</v>
      </c>
      <c r="G1584" s="23" t="s">
        <v>43</v>
      </c>
      <c r="H1584" s="18" t="n">
        <v>1</v>
      </c>
      <c r="I1584" s="20" t="n">
        <v>38.5</v>
      </c>
      <c r="J1584" s="20" t="n">
        <v>91.32</v>
      </c>
      <c r="K1584" s="18" t="n">
        <v>7</v>
      </c>
      <c r="L1584" s="18" t="n">
        <v>1</v>
      </c>
      <c r="M1584" s="18" t="n">
        <v>224</v>
      </c>
      <c r="N1584" s="18" t="n">
        <v>224</v>
      </c>
      <c r="O1584" s="14" t="s">
        <v>10535</v>
      </c>
      <c r="P1584" s="14" t="s">
        <v>84</v>
      </c>
      <c r="Q1584" s="15" t="s">
        <v>1089</v>
      </c>
      <c r="R1584" s="16" t="s">
        <v>10536</v>
      </c>
      <c r="S1584" s="15" t="s">
        <v>10537</v>
      </c>
      <c r="T1584" s="15" t="s">
        <v>10537</v>
      </c>
      <c r="U1584" s="21" t="s">
        <v>72</v>
      </c>
    </row>
    <row r="1585" customFormat="false" ht="15" hidden="false" customHeight="false" outlineLevel="0" collapsed="false">
      <c r="A1585" s="15" t="s">
        <v>79</v>
      </c>
      <c r="B1585" s="15" t="s">
        <v>214</v>
      </c>
      <c r="C1585" s="14" t="s">
        <v>10538</v>
      </c>
      <c r="D1585" s="14" t="s">
        <v>10539</v>
      </c>
      <c r="E1585" s="16" t="s">
        <v>10540</v>
      </c>
      <c r="F1585" s="16" t="s">
        <v>10541</v>
      </c>
      <c r="G1585" s="23" t="s">
        <v>43</v>
      </c>
      <c r="H1585" s="18" t="n">
        <v>2</v>
      </c>
      <c r="I1585" s="20" t="n">
        <v>38.44</v>
      </c>
      <c r="J1585" s="20" t="n">
        <v>90.32</v>
      </c>
      <c r="K1585" s="18" t="n">
        <v>2</v>
      </c>
      <c r="L1585" s="18" t="n">
        <v>1</v>
      </c>
      <c r="M1585" s="18" t="n">
        <v>31</v>
      </c>
      <c r="N1585" s="18" t="n">
        <v>31</v>
      </c>
      <c r="O1585" s="14" t="s">
        <v>1126</v>
      </c>
      <c r="P1585" s="14" t="s">
        <v>84</v>
      </c>
      <c r="Q1585" s="15" t="s">
        <v>1089</v>
      </c>
      <c r="R1585" s="16" t="s">
        <v>10542</v>
      </c>
      <c r="S1585" s="15" t="s">
        <v>10543</v>
      </c>
      <c r="T1585" s="15" t="s">
        <v>10544</v>
      </c>
      <c r="U1585" s="21" t="s">
        <v>72</v>
      </c>
    </row>
    <row r="1586" customFormat="false" ht="15" hidden="false" customHeight="false" outlineLevel="0" collapsed="false">
      <c r="A1586" s="15" t="s">
        <v>79</v>
      </c>
      <c r="B1586" s="15" t="s">
        <v>214</v>
      </c>
      <c r="C1586" s="14" t="s">
        <v>10545</v>
      </c>
      <c r="D1586" s="14" t="s">
        <v>10546</v>
      </c>
      <c r="E1586" s="16" t="s">
        <v>10547</v>
      </c>
      <c r="F1586" s="16" t="s">
        <v>10548</v>
      </c>
      <c r="G1586" s="23" t="s">
        <v>43</v>
      </c>
      <c r="H1586" s="18" t="n">
        <v>1</v>
      </c>
      <c r="I1586" s="20" t="n">
        <v>30.6</v>
      </c>
      <c r="J1586" s="20" t="n">
        <v>52.28</v>
      </c>
      <c r="K1586" s="18" t="n">
        <v>2</v>
      </c>
      <c r="L1586" s="18" t="n">
        <v>1</v>
      </c>
      <c r="M1586" s="18" t="n">
        <v>50</v>
      </c>
      <c r="N1586" s="18" t="n">
        <v>25</v>
      </c>
      <c r="O1586" s="14" t="s">
        <v>1126</v>
      </c>
      <c r="P1586" s="14" t="s">
        <v>84</v>
      </c>
      <c r="Q1586" s="15" t="s">
        <v>1089</v>
      </c>
      <c r="R1586" s="16" t="s">
        <v>10549</v>
      </c>
      <c r="S1586" s="15" t="s">
        <v>10550</v>
      </c>
      <c r="T1586" s="15" t="s">
        <v>10550</v>
      </c>
      <c r="U1586" s="21" t="s">
        <v>72</v>
      </c>
    </row>
    <row r="1587" customFormat="false" ht="15" hidden="false" customHeight="false" outlineLevel="0" collapsed="false">
      <c r="A1587" s="15" t="s">
        <v>79</v>
      </c>
      <c r="B1587" s="15" t="s">
        <v>214</v>
      </c>
      <c r="C1587" s="14" t="s">
        <v>10551</v>
      </c>
      <c r="D1587" s="14" t="s">
        <v>10552</v>
      </c>
      <c r="E1587" s="16" t="s">
        <v>10553</v>
      </c>
      <c r="F1587" s="16"/>
      <c r="G1587" s="23" t="s">
        <v>43</v>
      </c>
      <c r="H1587" s="18" t="n">
        <v>1</v>
      </c>
      <c r="I1587" s="20" t="n">
        <v>36.52</v>
      </c>
      <c r="J1587" s="20" t="n">
        <v>82.87</v>
      </c>
      <c r="K1587" s="18" t="n">
        <v>4</v>
      </c>
      <c r="L1587" s="18" t="n">
        <v>1</v>
      </c>
      <c r="M1587" s="18" t="n">
        <v>128</v>
      </c>
      <c r="N1587" s="18" t="n">
        <v>128</v>
      </c>
      <c r="O1587" s="14" t="s">
        <v>1126</v>
      </c>
      <c r="P1587" s="14" t="s">
        <v>84</v>
      </c>
      <c r="Q1587" s="15" t="s">
        <v>1089</v>
      </c>
      <c r="R1587" s="16" t="s">
        <v>5358</v>
      </c>
      <c r="S1587" s="15" t="s">
        <v>10554</v>
      </c>
      <c r="T1587" s="15" t="s">
        <v>10555</v>
      </c>
      <c r="U1587" s="21" t="s">
        <v>72</v>
      </c>
    </row>
    <row r="1588" customFormat="false" ht="15" hidden="false" customHeight="false" outlineLevel="0" collapsed="false">
      <c r="A1588" s="15" t="s">
        <v>79</v>
      </c>
      <c r="B1588" s="15" t="s">
        <v>214</v>
      </c>
      <c r="C1588" s="14" t="s">
        <v>10556</v>
      </c>
      <c r="D1588" s="14" t="s">
        <v>10557</v>
      </c>
      <c r="E1588" s="16" t="s">
        <v>10558</v>
      </c>
      <c r="F1588" s="16" t="s">
        <v>9686</v>
      </c>
      <c r="G1588" s="23" t="s">
        <v>43</v>
      </c>
      <c r="H1588" s="18" t="n">
        <v>3</v>
      </c>
      <c r="I1588" s="20" t="n">
        <v>65.7</v>
      </c>
      <c r="J1588" s="20" t="n">
        <v>158.7</v>
      </c>
      <c r="K1588" s="18" t="n">
        <v>15</v>
      </c>
      <c r="L1588" s="18" t="n">
        <v>5</v>
      </c>
      <c r="M1588" s="18" t="n">
        <v>270</v>
      </c>
      <c r="N1588" s="18" t="n">
        <v>93</v>
      </c>
      <c r="O1588" s="14" t="s">
        <v>1126</v>
      </c>
      <c r="P1588" s="14" t="s">
        <v>118</v>
      </c>
      <c r="Q1588" s="15" t="s">
        <v>1089</v>
      </c>
      <c r="R1588" s="16" t="s">
        <v>10559</v>
      </c>
      <c r="S1588" s="15" t="s">
        <v>9688</v>
      </c>
      <c r="T1588" s="15" t="s">
        <v>10560</v>
      </c>
      <c r="U1588" s="21" t="s">
        <v>72</v>
      </c>
    </row>
    <row r="1589" customFormat="false" ht="15" hidden="false" customHeight="false" outlineLevel="0" collapsed="false">
      <c r="A1589" s="15" t="s">
        <v>79</v>
      </c>
      <c r="B1589" s="15" t="s">
        <v>214</v>
      </c>
      <c r="C1589" s="14" t="s">
        <v>10561</v>
      </c>
      <c r="D1589" s="14" t="s">
        <v>10562</v>
      </c>
      <c r="E1589" s="16" t="s">
        <v>10563</v>
      </c>
      <c r="F1589" s="16" t="s">
        <v>10564</v>
      </c>
      <c r="G1589" s="23" t="s">
        <v>43</v>
      </c>
      <c r="H1589" s="18" t="n">
        <v>3</v>
      </c>
      <c r="I1589" s="20" t="n">
        <v>48.18</v>
      </c>
      <c r="J1589" s="20" t="n">
        <v>101.23</v>
      </c>
      <c r="K1589" s="18" t="n">
        <v>44</v>
      </c>
      <c r="L1589" s="18" t="n">
        <v>2</v>
      </c>
      <c r="M1589" s="18" t="n">
        <v>548</v>
      </c>
      <c r="N1589" s="18" t="n">
        <v>104</v>
      </c>
      <c r="O1589" s="14" t="s">
        <v>1097</v>
      </c>
      <c r="P1589" s="14" t="s">
        <v>118</v>
      </c>
      <c r="Q1589" s="15" t="s">
        <v>1089</v>
      </c>
      <c r="R1589" s="16" t="s">
        <v>10565</v>
      </c>
      <c r="S1589" s="15" t="s">
        <v>10566</v>
      </c>
      <c r="T1589" s="15" t="s">
        <v>10567</v>
      </c>
      <c r="U1589" s="21" t="s">
        <v>72</v>
      </c>
    </row>
    <row r="1590" customFormat="false" ht="15" hidden="false" customHeight="false" outlineLevel="0" collapsed="false">
      <c r="A1590" s="15" t="s">
        <v>79</v>
      </c>
      <c r="B1590" s="15" t="s">
        <v>214</v>
      </c>
      <c r="C1590" s="14" t="s">
        <v>10568</v>
      </c>
      <c r="D1590" s="14" t="s">
        <v>10569</v>
      </c>
      <c r="E1590" s="16" t="s">
        <v>10570</v>
      </c>
      <c r="F1590" s="16" t="s">
        <v>10571</v>
      </c>
      <c r="G1590" s="23" t="s">
        <v>43</v>
      </c>
      <c r="H1590" s="18" t="n">
        <v>3</v>
      </c>
      <c r="I1590" s="20" t="n">
        <v>60.1</v>
      </c>
      <c r="J1590" s="20" t="n">
        <v>125.5</v>
      </c>
      <c r="K1590" s="18" t="n">
        <v>9</v>
      </c>
      <c r="L1590" s="18" t="n">
        <v>2</v>
      </c>
      <c r="M1590" s="18" t="n">
        <v>157</v>
      </c>
      <c r="N1590" s="18" t="n">
        <v>52</v>
      </c>
      <c r="O1590" s="14" t="s">
        <v>3724</v>
      </c>
      <c r="P1590" s="14" t="s">
        <v>118</v>
      </c>
      <c r="Q1590" s="15" t="s">
        <v>1089</v>
      </c>
      <c r="R1590" s="16" t="s">
        <v>10572</v>
      </c>
      <c r="S1590" s="15" t="s">
        <v>10573</v>
      </c>
      <c r="T1590" s="15" t="s">
        <v>10574</v>
      </c>
      <c r="U1590" s="21" t="s">
        <v>72</v>
      </c>
    </row>
    <row r="1591" customFormat="false" ht="15" hidden="false" customHeight="false" outlineLevel="0" collapsed="false">
      <c r="A1591" s="15" t="s">
        <v>79</v>
      </c>
      <c r="B1591" s="15" t="s">
        <v>214</v>
      </c>
      <c r="C1591" s="14" t="s">
        <v>9400</v>
      </c>
      <c r="D1591" s="14" t="s">
        <v>10575</v>
      </c>
      <c r="E1591" s="16" t="s">
        <v>10576</v>
      </c>
      <c r="F1591" s="16" t="s">
        <v>10577</v>
      </c>
      <c r="G1591" s="19" t="s">
        <v>41</v>
      </c>
      <c r="H1591" s="18" t="n">
        <v>2</v>
      </c>
      <c r="I1591" s="20" t="n">
        <v>100.46</v>
      </c>
      <c r="J1591" s="20" t="n">
        <v>210.75</v>
      </c>
      <c r="K1591" s="18" t="n">
        <v>5</v>
      </c>
      <c r="L1591" s="18" t="n">
        <v>2</v>
      </c>
      <c r="M1591" s="18" t="n">
        <v>210</v>
      </c>
      <c r="N1591" s="18" t="n">
        <v>84</v>
      </c>
      <c r="O1591" s="14" t="s">
        <v>1126</v>
      </c>
      <c r="P1591" s="14" t="s">
        <v>118</v>
      </c>
      <c r="Q1591" s="15" t="s">
        <v>1089</v>
      </c>
      <c r="R1591" s="16" t="s">
        <v>10578</v>
      </c>
      <c r="S1591" s="15" t="s">
        <v>10579</v>
      </c>
      <c r="T1591" s="15" t="s">
        <v>10580</v>
      </c>
      <c r="U1591" s="21" t="s">
        <v>72</v>
      </c>
    </row>
    <row r="1592" customFormat="false" ht="15" hidden="false" customHeight="false" outlineLevel="0" collapsed="false">
      <c r="A1592" s="15" t="s">
        <v>79</v>
      </c>
      <c r="B1592" s="15" t="s">
        <v>214</v>
      </c>
      <c r="C1592" s="14" t="s">
        <v>10581</v>
      </c>
      <c r="D1592" s="14" t="s">
        <v>10582</v>
      </c>
      <c r="E1592" s="16" t="s">
        <v>10583</v>
      </c>
      <c r="F1592" s="16" t="s">
        <v>10584</v>
      </c>
      <c r="G1592" s="23" t="s">
        <v>43</v>
      </c>
      <c r="H1592" s="18" t="n">
        <v>3</v>
      </c>
      <c r="I1592" s="20" t="n">
        <v>73.14</v>
      </c>
      <c r="J1592" s="20" t="n">
        <v>152.45</v>
      </c>
      <c r="K1592" s="18" t="n">
        <v>4</v>
      </c>
      <c r="L1592" s="18" t="n">
        <v>3</v>
      </c>
      <c r="M1592" s="18" t="n">
        <v>69</v>
      </c>
      <c r="N1592" s="18" t="n">
        <v>10</v>
      </c>
      <c r="O1592" s="14" t="s">
        <v>1126</v>
      </c>
      <c r="P1592" s="14" t="s">
        <v>118</v>
      </c>
      <c r="Q1592" s="15" t="s">
        <v>1089</v>
      </c>
      <c r="R1592" s="16" t="s">
        <v>2298</v>
      </c>
      <c r="S1592" s="15" t="s">
        <v>10585</v>
      </c>
      <c r="T1592" s="15" t="s">
        <v>10585</v>
      </c>
      <c r="U1592" s="21" t="s">
        <v>72</v>
      </c>
    </row>
    <row r="1593" customFormat="false" ht="15" hidden="false" customHeight="false" outlineLevel="0" collapsed="false">
      <c r="A1593" s="15" t="s">
        <v>79</v>
      </c>
      <c r="B1593" s="15" t="s">
        <v>214</v>
      </c>
      <c r="C1593" s="14" t="s">
        <v>10586</v>
      </c>
      <c r="D1593" s="14" t="s">
        <v>10587</v>
      </c>
      <c r="E1593" s="16" t="s">
        <v>10588</v>
      </c>
      <c r="F1593" s="16" t="s">
        <v>10589</v>
      </c>
      <c r="G1593" s="23" t="s">
        <v>43</v>
      </c>
      <c r="H1593" s="18" t="n">
        <v>3</v>
      </c>
      <c r="I1593" s="20" t="n">
        <v>94.92</v>
      </c>
      <c r="J1593" s="20" t="n">
        <v>192.28</v>
      </c>
      <c r="K1593" s="18" t="n">
        <v>11</v>
      </c>
      <c r="L1593" s="18" t="n">
        <v>3</v>
      </c>
      <c r="M1593" s="18" t="n">
        <v>275</v>
      </c>
      <c r="N1593" s="18" t="n">
        <v>100</v>
      </c>
      <c r="O1593" s="14" t="s">
        <v>5962</v>
      </c>
      <c r="P1593" s="14" t="s">
        <v>334</v>
      </c>
      <c r="Q1593" s="15" t="s">
        <v>1089</v>
      </c>
      <c r="R1593" s="16" t="s">
        <v>10590</v>
      </c>
      <c r="S1593" s="15" t="s">
        <v>10580</v>
      </c>
      <c r="T1593" s="15" t="s">
        <v>10591</v>
      </c>
      <c r="U1593" s="21" t="s">
        <v>72</v>
      </c>
    </row>
    <row r="1594" customFormat="false" ht="15" hidden="false" customHeight="false" outlineLevel="0" collapsed="false">
      <c r="A1594" s="15" t="s">
        <v>79</v>
      </c>
      <c r="B1594" s="15" t="s">
        <v>214</v>
      </c>
      <c r="C1594" s="14" t="s">
        <v>10592</v>
      </c>
      <c r="D1594" s="14" t="s">
        <v>10593</v>
      </c>
      <c r="E1594" s="16" t="s">
        <v>10594</v>
      </c>
      <c r="F1594" s="16" t="s">
        <v>10595</v>
      </c>
      <c r="G1594" s="23" t="s">
        <v>43</v>
      </c>
      <c r="H1594" s="18" t="n">
        <v>2</v>
      </c>
      <c r="I1594" s="20" t="n">
        <v>93.25</v>
      </c>
      <c r="J1594" s="20" t="n">
        <v>170.61</v>
      </c>
      <c r="K1594" s="18" t="n">
        <v>5</v>
      </c>
      <c r="L1594" s="18" t="n">
        <v>1</v>
      </c>
      <c r="M1594" s="18" t="n">
        <v>201</v>
      </c>
      <c r="N1594" s="18" t="n">
        <v>77</v>
      </c>
      <c r="O1594" s="14" t="s">
        <v>3724</v>
      </c>
      <c r="P1594" s="14" t="s">
        <v>334</v>
      </c>
      <c r="Q1594" s="15" t="s">
        <v>1089</v>
      </c>
      <c r="R1594" s="16" t="s">
        <v>10596</v>
      </c>
      <c r="S1594" s="15" t="s">
        <v>10597</v>
      </c>
      <c r="T1594" s="15" t="s">
        <v>10598</v>
      </c>
      <c r="U1594" s="21" t="s">
        <v>72</v>
      </c>
    </row>
    <row r="1595" customFormat="false" ht="39.55" hidden="false" customHeight="false" outlineLevel="0" collapsed="false">
      <c r="A1595" s="15" t="s">
        <v>79</v>
      </c>
      <c r="B1595" s="15" t="s">
        <v>214</v>
      </c>
      <c r="C1595" s="14" t="s">
        <v>10599</v>
      </c>
      <c r="D1595" s="14" t="s">
        <v>10600</v>
      </c>
      <c r="E1595" s="16" t="s">
        <v>10601</v>
      </c>
      <c r="F1595" s="16" t="s">
        <v>10602</v>
      </c>
      <c r="G1595" s="19" t="s">
        <v>41</v>
      </c>
      <c r="H1595" s="18" t="n">
        <v>5</v>
      </c>
      <c r="I1595" s="20" t="n">
        <v>108.77</v>
      </c>
      <c r="J1595" s="20" t="n">
        <v>198.96</v>
      </c>
      <c r="K1595" s="18" t="n">
        <v>13</v>
      </c>
      <c r="L1595" s="18" t="n">
        <v>7</v>
      </c>
      <c r="M1595" s="18" t="n">
        <v>304</v>
      </c>
      <c r="N1595" s="18" t="n">
        <v>189</v>
      </c>
      <c r="O1595" s="14" t="s">
        <v>10603</v>
      </c>
      <c r="P1595" s="14" t="s">
        <v>5877</v>
      </c>
      <c r="Q1595" s="15" t="s">
        <v>1089</v>
      </c>
      <c r="R1595" s="16" t="s">
        <v>10604</v>
      </c>
      <c r="S1595" s="15" t="s">
        <v>10605</v>
      </c>
      <c r="T1595" s="15" t="s">
        <v>10605</v>
      </c>
      <c r="U1595" s="21" t="s">
        <v>72</v>
      </c>
    </row>
    <row r="1596" customFormat="false" ht="26.85" hidden="false" customHeight="false" outlineLevel="0" collapsed="false">
      <c r="A1596" s="15" t="s">
        <v>79</v>
      </c>
      <c r="B1596" s="15" t="s">
        <v>214</v>
      </c>
      <c r="C1596" s="14" t="s">
        <v>10606</v>
      </c>
      <c r="D1596" s="14" t="s">
        <v>10607</v>
      </c>
      <c r="E1596" s="16" t="s">
        <v>10608</v>
      </c>
      <c r="F1596" s="16" t="s">
        <v>3599</v>
      </c>
      <c r="G1596" s="25" t="s">
        <v>39</v>
      </c>
      <c r="H1596" s="18" t="n">
        <v>6</v>
      </c>
      <c r="I1596" s="20" t="n">
        <v>230.65</v>
      </c>
      <c r="J1596" s="20" t="n">
        <v>485.78</v>
      </c>
      <c r="K1596" s="18" t="n">
        <v>6</v>
      </c>
      <c r="L1596" s="18" t="n">
        <v>75</v>
      </c>
      <c r="M1596" s="18" t="n">
        <v>190</v>
      </c>
      <c r="N1596" s="18" t="n">
        <v>121</v>
      </c>
      <c r="O1596" s="14" t="s">
        <v>1088</v>
      </c>
      <c r="P1596" s="14" t="s">
        <v>84</v>
      </c>
      <c r="Q1596" s="15" t="s">
        <v>1089</v>
      </c>
      <c r="R1596" s="16" t="s">
        <v>7770</v>
      </c>
      <c r="S1596" s="15" t="s">
        <v>7692</v>
      </c>
      <c r="T1596" s="15" t="s">
        <v>10609</v>
      </c>
      <c r="U1596" s="21" t="s">
        <v>72</v>
      </c>
    </row>
    <row r="1597" customFormat="false" ht="15" hidden="false" customHeight="false" outlineLevel="0" collapsed="false">
      <c r="A1597" s="15" t="s">
        <v>79</v>
      </c>
      <c r="B1597" s="15" t="s">
        <v>214</v>
      </c>
      <c r="C1597" s="14" t="s">
        <v>10610</v>
      </c>
      <c r="D1597" s="14" t="s">
        <v>10611</v>
      </c>
      <c r="E1597" s="16" t="s">
        <v>10612</v>
      </c>
      <c r="F1597" s="16" t="s">
        <v>10613</v>
      </c>
      <c r="G1597" s="19" t="s">
        <v>41</v>
      </c>
      <c r="H1597" s="18" t="n">
        <v>3</v>
      </c>
      <c r="I1597" s="20" t="n">
        <v>139.14</v>
      </c>
      <c r="J1597" s="20" t="n">
        <v>246.06</v>
      </c>
      <c r="K1597" s="18" t="n">
        <v>9</v>
      </c>
      <c r="L1597" s="18" t="n">
        <v>4</v>
      </c>
      <c r="M1597" s="18" t="n">
        <v>330</v>
      </c>
      <c r="N1597" s="18" t="n">
        <v>135</v>
      </c>
      <c r="O1597" s="14" t="s">
        <v>1097</v>
      </c>
      <c r="P1597" s="14" t="s">
        <v>84</v>
      </c>
      <c r="Q1597" s="15" t="s">
        <v>1089</v>
      </c>
      <c r="R1597" s="16" t="s">
        <v>10614</v>
      </c>
      <c r="S1597" s="15" t="s">
        <v>10615</v>
      </c>
      <c r="T1597" s="15" t="s">
        <v>10615</v>
      </c>
      <c r="U1597" s="21" t="s">
        <v>72</v>
      </c>
    </row>
    <row r="1598" customFormat="false" ht="15" hidden="false" customHeight="false" outlineLevel="0" collapsed="false">
      <c r="A1598" s="15" t="s">
        <v>79</v>
      </c>
      <c r="B1598" s="15" t="s">
        <v>214</v>
      </c>
      <c r="C1598" s="14" t="s">
        <v>10616</v>
      </c>
      <c r="D1598" s="14" t="s">
        <v>10617</v>
      </c>
      <c r="E1598" s="16" t="s">
        <v>10618</v>
      </c>
      <c r="F1598" s="16" t="s">
        <v>561</v>
      </c>
      <c r="G1598" s="25" t="s">
        <v>39</v>
      </c>
      <c r="H1598" s="18" t="n">
        <v>8</v>
      </c>
      <c r="I1598" s="20" t="n">
        <v>180.78</v>
      </c>
      <c r="J1598" s="20" t="n">
        <v>454.39</v>
      </c>
      <c r="K1598" s="18" t="n">
        <v>13</v>
      </c>
      <c r="L1598" s="18" t="n">
        <v>3</v>
      </c>
      <c r="M1598" s="18" t="n">
        <v>247</v>
      </c>
      <c r="N1598" s="18" t="n">
        <v>67</v>
      </c>
      <c r="O1598" s="14" t="s">
        <v>10619</v>
      </c>
      <c r="P1598" s="14" t="s">
        <v>334</v>
      </c>
      <c r="Q1598" s="15" t="s">
        <v>1089</v>
      </c>
      <c r="R1598" s="16" t="s">
        <v>10620</v>
      </c>
      <c r="S1598" s="15" t="s">
        <v>563</v>
      </c>
      <c r="T1598" s="15" t="s">
        <v>10621</v>
      </c>
      <c r="U1598" s="21" t="s">
        <v>72</v>
      </c>
    </row>
    <row r="1599" customFormat="false" ht="26.85" hidden="false" customHeight="false" outlineLevel="0" collapsed="false">
      <c r="A1599" s="15" t="s">
        <v>79</v>
      </c>
      <c r="B1599" s="15" t="s">
        <v>214</v>
      </c>
      <c r="C1599" s="14" t="s">
        <v>10622</v>
      </c>
      <c r="D1599" s="14" t="s">
        <v>10623</v>
      </c>
      <c r="E1599" s="16" t="s">
        <v>10624</v>
      </c>
      <c r="F1599" s="16" t="s">
        <v>10625</v>
      </c>
      <c r="G1599" s="19" t="s">
        <v>41</v>
      </c>
      <c r="H1599" s="18" t="n">
        <v>2</v>
      </c>
      <c r="I1599" s="20" t="n">
        <v>52.08</v>
      </c>
      <c r="J1599" s="20" t="n">
        <v>206.04</v>
      </c>
      <c r="K1599" s="18" t="n">
        <v>4</v>
      </c>
      <c r="L1599" s="18" t="n">
        <v>6</v>
      </c>
      <c r="M1599" s="18" t="n">
        <v>172</v>
      </c>
      <c r="N1599" s="18" t="n">
        <v>86</v>
      </c>
      <c r="O1599" s="14" t="s">
        <v>1126</v>
      </c>
      <c r="P1599" s="14" t="s">
        <v>118</v>
      </c>
      <c r="Q1599" s="15" t="s">
        <v>1089</v>
      </c>
      <c r="R1599" s="16" t="s">
        <v>10626</v>
      </c>
      <c r="S1599" s="15" t="s">
        <v>563</v>
      </c>
      <c r="T1599" s="15" t="s">
        <v>10627</v>
      </c>
      <c r="U1599" s="21" t="s">
        <v>72</v>
      </c>
    </row>
    <row r="1600" customFormat="false" ht="15" hidden="false" customHeight="false" outlineLevel="0" collapsed="false">
      <c r="A1600" s="15" t="s">
        <v>79</v>
      </c>
      <c r="B1600" s="15" t="s">
        <v>214</v>
      </c>
      <c r="C1600" s="14" t="s">
        <v>10628</v>
      </c>
      <c r="D1600" s="14" t="s">
        <v>10629</v>
      </c>
      <c r="E1600" s="16" t="s">
        <v>10630</v>
      </c>
      <c r="F1600" s="16" t="s">
        <v>10631</v>
      </c>
      <c r="G1600" s="19" t="s">
        <v>41</v>
      </c>
      <c r="H1600" s="18" t="n">
        <v>3</v>
      </c>
      <c r="I1600" s="20" t="n">
        <v>131.84</v>
      </c>
      <c r="J1600" s="20" t="n">
        <v>399.38</v>
      </c>
      <c r="K1600" s="18" t="n">
        <v>3</v>
      </c>
      <c r="L1600" s="18" t="n">
        <v>5</v>
      </c>
      <c r="M1600" s="18" t="n">
        <v>108</v>
      </c>
      <c r="N1600" s="18" t="n">
        <v>53</v>
      </c>
      <c r="O1600" s="14" t="s">
        <v>1088</v>
      </c>
      <c r="P1600" s="14" t="s">
        <v>84</v>
      </c>
      <c r="Q1600" s="15" t="s">
        <v>1089</v>
      </c>
      <c r="R1600" s="16" t="s">
        <v>10632</v>
      </c>
      <c r="S1600" s="15" t="s">
        <v>10633</v>
      </c>
      <c r="T1600" s="15" t="s">
        <v>10634</v>
      </c>
      <c r="U1600" s="21" t="s">
        <v>72</v>
      </c>
    </row>
    <row r="1601" customFormat="false" ht="26.85" hidden="false" customHeight="false" outlineLevel="0" collapsed="false">
      <c r="A1601" s="15" t="s">
        <v>79</v>
      </c>
      <c r="B1601" s="15" t="s">
        <v>214</v>
      </c>
      <c r="C1601" s="14" t="s">
        <v>10635</v>
      </c>
      <c r="D1601" s="14" t="s">
        <v>10636</v>
      </c>
      <c r="E1601" s="16" t="s">
        <v>10637</v>
      </c>
      <c r="F1601" s="16" t="s">
        <v>10638</v>
      </c>
      <c r="G1601" s="25" t="s">
        <v>39</v>
      </c>
      <c r="H1601" s="18" t="n">
        <v>15</v>
      </c>
      <c r="I1601" s="20" t="n">
        <v>160.85</v>
      </c>
      <c r="J1601" s="20" t="n">
        <v>435.11</v>
      </c>
      <c r="K1601" s="18" t="n">
        <v>22</v>
      </c>
      <c r="L1601" s="18" t="n">
        <v>14</v>
      </c>
      <c r="M1601" s="18" t="n">
        <v>191</v>
      </c>
      <c r="N1601" s="18" t="n">
        <v>84</v>
      </c>
      <c r="O1601" s="14" t="s">
        <v>10639</v>
      </c>
      <c r="P1601" s="14" t="s">
        <v>1234</v>
      </c>
      <c r="Q1601" s="15" t="s">
        <v>1089</v>
      </c>
      <c r="R1601" s="16" t="s">
        <v>10640</v>
      </c>
      <c r="S1601" s="15" t="s">
        <v>2151</v>
      </c>
      <c r="T1601" s="15" t="s">
        <v>10641</v>
      </c>
      <c r="U1601" s="21" t="s">
        <v>72</v>
      </c>
    </row>
    <row r="1602" customFormat="false" ht="26.85" hidden="false" customHeight="false" outlineLevel="0" collapsed="false">
      <c r="A1602" s="15" t="s">
        <v>79</v>
      </c>
      <c r="B1602" s="15" t="s">
        <v>214</v>
      </c>
      <c r="C1602" s="14" t="s">
        <v>10642</v>
      </c>
      <c r="D1602" s="14" t="s">
        <v>10643</v>
      </c>
      <c r="E1602" s="16" t="s">
        <v>10644</v>
      </c>
      <c r="F1602" s="16" t="s">
        <v>10645</v>
      </c>
      <c r="G1602" s="23" t="s">
        <v>43</v>
      </c>
      <c r="H1602" s="18" t="n">
        <v>4</v>
      </c>
      <c r="I1602" s="20" t="n">
        <v>33.48</v>
      </c>
      <c r="J1602" s="20" t="n">
        <v>77.658</v>
      </c>
      <c r="K1602" s="18" t="n">
        <v>14</v>
      </c>
      <c r="L1602" s="18" t="n">
        <v>6</v>
      </c>
      <c r="M1602" s="18" t="n">
        <v>84</v>
      </c>
      <c r="N1602" s="18" t="n">
        <v>18</v>
      </c>
      <c r="O1602" s="14" t="s">
        <v>5962</v>
      </c>
      <c r="P1602" s="14" t="s">
        <v>118</v>
      </c>
      <c r="Q1602" s="15" t="s">
        <v>1089</v>
      </c>
      <c r="R1602" s="16" t="s">
        <v>10646</v>
      </c>
      <c r="S1602" s="15" t="s">
        <v>2151</v>
      </c>
      <c r="T1602" s="15" t="s">
        <v>10647</v>
      </c>
      <c r="U1602" s="21" t="s">
        <v>72</v>
      </c>
    </row>
    <row r="1603" customFormat="false" ht="26.85" hidden="false" customHeight="false" outlineLevel="0" collapsed="false">
      <c r="A1603" s="15" t="s">
        <v>79</v>
      </c>
      <c r="B1603" s="15" t="s">
        <v>464</v>
      </c>
      <c r="C1603" s="14" t="s">
        <v>10648</v>
      </c>
      <c r="D1603" s="14" t="s">
        <v>10649</v>
      </c>
      <c r="E1603" s="16" t="s">
        <v>10650</v>
      </c>
      <c r="F1603" s="16" t="s">
        <v>10651</v>
      </c>
      <c r="G1603" s="25" t="s">
        <v>39</v>
      </c>
      <c r="H1603" s="18" t="n">
        <v>6</v>
      </c>
      <c r="I1603" s="20" t="n">
        <v>194.9</v>
      </c>
      <c r="J1603" s="20" t="n">
        <v>449.41</v>
      </c>
      <c r="K1603" s="18" t="n">
        <v>8</v>
      </c>
      <c r="L1603" s="18" t="n">
        <v>5</v>
      </c>
      <c r="M1603" s="18" t="n">
        <v>229</v>
      </c>
      <c r="N1603" s="18" t="n">
        <v>125</v>
      </c>
      <c r="O1603" s="14" t="s">
        <v>10652</v>
      </c>
      <c r="P1603" s="14" t="s">
        <v>118</v>
      </c>
      <c r="Q1603" s="15" t="s">
        <v>1089</v>
      </c>
      <c r="R1603" s="16" t="s">
        <v>10653</v>
      </c>
      <c r="S1603" s="15" t="s">
        <v>10654</v>
      </c>
      <c r="T1603" s="15" t="s">
        <v>10655</v>
      </c>
      <c r="U1603" s="21" t="s">
        <v>72</v>
      </c>
    </row>
    <row r="1604" customFormat="false" ht="15" hidden="false" customHeight="false" outlineLevel="0" collapsed="false">
      <c r="A1604" s="15" t="s">
        <v>79</v>
      </c>
      <c r="B1604" s="15" t="s">
        <v>464</v>
      </c>
      <c r="C1604" s="14" t="s">
        <v>10656</v>
      </c>
      <c r="D1604" s="14" t="s">
        <v>10657</v>
      </c>
      <c r="E1604" s="16" t="s">
        <v>10658</v>
      </c>
      <c r="F1604" s="16" t="s">
        <v>10659</v>
      </c>
      <c r="G1604" s="23" t="s">
        <v>43</v>
      </c>
      <c r="H1604" s="18" t="n">
        <v>3</v>
      </c>
      <c r="I1604" s="20" t="n">
        <v>71.72</v>
      </c>
      <c r="J1604" s="20" t="n">
        <v>145.21</v>
      </c>
      <c r="K1604" s="18" t="n">
        <v>7</v>
      </c>
      <c r="L1604" s="18" t="n">
        <v>7</v>
      </c>
      <c r="M1604" s="18" t="n">
        <v>148</v>
      </c>
      <c r="N1604" s="18" t="n">
        <v>27</v>
      </c>
      <c r="O1604" s="14" t="s">
        <v>1126</v>
      </c>
      <c r="P1604" s="14" t="s">
        <v>118</v>
      </c>
      <c r="Q1604" s="15" t="s">
        <v>1089</v>
      </c>
      <c r="R1604" s="16" t="s">
        <v>10660</v>
      </c>
      <c r="S1604" s="15" t="s">
        <v>10661</v>
      </c>
      <c r="T1604" s="15" t="s">
        <v>10662</v>
      </c>
      <c r="U1604" s="21" t="s">
        <v>72</v>
      </c>
    </row>
    <row r="1605" customFormat="false" ht="26.85" hidden="false" customHeight="false" outlineLevel="0" collapsed="false">
      <c r="A1605" s="15" t="s">
        <v>79</v>
      </c>
      <c r="B1605" s="15" t="s">
        <v>464</v>
      </c>
      <c r="C1605" s="14" t="s">
        <v>10663</v>
      </c>
      <c r="D1605" s="14" t="s">
        <v>10664</v>
      </c>
      <c r="E1605" s="16" t="s">
        <v>10665</v>
      </c>
      <c r="F1605" s="16" t="s">
        <v>10659</v>
      </c>
      <c r="G1605" s="19" t="s">
        <v>41</v>
      </c>
      <c r="H1605" s="18" t="n">
        <v>5</v>
      </c>
      <c r="I1605" s="20" t="n">
        <v>60.95</v>
      </c>
      <c r="J1605" s="20" t="n">
        <v>111.89</v>
      </c>
      <c r="K1605" s="18" t="n">
        <v>23</v>
      </c>
      <c r="L1605" s="18" t="n">
        <v>7</v>
      </c>
      <c r="M1605" s="18" t="n">
        <v>236</v>
      </c>
      <c r="N1605" s="18" t="n">
        <v>106</v>
      </c>
      <c r="O1605" s="14" t="s">
        <v>10666</v>
      </c>
      <c r="P1605" s="14" t="s">
        <v>118</v>
      </c>
      <c r="Q1605" s="15" t="s">
        <v>1089</v>
      </c>
      <c r="R1605" s="16" t="s">
        <v>10667</v>
      </c>
      <c r="S1605" s="15" t="s">
        <v>10661</v>
      </c>
      <c r="T1605" s="15" t="s">
        <v>10661</v>
      </c>
      <c r="U1605" s="21" t="s">
        <v>72</v>
      </c>
    </row>
    <row r="1606" customFormat="false" ht="15" hidden="false" customHeight="false" outlineLevel="0" collapsed="false">
      <c r="A1606" s="15" t="s">
        <v>79</v>
      </c>
      <c r="B1606" s="15" t="s">
        <v>464</v>
      </c>
      <c r="C1606" s="14" t="s">
        <v>10668</v>
      </c>
      <c r="D1606" s="14" t="s">
        <v>10669</v>
      </c>
      <c r="E1606" s="16" t="s">
        <v>10670</v>
      </c>
      <c r="F1606" s="16" t="s">
        <v>10671</v>
      </c>
      <c r="G1606" s="23" t="s">
        <v>43</v>
      </c>
      <c r="H1606" s="18" t="n">
        <v>3</v>
      </c>
      <c r="I1606" s="20" t="n">
        <v>33.49</v>
      </c>
      <c r="J1606" s="20" t="n">
        <v>75.04</v>
      </c>
      <c r="K1606" s="18" t="n">
        <v>14</v>
      </c>
      <c r="L1606" s="18" t="n">
        <v>4</v>
      </c>
      <c r="M1606" s="18" t="n">
        <v>131</v>
      </c>
      <c r="N1606" s="18" t="n">
        <v>30</v>
      </c>
      <c r="O1606" s="14" t="s">
        <v>10672</v>
      </c>
      <c r="P1606" s="14" t="s">
        <v>118</v>
      </c>
      <c r="Q1606" s="15" t="s">
        <v>1089</v>
      </c>
      <c r="R1606" s="16" t="s">
        <v>10673</v>
      </c>
      <c r="S1606" s="15" t="s">
        <v>10674</v>
      </c>
      <c r="T1606" s="15" t="s">
        <v>10674</v>
      </c>
      <c r="U1606" s="21" t="s">
        <v>72</v>
      </c>
    </row>
    <row r="1607" customFormat="false" ht="15" hidden="false" customHeight="false" outlineLevel="0" collapsed="false">
      <c r="A1607" s="15" t="s">
        <v>79</v>
      </c>
      <c r="B1607" s="15" t="s">
        <v>464</v>
      </c>
      <c r="C1607" s="14" t="s">
        <v>10675</v>
      </c>
      <c r="D1607" s="14" t="s">
        <v>10676</v>
      </c>
      <c r="E1607" s="16" t="s">
        <v>10677</v>
      </c>
      <c r="F1607" s="16" t="s">
        <v>10678</v>
      </c>
      <c r="G1607" s="19" t="s">
        <v>41</v>
      </c>
      <c r="H1607" s="18" t="n">
        <v>5</v>
      </c>
      <c r="I1607" s="20" t="n">
        <v>182.62</v>
      </c>
      <c r="J1607" s="20" t="n">
        <v>320.39</v>
      </c>
      <c r="K1607" s="18" t="n">
        <v>5</v>
      </c>
      <c r="L1607" s="18" t="n">
        <v>6</v>
      </c>
      <c r="M1607" s="18" t="n">
        <v>163</v>
      </c>
      <c r="N1607" s="18" t="n">
        <v>70</v>
      </c>
      <c r="O1607" s="14" t="s">
        <v>10679</v>
      </c>
      <c r="P1607" s="14" t="s">
        <v>118</v>
      </c>
      <c r="Q1607" s="15" t="s">
        <v>1089</v>
      </c>
      <c r="R1607" s="16" t="s">
        <v>10680</v>
      </c>
      <c r="S1607" s="15" t="s">
        <v>10681</v>
      </c>
      <c r="T1607" s="15" t="s">
        <v>10681</v>
      </c>
      <c r="U1607" s="21" t="s">
        <v>72</v>
      </c>
    </row>
    <row r="1608" customFormat="false" ht="15" hidden="false" customHeight="false" outlineLevel="0" collapsed="false">
      <c r="A1608" s="15" t="s">
        <v>79</v>
      </c>
      <c r="B1608" s="15" t="s">
        <v>464</v>
      </c>
      <c r="C1608" s="14" t="s">
        <v>10682</v>
      </c>
      <c r="D1608" s="14" t="s">
        <v>10683</v>
      </c>
      <c r="E1608" s="16" t="s">
        <v>10684</v>
      </c>
      <c r="F1608" s="16" t="s">
        <v>10685</v>
      </c>
      <c r="G1608" s="23" t="s">
        <v>43</v>
      </c>
      <c r="H1608" s="18" t="n">
        <v>1</v>
      </c>
      <c r="I1608" s="20" t="n">
        <v>31.01</v>
      </c>
      <c r="J1608" s="20" t="n">
        <v>92.167</v>
      </c>
      <c r="K1608" s="18" t="n">
        <v>2</v>
      </c>
      <c r="L1608" s="18" t="n">
        <v>1</v>
      </c>
      <c r="M1608" s="18" t="n">
        <v>50</v>
      </c>
      <c r="N1608" s="18" t="n">
        <v>50</v>
      </c>
      <c r="O1608" s="14" t="s">
        <v>1126</v>
      </c>
      <c r="P1608" s="14" t="s">
        <v>84</v>
      </c>
      <c r="Q1608" s="15" t="s">
        <v>1089</v>
      </c>
      <c r="R1608" s="16" t="s">
        <v>8224</v>
      </c>
      <c r="S1608" s="15" t="s">
        <v>10686</v>
      </c>
      <c r="T1608" s="15" t="s">
        <v>10686</v>
      </c>
      <c r="U1608" s="21" t="s">
        <v>72</v>
      </c>
    </row>
    <row r="1609" customFormat="false" ht="39.55" hidden="false" customHeight="false" outlineLevel="0" collapsed="false">
      <c r="A1609" s="15" t="s">
        <v>79</v>
      </c>
      <c r="B1609" s="15" t="s">
        <v>464</v>
      </c>
      <c r="C1609" s="14" t="s">
        <v>10687</v>
      </c>
      <c r="D1609" s="14" t="s">
        <v>10688</v>
      </c>
      <c r="E1609" s="16" t="s">
        <v>10689</v>
      </c>
      <c r="F1609" s="16" t="s">
        <v>10690</v>
      </c>
      <c r="G1609" s="23" t="s">
        <v>43</v>
      </c>
      <c r="H1609" s="18" t="n">
        <v>3</v>
      </c>
      <c r="I1609" s="20" t="n">
        <v>52.09</v>
      </c>
      <c r="J1609" s="20" t="n">
        <v>93.799</v>
      </c>
      <c r="K1609" s="18" t="n">
        <v>8</v>
      </c>
      <c r="L1609" s="18" t="n">
        <v>4</v>
      </c>
      <c r="M1609" s="18" t="n">
        <v>120</v>
      </c>
      <c r="N1609" s="18" t="n">
        <v>79</v>
      </c>
      <c r="O1609" s="14" t="s">
        <v>10691</v>
      </c>
      <c r="P1609" s="14" t="s">
        <v>334</v>
      </c>
      <c r="Q1609" s="15" t="s">
        <v>1089</v>
      </c>
      <c r="R1609" s="16" t="s">
        <v>10692</v>
      </c>
      <c r="S1609" s="15" t="s">
        <v>10693</v>
      </c>
      <c r="T1609" s="15" t="s">
        <v>10693</v>
      </c>
      <c r="U1609" s="21" t="s">
        <v>72</v>
      </c>
    </row>
    <row r="1610" customFormat="false" ht="15" hidden="false" customHeight="false" outlineLevel="0" collapsed="false">
      <c r="A1610" s="15" t="s">
        <v>79</v>
      </c>
      <c r="B1610" s="15" t="s">
        <v>464</v>
      </c>
      <c r="C1610" s="14" t="s">
        <v>10694</v>
      </c>
      <c r="D1610" s="14" t="s">
        <v>10695</v>
      </c>
      <c r="E1610" s="16" t="s">
        <v>10696</v>
      </c>
      <c r="F1610" s="16"/>
      <c r="G1610" s="23" t="s">
        <v>43</v>
      </c>
      <c r="H1610" s="18" t="n">
        <v>3</v>
      </c>
      <c r="I1610" s="20" t="n">
        <v>45.11</v>
      </c>
      <c r="J1610" s="20" t="n">
        <v>118.44</v>
      </c>
      <c r="K1610" s="18" t="n">
        <v>3</v>
      </c>
      <c r="L1610" s="18" t="n">
        <v>3</v>
      </c>
      <c r="M1610" s="18" t="n">
        <v>36</v>
      </c>
      <c r="N1610" s="18" t="n">
        <v>36</v>
      </c>
      <c r="O1610" s="14" t="s">
        <v>1088</v>
      </c>
      <c r="P1610" s="14" t="s">
        <v>84</v>
      </c>
      <c r="Q1610" s="15" t="s">
        <v>1089</v>
      </c>
      <c r="R1610" s="16" t="s">
        <v>10697</v>
      </c>
      <c r="S1610" s="15" t="s">
        <v>10698</v>
      </c>
      <c r="T1610" s="15" t="s">
        <v>10699</v>
      </c>
      <c r="U1610" s="21" t="s">
        <v>72</v>
      </c>
    </row>
    <row r="1611" customFormat="false" ht="15" hidden="false" customHeight="false" outlineLevel="0" collapsed="false">
      <c r="A1611" s="15" t="s">
        <v>79</v>
      </c>
      <c r="B1611" s="15" t="s">
        <v>464</v>
      </c>
      <c r="C1611" s="14" t="s">
        <v>10700</v>
      </c>
      <c r="D1611" s="14" t="s">
        <v>10701</v>
      </c>
      <c r="E1611" s="16" t="s">
        <v>10702</v>
      </c>
      <c r="F1611" s="16" t="s">
        <v>10703</v>
      </c>
      <c r="G1611" s="23" t="s">
        <v>43</v>
      </c>
      <c r="H1611" s="18" t="n">
        <v>2</v>
      </c>
      <c r="I1611" s="20" t="n">
        <v>36.41</v>
      </c>
      <c r="J1611" s="20" t="n">
        <v>84.94</v>
      </c>
      <c r="K1611" s="18" t="n">
        <v>4</v>
      </c>
      <c r="L1611" s="18" t="n">
        <v>1</v>
      </c>
      <c r="M1611" s="18" t="n">
        <v>38</v>
      </c>
      <c r="N1611" s="18" t="n">
        <v>19</v>
      </c>
      <c r="O1611" s="14" t="s">
        <v>1126</v>
      </c>
      <c r="P1611" s="14" t="s">
        <v>226</v>
      </c>
      <c r="Q1611" s="15" t="s">
        <v>1089</v>
      </c>
      <c r="R1611" s="16" t="s">
        <v>9397</v>
      </c>
      <c r="S1611" s="15" t="s">
        <v>10704</v>
      </c>
      <c r="T1611" s="15" t="s">
        <v>10704</v>
      </c>
      <c r="U1611" s="21" t="s">
        <v>72</v>
      </c>
    </row>
    <row r="1612" customFormat="false" ht="15" hidden="false" customHeight="false" outlineLevel="0" collapsed="false">
      <c r="A1612" s="15" t="s">
        <v>79</v>
      </c>
      <c r="B1612" s="15" t="s">
        <v>464</v>
      </c>
      <c r="C1612" s="14" t="s">
        <v>10705</v>
      </c>
      <c r="D1612" s="14" t="s">
        <v>10706</v>
      </c>
      <c r="E1612" s="16" t="s">
        <v>10707</v>
      </c>
      <c r="F1612" s="16" t="s">
        <v>10708</v>
      </c>
      <c r="G1612" s="23" t="s">
        <v>43</v>
      </c>
      <c r="H1612" s="18" t="n">
        <v>4</v>
      </c>
      <c r="I1612" s="20" t="n">
        <v>60.26</v>
      </c>
      <c r="J1612" s="20" t="n">
        <v>133.14</v>
      </c>
      <c r="K1612" s="18" t="n">
        <v>4</v>
      </c>
      <c r="L1612" s="18"/>
      <c r="M1612" s="18" t="n">
        <v>126</v>
      </c>
      <c r="N1612" s="18" t="n">
        <v>103</v>
      </c>
      <c r="O1612" s="14" t="s">
        <v>10709</v>
      </c>
      <c r="P1612" s="14" t="s">
        <v>118</v>
      </c>
      <c r="Q1612" s="15" t="s">
        <v>1089</v>
      </c>
      <c r="R1612" s="16" t="s">
        <v>10190</v>
      </c>
      <c r="S1612" s="15" t="s">
        <v>10710</v>
      </c>
      <c r="T1612" s="15" t="s">
        <v>10710</v>
      </c>
      <c r="U1612" s="21" t="s">
        <v>72</v>
      </c>
    </row>
    <row r="1613" customFormat="false" ht="15" hidden="false" customHeight="false" outlineLevel="0" collapsed="false">
      <c r="A1613" s="15" t="s">
        <v>79</v>
      </c>
      <c r="B1613" s="15" t="s">
        <v>464</v>
      </c>
      <c r="C1613" s="14" t="s">
        <v>10711</v>
      </c>
      <c r="D1613" s="14" t="s">
        <v>10712</v>
      </c>
      <c r="E1613" s="16" t="s">
        <v>10713</v>
      </c>
      <c r="F1613" s="16" t="s">
        <v>10714</v>
      </c>
      <c r="G1613" s="23" t="s">
        <v>43</v>
      </c>
      <c r="H1613" s="18" t="n">
        <v>2</v>
      </c>
      <c r="I1613" s="20" t="n">
        <v>47.13</v>
      </c>
      <c r="J1613" s="20" t="n">
        <v>151.19</v>
      </c>
      <c r="K1613" s="18" t="n">
        <v>6</v>
      </c>
      <c r="L1613" s="18" t="n">
        <v>4</v>
      </c>
      <c r="M1613" s="18" t="n">
        <v>132</v>
      </c>
      <c r="N1613" s="18" t="n">
        <v>44</v>
      </c>
      <c r="O1613" s="14" t="s">
        <v>10715</v>
      </c>
      <c r="P1613" s="14" t="s">
        <v>84</v>
      </c>
      <c r="Q1613" s="15" t="s">
        <v>1089</v>
      </c>
      <c r="R1613" s="16" t="s">
        <v>10716</v>
      </c>
      <c r="S1613" s="15" t="s">
        <v>10717</v>
      </c>
      <c r="T1613" s="15" t="s">
        <v>10717</v>
      </c>
      <c r="U1613" s="21" t="s">
        <v>72</v>
      </c>
    </row>
    <row r="1614" customFormat="false" ht="15" hidden="false" customHeight="false" outlineLevel="0" collapsed="false">
      <c r="A1614" s="15" t="s">
        <v>79</v>
      </c>
      <c r="B1614" s="15" t="s">
        <v>464</v>
      </c>
      <c r="C1614" s="14" t="s">
        <v>10718</v>
      </c>
      <c r="D1614" s="14" t="s">
        <v>10719</v>
      </c>
      <c r="E1614" s="16" t="s">
        <v>10720</v>
      </c>
      <c r="F1614" s="16" t="s">
        <v>10721</v>
      </c>
      <c r="G1614" s="23" t="s">
        <v>43</v>
      </c>
      <c r="H1614" s="18" t="n">
        <v>4</v>
      </c>
      <c r="I1614" s="20" t="n">
        <v>89.55</v>
      </c>
      <c r="J1614" s="20" t="n">
        <v>167.35</v>
      </c>
      <c r="K1614" s="18" t="n">
        <v>17</v>
      </c>
      <c r="L1614" s="18" t="n">
        <v>5</v>
      </c>
      <c r="M1614" s="18" t="n">
        <v>316</v>
      </c>
      <c r="N1614" s="18" t="n">
        <v>316</v>
      </c>
      <c r="O1614" s="14" t="s">
        <v>10722</v>
      </c>
      <c r="P1614" s="14" t="s">
        <v>84</v>
      </c>
      <c r="Q1614" s="15" t="s">
        <v>1089</v>
      </c>
      <c r="R1614" s="16" t="s">
        <v>10723</v>
      </c>
      <c r="S1614" s="15" t="s">
        <v>10724</v>
      </c>
      <c r="T1614" s="15" t="s">
        <v>9676</v>
      </c>
      <c r="U1614" s="21" t="s">
        <v>72</v>
      </c>
    </row>
    <row r="1615" customFormat="false" ht="15" hidden="false" customHeight="false" outlineLevel="0" collapsed="false">
      <c r="A1615" s="15" t="s">
        <v>79</v>
      </c>
      <c r="B1615" s="15" t="s">
        <v>464</v>
      </c>
      <c r="C1615" s="14" t="s">
        <v>10725</v>
      </c>
      <c r="D1615" s="14" t="s">
        <v>10726</v>
      </c>
      <c r="E1615" s="16" t="s">
        <v>10727</v>
      </c>
      <c r="F1615" s="16" t="s">
        <v>10728</v>
      </c>
      <c r="G1615" s="25" t="s">
        <v>39</v>
      </c>
      <c r="H1615" s="18" t="n">
        <v>9</v>
      </c>
      <c r="I1615" s="20" t="n">
        <v>136.59</v>
      </c>
      <c r="J1615" s="20" t="n">
        <v>301.11</v>
      </c>
      <c r="K1615" s="18" t="n">
        <v>17</v>
      </c>
      <c r="L1615" s="18" t="n">
        <v>10</v>
      </c>
      <c r="M1615" s="18" t="n">
        <v>221</v>
      </c>
      <c r="N1615" s="18" t="n">
        <v>178</v>
      </c>
      <c r="O1615" s="14" t="s">
        <v>10729</v>
      </c>
      <c r="P1615" s="14" t="s">
        <v>226</v>
      </c>
      <c r="Q1615" s="15" t="s">
        <v>1089</v>
      </c>
      <c r="R1615" s="16" t="s">
        <v>10730</v>
      </c>
      <c r="S1615" s="15" t="s">
        <v>10724</v>
      </c>
      <c r="T1615" s="15" t="s">
        <v>10731</v>
      </c>
      <c r="U1615" s="21" t="s">
        <v>72</v>
      </c>
    </row>
    <row r="1616" customFormat="false" ht="15" hidden="false" customHeight="false" outlineLevel="0" collapsed="false">
      <c r="A1616" s="15" t="s">
        <v>79</v>
      </c>
      <c r="B1616" s="15" t="s">
        <v>464</v>
      </c>
      <c r="C1616" s="14" t="s">
        <v>10732</v>
      </c>
      <c r="D1616" s="14" t="s">
        <v>10733</v>
      </c>
      <c r="E1616" s="16" t="s">
        <v>10734</v>
      </c>
      <c r="F1616" s="16" t="s">
        <v>10735</v>
      </c>
      <c r="G1616" s="19" t="s">
        <v>41</v>
      </c>
      <c r="H1616" s="18" t="n">
        <v>5</v>
      </c>
      <c r="I1616" s="20" t="n">
        <v>96.57</v>
      </c>
      <c r="J1616" s="20" t="n">
        <v>151.6</v>
      </c>
      <c r="K1616" s="18" t="n">
        <v>63</v>
      </c>
      <c r="L1616" s="18" t="n">
        <v>3</v>
      </c>
      <c r="M1616" s="18" t="n">
        <v>984</v>
      </c>
      <c r="N1616" s="18" t="n">
        <v>300</v>
      </c>
      <c r="O1616" s="14" t="s">
        <v>10736</v>
      </c>
      <c r="P1616" s="14" t="s">
        <v>118</v>
      </c>
      <c r="Q1616" s="15" t="s">
        <v>1089</v>
      </c>
      <c r="R1616" s="16" t="s">
        <v>10737</v>
      </c>
      <c r="S1616" s="15" t="s">
        <v>10738</v>
      </c>
      <c r="T1616" s="15" t="s">
        <v>10739</v>
      </c>
      <c r="U1616" s="21" t="s">
        <v>72</v>
      </c>
    </row>
    <row r="1617" customFormat="false" ht="15" hidden="false" customHeight="false" outlineLevel="0" collapsed="false">
      <c r="A1617" s="15" t="s">
        <v>79</v>
      </c>
      <c r="B1617" s="15" t="s">
        <v>464</v>
      </c>
      <c r="C1617" s="14" t="s">
        <v>10740</v>
      </c>
      <c r="D1617" s="14" t="s">
        <v>10741</v>
      </c>
      <c r="E1617" s="16" t="s">
        <v>10742</v>
      </c>
      <c r="F1617" s="16" t="s">
        <v>282</v>
      </c>
      <c r="G1617" s="25" t="s">
        <v>39</v>
      </c>
      <c r="H1617" s="18" t="n">
        <v>10</v>
      </c>
      <c r="I1617" s="20" t="n">
        <v>192.71</v>
      </c>
      <c r="J1617" s="20" t="n">
        <v>405.38</v>
      </c>
      <c r="K1617" s="18" t="n">
        <v>33</v>
      </c>
      <c r="L1617" s="18" t="n">
        <v>28</v>
      </c>
      <c r="M1617" s="18" t="n">
        <v>726</v>
      </c>
      <c r="N1617" s="18" t="n">
        <v>726</v>
      </c>
      <c r="O1617" s="14" t="s">
        <v>1088</v>
      </c>
      <c r="P1617" s="14" t="s">
        <v>84</v>
      </c>
      <c r="Q1617" s="15" t="s">
        <v>1089</v>
      </c>
      <c r="R1617" s="16" t="s">
        <v>10743</v>
      </c>
      <c r="S1617" s="15" t="s">
        <v>10744</v>
      </c>
      <c r="T1617" s="15" t="s">
        <v>10745</v>
      </c>
      <c r="U1617" s="21" t="s">
        <v>72</v>
      </c>
    </row>
    <row r="1618" customFormat="false" ht="15" hidden="false" customHeight="false" outlineLevel="0" collapsed="false">
      <c r="A1618" s="15" t="s">
        <v>79</v>
      </c>
      <c r="B1618" s="15" t="s">
        <v>464</v>
      </c>
      <c r="C1618" s="14" t="s">
        <v>10746</v>
      </c>
      <c r="D1618" s="14" t="s">
        <v>10747</v>
      </c>
      <c r="E1618" s="16" t="s">
        <v>10748</v>
      </c>
      <c r="F1618" s="16" t="s">
        <v>10749</v>
      </c>
      <c r="G1618" s="23" t="s">
        <v>43</v>
      </c>
      <c r="H1618" s="18" t="n">
        <v>2</v>
      </c>
      <c r="I1618" s="20" t="n">
        <v>32.76</v>
      </c>
      <c r="J1618" s="20" t="n">
        <v>91.48</v>
      </c>
      <c r="K1618" s="18" t="n">
        <v>4</v>
      </c>
      <c r="L1618" s="18" t="n">
        <v>6</v>
      </c>
      <c r="M1618" s="18" t="n">
        <v>54</v>
      </c>
      <c r="N1618" s="18" t="n">
        <v>15</v>
      </c>
      <c r="O1618" s="14" t="s">
        <v>1126</v>
      </c>
      <c r="P1618" s="14" t="s">
        <v>118</v>
      </c>
      <c r="Q1618" s="15" t="s">
        <v>1089</v>
      </c>
      <c r="R1618" s="16" t="s">
        <v>10750</v>
      </c>
      <c r="S1618" s="15" t="s">
        <v>10751</v>
      </c>
      <c r="T1618" s="15" t="s">
        <v>10752</v>
      </c>
      <c r="U1618" s="21" t="s">
        <v>72</v>
      </c>
    </row>
    <row r="1619" customFormat="false" ht="15" hidden="false" customHeight="false" outlineLevel="0" collapsed="false">
      <c r="A1619" s="15" t="s">
        <v>79</v>
      </c>
      <c r="B1619" s="15" t="s">
        <v>464</v>
      </c>
      <c r="C1619" s="14" t="s">
        <v>10753</v>
      </c>
      <c r="D1619" s="14" t="s">
        <v>10754</v>
      </c>
      <c r="E1619" s="16" t="s">
        <v>10755</v>
      </c>
      <c r="F1619" s="16" t="s">
        <v>10756</v>
      </c>
      <c r="G1619" s="19" t="s">
        <v>41</v>
      </c>
      <c r="H1619" s="18" t="n">
        <v>5</v>
      </c>
      <c r="I1619" s="20" t="n">
        <v>73.27</v>
      </c>
      <c r="J1619" s="20" t="n">
        <v>144.04</v>
      </c>
      <c r="K1619" s="18" t="n">
        <v>6</v>
      </c>
      <c r="L1619" s="18" t="n">
        <v>2</v>
      </c>
      <c r="M1619" s="18" t="n">
        <v>67</v>
      </c>
      <c r="N1619" s="18" t="n">
        <v>18</v>
      </c>
      <c r="O1619" s="14" t="s">
        <v>10757</v>
      </c>
      <c r="P1619" s="14" t="s">
        <v>118</v>
      </c>
      <c r="Q1619" s="15" t="s">
        <v>1089</v>
      </c>
      <c r="R1619" s="16" t="s">
        <v>10758</v>
      </c>
      <c r="S1619" s="15" t="s">
        <v>10759</v>
      </c>
      <c r="T1619" s="15" t="s">
        <v>10759</v>
      </c>
      <c r="U1619" s="21" t="s">
        <v>72</v>
      </c>
    </row>
    <row r="1620" customFormat="false" ht="15" hidden="false" customHeight="false" outlineLevel="0" collapsed="false">
      <c r="A1620" s="15" t="s">
        <v>79</v>
      </c>
      <c r="B1620" s="15" t="s">
        <v>464</v>
      </c>
      <c r="C1620" s="14" t="s">
        <v>10760</v>
      </c>
      <c r="D1620" s="14" t="s">
        <v>10761</v>
      </c>
      <c r="E1620" s="16" t="s">
        <v>10762</v>
      </c>
      <c r="F1620" s="16" t="s">
        <v>10763</v>
      </c>
      <c r="G1620" s="23" t="s">
        <v>43</v>
      </c>
      <c r="H1620" s="18" t="n">
        <v>1</v>
      </c>
      <c r="I1620" s="20" t="n">
        <v>36.58</v>
      </c>
      <c r="J1620" s="20" t="n">
        <v>93.74</v>
      </c>
      <c r="K1620" s="18" t="n">
        <v>2</v>
      </c>
      <c r="L1620" s="18" t="n">
        <v>2</v>
      </c>
      <c r="M1620" s="18" t="n">
        <v>20</v>
      </c>
      <c r="N1620" s="18" t="n">
        <v>20</v>
      </c>
      <c r="O1620" s="14" t="s">
        <v>1126</v>
      </c>
      <c r="P1620" s="14" t="s">
        <v>84</v>
      </c>
      <c r="Q1620" s="15" t="s">
        <v>1089</v>
      </c>
      <c r="R1620" s="16" t="s">
        <v>10764</v>
      </c>
      <c r="S1620" s="15" t="s">
        <v>10765</v>
      </c>
      <c r="T1620" s="15" t="s">
        <v>10765</v>
      </c>
      <c r="U1620" s="21" t="s">
        <v>72</v>
      </c>
    </row>
    <row r="1621" customFormat="false" ht="15" hidden="false" customHeight="false" outlineLevel="0" collapsed="false">
      <c r="A1621" s="15" t="s">
        <v>79</v>
      </c>
      <c r="B1621" s="15" t="s">
        <v>464</v>
      </c>
      <c r="C1621" s="14" t="s">
        <v>10766</v>
      </c>
      <c r="D1621" s="14" t="s">
        <v>10767</v>
      </c>
      <c r="E1621" s="16" t="s">
        <v>10768</v>
      </c>
      <c r="F1621" s="16" t="s">
        <v>10769</v>
      </c>
      <c r="G1621" s="19" t="s">
        <v>41</v>
      </c>
      <c r="H1621" s="18" t="n">
        <v>6</v>
      </c>
      <c r="I1621" s="20" t="n">
        <v>149.06</v>
      </c>
      <c r="J1621" s="20" t="n">
        <v>326.64</v>
      </c>
      <c r="K1621" s="18" t="n">
        <v>6</v>
      </c>
      <c r="L1621" s="18" t="n">
        <v>8</v>
      </c>
      <c r="M1621" s="18" t="n">
        <v>120</v>
      </c>
      <c r="N1621" s="18" t="n">
        <v>66</v>
      </c>
      <c r="O1621" s="14" t="s">
        <v>10770</v>
      </c>
      <c r="P1621" s="14" t="s">
        <v>118</v>
      </c>
      <c r="Q1621" s="15" t="s">
        <v>1089</v>
      </c>
      <c r="R1621" s="16" t="s">
        <v>10771</v>
      </c>
      <c r="S1621" s="15" t="s">
        <v>10772</v>
      </c>
      <c r="T1621" s="15" t="s">
        <v>10773</v>
      </c>
      <c r="U1621" s="21" t="s">
        <v>72</v>
      </c>
    </row>
    <row r="1622" customFormat="false" ht="15" hidden="false" customHeight="false" outlineLevel="0" collapsed="false">
      <c r="A1622" s="15" t="s">
        <v>79</v>
      </c>
      <c r="B1622" s="15" t="s">
        <v>464</v>
      </c>
      <c r="C1622" s="14" t="s">
        <v>10774</v>
      </c>
      <c r="D1622" s="14" t="s">
        <v>10775</v>
      </c>
      <c r="E1622" s="16" t="s">
        <v>10776</v>
      </c>
      <c r="F1622" s="16" t="s">
        <v>10777</v>
      </c>
      <c r="G1622" s="19" t="s">
        <v>41</v>
      </c>
      <c r="H1622" s="18" t="n">
        <v>6</v>
      </c>
      <c r="I1622" s="20" t="n">
        <v>133.48</v>
      </c>
      <c r="J1622" s="20" t="n">
        <v>231.84</v>
      </c>
      <c r="K1622" s="18" t="n">
        <v>6</v>
      </c>
      <c r="L1622" s="18" t="n">
        <v>3</v>
      </c>
      <c r="M1622" s="18" t="n">
        <v>104</v>
      </c>
      <c r="N1622" s="18" t="n">
        <v>66</v>
      </c>
      <c r="O1622" s="14" t="s">
        <v>1126</v>
      </c>
      <c r="P1622" s="14" t="s">
        <v>118</v>
      </c>
      <c r="Q1622" s="15" t="s">
        <v>1089</v>
      </c>
      <c r="R1622" s="16" t="s">
        <v>10778</v>
      </c>
      <c r="S1622" s="15" t="s">
        <v>10779</v>
      </c>
      <c r="T1622" s="15" t="s">
        <v>10780</v>
      </c>
      <c r="U1622" s="21" t="s">
        <v>72</v>
      </c>
    </row>
    <row r="1623" customFormat="false" ht="15" hidden="false" customHeight="false" outlineLevel="0" collapsed="false">
      <c r="A1623" s="15" t="s">
        <v>79</v>
      </c>
      <c r="B1623" s="15" t="s">
        <v>464</v>
      </c>
      <c r="C1623" s="14" t="s">
        <v>10781</v>
      </c>
      <c r="D1623" s="14" t="s">
        <v>10782</v>
      </c>
      <c r="E1623" s="16" t="s">
        <v>10783</v>
      </c>
      <c r="F1623" s="16" t="s">
        <v>10784</v>
      </c>
      <c r="G1623" s="19" t="s">
        <v>41</v>
      </c>
      <c r="H1623" s="18" t="n">
        <v>4</v>
      </c>
      <c r="I1623" s="20" t="n">
        <v>74.32</v>
      </c>
      <c r="J1623" s="20" t="n">
        <v>214.81</v>
      </c>
      <c r="K1623" s="18" t="n">
        <v>4</v>
      </c>
      <c r="L1623" s="18" t="n">
        <v>3</v>
      </c>
      <c r="M1623" s="18" t="n">
        <v>244</v>
      </c>
      <c r="N1623" s="18" t="n">
        <v>244</v>
      </c>
      <c r="O1623" s="14" t="s">
        <v>1126</v>
      </c>
      <c r="P1623" s="14" t="s">
        <v>84</v>
      </c>
      <c r="Q1623" s="15" t="s">
        <v>1089</v>
      </c>
      <c r="R1623" s="16" t="s">
        <v>10785</v>
      </c>
      <c r="S1623" s="15" t="s">
        <v>10786</v>
      </c>
      <c r="T1623" s="15" t="s">
        <v>10786</v>
      </c>
      <c r="U1623" s="21" t="s">
        <v>72</v>
      </c>
    </row>
    <row r="1624" customFormat="false" ht="15" hidden="false" customHeight="false" outlineLevel="0" collapsed="false">
      <c r="A1624" s="15" t="s">
        <v>79</v>
      </c>
      <c r="B1624" s="15" t="s">
        <v>464</v>
      </c>
      <c r="C1624" s="14" t="s">
        <v>10787</v>
      </c>
      <c r="D1624" s="14" t="s">
        <v>10788</v>
      </c>
      <c r="E1624" s="16" t="s">
        <v>10789</v>
      </c>
      <c r="F1624" s="16" t="s">
        <v>10790</v>
      </c>
      <c r="G1624" s="23" t="s">
        <v>43</v>
      </c>
      <c r="H1624" s="18" t="n">
        <v>2</v>
      </c>
      <c r="I1624" s="20" t="n">
        <v>68.66</v>
      </c>
      <c r="J1624" s="20" t="n">
        <v>117.77</v>
      </c>
      <c r="K1624" s="18" t="n">
        <v>30</v>
      </c>
      <c r="L1624" s="18" t="n">
        <v>4</v>
      </c>
      <c r="M1624" s="18" t="n">
        <v>840</v>
      </c>
      <c r="N1624" s="18" t="n">
        <v>280</v>
      </c>
      <c r="O1624" s="14" t="s">
        <v>10791</v>
      </c>
      <c r="P1624" s="14" t="s">
        <v>118</v>
      </c>
      <c r="Q1624" s="15" t="s">
        <v>1089</v>
      </c>
      <c r="R1624" s="16" t="s">
        <v>10792</v>
      </c>
      <c r="S1624" s="15" t="s">
        <v>10793</v>
      </c>
      <c r="T1624" s="15" t="s">
        <v>10793</v>
      </c>
      <c r="U1624" s="21" t="s">
        <v>72</v>
      </c>
    </row>
    <row r="1625" customFormat="false" ht="15" hidden="false" customHeight="false" outlineLevel="0" collapsed="false">
      <c r="A1625" s="15" t="s">
        <v>79</v>
      </c>
      <c r="B1625" s="15" t="s">
        <v>464</v>
      </c>
      <c r="C1625" s="14" t="s">
        <v>10794</v>
      </c>
      <c r="D1625" s="14" t="s">
        <v>10795</v>
      </c>
      <c r="E1625" s="16" t="s">
        <v>10796</v>
      </c>
      <c r="F1625" s="16" t="s">
        <v>10797</v>
      </c>
      <c r="G1625" s="19" t="s">
        <v>41</v>
      </c>
      <c r="H1625" s="18" t="n">
        <v>6</v>
      </c>
      <c r="I1625" s="20" t="n">
        <v>128.38</v>
      </c>
      <c r="J1625" s="20" t="n">
        <v>78.7</v>
      </c>
      <c r="K1625" s="18" t="n">
        <v>6</v>
      </c>
      <c r="L1625" s="18" t="n">
        <v>5</v>
      </c>
      <c r="M1625" s="18" t="n">
        <v>105</v>
      </c>
      <c r="N1625" s="18" t="n">
        <v>70</v>
      </c>
      <c r="O1625" s="14" t="s">
        <v>4602</v>
      </c>
      <c r="P1625" s="14" t="s">
        <v>118</v>
      </c>
      <c r="Q1625" s="15" t="s">
        <v>1089</v>
      </c>
      <c r="R1625" s="16" t="s">
        <v>10798</v>
      </c>
      <c r="S1625" s="15" t="s">
        <v>10799</v>
      </c>
      <c r="T1625" s="15" t="s">
        <v>10800</v>
      </c>
      <c r="U1625" s="21" t="s">
        <v>72</v>
      </c>
    </row>
    <row r="1626" customFormat="false" ht="39.55" hidden="false" customHeight="false" outlineLevel="0" collapsed="false">
      <c r="A1626" s="15" t="s">
        <v>79</v>
      </c>
      <c r="B1626" s="15" t="s">
        <v>464</v>
      </c>
      <c r="C1626" s="14" t="s">
        <v>10801</v>
      </c>
      <c r="D1626" s="14" t="s">
        <v>10802</v>
      </c>
      <c r="E1626" s="16" t="s">
        <v>10803</v>
      </c>
      <c r="F1626" s="16" t="s">
        <v>10804</v>
      </c>
      <c r="G1626" s="23" t="s">
        <v>43</v>
      </c>
      <c r="H1626" s="18" t="n">
        <v>4</v>
      </c>
      <c r="I1626" s="20" t="n">
        <v>99.25</v>
      </c>
      <c r="J1626" s="20" t="n">
        <v>167.34</v>
      </c>
      <c r="K1626" s="18" t="n">
        <v>7</v>
      </c>
      <c r="L1626" s="18" t="n">
        <v>4</v>
      </c>
      <c r="M1626" s="18" t="n">
        <v>150</v>
      </c>
      <c r="N1626" s="18" t="n">
        <v>102</v>
      </c>
      <c r="O1626" s="14" t="s">
        <v>10805</v>
      </c>
      <c r="P1626" s="14" t="s">
        <v>334</v>
      </c>
      <c r="Q1626" s="15" t="s">
        <v>1089</v>
      </c>
      <c r="R1626" s="16" t="s">
        <v>10806</v>
      </c>
      <c r="S1626" s="15" t="s">
        <v>10807</v>
      </c>
      <c r="T1626" s="15" t="s">
        <v>10807</v>
      </c>
      <c r="U1626" s="21" t="s">
        <v>72</v>
      </c>
    </row>
    <row r="1627" customFormat="false" ht="15" hidden="false" customHeight="false" outlineLevel="0" collapsed="false">
      <c r="A1627" s="15" t="s">
        <v>79</v>
      </c>
      <c r="B1627" s="15" t="s">
        <v>464</v>
      </c>
      <c r="C1627" s="14" t="s">
        <v>10808</v>
      </c>
      <c r="D1627" s="14" t="s">
        <v>10809</v>
      </c>
      <c r="E1627" s="16" t="s">
        <v>10810</v>
      </c>
      <c r="F1627" s="16" t="s">
        <v>10811</v>
      </c>
      <c r="G1627" s="23" t="s">
        <v>43</v>
      </c>
      <c r="H1627" s="18" t="n">
        <v>3</v>
      </c>
      <c r="I1627" s="20" t="n">
        <v>64.85</v>
      </c>
      <c r="J1627" s="20" t="n">
        <v>172.44</v>
      </c>
      <c r="K1627" s="18" t="n">
        <v>3</v>
      </c>
      <c r="L1627" s="18" t="n">
        <v>3</v>
      </c>
      <c r="M1627" s="18" t="n">
        <v>45</v>
      </c>
      <c r="N1627" s="18" t="n">
        <v>15</v>
      </c>
      <c r="O1627" s="14" t="s">
        <v>1088</v>
      </c>
      <c r="P1627" s="14" t="s">
        <v>226</v>
      </c>
      <c r="Q1627" s="15" t="s">
        <v>1089</v>
      </c>
      <c r="R1627" s="16" t="s">
        <v>10812</v>
      </c>
      <c r="S1627" s="15" t="s">
        <v>10813</v>
      </c>
      <c r="T1627" s="15" t="s">
        <v>10814</v>
      </c>
      <c r="U1627" s="21" t="s">
        <v>72</v>
      </c>
    </row>
    <row r="1628" customFormat="false" ht="15" hidden="false" customHeight="false" outlineLevel="0" collapsed="false">
      <c r="A1628" s="15" t="s">
        <v>79</v>
      </c>
      <c r="B1628" s="15" t="s">
        <v>464</v>
      </c>
      <c r="C1628" s="14" t="s">
        <v>10815</v>
      </c>
      <c r="D1628" s="14" t="s">
        <v>10816</v>
      </c>
      <c r="E1628" s="16" t="s">
        <v>10817</v>
      </c>
      <c r="F1628" s="16" t="s">
        <v>10818</v>
      </c>
      <c r="G1628" s="19" t="s">
        <v>41</v>
      </c>
      <c r="H1628" s="18" t="n">
        <v>2</v>
      </c>
      <c r="I1628" s="20" t="n">
        <v>103.82</v>
      </c>
      <c r="J1628" s="20" t="n">
        <v>264.33</v>
      </c>
      <c r="K1628" s="18" t="n">
        <v>18</v>
      </c>
      <c r="L1628" s="18" t="n">
        <v>4</v>
      </c>
      <c r="M1628" s="18" t="n">
        <v>774</v>
      </c>
      <c r="N1628" s="18" t="n">
        <v>258</v>
      </c>
      <c r="O1628" s="14" t="s">
        <v>1097</v>
      </c>
      <c r="P1628" s="14" t="s">
        <v>118</v>
      </c>
      <c r="Q1628" s="15" t="s">
        <v>1089</v>
      </c>
      <c r="R1628" s="16" t="s">
        <v>4638</v>
      </c>
      <c r="S1628" s="15" t="s">
        <v>10819</v>
      </c>
      <c r="T1628" s="15" t="s">
        <v>10820</v>
      </c>
      <c r="U1628" s="21" t="s">
        <v>72</v>
      </c>
    </row>
    <row r="1629" customFormat="false" ht="15" hidden="false" customHeight="false" outlineLevel="0" collapsed="false">
      <c r="A1629" s="15" t="s">
        <v>79</v>
      </c>
      <c r="B1629" s="15" t="s">
        <v>464</v>
      </c>
      <c r="C1629" s="14" t="s">
        <v>10821</v>
      </c>
      <c r="D1629" s="14" t="s">
        <v>10822</v>
      </c>
      <c r="E1629" s="16" t="s">
        <v>10823</v>
      </c>
      <c r="F1629" s="16" t="s">
        <v>10824</v>
      </c>
      <c r="G1629" s="19" t="s">
        <v>41</v>
      </c>
      <c r="H1629" s="18" t="n">
        <v>5</v>
      </c>
      <c r="I1629" s="20" t="n">
        <v>48.5</v>
      </c>
      <c r="J1629" s="20" t="n">
        <v>130.6</v>
      </c>
      <c r="K1629" s="18" t="n">
        <v>6</v>
      </c>
      <c r="L1629" s="18" t="n">
        <v>3</v>
      </c>
      <c r="M1629" s="18" t="n">
        <v>48</v>
      </c>
      <c r="N1629" s="18" t="n">
        <v>32</v>
      </c>
      <c r="O1629" s="14" t="s">
        <v>1088</v>
      </c>
      <c r="P1629" s="14" t="s">
        <v>118</v>
      </c>
      <c r="Q1629" s="15" t="s">
        <v>1089</v>
      </c>
      <c r="R1629" s="16" t="s">
        <v>5526</v>
      </c>
      <c r="S1629" s="15" t="s">
        <v>10825</v>
      </c>
      <c r="T1629" s="15" t="s">
        <v>10825</v>
      </c>
      <c r="U1629" s="21" t="s">
        <v>72</v>
      </c>
    </row>
    <row r="1630" customFormat="false" ht="15" hidden="false" customHeight="false" outlineLevel="0" collapsed="false">
      <c r="A1630" s="15" t="s">
        <v>79</v>
      </c>
      <c r="B1630" s="15" t="s">
        <v>464</v>
      </c>
      <c r="C1630" s="14" t="s">
        <v>10826</v>
      </c>
      <c r="D1630" s="14" t="s">
        <v>10827</v>
      </c>
      <c r="E1630" s="16" t="s">
        <v>10817</v>
      </c>
      <c r="F1630" s="16" t="s">
        <v>10818</v>
      </c>
      <c r="G1630" s="19" t="s">
        <v>41</v>
      </c>
      <c r="H1630" s="18" t="n">
        <v>3</v>
      </c>
      <c r="I1630" s="20" t="n">
        <v>101.09</v>
      </c>
      <c r="J1630" s="20" t="n">
        <v>262.36</v>
      </c>
      <c r="K1630" s="18" t="n">
        <v>30</v>
      </c>
      <c r="L1630" s="18" t="n">
        <v>3</v>
      </c>
      <c r="M1630" s="18" t="n">
        <v>866</v>
      </c>
      <c r="N1630" s="18" t="n">
        <v>534</v>
      </c>
      <c r="O1630" s="14" t="s">
        <v>10828</v>
      </c>
      <c r="P1630" s="14" t="s">
        <v>84</v>
      </c>
      <c r="Q1630" s="15" t="s">
        <v>1089</v>
      </c>
      <c r="R1630" s="16" t="s">
        <v>10829</v>
      </c>
      <c r="S1630" s="15" t="s">
        <v>10830</v>
      </c>
      <c r="T1630" s="15" t="s">
        <v>10819</v>
      </c>
      <c r="U1630" s="21" t="s">
        <v>72</v>
      </c>
    </row>
    <row r="1631" customFormat="false" ht="15" hidden="false" customHeight="false" outlineLevel="0" collapsed="false">
      <c r="A1631" s="15" t="s">
        <v>79</v>
      </c>
      <c r="B1631" s="15" t="s">
        <v>464</v>
      </c>
      <c r="C1631" s="14" t="s">
        <v>10831</v>
      </c>
      <c r="D1631" s="14" t="s">
        <v>10832</v>
      </c>
      <c r="E1631" s="16" t="s">
        <v>10833</v>
      </c>
      <c r="F1631" s="16" t="s">
        <v>10834</v>
      </c>
      <c r="G1631" s="23" t="s">
        <v>43</v>
      </c>
      <c r="H1631" s="18" t="n">
        <v>2</v>
      </c>
      <c r="I1631" s="20" t="n">
        <v>47.75</v>
      </c>
      <c r="J1631" s="20" t="n">
        <v>108.03</v>
      </c>
      <c r="K1631" s="18" t="n">
        <v>10</v>
      </c>
      <c r="L1631" s="18" t="n">
        <v>2</v>
      </c>
      <c r="M1631" s="18" t="n">
        <v>192</v>
      </c>
      <c r="N1631" s="18" t="n">
        <v>80</v>
      </c>
      <c r="O1631" s="14" t="s">
        <v>10835</v>
      </c>
      <c r="P1631" s="14" t="s">
        <v>118</v>
      </c>
      <c r="Q1631" s="15" t="s">
        <v>1089</v>
      </c>
      <c r="R1631" s="16" t="s">
        <v>10836</v>
      </c>
      <c r="S1631" s="15" t="s">
        <v>10837</v>
      </c>
      <c r="T1631" s="15" t="s">
        <v>10837</v>
      </c>
      <c r="U1631" s="21" t="s">
        <v>72</v>
      </c>
    </row>
    <row r="1632" customFormat="false" ht="15" hidden="false" customHeight="false" outlineLevel="0" collapsed="false">
      <c r="A1632" s="15" t="s">
        <v>79</v>
      </c>
      <c r="B1632" s="15" t="s">
        <v>464</v>
      </c>
      <c r="C1632" s="14" t="s">
        <v>491</v>
      </c>
      <c r="D1632" s="14" t="s">
        <v>10838</v>
      </c>
      <c r="E1632" s="16" t="s">
        <v>10839</v>
      </c>
      <c r="F1632" s="16" t="s">
        <v>494</v>
      </c>
      <c r="G1632" s="19" t="s">
        <v>41</v>
      </c>
      <c r="H1632" s="18" t="n">
        <v>5</v>
      </c>
      <c r="I1632" s="20" t="n">
        <v>86.32</v>
      </c>
      <c r="J1632" s="20" t="n">
        <v>160.5</v>
      </c>
      <c r="K1632" s="18" t="n">
        <v>16</v>
      </c>
      <c r="L1632" s="18" t="n">
        <v>3</v>
      </c>
      <c r="M1632" s="18" t="n">
        <v>252</v>
      </c>
      <c r="N1632" s="18" t="n">
        <v>252</v>
      </c>
      <c r="O1632" s="14" t="s">
        <v>10840</v>
      </c>
      <c r="P1632" s="14" t="s">
        <v>118</v>
      </c>
      <c r="Q1632" s="15" t="s">
        <v>1089</v>
      </c>
      <c r="R1632" s="16" t="s">
        <v>495</v>
      </c>
      <c r="S1632" s="15" t="s">
        <v>496</v>
      </c>
      <c r="T1632" s="15" t="s">
        <v>497</v>
      </c>
      <c r="U1632" s="21" t="s">
        <v>72</v>
      </c>
    </row>
    <row r="1633" customFormat="false" ht="15" hidden="false" customHeight="false" outlineLevel="0" collapsed="false">
      <c r="A1633" s="15" t="s">
        <v>79</v>
      </c>
      <c r="B1633" s="15" t="s">
        <v>464</v>
      </c>
      <c r="C1633" s="14" t="s">
        <v>10841</v>
      </c>
      <c r="D1633" s="14" t="s">
        <v>10842</v>
      </c>
      <c r="E1633" s="16" t="s">
        <v>10843</v>
      </c>
      <c r="F1633" s="16" t="s">
        <v>10844</v>
      </c>
      <c r="G1633" s="23" t="s">
        <v>43</v>
      </c>
      <c r="H1633" s="18" t="n">
        <v>3</v>
      </c>
      <c r="I1633" s="20" t="n">
        <v>57.12</v>
      </c>
      <c r="J1633" s="20" t="n">
        <v>110.12</v>
      </c>
      <c r="K1633" s="18" t="n">
        <v>54</v>
      </c>
      <c r="L1633" s="18" t="n">
        <v>3</v>
      </c>
      <c r="M1633" s="18" t="n">
        <v>807</v>
      </c>
      <c r="N1633" s="18" t="n">
        <v>144</v>
      </c>
      <c r="O1633" s="14" t="s">
        <v>3724</v>
      </c>
      <c r="P1633" s="14" t="s">
        <v>118</v>
      </c>
      <c r="Q1633" s="15" t="s">
        <v>1089</v>
      </c>
      <c r="R1633" s="16" t="s">
        <v>9268</v>
      </c>
      <c r="S1633" s="15" t="s">
        <v>10739</v>
      </c>
      <c r="T1633" s="15" t="s">
        <v>10845</v>
      </c>
      <c r="U1633" s="21" t="s">
        <v>72</v>
      </c>
    </row>
    <row r="1634" customFormat="false" ht="15" hidden="false" customHeight="false" outlineLevel="0" collapsed="false">
      <c r="A1634" s="15" t="s">
        <v>79</v>
      </c>
      <c r="B1634" s="15" t="s">
        <v>464</v>
      </c>
      <c r="C1634" s="14" t="s">
        <v>10846</v>
      </c>
      <c r="D1634" s="14" t="s">
        <v>10847</v>
      </c>
      <c r="E1634" s="16" t="s">
        <v>10848</v>
      </c>
      <c r="F1634" s="16" t="s">
        <v>10797</v>
      </c>
      <c r="G1634" s="23" t="s">
        <v>43</v>
      </c>
      <c r="H1634" s="18" t="n">
        <v>4</v>
      </c>
      <c r="I1634" s="20" t="n">
        <v>115.29</v>
      </c>
      <c r="J1634" s="20" t="n">
        <v>174.18</v>
      </c>
      <c r="K1634" s="18" t="n">
        <v>4</v>
      </c>
      <c r="L1634" s="18" t="n">
        <v>4</v>
      </c>
      <c r="M1634" s="18" t="n">
        <v>95</v>
      </c>
      <c r="N1634" s="18" t="n">
        <v>95</v>
      </c>
      <c r="O1634" s="14" t="s">
        <v>10849</v>
      </c>
      <c r="P1634" s="14" t="s">
        <v>118</v>
      </c>
      <c r="Q1634" s="15" t="s">
        <v>1089</v>
      </c>
      <c r="R1634" s="16" t="s">
        <v>10850</v>
      </c>
      <c r="S1634" s="15" t="s">
        <v>10851</v>
      </c>
      <c r="T1634" s="15" t="s">
        <v>10852</v>
      </c>
      <c r="U1634" s="21" t="s">
        <v>72</v>
      </c>
    </row>
    <row r="1635" customFormat="false" ht="26.85" hidden="false" customHeight="false" outlineLevel="0" collapsed="false">
      <c r="A1635" s="15" t="s">
        <v>79</v>
      </c>
      <c r="B1635" s="15" t="s">
        <v>464</v>
      </c>
      <c r="C1635" s="14" t="s">
        <v>10853</v>
      </c>
      <c r="D1635" s="14" t="s">
        <v>10854</v>
      </c>
      <c r="E1635" s="16" t="s">
        <v>10855</v>
      </c>
      <c r="F1635" s="16" t="s">
        <v>10079</v>
      </c>
      <c r="G1635" s="23" t="s">
        <v>43</v>
      </c>
      <c r="H1635" s="18" t="n">
        <v>2</v>
      </c>
      <c r="I1635" s="20" t="n">
        <v>48.7</v>
      </c>
      <c r="J1635" s="20" t="n">
        <v>83.52</v>
      </c>
      <c r="K1635" s="18" t="n">
        <v>10</v>
      </c>
      <c r="L1635" s="18" t="n">
        <v>2</v>
      </c>
      <c r="M1635" s="18" t="n">
        <v>200</v>
      </c>
      <c r="N1635" s="18" t="n">
        <v>84</v>
      </c>
      <c r="O1635" s="14" t="s">
        <v>10856</v>
      </c>
      <c r="P1635" s="14" t="s">
        <v>6883</v>
      </c>
      <c r="Q1635" s="15" t="s">
        <v>1089</v>
      </c>
      <c r="R1635" s="16" t="s">
        <v>10857</v>
      </c>
      <c r="S1635" s="15" t="s">
        <v>10081</v>
      </c>
      <c r="T1635" s="15" t="s">
        <v>1800</v>
      </c>
      <c r="U1635" s="21" t="s">
        <v>72</v>
      </c>
    </row>
    <row r="1636" customFormat="false" ht="15" hidden="false" customHeight="false" outlineLevel="0" collapsed="false">
      <c r="A1636" s="15" t="s">
        <v>79</v>
      </c>
      <c r="B1636" s="15" t="s">
        <v>464</v>
      </c>
      <c r="C1636" s="14" t="s">
        <v>10858</v>
      </c>
      <c r="D1636" s="14" t="s">
        <v>10859</v>
      </c>
      <c r="E1636" s="16" t="s">
        <v>10860</v>
      </c>
      <c r="F1636" s="16" t="s">
        <v>10861</v>
      </c>
      <c r="G1636" s="23" t="s">
        <v>43</v>
      </c>
      <c r="H1636" s="18" t="n">
        <v>2</v>
      </c>
      <c r="I1636" s="20" t="n">
        <v>33.36</v>
      </c>
      <c r="J1636" s="20" t="n">
        <v>83.14</v>
      </c>
      <c r="K1636" s="18" t="n">
        <v>2</v>
      </c>
      <c r="L1636" s="18" t="n">
        <v>1</v>
      </c>
      <c r="M1636" s="18" t="n">
        <v>20</v>
      </c>
      <c r="N1636" s="18" t="n">
        <v>20</v>
      </c>
      <c r="O1636" s="14" t="s">
        <v>1126</v>
      </c>
      <c r="P1636" s="14" t="s">
        <v>84</v>
      </c>
      <c r="Q1636" s="15" t="s">
        <v>1089</v>
      </c>
      <c r="R1636" s="16" t="s">
        <v>10862</v>
      </c>
      <c r="S1636" s="15" t="s">
        <v>10863</v>
      </c>
      <c r="T1636" s="15" t="s">
        <v>10864</v>
      </c>
      <c r="U1636" s="21" t="s">
        <v>72</v>
      </c>
    </row>
    <row r="1637" customFormat="false" ht="26.85" hidden="false" customHeight="false" outlineLevel="0" collapsed="false">
      <c r="A1637" s="15" t="s">
        <v>79</v>
      </c>
      <c r="B1637" s="15" t="s">
        <v>464</v>
      </c>
      <c r="C1637" s="14" t="s">
        <v>10865</v>
      </c>
      <c r="D1637" s="14" t="s">
        <v>10866</v>
      </c>
      <c r="E1637" s="16" t="s">
        <v>10867</v>
      </c>
      <c r="F1637" s="16" t="s">
        <v>10868</v>
      </c>
      <c r="G1637" s="23" t="s">
        <v>43</v>
      </c>
      <c r="H1637" s="18" t="n">
        <v>2</v>
      </c>
      <c r="I1637" s="20" t="n">
        <v>33.57</v>
      </c>
      <c r="J1637" s="20" t="n">
        <v>90.46</v>
      </c>
      <c r="K1637" s="18" t="n">
        <v>11</v>
      </c>
      <c r="L1637" s="18" t="n">
        <v>2</v>
      </c>
      <c r="M1637" s="18" t="n">
        <v>146</v>
      </c>
      <c r="N1637" s="18" t="n">
        <v>32</v>
      </c>
      <c r="O1637" s="14" t="s">
        <v>10729</v>
      </c>
      <c r="P1637" s="14" t="s">
        <v>1185</v>
      </c>
      <c r="Q1637" s="15" t="s">
        <v>1089</v>
      </c>
      <c r="R1637" s="16" t="s">
        <v>10869</v>
      </c>
      <c r="S1637" s="15" t="s">
        <v>10870</v>
      </c>
      <c r="T1637" s="15" t="s">
        <v>10871</v>
      </c>
      <c r="U1637" s="21" t="s">
        <v>72</v>
      </c>
    </row>
    <row r="1638" customFormat="false" ht="15" hidden="false" customHeight="false" outlineLevel="0" collapsed="false">
      <c r="A1638" s="15" t="s">
        <v>79</v>
      </c>
      <c r="B1638" s="15" t="s">
        <v>464</v>
      </c>
      <c r="C1638" s="14" t="s">
        <v>10872</v>
      </c>
      <c r="D1638" s="14" t="s">
        <v>10873</v>
      </c>
      <c r="E1638" s="16" t="s">
        <v>10874</v>
      </c>
      <c r="F1638" s="16" t="s">
        <v>10875</v>
      </c>
      <c r="G1638" s="23" t="s">
        <v>43</v>
      </c>
      <c r="H1638" s="18" t="n">
        <v>2</v>
      </c>
      <c r="I1638" s="20" t="n">
        <v>33.33</v>
      </c>
      <c r="J1638" s="20" t="n">
        <v>85.31</v>
      </c>
      <c r="K1638" s="18" t="n">
        <v>11</v>
      </c>
      <c r="L1638" s="18" t="n">
        <v>2</v>
      </c>
      <c r="M1638" s="18" t="n">
        <v>143</v>
      </c>
      <c r="N1638" s="18" t="n">
        <v>52</v>
      </c>
      <c r="O1638" s="14" t="s">
        <v>10876</v>
      </c>
      <c r="P1638" s="14" t="s">
        <v>118</v>
      </c>
      <c r="Q1638" s="15" t="s">
        <v>1089</v>
      </c>
      <c r="R1638" s="16" t="s">
        <v>10877</v>
      </c>
      <c r="S1638" s="15" t="s">
        <v>10878</v>
      </c>
      <c r="T1638" s="15" t="s">
        <v>10878</v>
      </c>
      <c r="U1638" s="21" t="s">
        <v>72</v>
      </c>
    </row>
    <row r="1639" customFormat="false" ht="26.85" hidden="false" customHeight="false" outlineLevel="0" collapsed="false">
      <c r="A1639" s="15" t="s">
        <v>79</v>
      </c>
      <c r="B1639" s="15" t="s">
        <v>464</v>
      </c>
      <c r="C1639" s="14" t="s">
        <v>10879</v>
      </c>
      <c r="D1639" s="14" t="s">
        <v>10880</v>
      </c>
      <c r="E1639" s="16" t="s">
        <v>10881</v>
      </c>
      <c r="F1639" s="16" t="s">
        <v>10882</v>
      </c>
      <c r="G1639" s="23" t="s">
        <v>43</v>
      </c>
      <c r="H1639" s="18" t="n">
        <v>3</v>
      </c>
      <c r="I1639" s="20" t="n">
        <v>81.02</v>
      </c>
      <c r="J1639" s="20" t="n">
        <v>126.89</v>
      </c>
      <c r="K1639" s="18" t="n">
        <v>24</v>
      </c>
      <c r="L1639" s="18" t="n">
        <v>5</v>
      </c>
      <c r="M1639" s="18" t="n">
        <v>489</v>
      </c>
      <c r="N1639" s="18" t="n">
        <v>270</v>
      </c>
      <c r="O1639" s="14" t="s">
        <v>1126</v>
      </c>
      <c r="P1639" s="14" t="s">
        <v>352</v>
      </c>
      <c r="Q1639" s="15" t="s">
        <v>1089</v>
      </c>
      <c r="R1639" s="16" t="s">
        <v>10673</v>
      </c>
      <c r="S1639" s="15" t="s">
        <v>10883</v>
      </c>
      <c r="T1639" s="15" t="s">
        <v>10883</v>
      </c>
      <c r="U1639" s="21" t="s">
        <v>72</v>
      </c>
    </row>
    <row r="1640" customFormat="false" ht="15" hidden="false" customHeight="false" outlineLevel="0" collapsed="false">
      <c r="A1640" s="15" t="s">
        <v>79</v>
      </c>
      <c r="B1640" s="15" t="s">
        <v>464</v>
      </c>
      <c r="C1640" s="14" t="s">
        <v>10884</v>
      </c>
      <c r="D1640" s="14" t="s">
        <v>10885</v>
      </c>
      <c r="E1640" s="16" t="s">
        <v>10886</v>
      </c>
      <c r="F1640" s="16" t="s">
        <v>10887</v>
      </c>
      <c r="G1640" s="19" t="s">
        <v>41</v>
      </c>
      <c r="H1640" s="18" t="n">
        <v>5</v>
      </c>
      <c r="I1640" s="20" t="n">
        <v>66.11</v>
      </c>
      <c r="J1640" s="20" t="n">
        <v>171.13</v>
      </c>
      <c r="K1640" s="18" t="n">
        <v>18</v>
      </c>
      <c r="L1640" s="18" t="n">
        <v>3</v>
      </c>
      <c r="M1640" s="18" t="n">
        <v>207</v>
      </c>
      <c r="N1640" s="18" t="n">
        <v>55</v>
      </c>
      <c r="O1640" s="14" t="s">
        <v>10888</v>
      </c>
      <c r="P1640" s="14" t="s">
        <v>118</v>
      </c>
      <c r="Q1640" s="15" t="s">
        <v>1089</v>
      </c>
      <c r="R1640" s="16" t="s">
        <v>10889</v>
      </c>
      <c r="S1640" s="15" t="s">
        <v>10890</v>
      </c>
      <c r="T1640" s="15" t="s">
        <v>10891</v>
      </c>
      <c r="U1640" s="21" t="s">
        <v>72</v>
      </c>
    </row>
    <row r="1641" customFormat="false" ht="52.2" hidden="false" customHeight="false" outlineLevel="0" collapsed="false">
      <c r="A1641" s="15" t="s">
        <v>79</v>
      </c>
      <c r="B1641" s="15" t="s">
        <v>464</v>
      </c>
      <c r="C1641" s="14" t="s">
        <v>10892</v>
      </c>
      <c r="D1641" s="14" t="s">
        <v>10893</v>
      </c>
      <c r="E1641" s="16" t="s">
        <v>10894</v>
      </c>
      <c r="F1641" s="16" t="s">
        <v>10895</v>
      </c>
      <c r="G1641" s="19" t="s">
        <v>41</v>
      </c>
      <c r="H1641" s="18" t="n">
        <v>5</v>
      </c>
      <c r="I1641" s="20" t="n">
        <v>110.28</v>
      </c>
      <c r="J1641" s="20" t="n">
        <v>167.71</v>
      </c>
      <c r="K1641" s="18" t="n">
        <v>5</v>
      </c>
      <c r="L1641" s="18" t="n">
        <v>1</v>
      </c>
      <c r="M1641" s="18" t="n">
        <v>84</v>
      </c>
      <c r="N1641" s="18" t="n">
        <v>84</v>
      </c>
      <c r="O1641" s="14" t="s">
        <v>10896</v>
      </c>
      <c r="P1641" s="14" t="s">
        <v>84</v>
      </c>
      <c r="Q1641" s="15" t="s">
        <v>1089</v>
      </c>
      <c r="R1641" s="16" t="s">
        <v>10897</v>
      </c>
      <c r="S1641" s="15" t="s">
        <v>8836</v>
      </c>
      <c r="T1641" s="15" t="s">
        <v>10898</v>
      </c>
      <c r="U1641" s="21" t="s">
        <v>72</v>
      </c>
    </row>
    <row r="1642" customFormat="false" ht="15" hidden="false" customHeight="false" outlineLevel="0" collapsed="false">
      <c r="A1642" s="15" t="s">
        <v>79</v>
      </c>
      <c r="B1642" s="15" t="s">
        <v>464</v>
      </c>
      <c r="C1642" s="14" t="s">
        <v>10899</v>
      </c>
      <c r="D1642" s="14" t="s">
        <v>10900</v>
      </c>
      <c r="E1642" s="16" t="s">
        <v>10901</v>
      </c>
      <c r="F1642" s="16" t="s">
        <v>10902</v>
      </c>
      <c r="G1642" s="19" t="s">
        <v>41</v>
      </c>
      <c r="H1642" s="18" t="n">
        <v>5</v>
      </c>
      <c r="I1642" s="20" t="n">
        <v>101.26</v>
      </c>
      <c r="J1642" s="20" t="n">
        <v>275.05</v>
      </c>
      <c r="K1642" s="18" t="n">
        <v>17</v>
      </c>
      <c r="L1642" s="18" t="n">
        <v>6</v>
      </c>
      <c r="M1642" s="18" t="n">
        <v>277</v>
      </c>
      <c r="N1642" s="18" t="n">
        <v>115</v>
      </c>
      <c r="O1642" s="14" t="s">
        <v>10903</v>
      </c>
      <c r="P1642" s="14" t="s">
        <v>118</v>
      </c>
      <c r="Q1642" s="15" t="s">
        <v>1089</v>
      </c>
      <c r="R1642" s="16" t="s">
        <v>10904</v>
      </c>
      <c r="S1642" s="15" t="s">
        <v>10905</v>
      </c>
      <c r="T1642" s="15" t="s">
        <v>10905</v>
      </c>
      <c r="U1642" s="21" t="s">
        <v>72</v>
      </c>
    </row>
    <row r="1643" customFormat="false" ht="39.55" hidden="false" customHeight="false" outlineLevel="0" collapsed="false">
      <c r="A1643" s="15" t="s">
        <v>79</v>
      </c>
      <c r="B1643" s="15" t="s">
        <v>464</v>
      </c>
      <c r="C1643" s="14" t="s">
        <v>10906</v>
      </c>
      <c r="D1643" s="14" t="s">
        <v>10907</v>
      </c>
      <c r="E1643" s="16" t="s">
        <v>10839</v>
      </c>
      <c r="F1643" s="16" t="s">
        <v>494</v>
      </c>
      <c r="G1643" s="23" t="s">
        <v>43</v>
      </c>
      <c r="H1643" s="18" t="n">
        <v>4</v>
      </c>
      <c r="I1643" s="20" t="n">
        <v>51.29</v>
      </c>
      <c r="J1643" s="20" t="n">
        <v>129.11</v>
      </c>
      <c r="K1643" s="18" t="n">
        <v>8</v>
      </c>
      <c r="L1643" s="18" t="n">
        <v>6</v>
      </c>
      <c r="M1643" s="18" t="n">
        <v>109</v>
      </c>
      <c r="N1643" s="18" t="n">
        <v>58</v>
      </c>
      <c r="O1643" s="14" t="s">
        <v>10908</v>
      </c>
      <c r="P1643" s="14" t="s">
        <v>226</v>
      </c>
      <c r="Q1643" s="15" t="s">
        <v>1089</v>
      </c>
      <c r="R1643" s="16" t="s">
        <v>10909</v>
      </c>
      <c r="S1643" s="15" t="s">
        <v>496</v>
      </c>
      <c r="T1643" s="15" t="s">
        <v>10910</v>
      </c>
      <c r="U1643" s="21" t="s">
        <v>72</v>
      </c>
    </row>
    <row r="1644" customFormat="false" ht="15" hidden="false" customHeight="false" outlineLevel="0" collapsed="false">
      <c r="A1644" s="15" t="s">
        <v>79</v>
      </c>
      <c r="B1644" s="15" t="s">
        <v>464</v>
      </c>
      <c r="C1644" s="14" t="s">
        <v>10911</v>
      </c>
      <c r="D1644" s="14" t="s">
        <v>10912</v>
      </c>
      <c r="E1644" s="16" t="s">
        <v>10913</v>
      </c>
      <c r="F1644" s="16" t="s">
        <v>10914</v>
      </c>
      <c r="G1644" s="23" t="s">
        <v>43</v>
      </c>
      <c r="H1644" s="18" t="n">
        <v>3</v>
      </c>
      <c r="I1644" s="20" t="n">
        <v>131.65</v>
      </c>
      <c r="J1644" s="20" t="n">
        <v>160.81</v>
      </c>
      <c r="K1644" s="18" t="n">
        <v>10</v>
      </c>
      <c r="L1644" s="18" t="n">
        <v>1</v>
      </c>
      <c r="M1644" s="18" t="n">
        <v>358</v>
      </c>
      <c r="N1644" s="18" t="n">
        <v>136</v>
      </c>
      <c r="O1644" s="14" t="s">
        <v>10915</v>
      </c>
      <c r="P1644" s="14" t="s">
        <v>226</v>
      </c>
      <c r="Q1644" s="15" t="s">
        <v>1089</v>
      </c>
      <c r="R1644" s="16" t="s">
        <v>10916</v>
      </c>
      <c r="S1644" s="15" t="s">
        <v>10917</v>
      </c>
      <c r="T1644" s="15" t="s">
        <v>10918</v>
      </c>
      <c r="U1644" s="21" t="s">
        <v>72</v>
      </c>
    </row>
    <row r="1645" customFormat="false" ht="15" hidden="false" customHeight="false" outlineLevel="0" collapsed="false">
      <c r="A1645" s="15" t="s">
        <v>79</v>
      </c>
      <c r="B1645" s="15" t="s">
        <v>464</v>
      </c>
      <c r="C1645" s="14" t="s">
        <v>10919</v>
      </c>
      <c r="D1645" s="14" t="s">
        <v>10920</v>
      </c>
      <c r="E1645" s="16" t="s">
        <v>10921</v>
      </c>
      <c r="F1645" s="16" t="s">
        <v>10922</v>
      </c>
      <c r="G1645" s="23" t="s">
        <v>43</v>
      </c>
      <c r="H1645" s="18" t="n">
        <v>2</v>
      </c>
      <c r="I1645" s="20" t="n">
        <v>37.95</v>
      </c>
      <c r="J1645" s="20" t="n">
        <v>97.22</v>
      </c>
      <c r="K1645" s="18" t="n">
        <v>2</v>
      </c>
      <c r="L1645" s="18"/>
      <c r="M1645" s="18" t="n">
        <v>30</v>
      </c>
      <c r="N1645" s="18" t="n">
        <v>30</v>
      </c>
      <c r="O1645" s="14" t="s">
        <v>1126</v>
      </c>
      <c r="P1645" s="14" t="s">
        <v>84</v>
      </c>
      <c r="Q1645" s="15" t="s">
        <v>1089</v>
      </c>
      <c r="R1645" s="16" t="s">
        <v>10923</v>
      </c>
      <c r="S1645" s="15" t="s">
        <v>10924</v>
      </c>
      <c r="T1645" s="15" t="s">
        <v>10924</v>
      </c>
      <c r="U1645" s="21" t="s">
        <v>72</v>
      </c>
    </row>
    <row r="1646" customFormat="false" ht="15" hidden="false" customHeight="false" outlineLevel="0" collapsed="false">
      <c r="A1646" s="15" t="s">
        <v>79</v>
      </c>
      <c r="B1646" s="15" t="s">
        <v>464</v>
      </c>
      <c r="C1646" s="14" t="s">
        <v>10925</v>
      </c>
      <c r="D1646" s="14" t="s">
        <v>10926</v>
      </c>
      <c r="E1646" s="16" t="s">
        <v>10927</v>
      </c>
      <c r="F1646" s="16" t="s">
        <v>10928</v>
      </c>
      <c r="G1646" s="23" t="s">
        <v>43</v>
      </c>
      <c r="H1646" s="18" t="n">
        <v>1</v>
      </c>
      <c r="I1646" s="20" t="n">
        <v>43.31</v>
      </c>
      <c r="J1646" s="20" t="n">
        <v>91.18</v>
      </c>
      <c r="K1646" s="18" t="n">
        <v>9</v>
      </c>
      <c r="L1646" s="18" t="n">
        <v>1</v>
      </c>
      <c r="M1646" s="18" t="n">
        <v>324</v>
      </c>
      <c r="N1646" s="18" t="n">
        <v>108</v>
      </c>
      <c r="O1646" s="14" t="s">
        <v>3724</v>
      </c>
      <c r="P1646" s="14" t="s">
        <v>118</v>
      </c>
      <c r="Q1646" s="15" t="s">
        <v>1089</v>
      </c>
      <c r="R1646" s="16" t="s">
        <v>10929</v>
      </c>
      <c r="S1646" s="15" t="s">
        <v>10930</v>
      </c>
      <c r="T1646" s="15" t="s">
        <v>10930</v>
      </c>
      <c r="U1646" s="21" t="s">
        <v>72</v>
      </c>
    </row>
    <row r="1647" customFormat="false" ht="15" hidden="false" customHeight="false" outlineLevel="0" collapsed="false">
      <c r="A1647" s="15" t="s">
        <v>79</v>
      </c>
      <c r="B1647" s="15" t="s">
        <v>464</v>
      </c>
      <c r="C1647" s="14" t="s">
        <v>10931</v>
      </c>
      <c r="D1647" s="14" t="s">
        <v>10932</v>
      </c>
      <c r="E1647" s="16" t="s">
        <v>10933</v>
      </c>
      <c r="F1647" s="16" t="s">
        <v>662</v>
      </c>
      <c r="G1647" s="23" t="s">
        <v>43</v>
      </c>
      <c r="H1647" s="18" t="n">
        <v>2</v>
      </c>
      <c r="I1647" s="20" t="n">
        <v>35.51</v>
      </c>
      <c r="J1647" s="20" t="n">
        <v>144.44</v>
      </c>
      <c r="K1647" s="18" t="n">
        <v>7</v>
      </c>
      <c r="L1647" s="18" t="n">
        <v>4</v>
      </c>
      <c r="M1647" s="18" t="n">
        <v>116</v>
      </c>
      <c r="N1647" s="18" t="n">
        <v>48</v>
      </c>
      <c r="O1647" s="14" t="s">
        <v>1126</v>
      </c>
      <c r="P1647" s="14" t="s">
        <v>118</v>
      </c>
      <c r="Q1647" s="15" t="s">
        <v>1089</v>
      </c>
      <c r="R1647" s="16" t="s">
        <v>10934</v>
      </c>
      <c r="S1647" s="15" t="s">
        <v>664</v>
      </c>
      <c r="T1647" s="15" t="s">
        <v>10935</v>
      </c>
      <c r="U1647" s="21" t="s">
        <v>72</v>
      </c>
    </row>
    <row r="1648" customFormat="false" ht="15" hidden="false" customHeight="false" outlineLevel="0" collapsed="false">
      <c r="A1648" s="15" t="s">
        <v>79</v>
      </c>
      <c r="B1648" s="15" t="s">
        <v>464</v>
      </c>
      <c r="C1648" s="14" t="s">
        <v>660</v>
      </c>
      <c r="D1648" s="14" t="s">
        <v>10936</v>
      </c>
      <c r="E1648" s="16" t="s">
        <v>10937</v>
      </c>
      <c r="F1648" s="16" t="s">
        <v>662</v>
      </c>
      <c r="G1648" s="25" t="s">
        <v>39</v>
      </c>
      <c r="H1648" s="18" t="n">
        <v>4</v>
      </c>
      <c r="I1648" s="20" t="n">
        <v>281.81</v>
      </c>
      <c r="J1648" s="20" t="n">
        <v>409.84</v>
      </c>
      <c r="K1648" s="18" t="n">
        <v>4</v>
      </c>
      <c r="L1648" s="18" t="n">
        <v>2</v>
      </c>
      <c r="M1648" s="18" t="n">
        <v>200</v>
      </c>
      <c r="N1648" s="18" t="n">
        <v>108</v>
      </c>
      <c r="O1648" s="14" t="s">
        <v>1126</v>
      </c>
      <c r="P1648" s="14" t="s">
        <v>118</v>
      </c>
      <c r="Q1648" s="15" t="s">
        <v>1089</v>
      </c>
      <c r="R1648" s="16" t="s">
        <v>663</v>
      </c>
      <c r="S1648" s="15" t="s">
        <v>664</v>
      </c>
      <c r="T1648" s="15" t="s">
        <v>665</v>
      </c>
      <c r="U1648" s="21" t="s">
        <v>72</v>
      </c>
    </row>
    <row r="1649" customFormat="false" ht="15" hidden="false" customHeight="false" outlineLevel="0" collapsed="false">
      <c r="A1649" s="15" t="s">
        <v>79</v>
      </c>
      <c r="B1649" s="15" t="s">
        <v>464</v>
      </c>
      <c r="C1649" s="14" t="s">
        <v>10938</v>
      </c>
      <c r="D1649" s="14" t="s">
        <v>10939</v>
      </c>
      <c r="E1649" s="16" t="s">
        <v>10940</v>
      </c>
      <c r="F1649" s="16" t="s">
        <v>10941</v>
      </c>
      <c r="G1649" s="23" t="s">
        <v>43</v>
      </c>
      <c r="H1649" s="18" t="n">
        <v>1</v>
      </c>
      <c r="I1649" s="20" t="n">
        <v>45.25</v>
      </c>
      <c r="J1649" s="20" t="n">
        <v>116.56</v>
      </c>
      <c r="K1649" s="18" t="n">
        <v>2</v>
      </c>
      <c r="L1649" s="18" t="n">
        <v>2</v>
      </c>
      <c r="M1649" s="18" t="n">
        <v>60</v>
      </c>
      <c r="N1649" s="18" t="n">
        <v>60</v>
      </c>
      <c r="O1649" s="14" t="s">
        <v>1126</v>
      </c>
      <c r="P1649" s="14" t="s">
        <v>84</v>
      </c>
      <c r="Q1649" s="15" t="s">
        <v>1089</v>
      </c>
      <c r="R1649" s="16" t="s">
        <v>10942</v>
      </c>
      <c r="S1649" s="15" t="s">
        <v>643</v>
      </c>
      <c r="T1649" s="15" t="s">
        <v>10943</v>
      </c>
      <c r="U1649" s="21" t="s">
        <v>72</v>
      </c>
    </row>
    <row r="1650" customFormat="false" ht="15" hidden="false" customHeight="false" outlineLevel="0" collapsed="false">
      <c r="A1650" s="15" t="s">
        <v>79</v>
      </c>
      <c r="B1650" s="15" t="s">
        <v>464</v>
      </c>
      <c r="C1650" s="14" t="s">
        <v>10944</v>
      </c>
      <c r="D1650" s="14" t="s">
        <v>10945</v>
      </c>
      <c r="E1650" s="16" t="s">
        <v>10946</v>
      </c>
      <c r="F1650" s="16" t="s">
        <v>10947</v>
      </c>
      <c r="G1650" s="19" t="s">
        <v>41</v>
      </c>
      <c r="H1650" s="18" t="n">
        <v>2</v>
      </c>
      <c r="I1650" s="20" t="n">
        <v>67.08</v>
      </c>
      <c r="J1650" s="20" t="n">
        <v>211.03</v>
      </c>
      <c r="K1650" s="18" t="n">
        <v>4</v>
      </c>
      <c r="L1650" s="18"/>
      <c r="M1650" s="18" t="n">
        <v>108</v>
      </c>
      <c r="N1650" s="18" t="n">
        <v>108</v>
      </c>
      <c r="O1650" s="14" t="s">
        <v>10948</v>
      </c>
      <c r="P1650" s="14" t="s">
        <v>118</v>
      </c>
      <c r="Q1650" s="15" t="s">
        <v>1089</v>
      </c>
      <c r="R1650" s="16" t="s">
        <v>10949</v>
      </c>
      <c r="S1650" s="15" t="s">
        <v>643</v>
      </c>
      <c r="T1650" s="15" t="s">
        <v>10950</v>
      </c>
      <c r="U1650" s="21" t="s">
        <v>72</v>
      </c>
    </row>
    <row r="1651" customFormat="false" ht="15" hidden="false" customHeight="false" outlineLevel="0" collapsed="false">
      <c r="A1651" s="15" t="s">
        <v>79</v>
      </c>
      <c r="B1651" s="15" t="s">
        <v>464</v>
      </c>
      <c r="C1651" s="14" t="s">
        <v>638</v>
      </c>
      <c r="D1651" s="14" t="s">
        <v>10951</v>
      </c>
      <c r="E1651" s="16" t="s">
        <v>10952</v>
      </c>
      <c r="F1651" s="16" t="s">
        <v>641</v>
      </c>
      <c r="G1651" s="19" t="s">
        <v>41</v>
      </c>
      <c r="H1651" s="18" t="n">
        <v>5</v>
      </c>
      <c r="I1651" s="20" t="n">
        <v>116.28</v>
      </c>
      <c r="J1651" s="20" t="n">
        <v>256.94</v>
      </c>
      <c r="K1651" s="18" t="n">
        <v>5</v>
      </c>
      <c r="L1651" s="18" t="n">
        <v>5</v>
      </c>
      <c r="M1651" s="18" t="n">
        <v>93</v>
      </c>
      <c r="N1651" s="18" t="n">
        <v>93</v>
      </c>
      <c r="O1651" s="14" t="s">
        <v>10953</v>
      </c>
      <c r="P1651" s="14" t="s">
        <v>118</v>
      </c>
      <c r="Q1651" s="15" t="s">
        <v>1089</v>
      </c>
      <c r="R1651" s="16" t="s">
        <v>642</v>
      </c>
      <c r="S1651" s="15" t="s">
        <v>643</v>
      </c>
      <c r="T1651" s="15" t="s">
        <v>643</v>
      </c>
      <c r="U1651" s="21" t="s">
        <v>72</v>
      </c>
    </row>
    <row r="1652" customFormat="false" ht="15" hidden="false" customHeight="false" outlineLevel="0" collapsed="false">
      <c r="A1652" s="15" t="s">
        <v>79</v>
      </c>
      <c r="B1652" s="15" t="s">
        <v>464</v>
      </c>
      <c r="C1652" s="14" t="s">
        <v>10954</v>
      </c>
      <c r="D1652" s="14" t="s">
        <v>10955</v>
      </c>
      <c r="E1652" s="16" t="s">
        <v>10956</v>
      </c>
      <c r="F1652" s="16" t="s">
        <v>10957</v>
      </c>
      <c r="G1652" s="23" t="s">
        <v>43</v>
      </c>
      <c r="H1652" s="18" t="n">
        <v>2</v>
      </c>
      <c r="I1652" s="20" t="n">
        <v>66.87</v>
      </c>
      <c r="J1652" s="20" t="n">
        <v>165.37</v>
      </c>
      <c r="K1652" s="18" t="n">
        <v>2</v>
      </c>
      <c r="L1652" s="18" t="n">
        <v>2</v>
      </c>
      <c r="M1652" s="18" t="n">
        <v>53</v>
      </c>
      <c r="N1652" s="18" t="n">
        <v>18</v>
      </c>
      <c r="O1652" s="14" t="s">
        <v>1126</v>
      </c>
      <c r="P1652" s="14" t="s">
        <v>118</v>
      </c>
      <c r="Q1652" s="15" t="s">
        <v>1089</v>
      </c>
      <c r="R1652" s="16" t="s">
        <v>10958</v>
      </c>
      <c r="S1652" s="15" t="s">
        <v>10959</v>
      </c>
      <c r="T1652" s="15" t="s">
        <v>10960</v>
      </c>
      <c r="U1652" s="21" t="s">
        <v>72</v>
      </c>
    </row>
    <row r="1653" customFormat="false" ht="15" hidden="false" customHeight="false" outlineLevel="0" collapsed="false">
      <c r="A1653" s="15" t="s">
        <v>79</v>
      </c>
      <c r="B1653" s="15" t="s">
        <v>464</v>
      </c>
      <c r="C1653" s="14" t="s">
        <v>614</v>
      </c>
      <c r="D1653" s="14" t="s">
        <v>10961</v>
      </c>
      <c r="E1653" s="16" t="s">
        <v>10962</v>
      </c>
      <c r="F1653" s="16" t="s">
        <v>617</v>
      </c>
      <c r="G1653" s="23" t="s">
        <v>43</v>
      </c>
      <c r="H1653" s="18" t="n">
        <v>2</v>
      </c>
      <c r="I1653" s="20" t="n">
        <v>65.94</v>
      </c>
      <c r="J1653" s="20" t="n">
        <v>171.56</v>
      </c>
      <c r="K1653" s="18" t="n">
        <v>4</v>
      </c>
      <c r="L1653" s="18" t="n">
        <v>2</v>
      </c>
      <c r="M1653" s="18" t="n">
        <v>108</v>
      </c>
      <c r="N1653" s="18" t="n">
        <v>54</v>
      </c>
      <c r="O1653" s="14" t="s">
        <v>5962</v>
      </c>
      <c r="P1653" s="14" t="s">
        <v>118</v>
      </c>
      <c r="Q1653" s="15" t="s">
        <v>1089</v>
      </c>
      <c r="R1653" s="16" t="s">
        <v>618</v>
      </c>
      <c r="S1653" s="15" t="s">
        <v>619</v>
      </c>
      <c r="T1653" s="15" t="s">
        <v>619</v>
      </c>
      <c r="U1653" s="21" t="s">
        <v>72</v>
      </c>
    </row>
    <row r="1654" customFormat="false" ht="15" hidden="false" customHeight="false" outlineLevel="0" collapsed="false">
      <c r="A1654" s="15" t="s">
        <v>79</v>
      </c>
      <c r="B1654" s="15" t="s">
        <v>464</v>
      </c>
      <c r="C1654" s="14" t="s">
        <v>10963</v>
      </c>
      <c r="D1654" s="14" t="s">
        <v>10964</v>
      </c>
      <c r="E1654" s="16" t="s">
        <v>10965</v>
      </c>
      <c r="F1654" s="16" t="s">
        <v>10966</v>
      </c>
      <c r="G1654" s="23" t="s">
        <v>43</v>
      </c>
      <c r="H1654" s="18" t="n">
        <v>2</v>
      </c>
      <c r="I1654" s="20" t="n">
        <v>92.48</v>
      </c>
      <c r="J1654" s="20" t="n">
        <v>177.19</v>
      </c>
      <c r="K1654" s="18" t="n">
        <v>5</v>
      </c>
      <c r="L1654" s="18" t="n">
        <v>13</v>
      </c>
      <c r="M1654" s="18" t="n">
        <v>212</v>
      </c>
      <c r="N1654" s="18" t="n">
        <v>212</v>
      </c>
      <c r="O1654" s="14" t="s">
        <v>10967</v>
      </c>
      <c r="P1654" s="14" t="s">
        <v>118</v>
      </c>
      <c r="Q1654" s="15" t="s">
        <v>1089</v>
      </c>
      <c r="R1654" s="16" t="s">
        <v>10968</v>
      </c>
      <c r="S1654" s="15" t="s">
        <v>10969</v>
      </c>
      <c r="T1654" s="15" t="s">
        <v>10772</v>
      </c>
      <c r="U1654" s="21" t="s">
        <v>72</v>
      </c>
    </row>
    <row r="1655" customFormat="false" ht="15" hidden="false" customHeight="false" outlineLevel="0" collapsed="false">
      <c r="A1655" s="15" t="s">
        <v>79</v>
      </c>
      <c r="B1655" s="15" t="s">
        <v>464</v>
      </c>
      <c r="C1655" s="14" t="s">
        <v>10970</v>
      </c>
      <c r="D1655" s="14" t="s">
        <v>10971</v>
      </c>
      <c r="E1655" s="16" t="s">
        <v>10972</v>
      </c>
      <c r="F1655" s="16" t="s">
        <v>10973</v>
      </c>
      <c r="G1655" s="23" t="s">
        <v>43</v>
      </c>
      <c r="H1655" s="18" t="n">
        <v>3</v>
      </c>
      <c r="I1655" s="20" t="n">
        <v>53.94</v>
      </c>
      <c r="J1655" s="20" t="n">
        <v>130.69</v>
      </c>
      <c r="K1655" s="18" t="n">
        <v>4</v>
      </c>
      <c r="L1655" s="18" t="n">
        <v>2</v>
      </c>
      <c r="M1655" s="18" t="n">
        <v>59</v>
      </c>
      <c r="N1655" s="18"/>
      <c r="O1655" s="13"/>
      <c r="P1655" s="14" t="s">
        <v>118</v>
      </c>
      <c r="Q1655" s="15" t="s">
        <v>1089</v>
      </c>
      <c r="R1655" s="16" t="s">
        <v>10974</v>
      </c>
      <c r="S1655" s="15" t="s">
        <v>10975</v>
      </c>
      <c r="T1655" s="15" t="s">
        <v>10975</v>
      </c>
      <c r="U1655" s="21" t="s">
        <v>72</v>
      </c>
    </row>
    <row r="1656" customFormat="false" ht="15" hidden="false" customHeight="false" outlineLevel="0" collapsed="false">
      <c r="A1656" s="15" t="s">
        <v>79</v>
      </c>
      <c r="B1656" s="15" t="s">
        <v>464</v>
      </c>
      <c r="C1656" s="14" t="s">
        <v>624</v>
      </c>
      <c r="D1656" s="14" t="s">
        <v>10976</v>
      </c>
      <c r="E1656" s="16" t="s">
        <v>10977</v>
      </c>
      <c r="F1656" s="16" t="s">
        <v>627</v>
      </c>
      <c r="G1656" s="23" t="s">
        <v>43</v>
      </c>
      <c r="H1656" s="18" t="n">
        <v>3</v>
      </c>
      <c r="I1656" s="20" t="n">
        <v>37.18</v>
      </c>
      <c r="J1656" s="20" t="n">
        <v>87.69</v>
      </c>
      <c r="K1656" s="18" t="n">
        <v>3</v>
      </c>
      <c r="L1656" s="18" t="n">
        <v>1</v>
      </c>
      <c r="M1656" s="18" t="n">
        <v>30</v>
      </c>
      <c r="N1656" s="18" t="n">
        <v>30</v>
      </c>
      <c r="O1656" s="14" t="s">
        <v>1088</v>
      </c>
      <c r="P1656" s="14" t="s">
        <v>84</v>
      </c>
      <c r="Q1656" s="15" t="s">
        <v>1089</v>
      </c>
      <c r="R1656" s="16" t="s">
        <v>628</v>
      </c>
      <c r="S1656" s="15" t="s">
        <v>629</v>
      </c>
      <c r="T1656" s="15" t="s">
        <v>629</v>
      </c>
      <c r="U1656" s="21" t="s">
        <v>72</v>
      </c>
    </row>
    <row r="1657" customFormat="false" ht="15" hidden="false" customHeight="false" outlineLevel="0" collapsed="false">
      <c r="A1657" s="15" t="s">
        <v>79</v>
      </c>
      <c r="B1657" s="15" t="s">
        <v>464</v>
      </c>
      <c r="C1657" s="14" t="s">
        <v>670</v>
      </c>
      <c r="D1657" s="14" t="s">
        <v>10978</v>
      </c>
      <c r="E1657" s="16" t="s">
        <v>10979</v>
      </c>
      <c r="F1657" s="16" t="s">
        <v>673</v>
      </c>
      <c r="G1657" s="19" t="s">
        <v>41</v>
      </c>
      <c r="H1657" s="18" t="n">
        <v>5</v>
      </c>
      <c r="I1657" s="20" t="n">
        <v>142.28</v>
      </c>
      <c r="J1657" s="20" t="n">
        <v>285.11</v>
      </c>
      <c r="K1657" s="18" t="n">
        <v>10</v>
      </c>
      <c r="L1657" s="18" t="n">
        <v>3</v>
      </c>
      <c r="M1657" s="18" t="n">
        <v>255</v>
      </c>
      <c r="N1657" s="18" t="n">
        <v>186</v>
      </c>
      <c r="O1657" s="14" t="s">
        <v>10980</v>
      </c>
      <c r="P1657" s="14" t="s">
        <v>118</v>
      </c>
      <c r="Q1657" s="15" t="s">
        <v>1089</v>
      </c>
      <c r="R1657" s="16" t="s">
        <v>674</v>
      </c>
      <c r="S1657" s="15" t="s">
        <v>675</v>
      </c>
      <c r="T1657" s="15" t="s">
        <v>676</v>
      </c>
      <c r="U1657" s="21" t="s">
        <v>72</v>
      </c>
    </row>
    <row r="1658" customFormat="false" ht="39.55" hidden="false" customHeight="false" outlineLevel="0" collapsed="false">
      <c r="A1658" s="15" t="s">
        <v>79</v>
      </c>
      <c r="B1658" s="15" t="s">
        <v>464</v>
      </c>
      <c r="C1658" s="14" t="s">
        <v>10981</v>
      </c>
      <c r="D1658" s="14" t="s">
        <v>10982</v>
      </c>
      <c r="E1658" s="16" t="s">
        <v>10983</v>
      </c>
      <c r="F1658" s="16" t="s">
        <v>10984</v>
      </c>
      <c r="G1658" s="23" t="s">
        <v>43</v>
      </c>
      <c r="H1658" s="18" t="n">
        <v>2</v>
      </c>
      <c r="I1658" s="20" t="n">
        <v>38.44</v>
      </c>
      <c r="J1658" s="20" t="n">
        <v>90.12</v>
      </c>
      <c r="K1658" s="18" t="n">
        <v>7</v>
      </c>
      <c r="L1658" s="18" t="n">
        <v>1</v>
      </c>
      <c r="M1658" s="18" t="n">
        <v>109</v>
      </c>
      <c r="N1658" s="18" t="n">
        <v>109</v>
      </c>
      <c r="O1658" s="14" t="s">
        <v>10985</v>
      </c>
      <c r="P1658" s="14" t="s">
        <v>118</v>
      </c>
      <c r="Q1658" s="15" t="s">
        <v>1089</v>
      </c>
      <c r="R1658" s="16" t="s">
        <v>10986</v>
      </c>
      <c r="S1658" s="15" t="s">
        <v>675</v>
      </c>
      <c r="T1658" s="15" t="s">
        <v>675</v>
      </c>
      <c r="U1658" s="21" t="s">
        <v>72</v>
      </c>
    </row>
    <row r="1659" customFormat="false" ht="15" hidden="false" customHeight="false" outlineLevel="0" collapsed="false">
      <c r="A1659" s="15" t="s">
        <v>79</v>
      </c>
      <c r="B1659" s="15" t="s">
        <v>464</v>
      </c>
      <c r="C1659" s="14" t="s">
        <v>10987</v>
      </c>
      <c r="D1659" s="14" t="s">
        <v>10988</v>
      </c>
      <c r="E1659" s="16" t="s">
        <v>10989</v>
      </c>
      <c r="F1659" s="16" t="s">
        <v>10990</v>
      </c>
      <c r="G1659" s="19" t="s">
        <v>41</v>
      </c>
      <c r="H1659" s="18" t="n">
        <v>5</v>
      </c>
      <c r="I1659" s="20" t="n">
        <v>68.12</v>
      </c>
      <c r="J1659" s="20" t="n">
        <v>171.6</v>
      </c>
      <c r="K1659" s="18" t="n">
        <v>5</v>
      </c>
      <c r="L1659" s="18" t="n">
        <v>3</v>
      </c>
      <c r="M1659" s="18" t="n">
        <v>55</v>
      </c>
      <c r="N1659" s="18" t="n">
        <v>55</v>
      </c>
      <c r="O1659" s="14" t="s">
        <v>1126</v>
      </c>
      <c r="P1659" s="14" t="s">
        <v>84</v>
      </c>
      <c r="Q1659" s="15" t="s">
        <v>1089</v>
      </c>
      <c r="R1659" s="16" t="s">
        <v>10991</v>
      </c>
      <c r="S1659" s="15" t="s">
        <v>10992</v>
      </c>
      <c r="T1659" s="15" t="s">
        <v>10993</v>
      </c>
      <c r="U1659" s="21" t="s">
        <v>72</v>
      </c>
    </row>
    <row r="1660" customFormat="false" ht="15" hidden="false" customHeight="false" outlineLevel="0" collapsed="false">
      <c r="A1660" s="15" t="s">
        <v>79</v>
      </c>
      <c r="B1660" s="15" t="s">
        <v>464</v>
      </c>
      <c r="C1660" s="14" t="s">
        <v>10994</v>
      </c>
      <c r="D1660" s="14" t="s">
        <v>10995</v>
      </c>
      <c r="E1660" s="16" t="s">
        <v>10996</v>
      </c>
      <c r="F1660" s="16" t="s">
        <v>10997</v>
      </c>
      <c r="G1660" s="23" t="s">
        <v>43</v>
      </c>
      <c r="H1660" s="18" t="n">
        <v>2</v>
      </c>
      <c r="I1660" s="20" t="n">
        <v>32.9</v>
      </c>
      <c r="J1660" s="20" t="n">
        <v>118.4</v>
      </c>
      <c r="K1660" s="18" t="n">
        <v>2</v>
      </c>
      <c r="L1660" s="18" t="n">
        <v>4</v>
      </c>
      <c r="M1660" s="18" t="n">
        <v>26</v>
      </c>
      <c r="N1660" s="18" t="n">
        <v>26</v>
      </c>
      <c r="O1660" s="14" t="s">
        <v>1126</v>
      </c>
      <c r="P1660" s="14" t="s">
        <v>84</v>
      </c>
      <c r="Q1660" s="15" t="s">
        <v>1089</v>
      </c>
      <c r="R1660" s="16" t="s">
        <v>10998</v>
      </c>
      <c r="S1660" s="15" t="s">
        <v>10999</v>
      </c>
      <c r="T1660" s="15" t="s">
        <v>10999</v>
      </c>
      <c r="U1660" s="21" t="s">
        <v>72</v>
      </c>
    </row>
    <row r="1661" customFormat="false" ht="15" hidden="false" customHeight="false" outlineLevel="0" collapsed="false">
      <c r="A1661" s="15" t="s">
        <v>79</v>
      </c>
      <c r="B1661" s="15" t="s">
        <v>464</v>
      </c>
      <c r="C1661" s="14" t="s">
        <v>11000</v>
      </c>
      <c r="D1661" s="14" t="s">
        <v>11001</v>
      </c>
      <c r="E1661" s="16" t="s">
        <v>11002</v>
      </c>
      <c r="F1661" s="16" t="s">
        <v>11003</v>
      </c>
      <c r="G1661" s="23" t="s">
        <v>43</v>
      </c>
      <c r="H1661" s="18" t="n">
        <v>2</v>
      </c>
      <c r="I1661" s="20" t="n">
        <v>38.3</v>
      </c>
      <c r="J1661" s="20" t="n">
        <v>90.12</v>
      </c>
      <c r="K1661" s="18" t="n">
        <v>15</v>
      </c>
      <c r="L1661" s="18" t="n">
        <v>3</v>
      </c>
      <c r="M1661" s="18" t="n">
        <v>219</v>
      </c>
      <c r="N1661" s="18" t="n">
        <v>120</v>
      </c>
      <c r="O1661" s="14" t="s">
        <v>10227</v>
      </c>
      <c r="P1661" s="14" t="s">
        <v>118</v>
      </c>
      <c r="Q1661" s="15" t="s">
        <v>1089</v>
      </c>
      <c r="R1661" s="16" t="s">
        <v>11004</v>
      </c>
      <c r="S1661" s="15" t="s">
        <v>11005</v>
      </c>
      <c r="T1661" s="15" t="s">
        <v>11006</v>
      </c>
      <c r="U1661" s="21" t="s">
        <v>72</v>
      </c>
    </row>
    <row r="1662" customFormat="false" ht="39.55" hidden="false" customHeight="false" outlineLevel="0" collapsed="false">
      <c r="A1662" s="15" t="s">
        <v>79</v>
      </c>
      <c r="B1662" s="15" t="s">
        <v>464</v>
      </c>
      <c r="C1662" s="14" t="s">
        <v>11007</v>
      </c>
      <c r="D1662" s="14" t="s">
        <v>11008</v>
      </c>
      <c r="E1662" s="16" t="s">
        <v>11009</v>
      </c>
      <c r="F1662" s="16" t="s">
        <v>11003</v>
      </c>
      <c r="G1662" s="23" t="s">
        <v>43</v>
      </c>
      <c r="H1662" s="18" t="n">
        <v>3</v>
      </c>
      <c r="I1662" s="20" t="n">
        <v>71.99</v>
      </c>
      <c r="J1662" s="20" t="n">
        <v>136.32</v>
      </c>
      <c r="K1662" s="18" t="n">
        <v>10</v>
      </c>
      <c r="L1662" s="18" t="n">
        <v>4</v>
      </c>
      <c r="M1662" s="18" t="n">
        <v>190</v>
      </c>
      <c r="N1662" s="18" t="n">
        <v>124</v>
      </c>
      <c r="O1662" s="14" t="s">
        <v>11010</v>
      </c>
      <c r="P1662" s="14" t="s">
        <v>118</v>
      </c>
      <c r="Q1662" s="15" t="s">
        <v>1089</v>
      </c>
      <c r="R1662" s="16" t="s">
        <v>5054</v>
      </c>
      <c r="S1662" s="15" t="s">
        <v>11005</v>
      </c>
      <c r="T1662" s="15" t="s">
        <v>11011</v>
      </c>
      <c r="U1662" s="21" t="s">
        <v>72</v>
      </c>
    </row>
    <row r="1663" customFormat="false" ht="15" hidden="false" customHeight="false" outlineLevel="0" collapsed="false">
      <c r="A1663" s="15" t="s">
        <v>79</v>
      </c>
      <c r="B1663" s="15" t="s">
        <v>464</v>
      </c>
      <c r="C1663" s="14" t="s">
        <v>11012</v>
      </c>
      <c r="D1663" s="14" t="s">
        <v>11013</v>
      </c>
      <c r="E1663" s="16" t="s">
        <v>11014</v>
      </c>
      <c r="F1663" s="16" t="s">
        <v>11015</v>
      </c>
      <c r="G1663" s="23" t="s">
        <v>43</v>
      </c>
      <c r="H1663" s="18" t="n">
        <v>2</v>
      </c>
      <c r="I1663" s="20" t="n">
        <v>31.77</v>
      </c>
      <c r="J1663" s="20" t="n">
        <v>106.68</v>
      </c>
      <c r="K1663" s="18" t="n">
        <v>10</v>
      </c>
      <c r="L1663" s="18" t="n">
        <v>2</v>
      </c>
      <c r="M1663" s="18" t="n">
        <v>130</v>
      </c>
      <c r="N1663" s="18" t="n">
        <v>42</v>
      </c>
      <c r="O1663" s="14" t="s">
        <v>9118</v>
      </c>
      <c r="P1663" s="14" t="s">
        <v>118</v>
      </c>
      <c r="Q1663" s="15" t="s">
        <v>1089</v>
      </c>
      <c r="R1663" s="16" t="s">
        <v>11016</v>
      </c>
      <c r="S1663" s="15" t="s">
        <v>11017</v>
      </c>
      <c r="T1663" s="15" t="s">
        <v>11018</v>
      </c>
      <c r="U1663" s="21" t="s">
        <v>72</v>
      </c>
    </row>
    <row r="1664" customFormat="false" ht="15" hidden="false" customHeight="false" outlineLevel="0" collapsed="false">
      <c r="A1664" s="15" t="s">
        <v>79</v>
      </c>
      <c r="B1664" s="15" t="s">
        <v>464</v>
      </c>
      <c r="C1664" s="14" t="s">
        <v>11019</v>
      </c>
      <c r="D1664" s="14" t="s">
        <v>11020</v>
      </c>
      <c r="E1664" s="16" t="s">
        <v>11021</v>
      </c>
      <c r="F1664" s="16" t="s">
        <v>11022</v>
      </c>
      <c r="G1664" s="23" t="s">
        <v>43</v>
      </c>
      <c r="H1664" s="18" t="n">
        <v>3</v>
      </c>
      <c r="I1664" s="20" t="n">
        <v>41.34</v>
      </c>
      <c r="J1664" s="20" t="n">
        <v>121.83</v>
      </c>
      <c r="K1664" s="18" t="n">
        <v>4</v>
      </c>
      <c r="L1664" s="18" t="n">
        <v>4</v>
      </c>
      <c r="M1664" s="18" t="n">
        <v>45</v>
      </c>
      <c r="N1664" s="18" t="n">
        <v>33</v>
      </c>
      <c r="O1664" s="14" t="s">
        <v>1097</v>
      </c>
      <c r="P1664" s="14" t="s">
        <v>84</v>
      </c>
      <c r="Q1664" s="15" t="s">
        <v>1089</v>
      </c>
      <c r="R1664" s="16" t="s">
        <v>11023</v>
      </c>
      <c r="S1664" s="15" t="s">
        <v>11024</v>
      </c>
      <c r="T1664" s="15" t="s">
        <v>11024</v>
      </c>
      <c r="U1664" s="21" t="s">
        <v>72</v>
      </c>
    </row>
    <row r="1665" customFormat="false" ht="15" hidden="false" customHeight="false" outlineLevel="0" collapsed="false">
      <c r="A1665" s="15" t="s">
        <v>79</v>
      </c>
      <c r="B1665" s="15" t="s">
        <v>464</v>
      </c>
      <c r="C1665" s="14" t="s">
        <v>11025</v>
      </c>
      <c r="D1665" s="14" t="s">
        <v>11026</v>
      </c>
      <c r="E1665" s="16" t="s">
        <v>11027</v>
      </c>
      <c r="F1665" s="16"/>
      <c r="G1665" s="19" t="s">
        <v>41</v>
      </c>
      <c r="H1665" s="18" t="n">
        <v>2</v>
      </c>
      <c r="I1665" s="20" t="n">
        <v>113.09</v>
      </c>
      <c r="J1665" s="20" t="n">
        <v>223.55</v>
      </c>
      <c r="K1665" s="18" t="n">
        <v>4</v>
      </c>
      <c r="L1665" s="18" t="n">
        <v>3</v>
      </c>
      <c r="M1665" s="18" t="n">
        <v>60</v>
      </c>
      <c r="N1665" s="18" t="n">
        <v>45</v>
      </c>
      <c r="O1665" s="14" t="s">
        <v>1126</v>
      </c>
      <c r="P1665" s="14" t="s">
        <v>84</v>
      </c>
      <c r="Q1665" s="15" t="s">
        <v>1089</v>
      </c>
      <c r="R1665" s="16" t="s">
        <v>11028</v>
      </c>
      <c r="S1665" s="15" t="s">
        <v>11029</v>
      </c>
      <c r="T1665" s="15" t="s">
        <v>11029</v>
      </c>
      <c r="U1665" s="21" t="s">
        <v>72</v>
      </c>
    </row>
    <row r="1666" customFormat="false" ht="15" hidden="false" customHeight="false" outlineLevel="0" collapsed="false">
      <c r="A1666" s="15" t="s">
        <v>79</v>
      </c>
      <c r="B1666" s="15" t="s">
        <v>464</v>
      </c>
      <c r="C1666" s="14" t="s">
        <v>11030</v>
      </c>
      <c r="D1666" s="14" t="s">
        <v>11031</v>
      </c>
      <c r="E1666" s="16" t="s">
        <v>11032</v>
      </c>
      <c r="F1666" s="16" t="s">
        <v>11033</v>
      </c>
      <c r="G1666" s="23" t="s">
        <v>43</v>
      </c>
      <c r="H1666" s="18" t="n">
        <v>2</v>
      </c>
      <c r="I1666" s="20" t="n">
        <v>60.23</v>
      </c>
      <c r="J1666" s="20" t="n">
        <v>85.6</v>
      </c>
      <c r="K1666" s="18" t="n">
        <v>2</v>
      </c>
      <c r="L1666" s="18" t="n">
        <v>1</v>
      </c>
      <c r="M1666" s="18" t="n">
        <v>20</v>
      </c>
      <c r="N1666" s="18" t="n">
        <v>10</v>
      </c>
      <c r="O1666" s="14" t="s">
        <v>1126</v>
      </c>
      <c r="P1666" s="14" t="s">
        <v>84</v>
      </c>
      <c r="Q1666" s="15" t="s">
        <v>1089</v>
      </c>
      <c r="R1666" s="16" t="s">
        <v>11034</v>
      </c>
      <c r="S1666" s="15" t="s">
        <v>11035</v>
      </c>
      <c r="T1666" s="15" t="s">
        <v>11035</v>
      </c>
      <c r="U1666" s="21" t="s">
        <v>72</v>
      </c>
    </row>
    <row r="1667" customFormat="false" ht="15" hidden="false" customHeight="false" outlineLevel="0" collapsed="false">
      <c r="A1667" s="15" t="s">
        <v>79</v>
      </c>
      <c r="B1667" s="15" t="s">
        <v>464</v>
      </c>
      <c r="C1667" s="14" t="s">
        <v>11036</v>
      </c>
      <c r="D1667" s="14" t="s">
        <v>11037</v>
      </c>
      <c r="E1667" s="16" t="s">
        <v>11038</v>
      </c>
      <c r="F1667" s="16" t="s">
        <v>11039</v>
      </c>
      <c r="G1667" s="23" t="s">
        <v>43</v>
      </c>
      <c r="H1667" s="18" t="n">
        <v>3</v>
      </c>
      <c r="I1667" s="20" t="n">
        <v>41.61</v>
      </c>
      <c r="J1667" s="20" t="n">
        <v>116.16</v>
      </c>
      <c r="K1667" s="18" t="n">
        <v>5</v>
      </c>
      <c r="L1667" s="18" t="n">
        <v>3</v>
      </c>
      <c r="M1667" s="18" t="n">
        <v>58</v>
      </c>
      <c r="N1667" s="18" t="n">
        <v>20</v>
      </c>
      <c r="O1667" s="14" t="s">
        <v>1126</v>
      </c>
      <c r="P1667" s="14" t="s">
        <v>334</v>
      </c>
      <c r="Q1667" s="15" t="s">
        <v>1089</v>
      </c>
      <c r="R1667" s="16" t="s">
        <v>11040</v>
      </c>
      <c r="S1667" s="15" t="s">
        <v>11041</v>
      </c>
      <c r="T1667" s="15" t="s">
        <v>11041</v>
      </c>
      <c r="U1667" s="21" t="s">
        <v>72</v>
      </c>
    </row>
    <row r="1668" customFormat="false" ht="15" hidden="false" customHeight="false" outlineLevel="0" collapsed="false">
      <c r="A1668" s="15" t="s">
        <v>79</v>
      </c>
      <c r="B1668" s="15" t="s">
        <v>464</v>
      </c>
      <c r="C1668" s="14" t="s">
        <v>11042</v>
      </c>
      <c r="D1668" s="14" t="s">
        <v>11043</v>
      </c>
      <c r="E1668" s="16" t="s">
        <v>11044</v>
      </c>
      <c r="F1668" s="16" t="s">
        <v>11045</v>
      </c>
      <c r="G1668" s="23" t="s">
        <v>43</v>
      </c>
      <c r="H1668" s="18" t="n">
        <v>2</v>
      </c>
      <c r="I1668" s="20" t="n">
        <v>30.25</v>
      </c>
      <c r="J1668" s="20" t="n">
        <v>79.49</v>
      </c>
      <c r="K1668" s="18" t="n">
        <v>10</v>
      </c>
      <c r="L1668" s="18" t="n">
        <v>6</v>
      </c>
      <c r="M1668" s="18" t="n">
        <v>116</v>
      </c>
      <c r="N1668" s="18" t="n">
        <v>56</v>
      </c>
      <c r="O1668" s="14" t="s">
        <v>10227</v>
      </c>
      <c r="P1668" s="14" t="s">
        <v>118</v>
      </c>
      <c r="Q1668" s="15" t="s">
        <v>1089</v>
      </c>
      <c r="R1668" s="16" t="s">
        <v>11046</v>
      </c>
      <c r="S1668" s="15" t="s">
        <v>11047</v>
      </c>
      <c r="T1668" s="15" t="s">
        <v>11047</v>
      </c>
      <c r="U1668" s="21" t="s">
        <v>72</v>
      </c>
    </row>
    <row r="1669" customFormat="false" ht="15" hidden="false" customHeight="false" outlineLevel="0" collapsed="false">
      <c r="A1669" s="15" t="s">
        <v>79</v>
      </c>
      <c r="B1669" s="15" t="s">
        <v>464</v>
      </c>
      <c r="C1669" s="14" t="s">
        <v>11048</v>
      </c>
      <c r="D1669" s="14" t="s">
        <v>11049</v>
      </c>
      <c r="E1669" s="16" t="s">
        <v>11050</v>
      </c>
      <c r="F1669" s="16"/>
      <c r="G1669" s="23" t="s">
        <v>43</v>
      </c>
      <c r="H1669" s="18" t="n">
        <v>1</v>
      </c>
      <c r="I1669" s="20" t="n">
        <v>57.37</v>
      </c>
      <c r="J1669" s="20" t="n">
        <v>92.07</v>
      </c>
      <c r="K1669" s="18" t="n">
        <v>2</v>
      </c>
      <c r="L1669" s="18" t="n">
        <v>2</v>
      </c>
      <c r="M1669" s="18" t="n">
        <v>94</v>
      </c>
      <c r="N1669" s="18" t="n">
        <v>94</v>
      </c>
      <c r="O1669" s="14" t="s">
        <v>1126</v>
      </c>
      <c r="P1669" s="14" t="s">
        <v>84</v>
      </c>
      <c r="Q1669" s="15" t="s">
        <v>1089</v>
      </c>
      <c r="R1669" s="16" t="s">
        <v>11051</v>
      </c>
      <c r="S1669" s="15" t="s">
        <v>11052</v>
      </c>
      <c r="T1669" s="15" t="s">
        <v>11053</v>
      </c>
      <c r="U1669" s="21" t="s">
        <v>72</v>
      </c>
    </row>
    <row r="1670" customFormat="false" ht="15" hidden="false" customHeight="false" outlineLevel="0" collapsed="false">
      <c r="A1670" s="15" t="s">
        <v>79</v>
      </c>
      <c r="B1670" s="15" t="s">
        <v>529</v>
      </c>
      <c r="C1670" s="14" t="s">
        <v>11054</v>
      </c>
      <c r="D1670" s="14" t="s">
        <v>11055</v>
      </c>
      <c r="E1670" s="16" t="s">
        <v>11056</v>
      </c>
      <c r="F1670" s="16" t="s">
        <v>11057</v>
      </c>
      <c r="G1670" s="23" t="s">
        <v>43</v>
      </c>
      <c r="H1670" s="18" t="n">
        <v>2</v>
      </c>
      <c r="I1670" s="20" t="n">
        <v>30</v>
      </c>
      <c r="J1670" s="20" t="n">
        <v>128.28</v>
      </c>
      <c r="K1670" s="18" t="n">
        <v>5</v>
      </c>
      <c r="L1670" s="18" t="n">
        <v>2</v>
      </c>
      <c r="M1670" s="18" t="n">
        <v>61</v>
      </c>
      <c r="N1670" s="18" t="n">
        <v>22</v>
      </c>
      <c r="O1670" s="14" t="s">
        <v>1126</v>
      </c>
      <c r="P1670" s="14" t="s">
        <v>118</v>
      </c>
      <c r="Q1670" s="15" t="s">
        <v>1089</v>
      </c>
      <c r="R1670" s="16" t="s">
        <v>10487</v>
      </c>
      <c r="S1670" s="15" t="s">
        <v>11058</v>
      </c>
      <c r="T1670" s="15" t="s">
        <v>11058</v>
      </c>
      <c r="U1670" s="21" t="s">
        <v>72</v>
      </c>
    </row>
    <row r="1671" customFormat="false" ht="15" hidden="false" customHeight="false" outlineLevel="0" collapsed="false">
      <c r="A1671" s="15" t="s">
        <v>79</v>
      </c>
      <c r="B1671" s="15" t="s">
        <v>529</v>
      </c>
      <c r="C1671" s="14" t="s">
        <v>816</v>
      </c>
      <c r="D1671" s="14" t="s">
        <v>11059</v>
      </c>
      <c r="E1671" s="16" t="s">
        <v>11060</v>
      </c>
      <c r="F1671" s="16" t="s">
        <v>819</v>
      </c>
      <c r="G1671" s="25" t="s">
        <v>39</v>
      </c>
      <c r="H1671" s="18" t="n">
        <v>4</v>
      </c>
      <c r="I1671" s="20" t="n">
        <v>146.62</v>
      </c>
      <c r="J1671" s="20" t="n">
        <v>492.32</v>
      </c>
      <c r="K1671" s="18" t="n">
        <v>4</v>
      </c>
      <c r="L1671" s="18" t="n">
        <v>3</v>
      </c>
      <c r="M1671" s="18" t="n">
        <v>80</v>
      </c>
      <c r="N1671" s="18" t="n">
        <v>60</v>
      </c>
      <c r="O1671" s="14" t="s">
        <v>11061</v>
      </c>
      <c r="P1671" s="14" t="s">
        <v>118</v>
      </c>
      <c r="Q1671" s="15" t="s">
        <v>1089</v>
      </c>
      <c r="R1671" s="16" t="s">
        <v>820</v>
      </c>
      <c r="S1671" s="15" t="s">
        <v>821</v>
      </c>
      <c r="T1671" s="15" t="s">
        <v>821</v>
      </c>
      <c r="U1671" s="21" t="s">
        <v>72</v>
      </c>
    </row>
    <row r="1672" customFormat="false" ht="15" hidden="false" customHeight="false" outlineLevel="0" collapsed="false">
      <c r="A1672" s="15" t="s">
        <v>79</v>
      </c>
      <c r="B1672" s="15" t="s">
        <v>529</v>
      </c>
      <c r="C1672" s="14" t="s">
        <v>11062</v>
      </c>
      <c r="D1672" s="14" t="s">
        <v>11063</v>
      </c>
      <c r="E1672" s="16" t="s">
        <v>11064</v>
      </c>
      <c r="F1672" s="16" t="s">
        <v>11065</v>
      </c>
      <c r="G1672" s="19" t="s">
        <v>41</v>
      </c>
      <c r="H1672" s="18" t="n">
        <v>2</v>
      </c>
      <c r="I1672" s="20" t="n">
        <v>169.2</v>
      </c>
      <c r="J1672" s="20" t="n">
        <v>325.86</v>
      </c>
      <c r="K1672" s="18" t="n">
        <v>2</v>
      </c>
      <c r="L1672" s="18" t="n">
        <v>3</v>
      </c>
      <c r="M1672" s="18" t="n">
        <v>120</v>
      </c>
      <c r="N1672" s="18" t="n">
        <v>60</v>
      </c>
      <c r="O1672" s="14" t="s">
        <v>1126</v>
      </c>
      <c r="P1672" s="14" t="s">
        <v>118</v>
      </c>
      <c r="Q1672" s="15" t="s">
        <v>1089</v>
      </c>
      <c r="R1672" s="16" t="s">
        <v>11066</v>
      </c>
      <c r="S1672" s="15" t="s">
        <v>11067</v>
      </c>
      <c r="T1672" s="15" t="s">
        <v>11067</v>
      </c>
      <c r="U1672" s="21" t="s">
        <v>72</v>
      </c>
    </row>
    <row r="1673" customFormat="false" ht="15" hidden="false" customHeight="false" outlineLevel="0" collapsed="false">
      <c r="A1673" s="15" t="s">
        <v>79</v>
      </c>
      <c r="B1673" s="15" t="s">
        <v>529</v>
      </c>
      <c r="C1673" s="14" t="s">
        <v>11068</v>
      </c>
      <c r="D1673" s="14" t="s">
        <v>11069</v>
      </c>
      <c r="E1673" s="16" t="s">
        <v>9766</v>
      </c>
      <c r="F1673" s="16" t="s">
        <v>9767</v>
      </c>
      <c r="G1673" s="19" t="s">
        <v>41</v>
      </c>
      <c r="H1673" s="18" t="n">
        <v>7</v>
      </c>
      <c r="I1673" s="20" t="n">
        <v>144.95</v>
      </c>
      <c r="J1673" s="20" t="n">
        <v>244.02</v>
      </c>
      <c r="K1673" s="18" t="n">
        <v>7</v>
      </c>
      <c r="L1673" s="18" t="n">
        <v>7</v>
      </c>
      <c r="M1673" s="18" t="n">
        <v>118</v>
      </c>
      <c r="N1673" s="18" t="n">
        <v>27</v>
      </c>
      <c r="O1673" s="14" t="s">
        <v>11070</v>
      </c>
      <c r="P1673" s="14" t="s">
        <v>118</v>
      </c>
      <c r="Q1673" s="15" t="s">
        <v>1089</v>
      </c>
      <c r="R1673" s="16" t="s">
        <v>11071</v>
      </c>
      <c r="S1673" s="15" t="s">
        <v>9769</v>
      </c>
      <c r="T1673" s="15" t="s">
        <v>11072</v>
      </c>
      <c r="U1673" s="21" t="s">
        <v>72</v>
      </c>
    </row>
    <row r="1674" customFormat="false" ht="15" hidden="false" customHeight="false" outlineLevel="0" collapsed="false">
      <c r="A1674" s="15" t="s">
        <v>79</v>
      </c>
      <c r="B1674" s="15" t="s">
        <v>529</v>
      </c>
      <c r="C1674" s="14" t="s">
        <v>11073</v>
      </c>
      <c r="D1674" s="14" t="s">
        <v>11074</v>
      </c>
      <c r="E1674" s="16" t="s">
        <v>9766</v>
      </c>
      <c r="F1674" s="16" t="s">
        <v>9767</v>
      </c>
      <c r="G1674" s="19" t="s">
        <v>41</v>
      </c>
      <c r="H1674" s="18" t="n">
        <v>3</v>
      </c>
      <c r="I1674" s="20" t="n">
        <v>80.97</v>
      </c>
      <c r="J1674" s="20" t="n">
        <v>204.8</v>
      </c>
      <c r="K1674" s="18" t="n">
        <v>5</v>
      </c>
      <c r="L1674" s="18" t="n">
        <v>4</v>
      </c>
      <c r="M1674" s="18" t="n">
        <v>112</v>
      </c>
      <c r="N1674" s="18" t="n">
        <v>112</v>
      </c>
      <c r="O1674" s="14" t="s">
        <v>1126</v>
      </c>
      <c r="P1674" s="14" t="s">
        <v>118</v>
      </c>
      <c r="Q1674" s="15" t="s">
        <v>1089</v>
      </c>
      <c r="R1674" s="16" t="s">
        <v>11075</v>
      </c>
      <c r="S1674" s="15" t="s">
        <v>9769</v>
      </c>
      <c r="T1674" s="15" t="s">
        <v>11076</v>
      </c>
      <c r="U1674" s="21" t="s">
        <v>72</v>
      </c>
    </row>
    <row r="1675" customFormat="false" ht="15" hidden="false" customHeight="false" outlineLevel="0" collapsed="false">
      <c r="A1675" s="15" t="s">
        <v>79</v>
      </c>
      <c r="B1675" s="15" t="s">
        <v>529</v>
      </c>
      <c r="C1675" s="14" t="s">
        <v>11077</v>
      </c>
      <c r="D1675" s="14" t="s">
        <v>11078</v>
      </c>
      <c r="E1675" s="16" t="s">
        <v>11079</v>
      </c>
      <c r="F1675" s="16" t="s">
        <v>11080</v>
      </c>
      <c r="G1675" s="23" t="s">
        <v>43</v>
      </c>
      <c r="H1675" s="18" t="n">
        <v>4</v>
      </c>
      <c r="I1675" s="20" t="n">
        <v>67.57</v>
      </c>
      <c r="J1675" s="20" t="n">
        <v>188.12</v>
      </c>
      <c r="K1675" s="18" t="n">
        <v>19</v>
      </c>
      <c r="L1675" s="18" t="n">
        <v>3</v>
      </c>
      <c r="M1675" s="18" t="n">
        <v>259</v>
      </c>
      <c r="N1675" s="18" t="n">
        <v>105</v>
      </c>
      <c r="O1675" s="14" t="s">
        <v>11081</v>
      </c>
      <c r="P1675" s="14" t="s">
        <v>118</v>
      </c>
      <c r="Q1675" s="15" t="s">
        <v>1089</v>
      </c>
      <c r="R1675" s="16" t="s">
        <v>11082</v>
      </c>
      <c r="S1675" s="15" t="s">
        <v>9701</v>
      </c>
      <c r="T1675" s="15" t="s">
        <v>11083</v>
      </c>
      <c r="U1675" s="21" t="s">
        <v>72</v>
      </c>
    </row>
    <row r="1676" customFormat="false" ht="26.85" hidden="false" customHeight="false" outlineLevel="0" collapsed="false">
      <c r="A1676" s="15" t="s">
        <v>79</v>
      </c>
      <c r="B1676" s="15" t="s">
        <v>529</v>
      </c>
      <c r="C1676" s="14" t="s">
        <v>11084</v>
      </c>
      <c r="D1676" s="14" t="s">
        <v>11085</v>
      </c>
      <c r="E1676" s="16" t="s">
        <v>11086</v>
      </c>
      <c r="F1676" s="16" t="s">
        <v>11087</v>
      </c>
      <c r="G1676" s="23" t="s">
        <v>43</v>
      </c>
      <c r="H1676" s="18" t="n">
        <v>4</v>
      </c>
      <c r="I1676" s="20" t="n">
        <v>80.55</v>
      </c>
      <c r="J1676" s="20" t="n">
        <v>128.26</v>
      </c>
      <c r="K1676" s="18" t="n">
        <v>8</v>
      </c>
      <c r="L1676" s="18" t="n">
        <v>3</v>
      </c>
      <c r="M1676" s="18" t="n">
        <v>127</v>
      </c>
      <c r="N1676" s="18" t="n">
        <v>56</v>
      </c>
      <c r="O1676" s="14" t="s">
        <v>11088</v>
      </c>
      <c r="P1676" s="14" t="s">
        <v>118</v>
      </c>
      <c r="Q1676" s="15" t="s">
        <v>1089</v>
      </c>
      <c r="R1676" s="16" t="s">
        <v>11089</v>
      </c>
      <c r="S1676" s="15" t="s">
        <v>11090</v>
      </c>
      <c r="T1676" s="15" t="s">
        <v>11090</v>
      </c>
      <c r="U1676" s="21" t="s">
        <v>72</v>
      </c>
    </row>
    <row r="1677" customFormat="false" ht="52.2" hidden="false" customHeight="false" outlineLevel="0" collapsed="false">
      <c r="A1677" s="15" t="s">
        <v>79</v>
      </c>
      <c r="B1677" s="15" t="s">
        <v>529</v>
      </c>
      <c r="C1677" s="14" t="s">
        <v>11091</v>
      </c>
      <c r="D1677" s="14" t="s">
        <v>11092</v>
      </c>
      <c r="E1677" s="16" t="s">
        <v>11093</v>
      </c>
      <c r="F1677" s="16" t="s">
        <v>11094</v>
      </c>
      <c r="G1677" s="23" t="s">
        <v>43</v>
      </c>
      <c r="H1677" s="18" t="n">
        <v>3</v>
      </c>
      <c r="I1677" s="20" t="n">
        <v>55.52</v>
      </c>
      <c r="J1677" s="20" t="n">
        <v>161.74</v>
      </c>
      <c r="K1677" s="18" t="n">
        <v>20</v>
      </c>
      <c r="L1677" s="18" t="n">
        <v>3</v>
      </c>
      <c r="M1677" s="18" t="n">
        <v>280</v>
      </c>
      <c r="N1677" s="18" t="n">
        <v>280</v>
      </c>
      <c r="O1677" s="14" t="s">
        <v>11095</v>
      </c>
      <c r="P1677" s="14" t="s">
        <v>118</v>
      </c>
      <c r="Q1677" s="15" t="s">
        <v>1089</v>
      </c>
      <c r="R1677" s="16" t="s">
        <v>11096</v>
      </c>
      <c r="S1677" s="15" t="s">
        <v>11097</v>
      </c>
      <c r="T1677" s="15" t="s">
        <v>11098</v>
      </c>
      <c r="U1677" s="21" t="s">
        <v>72</v>
      </c>
    </row>
    <row r="1678" customFormat="false" ht="15" hidden="false" customHeight="false" outlineLevel="0" collapsed="false">
      <c r="A1678" s="15" t="s">
        <v>79</v>
      </c>
      <c r="B1678" s="15" t="s">
        <v>529</v>
      </c>
      <c r="C1678" s="14" t="s">
        <v>11099</v>
      </c>
      <c r="D1678" s="14" t="s">
        <v>11100</v>
      </c>
      <c r="E1678" s="16" t="s">
        <v>11101</v>
      </c>
      <c r="F1678" s="16" t="s">
        <v>11102</v>
      </c>
      <c r="G1678" s="23" t="s">
        <v>43</v>
      </c>
      <c r="H1678" s="18" t="n">
        <v>3</v>
      </c>
      <c r="I1678" s="20" t="n">
        <v>43.36</v>
      </c>
      <c r="J1678" s="20" t="n">
        <v>118.68</v>
      </c>
      <c r="K1678" s="18" t="n">
        <v>3</v>
      </c>
      <c r="L1678" s="18" t="n">
        <v>2</v>
      </c>
      <c r="M1678" s="18" t="n">
        <v>54</v>
      </c>
      <c r="N1678" s="18" t="n">
        <v>18</v>
      </c>
      <c r="O1678" s="14" t="s">
        <v>1126</v>
      </c>
      <c r="P1678" s="14" t="s">
        <v>94</v>
      </c>
      <c r="Q1678" s="15" t="s">
        <v>1089</v>
      </c>
      <c r="R1678" s="16" t="s">
        <v>11103</v>
      </c>
      <c r="S1678" s="15" t="s">
        <v>11104</v>
      </c>
      <c r="T1678" s="15" t="s">
        <v>11105</v>
      </c>
      <c r="U1678" s="21" t="s">
        <v>72</v>
      </c>
    </row>
    <row r="1679" customFormat="false" ht="15" hidden="false" customHeight="false" outlineLevel="0" collapsed="false">
      <c r="A1679" s="15" t="s">
        <v>79</v>
      </c>
      <c r="B1679" s="15" t="s">
        <v>529</v>
      </c>
      <c r="C1679" s="14" t="s">
        <v>11106</v>
      </c>
      <c r="D1679" s="14" t="s">
        <v>11107</v>
      </c>
      <c r="E1679" s="16" t="s">
        <v>11108</v>
      </c>
      <c r="F1679" s="16" t="s">
        <v>11109</v>
      </c>
      <c r="G1679" s="19" t="s">
        <v>41</v>
      </c>
      <c r="H1679" s="18" t="n">
        <v>4</v>
      </c>
      <c r="I1679" s="20" t="n">
        <v>90.95</v>
      </c>
      <c r="J1679" s="20" t="n">
        <v>264.46</v>
      </c>
      <c r="K1679" s="18" t="n">
        <v>4</v>
      </c>
      <c r="L1679" s="18" t="n">
        <v>3</v>
      </c>
      <c r="M1679" s="18" t="n">
        <v>80</v>
      </c>
      <c r="N1679" s="18" t="n">
        <v>80</v>
      </c>
      <c r="O1679" s="14" t="s">
        <v>10953</v>
      </c>
      <c r="P1679" s="14" t="s">
        <v>118</v>
      </c>
      <c r="Q1679" s="15" t="s">
        <v>1089</v>
      </c>
      <c r="R1679" s="16" t="s">
        <v>11110</v>
      </c>
      <c r="S1679" s="15" t="s">
        <v>11111</v>
      </c>
      <c r="T1679" s="15" t="s">
        <v>11112</v>
      </c>
      <c r="U1679" s="21" t="s">
        <v>72</v>
      </c>
    </row>
    <row r="1680" customFormat="false" ht="15" hidden="false" customHeight="false" outlineLevel="0" collapsed="false">
      <c r="A1680" s="15" t="s">
        <v>79</v>
      </c>
      <c r="B1680" s="15" t="s">
        <v>529</v>
      </c>
      <c r="C1680" s="14" t="s">
        <v>577</v>
      </c>
      <c r="D1680" s="14" t="s">
        <v>11113</v>
      </c>
      <c r="E1680" s="16" t="s">
        <v>11114</v>
      </c>
      <c r="F1680" s="16" t="s">
        <v>580</v>
      </c>
      <c r="G1680" s="23" t="s">
        <v>43</v>
      </c>
      <c r="H1680" s="18" t="n">
        <v>3</v>
      </c>
      <c r="I1680" s="20" t="n">
        <v>49.44</v>
      </c>
      <c r="J1680" s="20" t="n">
        <v>148.7</v>
      </c>
      <c r="K1680" s="18" t="n">
        <v>20</v>
      </c>
      <c r="L1680" s="18" t="n">
        <v>2</v>
      </c>
      <c r="M1680" s="18" t="n">
        <v>286</v>
      </c>
      <c r="N1680" s="18" t="n">
        <v>86</v>
      </c>
      <c r="O1680" s="14" t="s">
        <v>3724</v>
      </c>
      <c r="P1680" s="14" t="s">
        <v>118</v>
      </c>
      <c r="Q1680" s="15" t="s">
        <v>1089</v>
      </c>
      <c r="R1680" s="16" t="s">
        <v>581</v>
      </c>
      <c r="S1680" s="15" t="s">
        <v>582</v>
      </c>
      <c r="T1680" s="15" t="s">
        <v>582</v>
      </c>
      <c r="U1680" s="21" t="s">
        <v>72</v>
      </c>
    </row>
    <row r="1681" customFormat="false" ht="15" hidden="false" customHeight="false" outlineLevel="0" collapsed="false">
      <c r="A1681" s="15" t="s">
        <v>79</v>
      </c>
      <c r="B1681" s="15" t="s">
        <v>529</v>
      </c>
      <c r="C1681" s="14" t="s">
        <v>11115</v>
      </c>
      <c r="D1681" s="14" t="s">
        <v>11116</v>
      </c>
      <c r="E1681" s="16" t="s">
        <v>11117</v>
      </c>
      <c r="F1681" s="16" t="s">
        <v>11118</v>
      </c>
      <c r="G1681" s="25" t="s">
        <v>39</v>
      </c>
      <c r="H1681" s="18" t="n">
        <v>3</v>
      </c>
      <c r="I1681" s="20" t="n">
        <v>77.91</v>
      </c>
      <c r="J1681" s="20" t="n">
        <v>404.61</v>
      </c>
      <c r="K1681" s="18" t="n">
        <v>4</v>
      </c>
      <c r="L1681" s="18" t="n">
        <v>3</v>
      </c>
      <c r="M1681" s="18" t="n">
        <v>200</v>
      </c>
      <c r="N1681" s="18" t="n">
        <v>200</v>
      </c>
      <c r="O1681" s="14" t="s">
        <v>11119</v>
      </c>
      <c r="P1681" s="14" t="s">
        <v>84</v>
      </c>
      <c r="Q1681" s="15" t="s">
        <v>1089</v>
      </c>
      <c r="R1681" s="16" t="s">
        <v>324</v>
      </c>
      <c r="S1681" s="15" t="s">
        <v>11120</v>
      </c>
      <c r="T1681" s="15" t="s">
        <v>11120</v>
      </c>
      <c r="U1681" s="21" t="s">
        <v>72</v>
      </c>
    </row>
    <row r="1682" customFormat="false" ht="15" hidden="false" customHeight="false" outlineLevel="0" collapsed="false">
      <c r="A1682" s="15" t="s">
        <v>79</v>
      </c>
      <c r="B1682" s="15" t="s">
        <v>529</v>
      </c>
      <c r="C1682" s="14" t="s">
        <v>1044</v>
      </c>
      <c r="D1682" s="14" t="s">
        <v>11121</v>
      </c>
      <c r="E1682" s="16" t="s">
        <v>11122</v>
      </c>
      <c r="F1682" s="16" t="s">
        <v>1047</v>
      </c>
      <c r="G1682" s="23" t="s">
        <v>43</v>
      </c>
      <c r="H1682" s="18" t="n">
        <v>4</v>
      </c>
      <c r="I1682" s="20" t="n">
        <v>82.42</v>
      </c>
      <c r="J1682" s="20" t="n">
        <v>175.55</v>
      </c>
      <c r="K1682" s="18" t="n">
        <v>4</v>
      </c>
      <c r="L1682" s="18" t="n">
        <v>3</v>
      </c>
      <c r="M1682" s="18" t="n">
        <v>84</v>
      </c>
      <c r="N1682" s="18" t="n">
        <v>42</v>
      </c>
      <c r="O1682" s="14" t="s">
        <v>1126</v>
      </c>
      <c r="P1682" s="14" t="s">
        <v>84</v>
      </c>
      <c r="Q1682" s="15" t="s">
        <v>1089</v>
      </c>
      <c r="R1682" s="16" t="s">
        <v>1048</v>
      </c>
      <c r="S1682" s="15" t="s">
        <v>1049</v>
      </c>
      <c r="T1682" s="15" t="s">
        <v>1049</v>
      </c>
      <c r="U1682" s="21" t="s">
        <v>72</v>
      </c>
    </row>
    <row r="1683" customFormat="false" ht="15" hidden="false" customHeight="false" outlineLevel="0" collapsed="false">
      <c r="A1683" s="15" t="s">
        <v>79</v>
      </c>
      <c r="B1683" s="15" t="s">
        <v>529</v>
      </c>
      <c r="C1683" s="14" t="s">
        <v>11123</v>
      </c>
      <c r="D1683" s="14" t="s">
        <v>11124</v>
      </c>
      <c r="E1683" s="16" t="s">
        <v>11125</v>
      </c>
      <c r="F1683" s="16" t="s">
        <v>11126</v>
      </c>
      <c r="G1683" s="23" t="s">
        <v>43</v>
      </c>
      <c r="H1683" s="18" t="n">
        <v>4</v>
      </c>
      <c r="I1683" s="20" t="n">
        <v>126.02</v>
      </c>
      <c r="J1683" s="20" t="n">
        <v>198.08</v>
      </c>
      <c r="K1683" s="18" t="n">
        <v>4</v>
      </c>
      <c r="L1683" s="18" t="n">
        <v>2</v>
      </c>
      <c r="M1683" s="18" t="n">
        <v>103</v>
      </c>
      <c r="N1683" s="18" t="n">
        <v>91</v>
      </c>
      <c r="O1683" s="14" t="s">
        <v>10417</v>
      </c>
      <c r="P1683" s="14" t="s">
        <v>118</v>
      </c>
      <c r="Q1683" s="15" t="s">
        <v>1089</v>
      </c>
      <c r="R1683" s="16" t="s">
        <v>1297</v>
      </c>
      <c r="S1683" s="15" t="s">
        <v>11127</v>
      </c>
      <c r="T1683" s="15" t="s">
        <v>11128</v>
      </c>
      <c r="U1683" s="21" t="s">
        <v>72</v>
      </c>
    </row>
    <row r="1684" customFormat="false" ht="15" hidden="false" customHeight="false" outlineLevel="0" collapsed="false">
      <c r="A1684" s="15" t="s">
        <v>79</v>
      </c>
      <c r="B1684" s="15" t="s">
        <v>529</v>
      </c>
      <c r="C1684" s="14" t="s">
        <v>11129</v>
      </c>
      <c r="D1684" s="14" t="s">
        <v>11130</v>
      </c>
      <c r="E1684" s="16" t="s">
        <v>11131</v>
      </c>
      <c r="F1684" s="16" t="s">
        <v>11132</v>
      </c>
      <c r="G1684" s="23" t="s">
        <v>43</v>
      </c>
      <c r="H1684" s="18" t="n">
        <v>3</v>
      </c>
      <c r="I1684" s="20" t="n">
        <v>49.83</v>
      </c>
      <c r="J1684" s="20" t="n">
        <v>154.65</v>
      </c>
      <c r="K1684" s="18" t="n">
        <v>26</v>
      </c>
      <c r="L1684" s="18" t="n">
        <v>4</v>
      </c>
      <c r="M1684" s="18" t="n">
        <v>352</v>
      </c>
      <c r="N1684" s="18" t="n">
        <v>83</v>
      </c>
      <c r="O1684" s="14" t="s">
        <v>1088</v>
      </c>
      <c r="P1684" s="14" t="s">
        <v>118</v>
      </c>
      <c r="Q1684" s="15" t="s">
        <v>1089</v>
      </c>
      <c r="R1684" s="16" t="s">
        <v>11133</v>
      </c>
      <c r="S1684" s="15" t="s">
        <v>11134</v>
      </c>
      <c r="T1684" s="15" t="s">
        <v>11135</v>
      </c>
      <c r="U1684" s="21" t="s">
        <v>72</v>
      </c>
    </row>
    <row r="1685" customFormat="false" ht="15" hidden="false" customHeight="false" outlineLevel="0" collapsed="false">
      <c r="A1685" s="15" t="s">
        <v>79</v>
      </c>
      <c r="B1685" s="15" t="s">
        <v>529</v>
      </c>
      <c r="C1685" s="14" t="s">
        <v>11136</v>
      </c>
      <c r="D1685" s="14" t="s">
        <v>11137</v>
      </c>
      <c r="E1685" s="16" t="s">
        <v>11138</v>
      </c>
      <c r="F1685" s="16" t="s">
        <v>11139</v>
      </c>
      <c r="G1685" s="23" t="s">
        <v>43</v>
      </c>
      <c r="H1685" s="18" t="n">
        <v>1</v>
      </c>
      <c r="I1685" s="20" t="n">
        <v>47.29</v>
      </c>
      <c r="J1685" s="20" t="n">
        <v>70.03</v>
      </c>
      <c r="K1685" s="18" t="n">
        <v>5</v>
      </c>
      <c r="L1685" s="18" t="n">
        <v>2</v>
      </c>
      <c r="M1685" s="18" t="n">
        <v>195</v>
      </c>
      <c r="N1685" s="18" t="n">
        <v>39</v>
      </c>
      <c r="O1685" s="14" t="s">
        <v>11140</v>
      </c>
      <c r="P1685" s="14" t="s">
        <v>118</v>
      </c>
      <c r="Q1685" s="15" t="s">
        <v>1089</v>
      </c>
      <c r="R1685" s="16" t="s">
        <v>11141</v>
      </c>
      <c r="S1685" s="15" t="s">
        <v>11142</v>
      </c>
      <c r="T1685" s="15" t="s">
        <v>11143</v>
      </c>
      <c r="U1685" s="21" t="s">
        <v>72</v>
      </c>
    </row>
    <row r="1686" customFormat="false" ht="15" hidden="false" customHeight="false" outlineLevel="0" collapsed="false">
      <c r="A1686" s="15" t="s">
        <v>79</v>
      </c>
      <c r="B1686" s="15" t="s">
        <v>529</v>
      </c>
      <c r="C1686" s="14" t="s">
        <v>11144</v>
      </c>
      <c r="D1686" s="14" t="s">
        <v>11145</v>
      </c>
      <c r="E1686" s="16" t="s">
        <v>11146</v>
      </c>
      <c r="F1686" s="16" t="s">
        <v>11147</v>
      </c>
      <c r="G1686" s="23" t="s">
        <v>43</v>
      </c>
      <c r="H1686" s="18" t="n">
        <v>2</v>
      </c>
      <c r="I1686" s="20" t="n">
        <v>46.49</v>
      </c>
      <c r="J1686" s="20" t="n">
        <v>96.14</v>
      </c>
      <c r="K1686" s="18" t="n">
        <v>9</v>
      </c>
      <c r="L1686" s="18" t="n">
        <v>2</v>
      </c>
      <c r="M1686" s="18" t="n">
        <v>126</v>
      </c>
      <c r="N1686" s="18" t="n">
        <v>30</v>
      </c>
      <c r="O1686" s="14" t="s">
        <v>9118</v>
      </c>
      <c r="P1686" s="14" t="s">
        <v>118</v>
      </c>
      <c r="Q1686" s="15" t="s">
        <v>1089</v>
      </c>
      <c r="R1686" s="16" t="s">
        <v>11148</v>
      </c>
      <c r="S1686" s="15" t="s">
        <v>11149</v>
      </c>
      <c r="T1686" s="15" t="s">
        <v>11149</v>
      </c>
      <c r="U1686" s="21" t="s">
        <v>72</v>
      </c>
    </row>
    <row r="1687" customFormat="false" ht="15" hidden="false" customHeight="false" outlineLevel="0" collapsed="false">
      <c r="A1687" s="15" t="s">
        <v>79</v>
      </c>
      <c r="B1687" s="15" t="s">
        <v>529</v>
      </c>
      <c r="C1687" s="14" t="s">
        <v>11150</v>
      </c>
      <c r="D1687" s="14" t="s">
        <v>11151</v>
      </c>
      <c r="E1687" s="16" t="s">
        <v>11152</v>
      </c>
      <c r="F1687" s="16" t="s">
        <v>11153</v>
      </c>
      <c r="G1687" s="19" t="s">
        <v>41</v>
      </c>
      <c r="H1687" s="18" t="n">
        <v>6</v>
      </c>
      <c r="I1687" s="20" t="n">
        <v>144.29</v>
      </c>
      <c r="J1687" s="20" t="n">
        <v>258.46</v>
      </c>
      <c r="K1687" s="18" t="n">
        <v>20</v>
      </c>
      <c r="L1687" s="18" t="n">
        <v>2</v>
      </c>
      <c r="M1687" s="18" t="n">
        <v>436</v>
      </c>
      <c r="N1687" s="18" t="n">
        <v>182</v>
      </c>
      <c r="O1687" s="14" t="s">
        <v>3724</v>
      </c>
      <c r="P1687" s="14" t="s">
        <v>118</v>
      </c>
      <c r="Q1687" s="15" t="s">
        <v>1089</v>
      </c>
      <c r="R1687" s="16" t="s">
        <v>11154</v>
      </c>
      <c r="S1687" s="15" t="s">
        <v>11155</v>
      </c>
      <c r="T1687" s="15" t="s">
        <v>11155</v>
      </c>
      <c r="U1687" s="21" t="s">
        <v>72</v>
      </c>
    </row>
    <row r="1688" customFormat="false" ht="15" hidden="false" customHeight="false" outlineLevel="0" collapsed="false">
      <c r="A1688" s="15" t="s">
        <v>79</v>
      </c>
      <c r="B1688" s="15" t="s">
        <v>529</v>
      </c>
      <c r="C1688" s="14" t="s">
        <v>11156</v>
      </c>
      <c r="D1688" s="14" t="s">
        <v>11157</v>
      </c>
      <c r="E1688" s="16" t="s">
        <v>11158</v>
      </c>
      <c r="F1688" s="16"/>
      <c r="G1688" s="23" t="s">
        <v>43</v>
      </c>
      <c r="H1688" s="18" t="n">
        <v>3</v>
      </c>
      <c r="I1688" s="20" t="n">
        <v>51.18</v>
      </c>
      <c r="J1688" s="20" t="n">
        <v>97.84</v>
      </c>
      <c r="K1688" s="18" t="n">
        <v>4</v>
      </c>
      <c r="L1688" s="18" t="n">
        <v>1</v>
      </c>
      <c r="M1688" s="18" t="n">
        <v>50</v>
      </c>
      <c r="N1688" s="18" t="n">
        <v>10</v>
      </c>
      <c r="O1688" s="14" t="s">
        <v>1126</v>
      </c>
      <c r="P1688" s="14" t="s">
        <v>118</v>
      </c>
      <c r="Q1688" s="15" t="s">
        <v>1089</v>
      </c>
      <c r="R1688" s="16" t="s">
        <v>11159</v>
      </c>
      <c r="S1688" s="15" t="s">
        <v>11160</v>
      </c>
      <c r="T1688" s="15" t="s">
        <v>11161</v>
      </c>
      <c r="U1688" s="21" t="s">
        <v>72</v>
      </c>
    </row>
    <row r="1689" customFormat="false" ht="15" hidden="false" customHeight="false" outlineLevel="0" collapsed="false">
      <c r="A1689" s="15" t="s">
        <v>79</v>
      </c>
      <c r="B1689" s="15" t="s">
        <v>529</v>
      </c>
      <c r="C1689" s="14" t="s">
        <v>528</v>
      </c>
      <c r="D1689" s="14" t="s">
        <v>11162</v>
      </c>
      <c r="E1689" s="16" t="s">
        <v>11163</v>
      </c>
      <c r="F1689" s="16" t="s">
        <v>532</v>
      </c>
      <c r="G1689" s="25" t="s">
        <v>39</v>
      </c>
      <c r="H1689" s="18" t="n">
        <v>11</v>
      </c>
      <c r="I1689" s="20" t="n">
        <v>201.18</v>
      </c>
      <c r="J1689" s="20" t="n">
        <v>317.18</v>
      </c>
      <c r="K1689" s="18" t="n">
        <v>40</v>
      </c>
      <c r="L1689" s="18" t="n">
        <v>12</v>
      </c>
      <c r="M1689" s="18" t="n">
        <v>600</v>
      </c>
      <c r="N1689" s="18" t="n">
        <v>256</v>
      </c>
      <c r="O1689" s="14" t="s">
        <v>1126</v>
      </c>
      <c r="P1689" s="14" t="s">
        <v>118</v>
      </c>
      <c r="Q1689" s="15" t="s">
        <v>1089</v>
      </c>
      <c r="R1689" s="16" t="s">
        <v>533</v>
      </c>
      <c r="S1689" s="15" t="s">
        <v>534</v>
      </c>
      <c r="T1689" s="15" t="s">
        <v>534</v>
      </c>
      <c r="U1689" s="21" t="s">
        <v>72</v>
      </c>
    </row>
    <row r="1690" customFormat="false" ht="26.85" hidden="false" customHeight="false" outlineLevel="0" collapsed="false">
      <c r="A1690" s="15" t="s">
        <v>79</v>
      </c>
      <c r="B1690" s="15" t="s">
        <v>529</v>
      </c>
      <c r="C1690" s="14" t="s">
        <v>868</v>
      </c>
      <c r="D1690" s="14" t="s">
        <v>11164</v>
      </c>
      <c r="E1690" s="16" t="s">
        <v>11165</v>
      </c>
      <c r="F1690" s="16" t="s">
        <v>871</v>
      </c>
      <c r="G1690" s="19" t="s">
        <v>41</v>
      </c>
      <c r="H1690" s="18" t="n">
        <v>7</v>
      </c>
      <c r="I1690" s="20" t="n">
        <v>93.82</v>
      </c>
      <c r="J1690" s="20" t="n">
        <v>199.52</v>
      </c>
      <c r="K1690" s="18" t="n">
        <v>10</v>
      </c>
      <c r="L1690" s="18" t="n">
        <v>1</v>
      </c>
      <c r="M1690" s="18" t="n">
        <v>152</v>
      </c>
      <c r="N1690" s="18" t="n">
        <v>92</v>
      </c>
      <c r="O1690" s="14" t="s">
        <v>11166</v>
      </c>
      <c r="P1690" s="14" t="s">
        <v>872</v>
      </c>
      <c r="Q1690" s="15" t="s">
        <v>1089</v>
      </c>
      <c r="R1690" s="16" t="s">
        <v>873</v>
      </c>
      <c r="S1690" s="15" t="s">
        <v>874</v>
      </c>
      <c r="T1690" s="15" t="s">
        <v>874</v>
      </c>
      <c r="U1690" s="21" t="s">
        <v>72</v>
      </c>
    </row>
    <row r="1691" customFormat="false" ht="26.85" hidden="false" customHeight="false" outlineLevel="0" collapsed="false">
      <c r="A1691" s="15" t="s">
        <v>79</v>
      </c>
      <c r="B1691" s="15" t="s">
        <v>529</v>
      </c>
      <c r="C1691" s="14" t="s">
        <v>11167</v>
      </c>
      <c r="D1691" s="14" t="s">
        <v>11168</v>
      </c>
      <c r="E1691" s="16" t="s">
        <v>11169</v>
      </c>
      <c r="F1691" s="16" t="s">
        <v>11170</v>
      </c>
      <c r="G1691" s="23" t="s">
        <v>43</v>
      </c>
      <c r="H1691" s="18" t="n">
        <v>1</v>
      </c>
      <c r="I1691" s="20" t="n">
        <v>46.73</v>
      </c>
      <c r="J1691" s="20" t="n">
        <v>87.7</v>
      </c>
      <c r="K1691" s="18" t="n">
        <v>7</v>
      </c>
      <c r="L1691" s="18" t="n">
        <v>1</v>
      </c>
      <c r="M1691" s="18" t="n">
        <v>266</v>
      </c>
      <c r="N1691" s="18" t="n">
        <v>266</v>
      </c>
      <c r="O1691" s="14" t="s">
        <v>11171</v>
      </c>
      <c r="P1691" s="14" t="s">
        <v>84</v>
      </c>
      <c r="Q1691" s="15" t="s">
        <v>1089</v>
      </c>
      <c r="R1691" s="16" t="s">
        <v>11172</v>
      </c>
      <c r="S1691" s="15" t="s">
        <v>11173</v>
      </c>
      <c r="T1691" s="15" t="s">
        <v>11173</v>
      </c>
      <c r="U1691" s="21" t="s">
        <v>72</v>
      </c>
    </row>
    <row r="1692" customFormat="false" ht="15" hidden="false" customHeight="false" outlineLevel="0" collapsed="false">
      <c r="A1692" s="15" t="s">
        <v>79</v>
      </c>
      <c r="B1692" s="15" t="s">
        <v>529</v>
      </c>
      <c r="C1692" s="14" t="s">
        <v>584</v>
      </c>
      <c r="D1692" s="14" t="s">
        <v>11174</v>
      </c>
      <c r="E1692" s="16" t="s">
        <v>11175</v>
      </c>
      <c r="F1692" s="16" t="s">
        <v>587</v>
      </c>
      <c r="G1692" s="23" t="s">
        <v>43</v>
      </c>
      <c r="H1692" s="18" t="n">
        <v>3</v>
      </c>
      <c r="I1692" s="20" t="n">
        <v>75</v>
      </c>
      <c r="J1692" s="20" t="n">
        <v>180.31</v>
      </c>
      <c r="K1692" s="18" t="n">
        <v>18</v>
      </c>
      <c r="L1692" s="18" t="n">
        <v>3</v>
      </c>
      <c r="M1692" s="18" t="n">
        <v>366</v>
      </c>
      <c r="N1692" s="18" t="n">
        <v>144</v>
      </c>
      <c r="O1692" s="14" t="s">
        <v>1126</v>
      </c>
      <c r="P1692" s="14" t="s">
        <v>118</v>
      </c>
      <c r="Q1692" s="15" t="s">
        <v>1089</v>
      </c>
      <c r="R1692" s="16" t="s">
        <v>588</v>
      </c>
      <c r="S1692" s="15" t="s">
        <v>589</v>
      </c>
      <c r="T1692" s="15" t="s">
        <v>589</v>
      </c>
      <c r="U1692" s="21" t="s">
        <v>72</v>
      </c>
    </row>
    <row r="1693" customFormat="false" ht="15" hidden="false" customHeight="false" outlineLevel="0" collapsed="false">
      <c r="A1693" s="15" t="s">
        <v>79</v>
      </c>
      <c r="B1693" s="15" t="s">
        <v>529</v>
      </c>
      <c r="C1693" s="14" t="s">
        <v>830</v>
      </c>
      <c r="D1693" s="14" t="s">
        <v>11176</v>
      </c>
      <c r="E1693" s="16" t="s">
        <v>11177</v>
      </c>
      <c r="F1693" s="16" t="s">
        <v>833</v>
      </c>
      <c r="G1693" s="23" t="s">
        <v>43</v>
      </c>
      <c r="H1693" s="18" t="n">
        <v>2</v>
      </c>
      <c r="I1693" s="20" t="n">
        <v>45.55</v>
      </c>
      <c r="J1693" s="20" t="n">
        <v>160.71</v>
      </c>
      <c r="K1693" s="18" t="n">
        <v>2</v>
      </c>
      <c r="L1693" s="18" t="n">
        <v>5</v>
      </c>
      <c r="M1693" s="18" t="n">
        <v>74</v>
      </c>
      <c r="N1693" s="18" t="n">
        <v>37</v>
      </c>
      <c r="O1693" s="14" t="s">
        <v>1126</v>
      </c>
      <c r="P1693" s="14" t="s">
        <v>84</v>
      </c>
      <c r="Q1693" s="15" t="s">
        <v>1089</v>
      </c>
      <c r="R1693" s="16" t="s">
        <v>834</v>
      </c>
      <c r="S1693" s="15" t="s">
        <v>835</v>
      </c>
      <c r="T1693" s="15" t="s">
        <v>835</v>
      </c>
      <c r="U1693" s="21" t="s">
        <v>72</v>
      </c>
    </row>
    <row r="1694" customFormat="false" ht="15" hidden="false" customHeight="false" outlineLevel="0" collapsed="false">
      <c r="A1694" s="15" t="s">
        <v>79</v>
      </c>
      <c r="B1694" s="15" t="s">
        <v>529</v>
      </c>
      <c r="C1694" s="14" t="s">
        <v>11178</v>
      </c>
      <c r="D1694" s="14" t="s">
        <v>11179</v>
      </c>
      <c r="E1694" s="16" t="s">
        <v>11180</v>
      </c>
      <c r="F1694" s="16" t="s">
        <v>10368</v>
      </c>
      <c r="G1694" s="19" t="s">
        <v>41</v>
      </c>
      <c r="H1694" s="18" t="n">
        <v>4</v>
      </c>
      <c r="I1694" s="20" t="n">
        <v>238.45</v>
      </c>
      <c r="J1694" s="20" t="n">
        <v>353.11</v>
      </c>
      <c r="K1694" s="18" t="n">
        <v>16</v>
      </c>
      <c r="L1694" s="18" t="n">
        <v>3</v>
      </c>
      <c r="M1694" s="18" t="n">
        <v>743</v>
      </c>
      <c r="N1694" s="18" t="n">
        <v>555</v>
      </c>
      <c r="O1694" s="14" t="s">
        <v>6448</v>
      </c>
      <c r="P1694" s="14" t="s">
        <v>118</v>
      </c>
      <c r="Q1694" s="15" t="s">
        <v>1089</v>
      </c>
      <c r="R1694" s="16" t="s">
        <v>11181</v>
      </c>
      <c r="S1694" s="15" t="s">
        <v>10370</v>
      </c>
      <c r="T1694" s="15" t="s">
        <v>10370</v>
      </c>
      <c r="U1694" s="21" t="s">
        <v>72</v>
      </c>
    </row>
    <row r="1695" customFormat="false" ht="15" hidden="false" customHeight="false" outlineLevel="0" collapsed="false">
      <c r="A1695" s="15" t="s">
        <v>79</v>
      </c>
      <c r="B1695" s="15" t="s">
        <v>529</v>
      </c>
      <c r="C1695" s="14" t="s">
        <v>11182</v>
      </c>
      <c r="D1695" s="14" t="s">
        <v>11183</v>
      </c>
      <c r="E1695" s="16" t="s">
        <v>11184</v>
      </c>
      <c r="F1695" s="16" t="s">
        <v>11185</v>
      </c>
      <c r="G1695" s="23" t="s">
        <v>43</v>
      </c>
      <c r="H1695" s="18" t="n">
        <v>2</v>
      </c>
      <c r="I1695" s="20" t="n">
        <v>76.59</v>
      </c>
      <c r="J1695" s="20" t="n">
        <v>183.38</v>
      </c>
      <c r="K1695" s="18" t="n">
        <v>11</v>
      </c>
      <c r="L1695" s="18" t="n">
        <v>1</v>
      </c>
      <c r="M1695" s="18" t="n">
        <v>258</v>
      </c>
      <c r="N1695" s="18" t="n">
        <v>120</v>
      </c>
      <c r="O1695" s="14" t="s">
        <v>11186</v>
      </c>
      <c r="P1695" s="14" t="s">
        <v>1716</v>
      </c>
      <c r="Q1695" s="15" t="s">
        <v>1089</v>
      </c>
      <c r="R1695" s="16" t="s">
        <v>11187</v>
      </c>
      <c r="S1695" s="15" t="s">
        <v>11188</v>
      </c>
      <c r="T1695" s="15" t="s">
        <v>11188</v>
      </c>
      <c r="U1695" s="21" t="s">
        <v>72</v>
      </c>
    </row>
    <row r="1696" customFormat="false" ht="15" hidden="false" customHeight="false" outlineLevel="0" collapsed="false">
      <c r="A1696" s="15" t="s">
        <v>79</v>
      </c>
      <c r="B1696" s="15" t="s">
        <v>529</v>
      </c>
      <c r="C1696" s="14" t="s">
        <v>11189</v>
      </c>
      <c r="D1696" s="14" t="s">
        <v>11190</v>
      </c>
      <c r="E1696" s="16" t="s">
        <v>11191</v>
      </c>
      <c r="F1696" s="16" t="s">
        <v>11192</v>
      </c>
      <c r="G1696" s="23" t="s">
        <v>43</v>
      </c>
      <c r="H1696" s="18" t="n">
        <v>4</v>
      </c>
      <c r="I1696" s="20" t="n">
        <v>163.94</v>
      </c>
      <c r="J1696" s="20" t="n">
        <v>182.91</v>
      </c>
      <c r="K1696" s="18" t="n">
        <v>9</v>
      </c>
      <c r="L1696" s="18" t="n">
        <v>8</v>
      </c>
      <c r="M1696" s="18" t="n">
        <v>174</v>
      </c>
      <c r="N1696" s="18" t="n">
        <v>30</v>
      </c>
      <c r="O1696" s="14" t="s">
        <v>1126</v>
      </c>
      <c r="P1696" s="14" t="s">
        <v>118</v>
      </c>
      <c r="Q1696" s="15" t="s">
        <v>1089</v>
      </c>
      <c r="R1696" s="16" t="s">
        <v>11193</v>
      </c>
      <c r="S1696" s="15" t="s">
        <v>11194</v>
      </c>
      <c r="T1696" s="15" t="s">
        <v>11195</v>
      </c>
      <c r="U1696" s="21" t="s">
        <v>72</v>
      </c>
    </row>
    <row r="1697" customFormat="false" ht="15" hidden="false" customHeight="false" outlineLevel="0" collapsed="false">
      <c r="A1697" s="15" t="s">
        <v>79</v>
      </c>
      <c r="B1697" s="15" t="s">
        <v>529</v>
      </c>
      <c r="C1697" s="14" t="s">
        <v>823</v>
      </c>
      <c r="D1697" s="14" t="s">
        <v>11196</v>
      </c>
      <c r="E1697" s="16" t="s">
        <v>11197</v>
      </c>
      <c r="F1697" s="16" t="s">
        <v>282</v>
      </c>
      <c r="G1697" s="25" t="s">
        <v>39</v>
      </c>
      <c r="H1697" s="18" t="n">
        <v>4</v>
      </c>
      <c r="I1697" s="20" t="n">
        <v>96.5</v>
      </c>
      <c r="J1697" s="20" t="n">
        <v>417.54</v>
      </c>
      <c r="K1697" s="18" t="n">
        <v>8</v>
      </c>
      <c r="L1697" s="18" t="n">
        <v>17</v>
      </c>
      <c r="M1697" s="18" t="n">
        <v>176</v>
      </c>
      <c r="N1697" s="18" t="n">
        <v>176</v>
      </c>
      <c r="O1697" s="14" t="s">
        <v>1126</v>
      </c>
      <c r="P1697" s="14" t="s">
        <v>84</v>
      </c>
      <c r="Q1697" s="15" t="s">
        <v>1089</v>
      </c>
      <c r="R1697" s="16" t="s">
        <v>826</v>
      </c>
      <c r="S1697" s="15" t="s">
        <v>827</v>
      </c>
      <c r="T1697" s="15" t="s">
        <v>828</v>
      </c>
      <c r="U1697" s="21" t="s">
        <v>72</v>
      </c>
    </row>
    <row r="1698" customFormat="false" ht="15" hidden="false" customHeight="false" outlineLevel="0" collapsed="false">
      <c r="A1698" s="15" t="s">
        <v>79</v>
      </c>
      <c r="B1698" s="15" t="s">
        <v>529</v>
      </c>
      <c r="C1698" s="14" t="s">
        <v>11198</v>
      </c>
      <c r="D1698" s="14" t="s">
        <v>11199</v>
      </c>
      <c r="E1698" s="16" t="s">
        <v>11200</v>
      </c>
      <c r="F1698" s="16" t="s">
        <v>10478</v>
      </c>
      <c r="G1698" s="19" t="s">
        <v>41</v>
      </c>
      <c r="H1698" s="18" t="n">
        <v>6</v>
      </c>
      <c r="I1698" s="20" t="n">
        <v>96.4</v>
      </c>
      <c r="J1698" s="20" t="n">
        <v>198.34</v>
      </c>
      <c r="K1698" s="18" t="n">
        <v>8</v>
      </c>
      <c r="L1698" s="18" t="n">
        <v>2</v>
      </c>
      <c r="M1698" s="18" t="n">
        <v>98</v>
      </c>
      <c r="N1698" s="18" t="n">
        <v>98</v>
      </c>
      <c r="O1698" s="14" t="s">
        <v>11201</v>
      </c>
      <c r="P1698" s="14" t="s">
        <v>118</v>
      </c>
      <c r="Q1698" s="15" t="s">
        <v>1089</v>
      </c>
      <c r="R1698" s="16" t="s">
        <v>11202</v>
      </c>
      <c r="S1698" s="15" t="s">
        <v>10480</v>
      </c>
      <c r="T1698" s="15" t="s">
        <v>11203</v>
      </c>
      <c r="U1698" s="21" t="s">
        <v>72</v>
      </c>
    </row>
    <row r="1699" customFormat="false" ht="39.55" hidden="false" customHeight="false" outlineLevel="0" collapsed="false">
      <c r="A1699" s="15" t="s">
        <v>79</v>
      </c>
      <c r="B1699" s="15" t="s">
        <v>529</v>
      </c>
      <c r="C1699" s="14" t="s">
        <v>11204</v>
      </c>
      <c r="D1699" s="14" t="s">
        <v>11205</v>
      </c>
      <c r="E1699" s="16" t="s">
        <v>11206</v>
      </c>
      <c r="F1699" s="16" t="s">
        <v>11207</v>
      </c>
      <c r="G1699" s="23" t="s">
        <v>43</v>
      </c>
      <c r="H1699" s="18" t="n">
        <v>4</v>
      </c>
      <c r="I1699" s="20" t="n">
        <v>67.01</v>
      </c>
      <c r="J1699" s="20" t="n">
        <v>197.54</v>
      </c>
      <c r="K1699" s="18" t="n">
        <v>6</v>
      </c>
      <c r="L1699" s="18" t="n">
        <v>2</v>
      </c>
      <c r="M1699" s="18" t="n">
        <v>86</v>
      </c>
      <c r="N1699" s="18" t="n">
        <v>75</v>
      </c>
      <c r="O1699" s="14" t="s">
        <v>11208</v>
      </c>
      <c r="P1699" s="14" t="s">
        <v>118</v>
      </c>
      <c r="Q1699" s="15" t="s">
        <v>1089</v>
      </c>
      <c r="R1699" s="16" t="s">
        <v>11209</v>
      </c>
      <c r="S1699" s="15" t="s">
        <v>11210</v>
      </c>
      <c r="T1699" s="15" t="s">
        <v>11210</v>
      </c>
      <c r="U1699" s="21" t="s">
        <v>72</v>
      </c>
    </row>
    <row r="1700" customFormat="false" ht="26.85" hidden="false" customHeight="false" outlineLevel="0" collapsed="false">
      <c r="A1700" s="15" t="s">
        <v>79</v>
      </c>
      <c r="B1700" s="15" t="s">
        <v>529</v>
      </c>
      <c r="C1700" s="14" t="s">
        <v>11211</v>
      </c>
      <c r="D1700" s="14" t="s">
        <v>11212</v>
      </c>
      <c r="E1700" s="16" t="s">
        <v>11213</v>
      </c>
      <c r="F1700" s="16" t="s">
        <v>11214</v>
      </c>
      <c r="G1700" s="23" t="s">
        <v>43</v>
      </c>
      <c r="H1700" s="18" t="n">
        <v>3</v>
      </c>
      <c r="I1700" s="20" t="n">
        <v>55.71</v>
      </c>
      <c r="J1700" s="20" t="n">
        <v>98.99</v>
      </c>
      <c r="K1700" s="18" t="n">
        <v>20</v>
      </c>
      <c r="L1700" s="18" t="n">
        <v>3</v>
      </c>
      <c r="M1700" s="18" t="n">
        <v>328</v>
      </c>
      <c r="N1700" s="18" t="n">
        <v>296</v>
      </c>
      <c r="O1700" s="14" t="s">
        <v>11215</v>
      </c>
      <c r="P1700" s="14" t="s">
        <v>352</v>
      </c>
      <c r="Q1700" s="15" t="s">
        <v>1089</v>
      </c>
      <c r="R1700" s="16" t="s">
        <v>3474</v>
      </c>
      <c r="S1700" s="15" t="s">
        <v>11216</v>
      </c>
      <c r="T1700" s="15" t="s">
        <v>11217</v>
      </c>
      <c r="U1700" s="21" t="s">
        <v>72</v>
      </c>
    </row>
    <row r="1701" customFormat="false" ht="39.55" hidden="false" customHeight="false" outlineLevel="0" collapsed="false">
      <c r="A1701" s="15" t="s">
        <v>79</v>
      </c>
      <c r="B1701" s="15" t="s">
        <v>529</v>
      </c>
      <c r="C1701" s="14" t="s">
        <v>11218</v>
      </c>
      <c r="D1701" s="14" t="s">
        <v>11219</v>
      </c>
      <c r="E1701" s="16" t="s">
        <v>11220</v>
      </c>
      <c r="F1701" s="16" t="s">
        <v>11221</v>
      </c>
      <c r="G1701" s="19" t="s">
        <v>41</v>
      </c>
      <c r="H1701" s="18" t="n">
        <v>4</v>
      </c>
      <c r="I1701" s="20" t="n">
        <v>90.6</v>
      </c>
      <c r="J1701" s="20" t="n">
        <v>287.68</v>
      </c>
      <c r="K1701" s="18" t="n">
        <v>12</v>
      </c>
      <c r="L1701" s="18" t="n">
        <v>4</v>
      </c>
      <c r="M1701" s="18" t="n">
        <v>243</v>
      </c>
      <c r="N1701" s="18" t="n">
        <v>170</v>
      </c>
      <c r="O1701" s="14" t="s">
        <v>11222</v>
      </c>
      <c r="P1701" s="14" t="s">
        <v>334</v>
      </c>
      <c r="Q1701" s="15" t="s">
        <v>1089</v>
      </c>
      <c r="R1701" s="16" t="s">
        <v>11223</v>
      </c>
      <c r="S1701" s="15" t="s">
        <v>10519</v>
      </c>
      <c r="T1701" s="15" t="s">
        <v>11224</v>
      </c>
      <c r="U1701" s="21" t="s">
        <v>72</v>
      </c>
    </row>
    <row r="1702" customFormat="false" ht="15" hidden="false" customHeight="false" outlineLevel="0" collapsed="false">
      <c r="A1702" s="15" t="s">
        <v>79</v>
      </c>
      <c r="B1702" s="15" t="s">
        <v>529</v>
      </c>
      <c r="C1702" s="14" t="s">
        <v>11225</v>
      </c>
      <c r="D1702" s="14" t="s">
        <v>11226</v>
      </c>
      <c r="E1702" s="16" t="s">
        <v>11227</v>
      </c>
      <c r="F1702" s="16" t="s">
        <v>11228</v>
      </c>
      <c r="G1702" s="23" t="s">
        <v>43</v>
      </c>
      <c r="H1702" s="18" t="n">
        <v>3</v>
      </c>
      <c r="I1702" s="20" t="n">
        <v>104.55</v>
      </c>
      <c r="J1702" s="20" t="n">
        <v>188.94</v>
      </c>
      <c r="K1702" s="18" t="n">
        <v>12</v>
      </c>
      <c r="L1702" s="18" t="n">
        <v>3</v>
      </c>
      <c r="M1702" s="18" t="n">
        <v>340</v>
      </c>
      <c r="N1702" s="18" t="n">
        <v>132</v>
      </c>
      <c r="O1702" s="14" t="s">
        <v>1126</v>
      </c>
      <c r="P1702" s="14" t="s">
        <v>118</v>
      </c>
      <c r="Q1702" s="15" t="s">
        <v>1089</v>
      </c>
      <c r="R1702" s="16" t="s">
        <v>11229</v>
      </c>
      <c r="S1702" s="15" t="s">
        <v>9701</v>
      </c>
      <c r="T1702" s="15" t="s">
        <v>11230</v>
      </c>
      <c r="U1702" s="21" t="s">
        <v>72</v>
      </c>
    </row>
    <row r="1703" customFormat="false" ht="26.85" hidden="false" customHeight="false" outlineLevel="0" collapsed="false">
      <c r="A1703" s="15" t="s">
        <v>79</v>
      </c>
      <c r="B1703" s="15" t="s">
        <v>529</v>
      </c>
      <c r="C1703" s="14" t="s">
        <v>552</v>
      </c>
      <c r="D1703" s="14" t="s">
        <v>11231</v>
      </c>
      <c r="E1703" s="16" t="s">
        <v>11232</v>
      </c>
      <c r="F1703" s="16" t="s">
        <v>555</v>
      </c>
      <c r="G1703" s="23" t="s">
        <v>43</v>
      </c>
      <c r="H1703" s="18" t="n">
        <v>4</v>
      </c>
      <c r="I1703" s="20" t="n">
        <v>50.45</v>
      </c>
      <c r="J1703" s="20" t="n">
        <v>148.7</v>
      </c>
      <c r="K1703" s="18" t="n">
        <v>14</v>
      </c>
      <c r="L1703" s="18" t="n">
        <v>3</v>
      </c>
      <c r="M1703" s="18" t="n">
        <v>135</v>
      </c>
      <c r="N1703" s="18" t="n">
        <v>72</v>
      </c>
      <c r="O1703" s="14" t="s">
        <v>11233</v>
      </c>
      <c r="P1703" s="14" t="s">
        <v>515</v>
      </c>
      <c r="Q1703" s="15" t="s">
        <v>1089</v>
      </c>
      <c r="R1703" s="16" t="s">
        <v>556</v>
      </c>
      <c r="S1703" s="15" t="s">
        <v>557</v>
      </c>
      <c r="T1703" s="15" t="s">
        <v>557</v>
      </c>
      <c r="U1703" s="21" t="s">
        <v>72</v>
      </c>
    </row>
    <row r="1704" customFormat="false" ht="26.85" hidden="false" customHeight="false" outlineLevel="0" collapsed="false">
      <c r="A1704" s="15" t="s">
        <v>79</v>
      </c>
      <c r="B1704" s="15" t="s">
        <v>529</v>
      </c>
      <c r="C1704" s="14" t="s">
        <v>11234</v>
      </c>
      <c r="D1704" s="14" t="s">
        <v>11235</v>
      </c>
      <c r="E1704" s="16" t="s">
        <v>11236</v>
      </c>
      <c r="F1704" s="16" t="s">
        <v>11237</v>
      </c>
      <c r="G1704" s="23" t="s">
        <v>43</v>
      </c>
      <c r="H1704" s="18" t="n">
        <v>1</v>
      </c>
      <c r="I1704" s="20" t="n">
        <v>39.32</v>
      </c>
      <c r="J1704" s="20" t="n">
        <v>96.03</v>
      </c>
      <c r="K1704" s="18" t="n">
        <v>3</v>
      </c>
      <c r="L1704" s="18" t="n">
        <v>3</v>
      </c>
      <c r="M1704" s="18" t="n">
        <v>96</v>
      </c>
      <c r="N1704" s="18" t="n">
        <v>32</v>
      </c>
      <c r="O1704" s="14" t="s">
        <v>1097</v>
      </c>
      <c r="P1704" s="14" t="s">
        <v>118</v>
      </c>
      <c r="Q1704" s="15" t="s">
        <v>1089</v>
      </c>
      <c r="R1704" s="16" t="s">
        <v>11238</v>
      </c>
      <c r="S1704" s="15" t="s">
        <v>4869</v>
      </c>
      <c r="T1704" s="15" t="s">
        <v>11239</v>
      </c>
      <c r="U1704" s="21" t="s">
        <v>72</v>
      </c>
    </row>
    <row r="1705" customFormat="false" ht="26.85" hidden="false" customHeight="false" outlineLevel="0" collapsed="false">
      <c r="A1705" s="15" t="s">
        <v>79</v>
      </c>
      <c r="B1705" s="15" t="s">
        <v>529</v>
      </c>
      <c r="C1705" s="14" t="s">
        <v>11240</v>
      </c>
      <c r="D1705" s="14" t="s">
        <v>11241</v>
      </c>
      <c r="E1705" s="16" t="s">
        <v>11242</v>
      </c>
      <c r="F1705" s="16" t="s">
        <v>11243</v>
      </c>
      <c r="G1705" s="19" t="s">
        <v>41</v>
      </c>
      <c r="H1705" s="18" t="n">
        <v>6</v>
      </c>
      <c r="I1705" s="20" t="n">
        <v>125.32</v>
      </c>
      <c r="J1705" s="20" t="n">
        <v>224.36</v>
      </c>
      <c r="K1705" s="18" t="n">
        <v>16</v>
      </c>
      <c r="L1705" s="18" t="n">
        <v>6</v>
      </c>
      <c r="M1705" s="18" t="n">
        <v>285</v>
      </c>
      <c r="N1705" s="18" t="n">
        <v>148</v>
      </c>
      <c r="O1705" s="14" t="s">
        <v>11244</v>
      </c>
      <c r="P1705" s="14" t="s">
        <v>118</v>
      </c>
      <c r="Q1705" s="15" t="s">
        <v>1089</v>
      </c>
      <c r="R1705" s="16" t="s">
        <v>11245</v>
      </c>
      <c r="S1705" s="15" t="s">
        <v>11246</v>
      </c>
      <c r="T1705" s="15" t="s">
        <v>11246</v>
      </c>
      <c r="U1705" s="21" t="s">
        <v>72</v>
      </c>
    </row>
    <row r="1706" customFormat="false" ht="26.85" hidden="false" customHeight="false" outlineLevel="0" collapsed="false">
      <c r="A1706" s="15" t="s">
        <v>79</v>
      </c>
      <c r="B1706" s="15" t="s">
        <v>529</v>
      </c>
      <c r="C1706" s="14" t="s">
        <v>559</v>
      </c>
      <c r="D1706" s="14" t="s">
        <v>11247</v>
      </c>
      <c r="E1706" s="16" t="s">
        <v>11248</v>
      </c>
      <c r="F1706" s="16" t="s">
        <v>561</v>
      </c>
      <c r="G1706" s="19" t="s">
        <v>41</v>
      </c>
      <c r="H1706" s="18" t="n">
        <v>6</v>
      </c>
      <c r="I1706" s="20" t="n">
        <v>178.22</v>
      </c>
      <c r="J1706" s="20" t="n">
        <v>337.7</v>
      </c>
      <c r="K1706" s="18" t="n">
        <v>15</v>
      </c>
      <c r="L1706" s="18" t="n">
        <v>2</v>
      </c>
      <c r="M1706" s="18" t="n">
        <v>364</v>
      </c>
      <c r="N1706" s="18" t="n">
        <v>96</v>
      </c>
      <c r="O1706" s="14" t="s">
        <v>1088</v>
      </c>
      <c r="P1706" s="14" t="s">
        <v>118</v>
      </c>
      <c r="Q1706" s="15" t="s">
        <v>1089</v>
      </c>
      <c r="R1706" s="16" t="s">
        <v>562</v>
      </c>
      <c r="S1706" s="15" t="s">
        <v>563</v>
      </c>
      <c r="T1706" s="15" t="s">
        <v>564</v>
      </c>
      <c r="U1706" s="21" t="s">
        <v>72</v>
      </c>
    </row>
    <row r="1707" customFormat="false" ht="26.85" hidden="false" customHeight="false" outlineLevel="0" collapsed="false">
      <c r="A1707" s="15" t="s">
        <v>79</v>
      </c>
      <c r="B1707" s="15" t="s">
        <v>529</v>
      </c>
      <c r="C1707" s="14" t="s">
        <v>11249</v>
      </c>
      <c r="D1707" s="14" t="s">
        <v>11250</v>
      </c>
      <c r="E1707" s="16" t="s">
        <v>11251</v>
      </c>
      <c r="F1707" s="16" t="s">
        <v>10625</v>
      </c>
      <c r="G1707" s="23" t="s">
        <v>43</v>
      </c>
      <c r="H1707" s="18" t="n">
        <v>1</v>
      </c>
      <c r="I1707" s="20" t="n">
        <v>32.07</v>
      </c>
      <c r="J1707" s="20" t="n">
        <v>126.68</v>
      </c>
      <c r="K1707" s="18" t="n">
        <v>5</v>
      </c>
      <c r="L1707" s="18" t="n">
        <v>7</v>
      </c>
      <c r="M1707" s="18" t="n">
        <v>120</v>
      </c>
      <c r="N1707" s="18" t="n">
        <v>72</v>
      </c>
      <c r="O1707" s="14" t="s">
        <v>9797</v>
      </c>
      <c r="P1707" s="14" t="s">
        <v>118</v>
      </c>
      <c r="Q1707" s="15" t="s">
        <v>1089</v>
      </c>
      <c r="R1707" s="16" t="s">
        <v>11252</v>
      </c>
      <c r="S1707" s="15" t="s">
        <v>563</v>
      </c>
      <c r="T1707" s="15" t="s">
        <v>11253</v>
      </c>
      <c r="U1707" s="21" t="s">
        <v>72</v>
      </c>
    </row>
    <row r="1708" customFormat="false" ht="26.85" hidden="false" customHeight="false" outlineLevel="0" collapsed="false">
      <c r="A1708" s="15" t="s">
        <v>79</v>
      </c>
      <c r="B1708" s="15" t="s">
        <v>529</v>
      </c>
      <c r="C1708" s="14" t="s">
        <v>11254</v>
      </c>
      <c r="D1708" s="14" t="s">
        <v>11255</v>
      </c>
      <c r="E1708" s="16" t="s">
        <v>11256</v>
      </c>
      <c r="F1708" s="16" t="s">
        <v>561</v>
      </c>
      <c r="G1708" s="19" t="s">
        <v>41</v>
      </c>
      <c r="H1708" s="18" t="n">
        <v>5</v>
      </c>
      <c r="I1708" s="20" t="n">
        <v>89.21</v>
      </c>
      <c r="J1708" s="20" t="n">
        <v>211.29</v>
      </c>
      <c r="K1708" s="18" t="n">
        <v>5</v>
      </c>
      <c r="L1708" s="18" t="n">
        <v>4</v>
      </c>
      <c r="M1708" s="18" t="n">
        <v>60</v>
      </c>
      <c r="N1708" s="18" t="n">
        <v>48</v>
      </c>
      <c r="O1708" s="14" t="s">
        <v>1126</v>
      </c>
      <c r="P1708" s="14" t="s">
        <v>118</v>
      </c>
      <c r="Q1708" s="15" t="s">
        <v>1089</v>
      </c>
      <c r="R1708" s="16" t="s">
        <v>11257</v>
      </c>
      <c r="S1708" s="15" t="s">
        <v>563</v>
      </c>
      <c r="T1708" s="15" t="s">
        <v>11258</v>
      </c>
      <c r="U1708" s="21" t="s">
        <v>72</v>
      </c>
    </row>
    <row r="1709" customFormat="false" ht="26.85" hidden="false" customHeight="false" outlineLevel="0" collapsed="false">
      <c r="A1709" s="15" t="s">
        <v>79</v>
      </c>
      <c r="B1709" s="15" t="s">
        <v>421</v>
      </c>
      <c r="C1709" s="14" t="s">
        <v>11259</v>
      </c>
      <c r="D1709" s="14" t="s">
        <v>11260</v>
      </c>
      <c r="E1709" s="16" t="s">
        <v>11261</v>
      </c>
      <c r="F1709" s="16" t="s">
        <v>11262</v>
      </c>
      <c r="G1709" s="19" t="s">
        <v>41</v>
      </c>
      <c r="H1709" s="18" t="n">
        <v>3</v>
      </c>
      <c r="I1709" s="20" t="n">
        <v>63.36</v>
      </c>
      <c r="J1709" s="20" t="n">
        <v>235.35</v>
      </c>
      <c r="K1709" s="18" t="n">
        <v>4</v>
      </c>
      <c r="L1709" s="18" t="n">
        <v>2</v>
      </c>
      <c r="M1709" s="18" t="n">
        <v>50</v>
      </c>
      <c r="N1709" s="18" t="n">
        <v>20</v>
      </c>
      <c r="O1709" s="14" t="s">
        <v>1126</v>
      </c>
      <c r="P1709" s="14" t="s">
        <v>118</v>
      </c>
      <c r="Q1709" s="15" t="s">
        <v>1089</v>
      </c>
      <c r="R1709" s="16" t="s">
        <v>6569</v>
      </c>
      <c r="S1709" s="15" t="s">
        <v>107</v>
      </c>
      <c r="T1709" s="15" t="s">
        <v>11263</v>
      </c>
      <c r="U1709" s="21" t="s">
        <v>72</v>
      </c>
    </row>
    <row r="1710" customFormat="false" ht="15" hidden="false" customHeight="false" outlineLevel="0" collapsed="false">
      <c r="A1710" s="15" t="s">
        <v>79</v>
      </c>
      <c r="B1710" s="15" t="s">
        <v>421</v>
      </c>
      <c r="C1710" s="14" t="s">
        <v>11264</v>
      </c>
      <c r="D1710" s="14" t="s">
        <v>11265</v>
      </c>
      <c r="E1710" s="16" t="s">
        <v>11266</v>
      </c>
      <c r="F1710" s="16" t="s">
        <v>11267</v>
      </c>
      <c r="G1710" s="23" t="s">
        <v>43</v>
      </c>
      <c r="H1710" s="18" t="n">
        <v>3</v>
      </c>
      <c r="I1710" s="20" t="n">
        <v>43.67</v>
      </c>
      <c r="J1710" s="20" t="n">
        <v>163.8</v>
      </c>
      <c r="K1710" s="18" t="n">
        <v>12</v>
      </c>
      <c r="L1710" s="18" t="n">
        <v>3</v>
      </c>
      <c r="M1710" s="18" t="n">
        <v>136</v>
      </c>
      <c r="N1710" s="18" t="n">
        <v>92</v>
      </c>
      <c r="O1710" s="14" t="s">
        <v>11268</v>
      </c>
      <c r="P1710" s="14" t="s">
        <v>118</v>
      </c>
      <c r="Q1710" s="15" t="s">
        <v>1089</v>
      </c>
      <c r="R1710" s="16" t="s">
        <v>11269</v>
      </c>
      <c r="S1710" s="15" t="s">
        <v>11270</v>
      </c>
      <c r="T1710" s="15" t="s">
        <v>11270</v>
      </c>
      <c r="U1710" s="21" t="s">
        <v>72</v>
      </c>
    </row>
    <row r="1711" customFormat="false" ht="26.85" hidden="false" customHeight="false" outlineLevel="0" collapsed="false">
      <c r="A1711" s="15" t="s">
        <v>79</v>
      </c>
      <c r="B1711" s="15" t="s">
        <v>421</v>
      </c>
      <c r="C1711" s="14" t="s">
        <v>11271</v>
      </c>
      <c r="D1711" s="14" t="s">
        <v>11272</v>
      </c>
      <c r="E1711" s="16" t="s">
        <v>11273</v>
      </c>
      <c r="F1711" s="16" t="s">
        <v>11274</v>
      </c>
      <c r="G1711" s="19" t="s">
        <v>41</v>
      </c>
      <c r="H1711" s="18" t="n">
        <v>6</v>
      </c>
      <c r="I1711" s="20" t="n">
        <v>97.2</v>
      </c>
      <c r="J1711" s="20" t="n">
        <v>215.97</v>
      </c>
      <c r="K1711" s="18" t="n">
        <v>9</v>
      </c>
      <c r="L1711" s="18" t="n">
        <v>7</v>
      </c>
      <c r="M1711" s="18" t="n">
        <v>111</v>
      </c>
      <c r="N1711" s="18" t="n">
        <v>111</v>
      </c>
      <c r="O1711" s="14" t="s">
        <v>11275</v>
      </c>
      <c r="P1711" s="14" t="s">
        <v>84</v>
      </c>
      <c r="Q1711" s="15" t="s">
        <v>1089</v>
      </c>
      <c r="R1711" s="16" t="s">
        <v>11276</v>
      </c>
      <c r="S1711" s="15" t="s">
        <v>11277</v>
      </c>
      <c r="T1711" s="15" t="s">
        <v>11277</v>
      </c>
      <c r="U1711" s="21" t="s">
        <v>72</v>
      </c>
    </row>
    <row r="1712" customFormat="false" ht="15" hidden="false" customHeight="false" outlineLevel="0" collapsed="false">
      <c r="A1712" s="15" t="s">
        <v>79</v>
      </c>
      <c r="B1712" s="15" t="s">
        <v>421</v>
      </c>
      <c r="C1712" s="14" t="s">
        <v>11278</v>
      </c>
      <c r="D1712" s="14" t="s">
        <v>11279</v>
      </c>
      <c r="E1712" s="16" t="s">
        <v>11280</v>
      </c>
      <c r="F1712" s="16" t="s">
        <v>11281</v>
      </c>
      <c r="G1712" s="19" t="s">
        <v>41</v>
      </c>
      <c r="H1712" s="18" t="n">
        <v>5</v>
      </c>
      <c r="I1712" s="20" t="n">
        <v>129.81</v>
      </c>
      <c r="J1712" s="20" t="n">
        <v>293.7</v>
      </c>
      <c r="K1712" s="18" t="n">
        <v>6</v>
      </c>
      <c r="L1712" s="18" t="n">
        <v>3</v>
      </c>
      <c r="M1712" s="18" t="n">
        <v>129</v>
      </c>
      <c r="N1712" s="18" t="n">
        <v>79</v>
      </c>
      <c r="O1712" s="14" t="s">
        <v>11282</v>
      </c>
      <c r="P1712" s="14" t="s">
        <v>118</v>
      </c>
      <c r="Q1712" s="15" t="s">
        <v>1089</v>
      </c>
      <c r="R1712" s="16" t="s">
        <v>11283</v>
      </c>
      <c r="S1712" s="15" t="s">
        <v>11284</v>
      </c>
      <c r="T1712" s="15" t="s">
        <v>11285</v>
      </c>
      <c r="U1712" s="21" t="s">
        <v>72</v>
      </c>
    </row>
    <row r="1713" customFormat="false" ht="26.85" hidden="false" customHeight="false" outlineLevel="0" collapsed="false">
      <c r="A1713" s="15" t="s">
        <v>79</v>
      </c>
      <c r="B1713" s="15" t="s">
        <v>421</v>
      </c>
      <c r="C1713" s="14" t="s">
        <v>11286</v>
      </c>
      <c r="D1713" s="14" t="s">
        <v>11287</v>
      </c>
      <c r="E1713" s="16" t="s">
        <v>11288</v>
      </c>
      <c r="F1713" s="16" t="s">
        <v>11289</v>
      </c>
      <c r="G1713" s="23" t="s">
        <v>43</v>
      </c>
      <c r="H1713" s="18" t="n">
        <v>2</v>
      </c>
      <c r="I1713" s="20" t="n">
        <v>32.1</v>
      </c>
      <c r="J1713" s="20" t="n">
        <v>74.3</v>
      </c>
      <c r="K1713" s="18" t="n">
        <v>9</v>
      </c>
      <c r="L1713" s="18" t="n">
        <v>1</v>
      </c>
      <c r="M1713" s="18" t="n">
        <v>129</v>
      </c>
      <c r="N1713" s="18" t="n">
        <v>97</v>
      </c>
      <c r="O1713" s="14" t="s">
        <v>11290</v>
      </c>
      <c r="P1713" s="14" t="s">
        <v>118</v>
      </c>
      <c r="Q1713" s="15" t="s">
        <v>1089</v>
      </c>
      <c r="R1713" s="16" t="s">
        <v>11291</v>
      </c>
      <c r="S1713" s="15" t="s">
        <v>11292</v>
      </c>
      <c r="T1713" s="15" t="s">
        <v>11292</v>
      </c>
      <c r="U1713" s="21" t="s">
        <v>72</v>
      </c>
    </row>
    <row r="1714" customFormat="false" ht="26.85" hidden="false" customHeight="false" outlineLevel="0" collapsed="false">
      <c r="A1714" s="15" t="s">
        <v>79</v>
      </c>
      <c r="B1714" s="15" t="s">
        <v>421</v>
      </c>
      <c r="C1714" s="14" t="s">
        <v>11293</v>
      </c>
      <c r="D1714" s="14" t="s">
        <v>11294</v>
      </c>
      <c r="E1714" s="16" t="s">
        <v>11295</v>
      </c>
      <c r="F1714" s="16" t="s">
        <v>11296</v>
      </c>
      <c r="G1714" s="19" t="s">
        <v>41</v>
      </c>
      <c r="H1714" s="18" t="n">
        <v>5</v>
      </c>
      <c r="I1714" s="20" t="n">
        <v>89.41</v>
      </c>
      <c r="J1714" s="20" t="n">
        <v>155.71</v>
      </c>
      <c r="K1714" s="18" t="n">
        <v>5</v>
      </c>
      <c r="L1714" s="18" t="n">
        <v>4</v>
      </c>
      <c r="M1714" s="18" t="n">
        <v>73</v>
      </c>
      <c r="N1714" s="18" t="n">
        <v>73</v>
      </c>
      <c r="O1714" s="14" t="s">
        <v>11297</v>
      </c>
      <c r="P1714" s="14" t="s">
        <v>118</v>
      </c>
      <c r="Q1714" s="15" t="s">
        <v>1089</v>
      </c>
      <c r="R1714" s="16" t="s">
        <v>11298</v>
      </c>
      <c r="S1714" s="15" t="s">
        <v>11299</v>
      </c>
      <c r="T1714" s="15" t="s">
        <v>11299</v>
      </c>
      <c r="U1714" s="21" t="s">
        <v>72</v>
      </c>
    </row>
    <row r="1715" customFormat="false" ht="15" hidden="false" customHeight="false" outlineLevel="0" collapsed="false">
      <c r="A1715" s="15" t="s">
        <v>79</v>
      </c>
      <c r="B1715" s="15" t="s">
        <v>421</v>
      </c>
      <c r="C1715" s="14" t="s">
        <v>11300</v>
      </c>
      <c r="D1715" s="14" t="s">
        <v>11301</v>
      </c>
      <c r="E1715" s="16" t="s">
        <v>11302</v>
      </c>
      <c r="F1715" s="16" t="s">
        <v>11303</v>
      </c>
      <c r="G1715" s="23" t="s">
        <v>43</v>
      </c>
      <c r="H1715" s="18" t="n">
        <v>3</v>
      </c>
      <c r="I1715" s="20" t="n">
        <v>107.32</v>
      </c>
      <c r="J1715" s="20" t="n">
        <v>173.69</v>
      </c>
      <c r="K1715" s="18" t="n">
        <v>3</v>
      </c>
      <c r="L1715" s="18" t="n">
        <v>2</v>
      </c>
      <c r="M1715" s="18" t="n">
        <v>90</v>
      </c>
      <c r="N1715" s="18" t="n">
        <v>90</v>
      </c>
      <c r="O1715" s="14" t="s">
        <v>11304</v>
      </c>
      <c r="P1715" s="14" t="s">
        <v>118</v>
      </c>
      <c r="Q1715" s="15" t="s">
        <v>1089</v>
      </c>
      <c r="R1715" s="16" t="s">
        <v>11305</v>
      </c>
      <c r="S1715" s="15" t="s">
        <v>11306</v>
      </c>
      <c r="T1715" s="15" t="s">
        <v>11307</v>
      </c>
      <c r="U1715" s="21" t="s">
        <v>72</v>
      </c>
    </row>
    <row r="1716" customFormat="false" ht="15" hidden="false" customHeight="false" outlineLevel="0" collapsed="false">
      <c r="A1716" s="15" t="s">
        <v>79</v>
      </c>
      <c r="B1716" s="15" t="s">
        <v>421</v>
      </c>
      <c r="C1716" s="14" t="s">
        <v>11308</v>
      </c>
      <c r="D1716" s="14" t="s">
        <v>11309</v>
      </c>
      <c r="E1716" s="16" t="s">
        <v>11310</v>
      </c>
      <c r="F1716" s="16" t="s">
        <v>11311</v>
      </c>
      <c r="G1716" s="23" t="s">
        <v>43</v>
      </c>
      <c r="H1716" s="18" t="n">
        <v>4</v>
      </c>
      <c r="I1716" s="20" t="n">
        <v>68.34</v>
      </c>
      <c r="J1716" s="20" t="n">
        <v>166.35</v>
      </c>
      <c r="K1716" s="18" t="n">
        <v>8</v>
      </c>
      <c r="L1716" s="18" t="n">
        <v>3</v>
      </c>
      <c r="M1716" s="18" t="n">
        <v>105</v>
      </c>
      <c r="N1716" s="18" t="n">
        <v>80</v>
      </c>
      <c r="O1716" s="14" t="s">
        <v>11312</v>
      </c>
      <c r="P1716" s="14" t="s">
        <v>118</v>
      </c>
      <c r="Q1716" s="15" t="s">
        <v>1089</v>
      </c>
      <c r="R1716" s="16" t="s">
        <v>11313</v>
      </c>
      <c r="S1716" s="15" t="s">
        <v>426</v>
      </c>
      <c r="T1716" s="15" t="s">
        <v>11314</v>
      </c>
      <c r="U1716" s="21" t="s">
        <v>72</v>
      </c>
    </row>
    <row r="1717" customFormat="false" ht="15" hidden="false" customHeight="false" outlineLevel="0" collapsed="false">
      <c r="A1717" s="15" t="s">
        <v>79</v>
      </c>
      <c r="B1717" s="15" t="s">
        <v>421</v>
      </c>
      <c r="C1717" s="14" t="s">
        <v>11315</v>
      </c>
      <c r="D1717" s="14" t="s">
        <v>11316</v>
      </c>
      <c r="E1717" s="16" t="s">
        <v>11317</v>
      </c>
      <c r="F1717" s="16" t="s">
        <v>11318</v>
      </c>
      <c r="G1717" s="23" t="s">
        <v>43</v>
      </c>
      <c r="H1717" s="18" t="n">
        <v>3</v>
      </c>
      <c r="I1717" s="20" t="n">
        <v>90.3</v>
      </c>
      <c r="J1717" s="20" t="n">
        <v>140.6</v>
      </c>
      <c r="K1717" s="18" t="n">
        <v>4</v>
      </c>
      <c r="L1717" s="18" t="n">
        <v>3</v>
      </c>
      <c r="M1717" s="18" t="n">
        <v>74</v>
      </c>
      <c r="N1717" s="18" t="n">
        <v>54</v>
      </c>
      <c r="O1717" s="14" t="s">
        <v>3724</v>
      </c>
      <c r="P1717" s="14" t="s">
        <v>118</v>
      </c>
      <c r="Q1717" s="15" t="s">
        <v>1089</v>
      </c>
      <c r="R1717" s="16" t="s">
        <v>11319</v>
      </c>
      <c r="S1717" s="15" t="s">
        <v>11320</v>
      </c>
      <c r="T1717" s="15" t="s">
        <v>11320</v>
      </c>
      <c r="U1717" s="21" t="s">
        <v>72</v>
      </c>
    </row>
    <row r="1718" customFormat="false" ht="26.85" hidden="false" customHeight="false" outlineLevel="0" collapsed="false">
      <c r="A1718" s="15" t="s">
        <v>79</v>
      </c>
      <c r="B1718" s="15" t="s">
        <v>421</v>
      </c>
      <c r="C1718" s="14" t="s">
        <v>11321</v>
      </c>
      <c r="D1718" s="14" t="s">
        <v>11322</v>
      </c>
      <c r="E1718" s="16" t="s">
        <v>11323</v>
      </c>
      <c r="F1718" s="16" t="s">
        <v>11324</v>
      </c>
      <c r="G1718" s="19" t="s">
        <v>41</v>
      </c>
      <c r="H1718" s="18" t="n">
        <v>5</v>
      </c>
      <c r="I1718" s="20" t="n">
        <v>88.73</v>
      </c>
      <c r="J1718" s="20" t="n">
        <v>185.07</v>
      </c>
      <c r="K1718" s="18" t="n">
        <v>21</v>
      </c>
      <c r="L1718" s="18" t="n">
        <v>2</v>
      </c>
      <c r="M1718" s="18" t="n">
        <v>320</v>
      </c>
      <c r="N1718" s="18" t="n">
        <v>80</v>
      </c>
      <c r="O1718" s="14" t="s">
        <v>11325</v>
      </c>
      <c r="P1718" s="14" t="s">
        <v>906</v>
      </c>
      <c r="Q1718" s="15" t="s">
        <v>1089</v>
      </c>
      <c r="R1718" s="16" t="s">
        <v>1360</v>
      </c>
      <c r="S1718" s="15" t="s">
        <v>11326</v>
      </c>
      <c r="T1718" s="15" t="s">
        <v>11326</v>
      </c>
      <c r="U1718" s="21" t="s">
        <v>72</v>
      </c>
    </row>
    <row r="1719" customFormat="false" ht="26.85" hidden="false" customHeight="false" outlineLevel="0" collapsed="false">
      <c r="A1719" s="15" t="s">
        <v>79</v>
      </c>
      <c r="B1719" s="15" t="s">
        <v>421</v>
      </c>
      <c r="C1719" s="14" t="s">
        <v>11327</v>
      </c>
      <c r="D1719" s="14" t="s">
        <v>11328</v>
      </c>
      <c r="E1719" s="16" t="s">
        <v>11329</v>
      </c>
      <c r="F1719" s="16" t="s">
        <v>11330</v>
      </c>
      <c r="G1719" s="23" t="s">
        <v>43</v>
      </c>
      <c r="H1719" s="18" t="n">
        <v>3</v>
      </c>
      <c r="I1719" s="20" t="n">
        <v>41.39</v>
      </c>
      <c r="J1719" s="20" t="n">
        <v>156.7</v>
      </c>
      <c r="K1719" s="18" t="n">
        <v>7</v>
      </c>
      <c r="L1719" s="18" t="n">
        <v>4</v>
      </c>
      <c r="M1719" s="18" t="n">
        <v>84</v>
      </c>
      <c r="N1719" s="18" t="n">
        <v>48</v>
      </c>
      <c r="O1719" s="14" t="s">
        <v>10283</v>
      </c>
      <c r="P1719" s="14" t="s">
        <v>906</v>
      </c>
      <c r="Q1719" s="15" t="s">
        <v>1089</v>
      </c>
      <c r="R1719" s="16" t="s">
        <v>11331</v>
      </c>
      <c r="S1719" s="15" t="s">
        <v>11332</v>
      </c>
      <c r="T1719" s="15" t="s">
        <v>11333</v>
      </c>
      <c r="U1719" s="21" t="s">
        <v>72</v>
      </c>
    </row>
    <row r="1720" customFormat="false" ht="15" hidden="false" customHeight="false" outlineLevel="0" collapsed="false">
      <c r="A1720" s="15" t="s">
        <v>79</v>
      </c>
      <c r="B1720" s="15" t="s">
        <v>421</v>
      </c>
      <c r="C1720" s="14" t="s">
        <v>440</v>
      </c>
      <c r="D1720" s="14" t="s">
        <v>11334</v>
      </c>
      <c r="E1720" s="16" t="s">
        <v>11335</v>
      </c>
      <c r="F1720" s="16" t="s">
        <v>443</v>
      </c>
      <c r="G1720" s="19" t="s">
        <v>41</v>
      </c>
      <c r="H1720" s="18" t="n">
        <v>6</v>
      </c>
      <c r="I1720" s="20" t="n">
        <v>87.56</v>
      </c>
      <c r="J1720" s="20" t="n">
        <v>169.5</v>
      </c>
      <c r="K1720" s="18" t="n">
        <v>7</v>
      </c>
      <c r="L1720" s="18" t="n">
        <v>4</v>
      </c>
      <c r="M1720" s="18" t="n">
        <v>103</v>
      </c>
      <c r="N1720" s="18" t="n">
        <v>31</v>
      </c>
      <c r="O1720" s="14" t="s">
        <v>11336</v>
      </c>
      <c r="P1720" s="14" t="s">
        <v>118</v>
      </c>
      <c r="Q1720" s="15" t="s">
        <v>1089</v>
      </c>
      <c r="R1720" s="16" t="s">
        <v>444</v>
      </c>
      <c r="S1720" s="15" t="s">
        <v>445</v>
      </c>
      <c r="T1720" s="15" t="s">
        <v>445</v>
      </c>
      <c r="U1720" s="21" t="s">
        <v>72</v>
      </c>
    </row>
    <row r="1721" customFormat="false" ht="15" hidden="false" customHeight="false" outlineLevel="0" collapsed="false">
      <c r="A1721" s="15" t="s">
        <v>79</v>
      </c>
      <c r="B1721" s="15" t="s">
        <v>421</v>
      </c>
      <c r="C1721" s="14" t="s">
        <v>11337</v>
      </c>
      <c r="D1721" s="14" t="s">
        <v>11338</v>
      </c>
      <c r="E1721" s="16" t="s">
        <v>11339</v>
      </c>
      <c r="F1721" s="16" t="s">
        <v>11340</v>
      </c>
      <c r="G1721" s="19" t="s">
        <v>41</v>
      </c>
      <c r="H1721" s="18" t="n">
        <v>5</v>
      </c>
      <c r="I1721" s="20" t="n">
        <v>123.67</v>
      </c>
      <c r="J1721" s="20" t="n">
        <v>242.52</v>
      </c>
      <c r="K1721" s="18" t="n">
        <v>6</v>
      </c>
      <c r="L1721" s="18" t="n">
        <v>3</v>
      </c>
      <c r="M1721" s="18" t="n">
        <v>140</v>
      </c>
      <c r="N1721" s="18" t="n">
        <v>64</v>
      </c>
      <c r="O1721" s="14" t="s">
        <v>11341</v>
      </c>
      <c r="P1721" s="14" t="s">
        <v>118</v>
      </c>
      <c r="Q1721" s="15" t="s">
        <v>1089</v>
      </c>
      <c r="R1721" s="16" t="s">
        <v>11342</v>
      </c>
      <c r="S1721" s="15" t="s">
        <v>11343</v>
      </c>
      <c r="T1721" s="15" t="s">
        <v>11344</v>
      </c>
      <c r="U1721" s="21" t="s">
        <v>72</v>
      </c>
    </row>
    <row r="1722" customFormat="false" ht="15" hidden="false" customHeight="false" outlineLevel="0" collapsed="false">
      <c r="A1722" s="15" t="s">
        <v>79</v>
      </c>
      <c r="B1722" s="15" t="s">
        <v>421</v>
      </c>
      <c r="C1722" s="14" t="s">
        <v>11345</v>
      </c>
      <c r="D1722" s="14" t="s">
        <v>11346</v>
      </c>
      <c r="E1722" s="16" t="s">
        <v>11347</v>
      </c>
      <c r="F1722" s="16" t="s">
        <v>11348</v>
      </c>
      <c r="G1722" s="23" t="s">
        <v>43</v>
      </c>
      <c r="H1722" s="18" t="n">
        <v>2</v>
      </c>
      <c r="I1722" s="20" t="n">
        <v>48.14</v>
      </c>
      <c r="J1722" s="20" t="n">
        <v>91.02</v>
      </c>
      <c r="K1722" s="18" t="n">
        <v>3</v>
      </c>
      <c r="L1722" s="18" t="n">
        <v>2</v>
      </c>
      <c r="M1722" s="18" t="n">
        <v>40</v>
      </c>
      <c r="N1722" s="18" t="n">
        <v>30</v>
      </c>
      <c r="O1722" s="14" t="s">
        <v>3724</v>
      </c>
      <c r="P1722" s="14" t="s">
        <v>118</v>
      </c>
      <c r="Q1722" s="15" t="s">
        <v>1089</v>
      </c>
      <c r="R1722" s="16" t="s">
        <v>11349</v>
      </c>
      <c r="S1722" s="15" t="s">
        <v>11350</v>
      </c>
      <c r="T1722" s="15" t="s">
        <v>11351</v>
      </c>
      <c r="U1722" s="21" t="s">
        <v>72</v>
      </c>
    </row>
    <row r="1723" customFormat="false" ht="15" hidden="false" customHeight="false" outlineLevel="0" collapsed="false">
      <c r="A1723" s="15" t="s">
        <v>79</v>
      </c>
      <c r="B1723" s="15" t="s">
        <v>421</v>
      </c>
      <c r="C1723" s="14" t="s">
        <v>11352</v>
      </c>
      <c r="D1723" s="14" t="s">
        <v>11353</v>
      </c>
      <c r="E1723" s="16" t="s">
        <v>11354</v>
      </c>
      <c r="F1723" s="16" t="s">
        <v>11355</v>
      </c>
      <c r="G1723" s="23" t="s">
        <v>43</v>
      </c>
      <c r="H1723" s="18" t="n">
        <v>4</v>
      </c>
      <c r="I1723" s="20" t="n">
        <v>77.06</v>
      </c>
      <c r="J1723" s="20" t="n">
        <v>148.57</v>
      </c>
      <c r="K1723" s="18" t="n">
        <v>13</v>
      </c>
      <c r="L1723" s="18" t="n">
        <v>3</v>
      </c>
      <c r="M1723" s="18" t="n">
        <v>220</v>
      </c>
      <c r="N1723" s="18" t="n">
        <v>82</v>
      </c>
      <c r="O1723" s="14" t="s">
        <v>11356</v>
      </c>
      <c r="P1723" s="14" t="s">
        <v>118</v>
      </c>
      <c r="Q1723" s="15" t="s">
        <v>1089</v>
      </c>
      <c r="R1723" s="16" t="s">
        <v>11357</v>
      </c>
      <c r="S1723" s="15" t="s">
        <v>11358</v>
      </c>
      <c r="T1723" s="15" t="s">
        <v>11358</v>
      </c>
      <c r="U1723" s="21" t="s">
        <v>72</v>
      </c>
    </row>
    <row r="1724" customFormat="false" ht="15" hidden="false" customHeight="false" outlineLevel="0" collapsed="false">
      <c r="A1724" s="15" t="s">
        <v>79</v>
      </c>
      <c r="B1724" s="15" t="s">
        <v>421</v>
      </c>
      <c r="C1724" s="14" t="s">
        <v>455</v>
      </c>
      <c r="D1724" s="14" t="s">
        <v>11359</v>
      </c>
      <c r="E1724" s="16" t="s">
        <v>11360</v>
      </c>
      <c r="F1724" s="16" t="s">
        <v>458</v>
      </c>
      <c r="G1724" s="23" t="s">
        <v>43</v>
      </c>
      <c r="H1724" s="18" t="n">
        <v>3</v>
      </c>
      <c r="I1724" s="20" t="n">
        <v>44.6</v>
      </c>
      <c r="J1724" s="20" t="n">
        <v>124.61</v>
      </c>
      <c r="K1724" s="18" t="n">
        <v>3</v>
      </c>
      <c r="L1724" s="18" t="n">
        <v>3</v>
      </c>
      <c r="M1724" s="18" t="n">
        <v>36</v>
      </c>
      <c r="N1724" s="18" t="n">
        <v>12</v>
      </c>
      <c r="O1724" s="14" t="s">
        <v>1126</v>
      </c>
      <c r="P1724" s="14" t="s">
        <v>84</v>
      </c>
      <c r="Q1724" s="15" t="s">
        <v>1089</v>
      </c>
      <c r="R1724" s="16" t="s">
        <v>459</v>
      </c>
      <c r="S1724" s="15" t="s">
        <v>460</v>
      </c>
      <c r="T1724" s="15" t="s">
        <v>461</v>
      </c>
      <c r="U1724" s="21" t="s">
        <v>72</v>
      </c>
    </row>
    <row r="1725" customFormat="false" ht="15" hidden="false" customHeight="false" outlineLevel="0" collapsed="false">
      <c r="A1725" s="15" t="s">
        <v>79</v>
      </c>
      <c r="B1725" s="15" t="s">
        <v>421</v>
      </c>
      <c r="C1725" s="14" t="s">
        <v>11361</v>
      </c>
      <c r="D1725" s="14" t="s">
        <v>11362</v>
      </c>
      <c r="E1725" s="16" t="s">
        <v>11363</v>
      </c>
      <c r="F1725" s="16" t="s">
        <v>11364</v>
      </c>
      <c r="G1725" s="23" t="s">
        <v>43</v>
      </c>
      <c r="H1725" s="18" t="n">
        <v>2</v>
      </c>
      <c r="I1725" s="20" t="n">
        <v>77.98</v>
      </c>
      <c r="J1725" s="20" t="n">
        <v>180.8</v>
      </c>
      <c r="K1725" s="18" t="n">
        <v>4</v>
      </c>
      <c r="L1725" s="18" t="n">
        <v>1</v>
      </c>
      <c r="M1725" s="18" t="n">
        <v>126</v>
      </c>
      <c r="N1725" s="18" t="n">
        <v>64</v>
      </c>
      <c r="O1725" s="14" t="s">
        <v>1088</v>
      </c>
      <c r="P1725" s="14" t="s">
        <v>118</v>
      </c>
      <c r="Q1725" s="15" t="s">
        <v>1089</v>
      </c>
      <c r="R1725" s="16" t="s">
        <v>11365</v>
      </c>
      <c r="S1725" s="15" t="s">
        <v>11366</v>
      </c>
      <c r="T1725" s="15" t="s">
        <v>11366</v>
      </c>
      <c r="U1725" s="21" t="s">
        <v>72</v>
      </c>
    </row>
    <row r="1726" customFormat="false" ht="15" hidden="false" customHeight="false" outlineLevel="0" collapsed="false">
      <c r="A1726" s="15" t="s">
        <v>79</v>
      </c>
      <c r="B1726" s="15" t="s">
        <v>421</v>
      </c>
      <c r="C1726" s="14" t="s">
        <v>476</v>
      </c>
      <c r="D1726" s="14" t="s">
        <v>11367</v>
      </c>
      <c r="E1726" s="16" t="s">
        <v>11368</v>
      </c>
      <c r="F1726" s="16" t="s">
        <v>479</v>
      </c>
      <c r="G1726" s="25" t="s">
        <v>39</v>
      </c>
      <c r="H1726" s="18" t="n">
        <v>4</v>
      </c>
      <c r="I1726" s="20" t="n">
        <v>275.22</v>
      </c>
      <c r="J1726" s="20" t="n">
        <v>955.32</v>
      </c>
      <c r="K1726" s="18" t="n">
        <v>4</v>
      </c>
      <c r="L1726" s="18" t="n">
        <v>2</v>
      </c>
      <c r="M1726" s="18" t="n">
        <v>40</v>
      </c>
      <c r="N1726" s="18" t="n">
        <v>20</v>
      </c>
      <c r="O1726" s="14" t="s">
        <v>1126</v>
      </c>
      <c r="P1726" s="14" t="s">
        <v>118</v>
      </c>
      <c r="Q1726" s="15" t="s">
        <v>1089</v>
      </c>
      <c r="R1726" s="16" t="s">
        <v>480</v>
      </c>
      <c r="S1726" s="15" t="s">
        <v>481</v>
      </c>
      <c r="T1726" s="15" t="s">
        <v>482</v>
      </c>
      <c r="U1726" s="21" t="s">
        <v>72</v>
      </c>
    </row>
    <row r="1727" customFormat="false" ht="15" hidden="false" customHeight="false" outlineLevel="0" collapsed="false">
      <c r="A1727" s="15" t="s">
        <v>79</v>
      </c>
      <c r="B1727" s="15" t="s">
        <v>421</v>
      </c>
      <c r="C1727" s="14" t="s">
        <v>11369</v>
      </c>
      <c r="D1727" s="14" t="s">
        <v>11370</v>
      </c>
      <c r="E1727" s="16" t="s">
        <v>11371</v>
      </c>
      <c r="F1727" s="16"/>
      <c r="G1727" s="23" t="s">
        <v>43</v>
      </c>
      <c r="H1727" s="18" t="n">
        <v>2</v>
      </c>
      <c r="I1727" s="20" t="n">
        <v>40.44</v>
      </c>
      <c r="J1727" s="20" t="n">
        <v>125.16</v>
      </c>
      <c r="K1727" s="18" t="n">
        <v>2</v>
      </c>
      <c r="L1727" s="18" t="n">
        <v>2</v>
      </c>
      <c r="M1727" s="18" t="n">
        <v>30</v>
      </c>
      <c r="N1727" s="18" t="n">
        <v>15</v>
      </c>
      <c r="O1727" s="14" t="s">
        <v>1126</v>
      </c>
      <c r="P1727" s="14" t="s">
        <v>226</v>
      </c>
      <c r="Q1727" s="15" t="s">
        <v>1089</v>
      </c>
      <c r="R1727" s="16" t="s">
        <v>3405</v>
      </c>
      <c r="S1727" s="15" t="s">
        <v>11372</v>
      </c>
      <c r="T1727" s="15" t="s">
        <v>11373</v>
      </c>
      <c r="U1727" s="21" t="s">
        <v>72</v>
      </c>
    </row>
    <row r="1728" customFormat="false" ht="15" hidden="false" customHeight="false" outlineLevel="0" collapsed="false">
      <c r="A1728" s="15" t="s">
        <v>79</v>
      </c>
      <c r="B1728" s="15" t="s">
        <v>421</v>
      </c>
      <c r="C1728" s="14" t="s">
        <v>541</v>
      </c>
      <c r="D1728" s="14" t="s">
        <v>11374</v>
      </c>
      <c r="E1728" s="16" t="s">
        <v>11375</v>
      </c>
      <c r="F1728" s="16" t="s">
        <v>544</v>
      </c>
      <c r="G1728" s="23" t="s">
        <v>43</v>
      </c>
      <c r="H1728" s="18" t="n">
        <v>2</v>
      </c>
      <c r="I1728" s="20" t="n">
        <v>30</v>
      </c>
      <c r="J1728" s="20" t="n">
        <v>70</v>
      </c>
      <c r="K1728" s="18" t="n">
        <v>4</v>
      </c>
      <c r="L1728" s="18" t="n">
        <v>5</v>
      </c>
      <c r="M1728" s="18" t="n">
        <v>68</v>
      </c>
      <c r="N1728" s="18" t="n">
        <v>68</v>
      </c>
      <c r="O1728" s="14" t="s">
        <v>1126</v>
      </c>
      <c r="P1728" s="14" t="s">
        <v>84</v>
      </c>
      <c r="Q1728" s="15" t="s">
        <v>1089</v>
      </c>
      <c r="R1728" s="16" t="s">
        <v>545</v>
      </c>
      <c r="S1728" s="15" t="s">
        <v>546</v>
      </c>
      <c r="T1728" s="15" t="s">
        <v>547</v>
      </c>
      <c r="U1728" s="21" t="s">
        <v>72</v>
      </c>
    </row>
    <row r="1729" customFormat="false" ht="15" hidden="false" customHeight="false" outlineLevel="0" collapsed="false">
      <c r="A1729" s="15" t="s">
        <v>79</v>
      </c>
      <c r="B1729" s="15" t="s">
        <v>421</v>
      </c>
      <c r="C1729" s="14" t="s">
        <v>11376</v>
      </c>
      <c r="D1729" s="14" t="s">
        <v>11377</v>
      </c>
      <c r="E1729" s="16" t="s">
        <v>11378</v>
      </c>
      <c r="F1729" s="16" t="s">
        <v>11379</v>
      </c>
      <c r="G1729" s="19" t="s">
        <v>41</v>
      </c>
      <c r="H1729" s="18" t="n">
        <v>6</v>
      </c>
      <c r="I1729" s="20" t="n">
        <v>92.65</v>
      </c>
      <c r="J1729" s="20" t="n">
        <v>273.81</v>
      </c>
      <c r="K1729" s="18" t="n">
        <v>6</v>
      </c>
      <c r="L1729" s="18" t="n">
        <v>2</v>
      </c>
      <c r="M1729" s="18" t="n">
        <v>119</v>
      </c>
      <c r="N1729" s="18" t="n">
        <v>19</v>
      </c>
      <c r="O1729" s="14" t="s">
        <v>11380</v>
      </c>
      <c r="P1729" s="14" t="s">
        <v>202</v>
      </c>
      <c r="Q1729" s="15" t="s">
        <v>1089</v>
      </c>
      <c r="R1729" s="16" t="s">
        <v>9584</v>
      </c>
      <c r="S1729" s="15" t="s">
        <v>11381</v>
      </c>
      <c r="T1729" s="15" t="s">
        <v>11382</v>
      </c>
      <c r="U1729" s="21" t="s">
        <v>72</v>
      </c>
    </row>
    <row r="1730" customFormat="false" ht="15" hidden="false" customHeight="false" outlineLevel="0" collapsed="false">
      <c r="A1730" s="15" t="s">
        <v>79</v>
      </c>
      <c r="B1730" s="15" t="s">
        <v>421</v>
      </c>
      <c r="C1730" s="14" t="s">
        <v>11383</v>
      </c>
      <c r="D1730" s="14" t="s">
        <v>11384</v>
      </c>
      <c r="E1730" s="16" t="s">
        <v>11385</v>
      </c>
      <c r="F1730" s="16" t="s">
        <v>11386</v>
      </c>
      <c r="G1730" s="23" t="s">
        <v>43</v>
      </c>
      <c r="H1730" s="18" t="n">
        <v>4</v>
      </c>
      <c r="I1730" s="20" t="n">
        <v>69.68</v>
      </c>
      <c r="J1730" s="20" t="n">
        <v>172.5</v>
      </c>
      <c r="K1730" s="18" t="n">
        <v>4</v>
      </c>
      <c r="L1730" s="18" t="n">
        <v>2</v>
      </c>
      <c r="M1730" s="18" t="n">
        <v>73</v>
      </c>
      <c r="N1730" s="18" t="n">
        <v>73</v>
      </c>
      <c r="O1730" s="14" t="s">
        <v>1126</v>
      </c>
      <c r="P1730" s="14" t="s">
        <v>84</v>
      </c>
      <c r="Q1730" s="15" t="s">
        <v>1089</v>
      </c>
      <c r="R1730" s="16" t="s">
        <v>11387</v>
      </c>
      <c r="S1730" s="15" t="s">
        <v>11388</v>
      </c>
      <c r="T1730" s="15" t="s">
        <v>11388</v>
      </c>
      <c r="U1730" s="21" t="s">
        <v>72</v>
      </c>
    </row>
    <row r="1731" customFormat="false" ht="15" hidden="false" customHeight="false" outlineLevel="0" collapsed="false">
      <c r="A1731" s="15" t="s">
        <v>79</v>
      </c>
      <c r="B1731" s="15" t="s">
        <v>421</v>
      </c>
      <c r="C1731" s="14" t="s">
        <v>11389</v>
      </c>
      <c r="D1731" s="14" t="s">
        <v>11390</v>
      </c>
      <c r="E1731" s="16" t="s">
        <v>11391</v>
      </c>
      <c r="F1731" s="16" t="s">
        <v>11392</v>
      </c>
      <c r="G1731" s="23" t="s">
        <v>43</v>
      </c>
      <c r="H1731" s="18" t="n">
        <v>2</v>
      </c>
      <c r="I1731" s="20" t="n">
        <v>42.48</v>
      </c>
      <c r="J1731" s="20" t="n">
        <v>104.29</v>
      </c>
      <c r="K1731" s="18" t="n">
        <v>2</v>
      </c>
      <c r="L1731" s="18" t="n">
        <v>3</v>
      </c>
      <c r="M1731" s="18" t="n">
        <v>34</v>
      </c>
      <c r="N1731" s="18" t="n">
        <v>16</v>
      </c>
      <c r="O1731" s="14" t="s">
        <v>1126</v>
      </c>
      <c r="P1731" s="14" t="s">
        <v>118</v>
      </c>
      <c r="Q1731" s="15" t="s">
        <v>1089</v>
      </c>
      <c r="R1731" s="16" t="s">
        <v>11393</v>
      </c>
      <c r="S1731" s="15" t="s">
        <v>11394</v>
      </c>
      <c r="T1731" s="15" t="s">
        <v>11395</v>
      </c>
      <c r="U1731" s="21" t="s">
        <v>72</v>
      </c>
    </row>
    <row r="1732" customFormat="false" ht="15" hidden="false" customHeight="false" outlineLevel="0" collapsed="false">
      <c r="A1732" s="15" t="s">
        <v>79</v>
      </c>
      <c r="B1732" s="15" t="s">
        <v>421</v>
      </c>
      <c r="C1732" s="14" t="s">
        <v>11396</v>
      </c>
      <c r="D1732" s="14" t="s">
        <v>11397</v>
      </c>
      <c r="E1732" s="16" t="s">
        <v>11398</v>
      </c>
      <c r="F1732" s="16" t="s">
        <v>11399</v>
      </c>
      <c r="G1732" s="23" t="s">
        <v>43</v>
      </c>
      <c r="H1732" s="18" t="n">
        <v>2</v>
      </c>
      <c r="I1732" s="20" t="n">
        <v>37.85</v>
      </c>
      <c r="J1732" s="20" t="n">
        <v>187.15</v>
      </c>
      <c r="K1732" s="18" t="n">
        <v>2</v>
      </c>
      <c r="L1732" s="18" t="n">
        <v>3</v>
      </c>
      <c r="M1732" s="18" t="n">
        <v>26</v>
      </c>
      <c r="N1732" s="18" t="n">
        <v>26</v>
      </c>
      <c r="O1732" s="14" t="s">
        <v>1126</v>
      </c>
      <c r="P1732" s="14" t="s">
        <v>84</v>
      </c>
      <c r="Q1732" s="15" t="s">
        <v>1089</v>
      </c>
      <c r="R1732" s="16" t="s">
        <v>11400</v>
      </c>
      <c r="S1732" s="15" t="s">
        <v>11401</v>
      </c>
      <c r="T1732" s="15" t="s">
        <v>11401</v>
      </c>
      <c r="U1732" s="21" t="s">
        <v>72</v>
      </c>
    </row>
    <row r="1733" customFormat="false" ht="15" hidden="false" customHeight="false" outlineLevel="0" collapsed="false">
      <c r="A1733" s="15" t="s">
        <v>79</v>
      </c>
      <c r="B1733" s="15" t="s">
        <v>421</v>
      </c>
      <c r="C1733" s="14" t="s">
        <v>11402</v>
      </c>
      <c r="D1733" s="14" t="s">
        <v>11403</v>
      </c>
      <c r="E1733" s="16" t="s">
        <v>11404</v>
      </c>
      <c r="F1733" s="16"/>
      <c r="G1733" s="23" t="s">
        <v>43</v>
      </c>
      <c r="H1733" s="18" t="n">
        <v>2</v>
      </c>
      <c r="I1733" s="20" t="n">
        <v>36.62</v>
      </c>
      <c r="J1733" s="20" t="n">
        <v>91.3</v>
      </c>
      <c r="K1733" s="18" t="n">
        <v>2</v>
      </c>
      <c r="L1733" s="18" t="n">
        <v>2</v>
      </c>
      <c r="M1733" s="18" t="n">
        <v>25</v>
      </c>
      <c r="N1733" s="18" t="n">
        <v>13</v>
      </c>
      <c r="O1733" s="14" t="s">
        <v>1126</v>
      </c>
      <c r="P1733" s="14" t="s">
        <v>84</v>
      </c>
      <c r="Q1733" s="15" t="s">
        <v>1089</v>
      </c>
      <c r="R1733" s="16" t="s">
        <v>11405</v>
      </c>
      <c r="S1733" s="15" t="s">
        <v>11406</v>
      </c>
      <c r="T1733" s="15" t="s">
        <v>11407</v>
      </c>
      <c r="U1733" s="21" t="s">
        <v>72</v>
      </c>
    </row>
    <row r="1734" customFormat="false" ht="15" hidden="false" customHeight="false" outlineLevel="0" collapsed="false">
      <c r="A1734" s="15" t="s">
        <v>79</v>
      </c>
      <c r="B1734" s="15" t="s">
        <v>421</v>
      </c>
      <c r="C1734" s="14" t="s">
        <v>420</v>
      </c>
      <c r="D1734" s="14" t="s">
        <v>11408</v>
      </c>
      <c r="E1734" s="16" t="s">
        <v>11409</v>
      </c>
      <c r="F1734" s="16" t="s">
        <v>424</v>
      </c>
      <c r="G1734" s="23" t="s">
        <v>43</v>
      </c>
      <c r="H1734" s="18" t="n">
        <v>2</v>
      </c>
      <c r="I1734" s="20" t="n">
        <v>40.78</v>
      </c>
      <c r="J1734" s="20" t="n">
        <v>111.48</v>
      </c>
      <c r="K1734" s="18" t="n">
        <v>4</v>
      </c>
      <c r="L1734" s="18" t="n">
        <v>2</v>
      </c>
      <c r="M1734" s="18" t="n">
        <v>64</v>
      </c>
      <c r="N1734" s="18" t="n">
        <v>32</v>
      </c>
      <c r="O1734" s="14" t="s">
        <v>1126</v>
      </c>
      <c r="P1734" s="14" t="s">
        <v>94</v>
      </c>
      <c r="Q1734" s="15" t="s">
        <v>1089</v>
      </c>
      <c r="R1734" s="16" t="s">
        <v>425</v>
      </c>
      <c r="S1734" s="15" t="s">
        <v>426</v>
      </c>
      <c r="T1734" s="15" t="s">
        <v>427</v>
      </c>
      <c r="U1734" s="21" t="s">
        <v>72</v>
      </c>
    </row>
    <row r="1735" customFormat="false" ht="15" hidden="false" customHeight="false" outlineLevel="0" collapsed="false">
      <c r="A1735" s="15" t="s">
        <v>79</v>
      </c>
      <c r="B1735" s="15" t="s">
        <v>421</v>
      </c>
      <c r="C1735" s="14" t="s">
        <v>11410</v>
      </c>
      <c r="D1735" s="14" t="s">
        <v>11411</v>
      </c>
      <c r="E1735" s="16" t="s">
        <v>11412</v>
      </c>
      <c r="F1735" s="16"/>
      <c r="G1735" s="25" t="s">
        <v>39</v>
      </c>
      <c r="H1735" s="18" t="n">
        <v>4</v>
      </c>
      <c r="I1735" s="20" t="n">
        <v>190</v>
      </c>
      <c r="J1735" s="20" t="n">
        <v>455.45</v>
      </c>
      <c r="K1735" s="18" t="n">
        <v>4</v>
      </c>
      <c r="L1735" s="18" t="n">
        <v>1</v>
      </c>
      <c r="M1735" s="18" t="n">
        <v>157</v>
      </c>
      <c r="N1735" s="18" t="n">
        <v>76</v>
      </c>
      <c r="O1735" s="14" t="s">
        <v>1126</v>
      </c>
      <c r="P1735" s="14" t="s">
        <v>118</v>
      </c>
      <c r="Q1735" s="15" t="s">
        <v>1089</v>
      </c>
      <c r="R1735" s="16" t="s">
        <v>11413</v>
      </c>
      <c r="S1735" s="15" t="s">
        <v>11414</v>
      </c>
      <c r="T1735" s="15" t="s">
        <v>11414</v>
      </c>
      <c r="U1735" s="21" t="s">
        <v>72</v>
      </c>
    </row>
    <row r="1736" customFormat="false" ht="15" hidden="false" customHeight="false" outlineLevel="0" collapsed="false">
      <c r="A1736" s="15" t="s">
        <v>79</v>
      </c>
      <c r="B1736" s="15" t="s">
        <v>179</v>
      </c>
      <c r="C1736" s="14" t="s">
        <v>11415</v>
      </c>
      <c r="D1736" s="14" t="s">
        <v>11416</v>
      </c>
      <c r="E1736" s="16" t="s">
        <v>11417</v>
      </c>
      <c r="F1736" s="16" t="s">
        <v>11418</v>
      </c>
      <c r="G1736" s="23" t="s">
        <v>43</v>
      </c>
      <c r="H1736" s="18" t="n">
        <v>2</v>
      </c>
      <c r="I1736" s="20" t="n">
        <v>31.27</v>
      </c>
      <c r="J1736" s="20" t="n">
        <v>105.33</v>
      </c>
      <c r="K1736" s="18" t="n">
        <v>4</v>
      </c>
      <c r="L1736" s="18" t="n">
        <v>2</v>
      </c>
      <c r="M1736" s="18" t="n">
        <v>50</v>
      </c>
      <c r="N1736" s="18" t="n">
        <v>25</v>
      </c>
      <c r="O1736" s="14" t="s">
        <v>6448</v>
      </c>
      <c r="P1736" s="14" t="s">
        <v>118</v>
      </c>
      <c r="Q1736" s="15" t="s">
        <v>1089</v>
      </c>
      <c r="R1736" s="16" t="s">
        <v>11419</v>
      </c>
      <c r="S1736" s="15" t="s">
        <v>11420</v>
      </c>
      <c r="T1736" s="15" t="s">
        <v>11420</v>
      </c>
      <c r="U1736" s="21" t="s">
        <v>72</v>
      </c>
    </row>
    <row r="1737" customFormat="false" ht="26.85" hidden="false" customHeight="false" outlineLevel="0" collapsed="false">
      <c r="A1737" s="15" t="s">
        <v>79</v>
      </c>
      <c r="B1737" s="15" t="s">
        <v>179</v>
      </c>
      <c r="C1737" s="14" t="s">
        <v>11421</v>
      </c>
      <c r="D1737" s="14" t="s">
        <v>11422</v>
      </c>
      <c r="E1737" s="16" t="s">
        <v>11423</v>
      </c>
      <c r="F1737" s="16" t="s">
        <v>105</v>
      </c>
      <c r="G1737" s="23" t="s">
        <v>43</v>
      </c>
      <c r="H1737" s="18" t="n">
        <v>2</v>
      </c>
      <c r="I1737" s="20" t="n">
        <v>44.35</v>
      </c>
      <c r="J1737" s="20" t="n">
        <v>81.69</v>
      </c>
      <c r="K1737" s="18" t="n">
        <v>16</v>
      </c>
      <c r="L1737" s="18" t="n">
        <v>2</v>
      </c>
      <c r="M1737" s="18" t="n">
        <v>274</v>
      </c>
      <c r="N1737" s="18" t="n">
        <v>64</v>
      </c>
      <c r="O1737" s="14" t="s">
        <v>10652</v>
      </c>
      <c r="P1737" s="14" t="s">
        <v>118</v>
      </c>
      <c r="Q1737" s="15" t="s">
        <v>1089</v>
      </c>
      <c r="R1737" s="16" t="s">
        <v>11424</v>
      </c>
      <c r="S1737" s="15" t="s">
        <v>107</v>
      </c>
      <c r="T1737" s="15" t="s">
        <v>11425</v>
      </c>
      <c r="U1737" s="21" t="s">
        <v>72</v>
      </c>
    </row>
    <row r="1738" customFormat="false" ht="26.85" hidden="false" customHeight="false" outlineLevel="0" collapsed="false">
      <c r="A1738" s="15" t="s">
        <v>79</v>
      </c>
      <c r="B1738" s="15" t="s">
        <v>179</v>
      </c>
      <c r="C1738" s="14" t="s">
        <v>11426</v>
      </c>
      <c r="D1738" s="14" t="s">
        <v>11427</v>
      </c>
      <c r="E1738" s="16" t="s">
        <v>11423</v>
      </c>
      <c r="F1738" s="16" t="s">
        <v>105</v>
      </c>
      <c r="G1738" s="23" t="s">
        <v>43</v>
      </c>
      <c r="H1738" s="18" t="n">
        <v>3</v>
      </c>
      <c r="I1738" s="20" t="n">
        <v>67.34</v>
      </c>
      <c r="J1738" s="20" t="n">
        <v>92.34</v>
      </c>
      <c r="K1738" s="18" t="n">
        <v>15</v>
      </c>
      <c r="L1738" s="18" t="n">
        <v>4</v>
      </c>
      <c r="M1738" s="18" t="n">
        <v>254</v>
      </c>
      <c r="N1738" s="18" t="n">
        <v>128</v>
      </c>
      <c r="O1738" s="14" t="s">
        <v>1126</v>
      </c>
      <c r="P1738" s="14" t="s">
        <v>226</v>
      </c>
      <c r="Q1738" s="15" t="s">
        <v>1089</v>
      </c>
      <c r="R1738" s="16" t="s">
        <v>11428</v>
      </c>
      <c r="S1738" s="15" t="s">
        <v>107</v>
      </c>
      <c r="T1738" s="15" t="s">
        <v>11429</v>
      </c>
      <c r="U1738" s="21" t="s">
        <v>72</v>
      </c>
    </row>
    <row r="1739" customFormat="false" ht="26.85" hidden="false" customHeight="false" outlineLevel="0" collapsed="false">
      <c r="A1739" s="15" t="s">
        <v>79</v>
      </c>
      <c r="B1739" s="15" t="s">
        <v>179</v>
      </c>
      <c r="C1739" s="14" t="s">
        <v>11430</v>
      </c>
      <c r="D1739" s="14" t="s">
        <v>11431</v>
      </c>
      <c r="E1739" s="16" t="s">
        <v>11432</v>
      </c>
      <c r="F1739" s="16" t="s">
        <v>11433</v>
      </c>
      <c r="G1739" s="23" t="s">
        <v>43</v>
      </c>
      <c r="H1739" s="18" t="n">
        <v>3</v>
      </c>
      <c r="I1739" s="20" t="n">
        <v>62.04</v>
      </c>
      <c r="J1739" s="20" t="n">
        <v>112.86</v>
      </c>
      <c r="K1739" s="18" t="n">
        <v>15</v>
      </c>
      <c r="L1739" s="18" t="n">
        <v>5</v>
      </c>
      <c r="M1739" s="18" t="n">
        <v>182</v>
      </c>
      <c r="N1739" s="18" t="n">
        <v>56</v>
      </c>
      <c r="O1739" s="14" t="s">
        <v>11434</v>
      </c>
      <c r="P1739" s="14" t="s">
        <v>118</v>
      </c>
      <c r="Q1739" s="15" t="s">
        <v>1089</v>
      </c>
      <c r="R1739" s="16" t="s">
        <v>292</v>
      </c>
      <c r="S1739" s="15" t="s">
        <v>11435</v>
      </c>
      <c r="T1739" s="15" t="s">
        <v>11435</v>
      </c>
      <c r="U1739" s="21" t="s">
        <v>72</v>
      </c>
    </row>
    <row r="1740" customFormat="false" ht="15" hidden="false" customHeight="false" outlineLevel="0" collapsed="false">
      <c r="A1740" s="15" t="s">
        <v>79</v>
      </c>
      <c r="B1740" s="15" t="s">
        <v>179</v>
      </c>
      <c r="C1740" s="14" t="s">
        <v>222</v>
      </c>
      <c r="D1740" s="14" t="s">
        <v>11436</v>
      </c>
      <c r="E1740" s="16" t="s">
        <v>11437</v>
      </c>
      <c r="F1740" s="16" t="s">
        <v>225</v>
      </c>
      <c r="G1740" s="23" t="s">
        <v>43</v>
      </c>
      <c r="H1740" s="18" t="n">
        <v>3</v>
      </c>
      <c r="I1740" s="20" t="n">
        <v>44.88</v>
      </c>
      <c r="J1740" s="20" t="n">
        <v>175.56</v>
      </c>
      <c r="K1740" s="18" t="n">
        <v>5</v>
      </c>
      <c r="L1740" s="18" t="n">
        <v>1</v>
      </c>
      <c r="M1740" s="18" t="n">
        <v>60</v>
      </c>
      <c r="N1740" s="18" t="n">
        <v>24</v>
      </c>
      <c r="O1740" s="14" t="s">
        <v>1126</v>
      </c>
      <c r="P1740" s="14" t="s">
        <v>226</v>
      </c>
      <c r="Q1740" s="15" t="s">
        <v>1089</v>
      </c>
      <c r="R1740" s="16" t="s">
        <v>227</v>
      </c>
      <c r="S1740" s="15" t="s">
        <v>228</v>
      </c>
      <c r="T1740" s="15" t="s">
        <v>229</v>
      </c>
      <c r="U1740" s="21" t="s">
        <v>72</v>
      </c>
    </row>
    <row r="1741" customFormat="false" ht="15" hidden="false" customHeight="false" outlineLevel="0" collapsed="false">
      <c r="A1741" s="15" t="s">
        <v>79</v>
      </c>
      <c r="B1741" s="15" t="s">
        <v>179</v>
      </c>
      <c r="C1741" s="14" t="s">
        <v>11438</v>
      </c>
      <c r="D1741" s="14" t="s">
        <v>11439</v>
      </c>
      <c r="E1741" s="16" t="s">
        <v>11440</v>
      </c>
      <c r="F1741" s="16"/>
      <c r="G1741" s="23" t="s">
        <v>43</v>
      </c>
      <c r="H1741" s="18" t="n">
        <v>3</v>
      </c>
      <c r="I1741" s="20" t="n">
        <v>38.28</v>
      </c>
      <c r="J1741" s="20" t="n">
        <v>88.07</v>
      </c>
      <c r="K1741" s="18" t="n">
        <v>3</v>
      </c>
      <c r="L1741" s="18" t="n">
        <v>1</v>
      </c>
      <c r="M1741" s="18" t="n">
        <v>30</v>
      </c>
      <c r="N1741" s="18" t="n">
        <v>30</v>
      </c>
      <c r="O1741" s="14" t="s">
        <v>1126</v>
      </c>
      <c r="P1741" s="14" t="s">
        <v>84</v>
      </c>
      <c r="Q1741" s="15" t="s">
        <v>1089</v>
      </c>
      <c r="R1741" s="16" t="s">
        <v>11441</v>
      </c>
      <c r="S1741" s="15" t="s">
        <v>11442</v>
      </c>
      <c r="T1741" s="16"/>
      <c r="U1741" s="21" t="s">
        <v>72</v>
      </c>
    </row>
    <row r="1742" customFormat="false" ht="15" hidden="false" customHeight="false" outlineLevel="0" collapsed="false">
      <c r="A1742" s="15" t="s">
        <v>79</v>
      </c>
      <c r="B1742" s="15" t="s">
        <v>179</v>
      </c>
      <c r="C1742" s="14" t="s">
        <v>11443</v>
      </c>
      <c r="D1742" s="14" t="s">
        <v>11444</v>
      </c>
      <c r="E1742" s="16" t="s">
        <v>11445</v>
      </c>
      <c r="F1742" s="16" t="s">
        <v>11446</v>
      </c>
      <c r="G1742" s="19" t="s">
        <v>41</v>
      </c>
      <c r="H1742" s="18" t="n">
        <v>4</v>
      </c>
      <c r="I1742" s="20" t="n">
        <v>111.32</v>
      </c>
      <c r="J1742" s="20" t="n">
        <v>218.96</v>
      </c>
      <c r="K1742" s="18" t="n">
        <v>4</v>
      </c>
      <c r="L1742" s="18" t="n">
        <v>6</v>
      </c>
      <c r="M1742" s="18" t="n">
        <v>92</v>
      </c>
      <c r="N1742" s="18" t="n">
        <v>92</v>
      </c>
      <c r="O1742" s="14" t="s">
        <v>1088</v>
      </c>
      <c r="P1742" s="14" t="s">
        <v>84</v>
      </c>
      <c r="Q1742" s="15" t="s">
        <v>1089</v>
      </c>
      <c r="R1742" s="16" t="s">
        <v>11447</v>
      </c>
      <c r="S1742" s="15" t="s">
        <v>11448</v>
      </c>
      <c r="T1742" s="15" t="s">
        <v>11448</v>
      </c>
      <c r="U1742" s="21" t="s">
        <v>72</v>
      </c>
    </row>
    <row r="1743" customFormat="false" ht="15" hidden="false" customHeight="false" outlineLevel="0" collapsed="false">
      <c r="A1743" s="15" t="s">
        <v>79</v>
      </c>
      <c r="B1743" s="15" t="s">
        <v>179</v>
      </c>
      <c r="C1743" s="14" t="s">
        <v>11449</v>
      </c>
      <c r="D1743" s="14" t="s">
        <v>11450</v>
      </c>
      <c r="E1743" s="16" t="s">
        <v>11451</v>
      </c>
      <c r="F1743" s="16" t="s">
        <v>11452</v>
      </c>
      <c r="G1743" s="19" t="s">
        <v>41</v>
      </c>
      <c r="H1743" s="18" t="n">
        <v>6</v>
      </c>
      <c r="I1743" s="20" t="n">
        <v>91.06</v>
      </c>
      <c r="J1743" s="20" t="n">
        <v>189.38</v>
      </c>
      <c r="K1743" s="18" t="n">
        <v>9</v>
      </c>
      <c r="L1743" s="18" t="n">
        <v>7</v>
      </c>
      <c r="M1743" s="18" t="n">
        <v>107</v>
      </c>
      <c r="N1743" s="18" t="n">
        <v>61</v>
      </c>
      <c r="O1743" s="14" t="s">
        <v>3724</v>
      </c>
      <c r="P1743" s="14" t="s">
        <v>84</v>
      </c>
      <c r="Q1743" s="15" t="s">
        <v>1089</v>
      </c>
      <c r="R1743" s="16" t="s">
        <v>11453</v>
      </c>
      <c r="S1743" s="15" t="s">
        <v>11454</v>
      </c>
      <c r="T1743" s="15" t="s">
        <v>11454</v>
      </c>
      <c r="U1743" s="21" t="s">
        <v>72</v>
      </c>
    </row>
    <row r="1744" customFormat="false" ht="15" hidden="false" customHeight="false" outlineLevel="0" collapsed="false">
      <c r="A1744" s="15" t="s">
        <v>79</v>
      </c>
      <c r="B1744" s="15" t="s">
        <v>179</v>
      </c>
      <c r="C1744" s="14" t="s">
        <v>11455</v>
      </c>
      <c r="D1744" s="14" t="s">
        <v>11456</v>
      </c>
      <c r="E1744" s="16" t="s">
        <v>11457</v>
      </c>
      <c r="F1744" s="16" t="s">
        <v>11458</v>
      </c>
      <c r="G1744" s="23" t="s">
        <v>43</v>
      </c>
      <c r="H1744" s="18" t="n">
        <v>1</v>
      </c>
      <c r="I1744" s="20" t="n">
        <v>43.16</v>
      </c>
      <c r="J1744" s="20" t="n">
        <v>124.16</v>
      </c>
      <c r="K1744" s="18" t="n">
        <v>4</v>
      </c>
      <c r="L1744" s="18" t="n">
        <v>3</v>
      </c>
      <c r="M1744" s="18" t="n">
        <v>140</v>
      </c>
      <c r="N1744" s="18" t="n">
        <v>70</v>
      </c>
      <c r="O1744" s="14" t="s">
        <v>1126</v>
      </c>
      <c r="P1744" s="14" t="s">
        <v>84</v>
      </c>
      <c r="Q1744" s="15" t="s">
        <v>1089</v>
      </c>
      <c r="R1744" s="16" t="s">
        <v>11459</v>
      </c>
      <c r="S1744" s="15" t="s">
        <v>11460</v>
      </c>
      <c r="T1744" s="15" t="s">
        <v>11460</v>
      </c>
      <c r="U1744" s="21" t="s">
        <v>72</v>
      </c>
    </row>
    <row r="1745" customFormat="false" ht="15" hidden="false" customHeight="false" outlineLevel="0" collapsed="false">
      <c r="A1745" s="15" t="s">
        <v>79</v>
      </c>
      <c r="B1745" s="15" t="s">
        <v>179</v>
      </c>
      <c r="C1745" s="14" t="s">
        <v>11461</v>
      </c>
      <c r="D1745" s="14" t="s">
        <v>11462</v>
      </c>
      <c r="E1745" s="16" t="s">
        <v>11463</v>
      </c>
      <c r="F1745" s="16" t="s">
        <v>11464</v>
      </c>
      <c r="G1745" s="23" t="s">
        <v>43</v>
      </c>
      <c r="H1745" s="18" t="n">
        <v>2</v>
      </c>
      <c r="I1745" s="20" t="n">
        <v>39.48</v>
      </c>
      <c r="J1745" s="20" t="n">
        <v>95.27</v>
      </c>
      <c r="K1745" s="18" t="n">
        <v>2</v>
      </c>
      <c r="L1745" s="18" t="n">
        <v>5</v>
      </c>
      <c r="M1745" s="18" t="n">
        <v>20</v>
      </c>
      <c r="N1745" s="18" t="n">
        <v>20</v>
      </c>
      <c r="O1745" s="14" t="s">
        <v>1126</v>
      </c>
      <c r="P1745" s="14" t="s">
        <v>84</v>
      </c>
      <c r="Q1745" s="15" t="s">
        <v>1089</v>
      </c>
      <c r="R1745" s="16" t="s">
        <v>11465</v>
      </c>
      <c r="S1745" s="15" t="s">
        <v>11466</v>
      </c>
      <c r="T1745" s="15" t="s">
        <v>11466</v>
      </c>
      <c r="U1745" s="21" t="s">
        <v>72</v>
      </c>
    </row>
    <row r="1746" customFormat="false" ht="15" hidden="false" customHeight="false" outlineLevel="0" collapsed="false">
      <c r="A1746" s="15" t="s">
        <v>79</v>
      </c>
      <c r="B1746" s="15" t="s">
        <v>179</v>
      </c>
      <c r="C1746" s="14" t="s">
        <v>11467</v>
      </c>
      <c r="D1746" s="14" t="s">
        <v>11468</v>
      </c>
      <c r="E1746" s="16" t="s">
        <v>11469</v>
      </c>
      <c r="F1746" s="16" t="s">
        <v>11470</v>
      </c>
      <c r="G1746" s="23" t="s">
        <v>43</v>
      </c>
      <c r="H1746" s="18" t="n">
        <v>2</v>
      </c>
      <c r="I1746" s="20" t="n">
        <v>33.84</v>
      </c>
      <c r="J1746" s="20" t="n">
        <v>74.56</v>
      </c>
      <c r="K1746" s="18" t="n">
        <v>2</v>
      </c>
      <c r="L1746" s="18" t="n">
        <v>2</v>
      </c>
      <c r="M1746" s="18" t="n">
        <v>27</v>
      </c>
      <c r="N1746" s="18" t="n">
        <v>10</v>
      </c>
      <c r="O1746" s="14" t="s">
        <v>1088</v>
      </c>
      <c r="P1746" s="14" t="s">
        <v>118</v>
      </c>
      <c r="Q1746" s="15" t="s">
        <v>1089</v>
      </c>
      <c r="R1746" s="16" t="s">
        <v>11471</v>
      </c>
      <c r="S1746" s="15" t="s">
        <v>11472</v>
      </c>
      <c r="T1746" s="15" t="s">
        <v>11473</v>
      </c>
      <c r="U1746" s="21" t="s">
        <v>72</v>
      </c>
    </row>
    <row r="1747" customFormat="false" ht="25.35" hidden="false" customHeight="false" outlineLevel="0" collapsed="false">
      <c r="A1747" s="15" t="s">
        <v>79</v>
      </c>
      <c r="B1747" s="15" t="s">
        <v>179</v>
      </c>
      <c r="C1747" s="14" t="s">
        <v>11474</v>
      </c>
      <c r="D1747" s="14" t="s">
        <v>11475</v>
      </c>
      <c r="E1747" s="16" t="s">
        <v>11476</v>
      </c>
      <c r="F1747" s="16" t="s">
        <v>10957</v>
      </c>
      <c r="G1747" s="19" t="s">
        <v>41</v>
      </c>
      <c r="H1747" s="18" t="n">
        <v>5</v>
      </c>
      <c r="I1747" s="20" t="n">
        <v>124.87</v>
      </c>
      <c r="J1747" s="20" t="n">
        <v>300.66</v>
      </c>
      <c r="K1747" s="18" t="n">
        <v>12</v>
      </c>
      <c r="L1747" s="18" t="n">
        <v>6</v>
      </c>
      <c r="M1747" s="18" t="n">
        <v>255</v>
      </c>
      <c r="N1747" s="18" t="n">
        <v>175</v>
      </c>
      <c r="O1747" s="14" t="s">
        <v>11477</v>
      </c>
      <c r="P1747" s="14" t="s">
        <v>118</v>
      </c>
      <c r="Q1747" s="15" t="s">
        <v>1089</v>
      </c>
      <c r="R1747" s="16" t="s">
        <v>11478</v>
      </c>
      <c r="S1747" s="15" t="s">
        <v>10959</v>
      </c>
      <c r="T1747" s="15" t="s">
        <v>10959</v>
      </c>
      <c r="U1747" s="21" t="s">
        <v>72</v>
      </c>
    </row>
    <row r="1748" customFormat="false" ht="15" hidden="false" customHeight="false" outlineLevel="0" collapsed="false">
      <c r="A1748" s="15" t="s">
        <v>79</v>
      </c>
      <c r="B1748" s="15" t="s">
        <v>179</v>
      </c>
      <c r="C1748" s="14" t="s">
        <v>265</v>
      </c>
      <c r="D1748" s="14" t="s">
        <v>11479</v>
      </c>
      <c r="E1748" s="16" t="s">
        <v>11480</v>
      </c>
      <c r="F1748" s="16" t="s">
        <v>268</v>
      </c>
      <c r="G1748" s="23" t="s">
        <v>43</v>
      </c>
      <c r="H1748" s="18" t="n">
        <v>3</v>
      </c>
      <c r="I1748" s="20" t="n">
        <v>57.51</v>
      </c>
      <c r="J1748" s="20" t="n">
        <v>104.26</v>
      </c>
      <c r="K1748" s="18" t="n">
        <v>3</v>
      </c>
      <c r="L1748" s="18" t="n">
        <v>2</v>
      </c>
      <c r="M1748" s="18" t="n">
        <v>45</v>
      </c>
      <c r="N1748" s="18" t="n">
        <v>30</v>
      </c>
      <c r="O1748" s="14" t="s">
        <v>1126</v>
      </c>
      <c r="P1748" s="14" t="s">
        <v>94</v>
      </c>
      <c r="Q1748" s="15" t="s">
        <v>1089</v>
      </c>
      <c r="R1748" s="16" t="s">
        <v>269</v>
      </c>
      <c r="S1748" s="15" t="s">
        <v>270</v>
      </c>
      <c r="T1748" s="15" t="s">
        <v>270</v>
      </c>
      <c r="U1748" s="21" t="s">
        <v>72</v>
      </c>
    </row>
    <row r="1749" customFormat="false" ht="15" hidden="false" customHeight="false" outlineLevel="0" collapsed="false">
      <c r="A1749" s="15" t="s">
        <v>79</v>
      </c>
      <c r="B1749" s="15" t="s">
        <v>179</v>
      </c>
      <c r="C1749" s="14" t="s">
        <v>11481</v>
      </c>
      <c r="D1749" s="14" t="s">
        <v>11482</v>
      </c>
      <c r="E1749" s="16" t="s">
        <v>11483</v>
      </c>
      <c r="F1749" s="16" t="s">
        <v>9742</v>
      </c>
      <c r="G1749" s="19" t="s">
        <v>41</v>
      </c>
      <c r="H1749" s="18" t="n">
        <v>5</v>
      </c>
      <c r="I1749" s="20" t="n">
        <v>157.66</v>
      </c>
      <c r="J1749" s="20" t="n">
        <v>288.86</v>
      </c>
      <c r="K1749" s="18" t="n">
        <v>5</v>
      </c>
      <c r="L1749" s="18" t="n">
        <v>5</v>
      </c>
      <c r="M1749" s="18" t="n">
        <v>129</v>
      </c>
      <c r="N1749" s="18" t="n">
        <v>60</v>
      </c>
      <c r="O1749" s="14" t="s">
        <v>11484</v>
      </c>
      <c r="P1749" s="14" t="s">
        <v>118</v>
      </c>
      <c r="Q1749" s="15" t="s">
        <v>1089</v>
      </c>
      <c r="R1749" s="16" t="s">
        <v>7806</v>
      </c>
      <c r="S1749" s="15" t="s">
        <v>9744</v>
      </c>
      <c r="T1749" s="15" t="s">
        <v>9744</v>
      </c>
      <c r="U1749" s="21" t="s">
        <v>72</v>
      </c>
    </row>
    <row r="1750" customFormat="false" ht="26.85" hidden="false" customHeight="false" outlineLevel="0" collapsed="false">
      <c r="A1750" s="15" t="s">
        <v>79</v>
      </c>
      <c r="B1750" s="15" t="s">
        <v>179</v>
      </c>
      <c r="C1750" s="14" t="s">
        <v>11485</v>
      </c>
      <c r="D1750" s="14" t="s">
        <v>11486</v>
      </c>
      <c r="E1750" s="16" t="s">
        <v>11487</v>
      </c>
      <c r="F1750" s="16" t="s">
        <v>11488</v>
      </c>
      <c r="G1750" s="19" t="s">
        <v>41</v>
      </c>
      <c r="H1750" s="18" t="n">
        <v>3</v>
      </c>
      <c r="I1750" s="20" t="n">
        <v>101.92</v>
      </c>
      <c r="J1750" s="20" t="n">
        <v>243.17</v>
      </c>
      <c r="K1750" s="18" t="n">
        <v>4</v>
      </c>
      <c r="L1750" s="18" t="n">
        <v>6</v>
      </c>
      <c r="M1750" s="18" t="n">
        <v>109</v>
      </c>
      <c r="N1750" s="18" t="n">
        <v>83</v>
      </c>
      <c r="O1750" s="14" t="s">
        <v>9797</v>
      </c>
      <c r="P1750" s="14" t="s">
        <v>906</v>
      </c>
      <c r="Q1750" s="15" t="s">
        <v>1089</v>
      </c>
      <c r="R1750" s="16" t="s">
        <v>11489</v>
      </c>
      <c r="S1750" s="15" t="s">
        <v>11490</v>
      </c>
      <c r="T1750" s="15" t="s">
        <v>11490</v>
      </c>
      <c r="U1750" s="21" t="s">
        <v>72</v>
      </c>
    </row>
    <row r="1751" customFormat="false" ht="15" hidden="false" customHeight="false" outlineLevel="0" collapsed="false">
      <c r="A1751" s="15" t="s">
        <v>79</v>
      </c>
      <c r="B1751" s="15" t="s">
        <v>179</v>
      </c>
      <c r="C1751" s="14" t="s">
        <v>11491</v>
      </c>
      <c r="D1751" s="14" t="s">
        <v>11492</v>
      </c>
      <c r="E1751" s="16" t="s">
        <v>11493</v>
      </c>
      <c r="F1751" s="16"/>
      <c r="G1751" s="23" t="s">
        <v>43</v>
      </c>
      <c r="H1751" s="18" t="n">
        <v>4</v>
      </c>
      <c r="I1751" s="20" t="n">
        <v>64.84</v>
      </c>
      <c r="J1751" s="20" t="n">
        <v>118.09</v>
      </c>
      <c r="K1751" s="18" t="n">
        <v>5</v>
      </c>
      <c r="L1751" s="18" t="n">
        <v>2</v>
      </c>
      <c r="M1751" s="18" t="n">
        <v>50</v>
      </c>
      <c r="N1751" s="18" t="n">
        <v>30</v>
      </c>
      <c r="O1751" s="14" t="s">
        <v>1126</v>
      </c>
      <c r="P1751" s="14" t="s">
        <v>118</v>
      </c>
      <c r="Q1751" s="15" t="s">
        <v>1089</v>
      </c>
      <c r="R1751" s="16" t="s">
        <v>10439</v>
      </c>
      <c r="S1751" s="15" t="s">
        <v>11494</v>
      </c>
      <c r="T1751" s="15" t="s">
        <v>11495</v>
      </c>
      <c r="U1751" s="21" t="s">
        <v>72</v>
      </c>
    </row>
    <row r="1752" customFormat="false" ht="15" hidden="false" customHeight="false" outlineLevel="0" collapsed="false">
      <c r="A1752" s="15" t="s">
        <v>79</v>
      </c>
      <c r="B1752" s="15" t="s">
        <v>179</v>
      </c>
      <c r="C1752" s="14" t="s">
        <v>11496</v>
      </c>
      <c r="D1752" s="14" t="s">
        <v>11497</v>
      </c>
      <c r="E1752" s="16" t="s">
        <v>11498</v>
      </c>
      <c r="F1752" s="16" t="s">
        <v>11499</v>
      </c>
      <c r="G1752" s="25" t="s">
        <v>39</v>
      </c>
      <c r="H1752" s="18" t="n">
        <v>8</v>
      </c>
      <c r="I1752" s="20" t="n">
        <v>181.91</v>
      </c>
      <c r="J1752" s="20" t="n">
        <v>332.14</v>
      </c>
      <c r="K1752" s="18" t="n">
        <v>16</v>
      </c>
      <c r="L1752" s="18" t="n">
        <v>7</v>
      </c>
      <c r="M1752" s="18" t="n">
        <v>302</v>
      </c>
      <c r="N1752" s="18" t="n">
        <v>140</v>
      </c>
      <c r="O1752" s="14" t="s">
        <v>11500</v>
      </c>
      <c r="P1752" s="14" t="s">
        <v>118</v>
      </c>
      <c r="Q1752" s="15" t="s">
        <v>1089</v>
      </c>
      <c r="R1752" s="16" t="s">
        <v>11501</v>
      </c>
      <c r="S1752" s="15" t="s">
        <v>2220</v>
      </c>
      <c r="T1752" s="15" t="s">
        <v>11502</v>
      </c>
      <c r="U1752" s="21" t="s">
        <v>72</v>
      </c>
    </row>
    <row r="1753" customFormat="false" ht="15" hidden="false" customHeight="false" outlineLevel="0" collapsed="false">
      <c r="A1753" s="15" t="s">
        <v>79</v>
      </c>
      <c r="B1753" s="15" t="s">
        <v>179</v>
      </c>
      <c r="C1753" s="14" t="s">
        <v>249</v>
      </c>
      <c r="D1753" s="14" t="s">
        <v>11503</v>
      </c>
      <c r="E1753" s="16" t="s">
        <v>11504</v>
      </c>
      <c r="F1753" s="16" t="s">
        <v>252</v>
      </c>
      <c r="G1753" s="23" t="s">
        <v>43</v>
      </c>
      <c r="H1753" s="18" t="n">
        <v>4</v>
      </c>
      <c r="I1753" s="20" t="n">
        <v>67.2</v>
      </c>
      <c r="J1753" s="20" t="n">
        <v>180.97</v>
      </c>
      <c r="K1753" s="18" t="n">
        <v>4</v>
      </c>
      <c r="L1753" s="18" t="n">
        <v>1</v>
      </c>
      <c r="M1753" s="18" t="n">
        <v>52</v>
      </c>
      <c r="N1753" s="18" t="n">
        <v>24</v>
      </c>
      <c r="O1753" s="14" t="s">
        <v>1126</v>
      </c>
      <c r="P1753" s="14" t="s">
        <v>118</v>
      </c>
      <c r="Q1753" s="15" t="s">
        <v>1089</v>
      </c>
      <c r="R1753" s="16" t="s">
        <v>253</v>
      </c>
      <c r="S1753" s="15" t="s">
        <v>254</v>
      </c>
      <c r="T1753" s="15" t="s">
        <v>255</v>
      </c>
      <c r="U1753" s="21" t="s">
        <v>72</v>
      </c>
    </row>
    <row r="1754" customFormat="false" ht="15" hidden="false" customHeight="false" outlineLevel="0" collapsed="false">
      <c r="A1754" s="15" t="s">
        <v>79</v>
      </c>
      <c r="B1754" s="15" t="s">
        <v>179</v>
      </c>
      <c r="C1754" s="14" t="s">
        <v>11505</v>
      </c>
      <c r="D1754" s="14" t="s">
        <v>11506</v>
      </c>
      <c r="E1754" s="16" t="s">
        <v>11507</v>
      </c>
      <c r="F1754" s="16" t="s">
        <v>11508</v>
      </c>
      <c r="G1754" s="23" t="s">
        <v>43</v>
      </c>
      <c r="H1754" s="18" t="n">
        <v>2</v>
      </c>
      <c r="I1754" s="20" t="n">
        <v>101.36</v>
      </c>
      <c r="J1754" s="20" t="n">
        <v>172.89</v>
      </c>
      <c r="K1754" s="18" t="n">
        <v>2</v>
      </c>
      <c r="L1754" s="18" t="n">
        <v>8</v>
      </c>
      <c r="M1754" s="18" t="n">
        <v>55</v>
      </c>
      <c r="N1754" s="18" t="n">
        <v>55</v>
      </c>
      <c r="O1754" s="14" t="s">
        <v>10953</v>
      </c>
      <c r="P1754" s="14" t="s">
        <v>118</v>
      </c>
      <c r="Q1754" s="15" t="s">
        <v>1089</v>
      </c>
      <c r="R1754" s="16" t="s">
        <v>7113</v>
      </c>
      <c r="S1754" s="15" t="s">
        <v>426</v>
      </c>
      <c r="T1754" s="15" t="s">
        <v>426</v>
      </c>
      <c r="U1754" s="21" t="s">
        <v>72</v>
      </c>
    </row>
    <row r="1755" customFormat="false" ht="15" hidden="false" customHeight="false" outlineLevel="0" collapsed="false">
      <c r="A1755" s="15" t="s">
        <v>79</v>
      </c>
      <c r="B1755" s="15" t="s">
        <v>179</v>
      </c>
      <c r="C1755" s="14" t="s">
        <v>11509</v>
      </c>
      <c r="D1755" s="14" t="s">
        <v>11510</v>
      </c>
      <c r="E1755" s="16" t="s">
        <v>11511</v>
      </c>
      <c r="F1755" s="16" t="s">
        <v>11512</v>
      </c>
      <c r="G1755" s="23" t="s">
        <v>43</v>
      </c>
      <c r="H1755" s="18" t="n">
        <v>4</v>
      </c>
      <c r="I1755" s="20" t="n">
        <v>92.68</v>
      </c>
      <c r="J1755" s="20" t="n">
        <v>186.55</v>
      </c>
      <c r="K1755" s="18" t="n">
        <v>7</v>
      </c>
      <c r="L1755" s="18" t="n">
        <v>3</v>
      </c>
      <c r="M1755" s="18" t="n">
        <v>123</v>
      </c>
      <c r="N1755" s="18" t="n">
        <v>75</v>
      </c>
      <c r="O1755" s="14" t="s">
        <v>10603</v>
      </c>
      <c r="P1755" s="14" t="s">
        <v>118</v>
      </c>
      <c r="Q1755" s="15" t="s">
        <v>1089</v>
      </c>
      <c r="R1755" s="16" t="s">
        <v>11513</v>
      </c>
      <c r="S1755" s="15" t="s">
        <v>11514</v>
      </c>
      <c r="T1755" s="15" t="s">
        <v>11514</v>
      </c>
      <c r="U1755" s="21" t="s">
        <v>72</v>
      </c>
    </row>
    <row r="1756" customFormat="false" ht="15" hidden="false" customHeight="false" outlineLevel="0" collapsed="false">
      <c r="A1756" s="15" t="s">
        <v>79</v>
      </c>
      <c r="B1756" s="15" t="s">
        <v>179</v>
      </c>
      <c r="C1756" s="14" t="s">
        <v>11515</v>
      </c>
      <c r="D1756" s="14" t="s">
        <v>11516</v>
      </c>
      <c r="E1756" s="16" t="s">
        <v>11517</v>
      </c>
      <c r="F1756" s="16" t="s">
        <v>11518</v>
      </c>
      <c r="G1756" s="23" t="s">
        <v>43</v>
      </c>
      <c r="H1756" s="18" t="n">
        <v>2</v>
      </c>
      <c r="I1756" s="20" t="n">
        <v>60.11</v>
      </c>
      <c r="J1756" s="20" t="n">
        <v>111.23</v>
      </c>
      <c r="K1756" s="18" t="n">
        <v>7</v>
      </c>
      <c r="L1756" s="18" t="n">
        <v>2</v>
      </c>
      <c r="M1756" s="18" t="n">
        <v>179</v>
      </c>
      <c r="N1756" s="18" t="n">
        <v>52</v>
      </c>
      <c r="O1756" s="14" t="s">
        <v>1088</v>
      </c>
      <c r="P1756" s="14" t="s">
        <v>118</v>
      </c>
      <c r="Q1756" s="15" t="s">
        <v>1089</v>
      </c>
      <c r="R1756" s="16" t="s">
        <v>11519</v>
      </c>
      <c r="S1756" s="15" t="s">
        <v>11520</v>
      </c>
      <c r="T1756" s="15" t="s">
        <v>11521</v>
      </c>
      <c r="U1756" s="21" t="s">
        <v>72</v>
      </c>
    </row>
    <row r="1757" customFormat="false" ht="15" hidden="false" customHeight="false" outlineLevel="0" collapsed="false">
      <c r="A1757" s="15" t="s">
        <v>79</v>
      </c>
      <c r="B1757" s="15" t="s">
        <v>179</v>
      </c>
      <c r="C1757" s="14" t="s">
        <v>11522</v>
      </c>
      <c r="D1757" s="14" t="s">
        <v>11523</v>
      </c>
      <c r="E1757" s="16" t="s">
        <v>11524</v>
      </c>
      <c r="F1757" s="16" t="s">
        <v>11525</v>
      </c>
      <c r="G1757" s="23" t="s">
        <v>43</v>
      </c>
      <c r="H1757" s="18" t="n">
        <v>3</v>
      </c>
      <c r="I1757" s="20" t="n">
        <v>31.64</v>
      </c>
      <c r="J1757" s="20" t="n">
        <v>71.07</v>
      </c>
      <c r="K1757" s="18" t="n">
        <v>3</v>
      </c>
      <c r="L1757" s="18" t="n">
        <v>3</v>
      </c>
      <c r="M1757" s="18" t="n">
        <v>26</v>
      </c>
      <c r="N1757" s="18" t="n">
        <v>11</v>
      </c>
      <c r="O1757" s="14" t="s">
        <v>1126</v>
      </c>
      <c r="P1757" s="14" t="s">
        <v>118</v>
      </c>
      <c r="Q1757" s="15" t="s">
        <v>1089</v>
      </c>
      <c r="R1757" s="16" t="s">
        <v>11526</v>
      </c>
      <c r="S1757" s="15" t="s">
        <v>11527</v>
      </c>
      <c r="T1757" s="15" t="s">
        <v>11528</v>
      </c>
      <c r="U1757" s="21" t="s">
        <v>72</v>
      </c>
    </row>
    <row r="1758" customFormat="false" ht="26.85" hidden="false" customHeight="false" outlineLevel="0" collapsed="false">
      <c r="A1758" s="15" t="s">
        <v>79</v>
      </c>
      <c r="B1758" s="15" t="s">
        <v>179</v>
      </c>
      <c r="C1758" s="14" t="s">
        <v>11529</v>
      </c>
      <c r="D1758" s="14" t="s">
        <v>11530</v>
      </c>
      <c r="E1758" s="16" t="s">
        <v>11531</v>
      </c>
      <c r="F1758" s="16" t="s">
        <v>11532</v>
      </c>
      <c r="G1758" s="19" t="s">
        <v>41</v>
      </c>
      <c r="H1758" s="18" t="n">
        <v>7</v>
      </c>
      <c r="I1758" s="20" t="n">
        <v>156.43</v>
      </c>
      <c r="J1758" s="20" t="n">
        <v>329.1</v>
      </c>
      <c r="K1758" s="18" t="n">
        <v>11</v>
      </c>
      <c r="L1758" s="18" t="n">
        <v>10</v>
      </c>
      <c r="M1758" s="18" t="n">
        <v>246</v>
      </c>
      <c r="N1758" s="18" t="n">
        <v>69</v>
      </c>
      <c r="O1758" s="14" t="s">
        <v>1126</v>
      </c>
      <c r="P1758" s="14" t="s">
        <v>352</v>
      </c>
      <c r="Q1758" s="15" t="s">
        <v>1089</v>
      </c>
      <c r="R1758" s="16" t="s">
        <v>10445</v>
      </c>
      <c r="S1758" s="15" t="s">
        <v>11533</v>
      </c>
      <c r="T1758" s="15" t="s">
        <v>11533</v>
      </c>
      <c r="U1758" s="21" t="s">
        <v>72</v>
      </c>
    </row>
    <row r="1759" customFormat="false" ht="15" hidden="false" customHeight="false" outlineLevel="0" collapsed="false">
      <c r="A1759" s="15" t="s">
        <v>79</v>
      </c>
      <c r="B1759" s="15" t="s">
        <v>179</v>
      </c>
      <c r="C1759" s="14" t="s">
        <v>11534</v>
      </c>
      <c r="D1759" s="14" t="s">
        <v>11535</v>
      </c>
      <c r="E1759" s="16" t="s">
        <v>11536</v>
      </c>
      <c r="F1759" s="16"/>
      <c r="G1759" s="19" t="s">
        <v>41</v>
      </c>
      <c r="H1759" s="18" t="n">
        <v>5</v>
      </c>
      <c r="I1759" s="20" t="n">
        <v>76.64</v>
      </c>
      <c r="J1759" s="20" t="n">
        <v>140.27</v>
      </c>
      <c r="K1759" s="18" t="n">
        <v>5</v>
      </c>
      <c r="L1759" s="18" t="n">
        <v>7</v>
      </c>
      <c r="M1759" s="18" t="n">
        <v>62</v>
      </c>
      <c r="N1759" s="18" t="n">
        <v>30</v>
      </c>
      <c r="O1759" s="14" t="s">
        <v>1126</v>
      </c>
      <c r="P1759" s="14" t="s">
        <v>1716</v>
      </c>
      <c r="Q1759" s="15" t="s">
        <v>1089</v>
      </c>
      <c r="R1759" s="16" t="s">
        <v>5287</v>
      </c>
      <c r="S1759" s="15" t="s">
        <v>11537</v>
      </c>
      <c r="T1759" s="15" t="s">
        <v>11537</v>
      </c>
      <c r="U1759" s="21" t="s">
        <v>72</v>
      </c>
    </row>
    <row r="1760" customFormat="false" ht="15" hidden="false" customHeight="false" outlineLevel="0" collapsed="false">
      <c r="A1760" s="15" t="s">
        <v>79</v>
      </c>
      <c r="B1760" s="15" t="s">
        <v>179</v>
      </c>
      <c r="C1760" s="14" t="s">
        <v>11538</v>
      </c>
      <c r="D1760" s="14" t="s">
        <v>11539</v>
      </c>
      <c r="E1760" s="16" t="s">
        <v>11540</v>
      </c>
      <c r="F1760" s="16" t="s">
        <v>11541</v>
      </c>
      <c r="G1760" s="25" t="s">
        <v>39</v>
      </c>
      <c r="H1760" s="18" t="n">
        <v>5</v>
      </c>
      <c r="I1760" s="20" t="n">
        <v>151.22</v>
      </c>
      <c r="J1760" s="20" t="n">
        <v>406.26</v>
      </c>
      <c r="K1760" s="18" t="n">
        <v>5</v>
      </c>
      <c r="L1760" s="18" t="n">
        <v>2</v>
      </c>
      <c r="M1760" s="18" t="n">
        <v>189</v>
      </c>
      <c r="N1760" s="18" t="n">
        <v>54</v>
      </c>
      <c r="O1760" s="14" t="s">
        <v>1126</v>
      </c>
      <c r="P1760" s="14" t="s">
        <v>118</v>
      </c>
      <c r="Q1760" s="15" t="s">
        <v>1089</v>
      </c>
      <c r="R1760" s="16" t="s">
        <v>11542</v>
      </c>
      <c r="S1760" s="15" t="s">
        <v>11543</v>
      </c>
      <c r="T1760" s="15" t="s">
        <v>11543</v>
      </c>
      <c r="U1760" s="21" t="s">
        <v>72</v>
      </c>
    </row>
    <row r="1761" customFormat="false" ht="15" hidden="false" customHeight="false" outlineLevel="0" collapsed="false">
      <c r="A1761" s="15" t="s">
        <v>79</v>
      </c>
      <c r="B1761" s="15" t="s">
        <v>179</v>
      </c>
      <c r="C1761" s="14" t="s">
        <v>11544</v>
      </c>
      <c r="D1761" s="14" t="s">
        <v>11545</v>
      </c>
      <c r="E1761" s="16" t="s">
        <v>11546</v>
      </c>
      <c r="F1761" s="16" t="s">
        <v>11547</v>
      </c>
      <c r="G1761" s="25" t="s">
        <v>39</v>
      </c>
      <c r="H1761" s="18" t="n">
        <v>8</v>
      </c>
      <c r="I1761" s="20" t="n">
        <v>190.36</v>
      </c>
      <c r="J1761" s="20" t="n">
        <v>582.52</v>
      </c>
      <c r="K1761" s="18" t="n">
        <v>8</v>
      </c>
      <c r="L1761" s="18" t="n">
        <v>5</v>
      </c>
      <c r="M1761" s="18" t="n">
        <v>128</v>
      </c>
      <c r="N1761" s="18" t="n">
        <v>128</v>
      </c>
      <c r="O1761" s="14" t="s">
        <v>1126</v>
      </c>
      <c r="P1761" s="14" t="s">
        <v>84</v>
      </c>
      <c r="Q1761" s="15" t="s">
        <v>1089</v>
      </c>
      <c r="R1761" s="16" t="s">
        <v>11548</v>
      </c>
      <c r="S1761" s="15" t="s">
        <v>11549</v>
      </c>
      <c r="T1761" s="15" t="s">
        <v>11550</v>
      </c>
      <c r="U1761" s="21" t="s">
        <v>72</v>
      </c>
    </row>
    <row r="1762" customFormat="false" ht="15" hidden="false" customHeight="false" outlineLevel="0" collapsed="false">
      <c r="A1762" s="15" t="s">
        <v>79</v>
      </c>
      <c r="B1762" s="15" t="s">
        <v>179</v>
      </c>
      <c r="C1762" s="14" t="s">
        <v>11551</v>
      </c>
      <c r="D1762" s="14" t="s">
        <v>11552</v>
      </c>
      <c r="E1762" s="16" t="s">
        <v>11553</v>
      </c>
      <c r="F1762" s="16" t="s">
        <v>11554</v>
      </c>
      <c r="G1762" s="23" t="s">
        <v>43</v>
      </c>
      <c r="H1762" s="18" t="n">
        <v>2</v>
      </c>
      <c r="I1762" s="20" t="n">
        <v>37.55</v>
      </c>
      <c r="J1762" s="20" t="n">
        <v>94.3</v>
      </c>
      <c r="K1762" s="18" t="n">
        <v>4</v>
      </c>
      <c r="L1762" s="18" t="n">
        <v>1</v>
      </c>
      <c r="M1762" s="18" t="n">
        <v>136</v>
      </c>
      <c r="N1762" s="18" t="n">
        <v>68</v>
      </c>
      <c r="O1762" s="14" t="s">
        <v>1126</v>
      </c>
      <c r="P1762" s="14" t="s">
        <v>226</v>
      </c>
      <c r="Q1762" s="15" t="s">
        <v>1089</v>
      </c>
      <c r="R1762" s="16" t="s">
        <v>11555</v>
      </c>
      <c r="S1762" s="15" t="s">
        <v>11556</v>
      </c>
      <c r="T1762" s="15" t="s">
        <v>11556</v>
      </c>
      <c r="U1762" s="21" t="s">
        <v>72</v>
      </c>
    </row>
    <row r="1763" customFormat="false" ht="15" hidden="false" customHeight="false" outlineLevel="0" collapsed="false">
      <c r="A1763" s="15" t="s">
        <v>79</v>
      </c>
      <c r="B1763" s="15" t="s">
        <v>179</v>
      </c>
      <c r="C1763" s="14" t="s">
        <v>257</v>
      </c>
      <c r="D1763" s="14" t="s">
        <v>11557</v>
      </c>
      <c r="E1763" s="16" t="s">
        <v>11558</v>
      </c>
      <c r="F1763" s="16" t="s">
        <v>259</v>
      </c>
      <c r="G1763" s="19" t="s">
        <v>41</v>
      </c>
      <c r="H1763" s="18" t="n">
        <v>4</v>
      </c>
      <c r="I1763" s="20" t="n">
        <v>73.27</v>
      </c>
      <c r="J1763" s="20" t="n">
        <v>239.62</v>
      </c>
      <c r="K1763" s="18" t="n">
        <v>4</v>
      </c>
      <c r="L1763" s="18" t="n">
        <v>3</v>
      </c>
      <c r="M1763" s="18" t="n">
        <v>76</v>
      </c>
      <c r="N1763" s="18" t="n">
        <v>76</v>
      </c>
      <c r="O1763" s="14" t="s">
        <v>1126</v>
      </c>
      <c r="P1763" s="14" t="s">
        <v>84</v>
      </c>
      <c r="Q1763" s="15" t="s">
        <v>1089</v>
      </c>
      <c r="R1763" s="16" t="s">
        <v>260</v>
      </c>
      <c r="S1763" s="15" t="s">
        <v>261</v>
      </c>
      <c r="T1763" s="15" t="s">
        <v>262</v>
      </c>
      <c r="U1763" s="21" t="s">
        <v>72</v>
      </c>
    </row>
    <row r="1764" customFormat="false" ht="15" hidden="false" customHeight="false" outlineLevel="0" collapsed="false">
      <c r="A1764" s="15" t="s">
        <v>79</v>
      </c>
      <c r="B1764" s="15" t="s">
        <v>179</v>
      </c>
      <c r="C1764" s="14" t="s">
        <v>178</v>
      </c>
      <c r="D1764" s="14" t="s">
        <v>11559</v>
      </c>
      <c r="E1764" s="16" t="s">
        <v>11560</v>
      </c>
      <c r="F1764" s="16" t="s">
        <v>182</v>
      </c>
      <c r="G1764" s="23" t="s">
        <v>43</v>
      </c>
      <c r="H1764" s="18" t="n">
        <v>2</v>
      </c>
      <c r="I1764" s="20" t="n">
        <v>36.15</v>
      </c>
      <c r="J1764" s="20" t="n">
        <v>109.63</v>
      </c>
      <c r="K1764" s="18" t="n">
        <v>12</v>
      </c>
      <c r="L1764" s="18" t="n">
        <v>4</v>
      </c>
      <c r="M1764" s="18" t="n">
        <v>186</v>
      </c>
      <c r="N1764" s="18" t="n">
        <v>80</v>
      </c>
      <c r="O1764" s="14" t="s">
        <v>11561</v>
      </c>
      <c r="P1764" s="14" t="s">
        <v>118</v>
      </c>
      <c r="Q1764" s="15" t="s">
        <v>1089</v>
      </c>
      <c r="R1764" s="16" t="s">
        <v>183</v>
      </c>
      <c r="S1764" s="15" t="s">
        <v>184</v>
      </c>
      <c r="T1764" s="15" t="s">
        <v>185</v>
      </c>
      <c r="U1764" s="21" t="s">
        <v>72</v>
      </c>
    </row>
    <row r="1765" customFormat="false" ht="15" hidden="false" customHeight="false" outlineLevel="0" collapsed="false">
      <c r="A1765" s="15" t="s">
        <v>79</v>
      </c>
      <c r="B1765" s="15" t="s">
        <v>179</v>
      </c>
      <c r="C1765" s="14" t="s">
        <v>11562</v>
      </c>
      <c r="D1765" s="14" t="s">
        <v>11563</v>
      </c>
      <c r="E1765" s="16" t="s">
        <v>11564</v>
      </c>
      <c r="F1765" s="16" t="s">
        <v>11565</v>
      </c>
      <c r="G1765" s="19" t="s">
        <v>41</v>
      </c>
      <c r="H1765" s="18" t="n">
        <v>2</v>
      </c>
      <c r="I1765" s="20" t="n">
        <v>56.92</v>
      </c>
      <c r="J1765" s="20" t="n">
        <v>208.92</v>
      </c>
      <c r="K1765" s="18" t="n">
        <v>6</v>
      </c>
      <c r="L1765" s="18" t="n">
        <v>4</v>
      </c>
      <c r="M1765" s="18" t="n">
        <v>162</v>
      </c>
      <c r="N1765" s="18" t="n">
        <v>136</v>
      </c>
      <c r="O1765" s="14" t="s">
        <v>11566</v>
      </c>
      <c r="P1765" s="14" t="s">
        <v>118</v>
      </c>
      <c r="Q1765" s="15" t="s">
        <v>1089</v>
      </c>
      <c r="R1765" s="16" t="s">
        <v>11567</v>
      </c>
      <c r="S1765" s="15" t="s">
        <v>10513</v>
      </c>
      <c r="T1765" s="15" t="s">
        <v>11568</v>
      </c>
      <c r="U1765" s="21" t="s">
        <v>72</v>
      </c>
    </row>
    <row r="1766" customFormat="false" ht="15" hidden="false" customHeight="false" outlineLevel="0" collapsed="false">
      <c r="A1766" s="15" t="s">
        <v>79</v>
      </c>
      <c r="B1766" s="15" t="s">
        <v>179</v>
      </c>
      <c r="C1766" s="14" t="s">
        <v>11569</v>
      </c>
      <c r="D1766" s="14" t="s">
        <v>11570</v>
      </c>
      <c r="E1766" s="16" t="s">
        <v>11571</v>
      </c>
      <c r="F1766" s="16" t="s">
        <v>11572</v>
      </c>
      <c r="G1766" s="23" t="s">
        <v>43</v>
      </c>
      <c r="H1766" s="18" t="n">
        <v>2</v>
      </c>
      <c r="I1766" s="20" t="n">
        <v>26.29</v>
      </c>
      <c r="J1766" s="20" t="n">
        <v>120.5</v>
      </c>
      <c r="K1766" s="18" t="n">
        <v>2</v>
      </c>
      <c r="L1766" s="18" t="n">
        <v>1</v>
      </c>
      <c r="M1766" s="18" t="n">
        <v>22</v>
      </c>
      <c r="N1766" s="18" t="n">
        <v>12</v>
      </c>
      <c r="O1766" s="14" t="s">
        <v>1126</v>
      </c>
      <c r="P1766" s="14" t="s">
        <v>202</v>
      </c>
      <c r="Q1766" s="15" t="s">
        <v>1089</v>
      </c>
      <c r="R1766" s="16" t="s">
        <v>11573</v>
      </c>
      <c r="S1766" s="15" t="s">
        <v>11574</v>
      </c>
      <c r="T1766" s="15" t="s">
        <v>11575</v>
      </c>
      <c r="U1766" s="21" t="s">
        <v>72</v>
      </c>
    </row>
    <row r="1767" customFormat="false" ht="15" hidden="false" customHeight="false" outlineLevel="0" collapsed="false">
      <c r="A1767" s="15" t="s">
        <v>79</v>
      </c>
      <c r="B1767" s="15" t="s">
        <v>179</v>
      </c>
      <c r="C1767" s="14" t="s">
        <v>11576</v>
      </c>
      <c r="D1767" s="14" t="s">
        <v>11577</v>
      </c>
      <c r="E1767" s="16" t="s">
        <v>11578</v>
      </c>
      <c r="F1767" s="16"/>
      <c r="G1767" s="19" t="s">
        <v>41</v>
      </c>
      <c r="H1767" s="18" t="n">
        <v>5</v>
      </c>
      <c r="I1767" s="20" t="n">
        <v>101.62</v>
      </c>
      <c r="J1767" s="20" t="n">
        <v>194.95</v>
      </c>
      <c r="K1767" s="18" t="n">
        <v>5</v>
      </c>
      <c r="L1767" s="18" t="n">
        <v>1</v>
      </c>
      <c r="M1767" s="18" t="n">
        <v>83</v>
      </c>
      <c r="N1767" s="18" t="n">
        <v>36</v>
      </c>
      <c r="O1767" s="14" t="s">
        <v>1126</v>
      </c>
      <c r="P1767" s="14" t="s">
        <v>118</v>
      </c>
      <c r="Q1767" s="15" t="s">
        <v>1089</v>
      </c>
      <c r="R1767" s="16" t="s">
        <v>11579</v>
      </c>
      <c r="S1767" s="15" t="s">
        <v>11580</v>
      </c>
      <c r="T1767" s="15" t="s">
        <v>11581</v>
      </c>
      <c r="U1767" s="21" t="s">
        <v>72</v>
      </c>
    </row>
    <row r="1768" customFormat="false" ht="15" hidden="false" customHeight="false" outlineLevel="0" collapsed="false">
      <c r="A1768" s="15" t="s">
        <v>79</v>
      </c>
      <c r="B1768" s="15" t="s">
        <v>179</v>
      </c>
      <c r="C1768" s="14" t="s">
        <v>239</v>
      </c>
      <c r="D1768" s="14" t="s">
        <v>11582</v>
      </c>
      <c r="E1768" s="16" t="s">
        <v>11583</v>
      </c>
      <c r="F1768" s="16" t="s">
        <v>242</v>
      </c>
      <c r="G1768" s="19" t="s">
        <v>41</v>
      </c>
      <c r="H1768" s="18" t="n">
        <v>5</v>
      </c>
      <c r="I1768" s="20" t="n">
        <v>119.22</v>
      </c>
      <c r="J1768" s="20" t="n">
        <v>210.87</v>
      </c>
      <c r="K1768" s="18" t="n">
        <v>6</v>
      </c>
      <c r="L1768" s="18" t="n">
        <v>6</v>
      </c>
      <c r="M1768" s="18" t="n">
        <v>708</v>
      </c>
      <c r="N1768" s="18" t="n">
        <v>118</v>
      </c>
      <c r="O1768" s="14" t="s">
        <v>1126</v>
      </c>
      <c r="P1768" s="14" t="s">
        <v>118</v>
      </c>
      <c r="Q1768" s="15" t="s">
        <v>1089</v>
      </c>
      <c r="R1768" s="16" t="s">
        <v>243</v>
      </c>
      <c r="S1768" s="15" t="s">
        <v>244</v>
      </c>
      <c r="T1768" s="15" t="s">
        <v>244</v>
      </c>
      <c r="U1768" s="21" t="s">
        <v>72</v>
      </c>
    </row>
    <row r="1769" customFormat="false" ht="15" hidden="false" customHeight="false" outlineLevel="0" collapsed="false">
      <c r="A1769" s="15" t="s">
        <v>79</v>
      </c>
      <c r="B1769" s="15" t="s">
        <v>179</v>
      </c>
      <c r="C1769" s="14" t="s">
        <v>11584</v>
      </c>
      <c r="D1769" s="14" t="s">
        <v>11585</v>
      </c>
      <c r="E1769" s="16" t="s">
        <v>11586</v>
      </c>
      <c r="F1769" s="16" t="s">
        <v>11587</v>
      </c>
      <c r="G1769" s="19" t="s">
        <v>41</v>
      </c>
      <c r="H1769" s="18" t="n">
        <v>4</v>
      </c>
      <c r="I1769" s="20" t="n">
        <v>98</v>
      </c>
      <c r="J1769" s="20" t="n">
        <v>257.49</v>
      </c>
      <c r="K1769" s="18" t="n">
        <v>3</v>
      </c>
      <c r="L1769" s="18" t="n">
        <v>6</v>
      </c>
      <c r="M1769" s="18" t="n">
        <v>69</v>
      </c>
      <c r="N1769" s="18" t="n">
        <v>46</v>
      </c>
      <c r="O1769" s="14" t="s">
        <v>1126</v>
      </c>
      <c r="P1769" s="14" t="s">
        <v>118</v>
      </c>
      <c r="Q1769" s="15" t="s">
        <v>1089</v>
      </c>
      <c r="R1769" s="16" t="s">
        <v>11588</v>
      </c>
      <c r="S1769" s="15" t="s">
        <v>11589</v>
      </c>
      <c r="T1769" s="15" t="s">
        <v>11589</v>
      </c>
      <c r="U1769" s="21" t="s">
        <v>72</v>
      </c>
    </row>
    <row r="1770" customFormat="false" ht="26.85" hidden="false" customHeight="false" outlineLevel="0" collapsed="false">
      <c r="A1770" s="15" t="s">
        <v>79</v>
      </c>
      <c r="B1770" s="15" t="s">
        <v>179</v>
      </c>
      <c r="C1770" s="14" t="s">
        <v>11590</v>
      </c>
      <c r="D1770" s="14" t="s">
        <v>11591</v>
      </c>
      <c r="E1770" s="16" t="s">
        <v>11592</v>
      </c>
      <c r="F1770" s="16" t="s">
        <v>9990</v>
      </c>
      <c r="G1770" s="23" t="s">
        <v>43</v>
      </c>
      <c r="H1770" s="18" t="n">
        <v>3</v>
      </c>
      <c r="I1770" s="20" t="n">
        <v>56.45</v>
      </c>
      <c r="J1770" s="20" t="n">
        <v>150.09</v>
      </c>
      <c r="K1770" s="18" t="n">
        <v>18</v>
      </c>
      <c r="L1770" s="18" t="n">
        <v>2</v>
      </c>
      <c r="M1770" s="18" t="n">
        <v>272</v>
      </c>
      <c r="N1770" s="18" t="n">
        <v>124</v>
      </c>
      <c r="O1770" s="14" t="s">
        <v>11593</v>
      </c>
      <c r="P1770" s="14" t="s">
        <v>118</v>
      </c>
      <c r="Q1770" s="15" t="s">
        <v>1089</v>
      </c>
      <c r="R1770" s="16" t="s">
        <v>11594</v>
      </c>
      <c r="S1770" s="15" t="s">
        <v>9992</v>
      </c>
      <c r="T1770" s="15" t="s">
        <v>11595</v>
      </c>
      <c r="U1770" s="21" t="s">
        <v>72</v>
      </c>
    </row>
    <row r="1771" customFormat="false" ht="15" hidden="false" customHeight="false" outlineLevel="0" collapsed="false">
      <c r="A1771" s="15" t="s">
        <v>79</v>
      </c>
      <c r="B1771" s="15" t="s">
        <v>179</v>
      </c>
      <c r="C1771" s="14" t="s">
        <v>11596</v>
      </c>
      <c r="D1771" s="14" t="s">
        <v>11597</v>
      </c>
      <c r="E1771" s="16" t="s">
        <v>11598</v>
      </c>
      <c r="F1771" s="16" t="s">
        <v>11599</v>
      </c>
      <c r="G1771" s="23" t="s">
        <v>43</v>
      </c>
      <c r="H1771" s="18" t="n">
        <v>2</v>
      </c>
      <c r="I1771" s="20" t="n">
        <v>38.11</v>
      </c>
      <c r="J1771" s="20" t="n">
        <v>78.58</v>
      </c>
      <c r="K1771" s="18" t="n">
        <v>18</v>
      </c>
      <c r="L1771" s="18" t="n">
        <v>4</v>
      </c>
      <c r="M1771" s="18" t="n">
        <v>270</v>
      </c>
      <c r="N1771" s="18" t="n">
        <v>66</v>
      </c>
      <c r="O1771" s="14" t="s">
        <v>1126</v>
      </c>
      <c r="P1771" s="14" t="s">
        <v>84</v>
      </c>
      <c r="Q1771" s="15" t="s">
        <v>1089</v>
      </c>
      <c r="R1771" s="16" t="s">
        <v>6308</v>
      </c>
      <c r="S1771" s="15" t="s">
        <v>11600</v>
      </c>
      <c r="T1771" s="15" t="s">
        <v>11600</v>
      </c>
      <c r="U1771" s="21" t="s">
        <v>72</v>
      </c>
    </row>
    <row r="1772" customFormat="false" ht="15" hidden="false" customHeight="false" outlineLevel="0" collapsed="false">
      <c r="A1772" s="15" t="s">
        <v>79</v>
      </c>
      <c r="B1772" s="15" t="s">
        <v>179</v>
      </c>
      <c r="C1772" s="14" t="s">
        <v>11601</v>
      </c>
      <c r="D1772" s="14" t="s">
        <v>11602</v>
      </c>
      <c r="E1772" s="16" t="s">
        <v>11603</v>
      </c>
      <c r="F1772" s="16" t="s">
        <v>11604</v>
      </c>
      <c r="G1772" s="23" t="s">
        <v>43</v>
      </c>
      <c r="H1772" s="18" t="n">
        <v>3</v>
      </c>
      <c r="I1772" s="20" t="n">
        <v>47.49</v>
      </c>
      <c r="J1772" s="20" t="n">
        <v>106.63</v>
      </c>
      <c r="K1772" s="18" t="n">
        <v>5</v>
      </c>
      <c r="L1772" s="18" t="n">
        <v>2</v>
      </c>
      <c r="M1772" s="18" t="n">
        <v>145</v>
      </c>
      <c r="N1772" s="18" t="n">
        <v>14</v>
      </c>
      <c r="O1772" s="14" t="s">
        <v>1126</v>
      </c>
      <c r="P1772" s="14" t="s">
        <v>84</v>
      </c>
      <c r="Q1772" s="15" t="s">
        <v>1089</v>
      </c>
      <c r="R1772" s="16" t="s">
        <v>11519</v>
      </c>
      <c r="S1772" s="15" t="s">
        <v>11605</v>
      </c>
      <c r="T1772" s="15" t="s">
        <v>11605</v>
      </c>
      <c r="U1772" s="21" t="s">
        <v>72</v>
      </c>
    </row>
    <row r="1773" customFormat="false" ht="15" hidden="false" customHeight="false" outlineLevel="0" collapsed="false">
      <c r="A1773" s="15" t="s">
        <v>79</v>
      </c>
      <c r="B1773" s="15" t="s">
        <v>179</v>
      </c>
      <c r="C1773" s="14" t="s">
        <v>11606</v>
      </c>
      <c r="D1773" s="14" t="s">
        <v>11607</v>
      </c>
      <c r="E1773" s="16" t="s">
        <v>11608</v>
      </c>
      <c r="F1773" s="16" t="s">
        <v>11609</v>
      </c>
      <c r="G1773" s="23" t="s">
        <v>43</v>
      </c>
      <c r="H1773" s="18" t="n">
        <v>2</v>
      </c>
      <c r="I1773" s="20" t="n">
        <v>49.56</v>
      </c>
      <c r="J1773" s="20" t="n">
        <v>72.3</v>
      </c>
      <c r="K1773" s="18" t="n">
        <v>6</v>
      </c>
      <c r="L1773" s="18" t="n">
        <v>3</v>
      </c>
      <c r="M1773" s="18" t="n">
        <v>132</v>
      </c>
      <c r="N1773" s="18" t="n">
        <v>52</v>
      </c>
      <c r="O1773" s="14" t="s">
        <v>1126</v>
      </c>
      <c r="P1773" s="14" t="s">
        <v>334</v>
      </c>
      <c r="Q1773" s="15" t="s">
        <v>1089</v>
      </c>
      <c r="R1773" s="16" t="s">
        <v>11610</v>
      </c>
      <c r="S1773" s="15" t="s">
        <v>11611</v>
      </c>
      <c r="T1773" s="15" t="s">
        <v>11611</v>
      </c>
      <c r="U1773" s="21" t="s">
        <v>72</v>
      </c>
    </row>
    <row r="1774" customFormat="false" ht="15" hidden="false" customHeight="false" outlineLevel="0" collapsed="false">
      <c r="A1774" s="15" t="s">
        <v>79</v>
      </c>
      <c r="B1774" s="15" t="s">
        <v>179</v>
      </c>
      <c r="C1774" s="14" t="s">
        <v>11612</v>
      </c>
      <c r="D1774" s="14" t="s">
        <v>11613</v>
      </c>
      <c r="E1774" s="16" t="s">
        <v>11614</v>
      </c>
      <c r="F1774" s="16" t="s">
        <v>11615</v>
      </c>
      <c r="G1774" s="23" t="s">
        <v>43</v>
      </c>
      <c r="H1774" s="18" t="n">
        <v>3</v>
      </c>
      <c r="I1774" s="20" t="n">
        <v>87.03</v>
      </c>
      <c r="J1774" s="20" t="n">
        <v>183.29</v>
      </c>
      <c r="K1774" s="18" t="n">
        <v>8</v>
      </c>
      <c r="L1774" s="18" t="n">
        <v>1</v>
      </c>
      <c r="M1774" s="18" t="n">
        <v>200</v>
      </c>
      <c r="N1774" s="18" t="n">
        <v>144</v>
      </c>
      <c r="O1774" s="14" t="s">
        <v>11616</v>
      </c>
      <c r="P1774" s="14" t="s">
        <v>334</v>
      </c>
      <c r="Q1774" s="15" t="s">
        <v>1089</v>
      </c>
      <c r="R1774" s="16" t="s">
        <v>11617</v>
      </c>
      <c r="S1774" s="15" t="s">
        <v>11618</v>
      </c>
      <c r="T1774" s="15" t="s">
        <v>11618</v>
      </c>
      <c r="U1774" s="21" t="s">
        <v>72</v>
      </c>
    </row>
    <row r="1775" customFormat="false" ht="15" hidden="false" customHeight="false" outlineLevel="0" collapsed="false">
      <c r="A1775" s="15" t="s">
        <v>79</v>
      </c>
      <c r="B1775" s="15" t="s">
        <v>179</v>
      </c>
      <c r="C1775" s="14" t="s">
        <v>11619</v>
      </c>
      <c r="D1775" s="14" t="s">
        <v>11620</v>
      </c>
      <c r="E1775" s="16" t="s">
        <v>11621</v>
      </c>
      <c r="F1775" s="16" t="s">
        <v>11622</v>
      </c>
      <c r="G1775" s="19" t="s">
        <v>41</v>
      </c>
      <c r="H1775" s="18" t="n">
        <v>4</v>
      </c>
      <c r="I1775" s="20" t="n">
        <v>114.96</v>
      </c>
      <c r="J1775" s="20" t="n">
        <v>351.2</v>
      </c>
      <c r="K1775" s="18" t="n">
        <v>4</v>
      </c>
      <c r="L1775" s="18" t="n">
        <v>1</v>
      </c>
      <c r="M1775" s="18" t="n">
        <v>98</v>
      </c>
      <c r="N1775" s="18" t="n">
        <v>98</v>
      </c>
      <c r="O1775" s="14" t="s">
        <v>11623</v>
      </c>
      <c r="P1775" s="14" t="s">
        <v>118</v>
      </c>
      <c r="Q1775" s="15" t="s">
        <v>1089</v>
      </c>
      <c r="R1775" s="16" t="s">
        <v>11624</v>
      </c>
      <c r="S1775" s="15" t="s">
        <v>11625</v>
      </c>
      <c r="T1775" s="15" t="s">
        <v>11625</v>
      </c>
      <c r="U1775" s="21" t="s">
        <v>72</v>
      </c>
    </row>
    <row r="1776" customFormat="false" ht="15" hidden="false" customHeight="false" outlineLevel="0" collapsed="false">
      <c r="A1776" s="15" t="s">
        <v>79</v>
      </c>
      <c r="B1776" s="15" t="s">
        <v>179</v>
      </c>
      <c r="C1776" s="14" t="s">
        <v>11626</v>
      </c>
      <c r="D1776" s="14" t="s">
        <v>11627</v>
      </c>
      <c r="E1776" s="16" t="s">
        <v>11628</v>
      </c>
      <c r="F1776" s="16" t="s">
        <v>11629</v>
      </c>
      <c r="G1776" s="23" t="s">
        <v>43</v>
      </c>
      <c r="H1776" s="18" t="n">
        <v>2</v>
      </c>
      <c r="I1776" s="20" t="n">
        <v>31.28</v>
      </c>
      <c r="J1776" s="20" t="n">
        <v>59.1</v>
      </c>
      <c r="K1776" s="18" t="n">
        <v>2</v>
      </c>
      <c r="L1776" s="18" t="n">
        <v>3</v>
      </c>
      <c r="M1776" s="18" t="n">
        <v>30</v>
      </c>
      <c r="N1776" s="18" t="n">
        <v>15</v>
      </c>
      <c r="O1776" s="14" t="s">
        <v>1126</v>
      </c>
      <c r="P1776" s="14" t="s">
        <v>94</v>
      </c>
      <c r="Q1776" s="15" t="s">
        <v>1089</v>
      </c>
      <c r="R1776" s="16" t="s">
        <v>11459</v>
      </c>
      <c r="S1776" s="15" t="s">
        <v>11630</v>
      </c>
      <c r="T1776" s="15" t="s">
        <v>11630</v>
      </c>
      <c r="U1776" s="21" t="s">
        <v>72</v>
      </c>
    </row>
    <row r="1777" customFormat="false" ht="15" hidden="false" customHeight="false" outlineLevel="0" collapsed="false">
      <c r="A1777" s="15" t="s">
        <v>79</v>
      </c>
      <c r="B1777" s="15" t="s">
        <v>179</v>
      </c>
      <c r="C1777" s="14" t="s">
        <v>11631</v>
      </c>
      <c r="D1777" s="14" t="s">
        <v>11632</v>
      </c>
      <c r="E1777" s="16" t="s">
        <v>11633</v>
      </c>
      <c r="F1777" s="16" t="s">
        <v>450</v>
      </c>
      <c r="G1777" s="23" t="s">
        <v>43</v>
      </c>
      <c r="H1777" s="18" t="n">
        <v>1</v>
      </c>
      <c r="I1777" s="20" t="n">
        <v>45.6</v>
      </c>
      <c r="J1777" s="20" t="n">
        <v>82.72</v>
      </c>
      <c r="K1777" s="18" t="n">
        <v>24</v>
      </c>
      <c r="L1777" s="18" t="n">
        <v>4</v>
      </c>
      <c r="M1777" s="18" t="n">
        <v>888</v>
      </c>
      <c r="N1777" s="18" t="n">
        <v>296</v>
      </c>
      <c r="O1777" s="14" t="s">
        <v>1126</v>
      </c>
      <c r="P1777" s="14" t="s">
        <v>226</v>
      </c>
      <c r="Q1777" s="15" t="s">
        <v>1089</v>
      </c>
      <c r="R1777" s="16" t="s">
        <v>11634</v>
      </c>
      <c r="S1777" s="15" t="s">
        <v>11635</v>
      </c>
      <c r="T1777" s="15" t="s">
        <v>11636</v>
      </c>
      <c r="U1777" s="21" t="s">
        <v>72</v>
      </c>
    </row>
    <row r="1778" customFormat="false" ht="15" hidden="false" customHeight="false" outlineLevel="0" collapsed="false">
      <c r="A1778" s="15" t="s">
        <v>79</v>
      </c>
      <c r="B1778" s="15" t="s">
        <v>179</v>
      </c>
      <c r="C1778" s="14" t="s">
        <v>11637</v>
      </c>
      <c r="D1778" s="14" t="s">
        <v>11638</v>
      </c>
      <c r="E1778" s="16" t="s">
        <v>11639</v>
      </c>
      <c r="F1778" s="16" t="s">
        <v>10118</v>
      </c>
      <c r="G1778" s="23" t="s">
        <v>43</v>
      </c>
      <c r="H1778" s="18" t="n">
        <v>2</v>
      </c>
      <c r="I1778" s="20" t="n">
        <v>42.05</v>
      </c>
      <c r="J1778" s="20" t="n">
        <v>114.3</v>
      </c>
      <c r="K1778" s="18" t="n">
        <v>4</v>
      </c>
      <c r="L1778" s="18" t="n">
        <v>1</v>
      </c>
      <c r="M1778" s="18" t="n">
        <v>68</v>
      </c>
      <c r="N1778" s="18" t="n">
        <v>36</v>
      </c>
      <c r="O1778" s="14" t="s">
        <v>1126</v>
      </c>
      <c r="P1778" s="14" t="s">
        <v>118</v>
      </c>
      <c r="Q1778" s="15" t="s">
        <v>1089</v>
      </c>
      <c r="R1778" s="16" t="s">
        <v>11640</v>
      </c>
      <c r="S1778" s="15" t="s">
        <v>10120</v>
      </c>
      <c r="T1778" s="15" t="s">
        <v>11641</v>
      </c>
      <c r="U1778" s="21" t="s">
        <v>72</v>
      </c>
    </row>
    <row r="1779" customFormat="false" ht="15" hidden="false" customHeight="false" outlineLevel="0" collapsed="false">
      <c r="A1779" s="15" t="s">
        <v>79</v>
      </c>
      <c r="B1779" s="15" t="s">
        <v>179</v>
      </c>
      <c r="C1779" s="14" t="s">
        <v>11642</v>
      </c>
      <c r="D1779" s="14" t="s">
        <v>11643</v>
      </c>
      <c r="E1779" s="16" t="s">
        <v>11644</v>
      </c>
      <c r="F1779" s="16" t="s">
        <v>11645</v>
      </c>
      <c r="G1779" s="23" t="s">
        <v>43</v>
      </c>
      <c r="H1779" s="18" t="n">
        <v>4</v>
      </c>
      <c r="I1779" s="20" t="n">
        <v>93.09</v>
      </c>
      <c r="J1779" s="20" t="n">
        <v>171.09</v>
      </c>
      <c r="K1779" s="18" t="n">
        <v>14</v>
      </c>
      <c r="L1779" s="18" t="n">
        <v>4</v>
      </c>
      <c r="M1779" s="18" t="n">
        <v>276</v>
      </c>
      <c r="N1779" s="18" t="n">
        <v>116</v>
      </c>
      <c r="O1779" s="14" t="s">
        <v>11646</v>
      </c>
      <c r="P1779" s="14" t="s">
        <v>226</v>
      </c>
      <c r="Q1779" s="15" t="s">
        <v>1089</v>
      </c>
      <c r="R1779" s="16" t="s">
        <v>11647</v>
      </c>
      <c r="S1779" s="15" t="s">
        <v>11648</v>
      </c>
      <c r="T1779" s="15" t="s">
        <v>11648</v>
      </c>
      <c r="U1779" s="21" t="s">
        <v>72</v>
      </c>
    </row>
    <row r="1780" customFormat="false" ht="15" hidden="false" customHeight="false" outlineLevel="0" collapsed="false">
      <c r="A1780" s="15" t="s">
        <v>79</v>
      </c>
      <c r="B1780" s="15" t="s">
        <v>179</v>
      </c>
      <c r="C1780" s="14" t="s">
        <v>279</v>
      </c>
      <c r="D1780" s="14" t="s">
        <v>11649</v>
      </c>
      <c r="E1780" s="16" t="s">
        <v>9704</v>
      </c>
      <c r="F1780" s="16" t="s">
        <v>282</v>
      </c>
      <c r="G1780" s="25" t="s">
        <v>39</v>
      </c>
      <c r="H1780" s="18" t="n">
        <v>7</v>
      </c>
      <c r="I1780" s="20" t="n">
        <v>147.25</v>
      </c>
      <c r="J1780" s="20" t="n">
        <v>710.16</v>
      </c>
      <c r="K1780" s="18" t="n">
        <v>7</v>
      </c>
      <c r="L1780" s="18" t="n">
        <v>21</v>
      </c>
      <c r="M1780" s="18" t="n">
        <v>105</v>
      </c>
      <c r="N1780" s="18" t="n">
        <v>105</v>
      </c>
      <c r="O1780" s="14" t="s">
        <v>1126</v>
      </c>
      <c r="P1780" s="14" t="s">
        <v>84</v>
      </c>
      <c r="Q1780" s="15" t="s">
        <v>1089</v>
      </c>
      <c r="R1780" s="16" t="s">
        <v>283</v>
      </c>
      <c r="S1780" s="15" t="s">
        <v>284</v>
      </c>
      <c r="T1780" s="15" t="s">
        <v>285</v>
      </c>
      <c r="U1780" s="21" t="s">
        <v>72</v>
      </c>
    </row>
    <row r="1781" customFormat="false" ht="15" hidden="false" customHeight="false" outlineLevel="0" collapsed="false">
      <c r="A1781" s="15" t="s">
        <v>79</v>
      </c>
      <c r="B1781" s="15" t="s">
        <v>179</v>
      </c>
      <c r="C1781" s="14" t="s">
        <v>11650</v>
      </c>
      <c r="D1781" s="14" t="s">
        <v>11651</v>
      </c>
      <c r="E1781" s="16" t="s">
        <v>11652</v>
      </c>
      <c r="F1781" s="16" t="s">
        <v>11653</v>
      </c>
      <c r="G1781" s="25" t="s">
        <v>39</v>
      </c>
      <c r="H1781" s="18" t="n">
        <v>7</v>
      </c>
      <c r="I1781" s="20" t="n">
        <v>340.52</v>
      </c>
      <c r="J1781" s="20" t="n">
        <v>794.61</v>
      </c>
      <c r="K1781" s="18" t="n">
        <v>10</v>
      </c>
      <c r="L1781" s="18" t="n">
        <v>10</v>
      </c>
      <c r="M1781" s="18" t="n">
        <v>450</v>
      </c>
      <c r="N1781" s="18" t="n">
        <v>450</v>
      </c>
      <c r="O1781" s="14" t="s">
        <v>1088</v>
      </c>
      <c r="P1781" s="14" t="s">
        <v>84</v>
      </c>
      <c r="Q1781" s="15" t="s">
        <v>1089</v>
      </c>
      <c r="R1781" s="16" t="s">
        <v>11654</v>
      </c>
      <c r="S1781" s="15" t="s">
        <v>5545</v>
      </c>
      <c r="T1781" s="15" t="s">
        <v>11655</v>
      </c>
      <c r="U1781" s="21" t="s">
        <v>72</v>
      </c>
    </row>
    <row r="1782" customFormat="false" ht="15" hidden="false" customHeight="false" outlineLevel="0" collapsed="false">
      <c r="A1782" s="15" t="s">
        <v>79</v>
      </c>
      <c r="B1782" s="15" t="s">
        <v>179</v>
      </c>
      <c r="C1782" s="14" t="s">
        <v>11656</v>
      </c>
      <c r="D1782" s="14" t="s">
        <v>11657</v>
      </c>
      <c r="E1782" s="16" t="s">
        <v>11658</v>
      </c>
      <c r="F1782" s="16" t="s">
        <v>11659</v>
      </c>
      <c r="G1782" s="23" t="s">
        <v>43</v>
      </c>
      <c r="H1782" s="18" t="n">
        <v>2</v>
      </c>
      <c r="I1782" s="20" t="n">
        <v>33</v>
      </c>
      <c r="J1782" s="20" t="n">
        <v>85.29</v>
      </c>
      <c r="K1782" s="18" t="n">
        <v>4</v>
      </c>
      <c r="L1782" s="18" t="n">
        <v>2</v>
      </c>
      <c r="M1782" s="18" t="n">
        <v>52</v>
      </c>
      <c r="N1782" s="18" t="n">
        <v>10</v>
      </c>
      <c r="O1782" s="14" t="s">
        <v>1126</v>
      </c>
      <c r="P1782" s="14" t="s">
        <v>118</v>
      </c>
      <c r="Q1782" s="15" t="s">
        <v>1089</v>
      </c>
      <c r="R1782" s="16" t="s">
        <v>11660</v>
      </c>
      <c r="S1782" s="15" t="s">
        <v>11661</v>
      </c>
      <c r="T1782" s="15" t="s">
        <v>11662</v>
      </c>
      <c r="U1782" s="21" t="s">
        <v>72</v>
      </c>
    </row>
    <row r="1783" customFormat="false" ht="15" hidden="false" customHeight="false" outlineLevel="0" collapsed="false">
      <c r="A1783" s="15" t="s">
        <v>79</v>
      </c>
      <c r="B1783" s="15" t="s">
        <v>179</v>
      </c>
      <c r="C1783" s="14" t="s">
        <v>11663</v>
      </c>
      <c r="D1783" s="14" t="s">
        <v>11664</v>
      </c>
      <c r="E1783" s="16" t="s">
        <v>11665</v>
      </c>
      <c r="F1783" s="16" t="s">
        <v>11666</v>
      </c>
      <c r="G1783" s="23" t="s">
        <v>43</v>
      </c>
      <c r="H1783" s="18" t="n">
        <v>2</v>
      </c>
      <c r="I1783" s="20" t="n">
        <v>38.77</v>
      </c>
      <c r="J1783" s="20" t="n">
        <v>93.97</v>
      </c>
      <c r="K1783" s="18" t="n">
        <v>12</v>
      </c>
      <c r="L1783" s="18" t="n">
        <v>2</v>
      </c>
      <c r="M1783" s="18" t="n">
        <v>216</v>
      </c>
      <c r="N1783" s="18" t="n">
        <v>200</v>
      </c>
      <c r="O1783" s="14" t="s">
        <v>11667</v>
      </c>
      <c r="P1783" s="14" t="s">
        <v>118</v>
      </c>
      <c r="Q1783" s="15" t="s">
        <v>1089</v>
      </c>
      <c r="R1783" s="16" t="s">
        <v>11668</v>
      </c>
      <c r="S1783" s="15" t="s">
        <v>11669</v>
      </c>
      <c r="T1783" s="15" t="s">
        <v>11670</v>
      </c>
      <c r="U1783" s="21" t="s">
        <v>72</v>
      </c>
    </row>
    <row r="1784" customFormat="false" ht="26.85" hidden="false" customHeight="false" outlineLevel="0" collapsed="false">
      <c r="A1784" s="15" t="s">
        <v>79</v>
      </c>
      <c r="B1784" s="15" t="s">
        <v>179</v>
      </c>
      <c r="C1784" s="14" t="s">
        <v>11671</v>
      </c>
      <c r="D1784" s="14" t="s">
        <v>11672</v>
      </c>
      <c r="E1784" s="16" t="s">
        <v>11673</v>
      </c>
      <c r="F1784" s="16"/>
      <c r="G1784" s="19" t="s">
        <v>41</v>
      </c>
      <c r="H1784" s="18" t="n">
        <v>4</v>
      </c>
      <c r="I1784" s="20" t="n">
        <v>66.2</v>
      </c>
      <c r="J1784" s="20" t="n">
        <v>233.02</v>
      </c>
      <c r="K1784" s="18" t="n">
        <v>4</v>
      </c>
      <c r="L1784" s="18" t="n">
        <v>4</v>
      </c>
      <c r="M1784" s="18" t="n">
        <v>86</v>
      </c>
      <c r="N1784" s="18" t="n">
        <v>26</v>
      </c>
      <c r="O1784" s="14" t="s">
        <v>1126</v>
      </c>
      <c r="P1784" s="14" t="s">
        <v>118</v>
      </c>
      <c r="Q1784" s="15" t="s">
        <v>1089</v>
      </c>
      <c r="R1784" s="16" t="s">
        <v>11674</v>
      </c>
      <c r="S1784" s="15" t="s">
        <v>11675</v>
      </c>
      <c r="T1784" s="15" t="s">
        <v>11676</v>
      </c>
      <c r="U1784" s="21" t="s">
        <v>72</v>
      </c>
    </row>
    <row r="1785" customFormat="false" ht="15" hidden="false" customHeight="false" outlineLevel="0" collapsed="false">
      <c r="A1785" s="15" t="s">
        <v>79</v>
      </c>
      <c r="B1785" s="15" t="s">
        <v>179</v>
      </c>
      <c r="C1785" s="14" t="s">
        <v>11677</v>
      </c>
      <c r="D1785" s="14" t="s">
        <v>11678</v>
      </c>
      <c r="E1785" s="16" t="s">
        <v>11679</v>
      </c>
      <c r="F1785" s="16" t="s">
        <v>11680</v>
      </c>
      <c r="G1785" s="23" t="s">
        <v>43</v>
      </c>
      <c r="H1785" s="18" t="n">
        <v>3</v>
      </c>
      <c r="I1785" s="20" t="n">
        <v>54.08</v>
      </c>
      <c r="J1785" s="20" t="n">
        <v>110.9</v>
      </c>
      <c r="K1785" s="18" t="n">
        <v>4</v>
      </c>
      <c r="L1785" s="18" t="n">
        <v>5</v>
      </c>
      <c r="M1785" s="18" t="n">
        <v>80</v>
      </c>
      <c r="N1785" s="18" t="n">
        <v>40</v>
      </c>
      <c r="O1785" s="14" t="s">
        <v>1126</v>
      </c>
      <c r="P1785" s="14" t="s">
        <v>118</v>
      </c>
      <c r="Q1785" s="15" t="s">
        <v>1089</v>
      </c>
      <c r="R1785" s="16" t="s">
        <v>11681</v>
      </c>
      <c r="S1785" s="15" t="s">
        <v>11682</v>
      </c>
      <c r="T1785" s="15" t="s">
        <v>11683</v>
      </c>
      <c r="U1785" s="21" t="s">
        <v>72</v>
      </c>
    </row>
    <row r="1786" customFormat="false" ht="15" hidden="false" customHeight="false" outlineLevel="0" collapsed="false">
      <c r="A1786" s="15" t="s">
        <v>79</v>
      </c>
      <c r="B1786" s="15" t="s">
        <v>179</v>
      </c>
      <c r="C1786" s="14" t="s">
        <v>11684</v>
      </c>
      <c r="D1786" s="14" t="s">
        <v>11685</v>
      </c>
      <c r="E1786" s="16" t="s">
        <v>11686</v>
      </c>
      <c r="F1786" s="16" t="s">
        <v>11687</v>
      </c>
      <c r="G1786" s="23" t="s">
        <v>43</v>
      </c>
      <c r="H1786" s="18" t="n">
        <v>2</v>
      </c>
      <c r="I1786" s="20" t="n">
        <v>34.33</v>
      </c>
      <c r="J1786" s="20" t="n">
        <v>87.43</v>
      </c>
      <c r="K1786" s="18" t="n">
        <v>4</v>
      </c>
      <c r="L1786" s="18" t="n">
        <v>1</v>
      </c>
      <c r="M1786" s="18" t="n">
        <v>60</v>
      </c>
      <c r="N1786" s="18" t="n">
        <v>15</v>
      </c>
      <c r="O1786" s="14" t="s">
        <v>1126</v>
      </c>
      <c r="P1786" s="14" t="s">
        <v>118</v>
      </c>
      <c r="Q1786" s="15" t="s">
        <v>1089</v>
      </c>
      <c r="R1786" s="16" t="s">
        <v>398</v>
      </c>
      <c r="S1786" s="15" t="s">
        <v>11688</v>
      </c>
      <c r="T1786" s="15" t="s">
        <v>11688</v>
      </c>
      <c r="U1786" s="21" t="s">
        <v>72</v>
      </c>
    </row>
    <row r="1787" customFormat="false" ht="15" hidden="false" customHeight="false" outlineLevel="0" collapsed="false">
      <c r="A1787" s="15" t="s">
        <v>79</v>
      </c>
      <c r="B1787" s="15" t="s">
        <v>179</v>
      </c>
      <c r="C1787" s="14" t="s">
        <v>11689</v>
      </c>
      <c r="D1787" s="14" t="s">
        <v>11690</v>
      </c>
      <c r="E1787" s="16" t="s">
        <v>11691</v>
      </c>
      <c r="F1787" s="16" t="s">
        <v>11692</v>
      </c>
      <c r="G1787" s="19" t="s">
        <v>41</v>
      </c>
      <c r="H1787" s="18" t="n">
        <v>4</v>
      </c>
      <c r="I1787" s="20" t="n">
        <v>74.25</v>
      </c>
      <c r="J1787" s="20" t="n">
        <v>209.81</v>
      </c>
      <c r="K1787" s="18" t="n">
        <v>4</v>
      </c>
      <c r="L1787" s="18" t="n">
        <v>1</v>
      </c>
      <c r="M1787" s="18" t="n">
        <v>60</v>
      </c>
      <c r="N1787" s="18" t="n">
        <v>12</v>
      </c>
      <c r="O1787" s="14" t="s">
        <v>1126</v>
      </c>
      <c r="P1787" s="14" t="s">
        <v>94</v>
      </c>
      <c r="Q1787" s="15" t="s">
        <v>1089</v>
      </c>
      <c r="R1787" s="16" t="s">
        <v>11693</v>
      </c>
      <c r="S1787" s="15" t="s">
        <v>11694</v>
      </c>
      <c r="T1787" s="15" t="s">
        <v>11695</v>
      </c>
      <c r="U1787" s="21" t="s">
        <v>72</v>
      </c>
    </row>
    <row r="1788" customFormat="false" ht="15" hidden="false" customHeight="false" outlineLevel="0" collapsed="false">
      <c r="A1788" s="15" t="s">
        <v>79</v>
      </c>
      <c r="B1788" s="15" t="s">
        <v>179</v>
      </c>
      <c r="C1788" s="14" t="s">
        <v>11696</v>
      </c>
      <c r="D1788" s="14" t="s">
        <v>11697</v>
      </c>
      <c r="E1788" s="16" t="s">
        <v>11698</v>
      </c>
      <c r="F1788" s="16" t="s">
        <v>11699</v>
      </c>
      <c r="G1788" s="23" t="s">
        <v>43</v>
      </c>
      <c r="H1788" s="18" t="n">
        <v>1</v>
      </c>
      <c r="I1788" s="20" t="n">
        <v>33.14</v>
      </c>
      <c r="J1788" s="20" t="n">
        <v>128.2</v>
      </c>
      <c r="K1788" s="18" t="n">
        <v>2</v>
      </c>
      <c r="L1788" s="18" t="n">
        <v>1</v>
      </c>
      <c r="M1788" s="18" t="n">
        <v>54</v>
      </c>
      <c r="N1788" s="18" t="n">
        <v>54</v>
      </c>
      <c r="O1788" s="14" t="s">
        <v>1126</v>
      </c>
      <c r="P1788" s="14" t="s">
        <v>84</v>
      </c>
      <c r="Q1788" s="15" t="s">
        <v>1089</v>
      </c>
      <c r="R1788" s="16" t="s">
        <v>11489</v>
      </c>
      <c r="S1788" s="15" t="s">
        <v>11700</v>
      </c>
      <c r="T1788" s="15" t="s">
        <v>11700</v>
      </c>
      <c r="U1788" s="21" t="s">
        <v>72</v>
      </c>
    </row>
    <row r="1789" customFormat="false" ht="26.85" hidden="false" customHeight="false" outlineLevel="0" collapsed="false">
      <c r="A1789" s="15" t="s">
        <v>79</v>
      </c>
      <c r="B1789" s="15" t="s">
        <v>179</v>
      </c>
      <c r="C1789" s="14" t="s">
        <v>11701</v>
      </c>
      <c r="D1789" s="14" t="s">
        <v>11702</v>
      </c>
      <c r="E1789" s="16" t="s">
        <v>11703</v>
      </c>
      <c r="F1789" s="16" t="s">
        <v>11704</v>
      </c>
      <c r="G1789" s="23" t="s">
        <v>43</v>
      </c>
      <c r="H1789" s="18" t="n">
        <v>2</v>
      </c>
      <c r="I1789" s="20" t="n">
        <v>33.79</v>
      </c>
      <c r="J1789" s="20" t="n">
        <v>67.32</v>
      </c>
      <c r="K1789" s="18" t="n">
        <v>9</v>
      </c>
      <c r="L1789" s="18" t="n">
        <v>4</v>
      </c>
      <c r="M1789" s="18" t="n">
        <v>105</v>
      </c>
      <c r="N1789" s="18" t="n">
        <v>70</v>
      </c>
      <c r="O1789" s="14" t="s">
        <v>11705</v>
      </c>
      <c r="P1789" s="14" t="s">
        <v>118</v>
      </c>
      <c r="Q1789" s="15" t="s">
        <v>1089</v>
      </c>
      <c r="R1789" s="16" t="s">
        <v>4366</v>
      </c>
      <c r="S1789" s="15" t="s">
        <v>11706</v>
      </c>
      <c r="T1789" s="15" t="s">
        <v>11706</v>
      </c>
      <c r="U1789" s="21" t="s">
        <v>72</v>
      </c>
    </row>
    <row r="1790" customFormat="false" ht="15" hidden="false" customHeight="false" outlineLevel="0" collapsed="false">
      <c r="A1790" s="15" t="s">
        <v>79</v>
      </c>
      <c r="B1790" s="15" t="s">
        <v>179</v>
      </c>
      <c r="C1790" s="14" t="s">
        <v>11707</v>
      </c>
      <c r="D1790" s="14" t="s">
        <v>11708</v>
      </c>
      <c r="E1790" s="16" t="s">
        <v>11709</v>
      </c>
      <c r="F1790" s="16" t="s">
        <v>11704</v>
      </c>
      <c r="G1790" s="23" t="s">
        <v>43</v>
      </c>
      <c r="H1790" s="18" t="n">
        <v>4</v>
      </c>
      <c r="I1790" s="20" t="n">
        <v>112.42</v>
      </c>
      <c r="J1790" s="20" t="n">
        <v>184.25</v>
      </c>
      <c r="K1790" s="18" t="n">
        <v>6</v>
      </c>
      <c r="L1790" s="18" t="n">
        <v>1</v>
      </c>
      <c r="M1790" s="18" t="n">
        <v>176</v>
      </c>
      <c r="N1790" s="18" t="n">
        <v>144</v>
      </c>
      <c r="O1790" s="14" t="s">
        <v>1088</v>
      </c>
      <c r="P1790" s="14" t="s">
        <v>226</v>
      </c>
      <c r="Q1790" s="15" t="s">
        <v>1089</v>
      </c>
      <c r="R1790" s="16" t="s">
        <v>10487</v>
      </c>
      <c r="S1790" s="15" t="s">
        <v>11706</v>
      </c>
      <c r="T1790" s="15" t="s">
        <v>11710</v>
      </c>
      <c r="U1790" s="21" t="s">
        <v>72</v>
      </c>
    </row>
    <row r="1791" customFormat="false" ht="15" hidden="false" customHeight="false" outlineLevel="0" collapsed="false">
      <c r="A1791" s="15" t="s">
        <v>79</v>
      </c>
      <c r="B1791" s="15" t="s">
        <v>179</v>
      </c>
      <c r="C1791" s="14" t="s">
        <v>11711</v>
      </c>
      <c r="D1791" s="14" t="s">
        <v>11712</v>
      </c>
      <c r="E1791" s="16" t="s">
        <v>11713</v>
      </c>
      <c r="F1791" s="16" t="s">
        <v>10327</v>
      </c>
      <c r="G1791" s="23" t="s">
        <v>43</v>
      </c>
      <c r="H1791" s="18" t="n">
        <v>2</v>
      </c>
      <c r="I1791" s="20" t="n">
        <v>47.04</v>
      </c>
      <c r="J1791" s="20" t="n">
        <v>146.02</v>
      </c>
      <c r="K1791" s="18" t="n">
        <v>7</v>
      </c>
      <c r="L1791" s="18" t="n">
        <v>1</v>
      </c>
      <c r="M1791" s="18" t="n">
        <v>144</v>
      </c>
      <c r="N1791" s="18" t="n">
        <v>108</v>
      </c>
      <c r="O1791" s="14" t="s">
        <v>11714</v>
      </c>
      <c r="P1791" s="14" t="s">
        <v>334</v>
      </c>
      <c r="Q1791" s="15" t="s">
        <v>1089</v>
      </c>
      <c r="R1791" s="16" t="s">
        <v>11715</v>
      </c>
      <c r="S1791" s="15" t="s">
        <v>10329</v>
      </c>
      <c r="T1791" s="15" t="s">
        <v>11716</v>
      </c>
      <c r="U1791" s="21" t="s">
        <v>72</v>
      </c>
    </row>
    <row r="1792" customFormat="false" ht="15" hidden="false" customHeight="false" outlineLevel="0" collapsed="false">
      <c r="A1792" s="15" t="s">
        <v>79</v>
      </c>
      <c r="B1792" s="15" t="s">
        <v>179</v>
      </c>
      <c r="C1792" s="14" t="s">
        <v>11717</v>
      </c>
      <c r="D1792" s="14" t="s">
        <v>11718</v>
      </c>
      <c r="E1792" s="16" t="s">
        <v>11719</v>
      </c>
      <c r="F1792" s="16" t="s">
        <v>10327</v>
      </c>
      <c r="G1792" s="23" t="s">
        <v>43</v>
      </c>
      <c r="H1792" s="18" t="n">
        <v>4</v>
      </c>
      <c r="I1792" s="20" t="n">
        <v>77.5</v>
      </c>
      <c r="J1792" s="20" t="n">
        <v>160.83</v>
      </c>
      <c r="K1792" s="18" t="n">
        <v>4</v>
      </c>
      <c r="L1792" s="18" t="n">
        <v>5</v>
      </c>
      <c r="M1792" s="18" t="n">
        <v>52</v>
      </c>
      <c r="N1792" s="18" t="n">
        <v>38</v>
      </c>
      <c r="O1792" s="14" t="s">
        <v>10953</v>
      </c>
      <c r="P1792" s="14" t="s">
        <v>118</v>
      </c>
      <c r="Q1792" s="15" t="s">
        <v>1089</v>
      </c>
      <c r="R1792" s="16" t="s">
        <v>11720</v>
      </c>
      <c r="S1792" s="15" t="s">
        <v>10329</v>
      </c>
      <c r="T1792" s="15" t="s">
        <v>10329</v>
      </c>
      <c r="U1792" s="21" t="s">
        <v>72</v>
      </c>
    </row>
    <row r="1793" customFormat="false" ht="15" hidden="false" customHeight="false" outlineLevel="0" collapsed="false">
      <c r="A1793" s="15" t="s">
        <v>79</v>
      </c>
      <c r="B1793" s="15" t="s">
        <v>179</v>
      </c>
      <c r="C1793" s="14" t="s">
        <v>11721</v>
      </c>
      <c r="D1793" s="14" t="s">
        <v>11722</v>
      </c>
      <c r="E1793" s="16" t="s">
        <v>11723</v>
      </c>
      <c r="F1793" s="16" t="s">
        <v>11724</v>
      </c>
      <c r="G1793" s="23" t="s">
        <v>43</v>
      </c>
      <c r="H1793" s="18" t="n">
        <v>4</v>
      </c>
      <c r="I1793" s="20" t="n">
        <v>68.24</v>
      </c>
      <c r="J1793" s="20" t="n">
        <v>137.39</v>
      </c>
      <c r="K1793" s="18" t="n">
        <v>18</v>
      </c>
      <c r="L1793" s="18" t="n">
        <v>3</v>
      </c>
      <c r="M1793" s="18" t="n">
        <v>288</v>
      </c>
      <c r="N1793" s="18" t="n">
        <v>16</v>
      </c>
      <c r="O1793" s="14" t="s">
        <v>1126</v>
      </c>
      <c r="P1793" s="14" t="s">
        <v>202</v>
      </c>
      <c r="Q1793" s="15" t="s">
        <v>1089</v>
      </c>
      <c r="R1793" s="16" t="s">
        <v>11725</v>
      </c>
      <c r="S1793" s="15" t="s">
        <v>11726</v>
      </c>
      <c r="T1793" s="15" t="s">
        <v>11727</v>
      </c>
      <c r="U1793" s="21" t="s">
        <v>72</v>
      </c>
    </row>
    <row r="1794" customFormat="false" ht="15" hidden="false" customHeight="false" outlineLevel="0" collapsed="false">
      <c r="A1794" s="15" t="s">
        <v>79</v>
      </c>
      <c r="B1794" s="15" t="s">
        <v>179</v>
      </c>
      <c r="C1794" s="14" t="s">
        <v>11728</v>
      </c>
      <c r="D1794" s="14" t="s">
        <v>11729</v>
      </c>
      <c r="E1794" s="16" t="s">
        <v>11730</v>
      </c>
      <c r="F1794" s="16" t="s">
        <v>11731</v>
      </c>
      <c r="G1794" s="25" t="s">
        <v>39</v>
      </c>
      <c r="H1794" s="18" t="n">
        <v>7</v>
      </c>
      <c r="I1794" s="20" t="n">
        <v>337.54</v>
      </c>
      <c r="J1794" s="20" t="n">
        <v>605.44</v>
      </c>
      <c r="K1794" s="18" t="n">
        <v>7</v>
      </c>
      <c r="L1794" s="18" t="n">
        <v>7</v>
      </c>
      <c r="M1794" s="18" t="n">
        <v>273</v>
      </c>
      <c r="N1794" s="18" t="n">
        <v>273</v>
      </c>
      <c r="O1794" s="14" t="s">
        <v>1126</v>
      </c>
      <c r="P1794" s="14" t="s">
        <v>84</v>
      </c>
      <c r="Q1794" s="15" t="s">
        <v>1089</v>
      </c>
      <c r="R1794" s="16" t="s">
        <v>11732</v>
      </c>
      <c r="S1794" s="15" t="s">
        <v>11733</v>
      </c>
      <c r="T1794" s="15" t="s">
        <v>11733</v>
      </c>
      <c r="U1794" s="21" t="s">
        <v>72</v>
      </c>
    </row>
    <row r="1795" customFormat="false" ht="39.55" hidden="false" customHeight="false" outlineLevel="0" collapsed="false">
      <c r="A1795" s="15" t="s">
        <v>79</v>
      </c>
      <c r="B1795" s="15" t="s">
        <v>179</v>
      </c>
      <c r="C1795" s="14" t="s">
        <v>11734</v>
      </c>
      <c r="D1795" s="14" t="s">
        <v>11735</v>
      </c>
      <c r="E1795" s="16" t="s">
        <v>11736</v>
      </c>
      <c r="F1795" s="16" t="s">
        <v>11737</v>
      </c>
      <c r="G1795" s="19" t="s">
        <v>41</v>
      </c>
      <c r="H1795" s="18" t="n">
        <v>3</v>
      </c>
      <c r="I1795" s="20" t="n">
        <v>89.66</v>
      </c>
      <c r="J1795" s="20" t="n">
        <v>243.68</v>
      </c>
      <c r="K1795" s="18" t="n">
        <v>9</v>
      </c>
      <c r="L1795" s="18" t="n">
        <v>2</v>
      </c>
      <c r="M1795" s="18" t="n">
        <v>234</v>
      </c>
      <c r="N1795" s="18" t="n">
        <v>130</v>
      </c>
      <c r="O1795" s="14" t="s">
        <v>11738</v>
      </c>
      <c r="P1795" s="14" t="s">
        <v>334</v>
      </c>
      <c r="Q1795" s="15" t="s">
        <v>1089</v>
      </c>
      <c r="R1795" s="16" t="s">
        <v>11739</v>
      </c>
      <c r="S1795" s="15" t="s">
        <v>11740</v>
      </c>
      <c r="T1795" s="15" t="s">
        <v>11741</v>
      </c>
      <c r="U1795" s="21" t="s">
        <v>72</v>
      </c>
    </row>
    <row r="1796" customFormat="false" ht="15" hidden="false" customHeight="false" outlineLevel="0" collapsed="false">
      <c r="A1796" s="15" t="s">
        <v>79</v>
      </c>
      <c r="B1796" s="15" t="s">
        <v>179</v>
      </c>
      <c r="C1796" s="14" t="s">
        <v>11742</v>
      </c>
      <c r="D1796" s="14" t="s">
        <v>11743</v>
      </c>
      <c r="E1796" s="16" t="s">
        <v>11744</v>
      </c>
      <c r="F1796" s="16" t="s">
        <v>11745</v>
      </c>
      <c r="G1796" s="19" t="s">
        <v>41</v>
      </c>
      <c r="H1796" s="18" t="n">
        <v>4</v>
      </c>
      <c r="I1796" s="20" t="n">
        <v>104.44</v>
      </c>
      <c r="J1796" s="20" t="n">
        <v>267.8</v>
      </c>
      <c r="K1796" s="18" t="n">
        <v>4</v>
      </c>
      <c r="L1796" s="18" t="n">
        <v>2</v>
      </c>
      <c r="M1796" s="18" t="n">
        <v>72</v>
      </c>
      <c r="N1796" s="18" t="n">
        <v>36</v>
      </c>
      <c r="O1796" s="14" t="s">
        <v>1126</v>
      </c>
      <c r="P1796" s="14" t="s">
        <v>94</v>
      </c>
      <c r="Q1796" s="15" t="s">
        <v>1089</v>
      </c>
      <c r="R1796" s="16" t="s">
        <v>11746</v>
      </c>
      <c r="S1796" s="15" t="s">
        <v>11747</v>
      </c>
      <c r="T1796" s="15" t="s">
        <v>11747</v>
      </c>
      <c r="U1796" s="21" t="s">
        <v>72</v>
      </c>
    </row>
    <row r="1797" customFormat="false" ht="15" hidden="false" customHeight="false" outlineLevel="0" collapsed="false">
      <c r="A1797" s="15" t="s">
        <v>79</v>
      </c>
      <c r="B1797" s="15" t="s">
        <v>179</v>
      </c>
      <c r="C1797" s="14" t="s">
        <v>305</v>
      </c>
      <c r="D1797" s="14" t="s">
        <v>11748</v>
      </c>
      <c r="E1797" s="16" t="s">
        <v>11749</v>
      </c>
      <c r="F1797" s="16" t="s">
        <v>308</v>
      </c>
      <c r="G1797" s="23" t="s">
        <v>43</v>
      </c>
      <c r="H1797" s="18" t="n">
        <v>2</v>
      </c>
      <c r="I1797" s="20" t="n">
        <v>47.52</v>
      </c>
      <c r="J1797" s="20" t="n">
        <v>155.16</v>
      </c>
      <c r="K1797" s="18" t="n">
        <v>2</v>
      </c>
      <c r="L1797" s="18" t="n">
        <v>5</v>
      </c>
      <c r="M1797" s="18" t="n">
        <v>38</v>
      </c>
      <c r="N1797" s="18" t="n">
        <v>38</v>
      </c>
      <c r="O1797" s="14" t="s">
        <v>11484</v>
      </c>
      <c r="P1797" s="14" t="s">
        <v>84</v>
      </c>
      <c r="Q1797" s="15" t="s">
        <v>1089</v>
      </c>
      <c r="R1797" s="16" t="s">
        <v>309</v>
      </c>
      <c r="S1797" s="15" t="s">
        <v>310</v>
      </c>
      <c r="T1797" s="15" t="s">
        <v>310</v>
      </c>
      <c r="U1797" s="21" t="s">
        <v>72</v>
      </c>
    </row>
    <row r="1798" customFormat="false" ht="15" hidden="false" customHeight="false" outlineLevel="0" collapsed="false">
      <c r="A1798" s="15" t="s">
        <v>79</v>
      </c>
      <c r="B1798" s="15" t="s">
        <v>179</v>
      </c>
      <c r="C1798" s="14" t="s">
        <v>11750</v>
      </c>
      <c r="D1798" s="14" t="s">
        <v>11751</v>
      </c>
      <c r="E1798" s="16" t="s">
        <v>11752</v>
      </c>
      <c r="F1798" s="16" t="s">
        <v>11753</v>
      </c>
      <c r="G1798" s="23" t="s">
        <v>43</v>
      </c>
      <c r="H1798" s="18" t="n">
        <v>1</v>
      </c>
      <c r="I1798" s="20" t="n">
        <v>32.2</v>
      </c>
      <c r="J1798" s="20" t="n">
        <v>168.18</v>
      </c>
      <c r="K1798" s="18" t="n">
        <v>2</v>
      </c>
      <c r="L1798" s="18" t="n">
        <v>2</v>
      </c>
      <c r="M1798" s="18" t="n">
        <v>52</v>
      </c>
      <c r="N1798" s="18" t="n">
        <v>52</v>
      </c>
      <c r="O1798" s="14" t="s">
        <v>1126</v>
      </c>
      <c r="P1798" s="14" t="s">
        <v>84</v>
      </c>
      <c r="Q1798" s="15" t="s">
        <v>1089</v>
      </c>
      <c r="R1798" s="16" t="s">
        <v>11754</v>
      </c>
      <c r="S1798" s="15" t="s">
        <v>11755</v>
      </c>
      <c r="T1798" s="15" t="s">
        <v>11755</v>
      </c>
      <c r="U1798" s="21" t="s">
        <v>72</v>
      </c>
    </row>
    <row r="1799" customFormat="false" ht="15" hidden="false" customHeight="false" outlineLevel="0" collapsed="false">
      <c r="A1799" s="15" t="s">
        <v>79</v>
      </c>
      <c r="B1799" s="15" t="s">
        <v>179</v>
      </c>
      <c r="C1799" s="14" t="s">
        <v>11756</v>
      </c>
      <c r="D1799" s="14" t="s">
        <v>11757</v>
      </c>
      <c r="E1799" s="16" t="s">
        <v>11758</v>
      </c>
      <c r="F1799" s="16" t="s">
        <v>11759</v>
      </c>
      <c r="G1799" s="23" t="s">
        <v>43</v>
      </c>
      <c r="H1799" s="18" t="n">
        <v>3</v>
      </c>
      <c r="I1799" s="20" t="n">
        <v>54.81</v>
      </c>
      <c r="J1799" s="20" t="n">
        <v>151.59</v>
      </c>
      <c r="K1799" s="18" t="n">
        <v>4</v>
      </c>
      <c r="L1799" s="18" t="n">
        <v>1</v>
      </c>
      <c r="M1799" s="18" t="n">
        <v>60</v>
      </c>
      <c r="N1799" s="18" t="n">
        <v>28</v>
      </c>
      <c r="O1799" s="14" t="s">
        <v>11760</v>
      </c>
      <c r="P1799" s="14" t="s">
        <v>118</v>
      </c>
      <c r="Q1799" s="15" t="s">
        <v>1089</v>
      </c>
      <c r="R1799" s="16" t="s">
        <v>11761</v>
      </c>
      <c r="S1799" s="15" t="s">
        <v>11762</v>
      </c>
      <c r="T1799" s="15" t="s">
        <v>11762</v>
      </c>
      <c r="U1799" s="21" t="s">
        <v>72</v>
      </c>
    </row>
    <row r="1800" customFormat="false" ht="15" hidden="false" customHeight="false" outlineLevel="0" collapsed="false">
      <c r="A1800" s="15" t="s">
        <v>79</v>
      </c>
      <c r="B1800" s="15" t="s">
        <v>179</v>
      </c>
      <c r="C1800" s="14" t="s">
        <v>11763</v>
      </c>
      <c r="D1800" s="14" t="s">
        <v>11764</v>
      </c>
      <c r="E1800" s="16" t="s">
        <v>11765</v>
      </c>
      <c r="F1800" s="16" t="s">
        <v>11766</v>
      </c>
      <c r="G1800" s="19" t="s">
        <v>41</v>
      </c>
      <c r="H1800" s="18" t="n">
        <v>6</v>
      </c>
      <c r="I1800" s="20" t="n">
        <v>168.1</v>
      </c>
      <c r="J1800" s="20" t="n">
        <v>284.1</v>
      </c>
      <c r="K1800" s="18" t="n">
        <v>5</v>
      </c>
      <c r="L1800" s="18" t="n">
        <v>4</v>
      </c>
      <c r="M1800" s="18" t="n">
        <v>90</v>
      </c>
      <c r="N1800" s="18" t="n">
        <v>30</v>
      </c>
      <c r="O1800" s="14" t="s">
        <v>1126</v>
      </c>
      <c r="P1800" s="14" t="s">
        <v>118</v>
      </c>
      <c r="Q1800" s="15" t="s">
        <v>1089</v>
      </c>
      <c r="R1800" s="16" t="s">
        <v>11767</v>
      </c>
      <c r="S1800" s="15" t="s">
        <v>11768</v>
      </c>
      <c r="T1800" s="15" t="s">
        <v>11768</v>
      </c>
      <c r="U1800" s="21" t="s">
        <v>72</v>
      </c>
    </row>
    <row r="1801" customFormat="false" ht="15" hidden="false" customHeight="false" outlineLevel="0" collapsed="false">
      <c r="A1801" s="15" t="s">
        <v>79</v>
      </c>
      <c r="B1801" s="15" t="s">
        <v>179</v>
      </c>
      <c r="C1801" s="14" t="s">
        <v>11769</v>
      </c>
      <c r="D1801" s="14" t="s">
        <v>11770</v>
      </c>
      <c r="E1801" s="16" t="s">
        <v>11771</v>
      </c>
      <c r="F1801" s="16" t="s">
        <v>11772</v>
      </c>
      <c r="G1801" s="19" t="s">
        <v>41</v>
      </c>
      <c r="H1801" s="18" t="n">
        <v>4</v>
      </c>
      <c r="I1801" s="20" t="n">
        <v>164.44</v>
      </c>
      <c r="J1801" s="20" t="n">
        <v>306.71</v>
      </c>
      <c r="K1801" s="18" t="n">
        <v>12</v>
      </c>
      <c r="L1801" s="18" t="n">
        <v>10</v>
      </c>
      <c r="M1801" s="18" t="n">
        <v>388</v>
      </c>
      <c r="N1801" s="18" t="n">
        <v>74</v>
      </c>
      <c r="O1801" s="14" t="s">
        <v>1126</v>
      </c>
      <c r="P1801" s="14" t="s">
        <v>118</v>
      </c>
      <c r="Q1801" s="15" t="s">
        <v>1089</v>
      </c>
      <c r="R1801" s="16" t="s">
        <v>11773</v>
      </c>
      <c r="S1801" s="15" t="s">
        <v>10405</v>
      </c>
      <c r="T1801" s="15" t="s">
        <v>11774</v>
      </c>
      <c r="U1801" s="21" t="s">
        <v>72</v>
      </c>
    </row>
    <row r="1802" customFormat="false" ht="15" hidden="false" customHeight="false" outlineLevel="0" collapsed="false">
      <c r="A1802" s="15" t="s">
        <v>79</v>
      </c>
      <c r="B1802" s="15" t="s">
        <v>179</v>
      </c>
      <c r="C1802" s="14" t="s">
        <v>11775</v>
      </c>
      <c r="D1802" s="14" t="s">
        <v>11776</v>
      </c>
      <c r="E1802" s="16" t="s">
        <v>11777</v>
      </c>
      <c r="F1802" s="16" t="s">
        <v>11778</v>
      </c>
      <c r="G1802" s="23" t="s">
        <v>43</v>
      </c>
      <c r="H1802" s="18" t="n">
        <v>3</v>
      </c>
      <c r="I1802" s="20" t="n">
        <v>64.25</v>
      </c>
      <c r="J1802" s="20" t="n">
        <v>122.37</v>
      </c>
      <c r="K1802" s="18" t="n">
        <v>4</v>
      </c>
      <c r="L1802" s="18" t="n">
        <v>4</v>
      </c>
      <c r="M1802" s="18" t="n">
        <v>48</v>
      </c>
      <c r="N1802" s="18" t="n">
        <v>48</v>
      </c>
      <c r="O1802" s="14" t="s">
        <v>1126</v>
      </c>
      <c r="P1802" s="14" t="s">
        <v>84</v>
      </c>
      <c r="Q1802" s="15" t="s">
        <v>1089</v>
      </c>
      <c r="R1802" s="16" t="s">
        <v>10862</v>
      </c>
      <c r="S1802" s="15" t="s">
        <v>9338</v>
      </c>
      <c r="T1802" s="15" t="s">
        <v>11779</v>
      </c>
      <c r="U1802" s="21" t="s">
        <v>72</v>
      </c>
    </row>
    <row r="1803" customFormat="false" ht="15" hidden="false" customHeight="false" outlineLevel="0" collapsed="false">
      <c r="A1803" s="15" t="s">
        <v>79</v>
      </c>
      <c r="B1803" s="15" t="s">
        <v>179</v>
      </c>
      <c r="C1803" s="14" t="s">
        <v>11780</v>
      </c>
      <c r="D1803" s="14" t="s">
        <v>11781</v>
      </c>
      <c r="E1803" s="16" t="s">
        <v>11782</v>
      </c>
      <c r="F1803" s="16" t="s">
        <v>11783</v>
      </c>
      <c r="G1803" s="23" t="s">
        <v>43</v>
      </c>
      <c r="H1803" s="18" t="n">
        <v>2</v>
      </c>
      <c r="I1803" s="20" t="n">
        <v>36.68</v>
      </c>
      <c r="J1803" s="20" t="n">
        <v>139.83</v>
      </c>
      <c r="K1803" s="18" t="n">
        <v>2</v>
      </c>
      <c r="L1803" s="18" t="n">
        <v>1</v>
      </c>
      <c r="M1803" s="18" t="n">
        <v>24</v>
      </c>
      <c r="N1803" s="18" t="n">
        <v>24</v>
      </c>
      <c r="O1803" s="14" t="s">
        <v>1126</v>
      </c>
      <c r="P1803" s="14" t="s">
        <v>84</v>
      </c>
      <c r="Q1803" s="15" t="s">
        <v>1089</v>
      </c>
      <c r="R1803" s="16" t="s">
        <v>11784</v>
      </c>
      <c r="S1803" s="15" t="s">
        <v>11785</v>
      </c>
      <c r="T1803" s="15" t="s">
        <v>11785</v>
      </c>
      <c r="U1803" s="21" t="s">
        <v>72</v>
      </c>
    </row>
    <row r="1804" customFormat="false" ht="15" hidden="false" customHeight="false" outlineLevel="0" collapsed="false">
      <c r="A1804" s="15" t="s">
        <v>79</v>
      </c>
      <c r="B1804" s="15" t="s">
        <v>179</v>
      </c>
      <c r="C1804" s="14" t="s">
        <v>11786</v>
      </c>
      <c r="D1804" s="14" t="s">
        <v>11787</v>
      </c>
      <c r="E1804" s="16" t="s">
        <v>11788</v>
      </c>
      <c r="F1804" s="16" t="s">
        <v>11789</v>
      </c>
      <c r="G1804" s="23" t="s">
        <v>43</v>
      </c>
      <c r="H1804" s="18" t="n">
        <v>4</v>
      </c>
      <c r="I1804" s="20" t="n">
        <v>75.94</v>
      </c>
      <c r="J1804" s="20" t="n">
        <v>187.46</v>
      </c>
      <c r="K1804" s="18" t="n">
        <v>4</v>
      </c>
      <c r="L1804" s="18" t="n">
        <v>2</v>
      </c>
      <c r="M1804" s="18" t="n">
        <v>60</v>
      </c>
      <c r="N1804" s="18" t="n">
        <v>30</v>
      </c>
      <c r="O1804" s="14" t="s">
        <v>1126</v>
      </c>
      <c r="P1804" s="14" t="s">
        <v>118</v>
      </c>
      <c r="Q1804" s="15" t="s">
        <v>1089</v>
      </c>
      <c r="R1804" s="16" t="s">
        <v>6871</v>
      </c>
      <c r="S1804" s="15" t="s">
        <v>11790</v>
      </c>
      <c r="T1804" s="15" t="s">
        <v>11790</v>
      </c>
      <c r="U1804" s="21" t="s">
        <v>72</v>
      </c>
    </row>
    <row r="1805" customFormat="false" ht="15" hidden="false" customHeight="false" outlineLevel="0" collapsed="false">
      <c r="A1805" s="15" t="s">
        <v>79</v>
      </c>
      <c r="B1805" s="15" t="s">
        <v>179</v>
      </c>
      <c r="C1805" s="14" t="s">
        <v>11791</v>
      </c>
      <c r="D1805" s="14" t="s">
        <v>11792</v>
      </c>
      <c r="E1805" s="16" t="s">
        <v>11793</v>
      </c>
      <c r="F1805" s="16" t="s">
        <v>11794</v>
      </c>
      <c r="G1805" s="23" t="s">
        <v>43</v>
      </c>
      <c r="H1805" s="18" t="n">
        <v>1</v>
      </c>
      <c r="I1805" s="20" t="n">
        <v>30.07</v>
      </c>
      <c r="J1805" s="20" t="n">
        <v>106.87</v>
      </c>
      <c r="K1805" s="18" t="n">
        <v>2</v>
      </c>
      <c r="L1805" s="18" t="n">
        <v>2</v>
      </c>
      <c r="M1805" s="18" t="n">
        <v>54</v>
      </c>
      <c r="N1805" s="18" t="n">
        <v>54</v>
      </c>
      <c r="O1805" s="14" t="s">
        <v>1088</v>
      </c>
      <c r="P1805" s="14" t="s">
        <v>84</v>
      </c>
      <c r="Q1805" s="15" t="s">
        <v>1089</v>
      </c>
      <c r="R1805" s="16" t="s">
        <v>3324</v>
      </c>
      <c r="S1805" s="15" t="s">
        <v>11795</v>
      </c>
      <c r="T1805" s="15" t="s">
        <v>11795</v>
      </c>
      <c r="U1805" s="21" t="s">
        <v>72</v>
      </c>
    </row>
    <row r="1806" customFormat="false" ht="26.85" hidden="false" customHeight="false" outlineLevel="0" collapsed="false">
      <c r="A1806" s="15" t="s">
        <v>79</v>
      </c>
      <c r="B1806" s="15" t="s">
        <v>179</v>
      </c>
      <c r="C1806" s="14" t="s">
        <v>11796</v>
      </c>
      <c r="D1806" s="14" t="s">
        <v>11797</v>
      </c>
      <c r="E1806" s="16" t="s">
        <v>11798</v>
      </c>
      <c r="F1806" s="16" t="s">
        <v>11799</v>
      </c>
      <c r="G1806" s="23" t="s">
        <v>43</v>
      </c>
      <c r="H1806" s="18" t="n">
        <v>4</v>
      </c>
      <c r="I1806" s="20" t="n">
        <v>52.82</v>
      </c>
      <c r="J1806" s="20" t="n">
        <v>132.21</v>
      </c>
      <c r="K1806" s="18" t="n">
        <v>4</v>
      </c>
      <c r="L1806" s="18" t="n">
        <v>4</v>
      </c>
      <c r="M1806" s="18" t="n">
        <v>38</v>
      </c>
      <c r="N1806" s="18" t="n">
        <v>18</v>
      </c>
      <c r="O1806" s="14" t="s">
        <v>1126</v>
      </c>
      <c r="P1806" s="14" t="s">
        <v>906</v>
      </c>
      <c r="Q1806" s="15" t="s">
        <v>1089</v>
      </c>
      <c r="R1806" s="16" t="s">
        <v>10493</v>
      </c>
      <c r="S1806" s="15" t="s">
        <v>11800</v>
      </c>
      <c r="T1806" s="15" t="s">
        <v>11801</v>
      </c>
      <c r="U1806" s="21" t="s">
        <v>72</v>
      </c>
    </row>
    <row r="1807" customFormat="false" ht="15" hidden="false" customHeight="false" outlineLevel="0" collapsed="false">
      <c r="A1807" s="15" t="s">
        <v>79</v>
      </c>
      <c r="B1807" s="15" t="s">
        <v>179</v>
      </c>
      <c r="C1807" s="14" t="s">
        <v>297</v>
      </c>
      <c r="D1807" s="14" t="s">
        <v>11802</v>
      </c>
      <c r="E1807" s="16" t="s">
        <v>11803</v>
      </c>
      <c r="F1807" s="16" t="s">
        <v>300</v>
      </c>
      <c r="G1807" s="23" t="s">
        <v>43</v>
      </c>
      <c r="H1807" s="18" t="n">
        <v>3</v>
      </c>
      <c r="I1807" s="20" t="n">
        <v>67.21</v>
      </c>
      <c r="J1807" s="20" t="n">
        <v>120.61</v>
      </c>
      <c r="K1807" s="18" t="n">
        <v>3</v>
      </c>
      <c r="L1807" s="18" t="n">
        <v>3</v>
      </c>
      <c r="M1807" s="18" t="n">
        <v>84</v>
      </c>
      <c r="N1807" s="18" t="n">
        <v>20</v>
      </c>
      <c r="O1807" s="14" t="s">
        <v>1126</v>
      </c>
      <c r="P1807" s="14" t="s">
        <v>84</v>
      </c>
      <c r="Q1807" s="15" t="s">
        <v>1089</v>
      </c>
      <c r="R1807" s="16" t="s">
        <v>301</v>
      </c>
      <c r="S1807" s="15" t="s">
        <v>302</v>
      </c>
      <c r="T1807" s="15" t="s">
        <v>303</v>
      </c>
      <c r="U1807" s="21" t="s">
        <v>72</v>
      </c>
    </row>
    <row r="1808" customFormat="false" ht="15" hidden="false" customHeight="false" outlineLevel="0" collapsed="false">
      <c r="A1808" s="15" t="s">
        <v>79</v>
      </c>
      <c r="B1808" s="15" t="s">
        <v>179</v>
      </c>
      <c r="C1808" s="14" t="s">
        <v>11804</v>
      </c>
      <c r="D1808" s="14" t="s">
        <v>11805</v>
      </c>
      <c r="E1808" s="16" t="s">
        <v>11806</v>
      </c>
      <c r="F1808" s="16" t="s">
        <v>11807</v>
      </c>
      <c r="G1808" s="19" t="s">
        <v>41</v>
      </c>
      <c r="H1808" s="18" t="n">
        <v>4</v>
      </c>
      <c r="I1808" s="20" t="n">
        <v>119.92</v>
      </c>
      <c r="J1808" s="20" t="n">
        <v>217.89</v>
      </c>
      <c r="K1808" s="18" t="n">
        <v>4</v>
      </c>
      <c r="L1808" s="18" t="n">
        <v>3</v>
      </c>
      <c r="M1808" s="18" t="n">
        <v>99</v>
      </c>
      <c r="N1808" s="18" t="n">
        <v>69</v>
      </c>
      <c r="O1808" s="14" t="s">
        <v>11808</v>
      </c>
      <c r="P1808" s="14" t="s">
        <v>118</v>
      </c>
      <c r="Q1808" s="15" t="s">
        <v>1089</v>
      </c>
      <c r="R1808" s="16" t="s">
        <v>11809</v>
      </c>
      <c r="S1808" s="15" t="s">
        <v>11810</v>
      </c>
      <c r="T1808" s="15" t="s">
        <v>11810</v>
      </c>
      <c r="U1808" s="21" t="s">
        <v>72</v>
      </c>
    </row>
    <row r="1809" customFormat="false" ht="26.85" hidden="false" customHeight="false" outlineLevel="0" collapsed="false">
      <c r="A1809" s="15" t="s">
        <v>79</v>
      </c>
      <c r="B1809" s="15" t="s">
        <v>179</v>
      </c>
      <c r="C1809" s="14" t="s">
        <v>11811</v>
      </c>
      <c r="D1809" s="14" t="s">
        <v>11812</v>
      </c>
      <c r="E1809" s="16" t="s">
        <v>11813</v>
      </c>
      <c r="F1809" s="16" t="s">
        <v>11814</v>
      </c>
      <c r="G1809" s="23" t="s">
        <v>43</v>
      </c>
      <c r="H1809" s="18" t="n">
        <v>3</v>
      </c>
      <c r="I1809" s="20" t="n">
        <v>52.04</v>
      </c>
      <c r="J1809" s="20" t="n">
        <v>126.71</v>
      </c>
      <c r="K1809" s="18" t="n">
        <v>19</v>
      </c>
      <c r="L1809" s="18" t="n">
        <v>4</v>
      </c>
      <c r="M1809" s="18" t="n">
        <v>269</v>
      </c>
      <c r="N1809" s="18" t="n">
        <v>135</v>
      </c>
      <c r="O1809" s="14" t="s">
        <v>11815</v>
      </c>
      <c r="P1809" s="14" t="s">
        <v>118</v>
      </c>
      <c r="Q1809" s="15" t="s">
        <v>1089</v>
      </c>
      <c r="R1809" s="16" t="s">
        <v>11816</v>
      </c>
      <c r="S1809" s="15" t="s">
        <v>11817</v>
      </c>
      <c r="T1809" s="15" t="s">
        <v>11817</v>
      </c>
      <c r="U1809" s="21" t="s">
        <v>72</v>
      </c>
    </row>
    <row r="1810" customFormat="false" ht="26.85" hidden="false" customHeight="false" outlineLevel="0" collapsed="false">
      <c r="A1810" s="15" t="s">
        <v>79</v>
      </c>
      <c r="B1810" s="15" t="s">
        <v>179</v>
      </c>
      <c r="C1810" s="14" t="s">
        <v>11818</v>
      </c>
      <c r="D1810" s="14" t="s">
        <v>11819</v>
      </c>
      <c r="E1810" s="16" t="s">
        <v>11820</v>
      </c>
      <c r="F1810" s="16" t="s">
        <v>11821</v>
      </c>
      <c r="G1810" s="23" t="s">
        <v>43</v>
      </c>
      <c r="H1810" s="18" t="n">
        <v>1</v>
      </c>
      <c r="I1810" s="20" t="n">
        <v>36.51</v>
      </c>
      <c r="J1810" s="20" t="n">
        <v>71.75</v>
      </c>
      <c r="K1810" s="18" t="n">
        <v>7</v>
      </c>
      <c r="L1810" s="18" t="n">
        <v>7</v>
      </c>
      <c r="M1810" s="18" t="n">
        <v>210</v>
      </c>
      <c r="N1810" s="18" t="n">
        <v>90</v>
      </c>
      <c r="O1810" s="14" t="s">
        <v>11822</v>
      </c>
      <c r="P1810" s="14" t="s">
        <v>118</v>
      </c>
      <c r="Q1810" s="15" t="s">
        <v>1089</v>
      </c>
      <c r="R1810" s="16" t="s">
        <v>11823</v>
      </c>
      <c r="S1810" s="15" t="s">
        <v>11824</v>
      </c>
      <c r="T1810" s="15" t="s">
        <v>11824</v>
      </c>
      <c r="U1810" s="21" t="s">
        <v>72</v>
      </c>
    </row>
    <row r="1811" customFormat="false" ht="15" hidden="false" customHeight="false" outlineLevel="0" collapsed="false">
      <c r="A1811" s="15" t="s">
        <v>79</v>
      </c>
      <c r="B1811" s="15" t="s">
        <v>179</v>
      </c>
      <c r="C1811" s="14" t="s">
        <v>272</v>
      </c>
      <c r="D1811" s="14" t="s">
        <v>11825</v>
      </c>
      <c r="E1811" s="16" t="s">
        <v>11826</v>
      </c>
      <c r="F1811" s="16" t="s">
        <v>275</v>
      </c>
      <c r="G1811" s="23" t="s">
        <v>43</v>
      </c>
      <c r="H1811" s="18" t="n">
        <v>4</v>
      </c>
      <c r="I1811" s="20" t="n">
        <v>88.42</v>
      </c>
      <c r="J1811" s="20" t="n">
        <v>178.97</v>
      </c>
      <c r="K1811" s="18" t="n">
        <v>4</v>
      </c>
      <c r="L1811" s="18" t="n">
        <v>1</v>
      </c>
      <c r="M1811" s="18" t="n">
        <v>72</v>
      </c>
      <c r="N1811" s="18" t="n">
        <v>23</v>
      </c>
      <c r="O1811" s="14" t="s">
        <v>1126</v>
      </c>
      <c r="P1811" s="14" t="s">
        <v>118</v>
      </c>
      <c r="Q1811" s="15" t="s">
        <v>1089</v>
      </c>
      <c r="R1811" s="16" t="s">
        <v>276</v>
      </c>
      <c r="S1811" s="15" t="s">
        <v>277</v>
      </c>
      <c r="T1811" s="15" t="s">
        <v>277</v>
      </c>
      <c r="U1811" s="21" t="s">
        <v>72</v>
      </c>
    </row>
    <row r="1812" customFormat="false" ht="15" hidden="false" customHeight="false" outlineLevel="0" collapsed="false">
      <c r="A1812" s="15" t="s">
        <v>79</v>
      </c>
      <c r="B1812" s="15" t="s">
        <v>179</v>
      </c>
      <c r="C1812" s="14" t="s">
        <v>11827</v>
      </c>
      <c r="D1812" s="14" t="s">
        <v>11828</v>
      </c>
      <c r="E1812" s="16" t="s">
        <v>11487</v>
      </c>
      <c r="F1812" s="16" t="s">
        <v>11829</v>
      </c>
      <c r="G1812" s="23" t="s">
        <v>43</v>
      </c>
      <c r="H1812" s="18" t="n">
        <v>2</v>
      </c>
      <c r="I1812" s="20" t="n">
        <v>76.8</v>
      </c>
      <c r="J1812" s="20" t="n">
        <v>193.11</v>
      </c>
      <c r="K1812" s="18" t="n">
        <v>4</v>
      </c>
      <c r="L1812" s="18" t="n">
        <v>5</v>
      </c>
      <c r="M1812" s="18" t="n">
        <v>128</v>
      </c>
      <c r="N1812" s="18" t="n">
        <v>128</v>
      </c>
      <c r="O1812" s="14" t="s">
        <v>10042</v>
      </c>
      <c r="P1812" s="14" t="s">
        <v>118</v>
      </c>
      <c r="Q1812" s="15" t="s">
        <v>1089</v>
      </c>
      <c r="R1812" s="16" t="s">
        <v>9670</v>
      </c>
      <c r="S1812" s="15" t="s">
        <v>11830</v>
      </c>
      <c r="T1812" s="15" t="s">
        <v>11831</v>
      </c>
      <c r="U1812" s="21" t="s">
        <v>72</v>
      </c>
    </row>
    <row r="1813" customFormat="false" ht="26.85" hidden="false" customHeight="false" outlineLevel="0" collapsed="false">
      <c r="A1813" s="15" t="s">
        <v>79</v>
      </c>
      <c r="B1813" s="15" t="s">
        <v>179</v>
      </c>
      <c r="C1813" s="14" t="s">
        <v>11832</v>
      </c>
      <c r="D1813" s="14" t="s">
        <v>11833</v>
      </c>
      <c r="E1813" s="16" t="s">
        <v>11834</v>
      </c>
      <c r="F1813" s="16" t="s">
        <v>11835</v>
      </c>
      <c r="G1813" s="23" t="s">
        <v>43</v>
      </c>
      <c r="H1813" s="18" t="n">
        <v>1</v>
      </c>
      <c r="I1813" s="20" t="n">
        <v>37.78</v>
      </c>
      <c r="J1813" s="20" t="n">
        <v>118.69</v>
      </c>
      <c r="K1813" s="18" t="n">
        <v>7</v>
      </c>
      <c r="L1813" s="18" t="n">
        <v>3</v>
      </c>
      <c r="M1813" s="18" t="n">
        <v>217</v>
      </c>
      <c r="N1813" s="18" t="n">
        <v>155</v>
      </c>
      <c r="O1813" s="14" t="s">
        <v>11836</v>
      </c>
      <c r="P1813" s="14" t="s">
        <v>334</v>
      </c>
      <c r="Q1813" s="15" t="s">
        <v>1089</v>
      </c>
      <c r="R1813" s="16" t="s">
        <v>11837</v>
      </c>
      <c r="S1813" s="15" t="s">
        <v>11838</v>
      </c>
      <c r="T1813" s="15" t="s">
        <v>11838</v>
      </c>
      <c r="U1813" s="21" t="s">
        <v>72</v>
      </c>
    </row>
    <row r="1814" customFormat="false" ht="15" hidden="false" customHeight="false" outlineLevel="0" collapsed="false">
      <c r="A1814" s="15" t="s">
        <v>79</v>
      </c>
      <c r="B1814" s="15" t="s">
        <v>179</v>
      </c>
      <c r="C1814" s="14" t="s">
        <v>11839</v>
      </c>
      <c r="D1814" s="14" t="s">
        <v>11840</v>
      </c>
      <c r="E1814" s="16" t="s">
        <v>11841</v>
      </c>
      <c r="F1814" s="16" t="s">
        <v>11842</v>
      </c>
      <c r="G1814" s="23" t="s">
        <v>43</v>
      </c>
      <c r="H1814" s="18" t="n">
        <v>1</v>
      </c>
      <c r="I1814" s="20" t="n">
        <v>30</v>
      </c>
      <c r="J1814" s="20" t="n">
        <v>44.6</v>
      </c>
      <c r="K1814" s="18" t="n">
        <v>1</v>
      </c>
      <c r="L1814" s="18" t="n">
        <v>1</v>
      </c>
      <c r="M1814" s="18" t="n">
        <v>25</v>
      </c>
      <c r="N1814" s="18" t="n">
        <v>25</v>
      </c>
      <c r="O1814" s="14" t="s">
        <v>1088</v>
      </c>
      <c r="P1814" s="14" t="s">
        <v>84</v>
      </c>
      <c r="Q1814" s="15" t="s">
        <v>1089</v>
      </c>
      <c r="R1814" s="16" t="s">
        <v>11843</v>
      </c>
      <c r="S1814" s="15" t="s">
        <v>11844</v>
      </c>
      <c r="T1814" s="15" t="s">
        <v>11845</v>
      </c>
      <c r="U1814" s="21" t="s">
        <v>72</v>
      </c>
    </row>
    <row r="1815" customFormat="false" ht="15" hidden="false" customHeight="false" outlineLevel="0" collapsed="false">
      <c r="A1815" s="15" t="s">
        <v>79</v>
      </c>
      <c r="B1815" s="15" t="s">
        <v>179</v>
      </c>
      <c r="C1815" s="14" t="s">
        <v>198</v>
      </c>
      <c r="D1815" s="14" t="s">
        <v>11846</v>
      </c>
      <c r="E1815" s="16" t="s">
        <v>11847</v>
      </c>
      <c r="F1815" s="16" t="s">
        <v>201</v>
      </c>
      <c r="G1815" s="25" t="s">
        <v>39</v>
      </c>
      <c r="H1815" s="18" t="n">
        <v>9</v>
      </c>
      <c r="I1815" s="20" t="n">
        <v>67.31</v>
      </c>
      <c r="J1815" s="20" t="n">
        <v>115.54</v>
      </c>
      <c r="K1815" s="18" t="n">
        <v>9</v>
      </c>
      <c r="L1815" s="18" t="n">
        <v>1</v>
      </c>
      <c r="M1815" s="18" t="n">
        <v>270</v>
      </c>
      <c r="N1815" s="18" t="n">
        <v>90</v>
      </c>
      <c r="O1815" s="14" t="s">
        <v>1126</v>
      </c>
      <c r="P1815" s="14" t="s">
        <v>202</v>
      </c>
      <c r="Q1815" s="15" t="s">
        <v>1089</v>
      </c>
      <c r="R1815" s="16" t="s">
        <v>203</v>
      </c>
      <c r="S1815" s="15" t="s">
        <v>204</v>
      </c>
      <c r="T1815" s="15" t="s">
        <v>204</v>
      </c>
      <c r="U1815" s="21" t="s">
        <v>72</v>
      </c>
    </row>
    <row r="1816" customFormat="false" ht="15" hidden="false" customHeight="false" outlineLevel="0" collapsed="false">
      <c r="A1816" s="15" t="s">
        <v>79</v>
      </c>
      <c r="B1816" s="15" t="s">
        <v>179</v>
      </c>
      <c r="C1816" s="14" t="s">
        <v>11848</v>
      </c>
      <c r="D1816" s="14" t="s">
        <v>11849</v>
      </c>
      <c r="E1816" s="16" t="s">
        <v>11850</v>
      </c>
      <c r="F1816" s="16" t="s">
        <v>11851</v>
      </c>
      <c r="G1816" s="19" t="s">
        <v>41</v>
      </c>
      <c r="H1816" s="18" t="n">
        <v>6</v>
      </c>
      <c r="I1816" s="20" t="n">
        <v>122.56</v>
      </c>
      <c r="J1816" s="20" t="n">
        <v>336.35</v>
      </c>
      <c r="K1816" s="18" t="n">
        <v>10</v>
      </c>
      <c r="L1816" s="18" t="n">
        <v>2</v>
      </c>
      <c r="M1816" s="18" t="n">
        <v>158</v>
      </c>
      <c r="N1816" s="18" t="n">
        <v>40</v>
      </c>
      <c r="O1816" s="14" t="s">
        <v>11852</v>
      </c>
      <c r="P1816" s="14" t="s">
        <v>118</v>
      </c>
      <c r="Q1816" s="15" t="s">
        <v>1089</v>
      </c>
      <c r="R1816" s="16" t="s">
        <v>6278</v>
      </c>
      <c r="S1816" s="15" t="s">
        <v>11853</v>
      </c>
      <c r="T1816" s="15" t="s">
        <v>11853</v>
      </c>
      <c r="U1816" s="21" t="s">
        <v>72</v>
      </c>
    </row>
    <row r="1817" customFormat="false" ht="15" hidden="false" customHeight="false" outlineLevel="0" collapsed="false">
      <c r="A1817" s="15" t="s">
        <v>79</v>
      </c>
      <c r="B1817" s="15" t="s">
        <v>179</v>
      </c>
      <c r="C1817" s="14" t="s">
        <v>11854</v>
      </c>
      <c r="D1817" s="14" t="s">
        <v>11855</v>
      </c>
      <c r="E1817" s="16" t="s">
        <v>11856</v>
      </c>
      <c r="F1817" s="16" t="s">
        <v>11857</v>
      </c>
      <c r="G1817" s="19" t="s">
        <v>41</v>
      </c>
      <c r="H1817" s="18" t="n">
        <v>4</v>
      </c>
      <c r="I1817" s="20" t="n">
        <v>151.18</v>
      </c>
      <c r="J1817" s="20" t="n">
        <v>321.07</v>
      </c>
      <c r="K1817" s="18" t="n">
        <v>4</v>
      </c>
      <c r="L1817" s="18" t="n">
        <v>4</v>
      </c>
      <c r="M1817" s="18" t="n">
        <v>160</v>
      </c>
      <c r="N1817" s="18" t="n">
        <v>80</v>
      </c>
      <c r="O1817" s="14" t="s">
        <v>1126</v>
      </c>
      <c r="P1817" s="14" t="s">
        <v>118</v>
      </c>
      <c r="Q1817" s="15" t="s">
        <v>1089</v>
      </c>
      <c r="R1817" s="16" t="s">
        <v>5850</v>
      </c>
      <c r="S1817" s="15" t="s">
        <v>11858</v>
      </c>
      <c r="T1817" s="15" t="s">
        <v>11858</v>
      </c>
      <c r="U1817" s="21" t="s">
        <v>72</v>
      </c>
    </row>
    <row r="1818" customFormat="false" ht="15" hidden="false" customHeight="false" outlineLevel="0" collapsed="false">
      <c r="A1818" s="15" t="s">
        <v>79</v>
      </c>
      <c r="B1818" s="15" t="s">
        <v>394</v>
      </c>
      <c r="C1818" s="14" t="s">
        <v>412</v>
      </c>
      <c r="D1818" s="14" t="s">
        <v>11859</v>
      </c>
      <c r="E1818" s="16" t="s">
        <v>11860</v>
      </c>
      <c r="F1818" s="16" t="s">
        <v>415</v>
      </c>
      <c r="G1818" s="23" t="s">
        <v>43</v>
      </c>
      <c r="H1818" s="18" t="n">
        <v>2</v>
      </c>
      <c r="I1818" s="20" t="n">
        <v>37.68</v>
      </c>
      <c r="J1818" s="20" t="n">
        <v>126.96</v>
      </c>
      <c r="K1818" s="18" t="n">
        <v>2</v>
      </c>
      <c r="L1818" s="18" t="n">
        <v>3</v>
      </c>
      <c r="M1818" s="18" t="n">
        <v>30</v>
      </c>
      <c r="N1818" s="18" t="n">
        <v>15</v>
      </c>
      <c r="O1818" s="14" t="s">
        <v>1126</v>
      </c>
      <c r="P1818" s="14" t="s">
        <v>84</v>
      </c>
      <c r="Q1818" s="15" t="s">
        <v>1089</v>
      </c>
      <c r="R1818" s="16" t="s">
        <v>416</v>
      </c>
      <c r="S1818" s="15" t="s">
        <v>417</v>
      </c>
      <c r="T1818" s="15" t="s">
        <v>418</v>
      </c>
      <c r="U1818" s="21" t="s">
        <v>72</v>
      </c>
    </row>
    <row r="1819" customFormat="false" ht="15" hidden="false" customHeight="false" outlineLevel="0" collapsed="false">
      <c r="A1819" s="15" t="s">
        <v>79</v>
      </c>
      <c r="B1819" s="15" t="s">
        <v>394</v>
      </c>
      <c r="C1819" s="14" t="s">
        <v>401</v>
      </c>
      <c r="D1819" s="14" t="s">
        <v>11861</v>
      </c>
      <c r="E1819" s="16" t="s">
        <v>11862</v>
      </c>
      <c r="F1819" s="16" t="s">
        <v>404</v>
      </c>
      <c r="G1819" s="23" t="s">
        <v>43</v>
      </c>
      <c r="H1819" s="18" t="n">
        <v>4</v>
      </c>
      <c r="I1819" s="20" t="n">
        <v>72.64</v>
      </c>
      <c r="J1819" s="20" t="n">
        <v>155.93</v>
      </c>
      <c r="K1819" s="18" t="n">
        <v>4</v>
      </c>
      <c r="L1819" s="18" t="n">
        <v>2</v>
      </c>
      <c r="M1819" s="18" t="n">
        <v>58</v>
      </c>
      <c r="N1819" s="18" t="n">
        <v>58</v>
      </c>
      <c r="O1819" s="14" t="s">
        <v>1126</v>
      </c>
      <c r="P1819" s="14" t="s">
        <v>84</v>
      </c>
      <c r="Q1819" s="15" t="s">
        <v>1089</v>
      </c>
      <c r="R1819" s="16" t="s">
        <v>405</v>
      </c>
      <c r="S1819" s="15" t="s">
        <v>406</v>
      </c>
      <c r="T1819" s="15" t="s">
        <v>407</v>
      </c>
      <c r="U1819" s="21" t="s">
        <v>72</v>
      </c>
    </row>
    <row r="1820" customFormat="false" ht="15" hidden="false" customHeight="false" outlineLevel="0" collapsed="false">
      <c r="A1820" s="15" t="s">
        <v>79</v>
      </c>
      <c r="B1820" s="15" t="s">
        <v>394</v>
      </c>
      <c r="C1820" s="14" t="s">
        <v>11863</v>
      </c>
      <c r="D1820" s="14" t="s">
        <v>11864</v>
      </c>
      <c r="E1820" s="16" t="s">
        <v>11865</v>
      </c>
      <c r="F1820" s="16" t="s">
        <v>11866</v>
      </c>
      <c r="G1820" s="19" t="s">
        <v>41</v>
      </c>
      <c r="H1820" s="18" t="n">
        <v>6</v>
      </c>
      <c r="I1820" s="20" t="n">
        <v>161.43</v>
      </c>
      <c r="J1820" s="20" t="n">
        <v>347.33</v>
      </c>
      <c r="K1820" s="18" t="n">
        <v>4</v>
      </c>
      <c r="L1820" s="18" t="n">
        <v>2</v>
      </c>
      <c r="M1820" s="18" t="n">
        <v>68</v>
      </c>
      <c r="N1820" s="18" t="n">
        <v>28</v>
      </c>
      <c r="O1820" s="14" t="s">
        <v>1126</v>
      </c>
      <c r="P1820" s="14" t="s">
        <v>118</v>
      </c>
      <c r="Q1820" s="15" t="s">
        <v>1089</v>
      </c>
      <c r="R1820" s="16" t="s">
        <v>11867</v>
      </c>
      <c r="S1820" s="15" t="s">
        <v>11868</v>
      </c>
      <c r="T1820" s="15" t="s">
        <v>11869</v>
      </c>
      <c r="U1820" s="21" t="s">
        <v>72</v>
      </c>
    </row>
    <row r="1821" customFormat="false" ht="15" hidden="false" customHeight="false" outlineLevel="0" collapsed="false">
      <c r="A1821" s="15" t="s">
        <v>79</v>
      </c>
      <c r="B1821" s="15" t="s">
        <v>394</v>
      </c>
      <c r="C1821" s="14" t="s">
        <v>11870</v>
      </c>
      <c r="D1821" s="14" t="s">
        <v>11871</v>
      </c>
      <c r="E1821" s="16" t="s">
        <v>11872</v>
      </c>
      <c r="F1821" s="16" t="s">
        <v>11873</v>
      </c>
      <c r="G1821" s="23" t="s">
        <v>43</v>
      </c>
      <c r="H1821" s="18" t="n">
        <v>2</v>
      </c>
      <c r="I1821" s="20" t="n">
        <v>32.64</v>
      </c>
      <c r="J1821" s="20" t="n">
        <v>102.32</v>
      </c>
      <c r="K1821" s="18" t="n">
        <v>4</v>
      </c>
      <c r="L1821" s="18" t="n">
        <v>4</v>
      </c>
      <c r="M1821" s="18" t="n">
        <v>50</v>
      </c>
      <c r="N1821" s="18" t="n">
        <v>20</v>
      </c>
      <c r="O1821" s="14" t="s">
        <v>1126</v>
      </c>
      <c r="P1821" s="14" t="s">
        <v>118</v>
      </c>
      <c r="Q1821" s="15" t="s">
        <v>1089</v>
      </c>
      <c r="R1821" s="16" t="s">
        <v>9903</v>
      </c>
      <c r="S1821" s="15" t="s">
        <v>11874</v>
      </c>
      <c r="T1821" s="15" t="s">
        <v>11875</v>
      </c>
      <c r="U1821" s="21" t="s">
        <v>72</v>
      </c>
    </row>
    <row r="1822" customFormat="false" ht="15" hidden="false" customHeight="false" outlineLevel="0" collapsed="false">
      <c r="A1822" s="15" t="s">
        <v>79</v>
      </c>
      <c r="B1822" s="15" t="s">
        <v>394</v>
      </c>
      <c r="C1822" s="14" t="s">
        <v>11876</v>
      </c>
      <c r="D1822" s="14" t="s">
        <v>11877</v>
      </c>
      <c r="E1822" s="16" t="s">
        <v>11878</v>
      </c>
      <c r="F1822" s="16" t="s">
        <v>11879</v>
      </c>
      <c r="G1822" s="19" t="s">
        <v>41</v>
      </c>
      <c r="H1822" s="18" t="n">
        <v>6</v>
      </c>
      <c r="I1822" s="20" t="n">
        <v>132.36</v>
      </c>
      <c r="J1822" s="20" t="n">
        <v>227.75</v>
      </c>
      <c r="K1822" s="18" t="n">
        <v>7</v>
      </c>
      <c r="L1822" s="18" t="n">
        <v>5</v>
      </c>
      <c r="M1822" s="18" t="n">
        <v>119</v>
      </c>
      <c r="N1822" s="18" t="n">
        <v>85</v>
      </c>
      <c r="O1822" s="14" t="s">
        <v>5962</v>
      </c>
      <c r="P1822" s="14" t="s">
        <v>118</v>
      </c>
      <c r="Q1822" s="15" t="s">
        <v>1089</v>
      </c>
      <c r="R1822" s="16" t="s">
        <v>11880</v>
      </c>
      <c r="S1822" s="15" t="s">
        <v>11881</v>
      </c>
      <c r="T1822" s="15" t="s">
        <v>11881</v>
      </c>
      <c r="U1822" s="21" t="s">
        <v>72</v>
      </c>
    </row>
    <row r="1823" customFormat="false" ht="15" hidden="false" customHeight="false" outlineLevel="0" collapsed="false">
      <c r="A1823" s="15" t="s">
        <v>79</v>
      </c>
      <c r="B1823" s="15" t="s">
        <v>394</v>
      </c>
      <c r="C1823" s="14" t="s">
        <v>393</v>
      </c>
      <c r="D1823" s="14" t="s">
        <v>11882</v>
      </c>
      <c r="E1823" s="16" t="s">
        <v>11883</v>
      </c>
      <c r="F1823" s="16" t="s">
        <v>397</v>
      </c>
      <c r="G1823" s="23" t="s">
        <v>43</v>
      </c>
      <c r="H1823" s="18" t="n">
        <v>1</v>
      </c>
      <c r="I1823" s="20" t="n">
        <v>37.87</v>
      </c>
      <c r="J1823" s="20" t="n">
        <v>68.82</v>
      </c>
      <c r="K1823" s="18" t="n">
        <v>1</v>
      </c>
      <c r="L1823" s="18" t="n">
        <v>1</v>
      </c>
      <c r="M1823" s="18" t="n">
        <v>14</v>
      </c>
      <c r="N1823" s="18" t="n">
        <v>14</v>
      </c>
      <c r="O1823" s="14" t="s">
        <v>1126</v>
      </c>
      <c r="P1823" s="14" t="s">
        <v>84</v>
      </c>
      <c r="Q1823" s="15" t="s">
        <v>1089</v>
      </c>
      <c r="R1823" s="16" t="s">
        <v>398</v>
      </c>
      <c r="S1823" s="15" t="s">
        <v>399</v>
      </c>
      <c r="T1823" s="15" t="s">
        <v>399</v>
      </c>
      <c r="U1823" s="21" t="s">
        <v>72</v>
      </c>
    </row>
    <row r="1824" customFormat="false" ht="39.55" hidden="false" customHeight="false" outlineLevel="0" collapsed="false">
      <c r="A1824" s="15" t="s">
        <v>79</v>
      </c>
      <c r="B1824" s="15" t="s">
        <v>570</v>
      </c>
      <c r="C1824" s="14" t="s">
        <v>11884</v>
      </c>
      <c r="D1824" s="14" t="s">
        <v>11885</v>
      </c>
      <c r="E1824" s="16" t="s">
        <v>11886</v>
      </c>
      <c r="F1824" s="16" t="s">
        <v>11887</v>
      </c>
      <c r="G1824" s="25" t="s">
        <v>39</v>
      </c>
      <c r="H1824" s="18" t="n">
        <v>11</v>
      </c>
      <c r="I1824" s="20" t="n">
        <v>555.85</v>
      </c>
      <c r="J1824" s="20" t="n">
        <v>1729.26</v>
      </c>
      <c r="K1824" s="18" t="n">
        <v>11</v>
      </c>
      <c r="L1824" s="18" t="n">
        <v>5</v>
      </c>
      <c r="M1824" s="18" t="n">
        <v>660</v>
      </c>
      <c r="N1824" s="18" t="n">
        <v>60</v>
      </c>
      <c r="O1824" s="14" t="s">
        <v>1088</v>
      </c>
      <c r="P1824" s="14" t="s">
        <v>11888</v>
      </c>
      <c r="Q1824" s="15" t="s">
        <v>1089</v>
      </c>
      <c r="R1824" s="16" t="s">
        <v>11889</v>
      </c>
      <c r="S1824" s="15" t="s">
        <v>9563</v>
      </c>
      <c r="T1824" s="15" t="s">
        <v>11890</v>
      </c>
      <c r="U1824" s="21" t="s">
        <v>72</v>
      </c>
    </row>
    <row r="1825" customFormat="false" ht="26.85" hidden="false" customHeight="false" outlineLevel="0" collapsed="false">
      <c r="A1825" s="15" t="s">
        <v>79</v>
      </c>
      <c r="B1825" s="15" t="s">
        <v>570</v>
      </c>
      <c r="C1825" s="14" t="s">
        <v>11891</v>
      </c>
      <c r="D1825" s="14" t="s">
        <v>11892</v>
      </c>
      <c r="E1825" s="16" t="s">
        <v>11893</v>
      </c>
      <c r="F1825" s="16" t="s">
        <v>11894</v>
      </c>
      <c r="G1825" s="25" t="s">
        <v>39</v>
      </c>
      <c r="H1825" s="18" t="n">
        <v>4</v>
      </c>
      <c r="I1825" s="20" t="n">
        <v>81.3</v>
      </c>
      <c r="J1825" s="20" t="n">
        <v>478.8</v>
      </c>
      <c r="K1825" s="18" t="n">
        <v>4</v>
      </c>
      <c r="L1825" s="18" t="n">
        <v>5</v>
      </c>
      <c r="M1825" s="18" t="n">
        <v>64</v>
      </c>
      <c r="N1825" s="18" t="n">
        <v>32</v>
      </c>
      <c r="O1825" s="14" t="s">
        <v>1097</v>
      </c>
      <c r="P1825" s="14" t="s">
        <v>1185</v>
      </c>
      <c r="Q1825" s="15" t="s">
        <v>1089</v>
      </c>
      <c r="R1825" s="16" t="s">
        <v>11895</v>
      </c>
      <c r="S1825" s="15" t="s">
        <v>9563</v>
      </c>
      <c r="T1825" s="15" t="s">
        <v>11896</v>
      </c>
      <c r="U1825" s="21" t="s">
        <v>72</v>
      </c>
    </row>
    <row r="1826" customFormat="false" ht="26.85" hidden="false" customHeight="false" outlineLevel="0" collapsed="false">
      <c r="A1826" s="15" t="s">
        <v>79</v>
      </c>
      <c r="B1826" s="15" t="s">
        <v>570</v>
      </c>
      <c r="C1826" s="14" t="s">
        <v>11897</v>
      </c>
      <c r="D1826" s="14" t="s">
        <v>11898</v>
      </c>
      <c r="E1826" s="16" t="s">
        <v>11899</v>
      </c>
      <c r="F1826" s="16" t="s">
        <v>11900</v>
      </c>
      <c r="G1826" s="25" t="s">
        <v>39</v>
      </c>
      <c r="H1826" s="18" t="n">
        <v>13</v>
      </c>
      <c r="I1826" s="20" t="n">
        <v>319.35</v>
      </c>
      <c r="J1826" s="20" t="n">
        <v>747.33</v>
      </c>
      <c r="K1826" s="18" t="n">
        <v>13</v>
      </c>
      <c r="L1826" s="18" t="n">
        <v>7</v>
      </c>
      <c r="M1826" s="18" t="n">
        <v>130</v>
      </c>
      <c r="N1826" s="18" t="n">
        <v>130</v>
      </c>
      <c r="O1826" s="14" t="s">
        <v>1126</v>
      </c>
      <c r="P1826" s="14" t="s">
        <v>84</v>
      </c>
      <c r="Q1826" s="15" t="s">
        <v>1089</v>
      </c>
      <c r="R1826" s="16" t="s">
        <v>11901</v>
      </c>
      <c r="S1826" s="15" t="s">
        <v>1965</v>
      </c>
      <c r="T1826" s="15" t="s">
        <v>11902</v>
      </c>
      <c r="U1826" s="21" t="s">
        <v>72</v>
      </c>
    </row>
    <row r="1827" customFormat="false" ht="26.85" hidden="false" customHeight="false" outlineLevel="0" collapsed="false">
      <c r="A1827" s="15" t="s">
        <v>79</v>
      </c>
      <c r="B1827" s="15" t="s">
        <v>570</v>
      </c>
      <c r="C1827" s="14" t="s">
        <v>11903</v>
      </c>
      <c r="D1827" s="14" t="s">
        <v>11904</v>
      </c>
      <c r="E1827" s="16" t="s">
        <v>11905</v>
      </c>
      <c r="F1827" s="16" t="s">
        <v>11906</v>
      </c>
      <c r="G1827" s="25" t="s">
        <v>39</v>
      </c>
      <c r="H1827" s="18" t="n">
        <v>12</v>
      </c>
      <c r="I1827" s="20" t="n">
        <v>328.1</v>
      </c>
      <c r="J1827" s="20" t="n">
        <v>740.38</v>
      </c>
      <c r="K1827" s="18" t="n">
        <v>16</v>
      </c>
      <c r="L1827" s="18" t="n">
        <v>5</v>
      </c>
      <c r="M1827" s="18" t="n">
        <v>160</v>
      </c>
      <c r="N1827" s="18" t="n">
        <v>160</v>
      </c>
      <c r="O1827" s="14" t="s">
        <v>11907</v>
      </c>
      <c r="P1827" s="14" t="s">
        <v>84</v>
      </c>
      <c r="Q1827" s="15" t="s">
        <v>1089</v>
      </c>
      <c r="R1827" s="16" t="s">
        <v>11908</v>
      </c>
      <c r="S1827" s="15" t="s">
        <v>1091</v>
      </c>
      <c r="T1827" s="15" t="s">
        <v>11909</v>
      </c>
      <c r="U1827" s="21" t="s">
        <v>72</v>
      </c>
    </row>
    <row r="1828" customFormat="false" ht="15" hidden="false" customHeight="false" outlineLevel="0" collapsed="false">
      <c r="A1828" s="15" t="s">
        <v>79</v>
      </c>
      <c r="B1828" s="15" t="s">
        <v>570</v>
      </c>
      <c r="C1828" s="14" t="s">
        <v>11910</v>
      </c>
      <c r="D1828" s="14" t="s">
        <v>11911</v>
      </c>
      <c r="E1828" s="16" t="s">
        <v>11912</v>
      </c>
      <c r="F1828" s="16" t="s">
        <v>11913</v>
      </c>
      <c r="G1828" s="19" t="s">
        <v>41</v>
      </c>
      <c r="H1828" s="18" t="n">
        <v>5</v>
      </c>
      <c r="I1828" s="20" t="n">
        <v>138.81</v>
      </c>
      <c r="J1828" s="20" t="n">
        <v>319.56</v>
      </c>
      <c r="K1828" s="18" t="n">
        <v>8</v>
      </c>
      <c r="L1828" s="18" t="n">
        <v>7</v>
      </c>
      <c r="M1828" s="18" t="n">
        <v>160</v>
      </c>
      <c r="N1828" s="18" t="n">
        <v>92</v>
      </c>
      <c r="O1828" s="14" t="s">
        <v>11914</v>
      </c>
      <c r="P1828" s="14" t="s">
        <v>84</v>
      </c>
      <c r="Q1828" s="15" t="s">
        <v>1089</v>
      </c>
      <c r="R1828" s="16" t="s">
        <v>11915</v>
      </c>
      <c r="S1828" s="15" t="s">
        <v>11916</v>
      </c>
      <c r="T1828" s="15" t="s">
        <v>11916</v>
      </c>
      <c r="U1828" s="21" t="s">
        <v>72</v>
      </c>
    </row>
    <row r="1829" customFormat="false" ht="26.85" hidden="false" customHeight="false" outlineLevel="0" collapsed="false">
      <c r="A1829" s="15" t="s">
        <v>79</v>
      </c>
      <c r="B1829" s="15" t="s">
        <v>570</v>
      </c>
      <c r="C1829" s="14" t="s">
        <v>11917</v>
      </c>
      <c r="D1829" s="14" t="s">
        <v>11918</v>
      </c>
      <c r="E1829" s="16" t="s">
        <v>11919</v>
      </c>
      <c r="F1829" s="16" t="s">
        <v>1104</v>
      </c>
      <c r="G1829" s="23" t="s">
        <v>43</v>
      </c>
      <c r="H1829" s="18" t="n">
        <v>2</v>
      </c>
      <c r="I1829" s="20" t="n">
        <v>51.14</v>
      </c>
      <c r="J1829" s="20" t="n">
        <v>135.48</v>
      </c>
      <c r="K1829" s="18" t="n">
        <v>4</v>
      </c>
      <c r="L1829" s="18" t="n">
        <v>17</v>
      </c>
      <c r="M1829" s="18" t="n">
        <v>84</v>
      </c>
      <c r="N1829" s="18" t="n">
        <v>84</v>
      </c>
      <c r="O1829" s="14" t="s">
        <v>8354</v>
      </c>
      <c r="P1829" s="14" t="s">
        <v>118</v>
      </c>
      <c r="Q1829" s="15" t="s">
        <v>1089</v>
      </c>
      <c r="R1829" s="16" t="s">
        <v>11920</v>
      </c>
      <c r="S1829" s="15" t="s">
        <v>1106</v>
      </c>
      <c r="T1829" s="15" t="s">
        <v>11921</v>
      </c>
      <c r="U1829" s="21" t="s">
        <v>72</v>
      </c>
    </row>
    <row r="1830" customFormat="false" ht="15" hidden="false" customHeight="false" outlineLevel="0" collapsed="false">
      <c r="A1830" s="15" t="s">
        <v>79</v>
      </c>
      <c r="B1830" s="15" t="s">
        <v>570</v>
      </c>
      <c r="C1830" s="14" t="s">
        <v>11922</v>
      </c>
      <c r="D1830" s="14" t="s">
        <v>11923</v>
      </c>
      <c r="E1830" s="16" t="s">
        <v>11924</v>
      </c>
      <c r="F1830" s="16" t="s">
        <v>11925</v>
      </c>
      <c r="G1830" s="19" t="s">
        <v>41</v>
      </c>
      <c r="H1830" s="18" t="n">
        <v>7</v>
      </c>
      <c r="I1830" s="20" t="n">
        <v>162.51</v>
      </c>
      <c r="J1830" s="20" t="n">
        <v>281.7</v>
      </c>
      <c r="K1830" s="18" t="n">
        <v>16</v>
      </c>
      <c r="L1830" s="18" t="n">
        <v>3</v>
      </c>
      <c r="M1830" s="18" t="n">
        <v>335</v>
      </c>
      <c r="N1830" s="18" t="n">
        <v>101</v>
      </c>
      <c r="O1830" s="14" t="s">
        <v>11926</v>
      </c>
      <c r="P1830" s="14" t="s">
        <v>118</v>
      </c>
      <c r="Q1830" s="15" t="s">
        <v>1089</v>
      </c>
      <c r="R1830" s="16" t="s">
        <v>11927</v>
      </c>
      <c r="S1830" s="15" t="s">
        <v>10406</v>
      </c>
      <c r="T1830" s="15" t="s">
        <v>10406</v>
      </c>
      <c r="U1830" s="21" t="s">
        <v>72</v>
      </c>
    </row>
    <row r="1831" customFormat="false" ht="15" hidden="false" customHeight="false" outlineLevel="0" collapsed="false">
      <c r="A1831" s="15" t="s">
        <v>79</v>
      </c>
      <c r="B1831" s="15" t="s">
        <v>570</v>
      </c>
      <c r="C1831" s="14" t="s">
        <v>11928</v>
      </c>
      <c r="D1831" s="14" t="s">
        <v>11929</v>
      </c>
      <c r="E1831" s="16" t="s">
        <v>11930</v>
      </c>
      <c r="F1831" s="16" t="s">
        <v>11925</v>
      </c>
      <c r="G1831" s="23" t="s">
        <v>43</v>
      </c>
      <c r="H1831" s="18" t="n">
        <v>4</v>
      </c>
      <c r="I1831" s="20" t="n">
        <v>70</v>
      </c>
      <c r="J1831" s="20" t="n">
        <v>139.01</v>
      </c>
      <c r="K1831" s="18" t="n">
        <v>16</v>
      </c>
      <c r="L1831" s="18" t="n">
        <v>3</v>
      </c>
      <c r="M1831" s="18" t="n">
        <v>250</v>
      </c>
      <c r="N1831" s="18" t="n">
        <v>84</v>
      </c>
      <c r="O1831" s="14" t="s">
        <v>11926</v>
      </c>
      <c r="P1831" s="14" t="s">
        <v>118</v>
      </c>
      <c r="Q1831" s="15" t="s">
        <v>1089</v>
      </c>
      <c r="R1831" s="16" t="s">
        <v>11181</v>
      </c>
      <c r="S1831" s="15" t="s">
        <v>10406</v>
      </c>
      <c r="T1831" s="15" t="s">
        <v>11931</v>
      </c>
      <c r="U1831" s="21" t="s">
        <v>72</v>
      </c>
    </row>
    <row r="1832" customFormat="false" ht="26.85" hidden="false" customHeight="false" outlineLevel="0" collapsed="false">
      <c r="A1832" s="15" t="s">
        <v>79</v>
      </c>
      <c r="B1832" s="15" t="s">
        <v>570</v>
      </c>
      <c r="C1832" s="14" t="s">
        <v>11932</v>
      </c>
      <c r="D1832" s="14" t="s">
        <v>11933</v>
      </c>
      <c r="E1832" s="16" t="s">
        <v>11934</v>
      </c>
      <c r="F1832" s="16" t="s">
        <v>11935</v>
      </c>
      <c r="G1832" s="19" t="s">
        <v>41</v>
      </c>
      <c r="H1832" s="18" t="n">
        <v>6</v>
      </c>
      <c r="I1832" s="20" t="n">
        <v>84.51</v>
      </c>
      <c r="J1832" s="20" t="n">
        <v>76</v>
      </c>
      <c r="K1832" s="18" t="n">
        <v>8</v>
      </c>
      <c r="L1832" s="18" t="n">
        <v>7</v>
      </c>
      <c r="M1832" s="18" t="n">
        <v>127</v>
      </c>
      <c r="N1832" s="18" t="n">
        <v>59</v>
      </c>
      <c r="O1832" s="14" t="s">
        <v>11936</v>
      </c>
      <c r="P1832" s="14" t="s">
        <v>118</v>
      </c>
      <c r="Q1832" s="15" t="s">
        <v>1089</v>
      </c>
      <c r="R1832" s="16" t="s">
        <v>11937</v>
      </c>
      <c r="S1832" s="15" t="s">
        <v>11938</v>
      </c>
      <c r="T1832" s="15" t="s">
        <v>11938</v>
      </c>
      <c r="U1832" s="21" t="s">
        <v>72</v>
      </c>
    </row>
    <row r="1833" customFormat="false" ht="15" hidden="false" customHeight="false" outlineLevel="0" collapsed="false">
      <c r="A1833" s="15" t="s">
        <v>79</v>
      </c>
      <c r="B1833" s="15" t="s">
        <v>570</v>
      </c>
      <c r="C1833" s="14" t="s">
        <v>11939</v>
      </c>
      <c r="D1833" s="14" t="s">
        <v>11940</v>
      </c>
      <c r="E1833" s="16" t="s">
        <v>11941</v>
      </c>
      <c r="F1833" s="16" t="s">
        <v>11942</v>
      </c>
      <c r="G1833" s="25" t="s">
        <v>39</v>
      </c>
      <c r="H1833" s="18" t="n">
        <v>6</v>
      </c>
      <c r="I1833" s="20" t="n">
        <v>182.23</v>
      </c>
      <c r="J1833" s="20" t="n">
        <v>486.87</v>
      </c>
      <c r="K1833" s="18" t="n">
        <v>6</v>
      </c>
      <c r="L1833" s="18" t="n">
        <v>45</v>
      </c>
      <c r="M1833" s="18" t="n">
        <v>204</v>
      </c>
      <c r="N1833" s="18" t="n">
        <v>180</v>
      </c>
      <c r="O1833" s="14" t="s">
        <v>1097</v>
      </c>
      <c r="P1833" s="14" t="s">
        <v>84</v>
      </c>
      <c r="Q1833" s="15" t="s">
        <v>1089</v>
      </c>
      <c r="R1833" s="16" t="s">
        <v>11943</v>
      </c>
      <c r="S1833" s="15" t="s">
        <v>1348</v>
      </c>
      <c r="T1833" s="15" t="s">
        <v>11944</v>
      </c>
      <c r="U1833" s="21" t="s">
        <v>72</v>
      </c>
    </row>
    <row r="1834" customFormat="false" ht="39.55" hidden="false" customHeight="false" outlineLevel="0" collapsed="false">
      <c r="A1834" s="15" t="s">
        <v>79</v>
      </c>
      <c r="B1834" s="15" t="s">
        <v>570</v>
      </c>
      <c r="C1834" s="14" t="s">
        <v>11945</v>
      </c>
      <c r="D1834" s="14" t="s">
        <v>11946</v>
      </c>
      <c r="E1834" s="16" t="s">
        <v>11947</v>
      </c>
      <c r="F1834" s="16" t="s">
        <v>11948</v>
      </c>
      <c r="G1834" s="25" t="s">
        <v>39</v>
      </c>
      <c r="H1834" s="18" t="n">
        <v>15</v>
      </c>
      <c r="I1834" s="20" t="n">
        <v>332.6</v>
      </c>
      <c r="J1834" s="20" t="n">
        <v>606.78</v>
      </c>
      <c r="K1834" s="18" t="n">
        <v>16</v>
      </c>
      <c r="L1834" s="18" t="n">
        <v>2</v>
      </c>
      <c r="M1834" s="18" t="n">
        <v>296</v>
      </c>
      <c r="N1834" s="18" t="n">
        <v>245</v>
      </c>
      <c r="O1834" s="14" t="s">
        <v>11949</v>
      </c>
      <c r="P1834" s="14" t="s">
        <v>118</v>
      </c>
      <c r="Q1834" s="15" t="s">
        <v>1089</v>
      </c>
      <c r="R1834" s="16" t="s">
        <v>11950</v>
      </c>
      <c r="S1834" s="15" t="s">
        <v>11951</v>
      </c>
      <c r="T1834" s="15" t="s">
        <v>11952</v>
      </c>
      <c r="U1834" s="21" t="s">
        <v>72</v>
      </c>
    </row>
    <row r="1835" customFormat="false" ht="26.85" hidden="false" customHeight="false" outlineLevel="0" collapsed="false">
      <c r="A1835" s="15" t="s">
        <v>79</v>
      </c>
      <c r="B1835" s="15" t="s">
        <v>570</v>
      </c>
      <c r="C1835" s="14" t="s">
        <v>11953</v>
      </c>
      <c r="D1835" s="14" t="s">
        <v>11954</v>
      </c>
      <c r="E1835" s="16" t="s">
        <v>11955</v>
      </c>
      <c r="F1835" s="16" t="s">
        <v>11956</v>
      </c>
      <c r="G1835" s="19" t="s">
        <v>41</v>
      </c>
      <c r="H1835" s="18" t="n">
        <v>6</v>
      </c>
      <c r="I1835" s="20" t="n">
        <v>147.3</v>
      </c>
      <c r="J1835" s="20" t="n">
        <v>307.89</v>
      </c>
      <c r="K1835" s="18" t="n">
        <v>15</v>
      </c>
      <c r="L1835" s="18" t="n">
        <v>4</v>
      </c>
      <c r="M1835" s="18" t="n">
        <v>273</v>
      </c>
      <c r="N1835" s="18" t="n">
        <v>138</v>
      </c>
      <c r="O1835" s="14" t="s">
        <v>11957</v>
      </c>
      <c r="P1835" s="14" t="s">
        <v>118</v>
      </c>
      <c r="Q1835" s="15" t="s">
        <v>1089</v>
      </c>
      <c r="R1835" s="16" t="s">
        <v>11958</v>
      </c>
      <c r="S1835" s="15" t="s">
        <v>11951</v>
      </c>
      <c r="T1835" s="15" t="s">
        <v>11959</v>
      </c>
      <c r="U1835" s="21" t="s">
        <v>72</v>
      </c>
    </row>
    <row r="1836" customFormat="false" ht="15" hidden="false" customHeight="false" outlineLevel="0" collapsed="false">
      <c r="A1836" s="15" t="s">
        <v>79</v>
      </c>
      <c r="B1836" s="15" t="s">
        <v>570</v>
      </c>
      <c r="C1836" s="14" t="s">
        <v>11960</v>
      </c>
      <c r="D1836" s="14" t="s">
        <v>11961</v>
      </c>
      <c r="E1836" s="16" t="s">
        <v>11962</v>
      </c>
      <c r="F1836" s="16" t="s">
        <v>11963</v>
      </c>
      <c r="G1836" s="25" t="s">
        <v>39</v>
      </c>
      <c r="H1836" s="18" t="n">
        <v>7</v>
      </c>
      <c r="I1836" s="20" t="n">
        <v>196.7</v>
      </c>
      <c r="J1836" s="20" t="n">
        <v>436.84</v>
      </c>
      <c r="K1836" s="18" t="n">
        <v>9</v>
      </c>
      <c r="L1836" s="18" t="n">
        <v>6</v>
      </c>
      <c r="M1836" s="18" t="n">
        <v>164</v>
      </c>
      <c r="N1836" s="18" t="n">
        <v>88</v>
      </c>
      <c r="O1836" s="14" t="s">
        <v>1126</v>
      </c>
      <c r="P1836" s="14" t="s">
        <v>84</v>
      </c>
      <c r="Q1836" s="15" t="s">
        <v>1089</v>
      </c>
      <c r="R1836" s="16" t="s">
        <v>11964</v>
      </c>
      <c r="S1836" s="15" t="s">
        <v>11965</v>
      </c>
      <c r="T1836" s="15" t="s">
        <v>11965</v>
      </c>
      <c r="U1836" s="21" t="s">
        <v>72</v>
      </c>
    </row>
    <row r="1837" customFormat="false" ht="15" hidden="false" customHeight="false" outlineLevel="0" collapsed="false">
      <c r="A1837" s="15" t="s">
        <v>79</v>
      </c>
      <c r="B1837" s="15" t="s">
        <v>570</v>
      </c>
      <c r="C1837" s="14" t="s">
        <v>11966</v>
      </c>
      <c r="D1837" s="14" t="s">
        <v>11967</v>
      </c>
      <c r="E1837" s="16" t="s">
        <v>11968</v>
      </c>
      <c r="F1837" s="16" t="s">
        <v>11969</v>
      </c>
      <c r="G1837" s="23" t="s">
        <v>43</v>
      </c>
      <c r="H1837" s="18" t="n">
        <v>4</v>
      </c>
      <c r="I1837" s="20" t="n">
        <v>65.85</v>
      </c>
      <c r="J1837" s="20" t="n">
        <v>161.01</v>
      </c>
      <c r="K1837" s="18" t="n">
        <v>10</v>
      </c>
      <c r="L1837" s="18" t="n">
        <v>4</v>
      </c>
      <c r="M1837" s="18" t="n">
        <v>130</v>
      </c>
      <c r="N1837" s="18" t="n">
        <v>78</v>
      </c>
      <c r="O1837" s="14" t="s">
        <v>1126</v>
      </c>
      <c r="P1837" s="14" t="s">
        <v>94</v>
      </c>
      <c r="Q1837" s="15" t="s">
        <v>1089</v>
      </c>
      <c r="R1837" s="16" t="s">
        <v>11970</v>
      </c>
      <c r="S1837" s="15" t="s">
        <v>11971</v>
      </c>
      <c r="T1837" s="15" t="s">
        <v>11971</v>
      </c>
      <c r="U1837" s="21" t="s">
        <v>72</v>
      </c>
    </row>
    <row r="1838" customFormat="false" ht="26.85" hidden="false" customHeight="false" outlineLevel="0" collapsed="false">
      <c r="A1838" s="15" t="s">
        <v>79</v>
      </c>
      <c r="B1838" s="15" t="s">
        <v>570</v>
      </c>
      <c r="C1838" s="14" t="s">
        <v>11972</v>
      </c>
      <c r="D1838" s="14" t="s">
        <v>11973</v>
      </c>
      <c r="E1838" s="16" t="s">
        <v>11974</v>
      </c>
      <c r="F1838" s="16" t="s">
        <v>11975</v>
      </c>
      <c r="G1838" s="19" t="s">
        <v>41</v>
      </c>
      <c r="H1838" s="18" t="n">
        <v>5</v>
      </c>
      <c r="I1838" s="20" t="n">
        <v>61.96</v>
      </c>
      <c r="J1838" s="20" t="n">
        <v>155.21</v>
      </c>
      <c r="K1838" s="18" t="n">
        <v>15</v>
      </c>
      <c r="L1838" s="18" t="n">
        <v>14</v>
      </c>
      <c r="M1838" s="18" t="n">
        <v>433</v>
      </c>
      <c r="N1838" s="18" t="n">
        <v>429</v>
      </c>
      <c r="O1838" s="14" t="s">
        <v>11976</v>
      </c>
      <c r="P1838" s="14" t="s">
        <v>118</v>
      </c>
      <c r="Q1838" s="15" t="s">
        <v>1089</v>
      </c>
      <c r="R1838" s="16" t="s">
        <v>11977</v>
      </c>
      <c r="S1838" s="15" t="s">
        <v>11978</v>
      </c>
      <c r="T1838" s="15" t="s">
        <v>11979</v>
      </c>
      <c r="U1838" s="21" t="s">
        <v>72</v>
      </c>
    </row>
    <row r="1839" customFormat="false" ht="15" hidden="false" customHeight="false" outlineLevel="0" collapsed="false">
      <c r="A1839" s="15" t="s">
        <v>79</v>
      </c>
      <c r="B1839" s="15" t="s">
        <v>570</v>
      </c>
      <c r="C1839" s="14" t="s">
        <v>11980</v>
      </c>
      <c r="D1839" s="14" t="s">
        <v>11981</v>
      </c>
      <c r="E1839" s="16" t="s">
        <v>11982</v>
      </c>
      <c r="F1839" s="16" t="s">
        <v>11983</v>
      </c>
      <c r="G1839" s="23" t="s">
        <v>43</v>
      </c>
      <c r="H1839" s="18" t="n">
        <v>1</v>
      </c>
      <c r="I1839" s="20" t="n">
        <v>42.1</v>
      </c>
      <c r="J1839" s="20" t="n">
        <v>152.59</v>
      </c>
      <c r="K1839" s="18" t="n">
        <v>8</v>
      </c>
      <c r="L1839" s="18" t="n">
        <v>2</v>
      </c>
      <c r="M1839" s="18" t="n">
        <v>280</v>
      </c>
      <c r="N1839" s="18" t="n">
        <v>70</v>
      </c>
      <c r="O1839" s="14" t="s">
        <v>3724</v>
      </c>
      <c r="P1839" s="14" t="s">
        <v>118</v>
      </c>
      <c r="Q1839" s="15" t="s">
        <v>1089</v>
      </c>
      <c r="R1839" s="16" t="s">
        <v>11984</v>
      </c>
      <c r="S1839" s="15" t="s">
        <v>11985</v>
      </c>
      <c r="T1839" s="15" t="s">
        <v>11986</v>
      </c>
      <c r="U1839" s="21" t="s">
        <v>72</v>
      </c>
    </row>
    <row r="1840" customFormat="false" ht="26.85" hidden="false" customHeight="false" outlineLevel="0" collapsed="false">
      <c r="A1840" s="15" t="s">
        <v>79</v>
      </c>
      <c r="B1840" s="15" t="s">
        <v>570</v>
      </c>
      <c r="C1840" s="14" t="s">
        <v>11987</v>
      </c>
      <c r="D1840" s="14" t="s">
        <v>11988</v>
      </c>
      <c r="E1840" s="16" t="s">
        <v>11989</v>
      </c>
      <c r="F1840" s="16" t="s">
        <v>1602</v>
      </c>
      <c r="G1840" s="23" t="s">
        <v>43</v>
      </c>
      <c r="H1840" s="18" t="n">
        <v>3</v>
      </c>
      <c r="I1840" s="20" t="n">
        <v>55.48</v>
      </c>
      <c r="J1840" s="20" t="n">
        <v>163.88</v>
      </c>
      <c r="K1840" s="18" t="n">
        <v>8</v>
      </c>
      <c r="L1840" s="18" t="n">
        <v>4</v>
      </c>
      <c r="M1840" s="18" t="n">
        <v>118</v>
      </c>
      <c r="N1840" s="18" t="n">
        <v>90</v>
      </c>
      <c r="O1840" s="14" t="s">
        <v>11990</v>
      </c>
      <c r="P1840" s="14" t="s">
        <v>118</v>
      </c>
      <c r="Q1840" s="15" t="s">
        <v>1089</v>
      </c>
      <c r="R1840" s="16" t="s">
        <v>11991</v>
      </c>
      <c r="S1840" s="15" t="s">
        <v>11992</v>
      </c>
      <c r="T1840" s="15" t="s">
        <v>11993</v>
      </c>
      <c r="U1840" s="21" t="s">
        <v>72</v>
      </c>
    </row>
    <row r="1841" customFormat="false" ht="39.55" hidden="false" customHeight="false" outlineLevel="0" collapsed="false">
      <c r="A1841" s="15" t="s">
        <v>79</v>
      </c>
      <c r="B1841" s="15" t="s">
        <v>570</v>
      </c>
      <c r="C1841" s="14" t="s">
        <v>11994</v>
      </c>
      <c r="D1841" s="14" t="s">
        <v>11995</v>
      </c>
      <c r="E1841" s="16" t="s">
        <v>11996</v>
      </c>
      <c r="F1841" s="16" t="s">
        <v>11997</v>
      </c>
      <c r="G1841" s="25" t="s">
        <v>39</v>
      </c>
      <c r="H1841" s="18" t="n">
        <v>7</v>
      </c>
      <c r="I1841" s="20" t="n">
        <v>497.05</v>
      </c>
      <c r="J1841" s="20" t="n">
        <v>866.21</v>
      </c>
      <c r="K1841" s="18" t="n">
        <v>11</v>
      </c>
      <c r="L1841" s="18" t="n">
        <v>47</v>
      </c>
      <c r="M1841" s="18" t="n">
        <v>237</v>
      </c>
      <c r="N1841" s="18" t="n">
        <v>131</v>
      </c>
      <c r="O1841" s="14" t="s">
        <v>11998</v>
      </c>
      <c r="P1841" s="14" t="s">
        <v>84</v>
      </c>
      <c r="Q1841" s="15" t="s">
        <v>1089</v>
      </c>
      <c r="R1841" s="16" t="s">
        <v>11999</v>
      </c>
      <c r="S1841" s="15" t="s">
        <v>3401</v>
      </c>
      <c r="T1841" s="15" t="s">
        <v>12000</v>
      </c>
      <c r="U1841" s="21" t="s">
        <v>72</v>
      </c>
    </row>
    <row r="1842" customFormat="false" ht="52.2" hidden="false" customHeight="false" outlineLevel="0" collapsed="false">
      <c r="A1842" s="15" t="s">
        <v>79</v>
      </c>
      <c r="B1842" s="15" t="s">
        <v>570</v>
      </c>
      <c r="C1842" s="14" t="s">
        <v>12001</v>
      </c>
      <c r="D1842" s="14" t="s">
        <v>12002</v>
      </c>
      <c r="E1842" s="16" t="s">
        <v>12003</v>
      </c>
      <c r="F1842" s="16" t="s">
        <v>10651</v>
      </c>
      <c r="G1842" s="25" t="s">
        <v>39</v>
      </c>
      <c r="H1842" s="18" t="n">
        <v>6</v>
      </c>
      <c r="I1842" s="20" t="n">
        <v>257.4</v>
      </c>
      <c r="J1842" s="20" t="n">
        <v>836.77</v>
      </c>
      <c r="K1842" s="18" t="n">
        <v>9</v>
      </c>
      <c r="L1842" s="18" t="n">
        <v>1</v>
      </c>
      <c r="M1842" s="18" t="n">
        <v>365</v>
      </c>
      <c r="N1842" s="18" t="n">
        <v>365</v>
      </c>
      <c r="O1842" s="14" t="s">
        <v>12004</v>
      </c>
      <c r="P1842" s="14" t="s">
        <v>118</v>
      </c>
      <c r="Q1842" s="15" t="s">
        <v>1089</v>
      </c>
      <c r="R1842" s="16" t="s">
        <v>1274</v>
      </c>
      <c r="S1842" s="15" t="s">
        <v>10654</v>
      </c>
      <c r="T1842" s="15" t="s">
        <v>12005</v>
      </c>
      <c r="U1842" s="21" t="s">
        <v>72</v>
      </c>
    </row>
    <row r="1843" customFormat="false" ht="26.85" hidden="false" customHeight="false" outlineLevel="0" collapsed="false">
      <c r="A1843" s="15" t="s">
        <v>79</v>
      </c>
      <c r="B1843" s="15" t="s">
        <v>570</v>
      </c>
      <c r="C1843" s="14" t="s">
        <v>12006</v>
      </c>
      <c r="D1843" s="14" t="s">
        <v>12007</v>
      </c>
      <c r="E1843" s="16" t="s">
        <v>12008</v>
      </c>
      <c r="F1843" s="16" t="s">
        <v>10651</v>
      </c>
      <c r="G1843" s="19" t="s">
        <v>41</v>
      </c>
      <c r="H1843" s="18" t="n">
        <v>4</v>
      </c>
      <c r="I1843" s="20" t="n">
        <v>176.7</v>
      </c>
      <c r="J1843" s="20" t="n">
        <v>338.45</v>
      </c>
      <c r="K1843" s="18" t="n">
        <v>88</v>
      </c>
      <c r="L1843" s="18" t="n">
        <v>5</v>
      </c>
      <c r="M1843" s="18" t="n">
        <v>2904</v>
      </c>
      <c r="N1843" s="18" t="n">
        <v>2544</v>
      </c>
      <c r="O1843" s="14" t="s">
        <v>12009</v>
      </c>
      <c r="P1843" s="14" t="s">
        <v>118</v>
      </c>
      <c r="Q1843" s="15" t="s">
        <v>1089</v>
      </c>
      <c r="R1843" s="16" t="s">
        <v>12010</v>
      </c>
      <c r="S1843" s="15" t="s">
        <v>10654</v>
      </c>
      <c r="T1843" s="15" t="s">
        <v>5049</v>
      </c>
      <c r="U1843" s="21" t="s">
        <v>72</v>
      </c>
    </row>
    <row r="1844" customFormat="false" ht="26.85" hidden="false" customHeight="false" outlineLevel="0" collapsed="false">
      <c r="A1844" s="15" t="s">
        <v>79</v>
      </c>
      <c r="B1844" s="15" t="s">
        <v>570</v>
      </c>
      <c r="C1844" s="14" t="s">
        <v>12011</v>
      </c>
      <c r="D1844" s="14" t="s">
        <v>12012</v>
      </c>
      <c r="E1844" s="16" t="s">
        <v>12013</v>
      </c>
      <c r="F1844" s="16" t="s">
        <v>10651</v>
      </c>
      <c r="G1844" s="23" t="s">
        <v>43</v>
      </c>
      <c r="H1844" s="18" t="n">
        <v>2</v>
      </c>
      <c r="I1844" s="20" t="n">
        <v>99.81</v>
      </c>
      <c r="J1844" s="20" t="n">
        <v>147.75</v>
      </c>
      <c r="K1844" s="18" t="n">
        <v>17</v>
      </c>
      <c r="L1844" s="18" t="n">
        <v>3</v>
      </c>
      <c r="M1844" s="18" t="n">
        <v>952</v>
      </c>
      <c r="N1844" s="18" t="n">
        <v>952</v>
      </c>
      <c r="O1844" s="14" t="s">
        <v>12014</v>
      </c>
      <c r="P1844" s="14" t="s">
        <v>118</v>
      </c>
      <c r="Q1844" s="15" t="s">
        <v>1089</v>
      </c>
      <c r="R1844" s="16" t="s">
        <v>12015</v>
      </c>
      <c r="S1844" s="15" t="s">
        <v>10654</v>
      </c>
      <c r="T1844" s="15" t="s">
        <v>12016</v>
      </c>
      <c r="U1844" s="21" t="s">
        <v>72</v>
      </c>
    </row>
    <row r="1845" customFormat="false" ht="26.85" hidden="false" customHeight="false" outlineLevel="0" collapsed="false">
      <c r="A1845" s="15" t="s">
        <v>79</v>
      </c>
      <c r="B1845" s="15" t="s">
        <v>570</v>
      </c>
      <c r="C1845" s="14" t="s">
        <v>12017</v>
      </c>
      <c r="D1845" s="14" t="s">
        <v>12018</v>
      </c>
      <c r="E1845" s="16" t="s">
        <v>12019</v>
      </c>
      <c r="F1845" s="16" t="s">
        <v>10651</v>
      </c>
      <c r="G1845" s="25" t="s">
        <v>39</v>
      </c>
      <c r="H1845" s="18" t="n">
        <v>4</v>
      </c>
      <c r="I1845" s="20" t="n">
        <v>204.3</v>
      </c>
      <c r="J1845" s="20" t="n">
        <v>578.93</v>
      </c>
      <c r="K1845" s="18" t="n">
        <v>7</v>
      </c>
      <c r="L1845" s="18" t="n">
        <v>3</v>
      </c>
      <c r="M1845" s="18" t="n">
        <v>276</v>
      </c>
      <c r="N1845" s="18" t="n">
        <v>228</v>
      </c>
      <c r="O1845" s="14" t="s">
        <v>12020</v>
      </c>
      <c r="P1845" s="14" t="s">
        <v>118</v>
      </c>
      <c r="Q1845" s="15" t="s">
        <v>1089</v>
      </c>
      <c r="R1845" s="16" t="s">
        <v>12021</v>
      </c>
      <c r="S1845" s="15" t="s">
        <v>10654</v>
      </c>
      <c r="T1845" s="15" t="s">
        <v>12022</v>
      </c>
      <c r="U1845" s="21" t="s">
        <v>72</v>
      </c>
    </row>
    <row r="1846" customFormat="false" ht="52.2" hidden="false" customHeight="false" outlineLevel="0" collapsed="false">
      <c r="A1846" s="15" t="s">
        <v>79</v>
      </c>
      <c r="B1846" s="15" t="s">
        <v>570</v>
      </c>
      <c r="C1846" s="14" t="s">
        <v>12023</v>
      </c>
      <c r="D1846" s="14" t="s">
        <v>12024</v>
      </c>
      <c r="E1846" s="16" t="s">
        <v>12025</v>
      </c>
      <c r="F1846" s="16" t="s">
        <v>10651</v>
      </c>
      <c r="G1846" s="25" t="s">
        <v>39</v>
      </c>
      <c r="H1846" s="18" t="n">
        <v>4</v>
      </c>
      <c r="I1846" s="20" t="n">
        <v>186.76</v>
      </c>
      <c r="J1846" s="20" t="n">
        <v>449.34</v>
      </c>
      <c r="K1846" s="18" t="n">
        <v>7</v>
      </c>
      <c r="L1846" s="18" t="n">
        <v>2</v>
      </c>
      <c r="M1846" s="18" t="n">
        <v>372</v>
      </c>
      <c r="N1846" s="18" t="n">
        <v>372</v>
      </c>
      <c r="O1846" s="14" t="s">
        <v>12026</v>
      </c>
      <c r="P1846" s="14" t="s">
        <v>118</v>
      </c>
      <c r="Q1846" s="15" t="s">
        <v>1089</v>
      </c>
      <c r="R1846" s="16" t="s">
        <v>12027</v>
      </c>
      <c r="S1846" s="15" t="s">
        <v>10654</v>
      </c>
      <c r="T1846" s="15" t="s">
        <v>12028</v>
      </c>
      <c r="U1846" s="21" t="s">
        <v>72</v>
      </c>
    </row>
    <row r="1847" customFormat="false" ht="26.85" hidden="false" customHeight="false" outlineLevel="0" collapsed="false">
      <c r="A1847" s="15" t="s">
        <v>79</v>
      </c>
      <c r="B1847" s="15" t="s">
        <v>570</v>
      </c>
      <c r="C1847" s="14" t="s">
        <v>12029</v>
      </c>
      <c r="D1847" s="14" t="s">
        <v>12030</v>
      </c>
      <c r="E1847" s="16" t="s">
        <v>12031</v>
      </c>
      <c r="F1847" s="16" t="s">
        <v>450</v>
      </c>
      <c r="G1847" s="23" t="s">
        <v>43</v>
      </c>
      <c r="H1847" s="18" t="n">
        <v>2</v>
      </c>
      <c r="I1847" s="20" t="n">
        <v>43.09</v>
      </c>
      <c r="J1847" s="20" t="n">
        <v>156.79</v>
      </c>
      <c r="K1847" s="18" t="n">
        <v>14</v>
      </c>
      <c r="L1847" s="18" t="n">
        <v>2</v>
      </c>
      <c r="M1847" s="18" t="n">
        <v>248</v>
      </c>
      <c r="N1847" s="18" t="n">
        <v>142</v>
      </c>
      <c r="O1847" s="14" t="s">
        <v>12032</v>
      </c>
      <c r="P1847" s="14" t="s">
        <v>118</v>
      </c>
      <c r="Q1847" s="15" t="s">
        <v>1089</v>
      </c>
      <c r="R1847" s="16" t="s">
        <v>12033</v>
      </c>
      <c r="S1847" s="15" t="s">
        <v>12034</v>
      </c>
      <c r="T1847" s="15" t="s">
        <v>12034</v>
      </c>
      <c r="U1847" s="21" t="s">
        <v>72</v>
      </c>
    </row>
    <row r="1848" customFormat="false" ht="26.85" hidden="false" customHeight="false" outlineLevel="0" collapsed="false">
      <c r="A1848" s="15" t="s">
        <v>79</v>
      </c>
      <c r="B1848" s="15" t="s">
        <v>570</v>
      </c>
      <c r="C1848" s="14" t="s">
        <v>12035</v>
      </c>
      <c r="D1848" s="14" t="s">
        <v>12036</v>
      </c>
      <c r="E1848" s="16" t="s">
        <v>12037</v>
      </c>
      <c r="F1848" s="16" t="s">
        <v>1848</v>
      </c>
      <c r="G1848" s="23" t="s">
        <v>43</v>
      </c>
      <c r="H1848" s="18" t="n">
        <v>3</v>
      </c>
      <c r="I1848" s="20" t="n">
        <v>56.34</v>
      </c>
      <c r="J1848" s="20" t="n">
        <v>140.67</v>
      </c>
      <c r="K1848" s="18" t="n">
        <v>21</v>
      </c>
      <c r="L1848" s="18" t="n">
        <v>7</v>
      </c>
      <c r="M1848" s="18" t="n">
        <v>356</v>
      </c>
      <c r="N1848" s="18" t="n">
        <v>80</v>
      </c>
      <c r="O1848" s="14" t="s">
        <v>3724</v>
      </c>
      <c r="P1848" s="14" t="s">
        <v>118</v>
      </c>
      <c r="Q1848" s="15" t="s">
        <v>1089</v>
      </c>
      <c r="R1848" s="16" t="s">
        <v>12038</v>
      </c>
      <c r="S1848" s="15" t="s">
        <v>12039</v>
      </c>
      <c r="T1848" s="15" t="s">
        <v>12040</v>
      </c>
      <c r="U1848" s="21" t="s">
        <v>72</v>
      </c>
    </row>
    <row r="1849" customFormat="false" ht="15" hidden="false" customHeight="false" outlineLevel="0" collapsed="false">
      <c r="A1849" s="15" t="s">
        <v>79</v>
      </c>
      <c r="B1849" s="15" t="s">
        <v>570</v>
      </c>
      <c r="C1849" s="14" t="s">
        <v>12041</v>
      </c>
      <c r="D1849" s="14" t="s">
        <v>12042</v>
      </c>
      <c r="E1849" s="16" t="s">
        <v>12043</v>
      </c>
      <c r="F1849" s="16" t="s">
        <v>12044</v>
      </c>
      <c r="G1849" s="25" t="s">
        <v>39</v>
      </c>
      <c r="H1849" s="18" t="n">
        <v>9</v>
      </c>
      <c r="I1849" s="20" t="n">
        <v>151.72</v>
      </c>
      <c r="J1849" s="20" t="n">
        <v>353.79</v>
      </c>
      <c r="K1849" s="18" t="n">
        <v>9</v>
      </c>
      <c r="L1849" s="18" t="n">
        <v>9</v>
      </c>
      <c r="M1849" s="18" t="n">
        <v>155</v>
      </c>
      <c r="N1849" s="18" t="n">
        <v>45</v>
      </c>
      <c r="O1849" s="14" t="s">
        <v>1126</v>
      </c>
      <c r="P1849" s="14" t="s">
        <v>84</v>
      </c>
      <c r="Q1849" s="15" t="s">
        <v>1089</v>
      </c>
      <c r="R1849" s="16" t="s">
        <v>12045</v>
      </c>
      <c r="S1849" s="15" t="s">
        <v>12046</v>
      </c>
      <c r="T1849" s="15" t="s">
        <v>12047</v>
      </c>
      <c r="U1849" s="21" t="s">
        <v>72</v>
      </c>
    </row>
    <row r="1850" customFormat="false" ht="15" hidden="false" customHeight="false" outlineLevel="0" collapsed="false">
      <c r="A1850" s="15" t="s">
        <v>79</v>
      </c>
      <c r="B1850" s="15" t="s">
        <v>570</v>
      </c>
      <c r="C1850" s="14" t="s">
        <v>12048</v>
      </c>
      <c r="D1850" s="14" t="s">
        <v>12049</v>
      </c>
      <c r="E1850" s="16" t="s">
        <v>12050</v>
      </c>
      <c r="F1850" s="16" t="s">
        <v>12051</v>
      </c>
      <c r="G1850" s="23" t="s">
        <v>43</v>
      </c>
      <c r="H1850" s="18" t="n">
        <v>3</v>
      </c>
      <c r="I1850" s="20" t="n">
        <v>46.54</v>
      </c>
      <c r="J1850" s="20" t="n">
        <v>138.8</v>
      </c>
      <c r="K1850" s="18" t="n">
        <v>5</v>
      </c>
      <c r="L1850" s="18" t="n">
        <v>4</v>
      </c>
      <c r="M1850" s="18" t="n">
        <v>64</v>
      </c>
      <c r="N1850" s="18" t="n">
        <v>64</v>
      </c>
      <c r="O1850" s="14" t="s">
        <v>12052</v>
      </c>
      <c r="P1850" s="14" t="s">
        <v>118</v>
      </c>
      <c r="Q1850" s="15" t="s">
        <v>1089</v>
      </c>
      <c r="R1850" s="16" t="s">
        <v>10626</v>
      </c>
      <c r="S1850" s="15" t="s">
        <v>12053</v>
      </c>
      <c r="T1850" s="15" t="s">
        <v>12053</v>
      </c>
      <c r="U1850" s="21" t="s">
        <v>72</v>
      </c>
    </row>
    <row r="1851" customFormat="false" ht="26.85" hidden="false" customHeight="false" outlineLevel="0" collapsed="false">
      <c r="A1851" s="15" t="s">
        <v>79</v>
      </c>
      <c r="B1851" s="15" t="s">
        <v>570</v>
      </c>
      <c r="C1851" s="14" t="s">
        <v>12054</v>
      </c>
      <c r="D1851" s="14" t="s">
        <v>12055</v>
      </c>
      <c r="E1851" s="16" t="s">
        <v>12056</v>
      </c>
      <c r="F1851" s="16" t="s">
        <v>12057</v>
      </c>
      <c r="G1851" s="19" t="s">
        <v>41</v>
      </c>
      <c r="H1851" s="18" t="n">
        <v>2</v>
      </c>
      <c r="I1851" s="20" t="n">
        <v>82.87</v>
      </c>
      <c r="J1851" s="20" t="n">
        <v>238.33</v>
      </c>
      <c r="K1851" s="18" t="n">
        <v>7</v>
      </c>
      <c r="L1851" s="18" t="n">
        <v>5</v>
      </c>
      <c r="M1851" s="18" t="n">
        <v>238</v>
      </c>
      <c r="N1851" s="18" t="n">
        <v>68</v>
      </c>
      <c r="O1851" s="14" t="s">
        <v>1126</v>
      </c>
      <c r="P1851" s="14" t="s">
        <v>334</v>
      </c>
      <c r="Q1851" s="15" t="s">
        <v>1089</v>
      </c>
      <c r="R1851" s="16" t="s">
        <v>12058</v>
      </c>
      <c r="S1851" s="15" t="s">
        <v>12059</v>
      </c>
      <c r="T1851" s="15" t="s">
        <v>12060</v>
      </c>
      <c r="U1851" s="21" t="s">
        <v>72</v>
      </c>
    </row>
    <row r="1852" customFormat="false" ht="15" hidden="false" customHeight="false" outlineLevel="0" collapsed="false">
      <c r="A1852" s="15" t="s">
        <v>79</v>
      </c>
      <c r="B1852" s="15" t="s">
        <v>570</v>
      </c>
      <c r="C1852" s="14" t="s">
        <v>12061</v>
      </c>
      <c r="D1852" s="14" t="s">
        <v>12062</v>
      </c>
      <c r="E1852" s="16" t="s">
        <v>12063</v>
      </c>
      <c r="F1852" s="16" t="s">
        <v>12064</v>
      </c>
      <c r="G1852" s="23" t="s">
        <v>43</v>
      </c>
      <c r="H1852" s="18" t="n">
        <v>4</v>
      </c>
      <c r="I1852" s="20" t="n">
        <v>57.25</v>
      </c>
      <c r="J1852" s="20" t="n">
        <v>156.37</v>
      </c>
      <c r="K1852" s="18" t="n">
        <v>7</v>
      </c>
      <c r="L1852" s="18" t="n">
        <v>4</v>
      </c>
      <c r="M1852" s="18" t="n">
        <v>91</v>
      </c>
      <c r="N1852" s="18" t="n">
        <v>20</v>
      </c>
      <c r="O1852" s="14" t="s">
        <v>1126</v>
      </c>
      <c r="P1852" s="14" t="s">
        <v>334</v>
      </c>
      <c r="Q1852" s="15" t="s">
        <v>1089</v>
      </c>
      <c r="R1852" s="16" t="s">
        <v>12065</v>
      </c>
      <c r="S1852" s="15" t="s">
        <v>12059</v>
      </c>
      <c r="T1852" s="15" t="s">
        <v>12066</v>
      </c>
      <c r="U1852" s="21" t="s">
        <v>72</v>
      </c>
    </row>
    <row r="1853" customFormat="false" ht="15" hidden="false" customHeight="false" outlineLevel="0" collapsed="false">
      <c r="A1853" s="15" t="s">
        <v>79</v>
      </c>
      <c r="B1853" s="15" t="s">
        <v>570</v>
      </c>
      <c r="C1853" s="14" t="s">
        <v>12067</v>
      </c>
      <c r="D1853" s="14" t="s">
        <v>12068</v>
      </c>
      <c r="E1853" s="16" t="s">
        <v>12069</v>
      </c>
      <c r="F1853" s="16" t="s">
        <v>12070</v>
      </c>
      <c r="G1853" s="23" t="s">
        <v>43</v>
      </c>
      <c r="H1853" s="18" t="n">
        <v>3</v>
      </c>
      <c r="I1853" s="20" t="n">
        <v>69.92</v>
      </c>
      <c r="J1853" s="20" t="n">
        <v>157.67</v>
      </c>
      <c r="K1853" s="18" t="n">
        <v>6</v>
      </c>
      <c r="L1853" s="18" t="n">
        <v>3</v>
      </c>
      <c r="M1853" s="18" t="n">
        <v>112</v>
      </c>
      <c r="N1853" s="18" t="n">
        <v>46</v>
      </c>
      <c r="O1853" s="14" t="s">
        <v>1126</v>
      </c>
      <c r="P1853" s="14" t="s">
        <v>118</v>
      </c>
      <c r="Q1853" s="15" t="s">
        <v>1089</v>
      </c>
      <c r="R1853" s="16" t="s">
        <v>10578</v>
      </c>
      <c r="S1853" s="15" t="s">
        <v>12071</v>
      </c>
      <c r="T1853" s="15" t="s">
        <v>12072</v>
      </c>
      <c r="U1853" s="21" t="s">
        <v>72</v>
      </c>
    </row>
    <row r="1854" customFormat="false" ht="15" hidden="false" customHeight="false" outlineLevel="0" collapsed="false">
      <c r="A1854" s="15" t="s">
        <v>79</v>
      </c>
      <c r="B1854" s="15" t="s">
        <v>570</v>
      </c>
      <c r="C1854" s="14" t="s">
        <v>12073</v>
      </c>
      <c r="D1854" s="14" t="s">
        <v>12074</v>
      </c>
      <c r="E1854" s="16" t="s">
        <v>12075</v>
      </c>
      <c r="F1854" s="16" t="s">
        <v>12076</v>
      </c>
      <c r="G1854" s="23" t="s">
        <v>43</v>
      </c>
      <c r="H1854" s="18" t="n">
        <v>2</v>
      </c>
      <c r="I1854" s="20" t="n">
        <v>40.98</v>
      </c>
      <c r="J1854" s="20" t="n">
        <v>77.34</v>
      </c>
      <c r="K1854" s="18" t="n">
        <v>2</v>
      </c>
      <c r="L1854" s="18" t="n">
        <v>1</v>
      </c>
      <c r="M1854" s="18" t="n">
        <v>33</v>
      </c>
      <c r="N1854" s="18" t="n">
        <v>33</v>
      </c>
      <c r="O1854" s="14" t="s">
        <v>1126</v>
      </c>
      <c r="P1854" s="14" t="s">
        <v>84</v>
      </c>
      <c r="Q1854" s="15" t="s">
        <v>1089</v>
      </c>
      <c r="R1854" s="16" t="s">
        <v>12077</v>
      </c>
      <c r="S1854" s="15" t="s">
        <v>12078</v>
      </c>
      <c r="T1854" s="15" t="s">
        <v>12078</v>
      </c>
      <c r="U1854" s="21" t="s">
        <v>72</v>
      </c>
    </row>
    <row r="1855" customFormat="false" ht="15" hidden="false" customHeight="false" outlineLevel="0" collapsed="false">
      <c r="A1855" s="15" t="s">
        <v>79</v>
      </c>
      <c r="B1855" s="15" t="s">
        <v>570</v>
      </c>
      <c r="C1855" s="14" t="s">
        <v>12079</v>
      </c>
      <c r="D1855" s="14" t="s">
        <v>12080</v>
      </c>
      <c r="E1855" s="16" t="s">
        <v>12081</v>
      </c>
      <c r="F1855" s="16" t="s">
        <v>10268</v>
      </c>
      <c r="G1855" s="19" t="s">
        <v>41</v>
      </c>
      <c r="H1855" s="18" t="n">
        <v>3</v>
      </c>
      <c r="I1855" s="20" t="n">
        <v>98.41</v>
      </c>
      <c r="J1855" s="20" t="n">
        <v>220</v>
      </c>
      <c r="K1855" s="18" t="n">
        <v>6</v>
      </c>
      <c r="L1855" s="18" t="n">
        <v>3</v>
      </c>
      <c r="M1855" s="18" t="n">
        <v>126</v>
      </c>
      <c r="N1855" s="18" t="n">
        <v>46</v>
      </c>
      <c r="O1855" s="14" t="s">
        <v>1126</v>
      </c>
      <c r="P1855" s="14" t="s">
        <v>118</v>
      </c>
      <c r="Q1855" s="15" t="s">
        <v>1089</v>
      </c>
      <c r="R1855" s="16" t="s">
        <v>12082</v>
      </c>
      <c r="S1855" s="15" t="s">
        <v>12083</v>
      </c>
      <c r="T1855" s="15" t="s">
        <v>10270</v>
      </c>
      <c r="U1855" s="21" t="s">
        <v>72</v>
      </c>
    </row>
    <row r="1856" customFormat="false" ht="15" hidden="false" customHeight="false" outlineLevel="0" collapsed="false">
      <c r="A1856" s="15" t="s">
        <v>79</v>
      </c>
      <c r="B1856" s="15" t="s">
        <v>570</v>
      </c>
      <c r="C1856" s="14" t="s">
        <v>12084</v>
      </c>
      <c r="D1856" s="14" t="s">
        <v>12085</v>
      </c>
      <c r="E1856" s="16" t="s">
        <v>12086</v>
      </c>
      <c r="F1856" s="16" t="s">
        <v>12087</v>
      </c>
      <c r="G1856" s="19" t="s">
        <v>41</v>
      </c>
      <c r="H1856" s="18" t="n">
        <v>5</v>
      </c>
      <c r="I1856" s="20" t="n">
        <v>137.3</v>
      </c>
      <c r="J1856" s="20" t="n">
        <v>238.5</v>
      </c>
      <c r="K1856" s="18" t="n">
        <v>5</v>
      </c>
      <c r="L1856" s="18" t="n">
        <v>5</v>
      </c>
      <c r="M1856" s="18" t="n">
        <v>110</v>
      </c>
      <c r="N1856" s="18" t="n">
        <v>44</v>
      </c>
      <c r="O1856" s="14" t="s">
        <v>1126</v>
      </c>
      <c r="P1856" s="14" t="s">
        <v>94</v>
      </c>
      <c r="Q1856" s="15" t="s">
        <v>1089</v>
      </c>
      <c r="R1856" s="16" t="s">
        <v>12088</v>
      </c>
      <c r="S1856" s="15" t="s">
        <v>12089</v>
      </c>
      <c r="T1856" s="15" t="s">
        <v>12090</v>
      </c>
      <c r="U1856" s="21" t="s">
        <v>72</v>
      </c>
    </row>
    <row r="1857" customFormat="false" ht="15" hidden="false" customHeight="false" outlineLevel="0" collapsed="false">
      <c r="A1857" s="15" t="s">
        <v>79</v>
      </c>
      <c r="B1857" s="15" t="s">
        <v>570</v>
      </c>
      <c r="C1857" s="14" t="s">
        <v>12091</v>
      </c>
      <c r="D1857" s="14" t="s">
        <v>12092</v>
      </c>
      <c r="E1857" s="16" t="s">
        <v>12093</v>
      </c>
      <c r="F1857" s="16" t="s">
        <v>12094</v>
      </c>
      <c r="G1857" s="23" t="s">
        <v>43</v>
      </c>
      <c r="H1857" s="18" t="n">
        <v>4</v>
      </c>
      <c r="I1857" s="20" t="n">
        <v>56.27</v>
      </c>
      <c r="J1857" s="20" t="n">
        <v>171.42</v>
      </c>
      <c r="K1857" s="18" t="n">
        <v>4</v>
      </c>
      <c r="L1857" s="18" t="n">
        <v>1</v>
      </c>
      <c r="M1857" s="18" t="n">
        <v>160</v>
      </c>
      <c r="N1857" s="18" t="n">
        <v>120</v>
      </c>
      <c r="O1857" s="14" t="s">
        <v>12095</v>
      </c>
      <c r="P1857" s="14" t="s">
        <v>84</v>
      </c>
      <c r="Q1857" s="15" t="s">
        <v>1089</v>
      </c>
      <c r="R1857" s="16" t="s">
        <v>12096</v>
      </c>
      <c r="S1857" s="15" t="s">
        <v>10959</v>
      </c>
      <c r="T1857" s="15" t="s">
        <v>12097</v>
      </c>
      <c r="U1857" s="21" t="s">
        <v>72</v>
      </c>
    </row>
    <row r="1858" customFormat="false" ht="15" hidden="false" customHeight="false" outlineLevel="0" collapsed="false">
      <c r="A1858" s="15" t="s">
        <v>79</v>
      </c>
      <c r="B1858" s="15" t="s">
        <v>570</v>
      </c>
      <c r="C1858" s="14" t="s">
        <v>12098</v>
      </c>
      <c r="D1858" s="14" t="s">
        <v>12099</v>
      </c>
      <c r="E1858" s="16" t="s">
        <v>12100</v>
      </c>
      <c r="F1858" s="16" t="s">
        <v>10268</v>
      </c>
      <c r="G1858" s="19" t="s">
        <v>41</v>
      </c>
      <c r="H1858" s="18" t="n">
        <v>5</v>
      </c>
      <c r="I1858" s="20" t="n">
        <v>109</v>
      </c>
      <c r="J1858" s="20" t="n">
        <v>187.05</v>
      </c>
      <c r="K1858" s="18" t="n">
        <v>6</v>
      </c>
      <c r="L1858" s="18" t="n">
        <v>2</v>
      </c>
      <c r="M1858" s="18" t="n">
        <v>108</v>
      </c>
      <c r="N1858" s="18" t="n">
        <v>36</v>
      </c>
      <c r="O1858" s="14" t="s">
        <v>1126</v>
      </c>
      <c r="P1858" s="14" t="s">
        <v>118</v>
      </c>
      <c r="Q1858" s="15" t="s">
        <v>1089</v>
      </c>
      <c r="R1858" s="16" t="s">
        <v>12101</v>
      </c>
      <c r="S1858" s="15" t="s">
        <v>12102</v>
      </c>
      <c r="T1858" s="15" t="s">
        <v>12102</v>
      </c>
      <c r="U1858" s="21" t="s">
        <v>72</v>
      </c>
    </row>
    <row r="1859" customFormat="false" ht="15" hidden="false" customHeight="false" outlineLevel="0" collapsed="false">
      <c r="A1859" s="15" t="s">
        <v>79</v>
      </c>
      <c r="B1859" s="15" t="s">
        <v>570</v>
      </c>
      <c r="C1859" s="14" t="s">
        <v>12103</v>
      </c>
      <c r="D1859" s="14" t="s">
        <v>12104</v>
      </c>
      <c r="E1859" s="16" t="s">
        <v>12105</v>
      </c>
      <c r="F1859" s="16"/>
      <c r="G1859" s="25" t="s">
        <v>39</v>
      </c>
      <c r="H1859" s="18" t="n">
        <v>7</v>
      </c>
      <c r="I1859" s="20" t="n">
        <v>162.92</v>
      </c>
      <c r="J1859" s="20" t="n">
        <v>402.56</v>
      </c>
      <c r="K1859" s="18" t="n">
        <v>7</v>
      </c>
      <c r="L1859" s="18" t="n">
        <v>6</v>
      </c>
      <c r="M1859" s="18" t="n">
        <v>129</v>
      </c>
      <c r="N1859" s="18" t="n">
        <v>33</v>
      </c>
      <c r="O1859" s="14" t="s">
        <v>1126</v>
      </c>
      <c r="P1859" s="14" t="s">
        <v>118</v>
      </c>
      <c r="Q1859" s="15" t="s">
        <v>1089</v>
      </c>
      <c r="R1859" s="16" t="s">
        <v>12106</v>
      </c>
      <c r="S1859" s="15" t="s">
        <v>12107</v>
      </c>
      <c r="T1859" s="15" t="s">
        <v>12107</v>
      </c>
      <c r="U1859" s="21" t="s">
        <v>72</v>
      </c>
    </row>
    <row r="1860" customFormat="false" ht="15" hidden="false" customHeight="false" outlineLevel="0" collapsed="false">
      <c r="A1860" s="15" t="s">
        <v>79</v>
      </c>
      <c r="B1860" s="15" t="s">
        <v>570</v>
      </c>
      <c r="C1860" s="14" t="s">
        <v>12108</v>
      </c>
      <c r="D1860" s="14" t="s">
        <v>12109</v>
      </c>
      <c r="E1860" s="16" t="s">
        <v>12110</v>
      </c>
      <c r="F1860" s="16" t="s">
        <v>10818</v>
      </c>
      <c r="G1860" s="19" t="s">
        <v>41</v>
      </c>
      <c r="H1860" s="18" t="n">
        <v>4</v>
      </c>
      <c r="I1860" s="20" t="n">
        <v>87.79</v>
      </c>
      <c r="J1860" s="20" t="n">
        <v>297.86</v>
      </c>
      <c r="K1860" s="18" t="n">
        <v>4</v>
      </c>
      <c r="L1860" s="18" t="n">
        <v>6</v>
      </c>
      <c r="M1860" s="18" t="n">
        <v>81</v>
      </c>
      <c r="N1860" s="18" t="n">
        <v>81</v>
      </c>
      <c r="O1860" s="14" t="s">
        <v>1088</v>
      </c>
      <c r="P1860" s="14" t="s">
        <v>84</v>
      </c>
      <c r="Q1860" s="15" t="s">
        <v>1089</v>
      </c>
      <c r="R1860" s="16" t="s">
        <v>12111</v>
      </c>
      <c r="S1860" s="15" t="s">
        <v>10830</v>
      </c>
      <c r="T1860" s="15" t="s">
        <v>12112</v>
      </c>
      <c r="U1860" s="21" t="s">
        <v>72</v>
      </c>
    </row>
    <row r="1861" customFormat="false" ht="15" hidden="false" customHeight="false" outlineLevel="0" collapsed="false">
      <c r="A1861" s="15" t="s">
        <v>79</v>
      </c>
      <c r="B1861" s="15" t="s">
        <v>570</v>
      </c>
      <c r="C1861" s="14" t="s">
        <v>12113</v>
      </c>
      <c r="D1861" s="14" t="s">
        <v>12114</v>
      </c>
      <c r="E1861" s="16" t="s">
        <v>12115</v>
      </c>
      <c r="F1861" s="16" t="s">
        <v>12116</v>
      </c>
      <c r="G1861" s="19" t="s">
        <v>41</v>
      </c>
      <c r="H1861" s="18" t="n">
        <v>4</v>
      </c>
      <c r="I1861" s="20" t="n">
        <v>91.75</v>
      </c>
      <c r="J1861" s="20" t="n">
        <v>236.81</v>
      </c>
      <c r="K1861" s="18" t="n">
        <v>4</v>
      </c>
      <c r="L1861" s="18" t="n">
        <v>9</v>
      </c>
      <c r="M1861" s="18" t="n">
        <v>68</v>
      </c>
      <c r="N1861" s="18" t="n">
        <v>68</v>
      </c>
      <c r="O1861" s="14" t="s">
        <v>1126</v>
      </c>
      <c r="P1861" s="14" t="s">
        <v>84</v>
      </c>
      <c r="Q1861" s="15" t="s">
        <v>1089</v>
      </c>
      <c r="R1861" s="16" t="s">
        <v>6602</v>
      </c>
      <c r="S1861" s="15" t="s">
        <v>12117</v>
      </c>
      <c r="T1861" s="15" t="s">
        <v>12118</v>
      </c>
      <c r="U1861" s="21" t="s">
        <v>72</v>
      </c>
    </row>
    <row r="1862" customFormat="false" ht="15" hidden="false" customHeight="false" outlineLevel="0" collapsed="false">
      <c r="A1862" s="15" t="s">
        <v>79</v>
      </c>
      <c r="B1862" s="15" t="s">
        <v>570</v>
      </c>
      <c r="C1862" s="14" t="s">
        <v>12119</v>
      </c>
      <c r="D1862" s="14" t="s">
        <v>12120</v>
      </c>
      <c r="E1862" s="16" t="s">
        <v>12121</v>
      </c>
      <c r="F1862" s="16" t="s">
        <v>12122</v>
      </c>
      <c r="G1862" s="23" t="s">
        <v>43</v>
      </c>
      <c r="H1862" s="18" t="n">
        <v>2</v>
      </c>
      <c r="I1862" s="20" t="n">
        <v>68.1</v>
      </c>
      <c r="J1862" s="20" t="n">
        <v>93.76</v>
      </c>
      <c r="K1862" s="18" t="n">
        <v>24</v>
      </c>
      <c r="L1862" s="18" t="n">
        <v>2</v>
      </c>
      <c r="M1862" s="18" t="n">
        <v>768</v>
      </c>
      <c r="N1862" s="18" t="n">
        <v>320</v>
      </c>
      <c r="O1862" s="14" t="s">
        <v>12123</v>
      </c>
      <c r="P1862" s="14" t="s">
        <v>118</v>
      </c>
      <c r="Q1862" s="15" t="s">
        <v>1089</v>
      </c>
      <c r="R1862" s="16" t="s">
        <v>12124</v>
      </c>
      <c r="S1862" s="15" t="s">
        <v>12125</v>
      </c>
      <c r="T1862" s="15" t="s">
        <v>12126</v>
      </c>
      <c r="U1862" s="21" t="s">
        <v>72</v>
      </c>
    </row>
    <row r="1863" customFormat="false" ht="15" hidden="false" customHeight="false" outlineLevel="0" collapsed="false">
      <c r="A1863" s="15" t="s">
        <v>79</v>
      </c>
      <c r="B1863" s="15" t="s">
        <v>570</v>
      </c>
      <c r="C1863" s="14" t="s">
        <v>12127</v>
      </c>
      <c r="D1863" s="14" t="s">
        <v>12128</v>
      </c>
      <c r="E1863" s="16" t="s">
        <v>9704</v>
      </c>
      <c r="F1863" s="16" t="s">
        <v>282</v>
      </c>
      <c r="G1863" s="23" t="s">
        <v>43</v>
      </c>
      <c r="H1863" s="18" t="n">
        <v>4</v>
      </c>
      <c r="I1863" s="20" t="n">
        <v>114.7</v>
      </c>
      <c r="J1863" s="20" t="n">
        <v>183.83</v>
      </c>
      <c r="K1863" s="18" t="n">
        <v>10</v>
      </c>
      <c r="L1863" s="18" t="n">
        <v>22</v>
      </c>
      <c r="M1863" s="18" t="n">
        <v>190</v>
      </c>
      <c r="N1863" s="18" t="n">
        <v>190</v>
      </c>
      <c r="O1863" s="14" t="s">
        <v>1126</v>
      </c>
      <c r="P1863" s="14" t="s">
        <v>84</v>
      </c>
      <c r="Q1863" s="15" t="s">
        <v>1089</v>
      </c>
      <c r="R1863" s="16" t="s">
        <v>12129</v>
      </c>
      <c r="S1863" s="15" t="s">
        <v>717</v>
      </c>
      <c r="T1863" s="15" t="s">
        <v>12130</v>
      </c>
      <c r="U1863" s="21" t="s">
        <v>72</v>
      </c>
    </row>
    <row r="1864" customFormat="false" ht="15" hidden="false" customHeight="false" outlineLevel="0" collapsed="false">
      <c r="A1864" s="15" t="s">
        <v>79</v>
      </c>
      <c r="B1864" s="15" t="s">
        <v>570</v>
      </c>
      <c r="C1864" s="14" t="s">
        <v>12131</v>
      </c>
      <c r="D1864" s="14" t="s">
        <v>12132</v>
      </c>
      <c r="E1864" s="16" t="s">
        <v>12133</v>
      </c>
      <c r="F1864" s="16" t="s">
        <v>12134</v>
      </c>
      <c r="G1864" s="23" t="s">
        <v>43</v>
      </c>
      <c r="H1864" s="18" t="n">
        <v>3</v>
      </c>
      <c r="I1864" s="20" t="n">
        <v>42.26</v>
      </c>
      <c r="J1864" s="20" t="n">
        <v>96.68</v>
      </c>
      <c r="K1864" s="18" t="n">
        <v>6</v>
      </c>
      <c r="L1864" s="18" t="n">
        <v>1</v>
      </c>
      <c r="M1864" s="18" t="n">
        <v>64</v>
      </c>
      <c r="N1864" s="18" t="n">
        <v>34</v>
      </c>
      <c r="O1864" s="14" t="s">
        <v>10042</v>
      </c>
      <c r="P1864" s="14" t="s">
        <v>118</v>
      </c>
      <c r="Q1864" s="15" t="s">
        <v>1089</v>
      </c>
      <c r="R1864" s="16" t="s">
        <v>12135</v>
      </c>
      <c r="S1864" s="15" t="s">
        <v>12136</v>
      </c>
      <c r="T1864" s="15" t="s">
        <v>12136</v>
      </c>
      <c r="U1864" s="21" t="s">
        <v>72</v>
      </c>
    </row>
    <row r="1865" customFormat="false" ht="26.85" hidden="false" customHeight="false" outlineLevel="0" collapsed="false">
      <c r="A1865" s="15" t="s">
        <v>79</v>
      </c>
      <c r="B1865" s="15" t="s">
        <v>570</v>
      </c>
      <c r="C1865" s="14" t="s">
        <v>12137</v>
      </c>
      <c r="D1865" s="14" t="s">
        <v>12138</v>
      </c>
      <c r="E1865" s="16" t="s">
        <v>12139</v>
      </c>
      <c r="F1865" s="16" t="s">
        <v>12140</v>
      </c>
      <c r="G1865" s="23" t="s">
        <v>43</v>
      </c>
      <c r="H1865" s="18" t="n">
        <v>4</v>
      </c>
      <c r="I1865" s="20" t="n">
        <v>104.96</v>
      </c>
      <c r="J1865" s="20" t="n">
        <v>174.68</v>
      </c>
      <c r="K1865" s="18" t="n">
        <v>10</v>
      </c>
      <c r="L1865" s="18" t="n">
        <v>3</v>
      </c>
      <c r="M1865" s="18" t="n">
        <v>222</v>
      </c>
      <c r="N1865" s="18" t="n">
        <v>110</v>
      </c>
      <c r="O1865" s="14" t="s">
        <v>12141</v>
      </c>
      <c r="P1865" s="14" t="s">
        <v>352</v>
      </c>
      <c r="Q1865" s="15" t="s">
        <v>1089</v>
      </c>
      <c r="R1865" s="16" t="s">
        <v>12142</v>
      </c>
      <c r="S1865" s="15" t="s">
        <v>12143</v>
      </c>
      <c r="T1865" s="15" t="s">
        <v>12143</v>
      </c>
      <c r="U1865" s="21" t="s">
        <v>72</v>
      </c>
    </row>
    <row r="1866" customFormat="false" ht="15" hidden="false" customHeight="false" outlineLevel="0" collapsed="false">
      <c r="A1866" s="15" t="s">
        <v>79</v>
      </c>
      <c r="B1866" s="15" t="s">
        <v>570</v>
      </c>
      <c r="C1866" s="14" t="s">
        <v>12144</v>
      </c>
      <c r="D1866" s="14" t="s">
        <v>12145</v>
      </c>
      <c r="E1866" s="16" t="s">
        <v>12146</v>
      </c>
      <c r="F1866" s="16" t="s">
        <v>12140</v>
      </c>
      <c r="G1866" s="23" t="s">
        <v>43</v>
      </c>
      <c r="H1866" s="18" t="n">
        <v>2</v>
      </c>
      <c r="I1866" s="20" t="n">
        <v>37.49</v>
      </c>
      <c r="J1866" s="20" t="n">
        <v>74.69</v>
      </c>
      <c r="K1866" s="18" t="n">
        <v>5</v>
      </c>
      <c r="L1866" s="18" t="n">
        <v>9</v>
      </c>
      <c r="M1866" s="18" t="n">
        <v>63</v>
      </c>
      <c r="N1866" s="18" t="n">
        <v>11</v>
      </c>
      <c r="O1866" s="14" t="s">
        <v>1126</v>
      </c>
      <c r="P1866" s="14" t="s">
        <v>118</v>
      </c>
      <c r="Q1866" s="15" t="s">
        <v>1089</v>
      </c>
      <c r="R1866" s="16" t="s">
        <v>12147</v>
      </c>
      <c r="S1866" s="15" t="s">
        <v>12143</v>
      </c>
      <c r="T1866" s="15" t="s">
        <v>12148</v>
      </c>
      <c r="U1866" s="21" t="s">
        <v>72</v>
      </c>
    </row>
    <row r="1867" customFormat="false" ht="15" hidden="false" customHeight="false" outlineLevel="0" collapsed="false">
      <c r="A1867" s="15" t="s">
        <v>79</v>
      </c>
      <c r="B1867" s="15" t="s">
        <v>570</v>
      </c>
      <c r="C1867" s="14" t="s">
        <v>12149</v>
      </c>
      <c r="D1867" s="14" t="s">
        <v>12150</v>
      </c>
      <c r="E1867" s="16" t="s">
        <v>12151</v>
      </c>
      <c r="F1867" s="16" t="s">
        <v>12152</v>
      </c>
      <c r="G1867" s="23" t="s">
        <v>43</v>
      </c>
      <c r="H1867" s="18" t="n">
        <v>2</v>
      </c>
      <c r="I1867" s="20" t="n">
        <v>36.94</v>
      </c>
      <c r="J1867" s="20" t="n">
        <v>99.76</v>
      </c>
      <c r="K1867" s="18" t="n">
        <v>3</v>
      </c>
      <c r="L1867" s="18" t="n">
        <v>1</v>
      </c>
      <c r="M1867" s="18" t="n">
        <v>35</v>
      </c>
      <c r="N1867" s="18" t="n">
        <v>24</v>
      </c>
      <c r="O1867" s="14" t="s">
        <v>11484</v>
      </c>
      <c r="P1867" s="14" t="s">
        <v>226</v>
      </c>
      <c r="Q1867" s="15" t="s">
        <v>1089</v>
      </c>
      <c r="R1867" s="16" t="s">
        <v>11634</v>
      </c>
      <c r="S1867" s="15" t="s">
        <v>12153</v>
      </c>
      <c r="T1867" s="15" t="s">
        <v>12153</v>
      </c>
      <c r="U1867" s="21" t="s">
        <v>72</v>
      </c>
    </row>
    <row r="1868" customFormat="false" ht="15" hidden="false" customHeight="false" outlineLevel="0" collapsed="false">
      <c r="A1868" s="15" t="s">
        <v>79</v>
      </c>
      <c r="B1868" s="15" t="s">
        <v>570</v>
      </c>
      <c r="C1868" s="14" t="s">
        <v>12154</v>
      </c>
      <c r="D1868" s="14" t="s">
        <v>12155</v>
      </c>
      <c r="E1868" s="16" t="s">
        <v>12156</v>
      </c>
      <c r="F1868" s="16" t="s">
        <v>12157</v>
      </c>
      <c r="G1868" s="25" t="s">
        <v>39</v>
      </c>
      <c r="H1868" s="18" t="n">
        <v>7</v>
      </c>
      <c r="I1868" s="20" t="n">
        <v>150.88</v>
      </c>
      <c r="J1868" s="20" t="n">
        <v>624.2</v>
      </c>
      <c r="K1868" s="18" t="n">
        <v>7</v>
      </c>
      <c r="L1868" s="18" t="n">
        <v>6</v>
      </c>
      <c r="M1868" s="18" t="n">
        <v>122</v>
      </c>
      <c r="N1868" s="18" t="n">
        <v>63</v>
      </c>
      <c r="O1868" s="14" t="s">
        <v>1126</v>
      </c>
      <c r="P1868" s="14" t="s">
        <v>118</v>
      </c>
      <c r="Q1868" s="15" t="s">
        <v>1089</v>
      </c>
      <c r="R1868" s="16" t="s">
        <v>12158</v>
      </c>
      <c r="S1868" s="15" t="s">
        <v>12159</v>
      </c>
      <c r="T1868" s="15" t="s">
        <v>12159</v>
      </c>
      <c r="U1868" s="21" t="s">
        <v>72</v>
      </c>
    </row>
    <row r="1869" customFormat="false" ht="15" hidden="false" customHeight="false" outlineLevel="0" collapsed="false">
      <c r="A1869" s="15" t="s">
        <v>79</v>
      </c>
      <c r="B1869" s="15" t="s">
        <v>570</v>
      </c>
      <c r="C1869" s="14" t="s">
        <v>12160</v>
      </c>
      <c r="D1869" s="14" t="s">
        <v>12161</v>
      </c>
      <c r="E1869" s="16" t="s">
        <v>12162</v>
      </c>
      <c r="F1869" s="16" t="s">
        <v>12163</v>
      </c>
      <c r="G1869" s="23" t="s">
        <v>43</v>
      </c>
      <c r="H1869" s="18" t="n">
        <v>2</v>
      </c>
      <c r="I1869" s="20" t="n">
        <v>34.54</v>
      </c>
      <c r="J1869" s="20" t="n">
        <v>56.3</v>
      </c>
      <c r="K1869" s="18" t="n">
        <v>4</v>
      </c>
      <c r="L1869" s="18" t="n">
        <v>1</v>
      </c>
      <c r="M1869" s="18" t="n">
        <v>56</v>
      </c>
      <c r="N1869" s="18" t="n">
        <v>28</v>
      </c>
      <c r="O1869" s="14" t="s">
        <v>1126</v>
      </c>
      <c r="P1869" s="14" t="s">
        <v>226</v>
      </c>
      <c r="Q1869" s="15" t="s">
        <v>1089</v>
      </c>
      <c r="R1869" s="16" t="s">
        <v>12164</v>
      </c>
      <c r="S1869" s="15" t="s">
        <v>12165</v>
      </c>
      <c r="T1869" s="15" t="s">
        <v>12166</v>
      </c>
      <c r="U1869" s="21" t="s">
        <v>72</v>
      </c>
    </row>
    <row r="1870" customFormat="false" ht="15" hidden="false" customHeight="false" outlineLevel="0" collapsed="false">
      <c r="A1870" s="15" t="s">
        <v>79</v>
      </c>
      <c r="B1870" s="15" t="s">
        <v>570</v>
      </c>
      <c r="C1870" s="14" t="s">
        <v>12167</v>
      </c>
      <c r="D1870" s="14" t="s">
        <v>12168</v>
      </c>
      <c r="E1870" s="16" t="s">
        <v>12169</v>
      </c>
      <c r="F1870" s="16" t="s">
        <v>12170</v>
      </c>
      <c r="G1870" s="23" t="s">
        <v>43</v>
      </c>
      <c r="H1870" s="18" t="n">
        <v>3</v>
      </c>
      <c r="I1870" s="20" t="n">
        <v>84.36</v>
      </c>
      <c r="J1870" s="20" t="n">
        <v>190.929</v>
      </c>
      <c r="K1870" s="18" t="n">
        <v>15</v>
      </c>
      <c r="L1870" s="18" t="n">
        <v>4</v>
      </c>
      <c r="M1870" s="18" t="n">
        <v>480</v>
      </c>
      <c r="N1870" s="18" t="n">
        <v>96</v>
      </c>
      <c r="O1870" s="14" t="s">
        <v>1097</v>
      </c>
      <c r="P1870" s="14" t="s">
        <v>118</v>
      </c>
      <c r="Q1870" s="15" t="s">
        <v>1089</v>
      </c>
      <c r="R1870" s="16" t="s">
        <v>7137</v>
      </c>
      <c r="S1870" s="15" t="s">
        <v>12171</v>
      </c>
      <c r="T1870" s="15" t="s">
        <v>12171</v>
      </c>
      <c r="U1870" s="21" t="s">
        <v>72</v>
      </c>
    </row>
    <row r="1871" customFormat="false" ht="15" hidden="false" customHeight="false" outlineLevel="0" collapsed="false">
      <c r="A1871" s="15" t="s">
        <v>79</v>
      </c>
      <c r="B1871" s="15" t="s">
        <v>570</v>
      </c>
      <c r="C1871" s="14" t="s">
        <v>12172</v>
      </c>
      <c r="D1871" s="14" t="s">
        <v>12173</v>
      </c>
      <c r="E1871" s="16" t="s">
        <v>12174</v>
      </c>
      <c r="F1871" s="16" t="s">
        <v>12175</v>
      </c>
      <c r="G1871" s="23" t="s">
        <v>43</v>
      </c>
      <c r="H1871" s="18" t="n">
        <v>3</v>
      </c>
      <c r="I1871" s="20" t="n">
        <v>87.95</v>
      </c>
      <c r="J1871" s="20" t="n">
        <v>191.57</v>
      </c>
      <c r="K1871" s="18" t="n">
        <v>3</v>
      </c>
      <c r="L1871" s="18" t="n">
        <v>3</v>
      </c>
      <c r="M1871" s="18" t="n">
        <v>55</v>
      </c>
      <c r="N1871" s="18" t="n">
        <v>55</v>
      </c>
      <c r="O1871" s="14" t="s">
        <v>1097</v>
      </c>
      <c r="P1871" s="14" t="s">
        <v>84</v>
      </c>
      <c r="Q1871" s="15" t="s">
        <v>1089</v>
      </c>
      <c r="R1871" s="16" t="s">
        <v>12176</v>
      </c>
      <c r="S1871" s="15" t="s">
        <v>12177</v>
      </c>
      <c r="T1871" s="15" t="s">
        <v>12178</v>
      </c>
      <c r="U1871" s="21" t="s">
        <v>72</v>
      </c>
    </row>
    <row r="1872" customFormat="false" ht="15" hidden="false" customHeight="false" outlineLevel="0" collapsed="false">
      <c r="A1872" s="15" t="s">
        <v>79</v>
      </c>
      <c r="B1872" s="15" t="s">
        <v>570</v>
      </c>
      <c r="C1872" s="14" t="s">
        <v>12179</v>
      </c>
      <c r="D1872" s="14" t="s">
        <v>12180</v>
      </c>
      <c r="E1872" s="16" t="s">
        <v>12181</v>
      </c>
      <c r="F1872" s="16" t="s">
        <v>12182</v>
      </c>
      <c r="G1872" s="23" t="s">
        <v>43</v>
      </c>
      <c r="H1872" s="18" t="n">
        <v>2</v>
      </c>
      <c r="I1872" s="20" t="n">
        <v>40.04</v>
      </c>
      <c r="J1872" s="20" t="n">
        <v>73.14</v>
      </c>
      <c r="K1872" s="18" t="n">
        <v>15</v>
      </c>
      <c r="L1872" s="18" t="n">
        <v>1</v>
      </c>
      <c r="M1872" s="18" t="n">
        <v>261</v>
      </c>
      <c r="N1872" s="18" t="n">
        <v>95</v>
      </c>
      <c r="O1872" s="14" t="s">
        <v>12183</v>
      </c>
      <c r="P1872" s="14" t="s">
        <v>226</v>
      </c>
      <c r="Q1872" s="15" t="s">
        <v>1089</v>
      </c>
      <c r="R1872" s="16" t="s">
        <v>12184</v>
      </c>
      <c r="S1872" s="15" t="s">
        <v>12185</v>
      </c>
      <c r="T1872" s="15" t="s">
        <v>12185</v>
      </c>
      <c r="U1872" s="21" t="s">
        <v>72</v>
      </c>
    </row>
    <row r="1873" customFormat="false" ht="39.55" hidden="false" customHeight="false" outlineLevel="0" collapsed="false">
      <c r="A1873" s="15" t="s">
        <v>79</v>
      </c>
      <c r="B1873" s="15" t="s">
        <v>570</v>
      </c>
      <c r="C1873" s="14" t="s">
        <v>12186</v>
      </c>
      <c r="D1873" s="14" t="s">
        <v>12187</v>
      </c>
      <c r="E1873" s="16" t="s">
        <v>12188</v>
      </c>
      <c r="F1873" s="16" t="s">
        <v>12189</v>
      </c>
      <c r="G1873" s="23" t="s">
        <v>43</v>
      </c>
      <c r="H1873" s="18" t="n">
        <v>3</v>
      </c>
      <c r="I1873" s="20" t="n">
        <v>61.74</v>
      </c>
      <c r="J1873" s="20" t="n">
        <v>113.09</v>
      </c>
      <c r="K1873" s="18" t="n">
        <v>15</v>
      </c>
      <c r="L1873" s="18" t="n">
        <v>2</v>
      </c>
      <c r="M1873" s="18" t="n">
        <v>283</v>
      </c>
      <c r="N1873" s="18" t="n">
        <v>108</v>
      </c>
      <c r="O1873" s="14" t="s">
        <v>12190</v>
      </c>
      <c r="P1873" s="14" t="s">
        <v>118</v>
      </c>
      <c r="Q1873" s="15" t="s">
        <v>1089</v>
      </c>
      <c r="R1873" s="16" t="s">
        <v>12191</v>
      </c>
      <c r="S1873" s="15" t="s">
        <v>12192</v>
      </c>
      <c r="T1873" s="15" t="s">
        <v>12192</v>
      </c>
      <c r="U1873" s="21" t="s">
        <v>72</v>
      </c>
    </row>
    <row r="1874" customFormat="false" ht="26.85" hidden="false" customHeight="false" outlineLevel="0" collapsed="false">
      <c r="A1874" s="15" t="s">
        <v>79</v>
      </c>
      <c r="B1874" s="15" t="s">
        <v>570</v>
      </c>
      <c r="C1874" s="14" t="s">
        <v>12193</v>
      </c>
      <c r="D1874" s="14" t="s">
        <v>12194</v>
      </c>
      <c r="E1874" s="16" t="s">
        <v>12195</v>
      </c>
      <c r="F1874" s="16" t="s">
        <v>12196</v>
      </c>
      <c r="G1874" s="25" t="s">
        <v>39</v>
      </c>
      <c r="H1874" s="18" t="n">
        <v>8</v>
      </c>
      <c r="I1874" s="20" t="n">
        <v>163.68</v>
      </c>
      <c r="J1874" s="20" t="n">
        <v>326.34</v>
      </c>
      <c r="K1874" s="18" t="n">
        <v>8</v>
      </c>
      <c r="L1874" s="18" t="n">
        <v>1</v>
      </c>
      <c r="M1874" s="18" t="n">
        <v>375</v>
      </c>
      <c r="N1874" s="18" t="n">
        <v>165</v>
      </c>
      <c r="O1874" s="14" t="s">
        <v>1126</v>
      </c>
      <c r="P1874" s="14" t="s">
        <v>352</v>
      </c>
      <c r="Q1874" s="15" t="s">
        <v>1089</v>
      </c>
      <c r="R1874" s="16" t="s">
        <v>12197</v>
      </c>
      <c r="S1874" s="15" t="s">
        <v>12198</v>
      </c>
      <c r="T1874" s="15" t="s">
        <v>12198</v>
      </c>
      <c r="U1874" s="21" t="s">
        <v>72</v>
      </c>
    </row>
    <row r="1875" customFormat="false" ht="15" hidden="false" customHeight="false" outlineLevel="0" collapsed="false">
      <c r="A1875" s="15" t="s">
        <v>79</v>
      </c>
      <c r="B1875" s="15" t="s">
        <v>570</v>
      </c>
      <c r="C1875" s="14" t="s">
        <v>678</v>
      </c>
      <c r="D1875" s="14" t="s">
        <v>12199</v>
      </c>
      <c r="E1875" s="16" t="s">
        <v>12200</v>
      </c>
      <c r="F1875" s="16" t="s">
        <v>681</v>
      </c>
      <c r="G1875" s="19" t="s">
        <v>41</v>
      </c>
      <c r="H1875" s="18" t="n">
        <v>4</v>
      </c>
      <c r="I1875" s="20" t="n">
        <v>99</v>
      </c>
      <c r="J1875" s="20" t="n">
        <v>235.81</v>
      </c>
      <c r="K1875" s="18" t="n">
        <v>4</v>
      </c>
      <c r="L1875" s="18" t="n">
        <v>2</v>
      </c>
      <c r="M1875" s="18" t="n">
        <v>60</v>
      </c>
      <c r="N1875" s="18" t="n">
        <v>15</v>
      </c>
      <c r="O1875" s="14" t="s">
        <v>1126</v>
      </c>
      <c r="P1875" s="14" t="s">
        <v>94</v>
      </c>
      <c r="Q1875" s="15" t="s">
        <v>1089</v>
      </c>
      <c r="R1875" s="16" t="s">
        <v>682</v>
      </c>
      <c r="S1875" s="15" t="s">
        <v>683</v>
      </c>
      <c r="T1875" s="15" t="s">
        <v>684</v>
      </c>
      <c r="U1875" s="21" t="s">
        <v>72</v>
      </c>
    </row>
    <row r="1876" customFormat="false" ht="26.85" hidden="false" customHeight="false" outlineLevel="0" collapsed="false">
      <c r="A1876" s="15" t="s">
        <v>79</v>
      </c>
      <c r="B1876" s="15" t="s">
        <v>570</v>
      </c>
      <c r="C1876" s="14" t="s">
        <v>12201</v>
      </c>
      <c r="D1876" s="14" t="s">
        <v>12202</v>
      </c>
      <c r="E1876" s="16" t="s">
        <v>12203</v>
      </c>
      <c r="F1876" s="16" t="s">
        <v>12204</v>
      </c>
      <c r="G1876" s="25" t="s">
        <v>39</v>
      </c>
      <c r="H1876" s="18" t="n">
        <v>8</v>
      </c>
      <c r="I1876" s="20" t="n">
        <v>201.4</v>
      </c>
      <c r="J1876" s="20" t="n">
        <v>289.7</v>
      </c>
      <c r="K1876" s="18" t="n">
        <v>8</v>
      </c>
      <c r="L1876" s="18" t="n">
        <v>12</v>
      </c>
      <c r="M1876" s="18" t="n">
        <v>116</v>
      </c>
      <c r="N1876" s="18" t="n">
        <v>52</v>
      </c>
      <c r="O1876" s="14" t="s">
        <v>1126</v>
      </c>
      <c r="P1876" s="14" t="s">
        <v>9917</v>
      </c>
      <c r="Q1876" s="15" t="s">
        <v>1089</v>
      </c>
      <c r="R1876" s="16" t="s">
        <v>12205</v>
      </c>
      <c r="S1876" s="15" t="s">
        <v>12206</v>
      </c>
      <c r="T1876" s="15" t="s">
        <v>12207</v>
      </c>
      <c r="U1876" s="21" t="s">
        <v>72</v>
      </c>
    </row>
    <row r="1877" customFormat="false" ht="15" hidden="false" customHeight="false" outlineLevel="0" collapsed="false">
      <c r="A1877" s="15" t="s">
        <v>79</v>
      </c>
      <c r="B1877" s="15" t="s">
        <v>570</v>
      </c>
      <c r="C1877" s="14" t="s">
        <v>12208</v>
      </c>
      <c r="D1877" s="14" t="s">
        <v>12209</v>
      </c>
      <c r="E1877" s="16" t="s">
        <v>12210</v>
      </c>
      <c r="F1877" s="16" t="s">
        <v>12211</v>
      </c>
      <c r="G1877" s="23" t="s">
        <v>43</v>
      </c>
      <c r="H1877" s="18" t="n">
        <v>4</v>
      </c>
      <c r="I1877" s="20" t="n">
        <v>59.9</v>
      </c>
      <c r="J1877" s="20" t="n">
        <v>136.2</v>
      </c>
      <c r="K1877" s="18" t="n">
        <v>5</v>
      </c>
      <c r="L1877" s="18" t="n">
        <v>3</v>
      </c>
      <c r="M1877" s="18" t="n">
        <v>57</v>
      </c>
      <c r="N1877" s="18" t="n">
        <v>36</v>
      </c>
      <c r="O1877" s="14" t="s">
        <v>12212</v>
      </c>
      <c r="P1877" s="14" t="s">
        <v>118</v>
      </c>
      <c r="Q1877" s="15" t="s">
        <v>1089</v>
      </c>
      <c r="R1877" s="16" t="s">
        <v>12213</v>
      </c>
      <c r="S1877" s="15" t="s">
        <v>9725</v>
      </c>
      <c r="T1877" s="15" t="s">
        <v>9725</v>
      </c>
      <c r="U1877" s="21" t="s">
        <v>72</v>
      </c>
    </row>
    <row r="1878" customFormat="false" ht="15" hidden="false" customHeight="false" outlineLevel="0" collapsed="false">
      <c r="A1878" s="15" t="s">
        <v>79</v>
      </c>
      <c r="B1878" s="15" t="s">
        <v>570</v>
      </c>
      <c r="C1878" s="14" t="s">
        <v>12214</v>
      </c>
      <c r="D1878" s="14" t="s">
        <v>12215</v>
      </c>
      <c r="E1878" s="16" t="s">
        <v>12216</v>
      </c>
      <c r="F1878" s="16" t="s">
        <v>12217</v>
      </c>
      <c r="G1878" s="23" t="s">
        <v>43</v>
      </c>
      <c r="H1878" s="18" t="n">
        <v>4</v>
      </c>
      <c r="I1878" s="20" t="n">
        <v>97.37</v>
      </c>
      <c r="J1878" s="20" t="n">
        <v>181.79</v>
      </c>
      <c r="K1878" s="18" t="n">
        <v>8</v>
      </c>
      <c r="L1878" s="18" t="n">
        <v>5</v>
      </c>
      <c r="M1878" s="18" t="n">
        <v>160</v>
      </c>
      <c r="N1878" s="18" t="n">
        <v>160</v>
      </c>
      <c r="O1878" s="14" t="s">
        <v>1126</v>
      </c>
      <c r="P1878" s="14" t="s">
        <v>84</v>
      </c>
      <c r="Q1878" s="15" t="s">
        <v>1089</v>
      </c>
      <c r="R1878" s="16" t="s">
        <v>269</v>
      </c>
      <c r="S1878" s="15" t="s">
        <v>12218</v>
      </c>
      <c r="T1878" s="15" t="s">
        <v>12219</v>
      </c>
      <c r="U1878" s="21" t="s">
        <v>72</v>
      </c>
    </row>
    <row r="1879" customFormat="false" ht="15" hidden="false" customHeight="false" outlineLevel="0" collapsed="false">
      <c r="A1879" s="15" t="s">
        <v>79</v>
      </c>
      <c r="B1879" s="15" t="s">
        <v>570</v>
      </c>
      <c r="C1879" s="14" t="s">
        <v>12220</v>
      </c>
      <c r="D1879" s="14" t="s">
        <v>12221</v>
      </c>
      <c r="E1879" s="16" t="s">
        <v>12222</v>
      </c>
      <c r="F1879" s="16" t="s">
        <v>12223</v>
      </c>
      <c r="G1879" s="23" t="s">
        <v>43</v>
      </c>
      <c r="H1879" s="18" t="n">
        <v>2</v>
      </c>
      <c r="I1879" s="20" t="n">
        <v>41.1</v>
      </c>
      <c r="J1879" s="20" t="n">
        <v>89.3</v>
      </c>
      <c r="K1879" s="18" t="n">
        <v>11</v>
      </c>
      <c r="L1879" s="18" t="n">
        <v>2</v>
      </c>
      <c r="M1879" s="18" t="n">
        <v>188</v>
      </c>
      <c r="N1879" s="18" t="n">
        <v>120</v>
      </c>
      <c r="O1879" s="14" t="s">
        <v>12224</v>
      </c>
      <c r="P1879" s="14" t="s">
        <v>118</v>
      </c>
      <c r="Q1879" s="15" t="s">
        <v>1089</v>
      </c>
      <c r="R1879" s="16" t="s">
        <v>12225</v>
      </c>
      <c r="S1879" s="15" t="s">
        <v>12226</v>
      </c>
      <c r="T1879" s="15" t="s">
        <v>12226</v>
      </c>
      <c r="U1879" s="21" t="s">
        <v>72</v>
      </c>
    </row>
    <row r="1880" customFormat="false" ht="15" hidden="false" customHeight="false" outlineLevel="0" collapsed="false">
      <c r="A1880" s="15" t="s">
        <v>79</v>
      </c>
      <c r="B1880" s="15" t="s">
        <v>570</v>
      </c>
      <c r="C1880" s="14" t="s">
        <v>12227</v>
      </c>
      <c r="D1880" s="14" t="s">
        <v>12228</v>
      </c>
      <c r="E1880" s="16" t="s">
        <v>12229</v>
      </c>
      <c r="F1880" s="16" t="s">
        <v>12230</v>
      </c>
      <c r="G1880" s="23" t="s">
        <v>43</v>
      </c>
      <c r="H1880" s="18" t="n">
        <v>4</v>
      </c>
      <c r="I1880" s="20" t="n">
        <v>141.48</v>
      </c>
      <c r="J1880" s="20" t="n">
        <v>183.31</v>
      </c>
      <c r="K1880" s="18" t="n">
        <v>11</v>
      </c>
      <c r="L1880" s="18" t="n">
        <v>1</v>
      </c>
      <c r="M1880" s="18" t="n">
        <v>360</v>
      </c>
      <c r="N1880" s="18" t="n">
        <v>128</v>
      </c>
      <c r="O1880" s="14" t="s">
        <v>12231</v>
      </c>
      <c r="P1880" s="14" t="s">
        <v>118</v>
      </c>
      <c r="Q1880" s="15" t="s">
        <v>1089</v>
      </c>
      <c r="R1880" s="16" t="s">
        <v>12232</v>
      </c>
      <c r="S1880" s="15" t="s">
        <v>9752</v>
      </c>
      <c r="T1880" s="15" t="s">
        <v>12233</v>
      </c>
      <c r="U1880" s="21" t="s">
        <v>72</v>
      </c>
    </row>
    <row r="1881" customFormat="false" ht="15" hidden="false" customHeight="false" outlineLevel="0" collapsed="false">
      <c r="A1881" s="15" t="s">
        <v>79</v>
      </c>
      <c r="B1881" s="15" t="s">
        <v>570</v>
      </c>
      <c r="C1881" s="14" t="s">
        <v>12234</v>
      </c>
      <c r="D1881" s="14" t="s">
        <v>12235</v>
      </c>
      <c r="E1881" s="16" t="s">
        <v>12236</v>
      </c>
      <c r="F1881" s="16" t="s">
        <v>12237</v>
      </c>
      <c r="G1881" s="23" t="s">
        <v>43</v>
      </c>
      <c r="H1881" s="18" t="n">
        <v>2</v>
      </c>
      <c r="I1881" s="20" t="n">
        <v>48.19</v>
      </c>
      <c r="J1881" s="20" t="n">
        <v>179.52</v>
      </c>
      <c r="K1881" s="18" t="n">
        <v>4</v>
      </c>
      <c r="L1881" s="18" t="n">
        <v>3</v>
      </c>
      <c r="M1881" s="18" t="n">
        <v>78</v>
      </c>
      <c r="N1881" s="18" t="n">
        <v>48</v>
      </c>
      <c r="O1881" s="14" t="s">
        <v>1126</v>
      </c>
      <c r="P1881" s="14" t="s">
        <v>84</v>
      </c>
      <c r="Q1881" s="15" t="s">
        <v>1089</v>
      </c>
      <c r="R1881" s="16" t="s">
        <v>10295</v>
      </c>
      <c r="S1881" s="15" t="s">
        <v>12238</v>
      </c>
      <c r="T1881" s="15" t="s">
        <v>12239</v>
      </c>
      <c r="U1881" s="21" t="s">
        <v>72</v>
      </c>
    </row>
    <row r="1882" customFormat="false" ht="15" hidden="false" customHeight="false" outlineLevel="0" collapsed="false">
      <c r="A1882" s="15" t="s">
        <v>79</v>
      </c>
      <c r="B1882" s="15" t="s">
        <v>570</v>
      </c>
      <c r="C1882" s="14" t="s">
        <v>12240</v>
      </c>
      <c r="D1882" s="14" t="s">
        <v>12241</v>
      </c>
      <c r="E1882" s="16" t="s">
        <v>12242</v>
      </c>
      <c r="F1882" s="16" t="s">
        <v>12243</v>
      </c>
      <c r="G1882" s="19" t="s">
        <v>41</v>
      </c>
      <c r="H1882" s="18" t="n">
        <v>4</v>
      </c>
      <c r="I1882" s="20" t="n">
        <v>127.79</v>
      </c>
      <c r="J1882" s="20" t="n">
        <v>208.93</v>
      </c>
      <c r="K1882" s="18" t="n">
        <v>5</v>
      </c>
      <c r="L1882" s="18" t="n">
        <v>1</v>
      </c>
      <c r="M1882" s="18" t="n">
        <v>145</v>
      </c>
      <c r="N1882" s="18"/>
      <c r="O1882" s="13"/>
      <c r="P1882" s="14" t="s">
        <v>84</v>
      </c>
      <c r="Q1882" s="15" t="s">
        <v>1089</v>
      </c>
      <c r="R1882" s="16" t="s">
        <v>12244</v>
      </c>
      <c r="S1882" s="15" t="s">
        <v>12245</v>
      </c>
      <c r="T1882" s="15" t="s">
        <v>12245</v>
      </c>
      <c r="U1882" s="21" t="s">
        <v>72</v>
      </c>
    </row>
    <row r="1883" customFormat="false" ht="26.85" hidden="false" customHeight="false" outlineLevel="0" collapsed="false">
      <c r="A1883" s="15" t="s">
        <v>79</v>
      </c>
      <c r="B1883" s="15" t="s">
        <v>570</v>
      </c>
      <c r="C1883" s="14" t="s">
        <v>12246</v>
      </c>
      <c r="D1883" s="14" t="s">
        <v>12247</v>
      </c>
      <c r="E1883" s="16" t="s">
        <v>12248</v>
      </c>
      <c r="F1883" s="16" t="s">
        <v>12249</v>
      </c>
      <c r="G1883" s="23" t="s">
        <v>43</v>
      </c>
      <c r="H1883" s="18" t="n">
        <v>2</v>
      </c>
      <c r="I1883" s="20" t="n">
        <v>32.87</v>
      </c>
      <c r="J1883" s="20" t="n">
        <v>90.95</v>
      </c>
      <c r="K1883" s="18" t="n">
        <v>8</v>
      </c>
      <c r="L1883" s="18" t="n">
        <v>4</v>
      </c>
      <c r="M1883" s="18" t="n">
        <v>104</v>
      </c>
      <c r="N1883" s="18" t="n">
        <v>104</v>
      </c>
      <c r="O1883" s="14" t="s">
        <v>12250</v>
      </c>
      <c r="P1883" s="14" t="s">
        <v>84</v>
      </c>
      <c r="Q1883" s="15" t="s">
        <v>1089</v>
      </c>
      <c r="R1883" s="16" t="s">
        <v>744</v>
      </c>
      <c r="S1883" s="15" t="s">
        <v>12251</v>
      </c>
      <c r="T1883" s="15" t="s">
        <v>12252</v>
      </c>
      <c r="U1883" s="21" t="s">
        <v>72</v>
      </c>
    </row>
    <row r="1884" customFormat="false" ht="15" hidden="false" customHeight="false" outlineLevel="0" collapsed="false">
      <c r="A1884" s="15" t="s">
        <v>79</v>
      </c>
      <c r="B1884" s="15" t="s">
        <v>570</v>
      </c>
      <c r="C1884" s="14" t="s">
        <v>12253</v>
      </c>
      <c r="D1884" s="14" t="s">
        <v>12254</v>
      </c>
      <c r="E1884" s="16" t="s">
        <v>12255</v>
      </c>
      <c r="F1884" s="16" t="s">
        <v>12256</v>
      </c>
      <c r="G1884" s="23" t="s">
        <v>43</v>
      </c>
      <c r="H1884" s="18" t="n">
        <v>2</v>
      </c>
      <c r="I1884" s="20" t="n">
        <v>42.26</v>
      </c>
      <c r="J1884" s="20" t="n">
        <v>133.082</v>
      </c>
      <c r="K1884" s="18" t="n">
        <v>4</v>
      </c>
      <c r="L1884" s="18" t="n">
        <v>5</v>
      </c>
      <c r="M1884" s="18" t="n">
        <v>64</v>
      </c>
      <c r="N1884" s="18" t="n">
        <v>42</v>
      </c>
      <c r="O1884" s="14" t="s">
        <v>1126</v>
      </c>
      <c r="P1884" s="14" t="s">
        <v>226</v>
      </c>
      <c r="Q1884" s="15" t="s">
        <v>1089</v>
      </c>
      <c r="R1884" s="16" t="s">
        <v>12257</v>
      </c>
      <c r="S1884" s="15" t="s">
        <v>12258</v>
      </c>
      <c r="T1884" s="15" t="s">
        <v>12259</v>
      </c>
      <c r="U1884" s="21" t="s">
        <v>72</v>
      </c>
    </row>
    <row r="1885" customFormat="false" ht="15" hidden="false" customHeight="false" outlineLevel="0" collapsed="false">
      <c r="A1885" s="15" t="s">
        <v>79</v>
      </c>
      <c r="B1885" s="15" t="s">
        <v>570</v>
      </c>
      <c r="C1885" s="14" t="s">
        <v>12260</v>
      </c>
      <c r="D1885" s="14" t="s">
        <v>12261</v>
      </c>
      <c r="E1885" s="16" t="s">
        <v>12262</v>
      </c>
      <c r="F1885" s="16" t="s">
        <v>12263</v>
      </c>
      <c r="G1885" s="23" t="s">
        <v>43</v>
      </c>
      <c r="H1885" s="18" t="n">
        <v>3</v>
      </c>
      <c r="I1885" s="20" t="n">
        <v>50.3</v>
      </c>
      <c r="J1885" s="20" t="n">
        <v>106.94</v>
      </c>
      <c r="K1885" s="18" t="n">
        <v>3</v>
      </c>
      <c r="L1885" s="18" t="n">
        <v>1</v>
      </c>
      <c r="M1885" s="18" t="n">
        <v>38</v>
      </c>
      <c r="N1885" s="18" t="n">
        <v>14</v>
      </c>
      <c r="O1885" s="14" t="s">
        <v>1126</v>
      </c>
      <c r="P1885" s="14" t="s">
        <v>94</v>
      </c>
      <c r="Q1885" s="15" t="s">
        <v>1089</v>
      </c>
      <c r="R1885" s="16" t="s">
        <v>12264</v>
      </c>
      <c r="S1885" s="15" t="s">
        <v>12265</v>
      </c>
      <c r="T1885" s="15" t="s">
        <v>12265</v>
      </c>
      <c r="U1885" s="21" t="s">
        <v>72</v>
      </c>
    </row>
    <row r="1886" customFormat="false" ht="26.85" hidden="false" customHeight="false" outlineLevel="0" collapsed="false">
      <c r="A1886" s="15" t="s">
        <v>79</v>
      </c>
      <c r="B1886" s="15" t="s">
        <v>570</v>
      </c>
      <c r="C1886" s="14" t="s">
        <v>12266</v>
      </c>
      <c r="D1886" s="14" t="s">
        <v>12267</v>
      </c>
      <c r="E1886" s="16" t="s">
        <v>12268</v>
      </c>
      <c r="F1886" s="16" t="s">
        <v>12269</v>
      </c>
      <c r="G1886" s="23" t="s">
        <v>43</v>
      </c>
      <c r="H1886" s="18" t="n">
        <v>3</v>
      </c>
      <c r="I1886" s="20" t="n">
        <v>39.7</v>
      </c>
      <c r="J1886" s="20" t="n">
        <v>127.62</v>
      </c>
      <c r="K1886" s="18" t="n">
        <v>18</v>
      </c>
      <c r="L1886" s="18" t="n">
        <v>3</v>
      </c>
      <c r="M1886" s="18" t="n">
        <v>220</v>
      </c>
      <c r="N1886" s="18" t="n">
        <v>107</v>
      </c>
      <c r="O1886" s="14" t="s">
        <v>12270</v>
      </c>
      <c r="P1886" s="14" t="s">
        <v>118</v>
      </c>
      <c r="Q1886" s="15" t="s">
        <v>1089</v>
      </c>
      <c r="R1886" s="16" t="s">
        <v>12271</v>
      </c>
      <c r="S1886" s="15" t="s">
        <v>12272</v>
      </c>
      <c r="T1886" s="15" t="s">
        <v>12272</v>
      </c>
      <c r="U1886" s="21" t="s">
        <v>72</v>
      </c>
    </row>
    <row r="1887" customFormat="false" ht="26.85" hidden="false" customHeight="false" outlineLevel="0" collapsed="false">
      <c r="A1887" s="15" t="s">
        <v>79</v>
      </c>
      <c r="B1887" s="15" t="s">
        <v>570</v>
      </c>
      <c r="C1887" s="14" t="s">
        <v>12273</v>
      </c>
      <c r="D1887" s="14" t="s">
        <v>12274</v>
      </c>
      <c r="E1887" s="16" t="s">
        <v>12275</v>
      </c>
      <c r="F1887" s="16" t="s">
        <v>12276</v>
      </c>
      <c r="G1887" s="23" t="s">
        <v>43</v>
      </c>
      <c r="H1887" s="18" t="n">
        <v>2</v>
      </c>
      <c r="I1887" s="20" t="n">
        <v>71.45</v>
      </c>
      <c r="J1887" s="20" t="n">
        <v>123.21</v>
      </c>
      <c r="K1887" s="18" t="n">
        <v>7</v>
      </c>
      <c r="L1887" s="18" t="n">
        <v>5</v>
      </c>
      <c r="M1887" s="18" t="n">
        <v>259</v>
      </c>
      <c r="N1887" s="18" t="n">
        <v>185</v>
      </c>
      <c r="O1887" s="14" t="s">
        <v>12277</v>
      </c>
      <c r="P1887" s="14" t="s">
        <v>118</v>
      </c>
      <c r="Q1887" s="15" t="s">
        <v>1089</v>
      </c>
      <c r="R1887" s="16" t="s">
        <v>2992</v>
      </c>
      <c r="S1887" s="15" t="s">
        <v>12278</v>
      </c>
      <c r="T1887" s="15" t="s">
        <v>12278</v>
      </c>
      <c r="U1887" s="21" t="s">
        <v>72</v>
      </c>
    </row>
    <row r="1888" customFormat="false" ht="26.85" hidden="false" customHeight="false" outlineLevel="0" collapsed="false">
      <c r="A1888" s="15" t="s">
        <v>79</v>
      </c>
      <c r="B1888" s="15" t="s">
        <v>570</v>
      </c>
      <c r="C1888" s="14" t="s">
        <v>12279</v>
      </c>
      <c r="D1888" s="14" t="s">
        <v>12280</v>
      </c>
      <c r="E1888" s="16" t="s">
        <v>12281</v>
      </c>
      <c r="F1888" s="16" t="s">
        <v>12282</v>
      </c>
      <c r="G1888" s="23" t="s">
        <v>43</v>
      </c>
      <c r="H1888" s="18" t="n">
        <v>3</v>
      </c>
      <c r="I1888" s="20" t="n">
        <v>64.69</v>
      </c>
      <c r="J1888" s="20" t="n">
        <v>122.23</v>
      </c>
      <c r="K1888" s="18" t="n">
        <v>6</v>
      </c>
      <c r="L1888" s="18" t="n">
        <v>7</v>
      </c>
      <c r="M1888" s="18" t="n">
        <v>106</v>
      </c>
      <c r="N1888" s="18" t="n">
        <v>106</v>
      </c>
      <c r="O1888" s="14" t="s">
        <v>12283</v>
      </c>
      <c r="P1888" s="14" t="s">
        <v>84</v>
      </c>
      <c r="Q1888" s="15" t="s">
        <v>1089</v>
      </c>
      <c r="R1888" s="16" t="s">
        <v>12284</v>
      </c>
      <c r="S1888" s="15" t="s">
        <v>12285</v>
      </c>
      <c r="T1888" s="15" t="s">
        <v>12286</v>
      </c>
      <c r="U1888" s="21" t="s">
        <v>72</v>
      </c>
    </row>
    <row r="1889" customFormat="false" ht="26.85" hidden="false" customHeight="false" outlineLevel="0" collapsed="false">
      <c r="A1889" s="15" t="s">
        <v>79</v>
      </c>
      <c r="B1889" s="15" t="s">
        <v>570</v>
      </c>
      <c r="C1889" s="14" t="s">
        <v>12287</v>
      </c>
      <c r="D1889" s="14" t="s">
        <v>12288</v>
      </c>
      <c r="E1889" s="16" t="s">
        <v>12289</v>
      </c>
      <c r="F1889" s="16" t="s">
        <v>12290</v>
      </c>
      <c r="G1889" s="25" t="s">
        <v>39</v>
      </c>
      <c r="H1889" s="18" t="n">
        <v>8</v>
      </c>
      <c r="I1889" s="20" t="n">
        <v>171.83</v>
      </c>
      <c r="J1889" s="20" t="n">
        <v>380.99</v>
      </c>
      <c r="K1889" s="18" t="n">
        <v>24</v>
      </c>
      <c r="L1889" s="18" t="n">
        <v>15</v>
      </c>
      <c r="M1889" s="18" t="n">
        <v>468</v>
      </c>
      <c r="N1889" s="18" t="n">
        <v>360</v>
      </c>
      <c r="O1889" s="14" t="s">
        <v>12291</v>
      </c>
      <c r="P1889" s="14" t="s">
        <v>84</v>
      </c>
      <c r="Q1889" s="15" t="s">
        <v>1089</v>
      </c>
      <c r="R1889" s="16" t="s">
        <v>12292</v>
      </c>
      <c r="S1889" s="15" t="s">
        <v>9676</v>
      </c>
      <c r="T1889" s="15" t="s">
        <v>10724</v>
      </c>
      <c r="U1889" s="21" t="s">
        <v>72</v>
      </c>
    </row>
    <row r="1890" customFormat="false" ht="15" hidden="false" customHeight="false" outlineLevel="0" collapsed="false">
      <c r="A1890" s="15" t="s">
        <v>79</v>
      </c>
      <c r="B1890" s="15" t="s">
        <v>570</v>
      </c>
      <c r="C1890" s="14" t="s">
        <v>12293</v>
      </c>
      <c r="D1890" s="14" t="s">
        <v>12294</v>
      </c>
      <c r="E1890" s="16" t="s">
        <v>12295</v>
      </c>
      <c r="F1890" s="16" t="s">
        <v>12296</v>
      </c>
      <c r="G1890" s="23" t="s">
        <v>43</v>
      </c>
      <c r="H1890" s="18" t="n">
        <v>3</v>
      </c>
      <c r="I1890" s="20" t="n">
        <v>36.96</v>
      </c>
      <c r="J1890" s="20" t="n">
        <v>127.66</v>
      </c>
      <c r="K1890" s="18" t="n">
        <v>4</v>
      </c>
      <c r="L1890" s="18" t="n">
        <v>3</v>
      </c>
      <c r="M1890" s="18" t="n">
        <v>38</v>
      </c>
      <c r="N1890" s="18" t="n">
        <v>11</v>
      </c>
      <c r="O1890" s="14" t="s">
        <v>1126</v>
      </c>
      <c r="P1890" s="14" t="s">
        <v>118</v>
      </c>
      <c r="Q1890" s="15" t="s">
        <v>1089</v>
      </c>
      <c r="R1890" s="16" t="s">
        <v>12297</v>
      </c>
      <c r="S1890" s="15" t="s">
        <v>12298</v>
      </c>
      <c r="T1890" s="15" t="s">
        <v>12299</v>
      </c>
      <c r="U1890" s="21" t="s">
        <v>72</v>
      </c>
    </row>
    <row r="1891" customFormat="false" ht="26.85" hidden="false" customHeight="false" outlineLevel="0" collapsed="false">
      <c r="A1891" s="15" t="s">
        <v>79</v>
      </c>
      <c r="B1891" s="15" t="s">
        <v>570</v>
      </c>
      <c r="C1891" s="14" t="s">
        <v>12300</v>
      </c>
      <c r="D1891" s="14" t="s">
        <v>12301</v>
      </c>
      <c r="E1891" s="16" t="s">
        <v>12302</v>
      </c>
      <c r="F1891" s="16" t="s">
        <v>12303</v>
      </c>
      <c r="G1891" s="23" t="s">
        <v>43</v>
      </c>
      <c r="H1891" s="18" t="n">
        <v>3</v>
      </c>
      <c r="I1891" s="20" t="n">
        <v>54.85</v>
      </c>
      <c r="J1891" s="20" t="n">
        <v>96.66</v>
      </c>
      <c r="K1891" s="18" t="n">
        <v>8</v>
      </c>
      <c r="L1891" s="18" t="n">
        <v>2</v>
      </c>
      <c r="M1891" s="18" t="n">
        <v>111</v>
      </c>
      <c r="N1891" s="18" t="n">
        <v>96</v>
      </c>
      <c r="O1891" s="14" t="s">
        <v>12304</v>
      </c>
      <c r="P1891" s="14" t="s">
        <v>334</v>
      </c>
      <c r="Q1891" s="15" t="s">
        <v>1089</v>
      </c>
      <c r="R1891" s="16" t="s">
        <v>12305</v>
      </c>
      <c r="S1891" s="15" t="s">
        <v>12306</v>
      </c>
      <c r="T1891" s="15" t="s">
        <v>12306</v>
      </c>
      <c r="U1891" s="21" t="s">
        <v>72</v>
      </c>
    </row>
    <row r="1892" customFormat="false" ht="26.85" hidden="false" customHeight="false" outlineLevel="0" collapsed="false">
      <c r="A1892" s="15" t="s">
        <v>79</v>
      </c>
      <c r="B1892" s="15" t="s">
        <v>570</v>
      </c>
      <c r="C1892" s="14" t="s">
        <v>12307</v>
      </c>
      <c r="D1892" s="14" t="s">
        <v>12308</v>
      </c>
      <c r="E1892" s="16" t="s">
        <v>12309</v>
      </c>
      <c r="F1892" s="16" t="s">
        <v>12310</v>
      </c>
      <c r="G1892" s="23" t="s">
        <v>43</v>
      </c>
      <c r="H1892" s="18" t="n">
        <v>4</v>
      </c>
      <c r="I1892" s="20" t="n">
        <v>73.94</v>
      </c>
      <c r="J1892" s="20" t="n">
        <v>189.6</v>
      </c>
      <c r="K1892" s="18" t="n">
        <v>8</v>
      </c>
      <c r="L1892" s="18" t="n">
        <v>2</v>
      </c>
      <c r="M1892" s="18" t="n">
        <v>126</v>
      </c>
      <c r="N1892" s="18" t="n">
        <v>46</v>
      </c>
      <c r="O1892" s="14" t="s">
        <v>1126</v>
      </c>
      <c r="P1892" s="14" t="s">
        <v>6883</v>
      </c>
      <c r="Q1892" s="15" t="s">
        <v>1089</v>
      </c>
      <c r="R1892" s="16" t="s">
        <v>12311</v>
      </c>
      <c r="S1892" s="15" t="s">
        <v>12312</v>
      </c>
      <c r="T1892" s="15" t="s">
        <v>12312</v>
      </c>
      <c r="U1892" s="21" t="s">
        <v>72</v>
      </c>
    </row>
    <row r="1893" customFormat="false" ht="15" hidden="false" customHeight="false" outlineLevel="0" collapsed="false">
      <c r="A1893" s="15" t="s">
        <v>79</v>
      </c>
      <c r="B1893" s="15" t="s">
        <v>570</v>
      </c>
      <c r="C1893" s="14" t="s">
        <v>12313</v>
      </c>
      <c r="D1893" s="14" t="s">
        <v>12314</v>
      </c>
      <c r="E1893" s="16" t="s">
        <v>12315</v>
      </c>
      <c r="F1893" s="16" t="s">
        <v>12316</v>
      </c>
      <c r="G1893" s="19" t="s">
        <v>41</v>
      </c>
      <c r="H1893" s="18" t="n">
        <v>3</v>
      </c>
      <c r="I1893" s="20" t="n">
        <v>92.43</v>
      </c>
      <c r="J1893" s="20" t="n">
        <v>221.52</v>
      </c>
      <c r="K1893" s="18" t="n">
        <v>4</v>
      </c>
      <c r="L1893" s="18" t="n">
        <v>4</v>
      </c>
      <c r="M1893" s="18" t="n">
        <v>96</v>
      </c>
      <c r="N1893" s="18" t="n">
        <v>68</v>
      </c>
      <c r="O1893" s="14" t="s">
        <v>11566</v>
      </c>
      <c r="P1893" s="14" t="s">
        <v>118</v>
      </c>
      <c r="Q1893" s="15" t="s">
        <v>1089</v>
      </c>
      <c r="R1893" s="16" t="s">
        <v>12317</v>
      </c>
      <c r="S1893" s="15" t="s">
        <v>12318</v>
      </c>
      <c r="T1893" s="15" t="s">
        <v>12318</v>
      </c>
      <c r="U1893" s="21" t="s">
        <v>72</v>
      </c>
    </row>
    <row r="1894" customFormat="false" ht="26.85" hidden="false" customHeight="false" outlineLevel="0" collapsed="false">
      <c r="A1894" s="15" t="s">
        <v>79</v>
      </c>
      <c r="B1894" s="15" t="s">
        <v>570</v>
      </c>
      <c r="C1894" s="14" t="s">
        <v>12319</v>
      </c>
      <c r="D1894" s="14" t="s">
        <v>12320</v>
      </c>
      <c r="E1894" s="16" t="s">
        <v>12321</v>
      </c>
      <c r="F1894" s="16" t="s">
        <v>12322</v>
      </c>
      <c r="G1894" s="19" t="s">
        <v>41</v>
      </c>
      <c r="H1894" s="18" t="n">
        <v>5</v>
      </c>
      <c r="I1894" s="20" t="n">
        <v>75.4</v>
      </c>
      <c r="J1894" s="20" t="n">
        <v>170.4</v>
      </c>
      <c r="K1894" s="18" t="n">
        <v>5</v>
      </c>
      <c r="L1894" s="18" t="n">
        <v>4</v>
      </c>
      <c r="M1894" s="18" t="n">
        <v>53</v>
      </c>
      <c r="N1894" s="18" t="n">
        <v>31</v>
      </c>
      <c r="O1894" s="14" t="s">
        <v>12323</v>
      </c>
      <c r="P1894" s="14" t="s">
        <v>118</v>
      </c>
      <c r="Q1894" s="15" t="s">
        <v>1089</v>
      </c>
      <c r="R1894" s="16" t="s">
        <v>12324</v>
      </c>
      <c r="S1894" s="15" t="s">
        <v>12325</v>
      </c>
      <c r="T1894" s="15" t="s">
        <v>12326</v>
      </c>
      <c r="U1894" s="21" t="s">
        <v>72</v>
      </c>
    </row>
    <row r="1895" customFormat="false" ht="15" hidden="false" customHeight="false" outlineLevel="0" collapsed="false">
      <c r="A1895" s="15" t="s">
        <v>79</v>
      </c>
      <c r="B1895" s="15" t="s">
        <v>570</v>
      </c>
      <c r="C1895" s="14" t="s">
        <v>12327</v>
      </c>
      <c r="D1895" s="14" t="s">
        <v>12328</v>
      </c>
      <c r="E1895" s="16" t="s">
        <v>9704</v>
      </c>
      <c r="F1895" s="16" t="s">
        <v>282</v>
      </c>
      <c r="G1895" s="25" t="s">
        <v>39</v>
      </c>
      <c r="H1895" s="18" t="n">
        <v>11</v>
      </c>
      <c r="I1895" s="20" t="n">
        <v>355.54</v>
      </c>
      <c r="J1895" s="20" t="n">
        <v>1222.08</v>
      </c>
      <c r="K1895" s="18" t="n">
        <v>11</v>
      </c>
      <c r="L1895" s="18" t="n">
        <v>32</v>
      </c>
      <c r="M1895" s="18" t="n">
        <v>286</v>
      </c>
      <c r="N1895" s="18" t="n">
        <v>286</v>
      </c>
      <c r="O1895" s="14" t="s">
        <v>1126</v>
      </c>
      <c r="P1895" s="14" t="s">
        <v>84</v>
      </c>
      <c r="Q1895" s="15" t="s">
        <v>1089</v>
      </c>
      <c r="R1895" s="16" t="s">
        <v>12197</v>
      </c>
      <c r="S1895" s="15" t="s">
        <v>717</v>
      </c>
      <c r="T1895" s="15" t="s">
        <v>12329</v>
      </c>
      <c r="U1895" s="21" t="s">
        <v>72</v>
      </c>
    </row>
    <row r="1896" customFormat="false" ht="15" hidden="false" customHeight="false" outlineLevel="0" collapsed="false">
      <c r="A1896" s="15" t="s">
        <v>79</v>
      </c>
      <c r="B1896" s="15" t="s">
        <v>570</v>
      </c>
      <c r="C1896" s="14" t="s">
        <v>12330</v>
      </c>
      <c r="D1896" s="14" t="s">
        <v>12331</v>
      </c>
      <c r="E1896" s="16" t="s">
        <v>11197</v>
      </c>
      <c r="F1896" s="16" t="s">
        <v>282</v>
      </c>
      <c r="G1896" s="23" t="s">
        <v>43</v>
      </c>
      <c r="H1896" s="18" t="n">
        <v>3</v>
      </c>
      <c r="I1896" s="20" t="n">
        <v>75.99</v>
      </c>
      <c r="J1896" s="20" t="n">
        <v>118.22</v>
      </c>
      <c r="K1896" s="18" t="n">
        <v>6</v>
      </c>
      <c r="L1896" s="18" t="n">
        <v>18</v>
      </c>
      <c r="M1896" s="18" t="n">
        <v>48</v>
      </c>
      <c r="N1896" s="18" t="n">
        <v>48</v>
      </c>
      <c r="O1896" s="14" t="s">
        <v>1126</v>
      </c>
      <c r="P1896" s="14" t="s">
        <v>84</v>
      </c>
      <c r="Q1896" s="15" t="s">
        <v>1089</v>
      </c>
      <c r="R1896" s="16" t="s">
        <v>12332</v>
      </c>
      <c r="S1896" s="15" t="s">
        <v>717</v>
      </c>
      <c r="T1896" s="15" t="s">
        <v>12333</v>
      </c>
      <c r="U1896" s="21" t="s">
        <v>72</v>
      </c>
    </row>
    <row r="1897" customFormat="false" ht="15" hidden="false" customHeight="false" outlineLevel="0" collapsed="false">
      <c r="A1897" s="15" t="s">
        <v>79</v>
      </c>
      <c r="B1897" s="15" t="s">
        <v>570</v>
      </c>
      <c r="C1897" s="14" t="s">
        <v>12334</v>
      </c>
      <c r="D1897" s="14" t="s">
        <v>12335</v>
      </c>
      <c r="E1897" s="16" t="s">
        <v>12336</v>
      </c>
      <c r="F1897" s="16" t="s">
        <v>12337</v>
      </c>
      <c r="G1897" s="23" t="s">
        <v>43</v>
      </c>
      <c r="H1897" s="18" t="n">
        <v>3</v>
      </c>
      <c r="I1897" s="20" t="n">
        <v>66.75</v>
      </c>
      <c r="J1897" s="20" t="n">
        <v>126.26</v>
      </c>
      <c r="K1897" s="18" t="n">
        <v>3</v>
      </c>
      <c r="L1897" s="18" t="n">
        <v>5</v>
      </c>
      <c r="M1897" s="18" t="n">
        <v>53</v>
      </c>
      <c r="N1897" s="18" t="n">
        <v>11</v>
      </c>
      <c r="O1897" s="14" t="s">
        <v>1126</v>
      </c>
      <c r="P1897" s="14" t="s">
        <v>118</v>
      </c>
      <c r="Q1897" s="15" t="s">
        <v>1089</v>
      </c>
      <c r="R1897" s="16" t="s">
        <v>12338</v>
      </c>
      <c r="S1897" s="15" t="s">
        <v>12339</v>
      </c>
      <c r="T1897" s="15" t="s">
        <v>12340</v>
      </c>
      <c r="U1897" s="21" t="s">
        <v>72</v>
      </c>
    </row>
    <row r="1898" customFormat="false" ht="15" hidden="false" customHeight="false" outlineLevel="0" collapsed="false">
      <c r="A1898" s="15" t="s">
        <v>79</v>
      </c>
      <c r="B1898" s="15" t="s">
        <v>570</v>
      </c>
      <c r="C1898" s="14" t="s">
        <v>12341</v>
      </c>
      <c r="D1898" s="14" t="s">
        <v>12342</v>
      </c>
      <c r="E1898" s="16" t="s">
        <v>12343</v>
      </c>
      <c r="F1898" s="16"/>
      <c r="G1898" s="23" t="s">
        <v>43</v>
      </c>
      <c r="H1898" s="18" t="n">
        <v>2</v>
      </c>
      <c r="I1898" s="20" t="n">
        <v>56.98</v>
      </c>
      <c r="J1898" s="20" t="n">
        <v>154.56</v>
      </c>
      <c r="K1898" s="18" t="n">
        <v>2</v>
      </c>
      <c r="L1898" s="18" t="n">
        <v>5</v>
      </c>
      <c r="M1898" s="18" t="n">
        <v>32</v>
      </c>
      <c r="N1898" s="18" t="n">
        <v>32</v>
      </c>
      <c r="O1898" s="14" t="s">
        <v>1126</v>
      </c>
      <c r="P1898" s="14" t="s">
        <v>84</v>
      </c>
      <c r="Q1898" s="15" t="s">
        <v>1089</v>
      </c>
      <c r="R1898" s="16" t="s">
        <v>9353</v>
      </c>
      <c r="S1898" s="15" t="s">
        <v>12339</v>
      </c>
      <c r="T1898" s="15" t="s">
        <v>12339</v>
      </c>
      <c r="U1898" s="21" t="s">
        <v>72</v>
      </c>
    </row>
    <row r="1899" customFormat="false" ht="15" hidden="false" customHeight="false" outlineLevel="0" collapsed="false">
      <c r="A1899" s="15" t="s">
        <v>79</v>
      </c>
      <c r="B1899" s="15" t="s">
        <v>570</v>
      </c>
      <c r="C1899" s="14" t="s">
        <v>12344</v>
      </c>
      <c r="D1899" s="14" t="s">
        <v>12345</v>
      </c>
      <c r="E1899" s="16" t="s">
        <v>12346</v>
      </c>
      <c r="F1899" s="16" t="s">
        <v>12347</v>
      </c>
      <c r="G1899" s="19" t="s">
        <v>41</v>
      </c>
      <c r="H1899" s="18" t="n">
        <v>6</v>
      </c>
      <c r="I1899" s="20" t="n">
        <v>154.11</v>
      </c>
      <c r="J1899" s="20" t="n">
        <v>225.52</v>
      </c>
      <c r="K1899" s="18" t="n">
        <v>6</v>
      </c>
      <c r="L1899" s="18" t="n">
        <v>6</v>
      </c>
      <c r="M1899" s="18" t="n">
        <v>125</v>
      </c>
      <c r="N1899" s="18" t="n">
        <v>58</v>
      </c>
      <c r="O1899" s="14" t="s">
        <v>1126</v>
      </c>
      <c r="P1899" s="14" t="s">
        <v>226</v>
      </c>
      <c r="Q1899" s="15" t="s">
        <v>1089</v>
      </c>
      <c r="R1899" s="16" t="s">
        <v>12348</v>
      </c>
      <c r="S1899" s="15" t="s">
        <v>12339</v>
      </c>
      <c r="T1899" s="15" t="s">
        <v>12349</v>
      </c>
      <c r="U1899" s="21" t="s">
        <v>72</v>
      </c>
    </row>
    <row r="1900" customFormat="false" ht="39.55" hidden="false" customHeight="false" outlineLevel="0" collapsed="false">
      <c r="A1900" s="15" t="s">
        <v>79</v>
      </c>
      <c r="B1900" s="15" t="s">
        <v>570</v>
      </c>
      <c r="C1900" s="14" t="s">
        <v>12350</v>
      </c>
      <c r="D1900" s="14" t="s">
        <v>12351</v>
      </c>
      <c r="E1900" s="16" t="s">
        <v>12352</v>
      </c>
      <c r="F1900" s="16" t="s">
        <v>12353</v>
      </c>
      <c r="G1900" s="23" t="s">
        <v>43</v>
      </c>
      <c r="H1900" s="18" t="n">
        <v>3</v>
      </c>
      <c r="I1900" s="20" t="n">
        <v>54.1</v>
      </c>
      <c r="J1900" s="20" t="n">
        <v>173.09</v>
      </c>
      <c r="K1900" s="18" t="n">
        <v>6</v>
      </c>
      <c r="L1900" s="18" t="n">
        <v>4</v>
      </c>
      <c r="M1900" s="18" t="n">
        <v>88</v>
      </c>
      <c r="N1900" s="18" t="n">
        <v>21</v>
      </c>
      <c r="O1900" s="14" t="s">
        <v>1126</v>
      </c>
      <c r="P1900" s="14" t="s">
        <v>952</v>
      </c>
      <c r="Q1900" s="15" t="s">
        <v>1089</v>
      </c>
      <c r="R1900" s="16" t="s">
        <v>12354</v>
      </c>
      <c r="S1900" s="15" t="s">
        <v>12355</v>
      </c>
      <c r="T1900" s="15" t="s">
        <v>12355</v>
      </c>
      <c r="U1900" s="21" t="s">
        <v>72</v>
      </c>
    </row>
    <row r="1901" customFormat="false" ht="15" hidden="false" customHeight="false" outlineLevel="0" collapsed="false">
      <c r="A1901" s="15" t="s">
        <v>79</v>
      </c>
      <c r="B1901" s="15" t="s">
        <v>570</v>
      </c>
      <c r="C1901" s="14" t="s">
        <v>12356</v>
      </c>
      <c r="D1901" s="14" t="s">
        <v>12357</v>
      </c>
      <c r="E1901" s="16" t="s">
        <v>12358</v>
      </c>
      <c r="F1901" s="16" t="s">
        <v>12359</v>
      </c>
      <c r="G1901" s="25" t="s">
        <v>39</v>
      </c>
      <c r="H1901" s="18" t="n">
        <v>16</v>
      </c>
      <c r="I1901" s="20" t="n">
        <v>352.8</v>
      </c>
      <c r="J1901" s="20" t="n">
        <v>703.95</v>
      </c>
      <c r="K1901" s="18" t="n">
        <v>68</v>
      </c>
      <c r="L1901" s="18" t="n">
        <v>20</v>
      </c>
      <c r="M1901" s="18" t="n">
        <v>1224</v>
      </c>
      <c r="N1901" s="18" t="n">
        <v>360</v>
      </c>
      <c r="O1901" s="14" t="s">
        <v>12360</v>
      </c>
      <c r="P1901" s="14" t="s">
        <v>118</v>
      </c>
      <c r="Q1901" s="15" t="s">
        <v>1089</v>
      </c>
      <c r="R1901" s="16" t="s">
        <v>12361</v>
      </c>
      <c r="S1901" s="15" t="s">
        <v>12362</v>
      </c>
      <c r="T1901" s="15" t="s">
        <v>12362</v>
      </c>
      <c r="U1901" s="21" t="s">
        <v>72</v>
      </c>
    </row>
    <row r="1902" customFormat="false" ht="15" hidden="false" customHeight="false" outlineLevel="0" collapsed="false">
      <c r="A1902" s="15" t="s">
        <v>79</v>
      </c>
      <c r="B1902" s="15" t="s">
        <v>570</v>
      </c>
      <c r="C1902" s="14" t="s">
        <v>12363</v>
      </c>
      <c r="D1902" s="14" t="s">
        <v>12364</v>
      </c>
      <c r="E1902" s="16" t="s">
        <v>12365</v>
      </c>
      <c r="F1902" s="16" t="s">
        <v>12366</v>
      </c>
      <c r="G1902" s="19" t="s">
        <v>41</v>
      </c>
      <c r="H1902" s="18" t="n">
        <v>4</v>
      </c>
      <c r="I1902" s="20" t="n">
        <v>154.22</v>
      </c>
      <c r="J1902" s="20" t="n">
        <v>262.6</v>
      </c>
      <c r="K1902" s="18" t="n">
        <v>10</v>
      </c>
      <c r="L1902" s="18" t="n">
        <v>10</v>
      </c>
      <c r="M1902" s="18" t="n">
        <v>329</v>
      </c>
      <c r="N1902" s="18" t="n">
        <v>210</v>
      </c>
      <c r="O1902" s="14" t="s">
        <v>12367</v>
      </c>
      <c r="P1902" s="14" t="s">
        <v>118</v>
      </c>
      <c r="Q1902" s="15" t="s">
        <v>1089</v>
      </c>
      <c r="R1902" s="16" t="s">
        <v>12368</v>
      </c>
      <c r="S1902" s="15" t="s">
        <v>12369</v>
      </c>
      <c r="T1902" s="15" t="s">
        <v>12370</v>
      </c>
      <c r="U1902" s="21" t="s">
        <v>72</v>
      </c>
    </row>
    <row r="1903" customFormat="false" ht="15" hidden="false" customHeight="false" outlineLevel="0" collapsed="false">
      <c r="A1903" s="15" t="s">
        <v>79</v>
      </c>
      <c r="B1903" s="15" t="s">
        <v>570</v>
      </c>
      <c r="C1903" s="14" t="s">
        <v>12371</v>
      </c>
      <c r="D1903" s="14" t="s">
        <v>12372</v>
      </c>
      <c r="E1903" s="16" t="s">
        <v>12373</v>
      </c>
      <c r="F1903" s="16" t="s">
        <v>12374</v>
      </c>
      <c r="G1903" s="23" t="s">
        <v>43</v>
      </c>
      <c r="H1903" s="18" t="n">
        <v>3</v>
      </c>
      <c r="I1903" s="20" t="n">
        <v>35.34</v>
      </c>
      <c r="J1903" s="20" t="n">
        <v>76.4</v>
      </c>
      <c r="K1903" s="18" t="n">
        <v>6</v>
      </c>
      <c r="L1903" s="18" t="n">
        <v>3</v>
      </c>
      <c r="M1903" s="18" t="n">
        <v>78</v>
      </c>
      <c r="N1903" s="18" t="n">
        <v>52</v>
      </c>
      <c r="O1903" s="14" t="s">
        <v>12375</v>
      </c>
      <c r="P1903" s="14" t="s">
        <v>118</v>
      </c>
      <c r="Q1903" s="15" t="s">
        <v>1089</v>
      </c>
      <c r="R1903" s="16" t="s">
        <v>12376</v>
      </c>
      <c r="S1903" s="15" t="s">
        <v>12377</v>
      </c>
      <c r="T1903" s="15" t="s">
        <v>12378</v>
      </c>
      <c r="U1903" s="21" t="s">
        <v>72</v>
      </c>
    </row>
    <row r="1904" customFormat="false" ht="15" hidden="false" customHeight="false" outlineLevel="0" collapsed="false">
      <c r="A1904" s="15" t="s">
        <v>79</v>
      </c>
      <c r="B1904" s="15" t="s">
        <v>570</v>
      </c>
      <c r="C1904" s="14" t="s">
        <v>12379</v>
      </c>
      <c r="D1904" s="14" t="s">
        <v>12380</v>
      </c>
      <c r="E1904" s="16" t="s">
        <v>12381</v>
      </c>
      <c r="F1904" s="16" t="s">
        <v>12382</v>
      </c>
      <c r="G1904" s="25" t="s">
        <v>39</v>
      </c>
      <c r="H1904" s="18" t="n">
        <v>6</v>
      </c>
      <c r="I1904" s="20" t="n">
        <v>180.35</v>
      </c>
      <c r="J1904" s="20" t="n">
        <v>438.96</v>
      </c>
      <c r="K1904" s="18" t="n">
        <v>6</v>
      </c>
      <c r="L1904" s="18" t="n">
        <v>8</v>
      </c>
      <c r="M1904" s="18" t="n">
        <v>152</v>
      </c>
      <c r="N1904" s="18" t="n">
        <v>102</v>
      </c>
      <c r="O1904" s="14" t="s">
        <v>1126</v>
      </c>
      <c r="P1904" s="14" t="s">
        <v>118</v>
      </c>
      <c r="Q1904" s="15" t="s">
        <v>1089</v>
      </c>
      <c r="R1904" s="16" t="s">
        <v>12383</v>
      </c>
      <c r="S1904" s="15" t="s">
        <v>12377</v>
      </c>
      <c r="T1904" s="15" t="s">
        <v>12377</v>
      </c>
      <c r="U1904" s="21" t="s">
        <v>72</v>
      </c>
    </row>
    <row r="1905" customFormat="false" ht="15" hidden="false" customHeight="false" outlineLevel="0" collapsed="false">
      <c r="A1905" s="15" t="s">
        <v>79</v>
      </c>
      <c r="B1905" s="15" t="s">
        <v>570</v>
      </c>
      <c r="C1905" s="14" t="s">
        <v>12384</v>
      </c>
      <c r="D1905" s="14" t="s">
        <v>12385</v>
      </c>
      <c r="E1905" s="16" t="s">
        <v>12386</v>
      </c>
      <c r="F1905" s="16" t="s">
        <v>12374</v>
      </c>
      <c r="G1905" s="23" t="s">
        <v>43</v>
      </c>
      <c r="H1905" s="18" t="n">
        <v>2</v>
      </c>
      <c r="I1905" s="20" t="n">
        <v>54.31</v>
      </c>
      <c r="J1905" s="20" t="n">
        <v>157.82</v>
      </c>
      <c r="K1905" s="18" t="n">
        <v>4</v>
      </c>
      <c r="L1905" s="18" t="n">
        <v>5</v>
      </c>
      <c r="M1905" s="18" t="n">
        <v>60</v>
      </c>
      <c r="N1905" s="18" t="n">
        <v>30</v>
      </c>
      <c r="O1905" s="14" t="s">
        <v>1126</v>
      </c>
      <c r="P1905" s="14" t="s">
        <v>84</v>
      </c>
      <c r="Q1905" s="15" t="s">
        <v>1089</v>
      </c>
      <c r="R1905" s="16" t="s">
        <v>12387</v>
      </c>
      <c r="S1905" s="15" t="s">
        <v>12377</v>
      </c>
      <c r="T1905" s="15" t="s">
        <v>12388</v>
      </c>
      <c r="U1905" s="21" t="s">
        <v>72</v>
      </c>
    </row>
    <row r="1906" customFormat="false" ht="15" hidden="false" customHeight="false" outlineLevel="0" collapsed="false">
      <c r="A1906" s="15" t="s">
        <v>79</v>
      </c>
      <c r="B1906" s="15" t="s">
        <v>570</v>
      </c>
      <c r="C1906" s="14" t="s">
        <v>12389</v>
      </c>
      <c r="D1906" s="14" t="s">
        <v>12390</v>
      </c>
      <c r="E1906" s="16" t="s">
        <v>12391</v>
      </c>
      <c r="F1906" s="16" t="s">
        <v>12392</v>
      </c>
      <c r="G1906" s="19" t="s">
        <v>41</v>
      </c>
      <c r="H1906" s="18" t="n">
        <v>5</v>
      </c>
      <c r="I1906" s="20" t="n">
        <v>111.04</v>
      </c>
      <c r="J1906" s="20" t="n">
        <v>233.33</v>
      </c>
      <c r="K1906" s="18" t="n">
        <v>10</v>
      </c>
      <c r="L1906" s="18" t="n">
        <v>5</v>
      </c>
      <c r="M1906" s="18" t="n">
        <v>186</v>
      </c>
      <c r="N1906" s="18" t="n">
        <v>64</v>
      </c>
      <c r="O1906" s="14" t="s">
        <v>10729</v>
      </c>
      <c r="P1906" s="14" t="s">
        <v>118</v>
      </c>
      <c r="Q1906" s="15" t="s">
        <v>1089</v>
      </c>
      <c r="R1906" s="16" t="s">
        <v>12393</v>
      </c>
      <c r="S1906" s="15" t="s">
        <v>12394</v>
      </c>
      <c r="T1906" s="15" t="s">
        <v>12395</v>
      </c>
      <c r="U1906" s="21" t="s">
        <v>72</v>
      </c>
    </row>
    <row r="1907" customFormat="false" ht="15" hidden="false" customHeight="false" outlineLevel="0" collapsed="false">
      <c r="A1907" s="15" t="s">
        <v>79</v>
      </c>
      <c r="B1907" s="15" t="s">
        <v>570</v>
      </c>
      <c r="C1907" s="14" t="s">
        <v>12396</v>
      </c>
      <c r="D1907" s="14" t="s">
        <v>12397</v>
      </c>
      <c r="E1907" s="16" t="s">
        <v>12398</v>
      </c>
      <c r="F1907" s="16" t="s">
        <v>12399</v>
      </c>
      <c r="G1907" s="19" t="s">
        <v>41</v>
      </c>
      <c r="H1907" s="18" t="n">
        <v>3</v>
      </c>
      <c r="I1907" s="20" t="n">
        <v>59.83</v>
      </c>
      <c r="J1907" s="20" t="n">
        <v>215.53</v>
      </c>
      <c r="K1907" s="18" t="n">
        <v>5</v>
      </c>
      <c r="L1907" s="18" t="n">
        <v>3</v>
      </c>
      <c r="M1907" s="18" t="n">
        <v>67</v>
      </c>
      <c r="N1907" s="18" t="n">
        <v>27</v>
      </c>
      <c r="O1907" s="14" t="s">
        <v>1088</v>
      </c>
      <c r="P1907" s="14" t="s">
        <v>118</v>
      </c>
      <c r="Q1907" s="15" t="s">
        <v>1089</v>
      </c>
      <c r="R1907" s="16" t="s">
        <v>12400</v>
      </c>
      <c r="S1907" s="15" t="s">
        <v>12401</v>
      </c>
      <c r="T1907" s="15" t="s">
        <v>12402</v>
      </c>
      <c r="U1907" s="21" t="s">
        <v>72</v>
      </c>
    </row>
    <row r="1908" customFormat="false" ht="15" hidden="false" customHeight="false" outlineLevel="0" collapsed="false">
      <c r="A1908" s="15" t="s">
        <v>79</v>
      </c>
      <c r="B1908" s="15" t="s">
        <v>570</v>
      </c>
      <c r="C1908" s="14" t="s">
        <v>12403</v>
      </c>
      <c r="D1908" s="14" t="s">
        <v>12404</v>
      </c>
      <c r="E1908" s="16" t="s">
        <v>12405</v>
      </c>
      <c r="F1908" s="16" t="s">
        <v>12406</v>
      </c>
      <c r="G1908" s="23" t="s">
        <v>43</v>
      </c>
      <c r="H1908" s="18" t="n">
        <v>3</v>
      </c>
      <c r="I1908" s="20" t="n">
        <v>37.71</v>
      </c>
      <c r="J1908" s="20" t="n">
        <v>108.65</v>
      </c>
      <c r="K1908" s="18" t="n">
        <v>4</v>
      </c>
      <c r="L1908" s="18" t="n">
        <v>3</v>
      </c>
      <c r="M1908" s="18" t="n">
        <v>39</v>
      </c>
      <c r="N1908" s="18" t="n">
        <v>18</v>
      </c>
      <c r="O1908" s="14" t="s">
        <v>1126</v>
      </c>
      <c r="P1908" s="14" t="s">
        <v>118</v>
      </c>
      <c r="Q1908" s="15" t="s">
        <v>1089</v>
      </c>
      <c r="R1908" s="16" t="s">
        <v>12407</v>
      </c>
      <c r="S1908" s="15" t="s">
        <v>12408</v>
      </c>
      <c r="T1908" s="15" t="s">
        <v>12409</v>
      </c>
      <c r="U1908" s="21" t="s">
        <v>72</v>
      </c>
    </row>
    <row r="1909" customFormat="false" ht="15" hidden="false" customHeight="false" outlineLevel="0" collapsed="false">
      <c r="A1909" s="15" t="s">
        <v>79</v>
      </c>
      <c r="B1909" s="15" t="s">
        <v>570</v>
      </c>
      <c r="C1909" s="14" t="s">
        <v>12410</v>
      </c>
      <c r="D1909" s="14" t="s">
        <v>12411</v>
      </c>
      <c r="E1909" s="16" t="s">
        <v>12412</v>
      </c>
      <c r="F1909" s="16" t="s">
        <v>12413</v>
      </c>
      <c r="G1909" s="19" t="s">
        <v>41</v>
      </c>
      <c r="H1909" s="18" t="n">
        <v>6</v>
      </c>
      <c r="I1909" s="20" t="n">
        <v>121.3</v>
      </c>
      <c r="J1909" s="20" t="n">
        <v>239.43</v>
      </c>
      <c r="K1909" s="18" t="n">
        <v>20</v>
      </c>
      <c r="L1909" s="18" t="n">
        <v>4</v>
      </c>
      <c r="M1909" s="18" t="n">
        <v>406</v>
      </c>
      <c r="N1909" s="18" t="n">
        <v>170</v>
      </c>
      <c r="O1909" s="14" t="s">
        <v>10652</v>
      </c>
      <c r="P1909" s="14" t="s">
        <v>118</v>
      </c>
      <c r="Q1909" s="15" t="s">
        <v>1089</v>
      </c>
      <c r="R1909" s="16" t="s">
        <v>12414</v>
      </c>
      <c r="S1909" s="15" t="s">
        <v>12415</v>
      </c>
      <c r="T1909" s="15" t="s">
        <v>12415</v>
      </c>
      <c r="U1909" s="21" t="s">
        <v>72</v>
      </c>
    </row>
    <row r="1910" customFormat="false" ht="15" hidden="false" customHeight="false" outlineLevel="0" collapsed="false">
      <c r="A1910" s="15" t="s">
        <v>79</v>
      </c>
      <c r="B1910" s="15" t="s">
        <v>570</v>
      </c>
      <c r="C1910" s="14" t="s">
        <v>12416</v>
      </c>
      <c r="D1910" s="14" t="s">
        <v>12417</v>
      </c>
      <c r="E1910" s="16" t="s">
        <v>12418</v>
      </c>
      <c r="F1910" s="16" t="s">
        <v>12419</v>
      </c>
      <c r="G1910" s="23" t="s">
        <v>43</v>
      </c>
      <c r="H1910" s="18" t="n">
        <v>3</v>
      </c>
      <c r="I1910" s="20" t="n">
        <v>61.78</v>
      </c>
      <c r="J1910" s="20" t="n">
        <v>150.83</v>
      </c>
      <c r="K1910" s="18" t="n">
        <v>3</v>
      </c>
      <c r="L1910" s="18" t="n">
        <v>2</v>
      </c>
      <c r="M1910" s="18" t="n">
        <v>63</v>
      </c>
      <c r="N1910" s="18" t="n">
        <v>63</v>
      </c>
      <c r="O1910" s="14" t="s">
        <v>1126</v>
      </c>
      <c r="P1910" s="14" t="s">
        <v>84</v>
      </c>
      <c r="Q1910" s="15" t="s">
        <v>1089</v>
      </c>
      <c r="R1910" s="16" t="s">
        <v>12420</v>
      </c>
      <c r="S1910" s="15" t="s">
        <v>12421</v>
      </c>
      <c r="T1910" s="15" t="s">
        <v>12422</v>
      </c>
      <c r="U1910" s="21" t="s">
        <v>72</v>
      </c>
    </row>
    <row r="1911" customFormat="false" ht="15" hidden="false" customHeight="false" outlineLevel="0" collapsed="false">
      <c r="A1911" s="15" t="s">
        <v>79</v>
      </c>
      <c r="B1911" s="15" t="s">
        <v>570</v>
      </c>
      <c r="C1911" s="14" t="s">
        <v>12423</v>
      </c>
      <c r="D1911" s="14" t="s">
        <v>12424</v>
      </c>
      <c r="E1911" s="16" t="s">
        <v>12425</v>
      </c>
      <c r="F1911" s="16" t="s">
        <v>12426</v>
      </c>
      <c r="G1911" s="19" t="s">
        <v>41</v>
      </c>
      <c r="H1911" s="18" t="n">
        <v>4</v>
      </c>
      <c r="I1911" s="20" t="n">
        <v>145.99</v>
      </c>
      <c r="J1911" s="20" t="n">
        <v>255.95</v>
      </c>
      <c r="K1911" s="18" t="n">
        <v>18</v>
      </c>
      <c r="L1911" s="18" t="n">
        <v>7</v>
      </c>
      <c r="M1911" s="18" t="n">
        <v>833</v>
      </c>
      <c r="N1911" s="18" t="n">
        <v>255</v>
      </c>
      <c r="O1911" s="14" t="s">
        <v>11926</v>
      </c>
      <c r="P1911" s="14" t="s">
        <v>118</v>
      </c>
      <c r="Q1911" s="15" t="s">
        <v>1089</v>
      </c>
      <c r="R1911" s="16" t="s">
        <v>12427</v>
      </c>
      <c r="S1911" s="15" t="s">
        <v>12428</v>
      </c>
      <c r="T1911" s="15" t="s">
        <v>12429</v>
      </c>
      <c r="U1911" s="21" t="s">
        <v>72</v>
      </c>
    </row>
    <row r="1912" customFormat="false" ht="15" hidden="false" customHeight="false" outlineLevel="0" collapsed="false">
      <c r="A1912" s="15" t="s">
        <v>79</v>
      </c>
      <c r="B1912" s="15" t="s">
        <v>570</v>
      </c>
      <c r="C1912" s="14" t="s">
        <v>12430</v>
      </c>
      <c r="D1912" s="14" t="s">
        <v>12431</v>
      </c>
      <c r="E1912" s="16" t="s">
        <v>12425</v>
      </c>
      <c r="F1912" s="16" t="s">
        <v>12426</v>
      </c>
      <c r="G1912" s="23" t="s">
        <v>43</v>
      </c>
      <c r="H1912" s="18" t="n">
        <v>3</v>
      </c>
      <c r="I1912" s="20" t="n">
        <v>104.28</v>
      </c>
      <c r="J1912" s="20" t="n">
        <v>194.7</v>
      </c>
      <c r="K1912" s="18" t="n">
        <v>4</v>
      </c>
      <c r="L1912" s="18" t="n">
        <v>7</v>
      </c>
      <c r="M1912" s="18" t="n">
        <v>108</v>
      </c>
      <c r="N1912" s="18" t="n">
        <v>17</v>
      </c>
      <c r="O1912" s="14" t="s">
        <v>1126</v>
      </c>
      <c r="P1912" s="14" t="s">
        <v>118</v>
      </c>
      <c r="Q1912" s="15" t="s">
        <v>1089</v>
      </c>
      <c r="R1912" s="16" t="s">
        <v>11257</v>
      </c>
      <c r="S1912" s="15" t="s">
        <v>12428</v>
      </c>
      <c r="T1912" s="15" t="s">
        <v>12428</v>
      </c>
      <c r="U1912" s="21" t="s">
        <v>72</v>
      </c>
    </row>
    <row r="1913" customFormat="false" ht="15" hidden="false" customHeight="false" outlineLevel="0" collapsed="false">
      <c r="A1913" s="15" t="s">
        <v>79</v>
      </c>
      <c r="B1913" s="15" t="s">
        <v>570</v>
      </c>
      <c r="C1913" s="14" t="s">
        <v>12432</v>
      </c>
      <c r="D1913" s="14" t="s">
        <v>12433</v>
      </c>
      <c r="E1913" s="16" t="s">
        <v>12434</v>
      </c>
      <c r="F1913" s="16" t="s">
        <v>12435</v>
      </c>
      <c r="G1913" s="23" t="s">
        <v>43</v>
      </c>
      <c r="H1913" s="18" t="n">
        <v>4</v>
      </c>
      <c r="I1913" s="20" t="n">
        <v>69.43</v>
      </c>
      <c r="J1913" s="20" t="n">
        <v>178.49</v>
      </c>
      <c r="K1913" s="18" t="n">
        <v>4</v>
      </c>
      <c r="L1913" s="18" t="n">
        <v>5</v>
      </c>
      <c r="M1913" s="18" t="n">
        <v>40</v>
      </c>
      <c r="N1913" s="18" t="n">
        <v>40</v>
      </c>
      <c r="O1913" s="14" t="s">
        <v>1126</v>
      </c>
      <c r="P1913" s="14" t="s">
        <v>84</v>
      </c>
      <c r="Q1913" s="15" t="s">
        <v>1089</v>
      </c>
      <c r="R1913" s="16" t="s">
        <v>12436</v>
      </c>
      <c r="S1913" s="15" t="s">
        <v>12437</v>
      </c>
      <c r="T1913" s="15" t="s">
        <v>12438</v>
      </c>
      <c r="U1913" s="21" t="s">
        <v>72</v>
      </c>
    </row>
    <row r="1914" customFormat="false" ht="15" hidden="false" customHeight="false" outlineLevel="0" collapsed="false">
      <c r="A1914" s="15" t="s">
        <v>79</v>
      </c>
      <c r="B1914" s="15" t="s">
        <v>570</v>
      </c>
      <c r="C1914" s="14" t="s">
        <v>12439</v>
      </c>
      <c r="D1914" s="14" t="s">
        <v>12440</v>
      </c>
      <c r="E1914" s="16" t="s">
        <v>12441</v>
      </c>
      <c r="F1914" s="16" t="s">
        <v>12442</v>
      </c>
      <c r="G1914" s="23" t="s">
        <v>43</v>
      </c>
      <c r="H1914" s="18" t="n">
        <v>2</v>
      </c>
      <c r="I1914" s="20" t="n">
        <v>44.69</v>
      </c>
      <c r="J1914" s="20" t="n">
        <v>84.22</v>
      </c>
      <c r="K1914" s="18" t="n">
        <v>32</v>
      </c>
      <c r="L1914" s="18" t="n">
        <v>3</v>
      </c>
      <c r="M1914" s="18" t="n">
        <v>558</v>
      </c>
      <c r="N1914" s="18" t="n">
        <v>180</v>
      </c>
      <c r="O1914" s="14" t="s">
        <v>12183</v>
      </c>
      <c r="P1914" s="14" t="s">
        <v>118</v>
      </c>
      <c r="Q1914" s="15" t="s">
        <v>1089</v>
      </c>
      <c r="R1914" s="16" t="s">
        <v>12443</v>
      </c>
      <c r="S1914" s="15" t="s">
        <v>12444</v>
      </c>
      <c r="T1914" s="15" t="s">
        <v>12444</v>
      </c>
      <c r="U1914" s="21" t="s">
        <v>72</v>
      </c>
    </row>
    <row r="1915" customFormat="false" ht="15" hidden="false" customHeight="false" outlineLevel="0" collapsed="false">
      <c r="A1915" s="15" t="s">
        <v>79</v>
      </c>
      <c r="B1915" s="15" t="s">
        <v>570</v>
      </c>
      <c r="C1915" s="14" t="s">
        <v>12445</v>
      </c>
      <c r="D1915" s="14" t="s">
        <v>12446</v>
      </c>
      <c r="E1915" s="16" t="s">
        <v>12447</v>
      </c>
      <c r="F1915" s="16" t="s">
        <v>12448</v>
      </c>
      <c r="G1915" s="25" t="s">
        <v>39</v>
      </c>
      <c r="H1915" s="18" t="n">
        <v>5</v>
      </c>
      <c r="I1915" s="20" t="n">
        <v>173.36</v>
      </c>
      <c r="J1915" s="20" t="n">
        <v>415.64</v>
      </c>
      <c r="K1915" s="18" t="n">
        <v>5</v>
      </c>
      <c r="L1915" s="18" t="n">
        <v>3</v>
      </c>
      <c r="M1915" s="18" t="n">
        <v>50</v>
      </c>
      <c r="N1915" s="18" t="n">
        <v>50</v>
      </c>
      <c r="O1915" s="14" t="s">
        <v>11808</v>
      </c>
      <c r="P1915" s="14" t="s">
        <v>84</v>
      </c>
      <c r="Q1915" s="15" t="s">
        <v>1089</v>
      </c>
      <c r="R1915" s="16" t="s">
        <v>1017</v>
      </c>
      <c r="S1915" s="15" t="s">
        <v>12449</v>
      </c>
      <c r="T1915" s="15" t="s">
        <v>12449</v>
      </c>
      <c r="U1915" s="21" t="s">
        <v>72</v>
      </c>
    </row>
    <row r="1916" customFormat="false" ht="15" hidden="false" customHeight="false" outlineLevel="0" collapsed="false">
      <c r="A1916" s="15" t="s">
        <v>79</v>
      </c>
      <c r="B1916" s="15" t="s">
        <v>570</v>
      </c>
      <c r="C1916" s="14" t="s">
        <v>12450</v>
      </c>
      <c r="D1916" s="14" t="s">
        <v>12451</v>
      </c>
      <c r="E1916" s="16" t="s">
        <v>12452</v>
      </c>
      <c r="F1916" s="16" t="s">
        <v>12453</v>
      </c>
      <c r="G1916" s="23" t="s">
        <v>43</v>
      </c>
      <c r="H1916" s="18" t="n">
        <v>2</v>
      </c>
      <c r="I1916" s="20" t="n">
        <v>41.97</v>
      </c>
      <c r="J1916" s="20" t="n">
        <v>112.91</v>
      </c>
      <c r="K1916" s="18" t="n">
        <v>2</v>
      </c>
      <c r="L1916" s="18" t="n">
        <v>5</v>
      </c>
      <c r="M1916" s="18" t="n">
        <v>34</v>
      </c>
      <c r="N1916" s="18" t="n">
        <v>34</v>
      </c>
      <c r="O1916" s="14" t="s">
        <v>1126</v>
      </c>
      <c r="P1916" s="14" t="s">
        <v>84</v>
      </c>
      <c r="Q1916" s="15" t="s">
        <v>1089</v>
      </c>
      <c r="R1916" s="16" t="s">
        <v>5271</v>
      </c>
      <c r="S1916" s="15" t="s">
        <v>12454</v>
      </c>
      <c r="T1916" s="15" t="s">
        <v>12455</v>
      </c>
      <c r="U1916" s="21" t="s">
        <v>72</v>
      </c>
    </row>
    <row r="1917" customFormat="false" ht="15" hidden="false" customHeight="false" outlineLevel="0" collapsed="false">
      <c r="A1917" s="15" t="s">
        <v>79</v>
      </c>
      <c r="B1917" s="15" t="s">
        <v>570</v>
      </c>
      <c r="C1917" s="14" t="s">
        <v>12456</v>
      </c>
      <c r="D1917" s="14" t="s">
        <v>12457</v>
      </c>
      <c r="E1917" s="16" t="s">
        <v>12458</v>
      </c>
      <c r="F1917" s="16" t="s">
        <v>12459</v>
      </c>
      <c r="G1917" s="19" t="s">
        <v>41</v>
      </c>
      <c r="H1917" s="18" t="n">
        <v>5</v>
      </c>
      <c r="I1917" s="20" t="n">
        <v>122.72</v>
      </c>
      <c r="J1917" s="20" t="n">
        <v>236.61</v>
      </c>
      <c r="K1917" s="18" t="n">
        <v>10</v>
      </c>
      <c r="L1917" s="18" t="n">
        <v>4</v>
      </c>
      <c r="M1917" s="18" t="n">
        <v>198</v>
      </c>
      <c r="N1917" s="18" t="n">
        <v>120</v>
      </c>
      <c r="O1917" s="14" t="s">
        <v>12460</v>
      </c>
      <c r="P1917" s="14" t="s">
        <v>118</v>
      </c>
      <c r="Q1917" s="15" t="s">
        <v>1089</v>
      </c>
      <c r="R1917" s="16" t="s">
        <v>12461</v>
      </c>
      <c r="S1917" s="15" t="s">
        <v>10772</v>
      </c>
      <c r="T1917" s="15" t="s">
        <v>12462</v>
      </c>
      <c r="U1917" s="21" t="s">
        <v>72</v>
      </c>
    </row>
    <row r="1918" customFormat="false" ht="15" hidden="false" customHeight="false" outlineLevel="0" collapsed="false">
      <c r="A1918" s="15" t="s">
        <v>79</v>
      </c>
      <c r="B1918" s="15" t="s">
        <v>570</v>
      </c>
      <c r="C1918" s="14" t="s">
        <v>12463</v>
      </c>
      <c r="D1918" s="14" t="s">
        <v>12464</v>
      </c>
      <c r="E1918" s="16" t="s">
        <v>12465</v>
      </c>
      <c r="F1918" s="16" t="s">
        <v>12466</v>
      </c>
      <c r="G1918" s="23" t="s">
        <v>43</v>
      </c>
      <c r="H1918" s="18" t="n">
        <v>2</v>
      </c>
      <c r="I1918" s="20" t="n">
        <v>36.71</v>
      </c>
      <c r="J1918" s="20" t="n">
        <v>64.04</v>
      </c>
      <c r="K1918" s="18" t="n">
        <v>4</v>
      </c>
      <c r="L1918" s="18" t="n">
        <v>2</v>
      </c>
      <c r="M1918" s="18" t="n">
        <v>120</v>
      </c>
      <c r="N1918" s="18" t="n">
        <v>30</v>
      </c>
      <c r="O1918" s="14" t="s">
        <v>1126</v>
      </c>
      <c r="P1918" s="14" t="s">
        <v>118</v>
      </c>
      <c r="Q1918" s="15" t="s">
        <v>1089</v>
      </c>
      <c r="R1918" s="16" t="s">
        <v>12467</v>
      </c>
      <c r="S1918" s="15" t="s">
        <v>12468</v>
      </c>
      <c r="T1918" s="15" t="s">
        <v>12468</v>
      </c>
      <c r="U1918" s="21" t="s">
        <v>72</v>
      </c>
    </row>
    <row r="1919" customFormat="false" ht="26.85" hidden="false" customHeight="false" outlineLevel="0" collapsed="false">
      <c r="A1919" s="15" t="s">
        <v>79</v>
      </c>
      <c r="B1919" s="15" t="s">
        <v>570</v>
      </c>
      <c r="C1919" s="14" t="s">
        <v>12469</v>
      </c>
      <c r="D1919" s="14" t="s">
        <v>12470</v>
      </c>
      <c r="E1919" s="16" t="s">
        <v>12471</v>
      </c>
      <c r="F1919" s="16" t="s">
        <v>12472</v>
      </c>
      <c r="G1919" s="19" t="s">
        <v>41</v>
      </c>
      <c r="H1919" s="18" t="n">
        <v>4</v>
      </c>
      <c r="I1919" s="20" t="n">
        <v>90.76</v>
      </c>
      <c r="J1919" s="20" t="n">
        <v>215.32</v>
      </c>
      <c r="K1919" s="18" t="n">
        <v>6</v>
      </c>
      <c r="L1919" s="18" t="n">
        <v>4</v>
      </c>
      <c r="M1919" s="18" t="n">
        <v>118</v>
      </c>
      <c r="N1919" s="18" t="n">
        <v>52</v>
      </c>
      <c r="O1919" s="14" t="s">
        <v>12473</v>
      </c>
      <c r="P1919" s="14" t="s">
        <v>118</v>
      </c>
      <c r="Q1919" s="15" t="s">
        <v>1089</v>
      </c>
      <c r="R1919" s="16" t="s">
        <v>11096</v>
      </c>
      <c r="S1919" s="15" t="s">
        <v>12474</v>
      </c>
      <c r="T1919" s="15" t="s">
        <v>12475</v>
      </c>
      <c r="U1919" s="21" t="s">
        <v>72</v>
      </c>
    </row>
    <row r="1920" customFormat="false" ht="26.85" hidden="false" customHeight="false" outlineLevel="0" collapsed="false">
      <c r="A1920" s="15" t="s">
        <v>79</v>
      </c>
      <c r="B1920" s="15" t="s">
        <v>570</v>
      </c>
      <c r="C1920" s="14" t="s">
        <v>12476</v>
      </c>
      <c r="D1920" s="14" t="s">
        <v>12477</v>
      </c>
      <c r="E1920" s="16" t="s">
        <v>12478</v>
      </c>
      <c r="F1920" s="16" t="s">
        <v>12472</v>
      </c>
      <c r="G1920" s="25" t="s">
        <v>39</v>
      </c>
      <c r="H1920" s="18" t="n">
        <v>8</v>
      </c>
      <c r="I1920" s="20" t="n">
        <v>215.02</v>
      </c>
      <c r="J1920" s="20" t="n">
        <v>405.51</v>
      </c>
      <c r="K1920" s="18" t="n">
        <v>8</v>
      </c>
      <c r="L1920" s="18" t="n">
        <v>7</v>
      </c>
      <c r="M1920" s="18" t="n">
        <v>180</v>
      </c>
      <c r="N1920" s="18" t="n">
        <v>139</v>
      </c>
      <c r="O1920" s="14" t="s">
        <v>12479</v>
      </c>
      <c r="P1920" s="14" t="s">
        <v>118</v>
      </c>
      <c r="Q1920" s="15" t="s">
        <v>1089</v>
      </c>
      <c r="R1920" s="16" t="s">
        <v>12480</v>
      </c>
      <c r="S1920" s="15" t="s">
        <v>12481</v>
      </c>
      <c r="T1920" s="15" t="s">
        <v>12481</v>
      </c>
      <c r="U1920" s="21" t="s">
        <v>72</v>
      </c>
    </row>
    <row r="1921" customFormat="false" ht="26.85" hidden="false" customHeight="false" outlineLevel="0" collapsed="false">
      <c r="A1921" s="15" t="s">
        <v>79</v>
      </c>
      <c r="B1921" s="15" t="s">
        <v>570</v>
      </c>
      <c r="C1921" s="14" t="s">
        <v>12482</v>
      </c>
      <c r="D1921" s="14" t="s">
        <v>12483</v>
      </c>
      <c r="E1921" s="16" t="s">
        <v>12484</v>
      </c>
      <c r="F1921" s="16" t="s">
        <v>12485</v>
      </c>
      <c r="G1921" s="19" t="s">
        <v>41</v>
      </c>
      <c r="H1921" s="18" t="n">
        <v>6</v>
      </c>
      <c r="I1921" s="20" t="n">
        <v>69.01</v>
      </c>
      <c r="J1921" s="20" t="n">
        <v>175.86</v>
      </c>
      <c r="K1921" s="18" t="n">
        <v>20</v>
      </c>
      <c r="L1921" s="18" t="n">
        <v>3</v>
      </c>
      <c r="M1921" s="18" t="n">
        <v>312</v>
      </c>
      <c r="N1921" s="18" t="n">
        <v>75</v>
      </c>
      <c r="O1921" s="14" t="s">
        <v>12486</v>
      </c>
      <c r="P1921" s="14" t="s">
        <v>84</v>
      </c>
      <c r="Q1921" s="15" t="s">
        <v>1089</v>
      </c>
      <c r="R1921" s="16" t="s">
        <v>12487</v>
      </c>
      <c r="S1921" s="15" t="s">
        <v>12488</v>
      </c>
      <c r="T1921" s="15" t="s">
        <v>12489</v>
      </c>
      <c r="U1921" s="21" t="s">
        <v>72</v>
      </c>
    </row>
    <row r="1922" customFormat="false" ht="26.85" hidden="false" customHeight="false" outlineLevel="0" collapsed="false">
      <c r="A1922" s="15" t="s">
        <v>79</v>
      </c>
      <c r="B1922" s="15" t="s">
        <v>570</v>
      </c>
      <c r="C1922" s="14" t="s">
        <v>12490</v>
      </c>
      <c r="D1922" s="14" t="s">
        <v>12491</v>
      </c>
      <c r="E1922" s="16" t="s">
        <v>12492</v>
      </c>
      <c r="F1922" s="16" t="s">
        <v>12493</v>
      </c>
      <c r="G1922" s="23" t="s">
        <v>43</v>
      </c>
      <c r="H1922" s="18" t="n">
        <v>3</v>
      </c>
      <c r="I1922" s="20" t="n">
        <v>78.45</v>
      </c>
      <c r="J1922" s="20" t="n">
        <v>149.48</v>
      </c>
      <c r="K1922" s="18" t="n">
        <v>13</v>
      </c>
      <c r="L1922" s="18" t="n">
        <v>3</v>
      </c>
      <c r="M1922" s="18" t="n">
        <v>276</v>
      </c>
      <c r="N1922" s="18" t="n">
        <v>192</v>
      </c>
      <c r="O1922" s="14" t="s">
        <v>12494</v>
      </c>
      <c r="P1922" s="14" t="s">
        <v>118</v>
      </c>
      <c r="Q1922" s="15" t="s">
        <v>1089</v>
      </c>
      <c r="R1922" s="16" t="s">
        <v>12225</v>
      </c>
      <c r="S1922" s="15" t="s">
        <v>12495</v>
      </c>
      <c r="T1922" s="15" t="s">
        <v>12495</v>
      </c>
      <c r="U1922" s="21" t="s">
        <v>72</v>
      </c>
    </row>
    <row r="1923" customFormat="false" ht="15" hidden="false" customHeight="false" outlineLevel="0" collapsed="false">
      <c r="A1923" s="15" t="s">
        <v>79</v>
      </c>
      <c r="B1923" s="15" t="s">
        <v>570</v>
      </c>
      <c r="C1923" s="14" t="s">
        <v>12496</v>
      </c>
      <c r="D1923" s="14" t="s">
        <v>12497</v>
      </c>
      <c r="E1923" s="16" t="s">
        <v>12498</v>
      </c>
      <c r="F1923" s="16" t="s">
        <v>12322</v>
      </c>
      <c r="G1923" s="23" t="s">
        <v>43</v>
      </c>
      <c r="H1923" s="18" t="n">
        <v>2</v>
      </c>
      <c r="I1923" s="20" t="n">
        <v>45.08</v>
      </c>
      <c r="J1923" s="20" t="n">
        <v>172.93</v>
      </c>
      <c r="K1923" s="18" t="n">
        <v>9</v>
      </c>
      <c r="L1923" s="18" t="n">
        <v>3</v>
      </c>
      <c r="M1923" s="18" t="n">
        <v>176</v>
      </c>
      <c r="N1923" s="18" t="n">
        <v>80</v>
      </c>
      <c r="O1923" s="14" t="s">
        <v>10652</v>
      </c>
      <c r="P1923" s="14" t="s">
        <v>118</v>
      </c>
      <c r="Q1923" s="15" t="s">
        <v>1089</v>
      </c>
      <c r="R1923" s="16" t="s">
        <v>12499</v>
      </c>
      <c r="S1923" s="15" t="s">
        <v>12325</v>
      </c>
      <c r="T1923" s="15" t="s">
        <v>12325</v>
      </c>
      <c r="U1923" s="21" t="s">
        <v>72</v>
      </c>
    </row>
    <row r="1924" customFormat="false" ht="15" hidden="false" customHeight="false" outlineLevel="0" collapsed="false">
      <c r="A1924" s="15" t="s">
        <v>79</v>
      </c>
      <c r="B1924" s="15" t="s">
        <v>570</v>
      </c>
      <c r="C1924" s="14" t="s">
        <v>12500</v>
      </c>
      <c r="D1924" s="14" t="s">
        <v>12501</v>
      </c>
      <c r="E1924" s="16" t="s">
        <v>12502</v>
      </c>
      <c r="F1924" s="16" t="s">
        <v>12503</v>
      </c>
      <c r="G1924" s="23" t="s">
        <v>43</v>
      </c>
      <c r="H1924" s="18" t="n">
        <v>3</v>
      </c>
      <c r="I1924" s="20" t="n">
        <v>68.21</v>
      </c>
      <c r="J1924" s="20" t="n">
        <v>137.06</v>
      </c>
      <c r="K1924" s="18" t="n">
        <v>3</v>
      </c>
      <c r="L1924" s="18" t="n">
        <v>1</v>
      </c>
      <c r="M1924" s="18" t="n">
        <v>48</v>
      </c>
      <c r="N1924" s="18" t="n">
        <v>48</v>
      </c>
      <c r="O1924" s="14" t="s">
        <v>1126</v>
      </c>
      <c r="P1924" s="14" t="s">
        <v>84</v>
      </c>
      <c r="Q1924" s="15" t="s">
        <v>1089</v>
      </c>
      <c r="R1924" s="16" t="s">
        <v>8991</v>
      </c>
      <c r="S1924" s="15" t="s">
        <v>12504</v>
      </c>
      <c r="T1924" s="15" t="s">
        <v>12504</v>
      </c>
      <c r="U1924" s="21" t="s">
        <v>72</v>
      </c>
    </row>
    <row r="1925" customFormat="false" ht="26.85" hidden="false" customHeight="false" outlineLevel="0" collapsed="false">
      <c r="A1925" s="15" t="s">
        <v>79</v>
      </c>
      <c r="B1925" s="15" t="s">
        <v>570</v>
      </c>
      <c r="C1925" s="14" t="s">
        <v>12505</v>
      </c>
      <c r="D1925" s="14" t="s">
        <v>12506</v>
      </c>
      <c r="E1925" s="16" t="s">
        <v>12507</v>
      </c>
      <c r="F1925" s="16" t="s">
        <v>12508</v>
      </c>
      <c r="G1925" s="23" t="s">
        <v>43</v>
      </c>
      <c r="H1925" s="18" t="n">
        <v>4</v>
      </c>
      <c r="I1925" s="20" t="n">
        <v>58.11</v>
      </c>
      <c r="J1925" s="20" t="n">
        <v>150.12</v>
      </c>
      <c r="K1925" s="18" t="n">
        <v>28</v>
      </c>
      <c r="L1925" s="18" t="n">
        <v>4</v>
      </c>
      <c r="M1925" s="18" t="n">
        <v>395</v>
      </c>
      <c r="N1925" s="18" t="n">
        <v>51</v>
      </c>
      <c r="O1925" s="14" t="s">
        <v>1126</v>
      </c>
      <c r="P1925" s="14" t="s">
        <v>872</v>
      </c>
      <c r="Q1925" s="15" t="s">
        <v>1089</v>
      </c>
      <c r="R1925" s="16" t="s">
        <v>12509</v>
      </c>
      <c r="S1925" s="15" t="s">
        <v>12510</v>
      </c>
      <c r="T1925" s="15" t="s">
        <v>12511</v>
      </c>
      <c r="U1925" s="21" t="s">
        <v>72</v>
      </c>
    </row>
    <row r="1926" customFormat="false" ht="15" hidden="false" customHeight="false" outlineLevel="0" collapsed="false">
      <c r="A1926" s="15" t="s">
        <v>79</v>
      </c>
      <c r="B1926" s="15" t="s">
        <v>570</v>
      </c>
      <c r="C1926" s="14" t="s">
        <v>12512</v>
      </c>
      <c r="D1926" s="14" t="s">
        <v>12513</v>
      </c>
      <c r="E1926" s="16" t="s">
        <v>12514</v>
      </c>
      <c r="F1926" s="16" t="s">
        <v>12515</v>
      </c>
      <c r="G1926" s="19" t="s">
        <v>41</v>
      </c>
      <c r="H1926" s="18" t="n">
        <v>3</v>
      </c>
      <c r="I1926" s="20" t="n">
        <v>105.87</v>
      </c>
      <c r="J1926" s="20" t="n">
        <v>256.32</v>
      </c>
      <c r="K1926" s="18" t="n">
        <v>5</v>
      </c>
      <c r="L1926" s="18" t="n">
        <v>1</v>
      </c>
      <c r="M1926" s="18" t="n">
        <v>57</v>
      </c>
      <c r="N1926" s="18" t="n">
        <v>44</v>
      </c>
      <c r="O1926" s="14" t="s">
        <v>1088</v>
      </c>
      <c r="P1926" s="14" t="s">
        <v>84</v>
      </c>
      <c r="Q1926" s="15" t="s">
        <v>1089</v>
      </c>
      <c r="R1926" s="16" t="s">
        <v>12516</v>
      </c>
      <c r="S1926" s="15" t="s">
        <v>12517</v>
      </c>
      <c r="T1926" s="15" t="s">
        <v>12517</v>
      </c>
      <c r="U1926" s="21" t="s">
        <v>72</v>
      </c>
    </row>
    <row r="1927" customFormat="false" ht="52.2" hidden="false" customHeight="false" outlineLevel="0" collapsed="false">
      <c r="A1927" s="15" t="s">
        <v>79</v>
      </c>
      <c r="B1927" s="15" t="s">
        <v>570</v>
      </c>
      <c r="C1927" s="14" t="s">
        <v>12518</v>
      </c>
      <c r="D1927" s="14" t="s">
        <v>12519</v>
      </c>
      <c r="E1927" s="16" t="s">
        <v>12520</v>
      </c>
      <c r="F1927" s="16" t="s">
        <v>12521</v>
      </c>
      <c r="G1927" s="25" t="s">
        <v>39</v>
      </c>
      <c r="H1927" s="18" t="n">
        <v>5</v>
      </c>
      <c r="I1927" s="20" t="n">
        <v>361.2</v>
      </c>
      <c r="J1927" s="20" t="n">
        <v>923.21</v>
      </c>
      <c r="K1927" s="18" t="n">
        <v>10</v>
      </c>
      <c r="L1927" s="18" t="n">
        <v>5</v>
      </c>
      <c r="M1927" s="18" t="n">
        <v>250</v>
      </c>
      <c r="N1927" s="18" t="n">
        <v>250</v>
      </c>
      <c r="O1927" s="14" t="s">
        <v>12522</v>
      </c>
      <c r="P1927" s="14" t="s">
        <v>84</v>
      </c>
      <c r="Q1927" s="15" t="s">
        <v>1089</v>
      </c>
      <c r="R1927" s="16" t="s">
        <v>12523</v>
      </c>
      <c r="S1927" s="15" t="s">
        <v>12524</v>
      </c>
      <c r="T1927" s="15" t="s">
        <v>12525</v>
      </c>
      <c r="U1927" s="21" t="s">
        <v>72</v>
      </c>
    </row>
    <row r="1928" customFormat="false" ht="39.55" hidden="false" customHeight="false" outlineLevel="0" collapsed="false">
      <c r="A1928" s="15" t="s">
        <v>79</v>
      </c>
      <c r="B1928" s="15" t="s">
        <v>570</v>
      </c>
      <c r="C1928" s="14" t="s">
        <v>12526</v>
      </c>
      <c r="D1928" s="14" t="s">
        <v>12527</v>
      </c>
      <c r="E1928" s="16" t="s">
        <v>12528</v>
      </c>
      <c r="F1928" s="16" t="s">
        <v>12529</v>
      </c>
      <c r="G1928" s="23" t="s">
        <v>43</v>
      </c>
      <c r="H1928" s="18" t="n">
        <v>4</v>
      </c>
      <c r="I1928" s="20" t="n">
        <v>69.05</v>
      </c>
      <c r="J1928" s="20" t="n">
        <v>133.13</v>
      </c>
      <c r="K1928" s="18" t="n">
        <v>7</v>
      </c>
      <c r="L1928" s="18" t="n">
        <v>2</v>
      </c>
      <c r="M1928" s="18" t="n">
        <v>121</v>
      </c>
      <c r="N1928" s="18" t="n">
        <v>99</v>
      </c>
      <c r="O1928" s="14" t="s">
        <v>12530</v>
      </c>
      <c r="P1928" s="14" t="s">
        <v>84</v>
      </c>
      <c r="Q1928" s="15" t="s">
        <v>1089</v>
      </c>
      <c r="R1928" s="16" t="s">
        <v>12531</v>
      </c>
      <c r="S1928" s="15" t="s">
        <v>12078</v>
      </c>
      <c r="T1928" s="15" t="s">
        <v>12532</v>
      </c>
      <c r="U1928" s="21" t="s">
        <v>72</v>
      </c>
    </row>
    <row r="1929" customFormat="false" ht="26.85" hidden="false" customHeight="false" outlineLevel="0" collapsed="false">
      <c r="A1929" s="15" t="s">
        <v>79</v>
      </c>
      <c r="B1929" s="15" t="s">
        <v>570</v>
      </c>
      <c r="C1929" s="14" t="s">
        <v>12533</v>
      </c>
      <c r="D1929" s="14" t="s">
        <v>12534</v>
      </c>
      <c r="E1929" s="16" t="s">
        <v>12535</v>
      </c>
      <c r="F1929" s="16" t="s">
        <v>12536</v>
      </c>
      <c r="G1929" s="23" t="s">
        <v>43</v>
      </c>
      <c r="H1929" s="18" t="n">
        <v>3</v>
      </c>
      <c r="I1929" s="20" t="n">
        <v>49.7</v>
      </c>
      <c r="J1929" s="20" t="n">
        <v>99.57</v>
      </c>
      <c r="K1929" s="18" t="n">
        <v>13</v>
      </c>
      <c r="L1929" s="18" t="n">
        <v>3</v>
      </c>
      <c r="M1929" s="18" t="n">
        <v>180</v>
      </c>
      <c r="N1929" s="18" t="n">
        <v>129</v>
      </c>
      <c r="O1929" s="14" t="s">
        <v>12537</v>
      </c>
      <c r="P1929" s="14" t="s">
        <v>118</v>
      </c>
      <c r="Q1929" s="15" t="s">
        <v>1089</v>
      </c>
      <c r="R1929" s="16" t="s">
        <v>12538</v>
      </c>
      <c r="S1929" s="15" t="s">
        <v>3071</v>
      </c>
      <c r="T1929" s="15" t="s">
        <v>3071</v>
      </c>
      <c r="U1929" s="21" t="s">
        <v>72</v>
      </c>
    </row>
    <row r="1930" customFormat="false" ht="26.85" hidden="false" customHeight="false" outlineLevel="0" collapsed="false">
      <c r="A1930" s="15" t="s">
        <v>79</v>
      </c>
      <c r="B1930" s="15" t="s">
        <v>570</v>
      </c>
      <c r="C1930" s="14" t="s">
        <v>12539</v>
      </c>
      <c r="D1930" s="14" t="s">
        <v>12540</v>
      </c>
      <c r="E1930" s="16" t="s">
        <v>12541</v>
      </c>
      <c r="F1930" s="16" t="s">
        <v>12542</v>
      </c>
      <c r="G1930" s="23" t="s">
        <v>43</v>
      </c>
      <c r="H1930" s="18" t="n">
        <v>4</v>
      </c>
      <c r="I1930" s="20" t="n">
        <v>75.94</v>
      </c>
      <c r="J1930" s="20" t="n">
        <v>162.11</v>
      </c>
      <c r="K1930" s="18" t="n">
        <v>11</v>
      </c>
      <c r="L1930" s="18" t="n">
        <v>1</v>
      </c>
      <c r="M1930" s="18" t="n">
        <v>186</v>
      </c>
      <c r="N1930" s="18" t="n">
        <v>90</v>
      </c>
      <c r="O1930" s="14" t="s">
        <v>12543</v>
      </c>
      <c r="P1930" s="14" t="s">
        <v>118</v>
      </c>
      <c r="Q1930" s="15" t="s">
        <v>1089</v>
      </c>
      <c r="R1930" s="16" t="s">
        <v>11133</v>
      </c>
      <c r="S1930" s="15" t="s">
        <v>12544</v>
      </c>
      <c r="T1930" s="15" t="s">
        <v>12545</v>
      </c>
      <c r="U1930" s="21" t="s">
        <v>72</v>
      </c>
    </row>
    <row r="1931" customFormat="false" ht="15" hidden="false" customHeight="false" outlineLevel="0" collapsed="false">
      <c r="A1931" s="15" t="s">
        <v>79</v>
      </c>
      <c r="B1931" s="15" t="s">
        <v>570</v>
      </c>
      <c r="C1931" s="14" t="s">
        <v>12546</v>
      </c>
      <c r="D1931" s="14" t="s">
        <v>12547</v>
      </c>
      <c r="E1931" s="16" t="s">
        <v>12548</v>
      </c>
      <c r="F1931" s="16" t="s">
        <v>12549</v>
      </c>
      <c r="G1931" s="25" t="s">
        <v>39</v>
      </c>
      <c r="H1931" s="18" t="n">
        <v>20</v>
      </c>
      <c r="I1931" s="20" t="n">
        <v>382.17</v>
      </c>
      <c r="J1931" s="20" t="n">
        <v>816.68</v>
      </c>
      <c r="K1931" s="18" t="n">
        <v>71</v>
      </c>
      <c r="L1931" s="18" t="n">
        <v>11</v>
      </c>
      <c r="M1931" s="18" t="n">
        <v>1113</v>
      </c>
      <c r="N1931" s="18" t="n">
        <v>165</v>
      </c>
      <c r="O1931" s="14" t="s">
        <v>12550</v>
      </c>
      <c r="P1931" s="14" t="s">
        <v>334</v>
      </c>
      <c r="Q1931" s="15" t="s">
        <v>1089</v>
      </c>
      <c r="R1931" s="16" t="s">
        <v>4769</v>
      </c>
      <c r="S1931" s="15" t="s">
        <v>12551</v>
      </c>
      <c r="T1931" s="15" t="s">
        <v>12551</v>
      </c>
      <c r="U1931" s="21" t="s">
        <v>72</v>
      </c>
    </row>
    <row r="1932" customFormat="false" ht="15" hidden="false" customHeight="false" outlineLevel="0" collapsed="false">
      <c r="A1932" s="15" t="s">
        <v>79</v>
      </c>
      <c r="B1932" s="15" t="s">
        <v>570</v>
      </c>
      <c r="C1932" s="14" t="s">
        <v>12552</v>
      </c>
      <c r="D1932" s="14" t="s">
        <v>12553</v>
      </c>
      <c r="E1932" s="16" t="s">
        <v>12554</v>
      </c>
      <c r="F1932" s="16" t="s">
        <v>12555</v>
      </c>
      <c r="G1932" s="25" t="s">
        <v>39</v>
      </c>
      <c r="H1932" s="18" t="n">
        <v>12</v>
      </c>
      <c r="I1932" s="20" t="n">
        <v>424.56</v>
      </c>
      <c r="J1932" s="20" t="n">
        <v>1147.27</v>
      </c>
      <c r="K1932" s="18" t="n">
        <v>12</v>
      </c>
      <c r="L1932" s="18" t="n">
        <v>3</v>
      </c>
      <c r="M1932" s="18" t="n">
        <v>348</v>
      </c>
      <c r="N1932" s="18" t="n">
        <v>116</v>
      </c>
      <c r="O1932" s="14" t="s">
        <v>1126</v>
      </c>
      <c r="P1932" s="14" t="s">
        <v>118</v>
      </c>
      <c r="Q1932" s="15" t="s">
        <v>1089</v>
      </c>
      <c r="R1932" s="16" t="s">
        <v>12556</v>
      </c>
      <c r="S1932" s="15" t="s">
        <v>12557</v>
      </c>
      <c r="T1932" s="15" t="s">
        <v>12557</v>
      </c>
      <c r="U1932" s="21" t="s">
        <v>72</v>
      </c>
    </row>
    <row r="1933" customFormat="false" ht="15" hidden="false" customHeight="false" outlineLevel="0" collapsed="false">
      <c r="A1933" s="15" t="s">
        <v>79</v>
      </c>
      <c r="B1933" s="15" t="s">
        <v>570</v>
      </c>
      <c r="C1933" s="14" t="s">
        <v>5125</v>
      </c>
      <c r="D1933" s="14" t="s">
        <v>12558</v>
      </c>
      <c r="E1933" s="16" t="s">
        <v>12559</v>
      </c>
      <c r="F1933" s="16" t="s">
        <v>12560</v>
      </c>
      <c r="G1933" s="23" t="s">
        <v>43</v>
      </c>
      <c r="H1933" s="18" t="n">
        <v>4</v>
      </c>
      <c r="I1933" s="20" t="n">
        <v>107.94</v>
      </c>
      <c r="J1933" s="20" t="n">
        <v>197.17</v>
      </c>
      <c r="K1933" s="18" t="n">
        <v>4</v>
      </c>
      <c r="L1933" s="18" t="n">
        <v>6</v>
      </c>
      <c r="M1933" s="18" t="n">
        <v>76</v>
      </c>
      <c r="N1933" s="18" t="n">
        <v>76</v>
      </c>
      <c r="O1933" s="14" t="s">
        <v>1126</v>
      </c>
      <c r="P1933" s="14" t="s">
        <v>84</v>
      </c>
      <c r="Q1933" s="15" t="s">
        <v>1089</v>
      </c>
      <c r="R1933" s="16" t="s">
        <v>12561</v>
      </c>
      <c r="S1933" s="15" t="s">
        <v>12562</v>
      </c>
      <c r="T1933" s="15" t="s">
        <v>12562</v>
      </c>
      <c r="U1933" s="21" t="s">
        <v>72</v>
      </c>
    </row>
    <row r="1934" customFormat="false" ht="26.85" hidden="false" customHeight="false" outlineLevel="0" collapsed="false">
      <c r="A1934" s="15" t="s">
        <v>79</v>
      </c>
      <c r="B1934" s="15" t="s">
        <v>570</v>
      </c>
      <c r="C1934" s="14" t="s">
        <v>12563</v>
      </c>
      <c r="D1934" s="14" t="s">
        <v>12564</v>
      </c>
      <c r="E1934" s="16" t="s">
        <v>12565</v>
      </c>
      <c r="F1934" s="16"/>
      <c r="G1934" s="23" t="s">
        <v>43</v>
      </c>
      <c r="H1934" s="18" t="n">
        <v>3</v>
      </c>
      <c r="I1934" s="20" t="n">
        <v>47.25</v>
      </c>
      <c r="J1934" s="20" t="n">
        <v>124.96</v>
      </c>
      <c r="K1934" s="18"/>
      <c r="L1934" s="18"/>
      <c r="M1934" s="18"/>
      <c r="N1934" s="18"/>
      <c r="O1934" s="13"/>
      <c r="P1934" s="14" t="s">
        <v>906</v>
      </c>
      <c r="Q1934" s="15" t="s">
        <v>1089</v>
      </c>
      <c r="R1934" s="16" t="s">
        <v>682</v>
      </c>
      <c r="S1934" s="15" t="s">
        <v>12566</v>
      </c>
      <c r="T1934" s="15" t="s">
        <v>12567</v>
      </c>
      <c r="U1934" s="21" t="s">
        <v>72</v>
      </c>
    </row>
    <row r="1935" customFormat="false" ht="26.85" hidden="false" customHeight="false" outlineLevel="0" collapsed="false">
      <c r="A1935" s="15" t="s">
        <v>79</v>
      </c>
      <c r="B1935" s="15" t="s">
        <v>570</v>
      </c>
      <c r="C1935" s="14" t="s">
        <v>12568</v>
      </c>
      <c r="D1935" s="14" t="s">
        <v>12569</v>
      </c>
      <c r="E1935" s="16" t="s">
        <v>12570</v>
      </c>
      <c r="F1935" s="16"/>
      <c r="G1935" s="23" t="s">
        <v>43</v>
      </c>
      <c r="H1935" s="18" t="n">
        <v>1</v>
      </c>
      <c r="I1935" s="20" t="n">
        <v>34.01</v>
      </c>
      <c r="J1935" s="20" t="n">
        <v>49.18</v>
      </c>
      <c r="K1935" s="18" t="n">
        <v>2</v>
      </c>
      <c r="L1935" s="18" t="n">
        <v>2</v>
      </c>
      <c r="M1935" s="18" t="n">
        <v>54</v>
      </c>
      <c r="N1935" s="18" t="n">
        <v>27</v>
      </c>
      <c r="O1935" s="14" t="s">
        <v>1126</v>
      </c>
      <c r="P1935" s="14" t="s">
        <v>906</v>
      </c>
      <c r="Q1935" s="15" t="s">
        <v>1089</v>
      </c>
      <c r="R1935" s="16" t="s">
        <v>12361</v>
      </c>
      <c r="S1935" s="15" t="s">
        <v>12571</v>
      </c>
      <c r="T1935" s="15" t="s">
        <v>12572</v>
      </c>
      <c r="U1935" s="21" t="s">
        <v>72</v>
      </c>
    </row>
    <row r="1936" customFormat="false" ht="15" hidden="false" customHeight="false" outlineLevel="0" collapsed="false">
      <c r="A1936" s="15" t="s">
        <v>79</v>
      </c>
      <c r="B1936" s="15" t="s">
        <v>570</v>
      </c>
      <c r="C1936" s="14" t="s">
        <v>12573</v>
      </c>
      <c r="D1936" s="14" t="s">
        <v>12574</v>
      </c>
      <c r="E1936" s="16" t="s">
        <v>12575</v>
      </c>
      <c r="F1936" s="16" t="s">
        <v>12576</v>
      </c>
      <c r="G1936" s="19" t="s">
        <v>41</v>
      </c>
      <c r="H1936" s="18" t="n">
        <v>4</v>
      </c>
      <c r="I1936" s="20" t="n">
        <v>72.89</v>
      </c>
      <c r="J1936" s="20" t="n">
        <v>281.39</v>
      </c>
      <c r="K1936" s="18" t="n">
        <v>4</v>
      </c>
      <c r="L1936" s="18" t="n">
        <v>2</v>
      </c>
      <c r="M1936" s="18" t="n">
        <v>45</v>
      </c>
      <c r="N1936" s="18" t="n">
        <v>37</v>
      </c>
      <c r="O1936" s="14" t="s">
        <v>1126</v>
      </c>
      <c r="P1936" s="14" t="s">
        <v>118</v>
      </c>
      <c r="Q1936" s="15" t="s">
        <v>1089</v>
      </c>
      <c r="R1936" s="16" t="s">
        <v>12577</v>
      </c>
      <c r="S1936" s="15" t="s">
        <v>12578</v>
      </c>
      <c r="T1936" s="15" t="s">
        <v>12579</v>
      </c>
      <c r="U1936" s="21" t="s">
        <v>72</v>
      </c>
    </row>
    <row r="1937" customFormat="false" ht="15" hidden="false" customHeight="false" outlineLevel="0" collapsed="false">
      <c r="A1937" s="15" t="s">
        <v>79</v>
      </c>
      <c r="B1937" s="15" t="s">
        <v>570</v>
      </c>
      <c r="C1937" s="14" t="s">
        <v>12580</v>
      </c>
      <c r="D1937" s="14" t="s">
        <v>12581</v>
      </c>
      <c r="E1937" s="16" t="s">
        <v>12582</v>
      </c>
      <c r="F1937" s="16" t="s">
        <v>12583</v>
      </c>
      <c r="G1937" s="19" t="s">
        <v>41</v>
      </c>
      <c r="H1937" s="18" t="n">
        <v>5</v>
      </c>
      <c r="I1937" s="20" t="n">
        <v>78.72</v>
      </c>
      <c r="J1937" s="20" t="n">
        <v>240.04</v>
      </c>
      <c r="K1937" s="18" t="n">
        <v>17</v>
      </c>
      <c r="L1937" s="18" t="n">
        <v>3</v>
      </c>
      <c r="M1937" s="18" t="n">
        <v>235</v>
      </c>
      <c r="N1937" s="18" t="n">
        <v>78</v>
      </c>
      <c r="O1937" s="14" t="s">
        <v>11926</v>
      </c>
      <c r="P1937" s="14" t="s">
        <v>118</v>
      </c>
      <c r="Q1937" s="15" t="s">
        <v>1089</v>
      </c>
      <c r="R1937" s="16" t="s">
        <v>12584</v>
      </c>
      <c r="S1937" s="15" t="s">
        <v>12585</v>
      </c>
      <c r="T1937" s="15" t="s">
        <v>12585</v>
      </c>
      <c r="U1937" s="21" t="s">
        <v>72</v>
      </c>
    </row>
    <row r="1938" customFormat="false" ht="15" hidden="false" customHeight="false" outlineLevel="0" collapsed="false">
      <c r="A1938" s="15" t="s">
        <v>79</v>
      </c>
      <c r="B1938" s="15" t="s">
        <v>570</v>
      </c>
      <c r="C1938" s="14" t="s">
        <v>12586</v>
      </c>
      <c r="D1938" s="14" t="s">
        <v>12587</v>
      </c>
      <c r="E1938" s="16" t="s">
        <v>12588</v>
      </c>
      <c r="F1938" s="16" t="s">
        <v>12589</v>
      </c>
      <c r="G1938" s="23" t="s">
        <v>43</v>
      </c>
      <c r="H1938" s="18" t="n">
        <v>3</v>
      </c>
      <c r="I1938" s="20" t="n">
        <v>36.79</v>
      </c>
      <c r="J1938" s="20" t="n">
        <v>185.08</v>
      </c>
      <c r="K1938" s="18" t="n">
        <v>5</v>
      </c>
      <c r="L1938" s="18" t="n">
        <v>5</v>
      </c>
      <c r="M1938" s="18" t="n">
        <v>48</v>
      </c>
      <c r="N1938" s="18" t="n">
        <v>30</v>
      </c>
      <c r="O1938" s="14" t="s">
        <v>1088</v>
      </c>
      <c r="P1938" s="14" t="s">
        <v>84</v>
      </c>
      <c r="Q1938" s="15" t="s">
        <v>1089</v>
      </c>
      <c r="R1938" s="16" t="s">
        <v>12590</v>
      </c>
      <c r="S1938" s="15" t="s">
        <v>12591</v>
      </c>
      <c r="T1938" s="15" t="s">
        <v>12591</v>
      </c>
      <c r="U1938" s="21" t="s">
        <v>72</v>
      </c>
    </row>
    <row r="1939" customFormat="false" ht="15" hidden="false" customHeight="false" outlineLevel="0" collapsed="false">
      <c r="A1939" s="15" t="s">
        <v>79</v>
      </c>
      <c r="B1939" s="15" t="s">
        <v>570</v>
      </c>
      <c r="C1939" s="14" t="s">
        <v>12592</v>
      </c>
      <c r="D1939" s="14" t="s">
        <v>12593</v>
      </c>
      <c r="E1939" s="16" t="s">
        <v>12594</v>
      </c>
      <c r="F1939" s="16" t="s">
        <v>12595</v>
      </c>
      <c r="G1939" s="19" t="s">
        <v>41</v>
      </c>
      <c r="H1939" s="18" t="n">
        <v>3</v>
      </c>
      <c r="I1939" s="20" t="n">
        <v>66.31</v>
      </c>
      <c r="J1939" s="20" t="n">
        <v>215.53</v>
      </c>
      <c r="K1939" s="18" t="n">
        <v>5</v>
      </c>
      <c r="L1939" s="18" t="n">
        <v>2</v>
      </c>
      <c r="M1939" s="18" t="n">
        <v>90</v>
      </c>
      <c r="N1939" s="18" t="n">
        <v>54</v>
      </c>
      <c r="O1939" s="14" t="s">
        <v>12596</v>
      </c>
      <c r="P1939" s="14" t="s">
        <v>84</v>
      </c>
      <c r="Q1939" s="15" t="s">
        <v>1089</v>
      </c>
      <c r="R1939" s="16" t="s">
        <v>12597</v>
      </c>
      <c r="S1939" s="15" t="s">
        <v>12598</v>
      </c>
      <c r="T1939" s="15" t="s">
        <v>12599</v>
      </c>
      <c r="U1939" s="21" t="s">
        <v>72</v>
      </c>
    </row>
    <row r="1940" customFormat="false" ht="15" hidden="false" customHeight="false" outlineLevel="0" collapsed="false">
      <c r="A1940" s="15" t="s">
        <v>79</v>
      </c>
      <c r="B1940" s="15" t="s">
        <v>570</v>
      </c>
      <c r="C1940" s="14" t="s">
        <v>12600</v>
      </c>
      <c r="D1940" s="14" t="s">
        <v>12601</v>
      </c>
      <c r="E1940" s="16" t="s">
        <v>12602</v>
      </c>
      <c r="F1940" s="16" t="s">
        <v>12603</v>
      </c>
      <c r="G1940" s="19" t="s">
        <v>41</v>
      </c>
      <c r="H1940" s="18" t="n">
        <v>4</v>
      </c>
      <c r="I1940" s="20" t="n">
        <v>162.6</v>
      </c>
      <c r="J1940" s="20" t="n">
        <v>296.08</v>
      </c>
      <c r="K1940" s="18" t="n">
        <v>7</v>
      </c>
      <c r="L1940" s="18" t="n">
        <v>1</v>
      </c>
      <c r="M1940" s="18" t="n">
        <v>228</v>
      </c>
      <c r="N1940" s="18" t="n">
        <v>73</v>
      </c>
      <c r="O1940" s="14" t="s">
        <v>12604</v>
      </c>
      <c r="P1940" s="14" t="s">
        <v>118</v>
      </c>
      <c r="Q1940" s="15" t="s">
        <v>1089</v>
      </c>
      <c r="R1940" s="16" t="s">
        <v>12605</v>
      </c>
      <c r="S1940" s="15" t="s">
        <v>12606</v>
      </c>
      <c r="T1940" s="15" t="s">
        <v>12606</v>
      </c>
      <c r="U1940" s="21" t="s">
        <v>72</v>
      </c>
    </row>
    <row r="1941" customFormat="false" ht="15" hidden="false" customHeight="false" outlineLevel="0" collapsed="false">
      <c r="A1941" s="15" t="s">
        <v>79</v>
      </c>
      <c r="B1941" s="15" t="s">
        <v>570</v>
      </c>
      <c r="C1941" s="14" t="s">
        <v>12607</v>
      </c>
      <c r="D1941" s="14" t="s">
        <v>12608</v>
      </c>
      <c r="E1941" s="16" t="s">
        <v>12609</v>
      </c>
      <c r="F1941" s="16" t="s">
        <v>12610</v>
      </c>
      <c r="G1941" s="23" t="s">
        <v>43</v>
      </c>
      <c r="H1941" s="18" t="n">
        <v>1</v>
      </c>
      <c r="I1941" s="20" t="n">
        <v>72.65</v>
      </c>
      <c r="J1941" s="20" t="n">
        <v>82.39</v>
      </c>
      <c r="K1941" s="18" t="n">
        <v>3</v>
      </c>
      <c r="L1941" s="18" t="n">
        <v>3</v>
      </c>
      <c r="M1941" s="18" t="n">
        <v>90</v>
      </c>
      <c r="N1941" s="18" t="n">
        <v>90</v>
      </c>
      <c r="O1941" s="14" t="s">
        <v>1126</v>
      </c>
      <c r="P1941" s="14" t="s">
        <v>84</v>
      </c>
      <c r="Q1941" s="15" t="s">
        <v>1089</v>
      </c>
      <c r="R1941" s="16" t="s">
        <v>12611</v>
      </c>
      <c r="S1941" s="15" t="s">
        <v>12612</v>
      </c>
      <c r="T1941" s="15" t="s">
        <v>12612</v>
      </c>
      <c r="U1941" s="21" t="s">
        <v>72</v>
      </c>
    </row>
    <row r="1942" customFormat="false" ht="15" hidden="false" customHeight="false" outlineLevel="0" collapsed="false">
      <c r="A1942" s="15" t="s">
        <v>79</v>
      </c>
      <c r="B1942" s="15" t="s">
        <v>570</v>
      </c>
      <c r="C1942" s="14" t="s">
        <v>8039</v>
      </c>
      <c r="D1942" s="14" t="s">
        <v>12613</v>
      </c>
      <c r="E1942" s="16" t="s">
        <v>12614</v>
      </c>
      <c r="F1942" s="16" t="s">
        <v>12615</v>
      </c>
      <c r="G1942" s="23" t="s">
        <v>43</v>
      </c>
      <c r="H1942" s="18" t="n">
        <v>2</v>
      </c>
      <c r="I1942" s="20" t="n">
        <v>32.24</v>
      </c>
      <c r="J1942" s="20" t="n">
        <v>161.84</v>
      </c>
      <c r="K1942" s="18" t="n">
        <v>4</v>
      </c>
      <c r="L1942" s="18" t="n">
        <v>6</v>
      </c>
      <c r="M1942" s="18" t="n">
        <v>56</v>
      </c>
      <c r="N1942" s="18" t="n">
        <v>56</v>
      </c>
      <c r="O1942" s="14" t="s">
        <v>12616</v>
      </c>
      <c r="P1942" s="14" t="s">
        <v>118</v>
      </c>
      <c r="Q1942" s="15" t="s">
        <v>1089</v>
      </c>
      <c r="R1942" s="16" t="s">
        <v>12617</v>
      </c>
      <c r="S1942" s="15" t="s">
        <v>8045</v>
      </c>
      <c r="T1942" s="15" t="s">
        <v>12618</v>
      </c>
      <c r="U1942" s="21" t="s">
        <v>72</v>
      </c>
    </row>
    <row r="1943" customFormat="false" ht="15" hidden="false" customHeight="false" outlineLevel="0" collapsed="false">
      <c r="A1943" s="15" t="s">
        <v>79</v>
      </c>
      <c r="B1943" s="15" t="s">
        <v>570</v>
      </c>
      <c r="C1943" s="14" t="s">
        <v>12619</v>
      </c>
      <c r="D1943" s="14" t="s">
        <v>12620</v>
      </c>
      <c r="E1943" s="16" t="s">
        <v>12621</v>
      </c>
      <c r="F1943" s="16" t="s">
        <v>12622</v>
      </c>
      <c r="G1943" s="23" t="s">
        <v>43</v>
      </c>
      <c r="H1943" s="18" t="n">
        <v>2</v>
      </c>
      <c r="I1943" s="20" t="n">
        <v>30.58</v>
      </c>
      <c r="J1943" s="20" t="n">
        <v>90.62</v>
      </c>
      <c r="K1943" s="18" t="n">
        <v>4</v>
      </c>
      <c r="L1943" s="18" t="n">
        <v>2</v>
      </c>
      <c r="M1943" s="18" t="n">
        <v>48</v>
      </c>
      <c r="N1943" s="18" t="n">
        <v>24</v>
      </c>
      <c r="O1943" s="14" t="s">
        <v>1126</v>
      </c>
      <c r="P1943" s="14" t="s">
        <v>94</v>
      </c>
      <c r="Q1943" s="15" t="s">
        <v>1089</v>
      </c>
      <c r="R1943" s="16" t="s">
        <v>12623</v>
      </c>
      <c r="S1943" s="15" t="s">
        <v>12624</v>
      </c>
      <c r="T1943" s="15" t="s">
        <v>12625</v>
      </c>
      <c r="U1943" s="21" t="s">
        <v>72</v>
      </c>
    </row>
    <row r="1944" customFormat="false" ht="26.85" hidden="false" customHeight="false" outlineLevel="0" collapsed="false">
      <c r="A1944" s="15" t="s">
        <v>79</v>
      </c>
      <c r="B1944" s="15" t="s">
        <v>570</v>
      </c>
      <c r="C1944" s="14" t="s">
        <v>12626</v>
      </c>
      <c r="D1944" s="14" t="s">
        <v>12627</v>
      </c>
      <c r="E1944" s="16" t="s">
        <v>12628</v>
      </c>
      <c r="F1944" s="16" t="s">
        <v>11925</v>
      </c>
      <c r="G1944" s="23" t="s">
        <v>43</v>
      </c>
      <c r="H1944" s="18" t="n">
        <v>4</v>
      </c>
      <c r="I1944" s="20" t="n">
        <v>96.66</v>
      </c>
      <c r="J1944" s="20" t="n">
        <v>160.18</v>
      </c>
      <c r="K1944" s="18" t="n">
        <v>9</v>
      </c>
      <c r="L1944" s="18" t="n">
        <v>2</v>
      </c>
      <c r="M1944" s="18" t="n">
        <v>175</v>
      </c>
      <c r="N1944" s="18" t="n">
        <v>99</v>
      </c>
      <c r="O1944" s="14" t="s">
        <v>12629</v>
      </c>
      <c r="P1944" s="14" t="s">
        <v>118</v>
      </c>
      <c r="Q1944" s="15" t="s">
        <v>1089</v>
      </c>
      <c r="R1944" s="16" t="s">
        <v>12630</v>
      </c>
      <c r="S1944" s="15" t="s">
        <v>10406</v>
      </c>
      <c r="T1944" s="15" t="s">
        <v>12631</v>
      </c>
      <c r="U1944" s="21" t="s">
        <v>72</v>
      </c>
    </row>
    <row r="1945" customFormat="false" ht="15" hidden="false" customHeight="false" outlineLevel="0" collapsed="false">
      <c r="A1945" s="15" t="s">
        <v>79</v>
      </c>
      <c r="B1945" s="15" t="s">
        <v>570</v>
      </c>
      <c r="C1945" s="14" t="s">
        <v>12632</v>
      </c>
      <c r="D1945" s="14" t="s">
        <v>12633</v>
      </c>
      <c r="E1945" s="16" t="s">
        <v>12634</v>
      </c>
      <c r="F1945" s="16" t="s">
        <v>12635</v>
      </c>
      <c r="G1945" s="23" t="s">
        <v>43</v>
      </c>
      <c r="H1945" s="18" t="n">
        <v>3</v>
      </c>
      <c r="I1945" s="20" t="n">
        <v>49.44</v>
      </c>
      <c r="J1945" s="20" t="n">
        <v>122.22</v>
      </c>
      <c r="K1945" s="18" t="n">
        <v>3</v>
      </c>
      <c r="L1945" s="18" t="n">
        <v>2</v>
      </c>
      <c r="M1945" s="18" t="n">
        <v>39</v>
      </c>
      <c r="N1945" s="18" t="n">
        <v>18</v>
      </c>
      <c r="O1945" s="14" t="s">
        <v>1088</v>
      </c>
      <c r="P1945" s="14" t="s">
        <v>226</v>
      </c>
      <c r="Q1945" s="15" t="s">
        <v>1089</v>
      </c>
      <c r="R1945" s="16" t="s">
        <v>4392</v>
      </c>
      <c r="S1945" s="15" t="s">
        <v>12636</v>
      </c>
      <c r="T1945" s="15" t="s">
        <v>12636</v>
      </c>
      <c r="U1945" s="21" t="s">
        <v>72</v>
      </c>
    </row>
    <row r="1946" customFormat="false" ht="15" hidden="false" customHeight="false" outlineLevel="0" collapsed="false">
      <c r="A1946" s="15" t="s">
        <v>79</v>
      </c>
      <c r="B1946" s="15" t="s">
        <v>570</v>
      </c>
      <c r="C1946" s="14" t="s">
        <v>12637</v>
      </c>
      <c r="D1946" s="14" t="s">
        <v>12638</v>
      </c>
      <c r="E1946" s="16" t="s">
        <v>12255</v>
      </c>
      <c r="F1946" s="16" t="s">
        <v>12256</v>
      </c>
      <c r="G1946" s="23" t="s">
        <v>43</v>
      </c>
      <c r="H1946" s="18" t="n">
        <v>4</v>
      </c>
      <c r="I1946" s="20" t="n">
        <v>66.69</v>
      </c>
      <c r="J1946" s="20" t="n">
        <v>115.54</v>
      </c>
      <c r="K1946" s="18" t="n">
        <v>4</v>
      </c>
      <c r="L1946" s="18" t="n">
        <v>9</v>
      </c>
      <c r="M1946" s="18" t="n">
        <v>40</v>
      </c>
      <c r="N1946" s="18" t="n">
        <v>40</v>
      </c>
      <c r="O1946" s="14" t="s">
        <v>1126</v>
      </c>
      <c r="P1946" s="14" t="s">
        <v>84</v>
      </c>
      <c r="Q1946" s="15" t="s">
        <v>1089</v>
      </c>
      <c r="R1946" s="16" t="s">
        <v>4879</v>
      </c>
      <c r="S1946" s="15" t="s">
        <v>12258</v>
      </c>
      <c r="T1946" s="15" t="s">
        <v>12258</v>
      </c>
      <c r="U1946" s="21" t="s">
        <v>72</v>
      </c>
    </row>
    <row r="1947" customFormat="false" ht="15" hidden="false" customHeight="false" outlineLevel="0" collapsed="false">
      <c r="A1947" s="15" t="s">
        <v>79</v>
      </c>
      <c r="B1947" s="15" t="s">
        <v>570</v>
      </c>
      <c r="C1947" s="14" t="s">
        <v>12639</v>
      </c>
      <c r="D1947" s="14" t="s">
        <v>12640</v>
      </c>
      <c r="E1947" s="16" t="s">
        <v>12641</v>
      </c>
      <c r="F1947" s="16" t="s">
        <v>12642</v>
      </c>
      <c r="G1947" s="19" t="s">
        <v>41</v>
      </c>
      <c r="H1947" s="18" t="n">
        <v>5</v>
      </c>
      <c r="I1947" s="20" t="n">
        <v>83.81</v>
      </c>
      <c r="J1947" s="20" t="n">
        <v>135.89</v>
      </c>
      <c r="K1947" s="18" t="n">
        <v>5</v>
      </c>
      <c r="L1947" s="18" t="n">
        <v>3</v>
      </c>
      <c r="M1947" s="18" t="n">
        <v>70</v>
      </c>
      <c r="N1947" s="18" t="n">
        <v>46</v>
      </c>
      <c r="O1947" s="14" t="s">
        <v>12643</v>
      </c>
      <c r="P1947" s="14" t="s">
        <v>334</v>
      </c>
      <c r="Q1947" s="15" t="s">
        <v>1089</v>
      </c>
      <c r="R1947" s="16" t="s">
        <v>12644</v>
      </c>
      <c r="S1947" s="15" t="s">
        <v>12645</v>
      </c>
      <c r="T1947" s="15" t="s">
        <v>12646</v>
      </c>
      <c r="U1947" s="21" t="s">
        <v>72</v>
      </c>
    </row>
    <row r="1948" customFormat="false" ht="15" hidden="false" customHeight="false" outlineLevel="0" collapsed="false">
      <c r="A1948" s="15" t="s">
        <v>79</v>
      </c>
      <c r="B1948" s="15" t="s">
        <v>570</v>
      </c>
      <c r="C1948" s="14" t="s">
        <v>12647</v>
      </c>
      <c r="D1948" s="14" t="s">
        <v>12648</v>
      </c>
      <c r="E1948" s="16" t="s">
        <v>12649</v>
      </c>
      <c r="F1948" s="16" t="s">
        <v>12650</v>
      </c>
      <c r="G1948" s="23" t="s">
        <v>43</v>
      </c>
      <c r="H1948" s="18" t="n">
        <v>2</v>
      </c>
      <c r="I1948" s="20" t="n">
        <v>43.86</v>
      </c>
      <c r="J1948" s="20" t="n">
        <v>79.54</v>
      </c>
      <c r="K1948" s="18" t="n">
        <v>2</v>
      </c>
      <c r="L1948" s="18" t="n">
        <v>1</v>
      </c>
      <c r="M1948" s="18" t="n">
        <v>35</v>
      </c>
      <c r="N1948" s="18" t="n">
        <v>35</v>
      </c>
      <c r="O1948" s="14" t="s">
        <v>12651</v>
      </c>
      <c r="P1948" s="14" t="s">
        <v>84</v>
      </c>
      <c r="Q1948" s="15" t="s">
        <v>1089</v>
      </c>
      <c r="R1948" s="16" t="s">
        <v>3634</v>
      </c>
      <c r="S1948" s="15" t="s">
        <v>12652</v>
      </c>
      <c r="T1948" s="15" t="s">
        <v>12653</v>
      </c>
      <c r="U1948" s="21" t="s">
        <v>72</v>
      </c>
    </row>
    <row r="1949" customFormat="false" ht="15" hidden="false" customHeight="false" outlineLevel="0" collapsed="false">
      <c r="A1949" s="15" t="s">
        <v>79</v>
      </c>
      <c r="B1949" s="15" t="s">
        <v>570</v>
      </c>
      <c r="C1949" s="14" t="s">
        <v>12654</v>
      </c>
      <c r="D1949" s="14" t="s">
        <v>12655</v>
      </c>
      <c r="E1949" s="16" t="s">
        <v>12656</v>
      </c>
      <c r="F1949" s="16" t="s">
        <v>12657</v>
      </c>
      <c r="G1949" s="19" t="s">
        <v>41</v>
      </c>
      <c r="H1949" s="18" t="n">
        <v>4</v>
      </c>
      <c r="I1949" s="20" t="n">
        <v>77.24</v>
      </c>
      <c r="J1949" s="20" t="n">
        <v>252.92</v>
      </c>
      <c r="K1949" s="18" t="n">
        <v>13</v>
      </c>
      <c r="L1949" s="18" t="n">
        <v>8</v>
      </c>
      <c r="M1949" s="18" t="n">
        <v>226</v>
      </c>
      <c r="N1949" s="18" t="n">
        <v>38</v>
      </c>
      <c r="O1949" s="14" t="s">
        <v>1126</v>
      </c>
      <c r="P1949" s="14" t="s">
        <v>118</v>
      </c>
      <c r="Q1949" s="15" t="s">
        <v>1089</v>
      </c>
      <c r="R1949" s="16" t="s">
        <v>12658</v>
      </c>
      <c r="S1949" s="15" t="s">
        <v>12659</v>
      </c>
      <c r="T1949" s="15" t="s">
        <v>12659</v>
      </c>
      <c r="U1949" s="21" t="s">
        <v>72</v>
      </c>
    </row>
    <row r="1950" customFormat="false" ht="26.85" hidden="false" customHeight="false" outlineLevel="0" collapsed="false">
      <c r="A1950" s="15" t="s">
        <v>79</v>
      </c>
      <c r="B1950" s="15" t="s">
        <v>570</v>
      </c>
      <c r="C1950" s="14" t="s">
        <v>12660</v>
      </c>
      <c r="D1950" s="14" t="s">
        <v>12661</v>
      </c>
      <c r="E1950" s="16" t="s">
        <v>12662</v>
      </c>
      <c r="F1950" s="16" t="s">
        <v>12663</v>
      </c>
      <c r="G1950" s="25" t="s">
        <v>39</v>
      </c>
      <c r="H1950" s="18" t="n">
        <v>2</v>
      </c>
      <c r="I1950" s="20" t="n">
        <v>315.66</v>
      </c>
      <c r="J1950" s="20" t="n">
        <v>765.03</v>
      </c>
      <c r="K1950" s="18" t="n">
        <v>3</v>
      </c>
      <c r="L1950" s="18" t="n">
        <v>15</v>
      </c>
      <c r="M1950" s="18" t="n">
        <v>264</v>
      </c>
      <c r="N1950" s="18" t="n">
        <v>264</v>
      </c>
      <c r="O1950" s="14" t="s">
        <v>12664</v>
      </c>
      <c r="P1950" s="14" t="s">
        <v>118</v>
      </c>
      <c r="Q1950" s="15" t="s">
        <v>1089</v>
      </c>
      <c r="R1950" s="16" t="s">
        <v>8670</v>
      </c>
      <c r="S1950" s="15" t="s">
        <v>12665</v>
      </c>
      <c r="T1950" s="15" t="s">
        <v>12666</v>
      </c>
      <c r="U1950" s="21" t="s">
        <v>72</v>
      </c>
    </row>
    <row r="1951" customFormat="false" ht="39.55" hidden="false" customHeight="false" outlineLevel="0" collapsed="false">
      <c r="A1951" s="15" t="s">
        <v>79</v>
      </c>
      <c r="B1951" s="15" t="s">
        <v>570</v>
      </c>
      <c r="C1951" s="14" t="s">
        <v>12667</v>
      </c>
      <c r="D1951" s="14" t="s">
        <v>12668</v>
      </c>
      <c r="E1951" s="16" t="s">
        <v>12669</v>
      </c>
      <c r="F1951" s="16" t="s">
        <v>12663</v>
      </c>
      <c r="G1951" s="19" t="s">
        <v>41</v>
      </c>
      <c r="H1951" s="18" t="n">
        <v>3</v>
      </c>
      <c r="I1951" s="20" t="n">
        <v>184.58</v>
      </c>
      <c r="J1951" s="20" t="n">
        <v>285.52</v>
      </c>
      <c r="K1951" s="18" t="n">
        <v>4</v>
      </c>
      <c r="L1951" s="18" t="n">
        <v>13</v>
      </c>
      <c r="M1951" s="18" t="n">
        <v>197</v>
      </c>
      <c r="N1951" s="18" t="n">
        <v>197</v>
      </c>
      <c r="O1951" s="14" t="s">
        <v>12670</v>
      </c>
      <c r="P1951" s="14" t="s">
        <v>118</v>
      </c>
      <c r="Q1951" s="15" t="s">
        <v>1089</v>
      </c>
      <c r="R1951" s="16" t="s">
        <v>12671</v>
      </c>
      <c r="S1951" s="15" t="s">
        <v>12672</v>
      </c>
      <c r="T1951" s="15" t="s">
        <v>12672</v>
      </c>
      <c r="U1951" s="21" t="s">
        <v>72</v>
      </c>
    </row>
    <row r="1952" customFormat="false" ht="26.85" hidden="false" customHeight="false" outlineLevel="0" collapsed="false">
      <c r="A1952" s="15" t="s">
        <v>79</v>
      </c>
      <c r="B1952" s="15" t="s">
        <v>570</v>
      </c>
      <c r="C1952" s="14" t="s">
        <v>12673</v>
      </c>
      <c r="D1952" s="14" t="s">
        <v>12674</v>
      </c>
      <c r="E1952" s="16" t="s">
        <v>12662</v>
      </c>
      <c r="F1952" s="16" t="s">
        <v>12663</v>
      </c>
      <c r="G1952" s="25" t="s">
        <v>39</v>
      </c>
      <c r="H1952" s="18" t="n">
        <v>5</v>
      </c>
      <c r="I1952" s="20" t="n">
        <v>867.37</v>
      </c>
      <c r="J1952" s="20" t="n">
        <v>2102.99</v>
      </c>
      <c r="K1952" s="18" t="n">
        <v>6</v>
      </c>
      <c r="L1952" s="18" t="n">
        <v>14</v>
      </c>
      <c r="M1952" s="18" t="n">
        <v>360</v>
      </c>
      <c r="N1952" s="18" t="n">
        <v>360</v>
      </c>
      <c r="O1952" s="14" t="s">
        <v>12675</v>
      </c>
      <c r="P1952" s="14" t="s">
        <v>118</v>
      </c>
      <c r="Q1952" s="15" t="s">
        <v>1089</v>
      </c>
      <c r="R1952" s="16" t="s">
        <v>12676</v>
      </c>
      <c r="S1952" s="15" t="s">
        <v>12677</v>
      </c>
      <c r="T1952" s="15" t="s">
        <v>12677</v>
      </c>
      <c r="U1952" s="21" t="s">
        <v>72</v>
      </c>
    </row>
    <row r="1953" customFormat="false" ht="26.85" hidden="false" customHeight="false" outlineLevel="0" collapsed="false">
      <c r="A1953" s="15" t="s">
        <v>79</v>
      </c>
      <c r="B1953" s="15" t="s">
        <v>570</v>
      </c>
      <c r="C1953" s="14" t="s">
        <v>12678</v>
      </c>
      <c r="D1953" s="14" t="s">
        <v>12679</v>
      </c>
      <c r="E1953" s="16" t="s">
        <v>12680</v>
      </c>
      <c r="F1953" s="16" t="s">
        <v>12663</v>
      </c>
      <c r="G1953" s="25" t="s">
        <v>39</v>
      </c>
      <c r="H1953" s="18" t="n">
        <v>3</v>
      </c>
      <c r="I1953" s="20" t="n">
        <v>229.63</v>
      </c>
      <c r="J1953" s="20" t="n">
        <v>594.8</v>
      </c>
      <c r="K1953" s="18" t="n">
        <v>11</v>
      </c>
      <c r="L1953" s="18" t="n">
        <v>8</v>
      </c>
      <c r="M1953" s="18" t="n">
        <v>660</v>
      </c>
      <c r="N1953" s="18" t="n">
        <v>300</v>
      </c>
      <c r="O1953" s="14" t="s">
        <v>12032</v>
      </c>
      <c r="P1953" s="14" t="s">
        <v>118</v>
      </c>
      <c r="Q1953" s="15" t="s">
        <v>1089</v>
      </c>
      <c r="R1953" s="16" t="s">
        <v>12681</v>
      </c>
      <c r="S1953" s="15" t="s">
        <v>12665</v>
      </c>
      <c r="T1953" s="15" t="s">
        <v>12665</v>
      </c>
      <c r="U1953" s="21" t="s">
        <v>72</v>
      </c>
    </row>
    <row r="1954" customFormat="false" ht="15" hidden="false" customHeight="false" outlineLevel="0" collapsed="false">
      <c r="A1954" s="15" t="s">
        <v>79</v>
      </c>
      <c r="B1954" s="15" t="s">
        <v>570</v>
      </c>
      <c r="C1954" s="14" t="s">
        <v>12682</v>
      </c>
      <c r="D1954" s="14" t="s">
        <v>12683</v>
      </c>
      <c r="E1954" s="16" t="s">
        <v>12684</v>
      </c>
      <c r="F1954" s="16" t="s">
        <v>12685</v>
      </c>
      <c r="G1954" s="23" t="s">
        <v>43</v>
      </c>
      <c r="H1954" s="18" t="n">
        <v>2</v>
      </c>
      <c r="I1954" s="20" t="n">
        <v>45.72</v>
      </c>
      <c r="J1954" s="20" t="n">
        <v>134.95</v>
      </c>
      <c r="K1954" s="18" t="n">
        <v>4</v>
      </c>
      <c r="L1954" s="18"/>
      <c r="M1954" s="18" t="n">
        <v>76</v>
      </c>
      <c r="N1954" s="18" t="n">
        <v>38</v>
      </c>
      <c r="O1954" s="14" t="s">
        <v>1126</v>
      </c>
      <c r="P1954" s="14" t="s">
        <v>118</v>
      </c>
      <c r="Q1954" s="15" t="s">
        <v>1089</v>
      </c>
      <c r="R1954" s="16" t="s">
        <v>12686</v>
      </c>
      <c r="S1954" s="15" t="s">
        <v>12687</v>
      </c>
      <c r="T1954" s="15" t="s">
        <v>12688</v>
      </c>
      <c r="U1954" s="21" t="s">
        <v>72</v>
      </c>
    </row>
    <row r="1955" customFormat="false" ht="26.85" hidden="false" customHeight="false" outlineLevel="0" collapsed="false">
      <c r="A1955" s="15" t="s">
        <v>79</v>
      </c>
      <c r="B1955" s="15" t="s">
        <v>570</v>
      </c>
      <c r="C1955" s="14" t="s">
        <v>12689</v>
      </c>
      <c r="D1955" s="14" t="s">
        <v>12690</v>
      </c>
      <c r="E1955" s="16" t="s">
        <v>12691</v>
      </c>
      <c r="F1955" s="16" t="s">
        <v>12692</v>
      </c>
      <c r="G1955" s="23" t="s">
        <v>43</v>
      </c>
      <c r="H1955" s="18" t="n">
        <v>2</v>
      </c>
      <c r="I1955" s="20" t="n">
        <v>30.43</v>
      </c>
      <c r="J1955" s="20" t="n">
        <v>83.82</v>
      </c>
      <c r="K1955" s="18" t="n">
        <v>47</v>
      </c>
      <c r="L1955" s="18" t="n">
        <v>2</v>
      </c>
      <c r="M1955" s="18" t="n">
        <v>1034</v>
      </c>
      <c r="N1955" s="18" t="n">
        <v>330</v>
      </c>
      <c r="O1955" s="14" t="s">
        <v>12693</v>
      </c>
      <c r="P1955" s="14" t="s">
        <v>118</v>
      </c>
      <c r="Q1955" s="15" t="s">
        <v>1089</v>
      </c>
      <c r="R1955" s="16" t="s">
        <v>12694</v>
      </c>
      <c r="S1955" s="15" t="s">
        <v>12695</v>
      </c>
      <c r="T1955" s="15" t="s">
        <v>12695</v>
      </c>
      <c r="U1955" s="21" t="s">
        <v>72</v>
      </c>
    </row>
    <row r="1956" customFormat="false" ht="15" hidden="false" customHeight="false" outlineLevel="0" collapsed="false">
      <c r="A1956" s="15" t="s">
        <v>79</v>
      </c>
      <c r="B1956" s="15" t="s">
        <v>570</v>
      </c>
      <c r="C1956" s="14" t="s">
        <v>12696</v>
      </c>
      <c r="D1956" s="14" t="s">
        <v>12697</v>
      </c>
      <c r="E1956" s="16" t="s">
        <v>12698</v>
      </c>
      <c r="F1956" s="16" t="s">
        <v>12699</v>
      </c>
      <c r="G1956" s="19" t="s">
        <v>41</v>
      </c>
      <c r="H1956" s="18" t="n">
        <v>5</v>
      </c>
      <c r="I1956" s="20" t="n">
        <v>101.97</v>
      </c>
      <c r="J1956" s="20" t="n">
        <v>231.21</v>
      </c>
      <c r="K1956" s="18" t="n">
        <v>13</v>
      </c>
      <c r="L1956" s="18" t="n">
        <v>6</v>
      </c>
      <c r="M1956" s="18" t="n">
        <v>181</v>
      </c>
      <c r="N1956" s="18" t="n">
        <v>130</v>
      </c>
      <c r="O1956" s="14" t="s">
        <v>1126</v>
      </c>
      <c r="P1956" s="14" t="s">
        <v>226</v>
      </c>
      <c r="Q1956" s="15" t="s">
        <v>1089</v>
      </c>
      <c r="R1956" s="16" t="s">
        <v>12700</v>
      </c>
      <c r="S1956" s="15" t="s">
        <v>12701</v>
      </c>
      <c r="T1956" s="15" t="s">
        <v>12701</v>
      </c>
      <c r="U1956" s="21" t="s">
        <v>72</v>
      </c>
    </row>
    <row r="1957" customFormat="false" ht="15" hidden="false" customHeight="false" outlineLevel="0" collapsed="false">
      <c r="A1957" s="15" t="s">
        <v>79</v>
      </c>
      <c r="B1957" s="15" t="s">
        <v>570</v>
      </c>
      <c r="C1957" s="14" t="s">
        <v>12702</v>
      </c>
      <c r="D1957" s="14" t="s">
        <v>12703</v>
      </c>
      <c r="E1957" s="16" t="s">
        <v>12704</v>
      </c>
      <c r="F1957" s="16" t="s">
        <v>10887</v>
      </c>
      <c r="G1957" s="23" t="s">
        <v>43</v>
      </c>
      <c r="H1957" s="18" t="n">
        <v>4</v>
      </c>
      <c r="I1957" s="20" t="n">
        <v>56.85</v>
      </c>
      <c r="J1957" s="20" t="n">
        <v>164.9</v>
      </c>
      <c r="K1957" s="18" t="n">
        <v>13</v>
      </c>
      <c r="L1957" s="18" t="n">
        <v>2</v>
      </c>
      <c r="M1957" s="18" t="n">
        <v>150</v>
      </c>
      <c r="N1957" s="18" t="n">
        <v>15</v>
      </c>
      <c r="O1957" s="14" t="s">
        <v>1126</v>
      </c>
      <c r="P1957" s="14" t="s">
        <v>118</v>
      </c>
      <c r="Q1957" s="15" t="s">
        <v>1089</v>
      </c>
      <c r="R1957" s="16" t="s">
        <v>12705</v>
      </c>
      <c r="S1957" s="15" t="s">
        <v>10890</v>
      </c>
      <c r="T1957" s="15" t="s">
        <v>12706</v>
      </c>
      <c r="U1957" s="21" t="s">
        <v>72</v>
      </c>
    </row>
    <row r="1958" customFormat="false" ht="26.85" hidden="false" customHeight="false" outlineLevel="0" collapsed="false">
      <c r="A1958" s="15" t="s">
        <v>79</v>
      </c>
      <c r="B1958" s="15" t="s">
        <v>570</v>
      </c>
      <c r="C1958" s="14" t="s">
        <v>894</v>
      </c>
      <c r="D1958" s="14" t="s">
        <v>12707</v>
      </c>
      <c r="E1958" s="16" t="s">
        <v>12708</v>
      </c>
      <c r="F1958" s="16" t="s">
        <v>897</v>
      </c>
      <c r="G1958" s="19" t="s">
        <v>41</v>
      </c>
      <c r="H1958" s="18" t="n">
        <v>5</v>
      </c>
      <c r="I1958" s="20" t="n">
        <v>109.78</v>
      </c>
      <c r="J1958" s="20" t="n">
        <v>194.56</v>
      </c>
      <c r="K1958" s="18" t="n">
        <v>10</v>
      </c>
      <c r="L1958" s="18" t="n">
        <v>2</v>
      </c>
      <c r="M1958" s="18" t="n">
        <v>215</v>
      </c>
      <c r="N1958" s="18" t="n">
        <v>168</v>
      </c>
      <c r="O1958" s="14" t="s">
        <v>12141</v>
      </c>
      <c r="P1958" s="14" t="s">
        <v>118</v>
      </c>
      <c r="Q1958" s="15" t="s">
        <v>1089</v>
      </c>
      <c r="R1958" s="16" t="s">
        <v>898</v>
      </c>
      <c r="S1958" s="15" t="s">
        <v>899</v>
      </c>
      <c r="T1958" s="15" t="s">
        <v>900</v>
      </c>
      <c r="U1958" s="21" t="s">
        <v>72</v>
      </c>
    </row>
    <row r="1959" customFormat="false" ht="26.85" hidden="false" customHeight="false" outlineLevel="0" collapsed="false">
      <c r="A1959" s="15" t="s">
        <v>79</v>
      </c>
      <c r="B1959" s="15" t="s">
        <v>570</v>
      </c>
      <c r="C1959" s="14" t="s">
        <v>12709</v>
      </c>
      <c r="D1959" s="14" t="s">
        <v>12710</v>
      </c>
      <c r="E1959" s="16" t="s">
        <v>12711</v>
      </c>
      <c r="F1959" s="16" t="s">
        <v>12712</v>
      </c>
      <c r="G1959" s="19" t="s">
        <v>41</v>
      </c>
      <c r="H1959" s="18" t="n">
        <v>4</v>
      </c>
      <c r="I1959" s="20" t="n">
        <v>117.89</v>
      </c>
      <c r="J1959" s="20" t="n">
        <v>221.95</v>
      </c>
      <c r="K1959" s="18" t="n">
        <v>4</v>
      </c>
      <c r="L1959" s="18" t="n">
        <v>1</v>
      </c>
      <c r="M1959" s="18" t="n">
        <v>72</v>
      </c>
      <c r="N1959" s="18" t="n">
        <v>25</v>
      </c>
      <c r="O1959" s="14" t="s">
        <v>1126</v>
      </c>
      <c r="P1959" s="14" t="s">
        <v>1185</v>
      </c>
      <c r="Q1959" s="15" t="s">
        <v>1089</v>
      </c>
      <c r="R1959" s="16" t="s">
        <v>12480</v>
      </c>
      <c r="S1959" s="15" t="s">
        <v>12713</v>
      </c>
      <c r="T1959" s="15" t="s">
        <v>12713</v>
      </c>
      <c r="U1959" s="21" t="s">
        <v>72</v>
      </c>
    </row>
    <row r="1960" customFormat="false" ht="15" hidden="false" customHeight="false" outlineLevel="0" collapsed="false">
      <c r="A1960" s="15" t="s">
        <v>79</v>
      </c>
      <c r="B1960" s="15" t="s">
        <v>570</v>
      </c>
      <c r="C1960" s="14" t="s">
        <v>12714</v>
      </c>
      <c r="D1960" s="14" t="s">
        <v>12715</v>
      </c>
      <c r="E1960" s="16" t="s">
        <v>12716</v>
      </c>
      <c r="F1960" s="16" t="s">
        <v>12717</v>
      </c>
      <c r="G1960" s="19" t="s">
        <v>41</v>
      </c>
      <c r="H1960" s="18" t="n">
        <v>5</v>
      </c>
      <c r="I1960" s="20" t="n">
        <v>170.297</v>
      </c>
      <c r="J1960" s="20" t="n">
        <v>336.82</v>
      </c>
      <c r="K1960" s="18" t="n">
        <v>5</v>
      </c>
      <c r="L1960" s="18" t="n">
        <v>5</v>
      </c>
      <c r="M1960" s="18" t="n">
        <v>97</v>
      </c>
      <c r="N1960" s="18" t="n">
        <v>84</v>
      </c>
      <c r="O1960" s="14" t="s">
        <v>12718</v>
      </c>
      <c r="P1960" s="14" t="s">
        <v>118</v>
      </c>
      <c r="Q1960" s="15" t="s">
        <v>1089</v>
      </c>
      <c r="R1960" s="16" t="s">
        <v>12719</v>
      </c>
      <c r="S1960" s="15" t="s">
        <v>12226</v>
      </c>
      <c r="T1960" s="15" t="s">
        <v>12720</v>
      </c>
      <c r="U1960" s="21" t="s">
        <v>72</v>
      </c>
    </row>
    <row r="1961" customFormat="false" ht="26.85" hidden="false" customHeight="false" outlineLevel="0" collapsed="false">
      <c r="A1961" s="15" t="s">
        <v>79</v>
      </c>
      <c r="B1961" s="15" t="s">
        <v>570</v>
      </c>
      <c r="C1961" s="14" t="s">
        <v>12721</v>
      </c>
      <c r="D1961" s="14" t="s">
        <v>12722</v>
      </c>
      <c r="E1961" s="16" t="s">
        <v>12723</v>
      </c>
      <c r="F1961" s="16" t="s">
        <v>12724</v>
      </c>
      <c r="G1961" s="25" t="s">
        <v>39</v>
      </c>
      <c r="H1961" s="18" t="n">
        <v>6</v>
      </c>
      <c r="I1961" s="20" t="n">
        <v>361.33</v>
      </c>
      <c r="J1961" s="20" t="n">
        <v>494.15</v>
      </c>
      <c r="K1961" s="18" t="n">
        <v>26</v>
      </c>
      <c r="L1961" s="18" t="n">
        <v>16</v>
      </c>
      <c r="M1961" s="18" t="n">
        <v>1149</v>
      </c>
      <c r="N1961" s="18" t="n">
        <v>522</v>
      </c>
      <c r="O1961" s="14" t="s">
        <v>12270</v>
      </c>
      <c r="P1961" s="14" t="s">
        <v>118</v>
      </c>
      <c r="Q1961" s="15" t="s">
        <v>1089</v>
      </c>
      <c r="R1961" s="16" t="s">
        <v>4698</v>
      </c>
      <c r="S1961" s="15" t="s">
        <v>12725</v>
      </c>
      <c r="T1961" s="15" t="s">
        <v>12726</v>
      </c>
      <c r="U1961" s="21" t="s">
        <v>72</v>
      </c>
    </row>
    <row r="1962" customFormat="false" ht="26.85" hidden="false" customHeight="false" outlineLevel="0" collapsed="false">
      <c r="A1962" s="15" t="s">
        <v>79</v>
      </c>
      <c r="B1962" s="15" t="s">
        <v>570</v>
      </c>
      <c r="C1962" s="14" t="s">
        <v>12727</v>
      </c>
      <c r="D1962" s="14" t="s">
        <v>12728</v>
      </c>
      <c r="E1962" s="16" t="s">
        <v>12729</v>
      </c>
      <c r="F1962" s="16" t="s">
        <v>12724</v>
      </c>
      <c r="G1962" s="25" t="s">
        <v>39</v>
      </c>
      <c r="H1962" s="18" t="n">
        <v>8</v>
      </c>
      <c r="I1962" s="20" t="n">
        <v>229.34</v>
      </c>
      <c r="J1962" s="20" t="n">
        <v>474.68</v>
      </c>
      <c r="K1962" s="18" t="n">
        <v>28</v>
      </c>
      <c r="L1962" s="18" t="n">
        <v>17</v>
      </c>
      <c r="M1962" s="18" t="n">
        <v>599</v>
      </c>
      <c r="N1962" s="18" t="n">
        <v>184</v>
      </c>
      <c r="O1962" s="14" t="s">
        <v>12730</v>
      </c>
      <c r="P1962" s="14" t="s">
        <v>118</v>
      </c>
      <c r="Q1962" s="15" t="s">
        <v>1089</v>
      </c>
      <c r="R1962" s="16" t="s">
        <v>12407</v>
      </c>
      <c r="S1962" s="15" t="s">
        <v>12725</v>
      </c>
      <c r="T1962" s="15" t="s">
        <v>12731</v>
      </c>
      <c r="U1962" s="21" t="s">
        <v>72</v>
      </c>
    </row>
    <row r="1963" customFormat="false" ht="52.2" hidden="false" customHeight="false" outlineLevel="0" collapsed="false">
      <c r="A1963" s="15" t="s">
        <v>79</v>
      </c>
      <c r="B1963" s="15" t="s">
        <v>570</v>
      </c>
      <c r="C1963" s="14" t="s">
        <v>12732</v>
      </c>
      <c r="D1963" s="14" t="s">
        <v>12733</v>
      </c>
      <c r="E1963" s="16" t="s">
        <v>12734</v>
      </c>
      <c r="F1963" s="16" t="s">
        <v>12724</v>
      </c>
      <c r="G1963" s="25" t="s">
        <v>39</v>
      </c>
      <c r="H1963" s="18" t="n">
        <v>3</v>
      </c>
      <c r="I1963" s="20" t="n">
        <v>349.18</v>
      </c>
      <c r="J1963" s="20" t="n">
        <v>894.49</v>
      </c>
      <c r="K1963" s="18" t="n">
        <v>9</v>
      </c>
      <c r="L1963" s="18" t="n">
        <v>11</v>
      </c>
      <c r="M1963" s="18" t="n">
        <v>540</v>
      </c>
      <c r="N1963" s="18" t="n">
        <v>420</v>
      </c>
      <c r="O1963" s="14" t="s">
        <v>12735</v>
      </c>
      <c r="P1963" s="14" t="s">
        <v>118</v>
      </c>
      <c r="Q1963" s="15" t="s">
        <v>1089</v>
      </c>
      <c r="R1963" s="16" t="s">
        <v>12736</v>
      </c>
      <c r="S1963" s="15" t="s">
        <v>12725</v>
      </c>
      <c r="T1963" s="15" t="s">
        <v>12737</v>
      </c>
      <c r="U1963" s="21" t="s">
        <v>72</v>
      </c>
    </row>
    <row r="1964" customFormat="false" ht="15" hidden="false" customHeight="false" outlineLevel="0" collapsed="false">
      <c r="A1964" s="15" t="s">
        <v>79</v>
      </c>
      <c r="B1964" s="15" t="s">
        <v>570</v>
      </c>
      <c r="C1964" s="14" t="s">
        <v>12738</v>
      </c>
      <c r="D1964" s="14" t="s">
        <v>12739</v>
      </c>
      <c r="E1964" s="16" t="s">
        <v>12740</v>
      </c>
      <c r="F1964" s="16" t="s">
        <v>12724</v>
      </c>
      <c r="G1964" s="19" t="s">
        <v>41</v>
      </c>
      <c r="H1964" s="18" t="n">
        <v>4</v>
      </c>
      <c r="I1964" s="20" t="n">
        <v>139.95</v>
      </c>
      <c r="J1964" s="20" t="n">
        <v>256.57</v>
      </c>
      <c r="K1964" s="18" t="n">
        <v>5</v>
      </c>
      <c r="L1964" s="18" t="n">
        <v>6</v>
      </c>
      <c r="M1964" s="18" t="n">
        <v>130</v>
      </c>
      <c r="N1964" s="18" t="n">
        <v>100</v>
      </c>
      <c r="O1964" s="14" t="s">
        <v>12741</v>
      </c>
      <c r="P1964" s="14" t="s">
        <v>118</v>
      </c>
      <c r="Q1964" s="15" t="s">
        <v>1089</v>
      </c>
      <c r="R1964" s="16" t="s">
        <v>7387</v>
      </c>
      <c r="S1964" s="15" t="s">
        <v>12725</v>
      </c>
      <c r="T1964" s="15" t="s">
        <v>12742</v>
      </c>
      <c r="U1964" s="21" t="s">
        <v>72</v>
      </c>
    </row>
    <row r="1965" customFormat="false" ht="26.85" hidden="false" customHeight="false" outlineLevel="0" collapsed="false">
      <c r="A1965" s="15" t="s">
        <v>79</v>
      </c>
      <c r="B1965" s="15" t="s">
        <v>570</v>
      </c>
      <c r="C1965" s="14" t="s">
        <v>12743</v>
      </c>
      <c r="D1965" s="14" t="s">
        <v>12744</v>
      </c>
      <c r="E1965" s="16" t="s">
        <v>12723</v>
      </c>
      <c r="F1965" s="16" t="s">
        <v>12724</v>
      </c>
      <c r="G1965" s="19" t="s">
        <v>41</v>
      </c>
      <c r="H1965" s="18" t="n">
        <v>3</v>
      </c>
      <c r="I1965" s="20" t="n">
        <v>105.95</v>
      </c>
      <c r="J1965" s="20" t="n">
        <v>208.16</v>
      </c>
      <c r="K1965" s="18" t="n">
        <v>10</v>
      </c>
      <c r="L1965" s="18" t="n">
        <v>7</v>
      </c>
      <c r="M1965" s="18" t="n">
        <v>333</v>
      </c>
      <c r="N1965" s="18" t="n">
        <v>174</v>
      </c>
      <c r="O1965" s="14" t="s">
        <v>12032</v>
      </c>
      <c r="P1965" s="14" t="s">
        <v>334</v>
      </c>
      <c r="Q1965" s="15" t="s">
        <v>1089</v>
      </c>
      <c r="R1965" s="16" t="s">
        <v>12745</v>
      </c>
      <c r="S1965" s="15" t="s">
        <v>12725</v>
      </c>
      <c r="T1965" s="15" t="s">
        <v>12746</v>
      </c>
      <c r="U1965" s="21" t="s">
        <v>72</v>
      </c>
    </row>
    <row r="1966" customFormat="false" ht="15" hidden="false" customHeight="false" outlineLevel="0" collapsed="false">
      <c r="A1966" s="15" t="s">
        <v>79</v>
      </c>
      <c r="B1966" s="15" t="s">
        <v>570</v>
      </c>
      <c r="C1966" s="14" t="s">
        <v>12747</v>
      </c>
      <c r="D1966" s="14" t="s">
        <v>12748</v>
      </c>
      <c r="E1966" s="16" t="s">
        <v>12749</v>
      </c>
      <c r="F1966" s="16" t="s">
        <v>12750</v>
      </c>
      <c r="G1966" s="23" t="s">
        <v>43</v>
      </c>
      <c r="H1966" s="18" t="n">
        <v>4</v>
      </c>
      <c r="I1966" s="20" t="n">
        <v>71.96</v>
      </c>
      <c r="J1966" s="20" t="n">
        <v>136.19</v>
      </c>
      <c r="K1966" s="18" t="n">
        <v>4</v>
      </c>
      <c r="L1966" s="18" t="n">
        <v>3</v>
      </c>
      <c r="M1966" s="18" t="n">
        <v>56</v>
      </c>
      <c r="N1966" s="18"/>
      <c r="O1966" s="13"/>
      <c r="P1966" s="14" t="s">
        <v>94</v>
      </c>
      <c r="Q1966" s="15" t="s">
        <v>1089</v>
      </c>
      <c r="R1966" s="16" t="s">
        <v>12751</v>
      </c>
      <c r="S1966" s="15" t="s">
        <v>12752</v>
      </c>
      <c r="T1966" s="15" t="s">
        <v>12752</v>
      </c>
      <c r="U1966" s="21" t="s">
        <v>72</v>
      </c>
    </row>
    <row r="1967" customFormat="false" ht="15" hidden="false" customHeight="false" outlineLevel="0" collapsed="false">
      <c r="A1967" s="15" t="s">
        <v>79</v>
      </c>
      <c r="B1967" s="15" t="s">
        <v>570</v>
      </c>
      <c r="C1967" s="14" t="s">
        <v>12753</v>
      </c>
      <c r="D1967" s="14" t="s">
        <v>12754</v>
      </c>
      <c r="E1967" s="16" t="s">
        <v>12755</v>
      </c>
      <c r="F1967" s="16"/>
      <c r="G1967" s="23" t="s">
        <v>43</v>
      </c>
      <c r="H1967" s="18" t="n">
        <v>2</v>
      </c>
      <c r="I1967" s="20" t="n">
        <v>32.5</v>
      </c>
      <c r="J1967" s="20" t="n">
        <v>84.9</v>
      </c>
      <c r="K1967" s="18" t="n">
        <v>2</v>
      </c>
      <c r="L1967" s="18" t="n">
        <v>2</v>
      </c>
      <c r="M1967" s="18" t="n">
        <v>26</v>
      </c>
      <c r="N1967" s="18" t="n">
        <v>26</v>
      </c>
      <c r="O1967" s="14" t="s">
        <v>1126</v>
      </c>
      <c r="P1967" s="14" t="s">
        <v>84</v>
      </c>
      <c r="Q1967" s="15" t="s">
        <v>1089</v>
      </c>
      <c r="R1967" s="16" t="s">
        <v>12756</v>
      </c>
      <c r="S1967" s="15" t="s">
        <v>12757</v>
      </c>
      <c r="T1967" s="15" t="s">
        <v>12758</v>
      </c>
      <c r="U1967" s="21" t="s">
        <v>72</v>
      </c>
    </row>
    <row r="1968" customFormat="false" ht="15" hidden="false" customHeight="false" outlineLevel="0" collapsed="false">
      <c r="A1968" s="15" t="s">
        <v>79</v>
      </c>
      <c r="B1968" s="15" t="s">
        <v>570</v>
      </c>
      <c r="C1968" s="14" t="s">
        <v>653</v>
      </c>
      <c r="D1968" s="14" t="s">
        <v>12759</v>
      </c>
      <c r="E1968" s="16" t="s">
        <v>12760</v>
      </c>
      <c r="F1968" s="16" t="s">
        <v>656</v>
      </c>
      <c r="G1968" s="19" t="s">
        <v>41</v>
      </c>
      <c r="H1968" s="18" t="n">
        <v>6</v>
      </c>
      <c r="I1968" s="20" t="n">
        <v>174.32</v>
      </c>
      <c r="J1968" s="20" t="n">
        <v>282.67</v>
      </c>
      <c r="K1968" s="18" t="n">
        <v>6</v>
      </c>
      <c r="L1968" s="18" t="n">
        <v>4</v>
      </c>
      <c r="M1968" s="18" t="n">
        <v>136</v>
      </c>
      <c r="N1968" s="18" t="n">
        <v>48</v>
      </c>
      <c r="O1968" s="14" t="s">
        <v>1126</v>
      </c>
      <c r="P1968" s="14" t="s">
        <v>118</v>
      </c>
      <c r="Q1968" s="15" t="s">
        <v>1089</v>
      </c>
      <c r="R1968" s="16" t="s">
        <v>657</v>
      </c>
      <c r="S1968" s="15" t="s">
        <v>658</v>
      </c>
      <c r="T1968" s="15" t="s">
        <v>658</v>
      </c>
      <c r="U1968" s="21" t="s">
        <v>72</v>
      </c>
    </row>
    <row r="1969" customFormat="false" ht="15" hidden="false" customHeight="false" outlineLevel="0" collapsed="false">
      <c r="A1969" s="15" t="s">
        <v>79</v>
      </c>
      <c r="B1969" s="15" t="s">
        <v>570</v>
      </c>
      <c r="C1969" s="14" t="s">
        <v>12761</v>
      </c>
      <c r="D1969" s="14" t="s">
        <v>12762</v>
      </c>
      <c r="E1969" s="16" t="s">
        <v>12763</v>
      </c>
      <c r="F1969" s="16" t="s">
        <v>12764</v>
      </c>
      <c r="G1969" s="23" t="s">
        <v>43</v>
      </c>
      <c r="H1969" s="18" t="n">
        <v>4</v>
      </c>
      <c r="I1969" s="20" t="n">
        <v>56.88</v>
      </c>
      <c r="J1969" s="20" t="n">
        <v>157.64</v>
      </c>
      <c r="K1969" s="18" t="n">
        <v>22</v>
      </c>
      <c r="L1969" s="18" t="n">
        <v>1</v>
      </c>
      <c r="M1969" s="18" t="n">
        <v>270</v>
      </c>
      <c r="N1969" s="18" t="n">
        <v>130</v>
      </c>
      <c r="O1969" s="14" t="s">
        <v>12765</v>
      </c>
      <c r="P1969" s="14" t="s">
        <v>118</v>
      </c>
      <c r="Q1969" s="15" t="s">
        <v>1089</v>
      </c>
      <c r="R1969" s="16" t="s">
        <v>9675</v>
      </c>
      <c r="S1969" s="15" t="s">
        <v>12766</v>
      </c>
      <c r="T1969" s="15" t="s">
        <v>12766</v>
      </c>
      <c r="U1969" s="21" t="s">
        <v>72</v>
      </c>
    </row>
    <row r="1970" customFormat="false" ht="15" hidden="false" customHeight="false" outlineLevel="0" collapsed="false">
      <c r="A1970" s="15" t="s">
        <v>79</v>
      </c>
      <c r="B1970" s="15" t="s">
        <v>570</v>
      </c>
      <c r="C1970" s="14" t="s">
        <v>12767</v>
      </c>
      <c r="D1970" s="14" t="s">
        <v>12768</v>
      </c>
      <c r="E1970" s="16" t="s">
        <v>12769</v>
      </c>
      <c r="F1970" s="16" t="s">
        <v>12770</v>
      </c>
      <c r="G1970" s="23" t="s">
        <v>43</v>
      </c>
      <c r="H1970" s="18" t="n">
        <v>2</v>
      </c>
      <c r="I1970" s="20" t="n">
        <v>43.78</v>
      </c>
      <c r="J1970" s="20" t="n">
        <v>144.29</v>
      </c>
      <c r="K1970" s="18" t="n">
        <v>9</v>
      </c>
      <c r="L1970" s="18" t="n">
        <v>2</v>
      </c>
      <c r="M1970" s="18" t="n">
        <v>159</v>
      </c>
      <c r="N1970" s="18" t="n">
        <v>107</v>
      </c>
      <c r="O1970" s="14" t="s">
        <v>10652</v>
      </c>
      <c r="P1970" s="14" t="s">
        <v>118</v>
      </c>
      <c r="Q1970" s="15" t="s">
        <v>1089</v>
      </c>
      <c r="R1970" s="16" t="s">
        <v>12771</v>
      </c>
      <c r="S1970" s="15" t="s">
        <v>12772</v>
      </c>
      <c r="T1970" s="15" t="s">
        <v>12772</v>
      </c>
      <c r="U1970" s="21" t="s">
        <v>72</v>
      </c>
    </row>
    <row r="1971" customFormat="false" ht="26.85" hidden="false" customHeight="false" outlineLevel="0" collapsed="false">
      <c r="A1971" s="15" t="s">
        <v>79</v>
      </c>
      <c r="B1971" s="15" t="s">
        <v>570</v>
      </c>
      <c r="C1971" s="14" t="s">
        <v>914</v>
      </c>
      <c r="D1971" s="14" t="s">
        <v>12773</v>
      </c>
      <c r="E1971" s="16" t="s">
        <v>12774</v>
      </c>
      <c r="F1971" s="16" t="s">
        <v>917</v>
      </c>
      <c r="G1971" s="19" t="s">
        <v>41</v>
      </c>
      <c r="H1971" s="18" t="n">
        <v>5</v>
      </c>
      <c r="I1971" s="20" t="n">
        <v>82.78</v>
      </c>
      <c r="J1971" s="20" t="n">
        <v>231.445</v>
      </c>
      <c r="K1971" s="18" t="n">
        <v>23</v>
      </c>
      <c r="L1971" s="18" t="n">
        <v>7</v>
      </c>
      <c r="M1971" s="18" t="n">
        <v>415</v>
      </c>
      <c r="N1971" s="18" t="n">
        <v>182</v>
      </c>
      <c r="O1971" s="14" t="s">
        <v>12032</v>
      </c>
      <c r="P1971" s="14" t="s">
        <v>352</v>
      </c>
      <c r="Q1971" s="15" t="s">
        <v>1089</v>
      </c>
      <c r="R1971" s="16" t="s">
        <v>918</v>
      </c>
      <c r="S1971" s="15" t="s">
        <v>919</v>
      </c>
      <c r="T1971" s="15" t="s">
        <v>919</v>
      </c>
      <c r="U1971" s="21" t="s">
        <v>72</v>
      </c>
    </row>
    <row r="1972" customFormat="false" ht="15" hidden="false" customHeight="false" outlineLevel="0" collapsed="false">
      <c r="A1972" s="15" t="s">
        <v>79</v>
      </c>
      <c r="B1972" s="15" t="s">
        <v>570</v>
      </c>
      <c r="C1972" s="14" t="s">
        <v>12775</v>
      </c>
      <c r="D1972" s="14" t="s">
        <v>12776</v>
      </c>
      <c r="E1972" s="16" t="s">
        <v>12777</v>
      </c>
      <c r="F1972" s="16" t="s">
        <v>12778</v>
      </c>
      <c r="G1972" s="23" t="s">
        <v>43</v>
      </c>
      <c r="H1972" s="18" t="n">
        <v>3</v>
      </c>
      <c r="I1972" s="20" t="n">
        <v>53.58</v>
      </c>
      <c r="J1972" s="20" t="n">
        <v>180.21</v>
      </c>
      <c r="K1972" s="18" t="n">
        <v>3</v>
      </c>
      <c r="L1972" s="18" t="n">
        <v>7</v>
      </c>
      <c r="M1972" s="18" t="n">
        <v>42</v>
      </c>
      <c r="N1972" s="18" t="n">
        <v>42</v>
      </c>
      <c r="O1972" s="14" t="s">
        <v>1126</v>
      </c>
      <c r="P1972" s="14" t="s">
        <v>84</v>
      </c>
      <c r="Q1972" s="15" t="s">
        <v>1089</v>
      </c>
      <c r="R1972" s="16" t="s">
        <v>4720</v>
      </c>
      <c r="S1972" s="15" t="s">
        <v>12779</v>
      </c>
      <c r="T1972" s="15" t="s">
        <v>12779</v>
      </c>
      <c r="U1972" s="21" t="s">
        <v>72</v>
      </c>
    </row>
    <row r="1973" customFormat="false" ht="26.85" hidden="false" customHeight="false" outlineLevel="0" collapsed="false">
      <c r="A1973" s="15" t="s">
        <v>79</v>
      </c>
      <c r="B1973" s="15" t="s">
        <v>570</v>
      </c>
      <c r="C1973" s="14" t="s">
        <v>12780</v>
      </c>
      <c r="D1973" s="14" t="s">
        <v>12781</v>
      </c>
      <c r="E1973" s="16" t="s">
        <v>12782</v>
      </c>
      <c r="F1973" s="16" t="s">
        <v>12783</v>
      </c>
      <c r="G1973" s="23" t="s">
        <v>43</v>
      </c>
      <c r="H1973" s="18" t="n">
        <v>2</v>
      </c>
      <c r="I1973" s="20" t="n">
        <v>102.58</v>
      </c>
      <c r="J1973" s="20" t="n">
        <v>139.73</v>
      </c>
      <c r="K1973" s="18" t="n">
        <v>11</v>
      </c>
      <c r="L1973" s="18" t="n">
        <v>2</v>
      </c>
      <c r="M1973" s="18" t="n">
        <v>293</v>
      </c>
      <c r="N1973" s="18" t="n">
        <v>189</v>
      </c>
      <c r="O1973" s="14" t="s">
        <v>12784</v>
      </c>
      <c r="P1973" s="14" t="s">
        <v>352</v>
      </c>
      <c r="Q1973" s="15" t="s">
        <v>1089</v>
      </c>
      <c r="R1973" s="16" t="s">
        <v>12785</v>
      </c>
      <c r="S1973" s="15" t="s">
        <v>12786</v>
      </c>
      <c r="T1973" s="15" t="s">
        <v>12787</v>
      </c>
      <c r="U1973" s="21" t="s">
        <v>72</v>
      </c>
    </row>
    <row r="1974" customFormat="false" ht="15" hidden="false" customHeight="false" outlineLevel="0" collapsed="false">
      <c r="A1974" s="15" t="s">
        <v>79</v>
      </c>
      <c r="B1974" s="15" t="s">
        <v>570</v>
      </c>
      <c r="C1974" s="14" t="s">
        <v>12788</v>
      </c>
      <c r="D1974" s="14" t="s">
        <v>12789</v>
      </c>
      <c r="E1974" s="16" t="s">
        <v>12790</v>
      </c>
      <c r="F1974" s="16" t="s">
        <v>282</v>
      </c>
      <c r="G1974" s="19" t="s">
        <v>41</v>
      </c>
      <c r="H1974" s="18" t="n">
        <v>4</v>
      </c>
      <c r="I1974" s="20" t="n">
        <v>89.49</v>
      </c>
      <c r="J1974" s="20" t="n">
        <v>369.95</v>
      </c>
      <c r="K1974" s="18" t="n">
        <v>4</v>
      </c>
      <c r="L1974" s="18" t="n">
        <v>20</v>
      </c>
      <c r="M1974" s="18" t="n">
        <v>52</v>
      </c>
      <c r="N1974" s="18" t="n">
        <v>52</v>
      </c>
      <c r="O1974" s="14" t="s">
        <v>1126</v>
      </c>
      <c r="P1974" s="14" t="s">
        <v>84</v>
      </c>
      <c r="Q1974" s="15" t="s">
        <v>1089</v>
      </c>
      <c r="R1974" s="16" t="s">
        <v>12791</v>
      </c>
      <c r="S1974" s="15" t="s">
        <v>717</v>
      </c>
      <c r="T1974" s="15" t="s">
        <v>12792</v>
      </c>
      <c r="U1974" s="21" t="s">
        <v>72</v>
      </c>
    </row>
    <row r="1975" customFormat="false" ht="39.55" hidden="false" customHeight="false" outlineLevel="0" collapsed="false">
      <c r="A1975" s="15" t="s">
        <v>79</v>
      </c>
      <c r="B1975" s="15" t="s">
        <v>570</v>
      </c>
      <c r="C1975" s="14" t="s">
        <v>12793</v>
      </c>
      <c r="D1975" s="14" t="s">
        <v>12794</v>
      </c>
      <c r="E1975" s="16" t="s">
        <v>12795</v>
      </c>
      <c r="F1975" s="16" t="s">
        <v>12796</v>
      </c>
      <c r="G1975" s="19" t="s">
        <v>41</v>
      </c>
      <c r="H1975" s="18" t="n">
        <v>2</v>
      </c>
      <c r="I1975" s="20" t="n">
        <v>31.95</v>
      </c>
      <c r="J1975" s="20" t="n">
        <v>250.67</v>
      </c>
      <c r="K1975" s="18" t="n">
        <v>4</v>
      </c>
      <c r="L1975" s="18" t="n">
        <v>6</v>
      </c>
      <c r="M1975" s="18" t="n">
        <v>49</v>
      </c>
      <c r="N1975" s="18" t="n">
        <v>49</v>
      </c>
      <c r="O1975" s="14" t="s">
        <v>12797</v>
      </c>
      <c r="P1975" s="14" t="s">
        <v>118</v>
      </c>
      <c r="Q1975" s="15" t="s">
        <v>1089</v>
      </c>
      <c r="R1975" s="16" t="s">
        <v>12798</v>
      </c>
      <c r="S1975" s="15" t="s">
        <v>12799</v>
      </c>
      <c r="T1975" s="15" t="s">
        <v>12799</v>
      </c>
      <c r="U1975" s="21" t="s">
        <v>72</v>
      </c>
    </row>
    <row r="1976" customFormat="false" ht="15" hidden="false" customHeight="false" outlineLevel="0" collapsed="false">
      <c r="A1976" s="15" t="s">
        <v>79</v>
      </c>
      <c r="B1976" s="15" t="s">
        <v>570</v>
      </c>
      <c r="C1976" s="14" t="s">
        <v>12800</v>
      </c>
      <c r="D1976" s="14" t="s">
        <v>12801</v>
      </c>
      <c r="E1976" s="16" t="s">
        <v>12802</v>
      </c>
      <c r="F1976" s="16" t="s">
        <v>12803</v>
      </c>
      <c r="G1976" s="23" t="s">
        <v>43</v>
      </c>
      <c r="H1976" s="18" t="n">
        <v>2</v>
      </c>
      <c r="I1976" s="20" t="n">
        <v>39.93</v>
      </c>
      <c r="J1976" s="20" t="n">
        <v>117.41</v>
      </c>
      <c r="K1976" s="18" t="n">
        <v>11</v>
      </c>
      <c r="L1976" s="18" t="n">
        <v>3</v>
      </c>
      <c r="M1976" s="18" t="n">
        <v>181</v>
      </c>
      <c r="N1976" s="18" t="n">
        <v>51</v>
      </c>
      <c r="O1976" s="14" t="s">
        <v>1126</v>
      </c>
      <c r="P1976" s="14" t="s">
        <v>118</v>
      </c>
      <c r="Q1976" s="15" t="s">
        <v>1089</v>
      </c>
      <c r="R1976" s="16" t="s">
        <v>12804</v>
      </c>
      <c r="S1976" s="15" t="s">
        <v>12805</v>
      </c>
      <c r="T1976" s="15" t="s">
        <v>12805</v>
      </c>
      <c r="U1976" s="21" t="s">
        <v>72</v>
      </c>
    </row>
    <row r="1977" customFormat="false" ht="15" hidden="false" customHeight="false" outlineLevel="0" collapsed="false">
      <c r="A1977" s="15" t="s">
        <v>79</v>
      </c>
      <c r="B1977" s="15" t="s">
        <v>570</v>
      </c>
      <c r="C1977" s="14" t="s">
        <v>12806</v>
      </c>
      <c r="D1977" s="14" t="s">
        <v>12807</v>
      </c>
      <c r="E1977" s="16" t="s">
        <v>12808</v>
      </c>
      <c r="F1977" s="16" t="s">
        <v>12809</v>
      </c>
      <c r="G1977" s="19" t="s">
        <v>41</v>
      </c>
      <c r="H1977" s="18" t="n">
        <v>4</v>
      </c>
      <c r="I1977" s="20" t="n">
        <v>73.34</v>
      </c>
      <c r="J1977" s="20" t="n">
        <v>234.57</v>
      </c>
      <c r="K1977" s="18" t="n">
        <v>4</v>
      </c>
      <c r="L1977" s="18" t="n">
        <v>4</v>
      </c>
      <c r="M1977" s="18" t="n">
        <v>51</v>
      </c>
      <c r="N1977" s="18" t="n">
        <v>51</v>
      </c>
      <c r="O1977" s="14" t="s">
        <v>1126</v>
      </c>
      <c r="P1977" s="14" t="s">
        <v>84</v>
      </c>
      <c r="Q1977" s="15" t="s">
        <v>1089</v>
      </c>
      <c r="R1977" s="16" t="s">
        <v>8020</v>
      </c>
      <c r="S1977" s="15" t="s">
        <v>12810</v>
      </c>
      <c r="T1977" s="15" t="s">
        <v>12810</v>
      </c>
      <c r="U1977" s="21" t="s">
        <v>72</v>
      </c>
    </row>
    <row r="1978" customFormat="false" ht="15" hidden="false" customHeight="false" outlineLevel="0" collapsed="false">
      <c r="A1978" s="15" t="s">
        <v>79</v>
      </c>
      <c r="B1978" s="15" t="s">
        <v>570</v>
      </c>
      <c r="C1978" s="14" t="s">
        <v>12811</v>
      </c>
      <c r="D1978" s="14" t="s">
        <v>12812</v>
      </c>
      <c r="E1978" s="16" t="s">
        <v>12813</v>
      </c>
      <c r="F1978" s="16" t="s">
        <v>12814</v>
      </c>
      <c r="G1978" s="25" t="s">
        <v>39</v>
      </c>
      <c r="H1978" s="18" t="n">
        <v>2</v>
      </c>
      <c r="I1978" s="20" t="n">
        <v>364.45</v>
      </c>
      <c r="J1978" s="20" t="n">
        <v>645.66</v>
      </c>
      <c r="K1978" s="18" t="n">
        <v>10</v>
      </c>
      <c r="L1978" s="18" t="n">
        <v>9</v>
      </c>
      <c r="M1978" s="18" t="n">
        <v>500</v>
      </c>
      <c r="N1978" s="18" t="n">
        <v>500</v>
      </c>
      <c r="O1978" s="14" t="s">
        <v>1126</v>
      </c>
      <c r="P1978" s="14" t="s">
        <v>84</v>
      </c>
      <c r="Q1978" s="15" t="s">
        <v>1089</v>
      </c>
      <c r="R1978" s="16" t="s">
        <v>12815</v>
      </c>
      <c r="S1978" s="15" t="s">
        <v>12816</v>
      </c>
      <c r="T1978" s="15" t="s">
        <v>12817</v>
      </c>
      <c r="U1978" s="21" t="s">
        <v>72</v>
      </c>
    </row>
    <row r="1979" customFormat="false" ht="15" hidden="false" customHeight="false" outlineLevel="0" collapsed="false">
      <c r="A1979" s="15" t="s">
        <v>79</v>
      </c>
      <c r="B1979" s="15" t="s">
        <v>570</v>
      </c>
      <c r="C1979" s="14" t="s">
        <v>12818</v>
      </c>
      <c r="D1979" s="14" t="s">
        <v>12819</v>
      </c>
      <c r="E1979" s="16" t="s">
        <v>12820</v>
      </c>
      <c r="F1979" s="16" t="s">
        <v>12821</v>
      </c>
      <c r="G1979" s="23" t="s">
        <v>43</v>
      </c>
      <c r="H1979" s="18" t="n">
        <v>2</v>
      </c>
      <c r="I1979" s="20" t="n">
        <v>30.8</v>
      </c>
      <c r="J1979" s="20" t="n">
        <v>68.82</v>
      </c>
      <c r="K1979" s="18" t="n">
        <v>2</v>
      </c>
      <c r="L1979" s="18" t="n">
        <v>2</v>
      </c>
      <c r="M1979" s="18" t="n">
        <v>16</v>
      </c>
      <c r="N1979" s="18" t="n">
        <v>16</v>
      </c>
      <c r="O1979" s="14" t="s">
        <v>1126</v>
      </c>
      <c r="P1979" s="14" t="s">
        <v>84</v>
      </c>
      <c r="Q1979" s="15" t="s">
        <v>1089</v>
      </c>
      <c r="R1979" s="16" t="s">
        <v>9628</v>
      </c>
      <c r="S1979" s="15" t="s">
        <v>12822</v>
      </c>
      <c r="T1979" s="15" t="s">
        <v>12822</v>
      </c>
      <c r="U1979" s="21" t="s">
        <v>72</v>
      </c>
    </row>
    <row r="1980" customFormat="false" ht="15" hidden="false" customHeight="false" outlineLevel="0" collapsed="false">
      <c r="A1980" s="15" t="s">
        <v>79</v>
      </c>
      <c r="B1980" s="15" t="s">
        <v>570</v>
      </c>
      <c r="C1980" s="14" t="s">
        <v>12823</v>
      </c>
      <c r="D1980" s="14" t="s">
        <v>12824</v>
      </c>
      <c r="E1980" s="16" t="s">
        <v>12825</v>
      </c>
      <c r="F1980" s="16" t="s">
        <v>12826</v>
      </c>
      <c r="G1980" s="19" t="s">
        <v>41</v>
      </c>
      <c r="H1980" s="18" t="n">
        <v>5</v>
      </c>
      <c r="I1980" s="20" t="n">
        <v>142.35</v>
      </c>
      <c r="J1980" s="20" t="n">
        <v>299.53</v>
      </c>
      <c r="K1980" s="18" t="n">
        <v>5</v>
      </c>
      <c r="L1980" s="18" t="n">
        <v>4</v>
      </c>
      <c r="M1980" s="18" t="n">
        <v>100</v>
      </c>
      <c r="N1980" s="18" t="n">
        <v>100</v>
      </c>
      <c r="O1980" s="14" t="s">
        <v>1126</v>
      </c>
      <c r="P1980" s="14" t="s">
        <v>84</v>
      </c>
      <c r="Q1980" s="15" t="s">
        <v>1089</v>
      </c>
      <c r="R1980" s="16" t="s">
        <v>12827</v>
      </c>
      <c r="S1980" s="15" t="s">
        <v>12828</v>
      </c>
      <c r="T1980" s="15" t="s">
        <v>12828</v>
      </c>
      <c r="U1980" s="21" t="s">
        <v>72</v>
      </c>
    </row>
    <row r="1981" customFormat="false" ht="15" hidden="false" customHeight="false" outlineLevel="0" collapsed="false">
      <c r="A1981" s="15" t="s">
        <v>79</v>
      </c>
      <c r="B1981" s="15" t="s">
        <v>570</v>
      </c>
      <c r="C1981" s="14" t="s">
        <v>12829</v>
      </c>
      <c r="D1981" s="14" t="s">
        <v>12830</v>
      </c>
      <c r="E1981" s="16" t="s">
        <v>12831</v>
      </c>
      <c r="F1981" s="16" t="s">
        <v>12832</v>
      </c>
      <c r="G1981" s="23" t="s">
        <v>43</v>
      </c>
      <c r="H1981" s="18" t="n">
        <v>4</v>
      </c>
      <c r="I1981" s="20" t="n">
        <v>69.05</v>
      </c>
      <c r="J1981" s="20" t="n">
        <v>122.86</v>
      </c>
      <c r="K1981" s="18" t="n">
        <v>9</v>
      </c>
      <c r="L1981" s="18" t="n">
        <v>1</v>
      </c>
      <c r="M1981" s="18" t="n">
        <v>131</v>
      </c>
      <c r="N1981" s="18" t="n">
        <v>57</v>
      </c>
      <c r="O1981" s="14" t="s">
        <v>3724</v>
      </c>
      <c r="P1981" s="14" t="s">
        <v>118</v>
      </c>
      <c r="Q1981" s="15" t="s">
        <v>1089</v>
      </c>
      <c r="R1981" s="16" t="s">
        <v>12833</v>
      </c>
      <c r="S1981" s="15" t="s">
        <v>12834</v>
      </c>
      <c r="T1981" s="15" t="s">
        <v>12835</v>
      </c>
      <c r="U1981" s="21" t="s">
        <v>72</v>
      </c>
    </row>
    <row r="1982" customFormat="false" ht="15" hidden="false" customHeight="false" outlineLevel="0" collapsed="false">
      <c r="A1982" s="15" t="s">
        <v>79</v>
      </c>
      <c r="B1982" s="15" t="s">
        <v>570</v>
      </c>
      <c r="C1982" s="14" t="s">
        <v>12836</v>
      </c>
      <c r="D1982" s="14" t="s">
        <v>12837</v>
      </c>
      <c r="E1982" s="16" t="s">
        <v>12838</v>
      </c>
      <c r="F1982" s="16" t="s">
        <v>12064</v>
      </c>
      <c r="G1982" s="19" t="s">
        <v>41</v>
      </c>
      <c r="H1982" s="18" t="n">
        <v>4</v>
      </c>
      <c r="I1982" s="20" t="n">
        <v>109.41</v>
      </c>
      <c r="J1982" s="20" t="n">
        <v>264.91</v>
      </c>
      <c r="K1982" s="18" t="n">
        <v>23</v>
      </c>
      <c r="L1982" s="18" t="n">
        <v>6</v>
      </c>
      <c r="M1982" s="18" t="n">
        <v>578</v>
      </c>
      <c r="N1982" s="18" t="n">
        <v>338</v>
      </c>
      <c r="O1982" s="14" t="s">
        <v>12839</v>
      </c>
      <c r="P1982" s="14" t="s">
        <v>118</v>
      </c>
      <c r="Q1982" s="15" t="s">
        <v>1089</v>
      </c>
      <c r="R1982" s="16" t="s">
        <v>12840</v>
      </c>
      <c r="S1982" s="15" t="s">
        <v>12841</v>
      </c>
      <c r="T1982" s="15" t="s">
        <v>12842</v>
      </c>
      <c r="U1982" s="21" t="s">
        <v>72</v>
      </c>
    </row>
    <row r="1983" customFormat="false" ht="15" hidden="false" customHeight="false" outlineLevel="0" collapsed="false">
      <c r="A1983" s="15" t="s">
        <v>79</v>
      </c>
      <c r="B1983" s="15" t="s">
        <v>570</v>
      </c>
      <c r="C1983" s="14" t="s">
        <v>12843</v>
      </c>
      <c r="D1983" s="14" t="s">
        <v>12844</v>
      </c>
      <c r="E1983" s="16" t="s">
        <v>12845</v>
      </c>
      <c r="F1983" s="16" t="s">
        <v>12846</v>
      </c>
      <c r="G1983" s="23" t="s">
        <v>43</v>
      </c>
      <c r="H1983" s="18" t="n">
        <v>3</v>
      </c>
      <c r="I1983" s="20" t="n">
        <v>100.74</v>
      </c>
      <c r="J1983" s="20" t="n">
        <v>190.72</v>
      </c>
      <c r="K1983" s="18" t="n">
        <v>12</v>
      </c>
      <c r="L1983" s="18" t="n">
        <v>1</v>
      </c>
      <c r="M1983" s="18" t="n">
        <v>356</v>
      </c>
      <c r="N1983" s="18" t="n">
        <v>248</v>
      </c>
      <c r="O1983" s="14" t="s">
        <v>10835</v>
      </c>
      <c r="P1983" s="14" t="s">
        <v>118</v>
      </c>
      <c r="Q1983" s="15" t="s">
        <v>1089</v>
      </c>
      <c r="R1983" s="16" t="s">
        <v>12847</v>
      </c>
      <c r="S1983" s="15" t="s">
        <v>12848</v>
      </c>
      <c r="T1983" s="15" t="s">
        <v>12848</v>
      </c>
      <c r="U1983" s="21" t="s">
        <v>72</v>
      </c>
    </row>
    <row r="1984" customFormat="false" ht="15" hidden="false" customHeight="false" outlineLevel="0" collapsed="false">
      <c r="A1984" s="15" t="s">
        <v>79</v>
      </c>
      <c r="B1984" s="15" t="s">
        <v>570</v>
      </c>
      <c r="C1984" s="14" t="s">
        <v>12849</v>
      </c>
      <c r="D1984" s="14" t="s">
        <v>12850</v>
      </c>
      <c r="E1984" s="16" t="s">
        <v>12851</v>
      </c>
      <c r="F1984" s="16" t="s">
        <v>12852</v>
      </c>
      <c r="G1984" s="19" t="s">
        <v>41</v>
      </c>
      <c r="H1984" s="18" t="n">
        <v>7</v>
      </c>
      <c r="I1984" s="20" t="n">
        <v>140.43</v>
      </c>
      <c r="J1984" s="20" t="n">
        <v>280.52</v>
      </c>
      <c r="K1984" s="18" t="n">
        <v>7</v>
      </c>
      <c r="L1984" s="18" t="n">
        <v>8</v>
      </c>
      <c r="M1984" s="18" t="n">
        <v>94</v>
      </c>
      <c r="N1984" s="18" t="n">
        <v>30</v>
      </c>
      <c r="O1984" s="14" t="s">
        <v>1088</v>
      </c>
      <c r="P1984" s="14" t="s">
        <v>118</v>
      </c>
      <c r="Q1984" s="15" t="s">
        <v>1089</v>
      </c>
      <c r="R1984" s="16" t="s">
        <v>12853</v>
      </c>
      <c r="S1984" s="15" t="s">
        <v>12854</v>
      </c>
      <c r="T1984" s="15" t="s">
        <v>12854</v>
      </c>
      <c r="U1984" s="21" t="s">
        <v>72</v>
      </c>
    </row>
    <row r="1985" customFormat="false" ht="15" hidden="false" customHeight="false" outlineLevel="0" collapsed="false">
      <c r="A1985" s="15" t="s">
        <v>79</v>
      </c>
      <c r="B1985" s="15" t="s">
        <v>570</v>
      </c>
      <c r="C1985" s="14" t="s">
        <v>569</v>
      </c>
      <c r="D1985" s="14" t="s">
        <v>12855</v>
      </c>
      <c r="E1985" s="16" t="s">
        <v>12856</v>
      </c>
      <c r="F1985" s="16" t="s">
        <v>573</v>
      </c>
      <c r="G1985" s="19" t="s">
        <v>41</v>
      </c>
      <c r="H1985" s="18" t="n">
        <v>2</v>
      </c>
      <c r="I1985" s="20" t="n">
        <v>48.04</v>
      </c>
      <c r="J1985" s="20" t="n">
        <v>249.66</v>
      </c>
      <c r="K1985" s="18" t="n">
        <v>11</v>
      </c>
      <c r="L1985" s="18" t="n">
        <v>3</v>
      </c>
      <c r="M1985" s="18" t="n">
        <v>227</v>
      </c>
      <c r="N1985" s="18" t="n">
        <v>100</v>
      </c>
      <c r="O1985" s="14" t="s">
        <v>11926</v>
      </c>
      <c r="P1985" s="14" t="s">
        <v>118</v>
      </c>
      <c r="Q1985" s="15" t="s">
        <v>1089</v>
      </c>
      <c r="R1985" s="16" t="s">
        <v>574</v>
      </c>
      <c r="S1985" s="15" t="s">
        <v>575</v>
      </c>
      <c r="T1985" s="15" t="s">
        <v>575</v>
      </c>
      <c r="U1985" s="21" t="s">
        <v>72</v>
      </c>
    </row>
    <row r="1986" customFormat="false" ht="15" hidden="false" customHeight="false" outlineLevel="0" collapsed="false">
      <c r="A1986" s="15" t="s">
        <v>79</v>
      </c>
      <c r="B1986" s="15" t="s">
        <v>570</v>
      </c>
      <c r="C1986" s="14" t="s">
        <v>12857</v>
      </c>
      <c r="D1986" s="14" t="s">
        <v>12858</v>
      </c>
      <c r="E1986" s="16" t="s">
        <v>12859</v>
      </c>
      <c r="F1986" s="16" t="s">
        <v>12860</v>
      </c>
      <c r="G1986" s="23" t="s">
        <v>43</v>
      </c>
      <c r="H1986" s="18" t="n">
        <v>2</v>
      </c>
      <c r="I1986" s="20" t="n">
        <v>39.89</v>
      </c>
      <c r="J1986" s="20" t="n">
        <v>104.86</v>
      </c>
      <c r="K1986" s="18" t="n">
        <v>6</v>
      </c>
      <c r="L1986" s="18" t="n">
        <v>2</v>
      </c>
      <c r="M1986" s="18" t="n">
        <v>99</v>
      </c>
      <c r="N1986" s="18" t="n">
        <v>99</v>
      </c>
      <c r="O1986" s="14" t="s">
        <v>12861</v>
      </c>
      <c r="P1986" s="14" t="s">
        <v>84</v>
      </c>
      <c r="Q1986" s="15" t="s">
        <v>1089</v>
      </c>
      <c r="R1986" s="16" t="s">
        <v>12862</v>
      </c>
      <c r="S1986" s="15" t="s">
        <v>12863</v>
      </c>
      <c r="T1986" s="15" t="s">
        <v>12863</v>
      </c>
      <c r="U1986" s="21" t="s">
        <v>72</v>
      </c>
    </row>
    <row r="1987" customFormat="false" ht="15" hidden="false" customHeight="false" outlineLevel="0" collapsed="false">
      <c r="A1987" s="15" t="s">
        <v>79</v>
      </c>
      <c r="B1987" s="15" t="s">
        <v>570</v>
      </c>
      <c r="C1987" s="14" t="s">
        <v>12864</v>
      </c>
      <c r="D1987" s="14" t="s">
        <v>12865</v>
      </c>
      <c r="E1987" s="16" t="s">
        <v>12866</v>
      </c>
      <c r="F1987" s="16" t="s">
        <v>12867</v>
      </c>
      <c r="G1987" s="19" t="s">
        <v>41</v>
      </c>
      <c r="H1987" s="18" t="n">
        <v>3</v>
      </c>
      <c r="I1987" s="20" t="n">
        <v>85.08</v>
      </c>
      <c r="J1987" s="20" t="n">
        <v>200.38</v>
      </c>
      <c r="K1987" s="18" t="n">
        <v>5</v>
      </c>
      <c r="L1987" s="18" t="n">
        <v>3</v>
      </c>
      <c r="M1987" s="18" t="n">
        <v>80</v>
      </c>
      <c r="N1987" s="18" t="n">
        <v>16</v>
      </c>
      <c r="O1987" s="14" t="s">
        <v>1126</v>
      </c>
      <c r="P1987" s="14" t="s">
        <v>334</v>
      </c>
      <c r="Q1987" s="15" t="s">
        <v>1089</v>
      </c>
      <c r="R1987" s="16" t="s">
        <v>12868</v>
      </c>
      <c r="S1987" s="15" t="s">
        <v>12869</v>
      </c>
      <c r="T1987" s="15" t="s">
        <v>12870</v>
      </c>
      <c r="U1987" s="21" t="s">
        <v>72</v>
      </c>
    </row>
    <row r="1988" customFormat="false" ht="26.85" hidden="false" customHeight="false" outlineLevel="0" collapsed="false">
      <c r="A1988" s="15" t="s">
        <v>79</v>
      </c>
      <c r="B1988" s="15" t="s">
        <v>570</v>
      </c>
      <c r="C1988" s="14" t="s">
        <v>12871</v>
      </c>
      <c r="D1988" s="14" t="s">
        <v>12872</v>
      </c>
      <c r="E1988" s="16" t="s">
        <v>12873</v>
      </c>
      <c r="F1988" s="16" t="s">
        <v>12874</v>
      </c>
      <c r="G1988" s="23" t="s">
        <v>43</v>
      </c>
      <c r="H1988" s="18" t="n">
        <v>4</v>
      </c>
      <c r="I1988" s="20" t="n">
        <v>148.43</v>
      </c>
      <c r="J1988" s="20" t="n">
        <v>174.07</v>
      </c>
      <c r="K1988" s="18" t="n">
        <v>4</v>
      </c>
      <c r="L1988" s="18" t="n">
        <v>1</v>
      </c>
      <c r="M1988" s="18" t="n">
        <v>122</v>
      </c>
      <c r="N1988" s="18" t="n">
        <v>29</v>
      </c>
      <c r="O1988" s="14" t="s">
        <v>1126</v>
      </c>
      <c r="P1988" s="14" t="s">
        <v>906</v>
      </c>
      <c r="Q1988" s="15" t="s">
        <v>1089</v>
      </c>
      <c r="R1988" s="16" t="s">
        <v>12875</v>
      </c>
      <c r="S1988" s="15" t="s">
        <v>12876</v>
      </c>
      <c r="T1988" s="15" t="s">
        <v>12876</v>
      </c>
      <c r="U1988" s="21" t="s">
        <v>72</v>
      </c>
    </row>
    <row r="1989" customFormat="false" ht="15" hidden="false" customHeight="false" outlineLevel="0" collapsed="false">
      <c r="A1989" s="15" t="s">
        <v>79</v>
      </c>
      <c r="B1989" s="15" t="s">
        <v>570</v>
      </c>
      <c r="C1989" s="14" t="s">
        <v>12877</v>
      </c>
      <c r="D1989" s="14" t="s">
        <v>12878</v>
      </c>
      <c r="E1989" s="16" t="s">
        <v>12879</v>
      </c>
      <c r="F1989" s="16" t="s">
        <v>12880</v>
      </c>
      <c r="G1989" s="23" t="s">
        <v>43</v>
      </c>
      <c r="H1989" s="18" t="n">
        <v>2</v>
      </c>
      <c r="I1989" s="20" t="n">
        <v>41.61</v>
      </c>
      <c r="J1989" s="20" t="n">
        <v>161.54</v>
      </c>
      <c r="K1989" s="18" t="n">
        <v>2</v>
      </c>
      <c r="L1989" s="18" t="n">
        <v>3</v>
      </c>
      <c r="M1989" s="18" t="n">
        <v>36</v>
      </c>
      <c r="N1989" s="18" t="n">
        <v>36</v>
      </c>
      <c r="O1989" s="14" t="s">
        <v>1126</v>
      </c>
      <c r="P1989" s="14" t="s">
        <v>84</v>
      </c>
      <c r="Q1989" s="15" t="s">
        <v>1089</v>
      </c>
      <c r="R1989" s="16" t="s">
        <v>12881</v>
      </c>
      <c r="S1989" s="15" t="s">
        <v>12882</v>
      </c>
      <c r="T1989" s="15" t="s">
        <v>12883</v>
      </c>
      <c r="U1989" s="21" t="s">
        <v>72</v>
      </c>
    </row>
    <row r="1990" customFormat="false" ht="15" hidden="false" customHeight="false" outlineLevel="0" collapsed="false">
      <c r="A1990" s="15" t="s">
        <v>79</v>
      </c>
      <c r="B1990" s="15" t="s">
        <v>570</v>
      </c>
      <c r="C1990" s="14" t="s">
        <v>12884</v>
      </c>
      <c r="D1990" s="14" t="s">
        <v>12885</v>
      </c>
      <c r="E1990" s="16" t="s">
        <v>12886</v>
      </c>
      <c r="F1990" s="16" t="s">
        <v>12832</v>
      </c>
      <c r="G1990" s="23" t="s">
        <v>43</v>
      </c>
      <c r="H1990" s="18" t="n">
        <v>3</v>
      </c>
      <c r="I1990" s="20" t="n">
        <v>71.92</v>
      </c>
      <c r="J1990" s="20" t="n">
        <v>172.92</v>
      </c>
      <c r="K1990" s="18" t="n">
        <v>3</v>
      </c>
      <c r="L1990" s="18" t="n">
        <v>4</v>
      </c>
      <c r="M1990" s="18" t="n">
        <v>81</v>
      </c>
      <c r="N1990" s="18" t="n">
        <v>81</v>
      </c>
      <c r="O1990" s="14" t="s">
        <v>1088</v>
      </c>
      <c r="P1990" s="14" t="s">
        <v>84</v>
      </c>
      <c r="Q1990" s="15" t="s">
        <v>1089</v>
      </c>
      <c r="R1990" s="16" t="s">
        <v>12887</v>
      </c>
      <c r="S1990" s="15" t="s">
        <v>12834</v>
      </c>
      <c r="T1990" s="15" t="s">
        <v>12888</v>
      </c>
      <c r="U1990" s="21" t="s">
        <v>72</v>
      </c>
    </row>
    <row r="1991" customFormat="false" ht="15" hidden="false" customHeight="false" outlineLevel="0" collapsed="false">
      <c r="A1991" s="15" t="s">
        <v>79</v>
      </c>
      <c r="B1991" s="15" t="s">
        <v>570</v>
      </c>
      <c r="C1991" s="14" t="s">
        <v>12889</v>
      </c>
      <c r="D1991" s="14" t="s">
        <v>12890</v>
      </c>
      <c r="E1991" s="16" t="s">
        <v>12891</v>
      </c>
      <c r="F1991" s="16" t="s">
        <v>12892</v>
      </c>
      <c r="G1991" s="23" t="s">
        <v>43</v>
      </c>
      <c r="H1991" s="18" t="n">
        <v>4</v>
      </c>
      <c r="I1991" s="20" t="n">
        <v>58.08</v>
      </c>
      <c r="J1991" s="20" t="n">
        <v>111.02</v>
      </c>
      <c r="K1991" s="18" t="n">
        <v>7</v>
      </c>
      <c r="L1991" s="18" t="n">
        <v>3</v>
      </c>
      <c r="M1991" s="18" t="n">
        <v>79</v>
      </c>
      <c r="N1991" s="18" t="n">
        <v>22</v>
      </c>
      <c r="O1991" s="14" t="s">
        <v>1126</v>
      </c>
      <c r="P1991" s="14" t="s">
        <v>118</v>
      </c>
      <c r="Q1991" s="15" t="s">
        <v>1089</v>
      </c>
      <c r="R1991" s="16" t="s">
        <v>12893</v>
      </c>
      <c r="S1991" s="15" t="s">
        <v>12894</v>
      </c>
      <c r="T1991" s="15" t="s">
        <v>12895</v>
      </c>
      <c r="U1991" s="21" t="s">
        <v>72</v>
      </c>
    </row>
    <row r="1992" customFormat="false" ht="26.85" hidden="false" customHeight="false" outlineLevel="0" collapsed="false">
      <c r="A1992" s="15" t="s">
        <v>79</v>
      </c>
      <c r="B1992" s="15" t="s">
        <v>570</v>
      </c>
      <c r="C1992" s="14" t="s">
        <v>12896</v>
      </c>
      <c r="D1992" s="14" t="s">
        <v>12897</v>
      </c>
      <c r="E1992" s="16" t="s">
        <v>12898</v>
      </c>
      <c r="F1992" s="16" t="s">
        <v>10327</v>
      </c>
      <c r="G1992" s="19" t="s">
        <v>41</v>
      </c>
      <c r="H1992" s="18" t="n">
        <v>7</v>
      </c>
      <c r="I1992" s="20" t="n">
        <v>130.55</v>
      </c>
      <c r="J1992" s="20" t="n">
        <v>282.8</v>
      </c>
      <c r="K1992" s="18" t="n">
        <v>17</v>
      </c>
      <c r="L1992" s="18" t="n">
        <v>3</v>
      </c>
      <c r="M1992" s="18" t="n">
        <v>234</v>
      </c>
      <c r="N1992" s="18" t="n">
        <v>82</v>
      </c>
      <c r="O1992" s="14" t="s">
        <v>12899</v>
      </c>
      <c r="P1992" s="14" t="s">
        <v>118</v>
      </c>
      <c r="Q1992" s="15" t="s">
        <v>1089</v>
      </c>
      <c r="R1992" s="16" t="s">
        <v>12900</v>
      </c>
      <c r="S1992" s="15" t="s">
        <v>10329</v>
      </c>
      <c r="T1992" s="15" t="s">
        <v>12901</v>
      </c>
      <c r="U1992" s="21" t="s">
        <v>72</v>
      </c>
    </row>
    <row r="1993" customFormat="false" ht="15" hidden="false" customHeight="false" outlineLevel="0" collapsed="false">
      <c r="A1993" s="15" t="s">
        <v>79</v>
      </c>
      <c r="B1993" s="15" t="s">
        <v>570</v>
      </c>
      <c r="C1993" s="14" t="s">
        <v>12902</v>
      </c>
      <c r="D1993" s="14" t="s">
        <v>12903</v>
      </c>
      <c r="E1993" s="16" t="s">
        <v>12904</v>
      </c>
      <c r="F1993" s="16" t="s">
        <v>12905</v>
      </c>
      <c r="G1993" s="25" t="s">
        <v>39</v>
      </c>
      <c r="H1993" s="18" t="n">
        <v>6</v>
      </c>
      <c r="I1993" s="20" t="n">
        <v>324.78</v>
      </c>
      <c r="J1993" s="20" t="n">
        <v>1154.46</v>
      </c>
      <c r="K1993" s="18" t="n">
        <v>12</v>
      </c>
      <c r="L1993" s="18" t="n">
        <v>2</v>
      </c>
      <c r="M1993" s="18" t="n">
        <v>534</v>
      </c>
      <c r="N1993" s="18"/>
      <c r="O1993" s="13"/>
      <c r="P1993" s="14" t="s">
        <v>84</v>
      </c>
      <c r="Q1993" s="15" t="s">
        <v>1089</v>
      </c>
      <c r="R1993" s="16" t="s">
        <v>12906</v>
      </c>
      <c r="S1993" s="15" t="s">
        <v>12907</v>
      </c>
      <c r="T1993" s="15" t="s">
        <v>12907</v>
      </c>
      <c r="U1993" s="21" t="s">
        <v>72</v>
      </c>
    </row>
    <row r="1994" customFormat="false" ht="15" hidden="false" customHeight="false" outlineLevel="0" collapsed="false">
      <c r="A1994" s="15" t="s">
        <v>79</v>
      </c>
      <c r="B1994" s="15" t="s">
        <v>570</v>
      </c>
      <c r="C1994" s="14" t="s">
        <v>12908</v>
      </c>
      <c r="D1994" s="14" t="s">
        <v>12909</v>
      </c>
      <c r="E1994" s="16" t="s">
        <v>12910</v>
      </c>
      <c r="F1994" s="16" t="s">
        <v>12276</v>
      </c>
      <c r="G1994" s="23" t="s">
        <v>43</v>
      </c>
      <c r="H1994" s="18" t="n">
        <v>3</v>
      </c>
      <c r="I1994" s="20" t="n">
        <v>101.07</v>
      </c>
      <c r="J1994" s="20" t="n">
        <v>194.86</v>
      </c>
      <c r="K1994" s="18" t="n">
        <v>5</v>
      </c>
      <c r="L1994" s="18" t="n">
        <v>7</v>
      </c>
      <c r="M1994" s="18" t="n">
        <v>135</v>
      </c>
      <c r="N1994" s="18" t="n">
        <v>30</v>
      </c>
      <c r="O1994" s="14" t="s">
        <v>1097</v>
      </c>
      <c r="P1994" s="14" t="s">
        <v>118</v>
      </c>
      <c r="Q1994" s="15" t="s">
        <v>1089</v>
      </c>
      <c r="R1994" s="16" t="s">
        <v>12911</v>
      </c>
      <c r="S1994" s="15" t="s">
        <v>12912</v>
      </c>
      <c r="T1994" s="15" t="s">
        <v>12912</v>
      </c>
      <c r="U1994" s="21" t="s">
        <v>72</v>
      </c>
    </row>
    <row r="1995" customFormat="false" ht="15" hidden="false" customHeight="false" outlineLevel="0" collapsed="false">
      <c r="A1995" s="15" t="s">
        <v>79</v>
      </c>
      <c r="B1995" s="15" t="s">
        <v>570</v>
      </c>
      <c r="C1995" s="14" t="s">
        <v>12913</v>
      </c>
      <c r="D1995" s="14" t="s">
        <v>12914</v>
      </c>
      <c r="E1995" s="16" t="s">
        <v>12915</v>
      </c>
      <c r="F1995" s="16" t="s">
        <v>12916</v>
      </c>
      <c r="G1995" s="23" t="s">
        <v>43</v>
      </c>
      <c r="H1995" s="18" t="n">
        <v>1</v>
      </c>
      <c r="I1995" s="20" t="n">
        <v>30</v>
      </c>
      <c r="J1995" s="20" t="n">
        <v>36.51</v>
      </c>
      <c r="K1995" s="18" t="n">
        <v>1</v>
      </c>
      <c r="L1995" s="18" t="n">
        <v>1</v>
      </c>
      <c r="M1995" s="18" t="n">
        <v>25</v>
      </c>
      <c r="N1995" s="18" t="n">
        <v>25</v>
      </c>
      <c r="O1995" s="14" t="s">
        <v>1088</v>
      </c>
      <c r="P1995" s="14" t="s">
        <v>84</v>
      </c>
      <c r="Q1995" s="15" t="s">
        <v>1089</v>
      </c>
      <c r="R1995" s="16" t="s">
        <v>12917</v>
      </c>
      <c r="S1995" s="15" t="s">
        <v>12918</v>
      </c>
      <c r="T1995" s="15" t="s">
        <v>12918</v>
      </c>
      <c r="U1995" s="21" t="s">
        <v>72</v>
      </c>
    </row>
    <row r="1996" customFormat="false" ht="15" hidden="false" customHeight="false" outlineLevel="0" collapsed="false">
      <c r="A1996" s="15" t="s">
        <v>79</v>
      </c>
      <c r="B1996" s="15" t="s">
        <v>570</v>
      </c>
      <c r="C1996" s="14" t="s">
        <v>12919</v>
      </c>
      <c r="D1996" s="14" t="s">
        <v>12920</v>
      </c>
      <c r="E1996" s="16" t="s">
        <v>12921</v>
      </c>
      <c r="F1996" s="16" t="s">
        <v>12922</v>
      </c>
      <c r="G1996" s="23" t="s">
        <v>43</v>
      </c>
      <c r="H1996" s="18" t="n">
        <v>4</v>
      </c>
      <c r="I1996" s="20" t="n">
        <v>91.62</v>
      </c>
      <c r="J1996" s="20" t="n">
        <v>179.61</v>
      </c>
      <c r="K1996" s="18" t="n">
        <v>4</v>
      </c>
      <c r="L1996" s="18" t="n">
        <v>4</v>
      </c>
      <c r="M1996" s="18" t="n">
        <v>73</v>
      </c>
      <c r="N1996" s="18" t="n">
        <v>36</v>
      </c>
      <c r="O1996" s="14" t="s">
        <v>1126</v>
      </c>
      <c r="P1996" s="14" t="s">
        <v>118</v>
      </c>
      <c r="Q1996" s="15" t="s">
        <v>1089</v>
      </c>
      <c r="R1996" s="16" t="s">
        <v>12923</v>
      </c>
      <c r="S1996" s="15" t="s">
        <v>12924</v>
      </c>
      <c r="T1996" s="15" t="s">
        <v>12924</v>
      </c>
      <c r="U1996" s="21" t="s">
        <v>72</v>
      </c>
    </row>
    <row r="1997" customFormat="false" ht="15" hidden="false" customHeight="false" outlineLevel="0" collapsed="false">
      <c r="A1997" s="15" t="s">
        <v>79</v>
      </c>
      <c r="B1997" s="15" t="s">
        <v>570</v>
      </c>
      <c r="C1997" s="14" t="s">
        <v>12925</v>
      </c>
      <c r="D1997" s="14" t="s">
        <v>12926</v>
      </c>
      <c r="E1997" s="16" t="s">
        <v>12927</v>
      </c>
      <c r="F1997" s="16" t="s">
        <v>12928</v>
      </c>
      <c r="G1997" s="23" t="s">
        <v>43</v>
      </c>
      <c r="H1997" s="18" t="n">
        <v>3</v>
      </c>
      <c r="I1997" s="20" t="n">
        <v>88.22</v>
      </c>
      <c r="J1997" s="20" t="n">
        <v>142.42</v>
      </c>
      <c r="K1997" s="18" t="n">
        <v>9</v>
      </c>
      <c r="L1997" s="18" t="n">
        <v>6</v>
      </c>
      <c r="M1997" s="18" t="n">
        <v>213</v>
      </c>
      <c r="N1997" s="18" t="n">
        <v>108</v>
      </c>
      <c r="O1997" s="14" t="s">
        <v>1097</v>
      </c>
      <c r="P1997" s="14" t="s">
        <v>118</v>
      </c>
      <c r="Q1997" s="15" t="s">
        <v>1089</v>
      </c>
      <c r="R1997" s="16" t="s">
        <v>12929</v>
      </c>
      <c r="S1997" s="15" t="s">
        <v>12930</v>
      </c>
      <c r="T1997" s="15" t="s">
        <v>12931</v>
      </c>
      <c r="U1997" s="21" t="s">
        <v>72</v>
      </c>
    </row>
    <row r="1998" customFormat="false" ht="15" hidden="false" customHeight="false" outlineLevel="0" collapsed="false">
      <c r="A1998" s="15" t="s">
        <v>79</v>
      </c>
      <c r="B1998" s="15" t="s">
        <v>570</v>
      </c>
      <c r="C1998" s="14" t="s">
        <v>12932</v>
      </c>
      <c r="D1998" s="14" t="s">
        <v>12933</v>
      </c>
      <c r="E1998" s="16" t="s">
        <v>12934</v>
      </c>
      <c r="F1998" s="16" t="s">
        <v>12935</v>
      </c>
      <c r="G1998" s="23" t="s">
        <v>43</v>
      </c>
      <c r="H1998" s="18" t="n">
        <v>3</v>
      </c>
      <c r="I1998" s="20" t="n">
        <v>110.32</v>
      </c>
      <c r="J1998" s="20" t="n">
        <v>175.66</v>
      </c>
      <c r="K1998" s="18" t="n">
        <v>5</v>
      </c>
      <c r="L1998" s="18" t="n">
        <v>8</v>
      </c>
      <c r="M1998" s="18" t="n">
        <v>107</v>
      </c>
      <c r="N1998" s="18" t="n">
        <v>39</v>
      </c>
      <c r="O1998" s="14" t="s">
        <v>1097</v>
      </c>
      <c r="P1998" s="14" t="s">
        <v>118</v>
      </c>
      <c r="Q1998" s="15" t="s">
        <v>1089</v>
      </c>
      <c r="R1998" s="16" t="s">
        <v>12936</v>
      </c>
      <c r="S1998" s="15" t="s">
        <v>12937</v>
      </c>
      <c r="T1998" s="15" t="s">
        <v>12937</v>
      </c>
      <c r="U1998" s="21" t="s">
        <v>72</v>
      </c>
    </row>
    <row r="1999" customFormat="false" ht="15" hidden="false" customHeight="false" outlineLevel="0" collapsed="false">
      <c r="A1999" s="15" t="s">
        <v>79</v>
      </c>
      <c r="B1999" s="15" t="s">
        <v>570</v>
      </c>
      <c r="C1999" s="14" t="s">
        <v>12938</v>
      </c>
      <c r="D1999" s="14" t="s">
        <v>12939</v>
      </c>
      <c r="E1999" s="16" t="s">
        <v>12940</v>
      </c>
      <c r="F1999" s="16" t="s">
        <v>12941</v>
      </c>
      <c r="G1999" s="19" t="s">
        <v>41</v>
      </c>
      <c r="H1999" s="18" t="n">
        <v>6</v>
      </c>
      <c r="I1999" s="20" t="n">
        <v>122.69</v>
      </c>
      <c r="J1999" s="20" t="n">
        <v>173.81</v>
      </c>
      <c r="K1999" s="18" t="n">
        <v>6</v>
      </c>
      <c r="L1999" s="18" t="n">
        <v>5</v>
      </c>
      <c r="M1999" s="18" t="n">
        <v>87</v>
      </c>
      <c r="N1999" s="18" t="n">
        <v>75</v>
      </c>
      <c r="O1999" s="14" t="s">
        <v>11166</v>
      </c>
      <c r="P1999" s="14" t="s">
        <v>515</v>
      </c>
      <c r="Q1999" s="15" t="s">
        <v>1089</v>
      </c>
      <c r="R1999" s="16" t="s">
        <v>855</v>
      </c>
      <c r="S1999" s="15" t="s">
        <v>12942</v>
      </c>
      <c r="T1999" s="15" t="s">
        <v>12943</v>
      </c>
      <c r="U1999" s="21" t="s">
        <v>72</v>
      </c>
    </row>
    <row r="2000" customFormat="false" ht="26.85" hidden="false" customHeight="false" outlineLevel="0" collapsed="false">
      <c r="A2000" s="15" t="s">
        <v>79</v>
      </c>
      <c r="B2000" s="15" t="s">
        <v>570</v>
      </c>
      <c r="C2000" s="14" t="s">
        <v>12944</v>
      </c>
      <c r="D2000" s="14" t="s">
        <v>12945</v>
      </c>
      <c r="E2000" s="16" t="s">
        <v>12946</v>
      </c>
      <c r="F2000" s="16" t="s">
        <v>12947</v>
      </c>
      <c r="G2000" s="23" t="s">
        <v>43</v>
      </c>
      <c r="H2000" s="18" t="n">
        <v>4</v>
      </c>
      <c r="I2000" s="20" t="n">
        <v>63.22</v>
      </c>
      <c r="J2000" s="20" t="n">
        <v>151.52</v>
      </c>
      <c r="K2000" s="18" t="n">
        <v>19</v>
      </c>
      <c r="L2000" s="18" t="n">
        <v>4</v>
      </c>
      <c r="M2000" s="18" t="n">
        <v>247</v>
      </c>
      <c r="N2000" s="18" t="n">
        <v>8</v>
      </c>
      <c r="O2000" s="14" t="s">
        <v>12948</v>
      </c>
      <c r="P2000" s="14" t="s">
        <v>12949</v>
      </c>
      <c r="Q2000" s="15" t="s">
        <v>1089</v>
      </c>
      <c r="R2000" s="16" t="s">
        <v>7137</v>
      </c>
      <c r="S2000" s="15" t="s">
        <v>12950</v>
      </c>
      <c r="T2000" s="15" t="s">
        <v>12951</v>
      </c>
      <c r="U2000" s="21" t="s">
        <v>72</v>
      </c>
    </row>
    <row r="2001" customFormat="false" ht="15" hidden="false" customHeight="false" outlineLevel="0" collapsed="false">
      <c r="A2001" s="15" t="s">
        <v>79</v>
      </c>
      <c r="B2001" s="15" t="s">
        <v>570</v>
      </c>
      <c r="C2001" s="14" t="s">
        <v>12952</v>
      </c>
      <c r="D2001" s="14" t="s">
        <v>12953</v>
      </c>
      <c r="E2001" s="16" t="s">
        <v>12954</v>
      </c>
      <c r="F2001" s="16" t="s">
        <v>12955</v>
      </c>
      <c r="G2001" s="23" t="s">
        <v>43</v>
      </c>
      <c r="H2001" s="18" t="n">
        <v>2</v>
      </c>
      <c r="I2001" s="20" t="n">
        <v>32.17</v>
      </c>
      <c r="J2001" s="20" t="n">
        <v>100.84</v>
      </c>
      <c r="K2001" s="18" t="n">
        <v>4</v>
      </c>
      <c r="L2001" s="18" t="n">
        <v>2</v>
      </c>
      <c r="M2001" s="18" t="n">
        <v>52</v>
      </c>
      <c r="N2001" s="18" t="n">
        <v>52</v>
      </c>
      <c r="O2001" s="14" t="s">
        <v>1126</v>
      </c>
      <c r="P2001" s="14" t="s">
        <v>84</v>
      </c>
      <c r="Q2001" s="15" t="s">
        <v>1089</v>
      </c>
      <c r="R2001" s="16" t="s">
        <v>12956</v>
      </c>
      <c r="S2001" s="15" t="s">
        <v>12957</v>
      </c>
      <c r="T2001" s="15" t="s">
        <v>12957</v>
      </c>
      <c r="U2001" s="21" t="s">
        <v>72</v>
      </c>
    </row>
    <row r="2002" customFormat="false" ht="15" hidden="false" customHeight="false" outlineLevel="0" collapsed="false">
      <c r="A2002" s="15" t="s">
        <v>79</v>
      </c>
      <c r="B2002" s="15" t="s">
        <v>570</v>
      </c>
      <c r="C2002" s="14" t="s">
        <v>12958</v>
      </c>
      <c r="D2002" s="14" t="s">
        <v>12959</v>
      </c>
      <c r="E2002" s="16" t="s">
        <v>12960</v>
      </c>
      <c r="F2002" s="16" t="s">
        <v>12961</v>
      </c>
      <c r="G2002" s="23" t="s">
        <v>43</v>
      </c>
      <c r="H2002" s="18" t="n">
        <v>2</v>
      </c>
      <c r="I2002" s="20" t="n">
        <v>31.9</v>
      </c>
      <c r="J2002" s="20" t="n">
        <v>40.79</v>
      </c>
      <c r="K2002" s="18" t="n">
        <v>2</v>
      </c>
      <c r="L2002" s="18" t="n">
        <v>3</v>
      </c>
      <c r="M2002" s="18" t="n">
        <v>28</v>
      </c>
      <c r="N2002" s="18" t="n">
        <v>28</v>
      </c>
      <c r="O2002" s="14" t="s">
        <v>1126</v>
      </c>
      <c r="P2002" s="14" t="s">
        <v>84</v>
      </c>
      <c r="Q2002" s="15" t="s">
        <v>1089</v>
      </c>
      <c r="R2002" s="16" t="s">
        <v>12962</v>
      </c>
      <c r="S2002" s="15" t="s">
        <v>12963</v>
      </c>
      <c r="T2002" s="15" t="s">
        <v>12964</v>
      </c>
      <c r="U2002" s="21" t="s">
        <v>72</v>
      </c>
    </row>
    <row r="2003" customFormat="false" ht="15" hidden="false" customHeight="false" outlineLevel="0" collapsed="false">
      <c r="A2003" s="15" t="s">
        <v>79</v>
      </c>
      <c r="B2003" s="15" t="s">
        <v>570</v>
      </c>
      <c r="C2003" s="14" t="s">
        <v>12965</v>
      </c>
      <c r="D2003" s="14" t="s">
        <v>12966</v>
      </c>
      <c r="E2003" s="16" t="s">
        <v>12967</v>
      </c>
      <c r="F2003" s="16" t="s">
        <v>12968</v>
      </c>
      <c r="G2003" s="23" t="s">
        <v>43</v>
      </c>
      <c r="H2003" s="18" t="n">
        <v>3</v>
      </c>
      <c r="I2003" s="20" t="n">
        <v>53.83</v>
      </c>
      <c r="J2003" s="20" t="n">
        <v>156.21</v>
      </c>
      <c r="K2003" s="18" t="n">
        <v>15</v>
      </c>
      <c r="L2003" s="18" t="n">
        <v>4</v>
      </c>
      <c r="M2003" s="18" t="n">
        <v>236</v>
      </c>
      <c r="N2003" s="18" t="n">
        <v>78</v>
      </c>
      <c r="O2003" s="14" t="s">
        <v>10652</v>
      </c>
      <c r="P2003" s="14" t="s">
        <v>118</v>
      </c>
      <c r="Q2003" s="15" t="s">
        <v>1089</v>
      </c>
      <c r="R2003" s="16" t="s">
        <v>12969</v>
      </c>
      <c r="S2003" s="15" t="s">
        <v>10406</v>
      </c>
      <c r="T2003" s="15" t="s">
        <v>12970</v>
      </c>
      <c r="U2003" s="21" t="s">
        <v>72</v>
      </c>
    </row>
    <row r="2004" customFormat="false" ht="15" hidden="false" customHeight="false" outlineLevel="0" collapsed="false">
      <c r="A2004" s="15" t="s">
        <v>79</v>
      </c>
      <c r="B2004" s="15" t="s">
        <v>570</v>
      </c>
      <c r="C2004" s="14" t="s">
        <v>12971</v>
      </c>
      <c r="D2004" s="14" t="s">
        <v>12972</v>
      </c>
      <c r="E2004" s="16" t="s">
        <v>12973</v>
      </c>
      <c r="F2004" s="16" t="s">
        <v>12974</v>
      </c>
      <c r="G2004" s="23" t="s">
        <v>43</v>
      </c>
      <c r="H2004" s="18" t="n">
        <v>4</v>
      </c>
      <c r="I2004" s="20" t="n">
        <v>67.08</v>
      </c>
      <c r="J2004" s="20" t="n">
        <v>168.54</v>
      </c>
      <c r="K2004" s="18" t="n">
        <v>20</v>
      </c>
      <c r="L2004" s="18" t="n">
        <v>5</v>
      </c>
      <c r="M2004" s="18" t="n">
        <v>310</v>
      </c>
      <c r="N2004" s="18" t="n">
        <v>112</v>
      </c>
      <c r="O2004" s="14" t="s">
        <v>10652</v>
      </c>
      <c r="P2004" s="14" t="s">
        <v>94</v>
      </c>
      <c r="Q2004" s="15" t="s">
        <v>1089</v>
      </c>
      <c r="R2004" s="16" t="s">
        <v>12975</v>
      </c>
      <c r="S2004" s="15" t="s">
        <v>12976</v>
      </c>
      <c r="T2004" s="15" t="s">
        <v>12976</v>
      </c>
      <c r="U2004" s="21" t="s">
        <v>72</v>
      </c>
    </row>
    <row r="2005" customFormat="false" ht="26.85" hidden="false" customHeight="false" outlineLevel="0" collapsed="false">
      <c r="A2005" s="15" t="s">
        <v>79</v>
      </c>
      <c r="B2005" s="15" t="s">
        <v>570</v>
      </c>
      <c r="C2005" s="14" t="s">
        <v>12977</v>
      </c>
      <c r="D2005" s="14" t="s">
        <v>12978</v>
      </c>
      <c r="E2005" s="16" t="s">
        <v>12979</v>
      </c>
      <c r="F2005" s="16" t="s">
        <v>12980</v>
      </c>
      <c r="G2005" s="23" t="s">
        <v>43</v>
      </c>
      <c r="H2005" s="18" t="n">
        <v>4</v>
      </c>
      <c r="I2005" s="20" t="n">
        <v>78.9</v>
      </c>
      <c r="J2005" s="20" t="n">
        <v>168</v>
      </c>
      <c r="K2005" s="18" t="n">
        <v>4</v>
      </c>
      <c r="L2005" s="18" t="n">
        <v>4</v>
      </c>
      <c r="M2005" s="18" t="n">
        <v>76</v>
      </c>
      <c r="N2005" s="18" t="n">
        <v>76</v>
      </c>
      <c r="O2005" s="14" t="s">
        <v>12981</v>
      </c>
      <c r="P2005" s="14" t="s">
        <v>84</v>
      </c>
      <c r="Q2005" s="15" t="s">
        <v>1089</v>
      </c>
      <c r="R2005" s="16" t="s">
        <v>12982</v>
      </c>
      <c r="S2005" s="15" t="s">
        <v>12983</v>
      </c>
      <c r="T2005" s="15" t="s">
        <v>12984</v>
      </c>
      <c r="U2005" s="21" t="s">
        <v>72</v>
      </c>
    </row>
    <row r="2006" customFormat="false" ht="15" hidden="false" customHeight="false" outlineLevel="0" collapsed="false">
      <c r="A2006" s="15" t="s">
        <v>79</v>
      </c>
      <c r="B2006" s="15" t="s">
        <v>570</v>
      </c>
      <c r="C2006" s="14" t="s">
        <v>12985</v>
      </c>
      <c r="D2006" s="14" t="s">
        <v>12986</v>
      </c>
      <c r="E2006" s="16" t="s">
        <v>12987</v>
      </c>
      <c r="F2006" s="16" t="s">
        <v>12988</v>
      </c>
      <c r="G2006" s="25" t="s">
        <v>39</v>
      </c>
      <c r="H2006" s="18" t="n">
        <v>9</v>
      </c>
      <c r="I2006" s="20" t="n">
        <v>215.8</v>
      </c>
      <c r="J2006" s="20" t="n">
        <v>408.57</v>
      </c>
      <c r="K2006" s="18" t="n">
        <v>63</v>
      </c>
      <c r="L2006" s="18" t="n">
        <v>20</v>
      </c>
      <c r="M2006" s="18" t="n">
        <v>1201</v>
      </c>
      <c r="N2006" s="18" t="n">
        <v>193</v>
      </c>
      <c r="O2006" s="14" t="s">
        <v>5962</v>
      </c>
      <c r="P2006" s="14" t="s">
        <v>118</v>
      </c>
      <c r="Q2006" s="15" t="s">
        <v>1089</v>
      </c>
      <c r="R2006" s="16" t="s">
        <v>12989</v>
      </c>
      <c r="S2006" s="15" t="s">
        <v>10772</v>
      </c>
      <c r="T2006" s="15" t="s">
        <v>12990</v>
      </c>
      <c r="U2006" s="21" t="s">
        <v>72</v>
      </c>
    </row>
    <row r="2007" customFormat="false" ht="15" hidden="false" customHeight="false" outlineLevel="0" collapsed="false">
      <c r="A2007" s="15" t="s">
        <v>79</v>
      </c>
      <c r="B2007" s="15" t="s">
        <v>570</v>
      </c>
      <c r="C2007" s="14" t="s">
        <v>12991</v>
      </c>
      <c r="D2007" s="14" t="s">
        <v>12992</v>
      </c>
      <c r="E2007" s="16" t="s">
        <v>12993</v>
      </c>
      <c r="F2007" s="16" t="s">
        <v>12994</v>
      </c>
      <c r="G2007" s="19" t="s">
        <v>41</v>
      </c>
      <c r="H2007" s="18" t="n">
        <v>5</v>
      </c>
      <c r="I2007" s="20" t="n">
        <v>111.36</v>
      </c>
      <c r="J2007" s="20" t="n">
        <v>307.35</v>
      </c>
      <c r="K2007" s="18" t="n">
        <v>10</v>
      </c>
      <c r="L2007" s="18" t="n">
        <v>9</v>
      </c>
      <c r="M2007" s="18" t="n">
        <v>132</v>
      </c>
      <c r="N2007" s="18" t="n">
        <v>33</v>
      </c>
      <c r="O2007" s="14" t="s">
        <v>1126</v>
      </c>
      <c r="P2007" s="14" t="s">
        <v>118</v>
      </c>
      <c r="Q2007" s="15" t="s">
        <v>1089</v>
      </c>
      <c r="R2007" s="16" t="s">
        <v>12995</v>
      </c>
      <c r="S2007" s="15" t="s">
        <v>12996</v>
      </c>
      <c r="T2007" s="15" t="s">
        <v>12996</v>
      </c>
      <c r="U2007" s="21" t="s">
        <v>72</v>
      </c>
    </row>
    <row r="2008" customFormat="false" ht="15" hidden="false" customHeight="false" outlineLevel="0" collapsed="false">
      <c r="A2008" s="15" t="s">
        <v>79</v>
      </c>
      <c r="B2008" s="15" t="s">
        <v>570</v>
      </c>
      <c r="C2008" s="14" t="s">
        <v>12997</v>
      </c>
      <c r="D2008" s="14" t="s">
        <v>12998</v>
      </c>
      <c r="E2008" s="16" t="s">
        <v>12999</v>
      </c>
      <c r="F2008" s="16" t="s">
        <v>13000</v>
      </c>
      <c r="G2008" s="23" t="s">
        <v>43</v>
      </c>
      <c r="H2008" s="18" t="n">
        <v>4</v>
      </c>
      <c r="I2008" s="20" t="n">
        <v>62.95</v>
      </c>
      <c r="J2008" s="20" t="n">
        <v>153.64</v>
      </c>
      <c r="K2008" s="18" t="n">
        <v>7</v>
      </c>
      <c r="L2008" s="18" t="n">
        <v>8</v>
      </c>
      <c r="M2008" s="18" t="n">
        <v>92</v>
      </c>
      <c r="N2008" s="18" t="n">
        <v>55</v>
      </c>
      <c r="O2008" s="14" t="s">
        <v>9111</v>
      </c>
      <c r="P2008" s="14" t="s">
        <v>118</v>
      </c>
      <c r="Q2008" s="15" t="s">
        <v>1089</v>
      </c>
      <c r="R2008" s="16" t="s">
        <v>13001</v>
      </c>
      <c r="S2008" s="15" t="s">
        <v>13002</v>
      </c>
      <c r="T2008" s="15" t="s">
        <v>13003</v>
      </c>
      <c r="U2008" s="21" t="s">
        <v>72</v>
      </c>
    </row>
    <row r="2009" customFormat="false" ht="26.85" hidden="false" customHeight="false" outlineLevel="0" collapsed="false">
      <c r="A2009" s="15" t="s">
        <v>79</v>
      </c>
      <c r="B2009" s="15" t="s">
        <v>570</v>
      </c>
      <c r="C2009" s="14" t="s">
        <v>13004</v>
      </c>
      <c r="D2009" s="14" t="s">
        <v>13005</v>
      </c>
      <c r="E2009" s="16" t="s">
        <v>13006</v>
      </c>
      <c r="F2009" s="16" t="s">
        <v>10416</v>
      </c>
      <c r="G2009" s="19" t="s">
        <v>41</v>
      </c>
      <c r="H2009" s="18" t="n">
        <v>4</v>
      </c>
      <c r="I2009" s="20" t="n">
        <v>127.58</v>
      </c>
      <c r="J2009" s="20" t="n">
        <v>364.72</v>
      </c>
      <c r="K2009" s="18" t="n">
        <v>5</v>
      </c>
      <c r="L2009" s="18" t="n">
        <v>6</v>
      </c>
      <c r="M2009" s="18" t="n">
        <v>143</v>
      </c>
      <c r="N2009" s="18" t="n">
        <v>122</v>
      </c>
      <c r="O2009" s="14" t="s">
        <v>13007</v>
      </c>
      <c r="P2009" s="14" t="s">
        <v>118</v>
      </c>
      <c r="Q2009" s="15" t="s">
        <v>1089</v>
      </c>
      <c r="R2009" s="16" t="s">
        <v>13008</v>
      </c>
      <c r="S2009" s="15" t="s">
        <v>10405</v>
      </c>
      <c r="T2009" s="15" t="s">
        <v>13009</v>
      </c>
      <c r="U2009" s="21" t="s">
        <v>72</v>
      </c>
    </row>
    <row r="2010" customFormat="false" ht="26.85" hidden="false" customHeight="false" outlineLevel="0" collapsed="false">
      <c r="A2010" s="15" t="s">
        <v>79</v>
      </c>
      <c r="B2010" s="15" t="s">
        <v>570</v>
      </c>
      <c r="C2010" s="14" t="s">
        <v>13010</v>
      </c>
      <c r="D2010" s="14" t="s">
        <v>13011</v>
      </c>
      <c r="E2010" s="16" t="s">
        <v>13012</v>
      </c>
      <c r="F2010" s="16" t="s">
        <v>13013</v>
      </c>
      <c r="G2010" s="19" t="s">
        <v>41</v>
      </c>
      <c r="H2010" s="18" t="n">
        <v>5</v>
      </c>
      <c r="I2010" s="20" t="n">
        <v>146.06</v>
      </c>
      <c r="J2010" s="20" t="n">
        <v>224.04</v>
      </c>
      <c r="K2010" s="18" t="n">
        <v>18</v>
      </c>
      <c r="L2010" s="18" t="n">
        <v>2</v>
      </c>
      <c r="M2010" s="18" t="n">
        <v>493</v>
      </c>
      <c r="N2010" s="18" t="n">
        <v>226</v>
      </c>
      <c r="O2010" s="14" t="s">
        <v>12032</v>
      </c>
      <c r="P2010" s="14" t="s">
        <v>118</v>
      </c>
      <c r="Q2010" s="15" t="s">
        <v>1089</v>
      </c>
      <c r="R2010" s="16" t="s">
        <v>13014</v>
      </c>
      <c r="S2010" s="15" t="s">
        <v>10405</v>
      </c>
      <c r="T2010" s="15" t="s">
        <v>13015</v>
      </c>
      <c r="U2010" s="21" t="s">
        <v>72</v>
      </c>
    </row>
    <row r="2011" customFormat="false" ht="15" hidden="false" customHeight="false" outlineLevel="0" collapsed="false">
      <c r="A2011" s="15" t="s">
        <v>79</v>
      </c>
      <c r="B2011" s="15" t="s">
        <v>570</v>
      </c>
      <c r="C2011" s="14" t="s">
        <v>13016</v>
      </c>
      <c r="D2011" s="14" t="s">
        <v>13017</v>
      </c>
      <c r="E2011" s="16" t="s">
        <v>13018</v>
      </c>
      <c r="F2011" s="16" t="s">
        <v>10416</v>
      </c>
      <c r="G2011" s="19" t="s">
        <v>41</v>
      </c>
      <c r="H2011" s="18" t="n">
        <v>6</v>
      </c>
      <c r="I2011" s="20" t="n">
        <v>230.2</v>
      </c>
      <c r="J2011" s="20" t="n">
        <v>344.49</v>
      </c>
      <c r="K2011" s="18" t="n">
        <v>15</v>
      </c>
      <c r="L2011" s="18" t="n">
        <v>6</v>
      </c>
      <c r="M2011" s="18" t="n">
        <v>507</v>
      </c>
      <c r="N2011" s="18" t="n">
        <v>249</v>
      </c>
      <c r="O2011" s="14" t="s">
        <v>13019</v>
      </c>
      <c r="P2011" s="14" t="s">
        <v>334</v>
      </c>
      <c r="Q2011" s="15" t="s">
        <v>1089</v>
      </c>
      <c r="R2011" s="16" t="s">
        <v>12745</v>
      </c>
      <c r="S2011" s="15" t="s">
        <v>10405</v>
      </c>
      <c r="T2011" s="15" t="s">
        <v>13020</v>
      </c>
      <c r="U2011" s="21" t="s">
        <v>72</v>
      </c>
    </row>
    <row r="2012" customFormat="false" ht="26.85" hidden="false" customHeight="false" outlineLevel="0" collapsed="false">
      <c r="A2012" s="15" t="s">
        <v>79</v>
      </c>
      <c r="B2012" s="15" t="s">
        <v>570</v>
      </c>
      <c r="C2012" s="14" t="s">
        <v>13021</v>
      </c>
      <c r="D2012" s="14" t="s">
        <v>13022</v>
      </c>
      <c r="E2012" s="16" t="s">
        <v>13023</v>
      </c>
      <c r="F2012" s="16" t="s">
        <v>13024</v>
      </c>
      <c r="G2012" s="25" t="s">
        <v>39</v>
      </c>
      <c r="H2012" s="18" t="n">
        <v>8</v>
      </c>
      <c r="I2012" s="20" t="n">
        <v>99.49</v>
      </c>
      <c r="J2012" s="20" t="n">
        <v>177.26</v>
      </c>
      <c r="K2012" s="18" t="n">
        <v>16</v>
      </c>
      <c r="L2012" s="18" t="n">
        <v>3</v>
      </c>
      <c r="M2012" s="18" t="n">
        <v>390</v>
      </c>
      <c r="N2012" s="18" t="n">
        <v>224</v>
      </c>
      <c r="O2012" s="14" t="s">
        <v>13025</v>
      </c>
      <c r="P2012" s="14" t="s">
        <v>334</v>
      </c>
      <c r="Q2012" s="15" t="s">
        <v>1089</v>
      </c>
      <c r="R2012" s="16" t="s">
        <v>12745</v>
      </c>
      <c r="S2012" s="15" t="s">
        <v>10405</v>
      </c>
      <c r="T2012" s="15" t="s">
        <v>13026</v>
      </c>
      <c r="U2012" s="21" t="s">
        <v>72</v>
      </c>
    </row>
    <row r="2013" customFormat="false" ht="15" hidden="false" customHeight="false" outlineLevel="0" collapsed="false">
      <c r="A2013" s="15" t="s">
        <v>79</v>
      </c>
      <c r="B2013" s="15" t="s">
        <v>570</v>
      </c>
      <c r="C2013" s="14" t="s">
        <v>13027</v>
      </c>
      <c r="D2013" s="14" t="s">
        <v>13028</v>
      </c>
      <c r="E2013" s="16" t="s">
        <v>13029</v>
      </c>
      <c r="F2013" s="16" t="s">
        <v>13030</v>
      </c>
      <c r="G2013" s="19" t="s">
        <v>41</v>
      </c>
      <c r="H2013" s="18" t="n">
        <v>5</v>
      </c>
      <c r="I2013" s="20" t="n">
        <v>57.66</v>
      </c>
      <c r="J2013" s="20" t="n">
        <v>199.97</v>
      </c>
      <c r="K2013" s="18" t="n">
        <v>5</v>
      </c>
      <c r="L2013" s="18" t="n">
        <v>3</v>
      </c>
      <c r="M2013" s="18" t="n">
        <v>87</v>
      </c>
      <c r="N2013" s="18" t="n">
        <v>87</v>
      </c>
      <c r="O2013" s="14" t="s">
        <v>1126</v>
      </c>
      <c r="P2013" s="14" t="s">
        <v>84</v>
      </c>
      <c r="Q2013" s="15" t="s">
        <v>1089</v>
      </c>
      <c r="R2013" s="16" t="s">
        <v>12164</v>
      </c>
      <c r="S2013" s="15" t="s">
        <v>13031</v>
      </c>
      <c r="T2013" s="15" t="s">
        <v>13031</v>
      </c>
      <c r="U2013" s="21" t="s">
        <v>72</v>
      </c>
    </row>
    <row r="2014" customFormat="false" ht="15" hidden="false" customHeight="false" outlineLevel="0" collapsed="false">
      <c r="A2014" s="15" t="s">
        <v>79</v>
      </c>
      <c r="B2014" s="15" t="s">
        <v>570</v>
      </c>
      <c r="C2014" s="14" t="s">
        <v>13032</v>
      </c>
      <c r="D2014" s="14" t="s">
        <v>13033</v>
      </c>
      <c r="E2014" s="16" t="s">
        <v>13034</v>
      </c>
      <c r="F2014" s="16" t="s">
        <v>13035</v>
      </c>
      <c r="G2014" s="23" t="s">
        <v>43</v>
      </c>
      <c r="H2014" s="18" t="n">
        <v>2</v>
      </c>
      <c r="I2014" s="20" t="n">
        <v>33.34</v>
      </c>
      <c r="J2014" s="20" t="n">
        <v>84.96</v>
      </c>
      <c r="K2014" s="18" t="n">
        <v>4</v>
      </c>
      <c r="L2014" s="18"/>
      <c r="M2014" s="18" t="n">
        <v>54</v>
      </c>
      <c r="N2014" s="18" t="n">
        <v>24</v>
      </c>
      <c r="O2014" s="14" t="s">
        <v>1126</v>
      </c>
      <c r="P2014" s="14" t="s">
        <v>118</v>
      </c>
      <c r="Q2014" s="15" t="s">
        <v>1089</v>
      </c>
      <c r="R2014" s="16" t="s">
        <v>10202</v>
      </c>
      <c r="S2014" s="15" t="s">
        <v>13036</v>
      </c>
      <c r="T2014" s="15" t="s">
        <v>13037</v>
      </c>
      <c r="U2014" s="21" t="s">
        <v>72</v>
      </c>
    </row>
    <row r="2015" customFormat="false" ht="15" hidden="false" customHeight="false" outlineLevel="0" collapsed="false">
      <c r="A2015" s="15" t="s">
        <v>79</v>
      </c>
      <c r="B2015" s="15" t="s">
        <v>570</v>
      </c>
      <c r="C2015" s="14" t="s">
        <v>13038</v>
      </c>
      <c r="D2015" s="14" t="s">
        <v>13039</v>
      </c>
      <c r="E2015" s="16" t="s">
        <v>13040</v>
      </c>
      <c r="F2015" s="16" t="s">
        <v>13041</v>
      </c>
      <c r="G2015" s="23" t="s">
        <v>43</v>
      </c>
      <c r="H2015" s="18" t="n">
        <v>4</v>
      </c>
      <c r="I2015" s="20" t="n">
        <v>52.58</v>
      </c>
      <c r="J2015" s="20" t="n">
        <v>181.59</v>
      </c>
      <c r="K2015" s="18" t="n">
        <v>5</v>
      </c>
      <c r="L2015" s="18" t="n">
        <v>4</v>
      </c>
      <c r="M2015" s="18" t="n">
        <v>60</v>
      </c>
      <c r="N2015" s="18" t="n">
        <v>60</v>
      </c>
      <c r="O2015" s="14" t="s">
        <v>1088</v>
      </c>
      <c r="P2015" s="14" t="s">
        <v>84</v>
      </c>
      <c r="Q2015" s="15" t="s">
        <v>1089</v>
      </c>
      <c r="R2015" s="16" t="s">
        <v>13042</v>
      </c>
      <c r="S2015" s="15" t="s">
        <v>13043</v>
      </c>
      <c r="T2015" s="15" t="s">
        <v>10120</v>
      </c>
      <c r="U2015" s="21" t="s">
        <v>72</v>
      </c>
    </row>
    <row r="2016" customFormat="false" ht="15" hidden="false" customHeight="false" outlineLevel="0" collapsed="false">
      <c r="A2016" s="15" t="s">
        <v>79</v>
      </c>
      <c r="B2016" s="15" t="s">
        <v>570</v>
      </c>
      <c r="C2016" s="14" t="s">
        <v>13044</v>
      </c>
      <c r="D2016" s="14" t="s">
        <v>13045</v>
      </c>
      <c r="E2016" s="16" t="s">
        <v>13046</v>
      </c>
      <c r="F2016" s="16" t="s">
        <v>13047</v>
      </c>
      <c r="G2016" s="23" t="s">
        <v>43</v>
      </c>
      <c r="H2016" s="18" t="n">
        <v>3</v>
      </c>
      <c r="I2016" s="20" t="n">
        <v>68.62</v>
      </c>
      <c r="J2016" s="20" t="n">
        <v>162.09</v>
      </c>
      <c r="K2016" s="18" t="n">
        <v>7</v>
      </c>
      <c r="L2016" s="18" t="n">
        <v>6</v>
      </c>
      <c r="M2016" s="18" t="n">
        <v>129</v>
      </c>
      <c r="N2016" s="18" t="n">
        <v>57</v>
      </c>
      <c r="O2016" s="14" t="s">
        <v>1126</v>
      </c>
      <c r="P2016" s="14" t="s">
        <v>84</v>
      </c>
      <c r="Q2016" s="15" t="s">
        <v>1089</v>
      </c>
      <c r="R2016" s="16" t="s">
        <v>13048</v>
      </c>
      <c r="S2016" s="15" t="s">
        <v>13049</v>
      </c>
      <c r="T2016" s="15" t="s">
        <v>13049</v>
      </c>
      <c r="U2016" s="21" t="s">
        <v>72</v>
      </c>
    </row>
    <row r="2017" customFormat="false" ht="15" hidden="false" customHeight="false" outlineLevel="0" collapsed="false">
      <c r="A2017" s="15" t="s">
        <v>79</v>
      </c>
      <c r="B2017" s="15" t="s">
        <v>570</v>
      </c>
      <c r="C2017" s="14" t="s">
        <v>13050</v>
      </c>
      <c r="D2017" s="14" t="s">
        <v>13051</v>
      </c>
      <c r="E2017" s="16" t="s">
        <v>13052</v>
      </c>
      <c r="F2017" s="16" t="s">
        <v>13053</v>
      </c>
      <c r="G2017" s="23" t="s">
        <v>43</v>
      </c>
      <c r="H2017" s="18" t="n">
        <v>4</v>
      </c>
      <c r="I2017" s="20" t="n">
        <v>70.34</v>
      </c>
      <c r="J2017" s="20" t="n">
        <v>181.62</v>
      </c>
      <c r="K2017" s="18" t="n">
        <v>6</v>
      </c>
      <c r="L2017" s="18" t="n">
        <v>2</v>
      </c>
      <c r="M2017" s="18" t="n">
        <v>82</v>
      </c>
      <c r="N2017" s="18" t="n">
        <v>41</v>
      </c>
      <c r="O2017" s="14" t="s">
        <v>13054</v>
      </c>
      <c r="P2017" s="14" t="s">
        <v>84</v>
      </c>
      <c r="Q2017" s="15" t="s">
        <v>1089</v>
      </c>
      <c r="R2017" s="16" t="s">
        <v>13055</v>
      </c>
      <c r="S2017" s="15" t="s">
        <v>13056</v>
      </c>
      <c r="T2017" s="15" t="s">
        <v>13057</v>
      </c>
      <c r="U2017" s="21" t="s">
        <v>72</v>
      </c>
    </row>
    <row r="2018" customFormat="false" ht="15" hidden="false" customHeight="false" outlineLevel="0" collapsed="false">
      <c r="A2018" s="15" t="s">
        <v>79</v>
      </c>
      <c r="B2018" s="15" t="s">
        <v>570</v>
      </c>
      <c r="C2018" s="14" t="s">
        <v>13058</v>
      </c>
      <c r="D2018" s="14" t="s">
        <v>13059</v>
      </c>
      <c r="E2018" s="16" t="s">
        <v>13060</v>
      </c>
      <c r="F2018" s="16" t="s">
        <v>13061</v>
      </c>
      <c r="G2018" s="23" t="s">
        <v>43</v>
      </c>
      <c r="H2018" s="18" t="n">
        <v>2</v>
      </c>
      <c r="I2018" s="20" t="n">
        <v>96</v>
      </c>
      <c r="J2018" s="20" t="n">
        <v>168.36</v>
      </c>
      <c r="K2018" s="18" t="n">
        <v>18</v>
      </c>
      <c r="L2018" s="18" t="n">
        <v>3</v>
      </c>
      <c r="M2018" s="18" t="n">
        <v>720</v>
      </c>
      <c r="N2018" s="18" t="n">
        <v>240</v>
      </c>
      <c r="O2018" s="14" t="s">
        <v>1126</v>
      </c>
      <c r="P2018" s="14" t="s">
        <v>202</v>
      </c>
      <c r="Q2018" s="15" t="s">
        <v>1089</v>
      </c>
      <c r="R2018" s="16" t="s">
        <v>13062</v>
      </c>
      <c r="S2018" s="15" t="s">
        <v>13063</v>
      </c>
      <c r="T2018" s="15" t="s">
        <v>13063</v>
      </c>
      <c r="U2018" s="21" t="s">
        <v>72</v>
      </c>
    </row>
    <row r="2019" customFormat="false" ht="26.85" hidden="false" customHeight="false" outlineLevel="0" collapsed="false">
      <c r="A2019" s="15" t="s">
        <v>79</v>
      </c>
      <c r="B2019" s="15" t="s">
        <v>570</v>
      </c>
      <c r="C2019" s="14" t="s">
        <v>13064</v>
      </c>
      <c r="D2019" s="14" t="s">
        <v>13065</v>
      </c>
      <c r="E2019" s="16" t="s">
        <v>13066</v>
      </c>
      <c r="F2019" s="16" t="s">
        <v>13067</v>
      </c>
      <c r="G2019" s="23" t="s">
        <v>43</v>
      </c>
      <c r="H2019" s="18" t="n">
        <v>3</v>
      </c>
      <c r="I2019" s="20" t="n">
        <v>50.06</v>
      </c>
      <c r="J2019" s="20" t="n">
        <v>196.84</v>
      </c>
      <c r="K2019" s="18" t="n">
        <v>8</v>
      </c>
      <c r="L2019" s="18" t="n">
        <v>3</v>
      </c>
      <c r="M2019" s="18" t="n">
        <v>130</v>
      </c>
      <c r="N2019" s="18" t="n">
        <v>84</v>
      </c>
      <c r="O2019" s="14" t="s">
        <v>13068</v>
      </c>
      <c r="P2019" s="14" t="s">
        <v>334</v>
      </c>
      <c r="Q2019" s="15" t="s">
        <v>1089</v>
      </c>
      <c r="R2019" s="16" t="s">
        <v>12827</v>
      </c>
      <c r="S2019" s="15" t="s">
        <v>13069</v>
      </c>
      <c r="T2019" s="15" t="s">
        <v>13069</v>
      </c>
      <c r="U2019" s="21" t="s">
        <v>72</v>
      </c>
    </row>
    <row r="2020" customFormat="false" ht="15" hidden="false" customHeight="false" outlineLevel="0" collapsed="false">
      <c r="A2020" s="15" t="s">
        <v>79</v>
      </c>
      <c r="B2020" s="15" t="s">
        <v>570</v>
      </c>
      <c r="C2020" s="14" t="s">
        <v>13070</v>
      </c>
      <c r="D2020" s="14" t="s">
        <v>13071</v>
      </c>
      <c r="E2020" s="16" t="s">
        <v>13072</v>
      </c>
      <c r="F2020" s="16" t="s">
        <v>13073</v>
      </c>
      <c r="G2020" s="19" t="s">
        <v>41</v>
      </c>
      <c r="H2020" s="18" t="n">
        <v>5</v>
      </c>
      <c r="I2020" s="20" t="n">
        <v>52.63</v>
      </c>
      <c r="J2020" s="20" t="n">
        <v>98.45</v>
      </c>
      <c r="K2020" s="18" t="n">
        <v>21</v>
      </c>
      <c r="L2020" s="18" t="n">
        <v>3</v>
      </c>
      <c r="M2020" s="18" t="n">
        <v>166</v>
      </c>
      <c r="N2020" s="18" t="n">
        <v>14</v>
      </c>
      <c r="O2020" s="14" t="s">
        <v>13074</v>
      </c>
      <c r="P2020" s="14" t="s">
        <v>1716</v>
      </c>
      <c r="Q2020" s="15" t="s">
        <v>1089</v>
      </c>
      <c r="R2020" s="16" t="s">
        <v>13075</v>
      </c>
      <c r="S2020" s="15" t="s">
        <v>13076</v>
      </c>
      <c r="T2020" s="15" t="s">
        <v>13076</v>
      </c>
      <c r="U2020" s="21" t="s">
        <v>72</v>
      </c>
    </row>
    <row r="2021" customFormat="false" ht="52.2" hidden="false" customHeight="false" outlineLevel="0" collapsed="false">
      <c r="A2021" s="15" t="s">
        <v>79</v>
      </c>
      <c r="B2021" s="15" t="s">
        <v>570</v>
      </c>
      <c r="C2021" s="14" t="s">
        <v>13077</v>
      </c>
      <c r="D2021" s="14" t="s">
        <v>13078</v>
      </c>
      <c r="E2021" s="16" t="s">
        <v>13079</v>
      </c>
      <c r="F2021" s="16" t="s">
        <v>13080</v>
      </c>
      <c r="G2021" s="19" t="s">
        <v>41</v>
      </c>
      <c r="H2021" s="18" t="n">
        <v>6</v>
      </c>
      <c r="I2021" s="20" t="n">
        <v>82.25</v>
      </c>
      <c r="J2021" s="20" t="n">
        <v>149.53</v>
      </c>
      <c r="K2021" s="18" t="n">
        <v>103</v>
      </c>
      <c r="L2021" s="18" t="n">
        <v>24</v>
      </c>
      <c r="M2021" s="18" t="n">
        <v>1302</v>
      </c>
      <c r="N2021" s="18" t="n">
        <v>612</v>
      </c>
      <c r="O2021" s="14" t="s">
        <v>13081</v>
      </c>
      <c r="P2021" s="14" t="s">
        <v>84</v>
      </c>
      <c r="Q2021" s="15" t="s">
        <v>1089</v>
      </c>
      <c r="R2021" s="16" t="s">
        <v>13082</v>
      </c>
      <c r="S2021" s="15" t="s">
        <v>13083</v>
      </c>
      <c r="T2021" s="15" t="s">
        <v>13083</v>
      </c>
      <c r="U2021" s="21" t="s">
        <v>72</v>
      </c>
    </row>
    <row r="2022" customFormat="false" ht="15" hidden="false" customHeight="false" outlineLevel="0" collapsed="false">
      <c r="A2022" s="15" t="s">
        <v>79</v>
      </c>
      <c r="B2022" s="15" t="s">
        <v>570</v>
      </c>
      <c r="C2022" s="14" t="s">
        <v>13084</v>
      </c>
      <c r="D2022" s="14" t="s">
        <v>13085</v>
      </c>
      <c r="E2022" s="16" t="s">
        <v>13086</v>
      </c>
      <c r="F2022" s="16" t="s">
        <v>13087</v>
      </c>
      <c r="G2022" s="23" t="s">
        <v>43</v>
      </c>
      <c r="H2022" s="18" t="n">
        <v>1</v>
      </c>
      <c r="I2022" s="20" t="n">
        <v>33.36</v>
      </c>
      <c r="J2022" s="20" t="n">
        <v>65.11</v>
      </c>
      <c r="K2022" s="18" t="n">
        <v>2</v>
      </c>
      <c r="L2022" s="18" t="n">
        <v>3</v>
      </c>
      <c r="M2022" s="18" t="n">
        <v>54</v>
      </c>
      <c r="N2022" s="18" t="n">
        <v>54</v>
      </c>
      <c r="O2022" s="14" t="s">
        <v>1126</v>
      </c>
      <c r="P2022" s="14" t="s">
        <v>84</v>
      </c>
      <c r="Q2022" s="15" t="s">
        <v>1089</v>
      </c>
      <c r="R2022" s="16" t="s">
        <v>10958</v>
      </c>
      <c r="S2022" s="15" t="s">
        <v>13088</v>
      </c>
      <c r="T2022" s="15" t="s">
        <v>13088</v>
      </c>
      <c r="U2022" s="21" t="s">
        <v>72</v>
      </c>
    </row>
    <row r="2023" customFormat="false" ht="15" hidden="false" customHeight="false" outlineLevel="0" collapsed="false">
      <c r="A2023" s="15" t="s">
        <v>79</v>
      </c>
      <c r="B2023" s="15" t="s">
        <v>570</v>
      </c>
      <c r="C2023" s="14" t="s">
        <v>13089</v>
      </c>
      <c r="D2023" s="14" t="s">
        <v>13090</v>
      </c>
      <c r="E2023" s="16" t="s">
        <v>13091</v>
      </c>
      <c r="F2023" s="16"/>
      <c r="G2023" s="23" t="s">
        <v>43</v>
      </c>
      <c r="H2023" s="18" t="n">
        <v>3</v>
      </c>
      <c r="I2023" s="20" t="n">
        <v>46.15</v>
      </c>
      <c r="J2023" s="20" t="n">
        <v>97.93</v>
      </c>
      <c r="K2023" s="18" t="n">
        <v>2</v>
      </c>
      <c r="L2023" s="18" t="n">
        <v>3</v>
      </c>
      <c r="M2023" s="18" t="n">
        <v>76</v>
      </c>
      <c r="N2023" s="18" t="n">
        <v>76</v>
      </c>
      <c r="O2023" s="14" t="s">
        <v>1088</v>
      </c>
      <c r="P2023" s="14" t="s">
        <v>84</v>
      </c>
      <c r="Q2023" s="15" t="s">
        <v>1089</v>
      </c>
      <c r="R2023" s="16" t="s">
        <v>13092</v>
      </c>
      <c r="S2023" s="15" t="s">
        <v>13093</v>
      </c>
      <c r="T2023" s="15" t="s">
        <v>13094</v>
      </c>
      <c r="U2023" s="21" t="s">
        <v>72</v>
      </c>
    </row>
    <row r="2024" customFormat="false" ht="15" hidden="false" customHeight="false" outlineLevel="0" collapsed="false">
      <c r="A2024" s="15" t="s">
        <v>79</v>
      </c>
      <c r="B2024" s="15" t="s">
        <v>570</v>
      </c>
      <c r="C2024" s="14" t="s">
        <v>13095</v>
      </c>
      <c r="D2024" s="14" t="s">
        <v>13096</v>
      </c>
      <c r="E2024" s="16" t="s">
        <v>9704</v>
      </c>
      <c r="F2024" s="16" t="s">
        <v>282</v>
      </c>
      <c r="G2024" s="25" t="s">
        <v>39</v>
      </c>
      <c r="H2024" s="18" t="n">
        <v>11</v>
      </c>
      <c r="I2024" s="20" t="n">
        <v>324.32</v>
      </c>
      <c r="J2024" s="20" t="n">
        <v>695.27</v>
      </c>
      <c r="K2024" s="18" t="n">
        <v>12</v>
      </c>
      <c r="L2024" s="18" t="n">
        <v>18</v>
      </c>
      <c r="M2024" s="18" t="n">
        <v>292</v>
      </c>
      <c r="N2024" s="18" t="n">
        <v>292</v>
      </c>
      <c r="O2024" s="14" t="s">
        <v>7240</v>
      </c>
      <c r="P2024" s="14" t="s">
        <v>84</v>
      </c>
      <c r="Q2024" s="15" t="s">
        <v>1089</v>
      </c>
      <c r="R2024" s="16" t="s">
        <v>12348</v>
      </c>
      <c r="S2024" s="15" t="s">
        <v>717</v>
      </c>
      <c r="T2024" s="15" t="s">
        <v>10234</v>
      </c>
      <c r="U2024" s="21" t="s">
        <v>72</v>
      </c>
    </row>
    <row r="2025" customFormat="false" ht="15" hidden="false" customHeight="false" outlineLevel="0" collapsed="false">
      <c r="A2025" s="15" t="s">
        <v>79</v>
      </c>
      <c r="B2025" s="15" t="s">
        <v>570</v>
      </c>
      <c r="C2025" s="14" t="s">
        <v>13097</v>
      </c>
      <c r="D2025" s="14" t="s">
        <v>13098</v>
      </c>
      <c r="E2025" s="16" t="s">
        <v>13099</v>
      </c>
      <c r="F2025" s="16" t="s">
        <v>13100</v>
      </c>
      <c r="G2025" s="23" t="s">
        <v>43</v>
      </c>
      <c r="H2025" s="18" t="n">
        <v>2</v>
      </c>
      <c r="I2025" s="20" t="n">
        <v>36.49</v>
      </c>
      <c r="J2025" s="20" t="n">
        <v>169.26</v>
      </c>
      <c r="K2025" s="18" t="n">
        <v>2</v>
      </c>
      <c r="L2025" s="18" t="n">
        <v>2</v>
      </c>
      <c r="M2025" s="18" t="n">
        <v>22</v>
      </c>
      <c r="N2025" s="18" t="n">
        <v>22</v>
      </c>
      <c r="O2025" s="14" t="s">
        <v>1126</v>
      </c>
      <c r="P2025" s="14" t="s">
        <v>84</v>
      </c>
      <c r="Q2025" s="15" t="s">
        <v>1089</v>
      </c>
      <c r="R2025" s="16" t="s">
        <v>13101</v>
      </c>
      <c r="S2025" s="15" t="s">
        <v>13102</v>
      </c>
      <c r="T2025" s="15" t="s">
        <v>13102</v>
      </c>
      <c r="U2025" s="21" t="s">
        <v>72</v>
      </c>
    </row>
    <row r="2026" customFormat="false" ht="77.6" hidden="false" customHeight="false" outlineLevel="0" collapsed="false">
      <c r="A2026" s="15" t="s">
        <v>79</v>
      </c>
      <c r="B2026" s="15" t="s">
        <v>570</v>
      </c>
      <c r="C2026" s="14" t="s">
        <v>13103</v>
      </c>
      <c r="D2026" s="14" t="s">
        <v>13104</v>
      </c>
      <c r="E2026" s="16" t="s">
        <v>13105</v>
      </c>
      <c r="F2026" s="16" t="s">
        <v>13106</v>
      </c>
      <c r="G2026" s="25" t="s">
        <v>39</v>
      </c>
      <c r="H2026" s="18" t="n">
        <v>10</v>
      </c>
      <c r="I2026" s="20" t="n">
        <v>446.25</v>
      </c>
      <c r="J2026" s="20" t="n">
        <v>854.26</v>
      </c>
      <c r="K2026" s="18" t="n">
        <v>10</v>
      </c>
      <c r="L2026" s="18" t="n">
        <v>3</v>
      </c>
      <c r="M2026" s="18" t="n">
        <v>368</v>
      </c>
      <c r="N2026" s="18" t="n">
        <v>368</v>
      </c>
      <c r="O2026" s="14" t="s">
        <v>13107</v>
      </c>
      <c r="P2026" s="14" t="s">
        <v>84</v>
      </c>
      <c r="Q2026" s="15" t="s">
        <v>1089</v>
      </c>
      <c r="R2026" s="16" t="s">
        <v>13108</v>
      </c>
      <c r="S2026" s="15" t="s">
        <v>13109</v>
      </c>
      <c r="T2026" s="15" t="s">
        <v>13110</v>
      </c>
      <c r="U2026" s="21" t="s">
        <v>72</v>
      </c>
    </row>
    <row r="2027" customFormat="false" ht="39.55" hidden="false" customHeight="false" outlineLevel="0" collapsed="false">
      <c r="A2027" s="15" t="s">
        <v>79</v>
      </c>
      <c r="B2027" s="15" t="s">
        <v>570</v>
      </c>
      <c r="C2027" s="14" t="s">
        <v>13111</v>
      </c>
      <c r="D2027" s="14" t="s">
        <v>13112</v>
      </c>
      <c r="E2027" s="16" t="s">
        <v>13113</v>
      </c>
      <c r="F2027" s="16" t="s">
        <v>13114</v>
      </c>
      <c r="G2027" s="25" t="s">
        <v>39</v>
      </c>
      <c r="H2027" s="18" t="n">
        <v>7</v>
      </c>
      <c r="I2027" s="20" t="n">
        <v>164.42</v>
      </c>
      <c r="J2027" s="20" t="n">
        <v>416.79</v>
      </c>
      <c r="K2027" s="18" t="n">
        <v>15</v>
      </c>
      <c r="L2027" s="18" t="n">
        <v>4</v>
      </c>
      <c r="M2027" s="18" t="n">
        <v>340</v>
      </c>
      <c r="N2027" s="18" t="n">
        <v>230</v>
      </c>
      <c r="O2027" s="14" t="s">
        <v>13115</v>
      </c>
      <c r="P2027" s="14" t="s">
        <v>118</v>
      </c>
      <c r="Q2027" s="15" t="s">
        <v>1089</v>
      </c>
      <c r="R2027" s="16" t="s">
        <v>13116</v>
      </c>
      <c r="S2027" s="15" t="s">
        <v>13117</v>
      </c>
      <c r="T2027" s="15" t="s">
        <v>13117</v>
      </c>
      <c r="U2027" s="21" t="s">
        <v>72</v>
      </c>
    </row>
    <row r="2028" customFormat="false" ht="15" hidden="false" customHeight="false" outlineLevel="0" collapsed="false">
      <c r="A2028" s="15" t="s">
        <v>79</v>
      </c>
      <c r="B2028" s="15" t="s">
        <v>570</v>
      </c>
      <c r="C2028" s="14" t="s">
        <v>13118</v>
      </c>
      <c r="D2028" s="14" t="s">
        <v>13119</v>
      </c>
      <c r="E2028" s="16" t="s">
        <v>13120</v>
      </c>
      <c r="F2028" s="16" t="s">
        <v>13121</v>
      </c>
      <c r="G2028" s="25" t="s">
        <v>39</v>
      </c>
      <c r="H2028" s="18" t="n">
        <v>4</v>
      </c>
      <c r="I2028" s="20" t="n">
        <v>98.02</v>
      </c>
      <c r="J2028" s="20" t="n">
        <v>595.41</v>
      </c>
      <c r="K2028" s="18" t="n">
        <v>4</v>
      </c>
      <c r="L2028" s="18" t="n">
        <v>1</v>
      </c>
      <c r="M2028" s="18" t="n">
        <v>75</v>
      </c>
      <c r="N2028" s="18" t="n">
        <v>60</v>
      </c>
      <c r="O2028" s="14" t="s">
        <v>1126</v>
      </c>
      <c r="P2028" s="14" t="s">
        <v>84</v>
      </c>
      <c r="Q2028" s="15" t="s">
        <v>1089</v>
      </c>
      <c r="R2028" s="16" t="s">
        <v>13122</v>
      </c>
      <c r="S2028" s="15" t="s">
        <v>13123</v>
      </c>
      <c r="T2028" s="15" t="s">
        <v>13124</v>
      </c>
      <c r="U2028" s="21" t="s">
        <v>72</v>
      </c>
    </row>
    <row r="2029" customFormat="false" ht="15" hidden="false" customHeight="false" outlineLevel="0" collapsed="false">
      <c r="A2029" s="15" t="s">
        <v>79</v>
      </c>
      <c r="B2029" s="15" t="s">
        <v>570</v>
      </c>
      <c r="C2029" s="14" t="s">
        <v>13125</v>
      </c>
      <c r="D2029" s="14" t="s">
        <v>13126</v>
      </c>
      <c r="E2029" s="16" t="s">
        <v>13127</v>
      </c>
      <c r="F2029" s="16" t="s">
        <v>13128</v>
      </c>
      <c r="G2029" s="23" t="s">
        <v>43</v>
      </c>
      <c r="H2029" s="18" t="n">
        <v>2</v>
      </c>
      <c r="I2029" s="20" t="n">
        <v>31.03</v>
      </c>
      <c r="J2029" s="20" t="n">
        <v>72.69</v>
      </c>
      <c r="K2029" s="18" t="n">
        <v>3</v>
      </c>
      <c r="L2029" s="18" t="n">
        <v>1</v>
      </c>
      <c r="M2029" s="18" t="n">
        <v>36</v>
      </c>
      <c r="N2029" s="18" t="n">
        <v>26</v>
      </c>
      <c r="O2029" s="14" t="s">
        <v>1126</v>
      </c>
      <c r="P2029" s="14" t="s">
        <v>84</v>
      </c>
      <c r="Q2029" s="15" t="s">
        <v>1089</v>
      </c>
      <c r="R2029" s="16" t="s">
        <v>13129</v>
      </c>
      <c r="S2029" s="15" t="s">
        <v>13130</v>
      </c>
      <c r="T2029" s="15" t="s">
        <v>13130</v>
      </c>
      <c r="U2029" s="21" t="s">
        <v>72</v>
      </c>
    </row>
    <row r="2030" customFormat="false" ht="15" hidden="false" customHeight="false" outlineLevel="0" collapsed="false">
      <c r="A2030" s="15" t="s">
        <v>79</v>
      </c>
      <c r="B2030" s="15" t="s">
        <v>570</v>
      </c>
      <c r="C2030" s="14" t="s">
        <v>13131</v>
      </c>
      <c r="D2030" s="14" t="s">
        <v>13132</v>
      </c>
      <c r="E2030" s="16" t="s">
        <v>13133</v>
      </c>
      <c r="F2030" s="16" t="s">
        <v>12316</v>
      </c>
      <c r="G2030" s="19" t="s">
        <v>41</v>
      </c>
      <c r="H2030" s="18" t="n">
        <v>3</v>
      </c>
      <c r="I2030" s="20" t="n">
        <v>69.87</v>
      </c>
      <c r="J2030" s="20" t="n">
        <v>331.42</v>
      </c>
      <c r="K2030" s="18" t="n">
        <v>7</v>
      </c>
      <c r="L2030" s="18" t="n">
        <v>4</v>
      </c>
      <c r="M2030" s="18" t="n">
        <v>133</v>
      </c>
      <c r="N2030" s="18" t="n">
        <v>38</v>
      </c>
      <c r="O2030" s="14" t="s">
        <v>10757</v>
      </c>
      <c r="P2030" s="14" t="s">
        <v>118</v>
      </c>
      <c r="Q2030" s="15" t="s">
        <v>1089</v>
      </c>
      <c r="R2030" s="16" t="s">
        <v>11654</v>
      </c>
      <c r="S2030" s="15" t="s">
        <v>13134</v>
      </c>
      <c r="T2030" s="16"/>
      <c r="U2030" s="21" t="s">
        <v>72</v>
      </c>
    </row>
    <row r="2031" customFormat="false" ht="15" hidden="false" customHeight="false" outlineLevel="0" collapsed="false">
      <c r="A2031" s="15" t="s">
        <v>79</v>
      </c>
      <c r="B2031" s="15" t="s">
        <v>570</v>
      </c>
      <c r="C2031" s="14" t="s">
        <v>13135</v>
      </c>
      <c r="D2031" s="14" t="s">
        <v>13136</v>
      </c>
      <c r="E2031" s="16" t="s">
        <v>13137</v>
      </c>
      <c r="F2031" s="16" t="s">
        <v>13138</v>
      </c>
      <c r="G2031" s="23" t="s">
        <v>43</v>
      </c>
      <c r="H2031" s="18" t="n">
        <v>2</v>
      </c>
      <c r="I2031" s="20" t="n">
        <v>115.66</v>
      </c>
      <c r="J2031" s="20" t="n">
        <v>199.89</v>
      </c>
      <c r="K2031" s="18" t="n">
        <v>6</v>
      </c>
      <c r="L2031" s="18" t="n">
        <v>2</v>
      </c>
      <c r="M2031" s="18" t="n">
        <v>288</v>
      </c>
      <c r="N2031" s="18" t="n">
        <v>288</v>
      </c>
      <c r="O2031" s="14" t="s">
        <v>1126</v>
      </c>
      <c r="P2031" s="14" t="s">
        <v>84</v>
      </c>
      <c r="Q2031" s="15" t="s">
        <v>1089</v>
      </c>
      <c r="R2031" s="16" t="s">
        <v>13139</v>
      </c>
      <c r="S2031" s="15" t="s">
        <v>13140</v>
      </c>
      <c r="T2031" s="15" t="s">
        <v>13141</v>
      </c>
      <c r="U2031" s="21" t="s">
        <v>72</v>
      </c>
    </row>
    <row r="2032" customFormat="false" ht="15" hidden="false" customHeight="false" outlineLevel="0" collapsed="false">
      <c r="A2032" s="15" t="s">
        <v>79</v>
      </c>
      <c r="B2032" s="15" t="s">
        <v>570</v>
      </c>
      <c r="C2032" s="14" t="s">
        <v>13142</v>
      </c>
      <c r="D2032" s="14" t="s">
        <v>13143</v>
      </c>
      <c r="E2032" s="16" t="s">
        <v>13144</v>
      </c>
      <c r="F2032" s="16" t="s">
        <v>13145</v>
      </c>
      <c r="G2032" s="19" t="s">
        <v>41</v>
      </c>
      <c r="H2032" s="18" t="n">
        <v>4</v>
      </c>
      <c r="I2032" s="20" t="n">
        <v>144.53</v>
      </c>
      <c r="J2032" s="20" t="n">
        <v>316</v>
      </c>
      <c r="K2032" s="18" t="n">
        <v>4</v>
      </c>
      <c r="L2032" s="18" t="n">
        <v>4</v>
      </c>
      <c r="M2032" s="18" t="n">
        <v>128</v>
      </c>
      <c r="N2032" s="18" t="n">
        <v>74</v>
      </c>
      <c r="O2032" s="14" t="s">
        <v>1126</v>
      </c>
      <c r="P2032" s="14" t="s">
        <v>94</v>
      </c>
      <c r="Q2032" s="15" t="s">
        <v>1089</v>
      </c>
      <c r="R2032" s="16" t="s">
        <v>13146</v>
      </c>
      <c r="S2032" s="15" t="s">
        <v>13147</v>
      </c>
      <c r="T2032" s="15" t="s">
        <v>13147</v>
      </c>
      <c r="U2032" s="21" t="s">
        <v>72</v>
      </c>
    </row>
    <row r="2033" customFormat="false" ht="15" hidden="false" customHeight="false" outlineLevel="0" collapsed="false">
      <c r="A2033" s="15" t="s">
        <v>79</v>
      </c>
      <c r="B2033" s="15" t="s">
        <v>570</v>
      </c>
      <c r="C2033" s="14" t="s">
        <v>13148</v>
      </c>
      <c r="D2033" s="14" t="s">
        <v>13149</v>
      </c>
      <c r="E2033" s="16" t="s">
        <v>13150</v>
      </c>
      <c r="F2033" s="16" t="s">
        <v>13151</v>
      </c>
      <c r="G2033" s="23" t="s">
        <v>43</v>
      </c>
      <c r="H2033" s="18" t="n">
        <v>2</v>
      </c>
      <c r="I2033" s="20" t="n">
        <v>45.4</v>
      </c>
      <c r="J2033" s="20" t="n">
        <v>108.78</v>
      </c>
      <c r="K2033" s="18" t="n">
        <v>2</v>
      </c>
      <c r="L2033" s="18" t="n">
        <v>1</v>
      </c>
      <c r="M2033" s="18" t="n">
        <v>32</v>
      </c>
      <c r="N2033" s="18" t="n">
        <v>32</v>
      </c>
      <c r="O2033" s="14" t="s">
        <v>1126</v>
      </c>
      <c r="P2033" s="14" t="s">
        <v>84</v>
      </c>
      <c r="Q2033" s="15" t="s">
        <v>1089</v>
      </c>
      <c r="R2033" s="16" t="s">
        <v>13152</v>
      </c>
      <c r="S2033" s="15" t="s">
        <v>13153</v>
      </c>
      <c r="T2033" s="15" t="s">
        <v>13153</v>
      </c>
      <c r="U2033" s="21" t="s">
        <v>72</v>
      </c>
    </row>
    <row r="2034" customFormat="false" ht="15" hidden="false" customHeight="false" outlineLevel="0" collapsed="false">
      <c r="A2034" s="15" t="s">
        <v>79</v>
      </c>
      <c r="B2034" s="15" t="s">
        <v>570</v>
      </c>
      <c r="C2034" s="14" t="s">
        <v>13154</v>
      </c>
      <c r="D2034" s="14" t="s">
        <v>13155</v>
      </c>
      <c r="E2034" s="16" t="s">
        <v>13156</v>
      </c>
      <c r="F2034" s="16" t="s">
        <v>13157</v>
      </c>
      <c r="G2034" s="23" t="s">
        <v>43</v>
      </c>
      <c r="H2034" s="18" t="n">
        <v>3</v>
      </c>
      <c r="I2034" s="20" t="n">
        <v>47.98</v>
      </c>
      <c r="J2034" s="20" t="n">
        <v>92.36</v>
      </c>
      <c r="K2034" s="18" t="n">
        <v>5</v>
      </c>
      <c r="L2034" s="18" t="n">
        <v>3</v>
      </c>
      <c r="M2034" s="18" t="n">
        <v>68</v>
      </c>
      <c r="N2034" s="18" t="n">
        <v>46</v>
      </c>
      <c r="O2034" s="13" t="s">
        <v>13158</v>
      </c>
      <c r="P2034" s="14" t="s">
        <v>118</v>
      </c>
      <c r="Q2034" s="15" t="s">
        <v>1089</v>
      </c>
      <c r="R2034" s="16" t="s">
        <v>695</v>
      </c>
      <c r="S2034" s="15" t="s">
        <v>13159</v>
      </c>
      <c r="T2034" s="15" t="s">
        <v>13160</v>
      </c>
      <c r="U2034" s="21" t="s">
        <v>72</v>
      </c>
    </row>
    <row r="2035" customFormat="false" ht="15" hidden="false" customHeight="false" outlineLevel="0" collapsed="false">
      <c r="A2035" s="15" t="s">
        <v>79</v>
      </c>
      <c r="B2035" s="15" t="s">
        <v>570</v>
      </c>
      <c r="C2035" s="14" t="s">
        <v>13161</v>
      </c>
      <c r="D2035" s="14" t="s">
        <v>13162</v>
      </c>
      <c r="E2035" s="16" t="s">
        <v>13163</v>
      </c>
      <c r="F2035" s="16" t="s">
        <v>13164</v>
      </c>
      <c r="G2035" s="23" t="s">
        <v>43</v>
      </c>
      <c r="H2035" s="18" t="n">
        <v>4</v>
      </c>
      <c r="I2035" s="20" t="n">
        <v>103.08</v>
      </c>
      <c r="J2035" s="20" t="n">
        <v>169.57</v>
      </c>
      <c r="K2035" s="18" t="n">
        <v>4</v>
      </c>
      <c r="L2035" s="18" t="n">
        <v>2</v>
      </c>
      <c r="M2035" s="18" t="n">
        <v>74</v>
      </c>
      <c r="N2035" s="18" t="n">
        <v>13</v>
      </c>
      <c r="O2035" s="14" t="s">
        <v>1126</v>
      </c>
      <c r="P2035" s="14" t="s">
        <v>118</v>
      </c>
      <c r="Q2035" s="15" t="s">
        <v>1089</v>
      </c>
      <c r="R2035" s="16" t="s">
        <v>13165</v>
      </c>
      <c r="S2035" s="15" t="s">
        <v>13166</v>
      </c>
      <c r="T2035" s="15" t="s">
        <v>13166</v>
      </c>
      <c r="U2035" s="21" t="s">
        <v>72</v>
      </c>
    </row>
    <row r="2036" customFormat="false" ht="15" hidden="false" customHeight="false" outlineLevel="0" collapsed="false">
      <c r="A2036" s="15" t="s">
        <v>79</v>
      </c>
      <c r="B2036" s="15" t="s">
        <v>570</v>
      </c>
      <c r="C2036" s="14" t="s">
        <v>13167</v>
      </c>
      <c r="D2036" s="14" t="s">
        <v>13168</v>
      </c>
      <c r="E2036" s="16" t="s">
        <v>13169</v>
      </c>
      <c r="F2036" s="16" t="s">
        <v>13170</v>
      </c>
      <c r="G2036" s="23" t="s">
        <v>43</v>
      </c>
      <c r="H2036" s="18" t="n">
        <v>2</v>
      </c>
      <c r="I2036" s="20" t="n">
        <v>49.3</v>
      </c>
      <c r="J2036" s="20" t="n">
        <v>134.03</v>
      </c>
      <c r="K2036" s="18" t="n">
        <v>2</v>
      </c>
      <c r="L2036" s="18" t="n">
        <v>1</v>
      </c>
      <c r="M2036" s="18" t="n">
        <v>36</v>
      </c>
      <c r="N2036" s="18" t="n">
        <v>36</v>
      </c>
      <c r="O2036" s="14" t="s">
        <v>1097</v>
      </c>
      <c r="P2036" s="14" t="s">
        <v>84</v>
      </c>
      <c r="Q2036" s="15" t="s">
        <v>1089</v>
      </c>
      <c r="R2036" s="16" t="s">
        <v>5984</v>
      </c>
      <c r="S2036" s="15" t="s">
        <v>13171</v>
      </c>
      <c r="T2036" s="15" t="s">
        <v>13171</v>
      </c>
      <c r="U2036" s="21" t="s">
        <v>72</v>
      </c>
    </row>
    <row r="2037" customFormat="false" ht="15" hidden="false" customHeight="false" outlineLevel="0" collapsed="false">
      <c r="A2037" s="15" t="s">
        <v>79</v>
      </c>
      <c r="B2037" s="15" t="s">
        <v>570</v>
      </c>
      <c r="C2037" s="14" t="s">
        <v>13172</v>
      </c>
      <c r="D2037" s="14" t="s">
        <v>13173</v>
      </c>
      <c r="E2037" s="16" t="s">
        <v>13174</v>
      </c>
      <c r="F2037" s="16" t="s">
        <v>13175</v>
      </c>
      <c r="G2037" s="19" t="s">
        <v>41</v>
      </c>
      <c r="H2037" s="18" t="n">
        <v>5</v>
      </c>
      <c r="I2037" s="20" t="n">
        <v>79.18</v>
      </c>
      <c r="J2037" s="20" t="n">
        <v>145.29</v>
      </c>
      <c r="K2037" s="18" t="n">
        <v>6</v>
      </c>
      <c r="L2037" s="18" t="n">
        <v>4</v>
      </c>
      <c r="M2037" s="18" t="n">
        <v>72</v>
      </c>
      <c r="N2037" s="18" t="n">
        <v>36</v>
      </c>
      <c r="O2037" s="14" t="s">
        <v>1126</v>
      </c>
      <c r="P2037" s="14" t="s">
        <v>118</v>
      </c>
      <c r="Q2037" s="15" t="s">
        <v>1089</v>
      </c>
      <c r="R2037" s="16" t="s">
        <v>13176</v>
      </c>
      <c r="S2037" s="15" t="s">
        <v>13177</v>
      </c>
      <c r="T2037" s="15" t="s">
        <v>13177</v>
      </c>
      <c r="U2037" s="21" t="s">
        <v>72</v>
      </c>
    </row>
    <row r="2038" customFormat="false" ht="15" hidden="false" customHeight="false" outlineLevel="0" collapsed="false">
      <c r="A2038" s="15" t="s">
        <v>79</v>
      </c>
      <c r="B2038" s="15" t="s">
        <v>570</v>
      </c>
      <c r="C2038" s="14" t="s">
        <v>13178</v>
      </c>
      <c r="D2038" s="14" t="s">
        <v>13179</v>
      </c>
      <c r="E2038" s="16" t="s">
        <v>13180</v>
      </c>
      <c r="F2038" s="16" t="s">
        <v>13181</v>
      </c>
      <c r="G2038" s="19" t="s">
        <v>41</v>
      </c>
      <c r="H2038" s="18" t="n">
        <v>5</v>
      </c>
      <c r="I2038" s="20" t="n">
        <v>146.96</v>
      </c>
      <c r="J2038" s="20" t="n">
        <v>277.48</v>
      </c>
      <c r="K2038" s="18" t="n">
        <v>16</v>
      </c>
      <c r="L2038" s="18" t="n">
        <v>6</v>
      </c>
      <c r="M2038" s="18" t="n">
        <v>396</v>
      </c>
      <c r="N2038" s="18" t="n">
        <v>169</v>
      </c>
      <c r="O2038" s="14" t="s">
        <v>10652</v>
      </c>
      <c r="P2038" s="14" t="s">
        <v>118</v>
      </c>
      <c r="Q2038" s="15" t="s">
        <v>1089</v>
      </c>
      <c r="R2038" s="16" t="s">
        <v>13182</v>
      </c>
      <c r="S2038" s="15" t="s">
        <v>13183</v>
      </c>
      <c r="T2038" s="15" t="s">
        <v>13184</v>
      </c>
      <c r="U2038" s="21" t="s">
        <v>72</v>
      </c>
    </row>
    <row r="2039" customFormat="false" ht="26.85" hidden="false" customHeight="false" outlineLevel="0" collapsed="false">
      <c r="A2039" s="15" t="s">
        <v>79</v>
      </c>
      <c r="B2039" s="15" t="s">
        <v>570</v>
      </c>
      <c r="C2039" s="14" t="s">
        <v>13185</v>
      </c>
      <c r="D2039" s="14" t="s">
        <v>13186</v>
      </c>
      <c r="E2039" s="16" t="s">
        <v>13187</v>
      </c>
      <c r="F2039" s="16" t="s">
        <v>13188</v>
      </c>
      <c r="G2039" s="23" t="s">
        <v>43</v>
      </c>
      <c r="H2039" s="18" t="n">
        <v>2</v>
      </c>
      <c r="I2039" s="20" t="n">
        <v>34.95</v>
      </c>
      <c r="J2039" s="20" t="n">
        <v>87.2</v>
      </c>
      <c r="K2039" s="18" t="n">
        <v>29</v>
      </c>
      <c r="L2039" s="18" t="n">
        <v>1</v>
      </c>
      <c r="M2039" s="18" t="n">
        <v>531</v>
      </c>
      <c r="N2039" s="18" t="n">
        <v>18</v>
      </c>
      <c r="O2039" s="14" t="s">
        <v>1126</v>
      </c>
      <c r="P2039" s="14" t="s">
        <v>1185</v>
      </c>
      <c r="Q2039" s="15" t="s">
        <v>1089</v>
      </c>
      <c r="R2039" s="16" t="s">
        <v>13189</v>
      </c>
      <c r="S2039" s="15" t="s">
        <v>13190</v>
      </c>
      <c r="T2039" s="15" t="s">
        <v>13190</v>
      </c>
      <c r="U2039" s="21" t="s">
        <v>72</v>
      </c>
    </row>
    <row r="2040" customFormat="false" ht="15" hidden="false" customHeight="false" outlineLevel="0" collapsed="false">
      <c r="A2040" s="15" t="s">
        <v>79</v>
      </c>
      <c r="B2040" s="15" t="s">
        <v>570</v>
      </c>
      <c r="C2040" s="14" t="s">
        <v>13191</v>
      </c>
      <c r="D2040" s="14" t="s">
        <v>13192</v>
      </c>
      <c r="E2040" s="16" t="s">
        <v>13193</v>
      </c>
      <c r="F2040" s="16" t="s">
        <v>13194</v>
      </c>
      <c r="G2040" s="23" t="s">
        <v>43</v>
      </c>
      <c r="H2040" s="18" t="n">
        <v>2</v>
      </c>
      <c r="I2040" s="20" t="n">
        <v>65.58</v>
      </c>
      <c r="J2040" s="20" t="n">
        <v>162.1</v>
      </c>
      <c r="K2040" s="18" t="n">
        <v>16</v>
      </c>
      <c r="L2040" s="18" t="n">
        <v>1</v>
      </c>
      <c r="M2040" s="18" t="n">
        <v>418</v>
      </c>
      <c r="N2040" s="18" t="n">
        <v>108</v>
      </c>
      <c r="O2040" s="14" t="s">
        <v>13195</v>
      </c>
      <c r="P2040" s="14" t="s">
        <v>118</v>
      </c>
      <c r="Q2040" s="15" t="s">
        <v>1089</v>
      </c>
      <c r="R2040" s="16" t="s">
        <v>12038</v>
      </c>
      <c r="S2040" s="15" t="s">
        <v>13196</v>
      </c>
      <c r="T2040" s="15" t="s">
        <v>13196</v>
      </c>
      <c r="U2040" s="21" t="s">
        <v>72</v>
      </c>
    </row>
    <row r="2041" customFormat="false" ht="15" hidden="false" customHeight="false" outlineLevel="0" collapsed="false">
      <c r="A2041" s="15" t="s">
        <v>79</v>
      </c>
      <c r="B2041" s="15" t="s">
        <v>570</v>
      </c>
      <c r="C2041" s="14" t="s">
        <v>13197</v>
      </c>
      <c r="D2041" s="14" t="s">
        <v>13198</v>
      </c>
      <c r="E2041" s="16" t="s">
        <v>13199</v>
      </c>
      <c r="F2041" s="16"/>
      <c r="G2041" s="23" t="s">
        <v>43</v>
      </c>
      <c r="H2041" s="18" t="n">
        <v>2</v>
      </c>
      <c r="I2041" s="20" t="n">
        <v>65.68</v>
      </c>
      <c r="J2041" s="20" t="n">
        <v>133.71</v>
      </c>
      <c r="K2041" s="18" t="n">
        <v>2</v>
      </c>
      <c r="L2041" s="18"/>
      <c r="M2041" s="18" t="n">
        <v>16</v>
      </c>
      <c r="N2041" s="18" t="n">
        <v>8</v>
      </c>
      <c r="O2041" s="14" t="s">
        <v>1126</v>
      </c>
      <c r="P2041" s="14" t="s">
        <v>84</v>
      </c>
      <c r="Q2041" s="15" t="s">
        <v>1089</v>
      </c>
      <c r="R2041" s="16" t="s">
        <v>10493</v>
      </c>
      <c r="S2041" s="15" t="s">
        <v>13200</v>
      </c>
      <c r="T2041" s="15" t="s">
        <v>13200</v>
      </c>
      <c r="U2041" s="21" t="s">
        <v>72</v>
      </c>
    </row>
    <row r="2042" customFormat="false" ht="26.85" hidden="false" customHeight="false" outlineLevel="0" collapsed="false">
      <c r="A2042" s="15" t="s">
        <v>79</v>
      </c>
      <c r="B2042" s="15" t="s">
        <v>570</v>
      </c>
      <c r="C2042" s="14" t="s">
        <v>13201</v>
      </c>
      <c r="D2042" s="14" t="s">
        <v>13202</v>
      </c>
      <c r="E2042" s="16" t="s">
        <v>13203</v>
      </c>
      <c r="F2042" s="16" t="s">
        <v>13204</v>
      </c>
      <c r="G2042" s="23" t="s">
        <v>43</v>
      </c>
      <c r="H2042" s="18" t="n">
        <v>3</v>
      </c>
      <c r="I2042" s="20" t="n">
        <v>42.91</v>
      </c>
      <c r="J2042" s="20" t="n">
        <v>111.04</v>
      </c>
      <c r="K2042" s="18" t="n">
        <v>20</v>
      </c>
      <c r="L2042" s="18" t="n">
        <v>4</v>
      </c>
      <c r="M2042" s="18" t="n">
        <v>325</v>
      </c>
      <c r="N2042" s="18" t="n">
        <v>160</v>
      </c>
      <c r="O2042" s="14" t="s">
        <v>13205</v>
      </c>
      <c r="P2042" s="14" t="s">
        <v>118</v>
      </c>
      <c r="Q2042" s="15" t="s">
        <v>1089</v>
      </c>
      <c r="R2042" s="16" t="s">
        <v>13206</v>
      </c>
      <c r="S2042" s="15" t="s">
        <v>13207</v>
      </c>
      <c r="T2042" s="15" t="s">
        <v>13207</v>
      </c>
      <c r="U2042" s="21" t="s">
        <v>72</v>
      </c>
    </row>
    <row r="2043" customFormat="false" ht="15" hidden="false" customHeight="false" outlineLevel="0" collapsed="false">
      <c r="A2043" s="15" t="s">
        <v>79</v>
      </c>
      <c r="B2043" s="15" t="s">
        <v>570</v>
      </c>
      <c r="C2043" s="14" t="s">
        <v>13208</v>
      </c>
      <c r="D2043" s="14" t="s">
        <v>13209</v>
      </c>
      <c r="E2043" s="16" t="s">
        <v>13210</v>
      </c>
      <c r="F2043" s="16" t="s">
        <v>13211</v>
      </c>
      <c r="G2043" s="23" t="s">
        <v>43</v>
      </c>
      <c r="H2043" s="18" t="n">
        <v>1</v>
      </c>
      <c r="I2043" s="20" t="n">
        <v>30.8</v>
      </c>
      <c r="J2043" s="20" t="n">
        <v>81.62</v>
      </c>
      <c r="K2043" s="18" t="n">
        <v>2</v>
      </c>
      <c r="L2043" s="18" t="n">
        <v>2</v>
      </c>
      <c r="M2043" s="18" t="n">
        <v>50</v>
      </c>
      <c r="N2043" s="18" t="n">
        <v>50</v>
      </c>
      <c r="O2043" s="14" t="s">
        <v>1126</v>
      </c>
      <c r="P2043" s="14" t="s">
        <v>84</v>
      </c>
      <c r="Q2043" s="15" t="s">
        <v>1089</v>
      </c>
      <c r="R2043" s="16" t="s">
        <v>13212</v>
      </c>
      <c r="S2043" s="15" t="s">
        <v>13213</v>
      </c>
      <c r="T2043" s="15" t="s">
        <v>13213</v>
      </c>
      <c r="U2043" s="21" t="s">
        <v>72</v>
      </c>
    </row>
    <row r="2044" customFormat="false" ht="15" hidden="false" customHeight="false" outlineLevel="0" collapsed="false">
      <c r="A2044" s="15" t="s">
        <v>79</v>
      </c>
      <c r="B2044" s="15" t="s">
        <v>570</v>
      </c>
      <c r="C2044" s="14" t="s">
        <v>13214</v>
      </c>
      <c r="D2044" s="14" t="s">
        <v>13215</v>
      </c>
      <c r="E2044" s="16" t="s">
        <v>13216</v>
      </c>
      <c r="F2044" s="16" t="s">
        <v>13217</v>
      </c>
      <c r="G2044" s="23" t="s">
        <v>43</v>
      </c>
      <c r="H2044" s="18" t="n">
        <v>3</v>
      </c>
      <c r="I2044" s="20" t="n">
        <v>36.37</v>
      </c>
      <c r="J2044" s="20" t="n">
        <v>80.85</v>
      </c>
      <c r="K2044" s="18" t="n">
        <v>13</v>
      </c>
      <c r="L2044" s="18" t="n">
        <v>2</v>
      </c>
      <c r="M2044" s="18" t="n">
        <v>131</v>
      </c>
      <c r="N2044" s="18" t="n">
        <v>57</v>
      </c>
      <c r="O2044" s="14" t="s">
        <v>11566</v>
      </c>
      <c r="P2044" s="14" t="s">
        <v>118</v>
      </c>
      <c r="Q2044" s="15" t="s">
        <v>1089</v>
      </c>
      <c r="R2044" s="16" t="s">
        <v>13218</v>
      </c>
      <c r="S2044" s="15" t="s">
        <v>13219</v>
      </c>
      <c r="T2044" s="15" t="s">
        <v>13219</v>
      </c>
      <c r="U2044" s="21" t="s">
        <v>72</v>
      </c>
    </row>
    <row r="2045" customFormat="false" ht="77.6" hidden="false" customHeight="false" outlineLevel="0" collapsed="false">
      <c r="A2045" s="15" t="s">
        <v>79</v>
      </c>
      <c r="B2045" s="15" t="s">
        <v>570</v>
      </c>
      <c r="C2045" s="14" t="s">
        <v>13220</v>
      </c>
      <c r="D2045" s="14" t="s">
        <v>13221</v>
      </c>
      <c r="E2045" s="16" t="s">
        <v>13222</v>
      </c>
      <c r="F2045" s="16" t="s">
        <v>13223</v>
      </c>
      <c r="G2045" s="19" t="s">
        <v>41</v>
      </c>
      <c r="H2045" s="18" t="n">
        <v>6</v>
      </c>
      <c r="I2045" s="20" t="n">
        <v>93.67</v>
      </c>
      <c r="J2045" s="20" t="n">
        <v>258.9</v>
      </c>
      <c r="K2045" s="18" t="n">
        <v>26</v>
      </c>
      <c r="L2045" s="18" t="n">
        <v>5</v>
      </c>
      <c r="M2045" s="18" t="n">
        <v>323</v>
      </c>
      <c r="N2045" s="18" t="n">
        <v>323</v>
      </c>
      <c r="O2045" s="14" t="s">
        <v>13224</v>
      </c>
      <c r="P2045" s="14" t="s">
        <v>118</v>
      </c>
      <c r="Q2045" s="15" t="s">
        <v>1089</v>
      </c>
      <c r="R2045" s="16" t="s">
        <v>8063</v>
      </c>
      <c r="S2045" s="15" t="s">
        <v>13225</v>
      </c>
      <c r="T2045" s="15" t="s">
        <v>13225</v>
      </c>
      <c r="U2045" s="21" t="s">
        <v>72</v>
      </c>
    </row>
    <row r="2046" customFormat="false" ht="26.85" hidden="false" customHeight="false" outlineLevel="0" collapsed="false">
      <c r="A2046" s="15" t="s">
        <v>79</v>
      </c>
      <c r="B2046" s="15" t="s">
        <v>570</v>
      </c>
      <c r="C2046" s="14" t="s">
        <v>13226</v>
      </c>
      <c r="D2046" s="14" t="s">
        <v>13227</v>
      </c>
      <c r="E2046" s="16" t="s">
        <v>13228</v>
      </c>
      <c r="F2046" s="16" t="s">
        <v>13229</v>
      </c>
      <c r="G2046" s="19" t="s">
        <v>41</v>
      </c>
      <c r="H2046" s="18" t="n">
        <v>4</v>
      </c>
      <c r="I2046" s="20" t="n">
        <v>104.46</v>
      </c>
      <c r="J2046" s="20" t="n">
        <v>280</v>
      </c>
      <c r="K2046" s="18" t="n">
        <v>8</v>
      </c>
      <c r="L2046" s="18" t="n">
        <v>9</v>
      </c>
      <c r="M2046" s="18" t="n">
        <v>170</v>
      </c>
      <c r="N2046" s="18" t="n">
        <v>134</v>
      </c>
      <c r="O2046" s="14" t="s">
        <v>13230</v>
      </c>
      <c r="P2046" s="14" t="s">
        <v>118</v>
      </c>
      <c r="Q2046" s="15" t="s">
        <v>1089</v>
      </c>
      <c r="R2046" s="16" t="s">
        <v>13231</v>
      </c>
      <c r="S2046" s="15" t="s">
        <v>13232</v>
      </c>
      <c r="T2046" s="15" t="s">
        <v>13233</v>
      </c>
      <c r="U2046" s="21" t="s">
        <v>72</v>
      </c>
    </row>
    <row r="2047" customFormat="false" ht="15" hidden="false" customHeight="false" outlineLevel="0" collapsed="false">
      <c r="A2047" s="15" t="s">
        <v>79</v>
      </c>
      <c r="B2047" s="15" t="s">
        <v>570</v>
      </c>
      <c r="C2047" s="14" t="s">
        <v>13234</v>
      </c>
      <c r="D2047" s="14" t="s">
        <v>13235</v>
      </c>
      <c r="E2047" s="16" t="s">
        <v>13236</v>
      </c>
      <c r="F2047" s="16" t="s">
        <v>13237</v>
      </c>
      <c r="G2047" s="25" t="s">
        <v>39</v>
      </c>
      <c r="H2047" s="18" t="n">
        <v>10</v>
      </c>
      <c r="I2047" s="20" t="n">
        <v>368.02</v>
      </c>
      <c r="J2047" s="20" t="n">
        <v>666.03</v>
      </c>
      <c r="K2047" s="18" t="n">
        <v>15</v>
      </c>
      <c r="L2047" s="18" t="n">
        <v>4</v>
      </c>
      <c r="M2047" s="18" t="n">
        <v>345</v>
      </c>
      <c r="N2047" s="18" t="n">
        <v>288</v>
      </c>
      <c r="O2047" s="14" t="s">
        <v>1126</v>
      </c>
      <c r="P2047" s="14" t="s">
        <v>226</v>
      </c>
      <c r="Q2047" s="15" t="s">
        <v>1089</v>
      </c>
      <c r="R2047" s="16" t="s">
        <v>13238</v>
      </c>
      <c r="S2047" s="15" t="s">
        <v>1673</v>
      </c>
      <c r="T2047" s="15" t="s">
        <v>13239</v>
      </c>
      <c r="U2047" s="21" t="s">
        <v>72</v>
      </c>
    </row>
    <row r="2048" customFormat="false" ht="15" hidden="false" customHeight="false" outlineLevel="0" collapsed="false">
      <c r="A2048" s="15" t="s">
        <v>79</v>
      </c>
      <c r="B2048" s="15" t="s">
        <v>570</v>
      </c>
      <c r="C2048" s="14" t="s">
        <v>13240</v>
      </c>
      <c r="D2048" s="14" t="s">
        <v>13241</v>
      </c>
      <c r="E2048" s="16" t="s">
        <v>13242</v>
      </c>
      <c r="F2048" s="16" t="s">
        <v>13243</v>
      </c>
      <c r="G2048" s="25" t="s">
        <v>39</v>
      </c>
      <c r="H2048" s="18" t="n">
        <v>9</v>
      </c>
      <c r="I2048" s="20" t="n">
        <v>64.01</v>
      </c>
      <c r="J2048" s="20" t="n">
        <v>155.87</v>
      </c>
      <c r="K2048" s="18" t="n">
        <v>14</v>
      </c>
      <c r="L2048" s="18" t="n">
        <v>8</v>
      </c>
      <c r="M2048" s="18" t="n">
        <v>214</v>
      </c>
      <c r="N2048" s="18" t="n">
        <v>97</v>
      </c>
      <c r="O2048" s="14" t="s">
        <v>13244</v>
      </c>
      <c r="P2048" s="14" t="s">
        <v>1234</v>
      </c>
      <c r="Q2048" s="15" t="s">
        <v>1089</v>
      </c>
      <c r="R2048" s="16" t="s">
        <v>13245</v>
      </c>
      <c r="S2048" s="15" t="s">
        <v>13246</v>
      </c>
      <c r="T2048" s="15" t="s">
        <v>13247</v>
      </c>
      <c r="U2048" s="21" t="s">
        <v>72</v>
      </c>
    </row>
    <row r="2049" customFormat="false" ht="15" hidden="false" customHeight="false" outlineLevel="0" collapsed="false">
      <c r="A2049" s="15" t="s">
        <v>79</v>
      </c>
      <c r="B2049" s="15" t="s">
        <v>570</v>
      </c>
      <c r="C2049" s="14" t="s">
        <v>13248</v>
      </c>
      <c r="D2049" s="14" t="s">
        <v>13249</v>
      </c>
      <c r="E2049" s="16" t="s">
        <v>13250</v>
      </c>
      <c r="F2049" s="16" t="s">
        <v>12316</v>
      </c>
      <c r="G2049" s="23" t="s">
        <v>43</v>
      </c>
      <c r="H2049" s="18" t="n">
        <v>2</v>
      </c>
      <c r="I2049" s="20" t="n">
        <v>69.07</v>
      </c>
      <c r="J2049" s="20" t="n">
        <v>179.73</v>
      </c>
      <c r="K2049" s="18" t="n">
        <v>2</v>
      </c>
      <c r="L2049" s="18" t="n">
        <v>3</v>
      </c>
      <c r="M2049" s="18" t="n">
        <v>36</v>
      </c>
      <c r="N2049" s="18" t="n">
        <v>36</v>
      </c>
      <c r="O2049" s="14" t="s">
        <v>1126</v>
      </c>
      <c r="P2049" s="14" t="s">
        <v>84</v>
      </c>
      <c r="Q2049" s="15" t="s">
        <v>1089</v>
      </c>
      <c r="R2049" s="16" t="s">
        <v>13251</v>
      </c>
      <c r="S2049" s="15" t="s">
        <v>13252</v>
      </c>
      <c r="T2049" s="15" t="s">
        <v>13252</v>
      </c>
      <c r="U2049" s="21" t="s">
        <v>72</v>
      </c>
    </row>
    <row r="2050" customFormat="false" ht="15" hidden="false" customHeight="false" outlineLevel="0" collapsed="false">
      <c r="A2050" s="15" t="s">
        <v>79</v>
      </c>
      <c r="B2050" s="15" t="s">
        <v>570</v>
      </c>
      <c r="C2050" s="14" t="s">
        <v>13253</v>
      </c>
      <c r="D2050" s="14" t="s">
        <v>13254</v>
      </c>
      <c r="E2050" s="16" t="s">
        <v>13255</v>
      </c>
      <c r="F2050" s="16" t="s">
        <v>13256</v>
      </c>
      <c r="G2050" s="23" t="s">
        <v>43</v>
      </c>
      <c r="H2050" s="18" t="n">
        <v>2</v>
      </c>
      <c r="I2050" s="20" t="n">
        <v>91.77</v>
      </c>
      <c r="J2050" s="20" t="n">
        <v>196.276</v>
      </c>
      <c r="K2050" s="18" t="n">
        <v>3</v>
      </c>
      <c r="L2050" s="18" t="n">
        <v>2</v>
      </c>
      <c r="M2050" s="18" t="n">
        <v>114</v>
      </c>
      <c r="N2050" s="18" t="n">
        <v>76</v>
      </c>
      <c r="O2050" s="14" t="s">
        <v>1126</v>
      </c>
      <c r="P2050" s="14" t="s">
        <v>118</v>
      </c>
      <c r="Q2050" s="15" t="s">
        <v>1089</v>
      </c>
      <c r="R2050" s="16" t="s">
        <v>13257</v>
      </c>
      <c r="S2050" s="15" t="s">
        <v>13258</v>
      </c>
      <c r="T2050" s="15" t="s">
        <v>13258</v>
      </c>
      <c r="U2050" s="21" t="s">
        <v>72</v>
      </c>
    </row>
    <row r="2051" customFormat="false" ht="26.85" hidden="false" customHeight="false" outlineLevel="0" collapsed="false">
      <c r="A2051" s="15" t="s">
        <v>79</v>
      </c>
      <c r="B2051" s="15" t="s">
        <v>570</v>
      </c>
      <c r="C2051" s="14" t="s">
        <v>13259</v>
      </c>
      <c r="D2051" s="14" t="s">
        <v>13260</v>
      </c>
      <c r="E2051" s="16" t="s">
        <v>13261</v>
      </c>
      <c r="F2051" s="16" t="s">
        <v>13087</v>
      </c>
      <c r="G2051" s="23" t="s">
        <v>43</v>
      </c>
      <c r="H2051" s="18" t="n">
        <v>4</v>
      </c>
      <c r="I2051" s="20" t="n">
        <v>93.82</v>
      </c>
      <c r="J2051" s="20" t="n">
        <v>149.99</v>
      </c>
      <c r="K2051" s="18" t="n">
        <v>11</v>
      </c>
      <c r="L2051" s="18" t="n">
        <v>4</v>
      </c>
      <c r="M2051" s="18" t="n">
        <v>207</v>
      </c>
      <c r="N2051" s="18" t="n">
        <v>127</v>
      </c>
      <c r="O2051" s="14" t="s">
        <v>13262</v>
      </c>
      <c r="P2051" s="14" t="s">
        <v>334</v>
      </c>
      <c r="Q2051" s="15" t="s">
        <v>1089</v>
      </c>
      <c r="R2051" s="16" t="s">
        <v>13263</v>
      </c>
      <c r="S2051" s="15" t="s">
        <v>13264</v>
      </c>
      <c r="T2051" s="15" t="s">
        <v>13264</v>
      </c>
      <c r="U2051" s="21" t="s">
        <v>72</v>
      </c>
    </row>
    <row r="2052" customFormat="false" ht="39.55" hidden="false" customHeight="false" outlineLevel="0" collapsed="false">
      <c r="A2052" s="15" t="s">
        <v>79</v>
      </c>
      <c r="B2052" s="15" t="s">
        <v>570</v>
      </c>
      <c r="C2052" s="14" t="s">
        <v>13265</v>
      </c>
      <c r="D2052" s="14" t="s">
        <v>13266</v>
      </c>
      <c r="E2052" s="16" t="s">
        <v>13267</v>
      </c>
      <c r="F2052" s="16" t="s">
        <v>10651</v>
      </c>
      <c r="G2052" s="23" t="s">
        <v>43</v>
      </c>
      <c r="H2052" s="18" t="n">
        <v>2</v>
      </c>
      <c r="I2052" s="20" t="n">
        <v>51.3</v>
      </c>
      <c r="J2052" s="20" t="n">
        <v>151.79</v>
      </c>
      <c r="K2052" s="18" t="n">
        <v>2</v>
      </c>
      <c r="L2052" s="18" t="n">
        <v>2</v>
      </c>
      <c r="M2052" s="18" t="n">
        <v>42</v>
      </c>
      <c r="N2052" s="18" t="n">
        <v>42</v>
      </c>
      <c r="O2052" s="14" t="s">
        <v>13268</v>
      </c>
      <c r="P2052" s="14" t="s">
        <v>84</v>
      </c>
      <c r="Q2052" s="15" t="s">
        <v>1089</v>
      </c>
      <c r="R2052" s="16" t="s">
        <v>13269</v>
      </c>
      <c r="S2052" s="15" t="s">
        <v>13270</v>
      </c>
      <c r="T2052" s="15" t="s">
        <v>13271</v>
      </c>
      <c r="U2052" s="21" t="s">
        <v>72</v>
      </c>
    </row>
    <row r="2053" customFormat="false" ht="15" hidden="false" customHeight="false" outlineLevel="0" collapsed="false">
      <c r="A2053" s="15" t="s">
        <v>79</v>
      </c>
      <c r="B2053" s="15" t="s">
        <v>570</v>
      </c>
      <c r="C2053" s="14" t="s">
        <v>13272</v>
      </c>
      <c r="D2053" s="14" t="s">
        <v>13273</v>
      </c>
      <c r="E2053" s="16" t="s">
        <v>13274</v>
      </c>
      <c r="F2053" s="16" t="s">
        <v>13275</v>
      </c>
      <c r="G2053" s="19" t="s">
        <v>41</v>
      </c>
      <c r="H2053" s="18" t="n">
        <v>7</v>
      </c>
      <c r="I2053" s="20" t="n">
        <v>169.26</v>
      </c>
      <c r="J2053" s="20" t="n">
        <v>370.76</v>
      </c>
      <c r="K2053" s="18" t="n">
        <v>19</v>
      </c>
      <c r="L2053" s="18" t="n">
        <v>5</v>
      </c>
      <c r="M2053" s="18" t="n">
        <v>617</v>
      </c>
      <c r="N2053" s="18" t="n">
        <v>555</v>
      </c>
      <c r="O2053" s="14" t="s">
        <v>1126</v>
      </c>
      <c r="P2053" s="14" t="s">
        <v>84</v>
      </c>
      <c r="Q2053" s="15" t="s">
        <v>1089</v>
      </c>
      <c r="R2053" s="16" t="s">
        <v>13276</v>
      </c>
      <c r="S2053" s="15" t="s">
        <v>11971</v>
      </c>
      <c r="T2053" s="15" t="s">
        <v>13277</v>
      </c>
      <c r="U2053" s="21" t="s">
        <v>72</v>
      </c>
    </row>
    <row r="2054" customFormat="false" ht="26.85" hidden="false" customHeight="false" outlineLevel="0" collapsed="false">
      <c r="A2054" s="15" t="s">
        <v>79</v>
      </c>
      <c r="B2054" s="15" t="s">
        <v>570</v>
      </c>
      <c r="C2054" s="14" t="s">
        <v>13278</v>
      </c>
      <c r="D2054" s="14" t="s">
        <v>13279</v>
      </c>
      <c r="E2054" s="16" t="s">
        <v>13280</v>
      </c>
      <c r="F2054" s="16"/>
      <c r="G2054" s="23" t="s">
        <v>43</v>
      </c>
      <c r="H2054" s="18" t="n">
        <v>3</v>
      </c>
      <c r="I2054" s="20" t="n">
        <v>46.2</v>
      </c>
      <c r="J2054" s="20" t="n">
        <v>109.08</v>
      </c>
      <c r="K2054" s="18" t="n">
        <v>9</v>
      </c>
      <c r="L2054" s="18" t="n">
        <v>2</v>
      </c>
      <c r="M2054" s="18" t="n">
        <v>146</v>
      </c>
      <c r="N2054" s="18" t="n">
        <v>102</v>
      </c>
      <c r="O2054" s="14" t="s">
        <v>13281</v>
      </c>
      <c r="P2054" s="14" t="s">
        <v>334</v>
      </c>
      <c r="Q2054" s="15" t="s">
        <v>1089</v>
      </c>
      <c r="R2054" s="16" t="s">
        <v>13282</v>
      </c>
      <c r="S2054" s="15" t="s">
        <v>13283</v>
      </c>
      <c r="T2054" s="15" t="s">
        <v>13284</v>
      </c>
      <c r="U2054" s="21" t="s">
        <v>72</v>
      </c>
    </row>
    <row r="2055" customFormat="false" ht="26.85" hidden="false" customHeight="false" outlineLevel="0" collapsed="false">
      <c r="A2055" s="15" t="s">
        <v>79</v>
      </c>
      <c r="B2055" s="15" t="s">
        <v>570</v>
      </c>
      <c r="C2055" s="14" t="s">
        <v>13285</v>
      </c>
      <c r="D2055" s="14" t="s">
        <v>13286</v>
      </c>
      <c r="E2055" s="16" t="s">
        <v>13287</v>
      </c>
      <c r="F2055" s="16" t="s">
        <v>3599</v>
      </c>
      <c r="G2055" s="25" t="s">
        <v>39</v>
      </c>
      <c r="H2055" s="18" t="n">
        <v>11</v>
      </c>
      <c r="I2055" s="20" t="n">
        <v>350.25</v>
      </c>
      <c r="J2055" s="20" t="n">
        <v>655.73</v>
      </c>
      <c r="K2055" s="18" t="n">
        <v>11</v>
      </c>
      <c r="L2055" s="18" t="n">
        <v>68</v>
      </c>
      <c r="M2055" s="18" t="n">
        <v>277</v>
      </c>
      <c r="N2055" s="18" t="n">
        <v>226</v>
      </c>
      <c r="O2055" s="14" t="s">
        <v>1097</v>
      </c>
      <c r="P2055" s="14" t="s">
        <v>84</v>
      </c>
      <c r="Q2055" s="15" t="s">
        <v>1089</v>
      </c>
      <c r="R2055" s="16" t="s">
        <v>13288</v>
      </c>
      <c r="S2055" s="15" t="s">
        <v>7692</v>
      </c>
      <c r="T2055" s="15" t="s">
        <v>13289</v>
      </c>
      <c r="U2055" s="21" t="s">
        <v>72</v>
      </c>
    </row>
    <row r="2056" customFormat="false" ht="15" hidden="false" customHeight="false" outlineLevel="0" collapsed="false">
      <c r="A2056" s="15" t="s">
        <v>79</v>
      </c>
      <c r="B2056" s="15" t="s">
        <v>570</v>
      </c>
      <c r="C2056" s="14" t="s">
        <v>13290</v>
      </c>
      <c r="D2056" s="14" t="s">
        <v>13291</v>
      </c>
      <c r="E2056" s="16" t="s">
        <v>13292</v>
      </c>
      <c r="F2056" s="16" t="s">
        <v>13293</v>
      </c>
      <c r="G2056" s="23" t="s">
        <v>43</v>
      </c>
      <c r="H2056" s="18" t="n">
        <v>1</v>
      </c>
      <c r="I2056" s="20" t="n">
        <v>50.03</v>
      </c>
      <c r="J2056" s="20" t="n">
        <v>71.49</v>
      </c>
      <c r="K2056" s="18" t="n">
        <v>2</v>
      </c>
      <c r="L2056" s="18" t="n">
        <v>2</v>
      </c>
      <c r="M2056" s="18" t="n">
        <v>60</v>
      </c>
      <c r="N2056" s="18" t="n">
        <v>60</v>
      </c>
      <c r="O2056" s="14" t="s">
        <v>1126</v>
      </c>
      <c r="P2056" s="14" t="s">
        <v>84</v>
      </c>
      <c r="Q2056" s="15" t="s">
        <v>1089</v>
      </c>
      <c r="R2056" s="16" t="s">
        <v>13294</v>
      </c>
      <c r="S2056" s="15" t="s">
        <v>13295</v>
      </c>
      <c r="T2056" s="15" t="s">
        <v>13296</v>
      </c>
      <c r="U2056" s="21" t="s">
        <v>72</v>
      </c>
    </row>
    <row r="2057" customFormat="false" ht="15" hidden="false" customHeight="false" outlineLevel="0" collapsed="false">
      <c r="A2057" s="15" t="s">
        <v>79</v>
      </c>
      <c r="B2057" s="15" t="s">
        <v>570</v>
      </c>
      <c r="C2057" s="14" t="s">
        <v>13297</v>
      </c>
      <c r="D2057" s="14" t="s">
        <v>13298</v>
      </c>
      <c r="E2057" s="16" t="s">
        <v>13299</v>
      </c>
      <c r="F2057" s="16" t="s">
        <v>13300</v>
      </c>
      <c r="G2057" s="25" t="s">
        <v>39</v>
      </c>
      <c r="H2057" s="18" t="n">
        <v>4</v>
      </c>
      <c r="I2057" s="20" t="n">
        <v>296.72</v>
      </c>
      <c r="J2057" s="20" t="n">
        <v>403.17</v>
      </c>
      <c r="K2057" s="18" t="n">
        <v>5</v>
      </c>
      <c r="L2057" s="18" t="n">
        <v>2</v>
      </c>
      <c r="M2057" s="18" t="n">
        <v>141</v>
      </c>
      <c r="N2057" s="18" t="n">
        <v>20</v>
      </c>
      <c r="O2057" s="14" t="s">
        <v>13301</v>
      </c>
      <c r="P2057" s="14" t="s">
        <v>84</v>
      </c>
      <c r="Q2057" s="15" t="s">
        <v>1089</v>
      </c>
      <c r="R2057" s="16" t="s">
        <v>301</v>
      </c>
      <c r="S2057" s="15" t="s">
        <v>10633</v>
      </c>
      <c r="T2057" s="15" t="s">
        <v>13302</v>
      </c>
      <c r="U2057" s="21" t="s">
        <v>72</v>
      </c>
    </row>
    <row r="2058" customFormat="false" ht="26.85" hidden="false" customHeight="false" outlineLevel="0" collapsed="false">
      <c r="A2058" s="15" t="s">
        <v>79</v>
      </c>
      <c r="B2058" s="15" t="s">
        <v>570</v>
      </c>
      <c r="C2058" s="14" t="s">
        <v>13303</v>
      </c>
      <c r="D2058" s="14" t="s">
        <v>13304</v>
      </c>
      <c r="E2058" s="16" t="s">
        <v>13305</v>
      </c>
      <c r="F2058" s="16" t="s">
        <v>13306</v>
      </c>
      <c r="G2058" s="25" t="s">
        <v>39</v>
      </c>
      <c r="H2058" s="18" t="n">
        <v>11</v>
      </c>
      <c r="I2058" s="20" t="n">
        <v>189.57</v>
      </c>
      <c r="J2058" s="20" t="n">
        <v>403.17</v>
      </c>
      <c r="K2058" s="18" t="n">
        <v>14</v>
      </c>
      <c r="L2058" s="18" t="n">
        <v>15</v>
      </c>
      <c r="M2058" s="18" t="n">
        <v>449</v>
      </c>
      <c r="N2058" s="18" t="n">
        <v>417</v>
      </c>
      <c r="O2058" s="14" t="s">
        <v>13307</v>
      </c>
      <c r="P2058" s="14" t="s">
        <v>118</v>
      </c>
      <c r="Q2058" s="15" t="s">
        <v>1089</v>
      </c>
      <c r="R2058" s="16" t="s">
        <v>13308</v>
      </c>
      <c r="S2058" s="15" t="s">
        <v>2151</v>
      </c>
      <c r="T2058" s="15" t="s">
        <v>13309</v>
      </c>
      <c r="U2058" s="21" t="s">
        <v>72</v>
      </c>
    </row>
    <row r="2059" customFormat="false" ht="26.85" hidden="false" customHeight="false" outlineLevel="0" collapsed="false">
      <c r="A2059" s="15" t="s">
        <v>79</v>
      </c>
      <c r="B2059" s="15" t="s">
        <v>570</v>
      </c>
      <c r="C2059" s="14" t="s">
        <v>13310</v>
      </c>
      <c r="D2059" s="14" t="s">
        <v>13311</v>
      </c>
      <c r="E2059" s="16" t="s">
        <v>13312</v>
      </c>
      <c r="F2059" s="16" t="s">
        <v>13313</v>
      </c>
      <c r="G2059" s="19" t="s">
        <v>41</v>
      </c>
      <c r="H2059" s="18" t="n">
        <v>6</v>
      </c>
      <c r="I2059" s="20" t="n">
        <v>58.05</v>
      </c>
      <c r="J2059" s="20" t="n">
        <v>178.74</v>
      </c>
      <c r="K2059" s="18" t="n">
        <v>10</v>
      </c>
      <c r="L2059" s="18" t="n">
        <v>10</v>
      </c>
      <c r="M2059" s="18" t="n">
        <v>90</v>
      </c>
      <c r="N2059" s="18" t="n">
        <v>68</v>
      </c>
      <c r="O2059" s="14" t="s">
        <v>13314</v>
      </c>
      <c r="P2059" s="14" t="s">
        <v>118</v>
      </c>
      <c r="Q2059" s="15" t="s">
        <v>1089</v>
      </c>
      <c r="R2059" s="16" t="s">
        <v>13315</v>
      </c>
      <c r="S2059" s="15" t="s">
        <v>2151</v>
      </c>
      <c r="T2059" s="15" t="s">
        <v>13316</v>
      </c>
      <c r="U2059" s="21" t="s">
        <v>72</v>
      </c>
    </row>
    <row r="2060" customFormat="false" ht="26.85" hidden="false" customHeight="false" outlineLevel="0" collapsed="false">
      <c r="A2060" s="15" t="s">
        <v>79</v>
      </c>
      <c r="B2060" s="15" t="s">
        <v>13317</v>
      </c>
      <c r="C2060" s="14" t="s">
        <v>13318</v>
      </c>
      <c r="D2060" s="14" t="s">
        <v>13319</v>
      </c>
      <c r="E2060" s="16" t="s">
        <v>13320</v>
      </c>
      <c r="F2060" s="16" t="s">
        <v>10651</v>
      </c>
      <c r="G2060" s="19" t="s">
        <v>41</v>
      </c>
      <c r="H2060" s="18" t="n">
        <v>3</v>
      </c>
      <c r="I2060" s="20" t="n">
        <v>64.26</v>
      </c>
      <c r="J2060" s="20" t="n">
        <v>251.46</v>
      </c>
      <c r="K2060" s="18" t="n">
        <v>3</v>
      </c>
      <c r="L2060" s="18" t="n">
        <v>3</v>
      </c>
      <c r="M2060" s="18" t="n">
        <v>53</v>
      </c>
      <c r="N2060" s="18" t="n">
        <v>53</v>
      </c>
      <c r="O2060" s="14" t="s">
        <v>13321</v>
      </c>
      <c r="P2060" s="14" t="s">
        <v>84</v>
      </c>
      <c r="Q2060" s="15" t="s">
        <v>1089</v>
      </c>
      <c r="R2060" s="16" t="s">
        <v>7132</v>
      </c>
      <c r="S2060" s="15" t="s">
        <v>10654</v>
      </c>
      <c r="T2060" s="15" t="s">
        <v>13322</v>
      </c>
      <c r="U2060" s="21" t="s">
        <v>72</v>
      </c>
    </row>
    <row r="2061" customFormat="false" ht="15" hidden="false" customHeight="false" outlineLevel="0" collapsed="false">
      <c r="A2061" s="15" t="s">
        <v>79</v>
      </c>
      <c r="B2061" s="15" t="s">
        <v>13317</v>
      </c>
      <c r="C2061" s="14" t="s">
        <v>13323</v>
      </c>
      <c r="D2061" s="14" t="s">
        <v>13324</v>
      </c>
      <c r="E2061" s="16" t="s">
        <v>13325</v>
      </c>
      <c r="F2061" s="16" t="s">
        <v>13326</v>
      </c>
      <c r="G2061" s="23" t="s">
        <v>43</v>
      </c>
      <c r="H2061" s="18" t="n">
        <v>2</v>
      </c>
      <c r="I2061" s="20" t="n">
        <v>34.96</v>
      </c>
      <c r="J2061" s="20" t="n">
        <v>89.61</v>
      </c>
      <c r="K2061" s="18" t="n">
        <v>2</v>
      </c>
      <c r="L2061" s="18" t="n">
        <v>5</v>
      </c>
      <c r="M2061" s="18" t="n">
        <v>28</v>
      </c>
      <c r="N2061" s="18" t="n">
        <v>28</v>
      </c>
      <c r="O2061" s="14" t="s">
        <v>1126</v>
      </c>
      <c r="P2061" s="14" t="s">
        <v>84</v>
      </c>
      <c r="Q2061" s="15" t="s">
        <v>1089</v>
      </c>
      <c r="R2061" s="16" t="s">
        <v>13327</v>
      </c>
      <c r="S2061" s="15" t="s">
        <v>13328</v>
      </c>
      <c r="T2061" s="15" t="s">
        <v>13328</v>
      </c>
      <c r="U2061" s="21" t="s">
        <v>72</v>
      </c>
    </row>
    <row r="2062" customFormat="false" ht="15" hidden="false" customHeight="false" outlineLevel="0" collapsed="false">
      <c r="A2062" s="15" t="s">
        <v>79</v>
      </c>
      <c r="B2062" s="15" t="s">
        <v>13317</v>
      </c>
      <c r="C2062" s="14" t="s">
        <v>13329</v>
      </c>
      <c r="D2062" s="14" t="s">
        <v>13330</v>
      </c>
      <c r="E2062" s="16" t="s">
        <v>13331</v>
      </c>
      <c r="F2062" s="16" t="s">
        <v>13332</v>
      </c>
      <c r="G2062" s="25" t="s">
        <v>39</v>
      </c>
      <c r="H2062" s="18" t="n">
        <v>7</v>
      </c>
      <c r="I2062" s="20" t="n">
        <v>234.64</v>
      </c>
      <c r="J2062" s="20" t="n">
        <v>453.45</v>
      </c>
      <c r="K2062" s="18" t="n">
        <v>17</v>
      </c>
      <c r="L2062" s="18" t="n">
        <v>2</v>
      </c>
      <c r="M2062" s="18" t="n">
        <v>306</v>
      </c>
      <c r="N2062" s="18" t="n">
        <v>216</v>
      </c>
      <c r="O2062" s="14" t="s">
        <v>1126</v>
      </c>
      <c r="P2062" s="14" t="s">
        <v>118</v>
      </c>
      <c r="Q2062" s="15" t="s">
        <v>1089</v>
      </c>
      <c r="R2062" s="16" t="s">
        <v>13333</v>
      </c>
      <c r="S2062" s="15" t="s">
        <v>13334</v>
      </c>
      <c r="T2062" s="15" t="s">
        <v>13335</v>
      </c>
      <c r="U2062" s="21" t="s">
        <v>72</v>
      </c>
    </row>
    <row r="2063" customFormat="false" ht="15" hidden="false" customHeight="false" outlineLevel="0" collapsed="false">
      <c r="A2063" s="15" t="s">
        <v>79</v>
      </c>
      <c r="B2063" s="15" t="s">
        <v>13317</v>
      </c>
      <c r="C2063" s="14" t="s">
        <v>13336</v>
      </c>
      <c r="D2063" s="14" t="s">
        <v>13337</v>
      </c>
      <c r="E2063" s="16" t="s">
        <v>13338</v>
      </c>
      <c r="F2063" s="16" t="s">
        <v>13339</v>
      </c>
      <c r="G2063" s="19" t="s">
        <v>41</v>
      </c>
      <c r="H2063" s="18" t="n">
        <v>3</v>
      </c>
      <c r="I2063" s="20" t="n">
        <v>98.74</v>
      </c>
      <c r="J2063" s="20" t="n">
        <v>230.04</v>
      </c>
      <c r="K2063" s="18" t="n">
        <v>3</v>
      </c>
      <c r="L2063" s="18" t="n">
        <v>6</v>
      </c>
      <c r="M2063" s="18" t="n">
        <v>106</v>
      </c>
      <c r="N2063" s="18" t="n">
        <v>106</v>
      </c>
      <c r="O2063" s="14" t="s">
        <v>13340</v>
      </c>
      <c r="P2063" s="14" t="s">
        <v>118</v>
      </c>
      <c r="Q2063" s="15" t="s">
        <v>1089</v>
      </c>
      <c r="R2063" s="16" t="s">
        <v>3158</v>
      </c>
      <c r="S2063" s="15" t="s">
        <v>13341</v>
      </c>
      <c r="T2063" s="15" t="s">
        <v>13342</v>
      </c>
      <c r="U2063" s="21" t="s">
        <v>72</v>
      </c>
    </row>
    <row r="2064" customFormat="false" ht="15" hidden="false" customHeight="false" outlineLevel="0" collapsed="false">
      <c r="A2064" s="15" t="s">
        <v>79</v>
      </c>
      <c r="B2064" s="15" t="s">
        <v>79</v>
      </c>
      <c r="C2064" s="14" t="s">
        <v>610</v>
      </c>
      <c r="D2064" s="14" t="s">
        <v>13343</v>
      </c>
      <c r="E2064" s="16" t="s">
        <v>13344</v>
      </c>
      <c r="F2064" s="16" t="s">
        <v>13345</v>
      </c>
      <c r="G2064" s="23" t="s">
        <v>43</v>
      </c>
      <c r="H2064" s="18" t="n">
        <v>2</v>
      </c>
      <c r="I2064" s="20" t="n">
        <v>36.98</v>
      </c>
      <c r="J2064" s="20" t="n">
        <v>75.94</v>
      </c>
      <c r="K2064" s="18" t="n">
        <v>2</v>
      </c>
      <c r="L2064" s="18" t="n">
        <v>1</v>
      </c>
      <c r="M2064" s="18" t="n">
        <v>24</v>
      </c>
      <c r="N2064" s="18" t="n">
        <v>24</v>
      </c>
      <c r="O2064" s="14" t="s">
        <v>1126</v>
      </c>
      <c r="P2064" s="14" t="s">
        <v>84</v>
      </c>
      <c r="Q2064" s="15" t="s">
        <v>1089</v>
      </c>
      <c r="R2064" s="16" t="s">
        <v>6616</v>
      </c>
      <c r="S2064" s="15" t="s">
        <v>13346</v>
      </c>
      <c r="T2064" s="15" t="s">
        <v>13347</v>
      </c>
      <c r="U2064" s="21" t="s">
        <v>72</v>
      </c>
    </row>
    <row r="2065" customFormat="false" ht="26.85" hidden="false" customHeight="false" outlineLevel="0" collapsed="false">
      <c r="A2065" s="15" t="s">
        <v>79</v>
      </c>
      <c r="B2065" s="15" t="s">
        <v>79</v>
      </c>
      <c r="C2065" s="14" t="s">
        <v>13348</v>
      </c>
      <c r="D2065" s="14" t="s">
        <v>13349</v>
      </c>
      <c r="E2065" s="16" t="s">
        <v>13350</v>
      </c>
      <c r="F2065" s="16" t="s">
        <v>13351</v>
      </c>
      <c r="G2065" s="19" t="s">
        <v>41</v>
      </c>
      <c r="H2065" s="18" t="n">
        <v>4</v>
      </c>
      <c r="I2065" s="20" t="n">
        <v>133.37</v>
      </c>
      <c r="J2065" s="20" t="n">
        <v>226.95</v>
      </c>
      <c r="K2065" s="18" t="n">
        <v>12</v>
      </c>
      <c r="L2065" s="18" t="n">
        <v>3</v>
      </c>
      <c r="M2065" s="18" t="n">
        <v>327</v>
      </c>
      <c r="N2065" s="18" t="n">
        <v>205</v>
      </c>
      <c r="O2065" s="14" t="s">
        <v>13352</v>
      </c>
      <c r="P2065" s="14" t="s">
        <v>118</v>
      </c>
      <c r="Q2065" s="15" t="s">
        <v>1089</v>
      </c>
      <c r="R2065" s="16" t="s">
        <v>13353</v>
      </c>
      <c r="S2065" s="15" t="s">
        <v>13354</v>
      </c>
      <c r="T2065" s="15" t="s">
        <v>13355</v>
      </c>
      <c r="U2065" s="21" t="s">
        <v>72</v>
      </c>
    </row>
    <row r="2066" customFormat="false" ht="15" hidden="false" customHeight="false" outlineLevel="0" collapsed="false">
      <c r="A2066" s="15" t="s">
        <v>79</v>
      </c>
      <c r="B2066" s="15" t="s">
        <v>80</v>
      </c>
      <c r="C2066" s="14" t="s">
        <v>13356</v>
      </c>
      <c r="D2066" s="14" t="s">
        <v>13357</v>
      </c>
      <c r="E2066" s="16" t="s">
        <v>13358</v>
      </c>
      <c r="F2066" s="16" t="s">
        <v>13359</v>
      </c>
      <c r="G2066" s="23" t="s">
        <v>43</v>
      </c>
      <c r="H2066" s="18" t="n">
        <v>2</v>
      </c>
      <c r="I2066" s="20" t="n">
        <v>34.94</v>
      </c>
      <c r="J2066" s="20" t="n">
        <v>136.11</v>
      </c>
      <c r="K2066" s="18" t="n">
        <v>6</v>
      </c>
      <c r="L2066" s="18" t="n">
        <v>4</v>
      </c>
      <c r="M2066" s="18" t="n">
        <v>92</v>
      </c>
      <c r="N2066" s="18" t="n">
        <v>28</v>
      </c>
      <c r="O2066" s="14" t="s">
        <v>1097</v>
      </c>
      <c r="P2066" s="14" t="s">
        <v>118</v>
      </c>
      <c r="Q2066" s="15" t="s">
        <v>1089</v>
      </c>
      <c r="R2066" s="16" t="s">
        <v>13360</v>
      </c>
      <c r="S2066" s="15" t="s">
        <v>11420</v>
      </c>
      <c r="T2066" s="15" t="s">
        <v>13361</v>
      </c>
      <c r="U2066" s="21" t="s">
        <v>72</v>
      </c>
    </row>
    <row r="2067" customFormat="false" ht="26.85" hidden="false" customHeight="false" outlineLevel="0" collapsed="false">
      <c r="A2067" s="15" t="s">
        <v>79</v>
      </c>
      <c r="B2067" s="15" t="s">
        <v>80</v>
      </c>
      <c r="C2067" s="14" t="s">
        <v>102</v>
      </c>
      <c r="D2067" s="14" t="s">
        <v>13362</v>
      </c>
      <c r="E2067" s="16" t="s">
        <v>13363</v>
      </c>
      <c r="F2067" s="16" t="s">
        <v>105</v>
      </c>
      <c r="G2067" s="19" t="s">
        <v>41</v>
      </c>
      <c r="H2067" s="18" t="n">
        <v>6</v>
      </c>
      <c r="I2067" s="20" t="n">
        <v>190.82</v>
      </c>
      <c r="J2067" s="20" t="n">
        <v>282.26</v>
      </c>
      <c r="K2067" s="18" t="n">
        <v>6</v>
      </c>
      <c r="L2067" s="18" t="n">
        <v>4</v>
      </c>
      <c r="M2067" s="18" t="n">
        <v>156</v>
      </c>
      <c r="N2067" s="18" t="n">
        <v>54</v>
      </c>
      <c r="O2067" s="14" t="s">
        <v>1126</v>
      </c>
      <c r="P2067" s="14" t="s">
        <v>84</v>
      </c>
      <c r="Q2067" s="15" t="s">
        <v>1089</v>
      </c>
      <c r="R2067" s="16" t="s">
        <v>106</v>
      </c>
      <c r="S2067" s="15" t="s">
        <v>107</v>
      </c>
      <c r="T2067" s="15" t="s">
        <v>108</v>
      </c>
      <c r="U2067" s="21" t="s">
        <v>72</v>
      </c>
    </row>
    <row r="2068" customFormat="false" ht="26.85" hidden="false" customHeight="false" outlineLevel="0" collapsed="false">
      <c r="A2068" s="15" t="s">
        <v>79</v>
      </c>
      <c r="B2068" s="15" t="s">
        <v>80</v>
      </c>
      <c r="C2068" s="14" t="s">
        <v>13364</v>
      </c>
      <c r="D2068" s="14" t="s">
        <v>13365</v>
      </c>
      <c r="E2068" s="16" t="s">
        <v>13366</v>
      </c>
      <c r="F2068" s="16" t="s">
        <v>105</v>
      </c>
      <c r="G2068" s="19" t="s">
        <v>41</v>
      </c>
      <c r="H2068" s="18" t="n">
        <v>6</v>
      </c>
      <c r="I2068" s="20" t="n">
        <v>177.03</v>
      </c>
      <c r="J2068" s="20" t="n">
        <v>275.97</v>
      </c>
      <c r="K2068" s="18" t="n">
        <v>6</v>
      </c>
      <c r="L2068" s="18" t="n">
        <v>6</v>
      </c>
      <c r="M2068" s="18" t="n">
        <v>111</v>
      </c>
      <c r="N2068" s="18" t="n">
        <v>37</v>
      </c>
      <c r="O2068" s="14" t="s">
        <v>1126</v>
      </c>
      <c r="P2068" s="14" t="s">
        <v>334</v>
      </c>
      <c r="Q2068" s="15" t="s">
        <v>1089</v>
      </c>
      <c r="R2068" s="16" t="s">
        <v>5705</v>
      </c>
      <c r="S2068" s="15" t="s">
        <v>107</v>
      </c>
      <c r="T2068" s="15" t="s">
        <v>13367</v>
      </c>
      <c r="U2068" s="21" t="s">
        <v>72</v>
      </c>
    </row>
    <row r="2069" customFormat="false" ht="15" hidden="false" customHeight="false" outlineLevel="0" collapsed="false">
      <c r="A2069" s="15" t="s">
        <v>79</v>
      </c>
      <c r="B2069" s="15" t="s">
        <v>80</v>
      </c>
      <c r="C2069" s="14" t="s">
        <v>13368</v>
      </c>
      <c r="D2069" s="14" t="s">
        <v>13369</v>
      </c>
      <c r="E2069" s="16" t="s">
        <v>13370</v>
      </c>
      <c r="F2069" s="16" t="s">
        <v>13371</v>
      </c>
      <c r="G2069" s="19" t="s">
        <v>41</v>
      </c>
      <c r="H2069" s="18" t="n">
        <v>7</v>
      </c>
      <c r="I2069" s="20" t="n">
        <v>132.74</v>
      </c>
      <c r="J2069" s="20" t="n">
        <v>281.97</v>
      </c>
      <c r="K2069" s="18" t="n">
        <v>7</v>
      </c>
      <c r="L2069" s="18" t="n">
        <v>3</v>
      </c>
      <c r="M2069" s="18" t="n">
        <v>118</v>
      </c>
      <c r="N2069" s="18" t="n">
        <v>118</v>
      </c>
      <c r="O2069" s="14" t="s">
        <v>1088</v>
      </c>
      <c r="P2069" s="14" t="s">
        <v>84</v>
      </c>
      <c r="Q2069" s="15" t="s">
        <v>1089</v>
      </c>
      <c r="R2069" s="16" t="s">
        <v>13372</v>
      </c>
      <c r="S2069" s="15" t="s">
        <v>13373</v>
      </c>
      <c r="T2069" s="15" t="s">
        <v>13373</v>
      </c>
      <c r="U2069" s="21" t="s">
        <v>72</v>
      </c>
    </row>
    <row r="2070" customFormat="false" ht="15" hidden="false" customHeight="false" outlineLevel="0" collapsed="false">
      <c r="A2070" s="15" t="s">
        <v>79</v>
      </c>
      <c r="B2070" s="15" t="s">
        <v>80</v>
      </c>
      <c r="C2070" s="14" t="s">
        <v>157</v>
      </c>
      <c r="D2070" s="14" t="s">
        <v>13374</v>
      </c>
      <c r="E2070" s="16" t="s">
        <v>13375</v>
      </c>
      <c r="F2070" s="16" t="s">
        <v>160</v>
      </c>
      <c r="G2070" s="23" t="s">
        <v>43</v>
      </c>
      <c r="H2070" s="18" t="n">
        <v>3</v>
      </c>
      <c r="I2070" s="20" t="n">
        <v>39.98</v>
      </c>
      <c r="J2070" s="20" t="n">
        <v>107.7</v>
      </c>
      <c r="K2070" s="18" t="n">
        <v>12</v>
      </c>
      <c r="L2070" s="18" t="n">
        <v>8</v>
      </c>
      <c r="M2070" s="18" t="n">
        <v>122</v>
      </c>
      <c r="N2070" s="18" t="n">
        <v>30</v>
      </c>
      <c r="O2070" s="14" t="s">
        <v>1126</v>
      </c>
      <c r="P2070" s="14" t="s">
        <v>84</v>
      </c>
      <c r="Q2070" s="15" t="s">
        <v>1089</v>
      </c>
      <c r="R2070" s="16" t="s">
        <v>161</v>
      </c>
      <c r="S2070" s="15" t="s">
        <v>162</v>
      </c>
      <c r="T2070" s="15" t="s">
        <v>162</v>
      </c>
      <c r="U2070" s="21" t="s">
        <v>72</v>
      </c>
    </row>
    <row r="2071" customFormat="false" ht="15" hidden="false" customHeight="false" outlineLevel="0" collapsed="false">
      <c r="A2071" s="15" t="s">
        <v>79</v>
      </c>
      <c r="B2071" s="15" t="s">
        <v>80</v>
      </c>
      <c r="C2071" s="14" t="s">
        <v>143</v>
      </c>
      <c r="D2071" s="14" t="s">
        <v>13376</v>
      </c>
      <c r="E2071" s="16" t="s">
        <v>13377</v>
      </c>
      <c r="F2071" s="16" t="s">
        <v>146</v>
      </c>
      <c r="G2071" s="23" t="s">
        <v>43</v>
      </c>
      <c r="H2071" s="18" t="n">
        <v>4</v>
      </c>
      <c r="I2071" s="20" t="n">
        <v>128.13</v>
      </c>
      <c r="J2071" s="20" t="n">
        <v>185.33</v>
      </c>
      <c r="K2071" s="18" t="n">
        <v>5</v>
      </c>
      <c r="L2071" s="18" t="n">
        <v>1</v>
      </c>
      <c r="M2071" s="18" t="n">
        <v>118</v>
      </c>
      <c r="N2071" s="18" t="n">
        <v>20</v>
      </c>
      <c r="O2071" s="14" t="s">
        <v>1126</v>
      </c>
      <c r="P2071" s="14" t="s">
        <v>118</v>
      </c>
      <c r="Q2071" s="15" t="s">
        <v>1089</v>
      </c>
      <c r="R2071" s="16" t="s">
        <v>147</v>
      </c>
      <c r="S2071" s="15" t="s">
        <v>148</v>
      </c>
      <c r="T2071" s="15" t="s">
        <v>148</v>
      </c>
      <c r="U2071" s="21" t="s">
        <v>72</v>
      </c>
    </row>
    <row r="2072" customFormat="false" ht="15" hidden="false" customHeight="false" outlineLevel="0" collapsed="false">
      <c r="A2072" s="15" t="s">
        <v>79</v>
      </c>
      <c r="B2072" s="15" t="s">
        <v>80</v>
      </c>
      <c r="C2072" s="14" t="s">
        <v>135</v>
      </c>
      <c r="D2072" s="14" t="s">
        <v>13378</v>
      </c>
      <c r="E2072" s="16" t="s">
        <v>13379</v>
      </c>
      <c r="F2072" s="16" t="s">
        <v>138</v>
      </c>
      <c r="G2072" s="19" t="s">
        <v>41</v>
      </c>
      <c r="H2072" s="18" t="n">
        <v>5</v>
      </c>
      <c r="I2072" s="20" t="n">
        <v>81.39</v>
      </c>
      <c r="J2072" s="20" t="n">
        <v>143.94</v>
      </c>
      <c r="K2072" s="18" t="n">
        <v>14</v>
      </c>
      <c r="L2072" s="18" t="n">
        <v>11</v>
      </c>
      <c r="M2072" s="18" t="n">
        <v>176</v>
      </c>
      <c r="N2072" s="18" t="n">
        <v>104</v>
      </c>
      <c r="O2072" s="14" t="s">
        <v>1126</v>
      </c>
      <c r="P2072" s="14" t="s">
        <v>84</v>
      </c>
      <c r="Q2072" s="15" t="s">
        <v>1089</v>
      </c>
      <c r="R2072" s="16" t="s">
        <v>139</v>
      </c>
      <c r="S2072" s="15" t="s">
        <v>140</v>
      </c>
      <c r="T2072" s="15" t="s">
        <v>141</v>
      </c>
      <c r="U2072" s="21" t="s">
        <v>72</v>
      </c>
    </row>
    <row r="2073" customFormat="false" ht="15" hidden="false" customHeight="false" outlineLevel="0" collapsed="false">
      <c r="A2073" s="15" t="s">
        <v>79</v>
      </c>
      <c r="B2073" s="15" t="s">
        <v>80</v>
      </c>
      <c r="C2073" s="14" t="s">
        <v>13380</v>
      </c>
      <c r="D2073" s="14" t="s">
        <v>13381</v>
      </c>
      <c r="E2073" s="16" t="s">
        <v>13382</v>
      </c>
      <c r="F2073" s="16" t="s">
        <v>13383</v>
      </c>
      <c r="G2073" s="19" t="s">
        <v>41</v>
      </c>
      <c r="H2073" s="18" t="n">
        <v>3</v>
      </c>
      <c r="I2073" s="20" t="n">
        <v>88.16</v>
      </c>
      <c r="J2073" s="20" t="n">
        <v>210.51</v>
      </c>
      <c r="K2073" s="18" t="n">
        <v>9</v>
      </c>
      <c r="L2073" s="18" t="n">
        <v>4</v>
      </c>
      <c r="M2073" s="18" t="n">
        <v>202</v>
      </c>
      <c r="N2073" s="18" t="n">
        <v>40</v>
      </c>
      <c r="O2073" s="14" t="s">
        <v>5962</v>
      </c>
      <c r="P2073" s="14" t="s">
        <v>118</v>
      </c>
      <c r="Q2073" s="15" t="s">
        <v>1089</v>
      </c>
      <c r="R2073" s="16" t="s">
        <v>13384</v>
      </c>
      <c r="S2073" s="15" t="s">
        <v>13385</v>
      </c>
      <c r="T2073" s="15" t="s">
        <v>13385</v>
      </c>
      <c r="U2073" s="21" t="s">
        <v>72</v>
      </c>
    </row>
    <row r="2074" customFormat="false" ht="15" hidden="false" customHeight="false" outlineLevel="0" collapsed="false">
      <c r="A2074" s="15" t="s">
        <v>79</v>
      </c>
      <c r="B2074" s="15" t="s">
        <v>80</v>
      </c>
      <c r="C2074" s="14" t="s">
        <v>13386</v>
      </c>
      <c r="D2074" s="14" t="s">
        <v>13387</v>
      </c>
      <c r="E2074" s="16" t="s">
        <v>13388</v>
      </c>
      <c r="F2074" s="16" t="s">
        <v>13389</v>
      </c>
      <c r="G2074" s="23" t="s">
        <v>43</v>
      </c>
      <c r="H2074" s="18" t="n">
        <v>3</v>
      </c>
      <c r="I2074" s="20" t="n">
        <v>66.9</v>
      </c>
      <c r="J2074" s="20" t="n">
        <v>198.13</v>
      </c>
      <c r="K2074" s="18" t="n">
        <v>20</v>
      </c>
      <c r="L2074" s="18" t="n">
        <v>3</v>
      </c>
      <c r="M2074" s="18" t="n">
        <v>394</v>
      </c>
      <c r="N2074" s="18" t="n">
        <v>394</v>
      </c>
      <c r="O2074" s="14" t="s">
        <v>1097</v>
      </c>
      <c r="P2074" s="14" t="s">
        <v>84</v>
      </c>
      <c r="Q2074" s="15" t="s">
        <v>1089</v>
      </c>
      <c r="R2074" s="16" t="s">
        <v>13390</v>
      </c>
      <c r="S2074" s="15" t="s">
        <v>13391</v>
      </c>
      <c r="T2074" s="15" t="s">
        <v>13392</v>
      </c>
      <c r="U2074" s="21" t="s">
        <v>72</v>
      </c>
    </row>
    <row r="2075" customFormat="false" ht="25.35" hidden="false" customHeight="false" outlineLevel="0" collapsed="false">
      <c r="A2075" s="15" t="s">
        <v>79</v>
      </c>
      <c r="B2075" s="15" t="s">
        <v>80</v>
      </c>
      <c r="C2075" s="14" t="s">
        <v>13393</v>
      </c>
      <c r="D2075" s="14" t="s">
        <v>13394</v>
      </c>
      <c r="E2075" s="16" t="s">
        <v>13395</v>
      </c>
      <c r="F2075" s="16" t="s">
        <v>13396</v>
      </c>
      <c r="G2075" s="19" t="s">
        <v>41</v>
      </c>
      <c r="H2075" s="18" t="n">
        <v>6</v>
      </c>
      <c r="I2075" s="20" t="n">
        <v>131.07</v>
      </c>
      <c r="J2075" s="20" t="n">
        <v>326.34</v>
      </c>
      <c r="K2075" s="18" t="n">
        <v>11</v>
      </c>
      <c r="L2075" s="18" t="n">
        <v>3</v>
      </c>
      <c r="M2075" s="18" t="n">
        <v>212</v>
      </c>
      <c r="N2075" s="18" t="n">
        <v>164</v>
      </c>
      <c r="O2075" s="14" t="s">
        <v>13397</v>
      </c>
      <c r="P2075" s="14" t="s">
        <v>334</v>
      </c>
      <c r="Q2075" s="15" t="s">
        <v>1089</v>
      </c>
      <c r="R2075" s="16" t="s">
        <v>13398</v>
      </c>
      <c r="S2075" s="15" t="s">
        <v>13399</v>
      </c>
      <c r="T2075" s="15" t="s">
        <v>13399</v>
      </c>
      <c r="U2075" s="21" t="s">
        <v>72</v>
      </c>
    </row>
    <row r="2076" customFormat="false" ht="15" hidden="false" customHeight="false" outlineLevel="0" collapsed="false">
      <c r="A2076" s="15" t="s">
        <v>79</v>
      </c>
      <c r="B2076" s="15" t="s">
        <v>80</v>
      </c>
      <c r="C2076" s="14" t="s">
        <v>164</v>
      </c>
      <c r="D2076" s="14" t="s">
        <v>13400</v>
      </c>
      <c r="E2076" s="16" t="s">
        <v>13401</v>
      </c>
      <c r="F2076" s="16" t="s">
        <v>167</v>
      </c>
      <c r="G2076" s="23" t="s">
        <v>43</v>
      </c>
      <c r="H2076" s="18" t="n">
        <v>3</v>
      </c>
      <c r="I2076" s="20" t="n">
        <v>31</v>
      </c>
      <c r="J2076" s="20" t="n">
        <v>77.73</v>
      </c>
      <c r="K2076" s="18" t="n">
        <v>26</v>
      </c>
      <c r="L2076" s="18" t="n">
        <v>10</v>
      </c>
      <c r="M2076" s="18" t="n">
        <v>216</v>
      </c>
      <c r="N2076" s="18" t="n">
        <v>75</v>
      </c>
      <c r="O2076" s="14" t="s">
        <v>1088</v>
      </c>
      <c r="P2076" s="14" t="s">
        <v>84</v>
      </c>
      <c r="Q2076" s="15" t="s">
        <v>1089</v>
      </c>
      <c r="R2076" s="16" t="s">
        <v>168</v>
      </c>
      <c r="S2076" s="15" t="s">
        <v>169</v>
      </c>
      <c r="T2076" s="15" t="s">
        <v>170</v>
      </c>
      <c r="U2076" s="21" t="s">
        <v>72</v>
      </c>
    </row>
    <row r="2077" customFormat="false" ht="15" hidden="false" customHeight="false" outlineLevel="0" collapsed="false">
      <c r="A2077" s="15" t="s">
        <v>79</v>
      </c>
      <c r="B2077" s="15" t="s">
        <v>80</v>
      </c>
      <c r="C2077" s="14" t="s">
        <v>13402</v>
      </c>
      <c r="D2077" s="14" t="s">
        <v>13403</v>
      </c>
      <c r="E2077" s="16" t="s">
        <v>13404</v>
      </c>
      <c r="F2077" s="16" t="s">
        <v>167</v>
      </c>
      <c r="G2077" s="23" t="s">
        <v>43</v>
      </c>
      <c r="H2077" s="18" t="n">
        <v>3</v>
      </c>
      <c r="I2077" s="20" t="n">
        <v>44.46</v>
      </c>
      <c r="J2077" s="20" t="n">
        <v>93.14</v>
      </c>
      <c r="K2077" s="18" t="n">
        <v>26</v>
      </c>
      <c r="L2077" s="18" t="n">
        <v>11</v>
      </c>
      <c r="M2077" s="18" t="n">
        <v>306</v>
      </c>
      <c r="N2077" s="18" t="n">
        <v>105</v>
      </c>
      <c r="O2077" s="14" t="s">
        <v>1088</v>
      </c>
      <c r="P2077" s="14" t="s">
        <v>118</v>
      </c>
      <c r="Q2077" s="15" t="s">
        <v>1089</v>
      </c>
      <c r="R2077" s="16" t="s">
        <v>13405</v>
      </c>
      <c r="S2077" s="15" t="s">
        <v>169</v>
      </c>
      <c r="T2077" s="15" t="s">
        <v>13406</v>
      </c>
      <c r="U2077" s="21" t="s">
        <v>72</v>
      </c>
    </row>
    <row r="2078" customFormat="false" ht="15" hidden="false" customHeight="false" outlineLevel="0" collapsed="false">
      <c r="A2078" s="15" t="s">
        <v>79</v>
      </c>
      <c r="B2078" s="15" t="s">
        <v>80</v>
      </c>
      <c r="C2078" s="14" t="s">
        <v>90</v>
      </c>
      <c r="D2078" s="14" t="s">
        <v>13407</v>
      </c>
      <c r="E2078" s="16" t="s">
        <v>13408</v>
      </c>
      <c r="F2078" s="16" t="s">
        <v>93</v>
      </c>
      <c r="G2078" s="23" t="s">
        <v>43</v>
      </c>
      <c r="H2078" s="18" t="n">
        <v>3</v>
      </c>
      <c r="I2078" s="20" t="n">
        <v>76.43</v>
      </c>
      <c r="J2078" s="20" t="n">
        <v>144.07</v>
      </c>
      <c r="K2078" s="18" t="n">
        <v>3</v>
      </c>
      <c r="L2078" s="18" t="n">
        <v>2</v>
      </c>
      <c r="M2078" s="18" t="n">
        <v>45</v>
      </c>
      <c r="N2078" s="18" t="n">
        <v>30</v>
      </c>
      <c r="O2078" s="14" t="s">
        <v>1126</v>
      </c>
      <c r="P2078" s="14" t="s">
        <v>94</v>
      </c>
      <c r="Q2078" s="15" t="s">
        <v>1089</v>
      </c>
      <c r="R2078" s="16" t="s">
        <v>95</v>
      </c>
      <c r="S2078" s="15" t="s">
        <v>96</v>
      </c>
      <c r="T2078" s="15" t="s">
        <v>97</v>
      </c>
      <c r="U2078" s="21" t="s">
        <v>72</v>
      </c>
    </row>
    <row r="2079" customFormat="false" ht="15" hidden="false" customHeight="false" outlineLevel="0" collapsed="false">
      <c r="A2079" s="15" t="s">
        <v>79</v>
      </c>
      <c r="B2079" s="15" t="s">
        <v>80</v>
      </c>
      <c r="C2079" s="14" t="s">
        <v>13409</v>
      </c>
      <c r="D2079" s="14" t="s">
        <v>13410</v>
      </c>
      <c r="E2079" s="16" t="s">
        <v>13411</v>
      </c>
      <c r="F2079" s="16" t="s">
        <v>13412</v>
      </c>
      <c r="G2079" s="23" t="s">
        <v>43</v>
      </c>
      <c r="H2079" s="18" t="n">
        <v>4</v>
      </c>
      <c r="I2079" s="20" t="n">
        <v>103.93</v>
      </c>
      <c r="J2079" s="20" t="n">
        <v>187.51</v>
      </c>
      <c r="K2079" s="18" t="n">
        <v>5</v>
      </c>
      <c r="L2079" s="18" t="n">
        <v>2</v>
      </c>
      <c r="M2079" s="18" t="n">
        <v>90</v>
      </c>
      <c r="N2079" s="18" t="n">
        <v>90</v>
      </c>
      <c r="O2079" s="14" t="s">
        <v>13413</v>
      </c>
      <c r="P2079" s="14" t="s">
        <v>118</v>
      </c>
      <c r="Q2079" s="15" t="s">
        <v>1089</v>
      </c>
      <c r="R2079" s="16" t="s">
        <v>13414</v>
      </c>
      <c r="S2079" s="15" t="s">
        <v>10609</v>
      </c>
      <c r="T2079" s="15" t="s">
        <v>13415</v>
      </c>
      <c r="U2079" s="21" t="s">
        <v>72</v>
      </c>
    </row>
    <row r="2080" customFormat="false" ht="15" hidden="false" customHeight="false" outlineLevel="0" collapsed="false">
      <c r="A2080" s="15" t="s">
        <v>79</v>
      </c>
      <c r="B2080" s="15" t="s">
        <v>80</v>
      </c>
      <c r="C2080" s="14" t="s">
        <v>13416</v>
      </c>
      <c r="D2080" s="14" t="s">
        <v>13417</v>
      </c>
      <c r="E2080" s="16" t="s">
        <v>13418</v>
      </c>
      <c r="F2080" s="16" t="s">
        <v>13419</v>
      </c>
      <c r="G2080" s="19" t="s">
        <v>41</v>
      </c>
      <c r="H2080" s="18" t="n">
        <v>5</v>
      </c>
      <c r="I2080" s="20" t="n">
        <v>110.62</v>
      </c>
      <c r="J2080" s="20" t="n">
        <v>159.05</v>
      </c>
      <c r="K2080" s="18" t="n">
        <v>5</v>
      </c>
      <c r="L2080" s="18" t="n">
        <v>4</v>
      </c>
      <c r="M2080" s="18" t="n">
        <v>89</v>
      </c>
      <c r="N2080" s="18" t="n">
        <v>53</v>
      </c>
      <c r="O2080" s="14" t="s">
        <v>13420</v>
      </c>
      <c r="P2080" s="14" t="s">
        <v>118</v>
      </c>
      <c r="Q2080" s="15" t="s">
        <v>1089</v>
      </c>
      <c r="R2080" s="16" t="s">
        <v>13421</v>
      </c>
      <c r="S2080" s="15" t="s">
        <v>13422</v>
      </c>
      <c r="T2080" s="15" t="s">
        <v>13423</v>
      </c>
      <c r="U2080" s="21" t="s">
        <v>72</v>
      </c>
    </row>
    <row r="2081" customFormat="false" ht="15" hidden="false" customHeight="false" outlineLevel="0" collapsed="false">
      <c r="A2081" s="15" t="s">
        <v>79</v>
      </c>
      <c r="B2081" s="15" t="s">
        <v>80</v>
      </c>
      <c r="C2081" s="14" t="s">
        <v>13424</v>
      </c>
      <c r="D2081" s="14" t="s">
        <v>13425</v>
      </c>
      <c r="E2081" s="16" t="s">
        <v>13426</v>
      </c>
      <c r="F2081" s="16" t="s">
        <v>13427</v>
      </c>
      <c r="G2081" s="19" t="s">
        <v>41</v>
      </c>
      <c r="H2081" s="18" t="n">
        <v>2</v>
      </c>
      <c r="I2081" s="20" t="n">
        <v>60</v>
      </c>
      <c r="J2081" s="20" t="n">
        <v>205.88</v>
      </c>
      <c r="K2081" s="18" t="n">
        <v>4</v>
      </c>
      <c r="L2081" s="18" t="n">
        <v>3</v>
      </c>
      <c r="M2081" s="18" t="n">
        <v>100</v>
      </c>
      <c r="N2081" s="18" t="n">
        <v>50</v>
      </c>
      <c r="O2081" s="14" t="s">
        <v>1126</v>
      </c>
      <c r="P2081" s="14" t="s">
        <v>118</v>
      </c>
      <c r="Q2081" s="15" t="s">
        <v>1089</v>
      </c>
      <c r="R2081" s="16" t="s">
        <v>13428</v>
      </c>
      <c r="S2081" s="15" t="s">
        <v>13429</v>
      </c>
      <c r="T2081" s="15" t="s">
        <v>13429</v>
      </c>
      <c r="U2081" s="21" t="s">
        <v>72</v>
      </c>
    </row>
    <row r="2082" customFormat="false" ht="15" hidden="false" customHeight="false" outlineLevel="0" collapsed="false">
      <c r="A2082" s="15" t="s">
        <v>79</v>
      </c>
      <c r="B2082" s="15" t="s">
        <v>80</v>
      </c>
      <c r="C2082" s="14" t="s">
        <v>150</v>
      </c>
      <c r="D2082" s="14" t="s">
        <v>13430</v>
      </c>
      <c r="E2082" s="16" t="s">
        <v>13431</v>
      </c>
      <c r="F2082" s="16" t="s">
        <v>153</v>
      </c>
      <c r="G2082" s="23" t="s">
        <v>43</v>
      </c>
      <c r="H2082" s="18" t="n">
        <v>1</v>
      </c>
      <c r="I2082" s="20" t="n">
        <v>38.25</v>
      </c>
      <c r="J2082" s="20" t="n">
        <v>120.5</v>
      </c>
      <c r="K2082" s="18" t="n">
        <v>2</v>
      </c>
      <c r="L2082" s="18" t="n">
        <v>4</v>
      </c>
      <c r="M2082" s="18" t="n">
        <v>68</v>
      </c>
      <c r="N2082" s="18" t="n">
        <v>68</v>
      </c>
      <c r="O2082" s="14" t="s">
        <v>1088</v>
      </c>
      <c r="P2082" s="14" t="s">
        <v>84</v>
      </c>
      <c r="Q2082" s="15" t="s">
        <v>1089</v>
      </c>
      <c r="R2082" s="16" t="s">
        <v>154</v>
      </c>
      <c r="S2082" s="15" t="s">
        <v>155</v>
      </c>
      <c r="T2082" s="15" t="s">
        <v>155</v>
      </c>
      <c r="U2082" s="21" t="s">
        <v>72</v>
      </c>
    </row>
    <row r="2083" customFormat="false" ht="15" hidden="false" customHeight="false" outlineLevel="0" collapsed="false">
      <c r="A2083" s="15" t="s">
        <v>79</v>
      </c>
      <c r="B2083" s="15" t="s">
        <v>80</v>
      </c>
      <c r="C2083" s="14" t="s">
        <v>78</v>
      </c>
      <c r="D2083" s="14" t="s">
        <v>13432</v>
      </c>
      <c r="E2083" s="16" t="s">
        <v>13433</v>
      </c>
      <c r="F2083" s="16" t="s">
        <v>83</v>
      </c>
      <c r="G2083" s="19" t="s">
        <v>41</v>
      </c>
      <c r="H2083" s="18" t="n">
        <v>3</v>
      </c>
      <c r="I2083" s="20" t="n">
        <v>73.08</v>
      </c>
      <c r="J2083" s="20" t="n">
        <v>210.65</v>
      </c>
      <c r="K2083" s="18" t="n">
        <v>3</v>
      </c>
      <c r="L2083" s="18" t="n">
        <v>1</v>
      </c>
      <c r="M2083" s="18" t="n">
        <v>198</v>
      </c>
      <c r="N2083" s="18" t="n">
        <v>198</v>
      </c>
      <c r="O2083" s="14" t="s">
        <v>1088</v>
      </c>
      <c r="P2083" s="14" t="s">
        <v>84</v>
      </c>
      <c r="Q2083" s="15" t="s">
        <v>1089</v>
      </c>
      <c r="R2083" s="16" t="s">
        <v>85</v>
      </c>
      <c r="S2083" s="15" t="s">
        <v>86</v>
      </c>
      <c r="T2083" s="15" t="s">
        <v>87</v>
      </c>
      <c r="U2083" s="21" t="s">
        <v>72</v>
      </c>
    </row>
    <row r="2084" customFormat="false" ht="15" hidden="false" customHeight="false" outlineLevel="0" collapsed="false">
      <c r="A2084" s="15" t="s">
        <v>79</v>
      </c>
      <c r="B2084" s="15" t="s">
        <v>80</v>
      </c>
      <c r="C2084" s="14" t="s">
        <v>13434</v>
      </c>
      <c r="D2084" s="14" t="s">
        <v>13435</v>
      </c>
      <c r="E2084" s="16" t="s">
        <v>13436</v>
      </c>
      <c r="F2084" s="16" t="s">
        <v>13437</v>
      </c>
      <c r="G2084" s="19" t="s">
        <v>41</v>
      </c>
      <c r="H2084" s="18" t="n">
        <v>6</v>
      </c>
      <c r="I2084" s="20" t="n">
        <v>152.55</v>
      </c>
      <c r="J2084" s="20" t="n">
        <v>230.9</v>
      </c>
      <c r="K2084" s="18" t="n">
        <v>13</v>
      </c>
      <c r="L2084" s="18" t="n">
        <v>5</v>
      </c>
      <c r="M2084" s="18" t="n">
        <v>237</v>
      </c>
      <c r="N2084" s="18" t="n">
        <v>210</v>
      </c>
      <c r="O2084" s="14" t="s">
        <v>9923</v>
      </c>
      <c r="P2084" s="14" t="s">
        <v>118</v>
      </c>
      <c r="Q2084" s="15" t="s">
        <v>1089</v>
      </c>
      <c r="R2084" s="16" t="s">
        <v>13438</v>
      </c>
      <c r="S2084" s="15" t="s">
        <v>13439</v>
      </c>
      <c r="T2084" s="15" t="s">
        <v>13440</v>
      </c>
      <c r="U2084" s="21" t="s">
        <v>72</v>
      </c>
    </row>
    <row r="2085" customFormat="false" ht="15" hidden="false" customHeight="false" outlineLevel="0" collapsed="false">
      <c r="A2085" s="15" t="s">
        <v>79</v>
      </c>
      <c r="B2085" s="15" t="s">
        <v>80</v>
      </c>
      <c r="C2085" s="14" t="s">
        <v>13441</v>
      </c>
      <c r="D2085" s="14" t="s">
        <v>13442</v>
      </c>
      <c r="E2085" s="16" t="s">
        <v>13443</v>
      </c>
      <c r="F2085" s="16" t="s">
        <v>13444</v>
      </c>
      <c r="G2085" s="19" t="s">
        <v>41</v>
      </c>
      <c r="H2085" s="18" t="n">
        <v>6</v>
      </c>
      <c r="I2085" s="20" t="n">
        <v>128.55</v>
      </c>
      <c r="J2085" s="20" t="n">
        <v>208.21</v>
      </c>
      <c r="K2085" s="18" t="n">
        <v>8</v>
      </c>
      <c r="L2085" s="18" t="n">
        <v>6</v>
      </c>
      <c r="M2085" s="18" t="n">
        <v>144</v>
      </c>
      <c r="N2085" s="18" t="n">
        <v>144</v>
      </c>
      <c r="O2085" s="14" t="s">
        <v>1126</v>
      </c>
      <c r="P2085" s="14" t="s">
        <v>84</v>
      </c>
      <c r="Q2085" s="15" t="s">
        <v>1089</v>
      </c>
      <c r="R2085" s="16" t="s">
        <v>13445</v>
      </c>
      <c r="S2085" s="15" t="s">
        <v>13446</v>
      </c>
      <c r="T2085" s="15" t="s">
        <v>13447</v>
      </c>
      <c r="U2085" s="21" t="s">
        <v>72</v>
      </c>
    </row>
    <row r="2086" customFormat="false" ht="15" hidden="false" customHeight="false" outlineLevel="0" collapsed="false">
      <c r="A2086" s="15" t="s">
        <v>79</v>
      </c>
      <c r="B2086" s="15" t="s">
        <v>80</v>
      </c>
      <c r="C2086" s="14" t="s">
        <v>13448</v>
      </c>
      <c r="D2086" s="14" t="s">
        <v>13449</v>
      </c>
      <c r="E2086" s="16" t="s">
        <v>13450</v>
      </c>
      <c r="F2086" s="16" t="s">
        <v>13451</v>
      </c>
      <c r="G2086" s="23" t="s">
        <v>43</v>
      </c>
      <c r="H2086" s="18" t="n">
        <v>2</v>
      </c>
      <c r="I2086" s="20" t="n">
        <v>36.1</v>
      </c>
      <c r="J2086" s="20" t="n">
        <v>129.73</v>
      </c>
      <c r="K2086" s="18" t="n">
        <v>7</v>
      </c>
      <c r="L2086" s="18" t="n">
        <v>4</v>
      </c>
      <c r="M2086" s="18" t="n">
        <v>110</v>
      </c>
      <c r="N2086" s="18" t="n">
        <v>36</v>
      </c>
      <c r="O2086" s="14" t="s">
        <v>1126</v>
      </c>
      <c r="P2086" s="14" t="s">
        <v>1716</v>
      </c>
      <c r="Q2086" s="15" t="s">
        <v>1089</v>
      </c>
      <c r="R2086" s="16" t="s">
        <v>11555</v>
      </c>
      <c r="S2086" s="15" t="s">
        <v>13452</v>
      </c>
      <c r="T2086" s="15" t="s">
        <v>13452</v>
      </c>
      <c r="U2086" s="21" t="s">
        <v>72</v>
      </c>
    </row>
    <row r="2087" customFormat="false" ht="15" hidden="false" customHeight="false" outlineLevel="0" collapsed="false">
      <c r="A2087" s="15" t="s">
        <v>79</v>
      </c>
      <c r="B2087" s="15" t="s">
        <v>80</v>
      </c>
      <c r="C2087" s="14" t="s">
        <v>13453</v>
      </c>
      <c r="D2087" s="14" t="s">
        <v>13454</v>
      </c>
      <c r="E2087" s="16" t="s">
        <v>13455</v>
      </c>
      <c r="F2087" s="16" t="s">
        <v>13456</v>
      </c>
      <c r="G2087" s="19" t="s">
        <v>41</v>
      </c>
      <c r="H2087" s="18" t="n">
        <v>6</v>
      </c>
      <c r="I2087" s="20" t="n">
        <v>137.62</v>
      </c>
      <c r="J2087" s="20" t="n">
        <v>235.48</v>
      </c>
      <c r="K2087" s="18" t="n">
        <v>6</v>
      </c>
      <c r="L2087" s="18" t="n">
        <v>8</v>
      </c>
      <c r="M2087" s="18" t="n">
        <v>131</v>
      </c>
      <c r="N2087" s="18" t="n">
        <v>131</v>
      </c>
      <c r="O2087" s="14" t="s">
        <v>13457</v>
      </c>
      <c r="P2087" s="14" t="s">
        <v>118</v>
      </c>
      <c r="Q2087" s="15" t="s">
        <v>1089</v>
      </c>
      <c r="R2087" s="16" t="s">
        <v>13458</v>
      </c>
      <c r="S2087" s="15" t="s">
        <v>13459</v>
      </c>
      <c r="T2087" s="15" t="s">
        <v>13460</v>
      </c>
      <c r="U2087" s="21" t="s">
        <v>72</v>
      </c>
    </row>
    <row r="2088" customFormat="false" ht="15" hidden="false" customHeight="false" outlineLevel="0" collapsed="false">
      <c r="A2088" s="15" t="s">
        <v>79</v>
      </c>
      <c r="B2088" s="15" t="s">
        <v>80</v>
      </c>
      <c r="C2088" s="14" t="s">
        <v>13461</v>
      </c>
      <c r="D2088" s="14" t="s">
        <v>13462</v>
      </c>
      <c r="E2088" s="16" t="s">
        <v>13463</v>
      </c>
      <c r="F2088" s="16"/>
      <c r="G2088" s="25" t="s">
        <v>39</v>
      </c>
      <c r="H2088" s="18" t="n">
        <v>4</v>
      </c>
      <c r="I2088" s="20" t="n">
        <v>278.44</v>
      </c>
      <c r="J2088" s="20" t="n">
        <v>540.91</v>
      </c>
      <c r="K2088" s="18" t="n">
        <v>6</v>
      </c>
      <c r="L2088" s="18" t="n">
        <v>2</v>
      </c>
      <c r="M2088" s="18" t="n">
        <v>348</v>
      </c>
      <c r="N2088" s="18" t="n">
        <v>232</v>
      </c>
      <c r="O2088" s="14" t="s">
        <v>1126</v>
      </c>
      <c r="P2088" s="14" t="s">
        <v>118</v>
      </c>
      <c r="Q2088" s="15" t="s">
        <v>1089</v>
      </c>
      <c r="R2088" s="16" t="s">
        <v>13464</v>
      </c>
      <c r="S2088" s="15" t="s">
        <v>13465</v>
      </c>
      <c r="T2088" s="15" t="s">
        <v>13466</v>
      </c>
      <c r="U2088" s="21" t="s">
        <v>72</v>
      </c>
    </row>
    <row r="2089" customFormat="false" ht="15" hidden="false" customHeight="false" outlineLevel="0" collapsed="false">
      <c r="A2089" s="15" t="s">
        <v>79</v>
      </c>
      <c r="B2089" s="15" t="s">
        <v>80</v>
      </c>
      <c r="C2089" s="14" t="s">
        <v>320</v>
      </c>
      <c r="D2089" s="14" t="s">
        <v>13467</v>
      </c>
      <c r="E2089" s="16" t="s">
        <v>13468</v>
      </c>
      <c r="F2089" s="16" t="s">
        <v>323</v>
      </c>
      <c r="G2089" s="23" t="s">
        <v>43</v>
      </c>
      <c r="H2089" s="18" t="n">
        <v>4</v>
      </c>
      <c r="I2089" s="20" t="n">
        <v>71.44</v>
      </c>
      <c r="J2089" s="20" t="n">
        <v>153.88</v>
      </c>
      <c r="K2089" s="18" t="n">
        <v>4</v>
      </c>
      <c r="L2089" s="18" t="n">
        <v>4</v>
      </c>
      <c r="M2089" s="18" t="n">
        <v>58</v>
      </c>
      <c r="N2089" s="18" t="n">
        <v>16</v>
      </c>
      <c r="O2089" s="14" t="s">
        <v>1126</v>
      </c>
      <c r="P2089" s="14" t="s">
        <v>118</v>
      </c>
      <c r="Q2089" s="15" t="s">
        <v>1089</v>
      </c>
      <c r="R2089" s="16" t="s">
        <v>324</v>
      </c>
      <c r="S2089" s="15" t="s">
        <v>325</v>
      </c>
      <c r="T2089" s="15" t="s">
        <v>325</v>
      </c>
      <c r="U2089" s="21" t="s">
        <v>72</v>
      </c>
    </row>
    <row r="2090" customFormat="false" ht="15" hidden="false" customHeight="false" outlineLevel="0" collapsed="false">
      <c r="A2090" s="15" t="s">
        <v>79</v>
      </c>
      <c r="B2090" s="15" t="s">
        <v>80</v>
      </c>
      <c r="C2090" s="14" t="s">
        <v>13469</v>
      </c>
      <c r="D2090" s="14" t="s">
        <v>13470</v>
      </c>
      <c r="E2090" s="16" t="s">
        <v>13471</v>
      </c>
      <c r="F2090" s="16" t="s">
        <v>13472</v>
      </c>
      <c r="G2090" s="19" t="s">
        <v>41</v>
      </c>
      <c r="H2090" s="18" t="n">
        <v>6</v>
      </c>
      <c r="I2090" s="20" t="n">
        <v>120.67</v>
      </c>
      <c r="J2090" s="20" t="n">
        <v>208.92</v>
      </c>
      <c r="K2090" s="18" t="n">
        <v>28</v>
      </c>
      <c r="L2090" s="18" t="n">
        <v>6</v>
      </c>
      <c r="M2090" s="18" t="n">
        <v>413</v>
      </c>
      <c r="N2090" s="18" t="n">
        <v>413</v>
      </c>
      <c r="O2090" s="14" t="s">
        <v>3724</v>
      </c>
      <c r="P2090" s="14" t="s">
        <v>84</v>
      </c>
      <c r="Q2090" s="15" t="s">
        <v>1089</v>
      </c>
      <c r="R2090" s="16" t="s">
        <v>13473</v>
      </c>
      <c r="S2090" s="15" t="s">
        <v>13474</v>
      </c>
      <c r="T2090" s="15" t="s">
        <v>13474</v>
      </c>
      <c r="U2090" s="21" t="s">
        <v>72</v>
      </c>
    </row>
    <row r="2091" customFormat="false" ht="15" hidden="false" customHeight="false" outlineLevel="0" collapsed="false">
      <c r="A2091" s="15" t="s">
        <v>79</v>
      </c>
      <c r="B2091" s="15" t="s">
        <v>80</v>
      </c>
      <c r="C2091" s="14" t="s">
        <v>13475</v>
      </c>
      <c r="D2091" s="14" t="s">
        <v>13476</v>
      </c>
      <c r="E2091" s="16" t="s">
        <v>13477</v>
      </c>
      <c r="F2091" s="16" t="s">
        <v>13478</v>
      </c>
      <c r="G2091" s="19" t="s">
        <v>41</v>
      </c>
      <c r="H2091" s="18" t="n">
        <v>3</v>
      </c>
      <c r="I2091" s="20" t="n">
        <v>125.09</v>
      </c>
      <c r="J2091" s="20" t="n">
        <v>341.9</v>
      </c>
      <c r="K2091" s="18" t="n">
        <v>3</v>
      </c>
      <c r="L2091" s="18" t="n">
        <v>3</v>
      </c>
      <c r="M2091" s="18" t="n">
        <v>150</v>
      </c>
      <c r="N2091" s="18" t="n">
        <v>120</v>
      </c>
      <c r="O2091" s="14" t="s">
        <v>1126</v>
      </c>
      <c r="P2091" s="14" t="s">
        <v>118</v>
      </c>
      <c r="Q2091" s="15" t="s">
        <v>1089</v>
      </c>
      <c r="R2091" s="16" t="s">
        <v>13479</v>
      </c>
      <c r="S2091" s="15" t="s">
        <v>13480</v>
      </c>
      <c r="T2091" s="15" t="s">
        <v>13481</v>
      </c>
      <c r="U2091" s="21" t="s">
        <v>72</v>
      </c>
    </row>
    <row r="2092" customFormat="false" ht="15" hidden="false" customHeight="false" outlineLevel="0" collapsed="false">
      <c r="A2092" s="15" t="s">
        <v>79</v>
      </c>
      <c r="B2092" s="15" t="s">
        <v>80</v>
      </c>
      <c r="C2092" s="14" t="s">
        <v>13482</v>
      </c>
      <c r="D2092" s="14" t="s">
        <v>13483</v>
      </c>
      <c r="E2092" s="16" t="s">
        <v>13484</v>
      </c>
      <c r="F2092" s="16" t="s">
        <v>10887</v>
      </c>
      <c r="G2092" s="23" t="s">
        <v>43</v>
      </c>
      <c r="H2092" s="18" t="n">
        <v>2</v>
      </c>
      <c r="I2092" s="20" t="n">
        <v>45.82</v>
      </c>
      <c r="J2092" s="20" t="n">
        <v>149.31</v>
      </c>
      <c r="K2092" s="18" t="n">
        <v>14</v>
      </c>
      <c r="L2092" s="18" t="n">
        <v>2</v>
      </c>
      <c r="M2092" s="18" t="n">
        <v>244</v>
      </c>
      <c r="N2092" s="18" t="n">
        <v>70</v>
      </c>
      <c r="O2092" s="14" t="s">
        <v>3724</v>
      </c>
      <c r="P2092" s="14" t="s">
        <v>118</v>
      </c>
      <c r="Q2092" s="15" t="s">
        <v>1089</v>
      </c>
      <c r="R2092" s="16" t="s">
        <v>556</v>
      </c>
      <c r="S2092" s="15" t="s">
        <v>13485</v>
      </c>
      <c r="T2092" s="15" t="s">
        <v>13486</v>
      </c>
      <c r="U2092" s="21" t="s">
        <v>72</v>
      </c>
    </row>
    <row r="2093" customFormat="false" ht="15" hidden="false" customHeight="false" outlineLevel="0" collapsed="false">
      <c r="A2093" s="15" t="s">
        <v>79</v>
      </c>
      <c r="B2093" s="15" t="s">
        <v>80</v>
      </c>
      <c r="C2093" s="14" t="s">
        <v>13487</v>
      </c>
      <c r="D2093" s="14" t="s">
        <v>13488</v>
      </c>
      <c r="E2093" s="16" t="s">
        <v>13489</v>
      </c>
      <c r="F2093" s="16" t="s">
        <v>13490</v>
      </c>
      <c r="G2093" s="23" t="s">
        <v>43</v>
      </c>
      <c r="H2093" s="18" t="n">
        <v>3</v>
      </c>
      <c r="I2093" s="20" t="n">
        <v>57.11</v>
      </c>
      <c r="J2093" s="20" t="n">
        <v>111.48</v>
      </c>
      <c r="K2093" s="18" t="n">
        <v>7</v>
      </c>
      <c r="L2093" s="18" t="n">
        <v>1</v>
      </c>
      <c r="M2093" s="18" t="n">
        <v>99</v>
      </c>
      <c r="N2093" s="18" t="n">
        <v>30</v>
      </c>
      <c r="O2093" s="14" t="s">
        <v>1126</v>
      </c>
      <c r="P2093" s="14" t="s">
        <v>118</v>
      </c>
      <c r="Q2093" s="15" t="s">
        <v>1089</v>
      </c>
      <c r="R2093" s="16" t="s">
        <v>13491</v>
      </c>
      <c r="S2093" s="15" t="s">
        <v>13422</v>
      </c>
      <c r="T2093" s="15" t="s">
        <v>13492</v>
      </c>
      <c r="U2093" s="21" t="s">
        <v>72</v>
      </c>
    </row>
    <row r="2094" customFormat="false" ht="15" hidden="false" customHeight="false" outlineLevel="0" collapsed="false">
      <c r="A2094" s="15" t="s">
        <v>79</v>
      </c>
      <c r="B2094" s="15" t="s">
        <v>80</v>
      </c>
      <c r="C2094" s="14" t="s">
        <v>13493</v>
      </c>
      <c r="D2094" s="14" t="s">
        <v>13494</v>
      </c>
      <c r="E2094" s="16" t="s">
        <v>13495</v>
      </c>
      <c r="F2094" s="16" t="s">
        <v>13496</v>
      </c>
      <c r="G2094" s="19" t="s">
        <v>41</v>
      </c>
      <c r="H2094" s="18" t="n">
        <v>5</v>
      </c>
      <c r="I2094" s="20" t="n">
        <v>86.17</v>
      </c>
      <c r="J2094" s="20" t="n">
        <v>172.07</v>
      </c>
      <c r="K2094" s="18" t="n">
        <v>10</v>
      </c>
      <c r="L2094" s="18" t="n">
        <v>4</v>
      </c>
      <c r="M2094" s="18" t="n">
        <v>146</v>
      </c>
      <c r="N2094" s="18" t="n">
        <v>112</v>
      </c>
      <c r="O2094" s="14" t="s">
        <v>10214</v>
      </c>
      <c r="P2094" s="14" t="s">
        <v>118</v>
      </c>
      <c r="Q2094" s="15" t="s">
        <v>1089</v>
      </c>
      <c r="R2094" s="16" t="s">
        <v>13497</v>
      </c>
      <c r="S2094" s="15" t="s">
        <v>13422</v>
      </c>
      <c r="T2094" s="15" t="s">
        <v>13498</v>
      </c>
      <c r="U2094" s="21" t="s">
        <v>72</v>
      </c>
    </row>
    <row r="2095" customFormat="false" ht="15" hidden="false" customHeight="false" outlineLevel="0" collapsed="false">
      <c r="A2095" s="15" t="s">
        <v>79</v>
      </c>
      <c r="B2095" s="15" t="s">
        <v>80</v>
      </c>
      <c r="C2095" s="14" t="s">
        <v>13499</v>
      </c>
      <c r="D2095" s="14" t="s">
        <v>13500</v>
      </c>
      <c r="E2095" s="16" t="s">
        <v>13501</v>
      </c>
      <c r="F2095" s="16" t="s">
        <v>13496</v>
      </c>
      <c r="G2095" s="23" t="s">
        <v>43</v>
      </c>
      <c r="H2095" s="18" t="n">
        <v>2</v>
      </c>
      <c r="I2095" s="20" t="n">
        <v>52.81</v>
      </c>
      <c r="J2095" s="20" t="n">
        <v>148.55</v>
      </c>
      <c r="K2095" s="18" t="n">
        <v>15</v>
      </c>
      <c r="L2095" s="18" t="n">
        <v>3</v>
      </c>
      <c r="M2095" s="18" t="n">
        <v>315</v>
      </c>
      <c r="N2095" s="18" t="n">
        <v>168</v>
      </c>
      <c r="O2095" s="14" t="s">
        <v>9791</v>
      </c>
      <c r="P2095" s="14" t="s">
        <v>118</v>
      </c>
      <c r="Q2095" s="15" t="s">
        <v>1089</v>
      </c>
      <c r="R2095" s="16" t="s">
        <v>13502</v>
      </c>
      <c r="S2095" s="15" t="s">
        <v>13422</v>
      </c>
      <c r="T2095" s="15" t="s">
        <v>13503</v>
      </c>
      <c r="U2095" s="21" t="s">
        <v>72</v>
      </c>
    </row>
    <row r="2096" customFormat="false" ht="15" hidden="false" customHeight="false" outlineLevel="0" collapsed="false">
      <c r="A2096" s="15" t="s">
        <v>79</v>
      </c>
      <c r="B2096" s="15" t="s">
        <v>80</v>
      </c>
      <c r="C2096" s="14" t="s">
        <v>13504</v>
      </c>
      <c r="D2096" s="14" t="s">
        <v>13505</v>
      </c>
      <c r="E2096" s="16" t="s">
        <v>13506</v>
      </c>
      <c r="F2096" s="16" t="s">
        <v>13507</v>
      </c>
      <c r="G2096" s="19" t="s">
        <v>41</v>
      </c>
      <c r="H2096" s="18" t="n">
        <v>6</v>
      </c>
      <c r="I2096" s="20" t="n">
        <v>146.98</v>
      </c>
      <c r="J2096" s="20" t="n">
        <v>254.94</v>
      </c>
      <c r="K2096" s="18" t="n">
        <v>6</v>
      </c>
      <c r="L2096" s="18" t="n">
        <v>6</v>
      </c>
      <c r="M2096" s="18" t="n">
        <v>90</v>
      </c>
      <c r="N2096" s="18" t="n">
        <v>60</v>
      </c>
      <c r="O2096" s="14" t="s">
        <v>1126</v>
      </c>
      <c r="P2096" s="14" t="s">
        <v>118</v>
      </c>
      <c r="Q2096" s="15" t="s">
        <v>1089</v>
      </c>
      <c r="R2096" s="16" t="s">
        <v>13508</v>
      </c>
      <c r="S2096" s="15" t="s">
        <v>13509</v>
      </c>
      <c r="T2096" s="15" t="s">
        <v>13510</v>
      </c>
      <c r="U2096" s="21" t="s">
        <v>72</v>
      </c>
    </row>
    <row r="2097" customFormat="false" ht="15" hidden="false" customHeight="false" outlineLevel="0" collapsed="false">
      <c r="A2097" s="15" t="s">
        <v>79</v>
      </c>
      <c r="B2097" s="15" t="s">
        <v>80</v>
      </c>
      <c r="C2097" s="14" t="s">
        <v>123</v>
      </c>
      <c r="D2097" s="14" t="s">
        <v>13511</v>
      </c>
      <c r="E2097" s="16" t="s">
        <v>13512</v>
      </c>
      <c r="F2097" s="16" t="s">
        <v>126</v>
      </c>
      <c r="G2097" s="23" t="s">
        <v>43</v>
      </c>
      <c r="H2097" s="18" t="n">
        <v>4</v>
      </c>
      <c r="I2097" s="20" t="n">
        <v>88.19</v>
      </c>
      <c r="J2097" s="20" t="n">
        <v>190.76</v>
      </c>
      <c r="K2097" s="18" t="n">
        <v>4</v>
      </c>
      <c r="L2097" s="18" t="n">
        <v>4</v>
      </c>
      <c r="M2097" s="18" t="n">
        <v>71</v>
      </c>
      <c r="N2097" s="18" t="n">
        <v>46</v>
      </c>
      <c r="O2097" s="14" t="s">
        <v>1126</v>
      </c>
      <c r="P2097" s="14" t="s">
        <v>84</v>
      </c>
      <c r="Q2097" s="15" t="s">
        <v>1089</v>
      </c>
      <c r="R2097" s="16" t="s">
        <v>127</v>
      </c>
      <c r="S2097" s="15" t="s">
        <v>128</v>
      </c>
      <c r="T2097" s="15" t="s">
        <v>128</v>
      </c>
      <c r="U2097" s="21" t="s">
        <v>72</v>
      </c>
    </row>
    <row r="2098" customFormat="false" ht="15" hidden="false" customHeight="false" outlineLevel="0" collapsed="false">
      <c r="A2098" s="15" t="s">
        <v>79</v>
      </c>
      <c r="B2098" s="15" t="s">
        <v>80</v>
      </c>
      <c r="C2098" s="14" t="s">
        <v>13513</v>
      </c>
      <c r="D2098" s="14" t="s">
        <v>13514</v>
      </c>
      <c r="E2098" s="16" t="s">
        <v>13515</v>
      </c>
      <c r="F2098" s="16"/>
      <c r="G2098" s="23" t="s">
        <v>43</v>
      </c>
      <c r="H2098" s="18" t="n">
        <v>4</v>
      </c>
      <c r="I2098" s="20" t="n">
        <v>76.56</v>
      </c>
      <c r="J2098" s="20" t="n">
        <v>150.14</v>
      </c>
      <c r="K2098" s="18" t="n">
        <v>10</v>
      </c>
      <c r="L2098" s="18" t="n">
        <v>5</v>
      </c>
      <c r="M2098" s="18" t="n">
        <v>148</v>
      </c>
      <c r="N2098" s="18" t="n">
        <v>98</v>
      </c>
      <c r="O2098" s="14" t="s">
        <v>10603</v>
      </c>
      <c r="P2098" s="14" t="s">
        <v>334</v>
      </c>
      <c r="Q2098" s="15" t="s">
        <v>1089</v>
      </c>
      <c r="R2098" s="16" t="s">
        <v>11715</v>
      </c>
      <c r="S2098" s="15" t="s">
        <v>12725</v>
      </c>
      <c r="T2098" s="15" t="s">
        <v>13516</v>
      </c>
      <c r="U2098" s="21" t="s">
        <v>72</v>
      </c>
    </row>
    <row r="2099" customFormat="false" ht="15" hidden="false" customHeight="false" outlineLevel="0" collapsed="false">
      <c r="A2099" s="15" t="s">
        <v>79</v>
      </c>
      <c r="B2099" s="15" t="s">
        <v>80</v>
      </c>
      <c r="C2099" s="14" t="s">
        <v>13517</v>
      </c>
      <c r="D2099" s="14" t="s">
        <v>13518</v>
      </c>
      <c r="E2099" s="16" t="s">
        <v>13519</v>
      </c>
      <c r="F2099" s="16" t="s">
        <v>13520</v>
      </c>
      <c r="G2099" s="23" t="s">
        <v>43</v>
      </c>
      <c r="H2099" s="18" t="n">
        <v>3</v>
      </c>
      <c r="I2099" s="20" t="n">
        <v>64.5</v>
      </c>
      <c r="J2099" s="20" t="n">
        <v>134.83</v>
      </c>
      <c r="K2099" s="18" t="n">
        <v>3</v>
      </c>
      <c r="L2099" s="18" t="n">
        <v>3</v>
      </c>
      <c r="M2099" s="18" t="n">
        <v>51</v>
      </c>
      <c r="N2099" s="18" t="n">
        <v>17</v>
      </c>
      <c r="O2099" s="14" t="s">
        <v>1126</v>
      </c>
      <c r="P2099" s="14" t="s">
        <v>94</v>
      </c>
      <c r="Q2099" s="15" t="s">
        <v>1089</v>
      </c>
      <c r="R2099" s="16" t="s">
        <v>13521</v>
      </c>
      <c r="S2099" s="15" t="s">
        <v>13522</v>
      </c>
      <c r="T2099" s="15" t="s">
        <v>13522</v>
      </c>
      <c r="U2099" s="21" t="s">
        <v>72</v>
      </c>
    </row>
    <row r="2100" customFormat="false" ht="15" hidden="false" customHeight="false" outlineLevel="0" collapsed="false">
      <c r="A2100" s="15" t="s">
        <v>79</v>
      </c>
      <c r="B2100" s="15" t="s">
        <v>80</v>
      </c>
      <c r="C2100" s="14" t="s">
        <v>13523</v>
      </c>
      <c r="D2100" s="14" t="s">
        <v>13524</v>
      </c>
      <c r="E2100" s="16" t="s">
        <v>13525</v>
      </c>
      <c r="F2100" s="16" t="s">
        <v>13526</v>
      </c>
      <c r="G2100" s="23" t="s">
        <v>43</v>
      </c>
      <c r="H2100" s="18" t="n">
        <v>2</v>
      </c>
      <c r="I2100" s="20" t="n">
        <v>56.89</v>
      </c>
      <c r="J2100" s="20" t="n">
        <v>115.63</v>
      </c>
      <c r="K2100" s="18" t="n">
        <v>17</v>
      </c>
      <c r="L2100" s="18" t="n">
        <v>7</v>
      </c>
      <c r="M2100" s="18" t="n">
        <v>339</v>
      </c>
      <c r="N2100" s="18" t="n">
        <v>46</v>
      </c>
      <c r="O2100" s="14" t="s">
        <v>3724</v>
      </c>
      <c r="P2100" s="14" t="s">
        <v>118</v>
      </c>
      <c r="Q2100" s="15" t="s">
        <v>1089</v>
      </c>
      <c r="R2100" s="16" t="s">
        <v>5856</v>
      </c>
      <c r="S2100" s="15" t="s">
        <v>13527</v>
      </c>
      <c r="T2100" s="15" t="s">
        <v>13527</v>
      </c>
      <c r="U2100" s="21" t="s">
        <v>72</v>
      </c>
    </row>
    <row r="2101" customFormat="false" ht="15" hidden="false" customHeight="false" outlineLevel="0" collapsed="false">
      <c r="A2101" s="15" t="s">
        <v>79</v>
      </c>
      <c r="B2101" s="15" t="s">
        <v>80</v>
      </c>
      <c r="C2101" s="14" t="s">
        <v>13528</v>
      </c>
      <c r="D2101" s="14" t="s">
        <v>13529</v>
      </c>
      <c r="E2101" s="16" t="s">
        <v>13530</v>
      </c>
      <c r="F2101" s="16" t="s">
        <v>13531</v>
      </c>
      <c r="G2101" s="19" t="s">
        <v>41</v>
      </c>
      <c r="H2101" s="18" t="n">
        <v>6</v>
      </c>
      <c r="I2101" s="20" t="n">
        <v>177.42</v>
      </c>
      <c r="J2101" s="20" t="n">
        <v>294.09</v>
      </c>
      <c r="K2101" s="18" t="n">
        <v>6</v>
      </c>
      <c r="L2101" s="18" t="n">
        <v>6</v>
      </c>
      <c r="M2101" s="18" t="n">
        <v>147</v>
      </c>
      <c r="N2101" s="18" t="n">
        <v>49</v>
      </c>
      <c r="O2101" s="14" t="s">
        <v>1126</v>
      </c>
      <c r="P2101" s="14" t="s">
        <v>118</v>
      </c>
      <c r="Q2101" s="15" t="s">
        <v>1089</v>
      </c>
      <c r="R2101" s="16" t="s">
        <v>13532</v>
      </c>
      <c r="S2101" s="15" t="s">
        <v>13533</v>
      </c>
      <c r="T2101" s="15" t="s">
        <v>13533</v>
      </c>
      <c r="U2101" s="21" t="s">
        <v>72</v>
      </c>
    </row>
    <row r="2102" customFormat="false" ht="15" hidden="false" customHeight="false" outlineLevel="0" collapsed="false">
      <c r="A2102" s="15" t="s">
        <v>79</v>
      </c>
      <c r="B2102" s="15" t="s">
        <v>80</v>
      </c>
      <c r="C2102" s="14" t="s">
        <v>13534</v>
      </c>
      <c r="D2102" s="14" t="s">
        <v>13535</v>
      </c>
      <c r="E2102" s="16" t="s">
        <v>13536</v>
      </c>
      <c r="F2102" s="16" t="s">
        <v>13537</v>
      </c>
      <c r="G2102" s="19" t="s">
        <v>41</v>
      </c>
      <c r="H2102" s="18" t="n">
        <v>7</v>
      </c>
      <c r="I2102" s="20" t="n">
        <v>123.6</v>
      </c>
      <c r="J2102" s="20" t="n">
        <v>315.5</v>
      </c>
      <c r="K2102" s="18" t="n">
        <v>19</v>
      </c>
      <c r="L2102" s="18" t="n">
        <v>10</v>
      </c>
      <c r="M2102" s="18" t="n">
        <v>284</v>
      </c>
      <c r="N2102" s="18" t="n">
        <v>104</v>
      </c>
      <c r="O2102" s="14" t="s">
        <v>1126</v>
      </c>
      <c r="P2102" s="14" t="s">
        <v>84</v>
      </c>
      <c r="Q2102" s="15" t="s">
        <v>1089</v>
      </c>
      <c r="R2102" s="16" t="s">
        <v>13538</v>
      </c>
      <c r="S2102" s="15" t="s">
        <v>13539</v>
      </c>
      <c r="T2102" s="15" t="s">
        <v>13540</v>
      </c>
      <c r="U2102" s="21" t="s">
        <v>72</v>
      </c>
    </row>
    <row r="2103" customFormat="false" ht="15" hidden="false" customHeight="false" outlineLevel="0" collapsed="false">
      <c r="A2103" s="15" t="s">
        <v>79</v>
      </c>
      <c r="B2103" s="15" t="s">
        <v>80</v>
      </c>
      <c r="C2103" s="14" t="s">
        <v>13541</v>
      </c>
      <c r="D2103" s="14" t="s">
        <v>13542</v>
      </c>
      <c r="E2103" s="16" t="s">
        <v>13543</v>
      </c>
      <c r="F2103" s="16" t="s">
        <v>13496</v>
      </c>
      <c r="G2103" s="19" t="s">
        <v>41</v>
      </c>
      <c r="H2103" s="18" t="n">
        <v>6</v>
      </c>
      <c r="I2103" s="20" t="n">
        <v>135.49</v>
      </c>
      <c r="J2103" s="20" t="n">
        <v>327.78</v>
      </c>
      <c r="K2103" s="18" t="n">
        <v>10</v>
      </c>
      <c r="L2103" s="18" t="n">
        <v>3</v>
      </c>
      <c r="M2103" s="18" t="n">
        <v>173</v>
      </c>
      <c r="N2103" s="18" t="n">
        <v>147</v>
      </c>
      <c r="O2103" s="14" t="s">
        <v>10214</v>
      </c>
      <c r="P2103" s="14" t="s">
        <v>118</v>
      </c>
      <c r="Q2103" s="15" t="s">
        <v>1089</v>
      </c>
      <c r="R2103" s="16" t="s">
        <v>13544</v>
      </c>
      <c r="S2103" s="15" t="s">
        <v>13422</v>
      </c>
      <c r="T2103" s="15" t="s">
        <v>13545</v>
      </c>
      <c r="U2103" s="21" t="s">
        <v>72</v>
      </c>
    </row>
    <row r="2104" customFormat="false" ht="15" hidden="false" customHeight="false" outlineLevel="0" collapsed="false">
      <c r="A2104" s="15" t="s">
        <v>79</v>
      </c>
      <c r="B2104" s="15" t="s">
        <v>80</v>
      </c>
      <c r="C2104" s="14" t="s">
        <v>13546</v>
      </c>
      <c r="D2104" s="14" t="s">
        <v>13547</v>
      </c>
      <c r="E2104" s="16" t="s">
        <v>13548</v>
      </c>
      <c r="F2104" s="16" t="s">
        <v>13549</v>
      </c>
      <c r="G2104" s="23" t="s">
        <v>43</v>
      </c>
      <c r="H2104" s="18" t="n">
        <v>2</v>
      </c>
      <c r="I2104" s="20" t="n">
        <v>30.82</v>
      </c>
      <c r="J2104" s="20" t="n">
        <v>95.95</v>
      </c>
      <c r="K2104" s="18" t="n">
        <v>2</v>
      </c>
      <c r="L2104" s="18" t="n">
        <v>5</v>
      </c>
      <c r="M2104" s="18" t="n">
        <v>20</v>
      </c>
      <c r="N2104" s="18" t="n">
        <v>20</v>
      </c>
      <c r="O2104" s="14" t="s">
        <v>1088</v>
      </c>
      <c r="P2104" s="14" t="s">
        <v>84</v>
      </c>
      <c r="Q2104" s="15" t="s">
        <v>1089</v>
      </c>
      <c r="R2104" s="16" t="s">
        <v>13550</v>
      </c>
      <c r="S2104" s="15" t="s">
        <v>12053</v>
      </c>
      <c r="T2104" s="15" t="s">
        <v>13551</v>
      </c>
      <c r="U2104" s="21" t="s">
        <v>72</v>
      </c>
    </row>
    <row r="2105" customFormat="false" ht="15" hidden="false" customHeight="false" outlineLevel="0" collapsed="false">
      <c r="A2105" s="15" t="s">
        <v>79</v>
      </c>
      <c r="B2105" s="15" t="s">
        <v>80</v>
      </c>
      <c r="C2105" s="14" t="s">
        <v>13552</v>
      </c>
      <c r="D2105" s="14" t="s">
        <v>13553</v>
      </c>
      <c r="E2105" s="16" t="s">
        <v>13554</v>
      </c>
      <c r="F2105" s="16" t="s">
        <v>13555</v>
      </c>
      <c r="G2105" s="19" t="s">
        <v>41</v>
      </c>
      <c r="H2105" s="18" t="n">
        <v>4</v>
      </c>
      <c r="I2105" s="20" t="n">
        <v>69.3</v>
      </c>
      <c r="J2105" s="20" t="n">
        <v>202.46</v>
      </c>
      <c r="K2105" s="18" t="n">
        <v>4</v>
      </c>
      <c r="L2105" s="18" t="n">
        <v>2</v>
      </c>
      <c r="M2105" s="18" t="n">
        <v>252</v>
      </c>
      <c r="N2105" s="18" t="n">
        <v>63</v>
      </c>
      <c r="O2105" s="14" t="s">
        <v>1126</v>
      </c>
      <c r="P2105" s="14" t="s">
        <v>118</v>
      </c>
      <c r="Q2105" s="15" t="s">
        <v>1089</v>
      </c>
      <c r="R2105" s="16" t="s">
        <v>13556</v>
      </c>
      <c r="S2105" s="15" t="s">
        <v>13557</v>
      </c>
      <c r="T2105" s="15" t="s">
        <v>13557</v>
      </c>
      <c r="U2105" s="21" t="s">
        <v>72</v>
      </c>
    </row>
    <row r="2106" customFormat="false" ht="15" hidden="false" customHeight="false" outlineLevel="0" collapsed="false">
      <c r="A2106" s="15" t="s">
        <v>79</v>
      </c>
      <c r="B2106" s="15" t="s">
        <v>80</v>
      </c>
      <c r="C2106" s="14" t="s">
        <v>114</v>
      </c>
      <c r="D2106" s="14" t="s">
        <v>13558</v>
      </c>
      <c r="E2106" s="16" t="s">
        <v>13559</v>
      </c>
      <c r="F2106" s="16" t="s">
        <v>117</v>
      </c>
      <c r="G2106" s="23" t="s">
        <v>43</v>
      </c>
      <c r="H2106" s="18" t="n">
        <v>4</v>
      </c>
      <c r="I2106" s="20" t="n">
        <v>111.3</v>
      </c>
      <c r="J2106" s="20" t="n">
        <v>182.51</v>
      </c>
      <c r="K2106" s="18" t="n">
        <v>14</v>
      </c>
      <c r="L2106" s="18" t="n">
        <v>6</v>
      </c>
      <c r="M2106" s="18" t="n">
        <v>340</v>
      </c>
      <c r="N2106" s="18" t="n">
        <v>106</v>
      </c>
      <c r="O2106" s="14" t="s">
        <v>5962</v>
      </c>
      <c r="P2106" s="14" t="s">
        <v>118</v>
      </c>
      <c r="Q2106" s="15" t="s">
        <v>1089</v>
      </c>
      <c r="R2106" s="16" t="s">
        <v>119</v>
      </c>
      <c r="S2106" s="15" t="s">
        <v>120</v>
      </c>
      <c r="T2106" s="15" t="s">
        <v>121</v>
      </c>
      <c r="U2106" s="21" t="s">
        <v>72</v>
      </c>
    </row>
    <row r="2107" customFormat="false" ht="15" hidden="false" customHeight="false" outlineLevel="0" collapsed="false">
      <c r="A2107" s="15" t="s">
        <v>79</v>
      </c>
      <c r="B2107" s="15" t="s">
        <v>80</v>
      </c>
      <c r="C2107" s="14" t="s">
        <v>130</v>
      </c>
      <c r="D2107" s="14" t="s">
        <v>13560</v>
      </c>
      <c r="E2107" s="16" t="s">
        <v>13561</v>
      </c>
      <c r="F2107" s="16" t="s">
        <v>117</v>
      </c>
      <c r="G2107" s="19" t="s">
        <v>41</v>
      </c>
      <c r="H2107" s="18" t="n">
        <v>4</v>
      </c>
      <c r="I2107" s="20" t="n">
        <v>58.425</v>
      </c>
      <c r="J2107" s="20" t="n">
        <v>221.04</v>
      </c>
      <c r="K2107" s="18" t="n">
        <v>12</v>
      </c>
      <c r="L2107" s="18" t="n">
        <v>8</v>
      </c>
      <c r="M2107" s="18" t="n">
        <v>120</v>
      </c>
      <c r="N2107" s="18" t="n">
        <v>56</v>
      </c>
      <c r="O2107" s="14" t="s">
        <v>13562</v>
      </c>
      <c r="P2107" s="14" t="s">
        <v>118</v>
      </c>
      <c r="Q2107" s="15" t="s">
        <v>1089</v>
      </c>
      <c r="R2107" s="16" t="s">
        <v>133</v>
      </c>
      <c r="S2107" s="15" t="s">
        <v>120</v>
      </c>
      <c r="T2107" s="15" t="s">
        <v>120</v>
      </c>
      <c r="U2107" s="21" t="s">
        <v>72</v>
      </c>
    </row>
    <row r="2108" customFormat="false" ht="26.85" hidden="false" customHeight="false" outlineLevel="0" collapsed="false">
      <c r="A2108" s="15" t="s">
        <v>79</v>
      </c>
      <c r="B2108" s="15" t="s">
        <v>80</v>
      </c>
      <c r="C2108" s="14" t="s">
        <v>13563</v>
      </c>
      <c r="D2108" s="14" t="s">
        <v>13564</v>
      </c>
      <c r="E2108" s="16" t="s">
        <v>13565</v>
      </c>
      <c r="F2108" s="16" t="s">
        <v>13566</v>
      </c>
      <c r="G2108" s="19" t="s">
        <v>41</v>
      </c>
      <c r="H2108" s="18" t="n">
        <v>4</v>
      </c>
      <c r="I2108" s="20" t="n">
        <v>97.9</v>
      </c>
      <c r="J2108" s="20" t="n">
        <v>225</v>
      </c>
      <c r="K2108" s="18" t="n">
        <v>9</v>
      </c>
      <c r="L2108" s="18" t="n">
        <v>2</v>
      </c>
      <c r="M2108" s="18" t="n">
        <v>270</v>
      </c>
      <c r="N2108" s="18" t="n">
        <v>120</v>
      </c>
      <c r="O2108" s="14" t="s">
        <v>1126</v>
      </c>
      <c r="P2108" s="14" t="s">
        <v>1185</v>
      </c>
      <c r="Q2108" s="15" t="s">
        <v>1089</v>
      </c>
      <c r="R2108" s="16" t="s">
        <v>4957</v>
      </c>
      <c r="S2108" s="15" t="s">
        <v>13567</v>
      </c>
      <c r="T2108" s="15" t="s">
        <v>13568</v>
      </c>
      <c r="U2108" s="21" t="s">
        <v>72</v>
      </c>
    </row>
    <row r="2109" customFormat="false" ht="15" hidden="false" customHeight="false" outlineLevel="0" collapsed="false">
      <c r="A2109" s="15" t="s">
        <v>79</v>
      </c>
      <c r="B2109" s="15" t="s">
        <v>80</v>
      </c>
      <c r="C2109" s="14" t="s">
        <v>13569</v>
      </c>
      <c r="D2109" s="14" t="s">
        <v>13570</v>
      </c>
      <c r="E2109" s="16" t="s">
        <v>13433</v>
      </c>
      <c r="F2109" s="16" t="s">
        <v>83</v>
      </c>
      <c r="G2109" s="23" t="s">
        <v>43</v>
      </c>
      <c r="H2109" s="18" t="n">
        <v>2</v>
      </c>
      <c r="I2109" s="20" t="n">
        <v>40.47</v>
      </c>
      <c r="J2109" s="20" t="n">
        <v>113.98</v>
      </c>
      <c r="K2109" s="18" t="n">
        <v>6</v>
      </c>
      <c r="L2109" s="18" t="n">
        <v>2</v>
      </c>
      <c r="M2109" s="18" t="n">
        <v>92</v>
      </c>
      <c r="N2109" s="18" t="n">
        <v>92</v>
      </c>
      <c r="O2109" s="14" t="s">
        <v>1088</v>
      </c>
      <c r="P2109" s="14" t="s">
        <v>84</v>
      </c>
      <c r="Q2109" s="15" t="s">
        <v>1089</v>
      </c>
      <c r="R2109" s="16" t="s">
        <v>13571</v>
      </c>
      <c r="S2109" s="15" t="s">
        <v>13572</v>
      </c>
      <c r="T2109" s="15" t="s">
        <v>13573</v>
      </c>
      <c r="U2109" s="21" t="s">
        <v>72</v>
      </c>
    </row>
    <row r="2110" customFormat="false" ht="15" hidden="false" customHeight="false" outlineLevel="0" collapsed="false">
      <c r="A2110" s="15" t="s">
        <v>79</v>
      </c>
      <c r="B2110" s="15" t="s">
        <v>80</v>
      </c>
      <c r="C2110" s="14" t="s">
        <v>13574</v>
      </c>
      <c r="D2110" s="14" t="s">
        <v>13575</v>
      </c>
      <c r="E2110" s="16" t="s">
        <v>13576</v>
      </c>
      <c r="F2110" s="16" t="s">
        <v>13577</v>
      </c>
      <c r="G2110" s="19" t="s">
        <v>41</v>
      </c>
      <c r="H2110" s="18" t="n">
        <v>3</v>
      </c>
      <c r="I2110" s="20" t="n">
        <v>75.22</v>
      </c>
      <c r="J2110" s="20" t="n">
        <v>216.05</v>
      </c>
      <c r="K2110" s="18" t="n">
        <v>15</v>
      </c>
      <c r="L2110" s="18" t="n">
        <v>2</v>
      </c>
      <c r="M2110" s="18" t="n">
        <v>332</v>
      </c>
      <c r="N2110" s="18" t="n">
        <v>180</v>
      </c>
      <c r="O2110" s="14" t="s">
        <v>3724</v>
      </c>
      <c r="P2110" s="14" t="s">
        <v>118</v>
      </c>
      <c r="Q2110" s="15" t="s">
        <v>1089</v>
      </c>
      <c r="R2110" s="16" t="s">
        <v>13578</v>
      </c>
      <c r="S2110" s="15" t="s">
        <v>10890</v>
      </c>
      <c r="T2110" s="15" t="s">
        <v>13579</v>
      </c>
      <c r="U2110" s="21" t="s">
        <v>72</v>
      </c>
    </row>
    <row r="2111" customFormat="false" ht="15" hidden="false" customHeight="false" outlineLevel="0" collapsed="false">
      <c r="A2111" s="15" t="s">
        <v>79</v>
      </c>
      <c r="B2111" s="15" t="s">
        <v>80</v>
      </c>
      <c r="C2111" s="14" t="s">
        <v>13580</v>
      </c>
      <c r="D2111" s="14" t="s">
        <v>13581</v>
      </c>
      <c r="E2111" s="16" t="s">
        <v>13582</v>
      </c>
      <c r="F2111" s="16" t="s">
        <v>13583</v>
      </c>
      <c r="G2111" s="23" t="s">
        <v>43</v>
      </c>
      <c r="H2111" s="18" t="n">
        <v>2</v>
      </c>
      <c r="I2111" s="20" t="n">
        <v>31.88</v>
      </c>
      <c r="J2111" s="20" t="n">
        <v>102.88</v>
      </c>
      <c r="K2111" s="18" t="n">
        <v>2</v>
      </c>
      <c r="L2111" s="18" t="n">
        <v>1</v>
      </c>
      <c r="M2111" s="18" t="n">
        <v>24</v>
      </c>
      <c r="N2111" s="18" t="n">
        <v>24</v>
      </c>
      <c r="O2111" s="14" t="s">
        <v>1126</v>
      </c>
      <c r="P2111" s="14" t="s">
        <v>84</v>
      </c>
      <c r="Q2111" s="15" t="s">
        <v>1089</v>
      </c>
      <c r="R2111" s="16" t="s">
        <v>13584</v>
      </c>
      <c r="S2111" s="15" t="s">
        <v>13585</v>
      </c>
      <c r="T2111" s="15" t="s">
        <v>13586</v>
      </c>
      <c r="U2111" s="21" t="s">
        <v>72</v>
      </c>
    </row>
    <row r="2112" customFormat="false" ht="15" hidden="false" customHeight="false" outlineLevel="0" collapsed="false">
      <c r="A2112" s="15" t="s">
        <v>79</v>
      </c>
      <c r="B2112" s="15" t="s">
        <v>80</v>
      </c>
      <c r="C2112" s="14" t="s">
        <v>13587</v>
      </c>
      <c r="D2112" s="14" t="s">
        <v>13588</v>
      </c>
      <c r="E2112" s="16" t="s">
        <v>13589</v>
      </c>
      <c r="F2112" s="16" t="s">
        <v>217</v>
      </c>
      <c r="G2112" s="19" t="s">
        <v>41</v>
      </c>
      <c r="H2112" s="18" t="n">
        <v>3</v>
      </c>
      <c r="I2112" s="20" t="n">
        <v>56.39</v>
      </c>
      <c r="J2112" s="20" t="n">
        <v>237.91</v>
      </c>
      <c r="K2112" s="18" t="n">
        <v>6</v>
      </c>
      <c r="L2112" s="18" t="n">
        <v>6</v>
      </c>
      <c r="M2112" s="18" t="n">
        <v>96</v>
      </c>
      <c r="N2112" s="18" t="n">
        <v>84</v>
      </c>
      <c r="O2112" s="14" t="s">
        <v>10417</v>
      </c>
      <c r="P2112" s="14" t="s">
        <v>118</v>
      </c>
      <c r="Q2112" s="15" t="s">
        <v>1089</v>
      </c>
      <c r="R2112" s="16" t="s">
        <v>13590</v>
      </c>
      <c r="S2112" s="15" t="s">
        <v>219</v>
      </c>
      <c r="T2112" s="15" t="s">
        <v>219</v>
      </c>
      <c r="U2112" s="21" t="s">
        <v>72</v>
      </c>
    </row>
    <row r="2113" customFormat="false" ht="15" hidden="false" customHeight="false" outlineLevel="0" collapsed="false">
      <c r="A2113" s="15" t="s">
        <v>79</v>
      </c>
      <c r="B2113" s="15" t="s">
        <v>80</v>
      </c>
      <c r="C2113" s="14" t="s">
        <v>13591</v>
      </c>
      <c r="D2113" s="14" t="s">
        <v>13592</v>
      </c>
      <c r="E2113" s="16" t="s">
        <v>13593</v>
      </c>
      <c r="F2113" s="16" t="s">
        <v>13594</v>
      </c>
      <c r="G2113" s="23" t="s">
        <v>43</v>
      </c>
      <c r="H2113" s="18" t="n">
        <v>4</v>
      </c>
      <c r="I2113" s="20" t="n">
        <v>103.93</v>
      </c>
      <c r="J2113" s="20" t="n">
        <v>187.51</v>
      </c>
      <c r="K2113" s="18" t="n">
        <v>4</v>
      </c>
      <c r="L2113" s="18" t="n">
        <v>5</v>
      </c>
      <c r="M2113" s="18" t="n">
        <v>74</v>
      </c>
      <c r="N2113" s="18" t="n">
        <v>47</v>
      </c>
      <c r="O2113" s="14" t="s">
        <v>3724</v>
      </c>
      <c r="P2113" s="14" t="s">
        <v>118</v>
      </c>
      <c r="Q2113" s="15" t="s">
        <v>1089</v>
      </c>
      <c r="R2113" s="16" t="s">
        <v>9258</v>
      </c>
      <c r="S2113" s="15" t="s">
        <v>13595</v>
      </c>
      <c r="T2113" s="15" t="s">
        <v>13595</v>
      </c>
      <c r="U2113" s="21" t="s">
        <v>72</v>
      </c>
    </row>
    <row r="2114" customFormat="false" ht="15" hidden="false" customHeight="false" outlineLevel="0" collapsed="false">
      <c r="A2114" s="15" t="s">
        <v>79</v>
      </c>
      <c r="B2114" s="15" t="s">
        <v>80</v>
      </c>
      <c r="C2114" s="14" t="s">
        <v>13596</v>
      </c>
      <c r="D2114" s="14" t="s">
        <v>13597</v>
      </c>
      <c r="E2114" s="16" t="s">
        <v>13598</v>
      </c>
      <c r="F2114" s="16" t="s">
        <v>13599</v>
      </c>
      <c r="G2114" s="23" t="s">
        <v>43</v>
      </c>
      <c r="H2114" s="18" t="n">
        <v>2</v>
      </c>
      <c r="I2114" s="20" t="n">
        <v>32.97</v>
      </c>
      <c r="J2114" s="20" t="n">
        <v>89.19</v>
      </c>
      <c r="K2114" s="18" t="n">
        <v>5</v>
      </c>
      <c r="L2114" s="18" t="n">
        <v>3</v>
      </c>
      <c r="M2114" s="18" t="n">
        <v>71</v>
      </c>
      <c r="N2114" s="18" t="n">
        <v>17</v>
      </c>
      <c r="O2114" s="14" t="s">
        <v>1126</v>
      </c>
      <c r="P2114" s="14" t="s">
        <v>118</v>
      </c>
      <c r="Q2114" s="15" t="s">
        <v>1089</v>
      </c>
      <c r="R2114" s="16" t="s">
        <v>13600</v>
      </c>
      <c r="S2114" s="15" t="s">
        <v>13601</v>
      </c>
      <c r="T2114" s="15" t="s">
        <v>13601</v>
      </c>
      <c r="U2114" s="21" t="s">
        <v>72</v>
      </c>
    </row>
    <row r="2115" customFormat="false" ht="15" hidden="false" customHeight="false" outlineLevel="0" collapsed="false">
      <c r="A2115" s="15" t="s">
        <v>79</v>
      </c>
      <c r="B2115" s="15" t="s">
        <v>80</v>
      </c>
      <c r="C2115" s="14" t="s">
        <v>13602</v>
      </c>
      <c r="D2115" s="14" t="s">
        <v>13603</v>
      </c>
      <c r="E2115" s="16" t="s">
        <v>9704</v>
      </c>
      <c r="F2115" s="16" t="s">
        <v>282</v>
      </c>
      <c r="G2115" s="25" t="s">
        <v>39</v>
      </c>
      <c r="H2115" s="18" t="n">
        <v>12</v>
      </c>
      <c r="I2115" s="20" t="n">
        <v>304.05</v>
      </c>
      <c r="J2115" s="20" t="n">
        <v>499.86</v>
      </c>
      <c r="K2115" s="18" t="n">
        <v>12</v>
      </c>
      <c r="L2115" s="18" t="n">
        <v>27</v>
      </c>
      <c r="M2115" s="18" t="n">
        <v>252</v>
      </c>
      <c r="N2115" s="18" t="n">
        <v>252</v>
      </c>
      <c r="O2115" s="14" t="s">
        <v>1088</v>
      </c>
      <c r="P2115" s="14" t="s">
        <v>84</v>
      </c>
      <c r="Q2115" s="15" t="s">
        <v>1089</v>
      </c>
      <c r="R2115" s="16" t="s">
        <v>13604</v>
      </c>
      <c r="S2115" s="15" t="s">
        <v>284</v>
      </c>
      <c r="T2115" s="15" t="s">
        <v>13605</v>
      </c>
      <c r="U2115" s="21" t="s">
        <v>72</v>
      </c>
    </row>
    <row r="2116" customFormat="false" ht="15" hidden="false" customHeight="false" outlineLevel="0" collapsed="false">
      <c r="A2116" s="15" t="s">
        <v>79</v>
      </c>
      <c r="B2116" s="15" t="s">
        <v>80</v>
      </c>
      <c r="C2116" s="14" t="s">
        <v>172</v>
      </c>
      <c r="D2116" s="14" t="s">
        <v>13606</v>
      </c>
      <c r="E2116" s="16" t="s">
        <v>13607</v>
      </c>
      <c r="F2116" s="16"/>
      <c r="G2116" s="23" t="s">
        <v>43</v>
      </c>
      <c r="H2116" s="18" t="n">
        <v>2</v>
      </c>
      <c r="I2116" s="20" t="n">
        <v>41.02</v>
      </c>
      <c r="J2116" s="20" t="n">
        <v>72.75</v>
      </c>
      <c r="K2116" s="18" t="n">
        <v>5</v>
      </c>
      <c r="L2116" s="18" t="n">
        <v>3</v>
      </c>
      <c r="M2116" s="18" t="n">
        <v>72</v>
      </c>
      <c r="N2116" s="18" t="n">
        <v>30</v>
      </c>
      <c r="O2116" s="14" t="s">
        <v>1126</v>
      </c>
      <c r="P2116" s="14" t="s">
        <v>118</v>
      </c>
      <c r="Q2116" s="15" t="s">
        <v>1089</v>
      </c>
      <c r="R2116" s="16" t="s">
        <v>175</v>
      </c>
      <c r="S2116" s="15" t="s">
        <v>176</v>
      </c>
      <c r="T2116" s="15" t="s">
        <v>176</v>
      </c>
      <c r="U2116" s="21" t="s">
        <v>72</v>
      </c>
    </row>
    <row r="2117" customFormat="false" ht="15" hidden="false" customHeight="false" outlineLevel="0" collapsed="false">
      <c r="A2117" s="15" t="s">
        <v>79</v>
      </c>
      <c r="B2117" s="15" t="s">
        <v>80</v>
      </c>
      <c r="C2117" s="14" t="s">
        <v>13608</v>
      </c>
      <c r="D2117" s="14" t="s">
        <v>13609</v>
      </c>
      <c r="E2117" s="16" t="s">
        <v>13610</v>
      </c>
      <c r="F2117" s="16" t="s">
        <v>13611</v>
      </c>
      <c r="G2117" s="23" t="s">
        <v>43</v>
      </c>
      <c r="H2117" s="18" t="n">
        <v>2</v>
      </c>
      <c r="I2117" s="20" t="n">
        <v>54.8</v>
      </c>
      <c r="J2117" s="20" t="n">
        <v>143.97</v>
      </c>
      <c r="K2117" s="18" t="n">
        <v>2</v>
      </c>
      <c r="L2117" s="18" t="n">
        <v>2</v>
      </c>
      <c r="M2117" s="18" t="n">
        <v>60</v>
      </c>
      <c r="N2117" s="18" t="n">
        <v>60</v>
      </c>
      <c r="O2117" s="14" t="s">
        <v>1126</v>
      </c>
      <c r="P2117" s="14" t="s">
        <v>84</v>
      </c>
      <c r="Q2117" s="15" t="s">
        <v>1089</v>
      </c>
      <c r="R2117" s="16" t="s">
        <v>13612</v>
      </c>
      <c r="S2117" s="15" t="s">
        <v>13613</v>
      </c>
      <c r="T2117" s="15" t="s">
        <v>13614</v>
      </c>
      <c r="U2117" s="21" t="s">
        <v>72</v>
      </c>
    </row>
    <row r="2118" customFormat="false" ht="15" hidden="false" customHeight="false" outlineLevel="0" collapsed="false">
      <c r="A2118" s="15" t="s">
        <v>79</v>
      </c>
      <c r="B2118" s="15" t="s">
        <v>80</v>
      </c>
      <c r="C2118" s="14" t="s">
        <v>13615</v>
      </c>
      <c r="D2118" s="14" t="s">
        <v>13616</v>
      </c>
      <c r="E2118" s="16" t="s">
        <v>13617</v>
      </c>
      <c r="F2118" s="16" t="s">
        <v>13618</v>
      </c>
      <c r="G2118" s="23" t="s">
        <v>43</v>
      </c>
      <c r="H2118" s="18" t="n">
        <v>4</v>
      </c>
      <c r="I2118" s="20" t="n">
        <v>86.81</v>
      </c>
      <c r="J2118" s="20" t="n">
        <v>137.84</v>
      </c>
      <c r="K2118" s="18" t="n">
        <v>6</v>
      </c>
      <c r="L2118" s="18" t="n">
        <v>4</v>
      </c>
      <c r="M2118" s="18" t="n">
        <v>101</v>
      </c>
      <c r="N2118" s="18" t="n">
        <v>30</v>
      </c>
      <c r="O2118" s="14" t="s">
        <v>9791</v>
      </c>
      <c r="P2118" s="14" t="s">
        <v>118</v>
      </c>
      <c r="Q2118" s="15" t="s">
        <v>1089</v>
      </c>
      <c r="R2118" s="16" t="s">
        <v>13619</v>
      </c>
      <c r="S2118" s="15" t="s">
        <v>13620</v>
      </c>
      <c r="T2118" s="15" t="s">
        <v>13620</v>
      </c>
      <c r="U2118" s="21" t="s">
        <v>72</v>
      </c>
    </row>
    <row r="2119" customFormat="false" ht="15" hidden="false" customHeight="false" outlineLevel="0" collapsed="false">
      <c r="A2119" s="15" t="s">
        <v>79</v>
      </c>
      <c r="B2119" s="15" t="s">
        <v>80</v>
      </c>
      <c r="C2119" s="14" t="s">
        <v>13621</v>
      </c>
      <c r="D2119" s="14" t="s">
        <v>13622</v>
      </c>
      <c r="E2119" s="16" t="s">
        <v>13623</v>
      </c>
      <c r="F2119" s="16" t="s">
        <v>13624</v>
      </c>
      <c r="G2119" s="23" t="s">
        <v>43</v>
      </c>
      <c r="H2119" s="18" t="n">
        <v>3</v>
      </c>
      <c r="I2119" s="20" t="n">
        <v>43.62</v>
      </c>
      <c r="J2119" s="20" t="n">
        <v>126.01</v>
      </c>
      <c r="K2119" s="18" t="n">
        <v>4</v>
      </c>
      <c r="L2119" s="18" t="n">
        <v>1</v>
      </c>
      <c r="M2119" s="18" t="n">
        <v>50</v>
      </c>
      <c r="N2119" s="18" t="n">
        <v>25</v>
      </c>
      <c r="O2119" s="14" t="s">
        <v>3724</v>
      </c>
      <c r="P2119" s="14" t="s">
        <v>118</v>
      </c>
      <c r="Q2119" s="15" t="s">
        <v>1089</v>
      </c>
      <c r="R2119" s="16" t="s">
        <v>13625</v>
      </c>
      <c r="S2119" s="15" t="s">
        <v>13626</v>
      </c>
      <c r="T2119" s="15" t="s">
        <v>13626</v>
      </c>
      <c r="U2119" s="21" t="s">
        <v>72</v>
      </c>
    </row>
    <row r="2120" customFormat="false" ht="26.85" hidden="false" customHeight="false" outlineLevel="0" collapsed="false">
      <c r="A2120" s="15" t="s">
        <v>79</v>
      </c>
      <c r="B2120" s="15" t="s">
        <v>80</v>
      </c>
      <c r="C2120" s="14" t="s">
        <v>13627</v>
      </c>
      <c r="D2120" s="14" t="s">
        <v>13628</v>
      </c>
      <c r="E2120" s="16" t="s">
        <v>13629</v>
      </c>
      <c r="F2120" s="16" t="s">
        <v>13630</v>
      </c>
      <c r="G2120" s="23" t="s">
        <v>43</v>
      </c>
      <c r="H2120" s="18" t="n">
        <v>4</v>
      </c>
      <c r="I2120" s="20" t="n">
        <v>65.64</v>
      </c>
      <c r="J2120" s="20" t="n">
        <v>127.8</v>
      </c>
      <c r="K2120" s="18" t="n">
        <v>10</v>
      </c>
      <c r="L2120" s="18" t="n">
        <v>5</v>
      </c>
      <c r="M2120" s="18" t="n">
        <v>140</v>
      </c>
      <c r="N2120" s="18" t="n">
        <v>88</v>
      </c>
      <c r="O2120" s="14" t="s">
        <v>13631</v>
      </c>
      <c r="P2120" s="14" t="s">
        <v>118</v>
      </c>
      <c r="Q2120" s="15" t="s">
        <v>1089</v>
      </c>
      <c r="R2120" s="16" t="s">
        <v>13632</v>
      </c>
      <c r="S2120" s="15" t="s">
        <v>13633</v>
      </c>
      <c r="T2120" s="15" t="s">
        <v>13633</v>
      </c>
      <c r="U2120" s="21" t="s">
        <v>72</v>
      </c>
    </row>
    <row r="2121" customFormat="false" ht="15" hidden="false" customHeight="false" outlineLevel="0" collapsed="false">
      <c r="A2121" s="15" t="s">
        <v>79</v>
      </c>
      <c r="B2121" s="15" t="s">
        <v>80</v>
      </c>
      <c r="C2121" s="14" t="s">
        <v>13634</v>
      </c>
      <c r="D2121" s="14" t="s">
        <v>13635</v>
      </c>
      <c r="E2121" s="16" t="s">
        <v>13636</v>
      </c>
      <c r="F2121" s="16" t="s">
        <v>13637</v>
      </c>
      <c r="G2121" s="23" t="s">
        <v>43</v>
      </c>
      <c r="H2121" s="18" t="n">
        <v>4</v>
      </c>
      <c r="I2121" s="20" t="n">
        <v>75.06</v>
      </c>
      <c r="J2121" s="20" t="n">
        <v>179.39</v>
      </c>
      <c r="K2121" s="18" t="n">
        <v>15</v>
      </c>
      <c r="L2121" s="18" t="n">
        <v>5</v>
      </c>
      <c r="M2121" s="18" t="n">
        <v>234</v>
      </c>
      <c r="N2121" s="18" t="n">
        <v>112</v>
      </c>
      <c r="O2121" s="14" t="s">
        <v>13638</v>
      </c>
      <c r="P2121" s="14" t="s">
        <v>118</v>
      </c>
      <c r="Q2121" s="15" t="s">
        <v>1089</v>
      </c>
      <c r="R2121" s="16" t="s">
        <v>12414</v>
      </c>
      <c r="S2121" s="15" t="s">
        <v>13639</v>
      </c>
      <c r="T2121" s="15" t="s">
        <v>13640</v>
      </c>
      <c r="U2121" s="21" t="s">
        <v>72</v>
      </c>
    </row>
    <row r="2122" customFormat="false" ht="15" hidden="false" customHeight="false" outlineLevel="0" collapsed="false">
      <c r="A2122" s="15" t="s">
        <v>79</v>
      </c>
      <c r="B2122" s="15" t="s">
        <v>80</v>
      </c>
      <c r="C2122" s="14" t="s">
        <v>13641</v>
      </c>
      <c r="D2122" s="14" t="s">
        <v>13642</v>
      </c>
      <c r="E2122" s="16" t="s">
        <v>13643</v>
      </c>
      <c r="F2122" s="16" t="s">
        <v>13644</v>
      </c>
      <c r="G2122" s="19" t="s">
        <v>41</v>
      </c>
      <c r="H2122" s="18" t="n">
        <v>4</v>
      </c>
      <c r="I2122" s="20" t="n">
        <v>102.62</v>
      </c>
      <c r="J2122" s="20" t="n">
        <v>215.29</v>
      </c>
      <c r="K2122" s="18" t="n">
        <v>11</v>
      </c>
      <c r="L2122" s="18" t="n">
        <v>8</v>
      </c>
      <c r="M2122" s="18" t="n">
        <v>230</v>
      </c>
      <c r="N2122" s="18" t="n">
        <v>154</v>
      </c>
      <c r="O2122" s="14" t="s">
        <v>13645</v>
      </c>
      <c r="P2122" s="14" t="s">
        <v>84</v>
      </c>
      <c r="Q2122" s="15" t="s">
        <v>1089</v>
      </c>
      <c r="R2122" s="16" t="s">
        <v>9063</v>
      </c>
      <c r="S2122" s="15" t="s">
        <v>10185</v>
      </c>
      <c r="T2122" s="15" t="s">
        <v>13639</v>
      </c>
      <c r="U2122" s="21" t="s">
        <v>72</v>
      </c>
    </row>
    <row r="2123" customFormat="false" ht="15" hidden="false" customHeight="false" outlineLevel="0" collapsed="false">
      <c r="A2123" s="15" t="s">
        <v>79</v>
      </c>
      <c r="B2123" s="15" t="s">
        <v>80</v>
      </c>
      <c r="C2123" s="14" t="s">
        <v>13646</v>
      </c>
      <c r="D2123" s="14" t="s">
        <v>13647</v>
      </c>
      <c r="E2123" s="16" t="s">
        <v>13648</v>
      </c>
      <c r="F2123" s="16" t="s">
        <v>13649</v>
      </c>
      <c r="G2123" s="23" t="s">
        <v>43</v>
      </c>
      <c r="H2123" s="18" t="n">
        <v>4</v>
      </c>
      <c r="I2123" s="20" t="n">
        <v>57.03</v>
      </c>
      <c r="J2123" s="20" t="n">
        <v>185.52</v>
      </c>
      <c r="K2123" s="18" t="n">
        <v>4</v>
      </c>
      <c r="L2123" s="18"/>
      <c r="M2123" s="18" t="n">
        <v>40</v>
      </c>
      <c r="N2123" s="18" t="n">
        <v>40</v>
      </c>
      <c r="O2123" s="14" t="s">
        <v>1126</v>
      </c>
      <c r="P2123" s="14" t="s">
        <v>84</v>
      </c>
      <c r="Q2123" s="15" t="s">
        <v>1089</v>
      </c>
      <c r="R2123" s="16" t="s">
        <v>2608</v>
      </c>
      <c r="S2123" s="15" t="s">
        <v>13650</v>
      </c>
      <c r="T2123" s="15" t="s">
        <v>13650</v>
      </c>
      <c r="U2123" s="21" t="s">
        <v>72</v>
      </c>
    </row>
    <row r="2124" customFormat="false" ht="15" hidden="false" customHeight="false" outlineLevel="0" collapsed="false">
      <c r="A2124" s="15" t="s">
        <v>79</v>
      </c>
      <c r="B2124" s="15" t="s">
        <v>80</v>
      </c>
      <c r="C2124" s="14" t="s">
        <v>13651</v>
      </c>
      <c r="D2124" s="14" t="s">
        <v>13652</v>
      </c>
      <c r="E2124" s="16" t="s">
        <v>13653</v>
      </c>
      <c r="F2124" s="16" t="s">
        <v>13654</v>
      </c>
      <c r="G2124" s="23" t="s">
        <v>43</v>
      </c>
      <c r="H2124" s="18" t="n">
        <v>2</v>
      </c>
      <c r="I2124" s="20" t="n">
        <v>65.59</v>
      </c>
      <c r="J2124" s="20" t="n">
        <v>102.94</v>
      </c>
      <c r="K2124" s="18" t="n">
        <v>13</v>
      </c>
      <c r="L2124" s="18" t="n">
        <v>5</v>
      </c>
      <c r="M2124" s="18" t="n">
        <v>315</v>
      </c>
      <c r="N2124" s="18" t="n">
        <v>154</v>
      </c>
      <c r="O2124" s="14" t="s">
        <v>13655</v>
      </c>
      <c r="P2124" s="14" t="s">
        <v>334</v>
      </c>
      <c r="Q2124" s="15" t="s">
        <v>1089</v>
      </c>
      <c r="R2124" s="16" t="s">
        <v>13372</v>
      </c>
      <c r="S2124" s="15" t="s">
        <v>13656</v>
      </c>
      <c r="T2124" s="15" t="s">
        <v>13656</v>
      </c>
      <c r="U2124" s="21" t="s">
        <v>72</v>
      </c>
    </row>
    <row r="2125" customFormat="false" ht="15" hidden="false" customHeight="false" outlineLevel="0" collapsed="false">
      <c r="A2125" s="15" t="s">
        <v>79</v>
      </c>
      <c r="B2125" s="15" t="s">
        <v>80</v>
      </c>
      <c r="C2125" s="14" t="s">
        <v>13657</v>
      </c>
      <c r="D2125" s="14" t="s">
        <v>13658</v>
      </c>
      <c r="E2125" s="16" t="s">
        <v>13659</v>
      </c>
      <c r="F2125" s="16" t="s">
        <v>13660</v>
      </c>
      <c r="G2125" s="23" t="s">
        <v>43</v>
      </c>
      <c r="H2125" s="18" t="n">
        <v>2</v>
      </c>
      <c r="I2125" s="20" t="n">
        <v>67.41</v>
      </c>
      <c r="J2125" s="20" t="n">
        <v>131.58</v>
      </c>
      <c r="K2125" s="18" t="n">
        <v>16</v>
      </c>
      <c r="L2125" s="18" t="n">
        <v>3</v>
      </c>
      <c r="M2125" s="18" t="n">
        <v>448</v>
      </c>
      <c r="N2125" s="18" t="n">
        <v>112</v>
      </c>
      <c r="O2125" s="14" t="s">
        <v>1097</v>
      </c>
      <c r="P2125" s="14" t="s">
        <v>84</v>
      </c>
      <c r="Q2125" s="15" t="s">
        <v>1089</v>
      </c>
      <c r="R2125" s="16" t="s">
        <v>13661</v>
      </c>
      <c r="S2125" s="15" t="s">
        <v>13662</v>
      </c>
      <c r="T2125" s="15" t="s">
        <v>13663</v>
      </c>
      <c r="U2125" s="21" t="s">
        <v>72</v>
      </c>
    </row>
    <row r="2126" customFormat="false" ht="15" hidden="false" customHeight="false" outlineLevel="0" collapsed="false">
      <c r="A2126" s="15" t="s">
        <v>79</v>
      </c>
      <c r="B2126" s="15" t="s">
        <v>80</v>
      </c>
      <c r="C2126" s="14" t="s">
        <v>13664</v>
      </c>
      <c r="D2126" s="14" t="s">
        <v>13665</v>
      </c>
      <c r="E2126" s="16" t="s">
        <v>13666</v>
      </c>
      <c r="F2126" s="16" t="s">
        <v>13667</v>
      </c>
      <c r="G2126" s="23" t="s">
        <v>43</v>
      </c>
      <c r="H2126" s="18" t="n">
        <v>2</v>
      </c>
      <c r="I2126" s="20" t="n">
        <v>63.64</v>
      </c>
      <c r="J2126" s="20" t="n">
        <v>188.74</v>
      </c>
      <c r="K2126" s="18" t="n">
        <v>4</v>
      </c>
      <c r="L2126" s="18" t="n">
        <v>1</v>
      </c>
      <c r="M2126" s="18" t="n">
        <v>120</v>
      </c>
      <c r="N2126" s="18" t="n">
        <v>60</v>
      </c>
      <c r="O2126" s="14" t="s">
        <v>1126</v>
      </c>
      <c r="P2126" s="14" t="s">
        <v>118</v>
      </c>
      <c r="Q2126" s="15" t="s">
        <v>1089</v>
      </c>
      <c r="R2126" s="16" t="s">
        <v>13668</v>
      </c>
      <c r="S2126" s="15" t="s">
        <v>13669</v>
      </c>
      <c r="T2126" s="15" t="s">
        <v>13669</v>
      </c>
      <c r="U2126" s="21" t="s">
        <v>72</v>
      </c>
    </row>
    <row r="2127" customFormat="false" ht="15" hidden="false" customHeight="false" outlineLevel="0" collapsed="false">
      <c r="A2127" s="15" t="s">
        <v>79</v>
      </c>
      <c r="B2127" s="15" t="s">
        <v>80</v>
      </c>
      <c r="C2127" s="14" t="s">
        <v>13670</v>
      </c>
      <c r="D2127" s="14" t="s">
        <v>13671</v>
      </c>
      <c r="E2127" s="16" t="s">
        <v>13672</v>
      </c>
      <c r="F2127" s="16" t="s">
        <v>13673</v>
      </c>
      <c r="G2127" s="23" t="s">
        <v>43</v>
      </c>
      <c r="H2127" s="18" t="n">
        <v>2</v>
      </c>
      <c r="I2127" s="20" t="n">
        <v>82.36</v>
      </c>
      <c r="J2127" s="20" t="n">
        <v>152.48</v>
      </c>
      <c r="K2127" s="18" t="n">
        <v>4</v>
      </c>
      <c r="L2127" s="18" t="n">
        <v>4</v>
      </c>
      <c r="M2127" s="18" t="n">
        <v>136</v>
      </c>
      <c r="N2127" s="18" t="n">
        <v>68</v>
      </c>
      <c r="O2127" s="14" t="s">
        <v>1126</v>
      </c>
      <c r="P2127" s="14" t="s">
        <v>118</v>
      </c>
      <c r="Q2127" s="15" t="s">
        <v>1089</v>
      </c>
      <c r="R2127" s="16" t="s">
        <v>7036</v>
      </c>
      <c r="S2127" s="15" t="s">
        <v>13674</v>
      </c>
      <c r="T2127" s="15" t="s">
        <v>13674</v>
      </c>
      <c r="U2127" s="21" t="s">
        <v>72</v>
      </c>
    </row>
    <row r="2128" customFormat="false" ht="15" hidden="false" customHeight="false" outlineLevel="0" collapsed="false">
      <c r="A2128" s="15" t="s">
        <v>79</v>
      </c>
      <c r="B2128" s="15" t="s">
        <v>80</v>
      </c>
      <c r="C2128" s="14" t="s">
        <v>429</v>
      </c>
      <c r="D2128" s="14" t="s">
        <v>13675</v>
      </c>
      <c r="E2128" s="16" t="s">
        <v>13676</v>
      </c>
      <c r="F2128" s="16" t="s">
        <v>432</v>
      </c>
      <c r="G2128" s="23" t="s">
        <v>43</v>
      </c>
      <c r="H2128" s="18" t="n">
        <v>1</v>
      </c>
      <c r="I2128" s="20" t="n">
        <v>44.78</v>
      </c>
      <c r="J2128" s="20" t="n">
        <v>104.53</v>
      </c>
      <c r="K2128" s="18" t="n">
        <v>2</v>
      </c>
      <c r="L2128" s="18" t="n">
        <v>2</v>
      </c>
      <c r="M2128" s="18" t="n">
        <v>80</v>
      </c>
      <c r="N2128" s="18" t="n">
        <v>40</v>
      </c>
      <c r="O2128" s="14" t="s">
        <v>1126</v>
      </c>
      <c r="P2128" s="14" t="s">
        <v>118</v>
      </c>
      <c r="Q2128" s="15" t="s">
        <v>1089</v>
      </c>
      <c r="R2128" s="16" t="s">
        <v>433</v>
      </c>
      <c r="S2128" s="15" t="s">
        <v>434</v>
      </c>
      <c r="T2128" s="15" t="s">
        <v>434</v>
      </c>
      <c r="U2128" s="21" t="s">
        <v>72</v>
      </c>
    </row>
    <row r="2129" customFormat="false" ht="15" hidden="false" customHeight="false" outlineLevel="0" collapsed="false">
      <c r="A2129" s="15" t="s">
        <v>79</v>
      </c>
      <c r="B2129" s="15" t="s">
        <v>80</v>
      </c>
      <c r="C2129" s="14" t="s">
        <v>13677</v>
      </c>
      <c r="D2129" s="14" t="s">
        <v>13678</v>
      </c>
      <c r="E2129" s="16" t="s">
        <v>13679</v>
      </c>
      <c r="F2129" s="16" t="s">
        <v>13680</v>
      </c>
      <c r="G2129" s="25" t="s">
        <v>39</v>
      </c>
      <c r="H2129" s="18" t="n">
        <v>10</v>
      </c>
      <c r="I2129" s="20" t="n">
        <v>164.67</v>
      </c>
      <c r="J2129" s="20" t="n">
        <v>418.28</v>
      </c>
      <c r="K2129" s="18" t="n">
        <v>11</v>
      </c>
      <c r="L2129" s="18" t="n">
        <v>3</v>
      </c>
      <c r="M2129" s="18" t="n">
        <v>194</v>
      </c>
      <c r="N2129" s="18" t="n">
        <v>108</v>
      </c>
      <c r="O2129" s="14" t="s">
        <v>9118</v>
      </c>
      <c r="P2129" s="14" t="s">
        <v>118</v>
      </c>
      <c r="Q2129" s="15" t="s">
        <v>1089</v>
      </c>
      <c r="R2129" s="16" t="s">
        <v>13681</v>
      </c>
      <c r="S2129" s="15" t="s">
        <v>13682</v>
      </c>
      <c r="T2129" s="15" t="s">
        <v>13683</v>
      </c>
      <c r="U2129" s="21" t="s">
        <v>72</v>
      </c>
    </row>
    <row r="2130" customFormat="false" ht="39.55" hidden="false" customHeight="false" outlineLevel="0" collapsed="false">
      <c r="A2130" s="15" t="s">
        <v>79</v>
      </c>
      <c r="B2130" s="15" t="s">
        <v>607</v>
      </c>
      <c r="C2130" s="14" t="s">
        <v>13684</v>
      </c>
      <c r="D2130" s="14" t="s">
        <v>13685</v>
      </c>
      <c r="E2130" s="16" t="s">
        <v>13686</v>
      </c>
      <c r="F2130" s="16" t="s">
        <v>13687</v>
      </c>
      <c r="G2130" s="25" t="s">
        <v>39</v>
      </c>
      <c r="H2130" s="18" t="n">
        <v>8</v>
      </c>
      <c r="I2130" s="20" t="n">
        <v>459.58</v>
      </c>
      <c r="J2130" s="20" t="n">
        <v>982.84</v>
      </c>
      <c r="K2130" s="18" t="n">
        <v>11</v>
      </c>
      <c r="L2130" s="18" t="n">
        <v>6</v>
      </c>
      <c r="M2130" s="18" t="n">
        <v>648</v>
      </c>
      <c r="N2130" s="18" t="n">
        <v>88</v>
      </c>
      <c r="O2130" s="14" t="s">
        <v>1088</v>
      </c>
      <c r="P2130" s="14" t="s">
        <v>13688</v>
      </c>
      <c r="Q2130" s="15" t="s">
        <v>1089</v>
      </c>
      <c r="R2130" s="16" t="s">
        <v>13689</v>
      </c>
      <c r="S2130" s="15" t="s">
        <v>9563</v>
      </c>
      <c r="T2130" s="15" t="s">
        <v>13690</v>
      </c>
      <c r="U2130" s="21" t="s">
        <v>72</v>
      </c>
    </row>
    <row r="2131" customFormat="false" ht="26.85" hidden="false" customHeight="false" outlineLevel="0" collapsed="false">
      <c r="A2131" s="15" t="s">
        <v>79</v>
      </c>
      <c r="B2131" s="15" t="s">
        <v>607</v>
      </c>
      <c r="C2131" s="14" t="s">
        <v>13691</v>
      </c>
      <c r="D2131" s="14" t="s">
        <v>13692</v>
      </c>
      <c r="E2131" s="16" t="s">
        <v>13693</v>
      </c>
      <c r="F2131" s="16" t="s">
        <v>13694</v>
      </c>
      <c r="G2131" s="19" t="s">
        <v>41</v>
      </c>
      <c r="H2131" s="18" t="n">
        <v>3</v>
      </c>
      <c r="I2131" s="20" t="n">
        <v>70.2</v>
      </c>
      <c r="J2131" s="20" t="n">
        <v>265.72</v>
      </c>
      <c r="K2131" s="18" t="n">
        <v>6</v>
      </c>
      <c r="L2131" s="18" t="n">
        <v>29</v>
      </c>
      <c r="M2131" s="18" t="n">
        <v>114</v>
      </c>
      <c r="N2131" s="18" t="n">
        <v>114</v>
      </c>
      <c r="O2131" s="14" t="s">
        <v>13695</v>
      </c>
      <c r="P2131" s="14" t="s">
        <v>84</v>
      </c>
      <c r="Q2131" s="15" t="s">
        <v>1089</v>
      </c>
      <c r="R2131" s="16" t="s">
        <v>13696</v>
      </c>
      <c r="S2131" s="15" t="s">
        <v>1348</v>
      </c>
      <c r="T2131" s="15" t="s">
        <v>13697</v>
      </c>
      <c r="U2131" s="21" t="s">
        <v>72</v>
      </c>
    </row>
    <row r="2132" customFormat="false" ht="26.85" hidden="false" customHeight="false" outlineLevel="0" collapsed="false">
      <c r="A2132" s="15" t="s">
        <v>79</v>
      </c>
      <c r="B2132" s="15" t="s">
        <v>607</v>
      </c>
      <c r="C2132" s="14" t="s">
        <v>13698</v>
      </c>
      <c r="D2132" s="14" t="s">
        <v>13699</v>
      </c>
      <c r="E2132" s="16" t="s">
        <v>13700</v>
      </c>
      <c r="F2132" s="16" t="s">
        <v>13701</v>
      </c>
      <c r="G2132" s="19" t="s">
        <v>41</v>
      </c>
      <c r="H2132" s="18" t="n">
        <v>6</v>
      </c>
      <c r="I2132" s="20" t="n">
        <v>139.02</v>
      </c>
      <c r="J2132" s="20" t="n">
        <v>361.18</v>
      </c>
      <c r="K2132" s="18" t="n">
        <v>15</v>
      </c>
      <c r="L2132" s="18" t="n">
        <v>7</v>
      </c>
      <c r="M2132" s="18" t="n">
        <v>290</v>
      </c>
      <c r="N2132" s="18" t="n">
        <v>242</v>
      </c>
      <c r="O2132" s="14" t="s">
        <v>13702</v>
      </c>
      <c r="P2132" s="14" t="s">
        <v>118</v>
      </c>
      <c r="Q2132" s="15" t="s">
        <v>1089</v>
      </c>
      <c r="R2132" s="16" t="s">
        <v>13703</v>
      </c>
      <c r="S2132" s="15" t="s">
        <v>11951</v>
      </c>
      <c r="T2132" s="15" t="s">
        <v>13704</v>
      </c>
      <c r="U2132" s="21" t="s">
        <v>72</v>
      </c>
    </row>
    <row r="2133" customFormat="false" ht="26.85" hidden="false" customHeight="false" outlineLevel="0" collapsed="false">
      <c r="A2133" s="15" t="s">
        <v>79</v>
      </c>
      <c r="B2133" s="15" t="s">
        <v>607</v>
      </c>
      <c r="C2133" s="14" t="s">
        <v>13705</v>
      </c>
      <c r="D2133" s="14" t="s">
        <v>13706</v>
      </c>
      <c r="E2133" s="16" t="s">
        <v>13707</v>
      </c>
      <c r="F2133" s="16" t="s">
        <v>13708</v>
      </c>
      <c r="G2133" s="19" t="s">
        <v>41</v>
      </c>
      <c r="H2133" s="18" t="n">
        <v>6</v>
      </c>
      <c r="I2133" s="20" t="n">
        <v>139.8</v>
      </c>
      <c r="J2133" s="20" t="n">
        <v>267.89</v>
      </c>
      <c r="K2133" s="18" t="n">
        <v>30</v>
      </c>
      <c r="L2133" s="18" t="n">
        <v>9</v>
      </c>
      <c r="M2133" s="18" t="n">
        <v>548</v>
      </c>
      <c r="N2133" s="18" t="n">
        <v>115</v>
      </c>
      <c r="O2133" s="14" t="s">
        <v>13709</v>
      </c>
      <c r="P2133" s="14" t="s">
        <v>6883</v>
      </c>
      <c r="Q2133" s="15" t="s">
        <v>1089</v>
      </c>
      <c r="R2133" s="16" t="s">
        <v>13710</v>
      </c>
      <c r="S2133" s="15" t="s">
        <v>13711</v>
      </c>
      <c r="T2133" s="15" t="s">
        <v>13711</v>
      </c>
      <c r="U2133" s="21" t="s">
        <v>72</v>
      </c>
    </row>
    <row r="2134" customFormat="false" ht="15" hidden="false" customHeight="false" outlineLevel="0" collapsed="false">
      <c r="A2134" s="15" t="s">
        <v>79</v>
      </c>
      <c r="B2134" s="15" t="s">
        <v>607</v>
      </c>
      <c r="C2134" s="14" t="s">
        <v>13712</v>
      </c>
      <c r="D2134" s="14" t="s">
        <v>13713</v>
      </c>
      <c r="E2134" s="16" t="s">
        <v>13714</v>
      </c>
      <c r="F2134" s="16" t="s">
        <v>13715</v>
      </c>
      <c r="G2134" s="19" t="s">
        <v>41</v>
      </c>
      <c r="H2134" s="18" t="n">
        <v>5</v>
      </c>
      <c r="I2134" s="20" t="n">
        <v>199.9</v>
      </c>
      <c r="J2134" s="20" t="n">
        <v>258.81</v>
      </c>
      <c r="K2134" s="18" t="n">
        <v>5</v>
      </c>
      <c r="L2134" s="18" t="n">
        <v>5</v>
      </c>
      <c r="M2134" s="18" t="n">
        <v>165</v>
      </c>
      <c r="N2134" s="18" t="n">
        <v>165</v>
      </c>
      <c r="O2134" s="14" t="s">
        <v>1126</v>
      </c>
      <c r="P2134" s="14" t="s">
        <v>84</v>
      </c>
      <c r="Q2134" s="15" t="s">
        <v>1089</v>
      </c>
      <c r="R2134" s="16" t="s">
        <v>13716</v>
      </c>
      <c r="S2134" s="15" t="s">
        <v>13717</v>
      </c>
      <c r="T2134" s="15" t="s">
        <v>13718</v>
      </c>
      <c r="U2134" s="21" t="s">
        <v>72</v>
      </c>
    </row>
    <row r="2135" customFormat="false" ht="15" hidden="false" customHeight="false" outlineLevel="0" collapsed="false">
      <c r="A2135" s="15" t="s">
        <v>79</v>
      </c>
      <c r="B2135" s="15" t="s">
        <v>607</v>
      </c>
      <c r="C2135" s="14" t="s">
        <v>13719</v>
      </c>
      <c r="D2135" s="14" t="s">
        <v>13720</v>
      </c>
      <c r="E2135" s="16" t="s">
        <v>13721</v>
      </c>
      <c r="F2135" s="16" t="s">
        <v>13722</v>
      </c>
      <c r="G2135" s="19" t="s">
        <v>41</v>
      </c>
      <c r="H2135" s="18" t="n">
        <v>4</v>
      </c>
      <c r="I2135" s="20" t="n">
        <v>113.26</v>
      </c>
      <c r="J2135" s="20" t="n">
        <v>230.7</v>
      </c>
      <c r="K2135" s="18" t="n">
        <v>4</v>
      </c>
      <c r="L2135" s="18" t="n">
        <v>2</v>
      </c>
      <c r="M2135" s="18" t="n">
        <v>93</v>
      </c>
      <c r="N2135" s="18" t="n">
        <v>42</v>
      </c>
      <c r="O2135" s="14" t="s">
        <v>1126</v>
      </c>
      <c r="P2135" s="14" t="s">
        <v>118</v>
      </c>
      <c r="Q2135" s="15" t="s">
        <v>1089</v>
      </c>
      <c r="R2135" s="16" t="s">
        <v>13723</v>
      </c>
      <c r="S2135" s="15" t="s">
        <v>13724</v>
      </c>
      <c r="T2135" s="15" t="s">
        <v>13724</v>
      </c>
      <c r="U2135" s="21" t="s">
        <v>72</v>
      </c>
    </row>
    <row r="2136" customFormat="false" ht="15" hidden="false" customHeight="false" outlineLevel="0" collapsed="false">
      <c r="A2136" s="15" t="s">
        <v>79</v>
      </c>
      <c r="B2136" s="15" t="s">
        <v>607</v>
      </c>
      <c r="C2136" s="14" t="s">
        <v>13725</v>
      </c>
      <c r="D2136" s="14" t="s">
        <v>13726</v>
      </c>
      <c r="E2136" s="16" t="s">
        <v>13727</v>
      </c>
      <c r="F2136" s="16" t="s">
        <v>13728</v>
      </c>
      <c r="G2136" s="23" t="s">
        <v>43</v>
      </c>
      <c r="H2136" s="18" t="n">
        <v>4</v>
      </c>
      <c r="I2136" s="20" t="n">
        <v>69.47</v>
      </c>
      <c r="J2136" s="20" t="n">
        <v>161.7</v>
      </c>
      <c r="K2136" s="18" t="n">
        <v>4</v>
      </c>
      <c r="L2136" s="18" t="n">
        <v>3</v>
      </c>
      <c r="M2136" s="18" t="n">
        <v>100</v>
      </c>
      <c r="N2136" s="18" t="n">
        <v>100</v>
      </c>
      <c r="O2136" s="14" t="s">
        <v>13729</v>
      </c>
      <c r="P2136" s="14" t="s">
        <v>84</v>
      </c>
      <c r="Q2136" s="15" t="s">
        <v>1089</v>
      </c>
      <c r="R2136" s="16" t="s">
        <v>13730</v>
      </c>
      <c r="S2136" s="15" t="s">
        <v>13731</v>
      </c>
      <c r="T2136" s="15" t="s">
        <v>13731</v>
      </c>
      <c r="U2136" s="21" t="s">
        <v>72</v>
      </c>
    </row>
    <row r="2137" customFormat="false" ht="15" hidden="false" customHeight="false" outlineLevel="0" collapsed="false">
      <c r="A2137" s="15" t="s">
        <v>79</v>
      </c>
      <c r="B2137" s="15" t="s">
        <v>607</v>
      </c>
      <c r="C2137" s="14" t="s">
        <v>13732</v>
      </c>
      <c r="D2137" s="14" t="s">
        <v>13733</v>
      </c>
      <c r="E2137" s="16" t="s">
        <v>13734</v>
      </c>
      <c r="F2137" s="16" t="s">
        <v>13735</v>
      </c>
      <c r="G2137" s="23" t="s">
        <v>43</v>
      </c>
      <c r="H2137" s="18" t="n">
        <v>2</v>
      </c>
      <c r="I2137" s="20" t="n">
        <v>35.28</v>
      </c>
      <c r="J2137" s="20" t="n">
        <v>94.47</v>
      </c>
      <c r="K2137" s="18" t="n">
        <v>2</v>
      </c>
      <c r="L2137" s="18" t="n">
        <v>2</v>
      </c>
      <c r="M2137" s="18" t="n">
        <v>18</v>
      </c>
      <c r="N2137" s="18" t="n">
        <v>18</v>
      </c>
      <c r="O2137" s="14" t="s">
        <v>1126</v>
      </c>
      <c r="P2137" s="14" t="s">
        <v>84</v>
      </c>
      <c r="Q2137" s="15" t="s">
        <v>1089</v>
      </c>
      <c r="R2137" s="16" t="s">
        <v>3517</v>
      </c>
      <c r="S2137" s="15" t="s">
        <v>13736</v>
      </c>
      <c r="T2137" s="15" t="s">
        <v>13736</v>
      </c>
      <c r="U2137" s="21" t="s">
        <v>72</v>
      </c>
    </row>
    <row r="2138" customFormat="false" ht="15" hidden="false" customHeight="false" outlineLevel="0" collapsed="false">
      <c r="A2138" s="15" t="s">
        <v>79</v>
      </c>
      <c r="B2138" s="15" t="s">
        <v>607</v>
      </c>
      <c r="C2138" s="14" t="s">
        <v>13737</v>
      </c>
      <c r="D2138" s="14" t="s">
        <v>13738</v>
      </c>
      <c r="E2138" s="16" t="s">
        <v>13739</v>
      </c>
      <c r="F2138" s="16"/>
      <c r="G2138" s="23" t="s">
        <v>43</v>
      </c>
      <c r="H2138" s="18" t="n">
        <v>4</v>
      </c>
      <c r="I2138" s="20" t="n">
        <v>66.62</v>
      </c>
      <c r="J2138" s="20" t="n">
        <v>146.51</v>
      </c>
      <c r="K2138" s="18" t="n">
        <v>4</v>
      </c>
      <c r="L2138" s="18" t="n">
        <v>2</v>
      </c>
      <c r="M2138" s="18" t="n">
        <v>52</v>
      </c>
      <c r="N2138" s="18" t="n">
        <v>52</v>
      </c>
      <c r="O2138" s="14" t="s">
        <v>13740</v>
      </c>
      <c r="P2138" s="14" t="s">
        <v>84</v>
      </c>
      <c r="Q2138" s="15" t="s">
        <v>1089</v>
      </c>
      <c r="R2138" s="16" t="s">
        <v>13741</v>
      </c>
      <c r="S2138" s="15" t="s">
        <v>13742</v>
      </c>
      <c r="T2138" s="15" t="s">
        <v>13742</v>
      </c>
      <c r="U2138" s="21" t="s">
        <v>72</v>
      </c>
    </row>
    <row r="2139" customFormat="false" ht="15" hidden="false" customHeight="false" outlineLevel="0" collapsed="false">
      <c r="A2139" s="15" t="s">
        <v>79</v>
      </c>
      <c r="B2139" s="15" t="s">
        <v>607</v>
      </c>
      <c r="C2139" s="14" t="s">
        <v>13743</v>
      </c>
      <c r="D2139" s="14" t="s">
        <v>13744</v>
      </c>
      <c r="E2139" s="16" t="s">
        <v>13745</v>
      </c>
      <c r="F2139" s="16" t="s">
        <v>13746</v>
      </c>
      <c r="G2139" s="23" t="s">
        <v>43</v>
      </c>
      <c r="H2139" s="18" t="n">
        <v>2</v>
      </c>
      <c r="I2139" s="20" t="n">
        <v>50.8</v>
      </c>
      <c r="J2139" s="20" t="n">
        <v>84.38</v>
      </c>
      <c r="K2139" s="18" t="n">
        <v>4</v>
      </c>
      <c r="L2139" s="18" t="n">
        <v>2</v>
      </c>
      <c r="M2139" s="18" t="n">
        <v>68</v>
      </c>
      <c r="N2139" s="18" t="n">
        <v>68</v>
      </c>
      <c r="O2139" s="14" t="s">
        <v>13702</v>
      </c>
      <c r="P2139" s="14" t="s">
        <v>118</v>
      </c>
      <c r="Q2139" s="15" t="s">
        <v>1089</v>
      </c>
      <c r="R2139" s="16" t="s">
        <v>13747</v>
      </c>
      <c r="S2139" s="15" t="s">
        <v>13748</v>
      </c>
      <c r="T2139" s="15" t="s">
        <v>13748</v>
      </c>
      <c r="U2139" s="21" t="s">
        <v>72</v>
      </c>
    </row>
    <row r="2140" customFormat="false" ht="15" hidden="false" customHeight="false" outlineLevel="0" collapsed="false">
      <c r="A2140" s="15" t="s">
        <v>79</v>
      </c>
      <c r="B2140" s="15" t="s">
        <v>607</v>
      </c>
      <c r="C2140" s="14" t="s">
        <v>13749</v>
      </c>
      <c r="D2140" s="14" t="s">
        <v>13750</v>
      </c>
      <c r="E2140" s="16" t="s">
        <v>13751</v>
      </c>
      <c r="F2140" s="16" t="s">
        <v>13746</v>
      </c>
      <c r="G2140" s="25" t="s">
        <v>39</v>
      </c>
      <c r="H2140" s="18" t="n">
        <v>10</v>
      </c>
      <c r="I2140" s="20" t="n">
        <v>190.02</v>
      </c>
      <c r="J2140" s="20" t="n">
        <v>312.54</v>
      </c>
      <c r="K2140" s="18" t="n">
        <v>10</v>
      </c>
      <c r="L2140" s="18" t="n">
        <v>1</v>
      </c>
      <c r="M2140" s="18" t="n">
        <v>136</v>
      </c>
      <c r="N2140" s="18" t="n">
        <v>109</v>
      </c>
      <c r="O2140" s="14" t="s">
        <v>3724</v>
      </c>
      <c r="P2140" s="14" t="s">
        <v>118</v>
      </c>
      <c r="Q2140" s="15" t="s">
        <v>1089</v>
      </c>
      <c r="R2140" s="16" t="s">
        <v>13752</v>
      </c>
      <c r="S2140" s="15" t="s">
        <v>13748</v>
      </c>
      <c r="T2140" s="15" t="s">
        <v>13753</v>
      </c>
      <c r="U2140" s="21" t="s">
        <v>72</v>
      </c>
    </row>
    <row r="2141" customFormat="false" ht="15" hidden="false" customHeight="false" outlineLevel="0" collapsed="false">
      <c r="A2141" s="15" t="s">
        <v>79</v>
      </c>
      <c r="B2141" s="15" t="s">
        <v>607</v>
      </c>
      <c r="C2141" s="14" t="s">
        <v>740</v>
      </c>
      <c r="D2141" s="14" t="s">
        <v>13754</v>
      </c>
      <c r="E2141" s="16" t="s">
        <v>13755</v>
      </c>
      <c r="F2141" s="16" t="s">
        <v>743</v>
      </c>
      <c r="G2141" s="23" t="s">
        <v>43</v>
      </c>
      <c r="H2141" s="18" t="n">
        <v>3</v>
      </c>
      <c r="I2141" s="20" t="n">
        <v>62.99</v>
      </c>
      <c r="J2141" s="20" t="n">
        <v>109.92</v>
      </c>
      <c r="K2141" s="18" t="n">
        <v>5</v>
      </c>
      <c r="L2141" s="18" t="n">
        <v>1</v>
      </c>
      <c r="M2141" s="18" t="n">
        <v>86</v>
      </c>
      <c r="N2141" s="18" t="n">
        <v>86</v>
      </c>
      <c r="O2141" s="14" t="s">
        <v>13756</v>
      </c>
      <c r="P2141" s="14" t="s">
        <v>118</v>
      </c>
      <c r="Q2141" s="15" t="s">
        <v>1089</v>
      </c>
      <c r="R2141" s="16" t="s">
        <v>744</v>
      </c>
      <c r="S2141" s="15" t="s">
        <v>745</v>
      </c>
      <c r="T2141" s="15" t="s">
        <v>745</v>
      </c>
      <c r="U2141" s="21" t="s">
        <v>72</v>
      </c>
    </row>
    <row r="2142" customFormat="false" ht="15" hidden="false" customHeight="false" outlineLevel="0" collapsed="false">
      <c r="A2142" s="15" t="s">
        <v>79</v>
      </c>
      <c r="B2142" s="15" t="s">
        <v>607</v>
      </c>
      <c r="C2142" s="14" t="s">
        <v>13757</v>
      </c>
      <c r="D2142" s="14" t="s">
        <v>13758</v>
      </c>
      <c r="E2142" s="16" t="s">
        <v>13759</v>
      </c>
      <c r="F2142" s="16" t="s">
        <v>13760</v>
      </c>
      <c r="G2142" s="23" t="s">
        <v>43</v>
      </c>
      <c r="H2142" s="18" t="n">
        <v>4</v>
      </c>
      <c r="I2142" s="20" t="n">
        <v>64.71</v>
      </c>
      <c r="J2142" s="20" t="n">
        <v>123.83</v>
      </c>
      <c r="K2142" s="18" t="n">
        <v>6</v>
      </c>
      <c r="L2142" s="18" t="n">
        <v>1</v>
      </c>
      <c r="M2142" s="18" t="n">
        <v>78</v>
      </c>
      <c r="N2142" s="18" t="n">
        <v>40</v>
      </c>
      <c r="O2142" s="14" t="s">
        <v>13761</v>
      </c>
      <c r="P2142" s="14" t="s">
        <v>118</v>
      </c>
      <c r="Q2142" s="15" t="s">
        <v>1089</v>
      </c>
      <c r="R2142" s="16" t="s">
        <v>13762</v>
      </c>
      <c r="S2142" s="15" t="s">
        <v>13763</v>
      </c>
      <c r="T2142" s="15" t="s">
        <v>13763</v>
      </c>
      <c r="U2142" s="21" t="s">
        <v>72</v>
      </c>
    </row>
    <row r="2143" customFormat="false" ht="15" hidden="false" customHeight="false" outlineLevel="0" collapsed="false">
      <c r="A2143" s="15" t="s">
        <v>79</v>
      </c>
      <c r="B2143" s="15" t="s">
        <v>607</v>
      </c>
      <c r="C2143" s="14" t="s">
        <v>13764</v>
      </c>
      <c r="D2143" s="14" t="s">
        <v>13765</v>
      </c>
      <c r="E2143" s="16" t="s">
        <v>13766</v>
      </c>
      <c r="F2143" s="16" t="s">
        <v>13767</v>
      </c>
      <c r="G2143" s="19" t="s">
        <v>41</v>
      </c>
      <c r="H2143" s="18" t="n">
        <v>6</v>
      </c>
      <c r="I2143" s="20" t="n">
        <v>102.34</v>
      </c>
      <c r="J2143" s="20" t="n">
        <v>112.4</v>
      </c>
      <c r="K2143" s="18" t="n">
        <v>14</v>
      </c>
      <c r="L2143" s="18" t="n">
        <v>4</v>
      </c>
      <c r="M2143" s="18" t="n">
        <v>196</v>
      </c>
      <c r="N2143" s="18" t="n">
        <v>70</v>
      </c>
      <c r="O2143" s="14" t="s">
        <v>10283</v>
      </c>
      <c r="P2143" s="14" t="s">
        <v>118</v>
      </c>
      <c r="Q2143" s="15" t="s">
        <v>1089</v>
      </c>
      <c r="R2143" s="16" t="s">
        <v>13768</v>
      </c>
      <c r="S2143" s="15" t="s">
        <v>13769</v>
      </c>
      <c r="T2143" s="15" t="s">
        <v>13769</v>
      </c>
      <c r="U2143" s="21" t="s">
        <v>72</v>
      </c>
    </row>
    <row r="2144" customFormat="false" ht="15" hidden="false" customHeight="false" outlineLevel="0" collapsed="false">
      <c r="A2144" s="15" t="s">
        <v>79</v>
      </c>
      <c r="B2144" s="15" t="s">
        <v>607</v>
      </c>
      <c r="C2144" s="14" t="s">
        <v>13770</v>
      </c>
      <c r="D2144" s="14" t="s">
        <v>13771</v>
      </c>
      <c r="E2144" s="16" t="s">
        <v>13772</v>
      </c>
      <c r="F2144" s="16" t="s">
        <v>13773</v>
      </c>
      <c r="G2144" s="23" t="s">
        <v>43</v>
      </c>
      <c r="H2144" s="18" t="n">
        <v>3</v>
      </c>
      <c r="I2144" s="20" t="n">
        <v>45.62</v>
      </c>
      <c r="J2144" s="20" t="n">
        <v>181.51</v>
      </c>
      <c r="K2144" s="18" t="n">
        <v>18</v>
      </c>
      <c r="L2144" s="18" t="n">
        <v>7</v>
      </c>
      <c r="M2144" s="18" t="n">
        <v>216</v>
      </c>
      <c r="N2144" s="18" t="n">
        <v>40</v>
      </c>
      <c r="O2144" s="14" t="s">
        <v>13774</v>
      </c>
      <c r="P2144" s="14" t="s">
        <v>334</v>
      </c>
      <c r="Q2144" s="15" t="s">
        <v>1089</v>
      </c>
      <c r="R2144" s="16" t="s">
        <v>13775</v>
      </c>
      <c r="S2144" s="15" t="s">
        <v>13776</v>
      </c>
      <c r="T2144" s="15" t="s">
        <v>13777</v>
      </c>
      <c r="U2144" s="21" t="s">
        <v>72</v>
      </c>
    </row>
    <row r="2145" customFormat="false" ht="26.85" hidden="false" customHeight="false" outlineLevel="0" collapsed="false">
      <c r="A2145" s="15" t="s">
        <v>79</v>
      </c>
      <c r="B2145" s="15" t="s">
        <v>607</v>
      </c>
      <c r="C2145" s="14" t="s">
        <v>13778</v>
      </c>
      <c r="D2145" s="14" t="s">
        <v>13779</v>
      </c>
      <c r="E2145" s="16" t="s">
        <v>13780</v>
      </c>
      <c r="F2145" s="16" t="s">
        <v>13781</v>
      </c>
      <c r="G2145" s="23" t="s">
        <v>43</v>
      </c>
      <c r="H2145" s="18" t="n">
        <v>4</v>
      </c>
      <c r="I2145" s="20" t="n">
        <v>67.25</v>
      </c>
      <c r="J2145" s="20" t="n">
        <v>186.53</v>
      </c>
      <c r="K2145" s="18" t="n">
        <v>11</v>
      </c>
      <c r="L2145" s="18" t="n">
        <v>9</v>
      </c>
      <c r="M2145" s="18" t="n">
        <v>154</v>
      </c>
      <c r="N2145" s="18" t="n">
        <v>64</v>
      </c>
      <c r="O2145" s="14" t="s">
        <v>13782</v>
      </c>
      <c r="P2145" s="14" t="s">
        <v>12949</v>
      </c>
      <c r="Q2145" s="15" t="s">
        <v>1089</v>
      </c>
      <c r="R2145" s="16" t="s">
        <v>13783</v>
      </c>
      <c r="S2145" s="15" t="s">
        <v>13784</v>
      </c>
      <c r="T2145" s="15" t="s">
        <v>13784</v>
      </c>
      <c r="U2145" s="21" t="s">
        <v>72</v>
      </c>
    </row>
    <row r="2146" customFormat="false" ht="15" hidden="false" customHeight="false" outlineLevel="0" collapsed="false">
      <c r="A2146" s="15" t="s">
        <v>79</v>
      </c>
      <c r="B2146" s="15" t="s">
        <v>607</v>
      </c>
      <c r="C2146" s="14" t="s">
        <v>13785</v>
      </c>
      <c r="D2146" s="14" t="s">
        <v>13786</v>
      </c>
      <c r="E2146" s="16" t="s">
        <v>13787</v>
      </c>
      <c r="F2146" s="16" t="s">
        <v>13788</v>
      </c>
      <c r="G2146" s="19" t="s">
        <v>41</v>
      </c>
      <c r="H2146" s="18" t="n">
        <v>3</v>
      </c>
      <c r="I2146" s="20" t="n">
        <v>188.92</v>
      </c>
      <c r="J2146" s="20" t="n">
        <v>353.46</v>
      </c>
      <c r="K2146" s="18" t="n">
        <v>27</v>
      </c>
      <c r="L2146" s="18" t="n">
        <v>8</v>
      </c>
      <c r="M2146" s="18" t="n">
        <v>1258</v>
      </c>
      <c r="N2146" s="18" t="n">
        <v>348</v>
      </c>
      <c r="O2146" s="14" t="s">
        <v>1097</v>
      </c>
      <c r="P2146" s="14" t="s">
        <v>118</v>
      </c>
      <c r="Q2146" s="15" t="s">
        <v>1089</v>
      </c>
      <c r="R2146" s="16" t="s">
        <v>13789</v>
      </c>
      <c r="S2146" s="15" t="s">
        <v>13790</v>
      </c>
      <c r="T2146" s="15" t="s">
        <v>13791</v>
      </c>
      <c r="U2146" s="21" t="s">
        <v>72</v>
      </c>
    </row>
    <row r="2147" customFormat="false" ht="15" hidden="false" customHeight="false" outlineLevel="0" collapsed="false">
      <c r="A2147" s="15" t="s">
        <v>79</v>
      </c>
      <c r="B2147" s="15" t="s">
        <v>607</v>
      </c>
      <c r="C2147" s="14" t="s">
        <v>13792</v>
      </c>
      <c r="D2147" s="14" t="s">
        <v>13793</v>
      </c>
      <c r="E2147" s="16" t="s">
        <v>9704</v>
      </c>
      <c r="F2147" s="16" t="s">
        <v>282</v>
      </c>
      <c r="G2147" s="25" t="s">
        <v>39</v>
      </c>
      <c r="H2147" s="18" t="n">
        <v>10</v>
      </c>
      <c r="I2147" s="20" t="n">
        <v>276.6</v>
      </c>
      <c r="J2147" s="20" t="n">
        <v>604.93</v>
      </c>
      <c r="K2147" s="18" t="n">
        <v>10</v>
      </c>
      <c r="L2147" s="18" t="n">
        <v>21</v>
      </c>
      <c r="M2147" s="18" t="n">
        <v>210</v>
      </c>
      <c r="N2147" s="18" t="n">
        <v>210</v>
      </c>
      <c r="O2147" s="14" t="s">
        <v>1088</v>
      </c>
      <c r="P2147" s="14" t="s">
        <v>84</v>
      </c>
      <c r="Q2147" s="15" t="s">
        <v>1089</v>
      </c>
      <c r="R2147" s="16" t="s">
        <v>8185</v>
      </c>
      <c r="S2147" s="15" t="s">
        <v>10234</v>
      </c>
      <c r="T2147" s="15" t="s">
        <v>13794</v>
      </c>
      <c r="U2147" s="21" t="s">
        <v>72</v>
      </c>
    </row>
    <row r="2148" customFormat="false" ht="15" hidden="false" customHeight="false" outlineLevel="0" collapsed="false">
      <c r="A2148" s="15" t="s">
        <v>79</v>
      </c>
      <c r="B2148" s="15" t="s">
        <v>607</v>
      </c>
      <c r="C2148" s="14" t="s">
        <v>13795</v>
      </c>
      <c r="D2148" s="14" t="s">
        <v>13796</v>
      </c>
      <c r="E2148" s="16" t="s">
        <v>13797</v>
      </c>
      <c r="F2148" s="16"/>
      <c r="G2148" s="23" t="s">
        <v>43</v>
      </c>
      <c r="H2148" s="18" t="n">
        <v>4</v>
      </c>
      <c r="I2148" s="20" t="n">
        <v>74.92</v>
      </c>
      <c r="J2148" s="20" t="n">
        <v>173</v>
      </c>
      <c r="K2148" s="18" t="n">
        <v>5</v>
      </c>
      <c r="L2148" s="18" t="n">
        <v>4</v>
      </c>
      <c r="M2148" s="18" t="n">
        <v>70</v>
      </c>
      <c r="N2148" s="18" t="n">
        <v>14</v>
      </c>
      <c r="O2148" s="14" t="s">
        <v>1126</v>
      </c>
      <c r="P2148" s="14" t="s">
        <v>118</v>
      </c>
      <c r="Q2148" s="15" t="s">
        <v>1089</v>
      </c>
      <c r="R2148" s="16" t="s">
        <v>13798</v>
      </c>
      <c r="S2148" s="15" t="s">
        <v>13799</v>
      </c>
      <c r="T2148" s="15" t="s">
        <v>13799</v>
      </c>
      <c r="U2148" s="21" t="s">
        <v>72</v>
      </c>
    </row>
    <row r="2149" customFormat="false" ht="15" hidden="false" customHeight="false" outlineLevel="0" collapsed="false">
      <c r="A2149" s="15" t="s">
        <v>79</v>
      </c>
      <c r="B2149" s="15" t="s">
        <v>607</v>
      </c>
      <c r="C2149" s="14" t="s">
        <v>13800</v>
      </c>
      <c r="D2149" s="14" t="s">
        <v>13801</v>
      </c>
      <c r="E2149" s="16" t="s">
        <v>13802</v>
      </c>
      <c r="F2149" s="16"/>
      <c r="G2149" s="19" t="s">
        <v>41</v>
      </c>
      <c r="H2149" s="18" t="n">
        <v>4</v>
      </c>
      <c r="I2149" s="20" t="n">
        <v>102.94</v>
      </c>
      <c r="J2149" s="20" t="n">
        <v>340.16</v>
      </c>
      <c r="K2149" s="18" t="n">
        <v>4</v>
      </c>
      <c r="L2149" s="18" t="n">
        <v>9</v>
      </c>
      <c r="M2149" s="18" t="n">
        <v>40</v>
      </c>
      <c r="N2149" s="18" t="n">
        <v>40</v>
      </c>
      <c r="O2149" s="14" t="s">
        <v>1126</v>
      </c>
      <c r="P2149" s="14" t="s">
        <v>84</v>
      </c>
      <c r="Q2149" s="15" t="s">
        <v>1089</v>
      </c>
      <c r="R2149" s="16" t="s">
        <v>13803</v>
      </c>
      <c r="S2149" s="15" t="s">
        <v>13804</v>
      </c>
      <c r="T2149" s="15" t="s">
        <v>13804</v>
      </c>
      <c r="U2149" s="21" t="s">
        <v>72</v>
      </c>
    </row>
    <row r="2150" customFormat="false" ht="15" hidden="false" customHeight="false" outlineLevel="0" collapsed="false">
      <c r="A2150" s="15" t="s">
        <v>79</v>
      </c>
      <c r="B2150" s="15" t="s">
        <v>607</v>
      </c>
      <c r="C2150" s="14" t="s">
        <v>13805</v>
      </c>
      <c r="D2150" s="14" t="s">
        <v>13806</v>
      </c>
      <c r="E2150" s="16" t="s">
        <v>13807</v>
      </c>
      <c r="F2150" s="16" t="s">
        <v>13808</v>
      </c>
      <c r="G2150" s="25" t="s">
        <v>39</v>
      </c>
      <c r="H2150" s="18" t="n">
        <v>7</v>
      </c>
      <c r="I2150" s="20" t="n">
        <v>312.92</v>
      </c>
      <c r="J2150" s="20" t="n">
        <v>506.68</v>
      </c>
      <c r="K2150" s="18" t="n">
        <v>7</v>
      </c>
      <c r="L2150" s="18" t="n">
        <v>8</v>
      </c>
      <c r="M2150" s="18" t="n">
        <v>274</v>
      </c>
      <c r="N2150" s="18" t="n">
        <v>274</v>
      </c>
      <c r="O2150" s="14" t="s">
        <v>13809</v>
      </c>
      <c r="P2150" s="14" t="s">
        <v>84</v>
      </c>
      <c r="Q2150" s="15" t="s">
        <v>1089</v>
      </c>
      <c r="R2150" s="16" t="s">
        <v>13810</v>
      </c>
      <c r="S2150" s="15" t="s">
        <v>13811</v>
      </c>
      <c r="T2150" s="15" t="s">
        <v>13812</v>
      </c>
      <c r="U2150" s="21" t="s">
        <v>72</v>
      </c>
    </row>
    <row r="2151" customFormat="false" ht="15" hidden="false" customHeight="false" outlineLevel="0" collapsed="false">
      <c r="A2151" s="15" t="s">
        <v>79</v>
      </c>
      <c r="B2151" s="15" t="s">
        <v>607</v>
      </c>
      <c r="C2151" s="14" t="s">
        <v>13813</v>
      </c>
      <c r="D2151" s="14" t="s">
        <v>13814</v>
      </c>
      <c r="E2151" s="16" t="s">
        <v>13815</v>
      </c>
      <c r="F2151" s="16" t="s">
        <v>13816</v>
      </c>
      <c r="G2151" s="23" t="s">
        <v>43</v>
      </c>
      <c r="H2151" s="18" t="n">
        <v>2</v>
      </c>
      <c r="I2151" s="20" t="n">
        <v>39.75</v>
      </c>
      <c r="J2151" s="20" t="n">
        <v>128.96</v>
      </c>
      <c r="K2151" s="18" t="n">
        <v>2</v>
      </c>
      <c r="L2151" s="18" t="n">
        <v>5</v>
      </c>
      <c r="M2151" s="18" t="n">
        <v>32</v>
      </c>
      <c r="N2151" s="18" t="n">
        <v>32</v>
      </c>
      <c r="O2151" s="14" t="s">
        <v>1126</v>
      </c>
      <c r="P2151" s="14" t="s">
        <v>84</v>
      </c>
      <c r="Q2151" s="15" t="s">
        <v>1089</v>
      </c>
      <c r="R2151" s="16" t="s">
        <v>13817</v>
      </c>
      <c r="S2151" s="15" t="s">
        <v>13818</v>
      </c>
      <c r="T2151" s="15" t="s">
        <v>13819</v>
      </c>
      <c r="U2151" s="21" t="s">
        <v>72</v>
      </c>
    </row>
    <row r="2152" customFormat="false" ht="15" hidden="false" customHeight="false" outlineLevel="0" collapsed="false">
      <c r="A2152" s="15" t="s">
        <v>79</v>
      </c>
      <c r="B2152" s="15" t="s">
        <v>607</v>
      </c>
      <c r="C2152" s="14" t="s">
        <v>713</v>
      </c>
      <c r="D2152" s="14" t="s">
        <v>13820</v>
      </c>
      <c r="E2152" s="16" t="s">
        <v>13821</v>
      </c>
      <c r="F2152" s="16" t="s">
        <v>282</v>
      </c>
      <c r="G2152" s="25" t="s">
        <v>39</v>
      </c>
      <c r="H2152" s="18" t="n">
        <v>10</v>
      </c>
      <c r="I2152" s="20" t="n">
        <v>217.25</v>
      </c>
      <c r="J2152" s="20" t="n">
        <v>398.73</v>
      </c>
      <c r="K2152" s="18" t="n">
        <v>16</v>
      </c>
      <c r="L2152" s="18" t="n">
        <v>19</v>
      </c>
      <c r="M2152" s="18" t="n">
        <v>302</v>
      </c>
      <c r="N2152" s="18" t="n">
        <v>302</v>
      </c>
      <c r="O2152" s="14" t="s">
        <v>13822</v>
      </c>
      <c r="P2152" s="14" t="s">
        <v>84</v>
      </c>
      <c r="Q2152" s="15" t="s">
        <v>1089</v>
      </c>
      <c r="R2152" s="16" t="s">
        <v>716</v>
      </c>
      <c r="S2152" s="15" t="s">
        <v>717</v>
      </c>
      <c r="T2152" s="15" t="s">
        <v>718</v>
      </c>
      <c r="U2152" s="21" t="s">
        <v>72</v>
      </c>
    </row>
    <row r="2153" customFormat="false" ht="15" hidden="false" customHeight="false" outlineLevel="0" collapsed="false">
      <c r="A2153" s="15" t="s">
        <v>79</v>
      </c>
      <c r="B2153" s="15" t="s">
        <v>607</v>
      </c>
      <c r="C2153" s="14" t="s">
        <v>13823</v>
      </c>
      <c r="D2153" s="14" t="s">
        <v>13824</v>
      </c>
      <c r="E2153" s="16" t="s">
        <v>13825</v>
      </c>
      <c r="F2153" s="16" t="s">
        <v>13826</v>
      </c>
      <c r="G2153" s="23" t="s">
        <v>43</v>
      </c>
      <c r="H2153" s="18" t="n">
        <v>1</v>
      </c>
      <c r="I2153" s="20" t="n">
        <v>33.54</v>
      </c>
      <c r="J2153" s="20" t="n">
        <v>78.47</v>
      </c>
      <c r="K2153" s="18" t="n">
        <v>21</v>
      </c>
      <c r="L2153" s="18" t="n">
        <v>3</v>
      </c>
      <c r="M2153" s="18" t="n">
        <v>567</v>
      </c>
      <c r="N2153" s="18" t="n">
        <v>216</v>
      </c>
      <c r="O2153" s="14" t="s">
        <v>10791</v>
      </c>
      <c r="P2153" s="14" t="s">
        <v>84</v>
      </c>
      <c r="Q2153" s="15" t="s">
        <v>1089</v>
      </c>
      <c r="R2153" s="16" t="s">
        <v>13827</v>
      </c>
      <c r="S2153" s="15" t="s">
        <v>13828</v>
      </c>
      <c r="T2153" s="15" t="s">
        <v>13828</v>
      </c>
      <c r="U2153" s="21" t="s">
        <v>72</v>
      </c>
    </row>
    <row r="2154" customFormat="false" ht="15" hidden="false" customHeight="false" outlineLevel="0" collapsed="false">
      <c r="A2154" s="15" t="s">
        <v>79</v>
      </c>
      <c r="B2154" s="15" t="s">
        <v>607</v>
      </c>
      <c r="C2154" s="14" t="s">
        <v>13829</v>
      </c>
      <c r="D2154" s="14" t="s">
        <v>13830</v>
      </c>
      <c r="E2154" s="16" t="s">
        <v>13831</v>
      </c>
      <c r="F2154" s="16" t="s">
        <v>13832</v>
      </c>
      <c r="G2154" s="19" t="s">
        <v>41</v>
      </c>
      <c r="H2154" s="18" t="n">
        <v>3</v>
      </c>
      <c r="I2154" s="20" t="n">
        <v>70.52</v>
      </c>
      <c r="J2154" s="20" t="n">
        <v>241.59</v>
      </c>
      <c r="K2154" s="18" t="n">
        <v>26</v>
      </c>
      <c r="L2154" s="18" t="n">
        <v>5</v>
      </c>
      <c r="M2154" s="18" t="n">
        <v>493</v>
      </c>
      <c r="N2154" s="18" t="n">
        <v>116</v>
      </c>
      <c r="O2154" s="14" t="s">
        <v>1088</v>
      </c>
      <c r="P2154" s="14" t="s">
        <v>118</v>
      </c>
      <c r="Q2154" s="15" t="s">
        <v>1089</v>
      </c>
      <c r="R2154" s="16" t="s">
        <v>4757</v>
      </c>
      <c r="S2154" s="15" t="s">
        <v>11135</v>
      </c>
      <c r="T2154" s="15" t="s">
        <v>13833</v>
      </c>
      <c r="U2154" s="21" t="s">
        <v>72</v>
      </c>
    </row>
    <row r="2155" customFormat="false" ht="25.35" hidden="false" customHeight="false" outlineLevel="0" collapsed="false">
      <c r="A2155" s="15" t="s">
        <v>79</v>
      </c>
      <c r="B2155" s="15" t="s">
        <v>607</v>
      </c>
      <c r="C2155" s="14" t="s">
        <v>13834</v>
      </c>
      <c r="D2155" s="14" t="s">
        <v>13835</v>
      </c>
      <c r="E2155" s="16" t="s">
        <v>13836</v>
      </c>
      <c r="F2155" s="16" t="s">
        <v>13837</v>
      </c>
      <c r="G2155" s="23" t="s">
        <v>43</v>
      </c>
      <c r="H2155" s="18" t="n">
        <v>1</v>
      </c>
      <c r="I2155" s="20" t="n">
        <v>50.45</v>
      </c>
      <c r="J2155" s="20" t="n">
        <v>98.51</v>
      </c>
      <c r="K2155" s="18" t="n">
        <v>24</v>
      </c>
      <c r="L2155" s="18" t="n">
        <v>2</v>
      </c>
      <c r="M2155" s="18" t="n">
        <v>1008</v>
      </c>
      <c r="N2155" s="18" t="n">
        <v>336</v>
      </c>
      <c r="O2155" s="14" t="s">
        <v>13838</v>
      </c>
      <c r="P2155" s="14" t="s">
        <v>334</v>
      </c>
      <c r="Q2155" s="15" t="s">
        <v>1089</v>
      </c>
      <c r="R2155" s="16" t="s">
        <v>10411</v>
      </c>
      <c r="S2155" s="15" t="s">
        <v>13839</v>
      </c>
      <c r="T2155" s="15" t="s">
        <v>13839</v>
      </c>
      <c r="U2155" s="21" t="s">
        <v>72</v>
      </c>
    </row>
    <row r="2156" customFormat="false" ht="15" hidden="false" customHeight="false" outlineLevel="0" collapsed="false">
      <c r="A2156" s="15" t="s">
        <v>79</v>
      </c>
      <c r="B2156" s="15" t="s">
        <v>607</v>
      </c>
      <c r="C2156" s="14" t="s">
        <v>13840</v>
      </c>
      <c r="D2156" s="14" t="s">
        <v>13841</v>
      </c>
      <c r="E2156" s="16" t="s">
        <v>13842</v>
      </c>
      <c r="F2156" s="16" t="s">
        <v>13843</v>
      </c>
      <c r="G2156" s="19" t="s">
        <v>41</v>
      </c>
      <c r="H2156" s="18" t="n">
        <v>5</v>
      </c>
      <c r="I2156" s="20" t="n">
        <v>74.46</v>
      </c>
      <c r="J2156" s="20" t="n">
        <v>183.04</v>
      </c>
      <c r="K2156" s="18" t="n">
        <v>5</v>
      </c>
      <c r="L2156" s="18" t="n">
        <v>6</v>
      </c>
      <c r="M2156" s="18" t="n">
        <v>60</v>
      </c>
      <c r="N2156" s="18" t="n">
        <v>30</v>
      </c>
      <c r="O2156" s="14" t="s">
        <v>1126</v>
      </c>
      <c r="P2156" s="14" t="s">
        <v>118</v>
      </c>
      <c r="Q2156" s="15" t="s">
        <v>1089</v>
      </c>
      <c r="R2156" s="16" t="s">
        <v>13844</v>
      </c>
      <c r="S2156" s="15" t="s">
        <v>13845</v>
      </c>
      <c r="T2156" s="15" t="s">
        <v>13846</v>
      </c>
      <c r="U2156" s="21" t="s">
        <v>72</v>
      </c>
    </row>
    <row r="2157" customFormat="false" ht="15" hidden="false" customHeight="false" outlineLevel="0" collapsed="false">
      <c r="A2157" s="15" t="s">
        <v>79</v>
      </c>
      <c r="B2157" s="15" t="s">
        <v>607</v>
      </c>
      <c r="C2157" s="14" t="s">
        <v>13847</v>
      </c>
      <c r="D2157" s="14" t="s">
        <v>13848</v>
      </c>
      <c r="E2157" s="16" t="s">
        <v>13849</v>
      </c>
      <c r="F2157" s="16"/>
      <c r="G2157" s="23" t="s">
        <v>43</v>
      </c>
      <c r="H2157" s="18" t="n">
        <v>3</v>
      </c>
      <c r="I2157" s="20" t="n">
        <v>48.87</v>
      </c>
      <c r="J2157" s="20" t="n">
        <v>89.37</v>
      </c>
      <c r="K2157" s="18" t="n">
        <v>3</v>
      </c>
      <c r="L2157" s="18" t="n">
        <v>1</v>
      </c>
      <c r="M2157" s="18" t="n">
        <v>39</v>
      </c>
      <c r="N2157" s="18" t="n">
        <v>26</v>
      </c>
      <c r="O2157" s="14" t="s">
        <v>1126</v>
      </c>
      <c r="P2157" s="14" t="s">
        <v>94</v>
      </c>
      <c r="Q2157" s="15" t="s">
        <v>1089</v>
      </c>
      <c r="R2157" s="16" t="s">
        <v>13850</v>
      </c>
      <c r="S2157" s="15" t="s">
        <v>13851</v>
      </c>
      <c r="T2157" s="15" t="s">
        <v>13851</v>
      </c>
      <c r="U2157" s="21" t="s">
        <v>72</v>
      </c>
    </row>
    <row r="2158" customFormat="false" ht="39.55" hidden="false" customHeight="false" outlineLevel="0" collapsed="false">
      <c r="A2158" s="15" t="s">
        <v>79</v>
      </c>
      <c r="B2158" s="15" t="s">
        <v>607</v>
      </c>
      <c r="C2158" s="14" t="s">
        <v>13852</v>
      </c>
      <c r="D2158" s="14" t="s">
        <v>13853</v>
      </c>
      <c r="E2158" s="16" t="s">
        <v>13854</v>
      </c>
      <c r="F2158" s="16" t="s">
        <v>13855</v>
      </c>
      <c r="G2158" s="19" t="s">
        <v>41</v>
      </c>
      <c r="H2158" s="18" t="n">
        <v>5</v>
      </c>
      <c r="I2158" s="20" t="n">
        <v>202.57</v>
      </c>
      <c r="J2158" s="20" t="n">
        <v>374.93</v>
      </c>
      <c r="K2158" s="18" t="n">
        <v>7</v>
      </c>
      <c r="L2158" s="18" t="n">
        <v>5</v>
      </c>
      <c r="M2158" s="18" t="n">
        <v>294</v>
      </c>
      <c r="N2158" s="18" t="n">
        <v>294</v>
      </c>
      <c r="O2158" s="14" t="s">
        <v>13856</v>
      </c>
      <c r="P2158" s="14" t="s">
        <v>118</v>
      </c>
      <c r="Q2158" s="15" t="s">
        <v>1089</v>
      </c>
      <c r="R2158" s="16" t="s">
        <v>13857</v>
      </c>
      <c r="S2158" s="15" t="s">
        <v>13858</v>
      </c>
      <c r="T2158" s="15" t="s">
        <v>13858</v>
      </c>
      <c r="U2158" s="21" t="s">
        <v>72</v>
      </c>
    </row>
    <row r="2159" customFormat="false" ht="15" hidden="false" customHeight="false" outlineLevel="0" collapsed="false">
      <c r="A2159" s="15" t="s">
        <v>79</v>
      </c>
      <c r="B2159" s="15" t="s">
        <v>607</v>
      </c>
      <c r="C2159" s="14" t="s">
        <v>13859</v>
      </c>
      <c r="D2159" s="14" t="s">
        <v>13860</v>
      </c>
      <c r="E2159" s="16" t="s">
        <v>13861</v>
      </c>
      <c r="F2159" s="16" t="s">
        <v>931</v>
      </c>
      <c r="G2159" s="19" t="s">
        <v>41</v>
      </c>
      <c r="H2159" s="18" t="n">
        <v>6</v>
      </c>
      <c r="I2159" s="20" t="n">
        <v>82.03</v>
      </c>
      <c r="J2159" s="20" t="n">
        <v>224.29</v>
      </c>
      <c r="K2159" s="18" t="n">
        <v>6</v>
      </c>
      <c r="L2159" s="18" t="n">
        <v>9</v>
      </c>
      <c r="M2159" s="18" t="n">
        <v>72</v>
      </c>
      <c r="N2159" s="18" t="n">
        <v>72</v>
      </c>
      <c r="O2159" s="14" t="s">
        <v>12375</v>
      </c>
      <c r="P2159" s="14" t="s">
        <v>118</v>
      </c>
      <c r="Q2159" s="15" t="s">
        <v>1089</v>
      </c>
      <c r="R2159" s="16" t="s">
        <v>13862</v>
      </c>
      <c r="S2159" s="15" t="s">
        <v>933</v>
      </c>
      <c r="T2159" s="15" t="s">
        <v>933</v>
      </c>
      <c r="U2159" s="21" t="s">
        <v>72</v>
      </c>
    </row>
    <row r="2160" customFormat="false" ht="15" hidden="false" customHeight="false" outlineLevel="0" collapsed="false">
      <c r="A2160" s="15" t="s">
        <v>79</v>
      </c>
      <c r="B2160" s="15" t="s">
        <v>607</v>
      </c>
      <c r="C2160" s="14" t="s">
        <v>928</v>
      </c>
      <c r="D2160" s="14" t="s">
        <v>13863</v>
      </c>
      <c r="E2160" s="16" t="s">
        <v>13864</v>
      </c>
      <c r="F2160" s="16" t="s">
        <v>931</v>
      </c>
      <c r="G2160" s="23" t="s">
        <v>43</v>
      </c>
      <c r="H2160" s="18" t="n">
        <v>4</v>
      </c>
      <c r="I2160" s="20" t="n">
        <v>67.14</v>
      </c>
      <c r="J2160" s="20" t="n">
        <v>99.17</v>
      </c>
      <c r="K2160" s="18" t="n">
        <v>4</v>
      </c>
      <c r="L2160" s="18" t="n">
        <v>9</v>
      </c>
      <c r="M2160" s="18" t="n">
        <v>52</v>
      </c>
      <c r="N2160" s="18" t="n">
        <v>52</v>
      </c>
      <c r="O2160" s="14" t="s">
        <v>1126</v>
      </c>
      <c r="P2160" s="14" t="s">
        <v>84</v>
      </c>
      <c r="Q2160" s="15" t="s">
        <v>1089</v>
      </c>
      <c r="R2160" s="16" t="s">
        <v>932</v>
      </c>
      <c r="S2160" s="15" t="s">
        <v>933</v>
      </c>
      <c r="T2160" s="15" t="s">
        <v>934</v>
      </c>
      <c r="U2160" s="21" t="s">
        <v>72</v>
      </c>
    </row>
    <row r="2161" customFormat="false" ht="15" hidden="false" customHeight="false" outlineLevel="0" collapsed="false">
      <c r="A2161" s="15" t="s">
        <v>79</v>
      </c>
      <c r="B2161" s="15" t="s">
        <v>607</v>
      </c>
      <c r="C2161" s="14" t="s">
        <v>13865</v>
      </c>
      <c r="D2161" s="14" t="s">
        <v>13866</v>
      </c>
      <c r="E2161" s="16" t="s">
        <v>13867</v>
      </c>
      <c r="F2161" s="16" t="s">
        <v>13868</v>
      </c>
      <c r="G2161" s="23" t="s">
        <v>43</v>
      </c>
      <c r="H2161" s="18" t="n">
        <v>3</v>
      </c>
      <c r="I2161" s="20" t="n">
        <v>70.54</v>
      </c>
      <c r="J2161" s="20" t="n">
        <v>191.86</v>
      </c>
      <c r="K2161" s="18" t="n">
        <v>8</v>
      </c>
      <c r="L2161" s="18" t="n">
        <v>7</v>
      </c>
      <c r="M2161" s="18" t="n">
        <v>160</v>
      </c>
      <c r="N2161" s="18" t="n">
        <v>160</v>
      </c>
      <c r="O2161" s="14" t="s">
        <v>1088</v>
      </c>
      <c r="P2161" s="14" t="s">
        <v>84</v>
      </c>
      <c r="Q2161" s="15" t="s">
        <v>1089</v>
      </c>
      <c r="R2161" s="16" t="s">
        <v>13869</v>
      </c>
      <c r="S2161" s="15" t="s">
        <v>13870</v>
      </c>
      <c r="T2161" s="15" t="s">
        <v>13870</v>
      </c>
      <c r="U2161" s="21" t="s">
        <v>72</v>
      </c>
    </row>
    <row r="2162" customFormat="false" ht="39.55" hidden="false" customHeight="false" outlineLevel="0" collapsed="false">
      <c r="A2162" s="15" t="s">
        <v>79</v>
      </c>
      <c r="B2162" s="15" t="s">
        <v>607</v>
      </c>
      <c r="C2162" s="14" t="s">
        <v>13871</v>
      </c>
      <c r="D2162" s="14" t="s">
        <v>13872</v>
      </c>
      <c r="E2162" s="16" t="s">
        <v>13873</v>
      </c>
      <c r="F2162" s="16" t="s">
        <v>13874</v>
      </c>
      <c r="G2162" s="19" t="s">
        <v>41</v>
      </c>
      <c r="H2162" s="18" t="n">
        <v>5</v>
      </c>
      <c r="I2162" s="20" t="n">
        <v>75.08</v>
      </c>
      <c r="J2162" s="20" t="n">
        <v>163.5</v>
      </c>
      <c r="K2162" s="18" t="n">
        <v>9</v>
      </c>
      <c r="L2162" s="18" t="n">
        <v>1</v>
      </c>
      <c r="M2162" s="18" t="n">
        <v>97</v>
      </c>
      <c r="N2162" s="18" t="n">
        <v>76</v>
      </c>
      <c r="O2162" s="14" t="s">
        <v>13875</v>
      </c>
      <c r="P2162" s="14" t="s">
        <v>226</v>
      </c>
      <c r="Q2162" s="15" t="s">
        <v>1089</v>
      </c>
      <c r="R2162" s="16" t="s">
        <v>13876</v>
      </c>
      <c r="S2162" s="15" t="s">
        <v>13877</v>
      </c>
      <c r="T2162" s="15" t="s">
        <v>13877</v>
      </c>
      <c r="U2162" s="21" t="s">
        <v>72</v>
      </c>
    </row>
    <row r="2163" customFormat="false" ht="15" hidden="false" customHeight="false" outlineLevel="0" collapsed="false">
      <c r="A2163" s="15" t="s">
        <v>79</v>
      </c>
      <c r="B2163" s="15" t="s">
        <v>607</v>
      </c>
      <c r="C2163" s="14" t="s">
        <v>13878</v>
      </c>
      <c r="D2163" s="14" t="s">
        <v>13879</v>
      </c>
      <c r="E2163" s="16" t="s">
        <v>13880</v>
      </c>
      <c r="F2163" s="16" t="s">
        <v>13881</v>
      </c>
      <c r="G2163" s="23" t="s">
        <v>43</v>
      </c>
      <c r="H2163" s="18" t="n">
        <v>2</v>
      </c>
      <c r="I2163" s="20" t="n">
        <v>60.7</v>
      </c>
      <c r="J2163" s="20" t="n">
        <v>110.75</v>
      </c>
      <c r="K2163" s="18" t="n">
        <v>8</v>
      </c>
      <c r="L2163" s="18" t="n">
        <v>5</v>
      </c>
      <c r="M2163" s="18" t="n">
        <v>224</v>
      </c>
      <c r="N2163" s="18" t="n">
        <v>112</v>
      </c>
      <c r="O2163" s="14" t="s">
        <v>13882</v>
      </c>
      <c r="P2163" s="14" t="s">
        <v>118</v>
      </c>
      <c r="Q2163" s="15" t="s">
        <v>1089</v>
      </c>
      <c r="R2163" s="16" t="s">
        <v>13883</v>
      </c>
      <c r="S2163" s="15" t="s">
        <v>13884</v>
      </c>
      <c r="T2163" s="15" t="s">
        <v>13884</v>
      </c>
      <c r="U2163" s="21" t="s">
        <v>72</v>
      </c>
    </row>
    <row r="2164" customFormat="false" ht="15" hidden="false" customHeight="false" outlineLevel="0" collapsed="false">
      <c r="A2164" s="15" t="s">
        <v>79</v>
      </c>
      <c r="B2164" s="15" t="s">
        <v>607</v>
      </c>
      <c r="C2164" s="14" t="s">
        <v>13885</v>
      </c>
      <c r="D2164" s="14" t="s">
        <v>13886</v>
      </c>
      <c r="E2164" s="16" t="s">
        <v>13887</v>
      </c>
      <c r="F2164" s="16" t="s">
        <v>13888</v>
      </c>
      <c r="G2164" s="25" t="s">
        <v>39</v>
      </c>
      <c r="H2164" s="18" t="n">
        <v>5</v>
      </c>
      <c r="I2164" s="20" t="n">
        <v>261.64</v>
      </c>
      <c r="J2164" s="20" t="n">
        <v>433.51</v>
      </c>
      <c r="K2164" s="18" t="n">
        <v>6</v>
      </c>
      <c r="L2164" s="18" t="n">
        <v>3</v>
      </c>
      <c r="M2164" s="18" t="n">
        <v>290</v>
      </c>
      <c r="N2164" s="18" t="n">
        <v>218</v>
      </c>
      <c r="O2164" s="14" t="s">
        <v>10283</v>
      </c>
      <c r="P2164" s="14" t="s">
        <v>118</v>
      </c>
      <c r="Q2164" s="15" t="s">
        <v>1089</v>
      </c>
      <c r="R2164" s="16" t="s">
        <v>13889</v>
      </c>
      <c r="S2164" s="15" t="s">
        <v>13890</v>
      </c>
      <c r="T2164" s="15" t="s">
        <v>13891</v>
      </c>
      <c r="U2164" s="21" t="s">
        <v>72</v>
      </c>
    </row>
    <row r="2165" customFormat="false" ht="15" hidden="false" customHeight="false" outlineLevel="0" collapsed="false">
      <c r="A2165" s="15" t="s">
        <v>79</v>
      </c>
      <c r="B2165" s="15" t="s">
        <v>607</v>
      </c>
      <c r="C2165" s="14" t="s">
        <v>13892</v>
      </c>
      <c r="D2165" s="14" t="s">
        <v>13893</v>
      </c>
      <c r="E2165" s="16" t="s">
        <v>13894</v>
      </c>
      <c r="F2165" s="16" t="s">
        <v>13895</v>
      </c>
      <c r="G2165" s="23" t="s">
        <v>43</v>
      </c>
      <c r="H2165" s="18" t="n">
        <v>4</v>
      </c>
      <c r="I2165" s="20" t="n">
        <v>78.31</v>
      </c>
      <c r="J2165" s="20" t="n">
        <v>180.17</v>
      </c>
      <c r="K2165" s="18" t="n">
        <v>13</v>
      </c>
      <c r="L2165" s="18" t="n">
        <v>3</v>
      </c>
      <c r="M2165" s="18" t="n">
        <v>214</v>
      </c>
      <c r="N2165" s="18" t="n">
        <v>76</v>
      </c>
      <c r="O2165" s="14" t="s">
        <v>5962</v>
      </c>
      <c r="P2165" s="14" t="s">
        <v>118</v>
      </c>
      <c r="Q2165" s="15" t="s">
        <v>1089</v>
      </c>
      <c r="R2165" s="16" t="s">
        <v>9162</v>
      </c>
      <c r="S2165" s="15" t="s">
        <v>13896</v>
      </c>
      <c r="T2165" s="15" t="s">
        <v>13897</v>
      </c>
      <c r="U2165" s="21" t="s">
        <v>72</v>
      </c>
    </row>
    <row r="2166" customFormat="false" ht="15" hidden="false" customHeight="false" outlineLevel="0" collapsed="false">
      <c r="A2166" s="15" t="s">
        <v>79</v>
      </c>
      <c r="B2166" s="15" t="s">
        <v>607</v>
      </c>
      <c r="C2166" s="14" t="s">
        <v>13898</v>
      </c>
      <c r="D2166" s="14" t="s">
        <v>13899</v>
      </c>
      <c r="E2166" s="16" t="s">
        <v>13900</v>
      </c>
      <c r="F2166" s="16" t="s">
        <v>13901</v>
      </c>
      <c r="G2166" s="19" t="s">
        <v>41</v>
      </c>
      <c r="H2166" s="18" t="n">
        <v>5</v>
      </c>
      <c r="I2166" s="20" t="n">
        <v>86.78</v>
      </c>
      <c r="J2166" s="20" t="n">
        <v>227.48</v>
      </c>
      <c r="K2166" s="18" t="n">
        <v>11</v>
      </c>
      <c r="L2166" s="18" t="n">
        <v>3</v>
      </c>
      <c r="M2166" s="18" t="n">
        <v>135</v>
      </c>
      <c r="N2166" s="18" t="n">
        <v>53</v>
      </c>
      <c r="O2166" s="14" t="s">
        <v>10888</v>
      </c>
      <c r="P2166" s="14" t="s">
        <v>334</v>
      </c>
      <c r="Q2166" s="15" t="s">
        <v>1089</v>
      </c>
      <c r="R2166" s="16" t="s">
        <v>227</v>
      </c>
      <c r="S2166" s="15" t="s">
        <v>13748</v>
      </c>
      <c r="T2166" s="15" t="s">
        <v>13902</v>
      </c>
      <c r="U2166" s="21" t="s">
        <v>72</v>
      </c>
    </row>
    <row r="2167" customFormat="false" ht="26.85" hidden="false" customHeight="false" outlineLevel="0" collapsed="false">
      <c r="A2167" s="15" t="s">
        <v>79</v>
      </c>
      <c r="B2167" s="15" t="s">
        <v>607</v>
      </c>
      <c r="C2167" s="14" t="s">
        <v>13903</v>
      </c>
      <c r="D2167" s="14" t="s">
        <v>13904</v>
      </c>
      <c r="E2167" s="16" t="s">
        <v>13905</v>
      </c>
      <c r="F2167" s="16" t="s">
        <v>13895</v>
      </c>
      <c r="G2167" s="19" t="s">
        <v>41</v>
      </c>
      <c r="H2167" s="18" t="n">
        <v>2</v>
      </c>
      <c r="I2167" s="20" t="n">
        <v>89.5</v>
      </c>
      <c r="J2167" s="20" t="n">
        <v>251.03</v>
      </c>
      <c r="K2167" s="18" t="n">
        <v>17</v>
      </c>
      <c r="L2167" s="18" t="n">
        <v>1</v>
      </c>
      <c r="M2167" s="18" t="n">
        <v>491</v>
      </c>
      <c r="N2167" s="18" t="n">
        <v>491</v>
      </c>
      <c r="O2167" s="14" t="s">
        <v>13906</v>
      </c>
      <c r="P2167" s="14" t="s">
        <v>118</v>
      </c>
      <c r="Q2167" s="15" t="s">
        <v>1089</v>
      </c>
      <c r="R2167" s="16" t="s">
        <v>13907</v>
      </c>
      <c r="S2167" s="15" t="s">
        <v>13896</v>
      </c>
      <c r="T2167" s="15" t="s">
        <v>13896</v>
      </c>
      <c r="U2167" s="21" t="s">
        <v>72</v>
      </c>
    </row>
    <row r="2168" customFormat="false" ht="26.85" hidden="false" customHeight="false" outlineLevel="0" collapsed="false">
      <c r="A2168" s="15" t="s">
        <v>79</v>
      </c>
      <c r="B2168" s="15" t="s">
        <v>607</v>
      </c>
      <c r="C2168" s="14" t="s">
        <v>13908</v>
      </c>
      <c r="D2168" s="14" t="s">
        <v>13909</v>
      </c>
      <c r="E2168" s="16" t="s">
        <v>13910</v>
      </c>
      <c r="F2168" s="16" t="s">
        <v>13911</v>
      </c>
      <c r="G2168" s="19" t="s">
        <v>41</v>
      </c>
      <c r="H2168" s="18" t="n">
        <v>5</v>
      </c>
      <c r="I2168" s="20" t="n">
        <v>98.67</v>
      </c>
      <c r="J2168" s="20" t="n">
        <v>168.56</v>
      </c>
      <c r="K2168" s="18" t="n">
        <v>14</v>
      </c>
      <c r="L2168" s="18" t="n">
        <v>8</v>
      </c>
      <c r="M2168" s="18" t="n">
        <v>226</v>
      </c>
      <c r="N2168" s="18" t="n">
        <v>158</v>
      </c>
      <c r="O2168" s="14" t="s">
        <v>3724</v>
      </c>
      <c r="P2168" s="14" t="s">
        <v>906</v>
      </c>
      <c r="Q2168" s="15" t="s">
        <v>1089</v>
      </c>
      <c r="R2168" s="16" t="s">
        <v>13912</v>
      </c>
      <c r="S2168" s="15" t="s">
        <v>13913</v>
      </c>
      <c r="T2168" s="15" t="s">
        <v>13913</v>
      </c>
      <c r="U2168" s="21" t="s">
        <v>72</v>
      </c>
    </row>
    <row r="2169" customFormat="false" ht="15" hidden="false" customHeight="false" outlineLevel="0" collapsed="false">
      <c r="A2169" s="15" t="s">
        <v>79</v>
      </c>
      <c r="B2169" s="15" t="s">
        <v>607</v>
      </c>
      <c r="C2169" s="14" t="s">
        <v>13914</v>
      </c>
      <c r="D2169" s="14" t="s">
        <v>13915</v>
      </c>
      <c r="E2169" s="16" t="s">
        <v>13916</v>
      </c>
      <c r="F2169" s="16"/>
      <c r="G2169" s="23" t="s">
        <v>43</v>
      </c>
      <c r="H2169" s="18" t="n">
        <v>3</v>
      </c>
      <c r="I2169" s="20" t="n">
        <v>60.52</v>
      </c>
      <c r="J2169" s="20" t="n">
        <v>125.03</v>
      </c>
      <c r="K2169" s="18" t="n">
        <v>3</v>
      </c>
      <c r="L2169" s="18" t="n">
        <v>3</v>
      </c>
      <c r="M2169" s="18" t="n">
        <v>48</v>
      </c>
      <c r="N2169" s="18" t="n">
        <v>48</v>
      </c>
      <c r="O2169" s="14" t="s">
        <v>13917</v>
      </c>
      <c r="P2169" s="14" t="s">
        <v>84</v>
      </c>
      <c r="Q2169" s="15" t="s">
        <v>1089</v>
      </c>
      <c r="R2169" s="16" t="s">
        <v>5271</v>
      </c>
      <c r="S2169" s="15" t="s">
        <v>13918</v>
      </c>
      <c r="T2169" s="15" t="s">
        <v>13919</v>
      </c>
      <c r="U2169" s="21" t="s">
        <v>72</v>
      </c>
    </row>
    <row r="2170" customFormat="false" ht="15" hidden="false" customHeight="false" outlineLevel="0" collapsed="false">
      <c r="A2170" s="15" t="s">
        <v>79</v>
      </c>
      <c r="B2170" s="15" t="s">
        <v>607</v>
      </c>
      <c r="C2170" s="14" t="s">
        <v>13920</v>
      </c>
      <c r="D2170" s="14" t="s">
        <v>13921</v>
      </c>
      <c r="E2170" s="16" t="s">
        <v>13922</v>
      </c>
      <c r="F2170" s="16" t="s">
        <v>13923</v>
      </c>
      <c r="G2170" s="25" t="s">
        <v>39</v>
      </c>
      <c r="H2170" s="18" t="n">
        <v>2</v>
      </c>
      <c r="I2170" s="20" t="n">
        <v>102.97</v>
      </c>
      <c r="J2170" s="20" t="n">
        <v>519.76</v>
      </c>
      <c r="K2170" s="18" t="n">
        <v>2</v>
      </c>
      <c r="L2170" s="18" t="n">
        <v>4</v>
      </c>
      <c r="M2170" s="18" t="n">
        <v>70</v>
      </c>
      <c r="N2170" s="18" t="n">
        <v>70</v>
      </c>
      <c r="O2170" s="14" t="s">
        <v>1126</v>
      </c>
      <c r="P2170" s="14" t="s">
        <v>84</v>
      </c>
      <c r="Q2170" s="15" t="s">
        <v>1089</v>
      </c>
      <c r="R2170" s="16" t="s">
        <v>13924</v>
      </c>
      <c r="S2170" s="15" t="s">
        <v>13925</v>
      </c>
      <c r="T2170" s="15" t="s">
        <v>13926</v>
      </c>
      <c r="U2170" s="21" t="s">
        <v>72</v>
      </c>
    </row>
    <row r="2171" customFormat="false" ht="64.9" hidden="false" customHeight="false" outlineLevel="0" collapsed="false">
      <c r="A2171" s="15" t="s">
        <v>79</v>
      </c>
      <c r="B2171" s="15" t="s">
        <v>607</v>
      </c>
      <c r="C2171" s="14" t="s">
        <v>13927</v>
      </c>
      <c r="D2171" s="14" t="s">
        <v>13928</v>
      </c>
      <c r="E2171" s="16" t="s">
        <v>13929</v>
      </c>
      <c r="F2171" s="16" t="s">
        <v>13930</v>
      </c>
      <c r="G2171" s="19" t="s">
        <v>41</v>
      </c>
      <c r="H2171" s="18" t="n">
        <v>3</v>
      </c>
      <c r="I2171" s="20" t="n">
        <v>114.99</v>
      </c>
      <c r="J2171" s="20" t="n">
        <v>224.07</v>
      </c>
      <c r="K2171" s="18" t="n">
        <v>31</v>
      </c>
      <c r="L2171" s="18" t="n">
        <v>12</v>
      </c>
      <c r="M2171" s="18" t="n">
        <v>968</v>
      </c>
      <c r="N2171" s="18" t="n">
        <v>412</v>
      </c>
      <c r="O2171" s="14" t="s">
        <v>13931</v>
      </c>
      <c r="P2171" s="14" t="s">
        <v>118</v>
      </c>
      <c r="Q2171" s="15" t="s">
        <v>1089</v>
      </c>
      <c r="R2171" s="16" t="s">
        <v>13932</v>
      </c>
      <c r="S2171" s="15" t="s">
        <v>13933</v>
      </c>
      <c r="T2171" s="15" t="s">
        <v>13933</v>
      </c>
      <c r="U2171" s="21" t="s">
        <v>72</v>
      </c>
    </row>
    <row r="2172" customFormat="false" ht="15" hidden="false" customHeight="false" outlineLevel="0" collapsed="false">
      <c r="A2172" s="15" t="s">
        <v>79</v>
      </c>
      <c r="B2172" s="15" t="s">
        <v>607</v>
      </c>
      <c r="C2172" s="14" t="s">
        <v>13934</v>
      </c>
      <c r="D2172" s="14" t="s">
        <v>13935</v>
      </c>
      <c r="E2172" s="16" t="s">
        <v>13936</v>
      </c>
      <c r="F2172" s="16" t="s">
        <v>13937</v>
      </c>
      <c r="G2172" s="19" t="s">
        <v>41</v>
      </c>
      <c r="H2172" s="18" t="n">
        <v>2</v>
      </c>
      <c r="I2172" s="20" t="n">
        <v>54.5</v>
      </c>
      <c r="J2172" s="20" t="n">
        <v>201.71</v>
      </c>
      <c r="K2172" s="18" t="n">
        <v>2</v>
      </c>
      <c r="L2172" s="18" t="n">
        <v>5</v>
      </c>
      <c r="M2172" s="18" t="n">
        <v>46</v>
      </c>
      <c r="N2172" s="18" t="n">
        <v>46</v>
      </c>
      <c r="O2172" s="14" t="s">
        <v>10953</v>
      </c>
      <c r="P2172" s="14" t="s">
        <v>118</v>
      </c>
      <c r="Q2172" s="15" t="s">
        <v>1089</v>
      </c>
      <c r="R2172" s="16" t="s">
        <v>13938</v>
      </c>
      <c r="S2172" s="15" t="s">
        <v>13939</v>
      </c>
      <c r="T2172" s="15" t="s">
        <v>13939</v>
      </c>
      <c r="U2172" s="21" t="s">
        <v>72</v>
      </c>
    </row>
    <row r="2173" customFormat="false" ht="15" hidden="false" customHeight="false" outlineLevel="0" collapsed="false">
      <c r="A2173" s="15" t="s">
        <v>79</v>
      </c>
      <c r="B2173" s="15" t="s">
        <v>607</v>
      </c>
      <c r="C2173" s="14" t="s">
        <v>13940</v>
      </c>
      <c r="D2173" s="14" t="s">
        <v>13941</v>
      </c>
      <c r="E2173" s="16" t="s">
        <v>13942</v>
      </c>
      <c r="F2173" s="16" t="s">
        <v>13943</v>
      </c>
      <c r="G2173" s="23" t="s">
        <v>43</v>
      </c>
      <c r="H2173" s="18" t="n">
        <v>3</v>
      </c>
      <c r="I2173" s="20" t="n">
        <v>62.76</v>
      </c>
      <c r="J2173" s="20" t="n">
        <v>121.36</v>
      </c>
      <c r="K2173" s="18" t="n">
        <v>18</v>
      </c>
      <c r="L2173" s="18" t="n">
        <v>3</v>
      </c>
      <c r="M2173" s="18" t="n">
        <v>306</v>
      </c>
      <c r="N2173" s="18" t="n">
        <v>89</v>
      </c>
      <c r="O2173" s="14" t="s">
        <v>6448</v>
      </c>
      <c r="P2173" s="14" t="s">
        <v>118</v>
      </c>
      <c r="Q2173" s="15" t="s">
        <v>1089</v>
      </c>
      <c r="R2173" s="16" t="s">
        <v>13944</v>
      </c>
      <c r="S2173" s="15" t="s">
        <v>11134</v>
      </c>
      <c r="T2173" s="15" t="s">
        <v>13945</v>
      </c>
      <c r="U2173" s="21" t="s">
        <v>72</v>
      </c>
    </row>
    <row r="2174" customFormat="false" ht="15" hidden="false" customHeight="false" outlineLevel="0" collapsed="false">
      <c r="A2174" s="15" t="s">
        <v>79</v>
      </c>
      <c r="B2174" s="15" t="s">
        <v>607</v>
      </c>
      <c r="C2174" s="14" t="s">
        <v>13946</v>
      </c>
      <c r="D2174" s="14" t="s">
        <v>13947</v>
      </c>
      <c r="E2174" s="16" t="s">
        <v>13948</v>
      </c>
      <c r="F2174" s="16" t="s">
        <v>13949</v>
      </c>
      <c r="G2174" s="19" t="s">
        <v>41</v>
      </c>
      <c r="H2174" s="18" t="n">
        <v>5</v>
      </c>
      <c r="I2174" s="20" t="n">
        <v>86.78</v>
      </c>
      <c r="J2174" s="20" t="n">
        <v>174.77</v>
      </c>
      <c r="K2174" s="18" t="n">
        <v>19</v>
      </c>
      <c r="L2174" s="18"/>
      <c r="M2174" s="18" t="n">
        <v>276</v>
      </c>
      <c r="N2174" s="18" t="n">
        <v>95</v>
      </c>
      <c r="O2174" s="14" t="s">
        <v>1088</v>
      </c>
      <c r="P2174" s="14" t="s">
        <v>1716</v>
      </c>
      <c r="Q2174" s="15" t="s">
        <v>1089</v>
      </c>
      <c r="R2174" s="16" t="s">
        <v>13950</v>
      </c>
      <c r="S2174" s="15" t="s">
        <v>13951</v>
      </c>
      <c r="T2174" s="15" t="s">
        <v>13951</v>
      </c>
      <c r="U2174" s="21" t="s">
        <v>72</v>
      </c>
    </row>
    <row r="2175" customFormat="false" ht="15" hidden="false" customHeight="false" outlineLevel="0" collapsed="false">
      <c r="A2175" s="15" t="s">
        <v>79</v>
      </c>
      <c r="B2175" s="15" t="s">
        <v>607</v>
      </c>
      <c r="C2175" s="14" t="s">
        <v>13952</v>
      </c>
      <c r="D2175" s="14" t="s">
        <v>13953</v>
      </c>
      <c r="E2175" s="16" t="s">
        <v>13954</v>
      </c>
      <c r="F2175" s="16" t="s">
        <v>13955</v>
      </c>
      <c r="G2175" s="23" t="s">
        <v>43</v>
      </c>
      <c r="H2175" s="18" t="n">
        <v>2</v>
      </c>
      <c r="I2175" s="20" t="n">
        <v>32.88</v>
      </c>
      <c r="J2175" s="20" t="n">
        <v>119.05</v>
      </c>
      <c r="K2175" s="18" t="n">
        <v>4</v>
      </c>
      <c r="L2175" s="18" t="n">
        <v>5</v>
      </c>
      <c r="M2175" s="18" t="n">
        <v>40</v>
      </c>
      <c r="N2175" s="18" t="n">
        <v>26</v>
      </c>
      <c r="O2175" s="14" t="s">
        <v>9590</v>
      </c>
      <c r="P2175" s="14" t="s">
        <v>118</v>
      </c>
      <c r="Q2175" s="15" t="s">
        <v>1089</v>
      </c>
      <c r="R2175" s="16" t="s">
        <v>10112</v>
      </c>
      <c r="S2175" s="15" t="s">
        <v>13956</v>
      </c>
      <c r="T2175" s="15" t="s">
        <v>13956</v>
      </c>
      <c r="U2175" s="21" t="s">
        <v>72</v>
      </c>
    </row>
    <row r="2176" customFormat="false" ht="15" hidden="false" customHeight="false" outlineLevel="0" collapsed="false">
      <c r="A2176" s="15" t="s">
        <v>79</v>
      </c>
      <c r="B2176" s="15" t="s">
        <v>607</v>
      </c>
      <c r="C2176" s="14" t="s">
        <v>13957</v>
      </c>
      <c r="D2176" s="14" t="s">
        <v>13958</v>
      </c>
      <c r="E2176" s="16" t="s">
        <v>13959</v>
      </c>
      <c r="F2176" s="16" t="s">
        <v>13960</v>
      </c>
      <c r="G2176" s="23" t="s">
        <v>43</v>
      </c>
      <c r="H2176" s="18" t="n">
        <v>2</v>
      </c>
      <c r="I2176" s="20" t="n">
        <v>51.75</v>
      </c>
      <c r="J2176" s="20" t="n">
        <v>119.58</v>
      </c>
      <c r="K2176" s="18" t="n">
        <v>4</v>
      </c>
      <c r="L2176" s="18" t="n">
        <v>2</v>
      </c>
      <c r="M2176" s="18" t="n">
        <v>60</v>
      </c>
      <c r="N2176" s="18" t="n">
        <v>60</v>
      </c>
      <c r="O2176" s="14" t="s">
        <v>10953</v>
      </c>
      <c r="P2176" s="14" t="s">
        <v>118</v>
      </c>
      <c r="Q2176" s="15" t="s">
        <v>1089</v>
      </c>
      <c r="R2176" s="16" t="s">
        <v>3862</v>
      </c>
      <c r="S2176" s="15" t="s">
        <v>13961</v>
      </c>
      <c r="T2176" s="15" t="s">
        <v>13961</v>
      </c>
      <c r="U2176" s="21" t="s">
        <v>72</v>
      </c>
    </row>
    <row r="2177" customFormat="false" ht="15" hidden="false" customHeight="false" outlineLevel="0" collapsed="false">
      <c r="A2177" s="15" t="s">
        <v>79</v>
      </c>
      <c r="B2177" s="15" t="s">
        <v>607</v>
      </c>
      <c r="C2177" s="14" t="s">
        <v>13962</v>
      </c>
      <c r="D2177" s="14" t="s">
        <v>13963</v>
      </c>
      <c r="E2177" s="16" t="s">
        <v>13964</v>
      </c>
      <c r="F2177" s="16" t="s">
        <v>13965</v>
      </c>
      <c r="G2177" s="25" t="s">
        <v>39</v>
      </c>
      <c r="H2177" s="18" t="n">
        <v>10</v>
      </c>
      <c r="I2177" s="20" t="n">
        <v>143.04</v>
      </c>
      <c r="J2177" s="20" t="n">
        <v>362.68</v>
      </c>
      <c r="K2177" s="18" t="n">
        <v>10</v>
      </c>
      <c r="L2177" s="18" t="n">
        <v>1</v>
      </c>
      <c r="M2177" s="18" t="n">
        <v>115</v>
      </c>
      <c r="N2177" s="18" t="n">
        <v>81</v>
      </c>
      <c r="O2177" s="14" t="s">
        <v>3724</v>
      </c>
      <c r="P2177" s="14" t="s">
        <v>118</v>
      </c>
      <c r="Q2177" s="15" t="s">
        <v>1089</v>
      </c>
      <c r="R2177" s="16" t="s">
        <v>13966</v>
      </c>
      <c r="S2177" s="15" t="s">
        <v>13967</v>
      </c>
      <c r="T2177" s="15" t="s">
        <v>13967</v>
      </c>
      <c r="U2177" s="21" t="s">
        <v>72</v>
      </c>
    </row>
    <row r="2178" customFormat="false" ht="15" hidden="false" customHeight="false" outlineLevel="0" collapsed="false">
      <c r="A2178" s="15" t="s">
        <v>79</v>
      </c>
      <c r="B2178" s="15" t="s">
        <v>607</v>
      </c>
      <c r="C2178" s="14" t="s">
        <v>13968</v>
      </c>
      <c r="D2178" s="14" t="s">
        <v>13969</v>
      </c>
      <c r="E2178" s="16" t="s">
        <v>13970</v>
      </c>
      <c r="F2178" s="16" t="s">
        <v>13971</v>
      </c>
      <c r="G2178" s="23" t="s">
        <v>43</v>
      </c>
      <c r="H2178" s="18" t="n">
        <v>3</v>
      </c>
      <c r="I2178" s="20" t="n">
        <v>83.8</v>
      </c>
      <c r="J2178" s="20" t="n">
        <v>148.8</v>
      </c>
      <c r="K2178" s="18" t="n">
        <v>6</v>
      </c>
      <c r="L2178" s="18" t="n">
        <v>3</v>
      </c>
      <c r="M2178" s="18" t="n">
        <v>138</v>
      </c>
      <c r="N2178" s="18" t="n">
        <v>24</v>
      </c>
      <c r="O2178" s="14" t="s">
        <v>1126</v>
      </c>
      <c r="P2178" s="14" t="s">
        <v>118</v>
      </c>
      <c r="Q2178" s="15" t="s">
        <v>1089</v>
      </c>
      <c r="R2178" s="16" t="s">
        <v>10433</v>
      </c>
      <c r="S2178" s="15" t="s">
        <v>13972</v>
      </c>
      <c r="T2178" s="15" t="s">
        <v>13972</v>
      </c>
      <c r="U2178" s="21" t="s">
        <v>72</v>
      </c>
    </row>
    <row r="2179" customFormat="false" ht="15" hidden="false" customHeight="false" outlineLevel="0" collapsed="false">
      <c r="A2179" s="15" t="s">
        <v>79</v>
      </c>
      <c r="B2179" s="15" t="s">
        <v>607</v>
      </c>
      <c r="C2179" s="14" t="s">
        <v>13973</v>
      </c>
      <c r="D2179" s="14" t="s">
        <v>13974</v>
      </c>
      <c r="E2179" s="16" t="s">
        <v>13975</v>
      </c>
      <c r="F2179" s="16" t="s">
        <v>13976</v>
      </c>
      <c r="G2179" s="23" t="s">
        <v>43</v>
      </c>
      <c r="H2179" s="18" t="n">
        <v>2</v>
      </c>
      <c r="I2179" s="20" t="n">
        <v>38.38</v>
      </c>
      <c r="J2179" s="20" t="n">
        <v>73.18</v>
      </c>
      <c r="K2179" s="18" t="n">
        <v>6</v>
      </c>
      <c r="L2179" s="18" t="n">
        <v>3</v>
      </c>
      <c r="M2179" s="18" t="n">
        <v>94</v>
      </c>
      <c r="N2179" s="18" t="n">
        <v>16</v>
      </c>
      <c r="O2179" s="14" t="s">
        <v>1088</v>
      </c>
      <c r="P2179" s="14" t="s">
        <v>84</v>
      </c>
      <c r="Q2179" s="15" t="s">
        <v>1089</v>
      </c>
      <c r="R2179" s="16" t="s">
        <v>13977</v>
      </c>
      <c r="S2179" s="15" t="s">
        <v>13978</v>
      </c>
      <c r="T2179" s="15" t="s">
        <v>13979</v>
      </c>
      <c r="U2179" s="21" t="s">
        <v>72</v>
      </c>
    </row>
    <row r="2180" customFormat="false" ht="15" hidden="false" customHeight="false" outlineLevel="0" collapsed="false">
      <c r="A2180" s="15" t="s">
        <v>79</v>
      </c>
      <c r="B2180" s="15" t="s">
        <v>607</v>
      </c>
      <c r="C2180" s="14" t="s">
        <v>13980</v>
      </c>
      <c r="D2180" s="14" t="s">
        <v>13981</v>
      </c>
      <c r="E2180" s="16" t="s">
        <v>13982</v>
      </c>
      <c r="F2180" s="16" t="s">
        <v>13983</v>
      </c>
      <c r="G2180" s="25" t="s">
        <v>39</v>
      </c>
      <c r="H2180" s="18" t="n">
        <v>7</v>
      </c>
      <c r="I2180" s="20" t="n">
        <v>224.6</v>
      </c>
      <c r="J2180" s="20" t="n">
        <v>405.36</v>
      </c>
      <c r="K2180" s="18" t="n">
        <v>7</v>
      </c>
      <c r="L2180" s="18" t="n">
        <v>6</v>
      </c>
      <c r="M2180" s="18" t="n">
        <v>128</v>
      </c>
      <c r="N2180" s="18" t="n">
        <v>10</v>
      </c>
      <c r="O2180" s="14" t="s">
        <v>1126</v>
      </c>
      <c r="P2180" s="14" t="s">
        <v>118</v>
      </c>
      <c r="Q2180" s="15" t="s">
        <v>1089</v>
      </c>
      <c r="R2180" s="16" t="s">
        <v>13984</v>
      </c>
      <c r="S2180" s="15" t="s">
        <v>8230</v>
      </c>
      <c r="T2180" s="15" t="s">
        <v>8230</v>
      </c>
      <c r="U2180" s="21" t="s">
        <v>72</v>
      </c>
    </row>
    <row r="2181" customFormat="false" ht="26.85" hidden="false" customHeight="false" outlineLevel="0" collapsed="false">
      <c r="A2181" s="15" t="s">
        <v>79</v>
      </c>
      <c r="B2181" s="15" t="s">
        <v>607</v>
      </c>
      <c r="C2181" s="14" t="s">
        <v>13985</v>
      </c>
      <c r="D2181" s="14" t="s">
        <v>13986</v>
      </c>
      <c r="E2181" s="16" t="s">
        <v>13987</v>
      </c>
      <c r="F2181" s="16" t="s">
        <v>13988</v>
      </c>
      <c r="G2181" s="23" t="s">
        <v>43</v>
      </c>
      <c r="H2181" s="18" t="n">
        <v>2</v>
      </c>
      <c r="I2181" s="20" t="n">
        <v>34.7</v>
      </c>
      <c r="J2181" s="20" t="n">
        <v>123.01</v>
      </c>
      <c r="K2181" s="18" t="n">
        <v>16</v>
      </c>
      <c r="L2181" s="18" t="n">
        <v>4</v>
      </c>
      <c r="M2181" s="18" t="n">
        <v>238</v>
      </c>
      <c r="N2181" s="18" t="n">
        <v>105</v>
      </c>
      <c r="O2181" s="14" t="s">
        <v>13007</v>
      </c>
      <c r="P2181" s="14" t="s">
        <v>118</v>
      </c>
      <c r="Q2181" s="15" t="s">
        <v>1089</v>
      </c>
      <c r="R2181" s="16" t="s">
        <v>12225</v>
      </c>
      <c r="S2181" s="15" t="s">
        <v>4807</v>
      </c>
      <c r="T2181" s="15" t="s">
        <v>4807</v>
      </c>
      <c r="U2181" s="21" t="s">
        <v>72</v>
      </c>
    </row>
    <row r="2182" customFormat="false" ht="15" hidden="false" customHeight="false" outlineLevel="0" collapsed="false">
      <c r="A2182" s="15" t="s">
        <v>79</v>
      </c>
      <c r="B2182" s="15" t="s">
        <v>607</v>
      </c>
      <c r="C2182" s="14" t="s">
        <v>13989</v>
      </c>
      <c r="D2182" s="14" t="s">
        <v>13990</v>
      </c>
      <c r="E2182" s="16" t="s">
        <v>13991</v>
      </c>
      <c r="F2182" s="16" t="s">
        <v>13881</v>
      </c>
      <c r="G2182" s="23" t="s">
        <v>43</v>
      </c>
      <c r="H2182" s="18" t="n">
        <v>2</v>
      </c>
      <c r="I2182" s="20" t="n">
        <v>37.95</v>
      </c>
      <c r="J2182" s="20" t="n">
        <v>117.31</v>
      </c>
      <c r="K2182" s="18" t="n">
        <v>4</v>
      </c>
      <c r="L2182" s="18" t="n">
        <v>3</v>
      </c>
      <c r="M2182" s="18" t="n">
        <v>60</v>
      </c>
      <c r="N2182" s="18" t="n">
        <v>32</v>
      </c>
      <c r="O2182" s="14" t="s">
        <v>1126</v>
      </c>
      <c r="P2182" s="14" t="s">
        <v>226</v>
      </c>
      <c r="Q2182" s="15" t="s">
        <v>1089</v>
      </c>
      <c r="R2182" s="16" t="s">
        <v>13992</v>
      </c>
      <c r="S2182" s="15" t="s">
        <v>13993</v>
      </c>
      <c r="T2182" s="15" t="s">
        <v>13993</v>
      </c>
      <c r="U2182" s="21" t="s">
        <v>72</v>
      </c>
    </row>
    <row r="2183" customFormat="false" ht="15" hidden="false" customHeight="false" outlineLevel="0" collapsed="false">
      <c r="A2183" s="15" t="s">
        <v>79</v>
      </c>
      <c r="B2183" s="15" t="s">
        <v>607</v>
      </c>
      <c r="C2183" s="14" t="s">
        <v>7372</v>
      </c>
      <c r="D2183" s="14" t="s">
        <v>13994</v>
      </c>
      <c r="E2183" s="16" t="s">
        <v>13995</v>
      </c>
      <c r="F2183" s="16" t="s">
        <v>13832</v>
      </c>
      <c r="G2183" s="23" t="s">
        <v>43</v>
      </c>
      <c r="H2183" s="18" t="n">
        <v>4</v>
      </c>
      <c r="I2183" s="20" t="n">
        <v>56.51</v>
      </c>
      <c r="J2183" s="20" t="n">
        <v>181.51</v>
      </c>
      <c r="K2183" s="18" t="n">
        <v>4</v>
      </c>
      <c r="L2183" s="18" t="n">
        <v>4</v>
      </c>
      <c r="M2183" s="18" t="n">
        <v>45</v>
      </c>
      <c r="N2183" s="18" t="n">
        <v>36</v>
      </c>
      <c r="O2183" s="14" t="s">
        <v>10953</v>
      </c>
      <c r="P2183" s="14" t="s">
        <v>118</v>
      </c>
      <c r="Q2183" s="15" t="s">
        <v>1089</v>
      </c>
      <c r="R2183" s="16" t="s">
        <v>13996</v>
      </c>
      <c r="S2183" s="15" t="s">
        <v>11134</v>
      </c>
      <c r="T2183" s="15" t="s">
        <v>13997</v>
      </c>
      <c r="U2183" s="21" t="s">
        <v>72</v>
      </c>
    </row>
    <row r="2184" customFormat="false" ht="15" hidden="false" customHeight="false" outlineLevel="0" collapsed="false">
      <c r="A2184" s="15" t="s">
        <v>79</v>
      </c>
      <c r="B2184" s="15" t="s">
        <v>607</v>
      </c>
      <c r="C2184" s="14" t="s">
        <v>13998</v>
      </c>
      <c r="D2184" s="14" t="s">
        <v>13999</v>
      </c>
      <c r="E2184" s="16" t="s">
        <v>14000</v>
      </c>
      <c r="F2184" s="16" t="s">
        <v>14001</v>
      </c>
      <c r="G2184" s="23" t="s">
        <v>43</v>
      </c>
      <c r="H2184" s="18" t="n">
        <v>3</v>
      </c>
      <c r="I2184" s="20" t="n">
        <v>58.08</v>
      </c>
      <c r="J2184" s="20" t="n">
        <v>144.4</v>
      </c>
      <c r="K2184" s="18" t="n">
        <v>6</v>
      </c>
      <c r="L2184" s="18" t="n">
        <v>2</v>
      </c>
      <c r="M2184" s="18" t="n">
        <v>100</v>
      </c>
      <c r="N2184" s="18" t="n">
        <v>82</v>
      </c>
      <c r="O2184" s="14" t="s">
        <v>14002</v>
      </c>
      <c r="P2184" s="14" t="s">
        <v>118</v>
      </c>
      <c r="Q2184" s="15" t="s">
        <v>1089</v>
      </c>
      <c r="R2184" s="16" t="s">
        <v>14003</v>
      </c>
      <c r="S2184" s="15" t="s">
        <v>14004</v>
      </c>
      <c r="T2184" s="15" t="s">
        <v>14005</v>
      </c>
      <c r="U2184" s="21" t="s">
        <v>72</v>
      </c>
    </row>
    <row r="2185" customFormat="false" ht="26.85" hidden="false" customHeight="false" outlineLevel="0" collapsed="false">
      <c r="A2185" s="15" t="s">
        <v>79</v>
      </c>
      <c r="B2185" s="15" t="s">
        <v>607</v>
      </c>
      <c r="C2185" s="14" t="s">
        <v>14006</v>
      </c>
      <c r="D2185" s="14" t="s">
        <v>14007</v>
      </c>
      <c r="E2185" s="16" t="s">
        <v>14008</v>
      </c>
      <c r="F2185" s="16" t="s">
        <v>14009</v>
      </c>
      <c r="G2185" s="19" t="s">
        <v>41</v>
      </c>
      <c r="H2185" s="18" t="n">
        <v>5</v>
      </c>
      <c r="I2185" s="20" t="n">
        <v>117.39</v>
      </c>
      <c r="J2185" s="20" t="n">
        <v>192.37</v>
      </c>
      <c r="K2185" s="18" t="n">
        <v>11</v>
      </c>
      <c r="L2185" s="18" t="n">
        <v>2</v>
      </c>
      <c r="M2185" s="18" t="n">
        <v>205</v>
      </c>
      <c r="N2185" s="18" t="n">
        <v>134</v>
      </c>
      <c r="O2185" s="14" t="s">
        <v>14010</v>
      </c>
      <c r="P2185" s="14" t="s">
        <v>118</v>
      </c>
      <c r="Q2185" s="15" t="s">
        <v>1089</v>
      </c>
      <c r="R2185" s="16" t="s">
        <v>14011</v>
      </c>
      <c r="S2185" s="15" t="s">
        <v>14012</v>
      </c>
      <c r="T2185" s="15" t="s">
        <v>14012</v>
      </c>
      <c r="U2185" s="21" t="s">
        <v>72</v>
      </c>
    </row>
    <row r="2186" customFormat="false" ht="15" hidden="false" customHeight="false" outlineLevel="0" collapsed="false">
      <c r="A2186" s="15" t="s">
        <v>79</v>
      </c>
      <c r="B2186" s="15" t="s">
        <v>607</v>
      </c>
      <c r="C2186" s="14" t="s">
        <v>14013</v>
      </c>
      <c r="D2186" s="14" t="s">
        <v>14014</v>
      </c>
      <c r="E2186" s="16" t="s">
        <v>14015</v>
      </c>
      <c r="F2186" s="16" t="s">
        <v>14016</v>
      </c>
      <c r="G2186" s="19" t="s">
        <v>41</v>
      </c>
      <c r="H2186" s="18" t="n">
        <v>3</v>
      </c>
      <c r="I2186" s="20" t="n">
        <v>75.53</v>
      </c>
      <c r="J2186" s="20" t="n">
        <v>216.55</v>
      </c>
      <c r="K2186" s="18" t="n">
        <v>18</v>
      </c>
      <c r="L2186" s="18" t="n">
        <v>2</v>
      </c>
      <c r="M2186" s="18" t="n">
        <v>377</v>
      </c>
      <c r="N2186" s="18" t="n">
        <v>138</v>
      </c>
      <c r="O2186" s="14" t="s">
        <v>14017</v>
      </c>
      <c r="P2186" s="14" t="s">
        <v>118</v>
      </c>
      <c r="Q2186" s="15" t="s">
        <v>1089</v>
      </c>
      <c r="R2186" s="16" t="s">
        <v>85</v>
      </c>
      <c r="S2186" s="15" t="s">
        <v>14018</v>
      </c>
      <c r="T2186" s="15" t="s">
        <v>7139</v>
      </c>
      <c r="U2186" s="21" t="s">
        <v>72</v>
      </c>
    </row>
    <row r="2187" customFormat="false" ht="15" hidden="false" customHeight="false" outlineLevel="0" collapsed="false">
      <c r="A2187" s="15" t="s">
        <v>79</v>
      </c>
      <c r="B2187" s="15" t="s">
        <v>607</v>
      </c>
      <c r="C2187" s="14" t="s">
        <v>755</v>
      </c>
      <c r="D2187" s="14" t="s">
        <v>14019</v>
      </c>
      <c r="E2187" s="16" t="s">
        <v>14020</v>
      </c>
      <c r="F2187" s="16" t="s">
        <v>758</v>
      </c>
      <c r="G2187" s="19" t="s">
        <v>41</v>
      </c>
      <c r="H2187" s="18" t="n">
        <v>4</v>
      </c>
      <c r="I2187" s="20" t="n">
        <v>120.73</v>
      </c>
      <c r="J2187" s="20" t="n">
        <v>204.36</v>
      </c>
      <c r="K2187" s="18" t="n">
        <v>7</v>
      </c>
      <c r="L2187" s="18" t="n">
        <v>3</v>
      </c>
      <c r="M2187" s="18" t="n">
        <v>210</v>
      </c>
      <c r="N2187" s="18" t="n">
        <v>100</v>
      </c>
      <c r="O2187" s="14" t="s">
        <v>14021</v>
      </c>
      <c r="P2187" s="14" t="s">
        <v>118</v>
      </c>
      <c r="Q2187" s="15" t="s">
        <v>1089</v>
      </c>
      <c r="R2187" s="16" t="s">
        <v>759</v>
      </c>
      <c r="S2187" s="15" t="s">
        <v>760</v>
      </c>
      <c r="T2187" s="15" t="s">
        <v>760</v>
      </c>
      <c r="U2187" s="21" t="s">
        <v>72</v>
      </c>
    </row>
    <row r="2188" customFormat="false" ht="15" hidden="false" customHeight="false" outlineLevel="0" collapsed="false">
      <c r="A2188" s="15" t="s">
        <v>79</v>
      </c>
      <c r="B2188" s="15" t="s">
        <v>607</v>
      </c>
      <c r="C2188" s="14" t="s">
        <v>14022</v>
      </c>
      <c r="D2188" s="14" t="s">
        <v>14023</v>
      </c>
      <c r="E2188" s="16" t="s">
        <v>14024</v>
      </c>
      <c r="F2188" s="16" t="s">
        <v>14025</v>
      </c>
      <c r="G2188" s="23" t="s">
        <v>43</v>
      </c>
      <c r="H2188" s="18" t="n">
        <v>1</v>
      </c>
      <c r="I2188" s="20" t="n">
        <v>63.46</v>
      </c>
      <c r="J2188" s="20" t="n">
        <v>126.06</v>
      </c>
      <c r="K2188" s="18" t="n">
        <v>24</v>
      </c>
      <c r="L2188" s="18" t="n">
        <v>5</v>
      </c>
      <c r="M2188" s="18" t="n">
        <v>1248</v>
      </c>
      <c r="N2188" s="18" t="n">
        <v>416</v>
      </c>
      <c r="O2188" s="14" t="s">
        <v>14026</v>
      </c>
      <c r="P2188" s="14" t="s">
        <v>226</v>
      </c>
      <c r="Q2188" s="15" t="s">
        <v>1089</v>
      </c>
      <c r="R2188" s="16" t="s">
        <v>12694</v>
      </c>
      <c r="S2188" s="15" t="s">
        <v>14027</v>
      </c>
      <c r="T2188" s="15" t="s">
        <v>14028</v>
      </c>
      <c r="U2188" s="21" t="s">
        <v>72</v>
      </c>
    </row>
    <row r="2189" customFormat="false" ht="15" hidden="false" customHeight="false" outlineLevel="0" collapsed="false">
      <c r="A2189" s="15" t="s">
        <v>79</v>
      </c>
      <c r="B2189" s="15" t="s">
        <v>607</v>
      </c>
      <c r="C2189" s="14" t="s">
        <v>14029</v>
      </c>
      <c r="D2189" s="14" t="s">
        <v>14030</v>
      </c>
      <c r="E2189" s="16" t="s">
        <v>14031</v>
      </c>
      <c r="F2189" s="16" t="s">
        <v>14032</v>
      </c>
      <c r="G2189" s="23" t="s">
        <v>43</v>
      </c>
      <c r="H2189" s="18" t="n">
        <v>3</v>
      </c>
      <c r="I2189" s="20" t="n">
        <v>63.62</v>
      </c>
      <c r="J2189" s="20" t="n">
        <v>130.5</v>
      </c>
      <c r="K2189" s="18" t="n">
        <v>10</v>
      </c>
      <c r="L2189" s="18" t="n">
        <v>3</v>
      </c>
      <c r="M2189" s="18" t="n">
        <v>188</v>
      </c>
      <c r="N2189" s="18" t="n">
        <v>79</v>
      </c>
      <c r="O2189" s="14" t="s">
        <v>10770</v>
      </c>
      <c r="P2189" s="14" t="s">
        <v>118</v>
      </c>
      <c r="Q2189" s="15" t="s">
        <v>1089</v>
      </c>
      <c r="R2189" s="16" t="s">
        <v>14033</v>
      </c>
      <c r="S2189" s="15" t="s">
        <v>14034</v>
      </c>
      <c r="T2189" s="15" t="s">
        <v>14035</v>
      </c>
      <c r="U2189" s="21" t="s">
        <v>72</v>
      </c>
    </row>
    <row r="2190" customFormat="false" ht="26.85" hidden="false" customHeight="false" outlineLevel="0" collapsed="false">
      <c r="A2190" s="15" t="s">
        <v>79</v>
      </c>
      <c r="B2190" s="15" t="s">
        <v>607</v>
      </c>
      <c r="C2190" s="14" t="s">
        <v>14036</v>
      </c>
      <c r="D2190" s="14" t="s">
        <v>14037</v>
      </c>
      <c r="E2190" s="16" t="s">
        <v>14038</v>
      </c>
      <c r="F2190" s="16" t="s">
        <v>14039</v>
      </c>
      <c r="G2190" s="23" t="s">
        <v>43</v>
      </c>
      <c r="H2190" s="18" t="n">
        <v>2</v>
      </c>
      <c r="I2190" s="20" t="n">
        <v>124.62</v>
      </c>
      <c r="J2190" s="20" t="n">
        <v>158.18</v>
      </c>
      <c r="K2190" s="18" t="n">
        <v>16</v>
      </c>
      <c r="L2190" s="18" t="n">
        <v>2</v>
      </c>
      <c r="M2190" s="18" t="n">
        <v>851</v>
      </c>
      <c r="N2190" s="18" t="n">
        <v>739</v>
      </c>
      <c r="O2190" s="14" t="s">
        <v>14040</v>
      </c>
      <c r="P2190" s="14" t="s">
        <v>118</v>
      </c>
      <c r="Q2190" s="15" t="s">
        <v>1089</v>
      </c>
      <c r="R2190" s="16" t="s">
        <v>14041</v>
      </c>
      <c r="S2190" s="15" t="s">
        <v>14042</v>
      </c>
      <c r="T2190" s="15" t="s">
        <v>14043</v>
      </c>
      <c r="U2190" s="21" t="s">
        <v>72</v>
      </c>
    </row>
    <row r="2191" customFormat="false" ht="15" hidden="false" customHeight="false" outlineLevel="0" collapsed="false">
      <c r="A2191" s="15" t="s">
        <v>79</v>
      </c>
      <c r="B2191" s="15" t="s">
        <v>607</v>
      </c>
      <c r="C2191" s="14" t="s">
        <v>14044</v>
      </c>
      <c r="D2191" s="14" t="s">
        <v>14045</v>
      </c>
      <c r="E2191" s="16" t="s">
        <v>14046</v>
      </c>
      <c r="F2191" s="16" t="s">
        <v>13577</v>
      </c>
      <c r="G2191" s="23" t="s">
        <v>43</v>
      </c>
      <c r="H2191" s="18" t="n">
        <v>2</v>
      </c>
      <c r="I2191" s="20" t="n">
        <v>40.41</v>
      </c>
      <c r="J2191" s="20" t="n">
        <v>110.07</v>
      </c>
      <c r="K2191" s="18" t="n">
        <v>2</v>
      </c>
      <c r="L2191" s="18" t="n">
        <v>5</v>
      </c>
      <c r="M2191" s="18" t="n">
        <v>33</v>
      </c>
      <c r="N2191" s="18" t="n">
        <v>33</v>
      </c>
      <c r="O2191" s="14" t="s">
        <v>1088</v>
      </c>
      <c r="P2191" s="14" t="s">
        <v>84</v>
      </c>
      <c r="Q2191" s="15" t="s">
        <v>1089</v>
      </c>
      <c r="R2191" s="16" t="s">
        <v>14047</v>
      </c>
      <c r="S2191" s="15" t="s">
        <v>13485</v>
      </c>
      <c r="T2191" s="15" t="s">
        <v>14048</v>
      </c>
      <c r="U2191" s="21" t="s">
        <v>72</v>
      </c>
    </row>
    <row r="2192" customFormat="false" ht="15" hidden="false" customHeight="false" outlineLevel="0" collapsed="false">
      <c r="A2192" s="15" t="s">
        <v>79</v>
      </c>
      <c r="B2192" s="15" t="s">
        <v>607</v>
      </c>
      <c r="C2192" s="14" t="s">
        <v>14049</v>
      </c>
      <c r="D2192" s="14" t="s">
        <v>14050</v>
      </c>
      <c r="E2192" s="16" t="s">
        <v>14051</v>
      </c>
      <c r="F2192" s="16" t="s">
        <v>14052</v>
      </c>
      <c r="G2192" s="25" t="s">
        <v>39</v>
      </c>
      <c r="H2192" s="18" t="n">
        <v>8</v>
      </c>
      <c r="I2192" s="20" t="n">
        <v>204.8</v>
      </c>
      <c r="J2192" s="20" t="n">
        <v>473.77</v>
      </c>
      <c r="K2192" s="18" t="n">
        <v>14</v>
      </c>
      <c r="L2192" s="18" t="n">
        <v>4</v>
      </c>
      <c r="M2192" s="18" t="n">
        <v>301</v>
      </c>
      <c r="N2192" s="18" t="n">
        <v>186</v>
      </c>
      <c r="O2192" s="14" t="s">
        <v>3724</v>
      </c>
      <c r="P2192" s="14" t="s">
        <v>118</v>
      </c>
      <c r="Q2192" s="15" t="s">
        <v>1089</v>
      </c>
      <c r="R2192" s="16" t="s">
        <v>14053</v>
      </c>
      <c r="S2192" s="15" t="s">
        <v>14054</v>
      </c>
      <c r="T2192" s="15" t="s">
        <v>14054</v>
      </c>
      <c r="U2192" s="21" t="s">
        <v>72</v>
      </c>
    </row>
    <row r="2193" customFormat="false" ht="64.9" hidden="false" customHeight="false" outlineLevel="0" collapsed="false">
      <c r="A2193" s="15" t="s">
        <v>79</v>
      </c>
      <c r="B2193" s="15" t="s">
        <v>607</v>
      </c>
      <c r="C2193" s="14" t="s">
        <v>14055</v>
      </c>
      <c r="D2193" s="14" t="s">
        <v>14056</v>
      </c>
      <c r="E2193" s="16" t="s">
        <v>14057</v>
      </c>
      <c r="F2193" s="16" t="s">
        <v>14058</v>
      </c>
      <c r="G2193" s="25" t="s">
        <v>39</v>
      </c>
      <c r="H2193" s="18" t="n">
        <v>4</v>
      </c>
      <c r="I2193" s="20" t="n">
        <v>213.425</v>
      </c>
      <c r="J2193" s="20" t="n">
        <v>498.59</v>
      </c>
      <c r="K2193" s="18" t="n">
        <v>20</v>
      </c>
      <c r="L2193" s="18" t="n">
        <v>6</v>
      </c>
      <c r="M2193" s="18" t="n">
        <v>800</v>
      </c>
      <c r="N2193" s="18" t="n">
        <v>800</v>
      </c>
      <c r="O2193" s="14" t="s">
        <v>14059</v>
      </c>
      <c r="P2193" s="14" t="s">
        <v>84</v>
      </c>
      <c r="Q2193" s="15" t="s">
        <v>1089</v>
      </c>
      <c r="R2193" s="16" t="s">
        <v>14060</v>
      </c>
      <c r="S2193" s="15" t="s">
        <v>14061</v>
      </c>
      <c r="T2193" s="15" t="s">
        <v>14062</v>
      </c>
      <c r="U2193" s="21" t="s">
        <v>72</v>
      </c>
    </row>
    <row r="2194" customFormat="false" ht="15" hidden="false" customHeight="false" outlineLevel="0" collapsed="false">
      <c r="A2194" s="15" t="s">
        <v>79</v>
      </c>
      <c r="B2194" s="15" t="s">
        <v>607</v>
      </c>
      <c r="C2194" s="14" t="s">
        <v>14063</v>
      </c>
      <c r="D2194" s="14" t="s">
        <v>14064</v>
      </c>
      <c r="E2194" s="16" t="s">
        <v>14065</v>
      </c>
      <c r="F2194" s="16" t="s">
        <v>14066</v>
      </c>
      <c r="G2194" s="23" t="s">
        <v>43</v>
      </c>
      <c r="H2194" s="18" t="n">
        <v>4</v>
      </c>
      <c r="I2194" s="20" t="n">
        <v>69.15</v>
      </c>
      <c r="J2194" s="20" t="n">
        <v>169.81</v>
      </c>
      <c r="K2194" s="18" t="n">
        <v>4</v>
      </c>
      <c r="L2194" s="18" t="n">
        <v>1</v>
      </c>
      <c r="M2194" s="18" t="n">
        <v>55</v>
      </c>
      <c r="N2194" s="18" t="n">
        <v>55</v>
      </c>
      <c r="O2194" s="14" t="s">
        <v>1126</v>
      </c>
      <c r="P2194" s="14" t="s">
        <v>84</v>
      </c>
      <c r="Q2194" s="15" t="s">
        <v>1089</v>
      </c>
      <c r="R2194" s="16" t="s">
        <v>10991</v>
      </c>
      <c r="S2194" s="15" t="s">
        <v>14067</v>
      </c>
      <c r="T2194" s="15" t="s">
        <v>14067</v>
      </c>
      <c r="U2194" s="21" t="s">
        <v>72</v>
      </c>
    </row>
    <row r="2195" customFormat="false" ht="15" hidden="false" customHeight="false" outlineLevel="0" collapsed="false">
      <c r="A2195" s="15" t="s">
        <v>79</v>
      </c>
      <c r="B2195" s="15" t="s">
        <v>607</v>
      </c>
      <c r="C2195" s="14" t="s">
        <v>14068</v>
      </c>
      <c r="D2195" s="14" t="s">
        <v>14069</v>
      </c>
      <c r="E2195" s="16" t="s">
        <v>14070</v>
      </c>
      <c r="F2195" s="16" t="s">
        <v>14071</v>
      </c>
      <c r="G2195" s="23" t="s">
        <v>43</v>
      </c>
      <c r="H2195" s="18" t="n">
        <v>2</v>
      </c>
      <c r="I2195" s="20" t="n">
        <v>45.05</v>
      </c>
      <c r="J2195" s="20" t="n">
        <v>126.82</v>
      </c>
      <c r="K2195" s="18" t="n">
        <v>3</v>
      </c>
      <c r="L2195" s="18" t="n">
        <v>2</v>
      </c>
      <c r="M2195" s="18" t="n">
        <v>54</v>
      </c>
      <c r="N2195" s="18" t="n">
        <v>34</v>
      </c>
      <c r="O2195" s="14" t="s">
        <v>1126</v>
      </c>
      <c r="P2195" s="14" t="s">
        <v>226</v>
      </c>
      <c r="Q2195" s="15" t="s">
        <v>1089</v>
      </c>
      <c r="R2195" s="16" t="s">
        <v>14072</v>
      </c>
      <c r="S2195" s="15" t="s">
        <v>14073</v>
      </c>
      <c r="T2195" s="15" t="s">
        <v>14073</v>
      </c>
      <c r="U2195" s="21" t="s">
        <v>72</v>
      </c>
    </row>
    <row r="2196" customFormat="false" ht="15" hidden="false" customHeight="false" outlineLevel="0" collapsed="false">
      <c r="A2196" s="15" t="s">
        <v>79</v>
      </c>
      <c r="B2196" s="15" t="s">
        <v>607</v>
      </c>
      <c r="C2196" s="14" t="s">
        <v>14074</v>
      </c>
      <c r="D2196" s="14" t="s">
        <v>14075</v>
      </c>
      <c r="E2196" s="16" t="s">
        <v>14076</v>
      </c>
      <c r="F2196" s="16" t="s">
        <v>662</v>
      </c>
      <c r="G2196" s="19" t="s">
        <v>41</v>
      </c>
      <c r="H2196" s="18" t="n">
        <v>4</v>
      </c>
      <c r="I2196" s="20" t="n">
        <v>109.75</v>
      </c>
      <c r="J2196" s="20" t="n">
        <v>309.31</v>
      </c>
      <c r="K2196" s="18" t="n">
        <v>4</v>
      </c>
      <c r="L2196" s="18" t="n">
        <v>3</v>
      </c>
      <c r="M2196" s="18" t="n">
        <v>60</v>
      </c>
      <c r="N2196" s="18" t="n">
        <v>45</v>
      </c>
      <c r="O2196" s="14" t="s">
        <v>14077</v>
      </c>
      <c r="P2196" s="14" t="s">
        <v>118</v>
      </c>
      <c r="Q2196" s="15" t="s">
        <v>1089</v>
      </c>
      <c r="R2196" s="16" t="s">
        <v>4707</v>
      </c>
      <c r="S2196" s="15" t="s">
        <v>664</v>
      </c>
      <c r="T2196" s="15" t="s">
        <v>14078</v>
      </c>
      <c r="U2196" s="21" t="s">
        <v>72</v>
      </c>
    </row>
    <row r="2197" customFormat="false" ht="15" hidden="false" customHeight="false" outlineLevel="0" collapsed="false">
      <c r="A2197" s="15" t="s">
        <v>79</v>
      </c>
      <c r="B2197" s="15" t="s">
        <v>607</v>
      </c>
      <c r="C2197" s="14" t="s">
        <v>14079</v>
      </c>
      <c r="D2197" s="14" t="s">
        <v>14080</v>
      </c>
      <c r="E2197" s="16" t="s">
        <v>14081</v>
      </c>
      <c r="F2197" s="16" t="s">
        <v>662</v>
      </c>
      <c r="G2197" s="23" t="s">
        <v>43</v>
      </c>
      <c r="H2197" s="18" t="n">
        <v>4</v>
      </c>
      <c r="I2197" s="20" t="n">
        <v>132.66</v>
      </c>
      <c r="J2197" s="20" t="n">
        <v>156.24</v>
      </c>
      <c r="K2197" s="18" t="n">
        <v>4</v>
      </c>
      <c r="L2197" s="18" t="n">
        <v>3</v>
      </c>
      <c r="M2197" s="18" t="n">
        <v>122</v>
      </c>
      <c r="N2197" s="18" t="n">
        <v>122</v>
      </c>
      <c r="O2197" s="14" t="s">
        <v>14082</v>
      </c>
      <c r="P2197" s="14" t="s">
        <v>118</v>
      </c>
      <c r="Q2197" s="15" t="s">
        <v>1089</v>
      </c>
      <c r="R2197" s="16" t="s">
        <v>14083</v>
      </c>
      <c r="S2197" s="15" t="s">
        <v>664</v>
      </c>
      <c r="T2197" s="15" t="s">
        <v>14084</v>
      </c>
      <c r="U2197" s="21" t="s">
        <v>72</v>
      </c>
    </row>
    <row r="2198" customFormat="false" ht="15" hidden="false" customHeight="false" outlineLevel="0" collapsed="false">
      <c r="A2198" s="15" t="s">
        <v>79</v>
      </c>
      <c r="B2198" s="15" t="s">
        <v>607</v>
      </c>
      <c r="C2198" s="14" t="s">
        <v>14085</v>
      </c>
      <c r="D2198" s="14" t="s">
        <v>14086</v>
      </c>
      <c r="E2198" s="16" t="s">
        <v>14087</v>
      </c>
      <c r="F2198" s="16" t="s">
        <v>14088</v>
      </c>
      <c r="G2198" s="25" t="s">
        <v>39</v>
      </c>
      <c r="H2198" s="18" t="n">
        <v>4</v>
      </c>
      <c r="I2198" s="20" t="n">
        <v>216</v>
      </c>
      <c r="J2198" s="20" t="n">
        <v>921.2</v>
      </c>
      <c r="K2198" s="18" t="n">
        <v>4</v>
      </c>
      <c r="L2198" s="18" t="n">
        <v>4</v>
      </c>
      <c r="M2198" s="18" t="n">
        <v>180</v>
      </c>
      <c r="N2198" s="18" t="n">
        <v>45</v>
      </c>
      <c r="O2198" s="14" t="s">
        <v>1126</v>
      </c>
      <c r="P2198" s="14" t="s">
        <v>118</v>
      </c>
      <c r="Q2198" s="15" t="s">
        <v>1089</v>
      </c>
      <c r="R2198" s="16" t="s">
        <v>12158</v>
      </c>
      <c r="S2198" s="15" t="s">
        <v>14089</v>
      </c>
      <c r="T2198" s="15" t="s">
        <v>14090</v>
      </c>
      <c r="U2198" s="21" t="s">
        <v>72</v>
      </c>
    </row>
    <row r="2199" customFormat="false" ht="15" hidden="false" customHeight="false" outlineLevel="0" collapsed="false">
      <c r="A2199" s="15" t="s">
        <v>79</v>
      </c>
      <c r="B2199" s="15" t="s">
        <v>607</v>
      </c>
      <c r="C2199" s="14" t="s">
        <v>14091</v>
      </c>
      <c r="D2199" s="14" t="s">
        <v>14092</v>
      </c>
      <c r="E2199" s="16" t="s">
        <v>14093</v>
      </c>
      <c r="F2199" s="16" t="s">
        <v>14094</v>
      </c>
      <c r="G2199" s="23" t="s">
        <v>43</v>
      </c>
      <c r="H2199" s="18" t="n">
        <v>2</v>
      </c>
      <c r="I2199" s="20" t="n">
        <v>37.77</v>
      </c>
      <c r="J2199" s="20" t="n">
        <v>199.02</v>
      </c>
      <c r="K2199" s="18" t="n">
        <v>6</v>
      </c>
      <c r="L2199" s="18" t="n">
        <v>6</v>
      </c>
      <c r="M2199" s="18" t="n">
        <v>102</v>
      </c>
      <c r="N2199" s="18" t="n">
        <v>60</v>
      </c>
      <c r="O2199" s="14" t="s">
        <v>14095</v>
      </c>
      <c r="P2199" s="14" t="s">
        <v>84</v>
      </c>
      <c r="Q2199" s="15" t="s">
        <v>1089</v>
      </c>
      <c r="R2199" s="16" t="s">
        <v>14096</v>
      </c>
      <c r="S2199" s="15" t="s">
        <v>14097</v>
      </c>
      <c r="T2199" s="15" t="s">
        <v>14097</v>
      </c>
      <c r="U2199" s="21" t="s">
        <v>72</v>
      </c>
    </row>
    <row r="2200" customFormat="false" ht="15" hidden="false" customHeight="false" outlineLevel="0" collapsed="false">
      <c r="A2200" s="15" t="s">
        <v>79</v>
      </c>
      <c r="B2200" s="15" t="s">
        <v>607</v>
      </c>
      <c r="C2200" s="14" t="s">
        <v>14098</v>
      </c>
      <c r="D2200" s="14" t="s">
        <v>14099</v>
      </c>
      <c r="E2200" s="16" t="s">
        <v>14100</v>
      </c>
      <c r="F2200" s="16" t="s">
        <v>14101</v>
      </c>
      <c r="G2200" s="19" t="s">
        <v>41</v>
      </c>
      <c r="H2200" s="18" t="n">
        <v>6</v>
      </c>
      <c r="I2200" s="20" t="n">
        <v>137.2</v>
      </c>
      <c r="J2200" s="20" t="n">
        <v>273.18</v>
      </c>
      <c r="K2200" s="18" t="n">
        <v>12</v>
      </c>
      <c r="L2200" s="18" t="n">
        <v>3</v>
      </c>
      <c r="M2200" s="18" t="n">
        <v>219</v>
      </c>
      <c r="N2200" s="18" t="n">
        <v>108</v>
      </c>
      <c r="O2200" s="14" t="s">
        <v>10417</v>
      </c>
      <c r="P2200" s="14" t="s">
        <v>118</v>
      </c>
      <c r="Q2200" s="15" t="s">
        <v>1089</v>
      </c>
      <c r="R2200" s="16" t="s">
        <v>14102</v>
      </c>
      <c r="S2200" s="15" t="s">
        <v>14103</v>
      </c>
      <c r="T2200" s="15" t="s">
        <v>14104</v>
      </c>
      <c r="U2200" s="21" t="s">
        <v>72</v>
      </c>
    </row>
    <row r="2201" customFormat="false" ht="15" hidden="false" customHeight="false" outlineLevel="0" collapsed="false">
      <c r="A2201" s="15" t="s">
        <v>79</v>
      </c>
      <c r="B2201" s="15" t="s">
        <v>607</v>
      </c>
      <c r="C2201" s="14" t="s">
        <v>14105</v>
      </c>
      <c r="D2201" s="14" t="s">
        <v>14106</v>
      </c>
      <c r="E2201" s="16" t="s">
        <v>14107</v>
      </c>
      <c r="F2201" s="16" t="s">
        <v>14108</v>
      </c>
      <c r="G2201" s="23" t="s">
        <v>43</v>
      </c>
      <c r="H2201" s="18" t="n">
        <v>2</v>
      </c>
      <c r="I2201" s="20" t="n">
        <v>30.13</v>
      </c>
      <c r="J2201" s="20" t="n">
        <v>110.54</v>
      </c>
      <c r="K2201" s="18" t="n">
        <v>2</v>
      </c>
      <c r="L2201" s="18" t="n">
        <v>3</v>
      </c>
      <c r="M2201" s="18" t="n">
        <v>25</v>
      </c>
      <c r="N2201" s="18" t="n">
        <v>12</v>
      </c>
      <c r="O2201" s="14" t="s">
        <v>1088</v>
      </c>
      <c r="P2201" s="14" t="s">
        <v>84</v>
      </c>
      <c r="Q2201" s="15" t="s">
        <v>1089</v>
      </c>
      <c r="R2201" s="16" t="s">
        <v>13924</v>
      </c>
      <c r="S2201" s="15" t="s">
        <v>14109</v>
      </c>
      <c r="T2201" s="15" t="s">
        <v>14109</v>
      </c>
      <c r="U2201" s="21" t="s">
        <v>72</v>
      </c>
    </row>
    <row r="2202" customFormat="false" ht="15" hidden="false" customHeight="false" outlineLevel="0" collapsed="false">
      <c r="A2202" s="15" t="s">
        <v>79</v>
      </c>
      <c r="B2202" s="15" t="s">
        <v>607</v>
      </c>
      <c r="C2202" s="14" t="s">
        <v>14110</v>
      </c>
      <c r="D2202" s="14" t="s">
        <v>14111</v>
      </c>
      <c r="E2202" s="16" t="s">
        <v>14112</v>
      </c>
      <c r="F2202" s="16" t="s">
        <v>14113</v>
      </c>
      <c r="G2202" s="19" t="s">
        <v>41</v>
      </c>
      <c r="H2202" s="18" t="n">
        <v>6</v>
      </c>
      <c r="I2202" s="20" t="n">
        <v>78.83</v>
      </c>
      <c r="J2202" s="20" t="n">
        <v>181.51</v>
      </c>
      <c r="K2202" s="18" t="n">
        <v>6</v>
      </c>
      <c r="L2202" s="18" t="n">
        <v>2</v>
      </c>
      <c r="M2202" s="18" t="n">
        <v>73</v>
      </c>
      <c r="N2202" s="18" t="n">
        <v>73</v>
      </c>
      <c r="O2202" s="14" t="s">
        <v>1126</v>
      </c>
      <c r="P2202" s="14" t="s">
        <v>84</v>
      </c>
      <c r="Q2202" s="15" t="s">
        <v>1089</v>
      </c>
      <c r="R2202" s="16" t="s">
        <v>6616</v>
      </c>
      <c r="S2202" s="15" t="s">
        <v>14114</v>
      </c>
      <c r="T2202" s="15" t="s">
        <v>14114</v>
      </c>
      <c r="U2202" s="21" t="s">
        <v>72</v>
      </c>
    </row>
    <row r="2203" customFormat="false" ht="15" hidden="false" customHeight="false" outlineLevel="0" collapsed="false">
      <c r="A2203" s="15" t="s">
        <v>79</v>
      </c>
      <c r="B2203" s="15" t="s">
        <v>607</v>
      </c>
      <c r="C2203" s="14" t="s">
        <v>14115</v>
      </c>
      <c r="D2203" s="14" t="s">
        <v>14116</v>
      </c>
      <c r="E2203" s="16" t="s">
        <v>14117</v>
      </c>
      <c r="F2203" s="16" t="s">
        <v>14118</v>
      </c>
      <c r="G2203" s="19" t="s">
        <v>41</v>
      </c>
      <c r="H2203" s="18" t="n">
        <v>5</v>
      </c>
      <c r="I2203" s="20" t="n">
        <v>84.11</v>
      </c>
      <c r="J2203" s="20" t="n">
        <v>155.25</v>
      </c>
      <c r="K2203" s="18" t="n">
        <v>5</v>
      </c>
      <c r="L2203" s="18" t="n">
        <v>2</v>
      </c>
      <c r="M2203" s="18" t="n">
        <v>67</v>
      </c>
      <c r="N2203" s="18" t="n">
        <v>58</v>
      </c>
      <c r="O2203" s="14" t="s">
        <v>14119</v>
      </c>
      <c r="P2203" s="14" t="s">
        <v>118</v>
      </c>
      <c r="Q2203" s="15" t="s">
        <v>1089</v>
      </c>
      <c r="R2203" s="16" t="s">
        <v>14120</v>
      </c>
      <c r="S2203" s="15" t="s">
        <v>14121</v>
      </c>
      <c r="T2203" s="15" t="s">
        <v>14121</v>
      </c>
      <c r="U2203" s="21" t="s">
        <v>72</v>
      </c>
    </row>
    <row r="2204" customFormat="false" ht="26.85" hidden="false" customHeight="false" outlineLevel="0" collapsed="false">
      <c r="A2204" s="15" t="s">
        <v>79</v>
      </c>
      <c r="B2204" s="15" t="s">
        <v>607</v>
      </c>
      <c r="C2204" s="14" t="s">
        <v>14122</v>
      </c>
      <c r="D2204" s="14" t="s">
        <v>14123</v>
      </c>
      <c r="E2204" s="16" t="s">
        <v>14124</v>
      </c>
      <c r="F2204" s="16" t="s">
        <v>14125</v>
      </c>
      <c r="G2204" s="19" t="s">
        <v>41</v>
      </c>
      <c r="H2204" s="18" t="n">
        <v>3</v>
      </c>
      <c r="I2204" s="20" t="n">
        <v>91.72</v>
      </c>
      <c r="J2204" s="20" t="n">
        <v>385.01</v>
      </c>
      <c r="K2204" s="18" t="n">
        <v>5</v>
      </c>
      <c r="L2204" s="18" t="n">
        <v>1</v>
      </c>
      <c r="M2204" s="18" t="n">
        <v>129</v>
      </c>
      <c r="N2204" s="18" t="n">
        <v>23</v>
      </c>
      <c r="O2204" s="14" t="s">
        <v>1126</v>
      </c>
      <c r="P2204" s="14" t="s">
        <v>1766</v>
      </c>
      <c r="Q2204" s="15" t="s">
        <v>1089</v>
      </c>
      <c r="R2204" s="16" t="s">
        <v>14126</v>
      </c>
      <c r="S2204" s="15" t="s">
        <v>14127</v>
      </c>
      <c r="T2204" s="15" t="s">
        <v>14128</v>
      </c>
      <c r="U2204" s="21" t="s">
        <v>72</v>
      </c>
    </row>
    <row r="2205" customFormat="false" ht="15" hidden="false" customHeight="false" outlineLevel="0" collapsed="false">
      <c r="A2205" s="15" t="s">
        <v>79</v>
      </c>
      <c r="B2205" s="15" t="s">
        <v>607</v>
      </c>
      <c r="C2205" s="14" t="s">
        <v>14129</v>
      </c>
      <c r="D2205" s="14" t="s">
        <v>14130</v>
      </c>
      <c r="E2205" s="16" t="s">
        <v>14131</v>
      </c>
      <c r="F2205" s="16" t="s">
        <v>14132</v>
      </c>
      <c r="G2205" s="25" t="s">
        <v>39</v>
      </c>
      <c r="H2205" s="18" t="n">
        <v>7</v>
      </c>
      <c r="I2205" s="20" t="n">
        <v>207.09</v>
      </c>
      <c r="J2205" s="20" t="n">
        <v>412.87</v>
      </c>
      <c r="K2205" s="18" t="n">
        <v>7</v>
      </c>
      <c r="L2205" s="18" t="n">
        <v>2</v>
      </c>
      <c r="M2205" s="18" t="n">
        <v>170</v>
      </c>
      <c r="N2205" s="18" t="n">
        <v>105</v>
      </c>
      <c r="O2205" s="14" t="s">
        <v>1126</v>
      </c>
      <c r="P2205" s="14" t="s">
        <v>84</v>
      </c>
      <c r="Q2205" s="15" t="s">
        <v>1089</v>
      </c>
      <c r="R2205" s="16" t="s">
        <v>14133</v>
      </c>
      <c r="S2205" s="15" t="s">
        <v>14127</v>
      </c>
      <c r="T2205" s="15" t="s">
        <v>14134</v>
      </c>
      <c r="U2205" s="21" t="s">
        <v>72</v>
      </c>
    </row>
    <row r="2206" customFormat="false" ht="15" hidden="false" customHeight="false" outlineLevel="0" collapsed="false">
      <c r="A2206" s="15" t="s">
        <v>79</v>
      </c>
      <c r="B2206" s="15" t="s">
        <v>607</v>
      </c>
      <c r="C2206" s="14" t="s">
        <v>14135</v>
      </c>
      <c r="D2206" s="14" t="s">
        <v>14136</v>
      </c>
      <c r="E2206" s="16" t="s">
        <v>14137</v>
      </c>
      <c r="F2206" s="16" t="s">
        <v>14138</v>
      </c>
      <c r="G2206" s="25" t="s">
        <v>39</v>
      </c>
      <c r="H2206" s="18" t="n">
        <v>2</v>
      </c>
      <c r="I2206" s="20" t="n">
        <v>83.66</v>
      </c>
      <c r="J2206" s="20" t="n">
        <v>439.23</v>
      </c>
      <c r="K2206" s="18" t="n">
        <v>4</v>
      </c>
      <c r="L2206" s="18"/>
      <c r="M2206" s="18" t="n">
        <v>136</v>
      </c>
      <c r="N2206" s="18" t="n">
        <v>136</v>
      </c>
      <c r="O2206" s="14" t="s">
        <v>1126</v>
      </c>
      <c r="P2206" s="14" t="s">
        <v>84</v>
      </c>
      <c r="Q2206" s="15" t="s">
        <v>1089</v>
      </c>
      <c r="R2206" s="16" t="s">
        <v>14139</v>
      </c>
      <c r="S2206" s="15" t="s">
        <v>14140</v>
      </c>
      <c r="T2206" s="15" t="s">
        <v>14140</v>
      </c>
      <c r="U2206" s="21" t="s">
        <v>72</v>
      </c>
    </row>
    <row r="2207" customFormat="false" ht="39.55" hidden="false" customHeight="false" outlineLevel="0" collapsed="false">
      <c r="A2207" s="15" t="s">
        <v>79</v>
      </c>
      <c r="B2207" s="15" t="s">
        <v>607</v>
      </c>
      <c r="C2207" s="14" t="s">
        <v>14141</v>
      </c>
      <c r="D2207" s="14" t="s">
        <v>14142</v>
      </c>
      <c r="E2207" s="16" t="s">
        <v>14143</v>
      </c>
      <c r="F2207" s="16" t="s">
        <v>14144</v>
      </c>
      <c r="G2207" s="23" t="s">
        <v>43</v>
      </c>
      <c r="H2207" s="18" t="n">
        <v>4</v>
      </c>
      <c r="I2207" s="20" t="n">
        <v>46.64</v>
      </c>
      <c r="J2207" s="20" t="n">
        <v>96.84</v>
      </c>
      <c r="K2207" s="18" t="n">
        <v>8</v>
      </c>
      <c r="L2207" s="18" t="n">
        <v>1</v>
      </c>
      <c r="M2207" s="18" t="n">
        <v>98</v>
      </c>
      <c r="N2207" s="18" t="n">
        <v>68</v>
      </c>
      <c r="O2207" s="14" t="s">
        <v>14145</v>
      </c>
      <c r="P2207" s="14" t="s">
        <v>334</v>
      </c>
      <c r="Q2207" s="15" t="s">
        <v>1089</v>
      </c>
      <c r="R2207" s="16" t="s">
        <v>12644</v>
      </c>
      <c r="S2207" s="15" t="s">
        <v>14146</v>
      </c>
      <c r="T2207" s="15" t="s">
        <v>14146</v>
      </c>
      <c r="U2207" s="21" t="s">
        <v>72</v>
      </c>
    </row>
    <row r="2208" customFormat="false" ht="26.85" hidden="false" customHeight="false" outlineLevel="0" collapsed="false">
      <c r="A2208" s="15" t="s">
        <v>79</v>
      </c>
      <c r="B2208" s="15" t="s">
        <v>607</v>
      </c>
      <c r="C2208" s="14" t="s">
        <v>14147</v>
      </c>
      <c r="D2208" s="14" t="s">
        <v>14148</v>
      </c>
      <c r="E2208" s="16" t="s">
        <v>14149</v>
      </c>
      <c r="F2208" s="16" t="s">
        <v>14150</v>
      </c>
      <c r="G2208" s="19" t="s">
        <v>41</v>
      </c>
      <c r="H2208" s="18" t="n">
        <v>3</v>
      </c>
      <c r="I2208" s="20" t="n">
        <v>94.64</v>
      </c>
      <c r="J2208" s="20" t="n">
        <v>248.52</v>
      </c>
      <c r="K2208" s="18" t="n">
        <v>11</v>
      </c>
      <c r="L2208" s="18" t="n">
        <v>9</v>
      </c>
      <c r="M2208" s="18" t="n">
        <v>140</v>
      </c>
      <c r="N2208" s="18" t="n">
        <v>40</v>
      </c>
      <c r="O2208" s="14" t="s">
        <v>14151</v>
      </c>
      <c r="P2208" s="14" t="s">
        <v>118</v>
      </c>
      <c r="Q2208" s="15" t="s">
        <v>1089</v>
      </c>
      <c r="R2208" s="16" t="s">
        <v>14152</v>
      </c>
      <c r="S2208" s="15" t="s">
        <v>14153</v>
      </c>
      <c r="T2208" s="15" t="s">
        <v>14153</v>
      </c>
      <c r="U2208" s="21" t="s">
        <v>72</v>
      </c>
    </row>
    <row r="2209" customFormat="false" ht="26.85" hidden="false" customHeight="false" outlineLevel="0" collapsed="false">
      <c r="A2209" s="15" t="s">
        <v>79</v>
      </c>
      <c r="B2209" s="15" t="s">
        <v>607</v>
      </c>
      <c r="C2209" s="14" t="s">
        <v>14154</v>
      </c>
      <c r="D2209" s="14" t="s">
        <v>14155</v>
      </c>
      <c r="E2209" s="16" t="s">
        <v>14156</v>
      </c>
      <c r="F2209" s="16" t="s">
        <v>14157</v>
      </c>
      <c r="G2209" s="25" t="s">
        <v>39</v>
      </c>
      <c r="H2209" s="18" t="n">
        <v>5</v>
      </c>
      <c r="I2209" s="20" t="n">
        <v>297.67</v>
      </c>
      <c r="J2209" s="20" t="n">
        <v>815.4</v>
      </c>
      <c r="K2209" s="18" t="n">
        <v>10</v>
      </c>
      <c r="L2209" s="18" t="n">
        <v>8</v>
      </c>
      <c r="M2209" s="18" t="n">
        <v>490</v>
      </c>
      <c r="N2209" s="18" t="n">
        <v>490</v>
      </c>
      <c r="O2209" s="14" t="s">
        <v>14158</v>
      </c>
      <c r="P2209" s="14" t="s">
        <v>84</v>
      </c>
      <c r="Q2209" s="15" t="s">
        <v>1089</v>
      </c>
      <c r="R2209" s="16" t="s">
        <v>14159</v>
      </c>
      <c r="S2209" s="15" t="s">
        <v>14160</v>
      </c>
      <c r="T2209" s="15" t="s">
        <v>14160</v>
      </c>
      <c r="U2209" s="21" t="s">
        <v>72</v>
      </c>
    </row>
    <row r="2210" customFormat="false" ht="15" hidden="false" customHeight="false" outlineLevel="0" collapsed="false">
      <c r="A2210" s="15" t="s">
        <v>79</v>
      </c>
      <c r="B2210" s="15" t="s">
        <v>607</v>
      </c>
      <c r="C2210" s="14" t="s">
        <v>14161</v>
      </c>
      <c r="D2210" s="14" t="s">
        <v>14162</v>
      </c>
      <c r="E2210" s="16" t="s">
        <v>14163</v>
      </c>
      <c r="F2210" s="16" t="s">
        <v>14164</v>
      </c>
      <c r="G2210" s="23" t="s">
        <v>43</v>
      </c>
      <c r="H2210" s="18" t="n">
        <v>3</v>
      </c>
      <c r="I2210" s="20" t="n">
        <v>43.24</v>
      </c>
      <c r="J2210" s="20" t="n">
        <v>86.97</v>
      </c>
      <c r="K2210" s="18" t="n">
        <v>3</v>
      </c>
      <c r="L2210" s="18" t="n">
        <v>2</v>
      </c>
      <c r="M2210" s="18" t="n">
        <v>33</v>
      </c>
      <c r="N2210" s="18" t="n">
        <v>22</v>
      </c>
      <c r="O2210" s="14" t="s">
        <v>1126</v>
      </c>
      <c r="P2210" s="14" t="s">
        <v>84</v>
      </c>
      <c r="Q2210" s="15" t="s">
        <v>1089</v>
      </c>
      <c r="R2210" s="16" t="s">
        <v>14165</v>
      </c>
      <c r="S2210" s="15" t="s">
        <v>14166</v>
      </c>
      <c r="T2210" s="15" t="s">
        <v>14166</v>
      </c>
      <c r="U2210" s="21" t="s">
        <v>72</v>
      </c>
    </row>
    <row r="2211" customFormat="false" ht="15" hidden="false" customHeight="false" outlineLevel="0" collapsed="false">
      <c r="A2211" s="15" t="s">
        <v>79</v>
      </c>
      <c r="B2211" s="15" t="s">
        <v>607</v>
      </c>
      <c r="C2211" s="14" t="s">
        <v>14167</v>
      </c>
      <c r="D2211" s="14" t="s">
        <v>14168</v>
      </c>
      <c r="E2211" s="16" t="s">
        <v>14169</v>
      </c>
      <c r="F2211" s="16" t="s">
        <v>14170</v>
      </c>
      <c r="G2211" s="23" t="s">
        <v>43</v>
      </c>
      <c r="H2211" s="18" t="n">
        <v>4</v>
      </c>
      <c r="I2211" s="20" t="n">
        <v>68.42</v>
      </c>
      <c r="J2211" s="20" t="n">
        <v>194.04</v>
      </c>
      <c r="K2211" s="18" t="n">
        <v>26</v>
      </c>
      <c r="L2211" s="18" t="n">
        <v>5</v>
      </c>
      <c r="M2211" s="18" t="n">
        <v>361</v>
      </c>
      <c r="N2211" s="18" t="n">
        <v>75</v>
      </c>
      <c r="O2211" s="14" t="s">
        <v>5962</v>
      </c>
      <c r="P2211" s="14" t="s">
        <v>118</v>
      </c>
      <c r="Q2211" s="15" t="s">
        <v>1089</v>
      </c>
      <c r="R2211" s="16" t="s">
        <v>14171</v>
      </c>
      <c r="S2211" s="15" t="s">
        <v>14172</v>
      </c>
      <c r="T2211" s="15" t="s">
        <v>14172</v>
      </c>
      <c r="U2211" s="21" t="s">
        <v>72</v>
      </c>
    </row>
    <row r="2212" customFormat="false" ht="15" hidden="false" customHeight="false" outlineLevel="0" collapsed="false">
      <c r="A2212" s="15" t="s">
        <v>79</v>
      </c>
      <c r="B2212" s="15" t="s">
        <v>607</v>
      </c>
      <c r="C2212" s="14" t="s">
        <v>14173</v>
      </c>
      <c r="D2212" s="14" t="s">
        <v>14174</v>
      </c>
      <c r="E2212" s="16" t="s">
        <v>14175</v>
      </c>
      <c r="F2212" s="16" t="s">
        <v>14176</v>
      </c>
      <c r="G2212" s="19" t="s">
        <v>41</v>
      </c>
      <c r="H2212" s="18" t="n">
        <v>4</v>
      </c>
      <c r="I2212" s="20" t="n">
        <v>87.72</v>
      </c>
      <c r="J2212" s="20" t="n">
        <v>348.53</v>
      </c>
      <c r="K2212" s="18" t="n">
        <v>4</v>
      </c>
      <c r="L2212" s="18" t="n">
        <v>5</v>
      </c>
      <c r="M2212" s="18" t="n">
        <v>112</v>
      </c>
      <c r="N2212" s="18" t="n">
        <v>112</v>
      </c>
      <c r="O2212" s="14" t="s">
        <v>10953</v>
      </c>
      <c r="P2212" s="14" t="s">
        <v>118</v>
      </c>
      <c r="Q2212" s="15" t="s">
        <v>1089</v>
      </c>
      <c r="R2212" s="16" t="s">
        <v>14177</v>
      </c>
      <c r="S2212" s="15" t="s">
        <v>14178</v>
      </c>
      <c r="T2212" s="15" t="s">
        <v>14178</v>
      </c>
      <c r="U2212" s="21" t="s">
        <v>72</v>
      </c>
    </row>
    <row r="2213" customFormat="false" ht="26.85" hidden="false" customHeight="false" outlineLevel="0" collapsed="false">
      <c r="A2213" s="15" t="s">
        <v>79</v>
      </c>
      <c r="B2213" s="15" t="s">
        <v>607</v>
      </c>
      <c r="C2213" s="14" t="s">
        <v>14179</v>
      </c>
      <c r="D2213" s="14" t="s">
        <v>14180</v>
      </c>
      <c r="E2213" s="16" t="s">
        <v>13975</v>
      </c>
      <c r="F2213" s="16" t="s">
        <v>13976</v>
      </c>
      <c r="G2213" s="23" t="s">
        <v>43</v>
      </c>
      <c r="H2213" s="18" t="n">
        <v>3</v>
      </c>
      <c r="I2213" s="20" t="n">
        <v>49.3</v>
      </c>
      <c r="J2213" s="20" t="n">
        <v>86.98</v>
      </c>
      <c r="K2213" s="18" t="n">
        <v>6</v>
      </c>
      <c r="L2213" s="18" t="n">
        <v>5</v>
      </c>
      <c r="M2213" s="18" t="n">
        <v>93</v>
      </c>
      <c r="N2213" s="18" t="n">
        <v>93</v>
      </c>
      <c r="O2213" s="14" t="s">
        <v>14181</v>
      </c>
      <c r="P2213" s="14" t="s">
        <v>84</v>
      </c>
      <c r="Q2213" s="15" t="s">
        <v>1089</v>
      </c>
      <c r="R2213" s="16" t="s">
        <v>14182</v>
      </c>
      <c r="S2213" s="15" t="s">
        <v>14183</v>
      </c>
      <c r="T2213" s="15" t="s">
        <v>13978</v>
      </c>
      <c r="U2213" s="21" t="s">
        <v>72</v>
      </c>
    </row>
    <row r="2214" customFormat="false" ht="15" hidden="false" customHeight="false" outlineLevel="0" collapsed="false">
      <c r="A2214" s="15" t="s">
        <v>79</v>
      </c>
      <c r="B2214" s="15" t="s">
        <v>607</v>
      </c>
      <c r="C2214" s="14" t="s">
        <v>14184</v>
      </c>
      <c r="D2214" s="14" t="s">
        <v>14185</v>
      </c>
      <c r="E2214" s="16" t="s">
        <v>14186</v>
      </c>
      <c r="F2214" s="16" t="s">
        <v>14187</v>
      </c>
      <c r="G2214" s="23" t="s">
        <v>43</v>
      </c>
      <c r="H2214" s="18" t="n">
        <v>2</v>
      </c>
      <c r="I2214" s="20" t="n">
        <v>71.3</v>
      </c>
      <c r="J2214" s="20" t="n">
        <v>163.03</v>
      </c>
      <c r="K2214" s="18" t="n">
        <v>2</v>
      </c>
      <c r="L2214" s="18" t="n">
        <v>1</v>
      </c>
      <c r="M2214" s="18" t="n">
        <v>20</v>
      </c>
      <c r="N2214" s="18" t="n">
        <v>20</v>
      </c>
      <c r="O2214" s="14" t="s">
        <v>1126</v>
      </c>
      <c r="P2214" s="14" t="s">
        <v>84</v>
      </c>
      <c r="Q2214" s="15" t="s">
        <v>1089</v>
      </c>
      <c r="R2214" s="16" t="s">
        <v>14188</v>
      </c>
      <c r="S2214" s="15" t="s">
        <v>14189</v>
      </c>
      <c r="T2214" s="15" t="s">
        <v>14189</v>
      </c>
      <c r="U2214" s="21" t="s">
        <v>72</v>
      </c>
    </row>
    <row r="2215" customFormat="false" ht="15" hidden="false" customHeight="false" outlineLevel="0" collapsed="false">
      <c r="A2215" s="15" t="s">
        <v>79</v>
      </c>
      <c r="B2215" s="15" t="s">
        <v>607</v>
      </c>
      <c r="C2215" s="14" t="s">
        <v>14190</v>
      </c>
      <c r="D2215" s="14" t="s">
        <v>14191</v>
      </c>
      <c r="E2215" s="16" t="s">
        <v>14192</v>
      </c>
      <c r="F2215" s="16" t="s">
        <v>14193</v>
      </c>
      <c r="G2215" s="19" t="s">
        <v>41</v>
      </c>
      <c r="H2215" s="18" t="n">
        <v>7</v>
      </c>
      <c r="I2215" s="20" t="n">
        <v>113.34</v>
      </c>
      <c r="J2215" s="20" t="n">
        <v>293.9</v>
      </c>
      <c r="K2215" s="18" t="n">
        <v>28</v>
      </c>
      <c r="L2215" s="18" t="n">
        <v>6</v>
      </c>
      <c r="M2215" s="18" t="n">
        <v>338</v>
      </c>
      <c r="N2215" s="18" t="n">
        <v>79</v>
      </c>
      <c r="O2215" s="14" t="s">
        <v>1126</v>
      </c>
      <c r="P2215" s="14" t="s">
        <v>118</v>
      </c>
      <c r="Q2215" s="15" t="s">
        <v>1089</v>
      </c>
      <c r="R2215" s="16" t="s">
        <v>11594</v>
      </c>
      <c r="S2215" s="15" t="s">
        <v>14194</v>
      </c>
      <c r="T2215" s="15" t="s">
        <v>14194</v>
      </c>
      <c r="U2215" s="21" t="s">
        <v>72</v>
      </c>
    </row>
    <row r="2216" customFormat="false" ht="15" hidden="false" customHeight="false" outlineLevel="0" collapsed="false">
      <c r="A2216" s="15" t="s">
        <v>79</v>
      </c>
      <c r="B2216" s="15" t="s">
        <v>607</v>
      </c>
      <c r="C2216" s="14" t="s">
        <v>14195</v>
      </c>
      <c r="D2216" s="14" t="s">
        <v>14196</v>
      </c>
      <c r="E2216" s="16" t="s">
        <v>14197</v>
      </c>
      <c r="F2216" s="16" t="s">
        <v>14198</v>
      </c>
      <c r="G2216" s="23" t="s">
        <v>43</v>
      </c>
      <c r="H2216" s="18" t="n">
        <v>2</v>
      </c>
      <c r="I2216" s="20" t="n">
        <v>47.51</v>
      </c>
      <c r="J2216" s="20" t="n">
        <v>123.1</v>
      </c>
      <c r="K2216" s="18" t="n">
        <v>16</v>
      </c>
      <c r="L2216" s="18" t="n">
        <v>2</v>
      </c>
      <c r="M2216" s="18" t="n">
        <v>312</v>
      </c>
      <c r="N2216" s="18" t="n">
        <v>90</v>
      </c>
      <c r="O2216" s="14" t="s">
        <v>11356</v>
      </c>
      <c r="P2216" s="14" t="s">
        <v>118</v>
      </c>
      <c r="Q2216" s="15" t="s">
        <v>1089</v>
      </c>
      <c r="R2216" s="16" t="s">
        <v>14199</v>
      </c>
      <c r="S2216" s="15" t="s">
        <v>14200</v>
      </c>
      <c r="T2216" s="15" t="s">
        <v>5174</v>
      </c>
      <c r="U2216" s="21" t="s">
        <v>72</v>
      </c>
    </row>
    <row r="2217" customFormat="false" ht="15" hidden="false" customHeight="false" outlineLevel="0" collapsed="false">
      <c r="A2217" s="15" t="s">
        <v>79</v>
      </c>
      <c r="B2217" s="15" t="s">
        <v>607</v>
      </c>
      <c r="C2217" s="14" t="s">
        <v>14201</v>
      </c>
      <c r="D2217" s="14" t="s">
        <v>14202</v>
      </c>
      <c r="E2217" s="16" t="s">
        <v>14203</v>
      </c>
      <c r="F2217" s="16" t="s">
        <v>12560</v>
      </c>
      <c r="G2217" s="25" t="s">
        <v>39</v>
      </c>
      <c r="H2217" s="18" t="n">
        <v>8</v>
      </c>
      <c r="I2217" s="20" t="n">
        <v>189.28</v>
      </c>
      <c r="J2217" s="20" t="n">
        <v>459.46</v>
      </c>
      <c r="K2217" s="18" t="n">
        <v>8</v>
      </c>
      <c r="L2217" s="18" t="n">
        <v>3</v>
      </c>
      <c r="M2217" s="18" t="n">
        <v>141</v>
      </c>
      <c r="N2217" s="18" t="n">
        <v>113</v>
      </c>
      <c r="O2217" s="14" t="s">
        <v>1126</v>
      </c>
      <c r="P2217" s="14" t="s">
        <v>226</v>
      </c>
      <c r="Q2217" s="15" t="s">
        <v>1089</v>
      </c>
      <c r="R2217" s="16" t="s">
        <v>13165</v>
      </c>
      <c r="S2217" s="15" t="s">
        <v>12562</v>
      </c>
      <c r="T2217" s="15" t="s">
        <v>14204</v>
      </c>
      <c r="U2217" s="21" t="s">
        <v>72</v>
      </c>
    </row>
    <row r="2218" customFormat="false" ht="15" hidden="false" customHeight="false" outlineLevel="0" collapsed="false">
      <c r="A2218" s="15" t="s">
        <v>79</v>
      </c>
      <c r="B2218" s="15" t="s">
        <v>607</v>
      </c>
      <c r="C2218" s="14" t="s">
        <v>14205</v>
      </c>
      <c r="D2218" s="14" t="s">
        <v>14206</v>
      </c>
      <c r="E2218" s="16" t="s">
        <v>14207</v>
      </c>
      <c r="F2218" s="16" t="s">
        <v>14208</v>
      </c>
      <c r="G2218" s="23" t="s">
        <v>43</v>
      </c>
      <c r="H2218" s="18" t="n">
        <v>4</v>
      </c>
      <c r="I2218" s="20" t="n">
        <v>82.78</v>
      </c>
      <c r="J2218" s="20" t="n">
        <v>161.02</v>
      </c>
      <c r="K2218" s="18" t="n">
        <v>5</v>
      </c>
      <c r="L2218" s="18" t="n">
        <v>3</v>
      </c>
      <c r="M2218" s="18" t="n">
        <v>84</v>
      </c>
      <c r="N2218" s="18" t="n">
        <v>84</v>
      </c>
      <c r="O2218" s="14" t="s">
        <v>14209</v>
      </c>
      <c r="P2218" s="14" t="s">
        <v>118</v>
      </c>
      <c r="Q2218" s="15" t="s">
        <v>1089</v>
      </c>
      <c r="R2218" s="16" t="s">
        <v>14210</v>
      </c>
      <c r="S2218" s="15" t="s">
        <v>14211</v>
      </c>
      <c r="T2218" s="15" t="s">
        <v>14211</v>
      </c>
      <c r="U2218" s="21" t="s">
        <v>72</v>
      </c>
    </row>
    <row r="2219" customFormat="false" ht="38.05" hidden="false" customHeight="false" outlineLevel="0" collapsed="false">
      <c r="A2219" s="15" t="s">
        <v>79</v>
      </c>
      <c r="B2219" s="15" t="s">
        <v>607</v>
      </c>
      <c r="C2219" s="14" t="s">
        <v>14212</v>
      </c>
      <c r="D2219" s="14" t="s">
        <v>14213</v>
      </c>
      <c r="E2219" s="16" t="s">
        <v>14214</v>
      </c>
      <c r="F2219" s="16" t="s">
        <v>14215</v>
      </c>
      <c r="G2219" s="25" t="s">
        <v>39</v>
      </c>
      <c r="H2219" s="18" t="n">
        <v>6</v>
      </c>
      <c r="I2219" s="20" t="n">
        <v>180.93</v>
      </c>
      <c r="J2219" s="20" t="n">
        <v>437.49</v>
      </c>
      <c r="K2219" s="18" t="n">
        <v>21</v>
      </c>
      <c r="L2219" s="18" t="n">
        <v>12</v>
      </c>
      <c r="M2219" s="18" t="n">
        <v>546</v>
      </c>
      <c r="N2219" s="18" t="n">
        <v>249</v>
      </c>
      <c r="O2219" s="14" t="s">
        <v>14216</v>
      </c>
      <c r="P2219" s="14" t="s">
        <v>118</v>
      </c>
      <c r="Q2219" s="15" t="s">
        <v>1089</v>
      </c>
      <c r="R2219" s="16" t="s">
        <v>14217</v>
      </c>
      <c r="S2219" s="15" t="s">
        <v>14218</v>
      </c>
      <c r="T2219" s="15" t="s">
        <v>14218</v>
      </c>
      <c r="U2219" s="21" t="s">
        <v>72</v>
      </c>
    </row>
    <row r="2220" customFormat="false" ht="26.85" hidden="false" customHeight="false" outlineLevel="0" collapsed="false">
      <c r="A2220" s="15" t="s">
        <v>79</v>
      </c>
      <c r="B2220" s="15" t="s">
        <v>607</v>
      </c>
      <c r="C2220" s="14" t="s">
        <v>14219</v>
      </c>
      <c r="D2220" s="14" t="s">
        <v>14220</v>
      </c>
      <c r="E2220" s="16" t="s">
        <v>14221</v>
      </c>
      <c r="F2220" s="16" t="s">
        <v>14222</v>
      </c>
      <c r="G2220" s="19" t="s">
        <v>41</v>
      </c>
      <c r="H2220" s="18" t="n">
        <v>6</v>
      </c>
      <c r="I2220" s="20" t="n">
        <v>38.68</v>
      </c>
      <c r="J2220" s="20" t="n">
        <v>149.32</v>
      </c>
      <c r="K2220" s="18" t="n">
        <v>40</v>
      </c>
      <c r="L2220" s="18" t="n">
        <v>6</v>
      </c>
      <c r="M2220" s="18" t="n">
        <v>192</v>
      </c>
      <c r="N2220" s="18" t="n">
        <v>24</v>
      </c>
      <c r="O2220" s="14" t="s">
        <v>14223</v>
      </c>
      <c r="P2220" s="14" t="s">
        <v>872</v>
      </c>
      <c r="Q2220" s="15" t="s">
        <v>1089</v>
      </c>
      <c r="R2220" s="16" t="s">
        <v>14224</v>
      </c>
      <c r="S2220" s="15" t="s">
        <v>14225</v>
      </c>
      <c r="T2220" s="15" t="s">
        <v>14226</v>
      </c>
      <c r="U2220" s="21" t="s">
        <v>72</v>
      </c>
    </row>
    <row r="2221" customFormat="false" ht="15" hidden="false" customHeight="false" outlineLevel="0" collapsed="false">
      <c r="A2221" s="15" t="s">
        <v>79</v>
      </c>
      <c r="B2221" s="15" t="s">
        <v>607</v>
      </c>
      <c r="C2221" s="14" t="s">
        <v>14227</v>
      </c>
      <c r="D2221" s="14" t="s">
        <v>14228</v>
      </c>
      <c r="E2221" s="16" t="s">
        <v>14229</v>
      </c>
      <c r="F2221" s="16" t="s">
        <v>14230</v>
      </c>
      <c r="G2221" s="23" t="s">
        <v>43</v>
      </c>
      <c r="H2221" s="18" t="n">
        <v>3</v>
      </c>
      <c r="I2221" s="20" t="n">
        <v>82</v>
      </c>
      <c r="J2221" s="20" t="n">
        <v>172.57</v>
      </c>
      <c r="K2221" s="18" t="n">
        <v>8</v>
      </c>
      <c r="L2221" s="18" t="n">
        <v>2</v>
      </c>
      <c r="M2221" s="18" t="n">
        <v>234</v>
      </c>
      <c r="N2221" s="18" t="n">
        <v>84</v>
      </c>
      <c r="O2221" s="14" t="s">
        <v>1088</v>
      </c>
      <c r="P2221" s="14" t="s">
        <v>84</v>
      </c>
      <c r="Q2221" s="15" t="s">
        <v>1089</v>
      </c>
      <c r="R2221" s="16" t="s">
        <v>14231</v>
      </c>
      <c r="S2221" s="15" t="s">
        <v>10633</v>
      </c>
      <c r="T2221" s="15" t="s">
        <v>14232</v>
      </c>
      <c r="U2221" s="21" t="s">
        <v>72</v>
      </c>
    </row>
    <row r="2222" customFormat="false" ht="15" hidden="false" customHeight="false" outlineLevel="0" collapsed="false">
      <c r="A2222" s="15" t="s">
        <v>79</v>
      </c>
      <c r="B2222" s="15" t="s">
        <v>511</v>
      </c>
      <c r="C2222" s="14" t="s">
        <v>879</v>
      </c>
      <c r="D2222" s="14" t="s">
        <v>14233</v>
      </c>
      <c r="E2222" s="16" t="s">
        <v>14234</v>
      </c>
      <c r="F2222" s="16" t="s">
        <v>882</v>
      </c>
      <c r="G2222" s="23" t="s">
        <v>43</v>
      </c>
      <c r="H2222" s="18" t="n">
        <v>2</v>
      </c>
      <c r="I2222" s="20" t="n">
        <v>73.6</v>
      </c>
      <c r="J2222" s="20" t="n">
        <v>172.57</v>
      </c>
      <c r="K2222" s="18" t="n">
        <v>2</v>
      </c>
      <c r="L2222" s="18" t="n">
        <v>2</v>
      </c>
      <c r="M2222" s="18" t="n">
        <v>60</v>
      </c>
      <c r="N2222" s="18" t="n">
        <v>60</v>
      </c>
      <c r="O2222" s="14" t="s">
        <v>1126</v>
      </c>
      <c r="P2222" s="14" t="s">
        <v>84</v>
      </c>
      <c r="Q2222" s="15" t="s">
        <v>1089</v>
      </c>
      <c r="R2222" s="16" t="s">
        <v>883</v>
      </c>
      <c r="S2222" s="15" t="s">
        <v>884</v>
      </c>
      <c r="T2222" s="15" t="s">
        <v>885</v>
      </c>
      <c r="U2222" s="21" t="s">
        <v>72</v>
      </c>
    </row>
    <row r="2223" customFormat="false" ht="15" hidden="false" customHeight="false" outlineLevel="0" collapsed="false">
      <c r="A2223" s="15" t="s">
        <v>79</v>
      </c>
      <c r="B2223" s="15" t="s">
        <v>511</v>
      </c>
      <c r="C2223" s="14" t="s">
        <v>861</v>
      </c>
      <c r="D2223" s="14" t="s">
        <v>14235</v>
      </c>
      <c r="E2223" s="16" t="s">
        <v>14236</v>
      </c>
      <c r="F2223" s="16" t="s">
        <v>864</v>
      </c>
      <c r="G2223" s="19" t="s">
        <v>41</v>
      </c>
      <c r="H2223" s="18" t="n">
        <v>7</v>
      </c>
      <c r="I2223" s="20" t="n">
        <v>162.67</v>
      </c>
      <c r="J2223" s="20" t="n">
        <v>283.75</v>
      </c>
      <c r="K2223" s="18" t="n">
        <v>7</v>
      </c>
      <c r="L2223" s="18" t="n">
        <v>6</v>
      </c>
      <c r="M2223" s="18" t="n">
        <v>109</v>
      </c>
      <c r="N2223" s="18" t="n">
        <v>64</v>
      </c>
      <c r="O2223" s="14" t="s">
        <v>1126</v>
      </c>
      <c r="P2223" s="14" t="s">
        <v>84</v>
      </c>
      <c r="Q2223" s="15" t="s">
        <v>1089</v>
      </c>
      <c r="R2223" s="16" t="s">
        <v>865</v>
      </c>
      <c r="S2223" s="15" t="s">
        <v>866</v>
      </c>
      <c r="T2223" s="15" t="s">
        <v>866</v>
      </c>
      <c r="U2223" s="21" t="s">
        <v>72</v>
      </c>
    </row>
    <row r="2224" customFormat="false" ht="15" hidden="false" customHeight="false" outlineLevel="0" collapsed="false">
      <c r="A2224" s="15" t="s">
        <v>79</v>
      </c>
      <c r="B2224" s="15" t="s">
        <v>511</v>
      </c>
      <c r="C2224" s="14" t="s">
        <v>762</v>
      </c>
      <c r="D2224" s="14" t="s">
        <v>14237</v>
      </c>
      <c r="E2224" s="16" t="s">
        <v>14238</v>
      </c>
      <c r="F2224" s="16" t="s">
        <v>765</v>
      </c>
      <c r="G2224" s="23" t="s">
        <v>43</v>
      </c>
      <c r="H2224" s="18" t="n">
        <v>4</v>
      </c>
      <c r="I2224" s="20" t="n">
        <v>63.75</v>
      </c>
      <c r="J2224" s="20" t="n">
        <v>168.2</v>
      </c>
      <c r="K2224" s="18" t="n">
        <v>4</v>
      </c>
      <c r="L2224" s="18" t="n">
        <v>3</v>
      </c>
      <c r="M2224" s="18" t="n">
        <v>120</v>
      </c>
      <c r="N2224" s="18" t="n">
        <v>60</v>
      </c>
      <c r="O2224" s="14" t="s">
        <v>1126</v>
      </c>
      <c r="P2224" s="14" t="s">
        <v>118</v>
      </c>
      <c r="Q2224" s="15" t="s">
        <v>1089</v>
      </c>
      <c r="R2224" s="16" t="s">
        <v>766</v>
      </c>
      <c r="S2224" s="15" t="s">
        <v>767</v>
      </c>
      <c r="T2224" s="15" t="s">
        <v>767</v>
      </c>
      <c r="U2224" s="21" t="s">
        <v>72</v>
      </c>
    </row>
    <row r="2225" customFormat="false" ht="15" hidden="false" customHeight="false" outlineLevel="0" collapsed="false">
      <c r="A2225" s="15" t="s">
        <v>79</v>
      </c>
      <c r="B2225" s="15" t="s">
        <v>511</v>
      </c>
      <c r="C2225" s="14" t="s">
        <v>789</v>
      </c>
      <c r="D2225" s="14" t="s">
        <v>14239</v>
      </c>
      <c r="E2225" s="16" t="s">
        <v>14240</v>
      </c>
      <c r="F2225" s="16" t="s">
        <v>792</v>
      </c>
      <c r="G2225" s="19" t="s">
        <v>41</v>
      </c>
      <c r="H2225" s="18" t="n">
        <v>5</v>
      </c>
      <c r="I2225" s="20" t="n">
        <v>159.78</v>
      </c>
      <c r="J2225" s="20" t="n">
        <v>264.99</v>
      </c>
      <c r="K2225" s="18" t="n">
        <v>7</v>
      </c>
      <c r="L2225" s="18" t="n">
        <v>3</v>
      </c>
      <c r="M2225" s="18" t="n">
        <v>168</v>
      </c>
      <c r="N2225" s="18" t="n">
        <v>120</v>
      </c>
      <c r="O2225" s="14" t="s">
        <v>1126</v>
      </c>
      <c r="P2225" s="14" t="s">
        <v>118</v>
      </c>
      <c r="Q2225" s="15" t="s">
        <v>1089</v>
      </c>
      <c r="R2225" s="16" t="s">
        <v>793</v>
      </c>
      <c r="S2225" s="15" t="s">
        <v>794</v>
      </c>
      <c r="T2225" s="15" t="s">
        <v>794</v>
      </c>
      <c r="U2225" s="21" t="s">
        <v>72</v>
      </c>
    </row>
    <row r="2226" customFormat="false" ht="15" hidden="false" customHeight="false" outlineLevel="0" collapsed="false">
      <c r="A2226" s="15" t="s">
        <v>79</v>
      </c>
      <c r="B2226" s="15" t="s">
        <v>511</v>
      </c>
      <c r="C2226" s="14" t="s">
        <v>734</v>
      </c>
      <c r="D2226" s="14" t="s">
        <v>14241</v>
      </c>
      <c r="E2226" s="16" t="s">
        <v>14242</v>
      </c>
      <c r="F2226" s="16" t="s">
        <v>736</v>
      </c>
      <c r="G2226" s="19" t="s">
        <v>41</v>
      </c>
      <c r="H2226" s="18" t="n">
        <v>6</v>
      </c>
      <c r="I2226" s="20" t="n">
        <v>90.62</v>
      </c>
      <c r="J2226" s="20" t="n">
        <v>155.26</v>
      </c>
      <c r="K2226" s="18" t="n">
        <v>12</v>
      </c>
      <c r="L2226" s="18" t="n">
        <v>1</v>
      </c>
      <c r="M2226" s="18" t="n">
        <v>177</v>
      </c>
      <c r="N2226" s="18" t="n">
        <v>127</v>
      </c>
      <c r="O2226" s="14" t="s">
        <v>14243</v>
      </c>
      <c r="P2226" s="14" t="s">
        <v>118</v>
      </c>
      <c r="Q2226" s="15" t="s">
        <v>1089</v>
      </c>
      <c r="R2226" s="16" t="s">
        <v>737</v>
      </c>
      <c r="S2226" s="15" t="s">
        <v>738</v>
      </c>
      <c r="T2226" s="15" t="s">
        <v>738</v>
      </c>
      <c r="U2226" s="21" t="s">
        <v>72</v>
      </c>
    </row>
    <row r="2227" customFormat="false" ht="15" hidden="false" customHeight="false" outlineLevel="0" collapsed="false">
      <c r="A2227" s="15" t="s">
        <v>79</v>
      </c>
      <c r="B2227" s="15" t="s">
        <v>511</v>
      </c>
      <c r="C2227" s="14" t="s">
        <v>14244</v>
      </c>
      <c r="D2227" s="14" t="s">
        <v>14245</v>
      </c>
      <c r="E2227" s="16" t="s">
        <v>14246</v>
      </c>
      <c r="F2227" s="16" t="s">
        <v>14247</v>
      </c>
      <c r="G2227" s="23" t="s">
        <v>43</v>
      </c>
      <c r="H2227" s="18" t="n">
        <v>3</v>
      </c>
      <c r="I2227" s="20" t="n">
        <v>53.18</v>
      </c>
      <c r="J2227" s="20" t="n">
        <v>165.39</v>
      </c>
      <c r="K2227" s="18" t="n">
        <v>3</v>
      </c>
      <c r="L2227" s="18" t="n">
        <v>2</v>
      </c>
      <c r="M2227" s="18" t="n">
        <v>58</v>
      </c>
      <c r="N2227" s="18" t="n">
        <v>28</v>
      </c>
      <c r="O2227" s="14" t="s">
        <v>1126</v>
      </c>
      <c r="P2227" s="14" t="s">
        <v>118</v>
      </c>
      <c r="Q2227" s="15" t="s">
        <v>1089</v>
      </c>
      <c r="R2227" s="16" t="s">
        <v>14248</v>
      </c>
      <c r="S2227" s="15" t="s">
        <v>14249</v>
      </c>
      <c r="T2227" s="15" t="s">
        <v>14249</v>
      </c>
      <c r="U2227" s="21" t="s">
        <v>72</v>
      </c>
    </row>
    <row r="2228" customFormat="false" ht="15" hidden="false" customHeight="false" outlineLevel="0" collapsed="false">
      <c r="A2228" s="15" t="s">
        <v>79</v>
      </c>
      <c r="B2228" s="15" t="s">
        <v>511</v>
      </c>
      <c r="C2228" s="14" t="s">
        <v>14250</v>
      </c>
      <c r="D2228" s="14" t="s">
        <v>14251</v>
      </c>
      <c r="E2228" s="16" t="s">
        <v>14252</v>
      </c>
      <c r="F2228" s="16" t="s">
        <v>14253</v>
      </c>
      <c r="G2228" s="23" t="s">
        <v>43</v>
      </c>
      <c r="H2228" s="18" t="n">
        <v>3</v>
      </c>
      <c r="I2228" s="20" t="n">
        <v>64.13</v>
      </c>
      <c r="J2228" s="20" t="n">
        <v>143.47</v>
      </c>
      <c r="K2228" s="18" t="n">
        <v>6</v>
      </c>
      <c r="L2228" s="18" t="n">
        <v>2</v>
      </c>
      <c r="M2228" s="18" t="n">
        <v>104</v>
      </c>
      <c r="N2228" s="18" t="n">
        <v>26</v>
      </c>
      <c r="O2228" s="14" t="s">
        <v>1126</v>
      </c>
      <c r="P2228" s="14" t="s">
        <v>334</v>
      </c>
      <c r="Q2228" s="15" t="s">
        <v>1089</v>
      </c>
      <c r="R2228" s="16" t="s">
        <v>14254</v>
      </c>
      <c r="S2228" s="15" t="s">
        <v>14255</v>
      </c>
      <c r="T2228" s="15" t="s">
        <v>14256</v>
      </c>
      <c r="U2228" s="21" t="s">
        <v>72</v>
      </c>
    </row>
    <row r="2229" customFormat="false" ht="15" hidden="false" customHeight="false" outlineLevel="0" collapsed="false">
      <c r="A2229" s="15" t="s">
        <v>79</v>
      </c>
      <c r="B2229" s="15" t="s">
        <v>511</v>
      </c>
      <c r="C2229" s="14" t="s">
        <v>14257</v>
      </c>
      <c r="D2229" s="14" t="s">
        <v>14258</v>
      </c>
      <c r="E2229" s="16" t="s">
        <v>14259</v>
      </c>
      <c r="F2229" s="16" t="s">
        <v>14260</v>
      </c>
      <c r="G2229" s="25" t="s">
        <v>39</v>
      </c>
      <c r="H2229" s="18" t="n">
        <v>8</v>
      </c>
      <c r="I2229" s="20" t="n">
        <v>219.96</v>
      </c>
      <c r="J2229" s="20" t="n">
        <v>394.06</v>
      </c>
      <c r="K2229" s="18" t="n">
        <v>8</v>
      </c>
      <c r="L2229" s="18" t="n">
        <v>3</v>
      </c>
      <c r="M2229" s="18" t="n">
        <v>160</v>
      </c>
      <c r="N2229" s="18" t="n">
        <v>80</v>
      </c>
      <c r="O2229" s="14" t="s">
        <v>3724</v>
      </c>
      <c r="P2229" s="14" t="s">
        <v>118</v>
      </c>
      <c r="Q2229" s="15" t="s">
        <v>1089</v>
      </c>
      <c r="R2229" s="16" t="s">
        <v>14261</v>
      </c>
      <c r="S2229" s="15" t="s">
        <v>14262</v>
      </c>
      <c r="T2229" s="15" t="s">
        <v>14263</v>
      </c>
      <c r="U2229" s="21" t="s">
        <v>72</v>
      </c>
    </row>
    <row r="2230" customFormat="false" ht="26.85" hidden="false" customHeight="false" outlineLevel="0" collapsed="false">
      <c r="A2230" s="15" t="s">
        <v>79</v>
      </c>
      <c r="B2230" s="15" t="s">
        <v>511</v>
      </c>
      <c r="C2230" s="14" t="s">
        <v>520</v>
      </c>
      <c r="D2230" s="14" t="s">
        <v>14264</v>
      </c>
      <c r="E2230" s="16" t="s">
        <v>14265</v>
      </c>
      <c r="F2230" s="16" t="s">
        <v>523</v>
      </c>
      <c r="G2230" s="19" t="s">
        <v>41</v>
      </c>
      <c r="H2230" s="18" t="n">
        <v>5</v>
      </c>
      <c r="I2230" s="20" t="n">
        <v>151.04</v>
      </c>
      <c r="J2230" s="20" t="n">
        <v>264.21</v>
      </c>
      <c r="K2230" s="18" t="n">
        <v>10</v>
      </c>
      <c r="L2230" s="18" t="n">
        <v>3</v>
      </c>
      <c r="M2230" s="18" t="n">
        <v>240</v>
      </c>
      <c r="N2230" s="18" t="n">
        <v>148</v>
      </c>
      <c r="O2230" s="14" t="s">
        <v>10073</v>
      </c>
      <c r="P2230" s="14" t="s">
        <v>118</v>
      </c>
      <c r="Q2230" s="15" t="s">
        <v>1089</v>
      </c>
      <c r="R2230" s="16" t="s">
        <v>524</v>
      </c>
      <c r="S2230" s="15" t="s">
        <v>525</v>
      </c>
      <c r="T2230" s="15" t="s">
        <v>526</v>
      </c>
      <c r="U2230" s="21" t="s">
        <v>72</v>
      </c>
    </row>
    <row r="2231" customFormat="false" ht="15" hidden="false" customHeight="false" outlineLevel="0" collapsed="false">
      <c r="A2231" s="15" t="s">
        <v>79</v>
      </c>
      <c r="B2231" s="15" t="s">
        <v>511</v>
      </c>
      <c r="C2231" s="14" t="s">
        <v>798</v>
      </c>
      <c r="D2231" s="14" t="s">
        <v>14266</v>
      </c>
      <c r="E2231" s="16" t="s">
        <v>14267</v>
      </c>
      <c r="F2231" s="16" t="s">
        <v>801</v>
      </c>
      <c r="G2231" s="23" t="s">
        <v>43</v>
      </c>
      <c r="H2231" s="18" t="n">
        <v>1</v>
      </c>
      <c r="I2231" s="20" t="n">
        <v>35.37</v>
      </c>
      <c r="J2231" s="20" t="n">
        <v>74.47</v>
      </c>
      <c r="K2231" s="18" t="n">
        <v>4</v>
      </c>
      <c r="L2231" s="18" t="n">
        <v>5</v>
      </c>
      <c r="M2231" s="18" t="n">
        <v>80</v>
      </c>
      <c r="N2231" s="18" t="n">
        <v>40</v>
      </c>
      <c r="O2231" s="14" t="s">
        <v>1126</v>
      </c>
      <c r="P2231" s="14" t="s">
        <v>118</v>
      </c>
      <c r="Q2231" s="15" t="s">
        <v>1089</v>
      </c>
      <c r="R2231" s="16" t="s">
        <v>802</v>
      </c>
      <c r="S2231" s="15" t="s">
        <v>803</v>
      </c>
      <c r="T2231" s="15" t="s">
        <v>803</v>
      </c>
      <c r="U2231" s="21" t="s">
        <v>72</v>
      </c>
    </row>
    <row r="2232" customFormat="false" ht="15" hidden="false" customHeight="false" outlineLevel="0" collapsed="false">
      <c r="A2232" s="15" t="s">
        <v>79</v>
      </c>
      <c r="B2232" s="15" t="s">
        <v>511</v>
      </c>
      <c r="C2232" s="14" t="s">
        <v>510</v>
      </c>
      <c r="D2232" s="14" t="s">
        <v>14268</v>
      </c>
      <c r="E2232" s="16" t="s">
        <v>14269</v>
      </c>
      <c r="F2232" s="16" t="s">
        <v>514</v>
      </c>
      <c r="G2232" s="19" t="s">
        <v>41</v>
      </c>
      <c r="H2232" s="18" t="n">
        <v>1</v>
      </c>
      <c r="I2232" s="20" t="n">
        <v>35.02</v>
      </c>
      <c r="J2232" s="20" t="n">
        <v>260.01</v>
      </c>
      <c r="K2232" s="18" t="n">
        <v>4</v>
      </c>
      <c r="L2232" s="18" t="n">
        <v>1</v>
      </c>
      <c r="M2232" s="18" t="n">
        <v>96</v>
      </c>
      <c r="N2232" s="18" t="n">
        <v>24</v>
      </c>
      <c r="O2232" s="14" t="s">
        <v>1126</v>
      </c>
      <c r="P2232" s="14" t="s">
        <v>515</v>
      </c>
      <c r="Q2232" s="15" t="s">
        <v>1089</v>
      </c>
      <c r="R2232" s="16" t="s">
        <v>516</v>
      </c>
      <c r="S2232" s="15" t="s">
        <v>517</v>
      </c>
      <c r="T2232" s="15" t="s">
        <v>518</v>
      </c>
      <c r="U2232" s="21" t="s">
        <v>72</v>
      </c>
    </row>
    <row r="2233" customFormat="false" ht="15" hidden="false" customHeight="false" outlineLevel="0" collapsed="false">
      <c r="A2233" s="15" t="s">
        <v>79</v>
      </c>
      <c r="B2233" s="15" t="s">
        <v>511</v>
      </c>
      <c r="C2233" s="14" t="s">
        <v>14270</v>
      </c>
      <c r="D2233" s="14" t="s">
        <v>14271</v>
      </c>
      <c r="E2233" s="16" t="s">
        <v>14272</v>
      </c>
      <c r="F2233" s="16" t="s">
        <v>14273</v>
      </c>
      <c r="G2233" s="23" t="s">
        <v>43</v>
      </c>
      <c r="H2233" s="18" t="n">
        <v>4</v>
      </c>
      <c r="I2233" s="20" t="n">
        <v>66.48</v>
      </c>
      <c r="J2233" s="20" t="n">
        <v>163.93</v>
      </c>
      <c r="K2233" s="18" t="n">
        <v>4</v>
      </c>
      <c r="L2233" s="18" t="n">
        <v>3</v>
      </c>
      <c r="M2233" s="18" t="n">
        <v>36</v>
      </c>
      <c r="N2233" s="18" t="n">
        <v>10</v>
      </c>
      <c r="O2233" s="14" t="s">
        <v>1126</v>
      </c>
      <c r="P2233" s="14" t="s">
        <v>202</v>
      </c>
      <c r="Q2233" s="15" t="s">
        <v>1089</v>
      </c>
      <c r="R2233" s="16" t="s">
        <v>14274</v>
      </c>
      <c r="S2233" s="15" t="s">
        <v>14275</v>
      </c>
      <c r="T2233" s="15" t="s">
        <v>14276</v>
      </c>
      <c r="U2233" s="21" t="s">
        <v>72</v>
      </c>
    </row>
    <row r="2234" customFormat="false" ht="15" hidden="false" customHeight="false" outlineLevel="0" collapsed="false">
      <c r="A2234" s="15" t="s">
        <v>79</v>
      </c>
      <c r="B2234" s="15" t="s">
        <v>511</v>
      </c>
      <c r="C2234" s="14" t="s">
        <v>14277</v>
      </c>
      <c r="D2234" s="14" t="s">
        <v>14278</v>
      </c>
      <c r="E2234" s="16" t="s">
        <v>14279</v>
      </c>
      <c r="F2234" s="16" t="s">
        <v>14280</v>
      </c>
      <c r="G2234" s="23" t="s">
        <v>43</v>
      </c>
      <c r="H2234" s="18" t="n">
        <v>1</v>
      </c>
      <c r="I2234" s="20" t="n">
        <v>45.57</v>
      </c>
      <c r="J2234" s="20" t="n">
        <v>122.2</v>
      </c>
      <c r="K2234" s="18" t="n">
        <v>6</v>
      </c>
      <c r="L2234" s="18" t="n">
        <v>4</v>
      </c>
      <c r="M2234" s="18" t="n">
        <v>222</v>
      </c>
      <c r="N2234" s="18" t="n">
        <v>111</v>
      </c>
      <c r="O2234" s="14" t="s">
        <v>1126</v>
      </c>
      <c r="P2234" s="14" t="s">
        <v>118</v>
      </c>
      <c r="Q2234" s="15" t="s">
        <v>1089</v>
      </c>
      <c r="R2234" s="16" t="s">
        <v>14281</v>
      </c>
      <c r="S2234" s="15" t="s">
        <v>14282</v>
      </c>
      <c r="T2234" s="15" t="s">
        <v>14283</v>
      </c>
      <c r="U2234" s="21" t="s">
        <v>72</v>
      </c>
    </row>
    <row r="2235" customFormat="false" ht="15" hidden="false" customHeight="false" outlineLevel="0" collapsed="false">
      <c r="A2235" s="15" t="s">
        <v>79</v>
      </c>
      <c r="B2235" s="15" t="s">
        <v>511</v>
      </c>
      <c r="C2235" s="14" t="s">
        <v>14284</v>
      </c>
      <c r="D2235" s="14" t="s">
        <v>14285</v>
      </c>
      <c r="E2235" s="16" t="s">
        <v>14286</v>
      </c>
      <c r="F2235" s="16" t="s">
        <v>14287</v>
      </c>
      <c r="G2235" s="23" t="s">
        <v>43</v>
      </c>
      <c r="H2235" s="18" t="n">
        <v>1</v>
      </c>
      <c r="I2235" s="20" t="n">
        <v>63.91</v>
      </c>
      <c r="J2235" s="20" t="n">
        <v>151.41</v>
      </c>
      <c r="K2235" s="18" t="n">
        <v>4</v>
      </c>
      <c r="L2235" s="18" t="n">
        <v>2</v>
      </c>
      <c r="M2235" s="18" t="n">
        <v>212</v>
      </c>
      <c r="N2235" s="18" t="n">
        <v>106</v>
      </c>
      <c r="O2235" s="14" t="s">
        <v>1088</v>
      </c>
      <c r="P2235" s="14" t="s">
        <v>118</v>
      </c>
      <c r="Q2235" s="15" t="s">
        <v>1089</v>
      </c>
      <c r="R2235" s="16" t="s">
        <v>12617</v>
      </c>
      <c r="S2235" s="15" t="s">
        <v>14288</v>
      </c>
      <c r="T2235" s="15" t="s">
        <v>14288</v>
      </c>
      <c r="U2235" s="21" t="s">
        <v>72</v>
      </c>
    </row>
    <row r="2236" customFormat="false" ht="15" hidden="false" customHeight="false" outlineLevel="0" collapsed="false">
      <c r="A2236" s="15" t="s">
        <v>79</v>
      </c>
      <c r="B2236" s="15" t="s">
        <v>511</v>
      </c>
      <c r="C2236" s="14" t="s">
        <v>14289</v>
      </c>
      <c r="D2236" s="14" t="s">
        <v>14290</v>
      </c>
      <c r="E2236" s="16" t="s">
        <v>14291</v>
      </c>
      <c r="F2236" s="16" t="s">
        <v>14292</v>
      </c>
      <c r="G2236" s="19" t="s">
        <v>41</v>
      </c>
      <c r="H2236" s="18" t="n">
        <v>4</v>
      </c>
      <c r="I2236" s="20" t="n">
        <v>121.42</v>
      </c>
      <c r="J2236" s="20" t="n">
        <v>208.96</v>
      </c>
      <c r="K2236" s="18" t="n">
        <v>8</v>
      </c>
      <c r="L2236" s="18" t="n">
        <v>7</v>
      </c>
      <c r="M2236" s="18" t="n">
        <v>219</v>
      </c>
      <c r="N2236" s="18" t="n">
        <v>136</v>
      </c>
      <c r="O2236" s="14" t="s">
        <v>10227</v>
      </c>
      <c r="P2236" s="14" t="s">
        <v>118</v>
      </c>
      <c r="Q2236" s="15" t="s">
        <v>1089</v>
      </c>
      <c r="R2236" s="16" t="s">
        <v>10036</v>
      </c>
      <c r="S2236" s="15" t="s">
        <v>14293</v>
      </c>
      <c r="T2236" s="15" t="s">
        <v>14294</v>
      </c>
      <c r="U2236" s="21" t="s">
        <v>72</v>
      </c>
    </row>
    <row r="2237" customFormat="false" ht="15" hidden="false" customHeight="false" outlineLevel="0" collapsed="false">
      <c r="A2237" s="15" t="s">
        <v>79</v>
      </c>
      <c r="B2237" s="15" t="s">
        <v>511</v>
      </c>
      <c r="C2237" s="14" t="s">
        <v>14295</v>
      </c>
      <c r="D2237" s="14" t="s">
        <v>14296</v>
      </c>
      <c r="E2237" s="16" t="s">
        <v>14297</v>
      </c>
      <c r="F2237" s="16" t="s">
        <v>14298</v>
      </c>
      <c r="G2237" s="23" t="s">
        <v>43</v>
      </c>
      <c r="H2237" s="18" t="n">
        <v>4</v>
      </c>
      <c r="I2237" s="20" t="n">
        <v>60.9</v>
      </c>
      <c r="J2237" s="20" t="n">
        <v>199.58</v>
      </c>
      <c r="K2237" s="18" t="n">
        <v>4</v>
      </c>
      <c r="L2237" s="18" t="n">
        <v>1</v>
      </c>
      <c r="M2237" s="18" t="n">
        <v>50</v>
      </c>
      <c r="N2237" s="18" t="n">
        <v>28</v>
      </c>
      <c r="O2237" s="14" t="s">
        <v>1126</v>
      </c>
      <c r="P2237" s="14" t="s">
        <v>118</v>
      </c>
      <c r="Q2237" s="15" t="s">
        <v>1089</v>
      </c>
      <c r="R2237" s="16" t="s">
        <v>14299</v>
      </c>
      <c r="S2237" s="15" t="s">
        <v>14300</v>
      </c>
      <c r="T2237" s="15" t="s">
        <v>14301</v>
      </c>
      <c r="U2237" s="21" t="s">
        <v>72</v>
      </c>
    </row>
    <row r="2238" customFormat="false" ht="15" hidden="false" customHeight="false" outlineLevel="0" collapsed="false">
      <c r="A2238" s="15" t="s">
        <v>79</v>
      </c>
      <c r="B2238" s="15" t="s">
        <v>511</v>
      </c>
      <c r="C2238" s="14" t="s">
        <v>14302</v>
      </c>
      <c r="D2238" s="14" t="s">
        <v>14303</v>
      </c>
      <c r="E2238" s="16" t="s">
        <v>14304</v>
      </c>
      <c r="F2238" s="16" t="s">
        <v>14305</v>
      </c>
      <c r="G2238" s="23" t="s">
        <v>43</v>
      </c>
      <c r="H2238" s="18" t="n">
        <v>4</v>
      </c>
      <c r="I2238" s="20" t="n">
        <v>59.27</v>
      </c>
      <c r="J2238" s="20" t="n">
        <v>155.26</v>
      </c>
      <c r="K2238" s="18" t="n">
        <v>4</v>
      </c>
      <c r="L2238" s="18" t="n">
        <v>5</v>
      </c>
      <c r="M2238" s="18" t="n">
        <v>74</v>
      </c>
      <c r="N2238" s="18" t="n">
        <v>14</v>
      </c>
      <c r="O2238" s="14" t="s">
        <v>1126</v>
      </c>
      <c r="P2238" s="14" t="s">
        <v>118</v>
      </c>
      <c r="Q2238" s="15" t="s">
        <v>1089</v>
      </c>
      <c r="R2238" s="16" t="s">
        <v>14306</v>
      </c>
      <c r="S2238" s="15" t="s">
        <v>14293</v>
      </c>
      <c r="T2238" s="15" t="s">
        <v>14293</v>
      </c>
      <c r="U2238" s="21" t="s">
        <v>72</v>
      </c>
    </row>
    <row r="2239" customFormat="false" ht="15" hidden="false" customHeight="false" outlineLevel="0" collapsed="false">
      <c r="A2239" s="15" t="s">
        <v>79</v>
      </c>
      <c r="B2239" s="15" t="s">
        <v>288</v>
      </c>
      <c r="C2239" s="14" t="s">
        <v>14307</v>
      </c>
      <c r="D2239" s="14" t="s">
        <v>14308</v>
      </c>
      <c r="E2239" s="16" t="s">
        <v>14309</v>
      </c>
      <c r="F2239" s="16" t="s">
        <v>14310</v>
      </c>
      <c r="G2239" s="23" t="s">
        <v>43</v>
      </c>
      <c r="H2239" s="18" t="n">
        <v>3</v>
      </c>
      <c r="I2239" s="20" t="n">
        <v>66.93</v>
      </c>
      <c r="J2239" s="20" t="n">
        <v>142.33</v>
      </c>
      <c r="K2239" s="18" t="n">
        <v>3</v>
      </c>
      <c r="L2239" s="18" t="n">
        <v>2</v>
      </c>
      <c r="M2239" s="18" t="n">
        <v>54</v>
      </c>
      <c r="N2239" s="18" t="n">
        <v>54</v>
      </c>
      <c r="O2239" s="14" t="s">
        <v>1088</v>
      </c>
      <c r="P2239" s="14" t="s">
        <v>84</v>
      </c>
      <c r="Q2239" s="15" t="s">
        <v>1089</v>
      </c>
      <c r="R2239" s="16" t="s">
        <v>14311</v>
      </c>
      <c r="S2239" s="15" t="s">
        <v>14312</v>
      </c>
      <c r="T2239" s="15" t="s">
        <v>14313</v>
      </c>
      <c r="U2239" s="21" t="s">
        <v>72</v>
      </c>
    </row>
    <row r="2240" customFormat="false" ht="15" hidden="false" customHeight="false" outlineLevel="0" collapsed="false">
      <c r="A2240" s="15" t="s">
        <v>79</v>
      </c>
      <c r="B2240" s="15" t="s">
        <v>288</v>
      </c>
      <c r="C2240" s="14" t="s">
        <v>14314</v>
      </c>
      <c r="D2240" s="14" t="s">
        <v>14315</v>
      </c>
      <c r="E2240" s="16" t="s">
        <v>14316</v>
      </c>
      <c r="F2240" s="16" t="s">
        <v>14317</v>
      </c>
      <c r="G2240" s="23" t="s">
        <v>43</v>
      </c>
      <c r="H2240" s="18" t="n">
        <v>3</v>
      </c>
      <c r="I2240" s="20" t="n">
        <v>50.52</v>
      </c>
      <c r="J2240" s="20" t="n">
        <v>90</v>
      </c>
      <c r="K2240" s="18" t="n">
        <v>3</v>
      </c>
      <c r="L2240" s="18" t="n">
        <v>2</v>
      </c>
      <c r="M2240" s="18" t="n">
        <v>42</v>
      </c>
      <c r="N2240" s="18" t="n">
        <v>14</v>
      </c>
      <c r="O2240" s="14" t="s">
        <v>1126</v>
      </c>
      <c r="P2240" s="14" t="s">
        <v>118</v>
      </c>
      <c r="Q2240" s="15" t="s">
        <v>1089</v>
      </c>
      <c r="R2240" s="16" t="s">
        <v>14318</v>
      </c>
      <c r="S2240" s="15" t="s">
        <v>14319</v>
      </c>
      <c r="T2240" s="15" t="s">
        <v>14320</v>
      </c>
      <c r="U2240" s="21" t="s">
        <v>72</v>
      </c>
    </row>
    <row r="2241" customFormat="false" ht="15" hidden="false" customHeight="false" outlineLevel="0" collapsed="false">
      <c r="A2241" s="15" t="s">
        <v>79</v>
      </c>
      <c r="B2241" s="15" t="s">
        <v>288</v>
      </c>
      <c r="C2241" s="14" t="s">
        <v>14321</v>
      </c>
      <c r="D2241" s="14" t="s">
        <v>14322</v>
      </c>
      <c r="E2241" s="16" t="s">
        <v>14323</v>
      </c>
      <c r="F2241" s="16" t="s">
        <v>14324</v>
      </c>
      <c r="G2241" s="23" t="s">
        <v>43</v>
      </c>
      <c r="H2241" s="18" t="n">
        <v>2</v>
      </c>
      <c r="I2241" s="20" t="n">
        <v>38.3</v>
      </c>
      <c r="J2241" s="20" t="n">
        <v>71.21</v>
      </c>
      <c r="K2241" s="18" t="n">
        <v>4</v>
      </c>
      <c r="L2241" s="18" t="n">
        <v>2</v>
      </c>
      <c r="M2241" s="18" t="n">
        <v>40</v>
      </c>
      <c r="N2241" s="18" t="n">
        <v>20</v>
      </c>
      <c r="O2241" s="14" t="s">
        <v>10672</v>
      </c>
      <c r="P2241" s="14" t="s">
        <v>118</v>
      </c>
      <c r="Q2241" s="15" t="s">
        <v>1089</v>
      </c>
      <c r="R2241" s="16" t="s">
        <v>10252</v>
      </c>
      <c r="S2241" s="15" t="s">
        <v>14325</v>
      </c>
      <c r="T2241" s="15" t="s">
        <v>14325</v>
      </c>
      <c r="U2241" s="21" t="s">
        <v>72</v>
      </c>
    </row>
    <row r="2242" customFormat="false" ht="15" hidden="false" customHeight="false" outlineLevel="0" collapsed="false">
      <c r="A2242" s="15" t="s">
        <v>79</v>
      </c>
      <c r="B2242" s="15" t="s">
        <v>288</v>
      </c>
      <c r="C2242" s="14" t="s">
        <v>14326</v>
      </c>
      <c r="D2242" s="14" t="s">
        <v>14327</v>
      </c>
      <c r="E2242" s="16" t="s">
        <v>14328</v>
      </c>
      <c r="F2242" s="16" t="s">
        <v>14329</v>
      </c>
      <c r="G2242" s="19" t="s">
        <v>41</v>
      </c>
      <c r="H2242" s="18" t="n">
        <v>2</v>
      </c>
      <c r="I2242" s="20" t="n">
        <v>64.63</v>
      </c>
      <c r="J2242" s="20" t="n">
        <v>223.19</v>
      </c>
      <c r="K2242" s="18" t="n">
        <v>4</v>
      </c>
      <c r="L2242" s="18" t="n">
        <v>3</v>
      </c>
      <c r="M2242" s="18" t="n">
        <v>106</v>
      </c>
      <c r="N2242" s="18" t="n">
        <v>35</v>
      </c>
      <c r="O2242" s="14" t="s">
        <v>1126</v>
      </c>
      <c r="P2242" s="14" t="s">
        <v>118</v>
      </c>
      <c r="Q2242" s="15" t="s">
        <v>1089</v>
      </c>
      <c r="R2242" s="16" t="s">
        <v>14330</v>
      </c>
      <c r="S2242" s="15" t="s">
        <v>5192</v>
      </c>
      <c r="T2242" s="15" t="s">
        <v>14331</v>
      </c>
      <c r="U2242" s="21" t="s">
        <v>72</v>
      </c>
    </row>
    <row r="2243" customFormat="false" ht="15" hidden="false" customHeight="false" outlineLevel="0" collapsed="false">
      <c r="A2243" s="15" t="s">
        <v>79</v>
      </c>
      <c r="B2243" s="15" t="s">
        <v>288</v>
      </c>
      <c r="C2243" s="14" t="s">
        <v>14332</v>
      </c>
      <c r="D2243" s="14" t="s">
        <v>14333</v>
      </c>
      <c r="E2243" s="16" t="s">
        <v>14334</v>
      </c>
      <c r="F2243" s="16"/>
      <c r="G2243" s="23" t="s">
        <v>43</v>
      </c>
      <c r="H2243" s="18" t="n">
        <v>3</v>
      </c>
      <c r="I2243" s="20" t="n">
        <v>61.26</v>
      </c>
      <c r="J2243" s="20" t="n">
        <v>105.66</v>
      </c>
      <c r="K2243" s="18" t="n">
        <v>1</v>
      </c>
      <c r="L2243" s="18" t="n">
        <v>1</v>
      </c>
      <c r="M2243" s="18" t="n">
        <v>15</v>
      </c>
      <c r="N2243" s="18" t="n">
        <v>15</v>
      </c>
      <c r="O2243" s="14" t="s">
        <v>1126</v>
      </c>
      <c r="P2243" s="14" t="s">
        <v>84</v>
      </c>
      <c r="Q2243" s="15" t="s">
        <v>1089</v>
      </c>
      <c r="R2243" s="16" t="s">
        <v>14335</v>
      </c>
      <c r="S2243" s="15" t="s">
        <v>14336</v>
      </c>
      <c r="T2243" s="15" t="s">
        <v>14336</v>
      </c>
      <c r="U2243" s="21" t="s">
        <v>72</v>
      </c>
    </row>
    <row r="2244" customFormat="false" ht="15" hidden="false" customHeight="false" outlineLevel="0" collapsed="false">
      <c r="A2244" s="15" t="s">
        <v>79</v>
      </c>
      <c r="B2244" s="15" t="s">
        <v>288</v>
      </c>
      <c r="C2244" s="14" t="s">
        <v>14337</v>
      </c>
      <c r="D2244" s="14" t="s">
        <v>14338</v>
      </c>
      <c r="E2244" s="16" t="s">
        <v>14339</v>
      </c>
      <c r="F2244" s="16" t="s">
        <v>14340</v>
      </c>
      <c r="G2244" s="19" t="s">
        <v>41</v>
      </c>
      <c r="H2244" s="18" t="n">
        <v>5</v>
      </c>
      <c r="I2244" s="20" t="n">
        <v>83.89</v>
      </c>
      <c r="J2244" s="20" t="n">
        <v>170.62</v>
      </c>
      <c r="K2244" s="18" t="n">
        <v>5</v>
      </c>
      <c r="L2244" s="18" t="n">
        <v>2</v>
      </c>
      <c r="M2244" s="18" t="n">
        <v>60</v>
      </c>
      <c r="N2244" s="18" t="n">
        <v>36</v>
      </c>
      <c r="O2244" s="14" t="s">
        <v>1126</v>
      </c>
      <c r="P2244" s="14" t="s">
        <v>226</v>
      </c>
      <c r="Q2244" s="15" t="s">
        <v>1089</v>
      </c>
      <c r="R2244" s="16" t="s">
        <v>14341</v>
      </c>
      <c r="S2244" s="15" t="s">
        <v>14342</v>
      </c>
      <c r="T2244" s="15" t="s">
        <v>14343</v>
      </c>
      <c r="U2244" s="21" t="s">
        <v>72</v>
      </c>
    </row>
    <row r="2245" customFormat="false" ht="15" hidden="false" customHeight="false" outlineLevel="0" collapsed="false">
      <c r="A2245" s="15" t="s">
        <v>79</v>
      </c>
      <c r="B2245" s="15" t="s">
        <v>288</v>
      </c>
      <c r="C2245" s="14" t="s">
        <v>14344</v>
      </c>
      <c r="D2245" s="14" t="s">
        <v>14345</v>
      </c>
      <c r="E2245" s="16" t="s">
        <v>14346</v>
      </c>
      <c r="F2245" s="16" t="s">
        <v>14347</v>
      </c>
      <c r="G2245" s="19" t="s">
        <v>41</v>
      </c>
      <c r="H2245" s="18" t="n">
        <v>3</v>
      </c>
      <c r="I2245" s="20" t="n">
        <v>49.21</v>
      </c>
      <c r="J2245" s="20" t="n">
        <v>210.81</v>
      </c>
      <c r="K2245" s="18" t="n">
        <v>2</v>
      </c>
      <c r="L2245" s="18" t="n">
        <v>3</v>
      </c>
      <c r="M2245" s="18" t="n">
        <v>82</v>
      </c>
      <c r="N2245" s="18" t="n">
        <v>82</v>
      </c>
      <c r="O2245" s="14" t="s">
        <v>1088</v>
      </c>
      <c r="P2245" s="14" t="s">
        <v>84</v>
      </c>
      <c r="Q2245" s="15" t="s">
        <v>1089</v>
      </c>
      <c r="R2245" s="16" t="s">
        <v>5275</v>
      </c>
      <c r="S2245" s="15" t="s">
        <v>14348</v>
      </c>
      <c r="T2245" s="15" t="s">
        <v>14348</v>
      </c>
      <c r="U2245" s="21" t="s">
        <v>72</v>
      </c>
    </row>
    <row r="2246" customFormat="false" ht="26.85" hidden="false" customHeight="false" outlineLevel="0" collapsed="false">
      <c r="A2246" s="15" t="s">
        <v>79</v>
      </c>
      <c r="B2246" s="15" t="s">
        <v>288</v>
      </c>
      <c r="C2246" s="14" t="s">
        <v>14349</v>
      </c>
      <c r="D2246" s="14" t="s">
        <v>14350</v>
      </c>
      <c r="E2246" s="16" t="s">
        <v>14351</v>
      </c>
      <c r="F2246" s="16" t="s">
        <v>14352</v>
      </c>
      <c r="G2246" s="19" t="s">
        <v>41</v>
      </c>
      <c r="H2246" s="18" t="n">
        <v>5</v>
      </c>
      <c r="I2246" s="20" t="n">
        <v>76.18</v>
      </c>
      <c r="J2246" s="20" t="n">
        <v>165.42</v>
      </c>
      <c r="K2246" s="18" t="n">
        <v>13</v>
      </c>
      <c r="L2246" s="18" t="n">
        <v>2</v>
      </c>
      <c r="M2246" s="18" t="n">
        <v>147</v>
      </c>
      <c r="N2246" s="18" t="n">
        <v>74</v>
      </c>
      <c r="O2246" s="14" t="s">
        <v>14353</v>
      </c>
      <c r="P2246" s="14" t="s">
        <v>118</v>
      </c>
      <c r="Q2246" s="15" t="s">
        <v>1089</v>
      </c>
      <c r="R2246" s="16" t="s">
        <v>14354</v>
      </c>
      <c r="S2246" s="15" t="s">
        <v>14355</v>
      </c>
      <c r="T2246" s="15" t="s">
        <v>14356</v>
      </c>
      <c r="U2246" s="21" t="s">
        <v>72</v>
      </c>
    </row>
    <row r="2247" customFormat="false" ht="15" hidden="false" customHeight="false" outlineLevel="0" collapsed="false">
      <c r="A2247" s="15" t="s">
        <v>79</v>
      </c>
      <c r="B2247" s="15" t="s">
        <v>288</v>
      </c>
      <c r="C2247" s="14" t="s">
        <v>14357</v>
      </c>
      <c r="D2247" s="14" t="s">
        <v>14358</v>
      </c>
      <c r="E2247" s="16" t="s">
        <v>14359</v>
      </c>
      <c r="F2247" s="16" t="s">
        <v>14360</v>
      </c>
      <c r="G2247" s="19" t="s">
        <v>41</v>
      </c>
      <c r="H2247" s="18" t="n">
        <v>4</v>
      </c>
      <c r="I2247" s="20" t="n">
        <v>85.96</v>
      </c>
      <c r="J2247" s="20" t="n">
        <v>245.52</v>
      </c>
      <c r="K2247" s="18" t="n">
        <v>4</v>
      </c>
      <c r="L2247" s="18" t="n">
        <v>3</v>
      </c>
      <c r="M2247" s="18" t="n">
        <v>68</v>
      </c>
      <c r="N2247" s="18" t="n">
        <v>68</v>
      </c>
      <c r="O2247" s="14" t="s">
        <v>14361</v>
      </c>
      <c r="P2247" s="14" t="s">
        <v>118</v>
      </c>
      <c r="Q2247" s="15" t="s">
        <v>1089</v>
      </c>
      <c r="R2247" s="16" t="s">
        <v>14362</v>
      </c>
      <c r="S2247" s="15" t="s">
        <v>14363</v>
      </c>
      <c r="T2247" s="15" t="s">
        <v>14364</v>
      </c>
      <c r="U2247" s="21" t="s">
        <v>72</v>
      </c>
    </row>
    <row r="2248" customFormat="false" ht="15" hidden="false" customHeight="false" outlineLevel="0" collapsed="false">
      <c r="A2248" s="15" t="s">
        <v>79</v>
      </c>
      <c r="B2248" s="15" t="s">
        <v>288</v>
      </c>
      <c r="C2248" s="14" t="s">
        <v>14365</v>
      </c>
      <c r="D2248" s="14" t="s">
        <v>14366</v>
      </c>
      <c r="E2248" s="16" t="s">
        <v>14367</v>
      </c>
      <c r="F2248" s="16" t="s">
        <v>14368</v>
      </c>
      <c r="G2248" s="25" t="s">
        <v>39</v>
      </c>
      <c r="H2248" s="18" t="n">
        <v>11</v>
      </c>
      <c r="I2248" s="20" t="n">
        <v>366.87</v>
      </c>
      <c r="J2248" s="20" t="n">
        <v>761.79</v>
      </c>
      <c r="K2248" s="18" t="n">
        <v>16</v>
      </c>
      <c r="L2248" s="18" t="n">
        <v>10</v>
      </c>
      <c r="M2248" s="18" t="n">
        <v>446</v>
      </c>
      <c r="N2248" s="18" t="n">
        <v>248</v>
      </c>
      <c r="O2248" s="14" t="s">
        <v>1126</v>
      </c>
      <c r="P2248" s="14" t="s">
        <v>84</v>
      </c>
      <c r="Q2248" s="15" t="s">
        <v>1089</v>
      </c>
      <c r="R2248" s="16" t="s">
        <v>14369</v>
      </c>
      <c r="S2248" s="15" t="s">
        <v>12285</v>
      </c>
      <c r="T2248" s="15" t="s">
        <v>14370</v>
      </c>
      <c r="U2248" s="21" t="s">
        <v>72</v>
      </c>
    </row>
    <row r="2249" customFormat="false" ht="15" hidden="false" customHeight="false" outlineLevel="0" collapsed="false">
      <c r="A2249" s="15" t="s">
        <v>79</v>
      </c>
      <c r="B2249" s="15" t="s">
        <v>288</v>
      </c>
      <c r="C2249" s="14" t="s">
        <v>312</v>
      </c>
      <c r="D2249" s="14" t="s">
        <v>14371</v>
      </c>
      <c r="E2249" s="16" t="s">
        <v>14372</v>
      </c>
      <c r="F2249" s="16"/>
      <c r="G2249" s="23" t="s">
        <v>43</v>
      </c>
      <c r="H2249" s="18" t="n">
        <v>2</v>
      </c>
      <c r="I2249" s="20" t="n">
        <v>41.06</v>
      </c>
      <c r="J2249" s="20" t="n">
        <v>96.96</v>
      </c>
      <c r="K2249" s="18" t="n">
        <v>2</v>
      </c>
      <c r="L2249" s="18" t="n">
        <v>1</v>
      </c>
      <c r="M2249" s="18" t="n">
        <v>48</v>
      </c>
      <c r="N2249" s="18" t="n">
        <v>48</v>
      </c>
      <c r="O2249" s="14" t="s">
        <v>1126</v>
      </c>
      <c r="P2249" s="14" t="s">
        <v>84</v>
      </c>
      <c r="Q2249" s="15" t="s">
        <v>1089</v>
      </c>
      <c r="R2249" s="16" t="s">
        <v>315</v>
      </c>
      <c r="S2249" s="15" t="s">
        <v>316</v>
      </c>
      <c r="T2249" s="15" t="s">
        <v>316</v>
      </c>
      <c r="U2249" s="21" t="s">
        <v>72</v>
      </c>
    </row>
    <row r="2250" customFormat="false" ht="15" hidden="false" customHeight="false" outlineLevel="0" collapsed="false">
      <c r="A2250" s="15" t="s">
        <v>79</v>
      </c>
      <c r="B2250" s="15" t="s">
        <v>288</v>
      </c>
      <c r="C2250" s="14" t="s">
        <v>14373</v>
      </c>
      <c r="D2250" s="14" t="s">
        <v>14374</v>
      </c>
      <c r="E2250" s="16" t="s">
        <v>14375</v>
      </c>
      <c r="F2250" s="16" t="s">
        <v>14376</v>
      </c>
      <c r="G2250" s="19" t="s">
        <v>41</v>
      </c>
      <c r="H2250" s="18" t="n">
        <v>4</v>
      </c>
      <c r="I2250" s="20" t="n">
        <v>104.06</v>
      </c>
      <c r="J2250" s="20" t="n">
        <v>294.26</v>
      </c>
      <c r="K2250" s="18" t="n">
        <v>18</v>
      </c>
      <c r="L2250" s="18" t="n">
        <v>3</v>
      </c>
      <c r="M2250" s="18" t="n">
        <v>396</v>
      </c>
      <c r="N2250" s="18" t="n">
        <v>396</v>
      </c>
      <c r="O2250" s="14" t="s">
        <v>1088</v>
      </c>
      <c r="P2250" s="14" t="s">
        <v>84</v>
      </c>
      <c r="Q2250" s="15" t="s">
        <v>1089</v>
      </c>
      <c r="R2250" s="16" t="s">
        <v>14377</v>
      </c>
      <c r="S2250" s="15" t="s">
        <v>14378</v>
      </c>
      <c r="T2250" s="15" t="s">
        <v>14379</v>
      </c>
      <c r="U2250" s="21" t="s">
        <v>72</v>
      </c>
    </row>
    <row r="2251" customFormat="false" ht="15" hidden="false" customHeight="false" outlineLevel="0" collapsed="false">
      <c r="A2251" s="15" t="s">
        <v>79</v>
      </c>
      <c r="B2251" s="15" t="s">
        <v>288</v>
      </c>
      <c r="C2251" s="14" t="s">
        <v>14380</v>
      </c>
      <c r="D2251" s="14" t="s">
        <v>14381</v>
      </c>
      <c r="E2251" s="16" t="s">
        <v>14382</v>
      </c>
      <c r="F2251" s="16" t="s">
        <v>14383</v>
      </c>
      <c r="G2251" s="23" t="s">
        <v>43</v>
      </c>
      <c r="H2251" s="18" t="n">
        <v>4</v>
      </c>
      <c r="I2251" s="20" t="n">
        <v>82.6</v>
      </c>
      <c r="J2251" s="20" t="n">
        <v>170.56</v>
      </c>
      <c r="K2251" s="18" t="n">
        <v>4</v>
      </c>
      <c r="L2251" s="18" t="n">
        <v>3</v>
      </c>
      <c r="M2251" s="18" t="n">
        <v>50</v>
      </c>
      <c r="N2251" s="18" t="n">
        <v>20</v>
      </c>
      <c r="O2251" s="14" t="s">
        <v>1126</v>
      </c>
      <c r="P2251" s="14" t="s">
        <v>118</v>
      </c>
      <c r="Q2251" s="15" t="s">
        <v>1089</v>
      </c>
      <c r="R2251" s="16" t="s">
        <v>3179</v>
      </c>
      <c r="S2251" s="15" t="s">
        <v>14384</v>
      </c>
      <c r="T2251" s="15" t="s">
        <v>14384</v>
      </c>
      <c r="U2251" s="21" t="s">
        <v>72</v>
      </c>
    </row>
    <row r="2252" customFormat="false" ht="15" hidden="false" customHeight="false" outlineLevel="0" collapsed="false">
      <c r="A2252" s="15" t="s">
        <v>79</v>
      </c>
      <c r="B2252" s="15" t="s">
        <v>288</v>
      </c>
      <c r="C2252" s="14" t="s">
        <v>14385</v>
      </c>
      <c r="D2252" s="14" t="s">
        <v>14386</v>
      </c>
      <c r="E2252" s="16" t="s">
        <v>14387</v>
      </c>
      <c r="F2252" s="16" t="s">
        <v>14388</v>
      </c>
      <c r="G2252" s="23" t="s">
        <v>43</v>
      </c>
      <c r="H2252" s="18" t="n">
        <v>1</v>
      </c>
      <c r="I2252" s="20" t="n">
        <v>38.17</v>
      </c>
      <c r="J2252" s="20" t="n">
        <v>86.65</v>
      </c>
      <c r="K2252" s="18" t="n">
        <v>2</v>
      </c>
      <c r="L2252" s="18" t="n">
        <v>1</v>
      </c>
      <c r="M2252" s="18" t="n">
        <v>68</v>
      </c>
      <c r="N2252" s="18" t="n">
        <v>68</v>
      </c>
      <c r="O2252" s="14" t="s">
        <v>1088</v>
      </c>
      <c r="P2252" s="14" t="s">
        <v>84</v>
      </c>
      <c r="Q2252" s="15" t="s">
        <v>1089</v>
      </c>
      <c r="R2252" s="16" t="s">
        <v>14389</v>
      </c>
      <c r="S2252" s="15" t="s">
        <v>14390</v>
      </c>
      <c r="T2252" s="15" t="s">
        <v>14390</v>
      </c>
      <c r="U2252" s="21" t="s">
        <v>72</v>
      </c>
    </row>
    <row r="2253" customFormat="false" ht="15" hidden="false" customHeight="false" outlineLevel="0" collapsed="false">
      <c r="A2253" s="15" t="s">
        <v>79</v>
      </c>
      <c r="B2253" s="15" t="s">
        <v>288</v>
      </c>
      <c r="C2253" s="14" t="s">
        <v>499</v>
      </c>
      <c r="D2253" s="14" t="s">
        <v>14391</v>
      </c>
      <c r="E2253" s="16" t="s">
        <v>14392</v>
      </c>
      <c r="F2253" s="16" t="s">
        <v>502</v>
      </c>
      <c r="G2253" s="23" t="s">
        <v>43</v>
      </c>
      <c r="H2253" s="18" t="n">
        <v>3</v>
      </c>
      <c r="I2253" s="20" t="n">
        <v>47.39</v>
      </c>
      <c r="J2253" s="20" t="n">
        <v>114.68</v>
      </c>
      <c r="K2253" s="18" t="n">
        <v>5</v>
      </c>
      <c r="L2253" s="18" t="n">
        <v>5</v>
      </c>
      <c r="M2253" s="18" t="n">
        <v>105</v>
      </c>
      <c r="N2253" s="18" t="n">
        <v>12</v>
      </c>
      <c r="O2253" s="14" t="s">
        <v>1126</v>
      </c>
      <c r="P2253" s="14" t="s">
        <v>118</v>
      </c>
      <c r="Q2253" s="15" t="s">
        <v>1089</v>
      </c>
      <c r="R2253" s="16" t="s">
        <v>503</v>
      </c>
      <c r="S2253" s="15" t="s">
        <v>504</v>
      </c>
      <c r="T2253" s="15" t="s">
        <v>505</v>
      </c>
      <c r="U2253" s="21" t="s">
        <v>72</v>
      </c>
    </row>
    <row r="2254" customFormat="false" ht="15" hidden="false" customHeight="false" outlineLevel="0" collapsed="false">
      <c r="A2254" s="15" t="s">
        <v>79</v>
      </c>
      <c r="B2254" s="15" t="s">
        <v>288</v>
      </c>
      <c r="C2254" s="14" t="s">
        <v>484</v>
      </c>
      <c r="D2254" s="14" t="s">
        <v>14393</v>
      </c>
      <c r="E2254" s="16" t="s">
        <v>14394</v>
      </c>
      <c r="F2254" s="16" t="s">
        <v>487</v>
      </c>
      <c r="G2254" s="19" t="s">
        <v>41</v>
      </c>
      <c r="H2254" s="18" t="n">
        <v>5</v>
      </c>
      <c r="I2254" s="20" t="n">
        <v>98.92</v>
      </c>
      <c r="J2254" s="20" t="n">
        <v>343.51</v>
      </c>
      <c r="K2254" s="18" t="n">
        <v>12</v>
      </c>
      <c r="L2254" s="18" t="n">
        <v>1</v>
      </c>
      <c r="M2254" s="18" t="n">
        <v>240</v>
      </c>
      <c r="N2254" s="18" t="n">
        <v>240</v>
      </c>
      <c r="O2254" s="14" t="s">
        <v>1126</v>
      </c>
      <c r="P2254" s="14" t="s">
        <v>84</v>
      </c>
      <c r="Q2254" s="15" t="s">
        <v>1089</v>
      </c>
      <c r="R2254" s="16" t="s">
        <v>488</v>
      </c>
      <c r="S2254" s="15" t="s">
        <v>489</v>
      </c>
      <c r="T2254" s="15" t="s">
        <v>489</v>
      </c>
      <c r="U2254" s="21" t="s">
        <v>72</v>
      </c>
    </row>
    <row r="2255" customFormat="false" ht="26.85" hidden="false" customHeight="false" outlineLevel="0" collapsed="false">
      <c r="A2255" s="15" t="s">
        <v>79</v>
      </c>
      <c r="B2255" s="15" t="s">
        <v>288</v>
      </c>
      <c r="C2255" s="14" t="s">
        <v>14395</v>
      </c>
      <c r="D2255" s="14" t="s">
        <v>14396</v>
      </c>
      <c r="E2255" s="16" t="s">
        <v>14397</v>
      </c>
      <c r="F2255" s="16" t="s">
        <v>14398</v>
      </c>
      <c r="G2255" s="23" t="s">
        <v>43</v>
      </c>
      <c r="H2255" s="18" t="n">
        <v>2</v>
      </c>
      <c r="I2255" s="20" t="n">
        <v>63.897</v>
      </c>
      <c r="J2255" s="20" t="n">
        <v>113.37</v>
      </c>
      <c r="K2255" s="18" t="n">
        <v>3</v>
      </c>
      <c r="L2255" s="18" t="n">
        <v>3</v>
      </c>
      <c r="M2255" s="18" t="n">
        <v>80</v>
      </c>
      <c r="N2255" s="18" t="n">
        <v>27</v>
      </c>
      <c r="O2255" s="14" t="s">
        <v>1126</v>
      </c>
      <c r="P2255" s="14" t="s">
        <v>906</v>
      </c>
      <c r="Q2255" s="15" t="s">
        <v>1089</v>
      </c>
      <c r="R2255" s="16" t="s">
        <v>14399</v>
      </c>
      <c r="S2255" s="15" t="s">
        <v>14400</v>
      </c>
      <c r="T2255" s="15" t="s">
        <v>14400</v>
      </c>
      <c r="U2255" s="21" t="s">
        <v>72</v>
      </c>
    </row>
    <row r="2256" customFormat="false" ht="15" hidden="false" customHeight="false" outlineLevel="0" collapsed="false">
      <c r="A2256" s="15" t="s">
        <v>79</v>
      </c>
      <c r="B2256" s="15" t="s">
        <v>288</v>
      </c>
      <c r="C2256" s="14" t="s">
        <v>14401</v>
      </c>
      <c r="D2256" s="14" t="s">
        <v>14402</v>
      </c>
      <c r="E2256" s="16" t="s">
        <v>14403</v>
      </c>
      <c r="F2256" s="16" t="s">
        <v>14404</v>
      </c>
      <c r="G2256" s="19" t="s">
        <v>41</v>
      </c>
      <c r="H2256" s="18" t="n">
        <v>5</v>
      </c>
      <c r="I2256" s="20" t="n">
        <v>169.35</v>
      </c>
      <c r="J2256" s="20" t="n">
        <v>330.74</v>
      </c>
      <c r="K2256" s="18" t="n">
        <v>5</v>
      </c>
      <c r="L2256" s="18" t="n">
        <v>4</v>
      </c>
      <c r="M2256" s="18" t="n">
        <v>131</v>
      </c>
      <c r="N2256" s="18" t="n">
        <v>81</v>
      </c>
      <c r="O2256" s="14" t="s">
        <v>1088</v>
      </c>
      <c r="P2256" s="14" t="s">
        <v>118</v>
      </c>
      <c r="Q2256" s="15" t="s">
        <v>1089</v>
      </c>
      <c r="R2256" s="16" t="s">
        <v>14405</v>
      </c>
      <c r="S2256" s="15" t="s">
        <v>14406</v>
      </c>
      <c r="T2256" s="15" t="s">
        <v>14406</v>
      </c>
      <c r="U2256" s="21" t="s">
        <v>72</v>
      </c>
    </row>
    <row r="2257" customFormat="false" ht="15" hidden="false" customHeight="false" outlineLevel="0" collapsed="false">
      <c r="A2257" s="15" t="s">
        <v>79</v>
      </c>
      <c r="B2257" s="15" t="s">
        <v>288</v>
      </c>
      <c r="C2257" s="14" t="s">
        <v>14407</v>
      </c>
      <c r="D2257" s="14" t="s">
        <v>14408</v>
      </c>
      <c r="E2257" s="16" t="s">
        <v>14409</v>
      </c>
      <c r="F2257" s="16" t="s">
        <v>14410</v>
      </c>
      <c r="G2257" s="23" t="s">
        <v>43</v>
      </c>
      <c r="H2257" s="18" t="n">
        <v>3</v>
      </c>
      <c r="I2257" s="20" t="n">
        <v>47.8</v>
      </c>
      <c r="J2257" s="20" t="n">
        <v>115.19</v>
      </c>
      <c r="K2257" s="18" t="n">
        <v>7</v>
      </c>
      <c r="L2257" s="18" t="n">
        <v>1</v>
      </c>
      <c r="M2257" s="18" t="n">
        <v>123</v>
      </c>
      <c r="N2257" s="18" t="n">
        <v>83</v>
      </c>
      <c r="O2257" s="14" t="s">
        <v>9797</v>
      </c>
      <c r="P2257" s="14" t="s">
        <v>118</v>
      </c>
      <c r="Q2257" s="15" t="s">
        <v>1089</v>
      </c>
      <c r="R2257" s="16" t="s">
        <v>14411</v>
      </c>
      <c r="S2257" s="15" t="s">
        <v>10120</v>
      </c>
      <c r="T2257" s="15" t="s">
        <v>14412</v>
      </c>
      <c r="U2257" s="21" t="s">
        <v>72</v>
      </c>
    </row>
    <row r="2258" customFormat="false" ht="15" hidden="false" customHeight="false" outlineLevel="0" collapsed="false">
      <c r="A2258" s="15" t="s">
        <v>79</v>
      </c>
      <c r="B2258" s="15" t="s">
        <v>288</v>
      </c>
      <c r="C2258" s="14" t="s">
        <v>14413</v>
      </c>
      <c r="D2258" s="14" t="s">
        <v>14414</v>
      </c>
      <c r="E2258" s="16" t="s">
        <v>14415</v>
      </c>
      <c r="F2258" s="16" t="s">
        <v>10118</v>
      </c>
      <c r="G2258" s="23" t="s">
        <v>43</v>
      </c>
      <c r="H2258" s="18" t="n">
        <v>4</v>
      </c>
      <c r="I2258" s="20" t="n">
        <v>65.29</v>
      </c>
      <c r="J2258" s="20" t="n">
        <v>188.54</v>
      </c>
      <c r="K2258" s="18" t="n">
        <v>17</v>
      </c>
      <c r="L2258" s="18" t="n">
        <v>2</v>
      </c>
      <c r="M2258" s="18" t="n">
        <v>221</v>
      </c>
      <c r="N2258" s="18" t="n">
        <v>52</v>
      </c>
      <c r="O2258" s="14" t="s">
        <v>1126</v>
      </c>
      <c r="P2258" s="14" t="s">
        <v>226</v>
      </c>
      <c r="Q2258" s="15" t="s">
        <v>1089</v>
      </c>
      <c r="R2258" s="16" t="s">
        <v>6037</v>
      </c>
      <c r="S2258" s="15" t="s">
        <v>10120</v>
      </c>
      <c r="T2258" s="15" t="s">
        <v>14416</v>
      </c>
      <c r="U2258" s="21" t="s">
        <v>72</v>
      </c>
    </row>
    <row r="2259" customFormat="false" ht="15" hidden="false" customHeight="false" outlineLevel="0" collapsed="false">
      <c r="A2259" s="15" t="s">
        <v>79</v>
      </c>
      <c r="B2259" s="15" t="s">
        <v>288</v>
      </c>
      <c r="C2259" s="14" t="s">
        <v>14417</v>
      </c>
      <c r="D2259" s="14" t="s">
        <v>14418</v>
      </c>
      <c r="E2259" s="16" t="s">
        <v>14419</v>
      </c>
      <c r="F2259" s="16" t="s">
        <v>14420</v>
      </c>
      <c r="G2259" s="23" t="s">
        <v>43</v>
      </c>
      <c r="H2259" s="18" t="n">
        <v>3</v>
      </c>
      <c r="I2259" s="20" t="n">
        <v>60.57</v>
      </c>
      <c r="J2259" s="20" t="n">
        <v>143.14</v>
      </c>
      <c r="K2259" s="18" t="n">
        <v>8</v>
      </c>
      <c r="L2259" s="18" t="n">
        <v>5</v>
      </c>
      <c r="M2259" s="18" t="n">
        <v>141</v>
      </c>
      <c r="N2259" s="18" t="n">
        <v>111</v>
      </c>
      <c r="O2259" s="14" t="s">
        <v>14421</v>
      </c>
      <c r="P2259" s="14" t="s">
        <v>118</v>
      </c>
      <c r="Q2259" s="15" t="s">
        <v>1089</v>
      </c>
      <c r="R2259" s="16" t="s">
        <v>14422</v>
      </c>
      <c r="S2259" s="15" t="s">
        <v>14423</v>
      </c>
      <c r="T2259" s="15" t="s">
        <v>14424</v>
      </c>
      <c r="U2259" s="21" t="s">
        <v>72</v>
      </c>
    </row>
    <row r="2260" customFormat="false" ht="15" hidden="false" customHeight="false" outlineLevel="0" collapsed="false">
      <c r="A2260" s="15" t="s">
        <v>79</v>
      </c>
      <c r="B2260" s="15" t="s">
        <v>288</v>
      </c>
      <c r="C2260" s="14" t="s">
        <v>14425</v>
      </c>
      <c r="D2260" s="14" t="s">
        <v>14426</v>
      </c>
      <c r="E2260" s="16" t="s">
        <v>14427</v>
      </c>
      <c r="F2260" s="16" t="s">
        <v>14428</v>
      </c>
      <c r="G2260" s="23" t="s">
        <v>43</v>
      </c>
      <c r="H2260" s="18" t="n">
        <v>3</v>
      </c>
      <c r="I2260" s="20" t="n">
        <v>37.65</v>
      </c>
      <c r="J2260" s="20" t="n">
        <v>89.24</v>
      </c>
      <c r="K2260" s="18" t="n">
        <v>3</v>
      </c>
      <c r="L2260" s="18" t="n">
        <v>2</v>
      </c>
      <c r="M2260" s="18" t="n">
        <v>30</v>
      </c>
      <c r="N2260" s="18" t="n">
        <v>30</v>
      </c>
      <c r="O2260" s="14" t="s">
        <v>1126</v>
      </c>
      <c r="P2260" s="14" t="s">
        <v>84</v>
      </c>
      <c r="Q2260" s="15" t="s">
        <v>1089</v>
      </c>
      <c r="R2260" s="16" t="s">
        <v>9911</v>
      </c>
      <c r="S2260" s="15" t="s">
        <v>14429</v>
      </c>
      <c r="T2260" s="15" t="s">
        <v>14429</v>
      </c>
      <c r="U2260" s="21" t="s">
        <v>72</v>
      </c>
    </row>
    <row r="2261" customFormat="false" ht="26.85" hidden="false" customHeight="false" outlineLevel="0" collapsed="false">
      <c r="A2261" s="15" t="s">
        <v>79</v>
      </c>
      <c r="B2261" s="15" t="s">
        <v>288</v>
      </c>
      <c r="C2261" s="14" t="s">
        <v>14430</v>
      </c>
      <c r="D2261" s="14" t="s">
        <v>14431</v>
      </c>
      <c r="E2261" s="16" t="s">
        <v>14432</v>
      </c>
      <c r="F2261" s="16" t="s">
        <v>14433</v>
      </c>
      <c r="G2261" s="25" t="s">
        <v>39</v>
      </c>
      <c r="H2261" s="18" t="n">
        <v>10</v>
      </c>
      <c r="I2261" s="20" t="n">
        <v>170.04</v>
      </c>
      <c r="J2261" s="20" t="n">
        <v>332.03</v>
      </c>
      <c r="K2261" s="18" t="n">
        <v>27</v>
      </c>
      <c r="L2261" s="18" t="n">
        <v>6</v>
      </c>
      <c r="M2261" s="18" t="n">
        <v>398</v>
      </c>
      <c r="N2261" s="18" t="n">
        <v>162</v>
      </c>
      <c r="O2261" s="14" t="s">
        <v>14434</v>
      </c>
      <c r="P2261" s="14" t="s">
        <v>352</v>
      </c>
      <c r="Q2261" s="15" t="s">
        <v>1089</v>
      </c>
      <c r="R2261" s="16" t="s">
        <v>14435</v>
      </c>
      <c r="S2261" s="15" t="s">
        <v>14436</v>
      </c>
      <c r="T2261" s="15" t="s">
        <v>14436</v>
      </c>
      <c r="U2261" s="21" t="s">
        <v>72</v>
      </c>
    </row>
    <row r="2262" customFormat="false" ht="15" hidden="false" customHeight="false" outlineLevel="0" collapsed="false">
      <c r="A2262" s="15" t="s">
        <v>79</v>
      </c>
      <c r="B2262" s="15" t="s">
        <v>288</v>
      </c>
      <c r="C2262" s="14" t="s">
        <v>14437</v>
      </c>
      <c r="D2262" s="14" t="s">
        <v>14438</v>
      </c>
      <c r="E2262" s="16" t="s">
        <v>14439</v>
      </c>
      <c r="F2262" s="16" t="s">
        <v>14440</v>
      </c>
      <c r="G2262" s="23" t="s">
        <v>43</v>
      </c>
      <c r="H2262" s="18" t="n">
        <v>2</v>
      </c>
      <c r="I2262" s="20" t="n">
        <v>55.56</v>
      </c>
      <c r="J2262" s="20" t="n">
        <v>133.57</v>
      </c>
      <c r="K2262" s="18" t="n">
        <v>50</v>
      </c>
      <c r="L2262" s="18" t="n">
        <v>3</v>
      </c>
      <c r="M2262" s="18" t="n">
        <v>1150</v>
      </c>
      <c r="N2262" s="18" t="n">
        <v>1150</v>
      </c>
      <c r="O2262" s="14" t="s">
        <v>1088</v>
      </c>
      <c r="P2262" s="14" t="s">
        <v>84</v>
      </c>
      <c r="Q2262" s="15" t="s">
        <v>1089</v>
      </c>
      <c r="R2262" s="16" t="s">
        <v>14441</v>
      </c>
      <c r="S2262" s="15" t="s">
        <v>14442</v>
      </c>
      <c r="T2262" s="15" t="s">
        <v>14442</v>
      </c>
      <c r="U2262" s="21" t="s">
        <v>72</v>
      </c>
    </row>
    <row r="2263" customFormat="false" ht="15" hidden="false" customHeight="false" outlineLevel="0" collapsed="false">
      <c r="A2263" s="15" t="s">
        <v>79</v>
      </c>
      <c r="B2263" s="15" t="s">
        <v>288</v>
      </c>
      <c r="C2263" s="14" t="s">
        <v>14443</v>
      </c>
      <c r="D2263" s="14" t="s">
        <v>14444</v>
      </c>
      <c r="E2263" s="16" t="s">
        <v>14445</v>
      </c>
      <c r="F2263" s="16" t="s">
        <v>14446</v>
      </c>
      <c r="G2263" s="23" t="s">
        <v>43</v>
      </c>
      <c r="H2263" s="18" t="n">
        <v>2</v>
      </c>
      <c r="I2263" s="20" t="n">
        <v>55.19</v>
      </c>
      <c r="J2263" s="20" t="n">
        <v>95.29</v>
      </c>
      <c r="K2263" s="18" t="n">
        <v>5</v>
      </c>
      <c r="L2263" s="18" t="n">
        <v>3</v>
      </c>
      <c r="M2263" s="18" t="n">
        <v>109</v>
      </c>
      <c r="N2263" s="18" t="n">
        <v>19</v>
      </c>
      <c r="O2263" s="14" t="s">
        <v>1126</v>
      </c>
      <c r="P2263" s="14" t="s">
        <v>1716</v>
      </c>
      <c r="Q2263" s="15" t="s">
        <v>1089</v>
      </c>
      <c r="R2263" s="16" t="s">
        <v>14447</v>
      </c>
      <c r="S2263" s="15" t="s">
        <v>14448</v>
      </c>
      <c r="T2263" s="15" t="s">
        <v>14449</v>
      </c>
      <c r="U2263" s="21" t="s">
        <v>72</v>
      </c>
    </row>
    <row r="2264" customFormat="false" ht="15" hidden="false" customHeight="false" outlineLevel="0" collapsed="false">
      <c r="A2264" s="15" t="s">
        <v>79</v>
      </c>
      <c r="B2264" s="15" t="s">
        <v>288</v>
      </c>
      <c r="C2264" s="14" t="s">
        <v>14450</v>
      </c>
      <c r="D2264" s="14" t="s">
        <v>14451</v>
      </c>
      <c r="E2264" s="16" t="s">
        <v>14452</v>
      </c>
      <c r="F2264" s="16" t="s">
        <v>14453</v>
      </c>
      <c r="G2264" s="23" t="s">
        <v>43</v>
      </c>
      <c r="H2264" s="18" t="n">
        <v>2</v>
      </c>
      <c r="I2264" s="20" t="n">
        <v>57.71</v>
      </c>
      <c r="J2264" s="20" t="n">
        <v>122.86</v>
      </c>
      <c r="K2264" s="18" t="n">
        <v>6</v>
      </c>
      <c r="L2264" s="18" t="n">
        <v>3</v>
      </c>
      <c r="M2264" s="18" t="n">
        <v>124</v>
      </c>
      <c r="N2264" s="18" t="n">
        <v>64</v>
      </c>
      <c r="O2264" s="14" t="s">
        <v>1126</v>
      </c>
      <c r="P2264" s="14" t="s">
        <v>118</v>
      </c>
      <c r="Q2264" s="15" t="s">
        <v>1089</v>
      </c>
      <c r="R2264" s="16" t="s">
        <v>14454</v>
      </c>
      <c r="S2264" s="15" t="s">
        <v>12983</v>
      </c>
      <c r="T2264" s="15" t="s">
        <v>14455</v>
      </c>
      <c r="U2264" s="21" t="s">
        <v>72</v>
      </c>
    </row>
    <row r="2265" customFormat="false" ht="15" hidden="false" customHeight="false" outlineLevel="0" collapsed="false">
      <c r="A2265" s="15" t="s">
        <v>79</v>
      </c>
      <c r="B2265" s="15" t="s">
        <v>288</v>
      </c>
      <c r="C2265" s="14" t="s">
        <v>14456</v>
      </c>
      <c r="D2265" s="14" t="s">
        <v>14457</v>
      </c>
      <c r="E2265" s="16" t="s">
        <v>14458</v>
      </c>
      <c r="F2265" s="16" t="s">
        <v>14459</v>
      </c>
      <c r="G2265" s="23" t="s">
        <v>43</v>
      </c>
      <c r="H2265" s="18" t="n">
        <v>3</v>
      </c>
      <c r="I2265" s="20" t="n">
        <v>65.58</v>
      </c>
      <c r="J2265" s="20" t="n">
        <v>122.79</v>
      </c>
      <c r="K2265" s="18" t="n">
        <v>7</v>
      </c>
      <c r="L2265" s="18" t="n">
        <v>6</v>
      </c>
      <c r="M2265" s="18" t="n">
        <v>112</v>
      </c>
      <c r="N2265" s="18" t="n">
        <v>80</v>
      </c>
      <c r="O2265" s="14" t="s">
        <v>14460</v>
      </c>
      <c r="P2265" s="14" t="s">
        <v>118</v>
      </c>
      <c r="Q2265" s="15" t="s">
        <v>1089</v>
      </c>
      <c r="R2265" s="16" t="s">
        <v>14461</v>
      </c>
      <c r="S2265" s="15" t="s">
        <v>14462</v>
      </c>
      <c r="T2265" s="15" t="s">
        <v>14462</v>
      </c>
      <c r="U2265" s="21" t="s">
        <v>72</v>
      </c>
    </row>
    <row r="2266" customFormat="false" ht="15" hidden="false" customHeight="false" outlineLevel="0" collapsed="false">
      <c r="A2266" s="15" t="s">
        <v>79</v>
      </c>
      <c r="B2266" s="15" t="s">
        <v>288</v>
      </c>
      <c r="C2266" s="14" t="s">
        <v>374</v>
      </c>
      <c r="D2266" s="14" t="s">
        <v>14463</v>
      </c>
      <c r="E2266" s="16" t="s">
        <v>14464</v>
      </c>
      <c r="F2266" s="16" t="s">
        <v>377</v>
      </c>
      <c r="G2266" s="19" t="s">
        <v>41</v>
      </c>
      <c r="H2266" s="18" t="n">
        <v>4</v>
      </c>
      <c r="I2266" s="20" t="n">
        <v>82.77</v>
      </c>
      <c r="J2266" s="20" t="n">
        <v>281.72</v>
      </c>
      <c r="K2266" s="18" t="n">
        <v>4</v>
      </c>
      <c r="L2266" s="18" t="n">
        <v>1</v>
      </c>
      <c r="M2266" s="18" t="n">
        <v>70</v>
      </c>
      <c r="N2266" s="18" t="n">
        <v>15</v>
      </c>
      <c r="O2266" s="14" t="s">
        <v>1126</v>
      </c>
      <c r="P2266" s="14" t="s">
        <v>118</v>
      </c>
      <c r="Q2266" s="15" t="s">
        <v>1089</v>
      </c>
      <c r="R2266" s="16" t="s">
        <v>378</v>
      </c>
      <c r="S2266" s="15" t="s">
        <v>379</v>
      </c>
      <c r="T2266" s="15" t="s">
        <v>379</v>
      </c>
      <c r="U2266" s="21" t="s">
        <v>72</v>
      </c>
    </row>
    <row r="2267" customFormat="false" ht="15" hidden="false" customHeight="false" outlineLevel="0" collapsed="false">
      <c r="A2267" s="15" t="s">
        <v>79</v>
      </c>
      <c r="B2267" s="15" t="s">
        <v>288</v>
      </c>
      <c r="C2267" s="14" t="s">
        <v>14465</v>
      </c>
      <c r="D2267" s="14" t="s">
        <v>14466</v>
      </c>
      <c r="E2267" s="16" t="s">
        <v>14467</v>
      </c>
      <c r="F2267" s="16" t="s">
        <v>14468</v>
      </c>
      <c r="G2267" s="23" t="s">
        <v>43</v>
      </c>
      <c r="H2267" s="18" t="n">
        <v>1</v>
      </c>
      <c r="I2267" s="20" t="n">
        <v>41.03</v>
      </c>
      <c r="J2267" s="20" t="n">
        <v>76.39</v>
      </c>
      <c r="K2267" s="18" t="n">
        <v>10</v>
      </c>
      <c r="L2267" s="18" t="n">
        <v>1</v>
      </c>
      <c r="M2267" s="18" t="n">
        <v>340</v>
      </c>
      <c r="N2267" s="18" t="n">
        <v>340</v>
      </c>
      <c r="O2267" s="14" t="s">
        <v>1088</v>
      </c>
      <c r="P2267" s="14" t="s">
        <v>118</v>
      </c>
      <c r="Q2267" s="15" t="s">
        <v>1089</v>
      </c>
      <c r="R2267" s="16" t="s">
        <v>14469</v>
      </c>
      <c r="S2267" s="15" t="s">
        <v>14470</v>
      </c>
      <c r="T2267" s="15" t="s">
        <v>14470</v>
      </c>
      <c r="U2267" s="21" t="s">
        <v>72</v>
      </c>
    </row>
    <row r="2268" customFormat="false" ht="15" hidden="false" customHeight="false" outlineLevel="0" collapsed="false">
      <c r="A2268" s="15" t="s">
        <v>79</v>
      </c>
      <c r="B2268" s="15" t="s">
        <v>288</v>
      </c>
      <c r="C2268" s="14" t="s">
        <v>14471</v>
      </c>
      <c r="D2268" s="14" t="s">
        <v>14472</v>
      </c>
      <c r="E2268" s="16" t="s">
        <v>14473</v>
      </c>
      <c r="F2268" s="16" t="s">
        <v>14474</v>
      </c>
      <c r="G2268" s="19" t="s">
        <v>41</v>
      </c>
      <c r="H2268" s="18" t="n">
        <v>5</v>
      </c>
      <c r="I2268" s="20" t="n">
        <v>122.41</v>
      </c>
      <c r="J2268" s="20" t="n">
        <v>205.48</v>
      </c>
      <c r="K2268" s="18" t="n">
        <v>6</v>
      </c>
      <c r="L2268" s="18" t="n">
        <v>1</v>
      </c>
      <c r="M2268" s="18" t="n">
        <v>666</v>
      </c>
      <c r="N2268" s="18" t="n">
        <v>333</v>
      </c>
      <c r="O2268" s="14" t="s">
        <v>1126</v>
      </c>
      <c r="P2268" s="14" t="s">
        <v>118</v>
      </c>
      <c r="Q2268" s="15" t="s">
        <v>1089</v>
      </c>
      <c r="R2268" s="16" t="s">
        <v>14475</v>
      </c>
      <c r="S2268" s="15" t="s">
        <v>14476</v>
      </c>
      <c r="T2268" s="15" t="s">
        <v>14477</v>
      </c>
      <c r="U2268" s="21" t="s">
        <v>72</v>
      </c>
    </row>
    <row r="2269" customFormat="false" ht="15" hidden="false" customHeight="false" outlineLevel="0" collapsed="false">
      <c r="A2269" s="15" t="s">
        <v>79</v>
      </c>
      <c r="B2269" s="15" t="s">
        <v>288</v>
      </c>
      <c r="C2269" s="14" t="s">
        <v>14478</v>
      </c>
      <c r="D2269" s="14" t="s">
        <v>14479</v>
      </c>
      <c r="E2269" s="16" t="s">
        <v>14480</v>
      </c>
      <c r="F2269" s="16" t="s">
        <v>14481</v>
      </c>
      <c r="G2269" s="19" t="s">
        <v>41</v>
      </c>
      <c r="H2269" s="18" t="n">
        <v>4</v>
      </c>
      <c r="I2269" s="20" t="n">
        <v>130</v>
      </c>
      <c r="J2269" s="20" t="n">
        <v>227.92</v>
      </c>
      <c r="K2269" s="18" t="n">
        <v>12</v>
      </c>
      <c r="L2269" s="18" t="n">
        <v>2</v>
      </c>
      <c r="M2269" s="18" t="n">
        <v>324</v>
      </c>
      <c r="N2269" s="18" t="n">
        <v>108</v>
      </c>
      <c r="O2269" s="14" t="s">
        <v>1126</v>
      </c>
      <c r="P2269" s="14" t="s">
        <v>118</v>
      </c>
      <c r="Q2269" s="15" t="s">
        <v>1089</v>
      </c>
      <c r="R2269" s="16" t="s">
        <v>315</v>
      </c>
      <c r="S2269" s="15" t="s">
        <v>12983</v>
      </c>
      <c r="T2269" s="15" t="s">
        <v>14482</v>
      </c>
      <c r="U2269" s="21" t="s">
        <v>72</v>
      </c>
    </row>
    <row r="2270" customFormat="false" ht="15" hidden="false" customHeight="false" outlineLevel="0" collapsed="false">
      <c r="A2270" s="15" t="s">
        <v>79</v>
      </c>
      <c r="B2270" s="15" t="s">
        <v>288</v>
      </c>
      <c r="C2270" s="14" t="s">
        <v>359</v>
      </c>
      <c r="D2270" s="14" t="s">
        <v>14483</v>
      </c>
      <c r="E2270" s="16" t="s">
        <v>14484</v>
      </c>
      <c r="F2270" s="16" t="s">
        <v>362</v>
      </c>
      <c r="G2270" s="23" t="s">
        <v>43</v>
      </c>
      <c r="H2270" s="18" t="n">
        <v>1</v>
      </c>
      <c r="I2270" s="20" t="n">
        <v>35.45</v>
      </c>
      <c r="J2270" s="20" t="n">
        <v>45.5</v>
      </c>
      <c r="K2270" s="18" t="n">
        <v>2</v>
      </c>
      <c r="L2270" s="18" t="n">
        <v>1</v>
      </c>
      <c r="M2270" s="18" t="n">
        <v>58</v>
      </c>
      <c r="N2270" s="18" t="n">
        <v>58</v>
      </c>
      <c r="O2270" s="14" t="s">
        <v>1126</v>
      </c>
      <c r="P2270" s="14" t="s">
        <v>84</v>
      </c>
      <c r="Q2270" s="15" t="s">
        <v>1089</v>
      </c>
      <c r="R2270" s="16" t="s">
        <v>363</v>
      </c>
      <c r="S2270" s="15" t="s">
        <v>364</v>
      </c>
      <c r="T2270" s="15" t="s">
        <v>365</v>
      </c>
      <c r="U2270" s="21" t="s">
        <v>72</v>
      </c>
    </row>
    <row r="2271" customFormat="false" ht="15" hidden="false" customHeight="false" outlineLevel="0" collapsed="false">
      <c r="A2271" s="15" t="s">
        <v>79</v>
      </c>
      <c r="B2271" s="15" t="s">
        <v>288</v>
      </c>
      <c r="C2271" s="14" t="s">
        <v>367</v>
      </c>
      <c r="D2271" s="14" t="s">
        <v>14485</v>
      </c>
      <c r="E2271" s="16" t="s">
        <v>14486</v>
      </c>
      <c r="F2271" s="16" t="s">
        <v>370</v>
      </c>
      <c r="G2271" s="23" t="s">
        <v>43</v>
      </c>
      <c r="H2271" s="18" t="n">
        <v>4</v>
      </c>
      <c r="I2271" s="20" t="n">
        <v>57.95</v>
      </c>
      <c r="J2271" s="20" t="n">
        <v>147.25</v>
      </c>
      <c r="K2271" s="18" t="n">
        <v>4</v>
      </c>
      <c r="L2271" s="18" t="n">
        <v>1</v>
      </c>
      <c r="M2271" s="18" t="n">
        <v>120</v>
      </c>
      <c r="N2271" s="18" t="n">
        <v>120</v>
      </c>
      <c r="O2271" s="14" t="s">
        <v>1126</v>
      </c>
      <c r="P2271" s="14" t="s">
        <v>84</v>
      </c>
      <c r="Q2271" s="15" t="s">
        <v>1089</v>
      </c>
      <c r="R2271" s="16" t="s">
        <v>371</v>
      </c>
      <c r="S2271" s="15" t="s">
        <v>372</v>
      </c>
      <c r="T2271" s="15" t="s">
        <v>372</v>
      </c>
      <c r="U2271" s="21" t="s">
        <v>72</v>
      </c>
    </row>
    <row r="2272" customFormat="false" ht="26.85" hidden="false" customHeight="false" outlineLevel="0" collapsed="false">
      <c r="A2272" s="15" t="s">
        <v>79</v>
      </c>
      <c r="B2272" s="15" t="s">
        <v>288</v>
      </c>
      <c r="C2272" s="14" t="s">
        <v>14487</v>
      </c>
      <c r="D2272" s="14" t="s">
        <v>14488</v>
      </c>
      <c r="E2272" s="16" t="s">
        <v>14489</v>
      </c>
      <c r="F2272" s="16" t="s">
        <v>14490</v>
      </c>
      <c r="G2272" s="25" t="s">
        <v>39</v>
      </c>
      <c r="H2272" s="18" t="n">
        <v>4</v>
      </c>
      <c r="I2272" s="20" t="n">
        <v>136.25</v>
      </c>
      <c r="J2272" s="20" t="n">
        <v>456.81</v>
      </c>
      <c r="K2272" s="18" t="n">
        <v>4</v>
      </c>
      <c r="L2272" s="18" t="n">
        <v>4</v>
      </c>
      <c r="M2272" s="18" t="n">
        <v>123</v>
      </c>
      <c r="N2272" s="18" t="n">
        <v>123</v>
      </c>
      <c r="O2272" s="14" t="s">
        <v>14491</v>
      </c>
      <c r="P2272" s="14" t="s">
        <v>118</v>
      </c>
      <c r="Q2272" s="15" t="s">
        <v>1089</v>
      </c>
      <c r="R2272" s="16" t="s">
        <v>14492</v>
      </c>
      <c r="S2272" s="15" t="s">
        <v>14493</v>
      </c>
      <c r="T2272" s="15" t="s">
        <v>14494</v>
      </c>
      <c r="U2272" s="21" t="s">
        <v>72</v>
      </c>
    </row>
    <row r="2273" customFormat="false" ht="15" hidden="false" customHeight="false" outlineLevel="0" collapsed="false">
      <c r="A2273" s="15" t="s">
        <v>79</v>
      </c>
      <c r="B2273" s="15" t="s">
        <v>288</v>
      </c>
      <c r="C2273" s="14" t="s">
        <v>14495</v>
      </c>
      <c r="D2273" s="14" t="s">
        <v>14496</v>
      </c>
      <c r="E2273" s="16" t="s">
        <v>14497</v>
      </c>
      <c r="F2273" s="16" t="s">
        <v>14498</v>
      </c>
      <c r="G2273" s="25" t="s">
        <v>39</v>
      </c>
      <c r="H2273" s="18" t="n">
        <v>7</v>
      </c>
      <c r="I2273" s="20" t="n">
        <v>147.73</v>
      </c>
      <c r="J2273" s="20" t="n">
        <v>498.4</v>
      </c>
      <c r="K2273" s="18" t="n">
        <v>11</v>
      </c>
      <c r="L2273" s="18" t="n">
        <v>7</v>
      </c>
      <c r="M2273" s="18" t="n">
        <v>176</v>
      </c>
      <c r="N2273" s="18" t="n">
        <v>80</v>
      </c>
      <c r="O2273" s="14" t="s">
        <v>11808</v>
      </c>
      <c r="P2273" s="14" t="s">
        <v>334</v>
      </c>
      <c r="Q2273" s="15" t="s">
        <v>1089</v>
      </c>
      <c r="R2273" s="16" t="s">
        <v>14499</v>
      </c>
      <c r="S2273" s="15" t="s">
        <v>14500</v>
      </c>
      <c r="T2273" s="15" t="s">
        <v>14500</v>
      </c>
      <c r="U2273" s="21" t="s">
        <v>72</v>
      </c>
    </row>
    <row r="2274" customFormat="false" ht="15" hidden="false" customHeight="false" outlineLevel="0" collapsed="false">
      <c r="A2274" s="15" t="s">
        <v>79</v>
      </c>
      <c r="B2274" s="15" t="s">
        <v>288</v>
      </c>
      <c r="C2274" s="14" t="s">
        <v>14501</v>
      </c>
      <c r="D2274" s="14" t="s">
        <v>14502</v>
      </c>
      <c r="E2274" s="16" t="s">
        <v>14503</v>
      </c>
      <c r="F2274" s="16" t="s">
        <v>14504</v>
      </c>
      <c r="G2274" s="23" t="s">
        <v>43</v>
      </c>
      <c r="H2274" s="18" t="n">
        <v>2</v>
      </c>
      <c r="I2274" s="20" t="n">
        <v>65.89</v>
      </c>
      <c r="J2274" s="20" t="n">
        <v>123.9</v>
      </c>
      <c r="K2274" s="18" t="n">
        <v>3</v>
      </c>
      <c r="L2274" s="18" t="n">
        <v>3</v>
      </c>
      <c r="M2274" s="18" t="n">
        <v>107</v>
      </c>
      <c r="N2274" s="18" t="n">
        <v>27</v>
      </c>
      <c r="O2274" s="14" t="s">
        <v>1126</v>
      </c>
      <c r="P2274" s="14" t="s">
        <v>118</v>
      </c>
      <c r="Q2274" s="15" t="s">
        <v>1089</v>
      </c>
      <c r="R2274" s="16" t="s">
        <v>14505</v>
      </c>
      <c r="S2274" s="15" t="s">
        <v>14506</v>
      </c>
      <c r="T2274" s="15" t="s">
        <v>14507</v>
      </c>
      <c r="U2274" s="21" t="s">
        <v>72</v>
      </c>
    </row>
    <row r="2275" customFormat="false" ht="15" hidden="false" customHeight="false" outlineLevel="0" collapsed="false">
      <c r="A2275" s="15" t="s">
        <v>79</v>
      </c>
      <c r="B2275" s="15" t="s">
        <v>288</v>
      </c>
      <c r="C2275" s="14" t="s">
        <v>14508</v>
      </c>
      <c r="D2275" s="14" t="s">
        <v>14509</v>
      </c>
      <c r="E2275" s="16" t="s">
        <v>14510</v>
      </c>
      <c r="F2275" s="16"/>
      <c r="G2275" s="23" t="s">
        <v>43</v>
      </c>
      <c r="H2275" s="18" t="n">
        <v>3</v>
      </c>
      <c r="I2275" s="20" t="n">
        <v>39.9</v>
      </c>
      <c r="J2275" s="20" t="n">
        <v>111.33</v>
      </c>
      <c r="K2275" s="18" t="n">
        <v>3</v>
      </c>
      <c r="L2275" s="18"/>
      <c r="M2275" s="18" t="n">
        <v>30</v>
      </c>
      <c r="N2275" s="18" t="n">
        <v>30</v>
      </c>
      <c r="O2275" s="14" t="s">
        <v>1126</v>
      </c>
      <c r="P2275" s="14" t="s">
        <v>84</v>
      </c>
      <c r="Q2275" s="15" t="s">
        <v>1089</v>
      </c>
      <c r="R2275" s="16" t="s">
        <v>12467</v>
      </c>
      <c r="S2275" s="15" t="s">
        <v>14511</v>
      </c>
      <c r="T2275" s="15" t="s">
        <v>14512</v>
      </c>
      <c r="U2275" s="21" t="s">
        <v>72</v>
      </c>
    </row>
    <row r="2276" customFormat="false" ht="15" hidden="false" customHeight="false" outlineLevel="0" collapsed="false">
      <c r="A2276" s="15" t="s">
        <v>79</v>
      </c>
      <c r="B2276" s="15" t="s">
        <v>288</v>
      </c>
      <c r="C2276" s="14" t="s">
        <v>14513</v>
      </c>
      <c r="D2276" s="14" t="s">
        <v>14514</v>
      </c>
      <c r="E2276" s="16" t="s">
        <v>14515</v>
      </c>
      <c r="F2276" s="16" t="s">
        <v>14516</v>
      </c>
      <c r="G2276" s="23" t="s">
        <v>43</v>
      </c>
      <c r="H2276" s="18" t="n">
        <v>4</v>
      </c>
      <c r="I2276" s="20" t="n">
        <v>81.84</v>
      </c>
      <c r="J2276" s="20" t="n">
        <v>180.12</v>
      </c>
      <c r="K2276" s="18" t="n">
        <v>12</v>
      </c>
      <c r="L2276" s="18" t="n">
        <v>15</v>
      </c>
      <c r="M2276" s="18" t="n">
        <v>179</v>
      </c>
      <c r="N2276" s="18" t="n">
        <v>97</v>
      </c>
      <c r="O2276" s="14" t="s">
        <v>14517</v>
      </c>
      <c r="P2276" s="14" t="s">
        <v>226</v>
      </c>
      <c r="Q2276" s="15" t="s">
        <v>1089</v>
      </c>
      <c r="R2276" s="16" t="s">
        <v>11291</v>
      </c>
      <c r="S2276" s="15" t="s">
        <v>14518</v>
      </c>
      <c r="T2276" s="15" t="s">
        <v>14519</v>
      </c>
      <c r="U2276" s="21" t="s">
        <v>72</v>
      </c>
    </row>
    <row r="2277" customFormat="false" ht="15" hidden="false" customHeight="false" outlineLevel="0" collapsed="false">
      <c r="A2277" s="15" t="s">
        <v>79</v>
      </c>
      <c r="B2277" s="15" t="s">
        <v>288</v>
      </c>
      <c r="C2277" s="14" t="s">
        <v>287</v>
      </c>
      <c r="D2277" s="14" t="s">
        <v>14520</v>
      </c>
      <c r="E2277" s="16" t="s">
        <v>14521</v>
      </c>
      <c r="F2277" s="16" t="s">
        <v>291</v>
      </c>
      <c r="G2277" s="25" t="s">
        <v>39</v>
      </c>
      <c r="H2277" s="18" t="n">
        <v>4</v>
      </c>
      <c r="I2277" s="20" t="n">
        <v>147.84</v>
      </c>
      <c r="J2277" s="20" t="n">
        <v>552.25</v>
      </c>
      <c r="K2277" s="18" t="n">
        <v>6</v>
      </c>
      <c r="L2277" s="18" t="n">
        <v>1</v>
      </c>
      <c r="M2277" s="18" t="n">
        <v>191</v>
      </c>
      <c r="N2277" s="18" t="n">
        <v>92</v>
      </c>
      <c r="O2277" s="14" t="s">
        <v>1126</v>
      </c>
      <c r="P2277" s="14" t="s">
        <v>118</v>
      </c>
      <c r="Q2277" s="15" t="s">
        <v>1089</v>
      </c>
      <c r="R2277" s="16" t="s">
        <v>292</v>
      </c>
      <c r="S2277" s="15" t="s">
        <v>293</v>
      </c>
      <c r="T2277" s="15" t="s">
        <v>293</v>
      </c>
      <c r="U2277" s="21" t="s">
        <v>72</v>
      </c>
    </row>
    <row r="2278" customFormat="false" ht="15" hidden="false" customHeight="false" outlineLevel="0" collapsed="false">
      <c r="A2278" s="15" t="s">
        <v>79</v>
      </c>
      <c r="B2278" s="15" t="s">
        <v>288</v>
      </c>
      <c r="C2278" s="14" t="s">
        <v>14522</v>
      </c>
      <c r="D2278" s="14" t="s">
        <v>14523</v>
      </c>
      <c r="E2278" s="16" t="s">
        <v>14524</v>
      </c>
      <c r="F2278" s="16" t="s">
        <v>14516</v>
      </c>
      <c r="G2278" s="25" t="s">
        <v>39</v>
      </c>
      <c r="H2278" s="18" t="n">
        <v>9</v>
      </c>
      <c r="I2278" s="20" t="n">
        <v>198.34</v>
      </c>
      <c r="J2278" s="20" t="n">
        <v>378.8</v>
      </c>
      <c r="K2278" s="18" t="n">
        <v>42</v>
      </c>
      <c r="L2278" s="18" t="n">
        <v>18</v>
      </c>
      <c r="M2278" s="18" t="n">
        <v>606</v>
      </c>
      <c r="N2278" s="18" t="n">
        <v>252</v>
      </c>
      <c r="O2278" s="14" t="s">
        <v>14525</v>
      </c>
      <c r="P2278" s="14" t="s">
        <v>84</v>
      </c>
      <c r="Q2278" s="15" t="s">
        <v>1089</v>
      </c>
      <c r="R2278" s="16" t="s">
        <v>7036</v>
      </c>
      <c r="S2278" s="15" t="s">
        <v>14526</v>
      </c>
      <c r="T2278" s="15" t="s">
        <v>14526</v>
      </c>
      <c r="U2278" s="21" t="s">
        <v>72</v>
      </c>
    </row>
    <row r="2279" customFormat="false" ht="15" hidden="false" customHeight="false" outlineLevel="0" collapsed="false">
      <c r="A2279" s="15" t="s">
        <v>79</v>
      </c>
      <c r="B2279" s="15" t="s">
        <v>288</v>
      </c>
      <c r="C2279" s="14" t="s">
        <v>14527</v>
      </c>
      <c r="D2279" s="14" t="s">
        <v>14528</v>
      </c>
      <c r="E2279" s="16" t="s">
        <v>9704</v>
      </c>
      <c r="F2279" s="16" t="s">
        <v>282</v>
      </c>
      <c r="G2279" s="25" t="s">
        <v>39</v>
      </c>
      <c r="H2279" s="18" t="n">
        <v>13</v>
      </c>
      <c r="I2279" s="20" t="n">
        <v>320.41</v>
      </c>
      <c r="J2279" s="20" t="n">
        <v>765.24</v>
      </c>
      <c r="K2279" s="18" t="n">
        <v>13</v>
      </c>
      <c r="L2279" s="18" t="n">
        <v>28</v>
      </c>
      <c r="M2279" s="18" t="n">
        <v>312</v>
      </c>
      <c r="N2279" s="18" t="n">
        <v>312</v>
      </c>
      <c r="O2279" s="14" t="s">
        <v>1126</v>
      </c>
      <c r="P2279" s="14" t="s">
        <v>84</v>
      </c>
      <c r="Q2279" s="15" t="s">
        <v>1089</v>
      </c>
      <c r="R2279" s="16" t="s">
        <v>14529</v>
      </c>
      <c r="S2279" s="15" t="s">
        <v>14530</v>
      </c>
      <c r="T2279" s="15" t="s">
        <v>14531</v>
      </c>
      <c r="U2279" s="21" t="s">
        <v>72</v>
      </c>
    </row>
    <row r="2280" customFormat="false" ht="15" hidden="false" customHeight="false" outlineLevel="0" collapsed="false">
      <c r="A2280" s="15" t="s">
        <v>79</v>
      </c>
      <c r="B2280" s="15" t="s">
        <v>996</v>
      </c>
      <c r="C2280" s="14" t="s">
        <v>14532</v>
      </c>
      <c r="D2280" s="14" t="s">
        <v>14533</v>
      </c>
      <c r="E2280" s="16" t="s">
        <v>14534</v>
      </c>
      <c r="F2280" s="16" t="s">
        <v>14535</v>
      </c>
      <c r="G2280" s="23" t="s">
        <v>43</v>
      </c>
      <c r="H2280" s="18" t="n">
        <v>4</v>
      </c>
      <c r="I2280" s="20" t="n">
        <v>102.95</v>
      </c>
      <c r="J2280" s="20" t="n">
        <v>152.99</v>
      </c>
      <c r="K2280" s="18" t="n">
        <v>11</v>
      </c>
      <c r="L2280" s="18" t="n">
        <v>5</v>
      </c>
      <c r="M2280" s="18" t="n">
        <v>231</v>
      </c>
      <c r="N2280" s="18" t="n">
        <v>147</v>
      </c>
      <c r="O2280" s="14" t="s">
        <v>1088</v>
      </c>
      <c r="P2280" s="14" t="s">
        <v>118</v>
      </c>
      <c r="Q2280" s="15" t="s">
        <v>1089</v>
      </c>
      <c r="R2280" s="16" t="s">
        <v>14536</v>
      </c>
      <c r="S2280" s="15" t="s">
        <v>1091</v>
      </c>
      <c r="T2280" s="15" t="s">
        <v>14537</v>
      </c>
      <c r="U2280" s="21" t="s">
        <v>72</v>
      </c>
    </row>
    <row r="2281" customFormat="false" ht="26.85" hidden="false" customHeight="false" outlineLevel="0" collapsed="false">
      <c r="A2281" s="15" t="s">
        <v>79</v>
      </c>
      <c r="B2281" s="15" t="s">
        <v>996</v>
      </c>
      <c r="C2281" s="14" t="s">
        <v>14538</v>
      </c>
      <c r="D2281" s="14" t="s">
        <v>14539</v>
      </c>
      <c r="E2281" s="16" t="s">
        <v>14540</v>
      </c>
      <c r="F2281" s="16" t="s">
        <v>14541</v>
      </c>
      <c r="G2281" s="23" t="s">
        <v>43</v>
      </c>
      <c r="H2281" s="18" t="n">
        <v>3</v>
      </c>
      <c r="I2281" s="20" t="n">
        <v>61.04</v>
      </c>
      <c r="J2281" s="20" t="n">
        <v>183.54</v>
      </c>
      <c r="K2281" s="18" t="n">
        <v>11</v>
      </c>
      <c r="L2281" s="18" t="n">
        <v>5</v>
      </c>
      <c r="M2281" s="18" t="n">
        <v>173</v>
      </c>
      <c r="N2281" s="18" t="n">
        <v>85</v>
      </c>
      <c r="O2281" s="14" t="s">
        <v>14542</v>
      </c>
      <c r="P2281" s="14" t="s">
        <v>118</v>
      </c>
      <c r="Q2281" s="15" t="s">
        <v>1089</v>
      </c>
      <c r="R2281" s="16" t="s">
        <v>14543</v>
      </c>
      <c r="S2281" s="15" t="s">
        <v>14544</v>
      </c>
      <c r="T2281" s="15" t="s">
        <v>14544</v>
      </c>
      <c r="U2281" s="21" t="s">
        <v>72</v>
      </c>
    </row>
    <row r="2282" customFormat="false" ht="26.85" hidden="false" customHeight="false" outlineLevel="0" collapsed="false">
      <c r="A2282" s="15" t="s">
        <v>79</v>
      </c>
      <c r="B2282" s="15" t="s">
        <v>996</v>
      </c>
      <c r="C2282" s="14" t="s">
        <v>14545</v>
      </c>
      <c r="D2282" s="14" t="s">
        <v>14546</v>
      </c>
      <c r="E2282" s="16" t="s">
        <v>14547</v>
      </c>
      <c r="F2282" s="16" t="s">
        <v>14548</v>
      </c>
      <c r="G2282" s="23" t="s">
        <v>43</v>
      </c>
      <c r="H2282" s="18" t="n">
        <v>2</v>
      </c>
      <c r="I2282" s="20" t="n">
        <v>38.34</v>
      </c>
      <c r="J2282" s="20" t="n">
        <v>70.86</v>
      </c>
      <c r="K2282" s="18" t="n">
        <v>17</v>
      </c>
      <c r="L2282" s="18" t="n">
        <v>5</v>
      </c>
      <c r="M2282" s="18" t="n">
        <v>260</v>
      </c>
      <c r="N2282" s="18" t="n">
        <v>129</v>
      </c>
      <c r="O2282" s="14" t="s">
        <v>12270</v>
      </c>
      <c r="P2282" s="14" t="s">
        <v>118</v>
      </c>
      <c r="Q2282" s="15" t="s">
        <v>1089</v>
      </c>
      <c r="R2282" s="16" t="s">
        <v>14549</v>
      </c>
      <c r="S2282" s="15" t="s">
        <v>14550</v>
      </c>
      <c r="T2282" s="15" t="s">
        <v>14551</v>
      </c>
      <c r="U2282" s="21" t="s">
        <v>72</v>
      </c>
    </row>
    <row r="2283" customFormat="false" ht="15" hidden="false" customHeight="false" outlineLevel="0" collapsed="false">
      <c r="A2283" s="15" t="s">
        <v>79</v>
      </c>
      <c r="B2283" s="15" t="s">
        <v>996</v>
      </c>
      <c r="C2283" s="14" t="s">
        <v>14552</v>
      </c>
      <c r="D2283" s="14" t="s">
        <v>14553</v>
      </c>
      <c r="E2283" s="16" t="s">
        <v>14554</v>
      </c>
      <c r="F2283" s="16" t="s">
        <v>14555</v>
      </c>
      <c r="G2283" s="19" t="s">
        <v>41</v>
      </c>
      <c r="H2283" s="18" t="n">
        <v>7</v>
      </c>
      <c r="I2283" s="20" t="n">
        <v>52.39</v>
      </c>
      <c r="J2283" s="20" t="n">
        <v>101.7</v>
      </c>
      <c r="K2283" s="18" t="n">
        <v>16</v>
      </c>
      <c r="L2283" s="18" t="n">
        <v>3</v>
      </c>
      <c r="M2283" s="18" t="n">
        <v>107</v>
      </c>
      <c r="N2283" s="18" t="n">
        <v>24</v>
      </c>
      <c r="O2283" s="14" t="s">
        <v>14017</v>
      </c>
      <c r="P2283" s="14" t="s">
        <v>1716</v>
      </c>
      <c r="Q2283" s="15" t="s">
        <v>1089</v>
      </c>
      <c r="R2283" s="16" t="s">
        <v>14556</v>
      </c>
      <c r="S2283" s="15" t="s">
        <v>14557</v>
      </c>
      <c r="T2283" s="15" t="s">
        <v>14558</v>
      </c>
      <c r="U2283" s="21" t="s">
        <v>72</v>
      </c>
    </row>
    <row r="2284" customFormat="false" ht="15" hidden="false" customHeight="false" outlineLevel="0" collapsed="false">
      <c r="A2284" s="15" t="s">
        <v>79</v>
      </c>
      <c r="B2284" s="15" t="s">
        <v>996</v>
      </c>
      <c r="C2284" s="14" t="s">
        <v>14559</v>
      </c>
      <c r="D2284" s="14" t="s">
        <v>14560</v>
      </c>
      <c r="E2284" s="16" t="s">
        <v>14561</v>
      </c>
      <c r="F2284" s="16" t="s">
        <v>14562</v>
      </c>
      <c r="G2284" s="23" t="s">
        <v>43</v>
      </c>
      <c r="H2284" s="18" t="n">
        <v>2</v>
      </c>
      <c r="I2284" s="20" t="n">
        <v>44.54</v>
      </c>
      <c r="J2284" s="20" t="n">
        <v>120.3</v>
      </c>
      <c r="K2284" s="18" t="n">
        <v>10</v>
      </c>
      <c r="L2284" s="18" t="n">
        <v>1</v>
      </c>
      <c r="M2284" s="18" t="n">
        <v>180</v>
      </c>
      <c r="N2284" s="18" t="n">
        <v>180</v>
      </c>
      <c r="O2284" s="14" t="s">
        <v>1088</v>
      </c>
      <c r="P2284" s="14" t="s">
        <v>118</v>
      </c>
      <c r="Q2284" s="15" t="s">
        <v>1089</v>
      </c>
      <c r="R2284" s="16" t="s">
        <v>6804</v>
      </c>
      <c r="S2284" s="15" t="s">
        <v>14563</v>
      </c>
      <c r="T2284" s="15" t="s">
        <v>14563</v>
      </c>
      <c r="U2284" s="21" t="s">
        <v>72</v>
      </c>
    </row>
    <row r="2285" customFormat="false" ht="15" hidden="false" customHeight="false" outlineLevel="0" collapsed="false">
      <c r="A2285" s="15" t="s">
        <v>79</v>
      </c>
      <c r="B2285" s="15" t="s">
        <v>996</v>
      </c>
      <c r="C2285" s="14" t="s">
        <v>14564</v>
      </c>
      <c r="D2285" s="14" t="s">
        <v>14565</v>
      </c>
      <c r="E2285" s="16" t="s">
        <v>14566</v>
      </c>
      <c r="F2285" s="16" t="s">
        <v>14567</v>
      </c>
      <c r="G2285" s="19" t="s">
        <v>41</v>
      </c>
      <c r="H2285" s="18" t="n">
        <v>3</v>
      </c>
      <c r="I2285" s="20" t="n">
        <v>168.4</v>
      </c>
      <c r="J2285" s="20" t="n">
        <v>293.57</v>
      </c>
      <c r="K2285" s="18" t="n">
        <v>6</v>
      </c>
      <c r="L2285" s="18" t="n">
        <v>9</v>
      </c>
      <c r="M2285" s="18" t="n">
        <v>180</v>
      </c>
      <c r="N2285" s="18" t="n">
        <v>180</v>
      </c>
      <c r="O2285" s="14" t="s">
        <v>1097</v>
      </c>
      <c r="P2285" s="14" t="s">
        <v>84</v>
      </c>
      <c r="Q2285" s="15" t="s">
        <v>1089</v>
      </c>
      <c r="R2285" s="16" t="s">
        <v>14568</v>
      </c>
      <c r="S2285" s="15" t="s">
        <v>14569</v>
      </c>
      <c r="T2285" s="15" t="s">
        <v>14570</v>
      </c>
      <c r="U2285" s="21" t="s">
        <v>72</v>
      </c>
    </row>
    <row r="2286" customFormat="false" ht="15" hidden="false" customHeight="false" outlineLevel="0" collapsed="false">
      <c r="A2286" s="15" t="s">
        <v>79</v>
      </c>
      <c r="B2286" s="15" t="s">
        <v>996</v>
      </c>
      <c r="C2286" s="14" t="s">
        <v>14571</v>
      </c>
      <c r="D2286" s="14" t="s">
        <v>14572</v>
      </c>
      <c r="E2286" s="16" t="s">
        <v>14573</v>
      </c>
      <c r="F2286" s="16" t="s">
        <v>14574</v>
      </c>
      <c r="G2286" s="23" t="s">
        <v>43</v>
      </c>
      <c r="H2286" s="18" t="n">
        <v>2</v>
      </c>
      <c r="I2286" s="20" t="n">
        <v>47.03</v>
      </c>
      <c r="J2286" s="20" t="n">
        <v>134.96</v>
      </c>
      <c r="K2286" s="18" t="n">
        <v>4</v>
      </c>
      <c r="L2286" s="18" t="n">
        <v>4</v>
      </c>
      <c r="M2286" s="18" t="n">
        <v>76</v>
      </c>
      <c r="N2286" s="18" t="n">
        <v>42</v>
      </c>
      <c r="O2286" s="14" t="s">
        <v>5962</v>
      </c>
      <c r="P2286" s="14" t="s">
        <v>118</v>
      </c>
      <c r="Q2286" s="15" t="s">
        <v>1089</v>
      </c>
      <c r="R2286" s="16" t="s">
        <v>14575</v>
      </c>
      <c r="S2286" s="15" t="s">
        <v>14576</v>
      </c>
      <c r="T2286" s="15" t="s">
        <v>14577</v>
      </c>
      <c r="U2286" s="21" t="s">
        <v>72</v>
      </c>
    </row>
    <row r="2287" customFormat="false" ht="15" hidden="false" customHeight="false" outlineLevel="0" collapsed="false">
      <c r="A2287" s="15" t="s">
        <v>79</v>
      </c>
      <c r="B2287" s="15" t="s">
        <v>996</v>
      </c>
      <c r="C2287" s="14" t="s">
        <v>14578</v>
      </c>
      <c r="D2287" s="14" t="s">
        <v>14579</v>
      </c>
      <c r="E2287" s="16" t="s">
        <v>14580</v>
      </c>
      <c r="F2287" s="16" t="s">
        <v>14581</v>
      </c>
      <c r="G2287" s="23" t="s">
        <v>43</v>
      </c>
      <c r="H2287" s="18" t="n">
        <v>3</v>
      </c>
      <c r="I2287" s="20" t="n">
        <v>50.41</v>
      </c>
      <c r="J2287" s="20" t="n">
        <v>88.36</v>
      </c>
      <c r="K2287" s="18" t="n">
        <v>12</v>
      </c>
      <c r="L2287" s="18" t="n">
        <v>1</v>
      </c>
      <c r="M2287" s="18" t="n">
        <v>166</v>
      </c>
      <c r="N2287" s="18" t="n">
        <v>54</v>
      </c>
      <c r="O2287" s="14" t="s">
        <v>3724</v>
      </c>
      <c r="P2287" s="14" t="s">
        <v>118</v>
      </c>
      <c r="Q2287" s="15" t="s">
        <v>1089</v>
      </c>
      <c r="R2287" s="16" t="s">
        <v>14582</v>
      </c>
      <c r="S2287" s="15" t="s">
        <v>14583</v>
      </c>
      <c r="T2287" s="15" t="s">
        <v>14583</v>
      </c>
      <c r="U2287" s="21" t="s">
        <v>72</v>
      </c>
    </row>
    <row r="2288" customFormat="false" ht="15" hidden="false" customHeight="false" outlineLevel="0" collapsed="false">
      <c r="A2288" s="15" t="s">
        <v>79</v>
      </c>
      <c r="B2288" s="15" t="s">
        <v>996</v>
      </c>
      <c r="C2288" s="14" t="s">
        <v>14584</v>
      </c>
      <c r="D2288" s="14" t="s">
        <v>14585</v>
      </c>
      <c r="E2288" s="16" t="s">
        <v>14586</v>
      </c>
      <c r="F2288" s="16" t="s">
        <v>14587</v>
      </c>
      <c r="G2288" s="23" t="s">
        <v>43</v>
      </c>
      <c r="H2288" s="18" t="n">
        <v>4</v>
      </c>
      <c r="I2288" s="20" t="n">
        <v>80.92</v>
      </c>
      <c r="J2288" s="20" t="n">
        <v>191.04</v>
      </c>
      <c r="K2288" s="18" t="n">
        <v>4</v>
      </c>
      <c r="L2288" s="18" t="n">
        <v>2</v>
      </c>
      <c r="M2288" s="18" t="n">
        <v>72</v>
      </c>
      <c r="N2288" s="18" t="n">
        <v>38</v>
      </c>
      <c r="O2288" s="14" t="s">
        <v>1126</v>
      </c>
      <c r="P2288" s="14" t="s">
        <v>94</v>
      </c>
      <c r="Q2288" s="15" t="s">
        <v>1089</v>
      </c>
      <c r="R2288" s="16" t="s">
        <v>14588</v>
      </c>
      <c r="S2288" s="15" t="s">
        <v>14589</v>
      </c>
      <c r="T2288" s="15" t="s">
        <v>14590</v>
      </c>
      <c r="U2288" s="21" t="s">
        <v>72</v>
      </c>
    </row>
    <row r="2289" customFormat="false" ht="26.85" hidden="false" customHeight="false" outlineLevel="0" collapsed="false">
      <c r="A2289" s="15" t="s">
        <v>79</v>
      </c>
      <c r="B2289" s="15" t="s">
        <v>996</v>
      </c>
      <c r="C2289" s="14" t="s">
        <v>14591</v>
      </c>
      <c r="D2289" s="14" t="s">
        <v>14592</v>
      </c>
      <c r="E2289" s="16" t="s">
        <v>14593</v>
      </c>
      <c r="F2289" s="16" t="s">
        <v>14594</v>
      </c>
      <c r="G2289" s="23" t="s">
        <v>43</v>
      </c>
      <c r="H2289" s="18" t="n">
        <v>4</v>
      </c>
      <c r="I2289" s="20" t="n">
        <v>77.89</v>
      </c>
      <c r="J2289" s="20" t="n">
        <v>115.27</v>
      </c>
      <c r="K2289" s="18" t="n">
        <v>15</v>
      </c>
      <c r="L2289" s="18" t="n">
        <v>6</v>
      </c>
      <c r="M2289" s="18" t="n">
        <v>245</v>
      </c>
      <c r="N2289" s="18" t="n">
        <v>117</v>
      </c>
      <c r="O2289" s="14" t="s">
        <v>14595</v>
      </c>
      <c r="P2289" s="14" t="s">
        <v>118</v>
      </c>
      <c r="Q2289" s="15" t="s">
        <v>1089</v>
      </c>
      <c r="R2289" s="16" t="s">
        <v>11154</v>
      </c>
      <c r="S2289" s="15" t="s">
        <v>14596</v>
      </c>
      <c r="T2289" s="15" t="s">
        <v>14596</v>
      </c>
      <c r="U2289" s="21" t="s">
        <v>72</v>
      </c>
    </row>
    <row r="2290" customFormat="false" ht="15" hidden="false" customHeight="false" outlineLevel="0" collapsed="false">
      <c r="A2290" s="15" t="s">
        <v>79</v>
      </c>
      <c r="B2290" s="15" t="s">
        <v>996</v>
      </c>
      <c r="C2290" s="14" t="s">
        <v>14597</v>
      </c>
      <c r="D2290" s="14" t="s">
        <v>14598</v>
      </c>
      <c r="E2290" s="16" t="s">
        <v>14599</v>
      </c>
      <c r="F2290" s="16" t="s">
        <v>14600</v>
      </c>
      <c r="G2290" s="23" t="s">
        <v>43</v>
      </c>
      <c r="H2290" s="18" t="n">
        <v>1</v>
      </c>
      <c r="I2290" s="20" t="n">
        <v>38.79</v>
      </c>
      <c r="J2290" s="20" t="n">
        <v>79.32</v>
      </c>
      <c r="K2290" s="18" t="n">
        <v>2</v>
      </c>
      <c r="L2290" s="18" t="n">
        <v>1</v>
      </c>
      <c r="M2290" s="18" t="n">
        <v>30</v>
      </c>
      <c r="N2290" s="18" t="n">
        <v>30</v>
      </c>
      <c r="O2290" s="14" t="s">
        <v>1126</v>
      </c>
      <c r="P2290" s="14" t="s">
        <v>84</v>
      </c>
      <c r="Q2290" s="15" t="s">
        <v>1089</v>
      </c>
      <c r="R2290" s="16" t="s">
        <v>14601</v>
      </c>
      <c r="S2290" s="15" t="s">
        <v>14602</v>
      </c>
      <c r="T2290" s="15" t="s">
        <v>14603</v>
      </c>
      <c r="U2290" s="21" t="s">
        <v>72</v>
      </c>
    </row>
    <row r="2291" customFormat="false" ht="15" hidden="false" customHeight="false" outlineLevel="0" collapsed="false">
      <c r="A2291" s="15" t="s">
        <v>79</v>
      </c>
      <c r="B2291" s="15" t="s">
        <v>996</v>
      </c>
      <c r="C2291" s="14" t="s">
        <v>14604</v>
      </c>
      <c r="D2291" s="14" t="s">
        <v>14605</v>
      </c>
      <c r="E2291" s="16" t="s">
        <v>14606</v>
      </c>
      <c r="F2291" s="16" t="s">
        <v>14607</v>
      </c>
      <c r="G2291" s="23" t="s">
        <v>43</v>
      </c>
      <c r="H2291" s="18" t="n">
        <v>3</v>
      </c>
      <c r="I2291" s="20" t="n">
        <v>66.3</v>
      </c>
      <c r="J2291" s="20" t="n">
        <v>135.44</v>
      </c>
      <c r="K2291" s="18" t="n">
        <v>21</v>
      </c>
      <c r="L2291" s="18" t="n">
        <v>2</v>
      </c>
      <c r="M2291" s="18" t="n">
        <v>353</v>
      </c>
      <c r="N2291" s="18" t="n">
        <v>52</v>
      </c>
      <c r="O2291" s="14" t="s">
        <v>3724</v>
      </c>
      <c r="P2291" s="14" t="s">
        <v>118</v>
      </c>
      <c r="Q2291" s="15" t="s">
        <v>1089</v>
      </c>
      <c r="R2291" s="16" t="s">
        <v>4818</v>
      </c>
      <c r="S2291" s="15" t="s">
        <v>14608</v>
      </c>
      <c r="T2291" s="15" t="s">
        <v>14609</v>
      </c>
      <c r="U2291" s="21" t="s">
        <v>72</v>
      </c>
    </row>
    <row r="2292" customFormat="false" ht="15" hidden="false" customHeight="false" outlineLevel="0" collapsed="false">
      <c r="A2292" s="15" t="s">
        <v>79</v>
      </c>
      <c r="B2292" s="15" t="s">
        <v>996</v>
      </c>
      <c r="C2292" s="14" t="s">
        <v>14610</v>
      </c>
      <c r="D2292" s="14" t="s">
        <v>14611</v>
      </c>
      <c r="E2292" s="16" t="s">
        <v>14612</v>
      </c>
      <c r="F2292" s="16" t="s">
        <v>14613</v>
      </c>
      <c r="G2292" s="23" t="s">
        <v>43</v>
      </c>
      <c r="H2292" s="18" t="n">
        <v>2</v>
      </c>
      <c r="I2292" s="20" t="n">
        <v>71.28</v>
      </c>
      <c r="J2292" s="20" t="n">
        <v>115.7</v>
      </c>
      <c r="K2292" s="18" t="n">
        <v>6</v>
      </c>
      <c r="L2292" s="18" t="n">
        <v>1</v>
      </c>
      <c r="M2292" s="18" t="n">
        <v>177</v>
      </c>
      <c r="N2292" s="18" t="n">
        <v>113</v>
      </c>
      <c r="O2292" s="14" t="s">
        <v>13702</v>
      </c>
      <c r="P2292" s="14" t="s">
        <v>118</v>
      </c>
      <c r="Q2292" s="15" t="s">
        <v>1089</v>
      </c>
      <c r="R2292" s="16" t="s">
        <v>14614</v>
      </c>
      <c r="S2292" s="15" t="s">
        <v>14615</v>
      </c>
      <c r="T2292" s="15" t="s">
        <v>14615</v>
      </c>
      <c r="U2292" s="21" t="s">
        <v>72</v>
      </c>
    </row>
    <row r="2293" customFormat="false" ht="15" hidden="false" customHeight="false" outlineLevel="0" collapsed="false">
      <c r="A2293" s="15" t="s">
        <v>79</v>
      </c>
      <c r="B2293" s="15" t="s">
        <v>996</v>
      </c>
      <c r="C2293" s="14" t="s">
        <v>14616</v>
      </c>
      <c r="D2293" s="14" t="s">
        <v>14617</v>
      </c>
      <c r="E2293" s="16" t="s">
        <v>14618</v>
      </c>
      <c r="F2293" s="16" t="s">
        <v>14619</v>
      </c>
      <c r="G2293" s="23" t="s">
        <v>43</v>
      </c>
      <c r="H2293" s="18" t="n">
        <v>1</v>
      </c>
      <c r="I2293" s="20" t="n">
        <v>33.34</v>
      </c>
      <c r="J2293" s="20" t="n">
        <v>75.182</v>
      </c>
      <c r="K2293" s="18" t="n">
        <v>2</v>
      </c>
      <c r="L2293" s="18" t="n">
        <v>1</v>
      </c>
      <c r="M2293" s="18" t="n">
        <v>54</v>
      </c>
      <c r="N2293" s="18" t="n">
        <v>54</v>
      </c>
      <c r="O2293" s="14" t="s">
        <v>1088</v>
      </c>
      <c r="P2293" s="14" t="s">
        <v>84</v>
      </c>
      <c r="Q2293" s="15" t="s">
        <v>1089</v>
      </c>
      <c r="R2293" s="16" t="s">
        <v>4264</v>
      </c>
      <c r="S2293" s="15" t="s">
        <v>14620</v>
      </c>
      <c r="T2293" s="15" t="s">
        <v>14620</v>
      </c>
      <c r="U2293" s="21" t="s">
        <v>72</v>
      </c>
    </row>
    <row r="2294" customFormat="false" ht="15" hidden="false" customHeight="false" outlineLevel="0" collapsed="false">
      <c r="A2294" s="15" t="s">
        <v>79</v>
      </c>
      <c r="B2294" s="15" t="s">
        <v>996</v>
      </c>
      <c r="C2294" s="14" t="s">
        <v>14621</v>
      </c>
      <c r="D2294" s="14" t="s">
        <v>14622</v>
      </c>
      <c r="E2294" s="16" t="s">
        <v>14623</v>
      </c>
      <c r="F2294" s="16" t="s">
        <v>14624</v>
      </c>
      <c r="G2294" s="23" t="s">
        <v>43</v>
      </c>
      <c r="H2294" s="18" t="n">
        <v>3</v>
      </c>
      <c r="I2294" s="20" t="n">
        <v>61.8</v>
      </c>
      <c r="J2294" s="20" t="n">
        <v>193.98</v>
      </c>
      <c r="K2294" s="18" t="n">
        <v>8</v>
      </c>
      <c r="L2294" s="18" t="n">
        <v>7</v>
      </c>
      <c r="M2294" s="18" t="n">
        <v>147</v>
      </c>
      <c r="N2294" s="18" t="n">
        <v>120</v>
      </c>
      <c r="O2294" s="14" t="s">
        <v>1088</v>
      </c>
      <c r="P2294" s="14" t="s">
        <v>118</v>
      </c>
      <c r="Q2294" s="15" t="s">
        <v>1089</v>
      </c>
      <c r="R2294" s="16" t="s">
        <v>14625</v>
      </c>
      <c r="S2294" s="15" t="s">
        <v>14626</v>
      </c>
      <c r="T2294" s="15" t="s">
        <v>14626</v>
      </c>
      <c r="U2294" s="21" t="s">
        <v>72</v>
      </c>
    </row>
    <row r="2295" customFormat="false" ht="15" hidden="false" customHeight="false" outlineLevel="0" collapsed="false">
      <c r="A2295" s="15" t="s">
        <v>79</v>
      </c>
      <c r="B2295" s="15" t="s">
        <v>996</v>
      </c>
      <c r="C2295" s="14" t="s">
        <v>14627</v>
      </c>
      <c r="D2295" s="14" t="s">
        <v>14628</v>
      </c>
      <c r="E2295" s="16" t="s">
        <v>14629</v>
      </c>
      <c r="F2295" s="16" t="s">
        <v>14630</v>
      </c>
      <c r="G2295" s="19" t="s">
        <v>41</v>
      </c>
      <c r="H2295" s="18" t="n">
        <v>7</v>
      </c>
      <c r="I2295" s="20" t="n">
        <v>171.79</v>
      </c>
      <c r="J2295" s="20" t="n">
        <v>343</v>
      </c>
      <c r="K2295" s="18" t="n">
        <v>7</v>
      </c>
      <c r="L2295" s="18" t="n">
        <v>7</v>
      </c>
      <c r="M2295" s="18" t="n">
        <v>300</v>
      </c>
      <c r="N2295" s="18" t="n">
        <v>156</v>
      </c>
      <c r="O2295" s="14" t="s">
        <v>1088</v>
      </c>
      <c r="P2295" s="14" t="s">
        <v>118</v>
      </c>
      <c r="Q2295" s="15" t="s">
        <v>1089</v>
      </c>
      <c r="R2295" s="16" t="s">
        <v>8327</v>
      </c>
      <c r="S2295" s="15" t="s">
        <v>14631</v>
      </c>
      <c r="T2295" s="15" t="s">
        <v>14632</v>
      </c>
      <c r="U2295" s="21" t="s">
        <v>72</v>
      </c>
    </row>
    <row r="2296" customFormat="false" ht="39.55" hidden="false" customHeight="false" outlineLevel="0" collapsed="false">
      <c r="A2296" s="15" t="s">
        <v>79</v>
      </c>
      <c r="B2296" s="15" t="s">
        <v>996</v>
      </c>
      <c r="C2296" s="14" t="s">
        <v>14633</v>
      </c>
      <c r="D2296" s="14" t="s">
        <v>14634</v>
      </c>
      <c r="E2296" s="16" t="s">
        <v>14635</v>
      </c>
      <c r="F2296" s="16" t="s">
        <v>14636</v>
      </c>
      <c r="G2296" s="23" t="s">
        <v>43</v>
      </c>
      <c r="H2296" s="18" t="n">
        <v>3</v>
      </c>
      <c r="I2296" s="20" t="n">
        <v>54.47</v>
      </c>
      <c r="J2296" s="20" t="n">
        <v>105.88</v>
      </c>
      <c r="K2296" s="18" t="n">
        <v>8</v>
      </c>
      <c r="L2296" s="18" t="n">
        <v>3</v>
      </c>
      <c r="M2296" s="18" t="n">
        <v>118</v>
      </c>
      <c r="N2296" s="18" t="n">
        <v>73</v>
      </c>
      <c r="O2296" s="14" t="s">
        <v>14637</v>
      </c>
      <c r="P2296" s="14" t="s">
        <v>118</v>
      </c>
      <c r="Q2296" s="15" t="s">
        <v>1089</v>
      </c>
      <c r="R2296" s="16" t="s">
        <v>14638</v>
      </c>
      <c r="S2296" s="15" t="s">
        <v>14639</v>
      </c>
      <c r="T2296" s="15" t="s">
        <v>14639</v>
      </c>
      <c r="U2296" s="21" t="s">
        <v>72</v>
      </c>
    </row>
    <row r="2297" customFormat="false" ht="15" hidden="false" customHeight="false" outlineLevel="0" collapsed="false">
      <c r="A2297" s="15" t="s">
        <v>79</v>
      </c>
      <c r="B2297" s="15" t="s">
        <v>996</v>
      </c>
      <c r="C2297" s="14" t="s">
        <v>14640</v>
      </c>
      <c r="D2297" s="14" t="s">
        <v>14641</v>
      </c>
      <c r="E2297" s="16" t="s">
        <v>14642</v>
      </c>
      <c r="F2297" s="16" t="s">
        <v>14643</v>
      </c>
      <c r="G2297" s="25" t="s">
        <v>39</v>
      </c>
      <c r="H2297" s="18" t="n">
        <v>9</v>
      </c>
      <c r="I2297" s="20" t="n">
        <v>63.97</v>
      </c>
      <c r="J2297" s="20" t="n">
        <v>133.88</v>
      </c>
      <c r="K2297" s="18" t="n">
        <v>10</v>
      </c>
      <c r="L2297" s="18" t="n">
        <v>3</v>
      </c>
      <c r="M2297" s="18" t="n">
        <v>141</v>
      </c>
      <c r="N2297" s="18" t="n">
        <v>41</v>
      </c>
      <c r="O2297" s="14" t="s">
        <v>1126</v>
      </c>
      <c r="P2297" s="14" t="s">
        <v>118</v>
      </c>
      <c r="Q2297" s="15" t="s">
        <v>1089</v>
      </c>
      <c r="R2297" s="16" t="s">
        <v>14644</v>
      </c>
      <c r="S2297" s="15" t="s">
        <v>14645</v>
      </c>
      <c r="T2297" s="15" t="s">
        <v>14646</v>
      </c>
      <c r="U2297" s="21" t="s">
        <v>72</v>
      </c>
    </row>
    <row r="2298" customFormat="false" ht="15" hidden="false" customHeight="false" outlineLevel="0" collapsed="false">
      <c r="A2298" s="15" t="s">
        <v>79</v>
      </c>
      <c r="B2298" s="15" t="s">
        <v>996</v>
      </c>
      <c r="C2298" s="14" t="s">
        <v>14647</v>
      </c>
      <c r="D2298" s="14" t="s">
        <v>14648</v>
      </c>
      <c r="E2298" s="16" t="s">
        <v>14649</v>
      </c>
      <c r="F2298" s="16" t="s">
        <v>14650</v>
      </c>
      <c r="G2298" s="23" t="s">
        <v>43</v>
      </c>
      <c r="H2298" s="18" t="n">
        <v>4</v>
      </c>
      <c r="I2298" s="20" t="n">
        <v>90.21</v>
      </c>
      <c r="J2298" s="20" t="n">
        <v>189.11</v>
      </c>
      <c r="K2298" s="18" t="n">
        <v>6</v>
      </c>
      <c r="L2298" s="18" t="n">
        <v>6</v>
      </c>
      <c r="M2298" s="18" t="n">
        <v>104</v>
      </c>
      <c r="N2298" s="18" t="n">
        <v>32</v>
      </c>
      <c r="O2298" s="14" t="s">
        <v>1126</v>
      </c>
      <c r="P2298" s="14" t="s">
        <v>334</v>
      </c>
      <c r="Q2298" s="15" t="s">
        <v>1089</v>
      </c>
      <c r="R2298" s="16" t="s">
        <v>14651</v>
      </c>
      <c r="S2298" s="15" t="s">
        <v>14652</v>
      </c>
      <c r="T2298" s="15" t="s">
        <v>14653</v>
      </c>
      <c r="U2298" s="21" t="s">
        <v>72</v>
      </c>
    </row>
    <row r="2299" customFormat="false" ht="15" hidden="false" customHeight="false" outlineLevel="0" collapsed="false">
      <c r="A2299" s="15" t="s">
        <v>79</v>
      </c>
      <c r="B2299" s="15" t="s">
        <v>996</v>
      </c>
      <c r="C2299" s="14" t="s">
        <v>14654</v>
      </c>
      <c r="D2299" s="14" t="s">
        <v>14655</v>
      </c>
      <c r="E2299" s="16" t="s">
        <v>14656</v>
      </c>
      <c r="F2299" s="16" t="s">
        <v>282</v>
      </c>
      <c r="G2299" s="23" t="s">
        <v>43</v>
      </c>
      <c r="H2299" s="18" t="n">
        <v>2</v>
      </c>
      <c r="I2299" s="20" t="n">
        <v>68.3</v>
      </c>
      <c r="J2299" s="20"/>
      <c r="K2299" s="18" t="n">
        <v>4</v>
      </c>
      <c r="L2299" s="18" t="n">
        <v>24</v>
      </c>
      <c r="M2299" s="18" t="n">
        <v>80</v>
      </c>
      <c r="N2299" s="18" t="n">
        <v>80</v>
      </c>
      <c r="O2299" s="14" t="s">
        <v>1088</v>
      </c>
      <c r="P2299" s="14" t="s">
        <v>84</v>
      </c>
      <c r="Q2299" s="15" t="s">
        <v>1089</v>
      </c>
      <c r="R2299" s="16" t="s">
        <v>14657</v>
      </c>
      <c r="S2299" s="15" t="s">
        <v>717</v>
      </c>
      <c r="T2299" s="15" t="s">
        <v>14658</v>
      </c>
      <c r="U2299" s="21" t="s">
        <v>72</v>
      </c>
    </row>
    <row r="2300" customFormat="false" ht="15" hidden="false" customHeight="false" outlineLevel="0" collapsed="false">
      <c r="A2300" s="15" t="s">
        <v>79</v>
      </c>
      <c r="B2300" s="15" t="s">
        <v>996</v>
      </c>
      <c r="C2300" s="14" t="s">
        <v>14659</v>
      </c>
      <c r="D2300" s="14" t="s">
        <v>14660</v>
      </c>
      <c r="E2300" s="16" t="s">
        <v>14661</v>
      </c>
      <c r="F2300" s="16" t="s">
        <v>14662</v>
      </c>
      <c r="G2300" s="23" t="s">
        <v>43</v>
      </c>
      <c r="H2300" s="18" t="n">
        <v>2</v>
      </c>
      <c r="I2300" s="20" t="n">
        <v>37.95</v>
      </c>
      <c r="J2300" s="20" t="n">
        <v>89.45</v>
      </c>
      <c r="K2300" s="18" t="n">
        <v>11</v>
      </c>
      <c r="L2300" s="18" t="n">
        <v>4</v>
      </c>
      <c r="M2300" s="18" t="n">
        <v>172</v>
      </c>
      <c r="N2300" s="18" t="n">
        <v>108</v>
      </c>
      <c r="O2300" s="14" t="s">
        <v>14663</v>
      </c>
      <c r="P2300" s="14" t="s">
        <v>118</v>
      </c>
      <c r="Q2300" s="15" t="s">
        <v>1089</v>
      </c>
      <c r="R2300" s="16" t="s">
        <v>14664</v>
      </c>
      <c r="S2300" s="15" t="s">
        <v>14665</v>
      </c>
      <c r="T2300" s="15" t="s">
        <v>14666</v>
      </c>
      <c r="U2300" s="21" t="s">
        <v>72</v>
      </c>
    </row>
    <row r="2301" customFormat="false" ht="15" hidden="false" customHeight="false" outlineLevel="0" collapsed="false">
      <c r="A2301" s="15" t="s">
        <v>79</v>
      </c>
      <c r="B2301" s="15" t="s">
        <v>996</v>
      </c>
      <c r="C2301" s="14" t="s">
        <v>14667</v>
      </c>
      <c r="D2301" s="14" t="s">
        <v>14668</v>
      </c>
      <c r="E2301" s="16" t="s">
        <v>14669</v>
      </c>
      <c r="F2301" s="16" t="s">
        <v>14670</v>
      </c>
      <c r="G2301" s="23" t="s">
        <v>43</v>
      </c>
      <c r="H2301" s="18" t="n">
        <v>2</v>
      </c>
      <c r="I2301" s="20" t="n">
        <v>44.24</v>
      </c>
      <c r="J2301" s="20" t="n">
        <v>117.2</v>
      </c>
      <c r="K2301" s="18" t="n">
        <v>6</v>
      </c>
      <c r="L2301" s="18" t="n">
        <v>4</v>
      </c>
      <c r="M2301" s="18" t="n">
        <v>122</v>
      </c>
      <c r="N2301" s="18" t="n">
        <v>57</v>
      </c>
      <c r="O2301" s="14" t="s">
        <v>1126</v>
      </c>
      <c r="P2301" s="14" t="s">
        <v>118</v>
      </c>
      <c r="Q2301" s="15" t="s">
        <v>1089</v>
      </c>
      <c r="R2301" s="16" t="s">
        <v>10512</v>
      </c>
      <c r="S2301" s="15" t="s">
        <v>14671</v>
      </c>
      <c r="T2301" s="15" t="s">
        <v>14671</v>
      </c>
      <c r="U2301" s="21" t="s">
        <v>72</v>
      </c>
    </row>
    <row r="2302" customFormat="false" ht="15" hidden="false" customHeight="false" outlineLevel="0" collapsed="false">
      <c r="A2302" s="15" t="s">
        <v>79</v>
      </c>
      <c r="B2302" s="15" t="s">
        <v>996</v>
      </c>
      <c r="C2302" s="14" t="s">
        <v>14672</v>
      </c>
      <c r="D2302" s="14" t="s">
        <v>14673</v>
      </c>
      <c r="E2302" s="16" t="s">
        <v>14674</v>
      </c>
      <c r="F2302" s="16" t="s">
        <v>14675</v>
      </c>
      <c r="G2302" s="23" t="s">
        <v>43</v>
      </c>
      <c r="H2302" s="18" t="n">
        <v>2</v>
      </c>
      <c r="I2302" s="20" t="n">
        <v>39.51</v>
      </c>
      <c r="J2302" s="20" t="n">
        <v>134.8</v>
      </c>
      <c r="K2302" s="18" t="n">
        <v>8</v>
      </c>
      <c r="L2302" s="18" t="n">
        <v>1</v>
      </c>
      <c r="M2302" s="18" t="n">
        <v>128</v>
      </c>
      <c r="N2302" s="18" t="n">
        <v>48</v>
      </c>
      <c r="O2302" s="14" t="s">
        <v>1126</v>
      </c>
      <c r="P2302" s="14" t="s">
        <v>118</v>
      </c>
      <c r="Q2302" s="15" t="s">
        <v>1089</v>
      </c>
      <c r="R2302" s="16" t="s">
        <v>11202</v>
      </c>
      <c r="S2302" s="15" t="s">
        <v>14676</v>
      </c>
      <c r="T2302" s="15" t="s">
        <v>14677</v>
      </c>
      <c r="U2302" s="21" t="s">
        <v>72</v>
      </c>
    </row>
    <row r="2303" customFormat="false" ht="15" hidden="false" customHeight="false" outlineLevel="0" collapsed="false">
      <c r="A2303" s="15" t="s">
        <v>79</v>
      </c>
      <c r="B2303" s="15" t="s">
        <v>996</v>
      </c>
      <c r="C2303" s="14" t="s">
        <v>14678</v>
      </c>
      <c r="D2303" s="14" t="s">
        <v>14679</v>
      </c>
      <c r="E2303" s="16" t="s">
        <v>14680</v>
      </c>
      <c r="F2303" s="16" t="s">
        <v>14681</v>
      </c>
      <c r="G2303" s="23" t="s">
        <v>43</v>
      </c>
      <c r="H2303" s="18" t="n">
        <v>1</v>
      </c>
      <c r="I2303" s="20" t="n">
        <v>40.79</v>
      </c>
      <c r="J2303" s="20" t="n">
        <v>105.03</v>
      </c>
      <c r="K2303" s="18" t="n">
        <v>3</v>
      </c>
      <c r="L2303" s="18" t="n">
        <v>1</v>
      </c>
      <c r="M2303" s="18" t="n">
        <v>99</v>
      </c>
      <c r="N2303" s="18" t="n">
        <v>99</v>
      </c>
      <c r="O2303" s="14" t="s">
        <v>1126</v>
      </c>
      <c r="P2303" s="14" t="s">
        <v>84</v>
      </c>
      <c r="Q2303" s="15" t="s">
        <v>1089</v>
      </c>
      <c r="R2303" s="16" t="s">
        <v>14682</v>
      </c>
      <c r="S2303" s="15" t="s">
        <v>7868</v>
      </c>
      <c r="T2303" s="15" t="s">
        <v>7868</v>
      </c>
      <c r="U2303" s="21" t="s">
        <v>72</v>
      </c>
    </row>
    <row r="2304" customFormat="false" ht="15" hidden="false" customHeight="false" outlineLevel="0" collapsed="false">
      <c r="A2304" s="15" t="s">
        <v>79</v>
      </c>
      <c r="B2304" s="15" t="s">
        <v>996</v>
      </c>
      <c r="C2304" s="14" t="s">
        <v>14683</v>
      </c>
      <c r="D2304" s="14" t="s">
        <v>14684</v>
      </c>
      <c r="E2304" s="16" t="s">
        <v>14685</v>
      </c>
      <c r="F2304" s="16" t="s">
        <v>14686</v>
      </c>
      <c r="G2304" s="23" t="s">
        <v>43</v>
      </c>
      <c r="H2304" s="18" t="n">
        <v>1</v>
      </c>
      <c r="I2304" s="20" t="n">
        <v>41.93</v>
      </c>
      <c r="J2304" s="20" t="n">
        <v>51.61</v>
      </c>
      <c r="K2304" s="18" t="n">
        <v>6</v>
      </c>
      <c r="L2304" s="18" t="n">
        <v>1</v>
      </c>
      <c r="M2304" s="18" t="n">
        <v>204</v>
      </c>
      <c r="N2304" s="18" t="n">
        <v>68</v>
      </c>
      <c r="O2304" s="14" t="s">
        <v>1126</v>
      </c>
      <c r="P2304" s="14" t="s">
        <v>84</v>
      </c>
      <c r="Q2304" s="15" t="s">
        <v>1089</v>
      </c>
      <c r="R2304" s="16" t="s">
        <v>14687</v>
      </c>
      <c r="S2304" s="15" t="s">
        <v>14688</v>
      </c>
      <c r="T2304" s="15" t="s">
        <v>14689</v>
      </c>
      <c r="U2304" s="21" t="s">
        <v>72</v>
      </c>
    </row>
    <row r="2305" customFormat="false" ht="15" hidden="false" customHeight="false" outlineLevel="0" collapsed="false">
      <c r="A2305" s="15" t="s">
        <v>79</v>
      </c>
      <c r="B2305" s="15" t="s">
        <v>996</v>
      </c>
      <c r="C2305" s="14" t="s">
        <v>14690</v>
      </c>
      <c r="D2305" s="14" t="s">
        <v>14691</v>
      </c>
      <c r="E2305" s="16" t="s">
        <v>14692</v>
      </c>
      <c r="F2305" s="16" t="s">
        <v>14693</v>
      </c>
      <c r="G2305" s="19" t="s">
        <v>41</v>
      </c>
      <c r="H2305" s="18" t="n">
        <v>5</v>
      </c>
      <c r="I2305" s="20" t="n">
        <v>90.39</v>
      </c>
      <c r="J2305" s="20" t="n">
        <v>283.64</v>
      </c>
      <c r="K2305" s="18" t="n">
        <v>16</v>
      </c>
      <c r="L2305" s="18" t="n">
        <v>6</v>
      </c>
      <c r="M2305" s="18" t="n">
        <v>257</v>
      </c>
      <c r="N2305" s="18" t="n">
        <v>115</v>
      </c>
      <c r="O2305" s="14" t="s">
        <v>11356</v>
      </c>
      <c r="P2305" s="14" t="s">
        <v>118</v>
      </c>
      <c r="Q2305" s="15" t="s">
        <v>1089</v>
      </c>
      <c r="R2305" s="16" t="s">
        <v>14694</v>
      </c>
      <c r="S2305" s="15" t="s">
        <v>14695</v>
      </c>
      <c r="T2305" s="15" t="s">
        <v>14695</v>
      </c>
      <c r="U2305" s="21" t="s">
        <v>72</v>
      </c>
    </row>
    <row r="2306" customFormat="false" ht="15" hidden="false" customHeight="false" outlineLevel="0" collapsed="false">
      <c r="A2306" s="15" t="s">
        <v>79</v>
      </c>
      <c r="B2306" s="15" t="s">
        <v>996</v>
      </c>
      <c r="C2306" s="14" t="s">
        <v>14696</v>
      </c>
      <c r="D2306" s="14" t="s">
        <v>14697</v>
      </c>
      <c r="E2306" s="16" t="s">
        <v>14698</v>
      </c>
      <c r="F2306" s="16"/>
      <c r="G2306" s="23" t="s">
        <v>43</v>
      </c>
      <c r="H2306" s="18" t="n">
        <v>1</v>
      </c>
      <c r="I2306" s="20" t="n">
        <v>33.15</v>
      </c>
      <c r="J2306" s="20" t="n">
        <v>70.01</v>
      </c>
      <c r="K2306" s="18" t="n">
        <v>2</v>
      </c>
      <c r="L2306" s="18" t="n">
        <v>2</v>
      </c>
      <c r="M2306" s="18" t="n">
        <v>40</v>
      </c>
      <c r="N2306" s="18" t="n">
        <v>20</v>
      </c>
      <c r="O2306" s="14" t="s">
        <v>1126</v>
      </c>
      <c r="P2306" s="14" t="s">
        <v>118</v>
      </c>
      <c r="Q2306" s="15" t="s">
        <v>1089</v>
      </c>
      <c r="R2306" s="16" t="s">
        <v>8290</v>
      </c>
      <c r="S2306" s="15" t="s">
        <v>14699</v>
      </c>
      <c r="T2306" s="15" t="s">
        <v>14700</v>
      </c>
      <c r="U2306" s="21" t="s">
        <v>72</v>
      </c>
    </row>
    <row r="2307" customFormat="false" ht="15" hidden="false" customHeight="false" outlineLevel="0" collapsed="false">
      <c r="A2307" s="15" t="s">
        <v>79</v>
      </c>
      <c r="B2307" s="15" t="s">
        <v>996</v>
      </c>
      <c r="C2307" s="14" t="s">
        <v>14701</v>
      </c>
      <c r="D2307" s="14" t="s">
        <v>14702</v>
      </c>
      <c r="E2307" s="16" t="s">
        <v>14703</v>
      </c>
      <c r="F2307" s="16" t="s">
        <v>12832</v>
      </c>
      <c r="G2307" s="19" t="s">
        <v>41</v>
      </c>
      <c r="H2307" s="18" t="n">
        <v>5</v>
      </c>
      <c r="I2307" s="20" t="n">
        <v>99.68</v>
      </c>
      <c r="J2307" s="20" t="n">
        <v>228.91</v>
      </c>
      <c r="K2307" s="18" t="n">
        <v>5</v>
      </c>
      <c r="L2307" s="18" t="n">
        <v>4</v>
      </c>
      <c r="M2307" s="18" t="n">
        <v>50</v>
      </c>
      <c r="N2307" s="18" t="n">
        <v>30</v>
      </c>
      <c r="O2307" s="14" t="s">
        <v>1088</v>
      </c>
      <c r="P2307" s="14" t="s">
        <v>118</v>
      </c>
      <c r="Q2307" s="15" t="s">
        <v>1089</v>
      </c>
      <c r="R2307" s="16" t="s">
        <v>14704</v>
      </c>
      <c r="S2307" s="15" t="s">
        <v>12834</v>
      </c>
      <c r="T2307" s="15" t="s">
        <v>12834</v>
      </c>
      <c r="U2307" s="21" t="s">
        <v>72</v>
      </c>
    </row>
    <row r="2308" customFormat="false" ht="26.85" hidden="false" customHeight="false" outlineLevel="0" collapsed="false">
      <c r="A2308" s="15" t="s">
        <v>79</v>
      </c>
      <c r="B2308" s="15" t="s">
        <v>996</v>
      </c>
      <c r="C2308" s="14" t="s">
        <v>14705</v>
      </c>
      <c r="D2308" s="14" t="s">
        <v>14706</v>
      </c>
      <c r="E2308" s="16" t="s">
        <v>14707</v>
      </c>
      <c r="F2308" s="16" t="s">
        <v>14708</v>
      </c>
      <c r="G2308" s="19" t="s">
        <v>41</v>
      </c>
      <c r="H2308" s="18" t="n">
        <v>4</v>
      </c>
      <c r="I2308" s="20" t="n">
        <v>169.51</v>
      </c>
      <c r="J2308" s="20" t="n">
        <v>220.49</v>
      </c>
      <c r="K2308" s="18" t="n">
        <v>41</v>
      </c>
      <c r="L2308" s="18" t="n">
        <v>7</v>
      </c>
      <c r="M2308" s="18" t="n">
        <v>1566</v>
      </c>
      <c r="N2308" s="18" t="n">
        <v>231</v>
      </c>
      <c r="O2308" s="14" t="s">
        <v>13709</v>
      </c>
      <c r="P2308" s="14" t="s">
        <v>352</v>
      </c>
      <c r="Q2308" s="15" t="s">
        <v>1089</v>
      </c>
      <c r="R2308" s="16" t="s">
        <v>14709</v>
      </c>
      <c r="S2308" s="15" t="s">
        <v>14710</v>
      </c>
      <c r="T2308" s="15" t="s">
        <v>14710</v>
      </c>
      <c r="U2308" s="21" t="s">
        <v>72</v>
      </c>
    </row>
    <row r="2309" customFormat="false" ht="15" hidden="false" customHeight="false" outlineLevel="0" collapsed="false">
      <c r="A2309" s="15" t="s">
        <v>79</v>
      </c>
      <c r="B2309" s="15" t="s">
        <v>996</v>
      </c>
      <c r="C2309" s="14" t="s">
        <v>14711</v>
      </c>
      <c r="D2309" s="14" t="s">
        <v>14712</v>
      </c>
      <c r="E2309" s="16" t="s">
        <v>14713</v>
      </c>
      <c r="F2309" s="16" t="s">
        <v>14714</v>
      </c>
      <c r="G2309" s="23" t="s">
        <v>43</v>
      </c>
      <c r="H2309" s="18" t="n">
        <v>3</v>
      </c>
      <c r="I2309" s="20" t="n">
        <v>47.22</v>
      </c>
      <c r="J2309" s="20" t="n">
        <v>86.15</v>
      </c>
      <c r="K2309" s="18" t="n">
        <v>6</v>
      </c>
      <c r="L2309" s="18" t="n">
        <v>3</v>
      </c>
      <c r="M2309" s="18" t="n">
        <v>76</v>
      </c>
      <c r="N2309" s="18" t="n">
        <v>76</v>
      </c>
      <c r="O2309" s="14" t="s">
        <v>1088</v>
      </c>
      <c r="P2309" s="14" t="s">
        <v>84</v>
      </c>
      <c r="Q2309" s="15" t="s">
        <v>1089</v>
      </c>
      <c r="R2309" s="16" t="s">
        <v>10196</v>
      </c>
      <c r="S2309" s="15" t="s">
        <v>14715</v>
      </c>
      <c r="T2309" s="15" t="s">
        <v>14715</v>
      </c>
      <c r="U2309" s="21" t="s">
        <v>72</v>
      </c>
    </row>
    <row r="2310" customFormat="false" ht="15" hidden="false" customHeight="false" outlineLevel="0" collapsed="false">
      <c r="A2310" s="15" t="s">
        <v>79</v>
      </c>
      <c r="B2310" s="15" t="s">
        <v>996</v>
      </c>
      <c r="C2310" s="14" t="s">
        <v>14716</v>
      </c>
      <c r="D2310" s="14" t="s">
        <v>14717</v>
      </c>
      <c r="E2310" s="16" t="s">
        <v>14718</v>
      </c>
      <c r="F2310" s="16" t="s">
        <v>12832</v>
      </c>
      <c r="G2310" s="19" t="s">
        <v>41</v>
      </c>
      <c r="H2310" s="18" t="n">
        <v>5</v>
      </c>
      <c r="I2310" s="20" t="n">
        <v>105.39</v>
      </c>
      <c r="J2310" s="20" t="n">
        <v>173.61</v>
      </c>
      <c r="K2310" s="18" t="n">
        <v>5</v>
      </c>
      <c r="L2310" s="18" t="n">
        <v>5</v>
      </c>
      <c r="M2310" s="18" t="n">
        <v>102</v>
      </c>
      <c r="N2310" s="18" t="n">
        <v>66</v>
      </c>
      <c r="O2310" s="14" t="s">
        <v>1088</v>
      </c>
      <c r="P2310" s="14" t="s">
        <v>118</v>
      </c>
      <c r="Q2310" s="15" t="s">
        <v>1089</v>
      </c>
      <c r="R2310" s="16" t="s">
        <v>14719</v>
      </c>
      <c r="S2310" s="15" t="s">
        <v>12834</v>
      </c>
      <c r="T2310" s="15" t="s">
        <v>14720</v>
      </c>
      <c r="U2310" s="21" t="s">
        <v>72</v>
      </c>
    </row>
    <row r="2311" customFormat="false" ht="26.85" hidden="false" customHeight="false" outlineLevel="0" collapsed="false">
      <c r="A2311" s="15" t="s">
        <v>79</v>
      </c>
      <c r="B2311" s="15" t="s">
        <v>996</v>
      </c>
      <c r="C2311" s="14" t="s">
        <v>14721</v>
      </c>
      <c r="D2311" s="14" t="s">
        <v>14722</v>
      </c>
      <c r="E2311" s="16" t="s">
        <v>14723</v>
      </c>
      <c r="F2311" s="16" t="s">
        <v>12832</v>
      </c>
      <c r="G2311" s="23" t="s">
        <v>43</v>
      </c>
      <c r="H2311" s="18" t="n">
        <v>3</v>
      </c>
      <c r="I2311" s="20" t="n">
        <v>43.21</v>
      </c>
      <c r="J2311" s="20" t="n">
        <v>79.53</v>
      </c>
      <c r="K2311" s="18" t="n">
        <v>3</v>
      </c>
      <c r="L2311" s="18" t="n">
        <v>6</v>
      </c>
      <c r="M2311" s="18" t="n">
        <v>34</v>
      </c>
      <c r="N2311" s="18" t="n">
        <v>34</v>
      </c>
      <c r="O2311" s="14" t="s">
        <v>14724</v>
      </c>
      <c r="P2311" s="14" t="s">
        <v>118</v>
      </c>
      <c r="Q2311" s="15" t="s">
        <v>1089</v>
      </c>
      <c r="R2311" s="16" t="s">
        <v>14725</v>
      </c>
      <c r="S2311" s="15" t="s">
        <v>12834</v>
      </c>
      <c r="T2311" s="15" t="s">
        <v>14726</v>
      </c>
      <c r="U2311" s="21" t="s">
        <v>72</v>
      </c>
    </row>
    <row r="2312" customFormat="false" ht="39.55" hidden="false" customHeight="false" outlineLevel="0" collapsed="false">
      <c r="A2312" s="15" t="s">
        <v>79</v>
      </c>
      <c r="B2312" s="15" t="s">
        <v>996</v>
      </c>
      <c r="C2312" s="14" t="s">
        <v>14727</v>
      </c>
      <c r="D2312" s="14" t="s">
        <v>14728</v>
      </c>
      <c r="E2312" s="16" t="s">
        <v>14729</v>
      </c>
      <c r="F2312" s="16" t="s">
        <v>14730</v>
      </c>
      <c r="G2312" s="23" t="s">
        <v>43</v>
      </c>
      <c r="H2312" s="18" t="n">
        <v>3</v>
      </c>
      <c r="I2312" s="20" t="n">
        <v>57.99</v>
      </c>
      <c r="J2312" s="20" t="n">
        <v>141.43</v>
      </c>
      <c r="K2312" s="18" t="n">
        <v>36</v>
      </c>
      <c r="L2312" s="18" t="n">
        <v>1</v>
      </c>
      <c r="M2312" s="18" t="n">
        <v>471</v>
      </c>
      <c r="N2312" s="18" t="n">
        <v>207</v>
      </c>
      <c r="O2312" s="14" t="s">
        <v>14731</v>
      </c>
      <c r="P2312" s="14" t="s">
        <v>118</v>
      </c>
      <c r="Q2312" s="15" t="s">
        <v>1089</v>
      </c>
      <c r="R2312" s="16" t="s">
        <v>7753</v>
      </c>
      <c r="S2312" s="15" t="s">
        <v>14732</v>
      </c>
      <c r="T2312" s="15" t="s">
        <v>14733</v>
      </c>
      <c r="U2312" s="21" t="s">
        <v>72</v>
      </c>
    </row>
    <row r="2313" customFormat="false" ht="26.85" hidden="false" customHeight="false" outlineLevel="0" collapsed="false">
      <c r="A2313" s="15" t="s">
        <v>79</v>
      </c>
      <c r="B2313" s="15" t="s">
        <v>996</v>
      </c>
      <c r="C2313" s="14" t="s">
        <v>14734</v>
      </c>
      <c r="D2313" s="14" t="s">
        <v>14735</v>
      </c>
      <c r="E2313" s="16" t="s">
        <v>14736</v>
      </c>
      <c r="F2313" s="16" t="s">
        <v>12832</v>
      </c>
      <c r="G2313" s="23" t="s">
        <v>43</v>
      </c>
      <c r="H2313" s="18" t="n">
        <v>3</v>
      </c>
      <c r="I2313" s="20" t="n">
        <v>51.38</v>
      </c>
      <c r="J2313" s="20" t="n">
        <v>99.74</v>
      </c>
      <c r="K2313" s="18" t="n">
        <v>4</v>
      </c>
      <c r="L2313" s="18" t="n">
        <v>4</v>
      </c>
      <c r="M2313" s="18" t="n">
        <v>52</v>
      </c>
      <c r="N2313" s="18" t="n">
        <v>52</v>
      </c>
      <c r="O2313" s="14" t="s">
        <v>14737</v>
      </c>
      <c r="P2313" s="14" t="s">
        <v>118</v>
      </c>
      <c r="Q2313" s="15" t="s">
        <v>1089</v>
      </c>
      <c r="R2313" s="16" t="s">
        <v>14738</v>
      </c>
      <c r="S2313" s="15" t="s">
        <v>12834</v>
      </c>
      <c r="T2313" s="15" t="s">
        <v>2963</v>
      </c>
      <c r="U2313" s="21" t="s">
        <v>72</v>
      </c>
    </row>
    <row r="2314" customFormat="false" ht="15" hidden="false" customHeight="false" outlineLevel="0" collapsed="false">
      <c r="A2314" s="15" t="s">
        <v>79</v>
      </c>
      <c r="B2314" s="15" t="s">
        <v>996</v>
      </c>
      <c r="C2314" s="14" t="s">
        <v>14739</v>
      </c>
      <c r="D2314" s="14" t="s">
        <v>14740</v>
      </c>
      <c r="E2314" s="16" t="s">
        <v>14741</v>
      </c>
      <c r="F2314" s="16" t="s">
        <v>14742</v>
      </c>
      <c r="G2314" s="23" t="s">
        <v>43</v>
      </c>
      <c r="H2314" s="18" t="n">
        <v>2</v>
      </c>
      <c r="I2314" s="20" t="n">
        <v>42.03</v>
      </c>
      <c r="J2314" s="20" t="n">
        <v>92.6</v>
      </c>
      <c r="K2314" s="18" t="n">
        <v>12</v>
      </c>
      <c r="L2314" s="18" t="n">
        <v>1</v>
      </c>
      <c r="M2314" s="18" t="n">
        <v>224</v>
      </c>
      <c r="N2314" s="18" t="n">
        <v>176</v>
      </c>
      <c r="O2314" s="14" t="s">
        <v>9791</v>
      </c>
      <c r="P2314" s="14" t="s">
        <v>118</v>
      </c>
      <c r="Q2314" s="15" t="s">
        <v>1089</v>
      </c>
      <c r="R2314" s="16" t="s">
        <v>14743</v>
      </c>
      <c r="S2314" s="15" t="s">
        <v>14744</v>
      </c>
      <c r="T2314" s="15" t="s">
        <v>14744</v>
      </c>
      <c r="U2314" s="21" t="s">
        <v>72</v>
      </c>
    </row>
    <row r="2315" customFormat="false" ht="15" hidden="false" customHeight="false" outlineLevel="0" collapsed="false">
      <c r="A2315" s="15" t="s">
        <v>79</v>
      </c>
      <c r="B2315" s="15" t="s">
        <v>996</v>
      </c>
      <c r="C2315" s="14" t="s">
        <v>14745</v>
      </c>
      <c r="D2315" s="14" t="s">
        <v>14746</v>
      </c>
      <c r="E2315" s="16" t="s">
        <v>14747</v>
      </c>
      <c r="F2315" s="16" t="s">
        <v>14748</v>
      </c>
      <c r="G2315" s="23" t="s">
        <v>43</v>
      </c>
      <c r="H2315" s="18" t="n">
        <v>2</v>
      </c>
      <c r="I2315" s="20" t="n">
        <v>69.24</v>
      </c>
      <c r="J2315" s="20" t="n">
        <v>114.22</v>
      </c>
      <c r="K2315" s="18" t="n">
        <v>6</v>
      </c>
      <c r="L2315" s="18" t="n">
        <v>5</v>
      </c>
      <c r="M2315" s="18" t="n">
        <v>175</v>
      </c>
      <c r="N2315" s="18" t="n">
        <v>15</v>
      </c>
      <c r="O2315" s="14" t="s">
        <v>1126</v>
      </c>
      <c r="P2315" s="14" t="s">
        <v>118</v>
      </c>
      <c r="Q2315" s="15" t="s">
        <v>1089</v>
      </c>
      <c r="R2315" s="16" t="s">
        <v>14749</v>
      </c>
      <c r="S2315" s="15" t="s">
        <v>12983</v>
      </c>
      <c r="T2315" s="15" t="s">
        <v>14750</v>
      </c>
      <c r="U2315" s="21" t="s">
        <v>72</v>
      </c>
    </row>
    <row r="2316" customFormat="false" ht="15" hidden="false" customHeight="false" outlineLevel="0" collapsed="false">
      <c r="A2316" s="15" t="s">
        <v>79</v>
      </c>
      <c r="B2316" s="15" t="s">
        <v>996</v>
      </c>
      <c r="C2316" s="14" t="s">
        <v>14751</v>
      </c>
      <c r="D2316" s="14" t="s">
        <v>14752</v>
      </c>
      <c r="E2316" s="16" t="s">
        <v>14753</v>
      </c>
      <c r="F2316" s="16" t="s">
        <v>14754</v>
      </c>
      <c r="G2316" s="23" t="s">
        <v>43</v>
      </c>
      <c r="H2316" s="18" t="n">
        <v>3</v>
      </c>
      <c r="I2316" s="20" t="n">
        <v>49.22</v>
      </c>
      <c r="J2316" s="20" t="n">
        <v>148.5</v>
      </c>
      <c r="K2316" s="18" t="n">
        <v>15</v>
      </c>
      <c r="L2316" s="18" t="n">
        <v>4</v>
      </c>
      <c r="M2316" s="18" t="n">
        <v>220</v>
      </c>
      <c r="N2316" s="18" t="n">
        <v>132</v>
      </c>
      <c r="O2316" s="14" t="s">
        <v>14755</v>
      </c>
      <c r="P2316" s="14" t="s">
        <v>118</v>
      </c>
      <c r="Q2316" s="15" t="s">
        <v>1089</v>
      </c>
      <c r="R2316" s="16" t="s">
        <v>6944</v>
      </c>
      <c r="S2316" s="15" t="s">
        <v>14756</v>
      </c>
      <c r="T2316" s="15" t="s">
        <v>14756</v>
      </c>
      <c r="U2316" s="21" t="s">
        <v>72</v>
      </c>
    </row>
    <row r="2317" customFormat="false" ht="15" hidden="false" customHeight="false" outlineLevel="0" collapsed="false">
      <c r="A2317" s="15" t="s">
        <v>79</v>
      </c>
      <c r="B2317" s="15" t="s">
        <v>996</v>
      </c>
      <c r="C2317" s="14" t="s">
        <v>14757</v>
      </c>
      <c r="D2317" s="14" t="s">
        <v>14758</v>
      </c>
      <c r="E2317" s="16" t="s">
        <v>14759</v>
      </c>
      <c r="F2317" s="16" t="s">
        <v>14760</v>
      </c>
      <c r="G2317" s="23" t="s">
        <v>43</v>
      </c>
      <c r="H2317" s="18" t="n">
        <v>2</v>
      </c>
      <c r="I2317" s="20" t="n">
        <v>31.17</v>
      </c>
      <c r="J2317" s="20" t="n">
        <v>117.12</v>
      </c>
      <c r="K2317" s="18" t="n">
        <v>24</v>
      </c>
      <c r="L2317" s="18" t="n">
        <v>8</v>
      </c>
      <c r="M2317" s="18" t="n">
        <v>310</v>
      </c>
      <c r="N2317" s="18" t="n">
        <v>75</v>
      </c>
      <c r="O2317" s="14" t="s">
        <v>14761</v>
      </c>
      <c r="P2317" s="14" t="s">
        <v>118</v>
      </c>
      <c r="Q2317" s="15" t="s">
        <v>1089</v>
      </c>
      <c r="R2317" s="16" t="s">
        <v>14762</v>
      </c>
      <c r="S2317" s="15" t="s">
        <v>14763</v>
      </c>
      <c r="T2317" s="15" t="s">
        <v>14763</v>
      </c>
      <c r="U2317" s="21" t="s">
        <v>72</v>
      </c>
    </row>
    <row r="2318" customFormat="false" ht="15" hidden="false" customHeight="false" outlineLevel="0" collapsed="false">
      <c r="A2318" s="15" t="s">
        <v>79</v>
      </c>
      <c r="B2318" s="15" t="s">
        <v>996</v>
      </c>
      <c r="C2318" s="14" t="s">
        <v>14764</v>
      </c>
      <c r="D2318" s="14" t="s">
        <v>14765</v>
      </c>
      <c r="E2318" s="16" t="s">
        <v>14766</v>
      </c>
      <c r="F2318" s="16" t="s">
        <v>14767</v>
      </c>
      <c r="G2318" s="23" t="s">
        <v>43</v>
      </c>
      <c r="H2318" s="18" t="n">
        <v>2</v>
      </c>
      <c r="I2318" s="20" t="n">
        <v>39.08</v>
      </c>
      <c r="J2318" s="20" t="n">
        <v>83.16</v>
      </c>
      <c r="K2318" s="18" t="n">
        <v>4</v>
      </c>
      <c r="L2318" s="18" t="n">
        <v>4</v>
      </c>
      <c r="M2318" s="18" t="n">
        <v>72</v>
      </c>
      <c r="N2318" s="18" t="n">
        <v>72</v>
      </c>
      <c r="O2318" s="14" t="s">
        <v>10417</v>
      </c>
      <c r="P2318" s="14" t="s">
        <v>118</v>
      </c>
      <c r="Q2318" s="15" t="s">
        <v>1089</v>
      </c>
      <c r="R2318" s="16" t="s">
        <v>14768</v>
      </c>
      <c r="S2318" s="15" t="s">
        <v>14769</v>
      </c>
      <c r="T2318" s="15" t="s">
        <v>14769</v>
      </c>
      <c r="U2318" s="21" t="s">
        <v>72</v>
      </c>
    </row>
    <row r="2319" customFormat="false" ht="15" hidden="false" customHeight="false" outlineLevel="0" collapsed="false">
      <c r="A2319" s="15" t="s">
        <v>79</v>
      </c>
      <c r="B2319" s="15" t="s">
        <v>996</v>
      </c>
      <c r="C2319" s="14" t="s">
        <v>14770</v>
      </c>
      <c r="D2319" s="14" t="s">
        <v>14771</v>
      </c>
      <c r="E2319" s="16" t="s">
        <v>14772</v>
      </c>
      <c r="F2319" s="16" t="s">
        <v>14773</v>
      </c>
      <c r="G2319" s="23" t="s">
        <v>43</v>
      </c>
      <c r="H2319" s="18" t="n">
        <v>2</v>
      </c>
      <c r="I2319" s="20" t="n">
        <v>37.67</v>
      </c>
      <c r="J2319" s="20" t="n">
        <v>83.96</v>
      </c>
      <c r="K2319" s="18" t="n">
        <v>4</v>
      </c>
      <c r="L2319" s="18" t="n">
        <v>3</v>
      </c>
      <c r="M2319" s="18" t="n">
        <v>60</v>
      </c>
      <c r="N2319" s="18" t="n">
        <v>60</v>
      </c>
      <c r="O2319" s="14" t="s">
        <v>1097</v>
      </c>
      <c r="P2319" s="14" t="s">
        <v>84</v>
      </c>
      <c r="Q2319" s="15" t="s">
        <v>1089</v>
      </c>
      <c r="R2319" s="16" t="s">
        <v>3583</v>
      </c>
      <c r="S2319" s="15" t="s">
        <v>14774</v>
      </c>
      <c r="T2319" s="15" t="s">
        <v>14774</v>
      </c>
      <c r="U2319" s="21" t="s">
        <v>72</v>
      </c>
    </row>
    <row r="2320" customFormat="false" ht="26.85" hidden="false" customHeight="false" outlineLevel="0" collapsed="false">
      <c r="A2320" s="15" t="s">
        <v>79</v>
      </c>
      <c r="B2320" s="15" t="s">
        <v>996</v>
      </c>
      <c r="C2320" s="14" t="s">
        <v>14775</v>
      </c>
      <c r="D2320" s="14" t="s">
        <v>14776</v>
      </c>
      <c r="E2320" s="16" t="s">
        <v>14777</v>
      </c>
      <c r="F2320" s="16" t="s">
        <v>14778</v>
      </c>
      <c r="G2320" s="25" t="s">
        <v>39</v>
      </c>
      <c r="H2320" s="18" t="n">
        <v>11</v>
      </c>
      <c r="I2320" s="20" t="n">
        <v>56.14</v>
      </c>
      <c r="J2320" s="20" t="n">
        <v>175.52</v>
      </c>
      <c r="K2320" s="18" t="n">
        <v>33</v>
      </c>
      <c r="L2320" s="18" t="n">
        <v>16</v>
      </c>
      <c r="M2320" s="18" t="n">
        <v>575</v>
      </c>
      <c r="N2320" s="18" t="n">
        <v>230</v>
      </c>
      <c r="O2320" s="14" t="s">
        <v>1126</v>
      </c>
      <c r="P2320" s="14" t="s">
        <v>118</v>
      </c>
      <c r="Q2320" s="15" t="s">
        <v>1089</v>
      </c>
      <c r="R2320" s="16" t="s">
        <v>14779</v>
      </c>
      <c r="S2320" s="15" t="s">
        <v>14780</v>
      </c>
      <c r="T2320" s="15" t="s">
        <v>14780</v>
      </c>
      <c r="U2320" s="21" t="s">
        <v>72</v>
      </c>
    </row>
    <row r="2321" customFormat="false" ht="15" hidden="false" customHeight="false" outlineLevel="0" collapsed="false">
      <c r="A2321" s="15" t="s">
        <v>79</v>
      </c>
      <c r="B2321" s="15" t="s">
        <v>996</v>
      </c>
      <c r="C2321" s="14" t="s">
        <v>14781</v>
      </c>
      <c r="D2321" s="14" t="s">
        <v>14782</v>
      </c>
      <c r="E2321" s="16" t="s">
        <v>14783</v>
      </c>
      <c r="F2321" s="16" t="s">
        <v>14784</v>
      </c>
      <c r="G2321" s="19" t="s">
        <v>41</v>
      </c>
      <c r="H2321" s="18" t="n">
        <v>5</v>
      </c>
      <c r="I2321" s="20" t="n">
        <v>88.2</v>
      </c>
      <c r="J2321" s="20" t="n">
        <v>184.75</v>
      </c>
      <c r="K2321" s="18" t="n">
        <v>5</v>
      </c>
      <c r="L2321" s="18" t="n">
        <v>3</v>
      </c>
      <c r="M2321" s="18" t="n">
        <v>71</v>
      </c>
      <c r="N2321" s="18" t="n">
        <v>20</v>
      </c>
      <c r="O2321" s="14" t="s">
        <v>1126</v>
      </c>
      <c r="P2321" s="14" t="s">
        <v>1716</v>
      </c>
      <c r="Q2321" s="15" t="s">
        <v>1089</v>
      </c>
      <c r="R2321" s="16" t="s">
        <v>14785</v>
      </c>
      <c r="S2321" s="15" t="s">
        <v>14786</v>
      </c>
      <c r="T2321" s="15" t="s">
        <v>14786</v>
      </c>
      <c r="U2321" s="21" t="s">
        <v>72</v>
      </c>
    </row>
    <row r="2322" customFormat="false" ht="15" hidden="false" customHeight="false" outlineLevel="0" collapsed="false">
      <c r="A2322" s="15" t="s">
        <v>79</v>
      </c>
      <c r="B2322" s="15" t="s">
        <v>996</v>
      </c>
      <c r="C2322" s="14" t="s">
        <v>14787</v>
      </c>
      <c r="D2322" s="14" t="s">
        <v>14788</v>
      </c>
      <c r="E2322" s="16" t="s">
        <v>14789</v>
      </c>
      <c r="F2322" s="16" t="s">
        <v>14790</v>
      </c>
      <c r="G2322" s="23" t="s">
        <v>43</v>
      </c>
      <c r="H2322" s="18" t="n">
        <v>3</v>
      </c>
      <c r="I2322" s="20" t="n">
        <v>99.23</v>
      </c>
      <c r="J2322" s="20" t="n">
        <v>129.4</v>
      </c>
      <c r="K2322" s="18" t="n">
        <v>3</v>
      </c>
      <c r="L2322" s="18"/>
      <c r="M2322" s="18" t="n">
        <v>48</v>
      </c>
      <c r="N2322" s="18" t="n">
        <v>16</v>
      </c>
      <c r="O2322" s="14" t="s">
        <v>1126</v>
      </c>
      <c r="P2322" s="14" t="s">
        <v>94</v>
      </c>
      <c r="Q2322" s="15" t="s">
        <v>1089</v>
      </c>
      <c r="R2322" s="16" t="s">
        <v>13889</v>
      </c>
      <c r="S2322" s="15" t="s">
        <v>683</v>
      </c>
      <c r="T2322" s="15" t="s">
        <v>683</v>
      </c>
      <c r="U2322" s="21" t="s">
        <v>72</v>
      </c>
    </row>
    <row r="2323" customFormat="false" ht="15" hidden="false" customHeight="false" outlineLevel="0" collapsed="false">
      <c r="A2323" s="15" t="s">
        <v>79</v>
      </c>
      <c r="B2323" s="15" t="s">
        <v>996</v>
      </c>
      <c r="C2323" s="14" t="s">
        <v>14791</v>
      </c>
      <c r="D2323" s="14" t="s">
        <v>14792</v>
      </c>
      <c r="E2323" s="16" t="s">
        <v>14793</v>
      </c>
      <c r="F2323" s="16" t="s">
        <v>12832</v>
      </c>
      <c r="G2323" s="23" t="s">
        <v>43</v>
      </c>
      <c r="H2323" s="18" t="n">
        <v>3</v>
      </c>
      <c r="I2323" s="20" t="n">
        <v>59.06</v>
      </c>
      <c r="J2323" s="20" t="n">
        <v>136.34</v>
      </c>
      <c r="K2323" s="18" t="n">
        <v>7</v>
      </c>
      <c r="L2323" s="18" t="n">
        <v>2</v>
      </c>
      <c r="M2323" s="18" t="n">
        <v>110</v>
      </c>
      <c r="N2323" s="18" t="n">
        <v>52</v>
      </c>
      <c r="O2323" s="14" t="s">
        <v>1126</v>
      </c>
      <c r="P2323" s="14" t="s">
        <v>118</v>
      </c>
      <c r="Q2323" s="15" t="s">
        <v>1089</v>
      </c>
      <c r="R2323" s="16" t="s">
        <v>3196</v>
      </c>
      <c r="S2323" s="15" t="s">
        <v>12834</v>
      </c>
      <c r="T2323" s="15" t="s">
        <v>14794</v>
      </c>
      <c r="U2323" s="21" t="s">
        <v>72</v>
      </c>
    </row>
    <row r="2324" customFormat="false" ht="26.85" hidden="false" customHeight="false" outlineLevel="0" collapsed="false">
      <c r="A2324" s="15" t="s">
        <v>79</v>
      </c>
      <c r="B2324" s="15" t="s">
        <v>996</v>
      </c>
      <c r="C2324" s="14" t="s">
        <v>14795</v>
      </c>
      <c r="D2324" s="14" t="s">
        <v>14796</v>
      </c>
      <c r="E2324" s="16" t="s">
        <v>14797</v>
      </c>
      <c r="F2324" s="16" t="s">
        <v>14798</v>
      </c>
      <c r="G2324" s="23" t="s">
        <v>43</v>
      </c>
      <c r="H2324" s="18" t="n">
        <v>3</v>
      </c>
      <c r="I2324" s="20" t="n">
        <v>95.51</v>
      </c>
      <c r="J2324" s="20" t="n">
        <v>139.92</v>
      </c>
      <c r="K2324" s="18" t="n">
        <v>7</v>
      </c>
      <c r="L2324" s="18" t="n">
        <v>4</v>
      </c>
      <c r="M2324" s="18" t="n">
        <v>206</v>
      </c>
      <c r="N2324" s="18" t="n">
        <v>142</v>
      </c>
      <c r="O2324" s="14" t="s">
        <v>14799</v>
      </c>
      <c r="P2324" s="14" t="s">
        <v>118</v>
      </c>
      <c r="Q2324" s="15" t="s">
        <v>1089</v>
      </c>
      <c r="R2324" s="16" t="s">
        <v>14800</v>
      </c>
      <c r="S2324" s="15" t="s">
        <v>14801</v>
      </c>
      <c r="T2324" s="15" t="s">
        <v>14802</v>
      </c>
      <c r="U2324" s="21" t="s">
        <v>72</v>
      </c>
    </row>
    <row r="2325" customFormat="false" ht="15" hidden="false" customHeight="false" outlineLevel="0" collapsed="false">
      <c r="A2325" s="15" t="s">
        <v>79</v>
      </c>
      <c r="B2325" s="15" t="s">
        <v>996</v>
      </c>
      <c r="C2325" s="14" t="s">
        <v>14803</v>
      </c>
      <c r="D2325" s="14" t="s">
        <v>14804</v>
      </c>
      <c r="E2325" s="16" t="s">
        <v>14805</v>
      </c>
      <c r="F2325" s="16"/>
      <c r="G2325" s="23" t="s">
        <v>43</v>
      </c>
      <c r="H2325" s="18" t="n">
        <v>2</v>
      </c>
      <c r="I2325" s="20" t="n">
        <v>47.91</v>
      </c>
      <c r="J2325" s="20" t="n">
        <v>178.71</v>
      </c>
      <c r="K2325" s="18" t="n">
        <v>2</v>
      </c>
      <c r="L2325" s="18" t="n">
        <v>3</v>
      </c>
      <c r="M2325" s="18" t="n">
        <v>20</v>
      </c>
      <c r="N2325" s="18" t="n">
        <v>20</v>
      </c>
      <c r="O2325" s="14" t="s">
        <v>1126</v>
      </c>
      <c r="P2325" s="14" t="s">
        <v>84</v>
      </c>
      <c r="Q2325" s="15" t="s">
        <v>1089</v>
      </c>
      <c r="R2325" s="16" t="s">
        <v>14806</v>
      </c>
      <c r="S2325" s="15" t="s">
        <v>14807</v>
      </c>
      <c r="T2325" s="15" t="s">
        <v>14808</v>
      </c>
      <c r="U2325" s="21" t="s">
        <v>72</v>
      </c>
    </row>
    <row r="2326" customFormat="false" ht="15" hidden="false" customHeight="false" outlineLevel="0" collapsed="false">
      <c r="A2326" s="15" t="s">
        <v>79</v>
      </c>
      <c r="B2326" s="15" t="s">
        <v>996</v>
      </c>
      <c r="C2326" s="14" t="s">
        <v>14809</v>
      </c>
      <c r="D2326" s="14" t="s">
        <v>14810</v>
      </c>
      <c r="E2326" s="16" t="s">
        <v>14811</v>
      </c>
      <c r="F2326" s="16" t="s">
        <v>14812</v>
      </c>
      <c r="G2326" s="23" t="s">
        <v>43</v>
      </c>
      <c r="H2326" s="18" t="n">
        <v>3</v>
      </c>
      <c r="I2326" s="20" t="n">
        <v>74.49</v>
      </c>
      <c r="J2326" s="20" t="n">
        <v>134.14</v>
      </c>
      <c r="K2326" s="18" t="n">
        <v>3</v>
      </c>
      <c r="L2326" s="18" t="n">
        <v>1</v>
      </c>
      <c r="M2326" s="18" t="n">
        <v>40</v>
      </c>
      <c r="N2326" s="18" t="n">
        <v>15</v>
      </c>
      <c r="O2326" s="14" t="s">
        <v>1126</v>
      </c>
      <c r="P2326" s="14" t="s">
        <v>226</v>
      </c>
      <c r="Q2326" s="15" t="s">
        <v>1089</v>
      </c>
      <c r="R2326" s="16" t="s">
        <v>14813</v>
      </c>
      <c r="S2326" s="15" t="s">
        <v>14814</v>
      </c>
      <c r="T2326" s="15" t="s">
        <v>14815</v>
      </c>
      <c r="U2326" s="21" t="s">
        <v>72</v>
      </c>
    </row>
    <row r="2327" customFormat="false" ht="15" hidden="false" customHeight="false" outlineLevel="0" collapsed="false">
      <c r="A2327" s="15" t="s">
        <v>79</v>
      </c>
      <c r="B2327" s="15" t="s">
        <v>996</v>
      </c>
      <c r="C2327" s="14" t="s">
        <v>995</v>
      </c>
      <c r="D2327" s="14" t="s">
        <v>14816</v>
      </c>
      <c r="E2327" s="16" t="s">
        <v>14817</v>
      </c>
      <c r="F2327" s="16" t="s">
        <v>999</v>
      </c>
      <c r="G2327" s="23" t="s">
        <v>43</v>
      </c>
      <c r="H2327" s="18" t="n">
        <v>3</v>
      </c>
      <c r="I2327" s="20" t="n">
        <v>53.67</v>
      </c>
      <c r="J2327" s="20" t="n">
        <v>157.44</v>
      </c>
      <c r="K2327" s="18" t="n">
        <v>3</v>
      </c>
      <c r="L2327" s="18" t="n">
        <v>2</v>
      </c>
      <c r="M2327" s="18" t="n">
        <v>46</v>
      </c>
      <c r="N2327" s="18" t="n">
        <v>32</v>
      </c>
      <c r="O2327" s="14" t="s">
        <v>1126</v>
      </c>
      <c r="P2327" s="14" t="s">
        <v>94</v>
      </c>
      <c r="Q2327" s="15" t="s">
        <v>1089</v>
      </c>
      <c r="R2327" s="16" t="s">
        <v>1000</v>
      </c>
      <c r="S2327" s="15" t="s">
        <v>1001</v>
      </c>
      <c r="T2327" s="15" t="s">
        <v>1002</v>
      </c>
      <c r="U2327" s="21" t="s">
        <v>72</v>
      </c>
    </row>
    <row r="2328" customFormat="false" ht="15" hidden="false" customHeight="false" outlineLevel="0" collapsed="false">
      <c r="A2328" s="15" t="s">
        <v>79</v>
      </c>
      <c r="B2328" s="15" t="s">
        <v>996</v>
      </c>
      <c r="C2328" s="14" t="s">
        <v>14818</v>
      </c>
      <c r="D2328" s="14" t="s">
        <v>14819</v>
      </c>
      <c r="E2328" s="16" t="s">
        <v>14820</v>
      </c>
      <c r="F2328" s="16" t="s">
        <v>14821</v>
      </c>
      <c r="G2328" s="23" t="s">
        <v>43</v>
      </c>
      <c r="H2328" s="18" t="n">
        <v>1</v>
      </c>
      <c r="I2328" s="20" t="n">
        <v>36.53</v>
      </c>
      <c r="J2328" s="20" t="n">
        <v>78.64</v>
      </c>
      <c r="K2328" s="18" t="n">
        <v>2</v>
      </c>
      <c r="L2328" s="18" t="n">
        <v>3</v>
      </c>
      <c r="M2328" s="18" t="n">
        <v>60</v>
      </c>
      <c r="N2328" s="18" t="n">
        <v>60</v>
      </c>
      <c r="O2328" s="14" t="s">
        <v>1097</v>
      </c>
      <c r="P2328" s="14" t="s">
        <v>84</v>
      </c>
      <c r="Q2328" s="15" t="s">
        <v>1089</v>
      </c>
      <c r="R2328" s="16" t="s">
        <v>14822</v>
      </c>
      <c r="S2328" s="15" t="s">
        <v>14823</v>
      </c>
      <c r="T2328" s="15" t="s">
        <v>14823</v>
      </c>
      <c r="U2328" s="21" t="s">
        <v>72</v>
      </c>
    </row>
    <row r="2329" customFormat="false" ht="15" hidden="false" customHeight="false" outlineLevel="0" collapsed="false">
      <c r="A2329" s="15" t="s">
        <v>79</v>
      </c>
      <c r="B2329" s="15" t="s">
        <v>996</v>
      </c>
      <c r="C2329" s="14" t="s">
        <v>14824</v>
      </c>
      <c r="D2329" s="14" t="s">
        <v>14825</v>
      </c>
      <c r="E2329" s="16" t="s">
        <v>14826</v>
      </c>
      <c r="F2329" s="16" t="s">
        <v>14827</v>
      </c>
      <c r="G2329" s="23" t="s">
        <v>43</v>
      </c>
      <c r="H2329" s="18" t="n">
        <v>2</v>
      </c>
      <c r="I2329" s="20" t="n">
        <v>35.03</v>
      </c>
      <c r="J2329" s="20" t="n">
        <v>75.1</v>
      </c>
      <c r="K2329" s="18" t="n">
        <v>4</v>
      </c>
      <c r="L2329" s="18" t="n">
        <v>2</v>
      </c>
      <c r="M2329" s="18" t="n">
        <v>50</v>
      </c>
      <c r="N2329" s="18" t="n">
        <v>32</v>
      </c>
      <c r="O2329" s="14" t="s">
        <v>1126</v>
      </c>
      <c r="P2329" s="14" t="s">
        <v>84</v>
      </c>
      <c r="Q2329" s="15" t="s">
        <v>1089</v>
      </c>
      <c r="R2329" s="16" t="s">
        <v>14828</v>
      </c>
      <c r="S2329" s="15" t="s">
        <v>14829</v>
      </c>
      <c r="T2329" s="15" t="s">
        <v>14830</v>
      </c>
      <c r="U2329" s="21" t="s">
        <v>72</v>
      </c>
    </row>
    <row r="2330" customFormat="false" ht="15" hidden="false" customHeight="false" outlineLevel="0" collapsed="false">
      <c r="A2330" s="15" t="s">
        <v>79</v>
      </c>
      <c r="B2330" s="15" t="s">
        <v>996</v>
      </c>
      <c r="C2330" s="14" t="s">
        <v>14831</v>
      </c>
      <c r="D2330" s="14" t="s">
        <v>14832</v>
      </c>
      <c r="E2330" s="16" t="s">
        <v>14833</v>
      </c>
      <c r="F2330" s="16" t="s">
        <v>14834</v>
      </c>
      <c r="G2330" s="23" t="s">
        <v>43</v>
      </c>
      <c r="H2330" s="18" t="n">
        <v>3</v>
      </c>
      <c r="I2330" s="20" t="n">
        <v>69.7</v>
      </c>
      <c r="J2330" s="20" t="n">
        <v>158.34</v>
      </c>
      <c r="K2330" s="18" t="n">
        <v>18</v>
      </c>
      <c r="L2330" s="18" t="n">
        <v>1</v>
      </c>
      <c r="M2330" s="18" t="n">
        <v>576</v>
      </c>
      <c r="N2330" s="18" t="n">
        <v>192</v>
      </c>
      <c r="O2330" s="14" t="s">
        <v>1126</v>
      </c>
      <c r="P2330" s="14" t="s">
        <v>118</v>
      </c>
      <c r="Q2330" s="15" t="s">
        <v>1089</v>
      </c>
      <c r="R2330" s="16" t="s">
        <v>14835</v>
      </c>
      <c r="S2330" s="15" t="s">
        <v>14836</v>
      </c>
      <c r="T2330" s="15" t="s">
        <v>14836</v>
      </c>
      <c r="U2330" s="21" t="s">
        <v>72</v>
      </c>
    </row>
    <row r="2331" customFormat="false" ht="26.85" hidden="false" customHeight="false" outlineLevel="0" collapsed="false">
      <c r="A2331" s="15" t="s">
        <v>79</v>
      </c>
      <c r="B2331" s="15" t="s">
        <v>996</v>
      </c>
      <c r="C2331" s="14" t="s">
        <v>14837</v>
      </c>
      <c r="D2331" s="14" t="s">
        <v>14838</v>
      </c>
      <c r="E2331" s="16" t="s">
        <v>14839</v>
      </c>
      <c r="F2331" s="16" t="s">
        <v>14840</v>
      </c>
      <c r="G2331" s="23" t="s">
        <v>43</v>
      </c>
      <c r="H2331" s="18" t="n">
        <v>3</v>
      </c>
      <c r="I2331" s="20" t="n">
        <v>70.37</v>
      </c>
      <c r="J2331" s="20" t="n">
        <v>170.67</v>
      </c>
      <c r="K2331" s="18" t="n">
        <v>9</v>
      </c>
      <c r="L2331" s="18" t="n">
        <v>4</v>
      </c>
      <c r="M2331" s="18" t="n">
        <v>176</v>
      </c>
      <c r="N2331" s="18" t="n">
        <v>133</v>
      </c>
      <c r="O2331" s="14" t="s">
        <v>14841</v>
      </c>
      <c r="P2331" s="14" t="s">
        <v>118</v>
      </c>
      <c r="Q2331" s="15" t="s">
        <v>1089</v>
      </c>
      <c r="R2331" s="16" t="s">
        <v>6526</v>
      </c>
      <c r="S2331" s="15" t="s">
        <v>14842</v>
      </c>
      <c r="T2331" s="15" t="s">
        <v>14843</v>
      </c>
      <c r="U2331" s="21" t="s">
        <v>72</v>
      </c>
    </row>
    <row r="2332" customFormat="false" ht="15" hidden="false" customHeight="false" outlineLevel="0" collapsed="false">
      <c r="A2332" s="15" t="s">
        <v>79</v>
      </c>
      <c r="B2332" s="15" t="s">
        <v>996</v>
      </c>
      <c r="C2332" s="14" t="s">
        <v>14844</v>
      </c>
      <c r="D2332" s="14" t="s">
        <v>14845</v>
      </c>
      <c r="E2332" s="16" t="s">
        <v>14846</v>
      </c>
      <c r="F2332" s="16"/>
      <c r="G2332" s="23" t="s">
        <v>43</v>
      </c>
      <c r="H2332" s="18" t="n">
        <v>2</v>
      </c>
      <c r="I2332" s="20" t="n">
        <v>43.07</v>
      </c>
      <c r="J2332" s="20" t="n">
        <v>121.38</v>
      </c>
      <c r="K2332" s="18" t="n">
        <v>5</v>
      </c>
      <c r="L2332" s="18" t="n">
        <v>2</v>
      </c>
      <c r="M2332" s="18" t="n">
        <v>74</v>
      </c>
      <c r="N2332" s="18" t="n">
        <v>39</v>
      </c>
      <c r="O2332" s="14" t="s">
        <v>1126</v>
      </c>
      <c r="P2332" s="14" t="s">
        <v>84</v>
      </c>
      <c r="Q2332" s="15" t="s">
        <v>1089</v>
      </c>
      <c r="R2332" s="16" t="s">
        <v>8439</v>
      </c>
      <c r="S2332" s="15" t="s">
        <v>14602</v>
      </c>
      <c r="T2332" s="15" t="s">
        <v>14602</v>
      </c>
      <c r="U2332" s="21" t="s">
        <v>72</v>
      </c>
    </row>
    <row r="2333" customFormat="false" ht="15" hidden="false" customHeight="false" outlineLevel="0" collapsed="false">
      <c r="A2333" s="15" t="s">
        <v>79</v>
      </c>
      <c r="B2333" s="15" t="s">
        <v>996</v>
      </c>
      <c r="C2333" s="14" t="s">
        <v>14847</v>
      </c>
      <c r="D2333" s="14" t="s">
        <v>14848</v>
      </c>
      <c r="E2333" s="16" t="s">
        <v>14849</v>
      </c>
      <c r="F2333" s="16" t="s">
        <v>14850</v>
      </c>
      <c r="G2333" s="23" t="s">
        <v>43</v>
      </c>
      <c r="H2333" s="18" t="n">
        <v>2</v>
      </c>
      <c r="I2333" s="20" t="n">
        <v>33.3</v>
      </c>
      <c r="J2333" s="20" t="n">
        <v>70.87</v>
      </c>
      <c r="K2333" s="18" t="n">
        <v>6</v>
      </c>
      <c r="L2333" s="18" t="n">
        <v>2</v>
      </c>
      <c r="M2333" s="18" t="n">
        <v>74</v>
      </c>
      <c r="N2333" s="18" t="n">
        <v>50</v>
      </c>
      <c r="O2333" s="14" t="s">
        <v>10283</v>
      </c>
      <c r="P2333" s="14" t="s">
        <v>118</v>
      </c>
      <c r="Q2333" s="15" t="s">
        <v>1089</v>
      </c>
      <c r="R2333" s="16" t="s">
        <v>13082</v>
      </c>
      <c r="S2333" s="15" t="s">
        <v>14851</v>
      </c>
      <c r="T2333" s="15" t="s">
        <v>14851</v>
      </c>
      <c r="U2333" s="21" t="s">
        <v>72</v>
      </c>
    </row>
    <row r="2334" customFormat="false" ht="26.85" hidden="false" customHeight="false" outlineLevel="0" collapsed="false">
      <c r="A2334" s="15" t="s">
        <v>79</v>
      </c>
      <c r="B2334" s="15" t="s">
        <v>996</v>
      </c>
      <c r="C2334" s="14" t="s">
        <v>14852</v>
      </c>
      <c r="D2334" s="14" t="s">
        <v>14853</v>
      </c>
      <c r="E2334" s="16" t="s">
        <v>14854</v>
      </c>
      <c r="F2334" s="16" t="s">
        <v>14855</v>
      </c>
      <c r="G2334" s="23" t="s">
        <v>43</v>
      </c>
      <c r="H2334" s="18" t="n">
        <v>2</v>
      </c>
      <c r="I2334" s="20" t="n">
        <v>36.99</v>
      </c>
      <c r="J2334" s="20" t="n">
        <v>114.08</v>
      </c>
      <c r="K2334" s="18" t="n">
        <v>8</v>
      </c>
      <c r="L2334" s="18" t="n">
        <v>2</v>
      </c>
      <c r="M2334" s="18" t="n">
        <v>140</v>
      </c>
      <c r="N2334" s="18" t="n">
        <v>20</v>
      </c>
      <c r="O2334" s="14" t="s">
        <v>1088</v>
      </c>
      <c r="P2334" s="14" t="s">
        <v>872</v>
      </c>
      <c r="Q2334" s="15" t="s">
        <v>1089</v>
      </c>
      <c r="R2334" s="16" t="s">
        <v>12225</v>
      </c>
      <c r="S2334" s="15" t="s">
        <v>14856</v>
      </c>
      <c r="T2334" s="15" t="s">
        <v>14856</v>
      </c>
      <c r="U2334" s="21" t="s">
        <v>72</v>
      </c>
    </row>
    <row r="2335" customFormat="false" ht="15" hidden="false" customHeight="false" outlineLevel="0" collapsed="false">
      <c r="A2335" s="15" t="s">
        <v>79</v>
      </c>
      <c r="B2335" s="15" t="s">
        <v>996</v>
      </c>
      <c r="C2335" s="14" t="s">
        <v>14857</v>
      </c>
      <c r="D2335" s="14" t="s">
        <v>14858</v>
      </c>
      <c r="E2335" s="16" t="s">
        <v>14859</v>
      </c>
      <c r="F2335" s="16" t="s">
        <v>14860</v>
      </c>
      <c r="G2335" s="23" t="s">
        <v>43</v>
      </c>
      <c r="H2335" s="18" t="n">
        <v>2</v>
      </c>
      <c r="I2335" s="20" t="n">
        <v>31.99</v>
      </c>
      <c r="J2335" s="20" t="n">
        <v>75.71</v>
      </c>
      <c r="K2335" s="18" t="n">
        <v>2</v>
      </c>
      <c r="L2335" s="18" t="n">
        <v>2</v>
      </c>
      <c r="M2335" s="18" t="n">
        <v>23</v>
      </c>
      <c r="N2335" s="18" t="n">
        <v>23</v>
      </c>
      <c r="O2335" s="14" t="s">
        <v>10953</v>
      </c>
      <c r="P2335" s="14" t="s">
        <v>118</v>
      </c>
      <c r="Q2335" s="15" t="s">
        <v>1089</v>
      </c>
      <c r="R2335" s="16" t="s">
        <v>14861</v>
      </c>
      <c r="S2335" s="15" t="s">
        <v>14862</v>
      </c>
      <c r="T2335" s="15" t="s">
        <v>14863</v>
      </c>
      <c r="U2335" s="21" t="s">
        <v>72</v>
      </c>
    </row>
    <row r="2336" customFormat="false" ht="15" hidden="false" customHeight="false" outlineLevel="0" collapsed="false">
      <c r="A2336" s="15" t="s">
        <v>79</v>
      </c>
      <c r="B2336" s="15" t="s">
        <v>996</v>
      </c>
      <c r="C2336" s="14" t="s">
        <v>14864</v>
      </c>
      <c r="D2336" s="14" t="s">
        <v>14865</v>
      </c>
      <c r="E2336" s="16" t="s">
        <v>14866</v>
      </c>
      <c r="F2336" s="16" t="s">
        <v>14867</v>
      </c>
      <c r="G2336" s="19" t="s">
        <v>41</v>
      </c>
      <c r="H2336" s="18" t="n">
        <v>7</v>
      </c>
      <c r="I2336" s="20" t="n">
        <v>155.85</v>
      </c>
      <c r="J2336" s="20" t="n">
        <v>289.27</v>
      </c>
      <c r="K2336" s="18" t="n">
        <v>8</v>
      </c>
      <c r="L2336" s="18" t="n">
        <v>6</v>
      </c>
      <c r="M2336" s="18" t="n">
        <v>165</v>
      </c>
      <c r="N2336" s="18" t="n">
        <v>110</v>
      </c>
      <c r="O2336" s="14" t="s">
        <v>1126</v>
      </c>
      <c r="P2336" s="14" t="s">
        <v>118</v>
      </c>
      <c r="Q2336" s="15" t="s">
        <v>1089</v>
      </c>
      <c r="R2336" s="16" t="s">
        <v>2602</v>
      </c>
      <c r="S2336" s="15" t="s">
        <v>14868</v>
      </c>
      <c r="T2336" s="15" t="s">
        <v>14868</v>
      </c>
      <c r="U2336" s="21" t="s">
        <v>72</v>
      </c>
    </row>
    <row r="2337" customFormat="false" ht="15" hidden="false" customHeight="false" outlineLevel="0" collapsed="false">
      <c r="A2337" s="15" t="s">
        <v>79</v>
      </c>
      <c r="B2337" s="15" t="s">
        <v>996</v>
      </c>
      <c r="C2337" s="14" t="s">
        <v>14869</v>
      </c>
      <c r="D2337" s="14" t="s">
        <v>14870</v>
      </c>
      <c r="E2337" s="16" t="s">
        <v>14871</v>
      </c>
      <c r="F2337" s="16" t="s">
        <v>14867</v>
      </c>
      <c r="G2337" s="23" t="s">
        <v>43</v>
      </c>
      <c r="H2337" s="18" t="n">
        <v>4</v>
      </c>
      <c r="I2337" s="20" t="n">
        <v>80.45</v>
      </c>
      <c r="J2337" s="20" t="n">
        <v>178.15</v>
      </c>
      <c r="K2337" s="18" t="n">
        <v>8</v>
      </c>
      <c r="L2337" s="18" t="n">
        <v>2</v>
      </c>
      <c r="M2337" s="18" t="n">
        <v>129</v>
      </c>
      <c r="N2337" s="18" t="n">
        <v>61</v>
      </c>
      <c r="O2337" s="14" t="s">
        <v>13822</v>
      </c>
      <c r="P2337" s="14" t="s">
        <v>118</v>
      </c>
      <c r="Q2337" s="15" t="s">
        <v>1089</v>
      </c>
      <c r="R2337" s="16" t="s">
        <v>14872</v>
      </c>
      <c r="S2337" s="15" t="s">
        <v>14868</v>
      </c>
      <c r="T2337" s="15" t="s">
        <v>14873</v>
      </c>
      <c r="U2337" s="21" t="s">
        <v>72</v>
      </c>
    </row>
    <row r="2338" customFormat="false" ht="15" hidden="false" customHeight="false" outlineLevel="0" collapsed="false">
      <c r="A2338" s="15" t="s">
        <v>79</v>
      </c>
      <c r="B2338" s="15" t="s">
        <v>996</v>
      </c>
      <c r="C2338" s="14" t="s">
        <v>14874</v>
      </c>
      <c r="D2338" s="14" t="s">
        <v>14875</v>
      </c>
      <c r="E2338" s="16" t="s">
        <v>14876</v>
      </c>
      <c r="F2338" s="16" t="s">
        <v>14877</v>
      </c>
      <c r="G2338" s="23" t="s">
        <v>43</v>
      </c>
      <c r="H2338" s="18" t="n">
        <v>2</v>
      </c>
      <c r="I2338" s="20" t="n">
        <v>51.19</v>
      </c>
      <c r="J2338" s="20" t="n">
        <v>162.91</v>
      </c>
      <c r="K2338" s="18" t="n">
        <v>6</v>
      </c>
      <c r="L2338" s="18" t="n">
        <v>4</v>
      </c>
      <c r="M2338" s="18" t="n">
        <v>120</v>
      </c>
      <c r="N2338" s="18" t="n">
        <v>80</v>
      </c>
      <c r="O2338" s="14" t="s">
        <v>10283</v>
      </c>
      <c r="P2338" s="14" t="s">
        <v>118</v>
      </c>
      <c r="Q2338" s="15" t="s">
        <v>1089</v>
      </c>
      <c r="R2338" s="16" t="s">
        <v>14878</v>
      </c>
      <c r="S2338" s="15" t="s">
        <v>14879</v>
      </c>
      <c r="T2338" s="15" t="s">
        <v>14879</v>
      </c>
      <c r="U2338" s="21" t="s">
        <v>72</v>
      </c>
    </row>
    <row r="2339" customFormat="false" ht="26.85" hidden="false" customHeight="false" outlineLevel="0" collapsed="false">
      <c r="A2339" s="15" t="s">
        <v>79</v>
      </c>
      <c r="B2339" s="15" t="s">
        <v>996</v>
      </c>
      <c r="C2339" s="14" t="s">
        <v>14880</v>
      </c>
      <c r="D2339" s="14" t="s">
        <v>14881</v>
      </c>
      <c r="E2339" s="16" t="s">
        <v>14882</v>
      </c>
      <c r="F2339" s="16" t="s">
        <v>14883</v>
      </c>
      <c r="G2339" s="23" t="s">
        <v>43</v>
      </c>
      <c r="H2339" s="18" t="n">
        <v>3</v>
      </c>
      <c r="I2339" s="20" t="n">
        <v>68.8</v>
      </c>
      <c r="J2339" s="20" t="n">
        <v>122.22</v>
      </c>
      <c r="K2339" s="18" t="n">
        <v>4</v>
      </c>
      <c r="L2339" s="18" t="n">
        <v>2</v>
      </c>
      <c r="M2339" s="18" t="n">
        <v>76</v>
      </c>
      <c r="N2339" s="18" t="n">
        <v>38</v>
      </c>
      <c r="O2339" s="14" t="s">
        <v>1126</v>
      </c>
      <c r="P2339" s="14" t="s">
        <v>1185</v>
      </c>
      <c r="Q2339" s="15" t="s">
        <v>1089</v>
      </c>
      <c r="R2339" s="16" t="s">
        <v>4596</v>
      </c>
      <c r="S2339" s="15" t="s">
        <v>14884</v>
      </c>
      <c r="T2339" s="15" t="s">
        <v>14885</v>
      </c>
      <c r="U2339" s="21" t="s">
        <v>72</v>
      </c>
    </row>
    <row r="2340" customFormat="false" ht="15" hidden="false" customHeight="false" outlineLevel="0" collapsed="false">
      <c r="A2340" s="15" t="s">
        <v>79</v>
      </c>
      <c r="B2340" s="15" t="s">
        <v>996</v>
      </c>
      <c r="C2340" s="14" t="s">
        <v>14886</v>
      </c>
      <c r="D2340" s="14" t="s">
        <v>14887</v>
      </c>
      <c r="E2340" s="16" t="s">
        <v>14888</v>
      </c>
      <c r="F2340" s="16"/>
      <c r="G2340" s="23" t="s">
        <v>43</v>
      </c>
      <c r="H2340" s="18" t="n">
        <v>2</v>
      </c>
      <c r="I2340" s="20" t="n">
        <v>50.91</v>
      </c>
      <c r="J2340" s="20" t="n">
        <v>114.86</v>
      </c>
      <c r="K2340" s="18" t="n">
        <v>2</v>
      </c>
      <c r="L2340" s="18" t="n">
        <v>1</v>
      </c>
      <c r="M2340" s="18" t="n">
        <v>28</v>
      </c>
      <c r="N2340" s="18" t="n">
        <v>28</v>
      </c>
      <c r="O2340" s="14" t="s">
        <v>1088</v>
      </c>
      <c r="P2340" s="14" t="s">
        <v>84</v>
      </c>
      <c r="Q2340" s="15" t="s">
        <v>1089</v>
      </c>
      <c r="R2340" s="16" t="s">
        <v>14889</v>
      </c>
      <c r="S2340" s="15" t="s">
        <v>14890</v>
      </c>
      <c r="T2340" s="15" t="s">
        <v>14890</v>
      </c>
      <c r="U2340" s="21" t="s">
        <v>72</v>
      </c>
    </row>
    <row r="2341" customFormat="false" ht="15" hidden="false" customHeight="false" outlineLevel="0" collapsed="false">
      <c r="A2341" s="15" t="s">
        <v>79</v>
      </c>
      <c r="B2341" s="15" t="s">
        <v>996</v>
      </c>
      <c r="C2341" s="14" t="s">
        <v>14891</v>
      </c>
      <c r="D2341" s="14" t="s">
        <v>14892</v>
      </c>
      <c r="E2341" s="16" t="s">
        <v>14893</v>
      </c>
      <c r="F2341" s="16" t="s">
        <v>14894</v>
      </c>
      <c r="G2341" s="19" t="s">
        <v>41</v>
      </c>
      <c r="H2341" s="18" t="n">
        <v>2</v>
      </c>
      <c r="I2341" s="20" t="n">
        <v>89.15</v>
      </c>
      <c r="J2341" s="20" t="n">
        <v>215.51</v>
      </c>
      <c r="K2341" s="18" t="n">
        <v>2</v>
      </c>
      <c r="L2341" s="18" t="n">
        <v>2</v>
      </c>
      <c r="M2341" s="18" t="n">
        <v>74</v>
      </c>
      <c r="N2341" s="18" t="n">
        <v>74</v>
      </c>
      <c r="O2341" s="14" t="s">
        <v>1088</v>
      </c>
      <c r="P2341" s="14" t="s">
        <v>84</v>
      </c>
      <c r="Q2341" s="15" t="s">
        <v>1089</v>
      </c>
      <c r="R2341" s="16" t="s">
        <v>12205</v>
      </c>
      <c r="S2341" s="15" t="s">
        <v>14895</v>
      </c>
      <c r="T2341" s="15" t="s">
        <v>14896</v>
      </c>
      <c r="U2341" s="21" t="s">
        <v>72</v>
      </c>
    </row>
    <row r="2342" customFormat="false" ht="26.85" hidden="false" customHeight="false" outlineLevel="0" collapsed="false">
      <c r="A2342" s="15" t="s">
        <v>79</v>
      </c>
      <c r="B2342" s="15" t="s">
        <v>996</v>
      </c>
      <c r="C2342" s="14" t="s">
        <v>14897</v>
      </c>
      <c r="D2342" s="14" t="s">
        <v>14898</v>
      </c>
      <c r="E2342" s="16" t="s">
        <v>14899</v>
      </c>
      <c r="F2342" s="16" t="s">
        <v>14900</v>
      </c>
      <c r="G2342" s="19" t="s">
        <v>41</v>
      </c>
      <c r="H2342" s="18" t="n">
        <v>7</v>
      </c>
      <c r="I2342" s="20" t="n">
        <v>89.9</v>
      </c>
      <c r="J2342" s="20" t="n">
        <v>247.35</v>
      </c>
      <c r="K2342" s="18" t="n">
        <v>11</v>
      </c>
      <c r="L2342" s="18" t="n">
        <v>3</v>
      </c>
      <c r="M2342" s="18" t="n">
        <v>106</v>
      </c>
      <c r="N2342" s="18" t="n">
        <v>80</v>
      </c>
      <c r="O2342" s="14" t="s">
        <v>14901</v>
      </c>
      <c r="P2342" s="14" t="s">
        <v>118</v>
      </c>
      <c r="Q2342" s="15" t="s">
        <v>1089</v>
      </c>
      <c r="R2342" s="16" t="s">
        <v>14902</v>
      </c>
      <c r="S2342" s="15" t="s">
        <v>14903</v>
      </c>
      <c r="T2342" s="15" t="s">
        <v>14903</v>
      </c>
      <c r="U2342" s="21" t="s">
        <v>72</v>
      </c>
    </row>
    <row r="2343" customFormat="false" ht="15" hidden="false" customHeight="false" outlineLevel="0" collapsed="false">
      <c r="A2343" s="15" t="s">
        <v>79</v>
      </c>
      <c r="B2343" s="15" t="s">
        <v>996</v>
      </c>
      <c r="C2343" s="14" t="s">
        <v>14904</v>
      </c>
      <c r="D2343" s="14" t="s">
        <v>14905</v>
      </c>
      <c r="E2343" s="16" t="s">
        <v>14906</v>
      </c>
      <c r="F2343" s="16" t="s">
        <v>14907</v>
      </c>
      <c r="G2343" s="19" t="s">
        <v>41</v>
      </c>
      <c r="H2343" s="18" t="n">
        <v>7</v>
      </c>
      <c r="I2343" s="20" t="n">
        <v>145.1</v>
      </c>
      <c r="J2343" s="20" t="n">
        <v>241.64</v>
      </c>
      <c r="K2343" s="18" t="n">
        <v>7</v>
      </c>
      <c r="L2343" s="18" t="n">
        <v>4</v>
      </c>
      <c r="M2343" s="18" t="n">
        <v>190</v>
      </c>
      <c r="N2343" s="18" t="n">
        <v>82</v>
      </c>
      <c r="O2343" s="14" t="s">
        <v>1088</v>
      </c>
      <c r="P2343" s="14" t="s">
        <v>118</v>
      </c>
      <c r="Q2343" s="15" t="s">
        <v>1089</v>
      </c>
      <c r="R2343" s="16" t="s">
        <v>14908</v>
      </c>
      <c r="S2343" s="15" t="s">
        <v>14909</v>
      </c>
      <c r="T2343" s="15" t="s">
        <v>14909</v>
      </c>
      <c r="U2343" s="21" t="s">
        <v>72</v>
      </c>
    </row>
    <row r="2344" customFormat="false" ht="15" hidden="false" customHeight="false" outlineLevel="0" collapsed="false">
      <c r="A2344" s="15" t="s">
        <v>79</v>
      </c>
      <c r="B2344" s="15" t="s">
        <v>996</v>
      </c>
      <c r="C2344" s="14" t="s">
        <v>14910</v>
      </c>
      <c r="D2344" s="14" t="s">
        <v>14911</v>
      </c>
      <c r="E2344" s="16" t="s">
        <v>14912</v>
      </c>
      <c r="F2344" s="16" t="s">
        <v>14913</v>
      </c>
      <c r="G2344" s="23" t="s">
        <v>43</v>
      </c>
      <c r="H2344" s="18" t="n">
        <v>3</v>
      </c>
      <c r="I2344" s="20" t="n">
        <v>59.19</v>
      </c>
      <c r="J2344" s="20" t="n">
        <v>170.99</v>
      </c>
      <c r="K2344" s="18" t="n">
        <v>60</v>
      </c>
      <c r="L2344" s="18" t="n">
        <v>4</v>
      </c>
      <c r="M2344" s="18" t="n">
        <v>864</v>
      </c>
      <c r="N2344" s="18" t="n">
        <v>204</v>
      </c>
      <c r="O2344" s="14" t="s">
        <v>5962</v>
      </c>
      <c r="P2344" s="14" t="s">
        <v>118</v>
      </c>
      <c r="Q2344" s="15" t="s">
        <v>1089</v>
      </c>
      <c r="R2344" s="16" t="s">
        <v>14914</v>
      </c>
      <c r="S2344" s="15" t="s">
        <v>14915</v>
      </c>
      <c r="T2344" s="15" t="s">
        <v>14916</v>
      </c>
      <c r="U2344" s="21" t="s">
        <v>72</v>
      </c>
    </row>
    <row r="2345" customFormat="false" ht="15" hidden="false" customHeight="false" outlineLevel="0" collapsed="false">
      <c r="A2345" s="15" t="s">
        <v>79</v>
      </c>
      <c r="B2345" s="15" t="s">
        <v>996</v>
      </c>
      <c r="C2345" s="14" t="s">
        <v>14917</v>
      </c>
      <c r="D2345" s="14" t="s">
        <v>14918</v>
      </c>
      <c r="E2345" s="16" t="s">
        <v>14919</v>
      </c>
      <c r="F2345" s="16" t="s">
        <v>14913</v>
      </c>
      <c r="G2345" s="23" t="s">
        <v>43</v>
      </c>
      <c r="H2345" s="18" t="n">
        <v>1</v>
      </c>
      <c r="I2345" s="20" t="n">
        <v>32.64</v>
      </c>
      <c r="J2345" s="20" t="n">
        <v>86.06</v>
      </c>
      <c r="K2345" s="18" t="n">
        <v>21</v>
      </c>
      <c r="L2345" s="18" t="n">
        <v>3</v>
      </c>
      <c r="M2345" s="18" t="n">
        <v>567</v>
      </c>
      <c r="N2345" s="18" t="n">
        <v>162</v>
      </c>
      <c r="O2345" s="14" t="s">
        <v>1097</v>
      </c>
      <c r="P2345" s="14" t="s">
        <v>118</v>
      </c>
      <c r="Q2345" s="15" t="s">
        <v>1089</v>
      </c>
      <c r="R2345" s="16" t="s">
        <v>9360</v>
      </c>
      <c r="S2345" s="15" t="s">
        <v>14915</v>
      </c>
      <c r="T2345" s="15" t="s">
        <v>14915</v>
      </c>
      <c r="U2345" s="21" t="s">
        <v>72</v>
      </c>
    </row>
    <row r="2346" customFormat="false" ht="26.85" hidden="false" customHeight="false" outlineLevel="0" collapsed="false">
      <c r="A2346" s="15" t="s">
        <v>79</v>
      </c>
      <c r="B2346" s="15" t="s">
        <v>996</v>
      </c>
      <c r="C2346" s="14" t="s">
        <v>14920</v>
      </c>
      <c r="D2346" s="14" t="s">
        <v>14921</v>
      </c>
      <c r="E2346" s="16" t="s">
        <v>14922</v>
      </c>
      <c r="F2346" s="16" t="s">
        <v>14913</v>
      </c>
      <c r="G2346" s="23" t="s">
        <v>43</v>
      </c>
      <c r="H2346" s="18" t="n">
        <v>2</v>
      </c>
      <c r="I2346" s="20" t="n">
        <v>61.58</v>
      </c>
      <c r="J2346" s="20" t="n">
        <v>83.76</v>
      </c>
      <c r="K2346" s="18" t="n">
        <v>10</v>
      </c>
      <c r="L2346" s="18" t="n">
        <v>1</v>
      </c>
      <c r="M2346" s="18" t="n">
        <v>255</v>
      </c>
      <c r="N2346" s="18" t="n">
        <v>153</v>
      </c>
      <c r="O2346" s="14" t="s">
        <v>14923</v>
      </c>
      <c r="P2346" s="14" t="s">
        <v>118</v>
      </c>
      <c r="Q2346" s="15" t="s">
        <v>1089</v>
      </c>
      <c r="R2346" s="16" t="s">
        <v>14924</v>
      </c>
      <c r="S2346" s="15" t="s">
        <v>14915</v>
      </c>
      <c r="T2346" s="15" t="s">
        <v>14925</v>
      </c>
      <c r="U2346" s="21" t="s">
        <v>72</v>
      </c>
    </row>
    <row r="2347" customFormat="false" ht="52.2" hidden="false" customHeight="false" outlineLevel="0" collapsed="false">
      <c r="A2347" s="15" t="s">
        <v>79</v>
      </c>
      <c r="B2347" s="15" t="s">
        <v>996</v>
      </c>
      <c r="C2347" s="14" t="s">
        <v>14926</v>
      </c>
      <c r="D2347" s="14" t="s">
        <v>14927</v>
      </c>
      <c r="E2347" s="16" t="s">
        <v>14928</v>
      </c>
      <c r="F2347" s="16" t="s">
        <v>14929</v>
      </c>
      <c r="G2347" s="23" t="s">
        <v>43</v>
      </c>
      <c r="H2347" s="18" t="n">
        <v>2</v>
      </c>
      <c r="I2347" s="20" t="n">
        <v>59.8</v>
      </c>
      <c r="J2347" s="20" t="n">
        <v>93.09</v>
      </c>
      <c r="K2347" s="18" t="n">
        <v>3</v>
      </c>
      <c r="L2347" s="18" t="n">
        <v>1</v>
      </c>
      <c r="M2347" s="18" t="n">
        <v>72</v>
      </c>
      <c r="N2347" s="18" t="n">
        <v>72</v>
      </c>
      <c r="O2347" s="14" t="s">
        <v>14930</v>
      </c>
      <c r="P2347" s="14" t="s">
        <v>118</v>
      </c>
      <c r="Q2347" s="15" t="s">
        <v>1089</v>
      </c>
      <c r="R2347" s="16" t="s">
        <v>14931</v>
      </c>
      <c r="S2347" s="15" t="s">
        <v>14932</v>
      </c>
      <c r="T2347" s="15" t="s">
        <v>14932</v>
      </c>
      <c r="U2347" s="21" t="s">
        <v>72</v>
      </c>
    </row>
    <row r="2348" customFormat="false" ht="26.85" hidden="false" customHeight="false" outlineLevel="0" collapsed="false">
      <c r="A2348" s="15" t="s">
        <v>14933</v>
      </c>
      <c r="B2348" s="16"/>
      <c r="C2348" s="14" t="s">
        <v>14934</v>
      </c>
      <c r="D2348" s="13" t="s">
        <v>14935</v>
      </c>
      <c r="E2348" s="16" t="s">
        <v>14936</v>
      </c>
      <c r="F2348" s="16" t="s">
        <v>14937</v>
      </c>
      <c r="G2348" s="25" t="s">
        <v>39</v>
      </c>
      <c r="H2348" s="18" t="n">
        <v>12</v>
      </c>
      <c r="I2348" s="20" t="n">
        <v>256.99</v>
      </c>
      <c r="J2348" s="20" t="n">
        <v>967.68</v>
      </c>
      <c r="K2348" s="18" t="n">
        <v>6</v>
      </c>
      <c r="L2348" s="18" t="n">
        <v>2</v>
      </c>
      <c r="M2348" s="18" t="n">
        <v>162</v>
      </c>
      <c r="N2348" s="18" t="n">
        <v>42</v>
      </c>
      <c r="O2348" s="14" t="s">
        <v>14938</v>
      </c>
      <c r="P2348" s="14" t="s">
        <v>84</v>
      </c>
      <c r="Q2348" s="15" t="s">
        <v>1089</v>
      </c>
      <c r="R2348" s="16" t="s">
        <v>14939</v>
      </c>
      <c r="S2348" s="15" t="s">
        <v>14940</v>
      </c>
      <c r="T2348" s="15" t="s">
        <v>14941</v>
      </c>
      <c r="U2348" s="21" t="s">
        <v>72</v>
      </c>
    </row>
    <row r="2349" customFormat="false" ht="26.85" hidden="false" customHeight="false" outlineLevel="0" collapsed="false">
      <c r="A2349" s="15" t="s">
        <v>14933</v>
      </c>
      <c r="B2349" s="16"/>
      <c r="C2349" s="14" t="s">
        <v>14942</v>
      </c>
      <c r="D2349" s="13" t="s">
        <v>14943</v>
      </c>
      <c r="E2349" s="16" t="s">
        <v>14944</v>
      </c>
      <c r="F2349" s="16" t="s">
        <v>14945</v>
      </c>
      <c r="G2349" s="19" t="s">
        <v>41</v>
      </c>
      <c r="H2349" s="18" t="n">
        <v>4</v>
      </c>
      <c r="I2349" s="20" t="n">
        <v>105.04</v>
      </c>
      <c r="J2349" s="20" t="n">
        <v>239.97</v>
      </c>
      <c r="K2349" s="18" t="n">
        <v>11</v>
      </c>
      <c r="L2349" s="18" t="n">
        <v>2</v>
      </c>
      <c r="M2349" s="18" t="n">
        <v>238</v>
      </c>
      <c r="N2349" s="18" t="n">
        <v>238</v>
      </c>
      <c r="O2349" s="14" t="s">
        <v>14946</v>
      </c>
      <c r="P2349" s="14" t="s">
        <v>84</v>
      </c>
      <c r="Q2349" s="15" t="s">
        <v>1089</v>
      </c>
      <c r="R2349" s="16" t="s">
        <v>14947</v>
      </c>
      <c r="S2349" s="15" t="s">
        <v>1091</v>
      </c>
      <c r="T2349" s="15" t="s">
        <v>14948</v>
      </c>
      <c r="U2349" s="21" t="s">
        <v>72</v>
      </c>
    </row>
    <row r="2350" customFormat="false" ht="15" hidden="false" customHeight="false" outlineLevel="0" collapsed="false">
      <c r="A2350" s="15" t="s">
        <v>14933</v>
      </c>
      <c r="B2350" s="16"/>
      <c r="C2350" s="14" t="s">
        <v>14949</v>
      </c>
      <c r="D2350" s="13" t="s">
        <v>14950</v>
      </c>
      <c r="E2350" s="16" t="s">
        <v>14951</v>
      </c>
      <c r="F2350" s="16" t="s">
        <v>14952</v>
      </c>
      <c r="G2350" s="19" t="s">
        <v>41</v>
      </c>
      <c r="H2350" s="18" t="n">
        <v>6</v>
      </c>
      <c r="I2350" s="20" t="n">
        <v>113.39</v>
      </c>
      <c r="J2350" s="20" t="n">
        <v>200.7</v>
      </c>
      <c r="K2350" s="18" t="n">
        <v>2</v>
      </c>
      <c r="L2350" s="18" t="n">
        <v>1</v>
      </c>
      <c r="M2350" s="18" t="n">
        <v>34</v>
      </c>
      <c r="N2350" s="18" t="n">
        <v>34</v>
      </c>
      <c r="O2350" s="14" t="s">
        <v>1126</v>
      </c>
      <c r="P2350" s="14" t="s">
        <v>84</v>
      </c>
      <c r="Q2350" s="15" t="s">
        <v>1089</v>
      </c>
      <c r="R2350" s="16" t="s">
        <v>14953</v>
      </c>
      <c r="S2350" s="15" t="s">
        <v>14954</v>
      </c>
      <c r="T2350" s="15" t="s">
        <v>14955</v>
      </c>
      <c r="U2350" s="21" t="s">
        <v>72</v>
      </c>
    </row>
    <row r="2351" customFormat="false" ht="50.7" hidden="false" customHeight="false" outlineLevel="0" collapsed="false">
      <c r="A2351" s="15" t="s">
        <v>14933</v>
      </c>
      <c r="B2351" s="16"/>
      <c r="C2351" s="14" t="s">
        <v>14956</v>
      </c>
      <c r="D2351" s="13" t="s">
        <v>14957</v>
      </c>
      <c r="E2351" s="16" t="s">
        <v>14958</v>
      </c>
      <c r="F2351" s="16" t="s">
        <v>14959</v>
      </c>
      <c r="G2351" s="19" t="s">
        <v>41</v>
      </c>
      <c r="H2351" s="18" t="n">
        <v>7</v>
      </c>
      <c r="I2351" s="20" t="n">
        <v>178.42</v>
      </c>
      <c r="J2351" s="20" t="n">
        <v>360.13</v>
      </c>
      <c r="K2351" s="18" t="n">
        <v>7</v>
      </c>
      <c r="L2351" s="18" t="n">
        <v>30</v>
      </c>
      <c r="M2351" s="18" t="n">
        <v>167</v>
      </c>
      <c r="N2351" s="18" t="n">
        <v>167</v>
      </c>
      <c r="O2351" s="14" t="s">
        <v>14960</v>
      </c>
      <c r="P2351" s="14" t="s">
        <v>84</v>
      </c>
      <c r="Q2351" s="15" t="s">
        <v>1089</v>
      </c>
      <c r="R2351" s="16" t="s">
        <v>301</v>
      </c>
      <c r="S2351" s="15" t="s">
        <v>1348</v>
      </c>
      <c r="T2351" s="15" t="s">
        <v>14961</v>
      </c>
      <c r="U2351" s="21" t="s">
        <v>72</v>
      </c>
    </row>
    <row r="2352" customFormat="false" ht="90.25" hidden="false" customHeight="false" outlineLevel="0" collapsed="false">
      <c r="A2352" s="15" t="s">
        <v>14933</v>
      </c>
      <c r="B2352" s="16"/>
      <c r="C2352" s="14" t="s">
        <v>14962</v>
      </c>
      <c r="D2352" s="13" t="s">
        <v>14963</v>
      </c>
      <c r="E2352" s="16" t="s">
        <v>14964</v>
      </c>
      <c r="F2352" s="16"/>
      <c r="G2352" s="25" t="s">
        <v>39</v>
      </c>
      <c r="H2352" s="18" t="n">
        <v>29</v>
      </c>
      <c r="I2352" s="20" t="n">
        <v>350.42</v>
      </c>
      <c r="J2352" s="20" t="n">
        <v>595.73</v>
      </c>
      <c r="K2352" s="18" t="n">
        <v>29</v>
      </c>
      <c r="L2352" s="18" t="n">
        <v>2</v>
      </c>
      <c r="M2352" s="18" t="n">
        <v>580</v>
      </c>
      <c r="N2352" s="18" t="n">
        <v>580</v>
      </c>
      <c r="O2352" s="14" t="s">
        <v>14965</v>
      </c>
      <c r="P2352" s="14" t="s">
        <v>84</v>
      </c>
      <c r="Q2352" s="15" t="s">
        <v>1089</v>
      </c>
      <c r="R2352" s="16" t="s">
        <v>14966</v>
      </c>
      <c r="S2352" s="15" t="s">
        <v>14967</v>
      </c>
      <c r="T2352" s="15" t="s">
        <v>14968</v>
      </c>
      <c r="U2352" s="21" t="s">
        <v>72</v>
      </c>
    </row>
    <row r="2353" customFormat="false" ht="26.85" hidden="false" customHeight="false" outlineLevel="0" collapsed="false">
      <c r="A2353" s="15" t="s">
        <v>14933</v>
      </c>
      <c r="B2353" s="16"/>
      <c r="C2353" s="14" t="s">
        <v>14969</v>
      </c>
      <c r="D2353" s="13" t="s">
        <v>14970</v>
      </c>
      <c r="E2353" s="16" t="s">
        <v>14971</v>
      </c>
      <c r="F2353" s="16" t="s">
        <v>14972</v>
      </c>
      <c r="G2353" s="25" t="s">
        <v>39</v>
      </c>
      <c r="H2353" s="18" t="n">
        <v>15</v>
      </c>
      <c r="I2353" s="20" t="n">
        <v>109.37</v>
      </c>
      <c r="J2353" s="20" t="n">
        <v>397.03</v>
      </c>
      <c r="K2353" s="18" t="n">
        <v>35</v>
      </c>
      <c r="L2353" s="18" t="n">
        <v>6</v>
      </c>
      <c r="M2353" s="18" t="n">
        <v>175</v>
      </c>
      <c r="N2353" s="18" t="n">
        <v>105</v>
      </c>
      <c r="O2353" s="14" t="s">
        <v>1097</v>
      </c>
      <c r="P2353" s="14" t="s">
        <v>84</v>
      </c>
      <c r="Q2353" s="15" t="s">
        <v>1089</v>
      </c>
      <c r="R2353" s="16" t="s">
        <v>14973</v>
      </c>
      <c r="S2353" s="15" t="s">
        <v>14974</v>
      </c>
      <c r="T2353" s="15" t="s">
        <v>14975</v>
      </c>
      <c r="U2353" s="21" t="s">
        <v>72</v>
      </c>
    </row>
    <row r="2354" customFormat="false" ht="15" hidden="false" customHeight="false" outlineLevel="0" collapsed="false">
      <c r="A2354" s="15" t="s">
        <v>14933</v>
      </c>
      <c r="B2354" s="16"/>
      <c r="C2354" s="14" t="s">
        <v>14976</v>
      </c>
      <c r="D2354" s="13" t="s">
        <v>14977</v>
      </c>
      <c r="E2354" s="16" t="s">
        <v>14978</v>
      </c>
      <c r="F2354" s="16" t="s">
        <v>14979</v>
      </c>
      <c r="G2354" s="19" t="s">
        <v>41</v>
      </c>
      <c r="H2354" s="18" t="n">
        <v>5</v>
      </c>
      <c r="I2354" s="20" t="n">
        <v>111.76</v>
      </c>
      <c r="J2354" s="20" t="n">
        <v>221.57</v>
      </c>
      <c r="K2354" s="18" t="n">
        <v>6</v>
      </c>
      <c r="L2354" s="18" t="n">
        <v>4</v>
      </c>
      <c r="M2354" s="18" t="n">
        <v>90</v>
      </c>
      <c r="N2354" s="18" t="n">
        <v>90</v>
      </c>
      <c r="O2354" s="14" t="s">
        <v>1126</v>
      </c>
      <c r="P2354" s="14" t="s">
        <v>84</v>
      </c>
      <c r="Q2354" s="15" t="s">
        <v>1089</v>
      </c>
      <c r="R2354" s="16" t="s">
        <v>14980</v>
      </c>
      <c r="S2354" s="15" t="s">
        <v>14981</v>
      </c>
      <c r="T2354" s="15" t="s">
        <v>14982</v>
      </c>
      <c r="U2354" s="21" t="s">
        <v>72</v>
      </c>
    </row>
    <row r="2355" customFormat="false" ht="26.85" hidden="false" customHeight="false" outlineLevel="0" collapsed="false">
      <c r="A2355" s="15" t="s">
        <v>14933</v>
      </c>
      <c r="B2355" s="16"/>
      <c r="C2355" s="14" t="s">
        <v>14983</v>
      </c>
      <c r="D2355" s="13" t="s">
        <v>14984</v>
      </c>
      <c r="E2355" s="16" t="s">
        <v>14985</v>
      </c>
      <c r="F2355" s="16" t="s">
        <v>14986</v>
      </c>
      <c r="G2355" s="19" t="s">
        <v>41</v>
      </c>
      <c r="H2355" s="18" t="n">
        <v>7</v>
      </c>
      <c r="I2355" s="20" t="n">
        <v>199.79</v>
      </c>
      <c r="J2355" s="20" t="n">
        <v>368.08</v>
      </c>
      <c r="K2355" s="18" t="n">
        <v>7</v>
      </c>
      <c r="L2355" s="18" t="n">
        <v>4</v>
      </c>
      <c r="M2355" s="18" t="n">
        <v>164</v>
      </c>
      <c r="N2355" s="18" t="n">
        <v>114</v>
      </c>
      <c r="O2355" s="14" t="s">
        <v>14987</v>
      </c>
      <c r="P2355" s="14" t="s">
        <v>84</v>
      </c>
      <c r="Q2355" s="15" t="s">
        <v>1089</v>
      </c>
      <c r="R2355" s="16" t="s">
        <v>14988</v>
      </c>
      <c r="S2355" s="15" t="s">
        <v>14989</v>
      </c>
      <c r="T2355" s="15" t="s">
        <v>14990</v>
      </c>
      <c r="U2355" s="21" t="s">
        <v>72</v>
      </c>
    </row>
    <row r="2356" customFormat="false" ht="50.7" hidden="false" customHeight="false" outlineLevel="0" collapsed="false">
      <c r="A2356" s="15" t="s">
        <v>14933</v>
      </c>
      <c r="B2356" s="16"/>
      <c r="C2356" s="14" t="s">
        <v>14991</v>
      </c>
      <c r="D2356" s="13" t="s">
        <v>14992</v>
      </c>
      <c r="E2356" s="16" t="s">
        <v>14993</v>
      </c>
      <c r="F2356" s="16" t="s">
        <v>14994</v>
      </c>
      <c r="G2356" s="25" t="s">
        <v>39</v>
      </c>
      <c r="H2356" s="18" t="n">
        <v>8</v>
      </c>
      <c r="I2356" s="20" t="n">
        <v>201.12</v>
      </c>
      <c r="J2356" s="20" t="n">
        <v>466.1</v>
      </c>
      <c r="K2356" s="18" t="n">
        <v>11</v>
      </c>
      <c r="L2356" s="18" t="n">
        <v>8</v>
      </c>
      <c r="M2356" s="18" t="n">
        <v>222</v>
      </c>
      <c r="N2356" s="18" t="n">
        <v>222</v>
      </c>
      <c r="O2356" s="14" t="s">
        <v>14995</v>
      </c>
      <c r="P2356" s="14" t="s">
        <v>84</v>
      </c>
      <c r="Q2356" s="15" t="s">
        <v>1089</v>
      </c>
      <c r="R2356" s="16" t="s">
        <v>14996</v>
      </c>
      <c r="S2356" s="15" t="s">
        <v>14997</v>
      </c>
      <c r="T2356" s="15" t="s">
        <v>14998</v>
      </c>
      <c r="U2356" s="21" t="s">
        <v>72</v>
      </c>
    </row>
    <row r="2357" customFormat="false" ht="15" hidden="false" customHeight="false" outlineLevel="0" collapsed="false">
      <c r="A2357" s="15" t="s">
        <v>14933</v>
      </c>
      <c r="B2357" s="16"/>
      <c r="C2357" s="14" t="s">
        <v>14999</v>
      </c>
      <c r="D2357" s="13" t="s">
        <v>15000</v>
      </c>
      <c r="E2357" s="16" t="s">
        <v>15001</v>
      </c>
      <c r="F2357" s="16"/>
      <c r="G2357" s="23" t="s">
        <v>43</v>
      </c>
      <c r="H2357" s="18" t="n">
        <v>2</v>
      </c>
      <c r="I2357" s="20" t="n">
        <v>34.32</v>
      </c>
      <c r="J2357" s="20" t="n">
        <v>123</v>
      </c>
      <c r="K2357" s="18" t="n">
        <v>2</v>
      </c>
      <c r="L2357" s="18"/>
      <c r="M2357" s="18" t="n">
        <v>28</v>
      </c>
      <c r="N2357" s="18" t="n">
        <v>28</v>
      </c>
      <c r="O2357" s="14" t="s">
        <v>15002</v>
      </c>
      <c r="P2357" s="14" t="s">
        <v>84</v>
      </c>
      <c r="Q2357" s="15" t="s">
        <v>1089</v>
      </c>
      <c r="R2357" s="16" t="s">
        <v>15003</v>
      </c>
      <c r="S2357" s="15" t="s">
        <v>15004</v>
      </c>
      <c r="T2357" s="15" t="s">
        <v>15005</v>
      </c>
      <c r="U2357" s="21" t="s">
        <v>72</v>
      </c>
    </row>
    <row r="2358" customFormat="false" ht="15" hidden="false" customHeight="false" outlineLevel="0" collapsed="false">
      <c r="A2358" s="15" t="s">
        <v>14933</v>
      </c>
      <c r="B2358" s="16"/>
      <c r="C2358" s="14" t="s">
        <v>15006</v>
      </c>
      <c r="D2358" s="13" t="s">
        <v>15007</v>
      </c>
      <c r="E2358" s="16" t="s">
        <v>15008</v>
      </c>
      <c r="F2358" s="16"/>
      <c r="G2358" s="23" t="s">
        <v>43</v>
      </c>
      <c r="H2358" s="18" t="n">
        <v>1</v>
      </c>
      <c r="I2358" s="20" t="n">
        <v>160.3</v>
      </c>
      <c r="J2358" s="20"/>
      <c r="K2358" s="18" t="n">
        <v>1</v>
      </c>
      <c r="L2358" s="18"/>
      <c r="M2358" s="18" t="n">
        <v>12</v>
      </c>
      <c r="N2358" s="18" t="n">
        <v>12</v>
      </c>
      <c r="O2358" s="14" t="s">
        <v>1088</v>
      </c>
      <c r="P2358" s="14" t="s">
        <v>84</v>
      </c>
      <c r="Q2358" s="15" t="s">
        <v>1089</v>
      </c>
      <c r="R2358" s="16" t="s">
        <v>15009</v>
      </c>
      <c r="S2358" s="15" t="s">
        <v>15010</v>
      </c>
      <c r="T2358" s="15" t="s">
        <v>15010</v>
      </c>
      <c r="U2358" s="21" t="s">
        <v>72</v>
      </c>
    </row>
    <row r="2359" customFormat="false" ht="15" hidden="false" customHeight="false" outlineLevel="0" collapsed="false">
      <c r="A2359" s="15" t="s">
        <v>14933</v>
      </c>
      <c r="B2359" s="16"/>
      <c r="C2359" s="14" t="s">
        <v>15011</v>
      </c>
      <c r="D2359" s="13" t="s">
        <v>15012</v>
      </c>
      <c r="E2359" s="16" t="s">
        <v>15013</v>
      </c>
      <c r="F2359" s="16" t="s">
        <v>15014</v>
      </c>
      <c r="G2359" s="25" t="s">
        <v>39</v>
      </c>
      <c r="H2359" s="18" t="n">
        <v>12</v>
      </c>
      <c r="I2359" s="20" t="n">
        <v>255.33</v>
      </c>
      <c r="J2359" s="20" t="n">
        <v>443.04</v>
      </c>
      <c r="K2359" s="18" t="n">
        <v>20</v>
      </c>
      <c r="L2359" s="18" t="n">
        <v>12</v>
      </c>
      <c r="M2359" s="18" t="n">
        <v>348</v>
      </c>
      <c r="N2359" s="18" t="n">
        <v>348</v>
      </c>
      <c r="O2359" s="14" t="s">
        <v>1088</v>
      </c>
      <c r="P2359" s="14" t="s">
        <v>84</v>
      </c>
      <c r="Q2359" s="15" t="s">
        <v>1089</v>
      </c>
      <c r="R2359" s="16" t="s">
        <v>15015</v>
      </c>
      <c r="S2359" s="15" t="s">
        <v>15016</v>
      </c>
      <c r="T2359" s="15" t="s">
        <v>15016</v>
      </c>
      <c r="U2359" s="21" t="s">
        <v>72</v>
      </c>
    </row>
    <row r="2360" customFormat="false" ht="15" hidden="false" customHeight="false" outlineLevel="0" collapsed="false">
      <c r="A2360" s="15" t="s">
        <v>14933</v>
      </c>
      <c r="B2360" s="16"/>
      <c r="C2360" s="14" t="s">
        <v>15017</v>
      </c>
      <c r="D2360" s="13" t="s">
        <v>15018</v>
      </c>
      <c r="E2360" s="16" t="s">
        <v>15019</v>
      </c>
      <c r="F2360" s="16" t="s">
        <v>15020</v>
      </c>
      <c r="G2360" s="19" t="s">
        <v>41</v>
      </c>
      <c r="H2360" s="18" t="n">
        <v>6</v>
      </c>
      <c r="I2360" s="20" t="n">
        <v>87.68</v>
      </c>
      <c r="J2360" s="20" t="n">
        <v>195</v>
      </c>
      <c r="K2360" s="18" t="n">
        <v>20</v>
      </c>
      <c r="L2360" s="18" t="n">
        <v>6</v>
      </c>
      <c r="M2360" s="18" t="n">
        <v>200</v>
      </c>
      <c r="N2360" s="18" t="n">
        <v>200</v>
      </c>
      <c r="O2360" s="14" t="s">
        <v>1088</v>
      </c>
      <c r="P2360" s="14" t="s">
        <v>84</v>
      </c>
      <c r="Q2360" s="15" t="s">
        <v>1089</v>
      </c>
      <c r="R2360" s="16" t="s">
        <v>15021</v>
      </c>
      <c r="S2360" s="15" t="s">
        <v>15022</v>
      </c>
      <c r="T2360" s="15" t="s">
        <v>15022</v>
      </c>
      <c r="U2360" s="21" t="s">
        <v>72</v>
      </c>
    </row>
    <row r="2361" customFormat="false" ht="15" hidden="false" customHeight="false" outlineLevel="0" collapsed="false">
      <c r="A2361" s="15" t="s">
        <v>14933</v>
      </c>
      <c r="B2361" s="16"/>
      <c r="C2361" s="14" t="s">
        <v>15023</v>
      </c>
      <c r="D2361" s="13" t="s">
        <v>15024</v>
      </c>
      <c r="E2361" s="16" t="s">
        <v>15025</v>
      </c>
      <c r="F2361" s="16"/>
      <c r="G2361" s="23" t="s">
        <v>43</v>
      </c>
      <c r="H2361" s="18" t="n">
        <v>3</v>
      </c>
      <c r="I2361" s="20" t="n">
        <v>71.922</v>
      </c>
      <c r="J2361" s="20" t="n">
        <v>185.82</v>
      </c>
      <c r="K2361" s="18" t="n">
        <v>2</v>
      </c>
      <c r="L2361" s="18" t="n">
        <v>2</v>
      </c>
      <c r="M2361" s="18" t="n">
        <v>38</v>
      </c>
      <c r="N2361" s="18" t="n">
        <v>38</v>
      </c>
      <c r="O2361" s="14" t="s">
        <v>1126</v>
      </c>
      <c r="P2361" s="14" t="s">
        <v>84</v>
      </c>
      <c r="Q2361" s="15" t="s">
        <v>1089</v>
      </c>
      <c r="R2361" s="16" t="s">
        <v>15026</v>
      </c>
      <c r="S2361" s="15" t="s">
        <v>15027</v>
      </c>
      <c r="T2361" s="15" t="s">
        <v>15027</v>
      </c>
      <c r="U2361" s="21" t="s">
        <v>72</v>
      </c>
    </row>
    <row r="2362" customFormat="false" ht="15" hidden="false" customHeight="false" outlineLevel="0" collapsed="false">
      <c r="A2362" s="15" t="s">
        <v>14933</v>
      </c>
      <c r="B2362" s="16"/>
      <c r="C2362" s="14" t="s">
        <v>15028</v>
      </c>
      <c r="D2362" s="13" t="s">
        <v>15029</v>
      </c>
      <c r="E2362" s="16" t="s">
        <v>15030</v>
      </c>
      <c r="F2362" s="16" t="s">
        <v>15031</v>
      </c>
      <c r="G2362" s="19" t="s">
        <v>41</v>
      </c>
      <c r="H2362" s="18" t="n">
        <v>4</v>
      </c>
      <c r="I2362" s="20" t="n">
        <v>107.77</v>
      </c>
      <c r="J2362" s="20" t="n">
        <v>200.9</v>
      </c>
      <c r="K2362" s="18" t="n">
        <v>2</v>
      </c>
      <c r="L2362" s="18" t="n">
        <v>1</v>
      </c>
      <c r="M2362" s="18" t="n">
        <v>54</v>
      </c>
      <c r="N2362" s="18" t="n">
        <v>54</v>
      </c>
      <c r="O2362" s="14" t="s">
        <v>15032</v>
      </c>
      <c r="P2362" s="14" t="s">
        <v>84</v>
      </c>
      <c r="Q2362" s="15" t="s">
        <v>1089</v>
      </c>
      <c r="R2362" s="16" t="s">
        <v>15033</v>
      </c>
      <c r="S2362" s="15" t="s">
        <v>15034</v>
      </c>
      <c r="T2362" s="15" t="s">
        <v>15034</v>
      </c>
      <c r="U2362" s="21" t="s">
        <v>72</v>
      </c>
    </row>
    <row r="2363" customFormat="false" ht="39.55" hidden="false" customHeight="false" outlineLevel="0" collapsed="false">
      <c r="A2363" s="15" t="s">
        <v>14933</v>
      </c>
      <c r="B2363" s="16"/>
      <c r="C2363" s="14" t="s">
        <v>15035</v>
      </c>
      <c r="D2363" s="13" t="s">
        <v>15036</v>
      </c>
      <c r="E2363" s="16" t="s">
        <v>15037</v>
      </c>
      <c r="F2363" s="16" t="s">
        <v>15038</v>
      </c>
      <c r="G2363" s="19" t="s">
        <v>41</v>
      </c>
      <c r="H2363" s="18" t="n">
        <v>5</v>
      </c>
      <c r="I2363" s="20" t="n">
        <v>158.61</v>
      </c>
      <c r="J2363" s="20" t="n">
        <v>293.87</v>
      </c>
      <c r="K2363" s="18" t="n">
        <v>8</v>
      </c>
      <c r="L2363" s="18" t="n">
        <v>9</v>
      </c>
      <c r="M2363" s="18" t="n">
        <v>125</v>
      </c>
      <c r="N2363" s="18" t="n">
        <v>125</v>
      </c>
      <c r="O2363" s="14" t="s">
        <v>15039</v>
      </c>
      <c r="P2363" s="14" t="s">
        <v>84</v>
      </c>
      <c r="Q2363" s="15" t="s">
        <v>1089</v>
      </c>
      <c r="R2363" s="16" t="s">
        <v>15040</v>
      </c>
      <c r="S2363" s="15" t="s">
        <v>15041</v>
      </c>
      <c r="T2363" s="15" t="s">
        <v>15042</v>
      </c>
      <c r="U2363" s="21" t="s">
        <v>72</v>
      </c>
    </row>
    <row r="2364" customFormat="false" ht="15" hidden="false" customHeight="false" outlineLevel="0" collapsed="false">
      <c r="A2364" s="15" t="s">
        <v>14933</v>
      </c>
      <c r="B2364" s="16"/>
      <c r="C2364" s="14" t="s">
        <v>15043</v>
      </c>
      <c r="D2364" s="13" t="s">
        <v>15044</v>
      </c>
      <c r="E2364" s="16" t="s">
        <v>15045</v>
      </c>
      <c r="F2364" s="16" t="s">
        <v>15046</v>
      </c>
      <c r="G2364" s="23" t="s">
        <v>43</v>
      </c>
      <c r="H2364" s="18" t="n">
        <v>1</v>
      </c>
      <c r="I2364" s="20" t="n">
        <v>31.92</v>
      </c>
      <c r="J2364" s="20" t="n">
        <v>108.849</v>
      </c>
      <c r="K2364" s="18" t="n">
        <v>2</v>
      </c>
      <c r="L2364" s="18"/>
      <c r="M2364" s="18" t="n">
        <v>52</v>
      </c>
      <c r="N2364" s="18" t="n">
        <v>52</v>
      </c>
      <c r="O2364" s="14" t="s">
        <v>2125</v>
      </c>
      <c r="P2364" s="14" t="s">
        <v>84</v>
      </c>
      <c r="Q2364" s="15" t="s">
        <v>1089</v>
      </c>
      <c r="R2364" s="16" t="s">
        <v>15047</v>
      </c>
      <c r="S2364" s="15" t="s">
        <v>15048</v>
      </c>
      <c r="T2364" s="15" t="s">
        <v>15049</v>
      </c>
      <c r="U2364" s="21" t="s">
        <v>72</v>
      </c>
    </row>
    <row r="2365" customFormat="false" ht="15" hidden="false" customHeight="false" outlineLevel="0" collapsed="false">
      <c r="A2365" s="15" t="s">
        <v>14933</v>
      </c>
      <c r="B2365" s="16"/>
      <c r="C2365" s="14" t="s">
        <v>15050</v>
      </c>
      <c r="D2365" s="13" t="s">
        <v>15051</v>
      </c>
      <c r="E2365" s="16" t="s">
        <v>15052</v>
      </c>
      <c r="F2365" s="16"/>
      <c r="G2365" s="23" t="s">
        <v>43</v>
      </c>
      <c r="H2365" s="18" t="n">
        <v>3</v>
      </c>
      <c r="I2365" s="20" t="n">
        <v>104.87</v>
      </c>
      <c r="J2365" s="20" t="n">
        <v>173.22</v>
      </c>
      <c r="K2365" s="18" t="n">
        <v>2</v>
      </c>
      <c r="L2365" s="18"/>
      <c r="M2365" s="18" t="n">
        <v>60</v>
      </c>
      <c r="N2365" s="18" t="n">
        <v>60</v>
      </c>
      <c r="O2365" s="14" t="s">
        <v>1126</v>
      </c>
      <c r="P2365" s="14" t="s">
        <v>84</v>
      </c>
      <c r="Q2365" s="15" t="s">
        <v>1089</v>
      </c>
      <c r="R2365" s="16" t="s">
        <v>15053</v>
      </c>
      <c r="S2365" s="15" t="s">
        <v>15054</v>
      </c>
      <c r="T2365" s="15" t="s">
        <v>15054</v>
      </c>
      <c r="U2365" s="21" t="s">
        <v>72</v>
      </c>
    </row>
    <row r="2366" customFormat="false" ht="15" hidden="false" customHeight="false" outlineLevel="0" collapsed="false">
      <c r="A2366" s="15" t="s">
        <v>14933</v>
      </c>
      <c r="B2366" s="16"/>
      <c r="C2366" s="14" t="s">
        <v>15055</v>
      </c>
      <c r="D2366" s="13" t="s">
        <v>15056</v>
      </c>
      <c r="E2366" s="16" t="s">
        <v>15057</v>
      </c>
      <c r="F2366" s="16" t="s">
        <v>15058</v>
      </c>
      <c r="G2366" s="19" t="s">
        <v>41</v>
      </c>
      <c r="H2366" s="18" t="n">
        <v>3</v>
      </c>
      <c r="I2366" s="20" t="n">
        <v>63.02</v>
      </c>
      <c r="J2366" s="20" t="n">
        <v>208.91</v>
      </c>
      <c r="K2366" s="18" t="n">
        <v>3</v>
      </c>
      <c r="L2366" s="18" t="n">
        <v>3</v>
      </c>
      <c r="M2366" s="18" t="n">
        <v>51</v>
      </c>
      <c r="N2366" s="18" t="n">
        <v>51</v>
      </c>
      <c r="O2366" s="14" t="s">
        <v>1126</v>
      </c>
      <c r="P2366" s="14" t="s">
        <v>84</v>
      </c>
      <c r="Q2366" s="15" t="s">
        <v>1089</v>
      </c>
      <c r="R2366" s="16" t="s">
        <v>15059</v>
      </c>
      <c r="S2366" s="15" t="s">
        <v>15060</v>
      </c>
      <c r="T2366" s="15" t="s">
        <v>15060</v>
      </c>
      <c r="U2366" s="21" t="s">
        <v>72</v>
      </c>
    </row>
    <row r="2367" customFormat="false" ht="15" hidden="false" customHeight="false" outlineLevel="0" collapsed="false">
      <c r="A2367" s="15" t="s">
        <v>14933</v>
      </c>
      <c r="B2367" s="16"/>
      <c r="C2367" s="14" t="s">
        <v>15061</v>
      </c>
      <c r="D2367" s="13" t="s">
        <v>15062</v>
      </c>
      <c r="E2367" s="16" t="s">
        <v>15063</v>
      </c>
      <c r="F2367" s="16"/>
      <c r="G2367" s="19" t="s">
        <v>41</v>
      </c>
      <c r="H2367" s="18" t="n">
        <v>5</v>
      </c>
      <c r="I2367" s="20" t="n">
        <v>140.28</v>
      </c>
      <c r="J2367" s="20" t="n">
        <v>276.753</v>
      </c>
      <c r="K2367" s="18" t="n">
        <v>2</v>
      </c>
      <c r="L2367" s="18"/>
      <c r="M2367" s="18" t="n">
        <v>32</v>
      </c>
      <c r="N2367" s="18" t="n">
        <v>32</v>
      </c>
      <c r="O2367" s="14" t="s">
        <v>1126</v>
      </c>
      <c r="P2367" s="14" t="s">
        <v>84</v>
      </c>
      <c r="Q2367" s="15" t="s">
        <v>1089</v>
      </c>
      <c r="R2367" s="16" t="s">
        <v>15064</v>
      </c>
      <c r="S2367" s="15" t="s">
        <v>15065</v>
      </c>
      <c r="T2367" s="15" t="s">
        <v>15066</v>
      </c>
      <c r="U2367" s="21" t="s">
        <v>72</v>
      </c>
    </row>
    <row r="2368" customFormat="false" ht="15" hidden="false" customHeight="false" outlineLevel="0" collapsed="false">
      <c r="A2368" s="15" t="s">
        <v>14933</v>
      </c>
      <c r="B2368" s="16"/>
      <c r="C2368" s="14" t="s">
        <v>15067</v>
      </c>
      <c r="D2368" s="13" t="s">
        <v>15068</v>
      </c>
      <c r="E2368" s="16" t="s">
        <v>15069</v>
      </c>
      <c r="F2368" s="16"/>
      <c r="G2368" s="19" t="s">
        <v>41</v>
      </c>
      <c r="H2368" s="18" t="n">
        <v>3</v>
      </c>
      <c r="I2368" s="20" t="n">
        <v>66.57</v>
      </c>
      <c r="J2368" s="20" t="n">
        <v>205.22</v>
      </c>
      <c r="K2368" s="18" t="n">
        <v>4</v>
      </c>
      <c r="L2368" s="18" t="n">
        <v>1</v>
      </c>
      <c r="M2368" s="18" t="n">
        <v>64</v>
      </c>
      <c r="N2368" s="18" t="n">
        <v>32</v>
      </c>
      <c r="O2368" s="14" t="s">
        <v>15070</v>
      </c>
      <c r="P2368" s="14" t="s">
        <v>84</v>
      </c>
      <c r="Q2368" s="15" t="s">
        <v>1089</v>
      </c>
      <c r="R2368" s="16" t="s">
        <v>15071</v>
      </c>
      <c r="S2368" s="15" t="s">
        <v>15072</v>
      </c>
      <c r="T2368" s="15" t="s">
        <v>15073</v>
      </c>
      <c r="U2368" s="21" t="s">
        <v>72</v>
      </c>
    </row>
    <row r="2369" customFormat="false" ht="15" hidden="false" customHeight="false" outlineLevel="0" collapsed="false">
      <c r="A2369" s="15" t="s">
        <v>14933</v>
      </c>
      <c r="B2369" s="16"/>
      <c r="C2369" s="14" t="s">
        <v>15074</v>
      </c>
      <c r="D2369" s="13" t="s">
        <v>15075</v>
      </c>
      <c r="E2369" s="16" t="s">
        <v>15076</v>
      </c>
      <c r="F2369" s="16"/>
      <c r="G2369" s="23" t="s">
        <v>43</v>
      </c>
      <c r="H2369" s="18" t="n">
        <v>2</v>
      </c>
      <c r="I2369" s="20" t="n">
        <v>54.54</v>
      </c>
      <c r="J2369" s="20" t="n">
        <v>112.57</v>
      </c>
      <c r="K2369" s="18" t="n">
        <v>1</v>
      </c>
      <c r="L2369" s="18"/>
      <c r="M2369" s="18" t="n">
        <v>25</v>
      </c>
      <c r="N2369" s="18" t="n">
        <v>25</v>
      </c>
      <c r="O2369" s="14" t="s">
        <v>1088</v>
      </c>
      <c r="P2369" s="14" t="s">
        <v>84</v>
      </c>
      <c r="Q2369" s="15" t="s">
        <v>1089</v>
      </c>
      <c r="R2369" s="16" t="s">
        <v>15077</v>
      </c>
      <c r="S2369" s="15" t="s">
        <v>15078</v>
      </c>
      <c r="T2369" s="15" t="s">
        <v>15079</v>
      </c>
      <c r="U2369" s="21" t="s">
        <v>72</v>
      </c>
    </row>
    <row r="2370" customFormat="false" ht="15" hidden="false" customHeight="false" outlineLevel="0" collapsed="false">
      <c r="A2370" s="15" t="s">
        <v>14933</v>
      </c>
      <c r="B2370" s="16"/>
      <c r="C2370" s="14" t="s">
        <v>15080</v>
      </c>
      <c r="D2370" s="13" t="s">
        <v>15081</v>
      </c>
      <c r="E2370" s="16" t="s">
        <v>15082</v>
      </c>
      <c r="F2370" s="16"/>
      <c r="G2370" s="19" t="s">
        <v>41</v>
      </c>
      <c r="H2370" s="18" t="n">
        <v>4</v>
      </c>
      <c r="I2370" s="20" t="n">
        <v>80.16</v>
      </c>
      <c r="J2370" s="20" t="n">
        <v>242.91</v>
      </c>
      <c r="K2370" s="18" t="n">
        <v>3</v>
      </c>
      <c r="L2370" s="18"/>
      <c r="M2370" s="18" t="n">
        <v>50</v>
      </c>
      <c r="N2370" s="18" t="n">
        <v>50</v>
      </c>
      <c r="O2370" s="14" t="s">
        <v>1088</v>
      </c>
      <c r="P2370" s="14" t="s">
        <v>84</v>
      </c>
      <c r="Q2370" s="15" t="s">
        <v>1089</v>
      </c>
      <c r="R2370" s="16" t="s">
        <v>13752</v>
      </c>
      <c r="S2370" s="15" t="s">
        <v>15083</v>
      </c>
      <c r="T2370" s="15" t="s">
        <v>15083</v>
      </c>
      <c r="U2370" s="21" t="s">
        <v>72</v>
      </c>
    </row>
    <row r="2371" customFormat="false" ht="15" hidden="false" customHeight="false" outlineLevel="0" collapsed="false">
      <c r="A2371" s="15" t="s">
        <v>14933</v>
      </c>
      <c r="B2371" s="16"/>
      <c r="C2371" s="14" t="s">
        <v>15084</v>
      </c>
      <c r="D2371" s="13" t="s">
        <v>15085</v>
      </c>
      <c r="E2371" s="16" t="s">
        <v>15086</v>
      </c>
      <c r="F2371" s="16"/>
      <c r="G2371" s="19" t="s">
        <v>41</v>
      </c>
      <c r="H2371" s="18" t="n">
        <v>5</v>
      </c>
      <c r="I2371" s="20" t="n">
        <v>130.95</v>
      </c>
      <c r="J2371" s="20" t="n">
        <v>280.42</v>
      </c>
      <c r="K2371" s="18" t="n">
        <v>4</v>
      </c>
      <c r="L2371" s="18" t="n">
        <v>1</v>
      </c>
      <c r="M2371" s="18" t="n">
        <v>84</v>
      </c>
      <c r="N2371" s="18" t="n">
        <v>42</v>
      </c>
      <c r="O2371" s="14" t="s">
        <v>1088</v>
      </c>
      <c r="P2371" s="14" t="s">
        <v>84</v>
      </c>
      <c r="Q2371" s="15" t="s">
        <v>1089</v>
      </c>
      <c r="R2371" s="16" t="s">
        <v>15087</v>
      </c>
      <c r="S2371" s="15" t="s">
        <v>15088</v>
      </c>
      <c r="T2371" s="15" t="s">
        <v>15088</v>
      </c>
      <c r="U2371" s="21" t="s">
        <v>72</v>
      </c>
    </row>
    <row r="2372" customFormat="false" ht="15" hidden="false" customHeight="false" outlineLevel="0" collapsed="false">
      <c r="A2372" s="15" t="s">
        <v>14933</v>
      </c>
      <c r="B2372" s="16"/>
      <c r="C2372" s="14" t="s">
        <v>15089</v>
      </c>
      <c r="D2372" s="13" t="s">
        <v>15090</v>
      </c>
      <c r="E2372" s="16" t="s">
        <v>15091</v>
      </c>
      <c r="F2372" s="16"/>
      <c r="G2372" s="19" t="s">
        <v>41</v>
      </c>
      <c r="H2372" s="18" t="n">
        <v>4</v>
      </c>
      <c r="I2372" s="20" t="n">
        <v>59.28</v>
      </c>
      <c r="J2372" s="20" t="n">
        <v>302.48</v>
      </c>
      <c r="K2372" s="18" t="n">
        <v>2</v>
      </c>
      <c r="L2372" s="18"/>
      <c r="M2372" s="18" t="n">
        <v>24</v>
      </c>
      <c r="N2372" s="18" t="n">
        <v>24</v>
      </c>
      <c r="O2372" s="14" t="s">
        <v>1126</v>
      </c>
      <c r="P2372" s="14" t="s">
        <v>84</v>
      </c>
      <c r="Q2372" s="15" t="s">
        <v>1089</v>
      </c>
      <c r="R2372" s="16" t="s">
        <v>15092</v>
      </c>
      <c r="S2372" s="15" t="s">
        <v>15093</v>
      </c>
      <c r="T2372" s="15" t="s">
        <v>15093</v>
      </c>
      <c r="U2372" s="21" t="s">
        <v>72</v>
      </c>
    </row>
    <row r="2373" customFormat="false" ht="15" hidden="false" customHeight="false" outlineLevel="0" collapsed="false">
      <c r="A2373" s="15" t="s">
        <v>14933</v>
      </c>
      <c r="B2373" s="16"/>
      <c r="C2373" s="14" t="s">
        <v>15094</v>
      </c>
      <c r="D2373" s="13" t="s">
        <v>15095</v>
      </c>
      <c r="E2373" s="16" t="s">
        <v>15096</v>
      </c>
      <c r="F2373" s="16" t="s">
        <v>15097</v>
      </c>
      <c r="G2373" s="23" t="s">
        <v>43</v>
      </c>
      <c r="H2373" s="18" t="n">
        <v>2</v>
      </c>
      <c r="I2373" s="20" t="n">
        <v>98.59</v>
      </c>
      <c r="J2373" s="20" t="n">
        <v>104.99</v>
      </c>
      <c r="K2373" s="18" t="n">
        <v>6</v>
      </c>
      <c r="L2373" s="18" t="n">
        <v>8</v>
      </c>
      <c r="M2373" s="18" t="n">
        <v>243</v>
      </c>
      <c r="N2373" s="18" t="n">
        <v>243</v>
      </c>
      <c r="O2373" s="14" t="s">
        <v>15098</v>
      </c>
      <c r="P2373" s="14" t="s">
        <v>84</v>
      </c>
      <c r="Q2373" s="15" t="s">
        <v>1089</v>
      </c>
      <c r="R2373" s="16" t="s">
        <v>15099</v>
      </c>
      <c r="S2373" s="15" t="s">
        <v>15100</v>
      </c>
      <c r="T2373" s="15" t="s">
        <v>15101</v>
      </c>
      <c r="U2373" s="21" t="s">
        <v>72</v>
      </c>
    </row>
    <row r="2374" customFormat="false" ht="15" hidden="false" customHeight="false" outlineLevel="0" collapsed="false">
      <c r="A2374" s="15" t="s">
        <v>14933</v>
      </c>
      <c r="B2374" s="16"/>
      <c r="C2374" s="14" t="s">
        <v>15102</v>
      </c>
      <c r="D2374" s="13" t="s">
        <v>15103</v>
      </c>
      <c r="E2374" s="16" t="s">
        <v>15104</v>
      </c>
      <c r="F2374" s="16"/>
      <c r="G2374" s="23" t="s">
        <v>43</v>
      </c>
      <c r="H2374" s="18" t="n">
        <v>3</v>
      </c>
      <c r="I2374" s="20" t="n">
        <v>55.07</v>
      </c>
      <c r="J2374" s="20" t="n">
        <v>188.02</v>
      </c>
      <c r="K2374" s="18" t="n">
        <v>3</v>
      </c>
      <c r="L2374" s="18" t="n">
        <v>3</v>
      </c>
      <c r="M2374" s="18" t="n">
        <v>44</v>
      </c>
      <c r="N2374" s="18" t="n">
        <v>44</v>
      </c>
      <c r="O2374" s="14" t="s">
        <v>1126</v>
      </c>
      <c r="P2374" s="14" t="s">
        <v>84</v>
      </c>
      <c r="Q2374" s="15" t="s">
        <v>1089</v>
      </c>
      <c r="R2374" s="16" t="s">
        <v>15105</v>
      </c>
      <c r="S2374" s="15" t="s">
        <v>15106</v>
      </c>
      <c r="T2374" s="15" t="s">
        <v>15106</v>
      </c>
      <c r="U2374" s="21" t="s">
        <v>72</v>
      </c>
    </row>
    <row r="2375" customFormat="false" ht="15" hidden="false" customHeight="false" outlineLevel="0" collapsed="false">
      <c r="A2375" s="15" t="s">
        <v>14933</v>
      </c>
      <c r="B2375" s="16"/>
      <c r="C2375" s="14" t="s">
        <v>15107</v>
      </c>
      <c r="D2375" s="13" t="s">
        <v>15108</v>
      </c>
      <c r="E2375" s="16" t="s">
        <v>15109</v>
      </c>
      <c r="F2375" s="16"/>
      <c r="G2375" s="19" t="s">
        <v>41</v>
      </c>
      <c r="H2375" s="18" t="n">
        <v>5</v>
      </c>
      <c r="I2375" s="20" t="n">
        <v>100.64</v>
      </c>
      <c r="J2375" s="20" t="n">
        <v>171.85</v>
      </c>
      <c r="K2375" s="18" t="n">
        <v>2</v>
      </c>
      <c r="L2375" s="18"/>
      <c r="M2375" s="18" t="n">
        <v>36</v>
      </c>
      <c r="N2375" s="18" t="n">
        <v>36</v>
      </c>
      <c r="O2375" s="14" t="s">
        <v>15110</v>
      </c>
      <c r="P2375" s="14" t="s">
        <v>84</v>
      </c>
      <c r="Q2375" s="15" t="s">
        <v>1089</v>
      </c>
      <c r="R2375" s="16" t="s">
        <v>6301</v>
      </c>
      <c r="S2375" s="15" t="s">
        <v>15111</v>
      </c>
      <c r="T2375" s="15" t="s">
        <v>15112</v>
      </c>
      <c r="U2375" s="21" t="s">
        <v>72</v>
      </c>
    </row>
    <row r="2376" customFormat="false" ht="39.55" hidden="false" customHeight="false" outlineLevel="0" collapsed="false">
      <c r="A2376" s="15" t="s">
        <v>14933</v>
      </c>
      <c r="B2376" s="16"/>
      <c r="C2376" s="14" t="s">
        <v>15113</v>
      </c>
      <c r="D2376" s="13" t="s">
        <v>15114</v>
      </c>
      <c r="E2376" s="16" t="s">
        <v>15115</v>
      </c>
      <c r="F2376" s="16"/>
      <c r="G2376" s="25" t="s">
        <v>39</v>
      </c>
      <c r="H2376" s="18" t="n">
        <v>8</v>
      </c>
      <c r="I2376" s="20" t="n">
        <v>162.16</v>
      </c>
      <c r="J2376" s="20" t="n">
        <v>561.69</v>
      </c>
      <c r="K2376" s="18" t="n">
        <v>8</v>
      </c>
      <c r="L2376" s="18" t="n">
        <v>4</v>
      </c>
      <c r="M2376" s="18" t="n">
        <v>144</v>
      </c>
      <c r="N2376" s="18" t="n">
        <v>106</v>
      </c>
      <c r="O2376" s="14" t="s">
        <v>15116</v>
      </c>
      <c r="P2376" s="14" t="s">
        <v>84</v>
      </c>
      <c r="Q2376" s="15" t="s">
        <v>1089</v>
      </c>
      <c r="R2376" s="16" t="s">
        <v>15117</v>
      </c>
      <c r="S2376" s="15" t="s">
        <v>15118</v>
      </c>
      <c r="T2376" s="15" t="s">
        <v>15118</v>
      </c>
      <c r="U2376" s="21" t="s">
        <v>72</v>
      </c>
    </row>
    <row r="2377" customFormat="false" ht="15" hidden="false" customHeight="false" outlineLevel="0" collapsed="false">
      <c r="A2377" s="15" t="s">
        <v>14933</v>
      </c>
      <c r="B2377" s="16"/>
      <c r="C2377" s="14" t="s">
        <v>15119</v>
      </c>
      <c r="D2377" s="13" t="s">
        <v>15120</v>
      </c>
      <c r="E2377" s="16" t="s">
        <v>15121</v>
      </c>
      <c r="F2377" s="16" t="s">
        <v>15122</v>
      </c>
      <c r="G2377" s="25" t="s">
        <v>39</v>
      </c>
      <c r="H2377" s="18" t="n">
        <v>5</v>
      </c>
      <c r="I2377" s="20" t="n">
        <v>175.96</v>
      </c>
      <c r="J2377" s="20" t="n">
        <v>488.29</v>
      </c>
      <c r="K2377" s="18" t="n">
        <v>15</v>
      </c>
      <c r="L2377" s="18" t="n">
        <v>2</v>
      </c>
      <c r="M2377" s="18" t="n">
        <v>435</v>
      </c>
      <c r="N2377" s="18" t="n">
        <v>435</v>
      </c>
      <c r="O2377" s="14" t="s">
        <v>1126</v>
      </c>
      <c r="P2377" s="14" t="s">
        <v>84</v>
      </c>
      <c r="Q2377" s="15" t="s">
        <v>1089</v>
      </c>
      <c r="R2377" s="16" t="s">
        <v>15123</v>
      </c>
      <c r="S2377" s="15" t="s">
        <v>15124</v>
      </c>
      <c r="T2377" s="15" t="s">
        <v>15124</v>
      </c>
      <c r="U2377" s="21" t="s">
        <v>72</v>
      </c>
    </row>
    <row r="2378" customFormat="false" ht="15" hidden="false" customHeight="false" outlineLevel="0" collapsed="false">
      <c r="A2378" s="15" t="s">
        <v>14933</v>
      </c>
      <c r="B2378" s="16"/>
      <c r="C2378" s="14" t="s">
        <v>15125</v>
      </c>
      <c r="D2378" s="13" t="s">
        <v>15126</v>
      </c>
      <c r="E2378" s="16" t="s">
        <v>15127</v>
      </c>
      <c r="F2378" s="16" t="s">
        <v>15128</v>
      </c>
      <c r="G2378" s="23" t="s">
        <v>43</v>
      </c>
      <c r="H2378" s="18" t="n">
        <v>4</v>
      </c>
      <c r="I2378" s="20" t="n">
        <v>66.55</v>
      </c>
      <c r="J2378" s="20" t="n">
        <v>144</v>
      </c>
      <c r="K2378" s="18" t="n">
        <v>8</v>
      </c>
      <c r="L2378" s="18" t="n">
        <v>2</v>
      </c>
      <c r="M2378" s="18" t="n">
        <v>117</v>
      </c>
      <c r="N2378" s="18" t="n">
        <v>32</v>
      </c>
      <c r="O2378" s="14" t="s">
        <v>15129</v>
      </c>
      <c r="P2378" s="14" t="s">
        <v>84</v>
      </c>
      <c r="Q2378" s="15" t="s">
        <v>1089</v>
      </c>
      <c r="R2378" s="16" t="s">
        <v>15130</v>
      </c>
      <c r="S2378" s="15" t="s">
        <v>15131</v>
      </c>
      <c r="T2378" s="15" t="s">
        <v>15131</v>
      </c>
      <c r="U2378" s="21" t="s">
        <v>72</v>
      </c>
    </row>
    <row r="2379" customFormat="false" ht="15" hidden="false" customHeight="false" outlineLevel="0" collapsed="false">
      <c r="A2379" s="15" t="s">
        <v>14933</v>
      </c>
      <c r="B2379" s="16"/>
      <c r="C2379" s="14" t="s">
        <v>15132</v>
      </c>
      <c r="D2379" s="13" t="s">
        <v>15133</v>
      </c>
      <c r="E2379" s="16" t="s">
        <v>15134</v>
      </c>
      <c r="F2379" s="16"/>
      <c r="G2379" s="23" t="s">
        <v>43</v>
      </c>
      <c r="H2379" s="18" t="n">
        <v>3</v>
      </c>
      <c r="I2379" s="20" t="n">
        <v>39.99</v>
      </c>
      <c r="J2379" s="20" t="n">
        <v>161</v>
      </c>
      <c r="K2379" s="18" t="n">
        <v>3</v>
      </c>
      <c r="L2379" s="18"/>
      <c r="M2379" s="18" t="n">
        <v>31</v>
      </c>
      <c r="N2379" s="18" t="n">
        <v>31</v>
      </c>
      <c r="O2379" s="14" t="s">
        <v>15135</v>
      </c>
      <c r="P2379" s="14" t="s">
        <v>84</v>
      </c>
      <c r="Q2379" s="15" t="s">
        <v>1089</v>
      </c>
      <c r="R2379" s="16" t="s">
        <v>15136</v>
      </c>
      <c r="S2379" s="15" t="s">
        <v>15137</v>
      </c>
      <c r="T2379" s="15" t="s">
        <v>15138</v>
      </c>
      <c r="U2379" s="21" t="s">
        <v>72</v>
      </c>
    </row>
    <row r="2380" customFormat="false" ht="15" hidden="false" customHeight="false" outlineLevel="0" collapsed="false">
      <c r="A2380" s="15" t="s">
        <v>14933</v>
      </c>
      <c r="B2380" s="16"/>
      <c r="C2380" s="14" t="s">
        <v>15139</v>
      </c>
      <c r="D2380" s="13" t="s">
        <v>15140</v>
      </c>
      <c r="E2380" s="16" t="s">
        <v>15141</v>
      </c>
      <c r="F2380" s="16"/>
      <c r="G2380" s="23" t="s">
        <v>43</v>
      </c>
      <c r="H2380" s="18" t="n">
        <v>3</v>
      </c>
      <c r="I2380" s="20" t="n">
        <v>36.03</v>
      </c>
      <c r="J2380" s="20" t="n">
        <v>98.09</v>
      </c>
      <c r="K2380" s="18" t="n">
        <v>3</v>
      </c>
      <c r="L2380" s="18"/>
      <c r="M2380" s="18" t="n">
        <v>28</v>
      </c>
      <c r="N2380" s="18" t="n">
        <v>28</v>
      </c>
      <c r="O2380" s="14" t="s">
        <v>15142</v>
      </c>
      <c r="P2380" s="14" t="s">
        <v>84</v>
      </c>
      <c r="Q2380" s="15" t="s">
        <v>1089</v>
      </c>
      <c r="R2380" s="16" t="s">
        <v>15143</v>
      </c>
      <c r="S2380" s="15" t="s">
        <v>15144</v>
      </c>
      <c r="T2380" s="15" t="s">
        <v>15145</v>
      </c>
      <c r="U2380" s="21" t="s">
        <v>72</v>
      </c>
    </row>
    <row r="2381" customFormat="false" ht="15" hidden="false" customHeight="false" outlineLevel="0" collapsed="false">
      <c r="A2381" s="15" t="s">
        <v>14933</v>
      </c>
      <c r="B2381" s="16"/>
      <c r="C2381" s="14" t="s">
        <v>15146</v>
      </c>
      <c r="D2381" s="13" t="s">
        <v>15147</v>
      </c>
      <c r="E2381" s="16" t="s">
        <v>15148</v>
      </c>
      <c r="F2381" s="16" t="s">
        <v>15149</v>
      </c>
      <c r="G2381" s="19" t="s">
        <v>41</v>
      </c>
      <c r="H2381" s="18" t="n">
        <v>5</v>
      </c>
      <c r="I2381" s="20" t="n">
        <v>128.46</v>
      </c>
      <c r="J2381" s="20" t="n">
        <v>238.14</v>
      </c>
      <c r="K2381" s="18" t="n">
        <v>2</v>
      </c>
      <c r="L2381" s="18" t="n">
        <v>2</v>
      </c>
      <c r="M2381" s="18" t="n">
        <v>46</v>
      </c>
      <c r="N2381" s="18" t="n">
        <v>46</v>
      </c>
      <c r="O2381" s="14" t="s">
        <v>1126</v>
      </c>
      <c r="P2381" s="14" t="s">
        <v>84</v>
      </c>
      <c r="Q2381" s="15" t="s">
        <v>1089</v>
      </c>
      <c r="R2381" s="16" t="s">
        <v>15150</v>
      </c>
      <c r="S2381" s="15" t="s">
        <v>15151</v>
      </c>
      <c r="T2381" s="15" t="s">
        <v>15152</v>
      </c>
      <c r="U2381" s="21" t="s">
        <v>72</v>
      </c>
    </row>
    <row r="2382" customFormat="false" ht="15" hidden="false" customHeight="false" outlineLevel="0" collapsed="false">
      <c r="A2382" s="15" t="s">
        <v>14933</v>
      </c>
      <c r="B2382" s="16"/>
      <c r="C2382" s="14" t="s">
        <v>15153</v>
      </c>
      <c r="D2382" s="13" t="s">
        <v>15154</v>
      </c>
      <c r="E2382" s="16" t="s">
        <v>15155</v>
      </c>
      <c r="F2382" s="16" t="s">
        <v>15156</v>
      </c>
      <c r="G2382" s="23" t="s">
        <v>43</v>
      </c>
      <c r="H2382" s="18" t="n">
        <v>1</v>
      </c>
      <c r="I2382" s="20" t="n">
        <v>44.78</v>
      </c>
      <c r="J2382" s="20" t="n">
        <v>76.47</v>
      </c>
      <c r="K2382" s="18" t="n">
        <v>1</v>
      </c>
      <c r="L2382" s="18"/>
      <c r="M2382" s="18" t="n">
        <v>37</v>
      </c>
      <c r="N2382" s="18" t="n">
        <v>37</v>
      </c>
      <c r="O2382" s="14" t="s">
        <v>1126</v>
      </c>
      <c r="P2382" s="14" t="s">
        <v>84</v>
      </c>
      <c r="Q2382" s="15" t="s">
        <v>1089</v>
      </c>
      <c r="R2382" s="16" t="s">
        <v>15157</v>
      </c>
      <c r="S2382" s="15" t="s">
        <v>15158</v>
      </c>
      <c r="T2382" s="15" t="s">
        <v>15158</v>
      </c>
      <c r="U2382" s="21" t="s">
        <v>72</v>
      </c>
    </row>
    <row r="2383" customFormat="false" ht="15" hidden="false" customHeight="false" outlineLevel="0" collapsed="false">
      <c r="A2383" s="15" t="s">
        <v>14933</v>
      </c>
      <c r="B2383" s="16"/>
      <c r="C2383" s="14" t="s">
        <v>15159</v>
      </c>
      <c r="D2383" s="13" t="s">
        <v>15160</v>
      </c>
      <c r="E2383" s="16" t="s">
        <v>15161</v>
      </c>
      <c r="F2383" s="16" t="s">
        <v>15162</v>
      </c>
      <c r="G2383" s="25" t="s">
        <v>39</v>
      </c>
      <c r="H2383" s="18" t="n">
        <v>11</v>
      </c>
      <c r="I2383" s="20" t="n">
        <v>466.2</v>
      </c>
      <c r="J2383" s="20" t="n">
        <v>1021.38</v>
      </c>
      <c r="K2383" s="18" t="n">
        <v>11</v>
      </c>
      <c r="L2383" s="18" t="n">
        <v>38</v>
      </c>
      <c r="M2383" s="18" t="n">
        <v>385</v>
      </c>
      <c r="N2383" s="18" t="n">
        <v>385</v>
      </c>
      <c r="O2383" s="14" t="s">
        <v>1126</v>
      </c>
      <c r="P2383" s="14" t="s">
        <v>84</v>
      </c>
      <c r="Q2383" s="15" t="s">
        <v>1089</v>
      </c>
      <c r="R2383" s="16" t="s">
        <v>13129</v>
      </c>
      <c r="S2383" s="15" t="s">
        <v>15163</v>
      </c>
      <c r="T2383" s="15" t="s">
        <v>15164</v>
      </c>
      <c r="U2383" s="21" t="s">
        <v>72</v>
      </c>
    </row>
    <row r="2384" customFormat="false" ht="15" hidden="false" customHeight="false" outlineLevel="0" collapsed="false">
      <c r="A2384" s="15" t="s">
        <v>14933</v>
      </c>
      <c r="B2384" s="16"/>
      <c r="C2384" s="14" t="s">
        <v>15165</v>
      </c>
      <c r="D2384" s="13" t="s">
        <v>15166</v>
      </c>
      <c r="E2384" s="16" t="s">
        <v>15167</v>
      </c>
      <c r="F2384" s="16"/>
      <c r="G2384" s="23" t="s">
        <v>43</v>
      </c>
      <c r="H2384" s="18" t="n">
        <v>3</v>
      </c>
      <c r="I2384" s="20" t="n">
        <v>38.45</v>
      </c>
      <c r="J2384" s="20" t="n">
        <v>161.36</v>
      </c>
      <c r="K2384" s="18" t="n">
        <v>3</v>
      </c>
      <c r="L2384" s="18" t="n">
        <v>1</v>
      </c>
      <c r="M2384" s="18" t="n">
        <v>28</v>
      </c>
      <c r="N2384" s="18" t="n">
        <v>28</v>
      </c>
      <c r="O2384" s="14" t="s">
        <v>15168</v>
      </c>
      <c r="P2384" s="14" t="s">
        <v>84</v>
      </c>
      <c r="Q2384" s="15" t="s">
        <v>1089</v>
      </c>
      <c r="R2384" s="16" t="s">
        <v>10043</v>
      </c>
      <c r="S2384" s="15" t="s">
        <v>15169</v>
      </c>
      <c r="T2384" s="15" t="s">
        <v>15169</v>
      </c>
      <c r="U2384" s="21" t="s">
        <v>72</v>
      </c>
    </row>
    <row r="2385" customFormat="false" ht="15" hidden="false" customHeight="false" outlineLevel="0" collapsed="false">
      <c r="A2385" s="15" t="s">
        <v>14933</v>
      </c>
      <c r="B2385" s="16"/>
      <c r="C2385" s="14" t="s">
        <v>15170</v>
      </c>
      <c r="D2385" s="13" t="s">
        <v>15171</v>
      </c>
      <c r="E2385" s="16" t="s">
        <v>15172</v>
      </c>
      <c r="F2385" s="16"/>
      <c r="G2385" s="23" t="s">
        <v>43</v>
      </c>
      <c r="H2385" s="18" t="n">
        <v>2</v>
      </c>
      <c r="I2385" s="20" t="n">
        <v>42.75</v>
      </c>
      <c r="J2385" s="20" t="n">
        <v>91.56</v>
      </c>
      <c r="K2385" s="18" t="n">
        <v>6</v>
      </c>
      <c r="L2385" s="18" t="n">
        <v>3</v>
      </c>
      <c r="M2385" s="18" t="n">
        <v>48</v>
      </c>
      <c r="N2385" s="18" t="n">
        <v>24</v>
      </c>
      <c r="O2385" s="14" t="s">
        <v>15173</v>
      </c>
      <c r="P2385" s="14" t="s">
        <v>84</v>
      </c>
      <c r="Q2385" s="15" t="s">
        <v>1089</v>
      </c>
      <c r="R2385" s="16" t="s">
        <v>15174</v>
      </c>
      <c r="S2385" s="15" t="s">
        <v>15175</v>
      </c>
      <c r="T2385" s="15" t="s">
        <v>15175</v>
      </c>
      <c r="U2385" s="21" t="s">
        <v>72</v>
      </c>
    </row>
    <row r="2386" customFormat="false" ht="15" hidden="false" customHeight="false" outlineLevel="0" collapsed="false">
      <c r="A2386" s="15" t="s">
        <v>14933</v>
      </c>
      <c r="B2386" s="16"/>
      <c r="C2386" s="14" t="s">
        <v>15176</v>
      </c>
      <c r="D2386" s="13" t="s">
        <v>15177</v>
      </c>
      <c r="E2386" s="16" t="s">
        <v>15178</v>
      </c>
      <c r="F2386" s="16" t="s">
        <v>15179</v>
      </c>
      <c r="G2386" s="19" t="s">
        <v>41</v>
      </c>
      <c r="H2386" s="18" t="n">
        <v>2</v>
      </c>
      <c r="I2386" s="20" t="n">
        <v>44.25</v>
      </c>
      <c r="J2386" s="20" t="n">
        <v>212.07</v>
      </c>
      <c r="K2386" s="18" t="n">
        <v>10</v>
      </c>
      <c r="L2386" s="18" t="n">
        <v>2</v>
      </c>
      <c r="M2386" s="18" t="n">
        <v>110</v>
      </c>
      <c r="N2386" s="18" t="n">
        <v>88</v>
      </c>
      <c r="O2386" s="14" t="s">
        <v>1126</v>
      </c>
      <c r="P2386" s="14" t="s">
        <v>84</v>
      </c>
      <c r="Q2386" s="15" t="s">
        <v>1089</v>
      </c>
      <c r="R2386" s="16" t="s">
        <v>15180</v>
      </c>
      <c r="S2386" s="15" t="s">
        <v>15181</v>
      </c>
      <c r="T2386" s="15" t="s">
        <v>15181</v>
      </c>
      <c r="U2386" s="21" t="s">
        <v>72</v>
      </c>
    </row>
    <row r="2387" customFormat="false" ht="15" hidden="false" customHeight="false" outlineLevel="0" collapsed="false">
      <c r="A2387" s="15" t="s">
        <v>14933</v>
      </c>
      <c r="B2387" s="16"/>
      <c r="C2387" s="14" t="s">
        <v>15182</v>
      </c>
      <c r="D2387" s="13" t="s">
        <v>15183</v>
      </c>
      <c r="E2387" s="16" t="s">
        <v>15184</v>
      </c>
      <c r="F2387" s="16"/>
      <c r="G2387" s="19" t="s">
        <v>41</v>
      </c>
      <c r="H2387" s="18" t="n">
        <v>6</v>
      </c>
      <c r="I2387" s="20" t="n">
        <v>116.83</v>
      </c>
      <c r="J2387" s="20" t="n">
        <v>146.61</v>
      </c>
      <c r="K2387" s="18" t="n">
        <v>6</v>
      </c>
      <c r="L2387" s="18"/>
      <c r="M2387" s="18" t="n">
        <v>60</v>
      </c>
      <c r="N2387" s="18"/>
      <c r="O2387" s="13"/>
      <c r="P2387" s="14" t="s">
        <v>84</v>
      </c>
      <c r="Q2387" s="15" t="s">
        <v>1089</v>
      </c>
      <c r="R2387" s="16" t="s">
        <v>15185</v>
      </c>
      <c r="S2387" s="15" t="s">
        <v>15186</v>
      </c>
      <c r="T2387" s="15" t="s">
        <v>15186</v>
      </c>
      <c r="U2387" s="21" t="s">
        <v>72</v>
      </c>
    </row>
    <row r="2388" customFormat="false" ht="15" hidden="false" customHeight="false" outlineLevel="0" collapsed="false">
      <c r="A2388" s="15" t="s">
        <v>14933</v>
      </c>
      <c r="B2388" s="16"/>
      <c r="C2388" s="14" t="s">
        <v>15187</v>
      </c>
      <c r="D2388" s="13" t="s">
        <v>15188</v>
      </c>
      <c r="E2388" s="16" t="s">
        <v>15189</v>
      </c>
      <c r="F2388" s="16"/>
      <c r="G2388" s="23" t="s">
        <v>43</v>
      </c>
      <c r="H2388" s="18" t="n">
        <v>2</v>
      </c>
      <c r="I2388" s="20" t="n">
        <v>89.58</v>
      </c>
      <c r="J2388" s="20" t="n">
        <v>147.15</v>
      </c>
      <c r="K2388" s="18" t="n">
        <v>3</v>
      </c>
      <c r="L2388" s="18"/>
      <c r="M2388" s="18" t="n">
        <v>24</v>
      </c>
      <c r="N2388" s="18" t="n">
        <v>7</v>
      </c>
      <c r="O2388" s="14" t="s">
        <v>1126</v>
      </c>
      <c r="P2388" s="14" t="s">
        <v>84</v>
      </c>
      <c r="Q2388" s="15" t="s">
        <v>1089</v>
      </c>
      <c r="R2388" s="16" t="s">
        <v>15190</v>
      </c>
      <c r="S2388" s="16"/>
      <c r="T2388" s="16"/>
      <c r="U2388" s="21" t="s">
        <v>72</v>
      </c>
    </row>
    <row r="2389" customFormat="false" ht="15" hidden="false" customHeight="false" outlineLevel="0" collapsed="false">
      <c r="A2389" s="15" t="s">
        <v>14933</v>
      </c>
      <c r="B2389" s="16"/>
      <c r="C2389" s="14" t="s">
        <v>15191</v>
      </c>
      <c r="D2389" s="13" t="s">
        <v>15192</v>
      </c>
      <c r="E2389" s="16" t="s">
        <v>15193</v>
      </c>
      <c r="F2389" s="16"/>
      <c r="G2389" s="23" t="s">
        <v>43</v>
      </c>
      <c r="H2389" s="18" t="n">
        <v>2</v>
      </c>
      <c r="I2389" s="20" t="n">
        <v>31.94</v>
      </c>
      <c r="J2389" s="20" t="n">
        <v>115.89</v>
      </c>
      <c r="K2389" s="18" t="n">
        <v>3</v>
      </c>
      <c r="L2389" s="18" t="n">
        <v>2</v>
      </c>
      <c r="M2389" s="18" t="n">
        <v>40</v>
      </c>
      <c r="N2389" s="18" t="n">
        <v>25</v>
      </c>
      <c r="O2389" s="14" t="s">
        <v>15194</v>
      </c>
      <c r="P2389" s="14" t="s">
        <v>84</v>
      </c>
      <c r="Q2389" s="15" t="s">
        <v>1089</v>
      </c>
      <c r="R2389" s="16" t="s">
        <v>15195</v>
      </c>
      <c r="S2389" s="15" t="s">
        <v>15196</v>
      </c>
      <c r="T2389" s="15" t="s">
        <v>15197</v>
      </c>
      <c r="U2389" s="21" t="s">
        <v>72</v>
      </c>
    </row>
    <row r="2390" customFormat="false" ht="25.35" hidden="false" customHeight="false" outlineLevel="0" collapsed="false">
      <c r="A2390" s="15" t="s">
        <v>14933</v>
      </c>
      <c r="B2390" s="16"/>
      <c r="C2390" s="14" t="s">
        <v>15198</v>
      </c>
      <c r="D2390" s="13" t="s">
        <v>15199</v>
      </c>
      <c r="E2390" s="16" t="s">
        <v>15200</v>
      </c>
      <c r="F2390" s="16" t="s">
        <v>15201</v>
      </c>
      <c r="G2390" s="19" t="s">
        <v>41</v>
      </c>
      <c r="H2390" s="18" t="n">
        <v>3</v>
      </c>
      <c r="I2390" s="20" t="n">
        <v>68.91</v>
      </c>
      <c r="J2390" s="20" t="n">
        <v>285.83</v>
      </c>
      <c r="K2390" s="18" t="n">
        <v>3</v>
      </c>
      <c r="L2390" s="18" t="n">
        <v>4</v>
      </c>
      <c r="M2390" s="18" t="n">
        <v>56</v>
      </c>
      <c r="N2390" s="18" t="n">
        <v>56</v>
      </c>
      <c r="O2390" s="14" t="s">
        <v>15202</v>
      </c>
      <c r="P2390" s="14" t="s">
        <v>84</v>
      </c>
      <c r="Q2390" s="15" t="s">
        <v>1089</v>
      </c>
      <c r="R2390" s="16" t="s">
        <v>6026</v>
      </c>
      <c r="S2390" s="15" t="s">
        <v>15203</v>
      </c>
      <c r="T2390" s="15" t="s">
        <v>15203</v>
      </c>
      <c r="U2390" s="21" t="s">
        <v>72</v>
      </c>
    </row>
    <row r="2391" customFormat="false" ht="15" hidden="false" customHeight="false" outlineLevel="0" collapsed="false">
      <c r="A2391" s="15" t="s">
        <v>14933</v>
      </c>
      <c r="B2391" s="16"/>
      <c r="C2391" s="14" t="s">
        <v>15204</v>
      </c>
      <c r="D2391" s="13" t="s">
        <v>15205</v>
      </c>
      <c r="E2391" s="16" t="s">
        <v>15206</v>
      </c>
      <c r="F2391" s="16"/>
      <c r="G2391" s="23" t="s">
        <v>43</v>
      </c>
      <c r="H2391" s="18" t="n">
        <v>2</v>
      </c>
      <c r="I2391" s="20" t="n">
        <v>38.15</v>
      </c>
      <c r="J2391" s="20" t="n">
        <v>185.31</v>
      </c>
      <c r="K2391" s="18" t="n">
        <v>9</v>
      </c>
      <c r="L2391" s="18" t="n">
        <v>2</v>
      </c>
      <c r="M2391" s="18" t="n">
        <v>138</v>
      </c>
      <c r="N2391" s="18" t="n">
        <v>138</v>
      </c>
      <c r="O2391" s="14" t="s">
        <v>15207</v>
      </c>
      <c r="P2391" s="14" t="s">
        <v>84</v>
      </c>
      <c r="Q2391" s="15" t="s">
        <v>1089</v>
      </c>
      <c r="R2391" s="16" t="s">
        <v>15208</v>
      </c>
      <c r="S2391" s="15" t="s">
        <v>15209</v>
      </c>
      <c r="T2391" s="15" t="s">
        <v>15210</v>
      </c>
      <c r="U2391" s="21" t="s">
        <v>72</v>
      </c>
    </row>
    <row r="2392" customFormat="false" ht="26.85" hidden="false" customHeight="false" outlineLevel="0" collapsed="false">
      <c r="A2392" s="15" t="s">
        <v>14933</v>
      </c>
      <c r="B2392" s="16"/>
      <c r="C2392" s="14" t="s">
        <v>15211</v>
      </c>
      <c r="D2392" s="13" t="s">
        <v>15212</v>
      </c>
      <c r="E2392" s="16" t="s">
        <v>15213</v>
      </c>
      <c r="F2392" s="16"/>
      <c r="G2392" s="23" t="s">
        <v>43</v>
      </c>
      <c r="H2392" s="18" t="n">
        <v>2</v>
      </c>
      <c r="I2392" s="20" t="n">
        <v>35.74</v>
      </c>
      <c r="J2392" s="20" t="n">
        <v>73.68</v>
      </c>
      <c r="K2392" s="18" t="n">
        <v>2</v>
      </c>
      <c r="L2392" s="18"/>
      <c r="M2392" s="18" t="n">
        <v>38</v>
      </c>
      <c r="N2392" s="18" t="n">
        <v>38</v>
      </c>
      <c r="O2392" s="14" t="s">
        <v>15214</v>
      </c>
      <c r="P2392" s="14" t="s">
        <v>84</v>
      </c>
      <c r="Q2392" s="15" t="s">
        <v>1089</v>
      </c>
      <c r="R2392" s="16" t="s">
        <v>15215</v>
      </c>
      <c r="S2392" s="15" t="s">
        <v>15216</v>
      </c>
      <c r="T2392" s="15" t="s">
        <v>15216</v>
      </c>
      <c r="U2392" s="21" t="s">
        <v>72</v>
      </c>
    </row>
    <row r="2393" customFormat="false" ht="15" hidden="false" customHeight="false" outlineLevel="0" collapsed="false">
      <c r="A2393" s="15" t="s">
        <v>14933</v>
      </c>
      <c r="B2393" s="16"/>
      <c r="C2393" s="14" t="s">
        <v>15217</v>
      </c>
      <c r="D2393" s="13" t="s">
        <v>15218</v>
      </c>
      <c r="E2393" s="16" t="s">
        <v>15219</v>
      </c>
      <c r="F2393" s="16"/>
      <c r="G2393" s="19" t="s">
        <v>41</v>
      </c>
      <c r="H2393" s="18" t="n">
        <v>3</v>
      </c>
      <c r="I2393" s="20" t="n">
        <v>104.18</v>
      </c>
      <c r="J2393" s="20" t="n">
        <v>272.64</v>
      </c>
      <c r="K2393" s="18" t="n">
        <v>6</v>
      </c>
      <c r="L2393" s="18"/>
      <c r="M2393" s="18" t="n">
        <v>172</v>
      </c>
      <c r="N2393" s="18" t="n">
        <v>172</v>
      </c>
      <c r="O2393" s="14" t="s">
        <v>15220</v>
      </c>
      <c r="P2393" s="14" t="s">
        <v>84</v>
      </c>
      <c r="Q2393" s="15" t="s">
        <v>1089</v>
      </c>
      <c r="R2393" s="16" t="s">
        <v>15221</v>
      </c>
      <c r="S2393" s="15" t="s">
        <v>15222</v>
      </c>
      <c r="T2393" s="15" t="s">
        <v>15222</v>
      </c>
      <c r="U2393" s="21" t="s">
        <v>72</v>
      </c>
    </row>
    <row r="2394" customFormat="false" ht="15" hidden="false" customHeight="false" outlineLevel="0" collapsed="false">
      <c r="A2394" s="15" t="s">
        <v>14933</v>
      </c>
      <c r="B2394" s="16"/>
      <c r="C2394" s="14" t="s">
        <v>15223</v>
      </c>
      <c r="D2394" s="13" t="s">
        <v>15224</v>
      </c>
      <c r="E2394" s="16" t="s">
        <v>15225</v>
      </c>
      <c r="F2394" s="16" t="s">
        <v>15226</v>
      </c>
      <c r="G2394" s="23" t="s">
        <v>43</v>
      </c>
      <c r="H2394" s="18" t="n">
        <v>3</v>
      </c>
      <c r="I2394" s="20" t="n">
        <v>74.1312</v>
      </c>
      <c r="J2394" s="20" t="n">
        <v>183.96</v>
      </c>
      <c r="K2394" s="18" t="n">
        <v>6</v>
      </c>
      <c r="L2394" s="18" t="n">
        <v>9</v>
      </c>
      <c r="M2394" s="18" t="n">
        <v>120</v>
      </c>
      <c r="N2394" s="18" t="n">
        <v>120</v>
      </c>
      <c r="O2394" s="14" t="s">
        <v>2125</v>
      </c>
      <c r="P2394" s="14" t="s">
        <v>84</v>
      </c>
      <c r="Q2394" s="15" t="s">
        <v>1089</v>
      </c>
      <c r="R2394" s="16" t="s">
        <v>15227</v>
      </c>
      <c r="S2394" s="15" t="s">
        <v>15228</v>
      </c>
      <c r="T2394" s="15" t="s">
        <v>15228</v>
      </c>
      <c r="U2394" s="21" t="s">
        <v>72</v>
      </c>
    </row>
    <row r="2395" customFormat="false" ht="26.85" hidden="false" customHeight="false" outlineLevel="0" collapsed="false">
      <c r="A2395" s="15" t="s">
        <v>14933</v>
      </c>
      <c r="B2395" s="16"/>
      <c r="C2395" s="14" t="s">
        <v>15229</v>
      </c>
      <c r="D2395" s="13" t="s">
        <v>15230</v>
      </c>
      <c r="E2395" s="16" t="s">
        <v>15231</v>
      </c>
      <c r="F2395" s="16" t="s">
        <v>15232</v>
      </c>
      <c r="G2395" s="25" t="s">
        <v>39</v>
      </c>
      <c r="H2395" s="18" t="n">
        <v>6</v>
      </c>
      <c r="I2395" s="20" t="n">
        <v>161.18</v>
      </c>
      <c r="J2395" s="20" t="n">
        <v>407.86</v>
      </c>
      <c r="K2395" s="18" t="n">
        <v>23</v>
      </c>
      <c r="L2395" s="18" t="n">
        <v>12</v>
      </c>
      <c r="M2395" s="18" t="n">
        <v>503</v>
      </c>
      <c r="N2395" s="18" t="n">
        <v>457</v>
      </c>
      <c r="O2395" s="14" t="s">
        <v>15233</v>
      </c>
      <c r="P2395" s="14" t="s">
        <v>84</v>
      </c>
      <c r="Q2395" s="15" t="s">
        <v>1089</v>
      </c>
      <c r="R2395" s="16" t="s">
        <v>5788</v>
      </c>
      <c r="S2395" s="15" t="s">
        <v>15234</v>
      </c>
      <c r="T2395" s="15" t="s">
        <v>15234</v>
      </c>
      <c r="U2395" s="21" t="s">
        <v>72</v>
      </c>
    </row>
    <row r="2396" customFormat="false" ht="25.35" hidden="false" customHeight="false" outlineLevel="0" collapsed="false">
      <c r="A2396" s="15" t="s">
        <v>14933</v>
      </c>
      <c r="B2396" s="16"/>
      <c r="C2396" s="14" t="s">
        <v>15235</v>
      </c>
      <c r="D2396" s="13" t="s">
        <v>15236</v>
      </c>
      <c r="E2396" s="16" t="s">
        <v>15237</v>
      </c>
      <c r="F2396" s="16" t="s">
        <v>15238</v>
      </c>
      <c r="G2396" s="19" t="s">
        <v>41</v>
      </c>
      <c r="H2396" s="18" t="n">
        <v>6</v>
      </c>
      <c r="I2396" s="20" t="n">
        <v>134.95</v>
      </c>
      <c r="J2396" s="20" t="n">
        <v>228.46</v>
      </c>
      <c r="K2396" s="18" t="n">
        <v>24</v>
      </c>
      <c r="L2396" s="18" t="n">
        <v>7</v>
      </c>
      <c r="M2396" s="18" t="n">
        <v>431</v>
      </c>
      <c r="N2396" s="18" t="n">
        <v>380</v>
      </c>
      <c r="O2396" s="14" t="s">
        <v>15239</v>
      </c>
      <c r="P2396" s="14" t="s">
        <v>84</v>
      </c>
      <c r="Q2396" s="15" t="s">
        <v>1089</v>
      </c>
      <c r="R2396" s="16" t="s">
        <v>15240</v>
      </c>
      <c r="S2396" s="15" t="s">
        <v>15241</v>
      </c>
      <c r="T2396" s="15" t="s">
        <v>15242</v>
      </c>
      <c r="U2396" s="21" t="s">
        <v>72</v>
      </c>
    </row>
    <row r="2397" customFormat="false" ht="15" hidden="false" customHeight="false" outlineLevel="0" collapsed="false">
      <c r="A2397" s="15" t="s">
        <v>14933</v>
      </c>
      <c r="B2397" s="16"/>
      <c r="C2397" s="14" t="s">
        <v>15243</v>
      </c>
      <c r="D2397" s="13" t="s">
        <v>15244</v>
      </c>
      <c r="E2397" s="16" t="s">
        <v>15245</v>
      </c>
      <c r="F2397" s="16" t="s">
        <v>15246</v>
      </c>
      <c r="G2397" s="23" t="s">
        <v>43</v>
      </c>
      <c r="H2397" s="18" t="n">
        <v>2</v>
      </c>
      <c r="I2397" s="20" t="n">
        <v>53.466</v>
      </c>
      <c r="J2397" s="20" t="n">
        <v>112.74</v>
      </c>
      <c r="K2397" s="18" t="n">
        <v>2</v>
      </c>
      <c r="L2397" s="18" t="n">
        <v>2</v>
      </c>
      <c r="M2397" s="18" t="n">
        <v>60</v>
      </c>
      <c r="N2397" s="18" t="n">
        <v>60</v>
      </c>
      <c r="O2397" s="14" t="s">
        <v>1088</v>
      </c>
      <c r="P2397" s="14" t="s">
        <v>84</v>
      </c>
      <c r="Q2397" s="15" t="s">
        <v>1089</v>
      </c>
      <c r="R2397" s="16" t="s">
        <v>15247</v>
      </c>
      <c r="S2397" s="15" t="s">
        <v>15248</v>
      </c>
      <c r="T2397" s="15" t="s">
        <v>15248</v>
      </c>
      <c r="U2397" s="21" t="s">
        <v>72</v>
      </c>
    </row>
    <row r="2398" customFormat="false" ht="15" hidden="false" customHeight="false" outlineLevel="0" collapsed="false">
      <c r="A2398" s="15" t="s">
        <v>14933</v>
      </c>
      <c r="B2398" s="16"/>
      <c r="C2398" s="14" t="s">
        <v>15249</v>
      </c>
      <c r="D2398" s="13" t="s">
        <v>15250</v>
      </c>
      <c r="E2398" s="16" t="s">
        <v>15251</v>
      </c>
      <c r="F2398" s="16" t="s">
        <v>15252</v>
      </c>
      <c r="G2398" s="23" t="s">
        <v>43</v>
      </c>
      <c r="H2398" s="18" t="n">
        <v>2</v>
      </c>
      <c r="I2398" s="20" t="n">
        <v>38.72</v>
      </c>
      <c r="J2398" s="20" t="n">
        <v>193.84</v>
      </c>
      <c r="K2398" s="18" t="n">
        <v>9</v>
      </c>
      <c r="L2398" s="18" t="n">
        <v>5</v>
      </c>
      <c r="M2398" s="18" t="n">
        <v>144</v>
      </c>
      <c r="N2398" s="18" t="n">
        <v>144</v>
      </c>
      <c r="O2398" s="14" t="s">
        <v>1088</v>
      </c>
      <c r="P2398" s="14" t="s">
        <v>84</v>
      </c>
      <c r="Q2398" s="15" t="s">
        <v>1089</v>
      </c>
      <c r="R2398" s="16" t="s">
        <v>15253</v>
      </c>
      <c r="S2398" s="15" t="s">
        <v>15254</v>
      </c>
      <c r="T2398" s="15" t="s">
        <v>15254</v>
      </c>
      <c r="U2398" s="21" t="s">
        <v>72</v>
      </c>
    </row>
    <row r="2399" customFormat="false" ht="15" hidden="false" customHeight="false" outlineLevel="0" collapsed="false">
      <c r="A2399" s="15" t="s">
        <v>14933</v>
      </c>
      <c r="B2399" s="16"/>
      <c r="C2399" s="14" t="s">
        <v>15255</v>
      </c>
      <c r="D2399" s="13" t="s">
        <v>15256</v>
      </c>
      <c r="E2399" s="16" t="s">
        <v>15257</v>
      </c>
      <c r="F2399" s="16" t="s">
        <v>15258</v>
      </c>
      <c r="G2399" s="19" t="s">
        <v>41</v>
      </c>
      <c r="H2399" s="18" t="n">
        <v>4</v>
      </c>
      <c r="I2399" s="20" t="n">
        <v>78.8</v>
      </c>
      <c r="J2399" s="20" t="n">
        <v>244.78</v>
      </c>
      <c r="K2399" s="18" t="n">
        <v>4</v>
      </c>
      <c r="L2399" s="18" t="n">
        <v>6</v>
      </c>
      <c r="M2399" s="18" t="n">
        <v>72</v>
      </c>
      <c r="N2399" s="18" t="n">
        <v>72</v>
      </c>
      <c r="O2399" s="14" t="s">
        <v>1126</v>
      </c>
      <c r="P2399" s="14" t="s">
        <v>84</v>
      </c>
      <c r="Q2399" s="15" t="s">
        <v>1089</v>
      </c>
      <c r="R2399" s="16" t="s">
        <v>15259</v>
      </c>
      <c r="S2399" s="15" t="s">
        <v>15260</v>
      </c>
      <c r="T2399" s="15" t="s">
        <v>15260</v>
      </c>
      <c r="U2399" s="21" t="s">
        <v>72</v>
      </c>
    </row>
    <row r="2400" customFormat="false" ht="15" hidden="false" customHeight="false" outlineLevel="0" collapsed="false">
      <c r="A2400" s="15" t="s">
        <v>14933</v>
      </c>
      <c r="B2400" s="16"/>
      <c r="C2400" s="14" t="s">
        <v>15261</v>
      </c>
      <c r="D2400" s="13" t="s">
        <v>15262</v>
      </c>
      <c r="E2400" s="16" t="s">
        <v>15263</v>
      </c>
      <c r="F2400" s="16"/>
      <c r="G2400" s="23" t="s">
        <v>43</v>
      </c>
      <c r="H2400" s="18" t="n">
        <v>3</v>
      </c>
      <c r="I2400" s="20" t="n">
        <v>64.77</v>
      </c>
      <c r="J2400" s="20" t="n">
        <v>90.52</v>
      </c>
      <c r="K2400" s="18" t="n">
        <v>5</v>
      </c>
      <c r="L2400" s="18"/>
      <c r="M2400" s="18" t="n">
        <v>50</v>
      </c>
      <c r="N2400" s="18" t="n">
        <v>30</v>
      </c>
      <c r="O2400" s="14" t="s">
        <v>1126</v>
      </c>
      <c r="P2400" s="14" t="s">
        <v>84</v>
      </c>
      <c r="Q2400" s="15" t="s">
        <v>1089</v>
      </c>
      <c r="R2400" s="16" t="s">
        <v>11447</v>
      </c>
      <c r="S2400" s="15" t="s">
        <v>15264</v>
      </c>
      <c r="T2400" s="15" t="s">
        <v>15265</v>
      </c>
      <c r="U2400" s="21" t="s">
        <v>72</v>
      </c>
    </row>
    <row r="2401" customFormat="false" ht="15" hidden="false" customHeight="false" outlineLevel="0" collapsed="false">
      <c r="A2401" s="15" t="s">
        <v>14933</v>
      </c>
      <c r="B2401" s="16"/>
      <c r="C2401" s="14" t="s">
        <v>15266</v>
      </c>
      <c r="D2401" s="13" t="s">
        <v>15267</v>
      </c>
      <c r="E2401" s="16" t="s">
        <v>15268</v>
      </c>
      <c r="F2401" s="16" t="s">
        <v>15269</v>
      </c>
      <c r="G2401" s="19" t="s">
        <v>41</v>
      </c>
      <c r="H2401" s="18" t="n">
        <v>4</v>
      </c>
      <c r="I2401" s="20" t="n">
        <v>90.6</v>
      </c>
      <c r="J2401" s="20" t="n">
        <v>236</v>
      </c>
      <c r="K2401" s="18" t="n">
        <v>4</v>
      </c>
      <c r="L2401" s="18" t="n">
        <v>1</v>
      </c>
      <c r="M2401" s="18" t="n">
        <v>76</v>
      </c>
      <c r="N2401" s="18" t="n">
        <v>76</v>
      </c>
      <c r="O2401" s="14" t="s">
        <v>1088</v>
      </c>
      <c r="P2401" s="14" t="s">
        <v>84</v>
      </c>
      <c r="Q2401" s="15" t="s">
        <v>1089</v>
      </c>
      <c r="R2401" s="16" t="s">
        <v>15270</v>
      </c>
      <c r="S2401" s="15" t="s">
        <v>15271</v>
      </c>
      <c r="T2401" s="15" t="s">
        <v>15272</v>
      </c>
      <c r="U2401" s="21" t="s">
        <v>72</v>
      </c>
    </row>
    <row r="2402" customFormat="false" ht="15" hidden="false" customHeight="false" outlineLevel="0" collapsed="false">
      <c r="A2402" s="15" t="s">
        <v>14933</v>
      </c>
      <c r="B2402" s="16"/>
      <c r="C2402" s="14" t="s">
        <v>15273</v>
      </c>
      <c r="D2402" s="13" t="s">
        <v>15274</v>
      </c>
      <c r="E2402" s="16" t="s">
        <v>15275</v>
      </c>
      <c r="F2402" s="16"/>
      <c r="G2402" s="23" t="s">
        <v>43</v>
      </c>
      <c r="H2402" s="18" t="n">
        <v>1</v>
      </c>
      <c r="I2402" s="20" t="n">
        <v>31.37</v>
      </c>
      <c r="J2402" s="20" t="n">
        <v>97.162</v>
      </c>
      <c r="K2402" s="18" t="n">
        <v>2</v>
      </c>
      <c r="L2402" s="18" t="n">
        <v>1</v>
      </c>
      <c r="M2402" s="18" t="n">
        <v>52</v>
      </c>
      <c r="N2402" s="18" t="n">
        <v>52</v>
      </c>
      <c r="O2402" s="14" t="s">
        <v>1097</v>
      </c>
      <c r="P2402" s="14" t="s">
        <v>84</v>
      </c>
      <c r="Q2402" s="15" t="s">
        <v>1089</v>
      </c>
      <c r="R2402" s="16" t="s">
        <v>14704</v>
      </c>
      <c r="S2402" s="15" t="s">
        <v>15276</v>
      </c>
      <c r="T2402" s="15" t="s">
        <v>15276</v>
      </c>
      <c r="U2402" s="21" t="s">
        <v>72</v>
      </c>
    </row>
    <row r="2403" customFormat="false" ht="15" hidden="false" customHeight="false" outlineLevel="0" collapsed="false">
      <c r="A2403" s="15" t="s">
        <v>14933</v>
      </c>
      <c r="B2403" s="16"/>
      <c r="C2403" s="14" t="s">
        <v>15277</v>
      </c>
      <c r="D2403" s="13" t="s">
        <v>15278</v>
      </c>
      <c r="E2403" s="16" t="s">
        <v>15279</v>
      </c>
      <c r="F2403" s="16"/>
      <c r="G2403" s="19" t="s">
        <v>41</v>
      </c>
      <c r="H2403" s="18" t="n">
        <v>5</v>
      </c>
      <c r="I2403" s="20" t="n">
        <v>105</v>
      </c>
      <c r="J2403" s="20" t="n">
        <v>105</v>
      </c>
      <c r="K2403" s="18" t="n">
        <v>5</v>
      </c>
      <c r="L2403" s="18"/>
      <c r="M2403" s="18" t="n">
        <v>60</v>
      </c>
      <c r="N2403" s="18" t="n">
        <v>48</v>
      </c>
      <c r="O2403" s="14" t="s">
        <v>1088</v>
      </c>
      <c r="P2403" s="14" t="s">
        <v>84</v>
      </c>
      <c r="Q2403" s="15" t="s">
        <v>1089</v>
      </c>
      <c r="R2403" s="16" t="s">
        <v>15280</v>
      </c>
      <c r="S2403" s="15" t="s">
        <v>15281</v>
      </c>
      <c r="T2403" s="15" t="s">
        <v>15281</v>
      </c>
      <c r="U2403" s="21" t="s">
        <v>72</v>
      </c>
    </row>
    <row r="2404" customFormat="false" ht="15" hidden="false" customHeight="false" outlineLevel="0" collapsed="false">
      <c r="A2404" s="15" t="s">
        <v>14933</v>
      </c>
      <c r="B2404" s="16"/>
      <c r="C2404" s="14" t="s">
        <v>15282</v>
      </c>
      <c r="D2404" s="13" t="s">
        <v>15283</v>
      </c>
      <c r="E2404" s="16" t="s">
        <v>15284</v>
      </c>
      <c r="F2404" s="16" t="s">
        <v>15285</v>
      </c>
      <c r="G2404" s="19" t="s">
        <v>41</v>
      </c>
      <c r="H2404" s="18" t="n">
        <v>3</v>
      </c>
      <c r="I2404" s="20" t="n">
        <v>96.12</v>
      </c>
      <c r="J2404" s="20" t="n">
        <v>233.65</v>
      </c>
      <c r="K2404" s="18" t="n">
        <v>3</v>
      </c>
      <c r="L2404" s="18" t="n">
        <v>2</v>
      </c>
      <c r="M2404" s="18" t="n">
        <v>78</v>
      </c>
      <c r="N2404" s="18" t="n">
        <v>34</v>
      </c>
      <c r="O2404" s="14" t="s">
        <v>15286</v>
      </c>
      <c r="P2404" s="14" t="s">
        <v>84</v>
      </c>
      <c r="Q2404" s="15" t="s">
        <v>1089</v>
      </c>
      <c r="R2404" s="16" t="s">
        <v>15287</v>
      </c>
      <c r="S2404" s="15" t="s">
        <v>15288</v>
      </c>
      <c r="T2404" s="15" t="s">
        <v>15289</v>
      </c>
      <c r="U2404" s="21" t="s">
        <v>72</v>
      </c>
    </row>
    <row r="2405" customFormat="false" ht="15" hidden="false" customHeight="false" outlineLevel="0" collapsed="false">
      <c r="A2405" s="15" t="s">
        <v>14933</v>
      </c>
      <c r="B2405" s="16"/>
      <c r="C2405" s="14" t="s">
        <v>15290</v>
      </c>
      <c r="D2405" s="13" t="s">
        <v>15291</v>
      </c>
      <c r="E2405" s="16" t="s">
        <v>15292</v>
      </c>
      <c r="F2405" s="16"/>
      <c r="G2405" s="19" t="s">
        <v>41</v>
      </c>
      <c r="H2405" s="18" t="n">
        <v>4</v>
      </c>
      <c r="I2405" s="20" t="n">
        <v>121.76</v>
      </c>
      <c r="J2405" s="20" t="n">
        <v>270</v>
      </c>
      <c r="K2405" s="18" t="n">
        <v>5</v>
      </c>
      <c r="L2405" s="18" t="n">
        <v>1</v>
      </c>
      <c r="M2405" s="18" t="n">
        <v>125</v>
      </c>
      <c r="N2405" s="18" t="n">
        <v>125</v>
      </c>
      <c r="O2405" s="14" t="s">
        <v>1088</v>
      </c>
      <c r="P2405" s="14" t="s">
        <v>84</v>
      </c>
      <c r="Q2405" s="15" t="s">
        <v>1089</v>
      </c>
      <c r="R2405" s="16" t="s">
        <v>15293</v>
      </c>
      <c r="S2405" s="15" t="s">
        <v>14968</v>
      </c>
      <c r="T2405" s="15" t="s">
        <v>15294</v>
      </c>
      <c r="U2405" s="21" t="s">
        <v>72</v>
      </c>
    </row>
    <row r="2406" customFormat="false" ht="15" hidden="false" customHeight="false" outlineLevel="0" collapsed="false">
      <c r="A2406" s="15" t="s">
        <v>14933</v>
      </c>
      <c r="B2406" s="16"/>
      <c r="C2406" s="14" t="s">
        <v>15295</v>
      </c>
      <c r="D2406" s="13" t="s">
        <v>15296</v>
      </c>
      <c r="E2406" s="16" t="s">
        <v>15297</v>
      </c>
      <c r="F2406" s="16" t="s">
        <v>15298</v>
      </c>
      <c r="G2406" s="25" t="s">
        <v>39</v>
      </c>
      <c r="H2406" s="18" t="n">
        <v>4</v>
      </c>
      <c r="I2406" s="20" t="n">
        <v>688.49</v>
      </c>
      <c r="J2406" s="20" t="n">
        <v>1066.94</v>
      </c>
      <c r="K2406" s="18" t="n">
        <v>5</v>
      </c>
      <c r="L2406" s="18" t="n">
        <v>5</v>
      </c>
      <c r="M2406" s="18" t="n">
        <v>150</v>
      </c>
      <c r="N2406" s="18" t="n">
        <v>60</v>
      </c>
      <c r="O2406" s="14" t="s">
        <v>1088</v>
      </c>
      <c r="P2406" s="14" t="s">
        <v>84</v>
      </c>
      <c r="Q2406" s="15" t="s">
        <v>1089</v>
      </c>
      <c r="R2406" s="16" t="s">
        <v>15299</v>
      </c>
      <c r="S2406" s="15" t="s">
        <v>15300</v>
      </c>
      <c r="T2406" s="15" t="s">
        <v>15301</v>
      </c>
      <c r="U2406" s="21" t="s">
        <v>72</v>
      </c>
    </row>
    <row r="2407" customFormat="false" ht="15" hidden="false" customHeight="false" outlineLevel="0" collapsed="false">
      <c r="A2407" s="15" t="s">
        <v>14933</v>
      </c>
      <c r="B2407" s="16"/>
      <c r="C2407" s="14" t="s">
        <v>15302</v>
      </c>
      <c r="D2407" s="13" t="s">
        <v>15303</v>
      </c>
      <c r="E2407" s="16" t="s">
        <v>15304</v>
      </c>
      <c r="F2407" s="16"/>
      <c r="G2407" s="23" t="s">
        <v>43</v>
      </c>
      <c r="H2407" s="18" t="n">
        <v>3</v>
      </c>
      <c r="I2407" s="20" t="n">
        <v>41.93</v>
      </c>
      <c r="J2407" s="20" t="n">
        <v>129.93</v>
      </c>
      <c r="K2407" s="18" t="n">
        <v>2</v>
      </c>
      <c r="L2407" s="18"/>
      <c r="M2407" s="18" t="n">
        <v>20</v>
      </c>
      <c r="N2407" s="18" t="n">
        <v>20</v>
      </c>
      <c r="O2407" s="14" t="s">
        <v>1126</v>
      </c>
      <c r="P2407" s="14" t="s">
        <v>84</v>
      </c>
      <c r="Q2407" s="15" t="s">
        <v>1089</v>
      </c>
      <c r="R2407" s="16" t="s">
        <v>15305</v>
      </c>
      <c r="S2407" s="15" t="s">
        <v>15306</v>
      </c>
      <c r="T2407" s="15" t="s">
        <v>15306</v>
      </c>
      <c r="U2407" s="21" t="s">
        <v>72</v>
      </c>
    </row>
    <row r="2408" customFormat="false" ht="15" hidden="false" customHeight="false" outlineLevel="0" collapsed="false">
      <c r="A2408" s="15" t="s">
        <v>14933</v>
      </c>
      <c r="B2408" s="16"/>
      <c r="C2408" s="14" t="s">
        <v>15307</v>
      </c>
      <c r="D2408" s="13" t="s">
        <v>15308</v>
      </c>
      <c r="E2408" s="16" t="s">
        <v>15309</v>
      </c>
      <c r="F2408" s="16" t="s">
        <v>15310</v>
      </c>
      <c r="G2408" s="19" t="s">
        <v>41</v>
      </c>
      <c r="H2408" s="18" t="n">
        <v>6</v>
      </c>
      <c r="I2408" s="20" t="n">
        <v>100.14</v>
      </c>
      <c r="J2408" s="20" t="n">
        <v>228.68</v>
      </c>
      <c r="K2408" s="18" t="n">
        <v>6</v>
      </c>
      <c r="L2408" s="18" t="n">
        <v>8</v>
      </c>
      <c r="M2408" s="18" t="n">
        <v>90</v>
      </c>
      <c r="N2408" s="18" t="n">
        <v>60</v>
      </c>
      <c r="O2408" s="14" t="s">
        <v>15311</v>
      </c>
      <c r="P2408" s="14" t="s">
        <v>84</v>
      </c>
      <c r="Q2408" s="15" t="s">
        <v>1089</v>
      </c>
      <c r="R2408" s="16" t="s">
        <v>15312</v>
      </c>
      <c r="S2408" s="15" t="s">
        <v>15313</v>
      </c>
      <c r="T2408" s="15" t="s">
        <v>15314</v>
      </c>
      <c r="U2408" s="21" t="s">
        <v>72</v>
      </c>
    </row>
    <row r="2409" customFormat="false" ht="15" hidden="false" customHeight="false" outlineLevel="0" collapsed="false">
      <c r="A2409" s="15" t="s">
        <v>14933</v>
      </c>
      <c r="B2409" s="16"/>
      <c r="C2409" s="14" t="s">
        <v>15315</v>
      </c>
      <c r="D2409" s="13" t="s">
        <v>15316</v>
      </c>
      <c r="E2409" s="16" t="s">
        <v>15317</v>
      </c>
      <c r="F2409" s="16"/>
      <c r="G2409" s="23" t="s">
        <v>43</v>
      </c>
      <c r="H2409" s="18" t="n">
        <v>4</v>
      </c>
      <c r="I2409" s="20" t="n">
        <v>59.88</v>
      </c>
      <c r="J2409" s="20" t="n">
        <v>128.31</v>
      </c>
      <c r="K2409" s="18" t="n">
        <v>2</v>
      </c>
      <c r="L2409" s="18" t="n">
        <v>4</v>
      </c>
      <c r="M2409" s="18" t="n">
        <v>24</v>
      </c>
      <c r="N2409" s="18" t="n">
        <v>12</v>
      </c>
      <c r="O2409" s="14" t="s">
        <v>15318</v>
      </c>
      <c r="P2409" s="14" t="s">
        <v>84</v>
      </c>
      <c r="Q2409" s="15" t="s">
        <v>1089</v>
      </c>
      <c r="R2409" s="16" t="s">
        <v>9263</v>
      </c>
      <c r="S2409" s="15" t="s">
        <v>15319</v>
      </c>
      <c r="T2409" s="15" t="s">
        <v>15319</v>
      </c>
      <c r="U2409" s="21" t="s">
        <v>72</v>
      </c>
    </row>
    <row r="2410" customFormat="false" ht="15" hidden="false" customHeight="false" outlineLevel="0" collapsed="false">
      <c r="A2410" s="15" t="s">
        <v>14933</v>
      </c>
      <c r="B2410" s="16"/>
      <c r="C2410" s="14" t="s">
        <v>15320</v>
      </c>
      <c r="D2410" s="13" t="s">
        <v>15321</v>
      </c>
      <c r="E2410" s="16" t="s">
        <v>15322</v>
      </c>
      <c r="F2410" s="16"/>
      <c r="G2410" s="23" t="s">
        <v>43</v>
      </c>
      <c r="H2410" s="18" t="n">
        <v>2</v>
      </c>
      <c r="I2410" s="20" t="n">
        <v>49.42</v>
      </c>
      <c r="J2410" s="20" t="n">
        <v>176.69</v>
      </c>
      <c r="K2410" s="18" t="n">
        <v>4</v>
      </c>
      <c r="L2410" s="18" t="n">
        <v>4</v>
      </c>
      <c r="M2410" s="18" t="n">
        <v>53</v>
      </c>
      <c r="N2410" s="18" t="n">
        <v>15</v>
      </c>
      <c r="O2410" s="14" t="s">
        <v>1126</v>
      </c>
      <c r="P2410" s="14" t="s">
        <v>84</v>
      </c>
      <c r="Q2410" s="15" t="s">
        <v>1089</v>
      </c>
      <c r="R2410" s="16" t="s">
        <v>6589</v>
      </c>
      <c r="S2410" s="15" t="s">
        <v>15323</v>
      </c>
      <c r="T2410" s="15" t="s">
        <v>15323</v>
      </c>
      <c r="U2410" s="21" t="s">
        <v>72</v>
      </c>
    </row>
    <row r="2411" customFormat="false" ht="15" hidden="false" customHeight="false" outlineLevel="0" collapsed="false">
      <c r="A2411" s="15" t="s">
        <v>14933</v>
      </c>
      <c r="B2411" s="16"/>
      <c r="C2411" s="14" t="s">
        <v>15324</v>
      </c>
      <c r="D2411" s="13" t="s">
        <v>15325</v>
      </c>
      <c r="E2411" s="16" t="s">
        <v>15326</v>
      </c>
      <c r="F2411" s="16" t="s">
        <v>15327</v>
      </c>
      <c r="G2411" s="23" t="s">
        <v>43</v>
      </c>
      <c r="H2411" s="18" t="n">
        <v>1</v>
      </c>
      <c r="I2411" s="20" t="n">
        <v>30.01</v>
      </c>
      <c r="J2411" s="20" t="n">
        <v>163.71</v>
      </c>
      <c r="K2411" s="18" t="n">
        <v>2</v>
      </c>
      <c r="L2411" s="18" t="n">
        <v>1</v>
      </c>
      <c r="M2411" s="18" t="n">
        <v>50</v>
      </c>
      <c r="N2411" s="18" t="n">
        <v>50</v>
      </c>
      <c r="O2411" s="14" t="s">
        <v>15098</v>
      </c>
      <c r="P2411" s="14" t="s">
        <v>84</v>
      </c>
      <c r="Q2411" s="15" t="s">
        <v>1089</v>
      </c>
      <c r="R2411" s="16" t="s">
        <v>6362</v>
      </c>
      <c r="S2411" s="15" t="s">
        <v>15328</v>
      </c>
      <c r="T2411" s="15" t="s">
        <v>15328</v>
      </c>
      <c r="U2411" s="21" t="s">
        <v>72</v>
      </c>
    </row>
    <row r="2412" customFormat="false" ht="15" hidden="false" customHeight="false" outlineLevel="0" collapsed="false">
      <c r="A2412" s="15" t="s">
        <v>14933</v>
      </c>
      <c r="B2412" s="16"/>
      <c r="C2412" s="14" t="s">
        <v>15329</v>
      </c>
      <c r="D2412" s="13" t="s">
        <v>15330</v>
      </c>
      <c r="E2412" s="16" t="s">
        <v>15331</v>
      </c>
      <c r="F2412" s="16" t="s">
        <v>15332</v>
      </c>
      <c r="G2412" s="23" t="s">
        <v>43</v>
      </c>
      <c r="H2412" s="18" t="n">
        <v>4</v>
      </c>
      <c r="I2412" s="20" t="n">
        <v>119.43</v>
      </c>
      <c r="J2412" s="20" t="n">
        <v>188.2</v>
      </c>
      <c r="K2412" s="18" t="n">
        <v>16</v>
      </c>
      <c r="L2412" s="18" t="n">
        <v>6</v>
      </c>
      <c r="M2412" s="18" t="n">
        <v>396</v>
      </c>
      <c r="N2412" s="18" t="n">
        <v>99</v>
      </c>
      <c r="O2412" s="14" t="s">
        <v>15333</v>
      </c>
      <c r="P2412" s="14" t="s">
        <v>84</v>
      </c>
      <c r="Q2412" s="15" t="s">
        <v>1089</v>
      </c>
      <c r="R2412" s="16" t="s">
        <v>15334</v>
      </c>
      <c r="S2412" s="15" t="s">
        <v>15335</v>
      </c>
      <c r="T2412" s="15" t="s">
        <v>15336</v>
      </c>
      <c r="U2412" s="21" t="s">
        <v>72</v>
      </c>
    </row>
    <row r="2413" customFormat="false" ht="15" hidden="false" customHeight="false" outlineLevel="0" collapsed="false">
      <c r="A2413" s="15" t="s">
        <v>14933</v>
      </c>
      <c r="B2413" s="16"/>
      <c r="C2413" s="14" t="s">
        <v>15337</v>
      </c>
      <c r="D2413" s="13" t="s">
        <v>15338</v>
      </c>
      <c r="E2413" s="16" t="s">
        <v>15339</v>
      </c>
      <c r="F2413" s="16" t="s">
        <v>15340</v>
      </c>
      <c r="G2413" s="19" t="s">
        <v>41</v>
      </c>
      <c r="H2413" s="18" t="n">
        <v>3</v>
      </c>
      <c r="I2413" s="20" t="n">
        <v>121.64</v>
      </c>
      <c r="J2413" s="20" t="n">
        <v>240.955</v>
      </c>
      <c r="K2413" s="18" t="n">
        <v>5</v>
      </c>
      <c r="L2413" s="18" t="n">
        <v>5</v>
      </c>
      <c r="M2413" s="18" t="n">
        <v>84</v>
      </c>
      <c r="N2413" s="18" t="n">
        <v>21</v>
      </c>
      <c r="O2413" s="14" t="s">
        <v>15341</v>
      </c>
      <c r="P2413" s="14" t="s">
        <v>84</v>
      </c>
      <c r="Q2413" s="15" t="s">
        <v>1089</v>
      </c>
      <c r="R2413" s="16" t="s">
        <v>1672</v>
      </c>
      <c r="S2413" s="15" t="s">
        <v>15342</v>
      </c>
      <c r="T2413" s="15" t="s">
        <v>15342</v>
      </c>
      <c r="U2413" s="21" t="s">
        <v>72</v>
      </c>
    </row>
    <row r="2414" customFormat="false" ht="26.85" hidden="false" customHeight="false" outlineLevel="0" collapsed="false">
      <c r="A2414" s="15" t="s">
        <v>14933</v>
      </c>
      <c r="B2414" s="16"/>
      <c r="C2414" s="14" t="s">
        <v>15343</v>
      </c>
      <c r="D2414" s="13" t="s">
        <v>15344</v>
      </c>
      <c r="E2414" s="16" t="s">
        <v>15345</v>
      </c>
      <c r="F2414" s="16"/>
      <c r="G2414" s="19" t="s">
        <v>41</v>
      </c>
      <c r="H2414" s="18" t="n">
        <v>4</v>
      </c>
      <c r="I2414" s="20" t="n">
        <v>132.91</v>
      </c>
      <c r="J2414" s="20" t="n">
        <v>245.32</v>
      </c>
      <c r="K2414" s="18" t="n">
        <v>6</v>
      </c>
      <c r="L2414" s="18" t="n">
        <v>1</v>
      </c>
      <c r="M2414" s="18" t="n">
        <v>167</v>
      </c>
      <c r="N2414" s="18" t="n">
        <v>48</v>
      </c>
      <c r="O2414" s="14" t="s">
        <v>15346</v>
      </c>
      <c r="P2414" s="14" t="s">
        <v>1185</v>
      </c>
      <c r="Q2414" s="15" t="s">
        <v>1089</v>
      </c>
      <c r="R2414" s="16" t="s">
        <v>15347</v>
      </c>
      <c r="S2414" s="15" t="s">
        <v>15348</v>
      </c>
      <c r="T2414" s="15" t="s">
        <v>15348</v>
      </c>
      <c r="U2414" s="21" t="s">
        <v>72</v>
      </c>
    </row>
    <row r="2415" customFormat="false" ht="15" hidden="false" customHeight="false" outlineLevel="0" collapsed="false">
      <c r="A2415" s="15" t="s">
        <v>14933</v>
      </c>
      <c r="B2415" s="16"/>
      <c r="C2415" s="14" t="s">
        <v>15349</v>
      </c>
      <c r="D2415" s="13" t="s">
        <v>15350</v>
      </c>
      <c r="E2415" s="16" t="s">
        <v>15351</v>
      </c>
      <c r="F2415" s="16"/>
      <c r="G2415" s="23" t="s">
        <v>43</v>
      </c>
      <c r="H2415" s="18" t="n">
        <v>2</v>
      </c>
      <c r="I2415" s="20" t="n">
        <v>43.26</v>
      </c>
      <c r="J2415" s="20" t="n">
        <v>92.48</v>
      </c>
      <c r="K2415" s="18" t="n">
        <v>4</v>
      </c>
      <c r="L2415" s="18" t="n">
        <v>1</v>
      </c>
      <c r="M2415" s="18" t="n">
        <v>112</v>
      </c>
      <c r="N2415" s="18" t="n">
        <v>56</v>
      </c>
      <c r="O2415" s="14" t="s">
        <v>15352</v>
      </c>
      <c r="P2415" s="14" t="s">
        <v>84</v>
      </c>
      <c r="Q2415" s="15" t="s">
        <v>1089</v>
      </c>
      <c r="R2415" s="16" t="s">
        <v>15353</v>
      </c>
      <c r="S2415" s="15" t="s">
        <v>15354</v>
      </c>
      <c r="T2415" s="15" t="s">
        <v>15355</v>
      </c>
      <c r="U2415" s="21" t="s">
        <v>72</v>
      </c>
    </row>
    <row r="2416" customFormat="false" ht="15" hidden="false" customHeight="false" outlineLevel="0" collapsed="false">
      <c r="A2416" s="15" t="s">
        <v>14933</v>
      </c>
      <c r="B2416" s="16"/>
      <c r="C2416" s="14" t="s">
        <v>15356</v>
      </c>
      <c r="D2416" s="13" t="s">
        <v>15357</v>
      </c>
      <c r="E2416" s="16" t="s">
        <v>15358</v>
      </c>
      <c r="F2416" s="16"/>
      <c r="G2416" s="23" t="s">
        <v>43</v>
      </c>
      <c r="H2416" s="18" t="n">
        <v>2</v>
      </c>
      <c r="I2416" s="20" t="n">
        <v>72.7</v>
      </c>
      <c r="J2416" s="20" t="n">
        <v>134.67</v>
      </c>
      <c r="K2416" s="18" t="n">
        <v>2</v>
      </c>
      <c r="L2416" s="18"/>
      <c r="M2416" s="18" t="n">
        <v>60</v>
      </c>
      <c r="N2416" s="18" t="n">
        <v>60</v>
      </c>
      <c r="O2416" s="14" t="s">
        <v>15359</v>
      </c>
      <c r="P2416" s="14" t="s">
        <v>84</v>
      </c>
      <c r="Q2416" s="15" t="s">
        <v>1089</v>
      </c>
      <c r="R2416" s="16" t="s">
        <v>14973</v>
      </c>
      <c r="S2416" s="15" t="s">
        <v>15360</v>
      </c>
      <c r="T2416" s="15" t="s">
        <v>15361</v>
      </c>
      <c r="U2416" s="21" t="s">
        <v>72</v>
      </c>
    </row>
    <row r="2417" customFormat="false" ht="15" hidden="false" customHeight="false" outlineLevel="0" collapsed="false">
      <c r="A2417" s="15" t="s">
        <v>14933</v>
      </c>
      <c r="B2417" s="16"/>
      <c r="C2417" s="14" t="s">
        <v>15362</v>
      </c>
      <c r="D2417" s="13" t="s">
        <v>15363</v>
      </c>
      <c r="E2417" s="16" t="s">
        <v>15364</v>
      </c>
      <c r="F2417" s="16" t="s">
        <v>15365</v>
      </c>
      <c r="G2417" s="19" t="s">
        <v>41</v>
      </c>
      <c r="H2417" s="18" t="n">
        <v>3</v>
      </c>
      <c r="I2417" s="20" t="n">
        <v>145.57</v>
      </c>
      <c r="J2417" s="20" t="n">
        <v>248.64</v>
      </c>
      <c r="K2417" s="18" t="n">
        <v>3</v>
      </c>
      <c r="L2417" s="18" t="n">
        <v>7</v>
      </c>
      <c r="M2417" s="18" t="n">
        <v>120</v>
      </c>
      <c r="N2417" s="18" t="n">
        <v>120</v>
      </c>
      <c r="O2417" s="14" t="s">
        <v>1097</v>
      </c>
      <c r="P2417" s="14" t="s">
        <v>84</v>
      </c>
      <c r="Q2417" s="15" t="s">
        <v>1089</v>
      </c>
      <c r="R2417" s="16" t="s">
        <v>13521</v>
      </c>
      <c r="S2417" s="15" t="s">
        <v>15366</v>
      </c>
      <c r="T2417" s="15" t="s">
        <v>15367</v>
      </c>
      <c r="U2417" s="21" t="s">
        <v>72</v>
      </c>
    </row>
    <row r="2418" customFormat="false" ht="15" hidden="false" customHeight="false" outlineLevel="0" collapsed="false">
      <c r="A2418" s="15" t="s">
        <v>14933</v>
      </c>
      <c r="B2418" s="16"/>
      <c r="C2418" s="14" t="s">
        <v>15368</v>
      </c>
      <c r="D2418" s="13" t="s">
        <v>15369</v>
      </c>
      <c r="E2418" s="16" t="s">
        <v>15370</v>
      </c>
      <c r="F2418" s="16" t="s">
        <v>15371</v>
      </c>
      <c r="G2418" s="25" t="s">
        <v>39</v>
      </c>
      <c r="H2418" s="18" t="n">
        <v>12</v>
      </c>
      <c r="I2418" s="20" t="n">
        <v>528.05</v>
      </c>
      <c r="J2418" s="20" t="n">
        <v>964</v>
      </c>
      <c r="K2418" s="18" t="n">
        <v>5</v>
      </c>
      <c r="L2418" s="18" t="n">
        <v>26</v>
      </c>
      <c r="M2418" s="18" t="n">
        <v>120</v>
      </c>
      <c r="N2418" s="18" t="n">
        <v>120</v>
      </c>
      <c r="O2418" s="14" t="s">
        <v>1097</v>
      </c>
      <c r="P2418" s="14" t="s">
        <v>84</v>
      </c>
      <c r="Q2418" s="15" t="s">
        <v>1089</v>
      </c>
      <c r="R2418" s="16" t="s">
        <v>15372</v>
      </c>
      <c r="S2418" s="15" t="s">
        <v>15366</v>
      </c>
      <c r="T2418" s="15" t="s">
        <v>15366</v>
      </c>
      <c r="U2418" s="21" t="s">
        <v>72</v>
      </c>
    </row>
    <row r="2419" customFormat="false" ht="26.85" hidden="false" customHeight="false" outlineLevel="0" collapsed="false">
      <c r="A2419" s="15" t="s">
        <v>14933</v>
      </c>
      <c r="B2419" s="16"/>
      <c r="C2419" s="14" t="s">
        <v>15373</v>
      </c>
      <c r="D2419" s="13" t="s">
        <v>15374</v>
      </c>
      <c r="E2419" s="16" t="s">
        <v>15375</v>
      </c>
      <c r="F2419" s="16" t="s">
        <v>15376</v>
      </c>
      <c r="G2419" s="23" t="s">
        <v>43</v>
      </c>
      <c r="H2419" s="18" t="n">
        <v>2</v>
      </c>
      <c r="I2419" s="20" t="n">
        <v>37.85</v>
      </c>
      <c r="J2419" s="20" t="n">
        <v>76.53</v>
      </c>
      <c r="K2419" s="18" t="n">
        <v>6</v>
      </c>
      <c r="L2419" s="18" t="n">
        <v>1</v>
      </c>
      <c r="M2419" s="18" t="n">
        <v>126</v>
      </c>
      <c r="N2419" s="18" t="n">
        <v>126</v>
      </c>
      <c r="O2419" s="14" t="s">
        <v>1088</v>
      </c>
      <c r="P2419" s="14" t="s">
        <v>84</v>
      </c>
      <c r="Q2419" s="15" t="s">
        <v>1089</v>
      </c>
      <c r="R2419" s="16" t="s">
        <v>4427</v>
      </c>
      <c r="S2419" s="15" t="s">
        <v>15377</v>
      </c>
      <c r="T2419" s="15" t="s">
        <v>15378</v>
      </c>
      <c r="U2419" s="21" t="s">
        <v>72</v>
      </c>
    </row>
    <row r="2420" customFormat="false" ht="26.85" hidden="false" customHeight="false" outlineLevel="0" collapsed="false">
      <c r="A2420" s="15" t="s">
        <v>14933</v>
      </c>
      <c r="B2420" s="16"/>
      <c r="C2420" s="14" t="s">
        <v>15379</v>
      </c>
      <c r="D2420" s="13" t="s">
        <v>15380</v>
      </c>
      <c r="E2420" s="16" t="s">
        <v>15381</v>
      </c>
      <c r="F2420" s="16"/>
      <c r="G2420" s="19" t="s">
        <v>41</v>
      </c>
      <c r="H2420" s="18" t="n">
        <v>3</v>
      </c>
      <c r="I2420" s="20" t="n">
        <v>137.22</v>
      </c>
      <c r="J2420" s="20" t="n">
        <v>260.34</v>
      </c>
      <c r="K2420" s="18" t="n">
        <v>3</v>
      </c>
      <c r="L2420" s="18" t="n">
        <v>3</v>
      </c>
      <c r="M2420" s="18" t="n">
        <v>115</v>
      </c>
      <c r="N2420" s="18" t="n">
        <v>115</v>
      </c>
      <c r="O2420" s="14" t="s">
        <v>1126</v>
      </c>
      <c r="P2420" s="14" t="s">
        <v>84</v>
      </c>
      <c r="Q2420" s="15" t="s">
        <v>1089</v>
      </c>
      <c r="R2420" s="16" t="s">
        <v>15382</v>
      </c>
      <c r="S2420" s="15" t="s">
        <v>15383</v>
      </c>
      <c r="T2420" s="15" t="s">
        <v>15384</v>
      </c>
      <c r="U2420" s="21" t="s">
        <v>72</v>
      </c>
    </row>
    <row r="2421" customFormat="false" ht="15" hidden="false" customHeight="false" outlineLevel="0" collapsed="false">
      <c r="A2421" s="15" t="s">
        <v>14933</v>
      </c>
      <c r="B2421" s="15" t="s">
        <v>15385</v>
      </c>
      <c r="C2421" s="14" t="s">
        <v>15386</v>
      </c>
      <c r="D2421" s="14" t="s">
        <v>15387</v>
      </c>
      <c r="E2421" s="16" t="s">
        <v>15388</v>
      </c>
      <c r="F2421" s="16"/>
      <c r="G2421" s="19" t="s">
        <v>41</v>
      </c>
      <c r="H2421" s="18" t="n">
        <v>2</v>
      </c>
      <c r="I2421" s="20" t="n">
        <v>38</v>
      </c>
      <c r="J2421" s="20" t="n">
        <v>203.53</v>
      </c>
      <c r="K2421" s="18" t="n">
        <v>2</v>
      </c>
      <c r="L2421" s="18"/>
      <c r="M2421" s="18" t="n">
        <v>32</v>
      </c>
      <c r="N2421" s="18" t="n">
        <v>32</v>
      </c>
      <c r="O2421" s="14" t="s">
        <v>1126</v>
      </c>
      <c r="P2421" s="14" t="s">
        <v>84</v>
      </c>
      <c r="Q2421" s="15" t="s">
        <v>1089</v>
      </c>
      <c r="R2421" s="16" t="s">
        <v>4415</v>
      </c>
      <c r="S2421" s="15" t="s">
        <v>15389</v>
      </c>
      <c r="T2421" s="15" t="s">
        <v>15389</v>
      </c>
      <c r="U2421" s="21" t="s">
        <v>72</v>
      </c>
    </row>
    <row r="2422" customFormat="false" ht="15" hidden="false" customHeight="false" outlineLevel="0" collapsed="false">
      <c r="A2422" s="15" t="s">
        <v>14933</v>
      </c>
      <c r="B2422" s="15" t="s">
        <v>15390</v>
      </c>
      <c r="C2422" s="14" t="s">
        <v>15391</v>
      </c>
      <c r="D2422" s="14" t="s">
        <v>15392</v>
      </c>
      <c r="E2422" s="16" t="s">
        <v>15393</v>
      </c>
      <c r="F2422" s="16" t="s">
        <v>15394</v>
      </c>
      <c r="G2422" s="23" t="s">
        <v>43</v>
      </c>
      <c r="H2422" s="18" t="n">
        <v>2</v>
      </c>
      <c r="I2422" s="20" t="n">
        <v>36.72</v>
      </c>
      <c r="J2422" s="20" t="n">
        <v>151.49</v>
      </c>
      <c r="K2422" s="18" t="n">
        <v>3</v>
      </c>
      <c r="L2422" s="18" t="n">
        <v>2</v>
      </c>
      <c r="M2422" s="18" t="n">
        <v>45</v>
      </c>
      <c r="N2422" s="18" t="n">
        <v>15</v>
      </c>
      <c r="O2422" s="14" t="s">
        <v>1126</v>
      </c>
      <c r="P2422" s="14" t="s">
        <v>84</v>
      </c>
      <c r="Q2422" s="15" t="s">
        <v>1089</v>
      </c>
      <c r="R2422" s="16" t="s">
        <v>13752</v>
      </c>
      <c r="S2422" s="15" t="s">
        <v>15395</v>
      </c>
      <c r="T2422" s="15" t="s">
        <v>15395</v>
      </c>
      <c r="U2422" s="21" t="s">
        <v>72</v>
      </c>
    </row>
    <row r="2423" customFormat="false" ht="15" hidden="false" customHeight="false" outlineLevel="0" collapsed="false">
      <c r="A2423" s="15" t="s">
        <v>14933</v>
      </c>
      <c r="B2423" s="15" t="s">
        <v>15390</v>
      </c>
      <c r="C2423" s="14" t="s">
        <v>15396</v>
      </c>
      <c r="D2423" s="14" t="s">
        <v>15397</v>
      </c>
      <c r="E2423" s="16" t="s">
        <v>15398</v>
      </c>
      <c r="F2423" s="16" t="s">
        <v>15399</v>
      </c>
      <c r="G2423" s="25" t="s">
        <v>39</v>
      </c>
      <c r="H2423" s="18" t="n">
        <v>14</v>
      </c>
      <c r="I2423" s="20" t="n">
        <v>722.2</v>
      </c>
      <c r="J2423" s="20" t="n">
        <v>1777.86</v>
      </c>
      <c r="K2423" s="18" t="n">
        <v>14</v>
      </c>
      <c r="L2423" s="18" t="n">
        <v>18</v>
      </c>
      <c r="M2423" s="18" t="n">
        <v>579</v>
      </c>
      <c r="N2423" s="18" t="n">
        <v>579</v>
      </c>
      <c r="O2423" s="14" t="s">
        <v>1126</v>
      </c>
      <c r="P2423" s="14" t="s">
        <v>84</v>
      </c>
      <c r="Q2423" s="15" t="s">
        <v>1089</v>
      </c>
      <c r="R2423" s="16" t="s">
        <v>15400</v>
      </c>
      <c r="S2423" s="15" t="s">
        <v>15163</v>
      </c>
      <c r="T2423" s="15" t="s">
        <v>15401</v>
      </c>
      <c r="U2423" s="21" t="s">
        <v>72</v>
      </c>
    </row>
    <row r="2424" customFormat="false" ht="15" hidden="false" customHeight="false" outlineLevel="0" collapsed="false">
      <c r="A2424" s="15" t="s">
        <v>14933</v>
      </c>
      <c r="B2424" s="15" t="s">
        <v>15402</v>
      </c>
      <c r="C2424" s="14" t="s">
        <v>15403</v>
      </c>
      <c r="D2424" s="14" t="s">
        <v>15404</v>
      </c>
      <c r="E2424" s="16" t="s">
        <v>15405</v>
      </c>
      <c r="F2424" s="16" t="s">
        <v>15406</v>
      </c>
      <c r="G2424" s="23" t="s">
        <v>43</v>
      </c>
      <c r="H2424" s="18" t="n">
        <v>3</v>
      </c>
      <c r="I2424" s="20" t="n">
        <v>41</v>
      </c>
      <c r="J2424" s="20" t="n">
        <v>129.73</v>
      </c>
      <c r="K2424" s="18" t="n">
        <v>3</v>
      </c>
      <c r="L2424" s="18" t="n">
        <v>2</v>
      </c>
      <c r="M2424" s="18" t="n">
        <v>32</v>
      </c>
      <c r="N2424" s="18" t="n">
        <v>8</v>
      </c>
      <c r="O2424" s="14" t="s">
        <v>1126</v>
      </c>
      <c r="P2424" s="14" t="s">
        <v>1166</v>
      </c>
      <c r="Q2424" s="15" t="s">
        <v>1089</v>
      </c>
      <c r="R2424" s="16" t="s">
        <v>12875</v>
      </c>
      <c r="S2424" s="15" t="s">
        <v>15407</v>
      </c>
      <c r="T2424" s="15" t="s">
        <v>15407</v>
      </c>
      <c r="U2424" s="21" t="s">
        <v>72</v>
      </c>
    </row>
    <row r="2425" customFormat="false" ht="15" hidden="false" customHeight="false" outlineLevel="0" collapsed="false">
      <c r="A2425" s="15" t="s">
        <v>14933</v>
      </c>
      <c r="B2425" s="15" t="s">
        <v>15402</v>
      </c>
      <c r="C2425" s="14" t="s">
        <v>15408</v>
      </c>
      <c r="D2425" s="14" t="s">
        <v>15409</v>
      </c>
      <c r="E2425" s="16" t="s">
        <v>15410</v>
      </c>
      <c r="F2425" s="16" t="s">
        <v>15411</v>
      </c>
      <c r="G2425" s="25" t="s">
        <v>39</v>
      </c>
      <c r="H2425" s="18" t="n">
        <v>4</v>
      </c>
      <c r="I2425" s="20" t="n">
        <v>30</v>
      </c>
      <c r="J2425" s="20" t="n">
        <v>569.08</v>
      </c>
      <c r="K2425" s="18" t="n">
        <v>7</v>
      </c>
      <c r="L2425" s="18" t="n">
        <v>2</v>
      </c>
      <c r="M2425" s="18" t="n">
        <v>140</v>
      </c>
      <c r="N2425" s="18" t="n">
        <v>80</v>
      </c>
      <c r="O2425" s="14" t="s">
        <v>1126</v>
      </c>
      <c r="P2425" s="14" t="s">
        <v>84</v>
      </c>
      <c r="Q2425" s="15" t="s">
        <v>1089</v>
      </c>
      <c r="R2425" s="16" t="s">
        <v>15412</v>
      </c>
      <c r="S2425" s="15" t="s">
        <v>15413</v>
      </c>
      <c r="T2425" s="15" t="s">
        <v>15413</v>
      </c>
      <c r="U2425" s="21" t="s">
        <v>72</v>
      </c>
    </row>
    <row r="2426" customFormat="false" ht="26.85" hidden="false" customHeight="false" outlineLevel="0" collapsed="false">
      <c r="A2426" s="15" t="s">
        <v>14933</v>
      </c>
      <c r="B2426" s="15" t="s">
        <v>15402</v>
      </c>
      <c r="C2426" s="14" t="s">
        <v>15414</v>
      </c>
      <c r="D2426" s="14" t="s">
        <v>15415</v>
      </c>
      <c r="E2426" s="16" t="s">
        <v>15416</v>
      </c>
      <c r="F2426" s="16"/>
      <c r="G2426" s="23" t="s">
        <v>43</v>
      </c>
      <c r="H2426" s="18" t="n">
        <v>4</v>
      </c>
      <c r="I2426" s="20" t="n">
        <v>89.57</v>
      </c>
      <c r="J2426" s="20" t="n">
        <v>120.29</v>
      </c>
      <c r="K2426" s="18" t="n">
        <v>4</v>
      </c>
      <c r="L2426" s="18"/>
      <c r="M2426" s="18" t="n">
        <v>72</v>
      </c>
      <c r="N2426" s="18" t="n">
        <v>72</v>
      </c>
      <c r="O2426" s="14" t="s">
        <v>15417</v>
      </c>
      <c r="P2426" s="14" t="s">
        <v>84</v>
      </c>
      <c r="Q2426" s="15" t="s">
        <v>1089</v>
      </c>
      <c r="R2426" s="16" t="s">
        <v>15418</v>
      </c>
      <c r="S2426" s="15" t="s">
        <v>15419</v>
      </c>
      <c r="T2426" s="15" t="s">
        <v>15419</v>
      </c>
      <c r="U2426" s="21" t="s">
        <v>72</v>
      </c>
    </row>
    <row r="2427" customFormat="false" ht="15" hidden="false" customHeight="false" outlineLevel="0" collapsed="false">
      <c r="A2427" s="15" t="s">
        <v>14933</v>
      </c>
      <c r="B2427" s="15" t="s">
        <v>15402</v>
      </c>
      <c r="C2427" s="14" t="s">
        <v>15420</v>
      </c>
      <c r="D2427" s="14" t="s">
        <v>15421</v>
      </c>
      <c r="E2427" s="16" t="s">
        <v>15422</v>
      </c>
      <c r="F2427" s="16" t="s">
        <v>15423</v>
      </c>
      <c r="G2427" s="23" t="s">
        <v>43</v>
      </c>
      <c r="H2427" s="18" t="n">
        <v>3</v>
      </c>
      <c r="I2427" s="20" t="n">
        <v>52.36</v>
      </c>
      <c r="J2427" s="20" t="n">
        <v>166.62</v>
      </c>
      <c r="K2427" s="18" t="n">
        <v>3</v>
      </c>
      <c r="L2427" s="18" t="n">
        <v>4</v>
      </c>
      <c r="M2427" s="18" t="n">
        <v>43</v>
      </c>
      <c r="N2427" s="18" t="n">
        <v>43</v>
      </c>
      <c r="O2427" s="14" t="s">
        <v>1126</v>
      </c>
      <c r="P2427" s="14" t="s">
        <v>84</v>
      </c>
      <c r="Q2427" s="15" t="s">
        <v>1089</v>
      </c>
      <c r="R2427" s="16" t="s">
        <v>15424</v>
      </c>
      <c r="S2427" s="15" t="s">
        <v>15203</v>
      </c>
      <c r="T2427" s="15" t="s">
        <v>15425</v>
      </c>
      <c r="U2427" s="21" t="s">
        <v>72</v>
      </c>
    </row>
    <row r="2428" customFormat="false" ht="15" hidden="false" customHeight="false" outlineLevel="0" collapsed="false">
      <c r="A2428" s="15" t="s">
        <v>14933</v>
      </c>
      <c r="B2428" s="15" t="s">
        <v>15402</v>
      </c>
      <c r="C2428" s="14" t="s">
        <v>15426</v>
      </c>
      <c r="D2428" s="14" t="s">
        <v>15427</v>
      </c>
      <c r="E2428" s="16" t="s">
        <v>15428</v>
      </c>
      <c r="F2428" s="16" t="s">
        <v>15429</v>
      </c>
      <c r="G2428" s="19" t="s">
        <v>41</v>
      </c>
      <c r="H2428" s="18" t="n">
        <v>5</v>
      </c>
      <c r="I2428" s="20" t="n">
        <v>103.68</v>
      </c>
      <c r="J2428" s="20" t="n">
        <v>166.47</v>
      </c>
      <c r="K2428" s="18" t="n">
        <v>6</v>
      </c>
      <c r="L2428" s="18" t="n">
        <v>3</v>
      </c>
      <c r="M2428" s="18" t="n">
        <v>80</v>
      </c>
      <c r="N2428" s="18" t="n">
        <v>30</v>
      </c>
      <c r="O2428" s="14" t="s">
        <v>1126</v>
      </c>
      <c r="P2428" s="14" t="s">
        <v>84</v>
      </c>
      <c r="Q2428" s="15" t="s">
        <v>1089</v>
      </c>
      <c r="R2428" s="16" t="s">
        <v>15430</v>
      </c>
      <c r="S2428" s="15" t="s">
        <v>15431</v>
      </c>
      <c r="T2428" s="15" t="s">
        <v>15431</v>
      </c>
      <c r="U2428" s="21" t="s">
        <v>72</v>
      </c>
    </row>
    <row r="2429" customFormat="false" ht="15" hidden="false" customHeight="false" outlineLevel="0" collapsed="false">
      <c r="A2429" s="15" t="s">
        <v>14933</v>
      </c>
      <c r="B2429" s="15" t="s">
        <v>15432</v>
      </c>
      <c r="C2429" s="14" t="s">
        <v>15433</v>
      </c>
      <c r="D2429" s="14" t="s">
        <v>15434</v>
      </c>
      <c r="E2429" s="16" t="s">
        <v>15435</v>
      </c>
      <c r="F2429" s="16" t="s">
        <v>15436</v>
      </c>
      <c r="G2429" s="23" t="s">
        <v>43</v>
      </c>
      <c r="H2429" s="18" t="n">
        <v>4</v>
      </c>
      <c r="I2429" s="20" t="n">
        <v>40.01</v>
      </c>
      <c r="J2429" s="20" t="n">
        <v>168.04</v>
      </c>
      <c r="K2429" s="18" t="n">
        <v>3</v>
      </c>
      <c r="L2429" s="18" t="n">
        <v>2</v>
      </c>
      <c r="M2429" s="18" t="n">
        <v>23</v>
      </c>
      <c r="N2429" s="18" t="n">
        <v>23</v>
      </c>
      <c r="O2429" s="14" t="s">
        <v>15437</v>
      </c>
      <c r="P2429" s="14" t="s">
        <v>84</v>
      </c>
      <c r="Q2429" s="15" t="s">
        <v>1089</v>
      </c>
      <c r="R2429" s="16" t="s">
        <v>5439</v>
      </c>
      <c r="S2429" s="15" t="s">
        <v>14982</v>
      </c>
      <c r="T2429" s="15" t="s">
        <v>15438</v>
      </c>
      <c r="U2429" s="21" t="s">
        <v>72</v>
      </c>
    </row>
    <row r="2430" customFormat="false" ht="15" hidden="false" customHeight="false" outlineLevel="0" collapsed="false">
      <c r="A2430" s="15" t="s">
        <v>14933</v>
      </c>
      <c r="B2430" s="15" t="s">
        <v>15439</v>
      </c>
      <c r="C2430" s="14" t="s">
        <v>15440</v>
      </c>
      <c r="D2430" s="14" t="s">
        <v>15441</v>
      </c>
      <c r="E2430" s="16" t="s">
        <v>15442</v>
      </c>
      <c r="F2430" s="16"/>
      <c r="G2430" s="23" t="s">
        <v>43</v>
      </c>
      <c r="H2430" s="18" t="n">
        <v>4</v>
      </c>
      <c r="I2430" s="20" t="n">
        <v>73.5</v>
      </c>
      <c r="J2430" s="20" t="n">
        <v>167.02</v>
      </c>
      <c r="K2430" s="18" t="n">
        <v>2</v>
      </c>
      <c r="L2430" s="18" t="n">
        <v>1</v>
      </c>
      <c r="M2430" s="18" t="n">
        <v>28</v>
      </c>
      <c r="N2430" s="18" t="n">
        <v>28</v>
      </c>
      <c r="O2430" s="14" t="s">
        <v>1126</v>
      </c>
      <c r="P2430" s="14" t="s">
        <v>84</v>
      </c>
      <c r="Q2430" s="15" t="s">
        <v>1089</v>
      </c>
      <c r="R2430" s="16" t="s">
        <v>15443</v>
      </c>
      <c r="S2430" s="15" t="s">
        <v>15444</v>
      </c>
      <c r="T2430" s="15" t="s">
        <v>15444</v>
      </c>
      <c r="U2430" s="21" t="s">
        <v>72</v>
      </c>
    </row>
    <row r="2431" customFormat="false" ht="26.85" hidden="false" customHeight="false" outlineLevel="0" collapsed="false">
      <c r="A2431" s="15" t="s">
        <v>14933</v>
      </c>
      <c r="B2431" s="15" t="s">
        <v>15439</v>
      </c>
      <c r="C2431" s="14" t="s">
        <v>15445</v>
      </c>
      <c r="D2431" s="14" t="s">
        <v>15446</v>
      </c>
      <c r="E2431" s="16" t="s">
        <v>15447</v>
      </c>
      <c r="F2431" s="16" t="s">
        <v>15448</v>
      </c>
      <c r="G2431" s="25" t="s">
        <v>39</v>
      </c>
      <c r="H2431" s="18" t="n">
        <v>7</v>
      </c>
      <c r="I2431" s="20" t="n">
        <v>271.44</v>
      </c>
      <c r="J2431" s="20" t="n">
        <v>919.29</v>
      </c>
      <c r="K2431" s="18" t="n">
        <v>34</v>
      </c>
      <c r="L2431" s="18" t="n">
        <v>10</v>
      </c>
      <c r="M2431" s="18" t="n">
        <v>1037</v>
      </c>
      <c r="N2431" s="18" t="n">
        <v>231</v>
      </c>
      <c r="O2431" s="14" t="s">
        <v>1088</v>
      </c>
      <c r="P2431" s="14" t="s">
        <v>84</v>
      </c>
      <c r="Q2431" s="15" t="s">
        <v>1089</v>
      </c>
      <c r="R2431" s="16" t="s">
        <v>15123</v>
      </c>
      <c r="S2431" s="15" t="s">
        <v>15449</v>
      </c>
      <c r="T2431" s="15" t="s">
        <v>15450</v>
      </c>
      <c r="U2431" s="21" t="s">
        <v>72</v>
      </c>
    </row>
    <row r="2432" customFormat="false" ht="15" hidden="false" customHeight="false" outlineLevel="0" collapsed="false">
      <c r="A2432" s="15" t="s">
        <v>14933</v>
      </c>
      <c r="B2432" s="15" t="s">
        <v>15451</v>
      </c>
      <c r="C2432" s="14" t="s">
        <v>15452</v>
      </c>
      <c r="D2432" s="14" t="s">
        <v>15453</v>
      </c>
      <c r="E2432" s="16" t="s">
        <v>15454</v>
      </c>
      <c r="F2432" s="16" t="s">
        <v>15455</v>
      </c>
      <c r="G2432" s="23" t="s">
        <v>43</v>
      </c>
      <c r="H2432" s="18" t="n">
        <v>2</v>
      </c>
      <c r="I2432" s="20" t="n">
        <v>65.34</v>
      </c>
      <c r="J2432" s="20" t="n">
        <v>107.1</v>
      </c>
      <c r="K2432" s="18" t="n">
        <v>2</v>
      </c>
      <c r="L2432" s="18" t="n">
        <v>5</v>
      </c>
      <c r="M2432" s="18" t="n">
        <v>40</v>
      </c>
      <c r="N2432" s="18" t="n">
        <v>40</v>
      </c>
      <c r="O2432" s="14" t="s">
        <v>1126</v>
      </c>
      <c r="P2432" s="14" t="s">
        <v>84</v>
      </c>
      <c r="Q2432" s="15" t="s">
        <v>1089</v>
      </c>
      <c r="R2432" s="16" t="s">
        <v>8248</v>
      </c>
      <c r="S2432" s="15" t="s">
        <v>15456</v>
      </c>
      <c r="T2432" s="15" t="s">
        <v>15457</v>
      </c>
      <c r="U2432" s="21" t="s">
        <v>72</v>
      </c>
    </row>
    <row r="2433" customFormat="false" ht="26.85" hidden="false" customHeight="false" outlineLevel="0" collapsed="false">
      <c r="A2433" s="15" t="s">
        <v>14933</v>
      </c>
      <c r="B2433" s="15" t="s">
        <v>15458</v>
      </c>
      <c r="C2433" s="14" t="s">
        <v>15459</v>
      </c>
      <c r="D2433" s="14" t="s">
        <v>15460</v>
      </c>
      <c r="E2433" s="16" t="s">
        <v>15461</v>
      </c>
      <c r="F2433" s="16" t="s">
        <v>15462</v>
      </c>
      <c r="G2433" s="25" t="s">
        <v>39</v>
      </c>
      <c r="H2433" s="18" t="n">
        <v>6</v>
      </c>
      <c r="I2433" s="20" t="n">
        <v>399</v>
      </c>
      <c r="J2433" s="20" t="n">
        <v>586.66</v>
      </c>
      <c r="K2433" s="18" t="n">
        <v>9</v>
      </c>
      <c r="L2433" s="18" t="n">
        <v>6</v>
      </c>
      <c r="M2433" s="18" t="n">
        <v>386</v>
      </c>
      <c r="N2433" s="18" t="n">
        <v>60</v>
      </c>
      <c r="O2433" s="14" t="s">
        <v>1088</v>
      </c>
      <c r="P2433" s="14" t="s">
        <v>15463</v>
      </c>
      <c r="Q2433" s="15" t="s">
        <v>1089</v>
      </c>
      <c r="R2433" s="16" t="s">
        <v>15464</v>
      </c>
      <c r="S2433" s="15" t="s">
        <v>15465</v>
      </c>
      <c r="T2433" s="15" t="s">
        <v>15466</v>
      </c>
      <c r="U2433" s="21" t="s">
        <v>72</v>
      </c>
    </row>
    <row r="2434" customFormat="false" ht="15" hidden="false" customHeight="false" outlineLevel="0" collapsed="false">
      <c r="A2434" s="15" t="s">
        <v>14933</v>
      </c>
      <c r="B2434" s="15" t="s">
        <v>15458</v>
      </c>
      <c r="C2434" s="14" t="s">
        <v>15467</v>
      </c>
      <c r="D2434" s="14" t="s">
        <v>15468</v>
      </c>
      <c r="E2434" s="16" t="s">
        <v>15469</v>
      </c>
      <c r="F2434" s="16" t="s">
        <v>15470</v>
      </c>
      <c r="G2434" s="23" t="s">
        <v>43</v>
      </c>
      <c r="H2434" s="18" t="n">
        <v>2</v>
      </c>
      <c r="I2434" s="20" t="n">
        <v>31.692</v>
      </c>
      <c r="J2434" s="20" t="n">
        <v>86.69</v>
      </c>
      <c r="K2434" s="18" t="n">
        <v>2</v>
      </c>
      <c r="L2434" s="18" t="n">
        <v>1</v>
      </c>
      <c r="M2434" s="18" t="n">
        <v>26</v>
      </c>
      <c r="N2434" s="18" t="n">
        <v>26</v>
      </c>
      <c r="O2434" s="14" t="s">
        <v>1126</v>
      </c>
      <c r="P2434" s="14" t="s">
        <v>84</v>
      </c>
      <c r="Q2434" s="15" t="s">
        <v>1089</v>
      </c>
      <c r="R2434" s="16" t="s">
        <v>15471</v>
      </c>
      <c r="S2434" s="15" t="s">
        <v>15472</v>
      </c>
      <c r="T2434" s="15" t="s">
        <v>15473</v>
      </c>
      <c r="U2434" s="21" t="s">
        <v>72</v>
      </c>
    </row>
    <row r="2435" customFormat="false" ht="26.85" hidden="false" customHeight="false" outlineLevel="0" collapsed="false">
      <c r="A2435" s="15" t="s">
        <v>14933</v>
      </c>
      <c r="B2435" s="15" t="s">
        <v>15458</v>
      </c>
      <c r="C2435" s="14" t="s">
        <v>15474</v>
      </c>
      <c r="D2435" s="14" t="s">
        <v>15475</v>
      </c>
      <c r="E2435" s="16" t="s">
        <v>15476</v>
      </c>
      <c r="F2435" s="16"/>
      <c r="G2435" s="23" t="s">
        <v>43</v>
      </c>
      <c r="H2435" s="18" t="n">
        <v>2</v>
      </c>
      <c r="I2435" s="20" t="n">
        <v>68.8</v>
      </c>
      <c r="J2435" s="20" t="n">
        <v>147.18</v>
      </c>
      <c r="K2435" s="18" t="n">
        <v>6</v>
      </c>
      <c r="L2435" s="18" t="n">
        <v>1</v>
      </c>
      <c r="M2435" s="18" t="n">
        <v>98</v>
      </c>
      <c r="N2435" s="18" t="n">
        <v>30</v>
      </c>
      <c r="O2435" s="14" t="s">
        <v>1126</v>
      </c>
      <c r="P2435" s="14" t="s">
        <v>1185</v>
      </c>
      <c r="Q2435" s="15" t="s">
        <v>1089</v>
      </c>
      <c r="R2435" s="16" t="s">
        <v>15477</v>
      </c>
      <c r="S2435" s="15" t="s">
        <v>15478</v>
      </c>
      <c r="T2435" s="15" t="s">
        <v>15479</v>
      </c>
      <c r="U2435" s="21" t="s">
        <v>72</v>
      </c>
    </row>
    <row r="2436" customFormat="false" ht="15" hidden="false" customHeight="false" outlineLevel="0" collapsed="false">
      <c r="A2436" s="15" t="s">
        <v>14933</v>
      </c>
      <c r="B2436" s="15" t="s">
        <v>15458</v>
      </c>
      <c r="C2436" s="14" t="s">
        <v>15480</v>
      </c>
      <c r="D2436" s="14" t="s">
        <v>15481</v>
      </c>
      <c r="E2436" s="16" t="s">
        <v>15482</v>
      </c>
      <c r="F2436" s="16" t="s">
        <v>15483</v>
      </c>
      <c r="G2436" s="19" t="s">
        <v>41</v>
      </c>
      <c r="H2436" s="18" t="n">
        <v>1</v>
      </c>
      <c r="I2436" s="20" t="n">
        <v>39.73</v>
      </c>
      <c r="J2436" s="20" t="n">
        <v>328.93</v>
      </c>
      <c r="K2436" s="18" t="n">
        <v>5</v>
      </c>
      <c r="L2436" s="18" t="n">
        <v>6</v>
      </c>
      <c r="M2436" s="18" t="n">
        <v>114</v>
      </c>
      <c r="N2436" s="18" t="n">
        <v>33</v>
      </c>
      <c r="O2436" s="14" t="s">
        <v>1126</v>
      </c>
      <c r="P2436" s="14" t="s">
        <v>118</v>
      </c>
      <c r="Q2436" s="15" t="s">
        <v>1089</v>
      </c>
      <c r="R2436" s="16" t="s">
        <v>15484</v>
      </c>
      <c r="S2436" s="15" t="s">
        <v>15485</v>
      </c>
      <c r="T2436" s="15" t="s">
        <v>15485</v>
      </c>
      <c r="U2436" s="21" t="s">
        <v>72</v>
      </c>
    </row>
    <row r="2437" customFormat="false" ht="15" hidden="false" customHeight="false" outlineLevel="0" collapsed="false">
      <c r="A2437" s="15" t="s">
        <v>14933</v>
      </c>
      <c r="B2437" s="15" t="s">
        <v>15458</v>
      </c>
      <c r="C2437" s="14" t="s">
        <v>15486</v>
      </c>
      <c r="D2437" s="14" t="s">
        <v>15487</v>
      </c>
      <c r="E2437" s="16" t="s">
        <v>15488</v>
      </c>
      <c r="F2437" s="16" t="s">
        <v>15489</v>
      </c>
      <c r="G2437" s="19" t="s">
        <v>41</v>
      </c>
      <c r="H2437" s="18" t="n">
        <v>5</v>
      </c>
      <c r="I2437" s="20" t="n">
        <v>30</v>
      </c>
      <c r="J2437" s="20" t="n">
        <v>70</v>
      </c>
      <c r="K2437" s="18" t="n">
        <v>10</v>
      </c>
      <c r="L2437" s="18" t="n">
        <v>1</v>
      </c>
      <c r="M2437" s="18" t="n">
        <v>260</v>
      </c>
      <c r="N2437" s="18" t="n">
        <v>260</v>
      </c>
      <c r="O2437" s="14" t="s">
        <v>1088</v>
      </c>
      <c r="P2437" s="14" t="s">
        <v>84</v>
      </c>
      <c r="Q2437" s="15" t="s">
        <v>1089</v>
      </c>
      <c r="R2437" s="16" t="s">
        <v>15490</v>
      </c>
      <c r="S2437" s="15" t="s">
        <v>15491</v>
      </c>
      <c r="T2437" s="15" t="s">
        <v>15491</v>
      </c>
      <c r="U2437" s="21" t="s">
        <v>72</v>
      </c>
    </row>
    <row r="2438" customFormat="false" ht="15" hidden="false" customHeight="false" outlineLevel="0" collapsed="false">
      <c r="A2438" s="15" t="s">
        <v>14933</v>
      </c>
      <c r="B2438" s="15" t="s">
        <v>15458</v>
      </c>
      <c r="C2438" s="14" t="s">
        <v>15492</v>
      </c>
      <c r="D2438" s="14" t="s">
        <v>15493</v>
      </c>
      <c r="E2438" s="16" t="s">
        <v>15494</v>
      </c>
      <c r="F2438" s="16"/>
      <c r="G2438" s="23" t="s">
        <v>43</v>
      </c>
      <c r="H2438" s="18" t="n">
        <v>2</v>
      </c>
      <c r="I2438" s="20" t="n">
        <v>74.7</v>
      </c>
      <c r="J2438" s="20" t="n">
        <v>121.14</v>
      </c>
      <c r="K2438" s="18" t="n">
        <v>2</v>
      </c>
      <c r="L2438" s="18" t="n">
        <v>1</v>
      </c>
      <c r="M2438" s="18" t="n">
        <v>72</v>
      </c>
      <c r="N2438" s="18" t="n">
        <v>72</v>
      </c>
      <c r="O2438" s="14" t="s">
        <v>15098</v>
      </c>
      <c r="P2438" s="14" t="s">
        <v>84</v>
      </c>
      <c r="Q2438" s="15" t="s">
        <v>1089</v>
      </c>
      <c r="R2438" s="16" t="s">
        <v>15495</v>
      </c>
      <c r="S2438" s="15" t="s">
        <v>15496</v>
      </c>
      <c r="T2438" s="15" t="s">
        <v>8754</v>
      </c>
      <c r="U2438" s="21" t="s">
        <v>72</v>
      </c>
    </row>
    <row r="2439" customFormat="false" ht="26.85" hidden="false" customHeight="false" outlineLevel="0" collapsed="false">
      <c r="A2439" s="15" t="s">
        <v>14933</v>
      </c>
      <c r="B2439" s="15" t="s">
        <v>15458</v>
      </c>
      <c r="C2439" s="14" t="s">
        <v>15497</v>
      </c>
      <c r="D2439" s="14" t="s">
        <v>15498</v>
      </c>
      <c r="E2439" s="16" t="s">
        <v>15499</v>
      </c>
      <c r="F2439" s="16"/>
      <c r="G2439" s="23" t="s">
        <v>43</v>
      </c>
      <c r="H2439" s="18" t="n">
        <v>2</v>
      </c>
      <c r="I2439" s="20" t="n">
        <v>44.39</v>
      </c>
      <c r="J2439" s="20" t="n">
        <v>107.21</v>
      </c>
      <c r="K2439" s="18" t="n">
        <v>5</v>
      </c>
      <c r="L2439" s="18"/>
      <c r="M2439" s="18" t="n">
        <v>56</v>
      </c>
      <c r="N2439" s="18" t="n">
        <v>36</v>
      </c>
      <c r="O2439" s="14" t="s">
        <v>1126</v>
      </c>
      <c r="P2439" s="14" t="s">
        <v>1185</v>
      </c>
      <c r="Q2439" s="15" t="s">
        <v>1089</v>
      </c>
      <c r="R2439" s="16" t="s">
        <v>15500</v>
      </c>
      <c r="S2439" s="15" t="s">
        <v>15501</v>
      </c>
      <c r="T2439" s="15" t="s">
        <v>15501</v>
      </c>
      <c r="U2439" s="21" t="s">
        <v>72</v>
      </c>
    </row>
    <row r="2440" customFormat="false" ht="15" hidden="false" customHeight="false" outlineLevel="0" collapsed="false">
      <c r="A2440" s="15" t="s">
        <v>14933</v>
      </c>
      <c r="B2440" s="15" t="s">
        <v>15458</v>
      </c>
      <c r="C2440" s="14" t="s">
        <v>15502</v>
      </c>
      <c r="D2440" s="14" t="s">
        <v>15503</v>
      </c>
      <c r="E2440" s="16" t="s">
        <v>15504</v>
      </c>
      <c r="F2440" s="16"/>
      <c r="G2440" s="19" t="s">
        <v>41</v>
      </c>
      <c r="H2440" s="18" t="n">
        <v>4</v>
      </c>
      <c r="I2440" s="20" t="n">
        <v>105.84</v>
      </c>
      <c r="J2440" s="20" t="n">
        <v>296.44</v>
      </c>
      <c r="K2440" s="18" t="n">
        <v>2</v>
      </c>
      <c r="L2440" s="18" t="n">
        <v>3</v>
      </c>
      <c r="M2440" s="18" t="n">
        <v>48</v>
      </c>
      <c r="N2440" s="18" t="n">
        <v>48</v>
      </c>
      <c r="O2440" s="14" t="s">
        <v>1097</v>
      </c>
      <c r="P2440" s="14" t="s">
        <v>84</v>
      </c>
      <c r="Q2440" s="15" t="s">
        <v>1089</v>
      </c>
      <c r="R2440" s="16" t="s">
        <v>14657</v>
      </c>
      <c r="S2440" s="15" t="s">
        <v>15505</v>
      </c>
      <c r="T2440" s="15" t="s">
        <v>15505</v>
      </c>
      <c r="U2440" s="21" t="s">
        <v>72</v>
      </c>
    </row>
    <row r="2441" customFormat="false" ht="15" hidden="false" customHeight="false" outlineLevel="0" collapsed="false">
      <c r="A2441" s="15" t="s">
        <v>14933</v>
      </c>
      <c r="B2441" s="15" t="s">
        <v>15458</v>
      </c>
      <c r="C2441" s="14" t="s">
        <v>15506</v>
      </c>
      <c r="D2441" s="14" t="s">
        <v>15507</v>
      </c>
      <c r="E2441" s="16" t="s">
        <v>15508</v>
      </c>
      <c r="F2441" s="16" t="s">
        <v>15509</v>
      </c>
      <c r="G2441" s="23" t="s">
        <v>43</v>
      </c>
      <c r="H2441" s="18" t="n">
        <v>4</v>
      </c>
      <c r="I2441" s="20" t="n">
        <v>73.63</v>
      </c>
      <c r="J2441" s="20" t="n">
        <v>149.1</v>
      </c>
      <c r="K2441" s="18" t="n">
        <v>4</v>
      </c>
      <c r="L2441" s="18" t="n">
        <v>2</v>
      </c>
      <c r="M2441" s="18" t="n">
        <v>59</v>
      </c>
      <c r="N2441" s="18" t="n">
        <v>10</v>
      </c>
      <c r="O2441" s="14" t="s">
        <v>1097</v>
      </c>
      <c r="P2441" s="14" t="s">
        <v>515</v>
      </c>
      <c r="Q2441" s="15" t="s">
        <v>1089</v>
      </c>
      <c r="R2441" s="16" t="s">
        <v>15510</v>
      </c>
      <c r="S2441" s="15" t="s">
        <v>15511</v>
      </c>
      <c r="T2441" s="15" t="s">
        <v>15511</v>
      </c>
      <c r="U2441" s="21" t="s">
        <v>72</v>
      </c>
    </row>
    <row r="2442" customFormat="false" ht="26.85" hidden="false" customHeight="false" outlineLevel="0" collapsed="false">
      <c r="A2442" s="15" t="s">
        <v>14933</v>
      </c>
      <c r="B2442" s="15" t="s">
        <v>15458</v>
      </c>
      <c r="C2442" s="14" t="s">
        <v>15512</v>
      </c>
      <c r="D2442" s="14" t="s">
        <v>15513</v>
      </c>
      <c r="E2442" s="16" t="s">
        <v>15514</v>
      </c>
      <c r="F2442" s="16"/>
      <c r="G2442" s="23" t="s">
        <v>43</v>
      </c>
      <c r="H2442" s="18" t="n">
        <v>2</v>
      </c>
      <c r="I2442" s="20" t="n">
        <v>54.13</v>
      </c>
      <c r="J2442" s="20" t="n">
        <v>128.99</v>
      </c>
      <c r="K2442" s="18" t="n">
        <v>2</v>
      </c>
      <c r="L2442" s="18" t="n">
        <v>1</v>
      </c>
      <c r="M2442" s="18" t="n">
        <v>44</v>
      </c>
      <c r="N2442" s="18" t="n">
        <v>44</v>
      </c>
      <c r="O2442" s="14" t="s">
        <v>1126</v>
      </c>
      <c r="P2442" s="14" t="s">
        <v>84</v>
      </c>
      <c r="Q2442" s="15" t="s">
        <v>1089</v>
      </c>
      <c r="R2442" s="16" t="s">
        <v>12881</v>
      </c>
      <c r="S2442" s="15" t="s">
        <v>15515</v>
      </c>
      <c r="T2442" s="15" t="s">
        <v>15515</v>
      </c>
      <c r="U2442" s="21" t="s">
        <v>72</v>
      </c>
    </row>
    <row r="2443" customFormat="false" ht="15" hidden="false" customHeight="false" outlineLevel="0" collapsed="false">
      <c r="A2443" s="15" t="s">
        <v>14933</v>
      </c>
      <c r="B2443" s="15" t="s">
        <v>15458</v>
      </c>
      <c r="C2443" s="14" t="s">
        <v>15516</v>
      </c>
      <c r="D2443" s="14" t="s">
        <v>15517</v>
      </c>
      <c r="E2443" s="16" t="s">
        <v>15518</v>
      </c>
      <c r="F2443" s="16" t="s">
        <v>15519</v>
      </c>
      <c r="G2443" s="19" t="s">
        <v>41</v>
      </c>
      <c r="H2443" s="18" t="n">
        <v>3</v>
      </c>
      <c r="I2443" s="20" t="n">
        <v>137.56</v>
      </c>
      <c r="J2443" s="20" t="n">
        <v>355.22</v>
      </c>
      <c r="K2443" s="18" t="n">
        <v>3</v>
      </c>
      <c r="L2443" s="18" t="n">
        <v>8</v>
      </c>
      <c r="M2443" s="18" t="n">
        <v>113</v>
      </c>
      <c r="N2443" s="18" t="n">
        <v>113</v>
      </c>
      <c r="O2443" s="14" t="s">
        <v>1126</v>
      </c>
      <c r="P2443" s="14" t="s">
        <v>84</v>
      </c>
      <c r="Q2443" s="15" t="s">
        <v>1089</v>
      </c>
      <c r="R2443" s="16" t="s">
        <v>15520</v>
      </c>
      <c r="S2443" s="15" t="s">
        <v>15521</v>
      </c>
      <c r="T2443" s="15" t="s">
        <v>15521</v>
      </c>
      <c r="U2443" s="21" t="s">
        <v>72</v>
      </c>
    </row>
    <row r="2444" customFormat="false" ht="15" hidden="false" customHeight="false" outlineLevel="0" collapsed="false">
      <c r="A2444" s="15" t="s">
        <v>14933</v>
      </c>
      <c r="B2444" s="15" t="s">
        <v>15458</v>
      </c>
      <c r="C2444" s="14" t="s">
        <v>15522</v>
      </c>
      <c r="D2444" s="14" t="s">
        <v>15523</v>
      </c>
      <c r="E2444" s="16" t="s">
        <v>15524</v>
      </c>
      <c r="F2444" s="16"/>
      <c r="G2444" s="23" t="s">
        <v>43</v>
      </c>
      <c r="H2444" s="18" t="n">
        <v>1</v>
      </c>
      <c r="I2444" s="20" t="n">
        <v>38.16</v>
      </c>
      <c r="J2444" s="20" t="n">
        <v>147.11</v>
      </c>
      <c r="K2444" s="18" t="n">
        <v>3</v>
      </c>
      <c r="L2444" s="18"/>
      <c r="M2444" s="18" t="n">
        <v>75</v>
      </c>
      <c r="N2444" s="18" t="n">
        <v>75</v>
      </c>
      <c r="O2444" s="14" t="s">
        <v>1126</v>
      </c>
      <c r="P2444" s="14" t="s">
        <v>84</v>
      </c>
      <c r="Q2444" s="15" t="s">
        <v>1089</v>
      </c>
      <c r="R2444" s="16" t="s">
        <v>15525</v>
      </c>
      <c r="S2444" s="15" t="s">
        <v>15526</v>
      </c>
      <c r="T2444" s="15" t="s">
        <v>15527</v>
      </c>
      <c r="U2444" s="21" t="s">
        <v>72</v>
      </c>
    </row>
    <row r="2445" customFormat="false" ht="15" hidden="false" customHeight="false" outlineLevel="0" collapsed="false">
      <c r="A2445" s="15" t="s">
        <v>14933</v>
      </c>
      <c r="B2445" s="15" t="s">
        <v>15458</v>
      </c>
      <c r="C2445" s="14" t="s">
        <v>15528</v>
      </c>
      <c r="D2445" s="14" t="s">
        <v>15529</v>
      </c>
      <c r="E2445" s="16" t="s">
        <v>15530</v>
      </c>
      <c r="F2445" s="16"/>
      <c r="G2445" s="23" t="s">
        <v>43</v>
      </c>
      <c r="H2445" s="18" t="n">
        <v>2</v>
      </c>
      <c r="I2445" s="20" t="n">
        <v>64.8</v>
      </c>
      <c r="J2445" s="20" t="n">
        <v>134.15</v>
      </c>
      <c r="K2445" s="18" t="n">
        <v>4</v>
      </c>
      <c r="L2445" s="18"/>
      <c r="M2445" s="18" t="n">
        <v>90</v>
      </c>
      <c r="N2445" s="18" t="n">
        <v>45</v>
      </c>
      <c r="O2445" s="14" t="s">
        <v>1126</v>
      </c>
      <c r="P2445" s="14" t="s">
        <v>94</v>
      </c>
      <c r="Q2445" s="15" t="s">
        <v>1089</v>
      </c>
      <c r="R2445" s="16" t="s">
        <v>15531</v>
      </c>
      <c r="S2445" s="15" t="s">
        <v>15532</v>
      </c>
      <c r="T2445" s="15" t="s">
        <v>15533</v>
      </c>
      <c r="U2445" s="21" t="s">
        <v>72</v>
      </c>
    </row>
    <row r="2446" customFormat="false" ht="15" hidden="false" customHeight="false" outlineLevel="0" collapsed="false">
      <c r="A2446" s="15" t="s">
        <v>14933</v>
      </c>
      <c r="B2446" s="15" t="s">
        <v>15458</v>
      </c>
      <c r="C2446" s="14" t="s">
        <v>15534</v>
      </c>
      <c r="D2446" s="14" t="s">
        <v>15535</v>
      </c>
      <c r="E2446" s="16" t="s">
        <v>15536</v>
      </c>
      <c r="F2446" s="16" t="s">
        <v>15537</v>
      </c>
      <c r="G2446" s="25" t="s">
        <v>39</v>
      </c>
      <c r="H2446" s="18" t="n">
        <v>13</v>
      </c>
      <c r="I2446" s="20" t="n">
        <v>262.86</v>
      </c>
      <c r="J2446" s="20" t="n">
        <v>516.67</v>
      </c>
      <c r="K2446" s="18" t="n">
        <v>6</v>
      </c>
      <c r="L2446" s="18" t="n">
        <v>10</v>
      </c>
      <c r="M2446" s="18" t="n">
        <v>92</v>
      </c>
      <c r="N2446" s="18" t="n">
        <v>92</v>
      </c>
      <c r="O2446" s="14" t="s">
        <v>2125</v>
      </c>
      <c r="P2446" s="14" t="s">
        <v>84</v>
      </c>
      <c r="Q2446" s="15" t="s">
        <v>1089</v>
      </c>
      <c r="R2446" s="16" t="s">
        <v>15538</v>
      </c>
      <c r="S2446" s="15" t="s">
        <v>15228</v>
      </c>
      <c r="T2446" s="15" t="s">
        <v>15539</v>
      </c>
      <c r="U2446" s="21" t="s">
        <v>72</v>
      </c>
    </row>
    <row r="2447" customFormat="false" ht="15" hidden="false" customHeight="false" outlineLevel="0" collapsed="false">
      <c r="A2447" s="15" t="s">
        <v>14933</v>
      </c>
      <c r="B2447" s="15" t="s">
        <v>15458</v>
      </c>
      <c r="C2447" s="14" t="s">
        <v>15540</v>
      </c>
      <c r="D2447" s="14" t="s">
        <v>15541</v>
      </c>
      <c r="E2447" s="16" t="s">
        <v>15542</v>
      </c>
      <c r="F2447" s="16"/>
      <c r="G2447" s="23" t="s">
        <v>43</v>
      </c>
      <c r="H2447" s="18" t="n">
        <v>4</v>
      </c>
      <c r="I2447" s="20" t="n">
        <v>84.5</v>
      </c>
      <c r="J2447" s="20" t="n">
        <v>157.3</v>
      </c>
      <c r="K2447" s="18" t="n">
        <v>3</v>
      </c>
      <c r="L2447" s="18" t="n">
        <v>2</v>
      </c>
      <c r="M2447" s="18" t="n">
        <v>33</v>
      </c>
      <c r="N2447" s="18" t="n">
        <v>33</v>
      </c>
      <c r="O2447" s="14" t="s">
        <v>1097</v>
      </c>
      <c r="P2447" s="14" t="s">
        <v>84</v>
      </c>
      <c r="Q2447" s="15" t="s">
        <v>1089</v>
      </c>
      <c r="R2447" s="16" t="s">
        <v>15543</v>
      </c>
      <c r="S2447" s="15" t="s">
        <v>15544</v>
      </c>
      <c r="T2447" s="15" t="s">
        <v>15545</v>
      </c>
      <c r="U2447" s="21" t="s">
        <v>72</v>
      </c>
    </row>
    <row r="2448" customFormat="false" ht="15" hidden="false" customHeight="false" outlineLevel="0" collapsed="false">
      <c r="A2448" s="15" t="s">
        <v>14933</v>
      </c>
      <c r="B2448" s="15" t="s">
        <v>15458</v>
      </c>
      <c r="C2448" s="14" t="s">
        <v>15546</v>
      </c>
      <c r="D2448" s="14" t="s">
        <v>15547</v>
      </c>
      <c r="E2448" s="16" t="s">
        <v>15548</v>
      </c>
      <c r="F2448" s="16"/>
      <c r="G2448" s="23" t="s">
        <v>43</v>
      </c>
      <c r="H2448" s="18" t="n">
        <v>2</v>
      </c>
      <c r="I2448" s="20" t="n">
        <v>34.29</v>
      </c>
      <c r="J2448" s="20" t="n">
        <v>108.49</v>
      </c>
      <c r="K2448" s="18" t="n">
        <v>2</v>
      </c>
      <c r="L2448" s="18" t="n">
        <v>1</v>
      </c>
      <c r="M2448" s="18" t="n">
        <v>56</v>
      </c>
      <c r="N2448" s="18" t="n">
        <v>56</v>
      </c>
      <c r="O2448" s="14" t="s">
        <v>1126</v>
      </c>
      <c r="P2448" s="14" t="s">
        <v>84</v>
      </c>
      <c r="Q2448" s="15" t="s">
        <v>1089</v>
      </c>
      <c r="R2448" s="16" t="s">
        <v>7477</v>
      </c>
      <c r="S2448" s="15" t="s">
        <v>15549</v>
      </c>
      <c r="T2448" s="15" t="s">
        <v>15550</v>
      </c>
      <c r="U2448" s="21" t="s">
        <v>72</v>
      </c>
    </row>
    <row r="2449" customFormat="false" ht="15" hidden="false" customHeight="false" outlineLevel="0" collapsed="false">
      <c r="A2449" s="15" t="s">
        <v>14933</v>
      </c>
      <c r="B2449" s="15" t="s">
        <v>15458</v>
      </c>
      <c r="C2449" s="14" t="s">
        <v>15551</v>
      </c>
      <c r="D2449" s="14" t="s">
        <v>15552</v>
      </c>
      <c r="E2449" s="16" t="s">
        <v>15553</v>
      </c>
      <c r="F2449" s="16" t="s">
        <v>15554</v>
      </c>
      <c r="G2449" s="23" t="s">
        <v>43</v>
      </c>
      <c r="H2449" s="18" t="n">
        <v>2</v>
      </c>
      <c r="I2449" s="20" t="n">
        <v>29.56</v>
      </c>
      <c r="J2449" s="20" t="n">
        <v>159.48</v>
      </c>
      <c r="K2449" s="18" t="n">
        <v>2</v>
      </c>
      <c r="L2449" s="18" t="n">
        <v>2</v>
      </c>
      <c r="M2449" s="18" t="n">
        <v>20</v>
      </c>
      <c r="N2449" s="18" t="n">
        <v>10</v>
      </c>
      <c r="O2449" s="14" t="s">
        <v>1126</v>
      </c>
      <c r="P2449" s="14" t="s">
        <v>84</v>
      </c>
      <c r="Q2449" s="15" t="s">
        <v>1089</v>
      </c>
      <c r="R2449" s="16" t="s">
        <v>15555</v>
      </c>
      <c r="S2449" s="15" t="s">
        <v>15556</v>
      </c>
      <c r="T2449" s="15" t="s">
        <v>15556</v>
      </c>
      <c r="U2449" s="21" t="s">
        <v>72</v>
      </c>
    </row>
    <row r="2450" customFormat="false" ht="15" hidden="false" customHeight="false" outlineLevel="0" collapsed="false">
      <c r="A2450" s="15" t="s">
        <v>14933</v>
      </c>
      <c r="B2450" s="15" t="s">
        <v>15557</v>
      </c>
      <c r="C2450" s="14" t="s">
        <v>15558</v>
      </c>
      <c r="D2450" s="14" t="s">
        <v>15559</v>
      </c>
      <c r="E2450" s="16" t="s">
        <v>15560</v>
      </c>
      <c r="F2450" s="16" t="s">
        <v>14994</v>
      </c>
      <c r="G2450" s="19" t="s">
        <v>41</v>
      </c>
      <c r="H2450" s="18" t="n">
        <v>5</v>
      </c>
      <c r="I2450" s="20" t="n">
        <v>112.012</v>
      </c>
      <c r="J2450" s="20" t="n">
        <v>258.42</v>
      </c>
      <c r="K2450" s="18" t="n">
        <v>5</v>
      </c>
      <c r="L2450" s="18" t="n">
        <v>3</v>
      </c>
      <c r="M2450" s="18" t="n">
        <v>91</v>
      </c>
      <c r="N2450" s="18" t="n">
        <v>91</v>
      </c>
      <c r="O2450" s="14" t="s">
        <v>2125</v>
      </c>
      <c r="P2450" s="14" t="s">
        <v>84</v>
      </c>
      <c r="Q2450" s="15" t="s">
        <v>1089</v>
      </c>
      <c r="R2450" s="16" t="s">
        <v>657</v>
      </c>
      <c r="S2450" s="15" t="s">
        <v>15561</v>
      </c>
      <c r="T2450" s="15" t="s">
        <v>15562</v>
      </c>
      <c r="U2450" s="21" t="s">
        <v>72</v>
      </c>
    </row>
    <row r="2451" customFormat="false" ht="15" hidden="false" customHeight="false" outlineLevel="0" collapsed="false">
      <c r="A2451" s="15" t="s">
        <v>14933</v>
      </c>
      <c r="B2451" s="15" t="s">
        <v>15557</v>
      </c>
      <c r="C2451" s="14" t="s">
        <v>15563</v>
      </c>
      <c r="D2451" s="14" t="s">
        <v>15564</v>
      </c>
      <c r="E2451" s="16" t="s">
        <v>15565</v>
      </c>
      <c r="F2451" s="16"/>
      <c r="G2451" s="23" t="s">
        <v>43</v>
      </c>
      <c r="H2451" s="18" t="n">
        <v>2</v>
      </c>
      <c r="I2451" s="20" t="n">
        <v>89.717</v>
      </c>
      <c r="J2451" s="20" t="n">
        <v>157.062</v>
      </c>
      <c r="K2451" s="18" t="n">
        <v>2</v>
      </c>
      <c r="L2451" s="18" t="n">
        <v>4</v>
      </c>
      <c r="M2451" s="18" t="n">
        <v>74</v>
      </c>
      <c r="N2451" s="18" t="n">
        <v>74</v>
      </c>
      <c r="O2451" s="14" t="s">
        <v>1126</v>
      </c>
      <c r="P2451" s="14" t="s">
        <v>84</v>
      </c>
      <c r="Q2451" s="15" t="s">
        <v>1089</v>
      </c>
      <c r="R2451" s="16" t="s">
        <v>15566</v>
      </c>
      <c r="S2451" s="15" t="s">
        <v>15567</v>
      </c>
      <c r="T2451" s="15" t="s">
        <v>15567</v>
      </c>
      <c r="U2451" s="21" t="s">
        <v>72</v>
      </c>
    </row>
    <row r="2452" customFormat="false" ht="15" hidden="false" customHeight="false" outlineLevel="0" collapsed="false">
      <c r="A2452" s="15" t="s">
        <v>14933</v>
      </c>
      <c r="B2452" s="15" t="s">
        <v>15557</v>
      </c>
      <c r="C2452" s="14" t="s">
        <v>15568</v>
      </c>
      <c r="D2452" s="14" t="s">
        <v>15569</v>
      </c>
      <c r="E2452" s="16" t="s">
        <v>15570</v>
      </c>
      <c r="F2452" s="16" t="s">
        <v>15571</v>
      </c>
      <c r="G2452" s="19" t="s">
        <v>41</v>
      </c>
      <c r="H2452" s="18" t="n">
        <v>5</v>
      </c>
      <c r="I2452" s="20" t="n">
        <v>89.09</v>
      </c>
      <c r="J2452" s="20" t="n">
        <v>183.28</v>
      </c>
      <c r="K2452" s="18" t="n">
        <v>2</v>
      </c>
      <c r="L2452" s="18" t="n">
        <v>2</v>
      </c>
      <c r="M2452" s="18" t="n">
        <v>12</v>
      </c>
      <c r="N2452" s="18" t="n">
        <v>12</v>
      </c>
      <c r="O2452" s="14" t="s">
        <v>1126</v>
      </c>
      <c r="P2452" s="14" t="s">
        <v>84</v>
      </c>
      <c r="Q2452" s="15" t="s">
        <v>1089</v>
      </c>
      <c r="R2452" s="16" t="s">
        <v>15572</v>
      </c>
      <c r="S2452" s="15" t="s">
        <v>4232</v>
      </c>
      <c r="T2452" s="15" t="s">
        <v>15573</v>
      </c>
      <c r="U2452" s="21" t="s">
        <v>72</v>
      </c>
    </row>
    <row r="2453" customFormat="false" ht="15" hidden="false" customHeight="false" outlineLevel="0" collapsed="false">
      <c r="A2453" s="15" t="s">
        <v>14933</v>
      </c>
      <c r="B2453" s="15" t="s">
        <v>15557</v>
      </c>
      <c r="C2453" s="14" t="s">
        <v>15574</v>
      </c>
      <c r="D2453" s="14" t="s">
        <v>15575</v>
      </c>
      <c r="E2453" s="16" t="s">
        <v>15576</v>
      </c>
      <c r="F2453" s="16" t="s">
        <v>15577</v>
      </c>
      <c r="G2453" s="19" t="s">
        <v>41</v>
      </c>
      <c r="H2453" s="18" t="n">
        <v>7</v>
      </c>
      <c r="I2453" s="20" t="n">
        <v>174.5</v>
      </c>
      <c r="J2453" s="20" t="n">
        <v>370.79</v>
      </c>
      <c r="K2453" s="18" t="n">
        <v>32</v>
      </c>
      <c r="L2453" s="18" t="n">
        <v>8</v>
      </c>
      <c r="M2453" s="18" t="n">
        <v>653</v>
      </c>
      <c r="N2453" s="18" t="n">
        <v>578</v>
      </c>
      <c r="O2453" s="14" t="s">
        <v>1088</v>
      </c>
      <c r="P2453" s="14" t="s">
        <v>84</v>
      </c>
      <c r="Q2453" s="15" t="s">
        <v>1089</v>
      </c>
      <c r="R2453" s="16" t="s">
        <v>13661</v>
      </c>
      <c r="S2453" s="15" t="s">
        <v>15578</v>
      </c>
      <c r="T2453" s="15" t="s">
        <v>15579</v>
      </c>
      <c r="U2453" s="21" t="s">
        <v>72</v>
      </c>
    </row>
    <row r="2454" customFormat="false" ht="15" hidden="false" customHeight="false" outlineLevel="0" collapsed="false">
      <c r="A2454" s="15" t="s">
        <v>14933</v>
      </c>
      <c r="B2454" s="15" t="s">
        <v>15557</v>
      </c>
      <c r="C2454" s="14" t="s">
        <v>15580</v>
      </c>
      <c r="D2454" s="14" t="s">
        <v>15581</v>
      </c>
      <c r="E2454" s="16" t="s">
        <v>15582</v>
      </c>
      <c r="F2454" s="16"/>
      <c r="G2454" s="23" t="s">
        <v>43</v>
      </c>
      <c r="H2454" s="18" t="n">
        <v>2</v>
      </c>
      <c r="I2454" s="20" t="n">
        <v>52.08</v>
      </c>
      <c r="J2454" s="20" t="n">
        <v>106.62</v>
      </c>
      <c r="K2454" s="18" t="n">
        <v>1</v>
      </c>
      <c r="L2454" s="18"/>
      <c r="M2454" s="18" t="n">
        <v>32</v>
      </c>
      <c r="N2454" s="18" t="n">
        <v>32</v>
      </c>
      <c r="O2454" s="14" t="s">
        <v>1126</v>
      </c>
      <c r="P2454" s="14" t="s">
        <v>84</v>
      </c>
      <c r="Q2454" s="15" t="s">
        <v>1089</v>
      </c>
      <c r="R2454" s="16" t="s">
        <v>15583</v>
      </c>
      <c r="S2454" s="15" t="s">
        <v>15584</v>
      </c>
      <c r="T2454" s="15" t="s">
        <v>15585</v>
      </c>
      <c r="U2454" s="21" t="s">
        <v>72</v>
      </c>
    </row>
    <row r="2455" customFormat="false" ht="15" hidden="false" customHeight="false" outlineLevel="0" collapsed="false">
      <c r="A2455" s="15" t="s">
        <v>14933</v>
      </c>
      <c r="B2455" s="15" t="s">
        <v>15557</v>
      </c>
      <c r="C2455" s="14" t="s">
        <v>15586</v>
      </c>
      <c r="D2455" s="14" t="s">
        <v>15587</v>
      </c>
      <c r="E2455" s="16" t="s">
        <v>15588</v>
      </c>
      <c r="F2455" s="16" t="s">
        <v>15589</v>
      </c>
      <c r="G2455" s="19" t="s">
        <v>41</v>
      </c>
      <c r="H2455" s="18" t="n">
        <v>4</v>
      </c>
      <c r="I2455" s="20" t="n">
        <v>71.92</v>
      </c>
      <c r="J2455" s="20" t="n">
        <v>203.58</v>
      </c>
      <c r="K2455" s="18" t="n">
        <v>2</v>
      </c>
      <c r="L2455" s="18" t="n">
        <v>1</v>
      </c>
      <c r="M2455" s="18" t="n">
        <v>32</v>
      </c>
      <c r="N2455" s="18" t="n">
        <v>32</v>
      </c>
      <c r="O2455" s="14" t="s">
        <v>1126</v>
      </c>
      <c r="P2455" s="14" t="s">
        <v>84</v>
      </c>
      <c r="Q2455" s="15" t="s">
        <v>1089</v>
      </c>
      <c r="R2455" s="16" t="s">
        <v>15590</v>
      </c>
      <c r="S2455" s="15" t="s">
        <v>15591</v>
      </c>
      <c r="T2455" s="15" t="s">
        <v>15591</v>
      </c>
      <c r="U2455" s="21" t="s">
        <v>72</v>
      </c>
    </row>
    <row r="2456" customFormat="false" ht="15" hidden="false" customHeight="false" outlineLevel="0" collapsed="false">
      <c r="A2456" s="15" t="s">
        <v>14933</v>
      </c>
      <c r="B2456" s="15" t="s">
        <v>15557</v>
      </c>
      <c r="C2456" s="14" t="s">
        <v>15592</v>
      </c>
      <c r="D2456" s="14" t="s">
        <v>15593</v>
      </c>
      <c r="E2456" s="16" t="s">
        <v>15594</v>
      </c>
      <c r="F2456" s="16" t="s">
        <v>15595</v>
      </c>
      <c r="G2456" s="23" t="s">
        <v>43</v>
      </c>
      <c r="H2456" s="18" t="n">
        <v>2</v>
      </c>
      <c r="I2456" s="20" t="n">
        <v>35.7676</v>
      </c>
      <c r="J2456" s="20" t="n">
        <v>104.49</v>
      </c>
      <c r="K2456" s="18" t="n">
        <v>2</v>
      </c>
      <c r="L2456" s="18"/>
      <c r="M2456" s="18" t="n">
        <v>29</v>
      </c>
      <c r="N2456" s="18" t="n">
        <v>17</v>
      </c>
      <c r="O2456" s="14" t="s">
        <v>1088</v>
      </c>
      <c r="P2456" s="14" t="s">
        <v>94</v>
      </c>
      <c r="Q2456" s="15" t="s">
        <v>1089</v>
      </c>
      <c r="R2456" s="16" t="s">
        <v>15596</v>
      </c>
      <c r="S2456" s="15" t="s">
        <v>15597</v>
      </c>
      <c r="T2456" s="15" t="s">
        <v>15598</v>
      </c>
      <c r="U2456" s="21" t="s">
        <v>72</v>
      </c>
    </row>
    <row r="2457" customFormat="false" ht="15" hidden="false" customHeight="false" outlineLevel="0" collapsed="false">
      <c r="A2457" s="15" t="s">
        <v>14933</v>
      </c>
      <c r="B2457" s="15" t="s">
        <v>15599</v>
      </c>
      <c r="C2457" s="14" t="s">
        <v>15600</v>
      </c>
      <c r="D2457" s="14" t="s">
        <v>15601</v>
      </c>
      <c r="E2457" s="16" t="s">
        <v>15602</v>
      </c>
      <c r="F2457" s="16"/>
      <c r="G2457" s="23" t="s">
        <v>43</v>
      </c>
      <c r="H2457" s="18" t="n">
        <v>2</v>
      </c>
      <c r="I2457" s="20" t="n">
        <v>72.45</v>
      </c>
      <c r="J2457" s="20" t="n">
        <v>107.13</v>
      </c>
      <c r="K2457" s="18" t="n">
        <v>2</v>
      </c>
      <c r="L2457" s="18" t="n">
        <v>2</v>
      </c>
      <c r="M2457" s="18" t="n">
        <v>40</v>
      </c>
      <c r="N2457" s="18" t="n">
        <v>40</v>
      </c>
      <c r="O2457" s="14" t="s">
        <v>2125</v>
      </c>
      <c r="P2457" s="14" t="s">
        <v>84</v>
      </c>
      <c r="Q2457" s="15" t="s">
        <v>1089</v>
      </c>
      <c r="R2457" s="16" t="s">
        <v>2309</v>
      </c>
      <c r="S2457" s="15" t="s">
        <v>15603</v>
      </c>
      <c r="T2457" s="15" t="s">
        <v>15603</v>
      </c>
      <c r="U2457" s="21" t="s">
        <v>72</v>
      </c>
    </row>
    <row r="2458" customFormat="false" ht="15" hidden="false" customHeight="false" outlineLevel="0" collapsed="false">
      <c r="A2458" s="15" t="s">
        <v>14933</v>
      </c>
      <c r="B2458" s="15" t="s">
        <v>15604</v>
      </c>
      <c r="C2458" s="14" t="s">
        <v>15605</v>
      </c>
      <c r="D2458" s="14" t="s">
        <v>15606</v>
      </c>
      <c r="E2458" s="16" t="s">
        <v>15607</v>
      </c>
      <c r="F2458" s="16" t="s">
        <v>15608</v>
      </c>
      <c r="G2458" s="23" t="s">
        <v>43</v>
      </c>
      <c r="H2458" s="18" t="n">
        <v>2</v>
      </c>
      <c r="I2458" s="20" t="n">
        <v>48.16</v>
      </c>
      <c r="J2458" s="20" t="n">
        <v>122.37</v>
      </c>
      <c r="K2458" s="18" t="n">
        <v>2</v>
      </c>
      <c r="L2458" s="18" t="n">
        <v>1</v>
      </c>
      <c r="M2458" s="18" t="n">
        <v>40</v>
      </c>
      <c r="N2458" s="18" t="n">
        <v>40</v>
      </c>
      <c r="O2458" s="14" t="s">
        <v>1126</v>
      </c>
      <c r="P2458" s="14" t="s">
        <v>84</v>
      </c>
      <c r="Q2458" s="15" t="s">
        <v>1089</v>
      </c>
      <c r="R2458" s="16" t="s">
        <v>15609</v>
      </c>
      <c r="S2458" s="15" t="s">
        <v>15610</v>
      </c>
      <c r="T2458" s="15" t="s">
        <v>15610</v>
      </c>
      <c r="U2458" s="21" t="s">
        <v>72</v>
      </c>
    </row>
    <row r="2459" customFormat="false" ht="15" hidden="false" customHeight="false" outlineLevel="0" collapsed="false">
      <c r="A2459" s="15" t="s">
        <v>14933</v>
      </c>
      <c r="B2459" s="15" t="s">
        <v>15611</v>
      </c>
      <c r="C2459" s="14" t="s">
        <v>15612</v>
      </c>
      <c r="D2459" s="14" t="s">
        <v>15613</v>
      </c>
      <c r="E2459" s="16" t="s">
        <v>15614</v>
      </c>
      <c r="F2459" s="16"/>
      <c r="G2459" s="19" t="s">
        <v>41</v>
      </c>
      <c r="H2459" s="18" t="n">
        <v>6</v>
      </c>
      <c r="I2459" s="20" t="n">
        <v>132.013</v>
      </c>
      <c r="J2459" s="20" t="n">
        <v>348.1</v>
      </c>
      <c r="K2459" s="18" t="n">
        <v>2</v>
      </c>
      <c r="L2459" s="18" t="n">
        <v>4</v>
      </c>
      <c r="M2459" s="18" t="n">
        <v>36</v>
      </c>
      <c r="N2459" s="18" t="n">
        <v>36</v>
      </c>
      <c r="O2459" s="14" t="s">
        <v>1126</v>
      </c>
      <c r="P2459" s="14" t="s">
        <v>84</v>
      </c>
      <c r="Q2459" s="15" t="s">
        <v>1089</v>
      </c>
      <c r="R2459" s="16" t="s">
        <v>15615</v>
      </c>
      <c r="S2459" s="15" t="s">
        <v>15616</v>
      </c>
      <c r="T2459" s="15" t="s">
        <v>15617</v>
      </c>
      <c r="U2459" s="21" t="s">
        <v>72</v>
      </c>
    </row>
    <row r="2460" customFormat="false" ht="15" hidden="false" customHeight="false" outlineLevel="0" collapsed="false">
      <c r="A2460" s="15" t="s">
        <v>14933</v>
      </c>
      <c r="B2460" s="15" t="s">
        <v>15611</v>
      </c>
      <c r="C2460" s="14" t="s">
        <v>15618</v>
      </c>
      <c r="D2460" s="14" t="s">
        <v>15619</v>
      </c>
      <c r="E2460" s="16" t="s">
        <v>15620</v>
      </c>
      <c r="F2460" s="16"/>
      <c r="G2460" s="23" t="s">
        <v>43</v>
      </c>
      <c r="H2460" s="18" t="n">
        <v>2</v>
      </c>
      <c r="I2460" s="20" t="n">
        <v>39</v>
      </c>
      <c r="J2460" s="20" t="n">
        <v>164.1</v>
      </c>
      <c r="K2460" s="18" t="n">
        <v>2</v>
      </c>
      <c r="L2460" s="18"/>
      <c r="M2460" s="18" t="n">
        <v>64</v>
      </c>
      <c r="N2460" s="18" t="n">
        <v>64</v>
      </c>
      <c r="O2460" s="14" t="s">
        <v>1088</v>
      </c>
      <c r="P2460" s="14" t="s">
        <v>84</v>
      </c>
      <c r="Q2460" s="15" t="s">
        <v>1089</v>
      </c>
      <c r="R2460" s="16" t="s">
        <v>15621</v>
      </c>
      <c r="S2460" s="15" t="s">
        <v>15622</v>
      </c>
      <c r="T2460" s="15" t="s">
        <v>15622</v>
      </c>
      <c r="U2460" s="21" t="s">
        <v>72</v>
      </c>
    </row>
    <row r="2461" customFormat="false" ht="15" hidden="false" customHeight="false" outlineLevel="0" collapsed="false">
      <c r="A2461" s="15" t="s">
        <v>14933</v>
      </c>
      <c r="B2461" s="15" t="s">
        <v>15623</v>
      </c>
      <c r="C2461" s="14" t="s">
        <v>15624</v>
      </c>
      <c r="D2461" s="14" t="s">
        <v>15625</v>
      </c>
      <c r="E2461" s="16" t="s">
        <v>15626</v>
      </c>
      <c r="F2461" s="16" t="s">
        <v>15627</v>
      </c>
      <c r="G2461" s="19" t="s">
        <v>41</v>
      </c>
      <c r="H2461" s="18" t="n">
        <v>5</v>
      </c>
      <c r="I2461" s="20" t="n">
        <v>170.01</v>
      </c>
      <c r="J2461" s="20" t="n">
        <v>273.37</v>
      </c>
      <c r="K2461" s="18" t="n">
        <v>4</v>
      </c>
      <c r="L2461" s="18" t="n">
        <v>2</v>
      </c>
      <c r="M2461" s="18" t="n">
        <v>43</v>
      </c>
      <c r="N2461" s="18" t="n">
        <v>43</v>
      </c>
      <c r="O2461" s="14" t="s">
        <v>1126</v>
      </c>
      <c r="P2461" s="14" t="s">
        <v>84</v>
      </c>
      <c r="Q2461" s="15" t="s">
        <v>1089</v>
      </c>
      <c r="R2461" s="16" t="s">
        <v>15628</v>
      </c>
      <c r="S2461" s="15" t="s">
        <v>15629</v>
      </c>
      <c r="T2461" s="15" t="s">
        <v>15630</v>
      </c>
      <c r="U2461" s="21" t="s">
        <v>72</v>
      </c>
    </row>
    <row r="2462" customFormat="false" ht="26.85" hidden="false" customHeight="false" outlineLevel="0" collapsed="false">
      <c r="A2462" s="15" t="s">
        <v>14933</v>
      </c>
      <c r="B2462" s="15" t="s">
        <v>15631</v>
      </c>
      <c r="C2462" s="14" t="s">
        <v>15632</v>
      </c>
      <c r="D2462" s="14" t="s">
        <v>15633</v>
      </c>
      <c r="E2462" s="16" t="s">
        <v>15634</v>
      </c>
      <c r="F2462" s="16" t="s">
        <v>15635</v>
      </c>
      <c r="G2462" s="25" t="s">
        <v>39</v>
      </c>
      <c r="H2462" s="18" t="n">
        <v>11</v>
      </c>
      <c r="I2462" s="20" t="n">
        <v>321.86</v>
      </c>
      <c r="J2462" s="20" t="n">
        <v>502.96</v>
      </c>
      <c r="K2462" s="18" t="n">
        <v>5</v>
      </c>
      <c r="L2462" s="18" t="n">
        <v>6</v>
      </c>
      <c r="M2462" s="18" t="n">
        <v>127</v>
      </c>
      <c r="N2462" s="18" t="n">
        <v>127</v>
      </c>
      <c r="O2462" s="14" t="s">
        <v>1126</v>
      </c>
      <c r="P2462" s="14" t="s">
        <v>84</v>
      </c>
      <c r="Q2462" s="15" t="s">
        <v>1089</v>
      </c>
      <c r="R2462" s="16" t="s">
        <v>15636</v>
      </c>
      <c r="S2462" s="15" t="s">
        <v>15637</v>
      </c>
      <c r="T2462" s="15" t="s">
        <v>15638</v>
      </c>
      <c r="U2462" s="21" t="s">
        <v>72</v>
      </c>
    </row>
    <row r="2463" customFormat="false" ht="15" hidden="false" customHeight="false" outlineLevel="0" collapsed="false">
      <c r="A2463" s="15" t="s">
        <v>14933</v>
      </c>
      <c r="B2463" s="15" t="s">
        <v>15631</v>
      </c>
      <c r="C2463" s="14" t="s">
        <v>15639</v>
      </c>
      <c r="D2463" s="14" t="s">
        <v>15640</v>
      </c>
      <c r="E2463" s="16" t="s">
        <v>15641</v>
      </c>
      <c r="F2463" s="16"/>
      <c r="G2463" s="23" t="s">
        <v>43</v>
      </c>
      <c r="H2463" s="18" t="n">
        <v>2</v>
      </c>
      <c r="I2463" s="20" t="n">
        <v>35.07</v>
      </c>
      <c r="J2463" s="20" t="n">
        <v>115.01</v>
      </c>
      <c r="K2463" s="18" t="n">
        <v>2</v>
      </c>
      <c r="L2463" s="18" t="n">
        <v>1</v>
      </c>
      <c r="M2463" s="18" t="n">
        <v>32</v>
      </c>
      <c r="N2463" s="18" t="n">
        <v>32</v>
      </c>
      <c r="O2463" s="14" t="s">
        <v>1126</v>
      </c>
      <c r="P2463" s="14" t="s">
        <v>84</v>
      </c>
      <c r="Q2463" s="15" t="s">
        <v>1089</v>
      </c>
      <c r="R2463" s="16" t="s">
        <v>15642</v>
      </c>
      <c r="S2463" s="15" t="s">
        <v>15643</v>
      </c>
      <c r="T2463" s="15" t="s">
        <v>15643</v>
      </c>
      <c r="U2463" s="21" t="s">
        <v>72</v>
      </c>
    </row>
    <row r="2464" customFormat="false" ht="15" hidden="false" customHeight="false" outlineLevel="0" collapsed="false">
      <c r="A2464" s="15" t="s">
        <v>14933</v>
      </c>
      <c r="B2464" s="15" t="s">
        <v>15631</v>
      </c>
      <c r="C2464" s="14" t="s">
        <v>15644</v>
      </c>
      <c r="D2464" s="14" t="s">
        <v>15645</v>
      </c>
      <c r="E2464" s="16" t="s">
        <v>15646</v>
      </c>
      <c r="F2464" s="16"/>
      <c r="G2464" s="23" t="s">
        <v>43</v>
      </c>
      <c r="H2464" s="18" t="n">
        <v>3</v>
      </c>
      <c r="I2464" s="20" t="n">
        <v>36.13</v>
      </c>
      <c r="J2464" s="20" t="n">
        <v>94.64</v>
      </c>
      <c r="K2464" s="18" t="n">
        <v>2</v>
      </c>
      <c r="L2464" s="18"/>
      <c r="M2464" s="18" t="n">
        <v>34</v>
      </c>
      <c r="N2464" s="18" t="n">
        <v>34</v>
      </c>
      <c r="O2464" s="14" t="s">
        <v>1126</v>
      </c>
      <c r="P2464" s="14" t="s">
        <v>84</v>
      </c>
      <c r="Q2464" s="15" t="s">
        <v>1089</v>
      </c>
      <c r="R2464" s="16" t="s">
        <v>15647</v>
      </c>
      <c r="S2464" s="15" t="s">
        <v>15648</v>
      </c>
      <c r="T2464" s="15" t="s">
        <v>15648</v>
      </c>
      <c r="U2464" s="21" t="s">
        <v>72</v>
      </c>
    </row>
    <row r="2465" customFormat="false" ht="15" hidden="false" customHeight="false" outlineLevel="0" collapsed="false">
      <c r="A2465" s="15" t="s">
        <v>14933</v>
      </c>
      <c r="B2465" s="15" t="s">
        <v>15631</v>
      </c>
      <c r="C2465" s="14" t="s">
        <v>15649</v>
      </c>
      <c r="D2465" s="14" t="s">
        <v>15650</v>
      </c>
      <c r="E2465" s="16" t="s">
        <v>15651</v>
      </c>
      <c r="F2465" s="16" t="s">
        <v>15652</v>
      </c>
      <c r="G2465" s="25" t="s">
        <v>39</v>
      </c>
      <c r="H2465" s="18" t="n">
        <v>12</v>
      </c>
      <c r="I2465" s="20" t="n">
        <v>1357.42</v>
      </c>
      <c r="J2465" s="20" t="n">
        <v>2535.75</v>
      </c>
      <c r="K2465" s="18" t="n">
        <v>16</v>
      </c>
      <c r="L2465" s="18" t="n">
        <v>1</v>
      </c>
      <c r="M2465" s="18" t="n">
        <v>960</v>
      </c>
      <c r="N2465" s="18" t="n">
        <v>900</v>
      </c>
      <c r="O2465" s="14" t="s">
        <v>2125</v>
      </c>
      <c r="P2465" s="14" t="s">
        <v>84</v>
      </c>
      <c r="Q2465" s="15" t="s">
        <v>1089</v>
      </c>
      <c r="R2465" s="16" t="s">
        <v>15653</v>
      </c>
      <c r="S2465" s="15" t="s">
        <v>15654</v>
      </c>
      <c r="T2465" s="15" t="s">
        <v>15655</v>
      </c>
      <c r="U2465" s="21" t="s">
        <v>72</v>
      </c>
    </row>
    <row r="2466" customFormat="false" ht="15" hidden="false" customHeight="false" outlineLevel="0" collapsed="false">
      <c r="A2466" s="15" t="s">
        <v>14933</v>
      </c>
      <c r="B2466" s="15" t="s">
        <v>15631</v>
      </c>
      <c r="C2466" s="14" t="s">
        <v>15656</v>
      </c>
      <c r="D2466" s="14" t="s">
        <v>15657</v>
      </c>
      <c r="E2466" s="16" t="s">
        <v>15658</v>
      </c>
      <c r="F2466" s="16"/>
      <c r="G2466" s="23" t="s">
        <v>43</v>
      </c>
      <c r="H2466" s="18" t="n">
        <v>2</v>
      </c>
      <c r="I2466" s="20" t="n">
        <v>48.83</v>
      </c>
      <c r="J2466" s="20" t="n">
        <v>131.35</v>
      </c>
      <c r="K2466" s="18" t="n">
        <v>2</v>
      </c>
      <c r="L2466" s="18" t="n">
        <v>3</v>
      </c>
      <c r="M2466" s="18" t="n">
        <v>46</v>
      </c>
      <c r="N2466" s="18" t="n">
        <v>46</v>
      </c>
      <c r="O2466" s="14" t="s">
        <v>1126</v>
      </c>
      <c r="P2466" s="14" t="s">
        <v>84</v>
      </c>
      <c r="Q2466" s="15" t="s">
        <v>1089</v>
      </c>
      <c r="R2466" s="16" t="s">
        <v>15659</v>
      </c>
      <c r="S2466" s="15" t="s">
        <v>15660</v>
      </c>
      <c r="T2466" s="15" t="s">
        <v>15660</v>
      </c>
      <c r="U2466" s="21" t="s">
        <v>72</v>
      </c>
    </row>
    <row r="2467" customFormat="false" ht="39.55" hidden="false" customHeight="false" outlineLevel="0" collapsed="false">
      <c r="A2467" s="15" t="s">
        <v>14933</v>
      </c>
      <c r="B2467" s="15" t="s">
        <v>14933</v>
      </c>
      <c r="C2467" s="14" t="s">
        <v>15661</v>
      </c>
      <c r="D2467" s="14" t="s">
        <v>15662</v>
      </c>
      <c r="E2467" s="16" t="s">
        <v>15663</v>
      </c>
      <c r="F2467" s="16" t="s">
        <v>15664</v>
      </c>
      <c r="G2467" s="25" t="s">
        <v>39</v>
      </c>
      <c r="H2467" s="18" t="n">
        <v>5</v>
      </c>
      <c r="I2467" s="20" t="n">
        <v>303.03</v>
      </c>
      <c r="J2467" s="20" t="n">
        <v>410.8</v>
      </c>
      <c r="K2467" s="18" t="n">
        <v>5</v>
      </c>
      <c r="L2467" s="18" t="n">
        <v>5</v>
      </c>
      <c r="M2467" s="18" t="n">
        <v>170</v>
      </c>
      <c r="N2467" s="18" t="n">
        <v>23</v>
      </c>
      <c r="O2467" s="14" t="s">
        <v>1088</v>
      </c>
      <c r="P2467" s="14" t="s">
        <v>15665</v>
      </c>
      <c r="Q2467" s="15" t="s">
        <v>1089</v>
      </c>
      <c r="R2467" s="16" t="s">
        <v>15666</v>
      </c>
      <c r="S2467" s="15" t="s">
        <v>15667</v>
      </c>
      <c r="T2467" s="15" t="s">
        <v>15668</v>
      </c>
      <c r="U2467" s="21" t="s">
        <v>72</v>
      </c>
    </row>
    <row r="2468" customFormat="false" ht="15" hidden="false" customHeight="false" outlineLevel="0" collapsed="false">
      <c r="A2468" s="15" t="s">
        <v>14933</v>
      </c>
      <c r="B2468" s="15" t="s">
        <v>14933</v>
      </c>
      <c r="C2468" s="14" t="s">
        <v>15669</v>
      </c>
      <c r="D2468" s="14" t="s">
        <v>15670</v>
      </c>
      <c r="E2468" s="16" t="s">
        <v>15671</v>
      </c>
      <c r="F2468" s="16" t="s">
        <v>15672</v>
      </c>
      <c r="G2468" s="19" t="s">
        <v>41</v>
      </c>
      <c r="H2468" s="18" t="n">
        <v>5</v>
      </c>
      <c r="I2468" s="20" t="n">
        <v>324.33</v>
      </c>
      <c r="J2468" s="20" t="n">
        <v>361.62</v>
      </c>
      <c r="K2468" s="18" t="n">
        <v>11</v>
      </c>
      <c r="L2468" s="18" t="n">
        <v>17</v>
      </c>
      <c r="M2468" s="18" t="n">
        <v>367</v>
      </c>
      <c r="N2468" s="18" t="n">
        <v>56</v>
      </c>
      <c r="O2468" s="14" t="s">
        <v>1088</v>
      </c>
      <c r="P2468" s="14" t="s">
        <v>202</v>
      </c>
      <c r="Q2468" s="15" t="s">
        <v>1089</v>
      </c>
      <c r="R2468" s="16" t="s">
        <v>15673</v>
      </c>
      <c r="S2468" s="15" t="s">
        <v>15674</v>
      </c>
      <c r="T2468" s="15" t="s">
        <v>15675</v>
      </c>
      <c r="U2468" s="21" t="s">
        <v>72</v>
      </c>
    </row>
    <row r="2469" customFormat="false" ht="15" hidden="false" customHeight="false" outlineLevel="0" collapsed="false">
      <c r="A2469" s="15" t="s">
        <v>14933</v>
      </c>
      <c r="B2469" s="15" t="s">
        <v>14933</v>
      </c>
      <c r="C2469" s="14" t="s">
        <v>15676</v>
      </c>
      <c r="D2469" s="14" t="s">
        <v>15677</v>
      </c>
      <c r="E2469" s="16" t="s">
        <v>15678</v>
      </c>
      <c r="F2469" s="16" t="s">
        <v>15679</v>
      </c>
      <c r="G2469" s="25" t="s">
        <v>39</v>
      </c>
      <c r="H2469" s="18" t="n">
        <v>6</v>
      </c>
      <c r="I2469" s="20" t="n">
        <v>641.53</v>
      </c>
      <c r="J2469" s="20" t="n">
        <v>1314.49</v>
      </c>
      <c r="K2469" s="18" t="n">
        <v>16</v>
      </c>
      <c r="L2469" s="18" t="n">
        <v>8</v>
      </c>
      <c r="M2469" s="18" t="n">
        <v>460</v>
      </c>
      <c r="N2469" s="18" t="n">
        <v>50</v>
      </c>
      <c r="O2469" s="14" t="s">
        <v>1088</v>
      </c>
      <c r="P2469" s="14" t="s">
        <v>84</v>
      </c>
      <c r="Q2469" s="15" t="s">
        <v>1089</v>
      </c>
      <c r="R2469" s="16" t="s">
        <v>15680</v>
      </c>
      <c r="S2469" s="15" t="s">
        <v>15681</v>
      </c>
      <c r="T2469" s="15" t="s">
        <v>15682</v>
      </c>
      <c r="U2469" s="21" t="s">
        <v>72</v>
      </c>
    </row>
    <row r="2470" customFormat="false" ht="39.55" hidden="false" customHeight="false" outlineLevel="0" collapsed="false">
      <c r="A2470" s="15" t="s">
        <v>14933</v>
      </c>
      <c r="B2470" s="15" t="s">
        <v>14933</v>
      </c>
      <c r="C2470" s="14" t="s">
        <v>15683</v>
      </c>
      <c r="D2470" s="14" t="s">
        <v>15684</v>
      </c>
      <c r="E2470" s="16" t="s">
        <v>15685</v>
      </c>
      <c r="F2470" s="16" t="s">
        <v>15686</v>
      </c>
      <c r="G2470" s="19" t="s">
        <v>41</v>
      </c>
      <c r="H2470" s="18" t="n">
        <v>4</v>
      </c>
      <c r="I2470" s="20" t="n">
        <v>141.9</v>
      </c>
      <c r="J2470" s="20" t="n">
        <v>304.071</v>
      </c>
      <c r="K2470" s="18" t="n">
        <v>41</v>
      </c>
      <c r="L2470" s="18" t="n">
        <v>10</v>
      </c>
      <c r="M2470" s="18" t="n">
        <v>694</v>
      </c>
      <c r="N2470" s="18" t="n">
        <v>100</v>
      </c>
      <c r="O2470" s="14" t="s">
        <v>15687</v>
      </c>
      <c r="P2470" s="14" t="s">
        <v>15688</v>
      </c>
      <c r="Q2470" s="15" t="s">
        <v>1089</v>
      </c>
      <c r="R2470" s="16" t="s">
        <v>15689</v>
      </c>
      <c r="S2470" s="15" t="s">
        <v>15690</v>
      </c>
      <c r="T2470" s="15" t="s">
        <v>10890</v>
      </c>
      <c r="U2470" s="21" t="s">
        <v>72</v>
      </c>
    </row>
    <row r="2471" customFormat="false" ht="15" hidden="false" customHeight="false" outlineLevel="0" collapsed="false">
      <c r="A2471" s="15" t="s">
        <v>14933</v>
      </c>
      <c r="B2471" s="15" t="s">
        <v>14933</v>
      </c>
      <c r="C2471" s="14" t="s">
        <v>15691</v>
      </c>
      <c r="D2471" s="14" t="s">
        <v>15692</v>
      </c>
      <c r="E2471" s="16" t="s">
        <v>15685</v>
      </c>
      <c r="F2471" s="16" t="s">
        <v>15686</v>
      </c>
      <c r="G2471" s="25" t="s">
        <v>39</v>
      </c>
      <c r="H2471" s="18" t="n">
        <v>6</v>
      </c>
      <c r="I2471" s="20" t="n">
        <v>361.48</v>
      </c>
      <c r="J2471" s="20" t="n">
        <v>1195.84</v>
      </c>
      <c r="K2471" s="18" t="n">
        <v>6</v>
      </c>
      <c r="L2471" s="18" t="n">
        <v>5</v>
      </c>
      <c r="M2471" s="18" t="n">
        <v>199</v>
      </c>
      <c r="N2471" s="18" t="n">
        <v>27</v>
      </c>
      <c r="O2471" s="14" t="s">
        <v>15693</v>
      </c>
      <c r="P2471" s="14" t="s">
        <v>84</v>
      </c>
      <c r="Q2471" s="15" t="s">
        <v>1089</v>
      </c>
      <c r="R2471" s="16" t="s">
        <v>14988</v>
      </c>
      <c r="S2471" s="15" t="s">
        <v>15690</v>
      </c>
      <c r="T2471" s="15" t="s">
        <v>15694</v>
      </c>
      <c r="U2471" s="21" t="s">
        <v>72</v>
      </c>
    </row>
    <row r="2472" customFormat="false" ht="26.85" hidden="false" customHeight="false" outlineLevel="0" collapsed="false">
      <c r="A2472" s="15" t="s">
        <v>14933</v>
      </c>
      <c r="B2472" s="15" t="s">
        <v>14933</v>
      </c>
      <c r="C2472" s="14" t="s">
        <v>15695</v>
      </c>
      <c r="D2472" s="14" t="s">
        <v>15696</v>
      </c>
      <c r="E2472" s="16" t="s">
        <v>15697</v>
      </c>
      <c r="F2472" s="16" t="s">
        <v>15698</v>
      </c>
      <c r="G2472" s="25" t="s">
        <v>39</v>
      </c>
      <c r="H2472" s="18" t="n">
        <v>10</v>
      </c>
      <c r="I2472" s="20" t="n">
        <v>344.47</v>
      </c>
      <c r="J2472" s="20" t="n">
        <v>788.52</v>
      </c>
      <c r="K2472" s="18" t="n">
        <v>10</v>
      </c>
      <c r="L2472" s="18" t="n">
        <v>6</v>
      </c>
      <c r="M2472" s="18" t="n">
        <v>240</v>
      </c>
      <c r="N2472" s="18" t="n">
        <v>216</v>
      </c>
      <c r="O2472" s="14" t="s">
        <v>15699</v>
      </c>
      <c r="P2472" s="14" t="s">
        <v>15700</v>
      </c>
      <c r="Q2472" s="15" t="s">
        <v>1089</v>
      </c>
      <c r="R2472" s="16" t="s">
        <v>7284</v>
      </c>
      <c r="S2472" s="15" t="s">
        <v>15701</v>
      </c>
      <c r="T2472" s="15" t="s">
        <v>15702</v>
      </c>
      <c r="U2472" s="21" t="s">
        <v>72</v>
      </c>
    </row>
    <row r="2473" customFormat="false" ht="15" hidden="false" customHeight="false" outlineLevel="0" collapsed="false">
      <c r="A2473" s="15" t="s">
        <v>14933</v>
      </c>
      <c r="B2473" s="15" t="s">
        <v>14933</v>
      </c>
      <c r="C2473" s="14" t="s">
        <v>15703</v>
      </c>
      <c r="D2473" s="14" t="s">
        <v>15704</v>
      </c>
      <c r="E2473" s="16" t="s">
        <v>15705</v>
      </c>
      <c r="F2473" s="16" t="s">
        <v>1595</v>
      </c>
      <c r="G2473" s="19" t="s">
        <v>41</v>
      </c>
      <c r="H2473" s="18" t="n">
        <v>2</v>
      </c>
      <c r="I2473" s="20" t="n">
        <v>111.38</v>
      </c>
      <c r="J2473" s="20" t="n">
        <v>261.696</v>
      </c>
      <c r="K2473" s="18" t="n">
        <v>6</v>
      </c>
      <c r="L2473" s="18" t="n">
        <v>2</v>
      </c>
      <c r="M2473" s="18" t="n">
        <v>276</v>
      </c>
      <c r="N2473" s="18" t="n">
        <v>276</v>
      </c>
      <c r="O2473" s="14" t="s">
        <v>1088</v>
      </c>
      <c r="P2473" s="14" t="s">
        <v>84</v>
      </c>
      <c r="Q2473" s="15" t="s">
        <v>1089</v>
      </c>
      <c r="R2473" s="16" t="s">
        <v>5445</v>
      </c>
      <c r="S2473" s="15" t="s">
        <v>1597</v>
      </c>
      <c r="T2473" s="15" t="s">
        <v>15706</v>
      </c>
      <c r="U2473" s="21" t="s">
        <v>72</v>
      </c>
    </row>
    <row r="2474" customFormat="false" ht="26.85" hidden="false" customHeight="false" outlineLevel="0" collapsed="false">
      <c r="A2474" s="15" t="s">
        <v>14933</v>
      </c>
      <c r="B2474" s="15" t="s">
        <v>14933</v>
      </c>
      <c r="C2474" s="14" t="s">
        <v>15707</v>
      </c>
      <c r="D2474" s="14" t="s">
        <v>15708</v>
      </c>
      <c r="E2474" s="16" t="s">
        <v>15709</v>
      </c>
      <c r="F2474" s="16" t="s">
        <v>15710</v>
      </c>
      <c r="G2474" s="23" t="s">
        <v>43</v>
      </c>
      <c r="H2474" s="18" t="n">
        <v>1</v>
      </c>
      <c r="I2474" s="20" t="n">
        <v>89.99</v>
      </c>
      <c r="J2474" s="20" t="n">
        <v>153.77</v>
      </c>
      <c r="K2474" s="18" t="n">
        <v>3</v>
      </c>
      <c r="L2474" s="18" t="n">
        <v>9</v>
      </c>
      <c r="M2474" s="18" t="n">
        <v>180</v>
      </c>
      <c r="N2474" s="18" t="n">
        <v>180</v>
      </c>
      <c r="O2474" s="14" t="s">
        <v>15711</v>
      </c>
      <c r="P2474" s="14" t="s">
        <v>84</v>
      </c>
      <c r="Q2474" s="15" t="s">
        <v>1089</v>
      </c>
      <c r="R2474" s="16" t="s">
        <v>12556</v>
      </c>
      <c r="S2474" s="15" t="s">
        <v>15712</v>
      </c>
      <c r="T2474" s="15" t="s">
        <v>15713</v>
      </c>
      <c r="U2474" s="21" t="s">
        <v>72</v>
      </c>
    </row>
    <row r="2475" customFormat="false" ht="26.85" hidden="false" customHeight="false" outlineLevel="0" collapsed="false">
      <c r="A2475" s="15" t="s">
        <v>14933</v>
      </c>
      <c r="B2475" s="15" t="s">
        <v>14933</v>
      </c>
      <c r="C2475" s="14" t="s">
        <v>15714</v>
      </c>
      <c r="D2475" s="14" t="s">
        <v>15715</v>
      </c>
      <c r="E2475" s="16" t="s">
        <v>15716</v>
      </c>
      <c r="F2475" s="16" t="s">
        <v>15717</v>
      </c>
      <c r="G2475" s="25" t="s">
        <v>39</v>
      </c>
      <c r="H2475" s="18" t="n">
        <v>19</v>
      </c>
      <c r="I2475" s="20" t="n">
        <v>891.87</v>
      </c>
      <c r="J2475" s="20" t="n">
        <v>1051.88</v>
      </c>
      <c r="K2475" s="18" t="n">
        <v>33</v>
      </c>
      <c r="L2475" s="18" t="n">
        <v>36</v>
      </c>
      <c r="M2475" s="18" t="n">
        <v>1078</v>
      </c>
      <c r="N2475" s="18" t="n">
        <v>741</v>
      </c>
      <c r="O2475" s="14" t="s">
        <v>15718</v>
      </c>
      <c r="P2475" s="14" t="s">
        <v>872</v>
      </c>
      <c r="Q2475" s="15" t="s">
        <v>1089</v>
      </c>
      <c r="R2475" s="16" t="s">
        <v>15719</v>
      </c>
      <c r="S2475" s="15" t="s">
        <v>15720</v>
      </c>
      <c r="T2475" s="15" t="s">
        <v>15721</v>
      </c>
      <c r="U2475" s="21" t="s">
        <v>72</v>
      </c>
    </row>
    <row r="2476" customFormat="false" ht="26.85" hidden="false" customHeight="false" outlineLevel="0" collapsed="false">
      <c r="A2476" s="15" t="s">
        <v>14933</v>
      </c>
      <c r="B2476" s="15" t="s">
        <v>14933</v>
      </c>
      <c r="C2476" s="14" t="s">
        <v>15722</v>
      </c>
      <c r="D2476" s="14" t="s">
        <v>15723</v>
      </c>
      <c r="E2476" s="16" t="s">
        <v>15724</v>
      </c>
      <c r="F2476" s="16" t="s">
        <v>15725</v>
      </c>
      <c r="G2476" s="19" t="s">
        <v>41</v>
      </c>
      <c r="H2476" s="18" t="n">
        <v>4</v>
      </c>
      <c r="I2476" s="20" t="n">
        <v>167.26</v>
      </c>
      <c r="J2476" s="20" t="n">
        <v>383.45</v>
      </c>
      <c r="K2476" s="18" t="n">
        <v>17</v>
      </c>
      <c r="L2476" s="18" t="n">
        <v>23</v>
      </c>
      <c r="M2476" s="18" t="n">
        <v>595</v>
      </c>
      <c r="N2476" s="18" t="n">
        <v>490</v>
      </c>
      <c r="O2476" s="14" t="s">
        <v>15726</v>
      </c>
      <c r="P2476" s="14" t="s">
        <v>84</v>
      </c>
      <c r="Q2476" s="15" t="s">
        <v>1089</v>
      </c>
      <c r="R2476" s="16" t="s">
        <v>4421</v>
      </c>
      <c r="S2476" s="15" t="s">
        <v>15720</v>
      </c>
      <c r="T2476" s="15" t="s">
        <v>15727</v>
      </c>
      <c r="U2476" s="21" t="s">
        <v>72</v>
      </c>
    </row>
    <row r="2477" customFormat="false" ht="26.85" hidden="false" customHeight="false" outlineLevel="0" collapsed="false">
      <c r="A2477" s="15" t="s">
        <v>14933</v>
      </c>
      <c r="B2477" s="15" t="s">
        <v>14933</v>
      </c>
      <c r="C2477" s="14" t="s">
        <v>15728</v>
      </c>
      <c r="D2477" s="14" t="s">
        <v>15729</v>
      </c>
      <c r="E2477" s="16" t="s">
        <v>15730</v>
      </c>
      <c r="F2477" s="16" t="s">
        <v>15731</v>
      </c>
      <c r="G2477" s="19" t="s">
        <v>41</v>
      </c>
      <c r="H2477" s="18" t="n">
        <v>6</v>
      </c>
      <c r="I2477" s="20" t="n">
        <v>227.16</v>
      </c>
      <c r="J2477" s="20" t="n">
        <v>399</v>
      </c>
      <c r="K2477" s="18" t="n">
        <v>8</v>
      </c>
      <c r="L2477" s="18" t="n">
        <v>12</v>
      </c>
      <c r="M2477" s="18" t="n">
        <v>222</v>
      </c>
      <c r="N2477" s="18" t="n">
        <v>155</v>
      </c>
      <c r="O2477" s="14" t="s">
        <v>15732</v>
      </c>
      <c r="P2477" s="14" t="s">
        <v>352</v>
      </c>
      <c r="Q2477" s="15" t="s">
        <v>1089</v>
      </c>
      <c r="R2477" s="16" t="s">
        <v>15733</v>
      </c>
      <c r="S2477" s="15" t="s">
        <v>15734</v>
      </c>
      <c r="T2477" s="15" t="s">
        <v>15735</v>
      </c>
      <c r="U2477" s="21" t="s">
        <v>72</v>
      </c>
    </row>
    <row r="2478" customFormat="false" ht="26.85" hidden="false" customHeight="false" outlineLevel="0" collapsed="false">
      <c r="A2478" s="15" t="s">
        <v>14933</v>
      </c>
      <c r="B2478" s="15" t="s">
        <v>14933</v>
      </c>
      <c r="C2478" s="14" t="s">
        <v>15736</v>
      </c>
      <c r="D2478" s="14" t="s">
        <v>15737</v>
      </c>
      <c r="E2478" s="16" t="s">
        <v>15730</v>
      </c>
      <c r="F2478" s="16" t="s">
        <v>15731</v>
      </c>
      <c r="G2478" s="25" t="s">
        <v>39</v>
      </c>
      <c r="H2478" s="18" t="n">
        <v>6</v>
      </c>
      <c r="I2478" s="20" t="n">
        <v>239.26</v>
      </c>
      <c r="J2478" s="20" t="n">
        <v>427.88</v>
      </c>
      <c r="K2478" s="18" t="n">
        <v>8</v>
      </c>
      <c r="L2478" s="18" t="n">
        <v>23</v>
      </c>
      <c r="M2478" s="18" t="n">
        <v>226</v>
      </c>
      <c r="N2478" s="18" t="n">
        <v>164</v>
      </c>
      <c r="O2478" s="14" t="s">
        <v>15738</v>
      </c>
      <c r="P2478" s="14" t="s">
        <v>12949</v>
      </c>
      <c r="Q2478" s="15" t="s">
        <v>1089</v>
      </c>
      <c r="R2478" s="16" t="s">
        <v>363</v>
      </c>
      <c r="S2478" s="15" t="s">
        <v>15739</v>
      </c>
      <c r="T2478" s="15" t="s">
        <v>15740</v>
      </c>
      <c r="U2478" s="21" t="s">
        <v>72</v>
      </c>
    </row>
    <row r="2479" customFormat="false" ht="26.85" hidden="false" customHeight="false" outlineLevel="0" collapsed="false">
      <c r="A2479" s="15" t="s">
        <v>14933</v>
      </c>
      <c r="B2479" s="15" t="s">
        <v>14933</v>
      </c>
      <c r="C2479" s="14" t="s">
        <v>15741</v>
      </c>
      <c r="D2479" s="14" t="s">
        <v>15742</v>
      </c>
      <c r="E2479" s="16" t="s">
        <v>15743</v>
      </c>
      <c r="F2479" s="16" t="s">
        <v>1387</v>
      </c>
      <c r="G2479" s="25" t="s">
        <v>39</v>
      </c>
      <c r="H2479" s="18" t="n">
        <v>10</v>
      </c>
      <c r="I2479" s="20" t="n">
        <v>498.71</v>
      </c>
      <c r="J2479" s="20" t="n">
        <v>544.99</v>
      </c>
      <c r="K2479" s="18" t="n">
        <v>12</v>
      </c>
      <c r="L2479" s="18" t="n">
        <v>13</v>
      </c>
      <c r="M2479" s="18" t="n">
        <v>479</v>
      </c>
      <c r="N2479" s="18" t="n">
        <v>240</v>
      </c>
      <c r="O2479" s="14" t="s">
        <v>1126</v>
      </c>
      <c r="P2479" s="14" t="s">
        <v>84</v>
      </c>
      <c r="Q2479" s="15" t="s">
        <v>1089</v>
      </c>
      <c r="R2479" s="16" t="s">
        <v>15744</v>
      </c>
      <c r="S2479" s="15" t="s">
        <v>15745</v>
      </c>
      <c r="T2479" s="15" t="s">
        <v>15746</v>
      </c>
      <c r="U2479" s="21" t="s">
        <v>72</v>
      </c>
    </row>
    <row r="2480" customFormat="false" ht="77.6" hidden="false" customHeight="false" outlineLevel="0" collapsed="false">
      <c r="A2480" s="15" t="s">
        <v>14933</v>
      </c>
      <c r="B2480" s="15" t="s">
        <v>14933</v>
      </c>
      <c r="C2480" s="14" t="s">
        <v>15747</v>
      </c>
      <c r="D2480" s="14" t="s">
        <v>15748</v>
      </c>
      <c r="E2480" s="16" t="s">
        <v>15749</v>
      </c>
      <c r="F2480" s="16" t="s">
        <v>1387</v>
      </c>
      <c r="G2480" s="25" t="s">
        <v>39</v>
      </c>
      <c r="H2480" s="18" t="n">
        <v>11</v>
      </c>
      <c r="I2480" s="20" t="n">
        <v>423.24</v>
      </c>
      <c r="J2480" s="20"/>
      <c r="K2480" s="18" t="n">
        <v>36</v>
      </c>
      <c r="L2480" s="18" t="n">
        <v>16</v>
      </c>
      <c r="M2480" s="18" t="n">
        <v>1155</v>
      </c>
      <c r="N2480" s="18" t="n">
        <v>642</v>
      </c>
      <c r="O2480" s="14" t="s">
        <v>15750</v>
      </c>
      <c r="P2480" s="14" t="s">
        <v>84</v>
      </c>
      <c r="Q2480" s="15" t="s">
        <v>1089</v>
      </c>
      <c r="R2480" s="16" t="s">
        <v>15751</v>
      </c>
      <c r="S2480" s="15" t="s">
        <v>15752</v>
      </c>
      <c r="T2480" s="15" t="s">
        <v>15753</v>
      </c>
      <c r="U2480" s="21" t="s">
        <v>72</v>
      </c>
    </row>
    <row r="2481" customFormat="false" ht="26.85" hidden="false" customHeight="false" outlineLevel="0" collapsed="false">
      <c r="A2481" s="15" t="s">
        <v>14933</v>
      </c>
      <c r="B2481" s="15" t="s">
        <v>14933</v>
      </c>
      <c r="C2481" s="14" t="s">
        <v>15754</v>
      </c>
      <c r="D2481" s="14" t="s">
        <v>15755</v>
      </c>
      <c r="E2481" s="16" t="s">
        <v>15756</v>
      </c>
      <c r="F2481" s="16" t="s">
        <v>15757</v>
      </c>
      <c r="G2481" s="25" t="s">
        <v>39</v>
      </c>
      <c r="H2481" s="18" t="n">
        <v>6</v>
      </c>
      <c r="I2481" s="20" t="n">
        <v>317.25</v>
      </c>
      <c r="J2481" s="20" t="n">
        <v>498.46</v>
      </c>
      <c r="K2481" s="18" t="n">
        <v>18</v>
      </c>
      <c r="L2481" s="18" t="n">
        <v>8</v>
      </c>
      <c r="M2481" s="18" t="n">
        <v>783</v>
      </c>
      <c r="N2481" s="18" t="n">
        <v>654</v>
      </c>
      <c r="O2481" s="14" t="s">
        <v>15758</v>
      </c>
      <c r="P2481" s="14" t="s">
        <v>84</v>
      </c>
      <c r="Q2481" s="15" t="s">
        <v>1089</v>
      </c>
      <c r="R2481" s="16" t="s">
        <v>15759</v>
      </c>
      <c r="S2481" s="15" t="s">
        <v>15760</v>
      </c>
      <c r="T2481" s="15" t="s">
        <v>15761</v>
      </c>
      <c r="U2481" s="21" t="s">
        <v>72</v>
      </c>
    </row>
    <row r="2482" customFormat="false" ht="26.85" hidden="false" customHeight="false" outlineLevel="0" collapsed="false">
      <c r="A2482" s="15" t="s">
        <v>14933</v>
      </c>
      <c r="B2482" s="15" t="s">
        <v>14933</v>
      </c>
      <c r="C2482" s="14" t="s">
        <v>15762</v>
      </c>
      <c r="D2482" s="14" t="s">
        <v>15763</v>
      </c>
      <c r="E2482" s="16" t="s">
        <v>15764</v>
      </c>
      <c r="F2482" s="16" t="s">
        <v>15765</v>
      </c>
      <c r="G2482" s="25" t="s">
        <v>39</v>
      </c>
      <c r="H2482" s="18" t="n">
        <v>5</v>
      </c>
      <c r="I2482" s="20" t="n">
        <v>288.58</v>
      </c>
      <c r="J2482" s="20" t="n">
        <v>499.66</v>
      </c>
      <c r="K2482" s="18" t="n">
        <v>20</v>
      </c>
      <c r="L2482" s="18" t="n">
        <v>18</v>
      </c>
      <c r="M2482" s="18" t="n">
        <v>900</v>
      </c>
      <c r="N2482" s="18" t="n">
        <v>900</v>
      </c>
      <c r="O2482" s="14" t="s">
        <v>1126</v>
      </c>
      <c r="P2482" s="14" t="s">
        <v>84</v>
      </c>
      <c r="Q2482" s="15" t="s">
        <v>1089</v>
      </c>
      <c r="R2482" s="16" t="s">
        <v>9654</v>
      </c>
      <c r="S2482" s="15" t="s">
        <v>15760</v>
      </c>
      <c r="T2482" s="15" t="s">
        <v>15766</v>
      </c>
      <c r="U2482" s="21" t="s">
        <v>72</v>
      </c>
    </row>
    <row r="2483" customFormat="false" ht="15" hidden="false" customHeight="false" outlineLevel="0" collapsed="false">
      <c r="A2483" s="15" t="s">
        <v>14933</v>
      </c>
      <c r="B2483" s="15" t="s">
        <v>14933</v>
      </c>
      <c r="C2483" s="14" t="s">
        <v>15767</v>
      </c>
      <c r="D2483" s="14" t="s">
        <v>15768</v>
      </c>
      <c r="E2483" s="16" t="s">
        <v>15769</v>
      </c>
      <c r="F2483" s="16" t="s">
        <v>15770</v>
      </c>
      <c r="G2483" s="25" t="s">
        <v>39</v>
      </c>
      <c r="H2483" s="18" t="n">
        <v>4</v>
      </c>
      <c r="I2483" s="20" t="n">
        <v>204.01</v>
      </c>
      <c r="J2483" s="20" t="n">
        <v>550</v>
      </c>
      <c r="K2483" s="18" t="n">
        <v>12</v>
      </c>
      <c r="L2483" s="18" t="n">
        <v>20</v>
      </c>
      <c r="M2483" s="18" t="n">
        <v>360</v>
      </c>
      <c r="N2483" s="18" t="n">
        <v>360</v>
      </c>
      <c r="O2483" s="14" t="s">
        <v>1126</v>
      </c>
      <c r="P2483" s="14" t="s">
        <v>84</v>
      </c>
      <c r="Q2483" s="15" t="s">
        <v>1089</v>
      </c>
      <c r="R2483" s="16" t="s">
        <v>15771</v>
      </c>
      <c r="S2483" s="15" t="s">
        <v>15772</v>
      </c>
      <c r="T2483" s="15" t="s">
        <v>15773</v>
      </c>
      <c r="U2483" s="21" t="s">
        <v>72</v>
      </c>
    </row>
    <row r="2484" customFormat="false" ht="15" hidden="false" customHeight="false" outlineLevel="0" collapsed="false">
      <c r="A2484" s="15" t="s">
        <v>14933</v>
      </c>
      <c r="B2484" s="15" t="s">
        <v>14933</v>
      </c>
      <c r="C2484" s="14" t="s">
        <v>15774</v>
      </c>
      <c r="D2484" s="14" t="s">
        <v>15775</v>
      </c>
      <c r="E2484" s="16" t="s">
        <v>15776</v>
      </c>
      <c r="F2484" s="16" t="s">
        <v>15777</v>
      </c>
      <c r="G2484" s="19" t="s">
        <v>41</v>
      </c>
      <c r="H2484" s="18" t="n">
        <v>3</v>
      </c>
      <c r="I2484" s="20" t="n">
        <v>79.55</v>
      </c>
      <c r="J2484" s="20" t="n">
        <v>276.48</v>
      </c>
      <c r="K2484" s="18" t="n">
        <v>5</v>
      </c>
      <c r="L2484" s="18" t="n">
        <v>22</v>
      </c>
      <c r="M2484" s="18" t="n">
        <v>114</v>
      </c>
      <c r="N2484" s="18" t="n">
        <v>114</v>
      </c>
      <c r="O2484" s="14" t="s">
        <v>1126</v>
      </c>
      <c r="P2484" s="14" t="s">
        <v>84</v>
      </c>
      <c r="Q2484" s="15" t="s">
        <v>1089</v>
      </c>
      <c r="R2484" s="16" t="s">
        <v>15778</v>
      </c>
      <c r="S2484" s="15" t="s">
        <v>1348</v>
      </c>
      <c r="T2484" s="15" t="s">
        <v>15779</v>
      </c>
      <c r="U2484" s="21" t="s">
        <v>72</v>
      </c>
    </row>
    <row r="2485" customFormat="false" ht="26.85" hidden="false" customHeight="false" outlineLevel="0" collapsed="false">
      <c r="A2485" s="15" t="s">
        <v>14933</v>
      </c>
      <c r="B2485" s="15" t="s">
        <v>14933</v>
      </c>
      <c r="C2485" s="14" t="s">
        <v>15780</v>
      </c>
      <c r="D2485" s="14" t="s">
        <v>15781</v>
      </c>
      <c r="E2485" s="16" t="s">
        <v>15782</v>
      </c>
      <c r="F2485" s="16" t="s">
        <v>15783</v>
      </c>
      <c r="G2485" s="25" t="s">
        <v>39</v>
      </c>
      <c r="H2485" s="18" t="n">
        <v>7</v>
      </c>
      <c r="I2485" s="20" t="n">
        <v>244.22</v>
      </c>
      <c r="J2485" s="20" t="n">
        <v>484.81</v>
      </c>
      <c r="K2485" s="18" t="n">
        <v>13</v>
      </c>
      <c r="L2485" s="18" t="n">
        <v>51</v>
      </c>
      <c r="M2485" s="18" t="n">
        <v>366</v>
      </c>
      <c r="N2485" s="18" t="n">
        <v>366</v>
      </c>
      <c r="O2485" s="14" t="s">
        <v>15784</v>
      </c>
      <c r="P2485" s="14" t="s">
        <v>84</v>
      </c>
      <c r="Q2485" s="15" t="s">
        <v>1089</v>
      </c>
      <c r="R2485" s="16" t="s">
        <v>15785</v>
      </c>
      <c r="S2485" s="15" t="s">
        <v>1348</v>
      </c>
      <c r="T2485" s="15" t="s">
        <v>15786</v>
      </c>
      <c r="U2485" s="21" t="s">
        <v>72</v>
      </c>
    </row>
    <row r="2486" customFormat="false" ht="52.2" hidden="false" customHeight="false" outlineLevel="0" collapsed="false">
      <c r="A2486" s="15" t="s">
        <v>14933</v>
      </c>
      <c r="B2486" s="15" t="s">
        <v>14933</v>
      </c>
      <c r="C2486" s="14" t="s">
        <v>15787</v>
      </c>
      <c r="D2486" s="14" t="s">
        <v>15788</v>
      </c>
      <c r="E2486" s="16" t="s">
        <v>15789</v>
      </c>
      <c r="F2486" s="16" t="s">
        <v>15790</v>
      </c>
      <c r="G2486" s="25" t="s">
        <v>39</v>
      </c>
      <c r="H2486" s="18" t="n">
        <v>13</v>
      </c>
      <c r="I2486" s="20" t="n">
        <v>676.9</v>
      </c>
      <c r="J2486" s="20" t="n">
        <v>2059.72</v>
      </c>
      <c r="K2486" s="18" t="n">
        <v>15</v>
      </c>
      <c r="L2486" s="18" t="n">
        <v>2</v>
      </c>
      <c r="M2486" s="18" t="n">
        <v>597</v>
      </c>
      <c r="N2486" s="18" t="n">
        <v>484</v>
      </c>
      <c r="O2486" s="14" t="s">
        <v>15791</v>
      </c>
      <c r="P2486" s="14" t="s">
        <v>84</v>
      </c>
      <c r="Q2486" s="15" t="s">
        <v>1089</v>
      </c>
      <c r="R2486" s="16" t="s">
        <v>8444</v>
      </c>
      <c r="S2486" s="15" t="s">
        <v>15792</v>
      </c>
      <c r="T2486" s="15" t="s">
        <v>15793</v>
      </c>
      <c r="U2486" s="21" t="s">
        <v>72</v>
      </c>
    </row>
    <row r="2487" customFormat="false" ht="15" hidden="false" customHeight="false" outlineLevel="0" collapsed="false">
      <c r="A2487" s="15" t="s">
        <v>14933</v>
      </c>
      <c r="B2487" s="15" t="s">
        <v>14933</v>
      </c>
      <c r="C2487" s="14" t="s">
        <v>15794</v>
      </c>
      <c r="D2487" s="14" t="s">
        <v>15795</v>
      </c>
      <c r="E2487" s="16" t="s">
        <v>15796</v>
      </c>
      <c r="F2487" s="16" t="s">
        <v>15797</v>
      </c>
      <c r="G2487" s="23" t="s">
        <v>43</v>
      </c>
      <c r="H2487" s="18" t="n">
        <v>2</v>
      </c>
      <c r="I2487" s="20" t="n">
        <v>43.152</v>
      </c>
      <c r="J2487" s="20" t="n">
        <v>117.45</v>
      </c>
      <c r="K2487" s="18" t="n">
        <v>6</v>
      </c>
      <c r="L2487" s="18" t="n">
        <v>2</v>
      </c>
      <c r="M2487" s="18" t="n">
        <v>102</v>
      </c>
      <c r="N2487" s="18" t="n">
        <v>68</v>
      </c>
      <c r="O2487" s="14" t="s">
        <v>15798</v>
      </c>
      <c r="P2487" s="14" t="s">
        <v>118</v>
      </c>
      <c r="Q2487" s="15" t="s">
        <v>1089</v>
      </c>
      <c r="R2487" s="16" t="s">
        <v>15799</v>
      </c>
      <c r="S2487" s="15" t="s">
        <v>15800</v>
      </c>
      <c r="T2487" s="15" t="s">
        <v>15801</v>
      </c>
      <c r="U2487" s="21" t="s">
        <v>72</v>
      </c>
    </row>
    <row r="2488" customFormat="false" ht="26.85" hidden="false" customHeight="false" outlineLevel="0" collapsed="false">
      <c r="A2488" s="15" t="s">
        <v>14933</v>
      </c>
      <c r="B2488" s="15" t="s">
        <v>14933</v>
      </c>
      <c r="C2488" s="14" t="s">
        <v>15802</v>
      </c>
      <c r="D2488" s="14" t="s">
        <v>15803</v>
      </c>
      <c r="E2488" s="16" t="s">
        <v>15804</v>
      </c>
      <c r="F2488" s="16" t="s">
        <v>9616</v>
      </c>
      <c r="G2488" s="25" t="s">
        <v>39</v>
      </c>
      <c r="H2488" s="18" t="n">
        <v>2</v>
      </c>
      <c r="I2488" s="20" t="n">
        <v>68.31</v>
      </c>
      <c r="J2488" s="20" t="n">
        <v>489.39</v>
      </c>
      <c r="K2488" s="18" t="n">
        <v>4</v>
      </c>
      <c r="L2488" s="18" t="n">
        <v>7</v>
      </c>
      <c r="M2488" s="18" t="n">
        <v>109</v>
      </c>
      <c r="N2488" s="18" t="n">
        <v>109</v>
      </c>
      <c r="O2488" s="14" t="s">
        <v>15805</v>
      </c>
      <c r="P2488" s="14" t="s">
        <v>84</v>
      </c>
      <c r="Q2488" s="15" t="s">
        <v>1089</v>
      </c>
      <c r="R2488" s="16" t="s">
        <v>15806</v>
      </c>
      <c r="S2488" s="15" t="s">
        <v>15807</v>
      </c>
      <c r="T2488" s="15" t="s">
        <v>9618</v>
      </c>
      <c r="U2488" s="21" t="s">
        <v>72</v>
      </c>
    </row>
    <row r="2489" customFormat="false" ht="15" hidden="false" customHeight="false" outlineLevel="0" collapsed="false">
      <c r="A2489" s="15" t="s">
        <v>14933</v>
      </c>
      <c r="B2489" s="15" t="s">
        <v>14933</v>
      </c>
      <c r="C2489" s="14" t="s">
        <v>15808</v>
      </c>
      <c r="D2489" s="14" t="s">
        <v>15809</v>
      </c>
      <c r="E2489" s="16" t="s">
        <v>15810</v>
      </c>
      <c r="F2489" s="16" t="s">
        <v>15811</v>
      </c>
      <c r="G2489" s="23" t="s">
        <v>43</v>
      </c>
      <c r="H2489" s="18" t="n">
        <v>1</v>
      </c>
      <c r="I2489" s="20" t="n">
        <v>30</v>
      </c>
      <c r="J2489" s="20" t="n">
        <v>70</v>
      </c>
      <c r="K2489" s="18" t="n">
        <v>5</v>
      </c>
      <c r="L2489" s="18" t="n">
        <v>3</v>
      </c>
      <c r="M2489" s="18" t="n">
        <v>105</v>
      </c>
      <c r="N2489" s="18" t="n">
        <v>105</v>
      </c>
      <c r="O2489" s="14" t="s">
        <v>1088</v>
      </c>
      <c r="P2489" s="14" t="s">
        <v>84</v>
      </c>
      <c r="Q2489" s="15" t="s">
        <v>1089</v>
      </c>
      <c r="R2489" s="16" t="s">
        <v>4698</v>
      </c>
      <c r="S2489" s="15" t="s">
        <v>15812</v>
      </c>
      <c r="T2489" s="15" t="s">
        <v>15813</v>
      </c>
      <c r="U2489" s="21" t="s">
        <v>72</v>
      </c>
    </row>
    <row r="2490" customFormat="false" ht="15" hidden="false" customHeight="false" outlineLevel="0" collapsed="false">
      <c r="A2490" s="15" t="s">
        <v>14933</v>
      </c>
      <c r="B2490" s="15" t="s">
        <v>14933</v>
      </c>
      <c r="C2490" s="14" t="s">
        <v>15814</v>
      </c>
      <c r="D2490" s="14" t="s">
        <v>15815</v>
      </c>
      <c r="E2490" s="16" t="s">
        <v>15816</v>
      </c>
      <c r="F2490" s="16" t="s">
        <v>15817</v>
      </c>
      <c r="G2490" s="19" t="s">
        <v>41</v>
      </c>
      <c r="H2490" s="18" t="n">
        <v>4</v>
      </c>
      <c r="I2490" s="20" t="n">
        <v>83.83</v>
      </c>
      <c r="J2490" s="20" t="n">
        <v>296</v>
      </c>
      <c r="K2490" s="18" t="n">
        <v>4</v>
      </c>
      <c r="L2490" s="18" t="n">
        <v>4</v>
      </c>
      <c r="M2490" s="18" t="n">
        <v>68</v>
      </c>
      <c r="N2490" s="18" t="n">
        <v>68</v>
      </c>
      <c r="O2490" s="14" t="s">
        <v>1097</v>
      </c>
      <c r="P2490" s="14" t="s">
        <v>84</v>
      </c>
      <c r="Q2490" s="15" t="s">
        <v>1089</v>
      </c>
      <c r="R2490" s="16" t="s">
        <v>15818</v>
      </c>
      <c r="S2490" s="15" t="s">
        <v>15819</v>
      </c>
      <c r="T2490" s="15" t="s">
        <v>15819</v>
      </c>
      <c r="U2490" s="21" t="s">
        <v>72</v>
      </c>
    </row>
    <row r="2491" customFormat="false" ht="15" hidden="false" customHeight="false" outlineLevel="0" collapsed="false">
      <c r="A2491" s="15" t="s">
        <v>14933</v>
      </c>
      <c r="B2491" s="15" t="s">
        <v>14933</v>
      </c>
      <c r="C2491" s="14" t="s">
        <v>15820</v>
      </c>
      <c r="D2491" s="14" t="s">
        <v>15821</v>
      </c>
      <c r="E2491" s="16" t="s">
        <v>15822</v>
      </c>
      <c r="F2491" s="16" t="s">
        <v>15823</v>
      </c>
      <c r="G2491" s="25" t="s">
        <v>39</v>
      </c>
      <c r="H2491" s="18" t="n">
        <v>8</v>
      </c>
      <c r="I2491" s="20" t="n">
        <v>154.42</v>
      </c>
      <c r="J2491" s="20" t="n">
        <v>367.45</v>
      </c>
      <c r="K2491" s="18" t="n">
        <v>10</v>
      </c>
      <c r="L2491" s="18" t="n">
        <v>2</v>
      </c>
      <c r="M2491" s="18" t="n">
        <v>154</v>
      </c>
      <c r="N2491" s="18" t="n">
        <v>154</v>
      </c>
      <c r="O2491" s="14" t="s">
        <v>1126</v>
      </c>
      <c r="P2491" s="14" t="s">
        <v>84</v>
      </c>
      <c r="Q2491" s="15" t="s">
        <v>1089</v>
      </c>
      <c r="R2491" s="16" t="s">
        <v>15824</v>
      </c>
      <c r="S2491" s="15" t="s">
        <v>15825</v>
      </c>
      <c r="T2491" s="15" t="s">
        <v>15825</v>
      </c>
      <c r="U2491" s="21" t="s">
        <v>72</v>
      </c>
    </row>
    <row r="2492" customFormat="false" ht="15" hidden="false" customHeight="false" outlineLevel="0" collapsed="false">
      <c r="A2492" s="15" t="s">
        <v>14933</v>
      </c>
      <c r="B2492" s="15" t="s">
        <v>14933</v>
      </c>
      <c r="C2492" s="14" t="s">
        <v>15826</v>
      </c>
      <c r="D2492" s="14" t="s">
        <v>15827</v>
      </c>
      <c r="E2492" s="16" t="s">
        <v>15828</v>
      </c>
      <c r="F2492" s="16" t="s">
        <v>15829</v>
      </c>
      <c r="G2492" s="19" t="s">
        <v>41</v>
      </c>
      <c r="H2492" s="18" t="n">
        <v>7</v>
      </c>
      <c r="I2492" s="20" t="n">
        <v>152.03</v>
      </c>
      <c r="J2492" s="20" t="n">
        <v>264.89</v>
      </c>
      <c r="K2492" s="18" t="n">
        <v>6</v>
      </c>
      <c r="L2492" s="18" t="n">
        <v>12</v>
      </c>
      <c r="M2492" s="18" t="n">
        <v>108</v>
      </c>
      <c r="N2492" s="18" t="n">
        <v>93</v>
      </c>
      <c r="O2492" s="14" t="s">
        <v>1126</v>
      </c>
      <c r="P2492" s="14" t="s">
        <v>118</v>
      </c>
      <c r="Q2492" s="15" t="s">
        <v>1089</v>
      </c>
      <c r="R2492" s="16" t="s">
        <v>15830</v>
      </c>
      <c r="S2492" s="15" t="s">
        <v>15831</v>
      </c>
      <c r="T2492" s="15" t="s">
        <v>15832</v>
      </c>
      <c r="U2492" s="21" t="s">
        <v>72</v>
      </c>
    </row>
    <row r="2493" customFormat="false" ht="26.85" hidden="false" customHeight="false" outlineLevel="0" collapsed="false">
      <c r="A2493" s="15" t="s">
        <v>14933</v>
      </c>
      <c r="B2493" s="15" t="s">
        <v>14933</v>
      </c>
      <c r="C2493" s="14" t="s">
        <v>15833</v>
      </c>
      <c r="D2493" s="14" t="s">
        <v>15834</v>
      </c>
      <c r="E2493" s="16"/>
      <c r="F2493" s="16" t="s">
        <v>15835</v>
      </c>
      <c r="G2493" s="19" t="s">
        <v>41</v>
      </c>
      <c r="H2493" s="18" t="n">
        <v>7</v>
      </c>
      <c r="I2493" s="20" t="n">
        <v>125.55</v>
      </c>
      <c r="J2493" s="20" t="n">
        <v>201.78</v>
      </c>
      <c r="K2493" s="18" t="n">
        <v>23</v>
      </c>
      <c r="L2493" s="18" t="n">
        <v>6</v>
      </c>
      <c r="M2493" s="18" t="n">
        <v>347</v>
      </c>
      <c r="N2493" s="18" t="n">
        <v>257</v>
      </c>
      <c r="O2493" s="14" t="s">
        <v>15836</v>
      </c>
      <c r="P2493" s="14" t="s">
        <v>84</v>
      </c>
      <c r="Q2493" s="15" t="s">
        <v>1089</v>
      </c>
      <c r="R2493" s="16" t="s">
        <v>15837</v>
      </c>
      <c r="S2493" s="15" t="s">
        <v>15838</v>
      </c>
      <c r="T2493" s="15" t="s">
        <v>15839</v>
      </c>
      <c r="U2493" s="21" t="s">
        <v>72</v>
      </c>
    </row>
    <row r="2494" customFormat="false" ht="15" hidden="false" customHeight="false" outlineLevel="0" collapsed="false">
      <c r="A2494" s="15" t="s">
        <v>14933</v>
      </c>
      <c r="B2494" s="15" t="s">
        <v>14933</v>
      </c>
      <c r="C2494" s="14" t="s">
        <v>15840</v>
      </c>
      <c r="D2494" s="14" t="s">
        <v>15841</v>
      </c>
      <c r="E2494" s="16" t="s">
        <v>15842</v>
      </c>
      <c r="F2494" s="16"/>
      <c r="G2494" s="19" t="s">
        <v>41</v>
      </c>
      <c r="H2494" s="18" t="n">
        <v>3</v>
      </c>
      <c r="I2494" s="20" t="n">
        <v>110.49</v>
      </c>
      <c r="J2494" s="20" t="n">
        <v>310.93</v>
      </c>
      <c r="K2494" s="18" t="n">
        <v>3</v>
      </c>
      <c r="L2494" s="18" t="n">
        <v>4</v>
      </c>
      <c r="M2494" s="18" t="n">
        <v>91</v>
      </c>
      <c r="N2494" s="18" t="n">
        <v>91</v>
      </c>
      <c r="O2494" s="14" t="s">
        <v>1126</v>
      </c>
      <c r="P2494" s="14" t="s">
        <v>84</v>
      </c>
      <c r="Q2494" s="15" t="s">
        <v>1089</v>
      </c>
      <c r="R2494" s="16" t="s">
        <v>15843</v>
      </c>
      <c r="S2494" s="15" t="s">
        <v>15844</v>
      </c>
      <c r="T2494" s="15" t="s">
        <v>15845</v>
      </c>
      <c r="U2494" s="21" t="s">
        <v>72</v>
      </c>
    </row>
    <row r="2495" customFormat="false" ht="63.4" hidden="false" customHeight="false" outlineLevel="0" collapsed="false">
      <c r="A2495" s="15" t="s">
        <v>14933</v>
      </c>
      <c r="B2495" s="15" t="s">
        <v>14933</v>
      </c>
      <c r="C2495" s="14" t="s">
        <v>15846</v>
      </c>
      <c r="D2495" s="14" t="s">
        <v>15847</v>
      </c>
      <c r="E2495" s="16" t="s">
        <v>15848</v>
      </c>
      <c r="F2495" s="16" t="s">
        <v>15849</v>
      </c>
      <c r="G2495" s="23" t="s">
        <v>43</v>
      </c>
      <c r="H2495" s="18" t="n">
        <v>3</v>
      </c>
      <c r="I2495" s="20" t="n">
        <v>52.42</v>
      </c>
      <c r="J2495" s="20" t="n">
        <v>179.83</v>
      </c>
      <c r="K2495" s="18" t="n">
        <v>17</v>
      </c>
      <c r="L2495" s="18" t="n">
        <v>2</v>
      </c>
      <c r="M2495" s="18" t="n">
        <v>232</v>
      </c>
      <c r="N2495" s="18" t="n">
        <v>188</v>
      </c>
      <c r="O2495" s="14" t="s">
        <v>15850</v>
      </c>
      <c r="P2495" s="14" t="s">
        <v>118</v>
      </c>
      <c r="Q2495" s="15" t="s">
        <v>1089</v>
      </c>
      <c r="R2495" s="16" t="s">
        <v>15851</v>
      </c>
      <c r="S2495" s="15" t="s">
        <v>15852</v>
      </c>
      <c r="T2495" s="15" t="s">
        <v>15853</v>
      </c>
      <c r="U2495" s="21" t="s">
        <v>72</v>
      </c>
    </row>
    <row r="2496" customFormat="false" ht="26.85" hidden="false" customHeight="false" outlineLevel="0" collapsed="false">
      <c r="A2496" s="15" t="s">
        <v>14933</v>
      </c>
      <c r="B2496" s="15" t="s">
        <v>14933</v>
      </c>
      <c r="C2496" s="14" t="s">
        <v>15854</v>
      </c>
      <c r="D2496" s="14" t="s">
        <v>15855</v>
      </c>
      <c r="E2496" s="16" t="s">
        <v>15848</v>
      </c>
      <c r="F2496" s="16" t="s">
        <v>15849</v>
      </c>
      <c r="G2496" s="19" t="s">
        <v>41</v>
      </c>
      <c r="H2496" s="18" t="n">
        <v>5</v>
      </c>
      <c r="I2496" s="20" t="n">
        <v>98.43</v>
      </c>
      <c r="J2496" s="20" t="n">
        <v>179.83</v>
      </c>
      <c r="K2496" s="18" t="n">
        <v>8</v>
      </c>
      <c r="L2496" s="18" t="n">
        <v>1</v>
      </c>
      <c r="M2496" s="18" t="n">
        <v>114</v>
      </c>
      <c r="N2496" s="18" t="n">
        <v>114</v>
      </c>
      <c r="O2496" s="14" t="s">
        <v>15856</v>
      </c>
      <c r="P2496" s="14" t="s">
        <v>84</v>
      </c>
      <c r="Q2496" s="15" t="s">
        <v>1089</v>
      </c>
      <c r="R2496" s="16" t="s">
        <v>8962</v>
      </c>
      <c r="S2496" s="15" t="s">
        <v>15852</v>
      </c>
      <c r="T2496" s="15" t="s">
        <v>15852</v>
      </c>
      <c r="U2496" s="21" t="s">
        <v>72</v>
      </c>
    </row>
    <row r="2497" customFormat="false" ht="39.55" hidden="false" customHeight="false" outlineLevel="0" collapsed="false">
      <c r="A2497" s="15" t="s">
        <v>14933</v>
      </c>
      <c r="B2497" s="15" t="s">
        <v>14933</v>
      </c>
      <c r="C2497" s="14" t="s">
        <v>15857</v>
      </c>
      <c r="D2497" s="14" t="s">
        <v>15858</v>
      </c>
      <c r="E2497" s="16" t="s">
        <v>15859</v>
      </c>
      <c r="F2497" s="16" t="s">
        <v>15860</v>
      </c>
      <c r="G2497" s="25" t="s">
        <v>39</v>
      </c>
      <c r="H2497" s="18" t="n">
        <v>6</v>
      </c>
      <c r="I2497" s="20" t="n">
        <v>288.36</v>
      </c>
      <c r="J2497" s="20" t="n">
        <v>484.88</v>
      </c>
      <c r="K2497" s="18" t="n">
        <v>8</v>
      </c>
      <c r="L2497" s="18" t="n">
        <v>15</v>
      </c>
      <c r="M2497" s="18" t="n">
        <v>315</v>
      </c>
      <c r="N2497" s="18" t="n">
        <v>315</v>
      </c>
      <c r="O2497" s="14" t="s">
        <v>15861</v>
      </c>
      <c r="P2497" s="14" t="s">
        <v>84</v>
      </c>
      <c r="Q2497" s="15" t="s">
        <v>1089</v>
      </c>
      <c r="R2497" s="16" t="s">
        <v>15015</v>
      </c>
      <c r="S2497" s="15" t="s">
        <v>15862</v>
      </c>
      <c r="T2497" s="15" t="s">
        <v>15862</v>
      </c>
      <c r="U2497" s="21" t="s">
        <v>72</v>
      </c>
    </row>
    <row r="2498" customFormat="false" ht="15" hidden="false" customHeight="false" outlineLevel="0" collapsed="false">
      <c r="A2498" s="15" t="s">
        <v>14933</v>
      </c>
      <c r="B2498" s="15" t="s">
        <v>14933</v>
      </c>
      <c r="C2498" s="14" t="s">
        <v>15863</v>
      </c>
      <c r="D2498" s="14" t="s">
        <v>15864</v>
      </c>
      <c r="E2498" s="16" t="s">
        <v>15865</v>
      </c>
      <c r="F2498" s="16" t="s">
        <v>15866</v>
      </c>
      <c r="G2498" s="23" t="s">
        <v>43</v>
      </c>
      <c r="H2498" s="18" t="n">
        <v>3</v>
      </c>
      <c r="I2498" s="20" t="n">
        <v>55.48</v>
      </c>
      <c r="J2498" s="20" t="n">
        <v>167.25</v>
      </c>
      <c r="K2498" s="18" t="n">
        <v>4</v>
      </c>
      <c r="L2498" s="18" t="n">
        <v>2</v>
      </c>
      <c r="M2498" s="18" t="n">
        <v>61</v>
      </c>
      <c r="N2498" s="18" t="n">
        <v>13</v>
      </c>
      <c r="O2498" s="14" t="s">
        <v>1126</v>
      </c>
      <c r="P2498" s="14" t="s">
        <v>84</v>
      </c>
      <c r="Q2498" s="15" t="s">
        <v>1089</v>
      </c>
      <c r="R2498" s="16" t="s">
        <v>15867</v>
      </c>
      <c r="S2498" s="15" t="s">
        <v>15868</v>
      </c>
      <c r="T2498" s="15" t="s">
        <v>15868</v>
      </c>
      <c r="U2498" s="21" t="s">
        <v>72</v>
      </c>
    </row>
    <row r="2499" customFormat="false" ht="15" hidden="false" customHeight="false" outlineLevel="0" collapsed="false">
      <c r="A2499" s="15" t="s">
        <v>14933</v>
      </c>
      <c r="B2499" s="15" t="s">
        <v>14933</v>
      </c>
      <c r="C2499" s="14" t="s">
        <v>15869</v>
      </c>
      <c r="D2499" s="14" t="s">
        <v>15870</v>
      </c>
      <c r="E2499" s="16" t="s">
        <v>15871</v>
      </c>
      <c r="F2499" s="16" t="s">
        <v>15872</v>
      </c>
      <c r="G2499" s="19" t="s">
        <v>41</v>
      </c>
      <c r="H2499" s="18" t="n">
        <v>3</v>
      </c>
      <c r="I2499" s="20" t="n">
        <v>37.99</v>
      </c>
      <c r="J2499" s="20" t="n">
        <v>224.46</v>
      </c>
      <c r="K2499" s="18" t="n">
        <v>3</v>
      </c>
      <c r="L2499" s="18" t="n">
        <v>4</v>
      </c>
      <c r="M2499" s="18" t="n">
        <v>30</v>
      </c>
      <c r="N2499" s="18" t="n">
        <v>30</v>
      </c>
      <c r="O2499" s="14" t="s">
        <v>1126</v>
      </c>
      <c r="P2499" s="14" t="s">
        <v>84</v>
      </c>
      <c r="Q2499" s="15" t="s">
        <v>1089</v>
      </c>
      <c r="R2499" s="16" t="s">
        <v>15873</v>
      </c>
      <c r="S2499" s="15" t="s">
        <v>15874</v>
      </c>
      <c r="T2499" s="15" t="s">
        <v>15875</v>
      </c>
      <c r="U2499" s="21" t="s">
        <v>72</v>
      </c>
    </row>
    <row r="2500" customFormat="false" ht="25.35" hidden="false" customHeight="false" outlineLevel="0" collapsed="false">
      <c r="A2500" s="15" t="s">
        <v>14933</v>
      </c>
      <c r="B2500" s="15" t="s">
        <v>14933</v>
      </c>
      <c r="C2500" s="14" t="s">
        <v>15876</v>
      </c>
      <c r="D2500" s="14" t="s">
        <v>15877</v>
      </c>
      <c r="E2500" s="16" t="s">
        <v>15878</v>
      </c>
      <c r="F2500" s="16"/>
      <c r="G2500" s="19" t="s">
        <v>41</v>
      </c>
      <c r="H2500" s="18" t="n">
        <v>5</v>
      </c>
      <c r="I2500" s="20" t="n">
        <v>90.31</v>
      </c>
      <c r="J2500" s="20" t="n">
        <v>193.45</v>
      </c>
      <c r="K2500" s="18" t="n">
        <v>5</v>
      </c>
      <c r="L2500" s="18" t="n">
        <v>5</v>
      </c>
      <c r="M2500" s="18" t="n">
        <v>72</v>
      </c>
      <c r="N2500" s="18" t="n">
        <v>49</v>
      </c>
      <c r="O2500" s="14" t="s">
        <v>15879</v>
      </c>
      <c r="P2500" s="14" t="s">
        <v>84</v>
      </c>
      <c r="Q2500" s="15" t="s">
        <v>1089</v>
      </c>
      <c r="R2500" s="16" t="s">
        <v>15880</v>
      </c>
      <c r="S2500" s="15" t="s">
        <v>15881</v>
      </c>
      <c r="T2500" s="15" t="s">
        <v>15881</v>
      </c>
      <c r="U2500" s="21" t="s">
        <v>72</v>
      </c>
    </row>
    <row r="2501" customFormat="false" ht="26.85" hidden="false" customHeight="false" outlineLevel="0" collapsed="false">
      <c r="A2501" s="15" t="s">
        <v>14933</v>
      </c>
      <c r="B2501" s="15" t="s">
        <v>14933</v>
      </c>
      <c r="C2501" s="14" t="s">
        <v>15882</v>
      </c>
      <c r="D2501" s="14" t="s">
        <v>15883</v>
      </c>
      <c r="E2501" s="16" t="s">
        <v>15884</v>
      </c>
      <c r="F2501" s="16" t="s">
        <v>15885</v>
      </c>
      <c r="G2501" s="19" t="s">
        <v>41</v>
      </c>
      <c r="H2501" s="18" t="n">
        <v>6</v>
      </c>
      <c r="I2501" s="20" t="n">
        <v>114.81</v>
      </c>
      <c r="J2501" s="20" t="n">
        <v>295.43</v>
      </c>
      <c r="K2501" s="18" t="n">
        <v>7</v>
      </c>
      <c r="L2501" s="18" t="n">
        <v>2</v>
      </c>
      <c r="M2501" s="18" t="n">
        <v>112</v>
      </c>
      <c r="N2501" s="18" t="n">
        <v>92</v>
      </c>
      <c r="O2501" s="14" t="s">
        <v>15886</v>
      </c>
      <c r="P2501" s="14" t="s">
        <v>84</v>
      </c>
      <c r="Q2501" s="15" t="s">
        <v>1089</v>
      </c>
      <c r="R2501" s="16" t="s">
        <v>15887</v>
      </c>
      <c r="S2501" s="15" t="s">
        <v>15888</v>
      </c>
      <c r="T2501" s="15" t="s">
        <v>15888</v>
      </c>
      <c r="U2501" s="21" t="s">
        <v>72</v>
      </c>
    </row>
    <row r="2502" customFormat="false" ht="15" hidden="false" customHeight="false" outlineLevel="0" collapsed="false">
      <c r="A2502" s="15" t="s">
        <v>14933</v>
      </c>
      <c r="B2502" s="15" t="s">
        <v>14933</v>
      </c>
      <c r="C2502" s="14" t="s">
        <v>15889</v>
      </c>
      <c r="D2502" s="14" t="s">
        <v>15890</v>
      </c>
      <c r="E2502" s="16" t="s">
        <v>15891</v>
      </c>
      <c r="F2502" s="16" t="s">
        <v>15892</v>
      </c>
      <c r="G2502" s="23" t="s">
        <v>43</v>
      </c>
      <c r="H2502" s="18" t="n">
        <v>2</v>
      </c>
      <c r="I2502" s="20" t="n">
        <v>47.17</v>
      </c>
      <c r="J2502" s="20" t="n">
        <v>119.34</v>
      </c>
      <c r="K2502" s="18" t="n">
        <v>5</v>
      </c>
      <c r="L2502" s="18" t="n">
        <v>2</v>
      </c>
      <c r="M2502" s="18" t="n">
        <v>99</v>
      </c>
      <c r="N2502" s="18" t="n">
        <v>23</v>
      </c>
      <c r="O2502" s="14" t="s">
        <v>15738</v>
      </c>
      <c r="P2502" s="14" t="s">
        <v>84</v>
      </c>
      <c r="Q2502" s="15" t="s">
        <v>1089</v>
      </c>
      <c r="R2502" s="16" t="s">
        <v>15893</v>
      </c>
      <c r="S2502" s="15" t="s">
        <v>15894</v>
      </c>
      <c r="T2502" s="15" t="s">
        <v>15894</v>
      </c>
      <c r="U2502" s="21" t="s">
        <v>72</v>
      </c>
    </row>
    <row r="2503" customFormat="false" ht="15" hidden="false" customHeight="false" outlineLevel="0" collapsed="false">
      <c r="A2503" s="15" t="s">
        <v>14933</v>
      </c>
      <c r="B2503" s="15" t="s">
        <v>14933</v>
      </c>
      <c r="C2503" s="14" t="s">
        <v>15895</v>
      </c>
      <c r="D2503" s="14" t="s">
        <v>15896</v>
      </c>
      <c r="E2503" s="16" t="s">
        <v>15897</v>
      </c>
      <c r="F2503" s="16"/>
      <c r="G2503" s="23" t="s">
        <v>43</v>
      </c>
      <c r="H2503" s="18" t="n">
        <v>2</v>
      </c>
      <c r="I2503" s="20" t="n">
        <v>66.3</v>
      </c>
      <c r="J2503" s="20" t="n">
        <v>95.43</v>
      </c>
      <c r="K2503" s="18" t="n">
        <v>2</v>
      </c>
      <c r="L2503" s="18" t="n">
        <v>1</v>
      </c>
      <c r="M2503" s="18" t="n">
        <v>23</v>
      </c>
      <c r="N2503" s="18" t="n">
        <v>23</v>
      </c>
      <c r="O2503" s="14" t="s">
        <v>1126</v>
      </c>
      <c r="P2503" s="14" t="s">
        <v>84</v>
      </c>
      <c r="Q2503" s="15" t="s">
        <v>1089</v>
      </c>
      <c r="R2503" s="16" t="s">
        <v>15898</v>
      </c>
      <c r="S2503" s="15" t="s">
        <v>15899</v>
      </c>
      <c r="T2503" s="15" t="s">
        <v>15899</v>
      </c>
      <c r="U2503" s="21" t="s">
        <v>72</v>
      </c>
    </row>
    <row r="2504" customFormat="false" ht="26.85" hidden="false" customHeight="false" outlineLevel="0" collapsed="false">
      <c r="A2504" s="15" t="s">
        <v>14933</v>
      </c>
      <c r="B2504" s="15" t="s">
        <v>14933</v>
      </c>
      <c r="C2504" s="14" t="s">
        <v>15900</v>
      </c>
      <c r="D2504" s="14" t="s">
        <v>15901</v>
      </c>
      <c r="E2504" s="16" t="s">
        <v>15902</v>
      </c>
      <c r="F2504" s="16" t="s">
        <v>15903</v>
      </c>
      <c r="G2504" s="23" t="s">
        <v>43</v>
      </c>
      <c r="H2504" s="18" t="n">
        <v>2</v>
      </c>
      <c r="I2504" s="20" t="n">
        <v>93.06</v>
      </c>
      <c r="J2504" s="20" t="n">
        <v>176.11</v>
      </c>
      <c r="K2504" s="18" t="n">
        <v>13</v>
      </c>
      <c r="L2504" s="18" t="n">
        <v>5</v>
      </c>
      <c r="M2504" s="18" t="n">
        <v>494</v>
      </c>
      <c r="N2504" s="18" t="n">
        <v>152</v>
      </c>
      <c r="O2504" s="14" t="s">
        <v>1126</v>
      </c>
      <c r="P2504" s="14" t="s">
        <v>84</v>
      </c>
      <c r="Q2504" s="15" t="s">
        <v>1089</v>
      </c>
      <c r="R2504" s="16" t="s">
        <v>10991</v>
      </c>
      <c r="S2504" s="15" t="s">
        <v>15904</v>
      </c>
      <c r="T2504" s="15" t="s">
        <v>15905</v>
      </c>
      <c r="U2504" s="21" t="s">
        <v>72</v>
      </c>
    </row>
    <row r="2505" customFormat="false" ht="15" hidden="false" customHeight="false" outlineLevel="0" collapsed="false">
      <c r="A2505" s="15" t="s">
        <v>14933</v>
      </c>
      <c r="B2505" s="15" t="s">
        <v>14933</v>
      </c>
      <c r="C2505" s="14" t="s">
        <v>15906</v>
      </c>
      <c r="D2505" s="14" t="s">
        <v>15907</v>
      </c>
      <c r="E2505" s="16" t="s">
        <v>15908</v>
      </c>
      <c r="F2505" s="16" t="s">
        <v>15909</v>
      </c>
      <c r="G2505" s="19" t="s">
        <v>41</v>
      </c>
      <c r="H2505" s="18" t="n">
        <v>5</v>
      </c>
      <c r="I2505" s="20" t="n">
        <v>80.57</v>
      </c>
      <c r="J2505" s="20" t="n">
        <v>147.58</v>
      </c>
      <c r="K2505" s="18" t="n">
        <v>10</v>
      </c>
      <c r="L2505" s="18" t="n">
        <v>3</v>
      </c>
      <c r="M2505" s="18" t="n">
        <v>150</v>
      </c>
      <c r="N2505" s="18" t="n">
        <v>60</v>
      </c>
      <c r="O2505" s="14" t="s">
        <v>1126</v>
      </c>
      <c r="P2505" s="14" t="s">
        <v>84</v>
      </c>
      <c r="Q2505" s="15" t="s">
        <v>1089</v>
      </c>
      <c r="R2505" s="16" t="s">
        <v>1672</v>
      </c>
      <c r="S2505" s="15" t="s">
        <v>15910</v>
      </c>
      <c r="T2505" s="15" t="s">
        <v>15911</v>
      </c>
      <c r="U2505" s="21" t="s">
        <v>72</v>
      </c>
    </row>
    <row r="2506" customFormat="false" ht="15" hidden="false" customHeight="false" outlineLevel="0" collapsed="false">
      <c r="A2506" s="15" t="s">
        <v>14933</v>
      </c>
      <c r="B2506" s="15" t="s">
        <v>14933</v>
      </c>
      <c r="C2506" s="14" t="s">
        <v>15912</v>
      </c>
      <c r="D2506" s="14" t="s">
        <v>15913</v>
      </c>
      <c r="E2506" s="16" t="s">
        <v>15914</v>
      </c>
      <c r="F2506" s="16" t="s">
        <v>15915</v>
      </c>
      <c r="G2506" s="23" t="s">
        <v>43</v>
      </c>
      <c r="H2506" s="18" t="n">
        <v>2</v>
      </c>
      <c r="I2506" s="20" t="n">
        <v>102.44</v>
      </c>
      <c r="J2506" s="20" t="n">
        <v>186.45</v>
      </c>
      <c r="K2506" s="18" t="n">
        <v>2</v>
      </c>
      <c r="L2506" s="18" t="n">
        <v>3</v>
      </c>
      <c r="M2506" s="18" t="n">
        <v>84</v>
      </c>
      <c r="N2506" s="18" t="n">
        <v>84</v>
      </c>
      <c r="O2506" s="14" t="s">
        <v>15738</v>
      </c>
      <c r="P2506" s="14" t="s">
        <v>84</v>
      </c>
      <c r="Q2506" s="15" t="s">
        <v>1089</v>
      </c>
      <c r="R2506" s="16" t="s">
        <v>15916</v>
      </c>
      <c r="S2506" s="15" t="s">
        <v>15917</v>
      </c>
      <c r="T2506" s="15" t="s">
        <v>15918</v>
      </c>
      <c r="U2506" s="21" t="s">
        <v>72</v>
      </c>
    </row>
    <row r="2507" customFormat="false" ht="15" hidden="false" customHeight="false" outlineLevel="0" collapsed="false">
      <c r="A2507" s="15" t="s">
        <v>14933</v>
      </c>
      <c r="B2507" s="15" t="s">
        <v>14933</v>
      </c>
      <c r="C2507" s="14" t="s">
        <v>15919</v>
      </c>
      <c r="D2507" s="14" t="s">
        <v>15920</v>
      </c>
      <c r="E2507" s="16" t="s">
        <v>15921</v>
      </c>
      <c r="F2507" s="16"/>
      <c r="G2507" s="23" t="s">
        <v>43</v>
      </c>
      <c r="H2507" s="18" t="n">
        <v>2</v>
      </c>
      <c r="I2507" s="20" t="n">
        <v>54.36</v>
      </c>
      <c r="J2507" s="20" t="n">
        <v>102.33</v>
      </c>
      <c r="K2507" s="18" t="n">
        <v>2</v>
      </c>
      <c r="L2507" s="18" t="n">
        <v>4</v>
      </c>
      <c r="M2507" s="18" t="n">
        <v>52</v>
      </c>
      <c r="N2507" s="18" t="n">
        <v>52</v>
      </c>
      <c r="O2507" s="14" t="s">
        <v>1126</v>
      </c>
      <c r="P2507" s="14" t="s">
        <v>84</v>
      </c>
      <c r="Q2507" s="15" t="s">
        <v>1089</v>
      </c>
      <c r="R2507" s="16" t="s">
        <v>15922</v>
      </c>
      <c r="S2507" s="15" t="s">
        <v>15923</v>
      </c>
      <c r="T2507" s="15" t="s">
        <v>15924</v>
      </c>
      <c r="U2507" s="21" t="s">
        <v>72</v>
      </c>
    </row>
    <row r="2508" customFormat="false" ht="15" hidden="false" customHeight="false" outlineLevel="0" collapsed="false">
      <c r="A2508" s="15" t="s">
        <v>14933</v>
      </c>
      <c r="B2508" s="15" t="s">
        <v>14933</v>
      </c>
      <c r="C2508" s="14" t="s">
        <v>15925</v>
      </c>
      <c r="D2508" s="14" t="s">
        <v>15926</v>
      </c>
      <c r="E2508" s="16" t="s">
        <v>15927</v>
      </c>
      <c r="F2508" s="16" t="s">
        <v>15928</v>
      </c>
      <c r="G2508" s="23" t="s">
        <v>43</v>
      </c>
      <c r="H2508" s="18" t="n">
        <v>3</v>
      </c>
      <c r="I2508" s="20" t="n">
        <v>53.31</v>
      </c>
      <c r="J2508" s="20" t="n">
        <v>139.62</v>
      </c>
      <c r="K2508" s="18" t="n">
        <v>2</v>
      </c>
      <c r="L2508" s="18" t="n">
        <v>3</v>
      </c>
      <c r="M2508" s="18" t="n">
        <v>30</v>
      </c>
      <c r="N2508" s="18" t="n">
        <v>30</v>
      </c>
      <c r="O2508" s="14" t="s">
        <v>1126</v>
      </c>
      <c r="P2508" s="14" t="s">
        <v>84</v>
      </c>
      <c r="Q2508" s="15" t="s">
        <v>1089</v>
      </c>
      <c r="R2508" s="16" t="s">
        <v>15880</v>
      </c>
      <c r="S2508" s="15" t="s">
        <v>15929</v>
      </c>
      <c r="T2508" s="15" t="s">
        <v>15930</v>
      </c>
      <c r="U2508" s="21" t="s">
        <v>72</v>
      </c>
    </row>
    <row r="2509" customFormat="false" ht="15" hidden="false" customHeight="false" outlineLevel="0" collapsed="false">
      <c r="A2509" s="15" t="s">
        <v>14933</v>
      </c>
      <c r="B2509" s="15" t="s">
        <v>14933</v>
      </c>
      <c r="C2509" s="14" t="s">
        <v>15931</v>
      </c>
      <c r="D2509" s="14" t="s">
        <v>15932</v>
      </c>
      <c r="E2509" s="16" t="s">
        <v>15933</v>
      </c>
      <c r="F2509" s="16"/>
      <c r="G2509" s="23" t="s">
        <v>43</v>
      </c>
      <c r="H2509" s="18" t="n">
        <v>2</v>
      </c>
      <c r="I2509" s="20" t="n">
        <v>41.89</v>
      </c>
      <c r="J2509" s="20" t="n">
        <v>139.48</v>
      </c>
      <c r="K2509" s="18" t="n">
        <v>2</v>
      </c>
      <c r="L2509" s="18" t="n">
        <v>3</v>
      </c>
      <c r="M2509" s="18" t="n">
        <v>34</v>
      </c>
      <c r="N2509" s="18" t="n">
        <v>34</v>
      </c>
      <c r="O2509" s="14" t="s">
        <v>1126</v>
      </c>
      <c r="P2509" s="14" t="s">
        <v>84</v>
      </c>
      <c r="Q2509" s="15" t="s">
        <v>1089</v>
      </c>
      <c r="R2509" s="16" t="s">
        <v>10829</v>
      </c>
      <c r="S2509" s="15" t="s">
        <v>15934</v>
      </c>
      <c r="T2509" s="15" t="s">
        <v>15935</v>
      </c>
      <c r="U2509" s="21" t="s">
        <v>72</v>
      </c>
    </row>
    <row r="2510" customFormat="false" ht="15" hidden="false" customHeight="false" outlineLevel="0" collapsed="false">
      <c r="A2510" s="15" t="s">
        <v>14933</v>
      </c>
      <c r="B2510" s="15" t="s">
        <v>14933</v>
      </c>
      <c r="C2510" s="14" t="s">
        <v>15936</v>
      </c>
      <c r="D2510" s="14" t="s">
        <v>15937</v>
      </c>
      <c r="E2510" s="16" t="s">
        <v>15938</v>
      </c>
      <c r="F2510" s="16" t="s">
        <v>15939</v>
      </c>
      <c r="G2510" s="19" t="s">
        <v>41</v>
      </c>
      <c r="H2510" s="18" t="n">
        <v>4</v>
      </c>
      <c r="I2510" s="20" t="n">
        <v>83.28</v>
      </c>
      <c r="J2510" s="20" t="n">
        <v>281.18</v>
      </c>
      <c r="K2510" s="18" t="n">
        <v>8</v>
      </c>
      <c r="L2510" s="18" t="n">
        <v>9</v>
      </c>
      <c r="M2510" s="18" t="n">
        <v>136</v>
      </c>
      <c r="N2510" s="18" t="n">
        <v>136</v>
      </c>
      <c r="O2510" s="14" t="s">
        <v>1126</v>
      </c>
      <c r="P2510" s="14" t="s">
        <v>84</v>
      </c>
      <c r="Q2510" s="15" t="s">
        <v>1089</v>
      </c>
      <c r="R2510" s="16" t="s">
        <v>5327</v>
      </c>
      <c r="S2510" s="15" t="s">
        <v>15940</v>
      </c>
      <c r="T2510" s="15" t="s">
        <v>15940</v>
      </c>
      <c r="U2510" s="21" t="s">
        <v>72</v>
      </c>
    </row>
    <row r="2511" customFormat="false" ht="15" hidden="false" customHeight="false" outlineLevel="0" collapsed="false">
      <c r="A2511" s="15" t="s">
        <v>14933</v>
      </c>
      <c r="B2511" s="15" t="s">
        <v>14933</v>
      </c>
      <c r="C2511" s="14" t="s">
        <v>15941</v>
      </c>
      <c r="D2511" s="14" t="s">
        <v>15942</v>
      </c>
      <c r="E2511" s="16" t="s">
        <v>15943</v>
      </c>
      <c r="F2511" s="16"/>
      <c r="G2511" s="23" t="s">
        <v>43</v>
      </c>
      <c r="H2511" s="18" t="n">
        <v>1</v>
      </c>
      <c r="I2511" s="20" t="n">
        <v>35.448</v>
      </c>
      <c r="J2511" s="20" t="n">
        <v>92.57</v>
      </c>
      <c r="K2511" s="18" t="n">
        <v>2</v>
      </c>
      <c r="L2511" s="18" t="n">
        <v>1</v>
      </c>
      <c r="M2511" s="18" t="n">
        <v>58</v>
      </c>
      <c r="N2511" s="18" t="n">
        <v>58</v>
      </c>
      <c r="O2511" s="14" t="s">
        <v>1126</v>
      </c>
      <c r="P2511" s="14" t="s">
        <v>84</v>
      </c>
      <c r="Q2511" s="15" t="s">
        <v>1089</v>
      </c>
      <c r="R2511" s="16" t="s">
        <v>15944</v>
      </c>
      <c r="S2511" s="15" t="s">
        <v>15945</v>
      </c>
      <c r="T2511" s="15" t="s">
        <v>15945</v>
      </c>
      <c r="U2511" s="21" t="s">
        <v>72</v>
      </c>
    </row>
    <row r="2512" customFormat="false" ht="15" hidden="false" customHeight="false" outlineLevel="0" collapsed="false">
      <c r="A2512" s="15" t="s">
        <v>14933</v>
      </c>
      <c r="B2512" s="15" t="s">
        <v>14933</v>
      </c>
      <c r="C2512" s="14" t="s">
        <v>15946</v>
      </c>
      <c r="D2512" s="14" t="s">
        <v>15947</v>
      </c>
      <c r="E2512" s="16" t="s">
        <v>15948</v>
      </c>
      <c r="F2512" s="16"/>
      <c r="G2512" s="23" t="s">
        <v>43</v>
      </c>
      <c r="H2512" s="18" t="n">
        <v>2</v>
      </c>
      <c r="I2512" s="20" t="n">
        <v>30</v>
      </c>
      <c r="J2512" s="20" t="n">
        <v>140.36</v>
      </c>
      <c r="K2512" s="18" t="n">
        <v>2</v>
      </c>
      <c r="L2512" s="18"/>
      <c r="M2512" s="18" t="n">
        <v>24</v>
      </c>
      <c r="N2512" s="18" t="n">
        <v>16</v>
      </c>
      <c r="O2512" s="14" t="s">
        <v>15949</v>
      </c>
      <c r="P2512" s="14" t="s">
        <v>118</v>
      </c>
      <c r="Q2512" s="15" t="s">
        <v>1089</v>
      </c>
      <c r="R2512" s="16" t="s">
        <v>15950</v>
      </c>
      <c r="S2512" s="15" t="s">
        <v>15951</v>
      </c>
      <c r="T2512" s="15" t="s">
        <v>15952</v>
      </c>
      <c r="U2512" s="21" t="s">
        <v>72</v>
      </c>
    </row>
    <row r="2513" customFormat="false" ht="39.55" hidden="false" customHeight="false" outlineLevel="0" collapsed="false">
      <c r="A2513" s="15" t="s">
        <v>14933</v>
      </c>
      <c r="B2513" s="15" t="s">
        <v>14933</v>
      </c>
      <c r="C2513" s="14" t="s">
        <v>15953</v>
      </c>
      <c r="D2513" s="14" t="s">
        <v>15954</v>
      </c>
      <c r="E2513" s="16" t="s">
        <v>15955</v>
      </c>
      <c r="F2513" s="16" t="s">
        <v>15956</v>
      </c>
      <c r="G2513" s="25" t="s">
        <v>39</v>
      </c>
      <c r="H2513" s="18" t="n">
        <v>8</v>
      </c>
      <c r="I2513" s="20" t="n">
        <v>157.88</v>
      </c>
      <c r="J2513" s="20" t="n">
        <v>343.36</v>
      </c>
      <c r="K2513" s="18" t="n">
        <v>10</v>
      </c>
      <c r="L2513" s="18" t="n">
        <v>12</v>
      </c>
      <c r="M2513" s="18" t="n">
        <v>162</v>
      </c>
      <c r="N2513" s="18" t="n">
        <v>162</v>
      </c>
      <c r="O2513" s="14" t="s">
        <v>15957</v>
      </c>
      <c r="P2513" s="14" t="s">
        <v>84</v>
      </c>
      <c r="Q2513" s="15" t="s">
        <v>1089</v>
      </c>
      <c r="R2513" s="16" t="s">
        <v>15958</v>
      </c>
      <c r="S2513" s="15" t="s">
        <v>1673</v>
      </c>
      <c r="T2513" s="15" t="s">
        <v>15959</v>
      </c>
      <c r="U2513" s="21" t="s">
        <v>72</v>
      </c>
    </row>
    <row r="2514" customFormat="false" ht="15" hidden="false" customHeight="false" outlineLevel="0" collapsed="false">
      <c r="A2514" s="15" t="s">
        <v>14933</v>
      </c>
      <c r="B2514" s="15" t="s">
        <v>14933</v>
      </c>
      <c r="C2514" s="14" t="s">
        <v>15960</v>
      </c>
      <c r="D2514" s="14" t="s">
        <v>15961</v>
      </c>
      <c r="E2514" s="16" t="s">
        <v>15962</v>
      </c>
      <c r="F2514" s="16" t="s">
        <v>15963</v>
      </c>
      <c r="G2514" s="19" t="s">
        <v>41</v>
      </c>
      <c r="H2514" s="18" t="n">
        <v>3</v>
      </c>
      <c r="I2514" s="20" t="n">
        <v>78.81</v>
      </c>
      <c r="J2514" s="20" t="n">
        <v>212.13</v>
      </c>
      <c r="K2514" s="18" t="n">
        <v>2</v>
      </c>
      <c r="L2514" s="18" t="n">
        <v>3</v>
      </c>
      <c r="M2514" s="18" t="n">
        <v>30</v>
      </c>
      <c r="N2514" s="18" t="n">
        <v>30</v>
      </c>
      <c r="O2514" s="14" t="s">
        <v>1126</v>
      </c>
      <c r="P2514" s="14" t="s">
        <v>84</v>
      </c>
      <c r="Q2514" s="15" t="s">
        <v>1089</v>
      </c>
      <c r="R2514" s="16" t="s">
        <v>15964</v>
      </c>
      <c r="S2514" s="15" t="s">
        <v>15965</v>
      </c>
      <c r="T2514" s="15" t="s">
        <v>15966</v>
      </c>
      <c r="U2514" s="21" t="s">
        <v>72</v>
      </c>
    </row>
    <row r="2515" customFormat="false" ht="15" hidden="false" customHeight="false" outlineLevel="0" collapsed="false">
      <c r="A2515" s="15" t="s">
        <v>14933</v>
      </c>
      <c r="B2515" s="15" t="s">
        <v>14933</v>
      </c>
      <c r="C2515" s="14" t="s">
        <v>15967</v>
      </c>
      <c r="D2515" s="14" t="s">
        <v>15968</v>
      </c>
      <c r="E2515" s="16" t="s">
        <v>15969</v>
      </c>
      <c r="F2515" s="16" t="s">
        <v>15970</v>
      </c>
      <c r="G2515" s="23" t="s">
        <v>43</v>
      </c>
      <c r="H2515" s="18" t="n">
        <v>3</v>
      </c>
      <c r="I2515" s="20" t="n">
        <v>43.47</v>
      </c>
      <c r="J2515" s="20" t="n">
        <v>118.14</v>
      </c>
      <c r="K2515" s="18" t="n">
        <v>5</v>
      </c>
      <c r="L2515" s="18" t="n">
        <v>4</v>
      </c>
      <c r="M2515" s="18" t="n">
        <v>69</v>
      </c>
      <c r="N2515" s="18" t="n">
        <v>15</v>
      </c>
      <c r="O2515" s="14" t="s">
        <v>1097</v>
      </c>
      <c r="P2515" s="14" t="s">
        <v>84</v>
      </c>
      <c r="Q2515" s="15" t="s">
        <v>1089</v>
      </c>
      <c r="R2515" s="16" t="s">
        <v>15971</v>
      </c>
      <c r="S2515" s="15" t="s">
        <v>15972</v>
      </c>
      <c r="T2515" s="15" t="s">
        <v>15973</v>
      </c>
      <c r="U2515" s="21" t="s">
        <v>72</v>
      </c>
    </row>
    <row r="2516" customFormat="false" ht="15" hidden="false" customHeight="false" outlineLevel="0" collapsed="false">
      <c r="A2516" s="15" t="s">
        <v>14933</v>
      </c>
      <c r="B2516" s="15" t="s">
        <v>14933</v>
      </c>
      <c r="C2516" s="14" t="s">
        <v>15974</v>
      </c>
      <c r="D2516" s="14" t="s">
        <v>15975</v>
      </c>
      <c r="E2516" s="16" t="s">
        <v>15976</v>
      </c>
      <c r="F2516" s="16"/>
      <c r="G2516" s="23" t="s">
        <v>43</v>
      </c>
      <c r="H2516" s="18" t="n">
        <v>1</v>
      </c>
      <c r="I2516" s="20" t="n">
        <v>102.56</v>
      </c>
      <c r="J2516" s="20" t="n">
        <v>136.76</v>
      </c>
      <c r="K2516" s="18" t="n">
        <v>9</v>
      </c>
      <c r="L2516" s="18" t="n">
        <v>4</v>
      </c>
      <c r="M2516" s="18" t="n">
        <v>459</v>
      </c>
      <c r="N2516" s="18" t="n">
        <v>153</v>
      </c>
      <c r="O2516" s="14" t="s">
        <v>6448</v>
      </c>
      <c r="P2516" s="14" t="s">
        <v>118</v>
      </c>
      <c r="Q2516" s="15" t="s">
        <v>1089</v>
      </c>
      <c r="R2516" s="16" t="s">
        <v>15977</v>
      </c>
      <c r="S2516" s="15" t="s">
        <v>15978</v>
      </c>
      <c r="T2516" s="15" t="s">
        <v>15978</v>
      </c>
      <c r="U2516" s="21" t="s">
        <v>72</v>
      </c>
    </row>
    <row r="2517" customFormat="false" ht="15" hidden="false" customHeight="false" outlineLevel="0" collapsed="false">
      <c r="A2517" s="15" t="s">
        <v>14933</v>
      </c>
      <c r="B2517" s="15" t="s">
        <v>14933</v>
      </c>
      <c r="C2517" s="14" t="s">
        <v>15979</v>
      </c>
      <c r="D2517" s="14" t="s">
        <v>15980</v>
      </c>
      <c r="E2517" s="16" t="s">
        <v>15981</v>
      </c>
      <c r="F2517" s="16" t="s">
        <v>15982</v>
      </c>
      <c r="G2517" s="19" t="s">
        <v>41</v>
      </c>
      <c r="H2517" s="18" t="n">
        <v>6</v>
      </c>
      <c r="I2517" s="20" t="n">
        <v>151.97</v>
      </c>
      <c r="J2517" s="20" t="n">
        <v>262.02</v>
      </c>
      <c r="K2517" s="18" t="n">
        <v>3</v>
      </c>
      <c r="L2517" s="18" t="n">
        <v>5</v>
      </c>
      <c r="M2517" s="18" t="n">
        <v>69</v>
      </c>
      <c r="N2517" s="18" t="n">
        <v>69</v>
      </c>
      <c r="O2517" s="14" t="s">
        <v>1088</v>
      </c>
      <c r="P2517" s="14" t="s">
        <v>84</v>
      </c>
      <c r="Q2517" s="15" t="s">
        <v>1089</v>
      </c>
      <c r="R2517" s="16" t="s">
        <v>15983</v>
      </c>
      <c r="S2517" s="15" t="s">
        <v>15984</v>
      </c>
      <c r="T2517" s="15" t="s">
        <v>15984</v>
      </c>
      <c r="U2517" s="21" t="s">
        <v>72</v>
      </c>
    </row>
    <row r="2518" customFormat="false" ht="64.9" hidden="false" customHeight="false" outlineLevel="0" collapsed="false">
      <c r="A2518" s="15" t="s">
        <v>14933</v>
      </c>
      <c r="B2518" s="15" t="s">
        <v>14933</v>
      </c>
      <c r="C2518" s="14" t="s">
        <v>15985</v>
      </c>
      <c r="D2518" s="14" t="s">
        <v>15986</v>
      </c>
      <c r="E2518" s="16" t="s">
        <v>15987</v>
      </c>
      <c r="F2518" s="16" t="s">
        <v>15988</v>
      </c>
      <c r="G2518" s="25" t="s">
        <v>39</v>
      </c>
      <c r="H2518" s="18" t="n">
        <v>6</v>
      </c>
      <c r="I2518" s="20" t="n">
        <v>165.66</v>
      </c>
      <c r="J2518" s="20" t="n">
        <v>442.64</v>
      </c>
      <c r="K2518" s="18" t="n">
        <v>16</v>
      </c>
      <c r="L2518" s="18" t="n">
        <v>6</v>
      </c>
      <c r="M2518" s="18" t="n">
        <v>332</v>
      </c>
      <c r="N2518" s="18" t="n">
        <v>204</v>
      </c>
      <c r="O2518" s="14" t="s">
        <v>15989</v>
      </c>
      <c r="P2518" s="14" t="s">
        <v>1166</v>
      </c>
      <c r="Q2518" s="15" t="s">
        <v>1089</v>
      </c>
      <c r="R2518" s="16" t="s">
        <v>15990</v>
      </c>
      <c r="S2518" s="15" t="s">
        <v>15991</v>
      </c>
      <c r="T2518" s="15" t="s">
        <v>15992</v>
      </c>
      <c r="U2518" s="21" t="s">
        <v>72</v>
      </c>
    </row>
    <row r="2519" customFormat="false" ht="15" hidden="false" customHeight="false" outlineLevel="0" collapsed="false">
      <c r="A2519" s="15" t="s">
        <v>14933</v>
      </c>
      <c r="B2519" s="15" t="s">
        <v>14933</v>
      </c>
      <c r="C2519" s="14" t="s">
        <v>15993</v>
      </c>
      <c r="D2519" s="14" t="s">
        <v>15994</v>
      </c>
      <c r="E2519" s="16" t="s">
        <v>15995</v>
      </c>
      <c r="F2519" s="16" t="s">
        <v>15996</v>
      </c>
      <c r="G2519" s="19" t="s">
        <v>41</v>
      </c>
      <c r="H2519" s="18" t="n">
        <v>3</v>
      </c>
      <c r="I2519" s="20" t="n">
        <v>61.31</v>
      </c>
      <c r="J2519" s="20" t="n">
        <v>223.84</v>
      </c>
      <c r="K2519" s="18" t="n">
        <v>3</v>
      </c>
      <c r="L2519" s="18" t="n">
        <v>5</v>
      </c>
      <c r="M2519" s="18" t="n">
        <v>57</v>
      </c>
      <c r="N2519" s="18" t="n">
        <v>57</v>
      </c>
      <c r="O2519" s="14" t="s">
        <v>1126</v>
      </c>
      <c r="P2519" s="14" t="s">
        <v>84</v>
      </c>
      <c r="Q2519" s="15" t="s">
        <v>1089</v>
      </c>
      <c r="R2519" s="16" t="s">
        <v>15997</v>
      </c>
      <c r="S2519" s="15" t="s">
        <v>15998</v>
      </c>
      <c r="T2519" s="15" t="s">
        <v>15998</v>
      </c>
      <c r="U2519" s="21" t="s">
        <v>72</v>
      </c>
    </row>
    <row r="2520" customFormat="false" ht="15" hidden="false" customHeight="false" outlineLevel="0" collapsed="false">
      <c r="A2520" s="15" t="s">
        <v>14933</v>
      </c>
      <c r="B2520" s="15" t="s">
        <v>14933</v>
      </c>
      <c r="C2520" s="14" t="s">
        <v>15999</v>
      </c>
      <c r="D2520" s="14" t="s">
        <v>16000</v>
      </c>
      <c r="E2520" s="16" t="s">
        <v>16001</v>
      </c>
      <c r="F2520" s="16"/>
      <c r="G2520" s="25" t="s">
        <v>39</v>
      </c>
      <c r="H2520" s="18" t="n">
        <v>14</v>
      </c>
      <c r="I2520" s="20" t="n">
        <v>276.74</v>
      </c>
      <c r="J2520" s="20" t="n">
        <v>517.8</v>
      </c>
      <c r="K2520" s="18" t="n">
        <v>6</v>
      </c>
      <c r="L2520" s="18" t="n">
        <v>13</v>
      </c>
      <c r="M2520" s="18" t="n">
        <v>105</v>
      </c>
      <c r="N2520" s="18" t="n">
        <v>105</v>
      </c>
      <c r="O2520" s="14" t="s">
        <v>1088</v>
      </c>
      <c r="P2520" s="14" t="s">
        <v>84</v>
      </c>
      <c r="Q2520" s="15" t="s">
        <v>1089</v>
      </c>
      <c r="R2520" s="16" t="s">
        <v>16002</v>
      </c>
      <c r="S2520" s="15" t="s">
        <v>16003</v>
      </c>
      <c r="T2520" s="15" t="s">
        <v>16004</v>
      </c>
      <c r="U2520" s="21" t="s">
        <v>72</v>
      </c>
    </row>
    <row r="2521" customFormat="false" ht="15" hidden="false" customHeight="false" outlineLevel="0" collapsed="false">
      <c r="A2521" s="15" t="s">
        <v>14933</v>
      </c>
      <c r="B2521" s="15" t="s">
        <v>14933</v>
      </c>
      <c r="C2521" s="14" t="s">
        <v>16005</v>
      </c>
      <c r="D2521" s="14" t="s">
        <v>16006</v>
      </c>
      <c r="E2521" s="16" t="s">
        <v>16007</v>
      </c>
      <c r="F2521" s="16"/>
      <c r="G2521" s="23" t="s">
        <v>43</v>
      </c>
      <c r="H2521" s="18" t="n">
        <v>2</v>
      </c>
      <c r="I2521" s="20" t="n">
        <v>51.11</v>
      </c>
      <c r="J2521" s="20" t="n">
        <v>93.08</v>
      </c>
      <c r="K2521" s="18" t="n">
        <v>6</v>
      </c>
      <c r="L2521" s="18" t="n">
        <v>2</v>
      </c>
      <c r="M2521" s="18" t="n">
        <v>138</v>
      </c>
      <c r="N2521" s="18" t="n">
        <v>138</v>
      </c>
      <c r="O2521" s="14" t="s">
        <v>1126</v>
      </c>
      <c r="P2521" s="14" t="s">
        <v>84</v>
      </c>
      <c r="Q2521" s="15" t="s">
        <v>1089</v>
      </c>
      <c r="R2521" s="16" t="s">
        <v>16008</v>
      </c>
      <c r="S2521" s="15" t="s">
        <v>16009</v>
      </c>
      <c r="T2521" s="15" t="s">
        <v>16009</v>
      </c>
      <c r="U2521" s="21" t="s">
        <v>72</v>
      </c>
    </row>
    <row r="2522" customFormat="false" ht="15" hidden="false" customHeight="false" outlineLevel="0" collapsed="false">
      <c r="A2522" s="15" t="s">
        <v>14933</v>
      </c>
      <c r="B2522" s="15" t="s">
        <v>14933</v>
      </c>
      <c r="C2522" s="14" t="s">
        <v>16010</v>
      </c>
      <c r="D2522" s="14" t="s">
        <v>16011</v>
      </c>
      <c r="E2522" s="16" t="s">
        <v>16012</v>
      </c>
      <c r="F2522" s="16" t="s">
        <v>16013</v>
      </c>
      <c r="G2522" s="25" t="s">
        <v>39</v>
      </c>
      <c r="H2522" s="18" t="n">
        <v>3</v>
      </c>
      <c r="I2522" s="20" t="n">
        <v>57.085</v>
      </c>
      <c r="J2522" s="20" t="n">
        <v>433.33</v>
      </c>
      <c r="K2522" s="18" t="n">
        <v>3</v>
      </c>
      <c r="L2522" s="18" t="n">
        <v>4</v>
      </c>
      <c r="M2522" s="18" t="n">
        <v>51</v>
      </c>
      <c r="N2522" s="18" t="n">
        <v>51</v>
      </c>
      <c r="O2522" s="14" t="s">
        <v>1088</v>
      </c>
      <c r="P2522" s="14" t="s">
        <v>84</v>
      </c>
      <c r="Q2522" s="15" t="s">
        <v>1089</v>
      </c>
      <c r="R2522" s="16" t="s">
        <v>16014</v>
      </c>
      <c r="S2522" s="15" t="s">
        <v>16015</v>
      </c>
      <c r="T2522" s="15" t="s">
        <v>16015</v>
      </c>
      <c r="U2522" s="21" t="s">
        <v>72</v>
      </c>
    </row>
    <row r="2523" customFormat="false" ht="15" hidden="false" customHeight="false" outlineLevel="0" collapsed="false">
      <c r="A2523" s="15" t="s">
        <v>14933</v>
      </c>
      <c r="B2523" s="15" t="s">
        <v>14933</v>
      </c>
      <c r="C2523" s="14" t="s">
        <v>16016</v>
      </c>
      <c r="D2523" s="14" t="s">
        <v>16017</v>
      </c>
      <c r="E2523" s="16" t="s">
        <v>16018</v>
      </c>
      <c r="F2523" s="16"/>
      <c r="G2523" s="25" t="s">
        <v>39</v>
      </c>
      <c r="H2523" s="18" t="n">
        <v>8</v>
      </c>
      <c r="I2523" s="20" t="n">
        <v>148.23</v>
      </c>
      <c r="J2523" s="20" t="n">
        <v>275.66</v>
      </c>
      <c r="K2523" s="18" t="n">
        <v>8</v>
      </c>
      <c r="L2523" s="18" t="n">
        <v>14</v>
      </c>
      <c r="M2523" s="18" t="n">
        <v>240</v>
      </c>
      <c r="N2523" s="18" t="n">
        <v>240</v>
      </c>
      <c r="O2523" s="14" t="s">
        <v>1126</v>
      </c>
      <c r="P2523" s="14" t="s">
        <v>84</v>
      </c>
      <c r="Q2523" s="15" t="s">
        <v>1089</v>
      </c>
      <c r="R2523" s="16" t="s">
        <v>16019</v>
      </c>
      <c r="S2523" s="15" t="s">
        <v>16020</v>
      </c>
      <c r="T2523" s="15" t="s">
        <v>16021</v>
      </c>
      <c r="U2523" s="21" t="s">
        <v>72</v>
      </c>
    </row>
    <row r="2524" customFormat="false" ht="26.85" hidden="false" customHeight="false" outlineLevel="0" collapsed="false">
      <c r="A2524" s="15" t="s">
        <v>14933</v>
      </c>
      <c r="B2524" s="15" t="s">
        <v>14933</v>
      </c>
      <c r="C2524" s="14" t="s">
        <v>16022</v>
      </c>
      <c r="D2524" s="14" t="s">
        <v>16023</v>
      </c>
      <c r="E2524" s="16" t="s">
        <v>16024</v>
      </c>
      <c r="F2524" s="16" t="s">
        <v>16025</v>
      </c>
      <c r="G2524" s="19" t="s">
        <v>41</v>
      </c>
      <c r="H2524" s="18" t="n">
        <v>4</v>
      </c>
      <c r="I2524" s="20" t="n">
        <v>95.38</v>
      </c>
      <c r="J2524" s="20" t="n">
        <v>209.1</v>
      </c>
      <c r="K2524" s="18" t="n">
        <v>12</v>
      </c>
      <c r="L2524" s="18" t="n">
        <v>10</v>
      </c>
      <c r="M2524" s="18" t="n">
        <v>234</v>
      </c>
      <c r="N2524" s="18" t="n">
        <v>156</v>
      </c>
      <c r="O2524" s="14" t="s">
        <v>16026</v>
      </c>
      <c r="P2524" s="14" t="s">
        <v>84</v>
      </c>
      <c r="Q2524" s="15" t="s">
        <v>1089</v>
      </c>
      <c r="R2524" s="16" t="s">
        <v>16027</v>
      </c>
      <c r="S2524" s="15" t="s">
        <v>16028</v>
      </c>
      <c r="T2524" s="15" t="s">
        <v>16028</v>
      </c>
      <c r="U2524" s="21" t="s">
        <v>72</v>
      </c>
    </row>
    <row r="2525" customFormat="false" ht="15" hidden="false" customHeight="false" outlineLevel="0" collapsed="false">
      <c r="A2525" s="15" t="s">
        <v>14933</v>
      </c>
      <c r="B2525" s="15" t="s">
        <v>14933</v>
      </c>
      <c r="C2525" s="14" t="s">
        <v>16029</v>
      </c>
      <c r="D2525" s="14" t="s">
        <v>16030</v>
      </c>
      <c r="E2525" s="16" t="s">
        <v>16031</v>
      </c>
      <c r="F2525" s="16" t="s">
        <v>16032</v>
      </c>
      <c r="G2525" s="23" t="s">
        <v>43</v>
      </c>
      <c r="H2525" s="18" t="n">
        <v>2</v>
      </c>
      <c r="I2525" s="20" t="n">
        <v>45.38</v>
      </c>
      <c r="J2525" s="20" t="n">
        <v>95.76</v>
      </c>
      <c r="K2525" s="18" t="n">
        <v>2</v>
      </c>
      <c r="L2525" s="18" t="n">
        <v>4</v>
      </c>
      <c r="M2525" s="18" t="n">
        <v>40</v>
      </c>
      <c r="N2525" s="18" t="n">
        <v>40</v>
      </c>
      <c r="O2525" s="14" t="s">
        <v>1126</v>
      </c>
      <c r="P2525" s="14" t="s">
        <v>84</v>
      </c>
      <c r="Q2525" s="15" t="s">
        <v>1089</v>
      </c>
      <c r="R2525" s="16" t="s">
        <v>16033</v>
      </c>
      <c r="S2525" s="15" t="s">
        <v>16034</v>
      </c>
      <c r="T2525" s="15" t="s">
        <v>16035</v>
      </c>
      <c r="U2525" s="21" t="s">
        <v>72</v>
      </c>
    </row>
    <row r="2526" customFormat="false" ht="15" hidden="false" customHeight="false" outlineLevel="0" collapsed="false">
      <c r="A2526" s="15" t="s">
        <v>14933</v>
      </c>
      <c r="B2526" s="15" t="s">
        <v>14933</v>
      </c>
      <c r="C2526" s="14" t="s">
        <v>16036</v>
      </c>
      <c r="D2526" s="14" t="s">
        <v>16037</v>
      </c>
      <c r="E2526" s="16" t="s">
        <v>16038</v>
      </c>
      <c r="F2526" s="16" t="s">
        <v>16039</v>
      </c>
      <c r="G2526" s="25" t="s">
        <v>39</v>
      </c>
      <c r="H2526" s="18" t="n">
        <v>18</v>
      </c>
      <c r="I2526" s="20" t="n">
        <v>348.56</v>
      </c>
      <c r="J2526" s="20" t="n">
        <v>612.71</v>
      </c>
      <c r="K2526" s="18" t="n">
        <v>4</v>
      </c>
      <c r="L2526" s="18" t="n">
        <v>15</v>
      </c>
      <c r="M2526" s="18" t="n">
        <v>60</v>
      </c>
      <c r="N2526" s="18" t="n">
        <v>60</v>
      </c>
      <c r="O2526" s="14" t="s">
        <v>1088</v>
      </c>
      <c r="P2526" s="14" t="s">
        <v>84</v>
      </c>
      <c r="Q2526" s="15" t="s">
        <v>1089</v>
      </c>
      <c r="R2526" s="16" t="s">
        <v>16040</v>
      </c>
      <c r="S2526" s="15" t="s">
        <v>16041</v>
      </c>
      <c r="T2526" s="15" t="s">
        <v>16042</v>
      </c>
      <c r="U2526" s="21" t="s">
        <v>72</v>
      </c>
    </row>
    <row r="2527" customFormat="false" ht="26.85" hidden="false" customHeight="false" outlineLevel="0" collapsed="false">
      <c r="A2527" s="15" t="s">
        <v>14933</v>
      </c>
      <c r="B2527" s="15" t="s">
        <v>14933</v>
      </c>
      <c r="C2527" s="14" t="s">
        <v>16043</v>
      </c>
      <c r="D2527" s="14" t="s">
        <v>16044</v>
      </c>
      <c r="E2527" s="16" t="s">
        <v>16045</v>
      </c>
      <c r="F2527" s="16" t="s">
        <v>16046</v>
      </c>
      <c r="G2527" s="19" t="s">
        <v>41</v>
      </c>
      <c r="H2527" s="18" t="n">
        <v>7</v>
      </c>
      <c r="I2527" s="20" t="n">
        <v>106.74</v>
      </c>
      <c r="J2527" s="20" t="n">
        <v>219.64</v>
      </c>
      <c r="K2527" s="18" t="n">
        <v>12</v>
      </c>
      <c r="L2527" s="18" t="n">
        <v>6</v>
      </c>
      <c r="M2527" s="18" t="n">
        <v>158</v>
      </c>
      <c r="N2527" s="18" t="n">
        <v>62</v>
      </c>
      <c r="O2527" s="14" t="s">
        <v>16047</v>
      </c>
      <c r="P2527" s="14" t="s">
        <v>84</v>
      </c>
      <c r="Q2527" s="15" t="s">
        <v>1089</v>
      </c>
      <c r="R2527" s="16" t="s">
        <v>13600</v>
      </c>
      <c r="S2527" s="15" t="s">
        <v>16048</v>
      </c>
      <c r="T2527" s="15" t="s">
        <v>16049</v>
      </c>
      <c r="U2527" s="21" t="s">
        <v>72</v>
      </c>
    </row>
    <row r="2528" customFormat="false" ht="15" hidden="false" customHeight="false" outlineLevel="0" collapsed="false">
      <c r="A2528" s="15" t="s">
        <v>14933</v>
      </c>
      <c r="B2528" s="15" t="s">
        <v>14933</v>
      </c>
      <c r="C2528" s="14" t="s">
        <v>16050</v>
      </c>
      <c r="D2528" s="14" t="s">
        <v>16051</v>
      </c>
      <c r="E2528" s="16" t="s">
        <v>16052</v>
      </c>
      <c r="F2528" s="16" t="s">
        <v>16053</v>
      </c>
      <c r="G2528" s="23" t="s">
        <v>43</v>
      </c>
      <c r="H2528" s="18" t="n">
        <v>4</v>
      </c>
      <c r="I2528" s="20" t="n">
        <v>81.41</v>
      </c>
      <c r="J2528" s="20" t="n">
        <v>187.9</v>
      </c>
      <c r="K2528" s="18" t="n">
        <v>4</v>
      </c>
      <c r="L2528" s="18" t="n">
        <v>3</v>
      </c>
      <c r="M2528" s="18" t="n">
        <v>64</v>
      </c>
      <c r="N2528" s="18" t="n">
        <v>64</v>
      </c>
      <c r="O2528" s="14" t="s">
        <v>1088</v>
      </c>
      <c r="P2528" s="14" t="s">
        <v>84</v>
      </c>
      <c r="Q2528" s="15" t="s">
        <v>1089</v>
      </c>
      <c r="R2528" s="16" t="s">
        <v>16054</v>
      </c>
      <c r="S2528" s="15" t="s">
        <v>16055</v>
      </c>
      <c r="T2528" s="15" t="s">
        <v>16055</v>
      </c>
      <c r="U2528" s="21" t="s">
        <v>72</v>
      </c>
    </row>
    <row r="2529" customFormat="false" ht="15" hidden="false" customHeight="false" outlineLevel="0" collapsed="false">
      <c r="A2529" s="15" t="s">
        <v>14933</v>
      </c>
      <c r="B2529" s="15" t="s">
        <v>14933</v>
      </c>
      <c r="C2529" s="14" t="s">
        <v>16056</v>
      </c>
      <c r="D2529" s="14" t="s">
        <v>16057</v>
      </c>
      <c r="E2529" s="16" t="s">
        <v>16058</v>
      </c>
      <c r="F2529" s="16" t="s">
        <v>16059</v>
      </c>
      <c r="G2529" s="23" t="s">
        <v>43</v>
      </c>
      <c r="H2529" s="18" t="n">
        <v>2</v>
      </c>
      <c r="I2529" s="20" t="n">
        <v>58.645</v>
      </c>
      <c r="J2529" s="20" t="n">
        <v>150.66</v>
      </c>
      <c r="K2529" s="18" t="n">
        <v>2</v>
      </c>
      <c r="L2529" s="18" t="n">
        <v>1</v>
      </c>
      <c r="M2529" s="18" t="n">
        <v>34</v>
      </c>
      <c r="N2529" s="18" t="n">
        <v>34</v>
      </c>
      <c r="O2529" s="14" t="s">
        <v>1126</v>
      </c>
      <c r="P2529" s="14" t="s">
        <v>84</v>
      </c>
      <c r="Q2529" s="15" t="s">
        <v>1089</v>
      </c>
      <c r="R2529" s="16" t="s">
        <v>16060</v>
      </c>
      <c r="S2529" s="15" t="s">
        <v>16061</v>
      </c>
      <c r="T2529" s="15" t="s">
        <v>16061</v>
      </c>
      <c r="U2529" s="21" t="s">
        <v>72</v>
      </c>
    </row>
    <row r="2530" customFormat="false" ht="15" hidden="false" customHeight="false" outlineLevel="0" collapsed="false">
      <c r="A2530" s="15" t="s">
        <v>14933</v>
      </c>
      <c r="B2530" s="15" t="s">
        <v>14933</v>
      </c>
      <c r="C2530" s="14" t="s">
        <v>16062</v>
      </c>
      <c r="D2530" s="14" t="s">
        <v>16063</v>
      </c>
      <c r="E2530" s="16" t="s">
        <v>16064</v>
      </c>
      <c r="F2530" s="16"/>
      <c r="G2530" s="23" t="s">
        <v>43</v>
      </c>
      <c r="H2530" s="18" t="n">
        <v>1</v>
      </c>
      <c r="I2530" s="20" t="n">
        <v>24.948</v>
      </c>
      <c r="J2530" s="20" t="n">
        <v>143.222</v>
      </c>
      <c r="K2530" s="18" t="n">
        <v>1</v>
      </c>
      <c r="L2530" s="18" t="n">
        <v>7</v>
      </c>
      <c r="M2530" s="18" t="n">
        <v>20</v>
      </c>
      <c r="N2530" s="18" t="n">
        <v>20</v>
      </c>
      <c r="O2530" s="14" t="s">
        <v>1126</v>
      </c>
      <c r="P2530" s="14" t="s">
        <v>84</v>
      </c>
      <c r="Q2530" s="15" t="s">
        <v>1089</v>
      </c>
      <c r="R2530" s="16" t="s">
        <v>16065</v>
      </c>
      <c r="S2530" s="15" t="s">
        <v>16066</v>
      </c>
      <c r="T2530" s="15" t="s">
        <v>16067</v>
      </c>
      <c r="U2530" s="21" t="s">
        <v>72</v>
      </c>
    </row>
    <row r="2531" customFormat="false" ht="26.85" hidden="false" customHeight="false" outlineLevel="0" collapsed="false">
      <c r="A2531" s="15" t="s">
        <v>14933</v>
      </c>
      <c r="B2531" s="15" t="s">
        <v>14933</v>
      </c>
      <c r="C2531" s="14" t="s">
        <v>16068</v>
      </c>
      <c r="D2531" s="14" t="s">
        <v>16069</v>
      </c>
      <c r="E2531" s="16" t="s">
        <v>16070</v>
      </c>
      <c r="F2531" s="16" t="s">
        <v>16071</v>
      </c>
      <c r="G2531" s="23" t="s">
        <v>43</v>
      </c>
      <c r="H2531" s="18" t="n">
        <v>2</v>
      </c>
      <c r="I2531" s="20" t="n">
        <v>42.5</v>
      </c>
      <c r="J2531" s="20" t="n">
        <v>128.42</v>
      </c>
      <c r="K2531" s="18" t="n">
        <v>6</v>
      </c>
      <c r="L2531" s="18" t="n">
        <v>4</v>
      </c>
      <c r="M2531" s="18" t="n">
        <v>102</v>
      </c>
      <c r="N2531" s="18" t="n">
        <v>74</v>
      </c>
      <c r="O2531" s="14" t="s">
        <v>16072</v>
      </c>
      <c r="P2531" s="14" t="s">
        <v>84</v>
      </c>
      <c r="Q2531" s="15" t="s">
        <v>1089</v>
      </c>
      <c r="R2531" s="16" t="s">
        <v>16073</v>
      </c>
      <c r="S2531" s="15" t="s">
        <v>16074</v>
      </c>
      <c r="T2531" s="15" t="s">
        <v>16074</v>
      </c>
      <c r="U2531" s="21" t="s">
        <v>72</v>
      </c>
    </row>
    <row r="2532" customFormat="false" ht="15" hidden="false" customHeight="false" outlineLevel="0" collapsed="false">
      <c r="A2532" s="15" t="s">
        <v>14933</v>
      </c>
      <c r="B2532" s="15" t="s">
        <v>14933</v>
      </c>
      <c r="C2532" s="14" t="s">
        <v>16075</v>
      </c>
      <c r="D2532" s="14" t="s">
        <v>16076</v>
      </c>
      <c r="E2532" s="16" t="s">
        <v>16077</v>
      </c>
      <c r="F2532" s="16" t="s">
        <v>16078</v>
      </c>
      <c r="G2532" s="23" t="s">
        <v>43</v>
      </c>
      <c r="H2532" s="18" t="n">
        <v>3</v>
      </c>
      <c r="I2532" s="20" t="n">
        <v>104.51</v>
      </c>
      <c r="J2532" s="20" t="n">
        <v>158.25</v>
      </c>
      <c r="K2532" s="18" t="n">
        <v>2</v>
      </c>
      <c r="L2532" s="18" t="n">
        <v>1</v>
      </c>
      <c r="M2532" s="18" t="n">
        <v>40</v>
      </c>
      <c r="N2532" s="18" t="n">
        <v>40</v>
      </c>
      <c r="O2532" s="14" t="s">
        <v>15098</v>
      </c>
      <c r="P2532" s="14" t="s">
        <v>84</v>
      </c>
      <c r="Q2532" s="15" t="s">
        <v>1089</v>
      </c>
      <c r="R2532" s="16" t="s">
        <v>16079</v>
      </c>
      <c r="S2532" s="15" t="s">
        <v>16080</v>
      </c>
      <c r="T2532" s="15" t="s">
        <v>16080</v>
      </c>
      <c r="U2532" s="21" t="s">
        <v>72</v>
      </c>
    </row>
    <row r="2533" customFormat="false" ht="26.85" hidden="false" customHeight="false" outlineLevel="0" collapsed="false">
      <c r="A2533" s="15" t="s">
        <v>14933</v>
      </c>
      <c r="B2533" s="15" t="s">
        <v>14933</v>
      </c>
      <c r="C2533" s="14" t="s">
        <v>16081</v>
      </c>
      <c r="D2533" s="14" t="s">
        <v>16082</v>
      </c>
      <c r="E2533" s="16" t="s">
        <v>16083</v>
      </c>
      <c r="F2533" s="16" t="s">
        <v>16084</v>
      </c>
      <c r="G2533" s="25" t="s">
        <v>39</v>
      </c>
      <c r="H2533" s="18" t="n">
        <v>11</v>
      </c>
      <c r="I2533" s="20" t="n">
        <v>171.67</v>
      </c>
      <c r="J2533" s="20" t="n">
        <v>338.54</v>
      </c>
      <c r="K2533" s="18" t="n">
        <v>13</v>
      </c>
      <c r="L2533" s="18" t="n">
        <v>22</v>
      </c>
      <c r="M2533" s="18" t="n">
        <v>168</v>
      </c>
      <c r="N2533" s="18" t="n">
        <v>63</v>
      </c>
      <c r="O2533" s="14" t="s">
        <v>16085</v>
      </c>
      <c r="P2533" s="14" t="s">
        <v>84</v>
      </c>
      <c r="Q2533" s="15" t="s">
        <v>1089</v>
      </c>
      <c r="R2533" s="16" t="s">
        <v>5011</v>
      </c>
      <c r="S2533" s="15" t="s">
        <v>16086</v>
      </c>
      <c r="T2533" s="15" t="s">
        <v>16087</v>
      </c>
      <c r="U2533" s="21" t="s">
        <v>72</v>
      </c>
    </row>
    <row r="2534" customFormat="false" ht="15" hidden="false" customHeight="false" outlineLevel="0" collapsed="false">
      <c r="A2534" s="15" t="s">
        <v>14933</v>
      </c>
      <c r="B2534" s="15" t="s">
        <v>14933</v>
      </c>
      <c r="C2534" s="14" t="s">
        <v>16088</v>
      </c>
      <c r="D2534" s="14" t="s">
        <v>16089</v>
      </c>
      <c r="E2534" s="16" t="s">
        <v>16090</v>
      </c>
      <c r="F2534" s="16"/>
      <c r="G2534" s="23" t="s">
        <v>43</v>
      </c>
      <c r="H2534" s="18" t="n">
        <v>3</v>
      </c>
      <c r="I2534" s="20" t="n">
        <v>80.76</v>
      </c>
      <c r="J2534" s="20" t="n">
        <v>188.4</v>
      </c>
      <c r="K2534" s="18" t="n">
        <v>5</v>
      </c>
      <c r="L2534" s="18" t="n">
        <v>5</v>
      </c>
      <c r="M2534" s="18" t="n">
        <v>85</v>
      </c>
      <c r="N2534" s="18" t="n">
        <v>85</v>
      </c>
      <c r="O2534" s="14" t="s">
        <v>1126</v>
      </c>
      <c r="P2534" s="14" t="s">
        <v>84</v>
      </c>
      <c r="Q2534" s="15" t="s">
        <v>1089</v>
      </c>
      <c r="R2534" s="16" t="s">
        <v>9253</v>
      </c>
      <c r="S2534" s="15" t="s">
        <v>16091</v>
      </c>
      <c r="T2534" s="15" t="s">
        <v>16092</v>
      </c>
      <c r="U2534" s="21" t="s">
        <v>72</v>
      </c>
    </row>
    <row r="2535" customFormat="false" ht="26.85" hidden="false" customHeight="false" outlineLevel="0" collapsed="false">
      <c r="A2535" s="15" t="s">
        <v>14933</v>
      </c>
      <c r="B2535" s="15" t="s">
        <v>14933</v>
      </c>
      <c r="C2535" s="14" t="s">
        <v>16093</v>
      </c>
      <c r="D2535" s="14" t="s">
        <v>16094</v>
      </c>
      <c r="E2535" s="16" t="s">
        <v>16095</v>
      </c>
      <c r="F2535" s="16"/>
      <c r="G2535" s="23" t="s">
        <v>43</v>
      </c>
      <c r="H2535" s="18" t="n">
        <v>2</v>
      </c>
      <c r="I2535" s="20" t="n">
        <v>41.35</v>
      </c>
      <c r="J2535" s="20" t="n">
        <v>95.78</v>
      </c>
      <c r="K2535" s="18" t="n">
        <v>5</v>
      </c>
      <c r="L2535" s="18" t="n">
        <v>1</v>
      </c>
      <c r="M2535" s="18" t="n">
        <v>85</v>
      </c>
      <c r="N2535" s="18" t="n">
        <v>85</v>
      </c>
      <c r="O2535" s="14" t="s">
        <v>16096</v>
      </c>
      <c r="P2535" s="14" t="s">
        <v>84</v>
      </c>
      <c r="Q2535" s="15" t="s">
        <v>1089</v>
      </c>
      <c r="R2535" s="16" t="s">
        <v>16097</v>
      </c>
      <c r="S2535" s="15" t="s">
        <v>16098</v>
      </c>
      <c r="T2535" s="15" t="s">
        <v>16098</v>
      </c>
      <c r="U2535" s="21" t="s">
        <v>72</v>
      </c>
    </row>
    <row r="2536" customFormat="false" ht="15" hidden="false" customHeight="false" outlineLevel="0" collapsed="false">
      <c r="A2536" s="15" t="s">
        <v>14933</v>
      </c>
      <c r="B2536" s="15" t="s">
        <v>14933</v>
      </c>
      <c r="C2536" s="14" t="s">
        <v>16099</v>
      </c>
      <c r="D2536" s="14" t="s">
        <v>16100</v>
      </c>
      <c r="E2536" s="16" t="s">
        <v>16101</v>
      </c>
      <c r="F2536" s="16"/>
      <c r="G2536" s="23" t="s">
        <v>43</v>
      </c>
      <c r="H2536" s="18" t="n">
        <v>2</v>
      </c>
      <c r="I2536" s="20" t="n">
        <v>73.74</v>
      </c>
      <c r="J2536" s="20" t="n">
        <v>146.26</v>
      </c>
      <c r="K2536" s="18" t="n">
        <v>4</v>
      </c>
      <c r="L2536" s="18" t="n">
        <v>1</v>
      </c>
      <c r="M2536" s="18" t="n">
        <v>132</v>
      </c>
      <c r="N2536" s="18" t="n">
        <v>70</v>
      </c>
      <c r="O2536" s="14" t="s">
        <v>1126</v>
      </c>
      <c r="P2536" s="14" t="s">
        <v>84</v>
      </c>
      <c r="Q2536" s="15" t="s">
        <v>1089</v>
      </c>
      <c r="R2536" s="16" t="s">
        <v>15898</v>
      </c>
      <c r="S2536" s="15" t="s">
        <v>16102</v>
      </c>
      <c r="T2536" s="15" t="s">
        <v>16102</v>
      </c>
      <c r="U2536" s="21" t="s">
        <v>72</v>
      </c>
    </row>
    <row r="2537" customFormat="false" ht="15" hidden="false" customHeight="false" outlineLevel="0" collapsed="false">
      <c r="A2537" s="15" t="s">
        <v>14933</v>
      </c>
      <c r="B2537" s="15" t="s">
        <v>14933</v>
      </c>
      <c r="C2537" s="14" t="s">
        <v>16103</v>
      </c>
      <c r="D2537" s="14" t="s">
        <v>16104</v>
      </c>
      <c r="E2537" s="16" t="s">
        <v>16105</v>
      </c>
      <c r="F2537" s="16" t="s">
        <v>16106</v>
      </c>
      <c r="G2537" s="23" t="s">
        <v>43</v>
      </c>
      <c r="H2537" s="18" t="n">
        <v>2</v>
      </c>
      <c r="I2537" s="20" t="n">
        <v>47.42</v>
      </c>
      <c r="J2537" s="20" t="n">
        <v>116.98</v>
      </c>
      <c r="K2537" s="18" t="n">
        <v>6</v>
      </c>
      <c r="L2537" s="18" t="n">
        <v>3</v>
      </c>
      <c r="M2537" s="18" t="n">
        <v>114</v>
      </c>
      <c r="N2537" s="18" t="n">
        <v>57</v>
      </c>
      <c r="O2537" s="14" t="s">
        <v>16107</v>
      </c>
      <c r="P2537" s="14" t="s">
        <v>84</v>
      </c>
      <c r="Q2537" s="15" t="s">
        <v>1089</v>
      </c>
      <c r="R2537" s="16" t="s">
        <v>16108</v>
      </c>
      <c r="S2537" s="15" t="s">
        <v>16109</v>
      </c>
      <c r="T2537" s="15" t="s">
        <v>16109</v>
      </c>
      <c r="U2537" s="21" t="s">
        <v>72</v>
      </c>
    </row>
    <row r="2538" customFormat="false" ht="26.85" hidden="false" customHeight="false" outlineLevel="0" collapsed="false">
      <c r="A2538" s="15" t="s">
        <v>14933</v>
      </c>
      <c r="B2538" s="15" t="s">
        <v>14933</v>
      </c>
      <c r="C2538" s="14" t="s">
        <v>16110</v>
      </c>
      <c r="D2538" s="14" t="s">
        <v>16111</v>
      </c>
      <c r="E2538" s="16" t="s">
        <v>16112</v>
      </c>
      <c r="F2538" s="16" t="s">
        <v>16113</v>
      </c>
      <c r="G2538" s="23" t="s">
        <v>43</v>
      </c>
      <c r="H2538" s="18" t="n">
        <v>2</v>
      </c>
      <c r="I2538" s="20" t="n">
        <v>35</v>
      </c>
      <c r="J2538" s="20" t="n">
        <v>141.67</v>
      </c>
      <c r="K2538" s="18" t="n">
        <v>5</v>
      </c>
      <c r="L2538" s="18" t="n">
        <v>4</v>
      </c>
      <c r="M2538" s="18" t="n">
        <v>71</v>
      </c>
      <c r="N2538" s="18" t="n">
        <v>71</v>
      </c>
      <c r="O2538" s="14" t="s">
        <v>16114</v>
      </c>
      <c r="P2538" s="14" t="s">
        <v>84</v>
      </c>
      <c r="Q2538" s="15" t="s">
        <v>1089</v>
      </c>
      <c r="R2538" s="16" t="s">
        <v>16115</v>
      </c>
      <c r="S2538" s="15" t="s">
        <v>16116</v>
      </c>
      <c r="T2538" s="15" t="s">
        <v>16117</v>
      </c>
      <c r="U2538" s="21" t="s">
        <v>72</v>
      </c>
    </row>
    <row r="2539" customFormat="false" ht="15" hidden="false" customHeight="false" outlineLevel="0" collapsed="false">
      <c r="A2539" s="15" t="s">
        <v>14933</v>
      </c>
      <c r="B2539" s="15" t="s">
        <v>14933</v>
      </c>
      <c r="C2539" s="14" t="s">
        <v>16118</v>
      </c>
      <c r="D2539" s="14" t="s">
        <v>16119</v>
      </c>
      <c r="E2539" s="16" t="s">
        <v>16120</v>
      </c>
      <c r="F2539" s="16" t="s">
        <v>16121</v>
      </c>
      <c r="G2539" s="19" t="s">
        <v>41</v>
      </c>
      <c r="H2539" s="18" t="n">
        <v>2</v>
      </c>
      <c r="I2539" s="20" t="n">
        <v>30</v>
      </c>
      <c r="J2539" s="20" t="n">
        <v>216.3</v>
      </c>
      <c r="K2539" s="18" t="n">
        <v>5</v>
      </c>
      <c r="L2539" s="18" t="n">
        <v>4</v>
      </c>
      <c r="M2539" s="18" t="n">
        <v>125</v>
      </c>
      <c r="N2539" s="18" t="n">
        <v>125</v>
      </c>
      <c r="O2539" s="14" t="s">
        <v>15098</v>
      </c>
      <c r="P2539" s="14" t="s">
        <v>84</v>
      </c>
      <c r="Q2539" s="15" t="s">
        <v>1089</v>
      </c>
      <c r="R2539" s="16" t="s">
        <v>16122</v>
      </c>
      <c r="S2539" s="15" t="s">
        <v>16123</v>
      </c>
      <c r="T2539" s="15" t="s">
        <v>16124</v>
      </c>
      <c r="U2539" s="21" t="s">
        <v>72</v>
      </c>
    </row>
    <row r="2540" customFormat="false" ht="39.55" hidden="false" customHeight="false" outlineLevel="0" collapsed="false">
      <c r="A2540" s="15" t="s">
        <v>14933</v>
      </c>
      <c r="B2540" s="15" t="s">
        <v>14933</v>
      </c>
      <c r="C2540" s="14" t="s">
        <v>16125</v>
      </c>
      <c r="D2540" s="14" t="s">
        <v>16126</v>
      </c>
      <c r="E2540" s="16" t="s">
        <v>16127</v>
      </c>
      <c r="F2540" s="16" t="s">
        <v>16128</v>
      </c>
      <c r="G2540" s="19" t="s">
        <v>41</v>
      </c>
      <c r="H2540" s="18" t="n">
        <v>5</v>
      </c>
      <c r="I2540" s="20" t="n">
        <v>184.95</v>
      </c>
      <c r="J2540" s="20" t="n">
        <v>384.428</v>
      </c>
      <c r="K2540" s="18" t="n">
        <v>17</v>
      </c>
      <c r="L2540" s="18" t="n">
        <v>2</v>
      </c>
      <c r="M2540" s="18" t="n">
        <v>475</v>
      </c>
      <c r="N2540" s="18" t="n">
        <v>186</v>
      </c>
      <c r="O2540" s="14" t="s">
        <v>16129</v>
      </c>
      <c r="P2540" s="14" t="s">
        <v>84</v>
      </c>
      <c r="Q2540" s="15" t="s">
        <v>1089</v>
      </c>
      <c r="R2540" s="16" t="s">
        <v>16130</v>
      </c>
      <c r="S2540" s="15" t="s">
        <v>16131</v>
      </c>
      <c r="T2540" s="15" t="s">
        <v>16131</v>
      </c>
      <c r="U2540" s="21" t="s">
        <v>72</v>
      </c>
    </row>
    <row r="2541" customFormat="false" ht="26.85" hidden="false" customHeight="false" outlineLevel="0" collapsed="false">
      <c r="A2541" s="15" t="s">
        <v>14933</v>
      </c>
      <c r="B2541" s="15" t="s">
        <v>14933</v>
      </c>
      <c r="C2541" s="14" t="s">
        <v>16132</v>
      </c>
      <c r="D2541" s="14" t="s">
        <v>16133</v>
      </c>
      <c r="E2541" s="16" t="s">
        <v>16134</v>
      </c>
      <c r="F2541" s="16" t="s">
        <v>16135</v>
      </c>
      <c r="G2541" s="25" t="s">
        <v>39</v>
      </c>
      <c r="H2541" s="18" t="n">
        <v>8</v>
      </c>
      <c r="I2541" s="20" t="n">
        <v>174.89</v>
      </c>
      <c r="J2541" s="20" t="n">
        <v>315.13</v>
      </c>
      <c r="K2541" s="18" t="n">
        <v>5</v>
      </c>
      <c r="L2541" s="18" t="n">
        <v>5</v>
      </c>
      <c r="M2541" s="18" t="n">
        <v>75</v>
      </c>
      <c r="N2541" s="18" t="n">
        <v>75</v>
      </c>
      <c r="O2541" s="14" t="s">
        <v>16136</v>
      </c>
      <c r="P2541" s="14" t="s">
        <v>84</v>
      </c>
      <c r="Q2541" s="15" t="s">
        <v>1089</v>
      </c>
      <c r="R2541" s="16" t="s">
        <v>16137</v>
      </c>
      <c r="S2541" s="15" t="s">
        <v>16138</v>
      </c>
      <c r="T2541" s="15" t="s">
        <v>16139</v>
      </c>
      <c r="U2541" s="21" t="s">
        <v>72</v>
      </c>
    </row>
    <row r="2542" customFormat="false" ht="15" hidden="false" customHeight="false" outlineLevel="0" collapsed="false">
      <c r="A2542" s="15" t="s">
        <v>14933</v>
      </c>
      <c r="B2542" s="15" t="s">
        <v>14933</v>
      </c>
      <c r="C2542" s="14" t="s">
        <v>16140</v>
      </c>
      <c r="D2542" s="14" t="s">
        <v>16141</v>
      </c>
      <c r="E2542" s="16" t="s">
        <v>16142</v>
      </c>
      <c r="F2542" s="16" t="s">
        <v>16143</v>
      </c>
      <c r="G2542" s="23" t="s">
        <v>43</v>
      </c>
      <c r="H2542" s="18" t="n">
        <v>3</v>
      </c>
      <c r="I2542" s="20" t="n">
        <v>51.09</v>
      </c>
      <c r="J2542" s="20" t="n">
        <v>135.97</v>
      </c>
      <c r="K2542" s="18" t="n">
        <v>6</v>
      </c>
      <c r="L2542" s="18" t="n">
        <v>4</v>
      </c>
      <c r="M2542" s="18" t="n">
        <v>82</v>
      </c>
      <c r="N2542" s="18" t="n">
        <v>82</v>
      </c>
      <c r="O2542" s="14" t="s">
        <v>1088</v>
      </c>
      <c r="P2542" s="14" t="s">
        <v>84</v>
      </c>
      <c r="Q2542" s="15" t="s">
        <v>1089</v>
      </c>
      <c r="R2542" s="16" t="s">
        <v>16144</v>
      </c>
      <c r="S2542" s="15" t="s">
        <v>16145</v>
      </c>
      <c r="T2542" s="15" t="s">
        <v>16146</v>
      </c>
      <c r="U2542" s="21" t="s">
        <v>72</v>
      </c>
    </row>
    <row r="2543" customFormat="false" ht="15" hidden="false" customHeight="false" outlineLevel="0" collapsed="false">
      <c r="A2543" s="15" t="s">
        <v>14933</v>
      </c>
      <c r="B2543" s="15" t="s">
        <v>14933</v>
      </c>
      <c r="C2543" s="14" t="s">
        <v>16147</v>
      </c>
      <c r="D2543" s="14" t="s">
        <v>16148</v>
      </c>
      <c r="E2543" s="16" t="s">
        <v>16149</v>
      </c>
      <c r="F2543" s="16"/>
      <c r="G2543" s="23" t="s">
        <v>43</v>
      </c>
      <c r="H2543" s="18" t="n">
        <v>4</v>
      </c>
      <c r="I2543" s="20" t="n">
        <v>57.42</v>
      </c>
      <c r="J2543" s="20" t="n">
        <v>163.6</v>
      </c>
      <c r="K2543" s="18" t="n">
        <v>4</v>
      </c>
      <c r="L2543" s="18" t="n">
        <v>5</v>
      </c>
      <c r="M2543" s="18" t="n">
        <v>36</v>
      </c>
      <c r="N2543" s="18" t="n">
        <v>12</v>
      </c>
      <c r="O2543" s="14" t="s">
        <v>1126</v>
      </c>
      <c r="P2543" s="14" t="s">
        <v>84</v>
      </c>
      <c r="Q2543" s="15" t="s">
        <v>1089</v>
      </c>
      <c r="R2543" s="16" t="s">
        <v>16150</v>
      </c>
      <c r="S2543" s="15" t="s">
        <v>16151</v>
      </c>
      <c r="T2543" s="15" t="s">
        <v>16151</v>
      </c>
      <c r="U2543" s="21" t="s">
        <v>72</v>
      </c>
    </row>
    <row r="2544" customFormat="false" ht="15" hidden="false" customHeight="false" outlineLevel="0" collapsed="false">
      <c r="A2544" s="15" t="s">
        <v>14933</v>
      </c>
      <c r="B2544" s="15" t="s">
        <v>14933</v>
      </c>
      <c r="C2544" s="14" t="s">
        <v>16152</v>
      </c>
      <c r="D2544" s="14" t="s">
        <v>16153</v>
      </c>
      <c r="E2544" s="16" t="s">
        <v>16154</v>
      </c>
      <c r="F2544" s="16" t="s">
        <v>16155</v>
      </c>
      <c r="G2544" s="23" t="s">
        <v>43</v>
      </c>
      <c r="H2544" s="18" t="n">
        <v>1</v>
      </c>
      <c r="I2544" s="20" t="n">
        <v>30</v>
      </c>
      <c r="J2544" s="20" t="n">
        <v>70</v>
      </c>
      <c r="K2544" s="18" t="n">
        <v>5</v>
      </c>
      <c r="L2544" s="18" t="n">
        <v>4</v>
      </c>
      <c r="M2544" s="18" t="n">
        <v>125</v>
      </c>
      <c r="N2544" s="18" t="n">
        <v>25</v>
      </c>
      <c r="O2544" s="14" t="s">
        <v>1088</v>
      </c>
      <c r="P2544" s="14" t="s">
        <v>84</v>
      </c>
      <c r="Q2544" s="15" t="s">
        <v>1089</v>
      </c>
      <c r="R2544" s="16" t="s">
        <v>16156</v>
      </c>
      <c r="S2544" s="15" t="s">
        <v>16157</v>
      </c>
      <c r="T2544" s="15" t="s">
        <v>16158</v>
      </c>
      <c r="U2544" s="21" t="s">
        <v>72</v>
      </c>
    </row>
    <row r="2545" customFormat="false" ht="15" hidden="false" customHeight="false" outlineLevel="0" collapsed="false">
      <c r="A2545" s="15" t="s">
        <v>14933</v>
      </c>
      <c r="B2545" s="15" t="s">
        <v>14933</v>
      </c>
      <c r="C2545" s="14" t="s">
        <v>16159</v>
      </c>
      <c r="D2545" s="14" t="s">
        <v>16160</v>
      </c>
      <c r="E2545" s="16" t="s">
        <v>16161</v>
      </c>
      <c r="F2545" s="16" t="s">
        <v>16162</v>
      </c>
      <c r="G2545" s="19" t="s">
        <v>41</v>
      </c>
      <c r="H2545" s="18" t="n">
        <v>5</v>
      </c>
      <c r="I2545" s="20" t="n">
        <v>75.36</v>
      </c>
      <c r="J2545" s="20" t="n">
        <v>132.5</v>
      </c>
      <c r="K2545" s="18" t="n">
        <v>4</v>
      </c>
      <c r="L2545" s="18" t="n">
        <v>4</v>
      </c>
      <c r="M2545" s="18" t="n">
        <v>80</v>
      </c>
      <c r="N2545" s="18" t="n">
        <v>80</v>
      </c>
      <c r="O2545" s="14" t="s">
        <v>1126</v>
      </c>
      <c r="P2545" s="14" t="s">
        <v>84</v>
      </c>
      <c r="Q2545" s="15" t="s">
        <v>1089</v>
      </c>
      <c r="R2545" s="16" t="s">
        <v>3254</v>
      </c>
      <c r="S2545" s="15" t="s">
        <v>16034</v>
      </c>
      <c r="T2545" s="15" t="s">
        <v>16163</v>
      </c>
      <c r="U2545" s="21" t="s">
        <v>72</v>
      </c>
    </row>
    <row r="2546" customFormat="false" ht="15" hidden="false" customHeight="false" outlineLevel="0" collapsed="false">
      <c r="A2546" s="15" t="s">
        <v>14933</v>
      </c>
      <c r="B2546" s="15" t="s">
        <v>14933</v>
      </c>
      <c r="C2546" s="14" t="s">
        <v>16164</v>
      </c>
      <c r="D2546" s="14" t="s">
        <v>16165</v>
      </c>
      <c r="E2546" s="16" t="s">
        <v>16166</v>
      </c>
      <c r="F2546" s="16"/>
      <c r="G2546" s="23" t="s">
        <v>43</v>
      </c>
      <c r="H2546" s="18" t="n">
        <v>2</v>
      </c>
      <c r="I2546" s="20" t="n">
        <v>35.7</v>
      </c>
      <c r="J2546" s="20" t="n">
        <v>131.27</v>
      </c>
      <c r="K2546" s="18" t="n">
        <v>3</v>
      </c>
      <c r="L2546" s="18" t="n">
        <v>1</v>
      </c>
      <c r="M2546" s="18" t="n">
        <v>60</v>
      </c>
      <c r="N2546" s="18" t="n">
        <v>60</v>
      </c>
      <c r="O2546" s="14" t="s">
        <v>1126</v>
      </c>
      <c r="P2546" s="14" t="s">
        <v>84</v>
      </c>
      <c r="Q2546" s="15" t="s">
        <v>1089</v>
      </c>
      <c r="R2546" s="16" t="s">
        <v>16167</v>
      </c>
      <c r="S2546" s="15" t="s">
        <v>16168</v>
      </c>
      <c r="T2546" s="15" t="s">
        <v>16168</v>
      </c>
      <c r="U2546" s="21" t="s">
        <v>72</v>
      </c>
    </row>
    <row r="2547" customFormat="false" ht="15" hidden="false" customHeight="false" outlineLevel="0" collapsed="false">
      <c r="A2547" s="15" t="s">
        <v>14933</v>
      </c>
      <c r="B2547" s="15" t="s">
        <v>14933</v>
      </c>
      <c r="C2547" s="14" t="s">
        <v>16169</v>
      </c>
      <c r="D2547" s="14" t="s">
        <v>16170</v>
      </c>
      <c r="E2547" s="16" t="s">
        <v>16171</v>
      </c>
      <c r="F2547" s="16" t="s">
        <v>16172</v>
      </c>
      <c r="G2547" s="23" t="s">
        <v>43</v>
      </c>
      <c r="H2547" s="18" t="n">
        <v>3</v>
      </c>
      <c r="I2547" s="20" t="n">
        <v>57.96</v>
      </c>
      <c r="J2547" s="20" t="n">
        <v>117.5</v>
      </c>
      <c r="K2547" s="18" t="n">
        <v>2</v>
      </c>
      <c r="L2547" s="18" t="n">
        <v>2</v>
      </c>
      <c r="M2547" s="18" t="n">
        <v>48</v>
      </c>
      <c r="N2547" s="18" t="n">
        <v>24</v>
      </c>
      <c r="O2547" s="14" t="s">
        <v>1126</v>
      </c>
      <c r="P2547" s="14" t="s">
        <v>118</v>
      </c>
      <c r="Q2547" s="15" t="s">
        <v>1089</v>
      </c>
      <c r="R2547" s="16" t="s">
        <v>14505</v>
      </c>
      <c r="S2547" s="15" t="s">
        <v>15505</v>
      </c>
      <c r="T2547" s="15" t="s">
        <v>16173</v>
      </c>
      <c r="U2547" s="21" t="s">
        <v>72</v>
      </c>
    </row>
    <row r="2548" customFormat="false" ht="15" hidden="false" customHeight="false" outlineLevel="0" collapsed="false">
      <c r="A2548" s="15" t="s">
        <v>14933</v>
      </c>
      <c r="B2548" s="15" t="s">
        <v>14933</v>
      </c>
      <c r="C2548" s="14" t="s">
        <v>16174</v>
      </c>
      <c r="D2548" s="14" t="s">
        <v>16175</v>
      </c>
      <c r="E2548" s="16" t="s">
        <v>16176</v>
      </c>
      <c r="F2548" s="16" t="s">
        <v>16177</v>
      </c>
      <c r="G2548" s="23" t="s">
        <v>43</v>
      </c>
      <c r="H2548" s="18" t="n">
        <v>2</v>
      </c>
      <c r="I2548" s="20" t="n">
        <v>36.12</v>
      </c>
      <c r="J2548" s="20" t="n">
        <v>193.68</v>
      </c>
      <c r="K2548" s="18" t="n">
        <v>2</v>
      </c>
      <c r="L2548" s="18" t="n">
        <v>3</v>
      </c>
      <c r="M2548" s="18" t="n">
        <v>30</v>
      </c>
      <c r="N2548" s="18" t="n">
        <v>15</v>
      </c>
      <c r="O2548" s="14" t="s">
        <v>1126</v>
      </c>
      <c r="P2548" s="14" t="s">
        <v>94</v>
      </c>
      <c r="Q2548" s="15" t="s">
        <v>1089</v>
      </c>
      <c r="R2548" s="16" t="s">
        <v>16178</v>
      </c>
      <c r="S2548" s="15" t="s">
        <v>16179</v>
      </c>
      <c r="T2548" s="15" t="s">
        <v>16179</v>
      </c>
      <c r="U2548" s="21" t="s">
        <v>72</v>
      </c>
    </row>
    <row r="2549" customFormat="false" ht="15" hidden="false" customHeight="false" outlineLevel="0" collapsed="false">
      <c r="A2549" s="15" t="s">
        <v>14933</v>
      </c>
      <c r="B2549" s="15" t="s">
        <v>14933</v>
      </c>
      <c r="C2549" s="14" t="s">
        <v>16180</v>
      </c>
      <c r="D2549" s="14" t="s">
        <v>16181</v>
      </c>
      <c r="E2549" s="16" t="s">
        <v>16182</v>
      </c>
      <c r="F2549" s="16"/>
      <c r="G2549" s="25" t="s">
        <v>39</v>
      </c>
      <c r="H2549" s="18" t="n">
        <v>1</v>
      </c>
      <c r="I2549" s="20" t="n">
        <v>30</v>
      </c>
      <c r="J2549" s="20" t="n">
        <v>577.81</v>
      </c>
      <c r="K2549" s="18" t="n">
        <v>4</v>
      </c>
      <c r="L2549" s="18" t="n">
        <v>7</v>
      </c>
      <c r="M2549" s="18" t="n">
        <v>152</v>
      </c>
      <c r="N2549" s="18" t="n">
        <v>152</v>
      </c>
      <c r="O2549" s="14" t="s">
        <v>1126</v>
      </c>
      <c r="P2549" s="14" t="s">
        <v>84</v>
      </c>
      <c r="Q2549" s="15" t="s">
        <v>1089</v>
      </c>
      <c r="R2549" s="16" t="s">
        <v>16183</v>
      </c>
      <c r="S2549" s="15" t="s">
        <v>16184</v>
      </c>
      <c r="T2549" s="15" t="s">
        <v>16184</v>
      </c>
      <c r="U2549" s="21" t="s">
        <v>72</v>
      </c>
    </row>
    <row r="2550" customFormat="false" ht="15" hidden="false" customHeight="false" outlineLevel="0" collapsed="false">
      <c r="A2550" s="15" t="s">
        <v>14933</v>
      </c>
      <c r="B2550" s="15" t="s">
        <v>14933</v>
      </c>
      <c r="C2550" s="14" t="s">
        <v>16185</v>
      </c>
      <c r="D2550" s="14" t="s">
        <v>16186</v>
      </c>
      <c r="E2550" s="16" t="s">
        <v>16187</v>
      </c>
      <c r="F2550" s="16" t="s">
        <v>16188</v>
      </c>
      <c r="G2550" s="25" t="s">
        <v>39</v>
      </c>
      <c r="H2550" s="18" t="n">
        <v>4</v>
      </c>
      <c r="I2550" s="20" t="n">
        <v>188.16</v>
      </c>
      <c r="J2550" s="20" t="n">
        <v>435.57</v>
      </c>
      <c r="K2550" s="18" t="n">
        <v>10</v>
      </c>
      <c r="L2550" s="18" t="n">
        <v>4</v>
      </c>
      <c r="M2550" s="18" t="n">
        <v>388</v>
      </c>
      <c r="N2550" s="18" t="n">
        <v>156</v>
      </c>
      <c r="O2550" s="14" t="s">
        <v>16189</v>
      </c>
      <c r="P2550" s="14" t="s">
        <v>118</v>
      </c>
      <c r="Q2550" s="15" t="s">
        <v>1089</v>
      </c>
      <c r="R2550" s="16" t="s">
        <v>865</v>
      </c>
      <c r="S2550" s="15" t="s">
        <v>16190</v>
      </c>
      <c r="T2550" s="15" t="s">
        <v>16191</v>
      </c>
      <c r="U2550" s="21" t="s">
        <v>72</v>
      </c>
    </row>
    <row r="2551" customFormat="false" ht="15" hidden="false" customHeight="false" outlineLevel="0" collapsed="false">
      <c r="A2551" s="15" t="s">
        <v>14933</v>
      </c>
      <c r="B2551" s="15" t="s">
        <v>14933</v>
      </c>
      <c r="C2551" s="14" t="s">
        <v>16192</v>
      </c>
      <c r="D2551" s="14" t="s">
        <v>16193</v>
      </c>
      <c r="E2551" s="16" t="s">
        <v>16194</v>
      </c>
      <c r="F2551" s="16"/>
      <c r="G2551" s="23" t="s">
        <v>43</v>
      </c>
      <c r="H2551" s="18" t="n">
        <v>4</v>
      </c>
      <c r="I2551" s="20" t="n">
        <v>59.36</v>
      </c>
      <c r="J2551" s="20" t="n">
        <v>125.33</v>
      </c>
      <c r="K2551" s="18" t="n">
        <v>2</v>
      </c>
      <c r="L2551" s="18"/>
      <c r="M2551" s="18" t="n">
        <v>26</v>
      </c>
      <c r="N2551" s="18" t="n">
        <v>26</v>
      </c>
      <c r="O2551" s="14" t="s">
        <v>16195</v>
      </c>
      <c r="P2551" s="14" t="s">
        <v>84</v>
      </c>
      <c r="Q2551" s="15" t="s">
        <v>1089</v>
      </c>
      <c r="R2551" s="16" t="s">
        <v>16196</v>
      </c>
      <c r="S2551" s="15" t="s">
        <v>16197</v>
      </c>
      <c r="T2551" s="15" t="s">
        <v>16198</v>
      </c>
      <c r="U2551" s="21" t="s">
        <v>72</v>
      </c>
    </row>
    <row r="2552" customFormat="false" ht="26.85" hidden="false" customHeight="false" outlineLevel="0" collapsed="false">
      <c r="A2552" s="15" t="s">
        <v>14933</v>
      </c>
      <c r="B2552" s="15" t="s">
        <v>14933</v>
      </c>
      <c r="C2552" s="14" t="s">
        <v>16199</v>
      </c>
      <c r="D2552" s="14" t="s">
        <v>16200</v>
      </c>
      <c r="E2552" s="16" t="s">
        <v>16201</v>
      </c>
      <c r="F2552" s="16" t="s">
        <v>16202</v>
      </c>
      <c r="G2552" s="25" t="s">
        <v>39</v>
      </c>
      <c r="H2552" s="18" t="n">
        <v>10</v>
      </c>
      <c r="I2552" s="20" t="n">
        <v>415.105</v>
      </c>
      <c r="J2552" s="20" t="n">
        <v>715.63</v>
      </c>
      <c r="K2552" s="18" t="n">
        <v>24</v>
      </c>
      <c r="L2552" s="18" t="n">
        <v>5</v>
      </c>
      <c r="M2552" s="18" t="n">
        <v>740</v>
      </c>
      <c r="N2552" s="18" t="n">
        <v>98</v>
      </c>
      <c r="O2552" s="14" t="s">
        <v>16203</v>
      </c>
      <c r="P2552" s="14" t="s">
        <v>872</v>
      </c>
      <c r="Q2552" s="15" t="s">
        <v>1089</v>
      </c>
      <c r="R2552" s="16" t="s">
        <v>16204</v>
      </c>
      <c r="S2552" s="15" t="s">
        <v>16205</v>
      </c>
      <c r="T2552" s="15" t="s">
        <v>16205</v>
      </c>
      <c r="U2552" s="21" t="s">
        <v>72</v>
      </c>
    </row>
    <row r="2553" customFormat="false" ht="26.85" hidden="false" customHeight="false" outlineLevel="0" collapsed="false">
      <c r="A2553" s="15" t="s">
        <v>14933</v>
      </c>
      <c r="B2553" s="15" t="s">
        <v>14933</v>
      </c>
      <c r="C2553" s="14" t="s">
        <v>16206</v>
      </c>
      <c r="D2553" s="14" t="s">
        <v>16207</v>
      </c>
      <c r="E2553" s="16" t="s">
        <v>16208</v>
      </c>
      <c r="F2553" s="16" t="s">
        <v>16202</v>
      </c>
      <c r="G2553" s="25" t="s">
        <v>39</v>
      </c>
      <c r="H2553" s="18" t="n">
        <v>9</v>
      </c>
      <c r="I2553" s="20" t="n">
        <v>347.33</v>
      </c>
      <c r="J2553" s="20" t="n">
        <v>605.23</v>
      </c>
      <c r="K2553" s="18" t="n">
        <v>24</v>
      </c>
      <c r="L2553" s="18" t="n">
        <v>3</v>
      </c>
      <c r="M2553" s="18" t="n">
        <v>729</v>
      </c>
      <c r="N2553" s="18" t="n">
        <v>110</v>
      </c>
      <c r="O2553" s="14" t="s">
        <v>16209</v>
      </c>
      <c r="P2553" s="14" t="s">
        <v>872</v>
      </c>
      <c r="Q2553" s="15" t="s">
        <v>1089</v>
      </c>
      <c r="R2553" s="16" t="s">
        <v>15751</v>
      </c>
      <c r="S2553" s="15" t="s">
        <v>16210</v>
      </c>
      <c r="T2553" s="15" t="s">
        <v>16211</v>
      </c>
      <c r="U2553" s="21" t="s">
        <v>72</v>
      </c>
    </row>
    <row r="2554" customFormat="false" ht="15" hidden="false" customHeight="false" outlineLevel="0" collapsed="false">
      <c r="A2554" s="15" t="s">
        <v>14933</v>
      </c>
      <c r="B2554" s="15" t="s">
        <v>14933</v>
      </c>
      <c r="C2554" s="14" t="s">
        <v>16212</v>
      </c>
      <c r="D2554" s="14" t="s">
        <v>16213</v>
      </c>
      <c r="E2554" s="16" t="s">
        <v>16214</v>
      </c>
      <c r="F2554" s="16" t="s">
        <v>16215</v>
      </c>
      <c r="G2554" s="23" t="s">
        <v>43</v>
      </c>
      <c r="H2554" s="18" t="n">
        <v>1</v>
      </c>
      <c r="I2554" s="20" t="n">
        <v>30</v>
      </c>
      <c r="J2554" s="20" t="n">
        <v>150.75</v>
      </c>
      <c r="K2554" s="18" t="n">
        <v>3</v>
      </c>
      <c r="L2554" s="18" t="n">
        <v>4</v>
      </c>
      <c r="M2554" s="18" t="n">
        <v>42</v>
      </c>
      <c r="N2554" s="18" t="n">
        <v>14</v>
      </c>
      <c r="O2554" s="14" t="s">
        <v>1126</v>
      </c>
      <c r="P2554" s="14" t="s">
        <v>84</v>
      </c>
      <c r="Q2554" s="15" t="s">
        <v>1089</v>
      </c>
      <c r="R2554" s="16" t="s">
        <v>8496</v>
      </c>
      <c r="S2554" s="15" t="s">
        <v>16216</v>
      </c>
      <c r="T2554" s="15" t="s">
        <v>16216</v>
      </c>
      <c r="U2554" s="21" t="s">
        <v>72</v>
      </c>
    </row>
    <row r="2555" customFormat="false" ht="26.85" hidden="false" customHeight="false" outlineLevel="0" collapsed="false">
      <c r="A2555" s="15" t="s">
        <v>14933</v>
      </c>
      <c r="B2555" s="15" t="s">
        <v>14933</v>
      </c>
      <c r="C2555" s="14" t="s">
        <v>16217</v>
      </c>
      <c r="D2555" s="14" t="s">
        <v>16218</v>
      </c>
      <c r="E2555" s="16" t="s">
        <v>16219</v>
      </c>
      <c r="F2555" s="16"/>
      <c r="G2555" s="19" t="s">
        <v>41</v>
      </c>
      <c r="H2555" s="18" t="n">
        <v>6</v>
      </c>
      <c r="I2555" s="20" t="n">
        <v>56.79</v>
      </c>
      <c r="J2555" s="20" t="n">
        <v>159.23</v>
      </c>
      <c r="K2555" s="18" t="n">
        <v>3</v>
      </c>
      <c r="L2555" s="18" t="n">
        <v>1</v>
      </c>
      <c r="M2555" s="18" t="n">
        <v>26</v>
      </c>
      <c r="N2555" s="18" t="n">
        <v>11</v>
      </c>
      <c r="O2555" s="14" t="s">
        <v>1126</v>
      </c>
      <c r="P2555" s="14" t="s">
        <v>1766</v>
      </c>
      <c r="Q2555" s="15" t="s">
        <v>1089</v>
      </c>
      <c r="R2555" s="16" t="s">
        <v>12853</v>
      </c>
      <c r="S2555" s="15" t="s">
        <v>16220</v>
      </c>
      <c r="T2555" s="15" t="s">
        <v>16220</v>
      </c>
      <c r="U2555" s="21" t="s">
        <v>72</v>
      </c>
    </row>
    <row r="2556" customFormat="false" ht="15" hidden="false" customHeight="false" outlineLevel="0" collapsed="false">
      <c r="A2556" s="15" t="s">
        <v>14933</v>
      </c>
      <c r="B2556" s="15" t="s">
        <v>14933</v>
      </c>
      <c r="C2556" s="14" t="s">
        <v>16221</v>
      </c>
      <c r="D2556" s="14" t="s">
        <v>16222</v>
      </c>
      <c r="E2556" s="16" t="s">
        <v>16223</v>
      </c>
      <c r="F2556" s="16"/>
      <c r="G2556" s="23" t="s">
        <v>43</v>
      </c>
      <c r="H2556" s="18" t="n">
        <v>2</v>
      </c>
      <c r="I2556" s="20" t="n">
        <v>67.6</v>
      </c>
      <c r="J2556" s="20" t="n">
        <v>197.01</v>
      </c>
      <c r="K2556" s="18" t="n">
        <v>4</v>
      </c>
      <c r="L2556" s="18" t="n">
        <v>4</v>
      </c>
      <c r="M2556" s="18" t="n">
        <v>71</v>
      </c>
      <c r="N2556" s="18" t="n">
        <v>11</v>
      </c>
      <c r="O2556" s="14" t="s">
        <v>1126</v>
      </c>
      <c r="P2556" s="14" t="s">
        <v>202</v>
      </c>
      <c r="Q2556" s="15" t="s">
        <v>1089</v>
      </c>
      <c r="R2556" s="16" t="s">
        <v>16224</v>
      </c>
      <c r="S2556" s="15" t="s">
        <v>16225</v>
      </c>
      <c r="T2556" s="15" t="s">
        <v>16225</v>
      </c>
      <c r="U2556" s="21" t="s">
        <v>72</v>
      </c>
    </row>
    <row r="2557" customFormat="false" ht="15" hidden="false" customHeight="false" outlineLevel="0" collapsed="false">
      <c r="A2557" s="15" t="s">
        <v>14933</v>
      </c>
      <c r="B2557" s="15" t="s">
        <v>14933</v>
      </c>
      <c r="C2557" s="14" t="s">
        <v>16226</v>
      </c>
      <c r="D2557" s="14" t="s">
        <v>16227</v>
      </c>
      <c r="E2557" s="16" t="s">
        <v>16228</v>
      </c>
      <c r="F2557" s="16"/>
      <c r="G2557" s="23" t="s">
        <v>43</v>
      </c>
      <c r="H2557" s="18" t="n">
        <v>2</v>
      </c>
      <c r="I2557" s="20" t="n">
        <v>60.269</v>
      </c>
      <c r="J2557" s="20" t="n">
        <v>106.42</v>
      </c>
      <c r="K2557" s="18" t="n">
        <v>2</v>
      </c>
      <c r="L2557" s="18" t="n">
        <v>2</v>
      </c>
      <c r="M2557" s="18" t="n">
        <v>49</v>
      </c>
      <c r="N2557" s="18" t="n">
        <v>30</v>
      </c>
      <c r="O2557" s="14" t="s">
        <v>1126</v>
      </c>
      <c r="P2557" s="14" t="s">
        <v>84</v>
      </c>
      <c r="Q2557" s="15" t="s">
        <v>1089</v>
      </c>
      <c r="R2557" s="16" t="s">
        <v>13327</v>
      </c>
      <c r="S2557" s="15" t="s">
        <v>16229</v>
      </c>
      <c r="T2557" s="15" t="s">
        <v>16229</v>
      </c>
      <c r="U2557" s="21" t="s">
        <v>72</v>
      </c>
    </row>
    <row r="2558" customFormat="false" ht="15" hidden="false" customHeight="false" outlineLevel="0" collapsed="false">
      <c r="A2558" s="15" t="s">
        <v>14933</v>
      </c>
      <c r="B2558" s="15" t="s">
        <v>14933</v>
      </c>
      <c r="C2558" s="14" t="s">
        <v>16230</v>
      </c>
      <c r="D2558" s="14" t="s">
        <v>16231</v>
      </c>
      <c r="E2558" s="16" t="s">
        <v>16232</v>
      </c>
      <c r="F2558" s="16" t="s">
        <v>16233</v>
      </c>
      <c r="G2558" s="23" t="s">
        <v>43</v>
      </c>
      <c r="H2558" s="18" t="n">
        <v>2</v>
      </c>
      <c r="I2558" s="20" t="n">
        <v>37.62</v>
      </c>
      <c r="J2558" s="20" t="n">
        <v>115.66</v>
      </c>
      <c r="K2558" s="18" t="n">
        <v>4</v>
      </c>
      <c r="L2558" s="18" t="n">
        <v>2</v>
      </c>
      <c r="M2558" s="18" t="n">
        <v>62</v>
      </c>
      <c r="N2558" s="18" t="n">
        <v>62</v>
      </c>
      <c r="O2558" s="14" t="s">
        <v>1126</v>
      </c>
      <c r="P2558" s="14" t="s">
        <v>84</v>
      </c>
      <c r="Q2558" s="15" t="s">
        <v>1089</v>
      </c>
      <c r="R2558" s="16" t="s">
        <v>16234</v>
      </c>
      <c r="S2558" s="15" t="s">
        <v>16235</v>
      </c>
      <c r="T2558" s="15" t="s">
        <v>16235</v>
      </c>
      <c r="U2558" s="21" t="s">
        <v>72</v>
      </c>
    </row>
    <row r="2559" customFormat="false" ht="15" hidden="false" customHeight="false" outlineLevel="0" collapsed="false">
      <c r="A2559" s="15" t="s">
        <v>14933</v>
      </c>
      <c r="B2559" s="15" t="s">
        <v>14933</v>
      </c>
      <c r="C2559" s="14" t="s">
        <v>16236</v>
      </c>
      <c r="D2559" s="14" t="s">
        <v>16237</v>
      </c>
      <c r="E2559" s="16" t="s">
        <v>16238</v>
      </c>
      <c r="F2559" s="16"/>
      <c r="G2559" s="19" t="s">
        <v>41</v>
      </c>
      <c r="H2559" s="18" t="n">
        <v>4</v>
      </c>
      <c r="I2559" s="20" t="n">
        <v>85.07</v>
      </c>
      <c r="J2559" s="20" t="n">
        <v>202.525</v>
      </c>
      <c r="K2559" s="18" t="n">
        <v>1</v>
      </c>
      <c r="L2559" s="18"/>
      <c r="M2559" s="18" t="n">
        <v>36</v>
      </c>
      <c r="N2559" s="18" t="n">
        <v>36</v>
      </c>
      <c r="O2559" s="14" t="s">
        <v>1126</v>
      </c>
      <c r="P2559" s="14" t="s">
        <v>84</v>
      </c>
      <c r="Q2559" s="15" t="s">
        <v>1089</v>
      </c>
      <c r="R2559" s="16" t="s">
        <v>16239</v>
      </c>
      <c r="S2559" s="15" t="s">
        <v>16240</v>
      </c>
      <c r="T2559" s="15" t="s">
        <v>16240</v>
      </c>
      <c r="U2559" s="21" t="s">
        <v>72</v>
      </c>
    </row>
    <row r="2560" customFormat="false" ht="26.85" hidden="false" customHeight="false" outlineLevel="0" collapsed="false">
      <c r="A2560" s="15" t="s">
        <v>14933</v>
      </c>
      <c r="B2560" s="15" t="s">
        <v>14933</v>
      </c>
      <c r="C2560" s="14" t="s">
        <v>16241</v>
      </c>
      <c r="D2560" s="14" t="s">
        <v>16242</v>
      </c>
      <c r="E2560" s="16" t="s">
        <v>16243</v>
      </c>
      <c r="F2560" s="16"/>
      <c r="G2560" s="25" t="s">
        <v>39</v>
      </c>
      <c r="H2560" s="18" t="n">
        <v>9</v>
      </c>
      <c r="I2560" s="20" t="n">
        <v>208</v>
      </c>
      <c r="J2560" s="20" t="n">
        <v>414.45</v>
      </c>
      <c r="K2560" s="18" t="n">
        <v>8</v>
      </c>
      <c r="L2560" s="18" t="n">
        <v>3</v>
      </c>
      <c r="M2560" s="18" t="n">
        <v>150</v>
      </c>
      <c r="N2560" s="18" t="n">
        <v>150</v>
      </c>
      <c r="O2560" s="14" t="s">
        <v>16244</v>
      </c>
      <c r="P2560" s="14" t="s">
        <v>84</v>
      </c>
      <c r="Q2560" s="15" t="s">
        <v>1089</v>
      </c>
      <c r="R2560" s="16" t="s">
        <v>16245</v>
      </c>
      <c r="S2560" s="15" t="s">
        <v>16246</v>
      </c>
      <c r="T2560" s="15" t="s">
        <v>16247</v>
      </c>
      <c r="U2560" s="21" t="s">
        <v>72</v>
      </c>
    </row>
    <row r="2561" customFormat="false" ht="15" hidden="false" customHeight="false" outlineLevel="0" collapsed="false">
      <c r="A2561" s="15" t="s">
        <v>14933</v>
      </c>
      <c r="B2561" s="15" t="s">
        <v>14933</v>
      </c>
      <c r="C2561" s="14" t="s">
        <v>16248</v>
      </c>
      <c r="D2561" s="14" t="s">
        <v>16249</v>
      </c>
      <c r="E2561" s="16" t="s">
        <v>16250</v>
      </c>
      <c r="F2561" s="16" t="s">
        <v>16251</v>
      </c>
      <c r="G2561" s="23" t="s">
        <v>43</v>
      </c>
      <c r="H2561" s="18" t="n">
        <v>2</v>
      </c>
      <c r="I2561" s="20" t="n">
        <v>45.3</v>
      </c>
      <c r="J2561" s="20" t="n">
        <v>108.62</v>
      </c>
      <c r="K2561" s="18" t="n">
        <v>2</v>
      </c>
      <c r="L2561" s="18" t="n">
        <v>7</v>
      </c>
      <c r="M2561" s="18" t="n">
        <v>30</v>
      </c>
      <c r="N2561" s="18" t="n">
        <v>30</v>
      </c>
      <c r="O2561" s="14" t="s">
        <v>3011</v>
      </c>
      <c r="P2561" s="14" t="s">
        <v>84</v>
      </c>
      <c r="Q2561" s="15" t="s">
        <v>1089</v>
      </c>
      <c r="R2561" s="16" t="s">
        <v>16252</v>
      </c>
      <c r="S2561" s="15" t="s">
        <v>16253</v>
      </c>
      <c r="T2561" s="15" t="s">
        <v>16253</v>
      </c>
      <c r="U2561" s="21" t="s">
        <v>72</v>
      </c>
    </row>
    <row r="2562" customFormat="false" ht="15" hidden="false" customHeight="false" outlineLevel="0" collapsed="false">
      <c r="A2562" s="15" t="s">
        <v>14933</v>
      </c>
      <c r="B2562" s="15" t="s">
        <v>14933</v>
      </c>
      <c r="C2562" s="14" t="s">
        <v>16254</v>
      </c>
      <c r="D2562" s="14" t="s">
        <v>16255</v>
      </c>
      <c r="E2562" s="16" t="s">
        <v>16256</v>
      </c>
      <c r="F2562" s="16" t="s">
        <v>16257</v>
      </c>
      <c r="G2562" s="23" t="s">
        <v>43</v>
      </c>
      <c r="H2562" s="18" t="n">
        <v>2</v>
      </c>
      <c r="I2562" s="20" t="n">
        <v>66.5</v>
      </c>
      <c r="J2562" s="20" t="n">
        <v>142.1</v>
      </c>
      <c r="K2562" s="18" t="n">
        <v>5</v>
      </c>
      <c r="L2562" s="18" t="n">
        <v>6</v>
      </c>
      <c r="M2562" s="18" t="n">
        <v>135</v>
      </c>
      <c r="N2562" s="18" t="n">
        <v>81</v>
      </c>
      <c r="O2562" s="14" t="s">
        <v>1126</v>
      </c>
      <c r="P2562" s="14" t="s">
        <v>84</v>
      </c>
      <c r="Q2562" s="15" t="s">
        <v>1089</v>
      </c>
      <c r="R2562" s="16" t="s">
        <v>16258</v>
      </c>
      <c r="S2562" s="15" t="s">
        <v>16259</v>
      </c>
      <c r="T2562" s="15" t="s">
        <v>16259</v>
      </c>
      <c r="U2562" s="21" t="s">
        <v>72</v>
      </c>
    </row>
    <row r="2563" customFormat="false" ht="15" hidden="false" customHeight="false" outlineLevel="0" collapsed="false">
      <c r="A2563" s="15" t="s">
        <v>14933</v>
      </c>
      <c r="B2563" s="15" t="s">
        <v>14933</v>
      </c>
      <c r="C2563" s="14" t="s">
        <v>16260</v>
      </c>
      <c r="D2563" s="14" t="s">
        <v>16261</v>
      </c>
      <c r="E2563" s="16" t="s">
        <v>16262</v>
      </c>
      <c r="F2563" s="16" t="s">
        <v>16263</v>
      </c>
      <c r="G2563" s="19" t="s">
        <v>41</v>
      </c>
      <c r="H2563" s="18" t="n">
        <v>2</v>
      </c>
      <c r="I2563" s="20" t="n">
        <v>30</v>
      </c>
      <c r="J2563" s="20" t="n">
        <v>244</v>
      </c>
      <c r="K2563" s="18" t="n">
        <v>2</v>
      </c>
      <c r="L2563" s="18" t="n">
        <v>3</v>
      </c>
      <c r="M2563" s="18" t="n">
        <v>40</v>
      </c>
      <c r="N2563" s="18" t="n">
        <v>40</v>
      </c>
      <c r="O2563" s="14" t="s">
        <v>1126</v>
      </c>
      <c r="P2563" s="14" t="s">
        <v>84</v>
      </c>
      <c r="Q2563" s="15" t="s">
        <v>1089</v>
      </c>
      <c r="R2563" s="16" t="s">
        <v>16264</v>
      </c>
      <c r="S2563" s="15" t="s">
        <v>16265</v>
      </c>
      <c r="T2563" s="15" t="s">
        <v>16266</v>
      </c>
      <c r="U2563" s="21" t="s">
        <v>72</v>
      </c>
    </row>
    <row r="2564" customFormat="false" ht="15" hidden="false" customHeight="false" outlineLevel="0" collapsed="false">
      <c r="A2564" s="15" t="s">
        <v>14933</v>
      </c>
      <c r="B2564" s="15" t="s">
        <v>14933</v>
      </c>
      <c r="C2564" s="14" t="s">
        <v>16267</v>
      </c>
      <c r="D2564" s="14" t="s">
        <v>16268</v>
      </c>
      <c r="E2564" s="16" t="s">
        <v>16269</v>
      </c>
      <c r="F2564" s="16" t="s">
        <v>16270</v>
      </c>
      <c r="G2564" s="23" t="s">
        <v>43</v>
      </c>
      <c r="H2564" s="18" t="n">
        <v>4</v>
      </c>
      <c r="I2564" s="20" t="n">
        <v>85.07</v>
      </c>
      <c r="J2564" s="20" t="n">
        <v>135</v>
      </c>
      <c r="K2564" s="18" t="n">
        <v>10</v>
      </c>
      <c r="L2564" s="18" t="n">
        <v>4</v>
      </c>
      <c r="M2564" s="18" t="n">
        <v>184</v>
      </c>
      <c r="N2564" s="18" t="n">
        <v>113</v>
      </c>
      <c r="O2564" s="14" t="s">
        <v>1097</v>
      </c>
      <c r="P2564" s="14" t="s">
        <v>118</v>
      </c>
      <c r="Q2564" s="15" t="s">
        <v>1089</v>
      </c>
      <c r="R2564" s="16" t="s">
        <v>16271</v>
      </c>
      <c r="S2564" s="15" t="s">
        <v>16272</v>
      </c>
      <c r="T2564" s="15" t="s">
        <v>16273</v>
      </c>
      <c r="U2564" s="21" t="s">
        <v>72</v>
      </c>
    </row>
    <row r="2565" customFormat="false" ht="15" hidden="false" customHeight="false" outlineLevel="0" collapsed="false">
      <c r="A2565" s="15" t="s">
        <v>14933</v>
      </c>
      <c r="B2565" s="15" t="s">
        <v>14933</v>
      </c>
      <c r="C2565" s="14" t="s">
        <v>16274</v>
      </c>
      <c r="D2565" s="14" t="s">
        <v>16275</v>
      </c>
      <c r="E2565" s="16" t="s">
        <v>16276</v>
      </c>
      <c r="F2565" s="16" t="s">
        <v>16277</v>
      </c>
      <c r="G2565" s="23" t="s">
        <v>43</v>
      </c>
      <c r="H2565" s="18" t="n">
        <v>1</v>
      </c>
      <c r="I2565" s="20" t="n">
        <v>33.31</v>
      </c>
      <c r="J2565" s="20" t="n">
        <v>187.71</v>
      </c>
      <c r="K2565" s="18" t="n">
        <v>6</v>
      </c>
      <c r="L2565" s="18" t="n">
        <v>1</v>
      </c>
      <c r="M2565" s="18" t="n">
        <v>162</v>
      </c>
      <c r="N2565" s="18" t="n">
        <v>27</v>
      </c>
      <c r="O2565" s="14" t="s">
        <v>16278</v>
      </c>
      <c r="P2565" s="14" t="s">
        <v>84</v>
      </c>
      <c r="Q2565" s="15" t="s">
        <v>1089</v>
      </c>
      <c r="R2565" s="16" t="s">
        <v>16279</v>
      </c>
      <c r="S2565" s="15" t="s">
        <v>16048</v>
      </c>
      <c r="T2565" s="15" t="s">
        <v>16280</v>
      </c>
      <c r="U2565" s="21" t="s">
        <v>72</v>
      </c>
    </row>
    <row r="2566" customFormat="false" ht="15" hidden="false" customHeight="false" outlineLevel="0" collapsed="false">
      <c r="A2566" s="15" t="s">
        <v>14933</v>
      </c>
      <c r="B2566" s="15" t="s">
        <v>14933</v>
      </c>
      <c r="C2566" s="14" t="s">
        <v>16281</v>
      </c>
      <c r="D2566" s="14" t="s">
        <v>16282</v>
      </c>
      <c r="E2566" s="16" t="s">
        <v>16283</v>
      </c>
      <c r="F2566" s="16" t="s">
        <v>16277</v>
      </c>
      <c r="G2566" s="19" t="s">
        <v>41</v>
      </c>
      <c r="H2566" s="18" t="n">
        <v>5</v>
      </c>
      <c r="I2566" s="20" t="n">
        <v>117.62</v>
      </c>
      <c r="J2566" s="20" t="n">
        <v>391.01</v>
      </c>
      <c r="K2566" s="18" t="n">
        <v>5</v>
      </c>
      <c r="L2566" s="18" t="n">
        <v>4</v>
      </c>
      <c r="M2566" s="18" t="n">
        <v>71</v>
      </c>
      <c r="N2566" s="18" t="n">
        <v>71</v>
      </c>
      <c r="O2566" s="14" t="s">
        <v>1088</v>
      </c>
      <c r="P2566" s="14" t="s">
        <v>84</v>
      </c>
      <c r="Q2566" s="15" t="s">
        <v>1089</v>
      </c>
      <c r="R2566" s="16" t="s">
        <v>16284</v>
      </c>
      <c r="S2566" s="15" t="s">
        <v>16285</v>
      </c>
      <c r="T2566" s="15" t="s">
        <v>16286</v>
      </c>
      <c r="U2566" s="21" t="s">
        <v>72</v>
      </c>
    </row>
    <row r="2567" customFormat="false" ht="15" hidden="false" customHeight="false" outlineLevel="0" collapsed="false">
      <c r="A2567" s="15" t="s">
        <v>14933</v>
      </c>
      <c r="B2567" s="15" t="s">
        <v>14933</v>
      </c>
      <c r="C2567" s="14" t="s">
        <v>16287</v>
      </c>
      <c r="D2567" s="14" t="s">
        <v>16288</v>
      </c>
      <c r="E2567" s="16" t="s">
        <v>16289</v>
      </c>
      <c r="F2567" s="16" t="s">
        <v>16290</v>
      </c>
      <c r="G2567" s="25" t="s">
        <v>39</v>
      </c>
      <c r="H2567" s="18" t="n">
        <v>8</v>
      </c>
      <c r="I2567" s="20" t="n">
        <v>291.09</v>
      </c>
      <c r="J2567" s="20" t="n">
        <v>365.55</v>
      </c>
      <c r="K2567" s="18" t="n">
        <v>8</v>
      </c>
      <c r="L2567" s="18" t="n">
        <v>9</v>
      </c>
      <c r="M2567" s="18" t="n">
        <v>239</v>
      </c>
      <c r="N2567" s="18" t="n">
        <v>239</v>
      </c>
      <c r="O2567" s="14" t="s">
        <v>1088</v>
      </c>
      <c r="P2567" s="14" t="s">
        <v>84</v>
      </c>
      <c r="Q2567" s="15" t="s">
        <v>1089</v>
      </c>
      <c r="R2567" s="16" t="s">
        <v>16291</v>
      </c>
      <c r="S2567" s="15" t="s">
        <v>16292</v>
      </c>
      <c r="T2567" s="15" t="s">
        <v>16293</v>
      </c>
      <c r="U2567" s="21" t="s">
        <v>72</v>
      </c>
    </row>
    <row r="2568" customFormat="false" ht="15" hidden="false" customHeight="false" outlineLevel="0" collapsed="false">
      <c r="A2568" s="15" t="s">
        <v>14933</v>
      </c>
      <c r="B2568" s="15" t="s">
        <v>14933</v>
      </c>
      <c r="C2568" s="14" t="s">
        <v>16294</v>
      </c>
      <c r="D2568" s="14" t="s">
        <v>16295</v>
      </c>
      <c r="E2568" s="16" t="s">
        <v>16296</v>
      </c>
      <c r="F2568" s="16" t="s">
        <v>1595</v>
      </c>
      <c r="G2568" s="23" t="s">
        <v>43</v>
      </c>
      <c r="H2568" s="18" t="n">
        <v>4</v>
      </c>
      <c r="I2568" s="20" t="n">
        <v>82.65</v>
      </c>
      <c r="J2568" s="20" t="n">
        <v>198.56</v>
      </c>
      <c r="K2568" s="18" t="n">
        <v>4</v>
      </c>
      <c r="L2568" s="18" t="n">
        <v>4</v>
      </c>
      <c r="M2568" s="18" t="n">
        <v>86</v>
      </c>
      <c r="N2568" s="18" t="n">
        <v>86</v>
      </c>
      <c r="O2568" s="14" t="s">
        <v>1088</v>
      </c>
      <c r="P2568" s="14" t="s">
        <v>84</v>
      </c>
      <c r="Q2568" s="15" t="s">
        <v>1089</v>
      </c>
      <c r="R2568" s="16" t="s">
        <v>7784</v>
      </c>
      <c r="S2568" s="15" t="s">
        <v>16297</v>
      </c>
      <c r="T2568" s="15" t="s">
        <v>16298</v>
      </c>
      <c r="U2568" s="21" t="s">
        <v>72</v>
      </c>
    </row>
    <row r="2569" customFormat="false" ht="15" hidden="false" customHeight="false" outlineLevel="0" collapsed="false">
      <c r="A2569" s="15" t="s">
        <v>14933</v>
      </c>
      <c r="B2569" s="15" t="s">
        <v>14933</v>
      </c>
      <c r="C2569" s="14" t="s">
        <v>16299</v>
      </c>
      <c r="D2569" s="14" t="s">
        <v>16300</v>
      </c>
      <c r="E2569" s="16" t="s">
        <v>16301</v>
      </c>
      <c r="F2569" s="16" t="s">
        <v>16302</v>
      </c>
      <c r="G2569" s="23" t="s">
        <v>43</v>
      </c>
      <c r="H2569" s="18" t="n">
        <v>4</v>
      </c>
      <c r="I2569" s="20" t="n">
        <v>67.47</v>
      </c>
      <c r="J2569" s="20" t="n">
        <v>149.91</v>
      </c>
      <c r="K2569" s="18" t="n">
        <v>6</v>
      </c>
      <c r="L2569" s="18" t="n">
        <v>1</v>
      </c>
      <c r="M2569" s="18" t="n">
        <v>78</v>
      </c>
      <c r="N2569" s="18" t="n">
        <v>32</v>
      </c>
      <c r="O2569" s="14" t="s">
        <v>11336</v>
      </c>
      <c r="P2569" s="14" t="s">
        <v>84</v>
      </c>
      <c r="Q2569" s="15" t="s">
        <v>1089</v>
      </c>
      <c r="R2569" s="16" t="s">
        <v>7080</v>
      </c>
      <c r="S2569" s="15" t="s">
        <v>16303</v>
      </c>
      <c r="T2569" s="15" t="s">
        <v>16303</v>
      </c>
      <c r="U2569" s="21" t="s">
        <v>72</v>
      </c>
    </row>
    <row r="2570" customFormat="false" ht="15" hidden="false" customHeight="false" outlineLevel="0" collapsed="false">
      <c r="A2570" s="15" t="s">
        <v>14933</v>
      </c>
      <c r="B2570" s="15" t="s">
        <v>14933</v>
      </c>
      <c r="C2570" s="14" t="s">
        <v>16304</v>
      </c>
      <c r="D2570" s="14" t="s">
        <v>16305</v>
      </c>
      <c r="E2570" s="16" t="s">
        <v>16306</v>
      </c>
      <c r="F2570" s="16"/>
      <c r="G2570" s="23" t="s">
        <v>43</v>
      </c>
      <c r="H2570" s="18" t="n">
        <v>2</v>
      </c>
      <c r="I2570" s="20" t="n">
        <v>43.21</v>
      </c>
      <c r="J2570" s="20" t="n">
        <v>105.38</v>
      </c>
      <c r="K2570" s="18" t="n">
        <v>2</v>
      </c>
      <c r="L2570" s="18" t="n">
        <v>1</v>
      </c>
      <c r="M2570" s="18" t="n">
        <v>50</v>
      </c>
      <c r="N2570" s="18" t="n">
        <v>50</v>
      </c>
      <c r="O2570" s="14" t="s">
        <v>1088</v>
      </c>
      <c r="P2570" s="14" t="s">
        <v>84</v>
      </c>
      <c r="Q2570" s="15" t="s">
        <v>1089</v>
      </c>
      <c r="R2570" s="16" t="s">
        <v>16307</v>
      </c>
      <c r="S2570" s="15" t="s">
        <v>16308</v>
      </c>
      <c r="T2570" s="15" t="s">
        <v>16308</v>
      </c>
      <c r="U2570" s="21" t="s">
        <v>72</v>
      </c>
    </row>
    <row r="2571" customFormat="false" ht="15" hidden="false" customHeight="false" outlineLevel="0" collapsed="false">
      <c r="A2571" s="15" t="s">
        <v>14933</v>
      </c>
      <c r="B2571" s="15" t="s">
        <v>14933</v>
      </c>
      <c r="C2571" s="14" t="s">
        <v>16309</v>
      </c>
      <c r="D2571" s="14" t="s">
        <v>16310</v>
      </c>
      <c r="E2571" s="16" t="s">
        <v>16311</v>
      </c>
      <c r="F2571" s="16" t="s">
        <v>16312</v>
      </c>
      <c r="G2571" s="19" t="s">
        <v>41</v>
      </c>
      <c r="H2571" s="18" t="n">
        <v>5</v>
      </c>
      <c r="I2571" s="20" t="n">
        <v>153.27</v>
      </c>
      <c r="J2571" s="20" t="n">
        <v>182.1</v>
      </c>
      <c r="K2571" s="18" t="n">
        <v>4</v>
      </c>
      <c r="L2571" s="18" t="n">
        <v>5</v>
      </c>
      <c r="M2571" s="18" t="n">
        <v>80</v>
      </c>
      <c r="N2571" s="18" t="n">
        <v>60</v>
      </c>
      <c r="O2571" s="14" t="s">
        <v>15738</v>
      </c>
      <c r="P2571" s="14" t="s">
        <v>84</v>
      </c>
      <c r="Q2571" s="15" t="s">
        <v>1089</v>
      </c>
      <c r="R2571" s="16" t="s">
        <v>16313</v>
      </c>
      <c r="S2571" s="15" t="s">
        <v>16314</v>
      </c>
      <c r="T2571" s="15" t="s">
        <v>16315</v>
      </c>
      <c r="U2571" s="21" t="s">
        <v>72</v>
      </c>
    </row>
    <row r="2572" customFormat="false" ht="15" hidden="false" customHeight="false" outlineLevel="0" collapsed="false">
      <c r="A2572" s="15" t="s">
        <v>14933</v>
      </c>
      <c r="B2572" s="15" t="s">
        <v>14933</v>
      </c>
      <c r="C2572" s="14" t="s">
        <v>16316</v>
      </c>
      <c r="D2572" s="14" t="s">
        <v>16317</v>
      </c>
      <c r="E2572" s="16" t="s">
        <v>16318</v>
      </c>
      <c r="F2572" s="16" t="s">
        <v>16319</v>
      </c>
      <c r="G2572" s="19" t="s">
        <v>41</v>
      </c>
      <c r="H2572" s="18" t="n">
        <v>4</v>
      </c>
      <c r="I2572" s="20" t="n">
        <v>100.46</v>
      </c>
      <c r="J2572" s="20" t="n">
        <v>363.28</v>
      </c>
      <c r="K2572" s="18" t="n">
        <v>5</v>
      </c>
      <c r="L2572" s="18" t="n">
        <v>17</v>
      </c>
      <c r="M2572" s="18" t="n">
        <v>205</v>
      </c>
      <c r="N2572" s="18" t="n">
        <v>205</v>
      </c>
      <c r="O2572" s="14" t="s">
        <v>15098</v>
      </c>
      <c r="P2572" s="14" t="s">
        <v>84</v>
      </c>
      <c r="Q2572" s="15" t="s">
        <v>1089</v>
      </c>
      <c r="R2572" s="16" t="s">
        <v>16320</v>
      </c>
      <c r="S2572" s="15" t="s">
        <v>16321</v>
      </c>
      <c r="T2572" s="15" t="s">
        <v>16322</v>
      </c>
      <c r="U2572" s="21" t="s">
        <v>72</v>
      </c>
    </row>
    <row r="2573" customFormat="false" ht="15" hidden="false" customHeight="false" outlineLevel="0" collapsed="false">
      <c r="A2573" s="15" t="s">
        <v>14933</v>
      </c>
      <c r="B2573" s="15" t="s">
        <v>14933</v>
      </c>
      <c r="C2573" s="14" t="s">
        <v>16323</v>
      </c>
      <c r="D2573" s="14" t="s">
        <v>16324</v>
      </c>
      <c r="E2573" s="16" t="s">
        <v>16325</v>
      </c>
      <c r="F2573" s="16"/>
      <c r="G2573" s="23" t="s">
        <v>43</v>
      </c>
      <c r="H2573" s="18" t="n">
        <v>3</v>
      </c>
      <c r="I2573" s="20" t="n">
        <v>89.67</v>
      </c>
      <c r="J2573" s="20" t="n">
        <v>191.92</v>
      </c>
      <c r="K2573" s="18" t="n">
        <v>2</v>
      </c>
      <c r="L2573" s="18" t="n">
        <v>3</v>
      </c>
      <c r="M2573" s="18" t="n">
        <v>48</v>
      </c>
      <c r="N2573" s="18" t="n">
        <v>48</v>
      </c>
      <c r="O2573" s="14" t="s">
        <v>1126</v>
      </c>
      <c r="P2573" s="14" t="s">
        <v>84</v>
      </c>
      <c r="Q2573" s="15" t="s">
        <v>1089</v>
      </c>
      <c r="R2573" s="16" t="s">
        <v>2068</v>
      </c>
      <c r="S2573" s="15" t="s">
        <v>16326</v>
      </c>
      <c r="T2573" s="15" t="s">
        <v>16326</v>
      </c>
      <c r="U2573" s="21" t="s">
        <v>72</v>
      </c>
    </row>
    <row r="2574" customFormat="false" ht="15" hidden="false" customHeight="false" outlineLevel="0" collapsed="false">
      <c r="A2574" s="15" t="s">
        <v>14933</v>
      </c>
      <c r="B2574" s="15" t="s">
        <v>14933</v>
      </c>
      <c r="C2574" s="14" t="s">
        <v>16327</v>
      </c>
      <c r="D2574" s="14" t="s">
        <v>16328</v>
      </c>
      <c r="E2574" s="16" t="s">
        <v>16329</v>
      </c>
      <c r="F2574" s="16"/>
      <c r="G2574" s="23" t="s">
        <v>43</v>
      </c>
      <c r="H2574" s="18" t="n">
        <v>3</v>
      </c>
      <c r="I2574" s="20" t="n">
        <v>116.43</v>
      </c>
      <c r="J2574" s="20" t="n">
        <v>155.12</v>
      </c>
      <c r="K2574" s="18" t="n">
        <v>3</v>
      </c>
      <c r="L2574" s="18"/>
      <c r="M2574" s="18" t="n">
        <v>95</v>
      </c>
      <c r="N2574" s="18" t="n">
        <v>95</v>
      </c>
      <c r="O2574" s="14" t="s">
        <v>1126</v>
      </c>
      <c r="P2574" s="14" t="s">
        <v>84</v>
      </c>
      <c r="Q2574" s="15" t="s">
        <v>1089</v>
      </c>
      <c r="R2574" s="16" t="s">
        <v>433</v>
      </c>
      <c r="S2574" s="15" t="s">
        <v>16330</v>
      </c>
      <c r="T2574" s="15" t="s">
        <v>16330</v>
      </c>
      <c r="U2574" s="21" t="s">
        <v>72</v>
      </c>
    </row>
    <row r="2575" customFormat="false" ht="15" hidden="false" customHeight="false" outlineLevel="0" collapsed="false">
      <c r="A2575" s="15" t="s">
        <v>14933</v>
      </c>
      <c r="B2575" s="15" t="s">
        <v>14933</v>
      </c>
      <c r="C2575" s="14" t="s">
        <v>16331</v>
      </c>
      <c r="D2575" s="14" t="s">
        <v>16332</v>
      </c>
      <c r="E2575" s="16" t="s">
        <v>16333</v>
      </c>
      <c r="F2575" s="16" t="s">
        <v>16334</v>
      </c>
      <c r="G2575" s="23" t="s">
        <v>43</v>
      </c>
      <c r="H2575" s="18" t="n">
        <v>2</v>
      </c>
      <c r="I2575" s="20" t="n">
        <v>76</v>
      </c>
      <c r="J2575" s="20" t="n">
        <v>117.19</v>
      </c>
      <c r="K2575" s="18" t="n">
        <v>2</v>
      </c>
      <c r="L2575" s="18" t="n">
        <v>3</v>
      </c>
      <c r="M2575" s="18" t="n">
        <v>27</v>
      </c>
      <c r="N2575" s="18" t="n">
        <v>15</v>
      </c>
      <c r="O2575" s="14" t="s">
        <v>1126</v>
      </c>
      <c r="P2575" s="14" t="s">
        <v>1166</v>
      </c>
      <c r="Q2575" s="15" t="s">
        <v>1089</v>
      </c>
      <c r="R2575" s="16" t="s">
        <v>16335</v>
      </c>
      <c r="S2575" s="15" t="s">
        <v>16336</v>
      </c>
      <c r="T2575" s="15" t="s">
        <v>16336</v>
      </c>
      <c r="U2575" s="21" t="s">
        <v>72</v>
      </c>
    </row>
    <row r="2576" customFormat="false" ht="15" hidden="false" customHeight="false" outlineLevel="0" collapsed="false">
      <c r="A2576" s="15" t="s">
        <v>14933</v>
      </c>
      <c r="B2576" s="15" t="s">
        <v>14933</v>
      </c>
      <c r="C2576" s="14" t="s">
        <v>16337</v>
      </c>
      <c r="D2576" s="14" t="s">
        <v>16338</v>
      </c>
      <c r="E2576" s="16" t="s">
        <v>16339</v>
      </c>
      <c r="F2576" s="16" t="s">
        <v>16340</v>
      </c>
      <c r="G2576" s="23" t="s">
        <v>43</v>
      </c>
      <c r="H2576" s="18" t="n">
        <v>1</v>
      </c>
      <c r="I2576" s="20" t="n">
        <v>30</v>
      </c>
      <c r="J2576" s="20" t="n">
        <v>94.864</v>
      </c>
      <c r="K2576" s="18" t="n">
        <v>8</v>
      </c>
      <c r="L2576" s="18" t="n">
        <v>6</v>
      </c>
      <c r="M2576" s="18" t="n">
        <v>200</v>
      </c>
      <c r="N2576" s="18" t="n">
        <v>200</v>
      </c>
      <c r="O2576" s="14" t="s">
        <v>1126</v>
      </c>
      <c r="P2576" s="14" t="s">
        <v>84</v>
      </c>
      <c r="Q2576" s="15" t="s">
        <v>1089</v>
      </c>
      <c r="R2576" s="16" t="s">
        <v>16341</v>
      </c>
      <c r="S2576" s="15" t="s">
        <v>16342</v>
      </c>
      <c r="T2576" s="15" t="s">
        <v>16342</v>
      </c>
      <c r="U2576" s="21" t="s">
        <v>72</v>
      </c>
    </row>
    <row r="2577" customFormat="false" ht="39.55" hidden="false" customHeight="false" outlineLevel="0" collapsed="false">
      <c r="A2577" s="15" t="s">
        <v>14933</v>
      </c>
      <c r="B2577" s="15" t="s">
        <v>14933</v>
      </c>
      <c r="C2577" s="14" t="s">
        <v>16343</v>
      </c>
      <c r="D2577" s="14" t="s">
        <v>16344</v>
      </c>
      <c r="E2577" s="16" t="s">
        <v>16345</v>
      </c>
      <c r="F2577" s="16"/>
      <c r="G2577" s="19" t="s">
        <v>41</v>
      </c>
      <c r="H2577" s="18" t="n">
        <v>5</v>
      </c>
      <c r="I2577" s="20" t="n">
        <v>130.93</v>
      </c>
      <c r="J2577" s="20" t="n">
        <v>316.22</v>
      </c>
      <c r="K2577" s="18" t="n">
        <v>6</v>
      </c>
      <c r="L2577" s="18" t="n">
        <v>6</v>
      </c>
      <c r="M2577" s="18" t="n">
        <v>123</v>
      </c>
      <c r="N2577" s="18" t="n">
        <v>123</v>
      </c>
      <c r="O2577" s="14" t="s">
        <v>16346</v>
      </c>
      <c r="P2577" s="14" t="s">
        <v>84</v>
      </c>
      <c r="Q2577" s="15" t="s">
        <v>1089</v>
      </c>
      <c r="R2577" s="16" t="s">
        <v>9584</v>
      </c>
      <c r="S2577" s="15" t="s">
        <v>16347</v>
      </c>
      <c r="T2577" s="15" t="s">
        <v>16347</v>
      </c>
      <c r="U2577" s="21" t="s">
        <v>72</v>
      </c>
    </row>
    <row r="2578" customFormat="false" ht="26.85" hidden="false" customHeight="false" outlineLevel="0" collapsed="false">
      <c r="A2578" s="15" t="s">
        <v>14933</v>
      </c>
      <c r="B2578" s="15" t="s">
        <v>14933</v>
      </c>
      <c r="C2578" s="14" t="s">
        <v>16348</v>
      </c>
      <c r="D2578" s="14" t="s">
        <v>16349</v>
      </c>
      <c r="E2578" s="16" t="s">
        <v>16350</v>
      </c>
      <c r="F2578" s="16"/>
      <c r="G2578" s="23" t="s">
        <v>43</v>
      </c>
      <c r="H2578" s="18" t="n">
        <v>2</v>
      </c>
      <c r="I2578" s="20" t="n">
        <v>30</v>
      </c>
      <c r="J2578" s="20" t="n">
        <v>124.7</v>
      </c>
      <c r="K2578" s="18" t="n">
        <v>2</v>
      </c>
      <c r="L2578" s="18" t="n">
        <v>2</v>
      </c>
      <c r="M2578" s="18" t="n">
        <v>24</v>
      </c>
      <c r="N2578" s="18" t="n">
        <v>12</v>
      </c>
      <c r="O2578" s="14" t="s">
        <v>1126</v>
      </c>
      <c r="P2578" s="14" t="s">
        <v>1185</v>
      </c>
      <c r="Q2578" s="15" t="s">
        <v>1089</v>
      </c>
      <c r="R2578" s="16" t="s">
        <v>16351</v>
      </c>
      <c r="S2578" s="15" t="s">
        <v>16352</v>
      </c>
      <c r="T2578" s="15" t="s">
        <v>16352</v>
      </c>
      <c r="U2578" s="21" t="s">
        <v>72</v>
      </c>
    </row>
    <row r="2579" customFormat="false" ht="15" hidden="false" customHeight="false" outlineLevel="0" collapsed="false">
      <c r="A2579" s="15" t="s">
        <v>14933</v>
      </c>
      <c r="B2579" s="15" t="s">
        <v>14933</v>
      </c>
      <c r="C2579" s="14" t="s">
        <v>16353</v>
      </c>
      <c r="D2579" s="14" t="s">
        <v>16354</v>
      </c>
      <c r="E2579" s="16" t="s">
        <v>16355</v>
      </c>
      <c r="F2579" s="16" t="s">
        <v>16356</v>
      </c>
      <c r="G2579" s="25" t="s">
        <v>39</v>
      </c>
      <c r="H2579" s="18" t="n">
        <v>10</v>
      </c>
      <c r="I2579" s="20" t="n">
        <v>296.3</v>
      </c>
      <c r="J2579" s="20" t="n">
        <v>498.12</v>
      </c>
      <c r="K2579" s="18" t="n">
        <v>7</v>
      </c>
      <c r="L2579" s="18" t="n">
        <v>7</v>
      </c>
      <c r="M2579" s="18" t="n">
        <v>176</v>
      </c>
      <c r="N2579" s="18" t="n">
        <v>150</v>
      </c>
      <c r="O2579" s="14" t="s">
        <v>1088</v>
      </c>
      <c r="P2579" s="14" t="s">
        <v>118</v>
      </c>
      <c r="Q2579" s="15" t="s">
        <v>1089</v>
      </c>
      <c r="R2579" s="16" t="s">
        <v>16357</v>
      </c>
      <c r="S2579" s="15" t="s">
        <v>2220</v>
      </c>
      <c r="T2579" s="15" t="s">
        <v>16358</v>
      </c>
      <c r="U2579" s="21" t="s">
        <v>72</v>
      </c>
    </row>
    <row r="2580" customFormat="false" ht="15" hidden="false" customHeight="false" outlineLevel="0" collapsed="false">
      <c r="A2580" s="15" t="s">
        <v>14933</v>
      </c>
      <c r="B2580" s="15" t="s">
        <v>14933</v>
      </c>
      <c r="C2580" s="14" t="s">
        <v>16359</v>
      </c>
      <c r="D2580" s="14" t="s">
        <v>16360</v>
      </c>
      <c r="E2580" s="16" t="s">
        <v>16361</v>
      </c>
      <c r="F2580" s="16" t="s">
        <v>16362</v>
      </c>
      <c r="G2580" s="23" t="s">
        <v>43</v>
      </c>
      <c r="H2580" s="18" t="n">
        <v>3</v>
      </c>
      <c r="I2580" s="20" t="n">
        <v>46.5</v>
      </c>
      <c r="J2580" s="20" t="n">
        <v>95.8</v>
      </c>
      <c r="K2580" s="18" t="n">
        <v>4</v>
      </c>
      <c r="L2580" s="18" t="n">
        <v>4</v>
      </c>
      <c r="M2580" s="18" t="n">
        <v>52</v>
      </c>
      <c r="N2580" s="18" t="n">
        <v>28</v>
      </c>
      <c r="O2580" s="14" t="s">
        <v>16363</v>
      </c>
      <c r="P2580" s="14" t="s">
        <v>84</v>
      </c>
      <c r="Q2580" s="15" t="s">
        <v>1089</v>
      </c>
      <c r="R2580" s="16" t="s">
        <v>16364</v>
      </c>
      <c r="S2580" s="15" t="s">
        <v>16365</v>
      </c>
      <c r="T2580" s="15" t="s">
        <v>16366</v>
      </c>
      <c r="U2580" s="21" t="s">
        <v>72</v>
      </c>
    </row>
    <row r="2581" customFormat="false" ht="15" hidden="false" customHeight="false" outlineLevel="0" collapsed="false">
      <c r="A2581" s="15" t="s">
        <v>14933</v>
      </c>
      <c r="B2581" s="15" t="s">
        <v>14933</v>
      </c>
      <c r="C2581" s="14" t="s">
        <v>16367</v>
      </c>
      <c r="D2581" s="14" t="s">
        <v>16368</v>
      </c>
      <c r="E2581" s="16" t="s">
        <v>16369</v>
      </c>
      <c r="F2581" s="16"/>
      <c r="G2581" s="23" t="s">
        <v>43</v>
      </c>
      <c r="H2581" s="18" t="n">
        <v>2</v>
      </c>
      <c r="I2581" s="20" t="n">
        <v>45</v>
      </c>
      <c r="J2581" s="20" t="n">
        <v>92.4</v>
      </c>
      <c r="K2581" s="18" t="n">
        <v>4</v>
      </c>
      <c r="L2581" s="18" t="n">
        <v>2</v>
      </c>
      <c r="M2581" s="18" t="n">
        <v>94</v>
      </c>
      <c r="N2581" s="18" t="n">
        <v>36</v>
      </c>
      <c r="O2581" s="14" t="s">
        <v>15129</v>
      </c>
      <c r="P2581" s="14" t="s">
        <v>118</v>
      </c>
      <c r="Q2581" s="15" t="s">
        <v>1089</v>
      </c>
      <c r="R2581" s="16" t="s">
        <v>16370</v>
      </c>
      <c r="S2581" s="15" t="s">
        <v>16371</v>
      </c>
      <c r="T2581" s="15" t="s">
        <v>16371</v>
      </c>
      <c r="U2581" s="21" t="s">
        <v>72</v>
      </c>
    </row>
    <row r="2582" customFormat="false" ht="15" hidden="false" customHeight="false" outlineLevel="0" collapsed="false">
      <c r="A2582" s="15" t="s">
        <v>14933</v>
      </c>
      <c r="B2582" s="15" t="s">
        <v>14933</v>
      </c>
      <c r="C2582" s="14" t="s">
        <v>16372</v>
      </c>
      <c r="D2582" s="14" t="s">
        <v>16373</v>
      </c>
      <c r="E2582" s="16" t="s">
        <v>16374</v>
      </c>
      <c r="F2582" s="16"/>
      <c r="G2582" s="23" t="s">
        <v>43</v>
      </c>
      <c r="H2582" s="18" t="n">
        <v>3</v>
      </c>
      <c r="I2582" s="20" t="n">
        <v>35.33</v>
      </c>
      <c r="J2582" s="20" t="n">
        <v>125.25</v>
      </c>
      <c r="K2582" s="18" t="n">
        <v>2</v>
      </c>
      <c r="L2582" s="18"/>
      <c r="M2582" s="18" t="n">
        <v>20</v>
      </c>
      <c r="N2582" s="18" t="n">
        <v>20</v>
      </c>
      <c r="O2582" s="14" t="s">
        <v>1126</v>
      </c>
      <c r="P2582" s="14" t="s">
        <v>84</v>
      </c>
      <c r="Q2582" s="15" t="s">
        <v>1089</v>
      </c>
      <c r="R2582" s="16" t="s">
        <v>6561</v>
      </c>
      <c r="S2582" s="15" t="s">
        <v>16375</v>
      </c>
      <c r="T2582" s="15" t="s">
        <v>16376</v>
      </c>
      <c r="U2582" s="21" t="s">
        <v>72</v>
      </c>
    </row>
    <row r="2583" customFormat="false" ht="15" hidden="false" customHeight="false" outlineLevel="0" collapsed="false">
      <c r="A2583" s="15" t="s">
        <v>14933</v>
      </c>
      <c r="B2583" s="15" t="s">
        <v>14933</v>
      </c>
      <c r="C2583" s="14" t="s">
        <v>16377</v>
      </c>
      <c r="D2583" s="14" t="s">
        <v>16378</v>
      </c>
      <c r="E2583" s="16" t="s">
        <v>16379</v>
      </c>
      <c r="F2583" s="16" t="s">
        <v>16380</v>
      </c>
      <c r="G2583" s="23" t="s">
        <v>43</v>
      </c>
      <c r="H2583" s="18" t="n">
        <v>3</v>
      </c>
      <c r="I2583" s="20" t="n">
        <v>35.92</v>
      </c>
      <c r="J2583" s="20" t="n">
        <v>77.1</v>
      </c>
      <c r="K2583" s="18" t="n">
        <v>3</v>
      </c>
      <c r="L2583" s="18" t="n">
        <v>1</v>
      </c>
      <c r="M2583" s="18" t="n">
        <v>28</v>
      </c>
      <c r="N2583" s="18" t="n">
        <v>21</v>
      </c>
      <c r="O2583" s="14" t="s">
        <v>16381</v>
      </c>
      <c r="P2583" s="14" t="s">
        <v>1166</v>
      </c>
      <c r="Q2583" s="15" t="s">
        <v>1089</v>
      </c>
      <c r="R2583" s="16" t="s">
        <v>8678</v>
      </c>
      <c r="S2583" s="15" t="s">
        <v>16382</v>
      </c>
      <c r="T2583" s="15" t="s">
        <v>16382</v>
      </c>
      <c r="U2583" s="21" t="s">
        <v>72</v>
      </c>
    </row>
    <row r="2584" customFormat="false" ht="15" hidden="false" customHeight="false" outlineLevel="0" collapsed="false">
      <c r="A2584" s="15" t="s">
        <v>14933</v>
      </c>
      <c r="B2584" s="15" t="s">
        <v>14933</v>
      </c>
      <c r="C2584" s="14" t="s">
        <v>16383</v>
      </c>
      <c r="D2584" s="14" t="s">
        <v>16384</v>
      </c>
      <c r="E2584" s="16" t="s">
        <v>16385</v>
      </c>
      <c r="F2584" s="16" t="s">
        <v>16386</v>
      </c>
      <c r="G2584" s="23" t="s">
        <v>43</v>
      </c>
      <c r="H2584" s="18" t="n">
        <v>1</v>
      </c>
      <c r="I2584" s="20" t="n">
        <v>30</v>
      </c>
      <c r="J2584" s="20" t="n">
        <v>70</v>
      </c>
      <c r="K2584" s="18" t="n">
        <v>2</v>
      </c>
      <c r="L2584" s="18" t="n">
        <v>1</v>
      </c>
      <c r="M2584" s="18" t="n">
        <v>26</v>
      </c>
      <c r="N2584" s="18" t="n">
        <v>26</v>
      </c>
      <c r="O2584" s="14" t="s">
        <v>1126</v>
      </c>
      <c r="P2584" s="14" t="s">
        <v>84</v>
      </c>
      <c r="Q2584" s="15" t="s">
        <v>1089</v>
      </c>
      <c r="R2584" s="16" t="s">
        <v>16387</v>
      </c>
      <c r="S2584" s="15" t="s">
        <v>16388</v>
      </c>
      <c r="T2584" s="15" t="s">
        <v>16388</v>
      </c>
      <c r="U2584" s="21" t="s">
        <v>72</v>
      </c>
    </row>
    <row r="2585" customFormat="false" ht="15" hidden="false" customHeight="false" outlineLevel="0" collapsed="false">
      <c r="A2585" s="15" t="s">
        <v>14933</v>
      </c>
      <c r="B2585" s="15" t="s">
        <v>14933</v>
      </c>
      <c r="C2585" s="14" t="s">
        <v>16389</v>
      </c>
      <c r="D2585" s="14" t="s">
        <v>16390</v>
      </c>
      <c r="E2585" s="16" t="s">
        <v>16391</v>
      </c>
      <c r="F2585" s="16" t="s">
        <v>16392</v>
      </c>
      <c r="G2585" s="23" t="s">
        <v>43</v>
      </c>
      <c r="H2585" s="18" t="n">
        <v>3</v>
      </c>
      <c r="I2585" s="20" t="n">
        <v>90.57</v>
      </c>
      <c r="J2585" s="20" t="n">
        <v>182.85</v>
      </c>
      <c r="K2585" s="18" t="n">
        <v>7</v>
      </c>
      <c r="L2585" s="18" t="n">
        <v>4</v>
      </c>
      <c r="M2585" s="18" t="n">
        <v>175</v>
      </c>
      <c r="N2585" s="18" t="n">
        <v>75</v>
      </c>
      <c r="O2585" s="14" t="s">
        <v>16393</v>
      </c>
      <c r="P2585" s="14" t="s">
        <v>84</v>
      </c>
      <c r="Q2585" s="15" t="s">
        <v>1089</v>
      </c>
      <c r="R2585" s="16" t="s">
        <v>16394</v>
      </c>
      <c r="S2585" s="15" t="s">
        <v>16395</v>
      </c>
      <c r="T2585" s="15" t="s">
        <v>16396</v>
      </c>
      <c r="U2585" s="21" t="s">
        <v>72</v>
      </c>
    </row>
    <row r="2586" customFormat="false" ht="15" hidden="false" customHeight="false" outlineLevel="0" collapsed="false">
      <c r="A2586" s="15" t="s">
        <v>14933</v>
      </c>
      <c r="B2586" s="15" t="s">
        <v>14933</v>
      </c>
      <c r="C2586" s="14" t="s">
        <v>16397</v>
      </c>
      <c r="D2586" s="14" t="s">
        <v>16398</v>
      </c>
      <c r="E2586" s="16" t="s">
        <v>16399</v>
      </c>
      <c r="F2586" s="16"/>
      <c r="G2586" s="23" t="s">
        <v>43</v>
      </c>
      <c r="H2586" s="18" t="n">
        <v>2</v>
      </c>
      <c r="I2586" s="20" t="n">
        <v>32.609</v>
      </c>
      <c r="J2586" s="20" t="n">
        <v>149</v>
      </c>
      <c r="K2586" s="18" t="n">
        <v>2</v>
      </c>
      <c r="L2586" s="18" t="n">
        <v>1</v>
      </c>
      <c r="M2586" s="18" t="n">
        <v>26</v>
      </c>
      <c r="N2586" s="18" t="n">
        <v>26</v>
      </c>
      <c r="O2586" s="14" t="s">
        <v>1126</v>
      </c>
      <c r="P2586" s="14" t="s">
        <v>84</v>
      </c>
      <c r="Q2586" s="15" t="s">
        <v>1089</v>
      </c>
      <c r="R2586" s="16" t="s">
        <v>16400</v>
      </c>
      <c r="S2586" s="15" t="s">
        <v>16401</v>
      </c>
      <c r="T2586" s="15" t="s">
        <v>16401</v>
      </c>
      <c r="U2586" s="21" t="s">
        <v>72</v>
      </c>
    </row>
    <row r="2587" customFormat="false" ht="15" hidden="false" customHeight="false" outlineLevel="0" collapsed="false">
      <c r="A2587" s="15" t="s">
        <v>14933</v>
      </c>
      <c r="B2587" s="15" t="s">
        <v>14933</v>
      </c>
      <c r="C2587" s="14" t="s">
        <v>16402</v>
      </c>
      <c r="D2587" s="14" t="s">
        <v>16403</v>
      </c>
      <c r="E2587" s="16" t="s">
        <v>16404</v>
      </c>
      <c r="F2587" s="16" t="s">
        <v>16405</v>
      </c>
      <c r="G2587" s="23" t="s">
        <v>43</v>
      </c>
      <c r="H2587" s="18" t="n">
        <v>2</v>
      </c>
      <c r="I2587" s="20" t="n">
        <v>38.38</v>
      </c>
      <c r="J2587" s="20" t="n">
        <v>179.22</v>
      </c>
      <c r="K2587" s="18" t="n">
        <v>7</v>
      </c>
      <c r="L2587" s="18" t="n">
        <v>4</v>
      </c>
      <c r="M2587" s="18" t="n">
        <v>105</v>
      </c>
      <c r="N2587" s="18" t="n">
        <v>105</v>
      </c>
      <c r="O2587" s="14" t="s">
        <v>1097</v>
      </c>
      <c r="P2587" s="14" t="s">
        <v>84</v>
      </c>
      <c r="Q2587" s="15" t="s">
        <v>1089</v>
      </c>
      <c r="R2587" s="16" t="s">
        <v>16406</v>
      </c>
      <c r="S2587" s="15" t="s">
        <v>16407</v>
      </c>
      <c r="T2587" s="15" t="s">
        <v>16407</v>
      </c>
      <c r="U2587" s="21" t="s">
        <v>72</v>
      </c>
    </row>
    <row r="2588" customFormat="false" ht="15" hidden="false" customHeight="false" outlineLevel="0" collapsed="false">
      <c r="A2588" s="15" t="s">
        <v>14933</v>
      </c>
      <c r="B2588" s="15" t="s">
        <v>14933</v>
      </c>
      <c r="C2588" s="14" t="s">
        <v>16408</v>
      </c>
      <c r="D2588" s="14" t="s">
        <v>16409</v>
      </c>
      <c r="E2588" s="16" t="s">
        <v>16410</v>
      </c>
      <c r="F2588" s="16" t="s">
        <v>16411</v>
      </c>
      <c r="G2588" s="19" t="s">
        <v>41</v>
      </c>
      <c r="H2588" s="18" t="n">
        <v>5</v>
      </c>
      <c r="I2588" s="20" t="n">
        <v>68.67</v>
      </c>
      <c r="J2588" s="20" t="n">
        <v>147.45</v>
      </c>
      <c r="K2588" s="18" t="n">
        <v>2</v>
      </c>
      <c r="L2588" s="18" t="n">
        <v>1</v>
      </c>
      <c r="M2588" s="18" t="n">
        <v>28</v>
      </c>
      <c r="N2588" s="18" t="n">
        <v>28</v>
      </c>
      <c r="O2588" s="14" t="s">
        <v>16412</v>
      </c>
      <c r="P2588" s="14" t="s">
        <v>84</v>
      </c>
      <c r="Q2588" s="15" t="s">
        <v>1089</v>
      </c>
      <c r="R2588" s="16" t="s">
        <v>16413</v>
      </c>
      <c r="S2588" s="15" t="s">
        <v>16414</v>
      </c>
      <c r="T2588" s="15" t="s">
        <v>16414</v>
      </c>
      <c r="U2588" s="21" t="s">
        <v>72</v>
      </c>
    </row>
    <row r="2589" customFormat="false" ht="15" hidden="false" customHeight="false" outlineLevel="0" collapsed="false">
      <c r="A2589" s="15" t="s">
        <v>14933</v>
      </c>
      <c r="B2589" s="15" t="s">
        <v>14933</v>
      </c>
      <c r="C2589" s="14" t="s">
        <v>16415</v>
      </c>
      <c r="D2589" s="14" t="s">
        <v>16416</v>
      </c>
      <c r="E2589" s="16" t="s">
        <v>16417</v>
      </c>
      <c r="F2589" s="16" t="s">
        <v>16418</v>
      </c>
      <c r="G2589" s="19" t="s">
        <v>41</v>
      </c>
      <c r="H2589" s="18" t="n">
        <v>6</v>
      </c>
      <c r="I2589" s="20" t="n">
        <v>103.54</v>
      </c>
      <c r="J2589" s="20" t="n">
        <v>159.49</v>
      </c>
      <c r="K2589" s="18" t="n">
        <v>8</v>
      </c>
      <c r="L2589" s="18" t="n">
        <v>4</v>
      </c>
      <c r="M2589" s="18" t="n">
        <v>176</v>
      </c>
      <c r="N2589" s="18" t="n">
        <v>176</v>
      </c>
      <c r="O2589" s="14" t="s">
        <v>1126</v>
      </c>
      <c r="P2589" s="14" t="s">
        <v>84</v>
      </c>
      <c r="Q2589" s="15" t="s">
        <v>1089</v>
      </c>
      <c r="R2589" s="16" t="s">
        <v>16419</v>
      </c>
      <c r="S2589" s="15" t="s">
        <v>16420</v>
      </c>
      <c r="T2589" s="15" t="s">
        <v>16420</v>
      </c>
      <c r="U2589" s="21" t="s">
        <v>72</v>
      </c>
    </row>
    <row r="2590" customFormat="false" ht="15" hidden="false" customHeight="false" outlineLevel="0" collapsed="false">
      <c r="A2590" s="15" t="s">
        <v>14933</v>
      </c>
      <c r="B2590" s="15" t="s">
        <v>14933</v>
      </c>
      <c r="C2590" s="14" t="s">
        <v>16421</v>
      </c>
      <c r="D2590" s="14" t="s">
        <v>16422</v>
      </c>
      <c r="E2590" s="16" t="s">
        <v>16423</v>
      </c>
      <c r="F2590" s="16"/>
      <c r="G2590" s="23" t="s">
        <v>43</v>
      </c>
      <c r="H2590" s="18" t="n">
        <v>2</v>
      </c>
      <c r="I2590" s="20" t="n">
        <v>64</v>
      </c>
      <c r="J2590" s="20" t="n">
        <v>133.52</v>
      </c>
      <c r="K2590" s="18" t="n">
        <v>2</v>
      </c>
      <c r="L2590" s="18" t="n">
        <v>8</v>
      </c>
      <c r="M2590" s="18" t="n">
        <v>52</v>
      </c>
      <c r="N2590" s="18" t="n">
        <v>52</v>
      </c>
      <c r="O2590" s="14" t="s">
        <v>1126</v>
      </c>
      <c r="P2590" s="14" t="s">
        <v>84</v>
      </c>
      <c r="Q2590" s="15" t="s">
        <v>1089</v>
      </c>
      <c r="R2590" s="16" t="s">
        <v>16424</v>
      </c>
      <c r="S2590" s="15" t="s">
        <v>16425</v>
      </c>
      <c r="T2590" s="15" t="s">
        <v>16425</v>
      </c>
      <c r="U2590" s="21" t="s">
        <v>72</v>
      </c>
    </row>
    <row r="2591" customFormat="false" ht="15" hidden="false" customHeight="false" outlineLevel="0" collapsed="false">
      <c r="A2591" s="15" t="s">
        <v>14933</v>
      </c>
      <c r="B2591" s="15" t="s">
        <v>14933</v>
      </c>
      <c r="C2591" s="14" t="s">
        <v>16426</v>
      </c>
      <c r="D2591" s="14" t="s">
        <v>16427</v>
      </c>
      <c r="E2591" s="16" t="s">
        <v>16428</v>
      </c>
      <c r="F2591" s="16" t="s">
        <v>16429</v>
      </c>
      <c r="G2591" s="23" t="s">
        <v>43</v>
      </c>
      <c r="H2591" s="18" t="n">
        <v>4</v>
      </c>
      <c r="I2591" s="20" t="n">
        <v>66.78</v>
      </c>
      <c r="J2591" s="20" t="n">
        <v>129.52</v>
      </c>
      <c r="K2591" s="18" t="n">
        <v>6</v>
      </c>
      <c r="L2591" s="18" t="n">
        <v>3</v>
      </c>
      <c r="M2591" s="18" t="n">
        <v>120</v>
      </c>
      <c r="N2591" s="18" t="n">
        <v>40</v>
      </c>
      <c r="O2591" s="14" t="s">
        <v>1126</v>
      </c>
      <c r="P2591" s="14" t="s">
        <v>94</v>
      </c>
      <c r="Q2591" s="15" t="s">
        <v>1089</v>
      </c>
      <c r="R2591" s="16" t="s">
        <v>16430</v>
      </c>
      <c r="S2591" s="15" t="s">
        <v>16431</v>
      </c>
      <c r="T2591" s="15" t="s">
        <v>16431</v>
      </c>
      <c r="U2591" s="21" t="s">
        <v>72</v>
      </c>
    </row>
    <row r="2592" customFormat="false" ht="15" hidden="false" customHeight="false" outlineLevel="0" collapsed="false">
      <c r="A2592" s="15" t="s">
        <v>14933</v>
      </c>
      <c r="B2592" s="15" t="s">
        <v>14933</v>
      </c>
      <c r="C2592" s="14" t="s">
        <v>16432</v>
      </c>
      <c r="D2592" s="14" t="s">
        <v>16433</v>
      </c>
      <c r="E2592" s="16" t="s">
        <v>16434</v>
      </c>
      <c r="F2592" s="16" t="s">
        <v>16435</v>
      </c>
      <c r="G2592" s="23" t="s">
        <v>43</v>
      </c>
      <c r="H2592" s="18" t="n">
        <v>2</v>
      </c>
      <c r="I2592" s="20" t="n">
        <v>99</v>
      </c>
      <c r="J2592" s="20" t="n">
        <v>186.43</v>
      </c>
      <c r="K2592" s="18" t="n">
        <v>6</v>
      </c>
      <c r="L2592" s="18" t="n">
        <v>1</v>
      </c>
      <c r="M2592" s="18" t="n">
        <v>246</v>
      </c>
      <c r="N2592" s="18" t="n">
        <v>82</v>
      </c>
      <c r="O2592" s="14" t="s">
        <v>16436</v>
      </c>
      <c r="P2592" s="14" t="s">
        <v>84</v>
      </c>
      <c r="Q2592" s="15" t="s">
        <v>1089</v>
      </c>
      <c r="R2592" s="16" t="s">
        <v>16437</v>
      </c>
      <c r="S2592" s="15" t="s">
        <v>16438</v>
      </c>
      <c r="T2592" s="15" t="s">
        <v>16438</v>
      </c>
      <c r="U2592" s="21" t="s">
        <v>72</v>
      </c>
    </row>
    <row r="2593" customFormat="false" ht="15" hidden="false" customHeight="false" outlineLevel="0" collapsed="false">
      <c r="A2593" s="15" t="s">
        <v>14933</v>
      </c>
      <c r="B2593" s="15" t="s">
        <v>14933</v>
      </c>
      <c r="C2593" s="14" t="s">
        <v>16439</v>
      </c>
      <c r="D2593" s="14" t="s">
        <v>16440</v>
      </c>
      <c r="E2593" s="16" t="s">
        <v>16441</v>
      </c>
      <c r="F2593" s="16" t="s">
        <v>16442</v>
      </c>
      <c r="G2593" s="19" t="s">
        <v>41</v>
      </c>
      <c r="H2593" s="18" t="n">
        <v>6</v>
      </c>
      <c r="I2593" s="20" t="n">
        <v>133.86</v>
      </c>
      <c r="J2593" s="20" t="n">
        <v>192.01</v>
      </c>
      <c r="K2593" s="18" t="n">
        <v>2</v>
      </c>
      <c r="L2593" s="18" t="n">
        <v>2</v>
      </c>
      <c r="M2593" s="18" t="n">
        <v>46</v>
      </c>
      <c r="N2593" s="18" t="n">
        <v>46</v>
      </c>
      <c r="O2593" s="14" t="s">
        <v>10396</v>
      </c>
      <c r="P2593" s="14" t="s">
        <v>84</v>
      </c>
      <c r="Q2593" s="15" t="s">
        <v>1089</v>
      </c>
      <c r="R2593" s="16" t="s">
        <v>16443</v>
      </c>
      <c r="S2593" s="15" t="s">
        <v>16444</v>
      </c>
      <c r="T2593" s="15" t="s">
        <v>16444</v>
      </c>
      <c r="U2593" s="21" t="s">
        <v>72</v>
      </c>
    </row>
    <row r="2594" customFormat="false" ht="52.2" hidden="false" customHeight="false" outlineLevel="0" collapsed="false">
      <c r="A2594" s="15" t="s">
        <v>14933</v>
      </c>
      <c r="B2594" s="15" t="s">
        <v>14933</v>
      </c>
      <c r="C2594" s="14" t="s">
        <v>16445</v>
      </c>
      <c r="D2594" s="14" t="s">
        <v>16446</v>
      </c>
      <c r="E2594" s="16" t="s">
        <v>16447</v>
      </c>
      <c r="F2594" s="16" t="s">
        <v>16448</v>
      </c>
      <c r="G2594" s="25" t="s">
        <v>39</v>
      </c>
      <c r="H2594" s="18" t="n">
        <v>8</v>
      </c>
      <c r="I2594" s="20" t="n">
        <v>193.17</v>
      </c>
      <c r="J2594" s="20" t="n">
        <v>390.44</v>
      </c>
      <c r="K2594" s="18" t="n">
        <v>17</v>
      </c>
      <c r="L2594" s="18" t="n">
        <v>3</v>
      </c>
      <c r="M2594" s="18" t="n">
        <v>345</v>
      </c>
      <c r="N2594" s="18" t="n">
        <v>177</v>
      </c>
      <c r="O2594" s="14" t="s">
        <v>16449</v>
      </c>
      <c r="P2594" s="14" t="s">
        <v>118</v>
      </c>
      <c r="Q2594" s="15" t="s">
        <v>1089</v>
      </c>
      <c r="R2594" s="16" t="s">
        <v>15778</v>
      </c>
      <c r="S2594" s="15" t="s">
        <v>16450</v>
      </c>
      <c r="T2594" s="15" t="s">
        <v>16451</v>
      </c>
      <c r="U2594" s="21" t="s">
        <v>72</v>
      </c>
    </row>
    <row r="2595" customFormat="false" ht="26.85" hidden="false" customHeight="false" outlineLevel="0" collapsed="false">
      <c r="A2595" s="15" t="s">
        <v>14933</v>
      </c>
      <c r="B2595" s="15" t="s">
        <v>14933</v>
      </c>
      <c r="C2595" s="14" t="s">
        <v>16452</v>
      </c>
      <c r="D2595" s="14" t="s">
        <v>16453</v>
      </c>
      <c r="E2595" s="16" t="s">
        <v>16454</v>
      </c>
      <c r="F2595" s="16" t="s">
        <v>16455</v>
      </c>
      <c r="G2595" s="23" t="s">
        <v>43</v>
      </c>
      <c r="H2595" s="18" t="n">
        <v>3</v>
      </c>
      <c r="I2595" s="20" t="n">
        <v>91.46</v>
      </c>
      <c r="J2595" s="20" t="n">
        <v>120.08</v>
      </c>
      <c r="K2595" s="18" t="n">
        <v>10</v>
      </c>
      <c r="L2595" s="18" t="n">
        <v>1</v>
      </c>
      <c r="M2595" s="18" t="n">
        <v>224</v>
      </c>
      <c r="N2595" s="18" t="n">
        <v>159</v>
      </c>
      <c r="O2595" s="14" t="s">
        <v>16456</v>
      </c>
      <c r="P2595" s="14" t="s">
        <v>1185</v>
      </c>
      <c r="Q2595" s="15" t="s">
        <v>1089</v>
      </c>
      <c r="R2595" s="16" t="s">
        <v>16457</v>
      </c>
      <c r="S2595" s="15" t="s">
        <v>16458</v>
      </c>
      <c r="T2595" s="15" t="s">
        <v>16458</v>
      </c>
      <c r="U2595" s="21" t="s">
        <v>72</v>
      </c>
    </row>
    <row r="2596" customFormat="false" ht="15" hidden="false" customHeight="false" outlineLevel="0" collapsed="false">
      <c r="A2596" s="15" t="s">
        <v>14933</v>
      </c>
      <c r="B2596" s="15" t="s">
        <v>14933</v>
      </c>
      <c r="C2596" s="14" t="s">
        <v>16459</v>
      </c>
      <c r="D2596" s="14" t="s">
        <v>16460</v>
      </c>
      <c r="E2596" s="16" t="s">
        <v>16461</v>
      </c>
      <c r="F2596" s="16" t="s">
        <v>16462</v>
      </c>
      <c r="G2596" s="23" t="s">
        <v>43</v>
      </c>
      <c r="H2596" s="18" t="n">
        <v>3</v>
      </c>
      <c r="I2596" s="20" t="n">
        <v>113.94</v>
      </c>
      <c r="J2596" s="20" t="n">
        <v>193.94</v>
      </c>
      <c r="K2596" s="18" t="n">
        <v>6</v>
      </c>
      <c r="L2596" s="18" t="n">
        <v>11</v>
      </c>
      <c r="M2596" s="18" t="n">
        <v>173</v>
      </c>
      <c r="N2596" s="18" t="n">
        <v>83</v>
      </c>
      <c r="O2596" s="14" t="s">
        <v>1126</v>
      </c>
      <c r="P2596" s="14" t="s">
        <v>84</v>
      </c>
      <c r="Q2596" s="15" t="s">
        <v>1089</v>
      </c>
      <c r="R2596" s="16" t="s">
        <v>15543</v>
      </c>
      <c r="S2596" s="15" t="s">
        <v>16463</v>
      </c>
      <c r="T2596" s="15" t="s">
        <v>16463</v>
      </c>
      <c r="U2596" s="21" t="s">
        <v>72</v>
      </c>
    </row>
    <row r="2597" customFormat="false" ht="15" hidden="false" customHeight="false" outlineLevel="0" collapsed="false">
      <c r="A2597" s="15" t="s">
        <v>14933</v>
      </c>
      <c r="B2597" s="15" t="s">
        <v>14933</v>
      </c>
      <c r="C2597" s="14" t="s">
        <v>16464</v>
      </c>
      <c r="D2597" s="14" t="s">
        <v>16465</v>
      </c>
      <c r="E2597" s="16" t="s">
        <v>16466</v>
      </c>
      <c r="F2597" s="16" t="s">
        <v>16467</v>
      </c>
      <c r="G2597" s="19" t="s">
        <v>41</v>
      </c>
      <c r="H2597" s="18" t="n">
        <v>5</v>
      </c>
      <c r="I2597" s="20" t="n">
        <v>134.27</v>
      </c>
      <c r="J2597" s="20" t="n">
        <v>206.14</v>
      </c>
      <c r="K2597" s="18" t="n">
        <v>20</v>
      </c>
      <c r="L2597" s="18" t="n">
        <v>7</v>
      </c>
      <c r="M2597" s="18" t="n">
        <v>310</v>
      </c>
      <c r="N2597" s="18" t="n">
        <v>39</v>
      </c>
      <c r="O2597" s="14" t="s">
        <v>16468</v>
      </c>
      <c r="P2597" s="14" t="s">
        <v>84</v>
      </c>
      <c r="Q2597" s="15" t="s">
        <v>1089</v>
      </c>
      <c r="R2597" s="16" t="s">
        <v>16469</v>
      </c>
      <c r="S2597" s="15" t="s">
        <v>16470</v>
      </c>
      <c r="T2597" s="15" t="s">
        <v>16470</v>
      </c>
      <c r="U2597" s="21" t="s">
        <v>72</v>
      </c>
    </row>
    <row r="2598" customFormat="false" ht="15" hidden="false" customHeight="false" outlineLevel="0" collapsed="false">
      <c r="A2598" s="15" t="s">
        <v>14933</v>
      </c>
      <c r="B2598" s="15" t="s">
        <v>14933</v>
      </c>
      <c r="C2598" s="14" t="s">
        <v>16471</v>
      </c>
      <c r="D2598" s="14" t="s">
        <v>16472</v>
      </c>
      <c r="E2598" s="16" t="s">
        <v>16473</v>
      </c>
      <c r="F2598" s="16" t="s">
        <v>16474</v>
      </c>
      <c r="G2598" s="23" t="s">
        <v>43</v>
      </c>
      <c r="H2598" s="18" t="n">
        <v>2</v>
      </c>
      <c r="I2598" s="20" t="n">
        <v>31.75</v>
      </c>
      <c r="J2598" s="20" t="n">
        <v>84.65</v>
      </c>
      <c r="K2598" s="18" t="n">
        <v>2</v>
      </c>
      <c r="L2598" s="18" t="n">
        <v>1</v>
      </c>
      <c r="M2598" s="18" t="n">
        <v>25</v>
      </c>
      <c r="N2598" s="18" t="n">
        <v>25</v>
      </c>
      <c r="O2598" s="14" t="s">
        <v>1126</v>
      </c>
      <c r="P2598" s="14" t="s">
        <v>84</v>
      </c>
      <c r="Q2598" s="15" t="s">
        <v>1089</v>
      </c>
      <c r="R2598" s="16" t="s">
        <v>4991</v>
      </c>
      <c r="S2598" s="15" t="s">
        <v>16475</v>
      </c>
      <c r="T2598" s="15" t="s">
        <v>16476</v>
      </c>
      <c r="U2598" s="21" t="s">
        <v>72</v>
      </c>
    </row>
    <row r="2599" customFormat="false" ht="15" hidden="false" customHeight="false" outlineLevel="0" collapsed="false">
      <c r="A2599" s="15" t="s">
        <v>14933</v>
      </c>
      <c r="B2599" s="15" t="s">
        <v>14933</v>
      </c>
      <c r="C2599" s="14" t="s">
        <v>16477</v>
      </c>
      <c r="D2599" s="14" t="s">
        <v>16478</v>
      </c>
      <c r="E2599" s="16" t="s">
        <v>16479</v>
      </c>
      <c r="F2599" s="16"/>
      <c r="G2599" s="19" t="s">
        <v>41</v>
      </c>
      <c r="H2599" s="18" t="n">
        <v>2</v>
      </c>
      <c r="I2599" s="20" t="n">
        <v>112.01</v>
      </c>
      <c r="J2599" s="20" t="n">
        <v>298.79</v>
      </c>
      <c r="K2599" s="18" t="n">
        <v>10</v>
      </c>
      <c r="L2599" s="18" t="n">
        <v>9</v>
      </c>
      <c r="M2599" s="18" t="n">
        <v>476</v>
      </c>
      <c r="N2599" s="18" t="n">
        <v>184</v>
      </c>
      <c r="O2599" s="14" t="s">
        <v>16480</v>
      </c>
      <c r="P2599" s="14" t="s">
        <v>118</v>
      </c>
      <c r="Q2599" s="15" t="s">
        <v>1089</v>
      </c>
      <c r="R2599" s="16" t="s">
        <v>16481</v>
      </c>
      <c r="S2599" s="15" t="s">
        <v>16482</v>
      </c>
      <c r="T2599" s="15" t="s">
        <v>16482</v>
      </c>
      <c r="U2599" s="21" t="s">
        <v>72</v>
      </c>
    </row>
    <row r="2600" customFormat="false" ht="15" hidden="false" customHeight="false" outlineLevel="0" collapsed="false">
      <c r="A2600" s="15" t="s">
        <v>14933</v>
      </c>
      <c r="B2600" s="15" t="s">
        <v>14933</v>
      </c>
      <c r="C2600" s="14" t="s">
        <v>16483</v>
      </c>
      <c r="D2600" s="14" t="s">
        <v>16484</v>
      </c>
      <c r="E2600" s="16" t="s">
        <v>16485</v>
      </c>
      <c r="F2600" s="16" t="s">
        <v>16486</v>
      </c>
      <c r="G2600" s="23" t="s">
        <v>43</v>
      </c>
      <c r="H2600" s="18" t="n">
        <v>2</v>
      </c>
      <c r="I2600" s="20"/>
      <c r="J2600" s="20" t="n">
        <v>108.41</v>
      </c>
      <c r="K2600" s="18" t="n">
        <v>4</v>
      </c>
      <c r="L2600" s="18" t="n">
        <v>3</v>
      </c>
      <c r="M2600" s="18" t="n">
        <v>60</v>
      </c>
      <c r="N2600" s="18" t="n">
        <v>30</v>
      </c>
      <c r="O2600" s="14" t="s">
        <v>1126</v>
      </c>
      <c r="P2600" s="14" t="s">
        <v>202</v>
      </c>
      <c r="Q2600" s="15" t="s">
        <v>1089</v>
      </c>
      <c r="R2600" s="16" t="s">
        <v>16487</v>
      </c>
      <c r="S2600" s="15" t="s">
        <v>16488</v>
      </c>
      <c r="T2600" s="15" t="s">
        <v>16488</v>
      </c>
      <c r="U2600" s="21" t="s">
        <v>72</v>
      </c>
    </row>
    <row r="2601" customFormat="false" ht="15" hidden="false" customHeight="false" outlineLevel="0" collapsed="false">
      <c r="A2601" s="15" t="s">
        <v>14933</v>
      </c>
      <c r="B2601" s="15" t="s">
        <v>14933</v>
      </c>
      <c r="C2601" s="14" t="s">
        <v>16489</v>
      </c>
      <c r="D2601" s="14" t="s">
        <v>16490</v>
      </c>
      <c r="E2601" s="16" t="s">
        <v>16491</v>
      </c>
      <c r="F2601" s="16" t="s">
        <v>16492</v>
      </c>
      <c r="G2601" s="19" t="s">
        <v>41</v>
      </c>
      <c r="H2601" s="18" t="n">
        <v>3</v>
      </c>
      <c r="I2601" s="20" t="n">
        <v>30</v>
      </c>
      <c r="J2601" s="20" t="n">
        <v>290.11</v>
      </c>
      <c r="K2601" s="18" t="n">
        <v>3</v>
      </c>
      <c r="L2601" s="18" t="n">
        <v>3</v>
      </c>
      <c r="M2601" s="18" t="n">
        <v>63</v>
      </c>
      <c r="N2601" s="18" t="n">
        <v>63</v>
      </c>
      <c r="O2601" s="14" t="s">
        <v>1088</v>
      </c>
      <c r="P2601" s="14" t="s">
        <v>84</v>
      </c>
      <c r="Q2601" s="15" t="s">
        <v>1089</v>
      </c>
      <c r="R2601" s="16" t="s">
        <v>16493</v>
      </c>
      <c r="S2601" s="15" t="s">
        <v>16494</v>
      </c>
      <c r="T2601" s="16"/>
      <c r="U2601" s="21" t="s">
        <v>72</v>
      </c>
    </row>
    <row r="2602" customFormat="false" ht="15" hidden="false" customHeight="false" outlineLevel="0" collapsed="false">
      <c r="A2602" s="15" t="s">
        <v>14933</v>
      </c>
      <c r="B2602" s="15" t="s">
        <v>14933</v>
      </c>
      <c r="C2602" s="14" t="s">
        <v>16495</v>
      </c>
      <c r="D2602" s="14" t="s">
        <v>16496</v>
      </c>
      <c r="E2602" s="16" t="s">
        <v>16497</v>
      </c>
      <c r="F2602" s="16" t="s">
        <v>16498</v>
      </c>
      <c r="G2602" s="23" t="s">
        <v>43</v>
      </c>
      <c r="H2602" s="18" t="n">
        <v>3</v>
      </c>
      <c r="I2602" s="20" t="n">
        <v>44</v>
      </c>
      <c r="J2602" s="20" t="n">
        <v>113.56</v>
      </c>
      <c r="K2602" s="18" t="n">
        <v>5</v>
      </c>
      <c r="L2602" s="18" t="n">
        <v>3</v>
      </c>
      <c r="M2602" s="18" t="n">
        <v>64</v>
      </c>
      <c r="N2602" s="18" t="n">
        <v>64</v>
      </c>
      <c r="O2602" s="14" t="s">
        <v>16499</v>
      </c>
      <c r="P2602" s="14" t="s">
        <v>84</v>
      </c>
      <c r="Q2602" s="15" t="s">
        <v>1089</v>
      </c>
      <c r="R2602" s="16" t="s">
        <v>12956</v>
      </c>
      <c r="S2602" s="15" t="s">
        <v>16500</v>
      </c>
      <c r="T2602" s="15" t="s">
        <v>16501</v>
      </c>
      <c r="U2602" s="21" t="s">
        <v>72</v>
      </c>
    </row>
    <row r="2603" customFormat="false" ht="15" hidden="false" customHeight="false" outlineLevel="0" collapsed="false">
      <c r="A2603" s="15" t="s">
        <v>14933</v>
      </c>
      <c r="B2603" s="15" t="s">
        <v>14933</v>
      </c>
      <c r="C2603" s="14" t="s">
        <v>16502</v>
      </c>
      <c r="D2603" s="14" t="s">
        <v>16503</v>
      </c>
      <c r="E2603" s="16" t="s">
        <v>16504</v>
      </c>
      <c r="F2603" s="16" t="s">
        <v>16505</v>
      </c>
      <c r="G2603" s="23" t="s">
        <v>43</v>
      </c>
      <c r="H2603" s="18" t="n">
        <v>2</v>
      </c>
      <c r="I2603" s="20" t="n">
        <v>36.4</v>
      </c>
      <c r="J2603" s="20" t="n">
        <v>81.65</v>
      </c>
      <c r="K2603" s="18" t="n">
        <v>12</v>
      </c>
      <c r="L2603" s="18" t="n">
        <v>1</v>
      </c>
      <c r="M2603" s="18" t="n">
        <v>189</v>
      </c>
      <c r="N2603" s="18" t="n">
        <v>44</v>
      </c>
      <c r="O2603" s="14" t="s">
        <v>1088</v>
      </c>
      <c r="P2603" s="14" t="s">
        <v>84</v>
      </c>
      <c r="Q2603" s="15" t="s">
        <v>1089</v>
      </c>
      <c r="R2603" s="16" t="s">
        <v>16506</v>
      </c>
      <c r="S2603" s="15" t="s">
        <v>16507</v>
      </c>
      <c r="T2603" s="15" t="s">
        <v>16508</v>
      </c>
      <c r="U2603" s="21" t="s">
        <v>72</v>
      </c>
    </row>
    <row r="2604" customFormat="false" ht="26.85" hidden="false" customHeight="false" outlineLevel="0" collapsed="false">
      <c r="A2604" s="15" t="s">
        <v>14933</v>
      </c>
      <c r="B2604" s="15" t="s">
        <v>14933</v>
      </c>
      <c r="C2604" s="14" t="s">
        <v>16509</v>
      </c>
      <c r="D2604" s="14" t="s">
        <v>16510</v>
      </c>
      <c r="E2604" s="16" t="s">
        <v>16511</v>
      </c>
      <c r="F2604" s="16" t="s">
        <v>16512</v>
      </c>
      <c r="G2604" s="19" t="s">
        <v>41</v>
      </c>
      <c r="H2604" s="18" t="n">
        <v>4</v>
      </c>
      <c r="I2604" s="20" t="n">
        <v>110.764</v>
      </c>
      <c r="J2604" s="20" t="n">
        <v>304.86</v>
      </c>
      <c r="K2604" s="18" t="n">
        <v>7</v>
      </c>
      <c r="L2604" s="18" t="n">
        <v>7</v>
      </c>
      <c r="M2604" s="18" t="n">
        <v>161</v>
      </c>
      <c r="N2604" s="18" t="n">
        <v>92</v>
      </c>
      <c r="O2604" s="14" t="s">
        <v>16513</v>
      </c>
      <c r="P2604" s="14" t="s">
        <v>84</v>
      </c>
      <c r="Q2604" s="15" t="s">
        <v>1089</v>
      </c>
      <c r="R2604" s="16" t="s">
        <v>16514</v>
      </c>
      <c r="S2604" s="15" t="s">
        <v>16515</v>
      </c>
      <c r="T2604" s="15" t="s">
        <v>16516</v>
      </c>
      <c r="U2604" s="21" t="s">
        <v>72</v>
      </c>
    </row>
    <row r="2605" customFormat="false" ht="15" hidden="false" customHeight="false" outlineLevel="0" collapsed="false">
      <c r="A2605" s="15" t="s">
        <v>14933</v>
      </c>
      <c r="B2605" s="15" t="s">
        <v>14933</v>
      </c>
      <c r="C2605" s="14" t="s">
        <v>16517</v>
      </c>
      <c r="D2605" s="14" t="s">
        <v>16518</v>
      </c>
      <c r="E2605" s="16" t="s">
        <v>16519</v>
      </c>
      <c r="F2605" s="16"/>
      <c r="G2605" s="23" t="s">
        <v>43</v>
      </c>
      <c r="H2605" s="18" t="n">
        <v>1</v>
      </c>
      <c r="I2605" s="20" t="n">
        <v>30</v>
      </c>
      <c r="J2605" s="20" t="n">
        <v>70</v>
      </c>
      <c r="K2605" s="18" t="n">
        <v>3</v>
      </c>
      <c r="L2605" s="18"/>
      <c r="M2605" s="18" t="n">
        <v>66</v>
      </c>
      <c r="N2605" s="18" t="n">
        <v>66</v>
      </c>
      <c r="O2605" s="14" t="s">
        <v>1088</v>
      </c>
      <c r="P2605" s="14" t="s">
        <v>84</v>
      </c>
      <c r="Q2605" s="15" t="s">
        <v>1089</v>
      </c>
      <c r="R2605" s="16" t="s">
        <v>16520</v>
      </c>
      <c r="S2605" s="15" t="s">
        <v>16521</v>
      </c>
      <c r="T2605" s="15" t="s">
        <v>16521</v>
      </c>
      <c r="U2605" s="21" t="s">
        <v>72</v>
      </c>
    </row>
    <row r="2606" customFormat="false" ht="26.85" hidden="false" customHeight="false" outlineLevel="0" collapsed="false">
      <c r="A2606" s="15" t="s">
        <v>14933</v>
      </c>
      <c r="B2606" s="15" t="s">
        <v>14933</v>
      </c>
      <c r="C2606" s="14" t="s">
        <v>16522</v>
      </c>
      <c r="D2606" s="14" t="s">
        <v>16523</v>
      </c>
      <c r="E2606" s="16" t="s">
        <v>16524</v>
      </c>
      <c r="F2606" s="16" t="s">
        <v>16525</v>
      </c>
      <c r="G2606" s="23" t="s">
        <v>43</v>
      </c>
      <c r="H2606" s="18" t="n">
        <v>2</v>
      </c>
      <c r="I2606" s="20" t="n">
        <v>53.96</v>
      </c>
      <c r="J2606" s="20" t="n">
        <v>129.3</v>
      </c>
      <c r="K2606" s="18" t="n">
        <v>7</v>
      </c>
      <c r="L2606" s="18" t="n">
        <v>4</v>
      </c>
      <c r="M2606" s="18" t="n">
        <v>154</v>
      </c>
      <c r="N2606" s="18" t="n">
        <v>110</v>
      </c>
      <c r="O2606" s="14" t="s">
        <v>16526</v>
      </c>
      <c r="P2606" s="14" t="s">
        <v>84</v>
      </c>
      <c r="Q2606" s="15" t="s">
        <v>1089</v>
      </c>
      <c r="R2606" s="16" t="s">
        <v>682</v>
      </c>
      <c r="S2606" s="15" t="s">
        <v>16527</v>
      </c>
      <c r="T2606" s="15" t="s">
        <v>16528</v>
      </c>
      <c r="U2606" s="21" t="s">
        <v>72</v>
      </c>
    </row>
    <row r="2607" customFormat="false" ht="15" hidden="false" customHeight="false" outlineLevel="0" collapsed="false">
      <c r="A2607" s="15" t="s">
        <v>14933</v>
      </c>
      <c r="B2607" s="15" t="s">
        <v>14933</v>
      </c>
      <c r="C2607" s="14" t="s">
        <v>16529</v>
      </c>
      <c r="D2607" s="14" t="s">
        <v>16530</v>
      </c>
      <c r="E2607" s="16" t="s">
        <v>16531</v>
      </c>
      <c r="F2607" s="16" t="s">
        <v>16532</v>
      </c>
      <c r="G2607" s="23" t="s">
        <v>43</v>
      </c>
      <c r="H2607" s="18" t="n">
        <v>3</v>
      </c>
      <c r="I2607" s="20" t="n">
        <v>73.11</v>
      </c>
      <c r="J2607" s="20" t="n">
        <v>140.76</v>
      </c>
      <c r="K2607" s="18" t="n">
        <v>1</v>
      </c>
      <c r="L2607" s="18" t="n">
        <v>1</v>
      </c>
      <c r="M2607" s="18" t="n">
        <v>23</v>
      </c>
      <c r="N2607" s="18" t="n">
        <v>23</v>
      </c>
      <c r="O2607" s="14" t="s">
        <v>1126</v>
      </c>
      <c r="P2607" s="14" t="s">
        <v>84</v>
      </c>
      <c r="Q2607" s="15" t="s">
        <v>1089</v>
      </c>
      <c r="R2607" s="16" t="s">
        <v>16533</v>
      </c>
      <c r="S2607" s="15" t="s">
        <v>16534</v>
      </c>
      <c r="T2607" s="15" t="s">
        <v>16534</v>
      </c>
      <c r="U2607" s="21" t="s">
        <v>72</v>
      </c>
    </row>
    <row r="2608" customFormat="false" ht="15" hidden="false" customHeight="false" outlineLevel="0" collapsed="false">
      <c r="A2608" s="15" t="s">
        <v>14933</v>
      </c>
      <c r="B2608" s="15" t="s">
        <v>14933</v>
      </c>
      <c r="C2608" s="14" t="s">
        <v>16535</v>
      </c>
      <c r="D2608" s="14" t="s">
        <v>16536</v>
      </c>
      <c r="E2608" s="16" t="s">
        <v>16537</v>
      </c>
      <c r="F2608" s="16" t="s">
        <v>16538</v>
      </c>
      <c r="G2608" s="23" t="s">
        <v>43</v>
      </c>
      <c r="H2608" s="18" t="n">
        <v>3</v>
      </c>
      <c r="I2608" s="20" t="n">
        <v>102.21</v>
      </c>
      <c r="J2608" s="20" t="n">
        <v>184.22</v>
      </c>
      <c r="K2608" s="18" t="n">
        <v>2</v>
      </c>
      <c r="L2608" s="18" t="n">
        <v>2</v>
      </c>
      <c r="M2608" s="18" t="n">
        <v>46</v>
      </c>
      <c r="N2608" s="18" t="n">
        <v>23</v>
      </c>
      <c r="O2608" s="14" t="s">
        <v>1126</v>
      </c>
      <c r="P2608" s="14" t="s">
        <v>84</v>
      </c>
      <c r="Q2608" s="15" t="s">
        <v>1089</v>
      </c>
      <c r="R2608" s="16" t="s">
        <v>15922</v>
      </c>
      <c r="S2608" s="15" t="s">
        <v>16539</v>
      </c>
      <c r="T2608" s="15" t="s">
        <v>16540</v>
      </c>
      <c r="U2608" s="21" t="s">
        <v>72</v>
      </c>
    </row>
    <row r="2609" customFormat="false" ht="15" hidden="false" customHeight="false" outlineLevel="0" collapsed="false">
      <c r="A2609" s="15" t="s">
        <v>14933</v>
      </c>
      <c r="B2609" s="15" t="s">
        <v>14933</v>
      </c>
      <c r="C2609" s="14" t="s">
        <v>16541</v>
      </c>
      <c r="D2609" s="14" t="s">
        <v>16542</v>
      </c>
      <c r="E2609" s="16" t="s">
        <v>16543</v>
      </c>
      <c r="F2609" s="16" t="s">
        <v>16544</v>
      </c>
      <c r="G2609" s="23" t="s">
        <v>43</v>
      </c>
      <c r="H2609" s="18" t="n">
        <v>2</v>
      </c>
      <c r="I2609" s="20" t="n">
        <v>55.12</v>
      </c>
      <c r="J2609" s="20" t="n">
        <v>94.45</v>
      </c>
      <c r="K2609" s="18" t="n">
        <v>10</v>
      </c>
      <c r="L2609" s="18" t="n">
        <v>3</v>
      </c>
      <c r="M2609" s="18" t="n">
        <v>220</v>
      </c>
      <c r="N2609" s="18" t="n">
        <v>44</v>
      </c>
      <c r="O2609" s="14" t="s">
        <v>16545</v>
      </c>
      <c r="P2609" s="14" t="s">
        <v>118</v>
      </c>
      <c r="Q2609" s="15" t="s">
        <v>1089</v>
      </c>
      <c r="R2609" s="16" t="s">
        <v>16546</v>
      </c>
      <c r="S2609" s="15" t="s">
        <v>16547</v>
      </c>
      <c r="T2609" s="15" t="s">
        <v>10773</v>
      </c>
      <c r="U2609" s="21" t="s">
        <v>72</v>
      </c>
    </row>
    <row r="2610" customFormat="false" ht="15" hidden="false" customHeight="false" outlineLevel="0" collapsed="false">
      <c r="A2610" s="15" t="s">
        <v>14933</v>
      </c>
      <c r="B2610" s="15" t="s">
        <v>14933</v>
      </c>
      <c r="C2610" s="14" t="s">
        <v>16548</v>
      </c>
      <c r="D2610" s="14" t="s">
        <v>16549</v>
      </c>
      <c r="E2610" s="16" t="s">
        <v>16550</v>
      </c>
      <c r="F2610" s="16"/>
      <c r="G2610" s="23" t="s">
        <v>43</v>
      </c>
      <c r="H2610" s="18" t="n">
        <v>2</v>
      </c>
      <c r="I2610" s="20" t="n">
        <v>47.09</v>
      </c>
      <c r="J2610" s="20" t="n">
        <v>149.4</v>
      </c>
      <c r="K2610" s="18" t="n">
        <v>14</v>
      </c>
      <c r="L2610" s="18" t="n">
        <v>1</v>
      </c>
      <c r="M2610" s="18" t="n">
        <v>280</v>
      </c>
      <c r="N2610" s="18" t="n">
        <v>200</v>
      </c>
      <c r="O2610" s="14" t="s">
        <v>2125</v>
      </c>
      <c r="P2610" s="14" t="s">
        <v>84</v>
      </c>
      <c r="Q2610" s="15" t="s">
        <v>1089</v>
      </c>
      <c r="R2610" s="16" t="s">
        <v>15259</v>
      </c>
      <c r="S2610" s="15" t="s">
        <v>16551</v>
      </c>
      <c r="T2610" s="15" t="s">
        <v>16551</v>
      </c>
      <c r="U2610" s="21" t="s">
        <v>72</v>
      </c>
    </row>
    <row r="2611" customFormat="false" ht="15" hidden="false" customHeight="false" outlineLevel="0" collapsed="false">
      <c r="A2611" s="15" t="s">
        <v>14933</v>
      </c>
      <c r="B2611" s="15" t="s">
        <v>14933</v>
      </c>
      <c r="C2611" s="14" t="s">
        <v>16552</v>
      </c>
      <c r="D2611" s="14" t="s">
        <v>16553</v>
      </c>
      <c r="E2611" s="16" t="s">
        <v>16554</v>
      </c>
      <c r="F2611" s="16" t="s">
        <v>16555</v>
      </c>
      <c r="G2611" s="23" t="s">
        <v>43</v>
      </c>
      <c r="H2611" s="18" t="n">
        <v>2</v>
      </c>
      <c r="I2611" s="20" t="n">
        <v>33.27</v>
      </c>
      <c r="J2611" s="20" t="n">
        <v>156.95</v>
      </c>
      <c r="K2611" s="18" t="n">
        <v>3</v>
      </c>
      <c r="L2611" s="18" t="n">
        <v>5</v>
      </c>
      <c r="M2611" s="18" t="n">
        <v>40</v>
      </c>
      <c r="N2611" s="18" t="n">
        <v>40</v>
      </c>
      <c r="O2611" s="14" t="s">
        <v>1126</v>
      </c>
      <c r="P2611" s="14" t="s">
        <v>84</v>
      </c>
      <c r="Q2611" s="15" t="s">
        <v>1089</v>
      </c>
      <c r="R2611" s="16" t="s">
        <v>16556</v>
      </c>
      <c r="S2611" s="15" t="s">
        <v>16557</v>
      </c>
      <c r="T2611" s="15" t="s">
        <v>16557</v>
      </c>
      <c r="U2611" s="21" t="s">
        <v>72</v>
      </c>
    </row>
    <row r="2612" customFormat="false" ht="15" hidden="false" customHeight="false" outlineLevel="0" collapsed="false">
      <c r="A2612" s="15" t="s">
        <v>14933</v>
      </c>
      <c r="B2612" s="15" t="s">
        <v>14933</v>
      </c>
      <c r="C2612" s="14" t="s">
        <v>16558</v>
      </c>
      <c r="D2612" s="14" t="s">
        <v>16559</v>
      </c>
      <c r="E2612" s="16" t="s">
        <v>16560</v>
      </c>
      <c r="F2612" s="16" t="s">
        <v>1595</v>
      </c>
      <c r="G2612" s="23" t="s">
        <v>43</v>
      </c>
      <c r="H2612" s="18" t="n">
        <v>3</v>
      </c>
      <c r="I2612" s="20" t="n">
        <v>42.92</v>
      </c>
      <c r="J2612" s="20" t="n">
        <v>162.58</v>
      </c>
      <c r="K2612" s="18" t="n">
        <v>4</v>
      </c>
      <c r="L2612" s="18" t="n">
        <v>3</v>
      </c>
      <c r="M2612" s="18" t="n">
        <v>46</v>
      </c>
      <c r="N2612" s="18" t="n">
        <v>46</v>
      </c>
      <c r="O2612" s="14" t="s">
        <v>1088</v>
      </c>
      <c r="P2612" s="14" t="s">
        <v>84</v>
      </c>
      <c r="Q2612" s="15" t="s">
        <v>1089</v>
      </c>
      <c r="R2612" s="16" t="s">
        <v>16561</v>
      </c>
      <c r="S2612" s="15" t="s">
        <v>16562</v>
      </c>
      <c r="T2612" s="15" t="s">
        <v>16297</v>
      </c>
      <c r="U2612" s="21" t="s">
        <v>72</v>
      </c>
    </row>
    <row r="2613" customFormat="false" ht="26.85" hidden="false" customHeight="false" outlineLevel="0" collapsed="false">
      <c r="A2613" s="15" t="s">
        <v>14933</v>
      </c>
      <c r="B2613" s="15" t="s">
        <v>14933</v>
      </c>
      <c r="C2613" s="14" t="s">
        <v>16563</v>
      </c>
      <c r="D2613" s="14" t="s">
        <v>16564</v>
      </c>
      <c r="E2613" s="16" t="s">
        <v>16565</v>
      </c>
      <c r="F2613" s="16"/>
      <c r="G2613" s="23" t="s">
        <v>43</v>
      </c>
      <c r="H2613" s="18" t="n">
        <v>2</v>
      </c>
      <c r="I2613" s="20" t="n">
        <v>34.74</v>
      </c>
      <c r="J2613" s="20" t="n">
        <v>98.49</v>
      </c>
      <c r="K2613" s="18" t="n">
        <v>18</v>
      </c>
      <c r="L2613" s="18" t="n">
        <v>3</v>
      </c>
      <c r="M2613" s="18" t="n">
        <v>244</v>
      </c>
      <c r="N2613" s="18" t="n">
        <v>154</v>
      </c>
      <c r="O2613" s="14" t="s">
        <v>16566</v>
      </c>
      <c r="P2613" s="14" t="s">
        <v>118</v>
      </c>
      <c r="Q2613" s="15" t="s">
        <v>1089</v>
      </c>
      <c r="R2613" s="16" t="s">
        <v>16567</v>
      </c>
      <c r="S2613" s="15" t="s">
        <v>16568</v>
      </c>
      <c r="T2613" s="15" t="s">
        <v>16569</v>
      </c>
      <c r="U2613" s="21" t="s">
        <v>72</v>
      </c>
    </row>
    <row r="2614" customFormat="false" ht="15" hidden="false" customHeight="false" outlineLevel="0" collapsed="false">
      <c r="A2614" s="15" t="s">
        <v>14933</v>
      </c>
      <c r="B2614" s="15" t="s">
        <v>14933</v>
      </c>
      <c r="C2614" s="14" t="s">
        <v>16570</v>
      </c>
      <c r="D2614" s="14" t="s">
        <v>16571</v>
      </c>
      <c r="E2614" s="16" t="s">
        <v>16572</v>
      </c>
      <c r="F2614" s="16"/>
      <c r="G2614" s="25" t="s">
        <v>39</v>
      </c>
      <c r="H2614" s="18" t="n">
        <v>6</v>
      </c>
      <c r="I2614" s="20" t="n">
        <v>122.43</v>
      </c>
      <c r="J2614" s="20" t="n">
        <v>406.12</v>
      </c>
      <c r="K2614" s="18" t="n">
        <v>4</v>
      </c>
      <c r="L2614" s="18" t="n">
        <v>2</v>
      </c>
      <c r="M2614" s="18" t="n">
        <v>68</v>
      </c>
      <c r="N2614" s="18" t="n">
        <v>68</v>
      </c>
      <c r="O2614" s="14" t="s">
        <v>1097</v>
      </c>
      <c r="P2614" s="14" t="s">
        <v>84</v>
      </c>
      <c r="Q2614" s="15" t="s">
        <v>1089</v>
      </c>
      <c r="R2614" s="16" t="s">
        <v>15824</v>
      </c>
      <c r="S2614" s="15" t="s">
        <v>16573</v>
      </c>
      <c r="T2614" s="15" t="s">
        <v>16574</v>
      </c>
      <c r="U2614" s="21" t="s">
        <v>72</v>
      </c>
    </row>
    <row r="2615" customFormat="false" ht="15" hidden="false" customHeight="false" outlineLevel="0" collapsed="false">
      <c r="A2615" s="15" t="s">
        <v>14933</v>
      </c>
      <c r="B2615" s="15" t="s">
        <v>14933</v>
      </c>
      <c r="C2615" s="14" t="s">
        <v>16575</v>
      </c>
      <c r="D2615" s="14" t="s">
        <v>16576</v>
      </c>
      <c r="E2615" s="16" t="s">
        <v>16577</v>
      </c>
      <c r="F2615" s="16" t="s">
        <v>16578</v>
      </c>
      <c r="G2615" s="23" t="s">
        <v>43</v>
      </c>
      <c r="H2615" s="18" t="n">
        <v>4</v>
      </c>
      <c r="I2615" s="20" t="n">
        <v>84.66</v>
      </c>
      <c r="J2615" s="20" t="n">
        <v>171.26</v>
      </c>
      <c r="K2615" s="18" t="n">
        <v>4</v>
      </c>
      <c r="L2615" s="18" t="n">
        <v>4</v>
      </c>
      <c r="M2615" s="18" t="n">
        <v>68</v>
      </c>
      <c r="N2615" s="18" t="n">
        <v>41</v>
      </c>
      <c r="O2615" s="14" t="s">
        <v>16579</v>
      </c>
      <c r="P2615" s="14" t="s">
        <v>84</v>
      </c>
      <c r="Q2615" s="15" t="s">
        <v>1089</v>
      </c>
      <c r="R2615" s="16" t="s">
        <v>16580</v>
      </c>
      <c r="S2615" s="15" t="s">
        <v>16581</v>
      </c>
      <c r="T2615" s="15" t="s">
        <v>16582</v>
      </c>
      <c r="U2615" s="21" t="s">
        <v>72</v>
      </c>
    </row>
    <row r="2616" customFormat="false" ht="26.85" hidden="false" customHeight="false" outlineLevel="0" collapsed="false">
      <c r="A2616" s="15" t="s">
        <v>14933</v>
      </c>
      <c r="B2616" s="15" t="s">
        <v>14933</v>
      </c>
      <c r="C2616" s="14" t="s">
        <v>16583</v>
      </c>
      <c r="D2616" s="14" t="s">
        <v>16584</v>
      </c>
      <c r="E2616" s="16" t="s">
        <v>16585</v>
      </c>
      <c r="F2616" s="16"/>
      <c r="G2616" s="23" t="s">
        <v>43</v>
      </c>
      <c r="H2616" s="18" t="n">
        <v>3</v>
      </c>
      <c r="I2616" s="20" t="n">
        <v>44.8</v>
      </c>
      <c r="J2616" s="20" t="n">
        <v>106.5</v>
      </c>
      <c r="K2616" s="18" t="n">
        <v>9</v>
      </c>
      <c r="L2616" s="18" t="n">
        <v>4</v>
      </c>
      <c r="M2616" s="18" t="n">
        <v>94</v>
      </c>
      <c r="N2616" s="18" t="n">
        <v>36</v>
      </c>
      <c r="O2616" s="14" t="s">
        <v>16586</v>
      </c>
      <c r="P2616" s="14" t="s">
        <v>872</v>
      </c>
      <c r="Q2616" s="15" t="s">
        <v>1089</v>
      </c>
      <c r="R2616" s="16" t="s">
        <v>16587</v>
      </c>
      <c r="S2616" s="15" t="s">
        <v>16588</v>
      </c>
      <c r="T2616" s="15" t="s">
        <v>16589</v>
      </c>
      <c r="U2616" s="21" t="s">
        <v>72</v>
      </c>
    </row>
    <row r="2617" customFormat="false" ht="15" hidden="false" customHeight="false" outlineLevel="0" collapsed="false">
      <c r="A2617" s="15" t="s">
        <v>14933</v>
      </c>
      <c r="B2617" s="15" t="s">
        <v>14933</v>
      </c>
      <c r="C2617" s="14" t="s">
        <v>16590</v>
      </c>
      <c r="D2617" s="14" t="s">
        <v>16591</v>
      </c>
      <c r="E2617" s="16" t="s">
        <v>16592</v>
      </c>
      <c r="F2617" s="16"/>
      <c r="G2617" s="19" t="s">
        <v>41</v>
      </c>
      <c r="H2617" s="18" t="n">
        <v>4</v>
      </c>
      <c r="I2617" s="20" t="n">
        <v>134.27</v>
      </c>
      <c r="J2617" s="20" t="n">
        <v>205.97</v>
      </c>
      <c r="K2617" s="18" t="n">
        <v>4</v>
      </c>
      <c r="L2617" s="18"/>
      <c r="M2617" s="18" t="n">
        <v>70</v>
      </c>
      <c r="N2617" s="18" t="n">
        <v>70</v>
      </c>
      <c r="O2617" s="14" t="s">
        <v>1088</v>
      </c>
      <c r="P2617" s="14" t="s">
        <v>84</v>
      </c>
      <c r="Q2617" s="15" t="s">
        <v>1089</v>
      </c>
      <c r="R2617" s="16" t="s">
        <v>15174</v>
      </c>
      <c r="S2617" s="15" t="s">
        <v>16593</v>
      </c>
      <c r="T2617" s="15" t="s">
        <v>16593</v>
      </c>
      <c r="U2617" s="21" t="s">
        <v>72</v>
      </c>
    </row>
    <row r="2618" customFormat="false" ht="15" hidden="false" customHeight="false" outlineLevel="0" collapsed="false">
      <c r="A2618" s="15" t="s">
        <v>14933</v>
      </c>
      <c r="B2618" s="15" t="s">
        <v>14933</v>
      </c>
      <c r="C2618" s="14" t="s">
        <v>16594</v>
      </c>
      <c r="D2618" s="14" t="s">
        <v>16595</v>
      </c>
      <c r="E2618" s="16" t="s">
        <v>16596</v>
      </c>
      <c r="F2618" s="16"/>
      <c r="G2618" s="23" t="s">
        <v>43</v>
      </c>
      <c r="H2618" s="18" t="n">
        <v>2</v>
      </c>
      <c r="I2618" s="20" t="n">
        <v>34.65</v>
      </c>
      <c r="J2618" s="20" t="n">
        <v>95.23</v>
      </c>
      <c r="K2618" s="18" t="n">
        <v>1</v>
      </c>
      <c r="L2618" s="18" t="n">
        <v>1</v>
      </c>
      <c r="M2618" s="18" t="n">
        <v>22</v>
      </c>
      <c r="N2618" s="18" t="n">
        <v>22</v>
      </c>
      <c r="O2618" s="14" t="s">
        <v>1088</v>
      </c>
      <c r="P2618" s="14" t="s">
        <v>84</v>
      </c>
      <c r="Q2618" s="15" t="s">
        <v>1089</v>
      </c>
      <c r="R2618" s="16" t="s">
        <v>6402</v>
      </c>
      <c r="S2618" s="15" t="s">
        <v>16597</v>
      </c>
      <c r="T2618" s="15" t="s">
        <v>16597</v>
      </c>
      <c r="U2618" s="21" t="s">
        <v>72</v>
      </c>
    </row>
    <row r="2619" customFormat="false" ht="15" hidden="false" customHeight="false" outlineLevel="0" collapsed="false">
      <c r="A2619" s="15" t="s">
        <v>14933</v>
      </c>
      <c r="B2619" s="15" t="s">
        <v>14933</v>
      </c>
      <c r="C2619" s="14" t="s">
        <v>16598</v>
      </c>
      <c r="D2619" s="14" t="s">
        <v>16599</v>
      </c>
      <c r="E2619" s="16" t="s">
        <v>16600</v>
      </c>
      <c r="F2619" s="16"/>
      <c r="G2619" s="23" t="s">
        <v>43</v>
      </c>
      <c r="H2619" s="18" t="n">
        <v>1</v>
      </c>
      <c r="I2619" s="20" t="n">
        <v>30</v>
      </c>
      <c r="J2619" s="20" t="n">
        <v>169.75</v>
      </c>
      <c r="K2619" s="18" t="n">
        <v>2</v>
      </c>
      <c r="L2619" s="18" t="n">
        <v>2</v>
      </c>
      <c r="M2619" s="18" t="n">
        <v>46</v>
      </c>
      <c r="N2619" s="18" t="n">
        <v>46</v>
      </c>
      <c r="O2619" s="14" t="s">
        <v>1126</v>
      </c>
      <c r="P2619" s="14" t="s">
        <v>84</v>
      </c>
      <c r="Q2619" s="15" t="s">
        <v>1089</v>
      </c>
      <c r="R2619" s="16" t="s">
        <v>16224</v>
      </c>
      <c r="S2619" s="15" t="s">
        <v>16601</v>
      </c>
      <c r="T2619" s="15" t="s">
        <v>16602</v>
      </c>
      <c r="U2619" s="21" t="s">
        <v>72</v>
      </c>
    </row>
    <row r="2620" customFormat="false" ht="15" hidden="false" customHeight="false" outlineLevel="0" collapsed="false">
      <c r="A2620" s="15" t="s">
        <v>14933</v>
      </c>
      <c r="B2620" s="15" t="s">
        <v>14933</v>
      </c>
      <c r="C2620" s="14" t="s">
        <v>16603</v>
      </c>
      <c r="D2620" s="14" t="s">
        <v>16604</v>
      </c>
      <c r="E2620" s="16" t="s">
        <v>16605</v>
      </c>
      <c r="F2620" s="16" t="s">
        <v>16606</v>
      </c>
      <c r="G2620" s="23" t="s">
        <v>43</v>
      </c>
      <c r="H2620" s="18" t="n">
        <v>4</v>
      </c>
      <c r="I2620" s="20" t="n">
        <v>113.1</v>
      </c>
      <c r="J2620" s="20" t="n">
        <v>188.586</v>
      </c>
      <c r="K2620" s="18" t="n">
        <v>2</v>
      </c>
      <c r="L2620" s="18" t="n">
        <v>9</v>
      </c>
      <c r="M2620" s="18" t="n">
        <v>64</v>
      </c>
      <c r="N2620" s="18" t="n">
        <v>64</v>
      </c>
      <c r="O2620" s="14" t="s">
        <v>1126</v>
      </c>
      <c r="P2620" s="14" t="s">
        <v>84</v>
      </c>
      <c r="Q2620" s="15" t="s">
        <v>1089</v>
      </c>
      <c r="R2620" s="16" t="s">
        <v>16607</v>
      </c>
      <c r="S2620" s="15" t="s">
        <v>16608</v>
      </c>
      <c r="T2620" s="15" t="s">
        <v>16609</v>
      </c>
      <c r="U2620" s="21" t="s">
        <v>72</v>
      </c>
    </row>
    <row r="2621" customFormat="false" ht="15" hidden="false" customHeight="false" outlineLevel="0" collapsed="false">
      <c r="A2621" s="15" t="s">
        <v>14933</v>
      </c>
      <c r="B2621" s="15" t="s">
        <v>14933</v>
      </c>
      <c r="C2621" s="14" t="s">
        <v>16610</v>
      </c>
      <c r="D2621" s="14" t="s">
        <v>16611</v>
      </c>
      <c r="E2621" s="16" t="s">
        <v>16612</v>
      </c>
      <c r="F2621" s="16" t="s">
        <v>16613</v>
      </c>
      <c r="G2621" s="19" t="s">
        <v>41</v>
      </c>
      <c r="H2621" s="18" t="n">
        <v>3</v>
      </c>
      <c r="I2621" s="20" t="n">
        <v>91.61</v>
      </c>
      <c r="J2621" s="20" t="n">
        <v>268.89</v>
      </c>
      <c r="K2621" s="18" t="n">
        <v>12</v>
      </c>
      <c r="L2621" s="18" t="n">
        <v>3</v>
      </c>
      <c r="M2621" s="18" t="n">
        <v>291</v>
      </c>
      <c r="N2621" s="18" t="n">
        <v>97</v>
      </c>
      <c r="O2621" s="14" t="s">
        <v>16614</v>
      </c>
      <c r="P2621" s="14" t="s">
        <v>118</v>
      </c>
      <c r="Q2621" s="15" t="s">
        <v>1089</v>
      </c>
      <c r="R2621" s="16" t="s">
        <v>16615</v>
      </c>
      <c r="S2621" s="15" t="s">
        <v>16616</v>
      </c>
      <c r="T2621" s="15" t="s">
        <v>16616</v>
      </c>
      <c r="U2621" s="21" t="s">
        <v>72</v>
      </c>
    </row>
    <row r="2622" customFormat="false" ht="15" hidden="false" customHeight="false" outlineLevel="0" collapsed="false">
      <c r="A2622" s="15" t="s">
        <v>14933</v>
      </c>
      <c r="B2622" s="15" t="s">
        <v>14933</v>
      </c>
      <c r="C2622" s="14" t="s">
        <v>16617</v>
      </c>
      <c r="D2622" s="14" t="s">
        <v>16618</v>
      </c>
      <c r="E2622" s="16" t="s">
        <v>16619</v>
      </c>
      <c r="F2622" s="16"/>
      <c r="G2622" s="23" t="s">
        <v>43</v>
      </c>
      <c r="H2622" s="18" t="n">
        <v>1</v>
      </c>
      <c r="I2622" s="20" t="n">
        <v>30</v>
      </c>
      <c r="J2622" s="20" t="n">
        <v>70</v>
      </c>
      <c r="K2622" s="18" t="n">
        <v>1</v>
      </c>
      <c r="L2622" s="18" t="n">
        <v>1</v>
      </c>
      <c r="M2622" s="18" t="n">
        <v>15</v>
      </c>
      <c r="N2622" s="18" t="n">
        <v>15</v>
      </c>
      <c r="O2622" s="14" t="s">
        <v>1126</v>
      </c>
      <c r="P2622" s="14" t="s">
        <v>84</v>
      </c>
      <c r="Q2622" s="15" t="s">
        <v>1089</v>
      </c>
      <c r="R2622" s="16" t="s">
        <v>16620</v>
      </c>
      <c r="S2622" s="15" t="s">
        <v>16621</v>
      </c>
      <c r="T2622" s="15" t="s">
        <v>16621</v>
      </c>
      <c r="U2622" s="21" t="s">
        <v>72</v>
      </c>
    </row>
    <row r="2623" customFormat="false" ht="15" hidden="false" customHeight="false" outlineLevel="0" collapsed="false">
      <c r="A2623" s="15" t="s">
        <v>14933</v>
      </c>
      <c r="B2623" s="15" t="s">
        <v>14933</v>
      </c>
      <c r="C2623" s="14" t="s">
        <v>16622</v>
      </c>
      <c r="D2623" s="14" t="s">
        <v>16623</v>
      </c>
      <c r="E2623" s="16" t="s">
        <v>16624</v>
      </c>
      <c r="F2623" s="16"/>
      <c r="G2623" s="19" t="s">
        <v>41</v>
      </c>
      <c r="H2623" s="18" t="n">
        <v>6</v>
      </c>
      <c r="I2623" s="20" t="n">
        <v>87.47</v>
      </c>
      <c r="J2623" s="20" t="n">
        <v>176.68</v>
      </c>
      <c r="K2623" s="18" t="n">
        <v>2</v>
      </c>
      <c r="L2623" s="18" t="n">
        <v>2</v>
      </c>
      <c r="M2623" s="18" t="n">
        <v>28</v>
      </c>
      <c r="N2623" s="18" t="n">
        <v>28</v>
      </c>
      <c r="O2623" s="14" t="s">
        <v>1126</v>
      </c>
      <c r="P2623" s="14" t="s">
        <v>84</v>
      </c>
      <c r="Q2623" s="15" t="s">
        <v>1089</v>
      </c>
      <c r="R2623" s="16" t="s">
        <v>16625</v>
      </c>
      <c r="S2623" s="15" t="s">
        <v>16626</v>
      </c>
      <c r="T2623" s="15" t="s">
        <v>16627</v>
      </c>
      <c r="U2623" s="21" t="s">
        <v>72</v>
      </c>
    </row>
    <row r="2624" customFormat="false" ht="39.55" hidden="false" customHeight="false" outlineLevel="0" collapsed="false">
      <c r="A2624" s="15" t="s">
        <v>14933</v>
      </c>
      <c r="B2624" s="15" t="s">
        <v>14933</v>
      </c>
      <c r="C2624" s="14" t="s">
        <v>16628</v>
      </c>
      <c r="D2624" s="14" t="s">
        <v>16629</v>
      </c>
      <c r="E2624" s="16" t="s">
        <v>16630</v>
      </c>
      <c r="F2624" s="16" t="s">
        <v>16631</v>
      </c>
      <c r="G2624" s="19" t="s">
        <v>41</v>
      </c>
      <c r="H2624" s="18" t="n">
        <v>5</v>
      </c>
      <c r="I2624" s="20" t="n">
        <v>136</v>
      </c>
      <c r="J2624" s="20" t="n">
        <v>239.56</v>
      </c>
      <c r="K2624" s="18" t="n">
        <v>10</v>
      </c>
      <c r="L2624" s="18" t="n">
        <v>3</v>
      </c>
      <c r="M2624" s="18" t="n">
        <v>222</v>
      </c>
      <c r="N2624" s="18" t="n">
        <v>222</v>
      </c>
      <c r="O2624" s="14" t="s">
        <v>16632</v>
      </c>
      <c r="P2624" s="14" t="s">
        <v>84</v>
      </c>
      <c r="Q2624" s="15" t="s">
        <v>1089</v>
      </c>
      <c r="R2624" s="16" t="s">
        <v>16633</v>
      </c>
      <c r="S2624" s="15" t="s">
        <v>16634</v>
      </c>
      <c r="T2624" s="15" t="s">
        <v>16635</v>
      </c>
      <c r="U2624" s="21" t="s">
        <v>72</v>
      </c>
    </row>
    <row r="2625" customFormat="false" ht="26.85" hidden="false" customHeight="false" outlineLevel="0" collapsed="false">
      <c r="A2625" s="15" t="s">
        <v>14933</v>
      </c>
      <c r="B2625" s="15" t="s">
        <v>14933</v>
      </c>
      <c r="C2625" s="14" t="s">
        <v>16636</v>
      </c>
      <c r="D2625" s="14" t="s">
        <v>16637</v>
      </c>
      <c r="E2625" s="16" t="s">
        <v>16638</v>
      </c>
      <c r="F2625" s="16" t="s">
        <v>16639</v>
      </c>
      <c r="G2625" s="23" t="s">
        <v>43</v>
      </c>
      <c r="H2625" s="18" t="n">
        <v>2</v>
      </c>
      <c r="I2625" s="20" t="n">
        <v>37.71</v>
      </c>
      <c r="J2625" s="20" t="n">
        <v>138.22</v>
      </c>
      <c r="K2625" s="18" t="n">
        <v>10</v>
      </c>
      <c r="L2625" s="18" t="n">
        <v>3</v>
      </c>
      <c r="M2625" s="18" t="n">
        <v>100</v>
      </c>
      <c r="N2625" s="18" t="n">
        <v>80</v>
      </c>
      <c r="O2625" s="14" t="s">
        <v>16640</v>
      </c>
      <c r="P2625" s="14" t="s">
        <v>118</v>
      </c>
      <c r="Q2625" s="15" t="s">
        <v>1089</v>
      </c>
      <c r="R2625" s="16" t="s">
        <v>16641</v>
      </c>
      <c r="S2625" s="15" t="s">
        <v>16642</v>
      </c>
      <c r="T2625" s="15" t="s">
        <v>16643</v>
      </c>
      <c r="U2625" s="21" t="s">
        <v>72</v>
      </c>
    </row>
    <row r="2626" customFormat="false" ht="15" hidden="false" customHeight="false" outlineLevel="0" collapsed="false">
      <c r="A2626" s="15" t="s">
        <v>14933</v>
      </c>
      <c r="B2626" s="15" t="s">
        <v>14933</v>
      </c>
      <c r="C2626" s="14" t="s">
        <v>16644</v>
      </c>
      <c r="D2626" s="14" t="s">
        <v>16645</v>
      </c>
      <c r="E2626" s="16" t="s">
        <v>16646</v>
      </c>
      <c r="F2626" s="16" t="s">
        <v>16647</v>
      </c>
      <c r="G2626" s="25" t="s">
        <v>39</v>
      </c>
      <c r="H2626" s="18" t="n">
        <v>12</v>
      </c>
      <c r="I2626" s="20" t="n">
        <v>366.67</v>
      </c>
      <c r="J2626" s="20" t="n">
        <v>714.84</v>
      </c>
      <c r="K2626" s="18" t="n">
        <v>8</v>
      </c>
      <c r="L2626" s="18" t="n">
        <v>8</v>
      </c>
      <c r="M2626" s="18" t="n">
        <v>195</v>
      </c>
      <c r="N2626" s="18" t="n">
        <v>145</v>
      </c>
      <c r="O2626" s="14" t="s">
        <v>1126</v>
      </c>
      <c r="P2626" s="14" t="s">
        <v>84</v>
      </c>
      <c r="Q2626" s="15" t="s">
        <v>1089</v>
      </c>
      <c r="R2626" s="16" t="s">
        <v>16648</v>
      </c>
      <c r="S2626" s="15" t="s">
        <v>16649</v>
      </c>
      <c r="T2626" s="15" t="s">
        <v>16649</v>
      </c>
      <c r="U2626" s="21" t="s">
        <v>72</v>
      </c>
    </row>
    <row r="2627" customFormat="false" ht="15" hidden="false" customHeight="false" outlineLevel="0" collapsed="false">
      <c r="A2627" s="15" t="s">
        <v>14933</v>
      </c>
      <c r="B2627" s="15" t="s">
        <v>14933</v>
      </c>
      <c r="C2627" s="14" t="s">
        <v>16650</v>
      </c>
      <c r="D2627" s="14" t="s">
        <v>16651</v>
      </c>
      <c r="E2627" s="16" t="s">
        <v>16652</v>
      </c>
      <c r="F2627" s="16" t="s">
        <v>16653</v>
      </c>
      <c r="G2627" s="23" t="s">
        <v>43</v>
      </c>
      <c r="H2627" s="18" t="n">
        <v>2</v>
      </c>
      <c r="I2627" s="20" t="n">
        <v>45.47</v>
      </c>
      <c r="J2627" s="20" t="n">
        <v>134.8</v>
      </c>
      <c r="K2627" s="18" t="n">
        <v>8</v>
      </c>
      <c r="L2627" s="18" t="n">
        <v>15</v>
      </c>
      <c r="M2627" s="18" t="n">
        <v>134</v>
      </c>
      <c r="N2627" s="18" t="n">
        <v>24</v>
      </c>
      <c r="O2627" s="14" t="s">
        <v>16654</v>
      </c>
      <c r="P2627" s="14" t="s">
        <v>84</v>
      </c>
      <c r="Q2627" s="15" t="s">
        <v>1089</v>
      </c>
      <c r="R2627" s="16" t="s">
        <v>16655</v>
      </c>
      <c r="S2627" s="15" t="s">
        <v>16656</v>
      </c>
      <c r="T2627" s="15" t="s">
        <v>16656</v>
      </c>
      <c r="U2627" s="21" t="s">
        <v>72</v>
      </c>
    </row>
    <row r="2628" customFormat="false" ht="26.85" hidden="false" customHeight="false" outlineLevel="0" collapsed="false">
      <c r="A2628" s="15" t="s">
        <v>14933</v>
      </c>
      <c r="B2628" s="15" t="s">
        <v>14933</v>
      </c>
      <c r="C2628" s="14" t="s">
        <v>16657</v>
      </c>
      <c r="D2628" s="14" t="s">
        <v>16658</v>
      </c>
      <c r="E2628" s="16" t="s">
        <v>16659</v>
      </c>
      <c r="F2628" s="16"/>
      <c r="G2628" s="23" t="s">
        <v>43</v>
      </c>
      <c r="H2628" s="18" t="n">
        <v>1</v>
      </c>
      <c r="I2628" s="20" t="n">
        <v>40.2</v>
      </c>
      <c r="J2628" s="20" t="n">
        <v>84.78</v>
      </c>
      <c r="K2628" s="18" t="n">
        <v>9</v>
      </c>
      <c r="L2628" s="18" t="n">
        <v>2</v>
      </c>
      <c r="M2628" s="18" t="n">
        <v>297</v>
      </c>
      <c r="N2628" s="18" t="n">
        <v>165</v>
      </c>
      <c r="O2628" s="14" t="s">
        <v>16660</v>
      </c>
      <c r="P2628" s="14" t="s">
        <v>84</v>
      </c>
      <c r="Q2628" s="15" t="s">
        <v>1089</v>
      </c>
      <c r="R2628" s="16" t="s">
        <v>4615</v>
      </c>
      <c r="S2628" s="15" t="s">
        <v>16661</v>
      </c>
      <c r="T2628" s="15" t="s">
        <v>16661</v>
      </c>
      <c r="U2628" s="21" t="s">
        <v>72</v>
      </c>
    </row>
    <row r="2629" customFormat="false" ht="26.85" hidden="false" customHeight="false" outlineLevel="0" collapsed="false">
      <c r="A2629" s="15" t="s">
        <v>14933</v>
      </c>
      <c r="B2629" s="15" t="s">
        <v>14933</v>
      </c>
      <c r="C2629" s="14" t="s">
        <v>16662</v>
      </c>
      <c r="D2629" s="14" t="s">
        <v>16663</v>
      </c>
      <c r="E2629" s="16" t="s">
        <v>16664</v>
      </c>
      <c r="F2629" s="16" t="s">
        <v>16665</v>
      </c>
      <c r="G2629" s="23" t="s">
        <v>43</v>
      </c>
      <c r="H2629" s="18" t="n">
        <v>4</v>
      </c>
      <c r="I2629" s="20" t="n">
        <v>80.79</v>
      </c>
      <c r="J2629" s="20" t="n">
        <v>138.78</v>
      </c>
      <c r="K2629" s="18" t="n">
        <v>12</v>
      </c>
      <c r="L2629" s="18" t="n">
        <v>6</v>
      </c>
      <c r="M2629" s="18" t="n">
        <v>218</v>
      </c>
      <c r="N2629" s="18" t="n">
        <v>162</v>
      </c>
      <c r="O2629" s="14" t="s">
        <v>1126</v>
      </c>
      <c r="P2629" s="14" t="s">
        <v>1185</v>
      </c>
      <c r="Q2629" s="15" t="s">
        <v>1089</v>
      </c>
      <c r="R2629" s="16" t="s">
        <v>16666</v>
      </c>
      <c r="S2629" s="15" t="s">
        <v>16667</v>
      </c>
      <c r="T2629" s="15" t="s">
        <v>16668</v>
      </c>
      <c r="U2629" s="21" t="s">
        <v>72</v>
      </c>
    </row>
    <row r="2630" customFormat="false" ht="15" hidden="false" customHeight="false" outlineLevel="0" collapsed="false">
      <c r="A2630" s="15" t="s">
        <v>14933</v>
      </c>
      <c r="B2630" s="15" t="s">
        <v>14933</v>
      </c>
      <c r="C2630" s="14" t="s">
        <v>16669</v>
      </c>
      <c r="D2630" s="14" t="s">
        <v>16670</v>
      </c>
      <c r="E2630" s="16" t="s">
        <v>16671</v>
      </c>
      <c r="F2630" s="16" t="s">
        <v>16672</v>
      </c>
      <c r="G2630" s="23" t="s">
        <v>43</v>
      </c>
      <c r="H2630" s="18" t="n">
        <v>2</v>
      </c>
      <c r="I2630" s="20" t="n">
        <v>30.54</v>
      </c>
      <c r="J2630" s="20" t="n">
        <v>93.5</v>
      </c>
      <c r="K2630" s="18" t="n">
        <v>2</v>
      </c>
      <c r="L2630" s="18" t="n">
        <v>1</v>
      </c>
      <c r="M2630" s="18" t="n">
        <v>24</v>
      </c>
      <c r="N2630" s="18" t="n">
        <v>24</v>
      </c>
      <c r="O2630" s="14" t="s">
        <v>1088</v>
      </c>
      <c r="P2630" s="14" t="s">
        <v>84</v>
      </c>
      <c r="Q2630" s="15" t="s">
        <v>1089</v>
      </c>
      <c r="R2630" s="16" t="s">
        <v>16673</v>
      </c>
      <c r="S2630" s="15" t="s">
        <v>16674</v>
      </c>
      <c r="T2630" s="15" t="s">
        <v>16674</v>
      </c>
      <c r="U2630" s="21" t="s">
        <v>72</v>
      </c>
    </row>
    <row r="2631" customFormat="false" ht="15" hidden="false" customHeight="false" outlineLevel="0" collapsed="false">
      <c r="A2631" s="15" t="s">
        <v>14933</v>
      </c>
      <c r="B2631" s="15" t="s">
        <v>14933</v>
      </c>
      <c r="C2631" s="14" t="s">
        <v>16675</v>
      </c>
      <c r="D2631" s="14" t="s">
        <v>16676</v>
      </c>
      <c r="E2631" s="16" t="s">
        <v>16677</v>
      </c>
      <c r="F2631" s="16"/>
      <c r="G2631" s="23" t="s">
        <v>43</v>
      </c>
      <c r="H2631" s="18" t="n">
        <v>2</v>
      </c>
      <c r="I2631" s="20" t="n">
        <v>50.52</v>
      </c>
      <c r="J2631" s="20" t="n">
        <v>128.2</v>
      </c>
      <c r="K2631" s="18" t="n">
        <v>2</v>
      </c>
      <c r="L2631" s="18" t="n">
        <v>1</v>
      </c>
      <c r="M2631" s="18" t="n">
        <v>37</v>
      </c>
      <c r="N2631" s="18" t="n">
        <v>30</v>
      </c>
      <c r="O2631" s="14" t="s">
        <v>1126</v>
      </c>
      <c r="P2631" s="14" t="s">
        <v>202</v>
      </c>
      <c r="Q2631" s="15" t="s">
        <v>1089</v>
      </c>
      <c r="R2631" s="16" t="s">
        <v>16678</v>
      </c>
      <c r="S2631" s="15" t="s">
        <v>16679</v>
      </c>
      <c r="T2631" s="15" t="s">
        <v>16680</v>
      </c>
      <c r="U2631" s="21" t="s">
        <v>72</v>
      </c>
    </row>
    <row r="2632" customFormat="false" ht="15" hidden="false" customHeight="false" outlineLevel="0" collapsed="false">
      <c r="A2632" s="15" t="s">
        <v>14933</v>
      </c>
      <c r="B2632" s="15" t="s">
        <v>14933</v>
      </c>
      <c r="C2632" s="14" t="s">
        <v>16681</v>
      </c>
      <c r="D2632" s="14" t="s">
        <v>16682</v>
      </c>
      <c r="E2632" s="16" t="s">
        <v>16683</v>
      </c>
      <c r="F2632" s="16" t="s">
        <v>16684</v>
      </c>
      <c r="G2632" s="25" t="s">
        <v>39</v>
      </c>
      <c r="H2632" s="18" t="n">
        <v>13</v>
      </c>
      <c r="I2632" s="20" t="n">
        <v>939.36</v>
      </c>
      <c r="J2632" s="20" t="n">
        <v>2125.63</v>
      </c>
      <c r="K2632" s="18" t="n">
        <v>13</v>
      </c>
      <c r="L2632" s="18" t="n">
        <v>27</v>
      </c>
      <c r="M2632" s="18" t="n">
        <v>776</v>
      </c>
      <c r="N2632" s="18" t="n">
        <v>776</v>
      </c>
      <c r="O2632" s="14" t="s">
        <v>1097</v>
      </c>
      <c r="P2632" s="14" t="s">
        <v>84</v>
      </c>
      <c r="Q2632" s="15" t="s">
        <v>1089</v>
      </c>
      <c r="R2632" s="16" t="s">
        <v>16685</v>
      </c>
      <c r="S2632" s="15" t="s">
        <v>16686</v>
      </c>
      <c r="T2632" s="15" t="s">
        <v>16687</v>
      </c>
      <c r="U2632" s="21" t="s">
        <v>72</v>
      </c>
    </row>
    <row r="2633" customFormat="false" ht="15" hidden="false" customHeight="false" outlineLevel="0" collapsed="false">
      <c r="A2633" s="15" t="s">
        <v>14933</v>
      </c>
      <c r="B2633" s="15" t="s">
        <v>14933</v>
      </c>
      <c r="C2633" s="14" t="s">
        <v>16688</v>
      </c>
      <c r="D2633" s="14" t="s">
        <v>16689</v>
      </c>
      <c r="E2633" s="16" t="s">
        <v>16690</v>
      </c>
      <c r="F2633" s="16" t="s">
        <v>16691</v>
      </c>
      <c r="G2633" s="19" t="s">
        <v>41</v>
      </c>
      <c r="H2633" s="18" t="n">
        <v>3</v>
      </c>
      <c r="I2633" s="20" t="n">
        <v>147.69</v>
      </c>
      <c r="J2633" s="20" t="n">
        <v>273.33</v>
      </c>
      <c r="K2633" s="18" t="n">
        <v>15</v>
      </c>
      <c r="L2633" s="18" t="n">
        <v>29</v>
      </c>
      <c r="M2633" s="18" t="n">
        <v>616</v>
      </c>
      <c r="N2633" s="18" t="n">
        <v>121</v>
      </c>
      <c r="O2633" s="14" t="s">
        <v>9118</v>
      </c>
      <c r="P2633" s="14" t="s">
        <v>118</v>
      </c>
      <c r="Q2633" s="15" t="s">
        <v>1089</v>
      </c>
      <c r="R2633" s="16" t="s">
        <v>16692</v>
      </c>
      <c r="S2633" s="15" t="s">
        <v>16693</v>
      </c>
      <c r="T2633" s="15" t="s">
        <v>16694</v>
      </c>
      <c r="U2633" s="21" t="s">
        <v>72</v>
      </c>
    </row>
    <row r="2634" customFormat="false" ht="15" hidden="false" customHeight="false" outlineLevel="0" collapsed="false">
      <c r="A2634" s="15" t="s">
        <v>14933</v>
      </c>
      <c r="B2634" s="15" t="s">
        <v>14933</v>
      </c>
      <c r="C2634" s="14" t="s">
        <v>16695</v>
      </c>
      <c r="D2634" s="14" t="s">
        <v>16696</v>
      </c>
      <c r="E2634" s="16" t="s">
        <v>16697</v>
      </c>
      <c r="F2634" s="16" t="s">
        <v>16698</v>
      </c>
      <c r="G2634" s="23" t="s">
        <v>43</v>
      </c>
      <c r="H2634" s="18" t="n">
        <v>1</v>
      </c>
      <c r="I2634" s="20" t="n">
        <v>41.4</v>
      </c>
      <c r="J2634" s="20" t="n">
        <v>135.11</v>
      </c>
      <c r="K2634" s="18" t="n">
        <v>1</v>
      </c>
      <c r="L2634" s="18" t="n">
        <v>2</v>
      </c>
      <c r="M2634" s="18" t="n">
        <v>20</v>
      </c>
      <c r="N2634" s="18" t="n">
        <v>20</v>
      </c>
      <c r="O2634" s="14" t="s">
        <v>1126</v>
      </c>
      <c r="P2634" s="14" t="s">
        <v>84</v>
      </c>
      <c r="Q2634" s="15" t="s">
        <v>1089</v>
      </c>
      <c r="R2634" s="16" t="s">
        <v>4277</v>
      </c>
      <c r="S2634" s="15" t="s">
        <v>16699</v>
      </c>
      <c r="T2634" s="15" t="s">
        <v>16699</v>
      </c>
      <c r="U2634" s="21" t="s">
        <v>72</v>
      </c>
    </row>
    <row r="2635" customFormat="false" ht="15" hidden="false" customHeight="false" outlineLevel="0" collapsed="false">
      <c r="A2635" s="15" t="s">
        <v>14933</v>
      </c>
      <c r="B2635" s="15" t="s">
        <v>14933</v>
      </c>
      <c r="C2635" s="14" t="s">
        <v>16700</v>
      </c>
      <c r="D2635" s="14" t="s">
        <v>16701</v>
      </c>
      <c r="E2635" s="16" t="s">
        <v>16702</v>
      </c>
      <c r="F2635" s="16"/>
      <c r="G2635" s="23" t="s">
        <v>43</v>
      </c>
      <c r="H2635" s="18" t="n">
        <v>2</v>
      </c>
      <c r="I2635" s="20" t="n">
        <v>34.61</v>
      </c>
      <c r="J2635" s="20" t="n">
        <v>88.23</v>
      </c>
      <c r="K2635" s="18" t="n">
        <v>3</v>
      </c>
      <c r="L2635" s="18" t="n">
        <v>3</v>
      </c>
      <c r="M2635" s="18" t="n">
        <v>31</v>
      </c>
      <c r="N2635" s="18" t="n">
        <v>13</v>
      </c>
      <c r="O2635" s="14" t="s">
        <v>1126</v>
      </c>
      <c r="P2635" s="14" t="s">
        <v>202</v>
      </c>
      <c r="Q2635" s="15" t="s">
        <v>1089</v>
      </c>
      <c r="R2635" s="16" t="s">
        <v>16703</v>
      </c>
      <c r="S2635" s="15" t="s">
        <v>16704</v>
      </c>
      <c r="T2635" s="15" t="s">
        <v>16704</v>
      </c>
      <c r="U2635" s="21" t="s">
        <v>72</v>
      </c>
    </row>
    <row r="2636" customFormat="false" ht="15" hidden="false" customHeight="false" outlineLevel="0" collapsed="false">
      <c r="A2636" s="15" t="s">
        <v>14933</v>
      </c>
      <c r="B2636" s="15" t="s">
        <v>14933</v>
      </c>
      <c r="C2636" s="14" t="s">
        <v>16705</v>
      </c>
      <c r="D2636" s="14" t="s">
        <v>16706</v>
      </c>
      <c r="E2636" s="16" t="s">
        <v>16702</v>
      </c>
      <c r="F2636" s="16" t="s">
        <v>16707</v>
      </c>
      <c r="G2636" s="23" t="s">
        <v>43</v>
      </c>
      <c r="H2636" s="18" t="n">
        <v>3</v>
      </c>
      <c r="I2636" s="20" t="n">
        <v>30.97</v>
      </c>
      <c r="J2636" s="20" t="n">
        <v>75.16</v>
      </c>
      <c r="K2636" s="18" t="n">
        <v>4</v>
      </c>
      <c r="L2636" s="18" t="n">
        <v>2</v>
      </c>
      <c r="M2636" s="18" t="n">
        <v>25</v>
      </c>
      <c r="N2636" s="18" t="n">
        <v>19</v>
      </c>
      <c r="O2636" s="14" t="s">
        <v>16708</v>
      </c>
      <c r="P2636" s="14" t="s">
        <v>202</v>
      </c>
      <c r="Q2636" s="15" t="s">
        <v>1089</v>
      </c>
      <c r="R2636" s="16" t="s">
        <v>16709</v>
      </c>
      <c r="S2636" s="15" t="s">
        <v>16704</v>
      </c>
      <c r="T2636" s="15" t="s">
        <v>16710</v>
      </c>
      <c r="U2636" s="21" t="s">
        <v>72</v>
      </c>
    </row>
    <row r="2637" customFormat="false" ht="52.2" hidden="false" customHeight="false" outlineLevel="0" collapsed="false">
      <c r="A2637" s="15" t="s">
        <v>14933</v>
      </c>
      <c r="B2637" s="15" t="s">
        <v>14933</v>
      </c>
      <c r="C2637" s="14" t="s">
        <v>16711</v>
      </c>
      <c r="D2637" s="14" t="s">
        <v>16712</v>
      </c>
      <c r="E2637" s="16" t="s">
        <v>16713</v>
      </c>
      <c r="F2637" s="16" t="s">
        <v>16714</v>
      </c>
      <c r="G2637" s="23" t="s">
        <v>43</v>
      </c>
      <c r="H2637" s="18" t="n">
        <v>4</v>
      </c>
      <c r="I2637" s="20" t="n">
        <v>70.5</v>
      </c>
      <c r="J2637" s="20" t="n">
        <v>132.99</v>
      </c>
      <c r="K2637" s="18" t="n">
        <v>23</v>
      </c>
      <c r="L2637" s="18" t="n">
        <v>3</v>
      </c>
      <c r="M2637" s="18" t="n">
        <v>242</v>
      </c>
      <c r="N2637" s="18" t="n">
        <v>165</v>
      </c>
      <c r="O2637" s="14" t="s">
        <v>16715</v>
      </c>
      <c r="P2637" s="14" t="s">
        <v>334</v>
      </c>
      <c r="Q2637" s="15" t="s">
        <v>1089</v>
      </c>
      <c r="R2637" s="16" t="s">
        <v>16716</v>
      </c>
      <c r="S2637" s="15" t="s">
        <v>16717</v>
      </c>
      <c r="T2637" s="15" t="s">
        <v>16718</v>
      </c>
      <c r="U2637" s="21" t="s">
        <v>72</v>
      </c>
    </row>
    <row r="2638" customFormat="false" ht="15" hidden="false" customHeight="false" outlineLevel="0" collapsed="false">
      <c r="A2638" s="15" t="s">
        <v>14933</v>
      </c>
      <c r="B2638" s="15" t="s">
        <v>14933</v>
      </c>
      <c r="C2638" s="14" t="s">
        <v>16719</v>
      </c>
      <c r="D2638" s="14" t="s">
        <v>16720</v>
      </c>
      <c r="E2638" s="16" t="s">
        <v>16721</v>
      </c>
      <c r="F2638" s="16" t="s">
        <v>16722</v>
      </c>
      <c r="G2638" s="25" t="s">
        <v>39</v>
      </c>
      <c r="H2638" s="18" t="n">
        <v>7</v>
      </c>
      <c r="I2638" s="20" t="n">
        <v>236.51</v>
      </c>
      <c r="J2638" s="20" t="n">
        <v>484.44</v>
      </c>
      <c r="K2638" s="18" t="n">
        <v>8</v>
      </c>
      <c r="L2638" s="18" t="n">
        <v>10</v>
      </c>
      <c r="M2638" s="18" t="n">
        <v>219</v>
      </c>
      <c r="N2638" s="18" t="n">
        <v>193</v>
      </c>
      <c r="O2638" s="14" t="s">
        <v>1088</v>
      </c>
      <c r="P2638" s="14" t="s">
        <v>118</v>
      </c>
      <c r="Q2638" s="15" t="s">
        <v>1089</v>
      </c>
      <c r="R2638" s="16" t="s">
        <v>9604</v>
      </c>
      <c r="S2638" s="15" t="s">
        <v>15578</v>
      </c>
      <c r="T2638" s="15" t="s">
        <v>15578</v>
      </c>
      <c r="U2638" s="21" t="s">
        <v>72</v>
      </c>
    </row>
    <row r="2639" customFormat="false" ht="15" hidden="false" customHeight="false" outlineLevel="0" collapsed="false">
      <c r="A2639" s="15" t="s">
        <v>14933</v>
      </c>
      <c r="B2639" s="15" t="s">
        <v>14933</v>
      </c>
      <c r="C2639" s="14" t="s">
        <v>16723</v>
      </c>
      <c r="D2639" s="14" t="s">
        <v>16724</v>
      </c>
      <c r="E2639" s="16" t="s">
        <v>16725</v>
      </c>
      <c r="F2639" s="16"/>
      <c r="G2639" s="23" t="s">
        <v>43</v>
      </c>
      <c r="H2639" s="18" t="n">
        <v>2</v>
      </c>
      <c r="I2639" s="20" t="n">
        <v>44.56</v>
      </c>
      <c r="J2639" s="20" t="n">
        <v>111.21</v>
      </c>
      <c r="K2639" s="18" t="n">
        <v>2</v>
      </c>
      <c r="L2639" s="18" t="n">
        <v>1</v>
      </c>
      <c r="M2639" s="18" t="n">
        <v>37</v>
      </c>
      <c r="N2639" s="18" t="n">
        <v>37</v>
      </c>
      <c r="O2639" s="14" t="s">
        <v>1126</v>
      </c>
      <c r="P2639" s="14" t="s">
        <v>84</v>
      </c>
      <c r="Q2639" s="15" t="s">
        <v>1089</v>
      </c>
      <c r="R2639" s="16" t="s">
        <v>12387</v>
      </c>
      <c r="S2639" s="15" t="s">
        <v>16726</v>
      </c>
      <c r="T2639" s="15" t="s">
        <v>16727</v>
      </c>
      <c r="U2639" s="21" t="s">
        <v>72</v>
      </c>
    </row>
    <row r="2640" customFormat="false" ht="26.85" hidden="false" customHeight="false" outlineLevel="0" collapsed="false">
      <c r="A2640" s="15" t="s">
        <v>14933</v>
      </c>
      <c r="B2640" s="15" t="s">
        <v>14933</v>
      </c>
      <c r="C2640" s="14" t="s">
        <v>16728</v>
      </c>
      <c r="D2640" s="14" t="s">
        <v>16729</v>
      </c>
      <c r="E2640" s="16" t="s">
        <v>16730</v>
      </c>
      <c r="F2640" s="16" t="s">
        <v>16731</v>
      </c>
      <c r="G2640" s="23" t="s">
        <v>43</v>
      </c>
      <c r="H2640" s="18" t="n">
        <v>3</v>
      </c>
      <c r="I2640" s="20" t="n">
        <v>47.64</v>
      </c>
      <c r="J2640" s="20" t="n">
        <v>170.678</v>
      </c>
      <c r="K2640" s="18" t="n">
        <v>4</v>
      </c>
      <c r="L2640" s="18" t="n">
        <v>8</v>
      </c>
      <c r="M2640" s="18" t="n">
        <v>56</v>
      </c>
      <c r="N2640" s="18" t="n">
        <v>56</v>
      </c>
      <c r="O2640" s="14" t="s">
        <v>16732</v>
      </c>
      <c r="P2640" s="14" t="s">
        <v>84</v>
      </c>
      <c r="Q2640" s="15" t="s">
        <v>1089</v>
      </c>
      <c r="R2640" s="16" t="s">
        <v>6976</v>
      </c>
      <c r="S2640" s="15" t="s">
        <v>16733</v>
      </c>
      <c r="T2640" s="15" t="s">
        <v>16733</v>
      </c>
      <c r="U2640" s="21" t="s">
        <v>72</v>
      </c>
    </row>
    <row r="2641" customFormat="false" ht="15" hidden="false" customHeight="false" outlineLevel="0" collapsed="false">
      <c r="A2641" s="15" t="s">
        <v>14933</v>
      </c>
      <c r="B2641" s="15" t="s">
        <v>14933</v>
      </c>
      <c r="C2641" s="14" t="s">
        <v>16734</v>
      </c>
      <c r="D2641" s="14" t="s">
        <v>16735</v>
      </c>
      <c r="E2641" s="16" t="s">
        <v>16736</v>
      </c>
      <c r="F2641" s="16" t="s">
        <v>16737</v>
      </c>
      <c r="G2641" s="19" t="s">
        <v>41</v>
      </c>
      <c r="H2641" s="18" t="n">
        <v>4</v>
      </c>
      <c r="I2641" s="20" t="n">
        <v>165.88</v>
      </c>
      <c r="J2641" s="20" t="n">
        <v>356.01</v>
      </c>
      <c r="K2641" s="18" t="n">
        <v>8</v>
      </c>
      <c r="L2641" s="18" t="n">
        <v>10</v>
      </c>
      <c r="M2641" s="18" t="n">
        <v>240</v>
      </c>
      <c r="N2641" s="18" t="n">
        <v>60</v>
      </c>
      <c r="O2641" s="14" t="s">
        <v>5962</v>
      </c>
      <c r="P2641" s="14" t="s">
        <v>84</v>
      </c>
      <c r="Q2641" s="15" t="s">
        <v>1089</v>
      </c>
      <c r="R2641" s="16" t="s">
        <v>9336</v>
      </c>
      <c r="S2641" s="15" t="s">
        <v>16738</v>
      </c>
      <c r="T2641" s="15" t="s">
        <v>16738</v>
      </c>
      <c r="U2641" s="21" t="s">
        <v>72</v>
      </c>
    </row>
    <row r="2642" customFormat="false" ht="15" hidden="false" customHeight="false" outlineLevel="0" collapsed="false">
      <c r="A2642" s="15" t="s">
        <v>14933</v>
      </c>
      <c r="B2642" s="15" t="s">
        <v>14933</v>
      </c>
      <c r="C2642" s="14" t="s">
        <v>16739</v>
      </c>
      <c r="D2642" s="14" t="s">
        <v>16740</v>
      </c>
      <c r="E2642" s="16" t="s">
        <v>16741</v>
      </c>
      <c r="F2642" s="16" t="s">
        <v>16742</v>
      </c>
      <c r="G2642" s="23" t="s">
        <v>43</v>
      </c>
      <c r="H2642" s="18" t="n">
        <v>4</v>
      </c>
      <c r="I2642" s="20" t="n">
        <v>72.28</v>
      </c>
      <c r="J2642" s="20" t="n">
        <v>150.531</v>
      </c>
      <c r="K2642" s="18" t="n">
        <v>5</v>
      </c>
      <c r="L2642" s="18" t="n">
        <v>6</v>
      </c>
      <c r="M2642" s="18" t="n">
        <v>85</v>
      </c>
      <c r="N2642" s="18" t="n">
        <v>63</v>
      </c>
      <c r="O2642" s="14" t="s">
        <v>1126</v>
      </c>
      <c r="P2642" s="14" t="s">
        <v>1166</v>
      </c>
      <c r="Q2642" s="15" t="s">
        <v>1089</v>
      </c>
      <c r="R2642" s="16" t="s">
        <v>16743</v>
      </c>
      <c r="S2642" s="15" t="s">
        <v>16744</v>
      </c>
      <c r="T2642" s="15" t="s">
        <v>16745</v>
      </c>
      <c r="U2642" s="21" t="s">
        <v>72</v>
      </c>
    </row>
    <row r="2643" customFormat="false" ht="26.85" hidden="false" customHeight="false" outlineLevel="0" collapsed="false">
      <c r="A2643" s="15" t="s">
        <v>14933</v>
      </c>
      <c r="B2643" s="15" t="s">
        <v>14933</v>
      </c>
      <c r="C2643" s="14" t="s">
        <v>16746</v>
      </c>
      <c r="D2643" s="14" t="s">
        <v>16747</v>
      </c>
      <c r="E2643" s="16" t="s">
        <v>16748</v>
      </c>
      <c r="F2643" s="16" t="s">
        <v>16749</v>
      </c>
      <c r="G2643" s="19" t="s">
        <v>41</v>
      </c>
      <c r="H2643" s="18" t="n">
        <v>5</v>
      </c>
      <c r="I2643" s="20" t="n">
        <v>96.47</v>
      </c>
      <c r="J2643" s="20" t="n">
        <v>216.6</v>
      </c>
      <c r="K2643" s="18" t="n">
        <v>5</v>
      </c>
      <c r="L2643" s="18" t="n">
        <v>1</v>
      </c>
      <c r="M2643" s="18" t="n">
        <v>79</v>
      </c>
      <c r="N2643" s="18" t="n">
        <v>79</v>
      </c>
      <c r="O2643" s="14" t="s">
        <v>16750</v>
      </c>
      <c r="P2643" s="14" t="s">
        <v>84</v>
      </c>
      <c r="Q2643" s="15" t="s">
        <v>1089</v>
      </c>
      <c r="R2643" s="16" t="s">
        <v>16751</v>
      </c>
      <c r="S2643" s="15" t="s">
        <v>16752</v>
      </c>
      <c r="T2643" s="15" t="s">
        <v>16752</v>
      </c>
      <c r="U2643" s="21" t="s">
        <v>72</v>
      </c>
    </row>
    <row r="2644" customFormat="false" ht="15" hidden="false" customHeight="false" outlineLevel="0" collapsed="false">
      <c r="A2644" s="15" t="s">
        <v>14933</v>
      </c>
      <c r="B2644" s="15" t="s">
        <v>14933</v>
      </c>
      <c r="C2644" s="14" t="s">
        <v>16753</v>
      </c>
      <c r="D2644" s="14" t="s">
        <v>16754</v>
      </c>
      <c r="E2644" s="16" t="s">
        <v>16755</v>
      </c>
      <c r="F2644" s="16" t="s">
        <v>16756</v>
      </c>
      <c r="G2644" s="19" t="s">
        <v>41</v>
      </c>
      <c r="H2644" s="18" t="n">
        <v>4</v>
      </c>
      <c r="I2644" s="20" t="n">
        <v>88.2</v>
      </c>
      <c r="J2644" s="20" t="n">
        <v>250.56</v>
      </c>
      <c r="K2644" s="18" t="n">
        <v>10</v>
      </c>
      <c r="L2644" s="18" t="n">
        <v>5</v>
      </c>
      <c r="M2644" s="18" t="n">
        <v>176</v>
      </c>
      <c r="N2644" s="18" t="n">
        <v>98</v>
      </c>
      <c r="O2644" s="14" t="s">
        <v>1126</v>
      </c>
      <c r="P2644" s="14" t="s">
        <v>84</v>
      </c>
      <c r="Q2644" s="15" t="s">
        <v>1089</v>
      </c>
      <c r="R2644" s="16" t="s">
        <v>16413</v>
      </c>
      <c r="S2644" s="15" t="s">
        <v>16757</v>
      </c>
      <c r="T2644" s="15" t="s">
        <v>16758</v>
      </c>
      <c r="U2644" s="21" t="s">
        <v>72</v>
      </c>
    </row>
    <row r="2645" customFormat="false" ht="15" hidden="false" customHeight="false" outlineLevel="0" collapsed="false">
      <c r="A2645" s="15" t="s">
        <v>14933</v>
      </c>
      <c r="B2645" s="15" t="s">
        <v>14933</v>
      </c>
      <c r="C2645" s="14" t="s">
        <v>16759</v>
      </c>
      <c r="D2645" s="14" t="s">
        <v>16760</v>
      </c>
      <c r="E2645" s="16" t="s">
        <v>16761</v>
      </c>
      <c r="F2645" s="16"/>
      <c r="G2645" s="23" t="s">
        <v>43</v>
      </c>
      <c r="H2645" s="18" t="n">
        <v>3</v>
      </c>
      <c r="I2645" s="20" t="n">
        <v>79.97</v>
      </c>
      <c r="J2645" s="20" t="n">
        <v>184.63</v>
      </c>
      <c r="K2645" s="18" t="n">
        <v>2</v>
      </c>
      <c r="L2645" s="18" t="n">
        <v>5</v>
      </c>
      <c r="M2645" s="18" t="n">
        <v>47</v>
      </c>
      <c r="N2645" s="18" t="n">
        <v>47</v>
      </c>
      <c r="O2645" s="14" t="s">
        <v>1126</v>
      </c>
      <c r="P2645" s="14" t="s">
        <v>84</v>
      </c>
      <c r="Q2645" s="15" t="s">
        <v>1089</v>
      </c>
      <c r="R2645" s="16" t="s">
        <v>11548</v>
      </c>
      <c r="S2645" s="15" t="s">
        <v>16762</v>
      </c>
      <c r="T2645" s="15" t="s">
        <v>16762</v>
      </c>
      <c r="U2645" s="21" t="s">
        <v>72</v>
      </c>
    </row>
    <row r="2646" customFormat="false" ht="26.85" hidden="false" customHeight="false" outlineLevel="0" collapsed="false">
      <c r="A2646" s="15" t="s">
        <v>14933</v>
      </c>
      <c r="B2646" s="15" t="s">
        <v>14933</v>
      </c>
      <c r="C2646" s="14" t="s">
        <v>16763</v>
      </c>
      <c r="D2646" s="14" t="s">
        <v>16764</v>
      </c>
      <c r="E2646" s="16" t="s">
        <v>16765</v>
      </c>
      <c r="F2646" s="16" t="s">
        <v>16766</v>
      </c>
      <c r="G2646" s="23" t="s">
        <v>43</v>
      </c>
      <c r="H2646" s="18" t="n">
        <v>3</v>
      </c>
      <c r="I2646" s="20" t="n">
        <v>84.74</v>
      </c>
      <c r="J2646" s="20" t="n">
        <v>194.19</v>
      </c>
      <c r="K2646" s="18" t="n">
        <v>2</v>
      </c>
      <c r="L2646" s="18" t="n">
        <v>2</v>
      </c>
      <c r="M2646" s="18" t="n">
        <v>56</v>
      </c>
      <c r="N2646" s="18" t="n">
        <v>56</v>
      </c>
      <c r="O2646" s="14" t="s">
        <v>1126</v>
      </c>
      <c r="P2646" s="14" t="s">
        <v>84</v>
      </c>
      <c r="Q2646" s="15" t="s">
        <v>1089</v>
      </c>
      <c r="R2646" s="16" t="s">
        <v>16767</v>
      </c>
      <c r="S2646" s="15" t="s">
        <v>16768</v>
      </c>
      <c r="T2646" s="15" t="s">
        <v>16769</v>
      </c>
      <c r="U2646" s="21" t="s">
        <v>72</v>
      </c>
    </row>
    <row r="2647" customFormat="false" ht="15" hidden="false" customHeight="false" outlineLevel="0" collapsed="false">
      <c r="A2647" s="15" t="s">
        <v>14933</v>
      </c>
      <c r="B2647" s="15" t="s">
        <v>14933</v>
      </c>
      <c r="C2647" s="14" t="s">
        <v>16770</v>
      </c>
      <c r="D2647" s="14" t="s">
        <v>16771</v>
      </c>
      <c r="E2647" s="16" t="s">
        <v>16772</v>
      </c>
      <c r="F2647" s="16" t="s">
        <v>16773</v>
      </c>
      <c r="G2647" s="23" t="s">
        <v>43</v>
      </c>
      <c r="H2647" s="18" t="n">
        <v>2</v>
      </c>
      <c r="I2647" s="20" t="n">
        <v>34.143</v>
      </c>
      <c r="J2647" s="20" t="n">
        <v>135.14</v>
      </c>
      <c r="K2647" s="18" t="n">
        <v>2</v>
      </c>
      <c r="L2647" s="18" t="n">
        <v>1</v>
      </c>
      <c r="M2647" s="18" t="n">
        <v>28</v>
      </c>
      <c r="N2647" s="18" t="n">
        <v>28</v>
      </c>
      <c r="O2647" s="14" t="s">
        <v>3001</v>
      </c>
      <c r="P2647" s="14" t="s">
        <v>84</v>
      </c>
      <c r="Q2647" s="15" t="s">
        <v>1089</v>
      </c>
      <c r="R2647" s="16" t="s">
        <v>16774</v>
      </c>
      <c r="S2647" s="15" t="s">
        <v>16775</v>
      </c>
      <c r="T2647" s="15" t="s">
        <v>16775</v>
      </c>
      <c r="U2647" s="21" t="s">
        <v>72</v>
      </c>
    </row>
    <row r="2648" customFormat="false" ht="15" hidden="false" customHeight="false" outlineLevel="0" collapsed="false">
      <c r="A2648" s="15" t="s">
        <v>14933</v>
      </c>
      <c r="B2648" s="15" t="s">
        <v>14933</v>
      </c>
      <c r="C2648" s="14" t="s">
        <v>16776</v>
      </c>
      <c r="D2648" s="14" t="s">
        <v>16777</v>
      </c>
      <c r="E2648" s="16" t="s">
        <v>16778</v>
      </c>
      <c r="F2648" s="16"/>
      <c r="G2648" s="19" t="s">
        <v>41</v>
      </c>
      <c r="H2648" s="18" t="n">
        <v>4</v>
      </c>
      <c r="I2648" s="20" t="n">
        <v>99.9</v>
      </c>
      <c r="J2648" s="20" t="n">
        <v>214.42</v>
      </c>
      <c r="K2648" s="18" t="n">
        <v>8</v>
      </c>
      <c r="L2648" s="18" t="n">
        <v>4</v>
      </c>
      <c r="M2648" s="18" t="n">
        <v>167</v>
      </c>
      <c r="N2648" s="18" t="n">
        <v>30</v>
      </c>
      <c r="O2648" s="14" t="s">
        <v>16363</v>
      </c>
      <c r="P2648" s="14" t="s">
        <v>118</v>
      </c>
      <c r="Q2648" s="15" t="s">
        <v>1089</v>
      </c>
      <c r="R2648" s="16" t="s">
        <v>16779</v>
      </c>
      <c r="S2648" s="15" t="s">
        <v>6577</v>
      </c>
      <c r="T2648" s="15" t="s">
        <v>16780</v>
      </c>
      <c r="U2648" s="21" t="s">
        <v>72</v>
      </c>
    </row>
    <row r="2649" customFormat="false" ht="15" hidden="false" customHeight="false" outlineLevel="0" collapsed="false">
      <c r="A2649" s="15" t="s">
        <v>14933</v>
      </c>
      <c r="B2649" s="15" t="s">
        <v>14933</v>
      </c>
      <c r="C2649" s="14" t="s">
        <v>16781</v>
      </c>
      <c r="D2649" s="14" t="s">
        <v>16782</v>
      </c>
      <c r="E2649" s="16" t="s">
        <v>16783</v>
      </c>
      <c r="F2649" s="16"/>
      <c r="G2649" s="19" t="s">
        <v>41</v>
      </c>
      <c r="H2649" s="18" t="n">
        <v>5</v>
      </c>
      <c r="I2649" s="20"/>
      <c r="J2649" s="20"/>
      <c r="K2649" s="18" t="n">
        <v>5</v>
      </c>
      <c r="L2649" s="18"/>
      <c r="M2649" s="18"/>
      <c r="N2649" s="18"/>
      <c r="O2649" s="14" t="s">
        <v>1126</v>
      </c>
      <c r="P2649" s="14" t="s">
        <v>84</v>
      </c>
      <c r="Q2649" s="15" t="s">
        <v>1089</v>
      </c>
      <c r="R2649" s="16" t="s">
        <v>16784</v>
      </c>
      <c r="S2649" s="15" t="s">
        <v>16785</v>
      </c>
      <c r="T2649" s="15" t="s">
        <v>16786</v>
      </c>
      <c r="U2649" s="21" t="s">
        <v>72</v>
      </c>
    </row>
    <row r="2650" customFormat="false" ht="15" hidden="false" customHeight="false" outlineLevel="0" collapsed="false">
      <c r="A2650" s="15" t="s">
        <v>14933</v>
      </c>
      <c r="B2650" s="15" t="s">
        <v>14933</v>
      </c>
      <c r="C2650" s="14" t="s">
        <v>16787</v>
      </c>
      <c r="D2650" s="14" t="s">
        <v>16788</v>
      </c>
      <c r="E2650" s="16" t="s">
        <v>16789</v>
      </c>
      <c r="F2650" s="16"/>
      <c r="G2650" s="23" t="s">
        <v>43</v>
      </c>
      <c r="H2650" s="18" t="n">
        <v>2</v>
      </c>
      <c r="I2650" s="20" t="n">
        <v>55.98</v>
      </c>
      <c r="J2650" s="20" t="n">
        <v>77.49</v>
      </c>
      <c r="K2650" s="18" t="n">
        <v>6</v>
      </c>
      <c r="L2650" s="18" t="n">
        <v>3</v>
      </c>
      <c r="M2650" s="18" t="n">
        <v>14</v>
      </c>
      <c r="N2650" s="18" t="n">
        <v>10</v>
      </c>
      <c r="O2650" s="14" t="s">
        <v>1097</v>
      </c>
      <c r="P2650" s="14" t="s">
        <v>202</v>
      </c>
      <c r="Q2650" s="15" t="s">
        <v>1089</v>
      </c>
      <c r="R2650" s="16" t="s">
        <v>16790</v>
      </c>
      <c r="S2650" s="15" t="s">
        <v>16791</v>
      </c>
      <c r="T2650" s="15" t="s">
        <v>16791</v>
      </c>
      <c r="U2650" s="21" t="s">
        <v>72</v>
      </c>
    </row>
    <row r="2651" customFormat="false" ht="15" hidden="false" customHeight="false" outlineLevel="0" collapsed="false">
      <c r="A2651" s="15" t="s">
        <v>14933</v>
      </c>
      <c r="B2651" s="15" t="s">
        <v>14933</v>
      </c>
      <c r="C2651" s="14" t="s">
        <v>16792</v>
      </c>
      <c r="D2651" s="14" t="s">
        <v>16793</v>
      </c>
      <c r="E2651" s="16" t="s">
        <v>16794</v>
      </c>
      <c r="F2651" s="16"/>
      <c r="G2651" s="19" t="s">
        <v>41</v>
      </c>
      <c r="H2651" s="18" t="n">
        <v>6</v>
      </c>
      <c r="I2651" s="20" t="n">
        <v>125.12</v>
      </c>
      <c r="J2651" s="20" t="n">
        <v>267.25</v>
      </c>
      <c r="K2651" s="18" t="n">
        <v>6</v>
      </c>
      <c r="L2651" s="18" t="n">
        <v>4</v>
      </c>
      <c r="M2651" s="18" t="n">
        <v>90</v>
      </c>
      <c r="N2651" s="18" t="n">
        <v>45</v>
      </c>
      <c r="O2651" s="14" t="s">
        <v>16795</v>
      </c>
      <c r="P2651" s="14" t="s">
        <v>84</v>
      </c>
      <c r="Q2651" s="15" t="s">
        <v>1089</v>
      </c>
      <c r="R2651" s="16" t="s">
        <v>16796</v>
      </c>
      <c r="S2651" s="15" t="s">
        <v>16797</v>
      </c>
      <c r="T2651" s="15" t="s">
        <v>16798</v>
      </c>
      <c r="U2651" s="21" t="s">
        <v>72</v>
      </c>
    </row>
    <row r="2652" customFormat="false" ht="15" hidden="false" customHeight="false" outlineLevel="0" collapsed="false">
      <c r="A2652" s="15" t="s">
        <v>14933</v>
      </c>
      <c r="B2652" s="15" t="s">
        <v>14933</v>
      </c>
      <c r="C2652" s="14" t="s">
        <v>16799</v>
      </c>
      <c r="D2652" s="14" t="s">
        <v>16800</v>
      </c>
      <c r="E2652" s="16" t="s">
        <v>16801</v>
      </c>
      <c r="F2652" s="16" t="s">
        <v>16802</v>
      </c>
      <c r="G2652" s="25" t="s">
        <v>39</v>
      </c>
      <c r="H2652" s="18" t="n">
        <v>10</v>
      </c>
      <c r="I2652" s="20" t="n">
        <v>182.96</v>
      </c>
      <c r="J2652" s="20" t="n">
        <v>333.43</v>
      </c>
      <c r="K2652" s="18" t="n">
        <v>12</v>
      </c>
      <c r="L2652" s="18" t="n">
        <v>5</v>
      </c>
      <c r="M2652" s="18" t="n">
        <v>164</v>
      </c>
      <c r="N2652" s="18" t="n">
        <v>130</v>
      </c>
      <c r="O2652" s="14" t="s">
        <v>1097</v>
      </c>
      <c r="P2652" s="14" t="s">
        <v>84</v>
      </c>
      <c r="Q2652" s="15" t="s">
        <v>1089</v>
      </c>
      <c r="R2652" s="16" t="s">
        <v>16803</v>
      </c>
      <c r="S2652" s="15" t="s">
        <v>16804</v>
      </c>
      <c r="T2652" s="15" t="s">
        <v>16804</v>
      </c>
      <c r="U2652" s="21" t="s">
        <v>72</v>
      </c>
    </row>
    <row r="2653" customFormat="false" ht="15" hidden="false" customHeight="false" outlineLevel="0" collapsed="false">
      <c r="A2653" s="15" t="s">
        <v>14933</v>
      </c>
      <c r="B2653" s="15" t="s">
        <v>14933</v>
      </c>
      <c r="C2653" s="14" t="s">
        <v>16805</v>
      </c>
      <c r="D2653" s="14" t="s">
        <v>16806</v>
      </c>
      <c r="E2653" s="16" t="s">
        <v>16807</v>
      </c>
      <c r="F2653" s="16" t="s">
        <v>16808</v>
      </c>
      <c r="G2653" s="25" t="s">
        <v>39</v>
      </c>
      <c r="H2653" s="18" t="n">
        <v>11</v>
      </c>
      <c r="I2653" s="20" t="n">
        <v>408.9</v>
      </c>
      <c r="J2653" s="20" t="n">
        <v>852.6</v>
      </c>
      <c r="K2653" s="18" t="n">
        <v>11</v>
      </c>
      <c r="L2653" s="18" t="n">
        <v>16</v>
      </c>
      <c r="M2653" s="18" t="n">
        <v>328</v>
      </c>
      <c r="N2653" s="18" t="n">
        <v>302</v>
      </c>
      <c r="O2653" s="14" t="s">
        <v>1126</v>
      </c>
      <c r="P2653" s="14" t="s">
        <v>84</v>
      </c>
      <c r="Q2653" s="15" t="s">
        <v>1089</v>
      </c>
      <c r="R2653" s="16" t="s">
        <v>15922</v>
      </c>
      <c r="S2653" s="15" t="s">
        <v>16634</v>
      </c>
      <c r="T2653" s="15" t="s">
        <v>16809</v>
      </c>
      <c r="U2653" s="21" t="s">
        <v>72</v>
      </c>
    </row>
    <row r="2654" customFormat="false" ht="15" hidden="false" customHeight="false" outlineLevel="0" collapsed="false">
      <c r="A2654" s="15" t="s">
        <v>14933</v>
      </c>
      <c r="B2654" s="15" t="s">
        <v>14933</v>
      </c>
      <c r="C2654" s="14" t="s">
        <v>16810</v>
      </c>
      <c r="D2654" s="14" t="s">
        <v>16811</v>
      </c>
      <c r="E2654" s="16" t="s">
        <v>16812</v>
      </c>
      <c r="F2654" s="16" t="s">
        <v>16813</v>
      </c>
      <c r="G2654" s="23" t="s">
        <v>43</v>
      </c>
      <c r="H2654" s="18" t="n">
        <v>2</v>
      </c>
      <c r="I2654" s="20" t="n">
        <v>59.61</v>
      </c>
      <c r="J2654" s="20" t="n">
        <v>150.16</v>
      </c>
      <c r="K2654" s="18" t="n">
        <v>2</v>
      </c>
      <c r="L2654" s="18" t="n">
        <v>2</v>
      </c>
      <c r="M2654" s="18" t="n">
        <v>40</v>
      </c>
      <c r="N2654" s="18" t="n">
        <v>40</v>
      </c>
      <c r="O2654" s="14" t="s">
        <v>1126</v>
      </c>
      <c r="P2654" s="14" t="s">
        <v>84</v>
      </c>
      <c r="Q2654" s="15" t="s">
        <v>1089</v>
      </c>
      <c r="R2654" s="16" t="s">
        <v>16814</v>
      </c>
      <c r="S2654" s="15" t="s">
        <v>16815</v>
      </c>
      <c r="T2654" s="15" t="s">
        <v>16816</v>
      </c>
      <c r="U2654" s="21" t="s">
        <v>72</v>
      </c>
    </row>
    <row r="2655" customFormat="false" ht="15" hidden="false" customHeight="false" outlineLevel="0" collapsed="false">
      <c r="A2655" s="15" t="s">
        <v>14933</v>
      </c>
      <c r="B2655" s="15" t="s">
        <v>14933</v>
      </c>
      <c r="C2655" s="14" t="s">
        <v>16817</v>
      </c>
      <c r="D2655" s="14" t="s">
        <v>16818</v>
      </c>
      <c r="E2655" s="16" t="s">
        <v>16819</v>
      </c>
      <c r="F2655" s="16" t="s">
        <v>16820</v>
      </c>
      <c r="G2655" s="19" t="s">
        <v>41</v>
      </c>
      <c r="H2655" s="18" t="n">
        <v>4</v>
      </c>
      <c r="I2655" s="20" t="n">
        <v>85.52</v>
      </c>
      <c r="J2655" s="20" t="n">
        <v>208.78</v>
      </c>
      <c r="K2655" s="18" t="n">
        <v>7</v>
      </c>
      <c r="L2655" s="18" t="n">
        <v>2</v>
      </c>
      <c r="M2655" s="18" t="n">
        <v>130</v>
      </c>
      <c r="N2655" s="18" t="n">
        <v>15</v>
      </c>
      <c r="O2655" s="14" t="s">
        <v>16821</v>
      </c>
      <c r="P2655" s="14" t="s">
        <v>84</v>
      </c>
      <c r="Q2655" s="15" t="s">
        <v>1089</v>
      </c>
      <c r="R2655" s="16" t="s">
        <v>16822</v>
      </c>
      <c r="S2655" s="15" t="s">
        <v>16048</v>
      </c>
      <c r="T2655" s="15" t="s">
        <v>16823</v>
      </c>
      <c r="U2655" s="21" t="s">
        <v>72</v>
      </c>
    </row>
    <row r="2656" customFormat="false" ht="15" hidden="false" customHeight="false" outlineLevel="0" collapsed="false">
      <c r="A2656" s="15" t="s">
        <v>14933</v>
      </c>
      <c r="B2656" s="15" t="s">
        <v>14933</v>
      </c>
      <c r="C2656" s="14" t="s">
        <v>16824</v>
      </c>
      <c r="D2656" s="14" t="s">
        <v>16825</v>
      </c>
      <c r="E2656" s="16" t="s">
        <v>16819</v>
      </c>
      <c r="F2656" s="16" t="s">
        <v>16820</v>
      </c>
      <c r="G2656" s="19" t="s">
        <v>41</v>
      </c>
      <c r="H2656" s="18" t="n">
        <v>4</v>
      </c>
      <c r="I2656" s="20" t="n">
        <v>89.06</v>
      </c>
      <c r="J2656" s="20" t="n">
        <v>272.13</v>
      </c>
      <c r="K2656" s="18" t="n">
        <v>5</v>
      </c>
      <c r="L2656" s="18" t="n">
        <v>4</v>
      </c>
      <c r="M2656" s="18" t="n">
        <v>83</v>
      </c>
      <c r="N2656" s="18" t="n">
        <v>83</v>
      </c>
      <c r="O2656" s="14" t="s">
        <v>1097</v>
      </c>
      <c r="P2656" s="14" t="s">
        <v>84</v>
      </c>
      <c r="Q2656" s="15" t="s">
        <v>1089</v>
      </c>
      <c r="R2656" s="16" t="s">
        <v>6362</v>
      </c>
      <c r="S2656" s="15" t="s">
        <v>16048</v>
      </c>
      <c r="T2656" s="15" t="s">
        <v>16048</v>
      </c>
      <c r="U2656" s="21" t="s">
        <v>72</v>
      </c>
    </row>
    <row r="2657" customFormat="false" ht="15" hidden="false" customHeight="false" outlineLevel="0" collapsed="false">
      <c r="A2657" s="15" t="s">
        <v>14933</v>
      </c>
      <c r="B2657" s="15" t="s">
        <v>14933</v>
      </c>
      <c r="C2657" s="14" t="s">
        <v>16826</v>
      </c>
      <c r="D2657" s="14" t="s">
        <v>16827</v>
      </c>
      <c r="E2657" s="16" t="s">
        <v>16828</v>
      </c>
      <c r="F2657" s="16" t="s">
        <v>16829</v>
      </c>
      <c r="G2657" s="25" t="s">
        <v>39</v>
      </c>
      <c r="H2657" s="18" t="n">
        <v>8</v>
      </c>
      <c r="I2657" s="20" t="n">
        <v>160.75</v>
      </c>
      <c r="J2657" s="20" t="n">
        <v>447.38</v>
      </c>
      <c r="K2657" s="18" t="n">
        <v>13</v>
      </c>
      <c r="L2657" s="18" t="n">
        <v>12</v>
      </c>
      <c r="M2657" s="18" t="n">
        <v>195</v>
      </c>
      <c r="N2657" s="18" t="n">
        <v>30</v>
      </c>
      <c r="O2657" s="14" t="s">
        <v>16830</v>
      </c>
      <c r="P2657" s="14" t="s">
        <v>84</v>
      </c>
      <c r="Q2657" s="15" t="s">
        <v>1089</v>
      </c>
      <c r="R2657" s="16" t="s">
        <v>6357</v>
      </c>
      <c r="S2657" s="15" t="s">
        <v>16831</v>
      </c>
      <c r="T2657" s="15" t="s">
        <v>16831</v>
      </c>
      <c r="U2657" s="21" t="s">
        <v>72</v>
      </c>
    </row>
    <row r="2658" customFormat="false" ht="15" hidden="false" customHeight="false" outlineLevel="0" collapsed="false">
      <c r="A2658" s="15" t="s">
        <v>14933</v>
      </c>
      <c r="B2658" s="15" t="s">
        <v>14933</v>
      </c>
      <c r="C2658" s="14" t="s">
        <v>16832</v>
      </c>
      <c r="D2658" s="14" t="s">
        <v>16833</v>
      </c>
      <c r="E2658" s="16" t="s">
        <v>16834</v>
      </c>
      <c r="F2658" s="16" t="s">
        <v>16835</v>
      </c>
      <c r="G2658" s="23" t="s">
        <v>43</v>
      </c>
      <c r="H2658" s="18" t="n">
        <v>1</v>
      </c>
      <c r="I2658" s="20" t="n">
        <v>58.05</v>
      </c>
      <c r="J2658" s="20" t="n">
        <v>102.45</v>
      </c>
      <c r="K2658" s="18" t="n">
        <v>2</v>
      </c>
      <c r="L2658" s="18" t="n">
        <v>1</v>
      </c>
      <c r="M2658" s="18" t="n">
        <v>96</v>
      </c>
      <c r="N2658" s="18" t="n">
        <v>96</v>
      </c>
      <c r="O2658" s="14" t="s">
        <v>16836</v>
      </c>
      <c r="P2658" s="14" t="s">
        <v>84</v>
      </c>
      <c r="Q2658" s="15" t="s">
        <v>1089</v>
      </c>
      <c r="R2658" s="16" t="s">
        <v>16837</v>
      </c>
      <c r="S2658" s="15" t="s">
        <v>16838</v>
      </c>
      <c r="T2658" s="15" t="s">
        <v>16839</v>
      </c>
      <c r="U2658" s="21" t="s">
        <v>72</v>
      </c>
    </row>
    <row r="2659" customFormat="false" ht="15" hidden="false" customHeight="false" outlineLevel="0" collapsed="false">
      <c r="A2659" s="15" t="s">
        <v>14933</v>
      </c>
      <c r="B2659" s="15" t="s">
        <v>14933</v>
      </c>
      <c r="C2659" s="14" t="s">
        <v>16840</v>
      </c>
      <c r="D2659" s="14" t="s">
        <v>16841</v>
      </c>
      <c r="E2659" s="16" t="s">
        <v>16842</v>
      </c>
      <c r="F2659" s="16" t="s">
        <v>16843</v>
      </c>
      <c r="G2659" s="19" t="s">
        <v>41</v>
      </c>
      <c r="H2659" s="18" t="n">
        <v>7</v>
      </c>
      <c r="I2659" s="20" t="n">
        <v>156.42</v>
      </c>
      <c r="J2659" s="20" t="n">
        <v>232</v>
      </c>
      <c r="K2659" s="18" t="n">
        <v>4</v>
      </c>
      <c r="L2659" s="18" t="n">
        <v>2</v>
      </c>
      <c r="M2659" s="18" t="n">
        <v>78</v>
      </c>
      <c r="N2659" s="18" t="n">
        <v>34</v>
      </c>
      <c r="O2659" s="14" t="s">
        <v>1097</v>
      </c>
      <c r="P2659" s="14" t="s">
        <v>84</v>
      </c>
      <c r="Q2659" s="15" t="s">
        <v>1089</v>
      </c>
      <c r="R2659" s="16" t="s">
        <v>3517</v>
      </c>
      <c r="S2659" s="15" t="s">
        <v>16844</v>
      </c>
      <c r="T2659" s="15" t="s">
        <v>16845</v>
      </c>
      <c r="U2659" s="21" t="s">
        <v>72</v>
      </c>
    </row>
    <row r="2660" customFormat="false" ht="15" hidden="false" customHeight="false" outlineLevel="0" collapsed="false">
      <c r="A2660" s="15" t="s">
        <v>14933</v>
      </c>
      <c r="B2660" s="15" t="s">
        <v>14933</v>
      </c>
      <c r="C2660" s="14" t="s">
        <v>16846</v>
      </c>
      <c r="D2660" s="14" t="s">
        <v>16847</v>
      </c>
      <c r="E2660" s="16" t="s">
        <v>16848</v>
      </c>
      <c r="F2660" s="16" t="s">
        <v>1595</v>
      </c>
      <c r="G2660" s="19" t="s">
        <v>41</v>
      </c>
      <c r="H2660" s="18" t="n">
        <v>3</v>
      </c>
      <c r="I2660" s="20" t="n">
        <v>99.21</v>
      </c>
      <c r="J2660" s="20" t="n">
        <v>221.1</v>
      </c>
      <c r="K2660" s="18" t="n">
        <v>7</v>
      </c>
      <c r="L2660" s="18" t="n">
        <v>2</v>
      </c>
      <c r="M2660" s="18" t="n">
        <v>189</v>
      </c>
      <c r="N2660" s="18" t="n">
        <v>189</v>
      </c>
      <c r="O2660" s="14" t="s">
        <v>1088</v>
      </c>
      <c r="P2660" s="14" t="s">
        <v>84</v>
      </c>
      <c r="Q2660" s="15" t="s">
        <v>1089</v>
      </c>
      <c r="R2660" s="16" t="s">
        <v>16849</v>
      </c>
      <c r="S2660" s="15" t="s">
        <v>16850</v>
      </c>
      <c r="T2660" s="15" t="s">
        <v>16851</v>
      </c>
      <c r="U2660" s="21" t="s">
        <v>72</v>
      </c>
    </row>
    <row r="2661" customFormat="false" ht="15" hidden="false" customHeight="false" outlineLevel="0" collapsed="false">
      <c r="A2661" s="15" t="s">
        <v>14933</v>
      </c>
      <c r="B2661" s="15" t="s">
        <v>14933</v>
      </c>
      <c r="C2661" s="14" t="s">
        <v>16852</v>
      </c>
      <c r="D2661" s="14" t="s">
        <v>16853</v>
      </c>
      <c r="E2661" s="16" t="s">
        <v>16854</v>
      </c>
      <c r="F2661" s="16" t="s">
        <v>16855</v>
      </c>
      <c r="G2661" s="25" t="s">
        <v>39</v>
      </c>
      <c r="H2661" s="18" t="n">
        <v>5</v>
      </c>
      <c r="I2661" s="20" t="n">
        <v>197.62</v>
      </c>
      <c r="J2661" s="20" t="n">
        <v>411.75</v>
      </c>
      <c r="K2661" s="18" t="n">
        <v>6</v>
      </c>
      <c r="L2661" s="18" t="n">
        <v>5</v>
      </c>
      <c r="M2661" s="18" t="n">
        <v>163</v>
      </c>
      <c r="N2661" s="18" t="n">
        <v>121</v>
      </c>
      <c r="O2661" s="14" t="s">
        <v>1126</v>
      </c>
      <c r="P2661" s="14" t="s">
        <v>84</v>
      </c>
      <c r="Q2661" s="15" t="s">
        <v>1089</v>
      </c>
      <c r="R2661" s="16" t="s">
        <v>16856</v>
      </c>
      <c r="S2661" s="15" t="s">
        <v>16857</v>
      </c>
      <c r="T2661" s="15" t="s">
        <v>16857</v>
      </c>
      <c r="U2661" s="21" t="s">
        <v>72</v>
      </c>
    </row>
    <row r="2662" customFormat="false" ht="15" hidden="false" customHeight="false" outlineLevel="0" collapsed="false">
      <c r="A2662" s="15" t="s">
        <v>14933</v>
      </c>
      <c r="B2662" s="15" t="s">
        <v>14933</v>
      </c>
      <c r="C2662" s="14" t="s">
        <v>16858</v>
      </c>
      <c r="D2662" s="14" t="s">
        <v>16859</v>
      </c>
      <c r="E2662" s="16" t="s">
        <v>16860</v>
      </c>
      <c r="F2662" s="16" t="s">
        <v>16861</v>
      </c>
      <c r="G2662" s="25" t="s">
        <v>39</v>
      </c>
      <c r="H2662" s="18" t="n">
        <v>11</v>
      </c>
      <c r="I2662" s="20" t="n">
        <v>280.45</v>
      </c>
      <c r="J2662" s="20" t="n">
        <v>481.56</v>
      </c>
      <c r="K2662" s="18" t="n">
        <v>4</v>
      </c>
      <c r="L2662" s="18" t="n">
        <v>10</v>
      </c>
      <c r="M2662" s="18" t="n">
        <v>158</v>
      </c>
      <c r="N2662" s="18" t="n">
        <v>88</v>
      </c>
      <c r="O2662" s="14" t="s">
        <v>16862</v>
      </c>
      <c r="P2662" s="14" t="s">
        <v>84</v>
      </c>
      <c r="Q2662" s="15" t="s">
        <v>1089</v>
      </c>
      <c r="R2662" s="16" t="s">
        <v>16863</v>
      </c>
      <c r="S2662" s="15" t="s">
        <v>16864</v>
      </c>
      <c r="T2662" s="15" t="s">
        <v>16864</v>
      </c>
      <c r="U2662" s="21" t="s">
        <v>72</v>
      </c>
    </row>
    <row r="2663" customFormat="false" ht="26.85" hidden="false" customHeight="false" outlineLevel="0" collapsed="false">
      <c r="A2663" s="15" t="s">
        <v>14933</v>
      </c>
      <c r="B2663" s="15" t="s">
        <v>14933</v>
      </c>
      <c r="C2663" s="14" t="s">
        <v>16865</v>
      </c>
      <c r="D2663" s="14" t="s">
        <v>16866</v>
      </c>
      <c r="E2663" s="16" t="s">
        <v>16867</v>
      </c>
      <c r="F2663" s="16" t="s">
        <v>16868</v>
      </c>
      <c r="G2663" s="23" t="s">
        <v>43</v>
      </c>
      <c r="H2663" s="18" t="n">
        <v>4</v>
      </c>
      <c r="I2663" s="20" t="n">
        <v>76.13</v>
      </c>
      <c r="J2663" s="20" t="n">
        <v>190.4</v>
      </c>
      <c r="K2663" s="18" t="n">
        <v>6</v>
      </c>
      <c r="L2663" s="18" t="n">
        <v>2</v>
      </c>
      <c r="M2663" s="18" t="n">
        <v>109</v>
      </c>
      <c r="N2663" s="18" t="n">
        <v>71</v>
      </c>
      <c r="O2663" s="14" t="s">
        <v>16869</v>
      </c>
      <c r="P2663" s="14" t="s">
        <v>118</v>
      </c>
      <c r="Q2663" s="15" t="s">
        <v>1089</v>
      </c>
      <c r="R2663" s="16" t="s">
        <v>16870</v>
      </c>
      <c r="S2663" s="15" t="s">
        <v>16871</v>
      </c>
      <c r="T2663" s="15" t="s">
        <v>16872</v>
      </c>
      <c r="U2663" s="21" t="s">
        <v>72</v>
      </c>
    </row>
    <row r="2664" customFormat="false" ht="15" hidden="false" customHeight="false" outlineLevel="0" collapsed="false">
      <c r="A2664" s="15" t="s">
        <v>14933</v>
      </c>
      <c r="B2664" s="15" t="s">
        <v>14933</v>
      </c>
      <c r="C2664" s="14" t="s">
        <v>16873</v>
      </c>
      <c r="D2664" s="14" t="s">
        <v>16874</v>
      </c>
      <c r="E2664" s="16" t="s">
        <v>16875</v>
      </c>
      <c r="F2664" s="16"/>
      <c r="G2664" s="23" t="s">
        <v>43</v>
      </c>
      <c r="H2664" s="18" t="n">
        <v>2</v>
      </c>
      <c r="I2664" s="20" t="n">
        <v>46.38</v>
      </c>
      <c r="J2664" s="20" t="n">
        <v>94.66</v>
      </c>
      <c r="K2664" s="18" t="n">
        <v>5</v>
      </c>
      <c r="L2664" s="18" t="n">
        <v>1</v>
      </c>
      <c r="M2664" s="18" t="n">
        <v>93</v>
      </c>
      <c r="N2664" s="18" t="n">
        <v>93</v>
      </c>
      <c r="O2664" s="14" t="s">
        <v>1088</v>
      </c>
      <c r="P2664" s="14" t="s">
        <v>84</v>
      </c>
      <c r="Q2664" s="15" t="s">
        <v>1089</v>
      </c>
      <c r="R2664" s="16" t="s">
        <v>16876</v>
      </c>
      <c r="S2664" s="15" t="s">
        <v>16877</v>
      </c>
      <c r="T2664" s="15" t="s">
        <v>16877</v>
      </c>
      <c r="U2664" s="21" t="s">
        <v>72</v>
      </c>
    </row>
    <row r="2665" customFormat="false" ht="26.85" hidden="false" customHeight="false" outlineLevel="0" collapsed="false">
      <c r="A2665" s="15" t="s">
        <v>14933</v>
      </c>
      <c r="B2665" s="15" t="s">
        <v>14933</v>
      </c>
      <c r="C2665" s="14" t="s">
        <v>16878</v>
      </c>
      <c r="D2665" s="14" t="s">
        <v>16879</v>
      </c>
      <c r="E2665" s="16" t="s">
        <v>16880</v>
      </c>
      <c r="F2665" s="16"/>
      <c r="G2665" s="19" t="s">
        <v>41</v>
      </c>
      <c r="H2665" s="18" t="n">
        <v>2</v>
      </c>
      <c r="I2665" s="20" t="n">
        <v>145.99</v>
      </c>
      <c r="J2665" s="20" t="n">
        <v>218.95</v>
      </c>
      <c r="K2665" s="18" t="n">
        <v>2</v>
      </c>
      <c r="L2665" s="18" t="n">
        <v>2</v>
      </c>
      <c r="M2665" s="18" t="n">
        <v>120</v>
      </c>
      <c r="N2665" s="18" t="n">
        <v>120</v>
      </c>
      <c r="O2665" s="14" t="s">
        <v>16881</v>
      </c>
      <c r="P2665" s="14" t="s">
        <v>84</v>
      </c>
      <c r="Q2665" s="15" t="s">
        <v>1089</v>
      </c>
      <c r="R2665" s="16" t="s">
        <v>16882</v>
      </c>
      <c r="S2665" s="15" t="s">
        <v>16883</v>
      </c>
      <c r="T2665" s="15" t="s">
        <v>16883</v>
      </c>
      <c r="U2665" s="21" t="s">
        <v>72</v>
      </c>
    </row>
    <row r="2666" customFormat="false" ht="15" hidden="false" customHeight="false" outlineLevel="0" collapsed="false">
      <c r="A2666" s="15" t="s">
        <v>14933</v>
      </c>
      <c r="B2666" s="15" t="s">
        <v>14933</v>
      </c>
      <c r="C2666" s="14" t="s">
        <v>16884</v>
      </c>
      <c r="D2666" s="14" t="s">
        <v>16885</v>
      </c>
      <c r="E2666" s="16" t="s">
        <v>16886</v>
      </c>
      <c r="F2666" s="16" t="s">
        <v>16887</v>
      </c>
      <c r="G2666" s="23" t="s">
        <v>43</v>
      </c>
      <c r="H2666" s="18" t="n">
        <v>3</v>
      </c>
      <c r="I2666" s="20" t="n">
        <v>79.2</v>
      </c>
      <c r="J2666" s="20" t="n">
        <v>173.8</v>
      </c>
      <c r="K2666" s="18" t="n">
        <v>5</v>
      </c>
      <c r="L2666" s="18" t="n">
        <v>8</v>
      </c>
      <c r="M2666" s="18" t="n">
        <v>112</v>
      </c>
      <c r="N2666" s="18" t="n">
        <v>46</v>
      </c>
      <c r="O2666" s="14" t="s">
        <v>1097</v>
      </c>
      <c r="P2666" s="14" t="s">
        <v>84</v>
      </c>
      <c r="Q2666" s="15" t="s">
        <v>1089</v>
      </c>
      <c r="R2666" s="16" t="s">
        <v>6845</v>
      </c>
      <c r="S2666" s="15" t="s">
        <v>16888</v>
      </c>
      <c r="T2666" s="15" t="s">
        <v>16888</v>
      </c>
      <c r="U2666" s="21" t="s">
        <v>72</v>
      </c>
    </row>
    <row r="2667" customFormat="false" ht="26.85" hidden="false" customHeight="false" outlineLevel="0" collapsed="false">
      <c r="A2667" s="15" t="s">
        <v>14933</v>
      </c>
      <c r="B2667" s="15" t="s">
        <v>14933</v>
      </c>
      <c r="C2667" s="14" t="s">
        <v>16889</v>
      </c>
      <c r="D2667" s="14" t="s">
        <v>16890</v>
      </c>
      <c r="E2667" s="16" t="s">
        <v>16891</v>
      </c>
      <c r="F2667" s="16" t="s">
        <v>16892</v>
      </c>
      <c r="G2667" s="23" t="s">
        <v>43</v>
      </c>
      <c r="H2667" s="18" t="n">
        <v>4</v>
      </c>
      <c r="I2667" s="20" t="n">
        <v>74.31</v>
      </c>
      <c r="J2667" s="20" t="n">
        <v>141.14</v>
      </c>
      <c r="K2667" s="18" t="n">
        <v>19</v>
      </c>
      <c r="L2667" s="18" t="n">
        <v>5</v>
      </c>
      <c r="M2667" s="18" t="n">
        <v>328</v>
      </c>
      <c r="N2667" s="18" t="n">
        <v>48</v>
      </c>
      <c r="O2667" s="14" t="s">
        <v>16893</v>
      </c>
      <c r="P2667" s="14" t="s">
        <v>1166</v>
      </c>
      <c r="Q2667" s="15" t="s">
        <v>1089</v>
      </c>
      <c r="R2667" s="16" t="s">
        <v>16487</v>
      </c>
      <c r="S2667" s="15" t="s">
        <v>16894</v>
      </c>
      <c r="T2667" s="15" t="s">
        <v>16894</v>
      </c>
      <c r="U2667" s="21" t="s">
        <v>72</v>
      </c>
    </row>
    <row r="2668" customFormat="false" ht="15" hidden="false" customHeight="false" outlineLevel="0" collapsed="false">
      <c r="A2668" s="15" t="s">
        <v>14933</v>
      </c>
      <c r="B2668" s="15" t="s">
        <v>14933</v>
      </c>
      <c r="C2668" s="14" t="s">
        <v>16895</v>
      </c>
      <c r="D2668" s="14" t="s">
        <v>16896</v>
      </c>
      <c r="E2668" s="16" t="s">
        <v>16897</v>
      </c>
      <c r="F2668" s="16" t="s">
        <v>15835</v>
      </c>
      <c r="G2668" s="19" t="s">
        <v>41</v>
      </c>
      <c r="H2668" s="18" t="n">
        <v>5</v>
      </c>
      <c r="I2668" s="20" t="n">
        <v>114</v>
      </c>
      <c r="J2668" s="20" t="n">
        <v>204.59</v>
      </c>
      <c r="K2668" s="18" t="n">
        <v>7</v>
      </c>
      <c r="L2668" s="18" t="n">
        <v>6</v>
      </c>
      <c r="M2668" s="18" t="n">
        <v>182</v>
      </c>
      <c r="N2668" s="18" t="n">
        <v>182</v>
      </c>
      <c r="O2668" s="14" t="s">
        <v>1088</v>
      </c>
      <c r="P2668" s="14" t="s">
        <v>84</v>
      </c>
      <c r="Q2668" s="15" t="s">
        <v>1089</v>
      </c>
      <c r="R2668" s="16" t="s">
        <v>8885</v>
      </c>
      <c r="S2668" s="15" t="s">
        <v>16898</v>
      </c>
      <c r="T2668" s="15" t="s">
        <v>16898</v>
      </c>
      <c r="U2668" s="21" t="s">
        <v>72</v>
      </c>
    </row>
    <row r="2669" customFormat="false" ht="15" hidden="false" customHeight="false" outlineLevel="0" collapsed="false">
      <c r="A2669" s="15" t="s">
        <v>14933</v>
      </c>
      <c r="B2669" s="15" t="s">
        <v>14933</v>
      </c>
      <c r="C2669" s="14" t="s">
        <v>16899</v>
      </c>
      <c r="D2669" s="14" t="s">
        <v>16900</v>
      </c>
      <c r="E2669" s="16" t="s">
        <v>16901</v>
      </c>
      <c r="F2669" s="16" t="s">
        <v>16902</v>
      </c>
      <c r="G2669" s="19" t="s">
        <v>41</v>
      </c>
      <c r="H2669" s="18" t="n">
        <v>2</v>
      </c>
      <c r="I2669" s="20" t="n">
        <v>114.73</v>
      </c>
      <c r="J2669" s="20" t="n">
        <v>297.65</v>
      </c>
      <c r="K2669" s="18" t="n">
        <v>4</v>
      </c>
      <c r="L2669" s="18" t="n">
        <v>3</v>
      </c>
      <c r="M2669" s="18" t="n">
        <v>100</v>
      </c>
      <c r="N2669" s="18" t="n">
        <v>100</v>
      </c>
      <c r="O2669" s="14" t="s">
        <v>16903</v>
      </c>
      <c r="P2669" s="14" t="s">
        <v>84</v>
      </c>
      <c r="Q2669" s="15" t="s">
        <v>1089</v>
      </c>
      <c r="R2669" s="16" t="s">
        <v>14330</v>
      </c>
      <c r="S2669" s="15" t="s">
        <v>5844</v>
      </c>
      <c r="T2669" s="15" t="s">
        <v>16904</v>
      </c>
      <c r="U2669" s="21" t="s">
        <v>72</v>
      </c>
    </row>
    <row r="2670" customFormat="false" ht="26.85" hidden="false" customHeight="false" outlineLevel="0" collapsed="false">
      <c r="A2670" s="15" t="s">
        <v>14933</v>
      </c>
      <c r="B2670" s="15" t="s">
        <v>14933</v>
      </c>
      <c r="C2670" s="14" t="s">
        <v>16905</v>
      </c>
      <c r="D2670" s="14" t="s">
        <v>16906</v>
      </c>
      <c r="E2670" s="16" t="s">
        <v>16907</v>
      </c>
      <c r="F2670" s="16" t="s">
        <v>16908</v>
      </c>
      <c r="G2670" s="19" t="s">
        <v>41</v>
      </c>
      <c r="H2670" s="18" t="n">
        <v>6</v>
      </c>
      <c r="I2670" s="20" t="n">
        <v>188.78</v>
      </c>
      <c r="J2670" s="20" t="n">
        <v>336.65</v>
      </c>
      <c r="K2670" s="18" t="n">
        <v>5</v>
      </c>
      <c r="L2670" s="18" t="n">
        <v>5</v>
      </c>
      <c r="M2670" s="18" t="n">
        <v>132</v>
      </c>
      <c r="N2670" s="18" t="n">
        <v>132</v>
      </c>
      <c r="O2670" s="14" t="s">
        <v>16909</v>
      </c>
      <c r="P2670" s="14" t="s">
        <v>84</v>
      </c>
      <c r="Q2670" s="15" t="s">
        <v>1089</v>
      </c>
      <c r="R2670" s="16" t="s">
        <v>16910</v>
      </c>
      <c r="S2670" s="15" t="s">
        <v>2539</v>
      </c>
      <c r="T2670" s="15" t="s">
        <v>2539</v>
      </c>
      <c r="U2670" s="21" t="s">
        <v>72</v>
      </c>
    </row>
    <row r="2671" customFormat="false" ht="15" hidden="false" customHeight="false" outlineLevel="0" collapsed="false">
      <c r="A2671" s="15" t="s">
        <v>14933</v>
      </c>
      <c r="B2671" s="15" t="s">
        <v>14933</v>
      </c>
      <c r="C2671" s="14" t="s">
        <v>16911</v>
      </c>
      <c r="D2671" s="14" t="s">
        <v>16912</v>
      </c>
      <c r="E2671" s="16" t="s">
        <v>16913</v>
      </c>
      <c r="F2671" s="16" t="s">
        <v>16914</v>
      </c>
      <c r="G2671" s="23" t="s">
        <v>43</v>
      </c>
      <c r="H2671" s="18" t="n">
        <v>1</v>
      </c>
      <c r="I2671" s="20" t="n">
        <v>54.384</v>
      </c>
      <c r="J2671" s="20" t="n">
        <v>94.604</v>
      </c>
      <c r="K2671" s="18" t="n">
        <v>1</v>
      </c>
      <c r="L2671" s="18" t="n">
        <v>1</v>
      </c>
      <c r="M2671" s="18" t="n">
        <v>22</v>
      </c>
      <c r="N2671" s="18" t="n">
        <v>22</v>
      </c>
      <c r="O2671" s="14" t="s">
        <v>15098</v>
      </c>
      <c r="P2671" s="14" t="s">
        <v>84</v>
      </c>
      <c r="Q2671" s="15" t="s">
        <v>1089</v>
      </c>
      <c r="R2671" s="16" t="s">
        <v>16915</v>
      </c>
      <c r="S2671" s="15" t="s">
        <v>16916</v>
      </c>
      <c r="T2671" s="15" t="s">
        <v>16917</v>
      </c>
      <c r="U2671" s="21" t="s">
        <v>72</v>
      </c>
    </row>
    <row r="2672" customFormat="false" ht="25.35" hidden="false" customHeight="false" outlineLevel="0" collapsed="false">
      <c r="A2672" s="15" t="s">
        <v>14933</v>
      </c>
      <c r="B2672" s="15" t="s">
        <v>14933</v>
      </c>
      <c r="C2672" s="14" t="s">
        <v>16918</v>
      </c>
      <c r="D2672" s="14" t="s">
        <v>16919</v>
      </c>
      <c r="E2672" s="16" t="s">
        <v>16920</v>
      </c>
      <c r="F2672" s="16" t="s">
        <v>16921</v>
      </c>
      <c r="G2672" s="19" t="s">
        <v>41</v>
      </c>
      <c r="H2672" s="18" t="n">
        <v>6</v>
      </c>
      <c r="I2672" s="20" t="n">
        <v>124.14</v>
      </c>
      <c r="J2672" s="20" t="n">
        <v>261.2</v>
      </c>
      <c r="K2672" s="18" t="n">
        <v>4</v>
      </c>
      <c r="L2672" s="18" t="n">
        <v>2</v>
      </c>
      <c r="M2672" s="18" t="n">
        <v>60</v>
      </c>
      <c r="N2672" s="18" t="n">
        <v>60</v>
      </c>
      <c r="O2672" s="14" t="s">
        <v>16922</v>
      </c>
      <c r="P2672" s="14" t="s">
        <v>84</v>
      </c>
      <c r="Q2672" s="15" t="s">
        <v>1089</v>
      </c>
      <c r="R2672" s="16" t="s">
        <v>16923</v>
      </c>
      <c r="S2672" s="15" t="s">
        <v>16924</v>
      </c>
      <c r="T2672" s="15" t="s">
        <v>16924</v>
      </c>
      <c r="U2672" s="21" t="s">
        <v>72</v>
      </c>
    </row>
    <row r="2673" customFormat="false" ht="15" hidden="false" customHeight="false" outlineLevel="0" collapsed="false">
      <c r="A2673" s="15" t="s">
        <v>14933</v>
      </c>
      <c r="B2673" s="15" t="s">
        <v>14933</v>
      </c>
      <c r="C2673" s="14" t="s">
        <v>16925</v>
      </c>
      <c r="D2673" s="14" t="s">
        <v>16926</v>
      </c>
      <c r="E2673" s="16" t="s">
        <v>16927</v>
      </c>
      <c r="F2673" s="16"/>
      <c r="G2673" s="23" t="s">
        <v>43</v>
      </c>
      <c r="H2673" s="18" t="n">
        <v>2</v>
      </c>
      <c r="I2673" s="20" t="n">
        <v>43.24</v>
      </c>
      <c r="J2673" s="20" t="n">
        <v>106.3715</v>
      </c>
      <c r="K2673" s="18" t="n">
        <v>3</v>
      </c>
      <c r="L2673" s="18" t="n">
        <v>2</v>
      </c>
      <c r="M2673" s="18" t="n">
        <v>60</v>
      </c>
      <c r="N2673" s="18" t="n">
        <v>20</v>
      </c>
      <c r="O2673" s="14" t="s">
        <v>1126</v>
      </c>
      <c r="P2673" s="14" t="s">
        <v>84</v>
      </c>
      <c r="Q2673" s="15" t="s">
        <v>1089</v>
      </c>
      <c r="R2673" s="16" t="s">
        <v>16928</v>
      </c>
      <c r="S2673" s="15" t="s">
        <v>16929</v>
      </c>
      <c r="T2673" s="15" t="s">
        <v>16929</v>
      </c>
      <c r="U2673" s="21" t="s">
        <v>72</v>
      </c>
    </row>
    <row r="2674" customFormat="false" ht="15" hidden="false" customHeight="false" outlineLevel="0" collapsed="false">
      <c r="A2674" s="15" t="s">
        <v>14933</v>
      </c>
      <c r="B2674" s="15" t="s">
        <v>14933</v>
      </c>
      <c r="C2674" s="14" t="s">
        <v>16930</v>
      </c>
      <c r="D2674" s="14" t="s">
        <v>16931</v>
      </c>
      <c r="E2674" s="16" t="s">
        <v>16932</v>
      </c>
      <c r="F2674" s="16" t="s">
        <v>16933</v>
      </c>
      <c r="G2674" s="23" t="s">
        <v>43</v>
      </c>
      <c r="H2674" s="18" t="n">
        <v>2</v>
      </c>
      <c r="I2674" s="20" t="n">
        <v>28.455</v>
      </c>
      <c r="J2674" s="20" t="n">
        <v>151.64</v>
      </c>
      <c r="K2674" s="18" t="n">
        <v>2</v>
      </c>
      <c r="L2674" s="18"/>
      <c r="M2674" s="18" t="n">
        <v>23</v>
      </c>
      <c r="N2674" s="18" t="n">
        <v>23</v>
      </c>
      <c r="O2674" s="14" t="s">
        <v>16934</v>
      </c>
      <c r="P2674" s="14" t="s">
        <v>84</v>
      </c>
      <c r="Q2674" s="15" t="s">
        <v>1089</v>
      </c>
      <c r="R2674" s="16" t="s">
        <v>16935</v>
      </c>
      <c r="S2674" s="15" t="s">
        <v>16936</v>
      </c>
      <c r="T2674" s="15" t="s">
        <v>16936</v>
      </c>
      <c r="U2674" s="21" t="s">
        <v>72</v>
      </c>
    </row>
    <row r="2675" customFormat="false" ht="15" hidden="false" customHeight="false" outlineLevel="0" collapsed="false">
      <c r="A2675" s="15" t="s">
        <v>14933</v>
      </c>
      <c r="B2675" s="15" t="s">
        <v>14933</v>
      </c>
      <c r="C2675" s="14" t="s">
        <v>16937</v>
      </c>
      <c r="D2675" s="14" t="s">
        <v>16938</v>
      </c>
      <c r="E2675" s="16" t="s">
        <v>16939</v>
      </c>
      <c r="F2675" s="16" t="s">
        <v>16940</v>
      </c>
      <c r="G2675" s="23" t="s">
        <v>43</v>
      </c>
      <c r="H2675" s="18" t="n">
        <v>4</v>
      </c>
      <c r="I2675" s="20" t="n">
        <v>73.4</v>
      </c>
      <c r="J2675" s="20" t="n">
        <v>131.72</v>
      </c>
      <c r="K2675" s="18" t="n">
        <v>10</v>
      </c>
      <c r="L2675" s="18" t="n">
        <v>3</v>
      </c>
      <c r="M2675" s="18" t="n">
        <v>148</v>
      </c>
      <c r="N2675" s="18" t="n">
        <v>40</v>
      </c>
      <c r="O2675" s="14" t="s">
        <v>16941</v>
      </c>
      <c r="P2675" s="14" t="s">
        <v>84</v>
      </c>
      <c r="Q2675" s="15" t="s">
        <v>1089</v>
      </c>
      <c r="R2675" s="16" t="s">
        <v>16514</v>
      </c>
      <c r="S2675" s="15" t="s">
        <v>16942</v>
      </c>
      <c r="T2675" s="15" t="s">
        <v>16943</v>
      </c>
      <c r="U2675" s="21" t="s">
        <v>72</v>
      </c>
    </row>
    <row r="2676" customFormat="false" ht="15" hidden="false" customHeight="false" outlineLevel="0" collapsed="false">
      <c r="A2676" s="15" t="s">
        <v>14933</v>
      </c>
      <c r="B2676" s="15" t="s">
        <v>14933</v>
      </c>
      <c r="C2676" s="14" t="s">
        <v>16944</v>
      </c>
      <c r="D2676" s="14" t="s">
        <v>16945</v>
      </c>
      <c r="E2676" s="16" t="s">
        <v>16946</v>
      </c>
      <c r="F2676" s="16" t="s">
        <v>16947</v>
      </c>
      <c r="G2676" s="19" t="s">
        <v>41</v>
      </c>
      <c r="H2676" s="18" t="n">
        <v>4</v>
      </c>
      <c r="I2676" s="20" t="n">
        <v>98</v>
      </c>
      <c r="J2676" s="20" t="n">
        <v>235.86</v>
      </c>
      <c r="K2676" s="18" t="n">
        <v>6</v>
      </c>
      <c r="L2676" s="18" t="n">
        <v>4</v>
      </c>
      <c r="M2676" s="18" t="n">
        <v>111</v>
      </c>
      <c r="N2676" s="18" t="n">
        <v>64</v>
      </c>
      <c r="O2676" s="14" t="s">
        <v>3724</v>
      </c>
      <c r="P2676" s="14" t="s">
        <v>94</v>
      </c>
      <c r="Q2676" s="15" t="s">
        <v>1089</v>
      </c>
      <c r="R2676" s="16" t="s">
        <v>16948</v>
      </c>
      <c r="S2676" s="15" t="s">
        <v>16949</v>
      </c>
      <c r="T2676" s="15" t="s">
        <v>16950</v>
      </c>
      <c r="U2676" s="21" t="s">
        <v>72</v>
      </c>
    </row>
    <row r="2677" customFormat="false" ht="15" hidden="false" customHeight="false" outlineLevel="0" collapsed="false">
      <c r="A2677" s="15" t="s">
        <v>14933</v>
      </c>
      <c r="B2677" s="15" t="s">
        <v>14933</v>
      </c>
      <c r="C2677" s="14" t="s">
        <v>16951</v>
      </c>
      <c r="D2677" s="14" t="s">
        <v>16952</v>
      </c>
      <c r="E2677" s="16" t="s">
        <v>16953</v>
      </c>
      <c r="F2677" s="16" t="s">
        <v>16954</v>
      </c>
      <c r="G2677" s="19" t="s">
        <v>41</v>
      </c>
      <c r="H2677" s="18" t="n">
        <v>5</v>
      </c>
      <c r="I2677" s="20" t="n">
        <v>78.13</v>
      </c>
      <c r="J2677" s="20" t="n">
        <v>167.85</v>
      </c>
      <c r="K2677" s="18" t="n">
        <v>5</v>
      </c>
      <c r="L2677" s="18" t="n">
        <v>7</v>
      </c>
      <c r="M2677" s="18" t="n">
        <v>64</v>
      </c>
      <c r="N2677" s="18" t="n">
        <v>64</v>
      </c>
      <c r="O2677" s="14" t="s">
        <v>1088</v>
      </c>
      <c r="P2677" s="14" t="s">
        <v>84</v>
      </c>
      <c r="Q2677" s="15" t="s">
        <v>1089</v>
      </c>
      <c r="R2677" s="16" t="s">
        <v>16955</v>
      </c>
      <c r="S2677" s="15" t="s">
        <v>16956</v>
      </c>
      <c r="T2677" s="15" t="s">
        <v>16957</v>
      </c>
      <c r="U2677" s="21" t="s">
        <v>72</v>
      </c>
    </row>
    <row r="2678" customFormat="false" ht="15" hidden="false" customHeight="false" outlineLevel="0" collapsed="false">
      <c r="A2678" s="15" t="s">
        <v>14933</v>
      </c>
      <c r="B2678" s="15" t="s">
        <v>14933</v>
      </c>
      <c r="C2678" s="14" t="s">
        <v>16958</v>
      </c>
      <c r="D2678" s="14" t="s">
        <v>16959</v>
      </c>
      <c r="E2678" s="16" t="s">
        <v>16960</v>
      </c>
      <c r="F2678" s="16"/>
      <c r="G2678" s="19" t="s">
        <v>41</v>
      </c>
      <c r="H2678" s="18" t="n">
        <v>6</v>
      </c>
      <c r="I2678" s="20" t="n">
        <v>94.18</v>
      </c>
      <c r="J2678" s="20" t="n">
        <v>200.4</v>
      </c>
      <c r="K2678" s="18" t="n">
        <v>3</v>
      </c>
      <c r="L2678" s="18" t="n">
        <v>2</v>
      </c>
      <c r="M2678" s="18" t="n">
        <v>42</v>
      </c>
      <c r="N2678" s="18" t="n">
        <v>42</v>
      </c>
      <c r="O2678" s="14" t="s">
        <v>1126</v>
      </c>
      <c r="P2678" s="14" t="s">
        <v>84</v>
      </c>
      <c r="Q2678" s="15" t="s">
        <v>1089</v>
      </c>
      <c r="R2678" s="16" t="s">
        <v>7462</v>
      </c>
      <c r="S2678" s="15" t="s">
        <v>16961</v>
      </c>
      <c r="T2678" s="15" t="s">
        <v>16961</v>
      </c>
      <c r="U2678" s="21" t="s">
        <v>72</v>
      </c>
    </row>
    <row r="2679" customFormat="false" ht="26.85" hidden="false" customHeight="false" outlineLevel="0" collapsed="false">
      <c r="A2679" s="15" t="s">
        <v>14933</v>
      </c>
      <c r="B2679" s="15" t="s">
        <v>14933</v>
      </c>
      <c r="C2679" s="14" t="s">
        <v>16962</v>
      </c>
      <c r="D2679" s="14" t="s">
        <v>16963</v>
      </c>
      <c r="E2679" s="16" t="s">
        <v>16964</v>
      </c>
      <c r="F2679" s="16" t="s">
        <v>16965</v>
      </c>
      <c r="G2679" s="23" t="s">
        <v>43</v>
      </c>
      <c r="H2679" s="18" t="n">
        <v>2</v>
      </c>
      <c r="I2679" s="20" t="n">
        <v>36.28</v>
      </c>
      <c r="J2679" s="20" t="n">
        <v>92.02</v>
      </c>
      <c r="K2679" s="18" t="n">
        <v>7</v>
      </c>
      <c r="L2679" s="18" t="n">
        <v>3</v>
      </c>
      <c r="M2679" s="18" t="n">
        <v>112</v>
      </c>
      <c r="N2679" s="18" t="n">
        <v>90</v>
      </c>
      <c r="O2679" s="14" t="s">
        <v>16966</v>
      </c>
      <c r="P2679" s="14" t="s">
        <v>84</v>
      </c>
      <c r="Q2679" s="15" t="s">
        <v>1089</v>
      </c>
      <c r="R2679" s="16" t="s">
        <v>16967</v>
      </c>
      <c r="S2679" s="15" t="s">
        <v>16527</v>
      </c>
      <c r="T2679" s="15" t="s">
        <v>16968</v>
      </c>
      <c r="U2679" s="21" t="s">
        <v>72</v>
      </c>
    </row>
    <row r="2680" customFormat="false" ht="26.85" hidden="false" customHeight="false" outlineLevel="0" collapsed="false">
      <c r="A2680" s="15" t="s">
        <v>14933</v>
      </c>
      <c r="B2680" s="15" t="s">
        <v>14933</v>
      </c>
      <c r="C2680" s="14" t="s">
        <v>16969</v>
      </c>
      <c r="D2680" s="14" t="s">
        <v>16970</v>
      </c>
      <c r="E2680" s="16" t="s">
        <v>16971</v>
      </c>
      <c r="F2680" s="16" t="s">
        <v>1595</v>
      </c>
      <c r="G2680" s="19" t="s">
        <v>41</v>
      </c>
      <c r="H2680" s="18" t="n">
        <v>5</v>
      </c>
      <c r="I2680" s="20" t="n">
        <v>85.22</v>
      </c>
      <c r="J2680" s="20" t="n">
        <v>195.08</v>
      </c>
      <c r="K2680" s="18" t="n">
        <v>10</v>
      </c>
      <c r="L2680" s="18" t="n">
        <v>7</v>
      </c>
      <c r="M2680" s="18" t="n">
        <v>138</v>
      </c>
      <c r="N2680" s="18" t="n">
        <v>84</v>
      </c>
      <c r="O2680" s="14" t="s">
        <v>16972</v>
      </c>
      <c r="P2680" s="14" t="s">
        <v>84</v>
      </c>
      <c r="Q2680" s="15" t="s">
        <v>1089</v>
      </c>
      <c r="R2680" s="16" t="s">
        <v>16973</v>
      </c>
      <c r="S2680" s="15" t="s">
        <v>16297</v>
      </c>
      <c r="T2680" s="15" t="s">
        <v>16850</v>
      </c>
      <c r="U2680" s="21" t="s">
        <v>72</v>
      </c>
    </row>
    <row r="2681" customFormat="false" ht="15" hidden="false" customHeight="false" outlineLevel="0" collapsed="false">
      <c r="A2681" s="15" t="s">
        <v>14933</v>
      </c>
      <c r="B2681" s="15" t="s">
        <v>14933</v>
      </c>
      <c r="C2681" s="14" t="s">
        <v>16974</v>
      </c>
      <c r="D2681" s="14" t="s">
        <v>16975</v>
      </c>
      <c r="E2681" s="16" t="s">
        <v>16976</v>
      </c>
      <c r="F2681" s="16"/>
      <c r="G2681" s="19" t="s">
        <v>41</v>
      </c>
      <c r="H2681" s="18" t="n">
        <v>3</v>
      </c>
      <c r="I2681" s="20" t="n">
        <v>112.81</v>
      </c>
      <c r="J2681" s="20" t="n">
        <v>302.27</v>
      </c>
      <c r="K2681" s="18" t="n">
        <v>7</v>
      </c>
      <c r="L2681" s="18" t="n">
        <v>3</v>
      </c>
      <c r="M2681" s="18" t="n">
        <v>214</v>
      </c>
      <c r="N2681" s="18" t="n">
        <v>92</v>
      </c>
      <c r="O2681" s="14" t="s">
        <v>16586</v>
      </c>
      <c r="P2681" s="14" t="s">
        <v>118</v>
      </c>
      <c r="Q2681" s="15" t="s">
        <v>1089</v>
      </c>
      <c r="R2681" s="16" t="s">
        <v>16977</v>
      </c>
      <c r="S2681" s="15" t="s">
        <v>16978</v>
      </c>
      <c r="T2681" s="15" t="s">
        <v>16978</v>
      </c>
      <c r="U2681" s="21" t="s">
        <v>72</v>
      </c>
    </row>
    <row r="2682" customFormat="false" ht="15" hidden="false" customHeight="false" outlineLevel="0" collapsed="false">
      <c r="A2682" s="15" t="s">
        <v>14933</v>
      </c>
      <c r="B2682" s="15" t="s">
        <v>14933</v>
      </c>
      <c r="C2682" s="14" t="s">
        <v>16979</v>
      </c>
      <c r="D2682" s="14" t="s">
        <v>16980</v>
      </c>
      <c r="E2682" s="16" t="s">
        <v>16981</v>
      </c>
      <c r="F2682" s="16" t="s">
        <v>16982</v>
      </c>
      <c r="G2682" s="23" t="s">
        <v>43</v>
      </c>
      <c r="H2682" s="18" t="n">
        <v>3</v>
      </c>
      <c r="I2682" s="20" t="n">
        <v>62.19</v>
      </c>
      <c r="J2682" s="20" t="n">
        <v>152.121</v>
      </c>
      <c r="K2682" s="18" t="n">
        <v>6</v>
      </c>
      <c r="L2682" s="18" t="n">
        <v>4</v>
      </c>
      <c r="M2682" s="18" t="n">
        <v>94</v>
      </c>
      <c r="N2682" s="18" t="n">
        <v>60</v>
      </c>
      <c r="O2682" s="14" t="s">
        <v>1126</v>
      </c>
      <c r="P2682" s="14" t="s">
        <v>84</v>
      </c>
      <c r="Q2682" s="15" t="s">
        <v>1089</v>
      </c>
      <c r="R2682" s="16" t="s">
        <v>16983</v>
      </c>
      <c r="S2682" s="15" t="s">
        <v>16984</v>
      </c>
      <c r="T2682" s="15" t="s">
        <v>16985</v>
      </c>
      <c r="U2682" s="21" t="s">
        <v>72</v>
      </c>
    </row>
    <row r="2683" customFormat="false" ht="15" hidden="false" customHeight="false" outlineLevel="0" collapsed="false">
      <c r="A2683" s="15" t="s">
        <v>14933</v>
      </c>
      <c r="B2683" s="15" t="s">
        <v>14933</v>
      </c>
      <c r="C2683" s="14" t="s">
        <v>16986</v>
      </c>
      <c r="D2683" s="14" t="s">
        <v>16987</v>
      </c>
      <c r="E2683" s="16" t="s">
        <v>16988</v>
      </c>
      <c r="F2683" s="16"/>
      <c r="G2683" s="23" t="s">
        <v>43</v>
      </c>
      <c r="H2683" s="18" t="n">
        <v>2</v>
      </c>
      <c r="I2683" s="20" t="n">
        <v>78.8</v>
      </c>
      <c r="J2683" s="20" t="n">
        <v>156.6</v>
      </c>
      <c r="K2683" s="18" t="n">
        <v>11</v>
      </c>
      <c r="L2683" s="18"/>
      <c r="M2683" s="18" t="n">
        <v>352</v>
      </c>
      <c r="N2683" s="18" t="n">
        <v>128</v>
      </c>
      <c r="O2683" s="14" t="s">
        <v>16989</v>
      </c>
      <c r="P2683" s="14" t="s">
        <v>84</v>
      </c>
      <c r="Q2683" s="15" t="s">
        <v>1089</v>
      </c>
      <c r="R2683" s="16" t="s">
        <v>16990</v>
      </c>
      <c r="S2683" s="15" t="s">
        <v>16991</v>
      </c>
      <c r="T2683" s="15" t="s">
        <v>16992</v>
      </c>
      <c r="U2683" s="21" t="s">
        <v>72</v>
      </c>
    </row>
    <row r="2684" customFormat="false" ht="15" hidden="false" customHeight="false" outlineLevel="0" collapsed="false">
      <c r="A2684" s="15" t="s">
        <v>14933</v>
      </c>
      <c r="B2684" s="15" t="s">
        <v>14933</v>
      </c>
      <c r="C2684" s="14" t="s">
        <v>16993</v>
      </c>
      <c r="D2684" s="14" t="s">
        <v>16994</v>
      </c>
      <c r="E2684" s="16" t="s">
        <v>16995</v>
      </c>
      <c r="F2684" s="16" t="s">
        <v>16996</v>
      </c>
      <c r="G2684" s="23" t="s">
        <v>43</v>
      </c>
      <c r="H2684" s="18" t="n">
        <v>2</v>
      </c>
      <c r="I2684" s="20" t="n">
        <v>41.563</v>
      </c>
      <c r="J2684" s="20" t="n">
        <v>134.6</v>
      </c>
      <c r="K2684" s="18" t="n">
        <v>4</v>
      </c>
      <c r="L2684" s="18" t="n">
        <v>2</v>
      </c>
      <c r="M2684" s="18" t="n">
        <v>66</v>
      </c>
      <c r="N2684" s="18" t="n">
        <v>33</v>
      </c>
      <c r="O2684" s="14" t="s">
        <v>16997</v>
      </c>
      <c r="P2684" s="14" t="s">
        <v>84</v>
      </c>
      <c r="Q2684" s="15" t="s">
        <v>1089</v>
      </c>
      <c r="R2684" s="16" t="s">
        <v>16998</v>
      </c>
      <c r="S2684" s="15" t="s">
        <v>16999</v>
      </c>
      <c r="T2684" s="15" t="s">
        <v>16999</v>
      </c>
      <c r="U2684" s="21" t="s">
        <v>72</v>
      </c>
    </row>
    <row r="2685" customFormat="false" ht="15" hidden="false" customHeight="false" outlineLevel="0" collapsed="false">
      <c r="A2685" s="15" t="s">
        <v>14933</v>
      </c>
      <c r="B2685" s="15" t="s">
        <v>14933</v>
      </c>
      <c r="C2685" s="14" t="s">
        <v>17000</v>
      </c>
      <c r="D2685" s="14" t="s">
        <v>17001</v>
      </c>
      <c r="E2685" s="16" t="s">
        <v>17002</v>
      </c>
      <c r="F2685" s="16" t="s">
        <v>17003</v>
      </c>
      <c r="G2685" s="23" t="s">
        <v>43</v>
      </c>
      <c r="H2685" s="18" t="n">
        <v>2</v>
      </c>
      <c r="I2685" s="20" t="n">
        <v>81</v>
      </c>
      <c r="J2685" s="20" t="n">
        <v>177.52</v>
      </c>
      <c r="K2685" s="18" t="n">
        <v>4</v>
      </c>
      <c r="L2685" s="18" t="n">
        <v>2</v>
      </c>
      <c r="M2685" s="18" t="n">
        <v>132</v>
      </c>
      <c r="N2685" s="18" t="n">
        <v>132</v>
      </c>
      <c r="O2685" s="14" t="s">
        <v>1088</v>
      </c>
      <c r="P2685" s="14" t="s">
        <v>84</v>
      </c>
      <c r="Q2685" s="15" t="s">
        <v>1089</v>
      </c>
      <c r="R2685" s="16" t="s">
        <v>8933</v>
      </c>
      <c r="S2685" s="15" t="s">
        <v>17004</v>
      </c>
      <c r="T2685" s="15" t="s">
        <v>17004</v>
      </c>
      <c r="U2685" s="21" t="s">
        <v>72</v>
      </c>
    </row>
    <row r="2686" customFormat="false" ht="15" hidden="false" customHeight="false" outlineLevel="0" collapsed="false">
      <c r="A2686" s="15" t="s">
        <v>14933</v>
      </c>
      <c r="B2686" s="15" t="s">
        <v>14933</v>
      </c>
      <c r="C2686" s="14" t="s">
        <v>17005</v>
      </c>
      <c r="D2686" s="14" t="s">
        <v>17006</v>
      </c>
      <c r="E2686" s="16" t="s">
        <v>17007</v>
      </c>
      <c r="F2686" s="16"/>
      <c r="G2686" s="23" t="s">
        <v>43</v>
      </c>
      <c r="H2686" s="18" t="n">
        <v>4</v>
      </c>
      <c r="I2686" s="20" t="n">
        <v>69.72</v>
      </c>
      <c r="J2686" s="20" t="n">
        <v>140.73</v>
      </c>
      <c r="K2686" s="18" t="n">
        <v>2</v>
      </c>
      <c r="L2686" s="18" t="n">
        <v>1</v>
      </c>
      <c r="M2686" s="18" t="n">
        <v>18</v>
      </c>
      <c r="N2686" s="18" t="n">
        <v>18</v>
      </c>
      <c r="O2686" s="14" t="s">
        <v>17008</v>
      </c>
      <c r="P2686" s="14" t="s">
        <v>84</v>
      </c>
      <c r="Q2686" s="15" t="s">
        <v>1089</v>
      </c>
      <c r="R2686" s="16" t="s">
        <v>17009</v>
      </c>
      <c r="S2686" s="15" t="s">
        <v>17010</v>
      </c>
      <c r="T2686" s="15" t="s">
        <v>17011</v>
      </c>
      <c r="U2686" s="21" t="s">
        <v>72</v>
      </c>
    </row>
    <row r="2687" customFormat="false" ht="15" hidden="false" customHeight="false" outlineLevel="0" collapsed="false">
      <c r="A2687" s="15" t="s">
        <v>14933</v>
      </c>
      <c r="B2687" s="15" t="s">
        <v>14933</v>
      </c>
      <c r="C2687" s="14" t="s">
        <v>17012</v>
      </c>
      <c r="D2687" s="14" t="s">
        <v>17013</v>
      </c>
      <c r="E2687" s="16" t="s">
        <v>17014</v>
      </c>
      <c r="F2687" s="16" t="s">
        <v>17015</v>
      </c>
      <c r="G2687" s="23" t="s">
        <v>43</v>
      </c>
      <c r="H2687" s="18" t="n">
        <v>2</v>
      </c>
      <c r="I2687" s="20" t="n">
        <v>40.78</v>
      </c>
      <c r="J2687" s="20" t="n">
        <v>112.22</v>
      </c>
      <c r="K2687" s="18" t="n">
        <v>8</v>
      </c>
      <c r="L2687" s="18" t="n">
        <v>4</v>
      </c>
      <c r="M2687" s="18" t="n">
        <v>132</v>
      </c>
      <c r="N2687" s="18" t="n">
        <v>46</v>
      </c>
      <c r="O2687" s="14" t="s">
        <v>17016</v>
      </c>
      <c r="P2687" s="14" t="s">
        <v>84</v>
      </c>
      <c r="Q2687" s="15" t="s">
        <v>1089</v>
      </c>
      <c r="R2687" s="16" t="s">
        <v>17017</v>
      </c>
      <c r="S2687" s="15" t="s">
        <v>17018</v>
      </c>
      <c r="T2687" s="15" t="s">
        <v>17019</v>
      </c>
      <c r="U2687" s="21" t="s">
        <v>72</v>
      </c>
    </row>
    <row r="2688" customFormat="false" ht="39.55" hidden="false" customHeight="false" outlineLevel="0" collapsed="false">
      <c r="A2688" s="15" t="s">
        <v>14933</v>
      </c>
      <c r="B2688" s="15" t="s">
        <v>14933</v>
      </c>
      <c r="C2688" s="14" t="s">
        <v>17020</v>
      </c>
      <c r="D2688" s="14" t="s">
        <v>17021</v>
      </c>
      <c r="E2688" s="16" t="s">
        <v>17022</v>
      </c>
      <c r="F2688" s="16" t="s">
        <v>17023</v>
      </c>
      <c r="G2688" s="25" t="s">
        <v>39</v>
      </c>
      <c r="H2688" s="18" t="n">
        <v>8</v>
      </c>
      <c r="I2688" s="20" t="n">
        <v>175.68</v>
      </c>
      <c r="J2688" s="20" t="n">
        <v>320.87</v>
      </c>
      <c r="K2688" s="18" t="n">
        <v>6</v>
      </c>
      <c r="L2688" s="18" t="n">
        <v>10</v>
      </c>
      <c r="M2688" s="18" t="n">
        <v>126</v>
      </c>
      <c r="N2688" s="18" t="n">
        <v>126</v>
      </c>
      <c r="O2688" s="14" t="s">
        <v>17024</v>
      </c>
      <c r="P2688" s="14" t="s">
        <v>84</v>
      </c>
      <c r="Q2688" s="15" t="s">
        <v>1089</v>
      </c>
      <c r="R2688" s="16" t="s">
        <v>3165</v>
      </c>
      <c r="S2688" s="15" t="s">
        <v>17025</v>
      </c>
      <c r="T2688" s="15" t="s">
        <v>17025</v>
      </c>
      <c r="U2688" s="21" t="s">
        <v>72</v>
      </c>
    </row>
    <row r="2689" customFormat="false" ht="15" hidden="false" customHeight="false" outlineLevel="0" collapsed="false">
      <c r="A2689" s="15" t="s">
        <v>14933</v>
      </c>
      <c r="B2689" s="15" t="s">
        <v>14933</v>
      </c>
      <c r="C2689" s="14" t="s">
        <v>17026</v>
      </c>
      <c r="D2689" s="14" t="s">
        <v>17027</v>
      </c>
      <c r="E2689" s="16" t="s">
        <v>17028</v>
      </c>
      <c r="F2689" s="16" t="s">
        <v>17029</v>
      </c>
      <c r="G2689" s="23" t="s">
        <v>43</v>
      </c>
      <c r="H2689" s="18" t="n">
        <v>4</v>
      </c>
      <c r="I2689" s="20" t="n">
        <v>80.82</v>
      </c>
      <c r="J2689" s="20" t="n">
        <v>157.27</v>
      </c>
      <c r="K2689" s="18" t="n">
        <v>6</v>
      </c>
      <c r="L2689" s="18" t="n">
        <v>5</v>
      </c>
      <c r="M2689" s="18" t="n">
        <v>90</v>
      </c>
      <c r="N2689" s="18" t="n">
        <v>90</v>
      </c>
      <c r="O2689" s="14" t="s">
        <v>1126</v>
      </c>
      <c r="P2689" s="14" t="s">
        <v>84</v>
      </c>
      <c r="Q2689" s="15" t="s">
        <v>1089</v>
      </c>
      <c r="R2689" s="16" t="s">
        <v>15150</v>
      </c>
      <c r="S2689" s="15" t="s">
        <v>17030</v>
      </c>
      <c r="T2689" s="15" t="s">
        <v>17030</v>
      </c>
      <c r="U2689" s="21" t="s">
        <v>72</v>
      </c>
    </row>
    <row r="2690" customFormat="false" ht="15" hidden="false" customHeight="false" outlineLevel="0" collapsed="false">
      <c r="A2690" s="15" t="s">
        <v>14933</v>
      </c>
      <c r="B2690" s="15" t="s">
        <v>14933</v>
      </c>
      <c r="C2690" s="14" t="s">
        <v>17031</v>
      </c>
      <c r="D2690" s="14" t="s">
        <v>17032</v>
      </c>
      <c r="E2690" s="16" t="s">
        <v>17033</v>
      </c>
      <c r="F2690" s="16"/>
      <c r="G2690" s="23" t="s">
        <v>43</v>
      </c>
      <c r="H2690" s="18" t="n">
        <v>3</v>
      </c>
      <c r="I2690" s="20" t="n">
        <v>102.51</v>
      </c>
      <c r="J2690" s="20" t="n">
        <v>120.24</v>
      </c>
      <c r="K2690" s="18" t="n">
        <v>3</v>
      </c>
      <c r="L2690" s="18" t="n">
        <v>2</v>
      </c>
      <c r="M2690" s="18" t="n">
        <v>70</v>
      </c>
      <c r="N2690" s="18" t="n">
        <v>50</v>
      </c>
      <c r="O2690" s="14" t="s">
        <v>1126</v>
      </c>
      <c r="P2690" s="14" t="s">
        <v>84</v>
      </c>
      <c r="Q2690" s="15" t="s">
        <v>1089</v>
      </c>
      <c r="R2690" s="16" t="s">
        <v>17034</v>
      </c>
      <c r="S2690" s="15" t="s">
        <v>17035</v>
      </c>
      <c r="T2690" s="15" t="s">
        <v>17036</v>
      </c>
      <c r="U2690" s="21" t="s">
        <v>72</v>
      </c>
    </row>
    <row r="2691" customFormat="false" ht="15" hidden="false" customHeight="false" outlineLevel="0" collapsed="false">
      <c r="A2691" s="15" t="s">
        <v>14933</v>
      </c>
      <c r="B2691" s="15" t="s">
        <v>14933</v>
      </c>
      <c r="C2691" s="14" t="s">
        <v>17037</v>
      </c>
      <c r="D2691" s="14" t="s">
        <v>17038</v>
      </c>
      <c r="E2691" s="16" t="s">
        <v>17039</v>
      </c>
      <c r="F2691" s="16" t="s">
        <v>17040</v>
      </c>
      <c r="G2691" s="23" t="s">
        <v>43</v>
      </c>
      <c r="H2691" s="18" t="n">
        <v>1</v>
      </c>
      <c r="I2691" s="20" t="n">
        <v>30</v>
      </c>
      <c r="J2691" s="20" t="n">
        <v>70</v>
      </c>
      <c r="K2691" s="18" t="n">
        <v>1</v>
      </c>
      <c r="L2691" s="18" t="n">
        <v>2</v>
      </c>
      <c r="M2691" s="18" t="n">
        <v>25</v>
      </c>
      <c r="N2691" s="18" t="n">
        <v>25</v>
      </c>
      <c r="O2691" s="14" t="s">
        <v>1126</v>
      </c>
      <c r="P2691" s="14" t="s">
        <v>84</v>
      </c>
      <c r="Q2691" s="15" t="s">
        <v>1089</v>
      </c>
      <c r="R2691" s="16" t="s">
        <v>17041</v>
      </c>
      <c r="S2691" s="15" t="s">
        <v>17042</v>
      </c>
      <c r="T2691" s="15" t="s">
        <v>17042</v>
      </c>
      <c r="U2691" s="21" t="s">
        <v>72</v>
      </c>
    </row>
    <row r="2692" customFormat="false" ht="15" hidden="false" customHeight="false" outlineLevel="0" collapsed="false">
      <c r="A2692" s="15" t="s">
        <v>14933</v>
      </c>
      <c r="B2692" s="15" t="s">
        <v>14933</v>
      </c>
      <c r="C2692" s="14" t="s">
        <v>17043</v>
      </c>
      <c r="D2692" s="14" t="s">
        <v>17044</v>
      </c>
      <c r="E2692" s="16" t="s">
        <v>17045</v>
      </c>
      <c r="F2692" s="16" t="s">
        <v>17046</v>
      </c>
      <c r="G2692" s="19" t="s">
        <v>41</v>
      </c>
      <c r="H2692" s="18" t="n">
        <v>4</v>
      </c>
      <c r="I2692" s="20" t="n">
        <v>110.14</v>
      </c>
      <c r="J2692" s="20" t="n">
        <v>347.09</v>
      </c>
      <c r="K2692" s="18" t="n">
        <v>3</v>
      </c>
      <c r="L2692" s="18" t="n">
        <v>4</v>
      </c>
      <c r="M2692" s="18" t="n">
        <v>75</v>
      </c>
      <c r="N2692" s="18" t="n">
        <v>75</v>
      </c>
      <c r="O2692" s="14" t="s">
        <v>17047</v>
      </c>
      <c r="P2692" s="14" t="s">
        <v>84</v>
      </c>
      <c r="Q2692" s="15" t="s">
        <v>1089</v>
      </c>
      <c r="R2692" s="16" t="s">
        <v>17048</v>
      </c>
      <c r="S2692" s="15" t="s">
        <v>17049</v>
      </c>
      <c r="T2692" s="15" t="s">
        <v>17049</v>
      </c>
      <c r="U2692" s="21" t="s">
        <v>72</v>
      </c>
    </row>
    <row r="2693" customFormat="false" ht="15" hidden="false" customHeight="false" outlineLevel="0" collapsed="false">
      <c r="A2693" s="15" t="s">
        <v>14933</v>
      </c>
      <c r="B2693" s="15" t="s">
        <v>14933</v>
      </c>
      <c r="C2693" s="14" t="s">
        <v>17050</v>
      </c>
      <c r="D2693" s="14" t="s">
        <v>17051</v>
      </c>
      <c r="E2693" s="16" t="s">
        <v>17052</v>
      </c>
      <c r="F2693" s="16"/>
      <c r="G2693" s="19" t="s">
        <v>41</v>
      </c>
      <c r="H2693" s="18" t="n">
        <v>6</v>
      </c>
      <c r="I2693" s="20" t="n">
        <v>31.83</v>
      </c>
      <c r="J2693" s="20" t="n">
        <v>85.98</v>
      </c>
      <c r="K2693" s="18" t="n">
        <v>4</v>
      </c>
      <c r="L2693" s="18"/>
      <c r="M2693" s="18" t="n">
        <v>20</v>
      </c>
      <c r="N2693" s="18" t="n">
        <v>17</v>
      </c>
      <c r="O2693" s="14" t="s">
        <v>1097</v>
      </c>
      <c r="P2693" s="14" t="s">
        <v>202</v>
      </c>
      <c r="Q2693" s="15" t="s">
        <v>1089</v>
      </c>
      <c r="R2693" s="16" t="s">
        <v>17053</v>
      </c>
      <c r="S2693" s="15" t="s">
        <v>17054</v>
      </c>
      <c r="T2693" s="15" t="s">
        <v>17054</v>
      </c>
      <c r="U2693" s="21" t="s">
        <v>72</v>
      </c>
    </row>
    <row r="2694" customFormat="false" ht="15" hidden="false" customHeight="false" outlineLevel="0" collapsed="false">
      <c r="A2694" s="15" t="s">
        <v>14933</v>
      </c>
      <c r="B2694" s="15" t="s">
        <v>14933</v>
      </c>
      <c r="C2694" s="14" t="s">
        <v>17055</v>
      </c>
      <c r="D2694" s="14" t="s">
        <v>17056</v>
      </c>
      <c r="E2694" s="16" t="s">
        <v>17057</v>
      </c>
      <c r="F2694" s="16" t="s">
        <v>17058</v>
      </c>
      <c r="G2694" s="25" t="s">
        <v>39</v>
      </c>
      <c r="H2694" s="18" t="n">
        <v>10</v>
      </c>
      <c r="I2694" s="20" t="n">
        <v>213.79</v>
      </c>
      <c r="J2694" s="20" t="n">
        <v>213.79</v>
      </c>
      <c r="K2694" s="18" t="n">
        <v>2</v>
      </c>
      <c r="L2694" s="18" t="n">
        <v>3</v>
      </c>
      <c r="M2694" s="18" t="n">
        <v>34</v>
      </c>
      <c r="N2694" s="18" t="n">
        <v>17</v>
      </c>
      <c r="O2694" s="14" t="s">
        <v>1126</v>
      </c>
      <c r="P2694" s="14" t="s">
        <v>202</v>
      </c>
      <c r="Q2694" s="15" t="s">
        <v>1089</v>
      </c>
      <c r="R2694" s="16" t="s">
        <v>17059</v>
      </c>
      <c r="S2694" s="15" t="s">
        <v>17060</v>
      </c>
      <c r="T2694" s="15" t="s">
        <v>17061</v>
      </c>
      <c r="U2694" s="21" t="s">
        <v>72</v>
      </c>
    </row>
    <row r="2695" customFormat="false" ht="39.55" hidden="false" customHeight="false" outlineLevel="0" collapsed="false">
      <c r="A2695" s="15" t="s">
        <v>14933</v>
      </c>
      <c r="B2695" s="15" t="s">
        <v>14933</v>
      </c>
      <c r="C2695" s="14" t="s">
        <v>17062</v>
      </c>
      <c r="D2695" s="14" t="s">
        <v>17063</v>
      </c>
      <c r="E2695" s="16" t="s">
        <v>17064</v>
      </c>
      <c r="F2695" s="16" t="s">
        <v>17065</v>
      </c>
      <c r="G2695" s="25" t="s">
        <v>39</v>
      </c>
      <c r="H2695" s="18" t="n">
        <v>9</v>
      </c>
      <c r="I2695" s="20" t="n">
        <v>265.11</v>
      </c>
      <c r="J2695" s="20" t="n">
        <v>611.62</v>
      </c>
      <c r="K2695" s="18" t="n">
        <v>18</v>
      </c>
      <c r="L2695" s="18" t="n">
        <v>10</v>
      </c>
      <c r="M2695" s="18" t="n">
        <v>430</v>
      </c>
      <c r="N2695" s="18" t="n">
        <v>270</v>
      </c>
      <c r="O2695" s="14" t="s">
        <v>17066</v>
      </c>
      <c r="P2695" s="14" t="s">
        <v>84</v>
      </c>
      <c r="Q2695" s="15" t="s">
        <v>1089</v>
      </c>
      <c r="R2695" s="16" t="s">
        <v>17067</v>
      </c>
      <c r="S2695" s="15" t="s">
        <v>17068</v>
      </c>
      <c r="T2695" s="15" t="s">
        <v>17068</v>
      </c>
      <c r="U2695" s="21" t="s">
        <v>72</v>
      </c>
    </row>
    <row r="2696" customFormat="false" ht="26.85" hidden="false" customHeight="false" outlineLevel="0" collapsed="false">
      <c r="A2696" s="15" t="s">
        <v>14933</v>
      </c>
      <c r="B2696" s="15" t="s">
        <v>14933</v>
      </c>
      <c r="C2696" s="14" t="s">
        <v>17069</v>
      </c>
      <c r="D2696" s="14" t="s">
        <v>17070</v>
      </c>
      <c r="E2696" s="16" t="s">
        <v>17014</v>
      </c>
      <c r="F2696" s="16" t="s">
        <v>17071</v>
      </c>
      <c r="G2696" s="23" t="s">
        <v>43</v>
      </c>
      <c r="H2696" s="18" t="n">
        <v>3</v>
      </c>
      <c r="I2696" s="20" t="n">
        <v>51.58</v>
      </c>
      <c r="J2696" s="20" t="n">
        <v>145.18</v>
      </c>
      <c r="K2696" s="18" t="n">
        <v>5</v>
      </c>
      <c r="L2696" s="18" t="n">
        <v>2</v>
      </c>
      <c r="M2696" s="18" t="n">
        <v>81</v>
      </c>
      <c r="N2696" s="18" t="n">
        <v>81</v>
      </c>
      <c r="O2696" s="14" t="s">
        <v>17072</v>
      </c>
      <c r="P2696" s="14" t="s">
        <v>84</v>
      </c>
      <c r="Q2696" s="15" t="s">
        <v>1089</v>
      </c>
      <c r="R2696" s="16" t="s">
        <v>17073</v>
      </c>
      <c r="S2696" s="15" t="s">
        <v>17074</v>
      </c>
      <c r="T2696" s="15" t="s">
        <v>17074</v>
      </c>
      <c r="U2696" s="21" t="s">
        <v>72</v>
      </c>
    </row>
    <row r="2697" customFormat="false" ht="15" hidden="false" customHeight="false" outlineLevel="0" collapsed="false">
      <c r="A2697" s="15" t="s">
        <v>14933</v>
      </c>
      <c r="B2697" s="15" t="s">
        <v>14933</v>
      </c>
      <c r="C2697" s="14" t="s">
        <v>17075</v>
      </c>
      <c r="D2697" s="14" t="s">
        <v>17076</v>
      </c>
      <c r="E2697" s="16" t="s">
        <v>17077</v>
      </c>
      <c r="F2697" s="16" t="s">
        <v>17078</v>
      </c>
      <c r="G2697" s="19" t="s">
        <v>41</v>
      </c>
      <c r="H2697" s="18" t="n">
        <v>4</v>
      </c>
      <c r="I2697" s="20" t="n">
        <v>124.2</v>
      </c>
      <c r="J2697" s="20" t="n">
        <v>221.49</v>
      </c>
      <c r="K2697" s="18" t="n">
        <v>2</v>
      </c>
      <c r="L2697" s="18" t="n">
        <v>3</v>
      </c>
      <c r="M2697" s="18" t="n">
        <v>28</v>
      </c>
      <c r="N2697" s="18" t="n">
        <v>28</v>
      </c>
      <c r="O2697" s="14" t="s">
        <v>1126</v>
      </c>
      <c r="P2697" s="14" t="s">
        <v>84</v>
      </c>
      <c r="Q2697" s="15" t="s">
        <v>1089</v>
      </c>
      <c r="R2697" s="16" t="s">
        <v>17079</v>
      </c>
      <c r="S2697" s="15" t="s">
        <v>17080</v>
      </c>
      <c r="T2697" s="15" t="s">
        <v>17081</v>
      </c>
      <c r="U2697" s="21" t="s">
        <v>72</v>
      </c>
    </row>
    <row r="2698" customFormat="false" ht="15" hidden="false" customHeight="false" outlineLevel="0" collapsed="false">
      <c r="A2698" s="15" t="s">
        <v>14933</v>
      </c>
      <c r="B2698" s="15" t="s">
        <v>14933</v>
      </c>
      <c r="C2698" s="14" t="s">
        <v>17082</v>
      </c>
      <c r="D2698" s="14" t="s">
        <v>17083</v>
      </c>
      <c r="E2698" s="16" t="s">
        <v>17084</v>
      </c>
      <c r="F2698" s="16" t="s">
        <v>15162</v>
      </c>
      <c r="G2698" s="25" t="s">
        <v>39</v>
      </c>
      <c r="H2698" s="18" t="n">
        <v>17</v>
      </c>
      <c r="I2698" s="20" t="n">
        <v>725.53</v>
      </c>
      <c r="J2698" s="20" t="n">
        <v>1268.02</v>
      </c>
      <c r="K2698" s="18" t="n">
        <v>17</v>
      </c>
      <c r="L2698" s="18" t="n">
        <v>15</v>
      </c>
      <c r="M2698" s="18" t="n">
        <v>357</v>
      </c>
      <c r="N2698" s="18" t="n">
        <v>357</v>
      </c>
      <c r="O2698" s="14" t="s">
        <v>1126</v>
      </c>
      <c r="P2698" s="14" t="s">
        <v>84</v>
      </c>
      <c r="Q2698" s="15" t="s">
        <v>1089</v>
      </c>
      <c r="R2698" s="16" t="s">
        <v>17085</v>
      </c>
      <c r="S2698" s="15" t="s">
        <v>17086</v>
      </c>
      <c r="T2698" s="15" t="s">
        <v>17086</v>
      </c>
      <c r="U2698" s="21" t="s">
        <v>72</v>
      </c>
    </row>
    <row r="2699" customFormat="false" ht="15" hidden="false" customHeight="false" outlineLevel="0" collapsed="false">
      <c r="A2699" s="15" t="s">
        <v>14933</v>
      </c>
      <c r="B2699" s="15" t="s">
        <v>14933</v>
      </c>
      <c r="C2699" s="14" t="s">
        <v>17087</v>
      </c>
      <c r="D2699" s="14" t="s">
        <v>17088</v>
      </c>
      <c r="E2699" s="16" t="s">
        <v>17089</v>
      </c>
      <c r="F2699" s="16"/>
      <c r="G2699" s="19" t="s">
        <v>41</v>
      </c>
      <c r="H2699" s="18" t="n">
        <v>6</v>
      </c>
      <c r="I2699" s="20" t="n">
        <v>96.89</v>
      </c>
      <c r="J2699" s="20" t="n">
        <v>196.88</v>
      </c>
      <c r="K2699" s="18" t="n">
        <v>6</v>
      </c>
      <c r="L2699" s="18" t="n">
        <v>3</v>
      </c>
      <c r="M2699" s="18" t="n">
        <v>72</v>
      </c>
      <c r="N2699" s="18" t="n">
        <v>22</v>
      </c>
      <c r="O2699" s="14" t="s">
        <v>1126</v>
      </c>
      <c r="P2699" s="14" t="s">
        <v>84</v>
      </c>
      <c r="Q2699" s="15" t="s">
        <v>1089</v>
      </c>
      <c r="R2699" s="16" t="s">
        <v>17090</v>
      </c>
      <c r="S2699" s="15" t="s">
        <v>17091</v>
      </c>
      <c r="T2699" s="15" t="s">
        <v>17091</v>
      </c>
      <c r="U2699" s="21" t="s">
        <v>72</v>
      </c>
    </row>
    <row r="2700" customFormat="false" ht="15" hidden="false" customHeight="false" outlineLevel="0" collapsed="false">
      <c r="A2700" s="15" t="s">
        <v>14933</v>
      </c>
      <c r="B2700" s="15" t="s">
        <v>14933</v>
      </c>
      <c r="C2700" s="14" t="s">
        <v>17092</v>
      </c>
      <c r="D2700" s="14" t="s">
        <v>17093</v>
      </c>
      <c r="E2700" s="16" t="s">
        <v>17094</v>
      </c>
      <c r="F2700" s="16" t="s">
        <v>17095</v>
      </c>
      <c r="G2700" s="25" t="s">
        <v>39</v>
      </c>
      <c r="H2700" s="18" t="n">
        <v>14</v>
      </c>
      <c r="I2700" s="20" t="n">
        <v>534.06</v>
      </c>
      <c r="J2700" s="20" t="n">
        <v>1216.61</v>
      </c>
      <c r="K2700" s="18" t="n">
        <v>18</v>
      </c>
      <c r="L2700" s="18" t="n">
        <v>16</v>
      </c>
      <c r="M2700" s="18" t="n">
        <v>684</v>
      </c>
      <c r="N2700" s="18" t="n">
        <v>684</v>
      </c>
      <c r="O2700" s="14" t="s">
        <v>1126</v>
      </c>
      <c r="P2700" s="14" t="s">
        <v>84</v>
      </c>
      <c r="Q2700" s="15" t="s">
        <v>1089</v>
      </c>
      <c r="R2700" s="16" t="s">
        <v>17096</v>
      </c>
      <c r="S2700" s="15" t="s">
        <v>17097</v>
      </c>
      <c r="T2700" s="15" t="s">
        <v>17098</v>
      </c>
      <c r="U2700" s="21" t="s">
        <v>72</v>
      </c>
    </row>
    <row r="2701" customFormat="false" ht="26.85" hidden="false" customHeight="false" outlineLevel="0" collapsed="false">
      <c r="A2701" s="15" t="s">
        <v>14933</v>
      </c>
      <c r="B2701" s="15" t="s">
        <v>14933</v>
      </c>
      <c r="C2701" s="14" t="s">
        <v>17099</v>
      </c>
      <c r="D2701" s="14" t="s">
        <v>17100</v>
      </c>
      <c r="E2701" s="16" t="s">
        <v>17101</v>
      </c>
      <c r="F2701" s="16" t="s">
        <v>17102</v>
      </c>
      <c r="G2701" s="25" t="s">
        <v>39</v>
      </c>
      <c r="H2701" s="18" t="n">
        <v>7</v>
      </c>
      <c r="I2701" s="20" t="n">
        <v>379.67</v>
      </c>
      <c r="J2701" s="20" t="n">
        <v>751.13</v>
      </c>
      <c r="K2701" s="18" t="n">
        <v>14</v>
      </c>
      <c r="L2701" s="18" t="n">
        <v>19</v>
      </c>
      <c r="M2701" s="18" t="n">
        <v>626</v>
      </c>
      <c r="N2701" s="18" t="n">
        <v>626</v>
      </c>
      <c r="O2701" s="14" t="s">
        <v>1126</v>
      </c>
      <c r="P2701" s="14" t="s">
        <v>84</v>
      </c>
      <c r="Q2701" s="15" t="s">
        <v>1089</v>
      </c>
      <c r="R2701" s="16" t="s">
        <v>6638</v>
      </c>
      <c r="S2701" s="15" t="s">
        <v>17103</v>
      </c>
      <c r="T2701" s="15" t="s">
        <v>15163</v>
      </c>
      <c r="U2701" s="21" t="s">
        <v>72</v>
      </c>
    </row>
    <row r="2702" customFormat="false" ht="15" hidden="false" customHeight="false" outlineLevel="0" collapsed="false">
      <c r="A2702" s="15" t="s">
        <v>14933</v>
      </c>
      <c r="B2702" s="15" t="s">
        <v>14933</v>
      </c>
      <c r="C2702" s="14" t="s">
        <v>17104</v>
      </c>
      <c r="D2702" s="14" t="s">
        <v>17105</v>
      </c>
      <c r="E2702" s="16" t="s">
        <v>17106</v>
      </c>
      <c r="F2702" s="16" t="s">
        <v>17107</v>
      </c>
      <c r="G2702" s="25" t="s">
        <v>39</v>
      </c>
      <c r="H2702" s="18" t="n">
        <v>22</v>
      </c>
      <c r="I2702" s="20" t="n">
        <v>1159.93</v>
      </c>
      <c r="J2702" s="20" t="n">
        <v>2939.92</v>
      </c>
      <c r="K2702" s="18" t="n">
        <v>22</v>
      </c>
      <c r="L2702" s="18" t="n">
        <v>37</v>
      </c>
      <c r="M2702" s="18" t="n">
        <v>660</v>
      </c>
      <c r="N2702" s="18" t="n">
        <v>660</v>
      </c>
      <c r="O2702" s="14" t="s">
        <v>1126</v>
      </c>
      <c r="P2702" s="14" t="s">
        <v>84</v>
      </c>
      <c r="Q2702" s="15" t="s">
        <v>1089</v>
      </c>
      <c r="R2702" s="16" t="s">
        <v>17108</v>
      </c>
      <c r="S2702" s="15" t="s">
        <v>17097</v>
      </c>
      <c r="T2702" s="15" t="s">
        <v>17097</v>
      </c>
      <c r="U2702" s="21" t="s">
        <v>72</v>
      </c>
    </row>
    <row r="2703" customFormat="false" ht="15" hidden="false" customHeight="false" outlineLevel="0" collapsed="false">
      <c r="A2703" s="15" t="s">
        <v>14933</v>
      </c>
      <c r="B2703" s="15" t="s">
        <v>14933</v>
      </c>
      <c r="C2703" s="14" t="s">
        <v>17109</v>
      </c>
      <c r="D2703" s="14" t="s">
        <v>17110</v>
      </c>
      <c r="E2703" s="16" t="s">
        <v>17111</v>
      </c>
      <c r="F2703" s="16"/>
      <c r="G2703" s="23" t="s">
        <v>43</v>
      </c>
      <c r="H2703" s="18" t="n">
        <v>2</v>
      </c>
      <c r="I2703" s="20" t="n">
        <v>48.25</v>
      </c>
      <c r="J2703" s="20" t="n">
        <v>193.6</v>
      </c>
      <c r="K2703" s="18" t="n">
        <v>2</v>
      </c>
      <c r="L2703" s="18" t="n">
        <v>2</v>
      </c>
      <c r="M2703" s="18" t="n">
        <v>39</v>
      </c>
      <c r="N2703" s="18" t="n">
        <v>23</v>
      </c>
      <c r="O2703" s="14" t="s">
        <v>1126</v>
      </c>
      <c r="P2703" s="14" t="s">
        <v>202</v>
      </c>
      <c r="Q2703" s="15" t="s">
        <v>1089</v>
      </c>
      <c r="R2703" s="16" t="s">
        <v>17112</v>
      </c>
      <c r="S2703" s="15" t="s">
        <v>17113</v>
      </c>
      <c r="T2703" s="15" t="s">
        <v>17114</v>
      </c>
      <c r="U2703" s="21" t="s">
        <v>72</v>
      </c>
    </row>
    <row r="2704" customFormat="false" ht="15" hidden="false" customHeight="false" outlineLevel="0" collapsed="false">
      <c r="A2704" s="15" t="s">
        <v>14933</v>
      </c>
      <c r="B2704" s="15" t="s">
        <v>14933</v>
      </c>
      <c r="C2704" s="14" t="s">
        <v>17115</v>
      </c>
      <c r="D2704" s="14" t="s">
        <v>17116</v>
      </c>
      <c r="E2704" s="16" t="s">
        <v>17117</v>
      </c>
      <c r="F2704" s="16" t="s">
        <v>17118</v>
      </c>
      <c r="G2704" s="19" t="s">
        <v>41</v>
      </c>
      <c r="H2704" s="18" t="n">
        <v>7</v>
      </c>
      <c r="I2704" s="20" t="n">
        <v>183.6</v>
      </c>
      <c r="J2704" s="20" t="n">
        <v>294.51</v>
      </c>
      <c r="K2704" s="18" t="n">
        <v>13</v>
      </c>
      <c r="L2704" s="18" t="n">
        <v>3</v>
      </c>
      <c r="M2704" s="18" t="n">
        <v>272</v>
      </c>
      <c r="N2704" s="18" t="n">
        <v>64</v>
      </c>
      <c r="O2704" s="14" t="s">
        <v>16209</v>
      </c>
      <c r="P2704" s="14" t="s">
        <v>84</v>
      </c>
      <c r="Q2704" s="15" t="s">
        <v>1089</v>
      </c>
      <c r="R2704" s="16" t="s">
        <v>10347</v>
      </c>
      <c r="S2704" s="15" t="s">
        <v>17119</v>
      </c>
      <c r="T2704" s="15" t="s">
        <v>17120</v>
      </c>
      <c r="U2704" s="21" t="s">
        <v>72</v>
      </c>
    </row>
    <row r="2705" customFormat="false" ht="15" hidden="false" customHeight="false" outlineLevel="0" collapsed="false">
      <c r="A2705" s="15" t="s">
        <v>14933</v>
      </c>
      <c r="B2705" s="15" t="s">
        <v>14933</v>
      </c>
      <c r="C2705" s="14" t="s">
        <v>17121</v>
      </c>
      <c r="D2705" s="14" t="s">
        <v>17122</v>
      </c>
      <c r="E2705" s="16" t="s">
        <v>17123</v>
      </c>
      <c r="F2705" s="16" t="s">
        <v>17124</v>
      </c>
      <c r="G2705" s="19" t="s">
        <v>41</v>
      </c>
      <c r="H2705" s="18" t="n">
        <v>5</v>
      </c>
      <c r="I2705" s="20" t="n">
        <v>30</v>
      </c>
      <c r="J2705" s="20" t="n">
        <v>198.7</v>
      </c>
      <c r="K2705" s="18" t="n">
        <v>3</v>
      </c>
      <c r="L2705" s="18" t="n">
        <v>2</v>
      </c>
      <c r="M2705" s="18" t="n">
        <v>72</v>
      </c>
      <c r="N2705" s="18" t="n">
        <v>72</v>
      </c>
      <c r="O2705" s="14" t="s">
        <v>1088</v>
      </c>
      <c r="P2705" s="14" t="s">
        <v>84</v>
      </c>
      <c r="Q2705" s="15" t="s">
        <v>1089</v>
      </c>
      <c r="R2705" s="16" t="s">
        <v>17125</v>
      </c>
      <c r="S2705" s="15" t="s">
        <v>17126</v>
      </c>
      <c r="T2705" s="15" t="s">
        <v>17126</v>
      </c>
      <c r="U2705" s="21" t="s">
        <v>72</v>
      </c>
    </row>
    <row r="2706" customFormat="false" ht="15" hidden="false" customHeight="false" outlineLevel="0" collapsed="false">
      <c r="A2706" s="15" t="s">
        <v>14933</v>
      </c>
      <c r="B2706" s="15" t="s">
        <v>14933</v>
      </c>
      <c r="C2706" s="14" t="s">
        <v>17127</v>
      </c>
      <c r="D2706" s="14" t="s">
        <v>17128</v>
      </c>
      <c r="E2706" s="16" t="s">
        <v>17129</v>
      </c>
      <c r="F2706" s="16" t="s">
        <v>17130</v>
      </c>
      <c r="G2706" s="23" t="s">
        <v>43</v>
      </c>
      <c r="H2706" s="18" t="n">
        <v>2</v>
      </c>
      <c r="I2706" s="20" t="n">
        <v>64.08</v>
      </c>
      <c r="J2706" s="20" t="n">
        <v>135.07</v>
      </c>
      <c r="K2706" s="18" t="n">
        <v>2</v>
      </c>
      <c r="L2706" s="18" t="n">
        <v>1</v>
      </c>
      <c r="M2706" s="18" t="n">
        <v>52</v>
      </c>
      <c r="N2706" s="18" t="n">
        <v>52</v>
      </c>
      <c r="O2706" s="14" t="s">
        <v>1126</v>
      </c>
      <c r="P2706" s="14" t="s">
        <v>84</v>
      </c>
      <c r="Q2706" s="15" t="s">
        <v>1089</v>
      </c>
      <c r="R2706" s="16" t="s">
        <v>17131</v>
      </c>
      <c r="S2706" s="15" t="s">
        <v>17132</v>
      </c>
      <c r="T2706" s="15" t="s">
        <v>17132</v>
      </c>
      <c r="U2706" s="21" t="s">
        <v>72</v>
      </c>
    </row>
    <row r="2707" customFormat="false" ht="26.85" hidden="false" customHeight="false" outlineLevel="0" collapsed="false">
      <c r="A2707" s="15" t="s">
        <v>14933</v>
      </c>
      <c r="B2707" s="15" t="s">
        <v>14933</v>
      </c>
      <c r="C2707" s="14" t="s">
        <v>17133</v>
      </c>
      <c r="D2707" s="14" t="s">
        <v>17134</v>
      </c>
      <c r="E2707" s="16" t="s">
        <v>17135</v>
      </c>
      <c r="F2707" s="16" t="s">
        <v>17136</v>
      </c>
      <c r="G2707" s="23" t="s">
        <v>43</v>
      </c>
      <c r="H2707" s="18" t="n">
        <v>3</v>
      </c>
      <c r="I2707" s="20" t="n">
        <v>57.72</v>
      </c>
      <c r="J2707" s="20" t="n">
        <v>133.3</v>
      </c>
      <c r="K2707" s="18" t="n">
        <v>10</v>
      </c>
      <c r="L2707" s="18"/>
      <c r="M2707" s="18" t="n">
        <v>172</v>
      </c>
      <c r="N2707" s="18" t="n">
        <v>72</v>
      </c>
      <c r="O2707" s="14" t="s">
        <v>17137</v>
      </c>
      <c r="P2707" s="14" t="s">
        <v>84</v>
      </c>
      <c r="Q2707" s="15" t="s">
        <v>1089</v>
      </c>
      <c r="R2707" s="16" t="s">
        <v>8177</v>
      </c>
      <c r="S2707" s="15" t="s">
        <v>17138</v>
      </c>
      <c r="T2707" s="15" t="s">
        <v>17138</v>
      </c>
      <c r="U2707" s="21" t="s">
        <v>72</v>
      </c>
    </row>
    <row r="2708" customFormat="false" ht="15" hidden="false" customHeight="false" outlineLevel="0" collapsed="false">
      <c r="A2708" s="15" t="s">
        <v>14933</v>
      </c>
      <c r="B2708" s="15" t="s">
        <v>14933</v>
      </c>
      <c r="C2708" s="14" t="s">
        <v>17139</v>
      </c>
      <c r="D2708" s="14" t="s">
        <v>17140</v>
      </c>
      <c r="E2708" s="16" t="s">
        <v>17141</v>
      </c>
      <c r="F2708" s="16" t="s">
        <v>17142</v>
      </c>
      <c r="G2708" s="19" t="s">
        <v>41</v>
      </c>
      <c r="H2708" s="18" t="n">
        <v>4</v>
      </c>
      <c r="I2708" s="20" t="n">
        <v>159.357</v>
      </c>
      <c r="J2708" s="20" t="n">
        <v>331.44</v>
      </c>
      <c r="K2708" s="18" t="n">
        <v>5</v>
      </c>
      <c r="L2708" s="18" t="n">
        <v>9</v>
      </c>
      <c r="M2708" s="18" t="n">
        <v>100</v>
      </c>
      <c r="N2708" s="18" t="n">
        <v>80</v>
      </c>
      <c r="O2708" s="14" t="s">
        <v>15098</v>
      </c>
      <c r="P2708" s="14" t="s">
        <v>84</v>
      </c>
      <c r="Q2708" s="15" t="s">
        <v>1089</v>
      </c>
      <c r="R2708" s="16" t="s">
        <v>17143</v>
      </c>
      <c r="S2708" s="15" t="s">
        <v>17144</v>
      </c>
      <c r="T2708" s="15" t="s">
        <v>17144</v>
      </c>
      <c r="U2708" s="21" t="s">
        <v>72</v>
      </c>
    </row>
    <row r="2709" customFormat="false" ht="39.55" hidden="false" customHeight="false" outlineLevel="0" collapsed="false">
      <c r="A2709" s="15" t="s">
        <v>14933</v>
      </c>
      <c r="B2709" s="15" t="s">
        <v>14933</v>
      </c>
      <c r="C2709" s="14" t="s">
        <v>17145</v>
      </c>
      <c r="D2709" s="14" t="s">
        <v>17146</v>
      </c>
      <c r="E2709" s="16" t="s">
        <v>17147</v>
      </c>
      <c r="F2709" s="16" t="s">
        <v>17148</v>
      </c>
      <c r="G2709" s="25" t="s">
        <v>39</v>
      </c>
      <c r="H2709" s="18" t="n">
        <v>14</v>
      </c>
      <c r="I2709" s="20" t="n">
        <v>311.48</v>
      </c>
      <c r="J2709" s="20" t="n">
        <v>611.77</v>
      </c>
      <c r="K2709" s="18" t="n">
        <v>22</v>
      </c>
      <c r="L2709" s="18" t="n">
        <v>14</v>
      </c>
      <c r="M2709" s="18" t="n">
        <v>412</v>
      </c>
      <c r="N2709" s="18" t="n">
        <v>141</v>
      </c>
      <c r="O2709" s="14" t="s">
        <v>17149</v>
      </c>
      <c r="P2709" s="14" t="s">
        <v>84</v>
      </c>
      <c r="Q2709" s="15" t="s">
        <v>1089</v>
      </c>
      <c r="R2709" s="16" t="s">
        <v>17150</v>
      </c>
      <c r="S2709" s="15" t="s">
        <v>17151</v>
      </c>
      <c r="T2709" s="15" t="s">
        <v>17152</v>
      </c>
      <c r="U2709" s="21" t="s">
        <v>72</v>
      </c>
    </row>
    <row r="2710" customFormat="false" ht="15" hidden="false" customHeight="false" outlineLevel="0" collapsed="false">
      <c r="A2710" s="15" t="s">
        <v>14933</v>
      </c>
      <c r="B2710" s="15" t="s">
        <v>14933</v>
      </c>
      <c r="C2710" s="14" t="s">
        <v>17153</v>
      </c>
      <c r="D2710" s="14" t="s">
        <v>17154</v>
      </c>
      <c r="E2710" s="16" t="s">
        <v>17155</v>
      </c>
      <c r="F2710" s="16"/>
      <c r="G2710" s="23" t="s">
        <v>43</v>
      </c>
      <c r="H2710" s="18" t="n">
        <v>2</v>
      </c>
      <c r="I2710" s="20" t="n">
        <v>95.9</v>
      </c>
      <c r="J2710" s="20" t="n">
        <v>189.82</v>
      </c>
      <c r="K2710" s="18" t="n">
        <v>3</v>
      </c>
      <c r="L2710" s="18" t="n">
        <v>3</v>
      </c>
      <c r="M2710" s="18" t="n">
        <v>75</v>
      </c>
      <c r="N2710" s="18" t="n">
        <v>75</v>
      </c>
      <c r="O2710" s="14" t="s">
        <v>1126</v>
      </c>
      <c r="P2710" s="14" t="s">
        <v>84</v>
      </c>
      <c r="Q2710" s="15" t="s">
        <v>1089</v>
      </c>
      <c r="R2710" s="16" t="s">
        <v>17156</v>
      </c>
      <c r="S2710" s="15" t="s">
        <v>17157</v>
      </c>
      <c r="T2710" s="15" t="s">
        <v>17158</v>
      </c>
      <c r="U2710" s="21" t="s">
        <v>72</v>
      </c>
    </row>
    <row r="2711" customFormat="false" ht="26.85" hidden="false" customHeight="false" outlineLevel="0" collapsed="false">
      <c r="A2711" s="15" t="s">
        <v>14933</v>
      </c>
      <c r="B2711" s="15" t="s">
        <v>14933</v>
      </c>
      <c r="C2711" s="14" t="s">
        <v>17159</v>
      </c>
      <c r="D2711" s="14" t="s">
        <v>17160</v>
      </c>
      <c r="E2711" s="16" t="s">
        <v>17161</v>
      </c>
      <c r="F2711" s="16" t="s">
        <v>17162</v>
      </c>
      <c r="G2711" s="19" t="s">
        <v>41</v>
      </c>
      <c r="H2711" s="18" t="n">
        <v>7</v>
      </c>
      <c r="I2711" s="20" t="n">
        <v>337.55</v>
      </c>
      <c r="J2711" s="20" t="n">
        <v>70</v>
      </c>
      <c r="K2711" s="18" t="n">
        <v>5</v>
      </c>
      <c r="L2711" s="18" t="n">
        <v>5</v>
      </c>
      <c r="M2711" s="18" t="n">
        <v>90</v>
      </c>
      <c r="N2711" s="18" t="n">
        <v>90</v>
      </c>
      <c r="O2711" s="14" t="s">
        <v>16114</v>
      </c>
      <c r="P2711" s="14" t="s">
        <v>84</v>
      </c>
      <c r="Q2711" s="15" t="s">
        <v>1089</v>
      </c>
      <c r="R2711" s="16" t="s">
        <v>17163</v>
      </c>
      <c r="S2711" s="15" t="s">
        <v>17164</v>
      </c>
      <c r="T2711" s="15" t="s">
        <v>17165</v>
      </c>
      <c r="U2711" s="21" t="s">
        <v>72</v>
      </c>
    </row>
    <row r="2712" customFormat="false" ht="15" hidden="false" customHeight="false" outlineLevel="0" collapsed="false">
      <c r="A2712" s="15" t="s">
        <v>14933</v>
      </c>
      <c r="B2712" s="15" t="s">
        <v>14933</v>
      </c>
      <c r="C2712" s="14" t="s">
        <v>17166</v>
      </c>
      <c r="D2712" s="14" t="s">
        <v>17167</v>
      </c>
      <c r="E2712" s="16" t="s">
        <v>17168</v>
      </c>
      <c r="F2712" s="16"/>
      <c r="G2712" s="23" t="s">
        <v>43</v>
      </c>
      <c r="H2712" s="18" t="n">
        <v>1</v>
      </c>
      <c r="I2712" s="20" t="n">
        <v>31.07</v>
      </c>
      <c r="J2712" s="20" t="n">
        <v>77.93</v>
      </c>
      <c r="K2712" s="18" t="n">
        <v>2</v>
      </c>
      <c r="L2712" s="18" t="n">
        <v>1</v>
      </c>
      <c r="M2712" s="18" t="n">
        <v>42</v>
      </c>
      <c r="N2712" s="18" t="n">
        <v>42</v>
      </c>
      <c r="O2712" s="14" t="s">
        <v>1126</v>
      </c>
      <c r="P2712" s="14" t="s">
        <v>84</v>
      </c>
      <c r="Q2712" s="15" t="s">
        <v>1089</v>
      </c>
      <c r="R2712" s="16" t="s">
        <v>6609</v>
      </c>
      <c r="S2712" s="15" t="s">
        <v>17169</v>
      </c>
      <c r="T2712" s="15" t="s">
        <v>17170</v>
      </c>
      <c r="U2712" s="21" t="s">
        <v>72</v>
      </c>
    </row>
    <row r="2713" customFormat="false" ht="15" hidden="false" customHeight="false" outlineLevel="0" collapsed="false">
      <c r="A2713" s="15" t="s">
        <v>14933</v>
      </c>
      <c r="B2713" s="15" t="s">
        <v>14933</v>
      </c>
      <c r="C2713" s="14" t="s">
        <v>17171</v>
      </c>
      <c r="D2713" s="14" t="s">
        <v>17172</v>
      </c>
      <c r="E2713" s="16" t="s">
        <v>17173</v>
      </c>
      <c r="F2713" s="16"/>
      <c r="G2713" s="23" t="s">
        <v>43</v>
      </c>
      <c r="H2713" s="18" t="n">
        <v>1</v>
      </c>
      <c r="I2713" s="20" t="n">
        <v>30</v>
      </c>
      <c r="J2713" s="20" t="n">
        <v>139.8</v>
      </c>
      <c r="K2713" s="18" t="n">
        <v>2</v>
      </c>
      <c r="L2713" s="18" t="n">
        <v>1</v>
      </c>
      <c r="M2713" s="18" t="n">
        <v>30</v>
      </c>
      <c r="N2713" s="18" t="n">
        <v>30</v>
      </c>
      <c r="O2713" s="14" t="s">
        <v>17174</v>
      </c>
      <c r="P2713" s="14" t="s">
        <v>84</v>
      </c>
      <c r="Q2713" s="15" t="s">
        <v>1089</v>
      </c>
      <c r="R2713" s="16" t="s">
        <v>17175</v>
      </c>
      <c r="S2713" s="15" t="s">
        <v>17176</v>
      </c>
      <c r="T2713" s="15" t="s">
        <v>17176</v>
      </c>
      <c r="U2713" s="21" t="s">
        <v>72</v>
      </c>
    </row>
    <row r="2714" customFormat="false" ht="26.85" hidden="false" customHeight="false" outlineLevel="0" collapsed="false">
      <c r="A2714" s="15" t="s">
        <v>14933</v>
      </c>
      <c r="B2714" s="15" t="s">
        <v>14933</v>
      </c>
      <c r="C2714" s="14" t="s">
        <v>17177</v>
      </c>
      <c r="D2714" s="14" t="s">
        <v>17178</v>
      </c>
      <c r="E2714" s="16" t="s">
        <v>17179</v>
      </c>
      <c r="F2714" s="16" t="s">
        <v>17180</v>
      </c>
      <c r="G2714" s="23" t="s">
        <v>43</v>
      </c>
      <c r="H2714" s="18" t="n">
        <v>3</v>
      </c>
      <c r="I2714" s="20" t="n">
        <v>62.84</v>
      </c>
      <c r="J2714" s="20" t="n">
        <v>105.6</v>
      </c>
      <c r="K2714" s="18" t="n">
        <v>6</v>
      </c>
      <c r="L2714" s="18" t="n">
        <v>4</v>
      </c>
      <c r="M2714" s="18" t="n">
        <v>103</v>
      </c>
      <c r="N2714" s="18" t="n">
        <v>98</v>
      </c>
      <c r="O2714" s="14" t="s">
        <v>17181</v>
      </c>
      <c r="P2714" s="14" t="s">
        <v>1185</v>
      </c>
      <c r="Q2714" s="15" t="s">
        <v>1089</v>
      </c>
      <c r="R2714" s="16" t="s">
        <v>17182</v>
      </c>
      <c r="S2714" s="15" t="s">
        <v>17183</v>
      </c>
      <c r="T2714" s="15" t="s">
        <v>17183</v>
      </c>
      <c r="U2714" s="21" t="s">
        <v>72</v>
      </c>
    </row>
    <row r="2715" customFormat="false" ht="15" hidden="false" customHeight="false" outlineLevel="0" collapsed="false">
      <c r="A2715" s="15" t="s">
        <v>14933</v>
      </c>
      <c r="B2715" s="15" t="s">
        <v>14933</v>
      </c>
      <c r="C2715" s="14" t="s">
        <v>17184</v>
      </c>
      <c r="D2715" s="14" t="s">
        <v>17185</v>
      </c>
      <c r="E2715" s="16" t="s">
        <v>17186</v>
      </c>
      <c r="F2715" s="16"/>
      <c r="G2715" s="23" t="s">
        <v>43</v>
      </c>
      <c r="H2715" s="18" t="n">
        <v>2</v>
      </c>
      <c r="I2715" s="20" t="n">
        <v>45.24</v>
      </c>
      <c r="J2715" s="20" t="n">
        <v>117.45</v>
      </c>
      <c r="K2715" s="18" t="n">
        <v>6</v>
      </c>
      <c r="L2715" s="18" t="n">
        <v>2</v>
      </c>
      <c r="M2715" s="18" t="n">
        <v>108</v>
      </c>
      <c r="N2715" s="18" t="n">
        <v>36</v>
      </c>
      <c r="O2715" s="14" t="s">
        <v>16708</v>
      </c>
      <c r="P2715" s="14" t="s">
        <v>84</v>
      </c>
      <c r="Q2715" s="15" t="s">
        <v>1089</v>
      </c>
      <c r="R2715" s="16" t="s">
        <v>17187</v>
      </c>
      <c r="S2715" s="15" t="s">
        <v>17188</v>
      </c>
      <c r="T2715" s="15" t="s">
        <v>17188</v>
      </c>
      <c r="U2715" s="21" t="s">
        <v>72</v>
      </c>
    </row>
    <row r="2716" customFormat="false" ht="15" hidden="false" customHeight="false" outlineLevel="0" collapsed="false">
      <c r="A2716" s="15" t="s">
        <v>14933</v>
      </c>
      <c r="B2716" s="15" t="s">
        <v>14933</v>
      </c>
      <c r="C2716" s="14" t="s">
        <v>17189</v>
      </c>
      <c r="D2716" s="14" t="s">
        <v>17190</v>
      </c>
      <c r="E2716" s="16" t="s">
        <v>17191</v>
      </c>
      <c r="F2716" s="16"/>
      <c r="G2716" s="25" t="s">
        <v>39</v>
      </c>
      <c r="H2716" s="18" t="n">
        <v>8</v>
      </c>
      <c r="I2716" s="20" t="n">
        <v>81.81</v>
      </c>
      <c r="J2716" s="20" t="n">
        <v>245</v>
      </c>
      <c r="K2716" s="18" t="n">
        <v>4</v>
      </c>
      <c r="L2716" s="18" t="n">
        <v>3</v>
      </c>
      <c r="M2716" s="18" t="n">
        <v>42</v>
      </c>
      <c r="N2716" s="18" t="n">
        <v>18</v>
      </c>
      <c r="O2716" s="14" t="s">
        <v>1126</v>
      </c>
      <c r="P2716" s="14" t="s">
        <v>202</v>
      </c>
      <c r="Q2716" s="15" t="s">
        <v>1089</v>
      </c>
      <c r="R2716" s="16" t="s">
        <v>10632</v>
      </c>
      <c r="S2716" s="15" t="s">
        <v>17192</v>
      </c>
      <c r="T2716" s="15" t="s">
        <v>17193</v>
      </c>
      <c r="U2716" s="21" t="s">
        <v>72</v>
      </c>
    </row>
    <row r="2717" customFormat="false" ht="15" hidden="false" customHeight="false" outlineLevel="0" collapsed="false">
      <c r="A2717" s="15" t="s">
        <v>14933</v>
      </c>
      <c r="B2717" s="15" t="s">
        <v>14933</v>
      </c>
      <c r="C2717" s="14" t="s">
        <v>17194</v>
      </c>
      <c r="D2717" s="14" t="s">
        <v>17195</v>
      </c>
      <c r="E2717" s="16" t="s">
        <v>17196</v>
      </c>
      <c r="F2717" s="16"/>
      <c r="G2717" s="23" t="s">
        <v>43</v>
      </c>
      <c r="H2717" s="18" t="n">
        <v>3</v>
      </c>
      <c r="I2717" s="20" t="n">
        <v>48.72</v>
      </c>
      <c r="J2717" s="20" t="n">
        <v>126.31</v>
      </c>
      <c r="K2717" s="18" t="n">
        <v>3</v>
      </c>
      <c r="L2717" s="18"/>
      <c r="M2717" s="18" t="n">
        <v>39</v>
      </c>
      <c r="N2717" s="18" t="n">
        <v>14</v>
      </c>
      <c r="O2717" s="14" t="s">
        <v>17197</v>
      </c>
      <c r="P2717" s="14" t="s">
        <v>84</v>
      </c>
      <c r="Q2717" s="15" t="s">
        <v>1089</v>
      </c>
      <c r="R2717" s="16" t="s">
        <v>17198</v>
      </c>
      <c r="S2717" s="15" t="s">
        <v>17199</v>
      </c>
      <c r="T2717" s="15" t="s">
        <v>17199</v>
      </c>
      <c r="U2717" s="21" t="s">
        <v>72</v>
      </c>
    </row>
    <row r="2718" customFormat="false" ht="39.55" hidden="false" customHeight="false" outlineLevel="0" collapsed="false">
      <c r="A2718" s="15" t="s">
        <v>14933</v>
      </c>
      <c r="B2718" s="15" t="s">
        <v>14933</v>
      </c>
      <c r="C2718" s="14" t="s">
        <v>17200</v>
      </c>
      <c r="D2718" s="14" t="s">
        <v>17201</v>
      </c>
      <c r="E2718" s="16" t="s">
        <v>17202</v>
      </c>
      <c r="F2718" s="16" t="s">
        <v>17203</v>
      </c>
      <c r="G2718" s="23" t="s">
        <v>43</v>
      </c>
      <c r="H2718" s="18" t="n">
        <v>2</v>
      </c>
      <c r="I2718" s="20" t="n">
        <v>80.5</v>
      </c>
      <c r="J2718" s="20" t="n">
        <v>151.49</v>
      </c>
      <c r="K2718" s="18" t="n">
        <v>3</v>
      </c>
      <c r="L2718" s="18" t="n">
        <v>2</v>
      </c>
      <c r="M2718" s="18" t="n">
        <v>99</v>
      </c>
      <c r="N2718" s="18" t="n">
        <v>99</v>
      </c>
      <c r="O2718" s="14" t="s">
        <v>1126</v>
      </c>
      <c r="P2718" s="14" t="s">
        <v>84</v>
      </c>
      <c r="Q2718" s="15" t="s">
        <v>1089</v>
      </c>
      <c r="R2718" s="16" t="s">
        <v>5054</v>
      </c>
      <c r="S2718" s="15" t="s">
        <v>17204</v>
      </c>
      <c r="T2718" s="15" t="s">
        <v>17204</v>
      </c>
      <c r="U2718" s="21" t="s">
        <v>72</v>
      </c>
    </row>
    <row r="2719" customFormat="false" ht="15" hidden="false" customHeight="false" outlineLevel="0" collapsed="false">
      <c r="A2719" s="15" t="s">
        <v>14933</v>
      </c>
      <c r="B2719" s="15" t="s">
        <v>14933</v>
      </c>
      <c r="C2719" s="14" t="s">
        <v>17205</v>
      </c>
      <c r="D2719" s="14" t="s">
        <v>17206</v>
      </c>
      <c r="E2719" s="16" t="s">
        <v>17207</v>
      </c>
      <c r="F2719" s="16" t="s">
        <v>17208</v>
      </c>
      <c r="G2719" s="23" t="s">
        <v>43</v>
      </c>
      <c r="H2719" s="18" t="n">
        <v>2</v>
      </c>
      <c r="I2719" s="20" t="n">
        <v>31.44</v>
      </c>
      <c r="J2719" s="20" t="n">
        <v>138.46</v>
      </c>
      <c r="K2719" s="18" t="n">
        <v>4</v>
      </c>
      <c r="L2719" s="18" t="n">
        <v>2</v>
      </c>
      <c r="M2719" s="18" t="n">
        <v>50</v>
      </c>
      <c r="N2719" s="18" t="n">
        <v>30</v>
      </c>
      <c r="O2719" s="14" t="s">
        <v>16997</v>
      </c>
      <c r="P2719" s="14" t="s">
        <v>84</v>
      </c>
      <c r="Q2719" s="15" t="s">
        <v>1089</v>
      </c>
      <c r="R2719" s="16" t="s">
        <v>17209</v>
      </c>
      <c r="S2719" s="15" t="s">
        <v>17210</v>
      </c>
      <c r="T2719" s="15" t="s">
        <v>17210</v>
      </c>
      <c r="U2719" s="21" t="s">
        <v>72</v>
      </c>
    </row>
    <row r="2720" customFormat="false" ht="15" hidden="false" customHeight="false" outlineLevel="0" collapsed="false">
      <c r="A2720" s="15" t="s">
        <v>14933</v>
      </c>
      <c r="B2720" s="15" t="s">
        <v>14933</v>
      </c>
      <c r="C2720" s="14" t="s">
        <v>17211</v>
      </c>
      <c r="D2720" s="14" t="s">
        <v>17212</v>
      </c>
      <c r="E2720" s="16" t="s">
        <v>17213</v>
      </c>
      <c r="F2720" s="16" t="s">
        <v>17214</v>
      </c>
      <c r="G2720" s="25" t="s">
        <v>39</v>
      </c>
      <c r="H2720" s="18" t="n">
        <v>8</v>
      </c>
      <c r="I2720" s="20" t="n">
        <v>109.9</v>
      </c>
      <c r="J2720" s="20" t="n">
        <v>360.72</v>
      </c>
      <c r="K2720" s="18" t="n">
        <v>8</v>
      </c>
      <c r="L2720" s="18" t="n">
        <v>4</v>
      </c>
      <c r="M2720" s="18" t="n">
        <v>208</v>
      </c>
      <c r="N2720" s="18" t="n">
        <v>208</v>
      </c>
      <c r="O2720" s="14" t="s">
        <v>1097</v>
      </c>
      <c r="P2720" s="14" t="s">
        <v>84</v>
      </c>
      <c r="Q2720" s="15" t="s">
        <v>1089</v>
      </c>
      <c r="R2720" s="16" t="s">
        <v>17215</v>
      </c>
      <c r="S2720" s="15" t="s">
        <v>17216</v>
      </c>
      <c r="T2720" s="15" t="s">
        <v>17217</v>
      </c>
      <c r="U2720" s="21" t="s">
        <v>72</v>
      </c>
    </row>
    <row r="2721" customFormat="false" ht="15" hidden="false" customHeight="false" outlineLevel="0" collapsed="false">
      <c r="A2721" s="15" t="s">
        <v>14933</v>
      </c>
      <c r="B2721" s="15" t="s">
        <v>14933</v>
      </c>
      <c r="C2721" s="14" t="s">
        <v>17218</v>
      </c>
      <c r="D2721" s="14" t="s">
        <v>17219</v>
      </c>
      <c r="E2721" s="16" t="s">
        <v>17220</v>
      </c>
      <c r="F2721" s="16"/>
      <c r="G2721" s="23" t="s">
        <v>43</v>
      </c>
      <c r="H2721" s="18" t="n">
        <v>1</v>
      </c>
      <c r="I2721" s="20" t="n">
        <v>35.67</v>
      </c>
      <c r="J2721" s="20" t="n">
        <v>71.44</v>
      </c>
      <c r="K2721" s="18" t="n">
        <v>1</v>
      </c>
      <c r="L2721" s="18" t="n">
        <v>2</v>
      </c>
      <c r="M2721" s="18" t="n">
        <v>25</v>
      </c>
      <c r="N2721" s="18" t="n">
        <v>25</v>
      </c>
      <c r="O2721" s="14" t="s">
        <v>1126</v>
      </c>
      <c r="P2721" s="14" t="s">
        <v>84</v>
      </c>
      <c r="Q2721" s="15" t="s">
        <v>1089</v>
      </c>
      <c r="R2721" s="16" t="s">
        <v>17221</v>
      </c>
      <c r="S2721" s="15" t="s">
        <v>17222</v>
      </c>
      <c r="T2721" s="15" t="s">
        <v>17222</v>
      </c>
      <c r="U2721" s="21" t="s">
        <v>72</v>
      </c>
    </row>
    <row r="2722" customFormat="false" ht="15" hidden="false" customHeight="false" outlineLevel="0" collapsed="false">
      <c r="A2722" s="15" t="s">
        <v>14933</v>
      </c>
      <c r="B2722" s="15" t="s">
        <v>14933</v>
      </c>
      <c r="C2722" s="14" t="s">
        <v>17223</v>
      </c>
      <c r="D2722" s="14" t="s">
        <v>17224</v>
      </c>
      <c r="E2722" s="16" t="s">
        <v>17225</v>
      </c>
      <c r="F2722" s="16" t="s">
        <v>17226</v>
      </c>
      <c r="G2722" s="19" t="s">
        <v>41</v>
      </c>
      <c r="H2722" s="18" t="n">
        <v>4</v>
      </c>
      <c r="I2722" s="20" t="n">
        <v>147.56</v>
      </c>
      <c r="J2722" s="20" t="n">
        <v>246.58</v>
      </c>
      <c r="K2722" s="18" t="n">
        <v>6</v>
      </c>
      <c r="L2722" s="18" t="n">
        <v>8</v>
      </c>
      <c r="M2722" s="18" t="n">
        <v>165</v>
      </c>
      <c r="N2722" s="18" t="n">
        <v>165</v>
      </c>
      <c r="O2722" s="14" t="s">
        <v>1126</v>
      </c>
      <c r="P2722" s="14" t="s">
        <v>84</v>
      </c>
      <c r="Q2722" s="15" t="s">
        <v>1089</v>
      </c>
      <c r="R2722" s="16" t="s">
        <v>17227</v>
      </c>
      <c r="S2722" s="15" t="s">
        <v>17228</v>
      </c>
      <c r="T2722" s="15" t="s">
        <v>17229</v>
      </c>
      <c r="U2722" s="21" t="s">
        <v>72</v>
      </c>
    </row>
    <row r="2723" customFormat="false" ht="26.85" hidden="false" customHeight="false" outlineLevel="0" collapsed="false">
      <c r="A2723" s="15" t="s">
        <v>14933</v>
      </c>
      <c r="B2723" s="15" t="s">
        <v>14933</v>
      </c>
      <c r="C2723" s="14" t="s">
        <v>17230</v>
      </c>
      <c r="D2723" s="14" t="s">
        <v>17231</v>
      </c>
      <c r="E2723" s="16" t="s">
        <v>17232</v>
      </c>
      <c r="F2723" s="16"/>
      <c r="G2723" s="23" t="s">
        <v>43</v>
      </c>
      <c r="H2723" s="18" t="n">
        <v>3</v>
      </c>
      <c r="I2723" s="20" t="n">
        <v>90.58</v>
      </c>
      <c r="J2723" s="20" t="n">
        <v>169.13</v>
      </c>
      <c r="K2723" s="18" t="n">
        <v>3</v>
      </c>
      <c r="L2723" s="18" t="n">
        <v>1</v>
      </c>
      <c r="M2723" s="18" t="n">
        <v>44</v>
      </c>
      <c r="N2723" s="18" t="n">
        <v>20</v>
      </c>
      <c r="O2723" s="14" t="s">
        <v>1126</v>
      </c>
      <c r="P2723" s="14" t="s">
        <v>1166</v>
      </c>
      <c r="Q2723" s="15" t="s">
        <v>1089</v>
      </c>
      <c r="R2723" s="16" t="s">
        <v>4373</v>
      </c>
      <c r="S2723" s="15" t="s">
        <v>17233</v>
      </c>
      <c r="T2723" s="15" t="s">
        <v>17233</v>
      </c>
      <c r="U2723" s="21" t="s">
        <v>72</v>
      </c>
    </row>
    <row r="2724" customFormat="false" ht="15" hidden="false" customHeight="false" outlineLevel="0" collapsed="false">
      <c r="A2724" s="15" t="s">
        <v>14933</v>
      </c>
      <c r="B2724" s="15" t="s">
        <v>14933</v>
      </c>
      <c r="C2724" s="14" t="s">
        <v>17234</v>
      </c>
      <c r="D2724" s="14" t="s">
        <v>17235</v>
      </c>
      <c r="E2724" s="16" t="s">
        <v>17236</v>
      </c>
      <c r="F2724" s="16" t="s">
        <v>17237</v>
      </c>
      <c r="G2724" s="23" t="s">
        <v>43</v>
      </c>
      <c r="H2724" s="18" t="n">
        <v>2</v>
      </c>
      <c r="I2724" s="20" t="n">
        <v>35.52</v>
      </c>
      <c r="J2724" s="20" t="n">
        <v>183.03</v>
      </c>
      <c r="K2724" s="18" t="n">
        <v>3</v>
      </c>
      <c r="L2724" s="18" t="n">
        <v>2</v>
      </c>
      <c r="M2724" s="18" t="n">
        <v>43</v>
      </c>
      <c r="N2724" s="18" t="n">
        <v>43</v>
      </c>
      <c r="O2724" s="14" t="s">
        <v>1126</v>
      </c>
      <c r="P2724" s="14" t="s">
        <v>84</v>
      </c>
      <c r="Q2724" s="15" t="s">
        <v>1089</v>
      </c>
      <c r="R2724" s="16" t="s">
        <v>17238</v>
      </c>
      <c r="S2724" s="15" t="s">
        <v>13896</v>
      </c>
      <c r="T2724" s="15" t="s">
        <v>13896</v>
      </c>
      <c r="U2724" s="21" t="s">
        <v>72</v>
      </c>
    </row>
    <row r="2725" customFormat="false" ht="26.85" hidden="false" customHeight="false" outlineLevel="0" collapsed="false">
      <c r="A2725" s="15" t="s">
        <v>14933</v>
      </c>
      <c r="B2725" s="15" t="s">
        <v>14933</v>
      </c>
      <c r="C2725" s="14" t="s">
        <v>17239</v>
      </c>
      <c r="D2725" s="14" t="s">
        <v>17240</v>
      </c>
      <c r="E2725" s="16" t="s">
        <v>17241</v>
      </c>
      <c r="F2725" s="16"/>
      <c r="G2725" s="23" t="s">
        <v>43</v>
      </c>
      <c r="H2725" s="18" t="n">
        <v>2</v>
      </c>
      <c r="I2725" s="20" t="n">
        <v>48.88</v>
      </c>
      <c r="J2725" s="20" t="n">
        <v>154.8</v>
      </c>
      <c r="K2725" s="18" t="n">
        <v>3</v>
      </c>
      <c r="L2725" s="18" t="n">
        <v>2</v>
      </c>
      <c r="M2725" s="18" t="n">
        <v>60</v>
      </c>
      <c r="N2725" s="18" t="n">
        <v>20</v>
      </c>
      <c r="O2725" s="14" t="s">
        <v>1126</v>
      </c>
      <c r="P2725" s="14" t="s">
        <v>94</v>
      </c>
      <c r="Q2725" s="15" t="s">
        <v>1089</v>
      </c>
      <c r="R2725" s="16" t="s">
        <v>17242</v>
      </c>
      <c r="S2725" s="15" t="s">
        <v>17243</v>
      </c>
      <c r="T2725" s="15" t="s">
        <v>17243</v>
      </c>
      <c r="U2725" s="21" t="s">
        <v>72</v>
      </c>
    </row>
    <row r="2726" customFormat="false" ht="15" hidden="false" customHeight="false" outlineLevel="0" collapsed="false">
      <c r="A2726" s="15" t="s">
        <v>14933</v>
      </c>
      <c r="B2726" s="15" t="s">
        <v>14933</v>
      </c>
      <c r="C2726" s="14" t="s">
        <v>17244</v>
      </c>
      <c r="D2726" s="14" t="s">
        <v>17245</v>
      </c>
      <c r="E2726" s="16" t="s">
        <v>17246</v>
      </c>
      <c r="F2726" s="16"/>
      <c r="G2726" s="23" t="s">
        <v>43</v>
      </c>
      <c r="H2726" s="18" t="n">
        <v>1</v>
      </c>
      <c r="I2726" s="20" t="n">
        <v>44.6</v>
      </c>
      <c r="J2726" s="20" t="n">
        <v>95.3</v>
      </c>
      <c r="K2726" s="18" t="n">
        <v>2</v>
      </c>
      <c r="L2726" s="18" t="n">
        <v>1</v>
      </c>
      <c r="M2726" s="18" t="n">
        <v>74</v>
      </c>
      <c r="N2726" s="18" t="n">
        <v>37</v>
      </c>
      <c r="O2726" s="14" t="s">
        <v>1097</v>
      </c>
      <c r="P2726" s="14" t="s">
        <v>118</v>
      </c>
      <c r="Q2726" s="15" t="s">
        <v>1089</v>
      </c>
      <c r="R2726" s="16" t="s">
        <v>17247</v>
      </c>
      <c r="S2726" s="15" t="s">
        <v>17248</v>
      </c>
      <c r="T2726" s="15" t="s">
        <v>17248</v>
      </c>
      <c r="U2726" s="21" t="s">
        <v>72</v>
      </c>
    </row>
    <row r="2727" customFormat="false" ht="15" hidden="false" customHeight="false" outlineLevel="0" collapsed="false">
      <c r="A2727" s="15" t="s">
        <v>14933</v>
      </c>
      <c r="B2727" s="15" t="s">
        <v>14933</v>
      </c>
      <c r="C2727" s="14" t="s">
        <v>17249</v>
      </c>
      <c r="D2727" s="14" t="s">
        <v>17250</v>
      </c>
      <c r="E2727" s="16" t="s">
        <v>17251</v>
      </c>
      <c r="F2727" s="16"/>
      <c r="G2727" s="19" t="s">
        <v>41</v>
      </c>
      <c r="H2727" s="18" t="n">
        <v>5</v>
      </c>
      <c r="I2727" s="20" t="n">
        <v>78.53</v>
      </c>
      <c r="J2727" s="20" t="n">
        <v>174.03</v>
      </c>
      <c r="K2727" s="18" t="n">
        <v>4</v>
      </c>
      <c r="L2727" s="18" t="n">
        <v>8</v>
      </c>
      <c r="M2727" s="18" t="n">
        <v>52</v>
      </c>
      <c r="N2727" s="18" t="n">
        <v>52</v>
      </c>
      <c r="O2727" s="14" t="s">
        <v>1126</v>
      </c>
      <c r="P2727" s="14" t="s">
        <v>84</v>
      </c>
      <c r="Q2727" s="15" t="s">
        <v>1089</v>
      </c>
      <c r="R2727" s="16" t="s">
        <v>17252</v>
      </c>
      <c r="S2727" s="15" t="s">
        <v>17253</v>
      </c>
      <c r="T2727" s="15" t="s">
        <v>17254</v>
      </c>
      <c r="U2727" s="21" t="s">
        <v>72</v>
      </c>
    </row>
    <row r="2728" customFormat="false" ht="15" hidden="false" customHeight="false" outlineLevel="0" collapsed="false">
      <c r="A2728" s="15" t="s">
        <v>14933</v>
      </c>
      <c r="B2728" s="15" t="s">
        <v>14933</v>
      </c>
      <c r="C2728" s="14" t="s">
        <v>17255</v>
      </c>
      <c r="D2728" s="14" t="s">
        <v>17256</v>
      </c>
      <c r="E2728" s="16" t="s">
        <v>17257</v>
      </c>
      <c r="F2728" s="16" t="s">
        <v>17258</v>
      </c>
      <c r="G2728" s="19" t="s">
        <v>41</v>
      </c>
      <c r="H2728" s="18" t="n">
        <v>4</v>
      </c>
      <c r="I2728" s="20" t="n">
        <v>142.18</v>
      </c>
      <c r="J2728" s="20" t="n">
        <v>281.71</v>
      </c>
      <c r="K2728" s="18" t="n">
        <v>6</v>
      </c>
      <c r="L2728" s="18" t="n">
        <v>23</v>
      </c>
      <c r="M2728" s="18" t="n">
        <v>173</v>
      </c>
      <c r="N2728" s="18" t="n">
        <v>114</v>
      </c>
      <c r="O2728" s="14" t="s">
        <v>1126</v>
      </c>
      <c r="P2728" s="14" t="s">
        <v>1166</v>
      </c>
      <c r="Q2728" s="15" t="s">
        <v>1089</v>
      </c>
      <c r="R2728" s="16" t="s">
        <v>17259</v>
      </c>
      <c r="S2728" s="15" t="s">
        <v>17260</v>
      </c>
      <c r="T2728" s="15" t="s">
        <v>17261</v>
      </c>
      <c r="U2728" s="21" t="s">
        <v>72</v>
      </c>
    </row>
    <row r="2729" customFormat="false" ht="15" hidden="false" customHeight="false" outlineLevel="0" collapsed="false">
      <c r="A2729" s="15" t="s">
        <v>14933</v>
      </c>
      <c r="B2729" s="15" t="s">
        <v>14933</v>
      </c>
      <c r="C2729" s="14" t="s">
        <v>17262</v>
      </c>
      <c r="D2729" s="14" t="s">
        <v>17263</v>
      </c>
      <c r="E2729" s="16" t="s">
        <v>17264</v>
      </c>
      <c r="F2729" s="16" t="s">
        <v>17265</v>
      </c>
      <c r="G2729" s="23" t="s">
        <v>43</v>
      </c>
      <c r="H2729" s="18" t="n">
        <v>3</v>
      </c>
      <c r="I2729" s="20" t="n">
        <v>48.29</v>
      </c>
      <c r="J2729" s="20" t="n">
        <v>93.4</v>
      </c>
      <c r="K2729" s="18" t="n">
        <v>2</v>
      </c>
      <c r="L2729" s="18" t="n">
        <v>4</v>
      </c>
      <c r="M2729" s="18" t="n">
        <v>27</v>
      </c>
      <c r="N2729" s="18" t="n">
        <v>27</v>
      </c>
      <c r="O2729" s="14" t="s">
        <v>1126</v>
      </c>
      <c r="P2729" s="14" t="s">
        <v>84</v>
      </c>
      <c r="Q2729" s="15" t="s">
        <v>1089</v>
      </c>
      <c r="R2729" s="16" t="s">
        <v>17266</v>
      </c>
      <c r="S2729" s="15" t="s">
        <v>17267</v>
      </c>
      <c r="T2729" s="15" t="s">
        <v>17267</v>
      </c>
      <c r="U2729" s="21" t="s">
        <v>72</v>
      </c>
    </row>
    <row r="2730" customFormat="false" ht="26.85" hidden="false" customHeight="false" outlineLevel="0" collapsed="false">
      <c r="A2730" s="15" t="s">
        <v>14933</v>
      </c>
      <c r="B2730" s="15" t="s">
        <v>14933</v>
      </c>
      <c r="C2730" s="14" t="s">
        <v>17268</v>
      </c>
      <c r="D2730" s="14" t="s">
        <v>17269</v>
      </c>
      <c r="E2730" s="16" t="s">
        <v>17270</v>
      </c>
      <c r="F2730" s="16" t="s">
        <v>17271</v>
      </c>
      <c r="G2730" s="19" t="s">
        <v>41</v>
      </c>
      <c r="H2730" s="18" t="n">
        <v>5</v>
      </c>
      <c r="I2730" s="20" t="n">
        <v>111.22</v>
      </c>
      <c r="J2730" s="20" t="n">
        <v>237.48</v>
      </c>
      <c r="K2730" s="18" t="n">
        <v>8</v>
      </c>
      <c r="L2730" s="18" t="n">
        <v>5</v>
      </c>
      <c r="M2730" s="18" t="n">
        <v>142</v>
      </c>
      <c r="N2730" s="18" t="n">
        <v>79</v>
      </c>
      <c r="O2730" s="14" t="s">
        <v>17272</v>
      </c>
      <c r="P2730" s="14" t="s">
        <v>118</v>
      </c>
      <c r="Q2730" s="15" t="s">
        <v>1089</v>
      </c>
      <c r="R2730" s="16" t="s">
        <v>17273</v>
      </c>
      <c r="S2730" s="15" t="s">
        <v>17274</v>
      </c>
      <c r="T2730" s="15" t="s">
        <v>17275</v>
      </c>
      <c r="U2730" s="21" t="s">
        <v>72</v>
      </c>
    </row>
    <row r="2731" customFormat="false" ht="26.85" hidden="false" customHeight="false" outlineLevel="0" collapsed="false">
      <c r="A2731" s="15" t="s">
        <v>14933</v>
      </c>
      <c r="B2731" s="15" t="s">
        <v>14933</v>
      </c>
      <c r="C2731" s="14" t="s">
        <v>17276</v>
      </c>
      <c r="D2731" s="14" t="s">
        <v>17277</v>
      </c>
      <c r="E2731" s="16" t="s">
        <v>17278</v>
      </c>
      <c r="F2731" s="16" t="s">
        <v>17279</v>
      </c>
      <c r="G2731" s="23" t="s">
        <v>43</v>
      </c>
      <c r="H2731" s="18" t="n">
        <v>3</v>
      </c>
      <c r="I2731" s="20" t="n">
        <v>64.05</v>
      </c>
      <c r="J2731" s="20" t="n">
        <v>114.44</v>
      </c>
      <c r="K2731" s="18" t="n">
        <v>2</v>
      </c>
      <c r="L2731" s="18" t="n">
        <v>5</v>
      </c>
      <c r="M2731" s="18" t="n">
        <v>37</v>
      </c>
      <c r="N2731" s="18" t="n">
        <v>37</v>
      </c>
      <c r="O2731" s="14" t="s">
        <v>1097</v>
      </c>
      <c r="P2731" s="14" t="s">
        <v>84</v>
      </c>
      <c r="Q2731" s="15" t="s">
        <v>1089</v>
      </c>
      <c r="R2731" s="16" t="s">
        <v>12317</v>
      </c>
      <c r="S2731" s="15" t="s">
        <v>17280</v>
      </c>
      <c r="T2731" s="15" t="s">
        <v>17280</v>
      </c>
      <c r="U2731" s="21" t="s">
        <v>72</v>
      </c>
    </row>
    <row r="2732" customFormat="false" ht="15" hidden="false" customHeight="false" outlineLevel="0" collapsed="false">
      <c r="A2732" s="15" t="s">
        <v>14933</v>
      </c>
      <c r="B2732" s="15" t="s">
        <v>14933</v>
      </c>
      <c r="C2732" s="14" t="s">
        <v>17281</v>
      </c>
      <c r="D2732" s="14" t="s">
        <v>17282</v>
      </c>
      <c r="E2732" s="16" t="s">
        <v>17283</v>
      </c>
      <c r="F2732" s="16"/>
      <c r="G2732" s="23" t="s">
        <v>43</v>
      </c>
      <c r="H2732" s="18" t="n">
        <v>3</v>
      </c>
      <c r="I2732" s="20" t="n">
        <v>73.56</v>
      </c>
      <c r="J2732" s="20" t="n">
        <v>141.47</v>
      </c>
      <c r="K2732" s="18" t="n">
        <v>5</v>
      </c>
      <c r="L2732" s="18" t="n">
        <v>4</v>
      </c>
      <c r="M2732" s="18" t="n">
        <v>103</v>
      </c>
      <c r="N2732" s="18" t="n">
        <v>43</v>
      </c>
      <c r="O2732" s="14" t="s">
        <v>1126</v>
      </c>
      <c r="P2732" s="14" t="s">
        <v>84</v>
      </c>
      <c r="Q2732" s="15" t="s">
        <v>1089</v>
      </c>
      <c r="R2732" s="16" t="s">
        <v>17284</v>
      </c>
      <c r="S2732" s="15" t="s">
        <v>17285</v>
      </c>
      <c r="T2732" s="15" t="s">
        <v>17286</v>
      </c>
      <c r="U2732" s="21" t="s">
        <v>72</v>
      </c>
    </row>
    <row r="2733" customFormat="false" ht="15" hidden="false" customHeight="false" outlineLevel="0" collapsed="false">
      <c r="A2733" s="15" t="s">
        <v>14933</v>
      </c>
      <c r="B2733" s="15" t="s">
        <v>14933</v>
      </c>
      <c r="C2733" s="14" t="s">
        <v>17287</v>
      </c>
      <c r="D2733" s="14" t="s">
        <v>17288</v>
      </c>
      <c r="E2733" s="16" t="s">
        <v>17289</v>
      </c>
      <c r="F2733" s="16" t="s">
        <v>17290</v>
      </c>
      <c r="G2733" s="19" t="s">
        <v>41</v>
      </c>
      <c r="H2733" s="18" t="n">
        <v>2</v>
      </c>
      <c r="I2733" s="20" t="n">
        <v>178.6</v>
      </c>
      <c r="J2733" s="20" t="n">
        <v>274.4</v>
      </c>
      <c r="K2733" s="18" t="n">
        <v>2</v>
      </c>
      <c r="L2733" s="18" t="n">
        <v>2</v>
      </c>
      <c r="M2733" s="18" t="n">
        <v>86</v>
      </c>
      <c r="N2733" s="18" t="n">
        <v>86</v>
      </c>
      <c r="O2733" s="14" t="s">
        <v>3001</v>
      </c>
      <c r="P2733" s="14" t="s">
        <v>84</v>
      </c>
      <c r="Q2733" s="15" t="s">
        <v>1089</v>
      </c>
      <c r="R2733" s="16" t="s">
        <v>17291</v>
      </c>
      <c r="S2733" s="15" t="s">
        <v>17292</v>
      </c>
      <c r="T2733" s="15" t="s">
        <v>17293</v>
      </c>
      <c r="U2733" s="21" t="s">
        <v>72</v>
      </c>
    </row>
    <row r="2734" customFormat="false" ht="15" hidden="false" customHeight="false" outlineLevel="0" collapsed="false">
      <c r="A2734" s="15" t="s">
        <v>14933</v>
      </c>
      <c r="B2734" s="15" t="s">
        <v>14933</v>
      </c>
      <c r="C2734" s="14" t="s">
        <v>17294</v>
      </c>
      <c r="D2734" s="14" t="s">
        <v>17295</v>
      </c>
      <c r="E2734" s="16" t="s">
        <v>17296</v>
      </c>
      <c r="F2734" s="16"/>
      <c r="G2734" s="23" t="s">
        <v>43</v>
      </c>
      <c r="H2734" s="18" t="n">
        <v>2</v>
      </c>
      <c r="I2734" s="20" t="n">
        <v>45.63</v>
      </c>
      <c r="J2734" s="20" t="n">
        <v>95.356</v>
      </c>
      <c r="K2734" s="18" t="n">
        <v>2</v>
      </c>
      <c r="L2734" s="18" t="n">
        <v>2</v>
      </c>
      <c r="M2734" s="18" t="n">
        <v>44</v>
      </c>
      <c r="N2734" s="18" t="n">
        <v>44</v>
      </c>
      <c r="O2734" s="14" t="s">
        <v>1126</v>
      </c>
      <c r="P2734" s="14" t="s">
        <v>84</v>
      </c>
      <c r="Q2734" s="15" t="s">
        <v>1089</v>
      </c>
      <c r="R2734" s="16" t="s">
        <v>17297</v>
      </c>
      <c r="S2734" s="15" t="s">
        <v>17298</v>
      </c>
      <c r="T2734" s="15" t="s">
        <v>17298</v>
      </c>
      <c r="U2734" s="21" t="s">
        <v>72</v>
      </c>
    </row>
    <row r="2735" customFormat="false" ht="15" hidden="false" customHeight="false" outlineLevel="0" collapsed="false">
      <c r="A2735" s="15" t="s">
        <v>14933</v>
      </c>
      <c r="B2735" s="15" t="s">
        <v>14933</v>
      </c>
      <c r="C2735" s="14" t="s">
        <v>17299</v>
      </c>
      <c r="D2735" s="14" t="s">
        <v>17300</v>
      </c>
      <c r="E2735" s="16" t="s">
        <v>17301</v>
      </c>
      <c r="F2735" s="16"/>
      <c r="G2735" s="25" t="s">
        <v>39</v>
      </c>
      <c r="H2735" s="18" t="n">
        <v>8</v>
      </c>
      <c r="I2735" s="20" t="n">
        <v>132.78</v>
      </c>
      <c r="J2735" s="20" t="n">
        <v>199.39</v>
      </c>
      <c r="K2735" s="18" t="n">
        <v>2</v>
      </c>
      <c r="L2735" s="18"/>
      <c r="M2735" s="18" t="n">
        <v>18</v>
      </c>
      <c r="N2735" s="18" t="n">
        <v>12</v>
      </c>
      <c r="O2735" s="14" t="s">
        <v>17302</v>
      </c>
      <c r="P2735" s="14" t="s">
        <v>84</v>
      </c>
      <c r="Q2735" s="15" t="s">
        <v>1089</v>
      </c>
      <c r="R2735" s="16" t="s">
        <v>17303</v>
      </c>
      <c r="S2735" s="15" t="s">
        <v>17304</v>
      </c>
      <c r="T2735" s="15" t="s">
        <v>17305</v>
      </c>
      <c r="U2735" s="21" t="s">
        <v>72</v>
      </c>
    </row>
    <row r="2736" customFormat="false" ht="15" hidden="false" customHeight="false" outlineLevel="0" collapsed="false">
      <c r="A2736" s="15" t="s">
        <v>14933</v>
      </c>
      <c r="B2736" s="15" t="s">
        <v>14933</v>
      </c>
      <c r="C2736" s="14" t="s">
        <v>17306</v>
      </c>
      <c r="D2736" s="14" t="s">
        <v>17307</v>
      </c>
      <c r="E2736" s="16" t="s">
        <v>17308</v>
      </c>
      <c r="F2736" s="16" t="s">
        <v>17309</v>
      </c>
      <c r="G2736" s="23" t="s">
        <v>43</v>
      </c>
      <c r="H2736" s="18" t="n">
        <v>4</v>
      </c>
      <c r="I2736" s="20" t="n">
        <v>93.6</v>
      </c>
      <c r="J2736" s="20" t="n">
        <v>185.83</v>
      </c>
      <c r="K2736" s="18" t="n">
        <v>4</v>
      </c>
      <c r="L2736" s="18" t="n">
        <v>3</v>
      </c>
      <c r="M2736" s="18" t="n">
        <v>76</v>
      </c>
      <c r="N2736" s="18" t="n">
        <v>38</v>
      </c>
      <c r="O2736" s="14" t="s">
        <v>1126</v>
      </c>
      <c r="P2736" s="14" t="s">
        <v>94</v>
      </c>
      <c r="Q2736" s="15" t="s">
        <v>1089</v>
      </c>
      <c r="R2736" s="16" t="s">
        <v>17310</v>
      </c>
      <c r="S2736" s="15" t="s">
        <v>6403</v>
      </c>
      <c r="T2736" s="15" t="s">
        <v>6403</v>
      </c>
      <c r="U2736" s="21" t="s">
        <v>72</v>
      </c>
    </row>
    <row r="2737" customFormat="false" ht="15" hidden="false" customHeight="false" outlineLevel="0" collapsed="false">
      <c r="A2737" s="15" t="s">
        <v>14933</v>
      </c>
      <c r="B2737" s="15" t="s">
        <v>14933</v>
      </c>
      <c r="C2737" s="14" t="s">
        <v>17311</v>
      </c>
      <c r="D2737" s="14" t="s">
        <v>17312</v>
      </c>
      <c r="E2737" s="16" t="s">
        <v>17313</v>
      </c>
      <c r="F2737" s="16" t="s">
        <v>17314</v>
      </c>
      <c r="G2737" s="23" t="s">
        <v>43</v>
      </c>
      <c r="H2737" s="18" t="n">
        <v>2</v>
      </c>
      <c r="I2737" s="20" t="n">
        <v>84.322</v>
      </c>
      <c r="J2737" s="20" t="n">
        <v>151.1</v>
      </c>
      <c r="K2737" s="18" t="n">
        <v>13</v>
      </c>
      <c r="L2737" s="18" t="n">
        <v>4</v>
      </c>
      <c r="M2737" s="18" t="n">
        <v>455</v>
      </c>
      <c r="N2737" s="18" t="n">
        <v>105</v>
      </c>
      <c r="O2737" s="14" t="s">
        <v>17315</v>
      </c>
      <c r="P2737" s="14" t="s">
        <v>84</v>
      </c>
      <c r="Q2737" s="15" t="s">
        <v>1089</v>
      </c>
      <c r="R2737" s="16" t="s">
        <v>17316</v>
      </c>
      <c r="S2737" s="15" t="s">
        <v>17317</v>
      </c>
      <c r="T2737" s="15" t="s">
        <v>17318</v>
      </c>
      <c r="U2737" s="21" t="s">
        <v>72</v>
      </c>
    </row>
    <row r="2738" customFormat="false" ht="15" hidden="false" customHeight="false" outlineLevel="0" collapsed="false">
      <c r="A2738" s="15" t="s">
        <v>14933</v>
      </c>
      <c r="B2738" s="15" t="s">
        <v>14933</v>
      </c>
      <c r="C2738" s="14" t="s">
        <v>17319</v>
      </c>
      <c r="D2738" s="14" t="s">
        <v>17320</v>
      </c>
      <c r="E2738" s="16" t="s">
        <v>17321</v>
      </c>
      <c r="F2738" s="16"/>
      <c r="G2738" s="19" t="s">
        <v>41</v>
      </c>
      <c r="H2738" s="18" t="n">
        <v>4</v>
      </c>
      <c r="I2738" s="20" t="n">
        <v>89.4</v>
      </c>
      <c r="J2738" s="20" t="n">
        <v>213.01</v>
      </c>
      <c r="K2738" s="18" t="n">
        <v>4</v>
      </c>
      <c r="L2738" s="18" t="n">
        <v>3</v>
      </c>
      <c r="M2738" s="18" t="n">
        <v>72</v>
      </c>
      <c r="N2738" s="18" t="n">
        <v>72</v>
      </c>
      <c r="O2738" s="14" t="s">
        <v>1126</v>
      </c>
      <c r="P2738" s="14" t="s">
        <v>84</v>
      </c>
      <c r="Q2738" s="15" t="s">
        <v>1089</v>
      </c>
      <c r="R2738" s="16" t="s">
        <v>4366</v>
      </c>
      <c r="S2738" s="15" t="s">
        <v>16163</v>
      </c>
      <c r="T2738" s="15" t="s">
        <v>17322</v>
      </c>
      <c r="U2738" s="21" t="s">
        <v>72</v>
      </c>
    </row>
    <row r="2739" customFormat="false" ht="26.85" hidden="false" customHeight="false" outlineLevel="0" collapsed="false">
      <c r="A2739" s="15" t="s">
        <v>14933</v>
      </c>
      <c r="B2739" s="15" t="s">
        <v>14933</v>
      </c>
      <c r="C2739" s="14" t="s">
        <v>17323</v>
      </c>
      <c r="D2739" s="14" t="s">
        <v>17324</v>
      </c>
      <c r="E2739" s="16" t="s">
        <v>17325</v>
      </c>
      <c r="F2739" s="16" t="s">
        <v>17326</v>
      </c>
      <c r="G2739" s="23" t="s">
        <v>43</v>
      </c>
      <c r="H2739" s="18" t="n">
        <v>3</v>
      </c>
      <c r="I2739" s="20" t="n">
        <v>53.82</v>
      </c>
      <c r="J2739" s="20" t="n">
        <v>88.61</v>
      </c>
      <c r="K2739" s="18" t="n">
        <v>15</v>
      </c>
      <c r="L2739" s="18" t="n">
        <v>4</v>
      </c>
      <c r="M2739" s="18" t="n">
        <v>220</v>
      </c>
      <c r="N2739" s="18" t="n">
        <v>44</v>
      </c>
      <c r="O2739" s="14" t="s">
        <v>6448</v>
      </c>
      <c r="P2739" s="14" t="s">
        <v>2469</v>
      </c>
      <c r="Q2739" s="15" t="s">
        <v>1089</v>
      </c>
      <c r="R2739" s="16" t="s">
        <v>15471</v>
      </c>
      <c r="S2739" s="15" t="s">
        <v>17327</v>
      </c>
      <c r="T2739" s="15" t="s">
        <v>17327</v>
      </c>
      <c r="U2739" s="21" t="s">
        <v>72</v>
      </c>
    </row>
    <row r="2740" customFormat="false" ht="15" hidden="false" customHeight="false" outlineLevel="0" collapsed="false">
      <c r="A2740" s="15" t="s">
        <v>14933</v>
      </c>
      <c r="B2740" s="15" t="s">
        <v>14933</v>
      </c>
      <c r="C2740" s="14" t="s">
        <v>17328</v>
      </c>
      <c r="D2740" s="14" t="s">
        <v>17329</v>
      </c>
      <c r="E2740" s="16" t="s">
        <v>17330</v>
      </c>
      <c r="F2740" s="16" t="s">
        <v>17331</v>
      </c>
      <c r="G2740" s="23" t="s">
        <v>43</v>
      </c>
      <c r="H2740" s="18" t="n">
        <v>1</v>
      </c>
      <c r="I2740" s="20" t="n">
        <v>31.5</v>
      </c>
      <c r="J2740" s="20" t="n">
        <v>55.4</v>
      </c>
      <c r="K2740" s="18" t="n">
        <v>2</v>
      </c>
      <c r="L2740" s="18" t="n">
        <v>3</v>
      </c>
      <c r="M2740" s="18" t="n">
        <v>40</v>
      </c>
      <c r="N2740" s="18" t="n">
        <v>20</v>
      </c>
      <c r="O2740" s="14" t="s">
        <v>1126</v>
      </c>
      <c r="P2740" s="14" t="s">
        <v>94</v>
      </c>
      <c r="Q2740" s="15" t="s">
        <v>1089</v>
      </c>
      <c r="R2740" s="16" t="s">
        <v>16252</v>
      </c>
      <c r="S2740" s="15" t="s">
        <v>17332</v>
      </c>
      <c r="T2740" s="15" t="s">
        <v>17332</v>
      </c>
      <c r="U2740" s="21" t="s">
        <v>72</v>
      </c>
    </row>
    <row r="2741" customFormat="false" ht="26.85" hidden="false" customHeight="false" outlineLevel="0" collapsed="false">
      <c r="A2741" s="15" t="s">
        <v>14933</v>
      </c>
      <c r="B2741" s="15" t="s">
        <v>14933</v>
      </c>
      <c r="C2741" s="14" t="s">
        <v>17333</v>
      </c>
      <c r="D2741" s="14" t="s">
        <v>17334</v>
      </c>
      <c r="E2741" s="16" t="s">
        <v>17335</v>
      </c>
      <c r="F2741" s="16" t="s">
        <v>17336</v>
      </c>
      <c r="G2741" s="19" t="s">
        <v>41</v>
      </c>
      <c r="H2741" s="18" t="n">
        <v>6</v>
      </c>
      <c r="I2741" s="20" t="n">
        <v>89.55</v>
      </c>
      <c r="J2741" s="20" t="n">
        <v>170.74</v>
      </c>
      <c r="K2741" s="18" t="n">
        <v>9</v>
      </c>
      <c r="L2741" s="18" t="n">
        <v>4</v>
      </c>
      <c r="M2741" s="18" t="n">
        <v>85</v>
      </c>
      <c r="N2741" s="18" t="n">
        <v>61</v>
      </c>
      <c r="O2741" s="14" t="s">
        <v>16750</v>
      </c>
      <c r="P2741" s="14" t="s">
        <v>3143</v>
      </c>
      <c r="Q2741" s="15" t="s">
        <v>1089</v>
      </c>
      <c r="R2741" s="16" t="s">
        <v>8349</v>
      </c>
      <c r="S2741" s="15" t="s">
        <v>17337</v>
      </c>
      <c r="T2741" s="15" t="s">
        <v>17338</v>
      </c>
      <c r="U2741" s="21" t="s">
        <v>72</v>
      </c>
    </row>
    <row r="2742" customFormat="false" ht="15" hidden="false" customHeight="false" outlineLevel="0" collapsed="false">
      <c r="A2742" s="15" t="s">
        <v>14933</v>
      </c>
      <c r="B2742" s="15" t="s">
        <v>14933</v>
      </c>
      <c r="C2742" s="14" t="s">
        <v>17339</v>
      </c>
      <c r="D2742" s="14" t="s">
        <v>17340</v>
      </c>
      <c r="E2742" s="16" t="s">
        <v>17341</v>
      </c>
      <c r="F2742" s="16"/>
      <c r="G2742" s="23" t="s">
        <v>43</v>
      </c>
      <c r="H2742" s="18" t="n">
        <v>2</v>
      </c>
      <c r="I2742" s="20" t="n">
        <v>55.25</v>
      </c>
      <c r="J2742" s="20" t="n">
        <v>120.066</v>
      </c>
      <c r="K2742" s="18" t="n">
        <v>2</v>
      </c>
      <c r="L2742" s="18" t="n">
        <v>3</v>
      </c>
      <c r="M2742" s="18" t="n">
        <v>72</v>
      </c>
      <c r="N2742" s="18" t="n">
        <v>72</v>
      </c>
      <c r="O2742" s="14" t="s">
        <v>1126</v>
      </c>
      <c r="P2742" s="14" t="s">
        <v>84</v>
      </c>
      <c r="Q2742" s="15" t="s">
        <v>1089</v>
      </c>
      <c r="R2742" s="16" t="s">
        <v>4379</v>
      </c>
      <c r="S2742" s="15" t="s">
        <v>17342</v>
      </c>
      <c r="T2742" s="15" t="s">
        <v>17342</v>
      </c>
      <c r="U2742" s="21" t="s">
        <v>72</v>
      </c>
    </row>
    <row r="2743" customFormat="false" ht="15" hidden="false" customHeight="false" outlineLevel="0" collapsed="false">
      <c r="A2743" s="15" t="s">
        <v>14933</v>
      </c>
      <c r="B2743" s="15" t="s">
        <v>14933</v>
      </c>
      <c r="C2743" s="14" t="s">
        <v>17343</v>
      </c>
      <c r="D2743" s="14" t="s">
        <v>17344</v>
      </c>
      <c r="E2743" s="16" t="s">
        <v>17345</v>
      </c>
      <c r="F2743" s="16" t="s">
        <v>17346</v>
      </c>
      <c r="G2743" s="23" t="s">
        <v>43</v>
      </c>
      <c r="H2743" s="18" t="n">
        <v>1</v>
      </c>
      <c r="I2743" s="20" t="n">
        <v>24.61</v>
      </c>
      <c r="J2743" s="20" t="n">
        <v>139.81</v>
      </c>
      <c r="K2743" s="18" t="n">
        <v>1</v>
      </c>
      <c r="L2743" s="18" t="n">
        <v>5</v>
      </c>
      <c r="M2743" s="18" t="n">
        <v>20</v>
      </c>
      <c r="N2743" s="18" t="n">
        <v>20</v>
      </c>
      <c r="O2743" s="14" t="s">
        <v>1126</v>
      </c>
      <c r="P2743" s="14" t="s">
        <v>84</v>
      </c>
      <c r="Q2743" s="15" t="s">
        <v>1089</v>
      </c>
      <c r="R2743" s="16" t="s">
        <v>16837</v>
      </c>
      <c r="S2743" s="15" t="s">
        <v>17347</v>
      </c>
      <c r="T2743" s="15" t="s">
        <v>17348</v>
      </c>
      <c r="U2743" s="21" t="s">
        <v>72</v>
      </c>
    </row>
    <row r="2744" customFormat="false" ht="15" hidden="false" customHeight="false" outlineLevel="0" collapsed="false">
      <c r="A2744" s="15" t="s">
        <v>14933</v>
      </c>
      <c r="B2744" s="15" t="s">
        <v>14933</v>
      </c>
      <c r="C2744" s="14" t="s">
        <v>17349</v>
      </c>
      <c r="D2744" s="14" t="s">
        <v>17350</v>
      </c>
      <c r="E2744" s="16" t="s">
        <v>17351</v>
      </c>
      <c r="F2744" s="16" t="s">
        <v>17352</v>
      </c>
      <c r="G2744" s="25" t="s">
        <v>39</v>
      </c>
      <c r="H2744" s="18" t="n">
        <v>11</v>
      </c>
      <c r="I2744" s="20" t="n">
        <v>208.83</v>
      </c>
      <c r="J2744" s="20" t="n">
        <v>483.89</v>
      </c>
      <c r="K2744" s="18" t="n">
        <v>44</v>
      </c>
      <c r="L2744" s="18" t="n">
        <v>19</v>
      </c>
      <c r="M2744" s="18" t="n">
        <v>608</v>
      </c>
      <c r="N2744" s="18" t="n">
        <v>235</v>
      </c>
      <c r="O2744" s="14" t="s">
        <v>1097</v>
      </c>
      <c r="P2744" s="14" t="s">
        <v>84</v>
      </c>
      <c r="Q2744" s="15" t="s">
        <v>1089</v>
      </c>
      <c r="R2744" s="16" t="s">
        <v>17353</v>
      </c>
      <c r="S2744" s="15" t="s">
        <v>1825</v>
      </c>
      <c r="T2744" s="15" t="s">
        <v>17354</v>
      </c>
      <c r="U2744" s="21" t="s">
        <v>72</v>
      </c>
    </row>
    <row r="2745" customFormat="false" ht="26.85" hidden="false" customHeight="false" outlineLevel="0" collapsed="false">
      <c r="A2745" s="15" t="s">
        <v>14933</v>
      </c>
      <c r="B2745" s="15" t="s">
        <v>14933</v>
      </c>
      <c r="C2745" s="14" t="s">
        <v>17355</v>
      </c>
      <c r="D2745" s="14" t="s">
        <v>17356</v>
      </c>
      <c r="E2745" s="16" t="s">
        <v>17357</v>
      </c>
      <c r="F2745" s="16" t="s">
        <v>17358</v>
      </c>
      <c r="G2745" s="19" t="s">
        <v>41</v>
      </c>
      <c r="H2745" s="18" t="n">
        <v>6</v>
      </c>
      <c r="I2745" s="20" t="n">
        <v>97.27</v>
      </c>
      <c r="J2745" s="20" t="n">
        <v>253.51</v>
      </c>
      <c r="K2745" s="18" t="n">
        <v>7</v>
      </c>
      <c r="L2745" s="18" t="n">
        <v>10</v>
      </c>
      <c r="M2745" s="18" t="n">
        <v>92</v>
      </c>
      <c r="N2745" s="18" t="n">
        <v>39</v>
      </c>
      <c r="O2745" s="14" t="s">
        <v>16586</v>
      </c>
      <c r="P2745" s="14" t="s">
        <v>84</v>
      </c>
      <c r="Q2745" s="15" t="s">
        <v>1089</v>
      </c>
      <c r="R2745" s="16" t="s">
        <v>17359</v>
      </c>
      <c r="S2745" s="15" t="s">
        <v>17360</v>
      </c>
      <c r="T2745" s="15" t="s">
        <v>17361</v>
      </c>
      <c r="U2745" s="21" t="s">
        <v>72</v>
      </c>
    </row>
    <row r="2746" customFormat="false" ht="26.85" hidden="false" customHeight="false" outlineLevel="0" collapsed="false">
      <c r="A2746" s="15" t="s">
        <v>14933</v>
      </c>
      <c r="B2746" s="15" t="s">
        <v>14933</v>
      </c>
      <c r="C2746" s="14" t="s">
        <v>17362</v>
      </c>
      <c r="D2746" s="14" t="s">
        <v>17363</v>
      </c>
      <c r="E2746" s="16" t="s">
        <v>17364</v>
      </c>
      <c r="F2746" s="16"/>
      <c r="G2746" s="25" t="s">
        <v>39</v>
      </c>
      <c r="H2746" s="18" t="n">
        <v>4</v>
      </c>
      <c r="I2746" s="20" t="n">
        <v>379.96</v>
      </c>
      <c r="J2746" s="20" t="n">
        <v>678.6</v>
      </c>
      <c r="K2746" s="18" t="n">
        <v>14</v>
      </c>
      <c r="L2746" s="18" t="n">
        <v>5</v>
      </c>
      <c r="M2746" s="18" t="n">
        <v>280</v>
      </c>
      <c r="N2746" s="18" t="n">
        <v>80</v>
      </c>
      <c r="O2746" s="14" t="s">
        <v>1097</v>
      </c>
      <c r="P2746" s="14" t="s">
        <v>84</v>
      </c>
      <c r="Q2746" s="15" t="s">
        <v>1089</v>
      </c>
      <c r="R2746" s="16" t="s">
        <v>17365</v>
      </c>
      <c r="S2746" s="15" t="s">
        <v>17366</v>
      </c>
      <c r="T2746" s="15" t="s">
        <v>17367</v>
      </c>
      <c r="U2746" s="21" t="s">
        <v>72</v>
      </c>
    </row>
    <row r="2747" customFormat="false" ht="15" hidden="false" customHeight="false" outlineLevel="0" collapsed="false">
      <c r="A2747" s="15" t="s">
        <v>14933</v>
      </c>
      <c r="B2747" s="15" t="s">
        <v>14933</v>
      </c>
      <c r="C2747" s="14" t="s">
        <v>17368</v>
      </c>
      <c r="D2747" s="14" t="s">
        <v>17369</v>
      </c>
      <c r="E2747" s="16" t="s">
        <v>17370</v>
      </c>
      <c r="F2747" s="16" t="s">
        <v>17371</v>
      </c>
      <c r="G2747" s="25" t="s">
        <v>39</v>
      </c>
      <c r="H2747" s="18" t="n">
        <v>7</v>
      </c>
      <c r="I2747" s="20" t="n">
        <v>609.344</v>
      </c>
      <c r="J2747" s="20" t="n">
        <v>3454.04</v>
      </c>
      <c r="K2747" s="18" t="n">
        <v>30</v>
      </c>
      <c r="L2747" s="18" t="n">
        <v>43</v>
      </c>
      <c r="M2747" s="18" t="n">
        <v>1800</v>
      </c>
      <c r="N2747" s="18" t="n">
        <v>1680</v>
      </c>
      <c r="O2747" s="14" t="s">
        <v>1097</v>
      </c>
      <c r="P2747" s="14" t="s">
        <v>1166</v>
      </c>
      <c r="Q2747" s="15" t="s">
        <v>1089</v>
      </c>
      <c r="R2747" s="16" t="s">
        <v>17372</v>
      </c>
      <c r="S2747" s="15" t="s">
        <v>17373</v>
      </c>
      <c r="T2747" s="15" t="s">
        <v>17374</v>
      </c>
      <c r="U2747" s="21" t="s">
        <v>72</v>
      </c>
    </row>
    <row r="2748" customFormat="false" ht="64.9" hidden="false" customHeight="false" outlineLevel="0" collapsed="false">
      <c r="A2748" s="15" t="s">
        <v>14933</v>
      </c>
      <c r="B2748" s="15" t="s">
        <v>14933</v>
      </c>
      <c r="C2748" s="14" t="s">
        <v>17375</v>
      </c>
      <c r="D2748" s="14" t="s">
        <v>17376</v>
      </c>
      <c r="E2748" s="16" t="s">
        <v>17377</v>
      </c>
      <c r="F2748" s="16" t="s">
        <v>17378</v>
      </c>
      <c r="G2748" s="25" t="s">
        <v>39</v>
      </c>
      <c r="H2748" s="18" t="n">
        <v>7</v>
      </c>
      <c r="I2748" s="20" t="n">
        <v>507.98</v>
      </c>
      <c r="J2748" s="20" t="n">
        <v>691.2</v>
      </c>
      <c r="K2748" s="18" t="n">
        <v>14</v>
      </c>
      <c r="L2748" s="18" t="n">
        <v>22</v>
      </c>
      <c r="M2748" s="18" t="n">
        <v>842</v>
      </c>
      <c r="N2748" s="18" t="n">
        <v>842</v>
      </c>
      <c r="O2748" s="14" t="s">
        <v>17379</v>
      </c>
      <c r="P2748" s="14" t="s">
        <v>84</v>
      </c>
      <c r="Q2748" s="15" t="s">
        <v>1089</v>
      </c>
      <c r="R2748" s="16" t="s">
        <v>17380</v>
      </c>
      <c r="S2748" s="15" t="s">
        <v>17381</v>
      </c>
      <c r="T2748" s="15" t="s">
        <v>17382</v>
      </c>
      <c r="U2748" s="21" t="s">
        <v>72</v>
      </c>
    </row>
    <row r="2749" customFormat="false" ht="26.85" hidden="false" customHeight="false" outlineLevel="0" collapsed="false">
      <c r="A2749" s="15" t="s">
        <v>14933</v>
      </c>
      <c r="B2749" s="15" t="s">
        <v>14933</v>
      </c>
      <c r="C2749" s="14" t="s">
        <v>17383</v>
      </c>
      <c r="D2749" s="14" t="s">
        <v>17384</v>
      </c>
      <c r="E2749" s="16" t="s">
        <v>17385</v>
      </c>
      <c r="F2749" s="16" t="s">
        <v>15860</v>
      </c>
      <c r="G2749" s="19" t="s">
        <v>41</v>
      </c>
      <c r="H2749" s="18" t="n">
        <v>4</v>
      </c>
      <c r="I2749" s="20" t="n">
        <v>146.93</v>
      </c>
      <c r="J2749" s="20" t="n">
        <v>298.48</v>
      </c>
      <c r="K2749" s="18" t="n">
        <v>6</v>
      </c>
      <c r="L2749" s="18" t="n">
        <v>9</v>
      </c>
      <c r="M2749" s="18" t="n">
        <v>190</v>
      </c>
      <c r="N2749" s="18" t="n">
        <v>190</v>
      </c>
      <c r="O2749" s="14" t="s">
        <v>15886</v>
      </c>
      <c r="P2749" s="14" t="s">
        <v>84</v>
      </c>
      <c r="Q2749" s="15" t="s">
        <v>1089</v>
      </c>
      <c r="R2749" s="16" t="s">
        <v>17386</v>
      </c>
      <c r="S2749" s="15" t="s">
        <v>17387</v>
      </c>
      <c r="T2749" s="15" t="s">
        <v>17387</v>
      </c>
      <c r="U2749" s="21" t="s">
        <v>72</v>
      </c>
    </row>
    <row r="2750" customFormat="false" ht="15" hidden="false" customHeight="false" outlineLevel="0" collapsed="false">
      <c r="A2750" s="15" t="s">
        <v>14933</v>
      </c>
      <c r="B2750" s="15" t="s">
        <v>14933</v>
      </c>
      <c r="C2750" s="14" t="s">
        <v>17388</v>
      </c>
      <c r="D2750" s="14" t="s">
        <v>17389</v>
      </c>
      <c r="E2750" s="16" t="s">
        <v>17390</v>
      </c>
      <c r="F2750" s="16"/>
      <c r="G2750" s="25" t="s">
        <v>39</v>
      </c>
      <c r="H2750" s="18" t="n">
        <v>7</v>
      </c>
      <c r="I2750" s="20" t="n">
        <v>245.59</v>
      </c>
      <c r="J2750" s="20" t="n">
        <v>622.8</v>
      </c>
      <c r="K2750" s="18" t="n">
        <v>4</v>
      </c>
      <c r="L2750" s="18" t="n">
        <v>5</v>
      </c>
      <c r="M2750" s="18" t="n">
        <v>124</v>
      </c>
      <c r="N2750" s="18" t="n">
        <v>124</v>
      </c>
      <c r="O2750" s="14" t="s">
        <v>1126</v>
      </c>
      <c r="P2750" s="14" t="s">
        <v>84</v>
      </c>
      <c r="Q2750" s="15" t="s">
        <v>1089</v>
      </c>
      <c r="R2750" s="16" t="s">
        <v>11761</v>
      </c>
      <c r="S2750" s="15" t="s">
        <v>17391</v>
      </c>
      <c r="T2750" s="15" t="s">
        <v>17392</v>
      </c>
      <c r="U2750" s="21" t="s">
        <v>72</v>
      </c>
    </row>
    <row r="2751" customFormat="false" ht="26.85" hidden="false" customHeight="false" outlineLevel="0" collapsed="false">
      <c r="A2751" s="15" t="s">
        <v>14933</v>
      </c>
      <c r="B2751" s="15" t="s">
        <v>17393</v>
      </c>
      <c r="C2751" s="14" t="s">
        <v>17394</v>
      </c>
      <c r="D2751" s="14" t="s">
        <v>17395</v>
      </c>
      <c r="E2751" s="16" t="s">
        <v>17396</v>
      </c>
      <c r="F2751" s="16" t="s">
        <v>1387</v>
      </c>
      <c r="G2751" s="19" t="s">
        <v>41</v>
      </c>
      <c r="H2751" s="18" t="n">
        <v>5</v>
      </c>
      <c r="I2751" s="20" t="n">
        <v>171.61</v>
      </c>
      <c r="J2751" s="20" t="n">
        <v>322.88</v>
      </c>
      <c r="K2751" s="18" t="n">
        <v>18</v>
      </c>
      <c r="L2751" s="18" t="n">
        <v>21</v>
      </c>
      <c r="M2751" s="18" t="n">
        <v>477</v>
      </c>
      <c r="N2751" s="18" t="n">
        <v>290</v>
      </c>
      <c r="O2751" s="14" t="s">
        <v>1126</v>
      </c>
      <c r="P2751" s="14" t="s">
        <v>84</v>
      </c>
      <c r="Q2751" s="15" t="s">
        <v>1089</v>
      </c>
      <c r="R2751" s="16" t="s">
        <v>16743</v>
      </c>
      <c r="S2751" s="15" t="s">
        <v>17397</v>
      </c>
      <c r="T2751" s="15" t="s">
        <v>17398</v>
      </c>
      <c r="U2751" s="21" t="s">
        <v>72</v>
      </c>
    </row>
    <row r="2752" customFormat="false" ht="15" hidden="false" customHeight="false" outlineLevel="0" collapsed="false">
      <c r="A2752" s="15" t="s">
        <v>14933</v>
      </c>
      <c r="B2752" s="15" t="s">
        <v>17393</v>
      </c>
      <c r="C2752" s="14" t="s">
        <v>17399</v>
      </c>
      <c r="D2752" s="14" t="s">
        <v>17400</v>
      </c>
      <c r="E2752" s="16" t="s">
        <v>16592</v>
      </c>
      <c r="F2752" s="16"/>
      <c r="G2752" s="23" t="s">
        <v>43</v>
      </c>
      <c r="H2752" s="18" t="n">
        <v>2</v>
      </c>
      <c r="I2752" s="20" t="n">
        <v>88.44</v>
      </c>
      <c r="J2752" s="20" t="n">
        <v>189.55</v>
      </c>
      <c r="K2752" s="18" t="n">
        <v>4</v>
      </c>
      <c r="L2752" s="18" t="n">
        <v>2</v>
      </c>
      <c r="M2752" s="18" t="n">
        <v>144</v>
      </c>
      <c r="N2752" s="18" t="n">
        <v>109</v>
      </c>
      <c r="O2752" s="14" t="s">
        <v>17401</v>
      </c>
      <c r="P2752" s="14" t="s">
        <v>84</v>
      </c>
      <c r="Q2752" s="15" t="s">
        <v>1089</v>
      </c>
      <c r="R2752" s="16" t="s">
        <v>17402</v>
      </c>
      <c r="S2752" s="15" t="s">
        <v>17403</v>
      </c>
      <c r="T2752" s="15" t="s">
        <v>17403</v>
      </c>
      <c r="U2752" s="21" t="s">
        <v>72</v>
      </c>
    </row>
    <row r="2753" customFormat="false" ht="15" hidden="false" customHeight="false" outlineLevel="0" collapsed="false">
      <c r="A2753" s="15" t="s">
        <v>14933</v>
      </c>
      <c r="B2753" s="15" t="s">
        <v>17393</v>
      </c>
      <c r="C2753" s="14" t="s">
        <v>17404</v>
      </c>
      <c r="D2753" s="14" t="s">
        <v>17405</v>
      </c>
      <c r="E2753" s="16" t="s">
        <v>17406</v>
      </c>
      <c r="F2753" s="16"/>
      <c r="G2753" s="25" t="s">
        <v>39</v>
      </c>
      <c r="H2753" s="18" t="n">
        <v>3</v>
      </c>
      <c r="I2753" s="20" t="n">
        <v>218.9</v>
      </c>
      <c r="J2753" s="20" t="n">
        <v>449.18</v>
      </c>
      <c r="K2753" s="18" t="n">
        <v>2</v>
      </c>
      <c r="L2753" s="18" t="n">
        <v>3</v>
      </c>
      <c r="M2753" s="18" t="n">
        <v>145</v>
      </c>
      <c r="N2753" s="18" t="n">
        <v>145</v>
      </c>
      <c r="O2753" s="14" t="s">
        <v>1088</v>
      </c>
      <c r="P2753" s="14" t="s">
        <v>84</v>
      </c>
      <c r="Q2753" s="15" t="s">
        <v>1089</v>
      </c>
      <c r="R2753" s="16" t="s">
        <v>17407</v>
      </c>
      <c r="S2753" s="15" t="s">
        <v>17408</v>
      </c>
      <c r="T2753" s="15" t="s">
        <v>17408</v>
      </c>
      <c r="U2753" s="21" t="s">
        <v>72</v>
      </c>
    </row>
    <row r="2754" customFormat="false" ht="15" hidden="false" customHeight="false" outlineLevel="0" collapsed="false">
      <c r="A2754" s="15" t="s">
        <v>14933</v>
      </c>
      <c r="B2754" s="15" t="s">
        <v>17393</v>
      </c>
      <c r="C2754" s="14" t="s">
        <v>17409</v>
      </c>
      <c r="D2754" s="14" t="s">
        <v>17410</v>
      </c>
      <c r="E2754" s="16" t="s">
        <v>17411</v>
      </c>
      <c r="F2754" s="16" t="s">
        <v>17412</v>
      </c>
      <c r="G2754" s="19" t="s">
        <v>41</v>
      </c>
      <c r="H2754" s="18" t="n">
        <v>5</v>
      </c>
      <c r="I2754" s="20" t="n">
        <v>107.79</v>
      </c>
      <c r="J2754" s="20" t="n">
        <v>321.46</v>
      </c>
      <c r="K2754" s="18" t="n">
        <v>6</v>
      </c>
      <c r="L2754" s="18" t="n">
        <v>2</v>
      </c>
      <c r="M2754" s="18" t="n">
        <v>60</v>
      </c>
      <c r="N2754" s="18" t="n">
        <v>60</v>
      </c>
      <c r="O2754" s="14" t="s">
        <v>1097</v>
      </c>
      <c r="P2754" s="14" t="s">
        <v>84</v>
      </c>
      <c r="Q2754" s="15" t="s">
        <v>1089</v>
      </c>
      <c r="R2754" s="16" t="s">
        <v>17413</v>
      </c>
      <c r="S2754" s="15" t="s">
        <v>17414</v>
      </c>
      <c r="T2754" s="15" t="s">
        <v>17415</v>
      </c>
      <c r="U2754" s="21" t="s">
        <v>72</v>
      </c>
    </row>
    <row r="2755" customFormat="false" ht="15" hidden="false" customHeight="false" outlineLevel="0" collapsed="false">
      <c r="A2755" s="15" t="s">
        <v>14933</v>
      </c>
      <c r="B2755" s="15" t="s">
        <v>17416</v>
      </c>
      <c r="C2755" s="14" t="s">
        <v>17417</v>
      </c>
      <c r="D2755" s="14" t="s">
        <v>17418</v>
      </c>
      <c r="E2755" s="16" t="s">
        <v>17419</v>
      </c>
      <c r="F2755" s="16"/>
      <c r="G2755" s="19" t="s">
        <v>41</v>
      </c>
      <c r="H2755" s="18" t="n">
        <v>4</v>
      </c>
      <c r="I2755" s="20" t="n">
        <v>96.74</v>
      </c>
      <c r="J2755" s="20" t="n">
        <v>242.07</v>
      </c>
      <c r="K2755" s="18" t="n">
        <v>2</v>
      </c>
      <c r="L2755" s="18" t="n">
        <v>3</v>
      </c>
      <c r="M2755" s="18" t="n">
        <v>52</v>
      </c>
      <c r="N2755" s="18" t="n">
        <v>52</v>
      </c>
      <c r="O2755" s="14" t="s">
        <v>1126</v>
      </c>
      <c r="P2755" s="14" t="s">
        <v>84</v>
      </c>
      <c r="Q2755" s="15" t="s">
        <v>1089</v>
      </c>
      <c r="R2755" s="16" t="s">
        <v>12623</v>
      </c>
      <c r="S2755" s="15" t="s">
        <v>17420</v>
      </c>
      <c r="T2755" s="15" t="s">
        <v>17420</v>
      </c>
      <c r="U2755" s="21" t="s">
        <v>72</v>
      </c>
    </row>
    <row r="2756" customFormat="false" ht="26.85" hidden="false" customHeight="false" outlineLevel="0" collapsed="false">
      <c r="A2756" s="15" t="s">
        <v>14933</v>
      </c>
      <c r="B2756" s="15" t="s">
        <v>17421</v>
      </c>
      <c r="C2756" s="14" t="s">
        <v>17422</v>
      </c>
      <c r="D2756" s="14" t="s">
        <v>17423</v>
      </c>
      <c r="E2756" s="16" t="s">
        <v>17424</v>
      </c>
      <c r="F2756" s="16" t="s">
        <v>1387</v>
      </c>
      <c r="G2756" s="25" t="s">
        <v>39</v>
      </c>
      <c r="H2756" s="18" t="n">
        <v>9</v>
      </c>
      <c r="I2756" s="20" t="n">
        <v>227.67</v>
      </c>
      <c r="J2756" s="20" t="n">
        <v>419.02</v>
      </c>
      <c r="K2756" s="18" t="n">
        <v>24</v>
      </c>
      <c r="L2756" s="18" t="n">
        <v>15</v>
      </c>
      <c r="M2756" s="18" t="n">
        <v>492</v>
      </c>
      <c r="N2756" s="18" t="n">
        <v>259</v>
      </c>
      <c r="O2756" s="14" t="s">
        <v>1126</v>
      </c>
      <c r="P2756" s="14" t="s">
        <v>84</v>
      </c>
      <c r="Q2756" s="15" t="s">
        <v>1089</v>
      </c>
      <c r="R2756" s="16" t="s">
        <v>12556</v>
      </c>
      <c r="S2756" s="15" t="s">
        <v>8407</v>
      </c>
      <c r="T2756" s="15" t="s">
        <v>17425</v>
      </c>
      <c r="U2756" s="21" t="s">
        <v>72</v>
      </c>
    </row>
    <row r="2757" customFormat="false" ht="26.85" hidden="false" customHeight="false" outlineLevel="0" collapsed="false">
      <c r="A2757" s="15" t="s">
        <v>14933</v>
      </c>
      <c r="B2757" s="15" t="s">
        <v>17421</v>
      </c>
      <c r="C2757" s="14" t="s">
        <v>17426</v>
      </c>
      <c r="D2757" s="14" t="s">
        <v>17427</v>
      </c>
      <c r="E2757" s="16" t="s">
        <v>17428</v>
      </c>
      <c r="F2757" s="16" t="s">
        <v>17429</v>
      </c>
      <c r="G2757" s="25" t="s">
        <v>39</v>
      </c>
      <c r="H2757" s="18" t="n">
        <v>23</v>
      </c>
      <c r="I2757" s="20" t="n">
        <v>625.07</v>
      </c>
      <c r="J2757" s="20" t="n">
        <v>950.2</v>
      </c>
      <c r="K2757" s="18" t="n">
        <v>59</v>
      </c>
      <c r="L2757" s="18" t="n">
        <v>35</v>
      </c>
      <c r="M2757" s="18" t="n">
        <v>1888</v>
      </c>
      <c r="N2757" s="18" t="n">
        <v>128</v>
      </c>
      <c r="O2757" s="14" t="s">
        <v>1097</v>
      </c>
      <c r="P2757" s="14" t="s">
        <v>84</v>
      </c>
      <c r="Q2757" s="15" t="s">
        <v>1089</v>
      </c>
      <c r="R2757" s="16" t="s">
        <v>17430</v>
      </c>
      <c r="S2757" s="15" t="s">
        <v>17431</v>
      </c>
      <c r="T2757" s="15" t="s">
        <v>17431</v>
      </c>
      <c r="U2757" s="21" t="s">
        <v>72</v>
      </c>
    </row>
    <row r="2758" customFormat="false" ht="26.85" hidden="false" customHeight="false" outlineLevel="0" collapsed="false">
      <c r="A2758" s="15" t="s">
        <v>14933</v>
      </c>
      <c r="B2758" s="15" t="s">
        <v>17421</v>
      </c>
      <c r="C2758" s="14" t="s">
        <v>17432</v>
      </c>
      <c r="D2758" s="14" t="s">
        <v>17433</v>
      </c>
      <c r="E2758" s="16" t="s">
        <v>17434</v>
      </c>
      <c r="F2758" s="16" t="s">
        <v>17435</v>
      </c>
      <c r="G2758" s="25" t="s">
        <v>39</v>
      </c>
      <c r="H2758" s="18" t="n">
        <v>7</v>
      </c>
      <c r="I2758" s="20" t="n">
        <v>238.26</v>
      </c>
      <c r="J2758" s="20" t="n">
        <v>698.75</v>
      </c>
      <c r="K2758" s="18" t="n">
        <v>47</v>
      </c>
      <c r="L2758" s="18" t="n">
        <v>28</v>
      </c>
      <c r="M2758" s="18" t="n">
        <v>1294</v>
      </c>
      <c r="N2758" s="18" t="n">
        <v>928</v>
      </c>
      <c r="O2758" s="14" t="s">
        <v>1088</v>
      </c>
      <c r="P2758" s="14" t="s">
        <v>84</v>
      </c>
      <c r="Q2758" s="15" t="s">
        <v>1089</v>
      </c>
      <c r="R2758" s="16" t="s">
        <v>17436</v>
      </c>
      <c r="S2758" s="15" t="s">
        <v>17437</v>
      </c>
      <c r="T2758" s="15" t="s">
        <v>17438</v>
      </c>
      <c r="U2758" s="21" t="s">
        <v>72</v>
      </c>
    </row>
    <row r="2759" customFormat="false" ht="15" hidden="false" customHeight="false" outlineLevel="0" collapsed="false">
      <c r="A2759" s="15" t="s">
        <v>14933</v>
      </c>
      <c r="B2759" s="15" t="s">
        <v>17421</v>
      </c>
      <c r="C2759" s="14" t="s">
        <v>17439</v>
      </c>
      <c r="D2759" s="14" t="s">
        <v>17440</v>
      </c>
      <c r="E2759" s="16" t="s">
        <v>17441</v>
      </c>
      <c r="F2759" s="16" t="s">
        <v>17442</v>
      </c>
      <c r="G2759" s="19" t="s">
        <v>41</v>
      </c>
      <c r="H2759" s="18" t="n">
        <v>5</v>
      </c>
      <c r="I2759" s="20" t="n">
        <v>70.7</v>
      </c>
      <c r="J2759" s="20" t="n">
        <v>90.881</v>
      </c>
      <c r="K2759" s="18" t="n">
        <v>4</v>
      </c>
      <c r="L2759" s="18" t="n">
        <v>6</v>
      </c>
      <c r="M2759" s="18" t="n">
        <v>60</v>
      </c>
      <c r="N2759" s="18" t="n">
        <v>60</v>
      </c>
      <c r="O2759" s="14" t="s">
        <v>1088</v>
      </c>
      <c r="P2759" s="14" t="s">
        <v>84</v>
      </c>
      <c r="Q2759" s="15" t="s">
        <v>1089</v>
      </c>
      <c r="R2759" s="16" t="s">
        <v>15077</v>
      </c>
      <c r="S2759" s="15" t="s">
        <v>17443</v>
      </c>
      <c r="T2759" s="15" t="s">
        <v>17444</v>
      </c>
      <c r="U2759" s="21" t="s">
        <v>72</v>
      </c>
    </row>
    <row r="2760" customFormat="false" ht="15" hidden="false" customHeight="false" outlineLevel="0" collapsed="false">
      <c r="A2760" s="15" t="s">
        <v>14933</v>
      </c>
      <c r="B2760" s="15" t="s">
        <v>17421</v>
      </c>
      <c r="C2760" s="14" t="s">
        <v>17445</v>
      </c>
      <c r="D2760" s="14" t="s">
        <v>17446</v>
      </c>
      <c r="E2760" s="16" t="s">
        <v>17447</v>
      </c>
      <c r="F2760" s="16" t="s">
        <v>17448</v>
      </c>
      <c r="G2760" s="23" t="s">
        <v>43</v>
      </c>
      <c r="H2760" s="18" t="n">
        <v>3</v>
      </c>
      <c r="I2760" s="20" t="n">
        <v>79.48</v>
      </c>
      <c r="J2760" s="20" t="n">
        <v>164.82</v>
      </c>
      <c r="K2760" s="18" t="n">
        <v>2</v>
      </c>
      <c r="L2760" s="18" t="n">
        <v>1</v>
      </c>
      <c r="M2760" s="18" t="n">
        <v>30</v>
      </c>
      <c r="N2760" s="18" t="n">
        <v>30</v>
      </c>
      <c r="O2760" s="14" t="s">
        <v>1126</v>
      </c>
      <c r="P2760" s="14" t="s">
        <v>84</v>
      </c>
      <c r="Q2760" s="15" t="s">
        <v>1089</v>
      </c>
      <c r="R2760" s="16" t="s">
        <v>17449</v>
      </c>
      <c r="S2760" s="15" t="s">
        <v>17450</v>
      </c>
      <c r="T2760" s="15" t="s">
        <v>17450</v>
      </c>
      <c r="U2760" s="21" t="s">
        <v>72</v>
      </c>
    </row>
    <row r="2761" customFormat="false" ht="15" hidden="false" customHeight="false" outlineLevel="0" collapsed="false">
      <c r="A2761" s="15" t="s">
        <v>14933</v>
      </c>
      <c r="B2761" s="15" t="s">
        <v>17421</v>
      </c>
      <c r="C2761" s="14" t="s">
        <v>17451</v>
      </c>
      <c r="D2761" s="14" t="s">
        <v>17452</v>
      </c>
      <c r="E2761" s="16" t="s">
        <v>17453</v>
      </c>
      <c r="F2761" s="16" t="s">
        <v>17454</v>
      </c>
      <c r="G2761" s="25" t="s">
        <v>39</v>
      </c>
      <c r="H2761" s="18" t="n">
        <v>9</v>
      </c>
      <c r="I2761" s="20" t="n">
        <v>329.64</v>
      </c>
      <c r="J2761" s="20" t="n">
        <v>637</v>
      </c>
      <c r="K2761" s="18" t="n">
        <v>7</v>
      </c>
      <c r="L2761" s="18" t="n">
        <v>7</v>
      </c>
      <c r="M2761" s="18" t="n">
        <v>105</v>
      </c>
      <c r="N2761" s="18" t="n">
        <v>60</v>
      </c>
      <c r="O2761" s="14" t="s">
        <v>1126</v>
      </c>
      <c r="P2761" s="14" t="s">
        <v>84</v>
      </c>
      <c r="Q2761" s="15" t="s">
        <v>1089</v>
      </c>
      <c r="R2761" s="16" t="s">
        <v>17455</v>
      </c>
      <c r="S2761" s="15" t="s">
        <v>17456</v>
      </c>
      <c r="T2761" s="15" t="s">
        <v>17457</v>
      </c>
      <c r="U2761" s="21" t="s">
        <v>72</v>
      </c>
    </row>
    <row r="2762" customFormat="false" ht="15" hidden="false" customHeight="false" outlineLevel="0" collapsed="false">
      <c r="A2762" s="15" t="s">
        <v>14933</v>
      </c>
      <c r="B2762" s="15" t="s">
        <v>17421</v>
      </c>
      <c r="C2762" s="14" t="s">
        <v>17458</v>
      </c>
      <c r="D2762" s="14" t="s">
        <v>17459</v>
      </c>
      <c r="E2762" s="16" t="s">
        <v>17460</v>
      </c>
      <c r="F2762" s="16" t="s">
        <v>17461</v>
      </c>
      <c r="G2762" s="23" t="s">
        <v>43</v>
      </c>
      <c r="H2762" s="18" t="n">
        <v>3</v>
      </c>
      <c r="I2762" s="20" t="n">
        <v>59.11</v>
      </c>
      <c r="J2762" s="20" t="n">
        <v>132.78</v>
      </c>
      <c r="K2762" s="18" t="n">
        <v>9</v>
      </c>
      <c r="L2762" s="18" t="n">
        <v>1</v>
      </c>
      <c r="M2762" s="18" t="n">
        <v>144</v>
      </c>
      <c r="N2762" s="18" t="n">
        <v>48</v>
      </c>
      <c r="O2762" s="14" t="s">
        <v>17462</v>
      </c>
      <c r="P2762" s="14" t="s">
        <v>84</v>
      </c>
      <c r="Q2762" s="15" t="s">
        <v>1089</v>
      </c>
      <c r="R2762" s="16" t="s">
        <v>12467</v>
      </c>
      <c r="S2762" s="15" t="s">
        <v>17463</v>
      </c>
      <c r="T2762" s="15" t="s">
        <v>17463</v>
      </c>
      <c r="U2762" s="21" t="s">
        <v>72</v>
      </c>
    </row>
    <row r="2763" customFormat="false" ht="26.85" hidden="false" customHeight="false" outlineLevel="0" collapsed="false">
      <c r="A2763" s="15" t="s">
        <v>14933</v>
      </c>
      <c r="B2763" s="15" t="s">
        <v>17421</v>
      </c>
      <c r="C2763" s="14" t="s">
        <v>17464</v>
      </c>
      <c r="D2763" s="14" t="s">
        <v>17465</v>
      </c>
      <c r="E2763" s="16" t="s">
        <v>17466</v>
      </c>
      <c r="F2763" s="16"/>
      <c r="G2763" s="23" t="s">
        <v>43</v>
      </c>
      <c r="H2763" s="18" t="n">
        <v>3</v>
      </c>
      <c r="I2763" s="20" t="n">
        <v>48.31</v>
      </c>
      <c r="J2763" s="20" t="n">
        <v>181.94</v>
      </c>
      <c r="K2763" s="18" t="n">
        <v>6</v>
      </c>
      <c r="L2763" s="18"/>
      <c r="M2763" s="18" t="n">
        <v>74</v>
      </c>
      <c r="N2763" s="18" t="n">
        <v>26</v>
      </c>
      <c r="O2763" s="14" t="s">
        <v>15098</v>
      </c>
      <c r="P2763" s="14" t="s">
        <v>1185</v>
      </c>
      <c r="Q2763" s="15" t="s">
        <v>1089</v>
      </c>
      <c r="R2763" s="16" t="s">
        <v>3260</v>
      </c>
      <c r="S2763" s="15" t="s">
        <v>17467</v>
      </c>
      <c r="T2763" s="15" t="s">
        <v>17467</v>
      </c>
      <c r="U2763" s="21" t="s">
        <v>72</v>
      </c>
    </row>
    <row r="2764" customFormat="false" ht="15" hidden="false" customHeight="false" outlineLevel="0" collapsed="false">
      <c r="A2764" s="15" t="s">
        <v>14933</v>
      </c>
      <c r="B2764" s="15" t="s">
        <v>17421</v>
      </c>
      <c r="C2764" s="14" t="s">
        <v>17468</v>
      </c>
      <c r="D2764" s="14" t="s">
        <v>17469</v>
      </c>
      <c r="E2764" s="16" t="s">
        <v>17470</v>
      </c>
      <c r="F2764" s="16" t="s">
        <v>17471</v>
      </c>
      <c r="G2764" s="19" t="s">
        <v>41</v>
      </c>
      <c r="H2764" s="18" t="n">
        <v>3</v>
      </c>
      <c r="I2764" s="20" t="n">
        <v>79.72</v>
      </c>
      <c r="J2764" s="20" t="n">
        <v>201.84</v>
      </c>
      <c r="K2764" s="18" t="n">
        <v>5</v>
      </c>
      <c r="L2764" s="18" t="n">
        <v>4</v>
      </c>
      <c r="M2764" s="18" t="n">
        <v>109</v>
      </c>
      <c r="N2764" s="18" t="n">
        <v>22</v>
      </c>
      <c r="O2764" s="14" t="s">
        <v>1088</v>
      </c>
      <c r="P2764" s="14" t="s">
        <v>84</v>
      </c>
      <c r="Q2764" s="15" t="s">
        <v>1089</v>
      </c>
      <c r="R2764" s="16" t="s">
        <v>17472</v>
      </c>
      <c r="S2764" s="15" t="s">
        <v>17473</v>
      </c>
      <c r="T2764" s="15" t="s">
        <v>17473</v>
      </c>
      <c r="U2764" s="21" t="s">
        <v>72</v>
      </c>
    </row>
    <row r="2765" customFormat="false" ht="15" hidden="false" customHeight="false" outlineLevel="0" collapsed="false">
      <c r="A2765" s="15" t="s">
        <v>14933</v>
      </c>
      <c r="B2765" s="15" t="s">
        <v>17421</v>
      </c>
      <c r="C2765" s="14" t="s">
        <v>17474</v>
      </c>
      <c r="D2765" s="14" t="s">
        <v>17475</v>
      </c>
      <c r="E2765" s="16" t="s">
        <v>17476</v>
      </c>
      <c r="F2765" s="16" t="s">
        <v>17477</v>
      </c>
      <c r="G2765" s="23" t="s">
        <v>43</v>
      </c>
      <c r="H2765" s="18" t="n">
        <v>2</v>
      </c>
      <c r="I2765" s="20" t="n">
        <v>65.3</v>
      </c>
      <c r="J2765" s="20" t="n">
        <v>137.35</v>
      </c>
      <c r="K2765" s="18" t="n">
        <v>3</v>
      </c>
      <c r="L2765" s="18" t="n">
        <v>4</v>
      </c>
      <c r="M2765" s="18" t="n">
        <v>40</v>
      </c>
      <c r="N2765" s="18" t="n">
        <v>16</v>
      </c>
      <c r="O2765" s="14" t="s">
        <v>17478</v>
      </c>
      <c r="P2765" s="14" t="s">
        <v>84</v>
      </c>
      <c r="Q2765" s="15" t="s">
        <v>1089</v>
      </c>
      <c r="R2765" s="16" t="s">
        <v>17479</v>
      </c>
      <c r="S2765" s="15" t="s">
        <v>17480</v>
      </c>
      <c r="T2765" s="15" t="s">
        <v>17481</v>
      </c>
      <c r="U2765" s="21" t="s">
        <v>72</v>
      </c>
    </row>
    <row r="2766" customFormat="false" ht="15" hidden="false" customHeight="false" outlineLevel="0" collapsed="false">
      <c r="A2766" s="15" t="s">
        <v>14933</v>
      </c>
      <c r="B2766" s="15" t="s">
        <v>17421</v>
      </c>
      <c r="C2766" s="14" t="s">
        <v>17482</v>
      </c>
      <c r="D2766" s="14" t="s">
        <v>17483</v>
      </c>
      <c r="E2766" s="16" t="s">
        <v>17484</v>
      </c>
      <c r="F2766" s="16" t="s">
        <v>17485</v>
      </c>
      <c r="G2766" s="25" t="s">
        <v>39</v>
      </c>
      <c r="H2766" s="18" t="n">
        <v>8</v>
      </c>
      <c r="I2766" s="20" t="n">
        <v>186.66</v>
      </c>
      <c r="J2766" s="20" t="n">
        <v>252.38</v>
      </c>
      <c r="K2766" s="18" t="n">
        <v>10</v>
      </c>
      <c r="L2766" s="18" t="n">
        <v>4</v>
      </c>
      <c r="M2766" s="18" t="n">
        <v>179</v>
      </c>
      <c r="N2766" s="18" t="n">
        <v>28</v>
      </c>
      <c r="O2766" s="14" t="s">
        <v>1088</v>
      </c>
      <c r="P2766" s="14" t="s">
        <v>84</v>
      </c>
      <c r="Q2766" s="15" t="s">
        <v>1089</v>
      </c>
      <c r="R2766" s="16" t="s">
        <v>17486</v>
      </c>
      <c r="S2766" s="15" t="s">
        <v>17487</v>
      </c>
      <c r="T2766" s="15" t="s">
        <v>17487</v>
      </c>
      <c r="U2766" s="21" t="s">
        <v>72</v>
      </c>
    </row>
    <row r="2767" customFormat="false" ht="15" hidden="false" customHeight="false" outlineLevel="0" collapsed="false">
      <c r="A2767" s="15" t="s">
        <v>14933</v>
      </c>
      <c r="B2767" s="15" t="s">
        <v>17421</v>
      </c>
      <c r="C2767" s="14" t="s">
        <v>17488</v>
      </c>
      <c r="D2767" s="14" t="s">
        <v>17489</v>
      </c>
      <c r="E2767" s="16" t="s">
        <v>17490</v>
      </c>
      <c r="F2767" s="16" t="s">
        <v>17491</v>
      </c>
      <c r="G2767" s="23" t="s">
        <v>43</v>
      </c>
      <c r="H2767" s="18" t="n">
        <v>2</v>
      </c>
      <c r="I2767" s="20" t="n">
        <v>35.67</v>
      </c>
      <c r="J2767" s="20" t="n">
        <v>102.54</v>
      </c>
      <c r="K2767" s="18" t="n">
        <v>2</v>
      </c>
      <c r="L2767" s="18" t="n">
        <v>1</v>
      </c>
      <c r="M2767" s="18" t="n">
        <v>29</v>
      </c>
      <c r="N2767" s="18" t="n">
        <v>29</v>
      </c>
      <c r="O2767" s="14" t="s">
        <v>17492</v>
      </c>
      <c r="P2767" s="14" t="s">
        <v>84</v>
      </c>
      <c r="Q2767" s="15" t="s">
        <v>1089</v>
      </c>
      <c r="R2767" s="16" t="s">
        <v>14011</v>
      </c>
      <c r="S2767" s="15" t="s">
        <v>17493</v>
      </c>
      <c r="T2767" s="15" t="s">
        <v>17494</v>
      </c>
      <c r="U2767" s="21" t="s">
        <v>72</v>
      </c>
    </row>
    <row r="2768" customFormat="false" ht="15" hidden="false" customHeight="false" outlineLevel="0" collapsed="false">
      <c r="A2768" s="15" t="s">
        <v>14933</v>
      </c>
      <c r="B2768" s="15" t="s">
        <v>17421</v>
      </c>
      <c r="C2768" s="14" t="s">
        <v>17495</v>
      </c>
      <c r="D2768" s="14" t="s">
        <v>17496</v>
      </c>
      <c r="E2768" s="16" t="s">
        <v>17497</v>
      </c>
      <c r="F2768" s="16"/>
      <c r="G2768" s="19" t="s">
        <v>41</v>
      </c>
      <c r="H2768" s="18" t="n">
        <v>2</v>
      </c>
      <c r="I2768" s="20" t="n">
        <v>49.87</v>
      </c>
      <c r="J2768" s="20" t="n">
        <v>200.07</v>
      </c>
      <c r="K2768" s="18" t="n">
        <v>3</v>
      </c>
      <c r="L2768" s="18" t="n">
        <v>1</v>
      </c>
      <c r="M2768" s="18" t="n">
        <v>117</v>
      </c>
      <c r="N2768" s="18" t="n">
        <v>117</v>
      </c>
      <c r="O2768" s="14" t="s">
        <v>1126</v>
      </c>
      <c r="P2768" s="14" t="s">
        <v>84</v>
      </c>
      <c r="Q2768" s="15" t="s">
        <v>1089</v>
      </c>
      <c r="R2768" s="16" t="s">
        <v>5033</v>
      </c>
      <c r="S2768" s="15" t="s">
        <v>17498</v>
      </c>
      <c r="T2768" s="15" t="s">
        <v>17498</v>
      </c>
      <c r="U2768" s="21" t="s">
        <v>72</v>
      </c>
    </row>
    <row r="2769" customFormat="false" ht="15" hidden="false" customHeight="false" outlineLevel="0" collapsed="false">
      <c r="A2769" s="15" t="s">
        <v>14933</v>
      </c>
      <c r="B2769" s="15" t="s">
        <v>17421</v>
      </c>
      <c r="C2769" s="14" t="s">
        <v>17499</v>
      </c>
      <c r="D2769" s="14" t="s">
        <v>17500</v>
      </c>
      <c r="E2769" s="16" t="s">
        <v>17501</v>
      </c>
      <c r="F2769" s="16"/>
      <c r="G2769" s="23" t="s">
        <v>43</v>
      </c>
      <c r="H2769" s="18" t="n">
        <v>3</v>
      </c>
      <c r="I2769" s="20" t="n">
        <v>48.01</v>
      </c>
      <c r="J2769" s="20" t="n">
        <v>82.34</v>
      </c>
      <c r="K2769" s="18" t="n">
        <v>2</v>
      </c>
      <c r="L2769" s="18" t="n">
        <v>3</v>
      </c>
      <c r="M2769" s="18" t="n">
        <v>30</v>
      </c>
      <c r="N2769" s="18" t="n">
        <v>30</v>
      </c>
      <c r="O2769" s="14" t="s">
        <v>1088</v>
      </c>
      <c r="P2769" s="14" t="s">
        <v>84</v>
      </c>
      <c r="Q2769" s="15" t="s">
        <v>1089</v>
      </c>
      <c r="R2769" s="16" t="s">
        <v>17502</v>
      </c>
      <c r="S2769" s="15" t="s">
        <v>17503</v>
      </c>
      <c r="T2769" s="15" t="s">
        <v>17503</v>
      </c>
      <c r="U2769" s="21" t="s">
        <v>72</v>
      </c>
    </row>
    <row r="2770" customFormat="false" ht="15" hidden="false" customHeight="false" outlineLevel="0" collapsed="false">
      <c r="A2770" s="15" t="s">
        <v>14933</v>
      </c>
      <c r="B2770" s="15" t="s">
        <v>17421</v>
      </c>
      <c r="C2770" s="14" t="s">
        <v>17504</v>
      </c>
      <c r="D2770" s="14" t="s">
        <v>17505</v>
      </c>
      <c r="E2770" s="16" t="s">
        <v>17506</v>
      </c>
      <c r="F2770" s="16" t="s">
        <v>17507</v>
      </c>
      <c r="G2770" s="23" t="s">
        <v>43</v>
      </c>
      <c r="H2770" s="18" t="n">
        <v>3</v>
      </c>
      <c r="I2770" s="20" t="n">
        <v>78.38</v>
      </c>
      <c r="J2770" s="20" t="n">
        <v>165.15</v>
      </c>
      <c r="K2770" s="18" t="n">
        <v>3</v>
      </c>
      <c r="L2770" s="18" t="n">
        <v>1</v>
      </c>
      <c r="M2770" s="18" t="n">
        <v>65</v>
      </c>
      <c r="N2770" s="18" t="n">
        <v>65</v>
      </c>
      <c r="O2770" s="14" t="s">
        <v>1126</v>
      </c>
      <c r="P2770" s="14" t="s">
        <v>84</v>
      </c>
      <c r="Q2770" s="15" t="s">
        <v>1089</v>
      </c>
      <c r="R2770" s="16" t="s">
        <v>17508</v>
      </c>
      <c r="S2770" s="15" t="s">
        <v>17509</v>
      </c>
      <c r="T2770" s="15" t="s">
        <v>17509</v>
      </c>
      <c r="U2770" s="21" t="s">
        <v>72</v>
      </c>
    </row>
    <row r="2771" customFormat="false" ht="64.9" hidden="false" customHeight="false" outlineLevel="0" collapsed="false">
      <c r="A2771" s="15" t="s">
        <v>14933</v>
      </c>
      <c r="B2771" s="15" t="s">
        <v>17421</v>
      </c>
      <c r="C2771" s="14" t="s">
        <v>17510</v>
      </c>
      <c r="D2771" s="14" t="s">
        <v>17511</v>
      </c>
      <c r="E2771" s="16" t="s">
        <v>17512</v>
      </c>
      <c r="F2771" s="16"/>
      <c r="G2771" s="25" t="s">
        <v>39</v>
      </c>
      <c r="H2771" s="18" t="n">
        <v>10</v>
      </c>
      <c r="I2771" s="20" t="n">
        <v>221.63</v>
      </c>
      <c r="J2771" s="20" t="n">
        <v>450.37</v>
      </c>
      <c r="K2771" s="18" t="n">
        <v>10</v>
      </c>
      <c r="L2771" s="18" t="n">
        <v>11</v>
      </c>
      <c r="M2771" s="18" t="n">
        <v>198</v>
      </c>
      <c r="N2771" s="18" t="n">
        <v>198</v>
      </c>
      <c r="O2771" s="14" t="s">
        <v>17513</v>
      </c>
      <c r="P2771" s="14" t="s">
        <v>84</v>
      </c>
      <c r="Q2771" s="15" t="s">
        <v>1089</v>
      </c>
      <c r="R2771" s="16" t="s">
        <v>17514</v>
      </c>
      <c r="S2771" s="15" t="s">
        <v>17515</v>
      </c>
      <c r="T2771" s="15" t="s">
        <v>17516</v>
      </c>
      <c r="U2771" s="21" t="s">
        <v>72</v>
      </c>
    </row>
    <row r="2772" customFormat="false" ht="15" hidden="false" customHeight="false" outlineLevel="0" collapsed="false">
      <c r="A2772" s="15" t="s">
        <v>14933</v>
      </c>
      <c r="B2772" s="15" t="s">
        <v>17421</v>
      </c>
      <c r="C2772" s="14" t="s">
        <v>17517</v>
      </c>
      <c r="D2772" s="14" t="s">
        <v>17518</v>
      </c>
      <c r="E2772" s="16" t="s">
        <v>17519</v>
      </c>
      <c r="F2772" s="16" t="s">
        <v>17520</v>
      </c>
      <c r="G2772" s="19" t="s">
        <v>41</v>
      </c>
      <c r="H2772" s="18" t="n">
        <v>5</v>
      </c>
      <c r="I2772" s="20" t="n">
        <v>80.79</v>
      </c>
      <c r="J2772" s="20" t="n">
        <v>217.85</v>
      </c>
      <c r="K2772" s="18" t="n">
        <v>19</v>
      </c>
      <c r="L2772" s="18" t="n">
        <v>2</v>
      </c>
      <c r="M2772" s="18" t="n">
        <v>162</v>
      </c>
      <c r="N2772" s="18" t="n">
        <v>130</v>
      </c>
      <c r="O2772" s="14" t="s">
        <v>1088</v>
      </c>
      <c r="P2772" s="14" t="s">
        <v>84</v>
      </c>
      <c r="Q2772" s="15" t="s">
        <v>1089</v>
      </c>
      <c r="R2772" s="16" t="s">
        <v>5476</v>
      </c>
      <c r="S2772" s="15" t="s">
        <v>17521</v>
      </c>
      <c r="T2772" s="15" t="s">
        <v>17521</v>
      </c>
      <c r="U2772" s="21" t="s">
        <v>72</v>
      </c>
    </row>
    <row r="2773" customFormat="false" ht="15" hidden="false" customHeight="false" outlineLevel="0" collapsed="false">
      <c r="A2773" s="15" t="s">
        <v>14933</v>
      </c>
      <c r="B2773" s="15" t="s">
        <v>17421</v>
      </c>
      <c r="C2773" s="14" t="s">
        <v>17522</v>
      </c>
      <c r="D2773" s="14" t="s">
        <v>17523</v>
      </c>
      <c r="E2773" s="16" t="s">
        <v>17524</v>
      </c>
      <c r="F2773" s="16" t="s">
        <v>17525</v>
      </c>
      <c r="G2773" s="23" t="s">
        <v>43</v>
      </c>
      <c r="H2773" s="18" t="n">
        <v>2</v>
      </c>
      <c r="I2773" s="20" t="n">
        <v>41.18</v>
      </c>
      <c r="J2773" s="20" t="n">
        <v>80.22</v>
      </c>
      <c r="K2773" s="18" t="n">
        <v>4</v>
      </c>
      <c r="L2773" s="18" t="n">
        <v>4</v>
      </c>
      <c r="M2773" s="18" t="n">
        <v>44</v>
      </c>
      <c r="N2773" s="18" t="n">
        <v>44</v>
      </c>
      <c r="O2773" s="14" t="s">
        <v>1126</v>
      </c>
      <c r="P2773" s="14" t="s">
        <v>84</v>
      </c>
      <c r="Q2773" s="15" t="s">
        <v>1089</v>
      </c>
      <c r="R2773" s="16" t="s">
        <v>17526</v>
      </c>
      <c r="S2773" s="15" t="s">
        <v>17527</v>
      </c>
      <c r="T2773" s="15" t="s">
        <v>17527</v>
      </c>
      <c r="U2773" s="21" t="s">
        <v>72</v>
      </c>
    </row>
    <row r="2774" customFormat="false" ht="15" hidden="false" customHeight="false" outlineLevel="0" collapsed="false">
      <c r="A2774" s="15" t="s">
        <v>14933</v>
      </c>
      <c r="B2774" s="15" t="s">
        <v>17421</v>
      </c>
      <c r="C2774" s="14" t="s">
        <v>17528</v>
      </c>
      <c r="D2774" s="14" t="s">
        <v>17529</v>
      </c>
      <c r="E2774" s="16" t="s">
        <v>17530</v>
      </c>
      <c r="F2774" s="16" t="s">
        <v>17531</v>
      </c>
      <c r="G2774" s="25" t="s">
        <v>39</v>
      </c>
      <c r="H2774" s="18" t="n">
        <v>11</v>
      </c>
      <c r="I2774" s="20" t="n">
        <v>269.86</v>
      </c>
      <c r="J2774" s="20" t="n">
        <v>412.32</v>
      </c>
      <c r="K2774" s="18" t="n">
        <v>33</v>
      </c>
      <c r="L2774" s="18" t="n">
        <v>13</v>
      </c>
      <c r="M2774" s="18" t="n">
        <v>712</v>
      </c>
      <c r="N2774" s="18" t="n">
        <v>712</v>
      </c>
      <c r="O2774" s="14" t="s">
        <v>1126</v>
      </c>
      <c r="P2774" s="14" t="s">
        <v>84</v>
      </c>
      <c r="Q2774" s="15" t="s">
        <v>1089</v>
      </c>
      <c r="R2774" s="16" t="s">
        <v>10258</v>
      </c>
      <c r="S2774" s="15" t="s">
        <v>17532</v>
      </c>
      <c r="T2774" s="15" t="s">
        <v>17533</v>
      </c>
      <c r="U2774" s="21" t="s">
        <v>72</v>
      </c>
    </row>
    <row r="2775" customFormat="false" ht="26.85" hidden="false" customHeight="false" outlineLevel="0" collapsed="false">
      <c r="A2775" s="15" t="s">
        <v>14933</v>
      </c>
      <c r="B2775" s="15" t="s">
        <v>17421</v>
      </c>
      <c r="C2775" s="14" t="s">
        <v>17534</v>
      </c>
      <c r="D2775" s="14" t="s">
        <v>17535</v>
      </c>
      <c r="E2775" s="16" t="s">
        <v>17536</v>
      </c>
      <c r="F2775" s="16" t="s">
        <v>17537</v>
      </c>
      <c r="G2775" s="23" t="s">
        <v>43</v>
      </c>
      <c r="H2775" s="18" t="n">
        <v>1</v>
      </c>
      <c r="I2775" s="20" t="n">
        <v>45.17</v>
      </c>
      <c r="J2775" s="20" t="n">
        <v>80.17</v>
      </c>
      <c r="K2775" s="18" t="n">
        <v>10</v>
      </c>
      <c r="L2775" s="18" t="n">
        <v>2</v>
      </c>
      <c r="M2775" s="18" t="n">
        <v>220</v>
      </c>
      <c r="N2775" s="18" t="n">
        <v>44</v>
      </c>
      <c r="O2775" s="14" t="s">
        <v>17492</v>
      </c>
      <c r="P2775" s="14" t="s">
        <v>17538</v>
      </c>
      <c r="Q2775" s="15" t="s">
        <v>1089</v>
      </c>
      <c r="R2775" s="16" t="s">
        <v>17539</v>
      </c>
      <c r="S2775" s="15" t="s">
        <v>17540</v>
      </c>
      <c r="T2775" s="15" t="s">
        <v>17541</v>
      </c>
      <c r="U2775" s="21" t="s">
        <v>72</v>
      </c>
    </row>
    <row r="2776" customFormat="false" ht="15" hidden="false" customHeight="false" outlineLevel="0" collapsed="false">
      <c r="A2776" s="15" t="s">
        <v>14933</v>
      </c>
      <c r="B2776" s="15" t="s">
        <v>17421</v>
      </c>
      <c r="C2776" s="14" t="s">
        <v>17542</v>
      </c>
      <c r="D2776" s="14" t="s">
        <v>17543</v>
      </c>
      <c r="E2776" s="16" t="s">
        <v>17544</v>
      </c>
      <c r="F2776" s="16" t="s">
        <v>17545</v>
      </c>
      <c r="G2776" s="23" t="s">
        <v>43</v>
      </c>
      <c r="H2776" s="18" t="n">
        <v>3</v>
      </c>
      <c r="I2776" s="20" t="n">
        <v>75.8</v>
      </c>
      <c r="J2776" s="20" t="n">
        <v>158.269</v>
      </c>
      <c r="K2776" s="18" t="n">
        <v>2</v>
      </c>
      <c r="L2776" s="18" t="n">
        <v>2</v>
      </c>
      <c r="M2776" s="18" t="n">
        <v>50</v>
      </c>
      <c r="N2776" s="18" t="n">
        <v>50</v>
      </c>
      <c r="O2776" s="14" t="s">
        <v>1126</v>
      </c>
      <c r="P2776" s="14" t="s">
        <v>84</v>
      </c>
      <c r="Q2776" s="15" t="s">
        <v>1089</v>
      </c>
      <c r="R2776" s="16" t="s">
        <v>17546</v>
      </c>
      <c r="S2776" s="15" t="s">
        <v>17547</v>
      </c>
      <c r="T2776" s="15" t="s">
        <v>17548</v>
      </c>
      <c r="U2776" s="21" t="s">
        <v>72</v>
      </c>
    </row>
    <row r="2777" customFormat="false" ht="26.85" hidden="false" customHeight="false" outlineLevel="0" collapsed="false">
      <c r="A2777" s="15" t="s">
        <v>14933</v>
      </c>
      <c r="B2777" s="15" t="s">
        <v>17549</v>
      </c>
      <c r="C2777" s="14" t="s">
        <v>17550</v>
      </c>
      <c r="D2777" s="14" t="s">
        <v>17551</v>
      </c>
      <c r="E2777" s="16" t="s">
        <v>17552</v>
      </c>
      <c r="F2777" s="16" t="s">
        <v>17553</v>
      </c>
      <c r="G2777" s="25" t="s">
        <v>39</v>
      </c>
      <c r="H2777" s="18" t="n">
        <v>11</v>
      </c>
      <c r="I2777" s="20" t="n">
        <v>606.32</v>
      </c>
      <c r="J2777" s="20" t="n">
        <v>806.97</v>
      </c>
      <c r="K2777" s="18" t="n">
        <v>8</v>
      </c>
      <c r="L2777" s="18" t="n">
        <v>3</v>
      </c>
      <c r="M2777" s="18" t="n">
        <v>237</v>
      </c>
      <c r="N2777" s="18" t="n">
        <v>80</v>
      </c>
      <c r="O2777" s="14" t="s">
        <v>15098</v>
      </c>
      <c r="P2777" s="14" t="s">
        <v>17554</v>
      </c>
      <c r="Q2777" s="15" t="s">
        <v>1089</v>
      </c>
      <c r="R2777" s="16" t="s">
        <v>17555</v>
      </c>
      <c r="S2777" s="15" t="s">
        <v>17556</v>
      </c>
      <c r="T2777" s="15" t="s">
        <v>17557</v>
      </c>
      <c r="U2777" s="21" t="s">
        <v>72</v>
      </c>
    </row>
    <row r="2778" customFormat="false" ht="26.85" hidden="false" customHeight="false" outlineLevel="0" collapsed="false">
      <c r="A2778" s="15" t="s">
        <v>14933</v>
      </c>
      <c r="B2778" s="15" t="s">
        <v>17549</v>
      </c>
      <c r="C2778" s="14" t="s">
        <v>17558</v>
      </c>
      <c r="D2778" s="14" t="s">
        <v>17559</v>
      </c>
      <c r="E2778" s="16" t="s">
        <v>17560</v>
      </c>
      <c r="F2778" s="16" t="s">
        <v>9616</v>
      </c>
      <c r="G2778" s="25" t="s">
        <v>39</v>
      </c>
      <c r="H2778" s="18" t="n">
        <v>5</v>
      </c>
      <c r="I2778" s="20" t="n">
        <v>688</v>
      </c>
      <c r="J2778" s="20" t="n">
        <v>965.29</v>
      </c>
      <c r="K2778" s="18" t="n">
        <v>25</v>
      </c>
      <c r="L2778" s="18" t="n">
        <v>10</v>
      </c>
      <c r="M2778" s="18" t="n">
        <v>1250</v>
      </c>
      <c r="N2778" s="18" t="n">
        <v>1250</v>
      </c>
      <c r="O2778" s="14" t="s">
        <v>17561</v>
      </c>
      <c r="P2778" s="14" t="s">
        <v>84</v>
      </c>
      <c r="Q2778" s="15" t="s">
        <v>1089</v>
      </c>
      <c r="R2778" s="16" t="s">
        <v>17562</v>
      </c>
      <c r="S2778" s="15" t="s">
        <v>17563</v>
      </c>
      <c r="T2778" s="15" t="s">
        <v>17564</v>
      </c>
      <c r="U2778" s="21" t="s">
        <v>72</v>
      </c>
    </row>
    <row r="2779" customFormat="false" ht="15" hidden="false" customHeight="false" outlineLevel="0" collapsed="false">
      <c r="A2779" s="15" t="s">
        <v>14933</v>
      </c>
      <c r="B2779" s="15" t="s">
        <v>17549</v>
      </c>
      <c r="C2779" s="14" t="s">
        <v>17565</v>
      </c>
      <c r="D2779" s="14" t="s">
        <v>17566</v>
      </c>
      <c r="E2779" s="16" t="s">
        <v>17567</v>
      </c>
      <c r="F2779" s="16" t="s">
        <v>17568</v>
      </c>
      <c r="G2779" s="23" t="s">
        <v>43</v>
      </c>
      <c r="H2779" s="18" t="n">
        <v>1</v>
      </c>
      <c r="I2779" s="20" t="n">
        <v>61.99</v>
      </c>
      <c r="J2779" s="20" t="n">
        <v>106.76</v>
      </c>
      <c r="K2779" s="18" t="n">
        <v>4</v>
      </c>
      <c r="L2779" s="18" t="n">
        <v>7</v>
      </c>
      <c r="M2779" s="18" t="n">
        <v>124</v>
      </c>
      <c r="N2779" s="18" t="n">
        <v>62</v>
      </c>
      <c r="O2779" s="14" t="s">
        <v>17569</v>
      </c>
      <c r="P2779" s="14" t="s">
        <v>84</v>
      </c>
      <c r="Q2779" s="15" t="s">
        <v>1089</v>
      </c>
      <c r="R2779" s="16" t="s">
        <v>17570</v>
      </c>
      <c r="S2779" s="15" t="s">
        <v>17571</v>
      </c>
      <c r="T2779" s="15" t="s">
        <v>17572</v>
      </c>
      <c r="U2779" s="21" t="s">
        <v>72</v>
      </c>
    </row>
    <row r="2780" customFormat="false" ht="26.85" hidden="false" customHeight="false" outlineLevel="0" collapsed="false">
      <c r="A2780" s="15" t="s">
        <v>14933</v>
      </c>
      <c r="B2780" s="15" t="s">
        <v>17549</v>
      </c>
      <c r="C2780" s="14" t="s">
        <v>17573</v>
      </c>
      <c r="D2780" s="14" t="s">
        <v>17574</v>
      </c>
      <c r="E2780" s="16" t="s">
        <v>17575</v>
      </c>
      <c r="F2780" s="16" t="s">
        <v>17576</v>
      </c>
      <c r="G2780" s="19" t="s">
        <v>41</v>
      </c>
      <c r="H2780" s="18" t="n">
        <v>4</v>
      </c>
      <c r="I2780" s="20" t="n">
        <v>83.8</v>
      </c>
      <c r="J2780" s="20" t="n">
        <v>234.84</v>
      </c>
      <c r="K2780" s="18" t="n">
        <v>8</v>
      </c>
      <c r="L2780" s="18" t="n">
        <v>4</v>
      </c>
      <c r="M2780" s="18" t="n">
        <v>136</v>
      </c>
      <c r="N2780" s="18" t="n">
        <v>102</v>
      </c>
      <c r="O2780" s="14" t="s">
        <v>17577</v>
      </c>
      <c r="P2780" s="14" t="s">
        <v>84</v>
      </c>
      <c r="Q2780" s="15" t="s">
        <v>1089</v>
      </c>
      <c r="R2780" s="16" t="s">
        <v>17578</v>
      </c>
      <c r="S2780" s="15" t="s">
        <v>17443</v>
      </c>
      <c r="T2780" s="15" t="s">
        <v>17579</v>
      </c>
      <c r="U2780" s="21" t="s">
        <v>72</v>
      </c>
    </row>
    <row r="2781" customFormat="false" ht="15" hidden="false" customHeight="false" outlineLevel="0" collapsed="false">
      <c r="A2781" s="15" t="s">
        <v>14933</v>
      </c>
      <c r="B2781" s="15" t="s">
        <v>17549</v>
      </c>
      <c r="C2781" s="14" t="s">
        <v>17580</v>
      </c>
      <c r="D2781" s="14" t="s">
        <v>17581</v>
      </c>
      <c r="E2781" s="16" t="s">
        <v>17582</v>
      </c>
      <c r="F2781" s="16" t="s">
        <v>17583</v>
      </c>
      <c r="G2781" s="23" t="s">
        <v>43</v>
      </c>
      <c r="H2781" s="18" t="n">
        <v>2</v>
      </c>
      <c r="I2781" s="20" t="n">
        <v>80.15</v>
      </c>
      <c r="J2781" s="20" t="n">
        <v>198.03</v>
      </c>
      <c r="K2781" s="18" t="n">
        <v>4</v>
      </c>
      <c r="L2781" s="18" t="n">
        <v>7</v>
      </c>
      <c r="M2781" s="18" t="n">
        <v>80</v>
      </c>
      <c r="N2781" s="18" t="n">
        <v>40</v>
      </c>
      <c r="O2781" s="14" t="s">
        <v>1126</v>
      </c>
      <c r="P2781" s="14" t="s">
        <v>84</v>
      </c>
      <c r="Q2781" s="15" t="s">
        <v>1089</v>
      </c>
      <c r="R2781" s="16" t="s">
        <v>17584</v>
      </c>
      <c r="S2781" s="15" t="s">
        <v>17585</v>
      </c>
      <c r="T2781" s="15" t="s">
        <v>17585</v>
      </c>
      <c r="U2781" s="21" t="s">
        <v>72</v>
      </c>
    </row>
    <row r="2782" customFormat="false" ht="26.85" hidden="false" customHeight="false" outlineLevel="0" collapsed="false">
      <c r="A2782" s="15" t="s">
        <v>14933</v>
      </c>
      <c r="B2782" s="15" t="s">
        <v>17549</v>
      </c>
      <c r="C2782" s="14" t="s">
        <v>17586</v>
      </c>
      <c r="D2782" s="14" t="s">
        <v>17587</v>
      </c>
      <c r="E2782" s="16" t="s">
        <v>17588</v>
      </c>
      <c r="F2782" s="16" t="s">
        <v>17589</v>
      </c>
      <c r="G2782" s="19" t="s">
        <v>41</v>
      </c>
      <c r="H2782" s="18" t="n">
        <v>6</v>
      </c>
      <c r="I2782" s="20" t="n">
        <v>96.52</v>
      </c>
      <c r="J2782" s="20" t="n">
        <v>183.78</v>
      </c>
      <c r="K2782" s="18" t="n">
        <v>6</v>
      </c>
      <c r="L2782" s="18" t="n">
        <v>4</v>
      </c>
      <c r="M2782" s="18" t="n">
        <v>77</v>
      </c>
      <c r="N2782" s="18" t="n">
        <v>55</v>
      </c>
      <c r="O2782" s="14" t="s">
        <v>17590</v>
      </c>
      <c r="P2782" s="14" t="s">
        <v>84</v>
      </c>
      <c r="Q2782" s="15" t="s">
        <v>1089</v>
      </c>
      <c r="R2782" s="16" t="s">
        <v>17591</v>
      </c>
      <c r="S2782" s="15" t="s">
        <v>17592</v>
      </c>
      <c r="T2782" s="15" t="s">
        <v>17593</v>
      </c>
      <c r="U2782" s="21" t="s">
        <v>72</v>
      </c>
    </row>
    <row r="2783" customFormat="false" ht="15" hidden="false" customHeight="false" outlineLevel="0" collapsed="false">
      <c r="A2783" s="15" t="s">
        <v>14933</v>
      </c>
      <c r="B2783" s="15" t="s">
        <v>17549</v>
      </c>
      <c r="C2783" s="14" t="s">
        <v>17594</v>
      </c>
      <c r="D2783" s="14" t="s">
        <v>17595</v>
      </c>
      <c r="E2783" s="16" t="s">
        <v>17596</v>
      </c>
      <c r="F2783" s="16" t="s">
        <v>17597</v>
      </c>
      <c r="G2783" s="25" t="s">
        <v>39</v>
      </c>
      <c r="H2783" s="18" t="n">
        <v>8</v>
      </c>
      <c r="I2783" s="20" t="n">
        <v>156.736</v>
      </c>
      <c r="J2783" s="20" t="n">
        <v>345.41</v>
      </c>
      <c r="K2783" s="18" t="n">
        <v>5</v>
      </c>
      <c r="L2783" s="18" t="n">
        <v>3</v>
      </c>
      <c r="M2783" s="18" t="n">
        <v>78</v>
      </c>
      <c r="N2783" s="18" t="n">
        <v>32</v>
      </c>
      <c r="O2783" s="14" t="s">
        <v>1088</v>
      </c>
      <c r="P2783" s="14" t="s">
        <v>84</v>
      </c>
      <c r="Q2783" s="15" t="s">
        <v>1089</v>
      </c>
      <c r="R2783" s="16" t="s">
        <v>17598</v>
      </c>
      <c r="S2783" s="15" t="s">
        <v>17599</v>
      </c>
      <c r="T2783" s="15" t="s">
        <v>17600</v>
      </c>
      <c r="U2783" s="21" t="s">
        <v>72</v>
      </c>
    </row>
    <row r="2784" customFormat="false" ht="26.85" hidden="false" customHeight="false" outlineLevel="0" collapsed="false">
      <c r="A2784" s="15" t="s">
        <v>14933</v>
      </c>
      <c r="B2784" s="15" t="s">
        <v>17549</v>
      </c>
      <c r="C2784" s="14" t="s">
        <v>17601</v>
      </c>
      <c r="D2784" s="14" t="s">
        <v>17602</v>
      </c>
      <c r="E2784" s="16" t="s">
        <v>17603</v>
      </c>
      <c r="F2784" s="16" t="s">
        <v>17604</v>
      </c>
      <c r="G2784" s="25" t="s">
        <v>39</v>
      </c>
      <c r="H2784" s="18" t="n">
        <v>8</v>
      </c>
      <c r="I2784" s="20" t="n">
        <v>177.28</v>
      </c>
      <c r="J2784" s="20" t="n">
        <v>383.25</v>
      </c>
      <c r="K2784" s="18" t="n">
        <v>5</v>
      </c>
      <c r="L2784" s="18" t="n">
        <v>8</v>
      </c>
      <c r="M2784" s="18" t="n">
        <v>95</v>
      </c>
      <c r="N2784" s="18" t="n">
        <v>53</v>
      </c>
      <c r="O2784" s="14" t="s">
        <v>1126</v>
      </c>
      <c r="P2784" s="14" t="s">
        <v>84</v>
      </c>
      <c r="Q2784" s="15" t="s">
        <v>1089</v>
      </c>
      <c r="R2784" s="16" t="s">
        <v>12875</v>
      </c>
      <c r="S2784" s="15" t="s">
        <v>17605</v>
      </c>
      <c r="T2784" s="15" t="s">
        <v>17605</v>
      </c>
      <c r="U2784" s="21" t="s">
        <v>72</v>
      </c>
    </row>
    <row r="2785" customFormat="false" ht="15" hidden="false" customHeight="false" outlineLevel="0" collapsed="false">
      <c r="A2785" s="15" t="s">
        <v>14933</v>
      </c>
      <c r="B2785" s="15" t="s">
        <v>17549</v>
      </c>
      <c r="C2785" s="14" t="s">
        <v>17606</v>
      </c>
      <c r="D2785" s="14" t="s">
        <v>17607</v>
      </c>
      <c r="E2785" s="16" t="s">
        <v>17608</v>
      </c>
      <c r="F2785" s="16" t="s">
        <v>17609</v>
      </c>
      <c r="G2785" s="23" t="s">
        <v>43</v>
      </c>
      <c r="H2785" s="18" t="n">
        <v>3</v>
      </c>
      <c r="I2785" s="20" t="n">
        <v>97.74</v>
      </c>
      <c r="J2785" s="20" t="n">
        <v>177.54</v>
      </c>
      <c r="K2785" s="18" t="n">
        <v>6</v>
      </c>
      <c r="L2785" s="18" t="n">
        <v>4</v>
      </c>
      <c r="M2785" s="18" t="n">
        <v>126</v>
      </c>
      <c r="N2785" s="18" t="n">
        <v>69</v>
      </c>
      <c r="O2785" s="14" t="s">
        <v>17610</v>
      </c>
      <c r="P2785" s="14" t="s">
        <v>84</v>
      </c>
      <c r="Q2785" s="15" t="s">
        <v>1089</v>
      </c>
      <c r="R2785" s="16" t="s">
        <v>17611</v>
      </c>
      <c r="S2785" s="15" t="s">
        <v>17612</v>
      </c>
      <c r="T2785" s="15" t="s">
        <v>17612</v>
      </c>
      <c r="U2785" s="21" t="s">
        <v>72</v>
      </c>
    </row>
    <row r="2786" customFormat="false" ht="15" hidden="false" customHeight="false" outlineLevel="0" collapsed="false">
      <c r="A2786" s="15" t="s">
        <v>14933</v>
      </c>
      <c r="B2786" s="15" t="s">
        <v>17549</v>
      </c>
      <c r="C2786" s="14" t="s">
        <v>17613</v>
      </c>
      <c r="D2786" s="14" t="s">
        <v>17614</v>
      </c>
      <c r="E2786" s="16" t="s">
        <v>17615</v>
      </c>
      <c r="F2786" s="16" t="s">
        <v>17589</v>
      </c>
      <c r="G2786" s="25" t="s">
        <v>39</v>
      </c>
      <c r="H2786" s="18" t="n">
        <v>8</v>
      </c>
      <c r="I2786" s="20" t="n">
        <v>142.41</v>
      </c>
      <c r="J2786" s="20" t="n">
        <v>387.98</v>
      </c>
      <c r="K2786" s="18" t="n">
        <v>4</v>
      </c>
      <c r="L2786" s="18" t="n">
        <v>4</v>
      </c>
      <c r="M2786" s="18" t="n">
        <v>64</v>
      </c>
      <c r="N2786" s="18" t="n">
        <v>64</v>
      </c>
      <c r="O2786" s="14" t="s">
        <v>1126</v>
      </c>
      <c r="P2786" s="14" t="s">
        <v>84</v>
      </c>
      <c r="Q2786" s="15" t="s">
        <v>1089</v>
      </c>
      <c r="R2786" s="16" t="s">
        <v>17616</v>
      </c>
      <c r="S2786" s="15" t="s">
        <v>17593</v>
      </c>
      <c r="T2786" s="15" t="s">
        <v>17617</v>
      </c>
      <c r="U2786" s="21" t="s">
        <v>72</v>
      </c>
    </row>
    <row r="2787" customFormat="false" ht="39.55" hidden="false" customHeight="false" outlineLevel="0" collapsed="false">
      <c r="A2787" s="15" t="s">
        <v>14933</v>
      </c>
      <c r="B2787" s="15" t="s">
        <v>17549</v>
      </c>
      <c r="C2787" s="14" t="s">
        <v>17618</v>
      </c>
      <c r="D2787" s="14" t="s">
        <v>17619</v>
      </c>
      <c r="E2787" s="16" t="s">
        <v>17620</v>
      </c>
      <c r="F2787" s="16" t="s">
        <v>17621</v>
      </c>
      <c r="G2787" s="25" t="s">
        <v>39</v>
      </c>
      <c r="H2787" s="18" t="n">
        <v>8</v>
      </c>
      <c r="I2787" s="20" t="n">
        <v>127.02</v>
      </c>
      <c r="J2787" s="20" t="n">
        <v>218.29</v>
      </c>
      <c r="K2787" s="18" t="n">
        <v>11</v>
      </c>
      <c r="L2787" s="18" t="n">
        <v>7</v>
      </c>
      <c r="M2787" s="18" t="n">
        <v>142</v>
      </c>
      <c r="N2787" s="18" t="n">
        <v>94</v>
      </c>
      <c r="O2787" s="14" t="s">
        <v>17622</v>
      </c>
      <c r="P2787" s="14" t="s">
        <v>118</v>
      </c>
      <c r="Q2787" s="15" t="s">
        <v>1089</v>
      </c>
      <c r="R2787" s="16" t="s">
        <v>11867</v>
      </c>
      <c r="S2787" s="15" t="s">
        <v>17623</v>
      </c>
      <c r="T2787" s="15" t="s">
        <v>17623</v>
      </c>
      <c r="U2787" s="21" t="s">
        <v>72</v>
      </c>
    </row>
    <row r="2788" customFormat="false" ht="15" hidden="false" customHeight="false" outlineLevel="0" collapsed="false">
      <c r="A2788" s="15" t="s">
        <v>14933</v>
      </c>
      <c r="B2788" s="15" t="s">
        <v>17549</v>
      </c>
      <c r="C2788" s="14" t="s">
        <v>17624</v>
      </c>
      <c r="D2788" s="14" t="s">
        <v>17625</v>
      </c>
      <c r="E2788" s="16" t="s">
        <v>17626</v>
      </c>
      <c r="F2788" s="16" t="s">
        <v>17627</v>
      </c>
      <c r="G2788" s="23" t="s">
        <v>43</v>
      </c>
      <c r="H2788" s="18" t="n">
        <v>3</v>
      </c>
      <c r="I2788" s="20" t="n">
        <v>47.11</v>
      </c>
      <c r="J2788" s="20" t="n">
        <v>127.37</v>
      </c>
      <c r="K2788" s="18" t="n">
        <v>3</v>
      </c>
      <c r="L2788" s="18" t="n">
        <v>1</v>
      </c>
      <c r="M2788" s="18" t="n">
        <v>30</v>
      </c>
      <c r="N2788" s="18" t="n">
        <v>30</v>
      </c>
      <c r="O2788" s="14" t="s">
        <v>1097</v>
      </c>
      <c r="P2788" s="14" t="s">
        <v>84</v>
      </c>
      <c r="Q2788" s="15" t="s">
        <v>1089</v>
      </c>
      <c r="R2788" s="16" t="s">
        <v>17628</v>
      </c>
      <c r="S2788" s="15" t="s">
        <v>17629</v>
      </c>
      <c r="T2788" s="15" t="s">
        <v>17630</v>
      </c>
      <c r="U2788" s="21" t="s">
        <v>72</v>
      </c>
    </row>
    <row r="2789" customFormat="false" ht="26.85" hidden="false" customHeight="false" outlineLevel="0" collapsed="false">
      <c r="A2789" s="15" t="s">
        <v>14933</v>
      </c>
      <c r="B2789" s="15" t="s">
        <v>17631</v>
      </c>
      <c r="C2789" s="14" t="s">
        <v>17632</v>
      </c>
      <c r="D2789" s="14" t="s">
        <v>17633</v>
      </c>
      <c r="E2789" s="16" t="s">
        <v>17634</v>
      </c>
      <c r="F2789" s="16" t="s">
        <v>1380</v>
      </c>
      <c r="G2789" s="25" t="s">
        <v>39</v>
      </c>
      <c r="H2789" s="18" t="n">
        <v>7</v>
      </c>
      <c r="I2789" s="20" t="n">
        <v>247.24</v>
      </c>
      <c r="J2789" s="20" t="n">
        <v>408.64</v>
      </c>
      <c r="K2789" s="18" t="n">
        <v>5</v>
      </c>
      <c r="L2789" s="18" t="n">
        <v>16</v>
      </c>
      <c r="M2789" s="18" t="n">
        <v>186</v>
      </c>
      <c r="N2789" s="18" t="n">
        <v>186</v>
      </c>
      <c r="O2789" s="14" t="s">
        <v>1088</v>
      </c>
      <c r="P2789" s="14" t="s">
        <v>84</v>
      </c>
      <c r="Q2789" s="15" t="s">
        <v>1089</v>
      </c>
      <c r="R2789" s="16" t="s">
        <v>387</v>
      </c>
      <c r="S2789" s="15" t="s">
        <v>17635</v>
      </c>
      <c r="T2789" s="15" t="s">
        <v>17636</v>
      </c>
      <c r="U2789" s="21" t="s">
        <v>72</v>
      </c>
    </row>
    <row r="2790" customFormat="false" ht="26.85" hidden="false" customHeight="false" outlineLevel="0" collapsed="false">
      <c r="A2790" s="15" t="s">
        <v>14933</v>
      </c>
      <c r="B2790" s="15" t="s">
        <v>17631</v>
      </c>
      <c r="C2790" s="14" t="s">
        <v>17637</v>
      </c>
      <c r="D2790" s="14" t="s">
        <v>17638</v>
      </c>
      <c r="E2790" s="16" t="s">
        <v>17639</v>
      </c>
      <c r="F2790" s="16" t="s">
        <v>17640</v>
      </c>
      <c r="G2790" s="19" t="s">
        <v>41</v>
      </c>
      <c r="H2790" s="18" t="n">
        <v>6</v>
      </c>
      <c r="I2790" s="20" t="n">
        <v>122.46</v>
      </c>
      <c r="J2790" s="20" t="n">
        <v>352.6</v>
      </c>
      <c r="K2790" s="18" t="n">
        <v>10</v>
      </c>
      <c r="L2790" s="18" t="n">
        <v>5</v>
      </c>
      <c r="M2790" s="18" t="n">
        <v>174</v>
      </c>
      <c r="N2790" s="18" t="n">
        <v>102</v>
      </c>
      <c r="O2790" s="14" t="s">
        <v>17641</v>
      </c>
      <c r="P2790" s="14" t="s">
        <v>84</v>
      </c>
      <c r="Q2790" s="15" t="s">
        <v>1089</v>
      </c>
      <c r="R2790" s="16" t="s">
        <v>17642</v>
      </c>
      <c r="S2790" s="15" t="s">
        <v>17643</v>
      </c>
      <c r="T2790" s="15" t="s">
        <v>17644</v>
      </c>
      <c r="U2790" s="21" t="s">
        <v>72</v>
      </c>
    </row>
    <row r="2791" customFormat="false" ht="26.85" hidden="false" customHeight="false" outlineLevel="0" collapsed="false">
      <c r="A2791" s="15" t="s">
        <v>14933</v>
      </c>
      <c r="B2791" s="15" t="s">
        <v>17631</v>
      </c>
      <c r="C2791" s="14" t="s">
        <v>17645</v>
      </c>
      <c r="D2791" s="14" t="s">
        <v>17646</v>
      </c>
      <c r="E2791" s="16" t="s">
        <v>17647</v>
      </c>
      <c r="F2791" s="16" t="s">
        <v>17648</v>
      </c>
      <c r="G2791" s="19" t="s">
        <v>41</v>
      </c>
      <c r="H2791" s="18" t="n">
        <v>5</v>
      </c>
      <c r="I2791" s="20" t="n">
        <v>192.65</v>
      </c>
      <c r="J2791" s="20" t="n">
        <v>281.38</v>
      </c>
      <c r="K2791" s="18" t="n">
        <v>5</v>
      </c>
      <c r="L2791" s="18" t="n">
        <v>6</v>
      </c>
      <c r="M2791" s="18" t="n">
        <v>158</v>
      </c>
      <c r="N2791" s="18" t="n">
        <v>158</v>
      </c>
      <c r="O2791" s="14" t="s">
        <v>17649</v>
      </c>
      <c r="P2791" s="14" t="s">
        <v>84</v>
      </c>
      <c r="Q2791" s="15" t="s">
        <v>1089</v>
      </c>
      <c r="R2791" s="16" t="s">
        <v>834</v>
      </c>
      <c r="S2791" s="15" t="s">
        <v>17650</v>
      </c>
      <c r="T2791" s="15" t="s">
        <v>17651</v>
      </c>
      <c r="U2791" s="21" t="s">
        <v>72</v>
      </c>
    </row>
    <row r="2792" customFormat="false" ht="15" hidden="false" customHeight="false" outlineLevel="0" collapsed="false">
      <c r="A2792" s="15" t="s">
        <v>14933</v>
      </c>
      <c r="B2792" s="15" t="s">
        <v>17631</v>
      </c>
      <c r="C2792" s="14" t="s">
        <v>17652</v>
      </c>
      <c r="D2792" s="14" t="s">
        <v>17653</v>
      </c>
      <c r="E2792" s="16" t="s">
        <v>17654</v>
      </c>
      <c r="F2792" s="16" t="s">
        <v>17655</v>
      </c>
      <c r="G2792" s="23" t="s">
        <v>43</v>
      </c>
      <c r="H2792" s="18" t="n">
        <v>1</v>
      </c>
      <c r="I2792" s="20" t="n">
        <v>60</v>
      </c>
      <c r="J2792" s="20" t="n">
        <v>104.62</v>
      </c>
      <c r="K2792" s="18" t="n">
        <v>3</v>
      </c>
      <c r="L2792" s="18" t="n">
        <v>2</v>
      </c>
      <c r="M2792" s="18" t="n">
        <v>45</v>
      </c>
      <c r="N2792" s="18" t="n">
        <v>45</v>
      </c>
      <c r="O2792" s="14" t="s">
        <v>1088</v>
      </c>
      <c r="P2792" s="14" t="s">
        <v>84</v>
      </c>
      <c r="Q2792" s="15" t="s">
        <v>1089</v>
      </c>
      <c r="R2792" s="16" t="s">
        <v>12556</v>
      </c>
      <c r="S2792" s="15" t="s">
        <v>17656</v>
      </c>
      <c r="T2792" s="15" t="s">
        <v>17657</v>
      </c>
      <c r="U2792" s="21" t="s">
        <v>72</v>
      </c>
    </row>
    <row r="2793" customFormat="false" ht="15" hidden="false" customHeight="false" outlineLevel="0" collapsed="false">
      <c r="A2793" s="15" t="s">
        <v>14933</v>
      </c>
      <c r="B2793" s="15" t="s">
        <v>17631</v>
      </c>
      <c r="C2793" s="14" t="s">
        <v>17658</v>
      </c>
      <c r="D2793" s="14" t="s">
        <v>17659</v>
      </c>
      <c r="E2793" s="16" t="s">
        <v>17660</v>
      </c>
      <c r="F2793" s="16" t="s">
        <v>17661</v>
      </c>
      <c r="G2793" s="23" t="s">
        <v>43</v>
      </c>
      <c r="H2793" s="18" t="n">
        <v>2</v>
      </c>
      <c r="I2793" s="20" t="n">
        <v>45.68</v>
      </c>
      <c r="J2793" s="20" t="n">
        <v>158.08</v>
      </c>
      <c r="K2793" s="18" t="n">
        <v>2</v>
      </c>
      <c r="L2793" s="18" t="n">
        <v>6</v>
      </c>
      <c r="M2793" s="18" t="n">
        <v>36</v>
      </c>
      <c r="N2793" s="18" t="n">
        <v>16</v>
      </c>
      <c r="O2793" s="14" t="s">
        <v>1088</v>
      </c>
      <c r="P2793" s="14" t="s">
        <v>84</v>
      </c>
      <c r="Q2793" s="15" t="s">
        <v>1089</v>
      </c>
      <c r="R2793" s="16" t="s">
        <v>7634</v>
      </c>
      <c r="S2793" s="15" t="s">
        <v>17662</v>
      </c>
      <c r="T2793" s="15" t="s">
        <v>17663</v>
      </c>
      <c r="U2793" s="21" t="s">
        <v>72</v>
      </c>
    </row>
    <row r="2794" customFormat="false" ht="15" hidden="false" customHeight="false" outlineLevel="0" collapsed="false">
      <c r="A2794" s="15" t="s">
        <v>14933</v>
      </c>
      <c r="B2794" s="15" t="s">
        <v>17631</v>
      </c>
      <c r="C2794" s="14" t="s">
        <v>17664</v>
      </c>
      <c r="D2794" s="14" t="s">
        <v>17665</v>
      </c>
      <c r="E2794" s="16" t="s">
        <v>17666</v>
      </c>
      <c r="F2794" s="16" t="s">
        <v>17667</v>
      </c>
      <c r="G2794" s="23" t="s">
        <v>43</v>
      </c>
      <c r="H2794" s="18" t="n">
        <v>1</v>
      </c>
      <c r="I2794" s="20" t="n">
        <v>46.86</v>
      </c>
      <c r="J2794" s="20" t="n">
        <v>95.424</v>
      </c>
      <c r="K2794" s="18" t="n">
        <v>4</v>
      </c>
      <c r="L2794" s="18" t="n">
        <v>3</v>
      </c>
      <c r="M2794" s="18" t="n">
        <v>156</v>
      </c>
      <c r="N2794" s="18" t="n">
        <v>78</v>
      </c>
      <c r="O2794" s="14" t="s">
        <v>17668</v>
      </c>
      <c r="P2794" s="14" t="s">
        <v>84</v>
      </c>
      <c r="Q2794" s="15" t="s">
        <v>1089</v>
      </c>
      <c r="R2794" s="16" t="s">
        <v>4893</v>
      </c>
      <c r="S2794" s="15" t="s">
        <v>17669</v>
      </c>
      <c r="T2794" s="15" t="s">
        <v>17669</v>
      </c>
      <c r="U2794" s="21" t="s">
        <v>72</v>
      </c>
    </row>
    <row r="2795" customFormat="false" ht="26.85" hidden="false" customHeight="false" outlineLevel="0" collapsed="false">
      <c r="A2795" s="15" t="s">
        <v>14933</v>
      </c>
      <c r="B2795" s="15" t="s">
        <v>17670</v>
      </c>
      <c r="C2795" s="14" t="s">
        <v>17671</v>
      </c>
      <c r="D2795" s="14" t="s">
        <v>17672</v>
      </c>
      <c r="E2795" s="16" t="s">
        <v>17673</v>
      </c>
      <c r="F2795" s="16" t="s">
        <v>1306</v>
      </c>
      <c r="G2795" s="23" t="s">
        <v>43</v>
      </c>
      <c r="H2795" s="18" t="n">
        <v>3</v>
      </c>
      <c r="I2795" s="20" t="n">
        <v>49.19</v>
      </c>
      <c r="J2795" s="20" t="n">
        <v>199.59</v>
      </c>
      <c r="K2795" s="18" t="n">
        <v>11</v>
      </c>
      <c r="L2795" s="18" t="n">
        <v>27</v>
      </c>
      <c r="M2795" s="18" t="n">
        <v>110</v>
      </c>
      <c r="N2795" s="18" t="n">
        <v>9</v>
      </c>
      <c r="O2795" s="14" t="s">
        <v>17674</v>
      </c>
      <c r="P2795" s="14" t="s">
        <v>84</v>
      </c>
      <c r="Q2795" s="15" t="s">
        <v>1089</v>
      </c>
      <c r="R2795" s="16" t="s">
        <v>6616</v>
      </c>
      <c r="S2795" s="15" t="s">
        <v>17675</v>
      </c>
      <c r="T2795" s="15" t="s">
        <v>1308</v>
      </c>
      <c r="U2795" s="21" t="s">
        <v>72</v>
      </c>
    </row>
    <row r="2796" customFormat="false" ht="26.85" hidden="false" customHeight="false" outlineLevel="0" collapsed="false">
      <c r="A2796" s="15" t="s">
        <v>14933</v>
      </c>
      <c r="B2796" s="15" t="s">
        <v>17670</v>
      </c>
      <c r="C2796" s="14" t="s">
        <v>17676</v>
      </c>
      <c r="D2796" s="14" t="s">
        <v>17677</v>
      </c>
      <c r="E2796" s="16" t="s">
        <v>17678</v>
      </c>
      <c r="F2796" s="16" t="s">
        <v>17679</v>
      </c>
      <c r="G2796" s="23" t="s">
        <v>43</v>
      </c>
      <c r="H2796" s="18" t="n">
        <v>4</v>
      </c>
      <c r="I2796" s="20" t="n">
        <v>141.26</v>
      </c>
      <c r="J2796" s="20" t="n">
        <v>189.72</v>
      </c>
      <c r="K2796" s="18" t="n">
        <v>8</v>
      </c>
      <c r="L2796" s="18" t="n">
        <v>2</v>
      </c>
      <c r="M2796" s="18" t="n">
        <v>232</v>
      </c>
      <c r="N2796" s="18" t="n">
        <v>110</v>
      </c>
      <c r="O2796" s="14" t="s">
        <v>1088</v>
      </c>
      <c r="P2796" s="14" t="s">
        <v>906</v>
      </c>
      <c r="Q2796" s="15" t="s">
        <v>1089</v>
      </c>
      <c r="R2796" s="16" t="s">
        <v>17680</v>
      </c>
      <c r="S2796" s="15" t="s">
        <v>6779</v>
      </c>
      <c r="T2796" s="15" t="s">
        <v>17681</v>
      </c>
      <c r="U2796" s="21" t="s">
        <v>72</v>
      </c>
    </row>
    <row r="2797" customFormat="false" ht="15" hidden="false" customHeight="false" outlineLevel="0" collapsed="false">
      <c r="A2797" s="15" t="s">
        <v>14933</v>
      </c>
      <c r="B2797" s="15" t="s">
        <v>17670</v>
      </c>
      <c r="C2797" s="14" t="s">
        <v>17682</v>
      </c>
      <c r="D2797" s="14" t="s">
        <v>17683</v>
      </c>
      <c r="E2797" s="16" t="s">
        <v>17684</v>
      </c>
      <c r="F2797" s="16" t="s">
        <v>15710</v>
      </c>
      <c r="G2797" s="19" t="s">
        <v>41</v>
      </c>
      <c r="H2797" s="18" t="n">
        <v>3</v>
      </c>
      <c r="I2797" s="20" t="n">
        <v>272.96</v>
      </c>
      <c r="J2797" s="20" t="n">
        <v>376.23</v>
      </c>
      <c r="K2797" s="18" t="n">
        <v>3</v>
      </c>
      <c r="L2797" s="18" t="n">
        <v>9</v>
      </c>
      <c r="M2797" s="18" t="n">
        <v>180</v>
      </c>
      <c r="N2797" s="18" t="n">
        <v>180</v>
      </c>
      <c r="O2797" s="14" t="s">
        <v>1097</v>
      </c>
      <c r="P2797" s="14" t="s">
        <v>84</v>
      </c>
      <c r="Q2797" s="15" t="s">
        <v>1089</v>
      </c>
      <c r="R2797" s="16" t="s">
        <v>17685</v>
      </c>
      <c r="S2797" s="15" t="s">
        <v>17686</v>
      </c>
      <c r="T2797" s="15" t="s">
        <v>17687</v>
      </c>
      <c r="U2797" s="21" t="s">
        <v>72</v>
      </c>
    </row>
    <row r="2798" customFormat="false" ht="26.85" hidden="false" customHeight="false" outlineLevel="0" collapsed="false">
      <c r="A2798" s="15" t="s">
        <v>14933</v>
      </c>
      <c r="B2798" s="15" t="s">
        <v>17670</v>
      </c>
      <c r="C2798" s="14" t="s">
        <v>17688</v>
      </c>
      <c r="D2798" s="14" t="s">
        <v>17689</v>
      </c>
      <c r="E2798" s="16" t="s">
        <v>17690</v>
      </c>
      <c r="F2798" s="16" t="s">
        <v>17691</v>
      </c>
      <c r="G2798" s="25" t="s">
        <v>39</v>
      </c>
      <c r="H2798" s="18" t="n">
        <v>8</v>
      </c>
      <c r="I2798" s="20" t="n">
        <v>169.51</v>
      </c>
      <c r="J2798" s="20" t="n">
        <v>496.81</v>
      </c>
      <c r="K2798" s="18" t="n">
        <v>7</v>
      </c>
      <c r="L2798" s="18" t="n">
        <v>41</v>
      </c>
      <c r="M2798" s="18" t="n">
        <v>151</v>
      </c>
      <c r="N2798" s="18" t="n">
        <v>108</v>
      </c>
      <c r="O2798" s="14" t="s">
        <v>17692</v>
      </c>
      <c r="P2798" s="14" t="s">
        <v>84</v>
      </c>
      <c r="Q2798" s="15" t="s">
        <v>1089</v>
      </c>
      <c r="R2798" s="16" t="s">
        <v>1561</v>
      </c>
      <c r="S2798" s="15" t="s">
        <v>1348</v>
      </c>
      <c r="T2798" s="15" t="s">
        <v>17693</v>
      </c>
      <c r="U2798" s="21" t="s">
        <v>72</v>
      </c>
    </row>
    <row r="2799" customFormat="false" ht="15" hidden="false" customHeight="false" outlineLevel="0" collapsed="false">
      <c r="A2799" s="15" t="s">
        <v>14933</v>
      </c>
      <c r="B2799" s="15" t="s">
        <v>17670</v>
      </c>
      <c r="C2799" s="14" t="s">
        <v>17694</v>
      </c>
      <c r="D2799" s="14" t="s">
        <v>17695</v>
      </c>
      <c r="E2799" s="16" t="s">
        <v>17696</v>
      </c>
      <c r="F2799" s="16" t="s">
        <v>17697</v>
      </c>
      <c r="G2799" s="25" t="s">
        <v>39</v>
      </c>
      <c r="H2799" s="18" t="n">
        <v>20</v>
      </c>
      <c r="I2799" s="20" t="n">
        <v>166.74</v>
      </c>
      <c r="J2799" s="20" t="n">
        <v>465.4</v>
      </c>
      <c r="K2799" s="18" t="n">
        <v>32</v>
      </c>
      <c r="L2799" s="18" t="n">
        <v>8</v>
      </c>
      <c r="M2799" s="18" t="n">
        <v>244</v>
      </c>
      <c r="N2799" s="18" t="n">
        <v>46</v>
      </c>
      <c r="O2799" s="14" t="s">
        <v>17698</v>
      </c>
      <c r="P2799" s="14" t="s">
        <v>84</v>
      </c>
      <c r="Q2799" s="15" t="s">
        <v>1089</v>
      </c>
      <c r="R2799" s="16" t="s">
        <v>13189</v>
      </c>
      <c r="S2799" s="15" t="s">
        <v>17699</v>
      </c>
      <c r="T2799" s="15" t="s">
        <v>17700</v>
      </c>
      <c r="U2799" s="21" t="s">
        <v>72</v>
      </c>
    </row>
    <row r="2800" customFormat="false" ht="26.85" hidden="false" customHeight="false" outlineLevel="0" collapsed="false">
      <c r="A2800" s="15" t="s">
        <v>14933</v>
      </c>
      <c r="B2800" s="15" t="s">
        <v>17670</v>
      </c>
      <c r="C2800" s="14" t="s">
        <v>17701</v>
      </c>
      <c r="D2800" s="14" t="s">
        <v>17702</v>
      </c>
      <c r="E2800" s="16" t="s">
        <v>17703</v>
      </c>
      <c r="F2800" s="16" t="s">
        <v>17429</v>
      </c>
      <c r="G2800" s="25" t="s">
        <v>39</v>
      </c>
      <c r="H2800" s="18" t="n">
        <v>17</v>
      </c>
      <c r="I2800" s="20" t="n">
        <v>316.02</v>
      </c>
      <c r="J2800" s="20" t="n">
        <v>547.65</v>
      </c>
      <c r="K2800" s="18" t="n">
        <v>18</v>
      </c>
      <c r="L2800" s="18" t="n">
        <v>3</v>
      </c>
      <c r="M2800" s="18" t="n">
        <v>276</v>
      </c>
      <c r="N2800" s="18" t="n">
        <v>9</v>
      </c>
      <c r="O2800" s="14" t="s">
        <v>17704</v>
      </c>
      <c r="P2800" s="14" t="s">
        <v>84</v>
      </c>
      <c r="Q2800" s="15" t="s">
        <v>1089</v>
      </c>
      <c r="R2800" s="16" t="s">
        <v>17705</v>
      </c>
      <c r="S2800" s="15" t="s">
        <v>17706</v>
      </c>
      <c r="T2800" s="15" t="s">
        <v>17707</v>
      </c>
      <c r="U2800" s="21" t="s">
        <v>72</v>
      </c>
    </row>
    <row r="2801" customFormat="false" ht="39.55" hidden="false" customHeight="false" outlineLevel="0" collapsed="false">
      <c r="A2801" s="15" t="s">
        <v>14933</v>
      </c>
      <c r="B2801" s="15" t="s">
        <v>17670</v>
      </c>
      <c r="C2801" s="14" t="s">
        <v>17708</v>
      </c>
      <c r="D2801" s="14" t="s">
        <v>17709</v>
      </c>
      <c r="E2801" s="16" t="s">
        <v>17710</v>
      </c>
      <c r="F2801" s="16" t="s">
        <v>14994</v>
      </c>
      <c r="G2801" s="25" t="s">
        <v>39</v>
      </c>
      <c r="H2801" s="18" t="n">
        <v>8</v>
      </c>
      <c r="I2801" s="20" t="n">
        <v>255.13</v>
      </c>
      <c r="J2801" s="20" t="n">
        <v>416.06</v>
      </c>
      <c r="K2801" s="18" t="n">
        <v>8</v>
      </c>
      <c r="L2801" s="18" t="n">
        <v>4</v>
      </c>
      <c r="M2801" s="18" t="n">
        <v>303</v>
      </c>
      <c r="N2801" s="18" t="n">
        <v>303</v>
      </c>
      <c r="O2801" s="14" t="s">
        <v>17711</v>
      </c>
      <c r="P2801" s="14" t="s">
        <v>84</v>
      </c>
      <c r="Q2801" s="15" t="s">
        <v>1089</v>
      </c>
      <c r="R2801" s="16" t="s">
        <v>17712</v>
      </c>
      <c r="S2801" s="15" t="s">
        <v>17713</v>
      </c>
      <c r="T2801" s="15" t="s">
        <v>17714</v>
      </c>
      <c r="U2801" s="21" t="s">
        <v>72</v>
      </c>
    </row>
    <row r="2802" customFormat="false" ht="50.7" hidden="false" customHeight="false" outlineLevel="0" collapsed="false">
      <c r="A2802" s="15" t="s">
        <v>14933</v>
      </c>
      <c r="B2802" s="15" t="s">
        <v>17670</v>
      </c>
      <c r="C2802" s="14" t="s">
        <v>17715</v>
      </c>
      <c r="D2802" s="14" t="s">
        <v>17716</v>
      </c>
      <c r="E2802" s="16" t="s">
        <v>17717</v>
      </c>
      <c r="F2802" s="16" t="s">
        <v>17718</v>
      </c>
      <c r="G2802" s="25" t="s">
        <v>39</v>
      </c>
      <c r="H2802" s="18" t="n">
        <v>11</v>
      </c>
      <c r="I2802" s="20" t="n">
        <v>642.99</v>
      </c>
      <c r="J2802" s="20" t="n">
        <v>1616.43</v>
      </c>
      <c r="K2802" s="18" t="n">
        <v>28</v>
      </c>
      <c r="L2802" s="18" t="n">
        <v>23</v>
      </c>
      <c r="M2802" s="18" t="n">
        <v>643</v>
      </c>
      <c r="N2802" s="18" t="n">
        <v>169</v>
      </c>
      <c r="O2802" s="14" t="s">
        <v>17719</v>
      </c>
      <c r="P2802" s="14" t="s">
        <v>84</v>
      </c>
      <c r="Q2802" s="15" t="s">
        <v>1089</v>
      </c>
      <c r="R2802" s="16" t="s">
        <v>17720</v>
      </c>
      <c r="S2802" s="15" t="s">
        <v>17437</v>
      </c>
      <c r="T2802" s="15" t="s">
        <v>17721</v>
      </c>
      <c r="U2802" s="21" t="s">
        <v>72</v>
      </c>
    </row>
    <row r="2803" customFormat="false" ht="26.85" hidden="false" customHeight="false" outlineLevel="0" collapsed="false">
      <c r="A2803" s="15" t="s">
        <v>14933</v>
      </c>
      <c r="B2803" s="15" t="s">
        <v>17670</v>
      </c>
      <c r="C2803" s="14" t="s">
        <v>17722</v>
      </c>
      <c r="D2803" s="14" t="s">
        <v>17723</v>
      </c>
      <c r="E2803" s="16" t="s">
        <v>17724</v>
      </c>
      <c r="F2803" s="16" t="s">
        <v>17725</v>
      </c>
      <c r="G2803" s="23" t="s">
        <v>43</v>
      </c>
      <c r="H2803" s="18" t="n">
        <v>3</v>
      </c>
      <c r="I2803" s="20" t="n">
        <v>36.65</v>
      </c>
      <c r="J2803" s="20" t="n">
        <v>186.73</v>
      </c>
      <c r="K2803" s="18" t="n">
        <v>2</v>
      </c>
      <c r="L2803" s="18" t="n">
        <v>4</v>
      </c>
      <c r="M2803" s="18" t="n">
        <v>20</v>
      </c>
      <c r="N2803" s="18" t="n">
        <v>10</v>
      </c>
      <c r="O2803" s="14" t="s">
        <v>17726</v>
      </c>
      <c r="P2803" s="14" t="s">
        <v>84</v>
      </c>
      <c r="Q2803" s="15" t="s">
        <v>1089</v>
      </c>
      <c r="R2803" s="16" t="s">
        <v>17727</v>
      </c>
      <c r="S2803" s="15" t="s">
        <v>17728</v>
      </c>
      <c r="T2803" s="15" t="s">
        <v>17728</v>
      </c>
      <c r="U2803" s="21" t="s">
        <v>72</v>
      </c>
    </row>
    <row r="2804" customFormat="false" ht="39.55" hidden="false" customHeight="false" outlineLevel="0" collapsed="false">
      <c r="A2804" s="15" t="s">
        <v>14933</v>
      </c>
      <c r="B2804" s="15" t="s">
        <v>17670</v>
      </c>
      <c r="C2804" s="14" t="s">
        <v>17729</v>
      </c>
      <c r="D2804" s="14" t="s">
        <v>17730</v>
      </c>
      <c r="E2804" s="16" t="s">
        <v>17731</v>
      </c>
      <c r="F2804" s="16" t="s">
        <v>17732</v>
      </c>
      <c r="G2804" s="23" t="s">
        <v>43</v>
      </c>
      <c r="H2804" s="18" t="n">
        <v>3</v>
      </c>
      <c r="I2804" s="20" t="n">
        <v>116.71</v>
      </c>
      <c r="J2804" s="20" t="n">
        <v>184.52</v>
      </c>
      <c r="K2804" s="18" t="n">
        <v>4</v>
      </c>
      <c r="L2804" s="18" t="n">
        <v>3</v>
      </c>
      <c r="M2804" s="18" t="n">
        <v>64</v>
      </c>
      <c r="N2804" s="18" t="n">
        <v>64</v>
      </c>
      <c r="O2804" s="14" t="s">
        <v>17733</v>
      </c>
      <c r="P2804" s="14" t="s">
        <v>84</v>
      </c>
      <c r="Q2804" s="15" t="s">
        <v>1089</v>
      </c>
      <c r="R2804" s="16" t="s">
        <v>13294</v>
      </c>
      <c r="S2804" s="15" t="s">
        <v>17734</v>
      </c>
      <c r="T2804" s="15" t="s">
        <v>17734</v>
      </c>
      <c r="U2804" s="21" t="s">
        <v>72</v>
      </c>
    </row>
    <row r="2805" customFormat="false" ht="15" hidden="false" customHeight="false" outlineLevel="0" collapsed="false">
      <c r="A2805" s="15" t="s">
        <v>14933</v>
      </c>
      <c r="B2805" s="15" t="s">
        <v>17670</v>
      </c>
      <c r="C2805" s="14" t="s">
        <v>17735</v>
      </c>
      <c r="D2805" s="14" t="s">
        <v>17736</v>
      </c>
      <c r="E2805" s="16" t="s">
        <v>17737</v>
      </c>
      <c r="F2805" s="16" t="s">
        <v>17679</v>
      </c>
      <c r="G2805" s="25" t="s">
        <v>39</v>
      </c>
      <c r="H2805" s="18" t="n">
        <v>12</v>
      </c>
      <c r="I2805" s="20" t="n">
        <v>263.58</v>
      </c>
      <c r="J2805" s="20" t="n">
        <v>576.48</v>
      </c>
      <c r="K2805" s="18" t="n">
        <v>30</v>
      </c>
      <c r="L2805" s="18" t="n">
        <v>11</v>
      </c>
      <c r="M2805" s="18" t="n">
        <v>562</v>
      </c>
      <c r="N2805" s="18" t="n">
        <v>532</v>
      </c>
      <c r="O2805" s="14" t="s">
        <v>1088</v>
      </c>
      <c r="P2805" s="14" t="s">
        <v>84</v>
      </c>
      <c r="Q2805" s="15" t="s">
        <v>1089</v>
      </c>
      <c r="R2805" s="16" t="s">
        <v>17738</v>
      </c>
      <c r="S2805" s="15" t="s">
        <v>17739</v>
      </c>
      <c r="T2805" s="15" t="s">
        <v>17740</v>
      </c>
      <c r="U2805" s="21" t="s">
        <v>72</v>
      </c>
    </row>
    <row r="2806" customFormat="false" ht="15" hidden="false" customHeight="false" outlineLevel="0" collapsed="false">
      <c r="A2806" s="15" t="s">
        <v>14933</v>
      </c>
      <c r="B2806" s="15" t="s">
        <v>17670</v>
      </c>
      <c r="C2806" s="14" t="s">
        <v>17741</v>
      </c>
      <c r="D2806" s="14" t="s">
        <v>17742</v>
      </c>
      <c r="E2806" s="16" t="s">
        <v>17743</v>
      </c>
      <c r="F2806" s="16" t="s">
        <v>17744</v>
      </c>
      <c r="G2806" s="23" t="s">
        <v>43</v>
      </c>
      <c r="H2806" s="18" t="n">
        <v>4</v>
      </c>
      <c r="I2806" s="20" t="n">
        <v>77.74</v>
      </c>
      <c r="J2806" s="20" t="n">
        <v>96.16</v>
      </c>
      <c r="K2806" s="18" t="n">
        <v>4</v>
      </c>
      <c r="L2806" s="18" t="n">
        <v>3</v>
      </c>
      <c r="M2806" s="18" t="n">
        <v>62</v>
      </c>
      <c r="N2806" s="18" t="n">
        <v>62</v>
      </c>
      <c r="O2806" s="14" t="s">
        <v>1097</v>
      </c>
      <c r="P2806" s="14" t="s">
        <v>84</v>
      </c>
      <c r="Q2806" s="15" t="s">
        <v>1089</v>
      </c>
      <c r="R2806" s="16" t="s">
        <v>17745</v>
      </c>
      <c r="S2806" s="15" t="s">
        <v>17746</v>
      </c>
      <c r="T2806" s="15" t="s">
        <v>17746</v>
      </c>
      <c r="U2806" s="21" t="s">
        <v>72</v>
      </c>
    </row>
    <row r="2807" customFormat="false" ht="26.85" hidden="false" customHeight="false" outlineLevel="0" collapsed="false">
      <c r="A2807" s="15" t="s">
        <v>14933</v>
      </c>
      <c r="B2807" s="15" t="s">
        <v>17670</v>
      </c>
      <c r="C2807" s="14" t="s">
        <v>17747</v>
      </c>
      <c r="D2807" s="14" t="s">
        <v>17748</v>
      </c>
      <c r="E2807" s="16" t="s">
        <v>17749</v>
      </c>
      <c r="F2807" s="16" t="s">
        <v>17750</v>
      </c>
      <c r="G2807" s="25" t="s">
        <v>39</v>
      </c>
      <c r="H2807" s="18" t="n">
        <v>8</v>
      </c>
      <c r="I2807" s="20" t="n">
        <v>135.7</v>
      </c>
      <c r="J2807" s="20" t="n">
        <v>368.61</v>
      </c>
      <c r="K2807" s="18" t="n">
        <v>12</v>
      </c>
      <c r="L2807" s="18" t="n">
        <v>5</v>
      </c>
      <c r="M2807" s="18" t="n">
        <v>180</v>
      </c>
      <c r="N2807" s="18" t="n">
        <v>112</v>
      </c>
      <c r="O2807" s="14" t="s">
        <v>17751</v>
      </c>
      <c r="P2807" s="14" t="s">
        <v>118</v>
      </c>
      <c r="Q2807" s="15" t="s">
        <v>1089</v>
      </c>
      <c r="R2807" s="16" t="s">
        <v>17752</v>
      </c>
      <c r="S2807" s="15" t="s">
        <v>17753</v>
      </c>
      <c r="T2807" s="15" t="s">
        <v>17754</v>
      </c>
      <c r="U2807" s="21" t="s">
        <v>72</v>
      </c>
    </row>
    <row r="2808" customFormat="false" ht="15" hidden="false" customHeight="false" outlineLevel="0" collapsed="false">
      <c r="A2808" s="15" t="s">
        <v>14933</v>
      </c>
      <c r="B2808" s="15" t="s">
        <v>17670</v>
      </c>
      <c r="C2808" s="14" t="s">
        <v>17755</v>
      </c>
      <c r="D2808" s="14" t="s">
        <v>17756</v>
      </c>
      <c r="E2808" s="16" t="s">
        <v>17757</v>
      </c>
      <c r="F2808" s="16"/>
      <c r="G2808" s="23" t="s">
        <v>43</v>
      </c>
      <c r="H2808" s="18" t="n">
        <v>4</v>
      </c>
      <c r="I2808" s="20" t="n">
        <v>56.76</v>
      </c>
      <c r="J2808" s="20" t="n">
        <v>137.2</v>
      </c>
      <c r="K2808" s="18" t="n">
        <v>4</v>
      </c>
      <c r="L2808" s="18"/>
      <c r="M2808" s="18" t="n">
        <v>54</v>
      </c>
      <c r="N2808" s="18" t="n">
        <v>28</v>
      </c>
      <c r="O2808" s="14" t="s">
        <v>17758</v>
      </c>
      <c r="P2808" s="14" t="s">
        <v>84</v>
      </c>
      <c r="Q2808" s="15" t="s">
        <v>1089</v>
      </c>
      <c r="R2808" s="16" t="s">
        <v>11867</v>
      </c>
      <c r="S2808" s="15" t="s">
        <v>17759</v>
      </c>
      <c r="T2808" s="15" t="s">
        <v>17759</v>
      </c>
      <c r="U2808" s="21" t="s">
        <v>72</v>
      </c>
    </row>
    <row r="2809" customFormat="false" ht="26.85" hidden="false" customHeight="false" outlineLevel="0" collapsed="false">
      <c r="A2809" s="15" t="s">
        <v>14933</v>
      </c>
      <c r="B2809" s="15" t="s">
        <v>17670</v>
      </c>
      <c r="C2809" s="14" t="s">
        <v>17760</v>
      </c>
      <c r="D2809" s="14" t="s">
        <v>17761</v>
      </c>
      <c r="E2809" s="16" t="s">
        <v>17762</v>
      </c>
      <c r="F2809" s="16" t="s">
        <v>17763</v>
      </c>
      <c r="G2809" s="25" t="s">
        <v>39</v>
      </c>
      <c r="H2809" s="18" t="n">
        <v>6</v>
      </c>
      <c r="I2809" s="20" t="n">
        <v>328.97</v>
      </c>
      <c r="J2809" s="20" t="n">
        <v>450.75</v>
      </c>
      <c r="K2809" s="18" t="n">
        <v>4</v>
      </c>
      <c r="L2809" s="18" t="n">
        <v>7</v>
      </c>
      <c r="M2809" s="18" t="n">
        <v>353</v>
      </c>
      <c r="N2809" s="18" t="n">
        <v>353</v>
      </c>
      <c r="O2809" s="14" t="s">
        <v>1126</v>
      </c>
      <c r="P2809" s="14" t="s">
        <v>84</v>
      </c>
      <c r="Q2809" s="15" t="s">
        <v>1089</v>
      </c>
      <c r="R2809" s="16" t="s">
        <v>17555</v>
      </c>
      <c r="S2809" s="15" t="s">
        <v>17532</v>
      </c>
      <c r="T2809" s="15" t="s">
        <v>17764</v>
      </c>
      <c r="U2809" s="21" t="s">
        <v>72</v>
      </c>
    </row>
    <row r="2810" customFormat="false" ht="15" hidden="false" customHeight="false" outlineLevel="0" collapsed="false">
      <c r="A2810" s="15" t="s">
        <v>14933</v>
      </c>
      <c r="B2810" s="15" t="s">
        <v>17670</v>
      </c>
      <c r="C2810" s="14" t="s">
        <v>17765</v>
      </c>
      <c r="D2810" s="14" t="s">
        <v>17766</v>
      </c>
      <c r="E2810" s="16" t="s">
        <v>17767</v>
      </c>
      <c r="F2810" s="16" t="s">
        <v>17768</v>
      </c>
      <c r="G2810" s="23" t="s">
        <v>43</v>
      </c>
      <c r="H2810" s="18" t="n">
        <v>4</v>
      </c>
      <c r="I2810" s="20" t="n">
        <v>66.68</v>
      </c>
      <c r="J2810" s="20" t="n">
        <v>143.25</v>
      </c>
      <c r="K2810" s="18" t="n">
        <v>6</v>
      </c>
      <c r="L2810" s="18" t="n">
        <v>3</v>
      </c>
      <c r="M2810" s="18" t="n">
        <v>80</v>
      </c>
      <c r="N2810" s="18" t="n">
        <v>80</v>
      </c>
      <c r="O2810" s="14" t="s">
        <v>2125</v>
      </c>
      <c r="P2810" s="14" t="s">
        <v>84</v>
      </c>
      <c r="Q2810" s="15" t="s">
        <v>1089</v>
      </c>
      <c r="R2810" s="16" t="s">
        <v>10055</v>
      </c>
      <c r="S2810" s="15" t="s">
        <v>17769</v>
      </c>
      <c r="T2810" s="15" t="s">
        <v>17770</v>
      </c>
      <c r="U2810" s="21" t="s">
        <v>72</v>
      </c>
    </row>
    <row r="2811" customFormat="false" ht="52.2" hidden="false" customHeight="false" outlineLevel="0" collapsed="false">
      <c r="A2811" s="15" t="s">
        <v>14933</v>
      </c>
      <c r="B2811" s="15" t="s">
        <v>17670</v>
      </c>
      <c r="C2811" s="14" t="s">
        <v>17771</v>
      </c>
      <c r="D2811" s="14" t="s">
        <v>17772</v>
      </c>
      <c r="E2811" s="16" t="s">
        <v>17773</v>
      </c>
      <c r="F2811" s="16" t="s">
        <v>17774</v>
      </c>
      <c r="G2811" s="25" t="s">
        <v>39</v>
      </c>
      <c r="H2811" s="18" t="n">
        <v>11</v>
      </c>
      <c r="I2811" s="20" t="n">
        <v>434.34</v>
      </c>
      <c r="J2811" s="20" t="n">
        <v>871.59</v>
      </c>
      <c r="K2811" s="18" t="n">
        <v>11</v>
      </c>
      <c r="L2811" s="18" t="n">
        <v>9</v>
      </c>
      <c r="M2811" s="18" t="n">
        <v>356</v>
      </c>
      <c r="N2811" s="18" t="n">
        <v>356</v>
      </c>
      <c r="O2811" s="14" t="s">
        <v>17775</v>
      </c>
      <c r="P2811" s="14" t="s">
        <v>84</v>
      </c>
      <c r="Q2811" s="15" t="s">
        <v>1089</v>
      </c>
      <c r="R2811" s="16" t="s">
        <v>17776</v>
      </c>
      <c r="S2811" s="15" t="s">
        <v>17777</v>
      </c>
      <c r="T2811" s="15" t="s">
        <v>17778</v>
      </c>
      <c r="U2811" s="21" t="s">
        <v>72</v>
      </c>
    </row>
    <row r="2812" customFormat="false" ht="15" hidden="false" customHeight="false" outlineLevel="0" collapsed="false">
      <c r="A2812" s="15" t="s">
        <v>14933</v>
      </c>
      <c r="B2812" s="15" t="s">
        <v>17670</v>
      </c>
      <c r="C2812" s="14" t="s">
        <v>17779</v>
      </c>
      <c r="D2812" s="14" t="s">
        <v>17780</v>
      </c>
      <c r="E2812" s="16" t="s">
        <v>17781</v>
      </c>
      <c r="F2812" s="16" t="s">
        <v>17782</v>
      </c>
      <c r="G2812" s="25" t="s">
        <v>39</v>
      </c>
      <c r="H2812" s="18" t="n">
        <v>14</v>
      </c>
      <c r="I2812" s="20" t="n">
        <v>543.34</v>
      </c>
      <c r="J2812" s="20" t="n">
        <v>1065.97</v>
      </c>
      <c r="K2812" s="18" t="n">
        <v>14</v>
      </c>
      <c r="L2812" s="18" t="n">
        <v>17</v>
      </c>
      <c r="M2812" s="18" t="n">
        <v>444</v>
      </c>
      <c r="N2812" s="18" t="n">
        <v>444</v>
      </c>
      <c r="O2812" s="14" t="s">
        <v>1088</v>
      </c>
      <c r="P2812" s="14" t="s">
        <v>84</v>
      </c>
      <c r="Q2812" s="15" t="s">
        <v>1089</v>
      </c>
      <c r="R2812" s="16" t="s">
        <v>2891</v>
      </c>
      <c r="S2812" s="15" t="s">
        <v>17783</v>
      </c>
      <c r="T2812" s="15" t="s">
        <v>3819</v>
      </c>
      <c r="U2812" s="21" t="s">
        <v>72</v>
      </c>
    </row>
    <row r="2813" customFormat="false" ht="26.85" hidden="false" customHeight="false" outlineLevel="0" collapsed="false">
      <c r="A2813" s="15" t="s">
        <v>14933</v>
      </c>
      <c r="B2813" s="15" t="s">
        <v>17670</v>
      </c>
      <c r="C2813" s="14" t="s">
        <v>17784</v>
      </c>
      <c r="D2813" s="14" t="s">
        <v>17785</v>
      </c>
      <c r="E2813" s="16" t="s">
        <v>17762</v>
      </c>
      <c r="F2813" s="16" t="s">
        <v>17763</v>
      </c>
      <c r="G2813" s="25" t="s">
        <v>39</v>
      </c>
      <c r="H2813" s="18" t="n">
        <v>13</v>
      </c>
      <c r="I2813" s="20" t="n">
        <v>489.92</v>
      </c>
      <c r="J2813" s="20" t="n">
        <v>951.61</v>
      </c>
      <c r="K2813" s="18" t="n">
        <v>6</v>
      </c>
      <c r="L2813" s="18" t="n">
        <v>4</v>
      </c>
      <c r="M2813" s="18" t="n">
        <v>277</v>
      </c>
      <c r="N2813" s="18" t="n">
        <v>277</v>
      </c>
      <c r="O2813" s="14" t="s">
        <v>1126</v>
      </c>
      <c r="P2813" s="14" t="s">
        <v>84</v>
      </c>
      <c r="Q2813" s="15" t="s">
        <v>1089</v>
      </c>
      <c r="R2813" s="16" t="s">
        <v>17786</v>
      </c>
      <c r="S2813" s="15" t="s">
        <v>17787</v>
      </c>
      <c r="T2813" s="15" t="s">
        <v>17788</v>
      </c>
      <c r="U2813" s="21" t="s">
        <v>72</v>
      </c>
    </row>
    <row r="2814" customFormat="false" ht="25.35" hidden="false" customHeight="false" outlineLevel="0" collapsed="false">
      <c r="A2814" s="15" t="s">
        <v>14933</v>
      </c>
      <c r="B2814" s="15" t="s">
        <v>17670</v>
      </c>
      <c r="C2814" s="14" t="s">
        <v>17789</v>
      </c>
      <c r="D2814" s="14" t="s">
        <v>17790</v>
      </c>
      <c r="E2814" s="16" t="s">
        <v>17791</v>
      </c>
      <c r="F2814" s="16" t="s">
        <v>17792</v>
      </c>
      <c r="G2814" s="19" t="s">
        <v>41</v>
      </c>
      <c r="H2814" s="18" t="n">
        <v>3</v>
      </c>
      <c r="I2814" s="20" t="n">
        <v>74.66</v>
      </c>
      <c r="J2814" s="20" t="n">
        <v>281.06</v>
      </c>
      <c r="K2814" s="18" t="n">
        <v>3</v>
      </c>
      <c r="L2814" s="18" t="n">
        <v>1</v>
      </c>
      <c r="M2814" s="18" t="n">
        <v>61</v>
      </c>
      <c r="N2814" s="18" t="n">
        <v>61</v>
      </c>
      <c r="O2814" s="14" t="s">
        <v>17793</v>
      </c>
      <c r="P2814" s="14" t="s">
        <v>84</v>
      </c>
      <c r="Q2814" s="15" t="s">
        <v>1089</v>
      </c>
      <c r="R2814" s="16" t="s">
        <v>17794</v>
      </c>
      <c r="S2814" s="15" t="s">
        <v>17795</v>
      </c>
      <c r="T2814" s="15" t="s">
        <v>17796</v>
      </c>
      <c r="U2814" s="21" t="s">
        <v>72</v>
      </c>
    </row>
    <row r="2815" customFormat="false" ht="15" hidden="false" customHeight="false" outlineLevel="0" collapsed="false">
      <c r="A2815" s="15" t="s">
        <v>14933</v>
      </c>
      <c r="B2815" s="15" t="s">
        <v>17670</v>
      </c>
      <c r="C2815" s="14" t="s">
        <v>17797</v>
      </c>
      <c r="D2815" s="14" t="s">
        <v>17798</v>
      </c>
      <c r="E2815" s="16" t="s">
        <v>17799</v>
      </c>
      <c r="F2815" s="16" t="s">
        <v>17800</v>
      </c>
      <c r="G2815" s="23" t="s">
        <v>43</v>
      </c>
      <c r="H2815" s="18" t="n">
        <v>2</v>
      </c>
      <c r="I2815" s="20" t="n">
        <v>103.69</v>
      </c>
      <c r="J2815" s="20" t="n">
        <v>153.64</v>
      </c>
      <c r="K2815" s="18" t="n">
        <v>3</v>
      </c>
      <c r="L2815" s="18"/>
      <c r="M2815" s="18" t="n">
        <v>65</v>
      </c>
      <c r="N2815" s="18" t="n">
        <v>65</v>
      </c>
      <c r="O2815" s="14" t="s">
        <v>17801</v>
      </c>
      <c r="P2815" s="14" t="s">
        <v>84</v>
      </c>
      <c r="Q2815" s="15" t="s">
        <v>1089</v>
      </c>
      <c r="R2815" s="16" t="s">
        <v>17802</v>
      </c>
      <c r="S2815" s="15" t="s">
        <v>17803</v>
      </c>
      <c r="T2815" s="15" t="s">
        <v>17803</v>
      </c>
      <c r="U2815" s="21" t="s">
        <v>72</v>
      </c>
    </row>
    <row r="2816" customFormat="false" ht="15" hidden="false" customHeight="false" outlineLevel="0" collapsed="false">
      <c r="A2816" s="15" t="s">
        <v>14933</v>
      </c>
      <c r="B2816" s="15" t="s">
        <v>17670</v>
      </c>
      <c r="C2816" s="14" t="s">
        <v>17804</v>
      </c>
      <c r="D2816" s="14" t="s">
        <v>17805</v>
      </c>
      <c r="E2816" s="16" t="s">
        <v>17806</v>
      </c>
      <c r="F2816" s="16" t="s">
        <v>17807</v>
      </c>
      <c r="G2816" s="23" t="s">
        <v>43</v>
      </c>
      <c r="H2816" s="18" t="n">
        <v>4</v>
      </c>
      <c r="I2816" s="20" t="n">
        <v>88.63</v>
      </c>
      <c r="J2816" s="20" t="n">
        <v>182.76</v>
      </c>
      <c r="K2816" s="18" t="n">
        <v>4</v>
      </c>
      <c r="L2816" s="18" t="n">
        <v>2</v>
      </c>
      <c r="M2816" s="18" t="n">
        <v>60</v>
      </c>
      <c r="N2816" s="18" t="n">
        <v>30</v>
      </c>
      <c r="O2816" s="14" t="s">
        <v>17808</v>
      </c>
      <c r="P2816" s="14" t="s">
        <v>1166</v>
      </c>
      <c r="Q2816" s="15" t="s">
        <v>1089</v>
      </c>
      <c r="R2816" s="16" t="s">
        <v>17809</v>
      </c>
      <c r="S2816" s="15" t="s">
        <v>17810</v>
      </c>
      <c r="T2816" s="15" t="s">
        <v>17810</v>
      </c>
      <c r="U2816" s="21" t="s">
        <v>72</v>
      </c>
    </row>
    <row r="2817" customFormat="false" ht="15" hidden="false" customHeight="false" outlineLevel="0" collapsed="false">
      <c r="A2817" s="15" t="s">
        <v>14933</v>
      </c>
      <c r="B2817" s="15" t="s">
        <v>17670</v>
      </c>
      <c r="C2817" s="14" t="s">
        <v>17811</v>
      </c>
      <c r="D2817" s="14" t="s">
        <v>17812</v>
      </c>
      <c r="E2817" s="16" t="s">
        <v>17813</v>
      </c>
      <c r="F2817" s="16" t="s">
        <v>17814</v>
      </c>
      <c r="G2817" s="23" t="s">
        <v>43</v>
      </c>
      <c r="H2817" s="18" t="n">
        <v>3</v>
      </c>
      <c r="I2817" s="20" t="n">
        <v>63.89</v>
      </c>
      <c r="J2817" s="20" t="n">
        <v>177.5</v>
      </c>
      <c r="K2817" s="18" t="n">
        <v>3</v>
      </c>
      <c r="L2817" s="18"/>
      <c r="M2817" s="18" t="n">
        <v>52</v>
      </c>
      <c r="N2817" s="18" t="n">
        <v>52</v>
      </c>
      <c r="O2817" s="14" t="s">
        <v>17815</v>
      </c>
      <c r="P2817" s="14" t="s">
        <v>84</v>
      </c>
      <c r="Q2817" s="15" t="s">
        <v>1089</v>
      </c>
      <c r="R2817" s="16" t="s">
        <v>17816</v>
      </c>
      <c r="S2817" s="15" t="s">
        <v>17817</v>
      </c>
      <c r="T2817" s="15" t="s">
        <v>17817</v>
      </c>
      <c r="U2817" s="21" t="s">
        <v>72</v>
      </c>
    </row>
    <row r="2818" customFormat="false" ht="15" hidden="false" customHeight="false" outlineLevel="0" collapsed="false">
      <c r="A2818" s="15" t="s">
        <v>14933</v>
      </c>
      <c r="B2818" s="15" t="s">
        <v>17670</v>
      </c>
      <c r="C2818" s="14" t="s">
        <v>17818</v>
      </c>
      <c r="D2818" s="14" t="s">
        <v>17819</v>
      </c>
      <c r="E2818" s="16" t="s">
        <v>17820</v>
      </c>
      <c r="F2818" s="16"/>
      <c r="G2818" s="23" t="s">
        <v>43</v>
      </c>
      <c r="H2818" s="18" t="n">
        <v>2</v>
      </c>
      <c r="I2818" s="20" t="n">
        <v>31.28</v>
      </c>
      <c r="J2818" s="20" t="n">
        <v>88.03</v>
      </c>
      <c r="K2818" s="18" t="n">
        <v>3</v>
      </c>
      <c r="L2818" s="18" t="n">
        <v>1</v>
      </c>
      <c r="M2818" s="18" t="n">
        <v>41</v>
      </c>
      <c r="N2818" s="18" t="n">
        <v>41</v>
      </c>
      <c r="O2818" s="14" t="s">
        <v>1126</v>
      </c>
      <c r="P2818" s="14" t="s">
        <v>84</v>
      </c>
      <c r="Q2818" s="15" t="s">
        <v>1089</v>
      </c>
      <c r="R2818" s="16" t="s">
        <v>4336</v>
      </c>
      <c r="S2818" s="15" t="s">
        <v>17821</v>
      </c>
      <c r="T2818" s="15" t="s">
        <v>17822</v>
      </c>
      <c r="U2818" s="21" t="s">
        <v>72</v>
      </c>
    </row>
    <row r="2819" customFormat="false" ht="26.85" hidden="false" customHeight="false" outlineLevel="0" collapsed="false">
      <c r="A2819" s="15" t="s">
        <v>14933</v>
      </c>
      <c r="B2819" s="15" t="s">
        <v>17670</v>
      </c>
      <c r="C2819" s="14" t="s">
        <v>17823</v>
      </c>
      <c r="D2819" s="14" t="s">
        <v>17824</v>
      </c>
      <c r="E2819" s="16" t="s">
        <v>17825</v>
      </c>
      <c r="F2819" s="16" t="s">
        <v>17826</v>
      </c>
      <c r="G2819" s="23" t="s">
        <v>43</v>
      </c>
      <c r="H2819" s="18" t="n">
        <v>3</v>
      </c>
      <c r="I2819" s="20" t="n">
        <v>57.99</v>
      </c>
      <c r="J2819" s="20" t="n">
        <v>125.48</v>
      </c>
      <c r="K2819" s="18" t="n">
        <v>11</v>
      </c>
      <c r="L2819" s="18" t="n">
        <v>3</v>
      </c>
      <c r="M2819" s="18" t="n">
        <v>184</v>
      </c>
      <c r="N2819" s="18" t="n">
        <v>83</v>
      </c>
      <c r="O2819" s="14" t="s">
        <v>17827</v>
      </c>
      <c r="P2819" s="14" t="s">
        <v>84</v>
      </c>
      <c r="Q2819" s="15" t="s">
        <v>1089</v>
      </c>
      <c r="R2819" s="16" t="s">
        <v>13294</v>
      </c>
      <c r="S2819" s="15" t="s">
        <v>17828</v>
      </c>
      <c r="T2819" s="15" t="s">
        <v>17829</v>
      </c>
      <c r="U2819" s="21" t="s">
        <v>72</v>
      </c>
    </row>
    <row r="2820" customFormat="false" ht="15" hidden="false" customHeight="false" outlineLevel="0" collapsed="false">
      <c r="A2820" s="15" t="s">
        <v>14933</v>
      </c>
      <c r="B2820" s="15" t="s">
        <v>17670</v>
      </c>
      <c r="C2820" s="14" t="s">
        <v>17830</v>
      </c>
      <c r="D2820" s="14" t="s">
        <v>17831</v>
      </c>
      <c r="E2820" s="16" t="s">
        <v>17832</v>
      </c>
      <c r="F2820" s="16"/>
      <c r="G2820" s="19" t="s">
        <v>41</v>
      </c>
      <c r="H2820" s="18" t="n">
        <v>6</v>
      </c>
      <c r="I2820" s="20" t="n">
        <v>81.8</v>
      </c>
      <c r="J2820" s="20" t="n">
        <v>177.16</v>
      </c>
      <c r="K2820" s="18" t="n">
        <v>7</v>
      </c>
      <c r="L2820" s="18" t="n">
        <v>6</v>
      </c>
      <c r="M2820" s="18" t="n">
        <v>80</v>
      </c>
      <c r="N2820" s="18" t="n">
        <v>14</v>
      </c>
      <c r="O2820" s="14" t="s">
        <v>1097</v>
      </c>
      <c r="P2820" s="14" t="s">
        <v>84</v>
      </c>
      <c r="Q2820" s="15" t="s">
        <v>1089</v>
      </c>
      <c r="R2820" s="16" t="s">
        <v>17833</v>
      </c>
      <c r="S2820" s="15" t="s">
        <v>17834</v>
      </c>
      <c r="T2820" s="15" t="s">
        <v>17835</v>
      </c>
      <c r="U2820" s="21" t="s">
        <v>72</v>
      </c>
    </row>
    <row r="2821" customFormat="false" ht="15" hidden="false" customHeight="false" outlineLevel="0" collapsed="false">
      <c r="A2821" s="15" t="s">
        <v>14933</v>
      </c>
      <c r="B2821" s="15" t="s">
        <v>17670</v>
      </c>
      <c r="C2821" s="14" t="s">
        <v>17836</v>
      </c>
      <c r="D2821" s="14" t="s">
        <v>17837</v>
      </c>
      <c r="E2821" s="16" t="s">
        <v>17838</v>
      </c>
      <c r="F2821" s="16"/>
      <c r="G2821" s="23" t="s">
        <v>43</v>
      </c>
      <c r="H2821" s="18" t="n">
        <v>2</v>
      </c>
      <c r="I2821" s="20" t="n">
        <v>47.98</v>
      </c>
      <c r="J2821" s="20" t="n">
        <v>84.19</v>
      </c>
      <c r="K2821" s="18" t="n">
        <v>2</v>
      </c>
      <c r="L2821" s="18" t="n">
        <v>2</v>
      </c>
      <c r="M2821" s="18" t="n">
        <v>39</v>
      </c>
      <c r="N2821" s="18" t="n">
        <v>39</v>
      </c>
      <c r="O2821" s="14" t="s">
        <v>1126</v>
      </c>
      <c r="P2821" s="14" t="s">
        <v>84</v>
      </c>
      <c r="Q2821" s="15" t="s">
        <v>1089</v>
      </c>
      <c r="R2821" s="16" t="s">
        <v>17839</v>
      </c>
      <c r="S2821" s="15" t="s">
        <v>17840</v>
      </c>
      <c r="T2821" s="15" t="s">
        <v>17840</v>
      </c>
      <c r="U2821" s="21" t="s">
        <v>72</v>
      </c>
    </row>
    <row r="2822" customFormat="false" ht="15" hidden="false" customHeight="false" outlineLevel="0" collapsed="false">
      <c r="A2822" s="15" t="s">
        <v>14933</v>
      </c>
      <c r="B2822" s="15" t="s">
        <v>17670</v>
      </c>
      <c r="C2822" s="14" t="s">
        <v>17841</v>
      </c>
      <c r="D2822" s="14" t="s">
        <v>17842</v>
      </c>
      <c r="E2822" s="16" t="s">
        <v>17843</v>
      </c>
      <c r="F2822" s="16" t="s">
        <v>17844</v>
      </c>
      <c r="G2822" s="23" t="s">
        <v>43</v>
      </c>
      <c r="H2822" s="18" t="n">
        <v>2</v>
      </c>
      <c r="I2822" s="20" t="n">
        <v>66.11</v>
      </c>
      <c r="J2822" s="20" t="n">
        <v>131.05</v>
      </c>
      <c r="K2822" s="18" t="n">
        <v>2</v>
      </c>
      <c r="L2822" s="18" t="n">
        <v>4</v>
      </c>
      <c r="M2822" s="18" t="n">
        <v>30</v>
      </c>
      <c r="N2822" s="18" t="n">
        <v>15</v>
      </c>
      <c r="O2822" s="14" t="s">
        <v>1126</v>
      </c>
      <c r="P2822" s="14" t="s">
        <v>84</v>
      </c>
      <c r="Q2822" s="15" t="s">
        <v>1089</v>
      </c>
      <c r="R2822" s="16" t="s">
        <v>14389</v>
      </c>
      <c r="S2822" s="15" t="s">
        <v>17845</v>
      </c>
      <c r="T2822" s="15" t="s">
        <v>17846</v>
      </c>
      <c r="U2822" s="21" t="s">
        <v>72</v>
      </c>
    </row>
    <row r="2823" customFormat="false" ht="39.55" hidden="false" customHeight="false" outlineLevel="0" collapsed="false">
      <c r="A2823" s="15" t="s">
        <v>14933</v>
      </c>
      <c r="B2823" s="15" t="s">
        <v>17670</v>
      </c>
      <c r="C2823" s="14" t="s">
        <v>17847</v>
      </c>
      <c r="D2823" s="14" t="s">
        <v>17848</v>
      </c>
      <c r="E2823" s="16" t="s">
        <v>17849</v>
      </c>
      <c r="F2823" s="16" t="s">
        <v>17850</v>
      </c>
      <c r="G2823" s="19" t="s">
        <v>41</v>
      </c>
      <c r="H2823" s="18" t="n">
        <v>7</v>
      </c>
      <c r="I2823" s="20" t="n">
        <v>157.27</v>
      </c>
      <c r="J2823" s="20" t="n">
        <v>289.77</v>
      </c>
      <c r="K2823" s="18" t="n">
        <v>27</v>
      </c>
      <c r="L2823" s="18" t="n">
        <v>11</v>
      </c>
      <c r="M2823" s="18" t="n">
        <v>588</v>
      </c>
      <c r="N2823" s="18" t="n">
        <v>255</v>
      </c>
      <c r="O2823" s="14" t="s">
        <v>17851</v>
      </c>
      <c r="P2823" s="14" t="s">
        <v>84</v>
      </c>
      <c r="Q2823" s="15" t="s">
        <v>1089</v>
      </c>
      <c r="R2823" s="16" t="s">
        <v>7634</v>
      </c>
      <c r="S2823" s="15" t="s">
        <v>17852</v>
      </c>
      <c r="T2823" s="15" t="s">
        <v>17853</v>
      </c>
      <c r="U2823" s="21" t="s">
        <v>72</v>
      </c>
    </row>
    <row r="2824" customFormat="false" ht="15" hidden="false" customHeight="false" outlineLevel="0" collapsed="false">
      <c r="A2824" s="15" t="s">
        <v>14933</v>
      </c>
      <c r="B2824" s="15" t="s">
        <v>17854</v>
      </c>
      <c r="C2824" s="14" t="s">
        <v>17855</v>
      </c>
      <c r="D2824" s="14" t="s">
        <v>17856</v>
      </c>
      <c r="E2824" s="16" t="s">
        <v>17857</v>
      </c>
      <c r="F2824" s="16" t="s">
        <v>17858</v>
      </c>
      <c r="G2824" s="19" t="s">
        <v>41</v>
      </c>
      <c r="H2824" s="18" t="n">
        <v>3</v>
      </c>
      <c r="I2824" s="20" t="n">
        <v>113.27</v>
      </c>
      <c r="J2824" s="20" t="n">
        <v>213.45</v>
      </c>
      <c r="K2824" s="18" t="n">
        <v>6</v>
      </c>
      <c r="L2824" s="18" t="n">
        <v>3</v>
      </c>
      <c r="M2824" s="18" t="n">
        <v>171</v>
      </c>
      <c r="N2824" s="18" t="n">
        <v>171</v>
      </c>
      <c r="O2824" s="14" t="s">
        <v>17859</v>
      </c>
      <c r="P2824" s="14" t="s">
        <v>84</v>
      </c>
      <c r="Q2824" s="15" t="s">
        <v>1089</v>
      </c>
      <c r="R2824" s="16" t="s">
        <v>17860</v>
      </c>
      <c r="S2824" s="15" t="s">
        <v>8941</v>
      </c>
      <c r="T2824" s="15" t="s">
        <v>8941</v>
      </c>
      <c r="U2824" s="21" t="s">
        <v>72</v>
      </c>
    </row>
    <row r="2825" customFormat="false" ht="15" hidden="false" customHeight="false" outlineLevel="0" collapsed="false">
      <c r="A2825" s="15" t="s">
        <v>14933</v>
      </c>
      <c r="B2825" s="15" t="s">
        <v>17861</v>
      </c>
      <c r="C2825" s="14" t="s">
        <v>17862</v>
      </c>
      <c r="D2825" s="14" t="s">
        <v>17863</v>
      </c>
      <c r="E2825" s="16" t="s">
        <v>17864</v>
      </c>
      <c r="F2825" s="16"/>
      <c r="G2825" s="23" t="s">
        <v>43</v>
      </c>
      <c r="H2825" s="18" t="n">
        <v>2</v>
      </c>
      <c r="I2825" s="20" t="n">
        <v>105.59</v>
      </c>
      <c r="J2825" s="20" t="n">
        <v>116.445</v>
      </c>
      <c r="K2825" s="18" t="n">
        <v>2</v>
      </c>
      <c r="L2825" s="18" t="n">
        <v>9</v>
      </c>
      <c r="M2825" s="18" t="n">
        <v>50</v>
      </c>
      <c r="N2825" s="18" t="n">
        <v>50</v>
      </c>
      <c r="O2825" s="14" t="s">
        <v>1126</v>
      </c>
      <c r="P2825" s="14" t="s">
        <v>84</v>
      </c>
      <c r="Q2825" s="15" t="s">
        <v>1089</v>
      </c>
      <c r="R2825" s="16" t="s">
        <v>17865</v>
      </c>
      <c r="S2825" s="15" t="s">
        <v>7330</v>
      </c>
      <c r="T2825" s="15" t="s">
        <v>7330</v>
      </c>
      <c r="U2825" s="21" t="s">
        <v>72</v>
      </c>
    </row>
    <row r="2826" customFormat="false" ht="15" hidden="false" customHeight="false" outlineLevel="0" collapsed="false">
      <c r="A2826" s="15" t="s">
        <v>14933</v>
      </c>
      <c r="B2826" s="15" t="s">
        <v>17861</v>
      </c>
      <c r="C2826" s="14" t="s">
        <v>17866</v>
      </c>
      <c r="D2826" s="14" t="s">
        <v>17867</v>
      </c>
      <c r="E2826" s="16" t="s">
        <v>17868</v>
      </c>
      <c r="F2826" s="16"/>
      <c r="G2826" s="23" t="s">
        <v>43</v>
      </c>
      <c r="H2826" s="18" t="n">
        <v>2</v>
      </c>
      <c r="I2826" s="20" t="n">
        <v>55.4</v>
      </c>
      <c r="J2826" s="20" t="n">
        <v>72.54</v>
      </c>
      <c r="K2826" s="18" t="n">
        <v>2</v>
      </c>
      <c r="L2826" s="18" t="n">
        <v>1</v>
      </c>
      <c r="M2826" s="18" t="n">
        <v>38</v>
      </c>
      <c r="N2826" s="18" t="n">
        <v>38</v>
      </c>
      <c r="O2826" s="14" t="s">
        <v>1097</v>
      </c>
      <c r="P2826" s="14" t="s">
        <v>84</v>
      </c>
      <c r="Q2826" s="15" t="s">
        <v>1089</v>
      </c>
      <c r="R2826" s="16" t="s">
        <v>17869</v>
      </c>
      <c r="S2826" s="15" t="s">
        <v>17870</v>
      </c>
      <c r="T2826" s="15" t="s">
        <v>17871</v>
      </c>
      <c r="U2826" s="21" t="s">
        <v>72</v>
      </c>
    </row>
    <row r="2827" customFormat="false" ht="15" hidden="false" customHeight="false" outlineLevel="0" collapsed="false">
      <c r="A2827" s="15" t="s">
        <v>14933</v>
      </c>
      <c r="B2827" s="15" t="s">
        <v>17861</v>
      </c>
      <c r="C2827" s="14" t="s">
        <v>17872</v>
      </c>
      <c r="D2827" s="14" t="s">
        <v>17873</v>
      </c>
      <c r="E2827" s="16" t="s">
        <v>17874</v>
      </c>
      <c r="F2827" s="16" t="s">
        <v>17875</v>
      </c>
      <c r="G2827" s="23" t="s">
        <v>43</v>
      </c>
      <c r="H2827" s="18" t="n">
        <v>2</v>
      </c>
      <c r="I2827" s="20" t="n">
        <v>35.13</v>
      </c>
      <c r="J2827" s="20" t="n">
        <v>96.8</v>
      </c>
      <c r="K2827" s="18" t="n">
        <v>1</v>
      </c>
      <c r="L2827" s="18" t="n">
        <v>1</v>
      </c>
      <c r="M2827" s="18" t="n">
        <v>16</v>
      </c>
      <c r="N2827" s="18" t="n">
        <v>16</v>
      </c>
      <c r="O2827" s="14" t="s">
        <v>1126</v>
      </c>
      <c r="P2827" s="14" t="s">
        <v>84</v>
      </c>
      <c r="Q2827" s="15" t="s">
        <v>1089</v>
      </c>
      <c r="R2827" s="16" t="s">
        <v>17876</v>
      </c>
      <c r="S2827" s="15" t="s">
        <v>17877</v>
      </c>
      <c r="T2827" s="15" t="s">
        <v>17877</v>
      </c>
      <c r="U2827" s="21" t="s">
        <v>72</v>
      </c>
    </row>
    <row r="2828" customFormat="false" ht="26.85" hidden="false" customHeight="false" outlineLevel="0" collapsed="false">
      <c r="A2828" s="15" t="s">
        <v>14933</v>
      </c>
      <c r="B2828" s="15" t="s">
        <v>17861</v>
      </c>
      <c r="C2828" s="14" t="s">
        <v>17878</v>
      </c>
      <c r="D2828" s="14" t="s">
        <v>17879</v>
      </c>
      <c r="E2828" s="16" t="s">
        <v>17880</v>
      </c>
      <c r="F2828" s="16" t="s">
        <v>17881</v>
      </c>
      <c r="G2828" s="23" t="s">
        <v>43</v>
      </c>
      <c r="H2828" s="18" t="n">
        <v>3</v>
      </c>
      <c r="I2828" s="20" t="n">
        <v>53.08</v>
      </c>
      <c r="J2828" s="20" t="n">
        <v>138.78</v>
      </c>
      <c r="K2828" s="18" t="n">
        <v>10</v>
      </c>
      <c r="L2828" s="18" t="n">
        <v>6</v>
      </c>
      <c r="M2828" s="18" t="n">
        <v>148</v>
      </c>
      <c r="N2828" s="18" t="n">
        <v>30</v>
      </c>
      <c r="O2828" s="14" t="s">
        <v>16997</v>
      </c>
      <c r="P2828" s="14" t="s">
        <v>118</v>
      </c>
      <c r="Q2828" s="15" t="s">
        <v>1089</v>
      </c>
      <c r="R2828" s="16" t="s">
        <v>17882</v>
      </c>
      <c r="S2828" s="15" t="s">
        <v>17883</v>
      </c>
      <c r="T2828" s="15" t="s">
        <v>17883</v>
      </c>
      <c r="U2828" s="21" t="s">
        <v>72</v>
      </c>
    </row>
    <row r="2829" customFormat="false" ht="15" hidden="false" customHeight="false" outlineLevel="0" collapsed="false">
      <c r="A2829" s="15" t="s">
        <v>14933</v>
      </c>
      <c r="B2829" s="15" t="s">
        <v>17861</v>
      </c>
      <c r="C2829" s="14" t="s">
        <v>17884</v>
      </c>
      <c r="D2829" s="14" t="s">
        <v>17885</v>
      </c>
      <c r="E2829" s="16" t="s">
        <v>17886</v>
      </c>
      <c r="F2829" s="16" t="s">
        <v>17887</v>
      </c>
      <c r="G2829" s="23" t="s">
        <v>43</v>
      </c>
      <c r="H2829" s="18" t="n">
        <v>3</v>
      </c>
      <c r="I2829" s="20" t="n">
        <v>65.3</v>
      </c>
      <c r="J2829" s="20" t="n">
        <v>102.3</v>
      </c>
      <c r="K2829" s="18" t="n">
        <v>3</v>
      </c>
      <c r="L2829" s="18" t="n">
        <v>10</v>
      </c>
      <c r="M2829" s="18" t="n">
        <v>60</v>
      </c>
      <c r="N2829" s="18" t="n">
        <v>20</v>
      </c>
      <c r="O2829" s="14" t="s">
        <v>1126</v>
      </c>
      <c r="P2829" s="14" t="s">
        <v>84</v>
      </c>
      <c r="Q2829" s="15" t="s">
        <v>1089</v>
      </c>
      <c r="R2829" s="16" t="s">
        <v>17888</v>
      </c>
      <c r="S2829" s="15" t="s">
        <v>17889</v>
      </c>
      <c r="T2829" s="15" t="s">
        <v>17890</v>
      </c>
      <c r="U2829" s="21" t="s">
        <v>72</v>
      </c>
    </row>
    <row r="2830" customFormat="false" ht="15" hidden="false" customHeight="false" outlineLevel="0" collapsed="false">
      <c r="A2830" s="15" t="s">
        <v>14933</v>
      </c>
      <c r="B2830" s="15" t="s">
        <v>17861</v>
      </c>
      <c r="C2830" s="14" t="s">
        <v>17891</v>
      </c>
      <c r="D2830" s="14" t="s">
        <v>17892</v>
      </c>
      <c r="E2830" s="16" t="s">
        <v>17893</v>
      </c>
      <c r="F2830" s="16"/>
      <c r="G2830" s="23" t="s">
        <v>43</v>
      </c>
      <c r="H2830" s="18" t="n">
        <v>2</v>
      </c>
      <c r="I2830" s="20" t="n">
        <v>48.2</v>
      </c>
      <c r="J2830" s="20" t="n">
        <v>137.97</v>
      </c>
      <c r="K2830" s="18" t="n">
        <v>2</v>
      </c>
      <c r="L2830" s="18" t="n">
        <v>2</v>
      </c>
      <c r="M2830" s="18" t="n">
        <v>24</v>
      </c>
      <c r="N2830" s="18" t="n">
        <v>24</v>
      </c>
      <c r="O2830" s="14" t="s">
        <v>1126</v>
      </c>
      <c r="P2830" s="14" t="s">
        <v>84</v>
      </c>
      <c r="Q2830" s="15" t="s">
        <v>1089</v>
      </c>
      <c r="R2830" s="16" t="s">
        <v>545</v>
      </c>
      <c r="S2830" s="15" t="s">
        <v>17894</v>
      </c>
      <c r="T2830" s="15" t="s">
        <v>10153</v>
      </c>
      <c r="U2830" s="21" t="s">
        <v>72</v>
      </c>
    </row>
    <row r="2831" customFormat="false" ht="15" hidden="false" customHeight="false" outlineLevel="0" collapsed="false">
      <c r="A2831" s="15" t="s">
        <v>14933</v>
      </c>
      <c r="B2831" s="15" t="s">
        <v>17861</v>
      </c>
      <c r="C2831" s="14" t="s">
        <v>17895</v>
      </c>
      <c r="D2831" s="14" t="s">
        <v>17896</v>
      </c>
      <c r="E2831" s="16" t="s">
        <v>17897</v>
      </c>
      <c r="F2831" s="16"/>
      <c r="G2831" s="23" t="s">
        <v>43</v>
      </c>
      <c r="H2831" s="18" t="n">
        <v>3</v>
      </c>
      <c r="I2831" s="20" t="n">
        <v>112.19</v>
      </c>
      <c r="J2831" s="20" t="n">
        <v>184.64</v>
      </c>
      <c r="K2831" s="18" t="n">
        <v>4</v>
      </c>
      <c r="L2831" s="18"/>
      <c r="M2831" s="18" t="n">
        <v>112</v>
      </c>
      <c r="N2831" s="18" t="n">
        <v>56</v>
      </c>
      <c r="O2831" s="14" t="s">
        <v>1088</v>
      </c>
      <c r="P2831" s="14" t="s">
        <v>84</v>
      </c>
      <c r="Q2831" s="15" t="s">
        <v>1089</v>
      </c>
      <c r="R2831" s="16" t="s">
        <v>15898</v>
      </c>
      <c r="S2831" s="15" t="s">
        <v>17898</v>
      </c>
      <c r="T2831" s="15" t="s">
        <v>17898</v>
      </c>
      <c r="U2831" s="21" t="s">
        <v>72</v>
      </c>
    </row>
    <row r="2832" customFormat="false" ht="15" hidden="false" customHeight="false" outlineLevel="0" collapsed="false">
      <c r="A2832" s="15" t="s">
        <v>14933</v>
      </c>
      <c r="B2832" s="15" t="s">
        <v>17861</v>
      </c>
      <c r="C2832" s="14" t="s">
        <v>17899</v>
      </c>
      <c r="D2832" s="14" t="s">
        <v>17900</v>
      </c>
      <c r="E2832" s="16" t="s">
        <v>17901</v>
      </c>
      <c r="F2832" s="16" t="s">
        <v>17902</v>
      </c>
      <c r="G2832" s="23" t="s">
        <v>43</v>
      </c>
      <c r="H2832" s="18" t="n">
        <v>2</v>
      </c>
      <c r="I2832" s="20" t="n">
        <v>30</v>
      </c>
      <c r="J2832" s="20" t="n">
        <v>73.12</v>
      </c>
      <c r="K2832" s="18" t="n">
        <v>4</v>
      </c>
      <c r="L2832" s="18" t="n">
        <v>2</v>
      </c>
      <c r="M2832" s="18" t="n">
        <v>100</v>
      </c>
      <c r="N2832" s="18" t="n">
        <v>100</v>
      </c>
      <c r="O2832" s="14" t="s">
        <v>1126</v>
      </c>
      <c r="P2832" s="14" t="s">
        <v>84</v>
      </c>
      <c r="Q2832" s="15" t="s">
        <v>1089</v>
      </c>
      <c r="R2832" s="16" t="s">
        <v>17903</v>
      </c>
      <c r="S2832" s="15" t="s">
        <v>17904</v>
      </c>
      <c r="T2832" s="15" t="s">
        <v>17905</v>
      </c>
      <c r="U2832" s="21" t="s">
        <v>72</v>
      </c>
    </row>
    <row r="2833" customFormat="false" ht="15" hidden="false" customHeight="false" outlineLevel="0" collapsed="false">
      <c r="A2833" s="15" t="s">
        <v>14933</v>
      </c>
      <c r="B2833" s="15" t="s">
        <v>17861</v>
      </c>
      <c r="C2833" s="14" t="s">
        <v>17906</v>
      </c>
      <c r="D2833" s="14" t="s">
        <v>17907</v>
      </c>
      <c r="E2833" s="16" t="s">
        <v>17908</v>
      </c>
      <c r="F2833" s="16" t="s">
        <v>17909</v>
      </c>
      <c r="G2833" s="23" t="s">
        <v>43</v>
      </c>
      <c r="H2833" s="18" t="n">
        <v>4</v>
      </c>
      <c r="I2833" s="20" t="n">
        <v>70.64</v>
      </c>
      <c r="J2833" s="20" t="n">
        <v>108</v>
      </c>
      <c r="K2833" s="18" t="n">
        <v>2</v>
      </c>
      <c r="L2833" s="18" t="n">
        <v>2</v>
      </c>
      <c r="M2833" s="18" t="n">
        <v>30</v>
      </c>
      <c r="N2833" s="18" t="n">
        <v>30</v>
      </c>
      <c r="O2833" s="14" t="s">
        <v>1126</v>
      </c>
      <c r="P2833" s="14" t="s">
        <v>84</v>
      </c>
      <c r="Q2833" s="15" t="s">
        <v>1089</v>
      </c>
      <c r="R2833" s="16" t="s">
        <v>11908</v>
      </c>
      <c r="S2833" s="15" t="s">
        <v>17910</v>
      </c>
      <c r="T2833" s="15" t="s">
        <v>17911</v>
      </c>
      <c r="U2833" s="21" t="s">
        <v>72</v>
      </c>
    </row>
    <row r="2834" customFormat="false" ht="15" hidden="false" customHeight="false" outlineLevel="0" collapsed="false">
      <c r="A2834" s="15" t="s">
        <v>14933</v>
      </c>
      <c r="B2834" s="15" t="s">
        <v>17861</v>
      </c>
      <c r="C2834" s="14" t="s">
        <v>17912</v>
      </c>
      <c r="D2834" s="14" t="s">
        <v>17913</v>
      </c>
      <c r="E2834" s="16" t="s">
        <v>17914</v>
      </c>
      <c r="F2834" s="16" t="s">
        <v>17915</v>
      </c>
      <c r="G2834" s="23" t="s">
        <v>43</v>
      </c>
      <c r="H2834" s="18" t="n">
        <v>2</v>
      </c>
      <c r="I2834" s="20" t="n">
        <v>41.04</v>
      </c>
      <c r="J2834" s="20" t="n">
        <v>157.35</v>
      </c>
      <c r="K2834" s="18" t="n">
        <v>2</v>
      </c>
      <c r="L2834" s="18" t="n">
        <v>1</v>
      </c>
      <c r="M2834" s="18" t="n">
        <v>58</v>
      </c>
      <c r="N2834" s="18" t="n">
        <v>58</v>
      </c>
      <c r="O2834" s="14" t="s">
        <v>1126</v>
      </c>
      <c r="P2834" s="14" t="s">
        <v>84</v>
      </c>
      <c r="Q2834" s="15" t="s">
        <v>1089</v>
      </c>
      <c r="R2834" s="16" t="s">
        <v>14330</v>
      </c>
      <c r="S2834" s="15" t="s">
        <v>17916</v>
      </c>
      <c r="T2834" s="15" t="s">
        <v>17917</v>
      </c>
      <c r="U2834" s="21" t="s">
        <v>72</v>
      </c>
    </row>
    <row r="2835" customFormat="false" ht="15" hidden="false" customHeight="false" outlineLevel="0" collapsed="false">
      <c r="A2835" s="15" t="s">
        <v>14933</v>
      </c>
      <c r="B2835" s="15" t="s">
        <v>17861</v>
      </c>
      <c r="C2835" s="14" t="s">
        <v>17918</v>
      </c>
      <c r="D2835" s="14" t="s">
        <v>17919</v>
      </c>
      <c r="E2835" s="16" t="s">
        <v>17920</v>
      </c>
      <c r="F2835" s="16" t="s">
        <v>17921</v>
      </c>
      <c r="G2835" s="25" t="s">
        <v>39</v>
      </c>
      <c r="H2835" s="18" t="n">
        <v>8</v>
      </c>
      <c r="I2835" s="20" t="n">
        <v>284.47</v>
      </c>
      <c r="J2835" s="20" t="n">
        <v>564.79</v>
      </c>
      <c r="K2835" s="18" t="n">
        <v>8</v>
      </c>
      <c r="L2835" s="18" t="n">
        <v>11</v>
      </c>
      <c r="M2835" s="18" t="n">
        <v>232</v>
      </c>
      <c r="N2835" s="18" t="n">
        <v>232</v>
      </c>
      <c r="O2835" s="14" t="s">
        <v>1088</v>
      </c>
      <c r="P2835" s="14" t="s">
        <v>84</v>
      </c>
      <c r="Q2835" s="15" t="s">
        <v>1089</v>
      </c>
      <c r="R2835" s="16" t="s">
        <v>17922</v>
      </c>
      <c r="S2835" s="15" t="s">
        <v>17923</v>
      </c>
      <c r="T2835" s="15" t="s">
        <v>17923</v>
      </c>
      <c r="U2835" s="21" t="s">
        <v>72</v>
      </c>
    </row>
    <row r="2836" customFormat="false" ht="15" hidden="false" customHeight="false" outlineLevel="0" collapsed="false">
      <c r="A2836" s="15" t="s">
        <v>14933</v>
      </c>
      <c r="B2836" s="15" t="s">
        <v>17861</v>
      </c>
      <c r="C2836" s="14" t="s">
        <v>17924</v>
      </c>
      <c r="D2836" s="14" t="s">
        <v>17925</v>
      </c>
      <c r="E2836" s="16" t="s">
        <v>17926</v>
      </c>
      <c r="F2836" s="16" t="s">
        <v>17927</v>
      </c>
      <c r="G2836" s="25" t="s">
        <v>39</v>
      </c>
      <c r="H2836" s="18" t="n">
        <v>5</v>
      </c>
      <c r="I2836" s="20" t="n">
        <v>209.4</v>
      </c>
      <c r="J2836" s="20" t="n">
        <v>436.43</v>
      </c>
      <c r="K2836" s="18" t="n">
        <v>9</v>
      </c>
      <c r="L2836" s="18" t="n">
        <v>34</v>
      </c>
      <c r="M2836" s="18" t="n">
        <v>278</v>
      </c>
      <c r="N2836" s="18" t="n">
        <v>118</v>
      </c>
      <c r="O2836" s="14" t="s">
        <v>15333</v>
      </c>
      <c r="P2836" s="14" t="s">
        <v>1166</v>
      </c>
      <c r="Q2836" s="15" t="s">
        <v>1089</v>
      </c>
      <c r="R2836" s="16" t="s">
        <v>17928</v>
      </c>
      <c r="S2836" s="15" t="s">
        <v>17929</v>
      </c>
      <c r="T2836" s="15" t="s">
        <v>17930</v>
      </c>
      <c r="U2836" s="21" t="s">
        <v>72</v>
      </c>
    </row>
    <row r="2837" customFormat="false" ht="15" hidden="false" customHeight="false" outlineLevel="0" collapsed="false">
      <c r="A2837" s="15" t="s">
        <v>14933</v>
      </c>
      <c r="B2837" s="15" t="s">
        <v>17861</v>
      </c>
      <c r="C2837" s="14" t="s">
        <v>17931</v>
      </c>
      <c r="D2837" s="14" t="s">
        <v>17932</v>
      </c>
      <c r="E2837" s="16" t="s">
        <v>17933</v>
      </c>
      <c r="F2837" s="16" t="s">
        <v>17934</v>
      </c>
      <c r="G2837" s="19" t="s">
        <v>41</v>
      </c>
      <c r="H2837" s="18" t="n">
        <v>3</v>
      </c>
      <c r="I2837" s="20" t="n">
        <v>80.21</v>
      </c>
      <c r="J2837" s="20" t="n">
        <v>208.45</v>
      </c>
      <c r="K2837" s="18" t="n">
        <v>2</v>
      </c>
      <c r="L2837" s="18"/>
      <c r="M2837" s="18" t="n">
        <v>46</v>
      </c>
      <c r="N2837" s="18" t="n">
        <v>19</v>
      </c>
      <c r="O2837" s="14" t="s">
        <v>1126</v>
      </c>
      <c r="P2837" s="14" t="s">
        <v>118</v>
      </c>
      <c r="Q2837" s="15" t="s">
        <v>1089</v>
      </c>
      <c r="R2837" s="16" t="s">
        <v>17935</v>
      </c>
      <c r="S2837" s="15" t="s">
        <v>17936</v>
      </c>
      <c r="T2837" s="15" t="s">
        <v>17936</v>
      </c>
      <c r="U2837" s="21" t="s">
        <v>72</v>
      </c>
    </row>
    <row r="2838" customFormat="false" ht="15" hidden="false" customHeight="false" outlineLevel="0" collapsed="false">
      <c r="A2838" s="15" t="s">
        <v>14933</v>
      </c>
      <c r="B2838" s="15" t="s">
        <v>17861</v>
      </c>
      <c r="C2838" s="14" t="s">
        <v>17937</v>
      </c>
      <c r="D2838" s="14" t="s">
        <v>17938</v>
      </c>
      <c r="E2838" s="16" t="s">
        <v>17939</v>
      </c>
      <c r="F2838" s="16" t="s">
        <v>17940</v>
      </c>
      <c r="G2838" s="23" t="s">
        <v>43</v>
      </c>
      <c r="H2838" s="18" t="n">
        <v>3</v>
      </c>
      <c r="I2838" s="20" t="n">
        <v>121.95</v>
      </c>
      <c r="J2838" s="20" t="n">
        <v>155.37</v>
      </c>
      <c r="K2838" s="18" t="n">
        <v>4</v>
      </c>
      <c r="L2838" s="18" t="n">
        <v>1</v>
      </c>
      <c r="M2838" s="18" t="n">
        <v>139</v>
      </c>
      <c r="N2838" s="18" t="n">
        <v>139</v>
      </c>
      <c r="O2838" s="14" t="s">
        <v>1097</v>
      </c>
      <c r="P2838" s="14" t="s">
        <v>84</v>
      </c>
      <c r="Q2838" s="15" t="s">
        <v>1089</v>
      </c>
      <c r="R2838" s="16" t="s">
        <v>12719</v>
      </c>
      <c r="S2838" s="15" t="s">
        <v>17941</v>
      </c>
      <c r="T2838" s="15" t="s">
        <v>17941</v>
      </c>
      <c r="U2838" s="21" t="s">
        <v>72</v>
      </c>
    </row>
    <row r="2839" customFormat="false" ht="15" hidden="false" customHeight="false" outlineLevel="0" collapsed="false">
      <c r="A2839" s="15" t="s">
        <v>14933</v>
      </c>
      <c r="B2839" s="15" t="s">
        <v>17861</v>
      </c>
      <c r="C2839" s="14" t="s">
        <v>17942</v>
      </c>
      <c r="D2839" s="14" t="s">
        <v>17943</v>
      </c>
      <c r="E2839" s="16" t="s">
        <v>17944</v>
      </c>
      <c r="F2839" s="16" t="s">
        <v>17945</v>
      </c>
      <c r="G2839" s="23" t="s">
        <v>43</v>
      </c>
      <c r="H2839" s="18" t="n">
        <v>2</v>
      </c>
      <c r="I2839" s="20" t="n">
        <v>34.98</v>
      </c>
      <c r="J2839" s="20" t="n">
        <v>166.77</v>
      </c>
      <c r="K2839" s="18" t="n">
        <v>4</v>
      </c>
      <c r="L2839" s="18" t="n">
        <v>2</v>
      </c>
      <c r="M2839" s="18" t="n">
        <v>81</v>
      </c>
      <c r="N2839" s="18" t="n">
        <v>67</v>
      </c>
      <c r="O2839" s="14" t="s">
        <v>1126</v>
      </c>
      <c r="P2839" s="14" t="s">
        <v>84</v>
      </c>
      <c r="Q2839" s="15" t="s">
        <v>1089</v>
      </c>
      <c r="R2839" s="16" t="s">
        <v>17946</v>
      </c>
      <c r="S2839" s="15" t="s">
        <v>17947</v>
      </c>
      <c r="T2839" s="15" t="s">
        <v>17947</v>
      </c>
      <c r="U2839" s="21" t="s">
        <v>72</v>
      </c>
    </row>
    <row r="2840" customFormat="false" ht="15" hidden="false" customHeight="false" outlineLevel="0" collapsed="false">
      <c r="A2840" s="15" t="s">
        <v>14933</v>
      </c>
      <c r="B2840" s="15" t="s">
        <v>17948</v>
      </c>
      <c r="C2840" s="14" t="s">
        <v>17949</v>
      </c>
      <c r="D2840" s="14" t="s">
        <v>17950</v>
      </c>
      <c r="E2840" s="16" t="s">
        <v>17951</v>
      </c>
      <c r="F2840" s="16" t="s">
        <v>17952</v>
      </c>
      <c r="G2840" s="19" t="s">
        <v>41</v>
      </c>
      <c r="H2840" s="18" t="n">
        <v>3</v>
      </c>
      <c r="I2840" s="20" t="n">
        <v>120.57</v>
      </c>
      <c r="J2840" s="20" t="n">
        <v>342.84</v>
      </c>
      <c r="K2840" s="18" t="n">
        <v>5</v>
      </c>
      <c r="L2840" s="18" t="n">
        <v>6</v>
      </c>
      <c r="M2840" s="18" t="n">
        <v>115</v>
      </c>
      <c r="N2840" s="18" t="n">
        <v>115</v>
      </c>
      <c r="O2840" s="14" t="s">
        <v>2125</v>
      </c>
      <c r="P2840" s="14" t="s">
        <v>84</v>
      </c>
      <c r="Q2840" s="15" t="s">
        <v>1089</v>
      </c>
      <c r="R2840" s="16" t="s">
        <v>17953</v>
      </c>
      <c r="S2840" s="15" t="s">
        <v>17954</v>
      </c>
      <c r="T2840" s="15" t="s">
        <v>17955</v>
      </c>
      <c r="U2840" s="21" t="s">
        <v>72</v>
      </c>
    </row>
    <row r="2841" customFormat="false" ht="15" hidden="false" customHeight="false" outlineLevel="0" collapsed="false">
      <c r="A2841" s="15" t="s">
        <v>17956</v>
      </c>
      <c r="B2841" s="15" t="s">
        <v>17957</v>
      </c>
      <c r="C2841" s="14" t="s">
        <v>17958</v>
      </c>
      <c r="D2841" s="14" t="s">
        <v>17959</v>
      </c>
      <c r="E2841" s="16" t="s">
        <v>17960</v>
      </c>
      <c r="F2841" s="16"/>
      <c r="G2841" s="23" t="s">
        <v>43</v>
      </c>
      <c r="H2841" s="18" t="n">
        <v>1</v>
      </c>
      <c r="I2841" s="20" t="n">
        <v>49.32</v>
      </c>
      <c r="J2841" s="20" t="n">
        <v>180</v>
      </c>
      <c r="K2841" s="18" t="n">
        <v>1</v>
      </c>
      <c r="L2841" s="18" t="n">
        <v>2</v>
      </c>
      <c r="M2841" s="18" t="n">
        <v>32</v>
      </c>
      <c r="N2841" s="18" t="n">
        <v>32</v>
      </c>
      <c r="O2841" s="14" t="s">
        <v>1088</v>
      </c>
      <c r="P2841" s="14" t="s">
        <v>84</v>
      </c>
      <c r="Q2841" s="15" t="s">
        <v>1089</v>
      </c>
      <c r="R2841" s="16" t="s">
        <v>17961</v>
      </c>
      <c r="S2841" s="15" t="s">
        <v>17962</v>
      </c>
      <c r="T2841" s="15" t="s">
        <v>17963</v>
      </c>
      <c r="U2841" s="21" t="s">
        <v>72</v>
      </c>
    </row>
    <row r="2842" customFormat="false" ht="15" hidden="false" customHeight="false" outlineLevel="0" collapsed="false">
      <c r="A2842" s="15" t="s">
        <v>17956</v>
      </c>
      <c r="B2842" s="15" t="s">
        <v>17964</v>
      </c>
      <c r="C2842" s="14" t="s">
        <v>17965</v>
      </c>
      <c r="D2842" s="14" t="s">
        <v>17966</v>
      </c>
      <c r="E2842" s="16" t="s">
        <v>17967</v>
      </c>
      <c r="F2842" s="16"/>
      <c r="G2842" s="23" t="s">
        <v>43</v>
      </c>
      <c r="H2842" s="18" t="n">
        <v>1</v>
      </c>
      <c r="I2842" s="20" t="n">
        <v>31.57</v>
      </c>
      <c r="J2842" s="20" t="n">
        <v>71.92</v>
      </c>
      <c r="K2842" s="18" t="n">
        <v>2</v>
      </c>
      <c r="L2842" s="18" t="n">
        <v>1</v>
      </c>
      <c r="M2842" s="18" t="n">
        <v>40</v>
      </c>
      <c r="N2842" s="18" t="n">
        <v>40</v>
      </c>
      <c r="O2842" s="14" t="s">
        <v>1097</v>
      </c>
      <c r="P2842" s="14" t="s">
        <v>84</v>
      </c>
      <c r="Q2842" s="15" t="s">
        <v>1089</v>
      </c>
      <c r="R2842" s="16" t="s">
        <v>2344</v>
      </c>
      <c r="S2842" s="15" t="s">
        <v>17968</v>
      </c>
      <c r="T2842" s="15" t="s">
        <v>17969</v>
      </c>
      <c r="U2842" s="21" t="s">
        <v>72</v>
      </c>
    </row>
    <row r="2843" customFormat="false" ht="15" hidden="false" customHeight="false" outlineLevel="0" collapsed="false">
      <c r="A2843" s="15" t="s">
        <v>17956</v>
      </c>
      <c r="B2843" s="15" t="s">
        <v>17964</v>
      </c>
      <c r="C2843" s="14" t="s">
        <v>17970</v>
      </c>
      <c r="D2843" s="14" t="s">
        <v>17971</v>
      </c>
      <c r="E2843" s="16" t="s">
        <v>17972</v>
      </c>
      <c r="F2843" s="16" t="s">
        <v>17973</v>
      </c>
      <c r="G2843" s="19" t="s">
        <v>41</v>
      </c>
      <c r="H2843" s="18" t="n">
        <v>1</v>
      </c>
      <c r="I2843" s="20" t="n">
        <v>144</v>
      </c>
      <c r="J2843" s="20" t="n">
        <v>249.48</v>
      </c>
      <c r="K2843" s="18" t="n">
        <v>1</v>
      </c>
      <c r="L2843" s="18" t="n">
        <v>1</v>
      </c>
      <c r="M2843" s="18" t="n">
        <v>40</v>
      </c>
      <c r="N2843" s="18" t="n">
        <v>40</v>
      </c>
      <c r="O2843" s="14" t="s">
        <v>1088</v>
      </c>
      <c r="P2843" s="14" t="s">
        <v>84</v>
      </c>
      <c r="Q2843" s="15" t="s">
        <v>1089</v>
      </c>
      <c r="R2843" s="16" t="s">
        <v>17974</v>
      </c>
      <c r="S2843" s="15" t="s">
        <v>17975</v>
      </c>
      <c r="T2843" s="15" t="s">
        <v>17975</v>
      </c>
      <c r="U2843" s="21" t="s">
        <v>72</v>
      </c>
    </row>
    <row r="2844" customFormat="false" ht="15" hidden="false" customHeight="false" outlineLevel="0" collapsed="false">
      <c r="A2844" s="15" t="s">
        <v>17956</v>
      </c>
      <c r="B2844" s="15" t="s">
        <v>17976</v>
      </c>
      <c r="C2844" s="14" t="s">
        <v>17977</v>
      </c>
      <c r="D2844" s="14" t="s">
        <v>17978</v>
      </c>
      <c r="E2844" s="16" t="s">
        <v>17979</v>
      </c>
      <c r="F2844" s="16" t="s">
        <v>17980</v>
      </c>
      <c r="G2844" s="19" t="s">
        <v>41</v>
      </c>
      <c r="H2844" s="18" t="n">
        <v>3</v>
      </c>
      <c r="I2844" s="20" t="n">
        <v>95.74</v>
      </c>
      <c r="J2844" s="20" t="n">
        <v>212.69</v>
      </c>
      <c r="K2844" s="18" t="n">
        <v>9</v>
      </c>
      <c r="L2844" s="18" t="n">
        <v>62</v>
      </c>
      <c r="M2844" s="18" t="n">
        <v>174</v>
      </c>
      <c r="N2844" s="18" t="n">
        <v>120</v>
      </c>
      <c r="O2844" s="14" t="s">
        <v>1097</v>
      </c>
      <c r="P2844" s="14" t="s">
        <v>84</v>
      </c>
      <c r="Q2844" s="15" t="s">
        <v>1089</v>
      </c>
      <c r="R2844" s="16" t="s">
        <v>4264</v>
      </c>
      <c r="S2844" s="15" t="s">
        <v>1348</v>
      </c>
      <c r="T2844" s="15" t="s">
        <v>17981</v>
      </c>
      <c r="U2844" s="21" t="s">
        <v>72</v>
      </c>
    </row>
    <row r="2845" customFormat="false" ht="26.85" hidden="false" customHeight="false" outlineLevel="0" collapsed="false">
      <c r="A2845" s="15" t="s">
        <v>17956</v>
      </c>
      <c r="B2845" s="15" t="s">
        <v>17976</v>
      </c>
      <c r="C2845" s="14" t="s">
        <v>17982</v>
      </c>
      <c r="D2845" s="14" t="s">
        <v>17983</v>
      </c>
      <c r="E2845" s="16" t="s">
        <v>17984</v>
      </c>
      <c r="F2845" s="16" t="s">
        <v>17985</v>
      </c>
      <c r="G2845" s="25" t="s">
        <v>39</v>
      </c>
      <c r="H2845" s="18" t="n">
        <v>6</v>
      </c>
      <c r="I2845" s="20" t="n">
        <v>230</v>
      </c>
      <c r="J2845" s="20" t="n">
        <v>1380</v>
      </c>
      <c r="K2845" s="18" t="n">
        <v>12</v>
      </c>
      <c r="L2845" s="18" t="n">
        <v>18</v>
      </c>
      <c r="M2845" s="18" t="n">
        <v>255</v>
      </c>
      <c r="N2845" s="18" t="n">
        <v>100</v>
      </c>
      <c r="O2845" s="14" t="s">
        <v>1088</v>
      </c>
      <c r="P2845" s="14" t="s">
        <v>84</v>
      </c>
      <c r="Q2845" s="15" t="s">
        <v>1089</v>
      </c>
      <c r="R2845" s="16" t="s">
        <v>17986</v>
      </c>
      <c r="S2845" s="15" t="s">
        <v>17987</v>
      </c>
      <c r="T2845" s="15" t="s">
        <v>17988</v>
      </c>
      <c r="U2845" s="21" t="s">
        <v>72</v>
      </c>
    </row>
    <row r="2846" customFormat="false" ht="15" hidden="false" customHeight="false" outlineLevel="0" collapsed="false">
      <c r="A2846" s="15" t="s">
        <v>17956</v>
      </c>
      <c r="B2846" s="15" t="s">
        <v>17976</v>
      </c>
      <c r="C2846" s="14" t="s">
        <v>17989</v>
      </c>
      <c r="D2846" s="14" t="s">
        <v>17990</v>
      </c>
      <c r="E2846" s="16" t="s">
        <v>17991</v>
      </c>
      <c r="F2846" s="16" t="s">
        <v>17992</v>
      </c>
      <c r="G2846" s="23" t="s">
        <v>43</v>
      </c>
      <c r="H2846" s="18" t="n">
        <v>2</v>
      </c>
      <c r="I2846" s="20" t="n">
        <v>120</v>
      </c>
      <c r="J2846" s="20" t="n">
        <v>168.64</v>
      </c>
      <c r="K2846" s="18" t="n">
        <v>12</v>
      </c>
      <c r="L2846" s="18" t="n">
        <v>2</v>
      </c>
      <c r="M2846" s="18" t="n">
        <v>360</v>
      </c>
      <c r="N2846" s="18" t="n">
        <v>360</v>
      </c>
      <c r="O2846" s="14" t="s">
        <v>1088</v>
      </c>
      <c r="P2846" s="14" t="s">
        <v>84</v>
      </c>
      <c r="Q2846" s="15" t="s">
        <v>1089</v>
      </c>
      <c r="R2846" s="16" t="s">
        <v>8113</v>
      </c>
      <c r="S2846" s="15" t="s">
        <v>17993</v>
      </c>
      <c r="T2846" s="15" t="s">
        <v>17994</v>
      </c>
      <c r="U2846" s="21" t="s">
        <v>72</v>
      </c>
    </row>
    <row r="2847" customFormat="false" ht="15" hidden="false" customHeight="false" outlineLevel="0" collapsed="false">
      <c r="A2847" s="15" t="s">
        <v>17956</v>
      </c>
      <c r="B2847" s="15" t="s">
        <v>17976</v>
      </c>
      <c r="C2847" s="14" t="s">
        <v>17995</v>
      </c>
      <c r="D2847" s="14" t="s">
        <v>17996</v>
      </c>
      <c r="E2847" s="16" t="s">
        <v>17997</v>
      </c>
      <c r="F2847" s="16" t="s">
        <v>17998</v>
      </c>
      <c r="G2847" s="19" t="s">
        <v>41</v>
      </c>
      <c r="H2847" s="18" t="n">
        <v>5</v>
      </c>
      <c r="I2847" s="20" t="n">
        <v>174.53</v>
      </c>
      <c r="J2847" s="20" t="n">
        <v>264.04</v>
      </c>
      <c r="K2847" s="18" t="n">
        <v>4</v>
      </c>
      <c r="L2847" s="18" t="n">
        <v>9</v>
      </c>
      <c r="M2847" s="18" t="n">
        <v>80</v>
      </c>
      <c r="N2847" s="18" t="n">
        <v>40</v>
      </c>
      <c r="O2847" s="14" t="s">
        <v>1097</v>
      </c>
      <c r="P2847" s="14" t="s">
        <v>84</v>
      </c>
      <c r="Q2847" s="15" t="s">
        <v>1089</v>
      </c>
      <c r="R2847" s="16" t="s">
        <v>17999</v>
      </c>
      <c r="S2847" s="15" t="s">
        <v>18000</v>
      </c>
      <c r="T2847" s="15" t="s">
        <v>18001</v>
      </c>
      <c r="U2847" s="21" t="s">
        <v>72</v>
      </c>
    </row>
    <row r="2848" customFormat="false" ht="15" hidden="false" customHeight="false" outlineLevel="0" collapsed="false">
      <c r="A2848" s="15" t="s">
        <v>17956</v>
      </c>
      <c r="B2848" s="15" t="s">
        <v>17976</v>
      </c>
      <c r="C2848" s="14" t="s">
        <v>18002</v>
      </c>
      <c r="D2848" s="14" t="s">
        <v>18003</v>
      </c>
      <c r="E2848" s="16" t="s">
        <v>18004</v>
      </c>
      <c r="F2848" s="16" t="s">
        <v>18005</v>
      </c>
      <c r="G2848" s="19" t="s">
        <v>41</v>
      </c>
      <c r="H2848" s="18" t="n">
        <v>4</v>
      </c>
      <c r="I2848" s="20" t="n">
        <v>40</v>
      </c>
      <c r="J2848" s="20" t="n">
        <v>200</v>
      </c>
      <c r="K2848" s="18" t="n">
        <v>2</v>
      </c>
      <c r="L2848" s="18" t="n">
        <v>9</v>
      </c>
      <c r="M2848" s="18" t="n">
        <v>120</v>
      </c>
      <c r="N2848" s="18" t="n">
        <v>120</v>
      </c>
      <c r="O2848" s="14" t="s">
        <v>1126</v>
      </c>
      <c r="P2848" s="14" t="s">
        <v>84</v>
      </c>
      <c r="Q2848" s="15" t="s">
        <v>1089</v>
      </c>
      <c r="R2848" s="16" t="s">
        <v>9762</v>
      </c>
      <c r="S2848" s="15" t="s">
        <v>18006</v>
      </c>
      <c r="T2848" s="15" t="s">
        <v>18007</v>
      </c>
      <c r="U2848" s="21" t="s">
        <v>72</v>
      </c>
    </row>
    <row r="2849" customFormat="false" ht="15" hidden="false" customHeight="false" outlineLevel="0" collapsed="false">
      <c r="A2849" s="15" t="s">
        <v>17956</v>
      </c>
      <c r="B2849" s="15" t="s">
        <v>17976</v>
      </c>
      <c r="C2849" s="14" t="s">
        <v>18008</v>
      </c>
      <c r="D2849" s="14" t="s">
        <v>18009</v>
      </c>
      <c r="E2849" s="16" t="s">
        <v>18010</v>
      </c>
      <c r="F2849" s="16" t="s">
        <v>18011</v>
      </c>
      <c r="G2849" s="23" t="s">
        <v>43</v>
      </c>
      <c r="H2849" s="18" t="n">
        <v>2</v>
      </c>
      <c r="I2849" s="20" t="n">
        <v>39.825</v>
      </c>
      <c r="J2849" s="20" t="n">
        <v>79.65</v>
      </c>
      <c r="K2849" s="18" t="n">
        <v>6</v>
      </c>
      <c r="L2849" s="18" t="n">
        <v>1</v>
      </c>
      <c r="M2849" s="18" t="n">
        <v>60</v>
      </c>
      <c r="N2849" s="18" t="n">
        <v>20</v>
      </c>
      <c r="O2849" s="14" t="s">
        <v>1097</v>
      </c>
      <c r="P2849" s="14" t="s">
        <v>84</v>
      </c>
      <c r="Q2849" s="15" t="s">
        <v>1089</v>
      </c>
      <c r="R2849" s="16" t="s">
        <v>18012</v>
      </c>
      <c r="S2849" s="15" t="s">
        <v>18013</v>
      </c>
      <c r="T2849" s="15" t="s">
        <v>18014</v>
      </c>
      <c r="U2849" s="21" t="s">
        <v>72</v>
      </c>
    </row>
    <row r="2850" customFormat="false" ht="15" hidden="false" customHeight="false" outlineLevel="0" collapsed="false">
      <c r="A2850" s="15" t="s">
        <v>17956</v>
      </c>
      <c r="B2850" s="15" t="s">
        <v>17976</v>
      </c>
      <c r="C2850" s="14" t="s">
        <v>18015</v>
      </c>
      <c r="D2850" s="14" t="s">
        <v>18016</v>
      </c>
      <c r="E2850" s="16" t="s">
        <v>18017</v>
      </c>
      <c r="F2850" s="16" t="s">
        <v>18018</v>
      </c>
      <c r="G2850" s="25" t="s">
        <v>39</v>
      </c>
      <c r="H2850" s="18" t="n">
        <v>6</v>
      </c>
      <c r="I2850" s="20" t="n">
        <v>235.37</v>
      </c>
      <c r="J2850" s="20" t="n">
        <v>504.87</v>
      </c>
      <c r="K2850" s="18" t="n">
        <v>5</v>
      </c>
      <c r="L2850" s="18" t="n">
        <v>9</v>
      </c>
      <c r="M2850" s="18" t="n">
        <v>151</v>
      </c>
      <c r="N2850" s="18" t="n">
        <v>116</v>
      </c>
      <c r="O2850" s="14" t="s">
        <v>1097</v>
      </c>
      <c r="P2850" s="14" t="s">
        <v>84</v>
      </c>
      <c r="Q2850" s="15" t="s">
        <v>1089</v>
      </c>
      <c r="R2850" s="16" t="s">
        <v>18019</v>
      </c>
      <c r="S2850" s="15" t="s">
        <v>18020</v>
      </c>
      <c r="T2850" s="15" t="s">
        <v>18020</v>
      </c>
      <c r="U2850" s="21" t="s">
        <v>72</v>
      </c>
    </row>
    <row r="2851" customFormat="false" ht="15" hidden="false" customHeight="false" outlineLevel="0" collapsed="false">
      <c r="A2851" s="15" t="s">
        <v>17956</v>
      </c>
      <c r="B2851" s="15" t="s">
        <v>17976</v>
      </c>
      <c r="C2851" s="14" t="s">
        <v>18021</v>
      </c>
      <c r="D2851" s="14" t="s">
        <v>18022</v>
      </c>
      <c r="E2851" s="16" t="s">
        <v>18023</v>
      </c>
      <c r="F2851" s="16" t="s">
        <v>1373</v>
      </c>
      <c r="G2851" s="23" t="s">
        <v>43</v>
      </c>
      <c r="H2851" s="18" t="n">
        <v>4</v>
      </c>
      <c r="I2851" s="20" t="n">
        <v>76.66</v>
      </c>
      <c r="J2851" s="20" t="n">
        <v>186.74</v>
      </c>
      <c r="K2851" s="18" t="n">
        <v>3</v>
      </c>
      <c r="L2851" s="18" t="n">
        <v>7</v>
      </c>
      <c r="M2851" s="18" t="n">
        <v>42</v>
      </c>
      <c r="N2851" s="18" t="n">
        <v>42</v>
      </c>
      <c r="O2851" s="14" t="s">
        <v>1097</v>
      </c>
      <c r="P2851" s="14" t="s">
        <v>84</v>
      </c>
      <c r="Q2851" s="15" t="s">
        <v>1089</v>
      </c>
      <c r="R2851" s="16" t="s">
        <v>18024</v>
      </c>
      <c r="S2851" s="15" t="s">
        <v>18025</v>
      </c>
      <c r="T2851" s="15" t="s">
        <v>18026</v>
      </c>
      <c r="U2851" s="21" t="s">
        <v>72</v>
      </c>
    </row>
    <row r="2852" customFormat="false" ht="15" hidden="false" customHeight="false" outlineLevel="0" collapsed="false">
      <c r="A2852" s="15" t="s">
        <v>17956</v>
      </c>
      <c r="B2852" s="15" t="s">
        <v>17976</v>
      </c>
      <c r="C2852" s="14" t="s">
        <v>18027</v>
      </c>
      <c r="D2852" s="14" t="s">
        <v>18028</v>
      </c>
      <c r="E2852" s="16" t="s">
        <v>18029</v>
      </c>
      <c r="F2852" s="16" t="s">
        <v>18030</v>
      </c>
      <c r="G2852" s="23" t="s">
        <v>43</v>
      </c>
      <c r="H2852" s="18" t="n">
        <v>2</v>
      </c>
      <c r="I2852" s="20" t="n">
        <v>42.12</v>
      </c>
      <c r="J2852" s="20" t="n">
        <v>77.18</v>
      </c>
      <c r="K2852" s="18" t="n">
        <v>2</v>
      </c>
      <c r="L2852" s="18" t="n">
        <v>1</v>
      </c>
      <c r="M2852" s="18" t="n">
        <v>30</v>
      </c>
      <c r="N2852" s="18" t="n">
        <v>30</v>
      </c>
      <c r="O2852" s="14" t="s">
        <v>1097</v>
      </c>
      <c r="P2852" s="14" t="s">
        <v>84</v>
      </c>
      <c r="Q2852" s="15" t="s">
        <v>1089</v>
      </c>
      <c r="R2852" s="16" t="s">
        <v>793</v>
      </c>
      <c r="S2852" s="15" t="s">
        <v>18031</v>
      </c>
      <c r="T2852" s="15" t="s">
        <v>18031</v>
      </c>
      <c r="U2852" s="21" t="s">
        <v>72</v>
      </c>
    </row>
    <row r="2853" customFormat="false" ht="15" hidden="false" customHeight="false" outlineLevel="0" collapsed="false">
      <c r="A2853" s="15" t="s">
        <v>17956</v>
      </c>
      <c r="B2853" s="15" t="s">
        <v>17976</v>
      </c>
      <c r="C2853" s="14" t="s">
        <v>18032</v>
      </c>
      <c r="D2853" s="14" t="s">
        <v>18033</v>
      </c>
      <c r="E2853" s="16" t="s">
        <v>18034</v>
      </c>
      <c r="F2853" s="16" t="s">
        <v>18035</v>
      </c>
      <c r="G2853" s="23" t="s">
        <v>43</v>
      </c>
      <c r="H2853" s="18" t="n">
        <v>3</v>
      </c>
      <c r="I2853" s="20" t="n">
        <v>45.01</v>
      </c>
      <c r="J2853" s="20" t="n">
        <v>135.18</v>
      </c>
      <c r="K2853" s="18" t="n">
        <v>4</v>
      </c>
      <c r="L2853" s="18" t="n">
        <v>6</v>
      </c>
      <c r="M2853" s="18" t="n">
        <v>60</v>
      </c>
      <c r="N2853" s="18" t="n">
        <v>15</v>
      </c>
      <c r="O2853" s="14" t="s">
        <v>1097</v>
      </c>
      <c r="P2853" s="14" t="s">
        <v>84</v>
      </c>
      <c r="Q2853" s="15" t="s">
        <v>1089</v>
      </c>
      <c r="R2853" s="16" t="s">
        <v>18036</v>
      </c>
      <c r="S2853" s="15" t="s">
        <v>18037</v>
      </c>
      <c r="T2853" s="15" t="s">
        <v>18038</v>
      </c>
      <c r="U2853" s="21" t="s">
        <v>72</v>
      </c>
    </row>
    <row r="2854" customFormat="false" ht="15" hidden="false" customHeight="false" outlineLevel="0" collapsed="false">
      <c r="A2854" s="15" t="s">
        <v>17956</v>
      </c>
      <c r="B2854" s="15" t="s">
        <v>17976</v>
      </c>
      <c r="C2854" s="14" t="s">
        <v>18039</v>
      </c>
      <c r="D2854" s="14" t="s">
        <v>18040</v>
      </c>
      <c r="E2854" s="16" t="s">
        <v>18041</v>
      </c>
      <c r="F2854" s="16" t="s">
        <v>18042</v>
      </c>
      <c r="G2854" s="25" t="s">
        <v>39</v>
      </c>
      <c r="H2854" s="18" t="n">
        <v>4</v>
      </c>
      <c r="I2854" s="20" t="n">
        <v>222</v>
      </c>
      <c r="J2854" s="20" t="n">
        <v>467</v>
      </c>
      <c r="K2854" s="18" t="n">
        <v>2</v>
      </c>
      <c r="L2854" s="18" t="n">
        <v>2</v>
      </c>
      <c r="M2854" s="18" t="n">
        <v>100</v>
      </c>
      <c r="N2854" s="18" t="n">
        <v>100</v>
      </c>
      <c r="O2854" s="14" t="s">
        <v>1088</v>
      </c>
      <c r="P2854" s="14" t="s">
        <v>84</v>
      </c>
      <c r="Q2854" s="15" t="s">
        <v>1089</v>
      </c>
      <c r="R2854" s="16" t="s">
        <v>18043</v>
      </c>
      <c r="S2854" s="15" t="s">
        <v>18044</v>
      </c>
      <c r="T2854" s="15" t="s">
        <v>18045</v>
      </c>
      <c r="U2854" s="21" t="s">
        <v>72</v>
      </c>
    </row>
    <row r="2855" customFormat="false" ht="15" hidden="false" customHeight="false" outlineLevel="0" collapsed="false">
      <c r="A2855" s="15" t="s">
        <v>17956</v>
      </c>
      <c r="B2855" s="15" t="s">
        <v>17976</v>
      </c>
      <c r="C2855" s="14" t="s">
        <v>18046</v>
      </c>
      <c r="D2855" s="14" t="s">
        <v>18047</v>
      </c>
      <c r="E2855" s="16" t="s">
        <v>18048</v>
      </c>
      <c r="F2855" s="16" t="s">
        <v>18049</v>
      </c>
      <c r="G2855" s="23" t="s">
        <v>43</v>
      </c>
      <c r="H2855" s="18" t="n">
        <v>4</v>
      </c>
      <c r="I2855" s="20" t="n">
        <v>124.15</v>
      </c>
      <c r="J2855" s="20" t="n">
        <v>186.24</v>
      </c>
      <c r="K2855" s="18" t="n">
        <v>8</v>
      </c>
      <c r="L2855" s="18" t="n">
        <v>5</v>
      </c>
      <c r="M2855" s="18" t="n">
        <v>120</v>
      </c>
      <c r="N2855" s="18" t="n">
        <v>75</v>
      </c>
      <c r="O2855" s="14" t="s">
        <v>2125</v>
      </c>
      <c r="P2855" s="14" t="s">
        <v>84</v>
      </c>
      <c r="Q2855" s="15" t="s">
        <v>1089</v>
      </c>
      <c r="R2855" s="16" t="s">
        <v>18050</v>
      </c>
      <c r="S2855" s="15" t="s">
        <v>18051</v>
      </c>
      <c r="T2855" s="15" t="s">
        <v>18051</v>
      </c>
      <c r="U2855" s="21" t="s">
        <v>72</v>
      </c>
    </row>
    <row r="2856" customFormat="false" ht="15" hidden="false" customHeight="false" outlineLevel="0" collapsed="false">
      <c r="A2856" s="15" t="s">
        <v>17956</v>
      </c>
      <c r="B2856" s="15" t="s">
        <v>17976</v>
      </c>
      <c r="C2856" s="14" t="s">
        <v>18052</v>
      </c>
      <c r="D2856" s="14" t="s">
        <v>18053</v>
      </c>
      <c r="E2856" s="16" t="s">
        <v>18054</v>
      </c>
      <c r="F2856" s="16" t="s">
        <v>18055</v>
      </c>
      <c r="G2856" s="23" t="s">
        <v>43</v>
      </c>
      <c r="H2856" s="18" t="n">
        <v>4</v>
      </c>
      <c r="I2856" s="20" t="n">
        <v>100.48</v>
      </c>
      <c r="J2856" s="20" t="n">
        <v>191.31</v>
      </c>
      <c r="K2856" s="18" t="n">
        <v>6</v>
      </c>
      <c r="L2856" s="18" t="n">
        <v>6</v>
      </c>
      <c r="M2856" s="18" t="n">
        <v>94</v>
      </c>
      <c r="N2856" s="18" t="n">
        <v>32</v>
      </c>
      <c r="O2856" s="14" t="s">
        <v>2125</v>
      </c>
      <c r="P2856" s="14" t="s">
        <v>84</v>
      </c>
      <c r="Q2856" s="15" t="s">
        <v>1089</v>
      </c>
      <c r="R2856" s="16" t="s">
        <v>18056</v>
      </c>
      <c r="S2856" s="15" t="s">
        <v>18057</v>
      </c>
      <c r="T2856" s="15" t="s">
        <v>18057</v>
      </c>
      <c r="U2856" s="21" t="s">
        <v>72</v>
      </c>
    </row>
    <row r="2857" customFormat="false" ht="15" hidden="false" customHeight="false" outlineLevel="0" collapsed="false">
      <c r="A2857" s="15" t="s">
        <v>17956</v>
      </c>
      <c r="B2857" s="15" t="s">
        <v>17976</v>
      </c>
      <c r="C2857" s="14" t="s">
        <v>18058</v>
      </c>
      <c r="D2857" s="14" t="s">
        <v>18059</v>
      </c>
      <c r="E2857" s="16" t="s">
        <v>18060</v>
      </c>
      <c r="F2857" s="16" t="s">
        <v>18061</v>
      </c>
      <c r="G2857" s="23" t="s">
        <v>43</v>
      </c>
      <c r="H2857" s="18" t="n">
        <v>2</v>
      </c>
      <c r="I2857" s="20" t="n">
        <v>54.37</v>
      </c>
      <c r="J2857" s="20" t="n">
        <v>129.33</v>
      </c>
      <c r="K2857" s="18" t="n">
        <v>2</v>
      </c>
      <c r="L2857" s="18" t="n">
        <v>3</v>
      </c>
      <c r="M2857" s="18" t="n">
        <v>20</v>
      </c>
      <c r="N2857" s="18" t="n">
        <v>20</v>
      </c>
      <c r="O2857" s="14" t="s">
        <v>1126</v>
      </c>
      <c r="P2857" s="14" t="s">
        <v>84</v>
      </c>
      <c r="Q2857" s="15" t="s">
        <v>1089</v>
      </c>
      <c r="R2857" s="16" t="s">
        <v>13768</v>
      </c>
      <c r="S2857" s="15" t="s">
        <v>18062</v>
      </c>
      <c r="T2857" s="15" t="s">
        <v>18062</v>
      </c>
      <c r="U2857" s="21" t="s">
        <v>72</v>
      </c>
    </row>
    <row r="2858" customFormat="false" ht="15" hidden="false" customHeight="false" outlineLevel="0" collapsed="false">
      <c r="A2858" s="15" t="s">
        <v>17956</v>
      </c>
      <c r="B2858" s="15" t="s">
        <v>17976</v>
      </c>
      <c r="C2858" s="14" t="s">
        <v>18063</v>
      </c>
      <c r="D2858" s="14" t="s">
        <v>18064</v>
      </c>
      <c r="E2858" s="16" t="s">
        <v>18065</v>
      </c>
      <c r="F2858" s="16" t="s">
        <v>18066</v>
      </c>
      <c r="G2858" s="23" t="s">
        <v>43</v>
      </c>
      <c r="H2858" s="18" t="n">
        <v>2</v>
      </c>
      <c r="I2858" s="20" t="n">
        <v>44.78</v>
      </c>
      <c r="J2858" s="20" t="n">
        <v>99.76</v>
      </c>
      <c r="K2858" s="18" t="n">
        <v>10</v>
      </c>
      <c r="L2858" s="18" t="n">
        <v>1</v>
      </c>
      <c r="M2858" s="18" t="n">
        <v>150</v>
      </c>
      <c r="N2858" s="18" t="n">
        <v>120</v>
      </c>
      <c r="O2858" s="14" t="s">
        <v>1088</v>
      </c>
      <c r="P2858" s="14" t="s">
        <v>84</v>
      </c>
      <c r="Q2858" s="15" t="s">
        <v>1089</v>
      </c>
      <c r="R2858" s="16" t="s">
        <v>18067</v>
      </c>
      <c r="S2858" s="15" t="s">
        <v>18068</v>
      </c>
      <c r="T2858" s="15" t="s">
        <v>18068</v>
      </c>
      <c r="U2858" s="21" t="s">
        <v>72</v>
      </c>
    </row>
    <row r="2859" customFormat="false" ht="15" hidden="false" customHeight="false" outlineLevel="0" collapsed="false">
      <c r="A2859" s="15" t="s">
        <v>17956</v>
      </c>
      <c r="B2859" s="15" t="s">
        <v>17976</v>
      </c>
      <c r="C2859" s="14" t="s">
        <v>18069</v>
      </c>
      <c r="D2859" s="14" t="s">
        <v>18070</v>
      </c>
      <c r="E2859" s="16" t="s">
        <v>18071</v>
      </c>
      <c r="F2859" s="16" t="s">
        <v>18072</v>
      </c>
      <c r="G2859" s="23" t="s">
        <v>43</v>
      </c>
      <c r="H2859" s="18" t="n">
        <v>1</v>
      </c>
      <c r="I2859" s="20" t="n">
        <v>58.77</v>
      </c>
      <c r="J2859" s="20" t="n">
        <v>101.79</v>
      </c>
      <c r="K2859" s="18" t="n">
        <v>3</v>
      </c>
      <c r="L2859" s="18" t="n">
        <v>3</v>
      </c>
      <c r="M2859" s="18" t="n">
        <v>135</v>
      </c>
      <c r="N2859" s="18" t="n">
        <v>135</v>
      </c>
      <c r="O2859" s="14" t="s">
        <v>1097</v>
      </c>
      <c r="P2859" s="14" t="s">
        <v>84</v>
      </c>
      <c r="Q2859" s="15" t="s">
        <v>1089</v>
      </c>
      <c r="R2859" s="16" t="s">
        <v>18073</v>
      </c>
      <c r="S2859" s="15" t="s">
        <v>18074</v>
      </c>
      <c r="T2859" s="15" t="s">
        <v>18075</v>
      </c>
      <c r="U2859" s="21" t="s">
        <v>72</v>
      </c>
    </row>
    <row r="2860" customFormat="false" ht="15" hidden="false" customHeight="false" outlineLevel="0" collapsed="false">
      <c r="A2860" s="15" t="s">
        <v>17956</v>
      </c>
      <c r="B2860" s="15" t="s">
        <v>17976</v>
      </c>
      <c r="C2860" s="14" t="s">
        <v>18076</v>
      </c>
      <c r="D2860" s="14" t="s">
        <v>18077</v>
      </c>
      <c r="E2860" s="16" t="s">
        <v>18078</v>
      </c>
      <c r="F2860" s="16" t="s">
        <v>18079</v>
      </c>
      <c r="G2860" s="25" t="s">
        <v>39</v>
      </c>
      <c r="H2860" s="18" t="n">
        <v>3</v>
      </c>
      <c r="I2860" s="20" t="n">
        <v>210</v>
      </c>
      <c r="J2860" s="20" t="n">
        <v>417.23</v>
      </c>
      <c r="K2860" s="18" t="n">
        <v>3</v>
      </c>
      <c r="L2860" s="18" t="n">
        <v>2</v>
      </c>
      <c r="M2860" s="18" t="n">
        <v>45</v>
      </c>
      <c r="N2860" s="18" t="n">
        <v>45</v>
      </c>
      <c r="O2860" s="14" t="s">
        <v>2125</v>
      </c>
      <c r="P2860" s="14" t="s">
        <v>84</v>
      </c>
      <c r="Q2860" s="15" t="s">
        <v>1089</v>
      </c>
      <c r="R2860" s="16" t="s">
        <v>18080</v>
      </c>
      <c r="S2860" s="15" t="s">
        <v>18081</v>
      </c>
      <c r="T2860" s="15" t="s">
        <v>18081</v>
      </c>
      <c r="U2860" s="21" t="s">
        <v>72</v>
      </c>
    </row>
    <row r="2861" customFormat="false" ht="15" hidden="false" customHeight="false" outlineLevel="0" collapsed="false">
      <c r="A2861" s="15" t="s">
        <v>17956</v>
      </c>
      <c r="B2861" s="15" t="s">
        <v>17976</v>
      </c>
      <c r="C2861" s="14" t="s">
        <v>18082</v>
      </c>
      <c r="D2861" s="14" t="s">
        <v>18083</v>
      </c>
      <c r="E2861" s="16" t="s">
        <v>18084</v>
      </c>
      <c r="F2861" s="16" t="s">
        <v>18085</v>
      </c>
      <c r="G2861" s="25" t="s">
        <v>39</v>
      </c>
      <c r="H2861" s="18" t="n">
        <v>4</v>
      </c>
      <c r="I2861" s="20" t="n">
        <v>77.71</v>
      </c>
      <c r="J2861" s="20" t="n">
        <v>507.74</v>
      </c>
      <c r="K2861" s="18" t="n">
        <v>24</v>
      </c>
      <c r="L2861" s="18" t="n">
        <v>4</v>
      </c>
      <c r="M2861" s="18" t="n">
        <v>360</v>
      </c>
      <c r="N2861" s="18" t="n">
        <v>180</v>
      </c>
      <c r="O2861" s="14" t="s">
        <v>18086</v>
      </c>
      <c r="P2861" s="14" t="s">
        <v>84</v>
      </c>
      <c r="Q2861" s="15" t="s">
        <v>1089</v>
      </c>
      <c r="R2861" s="16" t="s">
        <v>18087</v>
      </c>
      <c r="S2861" s="15" t="s">
        <v>18088</v>
      </c>
      <c r="T2861" s="15" t="s">
        <v>18089</v>
      </c>
      <c r="U2861" s="21" t="s">
        <v>72</v>
      </c>
    </row>
    <row r="2862" customFormat="false" ht="15" hidden="false" customHeight="false" outlineLevel="0" collapsed="false">
      <c r="A2862" s="15" t="s">
        <v>17956</v>
      </c>
      <c r="B2862" s="15" t="s">
        <v>17976</v>
      </c>
      <c r="C2862" s="14" t="s">
        <v>18090</v>
      </c>
      <c r="D2862" s="14" t="s">
        <v>18091</v>
      </c>
      <c r="E2862" s="16" t="s">
        <v>18092</v>
      </c>
      <c r="F2862" s="16" t="s">
        <v>18093</v>
      </c>
      <c r="G2862" s="23" t="s">
        <v>43</v>
      </c>
      <c r="H2862" s="18" t="n">
        <v>3</v>
      </c>
      <c r="I2862" s="20" t="n">
        <v>77.23</v>
      </c>
      <c r="J2862" s="20" t="n">
        <v>171.29</v>
      </c>
      <c r="K2862" s="18" t="n">
        <v>3</v>
      </c>
      <c r="L2862" s="18" t="n">
        <v>5</v>
      </c>
      <c r="M2862" s="18" t="n">
        <v>45</v>
      </c>
      <c r="N2862" s="18" t="n">
        <v>45</v>
      </c>
      <c r="O2862" s="14" t="s">
        <v>1126</v>
      </c>
      <c r="P2862" s="14" t="s">
        <v>84</v>
      </c>
      <c r="Q2862" s="15" t="s">
        <v>1089</v>
      </c>
      <c r="R2862" s="16" t="s">
        <v>18094</v>
      </c>
      <c r="S2862" s="15" t="s">
        <v>18095</v>
      </c>
      <c r="T2862" s="15" t="s">
        <v>18096</v>
      </c>
      <c r="U2862" s="21" t="s">
        <v>72</v>
      </c>
    </row>
    <row r="2863" customFormat="false" ht="15" hidden="false" customHeight="false" outlineLevel="0" collapsed="false">
      <c r="A2863" s="15" t="s">
        <v>17956</v>
      </c>
      <c r="B2863" s="15" t="s">
        <v>17976</v>
      </c>
      <c r="C2863" s="14" t="s">
        <v>18097</v>
      </c>
      <c r="D2863" s="14" t="s">
        <v>18098</v>
      </c>
      <c r="E2863" s="16" t="s">
        <v>18099</v>
      </c>
      <c r="F2863" s="16" t="s">
        <v>18100</v>
      </c>
      <c r="G2863" s="23" t="s">
        <v>43</v>
      </c>
      <c r="H2863" s="18" t="n">
        <v>3</v>
      </c>
      <c r="I2863" s="20" t="n">
        <v>68.28</v>
      </c>
      <c r="J2863" s="20" t="n">
        <v>118.28</v>
      </c>
      <c r="K2863" s="18" t="n">
        <v>10</v>
      </c>
      <c r="L2863" s="18" t="n">
        <v>8</v>
      </c>
      <c r="M2863" s="18" t="n">
        <v>230</v>
      </c>
      <c r="N2863" s="18" t="n">
        <v>230</v>
      </c>
      <c r="O2863" s="14" t="s">
        <v>15098</v>
      </c>
      <c r="P2863" s="14" t="s">
        <v>118</v>
      </c>
      <c r="Q2863" s="15" t="s">
        <v>1089</v>
      </c>
      <c r="R2863" s="16" t="s">
        <v>18101</v>
      </c>
      <c r="S2863" s="15" t="s">
        <v>18102</v>
      </c>
      <c r="T2863" s="15" t="s">
        <v>18103</v>
      </c>
      <c r="U2863" s="21" t="s">
        <v>72</v>
      </c>
    </row>
    <row r="2864" customFormat="false" ht="15" hidden="false" customHeight="false" outlineLevel="0" collapsed="false">
      <c r="A2864" s="15" t="s">
        <v>17956</v>
      </c>
      <c r="B2864" s="15" t="s">
        <v>18104</v>
      </c>
      <c r="C2864" s="14" t="s">
        <v>18105</v>
      </c>
      <c r="D2864" s="14" t="s">
        <v>18106</v>
      </c>
      <c r="E2864" s="16" t="s">
        <v>18107</v>
      </c>
      <c r="F2864" s="16" t="s">
        <v>18108</v>
      </c>
      <c r="G2864" s="23" t="s">
        <v>43</v>
      </c>
      <c r="H2864" s="18" t="n">
        <v>2</v>
      </c>
      <c r="I2864" s="20" t="n">
        <v>45</v>
      </c>
      <c r="J2864" s="20" t="n">
        <v>135</v>
      </c>
      <c r="K2864" s="18" t="n">
        <v>2</v>
      </c>
      <c r="L2864" s="18" t="n">
        <v>4</v>
      </c>
      <c r="M2864" s="18" t="n">
        <v>30</v>
      </c>
      <c r="N2864" s="18" t="n">
        <v>30</v>
      </c>
      <c r="O2864" s="14" t="s">
        <v>1097</v>
      </c>
      <c r="P2864" s="14" t="s">
        <v>84</v>
      </c>
      <c r="Q2864" s="15" t="s">
        <v>1089</v>
      </c>
      <c r="R2864" s="16" t="s">
        <v>17372</v>
      </c>
      <c r="S2864" s="15" t="s">
        <v>18109</v>
      </c>
      <c r="T2864" s="15" t="s">
        <v>18109</v>
      </c>
      <c r="U2864" s="21" t="s">
        <v>72</v>
      </c>
    </row>
    <row r="2865" customFormat="false" ht="15" hidden="false" customHeight="false" outlineLevel="0" collapsed="false">
      <c r="A2865" s="15" t="s">
        <v>17956</v>
      </c>
      <c r="B2865" s="15" t="s">
        <v>18104</v>
      </c>
      <c r="C2865" s="14" t="s">
        <v>18110</v>
      </c>
      <c r="D2865" s="14" t="s">
        <v>18111</v>
      </c>
      <c r="E2865" s="16" t="s">
        <v>18112</v>
      </c>
      <c r="F2865" s="16"/>
      <c r="G2865" s="23" t="s">
        <v>43</v>
      </c>
      <c r="H2865" s="18" t="n">
        <v>2</v>
      </c>
      <c r="I2865" s="20" t="n">
        <v>40</v>
      </c>
      <c r="J2865" s="20" t="n">
        <v>72</v>
      </c>
      <c r="K2865" s="18" t="n">
        <v>2</v>
      </c>
      <c r="L2865" s="18" t="n">
        <v>1</v>
      </c>
      <c r="M2865" s="18" t="n">
        <v>18</v>
      </c>
      <c r="N2865" s="18" t="n">
        <v>18</v>
      </c>
      <c r="O2865" s="14" t="s">
        <v>1126</v>
      </c>
      <c r="P2865" s="14" t="s">
        <v>84</v>
      </c>
      <c r="Q2865" s="15" t="s">
        <v>1089</v>
      </c>
      <c r="R2865" s="16" t="s">
        <v>18113</v>
      </c>
      <c r="S2865" s="15" t="s">
        <v>18114</v>
      </c>
      <c r="T2865" s="15" t="s">
        <v>18115</v>
      </c>
      <c r="U2865" s="21" t="s">
        <v>72</v>
      </c>
    </row>
    <row r="2866" customFormat="false" ht="15" hidden="false" customHeight="false" outlineLevel="0" collapsed="false">
      <c r="A2866" s="15" t="s">
        <v>17956</v>
      </c>
      <c r="B2866" s="15" t="s">
        <v>18104</v>
      </c>
      <c r="C2866" s="14" t="s">
        <v>18116</v>
      </c>
      <c r="D2866" s="14" t="s">
        <v>18117</v>
      </c>
      <c r="E2866" s="16" t="s">
        <v>18118</v>
      </c>
      <c r="F2866" s="16" t="s">
        <v>18119</v>
      </c>
      <c r="G2866" s="23" t="s">
        <v>43</v>
      </c>
      <c r="H2866" s="18" t="n">
        <v>1</v>
      </c>
      <c r="I2866" s="20" t="n">
        <v>30</v>
      </c>
      <c r="J2866" s="20" t="n">
        <v>97</v>
      </c>
      <c r="K2866" s="18" t="n">
        <v>6</v>
      </c>
      <c r="L2866" s="18" t="n">
        <v>1</v>
      </c>
      <c r="M2866" s="18" t="n">
        <v>42</v>
      </c>
      <c r="N2866" s="18" t="n">
        <v>21</v>
      </c>
      <c r="O2866" s="14" t="s">
        <v>9118</v>
      </c>
      <c r="P2866" s="14" t="s">
        <v>84</v>
      </c>
      <c r="Q2866" s="15" t="s">
        <v>1089</v>
      </c>
      <c r="R2866" s="16" t="s">
        <v>18120</v>
      </c>
      <c r="S2866" s="15" t="s">
        <v>18121</v>
      </c>
      <c r="T2866" s="15" t="s">
        <v>18121</v>
      </c>
      <c r="U2866" s="21" t="s">
        <v>72</v>
      </c>
    </row>
    <row r="2867" customFormat="false" ht="15" hidden="false" customHeight="false" outlineLevel="0" collapsed="false">
      <c r="A2867" s="15" t="s">
        <v>17956</v>
      </c>
      <c r="B2867" s="15" t="s">
        <v>18104</v>
      </c>
      <c r="C2867" s="14" t="s">
        <v>18122</v>
      </c>
      <c r="D2867" s="14" t="s">
        <v>18123</v>
      </c>
      <c r="E2867" s="16" t="s">
        <v>18124</v>
      </c>
      <c r="F2867" s="16"/>
      <c r="G2867" s="23" t="s">
        <v>43</v>
      </c>
      <c r="H2867" s="18" t="n">
        <v>1</v>
      </c>
      <c r="I2867" s="20" t="n">
        <v>41.9</v>
      </c>
      <c r="J2867" s="20" t="n">
        <v>103.4</v>
      </c>
      <c r="K2867" s="18" t="n">
        <v>1</v>
      </c>
      <c r="L2867" s="18" t="n">
        <v>1</v>
      </c>
      <c r="M2867" s="18" t="n">
        <v>20</v>
      </c>
      <c r="N2867" s="18" t="n">
        <v>20</v>
      </c>
      <c r="O2867" s="14" t="s">
        <v>1088</v>
      </c>
      <c r="P2867" s="14" t="s">
        <v>84</v>
      </c>
      <c r="Q2867" s="15" t="s">
        <v>1089</v>
      </c>
      <c r="R2867" s="16" t="s">
        <v>18125</v>
      </c>
      <c r="S2867" s="15" t="s">
        <v>18126</v>
      </c>
      <c r="T2867" s="15" t="s">
        <v>18127</v>
      </c>
      <c r="U2867" s="21" t="s">
        <v>72</v>
      </c>
    </row>
    <row r="2868" customFormat="false" ht="15" hidden="false" customHeight="false" outlineLevel="0" collapsed="false">
      <c r="A2868" s="15" t="s">
        <v>17956</v>
      </c>
      <c r="B2868" s="15" t="s">
        <v>18104</v>
      </c>
      <c r="C2868" s="14" t="s">
        <v>18128</v>
      </c>
      <c r="D2868" s="14" t="s">
        <v>18129</v>
      </c>
      <c r="E2868" s="16" t="s">
        <v>18130</v>
      </c>
      <c r="F2868" s="16" t="s">
        <v>18131</v>
      </c>
      <c r="G2868" s="23" t="s">
        <v>43</v>
      </c>
      <c r="H2868" s="18" t="n">
        <v>4</v>
      </c>
      <c r="I2868" s="20" t="n">
        <v>79.62</v>
      </c>
      <c r="J2868" s="20" t="n">
        <v>146.54</v>
      </c>
      <c r="K2868" s="18" t="n">
        <v>3</v>
      </c>
      <c r="L2868" s="18" t="n">
        <v>3</v>
      </c>
      <c r="M2868" s="18" t="n">
        <v>45</v>
      </c>
      <c r="N2868" s="18" t="n">
        <v>30</v>
      </c>
      <c r="O2868" s="14" t="s">
        <v>1097</v>
      </c>
      <c r="P2868" s="14" t="s">
        <v>84</v>
      </c>
      <c r="Q2868" s="15" t="s">
        <v>1089</v>
      </c>
      <c r="R2868" s="16" t="s">
        <v>18132</v>
      </c>
      <c r="S2868" s="15" t="s">
        <v>18133</v>
      </c>
      <c r="T2868" s="15" t="s">
        <v>18134</v>
      </c>
      <c r="U2868" s="21" t="s">
        <v>72</v>
      </c>
    </row>
    <row r="2869" customFormat="false" ht="15" hidden="false" customHeight="false" outlineLevel="0" collapsed="false">
      <c r="A2869" s="15" t="s">
        <v>17956</v>
      </c>
      <c r="B2869" s="15" t="s">
        <v>18104</v>
      </c>
      <c r="C2869" s="14" t="s">
        <v>18135</v>
      </c>
      <c r="D2869" s="14" t="s">
        <v>18136</v>
      </c>
      <c r="E2869" s="16" t="s">
        <v>18137</v>
      </c>
      <c r="F2869" s="16" t="s">
        <v>18138</v>
      </c>
      <c r="G2869" s="23" t="s">
        <v>43</v>
      </c>
      <c r="H2869" s="18" t="n">
        <v>2</v>
      </c>
      <c r="I2869" s="20" t="n">
        <v>70.4</v>
      </c>
      <c r="J2869" s="20" t="n">
        <v>93.49</v>
      </c>
      <c r="K2869" s="18" t="n">
        <v>10</v>
      </c>
      <c r="L2869" s="18" t="n">
        <v>2</v>
      </c>
      <c r="M2869" s="18" t="n">
        <v>150</v>
      </c>
      <c r="N2869" s="18" t="n">
        <v>150</v>
      </c>
      <c r="O2869" s="14" t="s">
        <v>1126</v>
      </c>
      <c r="P2869" s="14" t="s">
        <v>84</v>
      </c>
      <c r="Q2869" s="15" t="s">
        <v>1089</v>
      </c>
      <c r="R2869" s="16" t="s">
        <v>18139</v>
      </c>
      <c r="S2869" s="15" t="s">
        <v>18140</v>
      </c>
      <c r="T2869" s="15" t="s">
        <v>18141</v>
      </c>
      <c r="U2869" s="21" t="s">
        <v>72</v>
      </c>
    </row>
    <row r="2870" customFormat="false" ht="15" hidden="false" customHeight="false" outlineLevel="0" collapsed="false">
      <c r="A2870" s="15" t="s">
        <v>17956</v>
      </c>
      <c r="B2870" s="15" t="s">
        <v>18142</v>
      </c>
      <c r="C2870" s="14" t="s">
        <v>18143</v>
      </c>
      <c r="D2870" s="14" t="s">
        <v>18144</v>
      </c>
      <c r="E2870" s="16" t="s">
        <v>18145</v>
      </c>
      <c r="F2870" s="16" t="s">
        <v>18146</v>
      </c>
      <c r="G2870" s="25" t="s">
        <v>39</v>
      </c>
      <c r="H2870" s="18" t="n">
        <v>9</v>
      </c>
      <c r="I2870" s="20" t="n">
        <v>162.96</v>
      </c>
      <c r="J2870" s="20" t="n">
        <v>303.29</v>
      </c>
      <c r="K2870" s="18" t="n">
        <v>8</v>
      </c>
      <c r="L2870" s="18" t="n">
        <v>9</v>
      </c>
      <c r="M2870" s="18" t="n">
        <v>80</v>
      </c>
      <c r="N2870" s="18" t="n">
        <v>80</v>
      </c>
      <c r="O2870" s="14" t="s">
        <v>6448</v>
      </c>
      <c r="P2870" s="14" t="s">
        <v>84</v>
      </c>
      <c r="Q2870" s="15" t="s">
        <v>1089</v>
      </c>
      <c r="R2870" s="16" t="s">
        <v>18147</v>
      </c>
      <c r="S2870" s="15" t="s">
        <v>18148</v>
      </c>
      <c r="T2870" s="15" t="s">
        <v>18149</v>
      </c>
      <c r="U2870" s="21" t="s">
        <v>72</v>
      </c>
    </row>
    <row r="2871" customFormat="false" ht="15" hidden="false" customHeight="false" outlineLevel="0" collapsed="false">
      <c r="A2871" s="15" t="s">
        <v>17956</v>
      </c>
      <c r="B2871" s="15" t="s">
        <v>18142</v>
      </c>
      <c r="C2871" s="14" t="s">
        <v>18150</v>
      </c>
      <c r="D2871" s="14" t="s">
        <v>18151</v>
      </c>
      <c r="E2871" s="16" t="s">
        <v>18152</v>
      </c>
      <c r="F2871" s="16"/>
      <c r="G2871" s="23" t="s">
        <v>43</v>
      </c>
      <c r="H2871" s="18" t="n">
        <v>2</v>
      </c>
      <c r="I2871" s="20" t="n">
        <v>38.06</v>
      </c>
      <c r="J2871" s="20" t="n">
        <v>87.43</v>
      </c>
      <c r="K2871" s="18" t="n">
        <v>3</v>
      </c>
      <c r="L2871" s="18" t="n">
        <v>1</v>
      </c>
      <c r="M2871" s="18" t="n">
        <v>36</v>
      </c>
      <c r="N2871" s="18" t="n">
        <v>24</v>
      </c>
      <c r="O2871" s="14" t="s">
        <v>1088</v>
      </c>
      <c r="P2871" s="14" t="s">
        <v>1166</v>
      </c>
      <c r="Q2871" s="15" t="s">
        <v>1089</v>
      </c>
      <c r="R2871" s="16" t="s">
        <v>15033</v>
      </c>
      <c r="S2871" s="15" t="s">
        <v>18153</v>
      </c>
      <c r="T2871" s="15" t="s">
        <v>18153</v>
      </c>
      <c r="U2871" s="21" t="s">
        <v>72</v>
      </c>
    </row>
    <row r="2872" customFormat="false" ht="15" hidden="false" customHeight="false" outlineLevel="0" collapsed="false">
      <c r="A2872" s="15" t="s">
        <v>17956</v>
      </c>
      <c r="B2872" s="15" t="s">
        <v>18142</v>
      </c>
      <c r="C2872" s="14" t="s">
        <v>18154</v>
      </c>
      <c r="D2872" s="14" t="s">
        <v>18155</v>
      </c>
      <c r="E2872" s="16" t="s">
        <v>18156</v>
      </c>
      <c r="F2872" s="16" t="s">
        <v>18157</v>
      </c>
      <c r="G2872" s="23" t="s">
        <v>43</v>
      </c>
      <c r="H2872" s="18" t="n">
        <v>3</v>
      </c>
      <c r="I2872" s="20" t="n">
        <v>62.26</v>
      </c>
      <c r="J2872" s="20" t="n">
        <v>93.55</v>
      </c>
      <c r="K2872" s="18" t="n">
        <v>10</v>
      </c>
      <c r="L2872" s="18" t="n">
        <v>4</v>
      </c>
      <c r="M2872" s="18" t="n">
        <v>130</v>
      </c>
      <c r="N2872" s="18" t="n">
        <v>30</v>
      </c>
      <c r="O2872" s="14" t="s">
        <v>9118</v>
      </c>
      <c r="P2872" s="14" t="s">
        <v>118</v>
      </c>
      <c r="Q2872" s="15" t="s">
        <v>1089</v>
      </c>
      <c r="R2872" s="16" t="s">
        <v>10487</v>
      </c>
      <c r="S2872" s="15" t="s">
        <v>18158</v>
      </c>
      <c r="T2872" s="15" t="s">
        <v>18159</v>
      </c>
      <c r="U2872" s="21" t="s">
        <v>72</v>
      </c>
    </row>
    <row r="2873" customFormat="false" ht="15" hidden="false" customHeight="false" outlineLevel="0" collapsed="false">
      <c r="A2873" s="15" t="s">
        <v>17956</v>
      </c>
      <c r="B2873" s="15" t="s">
        <v>18142</v>
      </c>
      <c r="C2873" s="14" t="s">
        <v>18160</v>
      </c>
      <c r="D2873" s="14" t="s">
        <v>18161</v>
      </c>
      <c r="E2873" s="16" t="s">
        <v>18162</v>
      </c>
      <c r="F2873" s="16"/>
      <c r="G2873" s="23" t="s">
        <v>43</v>
      </c>
      <c r="H2873" s="18" t="n">
        <v>2</v>
      </c>
      <c r="I2873" s="20" t="n">
        <v>100</v>
      </c>
      <c r="J2873" s="20" t="n">
        <v>120</v>
      </c>
      <c r="K2873" s="18" t="n">
        <v>2</v>
      </c>
      <c r="L2873" s="18" t="n">
        <v>1</v>
      </c>
      <c r="M2873" s="18" t="n">
        <v>30</v>
      </c>
      <c r="N2873" s="18" t="n">
        <v>30</v>
      </c>
      <c r="O2873" s="14" t="s">
        <v>1126</v>
      </c>
      <c r="P2873" s="14" t="s">
        <v>84</v>
      </c>
      <c r="Q2873" s="15" t="s">
        <v>1089</v>
      </c>
      <c r="R2873" s="16" t="s">
        <v>18163</v>
      </c>
      <c r="S2873" s="15" t="s">
        <v>18164</v>
      </c>
      <c r="T2873" s="15" t="s">
        <v>18165</v>
      </c>
      <c r="U2873" s="21" t="s">
        <v>72</v>
      </c>
    </row>
    <row r="2874" customFormat="false" ht="15" hidden="false" customHeight="false" outlineLevel="0" collapsed="false">
      <c r="A2874" s="15" t="s">
        <v>17956</v>
      </c>
      <c r="B2874" s="15" t="s">
        <v>18142</v>
      </c>
      <c r="C2874" s="14" t="s">
        <v>18166</v>
      </c>
      <c r="D2874" s="14" t="s">
        <v>18167</v>
      </c>
      <c r="E2874" s="16" t="s">
        <v>18168</v>
      </c>
      <c r="F2874" s="16"/>
      <c r="G2874" s="23" t="s">
        <v>43</v>
      </c>
      <c r="H2874" s="18" t="n">
        <v>1</v>
      </c>
      <c r="I2874" s="20" t="n">
        <v>44.87</v>
      </c>
      <c r="J2874" s="20" t="n">
        <v>111.08</v>
      </c>
      <c r="K2874" s="18" t="n">
        <v>2</v>
      </c>
      <c r="L2874" s="18" t="n">
        <v>1</v>
      </c>
      <c r="M2874" s="18" t="n">
        <v>20</v>
      </c>
      <c r="N2874" s="18" t="n">
        <v>20</v>
      </c>
      <c r="O2874" s="14" t="s">
        <v>1097</v>
      </c>
      <c r="P2874" s="14" t="s">
        <v>84</v>
      </c>
      <c r="Q2874" s="15" t="s">
        <v>1089</v>
      </c>
      <c r="R2874" s="16" t="s">
        <v>18169</v>
      </c>
      <c r="S2874" s="15" t="s">
        <v>9192</v>
      </c>
      <c r="T2874" s="15" t="s">
        <v>9192</v>
      </c>
      <c r="U2874" s="21" t="s">
        <v>72</v>
      </c>
    </row>
    <row r="2875" customFormat="false" ht="15" hidden="false" customHeight="false" outlineLevel="0" collapsed="false">
      <c r="A2875" s="15" t="s">
        <v>17956</v>
      </c>
      <c r="B2875" s="15" t="s">
        <v>18142</v>
      </c>
      <c r="C2875" s="14" t="s">
        <v>18170</v>
      </c>
      <c r="D2875" s="14" t="s">
        <v>18171</v>
      </c>
      <c r="E2875" s="16" t="s">
        <v>18172</v>
      </c>
      <c r="F2875" s="16" t="s">
        <v>18173</v>
      </c>
      <c r="G2875" s="19" t="s">
        <v>41</v>
      </c>
      <c r="H2875" s="18" t="n">
        <v>4</v>
      </c>
      <c r="I2875" s="20" t="n">
        <v>162.34</v>
      </c>
      <c r="J2875" s="20" t="n">
        <v>222.18</v>
      </c>
      <c r="K2875" s="18" t="n">
        <v>5</v>
      </c>
      <c r="L2875" s="18" t="n">
        <v>4</v>
      </c>
      <c r="M2875" s="18" t="n">
        <v>100</v>
      </c>
      <c r="N2875" s="18" t="n">
        <v>100</v>
      </c>
      <c r="O2875" s="14" t="s">
        <v>1088</v>
      </c>
      <c r="P2875" s="14" t="s">
        <v>84</v>
      </c>
      <c r="Q2875" s="15" t="s">
        <v>1089</v>
      </c>
      <c r="R2875" s="16" t="s">
        <v>18174</v>
      </c>
      <c r="S2875" s="15" t="s">
        <v>18175</v>
      </c>
      <c r="T2875" s="15" t="s">
        <v>18176</v>
      </c>
      <c r="U2875" s="21" t="s">
        <v>72</v>
      </c>
    </row>
    <row r="2876" customFormat="false" ht="15" hidden="false" customHeight="false" outlineLevel="0" collapsed="false">
      <c r="A2876" s="15" t="s">
        <v>17956</v>
      </c>
      <c r="B2876" s="15" t="s">
        <v>18142</v>
      </c>
      <c r="C2876" s="14" t="s">
        <v>18177</v>
      </c>
      <c r="D2876" s="14" t="s">
        <v>18178</v>
      </c>
      <c r="E2876" s="16" t="s">
        <v>18179</v>
      </c>
      <c r="F2876" s="16" t="s">
        <v>18180</v>
      </c>
      <c r="G2876" s="23" t="s">
        <v>43</v>
      </c>
      <c r="H2876" s="18" t="n">
        <v>2</v>
      </c>
      <c r="I2876" s="20" t="n">
        <v>49.96</v>
      </c>
      <c r="J2876" s="20" t="n">
        <v>86.44</v>
      </c>
      <c r="K2876" s="18" t="n">
        <v>11</v>
      </c>
      <c r="L2876" s="18" t="n">
        <v>4</v>
      </c>
      <c r="M2876" s="18" t="n">
        <v>132</v>
      </c>
      <c r="N2876" s="18" t="n">
        <v>24</v>
      </c>
      <c r="O2876" s="14" t="s">
        <v>1088</v>
      </c>
      <c r="P2876" s="14" t="s">
        <v>118</v>
      </c>
      <c r="Q2876" s="15" t="s">
        <v>1089</v>
      </c>
      <c r="R2876" s="16" t="s">
        <v>18181</v>
      </c>
      <c r="S2876" s="15" t="s">
        <v>18182</v>
      </c>
      <c r="T2876" s="15" t="s">
        <v>18183</v>
      </c>
      <c r="U2876" s="21" t="s">
        <v>72</v>
      </c>
    </row>
    <row r="2877" customFormat="false" ht="15" hidden="false" customHeight="false" outlineLevel="0" collapsed="false">
      <c r="A2877" s="15" t="s">
        <v>17956</v>
      </c>
      <c r="B2877" s="15" t="s">
        <v>18142</v>
      </c>
      <c r="C2877" s="14" t="s">
        <v>18184</v>
      </c>
      <c r="D2877" s="14" t="s">
        <v>18185</v>
      </c>
      <c r="E2877" s="16" t="s">
        <v>18186</v>
      </c>
      <c r="F2877" s="16" t="s">
        <v>18187</v>
      </c>
      <c r="G2877" s="23" t="s">
        <v>43</v>
      </c>
      <c r="H2877" s="18" t="n">
        <v>2</v>
      </c>
      <c r="I2877" s="20" t="n">
        <v>35.8</v>
      </c>
      <c r="J2877" s="20" t="n">
        <v>108.35</v>
      </c>
      <c r="K2877" s="18" t="n">
        <v>2</v>
      </c>
      <c r="L2877" s="18" t="n">
        <v>2</v>
      </c>
      <c r="M2877" s="18" t="n">
        <v>24</v>
      </c>
      <c r="N2877" s="18" t="n">
        <v>12</v>
      </c>
      <c r="O2877" s="14" t="s">
        <v>1088</v>
      </c>
      <c r="P2877" s="14" t="s">
        <v>202</v>
      </c>
      <c r="Q2877" s="15" t="s">
        <v>1089</v>
      </c>
      <c r="R2877" s="16" t="s">
        <v>6247</v>
      </c>
      <c r="S2877" s="15" t="s">
        <v>18188</v>
      </c>
      <c r="T2877" s="15" t="s">
        <v>18189</v>
      </c>
      <c r="U2877" s="21" t="s">
        <v>72</v>
      </c>
    </row>
    <row r="2878" customFormat="false" ht="15" hidden="false" customHeight="false" outlineLevel="0" collapsed="false">
      <c r="A2878" s="15" t="s">
        <v>17956</v>
      </c>
      <c r="B2878" s="15" t="s">
        <v>18190</v>
      </c>
      <c r="C2878" s="14" t="s">
        <v>18191</v>
      </c>
      <c r="D2878" s="14" t="s">
        <v>18192</v>
      </c>
      <c r="E2878" s="16" t="s">
        <v>18193</v>
      </c>
      <c r="F2878" s="16" t="s">
        <v>18194</v>
      </c>
      <c r="G2878" s="23" t="s">
        <v>43</v>
      </c>
      <c r="H2878" s="18" t="n">
        <v>1</v>
      </c>
      <c r="I2878" s="20" t="n">
        <v>32</v>
      </c>
      <c r="J2878" s="20" t="n">
        <v>45</v>
      </c>
      <c r="K2878" s="18" t="n">
        <v>1</v>
      </c>
      <c r="L2878" s="18" t="n">
        <v>1</v>
      </c>
      <c r="M2878" s="18" t="n">
        <v>15</v>
      </c>
      <c r="N2878" s="18" t="n">
        <v>15</v>
      </c>
      <c r="O2878" s="14" t="s">
        <v>1088</v>
      </c>
      <c r="P2878" s="14" t="s">
        <v>84</v>
      </c>
      <c r="Q2878" s="15" t="s">
        <v>1089</v>
      </c>
      <c r="R2878" s="16" t="s">
        <v>9762</v>
      </c>
      <c r="S2878" s="15" t="s">
        <v>18195</v>
      </c>
      <c r="T2878" s="15" t="s">
        <v>18195</v>
      </c>
      <c r="U2878" s="21" t="s">
        <v>72</v>
      </c>
    </row>
    <row r="2879" customFormat="false" ht="15" hidden="false" customHeight="false" outlineLevel="0" collapsed="false">
      <c r="A2879" s="15" t="s">
        <v>17956</v>
      </c>
      <c r="B2879" s="15" t="s">
        <v>15385</v>
      </c>
      <c r="C2879" s="14" t="s">
        <v>18196</v>
      </c>
      <c r="D2879" s="14" t="s">
        <v>18197</v>
      </c>
      <c r="E2879" s="16" t="s">
        <v>18198</v>
      </c>
      <c r="F2879" s="16" t="s">
        <v>18199</v>
      </c>
      <c r="G2879" s="19" t="s">
        <v>41</v>
      </c>
      <c r="H2879" s="18" t="n">
        <v>2</v>
      </c>
      <c r="I2879" s="20" t="n">
        <v>142.24</v>
      </c>
      <c r="J2879" s="20" t="n">
        <v>205.21</v>
      </c>
      <c r="K2879" s="18" t="n">
        <v>4</v>
      </c>
      <c r="L2879" s="18" t="n">
        <v>14</v>
      </c>
      <c r="M2879" s="18" t="n">
        <v>120</v>
      </c>
      <c r="N2879" s="18" t="n">
        <v>60</v>
      </c>
      <c r="O2879" s="14" t="s">
        <v>1088</v>
      </c>
      <c r="P2879" s="14" t="s">
        <v>84</v>
      </c>
      <c r="Q2879" s="15" t="s">
        <v>1089</v>
      </c>
      <c r="R2879" s="16" t="s">
        <v>15099</v>
      </c>
      <c r="S2879" s="15" t="s">
        <v>18200</v>
      </c>
      <c r="T2879" s="15" t="s">
        <v>18201</v>
      </c>
      <c r="U2879" s="21" t="s">
        <v>72</v>
      </c>
    </row>
    <row r="2880" customFormat="false" ht="26.85" hidden="false" customHeight="false" outlineLevel="0" collapsed="false">
      <c r="A2880" s="15" t="s">
        <v>17956</v>
      </c>
      <c r="B2880" s="15" t="s">
        <v>15385</v>
      </c>
      <c r="C2880" s="14" t="s">
        <v>18202</v>
      </c>
      <c r="D2880" s="14" t="s">
        <v>18203</v>
      </c>
      <c r="E2880" s="16" t="s">
        <v>18204</v>
      </c>
      <c r="F2880" s="16" t="s">
        <v>18205</v>
      </c>
      <c r="G2880" s="25" t="s">
        <v>39</v>
      </c>
      <c r="H2880" s="18" t="n">
        <v>3</v>
      </c>
      <c r="I2880" s="20" t="n">
        <v>185</v>
      </c>
      <c r="J2880" s="20" t="n">
        <v>555</v>
      </c>
      <c r="K2880" s="18" t="n">
        <v>12</v>
      </c>
      <c r="L2880" s="18" t="n">
        <v>17</v>
      </c>
      <c r="M2880" s="18" t="n">
        <v>270</v>
      </c>
      <c r="N2880" s="18" t="n">
        <v>125</v>
      </c>
      <c r="O2880" s="14" t="s">
        <v>1088</v>
      </c>
      <c r="P2880" s="14" t="s">
        <v>84</v>
      </c>
      <c r="Q2880" s="15" t="s">
        <v>1089</v>
      </c>
      <c r="R2880" s="16" t="s">
        <v>18206</v>
      </c>
      <c r="S2880" s="15" t="s">
        <v>17987</v>
      </c>
      <c r="T2880" s="15" t="s">
        <v>18207</v>
      </c>
      <c r="U2880" s="21" t="s">
        <v>72</v>
      </c>
    </row>
    <row r="2881" customFormat="false" ht="15" hidden="false" customHeight="false" outlineLevel="0" collapsed="false">
      <c r="A2881" s="15" t="s">
        <v>17956</v>
      </c>
      <c r="B2881" s="15" t="s">
        <v>15385</v>
      </c>
      <c r="C2881" s="14" t="s">
        <v>18208</v>
      </c>
      <c r="D2881" s="14" t="s">
        <v>18209</v>
      </c>
      <c r="E2881" s="16" t="s">
        <v>18210</v>
      </c>
      <c r="F2881" s="16" t="s">
        <v>18211</v>
      </c>
      <c r="G2881" s="25" t="s">
        <v>39</v>
      </c>
      <c r="H2881" s="18" t="n">
        <v>12</v>
      </c>
      <c r="I2881" s="20" t="n">
        <v>247.83</v>
      </c>
      <c r="J2881" s="20" t="n">
        <v>463.62</v>
      </c>
      <c r="K2881" s="18" t="n">
        <v>5</v>
      </c>
      <c r="L2881" s="18" t="n">
        <v>7</v>
      </c>
      <c r="M2881" s="18" t="n">
        <v>100</v>
      </c>
      <c r="N2881" s="18" t="n">
        <v>80</v>
      </c>
      <c r="O2881" s="14" t="s">
        <v>1088</v>
      </c>
      <c r="P2881" s="14" t="s">
        <v>84</v>
      </c>
      <c r="Q2881" s="15" t="s">
        <v>1089</v>
      </c>
      <c r="R2881" s="16" t="s">
        <v>18212</v>
      </c>
      <c r="S2881" s="15" t="s">
        <v>18213</v>
      </c>
      <c r="T2881" s="15" t="s">
        <v>18214</v>
      </c>
      <c r="U2881" s="21" t="s">
        <v>72</v>
      </c>
    </row>
    <row r="2882" customFormat="false" ht="15" hidden="false" customHeight="false" outlineLevel="0" collapsed="false">
      <c r="A2882" s="15" t="s">
        <v>17956</v>
      </c>
      <c r="B2882" s="15" t="s">
        <v>15385</v>
      </c>
      <c r="C2882" s="14" t="s">
        <v>18215</v>
      </c>
      <c r="D2882" s="14" t="s">
        <v>18216</v>
      </c>
      <c r="E2882" s="16" t="s">
        <v>18217</v>
      </c>
      <c r="F2882" s="16" t="s">
        <v>18218</v>
      </c>
      <c r="G2882" s="25" t="s">
        <v>39</v>
      </c>
      <c r="H2882" s="18" t="n">
        <v>9</v>
      </c>
      <c r="I2882" s="20" t="n">
        <v>309.18</v>
      </c>
      <c r="J2882" s="20" t="n">
        <v>621.76</v>
      </c>
      <c r="K2882" s="18" t="n">
        <v>15</v>
      </c>
      <c r="L2882" s="18" t="n">
        <v>12</v>
      </c>
      <c r="M2882" s="18" t="n">
        <v>225</v>
      </c>
      <c r="N2882" s="18" t="n">
        <v>225</v>
      </c>
      <c r="O2882" s="14" t="s">
        <v>1097</v>
      </c>
      <c r="P2882" s="14" t="s">
        <v>118</v>
      </c>
      <c r="Q2882" s="15" t="s">
        <v>1089</v>
      </c>
      <c r="R2882" s="16" t="s">
        <v>10904</v>
      </c>
      <c r="S2882" s="15" t="s">
        <v>18219</v>
      </c>
      <c r="T2882" s="15" t="s">
        <v>18219</v>
      </c>
      <c r="U2882" s="21" t="s">
        <v>72</v>
      </c>
    </row>
    <row r="2883" customFormat="false" ht="15" hidden="false" customHeight="false" outlineLevel="0" collapsed="false">
      <c r="A2883" s="15" t="s">
        <v>17956</v>
      </c>
      <c r="B2883" s="15" t="s">
        <v>15385</v>
      </c>
      <c r="C2883" s="14" t="s">
        <v>18220</v>
      </c>
      <c r="D2883" s="14" t="s">
        <v>18221</v>
      </c>
      <c r="E2883" s="16" t="s">
        <v>18222</v>
      </c>
      <c r="F2883" s="16" t="s">
        <v>18223</v>
      </c>
      <c r="G2883" s="19" t="s">
        <v>41</v>
      </c>
      <c r="H2883" s="18" t="n">
        <v>5</v>
      </c>
      <c r="I2883" s="20" t="n">
        <v>85.14</v>
      </c>
      <c r="J2883" s="20" t="n">
        <v>183.3</v>
      </c>
      <c r="K2883" s="18" t="n">
        <v>2</v>
      </c>
      <c r="L2883" s="18" t="n">
        <v>1</v>
      </c>
      <c r="M2883" s="18" t="n">
        <v>20</v>
      </c>
      <c r="N2883" s="18" t="n">
        <v>10</v>
      </c>
      <c r="O2883" s="14" t="s">
        <v>2125</v>
      </c>
      <c r="P2883" s="14" t="s">
        <v>84</v>
      </c>
      <c r="Q2883" s="15" t="s">
        <v>1089</v>
      </c>
      <c r="R2883" s="16" t="s">
        <v>18224</v>
      </c>
      <c r="S2883" s="15" t="s">
        <v>18225</v>
      </c>
      <c r="T2883" s="15" t="s">
        <v>18226</v>
      </c>
      <c r="U2883" s="21" t="s">
        <v>72</v>
      </c>
    </row>
    <row r="2884" customFormat="false" ht="15" hidden="false" customHeight="false" outlineLevel="0" collapsed="false">
      <c r="A2884" s="15" t="s">
        <v>17956</v>
      </c>
      <c r="B2884" s="15" t="s">
        <v>15385</v>
      </c>
      <c r="C2884" s="14" t="s">
        <v>18227</v>
      </c>
      <c r="D2884" s="14" t="s">
        <v>18228</v>
      </c>
      <c r="E2884" s="16" t="s">
        <v>18229</v>
      </c>
      <c r="F2884" s="16" t="s">
        <v>18230</v>
      </c>
      <c r="G2884" s="23" t="s">
        <v>43</v>
      </c>
      <c r="H2884" s="18" t="n">
        <v>4</v>
      </c>
      <c r="I2884" s="20" t="n">
        <v>45</v>
      </c>
      <c r="J2884" s="20" t="n">
        <v>172</v>
      </c>
      <c r="K2884" s="18" t="n">
        <v>2</v>
      </c>
      <c r="L2884" s="18" t="n">
        <v>2</v>
      </c>
      <c r="M2884" s="18" t="n">
        <v>30</v>
      </c>
      <c r="N2884" s="18" t="n">
        <v>30</v>
      </c>
      <c r="O2884" s="14" t="s">
        <v>1126</v>
      </c>
      <c r="P2884" s="14" t="s">
        <v>84</v>
      </c>
      <c r="Q2884" s="15" t="s">
        <v>1089</v>
      </c>
      <c r="R2884" s="16" t="s">
        <v>5073</v>
      </c>
      <c r="S2884" s="15" t="s">
        <v>18231</v>
      </c>
      <c r="T2884" s="15" t="s">
        <v>18231</v>
      </c>
      <c r="U2884" s="21" t="s">
        <v>72</v>
      </c>
    </row>
    <row r="2885" customFormat="false" ht="15" hidden="false" customHeight="false" outlineLevel="0" collapsed="false">
      <c r="A2885" s="15" t="s">
        <v>17956</v>
      </c>
      <c r="B2885" s="15" t="s">
        <v>15385</v>
      </c>
      <c r="C2885" s="14" t="s">
        <v>18232</v>
      </c>
      <c r="D2885" s="14" t="s">
        <v>18233</v>
      </c>
      <c r="E2885" s="16" t="s">
        <v>18234</v>
      </c>
      <c r="F2885" s="16" t="s">
        <v>18235</v>
      </c>
      <c r="G2885" s="19" t="s">
        <v>41</v>
      </c>
      <c r="H2885" s="18" t="n">
        <v>7</v>
      </c>
      <c r="I2885" s="20" t="n">
        <v>187.97</v>
      </c>
      <c r="J2885" s="20" t="n">
        <v>357.18</v>
      </c>
      <c r="K2885" s="18" t="n">
        <v>3</v>
      </c>
      <c r="L2885" s="18" t="n">
        <v>4</v>
      </c>
      <c r="M2885" s="18" t="n">
        <v>51</v>
      </c>
      <c r="N2885" s="18" t="n">
        <v>51</v>
      </c>
      <c r="O2885" s="14" t="s">
        <v>1088</v>
      </c>
      <c r="P2885" s="14" t="s">
        <v>84</v>
      </c>
      <c r="Q2885" s="15" t="s">
        <v>1089</v>
      </c>
      <c r="R2885" s="16" t="s">
        <v>18236</v>
      </c>
      <c r="S2885" s="15" t="s">
        <v>18237</v>
      </c>
      <c r="T2885" s="15" t="s">
        <v>18238</v>
      </c>
      <c r="U2885" s="21" t="s">
        <v>72</v>
      </c>
    </row>
    <row r="2886" customFormat="false" ht="15" hidden="false" customHeight="false" outlineLevel="0" collapsed="false">
      <c r="A2886" s="15" t="s">
        <v>17956</v>
      </c>
      <c r="B2886" s="15" t="s">
        <v>15385</v>
      </c>
      <c r="C2886" s="14" t="s">
        <v>18239</v>
      </c>
      <c r="D2886" s="14" t="s">
        <v>18240</v>
      </c>
      <c r="E2886" s="16" t="s">
        <v>18241</v>
      </c>
      <c r="F2886" s="16" t="s">
        <v>18242</v>
      </c>
      <c r="G2886" s="23" t="s">
        <v>43</v>
      </c>
      <c r="H2886" s="18" t="n">
        <v>1</v>
      </c>
      <c r="I2886" s="20" t="n">
        <v>47.75</v>
      </c>
      <c r="J2886" s="20" t="n">
        <v>95.93</v>
      </c>
      <c r="K2886" s="18" t="n">
        <v>2</v>
      </c>
      <c r="L2886" s="18" t="n">
        <v>2</v>
      </c>
      <c r="M2886" s="18" t="n">
        <v>60</v>
      </c>
      <c r="N2886" s="18" t="n">
        <v>60</v>
      </c>
      <c r="O2886" s="14" t="s">
        <v>1126</v>
      </c>
      <c r="P2886" s="14" t="s">
        <v>84</v>
      </c>
      <c r="Q2886" s="15" t="s">
        <v>1089</v>
      </c>
      <c r="R2886" s="16" t="s">
        <v>18243</v>
      </c>
      <c r="S2886" s="15" t="s">
        <v>18244</v>
      </c>
      <c r="T2886" s="15" t="s">
        <v>3213</v>
      </c>
      <c r="U2886" s="21" t="s">
        <v>72</v>
      </c>
    </row>
    <row r="2887" customFormat="false" ht="15" hidden="false" customHeight="false" outlineLevel="0" collapsed="false">
      <c r="A2887" s="15" t="s">
        <v>17956</v>
      </c>
      <c r="B2887" s="15" t="s">
        <v>15385</v>
      </c>
      <c r="C2887" s="14" t="s">
        <v>18245</v>
      </c>
      <c r="D2887" s="14" t="s">
        <v>18246</v>
      </c>
      <c r="E2887" s="16" t="s">
        <v>18247</v>
      </c>
      <c r="F2887" s="16" t="s">
        <v>18248</v>
      </c>
      <c r="G2887" s="23" t="s">
        <v>43</v>
      </c>
      <c r="H2887" s="18" t="n">
        <v>2</v>
      </c>
      <c r="I2887" s="20" t="n">
        <v>35.7</v>
      </c>
      <c r="J2887" s="20" t="n">
        <v>107.74</v>
      </c>
      <c r="K2887" s="18" t="n">
        <v>2</v>
      </c>
      <c r="L2887" s="18" t="n">
        <v>2</v>
      </c>
      <c r="M2887" s="18" t="n">
        <v>30</v>
      </c>
      <c r="N2887" s="18" t="n">
        <v>15</v>
      </c>
      <c r="O2887" s="14" t="s">
        <v>1097</v>
      </c>
      <c r="P2887" s="14" t="s">
        <v>84</v>
      </c>
      <c r="Q2887" s="15" t="s">
        <v>1089</v>
      </c>
      <c r="R2887" s="16" t="s">
        <v>18249</v>
      </c>
      <c r="S2887" s="15" t="s">
        <v>18250</v>
      </c>
      <c r="T2887" s="15" t="s">
        <v>18251</v>
      </c>
      <c r="U2887" s="21" t="s">
        <v>72</v>
      </c>
    </row>
    <row r="2888" customFormat="false" ht="15" hidden="false" customHeight="false" outlineLevel="0" collapsed="false">
      <c r="A2888" s="15" t="s">
        <v>17956</v>
      </c>
      <c r="B2888" s="15" t="s">
        <v>15385</v>
      </c>
      <c r="C2888" s="14" t="s">
        <v>18252</v>
      </c>
      <c r="D2888" s="14" t="s">
        <v>18253</v>
      </c>
      <c r="E2888" s="16" t="s">
        <v>18254</v>
      </c>
      <c r="F2888" s="16" t="s">
        <v>18255</v>
      </c>
      <c r="G2888" s="19" t="s">
        <v>41</v>
      </c>
      <c r="H2888" s="18" t="n">
        <v>3</v>
      </c>
      <c r="I2888" s="20" t="n">
        <v>95.92</v>
      </c>
      <c r="J2888" s="20" t="n">
        <v>226.61</v>
      </c>
      <c r="K2888" s="18" t="n">
        <v>4</v>
      </c>
      <c r="L2888" s="18" t="n">
        <v>1</v>
      </c>
      <c r="M2888" s="18" t="n">
        <v>60</v>
      </c>
      <c r="N2888" s="18" t="n">
        <v>15</v>
      </c>
      <c r="O2888" s="14" t="s">
        <v>2125</v>
      </c>
      <c r="P2888" s="14" t="s">
        <v>84</v>
      </c>
      <c r="Q2888" s="15" t="s">
        <v>1089</v>
      </c>
      <c r="R2888" s="16" t="s">
        <v>2901</v>
      </c>
      <c r="S2888" s="15" t="s">
        <v>18256</v>
      </c>
      <c r="T2888" s="15" t="s">
        <v>18257</v>
      </c>
      <c r="U2888" s="21" t="s">
        <v>72</v>
      </c>
    </row>
    <row r="2889" customFormat="false" ht="15" hidden="false" customHeight="false" outlineLevel="0" collapsed="false">
      <c r="A2889" s="15" t="s">
        <v>17956</v>
      </c>
      <c r="B2889" s="15" t="s">
        <v>15385</v>
      </c>
      <c r="C2889" s="14" t="s">
        <v>18258</v>
      </c>
      <c r="D2889" s="14" t="s">
        <v>18259</v>
      </c>
      <c r="E2889" s="16" t="s">
        <v>18260</v>
      </c>
      <c r="F2889" s="16" t="s">
        <v>18261</v>
      </c>
      <c r="G2889" s="23" t="s">
        <v>43</v>
      </c>
      <c r="H2889" s="18" t="n">
        <v>3</v>
      </c>
      <c r="I2889" s="20" t="n">
        <v>51.08</v>
      </c>
      <c r="J2889" s="20" t="n">
        <v>136.67</v>
      </c>
      <c r="K2889" s="18" t="n">
        <v>2</v>
      </c>
      <c r="L2889" s="18" t="n">
        <v>2</v>
      </c>
      <c r="M2889" s="18" t="n">
        <v>22</v>
      </c>
      <c r="N2889" s="18" t="n">
        <v>22</v>
      </c>
      <c r="O2889" s="14" t="s">
        <v>1126</v>
      </c>
      <c r="P2889" s="14" t="s">
        <v>84</v>
      </c>
      <c r="Q2889" s="15" t="s">
        <v>1089</v>
      </c>
      <c r="R2889" s="16" t="s">
        <v>5434</v>
      </c>
      <c r="S2889" s="15" t="s">
        <v>18262</v>
      </c>
      <c r="T2889" s="15" t="s">
        <v>18262</v>
      </c>
      <c r="U2889" s="21" t="s">
        <v>72</v>
      </c>
    </row>
    <row r="2890" customFormat="false" ht="15" hidden="false" customHeight="false" outlineLevel="0" collapsed="false">
      <c r="A2890" s="15" t="s">
        <v>17956</v>
      </c>
      <c r="B2890" s="15" t="s">
        <v>15385</v>
      </c>
      <c r="C2890" s="14" t="s">
        <v>18263</v>
      </c>
      <c r="D2890" s="14" t="s">
        <v>18264</v>
      </c>
      <c r="E2890" s="16" t="s">
        <v>18265</v>
      </c>
      <c r="F2890" s="16" t="s">
        <v>18266</v>
      </c>
      <c r="G2890" s="23" t="s">
        <v>43</v>
      </c>
      <c r="H2890" s="18" t="n">
        <v>2</v>
      </c>
      <c r="I2890" s="20" t="n">
        <v>71.63</v>
      </c>
      <c r="J2890" s="20" t="n">
        <v>89.19</v>
      </c>
      <c r="K2890" s="18" t="n">
        <v>5</v>
      </c>
      <c r="L2890" s="18" t="n">
        <v>2</v>
      </c>
      <c r="M2890" s="18" t="n">
        <v>75</v>
      </c>
      <c r="N2890" s="18" t="n">
        <v>75</v>
      </c>
      <c r="O2890" s="14" t="s">
        <v>1097</v>
      </c>
      <c r="P2890" s="14" t="s">
        <v>84</v>
      </c>
      <c r="Q2890" s="15" t="s">
        <v>1089</v>
      </c>
      <c r="R2890" s="16" t="s">
        <v>18267</v>
      </c>
      <c r="S2890" s="15" t="s">
        <v>18268</v>
      </c>
      <c r="T2890" s="15" t="s">
        <v>18268</v>
      </c>
      <c r="U2890" s="21" t="s">
        <v>72</v>
      </c>
    </row>
    <row r="2891" customFormat="false" ht="15" hidden="false" customHeight="false" outlineLevel="0" collapsed="false">
      <c r="A2891" s="15" t="s">
        <v>17956</v>
      </c>
      <c r="B2891" s="15" t="s">
        <v>15385</v>
      </c>
      <c r="C2891" s="14" t="s">
        <v>18269</v>
      </c>
      <c r="D2891" s="14" t="s">
        <v>18270</v>
      </c>
      <c r="E2891" s="16" t="s">
        <v>18271</v>
      </c>
      <c r="F2891" s="16" t="s">
        <v>18272</v>
      </c>
      <c r="G2891" s="23" t="s">
        <v>43</v>
      </c>
      <c r="H2891" s="18" t="n">
        <v>2</v>
      </c>
      <c r="I2891" s="20" t="n">
        <v>69.32</v>
      </c>
      <c r="J2891" s="20" t="n">
        <v>115.53</v>
      </c>
      <c r="K2891" s="18" t="n">
        <v>2</v>
      </c>
      <c r="L2891" s="18" t="n">
        <v>1</v>
      </c>
      <c r="M2891" s="18" t="n">
        <v>32</v>
      </c>
      <c r="N2891" s="18" t="n">
        <v>16</v>
      </c>
      <c r="O2891" s="14" t="s">
        <v>1097</v>
      </c>
      <c r="P2891" s="14" t="s">
        <v>84</v>
      </c>
      <c r="Q2891" s="15" t="s">
        <v>1089</v>
      </c>
      <c r="R2891" s="16" t="s">
        <v>18273</v>
      </c>
      <c r="S2891" s="15" t="s">
        <v>18274</v>
      </c>
      <c r="T2891" s="15" t="s">
        <v>18274</v>
      </c>
      <c r="U2891" s="21" t="s">
        <v>72</v>
      </c>
    </row>
    <row r="2892" customFormat="false" ht="15" hidden="false" customHeight="false" outlineLevel="0" collapsed="false">
      <c r="A2892" s="15" t="s">
        <v>17956</v>
      </c>
      <c r="B2892" s="15" t="s">
        <v>15385</v>
      </c>
      <c r="C2892" s="14" t="s">
        <v>18275</v>
      </c>
      <c r="D2892" s="14" t="s">
        <v>18276</v>
      </c>
      <c r="E2892" s="16" t="s">
        <v>18277</v>
      </c>
      <c r="F2892" s="16" t="s">
        <v>18278</v>
      </c>
      <c r="G2892" s="23" t="s">
        <v>43</v>
      </c>
      <c r="H2892" s="18" t="n">
        <v>2</v>
      </c>
      <c r="I2892" s="20" t="n">
        <v>33.38</v>
      </c>
      <c r="J2892" s="20" t="n">
        <v>82.2</v>
      </c>
      <c r="K2892" s="18" t="n">
        <v>2</v>
      </c>
      <c r="L2892" s="18" t="n">
        <v>1</v>
      </c>
      <c r="M2892" s="18" t="n">
        <v>21</v>
      </c>
      <c r="N2892" s="18" t="n">
        <v>13</v>
      </c>
      <c r="O2892" s="14" t="s">
        <v>1097</v>
      </c>
      <c r="P2892" s="14" t="s">
        <v>84</v>
      </c>
      <c r="Q2892" s="15" t="s">
        <v>1089</v>
      </c>
      <c r="R2892" s="16" t="s">
        <v>18279</v>
      </c>
      <c r="S2892" s="15" t="s">
        <v>18280</v>
      </c>
      <c r="T2892" s="15" t="s">
        <v>18280</v>
      </c>
      <c r="U2892" s="21" t="s">
        <v>72</v>
      </c>
    </row>
    <row r="2893" customFormat="false" ht="15" hidden="false" customHeight="false" outlineLevel="0" collapsed="false">
      <c r="A2893" s="15" t="s">
        <v>17956</v>
      </c>
      <c r="B2893" s="15" t="s">
        <v>15385</v>
      </c>
      <c r="C2893" s="14" t="s">
        <v>18281</v>
      </c>
      <c r="D2893" s="14" t="s">
        <v>18282</v>
      </c>
      <c r="E2893" s="16" t="s">
        <v>18283</v>
      </c>
      <c r="F2893" s="16"/>
      <c r="G2893" s="23" t="s">
        <v>43</v>
      </c>
      <c r="H2893" s="18" t="n">
        <v>2</v>
      </c>
      <c r="I2893" s="20" t="n">
        <v>37.4</v>
      </c>
      <c r="J2893" s="20" t="n">
        <v>92.4</v>
      </c>
      <c r="K2893" s="18" t="n">
        <v>4</v>
      </c>
      <c r="L2893" s="18" t="n">
        <v>2</v>
      </c>
      <c r="M2893" s="18" t="n">
        <v>60</v>
      </c>
      <c r="N2893" s="18" t="n">
        <v>30</v>
      </c>
      <c r="O2893" s="14" t="s">
        <v>1126</v>
      </c>
      <c r="P2893" s="14" t="s">
        <v>118</v>
      </c>
      <c r="Q2893" s="15" t="s">
        <v>1089</v>
      </c>
      <c r="R2893" s="16" t="s">
        <v>147</v>
      </c>
      <c r="S2893" s="15" t="s">
        <v>18284</v>
      </c>
      <c r="T2893" s="15" t="s">
        <v>18284</v>
      </c>
      <c r="U2893" s="21" t="s">
        <v>72</v>
      </c>
    </row>
    <row r="2894" customFormat="false" ht="15" hidden="false" customHeight="false" outlineLevel="0" collapsed="false">
      <c r="A2894" s="15" t="s">
        <v>17956</v>
      </c>
      <c r="B2894" s="15" t="s">
        <v>15385</v>
      </c>
      <c r="C2894" s="14" t="s">
        <v>18285</v>
      </c>
      <c r="D2894" s="14" t="s">
        <v>18286</v>
      </c>
      <c r="E2894" s="16" t="s">
        <v>18287</v>
      </c>
      <c r="F2894" s="16" t="s">
        <v>18288</v>
      </c>
      <c r="G2894" s="23" t="s">
        <v>43</v>
      </c>
      <c r="H2894" s="18" t="n">
        <v>2</v>
      </c>
      <c r="I2894" s="20" t="n">
        <v>43.34</v>
      </c>
      <c r="J2894" s="20" t="n">
        <v>194.08</v>
      </c>
      <c r="K2894" s="18" t="n">
        <v>2</v>
      </c>
      <c r="L2894" s="18" t="n">
        <v>9</v>
      </c>
      <c r="M2894" s="18" t="n">
        <v>38</v>
      </c>
      <c r="N2894" s="18" t="n">
        <v>38</v>
      </c>
      <c r="O2894" s="14" t="s">
        <v>1097</v>
      </c>
      <c r="P2894" s="14" t="s">
        <v>84</v>
      </c>
      <c r="Q2894" s="15" t="s">
        <v>1089</v>
      </c>
      <c r="R2894" s="16" t="s">
        <v>18289</v>
      </c>
      <c r="S2894" s="15" t="s">
        <v>18290</v>
      </c>
      <c r="T2894" s="15" t="s">
        <v>18290</v>
      </c>
      <c r="U2894" s="21" t="s">
        <v>72</v>
      </c>
    </row>
    <row r="2895" customFormat="false" ht="15" hidden="false" customHeight="false" outlineLevel="0" collapsed="false">
      <c r="A2895" s="15" t="s">
        <v>17956</v>
      </c>
      <c r="B2895" s="15" t="s">
        <v>15385</v>
      </c>
      <c r="C2895" s="14" t="s">
        <v>18291</v>
      </c>
      <c r="D2895" s="14" t="s">
        <v>18292</v>
      </c>
      <c r="E2895" s="16" t="s">
        <v>18293</v>
      </c>
      <c r="F2895" s="16"/>
      <c r="G2895" s="19" t="s">
        <v>41</v>
      </c>
      <c r="H2895" s="18" t="n">
        <v>2</v>
      </c>
      <c r="I2895" s="20" t="n">
        <v>223.73</v>
      </c>
      <c r="J2895" s="20" t="n">
        <v>223.73</v>
      </c>
      <c r="K2895" s="18" t="n">
        <v>2</v>
      </c>
      <c r="L2895" s="18" t="n">
        <v>1</v>
      </c>
      <c r="M2895" s="18" t="n">
        <v>80</v>
      </c>
      <c r="N2895" s="18" t="n">
        <v>80</v>
      </c>
      <c r="O2895" s="14" t="s">
        <v>1088</v>
      </c>
      <c r="P2895" s="14" t="s">
        <v>84</v>
      </c>
      <c r="Q2895" s="15" t="s">
        <v>1089</v>
      </c>
      <c r="R2895" s="16" t="s">
        <v>18294</v>
      </c>
      <c r="S2895" s="15" t="s">
        <v>18295</v>
      </c>
      <c r="T2895" s="15" t="s">
        <v>18295</v>
      </c>
      <c r="U2895" s="21" t="s">
        <v>72</v>
      </c>
    </row>
    <row r="2896" customFormat="false" ht="15" hidden="false" customHeight="false" outlineLevel="0" collapsed="false">
      <c r="A2896" s="15" t="s">
        <v>17956</v>
      </c>
      <c r="B2896" s="15" t="s">
        <v>15385</v>
      </c>
      <c r="C2896" s="14" t="s">
        <v>18296</v>
      </c>
      <c r="D2896" s="14" t="s">
        <v>18297</v>
      </c>
      <c r="E2896" s="16" t="s">
        <v>18298</v>
      </c>
      <c r="F2896" s="16" t="s">
        <v>18299</v>
      </c>
      <c r="G2896" s="23" t="s">
        <v>43</v>
      </c>
      <c r="H2896" s="18" t="n">
        <v>2</v>
      </c>
      <c r="I2896" s="20" t="n">
        <v>69.52</v>
      </c>
      <c r="J2896" s="20" t="n">
        <v>102.95</v>
      </c>
      <c r="K2896" s="18" t="n">
        <v>5</v>
      </c>
      <c r="L2896" s="18" t="n">
        <v>1</v>
      </c>
      <c r="M2896" s="18" t="n">
        <v>90</v>
      </c>
      <c r="N2896" s="18" t="n">
        <v>90</v>
      </c>
      <c r="O2896" s="14" t="s">
        <v>1088</v>
      </c>
      <c r="P2896" s="14" t="s">
        <v>84</v>
      </c>
      <c r="Q2896" s="15" t="s">
        <v>1089</v>
      </c>
      <c r="R2896" s="16" t="s">
        <v>5483</v>
      </c>
      <c r="S2896" s="15" t="s">
        <v>18300</v>
      </c>
      <c r="T2896" s="15" t="s">
        <v>18300</v>
      </c>
      <c r="U2896" s="21" t="s">
        <v>72</v>
      </c>
    </row>
    <row r="2897" customFormat="false" ht="15" hidden="false" customHeight="false" outlineLevel="0" collapsed="false">
      <c r="A2897" s="15" t="s">
        <v>17956</v>
      </c>
      <c r="B2897" s="15" t="s">
        <v>15385</v>
      </c>
      <c r="C2897" s="14" t="s">
        <v>18301</v>
      </c>
      <c r="D2897" s="14" t="s">
        <v>18302</v>
      </c>
      <c r="E2897" s="16" t="s">
        <v>18303</v>
      </c>
      <c r="F2897" s="16" t="s">
        <v>18304</v>
      </c>
      <c r="G2897" s="19" t="s">
        <v>41</v>
      </c>
      <c r="H2897" s="18" t="n">
        <v>2</v>
      </c>
      <c r="I2897" s="20" t="n">
        <v>100.46</v>
      </c>
      <c r="J2897" s="20" t="n">
        <v>222.65</v>
      </c>
      <c r="K2897" s="18" t="n">
        <v>6</v>
      </c>
      <c r="L2897" s="18" t="n">
        <v>3</v>
      </c>
      <c r="M2897" s="18" t="n">
        <v>120</v>
      </c>
      <c r="N2897" s="18" t="n">
        <v>120</v>
      </c>
      <c r="O2897" s="14" t="s">
        <v>15098</v>
      </c>
      <c r="P2897" s="14" t="s">
        <v>84</v>
      </c>
      <c r="Q2897" s="15" t="s">
        <v>1089</v>
      </c>
      <c r="R2897" s="16" t="s">
        <v>15015</v>
      </c>
      <c r="S2897" s="15" t="s">
        <v>18305</v>
      </c>
      <c r="T2897" s="15" t="s">
        <v>18306</v>
      </c>
      <c r="U2897" s="21" t="s">
        <v>72</v>
      </c>
    </row>
    <row r="2898" customFormat="false" ht="15" hidden="false" customHeight="false" outlineLevel="0" collapsed="false">
      <c r="A2898" s="15" t="s">
        <v>17956</v>
      </c>
      <c r="B2898" s="15" t="s">
        <v>15385</v>
      </c>
      <c r="C2898" s="14" t="s">
        <v>18307</v>
      </c>
      <c r="D2898" s="14" t="s">
        <v>18308</v>
      </c>
      <c r="E2898" s="16" t="s">
        <v>18309</v>
      </c>
      <c r="F2898" s="16" t="s">
        <v>18310</v>
      </c>
      <c r="G2898" s="23" t="s">
        <v>43</v>
      </c>
      <c r="H2898" s="18" t="n">
        <v>1</v>
      </c>
      <c r="I2898" s="20" t="n">
        <v>65.64</v>
      </c>
      <c r="J2898" s="20" t="n">
        <v>164.46</v>
      </c>
      <c r="K2898" s="18" t="n">
        <v>2</v>
      </c>
      <c r="L2898" s="18" t="n">
        <v>2</v>
      </c>
      <c r="M2898" s="18" t="n">
        <v>80</v>
      </c>
      <c r="N2898" s="18" t="n">
        <v>40</v>
      </c>
      <c r="O2898" s="14" t="s">
        <v>1097</v>
      </c>
      <c r="P2898" s="14" t="s">
        <v>84</v>
      </c>
      <c r="Q2898" s="15" t="s">
        <v>1089</v>
      </c>
      <c r="R2898" s="16" t="s">
        <v>18311</v>
      </c>
      <c r="S2898" s="15" t="s">
        <v>18312</v>
      </c>
      <c r="T2898" s="15" t="s">
        <v>18313</v>
      </c>
      <c r="U2898" s="21" t="s">
        <v>72</v>
      </c>
    </row>
    <row r="2899" customFormat="false" ht="15" hidden="false" customHeight="false" outlineLevel="0" collapsed="false">
      <c r="A2899" s="15" t="s">
        <v>17956</v>
      </c>
      <c r="B2899" s="15" t="s">
        <v>15385</v>
      </c>
      <c r="C2899" s="14" t="s">
        <v>18314</v>
      </c>
      <c r="D2899" s="14" t="s">
        <v>18315</v>
      </c>
      <c r="E2899" s="16" t="s">
        <v>18316</v>
      </c>
      <c r="F2899" s="16"/>
      <c r="G2899" s="23" t="s">
        <v>43</v>
      </c>
      <c r="H2899" s="18" t="n">
        <v>3</v>
      </c>
      <c r="I2899" s="20" t="n">
        <v>120.93</v>
      </c>
      <c r="J2899" s="20" t="n">
        <v>178.59</v>
      </c>
      <c r="K2899" s="18" t="n">
        <v>4</v>
      </c>
      <c r="L2899" s="18" t="n">
        <v>2</v>
      </c>
      <c r="M2899" s="18" t="n">
        <v>80</v>
      </c>
      <c r="N2899" s="18" t="n">
        <v>80</v>
      </c>
      <c r="O2899" s="14" t="s">
        <v>1097</v>
      </c>
      <c r="P2899" s="14" t="s">
        <v>84</v>
      </c>
      <c r="Q2899" s="15" t="s">
        <v>1089</v>
      </c>
      <c r="R2899" s="16" t="s">
        <v>12297</v>
      </c>
      <c r="S2899" s="15" t="s">
        <v>18317</v>
      </c>
      <c r="T2899" s="15" t="s">
        <v>18317</v>
      </c>
      <c r="U2899" s="21" t="s">
        <v>72</v>
      </c>
    </row>
    <row r="2900" customFormat="false" ht="15" hidden="false" customHeight="false" outlineLevel="0" collapsed="false">
      <c r="A2900" s="15" t="s">
        <v>17956</v>
      </c>
      <c r="B2900" s="15" t="s">
        <v>15385</v>
      </c>
      <c r="C2900" s="14" t="s">
        <v>18318</v>
      </c>
      <c r="D2900" s="14" t="s">
        <v>18319</v>
      </c>
      <c r="E2900" s="16" t="s">
        <v>18320</v>
      </c>
      <c r="F2900" s="16" t="s">
        <v>18321</v>
      </c>
      <c r="G2900" s="23" t="s">
        <v>43</v>
      </c>
      <c r="H2900" s="18" t="n">
        <v>2</v>
      </c>
      <c r="I2900" s="20" t="n">
        <v>86.46</v>
      </c>
      <c r="J2900" s="20" t="n">
        <v>86.46</v>
      </c>
      <c r="K2900" s="18" t="n">
        <v>2</v>
      </c>
      <c r="L2900" s="18" t="n">
        <v>3</v>
      </c>
      <c r="M2900" s="18" t="n">
        <v>60</v>
      </c>
      <c r="N2900" s="18" t="n">
        <v>60</v>
      </c>
      <c r="O2900" s="14" t="s">
        <v>1097</v>
      </c>
      <c r="P2900" s="14" t="s">
        <v>84</v>
      </c>
      <c r="Q2900" s="15" t="s">
        <v>1089</v>
      </c>
      <c r="R2900" s="16" t="s">
        <v>18322</v>
      </c>
      <c r="S2900" s="15" t="s">
        <v>18323</v>
      </c>
      <c r="T2900" s="15" t="s">
        <v>18324</v>
      </c>
      <c r="U2900" s="21" t="s">
        <v>72</v>
      </c>
    </row>
    <row r="2901" customFormat="false" ht="15" hidden="false" customHeight="false" outlineLevel="0" collapsed="false">
      <c r="A2901" s="15" t="s">
        <v>17956</v>
      </c>
      <c r="B2901" s="15" t="s">
        <v>15385</v>
      </c>
      <c r="C2901" s="14" t="s">
        <v>18325</v>
      </c>
      <c r="D2901" s="14" t="s">
        <v>18326</v>
      </c>
      <c r="E2901" s="16" t="s">
        <v>18327</v>
      </c>
      <c r="F2901" s="16"/>
      <c r="G2901" s="23" t="s">
        <v>43</v>
      </c>
      <c r="H2901" s="18" t="n">
        <v>2</v>
      </c>
      <c r="I2901" s="20" t="n">
        <v>65.6</v>
      </c>
      <c r="J2901" s="20" t="n">
        <v>117</v>
      </c>
      <c r="K2901" s="18" t="n">
        <v>2</v>
      </c>
      <c r="L2901" s="18" t="n">
        <v>1</v>
      </c>
      <c r="M2901" s="18" t="n">
        <v>60</v>
      </c>
      <c r="N2901" s="18" t="n">
        <v>60</v>
      </c>
      <c r="O2901" s="14" t="s">
        <v>1097</v>
      </c>
      <c r="P2901" s="14" t="s">
        <v>84</v>
      </c>
      <c r="Q2901" s="15" t="s">
        <v>1089</v>
      </c>
      <c r="R2901" s="16" t="s">
        <v>18328</v>
      </c>
      <c r="S2901" s="15" t="s">
        <v>18329</v>
      </c>
      <c r="T2901" s="15" t="s">
        <v>18329</v>
      </c>
      <c r="U2901" s="21" t="s">
        <v>72</v>
      </c>
    </row>
    <row r="2902" customFormat="false" ht="15" hidden="false" customHeight="false" outlineLevel="0" collapsed="false">
      <c r="A2902" s="15" t="s">
        <v>17956</v>
      </c>
      <c r="B2902" s="15" t="s">
        <v>15385</v>
      </c>
      <c r="C2902" s="14" t="s">
        <v>18330</v>
      </c>
      <c r="D2902" s="14" t="s">
        <v>18331</v>
      </c>
      <c r="E2902" s="16" t="s">
        <v>18332</v>
      </c>
      <c r="F2902" s="16" t="s">
        <v>18333</v>
      </c>
      <c r="G2902" s="23" t="s">
        <v>43</v>
      </c>
      <c r="H2902" s="18" t="n">
        <v>2</v>
      </c>
      <c r="I2902" s="20" t="n">
        <v>47.19</v>
      </c>
      <c r="J2902" s="20" t="n">
        <v>92.43</v>
      </c>
      <c r="K2902" s="18" t="n">
        <v>12</v>
      </c>
      <c r="L2902" s="18" t="n">
        <v>4</v>
      </c>
      <c r="M2902" s="18" t="n">
        <v>300</v>
      </c>
      <c r="N2902" s="18" t="n">
        <v>100</v>
      </c>
      <c r="O2902" s="14" t="s">
        <v>1088</v>
      </c>
      <c r="P2902" s="14" t="s">
        <v>118</v>
      </c>
      <c r="Q2902" s="15" t="s">
        <v>1089</v>
      </c>
      <c r="R2902" s="16" t="s">
        <v>18334</v>
      </c>
      <c r="S2902" s="15" t="s">
        <v>18335</v>
      </c>
      <c r="T2902" s="15" t="s">
        <v>18335</v>
      </c>
      <c r="U2902" s="21" t="s">
        <v>72</v>
      </c>
    </row>
    <row r="2903" customFormat="false" ht="15" hidden="false" customHeight="false" outlineLevel="0" collapsed="false">
      <c r="A2903" s="15" t="s">
        <v>17956</v>
      </c>
      <c r="B2903" s="15" t="s">
        <v>18336</v>
      </c>
      <c r="C2903" s="14" t="s">
        <v>18337</v>
      </c>
      <c r="D2903" s="14" t="s">
        <v>18338</v>
      </c>
      <c r="E2903" s="16" t="s">
        <v>18339</v>
      </c>
      <c r="F2903" s="16" t="s">
        <v>18340</v>
      </c>
      <c r="G2903" s="23" t="s">
        <v>43</v>
      </c>
      <c r="H2903" s="18" t="n">
        <v>1</v>
      </c>
      <c r="I2903" s="20" t="n">
        <v>66.44</v>
      </c>
      <c r="J2903" s="20" t="n">
        <v>68.44</v>
      </c>
      <c r="K2903" s="18" t="n">
        <v>1</v>
      </c>
      <c r="L2903" s="18" t="n">
        <v>1</v>
      </c>
      <c r="M2903" s="18" t="n">
        <v>20</v>
      </c>
      <c r="N2903" s="18" t="n">
        <v>20</v>
      </c>
      <c r="O2903" s="14" t="s">
        <v>1097</v>
      </c>
      <c r="P2903" s="14" t="s">
        <v>84</v>
      </c>
      <c r="Q2903" s="15" t="s">
        <v>1089</v>
      </c>
      <c r="R2903" s="16" t="s">
        <v>17402</v>
      </c>
      <c r="S2903" s="15" t="s">
        <v>18341</v>
      </c>
      <c r="T2903" s="15" t="s">
        <v>18342</v>
      </c>
      <c r="U2903" s="21" t="s">
        <v>72</v>
      </c>
    </row>
    <row r="2904" customFormat="false" ht="15" hidden="false" customHeight="false" outlineLevel="0" collapsed="false">
      <c r="A2904" s="15" t="s">
        <v>17956</v>
      </c>
      <c r="B2904" s="15" t="s">
        <v>18336</v>
      </c>
      <c r="C2904" s="14" t="s">
        <v>18343</v>
      </c>
      <c r="D2904" s="14" t="s">
        <v>18344</v>
      </c>
      <c r="E2904" s="16" t="s">
        <v>18345</v>
      </c>
      <c r="F2904" s="16" t="s">
        <v>18346</v>
      </c>
      <c r="G2904" s="19" t="s">
        <v>41</v>
      </c>
      <c r="H2904" s="18" t="n">
        <v>5</v>
      </c>
      <c r="I2904" s="20" t="n">
        <v>190.15</v>
      </c>
      <c r="J2904" s="20" t="n">
        <v>281.56</v>
      </c>
      <c r="K2904" s="18" t="n">
        <v>16</v>
      </c>
      <c r="L2904" s="18" t="n">
        <v>6</v>
      </c>
      <c r="M2904" s="18" t="n">
        <v>240</v>
      </c>
      <c r="N2904" s="18" t="n">
        <v>240</v>
      </c>
      <c r="O2904" s="14" t="s">
        <v>1097</v>
      </c>
      <c r="P2904" s="14" t="s">
        <v>84</v>
      </c>
      <c r="Q2904" s="15" t="s">
        <v>1089</v>
      </c>
      <c r="R2904" s="16" t="s">
        <v>4427</v>
      </c>
      <c r="S2904" s="15" t="s">
        <v>18347</v>
      </c>
      <c r="T2904" s="15" t="s">
        <v>18348</v>
      </c>
      <c r="U2904" s="21" t="s">
        <v>72</v>
      </c>
    </row>
    <row r="2905" customFormat="false" ht="15" hidden="false" customHeight="false" outlineLevel="0" collapsed="false">
      <c r="A2905" s="15" t="s">
        <v>17956</v>
      </c>
      <c r="B2905" s="15" t="s">
        <v>18336</v>
      </c>
      <c r="C2905" s="14" t="s">
        <v>18349</v>
      </c>
      <c r="D2905" s="14" t="s">
        <v>18350</v>
      </c>
      <c r="E2905" s="16" t="s">
        <v>18351</v>
      </c>
      <c r="F2905" s="16" t="s">
        <v>18352</v>
      </c>
      <c r="G2905" s="23" t="s">
        <v>43</v>
      </c>
      <c r="H2905" s="18" t="n">
        <v>2</v>
      </c>
      <c r="I2905" s="20" t="n">
        <v>56.6</v>
      </c>
      <c r="J2905" s="20" t="n">
        <v>112.56</v>
      </c>
      <c r="K2905" s="18" t="n">
        <v>2</v>
      </c>
      <c r="L2905" s="18" t="n">
        <v>2</v>
      </c>
      <c r="M2905" s="18" t="n">
        <v>48</v>
      </c>
      <c r="N2905" s="18" t="n">
        <v>48</v>
      </c>
      <c r="O2905" s="14" t="s">
        <v>1097</v>
      </c>
      <c r="P2905" s="14" t="s">
        <v>84</v>
      </c>
      <c r="Q2905" s="15" t="s">
        <v>1089</v>
      </c>
      <c r="R2905" s="16" t="s">
        <v>1254</v>
      </c>
      <c r="S2905" s="15" t="s">
        <v>18353</v>
      </c>
      <c r="T2905" s="15" t="s">
        <v>18354</v>
      </c>
      <c r="U2905" s="21" t="s">
        <v>72</v>
      </c>
    </row>
    <row r="2906" customFormat="false" ht="15" hidden="false" customHeight="false" outlineLevel="0" collapsed="false">
      <c r="A2906" s="15" t="s">
        <v>17956</v>
      </c>
      <c r="B2906" s="15" t="s">
        <v>18336</v>
      </c>
      <c r="C2906" s="14" t="s">
        <v>18355</v>
      </c>
      <c r="D2906" s="14" t="s">
        <v>18356</v>
      </c>
      <c r="E2906" s="16" t="s">
        <v>18357</v>
      </c>
      <c r="F2906" s="16" t="s">
        <v>18358</v>
      </c>
      <c r="G2906" s="23" t="s">
        <v>43</v>
      </c>
      <c r="H2906" s="18" t="n">
        <v>2</v>
      </c>
      <c r="I2906" s="20" t="n">
        <v>171.92</v>
      </c>
      <c r="J2906" s="20" t="n">
        <v>171.92</v>
      </c>
      <c r="K2906" s="18" t="n">
        <v>4</v>
      </c>
      <c r="L2906" s="18" t="n">
        <v>2</v>
      </c>
      <c r="M2906" s="18" t="n">
        <v>60</v>
      </c>
      <c r="N2906" s="18" t="n">
        <v>60</v>
      </c>
      <c r="O2906" s="14" t="s">
        <v>1126</v>
      </c>
      <c r="P2906" s="14" t="s">
        <v>84</v>
      </c>
      <c r="Q2906" s="15" t="s">
        <v>1089</v>
      </c>
      <c r="R2906" s="16" t="s">
        <v>18359</v>
      </c>
      <c r="S2906" s="15" t="s">
        <v>18360</v>
      </c>
      <c r="T2906" s="15" t="s">
        <v>18360</v>
      </c>
      <c r="U2906" s="21" t="s">
        <v>72</v>
      </c>
    </row>
    <row r="2907" customFormat="false" ht="15" hidden="false" customHeight="false" outlineLevel="0" collapsed="false">
      <c r="A2907" s="15" t="s">
        <v>17956</v>
      </c>
      <c r="B2907" s="15" t="s">
        <v>18336</v>
      </c>
      <c r="C2907" s="14" t="s">
        <v>18361</v>
      </c>
      <c r="D2907" s="14" t="s">
        <v>18362</v>
      </c>
      <c r="E2907" s="16" t="s">
        <v>18363</v>
      </c>
      <c r="F2907" s="16" t="s">
        <v>18364</v>
      </c>
      <c r="G2907" s="23" t="s">
        <v>43</v>
      </c>
      <c r="H2907" s="18" t="n">
        <v>2</v>
      </c>
      <c r="I2907" s="20" t="n">
        <v>54.22</v>
      </c>
      <c r="J2907" s="20" t="n">
        <v>77.83</v>
      </c>
      <c r="K2907" s="18" t="n">
        <v>8</v>
      </c>
      <c r="L2907" s="18" t="n">
        <v>4</v>
      </c>
      <c r="M2907" s="18" t="n">
        <v>172</v>
      </c>
      <c r="N2907" s="18" t="n">
        <v>100</v>
      </c>
      <c r="O2907" s="14" t="s">
        <v>3724</v>
      </c>
      <c r="P2907" s="14" t="s">
        <v>84</v>
      </c>
      <c r="Q2907" s="15" t="s">
        <v>1089</v>
      </c>
      <c r="R2907" s="16" t="s">
        <v>18365</v>
      </c>
      <c r="S2907" s="15" t="s">
        <v>18366</v>
      </c>
      <c r="T2907" s="15" t="s">
        <v>18367</v>
      </c>
      <c r="U2907" s="21" t="s">
        <v>72</v>
      </c>
    </row>
    <row r="2908" customFormat="false" ht="15" hidden="false" customHeight="false" outlineLevel="0" collapsed="false">
      <c r="A2908" s="15" t="s">
        <v>17956</v>
      </c>
      <c r="B2908" s="15" t="s">
        <v>18336</v>
      </c>
      <c r="C2908" s="14" t="s">
        <v>18368</v>
      </c>
      <c r="D2908" s="14" t="s">
        <v>18369</v>
      </c>
      <c r="E2908" s="16" t="s">
        <v>18370</v>
      </c>
      <c r="F2908" s="16" t="s">
        <v>18371</v>
      </c>
      <c r="G2908" s="23" t="s">
        <v>43</v>
      </c>
      <c r="H2908" s="18" t="n">
        <v>2</v>
      </c>
      <c r="I2908" s="20" t="n">
        <v>46.86</v>
      </c>
      <c r="J2908" s="20" t="n">
        <v>148.55</v>
      </c>
      <c r="K2908" s="18" t="n">
        <v>2</v>
      </c>
      <c r="L2908" s="18" t="n">
        <v>3</v>
      </c>
      <c r="M2908" s="18" t="n">
        <v>38</v>
      </c>
      <c r="N2908" s="18" t="n">
        <v>38</v>
      </c>
      <c r="O2908" s="14" t="s">
        <v>1088</v>
      </c>
      <c r="P2908" s="14" t="s">
        <v>84</v>
      </c>
      <c r="Q2908" s="15" t="s">
        <v>1089</v>
      </c>
      <c r="R2908" s="16" t="s">
        <v>18372</v>
      </c>
      <c r="S2908" s="15" t="s">
        <v>18373</v>
      </c>
      <c r="T2908" s="15" t="s">
        <v>18374</v>
      </c>
      <c r="U2908" s="21" t="s">
        <v>72</v>
      </c>
    </row>
    <row r="2909" customFormat="false" ht="26.85" hidden="false" customHeight="false" outlineLevel="0" collapsed="false">
      <c r="A2909" s="15" t="s">
        <v>17956</v>
      </c>
      <c r="B2909" s="15" t="s">
        <v>18375</v>
      </c>
      <c r="C2909" s="14" t="s">
        <v>18376</v>
      </c>
      <c r="D2909" s="14" t="s">
        <v>18377</v>
      </c>
      <c r="E2909" s="16" t="s">
        <v>18378</v>
      </c>
      <c r="F2909" s="16" t="s">
        <v>18379</v>
      </c>
      <c r="G2909" s="23" t="s">
        <v>43</v>
      </c>
      <c r="H2909" s="18" t="n">
        <v>1</v>
      </c>
      <c r="I2909" s="20" t="n">
        <v>39.72</v>
      </c>
      <c r="J2909" s="20" t="n">
        <v>72.44</v>
      </c>
      <c r="K2909" s="18" t="n">
        <v>10</v>
      </c>
      <c r="L2909" s="18"/>
      <c r="M2909" s="18" t="n">
        <v>100</v>
      </c>
      <c r="N2909" s="18" t="n">
        <v>30</v>
      </c>
      <c r="O2909" s="14" t="s">
        <v>6448</v>
      </c>
      <c r="P2909" s="14" t="s">
        <v>118</v>
      </c>
      <c r="Q2909" s="15" t="s">
        <v>1089</v>
      </c>
      <c r="R2909" s="16" t="s">
        <v>18380</v>
      </c>
      <c r="S2909" s="15" t="s">
        <v>18381</v>
      </c>
      <c r="T2909" s="15" t="s">
        <v>18382</v>
      </c>
      <c r="U2909" s="21" t="s">
        <v>72</v>
      </c>
    </row>
    <row r="2910" customFormat="false" ht="26.85" hidden="false" customHeight="false" outlineLevel="0" collapsed="false">
      <c r="A2910" s="15" t="s">
        <v>17956</v>
      </c>
      <c r="B2910" s="15" t="s">
        <v>18375</v>
      </c>
      <c r="C2910" s="14" t="s">
        <v>18383</v>
      </c>
      <c r="D2910" s="14" t="s">
        <v>18384</v>
      </c>
      <c r="E2910" s="16" t="s">
        <v>18385</v>
      </c>
      <c r="F2910" s="16" t="s">
        <v>18386</v>
      </c>
      <c r="G2910" s="19" t="s">
        <v>41</v>
      </c>
      <c r="H2910" s="18" t="n">
        <v>6</v>
      </c>
      <c r="I2910" s="20" t="n">
        <v>247.06</v>
      </c>
      <c r="J2910" s="20" t="n">
        <v>322</v>
      </c>
      <c r="K2910" s="18" t="n">
        <v>15</v>
      </c>
      <c r="L2910" s="18" t="n">
        <v>6</v>
      </c>
      <c r="M2910" s="18" t="n">
        <v>234</v>
      </c>
      <c r="N2910" s="18" t="n">
        <v>32</v>
      </c>
      <c r="O2910" s="14" t="s">
        <v>9118</v>
      </c>
      <c r="P2910" s="14" t="s">
        <v>118</v>
      </c>
      <c r="Q2910" s="15" t="s">
        <v>1089</v>
      </c>
      <c r="R2910" s="16" t="s">
        <v>18387</v>
      </c>
      <c r="S2910" s="15" t="s">
        <v>18388</v>
      </c>
      <c r="T2910" s="15" t="s">
        <v>14551</v>
      </c>
      <c r="U2910" s="21" t="s">
        <v>72</v>
      </c>
    </row>
    <row r="2911" customFormat="false" ht="15" hidden="false" customHeight="false" outlineLevel="0" collapsed="false">
      <c r="A2911" s="15" t="s">
        <v>17956</v>
      </c>
      <c r="B2911" s="15" t="s">
        <v>18375</v>
      </c>
      <c r="C2911" s="14" t="s">
        <v>18389</v>
      </c>
      <c r="D2911" s="14" t="s">
        <v>18390</v>
      </c>
      <c r="E2911" s="16" t="s">
        <v>18391</v>
      </c>
      <c r="F2911" s="16" t="s">
        <v>18392</v>
      </c>
      <c r="G2911" s="23" t="s">
        <v>43</v>
      </c>
      <c r="H2911" s="18" t="n">
        <v>2</v>
      </c>
      <c r="I2911" s="20" t="n">
        <v>68.8</v>
      </c>
      <c r="J2911" s="20" t="n">
        <v>163.19</v>
      </c>
      <c r="K2911" s="18" t="n">
        <v>2</v>
      </c>
      <c r="L2911" s="18" t="n">
        <v>4</v>
      </c>
      <c r="M2911" s="18" t="n">
        <v>32</v>
      </c>
      <c r="N2911" s="18" t="n">
        <v>32</v>
      </c>
      <c r="O2911" s="14" t="s">
        <v>1097</v>
      </c>
      <c r="P2911" s="14" t="s">
        <v>84</v>
      </c>
      <c r="Q2911" s="15" t="s">
        <v>1089</v>
      </c>
      <c r="R2911" s="16" t="s">
        <v>18393</v>
      </c>
      <c r="S2911" s="15" t="s">
        <v>18394</v>
      </c>
      <c r="T2911" s="15" t="s">
        <v>18394</v>
      </c>
      <c r="U2911" s="21" t="s">
        <v>72</v>
      </c>
    </row>
    <row r="2912" customFormat="false" ht="15" hidden="false" customHeight="false" outlineLevel="0" collapsed="false">
      <c r="A2912" s="15" t="s">
        <v>17956</v>
      </c>
      <c r="B2912" s="15" t="s">
        <v>18375</v>
      </c>
      <c r="C2912" s="14" t="s">
        <v>18395</v>
      </c>
      <c r="D2912" s="14" t="s">
        <v>18396</v>
      </c>
      <c r="E2912" s="16" t="s">
        <v>18397</v>
      </c>
      <c r="F2912" s="16" t="s">
        <v>18398</v>
      </c>
      <c r="G2912" s="23" t="s">
        <v>43</v>
      </c>
      <c r="H2912" s="18" t="n">
        <v>2</v>
      </c>
      <c r="I2912" s="20" t="n">
        <v>62.02</v>
      </c>
      <c r="J2912" s="20" t="n">
        <v>149.73</v>
      </c>
      <c r="K2912" s="18" t="n">
        <v>2</v>
      </c>
      <c r="L2912" s="18" t="n">
        <v>1</v>
      </c>
      <c r="M2912" s="18" t="n">
        <v>50</v>
      </c>
      <c r="N2912" s="18" t="n">
        <v>50</v>
      </c>
      <c r="O2912" s="14" t="s">
        <v>1126</v>
      </c>
      <c r="P2912" s="14" t="s">
        <v>84</v>
      </c>
      <c r="Q2912" s="15" t="s">
        <v>1089</v>
      </c>
      <c r="R2912" s="16" t="s">
        <v>18399</v>
      </c>
      <c r="S2912" s="15" t="s">
        <v>18400</v>
      </c>
      <c r="T2912" s="15" t="s">
        <v>18400</v>
      </c>
      <c r="U2912" s="21" t="s">
        <v>72</v>
      </c>
    </row>
    <row r="2913" customFormat="false" ht="15" hidden="false" customHeight="false" outlineLevel="0" collapsed="false">
      <c r="A2913" s="15" t="s">
        <v>17956</v>
      </c>
      <c r="B2913" s="15" t="s">
        <v>18375</v>
      </c>
      <c r="C2913" s="14" t="s">
        <v>18401</v>
      </c>
      <c r="D2913" s="14" t="s">
        <v>18402</v>
      </c>
      <c r="E2913" s="16" t="s">
        <v>18403</v>
      </c>
      <c r="F2913" s="16" t="s">
        <v>18404</v>
      </c>
      <c r="G2913" s="23" t="s">
        <v>43</v>
      </c>
      <c r="H2913" s="18" t="n">
        <v>2</v>
      </c>
      <c r="I2913" s="20" t="n">
        <v>50</v>
      </c>
      <c r="J2913" s="20" t="n">
        <v>80.12</v>
      </c>
      <c r="K2913" s="18" t="n">
        <v>3</v>
      </c>
      <c r="L2913" s="18" t="n">
        <v>2</v>
      </c>
      <c r="M2913" s="18" t="n">
        <v>36</v>
      </c>
      <c r="N2913" s="18" t="n">
        <v>36</v>
      </c>
      <c r="O2913" s="14" t="s">
        <v>1097</v>
      </c>
      <c r="P2913" s="14" t="s">
        <v>118</v>
      </c>
      <c r="Q2913" s="15" t="s">
        <v>1089</v>
      </c>
      <c r="R2913" s="16" t="s">
        <v>18405</v>
      </c>
      <c r="S2913" s="15" t="s">
        <v>18406</v>
      </c>
      <c r="T2913" s="15" t="s">
        <v>18406</v>
      </c>
      <c r="U2913" s="21" t="s">
        <v>72</v>
      </c>
    </row>
    <row r="2914" customFormat="false" ht="15" hidden="false" customHeight="false" outlineLevel="0" collapsed="false">
      <c r="A2914" s="15" t="s">
        <v>17956</v>
      </c>
      <c r="B2914" s="15" t="s">
        <v>18375</v>
      </c>
      <c r="C2914" s="14" t="s">
        <v>18407</v>
      </c>
      <c r="D2914" s="14" t="s">
        <v>18408</v>
      </c>
      <c r="E2914" s="16" t="s">
        <v>18409</v>
      </c>
      <c r="F2914" s="16" t="s">
        <v>18410</v>
      </c>
      <c r="G2914" s="23" t="s">
        <v>43</v>
      </c>
      <c r="H2914" s="18" t="n">
        <v>2</v>
      </c>
      <c r="I2914" s="20" t="n">
        <v>42.8</v>
      </c>
      <c r="J2914" s="20" t="n">
        <v>90.65</v>
      </c>
      <c r="K2914" s="18" t="n">
        <v>3</v>
      </c>
      <c r="L2914" s="18" t="n">
        <v>1</v>
      </c>
      <c r="M2914" s="18" t="n">
        <v>45</v>
      </c>
      <c r="N2914" s="18" t="n">
        <v>45</v>
      </c>
      <c r="O2914" s="14" t="s">
        <v>6448</v>
      </c>
      <c r="P2914" s="14" t="s">
        <v>118</v>
      </c>
      <c r="Q2914" s="15" t="s">
        <v>1089</v>
      </c>
      <c r="R2914" s="16" t="s">
        <v>3050</v>
      </c>
      <c r="S2914" s="15" t="s">
        <v>18411</v>
      </c>
      <c r="T2914" s="15" t="s">
        <v>18412</v>
      </c>
      <c r="U2914" s="21" t="s">
        <v>72</v>
      </c>
    </row>
    <row r="2915" customFormat="false" ht="15" hidden="false" customHeight="false" outlineLevel="0" collapsed="false">
      <c r="A2915" s="15" t="s">
        <v>17956</v>
      </c>
      <c r="B2915" s="15" t="s">
        <v>18375</v>
      </c>
      <c r="C2915" s="14" t="s">
        <v>18413</v>
      </c>
      <c r="D2915" s="14" t="s">
        <v>18414</v>
      </c>
      <c r="E2915" s="16" t="s">
        <v>18415</v>
      </c>
      <c r="F2915" s="16"/>
      <c r="G2915" s="23" t="s">
        <v>43</v>
      </c>
      <c r="H2915" s="18" t="n">
        <v>1</v>
      </c>
      <c r="I2915" s="20" t="n">
        <v>50.59</v>
      </c>
      <c r="J2915" s="20" t="n">
        <v>112.32</v>
      </c>
      <c r="K2915" s="18" t="n">
        <v>1</v>
      </c>
      <c r="L2915" s="18" t="n">
        <v>1</v>
      </c>
      <c r="M2915" s="18" t="n">
        <v>30</v>
      </c>
      <c r="N2915" s="18" t="n">
        <v>30</v>
      </c>
      <c r="O2915" s="14" t="s">
        <v>1097</v>
      </c>
      <c r="P2915" s="14" t="s">
        <v>84</v>
      </c>
      <c r="Q2915" s="15" t="s">
        <v>1089</v>
      </c>
      <c r="R2915" s="16" t="s">
        <v>18416</v>
      </c>
      <c r="S2915" s="15" t="s">
        <v>18417</v>
      </c>
      <c r="T2915" s="15" t="s">
        <v>18418</v>
      </c>
      <c r="U2915" s="21" t="s">
        <v>72</v>
      </c>
    </row>
    <row r="2916" customFormat="false" ht="15" hidden="false" customHeight="false" outlineLevel="0" collapsed="false">
      <c r="A2916" s="15" t="s">
        <v>17956</v>
      </c>
      <c r="B2916" s="15" t="s">
        <v>18375</v>
      </c>
      <c r="C2916" s="14" t="s">
        <v>18419</v>
      </c>
      <c r="D2916" s="14" t="s">
        <v>18420</v>
      </c>
      <c r="E2916" s="16" t="s">
        <v>18421</v>
      </c>
      <c r="F2916" s="16" t="s">
        <v>18422</v>
      </c>
      <c r="G2916" s="23" t="s">
        <v>43</v>
      </c>
      <c r="H2916" s="18" t="n">
        <v>2</v>
      </c>
      <c r="I2916" s="20" t="n">
        <v>55.23</v>
      </c>
      <c r="J2916" s="20" t="n">
        <v>114.59</v>
      </c>
      <c r="K2916" s="18" t="n">
        <v>2</v>
      </c>
      <c r="L2916" s="18" t="n">
        <v>4</v>
      </c>
      <c r="M2916" s="18" t="n">
        <v>30</v>
      </c>
      <c r="N2916" s="18" t="n">
        <v>30</v>
      </c>
      <c r="O2916" s="14" t="s">
        <v>1097</v>
      </c>
      <c r="P2916" s="14" t="s">
        <v>118</v>
      </c>
      <c r="Q2916" s="15" t="s">
        <v>1089</v>
      </c>
      <c r="R2916" s="16" t="s">
        <v>18423</v>
      </c>
      <c r="S2916" s="15" t="s">
        <v>18424</v>
      </c>
      <c r="T2916" s="15" t="s">
        <v>18424</v>
      </c>
      <c r="U2916" s="21" t="s">
        <v>72</v>
      </c>
    </row>
    <row r="2917" customFormat="false" ht="15" hidden="false" customHeight="false" outlineLevel="0" collapsed="false">
      <c r="A2917" s="15" t="s">
        <v>17956</v>
      </c>
      <c r="B2917" s="15" t="s">
        <v>18375</v>
      </c>
      <c r="C2917" s="14" t="s">
        <v>18425</v>
      </c>
      <c r="D2917" s="14" t="s">
        <v>18426</v>
      </c>
      <c r="E2917" s="16" t="s">
        <v>18427</v>
      </c>
      <c r="F2917" s="16" t="s">
        <v>18428</v>
      </c>
      <c r="G2917" s="23" t="s">
        <v>43</v>
      </c>
      <c r="H2917" s="18" t="n">
        <v>2</v>
      </c>
      <c r="I2917" s="20" t="n">
        <v>46.18</v>
      </c>
      <c r="J2917" s="20" t="n">
        <v>118.52</v>
      </c>
      <c r="K2917" s="18" t="n">
        <v>2</v>
      </c>
      <c r="L2917" s="18" t="n">
        <v>1</v>
      </c>
      <c r="M2917" s="18" t="n">
        <v>38</v>
      </c>
      <c r="N2917" s="18" t="n">
        <v>38</v>
      </c>
      <c r="O2917" s="14" t="s">
        <v>1097</v>
      </c>
      <c r="P2917" s="14" t="s">
        <v>84</v>
      </c>
      <c r="Q2917" s="15" t="s">
        <v>1089</v>
      </c>
      <c r="R2917" s="16" t="s">
        <v>4590</v>
      </c>
      <c r="S2917" s="15" t="s">
        <v>18429</v>
      </c>
      <c r="T2917" s="15" t="s">
        <v>18430</v>
      </c>
      <c r="U2917" s="21" t="s">
        <v>72</v>
      </c>
    </row>
    <row r="2918" customFormat="false" ht="15" hidden="false" customHeight="false" outlineLevel="0" collapsed="false">
      <c r="A2918" s="15" t="s">
        <v>17956</v>
      </c>
      <c r="B2918" s="15" t="s">
        <v>18375</v>
      </c>
      <c r="C2918" s="14" t="s">
        <v>18431</v>
      </c>
      <c r="D2918" s="14" t="s">
        <v>18432</v>
      </c>
      <c r="E2918" s="16" t="s">
        <v>18433</v>
      </c>
      <c r="F2918" s="16" t="s">
        <v>18422</v>
      </c>
      <c r="G2918" s="23" t="s">
        <v>43</v>
      </c>
      <c r="H2918" s="18" t="n">
        <v>1</v>
      </c>
      <c r="I2918" s="20" t="n">
        <v>35.84</v>
      </c>
      <c r="J2918" s="20" t="n">
        <v>111.32</v>
      </c>
      <c r="K2918" s="18" t="n">
        <v>2</v>
      </c>
      <c r="L2918" s="18" t="n">
        <v>2</v>
      </c>
      <c r="M2918" s="18" t="n">
        <v>30</v>
      </c>
      <c r="N2918" s="18" t="n">
        <v>30</v>
      </c>
      <c r="O2918" s="14" t="s">
        <v>9118</v>
      </c>
      <c r="P2918" s="14" t="s">
        <v>118</v>
      </c>
      <c r="Q2918" s="15" t="s">
        <v>1089</v>
      </c>
      <c r="R2918" s="16" t="s">
        <v>18434</v>
      </c>
      <c r="S2918" s="15" t="s">
        <v>18424</v>
      </c>
      <c r="T2918" s="15" t="s">
        <v>18435</v>
      </c>
      <c r="U2918" s="21" t="s">
        <v>72</v>
      </c>
    </row>
    <row r="2919" customFormat="false" ht="15" hidden="false" customHeight="false" outlineLevel="0" collapsed="false">
      <c r="A2919" s="15" t="s">
        <v>17956</v>
      </c>
      <c r="B2919" s="15" t="s">
        <v>18436</v>
      </c>
      <c r="C2919" s="14" t="s">
        <v>18437</v>
      </c>
      <c r="D2919" s="14" t="s">
        <v>18438</v>
      </c>
      <c r="E2919" s="16" t="s">
        <v>18439</v>
      </c>
      <c r="F2919" s="16"/>
      <c r="G2919" s="19" t="s">
        <v>41</v>
      </c>
      <c r="H2919" s="18" t="n">
        <v>4</v>
      </c>
      <c r="I2919" s="20" t="n">
        <v>136.84</v>
      </c>
      <c r="J2919" s="20" t="n">
        <v>288.01</v>
      </c>
      <c r="K2919" s="18" t="n">
        <v>13</v>
      </c>
      <c r="L2919" s="18" t="n">
        <v>2</v>
      </c>
      <c r="M2919" s="18" t="n">
        <v>256</v>
      </c>
      <c r="N2919" s="18" t="n">
        <v>136</v>
      </c>
      <c r="O2919" s="14" t="s">
        <v>6448</v>
      </c>
      <c r="P2919" s="14" t="s">
        <v>118</v>
      </c>
      <c r="Q2919" s="15" t="s">
        <v>1089</v>
      </c>
      <c r="R2919" s="16" t="s">
        <v>18440</v>
      </c>
      <c r="S2919" s="15" t="s">
        <v>18441</v>
      </c>
      <c r="T2919" s="15" t="s">
        <v>18442</v>
      </c>
      <c r="U2919" s="21" t="s">
        <v>72</v>
      </c>
    </row>
    <row r="2920" customFormat="false" ht="15" hidden="false" customHeight="false" outlineLevel="0" collapsed="false">
      <c r="A2920" s="15" t="s">
        <v>17956</v>
      </c>
      <c r="B2920" s="15" t="s">
        <v>18443</v>
      </c>
      <c r="C2920" s="14" t="s">
        <v>18444</v>
      </c>
      <c r="D2920" s="14" t="s">
        <v>18445</v>
      </c>
      <c r="E2920" s="16" t="s">
        <v>18446</v>
      </c>
      <c r="F2920" s="16" t="s">
        <v>18447</v>
      </c>
      <c r="G2920" s="19" t="s">
        <v>41</v>
      </c>
      <c r="H2920" s="18" t="n">
        <v>6</v>
      </c>
      <c r="I2920" s="20" t="n">
        <v>130.25</v>
      </c>
      <c r="J2920" s="20" t="n">
        <v>180.59</v>
      </c>
      <c r="K2920" s="18" t="n">
        <v>18</v>
      </c>
      <c r="L2920" s="18" t="n">
        <v>1</v>
      </c>
      <c r="M2920" s="18" t="n">
        <v>343</v>
      </c>
      <c r="N2920" s="18" t="n">
        <v>116</v>
      </c>
      <c r="O2920" s="14" t="s">
        <v>9118</v>
      </c>
      <c r="P2920" s="14" t="s">
        <v>84</v>
      </c>
      <c r="Q2920" s="15" t="s">
        <v>1089</v>
      </c>
      <c r="R2920" s="16" t="s">
        <v>18448</v>
      </c>
      <c r="S2920" s="15" t="s">
        <v>18449</v>
      </c>
      <c r="T2920" s="15" t="s">
        <v>18450</v>
      </c>
      <c r="U2920" s="21" t="s">
        <v>72</v>
      </c>
    </row>
    <row r="2921" customFormat="false" ht="26.85" hidden="false" customHeight="false" outlineLevel="0" collapsed="false">
      <c r="A2921" s="15" t="s">
        <v>17956</v>
      </c>
      <c r="B2921" s="15" t="s">
        <v>18443</v>
      </c>
      <c r="C2921" s="14" t="s">
        <v>18451</v>
      </c>
      <c r="D2921" s="14" t="s">
        <v>18452</v>
      </c>
      <c r="E2921" s="16" t="s">
        <v>18453</v>
      </c>
      <c r="F2921" s="16" t="s">
        <v>18454</v>
      </c>
      <c r="G2921" s="23" t="s">
        <v>43</v>
      </c>
      <c r="H2921" s="18" t="n">
        <v>2</v>
      </c>
      <c r="I2921" s="20" t="n">
        <v>40</v>
      </c>
      <c r="J2921" s="20" t="n">
        <v>162.5</v>
      </c>
      <c r="K2921" s="18" t="n">
        <v>2</v>
      </c>
      <c r="L2921" s="18" t="n">
        <v>2</v>
      </c>
      <c r="M2921" s="18" t="n">
        <v>30</v>
      </c>
      <c r="N2921" s="18" t="n">
        <v>30</v>
      </c>
      <c r="O2921" s="14" t="s">
        <v>1097</v>
      </c>
      <c r="P2921" s="14" t="s">
        <v>118</v>
      </c>
      <c r="Q2921" s="15" t="s">
        <v>1089</v>
      </c>
      <c r="R2921" s="16" t="s">
        <v>18455</v>
      </c>
      <c r="S2921" s="15" t="s">
        <v>18456</v>
      </c>
      <c r="T2921" s="15" t="s">
        <v>18457</v>
      </c>
      <c r="U2921" s="21" t="s">
        <v>72</v>
      </c>
    </row>
    <row r="2922" customFormat="false" ht="15" hidden="false" customHeight="false" outlineLevel="0" collapsed="false">
      <c r="A2922" s="15" t="s">
        <v>17956</v>
      </c>
      <c r="B2922" s="15" t="s">
        <v>18443</v>
      </c>
      <c r="C2922" s="14" t="s">
        <v>18458</v>
      </c>
      <c r="D2922" s="14" t="s">
        <v>18459</v>
      </c>
      <c r="E2922" s="16" t="s">
        <v>18460</v>
      </c>
      <c r="F2922" s="16"/>
      <c r="G2922" s="23" t="s">
        <v>43</v>
      </c>
      <c r="H2922" s="18" t="n">
        <v>2</v>
      </c>
      <c r="I2922" s="20" t="n">
        <v>54.13</v>
      </c>
      <c r="J2922" s="20" t="n">
        <v>124.12</v>
      </c>
      <c r="K2922" s="18" t="n">
        <v>2</v>
      </c>
      <c r="L2922" s="18" t="n">
        <v>3</v>
      </c>
      <c r="M2922" s="18" t="n">
        <v>40</v>
      </c>
      <c r="N2922" s="18" t="n">
        <v>40</v>
      </c>
      <c r="O2922" s="14" t="s">
        <v>1088</v>
      </c>
      <c r="P2922" s="14" t="s">
        <v>84</v>
      </c>
      <c r="Q2922" s="15" t="s">
        <v>1089</v>
      </c>
      <c r="R2922" s="16" t="s">
        <v>8957</v>
      </c>
      <c r="S2922" s="15" t="s">
        <v>18461</v>
      </c>
      <c r="T2922" s="15" t="s">
        <v>18461</v>
      </c>
      <c r="U2922" s="21" t="s">
        <v>72</v>
      </c>
    </row>
    <row r="2923" customFormat="false" ht="15" hidden="false" customHeight="false" outlineLevel="0" collapsed="false">
      <c r="A2923" s="15" t="s">
        <v>17956</v>
      </c>
      <c r="B2923" s="15" t="s">
        <v>18443</v>
      </c>
      <c r="C2923" s="14" t="s">
        <v>18462</v>
      </c>
      <c r="D2923" s="14" t="s">
        <v>18463</v>
      </c>
      <c r="E2923" s="16" t="s">
        <v>18464</v>
      </c>
      <c r="F2923" s="16"/>
      <c r="G2923" s="23" t="s">
        <v>43</v>
      </c>
      <c r="H2923" s="18" t="n">
        <v>2</v>
      </c>
      <c r="I2923" s="20" t="n">
        <v>50.52</v>
      </c>
      <c r="J2923" s="20" t="n">
        <v>78.5</v>
      </c>
      <c r="K2923" s="18" t="n">
        <v>2</v>
      </c>
      <c r="L2923" s="18" t="n">
        <v>2</v>
      </c>
      <c r="M2923" s="18" t="n">
        <v>30</v>
      </c>
      <c r="N2923" s="18" t="n">
        <v>30</v>
      </c>
      <c r="O2923" s="14" t="s">
        <v>1097</v>
      </c>
      <c r="P2923" s="14" t="s">
        <v>84</v>
      </c>
      <c r="Q2923" s="15" t="s">
        <v>1089</v>
      </c>
      <c r="R2923" s="16" t="s">
        <v>18465</v>
      </c>
      <c r="S2923" s="15" t="s">
        <v>18466</v>
      </c>
      <c r="T2923" s="15" t="s">
        <v>18467</v>
      </c>
      <c r="U2923" s="21" t="s">
        <v>72</v>
      </c>
    </row>
    <row r="2924" customFormat="false" ht="15" hidden="false" customHeight="false" outlineLevel="0" collapsed="false">
      <c r="A2924" s="15" t="s">
        <v>17956</v>
      </c>
      <c r="B2924" s="15" t="s">
        <v>18443</v>
      </c>
      <c r="C2924" s="14" t="s">
        <v>18468</v>
      </c>
      <c r="D2924" s="14" t="s">
        <v>18469</v>
      </c>
      <c r="E2924" s="16" t="s">
        <v>18470</v>
      </c>
      <c r="F2924" s="16"/>
      <c r="G2924" s="23" t="s">
        <v>43</v>
      </c>
      <c r="H2924" s="18" t="n">
        <v>1</v>
      </c>
      <c r="I2924" s="20" t="n">
        <v>88</v>
      </c>
      <c r="J2924" s="20" t="n">
        <v>132.61</v>
      </c>
      <c r="K2924" s="18" t="n">
        <v>2</v>
      </c>
      <c r="L2924" s="18" t="n">
        <v>1</v>
      </c>
      <c r="M2924" s="18" t="n">
        <v>16</v>
      </c>
      <c r="N2924" s="18" t="n">
        <v>8</v>
      </c>
      <c r="O2924" s="14" t="s">
        <v>1097</v>
      </c>
      <c r="P2924" s="14" t="s">
        <v>202</v>
      </c>
      <c r="Q2924" s="15" t="s">
        <v>1089</v>
      </c>
      <c r="R2924" s="16" t="s">
        <v>18471</v>
      </c>
      <c r="S2924" s="15" t="s">
        <v>18472</v>
      </c>
      <c r="T2924" s="15" t="s">
        <v>5464</v>
      </c>
      <c r="U2924" s="21" t="s">
        <v>72</v>
      </c>
    </row>
    <row r="2925" customFormat="false" ht="26.85" hidden="false" customHeight="false" outlineLevel="0" collapsed="false">
      <c r="A2925" s="15" t="s">
        <v>17956</v>
      </c>
      <c r="B2925" s="15" t="s">
        <v>18443</v>
      </c>
      <c r="C2925" s="14" t="s">
        <v>18473</v>
      </c>
      <c r="D2925" s="14" t="s">
        <v>18474</v>
      </c>
      <c r="E2925" s="16" t="s">
        <v>18475</v>
      </c>
      <c r="F2925" s="16" t="s">
        <v>18476</v>
      </c>
      <c r="G2925" s="23" t="s">
        <v>43</v>
      </c>
      <c r="H2925" s="18" t="n">
        <v>2</v>
      </c>
      <c r="I2925" s="20" t="n">
        <v>126.56</v>
      </c>
      <c r="J2925" s="20" t="n">
        <v>164.18</v>
      </c>
      <c r="K2925" s="18" t="n">
        <v>3</v>
      </c>
      <c r="L2925" s="18" t="n">
        <v>2</v>
      </c>
      <c r="M2925" s="18" t="n">
        <v>45</v>
      </c>
      <c r="N2925" s="18" t="n">
        <v>30</v>
      </c>
      <c r="O2925" s="14" t="s">
        <v>1126</v>
      </c>
      <c r="P2925" s="14" t="s">
        <v>1185</v>
      </c>
      <c r="Q2925" s="15" t="s">
        <v>1089</v>
      </c>
      <c r="R2925" s="16" t="s">
        <v>18477</v>
      </c>
      <c r="S2925" s="15" t="s">
        <v>18478</v>
      </c>
      <c r="T2925" s="15" t="s">
        <v>18478</v>
      </c>
      <c r="U2925" s="21" t="s">
        <v>72</v>
      </c>
    </row>
    <row r="2926" customFormat="false" ht="15" hidden="false" customHeight="false" outlineLevel="0" collapsed="false">
      <c r="A2926" s="15" t="s">
        <v>17956</v>
      </c>
      <c r="B2926" s="15" t="s">
        <v>18443</v>
      </c>
      <c r="C2926" s="14" t="s">
        <v>18479</v>
      </c>
      <c r="D2926" s="14" t="s">
        <v>18480</v>
      </c>
      <c r="E2926" s="16" t="s">
        <v>18481</v>
      </c>
      <c r="F2926" s="16"/>
      <c r="G2926" s="23" t="s">
        <v>43</v>
      </c>
      <c r="H2926" s="18" t="n">
        <v>4</v>
      </c>
      <c r="I2926" s="20" t="n">
        <v>66.31</v>
      </c>
      <c r="J2926" s="20" t="n">
        <v>92.4</v>
      </c>
      <c r="K2926" s="18" t="n">
        <v>2</v>
      </c>
      <c r="L2926" s="18" t="n">
        <v>1</v>
      </c>
      <c r="M2926" s="18" t="n">
        <v>30</v>
      </c>
      <c r="N2926" s="18" t="n">
        <v>30</v>
      </c>
      <c r="O2926" s="14" t="s">
        <v>1088</v>
      </c>
      <c r="P2926" s="14" t="s">
        <v>84</v>
      </c>
      <c r="Q2926" s="15" t="s">
        <v>1089</v>
      </c>
      <c r="R2926" s="16" t="s">
        <v>12887</v>
      </c>
      <c r="S2926" s="15" t="s">
        <v>18482</v>
      </c>
      <c r="T2926" s="15" t="s">
        <v>18482</v>
      </c>
      <c r="U2926" s="21" t="s">
        <v>72</v>
      </c>
    </row>
    <row r="2927" customFormat="false" ht="15" hidden="false" customHeight="false" outlineLevel="0" collapsed="false">
      <c r="A2927" s="15" t="s">
        <v>17956</v>
      </c>
      <c r="B2927" s="15" t="s">
        <v>18443</v>
      </c>
      <c r="C2927" s="14" t="s">
        <v>18483</v>
      </c>
      <c r="D2927" s="14" t="s">
        <v>18484</v>
      </c>
      <c r="E2927" s="16" t="s">
        <v>18485</v>
      </c>
      <c r="F2927" s="16" t="s">
        <v>18486</v>
      </c>
      <c r="G2927" s="23" t="s">
        <v>43</v>
      </c>
      <c r="H2927" s="18" t="n">
        <v>2</v>
      </c>
      <c r="I2927" s="20" t="n">
        <v>61.24</v>
      </c>
      <c r="J2927" s="20" t="n">
        <v>75.93</v>
      </c>
      <c r="K2927" s="18" t="n">
        <v>7</v>
      </c>
      <c r="L2927" s="18" t="n">
        <v>4</v>
      </c>
      <c r="M2927" s="18" t="n">
        <v>105</v>
      </c>
      <c r="N2927" s="18" t="n">
        <v>60</v>
      </c>
      <c r="O2927" s="14" t="s">
        <v>18487</v>
      </c>
      <c r="P2927" s="14" t="s">
        <v>84</v>
      </c>
      <c r="Q2927" s="15" t="s">
        <v>1089</v>
      </c>
      <c r="R2927" s="16" t="s">
        <v>18488</v>
      </c>
      <c r="S2927" s="15" t="s">
        <v>18489</v>
      </c>
      <c r="T2927" s="15" t="s">
        <v>18490</v>
      </c>
      <c r="U2927" s="21" t="s">
        <v>72</v>
      </c>
    </row>
    <row r="2928" customFormat="false" ht="15" hidden="false" customHeight="false" outlineLevel="0" collapsed="false">
      <c r="A2928" s="15" t="s">
        <v>17956</v>
      </c>
      <c r="B2928" s="15" t="s">
        <v>18443</v>
      </c>
      <c r="C2928" s="14" t="s">
        <v>18491</v>
      </c>
      <c r="D2928" s="14" t="s">
        <v>18492</v>
      </c>
      <c r="E2928" s="16" t="s">
        <v>18493</v>
      </c>
      <c r="F2928" s="16" t="s">
        <v>18494</v>
      </c>
      <c r="G2928" s="19" t="s">
        <v>41</v>
      </c>
      <c r="H2928" s="18" t="n">
        <v>5</v>
      </c>
      <c r="I2928" s="20" t="n">
        <v>138.73</v>
      </c>
      <c r="J2928" s="20" t="n">
        <v>164.5</v>
      </c>
      <c r="K2928" s="18" t="n">
        <v>10</v>
      </c>
      <c r="L2928" s="18" t="n">
        <v>6</v>
      </c>
      <c r="M2928" s="18" t="n">
        <v>257</v>
      </c>
      <c r="N2928" s="18" t="n">
        <v>201</v>
      </c>
      <c r="O2928" s="14" t="s">
        <v>6448</v>
      </c>
      <c r="P2928" s="14" t="s">
        <v>84</v>
      </c>
      <c r="Q2928" s="15" t="s">
        <v>1089</v>
      </c>
      <c r="R2928" s="16" t="s">
        <v>18495</v>
      </c>
      <c r="S2928" s="15" t="s">
        <v>18496</v>
      </c>
      <c r="T2928" s="15" t="s">
        <v>18496</v>
      </c>
      <c r="U2928" s="21" t="s">
        <v>72</v>
      </c>
    </row>
    <row r="2929" customFormat="false" ht="15" hidden="false" customHeight="false" outlineLevel="0" collapsed="false">
      <c r="A2929" s="15" t="s">
        <v>17956</v>
      </c>
      <c r="B2929" s="15" t="s">
        <v>18443</v>
      </c>
      <c r="C2929" s="14" t="s">
        <v>18497</v>
      </c>
      <c r="D2929" s="14" t="s">
        <v>18498</v>
      </c>
      <c r="E2929" s="16" t="s">
        <v>18499</v>
      </c>
      <c r="F2929" s="16" t="s">
        <v>18500</v>
      </c>
      <c r="G2929" s="23" t="s">
        <v>43</v>
      </c>
      <c r="H2929" s="18" t="n">
        <v>1</v>
      </c>
      <c r="I2929" s="20" t="n">
        <v>51.36</v>
      </c>
      <c r="J2929" s="20" t="n">
        <v>75.63</v>
      </c>
      <c r="K2929" s="18" t="n">
        <v>3</v>
      </c>
      <c r="L2929" s="18" t="n">
        <v>1</v>
      </c>
      <c r="M2929" s="18" t="n">
        <v>45</v>
      </c>
      <c r="N2929" s="18" t="n">
        <v>45</v>
      </c>
      <c r="O2929" s="14" t="s">
        <v>1126</v>
      </c>
      <c r="P2929" s="14" t="s">
        <v>84</v>
      </c>
      <c r="Q2929" s="15" t="s">
        <v>1089</v>
      </c>
      <c r="R2929" s="16" t="s">
        <v>18501</v>
      </c>
      <c r="S2929" s="15" t="s">
        <v>18502</v>
      </c>
      <c r="T2929" s="15" t="s">
        <v>18503</v>
      </c>
      <c r="U2929" s="21" t="s">
        <v>72</v>
      </c>
    </row>
    <row r="2930" customFormat="false" ht="15" hidden="false" customHeight="false" outlineLevel="0" collapsed="false">
      <c r="A2930" s="15" t="s">
        <v>17956</v>
      </c>
      <c r="B2930" s="15" t="s">
        <v>18443</v>
      </c>
      <c r="C2930" s="14" t="s">
        <v>18504</v>
      </c>
      <c r="D2930" s="14" t="s">
        <v>18505</v>
      </c>
      <c r="E2930" s="16" t="s">
        <v>18506</v>
      </c>
      <c r="F2930" s="16"/>
      <c r="G2930" s="23" t="s">
        <v>43</v>
      </c>
      <c r="H2930" s="18" t="n">
        <v>2</v>
      </c>
      <c r="I2930" s="20" t="n">
        <v>39.18</v>
      </c>
      <c r="J2930" s="20" t="n">
        <v>78.36</v>
      </c>
      <c r="K2930" s="18" t="n">
        <v>2</v>
      </c>
      <c r="L2930" s="18" t="n">
        <v>3</v>
      </c>
      <c r="M2930" s="18" t="n">
        <v>30</v>
      </c>
      <c r="N2930" s="18" t="n">
        <v>30</v>
      </c>
      <c r="O2930" s="14" t="s">
        <v>1097</v>
      </c>
      <c r="P2930" s="14" t="s">
        <v>84</v>
      </c>
      <c r="Q2930" s="15" t="s">
        <v>1089</v>
      </c>
      <c r="R2930" s="16" t="s">
        <v>18507</v>
      </c>
      <c r="S2930" s="15" t="s">
        <v>18508</v>
      </c>
      <c r="T2930" s="15" t="s">
        <v>18508</v>
      </c>
      <c r="U2930" s="21" t="s">
        <v>72</v>
      </c>
    </row>
    <row r="2931" customFormat="false" ht="15" hidden="false" customHeight="false" outlineLevel="0" collapsed="false">
      <c r="A2931" s="15" t="s">
        <v>17956</v>
      </c>
      <c r="B2931" s="15" t="s">
        <v>18443</v>
      </c>
      <c r="C2931" s="14" t="s">
        <v>18509</v>
      </c>
      <c r="D2931" s="14" t="s">
        <v>18510</v>
      </c>
      <c r="E2931" s="16" t="s">
        <v>18511</v>
      </c>
      <c r="F2931" s="16"/>
      <c r="G2931" s="23" t="s">
        <v>43</v>
      </c>
      <c r="H2931" s="18" t="n">
        <v>3</v>
      </c>
      <c r="I2931" s="20" t="n">
        <v>72.35</v>
      </c>
      <c r="J2931" s="20" t="n">
        <v>72.35</v>
      </c>
      <c r="K2931" s="18" t="n">
        <v>2</v>
      </c>
      <c r="L2931" s="18" t="n">
        <v>1</v>
      </c>
      <c r="M2931" s="18" t="n">
        <v>20</v>
      </c>
      <c r="N2931" s="18" t="n">
        <v>20</v>
      </c>
      <c r="O2931" s="14" t="s">
        <v>1126</v>
      </c>
      <c r="P2931" s="14" t="s">
        <v>84</v>
      </c>
      <c r="Q2931" s="15" t="s">
        <v>1089</v>
      </c>
      <c r="R2931" s="16" t="s">
        <v>5630</v>
      </c>
      <c r="S2931" s="15" t="s">
        <v>18512</v>
      </c>
      <c r="T2931" s="15" t="s">
        <v>18513</v>
      </c>
      <c r="U2931" s="21" t="s">
        <v>72</v>
      </c>
    </row>
    <row r="2932" customFormat="false" ht="15" hidden="false" customHeight="false" outlineLevel="0" collapsed="false">
      <c r="A2932" s="15" t="s">
        <v>17956</v>
      </c>
      <c r="B2932" s="15" t="s">
        <v>18443</v>
      </c>
      <c r="C2932" s="14" t="s">
        <v>18514</v>
      </c>
      <c r="D2932" s="14" t="s">
        <v>18515</v>
      </c>
      <c r="E2932" s="16" t="s">
        <v>18516</v>
      </c>
      <c r="F2932" s="16" t="s">
        <v>18517</v>
      </c>
      <c r="G2932" s="23" t="s">
        <v>43</v>
      </c>
      <c r="H2932" s="18" t="n">
        <v>2</v>
      </c>
      <c r="I2932" s="20" t="n">
        <v>49.77</v>
      </c>
      <c r="J2932" s="20" t="n">
        <v>127.82</v>
      </c>
      <c r="K2932" s="18" t="n">
        <v>1</v>
      </c>
      <c r="L2932" s="18" t="n">
        <v>2</v>
      </c>
      <c r="M2932" s="18" t="n">
        <v>26</v>
      </c>
      <c r="N2932" s="18" t="n">
        <v>26</v>
      </c>
      <c r="O2932" s="14" t="s">
        <v>1126</v>
      </c>
      <c r="P2932" s="14" t="s">
        <v>84</v>
      </c>
      <c r="Q2932" s="15" t="s">
        <v>1089</v>
      </c>
      <c r="R2932" s="16" t="s">
        <v>18518</v>
      </c>
      <c r="S2932" s="15" t="s">
        <v>18519</v>
      </c>
      <c r="T2932" s="15" t="s">
        <v>18520</v>
      </c>
      <c r="U2932" s="21" t="s">
        <v>72</v>
      </c>
    </row>
    <row r="2933" customFormat="false" ht="15" hidden="false" customHeight="false" outlineLevel="0" collapsed="false">
      <c r="A2933" s="15" t="s">
        <v>17956</v>
      </c>
      <c r="B2933" s="15" t="s">
        <v>18443</v>
      </c>
      <c r="C2933" s="14" t="s">
        <v>18521</v>
      </c>
      <c r="D2933" s="14" t="s">
        <v>18522</v>
      </c>
      <c r="E2933" s="16" t="s">
        <v>18523</v>
      </c>
      <c r="F2933" s="16" t="s">
        <v>18524</v>
      </c>
      <c r="G2933" s="23" t="s">
        <v>43</v>
      </c>
      <c r="H2933" s="18" t="n">
        <v>2</v>
      </c>
      <c r="I2933" s="20" t="n">
        <v>47.72</v>
      </c>
      <c r="J2933" s="20" t="n">
        <v>106.4</v>
      </c>
      <c r="K2933" s="18" t="n">
        <v>3</v>
      </c>
      <c r="L2933" s="18" t="n">
        <v>4</v>
      </c>
      <c r="M2933" s="18" t="n">
        <v>45</v>
      </c>
      <c r="N2933" s="18" t="n">
        <v>30</v>
      </c>
      <c r="O2933" s="14" t="s">
        <v>1097</v>
      </c>
      <c r="P2933" s="14" t="s">
        <v>118</v>
      </c>
      <c r="Q2933" s="15" t="s">
        <v>1089</v>
      </c>
      <c r="R2933" s="16" t="s">
        <v>18525</v>
      </c>
      <c r="S2933" s="15" t="s">
        <v>18526</v>
      </c>
      <c r="T2933" s="15" t="s">
        <v>18527</v>
      </c>
      <c r="U2933" s="21" t="s">
        <v>72</v>
      </c>
    </row>
    <row r="2934" customFormat="false" ht="15" hidden="false" customHeight="false" outlineLevel="0" collapsed="false">
      <c r="A2934" s="15" t="s">
        <v>17956</v>
      </c>
      <c r="B2934" s="15" t="s">
        <v>18443</v>
      </c>
      <c r="C2934" s="14" t="s">
        <v>18528</v>
      </c>
      <c r="D2934" s="14" t="s">
        <v>18529</v>
      </c>
      <c r="E2934" s="16" t="s">
        <v>18530</v>
      </c>
      <c r="F2934" s="16" t="s">
        <v>18531</v>
      </c>
      <c r="G2934" s="23" t="s">
        <v>43</v>
      </c>
      <c r="H2934" s="18" t="n">
        <v>3</v>
      </c>
      <c r="I2934" s="20" t="n">
        <v>73.7</v>
      </c>
      <c r="J2934" s="20" t="n">
        <v>95.22</v>
      </c>
      <c r="K2934" s="18" t="n">
        <v>6</v>
      </c>
      <c r="L2934" s="18" t="n">
        <v>2</v>
      </c>
      <c r="M2934" s="18" t="n">
        <v>90</v>
      </c>
      <c r="N2934" s="18" t="n">
        <v>45</v>
      </c>
      <c r="O2934" s="14" t="s">
        <v>6448</v>
      </c>
      <c r="P2934" s="14" t="s">
        <v>84</v>
      </c>
      <c r="Q2934" s="15" t="s">
        <v>1089</v>
      </c>
      <c r="R2934" s="16" t="s">
        <v>18532</v>
      </c>
      <c r="S2934" s="15" t="s">
        <v>18533</v>
      </c>
      <c r="T2934" s="15" t="s">
        <v>18533</v>
      </c>
      <c r="U2934" s="21" t="s">
        <v>72</v>
      </c>
    </row>
    <row r="2935" customFormat="false" ht="15" hidden="false" customHeight="false" outlineLevel="0" collapsed="false">
      <c r="A2935" s="15" t="s">
        <v>17956</v>
      </c>
      <c r="B2935" s="15" t="s">
        <v>18534</v>
      </c>
      <c r="C2935" s="14" t="s">
        <v>18535</v>
      </c>
      <c r="D2935" s="14" t="s">
        <v>18536</v>
      </c>
      <c r="E2935" s="16" t="s">
        <v>18537</v>
      </c>
      <c r="F2935" s="16" t="s">
        <v>18538</v>
      </c>
      <c r="G2935" s="23" t="s">
        <v>43</v>
      </c>
      <c r="H2935" s="18" t="n">
        <v>4</v>
      </c>
      <c r="I2935" s="20" t="n">
        <v>81.1</v>
      </c>
      <c r="J2935" s="20" t="n">
        <v>184.5</v>
      </c>
      <c r="K2935" s="18" t="n">
        <v>3</v>
      </c>
      <c r="L2935" s="18" t="n">
        <v>9</v>
      </c>
      <c r="M2935" s="18" t="n">
        <v>45</v>
      </c>
      <c r="N2935" s="18" t="n">
        <v>30</v>
      </c>
      <c r="O2935" s="14" t="s">
        <v>1126</v>
      </c>
      <c r="P2935" s="14" t="s">
        <v>84</v>
      </c>
      <c r="Q2935" s="15" t="s">
        <v>1089</v>
      </c>
      <c r="R2935" s="16" t="s">
        <v>18539</v>
      </c>
      <c r="S2935" s="15" t="s">
        <v>18540</v>
      </c>
      <c r="T2935" s="15" t="s">
        <v>18541</v>
      </c>
      <c r="U2935" s="21" t="s">
        <v>72</v>
      </c>
    </row>
    <row r="2936" customFormat="false" ht="15" hidden="false" customHeight="false" outlineLevel="0" collapsed="false">
      <c r="A2936" s="15" t="s">
        <v>17956</v>
      </c>
      <c r="B2936" s="15" t="s">
        <v>18534</v>
      </c>
      <c r="C2936" s="14" t="s">
        <v>18542</v>
      </c>
      <c r="D2936" s="14" t="s">
        <v>18543</v>
      </c>
      <c r="E2936" s="16" t="s">
        <v>18537</v>
      </c>
      <c r="F2936" s="16" t="s">
        <v>18538</v>
      </c>
      <c r="G2936" s="23" t="s">
        <v>43</v>
      </c>
      <c r="H2936" s="18" t="n">
        <v>2</v>
      </c>
      <c r="I2936" s="20" t="n">
        <v>73.05</v>
      </c>
      <c r="J2936" s="20" t="n">
        <v>94.4</v>
      </c>
      <c r="K2936" s="18" t="n">
        <v>2</v>
      </c>
      <c r="L2936" s="18" t="n">
        <v>2</v>
      </c>
      <c r="M2936" s="18" t="n">
        <v>30</v>
      </c>
      <c r="N2936" s="18" t="n">
        <v>30</v>
      </c>
      <c r="O2936" s="14" t="s">
        <v>1126</v>
      </c>
      <c r="P2936" s="14" t="s">
        <v>118</v>
      </c>
      <c r="Q2936" s="15" t="s">
        <v>1089</v>
      </c>
      <c r="R2936" s="16" t="s">
        <v>18544</v>
      </c>
      <c r="S2936" s="15" t="s">
        <v>18540</v>
      </c>
      <c r="T2936" s="15" t="s">
        <v>18540</v>
      </c>
      <c r="U2936" s="21" t="s">
        <v>72</v>
      </c>
    </row>
    <row r="2937" customFormat="false" ht="15" hidden="false" customHeight="false" outlineLevel="0" collapsed="false">
      <c r="A2937" s="15" t="s">
        <v>17956</v>
      </c>
      <c r="B2937" s="15" t="s">
        <v>18534</v>
      </c>
      <c r="C2937" s="14" t="s">
        <v>18545</v>
      </c>
      <c r="D2937" s="14" t="s">
        <v>18546</v>
      </c>
      <c r="E2937" s="16" t="s">
        <v>18547</v>
      </c>
      <c r="F2937" s="16" t="s">
        <v>18548</v>
      </c>
      <c r="G2937" s="19" t="s">
        <v>41</v>
      </c>
      <c r="H2937" s="18" t="n">
        <v>2</v>
      </c>
      <c r="I2937" s="20" t="n">
        <v>43.68</v>
      </c>
      <c r="J2937" s="20" t="n">
        <v>207.15</v>
      </c>
      <c r="K2937" s="18" t="n">
        <v>2</v>
      </c>
      <c r="L2937" s="18" t="n">
        <v>6</v>
      </c>
      <c r="M2937" s="18" t="n">
        <v>28</v>
      </c>
      <c r="N2937" s="18" t="n">
        <v>28</v>
      </c>
      <c r="O2937" s="14" t="s">
        <v>1126</v>
      </c>
      <c r="P2937" s="14" t="s">
        <v>84</v>
      </c>
      <c r="Q2937" s="15" t="s">
        <v>1089</v>
      </c>
      <c r="R2937" s="16" t="s">
        <v>7917</v>
      </c>
      <c r="S2937" s="15" t="s">
        <v>18549</v>
      </c>
      <c r="T2937" s="15" t="s">
        <v>10566</v>
      </c>
      <c r="U2937" s="21" t="s">
        <v>72</v>
      </c>
    </row>
    <row r="2938" customFormat="false" ht="15" hidden="false" customHeight="false" outlineLevel="0" collapsed="false">
      <c r="A2938" s="15" t="s">
        <v>17956</v>
      </c>
      <c r="B2938" s="15" t="s">
        <v>18550</v>
      </c>
      <c r="C2938" s="14" t="s">
        <v>18551</v>
      </c>
      <c r="D2938" s="14" t="s">
        <v>18552</v>
      </c>
      <c r="E2938" s="16" t="s">
        <v>18553</v>
      </c>
      <c r="F2938" s="16" t="s">
        <v>18554</v>
      </c>
      <c r="G2938" s="23" t="s">
        <v>43</v>
      </c>
      <c r="H2938" s="18" t="n">
        <v>2</v>
      </c>
      <c r="I2938" s="20" t="n">
        <v>40</v>
      </c>
      <c r="J2938" s="20" t="n">
        <v>98.58</v>
      </c>
      <c r="K2938" s="18" t="n">
        <v>3</v>
      </c>
      <c r="L2938" s="18" t="n">
        <v>2</v>
      </c>
      <c r="M2938" s="18" t="n">
        <v>60</v>
      </c>
      <c r="N2938" s="18" t="n">
        <v>60</v>
      </c>
      <c r="O2938" s="14" t="s">
        <v>1126</v>
      </c>
      <c r="P2938" s="14" t="s">
        <v>84</v>
      </c>
      <c r="Q2938" s="15" t="s">
        <v>1089</v>
      </c>
      <c r="R2938" s="16" t="s">
        <v>18555</v>
      </c>
      <c r="S2938" s="15" t="s">
        <v>18556</v>
      </c>
      <c r="T2938" s="15" t="s">
        <v>18557</v>
      </c>
      <c r="U2938" s="21" t="s">
        <v>72</v>
      </c>
    </row>
    <row r="2939" customFormat="false" ht="15" hidden="false" customHeight="false" outlineLevel="0" collapsed="false">
      <c r="A2939" s="15" t="s">
        <v>17956</v>
      </c>
      <c r="B2939" s="15" t="s">
        <v>18550</v>
      </c>
      <c r="C2939" s="14" t="s">
        <v>18558</v>
      </c>
      <c r="D2939" s="14" t="s">
        <v>18559</v>
      </c>
      <c r="E2939" s="16" t="s">
        <v>18560</v>
      </c>
      <c r="F2939" s="16" t="s">
        <v>18561</v>
      </c>
      <c r="G2939" s="25" t="s">
        <v>39</v>
      </c>
      <c r="H2939" s="18" t="n">
        <v>8</v>
      </c>
      <c r="I2939" s="20" t="n">
        <v>210.16</v>
      </c>
      <c r="J2939" s="20" t="n">
        <v>325.66</v>
      </c>
      <c r="K2939" s="18" t="n">
        <v>8</v>
      </c>
      <c r="L2939" s="18" t="n">
        <v>3</v>
      </c>
      <c r="M2939" s="18" t="n">
        <v>157</v>
      </c>
      <c r="N2939" s="18" t="n">
        <v>93</v>
      </c>
      <c r="O2939" s="14" t="s">
        <v>9118</v>
      </c>
      <c r="P2939" s="14" t="s">
        <v>94</v>
      </c>
      <c r="Q2939" s="15" t="s">
        <v>1089</v>
      </c>
      <c r="R2939" s="16" t="s">
        <v>18562</v>
      </c>
      <c r="S2939" s="15" t="s">
        <v>18563</v>
      </c>
      <c r="T2939" s="15" t="s">
        <v>18564</v>
      </c>
      <c r="U2939" s="21" t="s">
        <v>72</v>
      </c>
    </row>
    <row r="2940" customFormat="false" ht="15" hidden="false" customHeight="false" outlineLevel="0" collapsed="false">
      <c r="A2940" s="15" t="s">
        <v>17956</v>
      </c>
      <c r="B2940" s="15" t="s">
        <v>18550</v>
      </c>
      <c r="C2940" s="14" t="s">
        <v>18565</v>
      </c>
      <c r="D2940" s="14" t="s">
        <v>18566</v>
      </c>
      <c r="E2940" s="16" t="s">
        <v>18567</v>
      </c>
      <c r="F2940" s="16" t="s">
        <v>18568</v>
      </c>
      <c r="G2940" s="25" t="s">
        <v>39</v>
      </c>
      <c r="H2940" s="18" t="n">
        <v>6</v>
      </c>
      <c r="I2940" s="20" t="n">
        <v>324.54</v>
      </c>
      <c r="J2940" s="20" t="n">
        <v>881.87</v>
      </c>
      <c r="K2940" s="18" t="n">
        <v>10</v>
      </c>
      <c r="L2940" s="18" t="n">
        <v>4</v>
      </c>
      <c r="M2940" s="18" t="n">
        <v>345</v>
      </c>
      <c r="N2940" s="18" t="n">
        <v>315</v>
      </c>
      <c r="O2940" s="14" t="s">
        <v>1097</v>
      </c>
      <c r="P2940" s="14" t="s">
        <v>202</v>
      </c>
      <c r="Q2940" s="15" t="s">
        <v>1089</v>
      </c>
      <c r="R2940" s="16" t="s">
        <v>18569</v>
      </c>
      <c r="S2940" s="15" t="s">
        <v>18570</v>
      </c>
      <c r="T2940" s="15" t="s">
        <v>18570</v>
      </c>
      <c r="U2940" s="21" t="s">
        <v>72</v>
      </c>
    </row>
    <row r="2941" customFormat="false" ht="15" hidden="false" customHeight="false" outlineLevel="0" collapsed="false">
      <c r="A2941" s="15" t="s">
        <v>17956</v>
      </c>
      <c r="B2941" s="15" t="s">
        <v>18550</v>
      </c>
      <c r="C2941" s="14" t="s">
        <v>18571</v>
      </c>
      <c r="D2941" s="14" t="s">
        <v>18572</v>
      </c>
      <c r="E2941" s="16" t="s">
        <v>18573</v>
      </c>
      <c r="F2941" s="16" t="s">
        <v>18574</v>
      </c>
      <c r="G2941" s="23" t="s">
        <v>43</v>
      </c>
      <c r="H2941" s="18" t="n">
        <v>2</v>
      </c>
      <c r="I2941" s="20" t="n">
        <v>111.88</v>
      </c>
      <c r="J2941" s="20" t="n">
        <v>111.88</v>
      </c>
      <c r="K2941" s="18" t="n">
        <v>2</v>
      </c>
      <c r="L2941" s="18" t="n">
        <v>1</v>
      </c>
      <c r="M2941" s="18" t="n">
        <v>24</v>
      </c>
      <c r="N2941" s="18" t="n">
        <v>24</v>
      </c>
      <c r="O2941" s="14" t="s">
        <v>1088</v>
      </c>
      <c r="P2941" s="14" t="s">
        <v>84</v>
      </c>
      <c r="Q2941" s="15" t="s">
        <v>1089</v>
      </c>
      <c r="R2941" s="16" t="s">
        <v>18575</v>
      </c>
      <c r="S2941" s="15" t="s">
        <v>18576</v>
      </c>
      <c r="T2941" s="15" t="s">
        <v>18576</v>
      </c>
      <c r="U2941" s="21" t="s">
        <v>72</v>
      </c>
    </row>
    <row r="2942" customFormat="false" ht="15" hidden="false" customHeight="false" outlineLevel="0" collapsed="false">
      <c r="A2942" s="15" t="s">
        <v>17956</v>
      </c>
      <c r="B2942" s="15" t="s">
        <v>18550</v>
      </c>
      <c r="C2942" s="14" t="s">
        <v>18577</v>
      </c>
      <c r="D2942" s="14" t="s">
        <v>18578</v>
      </c>
      <c r="E2942" s="16" t="s">
        <v>18579</v>
      </c>
      <c r="F2942" s="16" t="s">
        <v>18580</v>
      </c>
      <c r="G2942" s="23" t="s">
        <v>43</v>
      </c>
      <c r="H2942" s="18" t="n">
        <v>3</v>
      </c>
      <c r="I2942" s="20" t="n">
        <v>68.1</v>
      </c>
      <c r="J2942" s="20" t="n">
        <v>143.24</v>
      </c>
      <c r="K2942" s="18" t="n">
        <v>8</v>
      </c>
      <c r="L2942" s="18" t="n">
        <v>6</v>
      </c>
      <c r="M2942" s="18" t="n">
        <v>110</v>
      </c>
      <c r="N2942" s="18" t="n">
        <v>60</v>
      </c>
      <c r="O2942" s="14" t="s">
        <v>3724</v>
      </c>
      <c r="P2942" s="14" t="s">
        <v>84</v>
      </c>
      <c r="Q2942" s="15" t="s">
        <v>1089</v>
      </c>
      <c r="R2942" s="16" t="s">
        <v>12962</v>
      </c>
      <c r="S2942" s="15" t="s">
        <v>18581</v>
      </c>
      <c r="T2942" s="15" t="s">
        <v>18582</v>
      </c>
      <c r="U2942" s="21" t="s">
        <v>72</v>
      </c>
    </row>
    <row r="2943" customFormat="false" ht="15" hidden="false" customHeight="false" outlineLevel="0" collapsed="false">
      <c r="A2943" s="15" t="s">
        <v>17956</v>
      </c>
      <c r="B2943" s="15" t="s">
        <v>18550</v>
      </c>
      <c r="C2943" s="14" t="s">
        <v>18583</v>
      </c>
      <c r="D2943" s="14" t="s">
        <v>18584</v>
      </c>
      <c r="E2943" s="16" t="s">
        <v>18585</v>
      </c>
      <c r="F2943" s="16" t="s">
        <v>18586</v>
      </c>
      <c r="G2943" s="23" t="s">
        <v>43</v>
      </c>
      <c r="H2943" s="18" t="n">
        <v>2</v>
      </c>
      <c r="I2943" s="20" t="n">
        <v>97.36</v>
      </c>
      <c r="J2943" s="20" t="n">
        <v>190.12</v>
      </c>
      <c r="K2943" s="18" t="n">
        <v>3</v>
      </c>
      <c r="L2943" s="18" t="n">
        <v>4</v>
      </c>
      <c r="M2943" s="18" t="n">
        <v>120</v>
      </c>
      <c r="N2943" s="18" t="n">
        <v>120</v>
      </c>
      <c r="O2943" s="14" t="s">
        <v>1126</v>
      </c>
      <c r="P2943" s="14" t="s">
        <v>84</v>
      </c>
      <c r="Q2943" s="15" t="s">
        <v>1089</v>
      </c>
      <c r="R2943" s="16" t="s">
        <v>18587</v>
      </c>
      <c r="S2943" s="15" t="s">
        <v>18588</v>
      </c>
      <c r="T2943" s="15" t="s">
        <v>18588</v>
      </c>
      <c r="U2943" s="21" t="s">
        <v>72</v>
      </c>
    </row>
    <row r="2944" customFormat="false" ht="39.55" hidden="false" customHeight="false" outlineLevel="0" collapsed="false">
      <c r="A2944" s="15" t="s">
        <v>17956</v>
      </c>
      <c r="B2944" s="15" t="s">
        <v>18550</v>
      </c>
      <c r="C2944" s="14" t="s">
        <v>18589</v>
      </c>
      <c r="D2944" s="14" t="s">
        <v>18590</v>
      </c>
      <c r="E2944" s="16" t="s">
        <v>18591</v>
      </c>
      <c r="F2944" s="16" t="s">
        <v>18592</v>
      </c>
      <c r="G2944" s="19" t="s">
        <v>41</v>
      </c>
      <c r="H2944" s="18" t="n">
        <v>7</v>
      </c>
      <c r="I2944" s="20" t="n">
        <v>145.47</v>
      </c>
      <c r="J2944" s="20" t="n">
        <v>268.44</v>
      </c>
      <c r="K2944" s="18" t="n">
        <v>5</v>
      </c>
      <c r="L2944" s="18" t="n">
        <v>3</v>
      </c>
      <c r="M2944" s="18" t="n">
        <v>75</v>
      </c>
      <c r="N2944" s="18" t="n">
        <v>15</v>
      </c>
      <c r="O2944" s="14" t="s">
        <v>1126</v>
      </c>
      <c r="P2944" s="14" t="s">
        <v>4490</v>
      </c>
      <c r="Q2944" s="15" t="s">
        <v>1089</v>
      </c>
      <c r="R2944" s="16" t="s">
        <v>6532</v>
      </c>
      <c r="S2944" s="15" t="s">
        <v>18593</v>
      </c>
      <c r="T2944" s="15" t="s">
        <v>18593</v>
      </c>
      <c r="U2944" s="21" t="s">
        <v>72</v>
      </c>
    </row>
    <row r="2945" customFormat="false" ht="15" hidden="false" customHeight="false" outlineLevel="0" collapsed="false">
      <c r="A2945" s="15" t="s">
        <v>17956</v>
      </c>
      <c r="B2945" s="15" t="s">
        <v>18550</v>
      </c>
      <c r="C2945" s="14" t="s">
        <v>18594</v>
      </c>
      <c r="D2945" s="14" t="s">
        <v>18595</v>
      </c>
      <c r="E2945" s="16" t="s">
        <v>18596</v>
      </c>
      <c r="F2945" s="16" t="s">
        <v>18597</v>
      </c>
      <c r="G2945" s="23" t="s">
        <v>43</v>
      </c>
      <c r="H2945" s="18" t="n">
        <v>4</v>
      </c>
      <c r="I2945" s="20" t="n">
        <v>120.99</v>
      </c>
      <c r="J2945" s="20" t="n">
        <v>141.45</v>
      </c>
      <c r="K2945" s="18" t="n">
        <v>4</v>
      </c>
      <c r="L2945" s="18" t="n">
        <v>1</v>
      </c>
      <c r="M2945" s="18" t="n">
        <v>80</v>
      </c>
      <c r="N2945" s="18" t="n">
        <v>80</v>
      </c>
      <c r="O2945" s="14" t="s">
        <v>9118</v>
      </c>
      <c r="P2945" s="14" t="s">
        <v>84</v>
      </c>
      <c r="Q2945" s="15" t="s">
        <v>1089</v>
      </c>
      <c r="R2945" s="16" t="s">
        <v>18598</v>
      </c>
      <c r="S2945" s="15" t="s">
        <v>18599</v>
      </c>
      <c r="T2945" s="15" t="s">
        <v>18599</v>
      </c>
      <c r="U2945" s="21" t="s">
        <v>72</v>
      </c>
    </row>
    <row r="2946" customFormat="false" ht="15" hidden="false" customHeight="false" outlineLevel="0" collapsed="false">
      <c r="A2946" s="15" t="s">
        <v>17956</v>
      </c>
      <c r="B2946" s="15" t="s">
        <v>18600</v>
      </c>
      <c r="C2946" s="14" t="s">
        <v>18601</v>
      </c>
      <c r="D2946" s="14" t="s">
        <v>18602</v>
      </c>
      <c r="E2946" s="16" t="s">
        <v>18603</v>
      </c>
      <c r="F2946" s="16"/>
      <c r="G2946" s="23" t="s">
        <v>43</v>
      </c>
      <c r="H2946" s="18" t="n">
        <v>3</v>
      </c>
      <c r="I2946" s="20" t="n">
        <v>56.18</v>
      </c>
      <c r="J2946" s="20" t="n">
        <v>89.82</v>
      </c>
      <c r="K2946" s="18" t="n">
        <v>7</v>
      </c>
      <c r="L2946" s="18" t="n">
        <v>1</v>
      </c>
      <c r="M2946" s="18" t="n">
        <v>70</v>
      </c>
      <c r="N2946" s="18" t="n">
        <v>40</v>
      </c>
      <c r="O2946" s="14" t="s">
        <v>9118</v>
      </c>
      <c r="P2946" s="14" t="s">
        <v>118</v>
      </c>
      <c r="Q2946" s="15" t="s">
        <v>1089</v>
      </c>
      <c r="R2946" s="16" t="s">
        <v>18604</v>
      </c>
      <c r="S2946" s="15" t="s">
        <v>18605</v>
      </c>
      <c r="T2946" s="15" t="s">
        <v>18605</v>
      </c>
      <c r="U2946" s="21" t="s">
        <v>72</v>
      </c>
    </row>
    <row r="2947" customFormat="false" ht="26.85" hidden="false" customHeight="false" outlineLevel="0" collapsed="false">
      <c r="A2947" s="15" t="s">
        <v>17956</v>
      </c>
      <c r="B2947" s="15" t="s">
        <v>18606</v>
      </c>
      <c r="C2947" s="14" t="s">
        <v>18607</v>
      </c>
      <c r="D2947" s="14" t="s">
        <v>18608</v>
      </c>
      <c r="E2947" s="16" t="s">
        <v>18609</v>
      </c>
      <c r="F2947" s="16" t="s">
        <v>18610</v>
      </c>
      <c r="G2947" s="23" t="s">
        <v>43</v>
      </c>
      <c r="H2947" s="18" t="n">
        <v>2</v>
      </c>
      <c r="I2947" s="20" t="n">
        <v>59.06</v>
      </c>
      <c r="J2947" s="20" t="n">
        <v>94.28</v>
      </c>
      <c r="K2947" s="18" t="n">
        <v>4</v>
      </c>
      <c r="L2947" s="18" t="n">
        <v>1</v>
      </c>
      <c r="M2947" s="18" t="n">
        <v>81</v>
      </c>
      <c r="N2947" s="18" t="n">
        <v>25</v>
      </c>
      <c r="O2947" s="14" t="s">
        <v>1126</v>
      </c>
      <c r="P2947" s="14" t="s">
        <v>1971</v>
      </c>
      <c r="Q2947" s="15" t="s">
        <v>1089</v>
      </c>
      <c r="R2947" s="16" t="s">
        <v>1186</v>
      </c>
      <c r="S2947" s="15" t="s">
        <v>18611</v>
      </c>
      <c r="T2947" s="15" t="s">
        <v>18612</v>
      </c>
      <c r="U2947" s="21" t="s">
        <v>72</v>
      </c>
    </row>
    <row r="2948" customFormat="false" ht="15" hidden="false" customHeight="false" outlineLevel="0" collapsed="false">
      <c r="A2948" s="15" t="s">
        <v>17956</v>
      </c>
      <c r="B2948" s="15" t="s">
        <v>18613</v>
      </c>
      <c r="C2948" s="14" t="s">
        <v>18614</v>
      </c>
      <c r="D2948" s="14" t="s">
        <v>18615</v>
      </c>
      <c r="E2948" s="16" t="s">
        <v>18616</v>
      </c>
      <c r="F2948" s="16" t="s">
        <v>18617</v>
      </c>
      <c r="G2948" s="23" t="s">
        <v>43</v>
      </c>
      <c r="H2948" s="18" t="n">
        <v>2</v>
      </c>
      <c r="I2948" s="20" t="n">
        <v>68.04</v>
      </c>
      <c r="J2948" s="20" t="n">
        <v>108.78</v>
      </c>
      <c r="K2948" s="18" t="n">
        <v>5</v>
      </c>
      <c r="L2948" s="18" t="n">
        <v>3</v>
      </c>
      <c r="M2948" s="18" t="n">
        <v>140</v>
      </c>
      <c r="N2948" s="18" t="n">
        <v>56</v>
      </c>
      <c r="O2948" s="14" t="s">
        <v>1088</v>
      </c>
      <c r="P2948" s="14" t="s">
        <v>118</v>
      </c>
      <c r="Q2948" s="15" t="s">
        <v>1089</v>
      </c>
      <c r="R2948" s="16" t="s">
        <v>18618</v>
      </c>
      <c r="S2948" s="15" t="s">
        <v>18619</v>
      </c>
      <c r="T2948" s="15" t="s">
        <v>18619</v>
      </c>
      <c r="U2948" s="21" t="s">
        <v>72</v>
      </c>
    </row>
    <row r="2949" customFormat="false" ht="15" hidden="false" customHeight="false" outlineLevel="0" collapsed="false">
      <c r="A2949" s="15" t="s">
        <v>17956</v>
      </c>
      <c r="B2949" s="15" t="s">
        <v>18620</v>
      </c>
      <c r="C2949" s="14" t="s">
        <v>18621</v>
      </c>
      <c r="D2949" s="14" t="s">
        <v>18622</v>
      </c>
      <c r="E2949" s="16" t="s">
        <v>18623</v>
      </c>
      <c r="F2949" s="16" t="s">
        <v>18624</v>
      </c>
      <c r="G2949" s="23" t="s">
        <v>43</v>
      </c>
      <c r="H2949" s="18" t="n">
        <v>3</v>
      </c>
      <c r="I2949" s="20" t="n">
        <v>171</v>
      </c>
      <c r="J2949" s="20" t="n">
        <v>171</v>
      </c>
      <c r="K2949" s="18" t="n">
        <v>2</v>
      </c>
      <c r="L2949" s="18" t="n">
        <v>2</v>
      </c>
      <c r="M2949" s="18" t="n">
        <v>30</v>
      </c>
      <c r="N2949" s="18" t="n">
        <v>30</v>
      </c>
      <c r="O2949" s="14" t="s">
        <v>3001</v>
      </c>
      <c r="P2949" s="14" t="s">
        <v>84</v>
      </c>
      <c r="Q2949" s="15" t="s">
        <v>1089</v>
      </c>
      <c r="R2949" s="16" t="s">
        <v>18625</v>
      </c>
      <c r="S2949" s="15" t="s">
        <v>18626</v>
      </c>
      <c r="T2949" s="15" t="s">
        <v>18626</v>
      </c>
      <c r="U2949" s="21" t="s">
        <v>72</v>
      </c>
    </row>
    <row r="2950" customFormat="false" ht="15" hidden="false" customHeight="false" outlineLevel="0" collapsed="false">
      <c r="A2950" s="15" t="s">
        <v>17956</v>
      </c>
      <c r="B2950" s="15" t="s">
        <v>18620</v>
      </c>
      <c r="C2950" s="14" t="s">
        <v>18627</v>
      </c>
      <c r="D2950" s="14" t="s">
        <v>18628</v>
      </c>
      <c r="E2950" s="16" t="s">
        <v>18629</v>
      </c>
      <c r="F2950" s="16" t="s">
        <v>18630</v>
      </c>
      <c r="G2950" s="23" t="s">
        <v>43</v>
      </c>
      <c r="H2950" s="18" t="n">
        <v>2</v>
      </c>
      <c r="I2950" s="20" t="n">
        <v>62.51</v>
      </c>
      <c r="J2950" s="20" t="n">
        <v>137.88</v>
      </c>
      <c r="K2950" s="18" t="n">
        <v>2</v>
      </c>
      <c r="L2950" s="18" t="n">
        <v>1</v>
      </c>
      <c r="M2950" s="18" t="n">
        <v>20</v>
      </c>
      <c r="N2950" s="18" t="n">
        <v>20</v>
      </c>
      <c r="O2950" s="14" t="s">
        <v>1088</v>
      </c>
      <c r="P2950" s="14" t="s">
        <v>118</v>
      </c>
      <c r="Q2950" s="15" t="s">
        <v>1089</v>
      </c>
      <c r="R2950" s="16" t="s">
        <v>10263</v>
      </c>
      <c r="S2950" s="15" t="s">
        <v>18631</v>
      </c>
      <c r="T2950" s="15" t="s">
        <v>18632</v>
      </c>
      <c r="U2950" s="21" t="s">
        <v>72</v>
      </c>
    </row>
    <row r="2951" customFormat="false" ht="15" hidden="false" customHeight="false" outlineLevel="0" collapsed="false">
      <c r="A2951" s="15" t="s">
        <v>17956</v>
      </c>
      <c r="B2951" s="15" t="s">
        <v>18620</v>
      </c>
      <c r="C2951" s="14" t="s">
        <v>18633</v>
      </c>
      <c r="D2951" s="14" t="s">
        <v>18634</v>
      </c>
      <c r="E2951" s="16" t="s">
        <v>18635</v>
      </c>
      <c r="F2951" s="16" t="s">
        <v>18636</v>
      </c>
      <c r="G2951" s="23" t="s">
        <v>43</v>
      </c>
      <c r="H2951" s="18" t="n">
        <v>3</v>
      </c>
      <c r="I2951" s="20" t="n">
        <v>89.96</v>
      </c>
      <c r="J2951" s="20" t="n">
        <v>89.96</v>
      </c>
      <c r="K2951" s="18" t="n">
        <v>2</v>
      </c>
      <c r="L2951" s="18" t="n">
        <v>5</v>
      </c>
      <c r="M2951" s="18" t="n">
        <v>57</v>
      </c>
      <c r="N2951" s="18" t="n">
        <v>27</v>
      </c>
      <c r="O2951" s="14" t="s">
        <v>1097</v>
      </c>
      <c r="P2951" s="14" t="s">
        <v>118</v>
      </c>
      <c r="Q2951" s="15" t="s">
        <v>1089</v>
      </c>
      <c r="R2951" s="16" t="s">
        <v>18637</v>
      </c>
      <c r="S2951" s="15" t="s">
        <v>18638</v>
      </c>
      <c r="T2951" s="15" t="s">
        <v>18638</v>
      </c>
      <c r="U2951" s="21" t="s">
        <v>72</v>
      </c>
    </row>
    <row r="2952" customFormat="false" ht="15" hidden="false" customHeight="false" outlineLevel="0" collapsed="false">
      <c r="A2952" s="15" t="s">
        <v>17956</v>
      </c>
      <c r="B2952" s="15" t="s">
        <v>18620</v>
      </c>
      <c r="C2952" s="14" t="s">
        <v>18639</v>
      </c>
      <c r="D2952" s="14" t="s">
        <v>18640</v>
      </c>
      <c r="E2952" s="16" t="s">
        <v>18641</v>
      </c>
      <c r="F2952" s="16"/>
      <c r="G2952" s="23" t="s">
        <v>43</v>
      </c>
      <c r="H2952" s="18" t="n">
        <v>2</v>
      </c>
      <c r="I2952" s="20" t="n">
        <v>72.25</v>
      </c>
      <c r="J2952" s="20" t="n">
        <v>88.15</v>
      </c>
      <c r="K2952" s="18" t="n">
        <v>2</v>
      </c>
      <c r="L2952" s="18" t="n">
        <v>1</v>
      </c>
      <c r="M2952" s="18" t="n">
        <v>30</v>
      </c>
      <c r="N2952" s="18" t="n">
        <v>30</v>
      </c>
      <c r="O2952" s="14" t="s">
        <v>1097</v>
      </c>
      <c r="P2952" s="14" t="s">
        <v>118</v>
      </c>
      <c r="Q2952" s="15" t="s">
        <v>1089</v>
      </c>
      <c r="R2952" s="16" t="s">
        <v>18642</v>
      </c>
      <c r="S2952" s="15" t="s">
        <v>18643</v>
      </c>
      <c r="T2952" s="15" t="s">
        <v>18643</v>
      </c>
      <c r="U2952" s="21" t="s">
        <v>72</v>
      </c>
    </row>
    <row r="2953" customFormat="false" ht="15" hidden="false" customHeight="false" outlineLevel="0" collapsed="false">
      <c r="A2953" s="15" t="s">
        <v>17956</v>
      </c>
      <c r="B2953" s="15" t="s">
        <v>18620</v>
      </c>
      <c r="C2953" s="14" t="s">
        <v>18644</v>
      </c>
      <c r="D2953" s="14" t="s">
        <v>18645</v>
      </c>
      <c r="E2953" s="16" t="s">
        <v>18646</v>
      </c>
      <c r="F2953" s="16"/>
      <c r="G2953" s="23" t="s">
        <v>43</v>
      </c>
      <c r="H2953" s="18" t="n">
        <v>2</v>
      </c>
      <c r="I2953" s="20" t="n">
        <v>76.78</v>
      </c>
      <c r="J2953" s="20" t="n">
        <v>99.56</v>
      </c>
      <c r="K2953" s="18" t="n">
        <v>1</v>
      </c>
      <c r="L2953" s="18" t="n">
        <v>2</v>
      </c>
      <c r="M2953" s="18" t="n">
        <v>22</v>
      </c>
      <c r="N2953" s="18" t="n">
        <v>22</v>
      </c>
      <c r="O2953" s="14" t="s">
        <v>1126</v>
      </c>
      <c r="P2953" s="14" t="s">
        <v>84</v>
      </c>
      <c r="Q2953" s="15" t="s">
        <v>1089</v>
      </c>
      <c r="R2953" s="16" t="s">
        <v>18647</v>
      </c>
      <c r="S2953" s="15" t="s">
        <v>18648</v>
      </c>
      <c r="T2953" s="15" t="s">
        <v>18648</v>
      </c>
      <c r="U2953" s="21" t="s">
        <v>72</v>
      </c>
    </row>
    <row r="2954" customFormat="false" ht="26.85" hidden="false" customHeight="false" outlineLevel="0" collapsed="false">
      <c r="A2954" s="15" t="s">
        <v>17956</v>
      </c>
      <c r="B2954" s="15" t="s">
        <v>18649</v>
      </c>
      <c r="C2954" s="14" t="s">
        <v>18650</v>
      </c>
      <c r="D2954" s="14" t="s">
        <v>18651</v>
      </c>
      <c r="E2954" s="16" t="s">
        <v>18652</v>
      </c>
      <c r="F2954" s="16" t="s">
        <v>1387</v>
      </c>
      <c r="G2954" s="19" t="s">
        <v>41</v>
      </c>
      <c r="H2954" s="18" t="n">
        <v>6</v>
      </c>
      <c r="I2954" s="20" t="n">
        <v>128.99</v>
      </c>
      <c r="J2954" s="20" t="n">
        <v>150.77</v>
      </c>
      <c r="K2954" s="18" t="n">
        <v>12</v>
      </c>
      <c r="L2954" s="18" t="n">
        <v>10</v>
      </c>
      <c r="M2954" s="18" t="n">
        <v>120</v>
      </c>
      <c r="N2954" s="18" t="n">
        <v>72</v>
      </c>
      <c r="O2954" s="14" t="s">
        <v>1126</v>
      </c>
      <c r="P2954" s="14" t="s">
        <v>118</v>
      </c>
      <c r="Q2954" s="15" t="s">
        <v>1089</v>
      </c>
      <c r="R2954" s="16" t="s">
        <v>18653</v>
      </c>
      <c r="S2954" s="15" t="s">
        <v>8407</v>
      </c>
      <c r="T2954" s="15" t="s">
        <v>18654</v>
      </c>
      <c r="U2954" s="21" t="s">
        <v>72</v>
      </c>
    </row>
    <row r="2955" customFormat="false" ht="15" hidden="false" customHeight="false" outlineLevel="0" collapsed="false">
      <c r="A2955" s="15" t="s">
        <v>17956</v>
      </c>
      <c r="B2955" s="15" t="s">
        <v>18649</v>
      </c>
      <c r="C2955" s="14" t="s">
        <v>18655</v>
      </c>
      <c r="D2955" s="14" t="s">
        <v>18656</v>
      </c>
      <c r="E2955" s="16" t="s">
        <v>18657</v>
      </c>
      <c r="F2955" s="16" t="s">
        <v>18658</v>
      </c>
      <c r="G2955" s="23" t="s">
        <v>43</v>
      </c>
      <c r="H2955" s="18" t="n">
        <v>1</v>
      </c>
      <c r="I2955" s="20" t="n">
        <v>40.5</v>
      </c>
      <c r="J2955" s="20" t="n">
        <v>118.86</v>
      </c>
      <c r="K2955" s="18" t="n">
        <v>2</v>
      </c>
      <c r="L2955" s="18" t="n">
        <v>3</v>
      </c>
      <c r="M2955" s="18" t="n">
        <v>36</v>
      </c>
      <c r="N2955" s="18" t="n">
        <v>18</v>
      </c>
      <c r="O2955" s="14" t="s">
        <v>1097</v>
      </c>
      <c r="P2955" s="14" t="s">
        <v>84</v>
      </c>
      <c r="Q2955" s="15" t="s">
        <v>1089</v>
      </c>
      <c r="R2955" s="16" t="s">
        <v>18659</v>
      </c>
      <c r="S2955" s="15" t="s">
        <v>18660</v>
      </c>
      <c r="T2955" s="15" t="s">
        <v>18660</v>
      </c>
      <c r="U2955" s="21" t="s">
        <v>72</v>
      </c>
    </row>
    <row r="2956" customFormat="false" ht="15" hidden="false" customHeight="false" outlineLevel="0" collapsed="false">
      <c r="A2956" s="15" t="s">
        <v>17956</v>
      </c>
      <c r="B2956" s="15" t="s">
        <v>18649</v>
      </c>
      <c r="C2956" s="14" t="s">
        <v>18661</v>
      </c>
      <c r="D2956" s="14" t="s">
        <v>18662</v>
      </c>
      <c r="E2956" s="16" t="s">
        <v>18663</v>
      </c>
      <c r="F2956" s="16" t="s">
        <v>18664</v>
      </c>
      <c r="G2956" s="23" t="s">
        <v>43</v>
      </c>
      <c r="H2956" s="18" t="n">
        <v>4</v>
      </c>
      <c r="I2956" s="20" t="n">
        <v>121.99</v>
      </c>
      <c r="J2956" s="20" t="n">
        <v>160.62</v>
      </c>
      <c r="K2956" s="18" t="n">
        <v>2</v>
      </c>
      <c r="L2956" s="18" t="n">
        <v>6</v>
      </c>
      <c r="M2956" s="18" t="n">
        <v>30</v>
      </c>
      <c r="N2956" s="18" t="n">
        <v>30</v>
      </c>
      <c r="O2956" s="14" t="s">
        <v>1126</v>
      </c>
      <c r="P2956" s="14" t="s">
        <v>84</v>
      </c>
      <c r="Q2956" s="15" t="s">
        <v>1089</v>
      </c>
      <c r="R2956" s="16" t="s">
        <v>18665</v>
      </c>
      <c r="S2956" s="15" t="s">
        <v>18666</v>
      </c>
      <c r="T2956" s="15" t="s">
        <v>18667</v>
      </c>
      <c r="U2956" s="21" t="s">
        <v>72</v>
      </c>
    </row>
    <row r="2957" customFormat="false" ht="15" hidden="false" customHeight="false" outlineLevel="0" collapsed="false">
      <c r="A2957" s="15" t="s">
        <v>17956</v>
      </c>
      <c r="B2957" s="15" t="s">
        <v>18649</v>
      </c>
      <c r="C2957" s="14" t="s">
        <v>18668</v>
      </c>
      <c r="D2957" s="14" t="s">
        <v>18669</v>
      </c>
      <c r="E2957" s="16" t="s">
        <v>18670</v>
      </c>
      <c r="F2957" s="16" t="s">
        <v>18671</v>
      </c>
      <c r="G2957" s="23" t="s">
        <v>43</v>
      </c>
      <c r="H2957" s="18" t="n">
        <v>2</v>
      </c>
      <c r="I2957" s="20" t="n">
        <v>37.24</v>
      </c>
      <c r="J2957" s="20" t="n">
        <v>90.52</v>
      </c>
      <c r="K2957" s="18" t="n">
        <v>2</v>
      </c>
      <c r="L2957" s="18" t="n">
        <v>5</v>
      </c>
      <c r="M2957" s="18" t="n">
        <v>40</v>
      </c>
      <c r="N2957" s="18" t="n">
        <v>40</v>
      </c>
      <c r="O2957" s="14" t="s">
        <v>1126</v>
      </c>
      <c r="P2957" s="14" t="s">
        <v>84</v>
      </c>
      <c r="Q2957" s="15" t="s">
        <v>1089</v>
      </c>
      <c r="R2957" s="16" t="s">
        <v>18672</v>
      </c>
      <c r="S2957" s="15" t="s">
        <v>18673</v>
      </c>
      <c r="T2957" s="15" t="s">
        <v>18673</v>
      </c>
      <c r="U2957" s="21" t="s">
        <v>72</v>
      </c>
    </row>
    <row r="2958" customFormat="false" ht="15" hidden="false" customHeight="false" outlineLevel="0" collapsed="false">
      <c r="A2958" s="15" t="s">
        <v>17956</v>
      </c>
      <c r="B2958" s="15" t="s">
        <v>18649</v>
      </c>
      <c r="C2958" s="14" t="s">
        <v>18674</v>
      </c>
      <c r="D2958" s="14" t="s">
        <v>18675</v>
      </c>
      <c r="E2958" s="16" t="s">
        <v>18676</v>
      </c>
      <c r="F2958" s="16"/>
      <c r="G2958" s="23" t="s">
        <v>43</v>
      </c>
      <c r="H2958" s="18" t="n">
        <v>2</v>
      </c>
      <c r="I2958" s="20" t="n">
        <v>82.83</v>
      </c>
      <c r="J2958" s="20" t="n">
        <v>94.71</v>
      </c>
      <c r="K2958" s="18" t="n">
        <v>2</v>
      </c>
      <c r="L2958" s="18" t="n">
        <v>3</v>
      </c>
      <c r="M2958" s="18" t="n">
        <v>20</v>
      </c>
      <c r="N2958" s="18" t="n">
        <v>20</v>
      </c>
      <c r="O2958" s="14" t="s">
        <v>1126</v>
      </c>
      <c r="P2958" s="14" t="s">
        <v>84</v>
      </c>
      <c r="Q2958" s="15" t="s">
        <v>1089</v>
      </c>
      <c r="R2958" s="16" t="s">
        <v>759</v>
      </c>
      <c r="S2958" s="15" t="s">
        <v>18677</v>
      </c>
      <c r="T2958" s="15" t="s">
        <v>18677</v>
      </c>
      <c r="U2958" s="21" t="s">
        <v>72</v>
      </c>
    </row>
    <row r="2959" customFormat="false" ht="15" hidden="false" customHeight="false" outlineLevel="0" collapsed="false">
      <c r="A2959" s="15" t="s">
        <v>17956</v>
      </c>
      <c r="B2959" s="15" t="s">
        <v>18649</v>
      </c>
      <c r="C2959" s="14" t="s">
        <v>18678</v>
      </c>
      <c r="D2959" s="14" t="s">
        <v>18679</v>
      </c>
      <c r="E2959" s="16" t="s">
        <v>18680</v>
      </c>
      <c r="F2959" s="16"/>
      <c r="G2959" s="23" t="s">
        <v>43</v>
      </c>
      <c r="H2959" s="18" t="n">
        <v>2</v>
      </c>
      <c r="I2959" s="20" t="n">
        <v>43.91</v>
      </c>
      <c r="J2959" s="20" t="n">
        <v>148.25</v>
      </c>
      <c r="K2959" s="18" t="n">
        <v>2</v>
      </c>
      <c r="L2959" s="18" t="n">
        <v>1</v>
      </c>
      <c r="M2959" s="18" t="n">
        <v>30</v>
      </c>
      <c r="N2959" s="18" t="n">
        <v>30</v>
      </c>
      <c r="O2959" s="14" t="s">
        <v>1097</v>
      </c>
      <c r="P2959" s="14" t="s">
        <v>84</v>
      </c>
      <c r="Q2959" s="15" t="s">
        <v>1089</v>
      </c>
      <c r="R2959" s="16" t="s">
        <v>18681</v>
      </c>
      <c r="S2959" s="15" t="s">
        <v>18682</v>
      </c>
      <c r="T2959" s="15" t="s">
        <v>18682</v>
      </c>
      <c r="U2959" s="21" t="s">
        <v>72</v>
      </c>
    </row>
    <row r="2960" customFormat="false" ht="15" hidden="false" customHeight="false" outlineLevel="0" collapsed="false">
      <c r="A2960" s="15" t="s">
        <v>17956</v>
      </c>
      <c r="B2960" s="15" t="s">
        <v>18649</v>
      </c>
      <c r="C2960" s="14" t="s">
        <v>18683</v>
      </c>
      <c r="D2960" s="14" t="s">
        <v>18684</v>
      </c>
      <c r="E2960" s="16" t="s">
        <v>18685</v>
      </c>
      <c r="F2960" s="16"/>
      <c r="G2960" s="23" t="s">
        <v>43</v>
      </c>
      <c r="H2960" s="18" t="n">
        <v>1</v>
      </c>
      <c r="I2960" s="20" t="n">
        <v>37.64</v>
      </c>
      <c r="J2960" s="20" t="n">
        <v>97</v>
      </c>
      <c r="K2960" s="18" t="n">
        <v>1</v>
      </c>
      <c r="L2960" s="18" t="n">
        <v>1</v>
      </c>
      <c r="M2960" s="18" t="n">
        <v>31</v>
      </c>
      <c r="N2960" s="18" t="n">
        <v>31</v>
      </c>
      <c r="O2960" s="14" t="s">
        <v>1097</v>
      </c>
      <c r="P2960" s="14" t="s">
        <v>84</v>
      </c>
      <c r="Q2960" s="15" t="s">
        <v>1089</v>
      </c>
      <c r="R2960" s="16" t="s">
        <v>5358</v>
      </c>
      <c r="S2960" s="15" t="s">
        <v>18686</v>
      </c>
      <c r="T2960" s="15" t="s">
        <v>18687</v>
      </c>
      <c r="U2960" s="21" t="s">
        <v>72</v>
      </c>
    </row>
    <row r="2961" customFormat="false" ht="15" hidden="false" customHeight="false" outlineLevel="0" collapsed="false">
      <c r="A2961" s="15" t="s">
        <v>17956</v>
      </c>
      <c r="B2961" s="15" t="s">
        <v>18649</v>
      </c>
      <c r="C2961" s="14" t="s">
        <v>18688</v>
      </c>
      <c r="D2961" s="14" t="s">
        <v>18689</v>
      </c>
      <c r="E2961" s="16" t="s">
        <v>18690</v>
      </c>
      <c r="F2961" s="16" t="s">
        <v>18691</v>
      </c>
      <c r="G2961" s="19" t="s">
        <v>41</v>
      </c>
      <c r="H2961" s="18" t="n">
        <v>5</v>
      </c>
      <c r="I2961" s="20" t="n">
        <v>198.05</v>
      </c>
      <c r="J2961" s="20" t="n">
        <v>297.12</v>
      </c>
      <c r="K2961" s="18" t="n">
        <v>4</v>
      </c>
      <c r="L2961" s="18" t="n">
        <v>1</v>
      </c>
      <c r="M2961" s="18" t="n">
        <v>72</v>
      </c>
      <c r="N2961" s="18" t="n">
        <v>72</v>
      </c>
      <c r="O2961" s="14" t="s">
        <v>1097</v>
      </c>
      <c r="P2961" s="14" t="s">
        <v>118</v>
      </c>
      <c r="Q2961" s="15" t="s">
        <v>1089</v>
      </c>
      <c r="R2961" s="16" t="s">
        <v>11895</v>
      </c>
      <c r="S2961" s="15" t="s">
        <v>18692</v>
      </c>
      <c r="T2961" s="15" t="s">
        <v>18693</v>
      </c>
      <c r="U2961" s="21" t="s">
        <v>72</v>
      </c>
    </row>
    <row r="2962" customFormat="false" ht="15" hidden="false" customHeight="false" outlineLevel="0" collapsed="false">
      <c r="A2962" s="15" t="s">
        <v>17956</v>
      </c>
      <c r="B2962" s="15" t="s">
        <v>18694</v>
      </c>
      <c r="C2962" s="14" t="s">
        <v>18695</v>
      </c>
      <c r="D2962" s="14" t="s">
        <v>18696</v>
      </c>
      <c r="E2962" s="16" t="s">
        <v>18697</v>
      </c>
      <c r="F2962" s="16" t="s">
        <v>18698</v>
      </c>
      <c r="G2962" s="23" t="s">
        <v>43</v>
      </c>
      <c r="H2962" s="18" t="n">
        <v>2</v>
      </c>
      <c r="I2962" s="20" t="n">
        <v>142.47</v>
      </c>
      <c r="J2962" s="20" t="n">
        <v>188.19</v>
      </c>
      <c r="K2962" s="18" t="n">
        <v>2</v>
      </c>
      <c r="L2962" s="18" t="n">
        <v>4</v>
      </c>
      <c r="M2962" s="18" t="n">
        <v>20</v>
      </c>
      <c r="N2962" s="18" t="n">
        <v>20</v>
      </c>
      <c r="O2962" s="14" t="s">
        <v>1088</v>
      </c>
      <c r="P2962" s="14" t="s">
        <v>84</v>
      </c>
      <c r="Q2962" s="15" t="s">
        <v>1089</v>
      </c>
      <c r="R2962" s="16" t="s">
        <v>18699</v>
      </c>
      <c r="S2962" s="15" t="s">
        <v>17968</v>
      </c>
      <c r="T2962" s="15" t="s">
        <v>18700</v>
      </c>
      <c r="U2962" s="21" t="s">
        <v>72</v>
      </c>
    </row>
    <row r="2963" customFormat="false" ht="15" hidden="false" customHeight="false" outlineLevel="0" collapsed="false">
      <c r="A2963" s="15" t="s">
        <v>17956</v>
      </c>
      <c r="B2963" s="15" t="s">
        <v>18694</v>
      </c>
      <c r="C2963" s="14" t="s">
        <v>18701</v>
      </c>
      <c r="D2963" s="14" t="s">
        <v>18702</v>
      </c>
      <c r="E2963" s="16" t="s">
        <v>18703</v>
      </c>
      <c r="F2963" s="16"/>
      <c r="G2963" s="23" t="s">
        <v>43</v>
      </c>
      <c r="H2963" s="18" t="n">
        <v>1</v>
      </c>
      <c r="I2963" s="20" t="n">
        <v>31.19</v>
      </c>
      <c r="J2963" s="20" t="n">
        <v>78.23</v>
      </c>
      <c r="K2963" s="18" t="n">
        <v>2</v>
      </c>
      <c r="L2963" s="18" t="n">
        <v>4</v>
      </c>
      <c r="M2963" s="18" t="n">
        <v>20</v>
      </c>
      <c r="N2963" s="18" t="n">
        <v>20</v>
      </c>
      <c r="O2963" s="14" t="s">
        <v>1097</v>
      </c>
      <c r="P2963" s="14" t="s">
        <v>84</v>
      </c>
      <c r="Q2963" s="15" t="s">
        <v>1089</v>
      </c>
      <c r="R2963" s="16" t="s">
        <v>18704</v>
      </c>
      <c r="S2963" s="15" t="s">
        <v>18705</v>
      </c>
      <c r="T2963" s="15" t="s">
        <v>18705</v>
      </c>
      <c r="U2963" s="21" t="s">
        <v>72</v>
      </c>
    </row>
    <row r="2964" customFormat="false" ht="15" hidden="false" customHeight="false" outlineLevel="0" collapsed="false">
      <c r="A2964" s="15" t="s">
        <v>17956</v>
      </c>
      <c r="B2964" s="15" t="s">
        <v>18694</v>
      </c>
      <c r="C2964" s="14" t="s">
        <v>18706</v>
      </c>
      <c r="D2964" s="14" t="s">
        <v>18707</v>
      </c>
      <c r="E2964" s="16" t="s">
        <v>18708</v>
      </c>
      <c r="F2964" s="16" t="s">
        <v>18709</v>
      </c>
      <c r="G2964" s="19" t="s">
        <v>41</v>
      </c>
      <c r="H2964" s="18" t="n">
        <v>3</v>
      </c>
      <c r="I2964" s="20" t="n">
        <v>79</v>
      </c>
      <c r="J2964" s="20" t="n">
        <v>222</v>
      </c>
      <c r="K2964" s="18" t="n">
        <v>3</v>
      </c>
      <c r="L2964" s="18" t="n">
        <v>2</v>
      </c>
      <c r="M2964" s="18" t="n">
        <v>60</v>
      </c>
      <c r="N2964" s="18" t="n">
        <v>60</v>
      </c>
      <c r="O2964" s="14" t="s">
        <v>1088</v>
      </c>
      <c r="P2964" s="14" t="s">
        <v>84</v>
      </c>
      <c r="Q2964" s="15" t="s">
        <v>1089</v>
      </c>
      <c r="R2964" s="16" t="s">
        <v>18043</v>
      </c>
      <c r="S2964" s="15" t="s">
        <v>18710</v>
      </c>
      <c r="T2964" s="15" t="s">
        <v>18711</v>
      </c>
      <c r="U2964" s="21" t="s">
        <v>72</v>
      </c>
    </row>
    <row r="2965" customFormat="false" ht="15" hidden="false" customHeight="false" outlineLevel="0" collapsed="false">
      <c r="A2965" s="15" t="s">
        <v>17956</v>
      </c>
      <c r="B2965" s="15" t="s">
        <v>18694</v>
      </c>
      <c r="C2965" s="14" t="s">
        <v>18712</v>
      </c>
      <c r="D2965" s="14" t="s">
        <v>18713</v>
      </c>
      <c r="E2965" s="16" t="s">
        <v>18714</v>
      </c>
      <c r="F2965" s="16" t="s">
        <v>18715</v>
      </c>
      <c r="G2965" s="23" t="s">
        <v>43</v>
      </c>
      <c r="H2965" s="18" t="n">
        <v>3</v>
      </c>
      <c r="I2965" s="20" t="n">
        <v>52.45</v>
      </c>
      <c r="J2965" s="20" t="n">
        <v>101.14</v>
      </c>
      <c r="K2965" s="18" t="n">
        <v>7</v>
      </c>
      <c r="L2965" s="18" t="n">
        <v>6</v>
      </c>
      <c r="M2965" s="18" t="n">
        <v>126</v>
      </c>
      <c r="N2965" s="18" t="n">
        <v>108</v>
      </c>
      <c r="O2965" s="14" t="s">
        <v>1088</v>
      </c>
      <c r="P2965" s="14" t="s">
        <v>84</v>
      </c>
      <c r="Q2965" s="15" t="s">
        <v>1089</v>
      </c>
      <c r="R2965" s="16" t="s">
        <v>18716</v>
      </c>
      <c r="S2965" s="15" t="s">
        <v>18717</v>
      </c>
      <c r="T2965" s="15" t="s">
        <v>18718</v>
      </c>
      <c r="U2965" s="21" t="s">
        <v>72</v>
      </c>
    </row>
    <row r="2966" customFormat="false" ht="15" hidden="false" customHeight="false" outlineLevel="0" collapsed="false">
      <c r="A2966" s="15" t="s">
        <v>17956</v>
      </c>
      <c r="B2966" s="15" t="s">
        <v>18694</v>
      </c>
      <c r="C2966" s="14" t="s">
        <v>18719</v>
      </c>
      <c r="D2966" s="14" t="s">
        <v>18720</v>
      </c>
      <c r="E2966" s="16" t="s">
        <v>18721</v>
      </c>
      <c r="F2966" s="16" t="s">
        <v>18722</v>
      </c>
      <c r="G2966" s="23" t="s">
        <v>43</v>
      </c>
      <c r="H2966" s="18" t="n">
        <v>1</v>
      </c>
      <c r="I2966" s="20" t="n">
        <v>30</v>
      </c>
      <c r="J2966" s="20" t="n">
        <v>60</v>
      </c>
      <c r="K2966" s="18" t="n">
        <v>1</v>
      </c>
      <c r="L2966" s="18" t="n">
        <v>1</v>
      </c>
      <c r="M2966" s="18" t="n">
        <v>15</v>
      </c>
      <c r="N2966" s="18" t="n">
        <v>15</v>
      </c>
      <c r="O2966" s="14" t="s">
        <v>1088</v>
      </c>
      <c r="P2966" s="14" t="s">
        <v>84</v>
      </c>
      <c r="Q2966" s="15" t="s">
        <v>1089</v>
      </c>
      <c r="R2966" s="16" t="s">
        <v>18723</v>
      </c>
      <c r="S2966" s="15" t="s">
        <v>18724</v>
      </c>
      <c r="T2966" s="15" t="s">
        <v>18724</v>
      </c>
      <c r="U2966" s="21" t="s">
        <v>72</v>
      </c>
    </row>
    <row r="2967" customFormat="false" ht="15" hidden="false" customHeight="false" outlineLevel="0" collapsed="false">
      <c r="A2967" s="15" t="s">
        <v>17956</v>
      </c>
      <c r="B2967" s="15" t="s">
        <v>18694</v>
      </c>
      <c r="C2967" s="14" t="s">
        <v>18725</v>
      </c>
      <c r="D2967" s="14" t="s">
        <v>18726</v>
      </c>
      <c r="E2967" s="16" t="s">
        <v>18727</v>
      </c>
      <c r="F2967" s="16"/>
      <c r="G2967" s="19" t="s">
        <v>41</v>
      </c>
      <c r="H2967" s="18" t="n">
        <v>3</v>
      </c>
      <c r="I2967" s="20" t="n">
        <v>100.3</v>
      </c>
      <c r="J2967" s="20" t="n">
        <v>376.86</v>
      </c>
      <c r="K2967" s="18" t="n">
        <v>4</v>
      </c>
      <c r="L2967" s="18" t="n">
        <v>9</v>
      </c>
      <c r="M2967" s="18" t="n">
        <v>80</v>
      </c>
      <c r="N2967" s="18" t="n">
        <v>80</v>
      </c>
      <c r="O2967" s="14" t="s">
        <v>1088</v>
      </c>
      <c r="P2967" s="14" t="s">
        <v>84</v>
      </c>
      <c r="Q2967" s="15" t="s">
        <v>1089</v>
      </c>
      <c r="R2967" s="16" t="s">
        <v>18728</v>
      </c>
      <c r="S2967" s="15" t="s">
        <v>18729</v>
      </c>
      <c r="T2967" s="15" t="s">
        <v>18729</v>
      </c>
      <c r="U2967" s="21" t="s">
        <v>72</v>
      </c>
    </row>
    <row r="2968" customFormat="false" ht="15" hidden="false" customHeight="false" outlineLevel="0" collapsed="false">
      <c r="A2968" s="15" t="s">
        <v>17956</v>
      </c>
      <c r="B2968" s="15" t="s">
        <v>18694</v>
      </c>
      <c r="C2968" s="14" t="s">
        <v>18730</v>
      </c>
      <c r="D2968" s="14" t="s">
        <v>18731</v>
      </c>
      <c r="E2968" s="16" t="s">
        <v>18732</v>
      </c>
      <c r="F2968" s="16" t="s">
        <v>18733</v>
      </c>
      <c r="G2968" s="23" t="s">
        <v>43</v>
      </c>
      <c r="H2968" s="18" t="n">
        <v>2</v>
      </c>
      <c r="I2968" s="20" t="n">
        <v>48.08</v>
      </c>
      <c r="J2968" s="20" t="n">
        <v>84.78</v>
      </c>
      <c r="K2968" s="18" t="n">
        <v>2</v>
      </c>
      <c r="L2968" s="18" t="n">
        <v>1</v>
      </c>
      <c r="M2968" s="18" t="n">
        <v>30</v>
      </c>
      <c r="N2968" s="18" t="n">
        <v>30</v>
      </c>
      <c r="O2968" s="14" t="s">
        <v>1097</v>
      </c>
      <c r="P2968" s="14" t="s">
        <v>84</v>
      </c>
      <c r="Q2968" s="15" t="s">
        <v>1089</v>
      </c>
      <c r="R2968" s="16" t="s">
        <v>8007</v>
      </c>
      <c r="S2968" s="15" t="s">
        <v>18734</v>
      </c>
      <c r="T2968" s="15" t="s">
        <v>18734</v>
      </c>
      <c r="U2968" s="21" t="s">
        <v>72</v>
      </c>
    </row>
    <row r="2969" customFormat="false" ht="15" hidden="false" customHeight="false" outlineLevel="0" collapsed="false">
      <c r="A2969" s="15" t="s">
        <v>17956</v>
      </c>
      <c r="B2969" s="15" t="s">
        <v>15599</v>
      </c>
      <c r="C2969" s="14" t="s">
        <v>18735</v>
      </c>
      <c r="D2969" s="14" t="s">
        <v>18736</v>
      </c>
      <c r="E2969" s="16" t="s">
        <v>18737</v>
      </c>
      <c r="F2969" s="16" t="s">
        <v>18738</v>
      </c>
      <c r="G2969" s="19" t="s">
        <v>41</v>
      </c>
      <c r="H2969" s="18" t="n">
        <v>4</v>
      </c>
      <c r="I2969" s="20" t="n">
        <v>149.38</v>
      </c>
      <c r="J2969" s="20" t="n">
        <v>252.34</v>
      </c>
      <c r="K2969" s="18" t="n">
        <v>8</v>
      </c>
      <c r="L2969" s="18" t="n">
        <v>26</v>
      </c>
      <c r="M2969" s="18" t="n">
        <v>252</v>
      </c>
      <c r="N2969" s="18" t="n">
        <v>56</v>
      </c>
      <c r="O2969" s="14" t="s">
        <v>1088</v>
      </c>
      <c r="P2969" s="14" t="s">
        <v>1716</v>
      </c>
      <c r="Q2969" s="15" t="s">
        <v>1089</v>
      </c>
      <c r="R2969" s="16" t="s">
        <v>18739</v>
      </c>
      <c r="S2969" s="15" t="s">
        <v>2538</v>
      </c>
      <c r="T2969" s="15" t="s">
        <v>18740</v>
      </c>
      <c r="U2969" s="21" t="s">
        <v>72</v>
      </c>
    </row>
    <row r="2970" customFormat="false" ht="26.85" hidden="false" customHeight="false" outlineLevel="0" collapsed="false">
      <c r="A2970" s="15" t="s">
        <v>17956</v>
      </c>
      <c r="B2970" s="15" t="s">
        <v>15599</v>
      </c>
      <c r="C2970" s="14" t="s">
        <v>18741</v>
      </c>
      <c r="D2970" s="14" t="s">
        <v>18742</v>
      </c>
      <c r="E2970" s="16" t="s">
        <v>18743</v>
      </c>
      <c r="F2970" s="16" t="s">
        <v>18744</v>
      </c>
      <c r="G2970" s="25" t="s">
        <v>39</v>
      </c>
      <c r="H2970" s="18" t="n">
        <v>8</v>
      </c>
      <c r="I2970" s="20" t="n">
        <v>197.85</v>
      </c>
      <c r="J2970" s="20" t="n">
        <v>514.3</v>
      </c>
      <c r="K2970" s="18" t="n">
        <v>18</v>
      </c>
      <c r="L2970" s="18" t="n">
        <v>9</v>
      </c>
      <c r="M2970" s="18" t="n">
        <v>354</v>
      </c>
      <c r="N2970" s="18" t="n">
        <v>354</v>
      </c>
      <c r="O2970" s="14" t="s">
        <v>9118</v>
      </c>
      <c r="P2970" s="14" t="s">
        <v>84</v>
      </c>
      <c r="Q2970" s="15" t="s">
        <v>1089</v>
      </c>
      <c r="R2970" s="16" t="s">
        <v>8132</v>
      </c>
      <c r="S2970" s="15" t="s">
        <v>1091</v>
      </c>
      <c r="T2970" s="15" t="s">
        <v>18745</v>
      </c>
      <c r="U2970" s="21" t="s">
        <v>72</v>
      </c>
    </row>
    <row r="2971" customFormat="false" ht="26.85" hidden="false" customHeight="false" outlineLevel="0" collapsed="false">
      <c r="A2971" s="15" t="s">
        <v>17956</v>
      </c>
      <c r="B2971" s="15" t="s">
        <v>15599</v>
      </c>
      <c r="C2971" s="14" t="s">
        <v>18746</v>
      </c>
      <c r="D2971" s="14" t="s">
        <v>18747</v>
      </c>
      <c r="E2971" s="16" t="s">
        <v>18748</v>
      </c>
      <c r="F2971" s="16" t="s">
        <v>1387</v>
      </c>
      <c r="G2971" s="25" t="s">
        <v>39</v>
      </c>
      <c r="H2971" s="18" t="n">
        <v>6</v>
      </c>
      <c r="I2971" s="20" t="n">
        <v>225.4</v>
      </c>
      <c r="J2971" s="20" t="n">
        <v>809.44</v>
      </c>
      <c r="K2971" s="18" t="n">
        <v>39</v>
      </c>
      <c r="L2971" s="18" t="n">
        <v>21</v>
      </c>
      <c r="M2971" s="18" t="n">
        <v>1365</v>
      </c>
      <c r="N2971" s="18" t="n">
        <v>700</v>
      </c>
      <c r="O2971" s="14" t="s">
        <v>1126</v>
      </c>
      <c r="P2971" s="14" t="s">
        <v>84</v>
      </c>
      <c r="Q2971" s="15" t="s">
        <v>1089</v>
      </c>
      <c r="R2971" s="16" t="s">
        <v>18749</v>
      </c>
      <c r="S2971" s="15" t="s">
        <v>4460</v>
      </c>
      <c r="T2971" s="15" t="s">
        <v>18750</v>
      </c>
      <c r="U2971" s="21" t="s">
        <v>72</v>
      </c>
    </row>
    <row r="2972" customFormat="false" ht="26.85" hidden="false" customHeight="false" outlineLevel="0" collapsed="false">
      <c r="A2972" s="15" t="s">
        <v>17956</v>
      </c>
      <c r="B2972" s="15" t="s">
        <v>15599</v>
      </c>
      <c r="C2972" s="14" t="s">
        <v>18751</v>
      </c>
      <c r="D2972" s="14" t="s">
        <v>18752</v>
      </c>
      <c r="E2972" s="16" t="s">
        <v>18753</v>
      </c>
      <c r="F2972" s="16" t="s">
        <v>18754</v>
      </c>
      <c r="G2972" s="23" t="s">
        <v>43</v>
      </c>
      <c r="H2972" s="18" t="n">
        <v>3</v>
      </c>
      <c r="I2972" s="20" t="n">
        <v>60.12</v>
      </c>
      <c r="J2972" s="20" t="n">
        <v>167.51</v>
      </c>
      <c r="K2972" s="18" t="n">
        <v>2</v>
      </c>
      <c r="L2972" s="18" t="n">
        <v>10</v>
      </c>
      <c r="M2972" s="18" t="n">
        <v>40</v>
      </c>
      <c r="N2972" s="18" t="n">
        <v>40</v>
      </c>
      <c r="O2972" s="14" t="s">
        <v>1088</v>
      </c>
      <c r="P2972" s="14" t="s">
        <v>84</v>
      </c>
      <c r="Q2972" s="15" t="s">
        <v>1089</v>
      </c>
      <c r="R2972" s="16" t="s">
        <v>3487</v>
      </c>
      <c r="S2972" s="15" t="s">
        <v>18755</v>
      </c>
      <c r="T2972" s="15" t="s">
        <v>18756</v>
      </c>
      <c r="U2972" s="21" t="s">
        <v>72</v>
      </c>
    </row>
    <row r="2973" customFormat="false" ht="26.85" hidden="false" customHeight="false" outlineLevel="0" collapsed="false">
      <c r="A2973" s="15" t="s">
        <v>17956</v>
      </c>
      <c r="B2973" s="15" t="s">
        <v>15599</v>
      </c>
      <c r="C2973" s="14" t="s">
        <v>18757</v>
      </c>
      <c r="D2973" s="14" t="s">
        <v>18758</v>
      </c>
      <c r="E2973" s="16" t="s">
        <v>18759</v>
      </c>
      <c r="F2973" s="16" t="s">
        <v>18760</v>
      </c>
      <c r="G2973" s="19" t="s">
        <v>41</v>
      </c>
      <c r="H2973" s="18" t="n">
        <v>6</v>
      </c>
      <c r="I2973" s="20" t="n">
        <v>197.78</v>
      </c>
      <c r="J2973" s="20" t="n">
        <v>390.86</v>
      </c>
      <c r="K2973" s="18" t="n">
        <v>10</v>
      </c>
      <c r="L2973" s="18" t="n">
        <v>11</v>
      </c>
      <c r="M2973" s="18" t="n">
        <v>180</v>
      </c>
      <c r="N2973" s="18" t="n">
        <v>180</v>
      </c>
      <c r="O2973" s="14" t="s">
        <v>1088</v>
      </c>
      <c r="P2973" s="14" t="s">
        <v>84</v>
      </c>
      <c r="Q2973" s="15" t="s">
        <v>1089</v>
      </c>
      <c r="R2973" s="16" t="s">
        <v>18761</v>
      </c>
      <c r="S2973" s="15" t="s">
        <v>18456</v>
      </c>
      <c r="T2973" s="15" t="s">
        <v>18762</v>
      </c>
      <c r="U2973" s="21" t="s">
        <v>72</v>
      </c>
    </row>
    <row r="2974" customFormat="false" ht="15" hidden="false" customHeight="false" outlineLevel="0" collapsed="false">
      <c r="A2974" s="15" t="s">
        <v>17956</v>
      </c>
      <c r="B2974" s="15" t="s">
        <v>15599</v>
      </c>
      <c r="C2974" s="14" t="s">
        <v>18763</v>
      </c>
      <c r="D2974" s="14" t="s">
        <v>18764</v>
      </c>
      <c r="E2974" s="16" t="s">
        <v>18765</v>
      </c>
      <c r="F2974" s="16" t="s">
        <v>18754</v>
      </c>
      <c r="G2974" s="23" t="s">
        <v>43</v>
      </c>
      <c r="H2974" s="18" t="n">
        <v>3</v>
      </c>
      <c r="I2974" s="20" t="n">
        <v>43.67</v>
      </c>
      <c r="J2974" s="20" t="n">
        <v>135.65</v>
      </c>
      <c r="K2974" s="18" t="n">
        <v>4</v>
      </c>
      <c r="L2974" s="18" t="n">
        <v>1</v>
      </c>
      <c r="M2974" s="18" t="n">
        <v>36</v>
      </c>
      <c r="N2974" s="18" t="n">
        <v>36</v>
      </c>
      <c r="O2974" s="14" t="s">
        <v>1097</v>
      </c>
      <c r="P2974" s="14" t="s">
        <v>118</v>
      </c>
      <c r="Q2974" s="15" t="s">
        <v>1089</v>
      </c>
      <c r="R2974" s="16" t="s">
        <v>18766</v>
      </c>
      <c r="S2974" s="15" t="s">
        <v>18755</v>
      </c>
      <c r="T2974" s="15" t="s">
        <v>18767</v>
      </c>
      <c r="U2974" s="21" t="s">
        <v>72</v>
      </c>
    </row>
    <row r="2975" customFormat="false" ht="15" hidden="false" customHeight="false" outlineLevel="0" collapsed="false">
      <c r="A2975" s="15" t="s">
        <v>17956</v>
      </c>
      <c r="B2975" s="15" t="s">
        <v>15599</v>
      </c>
      <c r="C2975" s="14" t="s">
        <v>18768</v>
      </c>
      <c r="D2975" s="14" t="s">
        <v>18769</v>
      </c>
      <c r="E2975" s="16" t="s">
        <v>18770</v>
      </c>
      <c r="F2975" s="16" t="s">
        <v>18771</v>
      </c>
      <c r="G2975" s="23" t="s">
        <v>43</v>
      </c>
      <c r="H2975" s="18" t="n">
        <v>4</v>
      </c>
      <c r="I2975" s="20" t="n">
        <v>70.4</v>
      </c>
      <c r="J2975" s="20" t="n">
        <v>101.46</v>
      </c>
      <c r="K2975" s="18" t="n">
        <v>2</v>
      </c>
      <c r="L2975" s="18" t="n">
        <v>4</v>
      </c>
      <c r="M2975" s="18" t="n">
        <v>36</v>
      </c>
      <c r="N2975" s="18" t="n">
        <v>36</v>
      </c>
      <c r="O2975" s="14" t="s">
        <v>1097</v>
      </c>
      <c r="P2975" s="14" t="s">
        <v>84</v>
      </c>
      <c r="Q2975" s="15" t="s">
        <v>1089</v>
      </c>
      <c r="R2975" s="16" t="s">
        <v>13491</v>
      </c>
      <c r="S2975" s="15" t="s">
        <v>18772</v>
      </c>
      <c r="T2975" s="15" t="s">
        <v>18773</v>
      </c>
      <c r="U2975" s="21" t="s">
        <v>72</v>
      </c>
    </row>
    <row r="2976" customFormat="false" ht="15" hidden="false" customHeight="false" outlineLevel="0" collapsed="false">
      <c r="A2976" s="15" t="s">
        <v>17956</v>
      </c>
      <c r="B2976" s="15" t="s">
        <v>15599</v>
      </c>
      <c r="C2976" s="14" t="s">
        <v>18774</v>
      </c>
      <c r="D2976" s="14" t="s">
        <v>18775</v>
      </c>
      <c r="E2976" s="16" t="s">
        <v>18776</v>
      </c>
      <c r="F2976" s="16"/>
      <c r="G2976" s="23" t="s">
        <v>43</v>
      </c>
      <c r="H2976" s="18" t="n">
        <v>2</v>
      </c>
      <c r="I2976" s="20" t="n">
        <v>42.96</v>
      </c>
      <c r="J2976" s="20" t="n">
        <v>72.16</v>
      </c>
      <c r="K2976" s="18" t="n">
        <v>2</v>
      </c>
      <c r="L2976" s="18" t="n">
        <v>3</v>
      </c>
      <c r="M2976" s="18" t="n">
        <v>30</v>
      </c>
      <c r="N2976" s="18" t="n">
        <v>30</v>
      </c>
      <c r="O2976" s="14" t="s">
        <v>1088</v>
      </c>
      <c r="P2976" s="14" t="s">
        <v>84</v>
      </c>
      <c r="Q2976" s="15" t="s">
        <v>1089</v>
      </c>
      <c r="R2976" s="16" t="s">
        <v>133</v>
      </c>
      <c r="S2976" s="15" t="s">
        <v>18777</v>
      </c>
      <c r="T2976" s="15" t="s">
        <v>18777</v>
      </c>
      <c r="U2976" s="21" t="s">
        <v>72</v>
      </c>
    </row>
    <row r="2977" customFormat="false" ht="15" hidden="false" customHeight="false" outlineLevel="0" collapsed="false">
      <c r="A2977" s="15" t="s">
        <v>17956</v>
      </c>
      <c r="B2977" s="15" t="s">
        <v>15599</v>
      </c>
      <c r="C2977" s="14" t="s">
        <v>18778</v>
      </c>
      <c r="D2977" s="14" t="s">
        <v>18779</v>
      </c>
      <c r="E2977" s="16" t="s">
        <v>18780</v>
      </c>
      <c r="F2977" s="16"/>
      <c r="G2977" s="19" t="s">
        <v>41</v>
      </c>
      <c r="H2977" s="18" t="n">
        <v>4</v>
      </c>
      <c r="I2977" s="20" t="n">
        <v>138.52</v>
      </c>
      <c r="J2977" s="20" t="n">
        <v>238.37</v>
      </c>
      <c r="K2977" s="18" t="n">
        <v>16</v>
      </c>
      <c r="L2977" s="18" t="n">
        <v>3</v>
      </c>
      <c r="M2977" s="18" t="n">
        <v>240</v>
      </c>
      <c r="N2977" s="18" t="n">
        <v>240</v>
      </c>
      <c r="O2977" s="14" t="s">
        <v>1126</v>
      </c>
      <c r="P2977" s="14" t="s">
        <v>84</v>
      </c>
      <c r="Q2977" s="15" t="s">
        <v>1089</v>
      </c>
      <c r="R2977" s="16" t="s">
        <v>18781</v>
      </c>
      <c r="S2977" s="15" t="s">
        <v>18782</v>
      </c>
      <c r="T2977" s="15" t="s">
        <v>18783</v>
      </c>
      <c r="U2977" s="21" t="s">
        <v>72</v>
      </c>
    </row>
    <row r="2978" customFormat="false" ht="15" hidden="false" customHeight="false" outlineLevel="0" collapsed="false">
      <c r="A2978" s="15" t="s">
        <v>17956</v>
      </c>
      <c r="B2978" s="15" t="s">
        <v>15599</v>
      </c>
      <c r="C2978" s="14" t="s">
        <v>18784</v>
      </c>
      <c r="D2978" s="14" t="s">
        <v>18785</v>
      </c>
      <c r="E2978" s="16" t="s">
        <v>18786</v>
      </c>
      <c r="F2978" s="16"/>
      <c r="G2978" s="23" t="s">
        <v>43</v>
      </c>
      <c r="H2978" s="18" t="n">
        <v>2</v>
      </c>
      <c r="I2978" s="20" t="n">
        <v>33.79</v>
      </c>
      <c r="J2978" s="20" t="n">
        <v>92.06</v>
      </c>
      <c r="K2978" s="18" t="n">
        <v>2</v>
      </c>
      <c r="L2978" s="18" t="n">
        <v>6</v>
      </c>
      <c r="M2978" s="18" t="n">
        <v>20</v>
      </c>
      <c r="N2978" s="18" t="n">
        <v>20</v>
      </c>
      <c r="O2978" s="14" t="s">
        <v>1126</v>
      </c>
      <c r="P2978" s="14" t="s">
        <v>84</v>
      </c>
      <c r="Q2978" s="15" t="s">
        <v>1089</v>
      </c>
      <c r="R2978" s="16" t="s">
        <v>18787</v>
      </c>
      <c r="S2978" s="15" t="s">
        <v>18788</v>
      </c>
      <c r="T2978" s="15" t="s">
        <v>18788</v>
      </c>
      <c r="U2978" s="21" t="s">
        <v>72</v>
      </c>
    </row>
    <row r="2979" customFormat="false" ht="15" hidden="false" customHeight="false" outlineLevel="0" collapsed="false">
      <c r="A2979" s="15" t="s">
        <v>17956</v>
      </c>
      <c r="B2979" s="15" t="s">
        <v>15599</v>
      </c>
      <c r="C2979" s="14" t="s">
        <v>18789</v>
      </c>
      <c r="D2979" s="14" t="s">
        <v>18790</v>
      </c>
      <c r="E2979" s="16" t="s">
        <v>18791</v>
      </c>
      <c r="F2979" s="16" t="s">
        <v>18792</v>
      </c>
      <c r="G2979" s="23" t="s">
        <v>43</v>
      </c>
      <c r="H2979" s="18" t="n">
        <v>3</v>
      </c>
      <c r="I2979" s="20" t="n">
        <v>46.8</v>
      </c>
      <c r="J2979" s="20" t="n">
        <v>125.61</v>
      </c>
      <c r="K2979" s="18" t="n">
        <v>3</v>
      </c>
      <c r="L2979" s="18" t="n">
        <v>2</v>
      </c>
      <c r="M2979" s="18" t="n">
        <v>45</v>
      </c>
      <c r="N2979" s="18" t="n">
        <v>45</v>
      </c>
      <c r="O2979" s="14" t="s">
        <v>1097</v>
      </c>
      <c r="P2979" s="14" t="s">
        <v>118</v>
      </c>
      <c r="Q2979" s="15" t="s">
        <v>1089</v>
      </c>
      <c r="R2979" s="16" t="s">
        <v>18793</v>
      </c>
      <c r="S2979" s="15" t="s">
        <v>18794</v>
      </c>
      <c r="T2979" s="15" t="s">
        <v>18794</v>
      </c>
      <c r="U2979" s="21" t="s">
        <v>72</v>
      </c>
    </row>
    <row r="2980" customFormat="false" ht="15" hidden="false" customHeight="false" outlineLevel="0" collapsed="false">
      <c r="A2980" s="15" t="s">
        <v>17956</v>
      </c>
      <c r="B2980" s="15" t="s">
        <v>15599</v>
      </c>
      <c r="C2980" s="14" t="s">
        <v>18795</v>
      </c>
      <c r="D2980" s="14" t="s">
        <v>18796</v>
      </c>
      <c r="E2980" s="16" t="s">
        <v>18797</v>
      </c>
      <c r="F2980" s="16" t="s">
        <v>18798</v>
      </c>
      <c r="G2980" s="19" t="s">
        <v>41</v>
      </c>
      <c r="H2980" s="18" t="n">
        <v>4</v>
      </c>
      <c r="I2980" s="20" t="n">
        <v>126.59</v>
      </c>
      <c r="J2980" s="20" t="n">
        <v>248.94</v>
      </c>
      <c r="K2980" s="18" t="n">
        <v>12</v>
      </c>
      <c r="L2980" s="18" t="n">
        <v>5</v>
      </c>
      <c r="M2980" s="18" t="n">
        <v>240</v>
      </c>
      <c r="N2980" s="18" t="n">
        <v>240</v>
      </c>
      <c r="O2980" s="14" t="s">
        <v>1126</v>
      </c>
      <c r="P2980" s="14" t="s">
        <v>84</v>
      </c>
      <c r="Q2980" s="15" t="s">
        <v>1089</v>
      </c>
      <c r="R2980" s="16" t="s">
        <v>18799</v>
      </c>
      <c r="S2980" s="15" t="s">
        <v>18800</v>
      </c>
      <c r="T2980" s="15" t="s">
        <v>18800</v>
      </c>
      <c r="U2980" s="21" t="s">
        <v>72</v>
      </c>
    </row>
    <row r="2981" customFormat="false" ht="15" hidden="false" customHeight="false" outlineLevel="0" collapsed="false">
      <c r="A2981" s="15" t="s">
        <v>17956</v>
      </c>
      <c r="B2981" s="15" t="s">
        <v>15599</v>
      </c>
      <c r="C2981" s="14" t="s">
        <v>18801</v>
      </c>
      <c r="D2981" s="14" t="s">
        <v>18802</v>
      </c>
      <c r="E2981" s="16" t="s">
        <v>18803</v>
      </c>
      <c r="F2981" s="16" t="s">
        <v>18798</v>
      </c>
      <c r="G2981" s="19" t="s">
        <v>41</v>
      </c>
      <c r="H2981" s="18" t="n">
        <v>6</v>
      </c>
      <c r="I2981" s="20" t="n">
        <v>206.5</v>
      </c>
      <c r="J2981" s="20" t="n">
        <v>306.31</v>
      </c>
      <c r="K2981" s="18" t="n">
        <v>17</v>
      </c>
      <c r="L2981" s="18" t="n">
        <v>1</v>
      </c>
      <c r="M2981" s="18" t="n">
        <v>340</v>
      </c>
      <c r="N2981" s="18" t="n">
        <v>340</v>
      </c>
      <c r="O2981" s="14" t="s">
        <v>1088</v>
      </c>
      <c r="P2981" s="14" t="s">
        <v>84</v>
      </c>
      <c r="Q2981" s="15" t="s">
        <v>1089</v>
      </c>
      <c r="R2981" s="16" t="s">
        <v>18804</v>
      </c>
      <c r="S2981" s="15" t="s">
        <v>18800</v>
      </c>
      <c r="T2981" s="15" t="s">
        <v>18805</v>
      </c>
      <c r="U2981" s="21" t="s">
        <v>72</v>
      </c>
    </row>
    <row r="2982" customFormat="false" ht="15" hidden="false" customHeight="false" outlineLevel="0" collapsed="false">
      <c r="A2982" s="15" t="s">
        <v>17956</v>
      </c>
      <c r="B2982" s="15" t="s">
        <v>15599</v>
      </c>
      <c r="C2982" s="14" t="s">
        <v>18806</v>
      </c>
      <c r="D2982" s="14" t="s">
        <v>18807</v>
      </c>
      <c r="E2982" s="16" t="s">
        <v>18808</v>
      </c>
      <c r="F2982" s="16" t="s">
        <v>18809</v>
      </c>
      <c r="G2982" s="23" t="s">
        <v>43</v>
      </c>
      <c r="H2982" s="18" t="n">
        <v>2</v>
      </c>
      <c r="I2982" s="20" t="n">
        <v>60.2</v>
      </c>
      <c r="J2982" s="20" t="n">
        <v>89.44</v>
      </c>
      <c r="K2982" s="18" t="n">
        <v>2</v>
      </c>
      <c r="L2982" s="18" t="n">
        <v>1</v>
      </c>
      <c r="M2982" s="18" t="n">
        <v>60</v>
      </c>
      <c r="N2982" s="18" t="n">
        <v>60</v>
      </c>
      <c r="O2982" s="14" t="s">
        <v>1088</v>
      </c>
      <c r="P2982" s="14" t="s">
        <v>118</v>
      </c>
      <c r="Q2982" s="15" t="s">
        <v>1089</v>
      </c>
      <c r="R2982" s="16" t="s">
        <v>11674</v>
      </c>
      <c r="S2982" s="15" t="s">
        <v>18810</v>
      </c>
      <c r="T2982" s="15" t="s">
        <v>18810</v>
      </c>
      <c r="U2982" s="21" t="s">
        <v>72</v>
      </c>
    </row>
    <row r="2983" customFormat="false" ht="15" hidden="false" customHeight="false" outlineLevel="0" collapsed="false">
      <c r="A2983" s="15" t="s">
        <v>17956</v>
      </c>
      <c r="B2983" s="15" t="s">
        <v>15599</v>
      </c>
      <c r="C2983" s="14" t="s">
        <v>18811</v>
      </c>
      <c r="D2983" s="14" t="s">
        <v>18812</v>
      </c>
      <c r="E2983" s="16" t="s">
        <v>18813</v>
      </c>
      <c r="F2983" s="16" t="s">
        <v>18814</v>
      </c>
      <c r="G2983" s="19" t="s">
        <v>41</v>
      </c>
      <c r="H2983" s="18" t="n">
        <v>5</v>
      </c>
      <c r="I2983" s="20" t="n">
        <v>40.05</v>
      </c>
      <c r="J2983" s="20" t="n">
        <v>202.76</v>
      </c>
      <c r="K2983" s="18" t="n">
        <v>4</v>
      </c>
      <c r="L2983" s="18" t="n">
        <v>2</v>
      </c>
      <c r="M2983" s="18" t="n">
        <v>60</v>
      </c>
      <c r="N2983" s="18" t="n">
        <v>60</v>
      </c>
      <c r="O2983" s="14" t="s">
        <v>1126</v>
      </c>
      <c r="P2983" s="14" t="s">
        <v>84</v>
      </c>
      <c r="Q2983" s="15" t="s">
        <v>1089</v>
      </c>
      <c r="R2983" s="16" t="s">
        <v>18815</v>
      </c>
      <c r="S2983" s="15" t="s">
        <v>18816</v>
      </c>
      <c r="T2983" s="15" t="s">
        <v>18816</v>
      </c>
      <c r="U2983" s="21" t="s">
        <v>72</v>
      </c>
    </row>
    <row r="2984" customFormat="false" ht="15" hidden="false" customHeight="false" outlineLevel="0" collapsed="false">
      <c r="A2984" s="15" t="s">
        <v>17956</v>
      </c>
      <c r="B2984" s="15" t="s">
        <v>15599</v>
      </c>
      <c r="C2984" s="14" t="s">
        <v>18817</v>
      </c>
      <c r="D2984" s="14" t="s">
        <v>18818</v>
      </c>
      <c r="E2984" s="16" t="s">
        <v>18819</v>
      </c>
      <c r="F2984" s="16" t="s">
        <v>18820</v>
      </c>
      <c r="G2984" s="23" t="s">
        <v>43</v>
      </c>
      <c r="H2984" s="18" t="n">
        <v>3</v>
      </c>
      <c r="I2984" s="20" t="n">
        <v>71.06</v>
      </c>
      <c r="J2984" s="20" t="n">
        <v>87.5</v>
      </c>
      <c r="K2984" s="18" t="n">
        <v>2</v>
      </c>
      <c r="L2984" s="18" t="n">
        <v>1</v>
      </c>
      <c r="M2984" s="18" t="n">
        <v>30</v>
      </c>
      <c r="N2984" s="18" t="n">
        <v>30</v>
      </c>
      <c r="O2984" s="14" t="s">
        <v>1126</v>
      </c>
      <c r="P2984" s="14" t="s">
        <v>84</v>
      </c>
      <c r="Q2984" s="15" t="s">
        <v>1089</v>
      </c>
      <c r="R2984" s="16" t="s">
        <v>3405</v>
      </c>
      <c r="S2984" s="15" t="s">
        <v>18821</v>
      </c>
      <c r="T2984" s="15" t="s">
        <v>18821</v>
      </c>
      <c r="U2984" s="21" t="s">
        <v>72</v>
      </c>
    </row>
    <row r="2985" customFormat="false" ht="15" hidden="false" customHeight="false" outlineLevel="0" collapsed="false">
      <c r="A2985" s="15" t="s">
        <v>17956</v>
      </c>
      <c r="B2985" s="15" t="s">
        <v>15599</v>
      </c>
      <c r="C2985" s="14" t="s">
        <v>18822</v>
      </c>
      <c r="D2985" s="14" t="s">
        <v>18823</v>
      </c>
      <c r="E2985" s="16" t="s">
        <v>18824</v>
      </c>
      <c r="F2985" s="16" t="s">
        <v>18825</v>
      </c>
      <c r="G2985" s="23" t="s">
        <v>43</v>
      </c>
      <c r="H2985" s="18" t="n">
        <v>4</v>
      </c>
      <c r="I2985" s="20" t="n">
        <v>111.53</v>
      </c>
      <c r="J2985" s="20" t="n">
        <v>183.82</v>
      </c>
      <c r="K2985" s="18" t="n">
        <v>17</v>
      </c>
      <c r="L2985" s="18" t="n">
        <v>6</v>
      </c>
      <c r="M2985" s="18" t="n">
        <v>309</v>
      </c>
      <c r="N2985" s="18" t="n">
        <v>275</v>
      </c>
      <c r="O2985" s="14" t="s">
        <v>9118</v>
      </c>
      <c r="P2985" s="14" t="s">
        <v>84</v>
      </c>
      <c r="Q2985" s="15" t="s">
        <v>1089</v>
      </c>
      <c r="R2985" s="16" t="s">
        <v>9687</v>
      </c>
      <c r="S2985" s="15" t="s">
        <v>18826</v>
      </c>
      <c r="T2985" s="15" t="s">
        <v>18826</v>
      </c>
      <c r="U2985" s="21" t="s">
        <v>72</v>
      </c>
    </row>
    <row r="2986" customFormat="false" ht="15" hidden="false" customHeight="false" outlineLevel="0" collapsed="false">
      <c r="A2986" s="15" t="s">
        <v>17956</v>
      </c>
      <c r="B2986" s="15" t="s">
        <v>15599</v>
      </c>
      <c r="C2986" s="14" t="s">
        <v>18827</v>
      </c>
      <c r="D2986" s="14" t="s">
        <v>18828</v>
      </c>
      <c r="E2986" s="16" t="s">
        <v>18829</v>
      </c>
      <c r="F2986" s="16" t="s">
        <v>18830</v>
      </c>
      <c r="G2986" s="23" t="s">
        <v>43</v>
      </c>
      <c r="H2986" s="18" t="n">
        <v>4</v>
      </c>
      <c r="I2986" s="20" t="n">
        <v>91.72</v>
      </c>
      <c r="J2986" s="20" t="n">
        <v>91.72</v>
      </c>
      <c r="K2986" s="18" t="n">
        <v>2</v>
      </c>
      <c r="L2986" s="18" t="n">
        <v>2</v>
      </c>
      <c r="M2986" s="18" t="n">
        <v>24</v>
      </c>
      <c r="N2986" s="18" t="n">
        <v>24</v>
      </c>
      <c r="O2986" s="14" t="s">
        <v>1088</v>
      </c>
      <c r="P2986" s="14" t="s">
        <v>84</v>
      </c>
      <c r="Q2986" s="15" t="s">
        <v>1089</v>
      </c>
      <c r="R2986" s="16" t="s">
        <v>18831</v>
      </c>
      <c r="S2986" s="15" t="s">
        <v>18832</v>
      </c>
      <c r="T2986" s="15" t="s">
        <v>18833</v>
      </c>
      <c r="U2986" s="21" t="s">
        <v>72</v>
      </c>
    </row>
    <row r="2987" customFormat="false" ht="15" hidden="false" customHeight="false" outlineLevel="0" collapsed="false">
      <c r="A2987" s="15" t="s">
        <v>17956</v>
      </c>
      <c r="B2987" s="15" t="s">
        <v>15599</v>
      </c>
      <c r="C2987" s="14" t="s">
        <v>18834</v>
      </c>
      <c r="D2987" s="14" t="s">
        <v>18835</v>
      </c>
      <c r="E2987" s="16" t="s">
        <v>18836</v>
      </c>
      <c r="F2987" s="16" t="s">
        <v>18837</v>
      </c>
      <c r="G2987" s="23" t="s">
        <v>43</v>
      </c>
      <c r="H2987" s="18" t="n">
        <v>2</v>
      </c>
      <c r="I2987" s="20" t="n">
        <v>53.67</v>
      </c>
      <c r="J2987" s="20" t="n">
        <v>107.34</v>
      </c>
      <c r="K2987" s="18" t="n">
        <v>2</v>
      </c>
      <c r="L2987" s="18" t="n">
        <v>2</v>
      </c>
      <c r="M2987" s="18" t="n">
        <v>30</v>
      </c>
      <c r="N2987" s="18" t="n">
        <v>30</v>
      </c>
      <c r="O2987" s="14" t="s">
        <v>1126</v>
      </c>
      <c r="P2987" s="14" t="s">
        <v>84</v>
      </c>
      <c r="Q2987" s="15" t="s">
        <v>1089</v>
      </c>
      <c r="R2987" s="16" t="s">
        <v>8400</v>
      </c>
      <c r="S2987" s="15" t="s">
        <v>18838</v>
      </c>
      <c r="T2987" s="15" t="s">
        <v>18838</v>
      </c>
      <c r="U2987" s="21" t="s">
        <v>72</v>
      </c>
    </row>
    <row r="2988" customFormat="false" ht="15" hidden="false" customHeight="false" outlineLevel="0" collapsed="false">
      <c r="A2988" s="15" t="s">
        <v>17956</v>
      </c>
      <c r="B2988" s="15" t="s">
        <v>15599</v>
      </c>
      <c r="C2988" s="14" t="s">
        <v>18839</v>
      </c>
      <c r="D2988" s="14" t="s">
        <v>18840</v>
      </c>
      <c r="E2988" s="16" t="s">
        <v>18841</v>
      </c>
      <c r="F2988" s="16"/>
      <c r="G2988" s="25" t="s">
        <v>39</v>
      </c>
      <c r="H2988" s="18" t="n">
        <v>6</v>
      </c>
      <c r="I2988" s="20" t="n">
        <v>172.96</v>
      </c>
      <c r="J2988" s="20" t="n">
        <v>422.36</v>
      </c>
      <c r="K2988" s="18" t="n">
        <v>3</v>
      </c>
      <c r="L2988" s="18" t="n">
        <v>3</v>
      </c>
      <c r="M2988" s="18" t="n">
        <v>45</v>
      </c>
      <c r="N2988" s="18" t="n">
        <v>15</v>
      </c>
      <c r="O2988" s="14" t="s">
        <v>1088</v>
      </c>
      <c r="P2988" s="14" t="s">
        <v>84</v>
      </c>
      <c r="Q2988" s="15" t="s">
        <v>1089</v>
      </c>
      <c r="R2988" s="16" t="s">
        <v>18842</v>
      </c>
      <c r="S2988" s="15" t="s">
        <v>18843</v>
      </c>
      <c r="T2988" s="15" t="s">
        <v>18843</v>
      </c>
      <c r="U2988" s="21" t="s">
        <v>72</v>
      </c>
    </row>
    <row r="2989" customFormat="false" ht="15" hidden="false" customHeight="false" outlineLevel="0" collapsed="false">
      <c r="A2989" s="15" t="s">
        <v>17956</v>
      </c>
      <c r="B2989" s="15" t="s">
        <v>15599</v>
      </c>
      <c r="C2989" s="14" t="s">
        <v>18844</v>
      </c>
      <c r="D2989" s="14" t="s">
        <v>18845</v>
      </c>
      <c r="E2989" s="16" t="s">
        <v>18846</v>
      </c>
      <c r="F2989" s="16" t="s">
        <v>18847</v>
      </c>
      <c r="G2989" s="23" t="s">
        <v>43</v>
      </c>
      <c r="H2989" s="18" t="n">
        <v>3</v>
      </c>
      <c r="I2989" s="20" t="n">
        <v>88.83</v>
      </c>
      <c r="J2989" s="20" t="n">
        <v>98.01</v>
      </c>
      <c r="K2989" s="18" t="n">
        <v>3</v>
      </c>
      <c r="L2989" s="18" t="n">
        <v>14</v>
      </c>
      <c r="M2989" s="18" t="n">
        <v>63</v>
      </c>
      <c r="N2989" s="18" t="n">
        <v>21</v>
      </c>
      <c r="O2989" s="14" t="s">
        <v>1097</v>
      </c>
      <c r="P2989" s="14" t="s">
        <v>118</v>
      </c>
      <c r="Q2989" s="15" t="s">
        <v>1089</v>
      </c>
      <c r="R2989" s="16" t="s">
        <v>10958</v>
      </c>
      <c r="S2989" s="15" t="s">
        <v>18848</v>
      </c>
      <c r="T2989" s="15" t="s">
        <v>18849</v>
      </c>
      <c r="U2989" s="21" t="s">
        <v>72</v>
      </c>
    </row>
    <row r="2990" customFormat="false" ht="15" hidden="false" customHeight="false" outlineLevel="0" collapsed="false">
      <c r="A2990" s="15" t="s">
        <v>17956</v>
      </c>
      <c r="B2990" s="15" t="s">
        <v>15599</v>
      </c>
      <c r="C2990" s="14" t="s">
        <v>18850</v>
      </c>
      <c r="D2990" s="14" t="s">
        <v>18851</v>
      </c>
      <c r="E2990" s="16" t="s">
        <v>18852</v>
      </c>
      <c r="F2990" s="16"/>
      <c r="G2990" s="23" t="s">
        <v>43</v>
      </c>
      <c r="H2990" s="18" t="n">
        <v>3</v>
      </c>
      <c r="I2990" s="20" t="n">
        <v>52.54</v>
      </c>
      <c r="J2990" s="20" t="n">
        <v>149.97</v>
      </c>
      <c r="K2990" s="18" t="n">
        <v>2</v>
      </c>
      <c r="L2990" s="18" t="n">
        <v>1</v>
      </c>
      <c r="M2990" s="18" t="n">
        <v>30</v>
      </c>
      <c r="N2990" s="18" t="n">
        <v>30</v>
      </c>
      <c r="O2990" s="14" t="s">
        <v>1126</v>
      </c>
      <c r="P2990" s="14" t="s">
        <v>84</v>
      </c>
      <c r="Q2990" s="15" t="s">
        <v>1089</v>
      </c>
      <c r="R2990" s="16" t="s">
        <v>18365</v>
      </c>
      <c r="S2990" s="15" t="s">
        <v>18853</v>
      </c>
      <c r="T2990" s="15" t="s">
        <v>18854</v>
      </c>
      <c r="U2990" s="21" t="s">
        <v>72</v>
      </c>
    </row>
    <row r="2991" customFormat="false" ht="15" hidden="false" customHeight="false" outlineLevel="0" collapsed="false">
      <c r="A2991" s="15" t="s">
        <v>17956</v>
      </c>
      <c r="B2991" s="15" t="s">
        <v>15599</v>
      </c>
      <c r="C2991" s="14" t="s">
        <v>18855</v>
      </c>
      <c r="D2991" s="14" t="s">
        <v>18856</v>
      </c>
      <c r="E2991" s="16" t="s">
        <v>18857</v>
      </c>
      <c r="F2991" s="16" t="s">
        <v>18858</v>
      </c>
      <c r="G2991" s="19" t="s">
        <v>41</v>
      </c>
      <c r="H2991" s="18" t="n">
        <v>6</v>
      </c>
      <c r="I2991" s="20" t="n">
        <v>141.8</v>
      </c>
      <c r="J2991" s="20" t="n">
        <v>172.94</v>
      </c>
      <c r="K2991" s="18" t="n">
        <v>2</v>
      </c>
      <c r="L2991" s="18" t="n">
        <v>3</v>
      </c>
      <c r="M2991" s="18" t="n">
        <v>30</v>
      </c>
      <c r="N2991" s="18" t="n">
        <v>30</v>
      </c>
      <c r="O2991" s="14" t="s">
        <v>1097</v>
      </c>
      <c r="P2991" s="14" t="s">
        <v>84</v>
      </c>
      <c r="Q2991" s="15" t="s">
        <v>1089</v>
      </c>
      <c r="R2991" s="16" t="s">
        <v>12487</v>
      </c>
      <c r="S2991" s="15" t="s">
        <v>18859</v>
      </c>
      <c r="T2991" s="15" t="s">
        <v>18860</v>
      </c>
      <c r="U2991" s="21" t="s">
        <v>72</v>
      </c>
    </row>
    <row r="2992" customFormat="false" ht="15" hidden="false" customHeight="false" outlineLevel="0" collapsed="false">
      <c r="A2992" s="15" t="s">
        <v>17956</v>
      </c>
      <c r="B2992" s="15" t="s">
        <v>15599</v>
      </c>
      <c r="C2992" s="14" t="s">
        <v>18861</v>
      </c>
      <c r="D2992" s="14" t="s">
        <v>18862</v>
      </c>
      <c r="E2992" s="16" t="s">
        <v>18863</v>
      </c>
      <c r="F2992" s="16" t="s">
        <v>18864</v>
      </c>
      <c r="G2992" s="19" t="s">
        <v>41</v>
      </c>
      <c r="H2992" s="18" t="n">
        <v>6</v>
      </c>
      <c r="I2992" s="20" t="n">
        <v>198.16</v>
      </c>
      <c r="J2992" s="20" t="n">
        <v>328.74</v>
      </c>
      <c r="K2992" s="18" t="n">
        <v>5</v>
      </c>
      <c r="L2992" s="18" t="n">
        <v>11</v>
      </c>
      <c r="M2992" s="18" t="n">
        <v>145</v>
      </c>
      <c r="N2992" s="18" t="n">
        <v>45</v>
      </c>
      <c r="O2992" s="14" t="s">
        <v>1088</v>
      </c>
      <c r="P2992" s="14" t="s">
        <v>84</v>
      </c>
      <c r="Q2992" s="15" t="s">
        <v>1089</v>
      </c>
      <c r="R2992" s="16" t="s">
        <v>18865</v>
      </c>
      <c r="S2992" s="15" t="s">
        <v>18866</v>
      </c>
      <c r="T2992" s="15" t="s">
        <v>18866</v>
      </c>
      <c r="U2992" s="21" t="s">
        <v>72</v>
      </c>
    </row>
    <row r="2993" customFormat="false" ht="15" hidden="false" customHeight="false" outlineLevel="0" collapsed="false">
      <c r="A2993" s="15" t="s">
        <v>17956</v>
      </c>
      <c r="B2993" s="15" t="s">
        <v>15599</v>
      </c>
      <c r="C2993" s="14" t="s">
        <v>18867</v>
      </c>
      <c r="D2993" s="14" t="s">
        <v>18868</v>
      </c>
      <c r="E2993" s="16" t="s">
        <v>18869</v>
      </c>
      <c r="F2993" s="16" t="s">
        <v>18870</v>
      </c>
      <c r="G2993" s="23" t="s">
        <v>43</v>
      </c>
      <c r="H2993" s="18" t="n">
        <v>1</v>
      </c>
      <c r="I2993" s="20" t="n">
        <v>45.81</v>
      </c>
      <c r="J2993" s="20" t="n">
        <v>82.32</v>
      </c>
      <c r="K2993" s="18" t="n">
        <v>3</v>
      </c>
      <c r="L2993" s="18" t="n">
        <v>1</v>
      </c>
      <c r="M2993" s="18" t="n">
        <v>30</v>
      </c>
      <c r="N2993" s="18" t="n">
        <v>12</v>
      </c>
      <c r="O2993" s="14" t="s">
        <v>1126</v>
      </c>
      <c r="P2993" s="14" t="s">
        <v>84</v>
      </c>
      <c r="Q2993" s="15" t="s">
        <v>1089</v>
      </c>
      <c r="R2993" s="16" t="s">
        <v>18871</v>
      </c>
      <c r="S2993" s="15" t="s">
        <v>18872</v>
      </c>
      <c r="T2993" s="15" t="s">
        <v>18873</v>
      </c>
      <c r="U2993" s="21" t="s">
        <v>72</v>
      </c>
    </row>
    <row r="2994" customFormat="false" ht="15" hidden="false" customHeight="false" outlineLevel="0" collapsed="false">
      <c r="A2994" s="15" t="s">
        <v>17956</v>
      </c>
      <c r="B2994" s="15" t="s">
        <v>15599</v>
      </c>
      <c r="C2994" s="14" t="s">
        <v>18874</v>
      </c>
      <c r="D2994" s="14" t="s">
        <v>18875</v>
      </c>
      <c r="E2994" s="16" t="s">
        <v>18876</v>
      </c>
      <c r="F2994" s="16" t="s">
        <v>18877</v>
      </c>
      <c r="G2994" s="23" t="s">
        <v>43</v>
      </c>
      <c r="H2994" s="18" t="n">
        <v>3</v>
      </c>
      <c r="I2994" s="20" t="n">
        <v>49.6</v>
      </c>
      <c r="J2994" s="20" t="n">
        <v>149</v>
      </c>
      <c r="K2994" s="18" t="n">
        <v>3</v>
      </c>
      <c r="L2994" s="18" t="n">
        <v>7</v>
      </c>
      <c r="M2994" s="18" t="n">
        <v>52</v>
      </c>
      <c r="N2994" s="18" t="n">
        <v>25</v>
      </c>
      <c r="O2994" s="14" t="s">
        <v>1097</v>
      </c>
      <c r="P2994" s="14" t="s">
        <v>118</v>
      </c>
      <c r="Q2994" s="15" t="s">
        <v>1089</v>
      </c>
      <c r="R2994" s="16" t="s">
        <v>18878</v>
      </c>
      <c r="S2994" s="15" t="s">
        <v>18879</v>
      </c>
      <c r="T2994" s="15" t="s">
        <v>18880</v>
      </c>
      <c r="U2994" s="21" t="s">
        <v>72</v>
      </c>
    </row>
    <row r="2995" customFormat="false" ht="15" hidden="false" customHeight="false" outlineLevel="0" collapsed="false">
      <c r="A2995" s="15" t="s">
        <v>17956</v>
      </c>
      <c r="B2995" s="15" t="s">
        <v>15599</v>
      </c>
      <c r="C2995" s="14" t="s">
        <v>18881</v>
      </c>
      <c r="D2995" s="14" t="s">
        <v>18882</v>
      </c>
      <c r="E2995" s="16" t="s">
        <v>18883</v>
      </c>
      <c r="F2995" s="16" t="s">
        <v>18884</v>
      </c>
      <c r="G2995" s="19" t="s">
        <v>41</v>
      </c>
      <c r="H2995" s="18" t="n">
        <v>7</v>
      </c>
      <c r="I2995" s="20" t="n">
        <v>147.25</v>
      </c>
      <c r="J2995" s="20" t="n">
        <v>361.95</v>
      </c>
      <c r="K2995" s="18" t="n">
        <v>6</v>
      </c>
      <c r="L2995" s="18" t="n">
        <v>8</v>
      </c>
      <c r="M2995" s="18" t="n">
        <v>96</v>
      </c>
      <c r="N2995" s="18" t="n">
        <v>96</v>
      </c>
      <c r="O2995" s="14" t="s">
        <v>1088</v>
      </c>
      <c r="P2995" s="14" t="s">
        <v>84</v>
      </c>
      <c r="Q2995" s="15" t="s">
        <v>1089</v>
      </c>
      <c r="R2995" s="16" t="s">
        <v>18885</v>
      </c>
      <c r="S2995" s="15" t="s">
        <v>18886</v>
      </c>
      <c r="T2995" s="15" t="s">
        <v>18887</v>
      </c>
      <c r="U2995" s="21" t="s">
        <v>72</v>
      </c>
    </row>
    <row r="2996" customFormat="false" ht="15" hidden="false" customHeight="false" outlineLevel="0" collapsed="false">
      <c r="A2996" s="15" t="s">
        <v>17956</v>
      </c>
      <c r="B2996" s="15" t="s">
        <v>15599</v>
      </c>
      <c r="C2996" s="14" t="s">
        <v>18888</v>
      </c>
      <c r="D2996" s="14" t="s">
        <v>18889</v>
      </c>
      <c r="E2996" s="16" t="s">
        <v>18890</v>
      </c>
      <c r="F2996" s="16" t="s">
        <v>18891</v>
      </c>
      <c r="G2996" s="23" t="s">
        <v>43</v>
      </c>
      <c r="H2996" s="18" t="n">
        <v>1</v>
      </c>
      <c r="I2996" s="20" t="n">
        <v>30</v>
      </c>
      <c r="J2996" s="20" t="n">
        <v>75.6</v>
      </c>
      <c r="K2996" s="18" t="n">
        <v>2</v>
      </c>
      <c r="L2996" s="18" t="n">
        <v>1</v>
      </c>
      <c r="M2996" s="18" t="n">
        <v>24</v>
      </c>
      <c r="N2996" s="18" t="n">
        <v>24</v>
      </c>
      <c r="O2996" s="14" t="s">
        <v>1097</v>
      </c>
      <c r="P2996" s="14" t="s">
        <v>84</v>
      </c>
      <c r="Q2996" s="15" t="s">
        <v>1089</v>
      </c>
      <c r="R2996" s="16" t="s">
        <v>15733</v>
      </c>
      <c r="S2996" s="15" t="s">
        <v>18892</v>
      </c>
      <c r="T2996" s="15" t="s">
        <v>18892</v>
      </c>
      <c r="U2996" s="21" t="s">
        <v>72</v>
      </c>
    </row>
    <row r="2997" customFormat="false" ht="15" hidden="false" customHeight="false" outlineLevel="0" collapsed="false">
      <c r="A2997" s="15" t="s">
        <v>17956</v>
      </c>
      <c r="B2997" s="15" t="s">
        <v>15599</v>
      </c>
      <c r="C2997" s="14" t="s">
        <v>18893</v>
      </c>
      <c r="D2997" s="14" t="s">
        <v>18894</v>
      </c>
      <c r="E2997" s="16" t="s">
        <v>18895</v>
      </c>
      <c r="F2997" s="16" t="s">
        <v>18896</v>
      </c>
      <c r="G2997" s="23" t="s">
        <v>43</v>
      </c>
      <c r="H2997" s="18" t="n">
        <v>3</v>
      </c>
      <c r="I2997" s="20" t="n">
        <v>51.89</v>
      </c>
      <c r="J2997" s="20" t="n">
        <v>83.89</v>
      </c>
      <c r="K2997" s="18" t="n">
        <v>2</v>
      </c>
      <c r="L2997" s="18" t="n">
        <v>1</v>
      </c>
      <c r="M2997" s="18" t="n">
        <v>16</v>
      </c>
      <c r="N2997" s="18" t="n">
        <v>16</v>
      </c>
      <c r="O2997" s="14" t="s">
        <v>1088</v>
      </c>
      <c r="P2997" s="14" t="s">
        <v>84</v>
      </c>
      <c r="Q2997" s="15" t="s">
        <v>1089</v>
      </c>
      <c r="R2997" s="16" t="s">
        <v>10146</v>
      </c>
      <c r="S2997" s="15" t="s">
        <v>18897</v>
      </c>
      <c r="T2997" s="15" t="s">
        <v>18898</v>
      </c>
      <c r="U2997" s="21" t="s">
        <v>72</v>
      </c>
    </row>
    <row r="2998" customFormat="false" ht="15" hidden="false" customHeight="false" outlineLevel="0" collapsed="false">
      <c r="A2998" s="15" t="s">
        <v>17956</v>
      </c>
      <c r="B2998" s="15" t="s">
        <v>15599</v>
      </c>
      <c r="C2998" s="14" t="s">
        <v>18899</v>
      </c>
      <c r="D2998" s="14" t="s">
        <v>18900</v>
      </c>
      <c r="E2998" s="16" t="s">
        <v>18901</v>
      </c>
      <c r="F2998" s="16" t="s">
        <v>18902</v>
      </c>
      <c r="G2998" s="23" t="s">
        <v>43</v>
      </c>
      <c r="H2998" s="18" t="n">
        <v>3</v>
      </c>
      <c r="I2998" s="20" t="n">
        <v>89.8</v>
      </c>
      <c r="J2998" s="20" t="n">
        <v>115.76</v>
      </c>
      <c r="K2998" s="18" t="n">
        <v>2</v>
      </c>
      <c r="L2998" s="18" t="n">
        <v>1</v>
      </c>
      <c r="M2998" s="18" t="n">
        <v>30</v>
      </c>
      <c r="N2998" s="18" t="n">
        <v>30</v>
      </c>
      <c r="O2998" s="14" t="s">
        <v>1088</v>
      </c>
      <c r="P2998" s="14" t="s">
        <v>84</v>
      </c>
      <c r="Q2998" s="15" t="s">
        <v>1089</v>
      </c>
      <c r="R2998" s="16" t="s">
        <v>18903</v>
      </c>
      <c r="S2998" s="15" t="s">
        <v>18904</v>
      </c>
      <c r="T2998" s="15" t="s">
        <v>18904</v>
      </c>
      <c r="U2998" s="21" t="s">
        <v>72</v>
      </c>
    </row>
    <row r="2999" customFormat="false" ht="15" hidden="false" customHeight="false" outlineLevel="0" collapsed="false">
      <c r="A2999" s="15" t="s">
        <v>17956</v>
      </c>
      <c r="B2999" s="15" t="s">
        <v>15599</v>
      </c>
      <c r="C2999" s="14" t="s">
        <v>18905</v>
      </c>
      <c r="D2999" s="14" t="s">
        <v>18906</v>
      </c>
      <c r="E2999" s="16" t="s">
        <v>18907</v>
      </c>
      <c r="F2999" s="16" t="s">
        <v>18908</v>
      </c>
      <c r="G2999" s="25" t="s">
        <v>39</v>
      </c>
      <c r="H2999" s="18" t="n">
        <v>5</v>
      </c>
      <c r="I2999" s="20" t="n">
        <v>314.21</v>
      </c>
      <c r="J2999" s="20" t="n">
        <v>448.03</v>
      </c>
      <c r="K2999" s="18" t="n">
        <v>5</v>
      </c>
      <c r="L2999" s="18" t="n">
        <v>2</v>
      </c>
      <c r="M2999" s="18" t="n">
        <v>200</v>
      </c>
      <c r="N2999" s="18" t="n">
        <v>200</v>
      </c>
      <c r="O2999" s="14" t="s">
        <v>1126</v>
      </c>
      <c r="P2999" s="14" t="s">
        <v>84</v>
      </c>
      <c r="Q2999" s="15" t="s">
        <v>1089</v>
      </c>
      <c r="R2999" s="16" t="s">
        <v>7049</v>
      </c>
      <c r="S2999" s="15" t="s">
        <v>18909</v>
      </c>
      <c r="T2999" s="15" t="s">
        <v>18910</v>
      </c>
      <c r="U2999" s="21" t="s">
        <v>72</v>
      </c>
    </row>
    <row r="3000" customFormat="false" ht="15" hidden="false" customHeight="false" outlineLevel="0" collapsed="false">
      <c r="A3000" s="15" t="s">
        <v>17956</v>
      </c>
      <c r="B3000" s="15" t="s">
        <v>15599</v>
      </c>
      <c r="C3000" s="14" t="s">
        <v>18911</v>
      </c>
      <c r="D3000" s="14" t="s">
        <v>18912</v>
      </c>
      <c r="E3000" s="16" t="s">
        <v>18913</v>
      </c>
      <c r="F3000" s="16"/>
      <c r="G3000" s="23" t="s">
        <v>43</v>
      </c>
      <c r="H3000" s="18" t="n">
        <v>2</v>
      </c>
      <c r="I3000" s="20" t="n">
        <v>40.64</v>
      </c>
      <c r="J3000" s="20" t="n">
        <v>76.9</v>
      </c>
      <c r="K3000" s="18" t="n">
        <v>3</v>
      </c>
      <c r="L3000" s="18" t="n">
        <v>1</v>
      </c>
      <c r="M3000" s="18" t="n">
        <v>36</v>
      </c>
      <c r="N3000" s="18" t="n">
        <v>24</v>
      </c>
      <c r="O3000" s="14" t="s">
        <v>6448</v>
      </c>
      <c r="P3000" s="14" t="s">
        <v>84</v>
      </c>
      <c r="Q3000" s="15" t="s">
        <v>1089</v>
      </c>
      <c r="R3000" s="16" t="s">
        <v>10359</v>
      </c>
      <c r="S3000" s="15" t="s">
        <v>18914</v>
      </c>
      <c r="T3000" s="15" t="s">
        <v>18914</v>
      </c>
      <c r="U3000" s="21" t="s">
        <v>72</v>
      </c>
    </row>
    <row r="3001" customFormat="false" ht="15" hidden="false" customHeight="false" outlineLevel="0" collapsed="false">
      <c r="A3001" s="15" t="s">
        <v>17956</v>
      </c>
      <c r="B3001" s="15" t="s">
        <v>15599</v>
      </c>
      <c r="C3001" s="14" t="s">
        <v>18915</v>
      </c>
      <c r="D3001" s="14" t="s">
        <v>18916</v>
      </c>
      <c r="E3001" s="16" t="s">
        <v>18917</v>
      </c>
      <c r="F3001" s="16"/>
      <c r="G3001" s="23" t="s">
        <v>43</v>
      </c>
      <c r="H3001" s="18" t="n">
        <v>2</v>
      </c>
      <c r="I3001" s="20" t="n">
        <v>50.54</v>
      </c>
      <c r="J3001" s="20" t="n">
        <v>101.09</v>
      </c>
      <c r="K3001" s="18" t="n">
        <v>2</v>
      </c>
      <c r="L3001" s="18" t="n">
        <v>1</v>
      </c>
      <c r="M3001" s="18" t="n">
        <v>12</v>
      </c>
      <c r="N3001" s="18" t="n">
        <v>12</v>
      </c>
      <c r="O3001" s="14" t="s">
        <v>1097</v>
      </c>
      <c r="P3001" s="14" t="s">
        <v>84</v>
      </c>
      <c r="Q3001" s="15" t="s">
        <v>1089</v>
      </c>
      <c r="R3001" s="16" t="s">
        <v>18918</v>
      </c>
      <c r="S3001" s="15" t="s">
        <v>18919</v>
      </c>
      <c r="T3001" s="15" t="s">
        <v>18919</v>
      </c>
      <c r="U3001" s="21" t="s">
        <v>72</v>
      </c>
    </row>
    <row r="3002" customFormat="false" ht="15" hidden="false" customHeight="false" outlineLevel="0" collapsed="false">
      <c r="A3002" s="15" t="s">
        <v>17956</v>
      </c>
      <c r="B3002" s="15" t="s">
        <v>15599</v>
      </c>
      <c r="C3002" s="14" t="s">
        <v>18920</v>
      </c>
      <c r="D3002" s="14" t="s">
        <v>18921</v>
      </c>
      <c r="E3002" s="16" t="s">
        <v>18922</v>
      </c>
      <c r="F3002" s="16"/>
      <c r="G3002" s="23" t="s">
        <v>43</v>
      </c>
      <c r="H3002" s="18" t="n">
        <v>2</v>
      </c>
      <c r="I3002" s="20" t="n">
        <v>59.5</v>
      </c>
      <c r="J3002" s="20" t="n">
        <v>77.49</v>
      </c>
      <c r="K3002" s="18" t="n">
        <v>2</v>
      </c>
      <c r="L3002" s="18" t="n">
        <v>1</v>
      </c>
      <c r="M3002" s="18" t="n">
        <v>40</v>
      </c>
      <c r="N3002" s="18" t="n">
        <v>40</v>
      </c>
      <c r="O3002" s="14" t="s">
        <v>1097</v>
      </c>
      <c r="P3002" s="14" t="s">
        <v>84</v>
      </c>
      <c r="Q3002" s="15" t="s">
        <v>1089</v>
      </c>
      <c r="R3002" s="16" t="s">
        <v>18923</v>
      </c>
      <c r="S3002" s="15" t="s">
        <v>18924</v>
      </c>
      <c r="T3002" s="15" t="s">
        <v>18924</v>
      </c>
      <c r="U3002" s="21" t="s">
        <v>72</v>
      </c>
    </row>
    <row r="3003" customFormat="false" ht="15" hidden="false" customHeight="false" outlineLevel="0" collapsed="false">
      <c r="A3003" s="15" t="s">
        <v>17956</v>
      </c>
      <c r="B3003" s="15" t="s">
        <v>15599</v>
      </c>
      <c r="C3003" s="14" t="s">
        <v>18925</v>
      </c>
      <c r="D3003" s="14" t="s">
        <v>18926</v>
      </c>
      <c r="E3003" s="16" t="s">
        <v>18927</v>
      </c>
      <c r="F3003" s="16" t="s">
        <v>18928</v>
      </c>
      <c r="G3003" s="23" t="s">
        <v>43</v>
      </c>
      <c r="H3003" s="18" t="n">
        <v>4</v>
      </c>
      <c r="I3003" s="20" t="n">
        <v>50</v>
      </c>
      <c r="J3003" s="20" t="n">
        <v>114</v>
      </c>
      <c r="K3003" s="18" t="n">
        <v>5</v>
      </c>
      <c r="L3003" s="18" t="n">
        <v>1</v>
      </c>
      <c r="M3003" s="18" t="n">
        <v>82</v>
      </c>
      <c r="N3003" s="18" t="n">
        <v>40</v>
      </c>
      <c r="O3003" s="14" t="s">
        <v>1088</v>
      </c>
      <c r="P3003" s="14" t="s">
        <v>118</v>
      </c>
      <c r="Q3003" s="15" t="s">
        <v>1089</v>
      </c>
      <c r="R3003" s="16" t="s">
        <v>9762</v>
      </c>
      <c r="S3003" s="15" t="s">
        <v>18929</v>
      </c>
      <c r="T3003" s="15" t="s">
        <v>18929</v>
      </c>
      <c r="U3003" s="21" t="s">
        <v>72</v>
      </c>
    </row>
    <row r="3004" customFormat="false" ht="15" hidden="false" customHeight="false" outlineLevel="0" collapsed="false">
      <c r="A3004" s="15" t="s">
        <v>17956</v>
      </c>
      <c r="B3004" s="15" t="s">
        <v>15599</v>
      </c>
      <c r="C3004" s="14" t="s">
        <v>18930</v>
      </c>
      <c r="D3004" s="14" t="s">
        <v>18931</v>
      </c>
      <c r="E3004" s="16" t="s">
        <v>18932</v>
      </c>
      <c r="F3004" s="16" t="s">
        <v>18933</v>
      </c>
      <c r="G3004" s="19" t="s">
        <v>41</v>
      </c>
      <c r="H3004" s="18" t="n">
        <v>6</v>
      </c>
      <c r="I3004" s="20" t="n">
        <v>141.84</v>
      </c>
      <c r="J3004" s="20" t="n">
        <v>270.1</v>
      </c>
      <c r="K3004" s="18" t="n">
        <v>4</v>
      </c>
      <c r="L3004" s="18" t="n">
        <v>4</v>
      </c>
      <c r="M3004" s="18" t="n">
        <v>84</v>
      </c>
      <c r="N3004" s="18" t="n">
        <v>42</v>
      </c>
      <c r="O3004" s="14" t="s">
        <v>1097</v>
      </c>
      <c r="P3004" s="14" t="s">
        <v>118</v>
      </c>
      <c r="Q3004" s="15" t="s">
        <v>1089</v>
      </c>
      <c r="R3004" s="16" t="s">
        <v>5623</v>
      </c>
      <c r="S3004" s="15" t="s">
        <v>18934</v>
      </c>
      <c r="T3004" s="15" t="s">
        <v>18935</v>
      </c>
      <c r="U3004" s="21" t="s">
        <v>72</v>
      </c>
    </row>
    <row r="3005" customFormat="false" ht="15" hidden="false" customHeight="false" outlineLevel="0" collapsed="false">
      <c r="A3005" s="15" t="s">
        <v>17956</v>
      </c>
      <c r="B3005" s="15" t="s">
        <v>15599</v>
      </c>
      <c r="C3005" s="14" t="s">
        <v>18936</v>
      </c>
      <c r="D3005" s="14" t="s">
        <v>18937</v>
      </c>
      <c r="E3005" s="16" t="s">
        <v>18938</v>
      </c>
      <c r="F3005" s="16" t="s">
        <v>18939</v>
      </c>
      <c r="G3005" s="23" t="s">
        <v>43</v>
      </c>
      <c r="H3005" s="18" t="n">
        <v>2</v>
      </c>
      <c r="I3005" s="20" t="n">
        <v>46.67</v>
      </c>
      <c r="J3005" s="20" t="n">
        <v>91.28</v>
      </c>
      <c r="K3005" s="18" t="n">
        <v>2</v>
      </c>
      <c r="L3005" s="18" t="n">
        <v>4</v>
      </c>
      <c r="M3005" s="18" t="n">
        <v>28</v>
      </c>
      <c r="N3005" s="18" t="n">
        <v>28</v>
      </c>
      <c r="O3005" s="14" t="s">
        <v>1126</v>
      </c>
      <c r="P3005" s="14" t="s">
        <v>84</v>
      </c>
      <c r="Q3005" s="15" t="s">
        <v>1089</v>
      </c>
      <c r="R3005" s="16" t="s">
        <v>17143</v>
      </c>
      <c r="S3005" s="15" t="s">
        <v>18940</v>
      </c>
      <c r="T3005" s="15" t="s">
        <v>8754</v>
      </c>
      <c r="U3005" s="21" t="s">
        <v>72</v>
      </c>
    </row>
    <row r="3006" customFormat="false" ht="15" hidden="false" customHeight="false" outlineLevel="0" collapsed="false">
      <c r="A3006" s="15" t="s">
        <v>17956</v>
      </c>
      <c r="B3006" s="15" t="s">
        <v>15599</v>
      </c>
      <c r="C3006" s="14" t="s">
        <v>18941</v>
      </c>
      <c r="D3006" s="14" t="s">
        <v>18942</v>
      </c>
      <c r="E3006" s="16" t="s">
        <v>18943</v>
      </c>
      <c r="F3006" s="16" t="s">
        <v>18939</v>
      </c>
      <c r="G3006" s="25" t="s">
        <v>39</v>
      </c>
      <c r="H3006" s="18" t="n">
        <v>2</v>
      </c>
      <c r="I3006" s="20" t="n">
        <v>50.94</v>
      </c>
      <c r="J3006" s="20" t="n">
        <v>941.79</v>
      </c>
      <c r="K3006" s="18" t="n">
        <v>2</v>
      </c>
      <c r="L3006" s="18" t="n">
        <v>4</v>
      </c>
      <c r="M3006" s="18" t="n">
        <v>36</v>
      </c>
      <c r="N3006" s="18" t="n">
        <v>36</v>
      </c>
      <c r="O3006" s="14" t="s">
        <v>18944</v>
      </c>
      <c r="P3006" s="14" t="s">
        <v>84</v>
      </c>
      <c r="Q3006" s="15" t="s">
        <v>1089</v>
      </c>
      <c r="R3006" s="16" t="s">
        <v>7518</v>
      </c>
      <c r="S3006" s="15" t="s">
        <v>18940</v>
      </c>
      <c r="T3006" s="15" t="s">
        <v>18940</v>
      </c>
      <c r="U3006" s="21" t="s">
        <v>72</v>
      </c>
    </row>
    <row r="3007" customFormat="false" ht="15" hidden="false" customHeight="false" outlineLevel="0" collapsed="false">
      <c r="A3007" s="15" t="s">
        <v>17956</v>
      </c>
      <c r="B3007" s="15" t="s">
        <v>15599</v>
      </c>
      <c r="C3007" s="14" t="s">
        <v>18945</v>
      </c>
      <c r="D3007" s="14" t="s">
        <v>18946</v>
      </c>
      <c r="E3007" s="16" t="s">
        <v>18947</v>
      </c>
      <c r="F3007" s="16" t="s">
        <v>18948</v>
      </c>
      <c r="G3007" s="23" t="s">
        <v>43</v>
      </c>
      <c r="H3007" s="18" t="n">
        <v>3</v>
      </c>
      <c r="I3007" s="20" t="n">
        <v>115.64</v>
      </c>
      <c r="J3007" s="20" t="n">
        <v>115.64</v>
      </c>
      <c r="K3007" s="18" t="n">
        <v>2</v>
      </c>
      <c r="L3007" s="18" t="n">
        <v>2</v>
      </c>
      <c r="M3007" s="18" t="n">
        <v>40</v>
      </c>
      <c r="N3007" s="18" t="n">
        <v>40</v>
      </c>
      <c r="O3007" s="14" t="s">
        <v>1088</v>
      </c>
      <c r="P3007" s="14" t="s">
        <v>84</v>
      </c>
      <c r="Q3007" s="15" t="s">
        <v>1089</v>
      </c>
      <c r="R3007" s="16" t="s">
        <v>18949</v>
      </c>
      <c r="S3007" s="15" t="s">
        <v>18950</v>
      </c>
      <c r="T3007" s="15" t="s">
        <v>18950</v>
      </c>
      <c r="U3007" s="21" t="s">
        <v>72</v>
      </c>
    </row>
    <row r="3008" customFormat="false" ht="15" hidden="false" customHeight="false" outlineLevel="0" collapsed="false">
      <c r="A3008" s="15" t="s">
        <v>17956</v>
      </c>
      <c r="B3008" s="15" t="s">
        <v>15599</v>
      </c>
      <c r="C3008" s="14" t="s">
        <v>18951</v>
      </c>
      <c r="D3008" s="14" t="s">
        <v>18952</v>
      </c>
      <c r="E3008" s="16" t="s">
        <v>18953</v>
      </c>
      <c r="F3008" s="16" t="s">
        <v>18954</v>
      </c>
      <c r="G3008" s="23" t="s">
        <v>43</v>
      </c>
      <c r="H3008" s="18" t="n">
        <v>3</v>
      </c>
      <c r="I3008" s="20" t="n">
        <v>89.85</v>
      </c>
      <c r="J3008" s="20" t="n">
        <v>147.29</v>
      </c>
      <c r="K3008" s="18" t="n">
        <v>8</v>
      </c>
      <c r="L3008" s="18" t="n">
        <v>3</v>
      </c>
      <c r="M3008" s="18" t="n">
        <v>120</v>
      </c>
      <c r="N3008" s="18" t="n">
        <v>120</v>
      </c>
      <c r="O3008" s="14" t="s">
        <v>1088</v>
      </c>
      <c r="P3008" s="14" t="s">
        <v>84</v>
      </c>
      <c r="Q3008" s="15" t="s">
        <v>1089</v>
      </c>
      <c r="R3008" s="16" t="s">
        <v>18955</v>
      </c>
      <c r="S3008" s="15" t="s">
        <v>784</v>
      </c>
      <c r="T3008" s="15" t="s">
        <v>784</v>
      </c>
      <c r="U3008" s="21" t="s">
        <v>72</v>
      </c>
    </row>
    <row r="3009" customFormat="false" ht="15" hidden="false" customHeight="false" outlineLevel="0" collapsed="false">
      <c r="A3009" s="15" t="s">
        <v>17956</v>
      </c>
      <c r="B3009" s="15" t="s">
        <v>15599</v>
      </c>
      <c r="C3009" s="14" t="s">
        <v>18956</v>
      </c>
      <c r="D3009" s="14" t="s">
        <v>18957</v>
      </c>
      <c r="E3009" s="16" t="s">
        <v>18958</v>
      </c>
      <c r="F3009" s="16" t="s">
        <v>18592</v>
      </c>
      <c r="G3009" s="25" t="s">
        <v>39</v>
      </c>
      <c r="H3009" s="18" t="n">
        <v>9</v>
      </c>
      <c r="I3009" s="20" t="n">
        <v>166.15</v>
      </c>
      <c r="J3009" s="20" t="n">
        <v>310.05</v>
      </c>
      <c r="K3009" s="18" t="n">
        <v>2</v>
      </c>
      <c r="L3009" s="18" t="n">
        <v>2</v>
      </c>
      <c r="M3009" s="18" t="n">
        <v>30</v>
      </c>
      <c r="N3009" s="18" t="n">
        <v>15</v>
      </c>
      <c r="O3009" s="14" t="s">
        <v>1126</v>
      </c>
      <c r="P3009" s="14" t="s">
        <v>84</v>
      </c>
      <c r="Q3009" s="15" t="s">
        <v>1089</v>
      </c>
      <c r="R3009" s="16" t="s">
        <v>18959</v>
      </c>
      <c r="S3009" s="15" t="s">
        <v>18593</v>
      </c>
      <c r="T3009" s="15" t="s">
        <v>18960</v>
      </c>
      <c r="U3009" s="21" t="s">
        <v>72</v>
      </c>
    </row>
    <row r="3010" customFormat="false" ht="15" hidden="false" customHeight="false" outlineLevel="0" collapsed="false">
      <c r="A3010" s="15" t="s">
        <v>17956</v>
      </c>
      <c r="B3010" s="15" t="s">
        <v>15599</v>
      </c>
      <c r="C3010" s="14" t="s">
        <v>18961</v>
      </c>
      <c r="D3010" s="14" t="s">
        <v>18962</v>
      </c>
      <c r="E3010" s="16" t="s">
        <v>18963</v>
      </c>
      <c r="F3010" s="16" t="s">
        <v>18964</v>
      </c>
      <c r="G3010" s="23" t="s">
        <v>43</v>
      </c>
      <c r="H3010" s="18" t="n">
        <v>2</v>
      </c>
      <c r="I3010" s="20" t="n">
        <v>44.2</v>
      </c>
      <c r="J3010" s="20" t="n">
        <v>100.129</v>
      </c>
      <c r="K3010" s="18" t="n">
        <v>4</v>
      </c>
      <c r="L3010" s="18" t="n">
        <v>2</v>
      </c>
      <c r="M3010" s="18" t="n">
        <v>64</v>
      </c>
      <c r="N3010" s="18" t="n">
        <v>32</v>
      </c>
      <c r="O3010" s="14" t="s">
        <v>6448</v>
      </c>
      <c r="P3010" s="14" t="s">
        <v>84</v>
      </c>
      <c r="Q3010" s="15" t="s">
        <v>1089</v>
      </c>
      <c r="R3010" s="16" t="s">
        <v>18965</v>
      </c>
      <c r="S3010" s="15" t="s">
        <v>18966</v>
      </c>
      <c r="T3010" s="15" t="s">
        <v>18966</v>
      </c>
      <c r="U3010" s="21" t="s">
        <v>72</v>
      </c>
    </row>
    <row r="3011" customFormat="false" ht="15" hidden="false" customHeight="false" outlineLevel="0" collapsed="false">
      <c r="A3011" s="15" t="s">
        <v>17956</v>
      </c>
      <c r="B3011" s="15" t="s">
        <v>15599</v>
      </c>
      <c r="C3011" s="14" t="s">
        <v>18967</v>
      </c>
      <c r="D3011" s="14" t="s">
        <v>18968</v>
      </c>
      <c r="E3011" s="16" t="s">
        <v>18969</v>
      </c>
      <c r="F3011" s="16" t="s">
        <v>18970</v>
      </c>
      <c r="G3011" s="19" t="s">
        <v>41</v>
      </c>
      <c r="H3011" s="18" t="n">
        <v>7</v>
      </c>
      <c r="I3011" s="20" t="n">
        <v>138.71</v>
      </c>
      <c r="J3011" s="20" t="n">
        <v>185.87</v>
      </c>
      <c r="K3011" s="18" t="n">
        <v>2</v>
      </c>
      <c r="L3011" s="18" t="n">
        <v>3</v>
      </c>
      <c r="M3011" s="18" t="n">
        <v>30</v>
      </c>
      <c r="N3011" s="18" t="n">
        <v>30</v>
      </c>
      <c r="O3011" s="14" t="s">
        <v>1097</v>
      </c>
      <c r="P3011" s="14" t="s">
        <v>84</v>
      </c>
      <c r="Q3011" s="15" t="s">
        <v>1089</v>
      </c>
      <c r="R3011" s="16" t="s">
        <v>12297</v>
      </c>
      <c r="S3011" s="15" t="s">
        <v>18971</v>
      </c>
      <c r="T3011" s="15" t="s">
        <v>18972</v>
      </c>
      <c r="U3011" s="21" t="s">
        <v>72</v>
      </c>
    </row>
    <row r="3012" customFormat="false" ht="15" hidden="false" customHeight="false" outlineLevel="0" collapsed="false">
      <c r="A3012" s="15" t="s">
        <v>17956</v>
      </c>
      <c r="B3012" s="15" t="s">
        <v>15599</v>
      </c>
      <c r="C3012" s="14" t="s">
        <v>18973</v>
      </c>
      <c r="D3012" s="14" t="s">
        <v>18974</v>
      </c>
      <c r="E3012" s="16" t="s">
        <v>18975</v>
      </c>
      <c r="F3012" s="16" t="s">
        <v>18976</v>
      </c>
      <c r="G3012" s="23" t="s">
        <v>43</v>
      </c>
      <c r="H3012" s="18" t="n">
        <v>3</v>
      </c>
      <c r="I3012" s="20" t="n">
        <v>181.25</v>
      </c>
      <c r="J3012" s="20" t="n">
        <v>141.68</v>
      </c>
      <c r="K3012" s="18" t="n">
        <v>3</v>
      </c>
      <c r="L3012" s="18" t="n">
        <v>8</v>
      </c>
      <c r="M3012" s="18" t="n">
        <v>45</v>
      </c>
      <c r="N3012" s="18" t="n">
        <v>45</v>
      </c>
      <c r="O3012" s="14" t="s">
        <v>1097</v>
      </c>
      <c r="P3012" s="14" t="s">
        <v>84</v>
      </c>
      <c r="Q3012" s="15" t="s">
        <v>1089</v>
      </c>
      <c r="R3012" s="16" t="s">
        <v>18977</v>
      </c>
      <c r="S3012" s="15" t="s">
        <v>18978</v>
      </c>
      <c r="T3012" s="15" t="s">
        <v>18979</v>
      </c>
      <c r="U3012" s="21" t="s">
        <v>72</v>
      </c>
    </row>
    <row r="3013" customFormat="false" ht="15" hidden="false" customHeight="false" outlineLevel="0" collapsed="false">
      <c r="A3013" s="15" t="s">
        <v>17956</v>
      </c>
      <c r="B3013" s="15" t="s">
        <v>15599</v>
      </c>
      <c r="C3013" s="14" t="s">
        <v>18980</v>
      </c>
      <c r="D3013" s="14" t="s">
        <v>18981</v>
      </c>
      <c r="E3013" s="16" t="s">
        <v>18982</v>
      </c>
      <c r="F3013" s="16" t="s">
        <v>18983</v>
      </c>
      <c r="G3013" s="19" t="s">
        <v>41</v>
      </c>
      <c r="H3013" s="18" t="n">
        <v>6</v>
      </c>
      <c r="I3013" s="20" t="n">
        <v>156</v>
      </c>
      <c r="J3013" s="20" t="n">
        <v>218.34</v>
      </c>
      <c r="K3013" s="18" t="n">
        <v>11</v>
      </c>
      <c r="L3013" s="18" t="n">
        <v>9</v>
      </c>
      <c r="M3013" s="18" t="n">
        <v>287</v>
      </c>
      <c r="N3013" s="18" t="n">
        <v>98</v>
      </c>
      <c r="O3013" s="14" t="s">
        <v>9118</v>
      </c>
      <c r="P3013" s="14" t="s">
        <v>84</v>
      </c>
      <c r="Q3013" s="15" t="s">
        <v>1089</v>
      </c>
      <c r="R3013" s="16" t="s">
        <v>18984</v>
      </c>
      <c r="S3013" s="15" t="s">
        <v>18985</v>
      </c>
      <c r="T3013" s="15" t="s">
        <v>18986</v>
      </c>
      <c r="U3013" s="21" t="s">
        <v>72</v>
      </c>
    </row>
    <row r="3014" customFormat="false" ht="15" hidden="false" customHeight="false" outlineLevel="0" collapsed="false">
      <c r="A3014" s="15" t="s">
        <v>17956</v>
      </c>
      <c r="B3014" s="15" t="s">
        <v>15599</v>
      </c>
      <c r="C3014" s="14" t="s">
        <v>18987</v>
      </c>
      <c r="D3014" s="14" t="s">
        <v>18988</v>
      </c>
      <c r="E3014" s="16" t="s">
        <v>18989</v>
      </c>
      <c r="F3014" s="16" t="s">
        <v>18990</v>
      </c>
      <c r="G3014" s="19" t="s">
        <v>41</v>
      </c>
      <c r="H3014" s="18" t="n">
        <v>3</v>
      </c>
      <c r="I3014" s="20" t="n">
        <v>176.34</v>
      </c>
      <c r="J3014" s="20" t="n">
        <v>251.74</v>
      </c>
      <c r="K3014" s="18" t="n">
        <v>2</v>
      </c>
      <c r="L3014" s="18" t="n">
        <v>1</v>
      </c>
      <c r="M3014" s="18" t="n">
        <v>30</v>
      </c>
      <c r="N3014" s="18" t="n">
        <v>30</v>
      </c>
      <c r="O3014" s="14" t="s">
        <v>1097</v>
      </c>
      <c r="P3014" s="14" t="s">
        <v>84</v>
      </c>
      <c r="Q3014" s="15" t="s">
        <v>1089</v>
      </c>
      <c r="R3014" s="16" t="s">
        <v>18569</v>
      </c>
      <c r="S3014" s="15" t="s">
        <v>18991</v>
      </c>
      <c r="T3014" s="15" t="s">
        <v>18992</v>
      </c>
      <c r="U3014" s="21" t="s">
        <v>72</v>
      </c>
    </row>
    <row r="3015" customFormat="false" ht="15" hidden="false" customHeight="false" outlineLevel="0" collapsed="false">
      <c r="A3015" s="15" t="s">
        <v>17956</v>
      </c>
      <c r="B3015" s="15" t="s">
        <v>15599</v>
      </c>
      <c r="C3015" s="14" t="s">
        <v>18993</v>
      </c>
      <c r="D3015" s="14" t="s">
        <v>18994</v>
      </c>
      <c r="E3015" s="16" t="s">
        <v>18995</v>
      </c>
      <c r="F3015" s="16" t="s">
        <v>18976</v>
      </c>
      <c r="G3015" s="23" t="s">
        <v>43</v>
      </c>
      <c r="H3015" s="18" t="n">
        <v>3</v>
      </c>
      <c r="I3015" s="20" t="n">
        <v>59.65</v>
      </c>
      <c r="J3015" s="20" t="n">
        <v>114.18</v>
      </c>
      <c r="K3015" s="18" t="n">
        <v>3</v>
      </c>
      <c r="L3015" s="18" t="n">
        <v>3</v>
      </c>
      <c r="M3015" s="18" t="n">
        <v>90</v>
      </c>
      <c r="N3015" s="18" t="n">
        <v>90</v>
      </c>
      <c r="O3015" s="14" t="s">
        <v>1088</v>
      </c>
      <c r="P3015" s="14" t="s">
        <v>84</v>
      </c>
      <c r="Q3015" s="15" t="s">
        <v>1089</v>
      </c>
      <c r="R3015" s="16" t="s">
        <v>3335</v>
      </c>
      <c r="S3015" s="15" t="s">
        <v>18978</v>
      </c>
      <c r="T3015" s="15" t="s">
        <v>18996</v>
      </c>
      <c r="U3015" s="21" t="s">
        <v>72</v>
      </c>
    </row>
    <row r="3016" customFormat="false" ht="15" hidden="false" customHeight="false" outlineLevel="0" collapsed="false">
      <c r="A3016" s="15" t="s">
        <v>17956</v>
      </c>
      <c r="B3016" s="15" t="s">
        <v>15599</v>
      </c>
      <c r="C3016" s="14" t="s">
        <v>18997</v>
      </c>
      <c r="D3016" s="14" t="s">
        <v>18998</v>
      </c>
      <c r="E3016" s="16" t="s">
        <v>18999</v>
      </c>
      <c r="F3016" s="16"/>
      <c r="G3016" s="23" t="s">
        <v>43</v>
      </c>
      <c r="H3016" s="18" t="n">
        <v>2</v>
      </c>
      <c r="I3016" s="20" t="n">
        <v>50.5</v>
      </c>
      <c r="J3016" s="20" t="n">
        <v>133.17</v>
      </c>
      <c r="K3016" s="18" t="n">
        <v>2</v>
      </c>
      <c r="L3016" s="18" t="n">
        <v>1</v>
      </c>
      <c r="M3016" s="18" t="n">
        <v>30</v>
      </c>
      <c r="N3016" s="18" t="n">
        <v>30</v>
      </c>
      <c r="O3016" s="14" t="s">
        <v>1097</v>
      </c>
      <c r="P3016" s="14" t="s">
        <v>84</v>
      </c>
      <c r="Q3016" s="15" t="s">
        <v>1089</v>
      </c>
      <c r="R3016" s="16" t="s">
        <v>19000</v>
      </c>
      <c r="S3016" s="15" t="s">
        <v>19001</v>
      </c>
      <c r="T3016" s="15" t="s">
        <v>19001</v>
      </c>
      <c r="U3016" s="21" t="s">
        <v>72</v>
      </c>
    </row>
    <row r="3017" customFormat="false" ht="15" hidden="false" customHeight="false" outlineLevel="0" collapsed="false">
      <c r="A3017" s="15" t="s">
        <v>17956</v>
      </c>
      <c r="B3017" s="15" t="s">
        <v>15599</v>
      </c>
      <c r="C3017" s="14" t="s">
        <v>19002</v>
      </c>
      <c r="D3017" s="14" t="s">
        <v>19003</v>
      </c>
      <c r="E3017" s="16" t="s">
        <v>19004</v>
      </c>
      <c r="F3017" s="16" t="s">
        <v>19005</v>
      </c>
      <c r="G3017" s="23" t="s">
        <v>43</v>
      </c>
      <c r="H3017" s="18" t="n">
        <v>1</v>
      </c>
      <c r="I3017" s="20" t="n">
        <v>57.28</v>
      </c>
      <c r="J3017" s="20" t="n">
        <v>114.56</v>
      </c>
      <c r="K3017" s="18" t="n">
        <v>10</v>
      </c>
      <c r="L3017" s="18" t="n">
        <v>5</v>
      </c>
      <c r="M3017" s="18" t="n">
        <v>150</v>
      </c>
      <c r="N3017" s="18" t="n">
        <v>150</v>
      </c>
      <c r="O3017" s="14" t="s">
        <v>19006</v>
      </c>
      <c r="P3017" s="14" t="s">
        <v>118</v>
      </c>
      <c r="Q3017" s="15" t="s">
        <v>1089</v>
      </c>
      <c r="R3017" s="16" t="s">
        <v>19007</v>
      </c>
      <c r="S3017" s="15" t="s">
        <v>19008</v>
      </c>
      <c r="T3017" s="15" t="s">
        <v>19009</v>
      </c>
      <c r="U3017" s="21" t="s">
        <v>72</v>
      </c>
    </row>
    <row r="3018" customFormat="false" ht="15" hidden="false" customHeight="false" outlineLevel="0" collapsed="false">
      <c r="A3018" s="15" t="s">
        <v>17956</v>
      </c>
      <c r="B3018" s="15" t="s">
        <v>15599</v>
      </c>
      <c r="C3018" s="14" t="s">
        <v>19010</v>
      </c>
      <c r="D3018" s="14" t="s">
        <v>19011</v>
      </c>
      <c r="E3018" s="16" t="s">
        <v>19012</v>
      </c>
      <c r="F3018" s="16"/>
      <c r="G3018" s="23" t="s">
        <v>43</v>
      </c>
      <c r="H3018" s="18" t="n">
        <v>3</v>
      </c>
      <c r="I3018" s="20" t="n">
        <v>57.56</v>
      </c>
      <c r="J3018" s="20" t="n">
        <v>104.77</v>
      </c>
      <c r="K3018" s="18" t="n">
        <v>2</v>
      </c>
      <c r="L3018" s="18" t="n">
        <v>2</v>
      </c>
      <c r="M3018" s="18" t="n">
        <v>25</v>
      </c>
      <c r="N3018" s="18" t="n">
        <v>12</v>
      </c>
      <c r="O3018" s="14" t="s">
        <v>1097</v>
      </c>
      <c r="P3018" s="14" t="s">
        <v>118</v>
      </c>
      <c r="Q3018" s="15" t="s">
        <v>1089</v>
      </c>
      <c r="R3018" s="16" t="s">
        <v>19013</v>
      </c>
      <c r="S3018" s="15" t="s">
        <v>19014</v>
      </c>
      <c r="T3018" s="15" t="s">
        <v>19014</v>
      </c>
      <c r="U3018" s="21" t="s">
        <v>72</v>
      </c>
    </row>
    <row r="3019" customFormat="false" ht="15" hidden="false" customHeight="false" outlineLevel="0" collapsed="false">
      <c r="A3019" s="15" t="s">
        <v>17956</v>
      </c>
      <c r="B3019" s="15" t="s">
        <v>15599</v>
      </c>
      <c r="C3019" s="14" t="s">
        <v>19015</v>
      </c>
      <c r="D3019" s="14" t="s">
        <v>19016</v>
      </c>
      <c r="E3019" s="16" t="s">
        <v>19017</v>
      </c>
      <c r="F3019" s="16" t="s">
        <v>19018</v>
      </c>
      <c r="G3019" s="23" t="s">
        <v>43</v>
      </c>
      <c r="H3019" s="18" t="n">
        <v>4</v>
      </c>
      <c r="I3019" s="20" t="n">
        <v>96.21</v>
      </c>
      <c r="J3019" s="20" t="n">
        <v>190.09</v>
      </c>
      <c r="K3019" s="18" t="n">
        <v>16</v>
      </c>
      <c r="L3019" s="18" t="n">
        <v>14</v>
      </c>
      <c r="M3019" s="18" t="n">
        <v>256</v>
      </c>
      <c r="N3019" s="18" t="n">
        <v>256</v>
      </c>
      <c r="O3019" s="14" t="s">
        <v>1097</v>
      </c>
      <c r="P3019" s="14" t="s">
        <v>84</v>
      </c>
      <c r="Q3019" s="15" t="s">
        <v>1089</v>
      </c>
      <c r="R3019" s="16" t="s">
        <v>18716</v>
      </c>
      <c r="S3019" s="15" t="s">
        <v>19019</v>
      </c>
      <c r="T3019" s="15" t="s">
        <v>19019</v>
      </c>
      <c r="U3019" s="21" t="s">
        <v>72</v>
      </c>
    </row>
    <row r="3020" customFormat="false" ht="26.85" hidden="false" customHeight="false" outlineLevel="0" collapsed="false">
      <c r="A3020" s="15" t="s">
        <v>17956</v>
      </c>
      <c r="B3020" s="15" t="s">
        <v>15599</v>
      </c>
      <c r="C3020" s="14" t="s">
        <v>19020</v>
      </c>
      <c r="D3020" s="14" t="s">
        <v>19021</v>
      </c>
      <c r="E3020" s="16" t="s">
        <v>19022</v>
      </c>
      <c r="F3020" s="16" t="s">
        <v>19023</v>
      </c>
      <c r="G3020" s="25" t="s">
        <v>39</v>
      </c>
      <c r="H3020" s="18" t="n">
        <v>8</v>
      </c>
      <c r="I3020" s="20" t="n">
        <v>308.8</v>
      </c>
      <c r="J3020" s="20" t="n">
        <v>308.8</v>
      </c>
      <c r="K3020" s="18" t="n">
        <v>5</v>
      </c>
      <c r="L3020" s="18" t="n">
        <v>1</v>
      </c>
      <c r="M3020" s="18" t="n">
        <v>150</v>
      </c>
      <c r="N3020" s="18" t="n">
        <v>150</v>
      </c>
      <c r="O3020" s="14" t="s">
        <v>1126</v>
      </c>
      <c r="P3020" s="14" t="s">
        <v>84</v>
      </c>
      <c r="Q3020" s="15" t="s">
        <v>1089</v>
      </c>
      <c r="R3020" s="16" t="s">
        <v>19024</v>
      </c>
      <c r="S3020" s="15" t="s">
        <v>18588</v>
      </c>
      <c r="T3020" s="15" t="s">
        <v>19025</v>
      </c>
      <c r="U3020" s="21" t="s">
        <v>72</v>
      </c>
    </row>
    <row r="3021" customFormat="false" ht="15" hidden="false" customHeight="false" outlineLevel="0" collapsed="false">
      <c r="A3021" s="15" t="s">
        <v>17956</v>
      </c>
      <c r="B3021" s="15" t="s">
        <v>19026</v>
      </c>
      <c r="C3021" s="14" t="s">
        <v>19027</v>
      </c>
      <c r="D3021" s="14" t="s">
        <v>19028</v>
      </c>
      <c r="E3021" s="16" t="s">
        <v>19029</v>
      </c>
      <c r="F3021" s="16" t="s">
        <v>19030</v>
      </c>
      <c r="G3021" s="23" t="s">
        <v>43</v>
      </c>
      <c r="H3021" s="18" t="n">
        <v>2</v>
      </c>
      <c r="I3021" s="20" t="n">
        <v>35.05</v>
      </c>
      <c r="J3021" s="20" t="n">
        <v>108.68</v>
      </c>
      <c r="K3021" s="18" t="n">
        <v>2</v>
      </c>
      <c r="L3021" s="18" t="n">
        <v>1</v>
      </c>
      <c r="M3021" s="18" t="n">
        <v>28</v>
      </c>
      <c r="N3021" s="18" t="n">
        <v>16</v>
      </c>
      <c r="O3021" s="14" t="s">
        <v>1126</v>
      </c>
      <c r="P3021" s="14" t="s">
        <v>84</v>
      </c>
      <c r="Q3021" s="15" t="s">
        <v>1089</v>
      </c>
      <c r="R3021" s="16" t="s">
        <v>19031</v>
      </c>
      <c r="S3021" s="15" t="s">
        <v>19032</v>
      </c>
      <c r="T3021" s="15" t="s">
        <v>19032</v>
      </c>
      <c r="U3021" s="21" t="s">
        <v>72</v>
      </c>
    </row>
    <row r="3022" customFormat="false" ht="15" hidden="false" customHeight="false" outlineLevel="0" collapsed="false">
      <c r="A3022" s="15" t="s">
        <v>17956</v>
      </c>
      <c r="B3022" s="15" t="s">
        <v>19033</v>
      </c>
      <c r="C3022" s="14" t="s">
        <v>19034</v>
      </c>
      <c r="D3022" s="14" t="s">
        <v>19035</v>
      </c>
      <c r="E3022" s="16" t="s">
        <v>19036</v>
      </c>
      <c r="F3022" s="16" t="s">
        <v>19037</v>
      </c>
      <c r="G3022" s="23" t="s">
        <v>43</v>
      </c>
      <c r="H3022" s="18" t="n">
        <v>2</v>
      </c>
      <c r="I3022" s="20" t="n">
        <v>30.91</v>
      </c>
      <c r="J3022" s="20" t="n">
        <v>86.47</v>
      </c>
      <c r="K3022" s="18" t="n">
        <v>2</v>
      </c>
      <c r="L3022" s="18" t="n">
        <v>10</v>
      </c>
      <c r="M3022" s="18" t="n">
        <v>48</v>
      </c>
      <c r="N3022" s="18" t="n">
        <v>48</v>
      </c>
      <c r="O3022" s="14" t="s">
        <v>1088</v>
      </c>
      <c r="P3022" s="14" t="s">
        <v>84</v>
      </c>
      <c r="Q3022" s="15" t="s">
        <v>1089</v>
      </c>
      <c r="R3022" s="16" t="s">
        <v>19038</v>
      </c>
      <c r="S3022" s="15" t="s">
        <v>19039</v>
      </c>
      <c r="T3022" s="15" t="s">
        <v>19039</v>
      </c>
      <c r="U3022" s="21" t="s">
        <v>72</v>
      </c>
    </row>
    <row r="3023" customFormat="false" ht="15" hidden="false" customHeight="false" outlineLevel="0" collapsed="false">
      <c r="A3023" s="15" t="s">
        <v>17956</v>
      </c>
      <c r="B3023" s="15" t="s">
        <v>19033</v>
      </c>
      <c r="C3023" s="14" t="s">
        <v>19040</v>
      </c>
      <c r="D3023" s="14" t="s">
        <v>19041</v>
      </c>
      <c r="E3023" s="16" t="s">
        <v>19042</v>
      </c>
      <c r="F3023" s="16" t="s">
        <v>19043</v>
      </c>
      <c r="G3023" s="23" t="s">
        <v>43</v>
      </c>
      <c r="H3023" s="18" t="n">
        <v>2</v>
      </c>
      <c r="I3023" s="20" t="n">
        <v>50</v>
      </c>
      <c r="J3023" s="20" t="n">
        <v>123</v>
      </c>
      <c r="K3023" s="18" t="n">
        <v>5</v>
      </c>
      <c r="L3023" s="18" t="n">
        <v>5</v>
      </c>
      <c r="M3023" s="18" t="n">
        <v>50</v>
      </c>
      <c r="N3023" s="18" t="n">
        <v>50</v>
      </c>
      <c r="O3023" s="14" t="s">
        <v>1126</v>
      </c>
      <c r="P3023" s="14" t="s">
        <v>84</v>
      </c>
      <c r="Q3023" s="15" t="s">
        <v>1089</v>
      </c>
      <c r="R3023" s="16" t="s">
        <v>19044</v>
      </c>
      <c r="S3023" s="15" t="s">
        <v>18140</v>
      </c>
      <c r="T3023" s="15" t="s">
        <v>19045</v>
      </c>
      <c r="U3023" s="21" t="s">
        <v>72</v>
      </c>
    </row>
    <row r="3024" customFormat="false" ht="15" hidden="false" customHeight="false" outlineLevel="0" collapsed="false">
      <c r="A3024" s="15" t="s">
        <v>17956</v>
      </c>
      <c r="B3024" s="15" t="s">
        <v>19033</v>
      </c>
      <c r="C3024" s="14" t="s">
        <v>19046</v>
      </c>
      <c r="D3024" s="14" t="s">
        <v>19047</v>
      </c>
      <c r="E3024" s="16" t="s">
        <v>19048</v>
      </c>
      <c r="F3024" s="16" t="s">
        <v>19049</v>
      </c>
      <c r="G3024" s="23" t="s">
        <v>43</v>
      </c>
      <c r="H3024" s="18" t="n">
        <v>2</v>
      </c>
      <c r="I3024" s="20" t="n">
        <v>44.99</v>
      </c>
      <c r="J3024" s="20" t="n">
        <v>66.7</v>
      </c>
      <c r="K3024" s="18" t="n">
        <v>2</v>
      </c>
      <c r="L3024" s="18" t="n">
        <v>1</v>
      </c>
      <c r="M3024" s="18" t="n">
        <v>20</v>
      </c>
      <c r="N3024" s="18" t="n">
        <v>20</v>
      </c>
      <c r="O3024" s="14" t="s">
        <v>1126</v>
      </c>
      <c r="P3024" s="14" t="s">
        <v>84</v>
      </c>
      <c r="Q3024" s="15" t="s">
        <v>1089</v>
      </c>
      <c r="R3024" s="16" t="s">
        <v>15247</v>
      </c>
      <c r="S3024" s="15" t="s">
        <v>19050</v>
      </c>
      <c r="T3024" s="15" t="s">
        <v>19050</v>
      </c>
      <c r="U3024" s="21" t="s">
        <v>72</v>
      </c>
    </row>
    <row r="3025" customFormat="false" ht="15" hidden="false" customHeight="false" outlineLevel="0" collapsed="false">
      <c r="A3025" s="15" t="s">
        <v>17956</v>
      </c>
      <c r="B3025" s="15" t="s">
        <v>19033</v>
      </c>
      <c r="C3025" s="14" t="s">
        <v>19051</v>
      </c>
      <c r="D3025" s="14" t="s">
        <v>19052</v>
      </c>
      <c r="E3025" s="16" t="s">
        <v>19053</v>
      </c>
      <c r="F3025" s="16" t="s">
        <v>19054</v>
      </c>
      <c r="G3025" s="19" t="s">
        <v>41</v>
      </c>
      <c r="H3025" s="18" t="n">
        <v>6</v>
      </c>
      <c r="I3025" s="20" t="n">
        <v>155.11</v>
      </c>
      <c r="J3025" s="20" t="n">
        <v>157</v>
      </c>
      <c r="K3025" s="18" t="n">
        <v>2</v>
      </c>
      <c r="L3025" s="18" t="n">
        <v>8</v>
      </c>
      <c r="M3025" s="18" t="n">
        <v>30</v>
      </c>
      <c r="N3025" s="18" t="n">
        <v>20</v>
      </c>
      <c r="O3025" s="14" t="s">
        <v>1097</v>
      </c>
      <c r="P3025" s="14" t="s">
        <v>84</v>
      </c>
      <c r="Q3025" s="15" t="s">
        <v>1089</v>
      </c>
      <c r="R3025" s="16" t="s">
        <v>19055</v>
      </c>
      <c r="S3025" s="15" t="s">
        <v>19056</v>
      </c>
      <c r="T3025" s="15" t="s">
        <v>19057</v>
      </c>
      <c r="U3025" s="21" t="s">
        <v>72</v>
      </c>
    </row>
    <row r="3026" customFormat="false" ht="15" hidden="false" customHeight="false" outlineLevel="0" collapsed="false">
      <c r="A3026" s="15" t="s">
        <v>17956</v>
      </c>
      <c r="B3026" s="15" t="s">
        <v>19033</v>
      </c>
      <c r="C3026" s="14" t="s">
        <v>19058</v>
      </c>
      <c r="D3026" s="14" t="s">
        <v>19059</v>
      </c>
      <c r="E3026" s="16" t="s">
        <v>19060</v>
      </c>
      <c r="F3026" s="16" t="s">
        <v>19061</v>
      </c>
      <c r="G3026" s="23" t="s">
        <v>43</v>
      </c>
      <c r="H3026" s="18" t="n">
        <v>3</v>
      </c>
      <c r="I3026" s="20" t="n">
        <v>63.64</v>
      </c>
      <c r="J3026" s="20" t="n">
        <v>74.88</v>
      </c>
      <c r="K3026" s="18" t="n">
        <v>6</v>
      </c>
      <c r="L3026" s="18" t="n">
        <v>2</v>
      </c>
      <c r="M3026" s="18" t="n">
        <v>97</v>
      </c>
      <c r="N3026" s="18" t="n">
        <v>28</v>
      </c>
      <c r="O3026" s="14" t="s">
        <v>1097</v>
      </c>
      <c r="P3026" s="14" t="s">
        <v>84</v>
      </c>
      <c r="Q3026" s="15" t="s">
        <v>1089</v>
      </c>
      <c r="R3026" s="16" t="s">
        <v>19062</v>
      </c>
      <c r="S3026" s="15" t="s">
        <v>19063</v>
      </c>
      <c r="T3026" s="15" t="s">
        <v>19064</v>
      </c>
      <c r="U3026" s="21" t="s">
        <v>72</v>
      </c>
    </row>
    <row r="3027" customFormat="false" ht="15" hidden="false" customHeight="false" outlineLevel="0" collapsed="false">
      <c r="A3027" s="15" t="s">
        <v>17956</v>
      </c>
      <c r="B3027" s="15" t="s">
        <v>19033</v>
      </c>
      <c r="C3027" s="14" t="s">
        <v>19065</v>
      </c>
      <c r="D3027" s="14" t="s">
        <v>19066</v>
      </c>
      <c r="E3027" s="16" t="s">
        <v>19067</v>
      </c>
      <c r="F3027" s="16" t="s">
        <v>19068</v>
      </c>
      <c r="G3027" s="23" t="s">
        <v>43</v>
      </c>
      <c r="H3027" s="18" t="n">
        <v>2</v>
      </c>
      <c r="I3027" s="20" t="n">
        <v>58</v>
      </c>
      <c r="J3027" s="20" t="n">
        <v>74</v>
      </c>
      <c r="K3027" s="18" t="n">
        <v>2</v>
      </c>
      <c r="L3027" s="18" t="n">
        <v>1</v>
      </c>
      <c r="M3027" s="18" t="n">
        <v>40</v>
      </c>
      <c r="N3027" s="18" t="n">
        <v>40</v>
      </c>
      <c r="O3027" s="14" t="s">
        <v>1126</v>
      </c>
      <c r="P3027" s="14" t="s">
        <v>84</v>
      </c>
      <c r="Q3027" s="15" t="s">
        <v>1089</v>
      </c>
      <c r="R3027" s="16" t="s">
        <v>19069</v>
      </c>
      <c r="S3027" s="15" t="s">
        <v>19070</v>
      </c>
      <c r="T3027" s="15" t="s">
        <v>19070</v>
      </c>
      <c r="U3027" s="21" t="s">
        <v>72</v>
      </c>
    </row>
    <row r="3028" customFormat="false" ht="15" hidden="false" customHeight="false" outlineLevel="0" collapsed="false">
      <c r="A3028" s="15" t="s">
        <v>17956</v>
      </c>
      <c r="B3028" s="15" t="s">
        <v>19033</v>
      </c>
      <c r="C3028" s="14" t="s">
        <v>19071</v>
      </c>
      <c r="D3028" s="14" t="s">
        <v>19072</v>
      </c>
      <c r="E3028" s="16" t="s">
        <v>19073</v>
      </c>
      <c r="F3028" s="16" t="s">
        <v>19074</v>
      </c>
      <c r="G3028" s="23" t="s">
        <v>43</v>
      </c>
      <c r="H3028" s="18" t="n">
        <v>2</v>
      </c>
      <c r="I3028" s="20" t="n">
        <v>40.52</v>
      </c>
      <c r="J3028" s="20" t="n">
        <v>99.44</v>
      </c>
      <c r="K3028" s="18" t="n">
        <v>2</v>
      </c>
      <c r="L3028" s="18" t="n">
        <v>1</v>
      </c>
      <c r="M3028" s="18" t="n">
        <v>60</v>
      </c>
      <c r="N3028" s="18" t="n">
        <v>60</v>
      </c>
      <c r="O3028" s="14" t="s">
        <v>1097</v>
      </c>
      <c r="P3028" s="14" t="s">
        <v>84</v>
      </c>
      <c r="Q3028" s="15" t="s">
        <v>1089</v>
      </c>
      <c r="R3028" s="16" t="s">
        <v>19075</v>
      </c>
      <c r="S3028" s="15" t="s">
        <v>19076</v>
      </c>
      <c r="T3028" s="15" t="s">
        <v>19076</v>
      </c>
      <c r="U3028" s="21" t="s">
        <v>72</v>
      </c>
    </row>
    <row r="3029" customFormat="false" ht="15" hidden="false" customHeight="false" outlineLevel="0" collapsed="false">
      <c r="A3029" s="15" t="s">
        <v>17956</v>
      </c>
      <c r="B3029" s="15" t="s">
        <v>19033</v>
      </c>
      <c r="C3029" s="14" t="s">
        <v>19077</v>
      </c>
      <c r="D3029" s="14" t="s">
        <v>19078</v>
      </c>
      <c r="E3029" s="16" t="s">
        <v>19079</v>
      </c>
      <c r="F3029" s="16"/>
      <c r="G3029" s="23" t="s">
        <v>43</v>
      </c>
      <c r="H3029" s="18" t="n">
        <v>4</v>
      </c>
      <c r="I3029" s="20" t="n">
        <v>100</v>
      </c>
      <c r="J3029" s="20" t="n">
        <v>130</v>
      </c>
      <c r="K3029" s="18" t="n">
        <v>1</v>
      </c>
      <c r="L3029" s="18" t="n">
        <v>2</v>
      </c>
      <c r="M3029" s="18" t="n">
        <v>60</v>
      </c>
      <c r="N3029" s="18" t="n">
        <v>60</v>
      </c>
      <c r="O3029" s="14" t="s">
        <v>1088</v>
      </c>
      <c r="P3029" s="14" t="s">
        <v>84</v>
      </c>
      <c r="Q3029" s="15" t="s">
        <v>1089</v>
      </c>
      <c r="R3029" s="16" t="s">
        <v>19080</v>
      </c>
      <c r="S3029" s="15" t="s">
        <v>19081</v>
      </c>
      <c r="T3029" s="15" t="s">
        <v>19081</v>
      </c>
      <c r="U3029" s="21" t="s">
        <v>72</v>
      </c>
    </row>
    <row r="3030" customFormat="false" ht="15" hidden="false" customHeight="false" outlineLevel="0" collapsed="false">
      <c r="A3030" s="15" t="s">
        <v>17956</v>
      </c>
      <c r="B3030" s="15" t="s">
        <v>19033</v>
      </c>
      <c r="C3030" s="14" t="s">
        <v>19082</v>
      </c>
      <c r="D3030" s="14" t="s">
        <v>19083</v>
      </c>
      <c r="E3030" s="16" t="s">
        <v>19084</v>
      </c>
      <c r="F3030" s="16" t="s">
        <v>19085</v>
      </c>
      <c r="G3030" s="19" t="s">
        <v>41</v>
      </c>
      <c r="H3030" s="18" t="n">
        <v>3</v>
      </c>
      <c r="I3030" s="20" t="n">
        <v>80.49</v>
      </c>
      <c r="J3030" s="20" t="n">
        <v>238.63</v>
      </c>
      <c r="K3030" s="18" t="n">
        <v>9</v>
      </c>
      <c r="L3030" s="18" t="n">
        <v>5</v>
      </c>
      <c r="M3030" s="18" t="n">
        <v>126</v>
      </c>
      <c r="N3030" s="18" t="n">
        <v>126</v>
      </c>
      <c r="O3030" s="14" t="s">
        <v>1126</v>
      </c>
      <c r="P3030" s="14" t="s">
        <v>84</v>
      </c>
      <c r="Q3030" s="15" t="s">
        <v>1089</v>
      </c>
      <c r="R3030" s="16" t="s">
        <v>19086</v>
      </c>
      <c r="S3030" s="15" t="s">
        <v>19087</v>
      </c>
      <c r="T3030" s="15" t="s">
        <v>19087</v>
      </c>
      <c r="U3030" s="21" t="s">
        <v>72</v>
      </c>
    </row>
    <row r="3031" customFormat="false" ht="15" hidden="false" customHeight="false" outlineLevel="0" collapsed="false">
      <c r="A3031" s="15" t="s">
        <v>17956</v>
      </c>
      <c r="B3031" s="15" t="s">
        <v>19033</v>
      </c>
      <c r="C3031" s="14" t="s">
        <v>19088</v>
      </c>
      <c r="D3031" s="14" t="s">
        <v>19089</v>
      </c>
      <c r="E3031" s="16" t="s">
        <v>19090</v>
      </c>
      <c r="F3031" s="16" t="s">
        <v>19091</v>
      </c>
      <c r="G3031" s="23" t="s">
        <v>43</v>
      </c>
      <c r="H3031" s="18" t="n">
        <v>1</v>
      </c>
      <c r="I3031" s="20" t="n">
        <v>63.14</v>
      </c>
      <c r="J3031" s="20" t="n">
        <v>63.14</v>
      </c>
      <c r="K3031" s="18" t="n">
        <v>4</v>
      </c>
      <c r="L3031" s="18" t="n">
        <v>5</v>
      </c>
      <c r="M3031" s="18" t="n">
        <v>76</v>
      </c>
      <c r="N3031" s="18" t="n">
        <v>57</v>
      </c>
      <c r="O3031" s="14" t="s">
        <v>1097</v>
      </c>
      <c r="P3031" s="14" t="s">
        <v>84</v>
      </c>
      <c r="Q3031" s="15" t="s">
        <v>1089</v>
      </c>
      <c r="R3031" s="16" t="s">
        <v>19092</v>
      </c>
      <c r="S3031" s="15" t="s">
        <v>19093</v>
      </c>
      <c r="T3031" s="15" t="s">
        <v>19094</v>
      </c>
      <c r="U3031" s="21" t="s">
        <v>72</v>
      </c>
    </row>
    <row r="3032" customFormat="false" ht="39.55" hidden="false" customHeight="false" outlineLevel="0" collapsed="false">
      <c r="A3032" s="15" t="s">
        <v>17956</v>
      </c>
      <c r="B3032" s="15" t="s">
        <v>19095</v>
      </c>
      <c r="C3032" s="14" t="s">
        <v>19096</v>
      </c>
      <c r="D3032" s="14" t="s">
        <v>19097</v>
      </c>
      <c r="E3032" s="16" t="s">
        <v>19098</v>
      </c>
      <c r="F3032" s="16"/>
      <c r="G3032" s="19" t="s">
        <v>41</v>
      </c>
      <c r="H3032" s="18" t="n">
        <v>7</v>
      </c>
      <c r="I3032" s="20" t="n">
        <v>266.68</v>
      </c>
      <c r="J3032" s="20" t="n">
        <v>293.46</v>
      </c>
      <c r="K3032" s="18" t="n">
        <v>9</v>
      </c>
      <c r="L3032" s="18" t="n">
        <v>1</v>
      </c>
      <c r="M3032" s="18" t="n">
        <v>240</v>
      </c>
      <c r="N3032" s="18" t="n">
        <v>20</v>
      </c>
      <c r="O3032" s="14" t="s">
        <v>1126</v>
      </c>
      <c r="P3032" s="14" t="s">
        <v>19099</v>
      </c>
      <c r="Q3032" s="15" t="s">
        <v>1089</v>
      </c>
      <c r="R3032" s="16" t="s">
        <v>19100</v>
      </c>
      <c r="S3032" s="15" t="s">
        <v>19101</v>
      </c>
      <c r="T3032" s="15" t="s">
        <v>19102</v>
      </c>
      <c r="U3032" s="21" t="s">
        <v>72</v>
      </c>
    </row>
    <row r="3033" customFormat="false" ht="26.85" hidden="false" customHeight="false" outlineLevel="0" collapsed="false">
      <c r="A3033" s="15" t="s">
        <v>17956</v>
      </c>
      <c r="B3033" s="15" t="s">
        <v>19095</v>
      </c>
      <c r="C3033" s="14" t="s">
        <v>19103</v>
      </c>
      <c r="D3033" s="14" t="s">
        <v>19104</v>
      </c>
      <c r="E3033" s="16" t="s">
        <v>19105</v>
      </c>
      <c r="F3033" s="16" t="s">
        <v>19106</v>
      </c>
      <c r="G3033" s="25" t="s">
        <v>39</v>
      </c>
      <c r="H3033" s="18" t="n">
        <v>16</v>
      </c>
      <c r="I3033" s="20" t="n">
        <v>544.22</v>
      </c>
      <c r="J3033" s="20" t="n">
        <v>1179.85</v>
      </c>
      <c r="K3033" s="18" t="n">
        <v>30</v>
      </c>
      <c r="L3033" s="18" t="n">
        <v>10</v>
      </c>
      <c r="M3033" s="18" t="n">
        <v>360</v>
      </c>
      <c r="N3033" s="18" t="n">
        <v>240</v>
      </c>
      <c r="O3033" s="14" t="s">
        <v>9118</v>
      </c>
      <c r="P3033" s="14" t="s">
        <v>118</v>
      </c>
      <c r="Q3033" s="15" t="s">
        <v>1089</v>
      </c>
      <c r="R3033" s="16" t="s">
        <v>19107</v>
      </c>
      <c r="S3033" s="15" t="s">
        <v>1091</v>
      </c>
      <c r="T3033" s="15" t="s">
        <v>19108</v>
      </c>
      <c r="U3033" s="21" t="s">
        <v>72</v>
      </c>
    </row>
    <row r="3034" customFormat="false" ht="26.85" hidden="false" customHeight="false" outlineLevel="0" collapsed="false">
      <c r="A3034" s="15" t="s">
        <v>17956</v>
      </c>
      <c r="B3034" s="15" t="s">
        <v>19095</v>
      </c>
      <c r="C3034" s="14" t="s">
        <v>19109</v>
      </c>
      <c r="D3034" s="14" t="s">
        <v>19110</v>
      </c>
      <c r="E3034" s="16" t="s">
        <v>19111</v>
      </c>
      <c r="F3034" s="16" t="s">
        <v>18754</v>
      </c>
      <c r="G3034" s="19" t="s">
        <v>41</v>
      </c>
      <c r="H3034" s="18" t="n">
        <v>4</v>
      </c>
      <c r="I3034" s="20" t="n">
        <v>169.61</v>
      </c>
      <c r="J3034" s="20" t="n">
        <v>256.35</v>
      </c>
      <c r="K3034" s="18" t="n">
        <v>5</v>
      </c>
      <c r="L3034" s="18" t="n">
        <v>4</v>
      </c>
      <c r="M3034" s="18" t="n">
        <v>90</v>
      </c>
      <c r="N3034" s="18" t="n">
        <v>54</v>
      </c>
      <c r="O3034" s="14" t="s">
        <v>1126</v>
      </c>
      <c r="P3034" s="14" t="s">
        <v>84</v>
      </c>
      <c r="Q3034" s="15" t="s">
        <v>1089</v>
      </c>
      <c r="R3034" s="16" t="s">
        <v>9336</v>
      </c>
      <c r="S3034" s="15" t="s">
        <v>18755</v>
      </c>
      <c r="T3034" s="15" t="s">
        <v>19112</v>
      </c>
      <c r="U3034" s="21" t="s">
        <v>72</v>
      </c>
    </row>
    <row r="3035" customFormat="false" ht="26.85" hidden="false" customHeight="false" outlineLevel="0" collapsed="false">
      <c r="A3035" s="15" t="s">
        <v>17956</v>
      </c>
      <c r="B3035" s="15" t="s">
        <v>19095</v>
      </c>
      <c r="C3035" s="14" t="s">
        <v>19113</v>
      </c>
      <c r="D3035" s="14" t="s">
        <v>19114</v>
      </c>
      <c r="E3035" s="16" t="s">
        <v>19115</v>
      </c>
      <c r="F3035" s="16" t="s">
        <v>19116</v>
      </c>
      <c r="G3035" s="23" t="s">
        <v>43</v>
      </c>
      <c r="H3035" s="18" t="n">
        <v>3</v>
      </c>
      <c r="I3035" s="20" t="n">
        <v>59.82</v>
      </c>
      <c r="J3035" s="20" t="n">
        <v>111.62</v>
      </c>
      <c r="K3035" s="18" t="n">
        <v>2</v>
      </c>
      <c r="L3035" s="18" t="n">
        <v>6</v>
      </c>
      <c r="M3035" s="18" t="n">
        <v>30</v>
      </c>
      <c r="N3035" s="18" t="n">
        <v>30</v>
      </c>
      <c r="O3035" s="14" t="s">
        <v>19117</v>
      </c>
      <c r="P3035" s="14" t="s">
        <v>118</v>
      </c>
      <c r="Q3035" s="15" t="s">
        <v>1089</v>
      </c>
      <c r="R3035" s="16" t="s">
        <v>7806</v>
      </c>
      <c r="S3035" s="15" t="s">
        <v>18456</v>
      </c>
      <c r="T3035" s="15" t="s">
        <v>19118</v>
      </c>
      <c r="U3035" s="21" t="s">
        <v>72</v>
      </c>
    </row>
    <row r="3036" customFormat="false" ht="26.85" hidden="false" customHeight="false" outlineLevel="0" collapsed="false">
      <c r="A3036" s="15" t="s">
        <v>17956</v>
      </c>
      <c r="B3036" s="15" t="s">
        <v>19095</v>
      </c>
      <c r="C3036" s="14" t="s">
        <v>19119</v>
      </c>
      <c r="D3036" s="14" t="s">
        <v>19120</v>
      </c>
      <c r="E3036" s="16" t="s">
        <v>19121</v>
      </c>
      <c r="F3036" s="16" t="s">
        <v>19116</v>
      </c>
      <c r="G3036" s="23" t="s">
        <v>43</v>
      </c>
      <c r="H3036" s="18" t="n">
        <v>2</v>
      </c>
      <c r="I3036" s="20" t="n">
        <v>47</v>
      </c>
      <c r="J3036" s="20" t="n">
        <v>98.91</v>
      </c>
      <c r="K3036" s="18" t="n">
        <v>3</v>
      </c>
      <c r="L3036" s="18" t="n">
        <v>2</v>
      </c>
      <c r="M3036" s="18" t="n">
        <v>57</v>
      </c>
      <c r="N3036" s="18" t="n">
        <v>19</v>
      </c>
      <c r="O3036" s="14" t="s">
        <v>2125</v>
      </c>
      <c r="P3036" s="14" t="s">
        <v>84</v>
      </c>
      <c r="Q3036" s="15" t="s">
        <v>1089</v>
      </c>
      <c r="R3036" s="16" t="s">
        <v>19122</v>
      </c>
      <c r="S3036" s="15" t="s">
        <v>18456</v>
      </c>
      <c r="T3036" s="15" t="s">
        <v>19123</v>
      </c>
      <c r="U3036" s="21" t="s">
        <v>72</v>
      </c>
    </row>
    <row r="3037" customFormat="false" ht="26.85" hidden="false" customHeight="false" outlineLevel="0" collapsed="false">
      <c r="A3037" s="15" t="s">
        <v>17956</v>
      </c>
      <c r="B3037" s="15" t="s">
        <v>19095</v>
      </c>
      <c r="C3037" s="14" t="s">
        <v>19124</v>
      </c>
      <c r="D3037" s="14" t="s">
        <v>19125</v>
      </c>
      <c r="E3037" s="16" t="s">
        <v>19121</v>
      </c>
      <c r="F3037" s="16" t="s">
        <v>19116</v>
      </c>
      <c r="G3037" s="23" t="s">
        <v>43</v>
      </c>
      <c r="H3037" s="18" t="n">
        <v>3</v>
      </c>
      <c r="I3037" s="20" t="n">
        <v>40.41</v>
      </c>
      <c r="J3037" s="20" t="n">
        <v>81.36</v>
      </c>
      <c r="K3037" s="18" t="n">
        <v>3</v>
      </c>
      <c r="L3037" s="18" t="n">
        <v>6</v>
      </c>
      <c r="M3037" s="18" t="n">
        <v>45</v>
      </c>
      <c r="N3037" s="18" t="n">
        <v>15</v>
      </c>
      <c r="O3037" s="14" t="s">
        <v>19126</v>
      </c>
      <c r="P3037" s="14" t="s">
        <v>84</v>
      </c>
      <c r="Q3037" s="15" t="s">
        <v>1089</v>
      </c>
      <c r="R3037" s="16" t="s">
        <v>16678</v>
      </c>
      <c r="S3037" s="15" t="s">
        <v>18456</v>
      </c>
      <c r="T3037" s="15" t="s">
        <v>19127</v>
      </c>
      <c r="U3037" s="21" t="s">
        <v>72</v>
      </c>
    </row>
    <row r="3038" customFormat="false" ht="15" hidden="false" customHeight="false" outlineLevel="0" collapsed="false">
      <c r="A3038" s="15" t="s">
        <v>17956</v>
      </c>
      <c r="B3038" s="15" t="s">
        <v>19095</v>
      </c>
      <c r="C3038" s="14" t="s">
        <v>19128</v>
      </c>
      <c r="D3038" s="14" t="s">
        <v>19129</v>
      </c>
      <c r="E3038" s="16" t="s">
        <v>19130</v>
      </c>
      <c r="F3038" s="16" t="s">
        <v>19131</v>
      </c>
      <c r="G3038" s="25" t="s">
        <v>39</v>
      </c>
      <c r="H3038" s="18" t="n">
        <v>8</v>
      </c>
      <c r="I3038" s="20" t="n">
        <v>208.95</v>
      </c>
      <c r="J3038" s="20" t="n">
        <v>474.01</v>
      </c>
      <c r="K3038" s="18" t="n">
        <v>8</v>
      </c>
      <c r="L3038" s="18" t="n">
        <v>3</v>
      </c>
      <c r="M3038" s="18" t="n">
        <v>120</v>
      </c>
      <c r="N3038" s="18" t="n">
        <v>120</v>
      </c>
      <c r="O3038" s="14" t="s">
        <v>1126</v>
      </c>
      <c r="P3038" s="14" t="s">
        <v>84</v>
      </c>
      <c r="Q3038" s="15" t="s">
        <v>1089</v>
      </c>
      <c r="R3038" s="16" t="s">
        <v>19132</v>
      </c>
      <c r="S3038" s="15" t="s">
        <v>19133</v>
      </c>
      <c r="T3038" s="15" t="s">
        <v>19134</v>
      </c>
      <c r="U3038" s="21" t="s">
        <v>72</v>
      </c>
    </row>
    <row r="3039" customFormat="false" ht="26.85" hidden="false" customHeight="false" outlineLevel="0" collapsed="false">
      <c r="A3039" s="15" t="s">
        <v>17956</v>
      </c>
      <c r="B3039" s="15" t="s">
        <v>19095</v>
      </c>
      <c r="C3039" s="14" t="s">
        <v>19135</v>
      </c>
      <c r="D3039" s="14" t="s">
        <v>19136</v>
      </c>
      <c r="E3039" s="16" t="s">
        <v>19137</v>
      </c>
      <c r="F3039" s="16" t="s">
        <v>19138</v>
      </c>
      <c r="G3039" s="19" t="s">
        <v>41</v>
      </c>
      <c r="H3039" s="18" t="n">
        <v>6</v>
      </c>
      <c r="I3039" s="20" t="n">
        <v>150.66</v>
      </c>
      <c r="J3039" s="20" t="n">
        <v>281.28</v>
      </c>
      <c r="K3039" s="18" t="n">
        <v>6</v>
      </c>
      <c r="L3039" s="18" t="n">
        <v>44</v>
      </c>
      <c r="M3039" s="18" t="n">
        <v>97</v>
      </c>
      <c r="N3039" s="18" t="n">
        <v>97</v>
      </c>
      <c r="O3039" s="14" t="s">
        <v>1126</v>
      </c>
      <c r="P3039" s="14" t="s">
        <v>84</v>
      </c>
      <c r="Q3039" s="15" t="s">
        <v>1089</v>
      </c>
      <c r="R3039" s="16" t="s">
        <v>7784</v>
      </c>
      <c r="S3039" s="15" t="s">
        <v>1348</v>
      </c>
      <c r="T3039" s="15" t="s">
        <v>19139</v>
      </c>
      <c r="U3039" s="21" t="s">
        <v>72</v>
      </c>
    </row>
    <row r="3040" customFormat="false" ht="26.85" hidden="false" customHeight="false" outlineLevel="0" collapsed="false">
      <c r="A3040" s="15" t="s">
        <v>17956</v>
      </c>
      <c r="B3040" s="15" t="s">
        <v>19095</v>
      </c>
      <c r="C3040" s="14" t="s">
        <v>19140</v>
      </c>
      <c r="D3040" s="14" t="s">
        <v>19141</v>
      </c>
      <c r="E3040" s="16" t="s">
        <v>19142</v>
      </c>
      <c r="F3040" s="16" t="s">
        <v>1387</v>
      </c>
      <c r="G3040" s="25" t="s">
        <v>39</v>
      </c>
      <c r="H3040" s="18" t="n">
        <v>13</v>
      </c>
      <c r="I3040" s="20" t="n">
        <v>270.61</v>
      </c>
      <c r="J3040" s="20" t="n">
        <v>270.61</v>
      </c>
      <c r="K3040" s="18" t="n">
        <v>6</v>
      </c>
      <c r="L3040" s="18" t="n">
        <v>12</v>
      </c>
      <c r="M3040" s="18" t="n">
        <v>180</v>
      </c>
      <c r="N3040" s="18" t="n">
        <v>90</v>
      </c>
      <c r="O3040" s="14" t="s">
        <v>1126</v>
      </c>
      <c r="P3040" s="14" t="s">
        <v>84</v>
      </c>
      <c r="Q3040" s="15" t="s">
        <v>1089</v>
      </c>
      <c r="R3040" s="16" t="s">
        <v>19143</v>
      </c>
      <c r="S3040" s="15" t="s">
        <v>8407</v>
      </c>
      <c r="T3040" s="15" t="s">
        <v>19144</v>
      </c>
      <c r="U3040" s="21" t="s">
        <v>72</v>
      </c>
    </row>
    <row r="3041" customFormat="false" ht="26.85" hidden="false" customHeight="false" outlineLevel="0" collapsed="false">
      <c r="A3041" s="15" t="s">
        <v>17956</v>
      </c>
      <c r="B3041" s="15" t="s">
        <v>19095</v>
      </c>
      <c r="C3041" s="14" t="s">
        <v>19145</v>
      </c>
      <c r="D3041" s="14" t="s">
        <v>19146</v>
      </c>
      <c r="E3041" s="16" t="s">
        <v>19147</v>
      </c>
      <c r="F3041" s="16" t="s">
        <v>19148</v>
      </c>
      <c r="G3041" s="25" t="s">
        <v>39</v>
      </c>
      <c r="H3041" s="18" t="n">
        <v>7</v>
      </c>
      <c r="I3041" s="20" t="n">
        <v>389.53</v>
      </c>
      <c r="J3041" s="20" t="n">
        <v>536.07</v>
      </c>
      <c r="K3041" s="18" t="n">
        <v>6</v>
      </c>
      <c r="L3041" s="18" t="n">
        <v>42</v>
      </c>
      <c r="M3041" s="18" t="n">
        <v>180</v>
      </c>
      <c r="N3041" s="18" t="n">
        <v>30</v>
      </c>
      <c r="O3041" s="14" t="s">
        <v>1097</v>
      </c>
      <c r="P3041" s="14" t="s">
        <v>17554</v>
      </c>
      <c r="Q3041" s="15" t="s">
        <v>1089</v>
      </c>
      <c r="R3041" s="16" t="s">
        <v>11573</v>
      </c>
      <c r="S3041" s="15" t="s">
        <v>2538</v>
      </c>
      <c r="T3041" s="15" t="s">
        <v>6922</v>
      </c>
      <c r="U3041" s="21" t="s">
        <v>72</v>
      </c>
    </row>
    <row r="3042" customFormat="false" ht="15" hidden="false" customHeight="false" outlineLevel="0" collapsed="false">
      <c r="A3042" s="15" t="s">
        <v>17956</v>
      </c>
      <c r="B3042" s="15" t="s">
        <v>19095</v>
      </c>
      <c r="C3042" s="14" t="s">
        <v>19149</v>
      </c>
      <c r="D3042" s="14" t="s">
        <v>19150</v>
      </c>
      <c r="E3042" s="16" t="s">
        <v>19151</v>
      </c>
      <c r="F3042" s="16" t="s">
        <v>19152</v>
      </c>
      <c r="G3042" s="23" t="s">
        <v>43</v>
      </c>
      <c r="H3042" s="18" t="n">
        <v>2</v>
      </c>
      <c r="I3042" s="20" t="n">
        <v>52.8</v>
      </c>
      <c r="J3042" s="20" t="n">
        <v>195.2</v>
      </c>
      <c r="K3042" s="18" t="n">
        <v>11</v>
      </c>
      <c r="L3042" s="18" t="n">
        <v>8</v>
      </c>
      <c r="M3042" s="18" t="n">
        <v>165</v>
      </c>
      <c r="N3042" s="18" t="n">
        <v>60</v>
      </c>
      <c r="O3042" s="14" t="s">
        <v>1088</v>
      </c>
      <c r="P3042" s="14" t="s">
        <v>118</v>
      </c>
      <c r="Q3042" s="15" t="s">
        <v>1089</v>
      </c>
      <c r="R3042" s="16" t="s">
        <v>10857</v>
      </c>
      <c r="S3042" s="15" t="s">
        <v>19153</v>
      </c>
      <c r="T3042" s="15" t="s">
        <v>19153</v>
      </c>
      <c r="U3042" s="21" t="s">
        <v>72</v>
      </c>
    </row>
    <row r="3043" customFormat="false" ht="15" hidden="false" customHeight="false" outlineLevel="0" collapsed="false">
      <c r="A3043" s="15" t="s">
        <v>17956</v>
      </c>
      <c r="B3043" s="15" t="s">
        <v>19095</v>
      </c>
      <c r="C3043" s="14" t="s">
        <v>19154</v>
      </c>
      <c r="D3043" s="14" t="s">
        <v>19155</v>
      </c>
      <c r="E3043" s="16" t="s">
        <v>19156</v>
      </c>
      <c r="F3043" s="16"/>
      <c r="G3043" s="19" t="s">
        <v>41</v>
      </c>
      <c r="H3043" s="18" t="n">
        <v>4</v>
      </c>
      <c r="I3043" s="20" t="n">
        <v>192.58</v>
      </c>
      <c r="J3043" s="20" t="n">
        <v>298.86</v>
      </c>
      <c r="K3043" s="18" t="n">
        <v>4</v>
      </c>
      <c r="L3043" s="18" t="n">
        <v>1</v>
      </c>
      <c r="M3043" s="18" t="n">
        <v>36</v>
      </c>
      <c r="N3043" s="18" t="n">
        <v>30</v>
      </c>
      <c r="O3043" s="14" t="s">
        <v>1088</v>
      </c>
      <c r="P3043" s="14" t="s">
        <v>84</v>
      </c>
      <c r="Q3043" s="15" t="s">
        <v>1089</v>
      </c>
      <c r="R3043" s="16" t="s">
        <v>19157</v>
      </c>
      <c r="S3043" s="15" t="s">
        <v>19158</v>
      </c>
      <c r="T3043" s="15" t="s">
        <v>19159</v>
      </c>
      <c r="U3043" s="21" t="s">
        <v>72</v>
      </c>
    </row>
    <row r="3044" customFormat="false" ht="26.85" hidden="false" customHeight="false" outlineLevel="0" collapsed="false">
      <c r="A3044" s="15" t="s">
        <v>17956</v>
      </c>
      <c r="B3044" s="15" t="s">
        <v>19095</v>
      </c>
      <c r="C3044" s="14" t="s">
        <v>19160</v>
      </c>
      <c r="D3044" s="14" t="s">
        <v>19161</v>
      </c>
      <c r="E3044" s="16" t="s">
        <v>19162</v>
      </c>
      <c r="F3044" s="16" t="s">
        <v>19163</v>
      </c>
      <c r="G3044" s="23" t="s">
        <v>43</v>
      </c>
      <c r="H3044" s="18" t="n">
        <v>3</v>
      </c>
      <c r="I3044" s="20" t="n">
        <v>56.92</v>
      </c>
      <c r="J3044" s="20" t="n">
        <v>107.5</v>
      </c>
      <c r="K3044" s="18" t="n">
        <v>6</v>
      </c>
      <c r="L3044" s="18" t="n">
        <v>6</v>
      </c>
      <c r="M3044" s="18" t="n">
        <v>96</v>
      </c>
      <c r="N3044" s="18" t="n">
        <v>48</v>
      </c>
      <c r="O3044" s="14" t="s">
        <v>1126</v>
      </c>
      <c r="P3044" s="14" t="s">
        <v>118</v>
      </c>
      <c r="Q3044" s="15" t="s">
        <v>1089</v>
      </c>
      <c r="R3044" s="16" t="s">
        <v>19164</v>
      </c>
      <c r="S3044" s="15" t="s">
        <v>18588</v>
      </c>
      <c r="T3044" s="15" t="s">
        <v>19165</v>
      </c>
      <c r="U3044" s="21" t="s">
        <v>72</v>
      </c>
    </row>
    <row r="3045" customFormat="false" ht="15" hidden="false" customHeight="false" outlineLevel="0" collapsed="false">
      <c r="A3045" s="15" t="s">
        <v>17956</v>
      </c>
      <c r="B3045" s="15" t="s">
        <v>19095</v>
      </c>
      <c r="C3045" s="14" t="s">
        <v>19166</v>
      </c>
      <c r="D3045" s="14" t="s">
        <v>19167</v>
      </c>
      <c r="E3045" s="16" t="s">
        <v>19168</v>
      </c>
      <c r="F3045" s="16" t="s">
        <v>19169</v>
      </c>
      <c r="G3045" s="23" t="s">
        <v>43</v>
      </c>
      <c r="H3045" s="18" t="n">
        <v>2</v>
      </c>
      <c r="I3045" s="20" t="n">
        <v>37.9</v>
      </c>
      <c r="J3045" s="20" t="n">
        <v>111.14</v>
      </c>
      <c r="K3045" s="18" t="n">
        <v>3</v>
      </c>
      <c r="L3045" s="18" t="n">
        <v>3</v>
      </c>
      <c r="M3045" s="18" t="n">
        <v>50</v>
      </c>
      <c r="N3045" s="18" t="n">
        <v>40</v>
      </c>
      <c r="O3045" s="14" t="s">
        <v>1088</v>
      </c>
      <c r="P3045" s="14" t="s">
        <v>118</v>
      </c>
      <c r="Q3045" s="15" t="s">
        <v>1089</v>
      </c>
      <c r="R3045" s="16" t="s">
        <v>3050</v>
      </c>
      <c r="S3045" s="15" t="s">
        <v>19170</v>
      </c>
      <c r="T3045" s="15" t="s">
        <v>19170</v>
      </c>
      <c r="U3045" s="21" t="s">
        <v>72</v>
      </c>
    </row>
    <row r="3046" customFormat="false" ht="15" hidden="false" customHeight="false" outlineLevel="0" collapsed="false">
      <c r="A3046" s="15" t="s">
        <v>17956</v>
      </c>
      <c r="B3046" s="15" t="s">
        <v>19095</v>
      </c>
      <c r="C3046" s="14" t="s">
        <v>19171</v>
      </c>
      <c r="D3046" s="14" t="s">
        <v>19172</v>
      </c>
      <c r="E3046" s="16" t="s">
        <v>19173</v>
      </c>
      <c r="F3046" s="16"/>
      <c r="G3046" s="23" t="s">
        <v>43</v>
      </c>
      <c r="H3046" s="18" t="n">
        <v>2</v>
      </c>
      <c r="I3046" s="20" t="n">
        <v>60</v>
      </c>
      <c r="J3046" s="20" t="n">
        <v>78.86</v>
      </c>
      <c r="K3046" s="18" t="n">
        <v>2</v>
      </c>
      <c r="L3046" s="18" t="n">
        <v>1</v>
      </c>
      <c r="M3046" s="18" t="n">
        <v>50</v>
      </c>
      <c r="N3046" s="18" t="n">
        <v>50</v>
      </c>
      <c r="O3046" s="14" t="s">
        <v>1088</v>
      </c>
      <c r="P3046" s="14" t="s">
        <v>84</v>
      </c>
      <c r="Q3046" s="15" t="s">
        <v>1089</v>
      </c>
      <c r="R3046" s="16" t="s">
        <v>14588</v>
      </c>
      <c r="S3046" s="15" t="s">
        <v>19174</v>
      </c>
      <c r="T3046" s="15" t="s">
        <v>19174</v>
      </c>
      <c r="U3046" s="21" t="s">
        <v>72</v>
      </c>
    </row>
    <row r="3047" customFormat="false" ht="15" hidden="false" customHeight="false" outlineLevel="0" collapsed="false">
      <c r="A3047" s="15" t="s">
        <v>17956</v>
      </c>
      <c r="B3047" s="15" t="s">
        <v>19095</v>
      </c>
      <c r="C3047" s="14" t="s">
        <v>19175</v>
      </c>
      <c r="D3047" s="14" t="s">
        <v>19176</v>
      </c>
      <c r="E3047" s="16" t="s">
        <v>19177</v>
      </c>
      <c r="F3047" s="16" t="s">
        <v>19178</v>
      </c>
      <c r="G3047" s="23" t="s">
        <v>43</v>
      </c>
      <c r="H3047" s="18" t="n">
        <v>2</v>
      </c>
      <c r="I3047" s="20" t="n">
        <v>41.91</v>
      </c>
      <c r="J3047" s="20" t="n">
        <v>187.63</v>
      </c>
      <c r="K3047" s="18" t="n">
        <v>10</v>
      </c>
      <c r="L3047" s="18" t="n">
        <v>10</v>
      </c>
      <c r="M3047" s="18" t="n">
        <v>200</v>
      </c>
      <c r="N3047" s="18" t="n">
        <v>60</v>
      </c>
      <c r="O3047" s="14" t="s">
        <v>1126</v>
      </c>
      <c r="P3047" s="14" t="s">
        <v>84</v>
      </c>
      <c r="Q3047" s="15" t="s">
        <v>1089</v>
      </c>
      <c r="R3047" s="16" t="s">
        <v>19179</v>
      </c>
      <c r="S3047" s="15" t="s">
        <v>19180</v>
      </c>
      <c r="T3047" s="15" t="s">
        <v>19181</v>
      </c>
      <c r="U3047" s="21" t="s">
        <v>72</v>
      </c>
    </row>
    <row r="3048" customFormat="false" ht="15" hidden="false" customHeight="false" outlineLevel="0" collapsed="false">
      <c r="A3048" s="15" t="s">
        <v>17956</v>
      </c>
      <c r="B3048" s="15" t="s">
        <v>19095</v>
      </c>
      <c r="C3048" s="14" t="s">
        <v>19182</v>
      </c>
      <c r="D3048" s="14" t="s">
        <v>19183</v>
      </c>
      <c r="E3048" s="16" t="s">
        <v>19184</v>
      </c>
      <c r="F3048" s="16" t="s">
        <v>19185</v>
      </c>
      <c r="G3048" s="23" t="s">
        <v>43</v>
      </c>
      <c r="H3048" s="18" t="n">
        <v>2</v>
      </c>
      <c r="I3048" s="20" t="n">
        <v>44.64</v>
      </c>
      <c r="J3048" s="20" t="n">
        <v>101.98</v>
      </c>
      <c r="K3048" s="18" t="n">
        <v>2</v>
      </c>
      <c r="L3048" s="18" t="n">
        <v>2</v>
      </c>
      <c r="M3048" s="18" t="n">
        <v>28</v>
      </c>
      <c r="N3048" s="18" t="n">
        <v>28</v>
      </c>
      <c r="O3048" s="14" t="s">
        <v>1097</v>
      </c>
      <c r="P3048" s="14" t="s">
        <v>118</v>
      </c>
      <c r="Q3048" s="15" t="s">
        <v>1089</v>
      </c>
      <c r="R3048" s="16" t="s">
        <v>19186</v>
      </c>
      <c r="S3048" s="15" t="s">
        <v>2799</v>
      </c>
      <c r="T3048" s="15" t="s">
        <v>2799</v>
      </c>
      <c r="U3048" s="21" t="s">
        <v>72</v>
      </c>
    </row>
    <row r="3049" customFormat="false" ht="15" hidden="false" customHeight="false" outlineLevel="0" collapsed="false">
      <c r="A3049" s="15" t="s">
        <v>17956</v>
      </c>
      <c r="B3049" s="15" t="s">
        <v>19095</v>
      </c>
      <c r="C3049" s="14" t="s">
        <v>19187</v>
      </c>
      <c r="D3049" s="14" t="s">
        <v>19188</v>
      </c>
      <c r="E3049" s="16" t="s">
        <v>19189</v>
      </c>
      <c r="F3049" s="16" t="s">
        <v>19190</v>
      </c>
      <c r="G3049" s="23" t="s">
        <v>43</v>
      </c>
      <c r="H3049" s="18" t="n">
        <v>2</v>
      </c>
      <c r="I3049" s="20" t="n">
        <v>35.15</v>
      </c>
      <c r="J3049" s="20" t="n">
        <v>79.36</v>
      </c>
      <c r="K3049" s="18" t="n">
        <v>1</v>
      </c>
      <c r="L3049" s="18" t="n">
        <v>1</v>
      </c>
      <c r="M3049" s="18" t="n">
        <v>15</v>
      </c>
      <c r="N3049" s="18" t="n">
        <v>15</v>
      </c>
      <c r="O3049" s="14" t="s">
        <v>1088</v>
      </c>
      <c r="P3049" s="14" t="s">
        <v>84</v>
      </c>
      <c r="Q3049" s="15" t="s">
        <v>1089</v>
      </c>
      <c r="R3049" s="16" t="s">
        <v>14939</v>
      </c>
      <c r="S3049" s="15" t="s">
        <v>19191</v>
      </c>
      <c r="T3049" s="15" t="s">
        <v>19191</v>
      </c>
      <c r="U3049" s="21" t="s">
        <v>72</v>
      </c>
    </row>
    <row r="3050" customFormat="false" ht="15" hidden="false" customHeight="false" outlineLevel="0" collapsed="false">
      <c r="A3050" s="15" t="s">
        <v>17956</v>
      </c>
      <c r="B3050" s="15" t="s">
        <v>19095</v>
      </c>
      <c r="C3050" s="14" t="s">
        <v>19192</v>
      </c>
      <c r="D3050" s="14" t="s">
        <v>19193</v>
      </c>
      <c r="E3050" s="16" t="s">
        <v>19194</v>
      </c>
      <c r="F3050" s="16" t="s">
        <v>19195</v>
      </c>
      <c r="G3050" s="23" t="s">
        <v>43</v>
      </c>
      <c r="H3050" s="18" t="n">
        <v>2</v>
      </c>
      <c r="I3050" s="20" t="n">
        <v>66</v>
      </c>
      <c r="J3050" s="20" t="n">
        <v>97</v>
      </c>
      <c r="K3050" s="18" t="n">
        <v>4</v>
      </c>
      <c r="L3050" s="18" t="n">
        <v>6</v>
      </c>
      <c r="M3050" s="18" t="n">
        <v>60</v>
      </c>
      <c r="N3050" s="18" t="n">
        <v>60</v>
      </c>
      <c r="O3050" s="14" t="s">
        <v>1097</v>
      </c>
      <c r="P3050" s="14" t="s">
        <v>84</v>
      </c>
      <c r="Q3050" s="15" t="s">
        <v>1089</v>
      </c>
      <c r="R3050" s="16" t="s">
        <v>19196</v>
      </c>
      <c r="S3050" s="15" t="s">
        <v>19197</v>
      </c>
      <c r="T3050" s="15" t="s">
        <v>19198</v>
      </c>
      <c r="U3050" s="21" t="s">
        <v>72</v>
      </c>
    </row>
    <row r="3051" customFormat="false" ht="15" hidden="false" customHeight="false" outlineLevel="0" collapsed="false">
      <c r="A3051" s="15" t="s">
        <v>17956</v>
      </c>
      <c r="B3051" s="15" t="s">
        <v>19095</v>
      </c>
      <c r="C3051" s="14" t="s">
        <v>19199</v>
      </c>
      <c r="D3051" s="14" t="s">
        <v>19200</v>
      </c>
      <c r="E3051" s="16" t="s">
        <v>19201</v>
      </c>
      <c r="F3051" s="16"/>
      <c r="G3051" s="23" t="s">
        <v>43</v>
      </c>
      <c r="H3051" s="18" t="n">
        <v>4</v>
      </c>
      <c r="I3051" s="20" t="n">
        <v>73.12</v>
      </c>
      <c r="J3051" s="20" t="n">
        <v>165.55</v>
      </c>
      <c r="K3051" s="18" t="n">
        <v>4</v>
      </c>
      <c r="L3051" s="18" t="n">
        <v>10</v>
      </c>
      <c r="M3051" s="18" t="n">
        <v>40</v>
      </c>
      <c r="N3051" s="18" t="n">
        <v>20</v>
      </c>
      <c r="O3051" s="14" t="s">
        <v>1126</v>
      </c>
      <c r="P3051" s="14" t="s">
        <v>118</v>
      </c>
      <c r="Q3051" s="15" t="s">
        <v>1089</v>
      </c>
      <c r="R3051" s="16" t="s">
        <v>12719</v>
      </c>
      <c r="S3051" s="15" t="s">
        <v>19202</v>
      </c>
      <c r="T3051" s="15" t="s">
        <v>19203</v>
      </c>
      <c r="U3051" s="21" t="s">
        <v>72</v>
      </c>
    </row>
    <row r="3052" customFormat="false" ht="15" hidden="false" customHeight="false" outlineLevel="0" collapsed="false">
      <c r="A3052" s="15" t="s">
        <v>17956</v>
      </c>
      <c r="B3052" s="15" t="s">
        <v>19095</v>
      </c>
      <c r="C3052" s="14" t="s">
        <v>19204</v>
      </c>
      <c r="D3052" s="14" t="s">
        <v>19205</v>
      </c>
      <c r="E3052" s="16" t="s">
        <v>19206</v>
      </c>
      <c r="F3052" s="16" t="s">
        <v>19207</v>
      </c>
      <c r="G3052" s="23" t="s">
        <v>43</v>
      </c>
      <c r="H3052" s="18" t="n">
        <v>2</v>
      </c>
      <c r="I3052" s="20" t="n">
        <v>36.17</v>
      </c>
      <c r="J3052" s="20" t="n">
        <v>84</v>
      </c>
      <c r="K3052" s="18" t="n">
        <v>2</v>
      </c>
      <c r="L3052" s="18" t="n">
        <v>1</v>
      </c>
      <c r="M3052" s="18" t="n">
        <v>24</v>
      </c>
      <c r="N3052" s="18" t="n">
        <v>12</v>
      </c>
      <c r="O3052" s="14" t="s">
        <v>1097</v>
      </c>
      <c r="P3052" s="14" t="s">
        <v>84</v>
      </c>
      <c r="Q3052" s="15" t="s">
        <v>1089</v>
      </c>
      <c r="R3052" s="16" t="s">
        <v>19208</v>
      </c>
      <c r="S3052" s="15" t="s">
        <v>19209</v>
      </c>
      <c r="T3052" s="15" t="s">
        <v>19209</v>
      </c>
      <c r="U3052" s="21" t="s">
        <v>72</v>
      </c>
    </row>
    <row r="3053" customFormat="false" ht="15" hidden="false" customHeight="false" outlineLevel="0" collapsed="false">
      <c r="A3053" s="15" t="s">
        <v>17956</v>
      </c>
      <c r="B3053" s="15" t="s">
        <v>19095</v>
      </c>
      <c r="C3053" s="14" t="s">
        <v>19210</v>
      </c>
      <c r="D3053" s="14" t="s">
        <v>19211</v>
      </c>
      <c r="E3053" s="16" t="s">
        <v>19212</v>
      </c>
      <c r="F3053" s="16" t="s">
        <v>19213</v>
      </c>
      <c r="G3053" s="23" t="s">
        <v>43</v>
      </c>
      <c r="H3053" s="18" t="n">
        <v>2</v>
      </c>
      <c r="I3053" s="20" t="n">
        <v>34.6</v>
      </c>
      <c r="J3053" s="20" t="n">
        <v>97.54</v>
      </c>
      <c r="K3053" s="18" t="n">
        <v>2</v>
      </c>
      <c r="L3053" s="18" t="n">
        <v>3</v>
      </c>
      <c r="M3053" s="18" t="n">
        <v>30</v>
      </c>
      <c r="N3053" s="18" t="n">
        <v>30</v>
      </c>
      <c r="O3053" s="14" t="s">
        <v>1097</v>
      </c>
      <c r="P3053" s="14" t="s">
        <v>84</v>
      </c>
      <c r="Q3053" s="15" t="s">
        <v>1089</v>
      </c>
      <c r="R3053" s="16" t="s">
        <v>19214</v>
      </c>
      <c r="S3053" s="15" t="s">
        <v>19209</v>
      </c>
      <c r="T3053" s="15" t="s">
        <v>19215</v>
      </c>
      <c r="U3053" s="21" t="s">
        <v>72</v>
      </c>
    </row>
    <row r="3054" customFormat="false" ht="15" hidden="false" customHeight="false" outlineLevel="0" collapsed="false">
      <c r="A3054" s="15" t="s">
        <v>17956</v>
      </c>
      <c r="B3054" s="15" t="s">
        <v>19095</v>
      </c>
      <c r="C3054" s="14" t="s">
        <v>19216</v>
      </c>
      <c r="D3054" s="14" t="s">
        <v>19217</v>
      </c>
      <c r="E3054" s="16" t="s">
        <v>19218</v>
      </c>
      <c r="F3054" s="16" t="s">
        <v>19219</v>
      </c>
      <c r="G3054" s="23" t="s">
        <v>43</v>
      </c>
      <c r="H3054" s="18" t="n">
        <v>3</v>
      </c>
      <c r="I3054" s="20" t="n">
        <v>50</v>
      </c>
      <c r="J3054" s="20" t="n">
        <v>129</v>
      </c>
      <c r="K3054" s="18" t="n">
        <v>5</v>
      </c>
      <c r="L3054" s="18" t="n">
        <v>1</v>
      </c>
      <c r="M3054" s="18" t="n">
        <v>300</v>
      </c>
      <c r="N3054" s="18" t="n">
        <v>300</v>
      </c>
      <c r="O3054" s="14" t="s">
        <v>1126</v>
      </c>
      <c r="P3054" s="14" t="s">
        <v>84</v>
      </c>
      <c r="Q3054" s="15" t="s">
        <v>1089</v>
      </c>
      <c r="R3054" s="16" t="s">
        <v>19220</v>
      </c>
      <c r="S3054" s="15" t="s">
        <v>19221</v>
      </c>
      <c r="T3054" s="15" t="s">
        <v>19221</v>
      </c>
      <c r="U3054" s="21" t="s">
        <v>72</v>
      </c>
    </row>
    <row r="3055" customFormat="false" ht="26.85" hidden="false" customHeight="false" outlineLevel="0" collapsed="false">
      <c r="A3055" s="15" t="s">
        <v>17956</v>
      </c>
      <c r="B3055" s="15" t="s">
        <v>19095</v>
      </c>
      <c r="C3055" s="14" t="s">
        <v>19222</v>
      </c>
      <c r="D3055" s="14" t="s">
        <v>19223</v>
      </c>
      <c r="E3055" s="16" t="s">
        <v>19224</v>
      </c>
      <c r="F3055" s="16" t="s">
        <v>19225</v>
      </c>
      <c r="G3055" s="23" t="s">
        <v>43</v>
      </c>
      <c r="H3055" s="18" t="n">
        <v>3</v>
      </c>
      <c r="I3055" s="20" t="n">
        <v>79</v>
      </c>
      <c r="J3055" s="20" t="n">
        <v>183.19</v>
      </c>
      <c r="K3055" s="18" t="n">
        <v>9</v>
      </c>
      <c r="L3055" s="18" t="n">
        <v>8</v>
      </c>
      <c r="M3055" s="18" t="n">
        <v>195</v>
      </c>
      <c r="N3055" s="18" t="n">
        <v>105</v>
      </c>
      <c r="O3055" s="14" t="s">
        <v>1126</v>
      </c>
      <c r="P3055" s="14" t="s">
        <v>352</v>
      </c>
      <c r="Q3055" s="15" t="s">
        <v>1089</v>
      </c>
      <c r="R3055" s="16" t="s">
        <v>19226</v>
      </c>
      <c r="S3055" s="15" t="s">
        <v>19227</v>
      </c>
      <c r="T3055" s="15" t="s">
        <v>19228</v>
      </c>
      <c r="U3055" s="21" t="s">
        <v>72</v>
      </c>
    </row>
    <row r="3056" customFormat="false" ht="15" hidden="false" customHeight="false" outlineLevel="0" collapsed="false">
      <c r="A3056" s="15" t="s">
        <v>17956</v>
      </c>
      <c r="B3056" s="15" t="s">
        <v>19095</v>
      </c>
      <c r="C3056" s="14" t="s">
        <v>19229</v>
      </c>
      <c r="D3056" s="14" t="s">
        <v>19230</v>
      </c>
      <c r="E3056" s="16" t="s">
        <v>19231</v>
      </c>
      <c r="F3056" s="16" t="s">
        <v>19232</v>
      </c>
      <c r="G3056" s="23" t="s">
        <v>43</v>
      </c>
      <c r="H3056" s="18" t="n">
        <v>2</v>
      </c>
      <c r="I3056" s="20" t="n">
        <v>46.96</v>
      </c>
      <c r="J3056" s="20" t="n">
        <v>102.48</v>
      </c>
      <c r="K3056" s="18" t="n">
        <v>2</v>
      </c>
      <c r="L3056" s="18" t="n">
        <v>1</v>
      </c>
      <c r="M3056" s="18" t="n">
        <v>30</v>
      </c>
      <c r="N3056" s="18" t="n">
        <v>30</v>
      </c>
      <c r="O3056" s="14" t="s">
        <v>1097</v>
      </c>
      <c r="P3056" s="14" t="s">
        <v>118</v>
      </c>
      <c r="Q3056" s="15" t="s">
        <v>1089</v>
      </c>
      <c r="R3056" s="16" t="s">
        <v>14096</v>
      </c>
      <c r="S3056" s="15" t="s">
        <v>19233</v>
      </c>
      <c r="T3056" s="15" t="s">
        <v>19233</v>
      </c>
      <c r="U3056" s="21" t="s">
        <v>72</v>
      </c>
    </row>
    <row r="3057" customFormat="false" ht="15" hidden="false" customHeight="false" outlineLevel="0" collapsed="false">
      <c r="A3057" s="15" t="s">
        <v>17956</v>
      </c>
      <c r="B3057" s="15" t="s">
        <v>19095</v>
      </c>
      <c r="C3057" s="14" t="s">
        <v>19234</v>
      </c>
      <c r="D3057" s="14" t="s">
        <v>19235</v>
      </c>
      <c r="E3057" s="16" t="s">
        <v>19236</v>
      </c>
      <c r="F3057" s="16" t="s">
        <v>19237</v>
      </c>
      <c r="G3057" s="23" t="s">
        <v>43</v>
      </c>
      <c r="H3057" s="18" t="n">
        <v>3</v>
      </c>
      <c r="I3057" s="20" t="n">
        <v>80.45</v>
      </c>
      <c r="J3057" s="20" t="n">
        <v>126.76</v>
      </c>
      <c r="K3057" s="18" t="n">
        <v>5</v>
      </c>
      <c r="L3057" s="18" t="n">
        <v>12</v>
      </c>
      <c r="M3057" s="18" t="n">
        <v>94</v>
      </c>
      <c r="N3057" s="18" t="n">
        <v>60</v>
      </c>
      <c r="O3057" s="14" t="s">
        <v>1097</v>
      </c>
      <c r="P3057" s="14" t="s">
        <v>84</v>
      </c>
      <c r="Q3057" s="15" t="s">
        <v>1089</v>
      </c>
      <c r="R3057" s="16" t="s">
        <v>19031</v>
      </c>
      <c r="S3057" s="15" t="s">
        <v>19238</v>
      </c>
      <c r="T3057" s="15" t="s">
        <v>19238</v>
      </c>
      <c r="U3057" s="21" t="s">
        <v>72</v>
      </c>
    </row>
    <row r="3058" customFormat="false" ht="15" hidden="false" customHeight="false" outlineLevel="0" collapsed="false">
      <c r="A3058" s="15" t="s">
        <v>17956</v>
      </c>
      <c r="B3058" s="15" t="s">
        <v>19095</v>
      </c>
      <c r="C3058" s="14" t="s">
        <v>19239</v>
      </c>
      <c r="D3058" s="14" t="s">
        <v>19240</v>
      </c>
      <c r="E3058" s="16" t="s">
        <v>19241</v>
      </c>
      <c r="F3058" s="16" t="s">
        <v>19242</v>
      </c>
      <c r="G3058" s="19" t="s">
        <v>41</v>
      </c>
      <c r="H3058" s="18" t="n">
        <v>7</v>
      </c>
      <c r="I3058" s="20" t="n">
        <v>135.03</v>
      </c>
      <c r="J3058" s="20" t="n">
        <v>160.28</v>
      </c>
      <c r="K3058" s="18" t="n">
        <v>2</v>
      </c>
      <c r="L3058" s="18" t="n">
        <v>5</v>
      </c>
      <c r="M3058" s="18" t="n">
        <v>20</v>
      </c>
      <c r="N3058" s="18" t="n">
        <v>20</v>
      </c>
      <c r="O3058" s="14" t="s">
        <v>1097</v>
      </c>
      <c r="P3058" s="14" t="s">
        <v>84</v>
      </c>
      <c r="Q3058" s="15" t="s">
        <v>1089</v>
      </c>
      <c r="R3058" s="16" t="s">
        <v>19243</v>
      </c>
      <c r="S3058" s="15" t="s">
        <v>19244</v>
      </c>
      <c r="T3058" s="15" t="s">
        <v>19245</v>
      </c>
      <c r="U3058" s="21" t="s">
        <v>72</v>
      </c>
    </row>
    <row r="3059" customFormat="false" ht="15" hidden="false" customHeight="false" outlineLevel="0" collapsed="false">
      <c r="A3059" s="15" t="s">
        <v>17956</v>
      </c>
      <c r="B3059" s="15" t="s">
        <v>19095</v>
      </c>
      <c r="C3059" s="14" t="s">
        <v>19246</v>
      </c>
      <c r="D3059" s="14" t="s">
        <v>19247</v>
      </c>
      <c r="E3059" s="16" t="s">
        <v>19248</v>
      </c>
      <c r="F3059" s="16" t="s">
        <v>19249</v>
      </c>
      <c r="G3059" s="23" t="s">
        <v>43</v>
      </c>
      <c r="H3059" s="18" t="n">
        <v>2</v>
      </c>
      <c r="I3059" s="20" t="n">
        <v>41.42</v>
      </c>
      <c r="J3059" s="20" t="n">
        <v>98.59</v>
      </c>
      <c r="K3059" s="18" t="n">
        <v>2</v>
      </c>
      <c r="L3059" s="18" t="n">
        <v>6</v>
      </c>
      <c r="M3059" s="18" t="n">
        <v>30</v>
      </c>
      <c r="N3059" s="18" t="n">
        <v>30</v>
      </c>
      <c r="O3059" s="14" t="s">
        <v>1088</v>
      </c>
      <c r="P3059" s="14" t="s">
        <v>118</v>
      </c>
      <c r="Q3059" s="15" t="s">
        <v>1089</v>
      </c>
      <c r="R3059" s="16" t="s">
        <v>19250</v>
      </c>
      <c r="S3059" s="15" t="s">
        <v>19251</v>
      </c>
      <c r="T3059" s="15" t="s">
        <v>19251</v>
      </c>
      <c r="U3059" s="21" t="s">
        <v>72</v>
      </c>
    </row>
    <row r="3060" customFormat="false" ht="15" hidden="false" customHeight="false" outlineLevel="0" collapsed="false">
      <c r="A3060" s="15" t="s">
        <v>17956</v>
      </c>
      <c r="B3060" s="15" t="s">
        <v>19095</v>
      </c>
      <c r="C3060" s="14" t="s">
        <v>19252</v>
      </c>
      <c r="D3060" s="14" t="s">
        <v>19253</v>
      </c>
      <c r="E3060" s="16" t="s">
        <v>19254</v>
      </c>
      <c r="F3060" s="16" t="s">
        <v>19255</v>
      </c>
      <c r="G3060" s="23" t="s">
        <v>43</v>
      </c>
      <c r="H3060" s="18" t="n">
        <v>1</v>
      </c>
      <c r="I3060" s="20" t="n">
        <v>40</v>
      </c>
      <c r="J3060" s="20" t="n">
        <v>50</v>
      </c>
      <c r="K3060" s="18" t="n">
        <v>1</v>
      </c>
      <c r="L3060" s="18" t="n">
        <v>1</v>
      </c>
      <c r="M3060" s="18" t="n">
        <v>60</v>
      </c>
      <c r="N3060" s="18" t="n">
        <v>60</v>
      </c>
      <c r="O3060" s="14" t="s">
        <v>1088</v>
      </c>
      <c r="P3060" s="14" t="s">
        <v>84</v>
      </c>
      <c r="Q3060" s="15" t="s">
        <v>1089</v>
      </c>
      <c r="R3060" s="16" t="s">
        <v>19256</v>
      </c>
      <c r="S3060" s="15" t="s">
        <v>19257</v>
      </c>
      <c r="T3060" s="15" t="s">
        <v>19257</v>
      </c>
      <c r="U3060" s="21" t="s">
        <v>72</v>
      </c>
    </row>
    <row r="3061" customFormat="false" ht="15" hidden="false" customHeight="false" outlineLevel="0" collapsed="false">
      <c r="A3061" s="15" t="s">
        <v>17956</v>
      </c>
      <c r="B3061" s="15" t="s">
        <v>19095</v>
      </c>
      <c r="C3061" s="14" t="s">
        <v>19258</v>
      </c>
      <c r="D3061" s="14" t="s">
        <v>19259</v>
      </c>
      <c r="E3061" s="16" t="s">
        <v>19260</v>
      </c>
      <c r="F3061" s="16"/>
      <c r="G3061" s="23" t="s">
        <v>43</v>
      </c>
      <c r="H3061" s="18" t="n">
        <v>2</v>
      </c>
      <c r="I3061" s="20" t="n">
        <v>77.84</v>
      </c>
      <c r="J3061" s="20" t="n">
        <v>88.98</v>
      </c>
      <c r="K3061" s="18" t="n">
        <v>2</v>
      </c>
      <c r="L3061" s="18" t="n">
        <v>1</v>
      </c>
      <c r="M3061" s="18" t="n">
        <v>30</v>
      </c>
      <c r="N3061" s="18" t="n">
        <v>30</v>
      </c>
      <c r="O3061" s="14" t="s">
        <v>1088</v>
      </c>
      <c r="P3061" s="14" t="s">
        <v>84</v>
      </c>
      <c r="Q3061" s="15" t="s">
        <v>1089</v>
      </c>
      <c r="R3061" s="16" t="s">
        <v>19261</v>
      </c>
      <c r="S3061" s="15" t="s">
        <v>19262</v>
      </c>
      <c r="T3061" s="15" t="s">
        <v>19262</v>
      </c>
      <c r="U3061" s="21" t="s">
        <v>72</v>
      </c>
    </row>
    <row r="3062" customFormat="false" ht="15" hidden="false" customHeight="false" outlineLevel="0" collapsed="false">
      <c r="A3062" s="15" t="s">
        <v>17956</v>
      </c>
      <c r="B3062" s="15" t="s">
        <v>19095</v>
      </c>
      <c r="C3062" s="14" t="s">
        <v>19263</v>
      </c>
      <c r="D3062" s="14" t="s">
        <v>19264</v>
      </c>
      <c r="E3062" s="16" t="s">
        <v>19265</v>
      </c>
      <c r="F3062" s="16" t="s">
        <v>19266</v>
      </c>
      <c r="G3062" s="23" t="s">
        <v>43</v>
      </c>
      <c r="H3062" s="18" t="n">
        <v>3</v>
      </c>
      <c r="I3062" s="20" t="n">
        <v>63</v>
      </c>
      <c r="J3062" s="20" t="n">
        <v>98.04</v>
      </c>
      <c r="K3062" s="18" t="n">
        <v>2</v>
      </c>
      <c r="L3062" s="18" t="n">
        <v>2</v>
      </c>
      <c r="M3062" s="18" t="n">
        <v>40</v>
      </c>
      <c r="N3062" s="18" t="n">
        <v>40</v>
      </c>
      <c r="O3062" s="14" t="s">
        <v>1097</v>
      </c>
      <c r="P3062" s="14" t="s">
        <v>84</v>
      </c>
      <c r="Q3062" s="15" t="s">
        <v>1089</v>
      </c>
      <c r="R3062" s="16" t="s">
        <v>4224</v>
      </c>
      <c r="S3062" s="15" t="s">
        <v>19267</v>
      </c>
      <c r="T3062" s="15" t="s">
        <v>19268</v>
      </c>
      <c r="U3062" s="21" t="s">
        <v>72</v>
      </c>
    </row>
    <row r="3063" customFormat="false" ht="15" hidden="false" customHeight="false" outlineLevel="0" collapsed="false">
      <c r="A3063" s="15" t="s">
        <v>17956</v>
      </c>
      <c r="B3063" s="15" t="s">
        <v>19095</v>
      </c>
      <c r="C3063" s="14" t="s">
        <v>19269</v>
      </c>
      <c r="D3063" s="14" t="s">
        <v>19270</v>
      </c>
      <c r="E3063" s="16" t="s">
        <v>19271</v>
      </c>
      <c r="F3063" s="16"/>
      <c r="G3063" s="23" t="s">
        <v>43</v>
      </c>
      <c r="H3063" s="18" t="n">
        <v>2</v>
      </c>
      <c r="I3063" s="20" t="n">
        <v>39.61</v>
      </c>
      <c r="J3063" s="20" t="n">
        <v>82.41</v>
      </c>
      <c r="K3063" s="18" t="n">
        <v>9</v>
      </c>
      <c r="L3063" s="18" t="n">
        <v>2</v>
      </c>
      <c r="M3063" s="18" t="n">
        <v>90</v>
      </c>
      <c r="N3063" s="18" t="n">
        <v>90</v>
      </c>
      <c r="O3063" s="14" t="s">
        <v>1097</v>
      </c>
      <c r="P3063" s="14" t="s">
        <v>84</v>
      </c>
      <c r="Q3063" s="15" t="s">
        <v>1089</v>
      </c>
      <c r="R3063" s="16" t="s">
        <v>1508</v>
      </c>
      <c r="S3063" s="15" t="s">
        <v>18782</v>
      </c>
      <c r="T3063" s="15" t="s">
        <v>18782</v>
      </c>
      <c r="U3063" s="21" t="s">
        <v>72</v>
      </c>
    </row>
    <row r="3064" customFormat="false" ht="15" hidden="false" customHeight="false" outlineLevel="0" collapsed="false">
      <c r="A3064" s="15" t="s">
        <v>17956</v>
      </c>
      <c r="B3064" s="15" t="s">
        <v>19095</v>
      </c>
      <c r="C3064" s="14" t="s">
        <v>19272</v>
      </c>
      <c r="D3064" s="14" t="s">
        <v>19273</v>
      </c>
      <c r="E3064" s="16" t="s">
        <v>19274</v>
      </c>
      <c r="F3064" s="16"/>
      <c r="G3064" s="23" t="s">
        <v>43</v>
      </c>
      <c r="H3064" s="18" t="n">
        <v>2</v>
      </c>
      <c r="I3064" s="20" t="n">
        <v>48.37</v>
      </c>
      <c r="J3064" s="20" t="n">
        <v>98.93</v>
      </c>
      <c r="K3064" s="18" t="n">
        <v>2</v>
      </c>
      <c r="L3064" s="18" t="n">
        <v>3</v>
      </c>
      <c r="M3064" s="18" t="n">
        <v>50</v>
      </c>
      <c r="N3064" s="18" t="n">
        <v>50</v>
      </c>
      <c r="O3064" s="14" t="s">
        <v>1126</v>
      </c>
      <c r="P3064" s="14" t="s">
        <v>84</v>
      </c>
      <c r="Q3064" s="15" t="s">
        <v>1089</v>
      </c>
      <c r="R3064" s="16" t="s">
        <v>18618</v>
      </c>
      <c r="S3064" s="15" t="s">
        <v>19275</v>
      </c>
      <c r="T3064" s="15" t="s">
        <v>19275</v>
      </c>
      <c r="U3064" s="21" t="s">
        <v>72</v>
      </c>
    </row>
    <row r="3065" customFormat="false" ht="15" hidden="false" customHeight="false" outlineLevel="0" collapsed="false">
      <c r="A3065" s="15" t="s">
        <v>17956</v>
      </c>
      <c r="B3065" s="15" t="s">
        <v>19095</v>
      </c>
      <c r="C3065" s="14" t="s">
        <v>19276</v>
      </c>
      <c r="D3065" s="14" t="s">
        <v>19277</v>
      </c>
      <c r="E3065" s="16" t="s">
        <v>19278</v>
      </c>
      <c r="F3065" s="16" t="s">
        <v>19279</v>
      </c>
      <c r="G3065" s="23" t="s">
        <v>43</v>
      </c>
      <c r="H3065" s="18" t="n">
        <v>1</v>
      </c>
      <c r="I3065" s="20" t="n">
        <v>46.8</v>
      </c>
      <c r="J3065" s="20" t="n">
        <v>93.6</v>
      </c>
      <c r="K3065" s="18" t="n">
        <v>1</v>
      </c>
      <c r="L3065" s="18" t="n">
        <v>1</v>
      </c>
      <c r="M3065" s="18" t="n">
        <v>30</v>
      </c>
      <c r="N3065" s="18" t="n">
        <v>30</v>
      </c>
      <c r="O3065" s="14" t="s">
        <v>1126</v>
      </c>
      <c r="P3065" s="14" t="s">
        <v>84</v>
      </c>
      <c r="Q3065" s="15" t="s">
        <v>1089</v>
      </c>
      <c r="R3065" s="16" t="s">
        <v>19280</v>
      </c>
      <c r="S3065" s="15" t="s">
        <v>19281</v>
      </c>
      <c r="T3065" s="15" t="s">
        <v>19281</v>
      </c>
      <c r="U3065" s="21" t="s">
        <v>72</v>
      </c>
    </row>
    <row r="3066" customFormat="false" ht="15" hidden="false" customHeight="false" outlineLevel="0" collapsed="false">
      <c r="A3066" s="15" t="s">
        <v>17956</v>
      </c>
      <c r="B3066" s="15" t="s">
        <v>19095</v>
      </c>
      <c r="C3066" s="14" t="s">
        <v>19282</v>
      </c>
      <c r="D3066" s="14" t="s">
        <v>19283</v>
      </c>
      <c r="E3066" s="16" t="s">
        <v>19284</v>
      </c>
      <c r="F3066" s="16" t="s">
        <v>19285</v>
      </c>
      <c r="G3066" s="23" t="s">
        <v>43</v>
      </c>
      <c r="H3066" s="18" t="n">
        <v>1</v>
      </c>
      <c r="I3066" s="20" t="n">
        <v>39.13</v>
      </c>
      <c r="J3066" s="20" t="n">
        <v>44.65</v>
      </c>
      <c r="K3066" s="18" t="n">
        <v>2</v>
      </c>
      <c r="L3066" s="18" t="n">
        <v>4</v>
      </c>
      <c r="M3066" s="18" t="n">
        <v>30</v>
      </c>
      <c r="N3066" s="18" t="n">
        <v>30</v>
      </c>
      <c r="O3066" s="14" t="s">
        <v>1097</v>
      </c>
      <c r="P3066" s="14" t="s">
        <v>84</v>
      </c>
      <c r="Q3066" s="15" t="s">
        <v>1089</v>
      </c>
      <c r="R3066" s="16" t="s">
        <v>8374</v>
      </c>
      <c r="S3066" s="15" t="s">
        <v>19286</v>
      </c>
      <c r="T3066" s="15" t="s">
        <v>19286</v>
      </c>
      <c r="U3066" s="21" t="s">
        <v>72</v>
      </c>
    </row>
    <row r="3067" customFormat="false" ht="15" hidden="false" customHeight="false" outlineLevel="0" collapsed="false">
      <c r="A3067" s="15" t="s">
        <v>17956</v>
      </c>
      <c r="B3067" s="15" t="s">
        <v>19095</v>
      </c>
      <c r="C3067" s="14" t="s">
        <v>19287</v>
      </c>
      <c r="D3067" s="14" t="s">
        <v>19288</v>
      </c>
      <c r="E3067" s="16" t="s">
        <v>19289</v>
      </c>
      <c r="F3067" s="16"/>
      <c r="G3067" s="23" t="s">
        <v>43</v>
      </c>
      <c r="H3067" s="18" t="n">
        <v>1</v>
      </c>
      <c r="I3067" s="20" t="n">
        <v>114</v>
      </c>
      <c r="J3067" s="20" t="n">
        <v>160</v>
      </c>
      <c r="K3067" s="18" t="n">
        <v>2</v>
      </c>
      <c r="L3067" s="18" t="n">
        <v>1</v>
      </c>
      <c r="M3067" s="18" t="n">
        <v>60</v>
      </c>
      <c r="N3067" s="18" t="n">
        <v>60</v>
      </c>
      <c r="O3067" s="14" t="s">
        <v>1088</v>
      </c>
      <c r="P3067" s="14" t="s">
        <v>84</v>
      </c>
      <c r="Q3067" s="15" t="s">
        <v>1089</v>
      </c>
      <c r="R3067" s="16" t="s">
        <v>19290</v>
      </c>
      <c r="S3067" s="15" t="s">
        <v>19291</v>
      </c>
      <c r="T3067" s="15" t="s">
        <v>19291</v>
      </c>
      <c r="U3067" s="21" t="s">
        <v>72</v>
      </c>
    </row>
    <row r="3068" customFormat="false" ht="15" hidden="false" customHeight="false" outlineLevel="0" collapsed="false">
      <c r="A3068" s="15" t="s">
        <v>17956</v>
      </c>
      <c r="B3068" s="15" t="s">
        <v>19095</v>
      </c>
      <c r="C3068" s="14" t="s">
        <v>19292</v>
      </c>
      <c r="D3068" s="14" t="s">
        <v>19293</v>
      </c>
      <c r="E3068" s="16" t="s">
        <v>19294</v>
      </c>
      <c r="F3068" s="16" t="s">
        <v>19295</v>
      </c>
      <c r="G3068" s="23" t="s">
        <v>43</v>
      </c>
      <c r="H3068" s="18" t="n">
        <v>3</v>
      </c>
      <c r="I3068" s="20" t="n">
        <v>91.34</v>
      </c>
      <c r="J3068" s="20" t="n">
        <v>97.36</v>
      </c>
      <c r="K3068" s="18" t="n">
        <v>4</v>
      </c>
      <c r="L3068" s="18" t="n">
        <v>3</v>
      </c>
      <c r="M3068" s="18" t="n">
        <v>60</v>
      </c>
      <c r="N3068" s="18" t="n">
        <v>40</v>
      </c>
      <c r="O3068" s="14" t="s">
        <v>1088</v>
      </c>
      <c r="P3068" s="14" t="s">
        <v>118</v>
      </c>
      <c r="Q3068" s="15" t="s">
        <v>1089</v>
      </c>
      <c r="R3068" s="16" t="s">
        <v>19296</v>
      </c>
      <c r="S3068" s="15" t="s">
        <v>18305</v>
      </c>
      <c r="T3068" s="15" t="s">
        <v>19297</v>
      </c>
      <c r="U3068" s="21" t="s">
        <v>72</v>
      </c>
    </row>
    <row r="3069" customFormat="false" ht="15" hidden="false" customHeight="false" outlineLevel="0" collapsed="false">
      <c r="A3069" s="15" t="s">
        <v>17956</v>
      </c>
      <c r="B3069" s="15" t="s">
        <v>19095</v>
      </c>
      <c r="C3069" s="14" t="s">
        <v>19298</v>
      </c>
      <c r="D3069" s="14" t="s">
        <v>19299</v>
      </c>
      <c r="E3069" s="16" t="s">
        <v>19300</v>
      </c>
      <c r="F3069" s="16" t="s">
        <v>19301</v>
      </c>
      <c r="G3069" s="23" t="s">
        <v>43</v>
      </c>
      <c r="H3069" s="18" t="n">
        <v>2</v>
      </c>
      <c r="I3069" s="20" t="n">
        <v>59</v>
      </c>
      <c r="J3069" s="20" t="n">
        <v>119</v>
      </c>
      <c r="K3069" s="18" t="n">
        <v>2</v>
      </c>
      <c r="L3069" s="18" t="n">
        <v>1</v>
      </c>
      <c r="M3069" s="18" t="n">
        <v>40</v>
      </c>
      <c r="N3069" s="18" t="n">
        <v>20</v>
      </c>
      <c r="O3069" s="14" t="s">
        <v>1126</v>
      </c>
      <c r="P3069" s="14" t="s">
        <v>84</v>
      </c>
      <c r="Q3069" s="15" t="s">
        <v>1089</v>
      </c>
      <c r="R3069" s="16" t="s">
        <v>19302</v>
      </c>
      <c r="S3069" s="15" t="s">
        <v>10555</v>
      </c>
      <c r="T3069" s="15" t="s">
        <v>10555</v>
      </c>
      <c r="U3069" s="21" t="s">
        <v>72</v>
      </c>
    </row>
    <row r="3070" customFormat="false" ht="15" hidden="false" customHeight="false" outlineLevel="0" collapsed="false">
      <c r="A3070" s="15" t="s">
        <v>17956</v>
      </c>
      <c r="B3070" s="15" t="s">
        <v>19095</v>
      </c>
      <c r="C3070" s="14" t="s">
        <v>19303</v>
      </c>
      <c r="D3070" s="14" t="s">
        <v>19304</v>
      </c>
      <c r="E3070" s="16" t="s">
        <v>19305</v>
      </c>
      <c r="F3070" s="16" t="s">
        <v>19306</v>
      </c>
      <c r="G3070" s="23" t="s">
        <v>43</v>
      </c>
      <c r="H3070" s="18" t="n">
        <v>4</v>
      </c>
      <c r="I3070" s="20" t="n">
        <v>75.94</v>
      </c>
      <c r="J3070" s="20" t="n">
        <v>131.44</v>
      </c>
      <c r="K3070" s="18" t="n">
        <v>4</v>
      </c>
      <c r="L3070" s="18" t="n">
        <v>2</v>
      </c>
      <c r="M3070" s="18" t="n">
        <v>60</v>
      </c>
      <c r="N3070" s="18" t="n">
        <v>60</v>
      </c>
      <c r="O3070" s="14" t="s">
        <v>1097</v>
      </c>
      <c r="P3070" s="14" t="s">
        <v>84</v>
      </c>
      <c r="Q3070" s="15" t="s">
        <v>1089</v>
      </c>
      <c r="R3070" s="16" t="s">
        <v>19307</v>
      </c>
      <c r="S3070" s="15" t="s">
        <v>19308</v>
      </c>
      <c r="T3070" s="15" t="s">
        <v>19308</v>
      </c>
      <c r="U3070" s="21" t="s">
        <v>72</v>
      </c>
    </row>
    <row r="3071" customFormat="false" ht="15" hidden="false" customHeight="false" outlineLevel="0" collapsed="false">
      <c r="A3071" s="15" t="s">
        <v>17956</v>
      </c>
      <c r="B3071" s="15" t="s">
        <v>19095</v>
      </c>
      <c r="C3071" s="14" t="s">
        <v>19309</v>
      </c>
      <c r="D3071" s="14" t="s">
        <v>19310</v>
      </c>
      <c r="E3071" s="16" t="s">
        <v>19311</v>
      </c>
      <c r="F3071" s="16" t="s">
        <v>19312</v>
      </c>
      <c r="G3071" s="23" t="s">
        <v>43</v>
      </c>
      <c r="H3071" s="18" t="n">
        <v>3</v>
      </c>
      <c r="I3071" s="20" t="n">
        <v>59.43</v>
      </c>
      <c r="J3071" s="20" t="n">
        <v>71.14</v>
      </c>
      <c r="K3071" s="18" t="n">
        <v>4</v>
      </c>
      <c r="L3071" s="18" t="n">
        <v>2</v>
      </c>
      <c r="M3071" s="18" t="n">
        <v>57</v>
      </c>
      <c r="N3071" s="18" t="n">
        <v>15</v>
      </c>
      <c r="O3071" s="14" t="s">
        <v>1088</v>
      </c>
      <c r="P3071" s="14" t="s">
        <v>1716</v>
      </c>
      <c r="Q3071" s="15" t="s">
        <v>1089</v>
      </c>
      <c r="R3071" s="16" t="s">
        <v>2435</v>
      </c>
      <c r="S3071" s="15" t="s">
        <v>19313</v>
      </c>
      <c r="T3071" s="15" t="s">
        <v>19314</v>
      </c>
      <c r="U3071" s="21" t="s">
        <v>72</v>
      </c>
    </row>
    <row r="3072" customFormat="false" ht="15" hidden="false" customHeight="false" outlineLevel="0" collapsed="false">
      <c r="A3072" s="15" t="s">
        <v>17956</v>
      </c>
      <c r="B3072" s="15" t="s">
        <v>19095</v>
      </c>
      <c r="C3072" s="14" t="s">
        <v>19315</v>
      </c>
      <c r="D3072" s="14" t="s">
        <v>19316</v>
      </c>
      <c r="E3072" s="16" t="s">
        <v>19317</v>
      </c>
      <c r="F3072" s="16" t="s">
        <v>19318</v>
      </c>
      <c r="G3072" s="19" t="s">
        <v>41</v>
      </c>
      <c r="H3072" s="18" t="n">
        <v>3</v>
      </c>
      <c r="I3072" s="20" t="n">
        <v>161.13</v>
      </c>
      <c r="J3072" s="20" t="n">
        <v>296.52</v>
      </c>
      <c r="K3072" s="18" t="n">
        <v>4</v>
      </c>
      <c r="L3072" s="18" t="n">
        <v>4</v>
      </c>
      <c r="M3072" s="18" t="n">
        <v>68</v>
      </c>
      <c r="N3072" s="18" t="n">
        <v>68</v>
      </c>
      <c r="O3072" s="14" t="s">
        <v>1088</v>
      </c>
      <c r="P3072" s="14" t="s">
        <v>84</v>
      </c>
      <c r="Q3072" s="15" t="s">
        <v>1089</v>
      </c>
      <c r="R3072" s="16" t="s">
        <v>19319</v>
      </c>
      <c r="S3072" s="15" t="s">
        <v>19320</v>
      </c>
      <c r="T3072" s="15" t="s">
        <v>19321</v>
      </c>
      <c r="U3072" s="21" t="s">
        <v>72</v>
      </c>
    </row>
    <row r="3073" customFormat="false" ht="15" hidden="false" customHeight="false" outlineLevel="0" collapsed="false">
      <c r="A3073" s="15" t="s">
        <v>17956</v>
      </c>
      <c r="B3073" s="15" t="s">
        <v>19095</v>
      </c>
      <c r="C3073" s="14" t="s">
        <v>19322</v>
      </c>
      <c r="D3073" s="14" t="s">
        <v>19323</v>
      </c>
      <c r="E3073" s="16" t="s">
        <v>19324</v>
      </c>
      <c r="F3073" s="16" t="s">
        <v>19325</v>
      </c>
      <c r="G3073" s="23" t="s">
        <v>43</v>
      </c>
      <c r="H3073" s="18" t="n">
        <v>2</v>
      </c>
      <c r="I3073" s="20" t="n">
        <v>50</v>
      </c>
      <c r="J3073" s="20" t="n">
        <v>78</v>
      </c>
      <c r="K3073" s="18" t="n">
        <v>2</v>
      </c>
      <c r="L3073" s="18" t="n">
        <v>4</v>
      </c>
      <c r="M3073" s="18" t="n">
        <v>30</v>
      </c>
      <c r="N3073" s="18" t="n">
        <v>15</v>
      </c>
      <c r="O3073" s="14" t="s">
        <v>1088</v>
      </c>
      <c r="P3073" s="14" t="s">
        <v>84</v>
      </c>
      <c r="Q3073" s="15" t="s">
        <v>1089</v>
      </c>
      <c r="R3073" s="16" t="s">
        <v>19326</v>
      </c>
      <c r="S3073" s="15" t="s">
        <v>19327</v>
      </c>
      <c r="T3073" s="15" t="s">
        <v>19327</v>
      </c>
      <c r="U3073" s="21" t="s">
        <v>72</v>
      </c>
    </row>
    <row r="3074" customFormat="false" ht="15" hidden="false" customHeight="false" outlineLevel="0" collapsed="false">
      <c r="A3074" s="15" t="s">
        <v>17956</v>
      </c>
      <c r="B3074" s="15" t="s">
        <v>19095</v>
      </c>
      <c r="C3074" s="14" t="s">
        <v>19328</v>
      </c>
      <c r="D3074" s="14" t="s">
        <v>19329</v>
      </c>
      <c r="E3074" s="16" t="s">
        <v>19330</v>
      </c>
      <c r="F3074" s="16" t="s">
        <v>19331</v>
      </c>
      <c r="G3074" s="23" t="s">
        <v>43</v>
      </c>
      <c r="H3074" s="18" t="n">
        <v>1</v>
      </c>
      <c r="I3074" s="20" t="n">
        <v>20.37</v>
      </c>
      <c r="J3074" s="20" t="n">
        <v>78</v>
      </c>
      <c r="K3074" s="18" t="n">
        <v>1</v>
      </c>
      <c r="L3074" s="18" t="n">
        <v>5</v>
      </c>
      <c r="M3074" s="18" t="n">
        <v>12</v>
      </c>
      <c r="N3074" s="18" t="n">
        <v>12</v>
      </c>
      <c r="O3074" s="14" t="s">
        <v>1126</v>
      </c>
      <c r="P3074" s="14" t="s">
        <v>84</v>
      </c>
      <c r="Q3074" s="15" t="s">
        <v>1089</v>
      </c>
      <c r="R3074" s="16" t="s">
        <v>19332</v>
      </c>
      <c r="S3074" s="15" t="s">
        <v>19333</v>
      </c>
      <c r="T3074" s="15" t="s">
        <v>4801</v>
      </c>
      <c r="U3074" s="21" t="s">
        <v>72</v>
      </c>
    </row>
    <row r="3075" customFormat="false" ht="15" hidden="false" customHeight="false" outlineLevel="0" collapsed="false">
      <c r="A3075" s="15" t="s">
        <v>17956</v>
      </c>
      <c r="B3075" s="15" t="s">
        <v>19095</v>
      </c>
      <c r="C3075" s="14" t="s">
        <v>19334</v>
      </c>
      <c r="D3075" s="14" t="s">
        <v>19335</v>
      </c>
      <c r="E3075" s="16" t="s">
        <v>19336</v>
      </c>
      <c r="F3075" s="16" t="s">
        <v>19337</v>
      </c>
      <c r="G3075" s="25" t="s">
        <v>39</v>
      </c>
      <c r="H3075" s="18" t="n">
        <v>5</v>
      </c>
      <c r="I3075" s="20" t="n">
        <v>263</v>
      </c>
      <c r="J3075" s="20" t="n">
        <v>783</v>
      </c>
      <c r="K3075" s="18" t="n">
        <v>2</v>
      </c>
      <c r="L3075" s="18" t="n">
        <v>6</v>
      </c>
      <c r="M3075" s="18" t="n">
        <v>40</v>
      </c>
      <c r="N3075" s="18" t="n">
        <v>40</v>
      </c>
      <c r="O3075" s="14" t="s">
        <v>1126</v>
      </c>
      <c r="P3075" s="14" t="s">
        <v>84</v>
      </c>
      <c r="Q3075" s="15" t="s">
        <v>1089</v>
      </c>
      <c r="R3075" s="16" t="s">
        <v>19338</v>
      </c>
      <c r="S3075" s="15" t="s">
        <v>19339</v>
      </c>
      <c r="T3075" s="15" t="s">
        <v>19340</v>
      </c>
      <c r="U3075" s="21" t="s">
        <v>72</v>
      </c>
    </row>
    <row r="3076" customFormat="false" ht="15" hidden="false" customHeight="false" outlineLevel="0" collapsed="false">
      <c r="A3076" s="15" t="s">
        <v>17956</v>
      </c>
      <c r="B3076" s="15" t="s">
        <v>19095</v>
      </c>
      <c r="C3076" s="14" t="s">
        <v>19341</v>
      </c>
      <c r="D3076" s="14" t="s">
        <v>19342</v>
      </c>
      <c r="E3076" s="16" t="s">
        <v>19343</v>
      </c>
      <c r="F3076" s="16" t="s">
        <v>19344</v>
      </c>
      <c r="G3076" s="23" t="s">
        <v>43</v>
      </c>
      <c r="H3076" s="18" t="n">
        <v>3</v>
      </c>
      <c r="I3076" s="20" t="n">
        <v>105.26</v>
      </c>
      <c r="J3076" s="20" t="n">
        <v>46.88</v>
      </c>
      <c r="K3076" s="18" t="n">
        <v>2</v>
      </c>
      <c r="L3076" s="18" t="n">
        <v>4</v>
      </c>
      <c r="M3076" s="18" t="n">
        <v>24</v>
      </c>
      <c r="N3076" s="18" t="n">
        <v>24</v>
      </c>
      <c r="O3076" s="14" t="s">
        <v>1097</v>
      </c>
      <c r="P3076" s="14" t="s">
        <v>84</v>
      </c>
      <c r="Q3076" s="15" t="s">
        <v>1089</v>
      </c>
      <c r="R3076" s="16" t="s">
        <v>19345</v>
      </c>
      <c r="S3076" s="15" t="s">
        <v>19346</v>
      </c>
      <c r="T3076" s="15" t="s">
        <v>19346</v>
      </c>
      <c r="U3076" s="21" t="s">
        <v>72</v>
      </c>
    </row>
    <row r="3077" customFormat="false" ht="15" hidden="false" customHeight="false" outlineLevel="0" collapsed="false">
      <c r="A3077" s="15" t="s">
        <v>17956</v>
      </c>
      <c r="B3077" s="15" t="s">
        <v>19095</v>
      </c>
      <c r="C3077" s="14" t="s">
        <v>19347</v>
      </c>
      <c r="D3077" s="14" t="s">
        <v>19348</v>
      </c>
      <c r="E3077" s="16" t="s">
        <v>19349</v>
      </c>
      <c r="F3077" s="16" t="s">
        <v>19350</v>
      </c>
      <c r="G3077" s="23" t="s">
        <v>43</v>
      </c>
      <c r="H3077" s="18" t="n">
        <v>2</v>
      </c>
      <c r="I3077" s="20" t="n">
        <v>32.74</v>
      </c>
      <c r="J3077" s="20" t="n">
        <v>103.36</v>
      </c>
      <c r="K3077" s="18" t="n">
        <v>2</v>
      </c>
      <c r="L3077" s="18" t="n">
        <v>2</v>
      </c>
      <c r="M3077" s="18" t="n">
        <v>30</v>
      </c>
      <c r="N3077" s="18" t="n">
        <v>15</v>
      </c>
      <c r="O3077" s="14" t="s">
        <v>1088</v>
      </c>
      <c r="P3077" s="14" t="s">
        <v>118</v>
      </c>
      <c r="Q3077" s="15" t="s">
        <v>1089</v>
      </c>
      <c r="R3077" s="16" t="s">
        <v>19351</v>
      </c>
      <c r="S3077" s="15" t="s">
        <v>19352</v>
      </c>
      <c r="T3077" s="15" t="s">
        <v>19352</v>
      </c>
      <c r="U3077" s="21" t="s">
        <v>72</v>
      </c>
    </row>
    <row r="3078" customFormat="false" ht="15" hidden="false" customHeight="false" outlineLevel="0" collapsed="false">
      <c r="A3078" s="15" t="s">
        <v>17956</v>
      </c>
      <c r="B3078" s="15" t="s">
        <v>19095</v>
      </c>
      <c r="C3078" s="14" t="s">
        <v>19353</v>
      </c>
      <c r="D3078" s="14" t="s">
        <v>19354</v>
      </c>
      <c r="E3078" s="16" t="s">
        <v>19355</v>
      </c>
      <c r="F3078" s="16" t="s">
        <v>19356</v>
      </c>
      <c r="G3078" s="23" t="s">
        <v>43</v>
      </c>
      <c r="H3078" s="18" t="n">
        <v>2</v>
      </c>
      <c r="I3078" s="20" t="n">
        <v>46.07</v>
      </c>
      <c r="J3078" s="20" t="n">
        <v>88.09</v>
      </c>
      <c r="K3078" s="18" t="n">
        <v>2</v>
      </c>
      <c r="L3078" s="18" t="n">
        <v>2</v>
      </c>
      <c r="M3078" s="18" t="n">
        <v>68</v>
      </c>
      <c r="N3078" s="18" t="n">
        <v>68</v>
      </c>
      <c r="O3078" s="14" t="s">
        <v>1126</v>
      </c>
      <c r="P3078" s="14" t="s">
        <v>84</v>
      </c>
      <c r="Q3078" s="15" t="s">
        <v>1089</v>
      </c>
      <c r="R3078" s="16" t="s">
        <v>19357</v>
      </c>
      <c r="S3078" s="15" t="s">
        <v>3749</v>
      </c>
      <c r="T3078" s="15" t="s">
        <v>19358</v>
      </c>
      <c r="U3078" s="21" t="s">
        <v>72</v>
      </c>
    </row>
    <row r="3079" customFormat="false" ht="15" hidden="false" customHeight="false" outlineLevel="0" collapsed="false">
      <c r="A3079" s="15" t="s">
        <v>17956</v>
      </c>
      <c r="B3079" s="15" t="s">
        <v>19095</v>
      </c>
      <c r="C3079" s="14" t="s">
        <v>19359</v>
      </c>
      <c r="D3079" s="14" t="s">
        <v>19360</v>
      </c>
      <c r="E3079" s="16" t="s">
        <v>19361</v>
      </c>
      <c r="F3079" s="16" t="s">
        <v>18592</v>
      </c>
      <c r="G3079" s="23" t="s">
        <v>43</v>
      </c>
      <c r="H3079" s="18" t="n">
        <v>4</v>
      </c>
      <c r="I3079" s="20" t="n">
        <v>135</v>
      </c>
      <c r="J3079" s="20" t="n">
        <v>183.6</v>
      </c>
      <c r="K3079" s="18" t="n">
        <v>2</v>
      </c>
      <c r="L3079" s="18" t="n">
        <v>1</v>
      </c>
      <c r="M3079" s="18" t="n">
        <v>26</v>
      </c>
      <c r="N3079" s="18" t="n">
        <v>13</v>
      </c>
      <c r="O3079" s="14" t="s">
        <v>1126</v>
      </c>
      <c r="P3079" s="14" t="s">
        <v>84</v>
      </c>
      <c r="Q3079" s="15" t="s">
        <v>1089</v>
      </c>
      <c r="R3079" s="16" t="s">
        <v>19362</v>
      </c>
      <c r="S3079" s="15" t="s">
        <v>18593</v>
      </c>
      <c r="T3079" s="15" t="s">
        <v>19363</v>
      </c>
      <c r="U3079" s="21" t="s">
        <v>72</v>
      </c>
    </row>
    <row r="3080" customFormat="false" ht="15" hidden="false" customHeight="false" outlineLevel="0" collapsed="false">
      <c r="A3080" s="15" t="s">
        <v>17956</v>
      </c>
      <c r="B3080" s="15" t="s">
        <v>19095</v>
      </c>
      <c r="C3080" s="14" t="s">
        <v>19364</v>
      </c>
      <c r="D3080" s="14" t="s">
        <v>19365</v>
      </c>
      <c r="E3080" s="16" t="s">
        <v>19366</v>
      </c>
      <c r="F3080" s="16" t="s">
        <v>19367</v>
      </c>
      <c r="G3080" s="25" t="s">
        <v>39</v>
      </c>
      <c r="H3080" s="18" t="n">
        <v>11</v>
      </c>
      <c r="I3080" s="20" t="n">
        <v>247.67</v>
      </c>
      <c r="J3080" s="20" t="n">
        <v>459.61</v>
      </c>
      <c r="K3080" s="18" t="n">
        <v>11</v>
      </c>
      <c r="L3080" s="18" t="n">
        <v>1</v>
      </c>
      <c r="M3080" s="18" t="n">
        <v>165</v>
      </c>
      <c r="N3080" s="18" t="n">
        <v>165</v>
      </c>
      <c r="O3080" s="14" t="s">
        <v>1097</v>
      </c>
      <c r="P3080" s="14" t="s">
        <v>118</v>
      </c>
      <c r="Q3080" s="15" t="s">
        <v>1089</v>
      </c>
      <c r="R3080" s="16" t="s">
        <v>8229</v>
      </c>
      <c r="S3080" s="15" t="s">
        <v>19368</v>
      </c>
      <c r="T3080" s="15" t="s">
        <v>19369</v>
      </c>
      <c r="U3080" s="21" t="s">
        <v>72</v>
      </c>
    </row>
    <row r="3081" customFormat="false" ht="15" hidden="false" customHeight="false" outlineLevel="0" collapsed="false">
      <c r="A3081" s="15" t="s">
        <v>17956</v>
      </c>
      <c r="B3081" s="15" t="s">
        <v>19095</v>
      </c>
      <c r="C3081" s="14" t="s">
        <v>19370</v>
      </c>
      <c r="D3081" s="14" t="s">
        <v>19371</v>
      </c>
      <c r="E3081" s="16" t="s">
        <v>19372</v>
      </c>
      <c r="F3081" s="16" t="s">
        <v>19373</v>
      </c>
      <c r="G3081" s="23" t="s">
        <v>43</v>
      </c>
      <c r="H3081" s="18" t="n">
        <v>3</v>
      </c>
      <c r="I3081" s="20" t="n">
        <v>67.4</v>
      </c>
      <c r="J3081" s="20" t="n">
        <v>83.84</v>
      </c>
      <c r="K3081" s="18" t="n">
        <v>3</v>
      </c>
      <c r="L3081" s="18" t="n">
        <v>2</v>
      </c>
      <c r="M3081" s="18" t="n">
        <v>30</v>
      </c>
      <c r="N3081" s="18" t="n">
        <v>10</v>
      </c>
      <c r="O3081" s="14" t="s">
        <v>1088</v>
      </c>
      <c r="P3081" s="14" t="s">
        <v>118</v>
      </c>
      <c r="Q3081" s="15" t="s">
        <v>1089</v>
      </c>
      <c r="R3081" s="16" t="s">
        <v>19374</v>
      </c>
      <c r="S3081" s="15" t="s">
        <v>19375</v>
      </c>
      <c r="T3081" s="15" t="s">
        <v>19375</v>
      </c>
      <c r="U3081" s="21" t="s">
        <v>72</v>
      </c>
    </row>
    <row r="3082" customFormat="false" ht="15" hidden="false" customHeight="false" outlineLevel="0" collapsed="false">
      <c r="A3082" s="15" t="s">
        <v>17956</v>
      </c>
      <c r="B3082" s="15" t="s">
        <v>19095</v>
      </c>
      <c r="C3082" s="14" t="s">
        <v>19376</v>
      </c>
      <c r="D3082" s="14" t="s">
        <v>19377</v>
      </c>
      <c r="E3082" s="16" t="s">
        <v>19378</v>
      </c>
      <c r="F3082" s="16"/>
      <c r="G3082" s="23" t="s">
        <v>43</v>
      </c>
      <c r="H3082" s="18" t="n">
        <v>2</v>
      </c>
      <c r="I3082" s="20" t="n">
        <v>39.84</v>
      </c>
      <c r="J3082" s="20" t="n">
        <v>91.96</v>
      </c>
      <c r="K3082" s="18" t="n">
        <v>2</v>
      </c>
      <c r="L3082" s="18" t="n">
        <v>2</v>
      </c>
      <c r="M3082" s="18" t="n">
        <v>30</v>
      </c>
      <c r="N3082" s="18" t="n">
        <v>30</v>
      </c>
      <c r="O3082" s="14" t="s">
        <v>1097</v>
      </c>
      <c r="P3082" s="14" t="s">
        <v>84</v>
      </c>
      <c r="Q3082" s="15" t="s">
        <v>1089</v>
      </c>
      <c r="R3082" s="16" t="s">
        <v>19379</v>
      </c>
      <c r="S3082" s="15" t="s">
        <v>19380</v>
      </c>
      <c r="T3082" s="15" t="s">
        <v>19380</v>
      </c>
      <c r="U3082" s="21" t="s">
        <v>72</v>
      </c>
    </row>
    <row r="3083" customFormat="false" ht="15" hidden="false" customHeight="false" outlineLevel="0" collapsed="false">
      <c r="A3083" s="15" t="s">
        <v>17956</v>
      </c>
      <c r="B3083" s="15" t="s">
        <v>19095</v>
      </c>
      <c r="C3083" s="14" t="s">
        <v>19381</v>
      </c>
      <c r="D3083" s="14" t="s">
        <v>19382</v>
      </c>
      <c r="E3083" s="16" t="s">
        <v>19383</v>
      </c>
      <c r="F3083" s="16" t="s">
        <v>19384</v>
      </c>
      <c r="G3083" s="23" t="s">
        <v>43</v>
      </c>
      <c r="H3083" s="18" t="n">
        <v>2</v>
      </c>
      <c r="I3083" s="20" t="n">
        <v>110</v>
      </c>
      <c r="J3083" s="20" t="n">
        <v>198.2</v>
      </c>
      <c r="K3083" s="18" t="n">
        <v>2</v>
      </c>
      <c r="L3083" s="18" t="n">
        <v>5</v>
      </c>
      <c r="M3083" s="18" t="n">
        <v>30</v>
      </c>
      <c r="N3083" s="18" t="n">
        <v>30</v>
      </c>
      <c r="O3083" s="14" t="s">
        <v>1126</v>
      </c>
      <c r="P3083" s="14" t="s">
        <v>84</v>
      </c>
      <c r="Q3083" s="15" t="s">
        <v>1089</v>
      </c>
      <c r="R3083" s="16" t="s">
        <v>19385</v>
      </c>
      <c r="S3083" s="15" t="s">
        <v>19386</v>
      </c>
      <c r="T3083" s="15" t="s">
        <v>19386</v>
      </c>
      <c r="U3083" s="21" t="s">
        <v>72</v>
      </c>
    </row>
    <row r="3084" customFormat="false" ht="15" hidden="false" customHeight="false" outlineLevel="0" collapsed="false">
      <c r="A3084" s="15" t="s">
        <v>17956</v>
      </c>
      <c r="B3084" s="15" t="s">
        <v>19095</v>
      </c>
      <c r="C3084" s="14" t="s">
        <v>19387</v>
      </c>
      <c r="D3084" s="14" t="s">
        <v>19388</v>
      </c>
      <c r="E3084" s="16" t="s">
        <v>19389</v>
      </c>
      <c r="F3084" s="16" t="s">
        <v>19390</v>
      </c>
      <c r="G3084" s="19" t="s">
        <v>41</v>
      </c>
      <c r="H3084" s="18" t="n">
        <v>5</v>
      </c>
      <c r="I3084" s="20" t="n">
        <v>105.83</v>
      </c>
      <c r="J3084" s="20" t="n">
        <v>179.34</v>
      </c>
      <c r="K3084" s="18" t="n">
        <v>5</v>
      </c>
      <c r="L3084" s="18" t="n">
        <v>2</v>
      </c>
      <c r="M3084" s="18" t="n">
        <v>75</v>
      </c>
      <c r="N3084" s="18" t="n">
        <v>75</v>
      </c>
      <c r="O3084" s="14" t="s">
        <v>1097</v>
      </c>
      <c r="P3084" s="14" t="s">
        <v>84</v>
      </c>
      <c r="Q3084" s="15" t="s">
        <v>1089</v>
      </c>
      <c r="R3084" s="16" t="s">
        <v>19391</v>
      </c>
      <c r="S3084" s="15" t="s">
        <v>19392</v>
      </c>
      <c r="T3084" s="15" t="s">
        <v>19392</v>
      </c>
      <c r="U3084" s="21" t="s">
        <v>72</v>
      </c>
    </row>
    <row r="3085" customFormat="false" ht="15" hidden="false" customHeight="false" outlineLevel="0" collapsed="false">
      <c r="A3085" s="15" t="s">
        <v>17956</v>
      </c>
      <c r="B3085" s="15" t="s">
        <v>19393</v>
      </c>
      <c r="C3085" s="14" t="s">
        <v>19394</v>
      </c>
      <c r="D3085" s="14" t="s">
        <v>19395</v>
      </c>
      <c r="E3085" s="16" t="s">
        <v>19396</v>
      </c>
      <c r="F3085" s="16"/>
      <c r="G3085" s="23" t="s">
        <v>43</v>
      </c>
      <c r="H3085" s="18" t="n">
        <v>2</v>
      </c>
      <c r="I3085" s="20" t="n">
        <v>57.89</v>
      </c>
      <c r="J3085" s="20" t="n">
        <v>79.01</v>
      </c>
      <c r="K3085" s="18" t="n">
        <v>3</v>
      </c>
      <c r="L3085" s="18" t="n">
        <v>1</v>
      </c>
      <c r="M3085" s="18" t="n">
        <v>45</v>
      </c>
      <c r="N3085" s="18" t="n">
        <v>45</v>
      </c>
      <c r="O3085" s="14" t="s">
        <v>1126</v>
      </c>
      <c r="P3085" s="14" t="s">
        <v>84</v>
      </c>
      <c r="Q3085" s="15" t="s">
        <v>1089</v>
      </c>
      <c r="R3085" s="16" t="s">
        <v>19397</v>
      </c>
      <c r="S3085" s="15" t="s">
        <v>19398</v>
      </c>
      <c r="T3085" s="15" t="s">
        <v>19399</v>
      </c>
      <c r="U3085" s="21" t="s">
        <v>72</v>
      </c>
    </row>
    <row r="3086" customFormat="false" ht="15" hidden="false" customHeight="false" outlineLevel="0" collapsed="false">
      <c r="A3086" s="15" t="s">
        <v>17956</v>
      </c>
      <c r="B3086" s="15" t="s">
        <v>19400</v>
      </c>
      <c r="C3086" s="14" t="s">
        <v>19401</v>
      </c>
      <c r="D3086" s="14" t="s">
        <v>19402</v>
      </c>
      <c r="E3086" s="16" t="s">
        <v>19403</v>
      </c>
      <c r="F3086" s="16" t="s">
        <v>19404</v>
      </c>
      <c r="G3086" s="23" t="s">
        <v>43</v>
      </c>
      <c r="H3086" s="18" t="n">
        <v>1</v>
      </c>
      <c r="I3086" s="20" t="n">
        <v>45.1</v>
      </c>
      <c r="J3086" s="20" t="n">
        <v>86.01</v>
      </c>
      <c r="K3086" s="18" t="n">
        <v>2</v>
      </c>
      <c r="L3086" s="18" t="n">
        <v>1</v>
      </c>
      <c r="M3086" s="18" t="n">
        <v>20</v>
      </c>
      <c r="N3086" s="18" t="n">
        <v>20</v>
      </c>
      <c r="O3086" s="14" t="s">
        <v>1088</v>
      </c>
      <c r="P3086" s="14" t="s">
        <v>84</v>
      </c>
      <c r="Q3086" s="15" t="s">
        <v>1089</v>
      </c>
      <c r="R3086" s="16" t="s">
        <v>19405</v>
      </c>
      <c r="S3086" s="15" t="s">
        <v>19406</v>
      </c>
      <c r="T3086" s="15" t="s">
        <v>19407</v>
      </c>
      <c r="U3086" s="21" t="s">
        <v>72</v>
      </c>
    </row>
    <row r="3087" customFormat="false" ht="15" hidden="false" customHeight="false" outlineLevel="0" collapsed="false">
      <c r="A3087" s="15" t="s">
        <v>17956</v>
      </c>
      <c r="B3087" s="15" t="s">
        <v>19408</v>
      </c>
      <c r="C3087" s="14" t="s">
        <v>19409</v>
      </c>
      <c r="D3087" s="14" t="s">
        <v>19410</v>
      </c>
      <c r="E3087" s="16" t="s">
        <v>19411</v>
      </c>
      <c r="F3087" s="16" t="s">
        <v>19412</v>
      </c>
      <c r="G3087" s="23" t="s">
        <v>43</v>
      </c>
      <c r="H3087" s="18" t="n">
        <v>3</v>
      </c>
      <c r="I3087" s="20" t="n">
        <v>67.7</v>
      </c>
      <c r="J3087" s="20" t="n">
        <v>85.5</v>
      </c>
      <c r="K3087" s="18" t="n">
        <v>2</v>
      </c>
      <c r="L3087" s="18" t="n">
        <v>1</v>
      </c>
      <c r="M3087" s="18" t="n">
        <v>28</v>
      </c>
      <c r="N3087" s="18" t="n">
        <v>28</v>
      </c>
      <c r="O3087" s="14" t="s">
        <v>1126</v>
      </c>
      <c r="P3087" s="14" t="s">
        <v>84</v>
      </c>
      <c r="Q3087" s="15" t="s">
        <v>1089</v>
      </c>
      <c r="R3087" s="16" t="s">
        <v>15240</v>
      </c>
      <c r="S3087" s="15" t="s">
        <v>19413</v>
      </c>
      <c r="T3087" s="15" t="s">
        <v>19413</v>
      </c>
      <c r="U3087" s="21" t="s">
        <v>72</v>
      </c>
    </row>
    <row r="3088" customFormat="false" ht="15" hidden="false" customHeight="false" outlineLevel="0" collapsed="false">
      <c r="A3088" s="15" t="s">
        <v>17956</v>
      </c>
      <c r="B3088" s="15" t="s">
        <v>19408</v>
      </c>
      <c r="C3088" s="14" t="s">
        <v>19414</v>
      </c>
      <c r="D3088" s="14" t="s">
        <v>19415</v>
      </c>
      <c r="E3088" s="16" t="s">
        <v>19416</v>
      </c>
      <c r="F3088" s="16"/>
      <c r="G3088" s="23" t="s">
        <v>43</v>
      </c>
      <c r="H3088" s="18" t="n">
        <v>1</v>
      </c>
      <c r="I3088" s="20" t="n">
        <v>34</v>
      </c>
      <c r="J3088" s="20" t="n">
        <v>98.53</v>
      </c>
      <c r="K3088" s="18" t="n">
        <v>2</v>
      </c>
      <c r="L3088" s="18" t="n">
        <v>1</v>
      </c>
      <c r="M3088" s="18" t="n">
        <v>56</v>
      </c>
      <c r="N3088" s="18" t="n">
        <v>56</v>
      </c>
      <c r="O3088" s="14" t="s">
        <v>1097</v>
      </c>
      <c r="P3088" s="14" t="s">
        <v>84</v>
      </c>
      <c r="Q3088" s="15" t="s">
        <v>1089</v>
      </c>
      <c r="R3088" s="16" t="s">
        <v>6185</v>
      </c>
      <c r="S3088" s="15" t="s">
        <v>19417</v>
      </c>
      <c r="T3088" s="15" t="s">
        <v>19418</v>
      </c>
      <c r="U3088" s="21" t="s">
        <v>72</v>
      </c>
    </row>
    <row r="3089" customFormat="false" ht="15" hidden="false" customHeight="false" outlineLevel="0" collapsed="false">
      <c r="A3089" s="15" t="s">
        <v>17956</v>
      </c>
      <c r="B3089" s="15" t="s">
        <v>19408</v>
      </c>
      <c r="C3089" s="14" t="s">
        <v>19419</v>
      </c>
      <c r="D3089" s="14" t="s">
        <v>19420</v>
      </c>
      <c r="E3089" s="16" t="s">
        <v>19421</v>
      </c>
      <c r="F3089" s="16"/>
      <c r="G3089" s="23" t="s">
        <v>43</v>
      </c>
      <c r="H3089" s="18" t="n">
        <v>2</v>
      </c>
      <c r="I3089" s="20" t="n">
        <v>90</v>
      </c>
      <c r="J3089" s="20" t="n">
        <v>112</v>
      </c>
      <c r="K3089" s="18" t="n">
        <v>3</v>
      </c>
      <c r="L3089" s="18" t="n">
        <v>2</v>
      </c>
      <c r="M3089" s="18" t="n">
        <v>90</v>
      </c>
      <c r="N3089" s="18" t="n">
        <v>30</v>
      </c>
      <c r="O3089" s="14" t="s">
        <v>1088</v>
      </c>
      <c r="P3089" s="14" t="s">
        <v>84</v>
      </c>
      <c r="Q3089" s="15" t="s">
        <v>1089</v>
      </c>
      <c r="R3089" s="16" t="s">
        <v>19422</v>
      </c>
      <c r="S3089" s="15" t="s">
        <v>19423</v>
      </c>
      <c r="T3089" s="15" t="s">
        <v>19423</v>
      </c>
      <c r="U3089" s="21" t="s">
        <v>72</v>
      </c>
    </row>
    <row r="3090" customFormat="false" ht="15" hidden="false" customHeight="false" outlineLevel="0" collapsed="false">
      <c r="A3090" s="15" t="s">
        <v>17956</v>
      </c>
      <c r="B3090" s="15" t="s">
        <v>19408</v>
      </c>
      <c r="C3090" s="14" t="s">
        <v>19424</v>
      </c>
      <c r="D3090" s="14" t="s">
        <v>19425</v>
      </c>
      <c r="E3090" s="16" t="s">
        <v>19426</v>
      </c>
      <c r="F3090" s="16" t="s">
        <v>19427</v>
      </c>
      <c r="G3090" s="23" t="s">
        <v>43</v>
      </c>
      <c r="H3090" s="18" t="n">
        <v>3</v>
      </c>
      <c r="I3090" s="20" t="n">
        <v>149.7</v>
      </c>
      <c r="J3090" s="20" t="n">
        <v>195.33</v>
      </c>
      <c r="K3090" s="18" t="n">
        <v>2</v>
      </c>
      <c r="L3090" s="18" t="n">
        <v>1</v>
      </c>
      <c r="M3090" s="18" t="n">
        <v>30</v>
      </c>
      <c r="N3090" s="18" t="n">
        <v>30</v>
      </c>
      <c r="O3090" s="14" t="s">
        <v>1088</v>
      </c>
      <c r="P3090" s="14" t="s">
        <v>84</v>
      </c>
      <c r="Q3090" s="15" t="s">
        <v>1089</v>
      </c>
      <c r="R3090" s="16" t="s">
        <v>4379</v>
      </c>
      <c r="S3090" s="15" t="s">
        <v>19428</v>
      </c>
      <c r="T3090" s="15" t="s">
        <v>19428</v>
      </c>
      <c r="U3090" s="21" t="s">
        <v>72</v>
      </c>
    </row>
    <row r="3091" customFormat="false" ht="15" hidden="false" customHeight="false" outlineLevel="0" collapsed="false">
      <c r="A3091" s="15" t="s">
        <v>17956</v>
      </c>
      <c r="B3091" s="15" t="s">
        <v>19429</v>
      </c>
      <c r="C3091" s="14" t="s">
        <v>19430</v>
      </c>
      <c r="D3091" s="14" t="s">
        <v>19431</v>
      </c>
      <c r="E3091" s="16" t="s">
        <v>19432</v>
      </c>
      <c r="F3091" s="16"/>
      <c r="G3091" s="23" t="s">
        <v>43</v>
      </c>
      <c r="H3091" s="18" t="n">
        <v>1</v>
      </c>
      <c r="I3091" s="20" t="n">
        <v>30</v>
      </c>
      <c r="J3091" s="20" t="n">
        <v>70</v>
      </c>
      <c r="K3091" s="18" t="n">
        <v>3</v>
      </c>
      <c r="L3091" s="18" t="n">
        <v>2</v>
      </c>
      <c r="M3091" s="18" t="n">
        <v>45</v>
      </c>
      <c r="N3091" s="18" t="n">
        <v>45</v>
      </c>
      <c r="O3091" s="14" t="s">
        <v>1126</v>
      </c>
      <c r="P3091" s="14" t="s">
        <v>84</v>
      </c>
      <c r="Q3091" s="15" t="s">
        <v>1089</v>
      </c>
      <c r="R3091" s="16" t="s">
        <v>19433</v>
      </c>
      <c r="S3091" s="15" t="s">
        <v>18140</v>
      </c>
      <c r="T3091" s="15" t="s">
        <v>19434</v>
      </c>
      <c r="U3091" s="21" t="s">
        <v>72</v>
      </c>
    </row>
    <row r="3092" customFormat="false" ht="15" hidden="false" customHeight="false" outlineLevel="0" collapsed="false">
      <c r="A3092" s="15" t="s">
        <v>17956</v>
      </c>
      <c r="B3092" s="15" t="s">
        <v>19435</v>
      </c>
      <c r="C3092" s="14" t="s">
        <v>19436</v>
      </c>
      <c r="D3092" s="14" t="s">
        <v>19437</v>
      </c>
      <c r="E3092" s="16" t="s">
        <v>19438</v>
      </c>
      <c r="F3092" s="16"/>
      <c r="G3092" s="23" t="s">
        <v>43</v>
      </c>
      <c r="H3092" s="18" t="n">
        <v>2</v>
      </c>
      <c r="I3092" s="20" t="n">
        <v>34.05</v>
      </c>
      <c r="J3092" s="20" t="n">
        <v>134.32</v>
      </c>
      <c r="K3092" s="18" t="n">
        <v>2</v>
      </c>
      <c r="L3092" s="18" t="n">
        <v>3</v>
      </c>
      <c r="M3092" s="18" t="n">
        <v>43</v>
      </c>
      <c r="N3092" s="18" t="n">
        <v>43</v>
      </c>
      <c r="O3092" s="14" t="s">
        <v>1097</v>
      </c>
      <c r="P3092" s="14" t="s">
        <v>84</v>
      </c>
      <c r="Q3092" s="15" t="s">
        <v>1089</v>
      </c>
      <c r="R3092" s="16" t="s">
        <v>6963</v>
      </c>
      <c r="S3092" s="15" t="s">
        <v>19439</v>
      </c>
      <c r="T3092" s="15" t="s">
        <v>19439</v>
      </c>
      <c r="U3092" s="21" t="s">
        <v>72</v>
      </c>
    </row>
    <row r="3093" customFormat="false" ht="15" hidden="false" customHeight="false" outlineLevel="0" collapsed="false">
      <c r="A3093" s="15" t="s">
        <v>17956</v>
      </c>
      <c r="B3093" s="15" t="s">
        <v>19435</v>
      </c>
      <c r="C3093" s="14" t="s">
        <v>19440</v>
      </c>
      <c r="D3093" s="14" t="s">
        <v>19441</v>
      </c>
      <c r="E3093" s="16" t="s">
        <v>19442</v>
      </c>
      <c r="F3093" s="16" t="s">
        <v>19443</v>
      </c>
      <c r="G3093" s="23" t="s">
        <v>43</v>
      </c>
      <c r="H3093" s="18" t="n">
        <v>2</v>
      </c>
      <c r="I3093" s="20" t="n">
        <v>43.36</v>
      </c>
      <c r="J3093" s="20" t="n">
        <v>110.18</v>
      </c>
      <c r="K3093" s="18" t="n">
        <v>2</v>
      </c>
      <c r="L3093" s="18" t="n">
        <v>3</v>
      </c>
      <c r="M3093" s="18" t="n">
        <v>36</v>
      </c>
      <c r="N3093" s="18" t="n">
        <v>36</v>
      </c>
      <c r="O3093" s="14" t="s">
        <v>1088</v>
      </c>
      <c r="P3093" s="14" t="s">
        <v>84</v>
      </c>
      <c r="Q3093" s="15" t="s">
        <v>1089</v>
      </c>
      <c r="R3093" s="16" t="s">
        <v>6698</v>
      </c>
      <c r="S3093" s="15" t="s">
        <v>19444</v>
      </c>
      <c r="T3093" s="15" t="s">
        <v>19444</v>
      </c>
      <c r="U3093" s="21" t="s">
        <v>72</v>
      </c>
    </row>
    <row r="3094" customFormat="false" ht="15" hidden="false" customHeight="false" outlineLevel="0" collapsed="false">
      <c r="A3094" s="15" t="s">
        <v>17956</v>
      </c>
      <c r="B3094" s="15" t="s">
        <v>19435</v>
      </c>
      <c r="C3094" s="14" t="s">
        <v>19445</v>
      </c>
      <c r="D3094" s="14" t="s">
        <v>19446</v>
      </c>
      <c r="E3094" s="16" t="s">
        <v>19447</v>
      </c>
      <c r="F3094" s="16" t="s">
        <v>19448</v>
      </c>
      <c r="G3094" s="23" t="s">
        <v>43</v>
      </c>
      <c r="H3094" s="18" t="n">
        <v>1</v>
      </c>
      <c r="I3094" s="20" t="n">
        <v>40</v>
      </c>
      <c r="J3094" s="20" t="n">
        <v>120</v>
      </c>
      <c r="K3094" s="18" t="n">
        <v>1</v>
      </c>
      <c r="L3094" s="18" t="n">
        <v>1</v>
      </c>
      <c r="M3094" s="18" t="n">
        <v>60</v>
      </c>
      <c r="N3094" s="18" t="n">
        <v>60</v>
      </c>
      <c r="O3094" s="14" t="s">
        <v>1097</v>
      </c>
      <c r="P3094" s="14" t="s">
        <v>84</v>
      </c>
      <c r="Q3094" s="15" t="s">
        <v>1089</v>
      </c>
      <c r="R3094" s="16" t="s">
        <v>19449</v>
      </c>
      <c r="S3094" s="15" t="s">
        <v>19450</v>
      </c>
      <c r="T3094" s="15" t="s">
        <v>19451</v>
      </c>
      <c r="U3094" s="21" t="s">
        <v>72</v>
      </c>
    </row>
    <row r="3095" customFormat="false" ht="15" hidden="false" customHeight="false" outlineLevel="0" collapsed="false">
      <c r="A3095" s="15" t="s">
        <v>17956</v>
      </c>
      <c r="B3095" s="15" t="s">
        <v>19435</v>
      </c>
      <c r="C3095" s="14" t="s">
        <v>19452</v>
      </c>
      <c r="D3095" s="14" t="s">
        <v>19453</v>
      </c>
      <c r="E3095" s="16" t="s">
        <v>19454</v>
      </c>
      <c r="F3095" s="16" t="s">
        <v>19455</v>
      </c>
      <c r="G3095" s="19" t="s">
        <v>41</v>
      </c>
      <c r="H3095" s="18" t="n">
        <v>1</v>
      </c>
      <c r="I3095" s="20" t="n">
        <v>41</v>
      </c>
      <c r="J3095" s="20" t="n">
        <v>342.59</v>
      </c>
      <c r="K3095" s="18" t="n">
        <v>2</v>
      </c>
      <c r="L3095" s="18" t="n">
        <v>7</v>
      </c>
      <c r="M3095" s="18" t="n">
        <v>30</v>
      </c>
      <c r="N3095" s="18" t="n">
        <v>30</v>
      </c>
      <c r="O3095" s="14" t="s">
        <v>1088</v>
      </c>
      <c r="P3095" s="14" t="s">
        <v>84</v>
      </c>
      <c r="Q3095" s="15" t="s">
        <v>1089</v>
      </c>
      <c r="R3095" s="16" t="s">
        <v>3254</v>
      </c>
      <c r="S3095" s="15" t="s">
        <v>19456</v>
      </c>
      <c r="T3095" s="15" t="s">
        <v>19456</v>
      </c>
      <c r="U3095" s="21" t="s">
        <v>72</v>
      </c>
    </row>
    <row r="3096" customFormat="false" ht="15" hidden="false" customHeight="false" outlineLevel="0" collapsed="false">
      <c r="A3096" s="15" t="s">
        <v>17956</v>
      </c>
      <c r="B3096" s="15" t="s">
        <v>19435</v>
      </c>
      <c r="C3096" s="14" t="s">
        <v>19457</v>
      </c>
      <c r="D3096" s="14" t="s">
        <v>19458</v>
      </c>
      <c r="E3096" s="16" t="s">
        <v>19459</v>
      </c>
      <c r="F3096" s="16" t="s">
        <v>18146</v>
      </c>
      <c r="G3096" s="23" t="s">
        <v>43</v>
      </c>
      <c r="H3096" s="18" t="n">
        <v>2</v>
      </c>
      <c r="I3096" s="20" t="n">
        <v>33.4</v>
      </c>
      <c r="J3096" s="20" t="n">
        <v>74.54</v>
      </c>
      <c r="K3096" s="18" t="n">
        <v>2</v>
      </c>
      <c r="L3096" s="18" t="n">
        <v>3</v>
      </c>
      <c r="M3096" s="18" t="n">
        <v>26</v>
      </c>
      <c r="N3096" s="18" t="n">
        <v>26</v>
      </c>
      <c r="O3096" s="14" t="s">
        <v>1097</v>
      </c>
      <c r="P3096" s="14" t="s">
        <v>118</v>
      </c>
      <c r="Q3096" s="15" t="s">
        <v>1089</v>
      </c>
      <c r="R3096" s="16" t="s">
        <v>19460</v>
      </c>
      <c r="S3096" s="15" t="s">
        <v>18149</v>
      </c>
      <c r="T3096" s="15" t="s">
        <v>19461</v>
      </c>
      <c r="U3096" s="21" t="s">
        <v>72</v>
      </c>
    </row>
    <row r="3097" customFormat="false" ht="15" hidden="false" customHeight="false" outlineLevel="0" collapsed="false">
      <c r="A3097" s="15" t="s">
        <v>17956</v>
      </c>
      <c r="B3097" s="15" t="s">
        <v>19435</v>
      </c>
      <c r="C3097" s="14" t="s">
        <v>19462</v>
      </c>
      <c r="D3097" s="14" t="s">
        <v>19463</v>
      </c>
      <c r="E3097" s="16" t="s">
        <v>19464</v>
      </c>
      <c r="F3097" s="16" t="s">
        <v>19465</v>
      </c>
      <c r="G3097" s="23" t="s">
        <v>43</v>
      </c>
      <c r="H3097" s="18" t="n">
        <v>1</v>
      </c>
      <c r="I3097" s="20" t="n">
        <v>30.86</v>
      </c>
      <c r="J3097" s="20" t="n">
        <v>91.1</v>
      </c>
      <c r="K3097" s="18" t="n">
        <v>4</v>
      </c>
      <c r="L3097" s="18" t="n">
        <v>2</v>
      </c>
      <c r="M3097" s="18" t="n">
        <v>80</v>
      </c>
      <c r="N3097" s="18" t="n">
        <v>40</v>
      </c>
      <c r="O3097" s="14" t="s">
        <v>1088</v>
      </c>
      <c r="P3097" s="14" t="s">
        <v>84</v>
      </c>
      <c r="Q3097" s="15" t="s">
        <v>1089</v>
      </c>
      <c r="R3097" s="16" t="s">
        <v>19466</v>
      </c>
      <c r="S3097" s="15" t="s">
        <v>19467</v>
      </c>
      <c r="T3097" s="15" t="s">
        <v>19467</v>
      </c>
      <c r="U3097" s="21" t="s">
        <v>72</v>
      </c>
    </row>
    <row r="3098" customFormat="false" ht="15" hidden="false" customHeight="false" outlineLevel="0" collapsed="false">
      <c r="A3098" s="15" t="s">
        <v>17956</v>
      </c>
      <c r="B3098" s="15" t="s">
        <v>19435</v>
      </c>
      <c r="C3098" s="14" t="s">
        <v>19468</v>
      </c>
      <c r="D3098" s="14" t="s">
        <v>19469</v>
      </c>
      <c r="E3098" s="16" t="s">
        <v>19470</v>
      </c>
      <c r="F3098" s="16" t="s">
        <v>19471</v>
      </c>
      <c r="G3098" s="19" t="s">
        <v>41</v>
      </c>
      <c r="H3098" s="18" t="n">
        <v>2</v>
      </c>
      <c r="I3098" s="20" t="n">
        <v>68.64</v>
      </c>
      <c r="J3098" s="20" t="n">
        <v>207.23</v>
      </c>
      <c r="K3098" s="18" t="n">
        <v>6</v>
      </c>
      <c r="L3098" s="18" t="n">
        <v>1</v>
      </c>
      <c r="M3098" s="18" t="n">
        <v>168</v>
      </c>
      <c r="N3098" s="18" t="n">
        <v>168</v>
      </c>
      <c r="O3098" s="14" t="s">
        <v>9118</v>
      </c>
      <c r="P3098" s="14" t="s">
        <v>84</v>
      </c>
      <c r="Q3098" s="15" t="s">
        <v>1089</v>
      </c>
      <c r="R3098" s="16" t="s">
        <v>18440</v>
      </c>
      <c r="S3098" s="15" t="s">
        <v>19472</v>
      </c>
      <c r="T3098" s="15" t="s">
        <v>19473</v>
      </c>
      <c r="U3098" s="21" t="s">
        <v>72</v>
      </c>
    </row>
    <row r="3099" customFormat="false" ht="15" hidden="false" customHeight="false" outlineLevel="0" collapsed="false">
      <c r="A3099" s="15" t="s">
        <v>17956</v>
      </c>
      <c r="B3099" s="15" t="s">
        <v>19435</v>
      </c>
      <c r="C3099" s="14" t="s">
        <v>19474</v>
      </c>
      <c r="D3099" s="14" t="s">
        <v>19475</v>
      </c>
      <c r="E3099" s="16" t="s">
        <v>19476</v>
      </c>
      <c r="F3099" s="16" t="s">
        <v>19477</v>
      </c>
      <c r="G3099" s="23" t="s">
        <v>43</v>
      </c>
      <c r="H3099" s="18" t="n">
        <v>2</v>
      </c>
      <c r="I3099" s="20" t="n">
        <v>29</v>
      </c>
      <c r="J3099" s="20" t="n">
        <v>80</v>
      </c>
      <c r="K3099" s="18" t="n">
        <v>3</v>
      </c>
      <c r="L3099" s="18" t="n">
        <v>4</v>
      </c>
      <c r="M3099" s="18" t="n">
        <v>180</v>
      </c>
      <c r="N3099" s="18" t="n">
        <v>120</v>
      </c>
      <c r="O3099" s="14" t="s">
        <v>1097</v>
      </c>
      <c r="P3099" s="14" t="s">
        <v>84</v>
      </c>
      <c r="Q3099" s="15" t="s">
        <v>1089</v>
      </c>
      <c r="R3099" s="16" t="s">
        <v>19478</v>
      </c>
      <c r="S3099" s="15" t="s">
        <v>19479</v>
      </c>
      <c r="T3099" s="15" t="s">
        <v>19479</v>
      </c>
      <c r="U3099" s="21" t="s">
        <v>72</v>
      </c>
    </row>
    <row r="3100" customFormat="false" ht="39.55" hidden="false" customHeight="false" outlineLevel="0" collapsed="false">
      <c r="A3100" s="15" t="s">
        <v>19480</v>
      </c>
      <c r="B3100" s="15" t="s">
        <v>19481</v>
      </c>
      <c r="C3100" s="14" t="s">
        <v>19482</v>
      </c>
      <c r="D3100" s="14" t="s">
        <v>19483</v>
      </c>
      <c r="E3100" s="16" t="s">
        <v>19484</v>
      </c>
      <c r="F3100" s="16" t="s">
        <v>19485</v>
      </c>
      <c r="G3100" s="25" t="s">
        <v>39</v>
      </c>
      <c r="H3100" s="18" t="n">
        <v>7</v>
      </c>
      <c r="I3100" s="20" t="n">
        <v>355.5</v>
      </c>
      <c r="J3100" s="20" t="n">
        <v>479.68</v>
      </c>
      <c r="K3100" s="18" t="n">
        <v>50</v>
      </c>
      <c r="L3100" s="18" t="n">
        <v>54</v>
      </c>
      <c r="M3100" s="18" t="n">
        <v>1048</v>
      </c>
      <c r="N3100" s="18" t="n">
        <v>110</v>
      </c>
      <c r="O3100" s="14" t="s">
        <v>1088</v>
      </c>
      <c r="P3100" s="14" t="s">
        <v>8860</v>
      </c>
      <c r="Q3100" s="15" t="s">
        <v>1089</v>
      </c>
      <c r="R3100" s="16" t="s">
        <v>16678</v>
      </c>
      <c r="S3100" s="15" t="s">
        <v>19486</v>
      </c>
      <c r="T3100" s="15" t="s">
        <v>19487</v>
      </c>
      <c r="U3100" s="21" t="s">
        <v>72</v>
      </c>
    </row>
    <row r="3101" customFormat="false" ht="26.85" hidden="false" customHeight="false" outlineLevel="0" collapsed="false">
      <c r="A3101" s="15" t="s">
        <v>19480</v>
      </c>
      <c r="B3101" s="15" t="s">
        <v>19481</v>
      </c>
      <c r="C3101" s="14" t="s">
        <v>19488</v>
      </c>
      <c r="D3101" s="14" t="s">
        <v>19489</v>
      </c>
      <c r="E3101" s="16" t="s">
        <v>19490</v>
      </c>
      <c r="F3101" s="16" t="s">
        <v>19491</v>
      </c>
      <c r="G3101" s="19" t="s">
        <v>41</v>
      </c>
      <c r="H3101" s="18" t="n">
        <v>7</v>
      </c>
      <c r="I3101" s="20" t="n">
        <v>198.71</v>
      </c>
      <c r="J3101" s="20" t="n">
        <v>324.64</v>
      </c>
      <c r="K3101" s="18" t="n">
        <v>14</v>
      </c>
      <c r="L3101" s="18" t="n">
        <v>5</v>
      </c>
      <c r="M3101" s="18" t="n">
        <v>232</v>
      </c>
      <c r="N3101" s="18" t="n">
        <v>184</v>
      </c>
      <c r="O3101" s="14" t="s">
        <v>1126</v>
      </c>
      <c r="P3101" s="14" t="s">
        <v>118</v>
      </c>
      <c r="Q3101" s="15" t="s">
        <v>1089</v>
      </c>
      <c r="R3101" s="16" t="s">
        <v>13206</v>
      </c>
      <c r="S3101" s="15" t="s">
        <v>19492</v>
      </c>
      <c r="T3101" s="15" t="s">
        <v>19493</v>
      </c>
      <c r="U3101" s="21" t="s">
        <v>72</v>
      </c>
    </row>
    <row r="3102" customFormat="false" ht="15" hidden="false" customHeight="false" outlineLevel="0" collapsed="false">
      <c r="A3102" s="15" t="s">
        <v>19480</v>
      </c>
      <c r="B3102" s="15" t="s">
        <v>19481</v>
      </c>
      <c r="C3102" s="14" t="s">
        <v>19494</v>
      </c>
      <c r="D3102" s="14" t="s">
        <v>19495</v>
      </c>
      <c r="E3102" s="16" t="s">
        <v>19496</v>
      </c>
      <c r="F3102" s="16" t="s">
        <v>19497</v>
      </c>
      <c r="G3102" s="23" t="s">
        <v>43</v>
      </c>
      <c r="H3102" s="18" t="n">
        <v>3</v>
      </c>
      <c r="I3102" s="20" t="n">
        <v>66.35</v>
      </c>
      <c r="J3102" s="20" t="n">
        <v>137.8</v>
      </c>
      <c r="K3102" s="18" t="n">
        <v>15</v>
      </c>
      <c r="L3102" s="18" t="n">
        <v>1</v>
      </c>
      <c r="M3102" s="18" t="n">
        <v>204</v>
      </c>
      <c r="N3102" s="18" t="n">
        <v>204</v>
      </c>
      <c r="O3102" s="14" t="s">
        <v>9118</v>
      </c>
      <c r="P3102" s="14" t="s">
        <v>118</v>
      </c>
      <c r="Q3102" s="15" t="s">
        <v>1089</v>
      </c>
      <c r="R3102" s="16" t="s">
        <v>19498</v>
      </c>
      <c r="S3102" s="15" t="s">
        <v>19499</v>
      </c>
      <c r="T3102" s="15" t="s">
        <v>19499</v>
      </c>
      <c r="U3102" s="21" t="s">
        <v>72</v>
      </c>
    </row>
    <row r="3103" customFormat="false" ht="15" hidden="false" customHeight="false" outlineLevel="0" collapsed="false">
      <c r="A3103" s="15" t="s">
        <v>19480</v>
      </c>
      <c r="B3103" s="15" t="s">
        <v>19481</v>
      </c>
      <c r="C3103" s="14" t="s">
        <v>19500</v>
      </c>
      <c r="D3103" s="14" t="s">
        <v>19501</v>
      </c>
      <c r="E3103" s="16" t="s">
        <v>19502</v>
      </c>
      <c r="F3103" s="16" t="s">
        <v>19503</v>
      </c>
      <c r="G3103" s="23" t="s">
        <v>43</v>
      </c>
      <c r="H3103" s="18" t="n">
        <v>2</v>
      </c>
      <c r="I3103" s="20" t="n">
        <v>55</v>
      </c>
      <c r="J3103" s="20" t="n">
        <v>68.4</v>
      </c>
      <c r="K3103" s="18" t="n">
        <v>10</v>
      </c>
      <c r="L3103" s="18" t="n">
        <v>4</v>
      </c>
      <c r="M3103" s="18" t="n">
        <v>60</v>
      </c>
      <c r="N3103" s="18" t="n">
        <v>24</v>
      </c>
      <c r="O3103" s="14" t="s">
        <v>1097</v>
      </c>
      <c r="P3103" s="14" t="s">
        <v>84</v>
      </c>
      <c r="Q3103" s="15" t="s">
        <v>1089</v>
      </c>
      <c r="R3103" s="16" t="s">
        <v>19504</v>
      </c>
      <c r="S3103" s="15" t="s">
        <v>19505</v>
      </c>
      <c r="T3103" s="15" t="s">
        <v>19506</v>
      </c>
      <c r="U3103" s="21" t="s">
        <v>72</v>
      </c>
    </row>
    <row r="3104" customFormat="false" ht="15" hidden="false" customHeight="false" outlineLevel="0" collapsed="false">
      <c r="A3104" s="15" t="s">
        <v>19480</v>
      </c>
      <c r="B3104" s="15" t="s">
        <v>19481</v>
      </c>
      <c r="C3104" s="14" t="s">
        <v>19507</v>
      </c>
      <c r="D3104" s="14" t="s">
        <v>19508</v>
      </c>
      <c r="E3104" s="16" t="s">
        <v>19509</v>
      </c>
      <c r="F3104" s="16" t="s">
        <v>1862</v>
      </c>
      <c r="G3104" s="19" t="s">
        <v>41</v>
      </c>
      <c r="H3104" s="18" t="n">
        <v>5</v>
      </c>
      <c r="I3104" s="20" t="n">
        <v>95</v>
      </c>
      <c r="J3104" s="20" t="n">
        <v>195.68</v>
      </c>
      <c r="K3104" s="18" t="n">
        <v>13</v>
      </c>
      <c r="L3104" s="18" t="n">
        <v>12</v>
      </c>
      <c r="M3104" s="18" t="n">
        <v>180</v>
      </c>
      <c r="N3104" s="18" t="n">
        <v>72</v>
      </c>
      <c r="O3104" s="14" t="s">
        <v>1097</v>
      </c>
      <c r="P3104" s="14" t="s">
        <v>84</v>
      </c>
      <c r="Q3104" s="15" t="s">
        <v>1089</v>
      </c>
      <c r="R3104" s="16" t="s">
        <v>4373</v>
      </c>
      <c r="S3104" s="15" t="s">
        <v>1865</v>
      </c>
      <c r="T3104" s="15" t="s">
        <v>19510</v>
      </c>
      <c r="U3104" s="21" t="s">
        <v>72</v>
      </c>
    </row>
    <row r="3105" customFormat="false" ht="15" hidden="false" customHeight="false" outlineLevel="0" collapsed="false">
      <c r="A3105" s="15" t="s">
        <v>19480</v>
      </c>
      <c r="B3105" s="15" t="s">
        <v>19481</v>
      </c>
      <c r="C3105" s="14" t="s">
        <v>19511</v>
      </c>
      <c r="D3105" s="14" t="s">
        <v>19512</v>
      </c>
      <c r="E3105" s="16" t="s">
        <v>19513</v>
      </c>
      <c r="F3105" s="16" t="s">
        <v>1862</v>
      </c>
      <c r="G3105" s="19" t="s">
        <v>41</v>
      </c>
      <c r="H3105" s="18" t="n">
        <v>5</v>
      </c>
      <c r="I3105" s="20" t="n">
        <v>90</v>
      </c>
      <c r="J3105" s="20" t="n">
        <v>186.94</v>
      </c>
      <c r="K3105" s="18" t="n">
        <v>13</v>
      </c>
      <c r="L3105" s="18" t="n">
        <v>14</v>
      </c>
      <c r="M3105" s="18" t="n">
        <v>145</v>
      </c>
      <c r="N3105" s="18" t="n">
        <v>60</v>
      </c>
      <c r="O3105" s="14" t="s">
        <v>1097</v>
      </c>
      <c r="P3105" s="14" t="s">
        <v>84</v>
      </c>
      <c r="Q3105" s="15" t="s">
        <v>1089</v>
      </c>
      <c r="R3105" s="16" t="s">
        <v>19514</v>
      </c>
      <c r="S3105" s="15" t="s">
        <v>1865</v>
      </c>
      <c r="T3105" s="15" t="s">
        <v>19515</v>
      </c>
      <c r="U3105" s="21" t="s">
        <v>72</v>
      </c>
    </row>
    <row r="3106" customFormat="false" ht="26.85" hidden="false" customHeight="false" outlineLevel="0" collapsed="false">
      <c r="A3106" s="15" t="s">
        <v>19480</v>
      </c>
      <c r="B3106" s="15" t="s">
        <v>19481</v>
      </c>
      <c r="C3106" s="14" t="s">
        <v>19516</v>
      </c>
      <c r="D3106" s="14" t="s">
        <v>19517</v>
      </c>
      <c r="E3106" s="16" t="s">
        <v>19518</v>
      </c>
      <c r="F3106" s="16" t="s">
        <v>19519</v>
      </c>
      <c r="G3106" s="23" t="s">
        <v>43</v>
      </c>
      <c r="H3106" s="18" t="n">
        <v>4</v>
      </c>
      <c r="I3106" s="20" t="n">
        <v>53</v>
      </c>
      <c r="J3106" s="20" t="n">
        <v>133</v>
      </c>
      <c r="K3106" s="18" t="n">
        <v>18</v>
      </c>
      <c r="L3106" s="18" t="n">
        <v>3</v>
      </c>
      <c r="M3106" s="18" t="n">
        <v>184</v>
      </c>
      <c r="N3106" s="18" t="n">
        <v>48</v>
      </c>
      <c r="O3106" s="14" t="s">
        <v>1097</v>
      </c>
      <c r="P3106" s="14" t="s">
        <v>352</v>
      </c>
      <c r="Q3106" s="15" t="s">
        <v>1089</v>
      </c>
      <c r="R3106" s="16" t="s">
        <v>19520</v>
      </c>
      <c r="S3106" s="15" t="s">
        <v>19521</v>
      </c>
      <c r="T3106" s="15" t="s">
        <v>19521</v>
      </c>
      <c r="U3106" s="21" t="s">
        <v>72</v>
      </c>
    </row>
    <row r="3107" customFormat="false" ht="15" hidden="false" customHeight="false" outlineLevel="0" collapsed="false">
      <c r="A3107" s="15" t="s">
        <v>19480</v>
      </c>
      <c r="B3107" s="15" t="s">
        <v>19481</v>
      </c>
      <c r="C3107" s="14" t="s">
        <v>19522</v>
      </c>
      <c r="D3107" s="14" t="s">
        <v>19523</v>
      </c>
      <c r="E3107" s="16" t="s">
        <v>19524</v>
      </c>
      <c r="F3107" s="16" t="s">
        <v>19525</v>
      </c>
      <c r="G3107" s="23" t="s">
        <v>43</v>
      </c>
      <c r="H3107" s="18" t="n">
        <v>1</v>
      </c>
      <c r="I3107" s="20" t="n">
        <v>36.8</v>
      </c>
      <c r="J3107" s="20" t="n">
        <v>79.03</v>
      </c>
      <c r="K3107" s="18" t="n">
        <v>4</v>
      </c>
      <c r="L3107" s="18" t="n">
        <v>1</v>
      </c>
      <c r="M3107" s="18" t="n">
        <v>72</v>
      </c>
      <c r="N3107" s="18" t="n">
        <v>72</v>
      </c>
      <c r="O3107" s="14" t="s">
        <v>1097</v>
      </c>
      <c r="P3107" s="14" t="s">
        <v>84</v>
      </c>
      <c r="Q3107" s="15" t="s">
        <v>1089</v>
      </c>
      <c r="R3107" s="16" t="s">
        <v>5526</v>
      </c>
      <c r="S3107" s="15" t="s">
        <v>19526</v>
      </c>
      <c r="T3107" s="15" t="s">
        <v>19527</v>
      </c>
      <c r="U3107" s="21" t="s">
        <v>72</v>
      </c>
    </row>
    <row r="3108" customFormat="false" ht="26.85" hidden="false" customHeight="false" outlineLevel="0" collapsed="false">
      <c r="A3108" s="15" t="s">
        <v>19480</v>
      </c>
      <c r="B3108" s="15" t="s">
        <v>19481</v>
      </c>
      <c r="C3108" s="14" t="s">
        <v>19528</v>
      </c>
      <c r="D3108" s="14" t="s">
        <v>19529</v>
      </c>
      <c r="E3108" s="16" t="s">
        <v>19530</v>
      </c>
      <c r="F3108" s="16" t="s">
        <v>19531</v>
      </c>
      <c r="G3108" s="25" t="s">
        <v>39</v>
      </c>
      <c r="H3108" s="18" t="n">
        <v>14</v>
      </c>
      <c r="I3108" s="20" t="n">
        <v>297.67</v>
      </c>
      <c r="J3108" s="20" t="n">
        <v>580.1</v>
      </c>
      <c r="K3108" s="18" t="n">
        <v>32</v>
      </c>
      <c r="L3108" s="18" t="n">
        <v>13</v>
      </c>
      <c r="M3108" s="18" t="n">
        <v>451</v>
      </c>
      <c r="N3108" s="18" t="n">
        <v>182</v>
      </c>
      <c r="O3108" s="14" t="s">
        <v>9118</v>
      </c>
      <c r="P3108" s="14" t="s">
        <v>118</v>
      </c>
      <c r="Q3108" s="15" t="s">
        <v>1089</v>
      </c>
      <c r="R3108" s="16" t="s">
        <v>2566</v>
      </c>
      <c r="S3108" s="15" t="s">
        <v>19532</v>
      </c>
      <c r="T3108" s="15" t="s">
        <v>19533</v>
      </c>
      <c r="U3108" s="21" t="s">
        <v>72</v>
      </c>
    </row>
    <row r="3109" customFormat="false" ht="15" hidden="false" customHeight="false" outlineLevel="0" collapsed="false">
      <c r="A3109" s="15" t="s">
        <v>19480</v>
      </c>
      <c r="B3109" s="15" t="s">
        <v>19481</v>
      </c>
      <c r="C3109" s="14" t="s">
        <v>19534</v>
      </c>
      <c r="D3109" s="14" t="s">
        <v>19535</v>
      </c>
      <c r="E3109" s="16" t="s">
        <v>19536</v>
      </c>
      <c r="F3109" s="16" t="s">
        <v>19537</v>
      </c>
      <c r="G3109" s="23" t="s">
        <v>43</v>
      </c>
      <c r="H3109" s="18" t="n">
        <v>3</v>
      </c>
      <c r="I3109" s="20" t="n">
        <v>85.8</v>
      </c>
      <c r="J3109" s="20" t="n">
        <v>185.9</v>
      </c>
      <c r="K3109" s="18" t="n">
        <v>5</v>
      </c>
      <c r="L3109" s="18" t="n">
        <v>4</v>
      </c>
      <c r="M3109" s="18" t="n">
        <v>80</v>
      </c>
      <c r="N3109" s="18" t="n">
        <v>80</v>
      </c>
      <c r="O3109" s="14" t="s">
        <v>1088</v>
      </c>
      <c r="P3109" s="14" t="s">
        <v>84</v>
      </c>
      <c r="Q3109" s="15" t="s">
        <v>1089</v>
      </c>
      <c r="R3109" s="16" t="s">
        <v>8444</v>
      </c>
      <c r="S3109" s="15" t="s">
        <v>19538</v>
      </c>
      <c r="T3109" s="15" t="s">
        <v>19539</v>
      </c>
      <c r="U3109" s="21" t="s">
        <v>72</v>
      </c>
    </row>
    <row r="3110" customFormat="false" ht="15" hidden="false" customHeight="false" outlineLevel="0" collapsed="false">
      <c r="A3110" s="15" t="s">
        <v>19480</v>
      </c>
      <c r="B3110" s="15" t="s">
        <v>19481</v>
      </c>
      <c r="C3110" s="14" t="s">
        <v>19540</v>
      </c>
      <c r="D3110" s="14" t="s">
        <v>19541</v>
      </c>
      <c r="E3110" s="16" t="s">
        <v>19542</v>
      </c>
      <c r="F3110" s="16" t="s">
        <v>19543</v>
      </c>
      <c r="G3110" s="23" t="s">
        <v>43</v>
      </c>
      <c r="H3110" s="18" t="n">
        <v>3</v>
      </c>
      <c r="I3110" s="20" t="n">
        <v>30</v>
      </c>
      <c r="J3110" s="20" t="n">
        <v>87.25</v>
      </c>
      <c r="K3110" s="18" t="n">
        <v>20</v>
      </c>
      <c r="L3110" s="18" t="n">
        <v>4</v>
      </c>
      <c r="M3110" s="18" t="n">
        <v>140</v>
      </c>
      <c r="N3110" s="18" t="n">
        <v>30</v>
      </c>
      <c r="O3110" s="14" t="s">
        <v>1097</v>
      </c>
      <c r="P3110" s="14" t="s">
        <v>118</v>
      </c>
      <c r="Q3110" s="15" t="s">
        <v>1089</v>
      </c>
      <c r="R3110" s="16" t="s">
        <v>19544</v>
      </c>
      <c r="S3110" s="15" t="s">
        <v>19545</v>
      </c>
      <c r="T3110" s="15" t="s">
        <v>19545</v>
      </c>
      <c r="U3110" s="21" t="s">
        <v>72</v>
      </c>
    </row>
    <row r="3111" customFormat="false" ht="15" hidden="false" customHeight="false" outlineLevel="0" collapsed="false">
      <c r="A3111" s="15" t="s">
        <v>19480</v>
      </c>
      <c r="B3111" s="15" t="s">
        <v>19481</v>
      </c>
      <c r="C3111" s="14" t="s">
        <v>19546</v>
      </c>
      <c r="D3111" s="14" t="s">
        <v>19547</v>
      </c>
      <c r="E3111" s="16" t="s">
        <v>19548</v>
      </c>
      <c r="F3111" s="16" t="s">
        <v>19549</v>
      </c>
      <c r="G3111" s="23" t="s">
        <v>43</v>
      </c>
      <c r="H3111" s="18" t="n">
        <v>2</v>
      </c>
      <c r="I3111" s="20" t="n">
        <v>40.11</v>
      </c>
      <c r="J3111" s="20" t="n">
        <v>115.71</v>
      </c>
      <c r="K3111" s="18" t="n">
        <v>11</v>
      </c>
      <c r="L3111" s="18"/>
      <c r="M3111" s="18" t="n">
        <v>156</v>
      </c>
      <c r="N3111" s="18" t="n">
        <v>59</v>
      </c>
      <c r="O3111" s="14" t="s">
        <v>1088</v>
      </c>
      <c r="P3111" s="14" t="s">
        <v>118</v>
      </c>
      <c r="Q3111" s="15" t="s">
        <v>1089</v>
      </c>
      <c r="R3111" s="16" t="s">
        <v>19550</v>
      </c>
      <c r="S3111" s="15" t="s">
        <v>19551</v>
      </c>
      <c r="T3111" s="15" t="s">
        <v>19552</v>
      </c>
      <c r="U3111" s="21" t="s">
        <v>72</v>
      </c>
    </row>
    <row r="3112" customFormat="false" ht="15" hidden="false" customHeight="false" outlineLevel="0" collapsed="false">
      <c r="A3112" s="15" t="s">
        <v>19480</v>
      </c>
      <c r="B3112" s="15" t="s">
        <v>19481</v>
      </c>
      <c r="C3112" s="14" t="s">
        <v>19553</v>
      </c>
      <c r="D3112" s="14" t="s">
        <v>19554</v>
      </c>
      <c r="E3112" s="16" t="s">
        <v>19555</v>
      </c>
      <c r="F3112" s="16" t="s">
        <v>19556</v>
      </c>
      <c r="G3112" s="19" t="s">
        <v>41</v>
      </c>
      <c r="H3112" s="18" t="n">
        <v>6</v>
      </c>
      <c r="I3112" s="20" t="n">
        <v>148.8</v>
      </c>
      <c r="J3112" s="20" t="n">
        <v>240.32</v>
      </c>
      <c r="K3112" s="18" t="n">
        <v>10</v>
      </c>
      <c r="L3112" s="18" t="n">
        <v>2</v>
      </c>
      <c r="M3112" s="18" t="n">
        <v>134</v>
      </c>
      <c r="N3112" s="18" t="n">
        <v>134</v>
      </c>
      <c r="O3112" s="14" t="s">
        <v>1088</v>
      </c>
      <c r="P3112" s="14" t="s">
        <v>84</v>
      </c>
      <c r="Q3112" s="15" t="s">
        <v>1089</v>
      </c>
      <c r="R3112" s="16" t="s">
        <v>19557</v>
      </c>
      <c r="S3112" s="15" t="s">
        <v>19558</v>
      </c>
      <c r="T3112" s="15" t="s">
        <v>19558</v>
      </c>
      <c r="U3112" s="21" t="s">
        <v>72</v>
      </c>
    </row>
    <row r="3113" customFormat="false" ht="26.85" hidden="false" customHeight="false" outlineLevel="0" collapsed="false">
      <c r="A3113" s="15" t="s">
        <v>19480</v>
      </c>
      <c r="B3113" s="15" t="s">
        <v>19481</v>
      </c>
      <c r="C3113" s="14" t="s">
        <v>19559</v>
      </c>
      <c r="D3113" s="14" t="s">
        <v>19560</v>
      </c>
      <c r="E3113" s="16" t="s">
        <v>19561</v>
      </c>
      <c r="F3113" s="16" t="s">
        <v>19562</v>
      </c>
      <c r="G3113" s="25" t="s">
        <v>39</v>
      </c>
      <c r="H3113" s="18" t="n">
        <v>9</v>
      </c>
      <c r="I3113" s="20" t="n">
        <v>306.61</v>
      </c>
      <c r="J3113" s="20" t="n">
        <v>492.82</v>
      </c>
      <c r="K3113" s="18" t="n">
        <v>19</v>
      </c>
      <c r="L3113" s="18" t="n">
        <v>8</v>
      </c>
      <c r="M3113" s="18" t="n">
        <v>498</v>
      </c>
      <c r="N3113" s="18" t="n">
        <v>89</v>
      </c>
      <c r="O3113" s="14" t="s">
        <v>1097</v>
      </c>
      <c r="P3113" s="14" t="s">
        <v>352</v>
      </c>
      <c r="Q3113" s="15" t="s">
        <v>1089</v>
      </c>
      <c r="R3113" s="16" t="s">
        <v>13048</v>
      </c>
      <c r="S3113" s="15" t="s">
        <v>19563</v>
      </c>
      <c r="T3113" s="15" t="s">
        <v>19563</v>
      </c>
      <c r="U3113" s="21" t="s">
        <v>72</v>
      </c>
    </row>
    <row r="3114" customFormat="false" ht="15" hidden="false" customHeight="false" outlineLevel="0" collapsed="false">
      <c r="A3114" s="15" t="s">
        <v>19480</v>
      </c>
      <c r="B3114" s="15" t="s">
        <v>19481</v>
      </c>
      <c r="C3114" s="14" t="s">
        <v>19564</v>
      </c>
      <c r="D3114" s="14" t="s">
        <v>19565</v>
      </c>
      <c r="E3114" s="16" t="s">
        <v>19566</v>
      </c>
      <c r="F3114" s="16" t="s">
        <v>19567</v>
      </c>
      <c r="G3114" s="23" t="s">
        <v>43</v>
      </c>
      <c r="H3114" s="18" t="n">
        <v>1</v>
      </c>
      <c r="I3114" s="20" t="n">
        <v>25.2</v>
      </c>
      <c r="J3114" s="20" t="n">
        <v>136.56</v>
      </c>
      <c r="K3114" s="18" t="n">
        <v>6</v>
      </c>
      <c r="L3114" s="18" t="n">
        <v>3</v>
      </c>
      <c r="M3114" s="18" t="n">
        <v>130</v>
      </c>
      <c r="N3114" s="18" t="n">
        <v>80</v>
      </c>
      <c r="O3114" s="14" t="s">
        <v>1088</v>
      </c>
      <c r="P3114" s="14" t="s">
        <v>515</v>
      </c>
      <c r="Q3114" s="15" t="s">
        <v>1089</v>
      </c>
      <c r="R3114" s="16" t="s">
        <v>19568</v>
      </c>
      <c r="S3114" s="15" t="s">
        <v>19569</v>
      </c>
      <c r="T3114" s="15" t="s">
        <v>19569</v>
      </c>
      <c r="U3114" s="21" t="s">
        <v>72</v>
      </c>
    </row>
    <row r="3115" customFormat="false" ht="15" hidden="false" customHeight="false" outlineLevel="0" collapsed="false">
      <c r="A3115" s="15" t="s">
        <v>19480</v>
      </c>
      <c r="B3115" s="15" t="s">
        <v>19481</v>
      </c>
      <c r="C3115" s="14" t="s">
        <v>19570</v>
      </c>
      <c r="D3115" s="14" t="s">
        <v>19571</v>
      </c>
      <c r="E3115" s="16" t="s">
        <v>19572</v>
      </c>
      <c r="F3115" s="16" t="s">
        <v>19573</v>
      </c>
      <c r="G3115" s="19" t="s">
        <v>41</v>
      </c>
      <c r="H3115" s="18" t="n">
        <v>6</v>
      </c>
      <c r="I3115" s="20" t="n">
        <v>184</v>
      </c>
      <c r="J3115" s="20" t="n">
        <v>288.95</v>
      </c>
      <c r="K3115" s="18" t="n">
        <v>6</v>
      </c>
      <c r="L3115" s="18" t="n">
        <v>2</v>
      </c>
      <c r="M3115" s="18" t="n">
        <v>90</v>
      </c>
      <c r="N3115" s="18" t="n">
        <v>90</v>
      </c>
      <c r="O3115" s="14" t="s">
        <v>1097</v>
      </c>
      <c r="P3115" s="14" t="s">
        <v>84</v>
      </c>
      <c r="Q3115" s="15" t="s">
        <v>1089</v>
      </c>
      <c r="R3115" s="16" t="s">
        <v>16977</v>
      </c>
      <c r="S3115" s="15" t="s">
        <v>19574</v>
      </c>
      <c r="T3115" s="15" t="s">
        <v>19574</v>
      </c>
      <c r="U3115" s="21" t="s">
        <v>72</v>
      </c>
    </row>
    <row r="3116" customFormat="false" ht="15" hidden="false" customHeight="false" outlineLevel="0" collapsed="false">
      <c r="A3116" s="15" t="s">
        <v>19480</v>
      </c>
      <c r="B3116" s="15" t="s">
        <v>19481</v>
      </c>
      <c r="C3116" s="14" t="s">
        <v>19575</v>
      </c>
      <c r="D3116" s="14" t="s">
        <v>19576</v>
      </c>
      <c r="E3116" s="16" t="s">
        <v>19577</v>
      </c>
      <c r="F3116" s="16"/>
      <c r="G3116" s="23" t="s">
        <v>43</v>
      </c>
      <c r="H3116" s="18" t="n">
        <v>3</v>
      </c>
      <c r="I3116" s="20" t="n">
        <v>93.8</v>
      </c>
      <c r="J3116" s="20" t="n">
        <v>145.56</v>
      </c>
      <c r="K3116" s="18" t="n">
        <v>11</v>
      </c>
      <c r="L3116" s="18" t="n">
        <v>2</v>
      </c>
      <c r="M3116" s="18" t="n">
        <v>176</v>
      </c>
      <c r="N3116" s="18" t="n">
        <v>48</v>
      </c>
      <c r="O3116" s="14" t="s">
        <v>1097</v>
      </c>
      <c r="P3116" s="14" t="s">
        <v>84</v>
      </c>
      <c r="Q3116" s="15" t="s">
        <v>1089</v>
      </c>
      <c r="R3116" s="16" t="s">
        <v>19578</v>
      </c>
      <c r="S3116" s="15" t="s">
        <v>19579</v>
      </c>
      <c r="T3116" s="15" t="s">
        <v>19579</v>
      </c>
      <c r="U3116" s="21" t="s">
        <v>72</v>
      </c>
    </row>
    <row r="3117" customFormat="false" ht="15" hidden="false" customHeight="false" outlineLevel="0" collapsed="false">
      <c r="A3117" s="15" t="s">
        <v>19480</v>
      </c>
      <c r="B3117" s="15" t="s">
        <v>19481</v>
      </c>
      <c r="C3117" s="14" t="s">
        <v>19580</v>
      </c>
      <c r="D3117" s="14" t="s">
        <v>19581</v>
      </c>
      <c r="E3117" s="16" t="s">
        <v>19582</v>
      </c>
      <c r="F3117" s="16" t="s">
        <v>19583</v>
      </c>
      <c r="G3117" s="19" t="s">
        <v>41</v>
      </c>
      <c r="H3117" s="18" t="n">
        <v>5</v>
      </c>
      <c r="I3117" s="20" t="n">
        <v>116.7</v>
      </c>
      <c r="J3117" s="20" t="n">
        <v>216.48</v>
      </c>
      <c r="K3117" s="18" t="n">
        <v>9</v>
      </c>
      <c r="L3117" s="18"/>
      <c r="M3117" s="18" t="n">
        <v>125</v>
      </c>
      <c r="N3117" s="18" t="n">
        <v>125</v>
      </c>
      <c r="O3117" s="14" t="s">
        <v>1088</v>
      </c>
      <c r="P3117" s="14" t="s">
        <v>84</v>
      </c>
      <c r="Q3117" s="15" t="s">
        <v>1089</v>
      </c>
      <c r="R3117" s="16" t="s">
        <v>8031</v>
      </c>
      <c r="S3117" s="15" t="s">
        <v>19584</v>
      </c>
      <c r="T3117" s="15" t="s">
        <v>19585</v>
      </c>
      <c r="U3117" s="21" t="s">
        <v>72</v>
      </c>
    </row>
    <row r="3118" customFormat="false" ht="39.55" hidden="false" customHeight="false" outlineLevel="0" collapsed="false">
      <c r="A3118" s="15" t="s">
        <v>19480</v>
      </c>
      <c r="B3118" s="15" t="s">
        <v>19481</v>
      </c>
      <c r="C3118" s="14" t="s">
        <v>19586</v>
      </c>
      <c r="D3118" s="14" t="s">
        <v>19587</v>
      </c>
      <c r="E3118" s="16" t="s">
        <v>19588</v>
      </c>
      <c r="F3118" s="16" t="s">
        <v>19589</v>
      </c>
      <c r="G3118" s="25" t="s">
        <v>39</v>
      </c>
      <c r="H3118" s="18" t="n">
        <v>9</v>
      </c>
      <c r="I3118" s="20" t="n">
        <v>134.7</v>
      </c>
      <c r="J3118" s="20" t="n">
        <v>243.49</v>
      </c>
      <c r="K3118" s="18" t="n">
        <v>15</v>
      </c>
      <c r="L3118" s="18" t="n">
        <v>2</v>
      </c>
      <c r="M3118" s="18" t="n">
        <v>88</v>
      </c>
      <c r="N3118" s="18" t="n">
        <v>29</v>
      </c>
      <c r="O3118" s="14" t="s">
        <v>1097</v>
      </c>
      <c r="P3118" s="14" t="s">
        <v>19590</v>
      </c>
      <c r="Q3118" s="15" t="s">
        <v>1089</v>
      </c>
      <c r="R3118" s="16" t="s">
        <v>19591</v>
      </c>
      <c r="S3118" s="15" t="s">
        <v>19592</v>
      </c>
      <c r="T3118" s="15" t="s">
        <v>19593</v>
      </c>
      <c r="U3118" s="21" t="s">
        <v>72</v>
      </c>
    </row>
    <row r="3119" customFormat="false" ht="15" hidden="false" customHeight="false" outlineLevel="0" collapsed="false">
      <c r="A3119" s="15" t="s">
        <v>19480</v>
      </c>
      <c r="B3119" s="15" t="s">
        <v>19481</v>
      </c>
      <c r="C3119" s="14" t="s">
        <v>19594</v>
      </c>
      <c r="D3119" s="14" t="s">
        <v>19595</v>
      </c>
      <c r="E3119" s="16" t="s">
        <v>19596</v>
      </c>
      <c r="F3119" s="16" t="s">
        <v>19597</v>
      </c>
      <c r="G3119" s="19" t="s">
        <v>41</v>
      </c>
      <c r="H3119" s="18" t="n">
        <v>5</v>
      </c>
      <c r="I3119" s="20" t="n">
        <v>119.6</v>
      </c>
      <c r="J3119" s="20" t="n">
        <v>242.38</v>
      </c>
      <c r="K3119" s="18" t="n">
        <v>5</v>
      </c>
      <c r="L3119" s="18" t="n">
        <v>2</v>
      </c>
      <c r="M3119" s="18" t="n">
        <v>48</v>
      </c>
      <c r="N3119" s="18" t="n">
        <v>48</v>
      </c>
      <c r="O3119" s="14" t="s">
        <v>1097</v>
      </c>
      <c r="P3119" s="14" t="s">
        <v>84</v>
      </c>
      <c r="Q3119" s="15" t="s">
        <v>1089</v>
      </c>
      <c r="R3119" s="16" t="s">
        <v>19598</v>
      </c>
      <c r="S3119" s="15" t="s">
        <v>19599</v>
      </c>
      <c r="T3119" s="15" t="s">
        <v>19600</v>
      </c>
      <c r="U3119" s="21" t="s">
        <v>72</v>
      </c>
    </row>
    <row r="3120" customFormat="false" ht="15" hidden="false" customHeight="false" outlineLevel="0" collapsed="false">
      <c r="A3120" s="15" t="s">
        <v>19480</v>
      </c>
      <c r="B3120" s="15" t="s">
        <v>19481</v>
      </c>
      <c r="C3120" s="14" t="s">
        <v>19601</v>
      </c>
      <c r="D3120" s="14" t="s">
        <v>19602</v>
      </c>
      <c r="E3120" s="16" t="s">
        <v>19603</v>
      </c>
      <c r="F3120" s="16" t="s">
        <v>19604</v>
      </c>
      <c r="G3120" s="23" t="s">
        <v>43</v>
      </c>
      <c r="H3120" s="18" t="n">
        <v>3</v>
      </c>
      <c r="I3120" s="20" t="n">
        <v>64.34</v>
      </c>
      <c r="J3120" s="20" t="n">
        <v>112.78</v>
      </c>
      <c r="K3120" s="18" t="n">
        <v>9</v>
      </c>
      <c r="L3120" s="18" t="n">
        <v>5</v>
      </c>
      <c r="M3120" s="18" t="n">
        <v>99</v>
      </c>
      <c r="N3120" s="18" t="n">
        <v>99</v>
      </c>
      <c r="O3120" s="14" t="s">
        <v>1088</v>
      </c>
      <c r="P3120" s="14" t="s">
        <v>84</v>
      </c>
      <c r="Q3120" s="15" t="s">
        <v>1089</v>
      </c>
      <c r="R3120" s="16" t="s">
        <v>19605</v>
      </c>
      <c r="S3120" s="15" t="s">
        <v>19606</v>
      </c>
      <c r="T3120" s="15" t="s">
        <v>19607</v>
      </c>
      <c r="U3120" s="21" t="s">
        <v>72</v>
      </c>
    </row>
    <row r="3121" customFormat="false" ht="15" hidden="false" customHeight="false" outlineLevel="0" collapsed="false">
      <c r="A3121" s="15" t="s">
        <v>19480</v>
      </c>
      <c r="B3121" s="15" t="s">
        <v>19481</v>
      </c>
      <c r="C3121" s="14" t="s">
        <v>19608</v>
      </c>
      <c r="D3121" s="14" t="s">
        <v>19609</v>
      </c>
      <c r="E3121" s="16" t="s">
        <v>19610</v>
      </c>
      <c r="F3121" s="16" t="s">
        <v>19611</v>
      </c>
      <c r="G3121" s="25" t="s">
        <v>39</v>
      </c>
      <c r="H3121" s="18" t="n">
        <v>13</v>
      </c>
      <c r="I3121" s="20" t="n">
        <v>164</v>
      </c>
      <c r="J3121" s="20" t="n">
        <v>311.34</v>
      </c>
      <c r="K3121" s="18" t="n">
        <v>18</v>
      </c>
      <c r="L3121" s="18" t="n">
        <v>6</v>
      </c>
      <c r="M3121" s="18" t="n">
        <v>396</v>
      </c>
      <c r="N3121" s="18" t="n">
        <v>396</v>
      </c>
      <c r="O3121" s="14" t="s">
        <v>1097</v>
      </c>
      <c r="P3121" s="14" t="s">
        <v>84</v>
      </c>
      <c r="Q3121" s="15" t="s">
        <v>1089</v>
      </c>
      <c r="R3121" s="16" t="s">
        <v>19612</v>
      </c>
      <c r="S3121" s="15" t="s">
        <v>19613</v>
      </c>
      <c r="T3121" s="15" t="s">
        <v>19614</v>
      </c>
      <c r="U3121" s="21" t="s">
        <v>72</v>
      </c>
    </row>
    <row r="3122" customFormat="false" ht="15" hidden="false" customHeight="false" outlineLevel="0" collapsed="false">
      <c r="A3122" s="15" t="s">
        <v>19480</v>
      </c>
      <c r="B3122" s="15" t="s">
        <v>19481</v>
      </c>
      <c r="C3122" s="14" t="s">
        <v>19615</v>
      </c>
      <c r="D3122" s="14" t="s">
        <v>19616</v>
      </c>
      <c r="E3122" s="16" t="s">
        <v>19617</v>
      </c>
      <c r="F3122" s="16" t="s">
        <v>19618</v>
      </c>
      <c r="G3122" s="23" t="s">
        <v>43</v>
      </c>
      <c r="H3122" s="18" t="n">
        <v>3</v>
      </c>
      <c r="I3122" s="20" t="n">
        <v>135</v>
      </c>
      <c r="J3122" s="20" t="n">
        <v>181.45</v>
      </c>
      <c r="K3122" s="18" t="n">
        <v>16</v>
      </c>
      <c r="L3122" s="18" t="n">
        <v>11</v>
      </c>
      <c r="M3122" s="18" t="n">
        <v>160</v>
      </c>
      <c r="N3122" s="18" t="n">
        <v>40</v>
      </c>
      <c r="O3122" s="14" t="s">
        <v>1097</v>
      </c>
      <c r="P3122" s="14" t="s">
        <v>118</v>
      </c>
      <c r="Q3122" s="15" t="s">
        <v>1089</v>
      </c>
      <c r="R3122" s="16" t="s">
        <v>11257</v>
      </c>
      <c r="S3122" s="15" t="s">
        <v>19619</v>
      </c>
      <c r="T3122" s="15" t="s">
        <v>19619</v>
      </c>
      <c r="U3122" s="21" t="s">
        <v>72</v>
      </c>
    </row>
    <row r="3123" customFormat="false" ht="39.55" hidden="false" customHeight="false" outlineLevel="0" collapsed="false">
      <c r="A3123" s="15" t="s">
        <v>19480</v>
      </c>
      <c r="B3123" s="15" t="s">
        <v>19481</v>
      </c>
      <c r="C3123" s="14" t="s">
        <v>19620</v>
      </c>
      <c r="D3123" s="14" t="s">
        <v>19621</v>
      </c>
      <c r="E3123" s="16" t="s">
        <v>19622</v>
      </c>
      <c r="F3123" s="16" t="s">
        <v>19623</v>
      </c>
      <c r="G3123" s="19" t="s">
        <v>41</v>
      </c>
      <c r="H3123" s="18" t="n">
        <v>5</v>
      </c>
      <c r="I3123" s="20" t="n">
        <v>105.7</v>
      </c>
      <c r="J3123" s="20" t="n">
        <v>332.89</v>
      </c>
      <c r="K3123" s="18" t="n">
        <v>16</v>
      </c>
      <c r="L3123" s="18" t="n">
        <v>3</v>
      </c>
      <c r="M3123" s="18" t="n">
        <v>256</v>
      </c>
      <c r="N3123" s="18" t="n">
        <v>70</v>
      </c>
      <c r="O3123" s="14" t="s">
        <v>9118</v>
      </c>
      <c r="P3123" s="14" t="s">
        <v>7853</v>
      </c>
      <c r="Q3123" s="15" t="s">
        <v>1089</v>
      </c>
      <c r="R3123" s="16" t="s">
        <v>19624</v>
      </c>
      <c r="S3123" s="15" t="s">
        <v>19625</v>
      </c>
      <c r="T3123" s="15" t="s">
        <v>19626</v>
      </c>
      <c r="U3123" s="21" t="s">
        <v>72</v>
      </c>
    </row>
    <row r="3124" customFormat="false" ht="15" hidden="false" customHeight="false" outlineLevel="0" collapsed="false">
      <c r="A3124" s="15" t="s">
        <v>19480</v>
      </c>
      <c r="B3124" s="15" t="s">
        <v>19481</v>
      </c>
      <c r="C3124" s="14" t="s">
        <v>19627</v>
      </c>
      <c r="D3124" s="14" t="s">
        <v>19628</v>
      </c>
      <c r="E3124" s="16" t="s">
        <v>19629</v>
      </c>
      <c r="F3124" s="16" t="s">
        <v>19630</v>
      </c>
      <c r="G3124" s="19" t="s">
        <v>41</v>
      </c>
      <c r="H3124" s="18" t="n">
        <v>5</v>
      </c>
      <c r="I3124" s="20" t="n">
        <v>72.77</v>
      </c>
      <c r="J3124" s="20" t="n">
        <v>130.59</v>
      </c>
      <c r="K3124" s="18" t="n">
        <v>7</v>
      </c>
      <c r="L3124" s="18" t="n">
        <v>2</v>
      </c>
      <c r="M3124" s="18" t="n">
        <v>56</v>
      </c>
      <c r="N3124" s="18" t="n">
        <v>42</v>
      </c>
      <c r="O3124" s="14" t="s">
        <v>1097</v>
      </c>
      <c r="P3124" s="14" t="s">
        <v>118</v>
      </c>
      <c r="Q3124" s="15" t="s">
        <v>1089</v>
      </c>
      <c r="R3124" s="16" t="s">
        <v>19631</v>
      </c>
      <c r="S3124" s="15" t="s">
        <v>19632</v>
      </c>
      <c r="T3124" s="15" t="s">
        <v>19632</v>
      </c>
      <c r="U3124" s="21" t="s">
        <v>72</v>
      </c>
    </row>
    <row r="3125" customFormat="false" ht="15" hidden="false" customHeight="false" outlineLevel="0" collapsed="false">
      <c r="A3125" s="15" t="s">
        <v>19480</v>
      </c>
      <c r="B3125" s="15" t="s">
        <v>19481</v>
      </c>
      <c r="C3125" s="14" t="s">
        <v>19633</v>
      </c>
      <c r="D3125" s="14" t="s">
        <v>19634</v>
      </c>
      <c r="E3125" s="16" t="s">
        <v>19635</v>
      </c>
      <c r="F3125" s="16"/>
      <c r="G3125" s="23" t="s">
        <v>43</v>
      </c>
      <c r="H3125" s="18" t="n">
        <v>3</v>
      </c>
      <c r="I3125" s="20" t="n">
        <v>65</v>
      </c>
      <c r="J3125" s="20" t="n">
        <v>155</v>
      </c>
      <c r="K3125" s="18" t="n">
        <v>12</v>
      </c>
      <c r="L3125" s="18"/>
      <c r="M3125" s="18" t="n">
        <v>180</v>
      </c>
      <c r="N3125" s="18" t="n">
        <v>180</v>
      </c>
      <c r="O3125" s="14" t="s">
        <v>1088</v>
      </c>
      <c r="P3125" s="14" t="s">
        <v>84</v>
      </c>
      <c r="Q3125" s="15" t="s">
        <v>1089</v>
      </c>
      <c r="R3125" s="16" t="s">
        <v>19636</v>
      </c>
      <c r="S3125" s="15" t="s">
        <v>19637</v>
      </c>
      <c r="T3125" s="15" t="s">
        <v>19637</v>
      </c>
      <c r="U3125" s="21" t="s">
        <v>72</v>
      </c>
    </row>
    <row r="3126" customFormat="false" ht="15" hidden="false" customHeight="false" outlineLevel="0" collapsed="false">
      <c r="A3126" s="15" t="s">
        <v>19480</v>
      </c>
      <c r="B3126" s="15" t="s">
        <v>19481</v>
      </c>
      <c r="C3126" s="14" t="s">
        <v>19638</v>
      </c>
      <c r="D3126" s="14" t="s">
        <v>19639</v>
      </c>
      <c r="E3126" s="16" t="s">
        <v>19640</v>
      </c>
      <c r="F3126" s="16" t="s">
        <v>19641</v>
      </c>
      <c r="G3126" s="23" t="s">
        <v>43</v>
      </c>
      <c r="H3126" s="18" t="n">
        <v>2</v>
      </c>
      <c r="I3126" s="20" t="n">
        <v>40.35</v>
      </c>
      <c r="J3126" s="20" t="n">
        <v>95.82</v>
      </c>
      <c r="K3126" s="18" t="n">
        <v>3</v>
      </c>
      <c r="L3126" s="18" t="n">
        <v>2</v>
      </c>
      <c r="M3126" s="18" t="n">
        <v>30</v>
      </c>
      <c r="N3126" s="18" t="n">
        <v>10</v>
      </c>
      <c r="O3126" s="14" t="s">
        <v>1097</v>
      </c>
      <c r="P3126" s="14" t="s">
        <v>118</v>
      </c>
      <c r="Q3126" s="15" t="s">
        <v>1089</v>
      </c>
      <c r="R3126" s="16" t="s">
        <v>19642</v>
      </c>
      <c r="S3126" s="15" t="s">
        <v>19643</v>
      </c>
      <c r="T3126" s="15" t="s">
        <v>19643</v>
      </c>
      <c r="U3126" s="21" t="s">
        <v>72</v>
      </c>
    </row>
    <row r="3127" customFormat="false" ht="15" hidden="false" customHeight="false" outlineLevel="0" collapsed="false">
      <c r="A3127" s="15" t="s">
        <v>19480</v>
      </c>
      <c r="B3127" s="15" t="s">
        <v>19481</v>
      </c>
      <c r="C3127" s="14" t="s">
        <v>19644</v>
      </c>
      <c r="D3127" s="14" t="s">
        <v>19645</v>
      </c>
      <c r="E3127" s="16" t="s">
        <v>19646</v>
      </c>
      <c r="F3127" s="16" t="s">
        <v>19647</v>
      </c>
      <c r="G3127" s="23" t="s">
        <v>43</v>
      </c>
      <c r="H3127" s="18" t="n">
        <v>1</v>
      </c>
      <c r="I3127" s="20" t="n">
        <v>81.44</v>
      </c>
      <c r="J3127" s="20" t="n">
        <v>195.28</v>
      </c>
      <c r="K3127" s="18" t="n">
        <v>8</v>
      </c>
      <c r="L3127" s="18" t="n">
        <v>10</v>
      </c>
      <c r="M3127" s="18" t="n">
        <v>160</v>
      </c>
      <c r="N3127" s="18" t="n">
        <v>100</v>
      </c>
      <c r="O3127" s="14" t="s">
        <v>1088</v>
      </c>
      <c r="P3127" s="14" t="s">
        <v>84</v>
      </c>
      <c r="Q3127" s="15" t="s">
        <v>1089</v>
      </c>
      <c r="R3127" s="16" t="s">
        <v>19648</v>
      </c>
      <c r="S3127" s="15" t="s">
        <v>19649</v>
      </c>
      <c r="T3127" s="15" t="s">
        <v>19650</v>
      </c>
      <c r="U3127" s="21" t="s">
        <v>72</v>
      </c>
    </row>
    <row r="3128" customFormat="false" ht="15" hidden="false" customHeight="false" outlineLevel="0" collapsed="false">
      <c r="A3128" s="15" t="s">
        <v>19480</v>
      </c>
      <c r="B3128" s="15" t="s">
        <v>19481</v>
      </c>
      <c r="C3128" s="14" t="s">
        <v>19651</v>
      </c>
      <c r="D3128" s="14" t="s">
        <v>19652</v>
      </c>
      <c r="E3128" s="16" t="s">
        <v>19653</v>
      </c>
      <c r="F3128" s="16" t="s">
        <v>19654</v>
      </c>
      <c r="G3128" s="19" t="s">
        <v>41</v>
      </c>
      <c r="H3128" s="18" t="n">
        <v>7</v>
      </c>
      <c r="I3128" s="20" t="n">
        <v>171.9</v>
      </c>
      <c r="J3128" s="20" t="n">
        <v>227.6</v>
      </c>
      <c r="K3128" s="18" t="n">
        <v>15</v>
      </c>
      <c r="L3128" s="18" t="n">
        <v>5</v>
      </c>
      <c r="M3128" s="18" t="n">
        <v>198</v>
      </c>
      <c r="N3128" s="18" t="n">
        <v>105</v>
      </c>
      <c r="O3128" s="14" t="s">
        <v>1097</v>
      </c>
      <c r="P3128" s="14" t="s">
        <v>84</v>
      </c>
      <c r="Q3128" s="15" t="s">
        <v>1089</v>
      </c>
      <c r="R3128" s="16" t="s">
        <v>19655</v>
      </c>
      <c r="S3128" s="15" t="s">
        <v>19656</v>
      </c>
      <c r="T3128" s="15" t="s">
        <v>19657</v>
      </c>
      <c r="U3128" s="21" t="s">
        <v>72</v>
      </c>
    </row>
    <row r="3129" customFormat="false" ht="15" hidden="false" customHeight="false" outlineLevel="0" collapsed="false">
      <c r="A3129" s="15" t="s">
        <v>19480</v>
      </c>
      <c r="B3129" s="15" t="s">
        <v>19481</v>
      </c>
      <c r="C3129" s="14" t="s">
        <v>19658</v>
      </c>
      <c r="D3129" s="14" t="s">
        <v>19659</v>
      </c>
      <c r="E3129" s="16" t="s">
        <v>19660</v>
      </c>
      <c r="F3129" s="16" t="s">
        <v>19661</v>
      </c>
      <c r="G3129" s="19" t="s">
        <v>41</v>
      </c>
      <c r="H3129" s="18" t="n">
        <v>3</v>
      </c>
      <c r="I3129" s="20" t="n">
        <v>81.3</v>
      </c>
      <c r="J3129" s="20" t="n">
        <v>200.9</v>
      </c>
      <c r="K3129" s="18" t="n">
        <v>9</v>
      </c>
      <c r="L3129" s="18" t="n">
        <v>3</v>
      </c>
      <c r="M3129" s="18" t="n">
        <v>150</v>
      </c>
      <c r="N3129" s="18" t="n">
        <v>50</v>
      </c>
      <c r="O3129" s="14" t="s">
        <v>1097</v>
      </c>
      <c r="P3129" s="14" t="s">
        <v>84</v>
      </c>
      <c r="Q3129" s="15" t="s">
        <v>1089</v>
      </c>
      <c r="R3129" s="16" t="s">
        <v>19662</v>
      </c>
      <c r="S3129" s="15" t="s">
        <v>19663</v>
      </c>
      <c r="T3129" s="15" t="s">
        <v>19663</v>
      </c>
      <c r="U3129" s="21" t="s">
        <v>72</v>
      </c>
    </row>
    <row r="3130" customFormat="false" ht="15" hidden="false" customHeight="false" outlineLevel="0" collapsed="false">
      <c r="A3130" s="15" t="s">
        <v>19480</v>
      </c>
      <c r="B3130" s="15" t="s">
        <v>19481</v>
      </c>
      <c r="C3130" s="14" t="s">
        <v>19664</v>
      </c>
      <c r="D3130" s="14" t="s">
        <v>19665</v>
      </c>
      <c r="E3130" s="16" t="s">
        <v>19666</v>
      </c>
      <c r="F3130" s="16" t="s">
        <v>19667</v>
      </c>
      <c r="G3130" s="23" t="s">
        <v>43</v>
      </c>
      <c r="H3130" s="18" t="n">
        <v>2</v>
      </c>
      <c r="I3130" s="20" t="n">
        <v>69.2</v>
      </c>
      <c r="J3130" s="20" t="n">
        <v>146</v>
      </c>
      <c r="K3130" s="18" t="n">
        <v>12</v>
      </c>
      <c r="L3130" s="18" t="n">
        <v>6</v>
      </c>
      <c r="M3130" s="18" t="n">
        <v>164</v>
      </c>
      <c r="N3130" s="18" t="n">
        <v>72</v>
      </c>
      <c r="O3130" s="14" t="s">
        <v>1097</v>
      </c>
      <c r="P3130" s="14" t="s">
        <v>118</v>
      </c>
      <c r="Q3130" s="15" t="s">
        <v>1089</v>
      </c>
      <c r="R3130" s="16" t="s">
        <v>7736</v>
      </c>
      <c r="S3130" s="15" t="s">
        <v>19668</v>
      </c>
      <c r="T3130" s="15" t="s">
        <v>19668</v>
      </c>
      <c r="U3130" s="21" t="s">
        <v>72</v>
      </c>
    </row>
    <row r="3131" customFormat="false" ht="15" hidden="false" customHeight="false" outlineLevel="0" collapsed="false">
      <c r="A3131" s="15" t="s">
        <v>19480</v>
      </c>
      <c r="B3131" s="15" t="s">
        <v>19481</v>
      </c>
      <c r="C3131" s="14" t="s">
        <v>19669</v>
      </c>
      <c r="D3131" s="14" t="s">
        <v>19670</v>
      </c>
      <c r="E3131" s="16" t="s">
        <v>19671</v>
      </c>
      <c r="F3131" s="16" t="s">
        <v>19672</v>
      </c>
      <c r="G3131" s="23" t="s">
        <v>43</v>
      </c>
      <c r="H3131" s="18" t="n">
        <v>2</v>
      </c>
      <c r="I3131" s="20" t="n">
        <v>64.8</v>
      </c>
      <c r="J3131" s="20" t="n">
        <v>141.34</v>
      </c>
      <c r="K3131" s="18" t="n">
        <v>3</v>
      </c>
      <c r="L3131" s="18" t="n">
        <v>2</v>
      </c>
      <c r="M3131" s="18" t="n">
        <v>58</v>
      </c>
      <c r="N3131" s="18" t="n">
        <v>58</v>
      </c>
      <c r="O3131" s="14" t="s">
        <v>1088</v>
      </c>
      <c r="P3131" s="14" t="s">
        <v>84</v>
      </c>
      <c r="Q3131" s="15" t="s">
        <v>1089</v>
      </c>
      <c r="R3131" s="16" t="s">
        <v>19673</v>
      </c>
      <c r="S3131" s="15" t="s">
        <v>19674</v>
      </c>
      <c r="T3131" s="15" t="s">
        <v>19675</v>
      </c>
      <c r="U3131" s="21" t="s">
        <v>72</v>
      </c>
    </row>
    <row r="3132" customFormat="false" ht="15" hidden="false" customHeight="false" outlineLevel="0" collapsed="false">
      <c r="A3132" s="15" t="s">
        <v>19480</v>
      </c>
      <c r="B3132" s="15" t="s">
        <v>19481</v>
      </c>
      <c r="C3132" s="14" t="s">
        <v>19676</v>
      </c>
      <c r="D3132" s="14" t="s">
        <v>19677</v>
      </c>
      <c r="E3132" s="16" t="s">
        <v>19678</v>
      </c>
      <c r="F3132" s="16" t="s">
        <v>19679</v>
      </c>
      <c r="G3132" s="25" t="s">
        <v>39</v>
      </c>
      <c r="H3132" s="18" t="n">
        <v>6</v>
      </c>
      <c r="I3132" s="20" t="n">
        <v>133.78</v>
      </c>
      <c r="J3132" s="20" t="n">
        <v>437.52</v>
      </c>
      <c r="K3132" s="18" t="n">
        <v>20</v>
      </c>
      <c r="L3132" s="18" t="n">
        <v>6</v>
      </c>
      <c r="M3132" s="18" t="n">
        <v>268</v>
      </c>
      <c r="N3132" s="18" t="n">
        <v>268</v>
      </c>
      <c r="O3132" s="14" t="s">
        <v>1097</v>
      </c>
      <c r="P3132" s="14" t="s">
        <v>84</v>
      </c>
      <c r="Q3132" s="15" t="s">
        <v>1089</v>
      </c>
      <c r="R3132" s="16" t="s">
        <v>19680</v>
      </c>
      <c r="S3132" s="15" t="s">
        <v>19681</v>
      </c>
      <c r="T3132" s="15" t="s">
        <v>19682</v>
      </c>
      <c r="U3132" s="21" t="s">
        <v>72</v>
      </c>
    </row>
    <row r="3133" customFormat="false" ht="15" hidden="false" customHeight="false" outlineLevel="0" collapsed="false">
      <c r="A3133" s="15" t="s">
        <v>19480</v>
      </c>
      <c r="B3133" s="15" t="s">
        <v>19481</v>
      </c>
      <c r="C3133" s="14" t="s">
        <v>19683</v>
      </c>
      <c r="D3133" s="14" t="s">
        <v>19684</v>
      </c>
      <c r="E3133" s="16" t="s">
        <v>19685</v>
      </c>
      <c r="F3133" s="16" t="s">
        <v>19686</v>
      </c>
      <c r="G3133" s="23" t="s">
        <v>43</v>
      </c>
      <c r="H3133" s="18" t="n">
        <v>4</v>
      </c>
      <c r="I3133" s="20" t="n">
        <v>83.55</v>
      </c>
      <c r="J3133" s="20" t="n">
        <v>178.28</v>
      </c>
      <c r="K3133" s="18" t="n">
        <v>10</v>
      </c>
      <c r="L3133" s="18" t="n">
        <v>2</v>
      </c>
      <c r="M3133" s="18" t="n">
        <v>140</v>
      </c>
      <c r="N3133" s="18" t="n">
        <v>140</v>
      </c>
      <c r="O3133" s="14" t="s">
        <v>1088</v>
      </c>
      <c r="P3133" s="14" t="s">
        <v>84</v>
      </c>
      <c r="Q3133" s="15" t="s">
        <v>1089</v>
      </c>
      <c r="R3133" s="16" t="s">
        <v>19687</v>
      </c>
      <c r="S3133" s="15" t="s">
        <v>19688</v>
      </c>
      <c r="T3133" s="15" t="s">
        <v>19688</v>
      </c>
      <c r="U3133" s="21" t="s">
        <v>72</v>
      </c>
    </row>
    <row r="3134" customFormat="false" ht="15" hidden="false" customHeight="false" outlineLevel="0" collapsed="false">
      <c r="A3134" s="15" t="s">
        <v>19480</v>
      </c>
      <c r="B3134" s="15" t="s">
        <v>19481</v>
      </c>
      <c r="C3134" s="14" t="s">
        <v>19689</v>
      </c>
      <c r="D3134" s="14" t="s">
        <v>19690</v>
      </c>
      <c r="E3134" s="16" t="s">
        <v>19691</v>
      </c>
      <c r="F3134" s="16"/>
      <c r="G3134" s="23" t="s">
        <v>43</v>
      </c>
      <c r="H3134" s="18" t="n">
        <v>1</v>
      </c>
      <c r="I3134" s="20" t="n">
        <v>43</v>
      </c>
      <c r="J3134" s="20" t="n">
        <v>168.27</v>
      </c>
      <c r="K3134" s="18" t="n">
        <v>2</v>
      </c>
      <c r="L3134" s="18" t="n">
        <v>1</v>
      </c>
      <c r="M3134" s="18" t="n">
        <v>45</v>
      </c>
      <c r="N3134" s="18" t="n">
        <v>45</v>
      </c>
      <c r="O3134" s="14" t="s">
        <v>1088</v>
      </c>
      <c r="P3134" s="14" t="s">
        <v>84</v>
      </c>
      <c r="Q3134" s="15" t="s">
        <v>1089</v>
      </c>
      <c r="R3134" s="16" t="s">
        <v>19692</v>
      </c>
      <c r="S3134" s="15" t="s">
        <v>19693</v>
      </c>
      <c r="T3134" s="15" t="s">
        <v>19694</v>
      </c>
      <c r="U3134" s="21" t="s">
        <v>72</v>
      </c>
    </row>
    <row r="3135" customFormat="false" ht="15" hidden="false" customHeight="false" outlineLevel="0" collapsed="false">
      <c r="A3135" s="15" t="s">
        <v>19480</v>
      </c>
      <c r="B3135" s="15" t="s">
        <v>19481</v>
      </c>
      <c r="C3135" s="14" t="s">
        <v>19695</v>
      </c>
      <c r="D3135" s="14" t="s">
        <v>19696</v>
      </c>
      <c r="E3135" s="16" t="s">
        <v>19697</v>
      </c>
      <c r="F3135" s="16" t="s">
        <v>19698</v>
      </c>
      <c r="G3135" s="19" t="s">
        <v>41</v>
      </c>
      <c r="H3135" s="18" t="n">
        <v>5</v>
      </c>
      <c r="I3135" s="20" t="n">
        <v>210</v>
      </c>
      <c r="J3135" s="20" t="n">
        <v>310</v>
      </c>
      <c r="K3135" s="18" t="n">
        <v>7</v>
      </c>
      <c r="L3135" s="18" t="n">
        <v>2</v>
      </c>
      <c r="M3135" s="18" t="n">
        <v>130</v>
      </c>
      <c r="N3135" s="18" t="n">
        <v>100</v>
      </c>
      <c r="O3135" s="14" t="s">
        <v>1088</v>
      </c>
      <c r="P3135" s="14" t="s">
        <v>1166</v>
      </c>
      <c r="Q3135" s="15" t="s">
        <v>1089</v>
      </c>
      <c r="R3135" s="16" t="s">
        <v>19699</v>
      </c>
      <c r="S3135" s="15" t="s">
        <v>19700</v>
      </c>
      <c r="T3135" s="15" t="s">
        <v>19701</v>
      </c>
      <c r="U3135" s="21" t="s">
        <v>72</v>
      </c>
    </row>
    <row r="3136" customFormat="false" ht="15" hidden="false" customHeight="false" outlineLevel="0" collapsed="false">
      <c r="A3136" s="15" t="s">
        <v>19480</v>
      </c>
      <c r="B3136" s="15" t="s">
        <v>19481</v>
      </c>
      <c r="C3136" s="14" t="s">
        <v>19702</v>
      </c>
      <c r="D3136" s="14" t="s">
        <v>19703</v>
      </c>
      <c r="E3136" s="16" t="s">
        <v>19704</v>
      </c>
      <c r="F3136" s="16" t="s">
        <v>19604</v>
      </c>
      <c r="G3136" s="19" t="s">
        <v>41</v>
      </c>
      <c r="H3136" s="18" t="n">
        <v>5</v>
      </c>
      <c r="I3136" s="20" t="n">
        <v>96.54</v>
      </c>
      <c r="J3136" s="20" t="n">
        <v>213.39</v>
      </c>
      <c r="K3136" s="18" t="n">
        <v>6</v>
      </c>
      <c r="L3136" s="18" t="n">
        <v>4</v>
      </c>
      <c r="M3136" s="18" t="n">
        <v>64</v>
      </c>
      <c r="N3136" s="18" t="n">
        <v>64</v>
      </c>
      <c r="O3136" s="14" t="s">
        <v>1088</v>
      </c>
      <c r="P3136" s="14" t="s">
        <v>84</v>
      </c>
      <c r="Q3136" s="15" t="s">
        <v>1089</v>
      </c>
      <c r="R3136" s="16" t="s">
        <v>19705</v>
      </c>
      <c r="S3136" s="15" t="s">
        <v>19706</v>
      </c>
      <c r="T3136" s="15" t="s">
        <v>19706</v>
      </c>
      <c r="U3136" s="21" t="s">
        <v>72</v>
      </c>
    </row>
    <row r="3137" customFormat="false" ht="15" hidden="false" customHeight="false" outlineLevel="0" collapsed="false">
      <c r="A3137" s="15" t="s">
        <v>19480</v>
      </c>
      <c r="B3137" s="15" t="s">
        <v>19481</v>
      </c>
      <c r="C3137" s="14" t="s">
        <v>19707</v>
      </c>
      <c r="D3137" s="14" t="s">
        <v>19708</v>
      </c>
      <c r="E3137" s="16" t="s">
        <v>19709</v>
      </c>
      <c r="F3137" s="16" t="s">
        <v>19710</v>
      </c>
      <c r="G3137" s="19" t="s">
        <v>41</v>
      </c>
      <c r="H3137" s="18" t="n">
        <v>5</v>
      </c>
      <c r="I3137" s="20" t="n">
        <v>121.1</v>
      </c>
      <c r="J3137" s="20" t="n">
        <v>180.61</v>
      </c>
      <c r="K3137" s="18" t="n">
        <v>10</v>
      </c>
      <c r="L3137" s="18" t="n">
        <v>8</v>
      </c>
      <c r="M3137" s="18" t="n">
        <v>147</v>
      </c>
      <c r="N3137" s="18" t="n">
        <v>147</v>
      </c>
      <c r="O3137" s="14" t="s">
        <v>1097</v>
      </c>
      <c r="P3137" s="14" t="s">
        <v>84</v>
      </c>
      <c r="Q3137" s="15" t="s">
        <v>1089</v>
      </c>
      <c r="R3137" s="16" t="s">
        <v>19711</v>
      </c>
      <c r="S3137" s="15" t="s">
        <v>7771</v>
      </c>
      <c r="T3137" s="15" t="s">
        <v>7771</v>
      </c>
      <c r="U3137" s="21" t="s">
        <v>72</v>
      </c>
    </row>
    <row r="3138" customFormat="false" ht="15" hidden="false" customHeight="false" outlineLevel="0" collapsed="false">
      <c r="A3138" s="15" t="s">
        <v>19480</v>
      </c>
      <c r="B3138" s="15" t="s">
        <v>19481</v>
      </c>
      <c r="C3138" s="14" t="s">
        <v>19712</v>
      </c>
      <c r="D3138" s="14" t="s">
        <v>19713</v>
      </c>
      <c r="E3138" s="16" t="s">
        <v>19714</v>
      </c>
      <c r="F3138" s="16" t="s">
        <v>19715</v>
      </c>
      <c r="G3138" s="19" t="s">
        <v>41</v>
      </c>
      <c r="H3138" s="18" t="n">
        <v>3</v>
      </c>
      <c r="I3138" s="20" t="n">
        <v>91</v>
      </c>
      <c r="J3138" s="20" t="n">
        <v>203.75</v>
      </c>
      <c r="K3138" s="18" t="n">
        <v>4</v>
      </c>
      <c r="L3138" s="18" t="n">
        <v>1</v>
      </c>
      <c r="M3138" s="18" t="n">
        <v>62</v>
      </c>
      <c r="N3138" s="18" t="n">
        <v>62</v>
      </c>
      <c r="O3138" s="14" t="s">
        <v>1088</v>
      </c>
      <c r="P3138" s="14" t="s">
        <v>84</v>
      </c>
      <c r="Q3138" s="15" t="s">
        <v>1089</v>
      </c>
      <c r="R3138" s="16" t="s">
        <v>19716</v>
      </c>
      <c r="S3138" s="15" t="s">
        <v>19717</v>
      </c>
      <c r="T3138" s="15" t="s">
        <v>19717</v>
      </c>
      <c r="U3138" s="21" t="s">
        <v>72</v>
      </c>
    </row>
    <row r="3139" customFormat="false" ht="15" hidden="false" customHeight="false" outlineLevel="0" collapsed="false">
      <c r="A3139" s="15" t="s">
        <v>19480</v>
      </c>
      <c r="B3139" s="15" t="s">
        <v>19481</v>
      </c>
      <c r="C3139" s="14" t="s">
        <v>19718</v>
      </c>
      <c r="D3139" s="14" t="s">
        <v>19719</v>
      </c>
      <c r="E3139" s="16" t="s">
        <v>19720</v>
      </c>
      <c r="F3139" s="16" t="s">
        <v>19721</v>
      </c>
      <c r="G3139" s="23" t="s">
        <v>43</v>
      </c>
      <c r="H3139" s="18" t="n">
        <v>2</v>
      </c>
      <c r="I3139" s="20" t="n">
        <v>90</v>
      </c>
      <c r="J3139" s="20" t="n">
        <v>124</v>
      </c>
      <c r="K3139" s="18" t="n">
        <v>4</v>
      </c>
      <c r="L3139" s="18" t="n">
        <v>3</v>
      </c>
      <c r="M3139" s="18" t="n">
        <v>180</v>
      </c>
      <c r="N3139" s="18" t="n">
        <v>180</v>
      </c>
      <c r="O3139" s="14" t="s">
        <v>1097</v>
      </c>
      <c r="P3139" s="14" t="s">
        <v>84</v>
      </c>
      <c r="Q3139" s="15" t="s">
        <v>1089</v>
      </c>
      <c r="R3139" s="16" t="s">
        <v>19722</v>
      </c>
      <c r="S3139" s="15" t="s">
        <v>19723</v>
      </c>
      <c r="T3139" s="15" t="s">
        <v>19724</v>
      </c>
      <c r="U3139" s="21" t="s">
        <v>72</v>
      </c>
    </row>
    <row r="3140" customFormat="false" ht="15" hidden="false" customHeight="false" outlineLevel="0" collapsed="false">
      <c r="A3140" s="15" t="s">
        <v>19480</v>
      </c>
      <c r="B3140" s="15" t="s">
        <v>19481</v>
      </c>
      <c r="C3140" s="14" t="s">
        <v>19725</v>
      </c>
      <c r="D3140" s="14" t="s">
        <v>19726</v>
      </c>
      <c r="E3140" s="16" t="s">
        <v>19727</v>
      </c>
      <c r="F3140" s="16" t="s">
        <v>19728</v>
      </c>
      <c r="G3140" s="23" t="s">
        <v>43</v>
      </c>
      <c r="H3140" s="18" t="n">
        <v>2</v>
      </c>
      <c r="I3140" s="20" t="n">
        <v>48</v>
      </c>
      <c r="J3140" s="20" t="n">
        <v>139.52</v>
      </c>
      <c r="K3140" s="18" t="n">
        <v>9</v>
      </c>
      <c r="L3140" s="18" t="n">
        <v>7</v>
      </c>
      <c r="M3140" s="18" t="n">
        <v>90</v>
      </c>
      <c r="N3140" s="18" t="n">
        <v>20</v>
      </c>
      <c r="O3140" s="14" t="s">
        <v>1097</v>
      </c>
      <c r="P3140" s="14" t="s">
        <v>84</v>
      </c>
      <c r="Q3140" s="15" t="s">
        <v>1089</v>
      </c>
      <c r="R3140" s="16" t="s">
        <v>1000</v>
      </c>
      <c r="S3140" s="15" t="s">
        <v>19729</v>
      </c>
      <c r="T3140" s="15" t="s">
        <v>19729</v>
      </c>
      <c r="U3140" s="21" t="s">
        <v>72</v>
      </c>
    </row>
    <row r="3141" customFormat="false" ht="15" hidden="false" customHeight="false" outlineLevel="0" collapsed="false">
      <c r="A3141" s="15" t="s">
        <v>19480</v>
      </c>
      <c r="B3141" s="15" t="s">
        <v>19481</v>
      </c>
      <c r="C3141" s="14" t="s">
        <v>19730</v>
      </c>
      <c r="D3141" s="14" t="s">
        <v>19731</v>
      </c>
      <c r="E3141" s="16" t="s">
        <v>19671</v>
      </c>
      <c r="F3141" s="16" t="s">
        <v>19672</v>
      </c>
      <c r="G3141" s="23" t="s">
        <v>43</v>
      </c>
      <c r="H3141" s="18" t="n">
        <v>3</v>
      </c>
      <c r="I3141" s="20" t="n">
        <v>92.9</v>
      </c>
      <c r="J3141" s="20" t="n">
        <v>141.34</v>
      </c>
      <c r="K3141" s="18" t="n">
        <v>3</v>
      </c>
      <c r="L3141" s="18" t="n">
        <v>3</v>
      </c>
      <c r="M3141" s="18" t="n">
        <v>53</v>
      </c>
      <c r="N3141" s="18" t="n">
        <v>53</v>
      </c>
      <c r="O3141" s="14" t="s">
        <v>1088</v>
      </c>
      <c r="P3141" s="14" t="s">
        <v>84</v>
      </c>
      <c r="Q3141" s="15" t="s">
        <v>1089</v>
      </c>
      <c r="R3141" s="16" t="s">
        <v>19732</v>
      </c>
      <c r="S3141" s="15" t="s">
        <v>19733</v>
      </c>
      <c r="T3141" s="15" t="s">
        <v>19734</v>
      </c>
      <c r="U3141" s="21" t="s">
        <v>72</v>
      </c>
    </row>
    <row r="3142" customFormat="false" ht="15" hidden="false" customHeight="false" outlineLevel="0" collapsed="false">
      <c r="A3142" s="15" t="s">
        <v>19480</v>
      </c>
      <c r="B3142" s="15" t="s">
        <v>19481</v>
      </c>
      <c r="C3142" s="14" t="s">
        <v>19735</v>
      </c>
      <c r="D3142" s="14" t="s">
        <v>19736</v>
      </c>
      <c r="E3142" s="16" t="s">
        <v>19737</v>
      </c>
      <c r="F3142" s="16" t="s">
        <v>3599</v>
      </c>
      <c r="G3142" s="19" t="s">
        <v>41</v>
      </c>
      <c r="H3142" s="18" t="n">
        <v>5</v>
      </c>
      <c r="I3142" s="20" t="n">
        <v>158.73</v>
      </c>
      <c r="J3142" s="20" t="n">
        <v>313.07</v>
      </c>
      <c r="K3142" s="18" t="n">
        <v>12</v>
      </c>
      <c r="L3142" s="18" t="n">
        <v>37</v>
      </c>
      <c r="M3142" s="18" t="n">
        <v>232</v>
      </c>
      <c r="N3142" s="18" t="n">
        <v>116</v>
      </c>
      <c r="O3142" s="14" t="s">
        <v>1097</v>
      </c>
      <c r="P3142" s="14" t="s">
        <v>84</v>
      </c>
      <c r="Q3142" s="15" t="s">
        <v>1089</v>
      </c>
      <c r="R3142" s="16" t="s">
        <v>19738</v>
      </c>
      <c r="S3142" s="15" t="s">
        <v>19739</v>
      </c>
      <c r="T3142" s="15" t="s">
        <v>19740</v>
      </c>
      <c r="U3142" s="21" t="s">
        <v>72</v>
      </c>
    </row>
    <row r="3143" customFormat="false" ht="15" hidden="false" customHeight="false" outlineLevel="0" collapsed="false">
      <c r="A3143" s="15" t="s">
        <v>19480</v>
      </c>
      <c r="B3143" s="15" t="s">
        <v>19741</v>
      </c>
      <c r="C3143" s="14" t="s">
        <v>19742</v>
      </c>
      <c r="D3143" s="14" t="s">
        <v>19743</v>
      </c>
      <c r="E3143" s="16" t="s">
        <v>19744</v>
      </c>
      <c r="F3143" s="16" t="s">
        <v>19745</v>
      </c>
      <c r="G3143" s="23" t="s">
        <v>43</v>
      </c>
      <c r="H3143" s="18" t="n">
        <v>2</v>
      </c>
      <c r="I3143" s="20" t="n">
        <v>49.4</v>
      </c>
      <c r="J3143" s="20" t="n">
        <v>95.13</v>
      </c>
      <c r="K3143" s="18" t="n">
        <v>5</v>
      </c>
      <c r="L3143" s="18" t="n">
        <v>12</v>
      </c>
      <c r="M3143" s="18" t="n">
        <v>92</v>
      </c>
      <c r="N3143" s="18" t="n">
        <v>60</v>
      </c>
      <c r="O3143" s="14" t="s">
        <v>1097</v>
      </c>
      <c r="P3143" s="14" t="s">
        <v>84</v>
      </c>
      <c r="Q3143" s="15" t="s">
        <v>1089</v>
      </c>
      <c r="R3143" s="16" t="s">
        <v>19746</v>
      </c>
      <c r="S3143" s="15" t="s">
        <v>19747</v>
      </c>
      <c r="T3143" s="15" t="s">
        <v>19748</v>
      </c>
      <c r="U3143" s="21" t="s">
        <v>72</v>
      </c>
    </row>
    <row r="3144" customFormat="false" ht="15" hidden="false" customHeight="false" outlineLevel="0" collapsed="false">
      <c r="A3144" s="15" t="s">
        <v>19480</v>
      </c>
      <c r="B3144" s="15" t="s">
        <v>19741</v>
      </c>
      <c r="C3144" s="14" t="s">
        <v>19749</v>
      </c>
      <c r="D3144" s="14" t="s">
        <v>19750</v>
      </c>
      <c r="E3144" s="16" t="s">
        <v>19751</v>
      </c>
      <c r="F3144" s="16" t="s">
        <v>19497</v>
      </c>
      <c r="G3144" s="23" t="s">
        <v>43</v>
      </c>
      <c r="H3144" s="18" t="n">
        <v>3</v>
      </c>
      <c r="I3144" s="20" t="n">
        <v>54.93</v>
      </c>
      <c r="J3144" s="20" t="n">
        <v>170.44</v>
      </c>
      <c r="K3144" s="18" t="n">
        <v>10</v>
      </c>
      <c r="L3144" s="18" t="n">
        <v>8</v>
      </c>
      <c r="M3144" s="18" t="n">
        <v>136</v>
      </c>
      <c r="N3144" s="18" t="n">
        <v>136</v>
      </c>
      <c r="O3144" s="14" t="s">
        <v>19752</v>
      </c>
      <c r="P3144" s="14" t="s">
        <v>84</v>
      </c>
      <c r="Q3144" s="15" t="s">
        <v>1089</v>
      </c>
      <c r="R3144" s="16" t="s">
        <v>19753</v>
      </c>
      <c r="S3144" s="15" t="s">
        <v>19754</v>
      </c>
      <c r="T3144" s="15" t="s">
        <v>19754</v>
      </c>
      <c r="U3144" s="21" t="s">
        <v>72</v>
      </c>
    </row>
    <row r="3145" customFormat="false" ht="15" hidden="false" customHeight="false" outlineLevel="0" collapsed="false">
      <c r="A3145" s="15" t="s">
        <v>19480</v>
      </c>
      <c r="B3145" s="15" t="s">
        <v>19741</v>
      </c>
      <c r="C3145" s="14" t="s">
        <v>19755</v>
      </c>
      <c r="D3145" s="14" t="s">
        <v>19756</v>
      </c>
      <c r="E3145" s="16" t="s">
        <v>19757</v>
      </c>
      <c r="F3145" s="16" t="s">
        <v>19758</v>
      </c>
      <c r="G3145" s="23" t="s">
        <v>43</v>
      </c>
      <c r="H3145" s="18" t="n">
        <v>4</v>
      </c>
      <c r="I3145" s="20" t="n">
        <v>78.55</v>
      </c>
      <c r="J3145" s="20" t="n">
        <v>154.38</v>
      </c>
      <c r="K3145" s="18" t="n">
        <v>13</v>
      </c>
      <c r="L3145" s="18" t="n">
        <v>6</v>
      </c>
      <c r="M3145" s="18" t="n">
        <v>195</v>
      </c>
      <c r="N3145" s="18" t="n">
        <v>90</v>
      </c>
      <c r="O3145" s="14" t="s">
        <v>1097</v>
      </c>
      <c r="P3145" s="14" t="s">
        <v>84</v>
      </c>
      <c r="Q3145" s="15" t="s">
        <v>1089</v>
      </c>
      <c r="R3145" s="16" t="s">
        <v>19759</v>
      </c>
      <c r="S3145" s="15" t="s">
        <v>19760</v>
      </c>
      <c r="T3145" s="15" t="s">
        <v>19760</v>
      </c>
      <c r="U3145" s="21" t="s">
        <v>72</v>
      </c>
    </row>
    <row r="3146" customFormat="false" ht="15" hidden="false" customHeight="false" outlineLevel="0" collapsed="false">
      <c r="A3146" s="15" t="s">
        <v>19480</v>
      </c>
      <c r="B3146" s="15" t="s">
        <v>19741</v>
      </c>
      <c r="C3146" s="14" t="s">
        <v>19761</v>
      </c>
      <c r="D3146" s="14" t="s">
        <v>19762</v>
      </c>
      <c r="E3146" s="16" t="s">
        <v>19763</v>
      </c>
      <c r="F3146" s="16"/>
      <c r="G3146" s="23" t="s">
        <v>43</v>
      </c>
      <c r="H3146" s="18" t="n">
        <v>1</v>
      </c>
      <c r="I3146" s="20" t="n">
        <v>23</v>
      </c>
      <c r="J3146" s="20" t="n">
        <v>87</v>
      </c>
      <c r="K3146" s="18" t="n">
        <v>1</v>
      </c>
      <c r="L3146" s="18"/>
      <c r="M3146" s="18" t="n">
        <v>15</v>
      </c>
      <c r="N3146" s="18" t="n">
        <v>15</v>
      </c>
      <c r="O3146" s="14" t="s">
        <v>1126</v>
      </c>
      <c r="P3146" s="14" t="s">
        <v>84</v>
      </c>
      <c r="Q3146" s="15" t="s">
        <v>1089</v>
      </c>
      <c r="R3146" s="16" t="s">
        <v>9178</v>
      </c>
      <c r="S3146" s="15" t="s">
        <v>19764</v>
      </c>
      <c r="T3146" s="15" t="s">
        <v>19765</v>
      </c>
      <c r="U3146" s="21" t="s">
        <v>72</v>
      </c>
    </row>
    <row r="3147" customFormat="false" ht="15" hidden="false" customHeight="false" outlineLevel="0" collapsed="false">
      <c r="A3147" s="15" t="s">
        <v>19480</v>
      </c>
      <c r="B3147" s="15" t="s">
        <v>19741</v>
      </c>
      <c r="C3147" s="14" t="s">
        <v>19766</v>
      </c>
      <c r="D3147" s="14" t="s">
        <v>19767</v>
      </c>
      <c r="E3147" s="16" t="s">
        <v>19768</v>
      </c>
      <c r="F3147" s="16" t="s">
        <v>19769</v>
      </c>
      <c r="G3147" s="19" t="s">
        <v>41</v>
      </c>
      <c r="H3147" s="18" t="n">
        <v>5</v>
      </c>
      <c r="I3147" s="20" t="n">
        <v>68.25</v>
      </c>
      <c r="J3147" s="20" t="n">
        <v>153.39</v>
      </c>
      <c r="K3147" s="18" t="n">
        <v>8</v>
      </c>
      <c r="L3147" s="18" t="n">
        <v>6</v>
      </c>
      <c r="M3147" s="18" t="n">
        <v>141</v>
      </c>
      <c r="N3147" s="18" t="n">
        <v>66</v>
      </c>
      <c r="O3147" s="14" t="s">
        <v>1097</v>
      </c>
      <c r="P3147" s="14" t="s">
        <v>118</v>
      </c>
      <c r="Q3147" s="15" t="s">
        <v>1089</v>
      </c>
      <c r="R3147" s="16" t="s">
        <v>6362</v>
      </c>
      <c r="S3147" s="15" t="s">
        <v>19770</v>
      </c>
      <c r="T3147" s="15" t="s">
        <v>19771</v>
      </c>
      <c r="U3147" s="21" t="s">
        <v>72</v>
      </c>
    </row>
    <row r="3148" customFormat="false" ht="39.55" hidden="false" customHeight="false" outlineLevel="0" collapsed="false">
      <c r="A3148" s="15" t="s">
        <v>19480</v>
      </c>
      <c r="B3148" s="15" t="s">
        <v>19772</v>
      </c>
      <c r="C3148" s="14" t="s">
        <v>19773</v>
      </c>
      <c r="D3148" s="14" t="s">
        <v>19774</v>
      </c>
      <c r="E3148" s="16" t="s">
        <v>19775</v>
      </c>
      <c r="F3148" s="16" t="s">
        <v>19776</v>
      </c>
      <c r="G3148" s="25" t="s">
        <v>39</v>
      </c>
      <c r="H3148" s="18" t="n">
        <v>12</v>
      </c>
      <c r="I3148" s="20" t="n">
        <v>593.99</v>
      </c>
      <c r="J3148" s="20" t="n">
        <v>1019.2</v>
      </c>
      <c r="K3148" s="18" t="n">
        <v>20</v>
      </c>
      <c r="L3148" s="18" t="n">
        <v>28</v>
      </c>
      <c r="M3148" s="18" t="n">
        <v>584</v>
      </c>
      <c r="N3148" s="18" t="n">
        <v>105</v>
      </c>
      <c r="O3148" s="14" t="s">
        <v>1097</v>
      </c>
      <c r="P3148" s="14" t="s">
        <v>6233</v>
      </c>
      <c r="Q3148" s="15" t="s">
        <v>1089</v>
      </c>
      <c r="R3148" s="16" t="s">
        <v>17738</v>
      </c>
      <c r="S3148" s="15" t="s">
        <v>19486</v>
      </c>
      <c r="T3148" s="15" t="s">
        <v>19777</v>
      </c>
      <c r="U3148" s="21" t="s">
        <v>72</v>
      </c>
    </row>
    <row r="3149" customFormat="false" ht="15" hidden="false" customHeight="false" outlineLevel="0" collapsed="false">
      <c r="A3149" s="15" t="s">
        <v>19480</v>
      </c>
      <c r="B3149" s="15" t="s">
        <v>19772</v>
      </c>
      <c r="C3149" s="14" t="s">
        <v>19778</v>
      </c>
      <c r="D3149" s="14" t="s">
        <v>19779</v>
      </c>
      <c r="E3149" s="16" t="s">
        <v>19780</v>
      </c>
      <c r="F3149" s="16" t="s">
        <v>19781</v>
      </c>
      <c r="G3149" s="23" t="s">
        <v>43</v>
      </c>
      <c r="H3149" s="18" t="n">
        <v>3</v>
      </c>
      <c r="I3149" s="20" t="n">
        <v>167</v>
      </c>
      <c r="J3149" s="20" t="n">
        <v>190</v>
      </c>
      <c r="K3149" s="18" t="n">
        <v>3</v>
      </c>
      <c r="L3149" s="18" t="n">
        <v>1</v>
      </c>
      <c r="M3149" s="18" t="n">
        <v>60</v>
      </c>
      <c r="N3149" s="18" t="n">
        <v>20</v>
      </c>
      <c r="O3149" s="14" t="s">
        <v>1097</v>
      </c>
      <c r="P3149" s="14" t="s">
        <v>84</v>
      </c>
      <c r="Q3149" s="15" t="s">
        <v>1089</v>
      </c>
      <c r="R3149" s="16" t="s">
        <v>19782</v>
      </c>
      <c r="S3149" s="15" t="s">
        <v>19783</v>
      </c>
      <c r="T3149" s="15" t="s">
        <v>19784</v>
      </c>
      <c r="U3149" s="21" t="s">
        <v>72</v>
      </c>
    </row>
    <row r="3150" customFormat="false" ht="15" hidden="false" customHeight="false" outlineLevel="0" collapsed="false">
      <c r="A3150" s="15" t="s">
        <v>19480</v>
      </c>
      <c r="B3150" s="15" t="s">
        <v>19772</v>
      </c>
      <c r="C3150" s="14" t="s">
        <v>19785</v>
      </c>
      <c r="D3150" s="14" t="s">
        <v>19786</v>
      </c>
      <c r="E3150" s="16" t="s">
        <v>19787</v>
      </c>
      <c r="F3150" s="16" t="s">
        <v>19604</v>
      </c>
      <c r="G3150" s="19" t="s">
        <v>41</v>
      </c>
      <c r="H3150" s="18" t="n">
        <v>7</v>
      </c>
      <c r="I3150" s="20" t="n">
        <v>163</v>
      </c>
      <c r="J3150" s="20" t="n">
        <v>383.29</v>
      </c>
      <c r="K3150" s="18" t="n">
        <v>7</v>
      </c>
      <c r="L3150" s="18" t="n">
        <v>6</v>
      </c>
      <c r="M3150" s="18" t="n">
        <v>76</v>
      </c>
      <c r="N3150" s="18" t="n">
        <v>76</v>
      </c>
      <c r="O3150" s="14" t="s">
        <v>1088</v>
      </c>
      <c r="P3150" s="14" t="s">
        <v>84</v>
      </c>
      <c r="Q3150" s="15" t="s">
        <v>1089</v>
      </c>
      <c r="R3150" s="16" t="s">
        <v>1048</v>
      </c>
      <c r="S3150" s="15" t="s">
        <v>19606</v>
      </c>
      <c r="T3150" s="15" t="s">
        <v>19606</v>
      </c>
      <c r="U3150" s="21" t="s">
        <v>72</v>
      </c>
    </row>
    <row r="3151" customFormat="false" ht="15" hidden="false" customHeight="false" outlineLevel="0" collapsed="false">
      <c r="A3151" s="15" t="s">
        <v>19480</v>
      </c>
      <c r="B3151" s="15" t="s">
        <v>19772</v>
      </c>
      <c r="C3151" s="14" t="s">
        <v>19788</v>
      </c>
      <c r="D3151" s="14" t="s">
        <v>19789</v>
      </c>
      <c r="E3151" s="16" t="s">
        <v>19790</v>
      </c>
      <c r="F3151" s="16" t="s">
        <v>19791</v>
      </c>
      <c r="G3151" s="23" t="s">
        <v>43</v>
      </c>
      <c r="H3151" s="18" t="n">
        <v>2</v>
      </c>
      <c r="I3151" s="20" t="n">
        <v>45.8</v>
      </c>
      <c r="J3151" s="20" t="n">
        <v>174.87</v>
      </c>
      <c r="K3151" s="18" t="n">
        <v>10</v>
      </c>
      <c r="L3151" s="18" t="n">
        <v>1</v>
      </c>
      <c r="M3151" s="18" t="n">
        <v>150</v>
      </c>
      <c r="N3151" s="18" t="n">
        <v>150</v>
      </c>
      <c r="O3151" s="14" t="s">
        <v>1097</v>
      </c>
      <c r="P3151" s="14" t="s">
        <v>84</v>
      </c>
      <c r="Q3151" s="15" t="s">
        <v>1089</v>
      </c>
      <c r="R3151" s="16" t="s">
        <v>18699</v>
      </c>
      <c r="S3151" s="15" t="s">
        <v>19792</v>
      </c>
      <c r="T3151" s="15" t="s">
        <v>19792</v>
      </c>
      <c r="U3151" s="21" t="s">
        <v>72</v>
      </c>
    </row>
    <row r="3152" customFormat="false" ht="15" hidden="false" customHeight="false" outlineLevel="0" collapsed="false">
      <c r="A3152" s="15" t="s">
        <v>19480</v>
      </c>
      <c r="B3152" s="15" t="s">
        <v>19772</v>
      </c>
      <c r="C3152" s="14" t="s">
        <v>19793</v>
      </c>
      <c r="D3152" s="14" t="s">
        <v>19794</v>
      </c>
      <c r="E3152" s="16" t="s">
        <v>19795</v>
      </c>
      <c r="F3152" s="16" t="s">
        <v>19796</v>
      </c>
      <c r="G3152" s="25" t="s">
        <v>39</v>
      </c>
      <c r="H3152" s="18" t="n">
        <v>10</v>
      </c>
      <c r="I3152" s="20" t="n">
        <v>243.45</v>
      </c>
      <c r="J3152" s="20" t="n">
        <v>432.96</v>
      </c>
      <c r="K3152" s="18" t="n">
        <v>28</v>
      </c>
      <c r="L3152" s="18" t="n">
        <v>13</v>
      </c>
      <c r="M3152" s="18" t="n">
        <v>408</v>
      </c>
      <c r="N3152" s="18" t="n">
        <v>150</v>
      </c>
      <c r="O3152" s="14" t="s">
        <v>1097</v>
      </c>
      <c r="P3152" s="14" t="s">
        <v>84</v>
      </c>
      <c r="Q3152" s="15" t="s">
        <v>1089</v>
      </c>
      <c r="R3152" s="16" t="s">
        <v>19797</v>
      </c>
      <c r="S3152" s="15" t="s">
        <v>19798</v>
      </c>
      <c r="T3152" s="15" t="s">
        <v>19799</v>
      </c>
      <c r="U3152" s="21" t="s">
        <v>72</v>
      </c>
    </row>
    <row r="3153" customFormat="false" ht="39.55" hidden="false" customHeight="false" outlineLevel="0" collapsed="false">
      <c r="A3153" s="15" t="s">
        <v>19480</v>
      </c>
      <c r="B3153" s="15" t="s">
        <v>19800</v>
      </c>
      <c r="C3153" s="14" t="s">
        <v>19801</v>
      </c>
      <c r="D3153" s="14" t="s">
        <v>19802</v>
      </c>
      <c r="E3153" s="16" t="s">
        <v>19803</v>
      </c>
      <c r="F3153" s="16" t="s">
        <v>19804</v>
      </c>
      <c r="G3153" s="25" t="s">
        <v>39</v>
      </c>
      <c r="H3153" s="18" t="n">
        <v>12</v>
      </c>
      <c r="I3153" s="20" t="n">
        <v>603.31</v>
      </c>
      <c r="J3153" s="20" t="n">
        <v>826.16</v>
      </c>
      <c r="K3153" s="18" t="n">
        <v>46</v>
      </c>
      <c r="L3153" s="18" t="n">
        <v>49</v>
      </c>
      <c r="M3153" s="18" t="n">
        <v>768</v>
      </c>
      <c r="N3153" s="18" t="n">
        <v>112</v>
      </c>
      <c r="O3153" s="14" t="s">
        <v>1088</v>
      </c>
      <c r="P3153" s="14" t="s">
        <v>19805</v>
      </c>
      <c r="Q3153" s="15" t="s">
        <v>1089</v>
      </c>
      <c r="R3153" s="16" t="s">
        <v>19806</v>
      </c>
      <c r="S3153" s="15" t="s">
        <v>19486</v>
      </c>
      <c r="T3153" s="15" t="s">
        <v>19807</v>
      </c>
      <c r="U3153" s="21" t="s">
        <v>72</v>
      </c>
    </row>
    <row r="3154" customFormat="false" ht="26.85" hidden="false" customHeight="false" outlineLevel="0" collapsed="false">
      <c r="A3154" s="15" t="s">
        <v>19480</v>
      </c>
      <c r="B3154" s="15" t="s">
        <v>19800</v>
      </c>
      <c r="C3154" s="14" t="s">
        <v>19808</v>
      </c>
      <c r="D3154" s="14" t="s">
        <v>19809</v>
      </c>
      <c r="E3154" s="16" t="s">
        <v>19810</v>
      </c>
      <c r="F3154" s="16" t="s">
        <v>19811</v>
      </c>
      <c r="G3154" s="25" t="s">
        <v>39</v>
      </c>
      <c r="H3154" s="18" t="n">
        <v>13</v>
      </c>
      <c r="I3154" s="20" t="n">
        <v>430</v>
      </c>
      <c r="J3154" s="20" t="n">
        <v>552.83</v>
      </c>
      <c r="K3154" s="18" t="n">
        <v>20</v>
      </c>
      <c r="L3154" s="18" t="n">
        <v>7</v>
      </c>
      <c r="M3154" s="18" t="n">
        <v>280</v>
      </c>
      <c r="N3154" s="18" t="n">
        <v>280</v>
      </c>
      <c r="O3154" s="14" t="s">
        <v>1088</v>
      </c>
      <c r="P3154" s="14" t="s">
        <v>84</v>
      </c>
      <c r="Q3154" s="15" t="s">
        <v>1089</v>
      </c>
      <c r="R3154" s="16" t="s">
        <v>19812</v>
      </c>
      <c r="S3154" s="15" t="s">
        <v>19813</v>
      </c>
      <c r="T3154" s="15" t="s">
        <v>19814</v>
      </c>
      <c r="U3154" s="21" t="s">
        <v>72</v>
      </c>
    </row>
    <row r="3155" customFormat="false" ht="26.85" hidden="false" customHeight="false" outlineLevel="0" collapsed="false">
      <c r="A3155" s="15" t="s">
        <v>19480</v>
      </c>
      <c r="B3155" s="15" t="s">
        <v>19800</v>
      </c>
      <c r="C3155" s="14" t="s">
        <v>19815</v>
      </c>
      <c r="D3155" s="14" t="s">
        <v>19816</v>
      </c>
      <c r="E3155" s="16" t="s">
        <v>19817</v>
      </c>
      <c r="F3155" s="16" t="s">
        <v>19818</v>
      </c>
      <c r="G3155" s="23" t="s">
        <v>43</v>
      </c>
      <c r="H3155" s="18" t="n">
        <v>2</v>
      </c>
      <c r="I3155" s="20" t="n">
        <v>32</v>
      </c>
      <c r="J3155" s="20" t="n">
        <v>102.41</v>
      </c>
      <c r="K3155" s="18" t="n">
        <v>8</v>
      </c>
      <c r="L3155" s="18" t="n">
        <v>2</v>
      </c>
      <c r="M3155" s="18" t="n">
        <v>58</v>
      </c>
      <c r="N3155" s="18" t="n">
        <v>24</v>
      </c>
      <c r="O3155" s="14" t="s">
        <v>19819</v>
      </c>
      <c r="P3155" s="14" t="s">
        <v>352</v>
      </c>
      <c r="Q3155" s="15" t="s">
        <v>1089</v>
      </c>
      <c r="R3155" s="16" t="s">
        <v>802</v>
      </c>
      <c r="S3155" s="15" t="s">
        <v>19820</v>
      </c>
      <c r="T3155" s="15" t="s">
        <v>19821</v>
      </c>
      <c r="U3155" s="21" t="s">
        <v>72</v>
      </c>
    </row>
    <row r="3156" customFormat="false" ht="15" hidden="false" customHeight="false" outlineLevel="0" collapsed="false">
      <c r="A3156" s="15" t="s">
        <v>19480</v>
      </c>
      <c r="B3156" s="15" t="s">
        <v>19800</v>
      </c>
      <c r="C3156" s="14" t="s">
        <v>19822</v>
      </c>
      <c r="D3156" s="14" t="s">
        <v>19823</v>
      </c>
      <c r="E3156" s="16" t="s">
        <v>19824</v>
      </c>
      <c r="F3156" s="16" t="s">
        <v>19825</v>
      </c>
      <c r="G3156" s="23" t="s">
        <v>43</v>
      </c>
      <c r="H3156" s="18" t="n">
        <v>2</v>
      </c>
      <c r="I3156" s="20" t="n">
        <v>42.9</v>
      </c>
      <c r="J3156" s="20" t="n">
        <v>88.3</v>
      </c>
      <c r="K3156" s="18" t="n">
        <v>11</v>
      </c>
      <c r="L3156" s="18" t="n">
        <v>1</v>
      </c>
      <c r="M3156" s="18" t="n">
        <v>172</v>
      </c>
      <c r="N3156" s="18" t="n">
        <v>70</v>
      </c>
      <c r="O3156" s="14" t="s">
        <v>9118</v>
      </c>
      <c r="P3156" s="14" t="s">
        <v>118</v>
      </c>
      <c r="Q3156" s="15" t="s">
        <v>1089</v>
      </c>
      <c r="R3156" s="16" t="s">
        <v>19826</v>
      </c>
      <c r="S3156" s="15" t="s">
        <v>19827</v>
      </c>
      <c r="T3156" s="15" t="s">
        <v>19827</v>
      </c>
      <c r="U3156" s="21" t="s">
        <v>72</v>
      </c>
    </row>
    <row r="3157" customFormat="false" ht="26.85" hidden="false" customHeight="false" outlineLevel="0" collapsed="false">
      <c r="A3157" s="15" t="s">
        <v>19480</v>
      </c>
      <c r="B3157" s="15" t="s">
        <v>19800</v>
      </c>
      <c r="C3157" s="14" t="s">
        <v>19828</v>
      </c>
      <c r="D3157" s="14" t="s">
        <v>19829</v>
      </c>
      <c r="E3157" s="16" t="s">
        <v>19830</v>
      </c>
      <c r="F3157" s="16" t="s">
        <v>19831</v>
      </c>
      <c r="G3157" s="23" t="s">
        <v>43</v>
      </c>
      <c r="H3157" s="18" t="n">
        <v>4</v>
      </c>
      <c r="I3157" s="20" t="n">
        <v>84</v>
      </c>
      <c r="J3157" s="20" t="n">
        <v>123.48</v>
      </c>
      <c r="K3157" s="18" t="n">
        <v>5</v>
      </c>
      <c r="L3157" s="18" t="n">
        <v>2</v>
      </c>
      <c r="M3157" s="18" t="n">
        <v>57</v>
      </c>
      <c r="N3157" s="18" t="n">
        <v>8</v>
      </c>
      <c r="O3157" s="14" t="s">
        <v>1097</v>
      </c>
      <c r="P3157" s="14" t="s">
        <v>352</v>
      </c>
      <c r="Q3157" s="15" t="s">
        <v>1089</v>
      </c>
      <c r="R3157" s="16" t="s">
        <v>9263</v>
      </c>
      <c r="S3157" s="15" t="s">
        <v>19832</v>
      </c>
      <c r="T3157" s="15" t="s">
        <v>19833</v>
      </c>
      <c r="U3157" s="21" t="s">
        <v>72</v>
      </c>
    </row>
    <row r="3158" customFormat="false" ht="15" hidden="false" customHeight="false" outlineLevel="0" collapsed="false">
      <c r="A3158" s="15" t="s">
        <v>19480</v>
      </c>
      <c r="B3158" s="15" t="s">
        <v>19800</v>
      </c>
      <c r="C3158" s="14" t="s">
        <v>19834</v>
      </c>
      <c r="D3158" s="14" t="s">
        <v>19835</v>
      </c>
      <c r="E3158" s="16" t="s">
        <v>19836</v>
      </c>
      <c r="F3158" s="16" t="s">
        <v>19837</v>
      </c>
      <c r="G3158" s="25" t="s">
        <v>39</v>
      </c>
      <c r="H3158" s="18" t="n">
        <v>9</v>
      </c>
      <c r="I3158" s="20" t="n">
        <v>237.13</v>
      </c>
      <c r="J3158" s="20" t="n">
        <v>496.41</v>
      </c>
      <c r="K3158" s="18" t="n">
        <v>14</v>
      </c>
      <c r="L3158" s="18" t="n">
        <v>9</v>
      </c>
      <c r="M3158" s="18" t="n">
        <v>235</v>
      </c>
      <c r="N3158" s="18" t="n">
        <v>171</v>
      </c>
      <c r="O3158" s="14" t="s">
        <v>1097</v>
      </c>
      <c r="P3158" s="14" t="s">
        <v>118</v>
      </c>
      <c r="Q3158" s="15" t="s">
        <v>1089</v>
      </c>
      <c r="R3158" s="16" t="s">
        <v>19838</v>
      </c>
      <c r="S3158" s="15" t="s">
        <v>19839</v>
      </c>
      <c r="T3158" s="15" t="s">
        <v>19840</v>
      </c>
      <c r="U3158" s="21" t="s">
        <v>72</v>
      </c>
    </row>
    <row r="3159" customFormat="false" ht="15" hidden="false" customHeight="false" outlineLevel="0" collapsed="false">
      <c r="A3159" s="15" t="s">
        <v>19480</v>
      </c>
      <c r="B3159" s="15" t="s">
        <v>19800</v>
      </c>
      <c r="C3159" s="14" t="s">
        <v>19841</v>
      </c>
      <c r="D3159" s="14" t="s">
        <v>19842</v>
      </c>
      <c r="E3159" s="16" t="s">
        <v>19843</v>
      </c>
      <c r="F3159" s="16" t="s">
        <v>19844</v>
      </c>
      <c r="G3159" s="23" t="s">
        <v>43</v>
      </c>
      <c r="H3159" s="18" t="n">
        <v>2</v>
      </c>
      <c r="I3159" s="20" t="n">
        <v>30.939</v>
      </c>
      <c r="J3159" s="20" t="n">
        <v>83.05</v>
      </c>
      <c r="K3159" s="18" t="n">
        <v>2</v>
      </c>
      <c r="L3159" s="18"/>
      <c r="M3159" s="18" t="n">
        <v>15</v>
      </c>
      <c r="N3159" s="18" t="n">
        <v>15</v>
      </c>
      <c r="O3159" s="14" t="s">
        <v>1126</v>
      </c>
      <c r="P3159" s="14" t="s">
        <v>84</v>
      </c>
      <c r="Q3159" s="15" t="s">
        <v>1089</v>
      </c>
      <c r="R3159" s="16" t="s">
        <v>19845</v>
      </c>
      <c r="S3159" s="15" t="s">
        <v>19846</v>
      </c>
      <c r="T3159" s="15" t="s">
        <v>19846</v>
      </c>
      <c r="U3159" s="21" t="s">
        <v>72</v>
      </c>
    </row>
    <row r="3160" customFormat="false" ht="15" hidden="false" customHeight="false" outlineLevel="0" collapsed="false">
      <c r="A3160" s="15" t="s">
        <v>19480</v>
      </c>
      <c r="B3160" s="15" t="s">
        <v>19800</v>
      </c>
      <c r="C3160" s="14" t="s">
        <v>19847</v>
      </c>
      <c r="D3160" s="14" t="s">
        <v>19848</v>
      </c>
      <c r="E3160" s="16" t="s">
        <v>19849</v>
      </c>
      <c r="F3160" s="16" t="s">
        <v>19850</v>
      </c>
      <c r="G3160" s="23" t="s">
        <v>43</v>
      </c>
      <c r="H3160" s="18" t="n">
        <v>3</v>
      </c>
      <c r="I3160" s="20" t="n">
        <v>35.53</v>
      </c>
      <c r="J3160" s="20" t="n">
        <v>90.15</v>
      </c>
      <c r="K3160" s="18" t="n">
        <v>4</v>
      </c>
      <c r="L3160" s="18" t="n">
        <v>2</v>
      </c>
      <c r="M3160" s="18" t="n">
        <v>35</v>
      </c>
      <c r="N3160" s="18" t="n">
        <v>35</v>
      </c>
      <c r="O3160" s="14" t="s">
        <v>1097</v>
      </c>
      <c r="P3160" s="14" t="s">
        <v>84</v>
      </c>
      <c r="Q3160" s="15" t="s">
        <v>1089</v>
      </c>
      <c r="R3160" s="16" t="s">
        <v>19851</v>
      </c>
      <c r="S3160" s="15" t="s">
        <v>19852</v>
      </c>
      <c r="T3160" s="15" t="s">
        <v>19852</v>
      </c>
      <c r="U3160" s="21" t="s">
        <v>72</v>
      </c>
    </row>
    <row r="3161" customFormat="false" ht="15" hidden="false" customHeight="false" outlineLevel="0" collapsed="false">
      <c r="A3161" s="15" t="s">
        <v>19480</v>
      </c>
      <c r="B3161" s="15" t="s">
        <v>19800</v>
      </c>
      <c r="C3161" s="14" t="s">
        <v>19853</v>
      </c>
      <c r="D3161" s="14" t="s">
        <v>19854</v>
      </c>
      <c r="E3161" s="16" t="s">
        <v>19855</v>
      </c>
      <c r="F3161" s="16" t="s">
        <v>19856</v>
      </c>
      <c r="G3161" s="19" t="s">
        <v>41</v>
      </c>
      <c r="H3161" s="18" t="n">
        <v>4</v>
      </c>
      <c r="I3161" s="20" t="n">
        <v>91.03</v>
      </c>
      <c r="J3161" s="20" t="n">
        <v>276.92</v>
      </c>
      <c r="K3161" s="18" t="n">
        <v>6</v>
      </c>
      <c r="L3161" s="18" t="n">
        <v>4</v>
      </c>
      <c r="M3161" s="18" t="n">
        <v>56</v>
      </c>
      <c r="N3161" s="18" t="n">
        <v>56</v>
      </c>
      <c r="O3161" s="14" t="s">
        <v>1097</v>
      </c>
      <c r="P3161" s="14" t="s">
        <v>84</v>
      </c>
      <c r="Q3161" s="15" t="s">
        <v>1089</v>
      </c>
      <c r="R3161" s="16" t="s">
        <v>19857</v>
      </c>
      <c r="S3161" s="15" t="s">
        <v>19858</v>
      </c>
      <c r="T3161" s="15" t="s">
        <v>19858</v>
      </c>
      <c r="U3161" s="21" t="s">
        <v>72</v>
      </c>
    </row>
    <row r="3162" customFormat="false" ht="26.85" hidden="false" customHeight="false" outlineLevel="0" collapsed="false">
      <c r="A3162" s="15" t="s">
        <v>19480</v>
      </c>
      <c r="B3162" s="15" t="s">
        <v>19800</v>
      </c>
      <c r="C3162" s="14" t="s">
        <v>19859</v>
      </c>
      <c r="D3162" s="14" t="s">
        <v>19860</v>
      </c>
      <c r="E3162" s="16" t="s">
        <v>19861</v>
      </c>
      <c r="F3162" s="16" t="s">
        <v>19862</v>
      </c>
      <c r="G3162" s="19" t="s">
        <v>41</v>
      </c>
      <c r="H3162" s="18" t="n">
        <v>5</v>
      </c>
      <c r="I3162" s="20" t="n">
        <v>178.6</v>
      </c>
      <c r="J3162" s="20" t="n">
        <v>244.4</v>
      </c>
      <c r="K3162" s="18" t="n">
        <v>9</v>
      </c>
      <c r="L3162" s="18" t="n">
        <v>7</v>
      </c>
      <c r="M3162" s="18" t="n">
        <v>162</v>
      </c>
      <c r="N3162" s="18" t="n">
        <v>102</v>
      </c>
      <c r="O3162" s="14" t="s">
        <v>1088</v>
      </c>
      <c r="P3162" s="14" t="s">
        <v>872</v>
      </c>
      <c r="Q3162" s="15" t="s">
        <v>1089</v>
      </c>
      <c r="R3162" s="16" t="s">
        <v>16351</v>
      </c>
      <c r="S3162" s="15" t="s">
        <v>19863</v>
      </c>
      <c r="T3162" s="15" t="s">
        <v>19864</v>
      </c>
      <c r="U3162" s="21" t="s">
        <v>72</v>
      </c>
    </row>
    <row r="3163" customFormat="false" ht="26.85" hidden="false" customHeight="false" outlineLevel="0" collapsed="false">
      <c r="A3163" s="15" t="s">
        <v>19480</v>
      </c>
      <c r="B3163" s="15" t="s">
        <v>19800</v>
      </c>
      <c r="C3163" s="14" t="s">
        <v>19865</v>
      </c>
      <c r="D3163" s="14" t="s">
        <v>19866</v>
      </c>
      <c r="E3163" s="16" t="s">
        <v>19867</v>
      </c>
      <c r="F3163" s="16" t="s">
        <v>19868</v>
      </c>
      <c r="G3163" s="23" t="s">
        <v>43</v>
      </c>
      <c r="H3163" s="18" t="n">
        <v>3</v>
      </c>
      <c r="I3163" s="20" t="n">
        <v>73.5</v>
      </c>
      <c r="J3163" s="20" t="n">
        <v>163.08</v>
      </c>
      <c r="K3163" s="18" t="n">
        <v>14</v>
      </c>
      <c r="L3163" s="18" t="n">
        <v>1</v>
      </c>
      <c r="M3163" s="18" t="n">
        <v>143</v>
      </c>
      <c r="N3163" s="18" t="n">
        <v>31</v>
      </c>
      <c r="O3163" s="14" t="s">
        <v>1097</v>
      </c>
      <c r="P3163" s="14" t="s">
        <v>352</v>
      </c>
      <c r="Q3163" s="15" t="s">
        <v>1089</v>
      </c>
      <c r="R3163" s="16" t="s">
        <v>19869</v>
      </c>
      <c r="S3163" s="15" t="s">
        <v>19870</v>
      </c>
      <c r="T3163" s="15" t="s">
        <v>19871</v>
      </c>
      <c r="U3163" s="21" t="s">
        <v>72</v>
      </c>
    </row>
    <row r="3164" customFormat="false" ht="26.85" hidden="false" customHeight="false" outlineLevel="0" collapsed="false">
      <c r="A3164" s="15" t="s">
        <v>19480</v>
      </c>
      <c r="B3164" s="15" t="s">
        <v>19872</v>
      </c>
      <c r="C3164" s="14" t="s">
        <v>19873</v>
      </c>
      <c r="D3164" s="14" t="s">
        <v>19874</v>
      </c>
      <c r="E3164" s="16" t="s">
        <v>19875</v>
      </c>
      <c r="F3164" s="16" t="s">
        <v>19876</v>
      </c>
      <c r="G3164" s="25" t="s">
        <v>39</v>
      </c>
      <c r="H3164" s="18" t="n">
        <v>1</v>
      </c>
      <c r="I3164" s="20" t="n">
        <v>107.19</v>
      </c>
      <c r="J3164" s="20" t="n">
        <v>438.07</v>
      </c>
      <c r="K3164" s="18" t="n">
        <v>2</v>
      </c>
      <c r="L3164" s="18" t="n">
        <v>3</v>
      </c>
      <c r="M3164" s="18" t="n">
        <v>80</v>
      </c>
      <c r="N3164" s="18" t="n">
        <v>40</v>
      </c>
      <c r="O3164" s="14" t="s">
        <v>1097</v>
      </c>
      <c r="P3164" s="14" t="s">
        <v>1185</v>
      </c>
      <c r="Q3164" s="15" t="s">
        <v>1089</v>
      </c>
      <c r="R3164" s="16" t="s">
        <v>14625</v>
      </c>
      <c r="S3164" s="15" t="s">
        <v>19877</v>
      </c>
      <c r="T3164" s="15" t="s">
        <v>19878</v>
      </c>
      <c r="U3164" s="21" t="s">
        <v>72</v>
      </c>
    </row>
    <row r="3165" customFormat="false" ht="15" hidden="false" customHeight="false" outlineLevel="0" collapsed="false">
      <c r="A3165" s="15" t="s">
        <v>19480</v>
      </c>
      <c r="B3165" s="15" t="s">
        <v>19872</v>
      </c>
      <c r="C3165" s="14" t="s">
        <v>19879</v>
      </c>
      <c r="D3165" s="14" t="s">
        <v>19880</v>
      </c>
      <c r="E3165" s="16" t="s">
        <v>19881</v>
      </c>
      <c r="F3165" s="16" t="s">
        <v>19882</v>
      </c>
      <c r="G3165" s="23" t="s">
        <v>43</v>
      </c>
      <c r="H3165" s="18" t="n">
        <v>2</v>
      </c>
      <c r="I3165" s="20" t="n">
        <v>75.01</v>
      </c>
      <c r="J3165" s="20" t="n">
        <v>82</v>
      </c>
      <c r="K3165" s="18" t="n">
        <v>14</v>
      </c>
      <c r="L3165" s="18" t="n">
        <v>3</v>
      </c>
      <c r="M3165" s="18" t="n">
        <v>168</v>
      </c>
      <c r="N3165" s="18" t="n">
        <v>24</v>
      </c>
      <c r="O3165" s="14" t="s">
        <v>9118</v>
      </c>
      <c r="P3165" s="14" t="s">
        <v>84</v>
      </c>
      <c r="Q3165" s="15" t="s">
        <v>1089</v>
      </c>
      <c r="R3165" s="16" t="s">
        <v>19883</v>
      </c>
      <c r="S3165" s="15" t="s">
        <v>19884</v>
      </c>
      <c r="T3165" s="15" t="s">
        <v>19885</v>
      </c>
      <c r="U3165" s="21" t="s">
        <v>72</v>
      </c>
    </row>
    <row r="3166" customFormat="false" ht="15" hidden="false" customHeight="false" outlineLevel="0" collapsed="false">
      <c r="A3166" s="15" t="s">
        <v>19480</v>
      </c>
      <c r="B3166" s="15" t="s">
        <v>19872</v>
      </c>
      <c r="C3166" s="14" t="s">
        <v>19886</v>
      </c>
      <c r="D3166" s="14" t="s">
        <v>19887</v>
      </c>
      <c r="E3166" s="16" t="s">
        <v>19888</v>
      </c>
      <c r="F3166" s="16" t="s">
        <v>19497</v>
      </c>
      <c r="G3166" s="19" t="s">
        <v>41</v>
      </c>
      <c r="H3166" s="18" t="n">
        <v>6</v>
      </c>
      <c r="I3166" s="20" t="n">
        <v>100.24</v>
      </c>
      <c r="J3166" s="20" t="n">
        <v>243.84</v>
      </c>
      <c r="K3166" s="18" t="n">
        <v>13</v>
      </c>
      <c r="L3166" s="18"/>
      <c r="M3166" s="18" t="n">
        <v>193</v>
      </c>
      <c r="N3166" s="18" t="n">
        <v>57</v>
      </c>
      <c r="O3166" s="14" t="s">
        <v>1097</v>
      </c>
      <c r="P3166" s="14" t="s">
        <v>118</v>
      </c>
      <c r="Q3166" s="15" t="s">
        <v>1089</v>
      </c>
      <c r="R3166" s="16" t="s">
        <v>19889</v>
      </c>
      <c r="S3166" s="15" t="s">
        <v>19890</v>
      </c>
      <c r="T3166" s="15" t="s">
        <v>19891</v>
      </c>
      <c r="U3166" s="21" t="s">
        <v>72</v>
      </c>
    </row>
    <row r="3167" customFormat="false" ht="15" hidden="false" customHeight="false" outlineLevel="0" collapsed="false">
      <c r="A3167" s="15" t="s">
        <v>19480</v>
      </c>
      <c r="B3167" s="15" t="s">
        <v>19872</v>
      </c>
      <c r="C3167" s="14" t="s">
        <v>19892</v>
      </c>
      <c r="D3167" s="14" t="s">
        <v>19893</v>
      </c>
      <c r="E3167" s="16" t="s">
        <v>19894</v>
      </c>
      <c r="F3167" s="16" t="s">
        <v>19895</v>
      </c>
      <c r="G3167" s="25" t="s">
        <v>39</v>
      </c>
      <c r="H3167" s="18" t="n">
        <v>10</v>
      </c>
      <c r="I3167" s="20" t="n">
        <v>233.12</v>
      </c>
      <c r="J3167" s="20" t="n">
        <v>379.57</v>
      </c>
      <c r="K3167" s="18" t="n">
        <v>16</v>
      </c>
      <c r="L3167" s="18"/>
      <c r="M3167" s="18" t="n">
        <v>354</v>
      </c>
      <c r="N3167" s="18" t="n">
        <v>230</v>
      </c>
      <c r="O3167" s="14" t="s">
        <v>1097</v>
      </c>
      <c r="P3167" s="14" t="s">
        <v>118</v>
      </c>
      <c r="Q3167" s="15" t="s">
        <v>1089</v>
      </c>
      <c r="R3167" s="16" t="s">
        <v>19896</v>
      </c>
      <c r="S3167" s="15" t="s">
        <v>19897</v>
      </c>
      <c r="T3167" s="15" t="s">
        <v>19898</v>
      </c>
      <c r="U3167" s="21" t="s">
        <v>72</v>
      </c>
    </row>
    <row r="3168" customFormat="false" ht="15" hidden="false" customHeight="false" outlineLevel="0" collapsed="false">
      <c r="A3168" s="15" t="s">
        <v>19480</v>
      </c>
      <c r="B3168" s="15" t="s">
        <v>19899</v>
      </c>
      <c r="C3168" s="14" t="s">
        <v>19900</v>
      </c>
      <c r="D3168" s="14" t="s">
        <v>19901</v>
      </c>
      <c r="E3168" s="16" t="s">
        <v>19902</v>
      </c>
      <c r="F3168" s="16" t="s">
        <v>19903</v>
      </c>
      <c r="G3168" s="23" t="s">
        <v>43</v>
      </c>
      <c r="H3168" s="18" t="n">
        <v>2</v>
      </c>
      <c r="I3168" s="20" t="n">
        <v>59.64</v>
      </c>
      <c r="J3168" s="20" t="n">
        <v>136.87</v>
      </c>
      <c r="K3168" s="18" t="n">
        <v>10</v>
      </c>
      <c r="L3168" s="18" t="n">
        <v>4</v>
      </c>
      <c r="M3168" s="18" t="n">
        <v>120</v>
      </c>
      <c r="N3168" s="18" t="n">
        <v>24</v>
      </c>
      <c r="O3168" s="14" t="s">
        <v>1088</v>
      </c>
      <c r="P3168" s="14" t="s">
        <v>84</v>
      </c>
      <c r="Q3168" s="15" t="s">
        <v>1089</v>
      </c>
      <c r="R3168" s="16" t="s">
        <v>19904</v>
      </c>
      <c r="S3168" s="15" t="s">
        <v>19905</v>
      </c>
      <c r="T3168" s="15" t="s">
        <v>19905</v>
      </c>
      <c r="U3168" s="21" t="s">
        <v>72</v>
      </c>
    </row>
    <row r="3169" customFormat="false" ht="15" hidden="false" customHeight="false" outlineLevel="0" collapsed="false">
      <c r="A3169" s="15" t="s">
        <v>19480</v>
      </c>
      <c r="B3169" s="15" t="s">
        <v>19899</v>
      </c>
      <c r="C3169" s="14" t="s">
        <v>19906</v>
      </c>
      <c r="D3169" s="14" t="s">
        <v>19907</v>
      </c>
      <c r="E3169" s="16" t="s">
        <v>19908</v>
      </c>
      <c r="F3169" s="16" t="s">
        <v>19909</v>
      </c>
      <c r="G3169" s="23" t="s">
        <v>43</v>
      </c>
      <c r="H3169" s="18" t="n">
        <v>2</v>
      </c>
      <c r="I3169" s="20" t="n">
        <v>54.7</v>
      </c>
      <c r="J3169" s="20" t="n">
        <v>92.23</v>
      </c>
      <c r="K3169" s="18" t="n">
        <v>1</v>
      </c>
      <c r="L3169" s="18" t="n">
        <v>1</v>
      </c>
      <c r="M3169" s="18" t="n">
        <v>10</v>
      </c>
      <c r="N3169" s="18" t="n">
        <v>10</v>
      </c>
      <c r="O3169" s="14" t="s">
        <v>1088</v>
      </c>
      <c r="P3169" s="14" t="s">
        <v>84</v>
      </c>
      <c r="Q3169" s="15" t="s">
        <v>1089</v>
      </c>
      <c r="R3169" s="16" t="s">
        <v>12887</v>
      </c>
      <c r="S3169" s="15" t="s">
        <v>19910</v>
      </c>
      <c r="T3169" s="15" t="s">
        <v>19910</v>
      </c>
      <c r="U3169" s="21" t="s">
        <v>72</v>
      </c>
    </row>
    <row r="3170" customFormat="false" ht="15" hidden="false" customHeight="false" outlineLevel="0" collapsed="false">
      <c r="A3170" s="15" t="s">
        <v>19480</v>
      </c>
      <c r="B3170" s="15" t="s">
        <v>19911</v>
      </c>
      <c r="C3170" s="14" t="s">
        <v>19912</v>
      </c>
      <c r="D3170" s="14" t="s">
        <v>19913</v>
      </c>
      <c r="E3170" s="16" t="s">
        <v>19914</v>
      </c>
      <c r="F3170" s="16" t="s">
        <v>19915</v>
      </c>
      <c r="G3170" s="23" t="s">
        <v>43</v>
      </c>
      <c r="H3170" s="18" t="n">
        <v>1</v>
      </c>
      <c r="I3170" s="20" t="n">
        <v>93.81</v>
      </c>
      <c r="J3170" s="20" t="n">
        <v>167</v>
      </c>
      <c r="K3170" s="18" t="n">
        <v>2</v>
      </c>
      <c r="L3170" s="18" t="n">
        <v>2</v>
      </c>
      <c r="M3170" s="18" t="n">
        <v>40</v>
      </c>
      <c r="N3170" s="18"/>
      <c r="O3170" s="13"/>
      <c r="P3170" s="14" t="s">
        <v>84</v>
      </c>
      <c r="Q3170" s="15" t="s">
        <v>1089</v>
      </c>
      <c r="R3170" s="16" t="s">
        <v>19916</v>
      </c>
      <c r="S3170" s="15" t="s">
        <v>19917</v>
      </c>
      <c r="T3170" s="15" t="s">
        <v>19917</v>
      </c>
      <c r="U3170" s="21" t="s">
        <v>72</v>
      </c>
    </row>
    <row r="3171" customFormat="false" ht="15" hidden="false" customHeight="false" outlineLevel="0" collapsed="false">
      <c r="A3171" s="15" t="s">
        <v>19480</v>
      </c>
      <c r="B3171" s="15" t="s">
        <v>19918</v>
      </c>
      <c r="C3171" s="14" t="s">
        <v>19919</v>
      </c>
      <c r="D3171" s="14" t="s">
        <v>19920</v>
      </c>
      <c r="E3171" s="16" t="s">
        <v>19921</v>
      </c>
      <c r="F3171" s="16" t="s">
        <v>19497</v>
      </c>
      <c r="G3171" s="23" t="s">
        <v>43</v>
      </c>
      <c r="H3171" s="18" t="n">
        <v>2</v>
      </c>
      <c r="I3171" s="20" t="n">
        <v>52.08</v>
      </c>
      <c r="J3171" s="20" t="n">
        <v>123.52</v>
      </c>
      <c r="K3171" s="18" t="n">
        <v>7</v>
      </c>
      <c r="L3171" s="18" t="n">
        <v>3</v>
      </c>
      <c r="M3171" s="18" t="n">
        <v>110</v>
      </c>
      <c r="N3171" s="18" t="n">
        <v>80</v>
      </c>
      <c r="O3171" s="14" t="s">
        <v>19922</v>
      </c>
      <c r="P3171" s="14" t="s">
        <v>118</v>
      </c>
      <c r="Q3171" s="15" t="s">
        <v>1089</v>
      </c>
      <c r="R3171" s="16" t="s">
        <v>19923</v>
      </c>
      <c r="S3171" s="15" t="s">
        <v>19924</v>
      </c>
      <c r="T3171" s="15" t="s">
        <v>19924</v>
      </c>
      <c r="U3171" s="21" t="s">
        <v>72</v>
      </c>
    </row>
    <row r="3172" customFormat="false" ht="15" hidden="false" customHeight="false" outlineLevel="0" collapsed="false">
      <c r="A3172" s="15" t="s">
        <v>19480</v>
      </c>
      <c r="B3172" s="15" t="s">
        <v>19918</v>
      </c>
      <c r="C3172" s="14" t="s">
        <v>19925</v>
      </c>
      <c r="D3172" s="14" t="s">
        <v>19926</v>
      </c>
      <c r="E3172" s="16" t="s">
        <v>19927</v>
      </c>
      <c r="F3172" s="16"/>
      <c r="G3172" s="19" t="s">
        <v>41</v>
      </c>
      <c r="H3172" s="18" t="n">
        <v>5</v>
      </c>
      <c r="I3172" s="20" t="n">
        <v>86</v>
      </c>
      <c r="J3172" s="20" t="n">
        <v>175.59</v>
      </c>
      <c r="K3172" s="18" t="n">
        <v>8</v>
      </c>
      <c r="L3172" s="18" t="n">
        <v>3</v>
      </c>
      <c r="M3172" s="18" t="n">
        <v>88</v>
      </c>
      <c r="N3172" s="18" t="n">
        <v>88</v>
      </c>
      <c r="O3172" s="14" t="s">
        <v>1088</v>
      </c>
      <c r="P3172" s="14" t="s">
        <v>84</v>
      </c>
      <c r="Q3172" s="15" t="s">
        <v>1089</v>
      </c>
      <c r="R3172" s="16" t="s">
        <v>19812</v>
      </c>
      <c r="S3172" s="15" t="s">
        <v>19928</v>
      </c>
      <c r="T3172" s="15" t="s">
        <v>19928</v>
      </c>
      <c r="U3172" s="21" t="s">
        <v>72</v>
      </c>
    </row>
    <row r="3173" customFormat="false" ht="15" hidden="false" customHeight="false" outlineLevel="0" collapsed="false">
      <c r="A3173" s="15" t="s">
        <v>19480</v>
      </c>
      <c r="B3173" s="15" t="s">
        <v>19918</v>
      </c>
      <c r="C3173" s="14" t="s">
        <v>19929</v>
      </c>
      <c r="D3173" s="14" t="s">
        <v>19930</v>
      </c>
      <c r="E3173" s="16" t="s">
        <v>19931</v>
      </c>
      <c r="F3173" s="16" t="s">
        <v>19932</v>
      </c>
      <c r="G3173" s="23" t="s">
        <v>43</v>
      </c>
      <c r="H3173" s="18" t="n">
        <v>3</v>
      </c>
      <c r="I3173" s="20" t="n">
        <v>69.9</v>
      </c>
      <c r="J3173" s="20" t="n">
        <v>147.98</v>
      </c>
      <c r="K3173" s="18" t="n">
        <v>12</v>
      </c>
      <c r="L3173" s="18" t="n">
        <v>2</v>
      </c>
      <c r="M3173" s="18" t="n">
        <v>110</v>
      </c>
      <c r="N3173" s="18" t="n">
        <v>32</v>
      </c>
      <c r="O3173" s="14" t="s">
        <v>1097</v>
      </c>
      <c r="P3173" s="14" t="s">
        <v>84</v>
      </c>
      <c r="Q3173" s="15" t="s">
        <v>1089</v>
      </c>
      <c r="R3173" s="16" t="s">
        <v>19933</v>
      </c>
      <c r="S3173" s="15" t="s">
        <v>19934</v>
      </c>
      <c r="T3173" s="15" t="s">
        <v>19934</v>
      </c>
      <c r="U3173" s="21" t="s">
        <v>72</v>
      </c>
    </row>
    <row r="3174" customFormat="false" ht="15" hidden="false" customHeight="false" outlineLevel="0" collapsed="false">
      <c r="A3174" s="15" t="s">
        <v>19480</v>
      </c>
      <c r="B3174" s="15" t="s">
        <v>19918</v>
      </c>
      <c r="C3174" s="14" t="s">
        <v>19935</v>
      </c>
      <c r="D3174" s="14" t="s">
        <v>19936</v>
      </c>
      <c r="E3174" s="16" t="s">
        <v>19937</v>
      </c>
      <c r="F3174" s="16" t="s">
        <v>19938</v>
      </c>
      <c r="G3174" s="25" t="s">
        <v>39</v>
      </c>
      <c r="H3174" s="18" t="n">
        <v>14</v>
      </c>
      <c r="I3174" s="20" t="n">
        <v>287.48</v>
      </c>
      <c r="J3174" s="20" t="n">
        <v>673.27</v>
      </c>
      <c r="K3174" s="18" t="n">
        <v>19</v>
      </c>
      <c r="L3174" s="18" t="n">
        <v>11</v>
      </c>
      <c r="M3174" s="18" t="n">
        <v>190</v>
      </c>
      <c r="N3174" s="18" t="n">
        <v>190</v>
      </c>
      <c r="O3174" s="14" t="s">
        <v>1097</v>
      </c>
      <c r="P3174" s="14" t="s">
        <v>84</v>
      </c>
      <c r="Q3174" s="15" t="s">
        <v>1089</v>
      </c>
      <c r="R3174" s="16" t="s">
        <v>19939</v>
      </c>
      <c r="S3174" s="15" t="s">
        <v>19940</v>
      </c>
      <c r="T3174" s="15" t="s">
        <v>19941</v>
      </c>
      <c r="U3174" s="21" t="s">
        <v>72</v>
      </c>
    </row>
    <row r="3175" customFormat="false" ht="15" hidden="false" customHeight="false" outlineLevel="0" collapsed="false">
      <c r="A3175" s="15" t="s">
        <v>19480</v>
      </c>
      <c r="B3175" s="15" t="s">
        <v>19918</v>
      </c>
      <c r="C3175" s="14" t="s">
        <v>19942</v>
      </c>
      <c r="D3175" s="14" t="s">
        <v>19943</v>
      </c>
      <c r="E3175" s="16" t="s">
        <v>19944</v>
      </c>
      <c r="F3175" s="16" t="s">
        <v>19945</v>
      </c>
      <c r="G3175" s="23" t="s">
        <v>43</v>
      </c>
      <c r="H3175" s="18" t="n">
        <v>1</v>
      </c>
      <c r="I3175" s="20" t="n">
        <v>32.56</v>
      </c>
      <c r="J3175" s="20" t="n">
        <v>110.46</v>
      </c>
      <c r="K3175" s="18" t="n">
        <v>6</v>
      </c>
      <c r="L3175" s="18" t="n">
        <v>2</v>
      </c>
      <c r="M3175" s="18" t="n">
        <v>96</v>
      </c>
      <c r="N3175" s="18" t="n">
        <v>32</v>
      </c>
      <c r="O3175" s="14" t="s">
        <v>1097</v>
      </c>
      <c r="P3175" s="14" t="s">
        <v>118</v>
      </c>
      <c r="Q3175" s="15" t="s">
        <v>1089</v>
      </c>
      <c r="R3175" s="16" t="s">
        <v>4977</v>
      </c>
      <c r="S3175" s="15" t="s">
        <v>19946</v>
      </c>
      <c r="T3175" s="15" t="s">
        <v>19946</v>
      </c>
      <c r="U3175" s="21" t="s">
        <v>72</v>
      </c>
    </row>
    <row r="3176" customFormat="false" ht="15" hidden="false" customHeight="false" outlineLevel="0" collapsed="false">
      <c r="A3176" s="15" t="s">
        <v>19480</v>
      </c>
      <c r="B3176" s="15" t="s">
        <v>19918</v>
      </c>
      <c r="C3176" s="14" t="s">
        <v>19947</v>
      </c>
      <c r="D3176" s="14" t="s">
        <v>19948</v>
      </c>
      <c r="E3176" s="16" t="s">
        <v>19949</v>
      </c>
      <c r="F3176" s="16" t="s">
        <v>19950</v>
      </c>
      <c r="G3176" s="25" t="s">
        <v>39</v>
      </c>
      <c r="H3176" s="18" t="n">
        <v>10</v>
      </c>
      <c r="I3176" s="20" t="n">
        <v>158.98</v>
      </c>
      <c r="J3176" s="20" t="n">
        <v>284.45</v>
      </c>
      <c r="K3176" s="18" t="n">
        <v>25</v>
      </c>
      <c r="L3176" s="18" t="n">
        <v>4</v>
      </c>
      <c r="M3176" s="18" t="n">
        <v>250</v>
      </c>
      <c r="N3176" s="18" t="n">
        <v>100</v>
      </c>
      <c r="O3176" s="14" t="s">
        <v>6448</v>
      </c>
      <c r="P3176" s="14" t="s">
        <v>84</v>
      </c>
      <c r="Q3176" s="15" t="s">
        <v>1089</v>
      </c>
      <c r="R3176" s="16" t="s">
        <v>1779</v>
      </c>
      <c r="S3176" s="15" t="s">
        <v>19951</v>
      </c>
      <c r="T3176" s="15" t="s">
        <v>19951</v>
      </c>
      <c r="U3176" s="21" t="s">
        <v>72</v>
      </c>
    </row>
    <row r="3177" customFormat="false" ht="15" hidden="false" customHeight="false" outlineLevel="0" collapsed="false">
      <c r="A3177" s="15" t="s">
        <v>19480</v>
      </c>
      <c r="B3177" s="15" t="s">
        <v>19918</v>
      </c>
      <c r="C3177" s="14" t="s">
        <v>19952</v>
      </c>
      <c r="D3177" s="14" t="s">
        <v>19953</v>
      </c>
      <c r="E3177" s="16" t="s">
        <v>19954</v>
      </c>
      <c r="F3177" s="16" t="s">
        <v>19955</v>
      </c>
      <c r="G3177" s="23" t="s">
        <v>43</v>
      </c>
      <c r="H3177" s="18" t="n">
        <v>3</v>
      </c>
      <c r="I3177" s="20" t="n">
        <v>50</v>
      </c>
      <c r="J3177" s="20" t="n">
        <v>117.01</v>
      </c>
      <c r="K3177" s="18" t="n">
        <v>4</v>
      </c>
      <c r="L3177" s="18" t="n">
        <v>2</v>
      </c>
      <c r="M3177" s="18" t="n">
        <v>24</v>
      </c>
      <c r="N3177" s="18" t="n">
        <v>24</v>
      </c>
      <c r="O3177" s="14" t="s">
        <v>1097</v>
      </c>
      <c r="P3177" s="14" t="s">
        <v>84</v>
      </c>
      <c r="Q3177" s="15" t="s">
        <v>1089</v>
      </c>
      <c r="R3177" s="16" t="s">
        <v>19956</v>
      </c>
      <c r="S3177" s="15" t="s">
        <v>19957</v>
      </c>
      <c r="T3177" s="15" t="s">
        <v>19957</v>
      </c>
      <c r="U3177" s="21" t="s">
        <v>72</v>
      </c>
    </row>
    <row r="3178" customFormat="false" ht="15" hidden="false" customHeight="false" outlineLevel="0" collapsed="false">
      <c r="A3178" s="15" t="s">
        <v>19480</v>
      </c>
      <c r="B3178" s="15" t="s">
        <v>19918</v>
      </c>
      <c r="C3178" s="14" t="s">
        <v>19958</v>
      </c>
      <c r="D3178" s="14" t="s">
        <v>19959</v>
      </c>
      <c r="E3178" s="16" t="s">
        <v>19960</v>
      </c>
      <c r="F3178" s="16" t="s">
        <v>19961</v>
      </c>
      <c r="G3178" s="23" t="s">
        <v>43</v>
      </c>
      <c r="H3178" s="18" t="n">
        <v>2</v>
      </c>
      <c r="I3178" s="20" t="n">
        <v>43.81</v>
      </c>
      <c r="J3178" s="20" t="n">
        <v>78.24</v>
      </c>
      <c r="K3178" s="18" t="n">
        <v>10</v>
      </c>
      <c r="L3178" s="18" t="n">
        <v>2</v>
      </c>
      <c r="M3178" s="18" t="n">
        <v>140</v>
      </c>
      <c r="N3178" s="18" t="n">
        <v>80</v>
      </c>
      <c r="O3178" s="14" t="s">
        <v>1097</v>
      </c>
      <c r="P3178" s="14" t="s">
        <v>118</v>
      </c>
      <c r="Q3178" s="15" t="s">
        <v>1089</v>
      </c>
      <c r="R3178" s="16" t="s">
        <v>19962</v>
      </c>
      <c r="S3178" s="15" t="s">
        <v>19963</v>
      </c>
      <c r="T3178" s="15" t="s">
        <v>19963</v>
      </c>
      <c r="U3178" s="21" t="s">
        <v>72</v>
      </c>
    </row>
    <row r="3179" customFormat="false" ht="26.85" hidden="false" customHeight="false" outlineLevel="0" collapsed="false">
      <c r="A3179" s="15" t="s">
        <v>19480</v>
      </c>
      <c r="B3179" s="15" t="s">
        <v>19918</v>
      </c>
      <c r="C3179" s="14" t="s">
        <v>19964</v>
      </c>
      <c r="D3179" s="14" t="s">
        <v>19965</v>
      </c>
      <c r="E3179" s="16" t="s">
        <v>19966</v>
      </c>
      <c r="F3179" s="16" t="s">
        <v>19967</v>
      </c>
      <c r="G3179" s="23" t="s">
        <v>43</v>
      </c>
      <c r="H3179" s="18" t="n">
        <v>2</v>
      </c>
      <c r="I3179" s="20" t="n">
        <v>46</v>
      </c>
      <c r="J3179" s="20" t="n">
        <v>142.38</v>
      </c>
      <c r="K3179" s="18" t="n">
        <v>10</v>
      </c>
      <c r="L3179" s="18" t="n">
        <v>4</v>
      </c>
      <c r="M3179" s="18" t="n">
        <v>110</v>
      </c>
      <c r="N3179" s="18" t="n">
        <v>36</v>
      </c>
      <c r="O3179" s="14" t="s">
        <v>1097</v>
      </c>
      <c r="P3179" s="14" t="s">
        <v>352</v>
      </c>
      <c r="Q3179" s="15" t="s">
        <v>1089</v>
      </c>
      <c r="R3179" s="16" t="s">
        <v>19968</v>
      </c>
      <c r="S3179" s="15" t="s">
        <v>19969</v>
      </c>
      <c r="T3179" s="15" t="s">
        <v>19969</v>
      </c>
      <c r="U3179" s="21" t="s">
        <v>72</v>
      </c>
    </row>
    <row r="3180" customFormat="false" ht="26.85" hidden="false" customHeight="false" outlineLevel="0" collapsed="false">
      <c r="A3180" s="15" t="s">
        <v>19480</v>
      </c>
      <c r="B3180" s="15" t="s">
        <v>19918</v>
      </c>
      <c r="C3180" s="14" t="s">
        <v>19970</v>
      </c>
      <c r="D3180" s="14" t="s">
        <v>19971</v>
      </c>
      <c r="E3180" s="16" t="s">
        <v>19972</v>
      </c>
      <c r="F3180" s="16" t="s">
        <v>19973</v>
      </c>
      <c r="G3180" s="19" t="s">
        <v>41</v>
      </c>
      <c r="H3180" s="18" t="n">
        <v>5</v>
      </c>
      <c r="I3180" s="20" t="n">
        <v>83.9</v>
      </c>
      <c r="J3180" s="20" t="n">
        <v>136.17</v>
      </c>
      <c r="K3180" s="18" t="n">
        <v>21</v>
      </c>
      <c r="L3180" s="18" t="n">
        <v>7</v>
      </c>
      <c r="M3180" s="18" t="n">
        <v>210</v>
      </c>
      <c r="N3180" s="18" t="n">
        <v>210</v>
      </c>
      <c r="O3180" s="14" t="s">
        <v>19974</v>
      </c>
      <c r="P3180" s="14" t="s">
        <v>118</v>
      </c>
      <c r="Q3180" s="15" t="s">
        <v>1089</v>
      </c>
      <c r="R3180" s="16" t="s">
        <v>2419</v>
      </c>
      <c r="S3180" s="15" t="s">
        <v>19975</v>
      </c>
      <c r="T3180" s="15" t="s">
        <v>19975</v>
      </c>
      <c r="U3180" s="21" t="s">
        <v>72</v>
      </c>
    </row>
    <row r="3181" customFormat="false" ht="15" hidden="false" customHeight="false" outlineLevel="0" collapsed="false">
      <c r="A3181" s="15" t="s">
        <v>19480</v>
      </c>
      <c r="B3181" s="15" t="s">
        <v>19918</v>
      </c>
      <c r="C3181" s="14" t="s">
        <v>19976</v>
      </c>
      <c r="D3181" s="14" t="s">
        <v>19977</v>
      </c>
      <c r="E3181" s="16" t="s">
        <v>19978</v>
      </c>
      <c r="F3181" s="16" t="s">
        <v>19979</v>
      </c>
      <c r="G3181" s="25" t="s">
        <v>39</v>
      </c>
      <c r="H3181" s="18" t="n">
        <v>4</v>
      </c>
      <c r="I3181" s="20" t="n">
        <v>224.18</v>
      </c>
      <c r="J3181" s="20" t="n">
        <v>412.82</v>
      </c>
      <c r="K3181" s="18" t="n">
        <v>16</v>
      </c>
      <c r="L3181" s="18" t="n">
        <v>11</v>
      </c>
      <c r="M3181" s="18" t="n">
        <v>480</v>
      </c>
      <c r="N3181" s="18" t="n">
        <v>180</v>
      </c>
      <c r="O3181" s="14" t="s">
        <v>1097</v>
      </c>
      <c r="P3181" s="14" t="s">
        <v>84</v>
      </c>
      <c r="Q3181" s="15" t="s">
        <v>1089</v>
      </c>
      <c r="R3181" s="16" t="s">
        <v>19980</v>
      </c>
      <c r="S3181" s="15" t="s">
        <v>19981</v>
      </c>
      <c r="T3181" s="15" t="s">
        <v>19982</v>
      </c>
      <c r="U3181" s="21" t="s">
        <v>72</v>
      </c>
    </row>
    <row r="3182" customFormat="false" ht="15" hidden="false" customHeight="false" outlineLevel="0" collapsed="false">
      <c r="A3182" s="15" t="s">
        <v>19480</v>
      </c>
      <c r="B3182" s="15" t="s">
        <v>19918</v>
      </c>
      <c r="C3182" s="14" t="s">
        <v>19983</v>
      </c>
      <c r="D3182" s="14" t="s">
        <v>19984</v>
      </c>
      <c r="E3182" s="16" t="s">
        <v>19985</v>
      </c>
      <c r="F3182" s="16" t="s">
        <v>19986</v>
      </c>
      <c r="G3182" s="23" t="s">
        <v>43</v>
      </c>
      <c r="H3182" s="18" t="n">
        <v>1</v>
      </c>
      <c r="I3182" s="20" t="n">
        <v>30</v>
      </c>
      <c r="J3182" s="20" t="n">
        <v>198.1</v>
      </c>
      <c r="K3182" s="18" t="n">
        <v>4</v>
      </c>
      <c r="L3182" s="18" t="n">
        <v>2</v>
      </c>
      <c r="M3182" s="18" t="n">
        <v>60</v>
      </c>
      <c r="N3182" s="18" t="n">
        <v>60</v>
      </c>
      <c r="O3182" s="14" t="s">
        <v>1088</v>
      </c>
      <c r="P3182" s="14" t="s">
        <v>84</v>
      </c>
      <c r="Q3182" s="15" t="s">
        <v>1089</v>
      </c>
      <c r="R3182" s="16" t="s">
        <v>19987</v>
      </c>
      <c r="S3182" s="15" t="s">
        <v>19988</v>
      </c>
      <c r="T3182" s="15" t="s">
        <v>19988</v>
      </c>
      <c r="U3182" s="21" t="s">
        <v>72</v>
      </c>
    </row>
    <row r="3183" customFormat="false" ht="26.85" hidden="false" customHeight="false" outlineLevel="0" collapsed="false">
      <c r="A3183" s="15" t="s">
        <v>19480</v>
      </c>
      <c r="B3183" s="15" t="s">
        <v>19989</v>
      </c>
      <c r="C3183" s="14" t="s">
        <v>19990</v>
      </c>
      <c r="D3183" s="14" t="s">
        <v>19991</v>
      </c>
      <c r="E3183" s="16" t="s">
        <v>19992</v>
      </c>
      <c r="F3183" s="16" t="s">
        <v>19993</v>
      </c>
      <c r="G3183" s="23" t="s">
        <v>43</v>
      </c>
      <c r="H3183" s="18" t="n">
        <v>2</v>
      </c>
      <c r="I3183" s="20" t="n">
        <v>65</v>
      </c>
      <c r="J3183" s="20" t="n">
        <v>123.71</v>
      </c>
      <c r="K3183" s="18" t="n">
        <v>38</v>
      </c>
      <c r="L3183" s="18" t="n">
        <v>22</v>
      </c>
      <c r="M3183" s="18" t="n">
        <v>570</v>
      </c>
      <c r="N3183" s="18" t="n">
        <v>90</v>
      </c>
      <c r="O3183" s="14" t="s">
        <v>1097</v>
      </c>
      <c r="P3183" s="14" t="s">
        <v>2093</v>
      </c>
      <c r="Q3183" s="15" t="s">
        <v>1089</v>
      </c>
      <c r="R3183" s="16" t="s">
        <v>19994</v>
      </c>
      <c r="S3183" s="15" t="s">
        <v>19486</v>
      </c>
      <c r="T3183" s="15" t="s">
        <v>19995</v>
      </c>
      <c r="U3183" s="21" t="s">
        <v>72</v>
      </c>
    </row>
    <row r="3184" customFormat="false" ht="26.85" hidden="false" customHeight="false" outlineLevel="0" collapsed="false">
      <c r="A3184" s="15" t="s">
        <v>19480</v>
      </c>
      <c r="B3184" s="15" t="s">
        <v>19989</v>
      </c>
      <c r="C3184" s="14" t="s">
        <v>19996</v>
      </c>
      <c r="D3184" s="14" t="s">
        <v>19997</v>
      </c>
      <c r="E3184" s="16" t="s">
        <v>19998</v>
      </c>
      <c r="F3184" s="16" t="s">
        <v>19999</v>
      </c>
      <c r="G3184" s="19" t="s">
        <v>41</v>
      </c>
      <c r="H3184" s="18" t="n">
        <v>4</v>
      </c>
      <c r="I3184" s="20" t="n">
        <v>92.73</v>
      </c>
      <c r="J3184" s="20" t="n">
        <v>211.36</v>
      </c>
      <c r="K3184" s="18" t="n">
        <v>57</v>
      </c>
      <c r="L3184" s="18" t="n">
        <v>5</v>
      </c>
      <c r="M3184" s="18" t="n">
        <v>726</v>
      </c>
      <c r="N3184" s="18" t="n">
        <v>80</v>
      </c>
      <c r="O3184" s="14" t="s">
        <v>1088</v>
      </c>
      <c r="P3184" s="14" t="s">
        <v>1766</v>
      </c>
      <c r="Q3184" s="15" t="s">
        <v>1089</v>
      </c>
      <c r="R3184" s="16" t="s">
        <v>1785</v>
      </c>
      <c r="S3184" s="15" t="s">
        <v>20000</v>
      </c>
      <c r="T3184" s="15" t="s">
        <v>20001</v>
      </c>
      <c r="U3184" s="21" t="s">
        <v>72</v>
      </c>
    </row>
    <row r="3185" customFormat="false" ht="15" hidden="false" customHeight="false" outlineLevel="0" collapsed="false">
      <c r="A3185" s="15" t="s">
        <v>19480</v>
      </c>
      <c r="B3185" s="15" t="s">
        <v>19989</v>
      </c>
      <c r="C3185" s="14" t="s">
        <v>20002</v>
      </c>
      <c r="D3185" s="14" t="s">
        <v>20003</v>
      </c>
      <c r="E3185" s="16" t="s">
        <v>20004</v>
      </c>
      <c r="F3185" s="16"/>
      <c r="G3185" s="23" t="s">
        <v>43</v>
      </c>
      <c r="H3185" s="18" t="n">
        <v>2</v>
      </c>
      <c r="I3185" s="20" t="n">
        <v>36</v>
      </c>
      <c r="J3185" s="20" t="n">
        <v>68</v>
      </c>
      <c r="K3185" s="18" t="n">
        <v>7</v>
      </c>
      <c r="L3185" s="18" t="n">
        <v>2</v>
      </c>
      <c r="M3185" s="18" t="n">
        <v>84</v>
      </c>
      <c r="N3185" s="18" t="n">
        <v>48</v>
      </c>
      <c r="O3185" s="14" t="s">
        <v>1097</v>
      </c>
      <c r="P3185" s="14" t="s">
        <v>118</v>
      </c>
      <c r="Q3185" s="15" t="s">
        <v>1089</v>
      </c>
      <c r="R3185" s="16" t="s">
        <v>20005</v>
      </c>
      <c r="S3185" s="15" t="s">
        <v>20006</v>
      </c>
      <c r="T3185" s="15" t="s">
        <v>20006</v>
      </c>
      <c r="U3185" s="21" t="s">
        <v>72</v>
      </c>
    </row>
    <row r="3186" customFormat="false" ht="15" hidden="false" customHeight="false" outlineLevel="0" collapsed="false">
      <c r="A3186" s="15" t="s">
        <v>19480</v>
      </c>
      <c r="B3186" s="15" t="s">
        <v>19989</v>
      </c>
      <c r="C3186" s="14" t="s">
        <v>20007</v>
      </c>
      <c r="D3186" s="14" t="s">
        <v>20008</v>
      </c>
      <c r="E3186" s="16" t="s">
        <v>20009</v>
      </c>
      <c r="F3186" s="16" t="s">
        <v>20010</v>
      </c>
      <c r="G3186" s="19" t="s">
        <v>41</v>
      </c>
      <c r="H3186" s="18" t="n">
        <v>3</v>
      </c>
      <c r="I3186" s="20" t="n">
        <v>66.366</v>
      </c>
      <c r="J3186" s="20" t="n">
        <v>246.13</v>
      </c>
      <c r="K3186" s="18" t="n">
        <v>3</v>
      </c>
      <c r="L3186" s="18" t="n">
        <v>6</v>
      </c>
      <c r="M3186" s="18" t="n">
        <v>60</v>
      </c>
      <c r="N3186" s="18" t="n">
        <v>60</v>
      </c>
      <c r="O3186" s="14" t="s">
        <v>1097</v>
      </c>
      <c r="P3186" s="14" t="s">
        <v>84</v>
      </c>
      <c r="Q3186" s="15" t="s">
        <v>1089</v>
      </c>
      <c r="R3186" s="16" t="s">
        <v>16837</v>
      </c>
      <c r="S3186" s="15" t="s">
        <v>20011</v>
      </c>
      <c r="T3186" s="15" t="s">
        <v>20012</v>
      </c>
      <c r="U3186" s="21" t="s">
        <v>72</v>
      </c>
    </row>
    <row r="3187" customFormat="false" ht="15" hidden="false" customHeight="false" outlineLevel="0" collapsed="false">
      <c r="A3187" s="15" t="s">
        <v>19480</v>
      </c>
      <c r="B3187" s="15" t="s">
        <v>19989</v>
      </c>
      <c r="C3187" s="14" t="s">
        <v>20013</v>
      </c>
      <c r="D3187" s="14" t="s">
        <v>20014</v>
      </c>
      <c r="E3187" s="16" t="s">
        <v>20015</v>
      </c>
      <c r="F3187" s="16" t="s">
        <v>20016</v>
      </c>
      <c r="G3187" s="23" t="s">
        <v>43</v>
      </c>
      <c r="H3187" s="18" t="n">
        <v>2</v>
      </c>
      <c r="I3187" s="20" t="n">
        <v>32.89</v>
      </c>
      <c r="J3187" s="20" t="n">
        <v>79.44</v>
      </c>
      <c r="K3187" s="18" t="n">
        <v>21</v>
      </c>
      <c r="L3187" s="18" t="n">
        <v>3</v>
      </c>
      <c r="M3187" s="18" t="n">
        <v>273</v>
      </c>
      <c r="N3187" s="18" t="n">
        <v>65</v>
      </c>
      <c r="O3187" s="14" t="s">
        <v>1097</v>
      </c>
      <c r="P3187" s="14" t="s">
        <v>118</v>
      </c>
      <c r="Q3187" s="15" t="s">
        <v>1089</v>
      </c>
      <c r="R3187" s="16" t="s">
        <v>20017</v>
      </c>
      <c r="S3187" s="15" t="s">
        <v>20018</v>
      </c>
      <c r="T3187" s="15" t="s">
        <v>20018</v>
      </c>
      <c r="U3187" s="21" t="s">
        <v>72</v>
      </c>
    </row>
    <row r="3188" customFormat="false" ht="15" hidden="false" customHeight="false" outlineLevel="0" collapsed="false">
      <c r="A3188" s="15" t="s">
        <v>19480</v>
      </c>
      <c r="B3188" s="15" t="s">
        <v>19989</v>
      </c>
      <c r="C3188" s="14" t="s">
        <v>20019</v>
      </c>
      <c r="D3188" s="14" t="s">
        <v>20020</v>
      </c>
      <c r="E3188" s="16" t="s">
        <v>20021</v>
      </c>
      <c r="F3188" s="16" t="s">
        <v>19497</v>
      </c>
      <c r="G3188" s="19" t="s">
        <v>41</v>
      </c>
      <c r="H3188" s="18" t="n">
        <v>6</v>
      </c>
      <c r="I3188" s="20" t="n">
        <v>152.89</v>
      </c>
      <c r="J3188" s="20" t="n">
        <v>359.9</v>
      </c>
      <c r="K3188" s="18" t="n">
        <v>7</v>
      </c>
      <c r="L3188" s="18" t="n">
        <v>5</v>
      </c>
      <c r="M3188" s="18" t="n">
        <v>91</v>
      </c>
      <c r="N3188" s="18" t="n">
        <v>78</v>
      </c>
      <c r="O3188" s="14" t="s">
        <v>1097</v>
      </c>
      <c r="P3188" s="14" t="s">
        <v>84</v>
      </c>
      <c r="Q3188" s="15" t="s">
        <v>1089</v>
      </c>
      <c r="R3188" s="16" t="s">
        <v>9197</v>
      </c>
      <c r="S3188" s="15" t="s">
        <v>20022</v>
      </c>
      <c r="T3188" s="15" t="s">
        <v>20022</v>
      </c>
      <c r="U3188" s="21" t="s">
        <v>72</v>
      </c>
    </row>
    <row r="3189" customFormat="false" ht="15" hidden="false" customHeight="false" outlineLevel="0" collapsed="false">
      <c r="A3189" s="15" t="s">
        <v>19480</v>
      </c>
      <c r="B3189" s="15" t="s">
        <v>19989</v>
      </c>
      <c r="C3189" s="14" t="s">
        <v>20023</v>
      </c>
      <c r="D3189" s="14" t="s">
        <v>20024</v>
      </c>
      <c r="E3189" s="16" t="s">
        <v>20025</v>
      </c>
      <c r="F3189" s="16" t="s">
        <v>20026</v>
      </c>
      <c r="G3189" s="25" t="s">
        <v>39</v>
      </c>
      <c r="H3189" s="18" t="n">
        <v>9</v>
      </c>
      <c r="I3189" s="20" t="n">
        <v>374.83</v>
      </c>
      <c r="J3189" s="20" t="n">
        <v>767.98</v>
      </c>
      <c r="K3189" s="18" t="n">
        <v>23</v>
      </c>
      <c r="L3189" s="18" t="n">
        <v>3</v>
      </c>
      <c r="M3189" s="18" t="n">
        <v>703</v>
      </c>
      <c r="N3189" s="18" t="n">
        <v>271</v>
      </c>
      <c r="O3189" s="14" t="s">
        <v>5962</v>
      </c>
      <c r="P3189" s="14" t="s">
        <v>84</v>
      </c>
      <c r="Q3189" s="15" t="s">
        <v>1089</v>
      </c>
      <c r="R3189" s="16" t="s">
        <v>20027</v>
      </c>
      <c r="S3189" s="15" t="s">
        <v>20028</v>
      </c>
      <c r="T3189" s="15" t="s">
        <v>20029</v>
      </c>
      <c r="U3189" s="21" t="s">
        <v>72</v>
      </c>
    </row>
    <row r="3190" customFormat="false" ht="15" hidden="false" customHeight="false" outlineLevel="0" collapsed="false">
      <c r="A3190" s="15" t="s">
        <v>19480</v>
      </c>
      <c r="B3190" s="15" t="s">
        <v>19989</v>
      </c>
      <c r="C3190" s="14" t="s">
        <v>20030</v>
      </c>
      <c r="D3190" s="14" t="s">
        <v>20031</v>
      </c>
      <c r="E3190" s="16" t="s">
        <v>20032</v>
      </c>
      <c r="F3190" s="16" t="s">
        <v>20033</v>
      </c>
      <c r="G3190" s="19" t="s">
        <v>41</v>
      </c>
      <c r="H3190" s="18" t="n">
        <v>3</v>
      </c>
      <c r="I3190" s="20" t="n">
        <v>58.4</v>
      </c>
      <c r="J3190" s="20" t="n">
        <v>230.34</v>
      </c>
      <c r="K3190" s="18" t="n">
        <v>2</v>
      </c>
      <c r="L3190" s="18" t="n">
        <v>2</v>
      </c>
      <c r="M3190" s="18" t="n">
        <v>30</v>
      </c>
      <c r="N3190" s="18" t="n">
        <v>30</v>
      </c>
      <c r="O3190" s="14" t="s">
        <v>1097</v>
      </c>
      <c r="P3190" s="14" t="s">
        <v>84</v>
      </c>
      <c r="Q3190" s="15" t="s">
        <v>1089</v>
      </c>
      <c r="R3190" s="16" t="s">
        <v>20034</v>
      </c>
      <c r="S3190" s="15" t="s">
        <v>20035</v>
      </c>
      <c r="T3190" s="15" t="s">
        <v>20036</v>
      </c>
      <c r="U3190" s="21" t="s">
        <v>72</v>
      </c>
    </row>
    <row r="3191" customFormat="false" ht="26.85" hidden="false" customHeight="false" outlineLevel="0" collapsed="false">
      <c r="A3191" s="15" t="s">
        <v>19480</v>
      </c>
      <c r="B3191" s="15" t="s">
        <v>19989</v>
      </c>
      <c r="C3191" s="14" t="s">
        <v>20037</v>
      </c>
      <c r="D3191" s="14" t="s">
        <v>20038</v>
      </c>
      <c r="E3191" s="16" t="s">
        <v>20039</v>
      </c>
      <c r="F3191" s="16" t="s">
        <v>20040</v>
      </c>
      <c r="G3191" s="25" t="s">
        <v>39</v>
      </c>
      <c r="H3191" s="18" t="n">
        <v>8</v>
      </c>
      <c r="I3191" s="20" t="n">
        <v>245.4</v>
      </c>
      <c r="J3191" s="20" t="n">
        <v>658.74</v>
      </c>
      <c r="K3191" s="18" t="n">
        <v>8</v>
      </c>
      <c r="L3191" s="18" t="n">
        <v>7</v>
      </c>
      <c r="M3191" s="18" t="n">
        <v>176</v>
      </c>
      <c r="N3191" s="18" t="n">
        <v>66</v>
      </c>
      <c r="O3191" s="14" t="s">
        <v>1097</v>
      </c>
      <c r="P3191" s="14" t="s">
        <v>352</v>
      </c>
      <c r="Q3191" s="15" t="s">
        <v>1089</v>
      </c>
      <c r="R3191" s="16" t="s">
        <v>20041</v>
      </c>
      <c r="S3191" s="15" t="s">
        <v>20042</v>
      </c>
      <c r="T3191" s="15" t="s">
        <v>20043</v>
      </c>
      <c r="U3191" s="21" t="s">
        <v>72</v>
      </c>
    </row>
    <row r="3192" customFormat="false" ht="15" hidden="false" customHeight="false" outlineLevel="0" collapsed="false">
      <c r="A3192" s="15" t="s">
        <v>19480</v>
      </c>
      <c r="B3192" s="15" t="s">
        <v>19989</v>
      </c>
      <c r="C3192" s="14" t="s">
        <v>20044</v>
      </c>
      <c r="D3192" s="14" t="s">
        <v>20045</v>
      </c>
      <c r="E3192" s="16" t="s">
        <v>20046</v>
      </c>
      <c r="F3192" s="16" t="s">
        <v>20047</v>
      </c>
      <c r="G3192" s="23" t="s">
        <v>43</v>
      </c>
      <c r="H3192" s="18" t="n">
        <v>3</v>
      </c>
      <c r="I3192" s="20" t="n">
        <v>58.02</v>
      </c>
      <c r="J3192" s="20" t="n">
        <v>87.76</v>
      </c>
      <c r="K3192" s="18" t="n">
        <v>16</v>
      </c>
      <c r="L3192" s="18" t="n">
        <v>3</v>
      </c>
      <c r="M3192" s="18" t="n">
        <v>240</v>
      </c>
      <c r="N3192" s="18" t="n">
        <v>180</v>
      </c>
      <c r="O3192" s="14" t="s">
        <v>1097</v>
      </c>
      <c r="P3192" s="14" t="s">
        <v>84</v>
      </c>
      <c r="Q3192" s="15" t="s">
        <v>1089</v>
      </c>
      <c r="R3192" s="16" t="s">
        <v>4010</v>
      </c>
      <c r="S3192" s="15" t="s">
        <v>20048</v>
      </c>
      <c r="T3192" s="15" t="s">
        <v>20048</v>
      </c>
      <c r="U3192" s="21" t="s">
        <v>72</v>
      </c>
    </row>
    <row r="3193" customFormat="false" ht="15" hidden="false" customHeight="false" outlineLevel="0" collapsed="false">
      <c r="A3193" s="15" t="s">
        <v>19480</v>
      </c>
      <c r="B3193" s="15" t="s">
        <v>19989</v>
      </c>
      <c r="C3193" s="14" t="s">
        <v>20049</v>
      </c>
      <c r="D3193" s="14" t="s">
        <v>20050</v>
      </c>
      <c r="E3193" s="16" t="s">
        <v>20051</v>
      </c>
      <c r="F3193" s="16" t="s">
        <v>20052</v>
      </c>
      <c r="G3193" s="23" t="s">
        <v>43</v>
      </c>
      <c r="H3193" s="18" t="n">
        <v>3</v>
      </c>
      <c r="I3193" s="20" t="n">
        <v>85.34</v>
      </c>
      <c r="J3193" s="20" t="n">
        <v>116.46</v>
      </c>
      <c r="K3193" s="18" t="n">
        <v>3</v>
      </c>
      <c r="L3193" s="18" t="n">
        <v>1</v>
      </c>
      <c r="M3193" s="18" t="n">
        <v>45</v>
      </c>
      <c r="N3193" s="18" t="n">
        <v>15</v>
      </c>
      <c r="O3193" s="14" t="s">
        <v>1097</v>
      </c>
      <c r="P3193" s="14" t="s">
        <v>118</v>
      </c>
      <c r="Q3193" s="15" t="s">
        <v>1089</v>
      </c>
      <c r="R3193" s="16" t="s">
        <v>9743</v>
      </c>
      <c r="S3193" s="15" t="s">
        <v>20053</v>
      </c>
      <c r="T3193" s="15" t="s">
        <v>20054</v>
      </c>
      <c r="U3193" s="21" t="s">
        <v>72</v>
      </c>
    </row>
    <row r="3194" customFormat="false" ht="26.85" hidden="false" customHeight="false" outlineLevel="0" collapsed="false">
      <c r="A3194" s="15" t="s">
        <v>19480</v>
      </c>
      <c r="B3194" s="15" t="s">
        <v>20055</v>
      </c>
      <c r="C3194" s="14" t="s">
        <v>20056</v>
      </c>
      <c r="D3194" s="14" t="s">
        <v>20057</v>
      </c>
      <c r="E3194" s="16" t="s">
        <v>20058</v>
      </c>
      <c r="F3194" s="16" t="s">
        <v>20059</v>
      </c>
      <c r="G3194" s="19" t="s">
        <v>41</v>
      </c>
      <c r="H3194" s="18" t="n">
        <v>3</v>
      </c>
      <c r="I3194" s="20" t="n">
        <v>216.76</v>
      </c>
      <c r="J3194" s="20" t="n">
        <v>342.51</v>
      </c>
      <c r="K3194" s="18" t="n">
        <v>13</v>
      </c>
      <c r="L3194" s="18" t="n">
        <v>5</v>
      </c>
      <c r="M3194" s="18" t="n">
        <v>414</v>
      </c>
      <c r="N3194" s="18" t="n">
        <v>30</v>
      </c>
      <c r="O3194" s="14" t="s">
        <v>1088</v>
      </c>
      <c r="P3194" s="14" t="s">
        <v>17538</v>
      </c>
      <c r="Q3194" s="15" t="s">
        <v>1089</v>
      </c>
      <c r="R3194" s="16" t="s">
        <v>16983</v>
      </c>
      <c r="S3194" s="15" t="s">
        <v>19486</v>
      </c>
      <c r="T3194" s="15" t="s">
        <v>20060</v>
      </c>
      <c r="U3194" s="21" t="s">
        <v>72</v>
      </c>
    </row>
    <row r="3195" customFormat="false" ht="26.85" hidden="false" customHeight="false" outlineLevel="0" collapsed="false">
      <c r="A3195" s="15" t="s">
        <v>19480</v>
      </c>
      <c r="B3195" s="15" t="s">
        <v>20055</v>
      </c>
      <c r="C3195" s="14" t="s">
        <v>20061</v>
      </c>
      <c r="D3195" s="14" t="s">
        <v>20062</v>
      </c>
      <c r="E3195" s="16" t="s">
        <v>20063</v>
      </c>
      <c r="F3195" s="16" t="s">
        <v>19611</v>
      </c>
      <c r="G3195" s="25" t="s">
        <v>39</v>
      </c>
      <c r="H3195" s="18" t="n">
        <v>9</v>
      </c>
      <c r="I3195" s="20" t="n">
        <v>184.46</v>
      </c>
      <c r="J3195" s="20" t="n">
        <v>472.96</v>
      </c>
      <c r="K3195" s="18" t="n">
        <v>15</v>
      </c>
      <c r="L3195" s="18" t="n">
        <v>6</v>
      </c>
      <c r="M3195" s="18" t="n">
        <v>201</v>
      </c>
      <c r="N3195" s="18" t="n">
        <v>201</v>
      </c>
      <c r="O3195" s="14" t="s">
        <v>1097</v>
      </c>
      <c r="P3195" s="14" t="s">
        <v>84</v>
      </c>
      <c r="Q3195" s="15" t="s">
        <v>1089</v>
      </c>
      <c r="R3195" s="16" t="s">
        <v>20064</v>
      </c>
      <c r="S3195" s="15" t="s">
        <v>20065</v>
      </c>
      <c r="T3195" s="15" t="s">
        <v>20066</v>
      </c>
      <c r="U3195" s="21" t="s">
        <v>72</v>
      </c>
    </row>
    <row r="3196" customFormat="false" ht="15" hidden="false" customHeight="false" outlineLevel="0" collapsed="false">
      <c r="A3196" s="15" t="s">
        <v>19480</v>
      </c>
      <c r="B3196" s="15" t="s">
        <v>20055</v>
      </c>
      <c r="C3196" s="14" t="s">
        <v>20067</v>
      </c>
      <c r="D3196" s="14" t="s">
        <v>20068</v>
      </c>
      <c r="E3196" s="16" t="s">
        <v>20069</v>
      </c>
      <c r="F3196" s="16" t="s">
        <v>1602</v>
      </c>
      <c r="G3196" s="23" t="s">
        <v>43</v>
      </c>
      <c r="H3196" s="18" t="n">
        <v>3</v>
      </c>
      <c r="I3196" s="20" t="n">
        <v>45.66</v>
      </c>
      <c r="J3196" s="20" t="n">
        <v>121.4</v>
      </c>
      <c r="K3196" s="18" t="n">
        <v>13</v>
      </c>
      <c r="L3196" s="18" t="n">
        <v>8</v>
      </c>
      <c r="M3196" s="18" t="n">
        <v>87</v>
      </c>
      <c r="N3196" s="18" t="n">
        <v>21</v>
      </c>
      <c r="O3196" s="14" t="s">
        <v>1097</v>
      </c>
      <c r="P3196" s="14" t="s">
        <v>118</v>
      </c>
      <c r="Q3196" s="15" t="s">
        <v>1089</v>
      </c>
      <c r="R3196" s="16" t="s">
        <v>20070</v>
      </c>
      <c r="S3196" s="15" t="s">
        <v>11992</v>
      </c>
      <c r="T3196" s="15" t="s">
        <v>20071</v>
      </c>
      <c r="U3196" s="21" t="s">
        <v>72</v>
      </c>
    </row>
    <row r="3197" customFormat="false" ht="15" hidden="false" customHeight="false" outlineLevel="0" collapsed="false">
      <c r="A3197" s="15" t="s">
        <v>19480</v>
      </c>
      <c r="B3197" s="15" t="s">
        <v>20055</v>
      </c>
      <c r="C3197" s="14" t="s">
        <v>20072</v>
      </c>
      <c r="D3197" s="14" t="s">
        <v>20073</v>
      </c>
      <c r="E3197" s="16" t="s">
        <v>20074</v>
      </c>
      <c r="F3197" s="16" t="s">
        <v>20075</v>
      </c>
      <c r="G3197" s="19" t="s">
        <v>41</v>
      </c>
      <c r="H3197" s="18" t="n">
        <v>7</v>
      </c>
      <c r="I3197" s="20" t="n">
        <v>123.6</v>
      </c>
      <c r="J3197" s="20" t="n">
        <v>321.28</v>
      </c>
      <c r="K3197" s="18" t="n">
        <v>14</v>
      </c>
      <c r="L3197" s="18" t="n">
        <v>3</v>
      </c>
      <c r="M3197" s="18" t="n">
        <v>140</v>
      </c>
      <c r="N3197" s="18" t="n">
        <v>100</v>
      </c>
      <c r="O3197" s="14" t="s">
        <v>1097</v>
      </c>
      <c r="P3197" s="14" t="s">
        <v>84</v>
      </c>
      <c r="Q3197" s="15" t="s">
        <v>1089</v>
      </c>
      <c r="R3197" s="16" t="s">
        <v>16928</v>
      </c>
      <c r="S3197" s="15" t="s">
        <v>20076</v>
      </c>
      <c r="T3197" s="15" t="s">
        <v>20076</v>
      </c>
      <c r="U3197" s="21" t="s">
        <v>72</v>
      </c>
    </row>
    <row r="3198" customFormat="false" ht="15" hidden="false" customHeight="false" outlineLevel="0" collapsed="false">
      <c r="A3198" s="15" t="s">
        <v>19480</v>
      </c>
      <c r="B3198" s="15" t="s">
        <v>20055</v>
      </c>
      <c r="C3198" s="14" t="s">
        <v>20077</v>
      </c>
      <c r="D3198" s="14" t="s">
        <v>20078</v>
      </c>
      <c r="E3198" s="16" t="s">
        <v>20079</v>
      </c>
      <c r="F3198" s="16" t="s">
        <v>20080</v>
      </c>
      <c r="G3198" s="23" t="s">
        <v>43</v>
      </c>
      <c r="H3198" s="18" t="n">
        <v>2</v>
      </c>
      <c r="I3198" s="20" t="n">
        <v>98</v>
      </c>
      <c r="J3198" s="20" t="n">
        <v>147</v>
      </c>
      <c r="K3198" s="18" t="n">
        <v>19</v>
      </c>
      <c r="L3198" s="18" t="n">
        <v>2</v>
      </c>
      <c r="M3198" s="18" t="n">
        <v>475</v>
      </c>
      <c r="N3198" s="18" t="n">
        <v>475</v>
      </c>
      <c r="O3198" s="14" t="s">
        <v>1097</v>
      </c>
      <c r="P3198" s="14" t="s">
        <v>84</v>
      </c>
      <c r="Q3198" s="15" t="s">
        <v>1089</v>
      </c>
      <c r="R3198" s="16" t="s">
        <v>20081</v>
      </c>
      <c r="S3198" s="15" t="s">
        <v>20082</v>
      </c>
      <c r="T3198" s="15" t="s">
        <v>20083</v>
      </c>
      <c r="U3198" s="21" t="s">
        <v>72</v>
      </c>
    </row>
    <row r="3199" customFormat="false" ht="15" hidden="false" customHeight="false" outlineLevel="0" collapsed="false">
      <c r="A3199" s="15" t="s">
        <v>19480</v>
      </c>
      <c r="B3199" s="15" t="s">
        <v>20055</v>
      </c>
      <c r="C3199" s="14" t="s">
        <v>20084</v>
      </c>
      <c r="D3199" s="14" t="s">
        <v>20085</v>
      </c>
      <c r="E3199" s="16" t="s">
        <v>20086</v>
      </c>
      <c r="F3199" s="16" t="s">
        <v>20087</v>
      </c>
      <c r="G3199" s="19" t="s">
        <v>41</v>
      </c>
      <c r="H3199" s="18" t="n">
        <v>7</v>
      </c>
      <c r="I3199" s="20" t="n">
        <v>160.8</v>
      </c>
      <c r="J3199" s="20" t="n">
        <v>277.39</v>
      </c>
      <c r="K3199" s="18" t="n">
        <v>7</v>
      </c>
      <c r="L3199" s="18" t="n">
        <v>1</v>
      </c>
      <c r="M3199" s="18" t="n">
        <v>96</v>
      </c>
      <c r="N3199" s="18" t="n">
        <v>72</v>
      </c>
      <c r="O3199" s="14" t="s">
        <v>1097</v>
      </c>
      <c r="P3199" s="14" t="s">
        <v>118</v>
      </c>
      <c r="Q3199" s="15" t="s">
        <v>1089</v>
      </c>
      <c r="R3199" s="16" t="s">
        <v>8332</v>
      </c>
      <c r="S3199" s="15" t="s">
        <v>20088</v>
      </c>
      <c r="T3199" s="15" t="s">
        <v>20089</v>
      </c>
      <c r="U3199" s="21" t="s">
        <v>72</v>
      </c>
    </row>
    <row r="3200" customFormat="false" ht="15" hidden="false" customHeight="false" outlineLevel="0" collapsed="false">
      <c r="A3200" s="15" t="s">
        <v>19480</v>
      </c>
      <c r="B3200" s="15" t="s">
        <v>20055</v>
      </c>
      <c r="C3200" s="14" t="s">
        <v>20090</v>
      </c>
      <c r="D3200" s="14" t="s">
        <v>20091</v>
      </c>
      <c r="E3200" s="16" t="s">
        <v>20092</v>
      </c>
      <c r="F3200" s="16" t="s">
        <v>20093</v>
      </c>
      <c r="G3200" s="23" t="s">
        <v>43</v>
      </c>
      <c r="H3200" s="18" t="n">
        <v>2</v>
      </c>
      <c r="I3200" s="20" t="n">
        <v>37.1</v>
      </c>
      <c r="J3200" s="20" t="n">
        <v>97.93</v>
      </c>
      <c r="K3200" s="18" t="n">
        <v>4</v>
      </c>
      <c r="L3200" s="18" t="n">
        <v>1</v>
      </c>
      <c r="M3200" s="18" t="n">
        <v>32</v>
      </c>
      <c r="N3200" s="18" t="n">
        <v>32</v>
      </c>
      <c r="O3200" s="14" t="s">
        <v>1088</v>
      </c>
      <c r="P3200" s="14" t="s">
        <v>84</v>
      </c>
      <c r="Q3200" s="15" t="s">
        <v>1089</v>
      </c>
      <c r="R3200" s="16" t="s">
        <v>6390</v>
      </c>
      <c r="S3200" s="15" t="s">
        <v>20094</v>
      </c>
      <c r="T3200" s="15" t="s">
        <v>20094</v>
      </c>
      <c r="U3200" s="21" t="s">
        <v>72</v>
      </c>
    </row>
    <row r="3201" customFormat="false" ht="15" hidden="false" customHeight="false" outlineLevel="0" collapsed="false">
      <c r="A3201" s="15" t="s">
        <v>19480</v>
      </c>
      <c r="B3201" s="15" t="s">
        <v>20055</v>
      </c>
      <c r="C3201" s="14" t="s">
        <v>20095</v>
      </c>
      <c r="D3201" s="14" t="s">
        <v>20096</v>
      </c>
      <c r="E3201" s="16" t="s">
        <v>20097</v>
      </c>
      <c r="F3201" s="16" t="s">
        <v>20098</v>
      </c>
      <c r="G3201" s="23" t="s">
        <v>43</v>
      </c>
      <c r="H3201" s="18" t="n">
        <v>4</v>
      </c>
      <c r="I3201" s="20" t="n">
        <v>59.46</v>
      </c>
      <c r="J3201" s="20" t="n">
        <v>125.83</v>
      </c>
      <c r="K3201" s="18" t="n">
        <v>10</v>
      </c>
      <c r="L3201" s="18" t="n">
        <v>1</v>
      </c>
      <c r="M3201" s="18" t="n">
        <v>87</v>
      </c>
      <c r="N3201" s="18" t="n">
        <v>38</v>
      </c>
      <c r="O3201" s="14" t="s">
        <v>1097</v>
      </c>
      <c r="P3201" s="14" t="s">
        <v>84</v>
      </c>
      <c r="Q3201" s="15" t="s">
        <v>1089</v>
      </c>
      <c r="R3201" s="16" t="s">
        <v>18955</v>
      </c>
      <c r="S3201" s="15" t="s">
        <v>20099</v>
      </c>
      <c r="T3201" s="15" t="s">
        <v>20100</v>
      </c>
      <c r="U3201" s="21" t="s">
        <v>72</v>
      </c>
    </row>
    <row r="3202" customFormat="false" ht="15" hidden="false" customHeight="false" outlineLevel="0" collapsed="false">
      <c r="A3202" s="15" t="s">
        <v>19480</v>
      </c>
      <c r="B3202" s="15" t="s">
        <v>20055</v>
      </c>
      <c r="C3202" s="14" t="s">
        <v>20101</v>
      </c>
      <c r="D3202" s="14" t="s">
        <v>20102</v>
      </c>
      <c r="E3202" s="16" t="s">
        <v>20103</v>
      </c>
      <c r="F3202" s="16" t="s">
        <v>20098</v>
      </c>
      <c r="G3202" s="23" t="s">
        <v>43</v>
      </c>
      <c r="H3202" s="18" t="n">
        <v>3</v>
      </c>
      <c r="I3202" s="20" t="n">
        <v>63.75</v>
      </c>
      <c r="J3202" s="20" t="n">
        <v>147.08</v>
      </c>
      <c r="K3202" s="18" t="n">
        <v>12</v>
      </c>
      <c r="L3202" s="18" t="n">
        <v>2</v>
      </c>
      <c r="M3202" s="18" t="n">
        <v>140</v>
      </c>
      <c r="N3202" s="18" t="n">
        <v>76</v>
      </c>
      <c r="O3202" s="14" t="s">
        <v>1097</v>
      </c>
      <c r="P3202" s="14" t="s">
        <v>84</v>
      </c>
      <c r="Q3202" s="15" t="s">
        <v>1089</v>
      </c>
      <c r="R3202" s="16" t="s">
        <v>1603</v>
      </c>
      <c r="S3202" s="15" t="s">
        <v>20099</v>
      </c>
      <c r="T3202" s="15" t="s">
        <v>20099</v>
      </c>
      <c r="U3202" s="21" t="s">
        <v>72</v>
      </c>
    </row>
    <row r="3203" customFormat="false" ht="15" hidden="false" customHeight="false" outlineLevel="0" collapsed="false">
      <c r="A3203" s="15" t="s">
        <v>19480</v>
      </c>
      <c r="B3203" s="15" t="s">
        <v>20055</v>
      </c>
      <c r="C3203" s="14" t="s">
        <v>20104</v>
      </c>
      <c r="D3203" s="14" t="s">
        <v>20105</v>
      </c>
      <c r="E3203" s="16" t="s">
        <v>20106</v>
      </c>
      <c r="F3203" s="16" t="s">
        <v>20107</v>
      </c>
      <c r="G3203" s="19" t="s">
        <v>41</v>
      </c>
      <c r="H3203" s="18" t="n">
        <v>5</v>
      </c>
      <c r="I3203" s="20" t="n">
        <v>81.86</v>
      </c>
      <c r="J3203" s="20" t="n">
        <v>184.8</v>
      </c>
      <c r="K3203" s="18" t="n">
        <v>5</v>
      </c>
      <c r="L3203" s="18" t="n">
        <v>1</v>
      </c>
      <c r="M3203" s="18" t="n">
        <v>58</v>
      </c>
      <c r="N3203" s="18" t="n">
        <v>58</v>
      </c>
      <c r="O3203" s="14" t="s">
        <v>1097</v>
      </c>
      <c r="P3203" s="14" t="s">
        <v>84</v>
      </c>
      <c r="Q3203" s="15" t="s">
        <v>1089</v>
      </c>
      <c r="R3203" s="16" t="s">
        <v>20108</v>
      </c>
      <c r="S3203" s="15" t="s">
        <v>20109</v>
      </c>
      <c r="T3203" s="15" t="s">
        <v>20109</v>
      </c>
      <c r="U3203" s="21" t="s">
        <v>72</v>
      </c>
    </row>
    <row r="3204" customFormat="false" ht="15" hidden="false" customHeight="false" outlineLevel="0" collapsed="false">
      <c r="A3204" s="15" t="s">
        <v>19480</v>
      </c>
      <c r="B3204" s="15" t="s">
        <v>20055</v>
      </c>
      <c r="C3204" s="14" t="s">
        <v>20110</v>
      </c>
      <c r="D3204" s="14" t="s">
        <v>20111</v>
      </c>
      <c r="E3204" s="16" t="s">
        <v>20106</v>
      </c>
      <c r="F3204" s="16" t="s">
        <v>20107</v>
      </c>
      <c r="G3204" s="19" t="s">
        <v>41</v>
      </c>
      <c r="H3204" s="18" t="n">
        <v>5</v>
      </c>
      <c r="I3204" s="20" t="n">
        <v>103.5</v>
      </c>
      <c r="J3204" s="20" t="n">
        <v>184.77</v>
      </c>
      <c r="K3204" s="18" t="n">
        <v>12</v>
      </c>
      <c r="L3204" s="18" t="n">
        <v>1</v>
      </c>
      <c r="M3204" s="18" t="n">
        <v>159</v>
      </c>
      <c r="N3204" s="18" t="n">
        <v>159</v>
      </c>
      <c r="O3204" s="14" t="s">
        <v>1088</v>
      </c>
      <c r="P3204" s="14" t="s">
        <v>84</v>
      </c>
      <c r="Q3204" s="15" t="s">
        <v>1089</v>
      </c>
      <c r="R3204" s="16" t="s">
        <v>20112</v>
      </c>
      <c r="S3204" s="15" t="s">
        <v>20109</v>
      </c>
      <c r="T3204" s="15" t="s">
        <v>19538</v>
      </c>
      <c r="U3204" s="21" t="s">
        <v>72</v>
      </c>
    </row>
    <row r="3205" customFormat="false" ht="15" hidden="false" customHeight="false" outlineLevel="0" collapsed="false">
      <c r="A3205" s="15" t="s">
        <v>19480</v>
      </c>
      <c r="B3205" s="15" t="s">
        <v>20055</v>
      </c>
      <c r="C3205" s="14" t="s">
        <v>20113</v>
      </c>
      <c r="D3205" s="14" t="s">
        <v>20114</v>
      </c>
      <c r="E3205" s="16" t="s">
        <v>20115</v>
      </c>
      <c r="F3205" s="16" t="s">
        <v>20116</v>
      </c>
      <c r="G3205" s="25" t="s">
        <v>39</v>
      </c>
      <c r="H3205" s="18" t="n">
        <v>10</v>
      </c>
      <c r="I3205" s="20" t="n">
        <v>385.47</v>
      </c>
      <c r="J3205" s="20" t="n">
        <v>590.3</v>
      </c>
      <c r="K3205" s="18" t="n">
        <v>10</v>
      </c>
      <c r="L3205" s="18" t="n">
        <v>24</v>
      </c>
      <c r="M3205" s="18" t="n">
        <v>200</v>
      </c>
      <c r="N3205" s="18" t="n">
        <v>120</v>
      </c>
      <c r="O3205" s="14" t="s">
        <v>1097</v>
      </c>
      <c r="P3205" s="14" t="s">
        <v>84</v>
      </c>
      <c r="Q3205" s="15" t="s">
        <v>1089</v>
      </c>
      <c r="R3205" s="16" t="s">
        <v>6828</v>
      </c>
      <c r="S3205" s="15" t="s">
        <v>20117</v>
      </c>
      <c r="T3205" s="15" t="s">
        <v>20118</v>
      </c>
      <c r="U3205" s="21" t="s">
        <v>72</v>
      </c>
    </row>
    <row r="3206" customFormat="false" ht="15" hidden="false" customHeight="false" outlineLevel="0" collapsed="false">
      <c r="A3206" s="15" t="s">
        <v>19480</v>
      </c>
      <c r="B3206" s="15" t="s">
        <v>20055</v>
      </c>
      <c r="C3206" s="14" t="s">
        <v>20119</v>
      </c>
      <c r="D3206" s="14" t="s">
        <v>20120</v>
      </c>
      <c r="E3206" s="16" t="s">
        <v>20121</v>
      </c>
      <c r="F3206" s="16" t="s">
        <v>20122</v>
      </c>
      <c r="G3206" s="19" t="s">
        <v>41</v>
      </c>
      <c r="H3206" s="18" t="n">
        <v>6</v>
      </c>
      <c r="I3206" s="20" t="n">
        <v>184.8</v>
      </c>
      <c r="J3206" s="20" t="n">
        <v>330.18</v>
      </c>
      <c r="K3206" s="18" t="n">
        <v>9</v>
      </c>
      <c r="L3206" s="18" t="n">
        <v>1</v>
      </c>
      <c r="M3206" s="18" t="n">
        <v>162</v>
      </c>
      <c r="N3206" s="18" t="n">
        <v>162</v>
      </c>
      <c r="O3206" s="14" t="s">
        <v>1088</v>
      </c>
      <c r="P3206" s="14" t="s">
        <v>84</v>
      </c>
      <c r="Q3206" s="15" t="s">
        <v>1089</v>
      </c>
      <c r="R3206" s="16" t="s">
        <v>11754</v>
      </c>
      <c r="S3206" s="15" t="s">
        <v>20123</v>
      </c>
      <c r="T3206" s="15" t="s">
        <v>20123</v>
      </c>
      <c r="U3206" s="21" t="s">
        <v>72</v>
      </c>
    </row>
    <row r="3207" customFormat="false" ht="15" hidden="false" customHeight="false" outlineLevel="0" collapsed="false">
      <c r="A3207" s="15" t="s">
        <v>19480</v>
      </c>
      <c r="B3207" s="15" t="s">
        <v>20055</v>
      </c>
      <c r="C3207" s="14" t="s">
        <v>20124</v>
      </c>
      <c r="D3207" s="14" t="s">
        <v>20125</v>
      </c>
      <c r="E3207" s="16" t="s">
        <v>20126</v>
      </c>
      <c r="F3207" s="16" t="s">
        <v>20127</v>
      </c>
      <c r="G3207" s="23" t="s">
        <v>43</v>
      </c>
      <c r="H3207" s="18" t="n">
        <v>2</v>
      </c>
      <c r="I3207" s="20" t="n">
        <v>48.7</v>
      </c>
      <c r="J3207" s="20" t="n">
        <v>171.1</v>
      </c>
      <c r="K3207" s="18" t="n">
        <v>2</v>
      </c>
      <c r="L3207" s="18" t="n">
        <v>2</v>
      </c>
      <c r="M3207" s="18" t="n">
        <v>20</v>
      </c>
      <c r="N3207" s="18" t="n">
        <v>20</v>
      </c>
      <c r="O3207" s="14" t="s">
        <v>1088</v>
      </c>
      <c r="P3207" s="14" t="s">
        <v>84</v>
      </c>
      <c r="Q3207" s="15" t="s">
        <v>1089</v>
      </c>
      <c r="R3207" s="16" t="s">
        <v>20128</v>
      </c>
      <c r="S3207" s="15" t="s">
        <v>20129</v>
      </c>
      <c r="T3207" s="15" t="s">
        <v>20130</v>
      </c>
      <c r="U3207" s="21" t="s">
        <v>72</v>
      </c>
    </row>
    <row r="3208" customFormat="false" ht="15" hidden="false" customHeight="false" outlineLevel="0" collapsed="false">
      <c r="A3208" s="15" t="s">
        <v>19480</v>
      </c>
      <c r="B3208" s="15" t="s">
        <v>20055</v>
      </c>
      <c r="C3208" s="14" t="s">
        <v>20131</v>
      </c>
      <c r="D3208" s="14" t="s">
        <v>20132</v>
      </c>
      <c r="E3208" s="16" t="s">
        <v>20133</v>
      </c>
      <c r="F3208" s="16" t="s">
        <v>20134</v>
      </c>
      <c r="G3208" s="19" t="s">
        <v>41</v>
      </c>
      <c r="H3208" s="18" t="n">
        <v>4</v>
      </c>
      <c r="I3208" s="20" t="n">
        <v>107.7</v>
      </c>
      <c r="J3208" s="20" t="n">
        <v>213.45</v>
      </c>
      <c r="K3208" s="18" t="n">
        <v>6</v>
      </c>
      <c r="L3208" s="18" t="n">
        <v>14</v>
      </c>
      <c r="M3208" s="18" t="n">
        <v>84</v>
      </c>
      <c r="N3208" s="18" t="n">
        <v>16</v>
      </c>
      <c r="O3208" s="14" t="s">
        <v>1088</v>
      </c>
      <c r="P3208" s="14" t="s">
        <v>118</v>
      </c>
      <c r="Q3208" s="15" t="s">
        <v>1089</v>
      </c>
      <c r="R3208" s="16" t="s">
        <v>20135</v>
      </c>
      <c r="S3208" s="15" t="s">
        <v>20136</v>
      </c>
      <c r="T3208" s="15" t="s">
        <v>20137</v>
      </c>
      <c r="U3208" s="21" t="s">
        <v>72</v>
      </c>
    </row>
    <row r="3209" customFormat="false" ht="15" hidden="false" customHeight="false" outlineLevel="0" collapsed="false">
      <c r="A3209" s="15" t="s">
        <v>19480</v>
      </c>
      <c r="B3209" s="15" t="s">
        <v>20055</v>
      </c>
      <c r="C3209" s="14" t="s">
        <v>20138</v>
      </c>
      <c r="D3209" s="14" t="s">
        <v>20139</v>
      </c>
      <c r="E3209" s="16" t="s">
        <v>20140</v>
      </c>
      <c r="F3209" s="16" t="s">
        <v>20134</v>
      </c>
      <c r="G3209" s="19" t="s">
        <v>41</v>
      </c>
      <c r="H3209" s="18" t="n">
        <v>4</v>
      </c>
      <c r="I3209" s="20" t="n">
        <v>93.89</v>
      </c>
      <c r="J3209" s="20" t="n">
        <v>208.39</v>
      </c>
      <c r="K3209" s="18" t="n">
        <v>13</v>
      </c>
      <c r="L3209" s="18" t="n">
        <v>18</v>
      </c>
      <c r="M3209" s="18" t="n">
        <v>288</v>
      </c>
      <c r="N3209" s="18" t="n">
        <v>60</v>
      </c>
      <c r="O3209" s="14" t="s">
        <v>1097</v>
      </c>
      <c r="P3209" s="14" t="s">
        <v>118</v>
      </c>
      <c r="Q3209" s="15" t="s">
        <v>1089</v>
      </c>
      <c r="R3209" s="16" t="s">
        <v>20141</v>
      </c>
      <c r="S3209" s="15" t="s">
        <v>20142</v>
      </c>
      <c r="T3209" s="15" t="s">
        <v>20143</v>
      </c>
      <c r="U3209" s="21" t="s">
        <v>72</v>
      </c>
    </row>
    <row r="3210" customFormat="false" ht="15" hidden="false" customHeight="false" outlineLevel="0" collapsed="false">
      <c r="A3210" s="15" t="s">
        <v>19480</v>
      </c>
      <c r="B3210" s="15" t="s">
        <v>20055</v>
      </c>
      <c r="C3210" s="14" t="s">
        <v>20144</v>
      </c>
      <c r="D3210" s="14" t="s">
        <v>20145</v>
      </c>
      <c r="E3210" s="16" t="s">
        <v>20146</v>
      </c>
      <c r="F3210" s="16" t="s">
        <v>20134</v>
      </c>
      <c r="G3210" s="23" t="s">
        <v>43</v>
      </c>
      <c r="H3210" s="18" t="n">
        <v>2</v>
      </c>
      <c r="I3210" s="20" t="n">
        <v>38.36</v>
      </c>
      <c r="J3210" s="20" t="n">
        <v>129.78</v>
      </c>
      <c r="K3210" s="18" t="n">
        <v>13</v>
      </c>
      <c r="L3210" s="18" t="n">
        <v>10</v>
      </c>
      <c r="M3210" s="18" t="n">
        <v>182</v>
      </c>
      <c r="N3210" s="18" t="n">
        <v>42</v>
      </c>
      <c r="O3210" s="14" t="s">
        <v>1097</v>
      </c>
      <c r="P3210" s="14" t="s">
        <v>118</v>
      </c>
      <c r="Q3210" s="15" t="s">
        <v>1089</v>
      </c>
      <c r="R3210" s="16" t="s">
        <v>20147</v>
      </c>
      <c r="S3210" s="15" t="s">
        <v>20148</v>
      </c>
      <c r="T3210" s="15" t="s">
        <v>20149</v>
      </c>
      <c r="U3210" s="21" t="s">
        <v>72</v>
      </c>
    </row>
    <row r="3211" customFormat="false" ht="15" hidden="false" customHeight="false" outlineLevel="0" collapsed="false">
      <c r="A3211" s="15" t="s">
        <v>19480</v>
      </c>
      <c r="B3211" s="15" t="s">
        <v>20055</v>
      </c>
      <c r="C3211" s="14" t="s">
        <v>20150</v>
      </c>
      <c r="D3211" s="14" t="s">
        <v>20151</v>
      </c>
      <c r="E3211" s="16" t="s">
        <v>20152</v>
      </c>
      <c r="F3211" s="16" t="s">
        <v>20153</v>
      </c>
      <c r="G3211" s="19" t="s">
        <v>41</v>
      </c>
      <c r="H3211" s="18" t="n">
        <v>4</v>
      </c>
      <c r="I3211" s="20" t="n">
        <v>110.41</v>
      </c>
      <c r="J3211" s="20" t="n">
        <v>247.12</v>
      </c>
      <c r="K3211" s="18" t="n">
        <v>20</v>
      </c>
      <c r="L3211" s="18" t="n">
        <v>5</v>
      </c>
      <c r="M3211" s="18" t="n">
        <v>408</v>
      </c>
      <c r="N3211" s="18" t="n">
        <v>150</v>
      </c>
      <c r="O3211" s="14" t="s">
        <v>20154</v>
      </c>
      <c r="P3211" s="14" t="s">
        <v>118</v>
      </c>
      <c r="Q3211" s="15" t="s">
        <v>1089</v>
      </c>
      <c r="R3211" s="16" t="s">
        <v>20155</v>
      </c>
      <c r="S3211" s="15" t="s">
        <v>20156</v>
      </c>
      <c r="T3211" s="15" t="s">
        <v>20157</v>
      </c>
      <c r="U3211" s="21" t="s">
        <v>72</v>
      </c>
    </row>
    <row r="3212" customFormat="false" ht="15" hidden="false" customHeight="false" outlineLevel="0" collapsed="false">
      <c r="A3212" s="15" t="s">
        <v>19480</v>
      </c>
      <c r="B3212" s="15" t="s">
        <v>20055</v>
      </c>
      <c r="C3212" s="14" t="s">
        <v>20158</v>
      </c>
      <c r="D3212" s="14" t="s">
        <v>20159</v>
      </c>
      <c r="E3212" s="16" t="s">
        <v>20160</v>
      </c>
      <c r="F3212" s="16" t="s">
        <v>20161</v>
      </c>
      <c r="G3212" s="23" t="s">
        <v>43</v>
      </c>
      <c r="H3212" s="18" t="n">
        <v>4</v>
      </c>
      <c r="I3212" s="20" t="n">
        <v>39.8</v>
      </c>
      <c r="J3212" s="20" t="n">
        <v>153.2</v>
      </c>
      <c r="K3212" s="18" t="n">
        <v>6</v>
      </c>
      <c r="L3212" s="18" t="n">
        <v>22</v>
      </c>
      <c r="M3212" s="18" t="n">
        <v>40</v>
      </c>
      <c r="N3212" s="18" t="n">
        <v>33</v>
      </c>
      <c r="O3212" s="14" t="s">
        <v>1097</v>
      </c>
      <c r="P3212" s="14" t="s">
        <v>118</v>
      </c>
      <c r="Q3212" s="15" t="s">
        <v>1089</v>
      </c>
      <c r="R3212" s="16" t="s">
        <v>20162</v>
      </c>
      <c r="S3212" s="15" t="s">
        <v>20163</v>
      </c>
      <c r="T3212" s="15" t="s">
        <v>20163</v>
      </c>
      <c r="U3212" s="21" t="s">
        <v>72</v>
      </c>
    </row>
    <row r="3213" customFormat="false" ht="26.85" hidden="false" customHeight="false" outlineLevel="0" collapsed="false">
      <c r="A3213" s="15" t="s">
        <v>19480</v>
      </c>
      <c r="B3213" s="15" t="s">
        <v>20055</v>
      </c>
      <c r="C3213" s="14" t="s">
        <v>20164</v>
      </c>
      <c r="D3213" s="14" t="s">
        <v>20165</v>
      </c>
      <c r="E3213" s="16" t="s">
        <v>20166</v>
      </c>
      <c r="F3213" s="16" t="s">
        <v>20167</v>
      </c>
      <c r="G3213" s="23" t="s">
        <v>43</v>
      </c>
      <c r="H3213" s="18" t="n">
        <v>2</v>
      </c>
      <c r="I3213" s="20" t="n">
        <v>60.96</v>
      </c>
      <c r="J3213" s="20" t="n">
        <v>190.27</v>
      </c>
      <c r="K3213" s="18" t="n">
        <v>11</v>
      </c>
      <c r="L3213" s="18" t="n">
        <v>2</v>
      </c>
      <c r="M3213" s="18" t="n">
        <v>170</v>
      </c>
      <c r="N3213" s="18" t="n">
        <v>40</v>
      </c>
      <c r="O3213" s="14" t="s">
        <v>1088</v>
      </c>
      <c r="P3213" s="14" t="s">
        <v>1185</v>
      </c>
      <c r="Q3213" s="15" t="s">
        <v>1089</v>
      </c>
      <c r="R3213" s="16" t="s">
        <v>20168</v>
      </c>
      <c r="S3213" s="15" t="s">
        <v>20169</v>
      </c>
      <c r="T3213" s="15" t="s">
        <v>20170</v>
      </c>
      <c r="U3213" s="21" t="s">
        <v>72</v>
      </c>
    </row>
    <row r="3214" customFormat="false" ht="15" hidden="false" customHeight="false" outlineLevel="0" collapsed="false">
      <c r="A3214" s="15" t="s">
        <v>19480</v>
      </c>
      <c r="B3214" s="15" t="s">
        <v>20055</v>
      </c>
      <c r="C3214" s="14" t="s">
        <v>20171</v>
      </c>
      <c r="D3214" s="14" t="s">
        <v>20172</v>
      </c>
      <c r="E3214" s="16" t="s">
        <v>20173</v>
      </c>
      <c r="F3214" s="16" t="s">
        <v>19611</v>
      </c>
      <c r="G3214" s="25" t="s">
        <v>39</v>
      </c>
      <c r="H3214" s="18" t="n">
        <v>7</v>
      </c>
      <c r="I3214" s="20" t="n">
        <v>1865.28</v>
      </c>
      <c r="J3214" s="20" t="n">
        <v>418.01</v>
      </c>
      <c r="K3214" s="18" t="n">
        <v>20</v>
      </c>
      <c r="L3214" s="18" t="n">
        <v>6</v>
      </c>
      <c r="M3214" s="18" t="n">
        <v>240</v>
      </c>
      <c r="N3214" s="18" t="n">
        <v>240</v>
      </c>
      <c r="O3214" s="14" t="s">
        <v>1097</v>
      </c>
      <c r="P3214" s="14" t="s">
        <v>84</v>
      </c>
      <c r="Q3214" s="15" t="s">
        <v>1089</v>
      </c>
      <c r="R3214" s="16" t="s">
        <v>20174</v>
      </c>
      <c r="S3214" s="15" t="s">
        <v>20175</v>
      </c>
      <c r="T3214" s="15" t="s">
        <v>20176</v>
      </c>
      <c r="U3214" s="21" t="s">
        <v>72</v>
      </c>
    </row>
    <row r="3215" customFormat="false" ht="15" hidden="false" customHeight="false" outlineLevel="0" collapsed="false">
      <c r="A3215" s="15" t="s">
        <v>19480</v>
      </c>
      <c r="B3215" s="15" t="s">
        <v>20055</v>
      </c>
      <c r="C3215" s="14" t="s">
        <v>20177</v>
      </c>
      <c r="D3215" s="14" t="s">
        <v>20178</v>
      </c>
      <c r="E3215" s="16" t="s">
        <v>20179</v>
      </c>
      <c r="F3215" s="16" t="s">
        <v>20180</v>
      </c>
      <c r="G3215" s="25" t="s">
        <v>39</v>
      </c>
      <c r="H3215" s="18" t="n">
        <v>4</v>
      </c>
      <c r="I3215" s="20" t="n">
        <v>248.27</v>
      </c>
      <c r="J3215" s="20" t="n">
        <v>426.03</v>
      </c>
      <c r="K3215" s="18" t="n">
        <v>4</v>
      </c>
      <c r="L3215" s="18" t="n">
        <v>3</v>
      </c>
      <c r="M3215" s="18" t="n">
        <v>126</v>
      </c>
      <c r="N3215" s="18" t="n">
        <v>126</v>
      </c>
      <c r="O3215" s="14" t="s">
        <v>1088</v>
      </c>
      <c r="P3215" s="14" t="s">
        <v>84</v>
      </c>
      <c r="Q3215" s="15" t="s">
        <v>1089</v>
      </c>
      <c r="R3215" s="16" t="s">
        <v>20181</v>
      </c>
      <c r="S3215" s="15" t="s">
        <v>20182</v>
      </c>
      <c r="T3215" s="15" t="s">
        <v>20183</v>
      </c>
      <c r="U3215" s="21" t="s">
        <v>72</v>
      </c>
    </row>
    <row r="3216" customFormat="false" ht="15" hidden="false" customHeight="false" outlineLevel="0" collapsed="false">
      <c r="A3216" s="15" t="s">
        <v>19480</v>
      </c>
      <c r="B3216" s="15" t="s">
        <v>20055</v>
      </c>
      <c r="C3216" s="14" t="s">
        <v>20184</v>
      </c>
      <c r="D3216" s="14" t="s">
        <v>20185</v>
      </c>
      <c r="E3216" s="16" t="s">
        <v>20186</v>
      </c>
      <c r="F3216" s="16" t="s">
        <v>20187</v>
      </c>
      <c r="G3216" s="23" t="s">
        <v>43</v>
      </c>
      <c r="H3216" s="18" t="n">
        <v>3</v>
      </c>
      <c r="I3216" s="20" t="n">
        <v>59.26</v>
      </c>
      <c r="J3216" s="20" t="n">
        <v>123.22</v>
      </c>
      <c r="K3216" s="18" t="n">
        <v>8</v>
      </c>
      <c r="L3216" s="18" t="n">
        <v>4</v>
      </c>
      <c r="M3216" s="18" t="n">
        <v>119</v>
      </c>
      <c r="N3216" s="18" t="n">
        <v>51</v>
      </c>
      <c r="O3216" s="14" t="s">
        <v>1097</v>
      </c>
      <c r="P3216" s="14" t="s">
        <v>118</v>
      </c>
      <c r="Q3216" s="15" t="s">
        <v>1089</v>
      </c>
      <c r="R3216" s="16" t="s">
        <v>20188</v>
      </c>
      <c r="S3216" s="15" t="s">
        <v>20189</v>
      </c>
      <c r="T3216" s="15" t="s">
        <v>20190</v>
      </c>
      <c r="U3216" s="21" t="s">
        <v>72</v>
      </c>
    </row>
    <row r="3217" customFormat="false" ht="15" hidden="false" customHeight="false" outlineLevel="0" collapsed="false">
      <c r="A3217" s="15" t="s">
        <v>19480</v>
      </c>
      <c r="B3217" s="15" t="s">
        <v>20055</v>
      </c>
      <c r="C3217" s="14" t="s">
        <v>20191</v>
      </c>
      <c r="D3217" s="14" t="s">
        <v>20192</v>
      </c>
      <c r="E3217" s="16" t="s">
        <v>20193</v>
      </c>
      <c r="F3217" s="16" t="s">
        <v>20194</v>
      </c>
      <c r="G3217" s="23" t="s">
        <v>43</v>
      </c>
      <c r="H3217" s="18" t="n">
        <v>1</v>
      </c>
      <c r="I3217" s="20" t="n">
        <v>32.28</v>
      </c>
      <c r="J3217" s="20" t="n">
        <v>78.47</v>
      </c>
      <c r="K3217" s="18" t="n">
        <v>14</v>
      </c>
      <c r="L3217" s="18" t="n">
        <v>3</v>
      </c>
      <c r="M3217" s="18" t="n">
        <v>336</v>
      </c>
      <c r="N3217" s="18" t="n">
        <v>72</v>
      </c>
      <c r="O3217" s="14" t="s">
        <v>1097</v>
      </c>
      <c r="P3217" s="14" t="s">
        <v>118</v>
      </c>
      <c r="Q3217" s="15" t="s">
        <v>1089</v>
      </c>
      <c r="R3217" s="16" t="s">
        <v>20195</v>
      </c>
      <c r="S3217" s="15" t="s">
        <v>20196</v>
      </c>
      <c r="T3217" s="15" t="s">
        <v>20197</v>
      </c>
      <c r="U3217" s="21" t="s">
        <v>72</v>
      </c>
    </row>
    <row r="3218" customFormat="false" ht="15" hidden="false" customHeight="false" outlineLevel="0" collapsed="false">
      <c r="A3218" s="15" t="s">
        <v>19480</v>
      </c>
      <c r="B3218" s="15" t="s">
        <v>20055</v>
      </c>
      <c r="C3218" s="14" t="s">
        <v>20198</v>
      </c>
      <c r="D3218" s="14" t="s">
        <v>20199</v>
      </c>
      <c r="E3218" s="16" t="s">
        <v>20200</v>
      </c>
      <c r="F3218" s="16" t="s">
        <v>20201</v>
      </c>
      <c r="G3218" s="23" t="s">
        <v>43</v>
      </c>
      <c r="H3218" s="18" t="n">
        <v>2</v>
      </c>
      <c r="I3218" s="20" t="n">
        <v>30.5</v>
      </c>
      <c r="J3218" s="20" t="n">
        <v>79.04</v>
      </c>
      <c r="K3218" s="18" t="n">
        <v>10</v>
      </c>
      <c r="L3218" s="18" t="n">
        <v>1</v>
      </c>
      <c r="M3218" s="18" t="n">
        <v>98</v>
      </c>
      <c r="N3218" s="18" t="n">
        <v>58</v>
      </c>
      <c r="O3218" s="14" t="s">
        <v>20202</v>
      </c>
      <c r="P3218" s="14" t="s">
        <v>118</v>
      </c>
      <c r="Q3218" s="15" t="s">
        <v>1089</v>
      </c>
      <c r="R3218" s="16" t="s">
        <v>20203</v>
      </c>
      <c r="S3218" s="15" t="s">
        <v>20204</v>
      </c>
      <c r="T3218" s="15" t="s">
        <v>20204</v>
      </c>
      <c r="U3218" s="21" t="s">
        <v>72</v>
      </c>
    </row>
    <row r="3219" customFormat="false" ht="26.85" hidden="false" customHeight="false" outlineLevel="0" collapsed="false">
      <c r="A3219" s="15" t="s">
        <v>19480</v>
      </c>
      <c r="B3219" s="15" t="s">
        <v>20055</v>
      </c>
      <c r="C3219" s="14" t="s">
        <v>20205</v>
      </c>
      <c r="D3219" s="14" t="s">
        <v>20206</v>
      </c>
      <c r="E3219" s="16" t="s">
        <v>20207</v>
      </c>
      <c r="F3219" s="16" t="s">
        <v>19973</v>
      </c>
      <c r="G3219" s="23" t="s">
        <v>43</v>
      </c>
      <c r="H3219" s="18" t="n">
        <v>4</v>
      </c>
      <c r="I3219" s="20" t="n">
        <v>86.46</v>
      </c>
      <c r="J3219" s="20" t="n">
        <v>148.03</v>
      </c>
      <c r="K3219" s="18" t="n">
        <v>12</v>
      </c>
      <c r="L3219" s="18" t="n">
        <v>3</v>
      </c>
      <c r="M3219" s="18" t="n">
        <v>192</v>
      </c>
      <c r="N3219" s="18" t="n">
        <v>90</v>
      </c>
      <c r="O3219" s="14" t="s">
        <v>20208</v>
      </c>
      <c r="P3219" s="14" t="s">
        <v>84</v>
      </c>
      <c r="Q3219" s="15" t="s">
        <v>1089</v>
      </c>
      <c r="R3219" s="16" t="s">
        <v>3946</v>
      </c>
      <c r="S3219" s="15" t="s">
        <v>19975</v>
      </c>
      <c r="T3219" s="15" t="s">
        <v>20209</v>
      </c>
      <c r="U3219" s="21" t="s">
        <v>72</v>
      </c>
    </row>
    <row r="3220" customFormat="false" ht="15" hidden="false" customHeight="false" outlineLevel="0" collapsed="false">
      <c r="A3220" s="15" t="s">
        <v>19480</v>
      </c>
      <c r="B3220" s="15" t="s">
        <v>20055</v>
      </c>
      <c r="C3220" s="14" t="s">
        <v>20210</v>
      </c>
      <c r="D3220" s="14" t="s">
        <v>20211</v>
      </c>
      <c r="E3220" s="16" t="s">
        <v>20212</v>
      </c>
      <c r="F3220" s="16" t="s">
        <v>20213</v>
      </c>
      <c r="G3220" s="25" t="s">
        <v>39</v>
      </c>
      <c r="H3220" s="18" t="n">
        <v>15</v>
      </c>
      <c r="I3220" s="20" t="n">
        <v>549.2</v>
      </c>
      <c r="J3220" s="20" t="n">
        <v>1030.66</v>
      </c>
      <c r="K3220" s="18" t="n">
        <v>8</v>
      </c>
      <c r="L3220" s="18" t="n">
        <v>5</v>
      </c>
      <c r="M3220" s="18" t="n">
        <v>160</v>
      </c>
      <c r="N3220" s="18" t="n">
        <v>160</v>
      </c>
      <c r="O3220" s="14" t="s">
        <v>1088</v>
      </c>
      <c r="P3220" s="14" t="s">
        <v>84</v>
      </c>
      <c r="Q3220" s="15" t="s">
        <v>1089</v>
      </c>
      <c r="R3220" s="16" t="s">
        <v>20214</v>
      </c>
      <c r="S3220" s="15" t="s">
        <v>20215</v>
      </c>
      <c r="T3220" s="15" t="s">
        <v>20216</v>
      </c>
      <c r="U3220" s="21" t="s">
        <v>72</v>
      </c>
    </row>
    <row r="3221" customFormat="false" ht="15" hidden="false" customHeight="false" outlineLevel="0" collapsed="false">
      <c r="A3221" s="15" t="s">
        <v>19480</v>
      </c>
      <c r="B3221" s="15" t="s">
        <v>20055</v>
      </c>
      <c r="C3221" s="14" t="s">
        <v>20217</v>
      </c>
      <c r="D3221" s="14" t="s">
        <v>20218</v>
      </c>
      <c r="E3221" s="16" t="s">
        <v>20219</v>
      </c>
      <c r="F3221" s="16"/>
      <c r="G3221" s="25" t="s">
        <v>39</v>
      </c>
      <c r="H3221" s="18" t="n">
        <v>8</v>
      </c>
      <c r="I3221" s="20" t="n">
        <v>234.84</v>
      </c>
      <c r="J3221" s="20" t="n">
        <v>451.51</v>
      </c>
      <c r="K3221" s="18" t="n">
        <v>27</v>
      </c>
      <c r="L3221" s="18" t="n">
        <v>6</v>
      </c>
      <c r="M3221" s="18" t="n">
        <v>504</v>
      </c>
      <c r="N3221" s="18" t="n">
        <v>450</v>
      </c>
      <c r="O3221" s="14" t="s">
        <v>1088</v>
      </c>
      <c r="P3221" s="14" t="s">
        <v>84</v>
      </c>
      <c r="Q3221" s="15" t="s">
        <v>1089</v>
      </c>
      <c r="R3221" s="16" t="s">
        <v>20220</v>
      </c>
      <c r="S3221" s="15" t="s">
        <v>20221</v>
      </c>
      <c r="T3221" s="15" t="s">
        <v>20222</v>
      </c>
      <c r="U3221" s="21" t="s">
        <v>72</v>
      </c>
    </row>
    <row r="3222" customFormat="false" ht="15" hidden="false" customHeight="false" outlineLevel="0" collapsed="false">
      <c r="A3222" s="15" t="s">
        <v>19480</v>
      </c>
      <c r="B3222" s="15" t="s">
        <v>20055</v>
      </c>
      <c r="C3222" s="14" t="s">
        <v>20223</v>
      </c>
      <c r="D3222" s="14" t="s">
        <v>20224</v>
      </c>
      <c r="E3222" s="16" t="s">
        <v>20225</v>
      </c>
      <c r="F3222" s="16" t="s">
        <v>20226</v>
      </c>
      <c r="G3222" s="19" t="s">
        <v>41</v>
      </c>
      <c r="H3222" s="18" t="n">
        <v>5</v>
      </c>
      <c r="I3222" s="20" t="n">
        <v>117.92</v>
      </c>
      <c r="J3222" s="20" t="n">
        <v>295.96</v>
      </c>
      <c r="K3222" s="18" t="n">
        <v>14</v>
      </c>
      <c r="L3222" s="18" t="n">
        <v>2</v>
      </c>
      <c r="M3222" s="18" t="n">
        <v>168</v>
      </c>
      <c r="N3222" s="18" t="n">
        <v>96</v>
      </c>
      <c r="O3222" s="14" t="s">
        <v>1097</v>
      </c>
      <c r="P3222" s="14" t="s">
        <v>118</v>
      </c>
      <c r="Q3222" s="15" t="s">
        <v>1089</v>
      </c>
      <c r="R3222" s="16" t="s">
        <v>20227</v>
      </c>
      <c r="S3222" s="15" t="s">
        <v>20228</v>
      </c>
      <c r="T3222" s="15" t="s">
        <v>20228</v>
      </c>
      <c r="U3222" s="21" t="s">
        <v>72</v>
      </c>
    </row>
    <row r="3223" customFormat="false" ht="15" hidden="false" customHeight="false" outlineLevel="0" collapsed="false">
      <c r="A3223" s="15" t="s">
        <v>19480</v>
      </c>
      <c r="B3223" s="15" t="s">
        <v>20055</v>
      </c>
      <c r="C3223" s="14" t="s">
        <v>20229</v>
      </c>
      <c r="D3223" s="14" t="s">
        <v>20230</v>
      </c>
      <c r="E3223" s="16" t="s">
        <v>20231</v>
      </c>
      <c r="F3223" s="16" t="s">
        <v>20232</v>
      </c>
      <c r="G3223" s="19" t="s">
        <v>41</v>
      </c>
      <c r="H3223" s="18" t="n">
        <v>5</v>
      </c>
      <c r="I3223" s="20" t="n">
        <v>132.12</v>
      </c>
      <c r="J3223" s="20" t="n">
        <v>258.13</v>
      </c>
      <c r="K3223" s="18" t="n">
        <v>18</v>
      </c>
      <c r="L3223" s="18" t="n">
        <v>4</v>
      </c>
      <c r="M3223" s="18" t="n">
        <v>322</v>
      </c>
      <c r="N3223" s="18" t="n">
        <v>226</v>
      </c>
      <c r="O3223" s="14" t="s">
        <v>1097</v>
      </c>
      <c r="P3223" s="14" t="s">
        <v>84</v>
      </c>
      <c r="Q3223" s="15" t="s">
        <v>1089</v>
      </c>
      <c r="R3223" s="16" t="s">
        <v>2050</v>
      </c>
      <c r="S3223" s="15" t="s">
        <v>20233</v>
      </c>
      <c r="T3223" s="15" t="s">
        <v>20234</v>
      </c>
      <c r="U3223" s="21" t="s">
        <v>72</v>
      </c>
    </row>
    <row r="3224" customFormat="false" ht="15" hidden="false" customHeight="false" outlineLevel="0" collapsed="false">
      <c r="A3224" s="15" t="s">
        <v>19480</v>
      </c>
      <c r="B3224" s="15" t="s">
        <v>20055</v>
      </c>
      <c r="C3224" s="14" t="s">
        <v>20235</v>
      </c>
      <c r="D3224" s="14" t="s">
        <v>20236</v>
      </c>
      <c r="E3224" s="16" t="s">
        <v>20237</v>
      </c>
      <c r="F3224" s="16" t="s">
        <v>20232</v>
      </c>
      <c r="G3224" s="23" t="s">
        <v>43</v>
      </c>
      <c r="H3224" s="18" t="n">
        <v>2</v>
      </c>
      <c r="I3224" s="20" t="n">
        <v>80.5</v>
      </c>
      <c r="J3224" s="20" t="n">
        <v>137.7</v>
      </c>
      <c r="K3224" s="18" t="n">
        <v>6</v>
      </c>
      <c r="L3224" s="18" t="n">
        <v>1</v>
      </c>
      <c r="M3224" s="18" t="n">
        <v>114</v>
      </c>
      <c r="N3224" s="18" t="n">
        <v>114</v>
      </c>
      <c r="O3224" s="14" t="s">
        <v>1097</v>
      </c>
      <c r="P3224" s="14" t="s">
        <v>84</v>
      </c>
      <c r="Q3224" s="15" t="s">
        <v>1089</v>
      </c>
      <c r="R3224" s="16" t="s">
        <v>20238</v>
      </c>
      <c r="S3224" s="15" t="s">
        <v>20234</v>
      </c>
      <c r="T3224" s="15" t="s">
        <v>20239</v>
      </c>
      <c r="U3224" s="21" t="s">
        <v>72</v>
      </c>
    </row>
    <row r="3225" customFormat="false" ht="15" hidden="false" customHeight="false" outlineLevel="0" collapsed="false">
      <c r="A3225" s="15" t="s">
        <v>19480</v>
      </c>
      <c r="B3225" s="15" t="s">
        <v>20055</v>
      </c>
      <c r="C3225" s="14" t="s">
        <v>20240</v>
      </c>
      <c r="D3225" s="14" t="s">
        <v>20241</v>
      </c>
      <c r="E3225" s="16" t="s">
        <v>20242</v>
      </c>
      <c r="F3225" s="16" t="s">
        <v>20243</v>
      </c>
      <c r="G3225" s="19" t="s">
        <v>41</v>
      </c>
      <c r="H3225" s="18" t="n">
        <v>4</v>
      </c>
      <c r="I3225" s="20" t="n">
        <v>145</v>
      </c>
      <c r="J3225" s="20" t="n">
        <v>338.68</v>
      </c>
      <c r="K3225" s="18" t="n">
        <v>12</v>
      </c>
      <c r="L3225" s="18" t="n">
        <v>3</v>
      </c>
      <c r="M3225" s="18" t="n">
        <v>344</v>
      </c>
      <c r="N3225" s="18" t="n">
        <v>344</v>
      </c>
      <c r="O3225" s="14" t="s">
        <v>1088</v>
      </c>
      <c r="P3225" s="14" t="s">
        <v>84</v>
      </c>
      <c r="Q3225" s="15" t="s">
        <v>1089</v>
      </c>
      <c r="R3225" s="16" t="s">
        <v>3904</v>
      </c>
      <c r="S3225" s="15" t="s">
        <v>20244</v>
      </c>
      <c r="T3225" s="15" t="s">
        <v>20244</v>
      </c>
      <c r="U3225" s="21" t="s">
        <v>72</v>
      </c>
    </row>
    <row r="3226" customFormat="false" ht="15" hidden="false" customHeight="false" outlineLevel="0" collapsed="false">
      <c r="A3226" s="15" t="s">
        <v>19480</v>
      </c>
      <c r="B3226" s="15" t="s">
        <v>20055</v>
      </c>
      <c r="C3226" s="14" t="s">
        <v>20245</v>
      </c>
      <c r="D3226" s="14" t="s">
        <v>20246</v>
      </c>
      <c r="E3226" s="16" t="s">
        <v>20247</v>
      </c>
      <c r="F3226" s="16" t="s">
        <v>20248</v>
      </c>
      <c r="G3226" s="23" t="s">
        <v>43</v>
      </c>
      <c r="H3226" s="18" t="n">
        <v>4</v>
      </c>
      <c r="I3226" s="20" t="n">
        <v>70.45</v>
      </c>
      <c r="J3226" s="20" t="n">
        <v>177.18</v>
      </c>
      <c r="K3226" s="18" t="n">
        <v>10</v>
      </c>
      <c r="L3226" s="18" t="n">
        <v>2</v>
      </c>
      <c r="M3226" s="18" t="n">
        <v>124</v>
      </c>
      <c r="N3226" s="18" t="n">
        <v>124</v>
      </c>
      <c r="O3226" s="14" t="s">
        <v>1088</v>
      </c>
      <c r="P3226" s="14" t="s">
        <v>84</v>
      </c>
      <c r="Q3226" s="15" t="s">
        <v>1089</v>
      </c>
      <c r="R3226" s="16" t="s">
        <v>13992</v>
      </c>
      <c r="S3226" s="15" t="s">
        <v>20249</v>
      </c>
      <c r="T3226" s="15" t="s">
        <v>20250</v>
      </c>
      <c r="U3226" s="21" t="s">
        <v>72</v>
      </c>
    </row>
    <row r="3227" customFormat="false" ht="15" hidden="false" customHeight="false" outlineLevel="0" collapsed="false">
      <c r="A3227" s="15" t="s">
        <v>19480</v>
      </c>
      <c r="B3227" s="15" t="s">
        <v>20055</v>
      </c>
      <c r="C3227" s="14" t="s">
        <v>20251</v>
      </c>
      <c r="D3227" s="14" t="s">
        <v>20252</v>
      </c>
      <c r="E3227" s="16" t="s">
        <v>20253</v>
      </c>
      <c r="F3227" s="16" t="s">
        <v>20254</v>
      </c>
      <c r="G3227" s="23" t="s">
        <v>43</v>
      </c>
      <c r="H3227" s="18" t="n">
        <v>4</v>
      </c>
      <c r="I3227" s="20" t="n">
        <v>57.67</v>
      </c>
      <c r="J3227" s="20" t="n">
        <v>115.09</v>
      </c>
      <c r="K3227" s="18" t="n">
        <v>12</v>
      </c>
      <c r="L3227" s="18" t="n">
        <v>1</v>
      </c>
      <c r="M3227" s="18" t="n">
        <v>122</v>
      </c>
      <c r="N3227" s="18" t="n">
        <v>66</v>
      </c>
      <c r="O3227" s="14" t="s">
        <v>1097</v>
      </c>
      <c r="P3227" s="14" t="s">
        <v>118</v>
      </c>
      <c r="Q3227" s="15" t="s">
        <v>1089</v>
      </c>
      <c r="R3227" s="16" t="s">
        <v>11419</v>
      </c>
      <c r="S3227" s="15" t="s">
        <v>20255</v>
      </c>
      <c r="T3227" s="15" t="s">
        <v>20255</v>
      </c>
      <c r="U3227" s="21" t="s">
        <v>72</v>
      </c>
    </row>
    <row r="3228" customFormat="false" ht="15" hidden="false" customHeight="false" outlineLevel="0" collapsed="false">
      <c r="A3228" s="15" t="s">
        <v>19480</v>
      </c>
      <c r="B3228" s="15" t="s">
        <v>20055</v>
      </c>
      <c r="C3228" s="14" t="s">
        <v>20256</v>
      </c>
      <c r="D3228" s="14" t="s">
        <v>20257</v>
      </c>
      <c r="E3228" s="16" t="s">
        <v>20258</v>
      </c>
      <c r="F3228" s="16" t="s">
        <v>20259</v>
      </c>
      <c r="G3228" s="23" t="s">
        <v>43</v>
      </c>
      <c r="H3228" s="18" t="n">
        <v>3</v>
      </c>
      <c r="I3228" s="20" t="n">
        <v>52.7</v>
      </c>
      <c r="J3228" s="20" t="n">
        <v>90.09</v>
      </c>
      <c r="K3228" s="18" t="n">
        <v>8</v>
      </c>
      <c r="L3228" s="18" t="n">
        <v>5</v>
      </c>
      <c r="M3228" s="18" t="n">
        <v>78</v>
      </c>
      <c r="N3228" s="18" t="n">
        <v>24</v>
      </c>
      <c r="O3228" s="14" t="s">
        <v>1088</v>
      </c>
      <c r="P3228" s="14" t="s">
        <v>84</v>
      </c>
      <c r="Q3228" s="15" t="s">
        <v>1089</v>
      </c>
      <c r="R3228" s="16" t="s">
        <v>20260</v>
      </c>
      <c r="S3228" s="15" t="s">
        <v>18879</v>
      </c>
      <c r="T3228" s="15" t="s">
        <v>20261</v>
      </c>
      <c r="U3228" s="21" t="s">
        <v>72</v>
      </c>
    </row>
    <row r="3229" customFormat="false" ht="15" hidden="false" customHeight="false" outlineLevel="0" collapsed="false">
      <c r="A3229" s="15" t="s">
        <v>19480</v>
      </c>
      <c r="B3229" s="15" t="s">
        <v>20262</v>
      </c>
      <c r="C3229" s="14" t="s">
        <v>20263</v>
      </c>
      <c r="D3229" s="14" t="s">
        <v>20264</v>
      </c>
      <c r="E3229" s="16" t="s">
        <v>20265</v>
      </c>
      <c r="F3229" s="16" t="s">
        <v>1387</v>
      </c>
      <c r="G3229" s="25" t="s">
        <v>39</v>
      </c>
      <c r="H3229" s="18" t="n">
        <v>8</v>
      </c>
      <c r="I3229" s="20" t="n">
        <v>316.93</v>
      </c>
      <c r="J3229" s="20" t="n">
        <v>430.12</v>
      </c>
      <c r="K3229" s="18" t="n">
        <v>24</v>
      </c>
      <c r="L3229" s="18" t="n">
        <v>12</v>
      </c>
      <c r="M3229" s="18" t="n">
        <v>594</v>
      </c>
      <c r="N3229" s="18" t="n">
        <v>324</v>
      </c>
      <c r="O3229" s="14" t="s">
        <v>20266</v>
      </c>
      <c r="P3229" s="14" t="s">
        <v>84</v>
      </c>
      <c r="Q3229" s="15" t="s">
        <v>1089</v>
      </c>
      <c r="R3229" s="16" t="s">
        <v>20267</v>
      </c>
      <c r="S3229" s="15" t="s">
        <v>20268</v>
      </c>
      <c r="T3229" s="15" t="s">
        <v>20269</v>
      </c>
      <c r="U3229" s="21" t="s">
        <v>72</v>
      </c>
    </row>
    <row r="3230" customFormat="false" ht="15" hidden="false" customHeight="false" outlineLevel="0" collapsed="false">
      <c r="A3230" s="15" t="s">
        <v>19480</v>
      </c>
      <c r="B3230" s="15" t="s">
        <v>20262</v>
      </c>
      <c r="C3230" s="14" t="s">
        <v>20270</v>
      </c>
      <c r="D3230" s="14" t="s">
        <v>20271</v>
      </c>
      <c r="E3230" s="16" t="s">
        <v>20272</v>
      </c>
      <c r="F3230" s="16" t="s">
        <v>20273</v>
      </c>
      <c r="G3230" s="19" t="s">
        <v>41</v>
      </c>
      <c r="H3230" s="18" t="n">
        <v>5</v>
      </c>
      <c r="I3230" s="20" t="n">
        <v>133.18</v>
      </c>
      <c r="J3230" s="20" t="n">
        <v>261.56</v>
      </c>
      <c r="K3230" s="18" t="n">
        <v>6</v>
      </c>
      <c r="L3230" s="18" t="n">
        <v>25</v>
      </c>
      <c r="M3230" s="18" t="n">
        <v>142</v>
      </c>
      <c r="N3230" s="18" t="n">
        <v>142</v>
      </c>
      <c r="O3230" s="14" t="s">
        <v>1097</v>
      </c>
      <c r="P3230" s="14" t="s">
        <v>84</v>
      </c>
      <c r="Q3230" s="15" t="s">
        <v>1089</v>
      </c>
      <c r="R3230" s="16" t="s">
        <v>20274</v>
      </c>
      <c r="S3230" s="15" t="s">
        <v>20275</v>
      </c>
      <c r="T3230" s="15" t="s">
        <v>20276</v>
      </c>
      <c r="U3230" s="21" t="s">
        <v>72</v>
      </c>
    </row>
    <row r="3231" customFormat="false" ht="15" hidden="false" customHeight="false" outlineLevel="0" collapsed="false">
      <c r="A3231" s="15" t="s">
        <v>19480</v>
      </c>
      <c r="B3231" s="15" t="s">
        <v>20262</v>
      </c>
      <c r="C3231" s="14" t="s">
        <v>20277</v>
      </c>
      <c r="D3231" s="14" t="s">
        <v>20278</v>
      </c>
      <c r="E3231" s="16" t="s">
        <v>20279</v>
      </c>
      <c r="F3231" s="16" t="s">
        <v>20280</v>
      </c>
      <c r="G3231" s="25" t="s">
        <v>39</v>
      </c>
      <c r="H3231" s="18" t="n">
        <v>6</v>
      </c>
      <c r="I3231" s="20" t="n">
        <v>175.72</v>
      </c>
      <c r="J3231" s="20" t="n">
        <v>471.43</v>
      </c>
      <c r="K3231" s="18" t="n">
        <v>28</v>
      </c>
      <c r="L3231" s="18" t="n">
        <v>71</v>
      </c>
      <c r="M3231" s="18" t="n">
        <v>336</v>
      </c>
      <c r="N3231" s="18" t="n">
        <v>324</v>
      </c>
      <c r="O3231" s="14" t="s">
        <v>1126</v>
      </c>
      <c r="P3231" s="14" t="s">
        <v>84</v>
      </c>
      <c r="Q3231" s="15" t="s">
        <v>1089</v>
      </c>
      <c r="R3231" s="16" t="s">
        <v>20281</v>
      </c>
      <c r="S3231" s="15" t="s">
        <v>20282</v>
      </c>
      <c r="T3231" s="15" t="s">
        <v>20283</v>
      </c>
      <c r="U3231" s="21" t="s">
        <v>72</v>
      </c>
    </row>
    <row r="3232" customFormat="false" ht="26.85" hidden="false" customHeight="false" outlineLevel="0" collapsed="false">
      <c r="A3232" s="15" t="s">
        <v>19480</v>
      </c>
      <c r="B3232" s="15" t="s">
        <v>20262</v>
      </c>
      <c r="C3232" s="14" t="s">
        <v>20284</v>
      </c>
      <c r="D3232" s="14" t="s">
        <v>20285</v>
      </c>
      <c r="E3232" s="16" t="s">
        <v>20286</v>
      </c>
      <c r="F3232" s="16" t="s">
        <v>19611</v>
      </c>
      <c r="G3232" s="19" t="s">
        <v>41</v>
      </c>
      <c r="H3232" s="18" t="n">
        <v>7</v>
      </c>
      <c r="I3232" s="20" t="n">
        <v>118.23</v>
      </c>
      <c r="J3232" s="20" t="n">
        <v>246.89</v>
      </c>
      <c r="K3232" s="18" t="n">
        <v>27</v>
      </c>
      <c r="L3232" s="18" t="n">
        <v>5</v>
      </c>
      <c r="M3232" s="18" t="n">
        <v>354</v>
      </c>
      <c r="N3232" s="18" t="n">
        <v>354</v>
      </c>
      <c r="O3232" s="14" t="s">
        <v>1097</v>
      </c>
      <c r="P3232" s="14" t="s">
        <v>84</v>
      </c>
      <c r="Q3232" s="15" t="s">
        <v>1089</v>
      </c>
      <c r="R3232" s="16" t="s">
        <v>20287</v>
      </c>
      <c r="S3232" s="15" t="s">
        <v>19613</v>
      </c>
      <c r="T3232" s="15" t="s">
        <v>3819</v>
      </c>
      <c r="U3232" s="21" t="s">
        <v>72</v>
      </c>
    </row>
    <row r="3233" customFormat="false" ht="15" hidden="false" customHeight="false" outlineLevel="0" collapsed="false">
      <c r="A3233" s="15" t="s">
        <v>19480</v>
      </c>
      <c r="B3233" s="15" t="s">
        <v>20262</v>
      </c>
      <c r="C3233" s="14" t="s">
        <v>20288</v>
      </c>
      <c r="D3233" s="14" t="s">
        <v>20289</v>
      </c>
      <c r="E3233" s="16" t="s">
        <v>20290</v>
      </c>
      <c r="F3233" s="16" t="s">
        <v>1380</v>
      </c>
      <c r="G3233" s="25" t="s">
        <v>39</v>
      </c>
      <c r="H3233" s="18" t="n">
        <v>6</v>
      </c>
      <c r="I3233" s="20" t="n">
        <v>218.32</v>
      </c>
      <c r="J3233" s="20" t="n">
        <v>419.86</v>
      </c>
      <c r="K3233" s="18" t="n">
        <v>14</v>
      </c>
      <c r="L3233" s="18" t="n">
        <v>3</v>
      </c>
      <c r="M3233" s="18" t="n">
        <v>388</v>
      </c>
      <c r="N3233" s="18" t="n">
        <v>388</v>
      </c>
      <c r="O3233" s="14" t="s">
        <v>1097</v>
      </c>
      <c r="P3233" s="14" t="s">
        <v>118</v>
      </c>
      <c r="Q3233" s="15" t="s">
        <v>1089</v>
      </c>
      <c r="R3233" s="16" t="s">
        <v>20291</v>
      </c>
      <c r="S3233" s="15" t="s">
        <v>20292</v>
      </c>
      <c r="T3233" s="15" t="s">
        <v>20293</v>
      </c>
      <c r="U3233" s="21" t="s">
        <v>72</v>
      </c>
    </row>
    <row r="3234" customFormat="false" ht="15" hidden="false" customHeight="false" outlineLevel="0" collapsed="false">
      <c r="A3234" s="15" t="s">
        <v>19480</v>
      </c>
      <c r="B3234" s="15" t="s">
        <v>20262</v>
      </c>
      <c r="C3234" s="14" t="s">
        <v>20294</v>
      </c>
      <c r="D3234" s="14" t="s">
        <v>20295</v>
      </c>
      <c r="E3234" s="16" t="s">
        <v>20296</v>
      </c>
      <c r="F3234" s="16" t="s">
        <v>20297</v>
      </c>
      <c r="G3234" s="25" t="s">
        <v>39</v>
      </c>
      <c r="H3234" s="18" t="n">
        <v>10</v>
      </c>
      <c r="I3234" s="20" t="n">
        <v>242.6</v>
      </c>
      <c r="J3234" s="20" t="n">
        <v>490.71</v>
      </c>
      <c r="K3234" s="18" t="n">
        <v>14</v>
      </c>
      <c r="L3234" s="18" t="n">
        <v>8</v>
      </c>
      <c r="M3234" s="18" t="n">
        <v>160</v>
      </c>
      <c r="N3234" s="18" t="n">
        <v>124</v>
      </c>
      <c r="O3234" s="14" t="s">
        <v>1097</v>
      </c>
      <c r="P3234" s="14" t="s">
        <v>84</v>
      </c>
      <c r="Q3234" s="15" t="s">
        <v>1089</v>
      </c>
      <c r="R3234" s="16" t="s">
        <v>20298</v>
      </c>
      <c r="S3234" s="15" t="s">
        <v>20299</v>
      </c>
      <c r="T3234" s="15" t="s">
        <v>20300</v>
      </c>
      <c r="U3234" s="21" t="s">
        <v>72</v>
      </c>
    </row>
    <row r="3235" customFormat="false" ht="15" hidden="false" customHeight="false" outlineLevel="0" collapsed="false">
      <c r="A3235" s="15" t="s">
        <v>19480</v>
      </c>
      <c r="B3235" s="15" t="s">
        <v>20262</v>
      </c>
      <c r="C3235" s="14" t="s">
        <v>20301</v>
      </c>
      <c r="D3235" s="14" t="s">
        <v>20302</v>
      </c>
      <c r="E3235" s="16" t="s">
        <v>20303</v>
      </c>
      <c r="F3235" s="16" t="s">
        <v>20304</v>
      </c>
      <c r="G3235" s="23" t="s">
        <v>43</v>
      </c>
      <c r="H3235" s="18" t="n">
        <v>2</v>
      </c>
      <c r="I3235" s="20" t="n">
        <v>56.93</v>
      </c>
      <c r="J3235" s="20" t="n">
        <v>81.35</v>
      </c>
      <c r="K3235" s="18" t="n">
        <v>4</v>
      </c>
      <c r="L3235" s="18"/>
      <c r="M3235" s="18" t="n">
        <v>60</v>
      </c>
      <c r="N3235" s="18" t="n">
        <v>30</v>
      </c>
      <c r="O3235" s="14" t="s">
        <v>1088</v>
      </c>
      <c r="P3235" s="14" t="s">
        <v>84</v>
      </c>
      <c r="Q3235" s="15" t="s">
        <v>1089</v>
      </c>
      <c r="R3235" s="16" t="s">
        <v>20305</v>
      </c>
      <c r="S3235" s="15" t="s">
        <v>20306</v>
      </c>
      <c r="T3235" s="15" t="s">
        <v>20307</v>
      </c>
      <c r="U3235" s="21" t="s">
        <v>72</v>
      </c>
    </row>
    <row r="3236" customFormat="false" ht="15" hidden="false" customHeight="false" outlineLevel="0" collapsed="false">
      <c r="A3236" s="15" t="s">
        <v>19480</v>
      </c>
      <c r="B3236" s="15" t="s">
        <v>20262</v>
      </c>
      <c r="C3236" s="14" t="s">
        <v>20308</v>
      </c>
      <c r="D3236" s="14" t="s">
        <v>20309</v>
      </c>
      <c r="E3236" s="16" t="s">
        <v>20310</v>
      </c>
      <c r="F3236" s="16" t="s">
        <v>20311</v>
      </c>
      <c r="G3236" s="25" t="s">
        <v>39</v>
      </c>
      <c r="H3236" s="18" t="n">
        <v>8</v>
      </c>
      <c r="I3236" s="20" t="n">
        <v>289.46</v>
      </c>
      <c r="J3236" s="20" t="n">
        <v>526.18</v>
      </c>
      <c r="K3236" s="18" t="n">
        <v>18</v>
      </c>
      <c r="L3236" s="18" t="n">
        <v>4</v>
      </c>
      <c r="M3236" s="18" t="n">
        <v>362</v>
      </c>
      <c r="N3236" s="18" t="n">
        <v>362</v>
      </c>
      <c r="O3236" s="14" t="s">
        <v>1097</v>
      </c>
      <c r="P3236" s="14" t="s">
        <v>84</v>
      </c>
      <c r="Q3236" s="15" t="s">
        <v>1089</v>
      </c>
      <c r="R3236" s="16" t="s">
        <v>20312</v>
      </c>
      <c r="S3236" s="15" t="s">
        <v>20313</v>
      </c>
      <c r="T3236" s="15" t="s">
        <v>20313</v>
      </c>
      <c r="U3236" s="21" t="s">
        <v>72</v>
      </c>
    </row>
    <row r="3237" customFormat="false" ht="15" hidden="false" customHeight="false" outlineLevel="0" collapsed="false">
      <c r="A3237" s="15" t="s">
        <v>19480</v>
      </c>
      <c r="B3237" s="15" t="s">
        <v>20262</v>
      </c>
      <c r="C3237" s="14" t="s">
        <v>20314</v>
      </c>
      <c r="D3237" s="14" t="s">
        <v>20315</v>
      </c>
      <c r="E3237" s="16" t="s">
        <v>20316</v>
      </c>
      <c r="F3237" s="16" t="s">
        <v>20317</v>
      </c>
      <c r="G3237" s="19" t="s">
        <v>41</v>
      </c>
      <c r="H3237" s="18" t="n">
        <v>3</v>
      </c>
      <c r="I3237" s="20" t="n">
        <v>132.1</v>
      </c>
      <c r="J3237" s="20" t="n">
        <v>308</v>
      </c>
      <c r="K3237" s="18" t="n">
        <v>3</v>
      </c>
      <c r="L3237" s="18" t="n">
        <v>3</v>
      </c>
      <c r="M3237" s="18" t="n">
        <v>80</v>
      </c>
      <c r="N3237" s="18" t="n">
        <v>80</v>
      </c>
      <c r="O3237" s="14" t="s">
        <v>1088</v>
      </c>
      <c r="P3237" s="14" t="s">
        <v>84</v>
      </c>
      <c r="Q3237" s="15" t="s">
        <v>1089</v>
      </c>
      <c r="R3237" s="16" t="s">
        <v>20318</v>
      </c>
      <c r="S3237" s="15" t="s">
        <v>20319</v>
      </c>
      <c r="T3237" s="15" t="s">
        <v>20320</v>
      </c>
      <c r="U3237" s="21" t="s">
        <v>72</v>
      </c>
    </row>
    <row r="3238" customFormat="false" ht="15" hidden="false" customHeight="false" outlineLevel="0" collapsed="false">
      <c r="A3238" s="15" t="s">
        <v>19480</v>
      </c>
      <c r="B3238" s="15" t="s">
        <v>20262</v>
      </c>
      <c r="C3238" s="14" t="s">
        <v>20321</v>
      </c>
      <c r="D3238" s="14" t="s">
        <v>20322</v>
      </c>
      <c r="E3238" s="16" t="s">
        <v>20323</v>
      </c>
      <c r="F3238" s="16" t="s">
        <v>20324</v>
      </c>
      <c r="G3238" s="23" t="s">
        <v>43</v>
      </c>
      <c r="H3238" s="18" t="n">
        <v>2</v>
      </c>
      <c r="I3238" s="20" t="n">
        <v>76.5</v>
      </c>
      <c r="J3238" s="20" t="n">
        <v>140.25</v>
      </c>
      <c r="K3238" s="18" t="n">
        <v>2</v>
      </c>
      <c r="L3238" s="18" t="n">
        <v>4</v>
      </c>
      <c r="M3238" s="18" t="n">
        <v>16</v>
      </c>
      <c r="N3238" s="18" t="n">
        <v>16</v>
      </c>
      <c r="O3238" s="14" t="s">
        <v>1097</v>
      </c>
      <c r="P3238" s="14" t="s">
        <v>84</v>
      </c>
      <c r="Q3238" s="15" t="s">
        <v>1089</v>
      </c>
      <c r="R3238" s="16" t="s">
        <v>20325</v>
      </c>
      <c r="S3238" s="15" t="s">
        <v>20326</v>
      </c>
      <c r="T3238" s="15" t="s">
        <v>20326</v>
      </c>
      <c r="U3238" s="21" t="s">
        <v>72</v>
      </c>
    </row>
    <row r="3239" customFormat="false" ht="26.85" hidden="false" customHeight="false" outlineLevel="0" collapsed="false">
      <c r="A3239" s="15" t="s">
        <v>19480</v>
      </c>
      <c r="B3239" s="15" t="s">
        <v>20262</v>
      </c>
      <c r="C3239" s="14" t="s">
        <v>20327</v>
      </c>
      <c r="D3239" s="14" t="s">
        <v>20328</v>
      </c>
      <c r="E3239" s="16" t="s">
        <v>20329</v>
      </c>
      <c r="F3239" s="16" t="s">
        <v>20330</v>
      </c>
      <c r="G3239" s="19" t="s">
        <v>41</v>
      </c>
      <c r="H3239" s="18" t="n">
        <v>3</v>
      </c>
      <c r="I3239" s="20" t="n">
        <v>174.3</v>
      </c>
      <c r="J3239" s="20" t="n">
        <v>388.98</v>
      </c>
      <c r="K3239" s="18" t="n">
        <v>6</v>
      </c>
      <c r="L3239" s="18" t="n">
        <v>8</v>
      </c>
      <c r="M3239" s="18" t="n">
        <v>258</v>
      </c>
      <c r="N3239" s="18" t="n">
        <v>258</v>
      </c>
      <c r="O3239" s="14" t="s">
        <v>20331</v>
      </c>
      <c r="P3239" s="14" t="s">
        <v>84</v>
      </c>
      <c r="Q3239" s="15" t="s">
        <v>1089</v>
      </c>
      <c r="R3239" s="16" t="s">
        <v>20332</v>
      </c>
      <c r="S3239" s="15" t="s">
        <v>18025</v>
      </c>
      <c r="T3239" s="15" t="s">
        <v>20333</v>
      </c>
      <c r="U3239" s="21" t="s">
        <v>72</v>
      </c>
    </row>
    <row r="3240" customFormat="false" ht="15" hidden="false" customHeight="false" outlineLevel="0" collapsed="false">
      <c r="A3240" s="15" t="s">
        <v>19480</v>
      </c>
      <c r="B3240" s="15" t="s">
        <v>20262</v>
      </c>
      <c r="C3240" s="14" t="s">
        <v>20334</v>
      </c>
      <c r="D3240" s="14" t="s">
        <v>20335</v>
      </c>
      <c r="E3240" s="16" t="s">
        <v>20336</v>
      </c>
      <c r="F3240" s="16" t="s">
        <v>20337</v>
      </c>
      <c r="G3240" s="23" t="s">
        <v>43</v>
      </c>
      <c r="H3240" s="18" t="n">
        <v>4</v>
      </c>
      <c r="I3240" s="20" t="n">
        <v>53.26</v>
      </c>
      <c r="J3240" s="20" t="n">
        <v>130.28</v>
      </c>
      <c r="K3240" s="18" t="n">
        <v>6</v>
      </c>
      <c r="L3240" s="18" t="n">
        <v>3</v>
      </c>
      <c r="M3240" s="18" t="n">
        <v>50</v>
      </c>
      <c r="N3240" s="18" t="n">
        <v>50</v>
      </c>
      <c r="O3240" s="14" t="s">
        <v>1126</v>
      </c>
      <c r="P3240" s="14" t="s">
        <v>84</v>
      </c>
      <c r="Q3240" s="15" t="s">
        <v>1089</v>
      </c>
      <c r="R3240" s="16" t="s">
        <v>20338</v>
      </c>
      <c r="S3240" s="15" t="s">
        <v>20339</v>
      </c>
      <c r="T3240" s="15" t="s">
        <v>20340</v>
      </c>
      <c r="U3240" s="21" t="s">
        <v>72</v>
      </c>
    </row>
    <row r="3241" customFormat="false" ht="15" hidden="false" customHeight="false" outlineLevel="0" collapsed="false">
      <c r="A3241" s="15" t="s">
        <v>19480</v>
      </c>
      <c r="B3241" s="15" t="s">
        <v>20262</v>
      </c>
      <c r="C3241" s="14" t="s">
        <v>20341</v>
      </c>
      <c r="D3241" s="14" t="s">
        <v>20342</v>
      </c>
      <c r="E3241" s="16" t="s">
        <v>20343</v>
      </c>
      <c r="F3241" s="16" t="s">
        <v>20344</v>
      </c>
      <c r="G3241" s="23" t="s">
        <v>43</v>
      </c>
      <c r="H3241" s="18" t="n">
        <v>2</v>
      </c>
      <c r="I3241" s="20" t="n">
        <v>60</v>
      </c>
      <c r="J3241" s="20" t="n">
        <v>136.05</v>
      </c>
      <c r="K3241" s="18" t="n">
        <v>2</v>
      </c>
      <c r="L3241" s="18" t="n">
        <v>4</v>
      </c>
      <c r="M3241" s="18" t="n">
        <v>30</v>
      </c>
      <c r="N3241" s="18" t="n">
        <v>15</v>
      </c>
      <c r="O3241" s="14" t="s">
        <v>1126</v>
      </c>
      <c r="P3241" s="14" t="s">
        <v>84</v>
      </c>
      <c r="Q3241" s="15" t="s">
        <v>1089</v>
      </c>
      <c r="R3241" s="16" t="s">
        <v>20345</v>
      </c>
      <c r="S3241" s="15" t="s">
        <v>20346</v>
      </c>
      <c r="T3241" s="15" t="s">
        <v>20346</v>
      </c>
      <c r="U3241" s="21" t="s">
        <v>72</v>
      </c>
    </row>
    <row r="3242" customFormat="false" ht="15" hidden="false" customHeight="false" outlineLevel="0" collapsed="false">
      <c r="A3242" s="15" t="s">
        <v>19480</v>
      </c>
      <c r="B3242" s="15" t="s">
        <v>20262</v>
      </c>
      <c r="C3242" s="14" t="s">
        <v>20347</v>
      </c>
      <c r="D3242" s="14" t="s">
        <v>20348</v>
      </c>
      <c r="E3242" s="16" t="s">
        <v>20349</v>
      </c>
      <c r="F3242" s="16" t="s">
        <v>20350</v>
      </c>
      <c r="G3242" s="19" t="s">
        <v>41</v>
      </c>
      <c r="H3242" s="18" t="n">
        <v>7</v>
      </c>
      <c r="I3242" s="20" t="n">
        <v>159.33</v>
      </c>
      <c r="J3242" s="20" t="n">
        <v>291.765</v>
      </c>
      <c r="K3242" s="18" t="n">
        <v>17</v>
      </c>
      <c r="L3242" s="18" t="n">
        <v>6</v>
      </c>
      <c r="M3242" s="18" t="n">
        <v>269</v>
      </c>
      <c r="N3242" s="18" t="n">
        <v>98</v>
      </c>
      <c r="O3242" s="14" t="s">
        <v>3724</v>
      </c>
      <c r="P3242" s="14" t="s">
        <v>84</v>
      </c>
      <c r="Q3242" s="15" t="s">
        <v>1089</v>
      </c>
      <c r="R3242" s="16" t="s">
        <v>20351</v>
      </c>
      <c r="S3242" s="15" t="s">
        <v>20352</v>
      </c>
      <c r="T3242" s="15" t="s">
        <v>20353</v>
      </c>
      <c r="U3242" s="21" t="s">
        <v>72</v>
      </c>
    </row>
    <row r="3243" customFormat="false" ht="15" hidden="false" customHeight="false" outlineLevel="0" collapsed="false">
      <c r="A3243" s="15" t="s">
        <v>19480</v>
      </c>
      <c r="B3243" s="15" t="s">
        <v>20262</v>
      </c>
      <c r="C3243" s="14" t="s">
        <v>20354</v>
      </c>
      <c r="D3243" s="14" t="s">
        <v>20355</v>
      </c>
      <c r="E3243" s="16" t="s">
        <v>20356</v>
      </c>
      <c r="F3243" s="16" t="s">
        <v>20357</v>
      </c>
      <c r="G3243" s="25" t="s">
        <v>39</v>
      </c>
      <c r="H3243" s="18" t="n">
        <v>8</v>
      </c>
      <c r="I3243" s="20" t="n">
        <v>102.89</v>
      </c>
      <c r="J3243" s="20" t="n">
        <v>295.84</v>
      </c>
      <c r="K3243" s="18" t="n">
        <v>11</v>
      </c>
      <c r="L3243" s="18" t="n">
        <v>4</v>
      </c>
      <c r="M3243" s="18" t="n">
        <v>92</v>
      </c>
      <c r="N3243" s="18" t="n">
        <v>92</v>
      </c>
      <c r="O3243" s="14" t="s">
        <v>1088</v>
      </c>
      <c r="P3243" s="14" t="s">
        <v>84</v>
      </c>
      <c r="Q3243" s="15" t="s">
        <v>1089</v>
      </c>
      <c r="R3243" s="16" t="s">
        <v>12962</v>
      </c>
      <c r="S3243" s="15" t="s">
        <v>20358</v>
      </c>
      <c r="T3243" s="15" t="s">
        <v>20359</v>
      </c>
      <c r="U3243" s="21" t="s">
        <v>72</v>
      </c>
    </row>
    <row r="3244" customFormat="false" ht="15" hidden="false" customHeight="false" outlineLevel="0" collapsed="false">
      <c r="A3244" s="15" t="s">
        <v>19480</v>
      </c>
      <c r="B3244" s="15" t="s">
        <v>20262</v>
      </c>
      <c r="C3244" s="14" t="s">
        <v>20360</v>
      </c>
      <c r="D3244" s="14" t="s">
        <v>20361</v>
      </c>
      <c r="E3244" s="16" t="s">
        <v>20362</v>
      </c>
      <c r="F3244" s="16" t="s">
        <v>20363</v>
      </c>
      <c r="G3244" s="19" t="s">
        <v>41</v>
      </c>
      <c r="H3244" s="18" t="n">
        <v>5</v>
      </c>
      <c r="I3244" s="20" t="n">
        <v>118.5</v>
      </c>
      <c r="J3244" s="20" t="n">
        <v>276.43</v>
      </c>
      <c r="K3244" s="18" t="n">
        <v>33</v>
      </c>
      <c r="L3244" s="18" t="n">
        <v>5</v>
      </c>
      <c r="M3244" s="18" t="n">
        <v>483</v>
      </c>
      <c r="N3244" s="18" t="n">
        <v>45</v>
      </c>
      <c r="O3244" s="14" t="s">
        <v>1097</v>
      </c>
      <c r="P3244" s="14" t="s">
        <v>84</v>
      </c>
      <c r="Q3244" s="15" t="s">
        <v>1089</v>
      </c>
      <c r="R3244" s="16" t="s">
        <v>5977</v>
      </c>
      <c r="S3244" s="15" t="s">
        <v>20364</v>
      </c>
      <c r="T3244" s="15" t="s">
        <v>20364</v>
      </c>
      <c r="U3244" s="21" t="s">
        <v>72</v>
      </c>
    </row>
    <row r="3245" customFormat="false" ht="15" hidden="false" customHeight="false" outlineLevel="0" collapsed="false">
      <c r="A3245" s="15" t="s">
        <v>19480</v>
      </c>
      <c r="B3245" s="15" t="s">
        <v>20262</v>
      </c>
      <c r="C3245" s="14" t="s">
        <v>20365</v>
      </c>
      <c r="D3245" s="14" t="s">
        <v>20366</v>
      </c>
      <c r="E3245" s="16" t="s">
        <v>20367</v>
      </c>
      <c r="F3245" s="16" t="s">
        <v>20368</v>
      </c>
      <c r="G3245" s="19" t="s">
        <v>41</v>
      </c>
      <c r="H3245" s="18" t="n">
        <v>5</v>
      </c>
      <c r="I3245" s="20" t="n">
        <v>97.3</v>
      </c>
      <c r="J3245" s="20" t="n">
        <v>192.36</v>
      </c>
      <c r="K3245" s="18" t="n">
        <v>5</v>
      </c>
      <c r="L3245" s="18" t="n">
        <v>3</v>
      </c>
      <c r="M3245" s="18" t="n">
        <v>63</v>
      </c>
      <c r="N3245" s="18" t="n">
        <v>63</v>
      </c>
      <c r="O3245" s="14" t="s">
        <v>1088</v>
      </c>
      <c r="P3245" s="14" t="s">
        <v>84</v>
      </c>
      <c r="Q3245" s="15" t="s">
        <v>1089</v>
      </c>
      <c r="R3245" s="16" t="s">
        <v>154</v>
      </c>
      <c r="S3245" s="15" t="s">
        <v>20369</v>
      </c>
      <c r="T3245" s="15" t="s">
        <v>20369</v>
      </c>
      <c r="U3245" s="21" t="s">
        <v>72</v>
      </c>
    </row>
    <row r="3246" customFormat="false" ht="15" hidden="false" customHeight="false" outlineLevel="0" collapsed="false">
      <c r="A3246" s="15" t="s">
        <v>19480</v>
      </c>
      <c r="B3246" s="15" t="s">
        <v>20262</v>
      </c>
      <c r="C3246" s="14" t="s">
        <v>20370</v>
      </c>
      <c r="D3246" s="14" t="s">
        <v>20371</v>
      </c>
      <c r="E3246" s="16" t="s">
        <v>20372</v>
      </c>
      <c r="F3246" s="16" t="s">
        <v>20373</v>
      </c>
      <c r="G3246" s="19" t="s">
        <v>41</v>
      </c>
      <c r="H3246" s="18" t="n">
        <v>7</v>
      </c>
      <c r="I3246" s="20" t="n">
        <v>130.87</v>
      </c>
      <c r="J3246" s="20" t="n">
        <v>198.34</v>
      </c>
      <c r="K3246" s="18" t="n">
        <v>17</v>
      </c>
      <c r="L3246" s="18" t="n">
        <v>12</v>
      </c>
      <c r="M3246" s="18" t="n">
        <v>165</v>
      </c>
      <c r="N3246" s="18" t="n">
        <v>123</v>
      </c>
      <c r="O3246" s="14" t="s">
        <v>1097</v>
      </c>
      <c r="P3246" s="14" t="s">
        <v>118</v>
      </c>
      <c r="Q3246" s="15" t="s">
        <v>1089</v>
      </c>
      <c r="R3246" s="16" t="s">
        <v>6339</v>
      </c>
      <c r="S3246" s="15" t="s">
        <v>20374</v>
      </c>
      <c r="T3246" s="15" t="s">
        <v>18717</v>
      </c>
      <c r="U3246" s="21" t="s">
        <v>72</v>
      </c>
    </row>
    <row r="3247" customFormat="false" ht="15" hidden="false" customHeight="false" outlineLevel="0" collapsed="false">
      <c r="A3247" s="15" t="s">
        <v>19480</v>
      </c>
      <c r="B3247" s="15" t="s">
        <v>20262</v>
      </c>
      <c r="C3247" s="14" t="s">
        <v>20375</v>
      </c>
      <c r="D3247" s="14" t="s">
        <v>20376</v>
      </c>
      <c r="E3247" s="16" t="s">
        <v>20377</v>
      </c>
      <c r="F3247" s="16" t="s">
        <v>20378</v>
      </c>
      <c r="G3247" s="25" t="s">
        <v>39</v>
      </c>
      <c r="H3247" s="18" t="n">
        <v>9</v>
      </c>
      <c r="I3247" s="20" t="n">
        <v>279.76</v>
      </c>
      <c r="J3247" s="20" t="n">
        <v>311.76</v>
      </c>
      <c r="K3247" s="18" t="n">
        <v>13</v>
      </c>
      <c r="L3247" s="18" t="n">
        <v>18</v>
      </c>
      <c r="M3247" s="18" t="n">
        <v>320</v>
      </c>
      <c r="N3247" s="18" t="n">
        <v>180</v>
      </c>
      <c r="O3247" s="14" t="s">
        <v>1097</v>
      </c>
      <c r="P3247" s="14" t="s">
        <v>84</v>
      </c>
      <c r="Q3247" s="15" t="s">
        <v>1089</v>
      </c>
      <c r="R3247" s="16" t="s">
        <v>20379</v>
      </c>
      <c r="S3247" s="15" t="s">
        <v>3564</v>
      </c>
      <c r="T3247" s="15" t="s">
        <v>20380</v>
      </c>
      <c r="U3247" s="21" t="s">
        <v>72</v>
      </c>
    </row>
    <row r="3248" customFormat="false" ht="15" hidden="false" customHeight="false" outlineLevel="0" collapsed="false">
      <c r="A3248" s="15" t="s">
        <v>19480</v>
      </c>
      <c r="B3248" s="15" t="s">
        <v>20381</v>
      </c>
      <c r="C3248" s="14" t="s">
        <v>20382</v>
      </c>
      <c r="D3248" s="14" t="s">
        <v>20383</v>
      </c>
      <c r="E3248" s="16" t="s">
        <v>20384</v>
      </c>
      <c r="F3248" s="16"/>
      <c r="G3248" s="23" t="s">
        <v>43</v>
      </c>
      <c r="H3248" s="18" t="n">
        <v>2</v>
      </c>
      <c r="I3248" s="20" t="n">
        <v>57.12</v>
      </c>
      <c r="J3248" s="20" t="n">
        <v>82</v>
      </c>
      <c r="K3248" s="18" t="n">
        <v>6</v>
      </c>
      <c r="L3248" s="18" t="n">
        <v>2</v>
      </c>
      <c r="M3248" s="18" t="n">
        <v>90</v>
      </c>
      <c r="N3248" s="18" t="n">
        <v>45</v>
      </c>
      <c r="O3248" s="14" t="s">
        <v>9118</v>
      </c>
      <c r="P3248" s="14" t="s">
        <v>84</v>
      </c>
      <c r="Q3248" s="15" t="s">
        <v>1089</v>
      </c>
      <c r="R3248" s="16" t="s">
        <v>20385</v>
      </c>
      <c r="S3248" s="15" t="s">
        <v>20386</v>
      </c>
      <c r="T3248" s="15" t="s">
        <v>20386</v>
      </c>
      <c r="U3248" s="21" t="s">
        <v>72</v>
      </c>
    </row>
    <row r="3249" customFormat="false" ht="15" hidden="false" customHeight="false" outlineLevel="0" collapsed="false">
      <c r="A3249" s="15" t="s">
        <v>19480</v>
      </c>
      <c r="B3249" s="15" t="s">
        <v>20381</v>
      </c>
      <c r="C3249" s="14" t="s">
        <v>20387</v>
      </c>
      <c r="D3249" s="14" t="s">
        <v>20388</v>
      </c>
      <c r="E3249" s="16" t="s">
        <v>20389</v>
      </c>
      <c r="F3249" s="16" t="s">
        <v>20390</v>
      </c>
      <c r="G3249" s="25" t="s">
        <v>39</v>
      </c>
      <c r="H3249" s="18" t="n">
        <v>6</v>
      </c>
      <c r="I3249" s="20" t="n">
        <v>197.28</v>
      </c>
      <c r="J3249" s="20" t="n">
        <v>498.6</v>
      </c>
      <c r="K3249" s="18" t="n">
        <v>6</v>
      </c>
      <c r="L3249" s="18" t="n">
        <v>3</v>
      </c>
      <c r="M3249" s="18" t="n">
        <v>122</v>
      </c>
      <c r="N3249" s="18" t="n">
        <v>48</v>
      </c>
      <c r="O3249" s="14" t="s">
        <v>1097</v>
      </c>
      <c r="P3249" s="14" t="s">
        <v>84</v>
      </c>
      <c r="Q3249" s="15" t="s">
        <v>1089</v>
      </c>
      <c r="R3249" s="16" t="s">
        <v>20391</v>
      </c>
      <c r="S3249" s="15" t="s">
        <v>20392</v>
      </c>
      <c r="T3249" s="15" t="s">
        <v>20392</v>
      </c>
      <c r="U3249" s="21" t="s">
        <v>72</v>
      </c>
    </row>
    <row r="3250" customFormat="false" ht="15" hidden="false" customHeight="false" outlineLevel="0" collapsed="false">
      <c r="A3250" s="15" t="s">
        <v>19480</v>
      </c>
      <c r="B3250" s="15" t="s">
        <v>20381</v>
      </c>
      <c r="C3250" s="14" t="s">
        <v>20393</v>
      </c>
      <c r="D3250" s="14" t="s">
        <v>20394</v>
      </c>
      <c r="E3250" s="16" t="s">
        <v>20395</v>
      </c>
      <c r="F3250" s="16" t="s">
        <v>20248</v>
      </c>
      <c r="G3250" s="23" t="s">
        <v>43</v>
      </c>
      <c r="H3250" s="18" t="n">
        <v>2</v>
      </c>
      <c r="I3250" s="20" t="n">
        <v>109.8</v>
      </c>
      <c r="J3250" s="20" t="n">
        <v>109.8</v>
      </c>
      <c r="K3250" s="18" t="n">
        <v>2</v>
      </c>
      <c r="L3250" s="18" t="n">
        <v>3</v>
      </c>
      <c r="M3250" s="18" t="n">
        <v>24</v>
      </c>
      <c r="N3250" s="18" t="n">
        <v>24</v>
      </c>
      <c r="O3250" s="14" t="s">
        <v>1088</v>
      </c>
      <c r="P3250" s="14" t="s">
        <v>84</v>
      </c>
      <c r="Q3250" s="15" t="s">
        <v>1089</v>
      </c>
      <c r="R3250" s="16" t="s">
        <v>20396</v>
      </c>
      <c r="S3250" s="15" t="s">
        <v>20249</v>
      </c>
      <c r="T3250" s="15" t="s">
        <v>20397</v>
      </c>
      <c r="U3250" s="21" t="s">
        <v>72</v>
      </c>
    </row>
    <row r="3251" customFormat="false" ht="15" hidden="false" customHeight="false" outlineLevel="0" collapsed="false">
      <c r="A3251" s="15" t="s">
        <v>19480</v>
      </c>
      <c r="B3251" s="15" t="s">
        <v>20398</v>
      </c>
      <c r="C3251" s="14" t="s">
        <v>20399</v>
      </c>
      <c r="D3251" s="14" t="s">
        <v>20400</v>
      </c>
      <c r="E3251" s="16" t="s">
        <v>20401</v>
      </c>
      <c r="F3251" s="16" t="s">
        <v>20402</v>
      </c>
      <c r="G3251" s="23" t="s">
        <v>43</v>
      </c>
      <c r="H3251" s="18" t="n">
        <v>3</v>
      </c>
      <c r="I3251" s="20" t="n">
        <v>80</v>
      </c>
      <c r="J3251" s="20" t="n">
        <v>164.13</v>
      </c>
      <c r="K3251" s="18" t="n">
        <v>7</v>
      </c>
      <c r="L3251" s="18" t="n">
        <v>2</v>
      </c>
      <c r="M3251" s="18" t="n">
        <v>102</v>
      </c>
      <c r="N3251" s="18" t="n">
        <v>18</v>
      </c>
      <c r="O3251" s="14" t="s">
        <v>1097</v>
      </c>
      <c r="P3251" s="14" t="s">
        <v>515</v>
      </c>
      <c r="Q3251" s="15" t="s">
        <v>1089</v>
      </c>
      <c r="R3251" s="16" t="s">
        <v>17546</v>
      </c>
      <c r="S3251" s="15" t="s">
        <v>20403</v>
      </c>
      <c r="T3251" s="15" t="s">
        <v>20404</v>
      </c>
      <c r="U3251" s="21" t="s">
        <v>72</v>
      </c>
    </row>
    <row r="3252" customFormat="false" ht="15" hidden="false" customHeight="false" outlineLevel="0" collapsed="false">
      <c r="A3252" s="15" t="s">
        <v>19480</v>
      </c>
      <c r="B3252" s="15" t="s">
        <v>20405</v>
      </c>
      <c r="C3252" s="14" t="s">
        <v>19935</v>
      </c>
      <c r="D3252" s="14" t="s">
        <v>20406</v>
      </c>
      <c r="E3252" s="16" t="s">
        <v>20407</v>
      </c>
      <c r="F3252" s="16" t="s">
        <v>19938</v>
      </c>
      <c r="G3252" s="25" t="s">
        <v>39</v>
      </c>
      <c r="H3252" s="18" t="n">
        <v>8</v>
      </c>
      <c r="I3252" s="20" t="n">
        <v>263.1</v>
      </c>
      <c r="J3252" s="20" t="n">
        <v>395.04</v>
      </c>
      <c r="K3252" s="18" t="n">
        <v>8</v>
      </c>
      <c r="L3252" s="18" t="n">
        <v>11</v>
      </c>
      <c r="M3252" s="18" t="n">
        <v>120</v>
      </c>
      <c r="N3252" s="18" t="n">
        <v>120</v>
      </c>
      <c r="O3252" s="14" t="s">
        <v>1097</v>
      </c>
      <c r="P3252" s="14" t="s">
        <v>84</v>
      </c>
      <c r="Q3252" s="15" t="s">
        <v>1089</v>
      </c>
      <c r="R3252" s="16" t="s">
        <v>20408</v>
      </c>
      <c r="S3252" s="15" t="s">
        <v>20409</v>
      </c>
      <c r="T3252" s="15" t="s">
        <v>19940</v>
      </c>
      <c r="U3252" s="21" t="s">
        <v>72</v>
      </c>
    </row>
    <row r="3253" customFormat="false" ht="15" hidden="false" customHeight="false" outlineLevel="0" collapsed="false">
      <c r="A3253" s="15" t="s">
        <v>19480</v>
      </c>
      <c r="B3253" s="15" t="s">
        <v>20405</v>
      </c>
      <c r="C3253" s="14" t="s">
        <v>20410</v>
      </c>
      <c r="D3253" s="14" t="s">
        <v>20411</v>
      </c>
      <c r="E3253" s="16" t="s">
        <v>20412</v>
      </c>
      <c r="F3253" s="16" t="s">
        <v>20413</v>
      </c>
      <c r="G3253" s="19" t="s">
        <v>41</v>
      </c>
      <c r="H3253" s="18" t="n">
        <v>6</v>
      </c>
      <c r="I3253" s="20" t="n">
        <v>116.96</v>
      </c>
      <c r="J3253" s="20" t="n">
        <v>295.4</v>
      </c>
      <c r="K3253" s="18" t="n">
        <v>9</v>
      </c>
      <c r="L3253" s="18"/>
      <c r="M3253" s="18" t="n">
        <v>135</v>
      </c>
      <c r="N3253" s="18" t="n">
        <v>135</v>
      </c>
      <c r="O3253" s="14" t="s">
        <v>1097</v>
      </c>
      <c r="P3253" s="14" t="s">
        <v>84</v>
      </c>
      <c r="Q3253" s="15" t="s">
        <v>1089</v>
      </c>
      <c r="R3253" s="16" t="s">
        <v>20414</v>
      </c>
      <c r="S3253" s="15" t="s">
        <v>20415</v>
      </c>
      <c r="T3253" s="15" t="s">
        <v>20415</v>
      </c>
      <c r="U3253" s="21" t="s">
        <v>72</v>
      </c>
    </row>
    <row r="3254" customFormat="false" ht="15" hidden="false" customHeight="false" outlineLevel="0" collapsed="false">
      <c r="A3254" s="15" t="s">
        <v>19480</v>
      </c>
      <c r="B3254" s="15" t="s">
        <v>20405</v>
      </c>
      <c r="C3254" s="14" t="s">
        <v>20416</v>
      </c>
      <c r="D3254" s="14" t="s">
        <v>20417</v>
      </c>
      <c r="E3254" s="16" t="s">
        <v>20418</v>
      </c>
      <c r="F3254" s="16" t="s">
        <v>20419</v>
      </c>
      <c r="G3254" s="23" t="s">
        <v>43</v>
      </c>
      <c r="H3254" s="18" t="n">
        <v>2</v>
      </c>
      <c r="I3254" s="20" t="n">
        <v>32.15</v>
      </c>
      <c r="J3254" s="20" t="n">
        <v>104.2</v>
      </c>
      <c r="K3254" s="18" t="n">
        <v>18</v>
      </c>
      <c r="L3254" s="18" t="n">
        <v>5</v>
      </c>
      <c r="M3254" s="18" t="n">
        <v>216</v>
      </c>
      <c r="N3254" s="18" t="n">
        <v>36</v>
      </c>
      <c r="O3254" s="14" t="s">
        <v>1097</v>
      </c>
      <c r="P3254" s="14" t="s">
        <v>84</v>
      </c>
      <c r="Q3254" s="15" t="s">
        <v>1089</v>
      </c>
      <c r="R3254" s="16" t="s">
        <v>20420</v>
      </c>
      <c r="S3254" s="15" t="s">
        <v>20421</v>
      </c>
      <c r="T3254" s="15" t="s">
        <v>20421</v>
      </c>
      <c r="U3254" s="21" t="s">
        <v>72</v>
      </c>
    </row>
    <row r="3255" customFormat="false" ht="15" hidden="false" customHeight="false" outlineLevel="0" collapsed="false">
      <c r="A3255" s="15" t="s">
        <v>19480</v>
      </c>
      <c r="B3255" s="15" t="s">
        <v>20405</v>
      </c>
      <c r="C3255" s="14" t="s">
        <v>20422</v>
      </c>
      <c r="D3255" s="14" t="s">
        <v>20423</v>
      </c>
      <c r="E3255" s="16" t="s">
        <v>20424</v>
      </c>
      <c r="F3255" s="16" t="s">
        <v>20425</v>
      </c>
      <c r="G3255" s="23" t="s">
        <v>43</v>
      </c>
      <c r="H3255" s="18" t="n">
        <v>1</v>
      </c>
      <c r="I3255" s="20" t="n">
        <v>63.2</v>
      </c>
      <c r="J3255" s="20" t="n">
        <v>120</v>
      </c>
      <c r="K3255" s="18" t="n">
        <v>4</v>
      </c>
      <c r="L3255" s="18" t="n">
        <v>2</v>
      </c>
      <c r="M3255" s="18" t="n">
        <v>64</v>
      </c>
      <c r="N3255" s="18" t="n">
        <v>64</v>
      </c>
      <c r="O3255" s="14" t="s">
        <v>1126</v>
      </c>
      <c r="P3255" s="14" t="s">
        <v>84</v>
      </c>
      <c r="Q3255" s="15" t="s">
        <v>1089</v>
      </c>
      <c r="R3255" s="16" t="s">
        <v>9063</v>
      </c>
      <c r="S3255" s="15" t="s">
        <v>20426</v>
      </c>
      <c r="T3255" s="15" t="s">
        <v>20427</v>
      </c>
      <c r="U3255" s="21" t="s">
        <v>72</v>
      </c>
    </row>
    <row r="3256" customFormat="false" ht="15" hidden="false" customHeight="false" outlineLevel="0" collapsed="false">
      <c r="A3256" s="15" t="s">
        <v>19480</v>
      </c>
      <c r="B3256" s="15" t="s">
        <v>20428</v>
      </c>
      <c r="C3256" s="14" t="s">
        <v>20429</v>
      </c>
      <c r="D3256" s="14" t="s">
        <v>20430</v>
      </c>
      <c r="E3256" s="16" t="s">
        <v>20431</v>
      </c>
      <c r="F3256" s="16" t="s">
        <v>20432</v>
      </c>
      <c r="G3256" s="19" t="s">
        <v>41</v>
      </c>
      <c r="H3256" s="18" t="n">
        <v>4</v>
      </c>
      <c r="I3256" s="20" t="n">
        <v>77.9</v>
      </c>
      <c r="J3256" s="20" t="n">
        <v>340.34</v>
      </c>
      <c r="K3256" s="18" t="n">
        <v>20</v>
      </c>
      <c r="L3256" s="18" t="n">
        <v>4</v>
      </c>
      <c r="M3256" s="18" t="n">
        <v>240</v>
      </c>
      <c r="N3256" s="18" t="n">
        <v>96</v>
      </c>
      <c r="O3256" s="14" t="s">
        <v>9118</v>
      </c>
      <c r="P3256" s="14" t="s">
        <v>118</v>
      </c>
      <c r="Q3256" s="15" t="s">
        <v>1089</v>
      </c>
      <c r="R3256" s="16" t="s">
        <v>8803</v>
      </c>
      <c r="S3256" s="15" t="s">
        <v>20433</v>
      </c>
      <c r="T3256" s="15" t="s">
        <v>20434</v>
      </c>
      <c r="U3256" s="21" t="s">
        <v>72</v>
      </c>
    </row>
    <row r="3257" customFormat="false" ht="15" hidden="false" customHeight="false" outlineLevel="0" collapsed="false">
      <c r="A3257" s="15" t="s">
        <v>19480</v>
      </c>
      <c r="B3257" s="15" t="s">
        <v>20435</v>
      </c>
      <c r="C3257" s="14" t="s">
        <v>20436</v>
      </c>
      <c r="D3257" s="14" t="s">
        <v>20437</v>
      </c>
      <c r="E3257" s="16" t="s">
        <v>20438</v>
      </c>
      <c r="F3257" s="16" t="s">
        <v>20439</v>
      </c>
      <c r="G3257" s="19" t="s">
        <v>41</v>
      </c>
      <c r="H3257" s="18" t="n">
        <v>7</v>
      </c>
      <c r="I3257" s="20" t="n">
        <v>192</v>
      </c>
      <c r="J3257" s="20" t="n">
        <v>330.28</v>
      </c>
      <c r="K3257" s="18" t="n">
        <v>8</v>
      </c>
      <c r="L3257" s="18" t="n">
        <v>3</v>
      </c>
      <c r="M3257" s="18" t="n">
        <v>138</v>
      </c>
      <c r="N3257" s="18" t="n">
        <v>84</v>
      </c>
      <c r="O3257" s="14" t="s">
        <v>1088</v>
      </c>
      <c r="P3257" s="14" t="s">
        <v>118</v>
      </c>
      <c r="Q3257" s="15" t="s">
        <v>1089</v>
      </c>
      <c r="R3257" s="16" t="s">
        <v>20440</v>
      </c>
      <c r="S3257" s="15" t="s">
        <v>20441</v>
      </c>
      <c r="T3257" s="15" t="s">
        <v>20442</v>
      </c>
      <c r="U3257" s="21" t="s">
        <v>72</v>
      </c>
    </row>
    <row r="3258" customFormat="false" ht="26.85" hidden="false" customHeight="false" outlineLevel="0" collapsed="false">
      <c r="A3258" s="15" t="s">
        <v>19480</v>
      </c>
      <c r="B3258" s="15" t="s">
        <v>20435</v>
      </c>
      <c r="C3258" s="14" t="s">
        <v>20443</v>
      </c>
      <c r="D3258" s="14" t="s">
        <v>20444</v>
      </c>
      <c r="E3258" s="16" t="s">
        <v>20445</v>
      </c>
      <c r="F3258" s="16" t="s">
        <v>20446</v>
      </c>
      <c r="G3258" s="23" t="s">
        <v>43</v>
      </c>
      <c r="H3258" s="18" t="n">
        <v>2</v>
      </c>
      <c r="I3258" s="20" t="n">
        <v>85.05</v>
      </c>
      <c r="J3258" s="20" t="n">
        <v>113.33</v>
      </c>
      <c r="K3258" s="18" t="n">
        <v>6</v>
      </c>
      <c r="L3258" s="18" t="n">
        <v>7</v>
      </c>
      <c r="M3258" s="18" t="n">
        <v>90</v>
      </c>
      <c r="N3258" s="18" t="n">
        <v>15</v>
      </c>
      <c r="O3258" s="14" t="s">
        <v>1097</v>
      </c>
      <c r="P3258" s="14" t="s">
        <v>352</v>
      </c>
      <c r="Q3258" s="15" t="s">
        <v>1089</v>
      </c>
      <c r="R3258" s="16" t="s">
        <v>20447</v>
      </c>
      <c r="S3258" s="15" t="s">
        <v>20448</v>
      </c>
      <c r="T3258" s="15" t="s">
        <v>20449</v>
      </c>
      <c r="U3258" s="21" t="s">
        <v>72</v>
      </c>
    </row>
    <row r="3259" customFormat="false" ht="15" hidden="false" customHeight="false" outlineLevel="0" collapsed="false">
      <c r="A3259" s="15" t="s">
        <v>19480</v>
      </c>
      <c r="B3259" s="15" t="s">
        <v>20435</v>
      </c>
      <c r="C3259" s="14" t="s">
        <v>20450</v>
      </c>
      <c r="D3259" s="14" t="s">
        <v>20451</v>
      </c>
      <c r="E3259" s="16" t="s">
        <v>20452</v>
      </c>
      <c r="F3259" s="16" t="s">
        <v>20453</v>
      </c>
      <c r="G3259" s="23" t="s">
        <v>43</v>
      </c>
      <c r="H3259" s="18" t="n">
        <v>1</v>
      </c>
      <c r="I3259" s="20" t="n">
        <v>78.65</v>
      </c>
      <c r="J3259" s="20" t="n">
        <v>115.38</v>
      </c>
      <c r="K3259" s="18" t="n">
        <v>3</v>
      </c>
      <c r="L3259" s="18" t="n">
        <v>5</v>
      </c>
      <c r="M3259" s="18" t="n">
        <v>126</v>
      </c>
      <c r="N3259" s="18" t="n">
        <v>126</v>
      </c>
      <c r="O3259" s="14" t="s">
        <v>1088</v>
      </c>
      <c r="P3259" s="14" t="s">
        <v>84</v>
      </c>
      <c r="Q3259" s="15" t="s">
        <v>1089</v>
      </c>
      <c r="R3259" s="16" t="s">
        <v>20454</v>
      </c>
      <c r="S3259" s="15" t="s">
        <v>20455</v>
      </c>
      <c r="T3259" s="15" t="s">
        <v>20456</v>
      </c>
      <c r="U3259" s="21" t="s">
        <v>72</v>
      </c>
    </row>
    <row r="3260" customFormat="false" ht="15" hidden="false" customHeight="false" outlineLevel="0" collapsed="false">
      <c r="A3260" s="15" t="s">
        <v>19480</v>
      </c>
      <c r="B3260" s="15" t="s">
        <v>20435</v>
      </c>
      <c r="C3260" s="14" t="s">
        <v>20457</v>
      </c>
      <c r="D3260" s="14" t="s">
        <v>20458</v>
      </c>
      <c r="E3260" s="16" t="s">
        <v>20459</v>
      </c>
      <c r="F3260" s="16" t="s">
        <v>20460</v>
      </c>
      <c r="G3260" s="23" t="s">
        <v>43</v>
      </c>
      <c r="H3260" s="18" t="n">
        <v>2</v>
      </c>
      <c r="I3260" s="20" t="n">
        <v>40</v>
      </c>
      <c r="J3260" s="20" t="n">
        <v>83.44</v>
      </c>
      <c r="K3260" s="18" t="n">
        <v>10</v>
      </c>
      <c r="L3260" s="18" t="n">
        <v>2</v>
      </c>
      <c r="M3260" s="18" t="n">
        <v>90</v>
      </c>
      <c r="N3260" s="18" t="n">
        <v>18</v>
      </c>
      <c r="O3260" s="14" t="s">
        <v>1097</v>
      </c>
      <c r="P3260" s="14" t="s">
        <v>118</v>
      </c>
      <c r="Q3260" s="15" t="s">
        <v>1089</v>
      </c>
      <c r="R3260" s="16" t="s">
        <v>17150</v>
      </c>
      <c r="S3260" s="15" t="s">
        <v>20461</v>
      </c>
      <c r="T3260" s="15" t="s">
        <v>20461</v>
      </c>
      <c r="U3260" s="21" t="s">
        <v>72</v>
      </c>
    </row>
    <row r="3261" customFormat="false" ht="15" hidden="false" customHeight="false" outlineLevel="0" collapsed="false">
      <c r="A3261" s="15" t="s">
        <v>19480</v>
      </c>
      <c r="B3261" s="15" t="s">
        <v>20435</v>
      </c>
      <c r="C3261" s="14" t="s">
        <v>20462</v>
      </c>
      <c r="D3261" s="14" t="s">
        <v>20463</v>
      </c>
      <c r="E3261" s="16" t="s">
        <v>20464</v>
      </c>
      <c r="F3261" s="16" t="s">
        <v>20465</v>
      </c>
      <c r="G3261" s="23" t="s">
        <v>43</v>
      </c>
      <c r="H3261" s="18" t="n">
        <v>2</v>
      </c>
      <c r="I3261" s="20" t="n">
        <v>40</v>
      </c>
      <c r="J3261" s="20" t="n">
        <v>99.56</v>
      </c>
      <c r="K3261" s="18" t="n">
        <v>2</v>
      </c>
      <c r="L3261" s="18" t="n">
        <v>1</v>
      </c>
      <c r="M3261" s="18" t="n">
        <v>18</v>
      </c>
      <c r="N3261" s="18" t="n">
        <v>18</v>
      </c>
      <c r="O3261" s="14" t="s">
        <v>1097</v>
      </c>
      <c r="P3261" s="14" t="s">
        <v>84</v>
      </c>
      <c r="Q3261" s="15" t="s">
        <v>1089</v>
      </c>
      <c r="R3261" s="16" t="s">
        <v>20466</v>
      </c>
      <c r="S3261" s="15" t="s">
        <v>2292</v>
      </c>
      <c r="T3261" s="15" t="s">
        <v>2292</v>
      </c>
      <c r="U3261" s="21" t="s">
        <v>72</v>
      </c>
    </row>
    <row r="3262" customFormat="false" ht="26.85" hidden="false" customHeight="false" outlineLevel="0" collapsed="false">
      <c r="A3262" s="15" t="s">
        <v>19480</v>
      </c>
      <c r="B3262" s="15" t="s">
        <v>20435</v>
      </c>
      <c r="C3262" s="14" t="s">
        <v>20467</v>
      </c>
      <c r="D3262" s="14" t="s">
        <v>20468</v>
      </c>
      <c r="E3262" s="16" t="s">
        <v>20469</v>
      </c>
      <c r="F3262" s="16" t="s">
        <v>20470</v>
      </c>
      <c r="G3262" s="19" t="s">
        <v>41</v>
      </c>
      <c r="H3262" s="18" t="n">
        <v>4</v>
      </c>
      <c r="I3262" s="20" t="n">
        <v>143.24</v>
      </c>
      <c r="J3262" s="20" t="n">
        <v>376.71</v>
      </c>
      <c r="K3262" s="18" t="n">
        <v>26</v>
      </c>
      <c r="L3262" s="18" t="n">
        <v>2</v>
      </c>
      <c r="M3262" s="18" t="n">
        <v>228</v>
      </c>
      <c r="N3262" s="18" t="n">
        <v>84</v>
      </c>
      <c r="O3262" s="14" t="s">
        <v>1097</v>
      </c>
      <c r="P3262" s="14" t="s">
        <v>872</v>
      </c>
      <c r="Q3262" s="15" t="s">
        <v>1089</v>
      </c>
      <c r="R3262" s="16" t="s">
        <v>14133</v>
      </c>
      <c r="S3262" s="15" t="s">
        <v>20471</v>
      </c>
      <c r="T3262" s="15" t="s">
        <v>20472</v>
      </c>
      <c r="U3262" s="21" t="s">
        <v>72</v>
      </c>
    </row>
    <row r="3263" customFormat="false" ht="15" hidden="false" customHeight="false" outlineLevel="0" collapsed="false">
      <c r="A3263" s="15" t="s">
        <v>19480</v>
      </c>
      <c r="B3263" s="15" t="s">
        <v>20435</v>
      </c>
      <c r="C3263" s="14" t="s">
        <v>20473</v>
      </c>
      <c r="D3263" s="14" t="s">
        <v>20474</v>
      </c>
      <c r="E3263" s="16" t="s">
        <v>20475</v>
      </c>
      <c r="F3263" s="16" t="s">
        <v>20476</v>
      </c>
      <c r="G3263" s="23" t="s">
        <v>43</v>
      </c>
      <c r="H3263" s="18" t="n">
        <v>2</v>
      </c>
      <c r="I3263" s="20" t="n">
        <v>71</v>
      </c>
      <c r="J3263" s="20" t="n">
        <v>96.26</v>
      </c>
      <c r="K3263" s="18" t="n">
        <v>9</v>
      </c>
      <c r="L3263" s="18" t="n">
        <v>7</v>
      </c>
      <c r="M3263" s="18" t="n">
        <v>216</v>
      </c>
      <c r="N3263" s="18" t="n">
        <v>120</v>
      </c>
      <c r="O3263" s="14" t="s">
        <v>1097</v>
      </c>
      <c r="P3263" s="14" t="s">
        <v>118</v>
      </c>
      <c r="Q3263" s="15" t="s">
        <v>1089</v>
      </c>
      <c r="R3263" s="16" t="s">
        <v>20477</v>
      </c>
      <c r="S3263" s="15" t="s">
        <v>20478</v>
      </c>
      <c r="T3263" s="15" t="s">
        <v>20479</v>
      </c>
      <c r="U3263" s="21" t="s">
        <v>72</v>
      </c>
    </row>
    <row r="3264" customFormat="false" ht="15" hidden="false" customHeight="false" outlineLevel="0" collapsed="false">
      <c r="A3264" s="15" t="s">
        <v>19480</v>
      </c>
      <c r="B3264" s="15" t="s">
        <v>20435</v>
      </c>
      <c r="C3264" s="14" t="s">
        <v>20480</v>
      </c>
      <c r="D3264" s="14" t="s">
        <v>20481</v>
      </c>
      <c r="E3264" s="16" t="s">
        <v>20482</v>
      </c>
      <c r="F3264" s="16" t="s">
        <v>20476</v>
      </c>
      <c r="G3264" s="23" t="s">
        <v>43</v>
      </c>
      <c r="H3264" s="18" t="n">
        <v>3</v>
      </c>
      <c r="I3264" s="20" t="n">
        <v>67.92</v>
      </c>
      <c r="J3264" s="20" t="n">
        <v>182.22</v>
      </c>
      <c r="K3264" s="18" t="n">
        <v>9</v>
      </c>
      <c r="L3264" s="18" t="n">
        <v>2</v>
      </c>
      <c r="M3264" s="18" t="n">
        <v>166</v>
      </c>
      <c r="N3264" s="18" t="n">
        <v>38</v>
      </c>
      <c r="O3264" s="14" t="s">
        <v>1097</v>
      </c>
      <c r="P3264" s="14" t="s">
        <v>118</v>
      </c>
      <c r="Q3264" s="15" t="s">
        <v>1089</v>
      </c>
      <c r="R3264" s="16" t="s">
        <v>11991</v>
      </c>
      <c r="S3264" s="15" t="s">
        <v>20478</v>
      </c>
      <c r="T3264" s="15" t="s">
        <v>20483</v>
      </c>
      <c r="U3264" s="21" t="s">
        <v>72</v>
      </c>
    </row>
    <row r="3265" customFormat="false" ht="15" hidden="false" customHeight="false" outlineLevel="0" collapsed="false">
      <c r="A3265" s="15" t="s">
        <v>19480</v>
      </c>
      <c r="B3265" s="15" t="s">
        <v>20435</v>
      </c>
      <c r="C3265" s="14" t="s">
        <v>20484</v>
      </c>
      <c r="D3265" s="14" t="s">
        <v>20485</v>
      </c>
      <c r="E3265" s="16" t="s">
        <v>20486</v>
      </c>
      <c r="F3265" s="16" t="s">
        <v>20487</v>
      </c>
      <c r="G3265" s="23" t="s">
        <v>43</v>
      </c>
      <c r="H3265" s="18" t="n">
        <v>4</v>
      </c>
      <c r="I3265" s="20" t="n">
        <v>102.28</v>
      </c>
      <c r="J3265" s="20" t="n">
        <v>184.94</v>
      </c>
      <c r="K3265" s="18" t="n">
        <v>8</v>
      </c>
      <c r="L3265" s="18" t="n">
        <v>9</v>
      </c>
      <c r="M3265" s="18" t="n">
        <v>80</v>
      </c>
      <c r="N3265" s="18" t="n">
        <v>80</v>
      </c>
      <c r="O3265" s="14" t="s">
        <v>1088</v>
      </c>
      <c r="P3265" s="14" t="s">
        <v>84</v>
      </c>
      <c r="Q3265" s="15" t="s">
        <v>1089</v>
      </c>
      <c r="R3265" s="16" t="s">
        <v>20488</v>
      </c>
      <c r="S3265" s="15" t="s">
        <v>20489</v>
      </c>
      <c r="T3265" s="15" t="s">
        <v>20490</v>
      </c>
      <c r="U3265" s="21" t="s">
        <v>72</v>
      </c>
    </row>
    <row r="3266" customFormat="false" ht="15" hidden="false" customHeight="false" outlineLevel="0" collapsed="false">
      <c r="A3266" s="15" t="s">
        <v>19480</v>
      </c>
      <c r="B3266" s="15" t="s">
        <v>20435</v>
      </c>
      <c r="C3266" s="14" t="s">
        <v>20491</v>
      </c>
      <c r="D3266" s="14" t="s">
        <v>20492</v>
      </c>
      <c r="E3266" s="16" t="s">
        <v>20493</v>
      </c>
      <c r="F3266" s="16" t="s">
        <v>20494</v>
      </c>
      <c r="G3266" s="19" t="s">
        <v>41</v>
      </c>
      <c r="H3266" s="18" t="n">
        <v>4</v>
      </c>
      <c r="I3266" s="20" t="n">
        <v>102.5</v>
      </c>
      <c r="J3266" s="20" t="n">
        <v>209.81</v>
      </c>
      <c r="K3266" s="18" t="n">
        <v>16</v>
      </c>
      <c r="L3266" s="18" t="n">
        <v>6</v>
      </c>
      <c r="M3266" s="18" t="n">
        <v>216</v>
      </c>
      <c r="N3266" s="18" t="n">
        <v>70</v>
      </c>
      <c r="O3266" s="14" t="s">
        <v>1097</v>
      </c>
      <c r="P3266" s="14" t="s">
        <v>118</v>
      </c>
      <c r="Q3266" s="15" t="s">
        <v>1089</v>
      </c>
      <c r="R3266" s="16" t="s">
        <v>20495</v>
      </c>
      <c r="S3266" s="15" t="s">
        <v>20490</v>
      </c>
      <c r="T3266" s="15" t="s">
        <v>20496</v>
      </c>
      <c r="U3266" s="21" t="s">
        <v>72</v>
      </c>
    </row>
    <row r="3267" customFormat="false" ht="15" hidden="false" customHeight="false" outlineLevel="0" collapsed="false">
      <c r="A3267" s="15" t="s">
        <v>19480</v>
      </c>
      <c r="B3267" s="15" t="s">
        <v>20435</v>
      </c>
      <c r="C3267" s="14" t="s">
        <v>20497</v>
      </c>
      <c r="D3267" s="14" t="s">
        <v>20498</v>
      </c>
      <c r="E3267" s="16" t="s">
        <v>20499</v>
      </c>
      <c r="F3267" s="16" t="s">
        <v>20500</v>
      </c>
      <c r="G3267" s="19" t="s">
        <v>41</v>
      </c>
      <c r="H3267" s="18" t="n">
        <v>6</v>
      </c>
      <c r="I3267" s="20" t="n">
        <v>125.92</v>
      </c>
      <c r="J3267" s="20" t="n">
        <v>201.15</v>
      </c>
      <c r="K3267" s="18" t="n">
        <v>31</v>
      </c>
      <c r="L3267" s="18" t="n">
        <v>10</v>
      </c>
      <c r="M3267" s="18" t="n">
        <v>481</v>
      </c>
      <c r="N3267" s="18" t="n">
        <v>306</v>
      </c>
      <c r="O3267" s="14" t="s">
        <v>1097</v>
      </c>
      <c r="P3267" s="14" t="s">
        <v>118</v>
      </c>
      <c r="Q3267" s="15" t="s">
        <v>1089</v>
      </c>
      <c r="R3267" s="16" t="s">
        <v>20501</v>
      </c>
      <c r="S3267" s="15" t="s">
        <v>20489</v>
      </c>
      <c r="T3267" s="15" t="s">
        <v>20502</v>
      </c>
      <c r="U3267" s="21" t="s">
        <v>72</v>
      </c>
    </row>
    <row r="3268" customFormat="false" ht="15" hidden="false" customHeight="false" outlineLevel="0" collapsed="false">
      <c r="A3268" s="15" t="s">
        <v>19480</v>
      </c>
      <c r="B3268" s="15" t="s">
        <v>20435</v>
      </c>
      <c r="C3268" s="14" t="s">
        <v>20503</v>
      </c>
      <c r="D3268" s="14" t="s">
        <v>20504</v>
      </c>
      <c r="E3268" s="16" t="s">
        <v>20505</v>
      </c>
      <c r="F3268" s="16" t="s">
        <v>20506</v>
      </c>
      <c r="G3268" s="23" t="s">
        <v>43</v>
      </c>
      <c r="H3268" s="18" t="n">
        <v>2</v>
      </c>
      <c r="I3268" s="20" t="n">
        <v>42.61</v>
      </c>
      <c r="J3268" s="20" t="n">
        <v>81.83</v>
      </c>
      <c r="K3268" s="18" t="n">
        <v>10</v>
      </c>
      <c r="L3268" s="18" t="n">
        <v>1</v>
      </c>
      <c r="M3268" s="18" t="n">
        <v>130</v>
      </c>
      <c r="N3268" s="18" t="n">
        <v>130</v>
      </c>
      <c r="O3268" s="14" t="s">
        <v>19922</v>
      </c>
      <c r="P3268" s="14" t="s">
        <v>118</v>
      </c>
      <c r="Q3268" s="15" t="s">
        <v>1089</v>
      </c>
      <c r="R3268" s="16" t="s">
        <v>20507</v>
      </c>
      <c r="S3268" s="15" t="s">
        <v>20508</v>
      </c>
      <c r="T3268" s="15" t="s">
        <v>20508</v>
      </c>
      <c r="U3268" s="21" t="s">
        <v>72</v>
      </c>
    </row>
    <row r="3269" customFormat="false" ht="15" hidden="false" customHeight="false" outlineLevel="0" collapsed="false">
      <c r="A3269" s="15" t="s">
        <v>19480</v>
      </c>
      <c r="B3269" s="15" t="s">
        <v>20435</v>
      </c>
      <c r="C3269" s="14" t="s">
        <v>20509</v>
      </c>
      <c r="D3269" s="14" t="s">
        <v>20510</v>
      </c>
      <c r="E3269" s="16" t="s">
        <v>20511</v>
      </c>
      <c r="F3269" s="16" t="s">
        <v>20512</v>
      </c>
      <c r="G3269" s="23" t="s">
        <v>43</v>
      </c>
      <c r="H3269" s="18" t="n">
        <v>3</v>
      </c>
      <c r="I3269" s="20" t="n">
        <v>56</v>
      </c>
      <c r="J3269" s="20" t="n">
        <v>155.1</v>
      </c>
      <c r="K3269" s="18" t="n">
        <v>12</v>
      </c>
      <c r="L3269" s="18" t="n">
        <v>3</v>
      </c>
      <c r="M3269" s="18" t="n">
        <v>121</v>
      </c>
      <c r="N3269" s="18" t="n">
        <v>84</v>
      </c>
      <c r="O3269" s="14" t="s">
        <v>1097</v>
      </c>
      <c r="P3269" s="14" t="s">
        <v>118</v>
      </c>
      <c r="Q3269" s="15" t="s">
        <v>1089</v>
      </c>
      <c r="R3269" s="16" t="s">
        <v>20513</v>
      </c>
      <c r="S3269" s="15" t="s">
        <v>20514</v>
      </c>
      <c r="T3269" s="15" t="s">
        <v>20515</v>
      </c>
      <c r="U3269" s="21" t="s">
        <v>72</v>
      </c>
    </row>
    <row r="3270" customFormat="false" ht="15" hidden="false" customHeight="false" outlineLevel="0" collapsed="false">
      <c r="A3270" s="15" t="s">
        <v>19480</v>
      </c>
      <c r="B3270" s="15" t="s">
        <v>20435</v>
      </c>
      <c r="C3270" s="14" t="s">
        <v>20516</v>
      </c>
      <c r="D3270" s="14" t="s">
        <v>20517</v>
      </c>
      <c r="E3270" s="16" t="s">
        <v>20518</v>
      </c>
      <c r="F3270" s="16" t="s">
        <v>20519</v>
      </c>
      <c r="G3270" s="23" t="s">
        <v>43</v>
      </c>
      <c r="H3270" s="18" t="n">
        <v>2</v>
      </c>
      <c r="I3270" s="20" t="n">
        <v>64</v>
      </c>
      <c r="J3270" s="20" t="n">
        <v>89.16</v>
      </c>
      <c r="K3270" s="18" t="n">
        <v>2</v>
      </c>
      <c r="L3270" s="18" t="n">
        <v>2</v>
      </c>
      <c r="M3270" s="18" t="n">
        <v>30</v>
      </c>
      <c r="N3270" s="18" t="n">
        <v>30</v>
      </c>
      <c r="O3270" s="14" t="s">
        <v>1088</v>
      </c>
      <c r="P3270" s="14" t="s">
        <v>84</v>
      </c>
      <c r="Q3270" s="15" t="s">
        <v>1089</v>
      </c>
      <c r="R3270" s="16" t="s">
        <v>20520</v>
      </c>
      <c r="S3270" s="15" t="s">
        <v>20521</v>
      </c>
      <c r="T3270" s="15" t="s">
        <v>20521</v>
      </c>
      <c r="U3270" s="21" t="s">
        <v>72</v>
      </c>
    </row>
    <row r="3271" customFormat="false" ht="15" hidden="false" customHeight="false" outlineLevel="0" collapsed="false">
      <c r="A3271" s="15" t="s">
        <v>19480</v>
      </c>
      <c r="B3271" s="15" t="s">
        <v>20435</v>
      </c>
      <c r="C3271" s="14" t="s">
        <v>20522</v>
      </c>
      <c r="D3271" s="14" t="s">
        <v>20523</v>
      </c>
      <c r="E3271" s="16" t="s">
        <v>20524</v>
      </c>
      <c r="F3271" s="16" t="s">
        <v>20525</v>
      </c>
      <c r="G3271" s="19" t="s">
        <v>41</v>
      </c>
      <c r="H3271" s="18" t="n">
        <v>7</v>
      </c>
      <c r="I3271" s="20" t="n">
        <v>169.8</v>
      </c>
      <c r="J3271" s="20" t="n">
        <v>388.18</v>
      </c>
      <c r="K3271" s="18" t="n">
        <v>7</v>
      </c>
      <c r="L3271" s="18" t="n">
        <v>4</v>
      </c>
      <c r="M3271" s="18" t="n">
        <v>96</v>
      </c>
      <c r="N3271" s="18" t="n">
        <v>39</v>
      </c>
      <c r="O3271" s="14" t="s">
        <v>1097</v>
      </c>
      <c r="P3271" s="14" t="s">
        <v>118</v>
      </c>
      <c r="Q3271" s="15" t="s">
        <v>1089</v>
      </c>
      <c r="R3271" s="16" t="s">
        <v>20526</v>
      </c>
      <c r="S3271" s="15" t="s">
        <v>20527</v>
      </c>
      <c r="T3271" s="15" t="s">
        <v>20528</v>
      </c>
      <c r="U3271" s="21" t="s">
        <v>72</v>
      </c>
    </row>
    <row r="3272" customFormat="false" ht="15" hidden="false" customHeight="false" outlineLevel="0" collapsed="false">
      <c r="A3272" s="15" t="s">
        <v>19480</v>
      </c>
      <c r="B3272" s="15" t="s">
        <v>20435</v>
      </c>
      <c r="C3272" s="14" t="s">
        <v>20529</v>
      </c>
      <c r="D3272" s="14" t="s">
        <v>20530</v>
      </c>
      <c r="E3272" s="16" t="s">
        <v>20531</v>
      </c>
      <c r="F3272" s="16" t="s">
        <v>20532</v>
      </c>
      <c r="G3272" s="19" t="s">
        <v>41</v>
      </c>
      <c r="H3272" s="18" t="n">
        <v>3</v>
      </c>
      <c r="I3272" s="20" t="n">
        <v>180.16</v>
      </c>
      <c r="J3272" s="20" t="n">
        <v>269.7</v>
      </c>
      <c r="K3272" s="18" t="n">
        <v>14</v>
      </c>
      <c r="L3272" s="18" t="n">
        <v>3</v>
      </c>
      <c r="M3272" s="18" t="n">
        <v>215</v>
      </c>
      <c r="N3272" s="18" t="n">
        <v>46</v>
      </c>
      <c r="O3272" s="14" t="s">
        <v>1097</v>
      </c>
      <c r="P3272" s="14" t="s">
        <v>118</v>
      </c>
      <c r="Q3272" s="15" t="s">
        <v>1089</v>
      </c>
      <c r="R3272" s="16" t="s">
        <v>20533</v>
      </c>
      <c r="S3272" s="15" t="s">
        <v>20534</v>
      </c>
      <c r="T3272" s="15" t="s">
        <v>20534</v>
      </c>
      <c r="U3272" s="21" t="s">
        <v>72</v>
      </c>
    </row>
    <row r="3273" customFormat="false" ht="15" hidden="false" customHeight="false" outlineLevel="0" collapsed="false">
      <c r="A3273" s="15" t="s">
        <v>19480</v>
      </c>
      <c r="B3273" s="15" t="s">
        <v>20435</v>
      </c>
      <c r="C3273" s="14" t="s">
        <v>20535</v>
      </c>
      <c r="D3273" s="14" t="s">
        <v>20536</v>
      </c>
      <c r="E3273" s="16" t="s">
        <v>20537</v>
      </c>
      <c r="F3273" s="16" t="s">
        <v>20538</v>
      </c>
      <c r="G3273" s="19" t="s">
        <v>41</v>
      </c>
      <c r="H3273" s="18" t="n">
        <v>5</v>
      </c>
      <c r="I3273" s="20" t="n">
        <v>144.61</v>
      </c>
      <c r="J3273" s="20" t="n">
        <v>320.3</v>
      </c>
      <c r="K3273" s="18" t="n">
        <v>14</v>
      </c>
      <c r="L3273" s="18" t="n">
        <v>3</v>
      </c>
      <c r="M3273" s="18" t="n">
        <v>244</v>
      </c>
      <c r="N3273" s="18" t="n">
        <v>172</v>
      </c>
      <c r="O3273" s="14" t="s">
        <v>1097</v>
      </c>
      <c r="P3273" s="14" t="s">
        <v>84</v>
      </c>
      <c r="Q3273" s="15" t="s">
        <v>1089</v>
      </c>
      <c r="R3273" s="16" t="s">
        <v>20539</v>
      </c>
      <c r="S3273" s="15" t="s">
        <v>20540</v>
      </c>
      <c r="T3273" s="15" t="s">
        <v>20540</v>
      </c>
      <c r="U3273" s="21" t="s">
        <v>72</v>
      </c>
    </row>
    <row r="3274" customFormat="false" ht="15" hidden="false" customHeight="false" outlineLevel="0" collapsed="false">
      <c r="A3274" s="15" t="s">
        <v>19480</v>
      </c>
      <c r="B3274" s="15" t="s">
        <v>20435</v>
      </c>
      <c r="C3274" s="14" t="s">
        <v>20541</v>
      </c>
      <c r="D3274" s="14" t="s">
        <v>20542</v>
      </c>
      <c r="E3274" s="16" t="s">
        <v>20543</v>
      </c>
      <c r="F3274" s="16" t="s">
        <v>20544</v>
      </c>
      <c r="G3274" s="25" t="s">
        <v>39</v>
      </c>
      <c r="H3274" s="18" t="n">
        <v>5</v>
      </c>
      <c r="I3274" s="20" t="n">
        <v>35.7</v>
      </c>
      <c r="J3274" s="20" t="n">
        <v>868.92</v>
      </c>
      <c r="K3274" s="18" t="n">
        <v>8</v>
      </c>
      <c r="L3274" s="18" t="n">
        <v>5</v>
      </c>
      <c r="M3274" s="18" t="n">
        <v>160</v>
      </c>
      <c r="N3274" s="18" t="n">
        <v>160</v>
      </c>
      <c r="O3274" s="14" t="s">
        <v>1097</v>
      </c>
      <c r="P3274" s="14" t="s">
        <v>84</v>
      </c>
      <c r="Q3274" s="15" t="s">
        <v>1089</v>
      </c>
      <c r="R3274" s="16" t="s">
        <v>20545</v>
      </c>
      <c r="S3274" s="15" t="s">
        <v>20546</v>
      </c>
      <c r="T3274" s="15" t="s">
        <v>20547</v>
      </c>
      <c r="U3274" s="21" t="s">
        <v>72</v>
      </c>
    </row>
    <row r="3275" customFormat="false" ht="15" hidden="false" customHeight="false" outlineLevel="0" collapsed="false">
      <c r="A3275" s="15" t="s">
        <v>19480</v>
      </c>
      <c r="B3275" s="15" t="s">
        <v>20435</v>
      </c>
      <c r="C3275" s="14" t="s">
        <v>20548</v>
      </c>
      <c r="D3275" s="14" t="s">
        <v>20549</v>
      </c>
      <c r="E3275" s="16" t="s">
        <v>20550</v>
      </c>
      <c r="F3275" s="16" t="s">
        <v>20551</v>
      </c>
      <c r="G3275" s="23" t="s">
        <v>43</v>
      </c>
      <c r="H3275" s="18" t="n">
        <v>3</v>
      </c>
      <c r="I3275" s="20" t="n">
        <v>72</v>
      </c>
      <c r="J3275" s="20" t="n">
        <v>158.66</v>
      </c>
      <c r="K3275" s="18" t="n">
        <v>3</v>
      </c>
      <c r="L3275" s="18" t="n">
        <v>2</v>
      </c>
      <c r="M3275" s="18" t="n">
        <v>30</v>
      </c>
      <c r="N3275" s="18" t="n">
        <v>20</v>
      </c>
      <c r="O3275" s="14" t="s">
        <v>1088</v>
      </c>
      <c r="P3275" s="14" t="s">
        <v>84</v>
      </c>
      <c r="Q3275" s="15" t="s">
        <v>1089</v>
      </c>
      <c r="R3275" s="16" t="s">
        <v>4665</v>
      </c>
      <c r="S3275" s="15" t="s">
        <v>20433</v>
      </c>
      <c r="T3275" s="15" t="s">
        <v>20552</v>
      </c>
      <c r="U3275" s="21" t="s">
        <v>72</v>
      </c>
    </row>
    <row r="3276" customFormat="false" ht="15" hidden="false" customHeight="false" outlineLevel="0" collapsed="false">
      <c r="A3276" s="15" t="s">
        <v>19480</v>
      </c>
      <c r="B3276" s="15" t="s">
        <v>20435</v>
      </c>
      <c r="C3276" s="14" t="s">
        <v>20553</v>
      </c>
      <c r="D3276" s="14" t="s">
        <v>20554</v>
      </c>
      <c r="E3276" s="16" t="s">
        <v>20555</v>
      </c>
      <c r="F3276" s="16" t="s">
        <v>20556</v>
      </c>
      <c r="G3276" s="23" t="s">
        <v>43</v>
      </c>
      <c r="H3276" s="18" t="n">
        <v>3</v>
      </c>
      <c r="I3276" s="20" t="n">
        <v>59.09</v>
      </c>
      <c r="J3276" s="20" t="n">
        <v>161.18</v>
      </c>
      <c r="K3276" s="18" t="n">
        <v>5</v>
      </c>
      <c r="L3276" s="18" t="n">
        <v>2</v>
      </c>
      <c r="M3276" s="18" t="n">
        <v>50</v>
      </c>
      <c r="N3276" s="18" t="n">
        <v>20</v>
      </c>
      <c r="O3276" s="14" t="s">
        <v>1097</v>
      </c>
      <c r="P3276" s="14" t="s">
        <v>84</v>
      </c>
      <c r="Q3276" s="15" t="s">
        <v>1089</v>
      </c>
      <c r="R3276" s="16" t="s">
        <v>20557</v>
      </c>
      <c r="S3276" s="15" t="s">
        <v>20558</v>
      </c>
      <c r="T3276" s="15" t="s">
        <v>20558</v>
      </c>
      <c r="U3276" s="21" t="s">
        <v>72</v>
      </c>
    </row>
    <row r="3277" customFormat="false" ht="15" hidden="false" customHeight="false" outlineLevel="0" collapsed="false">
      <c r="A3277" s="15" t="s">
        <v>19480</v>
      </c>
      <c r="B3277" s="15" t="s">
        <v>20435</v>
      </c>
      <c r="C3277" s="14" t="s">
        <v>20559</v>
      </c>
      <c r="D3277" s="14" t="s">
        <v>20560</v>
      </c>
      <c r="E3277" s="16" t="s">
        <v>20561</v>
      </c>
      <c r="F3277" s="16" t="s">
        <v>20562</v>
      </c>
      <c r="G3277" s="19" t="s">
        <v>41</v>
      </c>
      <c r="H3277" s="18" t="n">
        <v>5</v>
      </c>
      <c r="I3277" s="20" t="n">
        <v>166.8</v>
      </c>
      <c r="J3277" s="20" t="n">
        <v>259.32</v>
      </c>
      <c r="K3277" s="18" t="n">
        <v>9</v>
      </c>
      <c r="L3277" s="18" t="n">
        <v>1</v>
      </c>
      <c r="M3277" s="18" t="n">
        <v>172</v>
      </c>
      <c r="N3277" s="18" t="n">
        <v>172</v>
      </c>
      <c r="O3277" s="14" t="s">
        <v>1097</v>
      </c>
      <c r="P3277" s="14" t="s">
        <v>84</v>
      </c>
      <c r="Q3277" s="15" t="s">
        <v>1089</v>
      </c>
      <c r="R3277" s="16" t="s">
        <v>20563</v>
      </c>
      <c r="S3277" s="15" t="s">
        <v>20564</v>
      </c>
      <c r="T3277" s="15" t="s">
        <v>20564</v>
      </c>
      <c r="U3277" s="21" t="s">
        <v>72</v>
      </c>
    </row>
    <row r="3278" customFormat="false" ht="15" hidden="false" customHeight="false" outlineLevel="0" collapsed="false">
      <c r="A3278" s="15" t="s">
        <v>19480</v>
      </c>
      <c r="B3278" s="15" t="s">
        <v>20435</v>
      </c>
      <c r="C3278" s="14" t="s">
        <v>20565</v>
      </c>
      <c r="D3278" s="14" t="s">
        <v>20566</v>
      </c>
      <c r="E3278" s="16" t="s">
        <v>20567</v>
      </c>
      <c r="F3278" s="16" t="s">
        <v>20568</v>
      </c>
      <c r="G3278" s="23" t="s">
        <v>43</v>
      </c>
      <c r="H3278" s="18" t="n">
        <v>2</v>
      </c>
      <c r="I3278" s="20" t="n">
        <v>70</v>
      </c>
      <c r="J3278" s="20" t="n">
        <v>150.64</v>
      </c>
      <c r="K3278" s="18" t="n">
        <v>6</v>
      </c>
      <c r="L3278" s="18" t="n">
        <v>10</v>
      </c>
      <c r="M3278" s="18" t="n">
        <v>114</v>
      </c>
      <c r="N3278" s="18" t="n">
        <v>38</v>
      </c>
      <c r="O3278" s="14" t="s">
        <v>1097</v>
      </c>
      <c r="P3278" s="14" t="s">
        <v>1166</v>
      </c>
      <c r="Q3278" s="15" t="s">
        <v>1089</v>
      </c>
      <c r="R3278" s="16" t="s">
        <v>20569</v>
      </c>
      <c r="S3278" s="15" t="s">
        <v>4894</v>
      </c>
      <c r="T3278" s="15" t="s">
        <v>20570</v>
      </c>
      <c r="U3278" s="21" t="s">
        <v>72</v>
      </c>
    </row>
    <row r="3279" customFormat="false" ht="26.85" hidden="false" customHeight="false" outlineLevel="0" collapsed="false">
      <c r="A3279" s="15" t="s">
        <v>19480</v>
      </c>
      <c r="B3279" s="15" t="s">
        <v>20435</v>
      </c>
      <c r="C3279" s="14" t="s">
        <v>20571</v>
      </c>
      <c r="D3279" s="14" t="s">
        <v>20572</v>
      </c>
      <c r="E3279" s="16" t="s">
        <v>20573</v>
      </c>
      <c r="F3279" s="16" t="s">
        <v>20574</v>
      </c>
      <c r="G3279" s="25" t="s">
        <v>39</v>
      </c>
      <c r="H3279" s="18" t="n">
        <v>17</v>
      </c>
      <c r="I3279" s="20" t="n">
        <v>239.55</v>
      </c>
      <c r="J3279" s="20" t="n">
        <v>466.93</v>
      </c>
      <c r="K3279" s="18" t="n">
        <v>28</v>
      </c>
      <c r="L3279" s="18" t="n">
        <v>14</v>
      </c>
      <c r="M3279" s="18" t="n">
        <v>437</v>
      </c>
      <c r="N3279" s="18" t="n">
        <v>255</v>
      </c>
      <c r="O3279" s="14" t="s">
        <v>1088</v>
      </c>
      <c r="P3279" s="14" t="s">
        <v>118</v>
      </c>
      <c r="Q3279" s="15" t="s">
        <v>1089</v>
      </c>
      <c r="R3279" s="16" t="s">
        <v>20575</v>
      </c>
      <c r="S3279" s="15" t="s">
        <v>20576</v>
      </c>
      <c r="T3279" s="15" t="s">
        <v>20577</v>
      </c>
      <c r="U3279" s="21" t="s">
        <v>72</v>
      </c>
    </row>
    <row r="3280" customFormat="false" ht="26.85" hidden="false" customHeight="false" outlineLevel="0" collapsed="false">
      <c r="A3280" s="15" t="s">
        <v>19480</v>
      </c>
      <c r="B3280" s="15" t="s">
        <v>20435</v>
      </c>
      <c r="C3280" s="14" t="s">
        <v>20578</v>
      </c>
      <c r="D3280" s="14" t="s">
        <v>20579</v>
      </c>
      <c r="E3280" s="16" t="s">
        <v>20580</v>
      </c>
      <c r="F3280" s="16" t="s">
        <v>20581</v>
      </c>
      <c r="G3280" s="19" t="s">
        <v>41</v>
      </c>
      <c r="H3280" s="18" t="n">
        <v>4</v>
      </c>
      <c r="I3280" s="20" t="n">
        <v>126.87</v>
      </c>
      <c r="J3280" s="20" t="n">
        <v>210</v>
      </c>
      <c r="K3280" s="18" t="n">
        <v>12</v>
      </c>
      <c r="L3280" s="18" t="n">
        <v>4</v>
      </c>
      <c r="M3280" s="18" t="n">
        <v>322</v>
      </c>
      <c r="N3280" s="18" t="n">
        <v>284</v>
      </c>
      <c r="O3280" s="14" t="s">
        <v>9118</v>
      </c>
      <c r="P3280" s="14" t="s">
        <v>118</v>
      </c>
      <c r="Q3280" s="15" t="s">
        <v>1089</v>
      </c>
      <c r="R3280" s="16" t="s">
        <v>3144</v>
      </c>
      <c r="S3280" s="15" t="s">
        <v>20582</v>
      </c>
      <c r="T3280" s="15" t="s">
        <v>20583</v>
      </c>
      <c r="U3280" s="21" t="s">
        <v>72</v>
      </c>
    </row>
    <row r="3281" customFormat="false" ht="26.85" hidden="false" customHeight="false" outlineLevel="0" collapsed="false">
      <c r="A3281" s="15" t="s">
        <v>19480</v>
      </c>
      <c r="B3281" s="15" t="s">
        <v>20435</v>
      </c>
      <c r="C3281" s="14" t="s">
        <v>20584</v>
      </c>
      <c r="D3281" s="14" t="s">
        <v>20585</v>
      </c>
      <c r="E3281" s="16" t="s">
        <v>20586</v>
      </c>
      <c r="F3281" s="16" t="s">
        <v>20587</v>
      </c>
      <c r="G3281" s="25" t="s">
        <v>39</v>
      </c>
      <c r="H3281" s="18" t="n">
        <v>8</v>
      </c>
      <c r="I3281" s="20" t="n">
        <v>152.9</v>
      </c>
      <c r="J3281" s="20" t="n">
        <v>394.36</v>
      </c>
      <c r="K3281" s="18" t="n">
        <v>14</v>
      </c>
      <c r="L3281" s="18" t="n">
        <v>50</v>
      </c>
      <c r="M3281" s="18" t="n">
        <v>171</v>
      </c>
      <c r="N3281" s="18" t="n">
        <v>76</v>
      </c>
      <c r="O3281" s="14" t="s">
        <v>1097</v>
      </c>
      <c r="P3281" s="14" t="s">
        <v>118</v>
      </c>
      <c r="Q3281" s="15" t="s">
        <v>1089</v>
      </c>
      <c r="R3281" s="16" t="s">
        <v>7132</v>
      </c>
      <c r="S3281" s="15" t="s">
        <v>20588</v>
      </c>
      <c r="T3281" s="15" t="s">
        <v>20589</v>
      </c>
      <c r="U3281" s="21" t="s">
        <v>72</v>
      </c>
    </row>
    <row r="3282" customFormat="false" ht="15" hidden="false" customHeight="false" outlineLevel="0" collapsed="false">
      <c r="A3282" s="15" t="s">
        <v>19480</v>
      </c>
      <c r="B3282" s="15" t="s">
        <v>20590</v>
      </c>
      <c r="C3282" s="14" t="s">
        <v>20591</v>
      </c>
      <c r="D3282" s="14" t="s">
        <v>20592</v>
      </c>
      <c r="E3282" s="16" t="s">
        <v>20593</v>
      </c>
      <c r="F3282" s="16" t="s">
        <v>20594</v>
      </c>
      <c r="G3282" s="19" t="s">
        <v>41</v>
      </c>
      <c r="H3282" s="18" t="n">
        <v>3</v>
      </c>
      <c r="I3282" s="20" t="n">
        <v>68.49</v>
      </c>
      <c r="J3282" s="20" t="n">
        <v>251.08</v>
      </c>
      <c r="K3282" s="18" t="n">
        <v>10</v>
      </c>
      <c r="L3282" s="18" t="n">
        <v>6</v>
      </c>
      <c r="M3282" s="18" t="n">
        <v>100</v>
      </c>
      <c r="N3282" s="18" t="n">
        <v>100</v>
      </c>
      <c r="O3282" s="14" t="s">
        <v>1097</v>
      </c>
      <c r="P3282" s="14" t="s">
        <v>84</v>
      </c>
      <c r="Q3282" s="15" t="s">
        <v>1089</v>
      </c>
      <c r="R3282" s="16" t="s">
        <v>20595</v>
      </c>
      <c r="S3282" s="15" t="s">
        <v>20596</v>
      </c>
      <c r="T3282" s="15" t="s">
        <v>20596</v>
      </c>
      <c r="U3282" s="21" t="s">
        <v>72</v>
      </c>
    </row>
    <row r="3283" customFormat="false" ht="15" hidden="false" customHeight="false" outlineLevel="0" collapsed="false">
      <c r="A3283" s="15" t="s">
        <v>19480</v>
      </c>
      <c r="B3283" s="15" t="s">
        <v>20597</v>
      </c>
      <c r="C3283" s="14" t="s">
        <v>20598</v>
      </c>
      <c r="D3283" s="14" t="s">
        <v>20599</v>
      </c>
      <c r="E3283" s="16" t="s">
        <v>20600</v>
      </c>
      <c r="F3283" s="16" t="s">
        <v>20601</v>
      </c>
      <c r="G3283" s="23" t="s">
        <v>43</v>
      </c>
      <c r="H3283" s="18" t="n">
        <v>4</v>
      </c>
      <c r="I3283" s="20" t="n">
        <v>92.9</v>
      </c>
      <c r="J3283" s="20" t="n">
        <v>158.41</v>
      </c>
      <c r="K3283" s="18" t="n">
        <v>2</v>
      </c>
      <c r="L3283" s="18" t="n">
        <v>5</v>
      </c>
      <c r="M3283" s="18" t="n">
        <v>30</v>
      </c>
      <c r="N3283" s="18" t="n">
        <v>30</v>
      </c>
      <c r="O3283" s="14" t="s">
        <v>1088</v>
      </c>
      <c r="P3283" s="14" t="s">
        <v>84</v>
      </c>
      <c r="Q3283" s="15" t="s">
        <v>1089</v>
      </c>
      <c r="R3283" s="16" t="s">
        <v>15615</v>
      </c>
      <c r="S3283" s="15" t="s">
        <v>20602</v>
      </c>
      <c r="T3283" s="15" t="s">
        <v>20602</v>
      </c>
      <c r="U3283" s="21" t="s">
        <v>72</v>
      </c>
    </row>
    <row r="3284" customFormat="false" ht="26.85" hidden="false" customHeight="false" outlineLevel="0" collapsed="false">
      <c r="A3284" s="15" t="s">
        <v>19480</v>
      </c>
      <c r="B3284" s="15" t="s">
        <v>20603</v>
      </c>
      <c r="C3284" s="14" t="s">
        <v>20604</v>
      </c>
      <c r="D3284" s="14" t="s">
        <v>20605</v>
      </c>
      <c r="E3284" s="16" t="s">
        <v>20606</v>
      </c>
      <c r="F3284" s="16" t="s">
        <v>20607</v>
      </c>
      <c r="G3284" s="25" t="s">
        <v>39</v>
      </c>
      <c r="H3284" s="18" t="n">
        <v>16</v>
      </c>
      <c r="I3284" s="20" t="n">
        <v>119.7</v>
      </c>
      <c r="J3284" s="20" t="n">
        <v>319.5</v>
      </c>
      <c r="K3284" s="18" t="n">
        <v>37</v>
      </c>
      <c r="L3284" s="18" t="n">
        <v>36</v>
      </c>
      <c r="M3284" s="18" t="n">
        <v>140</v>
      </c>
      <c r="N3284" s="18" t="n">
        <v>26</v>
      </c>
      <c r="O3284" s="14" t="s">
        <v>1097</v>
      </c>
      <c r="P3284" s="14" t="s">
        <v>118</v>
      </c>
      <c r="Q3284" s="15" t="s">
        <v>1089</v>
      </c>
      <c r="R3284" s="16" t="s">
        <v>20608</v>
      </c>
      <c r="S3284" s="15" t="s">
        <v>20609</v>
      </c>
      <c r="T3284" s="15" t="s">
        <v>20610</v>
      </c>
      <c r="U3284" s="21" t="s">
        <v>72</v>
      </c>
    </row>
    <row r="3285" customFormat="false" ht="15" hidden="false" customHeight="false" outlineLevel="0" collapsed="false">
      <c r="A3285" s="15" t="s">
        <v>19480</v>
      </c>
      <c r="B3285" s="15" t="s">
        <v>20603</v>
      </c>
      <c r="C3285" s="14" t="s">
        <v>20611</v>
      </c>
      <c r="D3285" s="14" t="s">
        <v>20612</v>
      </c>
      <c r="E3285" s="16" t="s">
        <v>20613</v>
      </c>
      <c r="F3285" s="16" t="s">
        <v>20614</v>
      </c>
      <c r="G3285" s="23" t="s">
        <v>43</v>
      </c>
      <c r="H3285" s="18" t="n">
        <v>4</v>
      </c>
      <c r="I3285" s="20" t="n">
        <v>133.3</v>
      </c>
      <c r="J3285" s="20" t="n">
        <v>157.56</v>
      </c>
      <c r="K3285" s="18" t="n">
        <v>5</v>
      </c>
      <c r="L3285" s="18" t="n">
        <v>4</v>
      </c>
      <c r="M3285" s="18" t="n">
        <v>95</v>
      </c>
      <c r="N3285" s="18" t="n">
        <v>39</v>
      </c>
      <c r="O3285" s="14" t="s">
        <v>1097</v>
      </c>
      <c r="P3285" s="14" t="s">
        <v>118</v>
      </c>
      <c r="Q3285" s="15" t="s">
        <v>1089</v>
      </c>
      <c r="R3285" s="16" t="s">
        <v>20615</v>
      </c>
      <c r="S3285" s="15" t="s">
        <v>20616</v>
      </c>
      <c r="T3285" s="15" t="s">
        <v>20616</v>
      </c>
      <c r="U3285" s="21" t="s">
        <v>72</v>
      </c>
    </row>
    <row r="3286" customFormat="false" ht="15" hidden="false" customHeight="false" outlineLevel="0" collapsed="false">
      <c r="A3286" s="15" t="s">
        <v>19480</v>
      </c>
      <c r="B3286" s="15" t="s">
        <v>20603</v>
      </c>
      <c r="C3286" s="14" t="s">
        <v>20617</v>
      </c>
      <c r="D3286" s="14" t="s">
        <v>20618</v>
      </c>
      <c r="E3286" s="16" t="s">
        <v>20619</v>
      </c>
      <c r="F3286" s="16" t="s">
        <v>20620</v>
      </c>
      <c r="G3286" s="19" t="s">
        <v>41</v>
      </c>
      <c r="H3286" s="18" t="n">
        <v>3</v>
      </c>
      <c r="I3286" s="20" t="n">
        <v>96.89</v>
      </c>
      <c r="J3286" s="20" t="n">
        <v>206.81</v>
      </c>
      <c r="K3286" s="18" t="n">
        <v>16</v>
      </c>
      <c r="L3286" s="18" t="n">
        <v>6</v>
      </c>
      <c r="M3286" s="18" t="n">
        <v>364</v>
      </c>
      <c r="N3286" s="18" t="n">
        <v>170</v>
      </c>
      <c r="O3286" s="14" t="s">
        <v>1097</v>
      </c>
      <c r="P3286" s="14" t="s">
        <v>84</v>
      </c>
      <c r="Q3286" s="15" t="s">
        <v>1089</v>
      </c>
      <c r="R3286" s="16" t="s">
        <v>20621</v>
      </c>
      <c r="S3286" s="15" t="s">
        <v>20622</v>
      </c>
      <c r="T3286" s="15" t="s">
        <v>20622</v>
      </c>
      <c r="U3286" s="21" t="s">
        <v>72</v>
      </c>
    </row>
    <row r="3287" customFormat="false" ht="15" hidden="false" customHeight="false" outlineLevel="0" collapsed="false">
      <c r="A3287" s="15" t="s">
        <v>19480</v>
      </c>
      <c r="B3287" s="15" t="s">
        <v>20603</v>
      </c>
      <c r="C3287" s="14" t="s">
        <v>20623</v>
      </c>
      <c r="D3287" s="14" t="s">
        <v>20624</v>
      </c>
      <c r="E3287" s="16" t="s">
        <v>20625</v>
      </c>
      <c r="F3287" s="16" t="s">
        <v>20626</v>
      </c>
      <c r="G3287" s="23" t="s">
        <v>43</v>
      </c>
      <c r="H3287" s="18" t="n">
        <v>2</v>
      </c>
      <c r="I3287" s="20" t="n">
        <v>40</v>
      </c>
      <c r="J3287" s="20" t="n">
        <v>91.41</v>
      </c>
      <c r="K3287" s="18" t="n">
        <v>5</v>
      </c>
      <c r="L3287" s="18" t="n">
        <v>2</v>
      </c>
      <c r="M3287" s="18" t="n">
        <v>35</v>
      </c>
      <c r="N3287" s="18" t="n">
        <v>35</v>
      </c>
      <c r="O3287" s="14" t="s">
        <v>1097</v>
      </c>
      <c r="P3287" s="14" t="s">
        <v>84</v>
      </c>
      <c r="Q3287" s="15" t="s">
        <v>1089</v>
      </c>
      <c r="R3287" s="16" t="s">
        <v>20627</v>
      </c>
      <c r="S3287" s="15" t="s">
        <v>20628</v>
      </c>
      <c r="T3287" s="15" t="s">
        <v>20628</v>
      </c>
      <c r="U3287" s="21" t="s">
        <v>72</v>
      </c>
    </row>
    <row r="3288" customFormat="false" ht="15" hidden="false" customHeight="false" outlineLevel="0" collapsed="false">
      <c r="A3288" s="15" t="s">
        <v>19480</v>
      </c>
      <c r="B3288" s="15" t="s">
        <v>20603</v>
      </c>
      <c r="C3288" s="14" t="s">
        <v>20629</v>
      </c>
      <c r="D3288" s="14" t="s">
        <v>20630</v>
      </c>
      <c r="E3288" s="16" t="s">
        <v>20631</v>
      </c>
      <c r="F3288" s="16" t="s">
        <v>20632</v>
      </c>
      <c r="G3288" s="23" t="s">
        <v>43</v>
      </c>
      <c r="H3288" s="18" t="n">
        <v>3</v>
      </c>
      <c r="I3288" s="20" t="n">
        <v>36.5</v>
      </c>
      <c r="J3288" s="20" t="n">
        <v>102.44</v>
      </c>
      <c r="K3288" s="18" t="n">
        <v>5</v>
      </c>
      <c r="L3288" s="18" t="n">
        <v>2</v>
      </c>
      <c r="M3288" s="18" t="n">
        <v>22</v>
      </c>
      <c r="N3288" s="18" t="n">
        <v>3</v>
      </c>
      <c r="O3288" s="14" t="s">
        <v>1097</v>
      </c>
      <c r="P3288" s="14" t="s">
        <v>84</v>
      </c>
      <c r="Q3288" s="15" t="s">
        <v>1089</v>
      </c>
      <c r="R3288" s="16" t="s">
        <v>20633</v>
      </c>
      <c r="S3288" s="15" t="s">
        <v>20634</v>
      </c>
      <c r="T3288" s="15" t="s">
        <v>20634</v>
      </c>
      <c r="U3288" s="21" t="s">
        <v>72</v>
      </c>
    </row>
    <row r="3289" customFormat="false" ht="15" hidden="false" customHeight="false" outlineLevel="0" collapsed="false">
      <c r="A3289" s="15" t="s">
        <v>19480</v>
      </c>
      <c r="B3289" s="15" t="s">
        <v>20603</v>
      </c>
      <c r="C3289" s="14" t="s">
        <v>20635</v>
      </c>
      <c r="D3289" s="14" t="s">
        <v>20636</v>
      </c>
      <c r="E3289" s="16" t="s">
        <v>20637</v>
      </c>
      <c r="F3289" s="16" t="s">
        <v>20638</v>
      </c>
      <c r="G3289" s="25" t="s">
        <v>39</v>
      </c>
      <c r="H3289" s="18" t="n">
        <v>7</v>
      </c>
      <c r="I3289" s="20" t="n">
        <v>207.3</v>
      </c>
      <c r="J3289" s="20" t="n">
        <v>498.92</v>
      </c>
      <c r="K3289" s="18" t="n">
        <v>18</v>
      </c>
      <c r="L3289" s="18" t="n">
        <v>11</v>
      </c>
      <c r="M3289" s="18" t="n">
        <v>340</v>
      </c>
      <c r="N3289" s="18" t="n">
        <v>268</v>
      </c>
      <c r="O3289" s="14" t="s">
        <v>1088</v>
      </c>
      <c r="P3289" s="14" t="s">
        <v>84</v>
      </c>
      <c r="Q3289" s="15" t="s">
        <v>1089</v>
      </c>
      <c r="R3289" s="16" t="s">
        <v>20639</v>
      </c>
      <c r="S3289" s="15" t="s">
        <v>3714</v>
      </c>
      <c r="T3289" s="15" t="s">
        <v>20640</v>
      </c>
      <c r="U3289" s="21" t="s">
        <v>72</v>
      </c>
    </row>
    <row r="3290" customFormat="false" ht="26.85" hidden="false" customHeight="false" outlineLevel="0" collapsed="false">
      <c r="A3290" s="15" t="s">
        <v>19480</v>
      </c>
      <c r="B3290" s="15" t="s">
        <v>20603</v>
      </c>
      <c r="C3290" s="14" t="s">
        <v>20641</v>
      </c>
      <c r="D3290" s="14" t="s">
        <v>20642</v>
      </c>
      <c r="E3290" s="16" t="s">
        <v>20643</v>
      </c>
      <c r="F3290" s="16" t="s">
        <v>20644</v>
      </c>
      <c r="G3290" s="23" t="s">
        <v>43</v>
      </c>
      <c r="H3290" s="18" t="n">
        <v>2</v>
      </c>
      <c r="I3290" s="20" t="n">
        <v>66.1</v>
      </c>
      <c r="J3290" s="20" t="n">
        <v>127.49</v>
      </c>
      <c r="K3290" s="18" t="n">
        <v>9</v>
      </c>
      <c r="L3290" s="18" t="n">
        <v>1</v>
      </c>
      <c r="M3290" s="18" t="n">
        <v>166</v>
      </c>
      <c r="N3290" s="18" t="n">
        <v>58</v>
      </c>
      <c r="O3290" s="14" t="s">
        <v>1097</v>
      </c>
      <c r="P3290" s="14" t="s">
        <v>352</v>
      </c>
      <c r="Q3290" s="15" t="s">
        <v>1089</v>
      </c>
      <c r="R3290" s="16" t="s">
        <v>5916</v>
      </c>
      <c r="S3290" s="15" t="s">
        <v>20645</v>
      </c>
      <c r="T3290" s="15" t="s">
        <v>20646</v>
      </c>
      <c r="U3290" s="21" t="s">
        <v>72</v>
      </c>
    </row>
    <row r="3291" customFormat="false" ht="15" hidden="false" customHeight="false" outlineLevel="0" collapsed="false">
      <c r="A3291" s="15" t="s">
        <v>19480</v>
      </c>
      <c r="B3291" s="15" t="s">
        <v>20603</v>
      </c>
      <c r="C3291" s="14" t="s">
        <v>20647</v>
      </c>
      <c r="D3291" s="14" t="s">
        <v>20648</v>
      </c>
      <c r="E3291" s="16" t="s">
        <v>20649</v>
      </c>
      <c r="F3291" s="16" t="s">
        <v>20650</v>
      </c>
      <c r="G3291" s="25" t="s">
        <v>39</v>
      </c>
      <c r="H3291" s="18" t="n">
        <v>9</v>
      </c>
      <c r="I3291" s="20" t="n">
        <v>321.01</v>
      </c>
      <c r="J3291" s="20" t="n">
        <v>760.52</v>
      </c>
      <c r="K3291" s="18" t="n">
        <v>18</v>
      </c>
      <c r="L3291" s="18" t="n">
        <v>23</v>
      </c>
      <c r="M3291" s="18" t="n">
        <v>392</v>
      </c>
      <c r="N3291" s="18" t="n">
        <v>54</v>
      </c>
      <c r="O3291" s="14" t="s">
        <v>1088</v>
      </c>
      <c r="P3291" s="14" t="s">
        <v>1166</v>
      </c>
      <c r="Q3291" s="15" t="s">
        <v>1089</v>
      </c>
      <c r="R3291" s="16" t="s">
        <v>20651</v>
      </c>
      <c r="S3291" s="15" t="s">
        <v>20652</v>
      </c>
      <c r="T3291" s="15" t="s">
        <v>20653</v>
      </c>
      <c r="U3291" s="21" t="s">
        <v>72</v>
      </c>
    </row>
    <row r="3292" customFormat="false" ht="15" hidden="false" customHeight="false" outlineLevel="0" collapsed="false">
      <c r="A3292" s="15" t="s">
        <v>19480</v>
      </c>
      <c r="B3292" s="15" t="s">
        <v>20603</v>
      </c>
      <c r="C3292" s="14" t="s">
        <v>20654</v>
      </c>
      <c r="D3292" s="14" t="s">
        <v>20655</v>
      </c>
      <c r="E3292" s="16" t="s">
        <v>20656</v>
      </c>
      <c r="F3292" s="16" t="s">
        <v>20657</v>
      </c>
      <c r="G3292" s="25" t="s">
        <v>39</v>
      </c>
      <c r="H3292" s="18" t="n">
        <v>6</v>
      </c>
      <c r="I3292" s="20" t="n">
        <v>508.66</v>
      </c>
      <c r="J3292" s="20" t="n">
        <v>1106.16</v>
      </c>
      <c r="K3292" s="18" t="n">
        <v>6</v>
      </c>
      <c r="L3292" s="18" t="n">
        <v>21</v>
      </c>
      <c r="M3292" s="18" t="n">
        <v>150</v>
      </c>
      <c r="N3292" s="18" t="n">
        <v>150</v>
      </c>
      <c r="O3292" s="14" t="s">
        <v>1097</v>
      </c>
      <c r="P3292" s="14" t="s">
        <v>84</v>
      </c>
      <c r="Q3292" s="15" t="s">
        <v>1089</v>
      </c>
      <c r="R3292" s="16" t="s">
        <v>19680</v>
      </c>
      <c r="S3292" s="15" t="s">
        <v>19569</v>
      </c>
      <c r="T3292" s="15" t="s">
        <v>20658</v>
      </c>
      <c r="U3292" s="21" t="s">
        <v>72</v>
      </c>
    </row>
    <row r="3293" customFormat="false" ht="15" hidden="false" customHeight="false" outlineLevel="0" collapsed="false">
      <c r="A3293" s="15" t="s">
        <v>19480</v>
      </c>
      <c r="B3293" s="15" t="s">
        <v>20603</v>
      </c>
      <c r="C3293" s="14" t="s">
        <v>20659</v>
      </c>
      <c r="D3293" s="14" t="s">
        <v>20660</v>
      </c>
      <c r="E3293" s="16" t="s">
        <v>20661</v>
      </c>
      <c r="F3293" s="16" t="s">
        <v>20662</v>
      </c>
      <c r="G3293" s="25" t="s">
        <v>39</v>
      </c>
      <c r="H3293" s="18" t="n">
        <v>5</v>
      </c>
      <c r="I3293" s="20" t="n">
        <v>200</v>
      </c>
      <c r="J3293" s="20" t="n">
        <v>848.97</v>
      </c>
      <c r="K3293" s="18" t="n">
        <v>6</v>
      </c>
      <c r="L3293" s="18" t="n">
        <v>13</v>
      </c>
      <c r="M3293" s="18" t="n">
        <v>80</v>
      </c>
      <c r="N3293" s="18" t="n">
        <v>80</v>
      </c>
      <c r="O3293" s="14" t="s">
        <v>1097</v>
      </c>
      <c r="P3293" s="14" t="s">
        <v>84</v>
      </c>
      <c r="Q3293" s="15" t="s">
        <v>1089</v>
      </c>
      <c r="R3293" s="16" t="s">
        <v>20663</v>
      </c>
      <c r="S3293" s="15" t="s">
        <v>19569</v>
      </c>
      <c r="T3293" s="15" t="s">
        <v>20664</v>
      </c>
      <c r="U3293" s="21" t="s">
        <v>72</v>
      </c>
    </row>
    <row r="3294" customFormat="false" ht="15" hidden="false" customHeight="false" outlineLevel="0" collapsed="false">
      <c r="A3294" s="15" t="s">
        <v>19480</v>
      </c>
      <c r="B3294" s="15" t="s">
        <v>20603</v>
      </c>
      <c r="C3294" s="14" t="s">
        <v>20665</v>
      </c>
      <c r="D3294" s="14" t="s">
        <v>20666</v>
      </c>
      <c r="E3294" s="16" t="s">
        <v>20667</v>
      </c>
      <c r="F3294" s="16" t="s">
        <v>20668</v>
      </c>
      <c r="G3294" s="23" t="s">
        <v>43</v>
      </c>
      <c r="H3294" s="18" t="n">
        <v>2</v>
      </c>
      <c r="I3294" s="20" t="n">
        <v>34.77</v>
      </c>
      <c r="J3294" s="20" t="n">
        <v>84.25</v>
      </c>
      <c r="K3294" s="18" t="n">
        <v>9</v>
      </c>
      <c r="L3294" s="18"/>
      <c r="M3294" s="18" t="n">
        <v>112</v>
      </c>
      <c r="N3294" s="18" t="n">
        <v>62</v>
      </c>
      <c r="O3294" s="14" t="s">
        <v>1126</v>
      </c>
      <c r="P3294" s="14" t="s">
        <v>118</v>
      </c>
      <c r="Q3294" s="15" t="s">
        <v>1089</v>
      </c>
      <c r="R3294" s="16" t="s">
        <v>6716</v>
      </c>
      <c r="S3294" s="15" t="s">
        <v>20669</v>
      </c>
      <c r="T3294" s="15" t="s">
        <v>20670</v>
      </c>
      <c r="U3294" s="21" t="s">
        <v>72</v>
      </c>
    </row>
    <row r="3295" customFormat="false" ht="15" hidden="false" customHeight="false" outlineLevel="0" collapsed="false">
      <c r="A3295" s="15" t="s">
        <v>19480</v>
      </c>
      <c r="B3295" s="15" t="s">
        <v>20603</v>
      </c>
      <c r="C3295" s="14" t="s">
        <v>20671</v>
      </c>
      <c r="D3295" s="14" t="s">
        <v>20672</v>
      </c>
      <c r="E3295" s="16" t="s">
        <v>20673</v>
      </c>
      <c r="F3295" s="16" t="s">
        <v>20674</v>
      </c>
      <c r="G3295" s="25" t="s">
        <v>39</v>
      </c>
      <c r="H3295" s="18" t="n">
        <v>10</v>
      </c>
      <c r="I3295" s="20" t="n">
        <v>275</v>
      </c>
      <c r="J3295" s="20" t="n">
        <v>565.9</v>
      </c>
      <c r="K3295" s="18" t="n">
        <v>20</v>
      </c>
      <c r="L3295" s="18" t="n">
        <v>7</v>
      </c>
      <c r="M3295" s="18" t="n">
        <v>252</v>
      </c>
      <c r="N3295" s="18" t="n">
        <v>252</v>
      </c>
      <c r="O3295" s="14" t="s">
        <v>1097</v>
      </c>
      <c r="P3295" s="14" t="s">
        <v>84</v>
      </c>
      <c r="Q3295" s="15" t="s">
        <v>1089</v>
      </c>
      <c r="R3295" s="16" t="s">
        <v>20675</v>
      </c>
      <c r="S3295" s="15" t="s">
        <v>20676</v>
      </c>
      <c r="T3295" s="15" t="s">
        <v>20677</v>
      </c>
      <c r="U3295" s="21" t="s">
        <v>72</v>
      </c>
    </row>
    <row r="3296" customFormat="false" ht="15" hidden="false" customHeight="false" outlineLevel="0" collapsed="false">
      <c r="A3296" s="15" t="s">
        <v>19480</v>
      </c>
      <c r="B3296" s="15" t="s">
        <v>20603</v>
      </c>
      <c r="C3296" s="14" t="s">
        <v>20678</v>
      </c>
      <c r="D3296" s="14" t="s">
        <v>20679</v>
      </c>
      <c r="E3296" s="16" t="s">
        <v>20680</v>
      </c>
      <c r="F3296" s="16"/>
      <c r="G3296" s="23" t="s">
        <v>43</v>
      </c>
      <c r="H3296" s="18" t="n">
        <v>2</v>
      </c>
      <c r="I3296" s="20" t="n">
        <v>60</v>
      </c>
      <c r="J3296" s="20" t="n">
        <v>106.65</v>
      </c>
      <c r="K3296" s="18" t="n">
        <v>2</v>
      </c>
      <c r="L3296" s="18" t="n">
        <v>1</v>
      </c>
      <c r="M3296" s="18" t="n">
        <v>30</v>
      </c>
      <c r="N3296" s="18" t="n">
        <v>30</v>
      </c>
      <c r="O3296" s="14" t="s">
        <v>1088</v>
      </c>
      <c r="P3296" s="14" t="s">
        <v>84</v>
      </c>
      <c r="Q3296" s="15" t="s">
        <v>1089</v>
      </c>
      <c r="R3296" s="16" t="s">
        <v>20681</v>
      </c>
      <c r="S3296" s="15" t="s">
        <v>20682</v>
      </c>
      <c r="T3296" s="15" t="s">
        <v>20682</v>
      </c>
      <c r="U3296" s="21" t="s">
        <v>72</v>
      </c>
    </row>
    <row r="3297" customFormat="false" ht="15" hidden="false" customHeight="false" outlineLevel="0" collapsed="false">
      <c r="A3297" s="15" t="s">
        <v>19480</v>
      </c>
      <c r="B3297" s="15" t="s">
        <v>20603</v>
      </c>
      <c r="C3297" s="14" t="s">
        <v>20683</v>
      </c>
      <c r="D3297" s="14" t="s">
        <v>20684</v>
      </c>
      <c r="E3297" s="16" t="s">
        <v>20685</v>
      </c>
      <c r="F3297" s="16" t="s">
        <v>20686</v>
      </c>
      <c r="G3297" s="23" t="s">
        <v>43</v>
      </c>
      <c r="H3297" s="18" t="n">
        <v>4</v>
      </c>
      <c r="I3297" s="20" t="n">
        <v>147.25</v>
      </c>
      <c r="J3297" s="20" t="n">
        <v>186.15</v>
      </c>
      <c r="K3297" s="18" t="n">
        <v>4</v>
      </c>
      <c r="L3297" s="18" t="n">
        <v>7</v>
      </c>
      <c r="M3297" s="18" t="n">
        <v>48</v>
      </c>
      <c r="N3297" s="18" t="n">
        <v>36</v>
      </c>
      <c r="O3297" s="14" t="s">
        <v>1097</v>
      </c>
      <c r="P3297" s="14" t="s">
        <v>84</v>
      </c>
      <c r="Q3297" s="15" t="s">
        <v>1089</v>
      </c>
      <c r="R3297" s="16" t="s">
        <v>20687</v>
      </c>
      <c r="S3297" s="15" t="s">
        <v>5124</v>
      </c>
      <c r="T3297" s="15" t="s">
        <v>20688</v>
      </c>
      <c r="U3297" s="21" t="s">
        <v>72</v>
      </c>
    </row>
    <row r="3298" customFormat="false" ht="15" hidden="false" customHeight="false" outlineLevel="0" collapsed="false">
      <c r="A3298" s="15" t="s">
        <v>19480</v>
      </c>
      <c r="B3298" s="15" t="s">
        <v>20603</v>
      </c>
      <c r="C3298" s="14" t="s">
        <v>20689</v>
      </c>
      <c r="D3298" s="14" t="s">
        <v>20690</v>
      </c>
      <c r="E3298" s="16" t="s">
        <v>20691</v>
      </c>
      <c r="F3298" s="16" t="s">
        <v>20134</v>
      </c>
      <c r="G3298" s="25" t="s">
        <v>39</v>
      </c>
      <c r="H3298" s="18" t="n">
        <v>9</v>
      </c>
      <c r="I3298" s="20" t="n">
        <v>228.8</v>
      </c>
      <c r="J3298" s="20" t="n">
        <v>350.82</v>
      </c>
      <c r="K3298" s="18" t="n">
        <v>20</v>
      </c>
      <c r="L3298" s="18" t="n">
        <v>20</v>
      </c>
      <c r="M3298" s="18" t="n">
        <v>271</v>
      </c>
      <c r="N3298" s="18" t="n">
        <v>103</v>
      </c>
      <c r="O3298" s="14" t="s">
        <v>1097</v>
      </c>
      <c r="P3298" s="14" t="s">
        <v>118</v>
      </c>
      <c r="Q3298" s="15" t="s">
        <v>1089</v>
      </c>
      <c r="R3298" s="16" t="s">
        <v>13129</v>
      </c>
      <c r="S3298" s="15" t="s">
        <v>20692</v>
      </c>
      <c r="T3298" s="15" t="s">
        <v>20148</v>
      </c>
      <c r="U3298" s="21" t="s">
        <v>72</v>
      </c>
    </row>
    <row r="3299" customFormat="false" ht="15" hidden="false" customHeight="false" outlineLevel="0" collapsed="false">
      <c r="A3299" s="15" t="s">
        <v>19480</v>
      </c>
      <c r="B3299" s="15" t="s">
        <v>20603</v>
      </c>
      <c r="C3299" s="14" t="s">
        <v>20693</v>
      </c>
      <c r="D3299" s="14" t="s">
        <v>20694</v>
      </c>
      <c r="E3299" s="16" t="s">
        <v>20695</v>
      </c>
      <c r="F3299" s="16" t="s">
        <v>20134</v>
      </c>
      <c r="G3299" s="19" t="s">
        <v>41</v>
      </c>
      <c r="H3299" s="18" t="n">
        <v>5</v>
      </c>
      <c r="I3299" s="20" t="n">
        <v>70</v>
      </c>
      <c r="J3299" s="20" t="n">
        <v>152.29</v>
      </c>
      <c r="K3299" s="18" t="n">
        <v>13</v>
      </c>
      <c r="L3299" s="18" t="n">
        <v>18</v>
      </c>
      <c r="M3299" s="18" t="n">
        <v>81</v>
      </c>
      <c r="N3299" s="18" t="n">
        <v>24</v>
      </c>
      <c r="O3299" s="14" t="s">
        <v>1097</v>
      </c>
      <c r="P3299" s="14" t="s">
        <v>118</v>
      </c>
      <c r="Q3299" s="15" t="s">
        <v>1089</v>
      </c>
      <c r="R3299" s="16" t="s">
        <v>20696</v>
      </c>
      <c r="S3299" s="15" t="s">
        <v>20136</v>
      </c>
      <c r="T3299" s="15" t="s">
        <v>20697</v>
      </c>
      <c r="U3299" s="21" t="s">
        <v>72</v>
      </c>
    </row>
    <row r="3300" customFormat="false" ht="15" hidden="false" customHeight="false" outlineLevel="0" collapsed="false">
      <c r="A3300" s="15" t="s">
        <v>19480</v>
      </c>
      <c r="B3300" s="15" t="s">
        <v>20603</v>
      </c>
      <c r="C3300" s="14" t="s">
        <v>20698</v>
      </c>
      <c r="D3300" s="14" t="s">
        <v>20699</v>
      </c>
      <c r="E3300" s="16" t="s">
        <v>20700</v>
      </c>
      <c r="F3300" s="16" t="s">
        <v>20701</v>
      </c>
      <c r="G3300" s="23" t="s">
        <v>43</v>
      </c>
      <c r="H3300" s="18" t="n">
        <v>2</v>
      </c>
      <c r="I3300" s="20" t="n">
        <v>117</v>
      </c>
      <c r="J3300" s="20" t="n">
        <v>196</v>
      </c>
      <c r="K3300" s="18" t="n">
        <v>3</v>
      </c>
      <c r="L3300" s="18" t="n">
        <v>2</v>
      </c>
      <c r="M3300" s="18" t="n">
        <v>90</v>
      </c>
      <c r="N3300" s="18" t="n">
        <v>60</v>
      </c>
      <c r="O3300" s="14" t="s">
        <v>1088</v>
      </c>
      <c r="P3300" s="14" t="s">
        <v>84</v>
      </c>
      <c r="Q3300" s="15" t="s">
        <v>1089</v>
      </c>
      <c r="R3300" s="16" t="s">
        <v>20702</v>
      </c>
      <c r="S3300" s="15" t="s">
        <v>20703</v>
      </c>
      <c r="T3300" s="15" t="s">
        <v>20703</v>
      </c>
      <c r="U3300" s="21" t="s">
        <v>72</v>
      </c>
    </row>
    <row r="3301" customFormat="false" ht="15" hidden="false" customHeight="false" outlineLevel="0" collapsed="false">
      <c r="A3301" s="15" t="s">
        <v>19480</v>
      </c>
      <c r="B3301" s="15" t="s">
        <v>20603</v>
      </c>
      <c r="C3301" s="14" t="s">
        <v>20704</v>
      </c>
      <c r="D3301" s="14" t="s">
        <v>20705</v>
      </c>
      <c r="E3301" s="16" t="s">
        <v>20706</v>
      </c>
      <c r="F3301" s="16" t="s">
        <v>20707</v>
      </c>
      <c r="G3301" s="19" t="s">
        <v>41</v>
      </c>
      <c r="H3301" s="18" t="n">
        <v>2</v>
      </c>
      <c r="I3301" s="20" t="n">
        <v>69.52</v>
      </c>
      <c r="J3301" s="20" t="n">
        <v>211.27</v>
      </c>
      <c r="K3301" s="18" t="n">
        <v>3</v>
      </c>
      <c r="L3301" s="18" t="n">
        <v>3</v>
      </c>
      <c r="M3301" s="18" t="n">
        <v>48</v>
      </c>
      <c r="N3301" s="18" t="n">
        <v>48</v>
      </c>
      <c r="O3301" s="14" t="s">
        <v>1097</v>
      </c>
      <c r="P3301" s="14" t="s">
        <v>84</v>
      </c>
      <c r="Q3301" s="15" t="s">
        <v>1089</v>
      </c>
      <c r="R3301" s="16" t="s">
        <v>20708</v>
      </c>
      <c r="S3301" s="15" t="s">
        <v>20709</v>
      </c>
      <c r="T3301" s="15" t="s">
        <v>20710</v>
      </c>
      <c r="U3301" s="21" t="s">
        <v>72</v>
      </c>
    </row>
    <row r="3302" customFormat="false" ht="15" hidden="false" customHeight="false" outlineLevel="0" collapsed="false">
      <c r="A3302" s="15" t="s">
        <v>19480</v>
      </c>
      <c r="B3302" s="15" t="s">
        <v>20603</v>
      </c>
      <c r="C3302" s="14" t="s">
        <v>20711</v>
      </c>
      <c r="D3302" s="14" t="s">
        <v>20712</v>
      </c>
      <c r="E3302" s="16" t="s">
        <v>20713</v>
      </c>
      <c r="F3302" s="16" t="s">
        <v>20714</v>
      </c>
      <c r="G3302" s="23" t="s">
        <v>43</v>
      </c>
      <c r="H3302" s="18" t="n">
        <v>4</v>
      </c>
      <c r="I3302" s="20" t="n">
        <v>66.12</v>
      </c>
      <c r="J3302" s="20" t="n">
        <v>136.45</v>
      </c>
      <c r="K3302" s="18" t="n">
        <v>4</v>
      </c>
      <c r="L3302" s="18" t="n">
        <v>2</v>
      </c>
      <c r="M3302" s="18" t="n">
        <v>42</v>
      </c>
      <c r="N3302" s="18" t="n">
        <v>42</v>
      </c>
      <c r="O3302" s="14" t="s">
        <v>1097</v>
      </c>
      <c r="P3302" s="14" t="s">
        <v>84</v>
      </c>
      <c r="Q3302" s="15" t="s">
        <v>1089</v>
      </c>
      <c r="R3302" s="16" t="s">
        <v>20715</v>
      </c>
      <c r="S3302" s="15" t="s">
        <v>20716</v>
      </c>
      <c r="T3302" s="15" t="s">
        <v>20716</v>
      </c>
      <c r="U3302" s="21" t="s">
        <v>72</v>
      </c>
    </row>
    <row r="3303" customFormat="false" ht="15" hidden="false" customHeight="false" outlineLevel="0" collapsed="false">
      <c r="A3303" s="15" t="s">
        <v>19480</v>
      </c>
      <c r="B3303" s="15" t="s">
        <v>20603</v>
      </c>
      <c r="C3303" s="14" t="s">
        <v>20717</v>
      </c>
      <c r="D3303" s="14" t="s">
        <v>20718</v>
      </c>
      <c r="E3303" s="16" t="s">
        <v>20719</v>
      </c>
      <c r="F3303" s="16" t="s">
        <v>20720</v>
      </c>
      <c r="G3303" s="23" t="s">
        <v>43</v>
      </c>
      <c r="H3303" s="18" t="n">
        <v>1</v>
      </c>
      <c r="I3303" s="20" t="n">
        <v>65</v>
      </c>
      <c r="J3303" s="20" t="n">
        <v>123.89</v>
      </c>
      <c r="K3303" s="18" t="n">
        <v>6</v>
      </c>
      <c r="L3303" s="18" t="n">
        <v>3</v>
      </c>
      <c r="M3303" s="18" t="n">
        <v>150</v>
      </c>
      <c r="N3303" s="18" t="n">
        <v>50</v>
      </c>
      <c r="O3303" s="14" t="s">
        <v>1097</v>
      </c>
      <c r="P3303" s="14" t="s">
        <v>1716</v>
      </c>
      <c r="Q3303" s="15" t="s">
        <v>1089</v>
      </c>
      <c r="R3303" s="16" t="s">
        <v>20721</v>
      </c>
      <c r="S3303" s="15" t="s">
        <v>20722</v>
      </c>
      <c r="T3303" s="15" t="s">
        <v>19770</v>
      </c>
      <c r="U3303" s="21" t="s">
        <v>72</v>
      </c>
    </row>
    <row r="3304" customFormat="false" ht="15" hidden="false" customHeight="false" outlineLevel="0" collapsed="false">
      <c r="A3304" s="15" t="s">
        <v>19480</v>
      </c>
      <c r="B3304" s="15" t="s">
        <v>20603</v>
      </c>
      <c r="C3304" s="14" t="s">
        <v>20723</v>
      </c>
      <c r="D3304" s="14" t="s">
        <v>20724</v>
      </c>
      <c r="E3304" s="16" t="s">
        <v>20725</v>
      </c>
      <c r="F3304" s="16"/>
      <c r="G3304" s="23" t="s">
        <v>43</v>
      </c>
      <c r="H3304" s="18" t="n">
        <v>2</v>
      </c>
      <c r="I3304" s="20" t="n">
        <v>63</v>
      </c>
      <c r="J3304" s="20" t="n">
        <v>128</v>
      </c>
      <c r="K3304" s="18" t="n">
        <v>8</v>
      </c>
      <c r="L3304" s="18"/>
      <c r="M3304" s="18" t="n">
        <v>136</v>
      </c>
      <c r="N3304" s="18" t="n">
        <v>136</v>
      </c>
      <c r="O3304" s="14" t="s">
        <v>1088</v>
      </c>
      <c r="P3304" s="14" t="s">
        <v>84</v>
      </c>
      <c r="Q3304" s="15" t="s">
        <v>1089</v>
      </c>
      <c r="R3304" s="16" t="s">
        <v>20726</v>
      </c>
      <c r="S3304" s="15" t="s">
        <v>20727</v>
      </c>
      <c r="T3304" s="15" t="s">
        <v>20727</v>
      </c>
      <c r="U3304" s="21" t="s">
        <v>72</v>
      </c>
    </row>
    <row r="3305" customFormat="false" ht="15" hidden="false" customHeight="false" outlineLevel="0" collapsed="false">
      <c r="A3305" s="15" t="s">
        <v>19480</v>
      </c>
      <c r="B3305" s="15" t="s">
        <v>20728</v>
      </c>
      <c r="C3305" s="14" t="s">
        <v>20729</v>
      </c>
      <c r="D3305" s="14" t="s">
        <v>20730</v>
      </c>
      <c r="E3305" s="16" t="s">
        <v>20731</v>
      </c>
      <c r="F3305" s="16" t="s">
        <v>20732</v>
      </c>
      <c r="G3305" s="23" t="s">
        <v>43</v>
      </c>
      <c r="H3305" s="18" t="n">
        <v>4</v>
      </c>
      <c r="I3305" s="20" t="n">
        <v>69.78</v>
      </c>
      <c r="J3305" s="20" t="n">
        <v>138.1</v>
      </c>
      <c r="K3305" s="18" t="n">
        <v>4</v>
      </c>
      <c r="L3305" s="18" t="n">
        <v>2</v>
      </c>
      <c r="M3305" s="18" t="n">
        <v>45</v>
      </c>
      <c r="N3305" s="18" t="n">
        <v>45</v>
      </c>
      <c r="O3305" s="14" t="s">
        <v>1097</v>
      </c>
      <c r="P3305" s="14" t="s">
        <v>84</v>
      </c>
      <c r="Q3305" s="15" t="s">
        <v>1089</v>
      </c>
      <c r="R3305" s="16" t="s">
        <v>5617</v>
      </c>
      <c r="S3305" s="15" t="s">
        <v>20733</v>
      </c>
      <c r="T3305" s="15" t="s">
        <v>20733</v>
      </c>
      <c r="U3305" s="21" t="s">
        <v>72</v>
      </c>
    </row>
    <row r="3306" customFormat="false" ht="15" hidden="false" customHeight="false" outlineLevel="0" collapsed="false">
      <c r="A3306" s="15" t="s">
        <v>19480</v>
      </c>
      <c r="B3306" s="15" t="s">
        <v>20734</v>
      </c>
      <c r="C3306" s="14" t="s">
        <v>20735</v>
      </c>
      <c r="D3306" s="14" t="s">
        <v>20736</v>
      </c>
      <c r="E3306" s="16" t="s">
        <v>20737</v>
      </c>
      <c r="F3306" s="16" t="s">
        <v>20738</v>
      </c>
      <c r="G3306" s="19" t="s">
        <v>41</v>
      </c>
      <c r="H3306" s="18" t="n">
        <v>5</v>
      </c>
      <c r="I3306" s="20" t="n">
        <v>198.83</v>
      </c>
      <c r="J3306" s="20" t="n">
        <v>370.12</v>
      </c>
      <c r="K3306" s="18" t="n">
        <v>8</v>
      </c>
      <c r="L3306" s="18" t="n">
        <v>2</v>
      </c>
      <c r="M3306" s="18" t="n">
        <v>192</v>
      </c>
      <c r="N3306" s="18" t="n">
        <v>96</v>
      </c>
      <c r="O3306" s="14" t="s">
        <v>1097</v>
      </c>
      <c r="P3306" s="14" t="s">
        <v>118</v>
      </c>
      <c r="Q3306" s="15" t="s">
        <v>1089</v>
      </c>
      <c r="R3306" s="16" t="s">
        <v>20739</v>
      </c>
      <c r="S3306" s="15" t="s">
        <v>20740</v>
      </c>
      <c r="T3306" s="15" t="s">
        <v>20740</v>
      </c>
      <c r="U3306" s="21" t="s">
        <v>72</v>
      </c>
    </row>
    <row r="3307" customFormat="false" ht="15" hidden="false" customHeight="false" outlineLevel="0" collapsed="false">
      <c r="A3307" s="15" t="s">
        <v>19480</v>
      </c>
      <c r="B3307" s="15" t="s">
        <v>20734</v>
      </c>
      <c r="C3307" s="14" t="s">
        <v>20741</v>
      </c>
      <c r="D3307" s="14" t="s">
        <v>20742</v>
      </c>
      <c r="E3307" s="16" t="s">
        <v>20743</v>
      </c>
      <c r="F3307" s="16" t="s">
        <v>20744</v>
      </c>
      <c r="G3307" s="25" t="s">
        <v>39</v>
      </c>
      <c r="H3307" s="18" t="n">
        <v>8</v>
      </c>
      <c r="I3307" s="20" t="n">
        <v>180.26</v>
      </c>
      <c r="J3307" s="20" t="n">
        <v>467.94</v>
      </c>
      <c r="K3307" s="18" t="n">
        <v>9</v>
      </c>
      <c r="L3307" s="18" t="n">
        <v>5</v>
      </c>
      <c r="M3307" s="18" t="n">
        <v>105</v>
      </c>
      <c r="N3307" s="18" t="n">
        <v>105</v>
      </c>
      <c r="O3307" s="14" t="s">
        <v>1097</v>
      </c>
      <c r="P3307" s="14" t="s">
        <v>84</v>
      </c>
      <c r="Q3307" s="15" t="s">
        <v>1089</v>
      </c>
      <c r="R3307" s="16" t="s">
        <v>20745</v>
      </c>
      <c r="S3307" s="15" t="s">
        <v>20746</v>
      </c>
      <c r="T3307" s="15" t="s">
        <v>20746</v>
      </c>
      <c r="U3307" s="21" t="s">
        <v>72</v>
      </c>
    </row>
    <row r="3308" customFormat="false" ht="15" hidden="false" customHeight="false" outlineLevel="0" collapsed="false">
      <c r="A3308" s="15" t="s">
        <v>19480</v>
      </c>
      <c r="B3308" s="15" t="s">
        <v>20734</v>
      </c>
      <c r="C3308" s="14" t="s">
        <v>20747</v>
      </c>
      <c r="D3308" s="14" t="s">
        <v>20748</v>
      </c>
      <c r="E3308" s="16" t="s">
        <v>20749</v>
      </c>
      <c r="F3308" s="16" t="s">
        <v>20750</v>
      </c>
      <c r="G3308" s="23" t="s">
        <v>43</v>
      </c>
      <c r="H3308" s="18" t="n">
        <v>2</v>
      </c>
      <c r="I3308" s="20" t="n">
        <v>32</v>
      </c>
      <c r="J3308" s="20" t="n">
        <v>103</v>
      </c>
      <c r="K3308" s="18" t="n">
        <v>3</v>
      </c>
      <c r="L3308" s="18" t="n">
        <v>2</v>
      </c>
      <c r="M3308" s="18" t="n">
        <v>36</v>
      </c>
      <c r="N3308" s="18" t="n">
        <v>36</v>
      </c>
      <c r="O3308" s="14" t="s">
        <v>1097</v>
      </c>
      <c r="P3308" s="14" t="s">
        <v>84</v>
      </c>
      <c r="Q3308" s="15" t="s">
        <v>1089</v>
      </c>
      <c r="R3308" s="16" t="s">
        <v>20751</v>
      </c>
      <c r="S3308" s="15" t="s">
        <v>20752</v>
      </c>
      <c r="T3308" s="15" t="s">
        <v>20753</v>
      </c>
      <c r="U3308" s="21" t="s">
        <v>72</v>
      </c>
    </row>
    <row r="3309" customFormat="false" ht="15" hidden="false" customHeight="false" outlineLevel="0" collapsed="false">
      <c r="A3309" s="15" t="s">
        <v>19480</v>
      </c>
      <c r="B3309" s="15" t="s">
        <v>20734</v>
      </c>
      <c r="C3309" s="14" t="s">
        <v>20754</v>
      </c>
      <c r="D3309" s="14" t="s">
        <v>20755</v>
      </c>
      <c r="E3309" s="16" t="s">
        <v>20756</v>
      </c>
      <c r="F3309" s="16" t="s">
        <v>20757</v>
      </c>
      <c r="G3309" s="23" t="s">
        <v>43</v>
      </c>
      <c r="H3309" s="18" t="n">
        <v>3</v>
      </c>
      <c r="I3309" s="20" t="n">
        <v>109.2</v>
      </c>
      <c r="J3309" s="20" t="n">
        <v>180.02</v>
      </c>
      <c r="K3309" s="18" t="n">
        <v>5</v>
      </c>
      <c r="L3309" s="18" t="n">
        <v>5</v>
      </c>
      <c r="M3309" s="18" t="n">
        <v>60</v>
      </c>
      <c r="N3309" s="18" t="n">
        <v>24</v>
      </c>
      <c r="O3309" s="14" t="s">
        <v>1097</v>
      </c>
      <c r="P3309" s="14" t="s">
        <v>84</v>
      </c>
      <c r="Q3309" s="15" t="s">
        <v>1089</v>
      </c>
      <c r="R3309" s="16" t="s">
        <v>20758</v>
      </c>
      <c r="S3309" s="15" t="s">
        <v>20759</v>
      </c>
      <c r="T3309" s="15" t="s">
        <v>20760</v>
      </c>
      <c r="U3309" s="21" t="s">
        <v>72</v>
      </c>
    </row>
    <row r="3310" customFormat="false" ht="15" hidden="false" customHeight="false" outlineLevel="0" collapsed="false">
      <c r="A3310" s="15" t="s">
        <v>19480</v>
      </c>
      <c r="B3310" s="15" t="s">
        <v>20761</v>
      </c>
      <c r="C3310" s="14" t="s">
        <v>20762</v>
      </c>
      <c r="D3310" s="14" t="s">
        <v>20763</v>
      </c>
      <c r="E3310" s="16" t="s">
        <v>20764</v>
      </c>
      <c r="F3310" s="16" t="s">
        <v>20765</v>
      </c>
      <c r="G3310" s="19" t="s">
        <v>41</v>
      </c>
      <c r="H3310" s="18" t="n">
        <v>5</v>
      </c>
      <c r="I3310" s="20" t="n">
        <v>96</v>
      </c>
      <c r="J3310" s="20" t="n">
        <v>158.08</v>
      </c>
      <c r="K3310" s="18" t="n">
        <v>6</v>
      </c>
      <c r="L3310" s="18" t="n">
        <v>6</v>
      </c>
      <c r="M3310" s="18" t="n">
        <v>72</v>
      </c>
      <c r="N3310" s="18" t="n">
        <v>24</v>
      </c>
      <c r="O3310" s="14" t="s">
        <v>1097</v>
      </c>
      <c r="P3310" s="14" t="s">
        <v>118</v>
      </c>
      <c r="Q3310" s="15" t="s">
        <v>1089</v>
      </c>
      <c r="R3310" s="16" t="s">
        <v>20766</v>
      </c>
      <c r="S3310" s="15" t="s">
        <v>20767</v>
      </c>
      <c r="T3310" s="15" t="s">
        <v>4953</v>
      </c>
      <c r="U3310" s="21" t="s">
        <v>72</v>
      </c>
    </row>
    <row r="3311" customFormat="false" ht="15" hidden="false" customHeight="false" outlineLevel="0" collapsed="false">
      <c r="A3311" s="15" t="s">
        <v>19480</v>
      </c>
      <c r="B3311" s="15" t="s">
        <v>20761</v>
      </c>
      <c r="C3311" s="14" t="s">
        <v>20768</v>
      </c>
      <c r="D3311" s="14" t="s">
        <v>20769</v>
      </c>
      <c r="E3311" s="16" t="s">
        <v>20770</v>
      </c>
      <c r="F3311" s="16" t="s">
        <v>20771</v>
      </c>
      <c r="G3311" s="23" t="s">
        <v>43</v>
      </c>
      <c r="H3311" s="18" t="n">
        <v>2</v>
      </c>
      <c r="I3311" s="20" t="n">
        <v>36.05</v>
      </c>
      <c r="J3311" s="20" t="n">
        <v>87.34</v>
      </c>
      <c r="K3311" s="18" t="n">
        <v>2</v>
      </c>
      <c r="L3311" s="18" t="n">
        <v>1</v>
      </c>
      <c r="M3311" s="18" t="n">
        <v>22</v>
      </c>
      <c r="N3311" s="18" t="n">
        <v>22</v>
      </c>
      <c r="O3311" s="14" t="s">
        <v>1126</v>
      </c>
      <c r="P3311" s="14" t="s">
        <v>84</v>
      </c>
      <c r="Q3311" s="15" t="s">
        <v>1089</v>
      </c>
      <c r="R3311" s="16" t="s">
        <v>20772</v>
      </c>
      <c r="S3311" s="15" t="s">
        <v>20773</v>
      </c>
      <c r="T3311" s="15" t="s">
        <v>20774</v>
      </c>
      <c r="U3311" s="21" t="s">
        <v>72</v>
      </c>
    </row>
    <row r="3312" customFormat="false" ht="15" hidden="false" customHeight="false" outlineLevel="0" collapsed="false">
      <c r="A3312" s="15" t="s">
        <v>19480</v>
      </c>
      <c r="B3312" s="15" t="s">
        <v>20761</v>
      </c>
      <c r="C3312" s="14" t="s">
        <v>20775</v>
      </c>
      <c r="D3312" s="14" t="s">
        <v>20776</v>
      </c>
      <c r="E3312" s="16" t="s">
        <v>20777</v>
      </c>
      <c r="F3312" s="16" t="s">
        <v>19611</v>
      </c>
      <c r="G3312" s="25" t="s">
        <v>39</v>
      </c>
      <c r="H3312" s="18" t="n">
        <v>9</v>
      </c>
      <c r="I3312" s="20" t="n">
        <v>139</v>
      </c>
      <c r="J3312" s="20" t="n">
        <v>201.63</v>
      </c>
      <c r="K3312" s="18" t="n">
        <v>20</v>
      </c>
      <c r="L3312" s="18" t="n">
        <v>5</v>
      </c>
      <c r="M3312" s="18" t="n">
        <v>300</v>
      </c>
      <c r="N3312" s="18" t="n">
        <v>300</v>
      </c>
      <c r="O3312" s="14" t="s">
        <v>1088</v>
      </c>
      <c r="P3312" s="14" t="s">
        <v>84</v>
      </c>
      <c r="Q3312" s="15" t="s">
        <v>1089</v>
      </c>
      <c r="R3312" s="16" t="s">
        <v>12111</v>
      </c>
      <c r="S3312" s="15" t="s">
        <v>20175</v>
      </c>
      <c r="T3312" s="15" t="s">
        <v>20065</v>
      </c>
      <c r="U3312" s="21" t="s">
        <v>72</v>
      </c>
    </row>
    <row r="3313" customFormat="false" ht="15" hidden="false" customHeight="false" outlineLevel="0" collapsed="false">
      <c r="A3313" s="15" t="s">
        <v>19480</v>
      </c>
      <c r="B3313" s="15" t="s">
        <v>20761</v>
      </c>
      <c r="C3313" s="14" t="s">
        <v>20778</v>
      </c>
      <c r="D3313" s="14" t="s">
        <v>20779</v>
      </c>
      <c r="E3313" s="16" t="s">
        <v>20780</v>
      </c>
      <c r="F3313" s="16" t="s">
        <v>20781</v>
      </c>
      <c r="G3313" s="23" t="s">
        <v>43</v>
      </c>
      <c r="H3313" s="18" t="n">
        <v>2</v>
      </c>
      <c r="I3313" s="20" t="n">
        <v>89.18</v>
      </c>
      <c r="J3313" s="20" t="n">
        <v>153.97</v>
      </c>
      <c r="K3313" s="18" t="n">
        <v>15</v>
      </c>
      <c r="L3313" s="18" t="n">
        <v>5</v>
      </c>
      <c r="M3313" s="18" t="n">
        <v>180</v>
      </c>
      <c r="N3313" s="18" t="n">
        <v>96</v>
      </c>
      <c r="O3313" s="14" t="s">
        <v>1097</v>
      </c>
      <c r="P3313" s="14" t="s">
        <v>118</v>
      </c>
      <c r="Q3313" s="15" t="s">
        <v>1089</v>
      </c>
      <c r="R3313" s="16" t="s">
        <v>20782</v>
      </c>
      <c r="S3313" s="15" t="s">
        <v>20783</v>
      </c>
      <c r="T3313" s="15" t="s">
        <v>20783</v>
      </c>
      <c r="U3313" s="21" t="s">
        <v>72</v>
      </c>
    </row>
    <row r="3314" customFormat="false" ht="15" hidden="false" customHeight="false" outlineLevel="0" collapsed="false">
      <c r="A3314" s="15" t="s">
        <v>19480</v>
      </c>
      <c r="B3314" s="15" t="s">
        <v>20761</v>
      </c>
      <c r="C3314" s="14" t="s">
        <v>20784</v>
      </c>
      <c r="D3314" s="14" t="s">
        <v>20785</v>
      </c>
      <c r="E3314" s="16" t="s">
        <v>20786</v>
      </c>
      <c r="F3314" s="16" t="s">
        <v>20787</v>
      </c>
      <c r="G3314" s="19" t="s">
        <v>41</v>
      </c>
      <c r="H3314" s="18" t="n">
        <v>7</v>
      </c>
      <c r="I3314" s="20" t="n">
        <v>90.86</v>
      </c>
      <c r="J3314" s="20" t="n">
        <v>200.05</v>
      </c>
      <c r="K3314" s="18" t="n">
        <v>39</v>
      </c>
      <c r="L3314" s="18" t="n">
        <v>7</v>
      </c>
      <c r="M3314" s="18" t="n">
        <v>389</v>
      </c>
      <c r="N3314" s="18" t="n">
        <v>144</v>
      </c>
      <c r="O3314" s="14" t="s">
        <v>17859</v>
      </c>
      <c r="P3314" s="14" t="s">
        <v>118</v>
      </c>
      <c r="Q3314" s="15" t="s">
        <v>1089</v>
      </c>
      <c r="R3314" s="16" t="s">
        <v>20788</v>
      </c>
      <c r="S3314" s="15" t="s">
        <v>20789</v>
      </c>
      <c r="T3314" s="15" t="s">
        <v>20789</v>
      </c>
      <c r="U3314" s="21" t="s">
        <v>72</v>
      </c>
    </row>
    <row r="3315" customFormat="false" ht="15" hidden="false" customHeight="false" outlineLevel="0" collapsed="false">
      <c r="A3315" s="15" t="s">
        <v>19480</v>
      </c>
      <c r="B3315" s="15" t="s">
        <v>20761</v>
      </c>
      <c r="C3315" s="14" t="s">
        <v>20790</v>
      </c>
      <c r="D3315" s="14" t="s">
        <v>20791</v>
      </c>
      <c r="E3315" s="16" t="s">
        <v>20792</v>
      </c>
      <c r="F3315" s="16" t="s">
        <v>20793</v>
      </c>
      <c r="G3315" s="23" t="s">
        <v>43</v>
      </c>
      <c r="H3315" s="18" t="n">
        <v>3</v>
      </c>
      <c r="I3315" s="20" t="n">
        <v>40</v>
      </c>
      <c r="J3315" s="20" t="n">
        <v>80.74</v>
      </c>
      <c r="K3315" s="18" t="n">
        <v>6</v>
      </c>
      <c r="L3315" s="18" t="n">
        <v>3</v>
      </c>
      <c r="M3315" s="18" t="n">
        <v>44</v>
      </c>
      <c r="N3315" s="18" t="n">
        <v>12</v>
      </c>
      <c r="O3315" s="14" t="s">
        <v>1097</v>
      </c>
      <c r="P3315" s="14" t="s">
        <v>118</v>
      </c>
      <c r="Q3315" s="15" t="s">
        <v>1089</v>
      </c>
      <c r="R3315" s="16" t="s">
        <v>19904</v>
      </c>
      <c r="S3315" s="15" t="s">
        <v>20794</v>
      </c>
      <c r="T3315" s="15" t="s">
        <v>20794</v>
      </c>
      <c r="U3315" s="21" t="s">
        <v>72</v>
      </c>
    </row>
    <row r="3316" customFormat="false" ht="15" hidden="false" customHeight="false" outlineLevel="0" collapsed="false">
      <c r="A3316" s="15" t="s">
        <v>19480</v>
      </c>
      <c r="B3316" s="15" t="s">
        <v>20795</v>
      </c>
      <c r="C3316" s="14" t="s">
        <v>20796</v>
      </c>
      <c r="D3316" s="14" t="s">
        <v>20797</v>
      </c>
      <c r="E3316" s="16" t="s">
        <v>20798</v>
      </c>
      <c r="F3316" s="16" t="s">
        <v>20799</v>
      </c>
      <c r="G3316" s="23" t="s">
        <v>43</v>
      </c>
      <c r="H3316" s="18" t="n">
        <v>1</v>
      </c>
      <c r="I3316" s="20" t="n">
        <v>30</v>
      </c>
      <c r="J3316" s="20" t="n">
        <v>177.6</v>
      </c>
      <c r="K3316" s="18" t="n">
        <v>4</v>
      </c>
      <c r="L3316" s="18" t="n">
        <v>69</v>
      </c>
      <c r="M3316" s="18" t="n">
        <v>48</v>
      </c>
      <c r="N3316" s="18" t="n">
        <v>48</v>
      </c>
      <c r="O3316" s="14" t="s">
        <v>1126</v>
      </c>
      <c r="P3316" s="14" t="s">
        <v>84</v>
      </c>
      <c r="Q3316" s="15" t="s">
        <v>1089</v>
      </c>
      <c r="R3316" s="16" t="s">
        <v>15026</v>
      </c>
      <c r="S3316" s="15" t="s">
        <v>20800</v>
      </c>
      <c r="T3316" s="15" t="s">
        <v>20801</v>
      </c>
      <c r="U3316" s="21" t="s">
        <v>72</v>
      </c>
    </row>
    <row r="3317" customFormat="false" ht="15" hidden="false" customHeight="false" outlineLevel="0" collapsed="false">
      <c r="A3317" s="15" t="s">
        <v>19480</v>
      </c>
      <c r="B3317" s="15" t="s">
        <v>20795</v>
      </c>
      <c r="C3317" s="14" t="s">
        <v>20802</v>
      </c>
      <c r="D3317" s="14" t="s">
        <v>20803</v>
      </c>
      <c r="E3317" s="16" t="s">
        <v>20804</v>
      </c>
      <c r="F3317" s="16" t="s">
        <v>20805</v>
      </c>
      <c r="G3317" s="23" t="s">
        <v>43</v>
      </c>
      <c r="H3317" s="18" t="n">
        <v>3</v>
      </c>
      <c r="I3317" s="20" t="n">
        <v>56.92</v>
      </c>
      <c r="J3317" s="20" t="n">
        <v>187.2</v>
      </c>
      <c r="K3317" s="18" t="n">
        <v>10</v>
      </c>
      <c r="L3317" s="18"/>
      <c r="M3317" s="18" t="n">
        <v>160</v>
      </c>
      <c r="N3317" s="18" t="n">
        <v>28</v>
      </c>
      <c r="O3317" s="14" t="s">
        <v>1097</v>
      </c>
      <c r="P3317" s="14" t="s">
        <v>118</v>
      </c>
      <c r="Q3317" s="15" t="s">
        <v>1089</v>
      </c>
      <c r="R3317" s="16" t="s">
        <v>20806</v>
      </c>
      <c r="S3317" s="15" t="s">
        <v>20807</v>
      </c>
      <c r="T3317" s="15" t="s">
        <v>20808</v>
      </c>
      <c r="U3317" s="21" t="s">
        <v>72</v>
      </c>
    </row>
    <row r="3318" customFormat="false" ht="15" hidden="false" customHeight="false" outlineLevel="0" collapsed="false">
      <c r="A3318" s="15" t="s">
        <v>19480</v>
      </c>
      <c r="B3318" s="15" t="s">
        <v>20795</v>
      </c>
      <c r="C3318" s="14" t="s">
        <v>20809</v>
      </c>
      <c r="D3318" s="14" t="s">
        <v>20810</v>
      </c>
      <c r="E3318" s="16" t="s">
        <v>20811</v>
      </c>
      <c r="F3318" s="16" t="s">
        <v>20812</v>
      </c>
      <c r="G3318" s="23" t="s">
        <v>43</v>
      </c>
      <c r="H3318" s="18" t="n">
        <v>3</v>
      </c>
      <c r="I3318" s="20" t="n">
        <v>34.46</v>
      </c>
      <c r="J3318" s="20" t="n">
        <v>128.63</v>
      </c>
      <c r="K3318" s="18" t="n">
        <v>14</v>
      </c>
      <c r="L3318" s="18" t="n">
        <v>3</v>
      </c>
      <c r="M3318" s="18" t="n">
        <v>114</v>
      </c>
      <c r="N3318" s="18" t="n">
        <v>56</v>
      </c>
      <c r="O3318" s="14" t="s">
        <v>1097</v>
      </c>
      <c r="P3318" s="14" t="s">
        <v>84</v>
      </c>
      <c r="Q3318" s="15" t="s">
        <v>1089</v>
      </c>
      <c r="R3318" s="16" t="s">
        <v>20813</v>
      </c>
      <c r="S3318" s="15" t="s">
        <v>20814</v>
      </c>
      <c r="T3318" s="15" t="s">
        <v>20814</v>
      </c>
      <c r="U3318" s="21" t="s">
        <v>72</v>
      </c>
    </row>
    <row r="3319" customFormat="false" ht="15" hidden="false" customHeight="false" outlineLevel="0" collapsed="false">
      <c r="A3319" s="15" t="s">
        <v>19480</v>
      </c>
      <c r="B3319" s="15" t="s">
        <v>20795</v>
      </c>
      <c r="C3319" s="14" t="s">
        <v>20815</v>
      </c>
      <c r="D3319" s="14" t="s">
        <v>20816</v>
      </c>
      <c r="E3319" s="16" t="s">
        <v>20817</v>
      </c>
      <c r="F3319" s="16" t="s">
        <v>20818</v>
      </c>
      <c r="G3319" s="23" t="s">
        <v>43</v>
      </c>
      <c r="H3319" s="18" t="n">
        <v>3</v>
      </c>
      <c r="I3319" s="20" t="n">
        <v>65.61</v>
      </c>
      <c r="J3319" s="20" t="n">
        <v>172.49</v>
      </c>
      <c r="K3319" s="18" t="n">
        <v>3</v>
      </c>
      <c r="L3319" s="18" t="n">
        <v>14</v>
      </c>
      <c r="M3319" s="18" t="n">
        <v>36</v>
      </c>
      <c r="N3319" s="18" t="n">
        <v>36</v>
      </c>
      <c r="O3319" s="14" t="s">
        <v>1097</v>
      </c>
      <c r="P3319" s="14" t="s">
        <v>84</v>
      </c>
      <c r="Q3319" s="15" t="s">
        <v>1089</v>
      </c>
      <c r="R3319" s="16" t="s">
        <v>20819</v>
      </c>
      <c r="S3319" s="15" t="s">
        <v>20820</v>
      </c>
      <c r="T3319" s="15" t="s">
        <v>20821</v>
      </c>
      <c r="U3319" s="21" t="s">
        <v>72</v>
      </c>
    </row>
    <row r="3320" customFormat="false" ht="15" hidden="false" customHeight="false" outlineLevel="0" collapsed="false">
      <c r="A3320" s="15" t="s">
        <v>19480</v>
      </c>
      <c r="B3320" s="15" t="s">
        <v>20795</v>
      </c>
      <c r="C3320" s="14" t="s">
        <v>20822</v>
      </c>
      <c r="D3320" s="14" t="s">
        <v>20823</v>
      </c>
      <c r="E3320" s="16" t="s">
        <v>20824</v>
      </c>
      <c r="F3320" s="16" t="s">
        <v>20825</v>
      </c>
      <c r="G3320" s="23" t="s">
        <v>43</v>
      </c>
      <c r="H3320" s="18" t="n">
        <v>2</v>
      </c>
      <c r="I3320" s="20" t="n">
        <v>46.69</v>
      </c>
      <c r="J3320" s="20" t="n">
        <v>110.26</v>
      </c>
      <c r="K3320" s="18" t="n">
        <v>3</v>
      </c>
      <c r="L3320" s="18" t="n">
        <v>1</v>
      </c>
      <c r="M3320" s="18" t="n">
        <v>53</v>
      </c>
      <c r="N3320" s="18" t="n">
        <v>53</v>
      </c>
      <c r="O3320" s="14" t="s">
        <v>1097</v>
      </c>
      <c r="P3320" s="14" t="s">
        <v>84</v>
      </c>
      <c r="Q3320" s="15" t="s">
        <v>1089</v>
      </c>
      <c r="R3320" s="16" t="s">
        <v>20826</v>
      </c>
      <c r="S3320" s="15" t="s">
        <v>20827</v>
      </c>
      <c r="T3320" s="15" t="s">
        <v>20828</v>
      </c>
      <c r="U3320" s="21" t="s">
        <v>72</v>
      </c>
    </row>
    <row r="3321" customFormat="false" ht="15" hidden="false" customHeight="false" outlineLevel="0" collapsed="false">
      <c r="A3321" s="15" t="s">
        <v>19480</v>
      </c>
      <c r="B3321" s="15" t="s">
        <v>20795</v>
      </c>
      <c r="C3321" s="14" t="s">
        <v>20829</v>
      </c>
      <c r="D3321" s="14" t="s">
        <v>20830</v>
      </c>
      <c r="E3321" s="16" t="s">
        <v>20831</v>
      </c>
      <c r="F3321" s="16" t="s">
        <v>20832</v>
      </c>
      <c r="G3321" s="23" t="s">
        <v>43</v>
      </c>
      <c r="H3321" s="18" t="n">
        <v>3</v>
      </c>
      <c r="I3321" s="20" t="n">
        <v>42.09</v>
      </c>
      <c r="J3321" s="20" t="n">
        <v>125.4</v>
      </c>
      <c r="K3321" s="18" t="n">
        <v>10</v>
      </c>
      <c r="L3321" s="18" t="n">
        <v>2</v>
      </c>
      <c r="M3321" s="18" t="n">
        <v>114</v>
      </c>
      <c r="N3321" s="18" t="n">
        <v>36</v>
      </c>
      <c r="O3321" s="14" t="s">
        <v>1088</v>
      </c>
      <c r="P3321" s="14" t="s">
        <v>118</v>
      </c>
      <c r="Q3321" s="15" t="s">
        <v>1089</v>
      </c>
      <c r="R3321" s="16" t="s">
        <v>20833</v>
      </c>
      <c r="S3321" s="15" t="s">
        <v>20834</v>
      </c>
      <c r="T3321" s="15" t="s">
        <v>20835</v>
      </c>
      <c r="U3321" s="21" t="s">
        <v>72</v>
      </c>
    </row>
    <row r="3322" customFormat="false" ht="15" hidden="false" customHeight="false" outlineLevel="0" collapsed="false">
      <c r="A3322" s="15" t="s">
        <v>19480</v>
      </c>
      <c r="B3322" s="15" t="s">
        <v>20795</v>
      </c>
      <c r="C3322" s="14" t="s">
        <v>20836</v>
      </c>
      <c r="D3322" s="14" t="s">
        <v>20837</v>
      </c>
      <c r="E3322" s="16" t="s">
        <v>20838</v>
      </c>
      <c r="F3322" s="16" t="s">
        <v>20839</v>
      </c>
      <c r="G3322" s="23" t="s">
        <v>43</v>
      </c>
      <c r="H3322" s="18" t="n">
        <v>4</v>
      </c>
      <c r="I3322" s="20" t="n">
        <v>75.18</v>
      </c>
      <c r="J3322" s="20" t="n">
        <v>157.47</v>
      </c>
      <c r="K3322" s="18" t="n">
        <v>10</v>
      </c>
      <c r="L3322" s="18" t="n">
        <v>5</v>
      </c>
      <c r="M3322" s="18" t="n">
        <v>152</v>
      </c>
      <c r="N3322" s="18" t="n">
        <v>95</v>
      </c>
      <c r="O3322" s="14" t="s">
        <v>1097</v>
      </c>
      <c r="P3322" s="14" t="s">
        <v>118</v>
      </c>
      <c r="Q3322" s="15" t="s">
        <v>1089</v>
      </c>
      <c r="R3322" s="16" t="s">
        <v>119</v>
      </c>
      <c r="S3322" s="15" t="s">
        <v>20840</v>
      </c>
      <c r="T3322" s="15" t="s">
        <v>20841</v>
      </c>
      <c r="U3322" s="21" t="s">
        <v>72</v>
      </c>
    </row>
    <row r="3323" customFormat="false" ht="15" hidden="false" customHeight="false" outlineLevel="0" collapsed="false">
      <c r="A3323" s="15" t="s">
        <v>19480</v>
      </c>
      <c r="B3323" s="15" t="s">
        <v>20795</v>
      </c>
      <c r="C3323" s="14" t="s">
        <v>20842</v>
      </c>
      <c r="D3323" s="14" t="s">
        <v>20843</v>
      </c>
      <c r="E3323" s="16" t="s">
        <v>20844</v>
      </c>
      <c r="F3323" s="16" t="s">
        <v>20845</v>
      </c>
      <c r="G3323" s="23" t="s">
        <v>43</v>
      </c>
      <c r="H3323" s="18" t="n">
        <v>2</v>
      </c>
      <c r="I3323" s="20" t="n">
        <v>43.92</v>
      </c>
      <c r="J3323" s="20" t="n">
        <v>176.3</v>
      </c>
      <c r="K3323" s="18" t="n">
        <v>4</v>
      </c>
      <c r="L3323" s="18" t="n">
        <v>5</v>
      </c>
      <c r="M3323" s="18" t="n">
        <v>60</v>
      </c>
      <c r="N3323" s="18" t="n">
        <v>60</v>
      </c>
      <c r="O3323" s="14" t="s">
        <v>1097</v>
      </c>
      <c r="P3323" s="14" t="s">
        <v>118</v>
      </c>
      <c r="Q3323" s="15" t="s">
        <v>1089</v>
      </c>
      <c r="R3323" s="16" t="s">
        <v>20846</v>
      </c>
      <c r="S3323" s="15" t="s">
        <v>20847</v>
      </c>
      <c r="T3323" s="15" t="s">
        <v>20848</v>
      </c>
      <c r="U3323" s="21" t="s">
        <v>72</v>
      </c>
    </row>
    <row r="3324" customFormat="false" ht="15" hidden="false" customHeight="false" outlineLevel="0" collapsed="false">
      <c r="A3324" s="15" t="s">
        <v>19480</v>
      </c>
      <c r="B3324" s="15" t="s">
        <v>20795</v>
      </c>
      <c r="C3324" s="14" t="s">
        <v>20849</v>
      </c>
      <c r="D3324" s="14" t="s">
        <v>20850</v>
      </c>
      <c r="E3324" s="16" t="s">
        <v>20851</v>
      </c>
      <c r="F3324" s="16" t="s">
        <v>20852</v>
      </c>
      <c r="G3324" s="19" t="s">
        <v>41</v>
      </c>
      <c r="H3324" s="18" t="n">
        <v>7</v>
      </c>
      <c r="I3324" s="20" t="n">
        <v>114.25</v>
      </c>
      <c r="J3324" s="20" t="n">
        <v>267.48</v>
      </c>
      <c r="K3324" s="18" t="n">
        <v>10</v>
      </c>
      <c r="L3324" s="18" t="n">
        <v>7</v>
      </c>
      <c r="M3324" s="18" t="n">
        <v>200</v>
      </c>
      <c r="N3324" s="18" t="n">
        <v>200</v>
      </c>
      <c r="O3324" s="14" t="s">
        <v>1097</v>
      </c>
      <c r="P3324" s="14" t="s">
        <v>84</v>
      </c>
      <c r="Q3324" s="15" t="s">
        <v>1089</v>
      </c>
      <c r="R3324" s="16" t="s">
        <v>20853</v>
      </c>
      <c r="S3324" s="15" t="s">
        <v>20847</v>
      </c>
      <c r="T3324" s="15" t="s">
        <v>20847</v>
      </c>
      <c r="U3324" s="21" t="s">
        <v>72</v>
      </c>
    </row>
    <row r="3325" customFormat="false" ht="15" hidden="false" customHeight="false" outlineLevel="0" collapsed="false">
      <c r="A3325" s="15" t="s">
        <v>19480</v>
      </c>
      <c r="B3325" s="15" t="s">
        <v>20795</v>
      </c>
      <c r="C3325" s="14" t="s">
        <v>20854</v>
      </c>
      <c r="D3325" s="14" t="s">
        <v>20855</v>
      </c>
      <c r="E3325" s="16" t="s">
        <v>20856</v>
      </c>
      <c r="F3325" s="16" t="s">
        <v>20857</v>
      </c>
      <c r="G3325" s="19" t="s">
        <v>41</v>
      </c>
      <c r="H3325" s="18" t="n">
        <v>5</v>
      </c>
      <c r="I3325" s="20" t="n">
        <v>156.42</v>
      </c>
      <c r="J3325" s="20" t="n">
        <v>282.35</v>
      </c>
      <c r="K3325" s="18" t="n">
        <v>9</v>
      </c>
      <c r="L3325" s="18" t="n">
        <v>8</v>
      </c>
      <c r="M3325" s="18" t="n">
        <v>135</v>
      </c>
      <c r="N3325" s="18" t="n">
        <v>120</v>
      </c>
      <c r="O3325" s="14" t="s">
        <v>1088</v>
      </c>
      <c r="P3325" s="14" t="s">
        <v>84</v>
      </c>
      <c r="Q3325" s="15" t="s">
        <v>1089</v>
      </c>
      <c r="R3325" s="16" t="s">
        <v>18043</v>
      </c>
      <c r="S3325" s="15" t="s">
        <v>20858</v>
      </c>
      <c r="T3325" s="15" t="s">
        <v>20859</v>
      </c>
      <c r="U3325" s="21" t="s">
        <v>72</v>
      </c>
    </row>
    <row r="3326" customFormat="false" ht="15" hidden="false" customHeight="false" outlineLevel="0" collapsed="false">
      <c r="A3326" s="15" t="s">
        <v>19480</v>
      </c>
      <c r="B3326" s="15" t="s">
        <v>20795</v>
      </c>
      <c r="C3326" s="14" t="s">
        <v>20860</v>
      </c>
      <c r="D3326" s="14" t="s">
        <v>20861</v>
      </c>
      <c r="E3326" s="16" t="s">
        <v>20862</v>
      </c>
      <c r="F3326" s="16" t="s">
        <v>20863</v>
      </c>
      <c r="G3326" s="23" t="s">
        <v>43</v>
      </c>
      <c r="H3326" s="18" t="n">
        <v>4</v>
      </c>
      <c r="I3326" s="20" t="n">
        <v>151.11</v>
      </c>
      <c r="J3326" s="20" t="n">
        <v>198.93</v>
      </c>
      <c r="K3326" s="18" t="n">
        <v>18</v>
      </c>
      <c r="L3326" s="18" t="n">
        <v>4</v>
      </c>
      <c r="M3326" s="18" t="n">
        <v>144</v>
      </c>
      <c r="N3326" s="18" t="n">
        <v>64</v>
      </c>
      <c r="O3326" s="14" t="s">
        <v>1097</v>
      </c>
      <c r="P3326" s="14" t="s">
        <v>84</v>
      </c>
      <c r="Q3326" s="15" t="s">
        <v>1089</v>
      </c>
      <c r="R3326" s="16" t="s">
        <v>20864</v>
      </c>
      <c r="S3326" s="15" t="s">
        <v>20865</v>
      </c>
      <c r="T3326" s="15" t="s">
        <v>20866</v>
      </c>
      <c r="U3326" s="21" t="s">
        <v>72</v>
      </c>
    </row>
    <row r="3327" customFormat="false" ht="15" hidden="false" customHeight="false" outlineLevel="0" collapsed="false">
      <c r="A3327" s="15" t="s">
        <v>19480</v>
      </c>
      <c r="B3327" s="15" t="s">
        <v>20795</v>
      </c>
      <c r="C3327" s="14" t="s">
        <v>20867</v>
      </c>
      <c r="D3327" s="14" t="s">
        <v>20868</v>
      </c>
      <c r="E3327" s="16" t="s">
        <v>20869</v>
      </c>
      <c r="F3327" s="16" t="s">
        <v>20870</v>
      </c>
      <c r="G3327" s="23" t="s">
        <v>43</v>
      </c>
      <c r="H3327" s="18" t="n">
        <v>1</v>
      </c>
      <c r="I3327" s="20" t="n">
        <v>31.2</v>
      </c>
      <c r="J3327" s="20" t="n">
        <v>70.4</v>
      </c>
      <c r="K3327" s="18" t="n">
        <v>9</v>
      </c>
      <c r="L3327" s="18" t="n">
        <v>1</v>
      </c>
      <c r="M3327" s="18" t="n">
        <v>108</v>
      </c>
      <c r="N3327" s="18" t="n">
        <v>36</v>
      </c>
      <c r="O3327" s="14" t="s">
        <v>1097</v>
      </c>
      <c r="P3327" s="14" t="s">
        <v>84</v>
      </c>
      <c r="Q3327" s="15" t="s">
        <v>1089</v>
      </c>
      <c r="R3327" s="16" t="s">
        <v>16923</v>
      </c>
      <c r="S3327" s="15" t="s">
        <v>20871</v>
      </c>
      <c r="T3327" s="15" t="s">
        <v>20871</v>
      </c>
      <c r="U3327" s="21" t="s">
        <v>72</v>
      </c>
    </row>
    <row r="3328" customFormat="false" ht="15" hidden="false" customHeight="false" outlineLevel="0" collapsed="false">
      <c r="A3328" s="15" t="s">
        <v>19480</v>
      </c>
      <c r="B3328" s="15" t="s">
        <v>20795</v>
      </c>
      <c r="C3328" s="14" t="s">
        <v>20872</v>
      </c>
      <c r="D3328" s="14" t="s">
        <v>20873</v>
      </c>
      <c r="E3328" s="16" t="s">
        <v>20874</v>
      </c>
      <c r="F3328" s="16" t="s">
        <v>20875</v>
      </c>
      <c r="G3328" s="23" t="s">
        <v>43</v>
      </c>
      <c r="H3328" s="18" t="n">
        <v>3</v>
      </c>
      <c r="I3328" s="20" t="n">
        <v>45</v>
      </c>
      <c r="J3328" s="20" t="n">
        <v>69</v>
      </c>
      <c r="K3328" s="18" t="n">
        <v>15</v>
      </c>
      <c r="L3328" s="18" t="n">
        <v>15</v>
      </c>
      <c r="M3328" s="18" t="n">
        <v>225</v>
      </c>
      <c r="N3328" s="18" t="n">
        <v>45</v>
      </c>
      <c r="O3328" s="14" t="s">
        <v>1088</v>
      </c>
      <c r="P3328" s="14" t="s">
        <v>202</v>
      </c>
      <c r="Q3328" s="15" t="s">
        <v>1089</v>
      </c>
      <c r="R3328" s="16" t="s">
        <v>16284</v>
      </c>
      <c r="S3328" s="15" t="s">
        <v>20876</v>
      </c>
      <c r="T3328" s="15" t="s">
        <v>20877</v>
      </c>
      <c r="U3328" s="21" t="s">
        <v>72</v>
      </c>
    </row>
    <row r="3329" customFormat="false" ht="15" hidden="false" customHeight="false" outlineLevel="0" collapsed="false">
      <c r="A3329" s="15" t="s">
        <v>19480</v>
      </c>
      <c r="B3329" s="15" t="s">
        <v>20795</v>
      </c>
      <c r="C3329" s="14" t="s">
        <v>20878</v>
      </c>
      <c r="D3329" s="14" t="s">
        <v>20879</v>
      </c>
      <c r="E3329" s="16" t="s">
        <v>20880</v>
      </c>
      <c r="F3329" s="16" t="s">
        <v>20881</v>
      </c>
      <c r="G3329" s="19" t="s">
        <v>41</v>
      </c>
      <c r="H3329" s="18" t="n">
        <v>6</v>
      </c>
      <c r="I3329" s="20" t="n">
        <v>143.79</v>
      </c>
      <c r="J3329" s="20" t="n">
        <v>175.35</v>
      </c>
      <c r="K3329" s="18" t="n">
        <v>8</v>
      </c>
      <c r="L3329" s="18" t="n">
        <v>2</v>
      </c>
      <c r="M3329" s="18" t="n">
        <v>140</v>
      </c>
      <c r="N3329" s="18" t="n">
        <v>120</v>
      </c>
      <c r="O3329" s="14" t="s">
        <v>1097</v>
      </c>
      <c r="P3329" s="14" t="s">
        <v>84</v>
      </c>
      <c r="Q3329" s="15" t="s">
        <v>1089</v>
      </c>
      <c r="R3329" s="16" t="s">
        <v>20882</v>
      </c>
      <c r="S3329" s="15" t="s">
        <v>20883</v>
      </c>
      <c r="T3329" s="15" t="s">
        <v>20884</v>
      </c>
      <c r="U3329" s="21" t="s">
        <v>72</v>
      </c>
    </row>
    <row r="3330" customFormat="false" ht="15" hidden="false" customHeight="false" outlineLevel="0" collapsed="false">
      <c r="A3330" s="15" t="s">
        <v>19480</v>
      </c>
      <c r="B3330" s="15" t="s">
        <v>20795</v>
      </c>
      <c r="C3330" s="14" t="s">
        <v>20885</v>
      </c>
      <c r="D3330" s="14" t="s">
        <v>20886</v>
      </c>
      <c r="E3330" s="16" t="s">
        <v>20887</v>
      </c>
      <c r="F3330" s="16" t="s">
        <v>20888</v>
      </c>
      <c r="G3330" s="23" t="s">
        <v>43</v>
      </c>
      <c r="H3330" s="18" t="n">
        <v>2</v>
      </c>
      <c r="I3330" s="20" t="n">
        <v>39.5</v>
      </c>
      <c r="J3330" s="20" t="n">
        <v>76</v>
      </c>
      <c r="K3330" s="18" t="n">
        <v>13</v>
      </c>
      <c r="L3330" s="18" t="n">
        <v>3</v>
      </c>
      <c r="M3330" s="18" t="n">
        <v>156</v>
      </c>
      <c r="N3330" s="18" t="n">
        <v>36</v>
      </c>
      <c r="O3330" s="14" t="s">
        <v>1097</v>
      </c>
      <c r="P3330" s="14" t="s">
        <v>118</v>
      </c>
      <c r="Q3330" s="15" t="s">
        <v>1089</v>
      </c>
      <c r="R3330" s="16" t="s">
        <v>20889</v>
      </c>
      <c r="S3330" s="15" t="s">
        <v>20890</v>
      </c>
      <c r="T3330" s="15" t="s">
        <v>20890</v>
      </c>
      <c r="U3330" s="21" t="s">
        <v>72</v>
      </c>
    </row>
    <row r="3331" customFormat="false" ht="15" hidden="false" customHeight="false" outlineLevel="0" collapsed="false">
      <c r="A3331" s="15" t="s">
        <v>19480</v>
      </c>
      <c r="B3331" s="15" t="s">
        <v>20795</v>
      </c>
      <c r="C3331" s="14" t="s">
        <v>20891</v>
      </c>
      <c r="D3331" s="14" t="s">
        <v>20892</v>
      </c>
      <c r="E3331" s="16" t="s">
        <v>20893</v>
      </c>
      <c r="F3331" s="16" t="s">
        <v>20894</v>
      </c>
      <c r="G3331" s="19" t="s">
        <v>41</v>
      </c>
      <c r="H3331" s="18" t="n">
        <v>6</v>
      </c>
      <c r="I3331" s="20" t="n">
        <v>139.51</v>
      </c>
      <c r="J3331" s="20" t="n">
        <v>271.58</v>
      </c>
      <c r="K3331" s="18" t="n">
        <v>13</v>
      </c>
      <c r="L3331" s="18" t="n">
        <v>6</v>
      </c>
      <c r="M3331" s="18" t="n">
        <v>255</v>
      </c>
      <c r="N3331" s="18" t="n">
        <v>115</v>
      </c>
      <c r="O3331" s="14" t="s">
        <v>1126</v>
      </c>
      <c r="P3331" s="14" t="s">
        <v>118</v>
      </c>
      <c r="Q3331" s="15" t="s">
        <v>1089</v>
      </c>
      <c r="R3331" s="16" t="s">
        <v>20895</v>
      </c>
      <c r="S3331" s="15" t="s">
        <v>20896</v>
      </c>
      <c r="T3331" s="15" t="s">
        <v>20897</v>
      </c>
      <c r="U3331" s="21" t="s">
        <v>72</v>
      </c>
    </row>
    <row r="3332" customFormat="false" ht="15" hidden="false" customHeight="false" outlineLevel="0" collapsed="false">
      <c r="A3332" s="15" t="s">
        <v>19480</v>
      </c>
      <c r="B3332" s="15" t="s">
        <v>20795</v>
      </c>
      <c r="C3332" s="14" t="s">
        <v>20898</v>
      </c>
      <c r="D3332" s="14" t="s">
        <v>20899</v>
      </c>
      <c r="E3332" s="16" t="s">
        <v>20900</v>
      </c>
      <c r="F3332" s="16" t="s">
        <v>20765</v>
      </c>
      <c r="G3332" s="23" t="s">
        <v>43</v>
      </c>
      <c r="H3332" s="18" t="n">
        <v>3</v>
      </c>
      <c r="I3332" s="20" t="n">
        <v>35.77</v>
      </c>
      <c r="J3332" s="20" t="n">
        <v>130.5</v>
      </c>
      <c r="K3332" s="18" t="n">
        <v>12</v>
      </c>
      <c r="L3332" s="18" t="n">
        <v>4</v>
      </c>
      <c r="M3332" s="18" t="n">
        <v>98</v>
      </c>
      <c r="N3332" s="18" t="n">
        <v>22</v>
      </c>
      <c r="O3332" s="14" t="s">
        <v>1097</v>
      </c>
      <c r="P3332" s="14" t="s">
        <v>84</v>
      </c>
      <c r="Q3332" s="15" t="s">
        <v>1089</v>
      </c>
      <c r="R3332" s="16" t="s">
        <v>20901</v>
      </c>
      <c r="S3332" s="15" t="s">
        <v>20902</v>
      </c>
      <c r="T3332" s="15" t="s">
        <v>20903</v>
      </c>
      <c r="U3332" s="21" t="s">
        <v>72</v>
      </c>
    </row>
    <row r="3333" customFormat="false" ht="15" hidden="false" customHeight="false" outlineLevel="0" collapsed="false">
      <c r="A3333" s="15" t="s">
        <v>19480</v>
      </c>
      <c r="B3333" s="15" t="s">
        <v>20795</v>
      </c>
      <c r="C3333" s="14" t="s">
        <v>20904</v>
      </c>
      <c r="D3333" s="14" t="s">
        <v>20905</v>
      </c>
      <c r="E3333" s="16" t="s">
        <v>20906</v>
      </c>
      <c r="F3333" s="16" t="s">
        <v>20907</v>
      </c>
      <c r="G3333" s="25" t="s">
        <v>39</v>
      </c>
      <c r="H3333" s="18" t="n">
        <v>8</v>
      </c>
      <c r="I3333" s="20" t="n">
        <v>252.92</v>
      </c>
      <c r="J3333" s="20" t="n">
        <v>270.72</v>
      </c>
      <c r="K3333" s="18" t="n">
        <v>6</v>
      </c>
      <c r="L3333" s="18" t="n">
        <v>5</v>
      </c>
      <c r="M3333" s="18" t="n">
        <v>120</v>
      </c>
      <c r="N3333" s="18" t="n">
        <v>120</v>
      </c>
      <c r="O3333" s="14" t="s">
        <v>1088</v>
      </c>
      <c r="P3333" s="14" t="s">
        <v>84</v>
      </c>
      <c r="Q3333" s="15" t="s">
        <v>1089</v>
      </c>
      <c r="R3333" s="16" t="s">
        <v>20908</v>
      </c>
      <c r="S3333" s="15" t="s">
        <v>20546</v>
      </c>
      <c r="T3333" s="15" t="s">
        <v>20909</v>
      </c>
      <c r="U3333" s="21" t="s">
        <v>72</v>
      </c>
    </row>
    <row r="3334" customFormat="false" ht="15" hidden="false" customHeight="false" outlineLevel="0" collapsed="false">
      <c r="A3334" s="15" t="s">
        <v>19480</v>
      </c>
      <c r="B3334" s="15" t="s">
        <v>20795</v>
      </c>
      <c r="C3334" s="14" t="s">
        <v>20910</v>
      </c>
      <c r="D3334" s="14" t="s">
        <v>20911</v>
      </c>
      <c r="E3334" s="16" t="s">
        <v>20912</v>
      </c>
      <c r="F3334" s="16" t="s">
        <v>20913</v>
      </c>
      <c r="G3334" s="23" t="s">
        <v>43</v>
      </c>
      <c r="H3334" s="18" t="n">
        <v>4</v>
      </c>
      <c r="I3334" s="20" t="n">
        <v>155.38</v>
      </c>
      <c r="J3334" s="20" t="n">
        <v>197.55</v>
      </c>
      <c r="K3334" s="18" t="n">
        <v>4</v>
      </c>
      <c r="L3334" s="18" t="n">
        <v>3</v>
      </c>
      <c r="M3334" s="18" t="n">
        <v>48</v>
      </c>
      <c r="N3334" s="18" t="n">
        <v>24</v>
      </c>
      <c r="O3334" s="14" t="s">
        <v>1097</v>
      </c>
      <c r="P3334" s="14" t="s">
        <v>84</v>
      </c>
      <c r="Q3334" s="15" t="s">
        <v>1089</v>
      </c>
      <c r="R3334" s="16" t="s">
        <v>20914</v>
      </c>
      <c r="S3334" s="15" t="s">
        <v>20915</v>
      </c>
      <c r="T3334" s="15" t="s">
        <v>20916</v>
      </c>
      <c r="U3334" s="21" t="s">
        <v>72</v>
      </c>
    </row>
    <row r="3335" customFormat="false" ht="15" hidden="false" customHeight="false" outlineLevel="0" collapsed="false">
      <c r="A3335" s="15" t="s">
        <v>19480</v>
      </c>
      <c r="B3335" s="15" t="s">
        <v>20795</v>
      </c>
      <c r="C3335" s="14" t="s">
        <v>20917</v>
      </c>
      <c r="D3335" s="14" t="s">
        <v>20918</v>
      </c>
      <c r="E3335" s="16" t="s">
        <v>20919</v>
      </c>
      <c r="F3335" s="16" t="s">
        <v>20920</v>
      </c>
      <c r="G3335" s="23" t="s">
        <v>43</v>
      </c>
      <c r="H3335" s="18" t="n">
        <v>3</v>
      </c>
      <c r="I3335" s="20" t="n">
        <v>44.08</v>
      </c>
      <c r="J3335" s="20" t="n">
        <v>118.49</v>
      </c>
      <c r="K3335" s="18" t="n">
        <v>7</v>
      </c>
      <c r="L3335" s="18" t="n">
        <v>1</v>
      </c>
      <c r="M3335" s="18" t="n">
        <v>35</v>
      </c>
      <c r="N3335" s="18" t="n">
        <v>10</v>
      </c>
      <c r="O3335" s="14" t="s">
        <v>6448</v>
      </c>
      <c r="P3335" s="14" t="s">
        <v>118</v>
      </c>
      <c r="Q3335" s="15" t="s">
        <v>1089</v>
      </c>
      <c r="R3335" s="16" t="s">
        <v>20921</v>
      </c>
      <c r="S3335" s="15" t="s">
        <v>20922</v>
      </c>
      <c r="T3335" s="15" t="s">
        <v>20922</v>
      </c>
      <c r="U3335" s="21" t="s">
        <v>72</v>
      </c>
    </row>
    <row r="3336" customFormat="false" ht="15" hidden="false" customHeight="false" outlineLevel="0" collapsed="false">
      <c r="A3336" s="15" t="s">
        <v>19480</v>
      </c>
      <c r="B3336" s="15" t="s">
        <v>20795</v>
      </c>
      <c r="C3336" s="14" t="s">
        <v>20923</v>
      </c>
      <c r="D3336" s="14" t="s">
        <v>20924</v>
      </c>
      <c r="E3336" s="16" t="s">
        <v>20925</v>
      </c>
      <c r="F3336" s="16" t="s">
        <v>20926</v>
      </c>
      <c r="G3336" s="23" t="s">
        <v>43</v>
      </c>
      <c r="H3336" s="18" t="n">
        <v>1</v>
      </c>
      <c r="I3336" s="20" t="n">
        <v>33.44</v>
      </c>
      <c r="J3336" s="20" t="n">
        <v>103.04</v>
      </c>
      <c r="K3336" s="18" t="n">
        <v>12</v>
      </c>
      <c r="L3336" s="18" t="n">
        <v>2</v>
      </c>
      <c r="M3336" s="18" t="n">
        <v>300</v>
      </c>
      <c r="N3336" s="18" t="n">
        <v>50</v>
      </c>
      <c r="O3336" s="14" t="s">
        <v>1097</v>
      </c>
      <c r="P3336" s="14" t="s">
        <v>118</v>
      </c>
      <c r="Q3336" s="15" t="s">
        <v>1089</v>
      </c>
      <c r="R3336" s="16" t="s">
        <v>20921</v>
      </c>
      <c r="S3336" s="15" t="s">
        <v>20927</v>
      </c>
      <c r="T3336" s="15" t="s">
        <v>20927</v>
      </c>
      <c r="U3336" s="21" t="s">
        <v>72</v>
      </c>
    </row>
    <row r="3337" customFormat="false" ht="15" hidden="false" customHeight="false" outlineLevel="0" collapsed="false">
      <c r="A3337" s="15" t="s">
        <v>19480</v>
      </c>
      <c r="B3337" s="15" t="s">
        <v>20795</v>
      </c>
      <c r="C3337" s="14" t="s">
        <v>20928</v>
      </c>
      <c r="D3337" s="14" t="s">
        <v>20929</v>
      </c>
      <c r="E3337" s="16" t="s">
        <v>20930</v>
      </c>
      <c r="F3337" s="16" t="s">
        <v>19497</v>
      </c>
      <c r="G3337" s="23" t="s">
        <v>43</v>
      </c>
      <c r="H3337" s="18" t="n">
        <v>4</v>
      </c>
      <c r="I3337" s="20" t="n">
        <v>44.66</v>
      </c>
      <c r="J3337" s="20" t="n">
        <v>157.1</v>
      </c>
      <c r="K3337" s="18" t="n">
        <v>7</v>
      </c>
      <c r="L3337" s="18" t="n">
        <v>3</v>
      </c>
      <c r="M3337" s="18" t="n">
        <v>65</v>
      </c>
      <c r="N3337" s="18" t="n">
        <v>20</v>
      </c>
      <c r="O3337" s="14" t="s">
        <v>1097</v>
      </c>
      <c r="P3337" s="14" t="s">
        <v>1716</v>
      </c>
      <c r="Q3337" s="15" t="s">
        <v>1089</v>
      </c>
      <c r="R3337" s="16" t="s">
        <v>751</v>
      </c>
      <c r="S3337" s="15" t="s">
        <v>20931</v>
      </c>
      <c r="T3337" s="15" t="s">
        <v>20931</v>
      </c>
      <c r="U3337" s="21" t="s">
        <v>72</v>
      </c>
    </row>
    <row r="3338" customFormat="false" ht="15" hidden="false" customHeight="false" outlineLevel="0" collapsed="false">
      <c r="A3338" s="15" t="s">
        <v>19480</v>
      </c>
      <c r="B3338" s="15" t="s">
        <v>20795</v>
      </c>
      <c r="C3338" s="14" t="s">
        <v>20932</v>
      </c>
      <c r="D3338" s="14" t="s">
        <v>20933</v>
      </c>
      <c r="E3338" s="16" t="s">
        <v>20934</v>
      </c>
      <c r="F3338" s="16" t="s">
        <v>20935</v>
      </c>
      <c r="G3338" s="23" t="s">
        <v>43</v>
      </c>
      <c r="H3338" s="18" t="n">
        <v>1</v>
      </c>
      <c r="I3338" s="20" t="n">
        <v>65</v>
      </c>
      <c r="J3338" s="20" t="n">
        <v>98</v>
      </c>
      <c r="K3338" s="18" t="n">
        <v>4</v>
      </c>
      <c r="L3338" s="18" t="n">
        <v>2</v>
      </c>
      <c r="M3338" s="18" t="n">
        <v>48</v>
      </c>
      <c r="N3338" s="18" t="n">
        <v>48</v>
      </c>
      <c r="O3338" s="14" t="s">
        <v>1097</v>
      </c>
      <c r="P3338" s="14" t="s">
        <v>84</v>
      </c>
      <c r="Q3338" s="15" t="s">
        <v>1089</v>
      </c>
      <c r="R3338" s="16" t="s">
        <v>20936</v>
      </c>
      <c r="S3338" s="15" t="s">
        <v>20937</v>
      </c>
      <c r="T3338" s="15" t="s">
        <v>20937</v>
      </c>
      <c r="U3338" s="21" t="s">
        <v>72</v>
      </c>
    </row>
    <row r="3339" customFormat="false" ht="15" hidden="false" customHeight="false" outlineLevel="0" collapsed="false">
      <c r="A3339" s="15" t="s">
        <v>19480</v>
      </c>
      <c r="B3339" s="15" t="s">
        <v>20795</v>
      </c>
      <c r="C3339" s="14" t="s">
        <v>20938</v>
      </c>
      <c r="D3339" s="14" t="s">
        <v>20939</v>
      </c>
      <c r="E3339" s="16" t="s">
        <v>20940</v>
      </c>
      <c r="F3339" s="16" t="s">
        <v>20941</v>
      </c>
      <c r="G3339" s="23" t="s">
        <v>43</v>
      </c>
      <c r="H3339" s="18" t="n">
        <v>3</v>
      </c>
      <c r="I3339" s="20" t="n">
        <v>33</v>
      </c>
      <c r="J3339" s="20" t="n">
        <v>131.72</v>
      </c>
      <c r="K3339" s="18" t="n">
        <v>3</v>
      </c>
      <c r="L3339" s="18" t="n">
        <v>4</v>
      </c>
      <c r="M3339" s="18" t="n">
        <v>30</v>
      </c>
      <c r="N3339" s="18" t="n">
        <v>10</v>
      </c>
      <c r="O3339" s="14" t="s">
        <v>1097</v>
      </c>
      <c r="P3339" s="14" t="s">
        <v>118</v>
      </c>
      <c r="Q3339" s="15" t="s">
        <v>1089</v>
      </c>
      <c r="R3339" s="16" t="s">
        <v>15305</v>
      </c>
      <c r="S3339" s="15" t="s">
        <v>20942</v>
      </c>
      <c r="T3339" s="15" t="s">
        <v>20942</v>
      </c>
      <c r="U3339" s="21" t="s">
        <v>72</v>
      </c>
    </row>
    <row r="3340" customFormat="false" ht="15" hidden="false" customHeight="false" outlineLevel="0" collapsed="false">
      <c r="A3340" s="15" t="s">
        <v>19480</v>
      </c>
      <c r="B3340" s="15" t="s">
        <v>20795</v>
      </c>
      <c r="C3340" s="14" t="s">
        <v>20943</v>
      </c>
      <c r="D3340" s="14" t="s">
        <v>20944</v>
      </c>
      <c r="E3340" s="16" t="s">
        <v>20945</v>
      </c>
      <c r="F3340" s="16" t="s">
        <v>20946</v>
      </c>
      <c r="G3340" s="25" t="s">
        <v>39</v>
      </c>
      <c r="H3340" s="18" t="n">
        <v>7</v>
      </c>
      <c r="I3340" s="20" t="n">
        <v>220.5</v>
      </c>
      <c r="J3340" s="20" t="n">
        <v>572.57</v>
      </c>
      <c r="K3340" s="18" t="n">
        <v>6</v>
      </c>
      <c r="L3340" s="18" t="n">
        <v>7</v>
      </c>
      <c r="M3340" s="18" t="n">
        <v>120</v>
      </c>
      <c r="N3340" s="18" t="n">
        <v>120</v>
      </c>
      <c r="O3340" s="14" t="s">
        <v>1088</v>
      </c>
      <c r="P3340" s="14" t="s">
        <v>84</v>
      </c>
      <c r="Q3340" s="15" t="s">
        <v>1089</v>
      </c>
      <c r="R3340" s="16" t="s">
        <v>6692</v>
      </c>
      <c r="S3340" s="15" t="s">
        <v>2207</v>
      </c>
      <c r="T3340" s="15" t="s">
        <v>20947</v>
      </c>
      <c r="U3340" s="21" t="s">
        <v>72</v>
      </c>
    </row>
    <row r="3341" customFormat="false" ht="15" hidden="false" customHeight="false" outlineLevel="0" collapsed="false">
      <c r="A3341" s="15" t="s">
        <v>19480</v>
      </c>
      <c r="B3341" s="15" t="s">
        <v>20795</v>
      </c>
      <c r="C3341" s="14" t="s">
        <v>20948</v>
      </c>
      <c r="D3341" s="14" t="s">
        <v>20949</v>
      </c>
      <c r="E3341" s="16" t="s">
        <v>20950</v>
      </c>
      <c r="F3341" s="16" t="s">
        <v>20951</v>
      </c>
      <c r="G3341" s="23" t="s">
        <v>43</v>
      </c>
      <c r="H3341" s="18" t="n">
        <v>2</v>
      </c>
      <c r="I3341" s="20" t="n">
        <v>36</v>
      </c>
      <c r="J3341" s="20" t="n">
        <v>129.59</v>
      </c>
      <c r="K3341" s="18" t="n">
        <v>3</v>
      </c>
      <c r="L3341" s="18" t="n">
        <v>2</v>
      </c>
      <c r="M3341" s="18" t="n">
        <v>36</v>
      </c>
      <c r="N3341" s="18" t="n">
        <v>36</v>
      </c>
      <c r="O3341" s="14" t="s">
        <v>1126</v>
      </c>
      <c r="P3341" s="14" t="s">
        <v>84</v>
      </c>
      <c r="Q3341" s="15" t="s">
        <v>1089</v>
      </c>
      <c r="R3341" s="16" t="s">
        <v>20952</v>
      </c>
      <c r="S3341" s="15" t="s">
        <v>20953</v>
      </c>
      <c r="T3341" s="15" t="s">
        <v>20953</v>
      </c>
      <c r="U3341" s="21" t="s">
        <v>72</v>
      </c>
    </row>
    <row r="3342" customFormat="false" ht="15" hidden="false" customHeight="false" outlineLevel="0" collapsed="false">
      <c r="A3342" s="15" t="s">
        <v>19480</v>
      </c>
      <c r="B3342" s="15" t="s">
        <v>20795</v>
      </c>
      <c r="C3342" s="14" t="s">
        <v>7565</v>
      </c>
      <c r="D3342" s="14" t="s">
        <v>20954</v>
      </c>
      <c r="E3342" s="16" t="s">
        <v>20955</v>
      </c>
      <c r="F3342" s="16" t="s">
        <v>20956</v>
      </c>
      <c r="G3342" s="19" t="s">
        <v>41</v>
      </c>
      <c r="H3342" s="18" t="n">
        <v>4</v>
      </c>
      <c r="I3342" s="20" t="n">
        <v>48.02</v>
      </c>
      <c r="J3342" s="20" t="n">
        <v>223.9</v>
      </c>
      <c r="K3342" s="18" t="n">
        <v>13</v>
      </c>
      <c r="L3342" s="18" t="n">
        <v>4</v>
      </c>
      <c r="M3342" s="18" t="n">
        <v>126</v>
      </c>
      <c r="N3342" s="18" t="n">
        <v>46</v>
      </c>
      <c r="O3342" s="14" t="s">
        <v>1097</v>
      </c>
      <c r="P3342" s="14" t="s">
        <v>118</v>
      </c>
      <c r="Q3342" s="15" t="s">
        <v>1089</v>
      </c>
      <c r="R3342" s="16" t="s">
        <v>20957</v>
      </c>
      <c r="S3342" s="15" t="s">
        <v>20958</v>
      </c>
      <c r="T3342" s="15" t="s">
        <v>20959</v>
      </c>
      <c r="U3342" s="21" t="s">
        <v>72</v>
      </c>
    </row>
    <row r="3343" customFormat="false" ht="15" hidden="false" customHeight="false" outlineLevel="0" collapsed="false">
      <c r="A3343" s="15" t="s">
        <v>19480</v>
      </c>
      <c r="B3343" s="15" t="s">
        <v>20795</v>
      </c>
      <c r="C3343" s="14" t="s">
        <v>20960</v>
      </c>
      <c r="D3343" s="14" t="s">
        <v>20961</v>
      </c>
      <c r="E3343" s="16" t="s">
        <v>20962</v>
      </c>
      <c r="F3343" s="16"/>
      <c r="G3343" s="23" t="s">
        <v>43</v>
      </c>
      <c r="H3343" s="18" t="n">
        <v>2</v>
      </c>
      <c r="I3343" s="20" t="n">
        <v>60.84</v>
      </c>
      <c r="J3343" s="20" t="n">
        <v>76.78</v>
      </c>
      <c r="K3343" s="18" t="n">
        <v>8</v>
      </c>
      <c r="L3343" s="18" t="n">
        <v>3</v>
      </c>
      <c r="M3343" s="18" t="n">
        <v>100</v>
      </c>
      <c r="N3343" s="18" t="n">
        <v>35</v>
      </c>
      <c r="O3343" s="14" t="s">
        <v>1097</v>
      </c>
      <c r="P3343" s="14" t="s">
        <v>84</v>
      </c>
      <c r="Q3343" s="15" t="s">
        <v>1089</v>
      </c>
      <c r="R3343" s="16" t="s">
        <v>20963</v>
      </c>
      <c r="S3343" s="15" t="s">
        <v>2963</v>
      </c>
      <c r="T3343" s="15" t="s">
        <v>2963</v>
      </c>
      <c r="U3343" s="21" t="s">
        <v>72</v>
      </c>
    </row>
    <row r="3344" customFormat="false" ht="15" hidden="false" customHeight="false" outlineLevel="0" collapsed="false">
      <c r="A3344" s="15" t="s">
        <v>19480</v>
      </c>
      <c r="B3344" s="15" t="s">
        <v>20795</v>
      </c>
      <c r="C3344" s="14" t="s">
        <v>20964</v>
      </c>
      <c r="D3344" s="14" t="s">
        <v>20965</v>
      </c>
      <c r="E3344" s="16" t="s">
        <v>20966</v>
      </c>
      <c r="F3344" s="16" t="s">
        <v>20967</v>
      </c>
      <c r="G3344" s="23" t="s">
        <v>43</v>
      </c>
      <c r="H3344" s="18" t="n">
        <v>3</v>
      </c>
      <c r="I3344" s="20" t="n">
        <v>49.2</v>
      </c>
      <c r="J3344" s="20" t="n">
        <v>96.86</v>
      </c>
      <c r="K3344" s="18" t="n">
        <v>8</v>
      </c>
      <c r="L3344" s="18"/>
      <c r="M3344" s="18" t="n">
        <v>120</v>
      </c>
      <c r="N3344" s="18" t="n">
        <v>30</v>
      </c>
      <c r="O3344" s="14" t="s">
        <v>1097</v>
      </c>
      <c r="P3344" s="14" t="s">
        <v>84</v>
      </c>
      <c r="Q3344" s="15" t="s">
        <v>1089</v>
      </c>
      <c r="R3344" s="16" t="s">
        <v>20968</v>
      </c>
      <c r="S3344" s="15" t="s">
        <v>20969</v>
      </c>
      <c r="T3344" s="15" t="s">
        <v>20970</v>
      </c>
      <c r="U3344" s="21" t="s">
        <v>72</v>
      </c>
    </row>
    <row r="3345" customFormat="false" ht="26.85" hidden="false" customHeight="false" outlineLevel="0" collapsed="false">
      <c r="A3345" s="15" t="s">
        <v>19480</v>
      </c>
      <c r="B3345" s="15" t="s">
        <v>20795</v>
      </c>
      <c r="C3345" s="14" t="s">
        <v>20971</v>
      </c>
      <c r="D3345" s="14" t="s">
        <v>20972</v>
      </c>
      <c r="E3345" s="16" t="s">
        <v>20973</v>
      </c>
      <c r="F3345" s="16" t="s">
        <v>20974</v>
      </c>
      <c r="G3345" s="19" t="s">
        <v>41</v>
      </c>
      <c r="H3345" s="18" t="n">
        <v>3</v>
      </c>
      <c r="I3345" s="20" t="n">
        <v>199.6</v>
      </c>
      <c r="J3345" s="20" t="n">
        <v>284.25</v>
      </c>
      <c r="K3345" s="18" t="n">
        <v>7</v>
      </c>
      <c r="L3345" s="18" t="n">
        <v>4</v>
      </c>
      <c r="M3345" s="18" t="n">
        <v>351</v>
      </c>
      <c r="N3345" s="18" t="n">
        <v>202</v>
      </c>
      <c r="O3345" s="14" t="s">
        <v>1097</v>
      </c>
      <c r="P3345" s="14" t="s">
        <v>352</v>
      </c>
      <c r="Q3345" s="15" t="s">
        <v>1089</v>
      </c>
      <c r="R3345" s="16" t="s">
        <v>20975</v>
      </c>
      <c r="S3345" s="15" t="s">
        <v>20976</v>
      </c>
      <c r="T3345" s="15" t="s">
        <v>20977</v>
      </c>
      <c r="U3345" s="21" t="s">
        <v>72</v>
      </c>
    </row>
    <row r="3346" customFormat="false" ht="15" hidden="false" customHeight="false" outlineLevel="0" collapsed="false">
      <c r="A3346" s="15" t="s">
        <v>19480</v>
      </c>
      <c r="B3346" s="15" t="s">
        <v>20795</v>
      </c>
      <c r="C3346" s="14" t="s">
        <v>20978</v>
      </c>
      <c r="D3346" s="14" t="s">
        <v>20979</v>
      </c>
      <c r="E3346" s="16" t="s">
        <v>20980</v>
      </c>
      <c r="F3346" s="16" t="s">
        <v>20981</v>
      </c>
      <c r="G3346" s="23" t="s">
        <v>43</v>
      </c>
      <c r="H3346" s="18" t="n">
        <v>3</v>
      </c>
      <c r="I3346" s="20" t="n">
        <v>65.49</v>
      </c>
      <c r="J3346" s="20" t="n">
        <v>134.46</v>
      </c>
      <c r="K3346" s="18" t="n">
        <v>9</v>
      </c>
      <c r="L3346" s="18" t="n">
        <v>1</v>
      </c>
      <c r="M3346" s="18" t="n">
        <v>138</v>
      </c>
      <c r="N3346" s="18" t="n">
        <v>122</v>
      </c>
      <c r="O3346" s="14" t="s">
        <v>1097</v>
      </c>
      <c r="P3346" s="14" t="s">
        <v>84</v>
      </c>
      <c r="Q3346" s="15" t="s">
        <v>1089</v>
      </c>
      <c r="R3346" s="16" t="s">
        <v>20982</v>
      </c>
      <c r="S3346" s="15" t="s">
        <v>20983</v>
      </c>
      <c r="T3346" s="15" t="s">
        <v>20983</v>
      </c>
      <c r="U3346" s="21" t="s">
        <v>72</v>
      </c>
    </row>
    <row r="3347" customFormat="false" ht="15" hidden="false" customHeight="false" outlineLevel="0" collapsed="false">
      <c r="A3347" s="15" t="s">
        <v>19480</v>
      </c>
      <c r="B3347" s="15" t="s">
        <v>20795</v>
      </c>
      <c r="C3347" s="14" t="s">
        <v>20984</v>
      </c>
      <c r="D3347" s="14" t="s">
        <v>20985</v>
      </c>
      <c r="E3347" s="16" t="s">
        <v>20986</v>
      </c>
      <c r="F3347" s="16" t="s">
        <v>20987</v>
      </c>
      <c r="G3347" s="19" t="s">
        <v>41</v>
      </c>
      <c r="H3347" s="18" t="n">
        <v>5</v>
      </c>
      <c r="I3347" s="20" t="n">
        <v>102.87</v>
      </c>
      <c r="J3347" s="20" t="n">
        <v>229.44</v>
      </c>
      <c r="K3347" s="18" t="n">
        <v>9</v>
      </c>
      <c r="L3347" s="18" t="n">
        <v>4</v>
      </c>
      <c r="M3347" s="18" t="n">
        <v>135</v>
      </c>
      <c r="N3347" s="18" t="n">
        <v>60</v>
      </c>
      <c r="O3347" s="14" t="s">
        <v>1097</v>
      </c>
      <c r="P3347" s="14" t="s">
        <v>84</v>
      </c>
      <c r="Q3347" s="15" t="s">
        <v>1089</v>
      </c>
      <c r="R3347" s="16" t="s">
        <v>20988</v>
      </c>
      <c r="S3347" s="15" t="s">
        <v>20989</v>
      </c>
      <c r="T3347" s="15" t="s">
        <v>20989</v>
      </c>
      <c r="U3347" s="21" t="s">
        <v>72</v>
      </c>
    </row>
    <row r="3348" customFormat="false" ht="15" hidden="false" customHeight="false" outlineLevel="0" collapsed="false">
      <c r="A3348" s="15" t="s">
        <v>19480</v>
      </c>
      <c r="B3348" s="15" t="s">
        <v>20795</v>
      </c>
      <c r="C3348" s="14" t="s">
        <v>20990</v>
      </c>
      <c r="D3348" s="14" t="s">
        <v>20991</v>
      </c>
      <c r="E3348" s="16" t="s">
        <v>20992</v>
      </c>
      <c r="F3348" s="16"/>
      <c r="G3348" s="23" t="s">
        <v>43</v>
      </c>
      <c r="H3348" s="18" t="n">
        <v>2</v>
      </c>
      <c r="I3348" s="20" t="n">
        <v>36.82</v>
      </c>
      <c r="J3348" s="20" t="n">
        <v>84.72</v>
      </c>
      <c r="K3348" s="18" t="n">
        <v>10</v>
      </c>
      <c r="L3348" s="18" t="n">
        <v>4</v>
      </c>
      <c r="M3348" s="18" t="n">
        <v>156</v>
      </c>
      <c r="N3348" s="18" t="n">
        <v>108</v>
      </c>
      <c r="O3348" s="14" t="s">
        <v>1097</v>
      </c>
      <c r="P3348" s="14" t="s">
        <v>118</v>
      </c>
      <c r="Q3348" s="15" t="s">
        <v>1089</v>
      </c>
      <c r="R3348" s="16" t="s">
        <v>6290</v>
      </c>
      <c r="S3348" s="15" t="s">
        <v>20993</v>
      </c>
      <c r="T3348" s="15" t="s">
        <v>20994</v>
      </c>
      <c r="U3348" s="21" t="s">
        <v>72</v>
      </c>
    </row>
    <row r="3349" customFormat="false" ht="15" hidden="false" customHeight="false" outlineLevel="0" collapsed="false">
      <c r="A3349" s="15" t="s">
        <v>19480</v>
      </c>
      <c r="B3349" s="15" t="s">
        <v>20795</v>
      </c>
      <c r="C3349" s="14" t="s">
        <v>20995</v>
      </c>
      <c r="D3349" s="14" t="s">
        <v>20996</v>
      </c>
      <c r="E3349" s="16" t="s">
        <v>20997</v>
      </c>
      <c r="F3349" s="16" t="s">
        <v>20998</v>
      </c>
      <c r="G3349" s="23" t="s">
        <v>43</v>
      </c>
      <c r="H3349" s="18" t="n">
        <v>1</v>
      </c>
      <c r="I3349" s="20" t="n">
        <v>33</v>
      </c>
      <c r="J3349" s="20" t="n">
        <v>56</v>
      </c>
      <c r="K3349" s="18" t="n">
        <v>7</v>
      </c>
      <c r="L3349" s="18" t="n">
        <v>2</v>
      </c>
      <c r="M3349" s="18" t="n">
        <v>70</v>
      </c>
      <c r="N3349" s="18" t="n">
        <v>30</v>
      </c>
      <c r="O3349" s="14" t="s">
        <v>1097</v>
      </c>
      <c r="P3349" s="14" t="s">
        <v>84</v>
      </c>
      <c r="Q3349" s="15" t="s">
        <v>1089</v>
      </c>
      <c r="R3349" s="16" t="s">
        <v>20999</v>
      </c>
      <c r="S3349" s="15" t="s">
        <v>21000</v>
      </c>
      <c r="T3349" s="15" t="s">
        <v>21001</v>
      </c>
      <c r="U3349" s="21" t="s">
        <v>72</v>
      </c>
    </row>
    <row r="3350" customFormat="false" ht="15" hidden="false" customHeight="false" outlineLevel="0" collapsed="false">
      <c r="A3350" s="15" t="s">
        <v>19480</v>
      </c>
      <c r="B3350" s="15" t="s">
        <v>20795</v>
      </c>
      <c r="C3350" s="14" t="s">
        <v>21002</v>
      </c>
      <c r="D3350" s="14" t="s">
        <v>21003</v>
      </c>
      <c r="E3350" s="16" t="s">
        <v>21004</v>
      </c>
      <c r="F3350" s="16" t="s">
        <v>21005</v>
      </c>
      <c r="G3350" s="23" t="s">
        <v>43</v>
      </c>
      <c r="H3350" s="18" t="n">
        <v>1</v>
      </c>
      <c r="I3350" s="20" t="n">
        <v>43.6</v>
      </c>
      <c r="J3350" s="20" t="n">
        <v>44</v>
      </c>
      <c r="K3350" s="18" t="n">
        <v>6</v>
      </c>
      <c r="L3350" s="18" t="n">
        <v>4</v>
      </c>
      <c r="M3350" s="18" t="n">
        <v>120</v>
      </c>
      <c r="N3350" s="18" t="n">
        <v>120</v>
      </c>
      <c r="O3350" s="14" t="s">
        <v>1088</v>
      </c>
      <c r="P3350" s="14" t="s">
        <v>84</v>
      </c>
      <c r="Q3350" s="15" t="s">
        <v>1089</v>
      </c>
      <c r="R3350" s="16" t="s">
        <v>20128</v>
      </c>
      <c r="S3350" s="15" t="s">
        <v>21006</v>
      </c>
      <c r="T3350" s="15" t="s">
        <v>21006</v>
      </c>
      <c r="U3350" s="21" t="s">
        <v>72</v>
      </c>
    </row>
    <row r="3351" customFormat="false" ht="26.85" hidden="false" customHeight="false" outlineLevel="0" collapsed="false">
      <c r="A3351" s="15" t="s">
        <v>19480</v>
      </c>
      <c r="B3351" s="15" t="s">
        <v>20795</v>
      </c>
      <c r="C3351" s="14" t="s">
        <v>21007</v>
      </c>
      <c r="D3351" s="14" t="s">
        <v>21008</v>
      </c>
      <c r="E3351" s="16" t="s">
        <v>21009</v>
      </c>
      <c r="F3351" s="16" t="s">
        <v>20568</v>
      </c>
      <c r="G3351" s="23" t="s">
        <v>43</v>
      </c>
      <c r="H3351" s="18" t="n">
        <v>2</v>
      </c>
      <c r="I3351" s="20" t="n">
        <v>64.86</v>
      </c>
      <c r="J3351" s="20" t="n">
        <v>80.94</v>
      </c>
      <c r="K3351" s="18" t="n">
        <v>4</v>
      </c>
      <c r="L3351" s="18" t="n">
        <v>11</v>
      </c>
      <c r="M3351" s="18" t="n">
        <v>60</v>
      </c>
      <c r="N3351" s="18" t="n">
        <v>30</v>
      </c>
      <c r="O3351" s="14" t="s">
        <v>1088</v>
      </c>
      <c r="P3351" s="14" t="s">
        <v>1166</v>
      </c>
      <c r="Q3351" s="15" t="s">
        <v>1089</v>
      </c>
      <c r="R3351" s="16" t="s">
        <v>21010</v>
      </c>
      <c r="S3351" s="15" t="s">
        <v>21011</v>
      </c>
      <c r="T3351" s="15" t="s">
        <v>21012</v>
      </c>
      <c r="U3351" s="21" t="s">
        <v>72</v>
      </c>
    </row>
    <row r="3352" customFormat="false" ht="15" hidden="false" customHeight="false" outlineLevel="0" collapsed="false">
      <c r="A3352" s="15" t="s">
        <v>19480</v>
      </c>
      <c r="B3352" s="15" t="s">
        <v>20795</v>
      </c>
      <c r="C3352" s="14" t="s">
        <v>21013</v>
      </c>
      <c r="D3352" s="14" t="s">
        <v>21014</v>
      </c>
      <c r="E3352" s="16" t="s">
        <v>21015</v>
      </c>
      <c r="F3352" s="16" t="s">
        <v>20875</v>
      </c>
      <c r="G3352" s="19" t="s">
        <v>41</v>
      </c>
      <c r="H3352" s="18" t="n">
        <v>6</v>
      </c>
      <c r="I3352" s="20" t="n">
        <v>78.87</v>
      </c>
      <c r="J3352" s="20" t="n">
        <v>169.89</v>
      </c>
      <c r="K3352" s="18" t="n">
        <v>17</v>
      </c>
      <c r="L3352" s="18" t="n">
        <v>19</v>
      </c>
      <c r="M3352" s="18" t="n">
        <v>164</v>
      </c>
      <c r="N3352" s="18" t="n">
        <v>62</v>
      </c>
      <c r="O3352" s="14" t="s">
        <v>1097</v>
      </c>
      <c r="P3352" s="14" t="s">
        <v>118</v>
      </c>
      <c r="Q3352" s="15" t="s">
        <v>1089</v>
      </c>
      <c r="R3352" s="16" t="s">
        <v>21016</v>
      </c>
      <c r="S3352" s="15" t="s">
        <v>20876</v>
      </c>
      <c r="T3352" s="15" t="s">
        <v>21017</v>
      </c>
      <c r="U3352" s="21" t="s">
        <v>72</v>
      </c>
    </row>
    <row r="3353" customFormat="false" ht="15" hidden="false" customHeight="false" outlineLevel="0" collapsed="false">
      <c r="A3353" s="15" t="s">
        <v>19480</v>
      </c>
      <c r="B3353" s="15" t="s">
        <v>20795</v>
      </c>
      <c r="C3353" s="14" t="s">
        <v>21018</v>
      </c>
      <c r="D3353" s="14" t="s">
        <v>21019</v>
      </c>
      <c r="E3353" s="16" t="s">
        <v>21020</v>
      </c>
      <c r="F3353" s="16" t="s">
        <v>20875</v>
      </c>
      <c r="G3353" s="23" t="s">
        <v>43</v>
      </c>
      <c r="H3353" s="18" t="n">
        <v>1</v>
      </c>
      <c r="I3353" s="20" t="n">
        <v>32.67</v>
      </c>
      <c r="J3353" s="20" t="n">
        <v>92.78</v>
      </c>
      <c r="K3353" s="18" t="n">
        <v>4</v>
      </c>
      <c r="L3353" s="18" t="n">
        <v>19</v>
      </c>
      <c r="M3353" s="18" t="n">
        <v>60</v>
      </c>
      <c r="N3353" s="18" t="n">
        <v>60</v>
      </c>
      <c r="O3353" s="14" t="s">
        <v>1088</v>
      </c>
      <c r="P3353" s="14" t="s">
        <v>84</v>
      </c>
      <c r="Q3353" s="15" t="s">
        <v>1089</v>
      </c>
      <c r="R3353" s="16" t="s">
        <v>7086</v>
      </c>
      <c r="S3353" s="15" t="s">
        <v>20876</v>
      </c>
      <c r="T3353" s="15" t="s">
        <v>21021</v>
      </c>
      <c r="U3353" s="21" t="s">
        <v>72</v>
      </c>
    </row>
    <row r="3354" customFormat="false" ht="15" hidden="false" customHeight="false" outlineLevel="0" collapsed="false">
      <c r="A3354" s="15" t="s">
        <v>19480</v>
      </c>
      <c r="B3354" s="15" t="s">
        <v>20795</v>
      </c>
      <c r="C3354" s="14" t="s">
        <v>21022</v>
      </c>
      <c r="D3354" s="14" t="s">
        <v>21023</v>
      </c>
      <c r="E3354" s="16" t="s">
        <v>21024</v>
      </c>
      <c r="F3354" s="16" t="s">
        <v>20875</v>
      </c>
      <c r="G3354" s="23" t="s">
        <v>43</v>
      </c>
      <c r="H3354" s="18" t="n">
        <v>3</v>
      </c>
      <c r="I3354" s="20" t="n">
        <v>42.96</v>
      </c>
      <c r="J3354" s="20" t="n">
        <v>155.98</v>
      </c>
      <c r="K3354" s="18" t="n">
        <v>20</v>
      </c>
      <c r="L3354" s="18" t="n">
        <v>20</v>
      </c>
      <c r="M3354" s="18" t="n">
        <v>220</v>
      </c>
      <c r="N3354" s="18" t="n">
        <v>74</v>
      </c>
      <c r="O3354" s="14" t="s">
        <v>1097</v>
      </c>
      <c r="P3354" s="14" t="s">
        <v>118</v>
      </c>
      <c r="Q3354" s="15" t="s">
        <v>1089</v>
      </c>
      <c r="R3354" s="16" t="s">
        <v>21025</v>
      </c>
      <c r="S3354" s="15" t="s">
        <v>20876</v>
      </c>
      <c r="T3354" s="15" t="s">
        <v>21026</v>
      </c>
      <c r="U3354" s="21" t="s">
        <v>72</v>
      </c>
    </row>
    <row r="3355" customFormat="false" ht="15" hidden="false" customHeight="false" outlineLevel="0" collapsed="false">
      <c r="A3355" s="15" t="s">
        <v>19480</v>
      </c>
      <c r="B3355" s="15" t="s">
        <v>21027</v>
      </c>
      <c r="C3355" s="14" t="s">
        <v>21028</v>
      </c>
      <c r="D3355" s="14" t="s">
        <v>21029</v>
      </c>
      <c r="E3355" s="16" t="s">
        <v>21030</v>
      </c>
      <c r="F3355" s="16" t="s">
        <v>21031</v>
      </c>
      <c r="G3355" s="23" t="s">
        <v>43</v>
      </c>
      <c r="H3355" s="18" t="n">
        <v>4</v>
      </c>
      <c r="I3355" s="20" t="n">
        <v>140.39</v>
      </c>
      <c r="J3355" s="20" t="n">
        <v>196.88</v>
      </c>
      <c r="K3355" s="18" t="n">
        <v>50</v>
      </c>
      <c r="L3355" s="18" t="n">
        <v>8</v>
      </c>
      <c r="M3355" s="18" t="n">
        <v>1057</v>
      </c>
      <c r="N3355" s="18" t="n">
        <v>394</v>
      </c>
      <c r="O3355" s="14" t="s">
        <v>1097</v>
      </c>
      <c r="P3355" s="14" t="s">
        <v>118</v>
      </c>
      <c r="Q3355" s="15" t="s">
        <v>1089</v>
      </c>
      <c r="R3355" s="16" t="s">
        <v>21032</v>
      </c>
      <c r="S3355" s="15" t="s">
        <v>21033</v>
      </c>
      <c r="T3355" s="15" t="s">
        <v>21034</v>
      </c>
      <c r="U3355" s="21" t="s">
        <v>72</v>
      </c>
    </row>
    <row r="3356" customFormat="false" ht="15" hidden="false" customHeight="false" outlineLevel="0" collapsed="false">
      <c r="A3356" s="15" t="s">
        <v>19480</v>
      </c>
      <c r="B3356" s="15" t="s">
        <v>21035</v>
      </c>
      <c r="C3356" s="14" t="s">
        <v>21036</v>
      </c>
      <c r="D3356" s="14" t="s">
        <v>21037</v>
      </c>
      <c r="E3356" s="16" t="s">
        <v>21038</v>
      </c>
      <c r="F3356" s="16" t="s">
        <v>19497</v>
      </c>
      <c r="G3356" s="19" t="s">
        <v>41</v>
      </c>
      <c r="H3356" s="18" t="n">
        <v>6</v>
      </c>
      <c r="I3356" s="20" t="n">
        <v>92.26</v>
      </c>
      <c r="J3356" s="20" t="n">
        <v>240.05</v>
      </c>
      <c r="K3356" s="18" t="n">
        <v>22</v>
      </c>
      <c r="L3356" s="18" t="n">
        <v>4</v>
      </c>
      <c r="M3356" s="18" t="n">
        <v>260</v>
      </c>
      <c r="N3356" s="18" t="n">
        <v>85</v>
      </c>
      <c r="O3356" s="14" t="s">
        <v>1097</v>
      </c>
      <c r="P3356" s="14" t="s">
        <v>118</v>
      </c>
      <c r="Q3356" s="15" t="s">
        <v>1089</v>
      </c>
      <c r="R3356" s="16" t="s">
        <v>21039</v>
      </c>
      <c r="S3356" s="15" t="s">
        <v>21040</v>
      </c>
      <c r="T3356" s="15" t="s">
        <v>21040</v>
      </c>
      <c r="U3356" s="21" t="s">
        <v>72</v>
      </c>
    </row>
    <row r="3357" customFormat="false" ht="26.85" hidden="false" customHeight="false" outlineLevel="0" collapsed="false">
      <c r="A3357" s="15" t="s">
        <v>19480</v>
      </c>
      <c r="B3357" s="15" t="s">
        <v>21035</v>
      </c>
      <c r="C3357" s="14" t="s">
        <v>21041</v>
      </c>
      <c r="D3357" s="14" t="s">
        <v>21042</v>
      </c>
      <c r="E3357" s="16" t="s">
        <v>21043</v>
      </c>
      <c r="F3357" s="16" t="s">
        <v>21044</v>
      </c>
      <c r="G3357" s="23" t="s">
        <v>43</v>
      </c>
      <c r="H3357" s="18" t="n">
        <v>4</v>
      </c>
      <c r="I3357" s="20" t="n">
        <v>80.56</v>
      </c>
      <c r="J3357" s="20" t="n">
        <v>161.07</v>
      </c>
      <c r="K3357" s="18" t="n">
        <v>9</v>
      </c>
      <c r="L3357" s="18" t="n">
        <v>6</v>
      </c>
      <c r="M3357" s="18" t="n">
        <v>135</v>
      </c>
      <c r="N3357" s="18" t="n">
        <v>120</v>
      </c>
      <c r="O3357" s="14" t="s">
        <v>1097</v>
      </c>
      <c r="P3357" s="14" t="s">
        <v>118</v>
      </c>
      <c r="Q3357" s="15" t="s">
        <v>1089</v>
      </c>
      <c r="R3357" s="16" t="s">
        <v>21045</v>
      </c>
      <c r="S3357" s="15" t="s">
        <v>21046</v>
      </c>
      <c r="T3357" s="15" t="s">
        <v>21047</v>
      </c>
      <c r="U3357" s="21" t="s">
        <v>72</v>
      </c>
    </row>
    <row r="3358" customFormat="false" ht="26.85" hidden="false" customHeight="false" outlineLevel="0" collapsed="false">
      <c r="A3358" s="15" t="s">
        <v>19480</v>
      </c>
      <c r="B3358" s="15" t="s">
        <v>21035</v>
      </c>
      <c r="C3358" s="14" t="s">
        <v>21048</v>
      </c>
      <c r="D3358" s="14" t="s">
        <v>21049</v>
      </c>
      <c r="E3358" s="16" t="s">
        <v>21043</v>
      </c>
      <c r="F3358" s="16" t="s">
        <v>21044</v>
      </c>
      <c r="G3358" s="19" t="s">
        <v>41</v>
      </c>
      <c r="H3358" s="18" t="n">
        <v>6</v>
      </c>
      <c r="I3358" s="20" t="n">
        <v>97.12</v>
      </c>
      <c r="J3358" s="20" t="n">
        <v>209.25</v>
      </c>
      <c r="K3358" s="18" t="n">
        <v>6</v>
      </c>
      <c r="L3358" s="18" t="n">
        <v>3</v>
      </c>
      <c r="M3358" s="18" t="n">
        <v>70</v>
      </c>
      <c r="N3358" s="18" t="n">
        <v>22</v>
      </c>
      <c r="O3358" s="14" t="s">
        <v>1097</v>
      </c>
      <c r="P3358" s="14" t="s">
        <v>118</v>
      </c>
      <c r="Q3358" s="15" t="s">
        <v>1089</v>
      </c>
      <c r="R3358" s="16" t="s">
        <v>21045</v>
      </c>
      <c r="S3358" s="15" t="s">
        <v>21046</v>
      </c>
      <c r="T3358" s="15" t="s">
        <v>21050</v>
      </c>
      <c r="U3358" s="21" t="s">
        <v>72</v>
      </c>
    </row>
    <row r="3359" customFormat="false" ht="26.85" hidden="false" customHeight="false" outlineLevel="0" collapsed="false">
      <c r="A3359" s="15" t="s">
        <v>19480</v>
      </c>
      <c r="B3359" s="15" t="s">
        <v>21035</v>
      </c>
      <c r="C3359" s="14" t="s">
        <v>21051</v>
      </c>
      <c r="D3359" s="14" t="s">
        <v>21052</v>
      </c>
      <c r="E3359" s="16" t="s">
        <v>21053</v>
      </c>
      <c r="F3359" s="16" t="s">
        <v>19611</v>
      </c>
      <c r="G3359" s="23" t="s">
        <v>43</v>
      </c>
      <c r="H3359" s="18" t="n">
        <v>4</v>
      </c>
      <c r="I3359" s="20" t="n">
        <v>90</v>
      </c>
      <c r="J3359" s="20" t="n">
        <v>194.5</v>
      </c>
      <c r="K3359" s="18" t="n">
        <v>12</v>
      </c>
      <c r="L3359" s="18" t="n">
        <v>7</v>
      </c>
      <c r="M3359" s="18" t="n">
        <v>96</v>
      </c>
      <c r="N3359" s="18" t="n">
        <v>96</v>
      </c>
      <c r="O3359" s="14" t="s">
        <v>1097</v>
      </c>
      <c r="P3359" s="14" t="s">
        <v>84</v>
      </c>
      <c r="Q3359" s="15" t="s">
        <v>1089</v>
      </c>
      <c r="R3359" s="16" t="s">
        <v>3329</v>
      </c>
      <c r="S3359" s="15" t="s">
        <v>20065</v>
      </c>
      <c r="T3359" s="15" t="s">
        <v>21054</v>
      </c>
      <c r="U3359" s="21" t="s">
        <v>72</v>
      </c>
    </row>
    <row r="3360" customFormat="false" ht="15" hidden="false" customHeight="false" outlineLevel="0" collapsed="false">
      <c r="A3360" s="15" t="s">
        <v>19480</v>
      </c>
      <c r="B3360" s="15" t="s">
        <v>21035</v>
      </c>
      <c r="C3360" s="14" t="s">
        <v>21055</v>
      </c>
      <c r="D3360" s="14" t="s">
        <v>21056</v>
      </c>
      <c r="E3360" s="16" t="s">
        <v>21057</v>
      </c>
      <c r="F3360" s="16" t="s">
        <v>21058</v>
      </c>
      <c r="G3360" s="19" t="s">
        <v>41</v>
      </c>
      <c r="H3360" s="18" t="n">
        <v>7</v>
      </c>
      <c r="I3360" s="20" t="n">
        <v>171.82</v>
      </c>
      <c r="J3360" s="20" t="n">
        <v>385.97</v>
      </c>
      <c r="K3360" s="18" t="n">
        <v>13</v>
      </c>
      <c r="L3360" s="18" t="n">
        <v>3</v>
      </c>
      <c r="M3360" s="18" t="n">
        <v>192</v>
      </c>
      <c r="N3360" s="18" t="n">
        <v>136</v>
      </c>
      <c r="O3360" s="14" t="s">
        <v>1097</v>
      </c>
      <c r="P3360" s="14" t="s">
        <v>118</v>
      </c>
      <c r="Q3360" s="15" t="s">
        <v>1089</v>
      </c>
      <c r="R3360" s="16" t="s">
        <v>14389</v>
      </c>
      <c r="S3360" s="15" t="s">
        <v>21059</v>
      </c>
      <c r="T3360" s="15" t="s">
        <v>21059</v>
      </c>
      <c r="U3360" s="21" t="s">
        <v>72</v>
      </c>
    </row>
    <row r="3361" customFormat="false" ht="15" hidden="false" customHeight="false" outlineLevel="0" collapsed="false">
      <c r="A3361" s="15" t="s">
        <v>19480</v>
      </c>
      <c r="B3361" s="15" t="s">
        <v>21035</v>
      </c>
      <c r="C3361" s="14" t="s">
        <v>21060</v>
      </c>
      <c r="D3361" s="14" t="s">
        <v>21061</v>
      </c>
      <c r="E3361" s="16" t="s">
        <v>21062</v>
      </c>
      <c r="F3361" s="16" t="s">
        <v>21063</v>
      </c>
      <c r="G3361" s="19" t="s">
        <v>41</v>
      </c>
      <c r="H3361" s="18" t="n">
        <v>4</v>
      </c>
      <c r="I3361" s="20" t="n">
        <v>90</v>
      </c>
      <c r="J3361" s="20" t="n">
        <v>225.55</v>
      </c>
      <c r="K3361" s="18" t="n">
        <v>7</v>
      </c>
      <c r="L3361" s="18" t="n">
        <v>3</v>
      </c>
      <c r="M3361" s="18" t="n">
        <v>64</v>
      </c>
      <c r="N3361" s="18" t="n">
        <v>28</v>
      </c>
      <c r="O3361" s="14" t="s">
        <v>1088</v>
      </c>
      <c r="P3361" s="14" t="s">
        <v>118</v>
      </c>
      <c r="Q3361" s="15" t="s">
        <v>1089</v>
      </c>
      <c r="R3361" s="16" t="s">
        <v>21064</v>
      </c>
      <c r="S3361" s="15" t="s">
        <v>21065</v>
      </c>
      <c r="T3361" s="15" t="s">
        <v>21065</v>
      </c>
      <c r="U3361" s="21" t="s">
        <v>72</v>
      </c>
    </row>
    <row r="3362" customFormat="false" ht="15" hidden="false" customHeight="false" outlineLevel="0" collapsed="false">
      <c r="A3362" s="15" t="s">
        <v>19480</v>
      </c>
      <c r="B3362" s="15" t="s">
        <v>21035</v>
      </c>
      <c r="C3362" s="14" t="s">
        <v>21066</v>
      </c>
      <c r="D3362" s="14" t="s">
        <v>21067</v>
      </c>
      <c r="E3362" s="16" t="s">
        <v>21068</v>
      </c>
      <c r="F3362" s="16" t="s">
        <v>21069</v>
      </c>
      <c r="G3362" s="19" t="s">
        <v>41</v>
      </c>
      <c r="H3362" s="18" t="n">
        <v>3</v>
      </c>
      <c r="I3362" s="20" t="n">
        <v>99</v>
      </c>
      <c r="J3362" s="20" t="n">
        <v>224.12</v>
      </c>
      <c r="K3362" s="18" t="n">
        <v>7</v>
      </c>
      <c r="L3362" s="18" t="n">
        <v>4</v>
      </c>
      <c r="M3362" s="18" t="n">
        <v>105</v>
      </c>
      <c r="N3362" s="18" t="n">
        <v>45</v>
      </c>
      <c r="O3362" s="14" t="s">
        <v>1097</v>
      </c>
      <c r="P3362" s="14" t="s">
        <v>84</v>
      </c>
      <c r="Q3362" s="15" t="s">
        <v>1089</v>
      </c>
      <c r="R3362" s="16" t="s">
        <v>21070</v>
      </c>
      <c r="S3362" s="15" t="s">
        <v>21071</v>
      </c>
      <c r="T3362" s="15" t="s">
        <v>21072</v>
      </c>
      <c r="U3362" s="21" t="s">
        <v>72</v>
      </c>
    </row>
    <row r="3363" customFormat="false" ht="15" hidden="false" customHeight="false" outlineLevel="0" collapsed="false">
      <c r="A3363" s="15" t="s">
        <v>19480</v>
      </c>
      <c r="B3363" s="15" t="s">
        <v>21035</v>
      </c>
      <c r="C3363" s="14" t="s">
        <v>21073</v>
      </c>
      <c r="D3363" s="14" t="s">
        <v>21074</v>
      </c>
      <c r="E3363" s="16" t="s">
        <v>21075</v>
      </c>
      <c r="F3363" s="16" t="s">
        <v>21076</v>
      </c>
      <c r="G3363" s="25" t="s">
        <v>39</v>
      </c>
      <c r="H3363" s="18" t="n">
        <v>4</v>
      </c>
      <c r="I3363" s="20" t="n">
        <v>287.57</v>
      </c>
      <c r="J3363" s="20" t="n">
        <v>1214.07</v>
      </c>
      <c r="K3363" s="18" t="n">
        <v>12</v>
      </c>
      <c r="L3363" s="18" t="n">
        <v>1</v>
      </c>
      <c r="M3363" s="18" t="n">
        <v>720</v>
      </c>
      <c r="N3363" s="18" t="n">
        <v>480</v>
      </c>
      <c r="O3363" s="14" t="s">
        <v>1097</v>
      </c>
      <c r="P3363" s="14" t="s">
        <v>1166</v>
      </c>
      <c r="Q3363" s="15" t="s">
        <v>1089</v>
      </c>
      <c r="R3363" s="16" t="s">
        <v>21077</v>
      </c>
      <c r="S3363" s="15" t="s">
        <v>21078</v>
      </c>
      <c r="T3363" s="15" t="s">
        <v>21078</v>
      </c>
      <c r="U3363" s="21" t="s">
        <v>72</v>
      </c>
    </row>
    <row r="3364" customFormat="false" ht="15" hidden="false" customHeight="false" outlineLevel="0" collapsed="false">
      <c r="A3364" s="15" t="s">
        <v>19480</v>
      </c>
      <c r="B3364" s="15" t="s">
        <v>21035</v>
      </c>
      <c r="C3364" s="14" t="s">
        <v>21079</v>
      </c>
      <c r="D3364" s="14" t="s">
        <v>21080</v>
      </c>
      <c r="E3364" s="16" t="s">
        <v>21081</v>
      </c>
      <c r="F3364" s="16" t="s">
        <v>21082</v>
      </c>
      <c r="G3364" s="23" t="s">
        <v>43</v>
      </c>
      <c r="H3364" s="18" t="n">
        <v>2</v>
      </c>
      <c r="I3364" s="20" t="n">
        <v>63.43</v>
      </c>
      <c r="J3364" s="20" t="n">
        <v>154.3</v>
      </c>
      <c r="K3364" s="18" t="n">
        <v>12</v>
      </c>
      <c r="L3364" s="18" t="n">
        <v>2</v>
      </c>
      <c r="M3364" s="18" t="n">
        <v>120</v>
      </c>
      <c r="N3364" s="18" t="n">
        <v>30</v>
      </c>
      <c r="O3364" s="14" t="s">
        <v>1097</v>
      </c>
      <c r="P3364" s="14" t="s">
        <v>84</v>
      </c>
      <c r="Q3364" s="15" t="s">
        <v>1089</v>
      </c>
      <c r="R3364" s="16" t="s">
        <v>21083</v>
      </c>
      <c r="S3364" s="15" t="s">
        <v>21084</v>
      </c>
      <c r="T3364" s="15" t="s">
        <v>21084</v>
      </c>
      <c r="U3364" s="21" t="s">
        <v>72</v>
      </c>
    </row>
    <row r="3365" customFormat="false" ht="15" hidden="false" customHeight="false" outlineLevel="0" collapsed="false">
      <c r="A3365" s="15" t="s">
        <v>19480</v>
      </c>
      <c r="B3365" s="15" t="s">
        <v>21035</v>
      </c>
      <c r="C3365" s="14" t="s">
        <v>21085</v>
      </c>
      <c r="D3365" s="14" t="s">
        <v>21086</v>
      </c>
      <c r="E3365" s="16"/>
      <c r="F3365" s="16" t="s">
        <v>19497</v>
      </c>
      <c r="G3365" s="23" t="s">
        <v>43</v>
      </c>
      <c r="H3365" s="18" t="n">
        <v>4</v>
      </c>
      <c r="I3365" s="20" t="n">
        <v>60.22</v>
      </c>
      <c r="J3365" s="20" t="n">
        <v>159.61</v>
      </c>
      <c r="K3365" s="18" t="n">
        <v>15</v>
      </c>
      <c r="L3365" s="18" t="n">
        <v>3</v>
      </c>
      <c r="M3365" s="18" t="n">
        <v>190</v>
      </c>
      <c r="N3365" s="18" t="n">
        <v>60</v>
      </c>
      <c r="O3365" s="14" t="s">
        <v>1097</v>
      </c>
      <c r="P3365" s="14" t="s">
        <v>118</v>
      </c>
      <c r="Q3365" s="15" t="s">
        <v>1089</v>
      </c>
      <c r="R3365" s="16" t="s">
        <v>21039</v>
      </c>
      <c r="S3365" s="15" t="s">
        <v>21087</v>
      </c>
      <c r="T3365" s="15" t="s">
        <v>21087</v>
      </c>
      <c r="U3365" s="21" t="s">
        <v>72</v>
      </c>
    </row>
    <row r="3366" customFormat="false" ht="15" hidden="false" customHeight="false" outlineLevel="0" collapsed="false">
      <c r="A3366" s="15" t="s">
        <v>19480</v>
      </c>
      <c r="B3366" s="15" t="s">
        <v>21035</v>
      </c>
      <c r="C3366" s="14" t="s">
        <v>21088</v>
      </c>
      <c r="D3366" s="14" t="s">
        <v>21089</v>
      </c>
      <c r="E3366" s="16" t="s">
        <v>21090</v>
      </c>
      <c r="F3366" s="16" t="s">
        <v>21091</v>
      </c>
      <c r="G3366" s="19" t="s">
        <v>41</v>
      </c>
      <c r="H3366" s="18" t="n">
        <v>4</v>
      </c>
      <c r="I3366" s="20" t="n">
        <v>195.1</v>
      </c>
      <c r="J3366" s="20" t="n">
        <v>362.93</v>
      </c>
      <c r="K3366" s="18" t="n">
        <v>8</v>
      </c>
      <c r="L3366" s="18" t="n">
        <v>6</v>
      </c>
      <c r="M3366" s="18" t="n">
        <v>240</v>
      </c>
      <c r="N3366" s="18" t="n">
        <v>120</v>
      </c>
      <c r="O3366" s="14" t="s">
        <v>1097</v>
      </c>
      <c r="P3366" s="14" t="s">
        <v>84</v>
      </c>
      <c r="Q3366" s="15" t="s">
        <v>1089</v>
      </c>
      <c r="R3366" s="16" t="s">
        <v>2056</v>
      </c>
      <c r="S3366" s="15" t="s">
        <v>5844</v>
      </c>
      <c r="T3366" s="15" t="s">
        <v>21092</v>
      </c>
      <c r="U3366" s="21" t="s">
        <v>72</v>
      </c>
    </row>
    <row r="3367" customFormat="false" ht="26.85" hidden="false" customHeight="false" outlineLevel="0" collapsed="false">
      <c r="A3367" s="15" t="s">
        <v>19480</v>
      </c>
      <c r="B3367" s="15" t="s">
        <v>21035</v>
      </c>
      <c r="C3367" s="14" t="s">
        <v>21093</v>
      </c>
      <c r="D3367" s="14" t="s">
        <v>21094</v>
      </c>
      <c r="E3367" s="16" t="s">
        <v>21095</v>
      </c>
      <c r="F3367" s="16" t="s">
        <v>20765</v>
      </c>
      <c r="G3367" s="19" t="s">
        <v>41</v>
      </c>
      <c r="H3367" s="18" t="n">
        <v>4</v>
      </c>
      <c r="I3367" s="20" t="n">
        <v>88.77</v>
      </c>
      <c r="J3367" s="20" t="n">
        <v>207.3</v>
      </c>
      <c r="K3367" s="18" t="n">
        <v>4</v>
      </c>
      <c r="L3367" s="18" t="n">
        <v>2</v>
      </c>
      <c r="M3367" s="18" t="n">
        <v>32</v>
      </c>
      <c r="N3367" s="18" t="n">
        <v>18</v>
      </c>
      <c r="O3367" s="14" t="s">
        <v>1097</v>
      </c>
      <c r="P3367" s="14" t="s">
        <v>352</v>
      </c>
      <c r="Q3367" s="15" t="s">
        <v>1089</v>
      </c>
      <c r="R3367" s="16" t="s">
        <v>2726</v>
      </c>
      <c r="S3367" s="15" t="s">
        <v>20767</v>
      </c>
      <c r="T3367" s="15" t="s">
        <v>21096</v>
      </c>
      <c r="U3367" s="21" t="s">
        <v>72</v>
      </c>
    </row>
    <row r="3368" customFormat="false" ht="15" hidden="false" customHeight="false" outlineLevel="0" collapsed="false">
      <c r="A3368" s="15" t="s">
        <v>19480</v>
      </c>
      <c r="B3368" s="15" t="s">
        <v>21035</v>
      </c>
      <c r="C3368" s="14" t="s">
        <v>21097</v>
      </c>
      <c r="D3368" s="14" t="s">
        <v>21098</v>
      </c>
      <c r="E3368" s="16" t="s">
        <v>21099</v>
      </c>
      <c r="F3368" s="16" t="s">
        <v>21100</v>
      </c>
      <c r="G3368" s="23" t="s">
        <v>43</v>
      </c>
      <c r="H3368" s="18" t="n">
        <v>3</v>
      </c>
      <c r="I3368" s="20" t="n">
        <v>88.79</v>
      </c>
      <c r="J3368" s="20" t="n">
        <v>127.97</v>
      </c>
      <c r="K3368" s="18" t="n">
        <v>6</v>
      </c>
      <c r="L3368" s="18" t="n">
        <v>3</v>
      </c>
      <c r="M3368" s="18" t="n">
        <v>52</v>
      </c>
      <c r="N3368" s="18" t="n">
        <v>44</v>
      </c>
      <c r="O3368" s="14" t="s">
        <v>1088</v>
      </c>
      <c r="P3368" s="14" t="s">
        <v>84</v>
      </c>
      <c r="Q3368" s="15" t="s">
        <v>1089</v>
      </c>
      <c r="R3368" s="16" t="s">
        <v>7387</v>
      </c>
      <c r="S3368" s="15" t="s">
        <v>21101</v>
      </c>
      <c r="T3368" s="15" t="s">
        <v>21101</v>
      </c>
      <c r="U3368" s="21" t="s">
        <v>72</v>
      </c>
    </row>
    <row r="3369" customFormat="false" ht="26.85" hidden="false" customHeight="false" outlineLevel="0" collapsed="false">
      <c r="A3369" s="15" t="s">
        <v>19480</v>
      </c>
      <c r="B3369" s="15" t="s">
        <v>21035</v>
      </c>
      <c r="C3369" s="14" t="s">
        <v>21102</v>
      </c>
      <c r="D3369" s="14" t="s">
        <v>21103</v>
      </c>
      <c r="E3369" s="16" t="s">
        <v>21104</v>
      </c>
      <c r="F3369" s="16" t="s">
        <v>21105</v>
      </c>
      <c r="G3369" s="19" t="s">
        <v>41</v>
      </c>
      <c r="H3369" s="18" t="n">
        <v>4</v>
      </c>
      <c r="I3369" s="20" t="n">
        <v>119.65</v>
      </c>
      <c r="J3369" s="20" t="n">
        <v>251.39</v>
      </c>
      <c r="K3369" s="18" t="n">
        <v>11</v>
      </c>
      <c r="L3369" s="18" t="n">
        <v>2</v>
      </c>
      <c r="M3369" s="18" t="n">
        <v>225</v>
      </c>
      <c r="N3369" s="18" t="n">
        <v>105</v>
      </c>
      <c r="O3369" s="14" t="s">
        <v>1097</v>
      </c>
      <c r="P3369" s="14" t="s">
        <v>3143</v>
      </c>
      <c r="Q3369" s="15" t="s">
        <v>1089</v>
      </c>
      <c r="R3369" s="16" t="s">
        <v>21106</v>
      </c>
      <c r="S3369" s="15" t="s">
        <v>21107</v>
      </c>
      <c r="T3369" s="15" t="s">
        <v>21108</v>
      </c>
      <c r="U3369" s="21" t="s">
        <v>72</v>
      </c>
    </row>
    <row r="3370" customFormat="false" ht="15" hidden="false" customHeight="false" outlineLevel="0" collapsed="false">
      <c r="A3370" s="15" t="s">
        <v>19480</v>
      </c>
      <c r="B3370" s="15" t="s">
        <v>21035</v>
      </c>
      <c r="C3370" s="14" t="s">
        <v>21109</v>
      </c>
      <c r="D3370" s="14" t="s">
        <v>21110</v>
      </c>
      <c r="E3370" s="16" t="s">
        <v>21111</v>
      </c>
      <c r="F3370" s="16" t="s">
        <v>21112</v>
      </c>
      <c r="G3370" s="19" t="s">
        <v>41</v>
      </c>
      <c r="H3370" s="18" t="n">
        <v>4</v>
      </c>
      <c r="I3370" s="20" t="n">
        <v>69.88</v>
      </c>
      <c r="J3370" s="20" t="n">
        <v>265.47</v>
      </c>
      <c r="K3370" s="18" t="n">
        <v>5</v>
      </c>
      <c r="L3370" s="18" t="n">
        <v>11</v>
      </c>
      <c r="M3370" s="18" t="n">
        <v>52</v>
      </c>
      <c r="N3370" s="18" t="n">
        <v>30</v>
      </c>
      <c r="O3370" s="14" t="s">
        <v>6448</v>
      </c>
      <c r="P3370" s="14" t="s">
        <v>84</v>
      </c>
      <c r="Q3370" s="15" t="s">
        <v>1089</v>
      </c>
      <c r="R3370" s="16" t="s">
        <v>21113</v>
      </c>
      <c r="S3370" s="15" t="s">
        <v>21114</v>
      </c>
      <c r="T3370" s="15" t="s">
        <v>21115</v>
      </c>
      <c r="U3370" s="21" t="s">
        <v>72</v>
      </c>
    </row>
    <row r="3371" customFormat="false" ht="15" hidden="false" customHeight="false" outlineLevel="0" collapsed="false">
      <c r="A3371" s="15" t="s">
        <v>19480</v>
      </c>
      <c r="B3371" s="15" t="s">
        <v>21035</v>
      </c>
      <c r="C3371" s="14" t="s">
        <v>21116</v>
      </c>
      <c r="D3371" s="14" t="s">
        <v>21117</v>
      </c>
      <c r="E3371" s="16" t="s">
        <v>21118</v>
      </c>
      <c r="F3371" s="16" t="s">
        <v>21119</v>
      </c>
      <c r="G3371" s="19" t="s">
        <v>41</v>
      </c>
      <c r="H3371" s="18" t="n">
        <v>3</v>
      </c>
      <c r="I3371" s="20" t="n">
        <v>60.7</v>
      </c>
      <c r="J3371" s="20" t="n">
        <v>222.81</v>
      </c>
      <c r="K3371" s="18" t="n">
        <v>16</v>
      </c>
      <c r="L3371" s="18" t="n">
        <v>2</v>
      </c>
      <c r="M3371" s="18" t="n">
        <v>168</v>
      </c>
      <c r="N3371" s="18" t="n">
        <v>68</v>
      </c>
      <c r="O3371" s="14" t="s">
        <v>1097</v>
      </c>
      <c r="P3371" s="14" t="s">
        <v>84</v>
      </c>
      <c r="Q3371" s="15" t="s">
        <v>1089</v>
      </c>
      <c r="R3371" s="16" t="s">
        <v>21120</v>
      </c>
      <c r="S3371" s="15" t="s">
        <v>19792</v>
      </c>
      <c r="T3371" s="15" t="s">
        <v>21121</v>
      </c>
      <c r="U3371" s="21" t="s">
        <v>72</v>
      </c>
    </row>
    <row r="3372" customFormat="false" ht="15" hidden="false" customHeight="false" outlineLevel="0" collapsed="false">
      <c r="A3372" s="15" t="s">
        <v>19480</v>
      </c>
      <c r="B3372" s="15" t="s">
        <v>21035</v>
      </c>
      <c r="C3372" s="14" t="s">
        <v>21122</v>
      </c>
      <c r="D3372" s="14" t="s">
        <v>21123</v>
      </c>
      <c r="E3372" s="16" t="s">
        <v>21124</v>
      </c>
      <c r="F3372" s="16" t="s">
        <v>21125</v>
      </c>
      <c r="G3372" s="19" t="s">
        <v>41</v>
      </c>
      <c r="H3372" s="18" t="n">
        <v>6</v>
      </c>
      <c r="I3372" s="20" t="n">
        <v>174.7</v>
      </c>
      <c r="J3372" s="20" t="n">
        <v>373.53</v>
      </c>
      <c r="K3372" s="18" t="n">
        <v>12</v>
      </c>
      <c r="L3372" s="18" t="n">
        <v>3</v>
      </c>
      <c r="M3372" s="18" t="n">
        <v>144</v>
      </c>
      <c r="N3372" s="18" t="n">
        <v>144</v>
      </c>
      <c r="O3372" s="14" t="s">
        <v>1097</v>
      </c>
      <c r="P3372" s="14" t="s">
        <v>84</v>
      </c>
      <c r="Q3372" s="15" t="s">
        <v>1089</v>
      </c>
      <c r="R3372" s="16" t="s">
        <v>21126</v>
      </c>
      <c r="S3372" s="15" t="s">
        <v>21127</v>
      </c>
      <c r="T3372" s="15" t="s">
        <v>21128</v>
      </c>
      <c r="U3372" s="21" t="s">
        <v>72</v>
      </c>
    </row>
    <row r="3373" customFormat="false" ht="15" hidden="false" customHeight="false" outlineLevel="0" collapsed="false">
      <c r="A3373" s="15" t="s">
        <v>19480</v>
      </c>
      <c r="B3373" s="15" t="s">
        <v>21035</v>
      </c>
      <c r="C3373" s="14" t="s">
        <v>21129</v>
      </c>
      <c r="D3373" s="14" t="s">
        <v>21130</v>
      </c>
      <c r="E3373" s="16" t="s">
        <v>21131</v>
      </c>
      <c r="F3373" s="16" t="s">
        <v>21132</v>
      </c>
      <c r="G3373" s="23" t="s">
        <v>43</v>
      </c>
      <c r="H3373" s="18" t="n">
        <v>2</v>
      </c>
      <c r="I3373" s="20" t="n">
        <v>52.935</v>
      </c>
      <c r="J3373" s="20" t="n">
        <v>72.215</v>
      </c>
      <c r="K3373" s="18" t="n">
        <v>3</v>
      </c>
      <c r="L3373" s="18" t="n">
        <v>3</v>
      </c>
      <c r="M3373" s="18" t="n">
        <v>30</v>
      </c>
      <c r="N3373" s="18" t="n">
        <v>30</v>
      </c>
      <c r="O3373" s="14" t="s">
        <v>1097</v>
      </c>
      <c r="P3373" s="14" t="s">
        <v>84</v>
      </c>
      <c r="Q3373" s="15" t="s">
        <v>1089</v>
      </c>
      <c r="R3373" s="16" t="s">
        <v>21133</v>
      </c>
      <c r="S3373" s="15" t="s">
        <v>21134</v>
      </c>
      <c r="T3373" s="15" t="s">
        <v>21134</v>
      </c>
      <c r="U3373" s="21" t="s">
        <v>72</v>
      </c>
    </row>
    <row r="3374" customFormat="false" ht="15" hidden="false" customHeight="false" outlineLevel="0" collapsed="false">
      <c r="A3374" s="15" t="s">
        <v>19480</v>
      </c>
      <c r="B3374" s="15" t="s">
        <v>21035</v>
      </c>
      <c r="C3374" s="14" t="s">
        <v>21135</v>
      </c>
      <c r="D3374" s="14" t="s">
        <v>21136</v>
      </c>
      <c r="E3374" s="16" t="s">
        <v>21137</v>
      </c>
      <c r="F3374" s="16" t="s">
        <v>21138</v>
      </c>
      <c r="G3374" s="25" t="s">
        <v>39</v>
      </c>
      <c r="H3374" s="18" t="n">
        <v>10</v>
      </c>
      <c r="I3374" s="20" t="n">
        <v>345.43</v>
      </c>
      <c r="J3374" s="20" t="n">
        <v>710.46</v>
      </c>
      <c r="K3374" s="18" t="n">
        <v>10</v>
      </c>
      <c r="L3374" s="18" t="n">
        <v>10</v>
      </c>
      <c r="M3374" s="18" t="n">
        <v>200</v>
      </c>
      <c r="N3374" s="18" t="n">
        <v>200</v>
      </c>
      <c r="O3374" s="14" t="s">
        <v>1088</v>
      </c>
      <c r="P3374" s="14" t="s">
        <v>84</v>
      </c>
      <c r="Q3374" s="15" t="s">
        <v>1089</v>
      </c>
      <c r="R3374" s="16" t="s">
        <v>21139</v>
      </c>
      <c r="S3374" s="15" t="s">
        <v>21140</v>
      </c>
      <c r="T3374" s="15" t="s">
        <v>21141</v>
      </c>
      <c r="U3374" s="21" t="s">
        <v>72</v>
      </c>
    </row>
    <row r="3375" customFormat="false" ht="15" hidden="false" customHeight="false" outlineLevel="0" collapsed="false">
      <c r="A3375" s="15" t="s">
        <v>19480</v>
      </c>
      <c r="B3375" s="15" t="s">
        <v>21035</v>
      </c>
      <c r="C3375" s="14" t="s">
        <v>21142</v>
      </c>
      <c r="D3375" s="14" t="s">
        <v>21143</v>
      </c>
      <c r="E3375" s="16" t="s">
        <v>21144</v>
      </c>
      <c r="F3375" s="16" t="s">
        <v>21145</v>
      </c>
      <c r="G3375" s="23" t="s">
        <v>43</v>
      </c>
      <c r="H3375" s="18" t="n">
        <v>1</v>
      </c>
      <c r="I3375" s="20" t="n">
        <v>45.3</v>
      </c>
      <c r="J3375" s="20" t="n">
        <v>92.77</v>
      </c>
      <c r="K3375" s="18" t="n">
        <v>4</v>
      </c>
      <c r="L3375" s="18" t="n">
        <v>2</v>
      </c>
      <c r="M3375" s="18" t="n">
        <v>80</v>
      </c>
      <c r="N3375" s="18" t="n">
        <v>80</v>
      </c>
      <c r="O3375" s="14" t="s">
        <v>1088</v>
      </c>
      <c r="P3375" s="14" t="s">
        <v>84</v>
      </c>
      <c r="Q3375" s="15" t="s">
        <v>1089</v>
      </c>
      <c r="R3375" s="16" t="s">
        <v>10549</v>
      </c>
      <c r="S3375" s="15" t="s">
        <v>21146</v>
      </c>
      <c r="T3375" s="15" t="s">
        <v>21147</v>
      </c>
      <c r="U3375" s="21" t="s">
        <v>72</v>
      </c>
    </row>
    <row r="3376" customFormat="false" ht="15" hidden="false" customHeight="false" outlineLevel="0" collapsed="false">
      <c r="A3376" s="15" t="s">
        <v>19480</v>
      </c>
      <c r="B3376" s="15" t="s">
        <v>21035</v>
      </c>
      <c r="C3376" s="14" t="s">
        <v>21148</v>
      </c>
      <c r="D3376" s="14" t="s">
        <v>21149</v>
      </c>
      <c r="E3376" s="16" t="s">
        <v>21150</v>
      </c>
      <c r="F3376" s="16" t="s">
        <v>19796</v>
      </c>
      <c r="G3376" s="19" t="s">
        <v>41</v>
      </c>
      <c r="H3376" s="18" t="n">
        <v>6</v>
      </c>
      <c r="I3376" s="20" t="n">
        <v>108.79</v>
      </c>
      <c r="J3376" s="20" t="n">
        <v>251.2</v>
      </c>
      <c r="K3376" s="18" t="n">
        <v>13</v>
      </c>
      <c r="L3376" s="18" t="n">
        <v>9</v>
      </c>
      <c r="M3376" s="18" t="n">
        <v>178</v>
      </c>
      <c r="N3376" s="18" t="n">
        <v>54</v>
      </c>
      <c r="O3376" s="14" t="s">
        <v>1097</v>
      </c>
      <c r="P3376" s="14" t="s">
        <v>118</v>
      </c>
      <c r="Q3376" s="15" t="s">
        <v>1089</v>
      </c>
      <c r="R3376" s="16" t="s">
        <v>10857</v>
      </c>
      <c r="S3376" s="15" t="s">
        <v>1397</v>
      </c>
      <c r="T3376" s="15" t="s">
        <v>21151</v>
      </c>
      <c r="U3376" s="21" t="s">
        <v>72</v>
      </c>
    </row>
    <row r="3377" customFormat="false" ht="15" hidden="false" customHeight="false" outlineLevel="0" collapsed="false">
      <c r="A3377" s="15" t="s">
        <v>21152</v>
      </c>
      <c r="B3377" s="15" t="s">
        <v>21152</v>
      </c>
      <c r="C3377" s="14" t="s">
        <v>21153</v>
      </c>
      <c r="D3377" s="14" t="s">
        <v>21154</v>
      </c>
      <c r="E3377" s="15" t="s">
        <v>21155</v>
      </c>
      <c r="F3377" s="16" t="s">
        <v>21156</v>
      </c>
      <c r="G3377" s="23" t="s">
        <v>43</v>
      </c>
      <c r="H3377" s="18" t="n">
        <v>1</v>
      </c>
      <c r="I3377" s="20" t="n">
        <v>26.68</v>
      </c>
      <c r="J3377" s="20" t="n">
        <v>54.8</v>
      </c>
      <c r="K3377" s="18" t="n">
        <v>2</v>
      </c>
      <c r="L3377" s="18" t="n">
        <v>2</v>
      </c>
      <c r="M3377" s="18" t="n">
        <v>44</v>
      </c>
      <c r="N3377" s="18" t="n">
        <v>44</v>
      </c>
      <c r="O3377" s="14" t="s">
        <v>21157</v>
      </c>
      <c r="P3377" s="14" t="s">
        <v>84</v>
      </c>
      <c r="Q3377" s="15" t="s">
        <v>1089</v>
      </c>
      <c r="R3377" s="16" t="s">
        <v>21158</v>
      </c>
      <c r="S3377" s="15" t="s">
        <v>21159</v>
      </c>
      <c r="T3377" s="15" t="s">
        <v>21160</v>
      </c>
      <c r="U3377" s="21" t="s">
        <v>72</v>
      </c>
    </row>
    <row r="3378" customFormat="false" ht="128.35" hidden="false" customHeight="false" outlineLevel="0" collapsed="false">
      <c r="A3378" s="15" t="s">
        <v>21152</v>
      </c>
      <c r="B3378" s="15" t="s">
        <v>21152</v>
      </c>
      <c r="C3378" s="14" t="s">
        <v>21161</v>
      </c>
      <c r="D3378" s="14" t="s">
        <v>21162</v>
      </c>
      <c r="E3378" s="15" t="s">
        <v>21163</v>
      </c>
      <c r="F3378" s="16" t="s">
        <v>21164</v>
      </c>
      <c r="G3378" s="25" t="s">
        <v>39</v>
      </c>
      <c r="H3378" s="18" t="n">
        <v>8</v>
      </c>
      <c r="I3378" s="20" t="n">
        <v>170.43</v>
      </c>
      <c r="J3378" s="20" t="n">
        <v>305.64</v>
      </c>
      <c r="K3378" s="18" t="n">
        <v>10</v>
      </c>
      <c r="L3378" s="18" t="n">
        <v>6</v>
      </c>
      <c r="M3378" s="18" t="n">
        <v>151</v>
      </c>
      <c r="N3378" s="18" t="n">
        <v>122</v>
      </c>
      <c r="O3378" s="14" t="s">
        <v>21165</v>
      </c>
      <c r="P3378" s="14" t="s">
        <v>118</v>
      </c>
      <c r="Q3378" s="15" t="s">
        <v>1089</v>
      </c>
      <c r="R3378" s="16" t="s">
        <v>16357</v>
      </c>
      <c r="S3378" s="15" t="s">
        <v>21166</v>
      </c>
      <c r="T3378" s="15" t="s">
        <v>21166</v>
      </c>
      <c r="U3378" s="21" t="s">
        <v>72</v>
      </c>
    </row>
    <row r="3379" customFormat="false" ht="90.25" hidden="false" customHeight="false" outlineLevel="0" collapsed="false">
      <c r="A3379" s="15" t="s">
        <v>21152</v>
      </c>
      <c r="B3379" s="15" t="s">
        <v>21152</v>
      </c>
      <c r="C3379" s="14" t="s">
        <v>21167</v>
      </c>
      <c r="D3379" s="14" t="s">
        <v>21168</v>
      </c>
      <c r="E3379" s="15" t="s">
        <v>21169</v>
      </c>
      <c r="F3379" s="16" t="s">
        <v>21170</v>
      </c>
      <c r="G3379" s="23" t="s">
        <v>43</v>
      </c>
      <c r="H3379" s="18" t="n">
        <v>4</v>
      </c>
      <c r="I3379" s="20" t="n">
        <v>87.92</v>
      </c>
      <c r="J3379" s="20" t="n">
        <v>154.78</v>
      </c>
      <c r="K3379" s="18" t="n">
        <v>6</v>
      </c>
      <c r="L3379" s="18" t="n">
        <v>7</v>
      </c>
      <c r="M3379" s="18" t="n">
        <v>107</v>
      </c>
      <c r="N3379" s="18" t="n">
        <v>90</v>
      </c>
      <c r="O3379" s="14" t="s">
        <v>21171</v>
      </c>
      <c r="P3379" s="14" t="s">
        <v>118</v>
      </c>
      <c r="Q3379" s="15" t="s">
        <v>1089</v>
      </c>
      <c r="R3379" s="16" t="s">
        <v>175</v>
      </c>
      <c r="S3379" s="15" t="s">
        <v>21172</v>
      </c>
      <c r="T3379" s="15" t="s">
        <v>21172</v>
      </c>
      <c r="U3379" s="21" t="s">
        <v>72</v>
      </c>
    </row>
    <row r="3380" customFormat="false" ht="26.85" hidden="false" customHeight="false" outlineLevel="0" collapsed="false">
      <c r="A3380" s="15" t="s">
        <v>21152</v>
      </c>
      <c r="B3380" s="15" t="s">
        <v>21152</v>
      </c>
      <c r="C3380" s="14" t="s">
        <v>21173</v>
      </c>
      <c r="D3380" s="14" t="s">
        <v>21174</v>
      </c>
      <c r="E3380" s="15" t="s">
        <v>21175</v>
      </c>
      <c r="F3380" s="16" t="s">
        <v>21176</v>
      </c>
      <c r="G3380" s="23" t="s">
        <v>43</v>
      </c>
      <c r="H3380" s="18" t="n">
        <v>1</v>
      </c>
      <c r="I3380" s="20" t="n">
        <v>48.77</v>
      </c>
      <c r="J3380" s="20" t="n">
        <v>55.68</v>
      </c>
      <c r="K3380" s="18" t="n">
        <v>5</v>
      </c>
      <c r="L3380" s="18"/>
      <c r="M3380" s="18" t="n">
        <v>200</v>
      </c>
      <c r="N3380" s="18" t="n">
        <v>80</v>
      </c>
      <c r="O3380" s="14" t="s">
        <v>21177</v>
      </c>
      <c r="P3380" s="14" t="s">
        <v>352</v>
      </c>
      <c r="Q3380" s="15" t="s">
        <v>1089</v>
      </c>
      <c r="R3380" s="16" t="s">
        <v>21178</v>
      </c>
      <c r="S3380" s="15" t="s">
        <v>21179</v>
      </c>
      <c r="T3380" s="15" t="s">
        <v>21180</v>
      </c>
      <c r="U3380" s="21" t="s">
        <v>72</v>
      </c>
    </row>
    <row r="3381" customFormat="false" ht="39.55" hidden="false" customHeight="false" outlineLevel="0" collapsed="false">
      <c r="A3381" s="15" t="s">
        <v>21152</v>
      </c>
      <c r="B3381" s="15" t="s">
        <v>21152</v>
      </c>
      <c r="C3381" s="14" t="s">
        <v>21181</v>
      </c>
      <c r="D3381" s="14" t="s">
        <v>21182</v>
      </c>
      <c r="E3381" s="15" t="s">
        <v>21183</v>
      </c>
      <c r="F3381" s="16" t="s">
        <v>21184</v>
      </c>
      <c r="G3381" s="25" t="s">
        <v>39</v>
      </c>
      <c r="H3381" s="18" t="n">
        <v>11</v>
      </c>
      <c r="I3381" s="20" t="n">
        <v>215.28</v>
      </c>
      <c r="J3381" s="20" t="n">
        <v>396.42</v>
      </c>
      <c r="K3381" s="18" t="n">
        <v>12</v>
      </c>
      <c r="L3381" s="18" t="n">
        <v>14</v>
      </c>
      <c r="M3381" s="18" t="n">
        <v>191</v>
      </c>
      <c r="N3381" s="18" t="n">
        <v>80</v>
      </c>
      <c r="O3381" s="14" t="s">
        <v>21185</v>
      </c>
      <c r="P3381" s="14" t="s">
        <v>352</v>
      </c>
      <c r="Q3381" s="15" t="s">
        <v>1089</v>
      </c>
      <c r="R3381" s="16" t="s">
        <v>21186</v>
      </c>
      <c r="S3381" s="15" t="s">
        <v>21187</v>
      </c>
      <c r="T3381" s="15" t="s">
        <v>21188</v>
      </c>
      <c r="U3381" s="21" t="s">
        <v>72</v>
      </c>
    </row>
    <row r="3382" customFormat="false" ht="64.9" hidden="false" customHeight="false" outlineLevel="0" collapsed="false">
      <c r="A3382" s="15" t="s">
        <v>21152</v>
      </c>
      <c r="B3382" s="15" t="s">
        <v>21152</v>
      </c>
      <c r="C3382" s="14" t="s">
        <v>21189</v>
      </c>
      <c r="D3382" s="14" t="s">
        <v>21190</v>
      </c>
      <c r="E3382" s="15" t="s">
        <v>21191</v>
      </c>
      <c r="F3382" s="16" t="s">
        <v>21184</v>
      </c>
      <c r="G3382" s="25" t="s">
        <v>39</v>
      </c>
      <c r="H3382" s="18" t="n">
        <v>10</v>
      </c>
      <c r="I3382" s="20" t="n">
        <v>289.47</v>
      </c>
      <c r="J3382" s="20" t="n">
        <v>431.75</v>
      </c>
      <c r="K3382" s="18" t="n">
        <v>9</v>
      </c>
      <c r="L3382" s="18" t="n">
        <v>7</v>
      </c>
      <c r="M3382" s="18" t="n">
        <v>248</v>
      </c>
      <c r="N3382" s="18" t="n">
        <v>179</v>
      </c>
      <c r="O3382" s="14" t="s">
        <v>21192</v>
      </c>
      <c r="P3382" s="14" t="s">
        <v>118</v>
      </c>
      <c r="Q3382" s="15" t="s">
        <v>1089</v>
      </c>
      <c r="R3382" s="16" t="s">
        <v>21193</v>
      </c>
      <c r="S3382" s="15" t="s">
        <v>21187</v>
      </c>
      <c r="T3382" s="15" t="s">
        <v>21194</v>
      </c>
      <c r="U3382" s="21" t="s">
        <v>72</v>
      </c>
    </row>
    <row r="3383" customFormat="false" ht="15" hidden="false" customHeight="false" outlineLevel="0" collapsed="false">
      <c r="A3383" s="15" t="s">
        <v>21152</v>
      </c>
      <c r="B3383" s="15" t="s">
        <v>21152</v>
      </c>
      <c r="C3383" s="14" t="s">
        <v>21195</v>
      </c>
      <c r="D3383" s="14" t="s">
        <v>21196</v>
      </c>
      <c r="E3383" s="16" t="s">
        <v>21197</v>
      </c>
      <c r="F3383" s="16"/>
      <c r="G3383" s="23" t="s">
        <v>43</v>
      </c>
      <c r="H3383" s="18" t="n">
        <v>1</v>
      </c>
      <c r="I3383" s="20" t="n">
        <v>57.38</v>
      </c>
      <c r="J3383" s="20" t="n">
        <v>81.59</v>
      </c>
      <c r="K3383" s="18" t="n">
        <v>2</v>
      </c>
      <c r="L3383" s="18" t="n">
        <v>1</v>
      </c>
      <c r="M3383" s="18" t="n">
        <v>94</v>
      </c>
      <c r="N3383" s="18" t="n">
        <v>94</v>
      </c>
      <c r="O3383" s="14" t="s">
        <v>21198</v>
      </c>
      <c r="P3383" s="14" t="s">
        <v>84</v>
      </c>
      <c r="Q3383" s="15" t="s">
        <v>1089</v>
      </c>
      <c r="R3383" s="16" t="s">
        <v>21199</v>
      </c>
      <c r="S3383" s="15" t="s">
        <v>21200</v>
      </c>
      <c r="T3383" s="15" t="s">
        <v>21200</v>
      </c>
      <c r="U3383" s="21" t="s">
        <v>72</v>
      </c>
    </row>
    <row r="3384" customFormat="false" ht="64.9" hidden="false" customHeight="false" outlineLevel="0" collapsed="false">
      <c r="A3384" s="15" t="s">
        <v>21152</v>
      </c>
      <c r="B3384" s="15" t="s">
        <v>21152</v>
      </c>
      <c r="C3384" s="14" t="s">
        <v>21201</v>
      </c>
      <c r="D3384" s="14" t="s">
        <v>21202</v>
      </c>
      <c r="E3384" s="15" t="s">
        <v>21203</v>
      </c>
      <c r="F3384" s="16" t="s">
        <v>21204</v>
      </c>
      <c r="G3384" s="19" t="s">
        <v>41</v>
      </c>
      <c r="H3384" s="18" t="n">
        <v>5</v>
      </c>
      <c r="I3384" s="20" t="n">
        <v>71.24</v>
      </c>
      <c r="J3384" s="20" t="n">
        <v>172.72</v>
      </c>
      <c r="K3384" s="18" t="n">
        <v>5</v>
      </c>
      <c r="L3384" s="18" t="n">
        <v>11</v>
      </c>
      <c r="M3384" s="18" t="n">
        <v>57</v>
      </c>
      <c r="N3384" s="18" t="n">
        <v>30</v>
      </c>
      <c r="O3384" s="14" t="s">
        <v>21205</v>
      </c>
      <c r="P3384" s="14" t="s">
        <v>118</v>
      </c>
      <c r="Q3384" s="15" t="s">
        <v>1089</v>
      </c>
      <c r="R3384" s="16" t="s">
        <v>21206</v>
      </c>
      <c r="S3384" s="15" t="s">
        <v>21207</v>
      </c>
      <c r="T3384" s="15" t="s">
        <v>21207</v>
      </c>
      <c r="U3384" s="21" t="s">
        <v>72</v>
      </c>
    </row>
    <row r="3385" customFormat="false" ht="39.55" hidden="false" customHeight="false" outlineLevel="0" collapsed="false">
      <c r="A3385" s="15" t="s">
        <v>21152</v>
      </c>
      <c r="B3385" s="15" t="s">
        <v>21152</v>
      </c>
      <c r="C3385" s="14" t="s">
        <v>21208</v>
      </c>
      <c r="D3385" s="14" t="s">
        <v>21209</v>
      </c>
      <c r="E3385" s="15" t="s">
        <v>21210</v>
      </c>
      <c r="F3385" s="16" t="s">
        <v>21211</v>
      </c>
      <c r="G3385" s="23" t="s">
        <v>43</v>
      </c>
      <c r="H3385" s="18" t="n">
        <v>4</v>
      </c>
      <c r="I3385" s="20" t="n">
        <v>93.85</v>
      </c>
      <c r="J3385" s="20" t="n">
        <v>164.35</v>
      </c>
      <c r="K3385" s="18" t="n">
        <v>10</v>
      </c>
      <c r="L3385" s="18" t="n">
        <v>7</v>
      </c>
      <c r="M3385" s="18" t="n">
        <v>158</v>
      </c>
      <c r="N3385" s="18" t="n">
        <v>99</v>
      </c>
      <c r="O3385" s="14" t="s">
        <v>21212</v>
      </c>
      <c r="P3385" s="14" t="s">
        <v>17538</v>
      </c>
      <c r="Q3385" s="15" t="s">
        <v>1089</v>
      </c>
      <c r="R3385" s="16" t="s">
        <v>21213</v>
      </c>
      <c r="S3385" s="15" t="s">
        <v>21214</v>
      </c>
      <c r="T3385" s="15" t="s">
        <v>21214</v>
      </c>
      <c r="U3385" s="21" t="s">
        <v>72</v>
      </c>
    </row>
    <row r="3386" customFormat="false" ht="15" hidden="false" customHeight="false" outlineLevel="0" collapsed="false">
      <c r="A3386" s="15" t="s">
        <v>21152</v>
      </c>
      <c r="B3386" s="15" t="s">
        <v>21152</v>
      </c>
      <c r="C3386" s="14" t="s">
        <v>21215</v>
      </c>
      <c r="D3386" s="14" t="s">
        <v>21216</v>
      </c>
      <c r="E3386" s="15" t="s">
        <v>21217</v>
      </c>
      <c r="F3386" s="16" t="s">
        <v>21218</v>
      </c>
      <c r="G3386" s="23" t="s">
        <v>43</v>
      </c>
      <c r="H3386" s="18" t="n">
        <v>2</v>
      </c>
      <c r="I3386" s="20" t="n">
        <v>36.07</v>
      </c>
      <c r="J3386" s="20" t="n">
        <v>62.65</v>
      </c>
      <c r="K3386" s="18" t="n">
        <v>3</v>
      </c>
      <c r="L3386" s="18" t="n">
        <v>2</v>
      </c>
      <c r="M3386" s="18" t="n">
        <v>38</v>
      </c>
      <c r="N3386" s="18" t="n">
        <v>9</v>
      </c>
      <c r="O3386" s="14" t="s">
        <v>21219</v>
      </c>
      <c r="P3386" s="14" t="s">
        <v>84</v>
      </c>
      <c r="Q3386" s="15" t="s">
        <v>1089</v>
      </c>
      <c r="R3386" s="16" t="s">
        <v>19031</v>
      </c>
      <c r="S3386" s="15" t="s">
        <v>21220</v>
      </c>
      <c r="T3386" s="15" t="s">
        <v>21220</v>
      </c>
      <c r="U3386" s="21" t="s">
        <v>72</v>
      </c>
    </row>
    <row r="3387" customFormat="false" ht="39.55" hidden="false" customHeight="false" outlineLevel="0" collapsed="false">
      <c r="A3387" s="15" t="s">
        <v>21152</v>
      </c>
      <c r="B3387" s="15" t="s">
        <v>21152</v>
      </c>
      <c r="C3387" s="14" t="s">
        <v>21221</v>
      </c>
      <c r="D3387" s="14" t="s">
        <v>21222</v>
      </c>
      <c r="E3387" s="15" t="s">
        <v>21223</v>
      </c>
      <c r="F3387" s="16" t="s">
        <v>21224</v>
      </c>
      <c r="G3387" s="25" t="s">
        <v>39</v>
      </c>
      <c r="H3387" s="18" t="n">
        <v>6</v>
      </c>
      <c r="I3387" s="20" t="n">
        <v>194.52</v>
      </c>
      <c r="J3387" s="20" t="n">
        <v>418.67</v>
      </c>
      <c r="K3387" s="18" t="n">
        <v>7</v>
      </c>
      <c r="L3387" s="18" t="n">
        <v>13</v>
      </c>
      <c r="M3387" s="18" t="n">
        <v>175</v>
      </c>
      <c r="N3387" s="18" t="n">
        <v>143</v>
      </c>
      <c r="O3387" s="14" t="s">
        <v>21225</v>
      </c>
      <c r="P3387" s="14" t="s">
        <v>84</v>
      </c>
      <c r="Q3387" s="15" t="s">
        <v>1089</v>
      </c>
      <c r="R3387" s="16" t="s">
        <v>21226</v>
      </c>
      <c r="S3387" s="15" t="s">
        <v>21227</v>
      </c>
      <c r="T3387" s="15" t="s">
        <v>21228</v>
      </c>
      <c r="U3387" s="21" t="s">
        <v>72</v>
      </c>
    </row>
    <row r="3388" customFormat="false" ht="77.6" hidden="false" customHeight="false" outlineLevel="0" collapsed="false">
      <c r="A3388" s="15" t="s">
        <v>21152</v>
      </c>
      <c r="B3388" s="15" t="s">
        <v>21152</v>
      </c>
      <c r="C3388" s="14" t="s">
        <v>21229</v>
      </c>
      <c r="D3388" s="14" t="s">
        <v>21230</v>
      </c>
      <c r="E3388" s="15" t="s">
        <v>21231</v>
      </c>
      <c r="F3388" s="16" t="s">
        <v>21232</v>
      </c>
      <c r="G3388" s="19" t="s">
        <v>41</v>
      </c>
      <c r="H3388" s="18" t="n">
        <v>5</v>
      </c>
      <c r="I3388" s="20" t="n">
        <v>89.34</v>
      </c>
      <c r="J3388" s="20" t="n">
        <v>217.12</v>
      </c>
      <c r="K3388" s="18" t="n">
        <v>14</v>
      </c>
      <c r="L3388" s="18" t="n">
        <v>18</v>
      </c>
      <c r="M3388" s="18" t="n">
        <v>199</v>
      </c>
      <c r="N3388" s="18" t="n">
        <v>153</v>
      </c>
      <c r="O3388" s="14" t="s">
        <v>21233</v>
      </c>
      <c r="P3388" s="14" t="s">
        <v>84</v>
      </c>
      <c r="Q3388" s="15" t="s">
        <v>1089</v>
      </c>
      <c r="R3388" s="16" t="s">
        <v>7328</v>
      </c>
      <c r="S3388" s="15" t="s">
        <v>21234</v>
      </c>
      <c r="T3388" s="15" t="s">
        <v>21235</v>
      </c>
      <c r="U3388" s="21" t="s">
        <v>72</v>
      </c>
    </row>
    <row r="3389" customFormat="false" ht="39.55" hidden="false" customHeight="false" outlineLevel="0" collapsed="false">
      <c r="A3389" s="15" t="s">
        <v>21152</v>
      </c>
      <c r="B3389" s="15" t="s">
        <v>21152</v>
      </c>
      <c r="C3389" s="14" t="s">
        <v>21236</v>
      </c>
      <c r="D3389" s="14" t="s">
        <v>21237</v>
      </c>
      <c r="E3389" s="15" t="s">
        <v>21238</v>
      </c>
      <c r="F3389" s="16" t="s">
        <v>21239</v>
      </c>
      <c r="G3389" s="19" t="s">
        <v>41</v>
      </c>
      <c r="H3389" s="18" t="n">
        <v>4</v>
      </c>
      <c r="I3389" s="20" t="n">
        <v>117.43</v>
      </c>
      <c r="J3389" s="20" t="n">
        <v>262.93</v>
      </c>
      <c r="K3389" s="18" t="n">
        <v>10</v>
      </c>
      <c r="L3389" s="18" t="n">
        <v>10</v>
      </c>
      <c r="M3389" s="18" t="n">
        <v>136</v>
      </c>
      <c r="N3389" s="18" t="n">
        <v>105</v>
      </c>
      <c r="O3389" s="14" t="s">
        <v>21240</v>
      </c>
      <c r="P3389" s="14" t="s">
        <v>118</v>
      </c>
      <c r="Q3389" s="15" t="s">
        <v>1089</v>
      </c>
      <c r="R3389" s="16" t="s">
        <v>14687</v>
      </c>
      <c r="S3389" s="15" t="s">
        <v>21241</v>
      </c>
      <c r="T3389" s="15" t="s">
        <v>21241</v>
      </c>
      <c r="U3389" s="21" t="s">
        <v>72</v>
      </c>
    </row>
    <row r="3390" customFormat="false" ht="15" hidden="false" customHeight="false" outlineLevel="0" collapsed="false">
      <c r="A3390" s="15" t="s">
        <v>21152</v>
      </c>
      <c r="B3390" s="15" t="s">
        <v>21152</v>
      </c>
      <c r="C3390" s="14" t="s">
        <v>21242</v>
      </c>
      <c r="D3390" s="14" t="s">
        <v>21243</v>
      </c>
      <c r="E3390" s="15" t="s">
        <v>21244</v>
      </c>
      <c r="F3390" s="16" t="s">
        <v>21245</v>
      </c>
      <c r="G3390" s="23" t="s">
        <v>43</v>
      </c>
      <c r="H3390" s="18" t="n">
        <v>2</v>
      </c>
      <c r="I3390" s="20" t="n">
        <v>30.03</v>
      </c>
      <c r="J3390" s="20" t="n">
        <v>58.24</v>
      </c>
      <c r="K3390" s="18" t="n">
        <v>2</v>
      </c>
      <c r="L3390" s="18" t="n">
        <v>2</v>
      </c>
      <c r="M3390" s="18" t="n">
        <v>24</v>
      </c>
      <c r="N3390" s="18" t="n">
        <v>24</v>
      </c>
      <c r="O3390" s="14" t="s">
        <v>17569</v>
      </c>
      <c r="P3390" s="14" t="s">
        <v>84</v>
      </c>
      <c r="Q3390" s="15" t="s">
        <v>1089</v>
      </c>
      <c r="R3390" s="16" t="s">
        <v>21246</v>
      </c>
      <c r="S3390" s="15" t="s">
        <v>21247</v>
      </c>
      <c r="T3390" s="15" t="s">
        <v>21247</v>
      </c>
      <c r="U3390" s="21" t="s">
        <v>72</v>
      </c>
    </row>
    <row r="3391" customFormat="false" ht="64.9" hidden="false" customHeight="false" outlineLevel="0" collapsed="false">
      <c r="A3391" s="15" t="s">
        <v>21152</v>
      </c>
      <c r="B3391" s="15" t="s">
        <v>21152</v>
      </c>
      <c r="C3391" s="14" t="s">
        <v>21248</v>
      </c>
      <c r="D3391" s="14" t="s">
        <v>21249</v>
      </c>
      <c r="E3391" s="15" t="s">
        <v>21250</v>
      </c>
      <c r="F3391" s="16" t="s">
        <v>21251</v>
      </c>
      <c r="G3391" s="19" t="s">
        <v>41</v>
      </c>
      <c r="H3391" s="18" t="n">
        <v>7</v>
      </c>
      <c r="I3391" s="20" t="n">
        <v>191.6</v>
      </c>
      <c r="J3391" s="20" t="n">
        <v>307.92</v>
      </c>
      <c r="K3391" s="18" t="n">
        <v>7</v>
      </c>
      <c r="L3391" s="18" t="n">
        <v>4</v>
      </c>
      <c r="M3391" s="18" t="n">
        <v>157</v>
      </c>
      <c r="N3391" s="18" t="n">
        <v>136</v>
      </c>
      <c r="O3391" s="14" t="s">
        <v>21252</v>
      </c>
      <c r="P3391" s="14" t="s">
        <v>118</v>
      </c>
      <c r="Q3391" s="15" t="s">
        <v>1089</v>
      </c>
      <c r="R3391" s="16" t="s">
        <v>21253</v>
      </c>
      <c r="S3391" s="15" t="s">
        <v>5191</v>
      </c>
      <c r="T3391" s="15" t="s">
        <v>21254</v>
      </c>
      <c r="U3391" s="21" t="s">
        <v>72</v>
      </c>
    </row>
    <row r="3392" customFormat="false" ht="15" hidden="false" customHeight="false" outlineLevel="0" collapsed="false">
      <c r="A3392" s="15" t="s">
        <v>21152</v>
      </c>
      <c r="B3392" s="15" t="s">
        <v>21152</v>
      </c>
      <c r="C3392" s="14" t="s">
        <v>21255</v>
      </c>
      <c r="D3392" s="14" t="s">
        <v>21256</v>
      </c>
      <c r="E3392" s="15" t="s">
        <v>21257</v>
      </c>
      <c r="F3392" s="16" t="s">
        <v>21258</v>
      </c>
      <c r="G3392" s="23" t="s">
        <v>43</v>
      </c>
      <c r="H3392" s="18" t="n">
        <v>3</v>
      </c>
      <c r="I3392" s="20" t="n">
        <v>58.54</v>
      </c>
      <c r="J3392" s="20" t="n">
        <v>90</v>
      </c>
      <c r="K3392" s="18" t="n">
        <v>6</v>
      </c>
      <c r="L3392" s="18" t="n">
        <v>1</v>
      </c>
      <c r="M3392" s="18" t="n">
        <v>120</v>
      </c>
      <c r="N3392" s="18" t="n">
        <v>80</v>
      </c>
      <c r="O3392" s="14" t="s">
        <v>1088</v>
      </c>
      <c r="P3392" s="14" t="s">
        <v>84</v>
      </c>
      <c r="Q3392" s="15" t="s">
        <v>1089</v>
      </c>
      <c r="R3392" s="16" t="s">
        <v>21259</v>
      </c>
      <c r="S3392" s="15" t="s">
        <v>21260</v>
      </c>
      <c r="T3392" s="15" t="s">
        <v>21260</v>
      </c>
      <c r="U3392" s="21" t="s">
        <v>72</v>
      </c>
    </row>
    <row r="3393" customFormat="false" ht="15" hidden="false" customHeight="false" outlineLevel="0" collapsed="false">
      <c r="A3393" s="15" t="s">
        <v>21152</v>
      </c>
      <c r="B3393" s="15" t="s">
        <v>21152</v>
      </c>
      <c r="C3393" s="14" t="s">
        <v>21261</v>
      </c>
      <c r="D3393" s="14" t="s">
        <v>21262</v>
      </c>
      <c r="E3393" s="15" t="s">
        <v>21263</v>
      </c>
      <c r="F3393" s="16" t="s">
        <v>21264</v>
      </c>
      <c r="G3393" s="23" t="s">
        <v>43</v>
      </c>
      <c r="H3393" s="18" t="n">
        <v>2</v>
      </c>
      <c r="I3393" s="20" t="n">
        <v>68.18</v>
      </c>
      <c r="J3393" s="20" t="n">
        <v>94.01</v>
      </c>
      <c r="K3393" s="18" t="n">
        <v>2</v>
      </c>
      <c r="L3393" s="18" t="n">
        <v>3</v>
      </c>
      <c r="M3393" s="18" t="n">
        <v>40</v>
      </c>
      <c r="N3393" s="18" t="n">
        <v>40</v>
      </c>
      <c r="O3393" s="14" t="s">
        <v>1126</v>
      </c>
      <c r="P3393" s="14" t="s">
        <v>84</v>
      </c>
      <c r="Q3393" s="15" t="s">
        <v>1089</v>
      </c>
      <c r="R3393" s="16" t="s">
        <v>21265</v>
      </c>
      <c r="S3393" s="15" t="s">
        <v>21266</v>
      </c>
      <c r="T3393" s="15" t="s">
        <v>21266</v>
      </c>
      <c r="U3393" s="21" t="s">
        <v>72</v>
      </c>
    </row>
    <row r="3394" customFormat="false" ht="39.55" hidden="false" customHeight="false" outlineLevel="0" collapsed="false">
      <c r="A3394" s="15" t="s">
        <v>21152</v>
      </c>
      <c r="B3394" s="15" t="s">
        <v>21152</v>
      </c>
      <c r="C3394" s="14" t="s">
        <v>21267</v>
      </c>
      <c r="D3394" s="14" t="s">
        <v>21268</v>
      </c>
      <c r="E3394" s="15" t="s">
        <v>21269</v>
      </c>
      <c r="F3394" s="16" t="s">
        <v>21270</v>
      </c>
      <c r="G3394" s="25" t="s">
        <v>39</v>
      </c>
      <c r="H3394" s="18" t="n">
        <v>16</v>
      </c>
      <c r="I3394" s="20" t="n">
        <v>466.97</v>
      </c>
      <c r="J3394" s="20" t="n">
        <v>1370.9</v>
      </c>
      <c r="K3394" s="18" t="n">
        <v>15</v>
      </c>
      <c r="L3394" s="18" t="n">
        <v>22</v>
      </c>
      <c r="M3394" s="18" t="n">
        <v>352</v>
      </c>
      <c r="N3394" s="18" t="n">
        <v>119</v>
      </c>
      <c r="O3394" s="14" t="s">
        <v>21271</v>
      </c>
      <c r="P3394" s="14" t="s">
        <v>118</v>
      </c>
      <c r="Q3394" s="15" t="s">
        <v>1089</v>
      </c>
      <c r="R3394" s="16" t="s">
        <v>21272</v>
      </c>
      <c r="S3394" s="15" t="s">
        <v>21273</v>
      </c>
      <c r="T3394" s="15" t="s">
        <v>21274</v>
      </c>
      <c r="U3394" s="21" t="s">
        <v>72</v>
      </c>
    </row>
    <row r="3395" customFormat="false" ht="26.85" hidden="false" customHeight="false" outlineLevel="0" collapsed="false">
      <c r="A3395" s="15" t="s">
        <v>21152</v>
      </c>
      <c r="B3395" s="15" t="s">
        <v>21152</v>
      </c>
      <c r="C3395" s="14" t="s">
        <v>21275</v>
      </c>
      <c r="D3395" s="14" t="s">
        <v>21276</v>
      </c>
      <c r="E3395" s="15" t="s">
        <v>21277</v>
      </c>
      <c r="F3395" s="16" t="s">
        <v>21278</v>
      </c>
      <c r="G3395" s="23" t="s">
        <v>43</v>
      </c>
      <c r="H3395" s="18" t="n">
        <v>4</v>
      </c>
      <c r="I3395" s="20" t="n">
        <v>101.31</v>
      </c>
      <c r="J3395" s="20" t="n">
        <v>187.28</v>
      </c>
      <c r="K3395" s="18" t="n">
        <v>12</v>
      </c>
      <c r="L3395" s="18" t="n">
        <v>6</v>
      </c>
      <c r="M3395" s="18" t="n">
        <v>314</v>
      </c>
      <c r="N3395" s="18" t="n">
        <v>261</v>
      </c>
      <c r="O3395" s="14" t="s">
        <v>21279</v>
      </c>
      <c r="P3395" s="14" t="s">
        <v>118</v>
      </c>
      <c r="Q3395" s="15" t="s">
        <v>1089</v>
      </c>
      <c r="R3395" s="16" t="s">
        <v>21280</v>
      </c>
      <c r="S3395" s="15" t="s">
        <v>21281</v>
      </c>
      <c r="T3395" s="15" t="s">
        <v>21281</v>
      </c>
      <c r="U3395" s="21" t="s">
        <v>72</v>
      </c>
    </row>
    <row r="3396" customFormat="false" ht="26.85" hidden="false" customHeight="false" outlineLevel="0" collapsed="false">
      <c r="A3396" s="15" t="s">
        <v>21152</v>
      </c>
      <c r="B3396" s="15" t="s">
        <v>21152</v>
      </c>
      <c r="C3396" s="14" t="s">
        <v>21282</v>
      </c>
      <c r="D3396" s="14" t="s">
        <v>21283</v>
      </c>
      <c r="E3396" s="15" t="s">
        <v>21284</v>
      </c>
      <c r="F3396" s="16" t="s">
        <v>21285</v>
      </c>
      <c r="G3396" s="23" t="s">
        <v>43</v>
      </c>
      <c r="H3396" s="18" t="n">
        <v>4</v>
      </c>
      <c r="I3396" s="20" t="n">
        <v>78.3</v>
      </c>
      <c r="J3396" s="20" t="n">
        <v>172.35</v>
      </c>
      <c r="K3396" s="18" t="n">
        <v>3</v>
      </c>
      <c r="L3396" s="18" t="n">
        <v>2</v>
      </c>
      <c r="M3396" s="18" t="n">
        <v>60</v>
      </c>
      <c r="N3396" s="18" t="n">
        <v>60</v>
      </c>
      <c r="O3396" s="14" t="s">
        <v>1126</v>
      </c>
      <c r="P3396" s="14" t="s">
        <v>84</v>
      </c>
      <c r="Q3396" s="15" t="s">
        <v>1089</v>
      </c>
      <c r="R3396" s="16" t="s">
        <v>6114</v>
      </c>
      <c r="S3396" s="15" t="s">
        <v>8617</v>
      </c>
      <c r="T3396" s="15" t="s">
        <v>21286</v>
      </c>
      <c r="U3396" s="21" t="s">
        <v>72</v>
      </c>
    </row>
    <row r="3397" customFormat="false" ht="26.85" hidden="false" customHeight="false" outlineLevel="0" collapsed="false">
      <c r="A3397" s="15" t="s">
        <v>21152</v>
      </c>
      <c r="B3397" s="15" t="s">
        <v>21152</v>
      </c>
      <c r="C3397" s="14" t="s">
        <v>21287</v>
      </c>
      <c r="D3397" s="14" t="s">
        <v>21288</v>
      </c>
      <c r="E3397" s="15" t="s">
        <v>21289</v>
      </c>
      <c r="F3397" s="16" t="s">
        <v>21290</v>
      </c>
      <c r="G3397" s="23" t="s">
        <v>43</v>
      </c>
      <c r="H3397" s="18" t="n">
        <v>2</v>
      </c>
      <c r="I3397" s="20" t="n">
        <v>34.72</v>
      </c>
      <c r="J3397" s="20" t="n">
        <v>95.2</v>
      </c>
      <c r="K3397" s="18" t="n">
        <v>5</v>
      </c>
      <c r="L3397" s="18" t="n">
        <v>5</v>
      </c>
      <c r="M3397" s="18" t="n">
        <v>71</v>
      </c>
      <c r="N3397" s="18" t="n">
        <v>28</v>
      </c>
      <c r="O3397" s="14" t="s">
        <v>21291</v>
      </c>
      <c r="P3397" s="14" t="s">
        <v>84</v>
      </c>
      <c r="Q3397" s="15" t="s">
        <v>1089</v>
      </c>
      <c r="R3397" s="16" t="s">
        <v>13491</v>
      </c>
      <c r="S3397" s="15" t="s">
        <v>21292</v>
      </c>
      <c r="T3397" s="15" t="s">
        <v>21293</v>
      </c>
      <c r="U3397" s="21" t="s">
        <v>72</v>
      </c>
    </row>
    <row r="3398" customFormat="false" ht="26.85" hidden="false" customHeight="false" outlineLevel="0" collapsed="false">
      <c r="A3398" s="15" t="s">
        <v>21152</v>
      </c>
      <c r="B3398" s="15" t="s">
        <v>21152</v>
      </c>
      <c r="C3398" s="14" t="s">
        <v>21294</v>
      </c>
      <c r="D3398" s="14" t="s">
        <v>21295</v>
      </c>
      <c r="E3398" s="15" t="s">
        <v>21296</v>
      </c>
      <c r="F3398" s="16" t="s">
        <v>21297</v>
      </c>
      <c r="G3398" s="19" t="s">
        <v>41</v>
      </c>
      <c r="H3398" s="18" t="n">
        <v>3</v>
      </c>
      <c r="I3398" s="20" t="n">
        <v>88.35</v>
      </c>
      <c r="J3398" s="20" t="n">
        <v>274.4</v>
      </c>
      <c r="K3398" s="18" t="n">
        <v>3</v>
      </c>
      <c r="L3398" s="18" t="n">
        <v>5</v>
      </c>
      <c r="M3398" s="18" t="n">
        <v>60</v>
      </c>
      <c r="N3398" s="18" t="n">
        <v>20</v>
      </c>
      <c r="O3398" s="14" t="s">
        <v>21298</v>
      </c>
      <c r="P3398" s="14" t="s">
        <v>118</v>
      </c>
      <c r="Q3398" s="15" t="s">
        <v>1089</v>
      </c>
      <c r="R3398" s="16" t="s">
        <v>21299</v>
      </c>
      <c r="S3398" s="15" t="s">
        <v>21300</v>
      </c>
      <c r="T3398" s="15" t="s">
        <v>21301</v>
      </c>
      <c r="U3398" s="21" t="s">
        <v>72</v>
      </c>
    </row>
    <row r="3399" customFormat="false" ht="15" hidden="false" customHeight="false" outlineLevel="0" collapsed="false">
      <c r="A3399" s="15" t="s">
        <v>21152</v>
      </c>
      <c r="B3399" s="15" t="s">
        <v>21152</v>
      </c>
      <c r="C3399" s="14" t="s">
        <v>21302</v>
      </c>
      <c r="D3399" s="14" t="s">
        <v>21303</v>
      </c>
      <c r="E3399" s="15" t="s">
        <v>21304</v>
      </c>
      <c r="F3399" s="16" t="s">
        <v>21305</v>
      </c>
      <c r="G3399" s="23" t="s">
        <v>43</v>
      </c>
      <c r="H3399" s="18" t="n">
        <v>1</v>
      </c>
      <c r="I3399" s="20" t="n">
        <v>36.99</v>
      </c>
      <c r="J3399" s="20" t="n">
        <v>109.04</v>
      </c>
      <c r="K3399" s="18" t="n">
        <v>3</v>
      </c>
      <c r="L3399" s="18" t="n">
        <v>1</v>
      </c>
      <c r="M3399" s="18" t="n">
        <v>90</v>
      </c>
      <c r="N3399" s="18" t="n">
        <v>90</v>
      </c>
      <c r="O3399" s="14" t="s">
        <v>1088</v>
      </c>
      <c r="P3399" s="14" t="s">
        <v>84</v>
      </c>
      <c r="Q3399" s="15" t="s">
        <v>1089</v>
      </c>
      <c r="R3399" s="16" t="s">
        <v>183</v>
      </c>
      <c r="S3399" s="15" t="s">
        <v>21306</v>
      </c>
      <c r="T3399" s="15" t="s">
        <v>21306</v>
      </c>
      <c r="U3399" s="21" t="s">
        <v>72</v>
      </c>
    </row>
    <row r="3400" customFormat="false" ht="90.25" hidden="false" customHeight="false" outlineLevel="0" collapsed="false">
      <c r="A3400" s="15" t="s">
        <v>21152</v>
      </c>
      <c r="B3400" s="15" t="s">
        <v>21152</v>
      </c>
      <c r="C3400" s="14" t="s">
        <v>21307</v>
      </c>
      <c r="D3400" s="14" t="s">
        <v>21308</v>
      </c>
      <c r="E3400" s="15" t="s">
        <v>21309</v>
      </c>
      <c r="F3400" s="16" t="s">
        <v>21310</v>
      </c>
      <c r="G3400" s="23" t="s">
        <v>43</v>
      </c>
      <c r="H3400" s="18" t="n">
        <v>4</v>
      </c>
      <c r="I3400" s="20" t="n">
        <v>68.97</v>
      </c>
      <c r="J3400" s="20" t="n">
        <v>162.94</v>
      </c>
      <c r="K3400" s="18" t="n">
        <v>4</v>
      </c>
      <c r="L3400" s="18" t="n">
        <v>5</v>
      </c>
      <c r="M3400" s="18" t="n">
        <v>56</v>
      </c>
      <c r="N3400" s="18" t="n">
        <v>56</v>
      </c>
      <c r="O3400" s="14" t="s">
        <v>21311</v>
      </c>
      <c r="P3400" s="14" t="s">
        <v>84</v>
      </c>
      <c r="Q3400" s="15" t="s">
        <v>1089</v>
      </c>
      <c r="R3400" s="16" t="s">
        <v>15064</v>
      </c>
      <c r="S3400" s="15" t="s">
        <v>21312</v>
      </c>
      <c r="T3400" s="15" t="s">
        <v>21313</v>
      </c>
      <c r="U3400" s="21" t="s">
        <v>72</v>
      </c>
    </row>
    <row r="3401" customFormat="false" ht="52.2" hidden="false" customHeight="false" outlineLevel="0" collapsed="false">
      <c r="A3401" s="15" t="s">
        <v>21152</v>
      </c>
      <c r="B3401" s="15" t="s">
        <v>21152</v>
      </c>
      <c r="C3401" s="14" t="s">
        <v>21314</v>
      </c>
      <c r="D3401" s="14" t="s">
        <v>21315</v>
      </c>
      <c r="E3401" s="15" t="s">
        <v>21316</v>
      </c>
      <c r="F3401" s="16" t="s">
        <v>21317</v>
      </c>
      <c r="G3401" s="19" t="s">
        <v>41</v>
      </c>
      <c r="H3401" s="18" t="n">
        <v>4</v>
      </c>
      <c r="I3401" s="20" t="n">
        <v>132.72</v>
      </c>
      <c r="J3401" s="20" t="n">
        <v>262.93</v>
      </c>
      <c r="K3401" s="18" t="n">
        <v>4</v>
      </c>
      <c r="L3401" s="18" t="n">
        <v>2</v>
      </c>
      <c r="M3401" s="18" t="n">
        <v>109</v>
      </c>
      <c r="N3401" s="18" t="n">
        <v>92</v>
      </c>
      <c r="O3401" s="14" t="s">
        <v>21318</v>
      </c>
      <c r="P3401" s="14" t="s">
        <v>118</v>
      </c>
      <c r="Q3401" s="15" t="s">
        <v>1089</v>
      </c>
      <c r="R3401" s="16" t="s">
        <v>21319</v>
      </c>
      <c r="S3401" s="15" t="s">
        <v>21320</v>
      </c>
      <c r="T3401" s="15" t="s">
        <v>21320</v>
      </c>
      <c r="U3401" s="21" t="s">
        <v>72</v>
      </c>
    </row>
    <row r="3402" customFormat="false" ht="39.55" hidden="false" customHeight="false" outlineLevel="0" collapsed="false">
      <c r="A3402" s="15" t="s">
        <v>21152</v>
      </c>
      <c r="B3402" s="15" t="s">
        <v>21152</v>
      </c>
      <c r="C3402" s="14" t="s">
        <v>21321</v>
      </c>
      <c r="D3402" s="14" t="s">
        <v>21322</v>
      </c>
      <c r="E3402" s="15" t="s">
        <v>21323</v>
      </c>
      <c r="F3402" s="16" t="s">
        <v>21324</v>
      </c>
      <c r="G3402" s="19" t="s">
        <v>41</v>
      </c>
      <c r="H3402" s="18" t="n">
        <v>4</v>
      </c>
      <c r="I3402" s="20" t="n">
        <v>173.98</v>
      </c>
      <c r="J3402" s="20" t="n">
        <v>256.45</v>
      </c>
      <c r="K3402" s="18" t="n">
        <v>90</v>
      </c>
      <c r="L3402" s="18" t="n">
        <v>46</v>
      </c>
      <c r="M3402" s="18" t="n">
        <v>2407</v>
      </c>
      <c r="N3402" s="18" t="n">
        <v>119</v>
      </c>
      <c r="O3402" s="14" t="s">
        <v>21325</v>
      </c>
      <c r="P3402" s="14" t="s">
        <v>21326</v>
      </c>
      <c r="Q3402" s="15" t="s">
        <v>1089</v>
      </c>
      <c r="R3402" s="16" t="s">
        <v>21327</v>
      </c>
      <c r="S3402" s="15" t="s">
        <v>21328</v>
      </c>
      <c r="T3402" s="15" t="s">
        <v>21329</v>
      </c>
      <c r="U3402" s="21" t="s">
        <v>72</v>
      </c>
    </row>
    <row r="3403" customFormat="false" ht="52.2" hidden="false" customHeight="false" outlineLevel="0" collapsed="false">
      <c r="A3403" s="15" t="s">
        <v>21152</v>
      </c>
      <c r="B3403" s="15" t="s">
        <v>21152</v>
      </c>
      <c r="C3403" s="14" t="s">
        <v>21330</v>
      </c>
      <c r="D3403" s="14" t="s">
        <v>21331</v>
      </c>
      <c r="E3403" s="15" t="s">
        <v>21332</v>
      </c>
      <c r="F3403" s="16" t="s">
        <v>21333</v>
      </c>
      <c r="G3403" s="25" t="s">
        <v>39</v>
      </c>
      <c r="H3403" s="18" t="n">
        <v>7</v>
      </c>
      <c r="I3403" s="20" t="n">
        <v>242.84</v>
      </c>
      <c r="J3403" s="20" t="n">
        <v>595.53</v>
      </c>
      <c r="K3403" s="18" t="n">
        <v>54</v>
      </c>
      <c r="L3403" s="18" t="n">
        <v>25</v>
      </c>
      <c r="M3403" s="18" t="n">
        <v>1522</v>
      </c>
      <c r="N3403" s="18" t="n">
        <v>180</v>
      </c>
      <c r="O3403" s="14" t="s">
        <v>21325</v>
      </c>
      <c r="P3403" s="14" t="s">
        <v>21334</v>
      </c>
      <c r="Q3403" s="15" t="s">
        <v>1089</v>
      </c>
      <c r="R3403" s="16" t="s">
        <v>21335</v>
      </c>
      <c r="S3403" s="15" t="s">
        <v>21328</v>
      </c>
      <c r="T3403" s="15" t="s">
        <v>21336</v>
      </c>
      <c r="U3403" s="21" t="s">
        <v>72</v>
      </c>
    </row>
    <row r="3404" customFormat="false" ht="26.85" hidden="false" customHeight="false" outlineLevel="0" collapsed="false">
      <c r="A3404" s="15" t="s">
        <v>21337</v>
      </c>
      <c r="B3404" s="15" t="s">
        <v>21337</v>
      </c>
      <c r="C3404" s="14" t="s">
        <v>21338</v>
      </c>
      <c r="D3404" s="14" t="s">
        <v>21339</v>
      </c>
      <c r="E3404" s="16" t="s">
        <v>21340</v>
      </c>
      <c r="F3404" s="16" t="s">
        <v>21341</v>
      </c>
      <c r="G3404" s="25" t="s">
        <v>39</v>
      </c>
      <c r="H3404" s="18" t="n">
        <v>8</v>
      </c>
      <c r="I3404" s="20" t="n">
        <v>177.1</v>
      </c>
      <c r="J3404" s="20" t="n">
        <v>280</v>
      </c>
      <c r="K3404" s="18" t="n">
        <v>14</v>
      </c>
      <c r="L3404" s="18" t="n">
        <v>9</v>
      </c>
      <c r="M3404" s="18" t="n">
        <v>266</v>
      </c>
      <c r="N3404" s="18" t="n">
        <v>152</v>
      </c>
      <c r="O3404" s="14" t="s">
        <v>1126</v>
      </c>
      <c r="P3404" s="14" t="s">
        <v>352</v>
      </c>
      <c r="Q3404" s="15" t="s">
        <v>1089</v>
      </c>
      <c r="R3404" s="16" t="s">
        <v>21342</v>
      </c>
      <c r="S3404" s="15" t="s">
        <v>21343</v>
      </c>
      <c r="T3404" s="15" t="s">
        <v>21344</v>
      </c>
      <c r="U3404" s="21" t="s">
        <v>72</v>
      </c>
    </row>
    <row r="3405" customFormat="false" ht="26.85" hidden="false" customHeight="false" outlineLevel="0" collapsed="false">
      <c r="A3405" s="15" t="s">
        <v>21337</v>
      </c>
      <c r="B3405" s="15" t="s">
        <v>21337</v>
      </c>
      <c r="C3405" s="14" t="s">
        <v>21345</v>
      </c>
      <c r="D3405" s="14" t="s">
        <v>21346</v>
      </c>
      <c r="E3405" s="16" t="s">
        <v>21347</v>
      </c>
      <c r="F3405" s="16" t="s">
        <v>21348</v>
      </c>
      <c r="G3405" s="19" t="s">
        <v>41</v>
      </c>
      <c r="H3405" s="18" t="n">
        <v>6</v>
      </c>
      <c r="I3405" s="20" t="n">
        <v>152.14</v>
      </c>
      <c r="J3405" s="20" t="n">
        <v>186.92</v>
      </c>
      <c r="K3405" s="18" t="n">
        <v>15</v>
      </c>
      <c r="L3405" s="18" t="n">
        <v>14</v>
      </c>
      <c r="M3405" s="18" t="n">
        <v>300</v>
      </c>
      <c r="N3405" s="18" t="n">
        <v>60</v>
      </c>
      <c r="O3405" s="14" t="s">
        <v>1126</v>
      </c>
      <c r="P3405" s="14" t="s">
        <v>17538</v>
      </c>
      <c r="Q3405" s="15" t="s">
        <v>1089</v>
      </c>
      <c r="R3405" s="16" t="s">
        <v>21349</v>
      </c>
      <c r="S3405" s="15" t="s">
        <v>21350</v>
      </c>
      <c r="T3405" s="15" t="s">
        <v>21351</v>
      </c>
      <c r="U3405" s="21" t="s">
        <v>72</v>
      </c>
    </row>
    <row r="3406" customFormat="false" ht="15" hidden="false" customHeight="false" outlineLevel="0" collapsed="false">
      <c r="A3406" s="15" t="s">
        <v>21337</v>
      </c>
      <c r="B3406" s="15" t="s">
        <v>21337</v>
      </c>
      <c r="C3406" s="14" t="s">
        <v>21352</v>
      </c>
      <c r="D3406" s="14" t="s">
        <v>21353</v>
      </c>
      <c r="E3406" s="16" t="s">
        <v>21354</v>
      </c>
      <c r="F3406" s="16" t="s">
        <v>21355</v>
      </c>
      <c r="G3406" s="23" t="s">
        <v>43</v>
      </c>
      <c r="H3406" s="18" t="n">
        <v>3</v>
      </c>
      <c r="I3406" s="20" t="n">
        <v>93.01</v>
      </c>
      <c r="J3406" s="20" t="n">
        <v>190.65</v>
      </c>
      <c r="K3406" s="18" t="n">
        <v>10</v>
      </c>
      <c r="L3406" s="18" t="n">
        <v>10</v>
      </c>
      <c r="M3406" s="18" t="n">
        <v>250</v>
      </c>
      <c r="N3406" s="18" t="n">
        <v>100</v>
      </c>
      <c r="O3406" s="14" t="s">
        <v>1097</v>
      </c>
      <c r="P3406" s="14" t="s">
        <v>118</v>
      </c>
      <c r="Q3406" s="15" t="s">
        <v>1089</v>
      </c>
      <c r="R3406" s="16" t="s">
        <v>21356</v>
      </c>
      <c r="S3406" s="15" t="s">
        <v>21357</v>
      </c>
      <c r="T3406" s="15" t="s">
        <v>21358</v>
      </c>
      <c r="U3406" s="21" t="s">
        <v>72</v>
      </c>
    </row>
    <row r="3407" customFormat="false" ht="15" hidden="false" customHeight="false" outlineLevel="0" collapsed="false">
      <c r="A3407" s="15" t="s">
        <v>21337</v>
      </c>
      <c r="B3407" s="15" t="s">
        <v>21337</v>
      </c>
      <c r="C3407" s="14" t="s">
        <v>21359</v>
      </c>
      <c r="D3407" s="14" t="s">
        <v>21360</v>
      </c>
      <c r="E3407" s="16" t="s">
        <v>21361</v>
      </c>
      <c r="F3407" s="16" t="s">
        <v>21362</v>
      </c>
      <c r="G3407" s="19" t="s">
        <v>41</v>
      </c>
      <c r="H3407" s="18" t="n">
        <v>5</v>
      </c>
      <c r="I3407" s="20" t="n">
        <v>78.78</v>
      </c>
      <c r="J3407" s="20" t="n">
        <v>159.84</v>
      </c>
      <c r="K3407" s="18" t="n">
        <v>2</v>
      </c>
      <c r="L3407" s="18" t="n">
        <v>3</v>
      </c>
      <c r="M3407" s="18" t="n">
        <v>20</v>
      </c>
      <c r="N3407" s="18" t="n">
        <v>20</v>
      </c>
      <c r="O3407" s="14" t="s">
        <v>1126</v>
      </c>
      <c r="P3407" s="14" t="s">
        <v>84</v>
      </c>
      <c r="Q3407" s="15" t="s">
        <v>1089</v>
      </c>
      <c r="R3407" s="16" t="s">
        <v>12815</v>
      </c>
      <c r="S3407" s="15" t="s">
        <v>21363</v>
      </c>
      <c r="T3407" s="15" t="s">
        <v>21363</v>
      </c>
      <c r="U3407" s="21" t="s">
        <v>72</v>
      </c>
    </row>
    <row r="3408" customFormat="false" ht="15" hidden="false" customHeight="false" outlineLevel="0" collapsed="false">
      <c r="A3408" s="15" t="s">
        <v>21337</v>
      </c>
      <c r="B3408" s="15" t="s">
        <v>21337</v>
      </c>
      <c r="C3408" s="14" t="s">
        <v>21364</v>
      </c>
      <c r="D3408" s="14" t="s">
        <v>21365</v>
      </c>
      <c r="E3408" s="16" t="s">
        <v>21366</v>
      </c>
      <c r="F3408" s="16" t="s">
        <v>21348</v>
      </c>
      <c r="G3408" s="25" t="s">
        <v>39</v>
      </c>
      <c r="H3408" s="18" t="n">
        <v>2</v>
      </c>
      <c r="I3408" s="20" t="n">
        <v>200</v>
      </c>
      <c r="J3408" s="20" t="n">
        <v>400</v>
      </c>
      <c r="K3408" s="18" t="n">
        <v>16</v>
      </c>
      <c r="L3408" s="18" t="n">
        <v>11</v>
      </c>
      <c r="M3408" s="18" t="n">
        <v>240</v>
      </c>
      <c r="N3408" s="18" t="n">
        <v>180</v>
      </c>
      <c r="O3408" s="14" t="s">
        <v>1126</v>
      </c>
      <c r="P3408" s="14" t="s">
        <v>202</v>
      </c>
      <c r="Q3408" s="15" t="s">
        <v>1089</v>
      </c>
      <c r="R3408" s="16" t="s">
        <v>21367</v>
      </c>
      <c r="S3408" s="15" t="s">
        <v>21350</v>
      </c>
      <c r="T3408" s="15" t="s">
        <v>21350</v>
      </c>
      <c r="U3408" s="21" t="s">
        <v>72</v>
      </c>
    </row>
    <row r="3409" customFormat="false" ht="15" hidden="false" customHeight="false" outlineLevel="0" collapsed="false">
      <c r="A3409" s="15" t="s">
        <v>21337</v>
      </c>
      <c r="B3409" s="15" t="s">
        <v>21337</v>
      </c>
      <c r="C3409" s="14" t="s">
        <v>21368</v>
      </c>
      <c r="D3409" s="14" t="s">
        <v>21369</v>
      </c>
      <c r="E3409" s="16" t="s">
        <v>21370</v>
      </c>
      <c r="F3409" s="16" t="s">
        <v>21371</v>
      </c>
      <c r="G3409" s="19" t="s">
        <v>41</v>
      </c>
      <c r="H3409" s="18" t="n">
        <v>5</v>
      </c>
      <c r="I3409" s="20" t="n">
        <v>92.98</v>
      </c>
      <c r="J3409" s="20" t="n">
        <v>206.36</v>
      </c>
      <c r="K3409" s="18" t="n">
        <v>3</v>
      </c>
      <c r="L3409" s="18" t="n">
        <v>3</v>
      </c>
      <c r="M3409" s="18" t="n">
        <v>42</v>
      </c>
      <c r="N3409" s="18" t="n">
        <v>42</v>
      </c>
      <c r="O3409" s="14" t="s">
        <v>1126</v>
      </c>
      <c r="P3409" s="14" t="s">
        <v>118</v>
      </c>
      <c r="Q3409" s="15" t="s">
        <v>1089</v>
      </c>
      <c r="R3409" s="16" t="s">
        <v>21372</v>
      </c>
      <c r="S3409" s="15" t="s">
        <v>21373</v>
      </c>
      <c r="T3409" s="15" t="s">
        <v>21374</v>
      </c>
      <c r="U3409" s="21" t="s">
        <v>72</v>
      </c>
    </row>
    <row r="3410" customFormat="false" ht="15" hidden="false" customHeight="false" outlineLevel="0" collapsed="false">
      <c r="A3410" s="15" t="s">
        <v>21337</v>
      </c>
      <c r="B3410" s="15" t="s">
        <v>21337</v>
      </c>
      <c r="C3410" s="14" t="s">
        <v>21375</v>
      </c>
      <c r="D3410" s="14" t="s">
        <v>21376</v>
      </c>
      <c r="E3410" s="16" t="s">
        <v>21377</v>
      </c>
      <c r="F3410" s="16" t="s">
        <v>21378</v>
      </c>
      <c r="G3410" s="23" t="s">
        <v>43</v>
      </c>
      <c r="H3410" s="18" t="n">
        <v>2</v>
      </c>
      <c r="I3410" s="20" t="n">
        <v>45.75</v>
      </c>
      <c r="J3410" s="20" t="n">
        <v>99.03</v>
      </c>
      <c r="K3410" s="18" t="n">
        <v>2</v>
      </c>
      <c r="L3410" s="18" t="n">
        <v>1</v>
      </c>
      <c r="M3410" s="18" t="n">
        <v>34</v>
      </c>
      <c r="N3410" s="18" t="n">
        <v>34</v>
      </c>
      <c r="O3410" s="14" t="s">
        <v>21379</v>
      </c>
      <c r="P3410" s="14" t="s">
        <v>84</v>
      </c>
      <c r="Q3410" s="15" t="s">
        <v>1089</v>
      </c>
      <c r="R3410" s="16" t="s">
        <v>21380</v>
      </c>
      <c r="S3410" s="15" t="s">
        <v>21381</v>
      </c>
      <c r="T3410" s="15" t="s">
        <v>21382</v>
      </c>
      <c r="U3410" s="21" t="s">
        <v>72</v>
      </c>
    </row>
    <row r="3411" customFormat="false" ht="15" hidden="false" customHeight="false" outlineLevel="0" collapsed="false">
      <c r="A3411" s="15" t="s">
        <v>21337</v>
      </c>
      <c r="B3411" s="15" t="s">
        <v>21337</v>
      </c>
      <c r="C3411" s="14" t="s">
        <v>21383</v>
      </c>
      <c r="D3411" s="14" t="s">
        <v>21384</v>
      </c>
      <c r="E3411" s="16" t="s">
        <v>21354</v>
      </c>
      <c r="F3411" s="16" t="s">
        <v>21355</v>
      </c>
      <c r="G3411" s="19" t="s">
        <v>41</v>
      </c>
      <c r="H3411" s="18" t="n">
        <v>6</v>
      </c>
      <c r="I3411" s="20" t="n">
        <v>108.78</v>
      </c>
      <c r="J3411" s="20" t="n">
        <v>257.11</v>
      </c>
      <c r="K3411" s="18" t="n">
        <v>10</v>
      </c>
      <c r="L3411" s="18" t="n">
        <v>9</v>
      </c>
      <c r="M3411" s="18" t="n">
        <v>120</v>
      </c>
      <c r="N3411" s="18" t="n">
        <v>24</v>
      </c>
      <c r="O3411" s="14" t="s">
        <v>1088</v>
      </c>
      <c r="P3411" s="14" t="s">
        <v>118</v>
      </c>
      <c r="Q3411" s="15" t="s">
        <v>1089</v>
      </c>
      <c r="R3411" s="16" t="s">
        <v>21385</v>
      </c>
      <c r="S3411" s="15" t="s">
        <v>21357</v>
      </c>
      <c r="T3411" s="15" t="s">
        <v>21357</v>
      </c>
      <c r="U3411" s="21" t="s">
        <v>72</v>
      </c>
    </row>
    <row r="3412" customFormat="false" ht="15" hidden="false" customHeight="false" outlineLevel="0" collapsed="false">
      <c r="A3412" s="15" t="s">
        <v>21337</v>
      </c>
      <c r="B3412" s="15" t="s">
        <v>21337</v>
      </c>
      <c r="C3412" s="14" t="s">
        <v>21386</v>
      </c>
      <c r="D3412" s="14" t="s">
        <v>21387</v>
      </c>
      <c r="E3412" s="16" t="s">
        <v>21388</v>
      </c>
      <c r="F3412" s="16" t="s">
        <v>21389</v>
      </c>
      <c r="G3412" s="23" t="s">
        <v>43</v>
      </c>
      <c r="H3412" s="18" t="n">
        <v>3</v>
      </c>
      <c r="I3412" s="20" t="n">
        <v>57.84</v>
      </c>
      <c r="J3412" s="20" t="n">
        <v>130.58</v>
      </c>
      <c r="K3412" s="18" t="n">
        <v>2</v>
      </c>
      <c r="L3412" s="18" t="n">
        <v>1</v>
      </c>
      <c r="M3412" s="18" t="n">
        <v>32</v>
      </c>
      <c r="N3412" s="18" t="n">
        <v>32</v>
      </c>
      <c r="O3412" s="14" t="s">
        <v>1097</v>
      </c>
      <c r="P3412" s="14" t="s">
        <v>118</v>
      </c>
      <c r="Q3412" s="15" t="s">
        <v>1089</v>
      </c>
      <c r="R3412" s="16" t="s">
        <v>21390</v>
      </c>
      <c r="S3412" s="15" t="s">
        <v>21391</v>
      </c>
      <c r="T3412" s="15" t="s">
        <v>21391</v>
      </c>
      <c r="U3412" s="21" t="s">
        <v>72</v>
      </c>
    </row>
    <row r="3413" customFormat="false" ht="15" hidden="false" customHeight="false" outlineLevel="0" collapsed="false">
      <c r="A3413" s="15" t="s">
        <v>21337</v>
      </c>
      <c r="B3413" s="15" t="s">
        <v>21337</v>
      </c>
      <c r="C3413" s="14" t="s">
        <v>21392</v>
      </c>
      <c r="D3413" s="14" t="s">
        <v>21393</v>
      </c>
      <c r="E3413" s="16" t="s">
        <v>21394</v>
      </c>
      <c r="F3413" s="16" t="s">
        <v>21395</v>
      </c>
      <c r="G3413" s="23" t="s">
        <v>43</v>
      </c>
      <c r="H3413" s="18" t="n">
        <v>2</v>
      </c>
      <c r="I3413" s="20" t="n">
        <v>63.36</v>
      </c>
      <c r="J3413" s="20" t="n">
        <v>97.16</v>
      </c>
      <c r="K3413" s="18" t="n">
        <v>6</v>
      </c>
      <c r="L3413" s="18" t="n">
        <v>2</v>
      </c>
      <c r="M3413" s="18" t="n">
        <v>150</v>
      </c>
      <c r="N3413" s="18" t="n">
        <v>75</v>
      </c>
      <c r="O3413" s="14" t="s">
        <v>1097</v>
      </c>
      <c r="P3413" s="14" t="s">
        <v>84</v>
      </c>
      <c r="Q3413" s="15" t="s">
        <v>1089</v>
      </c>
      <c r="R3413" s="16" t="s">
        <v>17486</v>
      </c>
      <c r="S3413" s="15" t="s">
        <v>21396</v>
      </c>
      <c r="T3413" s="15" t="s">
        <v>21396</v>
      </c>
      <c r="U3413" s="21" t="s">
        <v>72</v>
      </c>
    </row>
    <row r="3414" customFormat="false" ht="26.85" hidden="false" customHeight="false" outlineLevel="0" collapsed="false">
      <c r="A3414" s="15" t="s">
        <v>21337</v>
      </c>
      <c r="B3414" s="15" t="s">
        <v>21397</v>
      </c>
      <c r="C3414" s="14" t="s">
        <v>21398</v>
      </c>
      <c r="D3414" s="14" t="s">
        <v>21399</v>
      </c>
      <c r="E3414" s="16" t="s">
        <v>21400</v>
      </c>
      <c r="F3414" s="16" t="s">
        <v>21401</v>
      </c>
      <c r="G3414" s="25" t="s">
        <v>39</v>
      </c>
      <c r="H3414" s="18" t="n">
        <v>27</v>
      </c>
      <c r="I3414" s="20" t="n">
        <v>881.15</v>
      </c>
      <c r="J3414" s="20" t="n">
        <v>1383.4</v>
      </c>
      <c r="K3414" s="18" t="n">
        <v>39</v>
      </c>
      <c r="L3414" s="18" t="n">
        <v>8</v>
      </c>
      <c r="M3414" s="18" t="n">
        <v>1092</v>
      </c>
      <c r="N3414" s="18" t="n">
        <v>560</v>
      </c>
      <c r="O3414" s="14" t="s">
        <v>21402</v>
      </c>
      <c r="P3414" s="14" t="s">
        <v>118</v>
      </c>
      <c r="Q3414" s="15" t="s">
        <v>1089</v>
      </c>
      <c r="R3414" s="16" t="s">
        <v>21403</v>
      </c>
      <c r="S3414" s="15" t="s">
        <v>21343</v>
      </c>
      <c r="T3414" s="15" t="s">
        <v>21404</v>
      </c>
      <c r="U3414" s="21" t="s">
        <v>72</v>
      </c>
    </row>
    <row r="3415" customFormat="false" ht="15" hidden="false" customHeight="false" outlineLevel="0" collapsed="false">
      <c r="A3415" s="15" t="s">
        <v>21337</v>
      </c>
      <c r="B3415" s="15" t="s">
        <v>21397</v>
      </c>
      <c r="C3415" s="14" t="s">
        <v>21405</v>
      </c>
      <c r="D3415" s="14" t="s">
        <v>21406</v>
      </c>
      <c r="E3415" s="16" t="s">
        <v>21407</v>
      </c>
      <c r="F3415" s="16" t="s">
        <v>21408</v>
      </c>
      <c r="G3415" s="19" t="s">
        <v>41</v>
      </c>
      <c r="H3415" s="18" t="n">
        <v>5</v>
      </c>
      <c r="I3415" s="20" t="n">
        <v>96.31</v>
      </c>
      <c r="J3415" s="20" t="n">
        <v>193.7</v>
      </c>
      <c r="K3415" s="18" t="n">
        <v>7</v>
      </c>
      <c r="L3415" s="18" t="n">
        <v>3</v>
      </c>
      <c r="M3415" s="18" t="n">
        <v>105</v>
      </c>
      <c r="N3415" s="18" t="n">
        <v>45</v>
      </c>
      <c r="O3415" s="14" t="s">
        <v>1088</v>
      </c>
      <c r="P3415" s="14" t="s">
        <v>84</v>
      </c>
      <c r="Q3415" s="15" t="s">
        <v>1089</v>
      </c>
      <c r="R3415" s="16" t="s">
        <v>7289</v>
      </c>
      <c r="S3415" s="15" t="s">
        <v>21409</v>
      </c>
      <c r="T3415" s="15" t="s">
        <v>21409</v>
      </c>
      <c r="U3415" s="21" t="s">
        <v>72</v>
      </c>
    </row>
    <row r="3416" customFormat="false" ht="15" hidden="false" customHeight="false" outlineLevel="0" collapsed="false">
      <c r="A3416" s="15" t="s">
        <v>21337</v>
      </c>
      <c r="B3416" s="15" t="s">
        <v>21397</v>
      </c>
      <c r="C3416" s="14" t="s">
        <v>21410</v>
      </c>
      <c r="D3416" s="14" t="s">
        <v>21411</v>
      </c>
      <c r="E3416" s="16" t="s">
        <v>21412</v>
      </c>
      <c r="F3416" s="16" t="s">
        <v>21413</v>
      </c>
      <c r="G3416" s="23" t="s">
        <v>43</v>
      </c>
      <c r="H3416" s="18" t="n">
        <v>1</v>
      </c>
      <c r="I3416" s="20" t="n">
        <v>57.57</v>
      </c>
      <c r="J3416" s="20" t="n">
        <v>57.57</v>
      </c>
      <c r="K3416" s="18" t="n">
        <v>3</v>
      </c>
      <c r="L3416" s="18" t="n">
        <v>2</v>
      </c>
      <c r="M3416" s="18" t="n">
        <v>60</v>
      </c>
      <c r="N3416" s="18" t="n">
        <v>20</v>
      </c>
      <c r="O3416" s="14" t="s">
        <v>1088</v>
      </c>
      <c r="P3416" s="14" t="s">
        <v>84</v>
      </c>
      <c r="Q3416" s="15" t="s">
        <v>1089</v>
      </c>
      <c r="R3416" s="16" t="s">
        <v>16424</v>
      </c>
      <c r="S3416" s="15" t="s">
        <v>21414</v>
      </c>
      <c r="T3416" s="15" t="s">
        <v>21414</v>
      </c>
      <c r="U3416" s="21" t="s">
        <v>72</v>
      </c>
    </row>
    <row r="3417" customFormat="false" ht="15" hidden="false" customHeight="false" outlineLevel="0" collapsed="false">
      <c r="A3417" s="15" t="s">
        <v>21337</v>
      </c>
      <c r="B3417" s="15" t="s">
        <v>21397</v>
      </c>
      <c r="C3417" s="14" t="s">
        <v>21415</v>
      </c>
      <c r="D3417" s="14" t="s">
        <v>21416</v>
      </c>
      <c r="E3417" s="16" t="s">
        <v>21417</v>
      </c>
      <c r="F3417" s="16" t="s">
        <v>21418</v>
      </c>
      <c r="G3417" s="23" t="s">
        <v>43</v>
      </c>
      <c r="H3417" s="18" t="n">
        <v>3</v>
      </c>
      <c r="I3417" s="20" t="n">
        <v>39.72</v>
      </c>
      <c r="J3417" s="20" t="n">
        <v>121.29</v>
      </c>
      <c r="K3417" s="18" t="n">
        <v>3</v>
      </c>
      <c r="L3417" s="18" t="n">
        <v>2</v>
      </c>
      <c r="M3417" s="18" t="n">
        <v>36</v>
      </c>
      <c r="N3417" s="18" t="n">
        <v>24</v>
      </c>
      <c r="O3417" s="14" t="s">
        <v>1097</v>
      </c>
      <c r="P3417" s="14" t="s">
        <v>118</v>
      </c>
      <c r="Q3417" s="15" t="s">
        <v>1089</v>
      </c>
      <c r="R3417" s="16" t="s">
        <v>19319</v>
      </c>
      <c r="S3417" s="15" t="s">
        <v>21419</v>
      </c>
      <c r="T3417" s="15" t="s">
        <v>21419</v>
      </c>
      <c r="U3417" s="21" t="s">
        <v>72</v>
      </c>
    </row>
    <row r="3418" customFormat="false" ht="15" hidden="false" customHeight="false" outlineLevel="0" collapsed="false">
      <c r="A3418" s="15" t="s">
        <v>21337</v>
      </c>
      <c r="B3418" s="15" t="s">
        <v>21397</v>
      </c>
      <c r="C3418" s="14" t="s">
        <v>21420</v>
      </c>
      <c r="D3418" s="14" t="s">
        <v>21421</v>
      </c>
      <c r="E3418" s="16" t="s">
        <v>21422</v>
      </c>
      <c r="F3418" s="16" t="s">
        <v>21423</v>
      </c>
      <c r="G3418" s="23" t="s">
        <v>43</v>
      </c>
      <c r="H3418" s="18" t="n">
        <v>1</v>
      </c>
      <c r="I3418" s="20" t="n">
        <v>120.3</v>
      </c>
      <c r="J3418" s="20" t="n">
        <v>120.3</v>
      </c>
      <c r="K3418" s="18" t="n">
        <v>4</v>
      </c>
      <c r="L3418" s="18" t="n">
        <v>3</v>
      </c>
      <c r="M3418" s="18" t="n">
        <v>116</v>
      </c>
      <c r="N3418" s="18" t="n">
        <v>116</v>
      </c>
      <c r="O3418" s="14" t="s">
        <v>1126</v>
      </c>
      <c r="P3418" s="14" t="s">
        <v>84</v>
      </c>
      <c r="Q3418" s="15" t="s">
        <v>1089</v>
      </c>
      <c r="R3418" s="16" t="s">
        <v>1596</v>
      </c>
      <c r="S3418" s="15" t="s">
        <v>21424</v>
      </c>
      <c r="T3418" s="15" t="s">
        <v>21424</v>
      </c>
      <c r="U3418" s="21" t="s">
        <v>72</v>
      </c>
    </row>
    <row r="3419" customFormat="false" ht="15" hidden="false" customHeight="false" outlineLevel="0" collapsed="false">
      <c r="A3419" s="15" t="s">
        <v>21337</v>
      </c>
      <c r="B3419" s="15" t="s">
        <v>21397</v>
      </c>
      <c r="C3419" s="14" t="s">
        <v>21425</v>
      </c>
      <c r="D3419" s="14" t="s">
        <v>21426</v>
      </c>
      <c r="E3419" s="16" t="s">
        <v>21427</v>
      </c>
      <c r="F3419" s="16" t="s">
        <v>21428</v>
      </c>
      <c r="G3419" s="25" t="s">
        <v>39</v>
      </c>
      <c r="H3419" s="18" t="n">
        <v>10</v>
      </c>
      <c r="I3419" s="20" t="n">
        <v>272.49</v>
      </c>
      <c r="J3419" s="20" t="n">
        <v>488.63</v>
      </c>
      <c r="K3419" s="18" t="n">
        <v>17</v>
      </c>
      <c r="L3419" s="18" t="n">
        <v>14</v>
      </c>
      <c r="M3419" s="18" t="n">
        <v>340</v>
      </c>
      <c r="N3419" s="18" t="n">
        <v>300</v>
      </c>
      <c r="O3419" s="14" t="s">
        <v>1088</v>
      </c>
      <c r="P3419" s="14" t="s">
        <v>118</v>
      </c>
      <c r="Q3419" s="15" t="s">
        <v>1089</v>
      </c>
      <c r="R3419" s="16" t="s">
        <v>21429</v>
      </c>
      <c r="S3419" s="15" t="s">
        <v>21430</v>
      </c>
      <c r="T3419" s="15" t="s">
        <v>21431</v>
      </c>
      <c r="U3419" s="21" t="s">
        <v>72</v>
      </c>
    </row>
    <row r="3420" customFormat="false" ht="26.85" hidden="false" customHeight="false" outlineLevel="0" collapsed="false">
      <c r="A3420" s="15" t="s">
        <v>21337</v>
      </c>
      <c r="B3420" s="15" t="s">
        <v>21397</v>
      </c>
      <c r="C3420" s="14" t="s">
        <v>21432</v>
      </c>
      <c r="D3420" s="14" t="s">
        <v>21433</v>
      </c>
      <c r="E3420" s="16" t="s">
        <v>21434</v>
      </c>
      <c r="F3420" s="16" t="s">
        <v>21435</v>
      </c>
      <c r="G3420" s="23" t="s">
        <v>43</v>
      </c>
      <c r="H3420" s="18" t="n">
        <v>4</v>
      </c>
      <c r="I3420" s="20" t="n">
        <v>98.7</v>
      </c>
      <c r="J3420" s="20" t="n">
        <v>98.7</v>
      </c>
      <c r="K3420" s="18" t="n">
        <v>32</v>
      </c>
      <c r="L3420" s="18" t="n">
        <v>6</v>
      </c>
      <c r="M3420" s="18" t="n">
        <v>320</v>
      </c>
      <c r="N3420" s="18" t="n">
        <v>100</v>
      </c>
      <c r="O3420" s="14" t="s">
        <v>1097</v>
      </c>
      <c r="P3420" s="14" t="s">
        <v>872</v>
      </c>
      <c r="Q3420" s="15" t="s">
        <v>1089</v>
      </c>
      <c r="R3420" s="16" t="s">
        <v>21436</v>
      </c>
      <c r="S3420" s="15" t="s">
        <v>21437</v>
      </c>
      <c r="T3420" s="15" t="s">
        <v>21437</v>
      </c>
      <c r="U3420" s="21" t="s">
        <v>72</v>
      </c>
    </row>
    <row r="3421" customFormat="false" ht="26.85" hidden="false" customHeight="false" outlineLevel="0" collapsed="false">
      <c r="A3421" s="15" t="s">
        <v>21337</v>
      </c>
      <c r="B3421" s="15" t="s">
        <v>21397</v>
      </c>
      <c r="C3421" s="14" t="s">
        <v>21438</v>
      </c>
      <c r="D3421" s="14" t="s">
        <v>21439</v>
      </c>
      <c r="E3421" s="16" t="s">
        <v>21440</v>
      </c>
      <c r="F3421" s="16" t="s">
        <v>21441</v>
      </c>
      <c r="G3421" s="25" t="s">
        <v>39</v>
      </c>
      <c r="H3421" s="18" t="n">
        <v>18</v>
      </c>
      <c r="I3421" s="20" t="n">
        <v>337.66</v>
      </c>
      <c r="J3421" s="20" t="n">
        <v>855.36</v>
      </c>
      <c r="K3421" s="18" t="n">
        <v>57</v>
      </c>
      <c r="L3421" s="18" t="n">
        <v>14</v>
      </c>
      <c r="M3421" s="18" t="n">
        <v>1653</v>
      </c>
      <c r="N3421" s="18" t="n">
        <v>1421</v>
      </c>
      <c r="O3421" s="14" t="s">
        <v>21442</v>
      </c>
      <c r="P3421" s="14" t="s">
        <v>118</v>
      </c>
      <c r="Q3421" s="15" t="s">
        <v>1089</v>
      </c>
      <c r="R3421" s="16" t="s">
        <v>4836</v>
      </c>
      <c r="S3421" s="15" t="s">
        <v>21443</v>
      </c>
      <c r="T3421" s="15" t="s">
        <v>21444</v>
      </c>
      <c r="U3421" s="21" t="s">
        <v>72</v>
      </c>
    </row>
    <row r="3422" customFormat="false" ht="15" hidden="false" customHeight="false" outlineLevel="0" collapsed="false">
      <c r="A3422" s="15" t="s">
        <v>21337</v>
      </c>
      <c r="B3422" s="15" t="s">
        <v>21397</v>
      </c>
      <c r="C3422" s="14" t="s">
        <v>21445</v>
      </c>
      <c r="D3422" s="14" t="s">
        <v>21446</v>
      </c>
      <c r="E3422" s="16" t="s">
        <v>21447</v>
      </c>
      <c r="F3422" s="16" t="s">
        <v>21448</v>
      </c>
      <c r="G3422" s="23" t="s">
        <v>43</v>
      </c>
      <c r="H3422" s="18" t="n">
        <v>3</v>
      </c>
      <c r="I3422" s="20" t="n">
        <v>62.97</v>
      </c>
      <c r="J3422" s="20" t="n">
        <v>127.13</v>
      </c>
      <c r="K3422" s="18" t="n">
        <v>2</v>
      </c>
      <c r="L3422" s="18" t="n">
        <v>4</v>
      </c>
      <c r="M3422" s="18" t="n">
        <v>40</v>
      </c>
      <c r="N3422" s="18" t="n">
        <v>40</v>
      </c>
      <c r="O3422" s="14" t="s">
        <v>1097</v>
      </c>
      <c r="P3422" s="14" t="s">
        <v>84</v>
      </c>
      <c r="Q3422" s="15" t="s">
        <v>1089</v>
      </c>
      <c r="R3422" s="16" t="s">
        <v>21449</v>
      </c>
      <c r="S3422" s="15" t="s">
        <v>21450</v>
      </c>
      <c r="T3422" s="15" t="s">
        <v>21450</v>
      </c>
      <c r="U3422" s="21" t="s">
        <v>72</v>
      </c>
    </row>
    <row r="3423" customFormat="false" ht="15" hidden="false" customHeight="false" outlineLevel="0" collapsed="false">
      <c r="A3423" s="15" t="s">
        <v>21337</v>
      </c>
      <c r="B3423" s="15" t="s">
        <v>21397</v>
      </c>
      <c r="C3423" s="14" t="s">
        <v>21451</v>
      </c>
      <c r="D3423" s="14" t="s">
        <v>21452</v>
      </c>
      <c r="E3423" s="16" t="s">
        <v>21453</v>
      </c>
      <c r="F3423" s="16" t="s">
        <v>21454</v>
      </c>
      <c r="G3423" s="19" t="s">
        <v>41</v>
      </c>
      <c r="H3423" s="18" t="n">
        <v>5</v>
      </c>
      <c r="I3423" s="20" t="n">
        <v>112.1</v>
      </c>
      <c r="J3423" s="20" t="n">
        <v>237.14</v>
      </c>
      <c r="K3423" s="18" t="n">
        <v>6</v>
      </c>
      <c r="L3423" s="18" t="n">
        <v>6</v>
      </c>
      <c r="M3423" s="18" t="n">
        <v>120</v>
      </c>
      <c r="N3423" s="18" t="n">
        <v>40</v>
      </c>
      <c r="O3423" s="14" t="s">
        <v>1126</v>
      </c>
      <c r="P3423" s="14" t="s">
        <v>84</v>
      </c>
      <c r="Q3423" s="15" t="s">
        <v>1089</v>
      </c>
      <c r="R3423" s="16" t="s">
        <v>3324</v>
      </c>
      <c r="S3423" s="15" t="s">
        <v>21455</v>
      </c>
      <c r="T3423" s="15" t="s">
        <v>21455</v>
      </c>
      <c r="U3423" s="21" t="s">
        <v>72</v>
      </c>
    </row>
    <row r="3424" customFormat="false" ht="15" hidden="false" customHeight="false" outlineLevel="0" collapsed="false">
      <c r="A3424" s="15" t="s">
        <v>21337</v>
      </c>
      <c r="B3424" s="15" t="s">
        <v>21397</v>
      </c>
      <c r="C3424" s="14" t="s">
        <v>21456</v>
      </c>
      <c r="D3424" s="14" t="s">
        <v>21457</v>
      </c>
      <c r="E3424" s="16" t="s">
        <v>21458</v>
      </c>
      <c r="F3424" s="16" t="s">
        <v>21459</v>
      </c>
      <c r="G3424" s="23" t="s">
        <v>43</v>
      </c>
      <c r="H3424" s="18" t="n">
        <v>3</v>
      </c>
      <c r="I3424" s="20" t="n">
        <v>70.68</v>
      </c>
      <c r="J3424" s="20" t="n">
        <v>150.4</v>
      </c>
      <c r="K3424" s="18" t="n">
        <v>3</v>
      </c>
      <c r="L3424" s="18" t="n">
        <v>8</v>
      </c>
      <c r="M3424" s="18" t="n">
        <v>45</v>
      </c>
      <c r="N3424" s="18" t="n">
        <v>30</v>
      </c>
      <c r="O3424" s="14" t="s">
        <v>1097</v>
      </c>
      <c r="P3424" s="14" t="s">
        <v>84</v>
      </c>
      <c r="Q3424" s="15" t="s">
        <v>1089</v>
      </c>
      <c r="R3424" s="16" t="s">
        <v>8791</v>
      </c>
      <c r="S3424" s="15" t="s">
        <v>21460</v>
      </c>
      <c r="T3424" s="15" t="s">
        <v>21461</v>
      </c>
      <c r="U3424" s="21" t="s">
        <v>72</v>
      </c>
    </row>
    <row r="3425" customFormat="false" ht="15" hidden="false" customHeight="false" outlineLevel="0" collapsed="false">
      <c r="A3425" s="15" t="s">
        <v>21337</v>
      </c>
      <c r="B3425" s="15" t="s">
        <v>21397</v>
      </c>
      <c r="C3425" s="14" t="s">
        <v>21462</v>
      </c>
      <c r="D3425" s="14" t="s">
        <v>21463</v>
      </c>
      <c r="E3425" s="16" t="s">
        <v>21464</v>
      </c>
      <c r="F3425" s="16" t="s">
        <v>21465</v>
      </c>
      <c r="G3425" s="19" t="s">
        <v>41</v>
      </c>
      <c r="H3425" s="18" t="n">
        <v>6</v>
      </c>
      <c r="I3425" s="20" t="n">
        <v>112.95</v>
      </c>
      <c r="J3425" s="20" t="n">
        <v>193.89</v>
      </c>
      <c r="K3425" s="18" t="n">
        <v>2</v>
      </c>
      <c r="L3425" s="18" t="n">
        <v>3</v>
      </c>
      <c r="M3425" s="18" t="n">
        <v>44</v>
      </c>
      <c r="N3425" s="18" t="n">
        <v>44</v>
      </c>
      <c r="O3425" s="14" t="s">
        <v>1126</v>
      </c>
      <c r="P3425" s="14" t="s">
        <v>84</v>
      </c>
      <c r="Q3425" s="15" t="s">
        <v>1089</v>
      </c>
      <c r="R3425" s="16" t="s">
        <v>21466</v>
      </c>
      <c r="S3425" s="15" t="s">
        <v>21467</v>
      </c>
      <c r="T3425" s="15" t="s">
        <v>21468</v>
      </c>
      <c r="U3425" s="21" t="s">
        <v>72</v>
      </c>
    </row>
    <row r="3426" customFormat="false" ht="15" hidden="false" customHeight="false" outlineLevel="0" collapsed="false">
      <c r="A3426" s="15" t="s">
        <v>21337</v>
      </c>
      <c r="B3426" s="15" t="s">
        <v>21397</v>
      </c>
      <c r="C3426" s="14" t="s">
        <v>21469</v>
      </c>
      <c r="D3426" s="14" t="s">
        <v>21470</v>
      </c>
      <c r="E3426" s="16" t="s">
        <v>21471</v>
      </c>
      <c r="F3426" s="16" t="s">
        <v>21472</v>
      </c>
      <c r="G3426" s="19" t="s">
        <v>41</v>
      </c>
      <c r="H3426" s="18" t="n">
        <v>6</v>
      </c>
      <c r="I3426" s="20" t="n">
        <v>122.74</v>
      </c>
      <c r="J3426" s="20" t="n">
        <v>241.31</v>
      </c>
      <c r="K3426" s="18" t="n">
        <v>2</v>
      </c>
      <c r="L3426" s="18" t="n">
        <v>1</v>
      </c>
      <c r="M3426" s="18" t="n">
        <v>20</v>
      </c>
      <c r="N3426" s="18" t="n">
        <v>10</v>
      </c>
      <c r="O3426" s="14" t="s">
        <v>1126</v>
      </c>
      <c r="P3426" s="14" t="s">
        <v>118</v>
      </c>
      <c r="Q3426" s="15" t="s">
        <v>1089</v>
      </c>
      <c r="R3426" s="16" t="s">
        <v>21473</v>
      </c>
      <c r="S3426" s="15" t="s">
        <v>21474</v>
      </c>
      <c r="T3426" s="15" t="s">
        <v>21474</v>
      </c>
      <c r="U3426" s="21" t="s">
        <v>72</v>
      </c>
    </row>
    <row r="3427" customFormat="false" ht="15" hidden="false" customHeight="false" outlineLevel="0" collapsed="false">
      <c r="A3427" s="15" t="s">
        <v>21337</v>
      </c>
      <c r="B3427" s="15" t="s">
        <v>21397</v>
      </c>
      <c r="C3427" s="14" t="s">
        <v>21475</v>
      </c>
      <c r="D3427" s="14" t="s">
        <v>21476</v>
      </c>
      <c r="E3427" s="16" t="s">
        <v>21477</v>
      </c>
      <c r="F3427" s="16" t="s">
        <v>21478</v>
      </c>
      <c r="G3427" s="23" t="s">
        <v>43</v>
      </c>
      <c r="H3427" s="18" t="n">
        <v>2</v>
      </c>
      <c r="I3427" s="20" t="n">
        <v>39.76</v>
      </c>
      <c r="J3427" s="20" t="n">
        <v>112.64</v>
      </c>
      <c r="K3427" s="18" t="n">
        <v>2</v>
      </c>
      <c r="L3427" s="18" t="n">
        <v>2</v>
      </c>
      <c r="M3427" s="18" t="n">
        <v>30</v>
      </c>
      <c r="N3427" s="18" t="n">
        <v>30</v>
      </c>
      <c r="O3427" s="14" t="s">
        <v>1126</v>
      </c>
      <c r="P3427" s="14" t="s">
        <v>84</v>
      </c>
      <c r="Q3427" s="15" t="s">
        <v>1089</v>
      </c>
      <c r="R3427" s="16" t="s">
        <v>18587</v>
      </c>
      <c r="S3427" s="15" t="s">
        <v>21479</v>
      </c>
      <c r="T3427" s="15" t="s">
        <v>21479</v>
      </c>
      <c r="U3427" s="21" t="s">
        <v>72</v>
      </c>
    </row>
    <row r="3428" customFormat="false" ht="15" hidden="false" customHeight="false" outlineLevel="0" collapsed="false">
      <c r="A3428" s="15" t="s">
        <v>21337</v>
      </c>
      <c r="B3428" s="15" t="s">
        <v>21397</v>
      </c>
      <c r="C3428" s="14" t="s">
        <v>21480</v>
      </c>
      <c r="D3428" s="14" t="s">
        <v>21481</v>
      </c>
      <c r="E3428" s="16" t="s">
        <v>21482</v>
      </c>
      <c r="F3428" s="16" t="s">
        <v>21483</v>
      </c>
      <c r="G3428" s="19" t="s">
        <v>41</v>
      </c>
      <c r="H3428" s="18" t="n">
        <v>4</v>
      </c>
      <c r="I3428" s="20" t="n">
        <v>117.15</v>
      </c>
      <c r="J3428" s="20" t="n">
        <v>252.99</v>
      </c>
      <c r="K3428" s="18" t="n">
        <v>3</v>
      </c>
      <c r="L3428" s="18" t="n">
        <v>1</v>
      </c>
      <c r="M3428" s="18" t="n">
        <v>84</v>
      </c>
      <c r="N3428" s="18" t="n">
        <v>56</v>
      </c>
      <c r="O3428" s="14" t="s">
        <v>1126</v>
      </c>
      <c r="P3428" s="14" t="s">
        <v>118</v>
      </c>
      <c r="Q3428" s="15" t="s">
        <v>1089</v>
      </c>
      <c r="R3428" s="16" t="s">
        <v>17247</v>
      </c>
      <c r="S3428" s="15" t="s">
        <v>21484</v>
      </c>
      <c r="T3428" s="15" t="s">
        <v>21484</v>
      </c>
      <c r="U3428" s="21" t="s">
        <v>72</v>
      </c>
    </row>
    <row r="3429" customFormat="false" ht="15" hidden="false" customHeight="false" outlineLevel="0" collapsed="false">
      <c r="A3429" s="15" t="s">
        <v>21337</v>
      </c>
      <c r="B3429" s="15" t="s">
        <v>21397</v>
      </c>
      <c r="C3429" s="14" t="s">
        <v>21485</v>
      </c>
      <c r="D3429" s="14" t="s">
        <v>21486</v>
      </c>
      <c r="E3429" s="16" t="s">
        <v>21487</v>
      </c>
      <c r="F3429" s="16" t="s">
        <v>21488</v>
      </c>
      <c r="G3429" s="19" t="s">
        <v>41</v>
      </c>
      <c r="H3429" s="18" t="n">
        <v>4</v>
      </c>
      <c r="I3429" s="20" t="n">
        <v>119.79</v>
      </c>
      <c r="J3429" s="20" t="n">
        <v>225.77</v>
      </c>
      <c r="K3429" s="18" t="n">
        <v>6</v>
      </c>
      <c r="L3429" s="18" t="n">
        <v>5</v>
      </c>
      <c r="M3429" s="18" t="n">
        <v>60</v>
      </c>
      <c r="N3429" s="18" t="n">
        <v>20</v>
      </c>
      <c r="O3429" s="14" t="s">
        <v>1088</v>
      </c>
      <c r="P3429" s="14" t="s">
        <v>118</v>
      </c>
      <c r="Q3429" s="15" t="s">
        <v>1089</v>
      </c>
      <c r="R3429" s="16" t="s">
        <v>21489</v>
      </c>
      <c r="S3429" s="15" t="s">
        <v>21490</v>
      </c>
      <c r="T3429" s="15" t="s">
        <v>21490</v>
      </c>
      <c r="U3429" s="21" t="s">
        <v>72</v>
      </c>
    </row>
    <row r="3430" customFormat="false" ht="15" hidden="false" customHeight="false" outlineLevel="0" collapsed="false">
      <c r="A3430" s="15" t="s">
        <v>21337</v>
      </c>
      <c r="B3430" s="15" t="s">
        <v>21397</v>
      </c>
      <c r="C3430" s="14" t="s">
        <v>21491</v>
      </c>
      <c r="D3430" s="14" t="s">
        <v>21492</v>
      </c>
      <c r="E3430" s="16" t="s">
        <v>21493</v>
      </c>
      <c r="F3430" s="16" t="s">
        <v>21494</v>
      </c>
      <c r="G3430" s="25" t="s">
        <v>39</v>
      </c>
      <c r="H3430" s="18" t="n">
        <v>7</v>
      </c>
      <c r="I3430" s="20" t="n">
        <v>182.9</v>
      </c>
      <c r="J3430" s="20" t="n">
        <v>433.63</v>
      </c>
      <c r="K3430" s="18" t="n">
        <v>16</v>
      </c>
      <c r="L3430" s="18" t="n">
        <v>6</v>
      </c>
      <c r="M3430" s="18" t="n">
        <v>320</v>
      </c>
      <c r="N3430" s="18" t="n">
        <v>320</v>
      </c>
      <c r="O3430" s="14" t="s">
        <v>1126</v>
      </c>
      <c r="P3430" s="14" t="s">
        <v>84</v>
      </c>
      <c r="Q3430" s="15" t="s">
        <v>1089</v>
      </c>
      <c r="R3430" s="16" t="s">
        <v>18249</v>
      </c>
      <c r="S3430" s="15" t="s">
        <v>21495</v>
      </c>
      <c r="T3430" s="15" t="s">
        <v>21495</v>
      </c>
      <c r="U3430" s="21" t="s">
        <v>72</v>
      </c>
    </row>
    <row r="3431" customFormat="false" ht="15" hidden="false" customHeight="false" outlineLevel="0" collapsed="false">
      <c r="A3431" s="15" t="s">
        <v>21337</v>
      </c>
      <c r="B3431" s="15" t="s">
        <v>21397</v>
      </c>
      <c r="C3431" s="14" t="s">
        <v>21496</v>
      </c>
      <c r="D3431" s="14" t="s">
        <v>21497</v>
      </c>
      <c r="E3431" s="16" t="s">
        <v>21498</v>
      </c>
      <c r="F3431" s="16" t="s">
        <v>21499</v>
      </c>
      <c r="G3431" s="19" t="s">
        <v>41</v>
      </c>
      <c r="H3431" s="18" t="n">
        <v>4</v>
      </c>
      <c r="I3431" s="20" t="n">
        <v>82.79</v>
      </c>
      <c r="J3431" s="20" t="n">
        <v>228.87</v>
      </c>
      <c r="K3431" s="18" t="n">
        <v>4</v>
      </c>
      <c r="L3431" s="18" t="n">
        <v>5</v>
      </c>
      <c r="M3431" s="18" t="n">
        <v>68</v>
      </c>
      <c r="N3431" s="18" t="n">
        <v>34</v>
      </c>
      <c r="O3431" s="14" t="s">
        <v>1088</v>
      </c>
      <c r="P3431" s="14" t="s">
        <v>84</v>
      </c>
      <c r="Q3431" s="15" t="s">
        <v>1089</v>
      </c>
      <c r="R3431" s="16" t="s">
        <v>21500</v>
      </c>
      <c r="S3431" s="15" t="s">
        <v>21501</v>
      </c>
      <c r="T3431" s="15" t="s">
        <v>21501</v>
      </c>
      <c r="U3431" s="21" t="s">
        <v>72</v>
      </c>
    </row>
    <row r="3432" customFormat="false" ht="15" hidden="false" customHeight="false" outlineLevel="0" collapsed="false">
      <c r="A3432" s="15" t="s">
        <v>21337</v>
      </c>
      <c r="B3432" s="15" t="s">
        <v>21397</v>
      </c>
      <c r="C3432" s="14" t="s">
        <v>21502</v>
      </c>
      <c r="D3432" s="14" t="s">
        <v>21503</v>
      </c>
      <c r="E3432" s="16" t="s">
        <v>21504</v>
      </c>
      <c r="F3432" s="16" t="s">
        <v>21454</v>
      </c>
      <c r="G3432" s="25" t="s">
        <v>39</v>
      </c>
      <c r="H3432" s="18" t="n">
        <v>9</v>
      </c>
      <c r="I3432" s="20" t="n">
        <v>234.05</v>
      </c>
      <c r="J3432" s="20" t="n">
        <v>435.92</v>
      </c>
      <c r="K3432" s="18" t="n">
        <v>9</v>
      </c>
      <c r="L3432" s="18" t="n">
        <v>5</v>
      </c>
      <c r="M3432" s="18" t="n">
        <v>189</v>
      </c>
      <c r="N3432" s="18" t="n">
        <v>63</v>
      </c>
      <c r="O3432" s="14" t="s">
        <v>17859</v>
      </c>
      <c r="P3432" s="14" t="s">
        <v>118</v>
      </c>
      <c r="Q3432" s="15" t="s">
        <v>1089</v>
      </c>
      <c r="R3432" s="16" t="s">
        <v>21505</v>
      </c>
      <c r="S3432" s="15" t="s">
        <v>21455</v>
      </c>
      <c r="T3432" s="15" t="s">
        <v>21506</v>
      </c>
      <c r="U3432" s="21" t="s">
        <v>72</v>
      </c>
    </row>
    <row r="3433" customFormat="false" ht="26.85" hidden="false" customHeight="false" outlineLevel="0" collapsed="false">
      <c r="A3433" s="15" t="s">
        <v>21337</v>
      </c>
      <c r="B3433" s="15" t="s">
        <v>21397</v>
      </c>
      <c r="C3433" s="14" t="s">
        <v>21507</v>
      </c>
      <c r="D3433" s="14" t="s">
        <v>21508</v>
      </c>
      <c r="E3433" s="16" t="s">
        <v>21509</v>
      </c>
      <c r="F3433" s="16"/>
      <c r="G3433" s="25" t="s">
        <v>39</v>
      </c>
      <c r="H3433" s="18" t="n">
        <v>10</v>
      </c>
      <c r="I3433" s="20" t="n">
        <v>499.17</v>
      </c>
      <c r="J3433" s="20" t="n">
        <v>793.95</v>
      </c>
      <c r="K3433" s="18" t="n">
        <v>13</v>
      </c>
      <c r="L3433" s="18" t="n">
        <v>8</v>
      </c>
      <c r="M3433" s="18" t="n">
        <v>260</v>
      </c>
      <c r="N3433" s="18" t="n">
        <v>20</v>
      </c>
      <c r="O3433" s="14" t="s">
        <v>1088</v>
      </c>
      <c r="P3433" s="14" t="s">
        <v>21510</v>
      </c>
      <c r="Q3433" s="15" t="s">
        <v>1089</v>
      </c>
      <c r="R3433" s="16" t="s">
        <v>21511</v>
      </c>
      <c r="S3433" s="15" t="s">
        <v>21512</v>
      </c>
      <c r="T3433" s="15" t="s">
        <v>21513</v>
      </c>
      <c r="U3433" s="21" t="s">
        <v>72</v>
      </c>
    </row>
    <row r="3434" customFormat="false" ht="26.85" hidden="false" customHeight="false" outlineLevel="0" collapsed="false">
      <c r="A3434" s="15" t="s">
        <v>21337</v>
      </c>
      <c r="B3434" s="15" t="s">
        <v>21397</v>
      </c>
      <c r="C3434" s="14" t="s">
        <v>21514</v>
      </c>
      <c r="D3434" s="14" t="s">
        <v>21515</v>
      </c>
      <c r="E3434" s="16" t="s">
        <v>21516</v>
      </c>
      <c r="F3434" s="16" t="s">
        <v>21517</v>
      </c>
      <c r="G3434" s="25" t="s">
        <v>39</v>
      </c>
      <c r="H3434" s="18" t="n">
        <v>17</v>
      </c>
      <c r="I3434" s="20" t="n">
        <v>1042.48</v>
      </c>
      <c r="J3434" s="20" t="n">
        <v>1650.01</v>
      </c>
      <c r="K3434" s="18" t="n">
        <v>14</v>
      </c>
      <c r="L3434" s="18" t="n">
        <v>14</v>
      </c>
      <c r="M3434" s="18" t="n">
        <v>280</v>
      </c>
      <c r="N3434" s="18" t="n">
        <v>20</v>
      </c>
      <c r="O3434" s="14" t="s">
        <v>1088</v>
      </c>
      <c r="P3434" s="14" t="s">
        <v>15463</v>
      </c>
      <c r="Q3434" s="15" t="s">
        <v>1089</v>
      </c>
      <c r="R3434" s="16" t="s">
        <v>21518</v>
      </c>
      <c r="S3434" s="15" t="s">
        <v>21519</v>
      </c>
      <c r="T3434" s="15" t="s">
        <v>21520</v>
      </c>
      <c r="U3434" s="21" t="s">
        <v>72</v>
      </c>
    </row>
    <row r="3435" customFormat="false" ht="15" hidden="false" customHeight="false" outlineLevel="0" collapsed="false">
      <c r="A3435" s="15" t="s">
        <v>21337</v>
      </c>
      <c r="B3435" s="15" t="s">
        <v>21397</v>
      </c>
      <c r="C3435" s="14" t="s">
        <v>21521</v>
      </c>
      <c r="D3435" s="14" t="s">
        <v>21522</v>
      </c>
      <c r="E3435" s="16" t="s">
        <v>21523</v>
      </c>
      <c r="F3435" s="16" t="s">
        <v>21524</v>
      </c>
      <c r="G3435" s="23" t="s">
        <v>43</v>
      </c>
      <c r="H3435" s="18" t="n">
        <v>3</v>
      </c>
      <c r="I3435" s="20" t="n">
        <v>49.52</v>
      </c>
      <c r="J3435" s="20" t="n">
        <v>107.71</v>
      </c>
      <c r="K3435" s="18" t="n">
        <v>3</v>
      </c>
      <c r="L3435" s="18" t="n">
        <v>3</v>
      </c>
      <c r="M3435" s="18" t="n">
        <v>39</v>
      </c>
      <c r="N3435" s="18" t="n">
        <v>13</v>
      </c>
      <c r="O3435" s="14" t="s">
        <v>1126</v>
      </c>
      <c r="P3435" s="14" t="s">
        <v>84</v>
      </c>
      <c r="Q3435" s="15" t="s">
        <v>1089</v>
      </c>
      <c r="R3435" s="16" t="s">
        <v>21525</v>
      </c>
      <c r="S3435" s="15" t="s">
        <v>21526</v>
      </c>
      <c r="T3435" s="15" t="s">
        <v>21527</v>
      </c>
      <c r="U3435" s="21" t="s">
        <v>72</v>
      </c>
    </row>
    <row r="3436" customFormat="false" ht="26.85" hidden="false" customHeight="false" outlineLevel="0" collapsed="false">
      <c r="A3436" s="15" t="s">
        <v>21337</v>
      </c>
      <c r="B3436" s="15" t="s">
        <v>21397</v>
      </c>
      <c r="C3436" s="14" t="s">
        <v>21528</v>
      </c>
      <c r="D3436" s="14" t="s">
        <v>21529</v>
      </c>
      <c r="E3436" s="16" t="s">
        <v>21530</v>
      </c>
      <c r="F3436" s="16" t="s">
        <v>21531</v>
      </c>
      <c r="G3436" s="25" t="s">
        <v>39</v>
      </c>
      <c r="H3436" s="18" t="n">
        <v>8</v>
      </c>
      <c r="I3436" s="20" t="n">
        <v>183.41</v>
      </c>
      <c r="J3436" s="20" t="n">
        <v>317.97</v>
      </c>
      <c r="K3436" s="18" t="n">
        <v>12</v>
      </c>
      <c r="L3436" s="18" t="n">
        <v>12</v>
      </c>
      <c r="M3436" s="18" t="n">
        <v>216</v>
      </c>
      <c r="N3436" s="18" t="n">
        <v>144</v>
      </c>
      <c r="O3436" s="14" t="s">
        <v>5962</v>
      </c>
      <c r="P3436" s="14" t="s">
        <v>118</v>
      </c>
      <c r="Q3436" s="15" t="s">
        <v>1089</v>
      </c>
      <c r="R3436" s="16" t="s">
        <v>21532</v>
      </c>
      <c r="S3436" s="15" t="s">
        <v>21533</v>
      </c>
      <c r="T3436" s="15" t="s">
        <v>21533</v>
      </c>
      <c r="U3436" s="21" t="s">
        <v>72</v>
      </c>
    </row>
    <row r="3437" customFormat="false" ht="15" hidden="false" customHeight="false" outlineLevel="0" collapsed="false">
      <c r="A3437" s="15" t="s">
        <v>21337</v>
      </c>
      <c r="B3437" s="15" t="s">
        <v>21397</v>
      </c>
      <c r="C3437" s="14" t="s">
        <v>21534</v>
      </c>
      <c r="D3437" s="14" t="s">
        <v>21535</v>
      </c>
      <c r="E3437" s="16" t="s">
        <v>21536</v>
      </c>
      <c r="F3437" s="16" t="s">
        <v>21537</v>
      </c>
      <c r="G3437" s="23" t="s">
        <v>43</v>
      </c>
      <c r="H3437" s="18" t="n">
        <v>3</v>
      </c>
      <c r="I3437" s="20" t="n">
        <v>97.48</v>
      </c>
      <c r="J3437" s="20" t="n">
        <v>184.5</v>
      </c>
      <c r="K3437" s="18" t="n">
        <v>9</v>
      </c>
      <c r="L3437" s="18" t="n">
        <v>4</v>
      </c>
      <c r="M3437" s="18" t="n">
        <v>243</v>
      </c>
      <c r="N3437" s="18" t="n">
        <v>27</v>
      </c>
      <c r="O3437" s="14" t="s">
        <v>1126</v>
      </c>
      <c r="P3437" s="14" t="s">
        <v>118</v>
      </c>
      <c r="Q3437" s="15" t="s">
        <v>1089</v>
      </c>
      <c r="R3437" s="16" t="s">
        <v>21538</v>
      </c>
      <c r="S3437" s="15" t="s">
        <v>21539</v>
      </c>
      <c r="T3437" s="15" t="s">
        <v>21540</v>
      </c>
      <c r="U3437" s="21" t="s">
        <v>72</v>
      </c>
    </row>
    <row r="3438" customFormat="false" ht="15" hidden="false" customHeight="false" outlineLevel="0" collapsed="false">
      <c r="A3438" s="15" t="s">
        <v>21337</v>
      </c>
      <c r="B3438" s="15" t="s">
        <v>21397</v>
      </c>
      <c r="C3438" s="14" t="s">
        <v>21541</v>
      </c>
      <c r="D3438" s="14" t="s">
        <v>21542</v>
      </c>
      <c r="E3438" s="16" t="s">
        <v>21543</v>
      </c>
      <c r="F3438" s="16" t="s">
        <v>21544</v>
      </c>
      <c r="G3438" s="23" t="s">
        <v>43</v>
      </c>
      <c r="H3438" s="18" t="n">
        <v>2</v>
      </c>
      <c r="I3438" s="20" t="n">
        <v>78.1</v>
      </c>
      <c r="J3438" s="20" t="n">
        <v>117.89</v>
      </c>
      <c r="K3438" s="18" t="n">
        <v>11</v>
      </c>
      <c r="L3438" s="18" t="n">
        <v>5</v>
      </c>
      <c r="M3438" s="18" t="n">
        <v>429</v>
      </c>
      <c r="N3438" s="18" t="n">
        <v>39</v>
      </c>
      <c r="O3438" s="14" t="s">
        <v>1097</v>
      </c>
      <c r="P3438" s="14" t="s">
        <v>118</v>
      </c>
      <c r="Q3438" s="15" t="s">
        <v>1089</v>
      </c>
      <c r="R3438" s="16" t="s">
        <v>9610</v>
      </c>
      <c r="S3438" s="15" t="s">
        <v>21545</v>
      </c>
      <c r="T3438" s="15" t="s">
        <v>21545</v>
      </c>
      <c r="U3438" s="21" t="s">
        <v>72</v>
      </c>
    </row>
    <row r="3439" customFormat="false" ht="15" hidden="false" customHeight="false" outlineLevel="0" collapsed="false">
      <c r="A3439" s="15" t="s">
        <v>21337</v>
      </c>
      <c r="B3439" s="15" t="s">
        <v>21397</v>
      </c>
      <c r="C3439" s="14" t="s">
        <v>21546</v>
      </c>
      <c r="D3439" s="14" t="s">
        <v>21547</v>
      </c>
      <c r="E3439" s="16" t="s">
        <v>21548</v>
      </c>
      <c r="F3439" s="16" t="s">
        <v>21549</v>
      </c>
      <c r="G3439" s="19" t="s">
        <v>41</v>
      </c>
      <c r="H3439" s="18" t="n">
        <v>5</v>
      </c>
      <c r="I3439" s="20" t="n">
        <v>233.5</v>
      </c>
      <c r="J3439" s="20" t="n">
        <v>336.17</v>
      </c>
      <c r="K3439" s="18" t="n">
        <v>18</v>
      </c>
      <c r="L3439" s="18" t="n">
        <v>4</v>
      </c>
      <c r="M3439" s="18" t="n">
        <v>702</v>
      </c>
      <c r="N3439" s="18" t="n">
        <v>312</v>
      </c>
      <c r="O3439" s="14" t="s">
        <v>1126</v>
      </c>
      <c r="P3439" s="14" t="s">
        <v>118</v>
      </c>
      <c r="Q3439" s="15" t="s">
        <v>1089</v>
      </c>
      <c r="R3439" s="16" t="s">
        <v>5353</v>
      </c>
      <c r="S3439" s="15" t="s">
        <v>21550</v>
      </c>
      <c r="T3439" s="15" t="s">
        <v>21551</v>
      </c>
      <c r="U3439" s="21" t="s">
        <v>72</v>
      </c>
    </row>
    <row r="3440" customFormat="false" ht="15" hidden="false" customHeight="false" outlineLevel="0" collapsed="false">
      <c r="A3440" s="15" t="s">
        <v>21337</v>
      </c>
      <c r="B3440" s="15" t="s">
        <v>21397</v>
      </c>
      <c r="C3440" s="14" t="s">
        <v>21552</v>
      </c>
      <c r="D3440" s="14" t="s">
        <v>21553</v>
      </c>
      <c r="E3440" s="16" t="s">
        <v>21554</v>
      </c>
      <c r="F3440" s="16" t="s">
        <v>21555</v>
      </c>
      <c r="G3440" s="25" t="s">
        <v>39</v>
      </c>
      <c r="H3440" s="18" t="n">
        <v>10</v>
      </c>
      <c r="I3440" s="20" t="n">
        <v>195.19</v>
      </c>
      <c r="J3440" s="20" t="n">
        <v>354.81</v>
      </c>
      <c r="K3440" s="18" t="n">
        <v>24</v>
      </c>
      <c r="L3440" s="18" t="n">
        <v>9</v>
      </c>
      <c r="M3440" s="18" t="n">
        <v>432</v>
      </c>
      <c r="N3440" s="18" t="n">
        <v>126</v>
      </c>
      <c r="O3440" s="14" t="s">
        <v>1126</v>
      </c>
      <c r="P3440" s="14" t="s">
        <v>515</v>
      </c>
      <c r="Q3440" s="15" t="s">
        <v>1089</v>
      </c>
      <c r="R3440" s="16" t="s">
        <v>5570</v>
      </c>
      <c r="S3440" s="15" t="s">
        <v>21556</v>
      </c>
      <c r="T3440" s="15" t="s">
        <v>21557</v>
      </c>
      <c r="U3440" s="21" t="s">
        <v>72</v>
      </c>
    </row>
    <row r="3441" customFormat="false" ht="15" hidden="false" customHeight="false" outlineLevel="0" collapsed="false">
      <c r="A3441" s="15" t="s">
        <v>21337</v>
      </c>
      <c r="B3441" s="15" t="s">
        <v>21397</v>
      </c>
      <c r="C3441" s="14" t="s">
        <v>21558</v>
      </c>
      <c r="D3441" s="14" t="s">
        <v>21559</v>
      </c>
      <c r="E3441" s="16" t="s">
        <v>21560</v>
      </c>
      <c r="F3441" s="16" t="s">
        <v>21561</v>
      </c>
      <c r="G3441" s="19" t="s">
        <v>41</v>
      </c>
      <c r="H3441" s="18" t="n">
        <v>7</v>
      </c>
      <c r="I3441" s="20" t="n">
        <v>185.3</v>
      </c>
      <c r="J3441" s="20" t="n">
        <v>361.24</v>
      </c>
      <c r="K3441" s="18" t="n">
        <v>7</v>
      </c>
      <c r="L3441" s="18" t="n">
        <v>5</v>
      </c>
      <c r="M3441" s="18" t="n">
        <v>112</v>
      </c>
      <c r="N3441" s="18" t="n">
        <v>48</v>
      </c>
      <c r="O3441" s="14" t="s">
        <v>1126</v>
      </c>
      <c r="P3441" s="14" t="s">
        <v>118</v>
      </c>
      <c r="Q3441" s="15" t="s">
        <v>1089</v>
      </c>
      <c r="R3441" s="16" t="s">
        <v>21562</v>
      </c>
      <c r="S3441" s="15" t="s">
        <v>21563</v>
      </c>
      <c r="T3441" s="15" t="s">
        <v>21564</v>
      </c>
      <c r="U3441" s="21" t="s">
        <v>72</v>
      </c>
    </row>
    <row r="3442" customFormat="false" ht="15" hidden="false" customHeight="false" outlineLevel="0" collapsed="false">
      <c r="A3442" s="15" t="s">
        <v>21337</v>
      </c>
      <c r="B3442" s="15" t="s">
        <v>21397</v>
      </c>
      <c r="C3442" s="14" t="s">
        <v>21565</v>
      </c>
      <c r="D3442" s="14" t="s">
        <v>21566</v>
      </c>
      <c r="E3442" s="16" t="s">
        <v>21567</v>
      </c>
      <c r="F3442" s="16" t="s">
        <v>21568</v>
      </c>
      <c r="G3442" s="23" t="s">
        <v>43</v>
      </c>
      <c r="H3442" s="18" t="n">
        <v>4</v>
      </c>
      <c r="I3442" s="20" t="n">
        <v>51.19</v>
      </c>
      <c r="J3442" s="20" t="n">
        <v>100.3</v>
      </c>
      <c r="K3442" s="18" t="n">
        <v>11</v>
      </c>
      <c r="L3442" s="18" t="n">
        <v>4</v>
      </c>
      <c r="M3442" s="18" t="n">
        <v>110</v>
      </c>
      <c r="N3442" s="18" t="n">
        <v>60</v>
      </c>
      <c r="O3442" s="14" t="s">
        <v>5962</v>
      </c>
      <c r="P3442" s="14" t="s">
        <v>118</v>
      </c>
      <c r="Q3442" s="15" t="s">
        <v>1089</v>
      </c>
      <c r="R3442" s="16" t="s">
        <v>21569</v>
      </c>
      <c r="S3442" s="15" t="s">
        <v>21570</v>
      </c>
      <c r="T3442" s="15" t="s">
        <v>19765</v>
      </c>
      <c r="U3442" s="21" t="s">
        <v>72</v>
      </c>
    </row>
    <row r="3443" customFormat="false" ht="15" hidden="false" customHeight="false" outlineLevel="0" collapsed="false">
      <c r="A3443" s="15" t="s">
        <v>21337</v>
      </c>
      <c r="B3443" s="15" t="s">
        <v>21397</v>
      </c>
      <c r="C3443" s="14" t="s">
        <v>21571</v>
      </c>
      <c r="D3443" s="14" t="s">
        <v>21572</v>
      </c>
      <c r="E3443" s="16" t="s">
        <v>21573</v>
      </c>
      <c r="F3443" s="16" t="s">
        <v>21574</v>
      </c>
      <c r="G3443" s="23" t="s">
        <v>43</v>
      </c>
      <c r="H3443" s="18" t="n">
        <v>4</v>
      </c>
      <c r="I3443" s="20" t="n">
        <v>84.67</v>
      </c>
      <c r="J3443" s="20" t="n">
        <v>159.83</v>
      </c>
      <c r="K3443" s="18" t="n">
        <v>9</v>
      </c>
      <c r="L3443" s="18" t="n">
        <v>7</v>
      </c>
      <c r="M3443" s="18" t="n">
        <v>153</v>
      </c>
      <c r="N3443" s="18" t="n">
        <v>102</v>
      </c>
      <c r="O3443" s="14" t="s">
        <v>1126</v>
      </c>
      <c r="P3443" s="14" t="s">
        <v>118</v>
      </c>
      <c r="Q3443" s="15" t="s">
        <v>1089</v>
      </c>
      <c r="R3443" s="16" t="s">
        <v>7709</v>
      </c>
      <c r="S3443" s="15" t="s">
        <v>21575</v>
      </c>
      <c r="T3443" s="15" t="s">
        <v>21575</v>
      </c>
      <c r="U3443" s="21" t="s">
        <v>72</v>
      </c>
    </row>
    <row r="3444" customFormat="false" ht="26.85" hidden="false" customHeight="false" outlineLevel="0" collapsed="false">
      <c r="A3444" s="15" t="s">
        <v>21337</v>
      </c>
      <c r="B3444" s="15" t="s">
        <v>21397</v>
      </c>
      <c r="C3444" s="14" t="s">
        <v>21576</v>
      </c>
      <c r="D3444" s="14" t="s">
        <v>21577</v>
      </c>
      <c r="E3444" s="16" t="s">
        <v>21578</v>
      </c>
      <c r="F3444" s="16" t="s">
        <v>21579</v>
      </c>
      <c r="G3444" s="25" t="s">
        <v>39</v>
      </c>
      <c r="H3444" s="18" t="n">
        <v>3</v>
      </c>
      <c r="I3444" s="20" t="n">
        <v>328.34</v>
      </c>
      <c r="J3444" s="20" t="n">
        <v>470.345</v>
      </c>
      <c r="K3444" s="18" t="n">
        <v>3</v>
      </c>
      <c r="L3444" s="18" t="n">
        <v>3</v>
      </c>
      <c r="M3444" s="18" t="n">
        <v>48</v>
      </c>
      <c r="N3444" s="18" t="n">
        <v>48</v>
      </c>
      <c r="O3444" s="14" t="s">
        <v>1126</v>
      </c>
      <c r="P3444" s="14" t="s">
        <v>84</v>
      </c>
      <c r="Q3444" s="15" t="s">
        <v>1089</v>
      </c>
      <c r="R3444" s="16" t="s">
        <v>21580</v>
      </c>
      <c r="S3444" s="15" t="s">
        <v>21581</v>
      </c>
      <c r="T3444" s="15" t="s">
        <v>21581</v>
      </c>
      <c r="U3444" s="21" t="s">
        <v>72</v>
      </c>
    </row>
    <row r="3445" customFormat="false" ht="15" hidden="false" customHeight="false" outlineLevel="0" collapsed="false">
      <c r="A3445" s="15" t="s">
        <v>21337</v>
      </c>
      <c r="B3445" s="15" t="s">
        <v>21397</v>
      </c>
      <c r="C3445" s="14" t="s">
        <v>21582</v>
      </c>
      <c r="D3445" s="14" t="s">
        <v>21583</v>
      </c>
      <c r="E3445" s="16" t="s">
        <v>21584</v>
      </c>
      <c r="F3445" s="16" t="s">
        <v>21585</v>
      </c>
      <c r="G3445" s="25" t="s">
        <v>39</v>
      </c>
      <c r="H3445" s="18" t="n">
        <v>8</v>
      </c>
      <c r="I3445" s="20" t="n">
        <v>199.05</v>
      </c>
      <c r="J3445" s="20" t="n">
        <v>383.15</v>
      </c>
      <c r="K3445" s="18" t="n">
        <v>12</v>
      </c>
      <c r="L3445" s="18" t="n">
        <v>2</v>
      </c>
      <c r="M3445" s="18" t="n">
        <v>144</v>
      </c>
      <c r="N3445" s="18" t="n">
        <v>144</v>
      </c>
      <c r="O3445" s="14" t="s">
        <v>1126</v>
      </c>
      <c r="P3445" s="14" t="s">
        <v>84</v>
      </c>
      <c r="Q3445" s="15" t="s">
        <v>1089</v>
      </c>
      <c r="R3445" s="16" t="s">
        <v>21586</v>
      </c>
      <c r="S3445" s="15" t="s">
        <v>18472</v>
      </c>
      <c r="T3445" s="15" t="s">
        <v>18472</v>
      </c>
      <c r="U3445" s="21" t="s">
        <v>72</v>
      </c>
    </row>
    <row r="3446" customFormat="false" ht="15" hidden="false" customHeight="false" outlineLevel="0" collapsed="false">
      <c r="A3446" s="15" t="s">
        <v>21337</v>
      </c>
      <c r="B3446" s="15" t="s">
        <v>21397</v>
      </c>
      <c r="C3446" s="14" t="s">
        <v>21587</v>
      </c>
      <c r="D3446" s="14" t="s">
        <v>21588</v>
      </c>
      <c r="E3446" s="16" t="s">
        <v>21589</v>
      </c>
      <c r="F3446" s="16" t="s">
        <v>21590</v>
      </c>
      <c r="G3446" s="25" t="s">
        <v>39</v>
      </c>
      <c r="H3446" s="18" t="n">
        <v>11</v>
      </c>
      <c r="I3446" s="20" t="n">
        <v>291.06</v>
      </c>
      <c r="J3446" s="20" t="n">
        <v>489.78</v>
      </c>
      <c r="K3446" s="18" t="n">
        <v>11</v>
      </c>
      <c r="L3446" s="18" t="n">
        <v>8</v>
      </c>
      <c r="M3446" s="18" t="n">
        <v>308</v>
      </c>
      <c r="N3446" s="18" t="n">
        <v>84</v>
      </c>
      <c r="O3446" s="14" t="s">
        <v>3724</v>
      </c>
      <c r="P3446" s="14" t="s">
        <v>515</v>
      </c>
      <c r="Q3446" s="15" t="s">
        <v>1089</v>
      </c>
      <c r="R3446" s="16" t="s">
        <v>15180</v>
      </c>
      <c r="S3446" s="15" t="s">
        <v>21591</v>
      </c>
      <c r="T3446" s="15" t="s">
        <v>21591</v>
      </c>
      <c r="U3446" s="21" t="s">
        <v>72</v>
      </c>
    </row>
    <row r="3447" customFormat="false" ht="15" hidden="false" customHeight="false" outlineLevel="0" collapsed="false">
      <c r="A3447" s="15" t="s">
        <v>21337</v>
      </c>
      <c r="B3447" s="15" t="s">
        <v>21397</v>
      </c>
      <c r="C3447" s="14" t="s">
        <v>21592</v>
      </c>
      <c r="D3447" s="14" t="s">
        <v>21593</v>
      </c>
      <c r="E3447" s="16" t="s">
        <v>21594</v>
      </c>
      <c r="F3447" s="16" t="s">
        <v>21595</v>
      </c>
      <c r="G3447" s="19" t="s">
        <v>41</v>
      </c>
      <c r="H3447" s="18" t="n">
        <v>5</v>
      </c>
      <c r="I3447" s="20" t="n">
        <v>157.18</v>
      </c>
      <c r="J3447" s="20" t="n">
        <v>264.12</v>
      </c>
      <c r="K3447" s="18" t="n">
        <v>6</v>
      </c>
      <c r="L3447" s="18" t="n">
        <v>8</v>
      </c>
      <c r="M3447" s="18" t="n">
        <v>186</v>
      </c>
      <c r="N3447" s="18" t="n">
        <v>93</v>
      </c>
      <c r="O3447" s="14" t="s">
        <v>1088</v>
      </c>
      <c r="P3447" s="14" t="s">
        <v>84</v>
      </c>
      <c r="Q3447" s="15" t="s">
        <v>1089</v>
      </c>
      <c r="R3447" s="16" t="s">
        <v>21596</v>
      </c>
      <c r="S3447" s="15" t="s">
        <v>4565</v>
      </c>
      <c r="T3447" s="15" t="s">
        <v>21597</v>
      </c>
      <c r="U3447" s="21" t="s">
        <v>72</v>
      </c>
    </row>
    <row r="3448" customFormat="false" ht="15" hidden="false" customHeight="false" outlineLevel="0" collapsed="false">
      <c r="A3448" s="15" t="s">
        <v>21337</v>
      </c>
      <c r="B3448" s="15" t="s">
        <v>21397</v>
      </c>
      <c r="C3448" s="14" t="s">
        <v>21598</v>
      </c>
      <c r="D3448" s="14" t="s">
        <v>21599</v>
      </c>
      <c r="E3448" s="16" t="s">
        <v>21600</v>
      </c>
      <c r="F3448" s="16" t="s">
        <v>21601</v>
      </c>
      <c r="G3448" s="23" t="s">
        <v>43</v>
      </c>
      <c r="H3448" s="18" t="n">
        <v>3</v>
      </c>
      <c r="I3448" s="20" t="n">
        <v>71.5</v>
      </c>
      <c r="J3448" s="20" t="n">
        <v>181.8</v>
      </c>
      <c r="K3448" s="18" t="n">
        <v>5</v>
      </c>
      <c r="L3448" s="18" t="n">
        <v>4</v>
      </c>
      <c r="M3448" s="18" t="n">
        <v>90</v>
      </c>
      <c r="N3448" s="18" t="n">
        <v>54</v>
      </c>
      <c r="O3448" s="14" t="s">
        <v>1126</v>
      </c>
      <c r="P3448" s="14" t="s">
        <v>84</v>
      </c>
      <c r="Q3448" s="15" t="s">
        <v>1089</v>
      </c>
      <c r="R3448" s="16" t="s">
        <v>15799</v>
      </c>
      <c r="S3448" s="15" t="s">
        <v>21602</v>
      </c>
      <c r="T3448" s="15" t="s">
        <v>21602</v>
      </c>
      <c r="U3448" s="21" t="s">
        <v>72</v>
      </c>
    </row>
    <row r="3449" customFormat="false" ht="15" hidden="false" customHeight="false" outlineLevel="0" collapsed="false">
      <c r="A3449" s="15" t="s">
        <v>21337</v>
      </c>
      <c r="B3449" s="15" t="s">
        <v>21397</v>
      </c>
      <c r="C3449" s="14" t="s">
        <v>21603</v>
      </c>
      <c r="D3449" s="14" t="s">
        <v>21604</v>
      </c>
      <c r="E3449" s="16" t="s">
        <v>21605</v>
      </c>
      <c r="F3449" s="16" t="s">
        <v>21606</v>
      </c>
      <c r="G3449" s="25" t="s">
        <v>39</v>
      </c>
      <c r="H3449" s="18" t="n">
        <v>7</v>
      </c>
      <c r="I3449" s="20" t="n">
        <v>185.74</v>
      </c>
      <c r="J3449" s="20" t="n">
        <v>493.78</v>
      </c>
      <c r="K3449" s="18" t="n">
        <v>30</v>
      </c>
      <c r="L3449" s="18" t="n">
        <v>13</v>
      </c>
      <c r="M3449" s="18" t="n">
        <v>1110</v>
      </c>
      <c r="N3449" s="18" t="n">
        <v>666</v>
      </c>
      <c r="O3449" s="14" t="s">
        <v>1088</v>
      </c>
      <c r="P3449" s="14" t="s">
        <v>84</v>
      </c>
      <c r="Q3449" s="15" t="s">
        <v>1089</v>
      </c>
      <c r="R3449" s="16" t="s">
        <v>21607</v>
      </c>
      <c r="S3449" s="15" t="s">
        <v>21608</v>
      </c>
      <c r="T3449" s="15" t="s">
        <v>21609</v>
      </c>
      <c r="U3449" s="21" t="s">
        <v>72</v>
      </c>
    </row>
    <row r="3450" customFormat="false" ht="15" hidden="false" customHeight="false" outlineLevel="0" collapsed="false">
      <c r="A3450" s="15" t="s">
        <v>21337</v>
      </c>
      <c r="B3450" s="15" t="s">
        <v>21397</v>
      </c>
      <c r="C3450" s="14" t="s">
        <v>21610</v>
      </c>
      <c r="D3450" s="14" t="s">
        <v>21611</v>
      </c>
      <c r="E3450" s="16" t="s">
        <v>21612</v>
      </c>
      <c r="F3450" s="16"/>
      <c r="G3450" s="23" t="s">
        <v>43</v>
      </c>
      <c r="H3450" s="18" t="n">
        <v>3</v>
      </c>
      <c r="I3450" s="20" t="n">
        <v>36.06</v>
      </c>
      <c r="J3450" s="20" t="n">
        <v>71.34</v>
      </c>
      <c r="K3450" s="18" t="n">
        <v>4</v>
      </c>
      <c r="L3450" s="18" t="n">
        <v>2</v>
      </c>
      <c r="M3450" s="18" t="n">
        <v>44</v>
      </c>
      <c r="N3450" s="18" t="n">
        <v>22</v>
      </c>
      <c r="O3450" s="14" t="s">
        <v>1097</v>
      </c>
      <c r="P3450" s="14" t="s">
        <v>118</v>
      </c>
      <c r="Q3450" s="15" t="s">
        <v>1089</v>
      </c>
      <c r="R3450" s="16" t="s">
        <v>3305</v>
      </c>
      <c r="S3450" s="15" t="s">
        <v>21613</v>
      </c>
      <c r="T3450" s="15" t="s">
        <v>21613</v>
      </c>
      <c r="U3450" s="21" t="s">
        <v>72</v>
      </c>
    </row>
    <row r="3451" customFormat="false" ht="15" hidden="false" customHeight="false" outlineLevel="0" collapsed="false">
      <c r="A3451" s="15" t="s">
        <v>21337</v>
      </c>
      <c r="B3451" s="15" t="s">
        <v>21397</v>
      </c>
      <c r="C3451" s="14" t="s">
        <v>21614</v>
      </c>
      <c r="D3451" s="14" t="s">
        <v>21615</v>
      </c>
      <c r="E3451" s="16" t="s">
        <v>21616</v>
      </c>
      <c r="F3451" s="16" t="s">
        <v>21617</v>
      </c>
      <c r="G3451" s="23" t="s">
        <v>43</v>
      </c>
      <c r="H3451" s="18" t="n">
        <v>2</v>
      </c>
      <c r="I3451" s="20" t="n">
        <v>30.89</v>
      </c>
      <c r="J3451" s="20" t="n">
        <v>97.02</v>
      </c>
      <c r="K3451" s="18" t="n">
        <v>2</v>
      </c>
      <c r="L3451" s="18" t="n">
        <v>3</v>
      </c>
      <c r="M3451" s="18" t="n">
        <v>30</v>
      </c>
      <c r="N3451" s="18" t="n">
        <v>30</v>
      </c>
      <c r="O3451" s="14" t="s">
        <v>1097</v>
      </c>
      <c r="P3451" s="14" t="s">
        <v>118</v>
      </c>
      <c r="Q3451" s="15" t="s">
        <v>1089</v>
      </c>
      <c r="R3451" s="16" t="s">
        <v>21618</v>
      </c>
      <c r="S3451" s="15" t="s">
        <v>21619</v>
      </c>
      <c r="T3451" s="15" t="s">
        <v>21620</v>
      </c>
      <c r="U3451" s="21" t="s">
        <v>72</v>
      </c>
    </row>
    <row r="3452" customFormat="false" ht="15" hidden="false" customHeight="false" outlineLevel="0" collapsed="false">
      <c r="A3452" s="15" t="s">
        <v>21337</v>
      </c>
      <c r="B3452" s="15" t="s">
        <v>21397</v>
      </c>
      <c r="C3452" s="14" t="s">
        <v>21621</v>
      </c>
      <c r="D3452" s="14" t="s">
        <v>21622</v>
      </c>
      <c r="E3452" s="16" t="s">
        <v>21623</v>
      </c>
      <c r="F3452" s="16" t="s">
        <v>21624</v>
      </c>
      <c r="G3452" s="23" t="s">
        <v>43</v>
      </c>
      <c r="H3452" s="18" t="n">
        <v>3</v>
      </c>
      <c r="I3452" s="20" t="n">
        <v>71.18</v>
      </c>
      <c r="J3452" s="20" t="n">
        <v>110.06</v>
      </c>
      <c r="K3452" s="18" t="n">
        <v>2</v>
      </c>
      <c r="L3452" s="18" t="n">
        <v>3</v>
      </c>
      <c r="M3452" s="18" t="n">
        <v>28</v>
      </c>
      <c r="N3452" s="18" t="n">
        <v>28</v>
      </c>
      <c r="O3452" s="14" t="s">
        <v>1126</v>
      </c>
      <c r="P3452" s="14" t="s">
        <v>84</v>
      </c>
      <c r="Q3452" s="15" t="s">
        <v>1089</v>
      </c>
      <c r="R3452" s="16" t="s">
        <v>21625</v>
      </c>
      <c r="S3452" s="15" t="s">
        <v>21626</v>
      </c>
      <c r="T3452" s="15" t="s">
        <v>21626</v>
      </c>
      <c r="U3452" s="21" t="s">
        <v>72</v>
      </c>
    </row>
    <row r="3453" customFormat="false" ht="15" hidden="false" customHeight="false" outlineLevel="0" collapsed="false">
      <c r="A3453" s="15" t="s">
        <v>21337</v>
      </c>
      <c r="B3453" s="15" t="s">
        <v>21397</v>
      </c>
      <c r="C3453" s="14" t="s">
        <v>21627</v>
      </c>
      <c r="D3453" s="14" t="s">
        <v>21628</v>
      </c>
      <c r="E3453" s="16" t="s">
        <v>21629</v>
      </c>
      <c r="F3453" s="16" t="s">
        <v>21630</v>
      </c>
      <c r="G3453" s="23" t="s">
        <v>43</v>
      </c>
      <c r="H3453" s="18" t="n">
        <v>3</v>
      </c>
      <c r="I3453" s="20" t="n">
        <v>90.12</v>
      </c>
      <c r="J3453" s="20" t="n">
        <v>173.97</v>
      </c>
      <c r="K3453" s="18" t="n">
        <v>14</v>
      </c>
      <c r="L3453" s="18" t="n">
        <v>3</v>
      </c>
      <c r="M3453" s="18" t="n">
        <v>350</v>
      </c>
      <c r="N3453" s="18" t="n">
        <v>75</v>
      </c>
      <c r="O3453" s="14" t="s">
        <v>1126</v>
      </c>
      <c r="P3453" s="14" t="s">
        <v>118</v>
      </c>
      <c r="Q3453" s="15" t="s">
        <v>1089</v>
      </c>
      <c r="R3453" s="16" t="s">
        <v>21631</v>
      </c>
      <c r="S3453" s="15" t="s">
        <v>21632</v>
      </c>
      <c r="T3453" s="15" t="s">
        <v>21632</v>
      </c>
      <c r="U3453" s="21" t="s">
        <v>72</v>
      </c>
    </row>
    <row r="3454" customFormat="false" ht="15" hidden="false" customHeight="false" outlineLevel="0" collapsed="false">
      <c r="A3454" s="15" t="s">
        <v>21337</v>
      </c>
      <c r="B3454" s="15" t="s">
        <v>21397</v>
      </c>
      <c r="C3454" s="14" t="s">
        <v>21633</v>
      </c>
      <c r="D3454" s="14" t="s">
        <v>21634</v>
      </c>
      <c r="E3454" s="16" t="s">
        <v>21635</v>
      </c>
      <c r="F3454" s="16"/>
      <c r="G3454" s="19" t="s">
        <v>41</v>
      </c>
      <c r="H3454" s="18" t="n">
        <v>3</v>
      </c>
      <c r="I3454" s="20" t="n">
        <v>58.96</v>
      </c>
      <c r="J3454" s="20" t="n">
        <v>233.94</v>
      </c>
      <c r="K3454" s="18" t="n">
        <v>5</v>
      </c>
      <c r="L3454" s="18" t="n">
        <v>1</v>
      </c>
      <c r="M3454" s="18" t="n">
        <v>85</v>
      </c>
      <c r="N3454" s="18" t="n">
        <v>34</v>
      </c>
      <c r="O3454" s="14" t="s">
        <v>1097</v>
      </c>
      <c r="P3454" s="14" t="s">
        <v>118</v>
      </c>
      <c r="Q3454" s="15" t="s">
        <v>1089</v>
      </c>
      <c r="R3454" s="16" t="s">
        <v>10276</v>
      </c>
      <c r="S3454" s="15" t="s">
        <v>21636</v>
      </c>
      <c r="T3454" s="15" t="s">
        <v>21637</v>
      </c>
      <c r="U3454" s="21" t="s">
        <v>72</v>
      </c>
    </row>
    <row r="3455" customFormat="false" ht="15" hidden="false" customHeight="false" outlineLevel="0" collapsed="false">
      <c r="A3455" s="15" t="s">
        <v>21337</v>
      </c>
      <c r="B3455" s="15" t="s">
        <v>21397</v>
      </c>
      <c r="C3455" s="14" t="s">
        <v>21638</v>
      </c>
      <c r="D3455" s="14" t="s">
        <v>21639</v>
      </c>
      <c r="E3455" s="16" t="s">
        <v>21640</v>
      </c>
      <c r="F3455" s="16" t="s">
        <v>21595</v>
      </c>
      <c r="G3455" s="25" t="s">
        <v>39</v>
      </c>
      <c r="H3455" s="18" t="n">
        <v>8</v>
      </c>
      <c r="I3455" s="20" t="n">
        <v>240.2</v>
      </c>
      <c r="J3455" s="20" t="n">
        <v>570.73</v>
      </c>
      <c r="K3455" s="18" t="n">
        <v>6</v>
      </c>
      <c r="L3455" s="18" t="n">
        <v>9</v>
      </c>
      <c r="M3455" s="18" t="n">
        <v>192</v>
      </c>
      <c r="N3455" s="18" t="n">
        <v>96</v>
      </c>
      <c r="O3455" s="14" t="s">
        <v>1126</v>
      </c>
      <c r="P3455" s="14" t="s">
        <v>1166</v>
      </c>
      <c r="Q3455" s="15" t="s">
        <v>1089</v>
      </c>
      <c r="R3455" s="16" t="s">
        <v>21641</v>
      </c>
      <c r="S3455" s="15" t="s">
        <v>21642</v>
      </c>
      <c r="T3455" s="15" t="s">
        <v>11549</v>
      </c>
      <c r="U3455" s="21" t="s">
        <v>72</v>
      </c>
    </row>
    <row r="3456" customFormat="false" ht="15" hidden="false" customHeight="false" outlineLevel="0" collapsed="false">
      <c r="A3456" s="15" t="s">
        <v>21337</v>
      </c>
      <c r="B3456" s="15" t="s">
        <v>21397</v>
      </c>
      <c r="C3456" s="14" t="s">
        <v>21643</v>
      </c>
      <c r="D3456" s="14" t="s">
        <v>21644</v>
      </c>
      <c r="E3456" s="16" t="s">
        <v>21645</v>
      </c>
      <c r="F3456" s="16" t="s">
        <v>21595</v>
      </c>
      <c r="G3456" s="23" t="s">
        <v>43</v>
      </c>
      <c r="H3456" s="18" t="n">
        <v>3</v>
      </c>
      <c r="I3456" s="20" t="n">
        <v>75.79</v>
      </c>
      <c r="J3456" s="20" t="n">
        <v>155.33</v>
      </c>
      <c r="K3456" s="18" t="n">
        <v>10</v>
      </c>
      <c r="L3456" s="18" t="n">
        <v>6</v>
      </c>
      <c r="M3456" s="18" t="n">
        <v>200</v>
      </c>
      <c r="N3456" s="18" t="n">
        <v>120</v>
      </c>
      <c r="O3456" s="14" t="s">
        <v>1126</v>
      </c>
      <c r="P3456" s="14" t="s">
        <v>515</v>
      </c>
      <c r="Q3456" s="15" t="s">
        <v>1089</v>
      </c>
      <c r="R3456" s="16" t="s">
        <v>20188</v>
      </c>
      <c r="S3456" s="15" t="s">
        <v>21646</v>
      </c>
      <c r="T3456" s="15" t="s">
        <v>21647</v>
      </c>
      <c r="U3456" s="21" t="s">
        <v>72</v>
      </c>
    </row>
    <row r="3457" customFormat="false" ht="15" hidden="false" customHeight="false" outlineLevel="0" collapsed="false">
      <c r="A3457" s="15" t="s">
        <v>21337</v>
      </c>
      <c r="B3457" s="15" t="s">
        <v>21397</v>
      </c>
      <c r="C3457" s="14" t="s">
        <v>21648</v>
      </c>
      <c r="D3457" s="14" t="s">
        <v>21649</v>
      </c>
      <c r="E3457" s="16" t="s">
        <v>21650</v>
      </c>
      <c r="F3457" s="16" t="s">
        <v>21595</v>
      </c>
      <c r="G3457" s="25" t="s">
        <v>39</v>
      </c>
      <c r="H3457" s="18" t="n">
        <v>8</v>
      </c>
      <c r="I3457" s="20" t="n">
        <v>230.82</v>
      </c>
      <c r="J3457" s="20" t="n">
        <v>310.66</v>
      </c>
      <c r="K3457" s="18" t="n">
        <v>15</v>
      </c>
      <c r="L3457" s="18" t="n">
        <v>8</v>
      </c>
      <c r="M3457" s="18" t="n">
        <v>345</v>
      </c>
      <c r="N3457" s="18" t="n">
        <v>184</v>
      </c>
      <c r="O3457" s="14" t="s">
        <v>1126</v>
      </c>
      <c r="P3457" s="14" t="s">
        <v>515</v>
      </c>
      <c r="Q3457" s="15" t="s">
        <v>1089</v>
      </c>
      <c r="R3457" s="16" t="s">
        <v>20188</v>
      </c>
      <c r="S3457" s="15" t="s">
        <v>21651</v>
      </c>
      <c r="T3457" s="15" t="s">
        <v>21652</v>
      </c>
      <c r="U3457" s="21" t="s">
        <v>72</v>
      </c>
    </row>
    <row r="3458" customFormat="false" ht="26.85" hidden="false" customHeight="false" outlineLevel="0" collapsed="false">
      <c r="A3458" s="15" t="s">
        <v>21337</v>
      </c>
      <c r="B3458" s="15" t="s">
        <v>21653</v>
      </c>
      <c r="C3458" s="14" t="s">
        <v>21654</v>
      </c>
      <c r="D3458" s="14" t="s">
        <v>21655</v>
      </c>
      <c r="E3458" s="16" t="s">
        <v>21656</v>
      </c>
      <c r="F3458" s="16" t="s">
        <v>21657</v>
      </c>
      <c r="G3458" s="19" t="s">
        <v>41</v>
      </c>
      <c r="H3458" s="18" t="n">
        <v>5</v>
      </c>
      <c r="I3458" s="20" t="n">
        <v>124.21</v>
      </c>
      <c r="J3458" s="20" t="n">
        <v>391.55</v>
      </c>
      <c r="K3458" s="18" t="n">
        <v>15</v>
      </c>
      <c r="L3458" s="18" t="n">
        <v>11</v>
      </c>
      <c r="M3458" s="18" t="n">
        <v>360</v>
      </c>
      <c r="N3458" s="18" t="n">
        <v>312</v>
      </c>
      <c r="O3458" s="14" t="s">
        <v>1088</v>
      </c>
      <c r="P3458" s="14" t="s">
        <v>84</v>
      </c>
      <c r="Q3458" s="15" t="s">
        <v>1089</v>
      </c>
      <c r="R3458" s="16" t="s">
        <v>21658</v>
      </c>
      <c r="S3458" s="15" t="s">
        <v>17739</v>
      </c>
      <c r="T3458" s="15" t="s">
        <v>21659</v>
      </c>
      <c r="U3458" s="21" t="s">
        <v>72</v>
      </c>
    </row>
    <row r="3459" customFormat="false" ht="15" hidden="false" customHeight="false" outlineLevel="0" collapsed="false">
      <c r="A3459" s="15" t="s">
        <v>21337</v>
      </c>
      <c r="B3459" s="15" t="s">
        <v>21653</v>
      </c>
      <c r="C3459" s="14" t="s">
        <v>21660</v>
      </c>
      <c r="D3459" s="14" t="s">
        <v>21661</v>
      </c>
      <c r="E3459" s="16" t="s">
        <v>21662</v>
      </c>
      <c r="F3459" s="16" t="s">
        <v>21663</v>
      </c>
      <c r="G3459" s="19" t="s">
        <v>41</v>
      </c>
      <c r="H3459" s="18" t="n">
        <v>5</v>
      </c>
      <c r="I3459" s="20" t="n">
        <v>66.83</v>
      </c>
      <c r="J3459" s="20" t="n">
        <v>119.5</v>
      </c>
      <c r="K3459" s="18" t="n">
        <v>12</v>
      </c>
      <c r="L3459" s="18" t="n">
        <v>4</v>
      </c>
      <c r="M3459" s="18" t="n">
        <v>168</v>
      </c>
      <c r="N3459" s="18" t="n">
        <v>14</v>
      </c>
      <c r="O3459" s="14" t="s">
        <v>1126</v>
      </c>
      <c r="P3459" s="14" t="s">
        <v>84</v>
      </c>
      <c r="Q3459" s="15" t="s">
        <v>1089</v>
      </c>
      <c r="R3459" s="16" t="s">
        <v>21658</v>
      </c>
      <c r="S3459" s="15" t="s">
        <v>21664</v>
      </c>
      <c r="T3459" s="15" t="s">
        <v>21664</v>
      </c>
      <c r="U3459" s="21" t="s">
        <v>72</v>
      </c>
    </row>
    <row r="3460" customFormat="false" ht="26.85" hidden="false" customHeight="false" outlineLevel="0" collapsed="false">
      <c r="A3460" s="15" t="s">
        <v>21337</v>
      </c>
      <c r="B3460" s="15" t="s">
        <v>21653</v>
      </c>
      <c r="C3460" s="14" t="s">
        <v>21665</v>
      </c>
      <c r="D3460" s="14" t="s">
        <v>21666</v>
      </c>
      <c r="E3460" s="16" t="s">
        <v>21667</v>
      </c>
      <c r="F3460" s="16" t="s">
        <v>21668</v>
      </c>
      <c r="G3460" s="19" t="s">
        <v>41</v>
      </c>
      <c r="H3460" s="18" t="n">
        <v>5</v>
      </c>
      <c r="I3460" s="20" t="n">
        <v>108.57</v>
      </c>
      <c r="J3460" s="20" t="n">
        <v>323.9</v>
      </c>
      <c r="K3460" s="18" t="n">
        <v>12</v>
      </c>
      <c r="L3460" s="18" t="n">
        <v>1</v>
      </c>
      <c r="M3460" s="18" t="n">
        <v>226</v>
      </c>
      <c r="N3460" s="18" t="n">
        <v>226</v>
      </c>
      <c r="O3460" s="14" t="s">
        <v>21669</v>
      </c>
      <c r="P3460" s="14" t="s">
        <v>84</v>
      </c>
      <c r="Q3460" s="15" t="s">
        <v>1089</v>
      </c>
      <c r="R3460" s="16" t="s">
        <v>19296</v>
      </c>
      <c r="S3460" s="15" t="s">
        <v>21670</v>
      </c>
      <c r="T3460" s="15" t="s">
        <v>21670</v>
      </c>
      <c r="U3460" s="21" t="s">
        <v>72</v>
      </c>
    </row>
    <row r="3461" customFormat="false" ht="26.85" hidden="false" customHeight="false" outlineLevel="0" collapsed="false">
      <c r="A3461" s="15" t="s">
        <v>21337</v>
      </c>
      <c r="B3461" s="15" t="s">
        <v>21653</v>
      </c>
      <c r="C3461" s="14" t="s">
        <v>21671</v>
      </c>
      <c r="D3461" s="14" t="s">
        <v>21672</v>
      </c>
      <c r="E3461" s="16" t="s">
        <v>21673</v>
      </c>
      <c r="F3461" s="16" t="s">
        <v>21674</v>
      </c>
      <c r="G3461" s="25" t="s">
        <v>39</v>
      </c>
      <c r="H3461" s="18" t="n">
        <v>3</v>
      </c>
      <c r="I3461" s="20" t="n">
        <v>433.99</v>
      </c>
      <c r="J3461" s="20" t="n">
        <v>623.43</v>
      </c>
      <c r="K3461" s="18" t="n">
        <v>3</v>
      </c>
      <c r="L3461" s="18" t="n">
        <v>5</v>
      </c>
      <c r="M3461" s="18" t="n">
        <v>180</v>
      </c>
      <c r="N3461" s="18" t="n">
        <v>180</v>
      </c>
      <c r="O3461" s="14" t="s">
        <v>1126</v>
      </c>
      <c r="P3461" s="14" t="s">
        <v>84</v>
      </c>
      <c r="Q3461" s="15" t="s">
        <v>1089</v>
      </c>
      <c r="R3461" s="16" t="s">
        <v>21675</v>
      </c>
      <c r="S3461" s="15" t="s">
        <v>21676</v>
      </c>
      <c r="T3461" s="15" t="s">
        <v>21677</v>
      </c>
      <c r="U3461" s="21" t="s">
        <v>72</v>
      </c>
    </row>
    <row r="3462" customFormat="false" ht="26.85" hidden="false" customHeight="false" outlineLevel="0" collapsed="false">
      <c r="A3462" s="15" t="s">
        <v>21337</v>
      </c>
      <c r="B3462" s="15" t="s">
        <v>21653</v>
      </c>
      <c r="C3462" s="14" t="s">
        <v>21678</v>
      </c>
      <c r="D3462" s="14" t="s">
        <v>21679</v>
      </c>
      <c r="E3462" s="16" t="s">
        <v>21680</v>
      </c>
      <c r="F3462" s="16" t="s">
        <v>21681</v>
      </c>
      <c r="G3462" s="23" t="s">
        <v>43</v>
      </c>
      <c r="H3462" s="18" t="n">
        <v>2</v>
      </c>
      <c r="I3462" s="20" t="n">
        <v>89.85</v>
      </c>
      <c r="J3462" s="20" t="n">
        <v>141.92</v>
      </c>
      <c r="K3462" s="18" t="n">
        <v>8</v>
      </c>
      <c r="L3462" s="18" t="n">
        <v>10</v>
      </c>
      <c r="M3462" s="18" t="n">
        <v>416</v>
      </c>
      <c r="N3462" s="18" t="n">
        <v>156</v>
      </c>
      <c r="O3462" s="14" t="s">
        <v>6448</v>
      </c>
      <c r="P3462" s="14" t="s">
        <v>118</v>
      </c>
      <c r="Q3462" s="15" t="s">
        <v>1089</v>
      </c>
      <c r="R3462" s="16" t="s">
        <v>21682</v>
      </c>
      <c r="S3462" s="15" t="s">
        <v>21683</v>
      </c>
      <c r="T3462" s="15" t="s">
        <v>21684</v>
      </c>
      <c r="U3462" s="21" t="s">
        <v>72</v>
      </c>
    </row>
    <row r="3463" customFormat="false" ht="26.85" hidden="false" customHeight="false" outlineLevel="0" collapsed="false">
      <c r="A3463" s="15" t="s">
        <v>21337</v>
      </c>
      <c r="B3463" s="15" t="s">
        <v>21653</v>
      </c>
      <c r="C3463" s="14" t="s">
        <v>21685</v>
      </c>
      <c r="D3463" s="14" t="s">
        <v>21686</v>
      </c>
      <c r="E3463" s="16" t="s">
        <v>21687</v>
      </c>
      <c r="F3463" s="16" t="s">
        <v>21688</v>
      </c>
      <c r="G3463" s="25" t="s">
        <v>39</v>
      </c>
      <c r="H3463" s="18" t="n">
        <v>5</v>
      </c>
      <c r="I3463" s="20" t="n">
        <v>135.56</v>
      </c>
      <c r="J3463" s="20" t="n">
        <v>644</v>
      </c>
      <c r="K3463" s="18" t="n">
        <v>30</v>
      </c>
      <c r="L3463" s="18" t="n">
        <v>29</v>
      </c>
      <c r="M3463" s="18" t="n">
        <v>1050</v>
      </c>
      <c r="N3463" s="18" t="n">
        <v>525</v>
      </c>
      <c r="O3463" s="14" t="s">
        <v>1126</v>
      </c>
      <c r="P3463" s="14" t="s">
        <v>84</v>
      </c>
      <c r="Q3463" s="15" t="s">
        <v>1089</v>
      </c>
      <c r="R3463" s="16" t="s">
        <v>21689</v>
      </c>
      <c r="S3463" s="15" t="s">
        <v>21690</v>
      </c>
      <c r="T3463" s="15" t="s">
        <v>21691</v>
      </c>
      <c r="U3463" s="21" t="s">
        <v>72</v>
      </c>
    </row>
    <row r="3464" customFormat="false" ht="26.85" hidden="false" customHeight="false" outlineLevel="0" collapsed="false">
      <c r="A3464" s="15" t="s">
        <v>21337</v>
      </c>
      <c r="B3464" s="15" t="s">
        <v>21653</v>
      </c>
      <c r="C3464" s="14" t="s">
        <v>21692</v>
      </c>
      <c r="D3464" s="14" t="s">
        <v>21693</v>
      </c>
      <c r="E3464" s="16" t="s">
        <v>21694</v>
      </c>
      <c r="F3464" s="16" t="s">
        <v>21695</v>
      </c>
      <c r="G3464" s="25" t="s">
        <v>39</v>
      </c>
      <c r="H3464" s="18" t="n">
        <v>17</v>
      </c>
      <c r="I3464" s="20" t="n">
        <v>551.57</v>
      </c>
      <c r="J3464" s="20" t="n">
        <v>860.1</v>
      </c>
      <c r="K3464" s="18" t="n">
        <v>34</v>
      </c>
      <c r="L3464" s="18" t="n">
        <v>34</v>
      </c>
      <c r="M3464" s="18" t="n">
        <v>680</v>
      </c>
      <c r="N3464" s="18" t="n">
        <v>340</v>
      </c>
      <c r="O3464" s="14" t="s">
        <v>1126</v>
      </c>
      <c r="P3464" s="14" t="s">
        <v>118</v>
      </c>
      <c r="Q3464" s="15" t="s">
        <v>1089</v>
      </c>
      <c r="R3464" s="16" t="s">
        <v>21696</v>
      </c>
      <c r="S3464" s="15" t="s">
        <v>21343</v>
      </c>
      <c r="T3464" s="15" t="s">
        <v>21697</v>
      </c>
      <c r="U3464" s="21" t="s">
        <v>72</v>
      </c>
    </row>
    <row r="3465" customFormat="false" ht="26.85" hidden="false" customHeight="false" outlineLevel="0" collapsed="false">
      <c r="A3465" s="15" t="s">
        <v>21337</v>
      </c>
      <c r="B3465" s="15" t="s">
        <v>21653</v>
      </c>
      <c r="C3465" s="14" t="s">
        <v>21698</v>
      </c>
      <c r="D3465" s="14" t="s">
        <v>21699</v>
      </c>
      <c r="E3465" s="16" t="s">
        <v>21700</v>
      </c>
      <c r="F3465" s="16" t="s">
        <v>21701</v>
      </c>
      <c r="G3465" s="25" t="s">
        <v>39</v>
      </c>
      <c r="H3465" s="18" t="n">
        <v>25</v>
      </c>
      <c r="I3465" s="20" t="n">
        <v>581.85</v>
      </c>
      <c r="J3465" s="20" t="n">
        <v>831.53</v>
      </c>
      <c r="K3465" s="18" t="n">
        <v>36</v>
      </c>
      <c r="L3465" s="18" t="n">
        <v>12</v>
      </c>
      <c r="M3465" s="18" t="n">
        <v>1116</v>
      </c>
      <c r="N3465" s="18" t="n">
        <v>558</v>
      </c>
      <c r="O3465" s="14" t="s">
        <v>21702</v>
      </c>
      <c r="P3465" s="14" t="s">
        <v>118</v>
      </c>
      <c r="Q3465" s="15" t="s">
        <v>1089</v>
      </c>
      <c r="R3465" s="16" t="s">
        <v>21703</v>
      </c>
      <c r="S3465" s="15" t="s">
        <v>21343</v>
      </c>
      <c r="T3465" s="15" t="s">
        <v>21704</v>
      </c>
      <c r="U3465" s="21" t="s">
        <v>72</v>
      </c>
    </row>
    <row r="3466" customFormat="false" ht="15" hidden="false" customHeight="false" outlineLevel="0" collapsed="false">
      <c r="A3466" s="15" t="s">
        <v>21337</v>
      </c>
      <c r="B3466" s="15" t="s">
        <v>21653</v>
      </c>
      <c r="C3466" s="14" t="s">
        <v>21705</v>
      </c>
      <c r="D3466" s="14" t="s">
        <v>21706</v>
      </c>
      <c r="E3466" s="16" t="s">
        <v>21707</v>
      </c>
      <c r="F3466" s="16" t="s">
        <v>21708</v>
      </c>
      <c r="G3466" s="19" t="s">
        <v>41</v>
      </c>
      <c r="H3466" s="18" t="n">
        <v>5</v>
      </c>
      <c r="I3466" s="20" t="n">
        <v>97.65</v>
      </c>
      <c r="J3466" s="20" t="n">
        <v>199.58</v>
      </c>
      <c r="K3466" s="18" t="n">
        <v>6</v>
      </c>
      <c r="L3466" s="18" t="n">
        <v>2</v>
      </c>
      <c r="M3466" s="18" t="n">
        <v>84</v>
      </c>
      <c r="N3466" s="18" t="n">
        <v>84</v>
      </c>
      <c r="O3466" s="14" t="s">
        <v>1126</v>
      </c>
      <c r="P3466" s="14" t="s">
        <v>84</v>
      </c>
      <c r="Q3466" s="15" t="s">
        <v>1089</v>
      </c>
      <c r="R3466" s="16" t="s">
        <v>1167</v>
      </c>
      <c r="S3466" s="15" t="s">
        <v>21343</v>
      </c>
      <c r="T3466" s="15" t="s">
        <v>21709</v>
      </c>
      <c r="U3466" s="21" t="s">
        <v>72</v>
      </c>
    </row>
    <row r="3467" customFormat="false" ht="15" hidden="false" customHeight="false" outlineLevel="0" collapsed="false">
      <c r="A3467" s="15" t="s">
        <v>21337</v>
      </c>
      <c r="B3467" s="15" t="s">
        <v>21653</v>
      </c>
      <c r="C3467" s="14" t="s">
        <v>21710</v>
      </c>
      <c r="D3467" s="14" t="s">
        <v>21711</v>
      </c>
      <c r="E3467" s="16" t="s">
        <v>21712</v>
      </c>
      <c r="F3467" s="16" t="s">
        <v>21713</v>
      </c>
      <c r="G3467" s="23" t="s">
        <v>43</v>
      </c>
      <c r="H3467" s="18" t="n">
        <v>2</v>
      </c>
      <c r="I3467" s="20" t="n">
        <v>47.35</v>
      </c>
      <c r="J3467" s="20" t="n">
        <v>93.3</v>
      </c>
      <c r="K3467" s="18" t="n">
        <v>12</v>
      </c>
      <c r="L3467" s="18" t="n">
        <v>5</v>
      </c>
      <c r="M3467" s="18" t="n">
        <v>300</v>
      </c>
      <c r="N3467" s="18" t="n">
        <v>100</v>
      </c>
      <c r="O3467" s="14" t="s">
        <v>6448</v>
      </c>
      <c r="P3467" s="14" t="s">
        <v>118</v>
      </c>
      <c r="Q3467" s="15" t="s">
        <v>1089</v>
      </c>
      <c r="R3467" s="16" t="s">
        <v>21473</v>
      </c>
      <c r="S3467" s="15" t="s">
        <v>21714</v>
      </c>
      <c r="T3467" s="15" t="s">
        <v>21715</v>
      </c>
      <c r="U3467" s="21" t="s">
        <v>72</v>
      </c>
    </row>
    <row r="3468" customFormat="false" ht="15" hidden="false" customHeight="false" outlineLevel="0" collapsed="false">
      <c r="A3468" s="15" t="s">
        <v>21337</v>
      </c>
      <c r="B3468" s="15" t="s">
        <v>21653</v>
      </c>
      <c r="C3468" s="14" t="s">
        <v>21716</v>
      </c>
      <c r="D3468" s="14" t="s">
        <v>21717</v>
      </c>
      <c r="E3468" s="16" t="s">
        <v>21718</v>
      </c>
      <c r="F3468" s="16"/>
      <c r="G3468" s="23" t="s">
        <v>43</v>
      </c>
      <c r="H3468" s="18" t="n">
        <v>4</v>
      </c>
      <c r="I3468" s="20" t="n">
        <v>81.99</v>
      </c>
      <c r="J3468" s="20" t="n">
        <v>145.52</v>
      </c>
      <c r="K3468" s="18" t="n">
        <v>6</v>
      </c>
      <c r="L3468" s="18" t="n">
        <v>4</v>
      </c>
      <c r="M3468" s="18" t="n">
        <v>90</v>
      </c>
      <c r="N3468" s="18" t="n">
        <v>30</v>
      </c>
      <c r="O3468" s="14" t="s">
        <v>1088</v>
      </c>
      <c r="P3468" s="14" t="s">
        <v>84</v>
      </c>
      <c r="Q3468" s="15" t="s">
        <v>1089</v>
      </c>
      <c r="R3468" s="16" t="s">
        <v>21719</v>
      </c>
      <c r="S3468" s="15" t="s">
        <v>21720</v>
      </c>
      <c r="T3468" s="15" t="s">
        <v>21721</v>
      </c>
      <c r="U3468" s="21" t="s">
        <v>72</v>
      </c>
    </row>
    <row r="3469" customFormat="false" ht="15" hidden="false" customHeight="false" outlineLevel="0" collapsed="false">
      <c r="A3469" s="15" t="s">
        <v>21337</v>
      </c>
      <c r="B3469" s="15" t="s">
        <v>21653</v>
      </c>
      <c r="C3469" s="14" t="s">
        <v>21722</v>
      </c>
      <c r="D3469" s="14" t="s">
        <v>21723</v>
      </c>
      <c r="E3469" s="16" t="s">
        <v>21724</v>
      </c>
      <c r="F3469" s="16" t="s">
        <v>21725</v>
      </c>
      <c r="G3469" s="23" t="s">
        <v>43</v>
      </c>
      <c r="H3469" s="18" t="n">
        <v>1</v>
      </c>
      <c r="I3469" s="20" t="n">
        <v>167.5</v>
      </c>
      <c r="J3469" s="20" t="n">
        <v>167.5</v>
      </c>
      <c r="K3469" s="18" t="n">
        <v>1</v>
      </c>
      <c r="L3469" s="18" t="n">
        <v>3</v>
      </c>
      <c r="M3469" s="18" t="n">
        <v>16</v>
      </c>
      <c r="N3469" s="18" t="n">
        <v>16</v>
      </c>
      <c r="O3469" s="14" t="s">
        <v>1088</v>
      </c>
      <c r="P3469" s="14" t="s">
        <v>84</v>
      </c>
      <c r="Q3469" s="15" t="s">
        <v>1089</v>
      </c>
      <c r="R3469" s="16" t="s">
        <v>21726</v>
      </c>
      <c r="S3469" s="15" t="s">
        <v>21727</v>
      </c>
      <c r="T3469" s="15" t="s">
        <v>21727</v>
      </c>
      <c r="U3469" s="21" t="s">
        <v>72</v>
      </c>
    </row>
    <row r="3470" customFormat="false" ht="15" hidden="false" customHeight="false" outlineLevel="0" collapsed="false">
      <c r="A3470" s="15" t="s">
        <v>21337</v>
      </c>
      <c r="B3470" s="15" t="s">
        <v>21653</v>
      </c>
      <c r="C3470" s="14" t="s">
        <v>21728</v>
      </c>
      <c r="D3470" s="14" t="s">
        <v>21729</v>
      </c>
      <c r="E3470" s="16" t="s">
        <v>21730</v>
      </c>
      <c r="F3470" s="16" t="s">
        <v>21731</v>
      </c>
      <c r="G3470" s="23" t="s">
        <v>43</v>
      </c>
      <c r="H3470" s="18" t="n">
        <v>3</v>
      </c>
      <c r="I3470" s="20" t="n">
        <v>84.84</v>
      </c>
      <c r="J3470" s="20" t="n">
        <v>154.83</v>
      </c>
      <c r="K3470" s="18" t="n">
        <v>10</v>
      </c>
      <c r="L3470" s="18" t="n">
        <v>6</v>
      </c>
      <c r="M3470" s="18" t="n">
        <v>230</v>
      </c>
      <c r="N3470" s="18" t="n">
        <v>46</v>
      </c>
      <c r="O3470" s="14" t="s">
        <v>1126</v>
      </c>
      <c r="P3470" s="14" t="s">
        <v>1716</v>
      </c>
      <c r="Q3470" s="15" t="s">
        <v>1089</v>
      </c>
      <c r="R3470" s="16" t="s">
        <v>14779</v>
      </c>
      <c r="S3470" s="15" t="s">
        <v>21732</v>
      </c>
      <c r="T3470" s="15" t="s">
        <v>21733</v>
      </c>
      <c r="U3470" s="21" t="s">
        <v>72</v>
      </c>
    </row>
    <row r="3471" customFormat="false" ht="15" hidden="false" customHeight="false" outlineLevel="0" collapsed="false">
      <c r="A3471" s="15" t="s">
        <v>21337</v>
      </c>
      <c r="B3471" s="15" t="s">
        <v>21653</v>
      </c>
      <c r="C3471" s="14" t="s">
        <v>21734</v>
      </c>
      <c r="D3471" s="14" t="s">
        <v>21735</v>
      </c>
      <c r="E3471" s="16" t="s">
        <v>21736</v>
      </c>
      <c r="F3471" s="16" t="s">
        <v>21737</v>
      </c>
      <c r="G3471" s="23" t="s">
        <v>43</v>
      </c>
      <c r="H3471" s="18" t="n">
        <v>3</v>
      </c>
      <c r="I3471" s="20" t="n">
        <v>96.48</v>
      </c>
      <c r="J3471" s="20" t="n">
        <v>112.04</v>
      </c>
      <c r="K3471" s="18" t="n">
        <v>5</v>
      </c>
      <c r="L3471" s="18" t="n">
        <v>1</v>
      </c>
      <c r="M3471" s="18" t="n">
        <v>130</v>
      </c>
      <c r="N3471" s="18" t="n">
        <v>78</v>
      </c>
      <c r="O3471" s="14" t="s">
        <v>1097</v>
      </c>
      <c r="P3471" s="14" t="s">
        <v>118</v>
      </c>
      <c r="Q3471" s="15" t="s">
        <v>1089</v>
      </c>
      <c r="R3471" s="16" t="s">
        <v>21738</v>
      </c>
      <c r="S3471" s="15" t="s">
        <v>21739</v>
      </c>
      <c r="T3471" s="15" t="s">
        <v>21740</v>
      </c>
      <c r="U3471" s="21" t="s">
        <v>72</v>
      </c>
    </row>
    <row r="3472" customFormat="false" ht="26.85" hidden="false" customHeight="false" outlineLevel="0" collapsed="false">
      <c r="A3472" s="15" t="s">
        <v>21337</v>
      </c>
      <c r="B3472" s="15" t="s">
        <v>21653</v>
      </c>
      <c r="C3472" s="14" t="s">
        <v>21741</v>
      </c>
      <c r="D3472" s="14" t="s">
        <v>21742</v>
      </c>
      <c r="E3472" s="16" t="s">
        <v>21743</v>
      </c>
      <c r="F3472" s="16" t="s">
        <v>21744</v>
      </c>
      <c r="G3472" s="25" t="s">
        <v>39</v>
      </c>
      <c r="H3472" s="18" t="n">
        <v>8</v>
      </c>
      <c r="I3472" s="20" t="n">
        <v>202.65</v>
      </c>
      <c r="J3472" s="20" t="n">
        <v>411.92</v>
      </c>
      <c r="K3472" s="18" t="n">
        <v>5</v>
      </c>
      <c r="L3472" s="18" t="n">
        <v>6</v>
      </c>
      <c r="M3472" s="18" t="n">
        <v>70</v>
      </c>
      <c r="N3472" s="18" t="n">
        <v>42</v>
      </c>
      <c r="O3472" s="14" t="s">
        <v>1126</v>
      </c>
      <c r="P3472" s="14" t="s">
        <v>202</v>
      </c>
      <c r="Q3472" s="15" t="s">
        <v>1089</v>
      </c>
      <c r="R3472" s="16" t="s">
        <v>10862</v>
      </c>
      <c r="S3472" s="15" t="s">
        <v>21745</v>
      </c>
      <c r="T3472" s="15" t="s">
        <v>21745</v>
      </c>
      <c r="U3472" s="21" t="s">
        <v>72</v>
      </c>
    </row>
    <row r="3473" customFormat="false" ht="15" hidden="false" customHeight="false" outlineLevel="0" collapsed="false">
      <c r="A3473" s="15" t="s">
        <v>21337</v>
      </c>
      <c r="B3473" s="15" t="s">
        <v>21653</v>
      </c>
      <c r="C3473" s="14" t="s">
        <v>21746</v>
      </c>
      <c r="D3473" s="14" t="s">
        <v>21747</v>
      </c>
      <c r="E3473" s="16" t="s">
        <v>21748</v>
      </c>
      <c r="F3473" s="16" t="s">
        <v>21749</v>
      </c>
      <c r="G3473" s="23" t="s">
        <v>43</v>
      </c>
      <c r="H3473" s="18" t="n">
        <v>2</v>
      </c>
      <c r="I3473" s="20" t="n">
        <v>40.61</v>
      </c>
      <c r="J3473" s="20" t="n">
        <v>76.85</v>
      </c>
      <c r="K3473" s="18" t="n">
        <v>2</v>
      </c>
      <c r="L3473" s="18" t="n">
        <v>1</v>
      </c>
      <c r="M3473" s="18" t="n">
        <v>30</v>
      </c>
      <c r="N3473" s="18" t="n">
        <v>30</v>
      </c>
      <c r="O3473" s="14" t="s">
        <v>1088</v>
      </c>
      <c r="P3473" s="14" t="s">
        <v>84</v>
      </c>
      <c r="Q3473" s="15" t="s">
        <v>1089</v>
      </c>
      <c r="R3473" s="16" t="s">
        <v>21750</v>
      </c>
      <c r="S3473" s="15" t="s">
        <v>2088</v>
      </c>
      <c r="T3473" s="15" t="s">
        <v>21751</v>
      </c>
      <c r="U3473" s="21" t="s">
        <v>72</v>
      </c>
    </row>
    <row r="3474" customFormat="false" ht="15" hidden="false" customHeight="false" outlineLevel="0" collapsed="false">
      <c r="A3474" s="15" t="s">
        <v>21337</v>
      </c>
      <c r="B3474" s="15" t="s">
        <v>21653</v>
      </c>
      <c r="C3474" s="14" t="s">
        <v>21752</v>
      </c>
      <c r="D3474" s="14" t="s">
        <v>21753</v>
      </c>
      <c r="E3474" s="16" t="s">
        <v>21754</v>
      </c>
      <c r="F3474" s="16" t="s">
        <v>21755</v>
      </c>
      <c r="G3474" s="23" t="s">
        <v>43</v>
      </c>
      <c r="H3474" s="18" t="n">
        <v>4</v>
      </c>
      <c r="I3474" s="20" t="n">
        <v>60.86</v>
      </c>
      <c r="J3474" s="20" t="n">
        <v>130.34</v>
      </c>
      <c r="K3474" s="18" t="n">
        <v>6</v>
      </c>
      <c r="L3474" s="18" t="n">
        <v>7</v>
      </c>
      <c r="M3474" s="18" t="n">
        <v>96</v>
      </c>
      <c r="N3474" s="18" t="n">
        <v>16</v>
      </c>
      <c r="O3474" s="14" t="s">
        <v>1097</v>
      </c>
      <c r="P3474" s="14" t="s">
        <v>118</v>
      </c>
      <c r="Q3474" s="15" t="s">
        <v>1089</v>
      </c>
      <c r="R3474" s="16" t="s">
        <v>21756</v>
      </c>
      <c r="S3474" s="15" t="s">
        <v>21757</v>
      </c>
      <c r="T3474" s="15" t="s">
        <v>21758</v>
      </c>
      <c r="U3474" s="21" t="s">
        <v>72</v>
      </c>
    </row>
    <row r="3475" customFormat="false" ht="15" hidden="false" customHeight="false" outlineLevel="0" collapsed="false">
      <c r="A3475" s="15" t="s">
        <v>21337</v>
      </c>
      <c r="B3475" s="15" t="s">
        <v>21653</v>
      </c>
      <c r="C3475" s="14" t="s">
        <v>21759</v>
      </c>
      <c r="D3475" s="14" t="s">
        <v>21760</v>
      </c>
      <c r="E3475" s="16" t="s">
        <v>21761</v>
      </c>
      <c r="F3475" s="16" t="s">
        <v>21762</v>
      </c>
      <c r="G3475" s="25" t="s">
        <v>39</v>
      </c>
      <c r="H3475" s="18" t="n">
        <v>10</v>
      </c>
      <c r="I3475" s="20" t="n">
        <v>271.16</v>
      </c>
      <c r="J3475" s="20" t="n">
        <v>473.57</v>
      </c>
      <c r="K3475" s="18" t="n">
        <v>18</v>
      </c>
      <c r="L3475" s="18" t="n">
        <v>10</v>
      </c>
      <c r="M3475" s="18" t="n">
        <v>360</v>
      </c>
      <c r="N3475" s="18" t="n">
        <v>360</v>
      </c>
      <c r="O3475" s="14" t="s">
        <v>1088</v>
      </c>
      <c r="P3475" s="14" t="s">
        <v>84</v>
      </c>
      <c r="Q3475" s="15" t="s">
        <v>1089</v>
      </c>
      <c r="R3475" s="16" t="s">
        <v>1521</v>
      </c>
      <c r="S3475" s="15" t="s">
        <v>21763</v>
      </c>
      <c r="T3475" s="15" t="s">
        <v>21763</v>
      </c>
      <c r="U3475" s="21" t="s">
        <v>72</v>
      </c>
    </row>
    <row r="3476" customFormat="false" ht="15" hidden="false" customHeight="false" outlineLevel="0" collapsed="false">
      <c r="A3476" s="15" t="s">
        <v>21337</v>
      </c>
      <c r="B3476" s="15" t="s">
        <v>21653</v>
      </c>
      <c r="C3476" s="14" t="s">
        <v>21764</v>
      </c>
      <c r="D3476" s="14" t="s">
        <v>21765</v>
      </c>
      <c r="E3476" s="16" t="s">
        <v>21766</v>
      </c>
      <c r="F3476" s="16" t="s">
        <v>21767</v>
      </c>
      <c r="G3476" s="23" t="s">
        <v>43</v>
      </c>
      <c r="H3476" s="18" t="n">
        <v>3</v>
      </c>
      <c r="I3476" s="20" t="n">
        <v>61.09</v>
      </c>
      <c r="J3476" s="20" t="n">
        <v>125.68</v>
      </c>
      <c r="K3476" s="18" t="n">
        <v>6</v>
      </c>
      <c r="L3476" s="18" t="n">
        <v>3</v>
      </c>
      <c r="M3476" s="18" t="n">
        <v>96</v>
      </c>
      <c r="N3476" s="18" t="n">
        <v>32</v>
      </c>
      <c r="O3476" s="14" t="s">
        <v>1097</v>
      </c>
      <c r="P3476" s="14" t="s">
        <v>118</v>
      </c>
      <c r="Q3476" s="15" t="s">
        <v>1089</v>
      </c>
      <c r="R3476" s="16" t="s">
        <v>21768</v>
      </c>
      <c r="S3476" s="15" t="s">
        <v>21769</v>
      </c>
      <c r="T3476" s="15" t="s">
        <v>21769</v>
      </c>
      <c r="U3476" s="21" t="s">
        <v>72</v>
      </c>
    </row>
    <row r="3477" customFormat="false" ht="26.85" hidden="false" customHeight="false" outlineLevel="0" collapsed="false">
      <c r="A3477" s="15" t="s">
        <v>21337</v>
      </c>
      <c r="B3477" s="15" t="s">
        <v>21653</v>
      </c>
      <c r="C3477" s="14" t="s">
        <v>21770</v>
      </c>
      <c r="D3477" s="14" t="s">
        <v>21771</v>
      </c>
      <c r="E3477" s="16" t="s">
        <v>21772</v>
      </c>
      <c r="F3477" s="16" t="s">
        <v>21773</v>
      </c>
      <c r="G3477" s="19" t="s">
        <v>41</v>
      </c>
      <c r="H3477" s="18" t="n">
        <v>1</v>
      </c>
      <c r="I3477" s="20" t="n">
        <v>210.07</v>
      </c>
      <c r="J3477" s="20" t="n">
        <v>231.34</v>
      </c>
      <c r="K3477" s="18" t="n">
        <v>12</v>
      </c>
      <c r="L3477" s="18" t="n">
        <v>11</v>
      </c>
      <c r="M3477" s="18" t="n">
        <v>720</v>
      </c>
      <c r="N3477" s="18" t="n">
        <v>60</v>
      </c>
      <c r="O3477" s="14" t="s">
        <v>1097</v>
      </c>
      <c r="P3477" s="14" t="s">
        <v>906</v>
      </c>
      <c r="Q3477" s="15" t="s">
        <v>1089</v>
      </c>
      <c r="R3477" s="16" t="s">
        <v>21774</v>
      </c>
      <c r="S3477" s="15" t="s">
        <v>21775</v>
      </c>
      <c r="T3477" s="15" t="s">
        <v>21776</v>
      </c>
      <c r="U3477" s="21" t="s">
        <v>72</v>
      </c>
    </row>
    <row r="3478" customFormat="false" ht="15" hidden="false" customHeight="false" outlineLevel="0" collapsed="false">
      <c r="A3478" s="15" t="s">
        <v>21337</v>
      </c>
      <c r="B3478" s="15" t="s">
        <v>21653</v>
      </c>
      <c r="C3478" s="14" t="s">
        <v>21777</v>
      </c>
      <c r="D3478" s="14" t="s">
        <v>21778</v>
      </c>
      <c r="E3478" s="16" t="s">
        <v>21779</v>
      </c>
      <c r="F3478" s="16" t="s">
        <v>21780</v>
      </c>
      <c r="G3478" s="23" t="s">
        <v>43</v>
      </c>
      <c r="H3478" s="18" t="n">
        <v>3</v>
      </c>
      <c r="I3478" s="20" t="n">
        <v>33.81</v>
      </c>
      <c r="J3478" s="20" t="n">
        <v>74.61</v>
      </c>
      <c r="K3478" s="18" t="n">
        <v>6</v>
      </c>
      <c r="L3478" s="18" t="n">
        <v>1</v>
      </c>
      <c r="M3478" s="18" t="n">
        <v>78</v>
      </c>
      <c r="N3478" s="18" t="n">
        <v>39</v>
      </c>
      <c r="O3478" s="14" t="s">
        <v>1126</v>
      </c>
      <c r="P3478" s="14" t="s">
        <v>118</v>
      </c>
      <c r="Q3478" s="15" t="s">
        <v>1089</v>
      </c>
      <c r="R3478" s="16" t="s">
        <v>21781</v>
      </c>
      <c r="S3478" s="15" t="s">
        <v>21782</v>
      </c>
      <c r="T3478" s="15" t="s">
        <v>21782</v>
      </c>
      <c r="U3478" s="21" t="s">
        <v>72</v>
      </c>
    </row>
    <row r="3479" customFormat="false" ht="26.85" hidden="false" customHeight="false" outlineLevel="0" collapsed="false">
      <c r="A3479" s="15" t="s">
        <v>21337</v>
      </c>
      <c r="B3479" s="15" t="s">
        <v>21653</v>
      </c>
      <c r="C3479" s="14" t="s">
        <v>21783</v>
      </c>
      <c r="D3479" s="14" t="s">
        <v>21784</v>
      </c>
      <c r="E3479" s="16" t="s">
        <v>21785</v>
      </c>
      <c r="F3479" s="16" t="s">
        <v>21786</v>
      </c>
      <c r="G3479" s="25" t="s">
        <v>39</v>
      </c>
      <c r="H3479" s="18" t="n">
        <v>14</v>
      </c>
      <c r="I3479" s="20" t="n">
        <v>256.9</v>
      </c>
      <c r="J3479" s="20" t="n">
        <v>511.44</v>
      </c>
      <c r="K3479" s="18" t="n">
        <v>8</v>
      </c>
      <c r="L3479" s="18" t="n">
        <v>14</v>
      </c>
      <c r="M3479" s="18" t="n">
        <v>146</v>
      </c>
      <c r="N3479" s="18" t="n">
        <v>30</v>
      </c>
      <c r="O3479" s="14" t="s">
        <v>1088</v>
      </c>
      <c r="P3479" s="14" t="s">
        <v>872</v>
      </c>
      <c r="Q3479" s="15" t="s">
        <v>1089</v>
      </c>
      <c r="R3479" s="16" t="s">
        <v>21787</v>
      </c>
      <c r="S3479" s="15" t="s">
        <v>21788</v>
      </c>
      <c r="T3479" s="15" t="s">
        <v>21788</v>
      </c>
      <c r="U3479" s="21" t="s">
        <v>72</v>
      </c>
    </row>
    <row r="3480" customFormat="false" ht="15" hidden="false" customHeight="false" outlineLevel="0" collapsed="false">
      <c r="A3480" s="15" t="s">
        <v>21337</v>
      </c>
      <c r="B3480" s="15" t="s">
        <v>21653</v>
      </c>
      <c r="C3480" s="14" t="s">
        <v>21789</v>
      </c>
      <c r="D3480" s="14" t="s">
        <v>21790</v>
      </c>
      <c r="E3480" s="16" t="s">
        <v>21791</v>
      </c>
      <c r="F3480" s="16" t="s">
        <v>21792</v>
      </c>
      <c r="G3480" s="23" t="s">
        <v>43</v>
      </c>
      <c r="H3480" s="18" t="n">
        <v>2</v>
      </c>
      <c r="I3480" s="20" t="n">
        <v>40.68</v>
      </c>
      <c r="J3480" s="20" t="n">
        <v>98.64</v>
      </c>
      <c r="K3480" s="18" t="n">
        <v>22</v>
      </c>
      <c r="L3480" s="18" t="n">
        <v>3</v>
      </c>
      <c r="M3480" s="18" t="n">
        <v>462</v>
      </c>
      <c r="N3480" s="18" t="n">
        <v>126</v>
      </c>
      <c r="O3480" s="14" t="s">
        <v>1097</v>
      </c>
      <c r="P3480" s="14" t="s">
        <v>118</v>
      </c>
      <c r="Q3480" s="15" t="s">
        <v>1089</v>
      </c>
      <c r="R3480" s="16" t="s">
        <v>10246</v>
      </c>
      <c r="S3480" s="15" t="s">
        <v>21793</v>
      </c>
      <c r="T3480" s="15" t="s">
        <v>21794</v>
      </c>
      <c r="U3480" s="21" t="s">
        <v>72</v>
      </c>
    </row>
    <row r="3481" customFormat="false" ht="15" hidden="false" customHeight="false" outlineLevel="0" collapsed="false">
      <c r="A3481" s="15" t="s">
        <v>21337</v>
      </c>
      <c r="B3481" s="15" t="s">
        <v>21653</v>
      </c>
      <c r="C3481" s="14" t="s">
        <v>21795</v>
      </c>
      <c r="D3481" s="14" t="s">
        <v>21796</v>
      </c>
      <c r="E3481" s="16" t="s">
        <v>21797</v>
      </c>
      <c r="F3481" s="16"/>
      <c r="G3481" s="23" t="s">
        <v>43</v>
      </c>
      <c r="H3481" s="18" t="n">
        <v>4</v>
      </c>
      <c r="I3481" s="20" t="n">
        <v>121.34</v>
      </c>
      <c r="J3481" s="20" t="n">
        <v>199.35</v>
      </c>
      <c r="K3481" s="18" t="n">
        <v>5</v>
      </c>
      <c r="L3481" s="18" t="n">
        <v>4</v>
      </c>
      <c r="M3481" s="18" t="n">
        <v>90</v>
      </c>
      <c r="N3481" s="18" t="n">
        <v>36</v>
      </c>
      <c r="O3481" s="14" t="s">
        <v>1126</v>
      </c>
      <c r="P3481" s="14" t="s">
        <v>118</v>
      </c>
      <c r="Q3481" s="15" t="s">
        <v>1089</v>
      </c>
      <c r="R3481" s="16" t="s">
        <v>6032</v>
      </c>
      <c r="S3481" s="15" t="s">
        <v>21798</v>
      </c>
      <c r="T3481" s="15" t="s">
        <v>21798</v>
      </c>
      <c r="U3481" s="21" t="s">
        <v>72</v>
      </c>
    </row>
    <row r="3482" customFormat="false" ht="15" hidden="false" customHeight="false" outlineLevel="0" collapsed="false">
      <c r="A3482" s="15" t="s">
        <v>21337</v>
      </c>
      <c r="B3482" s="15" t="s">
        <v>21653</v>
      </c>
      <c r="C3482" s="14" t="s">
        <v>21799</v>
      </c>
      <c r="D3482" s="14" t="s">
        <v>21800</v>
      </c>
      <c r="E3482" s="16" t="s">
        <v>21801</v>
      </c>
      <c r="F3482" s="16" t="s">
        <v>21802</v>
      </c>
      <c r="G3482" s="23" t="s">
        <v>43</v>
      </c>
      <c r="H3482" s="18" t="n">
        <v>3</v>
      </c>
      <c r="I3482" s="20" t="n">
        <v>95.27</v>
      </c>
      <c r="J3482" s="20" t="n">
        <v>154.9</v>
      </c>
      <c r="K3482" s="18" t="n">
        <v>2</v>
      </c>
      <c r="L3482" s="18" t="n">
        <v>1</v>
      </c>
      <c r="M3482" s="18" t="n">
        <v>40</v>
      </c>
      <c r="N3482" s="18" t="n">
        <v>40</v>
      </c>
      <c r="O3482" s="14" t="s">
        <v>1088</v>
      </c>
      <c r="P3482" s="14" t="s">
        <v>84</v>
      </c>
      <c r="Q3482" s="15" t="s">
        <v>1089</v>
      </c>
      <c r="R3482" s="16" t="s">
        <v>21803</v>
      </c>
      <c r="S3482" s="15" t="s">
        <v>21804</v>
      </c>
      <c r="T3482" s="15" t="s">
        <v>21804</v>
      </c>
      <c r="U3482" s="21" t="s">
        <v>72</v>
      </c>
    </row>
    <row r="3483" customFormat="false" ht="15" hidden="false" customHeight="false" outlineLevel="0" collapsed="false">
      <c r="A3483" s="15" t="s">
        <v>21337</v>
      </c>
      <c r="B3483" s="15" t="s">
        <v>21653</v>
      </c>
      <c r="C3483" s="14" t="s">
        <v>21805</v>
      </c>
      <c r="D3483" s="14" t="s">
        <v>21806</v>
      </c>
      <c r="E3483" s="16" t="s">
        <v>21807</v>
      </c>
      <c r="F3483" s="16" t="s">
        <v>21808</v>
      </c>
      <c r="G3483" s="19" t="s">
        <v>41</v>
      </c>
      <c r="H3483" s="18" t="n">
        <v>7</v>
      </c>
      <c r="I3483" s="20" t="n">
        <v>113.74</v>
      </c>
      <c r="J3483" s="20" t="n">
        <v>213.24</v>
      </c>
      <c r="K3483" s="18" t="n">
        <v>24</v>
      </c>
      <c r="L3483" s="18" t="n">
        <v>5</v>
      </c>
      <c r="M3483" s="18" t="n">
        <v>336</v>
      </c>
      <c r="N3483" s="18" t="n">
        <v>56</v>
      </c>
      <c r="O3483" s="14" t="s">
        <v>1126</v>
      </c>
      <c r="P3483" s="14" t="s">
        <v>515</v>
      </c>
      <c r="Q3483" s="15" t="s">
        <v>1089</v>
      </c>
      <c r="R3483" s="16" t="s">
        <v>21809</v>
      </c>
      <c r="S3483" s="15" t="s">
        <v>21810</v>
      </c>
      <c r="T3483" s="15" t="s">
        <v>21810</v>
      </c>
      <c r="U3483" s="21" t="s">
        <v>72</v>
      </c>
    </row>
    <row r="3484" customFormat="false" ht="15" hidden="false" customHeight="false" outlineLevel="0" collapsed="false">
      <c r="A3484" s="15" t="s">
        <v>21337</v>
      </c>
      <c r="B3484" s="15" t="s">
        <v>21653</v>
      </c>
      <c r="C3484" s="14" t="s">
        <v>21811</v>
      </c>
      <c r="D3484" s="14" t="s">
        <v>21812</v>
      </c>
      <c r="E3484" s="16" t="s">
        <v>21813</v>
      </c>
      <c r="F3484" s="16" t="s">
        <v>21814</v>
      </c>
      <c r="G3484" s="19" t="s">
        <v>41</v>
      </c>
      <c r="H3484" s="18" t="n">
        <v>6</v>
      </c>
      <c r="I3484" s="20" t="n">
        <v>197.54</v>
      </c>
      <c r="J3484" s="20" t="n">
        <v>319.86</v>
      </c>
      <c r="K3484" s="18" t="n">
        <v>48</v>
      </c>
      <c r="L3484" s="18" t="n">
        <v>5</v>
      </c>
      <c r="M3484" s="18" t="n">
        <v>1296</v>
      </c>
      <c r="N3484" s="18" t="n">
        <v>918</v>
      </c>
      <c r="O3484" s="14" t="s">
        <v>1126</v>
      </c>
      <c r="P3484" s="14" t="s">
        <v>118</v>
      </c>
      <c r="Q3484" s="15" t="s">
        <v>1089</v>
      </c>
      <c r="R3484" s="16" t="s">
        <v>21815</v>
      </c>
      <c r="S3484" s="15" t="s">
        <v>21444</v>
      </c>
      <c r="T3484" s="15" t="s">
        <v>21816</v>
      </c>
      <c r="U3484" s="21" t="s">
        <v>72</v>
      </c>
    </row>
    <row r="3485" customFormat="false" ht="15" hidden="false" customHeight="false" outlineLevel="0" collapsed="false">
      <c r="A3485" s="15" t="s">
        <v>21337</v>
      </c>
      <c r="B3485" s="15" t="s">
        <v>21653</v>
      </c>
      <c r="C3485" s="14" t="s">
        <v>21817</v>
      </c>
      <c r="D3485" s="14" t="s">
        <v>21818</v>
      </c>
      <c r="E3485" s="16" t="s">
        <v>21819</v>
      </c>
      <c r="F3485" s="16" t="s">
        <v>21820</v>
      </c>
      <c r="G3485" s="23" t="s">
        <v>43</v>
      </c>
      <c r="H3485" s="18" t="n">
        <v>3</v>
      </c>
      <c r="I3485" s="20" t="n">
        <v>70.84</v>
      </c>
      <c r="J3485" s="20" t="n">
        <v>143.99</v>
      </c>
      <c r="K3485" s="18" t="n">
        <v>2</v>
      </c>
      <c r="L3485" s="18" t="n">
        <v>2</v>
      </c>
      <c r="M3485" s="18" t="n">
        <v>38</v>
      </c>
      <c r="N3485" s="18" t="n">
        <v>38</v>
      </c>
      <c r="O3485" s="14" t="s">
        <v>1126</v>
      </c>
      <c r="P3485" s="14" t="s">
        <v>84</v>
      </c>
      <c r="Q3485" s="15" t="s">
        <v>1089</v>
      </c>
      <c r="R3485" s="16" t="s">
        <v>10771</v>
      </c>
      <c r="S3485" s="15" t="s">
        <v>21821</v>
      </c>
      <c r="T3485" s="15" t="s">
        <v>21821</v>
      </c>
      <c r="U3485" s="21" t="s">
        <v>72</v>
      </c>
    </row>
    <row r="3486" customFormat="false" ht="15" hidden="false" customHeight="false" outlineLevel="0" collapsed="false">
      <c r="A3486" s="15" t="s">
        <v>21337</v>
      </c>
      <c r="B3486" s="15" t="s">
        <v>21653</v>
      </c>
      <c r="C3486" s="14" t="s">
        <v>21822</v>
      </c>
      <c r="D3486" s="14" t="s">
        <v>21823</v>
      </c>
      <c r="E3486" s="16" t="s">
        <v>21824</v>
      </c>
      <c r="F3486" s="16" t="s">
        <v>21825</v>
      </c>
      <c r="G3486" s="23" t="s">
        <v>43</v>
      </c>
      <c r="H3486" s="18" t="n">
        <v>4</v>
      </c>
      <c r="I3486" s="20" t="n">
        <v>82.72</v>
      </c>
      <c r="J3486" s="20" t="n">
        <v>187.52</v>
      </c>
      <c r="K3486" s="18" t="n">
        <v>3</v>
      </c>
      <c r="L3486" s="18" t="n">
        <v>2</v>
      </c>
      <c r="M3486" s="18" t="n">
        <v>45</v>
      </c>
      <c r="N3486" s="18" t="n">
        <v>30</v>
      </c>
      <c r="O3486" s="14" t="s">
        <v>1088</v>
      </c>
      <c r="P3486" s="14" t="s">
        <v>84</v>
      </c>
      <c r="Q3486" s="15" t="s">
        <v>1089</v>
      </c>
      <c r="R3486" s="16" t="s">
        <v>21826</v>
      </c>
      <c r="S3486" s="15" t="s">
        <v>21827</v>
      </c>
      <c r="T3486" s="15" t="s">
        <v>21828</v>
      </c>
      <c r="U3486" s="21" t="s">
        <v>72</v>
      </c>
    </row>
    <row r="3487" customFormat="false" ht="15" hidden="false" customHeight="false" outlineLevel="0" collapsed="false">
      <c r="A3487" s="15" t="s">
        <v>21337</v>
      </c>
      <c r="B3487" s="15" t="s">
        <v>21653</v>
      </c>
      <c r="C3487" s="14" t="s">
        <v>21829</v>
      </c>
      <c r="D3487" s="14" t="s">
        <v>21830</v>
      </c>
      <c r="E3487" s="16" t="s">
        <v>21824</v>
      </c>
      <c r="F3487" s="16" t="s">
        <v>21825</v>
      </c>
      <c r="G3487" s="19" t="s">
        <v>41</v>
      </c>
      <c r="H3487" s="18" t="n">
        <v>5</v>
      </c>
      <c r="I3487" s="20" t="n">
        <v>103.8</v>
      </c>
      <c r="J3487" s="20" t="n">
        <v>179.31</v>
      </c>
      <c r="K3487" s="18" t="n">
        <v>4</v>
      </c>
      <c r="L3487" s="18" t="n">
        <v>6</v>
      </c>
      <c r="M3487" s="18" t="n">
        <v>60</v>
      </c>
      <c r="N3487" s="18" t="n">
        <v>15</v>
      </c>
      <c r="O3487" s="14" t="s">
        <v>1097</v>
      </c>
      <c r="P3487" s="14" t="s">
        <v>84</v>
      </c>
      <c r="Q3487" s="15" t="s">
        <v>1089</v>
      </c>
      <c r="R3487" s="16" t="s">
        <v>21831</v>
      </c>
      <c r="S3487" s="15" t="s">
        <v>21827</v>
      </c>
      <c r="T3487" s="15" t="s">
        <v>21827</v>
      </c>
      <c r="U3487" s="21" t="s">
        <v>72</v>
      </c>
    </row>
    <row r="3488" customFormat="false" ht="15" hidden="false" customHeight="false" outlineLevel="0" collapsed="false">
      <c r="A3488" s="15" t="s">
        <v>21337</v>
      </c>
      <c r="B3488" s="15" t="s">
        <v>21653</v>
      </c>
      <c r="C3488" s="14" t="s">
        <v>21832</v>
      </c>
      <c r="D3488" s="14" t="s">
        <v>21833</v>
      </c>
      <c r="E3488" s="16" t="s">
        <v>21834</v>
      </c>
      <c r="F3488" s="16" t="s">
        <v>21835</v>
      </c>
      <c r="G3488" s="19" t="s">
        <v>41</v>
      </c>
      <c r="H3488" s="18" t="n">
        <v>5</v>
      </c>
      <c r="I3488" s="20" t="n">
        <v>72.47</v>
      </c>
      <c r="J3488" s="20" t="n">
        <v>121.32</v>
      </c>
      <c r="K3488" s="18" t="n">
        <v>4</v>
      </c>
      <c r="L3488" s="18" t="n">
        <v>2</v>
      </c>
      <c r="M3488" s="18" t="n">
        <v>64</v>
      </c>
      <c r="N3488" s="18" t="n">
        <v>32</v>
      </c>
      <c r="O3488" s="14" t="s">
        <v>5962</v>
      </c>
      <c r="P3488" s="14" t="s">
        <v>118</v>
      </c>
      <c r="Q3488" s="15" t="s">
        <v>1089</v>
      </c>
      <c r="R3488" s="16" t="s">
        <v>21836</v>
      </c>
      <c r="S3488" s="15" t="s">
        <v>21837</v>
      </c>
      <c r="T3488" s="15" t="s">
        <v>21838</v>
      </c>
      <c r="U3488" s="21" t="s">
        <v>72</v>
      </c>
    </row>
    <row r="3489" customFormat="false" ht="26.85" hidden="false" customHeight="false" outlineLevel="0" collapsed="false">
      <c r="A3489" s="15" t="s">
        <v>21337</v>
      </c>
      <c r="B3489" s="15" t="s">
        <v>21653</v>
      </c>
      <c r="C3489" s="14" t="s">
        <v>21839</v>
      </c>
      <c r="D3489" s="14" t="s">
        <v>21840</v>
      </c>
      <c r="E3489" s="16" t="s">
        <v>21841</v>
      </c>
      <c r="F3489" s="16" t="s">
        <v>21842</v>
      </c>
      <c r="G3489" s="23" t="s">
        <v>43</v>
      </c>
      <c r="H3489" s="18" t="n">
        <v>2</v>
      </c>
      <c r="I3489" s="20" t="n">
        <v>38.59</v>
      </c>
      <c r="J3489" s="20" t="n">
        <v>76.06</v>
      </c>
      <c r="K3489" s="18" t="n">
        <v>12</v>
      </c>
      <c r="L3489" s="18" t="n">
        <v>5</v>
      </c>
      <c r="M3489" s="18" t="n">
        <v>180</v>
      </c>
      <c r="N3489" s="18" t="n">
        <v>45</v>
      </c>
      <c r="O3489" s="14" t="s">
        <v>1126</v>
      </c>
      <c r="P3489" s="14" t="s">
        <v>12949</v>
      </c>
      <c r="Q3489" s="15" t="s">
        <v>1089</v>
      </c>
      <c r="R3489" s="16" t="s">
        <v>21843</v>
      </c>
      <c r="S3489" s="15" t="s">
        <v>21844</v>
      </c>
      <c r="T3489" s="15" t="s">
        <v>21845</v>
      </c>
      <c r="U3489" s="21" t="s">
        <v>72</v>
      </c>
    </row>
    <row r="3490" customFormat="false" ht="15" hidden="false" customHeight="false" outlineLevel="0" collapsed="false">
      <c r="A3490" s="15" t="s">
        <v>21337</v>
      </c>
      <c r="B3490" s="15" t="s">
        <v>21653</v>
      </c>
      <c r="C3490" s="14" t="s">
        <v>21846</v>
      </c>
      <c r="D3490" s="14" t="s">
        <v>21847</v>
      </c>
      <c r="E3490" s="16" t="s">
        <v>21848</v>
      </c>
      <c r="F3490" s="16" t="s">
        <v>21849</v>
      </c>
      <c r="G3490" s="19" t="s">
        <v>41</v>
      </c>
      <c r="H3490" s="18" t="n">
        <v>5</v>
      </c>
      <c r="I3490" s="20" t="n">
        <v>101.34</v>
      </c>
      <c r="J3490" s="20" t="n">
        <v>187.77</v>
      </c>
      <c r="K3490" s="18" t="n">
        <v>8</v>
      </c>
      <c r="L3490" s="18" t="n">
        <v>7</v>
      </c>
      <c r="M3490" s="18" t="n">
        <v>128</v>
      </c>
      <c r="N3490" s="18" t="n">
        <v>48</v>
      </c>
      <c r="O3490" s="14" t="s">
        <v>1126</v>
      </c>
      <c r="P3490" s="14" t="s">
        <v>94</v>
      </c>
      <c r="Q3490" s="15" t="s">
        <v>1089</v>
      </c>
      <c r="R3490" s="16" t="s">
        <v>21850</v>
      </c>
      <c r="S3490" s="15" t="s">
        <v>21851</v>
      </c>
      <c r="T3490" s="15" t="s">
        <v>21852</v>
      </c>
      <c r="U3490" s="21" t="s">
        <v>72</v>
      </c>
    </row>
    <row r="3491" customFormat="false" ht="15" hidden="false" customHeight="false" outlineLevel="0" collapsed="false">
      <c r="A3491" s="15" t="s">
        <v>21337</v>
      </c>
      <c r="B3491" s="15" t="s">
        <v>21653</v>
      </c>
      <c r="C3491" s="14" t="s">
        <v>21853</v>
      </c>
      <c r="D3491" s="14" t="s">
        <v>21854</v>
      </c>
      <c r="E3491" s="16" t="s">
        <v>21855</v>
      </c>
      <c r="F3491" s="16" t="s">
        <v>21856</v>
      </c>
      <c r="G3491" s="23" t="s">
        <v>43</v>
      </c>
      <c r="H3491" s="18" t="n">
        <v>3</v>
      </c>
      <c r="I3491" s="20" t="n">
        <v>69.1</v>
      </c>
      <c r="J3491" s="20" t="n">
        <v>176.49</v>
      </c>
      <c r="K3491" s="18" t="n">
        <v>8</v>
      </c>
      <c r="L3491" s="18" t="n">
        <v>6</v>
      </c>
      <c r="M3491" s="18" t="n">
        <v>144</v>
      </c>
      <c r="N3491" s="18" t="n">
        <v>36</v>
      </c>
      <c r="O3491" s="14" t="s">
        <v>7240</v>
      </c>
      <c r="P3491" s="14" t="s">
        <v>1716</v>
      </c>
      <c r="Q3491" s="15" t="s">
        <v>1089</v>
      </c>
      <c r="R3491" s="16" t="s">
        <v>12368</v>
      </c>
      <c r="S3491" s="15" t="s">
        <v>21857</v>
      </c>
      <c r="T3491" s="15" t="s">
        <v>21857</v>
      </c>
      <c r="U3491" s="21" t="s">
        <v>72</v>
      </c>
    </row>
    <row r="3492" customFormat="false" ht="15" hidden="false" customHeight="false" outlineLevel="0" collapsed="false">
      <c r="A3492" s="15" t="s">
        <v>21337</v>
      </c>
      <c r="B3492" s="15" t="s">
        <v>21653</v>
      </c>
      <c r="C3492" s="14" t="s">
        <v>21858</v>
      </c>
      <c r="D3492" s="14" t="s">
        <v>21859</v>
      </c>
      <c r="E3492" s="16" t="s">
        <v>21860</v>
      </c>
      <c r="F3492" s="16" t="s">
        <v>21861</v>
      </c>
      <c r="G3492" s="23" t="s">
        <v>43</v>
      </c>
      <c r="H3492" s="18" t="n">
        <v>3</v>
      </c>
      <c r="I3492" s="20" t="n">
        <v>91.24</v>
      </c>
      <c r="J3492" s="20" t="n">
        <v>184.08</v>
      </c>
      <c r="K3492" s="18" t="n">
        <v>5</v>
      </c>
      <c r="L3492" s="18" t="n">
        <v>2</v>
      </c>
      <c r="M3492" s="18" t="n">
        <v>160</v>
      </c>
      <c r="N3492" s="18"/>
      <c r="O3492" s="13"/>
      <c r="P3492" s="14" t="s">
        <v>84</v>
      </c>
      <c r="Q3492" s="15" t="s">
        <v>1089</v>
      </c>
      <c r="R3492" s="16" t="s">
        <v>8309</v>
      </c>
      <c r="S3492" s="15" t="s">
        <v>21862</v>
      </c>
      <c r="T3492" s="15" t="s">
        <v>21863</v>
      </c>
      <c r="U3492" s="21" t="s">
        <v>72</v>
      </c>
    </row>
    <row r="3493" customFormat="false" ht="15" hidden="false" customHeight="false" outlineLevel="0" collapsed="false">
      <c r="A3493" s="15" t="s">
        <v>21337</v>
      </c>
      <c r="B3493" s="15" t="s">
        <v>21653</v>
      </c>
      <c r="C3493" s="14" t="s">
        <v>21864</v>
      </c>
      <c r="D3493" s="14" t="s">
        <v>21865</v>
      </c>
      <c r="E3493" s="16" t="s">
        <v>21866</v>
      </c>
      <c r="F3493" s="16" t="s">
        <v>21867</v>
      </c>
      <c r="G3493" s="23" t="s">
        <v>43</v>
      </c>
      <c r="H3493" s="18" t="n">
        <v>3</v>
      </c>
      <c r="I3493" s="20" t="n">
        <v>75.47</v>
      </c>
      <c r="J3493" s="20" t="n">
        <v>132.3</v>
      </c>
      <c r="K3493" s="18" t="n">
        <v>16</v>
      </c>
      <c r="L3493" s="18" t="n">
        <v>9</v>
      </c>
      <c r="M3493" s="18" t="n">
        <v>320</v>
      </c>
      <c r="N3493" s="18" t="n">
        <v>80</v>
      </c>
      <c r="O3493" s="14" t="s">
        <v>1126</v>
      </c>
      <c r="P3493" s="14" t="s">
        <v>84</v>
      </c>
      <c r="Q3493" s="15" t="s">
        <v>1089</v>
      </c>
      <c r="R3493" s="16" t="s">
        <v>21868</v>
      </c>
      <c r="S3493" s="15" t="s">
        <v>21869</v>
      </c>
      <c r="T3493" s="15" t="s">
        <v>21870</v>
      </c>
      <c r="U3493" s="21" t="s">
        <v>72</v>
      </c>
    </row>
    <row r="3494" customFormat="false" ht="15" hidden="false" customHeight="false" outlineLevel="0" collapsed="false">
      <c r="A3494" s="15" t="s">
        <v>21337</v>
      </c>
      <c r="B3494" s="15" t="s">
        <v>21653</v>
      </c>
      <c r="C3494" s="14" t="s">
        <v>21871</v>
      </c>
      <c r="D3494" s="14" t="s">
        <v>21872</v>
      </c>
      <c r="E3494" s="16" t="s">
        <v>21873</v>
      </c>
      <c r="F3494" s="16" t="s">
        <v>21867</v>
      </c>
      <c r="G3494" s="23" t="s">
        <v>43</v>
      </c>
      <c r="H3494" s="18" t="n">
        <v>1</v>
      </c>
      <c r="I3494" s="20" t="n">
        <v>52.74</v>
      </c>
      <c r="J3494" s="20" t="n">
        <v>70.02</v>
      </c>
      <c r="K3494" s="18" t="n">
        <v>2</v>
      </c>
      <c r="L3494" s="18" t="n">
        <v>4</v>
      </c>
      <c r="M3494" s="18" t="n">
        <v>70</v>
      </c>
      <c r="N3494" s="18" t="n">
        <v>70</v>
      </c>
      <c r="O3494" s="14" t="s">
        <v>1126</v>
      </c>
      <c r="P3494" s="14" t="s">
        <v>84</v>
      </c>
      <c r="Q3494" s="15" t="s">
        <v>1089</v>
      </c>
      <c r="R3494" s="16" t="s">
        <v>21874</v>
      </c>
      <c r="S3494" s="15" t="s">
        <v>21869</v>
      </c>
      <c r="T3494" s="15" t="s">
        <v>21875</v>
      </c>
      <c r="U3494" s="21" t="s">
        <v>72</v>
      </c>
    </row>
    <row r="3495" customFormat="false" ht="15" hidden="false" customHeight="false" outlineLevel="0" collapsed="false">
      <c r="A3495" s="15" t="s">
        <v>21337</v>
      </c>
      <c r="B3495" s="15" t="s">
        <v>21653</v>
      </c>
      <c r="C3495" s="14" t="s">
        <v>21876</v>
      </c>
      <c r="D3495" s="14" t="s">
        <v>21877</v>
      </c>
      <c r="E3495" s="16" t="s">
        <v>21878</v>
      </c>
      <c r="F3495" s="16" t="s">
        <v>21879</v>
      </c>
      <c r="G3495" s="23" t="s">
        <v>43</v>
      </c>
      <c r="H3495" s="18" t="n">
        <v>3</v>
      </c>
      <c r="I3495" s="20" t="n">
        <v>76.76</v>
      </c>
      <c r="J3495" s="20" t="n">
        <v>144.72</v>
      </c>
      <c r="K3495" s="18" t="n">
        <v>7</v>
      </c>
      <c r="L3495" s="18" t="n">
        <v>6</v>
      </c>
      <c r="M3495" s="18" t="n">
        <v>147</v>
      </c>
      <c r="N3495" s="18" t="n">
        <v>42</v>
      </c>
      <c r="O3495" s="14" t="s">
        <v>1097</v>
      </c>
      <c r="P3495" s="14" t="s">
        <v>1716</v>
      </c>
      <c r="Q3495" s="15" t="s">
        <v>1089</v>
      </c>
      <c r="R3495" s="16" t="s">
        <v>21880</v>
      </c>
      <c r="S3495" s="15" t="s">
        <v>17327</v>
      </c>
      <c r="T3495" s="15" t="s">
        <v>21881</v>
      </c>
      <c r="U3495" s="21" t="s">
        <v>72</v>
      </c>
    </row>
    <row r="3496" customFormat="false" ht="15" hidden="false" customHeight="false" outlineLevel="0" collapsed="false">
      <c r="A3496" s="15" t="s">
        <v>21337</v>
      </c>
      <c r="B3496" s="15" t="s">
        <v>21653</v>
      </c>
      <c r="C3496" s="14" t="s">
        <v>21882</v>
      </c>
      <c r="D3496" s="14" t="s">
        <v>21883</v>
      </c>
      <c r="E3496" s="16" t="s">
        <v>21884</v>
      </c>
      <c r="F3496" s="16" t="s">
        <v>21885</v>
      </c>
      <c r="G3496" s="25" t="s">
        <v>39</v>
      </c>
      <c r="H3496" s="18" t="n">
        <v>12</v>
      </c>
      <c r="I3496" s="20" t="n">
        <v>300.08</v>
      </c>
      <c r="J3496" s="20" t="n">
        <v>611.68</v>
      </c>
      <c r="K3496" s="18" t="n">
        <v>10</v>
      </c>
      <c r="L3496" s="18" t="n">
        <v>5</v>
      </c>
      <c r="M3496" s="18" t="n">
        <v>200</v>
      </c>
      <c r="N3496" s="18" t="n">
        <v>180</v>
      </c>
      <c r="O3496" s="14" t="s">
        <v>1126</v>
      </c>
      <c r="P3496" s="14" t="s">
        <v>84</v>
      </c>
      <c r="Q3496" s="15" t="s">
        <v>1089</v>
      </c>
      <c r="R3496" s="16" t="s">
        <v>21886</v>
      </c>
      <c r="S3496" s="15" t="s">
        <v>21887</v>
      </c>
      <c r="T3496" s="15" t="s">
        <v>21887</v>
      </c>
      <c r="U3496" s="21" t="s">
        <v>72</v>
      </c>
    </row>
    <row r="3497" customFormat="false" ht="15" hidden="false" customHeight="false" outlineLevel="0" collapsed="false">
      <c r="A3497" s="15" t="s">
        <v>21337</v>
      </c>
      <c r="B3497" s="15" t="s">
        <v>21653</v>
      </c>
      <c r="C3497" s="14" t="s">
        <v>21888</v>
      </c>
      <c r="D3497" s="14" t="s">
        <v>21889</v>
      </c>
      <c r="E3497" s="16" t="s">
        <v>21890</v>
      </c>
      <c r="F3497" s="16"/>
      <c r="G3497" s="19" t="s">
        <v>41</v>
      </c>
      <c r="H3497" s="18" t="n">
        <v>5</v>
      </c>
      <c r="I3497" s="20" t="n">
        <v>133.8</v>
      </c>
      <c r="J3497" s="20" t="n">
        <v>388.69</v>
      </c>
      <c r="K3497" s="18" t="n">
        <v>3</v>
      </c>
      <c r="L3497" s="18" t="n">
        <v>1</v>
      </c>
      <c r="M3497" s="18" t="n">
        <v>66</v>
      </c>
      <c r="N3497" s="18" t="n">
        <v>66</v>
      </c>
      <c r="O3497" s="14" t="s">
        <v>1126</v>
      </c>
      <c r="P3497" s="14" t="s">
        <v>84</v>
      </c>
      <c r="Q3497" s="15" t="s">
        <v>1089</v>
      </c>
      <c r="R3497" s="16" t="s">
        <v>7644</v>
      </c>
      <c r="S3497" s="15" t="s">
        <v>21891</v>
      </c>
      <c r="T3497" s="15" t="s">
        <v>21892</v>
      </c>
      <c r="U3497" s="21" t="s">
        <v>72</v>
      </c>
    </row>
    <row r="3498" customFormat="false" ht="15" hidden="false" customHeight="false" outlineLevel="0" collapsed="false">
      <c r="A3498" s="15" t="s">
        <v>21337</v>
      </c>
      <c r="B3498" s="15" t="s">
        <v>21653</v>
      </c>
      <c r="C3498" s="14" t="s">
        <v>21893</v>
      </c>
      <c r="D3498" s="14" t="s">
        <v>21894</v>
      </c>
      <c r="E3498" s="16" t="s">
        <v>21895</v>
      </c>
      <c r="F3498" s="16"/>
      <c r="G3498" s="23" t="s">
        <v>43</v>
      </c>
      <c r="H3498" s="18" t="n">
        <v>2</v>
      </c>
      <c r="I3498" s="20" t="n">
        <v>63.89</v>
      </c>
      <c r="J3498" s="20" t="n">
        <v>152.37</v>
      </c>
      <c r="K3498" s="18" t="n">
        <v>1</v>
      </c>
      <c r="L3498" s="18" t="n">
        <v>1</v>
      </c>
      <c r="M3498" s="18" t="n">
        <v>13</v>
      </c>
      <c r="N3498" s="18" t="n">
        <v>13</v>
      </c>
      <c r="O3498" s="14" t="s">
        <v>1126</v>
      </c>
      <c r="P3498" s="14" t="s">
        <v>84</v>
      </c>
      <c r="Q3498" s="15" t="s">
        <v>1089</v>
      </c>
      <c r="R3498" s="16" t="s">
        <v>21896</v>
      </c>
      <c r="S3498" s="15" t="s">
        <v>21892</v>
      </c>
      <c r="T3498" s="15" t="s">
        <v>21891</v>
      </c>
      <c r="U3498" s="21" t="s">
        <v>72</v>
      </c>
    </row>
    <row r="3499" customFormat="false" ht="26.85" hidden="false" customHeight="false" outlineLevel="0" collapsed="false">
      <c r="A3499" s="15" t="s">
        <v>21337</v>
      </c>
      <c r="B3499" s="15" t="s">
        <v>21653</v>
      </c>
      <c r="C3499" s="14" t="s">
        <v>21897</v>
      </c>
      <c r="D3499" s="14" t="s">
        <v>21898</v>
      </c>
      <c r="E3499" s="16" t="s">
        <v>21899</v>
      </c>
      <c r="F3499" s="16"/>
      <c r="G3499" s="23" t="s">
        <v>43</v>
      </c>
      <c r="H3499" s="18" t="n">
        <v>3</v>
      </c>
      <c r="I3499" s="20" t="n">
        <v>77.25</v>
      </c>
      <c r="J3499" s="20" t="n">
        <v>187.375</v>
      </c>
      <c r="K3499" s="18" t="n">
        <v>5</v>
      </c>
      <c r="L3499" s="18" t="n">
        <v>2</v>
      </c>
      <c r="M3499" s="18" t="n">
        <v>125</v>
      </c>
      <c r="N3499" s="18" t="n">
        <v>75</v>
      </c>
      <c r="O3499" s="14" t="s">
        <v>1126</v>
      </c>
      <c r="P3499" s="14" t="s">
        <v>1185</v>
      </c>
      <c r="Q3499" s="15" t="s">
        <v>1089</v>
      </c>
      <c r="R3499" s="16" t="s">
        <v>4893</v>
      </c>
      <c r="S3499" s="15" t="s">
        <v>21900</v>
      </c>
      <c r="T3499" s="15" t="s">
        <v>21900</v>
      </c>
      <c r="U3499" s="21" t="s">
        <v>72</v>
      </c>
    </row>
    <row r="3500" customFormat="false" ht="15" hidden="false" customHeight="false" outlineLevel="0" collapsed="false">
      <c r="A3500" s="15" t="s">
        <v>21337</v>
      </c>
      <c r="B3500" s="15" t="s">
        <v>21653</v>
      </c>
      <c r="C3500" s="14" t="s">
        <v>21901</v>
      </c>
      <c r="D3500" s="14" t="s">
        <v>21902</v>
      </c>
      <c r="E3500" s="16" t="s">
        <v>21903</v>
      </c>
      <c r="F3500" s="16" t="s">
        <v>21904</v>
      </c>
      <c r="G3500" s="19" t="s">
        <v>41</v>
      </c>
      <c r="H3500" s="18" t="n">
        <v>7</v>
      </c>
      <c r="I3500" s="20" t="n">
        <v>188.36</v>
      </c>
      <c r="J3500" s="20" t="n">
        <v>388</v>
      </c>
      <c r="K3500" s="18" t="n">
        <v>9</v>
      </c>
      <c r="L3500" s="18" t="n">
        <v>6</v>
      </c>
      <c r="M3500" s="18" t="n">
        <v>189</v>
      </c>
      <c r="N3500" s="18" t="n">
        <v>63</v>
      </c>
      <c r="O3500" s="14" t="s">
        <v>3724</v>
      </c>
      <c r="P3500" s="14" t="s">
        <v>118</v>
      </c>
      <c r="Q3500" s="15" t="s">
        <v>1089</v>
      </c>
      <c r="R3500" s="16" t="s">
        <v>21905</v>
      </c>
      <c r="S3500" s="15" t="s">
        <v>21906</v>
      </c>
      <c r="T3500" s="15" t="s">
        <v>21906</v>
      </c>
      <c r="U3500" s="21" t="s">
        <v>72</v>
      </c>
    </row>
    <row r="3501" customFormat="false" ht="15" hidden="false" customHeight="false" outlineLevel="0" collapsed="false">
      <c r="A3501" s="15" t="s">
        <v>21337</v>
      </c>
      <c r="B3501" s="15" t="s">
        <v>21653</v>
      </c>
      <c r="C3501" s="14" t="s">
        <v>21907</v>
      </c>
      <c r="D3501" s="14" t="s">
        <v>21908</v>
      </c>
      <c r="E3501" s="16" t="s">
        <v>21909</v>
      </c>
      <c r="F3501" s="16" t="s">
        <v>21910</v>
      </c>
      <c r="G3501" s="23" t="s">
        <v>43</v>
      </c>
      <c r="H3501" s="18" t="n">
        <v>2</v>
      </c>
      <c r="I3501" s="20" t="n">
        <v>86.85</v>
      </c>
      <c r="J3501" s="20" t="n">
        <v>156.66</v>
      </c>
      <c r="K3501" s="18" t="n">
        <v>2</v>
      </c>
      <c r="L3501" s="18" t="n">
        <v>1</v>
      </c>
      <c r="M3501" s="18" t="n">
        <v>74</v>
      </c>
      <c r="N3501" s="18" t="n">
        <v>74</v>
      </c>
      <c r="O3501" s="14" t="s">
        <v>1126</v>
      </c>
      <c r="P3501" s="14" t="s">
        <v>84</v>
      </c>
      <c r="Q3501" s="15" t="s">
        <v>1089</v>
      </c>
      <c r="R3501" s="16" t="s">
        <v>5384</v>
      </c>
      <c r="S3501" s="15" t="s">
        <v>21911</v>
      </c>
      <c r="T3501" s="15" t="s">
        <v>21912</v>
      </c>
      <c r="U3501" s="21" t="s">
        <v>72</v>
      </c>
    </row>
    <row r="3502" customFormat="false" ht="15" hidden="false" customHeight="false" outlineLevel="0" collapsed="false">
      <c r="A3502" s="15" t="s">
        <v>21337</v>
      </c>
      <c r="B3502" s="15" t="s">
        <v>21653</v>
      </c>
      <c r="C3502" s="14" t="s">
        <v>21913</v>
      </c>
      <c r="D3502" s="14" t="s">
        <v>21914</v>
      </c>
      <c r="E3502" s="16" t="s">
        <v>21915</v>
      </c>
      <c r="F3502" s="16"/>
      <c r="G3502" s="23" t="s">
        <v>43</v>
      </c>
      <c r="H3502" s="18" t="n">
        <v>2</v>
      </c>
      <c r="I3502" s="20" t="n">
        <v>71.97</v>
      </c>
      <c r="J3502" s="20" t="n">
        <v>178.175</v>
      </c>
      <c r="K3502" s="18" t="n">
        <v>4</v>
      </c>
      <c r="L3502" s="18" t="n">
        <v>3</v>
      </c>
      <c r="M3502" s="18" t="n">
        <v>80</v>
      </c>
      <c r="N3502" s="18" t="n">
        <v>20</v>
      </c>
      <c r="O3502" s="14" t="s">
        <v>1126</v>
      </c>
      <c r="P3502" s="14" t="s">
        <v>118</v>
      </c>
      <c r="Q3502" s="15" t="s">
        <v>1089</v>
      </c>
      <c r="R3502" s="16" t="s">
        <v>21916</v>
      </c>
      <c r="S3502" s="15" t="s">
        <v>21917</v>
      </c>
      <c r="T3502" s="15" t="s">
        <v>21918</v>
      </c>
      <c r="U3502" s="21" t="s">
        <v>72</v>
      </c>
    </row>
    <row r="3503" customFormat="false" ht="15" hidden="false" customHeight="false" outlineLevel="0" collapsed="false">
      <c r="A3503" s="15" t="s">
        <v>21337</v>
      </c>
      <c r="B3503" s="15" t="s">
        <v>21653</v>
      </c>
      <c r="C3503" s="14" t="s">
        <v>21919</v>
      </c>
      <c r="D3503" s="14" t="s">
        <v>21920</v>
      </c>
      <c r="E3503" s="16" t="s">
        <v>21921</v>
      </c>
      <c r="F3503" s="16" t="s">
        <v>21922</v>
      </c>
      <c r="G3503" s="23" t="s">
        <v>43</v>
      </c>
      <c r="H3503" s="18" t="n">
        <v>2</v>
      </c>
      <c r="I3503" s="20" t="n">
        <v>55.25</v>
      </c>
      <c r="J3503" s="20" t="n">
        <v>84.03</v>
      </c>
      <c r="K3503" s="18" t="n">
        <v>3</v>
      </c>
      <c r="L3503" s="18" t="n">
        <v>4</v>
      </c>
      <c r="M3503" s="18" t="n">
        <v>45</v>
      </c>
      <c r="N3503" s="18" t="n">
        <v>15</v>
      </c>
      <c r="O3503" s="14" t="s">
        <v>1126</v>
      </c>
      <c r="P3503" s="14" t="s">
        <v>118</v>
      </c>
      <c r="Q3503" s="15" t="s">
        <v>1089</v>
      </c>
      <c r="R3503" s="16" t="s">
        <v>21923</v>
      </c>
      <c r="S3503" s="15" t="s">
        <v>21924</v>
      </c>
      <c r="T3503" s="15" t="s">
        <v>21924</v>
      </c>
      <c r="U3503" s="21" t="s">
        <v>72</v>
      </c>
    </row>
    <row r="3504" customFormat="false" ht="15" hidden="false" customHeight="false" outlineLevel="0" collapsed="false">
      <c r="A3504" s="15" t="s">
        <v>21337</v>
      </c>
      <c r="B3504" s="15" t="s">
        <v>21653</v>
      </c>
      <c r="C3504" s="14" t="s">
        <v>21925</v>
      </c>
      <c r="D3504" s="14" t="s">
        <v>21926</v>
      </c>
      <c r="E3504" s="16" t="s">
        <v>21927</v>
      </c>
      <c r="F3504" s="16" t="s">
        <v>21928</v>
      </c>
      <c r="G3504" s="23" t="s">
        <v>43</v>
      </c>
      <c r="H3504" s="18" t="n">
        <v>2</v>
      </c>
      <c r="I3504" s="20" t="n">
        <v>36.34</v>
      </c>
      <c r="J3504" s="20" t="n">
        <v>84.07</v>
      </c>
      <c r="K3504" s="18" t="n">
        <v>4</v>
      </c>
      <c r="L3504" s="18" t="n">
        <v>2</v>
      </c>
      <c r="M3504" s="18" t="n">
        <v>56</v>
      </c>
      <c r="N3504" s="18" t="n">
        <v>42</v>
      </c>
      <c r="O3504" s="14" t="s">
        <v>1097</v>
      </c>
      <c r="P3504" s="14" t="s">
        <v>118</v>
      </c>
      <c r="Q3504" s="15" t="s">
        <v>1089</v>
      </c>
      <c r="R3504" s="16" t="s">
        <v>6283</v>
      </c>
      <c r="S3504" s="15" t="s">
        <v>21929</v>
      </c>
      <c r="T3504" s="15" t="s">
        <v>21930</v>
      </c>
      <c r="U3504" s="21" t="s">
        <v>72</v>
      </c>
    </row>
    <row r="3505" customFormat="false" ht="15" hidden="false" customHeight="false" outlineLevel="0" collapsed="false">
      <c r="A3505" s="15" t="s">
        <v>21337</v>
      </c>
      <c r="B3505" s="15" t="s">
        <v>21653</v>
      </c>
      <c r="C3505" s="14" t="s">
        <v>21931</v>
      </c>
      <c r="D3505" s="14" t="s">
        <v>21932</v>
      </c>
      <c r="E3505" s="16" t="s">
        <v>21933</v>
      </c>
      <c r="F3505" s="16" t="s">
        <v>21934</v>
      </c>
      <c r="G3505" s="23" t="s">
        <v>43</v>
      </c>
      <c r="H3505" s="18" t="n">
        <v>3</v>
      </c>
      <c r="I3505" s="20" t="n">
        <v>42.65</v>
      </c>
      <c r="J3505" s="20" t="n">
        <v>75.6</v>
      </c>
      <c r="K3505" s="18" t="n">
        <v>6</v>
      </c>
      <c r="L3505" s="18" t="n">
        <v>4</v>
      </c>
      <c r="M3505" s="18" t="n">
        <v>66</v>
      </c>
      <c r="N3505" s="18" t="n">
        <v>22</v>
      </c>
      <c r="O3505" s="14" t="s">
        <v>1097</v>
      </c>
      <c r="P3505" s="14" t="s">
        <v>118</v>
      </c>
      <c r="Q3505" s="15" t="s">
        <v>1089</v>
      </c>
      <c r="R3505" s="16" t="s">
        <v>21935</v>
      </c>
      <c r="S3505" s="15" t="s">
        <v>21936</v>
      </c>
      <c r="T3505" s="15" t="s">
        <v>21936</v>
      </c>
      <c r="U3505" s="21" t="s">
        <v>72</v>
      </c>
    </row>
    <row r="3506" customFormat="false" ht="15" hidden="false" customHeight="false" outlineLevel="0" collapsed="false">
      <c r="A3506" s="15" t="s">
        <v>21337</v>
      </c>
      <c r="B3506" s="15" t="s">
        <v>21653</v>
      </c>
      <c r="C3506" s="14" t="s">
        <v>21937</v>
      </c>
      <c r="D3506" s="14" t="s">
        <v>21938</v>
      </c>
      <c r="E3506" s="16" t="s">
        <v>21939</v>
      </c>
      <c r="F3506" s="16" t="s">
        <v>21940</v>
      </c>
      <c r="G3506" s="23" t="s">
        <v>43</v>
      </c>
      <c r="H3506" s="18" t="n">
        <v>2</v>
      </c>
      <c r="I3506" s="20" t="n">
        <v>59.31</v>
      </c>
      <c r="J3506" s="20" t="n">
        <v>92.84</v>
      </c>
      <c r="K3506" s="18" t="n">
        <v>2</v>
      </c>
      <c r="L3506" s="18" t="n">
        <v>2</v>
      </c>
      <c r="M3506" s="18" t="n">
        <v>32</v>
      </c>
      <c r="N3506" s="18" t="n">
        <v>16</v>
      </c>
      <c r="O3506" s="14" t="s">
        <v>1097</v>
      </c>
      <c r="P3506" s="14" t="s">
        <v>84</v>
      </c>
      <c r="Q3506" s="15" t="s">
        <v>1089</v>
      </c>
      <c r="R3506" s="16" t="s">
        <v>4297</v>
      </c>
      <c r="S3506" s="15" t="s">
        <v>21941</v>
      </c>
      <c r="T3506" s="15" t="s">
        <v>21942</v>
      </c>
      <c r="U3506" s="21" t="s">
        <v>72</v>
      </c>
    </row>
    <row r="3507" customFormat="false" ht="15" hidden="false" customHeight="false" outlineLevel="0" collapsed="false">
      <c r="A3507" s="15" t="s">
        <v>21337</v>
      </c>
      <c r="B3507" s="15" t="s">
        <v>21653</v>
      </c>
      <c r="C3507" s="14" t="s">
        <v>21943</v>
      </c>
      <c r="D3507" s="14" t="s">
        <v>21944</v>
      </c>
      <c r="E3507" s="16" t="s">
        <v>21945</v>
      </c>
      <c r="F3507" s="16" t="s">
        <v>21946</v>
      </c>
      <c r="G3507" s="23" t="s">
        <v>43</v>
      </c>
      <c r="H3507" s="18" t="n">
        <v>4</v>
      </c>
      <c r="I3507" s="20" t="n">
        <v>57.68</v>
      </c>
      <c r="J3507" s="20" t="n">
        <v>196.46</v>
      </c>
      <c r="K3507" s="18" t="n">
        <v>15</v>
      </c>
      <c r="L3507" s="18" t="n">
        <v>15</v>
      </c>
      <c r="M3507" s="18" t="n">
        <v>225</v>
      </c>
      <c r="N3507" s="18" t="n">
        <v>90</v>
      </c>
      <c r="O3507" s="14" t="s">
        <v>1126</v>
      </c>
      <c r="P3507" s="14" t="s">
        <v>84</v>
      </c>
      <c r="Q3507" s="15" t="s">
        <v>1089</v>
      </c>
      <c r="R3507" s="16" t="s">
        <v>21947</v>
      </c>
      <c r="S3507" s="15" t="s">
        <v>21948</v>
      </c>
      <c r="T3507" s="15" t="s">
        <v>21949</v>
      </c>
      <c r="U3507" s="21" t="s">
        <v>72</v>
      </c>
    </row>
    <row r="3508" customFormat="false" ht="26.85" hidden="false" customHeight="false" outlineLevel="0" collapsed="false">
      <c r="A3508" s="15" t="s">
        <v>21337</v>
      </c>
      <c r="B3508" s="15" t="s">
        <v>21653</v>
      </c>
      <c r="C3508" s="14" t="s">
        <v>21950</v>
      </c>
      <c r="D3508" s="14" t="s">
        <v>21951</v>
      </c>
      <c r="E3508" s="16" t="s">
        <v>21952</v>
      </c>
      <c r="F3508" s="16" t="s">
        <v>21953</v>
      </c>
      <c r="G3508" s="25" t="s">
        <v>39</v>
      </c>
      <c r="H3508" s="18" t="n">
        <v>8</v>
      </c>
      <c r="I3508" s="20" t="n">
        <v>135.4</v>
      </c>
      <c r="J3508" s="20" t="n">
        <v>289.32</v>
      </c>
      <c r="K3508" s="18" t="n">
        <v>36</v>
      </c>
      <c r="L3508" s="18" t="n">
        <v>16</v>
      </c>
      <c r="M3508" s="18" t="n">
        <v>720</v>
      </c>
      <c r="N3508" s="18" t="n">
        <v>360</v>
      </c>
      <c r="O3508" s="14" t="s">
        <v>6448</v>
      </c>
      <c r="P3508" s="14" t="s">
        <v>118</v>
      </c>
      <c r="Q3508" s="15" t="s">
        <v>1089</v>
      </c>
      <c r="R3508" s="16" t="s">
        <v>21954</v>
      </c>
      <c r="S3508" s="15" t="s">
        <v>21955</v>
      </c>
      <c r="T3508" s="15" t="s">
        <v>21956</v>
      </c>
      <c r="U3508" s="21" t="s">
        <v>72</v>
      </c>
    </row>
    <row r="3509" customFormat="false" ht="15" hidden="false" customHeight="false" outlineLevel="0" collapsed="false">
      <c r="A3509" s="15" t="s">
        <v>21337</v>
      </c>
      <c r="B3509" s="15" t="s">
        <v>21653</v>
      </c>
      <c r="C3509" s="14" t="s">
        <v>21957</v>
      </c>
      <c r="D3509" s="14" t="s">
        <v>21958</v>
      </c>
      <c r="E3509" s="16" t="s">
        <v>21959</v>
      </c>
      <c r="F3509" s="16" t="s">
        <v>21960</v>
      </c>
      <c r="G3509" s="23" t="s">
        <v>43</v>
      </c>
      <c r="H3509" s="18" t="n">
        <v>3</v>
      </c>
      <c r="I3509" s="20" t="n">
        <v>124.16</v>
      </c>
      <c r="J3509" s="20" t="n">
        <v>177.19</v>
      </c>
      <c r="K3509" s="18" t="n">
        <v>8</v>
      </c>
      <c r="L3509" s="18" t="n">
        <v>4</v>
      </c>
      <c r="M3509" s="18" t="n">
        <v>240</v>
      </c>
      <c r="N3509" s="18" t="n">
        <v>60</v>
      </c>
      <c r="O3509" s="14" t="s">
        <v>1126</v>
      </c>
      <c r="P3509" s="14" t="s">
        <v>118</v>
      </c>
      <c r="Q3509" s="15" t="s">
        <v>1089</v>
      </c>
      <c r="R3509" s="16" t="s">
        <v>21961</v>
      </c>
      <c r="S3509" s="15" t="s">
        <v>21962</v>
      </c>
      <c r="T3509" s="15" t="s">
        <v>21963</v>
      </c>
      <c r="U3509" s="21" t="s">
        <v>72</v>
      </c>
    </row>
    <row r="3510" customFormat="false" ht="15" hidden="false" customHeight="false" outlineLevel="0" collapsed="false">
      <c r="A3510" s="15" t="s">
        <v>21337</v>
      </c>
      <c r="B3510" s="15" t="s">
        <v>21653</v>
      </c>
      <c r="C3510" s="14" t="s">
        <v>21964</v>
      </c>
      <c r="D3510" s="14" t="s">
        <v>21965</v>
      </c>
      <c r="E3510" s="16" t="s">
        <v>21966</v>
      </c>
      <c r="F3510" s="16" t="s">
        <v>21967</v>
      </c>
      <c r="G3510" s="23" t="s">
        <v>43</v>
      </c>
      <c r="H3510" s="18" t="n">
        <v>4</v>
      </c>
      <c r="I3510" s="20" t="n">
        <v>77</v>
      </c>
      <c r="J3510" s="20" t="n">
        <v>140.07</v>
      </c>
      <c r="K3510" s="18" t="n">
        <v>2</v>
      </c>
      <c r="L3510" s="18" t="n">
        <v>1</v>
      </c>
      <c r="M3510" s="18" t="n">
        <v>38</v>
      </c>
      <c r="N3510" s="18" t="n">
        <v>38</v>
      </c>
      <c r="O3510" s="14" t="s">
        <v>1126</v>
      </c>
      <c r="P3510" s="14" t="s">
        <v>84</v>
      </c>
      <c r="Q3510" s="15" t="s">
        <v>1089</v>
      </c>
      <c r="R3510" s="16" t="s">
        <v>21968</v>
      </c>
      <c r="S3510" s="15" t="s">
        <v>21969</v>
      </c>
      <c r="T3510" s="15" t="s">
        <v>21969</v>
      </c>
      <c r="U3510" s="21" t="s">
        <v>72</v>
      </c>
    </row>
    <row r="3511" customFormat="false" ht="15" hidden="false" customHeight="false" outlineLevel="0" collapsed="false">
      <c r="A3511" s="15" t="s">
        <v>21337</v>
      </c>
      <c r="B3511" s="15" t="s">
        <v>21653</v>
      </c>
      <c r="C3511" s="14" t="s">
        <v>21970</v>
      </c>
      <c r="D3511" s="14" t="s">
        <v>21971</v>
      </c>
      <c r="E3511" s="16" t="s">
        <v>21972</v>
      </c>
      <c r="F3511" s="16" t="s">
        <v>21973</v>
      </c>
      <c r="G3511" s="19" t="s">
        <v>41</v>
      </c>
      <c r="H3511" s="18" t="n">
        <v>5</v>
      </c>
      <c r="I3511" s="20" t="n">
        <v>80.49</v>
      </c>
      <c r="J3511" s="20" t="n">
        <v>162.01</v>
      </c>
      <c r="K3511" s="18" t="n">
        <v>25</v>
      </c>
      <c r="L3511" s="18" t="n">
        <v>1</v>
      </c>
      <c r="M3511" s="18" t="n">
        <v>250</v>
      </c>
      <c r="N3511" s="18" t="n">
        <v>60</v>
      </c>
      <c r="O3511" s="14" t="s">
        <v>21974</v>
      </c>
      <c r="P3511" s="14" t="s">
        <v>94</v>
      </c>
      <c r="Q3511" s="15" t="s">
        <v>1089</v>
      </c>
      <c r="R3511" s="16" t="s">
        <v>21975</v>
      </c>
      <c r="S3511" s="15" t="s">
        <v>9985</v>
      </c>
      <c r="T3511" s="15" t="s">
        <v>21976</v>
      </c>
      <c r="U3511" s="21" t="s">
        <v>72</v>
      </c>
    </row>
    <row r="3512" customFormat="false" ht="15" hidden="false" customHeight="false" outlineLevel="0" collapsed="false">
      <c r="A3512" s="15" t="s">
        <v>21337</v>
      </c>
      <c r="B3512" s="15" t="s">
        <v>21653</v>
      </c>
      <c r="C3512" s="14" t="s">
        <v>21977</v>
      </c>
      <c r="D3512" s="14" t="s">
        <v>21978</v>
      </c>
      <c r="E3512" s="16" t="s">
        <v>21979</v>
      </c>
      <c r="F3512" s="16" t="s">
        <v>21980</v>
      </c>
      <c r="G3512" s="19" t="s">
        <v>41</v>
      </c>
      <c r="H3512" s="18" t="n">
        <v>4</v>
      </c>
      <c r="I3512" s="20" t="n">
        <v>71.11</v>
      </c>
      <c r="J3512" s="20" t="n">
        <v>233.08</v>
      </c>
      <c r="K3512" s="18" t="n">
        <v>25</v>
      </c>
      <c r="L3512" s="18" t="n">
        <v>3</v>
      </c>
      <c r="M3512" s="18" t="n">
        <v>250</v>
      </c>
      <c r="N3512" s="18" t="n">
        <v>60</v>
      </c>
      <c r="O3512" s="14" t="s">
        <v>21981</v>
      </c>
      <c r="P3512" s="14" t="s">
        <v>84</v>
      </c>
      <c r="Q3512" s="15" t="s">
        <v>1089</v>
      </c>
      <c r="R3512" s="16" t="s">
        <v>21982</v>
      </c>
      <c r="S3512" s="15" t="s">
        <v>9985</v>
      </c>
      <c r="T3512" s="15" t="s">
        <v>21983</v>
      </c>
      <c r="U3512" s="21" t="s">
        <v>72</v>
      </c>
    </row>
    <row r="3513" customFormat="false" ht="15" hidden="false" customHeight="false" outlineLevel="0" collapsed="false">
      <c r="A3513" s="15" t="s">
        <v>21337</v>
      </c>
      <c r="B3513" s="15" t="s">
        <v>21653</v>
      </c>
      <c r="C3513" s="14" t="s">
        <v>21984</v>
      </c>
      <c r="D3513" s="14" t="s">
        <v>21985</v>
      </c>
      <c r="E3513" s="16" t="s">
        <v>21986</v>
      </c>
      <c r="F3513" s="16" t="s">
        <v>21987</v>
      </c>
      <c r="G3513" s="19" t="s">
        <v>41</v>
      </c>
      <c r="H3513" s="18" t="n">
        <v>6</v>
      </c>
      <c r="I3513" s="20" t="n">
        <v>134.8</v>
      </c>
      <c r="J3513" s="20" t="n">
        <v>256.4</v>
      </c>
      <c r="K3513" s="18" t="n">
        <v>9</v>
      </c>
      <c r="L3513" s="18" t="n">
        <v>2</v>
      </c>
      <c r="M3513" s="18" t="n">
        <v>144</v>
      </c>
      <c r="N3513" s="18" t="n">
        <v>48</v>
      </c>
      <c r="O3513" s="14" t="s">
        <v>1088</v>
      </c>
      <c r="P3513" s="14" t="s">
        <v>118</v>
      </c>
      <c r="Q3513" s="15" t="s">
        <v>1089</v>
      </c>
      <c r="R3513" s="16" t="s">
        <v>21988</v>
      </c>
      <c r="S3513" s="15" t="s">
        <v>21989</v>
      </c>
      <c r="T3513" s="15" t="s">
        <v>21989</v>
      </c>
      <c r="U3513" s="21" t="s">
        <v>72</v>
      </c>
    </row>
    <row r="3514" customFormat="false" ht="15" hidden="false" customHeight="false" outlineLevel="0" collapsed="false">
      <c r="A3514" s="15" t="s">
        <v>21337</v>
      </c>
      <c r="B3514" s="15" t="s">
        <v>21653</v>
      </c>
      <c r="C3514" s="14" t="s">
        <v>21990</v>
      </c>
      <c r="D3514" s="14" t="s">
        <v>21991</v>
      </c>
      <c r="E3514" s="16" t="s">
        <v>21992</v>
      </c>
      <c r="F3514" s="16" t="s">
        <v>21993</v>
      </c>
      <c r="G3514" s="23" t="s">
        <v>43</v>
      </c>
      <c r="H3514" s="18" t="n">
        <v>3</v>
      </c>
      <c r="I3514" s="20" t="n">
        <v>39.46</v>
      </c>
      <c r="J3514" s="20" t="n">
        <v>89.38</v>
      </c>
      <c r="K3514" s="18" t="n">
        <v>7</v>
      </c>
      <c r="L3514" s="18" t="n">
        <v>2</v>
      </c>
      <c r="M3514" s="18" t="n">
        <v>84</v>
      </c>
      <c r="N3514" s="18" t="n">
        <v>12</v>
      </c>
      <c r="O3514" s="14" t="s">
        <v>1097</v>
      </c>
      <c r="P3514" s="14" t="s">
        <v>1716</v>
      </c>
      <c r="Q3514" s="15" t="s">
        <v>1089</v>
      </c>
      <c r="R3514" s="16" t="s">
        <v>21994</v>
      </c>
      <c r="S3514" s="15" t="s">
        <v>21995</v>
      </c>
      <c r="T3514" s="15" t="s">
        <v>21996</v>
      </c>
      <c r="U3514" s="21" t="s">
        <v>72</v>
      </c>
    </row>
    <row r="3515" customFormat="false" ht="15" hidden="false" customHeight="false" outlineLevel="0" collapsed="false">
      <c r="A3515" s="15" t="s">
        <v>21337</v>
      </c>
      <c r="B3515" s="15" t="s">
        <v>21653</v>
      </c>
      <c r="C3515" s="14" t="s">
        <v>21997</v>
      </c>
      <c r="D3515" s="14" t="s">
        <v>21998</v>
      </c>
      <c r="E3515" s="16" t="s">
        <v>21999</v>
      </c>
      <c r="F3515" s="16"/>
      <c r="G3515" s="23" t="s">
        <v>43</v>
      </c>
      <c r="H3515" s="18" t="n">
        <v>2</v>
      </c>
      <c r="I3515" s="20" t="n">
        <v>53.71</v>
      </c>
      <c r="J3515" s="20" t="n">
        <v>92.78</v>
      </c>
      <c r="K3515" s="18" t="n">
        <v>3</v>
      </c>
      <c r="L3515" s="18" t="n">
        <v>3</v>
      </c>
      <c r="M3515" s="18" t="n">
        <v>66</v>
      </c>
      <c r="N3515" s="18" t="n">
        <v>22</v>
      </c>
      <c r="O3515" s="14" t="s">
        <v>1097</v>
      </c>
      <c r="P3515" s="14" t="s">
        <v>118</v>
      </c>
      <c r="Q3515" s="15" t="s">
        <v>1089</v>
      </c>
      <c r="R3515" s="16" t="s">
        <v>22000</v>
      </c>
      <c r="S3515" s="15" t="s">
        <v>22001</v>
      </c>
      <c r="T3515" s="15" t="s">
        <v>22002</v>
      </c>
      <c r="U3515" s="21" t="s">
        <v>72</v>
      </c>
    </row>
    <row r="3516" customFormat="false" ht="15" hidden="false" customHeight="false" outlineLevel="0" collapsed="false">
      <c r="A3516" s="15" t="s">
        <v>21337</v>
      </c>
      <c r="B3516" s="15" t="s">
        <v>21653</v>
      </c>
      <c r="C3516" s="14" t="s">
        <v>22003</v>
      </c>
      <c r="D3516" s="14" t="s">
        <v>22004</v>
      </c>
      <c r="E3516" s="16" t="s">
        <v>22005</v>
      </c>
      <c r="F3516" s="16" t="s">
        <v>22006</v>
      </c>
      <c r="G3516" s="23" t="s">
        <v>43</v>
      </c>
      <c r="H3516" s="18" t="n">
        <v>1</v>
      </c>
      <c r="I3516" s="20" t="n">
        <v>30.6</v>
      </c>
      <c r="J3516" s="20" t="n">
        <v>107.59</v>
      </c>
      <c r="K3516" s="18" t="n">
        <v>2</v>
      </c>
      <c r="L3516" s="18" t="n">
        <v>2</v>
      </c>
      <c r="M3516" s="18" t="n">
        <v>32</v>
      </c>
      <c r="N3516" s="18" t="n">
        <v>32</v>
      </c>
      <c r="O3516" s="14" t="s">
        <v>1097</v>
      </c>
      <c r="P3516" s="14" t="s">
        <v>84</v>
      </c>
      <c r="Q3516" s="15" t="s">
        <v>1089</v>
      </c>
      <c r="R3516" s="16" t="s">
        <v>6616</v>
      </c>
      <c r="S3516" s="15" t="s">
        <v>22007</v>
      </c>
      <c r="T3516" s="15" t="s">
        <v>22008</v>
      </c>
      <c r="U3516" s="21" t="s">
        <v>72</v>
      </c>
    </row>
    <row r="3517" customFormat="false" ht="15" hidden="false" customHeight="false" outlineLevel="0" collapsed="false">
      <c r="A3517" s="15" t="s">
        <v>21337</v>
      </c>
      <c r="B3517" s="15" t="s">
        <v>21653</v>
      </c>
      <c r="C3517" s="14" t="s">
        <v>22009</v>
      </c>
      <c r="D3517" s="14" t="s">
        <v>22010</v>
      </c>
      <c r="E3517" s="16" t="s">
        <v>22011</v>
      </c>
      <c r="F3517" s="16"/>
      <c r="G3517" s="23" t="s">
        <v>43</v>
      </c>
      <c r="H3517" s="18" t="n">
        <v>1</v>
      </c>
      <c r="I3517" s="20" t="n">
        <v>121.88</v>
      </c>
      <c r="J3517" s="20" t="n">
        <v>161.43</v>
      </c>
      <c r="K3517" s="18" t="n">
        <v>7</v>
      </c>
      <c r="L3517" s="18" t="n">
        <v>1</v>
      </c>
      <c r="M3517" s="18" t="n">
        <v>42</v>
      </c>
      <c r="N3517" s="18" t="n">
        <v>42</v>
      </c>
      <c r="O3517" s="14" t="s">
        <v>1126</v>
      </c>
      <c r="P3517" s="14" t="s">
        <v>84</v>
      </c>
      <c r="Q3517" s="15" t="s">
        <v>1089</v>
      </c>
      <c r="R3517" s="16" t="s">
        <v>14536</v>
      </c>
      <c r="S3517" s="15" t="s">
        <v>22012</v>
      </c>
      <c r="T3517" s="15" t="s">
        <v>22013</v>
      </c>
      <c r="U3517" s="21" t="s">
        <v>72</v>
      </c>
    </row>
    <row r="3518" customFormat="false" ht="15" hidden="false" customHeight="false" outlineLevel="0" collapsed="false">
      <c r="A3518" s="15" t="s">
        <v>21337</v>
      </c>
      <c r="B3518" s="15" t="s">
        <v>21653</v>
      </c>
      <c r="C3518" s="14" t="s">
        <v>22014</v>
      </c>
      <c r="D3518" s="14" t="s">
        <v>22015</v>
      </c>
      <c r="E3518" s="16" t="s">
        <v>22016</v>
      </c>
      <c r="F3518" s="16" t="s">
        <v>22017</v>
      </c>
      <c r="G3518" s="25" t="s">
        <v>39</v>
      </c>
      <c r="H3518" s="18" t="n">
        <v>8</v>
      </c>
      <c r="I3518" s="20" t="n">
        <v>315.76</v>
      </c>
      <c r="J3518" s="20" t="n">
        <v>502.68</v>
      </c>
      <c r="K3518" s="18" t="n">
        <v>10</v>
      </c>
      <c r="L3518" s="18" t="n">
        <v>9</v>
      </c>
      <c r="M3518" s="18" t="n">
        <v>320</v>
      </c>
      <c r="N3518" s="18" t="n">
        <v>64</v>
      </c>
      <c r="O3518" s="14" t="s">
        <v>1088</v>
      </c>
      <c r="P3518" s="14" t="s">
        <v>1716</v>
      </c>
      <c r="Q3518" s="15" t="s">
        <v>1089</v>
      </c>
      <c r="R3518" s="16" t="s">
        <v>22018</v>
      </c>
      <c r="S3518" s="15" t="s">
        <v>22019</v>
      </c>
      <c r="T3518" s="15" t="s">
        <v>22020</v>
      </c>
      <c r="U3518" s="21" t="s">
        <v>72</v>
      </c>
    </row>
    <row r="3519" customFormat="false" ht="15" hidden="false" customHeight="false" outlineLevel="0" collapsed="false">
      <c r="A3519" s="15" t="s">
        <v>21337</v>
      </c>
      <c r="B3519" s="15" t="s">
        <v>21653</v>
      </c>
      <c r="C3519" s="14" t="s">
        <v>22021</v>
      </c>
      <c r="D3519" s="14" t="s">
        <v>22022</v>
      </c>
      <c r="E3519" s="16" t="s">
        <v>22023</v>
      </c>
      <c r="F3519" s="16" t="s">
        <v>22024</v>
      </c>
      <c r="G3519" s="23" t="s">
        <v>43</v>
      </c>
      <c r="H3519" s="18" t="n">
        <v>3</v>
      </c>
      <c r="I3519" s="20" t="n">
        <v>128.23</v>
      </c>
      <c r="J3519" s="20" t="n">
        <v>142.03</v>
      </c>
      <c r="K3519" s="18" t="n">
        <v>2</v>
      </c>
      <c r="L3519" s="18" t="n">
        <v>2</v>
      </c>
      <c r="M3519" s="18" t="n">
        <v>40</v>
      </c>
      <c r="N3519" s="18" t="n">
        <v>40</v>
      </c>
      <c r="O3519" s="14" t="s">
        <v>1088</v>
      </c>
      <c r="P3519" s="14" t="s">
        <v>84</v>
      </c>
      <c r="Q3519" s="15" t="s">
        <v>1089</v>
      </c>
      <c r="R3519" s="16" t="s">
        <v>22025</v>
      </c>
      <c r="S3519" s="15" t="s">
        <v>22026</v>
      </c>
      <c r="T3519" s="15" t="s">
        <v>22027</v>
      </c>
      <c r="U3519" s="21" t="s">
        <v>72</v>
      </c>
    </row>
    <row r="3520" customFormat="false" ht="15" hidden="false" customHeight="false" outlineLevel="0" collapsed="false">
      <c r="A3520" s="15" t="s">
        <v>21337</v>
      </c>
      <c r="B3520" s="15" t="s">
        <v>21653</v>
      </c>
      <c r="C3520" s="14" t="s">
        <v>22028</v>
      </c>
      <c r="D3520" s="14" t="s">
        <v>22029</v>
      </c>
      <c r="E3520" s="16" t="s">
        <v>22030</v>
      </c>
      <c r="F3520" s="16" t="s">
        <v>22031</v>
      </c>
      <c r="G3520" s="19" t="s">
        <v>41</v>
      </c>
      <c r="H3520" s="18" t="n">
        <v>3</v>
      </c>
      <c r="I3520" s="20" t="n">
        <v>157.69</v>
      </c>
      <c r="J3520" s="20" t="n">
        <v>233.57</v>
      </c>
      <c r="K3520" s="18" t="n">
        <v>33</v>
      </c>
      <c r="L3520" s="18" t="n">
        <v>8</v>
      </c>
      <c r="M3520" s="18" t="n">
        <v>1980</v>
      </c>
      <c r="N3520" s="18" t="n">
        <v>720</v>
      </c>
      <c r="O3520" s="14" t="s">
        <v>1097</v>
      </c>
      <c r="P3520" s="14" t="s">
        <v>118</v>
      </c>
      <c r="Q3520" s="15" t="s">
        <v>1089</v>
      </c>
      <c r="R3520" s="16" t="s">
        <v>22032</v>
      </c>
      <c r="S3520" s="15" t="s">
        <v>22033</v>
      </c>
      <c r="T3520" s="15" t="s">
        <v>22034</v>
      </c>
      <c r="U3520" s="21" t="s">
        <v>72</v>
      </c>
    </row>
    <row r="3521" customFormat="false" ht="15" hidden="false" customHeight="false" outlineLevel="0" collapsed="false">
      <c r="A3521" s="15" t="s">
        <v>21337</v>
      </c>
      <c r="B3521" s="15" t="s">
        <v>21653</v>
      </c>
      <c r="C3521" s="14" t="s">
        <v>22035</v>
      </c>
      <c r="D3521" s="14" t="s">
        <v>22036</v>
      </c>
      <c r="E3521" s="16" t="s">
        <v>22037</v>
      </c>
      <c r="F3521" s="16" t="s">
        <v>22038</v>
      </c>
      <c r="G3521" s="25" t="s">
        <v>39</v>
      </c>
      <c r="H3521" s="18" t="n">
        <v>12</v>
      </c>
      <c r="I3521" s="20" t="n">
        <v>334.53</v>
      </c>
      <c r="J3521" s="20" t="n">
        <v>359.22</v>
      </c>
      <c r="K3521" s="18" t="n">
        <v>14</v>
      </c>
      <c r="L3521" s="18" t="n">
        <v>6</v>
      </c>
      <c r="M3521" s="18" t="n">
        <v>280</v>
      </c>
      <c r="N3521" s="18" t="n">
        <v>60</v>
      </c>
      <c r="O3521" s="14" t="s">
        <v>1097</v>
      </c>
      <c r="P3521" s="14" t="s">
        <v>118</v>
      </c>
      <c r="Q3521" s="15" t="s">
        <v>1089</v>
      </c>
      <c r="R3521" s="16" t="s">
        <v>22039</v>
      </c>
      <c r="S3521" s="15" t="s">
        <v>22040</v>
      </c>
      <c r="T3521" s="15" t="s">
        <v>22040</v>
      </c>
      <c r="U3521" s="21" t="s">
        <v>72</v>
      </c>
    </row>
    <row r="3522" customFormat="false" ht="15" hidden="false" customHeight="false" outlineLevel="0" collapsed="false">
      <c r="A3522" s="15" t="s">
        <v>21337</v>
      </c>
      <c r="B3522" s="15" t="s">
        <v>21653</v>
      </c>
      <c r="C3522" s="14" t="s">
        <v>22041</v>
      </c>
      <c r="D3522" s="14" t="s">
        <v>22042</v>
      </c>
      <c r="E3522" s="16" t="s">
        <v>22043</v>
      </c>
      <c r="F3522" s="16" t="s">
        <v>22044</v>
      </c>
      <c r="G3522" s="19" t="s">
        <v>41</v>
      </c>
      <c r="H3522" s="18" t="n">
        <v>5</v>
      </c>
      <c r="I3522" s="20" t="n">
        <v>75.97</v>
      </c>
      <c r="J3522" s="20" t="n">
        <v>125.4</v>
      </c>
      <c r="K3522" s="18" t="n">
        <v>13</v>
      </c>
      <c r="L3522" s="18" t="n">
        <v>1</v>
      </c>
      <c r="M3522" s="18" t="n">
        <v>169</v>
      </c>
      <c r="N3522" s="18" t="n">
        <v>104</v>
      </c>
      <c r="O3522" s="14" t="s">
        <v>1088</v>
      </c>
      <c r="P3522" s="14" t="s">
        <v>1716</v>
      </c>
      <c r="Q3522" s="15" t="s">
        <v>1089</v>
      </c>
      <c r="R3522" s="16" t="s">
        <v>22045</v>
      </c>
      <c r="S3522" s="15" t="s">
        <v>22046</v>
      </c>
      <c r="T3522" s="15" t="s">
        <v>22046</v>
      </c>
      <c r="U3522" s="21" t="s">
        <v>72</v>
      </c>
    </row>
    <row r="3523" customFormat="false" ht="26.85" hidden="false" customHeight="false" outlineLevel="0" collapsed="false">
      <c r="A3523" s="15" t="s">
        <v>21337</v>
      </c>
      <c r="B3523" s="15" t="s">
        <v>21653</v>
      </c>
      <c r="C3523" s="14" t="s">
        <v>22047</v>
      </c>
      <c r="D3523" s="14" t="s">
        <v>22048</v>
      </c>
      <c r="E3523" s="16" t="s">
        <v>22049</v>
      </c>
      <c r="F3523" s="16" t="s">
        <v>22050</v>
      </c>
      <c r="G3523" s="19" t="s">
        <v>41</v>
      </c>
      <c r="H3523" s="18" t="n">
        <v>7</v>
      </c>
      <c r="I3523" s="20" t="n">
        <v>172.271</v>
      </c>
      <c r="J3523" s="20" t="n">
        <v>285.81</v>
      </c>
      <c r="K3523" s="18" t="n">
        <v>5</v>
      </c>
      <c r="L3523" s="18" t="n">
        <v>1</v>
      </c>
      <c r="M3523" s="18" t="n">
        <v>75</v>
      </c>
      <c r="N3523" s="18" t="n">
        <v>45</v>
      </c>
      <c r="O3523" s="14" t="s">
        <v>22051</v>
      </c>
      <c r="P3523" s="14" t="s">
        <v>84</v>
      </c>
      <c r="Q3523" s="15" t="s">
        <v>1089</v>
      </c>
      <c r="R3523" s="16" t="s">
        <v>11028</v>
      </c>
      <c r="S3523" s="15" t="s">
        <v>22052</v>
      </c>
      <c r="T3523" s="15" t="s">
        <v>22052</v>
      </c>
      <c r="U3523" s="21" t="s">
        <v>72</v>
      </c>
    </row>
    <row r="3524" customFormat="false" ht="15" hidden="false" customHeight="false" outlineLevel="0" collapsed="false">
      <c r="A3524" s="15" t="s">
        <v>21337</v>
      </c>
      <c r="B3524" s="15" t="s">
        <v>21653</v>
      </c>
      <c r="C3524" s="14" t="s">
        <v>22053</v>
      </c>
      <c r="D3524" s="14" t="s">
        <v>22054</v>
      </c>
      <c r="E3524" s="16" t="s">
        <v>22055</v>
      </c>
      <c r="F3524" s="16" t="s">
        <v>22056</v>
      </c>
      <c r="G3524" s="23" t="s">
        <v>43</v>
      </c>
      <c r="H3524" s="18" t="n">
        <v>4</v>
      </c>
      <c r="I3524" s="20" t="n">
        <v>71.39</v>
      </c>
      <c r="J3524" s="20" t="n">
        <v>117.91</v>
      </c>
      <c r="K3524" s="18" t="n">
        <v>4</v>
      </c>
      <c r="L3524" s="18" t="n">
        <v>4</v>
      </c>
      <c r="M3524" s="18" t="n">
        <v>56</v>
      </c>
      <c r="N3524" s="18" t="n">
        <v>42</v>
      </c>
      <c r="O3524" s="14" t="s">
        <v>1097</v>
      </c>
      <c r="P3524" s="14" t="s">
        <v>118</v>
      </c>
      <c r="Q3524" s="15" t="s">
        <v>1089</v>
      </c>
      <c r="R3524" s="16" t="s">
        <v>22057</v>
      </c>
      <c r="S3524" s="15" t="s">
        <v>22058</v>
      </c>
      <c r="T3524" s="15" t="s">
        <v>22058</v>
      </c>
      <c r="U3524" s="21" t="s">
        <v>72</v>
      </c>
    </row>
    <row r="3525" customFormat="false" ht="15" hidden="false" customHeight="false" outlineLevel="0" collapsed="false">
      <c r="A3525" s="15" t="s">
        <v>21337</v>
      </c>
      <c r="B3525" s="15" t="s">
        <v>21653</v>
      </c>
      <c r="C3525" s="14" t="s">
        <v>22059</v>
      </c>
      <c r="D3525" s="14" t="s">
        <v>22060</v>
      </c>
      <c r="E3525" s="16" t="s">
        <v>22061</v>
      </c>
      <c r="F3525" s="16" t="s">
        <v>22062</v>
      </c>
      <c r="G3525" s="23" t="s">
        <v>43</v>
      </c>
      <c r="H3525" s="18" t="n">
        <v>3</v>
      </c>
      <c r="I3525" s="20" t="n">
        <v>84.02</v>
      </c>
      <c r="J3525" s="20" t="n">
        <v>126.4</v>
      </c>
      <c r="K3525" s="18" t="n">
        <v>3</v>
      </c>
      <c r="L3525" s="18" t="n">
        <v>2</v>
      </c>
      <c r="M3525" s="18" t="n">
        <v>69</v>
      </c>
      <c r="N3525" s="18" t="n">
        <v>69</v>
      </c>
      <c r="O3525" s="14" t="s">
        <v>1126</v>
      </c>
      <c r="P3525" s="14" t="s">
        <v>84</v>
      </c>
      <c r="Q3525" s="15" t="s">
        <v>1089</v>
      </c>
      <c r="R3525" s="16" t="s">
        <v>10246</v>
      </c>
      <c r="S3525" s="15" t="s">
        <v>22063</v>
      </c>
      <c r="T3525" s="15" t="s">
        <v>22064</v>
      </c>
      <c r="U3525" s="21" t="s">
        <v>72</v>
      </c>
    </row>
    <row r="3526" customFormat="false" ht="26.85" hidden="false" customHeight="false" outlineLevel="0" collapsed="false">
      <c r="A3526" s="15" t="s">
        <v>21337</v>
      </c>
      <c r="B3526" s="15" t="s">
        <v>21653</v>
      </c>
      <c r="C3526" s="14" t="s">
        <v>22065</v>
      </c>
      <c r="D3526" s="14" t="s">
        <v>22066</v>
      </c>
      <c r="E3526" s="16" t="s">
        <v>22067</v>
      </c>
      <c r="F3526" s="16" t="s">
        <v>22068</v>
      </c>
      <c r="G3526" s="19" t="s">
        <v>41</v>
      </c>
      <c r="H3526" s="18" t="n">
        <v>7</v>
      </c>
      <c r="I3526" s="20" t="n">
        <v>145.62</v>
      </c>
      <c r="J3526" s="20" t="n">
        <v>185.11</v>
      </c>
      <c r="K3526" s="18" t="n">
        <v>11</v>
      </c>
      <c r="L3526" s="18" t="n">
        <v>12</v>
      </c>
      <c r="M3526" s="18" t="n">
        <v>209</v>
      </c>
      <c r="N3526" s="18" t="n">
        <v>114</v>
      </c>
      <c r="O3526" s="14" t="s">
        <v>1126</v>
      </c>
      <c r="P3526" s="14" t="s">
        <v>84</v>
      </c>
      <c r="Q3526" s="15" t="s">
        <v>1089</v>
      </c>
      <c r="R3526" s="16" t="s">
        <v>21473</v>
      </c>
      <c r="S3526" s="15" t="s">
        <v>22069</v>
      </c>
      <c r="T3526" s="15" t="s">
        <v>22069</v>
      </c>
      <c r="U3526" s="21" t="s">
        <v>72</v>
      </c>
    </row>
    <row r="3527" customFormat="false" ht="15" hidden="false" customHeight="false" outlineLevel="0" collapsed="false">
      <c r="A3527" s="15" t="s">
        <v>21337</v>
      </c>
      <c r="B3527" s="15" t="s">
        <v>21653</v>
      </c>
      <c r="C3527" s="14" t="s">
        <v>22070</v>
      </c>
      <c r="D3527" s="14" t="s">
        <v>22071</v>
      </c>
      <c r="E3527" s="16" t="s">
        <v>22072</v>
      </c>
      <c r="F3527" s="16" t="s">
        <v>22068</v>
      </c>
      <c r="G3527" s="19" t="s">
        <v>41</v>
      </c>
      <c r="H3527" s="18" t="n">
        <v>5</v>
      </c>
      <c r="I3527" s="20" t="n">
        <v>36.82</v>
      </c>
      <c r="J3527" s="20" t="n">
        <v>140.84</v>
      </c>
      <c r="K3527" s="18" t="n">
        <v>8</v>
      </c>
      <c r="L3527" s="18" t="n">
        <v>8</v>
      </c>
      <c r="M3527" s="18" t="n">
        <v>128</v>
      </c>
      <c r="N3527" s="18" t="n">
        <v>64</v>
      </c>
      <c r="O3527" s="14" t="s">
        <v>17859</v>
      </c>
      <c r="P3527" s="14" t="s">
        <v>118</v>
      </c>
      <c r="Q3527" s="15" t="s">
        <v>1089</v>
      </c>
      <c r="R3527" s="16" t="s">
        <v>22073</v>
      </c>
      <c r="S3527" s="15" t="s">
        <v>22069</v>
      </c>
      <c r="T3527" s="15" t="s">
        <v>22074</v>
      </c>
      <c r="U3527" s="21" t="s">
        <v>72</v>
      </c>
    </row>
    <row r="3528" customFormat="false" ht="15" hidden="false" customHeight="false" outlineLevel="0" collapsed="false">
      <c r="A3528" s="15" t="s">
        <v>21337</v>
      </c>
      <c r="B3528" s="15" t="s">
        <v>21653</v>
      </c>
      <c r="C3528" s="14" t="s">
        <v>22075</v>
      </c>
      <c r="D3528" s="14" t="s">
        <v>22076</v>
      </c>
      <c r="E3528" s="16" t="s">
        <v>22077</v>
      </c>
      <c r="F3528" s="16" t="s">
        <v>22078</v>
      </c>
      <c r="G3528" s="23" t="s">
        <v>43</v>
      </c>
      <c r="H3528" s="18" t="n">
        <v>2</v>
      </c>
      <c r="I3528" s="20" t="n">
        <v>47.58</v>
      </c>
      <c r="J3528" s="20" t="n">
        <v>88.71</v>
      </c>
      <c r="K3528" s="18" t="n">
        <v>2</v>
      </c>
      <c r="L3528" s="18" t="n">
        <v>2</v>
      </c>
      <c r="M3528" s="18" t="n">
        <v>40</v>
      </c>
      <c r="N3528" s="18" t="n">
        <v>20</v>
      </c>
      <c r="O3528" s="14" t="s">
        <v>1088</v>
      </c>
      <c r="P3528" s="14" t="s">
        <v>84</v>
      </c>
      <c r="Q3528" s="15" t="s">
        <v>1089</v>
      </c>
      <c r="R3528" s="16" t="s">
        <v>4917</v>
      </c>
      <c r="S3528" s="15" t="s">
        <v>22079</v>
      </c>
      <c r="T3528" s="15" t="s">
        <v>22079</v>
      </c>
      <c r="U3528" s="21" t="s">
        <v>72</v>
      </c>
    </row>
    <row r="3529" customFormat="false" ht="15" hidden="false" customHeight="false" outlineLevel="0" collapsed="false">
      <c r="A3529" s="15" t="s">
        <v>21337</v>
      </c>
      <c r="B3529" s="15" t="s">
        <v>21653</v>
      </c>
      <c r="C3529" s="14" t="s">
        <v>22080</v>
      </c>
      <c r="D3529" s="14" t="s">
        <v>22081</v>
      </c>
      <c r="E3529" s="16" t="s">
        <v>22082</v>
      </c>
      <c r="F3529" s="16" t="s">
        <v>22083</v>
      </c>
      <c r="G3529" s="25" t="s">
        <v>39</v>
      </c>
      <c r="H3529" s="18" t="n">
        <v>14</v>
      </c>
      <c r="I3529" s="20" t="n">
        <v>352.81</v>
      </c>
      <c r="J3529" s="20" t="n">
        <v>558.71</v>
      </c>
      <c r="K3529" s="18" t="n">
        <v>19</v>
      </c>
      <c r="L3529" s="18" t="n">
        <v>4</v>
      </c>
      <c r="M3529" s="18" t="n">
        <v>380</v>
      </c>
      <c r="N3529" s="18" t="n">
        <v>100</v>
      </c>
      <c r="O3529" s="14" t="s">
        <v>3724</v>
      </c>
      <c r="P3529" s="14" t="s">
        <v>118</v>
      </c>
      <c r="Q3529" s="15" t="s">
        <v>1089</v>
      </c>
      <c r="R3529" s="16" t="s">
        <v>22084</v>
      </c>
      <c r="S3529" s="15" t="s">
        <v>22085</v>
      </c>
      <c r="T3529" s="15" t="s">
        <v>22086</v>
      </c>
      <c r="U3529" s="21" t="s">
        <v>72</v>
      </c>
    </row>
    <row r="3530" customFormat="false" ht="15" hidden="false" customHeight="false" outlineLevel="0" collapsed="false">
      <c r="A3530" s="15" t="s">
        <v>21337</v>
      </c>
      <c r="B3530" s="15" t="s">
        <v>21653</v>
      </c>
      <c r="C3530" s="14" t="s">
        <v>22087</v>
      </c>
      <c r="D3530" s="14" t="s">
        <v>22088</v>
      </c>
      <c r="E3530" s="16" t="s">
        <v>22089</v>
      </c>
      <c r="F3530" s="16" t="s">
        <v>22083</v>
      </c>
      <c r="G3530" s="19" t="s">
        <v>41</v>
      </c>
      <c r="H3530" s="18" t="n">
        <v>5</v>
      </c>
      <c r="I3530" s="20" t="n">
        <v>105.28</v>
      </c>
      <c r="J3530" s="20" t="n">
        <v>143.77</v>
      </c>
      <c r="K3530" s="18" t="n">
        <v>5</v>
      </c>
      <c r="L3530" s="18" t="n">
        <v>3</v>
      </c>
      <c r="M3530" s="18" t="n">
        <v>85</v>
      </c>
      <c r="N3530" s="18" t="n">
        <v>34</v>
      </c>
      <c r="O3530" s="14" t="s">
        <v>1097</v>
      </c>
      <c r="P3530" s="14" t="s">
        <v>118</v>
      </c>
      <c r="Q3530" s="15" t="s">
        <v>1089</v>
      </c>
      <c r="R3530" s="16" t="s">
        <v>13008</v>
      </c>
      <c r="S3530" s="15" t="s">
        <v>22090</v>
      </c>
      <c r="T3530" s="15" t="s">
        <v>22091</v>
      </c>
      <c r="U3530" s="21" t="s">
        <v>72</v>
      </c>
    </row>
    <row r="3531" customFormat="false" ht="15" hidden="false" customHeight="false" outlineLevel="0" collapsed="false">
      <c r="A3531" s="15" t="s">
        <v>21337</v>
      </c>
      <c r="B3531" s="15" t="s">
        <v>21653</v>
      </c>
      <c r="C3531" s="14" t="s">
        <v>22092</v>
      </c>
      <c r="D3531" s="14" t="s">
        <v>22093</v>
      </c>
      <c r="E3531" s="16" t="s">
        <v>22094</v>
      </c>
      <c r="F3531" s="16" t="s">
        <v>22095</v>
      </c>
      <c r="G3531" s="23" t="s">
        <v>43</v>
      </c>
      <c r="H3531" s="18" t="n">
        <v>2</v>
      </c>
      <c r="I3531" s="20" t="n">
        <v>51.22</v>
      </c>
      <c r="J3531" s="20" t="n">
        <v>100.14</v>
      </c>
      <c r="K3531" s="18" t="n">
        <v>2</v>
      </c>
      <c r="L3531" s="18" t="n">
        <v>2</v>
      </c>
      <c r="M3531" s="18" t="n">
        <v>42</v>
      </c>
      <c r="N3531" s="18" t="n">
        <v>21</v>
      </c>
      <c r="O3531" s="14" t="s">
        <v>1126</v>
      </c>
      <c r="P3531" s="14" t="s">
        <v>118</v>
      </c>
      <c r="Q3531" s="15" t="s">
        <v>1089</v>
      </c>
      <c r="R3531" s="16" t="s">
        <v>674</v>
      </c>
      <c r="S3531" s="15" t="s">
        <v>22096</v>
      </c>
      <c r="T3531" s="15" t="s">
        <v>22096</v>
      </c>
      <c r="U3531" s="21" t="s">
        <v>72</v>
      </c>
    </row>
    <row r="3532" customFormat="false" ht="15" hidden="false" customHeight="false" outlineLevel="0" collapsed="false">
      <c r="A3532" s="15" t="s">
        <v>21337</v>
      </c>
      <c r="B3532" s="15" t="s">
        <v>21653</v>
      </c>
      <c r="C3532" s="14" t="s">
        <v>22097</v>
      </c>
      <c r="D3532" s="14" t="s">
        <v>22098</v>
      </c>
      <c r="E3532" s="16" t="s">
        <v>22099</v>
      </c>
      <c r="F3532" s="16" t="s">
        <v>22100</v>
      </c>
      <c r="G3532" s="23" t="s">
        <v>43</v>
      </c>
      <c r="H3532" s="18" t="n">
        <v>2</v>
      </c>
      <c r="I3532" s="20" t="n">
        <v>48.43</v>
      </c>
      <c r="J3532" s="20" t="n">
        <v>132.74</v>
      </c>
      <c r="K3532" s="18" t="n">
        <v>4</v>
      </c>
      <c r="L3532" s="18" t="n">
        <v>3</v>
      </c>
      <c r="M3532" s="18" t="n">
        <v>80</v>
      </c>
      <c r="N3532" s="18" t="n">
        <v>40</v>
      </c>
      <c r="O3532" s="14" t="s">
        <v>1126</v>
      </c>
      <c r="P3532" s="14" t="s">
        <v>84</v>
      </c>
      <c r="Q3532" s="15" t="s">
        <v>1089</v>
      </c>
      <c r="R3532" s="16" t="s">
        <v>16935</v>
      </c>
      <c r="S3532" s="15" t="s">
        <v>7316</v>
      </c>
      <c r="T3532" s="15" t="s">
        <v>7316</v>
      </c>
      <c r="U3532" s="21" t="s">
        <v>72</v>
      </c>
    </row>
    <row r="3533" customFormat="false" ht="26.85" hidden="false" customHeight="false" outlineLevel="0" collapsed="false">
      <c r="A3533" s="15" t="s">
        <v>21337</v>
      </c>
      <c r="B3533" s="15" t="s">
        <v>21653</v>
      </c>
      <c r="C3533" s="14" t="s">
        <v>22101</v>
      </c>
      <c r="D3533" s="14" t="s">
        <v>22102</v>
      </c>
      <c r="E3533" s="16" t="s">
        <v>22103</v>
      </c>
      <c r="F3533" s="16" t="s">
        <v>22104</v>
      </c>
      <c r="G3533" s="23" t="s">
        <v>43</v>
      </c>
      <c r="H3533" s="18" t="n">
        <v>4</v>
      </c>
      <c r="I3533" s="20" t="n">
        <v>55.9</v>
      </c>
      <c r="J3533" s="20" t="n">
        <v>148.19</v>
      </c>
      <c r="K3533" s="18" t="n">
        <v>5</v>
      </c>
      <c r="L3533" s="18" t="n">
        <v>4</v>
      </c>
      <c r="M3533" s="18" t="n">
        <v>55</v>
      </c>
      <c r="N3533" s="18" t="n">
        <v>11</v>
      </c>
      <c r="O3533" s="14" t="s">
        <v>1088</v>
      </c>
      <c r="P3533" s="14" t="s">
        <v>1716</v>
      </c>
      <c r="Q3533" s="15" t="s">
        <v>1089</v>
      </c>
      <c r="R3533" s="16" t="s">
        <v>22105</v>
      </c>
      <c r="S3533" s="15" t="s">
        <v>22106</v>
      </c>
      <c r="T3533" s="15" t="s">
        <v>22106</v>
      </c>
      <c r="U3533" s="21" t="s">
        <v>72</v>
      </c>
    </row>
    <row r="3534" customFormat="false" ht="15" hidden="false" customHeight="false" outlineLevel="0" collapsed="false">
      <c r="A3534" s="15" t="s">
        <v>21337</v>
      </c>
      <c r="B3534" s="15" t="s">
        <v>21653</v>
      </c>
      <c r="C3534" s="14" t="s">
        <v>22107</v>
      </c>
      <c r="D3534" s="14" t="s">
        <v>22108</v>
      </c>
      <c r="E3534" s="16" t="s">
        <v>22109</v>
      </c>
      <c r="F3534" s="16" t="s">
        <v>22110</v>
      </c>
      <c r="G3534" s="23" t="s">
        <v>43</v>
      </c>
      <c r="H3534" s="18" t="n">
        <v>2</v>
      </c>
      <c r="I3534" s="20" t="n">
        <v>88.38</v>
      </c>
      <c r="J3534" s="20" t="n">
        <v>88.38</v>
      </c>
      <c r="K3534" s="18" t="n">
        <v>2</v>
      </c>
      <c r="L3534" s="18" t="n">
        <v>5</v>
      </c>
      <c r="M3534" s="18" t="n">
        <v>32</v>
      </c>
      <c r="N3534" s="18" t="n">
        <v>32</v>
      </c>
      <c r="O3534" s="14" t="s">
        <v>1088</v>
      </c>
      <c r="P3534" s="14" t="s">
        <v>84</v>
      </c>
      <c r="Q3534" s="15" t="s">
        <v>1089</v>
      </c>
      <c r="R3534" s="16" t="s">
        <v>8933</v>
      </c>
      <c r="S3534" s="15" t="s">
        <v>22111</v>
      </c>
      <c r="T3534" s="15" t="s">
        <v>22112</v>
      </c>
      <c r="U3534" s="21" t="s">
        <v>72</v>
      </c>
    </row>
    <row r="3535" customFormat="false" ht="15" hidden="false" customHeight="false" outlineLevel="0" collapsed="false">
      <c r="A3535" s="15" t="s">
        <v>21337</v>
      </c>
      <c r="B3535" s="15" t="s">
        <v>21653</v>
      </c>
      <c r="C3535" s="14" t="s">
        <v>22113</v>
      </c>
      <c r="D3535" s="14" t="s">
        <v>22114</v>
      </c>
      <c r="E3535" s="16" t="s">
        <v>22115</v>
      </c>
      <c r="F3535" s="16" t="s">
        <v>22116</v>
      </c>
      <c r="G3535" s="23" t="s">
        <v>43</v>
      </c>
      <c r="H3535" s="18" t="n">
        <v>3</v>
      </c>
      <c r="I3535" s="20" t="n">
        <v>51.59</v>
      </c>
      <c r="J3535" s="20" t="n">
        <v>104.53</v>
      </c>
      <c r="K3535" s="18" t="n">
        <v>2</v>
      </c>
      <c r="L3535" s="18" t="n">
        <v>6</v>
      </c>
      <c r="M3535" s="18" t="n">
        <v>28</v>
      </c>
      <c r="N3535" s="18" t="n">
        <v>28</v>
      </c>
      <c r="O3535" s="14" t="s">
        <v>1097</v>
      </c>
      <c r="P3535" s="14" t="s">
        <v>84</v>
      </c>
      <c r="Q3535" s="15" t="s">
        <v>1089</v>
      </c>
      <c r="R3535" s="16" t="s">
        <v>22117</v>
      </c>
      <c r="S3535" s="15" t="s">
        <v>22111</v>
      </c>
      <c r="T3535" s="15" t="s">
        <v>22118</v>
      </c>
      <c r="U3535" s="21" t="s">
        <v>72</v>
      </c>
    </row>
    <row r="3536" customFormat="false" ht="15" hidden="false" customHeight="false" outlineLevel="0" collapsed="false">
      <c r="A3536" s="15" t="s">
        <v>21337</v>
      </c>
      <c r="B3536" s="15" t="s">
        <v>21653</v>
      </c>
      <c r="C3536" s="14" t="s">
        <v>22119</v>
      </c>
      <c r="D3536" s="14" t="s">
        <v>22120</v>
      </c>
      <c r="E3536" s="16" t="s">
        <v>22121</v>
      </c>
      <c r="F3536" s="16" t="s">
        <v>22122</v>
      </c>
      <c r="G3536" s="23" t="s">
        <v>43</v>
      </c>
      <c r="H3536" s="18" t="n">
        <v>3</v>
      </c>
      <c r="I3536" s="20" t="n">
        <v>39.86</v>
      </c>
      <c r="J3536" s="20" t="n">
        <v>89.7</v>
      </c>
      <c r="K3536" s="18" t="n">
        <v>10</v>
      </c>
      <c r="L3536" s="18" t="n">
        <v>5</v>
      </c>
      <c r="M3536" s="18" t="n">
        <v>100</v>
      </c>
      <c r="N3536" s="18" t="n">
        <v>20</v>
      </c>
      <c r="O3536" s="14" t="s">
        <v>9118</v>
      </c>
      <c r="P3536" s="14" t="s">
        <v>118</v>
      </c>
      <c r="Q3536" s="15" t="s">
        <v>1089</v>
      </c>
      <c r="R3536" s="16" t="s">
        <v>22123</v>
      </c>
      <c r="S3536" s="15" t="s">
        <v>22124</v>
      </c>
      <c r="T3536" s="15" t="s">
        <v>22125</v>
      </c>
      <c r="U3536" s="21" t="s">
        <v>72</v>
      </c>
    </row>
    <row r="3537" customFormat="false" ht="15" hidden="false" customHeight="false" outlineLevel="0" collapsed="false">
      <c r="A3537" s="15" t="s">
        <v>21337</v>
      </c>
      <c r="B3537" s="15" t="s">
        <v>21653</v>
      </c>
      <c r="C3537" s="14" t="s">
        <v>22126</v>
      </c>
      <c r="D3537" s="14" t="s">
        <v>22127</v>
      </c>
      <c r="E3537" s="16" t="s">
        <v>22128</v>
      </c>
      <c r="F3537" s="16" t="s">
        <v>22129</v>
      </c>
      <c r="G3537" s="19" t="s">
        <v>41</v>
      </c>
      <c r="H3537" s="18" t="n">
        <v>5</v>
      </c>
      <c r="I3537" s="20" t="n">
        <v>101.23</v>
      </c>
      <c r="J3537" s="20" t="n">
        <v>184.22</v>
      </c>
      <c r="K3537" s="18" t="n">
        <v>10</v>
      </c>
      <c r="L3537" s="18" t="n">
        <v>7</v>
      </c>
      <c r="M3537" s="18" t="n">
        <v>230</v>
      </c>
      <c r="N3537" s="18" t="n">
        <v>92</v>
      </c>
      <c r="O3537" s="14" t="s">
        <v>1097</v>
      </c>
      <c r="P3537" s="14" t="s">
        <v>84</v>
      </c>
      <c r="Q3537" s="15" t="s">
        <v>1089</v>
      </c>
      <c r="R3537" s="16" t="s">
        <v>17555</v>
      </c>
      <c r="S3537" s="15" t="s">
        <v>22130</v>
      </c>
      <c r="T3537" s="15" t="s">
        <v>22130</v>
      </c>
      <c r="U3537" s="21" t="s">
        <v>72</v>
      </c>
    </row>
    <row r="3538" customFormat="false" ht="15" hidden="false" customHeight="false" outlineLevel="0" collapsed="false">
      <c r="A3538" s="15" t="s">
        <v>21337</v>
      </c>
      <c r="B3538" s="15" t="s">
        <v>21653</v>
      </c>
      <c r="C3538" s="14" t="s">
        <v>22131</v>
      </c>
      <c r="D3538" s="14" t="s">
        <v>22132</v>
      </c>
      <c r="E3538" s="16" t="s">
        <v>22133</v>
      </c>
      <c r="F3538" s="16" t="s">
        <v>22134</v>
      </c>
      <c r="G3538" s="25" t="s">
        <v>39</v>
      </c>
      <c r="H3538" s="18" t="n">
        <v>8</v>
      </c>
      <c r="I3538" s="20" t="n">
        <v>683</v>
      </c>
      <c r="J3538" s="20" t="n">
        <v>1480.48</v>
      </c>
      <c r="K3538" s="18" t="n">
        <v>47</v>
      </c>
      <c r="L3538" s="18" t="n">
        <v>24</v>
      </c>
      <c r="M3538" s="18" t="n">
        <v>2820</v>
      </c>
      <c r="N3538" s="18" t="n">
        <v>300</v>
      </c>
      <c r="O3538" s="14" t="s">
        <v>1097</v>
      </c>
      <c r="P3538" s="14" t="s">
        <v>118</v>
      </c>
      <c r="Q3538" s="15" t="s">
        <v>1089</v>
      </c>
      <c r="R3538" s="16" t="s">
        <v>22135</v>
      </c>
      <c r="S3538" s="15" t="s">
        <v>22136</v>
      </c>
      <c r="T3538" s="15" t="s">
        <v>22137</v>
      </c>
      <c r="U3538" s="21" t="s">
        <v>72</v>
      </c>
    </row>
    <row r="3539" customFormat="false" ht="26.85" hidden="false" customHeight="false" outlineLevel="0" collapsed="false">
      <c r="A3539" s="15" t="s">
        <v>21337</v>
      </c>
      <c r="B3539" s="15" t="s">
        <v>21653</v>
      </c>
      <c r="C3539" s="14" t="s">
        <v>22138</v>
      </c>
      <c r="D3539" s="14" t="s">
        <v>22139</v>
      </c>
      <c r="E3539" s="16" t="s">
        <v>22140</v>
      </c>
      <c r="F3539" s="16" t="s">
        <v>22141</v>
      </c>
      <c r="G3539" s="19" t="s">
        <v>41</v>
      </c>
      <c r="H3539" s="18" t="n">
        <v>1</v>
      </c>
      <c r="I3539" s="20" t="n">
        <v>214.65</v>
      </c>
      <c r="J3539" s="20" t="n">
        <v>214.65</v>
      </c>
      <c r="K3539" s="18" t="n">
        <v>16</v>
      </c>
      <c r="L3539" s="18" t="n">
        <v>4</v>
      </c>
      <c r="M3539" s="18" t="n">
        <v>400</v>
      </c>
      <c r="N3539" s="18" t="n">
        <v>400</v>
      </c>
      <c r="O3539" s="14" t="s">
        <v>1126</v>
      </c>
      <c r="P3539" s="14" t="s">
        <v>84</v>
      </c>
      <c r="Q3539" s="15" t="s">
        <v>1089</v>
      </c>
      <c r="R3539" s="16" t="s">
        <v>3766</v>
      </c>
      <c r="S3539" s="15" t="s">
        <v>22142</v>
      </c>
      <c r="T3539" s="15" t="s">
        <v>22142</v>
      </c>
      <c r="U3539" s="21" t="s">
        <v>72</v>
      </c>
    </row>
    <row r="3540" customFormat="false" ht="15" hidden="false" customHeight="false" outlineLevel="0" collapsed="false">
      <c r="A3540" s="15" t="s">
        <v>21337</v>
      </c>
      <c r="B3540" s="15" t="s">
        <v>21653</v>
      </c>
      <c r="C3540" s="14" t="s">
        <v>22143</v>
      </c>
      <c r="D3540" s="14" t="s">
        <v>22144</v>
      </c>
      <c r="E3540" s="16" t="s">
        <v>22145</v>
      </c>
      <c r="F3540" s="16" t="s">
        <v>22146</v>
      </c>
      <c r="G3540" s="23" t="s">
        <v>43</v>
      </c>
      <c r="H3540" s="18" t="n">
        <v>3</v>
      </c>
      <c r="I3540" s="20" t="n">
        <v>68.23</v>
      </c>
      <c r="J3540" s="20" t="n">
        <v>106.36</v>
      </c>
      <c r="K3540" s="18" t="n">
        <v>2</v>
      </c>
      <c r="L3540" s="18" t="n">
        <v>3</v>
      </c>
      <c r="M3540" s="18" t="n">
        <v>50</v>
      </c>
      <c r="N3540" s="18" t="n">
        <v>50</v>
      </c>
      <c r="O3540" s="14" t="s">
        <v>1088</v>
      </c>
      <c r="P3540" s="14" t="s">
        <v>84</v>
      </c>
      <c r="Q3540" s="15" t="s">
        <v>1089</v>
      </c>
      <c r="R3540" s="16" t="s">
        <v>7834</v>
      </c>
      <c r="S3540" s="15" t="s">
        <v>22147</v>
      </c>
      <c r="T3540" s="15" t="s">
        <v>22147</v>
      </c>
      <c r="U3540" s="21" t="s">
        <v>72</v>
      </c>
    </row>
    <row r="3541" customFormat="false" ht="15" hidden="false" customHeight="false" outlineLevel="0" collapsed="false">
      <c r="A3541" s="15" t="s">
        <v>21337</v>
      </c>
      <c r="B3541" s="15" t="s">
        <v>21653</v>
      </c>
      <c r="C3541" s="14" t="s">
        <v>22148</v>
      </c>
      <c r="D3541" s="14" t="s">
        <v>22149</v>
      </c>
      <c r="E3541" s="16" t="s">
        <v>22150</v>
      </c>
      <c r="F3541" s="16" t="s">
        <v>22151</v>
      </c>
      <c r="G3541" s="23" t="s">
        <v>43</v>
      </c>
      <c r="H3541" s="18" t="n">
        <v>3</v>
      </c>
      <c r="I3541" s="20" t="n">
        <v>48.97</v>
      </c>
      <c r="J3541" s="20" t="n">
        <v>118.75</v>
      </c>
      <c r="K3541" s="18" t="n">
        <v>6</v>
      </c>
      <c r="L3541" s="18" t="n">
        <v>5</v>
      </c>
      <c r="M3541" s="18" t="n">
        <v>72</v>
      </c>
      <c r="N3541" s="18" t="n">
        <v>48</v>
      </c>
      <c r="O3541" s="14" t="s">
        <v>1097</v>
      </c>
      <c r="P3541" s="14" t="s">
        <v>84</v>
      </c>
      <c r="Q3541" s="15" t="s">
        <v>1089</v>
      </c>
      <c r="R3541" s="16" t="s">
        <v>7668</v>
      </c>
      <c r="S3541" s="15" t="s">
        <v>22152</v>
      </c>
      <c r="T3541" s="15" t="s">
        <v>22152</v>
      </c>
      <c r="U3541" s="21" t="s">
        <v>72</v>
      </c>
    </row>
    <row r="3542" customFormat="false" ht="15" hidden="false" customHeight="false" outlineLevel="0" collapsed="false">
      <c r="A3542" s="15" t="s">
        <v>21337</v>
      </c>
      <c r="B3542" s="15" t="s">
        <v>21653</v>
      </c>
      <c r="C3542" s="14" t="s">
        <v>22153</v>
      </c>
      <c r="D3542" s="14" t="s">
        <v>22154</v>
      </c>
      <c r="E3542" s="16" t="s">
        <v>22155</v>
      </c>
      <c r="F3542" s="16" t="s">
        <v>1475</v>
      </c>
      <c r="G3542" s="19" t="s">
        <v>41</v>
      </c>
      <c r="H3542" s="18" t="n">
        <v>3</v>
      </c>
      <c r="I3542" s="20" t="n">
        <v>189.57</v>
      </c>
      <c r="J3542" s="20" t="n">
        <v>341.57</v>
      </c>
      <c r="K3542" s="18" t="n">
        <v>10</v>
      </c>
      <c r="L3542" s="18" t="n">
        <v>22</v>
      </c>
      <c r="M3542" s="18" t="n">
        <v>600</v>
      </c>
      <c r="N3542" s="18" t="n">
        <v>120</v>
      </c>
      <c r="O3542" s="14" t="s">
        <v>1088</v>
      </c>
      <c r="P3542" s="14" t="s">
        <v>118</v>
      </c>
      <c r="Q3542" s="15" t="s">
        <v>1089</v>
      </c>
      <c r="R3542" s="16" t="s">
        <v>22156</v>
      </c>
      <c r="S3542" s="15" t="s">
        <v>22157</v>
      </c>
      <c r="T3542" s="15" t="s">
        <v>22158</v>
      </c>
      <c r="U3542" s="21" t="s">
        <v>72</v>
      </c>
    </row>
    <row r="3543" customFormat="false" ht="15" hidden="false" customHeight="false" outlineLevel="0" collapsed="false">
      <c r="A3543" s="15" t="s">
        <v>21337</v>
      </c>
      <c r="B3543" s="15" t="s">
        <v>21653</v>
      </c>
      <c r="C3543" s="14" t="s">
        <v>22159</v>
      </c>
      <c r="D3543" s="14" t="s">
        <v>22160</v>
      </c>
      <c r="E3543" s="16" t="s">
        <v>22161</v>
      </c>
      <c r="F3543" s="16" t="s">
        <v>22162</v>
      </c>
      <c r="G3543" s="19" t="s">
        <v>41</v>
      </c>
      <c r="H3543" s="18" t="n">
        <v>3</v>
      </c>
      <c r="I3543" s="20" t="n">
        <v>134.5</v>
      </c>
      <c r="J3543" s="20" t="n">
        <v>256.7</v>
      </c>
      <c r="K3543" s="18" t="n">
        <v>14</v>
      </c>
      <c r="L3543" s="18" t="n">
        <v>16</v>
      </c>
      <c r="M3543" s="18" t="n">
        <v>518</v>
      </c>
      <c r="N3543" s="18" t="n">
        <v>148</v>
      </c>
      <c r="O3543" s="14" t="s">
        <v>7240</v>
      </c>
      <c r="P3543" s="14" t="s">
        <v>118</v>
      </c>
      <c r="Q3543" s="15" t="s">
        <v>1089</v>
      </c>
      <c r="R3543" s="16" t="s">
        <v>22163</v>
      </c>
      <c r="S3543" s="15" t="s">
        <v>8402</v>
      </c>
      <c r="T3543" s="15" t="s">
        <v>22164</v>
      </c>
      <c r="U3543" s="21" t="s">
        <v>72</v>
      </c>
    </row>
    <row r="3544" customFormat="false" ht="15" hidden="false" customHeight="false" outlineLevel="0" collapsed="false">
      <c r="A3544" s="15" t="s">
        <v>21337</v>
      </c>
      <c r="B3544" s="15" t="s">
        <v>21653</v>
      </c>
      <c r="C3544" s="14" t="s">
        <v>22165</v>
      </c>
      <c r="D3544" s="14" t="s">
        <v>22166</v>
      </c>
      <c r="E3544" s="16" t="s">
        <v>22167</v>
      </c>
      <c r="F3544" s="16" t="s">
        <v>22168</v>
      </c>
      <c r="G3544" s="19" t="s">
        <v>41</v>
      </c>
      <c r="H3544" s="18" t="n">
        <v>4</v>
      </c>
      <c r="I3544" s="20" t="n">
        <v>78.39</v>
      </c>
      <c r="J3544" s="20" t="n">
        <v>233.76</v>
      </c>
      <c r="K3544" s="18" t="n">
        <v>10</v>
      </c>
      <c r="L3544" s="18" t="n">
        <v>4</v>
      </c>
      <c r="M3544" s="18" t="n">
        <v>160</v>
      </c>
      <c r="N3544" s="18" t="n">
        <v>160</v>
      </c>
      <c r="O3544" s="14" t="s">
        <v>1088</v>
      </c>
      <c r="P3544" s="14" t="s">
        <v>84</v>
      </c>
      <c r="Q3544" s="15" t="s">
        <v>1089</v>
      </c>
      <c r="R3544" s="16" t="s">
        <v>11754</v>
      </c>
      <c r="S3544" s="15" t="s">
        <v>22169</v>
      </c>
      <c r="T3544" s="15" t="s">
        <v>22169</v>
      </c>
      <c r="U3544" s="21" t="s">
        <v>72</v>
      </c>
    </row>
    <row r="3545" customFormat="false" ht="15" hidden="false" customHeight="false" outlineLevel="0" collapsed="false">
      <c r="A3545" s="15" t="s">
        <v>21337</v>
      </c>
      <c r="B3545" s="15" t="s">
        <v>21653</v>
      </c>
      <c r="C3545" s="14" t="s">
        <v>22170</v>
      </c>
      <c r="D3545" s="14" t="s">
        <v>22171</v>
      </c>
      <c r="E3545" s="16" t="s">
        <v>22172</v>
      </c>
      <c r="F3545" s="16" t="s">
        <v>22173</v>
      </c>
      <c r="G3545" s="25" t="s">
        <v>39</v>
      </c>
      <c r="H3545" s="18" t="n">
        <v>5</v>
      </c>
      <c r="I3545" s="20" t="n">
        <v>165.348</v>
      </c>
      <c r="J3545" s="20" t="n">
        <v>482.93</v>
      </c>
      <c r="K3545" s="18" t="n">
        <v>4</v>
      </c>
      <c r="L3545" s="18" t="n">
        <v>6</v>
      </c>
      <c r="M3545" s="18" t="n">
        <v>120</v>
      </c>
      <c r="N3545" s="18" t="n">
        <v>90</v>
      </c>
      <c r="O3545" s="14" t="s">
        <v>1126</v>
      </c>
      <c r="P3545" s="14" t="s">
        <v>118</v>
      </c>
      <c r="Q3545" s="15" t="s">
        <v>1089</v>
      </c>
      <c r="R3545" s="16" t="s">
        <v>22174</v>
      </c>
      <c r="S3545" s="15" t="s">
        <v>22175</v>
      </c>
      <c r="T3545" s="15" t="s">
        <v>22175</v>
      </c>
      <c r="U3545" s="21" t="s">
        <v>72</v>
      </c>
    </row>
    <row r="3546" customFormat="false" ht="15" hidden="false" customHeight="false" outlineLevel="0" collapsed="false">
      <c r="A3546" s="15" t="s">
        <v>21337</v>
      </c>
      <c r="B3546" s="15" t="s">
        <v>21653</v>
      </c>
      <c r="C3546" s="14" t="s">
        <v>22176</v>
      </c>
      <c r="D3546" s="14" t="s">
        <v>22177</v>
      </c>
      <c r="E3546" s="16" t="s">
        <v>22178</v>
      </c>
      <c r="F3546" s="16" t="s">
        <v>22179</v>
      </c>
      <c r="G3546" s="25" t="s">
        <v>39</v>
      </c>
      <c r="H3546" s="18" t="n">
        <v>10</v>
      </c>
      <c r="I3546" s="20" t="n">
        <v>235.45</v>
      </c>
      <c r="J3546" s="20" t="n">
        <v>493.78</v>
      </c>
      <c r="K3546" s="18" t="n">
        <v>11</v>
      </c>
      <c r="L3546" s="18" t="n">
        <v>8</v>
      </c>
      <c r="M3546" s="18" t="n">
        <v>209</v>
      </c>
      <c r="N3546" s="18" t="n">
        <v>95</v>
      </c>
      <c r="O3546" s="14" t="s">
        <v>17859</v>
      </c>
      <c r="P3546" s="14" t="s">
        <v>118</v>
      </c>
      <c r="Q3546" s="15" t="s">
        <v>1089</v>
      </c>
      <c r="R3546" s="16" t="s">
        <v>1610</v>
      </c>
      <c r="S3546" s="15" t="s">
        <v>22175</v>
      </c>
      <c r="T3546" s="15" t="s">
        <v>22180</v>
      </c>
      <c r="U3546" s="21" t="s">
        <v>72</v>
      </c>
    </row>
    <row r="3547" customFormat="false" ht="15" hidden="false" customHeight="false" outlineLevel="0" collapsed="false">
      <c r="A3547" s="15" t="s">
        <v>21337</v>
      </c>
      <c r="B3547" s="15" t="s">
        <v>21653</v>
      </c>
      <c r="C3547" s="14" t="s">
        <v>22181</v>
      </c>
      <c r="D3547" s="14" t="s">
        <v>22182</v>
      </c>
      <c r="E3547" s="16" t="s">
        <v>22183</v>
      </c>
      <c r="F3547" s="16" t="s">
        <v>22184</v>
      </c>
      <c r="G3547" s="23" t="s">
        <v>43</v>
      </c>
      <c r="H3547" s="18" t="n">
        <v>3</v>
      </c>
      <c r="I3547" s="20" t="n">
        <v>55.55</v>
      </c>
      <c r="J3547" s="20" t="n">
        <v>135.62</v>
      </c>
      <c r="K3547" s="18" t="n">
        <v>4</v>
      </c>
      <c r="L3547" s="18" t="n">
        <v>1</v>
      </c>
      <c r="M3547" s="18" t="n">
        <v>48</v>
      </c>
      <c r="N3547" s="18" t="n">
        <v>48</v>
      </c>
      <c r="O3547" s="14" t="s">
        <v>1088</v>
      </c>
      <c r="P3547" s="14" t="s">
        <v>84</v>
      </c>
      <c r="Q3547" s="15" t="s">
        <v>1089</v>
      </c>
      <c r="R3547" s="16" t="s">
        <v>22185</v>
      </c>
      <c r="S3547" s="15" t="s">
        <v>22186</v>
      </c>
      <c r="T3547" s="15" t="s">
        <v>22186</v>
      </c>
      <c r="U3547" s="21" t="s">
        <v>72</v>
      </c>
    </row>
    <row r="3548" customFormat="false" ht="15" hidden="false" customHeight="false" outlineLevel="0" collapsed="false">
      <c r="A3548" s="15" t="s">
        <v>21337</v>
      </c>
      <c r="B3548" s="15" t="s">
        <v>21653</v>
      </c>
      <c r="C3548" s="14" t="s">
        <v>22187</v>
      </c>
      <c r="D3548" s="14" t="s">
        <v>22188</v>
      </c>
      <c r="E3548" s="16" t="s">
        <v>22189</v>
      </c>
      <c r="F3548" s="16" t="s">
        <v>22190</v>
      </c>
      <c r="G3548" s="25" t="s">
        <v>39</v>
      </c>
      <c r="H3548" s="18" t="n">
        <v>8</v>
      </c>
      <c r="I3548" s="20" t="n">
        <v>150.65</v>
      </c>
      <c r="J3548" s="20" t="n">
        <v>371.72</v>
      </c>
      <c r="K3548" s="18" t="n">
        <v>6</v>
      </c>
      <c r="L3548" s="18" t="n">
        <v>12</v>
      </c>
      <c r="M3548" s="18" t="n">
        <v>72</v>
      </c>
      <c r="N3548" s="18" t="n">
        <v>72</v>
      </c>
      <c r="O3548" s="14" t="s">
        <v>1088</v>
      </c>
      <c r="P3548" s="14" t="s">
        <v>84</v>
      </c>
      <c r="Q3548" s="15" t="s">
        <v>1089</v>
      </c>
      <c r="R3548" s="16" t="s">
        <v>13048</v>
      </c>
      <c r="S3548" s="15" t="s">
        <v>21609</v>
      </c>
      <c r="T3548" s="15" t="s">
        <v>22191</v>
      </c>
      <c r="U3548" s="21" t="s">
        <v>72</v>
      </c>
    </row>
    <row r="3549" customFormat="false" ht="26.85" hidden="false" customHeight="false" outlineLevel="0" collapsed="false">
      <c r="A3549" s="15" t="s">
        <v>21337</v>
      </c>
      <c r="B3549" s="15" t="s">
        <v>21653</v>
      </c>
      <c r="C3549" s="14" t="s">
        <v>22192</v>
      </c>
      <c r="D3549" s="14" t="s">
        <v>22193</v>
      </c>
      <c r="E3549" s="16" t="s">
        <v>22194</v>
      </c>
      <c r="F3549" s="16" t="s">
        <v>22195</v>
      </c>
      <c r="G3549" s="25" t="s">
        <v>39</v>
      </c>
      <c r="H3549" s="18" t="n">
        <v>11</v>
      </c>
      <c r="I3549" s="20" t="n">
        <v>274.17</v>
      </c>
      <c r="J3549" s="20" t="n">
        <v>498.48</v>
      </c>
      <c r="K3549" s="18" t="n">
        <v>16</v>
      </c>
      <c r="L3549" s="18" t="n">
        <v>14</v>
      </c>
      <c r="M3549" s="18" t="n">
        <v>256</v>
      </c>
      <c r="N3549" s="18" t="n">
        <v>192</v>
      </c>
      <c r="O3549" s="14" t="s">
        <v>22196</v>
      </c>
      <c r="P3549" s="14" t="s">
        <v>84</v>
      </c>
      <c r="Q3549" s="15" t="s">
        <v>1089</v>
      </c>
      <c r="R3549" s="16" t="s">
        <v>9782</v>
      </c>
      <c r="S3549" s="15" t="s">
        <v>22197</v>
      </c>
      <c r="T3549" s="15" t="s">
        <v>22197</v>
      </c>
      <c r="U3549" s="21" t="s">
        <v>72</v>
      </c>
    </row>
    <row r="3550" customFormat="false" ht="15" hidden="false" customHeight="false" outlineLevel="0" collapsed="false">
      <c r="A3550" s="15" t="s">
        <v>21337</v>
      </c>
      <c r="B3550" s="15" t="s">
        <v>21653</v>
      </c>
      <c r="C3550" s="14" t="s">
        <v>22198</v>
      </c>
      <c r="D3550" s="14" t="s">
        <v>22199</v>
      </c>
      <c r="E3550" s="16" t="s">
        <v>22200</v>
      </c>
      <c r="F3550" s="16" t="s">
        <v>22201</v>
      </c>
      <c r="G3550" s="23" t="s">
        <v>43</v>
      </c>
      <c r="H3550" s="18" t="n">
        <v>3</v>
      </c>
      <c r="I3550" s="20" t="n">
        <v>39.785</v>
      </c>
      <c r="J3550" s="20" t="n">
        <v>127.28</v>
      </c>
      <c r="K3550" s="18" t="n">
        <v>28</v>
      </c>
      <c r="L3550" s="18" t="n">
        <v>12</v>
      </c>
      <c r="M3550" s="18" t="n">
        <v>336</v>
      </c>
      <c r="N3550" s="18" t="n">
        <v>96</v>
      </c>
      <c r="O3550" s="14" t="s">
        <v>1088</v>
      </c>
      <c r="P3550" s="14" t="s">
        <v>84</v>
      </c>
      <c r="Q3550" s="15" t="s">
        <v>1089</v>
      </c>
      <c r="R3550" s="16" t="s">
        <v>7846</v>
      </c>
      <c r="S3550" s="15" t="s">
        <v>22202</v>
      </c>
      <c r="T3550" s="15" t="s">
        <v>22202</v>
      </c>
      <c r="U3550" s="21" t="s">
        <v>72</v>
      </c>
    </row>
    <row r="3551" customFormat="false" ht="15" hidden="false" customHeight="false" outlineLevel="0" collapsed="false">
      <c r="A3551" s="15" t="s">
        <v>21337</v>
      </c>
      <c r="B3551" s="15" t="s">
        <v>21653</v>
      </c>
      <c r="C3551" s="14" t="s">
        <v>22203</v>
      </c>
      <c r="D3551" s="14" t="s">
        <v>22204</v>
      </c>
      <c r="E3551" s="16" t="s">
        <v>22205</v>
      </c>
      <c r="F3551" s="16" t="s">
        <v>22206</v>
      </c>
      <c r="G3551" s="19" t="s">
        <v>41</v>
      </c>
      <c r="H3551" s="18" t="n">
        <v>6</v>
      </c>
      <c r="I3551" s="20" t="n">
        <v>109.81</v>
      </c>
      <c r="J3551" s="20" t="n">
        <v>153.72</v>
      </c>
      <c r="K3551" s="18" t="n">
        <v>6</v>
      </c>
      <c r="L3551" s="18" t="n">
        <v>6</v>
      </c>
      <c r="M3551" s="18" t="n">
        <v>78</v>
      </c>
      <c r="N3551" s="18" t="n">
        <v>26</v>
      </c>
      <c r="O3551" s="14" t="s">
        <v>1088</v>
      </c>
      <c r="P3551" s="14" t="s">
        <v>118</v>
      </c>
      <c r="Q3551" s="15" t="s">
        <v>1089</v>
      </c>
      <c r="R3551" s="16" t="s">
        <v>22207</v>
      </c>
      <c r="S3551" s="15" t="s">
        <v>22208</v>
      </c>
      <c r="T3551" s="15" t="s">
        <v>22209</v>
      </c>
      <c r="U3551" s="21" t="s">
        <v>72</v>
      </c>
    </row>
    <row r="3552" customFormat="false" ht="15" hidden="false" customHeight="false" outlineLevel="0" collapsed="false">
      <c r="A3552" s="15" t="s">
        <v>21337</v>
      </c>
      <c r="B3552" s="15" t="s">
        <v>21653</v>
      </c>
      <c r="C3552" s="14" t="s">
        <v>22210</v>
      </c>
      <c r="D3552" s="14" t="s">
        <v>22211</v>
      </c>
      <c r="E3552" s="16" t="s">
        <v>22212</v>
      </c>
      <c r="F3552" s="16" t="s">
        <v>22213</v>
      </c>
      <c r="G3552" s="23" t="s">
        <v>43</v>
      </c>
      <c r="H3552" s="18" t="n">
        <v>3</v>
      </c>
      <c r="I3552" s="20" t="n">
        <v>68.54</v>
      </c>
      <c r="J3552" s="20" t="n">
        <v>158.6</v>
      </c>
      <c r="K3552" s="18" t="n">
        <v>13</v>
      </c>
      <c r="L3552" s="18" t="n">
        <v>8</v>
      </c>
      <c r="M3552" s="18" t="n">
        <v>260</v>
      </c>
      <c r="N3552" s="18" t="n">
        <v>60</v>
      </c>
      <c r="O3552" s="14" t="s">
        <v>1126</v>
      </c>
      <c r="P3552" s="14" t="s">
        <v>118</v>
      </c>
      <c r="Q3552" s="15" t="s">
        <v>1089</v>
      </c>
      <c r="R3552" s="16" t="s">
        <v>22214</v>
      </c>
      <c r="S3552" s="15" t="s">
        <v>22215</v>
      </c>
      <c r="T3552" s="15" t="s">
        <v>22215</v>
      </c>
      <c r="U3552" s="21" t="s">
        <v>72</v>
      </c>
    </row>
    <row r="3553" customFormat="false" ht="15" hidden="false" customHeight="false" outlineLevel="0" collapsed="false">
      <c r="A3553" s="15" t="s">
        <v>21337</v>
      </c>
      <c r="B3553" s="15" t="s">
        <v>21653</v>
      </c>
      <c r="C3553" s="14" t="s">
        <v>22216</v>
      </c>
      <c r="D3553" s="14" t="s">
        <v>22217</v>
      </c>
      <c r="E3553" s="16" t="s">
        <v>22218</v>
      </c>
      <c r="F3553" s="16" t="s">
        <v>22083</v>
      </c>
      <c r="G3553" s="23" t="s">
        <v>43</v>
      </c>
      <c r="H3553" s="18" t="n">
        <v>2</v>
      </c>
      <c r="I3553" s="20" t="n">
        <v>48.47</v>
      </c>
      <c r="J3553" s="20" t="n">
        <v>181.11</v>
      </c>
      <c r="K3553" s="18" t="n">
        <v>2</v>
      </c>
      <c r="L3553" s="18" t="n">
        <v>2</v>
      </c>
      <c r="M3553" s="18" t="n">
        <v>80</v>
      </c>
      <c r="N3553" s="18" t="n">
        <v>80</v>
      </c>
      <c r="O3553" s="14" t="s">
        <v>1088</v>
      </c>
      <c r="P3553" s="14" t="s">
        <v>84</v>
      </c>
      <c r="Q3553" s="15" t="s">
        <v>1089</v>
      </c>
      <c r="R3553" s="16" t="s">
        <v>22219</v>
      </c>
      <c r="S3553" s="15" t="s">
        <v>22220</v>
      </c>
      <c r="T3553" s="15" t="s">
        <v>22220</v>
      </c>
      <c r="U3553" s="21" t="s">
        <v>72</v>
      </c>
    </row>
    <row r="3554" customFormat="false" ht="15" hidden="false" customHeight="false" outlineLevel="0" collapsed="false">
      <c r="A3554" s="15" t="s">
        <v>21337</v>
      </c>
      <c r="B3554" s="15" t="s">
        <v>21653</v>
      </c>
      <c r="C3554" s="14" t="s">
        <v>22221</v>
      </c>
      <c r="D3554" s="14" t="s">
        <v>22222</v>
      </c>
      <c r="E3554" s="16" t="s">
        <v>22223</v>
      </c>
      <c r="F3554" s="16" t="s">
        <v>22224</v>
      </c>
      <c r="G3554" s="23" t="s">
        <v>43</v>
      </c>
      <c r="H3554" s="18" t="n">
        <v>3</v>
      </c>
      <c r="I3554" s="20" t="n">
        <v>58.27</v>
      </c>
      <c r="J3554" s="20" t="n">
        <v>103.58</v>
      </c>
      <c r="K3554" s="18" t="n">
        <v>6</v>
      </c>
      <c r="L3554" s="18" t="n">
        <v>2</v>
      </c>
      <c r="M3554" s="18" t="n">
        <v>90</v>
      </c>
      <c r="N3554" s="18" t="n">
        <v>90</v>
      </c>
      <c r="O3554" s="14" t="s">
        <v>1126</v>
      </c>
      <c r="P3554" s="14" t="s">
        <v>84</v>
      </c>
      <c r="Q3554" s="15" t="s">
        <v>1089</v>
      </c>
      <c r="R3554" s="16" t="s">
        <v>22225</v>
      </c>
      <c r="S3554" s="15" t="s">
        <v>22226</v>
      </c>
      <c r="T3554" s="15" t="s">
        <v>22226</v>
      </c>
      <c r="U3554" s="21" t="s">
        <v>72</v>
      </c>
    </row>
    <row r="3555" customFormat="false" ht="15" hidden="false" customHeight="false" outlineLevel="0" collapsed="false">
      <c r="A3555" s="15" t="s">
        <v>21337</v>
      </c>
      <c r="B3555" s="15" t="s">
        <v>21653</v>
      </c>
      <c r="C3555" s="14" t="s">
        <v>22227</v>
      </c>
      <c r="D3555" s="14" t="s">
        <v>22228</v>
      </c>
      <c r="E3555" s="16" t="s">
        <v>22229</v>
      </c>
      <c r="F3555" s="16" t="s">
        <v>4081</v>
      </c>
      <c r="G3555" s="19" t="s">
        <v>41</v>
      </c>
      <c r="H3555" s="18" t="n">
        <v>5</v>
      </c>
      <c r="I3555" s="20" t="n">
        <v>113.02</v>
      </c>
      <c r="J3555" s="20" t="n">
        <v>264.65</v>
      </c>
      <c r="K3555" s="18" t="n">
        <v>26</v>
      </c>
      <c r="L3555" s="18" t="n">
        <v>5</v>
      </c>
      <c r="M3555" s="18" t="n">
        <v>520</v>
      </c>
      <c r="N3555" s="18" t="n">
        <v>520</v>
      </c>
      <c r="O3555" s="14" t="s">
        <v>1097</v>
      </c>
      <c r="P3555" s="14" t="s">
        <v>118</v>
      </c>
      <c r="Q3555" s="15" t="s">
        <v>1089</v>
      </c>
      <c r="R3555" s="16" t="s">
        <v>4792</v>
      </c>
      <c r="S3555" s="15" t="s">
        <v>2651</v>
      </c>
      <c r="T3555" s="15" t="s">
        <v>22230</v>
      </c>
      <c r="U3555" s="21" t="s">
        <v>72</v>
      </c>
    </row>
    <row r="3556" customFormat="false" ht="15" hidden="false" customHeight="false" outlineLevel="0" collapsed="false">
      <c r="A3556" s="15" t="s">
        <v>21337</v>
      </c>
      <c r="B3556" s="15" t="s">
        <v>21653</v>
      </c>
      <c r="C3556" s="14" t="s">
        <v>22231</v>
      </c>
      <c r="D3556" s="14" t="s">
        <v>22232</v>
      </c>
      <c r="E3556" s="16" t="s">
        <v>22233</v>
      </c>
      <c r="F3556" s="16" t="s">
        <v>22234</v>
      </c>
      <c r="G3556" s="23" t="s">
        <v>43</v>
      </c>
      <c r="H3556" s="18" t="n">
        <v>4</v>
      </c>
      <c r="I3556" s="20" t="n">
        <v>71.7</v>
      </c>
      <c r="J3556" s="20" t="n">
        <v>195.64</v>
      </c>
      <c r="K3556" s="18" t="n">
        <v>17</v>
      </c>
      <c r="L3556" s="18" t="n">
        <v>5</v>
      </c>
      <c r="M3556" s="18" t="n">
        <v>340</v>
      </c>
      <c r="N3556" s="18" t="n">
        <v>100</v>
      </c>
      <c r="O3556" s="14" t="s">
        <v>9118</v>
      </c>
      <c r="P3556" s="14" t="s">
        <v>84</v>
      </c>
      <c r="Q3556" s="15" t="s">
        <v>1089</v>
      </c>
      <c r="R3556" s="16" t="s">
        <v>1141</v>
      </c>
      <c r="S3556" s="15" t="s">
        <v>22235</v>
      </c>
      <c r="T3556" s="15" t="s">
        <v>22235</v>
      </c>
      <c r="U3556" s="21" t="s">
        <v>72</v>
      </c>
    </row>
    <row r="3557" customFormat="false" ht="15" hidden="false" customHeight="false" outlineLevel="0" collapsed="false">
      <c r="A3557" s="15" t="s">
        <v>21337</v>
      </c>
      <c r="B3557" s="15" t="s">
        <v>21653</v>
      </c>
      <c r="C3557" s="14" t="s">
        <v>22236</v>
      </c>
      <c r="D3557" s="14" t="s">
        <v>22237</v>
      </c>
      <c r="E3557" s="16" t="s">
        <v>22238</v>
      </c>
      <c r="F3557" s="16" t="s">
        <v>22239</v>
      </c>
      <c r="G3557" s="25" t="s">
        <v>39</v>
      </c>
      <c r="H3557" s="18" t="n">
        <v>4</v>
      </c>
      <c r="I3557" s="20" t="n">
        <v>430.19</v>
      </c>
      <c r="J3557" s="20" t="n">
        <v>584.58</v>
      </c>
      <c r="K3557" s="18" t="n">
        <v>12</v>
      </c>
      <c r="L3557" s="18" t="n">
        <v>26</v>
      </c>
      <c r="M3557" s="18" t="n">
        <v>720</v>
      </c>
      <c r="N3557" s="18" t="n">
        <v>120</v>
      </c>
      <c r="O3557" s="14" t="s">
        <v>1097</v>
      </c>
      <c r="P3557" s="14" t="s">
        <v>118</v>
      </c>
      <c r="Q3557" s="15" t="s">
        <v>1089</v>
      </c>
      <c r="R3557" s="16" t="s">
        <v>22240</v>
      </c>
      <c r="S3557" s="15" t="s">
        <v>22241</v>
      </c>
      <c r="T3557" s="15" t="s">
        <v>22242</v>
      </c>
      <c r="U3557" s="21" t="s">
        <v>72</v>
      </c>
    </row>
    <row r="3558" customFormat="false" ht="15" hidden="false" customHeight="false" outlineLevel="0" collapsed="false">
      <c r="A3558" s="15" t="s">
        <v>21337</v>
      </c>
      <c r="B3558" s="15" t="s">
        <v>21653</v>
      </c>
      <c r="C3558" s="14" t="s">
        <v>22243</v>
      </c>
      <c r="D3558" s="14" t="s">
        <v>22244</v>
      </c>
      <c r="E3558" s="16" t="s">
        <v>22245</v>
      </c>
      <c r="F3558" s="16" t="s">
        <v>22246</v>
      </c>
      <c r="G3558" s="23" t="s">
        <v>43</v>
      </c>
      <c r="H3558" s="18" t="n">
        <v>3</v>
      </c>
      <c r="I3558" s="20" t="n">
        <v>34.14</v>
      </c>
      <c r="J3558" s="20" t="n">
        <v>78.98</v>
      </c>
      <c r="K3558" s="18" t="n">
        <v>2</v>
      </c>
      <c r="L3558" s="18" t="n">
        <v>3</v>
      </c>
      <c r="M3558" s="18" t="n">
        <v>18</v>
      </c>
      <c r="N3558" s="18" t="n">
        <v>9</v>
      </c>
      <c r="O3558" s="14" t="s">
        <v>1097</v>
      </c>
      <c r="P3558" s="14" t="s">
        <v>118</v>
      </c>
      <c r="Q3558" s="15" t="s">
        <v>1089</v>
      </c>
      <c r="R3558" s="16" t="s">
        <v>22247</v>
      </c>
      <c r="S3558" s="15" t="s">
        <v>22248</v>
      </c>
      <c r="T3558" s="15" t="s">
        <v>22249</v>
      </c>
      <c r="U3558" s="21" t="s">
        <v>72</v>
      </c>
    </row>
    <row r="3559" customFormat="false" ht="15" hidden="false" customHeight="false" outlineLevel="0" collapsed="false">
      <c r="A3559" s="15" t="s">
        <v>21337</v>
      </c>
      <c r="B3559" s="15" t="s">
        <v>21653</v>
      </c>
      <c r="C3559" s="14" t="s">
        <v>22250</v>
      </c>
      <c r="D3559" s="14" t="s">
        <v>22251</v>
      </c>
      <c r="E3559" s="16" t="s">
        <v>22252</v>
      </c>
      <c r="F3559" s="16" t="s">
        <v>22253</v>
      </c>
      <c r="G3559" s="23" t="s">
        <v>43</v>
      </c>
      <c r="H3559" s="18" t="n">
        <v>3</v>
      </c>
      <c r="I3559" s="20" t="n">
        <v>57.8</v>
      </c>
      <c r="J3559" s="20" t="n">
        <v>192.03</v>
      </c>
      <c r="K3559" s="18" t="n">
        <v>8</v>
      </c>
      <c r="L3559" s="18" t="n">
        <v>5</v>
      </c>
      <c r="M3559" s="18" t="n">
        <v>120</v>
      </c>
      <c r="N3559" s="18" t="n">
        <v>60</v>
      </c>
      <c r="O3559" s="14" t="s">
        <v>1097</v>
      </c>
      <c r="P3559" s="14" t="s">
        <v>118</v>
      </c>
      <c r="Q3559" s="15" t="s">
        <v>1089</v>
      </c>
      <c r="R3559" s="16" t="s">
        <v>22254</v>
      </c>
      <c r="S3559" s="15" t="s">
        <v>22255</v>
      </c>
      <c r="T3559" s="15" t="s">
        <v>22255</v>
      </c>
      <c r="U3559" s="21" t="s">
        <v>72</v>
      </c>
    </row>
    <row r="3560" customFormat="false" ht="15" hidden="false" customHeight="false" outlineLevel="0" collapsed="false">
      <c r="A3560" s="15" t="s">
        <v>21337</v>
      </c>
      <c r="B3560" s="15" t="s">
        <v>21653</v>
      </c>
      <c r="C3560" s="14" t="s">
        <v>22256</v>
      </c>
      <c r="D3560" s="14" t="s">
        <v>22257</v>
      </c>
      <c r="E3560" s="16" t="s">
        <v>22258</v>
      </c>
      <c r="F3560" s="16" t="s">
        <v>22259</v>
      </c>
      <c r="G3560" s="23" t="s">
        <v>43</v>
      </c>
      <c r="H3560" s="18" t="n">
        <v>4</v>
      </c>
      <c r="I3560" s="20" t="n">
        <v>59.05</v>
      </c>
      <c r="J3560" s="20" t="n">
        <v>81.76</v>
      </c>
      <c r="K3560" s="18" t="n">
        <v>2</v>
      </c>
      <c r="L3560" s="18" t="n">
        <v>2</v>
      </c>
      <c r="M3560" s="18" t="n">
        <v>22</v>
      </c>
      <c r="N3560" s="18" t="n">
        <v>22</v>
      </c>
      <c r="O3560" s="14" t="s">
        <v>1088</v>
      </c>
      <c r="P3560" s="14" t="s">
        <v>84</v>
      </c>
      <c r="Q3560" s="15" t="s">
        <v>1089</v>
      </c>
      <c r="R3560" s="16" t="s">
        <v>13238</v>
      </c>
      <c r="S3560" s="15" t="s">
        <v>22260</v>
      </c>
      <c r="T3560" s="15" t="s">
        <v>22260</v>
      </c>
      <c r="U3560" s="21" t="s">
        <v>72</v>
      </c>
    </row>
    <row r="3561" customFormat="false" ht="15" hidden="false" customHeight="false" outlineLevel="0" collapsed="false">
      <c r="A3561" s="15" t="s">
        <v>21337</v>
      </c>
      <c r="B3561" s="15" t="s">
        <v>21653</v>
      </c>
      <c r="C3561" s="14" t="s">
        <v>22261</v>
      </c>
      <c r="D3561" s="14" t="s">
        <v>22262</v>
      </c>
      <c r="E3561" s="16" t="s">
        <v>22263</v>
      </c>
      <c r="F3561" s="16" t="s">
        <v>22264</v>
      </c>
      <c r="G3561" s="23" t="s">
        <v>43</v>
      </c>
      <c r="H3561" s="18" t="n">
        <v>4</v>
      </c>
      <c r="I3561" s="20" t="n">
        <v>130.62</v>
      </c>
      <c r="J3561" s="20" t="n">
        <v>192.42</v>
      </c>
      <c r="K3561" s="18" t="n">
        <v>6</v>
      </c>
      <c r="L3561" s="18" t="n">
        <v>5</v>
      </c>
      <c r="M3561" s="18" t="n">
        <v>204</v>
      </c>
      <c r="N3561" s="18" t="n">
        <v>68</v>
      </c>
      <c r="O3561" s="14" t="s">
        <v>1097</v>
      </c>
      <c r="P3561" s="14" t="s">
        <v>118</v>
      </c>
      <c r="Q3561" s="15" t="s">
        <v>1089</v>
      </c>
      <c r="R3561" s="16" t="s">
        <v>22000</v>
      </c>
      <c r="S3561" s="15" t="s">
        <v>22265</v>
      </c>
      <c r="T3561" s="15" t="s">
        <v>22266</v>
      </c>
      <c r="U3561" s="21" t="s">
        <v>72</v>
      </c>
    </row>
    <row r="3562" customFormat="false" ht="15" hidden="false" customHeight="false" outlineLevel="0" collapsed="false">
      <c r="A3562" s="15" t="s">
        <v>21337</v>
      </c>
      <c r="B3562" s="15" t="s">
        <v>21653</v>
      </c>
      <c r="C3562" s="14" t="s">
        <v>22267</v>
      </c>
      <c r="D3562" s="14" t="s">
        <v>22268</v>
      </c>
      <c r="E3562" s="16" t="s">
        <v>22269</v>
      </c>
      <c r="F3562" s="16" t="s">
        <v>22270</v>
      </c>
      <c r="G3562" s="19" t="s">
        <v>41</v>
      </c>
      <c r="H3562" s="18" t="n">
        <v>7</v>
      </c>
      <c r="I3562" s="20" t="n">
        <v>87</v>
      </c>
      <c r="J3562" s="20" t="n">
        <v>234.72</v>
      </c>
      <c r="K3562" s="18" t="n">
        <v>7</v>
      </c>
      <c r="L3562" s="18" t="n">
        <v>5</v>
      </c>
      <c r="M3562" s="18" t="n">
        <v>91</v>
      </c>
      <c r="N3562" s="18" t="n">
        <v>65</v>
      </c>
      <c r="O3562" s="14" t="s">
        <v>2125</v>
      </c>
      <c r="P3562" s="14" t="s">
        <v>84</v>
      </c>
      <c r="Q3562" s="15" t="s">
        <v>1089</v>
      </c>
      <c r="R3562" s="16" t="s">
        <v>22271</v>
      </c>
      <c r="S3562" s="15" t="s">
        <v>22272</v>
      </c>
      <c r="T3562" s="15" t="s">
        <v>22272</v>
      </c>
      <c r="U3562" s="21" t="s">
        <v>72</v>
      </c>
    </row>
    <row r="3563" customFormat="false" ht="15" hidden="false" customHeight="false" outlineLevel="0" collapsed="false">
      <c r="A3563" s="15" t="s">
        <v>21337</v>
      </c>
      <c r="B3563" s="15" t="s">
        <v>21653</v>
      </c>
      <c r="C3563" s="14" t="s">
        <v>22273</v>
      </c>
      <c r="D3563" s="14" t="s">
        <v>22274</v>
      </c>
      <c r="E3563" s="16" t="s">
        <v>22275</v>
      </c>
      <c r="F3563" s="16" t="s">
        <v>1023</v>
      </c>
      <c r="G3563" s="23" t="s">
        <v>43</v>
      </c>
      <c r="H3563" s="18" t="n">
        <v>3</v>
      </c>
      <c r="I3563" s="20" t="n">
        <v>37.75</v>
      </c>
      <c r="J3563" s="20" t="n">
        <v>131.86</v>
      </c>
      <c r="K3563" s="18" t="n">
        <v>15</v>
      </c>
      <c r="L3563" s="18" t="n">
        <v>8</v>
      </c>
      <c r="M3563" s="18" t="n">
        <v>195</v>
      </c>
      <c r="N3563" s="18" t="n">
        <v>39</v>
      </c>
      <c r="O3563" s="14" t="s">
        <v>3724</v>
      </c>
      <c r="P3563" s="14" t="s">
        <v>118</v>
      </c>
      <c r="Q3563" s="15" t="s">
        <v>1089</v>
      </c>
      <c r="R3563" s="16" t="s">
        <v>22276</v>
      </c>
      <c r="S3563" s="15" t="s">
        <v>22277</v>
      </c>
      <c r="T3563" s="15" t="s">
        <v>22278</v>
      </c>
      <c r="U3563" s="21" t="s">
        <v>72</v>
      </c>
    </row>
    <row r="3564" customFormat="false" ht="26.85" hidden="false" customHeight="false" outlineLevel="0" collapsed="false">
      <c r="A3564" s="15" t="s">
        <v>21337</v>
      </c>
      <c r="B3564" s="15" t="s">
        <v>21653</v>
      </c>
      <c r="C3564" s="14" t="s">
        <v>22279</v>
      </c>
      <c r="D3564" s="14" t="s">
        <v>22280</v>
      </c>
      <c r="E3564" s="16" t="s">
        <v>22281</v>
      </c>
      <c r="F3564" s="16" t="s">
        <v>1023</v>
      </c>
      <c r="G3564" s="19" t="s">
        <v>41</v>
      </c>
      <c r="H3564" s="18" t="n">
        <v>4</v>
      </c>
      <c r="I3564" s="20" t="n">
        <v>169.78</v>
      </c>
      <c r="J3564" s="20" t="n">
        <v>353.62</v>
      </c>
      <c r="K3564" s="18" t="n">
        <v>8</v>
      </c>
      <c r="L3564" s="18" t="n">
        <v>8</v>
      </c>
      <c r="M3564" s="18" t="n">
        <v>280</v>
      </c>
      <c r="N3564" s="18" t="n">
        <v>105</v>
      </c>
      <c r="O3564" s="14" t="s">
        <v>1097</v>
      </c>
      <c r="P3564" s="14" t="s">
        <v>118</v>
      </c>
      <c r="Q3564" s="15" t="s">
        <v>1089</v>
      </c>
      <c r="R3564" s="16" t="s">
        <v>22282</v>
      </c>
      <c r="S3564" s="15" t="s">
        <v>22277</v>
      </c>
      <c r="T3564" s="15" t="s">
        <v>22283</v>
      </c>
      <c r="U3564" s="21" t="s">
        <v>72</v>
      </c>
    </row>
    <row r="3565" customFormat="false" ht="15" hidden="false" customHeight="false" outlineLevel="0" collapsed="false">
      <c r="A3565" s="15" t="s">
        <v>21337</v>
      </c>
      <c r="B3565" s="15" t="s">
        <v>21653</v>
      </c>
      <c r="C3565" s="14" t="s">
        <v>22284</v>
      </c>
      <c r="D3565" s="14" t="s">
        <v>22285</v>
      </c>
      <c r="E3565" s="16" t="s">
        <v>22286</v>
      </c>
      <c r="F3565" s="16" t="s">
        <v>22287</v>
      </c>
      <c r="G3565" s="19" t="s">
        <v>41</v>
      </c>
      <c r="H3565" s="18" t="n">
        <v>5</v>
      </c>
      <c r="I3565" s="20" t="n">
        <v>87.98</v>
      </c>
      <c r="J3565" s="20" t="n">
        <v>140.93</v>
      </c>
      <c r="K3565" s="18" t="n">
        <v>9</v>
      </c>
      <c r="L3565" s="18" t="n">
        <v>8</v>
      </c>
      <c r="M3565" s="18" t="n">
        <v>126</v>
      </c>
      <c r="N3565" s="18" t="n">
        <v>56</v>
      </c>
      <c r="O3565" s="14" t="s">
        <v>1126</v>
      </c>
      <c r="P3565" s="14" t="s">
        <v>118</v>
      </c>
      <c r="Q3565" s="15" t="s">
        <v>1089</v>
      </c>
      <c r="R3565" s="16" t="s">
        <v>10246</v>
      </c>
      <c r="S3565" s="15" t="s">
        <v>22288</v>
      </c>
      <c r="T3565" s="15" t="s">
        <v>22289</v>
      </c>
      <c r="U3565" s="21" t="s">
        <v>72</v>
      </c>
    </row>
    <row r="3566" customFormat="false" ht="15" hidden="false" customHeight="false" outlineLevel="0" collapsed="false">
      <c r="A3566" s="15" t="s">
        <v>21337</v>
      </c>
      <c r="B3566" s="15" t="s">
        <v>21653</v>
      </c>
      <c r="C3566" s="14" t="s">
        <v>22290</v>
      </c>
      <c r="D3566" s="14" t="s">
        <v>22291</v>
      </c>
      <c r="E3566" s="16" t="s">
        <v>22292</v>
      </c>
      <c r="F3566" s="16" t="s">
        <v>22287</v>
      </c>
      <c r="G3566" s="19" t="s">
        <v>41</v>
      </c>
      <c r="H3566" s="18" t="n">
        <v>7</v>
      </c>
      <c r="I3566" s="20" t="n">
        <v>142.15</v>
      </c>
      <c r="J3566" s="20" t="n">
        <v>211.37</v>
      </c>
      <c r="K3566" s="18" t="n">
        <v>9</v>
      </c>
      <c r="L3566" s="18" t="n">
        <v>4</v>
      </c>
      <c r="M3566" s="18" t="n">
        <v>144</v>
      </c>
      <c r="N3566" s="18" t="n">
        <v>80</v>
      </c>
      <c r="O3566" s="14" t="s">
        <v>1126</v>
      </c>
      <c r="P3566" s="14" t="s">
        <v>118</v>
      </c>
      <c r="Q3566" s="15" t="s">
        <v>1089</v>
      </c>
      <c r="R3566" s="16" t="s">
        <v>22293</v>
      </c>
      <c r="S3566" s="15" t="s">
        <v>4565</v>
      </c>
      <c r="T3566" s="15" t="s">
        <v>22294</v>
      </c>
      <c r="U3566" s="21" t="s">
        <v>72</v>
      </c>
    </row>
    <row r="3567" customFormat="false" ht="26.85" hidden="false" customHeight="false" outlineLevel="0" collapsed="false">
      <c r="A3567" s="15" t="s">
        <v>21337</v>
      </c>
      <c r="B3567" s="15" t="s">
        <v>21653</v>
      </c>
      <c r="C3567" s="14" t="s">
        <v>22295</v>
      </c>
      <c r="D3567" s="14" t="s">
        <v>22296</v>
      </c>
      <c r="E3567" s="16" t="s">
        <v>22297</v>
      </c>
      <c r="F3567" s="16" t="s">
        <v>22298</v>
      </c>
      <c r="G3567" s="23" t="s">
        <v>43</v>
      </c>
      <c r="H3567" s="18" t="n">
        <v>2</v>
      </c>
      <c r="I3567" s="20" t="n">
        <v>58.17</v>
      </c>
      <c r="J3567" s="20" t="n">
        <v>160.32</v>
      </c>
      <c r="K3567" s="18" t="n">
        <v>20</v>
      </c>
      <c r="L3567" s="18" t="n">
        <v>14</v>
      </c>
      <c r="M3567" s="18" t="n">
        <v>300</v>
      </c>
      <c r="N3567" s="18" t="n">
        <v>90</v>
      </c>
      <c r="O3567" s="14" t="s">
        <v>9118</v>
      </c>
      <c r="P3567" s="14" t="s">
        <v>118</v>
      </c>
      <c r="Q3567" s="15" t="s">
        <v>1089</v>
      </c>
      <c r="R3567" s="16" t="s">
        <v>22299</v>
      </c>
      <c r="S3567" s="15" t="s">
        <v>22300</v>
      </c>
      <c r="T3567" s="15" t="s">
        <v>22301</v>
      </c>
      <c r="U3567" s="21" t="s">
        <v>72</v>
      </c>
    </row>
    <row r="3568" customFormat="false" ht="26.85" hidden="false" customHeight="false" outlineLevel="0" collapsed="false">
      <c r="A3568" s="15" t="s">
        <v>21337</v>
      </c>
      <c r="B3568" s="15" t="s">
        <v>21653</v>
      </c>
      <c r="C3568" s="14" t="s">
        <v>22302</v>
      </c>
      <c r="D3568" s="14" t="s">
        <v>22303</v>
      </c>
      <c r="E3568" s="16" t="s">
        <v>22304</v>
      </c>
      <c r="F3568" s="16" t="s">
        <v>22298</v>
      </c>
      <c r="G3568" s="23" t="s">
        <v>43</v>
      </c>
      <c r="H3568" s="18" t="n">
        <v>2</v>
      </c>
      <c r="I3568" s="20" t="n">
        <v>74.93</v>
      </c>
      <c r="J3568" s="20" t="n">
        <v>117.92</v>
      </c>
      <c r="K3568" s="18" t="n">
        <v>4</v>
      </c>
      <c r="L3568" s="18" t="n">
        <v>15</v>
      </c>
      <c r="M3568" s="18" t="n">
        <v>120</v>
      </c>
      <c r="N3568" s="18" t="n">
        <v>30</v>
      </c>
      <c r="O3568" s="14" t="s">
        <v>1097</v>
      </c>
      <c r="P3568" s="14" t="s">
        <v>118</v>
      </c>
      <c r="Q3568" s="15" t="s">
        <v>1089</v>
      </c>
      <c r="R3568" s="16" t="s">
        <v>22305</v>
      </c>
      <c r="S3568" s="15" t="s">
        <v>22306</v>
      </c>
      <c r="T3568" s="15" t="s">
        <v>22307</v>
      </c>
      <c r="U3568" s="21" t="s">
        <v>72</v>
      </c>
    </row>
    <row r="3569" customFormat="false" ht="26.85" hidden="false" customHeight="false" outlineLevel="0" collapsed="false">
      <c r="A3569" s="15" t="s">
        <v>21337</v>
      </c>
      <c r="B3569" s="15" t="s">
        <v>21653</v>
      </c>
      <c r="C3569" s="14" t="s">
        <v>22308</v>
      </c>
      <c r="D3569" s="14" t="s">
        <v>22309</v>
      </c>
      <c r="E3569" s="16" t="s">
        <v>22310</v>
      </c>
      <c r="F3569" s="16" t="s">
        <v>3599</v>
      </c>
      <c r="G3569" s="25" t="s">
        <v>39</v>
      </c>
      <c r="H3569" s="18" t="n">
        <v>9</v>
      </c>
      <c r="I3569" s="20" t="n">
        <v>265.6</v>
      </c>
      <c r="J3569" s="20" t="n">
        <v>544.44</v>
      </c>
      <c r="K3569" s="18" t="n">
        <v>30</v>
      </c>
      <c r="L3569" s="18" t="n">
        <v>44</v>
      </c>
      <c r="M3569" s="18" t="n">
        <v>750</v>
      </c>
      <c r="N3569" s="18" t="n">
        <v>600</v>
      </c>
      <c r="O3569" s="14" t="s">
        <v>1097</v>
      </c>
      <c r="P3569" s="14" t="s">
        <v>84</v>
      </c>
      <c r="Q3569" s="15" t="s">
        <v>1089</v>
      </c>
      <c r="R3569" s="16" t="s">
        <v>22311</v>
      </c>
      <c r="S3569" s="15" t="s">
        <v>7692</v>
      </c>
      <c r="T3569" s="15" t="s">
        <v>22312</v>
      </c>
      <c r="U3569" s="21" t="s">
        <v>72</v>
      </c>
    </row>
    <row r="3570" customFormat="false" ht="26.85" hidden="false" customHeight="false" outlineLevel="0" collapsed="false">
      <c r="A3570" s="15" t="s">
        <v>21337</v>
      </c>
      <c r="B3570" s="15" t="s">
        <v>21653</v>
      </c>
      <c r="C3570" s="14" t="s">
        <v>22313</v>
      </c>
      <c r="D3570" s="14" t="s">
        <v>22314</v>
      </c>
      <c r="E3570" s="16" t="s">
        <v>22315</v>
      </c>
      <c r="F3570" s="16" t="s">
        <v>22083</v>
      </c>
      <c r="G3570" s="25" t="s">
        <v>39</v>
      </c>
      <c r="H3570" s="18" t="n">
        <v>13</v>
      </c>
      <c r="I3570" s="20" t="n">
        <v>341.93</v>
      </c>
      <c r="J3570" s="20" t="n">
        <v>586.84</v>
      </c>
      <c r="K3570" s="18" t="n">
        <v>10</v>
      </c>
      <c r="L3570" s="18" t="n">
        <v>4</v>
      </c>
      <c r="M3570" s="18" t="n">
        <v>200</v>
      </c>
      <c r="N3570" s="18" t="n">
        <v>80</v>
      </c>
      <c r="O3570" s="14" t="s">
        <v>9118</v>
      </c>
      <c r="P3570" s="14" t="s">
        <v>118</v>
      </c>
      <c r="Q3570" s="15" t="s">
        <v>1089</v>
      </c>
      <c r="R3570" s="16" t="s">
        <v>22316</v>
      </c>
      <c r="S3570" s="15" t="s">
        <v>22090</v>
      </c>
      <c r="T3570" s="15" t="s">
        <v>22090</v>
      </c>
      <c r="U3570" s="21" t="s">
        <v>72</v>
      </c>
    </row>
    <row r="3571" customFormat="false" ht="26.85" hidden="false" customHeight="false" outlineLevel="0" collapsed="false">
      <c r="A3571" s="15" t="s">
        <v>21337</v>
      </c>
      <c r="B3571" s="15" t="s">
        <v>21653</v>
      </c>
      <c r="C3571" s="14" t="s">
        <v>22317</v>
      </c>
      <c r="D3571" s="14" t="s">
        <v>22318</v>
      </c>
      <c r="E3571" s="16" t="s">
        <v>22319</v>
      </c>
      <c r="F3571" s="16" t="s">
        <v>22320</v>
      </c>
      <c r="G3571" s="25" t="s">
        <v>39</v>
      </c>
      <c r="H3571" s="18" t="n">
        <v>4</v>
      </c>
      <c r="I3571" s="20" t="n">
        <v>183.7</v>
      </c>
      <c r="J3571" s="20" t="n">
        <v>585.31</v>
      </c>
      <c r="K3571" s="18" t="n">
        <v>8</v>
      </c>
      <c r="L3571" s="18" t="n">
        <v>1</v>
      </c>
      <c r="M3571" s="18" t="n">
        <v>240</v>
      </c>
      <c r="N3571" s="18" t="n">
        <v>60</v>
      </c>
      <c r="O3571" s="14" t="s">
        <v>11380</v>
      </c>
      <c r="P3571" s="14" t="s">
        <v>12949</v>
      </c>
      <c r="Q3571" s="15" t="s">
        <v>1089</v>
      </c>
      <c r="R3571" s="16" t="s">
        <v>22321</v>
      </c>
      <c r="S3571" s="15" t="s">
        <v>22322</v>
      </c>
      <c r="T3571" s="15" t="s">
        <v>22323</v>
      </c>
      <c r="U3571" s="21" t="s">
        <v>72</v>
      </c>
    </row>
    <row r="3572" customFormat="false" ht="15" hidden="false" customHeight="false" outlineLevel="0" collapsed="false">
      <c r="A3572" s="15" t="s">
        <v>21337</v>
      </c>
      <c r="B3572" s="15" t="s">
        <v>21653</v>
      </c>
      <c r="C3572" s="14" t="s">
        <v>22324</v>
      </c>
      <c r="D3572" s="14" t="s">
        <v>22325</v>
      </c>
      <c r="E3572" s="16" t="s">
        <v>22326</v>
      </c>
      <c r="F3572" s="16" t="s">
        <v>22327</v>
      </c>
      <c r="G3572" s="19" t="s">
        <v>41</v>
      </c>
      <c r="H3572" s="18" t="n">
        <v>6</v>
      </c>
      <c r="I3572" s="20" t="n">
        <v>196.18</v>
      </c>
      <c r="J3572" s="20" t="n">
        <v>341.49</v>
      </c>
      <c r="K3572" s="18" t="n">
        <v>4</v>
      </c>
      <c r="L3572" s="18" t="n">
        <v>5</v>
      </c>
      <c r="M3572" s="18" t="n">
        <v>192</v>
      </c>
      <c r="N3572" s="18" t="n">
        <v>48</v>
      </c>
      <c r="O3572" s="14" t="s">
        <v>1097</v>
      </c>
      <c r="P3572" s="14" t="s">
        <v>84</v>
      </c>
      <c r="Q3572" s="15" t="s">
        <v>1089</v>
      </c>
      <c r="R3572" s="16" t="s">
        <v>21120</v>
      </c>
      <c r="S3572" s="15" t="s">
        <v>22328</v>
      </c>
      <c r="T3572" s="15" t="s">
        <v>22329</v>
      </c>
      <c r="U3572" s="21" t="s">
        <v>72</v>
      </c>
    </row>
    <row r="3573" customFormat="false" ht="26.85" hidden="false" customHeight="false" outlineLevel="0" collapsed="false">
      <c r="A3573" s="15" t="s">
        <v>686</v>
      </c>
      <c r="B3573" s="16"/>
      <c r="C3573" s="14" t="s">
        <v>22330</v>
      </c>
      <c r="D3573" s="14" t="s">
        <v>22331</v>
      </c>
      <c r="E3573" s="16" t="s">
        <v>22332</v>
      </c>
      <c r="F3573" s="16" t="s">
        <v>22298</v>
      </c>
      <c r="G3573" s="25" t="s">
        <v>39</v>
      </c>
      <c r="H3573" s="18" t="n">
        <v>6</v>
      </c>
      <c r="I3573" s="20" t="n">
        <v>289.34</v>
      </c>
      <c r="J3573" s="20" t="n">
        <v>405.92</v>
      </c>
      <c r="K3573" s="18" t="n">
        <v>33</v>
      </c>
      <c r="L3573" s="18" t="n">
        <v>20</v>
      </c>
      <c r="M3573" s="18" t="n">
        <v>1338</v>
      </c>
      <c r="N3573" s="18" t="n">
        <v>279</v>
      </c>
      <c r="O3573" s="14" t="s">
        <v>1097</v>
      </c>
      <c r="P3573" s="14" t="s">
        <v>118</v>
      </c>
      <c r="Q3573" s="15" t="s">
        <v>1089</v>
      </c>
      <c r="R3573" s="16" t="s">
        <v>22333</v>
      </c>
      <c r="S3573" s="15" t="s">
        <v>22334</v>
      </c>
      <c r="T3573" s="15" t="s">
        <v>22335</v>
      </c>
      <c r="U3573" s="21" t="s">
        <v>72</v>
      </c>
    </row>
    <row r="3574" customFormat="false" ht="15" hidden="false" customHeight="false" outlineLevel="0" collapsed="false">
      <c r="A3574" s="15" t="s">
        <v>686</v>
      </c>
      <c r="B3574" s="16"/>
      <c r="C3574" s="14" t="s">
        <v>22336</v>
      </c>
      <c r="D3574" s="14" t="s">
        <v>22337</v>
      </c>
      <c r="E3574" s="16" t="s">
        <v>22338</v>
      </c>
      <c r="F3574" s="16" t="s">
        <v>22339</v>
      </c>
      <c r="G3574" s="23" t="s">
        <v>43</v>
      </c>
      <c r="H3574" s="18" t="n">
        <v>2</v>
      </c>
      <c r="I3574" s="20" t="n">
        <v>70.21</v>
      </c>
      <c r="J3574" s="20" t="n">
        <v>130.04</v>
      </c>
      <c r="K3574" s="18" t="n">
        <v>4</v>
      </c>
      <c r="L3574" s="18" t="n">
        <v>7</v>
      </c>
      <c r="M3574" s="18" t="n">
        <v>90</v>
      </c>
      <c r="N3574" s="18" t="n">
        <v>90</v>
      </c>
      <c r="O3574" s="14" t="s">
        <v>1126</v>
      </c>
      <c r="P3574" s="14" t="s">
        <v>84</v>
      </c>
      <c r="Q3574" s="15" t="s">
        <v>1089</v>
      </c>
      <c r="R3574" s="16" t="s">
        <v>19857</v>
      </c>
      <c r="S3574" s="15" t="s">
        <v>22340</v>
      </c>
      <c r="T3574" s="15" t="s">
        <v>22341</v>
      </c>
      <c r="U3574" s="21" t="s">
        <v>72</v>
      </c>
    </row>
    <row r="3575" customFormat="false" ht="26.85" hidden="false" customHeight="false" outlineLevel="0" collapsed="false">
      <c r="A3575" s="15" t="s">
        <v>686</v>
      </c>
      <c r="B3575" s="16"/>
      <c r="C3575" s="14" t="s">
        <v>22342</v>
      </c>
      <c r="D3575" s="14" t="s">
        <v>22343</v>
      </c>
      <c r="E3575" s="16" t="s">
        <v>22344</v>
      </c>
      <c r="F3575" s="16" t="s">
        <v>22345</v>
      </c>
      <c r="G3575" s="23" t="s">
        <v>43</v>
      </c>
      <c r="H3575" s="18" t="n">
        <v>2</v>
      </c>
      <c r="I3575" s="20" t="n">
        <v>75.7</v>
      </c>
      <c r="J3575" s="20" t="n">
        <v>94.44</v>
      </c>
      <c r="K3575" s="18" t="n">
        <v>6</v>
      </c>
      <c r="L3575" s="18" t="n">
        <v>6</v>
      </c>
      <c r="M3575" s="18" t="n">
        <v>294</v>
      </c>
      <c r="N3575" s="18" t="n">
        <v>98</v>
      </c>
      <c r="O3575" s="14" t="s">
        <v>1088</v>
      </c>
      <c r="P3575" s="14" t="s">
        <v>22346</v>
      </c>
      <c r="Q3575" s="15" t="s">
        <v>1089</v>
      </c>
      <c r="R3575" s="16" t="s">
        <v>22347</v>
      </c>
      <c r="S3575" s="15" t="s">
        <v>21793</v>
      </c>
      <c r="T3575" s="15" t="s">
        <v>21793</v>
      </c>
      <c r="U3575" s="21" t="s">
        <v>72</v>
      </c>
    </row>
    <row r="3576" customFormat="false" ht="15" hidden="false" customHeight="false" outlineLevel="0" collapsed="false">
      <c r="A3576" s="15" t="s">
        <v>686</v>
      </c>
      <c r="B3576" s="16"/>
      <c r="C3576" s="14" t="s">
        <v>22348</v>
      </c>
      <c r="D3576" s="14" t="s">
        <v>22349</v>
      </c>
      <c r="E3576" s="16" t="s">
        <v>22350</v>
      </c>
      <c r="F3576" s="16" t="s">
        <v>22351</v>
      </c>
      <c r="G3576" s="23" t="s">
        <v>43</v>
      </c>
      <c r="H3576" s="18" t="n">
        <v>3</v>
      </c>
      <c r="I3576" s="20" t="n">
        <v>75.46</v>
      </c>
      <c r="J3576" s="20" t="n">
        <v>173.39</v>
      </c>
      <c r="K3576" s="18" t="n">
        <v>10</v>
      </c>
      <c r="L3576" s="18" t="n">
        <v>6</v>
      </c>
      <c r="M3576" s="18" t="n">
        <v>216</v>
      </c>
      <c r="N3576" s="18" t="n">
        <v>40</v>
      </c>
      <c r="O3576" s="14" t="s">
        <v>1088</v>
      </c>
      <c r="P3576" s="14" t="s">
        <v>84</v>
      </c>
      <c r="Q3576" s="15" t="s">
        <v>1089</v>
      </c>
      <c r="R3576" s="16" t="s">
        <v>15673</v>
      </c>
      <c r="S3576" s="15" t="s">
        <v>22352</v>
      </c>
      <c r="T3576" s="15" t="s">
        <v>22353</v>
      </c>
      <c r="U3576" s="21" t="s">
        <v>72</v>
      </c>
    </row>
    <row r="3577" customFormat="false" ht="15" hidden="false" customHeight="false" outlineLevel="0" collapsed="false">
      <c r="A3577" s="15" t="s">
        <v>686</v>
      </c>
      <c r="B3577" s="16"/>
      <c r="C3577" s="14" t="s">
        <v>22354</v>
      </c>
      <c r="D3577" s="14" t="s">
        <v>22355</v>
      </c>
      <c r="E3577" s="16" t="s">
        <v>22356</v>
      </c>
      <c r="F3577" s="16" t="s">
        <v>22357</v>
      </c>
      <c r="G3577" s="23" t="s">
        <v>43</v>
      </c>
      <c r="H3577" s="18" t="n">
        <v>1</v>
      </c>
      <c r="I3577" s="20" t="n">
        <v>37.81</v>
      </c>
      <c r="J3577" s="20" t="n">
        <v>96.71</v>
      </c>
      <c r="K3577" s="18" t="n">
        <v>3</v>
      </c>
      <c r="L3577" s="18" t="n">
        <v>4</v>
      </c>
      <c r="M3577" s="18" t="n">
        <v>93</v>
      </c>
      <c r="N3577" s="18" t="n">
        <v>93</v>
      </c>
      <c r="O3577" s="14" t="s">
        <v>1126</v>
      </c>
      <c r="P3577" s="14" t="s">
        <v>84</v>
      </c>
      <c r="Q3577" s="15" t="s">
        <v>1089</v>
      </c>
      <c r="R3577" s="16" t="s">
        <v>22358</v>
      </c>
      <c r="S3577" s="15" t="s">
        <v>22359</v>
      </c>
      <c r="T3577" s="15" t="s">
        <v>22359</v>
      </c>
      <c r="U3577" s="21" t="s">
        <v>72</v>
      </c>
    </row>
    <row r="3578" customFormat="false" ht="39.55" hidden="false" customHeight="false" outlineLevel="0" collapsed="false">
      <c r="A3578" s="15" t="s">
        <v>686</v>
      </c>
      <c r="B3578" s="16"/>
      <c r="C3578" s="14" t="s">
        <v>22360</v>
      </c>
      <c r="D3578" s="14" t="s">
        <v>22361</v>
      </c>
      <c r="E3578" s="16" t="s">
        <v>22362</v>
      </c>
      <c r="F3578" s="16" t="s">
        <v>22363</v>
      </c>
      <c r="G3578" s="23" t="s">
        <v>43</v>
      </c>
      <c r="H3578" s="18" t="n">
        <v>4</v>
      </c>
      <c r="I3578" s="20" t="n">
        <v>101.44</v>
      </c>
      <c r="J3578" s="20" t="n">
        <v>142.17</v>
      </c>
      <c r="K3578" s="18" t="n">
        <v>37</v>
      </c>
      <c r="L3578" s="18" t="n">
        <v>9</v>
      </c>
      <c r="M3578" s="18" t="n">
        <v>787</v>
      </c>
      <c r="N3578" s="18" t="n">
        <v>727</v>
      </c>
      <c r="O3578" s="14" t="s">
        <v>22364</v>
      </c>
      <c r="P3578" s="14" t="s">
        <v>84</v>
      </c>
      <c r="Q3578" s="15" t="s">
        <v>1089</v>
      </c>
      <c r="R3578" s="16" t="s">
        <v>9978</v>
      </c>
      <c r="S3578" s="15" t="s">
        <v>21443</v>
      </c>
      <c r="T3578" s="15" t="s">
        <v>22365</v>
      </c>
      <c r="U3578" s="21" t="s">
        <v>72</v>
      </c>
    </row>
    <row r="3579" customFormat="false" ht="15" hidden="false" customHeight="false" outlineLevel="0" collapsed="false">
      <c r="A3579" s="15" t="s">
        <v>686</v>
      </c>
      <c r="B3579" s="16"/>
      <c r="C3579" s="14" t="s">
        <v>22366</v>
      </c>
      <c r="D3579" s="14" t="s">
        <v>22367</v>
      </c>
      <c r="E3579" s="16" t="s">
        <v>22368</v>
      </c>
      <c r="F3579" s="16" t="s">
        <v>22369</v>
      </c>
      <c r="G3579" s="25" t="s">
        <v>39</v>
      </c>
      <c r="H3579" s="18" t="n">
        <v>7</v>
      </c>
      <c r="I3579" s="20" t="n">
        <v>219.29</v>
      </c>
      <c r="J3579" s="20" t="n">
        <v>436.13</v>
      </c>
      <c r="K3579" s="18" t="n">
        <v>39</v>
      </c>
      <c r="L3579" s="18" t="n">
        <v>8</v>
      </c>
      <c r="M3579" s="18" t="n">
        <v>780</v>
      </c>
      <c r="N3579" s="18" t="n">
        <v>320</v>
      </c>
      <c r="O3579" s="14" t="s">
        <v>1097</v>
      </c>
      <c r="P3579" s="14" t="s">
        <v>118</v>
      </c>
      <c r="Q3579" s="15" t="s">
        <v>1089</v>
      </c>
      <c r="R3579" s="16" t="s">
        <v>5341</v>
      </c>
      <c r="S3579" s="15" t="s">
        <v>22370</v>
      </c>
      <c r="T3579" s="15" t="s">
        <v>22370</v>
      </c>
      <c r="U3579" s="21" t="s">
        <v>72</v>
      </c>
    </row>
    <row r="3580" customFormat="false" ht="15" hidden="false" customHeight="false" outlineLevel="0" collapsed="false">
      <c r="A3580" s="15" t="s">
        <v>686</v>
      </c>
      <c r="B3580" s="16"/>
      <c r="C3580" s="14" t="s">
        <v>22371</v>
      </c>
      <c r="D3580" s="14" t="s">
        <v>22372</v>
      </c>
      <c r="E3580" s="16" t="s">
        <v>22373</v>
      </c>
      <c r="F3580" s="16" t="s">
        <v>22374</v>
      </c>
      <c r="G3580" s="23" t="s">
        <v>43</v>
      </c>
      <c r="H3580" s="18" t="n">
        <v>2</v>
      </c>
      <c r="I3580" s="20" t="n">
        <v>44.49</v>
      </c>
      <c r="J3580" s="20" t="n">
        <v>171.79</v>
      </c>
      <c r="K3580" s="18" t="n">
        <v>2</v>
      </c>
      <c r="L3580" s="18" t="n">
        <v>1</v>
      </c>
      <c r="M3580" s="18" t="n">
        <v>36</v>
      </c>
      <c r="N3580" s="18" t="n">
        <v>36</v>
      </c>
      <c r="O3580" s="14" t="s">
        <v>1088</v>
      </c>
      <c r="P3580" s="14" t="s">
        <v>84</v>
      </c>
      <c r="Q3580" s="15" t="s">
        <v>1089</v>
      </c>
      <c r="R3580" s="16" t="s">
        <v>22375</v>
      </c>
      <c r="S3580" s="15" t="s">
        <v>22376</v>
      </c>
      <c r="T3580" s="15" t="s">
        <v>22377</v>
      </c>
      <c r="U3580" s="21" t="s">
        <v>72</v>
      </c>
    </row>
    <row r="3581" customFormat="false" ht="26.85" hidden="false" customHeight="false" outlineLevel="0" collapsed="false">
      <c r="A3581" s="15" t="s">
        <v>686</v>
      </c>
      <c r="B3581" s="16"/>
      <c r="C3581" s="14" t="s">
        <v>22378</v>
      </c>
      <c r="D3581" s="14" t="s">
        <v>22379</v>
      </c>
      <c r="E3581" s="16" t="s">
        <v>22380</v>
      </c>
      <c r="F3581" s="16" t="s">
        <v>22381</v>
      </c>
      <c r="G3581" s="23" t="s">
        <v>43</v>
      </c>
      <c r="H3581" s="18" t="n">
        <v>1</v>
      </c>
      <c r="I3581" s="20" t="n">
        <v>47.31</v>
      </c>
      <c r="J3581" s="20" t="n">
        <v>94.17</v>
      </c>
      <c r="K3581" s="18" t="n">
        <v>10</v>
      </c>
      <c r="L3581" s="18" t="n">
        <v>10</v>
      </c>
      <c r="M3581" s="18" t="n">
        <v>390</v>
      </c>
      <c r="N3581" s="18" t="n">
        <v>156</v>
      </c>
      <c r="O3581" s="14" t="s">
        <v>1097</v>
      </c>
      <c r="P3581" s="14" t="s">
        <v>84</v>
      </c>
      <c r="Q3581" s="15" t="s">
        <v>1089</v>
      </c>
      <c r="R3581" s="16" t="s">
        <v>22382</v>
      </c>
      <c r="S3581" s="15" t="s">
        <v>22383</v>
      </c>
      <c r="T3581" s="15" t="s">
        <v>22383</v>
      </c>
      <c r="U3581" s="21" t="s">
        <v>72</v>
      </c>
    </row>
    <row r="3582" customFormat="false" ht="15" hidden="false" customHeight="false" outlineLevel="0" collapsed="false">
      <c r="A3582" s="15" t="s">
        <v>686</v>
      </c>
      <c r="B3582" s="16"/>
      <c r="C3582" s="14" t="s">
        <v>22384</v>
      </c>
      <c r="D3582" s="14" t="s">
        <v>22385</v>
      </c>
      <c r="E3582" s="16" t="s">
        <v>22386</v>
      </c>
      <c r="F3582" s="16" t="s">
        <v>22387</v>
      </c>
      <c r="G3582" s="23" t="s">
        <v>43</v>
      </c>
      <c r="H3582" s="18" t="n">
        <v>3</v>
      </c>
      <c r="I3582" s="20" t="n">
        <v>55.93</v>
      </c>
      <c r="J3582" s="20" t="n">
        <v>101.69</v>
      </c>
      <c r="K3582" s="18" t="n">
        <v>6</v>
      </c>
      <c r="L3582" s="18" t="n">
        <v>2</v>
      </c>
      <c r="M3582" s="18" t="n">
        <v>96</v>
      </c>
      <c r="N3582" s="18" t="n">
        <v>32</v>
      </c>
      <c r="O3582" s="14" t="s">
        <v>1097</v>
      </c>
      <c r="P3582" s="14" t="s">
        <v>118</v>
      </c>
      <c r="Q3582" s="15" t="s">
        <v>1089</v>
      </c>
      <c r="R3582" s="16" t="s">
        <v>22388</v>
      </c>
      <c r="S3582" s="15" t="s">
        <v>22389</v>
      </c>
      <c r="T3582" s="15" t="s">
        <v>22389</v>
      </c>
      <c r="U3582" s="21" t="s">
        <v>72</v>
      </c>
    </row>
    <row r="3583" customFormat="false" ht="15" hidden="false" customHeight="false" outlineLevel="0" collapsed="false">
      <c r="A3583" s="15" t="s">
        <v>686</v>
      </c>
      <c r="B3583" s="16"/>
      <c r="C3583" s="14" t="s">
        <v>22390</v>
      </c>
      <c r="D3583" s="14" t="s">
        <v>22391</v>
      </c>
      <c r="E3583" s="16" t="s">
        <v>22392</v>
      </c>
      <c r="F3583" s="16" t="s">
        <v>22393</v>
      </c>
      <c r="G3583" s="19" t="s">
        <v>41</v>
      </c>
      <c r="H3583" s="18" t="n">
        <v>5</v>
      </c>
      <c r="I3583" s="20" t="n">
        <v>134.82</v>
      </c>
      <c r="J3583" s="20" t="n">
        <v>283.41</v>
      </c>
      <c r="K3583" s="18" t="n">
        <v>7</v>
      </c>
      <c r="L3583" s="18" t="n">
        <v>3</v>
      </c>
      <c r="M3583" s="18" t="n">
        <v>140</v>
      </c>
      <c r="N3583" s="18" t="n">
        <v>60</v>
      </c>
      <c r="O3583" s="14" t="s">
        <v>1126</v>
      </c>
      <c r="P3583" s="14" t="s">
        <v>84</v>
      </c>
      <c r="Q3583" s="15" t="s">
        <v>1089</v>
      </c>
      <c r="R3583" s="16" t="s">
        <v>2593</v>
      </c>
      <c r="S3583" s="15" t="s">
        <v>22394</v>
      </c>
      <c r="T3583" s="15" t="s">
        <v>22395</v>
      </c>
      <c r="U3583" s="21" t="s">
        <v>72</v>
      </c>
    </row>
    <row r="3584" customFormat="false" ht="15" hidden="false" customHeight="false" outlineLevel="0" collapsed="false">
      <c r="A3584" s="15" t="s">
        <v>686</v>
      </c>
      <c r="B3584" s="16"/>
      <c r="C3584" s="14" t="s">
        <v>22396</v>
      </c>
      <c r="D3584" s="14" t="s">
        <v>22397</v>
      </c>
      <c r="E3584" s="16" t="s">
        <v>22398</v>
      </c>
      <c r="F3584" s="16" t="s">
        <v>22399</v>
      </c>
      <c r="G3584" s="25" t="s">
        <v>39</v>
      </c>
      <c r="H3584" s="18" t="n">
        <v>7</v>
      </c>
      <c r="I3584" s="20" t="n">
        <v>254.82</v>
      </c>
      <c r="J3584" s="20" t="n">
        <v>447.24</v>
      </c>
      <c r="K3584" s="18" t="n">
        <v>13</v>
      </c>
      <c r="L3584" s="18" t="n">
        <v>7</v>
      </c>
      <c r="M3584" s="18" t="n">
        <v>372</v>
      </c>
      <c r="N3584" s="18" t="n">
        <v>169</v>
      </c>
      <c r="O3584" s="14" t="s">
        <v>1126</v>
      </c>
      <c r="P3584" s="14" t="s">
        <v>118</v>
      </c>
      <c r="Q3584" s="15" t="s">
        <v>1089</v>
      </c>
      <c r="R3584" s="16" t="s">
        <v>12106</v>
      </c>
      <c r="S3584" s="15" t="s">
        <v>22400</v>
      </c>
      <c r="T3584" s="15" t="s">
        <v>22400</v>
      </c>
      <c r="U3584" s="21" t="s">
        <v>72</v>
      </c>
    </row>
    <row r="3585" customFormat="false" ht="15" hidden="false" customHeight="false" outlineLevel="0" collapsed="false">
      <c r="A3585" s="15" t="s">
        <v>686</v>
      </c>
      <c r="B3585" s="16"/>
      <c r="C3585" s="14" t="s">
        <v>22401</v>
      </c>
      <c r="D3585" s="14" t="s">
        <v>22402</v>
      </c>
      <c r="E3585" s="16" t="s">
        <v>22403</v>
      </c>
      <c r="F3585" s="16"/>
      <c r="G3585" s="19" t="s">
        <v>41</v>
      </c>
      <c r="H3585" s="18" t="n">
        <v>2</v>
      </c>
      <c r="I3585" s="20" t="n">
        <v>145.14</v>
      </c>
      <c r="J3585" s="20" t="n">
        <v>217.71</v>
      </c>
      <c r="K3585" s="18" t="n">
        <v>4</v>
      </c>
      <c r="L3585" s="18" t="n">
        <v>1</v>
      </c>
      <c r="M3585" s="18" t="n">
        <v>120</v>
      </c>
      <c r="N3585" s="18" t="n">
        <v>60</v>
      </c>
      <c r="O3585" s="14" t="s">
        <v>3724</v>
      </c>
      <c r="P3585" s="14" t="s">
        <v>84</v>
      </c>
      <c r="Q3585" s="15" t="s">
        <v>1089</v>
      </c>
      <c r="R3585" s="16" t="s">
        <v>1994</v>
      </c>
      <c r="S3585" s="15" t="s">
        <v>22404</v>
      </c>
      <c r="T3585" s="15" t="s">
        <v>22404</v>
      </c>
      <c r="U3585" s="21" t="s">
        <v>72</v>
      </c>
    </row>
    <row r="3586" customFormat="false" ht="26.85" hidden="false" customHeight="false" outlineLevel="0" collapsed="false">
      <c r="A3586" s="15" t="s">
        <v>686</v>
      </c>
      <c r="B3586" s="16"/>
      <c r="C3586" s="14" t="s">
        <v>22405</v>
      </c>
      <c r="D3586" s="14" t="s">
        <v>22406</v>
      </c>
      <c r="E3586" s="16" t="s">
        <v>22407</v>
      </c>
      <c r="F3586" s="16" t="s">
        <v>22408</v>
      </c>
      <c r="G3586" s="25" t="s">
        <v>39</v>
      </c>
      <c r="H3586" s="18" t="n">
        <v>13</v>
      </c>
      <c r="I3586" s="20" t="n">
        <v>234.08</v>
      </c>
      <c r="J3586" s="20" t="n">
        <v>463.48</v>
      </c>
      <c r="K3586" s="18" t="n">
        <v>36</v>
      </c>
      <c r="L3586" s="18" t="n">
        <v>22</v>
      </c>
      <c r="M3586" s="18" t="n">
        <v>514</v>
      </c>
      <c r="N3586" s="18" t="n">
        <v>138</v>
      </c>
      <c r="O3586" s="14" t="s">
        <v>1097</v>
      </c>
      <c r="P3586" s="14" t="s">
        <v>118</v>
      </c>
      <c r="Q3586" s="15" t="s">
        <v>1089</v>
      </c>
      <c r="R3586" s="16" t="s">
        <v>22409</v>
      </c>
      <c r="S3586" s="15" t="s">
        <v>22410</v>
      </c>
      <c r="T3586" s="15" t="s">
        <v>22410</v>
      </c>
      <c r="U3586" s="21" t="s">
        <v>72</v>
      </c>
    </row>
    <row r="3587" customFormat="false" ht="15" hidden="false" customHeight="false" outlineLevel="0" collapsed="false">
      <c r="A3587" s="15" t="s">
        <v>686</v>
      </c>
      <c r="B3587" s="16"/>
      <c r="C3587" s="14" t="s">
        <v>22411</v>
      </c>
      <c r="D3587" s="14" t="s">
        <v>22412</v>
      </c>
      <c r="E3587" s="16" t="s">
        <v>22413</v>
      </c>
      <c r="F3587" s="16" t="s">
        <v>22414</v>
      </c>
      <c r="G3587" s="25" t="s">
        <v>39</v>
      </c>
      <c r="H3587" s="18" t="n">
        <v>11</v>
      </c>
      <c r="I3587" s="20" t="n">
        <v>108.01</v>
      </c>
      <c r="J3587" s="20" t="n">
        <v>201.78</v>
      </c>
      <c r="K3587" s="18" t="n">
        <v>7</v>
      </c>
      <c r="L3587" s="18" t="n">
        <v>13</v>
      </c>
      <c r="M3587" s="18" t="n">
        <v>126</v>
      </c>
      <c r="N3587" s="18" t="n">
        <v>108</v>
      </c>
      <c r="O3587" s="14" t="s">
        <v>1126</v>
      </c>
      <c r="P3587" s="14" t="s">
        <v>84</v>
      </c>
      <c r="Q3587" s="15" t="s">
        <v>1089</v>
      </c>
      <c r="R3587" s="16" t="s">
        <v>15430</v>
      </c>
      <c r="S3587" s="15" t="s">
        <v>22415</v>
      </c>
      <c r="T3587" s="15" t="s">
        <v>22415</v>
      </c>
      <c r="U3587" s="21" t="s">
        <v>72</v>
      </c>
    </row>
    <row r="3588" customFormat="false" ht="15" hidden="false" customHeight="false" outlineLevel="0" collapsed="false">
      <c r="A3588" s="15" t="s">
        <v>686</v>
      </c>
      <c r="B3588" s="16"/>
      <c r="C3588" s="14" t="s">
        <v>22416</v>
      </c>
      <c r="D3588" s="14" t="s">
        <v>22417</v>
      </c>
      <c r="E3588" s="16" t="s">
        <v>22418</v>
      </c>
      <c r="F3588" s="16" t="s">
        <v>21574</v>
      </c>
      <c r="G3588" s="19" t="s">
        <v>41</v>
      </c>
      <c r="H3588" s="18" t="n">
        <v>5</v>
      </c>
      <c r="I3588" s="20" t="n">
        <v>72.48</v>
      </c>
      <c r="J3588" s="20" t="n">
        <v>177.96</v>
      </c>
      <c r="K3588" s="18" t="n">
        <v>4</v>
      </c>
      <c r="L3588" s="18" t="n">
        <v>5</v>
      </c>
      <c r="M3588" s="18" t="n">
        <v>66</v>
      </c>
      <c r="N3588" s="18" t="n">
        <v>40</v>
      </c>
      <c r="O3588" s="14" t="s">
        <v>1126</v>
      </c>
      <c r="P3588" s="14" t="s">
        <v>118</v>
      </c>
      <c r="Q3588" s="15" t="s">
        <v>1089</v>
      </c>
      <c r="R3588" s="16" t="s">
        <v>22419</v>
      </c>
      <c r="S3588" s="15" t="s">
        <v>21575</v>
      </c>
      <c r="T3588" s="15" t="s">
        <v>22420</v>
      </c>
      <c r="U3588" s="21" t="s">
        <v>72</v>
      </c>
    </row>
    <row r="3589" customFormat="false" ht="15" hidden="false" customHeight="false" outlineLevel="0" collapsed="false">
      <c r="A3589" s="15" t="s">
        <v>686</v>
      </c>
      <c r="B3589" s="16"/>
      <c r="C3589" s="14" t="s">
        <v>22421</v>
      </c>
      <c r="D3589" s="14" t="s">
        <v>22422</v>
      </c>
      <c r="E3589" s="16" t="s">
        <v>22423</v>
      </c>
      <c r="F3589" s="16" t="s">
        <v>22424</v>
      </c>
      <c r="G3589" s="19" t="s">
        <v>41</v>
      </c>
      <c r="H3589" s="18" t="n">
        <v>4</v>
      </c>
      <c r="I3589" s="20" t="n">
        <v>247.36</v>
      </c>
      <c r="J3589" s="20" t="n">
        <v>355.52</v>
      </c>
      <c r="K3589" s="18" t="n">
        <v>42</v>
      </c>
      <c r="L3589" s="18" t="n">
        <v>13</v>
      </c>
      <c r="M3589" s="18" t="n">
        <v>2200</v>
      </c>
      <c r="N3589" s="18" t="n">
        <v>568</v>
      </c>
      <c r="O3589" s="14" t="s">
        <v>9118</v>
      </c>
      <c r="P3589" s="14" t="s">
        <v>84</v>
      </c>
      <c r="Q3589" s="15" t="s">
        <v>1089</v>
      </c>
      <c r="R3589" s="16" t="s">
        <v>22425</v>
      </c>
      <c r="S3589" s="15" t="s">
        <v>22426</v>
      </c>
      <c r="T3589" s="15" t="s">
        <v>22426</v>
      </c>
      <c r="U3589" s="21" t="s">
        <v>72</v>
      </c>
    </row>
    <row r="3590" customFormat="false" ht="15" hidden="false" customHeight="false" outlineLevel="0" collapsed="false">
      <c r="A3590" s="15" t="s">
        <v>686</v>
      </c>
      <c r="B3590" s="16"/>
      <c r="C3590" s="14" t="s">
        <v>22427</v>
      </c>
      <c r="D3590" s="14" t="s">
        <v>22428</v>
      </c>
      <c r="E3590" s="16" t="s">
        <v>22429</v>
      </c>
      <c r="F3590" s="16" t="s">
        <v>22430</v>
      </c>
      <c r="G3590" s="25" t="s">
        <v>39</v>
      </c>
      <c r="H3590" s="18" t="n">
        <v>8</v>
      </c>
      <c r="I3590" s="20" t="n">
        <v>203.04</v>
      </c>
      <c r="J3590" s="20" t="n">
        <v>368.03</v>
      </c>
      <c r="K3590" s="18" t="n">
        <v>23</v>
      </c>
      <c r="L3590" s="18" t="n">
        <v>6</v>
      </c>
      <c r="M3590" s="18" t="n">
        <v>483</v>
      </c>
      <c r="N3590" s="18" t="n">
        <v>147</v>
      </c>
      <c r="O3590" s="14" t="s">
        <v>1097</v>
      </c>
      <c r="P3590" s="14" t="s">
        <v>118</v>
      </c>
      <c r="Q3590" s="15" t="s">
        <v>1089</v>
      </c>
      <c r="R3590" s="16" t="s">
        <v>22431</v>
      </c>
      <c r="S3590" s="15" t="s">
        <v>22432</v>
      </c>
      <c r="T3590" s="15" t="s">
        <v>22433</v>
      </c>
      <c r="U3590" s="21" t="s">
        <v>72</v>
      </c>
    </row>
    <row r="3591" customFormat="false" ht="15" hidden="false" customHeight="false" outlineLevel="0" collapsed="false">
      <c r="A3591" s="15" t="s">
        <v>686</v>
      </c>
      <c r="B3591" s="16"/>
      <c r="C3591" s="14" t="s">
        <v>22434</v>
      </c>
      <c r="D3591" s="14" t="s">
        <v>22435</v>
      </c>
      <c r="E3591" s="16" t="s">
        <v>22436</v>
      </c>
      <c r="F3591" s="16" t="s">
        <v>22437</v>
      </c>
      <c r="G3591" s="25" t="s">
        <v>39</v>
      </c>
      <c r="H3591" s="18" t="n">
        <v>6</v>
      </c>
      <c r="I3591" s="20" t="n">
        <v>296.58</v>
      </c>
      <c r="J3591" s="20" t="n">
        <v>719.25</v>
      </c>
      <c r="K3591" s="18" t="n">
        <v>16</v>
      </c>
      <c r="L3591" s="18" t="n">
        <v>40</v>
      </c>
      <c r="M3591" s="18" t="n">
        <v>320</v>
      </c>
      <c r="N3591" s="18" t="n">
        <v>200</v>
      </c>
      <c r="O3591" s="14" t="s">
        <v>1088</v>
      </c>
      <c r="P3591" s="14" t="s">
        <v>84</v>
      </c>
      <c r="Q3591" s="15" t="s">
        <v>1089</v>
      </c>
      <c r="R3591" s="16" t="s">
        <v>15744</v>
      </c>
      <c r="S3591" s="15" t="s">
        <v>22438</v>
      </c>
      <c r="T3591" s="15" t="s">
        <v>22439</v>
      </c>
      <c r="U3591" s="21" t="s">
        <v>72</v>
      </c>
    </row>
    <row r="3592" customFormat="false" ht="26.85" hidden="false" customHeight="false" outlineLevel="0" collapsed="false">
      <c r="A3592" s="15" t="s">
        <v>686</v>
      </c>
      <c r="B3592" s="16"/>
      <c r="C3592" s="14" t="s">
        <v>22440</v>
      </c>
      <c r="D3592" s="14" t="s">
        <v>22441</v>
      </c>
      <c r="E3592" s="16" t="s">
        <v>22442</v>
      </c>
      <c r="F3592" s="16" t="s">
        <v>22443</v>
      </c>
      <c r="G3592" s="23" t="s">
        <v>43</v>
      </c>
      <c r="H3592" s="18" t="n">
        <v>2</v>
      </c>
      <c r="I3592" s="20" t="n">
        <v>40</v>
      </c>
      <c r="J3592" s="20" t="n">
        <v>90.71</v>
      </c>
      <c r="K3592" s="18" t="n">
        <v>4</v>
      </c>
      <c r="L3592" s="18" t="n">
        <v>4</v>
      </c>
      <c r="M3592" s="18" t="n">
        <v>48</v>
      </c>
      <c r="N3592" s="18" t="n">
        <v>12</v>
      </c>
      <c r="O3592" s="14" t="s">
        <v>1126</v>
      </c>
      <c r="P3592" s="14" t="s">
        <v>8253</v>
      </c>
      <c r="Q3592" s="15" t="s">
        <v>1089</v>
      </c>
      <c r="R3592" s="16" t="s">
        <v>22444</v>
      </c>
      <c r="S3592" s="15" t="s">
        <v>22445</v>
      </c>
      <c r="T3592" s="15" t="s">
        <v>22445</v>
      </c>
      <c r="U3592" s="21" t="s">
        <v>72</v>
      </c>
    </row>
    <row r="3593" customFormat="false" ht="15" hidden="false" customHeight="false" outlineLevel="0" collapsed="false">
      <c r="A3593" s="15" t="s">
        <v>686</v>
      </c>
      <c r="B3593" s="16"/>
      <c r="C3593" s="14" t="s">
        <v>22446</v>
      </c>
      <c r="D3593" s="14" t="s">
        <v>22447</v>
      </c>
      <c r="E3593" s="16" t="s">
        <v>22448</v>
      </c>
      <c r="F3593" s="16" t="s">
        <v>22449</v>
      </c>
      <c r="G3593" s="23" t="s">
        <v>43</v>
      </c>
      <c r="H3593" s="18" t="n">
        <v>1</v>
      </c>
      <c r="I3593" s="20" t="n">
        <v>49.93</v>
      </c>
      <c r="J3593" s="20" t="n">
        <v>79.33</v>
      </c>
      <c r="K3593" s="18" t="n">
        <v>2</v>
      </c>
      <c r="L3593" s="18" t="n">
        <v>11</v>
      </c>
      <c r="M3593" s="18" t="n">
        <v>40</v>
      </c>
      <c r="N3593" s="18" t="n">
        <v>40</v>
      </c>
      <c r="O3593" s="14" t="s">
        <v>1126</v>
      </c>
      <c r="P3593" s="14" t="s">
        <v>84</v>
      </c>
      <c r="Q3593" s="15" t="s">
        <v>1089</v>
      </c>
      <c r="R3593" s="16" t="s">
        <v>22450</v>
      </c>
      <c r="S3593" s="15" t="s">
        <v>22451</v>
      </c>
      <c r="T3593" s="15" t="s">
        <v>22451</v>
      </c>
      <c r="U3593" s="21" t="s">
        <v>72</v>
      </c>
    </row>
    <row r="3594" customFormat="false" ht="15" hidden="false" customHeight="false" outlineLevel="0" collapsed="false">
      <c r="A3594" s="15" t="s">
        <v>686</v>
      </c>
      <c r="B3594" s="16"/>
      <c r="C3594" s="14" t="s">
        <v>22452</v>
      </c>
      <c r="D3594" s="14" t="s">
        <v>22453</v>
      </c>
      <c r="E3594" s="16" t="s">
        <v>22454</v>
      </c>
      <c r="F3594" s="16" t="s">
        <v>22455</v>
      </c>
      <c r="G3594" s="19" t="s">
        <v>41</v>
      </c>
      <c r="H3594" s="18" t="n">
        <v>3</v>
      </c>
      <c r="I3594" s="20" t="n">
        <v>99.47</v>
      </c>
      <c r="J3594" s="20" t="n">
        <v>328.08</v>
      </c>
      <c r="K3594" s="18" t="n">
        <v>2</v>
      </c>
      <c r="L3594" s="18" t="n">
        <v>5</v>
      </c>
      <c r="M3594" s="18" t="n">
        <v>52</v>
      </c>
      <c r="N3594" s="18" t="n">
        <v>52</v>
      </c>
      <c r="O3594" s="14" t="s">
        <v>1097</v>
      </c>
      <c r="P3594" s="14" t="s">
        <v>84</v>
      </c>
      <c r="Q3594" s="15" t="s">
        <v>1089</v>
      </c>
      <c r="R3594" s="16" t="s">
        <v>22456</v>
      </c>
      <c r="S3594" s="15" t="s">
        <v>22457</v>
      </c>
      <c r="T3594" s="15" t="s">
        <v>22458</v>
      </c>
      <c r="U3594" s="21" t="s">
        <v>72</v>
      </c>
    </row>
    <row r="3595" customFormat="false" ht="15" hidden="false" customHeight="false" outlineLevel="0" collapsed="false">
      <c r="A3595" s="15" t="s">
        <v>686</v>
      </c>
      <c r="B3595" s="15" t="s">
        <v>723</v>
      </c>
      <c r="C3595" s="14" t="s">
        <v>22459</v>
      </c>
      <c r="D3595" s="14" t="s">
        <v>22460</v>
      </c>
      <c r="E3595" s="16" t="s">
        <v>22461</v>
      </c>
      <c r="F3595" s="16" t="s">
        <v>22462</v>
      </c>
      <c r="G3595" s="23" t="s">
        <v>43</v>
      </c>
      <c r="H3595" s="18" t="n">
        <v>2</v>
      </c>
      <c r="I3595" s="20" t="n">
        <v>50</v>
      </c>
      <c r="J3595" s="20" t="n">
        <v>138.14</v>
      </c>
      <c r="K3595" s="18" t="n">
        <v>3</v>
      </c>
      <c r="L3595" s="18" t="n">
        <v>3</v>
      </c>
      <c r="M3595" s="18" t="n">
        <v>225</v>
      </c>
      <c r="N3595" s="18" t="n">
        <v>225</v>
      </c>
      <c r="O3595" s="14" t="s">
        <v>1126</v>
      </c>
      <c r="P3595" s="14" t="s">
        <v>84</v>
      </c>
      <c r="Q3595" s="15" t="s">
        <v>1089</v>
      </c>
      <c r="R3595" s="16" t="s">
        <v>22463</v>
      </c>
      <c r="S3595" s="15" t="s">
        <v>22464</v>
      </c>
      <c r="T3595" s="15" t="s">
        <v>22465</v>
      </c>
      <c r="U3595" s="21" t="s">
        <v>72</v>
      </c>
    </row>
    <row r="3596" customFormat="false" ht="15" hidden="false" customHeight="false" outlineLevel="0" collapsed="false">
      <c r="A3596" s="15" t="s">
        <v>686</v>
      </c>
      <c r="B3596" s="15" t="s">
        <v>987</v>
      </c>
      <c r="C3596" s="14" t="s">
        <v>22466</v>
      </c>
      <c r="D3596" s="14" t="s">
        <v>22467</v>
      </c>
      <c r="E3596" s="16" t="s">
        <v>22468</v>
      </c>
      <c r="F3596" s="16" t="s">
        <v>22469</v>
      </c>
      <c r="G3596" s="23" t="s">
        <v>43</v>
      </c>
      <c r="H3596" s="18" t="n">
        <v>1</v>
      </c>
      <c r="I3596" s="20" t="n">
        <v>40</v>
      </c>
      <c r="J3596" s="20" t="n">
        <v>116.56</v>
      </c>
      <c r="K3596" s="18" t="n">
        <v>7</v>
      </c>
      <c r="L3596" s="18" t="n">
        <v>9</v>
      </c>
      <c r="M3596" s="18" t="n">
        <v>126</v>
      </c>
      <c r="N3596" s="18" t="n">
        <v>54</v>
      </c>
      <c r="O3596" s="14" t="s">
        <v>1126</v>
      </c>
      <c r="P3596" s="14" t="s">
        <v>84</v>
      </c>
      <c r="Q3596" s="15" t="s">
        <v>1089</v>
      </c>
      <c r="R3596" s="16" t="s">
        <v>20595</v>
      </c>
      <c r="S3596" s="15" t="s">
        <v>22470</v>
      </c>
      <c r="T3596" s="15" t="s">
        <v>22471</v>
      </c>
      <c r="U3596" s="21" t="s">
        <v>72</v>
      </c>
    </row>
    <row r="3597" customFormat="false" ht="15" hidden="false" customHeight="false" outlineLevel="0" collapsed="false">
      <c r="A3597" s="15" t="s">
        <v>686</v>
      </c>
      <c r="B3597" s="15" t="s">
        <v>987</v>
      </c>
      <c r="C3597" s="14" t="s">
        <v>22472</v>
      </c>
      <c r="D3597" s="14" t="s">
        <v>22473</v>
      </c>
      <c r="E3597" s="16" t="s">
        <v>22474</v>
      </c>
      <c r="F3597" s="16" t="s">
        <v>22475</v>
      </c>
      <c r="G3597" s="19" t="s">
        <v>41</v>
      </c>
      <c r="H3597" s="18" t="n">
        <v>5</v>
      </c>
      <c r="I3597" s="20" t="n">
        <v>78.98</v>
      </c>
      <c r="J3597" s="20" t="n">
        <v>152.37</v>
      </c>
      <c r="K3597" s="18" t="n">
        <v>16</v>
      </c>
      <c r="L3597" s="18" t="n">
        <v>12</v>
      </c>
      <c r="M3597" s="18" t="n">
        <v>288</v>
      </c>
      <c r="N3597" s="18" t="n">
        <v>72</v>
      </c>
      <c r="O3597" s="14" t="s">
        <v>3724</v>
      </c>
      <c r="P3597" s="14" t="s">
        <v>118</v>
      </c>
      <c r="Q3597" s="15" t="s">
        <v>1089</v>
      </c>
      <c r="R3597" s="16" t="s">
        <v>8843</v>
      </c>
      <c r="S3597" s="15" t="s">
        <v>22476</v>
      </c>
      <c r="T3597" s="15" t="s">
        <v>22476</v>
      </c>
      <c r="U3597" s="21" t="s">
        <v>72</v>
      </c>
    </row>
    <row r="3598" customFormat="false" ht="15" hidden="false" customHeight="false" outlineLevel="0" collapsed="false">
      <c r="A3598" s="15" t="s">
        <v>686</v>
      </c>
      <c r="B3598" s="15" t="s">
        <v>987</v>
      </c>
      <c r="C3598" s="14" t="s">
        <v>22477</v>
      </c>
      <c r="D3598" s="14" t="s">
        <v>22478</v>
      </c>
      <c r="E3598" s="16" t="s">
        <v>22479</v>
      </c>
      <c r="F3598" s="16" t="s">
        <v>22480</v>
      </c>
      <c r="G3598" s="23" t="s">
        <v>43</v>
      </c>
      <c r="H3598" s="18" t="n">
        <v>2</v>
      </c>
      <c r="I3598" s="20" t="n">
        <v>97.5</v>
      </c>
      <c r="J3598" s="20" t="n">
        <v>182.57</v>
      </c>
      <c r="K3598" s="18" t="n">
        <v>11</v>
      </c>
      <c r="L3598" s="18" t="n">
        <v>14</v>
      </c>
      <c r="M3598" s="18" t="n">
        <v>208</v>
      </c>
      <c r="N3598" s="18" t="n">
        <v>32</v>
      </c>
      <c r="O3598" s="14" t="s">
        <v>1126</v>
      </c>
      <c r="P3598" s="14" t="s">
        <v>84</v>
      </c>
      <c r="Q3598" s="15" t="s">
        <v>1089</v>
      </c>
      <c r="R3598" s="16" t="s">
        <v>19598</v>
      </c>
      <c r="S3598" s="15" t="s">
        <v>22481</v>
      </c>
      <c r="T3598" s="15" t="s">
        <v>22481</v>
      </c>
      <c r="U3598" s="21" t="s">
        <v>72</v>
      </c>
    </row>
    <row r="3599" customFormat="false" ht="15" hidden="false" customHeight="false" outlineLevel="0" collapsed="false">
      <c r="A3599" s="15" t="s">
        <v>686</v>
      </c>
      <c r="B3599" s="15" t="s">
        <v>987</v>
      </c>
      <c r="C3599" s="14" t="s">
        <v>22482</v>
      </c>
      <c r="D3599" s="14" t="s">
        <v>22483</v>
      </c>
      <c r="E3599" s="16" t="s">
        <v>22484</v>
      </c>
      <c r="F3599" s="16" t="s">
        <v>22485</v>
      </c>
      <c r="G3599" s="19" t="s">
        <v>41</v>
      </c>
      <c r="H3599" s="18" t="n">
        <v>3</v>
      </c>
      <c r="I3599" s="20" t="n">
        <v>160.78</v>
      </c>
      <c r="J3599" s="20" t="n">
        <v>258.98</v>
      </c>
      <c r="K3599" s="18" t="n">
        <v>28</v>
      </c>
      <c r="L3599" s="18" t="n">
        <v>35</v>
      </c>
      <c r="M3599" s="18" t="n">
        <v>1280</v>
      </c>
      <c r="N3599" s="18" t="n">
        <v>486</v>
      </c>
      <c r="O3599" s="14" t="s">
        <v>17859</v>
      </c>
      <c r="P3599" s="14" t="s">
        <v>84</v>
      </c>
      <c r="Q3599" s="15" t="s">
        <v>1089</v>
      </c>
      <c r="R3599" s="16" t="s">
        <v>22486</v>
      </c>
      <c r="S3599" s="15" t="s">
        <v>22487</v>
      </c>
      <c r="T3599" s="15" t="s">
        <v>22487</v>
      </c>
      <c r="U3599" s="21" t="s">
        <v>72</v>
      </c>
    </row>
    <row r="3600" customFormat="false" ht="26.85" hidden="false" customHeight="false" outlineLevel="0" collapsed="false">
      <c r="A3600" s="15" t="s">
        <v>686</v>
      </c>
      <c r="B3600" s="15" t="s">
        <v>987</v>
      </c>
      <c r="C3600" s="14" t="s">
        <v>22488</v>
      </c>
      <c r="D3600" s="14" t="s">
        <v>22489</v>
      </c>
      <c r="E3600" s="16" t="s">
        <v>22490</v>
      </c>
      <c r="F3600" s="16" t="s">
        <v>22485</v>
      </c>
      <c r="G3600" s="19" t="s">
        <v>41</v>
      </c>
      <c r="H3600" s="18" t="n">
        <v>3</v>
      </c>
      <c r="I3600" s="20" t="n">
        <v>121.28</v>
      </c>
      <c r="J3600" s="20" t="n">
        <v>264.28</v>
      </c>
      <c r="K3600" s="18" t="n">
        <v>29</v>
      </c>
      <c r="L3600" s="18" t="n">
        <v>20</v>
      </c>
      <c r="M3600" s="18" t="n">
        <v>1214</v>
      </c>
      <c r="N3600" s="18" t="n">
        <v>75</v>
      </c>
      <c r="O3600" s="14" t="s">
        <v>22491</v>
      </c>
      <c r="P3600" s="14" t="s">
        <v>872</v>
      </c>
      <c r="Q3600" s="15" t="s">
        <v>1089</v>
      </c>
      <c r="R3600" s="16" t="s">
        <v>22492</v>
      </c>
      <c r="S3600" s="15" t="s">
        <v>22487</v>
      </c>
      <c r="T3600" s="15" t="s">
        <v>22493</v>
      </c>
      <c r="U3600" s="21" t="s">
        <v>72</v>
      </c>
    </row>
    <row r="3601" customFormat="false" ht="15" hidden="false" customHeight="false" outlineLevel="0" collapsed="false">
      <c r="A3601" s="15" t="s">
        <v>686</v>
      </c>
      <c r="B3601" s="15" t="s">
        <v>987</v>
      </c>
      <c r="C3601" s="14" t="s">
        <v>22494</v>
      </c>
      <c r="D3601" s="14" t="s">
        <v>22495</v>
      </c>
      <c r="E3601" s="16" t="s">
        <v>22496</v>
      </c>
      <c r="F3601" s="16" t="s">
        <v>22497</v>
      </c>
      <c r="G3601" s="23" t="s">
        <v>43</v>
      </c>
      <c r="H3601" s="18" t="n">
        <v>3</v>
      </c>
      <c r="I3601" s="20" t="n">
        <v>97.3</v>
      </c>
      <c r="J3601" s="20" t="n">
        <v>107.64</v>
      </c>
      <c r="K3601" s="18" t="n">
        <v>32</v>
      </c>
      <c r="L3601" s="18" t="n">
        <v>16</v>
      </c>
      <c r="M3601" s="18" t="n">
        <v>844</v>
      </c>
      <c r="N3601" s="18" t="n">
        <v>204</v>
      </c>
      <c r="O3601" s="14" t="s">
        <v>1097</v>
      </c>
      <c r="P3601" s="14" t="s">
        <v>118</v>
      </c>
      <c r="Q3601" s="15" t="s">
        <v>1089</v>
      </c>
      <c r="R3601" s="16" t="s">
        <v>22498</v>
      </c>
      <c r="S3601" s="15" t="s">
        <v>777</v>
      </c>
      <c r="T3601" s="15" t="s">
        <v>777</v>
      </c>
      <c r="U3601" s="21" t="s">
        <v>72</v>
      </c>
    </row>
    <row r="3602" customFormat="false" ht="15" hidden="false" customHeight="false" outlineLevel="0" collapsed="false">
      <c r="A3602" s="15" t="s">
        <v>686</v>
      </c>
      <c r="B3602" s="15" t="s">
        <v>987</v>
      </c>
      <c r="C3602" s="14" t="s">
        <v>22499</v>
      </c>
      <c r="D3602" s="14" t="s">
        <v>22500</v>
      </c>
      <c r="E3602" s="16" t="s">
        <v>22501</v>
      </c>
      <c r="F3602" s="16" t="s">
        <v>22502</v>
      </c>
      <c r="G3602" s="23" t="s">
        <v>43</v>
      </c>
      <c r="H3602" s="18" t="n">
        <v>2</v>
      </c>
      <c r="I3602" s="20" t="n">
        <v>70.81</v>
      </c>
      <c r="J3602" s="20" t="n">
        <v>108.84</v>
      </c>
      <c r="K3602" s="18" t="n">
        <v>1</v>
      </c>
      <c r="L3602" s="18" t="n">
        <v>3</v>
      </c>
      <c r="M3602" s="18" t="n">
        <v>60</v>
      </c>
      <c r="N3602" s="18" t="n">
        <v>60</v>
      </c>
      <c r="O3602" s="14" t="s">
        <v>1126</v>
      </c>
      <c r="P3602" s="14" t="s">
        <v>84</v>
      </c>
      <c r="Q3602" s="15" t="s">
        <v>1089</v>
      </c>
      <c r="R3602" s="16" t="s">
        <v>16387</v>
      </c>
      <c r="S3602" s="15" t="s">
        <v>10800</v>
      </c>
      <c r="T3602" s="15" t="s">
        <v>10800</v>
      </c>
      <c r="U3602" s="21" t="s">
        <v>72</v>
      </c>
    </row>
    <row r="3603" customFormat="false" ht="15" hidden="false" customHeight="false" outlineLevel="0" collapsed="false">
      <c r="A3603" s="15" t="s">
        <v>686</v>
      </c>
      <c r="B3603" s="15" t="s">
        <v>22503</v>
      </c>
      <c r="C3603" s="14" t="s">
        <v>22504</v>
      </c>
      <c r="D3603" s="14" t="s">
        <v>22505</v>
      </c>
      <c r="E3603" s="16" t="s">
        <v>22506</v>
      </c>
      <c r="F3603" s="16" t="s">
        <v>22507</v>
      </c>
      <c r="G3603" s="19" t="s">
        <v>41</v>
      </c>
      <c r="H3603" s="18" t="n">
        <v>5</v>
      </c>
      <c r="I3603" s="20" t="n">
        <v>174.16</v>
      </c>
      <c r="J3603" s="20" t="n">
        <v>261.85</v>
      </c>
      <c r="K3603" s="18" t="n">
        <v>40</v>
      </c>
      <c r="L3603" s="18" t="n">
        <v>7</v>
      </c>
      <c r="M3603" s="18" t="n">
        <v>1153</v>
      </c>
      <c r="N3603" s="18" t="n">
        <v>297</v>
      </c>
      <c r="O3603" s="14" t="s">
        <v>1097</v>
      </c>
      <c r="P3603" s="14" t="s">
        <v>118</v>
      </c>
      <c r="Q3603" s="15" t="s">
        <v>1089</v>
      </c>
      <c r="R3603" s="16" t="s">
        <v>19514</v>
      </c>
      <c r="S3603" s="15" t="s">
        <v>22508</v>
      </c>
      <c r="T3603" s="15" t="s">
        <v>22508</v>
      </c>
      <c r="U3603" s="21" t="s">
        <v>72</v>
      </c>
    </row>
    <row r="3604" customFormat="false" ht="15" hidden="false" customHeight="false" outlineLevel="0" collapsed="false">
      <c r="A3604" s="15" t="s">
        <v>686</v>
      </c>
      <c r="B3604" s="15" t="s">
        <v>687</v>
      </c>
      <c r="C3604" s="14" t="s">
        <v>698</v>
      </c>
      <c r="D3604" s="14" t="s">
        <v>22509</v>
      </c>
      <c r="E3604" s="16" t="s">
        <v>22510</v>
      </c>
      <c r="F3604" s="16" t="s">
        <v>701</v>
      </c>
      <c r="G3604" s="23" t="s">
        <v>43</v>
      </c>
      <c r="H3604" s="18" t="n">
        <v>1</v>
      </c>
      <c r="I3604" s="20" t="n">
        <v>30.03</v>
      </c>
      <c r="J3604" s="20" t="n">
        <v>79.72</v>
      </c>
      <c r="K3604" s="18" t="n">
        <v>2</v>
      </c>
      <c r="L3604" s="18" t="n">
        <v>5</v>
      </c>
      <c r="M3604" s="18" t="n">
        <v>100</v>
      </c>
      <c r="N3604" s="18" t="n">
        <v>100</v>
      </c>
      <c r="O3604" s="14" t="s">
        <v>1126</v>
      </c>
      <c r="P3604" s="14" t="s">
        <v>84</v>
      </c>
      <c r="Q3604" s="15" t="s">
        <v>1089</v>
      </c>
      <c r="R3604" s="16" t="s">
        <v>702</v>
      </c>
      <c r="S3604" s="15" t="s">
        <v>703</v>
      </c>
      <c r="T3604" s="15" t="s">
        <v>703</v>
      </c>
      <c r="U3604" s="21" t="s">
        <v>72</v>
      </c>
    </row>
    <row r="3605" customFormat="false" ht="15" hidden="false" customHeight="false" outlineLevel="0" collapsed="false">
      <c r="A3605" s="15" t="s">
        <v>686</v>
      </c>
      <c r="B3605" s="15" t="s">
        <v>687</v>
      </c>
      <c r="C3605" s="14" t="s">
        <v>22511</v>
      </c>
      <c r="D3605" s="14" t="s">
        <v>22512</v>
      </c>
      <c r="E3605" s="16" t="s">
        <v>22513</v>
      </c>
      <c r="F3605" s="16" t="s">
        <v>22514</v>
      </c>
      <c r="G3605" s="25" t="s">
        <v>39</v>
      </c>
      <c r="H3605" s="18" t="n">
        <v>6</v>
      </c>
      <c r="I3605" s="20" t="n">
        <v>302.49</v>
      </c>
      <c r="J3605" s="20" t="n">
        <v>498.75</v>
      </c>
      <c r="K3605" s="18" t="n">
        <v>5</v>
      </c>
      <c r="L3605" s="18" t="n">
        <v>9</v>
      </c>
      <c r="M3605" s="18" t="n">
        <v>180</v>
      </c>
      <c r="N3605" s="18" t="n">
        <v>36</v>
      </c>
      <c r="O3605" s="14" t="s">
        <v>1088</v>
      </c>
      <c r="P3605" s="14" t="s">
        <v>118</v>
      </c>
      <c r="Q3605" s="15" t="s">
        <v>1089</v>
      </c>
      <c r="R3605" s="16" t="s">
        <v>22515</v>
      </c>
      <c r="S3605" s="15" t="s">
        <v>22516</v>
      </c>
      <c r="T3605" s="15" t="s">
        <v>22517</v>
      </c>
      <c r="U3605" s="21" t="s">
        <v>72</v>
      </c>
    </row>
    <row r="3606" customFormat="false" ht="15" hidden="false" customHeight="false" outlineLevel="0" collapsed="false">
      <c r="A3606" s="15" t="s">
        <v>686</v>
      </c>
      <c r="B3606" s="15" t="s">
        <v>687</v>
      </c>
      <c r="C3606" s="14" t="s">
        <v>22518</v>
      </c>
      <c r="D3606" s="14" t="s">
        <v>22519</v>
      </c>
      <c r="E3606" s="16" t="s">
        <v>22520</v>
      </c>
      <c r="F3606" s="16" t="s">
        <v>22521</v>
      </c>
      <c r="G3606" s="19" t="s">
        <v>41</v>
      </c>
      <c r="H3606" s="18" t="n">
        <v>7</v>
      </c>
      <c r="I3606" s="20" t="n">
        <v>152.93</v>
      </c>
      <c r="J3606" s="20" t="n">
        <v>254.18</v>
      </c>
      <c r="K3606" s="18" t="n">
        <v>10</v>
      </c>
      <c r="L3606" s="18" t="n">
        <v>3</v>
      </c>
      <c r="M3606" s="18" t="n">
        <v>300</v>
      </c>
      <c r="N3606" s="18" t="n">
        <v>60</v>
      </c>
      <c r="O3606" s="14" t="s">
        <v>1088</v>
      </c>
      <c r="P3606" s="14" t="s">
        <v>84</v>
      </c>
      <c r="Q3606" s="15" t="s">
        <v>1089</v>
      </c>
      <c r="R3606" s="16" t="s">
        <v>22522</v>
      </c>
      <c r="S3606" s="15" t="s">
        <v>22523</v>
      </c>
      <c r="T3606" s="15" t="s">
        <v>22523</v>
      </c>
      <c r="U3606" s="21" t="s">
        <v>72</v>
      </c>
    </row>
    <row r="3607" customFormat="false" ht="15" hidden="false" customHeight="false" outlineLevel="0" collapsed="false">
      <c r="A3607" s="15" t="s">
        <v>686</v>
      </c>
      <c r="B3607" s="15" t="s">
        <v>687</v>
      </c>
      <c r="C3607" s="14" t="s">
        <v>22524</v>
      </c>
      <c r="D3607" s="14" t="s">
        <v>22525</v>
      </c>
      <c r="E3607" s="16" t="s">
        <v>22526</v>
      </c>
      <c r="F3607" s="16" t="s">
        <v>22527</v>
      </c>
      <c r="G3607" s="19" t="s">
        <v>41</v>
      </c>
      <c r="H3607" s="18" t="n">
        <v>4</v>
      </c>
      <c r="I3607" s="20" t="n">
        <v>174.83</v>
      </c>
      <c r="J3607" s="20" t="n">
        <v>324.94</v>
      </c>
      <c r="K3607" s="18" t="n">
        <v>10</v>
      </c>
      <c r="L3607" s="18" t="n">
        <v>4</v>
      </c>
      <c r="M3607" s="18" t="n">
        <v>180</v>
      </c>
      <c r="N3607" s="18" t="n">
        <v>72</v>
      </c>
      <c r="O3607" s="14" t="s">
        <v>1088</v>
      </c>
      <c r="P3607" s="14" t="s">
        <v>84</v>
      </c>
      <c r="Q3607" s="15" t="s">
        <v>1089</v>
      </c>
      <c r="R3607" s="16" t="s">
        <v>1547</v>
      </c>
      <c r="S3607" s="15" t="s">
        <v>22528</v>
      </c>
      <c r="T3607" s="15" t="s">
        <v>22529</v>
      </c>
      <c r="U3607" s="21" t="s">
        <v>72</v>
      </c>
    </row>
    <row r="3608" customFormat="false" ht="15" hidden="false" customHeight="false" outlineLevel="0" collapsed="false">
      <c r="A3608" s="15" t="s">
        <v>686</v>
      </c>
      <c r="B3608" s="15" t="s">
        <v>687</v>
      </c>
      <c r="C3608" s="14" t="s">
        <v>780</v>
      </c>
      <c r="D3608" s="14" t="s">
        <v>22530</v>
      </c>
      <c r="E3608" s="16" t="s">
        <v>22531</v>
      </c>
      <c r="F3608" s="16"/>
      <c r="G3608" s="23" t="s">
        <v>43</v>
      </c>
      <c r="H3608" s="18" t="n">
        <v>1</v>
      </c>
      <c r="I3608" s="20" t="n">
        <v>33</v>
      </c>
      <c r="J3608" s="20" t="n">
        <v>114</v>
      </c>
      <c r="K3608" s="18" t="n">
        <v>2</v>
      </c>
      <c r="L3608" s="18" t="n">
        <v>1</v>
      </c>
      <c r="M3608" s="18" t="n">
        <v>30</v>
      </c>
      <c r="N3608" s="18" t="n">
        <v>30</v>
      </c>
      <c r="O3608" s="14" t="s">
        <v>1126</v>
      </c>
      <c r="P3608" s="14" t="s">
        <v>84</v>
      </c>
      <c r="Q3608" s="15" t="s">
        <v>1089</v>
      </c>
      <c r="R3608" s="16" t="s">
        <v>783</v>
      </c>
      <c r="S3608" s="15" t="s">
        <v>784</v>
      </c>
      <c r="T3608" s="15" t="s">
        <v>784</v>
      </c>
      <c r="U3608" s="21" t="s">
        <v>72</v>
      </c>
    </row>
    <row r="3609" customFormat="false" ht="15" hidden="false" customHeight="false" outlineLevel="0" collapsed="false">
      <c r="A3609" s="15" t="s">
        <v>686</v>
      </c>
      <c r="B3609" s="15" t="s">
        <v>978</v>
      </c>
      <c r="C3609" s="14" t="s">
        <v>22532</v>
      </c>
      <c r="D3609" s="14" t="s">
        <v>22533</v>
      </c>
      <c r="E3609" s="16" t="s">
        <v>22534</v>
      </c>
      <c r="F3609" s="16" t="s">
        <v>22535</v>
      </c>
      <c r="G3609" s="23" t="s">
        <v>43</v>
      </c>
      <c r="H3609" s="18" t="n">
        <v>2</v>
      </c>
      <c r="I3609" s="20" t="n">
        <v>67.97</v>
      </c>
      <c r="J3609" s="20" t="n">
        <v>157.24</v>
      </c>
      <c r="K3609" s="18" t="n">
        <v>30</v>
      </c>
      <c r="L3609" s="18" t="n">
        <v>9</v>
      </c>
      <c r="M3609" s="18" t="n">
        <v>818</v>
      </c>
      <c r="N3609" s="18" t="n">
        <v>190</v>
      </c>
      <c r="O3609" s="14" t="s">
        <v>1097</v>
      </c>
      <c r="P3609" s="14" t="s">
        <v>118</v>
      </c>
      <c r="Q3609" s="15" t="s">
        <v>1089</v>
      </c>
      <c r="R3609" s="16" t="s">
        <v>22536</v>
      </c>
      <c r="S3609" s="15" t="s">
        <v>22537</v>
      </c>
      <c r="T3609" s="15" t="s">
        <v>22538</v>
      </c>
      <c r="U3609" s="21" t="s">
        <v>72</v>
      </c>
    </row>
    <row r="3610" customFormat="false" ht="15" hidden="false" customHeight="false" outlineLevel="0" collapsed="false">
      <c r="A3610" s="15" t="s">
        <v>686</v>
      </c>
      <c r="B3610" s="15" t="s">
        <v>978</v>
      </c>
      <c r="C3610" s="14" t="s">
        <v>22539</v>
      </c>
      <c r="D3610" s="14" t="s">
        <v>22540</v>
      </c>
      <c r="E3610" s="16" t="s">
        <v>22541</v>
      </c>
      <c r="F3610" s="16" t="s">
        <v>22542</v>
      </c>
      <c r="G3610" s="19" t="s">
        <v>41</v>
      </c>
      <c r="H3610" s="18" t="n">
        <v>7</v>
      </c>
      <c r="I3610" s="20" t="n">
        <v>150.2</v>
      </c>
      <c r="J3610" s="20" t="n">
        <v>251.72</v>
      </c>
      <c r="K3610" s="18" t="n">
        <v>4</v>
      </c>
      <c r="L3610" s="18" t="n">
        <v>6</v>
      </c>
      <c r="M3610" s="18" t="n">
        <v>76</v>
      </c>
      <c r="N3610" s="18" t="n">
        <v>76</v>
      </c>
      <c r="O3610" s="14" t="s">
        <v>1088</v>
      </c>
      <c r="P3610" s="14" t="s">
        <v>84</v>
      </c>
      <c r="Q3610" s="15" t="s">
        <v>1089</v>
      </c>
      <c r="R3610" s="16" t="s">
        <v>22543</v>
      </c>
      <c r="S3610" s="15" t="s">
        <v>22544</v>
      </c>
      <c r="T3610" s="15" t="s">
        <v>22545</v>
      </c>
      <c r="U3610" s="21" t="s">
        <v>72</v>
      </c>
    </row>
    <row r="3611" customFormat="false" ht="15" hidden="false" customHeight="false" outlineLevel="0" collapsed="false">
      <c r="A3611" s="15" t="s">
        <v>686</v>
      </c>
      <c r="B3611" s="15" t="s">
        <v>978</v>
      </c>
      <c r="C3611" s="14" t="s">
        <v>22546</v>
      </c>
      <c r="D3611" s="14" t="s">
        <v>22547</v>
      </c>
      <c r="E3611" s="16" t="s">
        <v>22548</v>
      </c>
      <c r="F3611" s="16" t="s">
        <v>22549</v>
      </c>
      <c r="G3611" s="25" t="s">
        <v>39</v>
      </c>
      <c r="H3611" s="18" t="n">
        <v>7</v>
      </c>
      <c r="I3611" s="20" t="n">
        <v>264.53</v>
      </c>
      <c r="J3611" s="20" t="n">
        <v>401.81</v>
      </c>
      <c r="K3611" s="18" t="n">
        <v>5</v>
      </c>
      <c r="L3611" s="18" t="n">
        <v>13</v>
      </c>
      <c r="M3611" s="18" t="n">
        <v>65</v>
      </c>
      <c r="N3611" s="18" t="n">
        <v>13</v>
      </c>
      <c r="O3611" s="14" t="s">
        <v>1088</v>
      </c>
      <c r="P3611" s="14" t="s">
        <v>84</v>
      </c>
      <c r="Q3611" s="15" t="s">
        <v>1089</v>
      </c>
      <c r="R3611" s="16" t="s">
        <v>22550</v>
      </c>
      <c r="S3611" s="15" t="s">
        <v>22551</v>
      </c>
      <c r="T3611" s="15" t="s">
        <v>22551</v>
      </c>
      <c r="U3611" s="21" t="s">
        <v>72</v>
      </c>
    </row>
    <row r="3612" customFormat="false" ht="15" hidden="false" customHeight="false" outlineLevel="0" collapsed="false">
      <c r="A3612" s="15" t="s">
        <v>686</v>
      </c>
      <c r="B3612" s="15" t="s">
        <v>978</v>
      </c>
      <c r="C3612" s="14" t="s">
        <v>22552</v>
      </c>
      <c r="D3612" s="14" t="s">
        <v>22553</v>
      </c>
      <c r="E3612" s="16" t="s">
        <v>22554</v>
      </c>
      <c r="F3612" s="16" t="s">
        <v>22555</v>
      </c>
      <c r="G3612" s="23" t="s">
        <v>43</v>
      </c>
      <c r="H3612" s="18" t="n">
        <v>2</v>
      </c>
      <c r="I3612" s="20" t="n">
        <v>51.64</v>
      </c>
      <c r="J3612" s="20" t="n">
        <v>128.32</v>
      </c>
      <c r="K3612" s="18" t="n">
        <v>2</v>
      </c>
      <c r="L3612" s="18" t="n">
        <v>3</v>
      </c>
      <c r="M3612" s="18" t="n">
        <v>42</v>
      </c>
      <c r="N3612" s="18" t="n">
        <v>42</v>
      </c>
      <c r="O3612" s="14" t="s">
        <v>22556</v>
      </c>
      <c r="P3612" s="14" t="s">
        <v>84</v>
      </c>
      <c r="Q3612" s="15" t="s">
        <v>1089</v>
      </c>
      <c r="R3612" s="16" t="s">
        <v>22557</v>
      </c>
      <c r="S3612" s="15" t="s">
        <v>21745</v>
      </c>
      <c r="T3612" s="15" t="s">
        <v>21745</v>
      </c>
      <c r="U3612" s="21" t="s">
        <v>72</v>
      </c>
    </row>
    <row r="3613" customFormat="false" ht="15" hidden="false" customHeight="false" outlineLevel="0" collapsed="false">
      <c r="A3613" s="15" t="s">
        <v>686</v>
      </c>
      <c r="B3613" s="15" t="s">
        <v>978</v>
      </c>
      <c r="C3613" s="14" t="s">
        <v>22558</v>
      </c>
      <c r="D3613" s="14" t="s">
        <v>22559</v>
      </c>
      <c r="E3613" s="16" t="s">
        <v>22560</v>
      </c>
      <c r="F3613" s="16" t="s">
        <v>22561</v>
      </c>
      <c r="G3613" s="19" t="s">
        <v>41</v>
      </c>
      <c r="H3613" s="18" t="n">
        <v>3</v>
      </c>
      <c r="I3613" s="20" t="n">
        <v>190.13</v>
      </c>
      <c r="J3613" s="20" t="n">
        <v>292.42</v>
      </c>
      <c r="K3613" s="18" t="n">
        <v>36</v>
      </c>
      <c r="L3613" s="18" t="n">
        <v>21</v>
      </c>
      <c r="M3613" s="18" t="n">
        <v>1741</v>
      </c>
      <c r="N3613" s="18" t="n">
        <v>857</v>
      </c>
      <c r="O3613" s="14" t="s">
        <v>9118</v>
      </c>
      <c r="P3613" s="14" t="s">
        <v>118</v>
      </c>
      <c r="Q3613" s="15" t="s">
        <v>1089</v>
      </c>
      <c r="R3613" s="16" t="s">
        <v>22562</v>
      </c>
      <c r="S3613" s="15" t="s">
        <v>22563</v>
      </c>
      <c r="T3613" s="15" t="s">
        <v>22564</v>
      </c>
      <c r="U3613" s="21" t="s">
        <v>72</v>
      </c>
    </row>
    <row r="3614" customFormat="false" ht="15" hidden="false" customHeight="false" outlineLevel="0" collapsed="false">
      <c r="A3614" s="15" t="s">
        <v>686</v>
      </c>
      <c r="B3614" s="15" t="s">
        <v>978</v>
      </c>
      <c r="C3614" s="14" t="s">
        <v>22565</v>
      </c>
      <c r="D3614" s="14" t="s">
        <v>22566</v>
      </c>
      <c r="E3614" s="16" t="s">
        <v>22567</v>
      </c>
      <c r="F3614" s="16" t="s">
        <v>22568</v>
      </c>
      <c r="G3614" s="19" t="s">
        <v>41</v>
      </c>
      <c r="H3614" s="18" t="n">
        <v>5</v>
      </c>
      <c r="I3614" s="20" t="n">
        <v>170.73</v>
      </c>
      <c r="J3614" s="20" t="n">
        <v>230.13</v>
      </c>
      <c r="K3614" s="18" t="n">
        <v>36</v>
      </c>
      <c r="L3614" s="18" t="n">
        <v>21</v>
      </c>
      <c r="M3614" s="18" t="n">
        <v>684</v>
      </c>
      <c r="N3614" s="18" t="n">
        <v>320</v>
      </c>
      <c r="O3614" s="14" t="s">
        <v>6448</v>
      </c>
      <c r="P3614" s="14" t="s">
        <v>84</v>
      </c>
      <c r="Q3614" s="15" t="s">
        <v>1089</v>
      </c>
      <c r="R3614" s="16" t="s">
        <v>22569</v>
      </c>
      <c r="S3614" s="15" t="s">
        <v>22570</v>
      </c>
      <c r="T3614" s="15" t="s">
        <v>22571</v>
      </c>
      <c r="U3614" s="21" t="s">
        <v>72</v>
      </c>
    </row>
    <row r="3615" customFormat="false" ht="15" hidden="false" customHeight="false" outlineLevel="0" collapsed="false">
      <c r="A3615" s="15" t="s">
        <v>686</v>
      </c>
      <c r="B3615" s="15" t="s">
        <v>978</v>
      </c>
      <c r="C3615" s="14" t="s">
        <v>22572</v>
      </c>
      <c r="D3615" s="14" t="s">
        <v>22573</v>
      </c>
      <c r="E3615" s="16" t="s">
        <v>22574</v>
      </c>
      <c r="F3615" s="16" t="s">
        <v>22575</v>
      </c>
      <c r="G3615" s="19" t="s">
        <v>41</v>
      </c>
      <c r="H3615" s="18" t="n">
        <v>4</v>
      </c>
      <c r="I3615" s="20" t="n">
        <v>156.41</v>
      </c>
      <c r="J3615" s="20" t="n">
        <v>256.68</v>
      </c>
      <c r="K3615" s="18" t="n">
        <v>8</v>
      </c>
      <c r="L3615" s="18" t="n">
        <v>11</v>
      </c>
      <c r="M3615" s="18" t="n">
        <v>240</v>
      </c>
      <c r="N3615" s="18" t="n">
        <v>60</v>
      </c>
      <c r="O3615" s="14" t="s">
        <v>1088</v>
      </c>
      <c r="P3615" s="14" t="s">
        <v>118</v>
      </c>
      <c r="Q3615" s="15" t="s">
        <v>1089</v>
      </c>
      <c r="R3615" s="16" t="s">
        <v>22576</v>
      </c>
      <c r="S3615" s="15" t="s">
        <v>22577</v>
      </c>
      <c r="T3615" s="15" t="s">
        <v>22577</v>
      </c>
      <c r="U3615" s="21" t="s">
        <v>72</v>
      </c>
    </row>
    <row r="3616" customFormat="false" ht="15" hidden="false" customHeight="false" outlineLevel="0" collapsed="false">
      <c r="A3616" s="15" t="s">
        <v>686</v>
      </c>
      <c r="B3616" s="15" t="s">
        <v>978</v>
      </c>
      <c r="C3616" s="14" t="s">
        <v>22578</v>
      </c>
      <c r="D3616" s="14" t="s">
        <v>22579</v>
      </c>
      <c r="E3616" s="16" t="s">
        <v>22580</v>
      </c>
      <c r="F3616" s="16" t="s">
        <v>22581</v>
      </c>
      <c r="G3616" s="19" t="s">
        <v>41</v>
      </c>
      <c r="H3616" s="18" t="n">
        <v>5</v>
      </c>
      <c r="I3616" s="20" t="n">
        <v>114.13</v>
      </c>
      <c r="J3616" s="20" t="n">
        <v>231.72</v>
      </c>
      <c r="K3616" s="18" t="n">
        <v>36</v>
      </c>
      <c r="L3616" s="18" t="n">
        <v>20</v>
      </c>
      <c r="M3616" s="18" t="n">
        <v>684</v>
      </c>
      <c r="N3616" s="18" t="n">
        <v>320</v>
      </c>
      <c r="O3616" s="14" t="s">
        <v>9118</v>
      </c>
      <c r="P3616" s="14" t="s">
        <v>118</v>
      </c>
      <c r="Q3616" s="15" t="s">
        <v>1089</v>
      </c>
      <c r="R3616" s="16" t="s">
        <v>22582</v>
      </c>
      <c r="S3616" s="15" t="s">
        <v>22571</v>
      </c>
      <c r="T3616" s="15" t="s">
        <v>22563</v>
      </c>
      <c r="U3616" s="21" t="s">
        <v>72</v>
      </c>
    </row>
    <row r="3617" customFormat="false" ht="15" hidden="false" customHeight="false" outlineLevel="0" collapsed="false">
      <c r="A3617" s="15" t="s">
        <v>686</v>
      </c>
      <c r="B3617" s="15" t="s">
        <v>978</v>
      </c>
      <c r="C3617" s="14" t="s">
        <v>22583</v>
      </c>
      <c r="D3617" s="14" t="s">
        <v>22584</v>
      </c>
      <c r="E3617" s="16" t="s">
        <v>22585</v>
      </c>
      <c r="F3617" s="16" t="s">
        <v>22586</v>
      </c>
      <c r="G3617" s="19" t="s">
        <v>41</v>
      </c>
      <c r="H3617" s="18" t="n">
        <v>3</v>
      </c>
      <c r="I3617" s="20" t="n">
        <v>72.4</v>
      </c>
      <c r="J3617" s="20" t="n">
        <v>223.51</v>
      </c>
      <c r="K3617" s="18" t="n">
        <v>31</v>
      </c>
      <c r="L3617" s="18" t="n">
        <v>5</v>
      </c>
      <c r="M3617" s="18" t="n">
        <v>576</v>
      </c>
      <c r="N3617" s="18" t="n">
        <v>201</v>
      </c>
      <c r="O3617" s="14" t="s">
        <v>9118</v>
      </c>
      <c r="P3617" s="14" t="s">
        <v>118</v>
      </c>
      <c r="Q3617" s="15" t="s">
        <v>1089</v>
      </c>
      <c r="R3617" s="16" t="s">
        <v>22587</v>
      </c>
      <c r="S3617" s="15" t="s">
        <v>22588</v>
      </c>
      <c r="T3617" s="15" t="s">
        <v>22588</v>
      </c>
      <c r="U3617" s="21" t="s">
        <v>72</v>
      </c>
    </row>
    <row r="3618" customFormat="false" ht="15" hidden="false" customHeight="false" outlineLevel="0" collapsed="false">
      <c r="A3618" s="15" t="s">
        <v>686</v>
      </c>
      <c r="B3618" s="15" t="s">
        <v>978</v>
      </c>
      <c r="C3618" s="14" t="s">
        <v>22589</v>
      </c>
      <c r="D3618" s="14" t="s">
        <v>22590</v>
      </c>
      <c r="E3618" s="16" t="s">
        <v>22591</v>
      </c>
      <c r="F3618" s="16" t="s">
        <v>22592</v>
      </c>
      <c r="G3618" s="23" t="s">
        <v>43</v>
      </c>
      <c r="H3618" s="18" t="n">
        <v>1</v>
      </c>
      <c r="I3618" s="20" t="n">
        <v>56.25</v>
      </c>
      <c r="J3618" s="20" t="n">
        <v>108.41</v>
      </c>
      <c r="K3618" s="18" t="n">
        <v>6</v>
      </c>
      <c r="L3618" s="18" t="n">
        <v>7</v>
      </c>
      <c r="M3618" s="18" t="n">
        <v>276</v>
      </c>
      <c r="N3618" s="18" t="n">
        <v>92</v>
      </c>
      <c r="O3618" s="14" t="s">
        <v>1097</v>
      </c>
      <c r="P3618" s="14" t="s">
        <v>118</v>
      </c>
      <c r="Q3618" s="15" t="s">
        <v>1089</v>
      </c>
      <c r="R3618" s="16" t="s">
        <v>22593</v>
      </c>
      <c r="S3618" s="15" t="s">
        <v>22594</v>
      </c>
      <c r="T3618" s="15" t="s">
        <v>22594</v>
      </c>
      <c r="U3618" s="21" t="s">
        <v>72</v>
      </c>
    </row>
    <row r="3619" customFormat="false" ht="15" hidden="false" customHeight="false" outlineLevel="0" collapsed="false">
      <c r="A3619" s="15" t="s">
        <v>686</v>
      </c>
      <c r="B3619" s="15" t="s">
        <v>978</v>
      </c>
      <c r="C3619" s="14" t="s">
        <v>22595</v>
      </c>
      <c r="D3619" s="14" t="s">
        <v>22596</v>
      </c>
      <c r="E3619" s="16" t="s">
        <v>22597</v>
      </c>
      <c r="F3619" s="16" t="s">
        <v>22598</v>
      </c>
      <c r="G3619" s="25" t="s">
        <v>39</v>
      </c>
      <c r="H3619" s="18" t="n">
        <v>2</v>
      </c>
      <c r="I3619" s="20" t="n">
        <v>336.75</v>
      </c>
      <c r="J3619" s="20" t="n">
        <v>487.7</v>
      </c>
      <c r="K3619" s="18" t="n">
        <v>9</v>
      </c>
      <c r="L3619" s="18" t="n">
        <v>3</v>
      </c>
      <c r="M3619" s="18" t="n">
        <v>180</v>
      </c>
      <c r="N3619" s="18" t="n">
        <v>60</v>
      </c>
      <c r="O3619" s="14" t="s">
        <v>17859</v>
      </c>
      <c r="P3619" s="14" t="s">
        <v>84</v>
      </c>
      <c r="Q3619" s="15" t="s">
        <v>1089</v>
      </c>
      <c r="R3619" s="16" t="s">
        <v>20440</v>
      </c>
      <c r="S3619" s="15" t="s">
        <v>22599</v>
      </c>
      <c r="T3619" s="15" t="s">
        <v>22599</v>
      </c>
      <c r="U3619" s="21" t="s">
        <v>72</v>
      </c>
    </row>
    <row r="3620" customFormat="false" ht="15" hidden="false" customHeight="false" outlineLevel="0" collapsed="false">
      <c r="A3620" s="15" t="s">
        <v>686</v>
      </c>
      <c r="B3620" s="15" t="s">
        <v>978</v>
      </c>
      <c r="C3620" s="14" t="s">
        <v>22600</v>
      </c>
      <c r="D3620" s="14" t="s">
        <v>22601</v>
      </c>
      <c r="E3620" s="16" t="s">
        <v>22602</v>
      </c>
      <c r="F3620" s="16" t="s">
        <v>22603</v>
      </c>
      <c r="G3620" s="23" t="s">
        <v>43</v>
      </c>
      <c r="H3620" s="18" t="n">
        <v>2</v>
      </c>
      <c r="I3620" s="20" t="n">
        <v>31.76</v>
      </c>
      <c r="J3620" s="20" t="n">
        <v>107.99</v>
      </c>
      <c r="K3620" s="18" t="n">
        <v>6</v>
      </c>
      <c r="L3620" s="18" t="n">
        <v>1</v>
      </c>
      <c r="M3620" s="18" t="n">
        <v>75</v>
      </c>
      <c r="N3620" s="18" t="n">
        <v>32</v>
      </c>
      <c r="O3620" s="14" t="s">
        <v>1088</v>
      </c>
      <c r="P3620" s="14" t="s">
        <v>84</v>
      </c>
      <c r="Q3620" s="15" t="s">
        <v>1089</v>
      </c>
      <c r="R3620" s="16" t="s">
        <v>22604</v>
      </c>
      <c r="S3620" s="15" t="s">
        <v>22605</v>
      </c>
      <c r="T3620" s="15" t="s">
        <v>22605</v>
      </c>
      <c r="U3620" s="21" t="s">
        <v>72</v>
      </c>
    </row>
    <row r="3621" customFormat="false" ht="15" hidden="false" customHeight="false" outlineLevel="0" collapsed="false">
      <c r="A3621" s="15" t="s">
        <v>686</v>
      </c>
      <c r="B3621" s="15" t="s">
        <v>978</v>
      </c>
      <c r="C3621" s="14" t="s">
        <v>22606</v>
      </c>
      <c r="D3621" s="14" t="s">
        <v>22607</v>
      </c>
      <c r="E3621" s="16" t="s">
        <v>22608</v>
      </c>
      <c r="F3621" s="16" t="s">
        <v>22609</v>
      </c>
      <c r="G3621" s="23" t="s">
        <v>43</v>
      </c>
      <c r="H3621" s="18" t="n">
        <v>2</v>
      </c>
      <c r="I3621" s="20" t="n">
        <v>99.26</v>
      </c>
      <c r="J3621" s="20" t="n">
        <v>105.26</v>
      </c>
      <c r="K3621" s="18" t="n">
        <v>4</v>
      </c>
      <c r="L3621" s="18" t="n">
        <v>11</v>
      </c>
      <c r="M3621" s="18" t="n">
        <v>120</v>
      </c>
      <c r="N3621" s="18" t="n">
        <v>120</v>
      </c>
      <c r="O3621" s="14" t="s">
        <v>1126</v>
      </c>
      <c r="P3621" s="14" t="s">
        <v>84</v>
      </c>
      <c r="Q3621" s="15" t="s">
        <v>1089</v>
      </c>
      <c r="R3621" s="16" t="s">
        <v>21689</v>
      </c>
      <c r="S3621" s="15" t="s">
        <v>22610</v>
      </c>
      <c r="T3621" s="15" t="s">
        <v>22611</v>
      </c>
      <c r="U3621" s="21" t="s">
        <v>72</v>
      </c>
    </row>
    <row r="3622" customFormat="false" ht="15" hidden="false" customHeight="false" outlineLevel="0" collapsed="false">
      <c r="A3622" s="15" t="s">
        <v>686</v>
      </c>
      <c r="B3622" s="15" t="s">
        <v>978</v>
      </c>
      <c r="C3622" s="14" t="s">
        <v>22612</v>
      </c>
      <c r="D3622" s="14" t="s">
        <v>22613</v>
      </c>
      <c r="E3622" s="16" t="s">
        <v>22614</v>
      </c>
      <c r="F3622" s="16" t="s">
        <v>22615</v>
      </c>
      <c r="G3622" s="19" t="s">
        <v>41</v>
      </c>
      <c r="H3622" s="18" t="n">
        <v>7</v>
      </c>
      <c r="I3622" s="20" t="n">
        <v>199.1</v>
      </c>
      <c r="J3622" s="20" t="n">
        <v>364.68</v>
      </c>
      <c r="K3622" s="18" t="n">
        <v>15</v>
      </c>
      <c r="L3622" s="18" t="n">
        <v>1</v>
      </c>
      <c r="M3622" s="18" t="n">
        <v>366</v>
      </c>
      <c r="N3622" s="18" t="n">
        <v>276</v>
      </c>
      <c r="O3622" s="14" t="s">
        <v>1126</v>
      </c>
      <c r="P3622" s="14" t="s">
        <v>118</v>
      </c>
      <c r="Q3622" s="15" t="s">
        <v>1089</v>
      </c>
      <c r="R3622" s="16" t="s">
        <v>22616</v>
      </c>
      <c r="S3622" s="15" t="s">
        <v>22617</v>
      </c>
      <c r="T3622" s="15" t="s">
        <v>22617</v>
      </c>
      <c r="U3622" s="21" t="s">
        <v>72</v>
      </c>
    </row>
    <row r="3623" customFormat="false" ht="15" hidden="false" customHeight="false" outlineLevel="0" collapsed="false">
      <c r="A3623" s="15" t="s">
        <v>686</v>
      </c>
      <c r="B3623" s="15" t="s">
        <v>978</v>
      </c>
      <c r="C3623" s="14" t="s">
        <v>22618</v>
      </c>
      <c r="D3623" s="14" t="s">
        <v>22619</v>
      </c>
      <c r="E3623" s="16" t="s">
        <v>22620</v>
      </c>
      <c r="F3623" s="16" t="s">
        <v>22621</v>
      </c>
      <c r="G3623" s="23" t="s">
        <v>43</v>
      </c>
      <c r="H3623" s="18" t="n">
        <v>2</v>
      </c>
      <c r="I3623" s="20" t="n">
        <v>72.6</v>
      </c>
      <c r="J3623" s="20" t="n">
        <v>163.11</v>
      </c>
      <c r="K3623" s="18" t="n">
        <v>36</v>
      </c>
      <c r="L3623" s="18" t="n">
        <v>12</v>
      </c>
      <c r="M3623" s="18" t="n">
        <v>1080</v>
      </c>
      <c r="N3623" s="18" t="n">
        <v>120</v>
      </c>
      <c r="O3623" s="14" t="s">
        <v>1097</v>
      </c>
      <c r="P3623" s="14" t="s">
        <v>118</v>
      </c>
      <c r="Q3623" s="15" t="s">
        <v>1089</v>
      </c>
      <c r="R3623" s="16" t="s">
        <v>22622</v>
      </c>
      <c r="S3623" s="15" t="s">
        <v>22623</v>
      </c>
      <c r="T3623" s="15" t="s">
        <v>22624</v>
      </c>
      <c r="U3623" s="21" t="s">
        <v>72</v>
      </c>
    </row>
    <row r="3624" customFormat="false" ht="15" hidden="false" customHeight="false" outlineLevel="0" collapsed="false">
      <c r="A3624" s="15" t="s">
        <v>686</v>
      </c>
      <c r="B3624" s="15" t="s">
        <v>978</v>
      </c>
      <c r="C3624" s="14" t="s">
        <v>22625</v>
      </c>
      <c r="D3624" s="14" t="s">
        <v>22626</v>
      </c>
      <c r="E3624" s="16" t="s">
        <v>22627</v>
      </c>
      <c r="F3624" s="16" t="s">
        <v>21953</v>
      </c>
      <c r="G3624" s="23" t="s">
        <v>43</v>
      </c>
      <c r="H3624" s="18" t="n">
        <v>2</v>
      </c>
      <c r="I3624" s="20" t="n">
        <v>34.54</v>
      </c>
      <c r="J3624" s="20" t="n">
        <v>109.62</v>
      </c>
      <c r="K3624" s="18" t="n">
        <v>33</v>
      </c>
      <c r="L3624" s="18" t="n">
        <v>19</v>
      </c>
      <c r="M3624" s="18" t="n">
        <v>462</v>
      </c>
      <c r="N3624" s="18" t="n">
        <v>126</v>
      </c>
      <c r="O3624" s="14" t="s">
        <v>6448</v>
      </c>
      <c r="P3624" s="14" t="s">
        <v>118</v>
      </c>
      <c r="Q3624" s="15" t="s">
        <v>1089</v>
      </c>
      <c r="R3624" s="16" t="s">
        <v>10949</v>
      </c>
      <c r="S3624" s="15" t="s">
        <v>22628</v>
      </c>
      <c r="T3624" s="15" t="s">
        <v>22629</v>
      </c>
      <c r="U3624" s="21" t="s">
        <v>72</v>
      </c>
    </row>
    <row r="3625" customFormat="false" ht="15" hidden="false" customHeight="false" outlineLevel="0" collapsed="false">
      <c r="A3625" s="15" t="s">
        <v>686</v>
      </c>
      <c r="B3625" s="15" t="s">
        <v>978</v>
      </c>
      <c r="C3625" s="14" t="s">
        <v>22630</v>
      </c>
      <c r="D3625" s="14" t="s">
        <v>22631</v>
      </c>
      <c r="E3625" s="16" t="s">
        <v>22632</v>
      </c>
      <c r="F3625" s="16" t="s">
        <v>21953</v>
      </c>
      <c r="G3625" s="23" t="s">
        <v>43</v>
      </c>
      <c r="H3625" s="18" t="n">
        <v>3</v>
      </c>
      <c r="I3625" s="20" t="n">
        <v>62.07</v>
      </c>
      <c r="J3625" s="20" t="n">
        <v>134.8</v>
      </c>
      <c r="K3625" s="18" t="n">
        <v>33</v>
      </c>
      <c r="L3625" s="18" t="n">
        <v>20</v>
      </c>
      <c r="M3625" s="18" t="n">
        <v>553</v>
      </c>
      <c r="N3625" s="18" t="n">
        <v>153</v>
      </c>
      <c r="O3625" s="14" t="s">
        <v>6448</v>
      </c>
      <c r="P3625" s="14" t="s">
        <v>118</v>
      </c>
      <c r="Q3625" s="15" t="s">
        <v>1089</v>
      </c>
      <c r="R3625" s="16" t="s">
        <v>22633</v>
      </c>
      <c r="S3625" s="15" t="s">
        <v>22628</v>
      </c>
      <c r="T3625" s="15" t="s">
        <v>22634</v>
      </c>
      <c r="U3625" s="21" t="s">
        <v>72</v>
      </c>
    </row>
    <row r="3626" customFormat="false" ht="15" hidden="false" customHeight="false" outlineLevel="0" collapsed="false">
      <c r="A3626" s="15" t="s">
        <v>686</v>
      </c>
      <c r="B3626" s="15" t="s">
        <v>978</v>
      </c>
      <c r="C3626" s="14" t="s">
        <v>22635</v>
      </c>
      <c r="D3626" s="14" t="s">
        <v>22636</v>
      </c>
      <c r="E3626" s="16" t="s">
        <v>22637</v>
      </c>
      <c r="F3626" s="16" t="s">
        <v>22638</v>
      </c>
      <c r="G3626" s="25" t="s">
        <v>39</v>
      </c>
      <c r="H3626" s="18" t="n">
        <v>10</v>
      </c>
      <c r="I3626" s="20" t="n">
        <v>297.84</v>
      </c>
      <c r="J3626" s="20" t="n">
        <v>578.4</v>
      </c>
      <c r="K3626" s="18" t="n">
        <v>27</v>
      </c>
      <c r="L3626" s="18" t="n">
        <v>23</v>
      </c>
      <c r="M3626" s="18" t="n">
        <v>540</v>
      </c>
      <c r="N3626" s="18" t="n">
        <v>360</v>
      </c>
      <c r="O3626" s="14" t="s">
        <v>1126</v>
      </c>
      <c r="P3626" s="14" t="s">
        <v>118</v>
      </c>
      <c r="Q3626" s="15" t="s">
        <v>1089</v>
      </c>
      <c r="R3626" s="16" t="s">
        <v>22639</v>
      </c>
      <c r="S3626" s="15" t="s">
        <v>22640</v>
      </c>
      <c r="T3626" s="15" t="s">
        <v>22640</v>
      </c>
      <c r="U3626" s="21" t="s">
        <v>72</v>
      </c>
    </row>
    <row r="3627" customFormat="false" ht="15" hidden="false" customHeight="false" outlineLevel="0" collapsed="false">
      <c r="A3627" s="15" t="s">
        <v>686</v>
      </c>
      <c r="B3627" s="15" t="s">
        <v>978</v>
      </c>
      <c r="C3627" s="14" t="s">
        <v>22641</v>
      </c>
      <c r="D3627" s="14" t="s">
        <v>22642</v>
      </c>
      <c r="E3627" s="16" t="s">
        <v>22643</v>
      </c>
      <c r="F3627" s="16" t="s">
        <v>22644</v>
      </c>
      <c r="G3627" s="19" t="s">
        <v>41</v>
      </c>
      <c r="H3627" s="18" t="n">
        <v>4</v>
      </c>
      <c r="I3627" s="20" t="n">
        <v>94.97</v>
      </c>
      <c r="J3627" s="20" t="n">
        <v>202.58</v>
      </c>
      <c r="K3627" s="18" t="n">
        <v>2</v>
      </c>
      <c r="L3627" s="18" t="n">
        <v>2</v>
      </c>
      <c r="M3627" s="18" t="n">
        <v>60</v>
      </c>
      <c r="N3627" s="18" t="n">
        <v>30</v>
      </c>
      <c r="O3627" s="14" t="s">
        <v>1097</v>
      </c>
      <c r="P3627" s="14" t="s">
        <v>118</v>
      </c>
      <c r="Q3627" s="15" t="s">
        <v>1089</v>
      </c>
      <c r="R3627" s="16" t="s">
        <v>22645</v>
      </c>
      <c r="S3627" s="15" t="s">
        <v>22646</v>
      </c>
      <c r="T3627" s="15" t="s">
        <v>22646</v>
      </c>
      <c r="U3627" s="21" t="s">
        <v>72</v>
      </c>
    </row>
    <row r="3628" customFormat="false" ht="15" hidden="false" customHeight="false" outlineLevel="0" collapsed="false">
      <c r="A3628" s="15" t="s">
        <v>686</v>
      </c>
      <c r="B3628" s="15" t="s">
        <v>978</v>
      </c>
      <c r="C3628" s="14" t="s">
        <v>22647</v>
      </c>
      <c r="D3628" s="14" t="s">
        <v>22648</v>
      </c>
      <c r="E3628" s="16" t="s">
        <v>22649</v>
      </c>
      <c r="F3628" s="16" t="s">
        <v>22650</v>
      </c>
      <c r="G3628" s="23" t="s">
        <v>43</v>
      </c>
      <c r="H3628" s="18" t="n">
        <v>2</v>
      </c>
      <c r="I3628" s="20" t="n">
        <v>48.92</v>
      </c>
      <c r="J3628" s="20" t="n">
        <v>132.62</v>
      </c>
      <c r="K3628" s="18" t="n">
        <v>2</v>
      </c>
      <c r="L3628" s="18" t="n">
        <v>8</v>
      </c>
      <c r="M3628" s="18" t="n">
        <v>40</v>
      </c>
      <c r="N3628" s="18" t="n">
        <v>29</v>
      </c>
      <c r="O3628" s="14" t="s">
        <v>1097</v>
      </c>
      <c r="P3628" s="14" t="s">
        <v>118</v>
      </c>
      <c r="Q3628" s="15" t="s">
        <v>1089</v>
      </c>
      <c r="R3628" s="16" t="s">
        <v>7879</v>
      </c>
      <c r="S3628" s="15" t="s">
        <v>22651</v>
      </c>
      <c r="T3628" s="15" t="s">
        <v>22651</v>
      </c>
      <c r="U3628" s="21" t="s">
        <v>72</v>
      </c>
    </row>
    <row r="3629" customFormat="false" ht="15" hidden="false" customHeight="false" outlineLevel="0" collapsed="false">
      <c r="A3629" s="15" t="s">
        <v>686</v>
      </c>
      <c r="B3629" s="15" t="s">
        <v>978</v>
      </c>
      <c r="C3629" s="14" t="s">
        <v>22652</v>
      </c>
      <c r="D3629" s="14" t="s">
        <v>22653</v>
      </c>
      <c r="E3629" s="16" t="s">
        <v>22654</v>
      </c>
      <c r="F3629" s="16" t="s">
        <v>22655</v>
      </c>
      <c r="G3629" s="23" t="s">
        <v>43</v>
      </c>
      <c r="H3629" s="18" t="n">
        <v>1</v>
      </c>
      <c r="I3629" s="20" t="n">
        <v>45.56</v>
      </c>
      <c r="J3629" s="20" t="n">
        <v>111.96</v>
      </c>
      <c r="K3629" s="18" t="n">
        <v>5</v>
      </c>
      <c r="L3629" s="18" t="n">
        <v>2</v>
      </c>
      <c r="M3629" s="18" t="n">
        <v>132</v>
      </c>
      <c r="N3629" s="18" t="n">
        <v>32</v>
      </c>
      <c r="O3629" s="14" t="s">
        <v>1126</v>
      </c>
      <c r="P3629" s="14" t="s">
        <v>84</v>
      </c>
      <c r="Q3629" s="15" t="s">
        <v>1089</v>
      </c>
      <c r="R3629" s="16" t="s">
        <v>21689</v>
      </c>
      <c r="S3629" s="15" t="s">
        <v>22656</v>
      </c>
      <c r="T3629" s="15" t="s">
        <v>22656</v>
      </c>
      <c r="U3629" s="21" t="s">
        <v>72</v>
      </c>
    </row>
    <row r="3630" customFormat="false" ht="15" hidden="false" customHeight="false" outlineLevel="0" collapsed="false">
      <c r="A3630" s="15" t="s">
        <v>686</v>
      </c>
      <c r="B3630" s="15" t="s">
        <v>978</v>
      </c>
      <c r="C3630" s="14" t="s">
        <v>22657</v>
      </c>
      <c r="D3630" s="14" t="s">
        <v>22658</v>
      </c>
      <c r="E3630" s="16" t="s">
        <v>22659</v>
      </c>
      <c r="F3630" s="16" t="s">
        <v>22660</v>
      </c>
      <c r="G3630" s="23" t="s">
        <v>43</v>
      </c>
      <c r="H3630" s="18" t="n">
        <v>4</v>
      </c>
      <c r="I3630" s="20" t="n">
        <v>104.55</v>
      </c>
      <c r="J3630" s="20" t="n">
        <v>132.62</v>
      </c>
      <c r="K3630" s="18" t="n">
        <v>20</v>
      </c>
      <c r="L3630" s="18" t="n">
        <v>6</v>
      </c>
      <c r="M3630" s="18" t="n">
        <v>420</v>
      </c>
      <c r="N3630" s="18" t="n">
        <v>84</v>
      </c>
      <c r="O3630" s="14" t="s">
        <v>1097</v>
      </c>
      <c r="P3630" s="14" t="s">
        <v>118</v>
      </c>
      <c r="Q3630" s="15" t="s">
        <v>1089</v>
      </c>
      <c r="R3630" s="16" t="s">
        <v>22515</v>
      </c>
      <c r="S3630" s="15" t="s">
        <v>22019</v>
      </c>
      <c r="T3630" s="15" t="s">
        <v>22661</v>
      </c>
      <c r="U3630" s="21" t="s">
        <v>72</v>
      </c>
    </row>
    <row r="3631" customFormat="false" ht="15" hidden="false" customHeight="false" outlineLevel="0" collapsed="false">
      <c r="A3631" s="15" t="s">
        <v>686</v>
      </c>
      <c r="B3631" s="15" t="s">
        <v>978</v>
      </c>
      <c r="C3631" s="14" t="s">
        <v>22662</v>
      </c>
      <c r="D3631" s="14" t="s">
        <v>22663</v>
      </c>
      <c r="E3631" s="16" t="s">
        <v>22664</v>
      </c>
      <c r="F3631" s="16" t="s">
        <v>22665</v>
      </c>
      <c r="G3631" s="23" t="s">
        <v>43</v>
      </c>
      <c r="H3631" s="18" t="n">
        <v>3</v>
      </c>
      <c r="I3631" s="20" t="n">
        <v>101.8</v>
      </c>
      <c r="J3631" s="20" t="n">
        <v>198.97</v>
      </c>
      <c r="K3631" s="18" t="n">
        <v>7</v>
      </c>
      <c r="L3631" s="18" t="n">
        <v>5</v>
      </c>
      <c r="M3631" s="18" t="n">
        <v>223</v>
      </c>
      <c r="N3631" s="18" t="n">
        <v>62</v>
      </c>
      <c r="O3631" s="14" t="s">
        <v>1126</v>
      </c>
      <c r="P3631" s="14" t="s">
        <v>118</v>
      </c>
      <c r="Q3631" s="15" t="s">
        <v>1089</v>
      </c>
      <c r="R3631" s="16" t="s">
        <v>22666</v>
      </c>
      <c r="S3631" s="15" t="s">
        <v>22667</v>
      </c>
      <c r="T3631" s="15" t="s">
        <v>22668</v>
      </c>
      <c r="U3631" s="21" t="s">
        <v>72</v>
      </c>
    </row>
    <row r="3632" customFormat="false" ht="26.85" hidden="false" customHeight="false" outlineLevel="0" collapsed="false">
      <c r="A3632" s="15" t="s">
        <v>686</v>
      </c>
      <c r="B3632" s="15" t="s">
        <v>978</v>
      </c>
      <c r="C3632" s="14" t="s">
        <v>22669</v>
      </c>
      <c r="D3632" s="14" t="s">
        <v>22670</v>
      </c>
      <c r="E3632" s="16" t="s">
        <v>22671</v>
      </c>
      <c r="F3632" s="16" t="s">
        <v>21517</v>
      </c>
      <c r="G3632" s="25" t="s">
        <v>39</v>
      </c>
      <c r="H3632" s="18" t="n">
        <v>8</v>
      </c>
      <c r="I3632" s="20" t="n">
        <v>443.43</v>
      </c>
      <c r="J3632" s="20" t="n">
        <v>954.39</v>
      </c>
      <c r="K3632" s="18" t="n">
        <v>18</v>
      </c>
      <c r="L3632" s="18" t="n">
        <v>21</v>
      </c>
      <c r="M3632" s="18" t="n">
        <v>360</v>
      </c>
      <c r="N3632" s="18" t="n">
        <v>40</v>
      </c>
      <c r="O3632" s="14" t="s">
        <v>1088</v>
      </c>
      <c r="P3632" s="14" t="s">
        <v>22672</v>
      </c>
      <c r="Q3632" s="15" t="s">
        <v>1089</v>
      </c>
      <c r="R3632" s="16" t="s">
        <v>22673</v>
      </c>
      <c r="S3632" s="15" t="s">
        <v>21519</v>
      </c>
      <c r="T3632" s="15" t="s">
        <v>22674</v>
      </c>
      <c r="U3632" s="21" t="s">
        <v>72</v>
      </c>
    </row>
    <row r="3633" customFormat="false" ht="15" hidden="false" customHeight="false" outlineLevel="0" collapsed="false">
      <c r="A3633" s="15" t="s">
        <v>686</v>
      </c>
      <c r="B3633" s="15" t="s">
        <v>978</v>
      </c>
      <c r="C3633" s="14" t="s">
        <v>22675</v>
      </c>
      <c r="D3633" s="14" t="s">
        <v>22676</v>
      </c>
      <c r="E3633" s="16" t="s">
        <v>22677</v>
      </c>
      <c r="F3633" s="16" t="s">
        <v>22678</v>
      </c>
      <c r="G3633" s="25" t="s">
        <v>39</v>
      </c>
      <c r="H3633" s="18" t="n">
        <v>16</v>
      </c>
      <c r="I3633" s="20" t="n">
        <v>486.31</v>
      </c>
      <c r="J3633" s="20" t="n">
        <v>1148.79</v>
      </c>
      <c r="K3633" s="18" t="n">
        <v>13</v>
      </c>
      <c r="L3633" s="18" t="n">
        <v>14</v>
      </c>
      <c r="M3633" s="18" t="n">
        <v>317</v>
      </c>
      <c r="N3633" s="18" t="n">
        <v>231</v>
      </c>
      <c r="O3633" s="14" t="s">
        <v>1088</v>
      </c>
      <c r="P3633" s="14" t="s">
        <v>118</v>
      </c>
      <c r="Q3633" s="15" t="s">
        <v>1089</v>
      </c>
      <c r="R3633" s="16" t="s">
        <v>22679</v>
      </c>
      <c r="S3633" s="15" t="s">
        <v>21273</v>
      </c>
      <c r="T3633" s="15" t="s">
        <v>22680</v>
      </c>
      <c r="U3633" s="21" t="s">
        <v>72</v>
      </c>
    </row>
    <row r="3634" customFormat="false" ht="15" hidden="false" customHeight="false" outlineLevel="0" collapsed="false">
      <c r="A3634" s="15" t="s">
        <v>686</v>
      </c>
      <c r="B3634" s="15" t="s">
        <v>978</v>
      </c>
      <c r="C3634" s="14" t="s">
        <v>22681</v>
      </c>
      <c r="D3634" s="14" t="s">
        <v>22682</v>
      </c>
      <c r="E3634" s="16" t="s">
        <v>22683</v>
      </c>
      <c r="F3634" s="16" t="s">
        <v>22684</v>
      </c>
      <c r="G3634" s="23" t="s">
        <v>43</v>
      </c>
      <c r="H3634" s="18" t="n">
        <v>4</v>
      </c>
      <c r="I3634" s="20" t="n">
        <v>120</v>
      </c>
      <c r="J3634" s="20" t="n">
        <v>145.6</v>
      </c>
      <c r="K3634" s="18" t="n">
        <v>3</v>
      </c>
      <c r="L3634" s="18" t="n">
        <v>5</v>
      </c>
      <c r="M3634" s="18" t="n">
        <v>60</v>
      </c>
      <c r="N3634" s="18" t="n">
        <v>60</v>
      </c>
      <c r="O3634" s="14" t="s">
        <v>1126</v>
      </c>
      <c r="P3634" s="14" t="s">
        <v>84</v>
      </c>
      <c r="Q3634" s="15" t="s">
        <v>1089</v>
      </c>
      <c r="R3634" s="16" t="s">
        <v>22685</v>
      </c>
      <c r="S3634" s="15" t="s">
        <v>22686</v>
      </c>
      <c r="T3634" s="15" t="s">
        <v>22687</v>
      </c>
      <c r="U3634" s="21" t="s">
        <v>72</v>
      </c>
    </row>
    <row r="3635" customFormat="false" ht="15" hidden="false" customHeight="false" outlineLevel="0" collapsed="false">
      <c r="A3635" s="15" t="s">
        <v>686</v>
      </c>
      <c r="B3635" s="15" t="s">
        <v>978</v>
      </c>
      <c r="C3635" s="14" t="s">
        <v>22688</v>
      </c>
      <c r="D3635" s="14" t="s">
        <v>22689</v>
      </c>
      <c r="E3635" s="16" t="s">
        <v>22690</v>
      </c>
      <c r="F3635" s="16" t="s">
        <v>22691</v>
      </c>
      <c r="G3635" s="23" t="s">
        <v>43</v>
      </c>
      <c r="H3635" s="18" t="n">
        <v>4</v>
      </c>
      <c r="I3635" s="20" t="n">
        <v>109.46</v>
      </c>
      <c r="J3635" s="20" t="n">
        <v>194.25</v>
      </c>
      <c r="K3635" s="18" t="n">
        <v>4</v>
      </c>
      <c r="L3635" s="18" t="n">
        <v>1</v>
      </c>
      <c r="M3635" s="18" t="n">
        <v>128</v>
      </c>
      <c r="N3635" s="18" t="n">
        <v>64</v>
      </c>
      <c r="O3635" s="14" t="s">
        <v>11484</v>
      </c>
      <c r="P3635" s="14" t="s">
        <v>118</v>
      </c>
      <c r="Q3635" s="15" t="s">
        <v>1089</v>
      </c>
      <c r="R3635" s="16" t="s">
        <v>22692</v>
      </c>
      <c r="S3635" s="15" t="s">
        <v>22693</v>
      </c>
      <c r="T3635" s="15" t="s">
        <v>22693</v>
      </c>
      <c r="U3635" s="21" t="s">
        <v>72</v>
      </c>
    </row>
    <row r="3636" customFormat="false" ht="15" hidden="false" customHeight="false" outlineLevel="0" collapsed="false">
      <c r="A3636" s="15" t="s">
        <v>686</v>
      </c>
      <c r="B3636" s="15" t="s">
        <v>978</v>
      </c>
      <c r="C3636" s="14" t="s">
        <v>22694</v>
      </c>
      <c r="D3636" s="14" t="s">
        <v>22695</v>
      </c>
      <c r="E3636" s="16" t="s">
        <v>22696</v>
      </c>
      <c r="F3636" s="16" t="s">
        <v>22697</v>
      </c>
      <c r="G3636" s="23" t="s">
        <v>43</v>
      </c>
      <c r="H3636" s="18" t="n">
        <v>1</v>
      </c>
      <c r="I3636" s="20" t="n">
        <v>96.59</v>
      </c>
      <c r="J3636" s="20" t="n">
        <v>126.7</v>
      </c>
      <c r="K3636" s="18" t="n">
        <v>9</v>
      </c>
      <c r="L3636" s="18" t="n">
        <v>3</v>
      </c>
      <c r="M3636" s="18" t="n">
        <v>405</v>
      </c>
      <c r="N3636" s="18" t="n">
        <v>135</v>
      </c>
      <c r="O3636" s="14" t="s">
        <v>9118</v>
      </c>
      <c r="P3636" s="14" t="s">
        <v>118</v>
      </c>
      <c r="Q3636" s="15" t="s">
        <v>1089</v>
      </c>
      <c r="R3636" s="16" t="s">
        <v>22698</v>
      </c>
      <c r="S3636" s="15" t="s">
        <v>22699</v>
      </c>
      <c r="T3636" s="15" t="s">
        <v>22699</v>
      </c>
      <c r="U3636" s="21" t="s">
        <v>72</v>
      </c>
    </row>
    <row r="3637" customFormat="false" ht="15" hidden="false" customHeight="false" outlineLevel="0" collapsed="false">
      <c r="A3637" s="15" t="s">
        <v>686</v>
      </c>
      <c r="B3637" s="15" t="s">
        <v>978</v>
      </c>
      <c r="C3637" s="14" t="s">
        <v>22700</v>
      </c>
      <c r="D3637" s="14" t="s">
        <v>22701</v>
      </c>
      <c r="E3637" s="16" t="s">
        <v>22702</v>
      </c>
      <c r="F3637" s="16" t="s">
        <v>22703</v>
      </c>
      <c r="G3637" s="19" t="s">
        <v>41</v>
      </c>
      <c r="H3637" s="18" t="n">
        <v>3</v>
      </c>
      <c r="I3637" s="20" t="n">
        <v>68.5</v>
      </c>
      <c r="J3637" s="20" t="n">
        <v>208.44</v>
      </c>
      <c r="K3637" s="18" t="n">
        <v>15</v>
      </c>
      <c r="L3637" s="18" t="n">
        <v>3</v>
      </c>
      <c r="M3637" s="18" t="n">
        <v>275</v>
      </c>
      <c r="N3637" s="18" t="n">
        <v>55</v>
      </c>
      <c r="O3637" s="14" t="s">
        <v>3724</v>
      </c>
      <c r="P3637" s="14" t="s">
        <v>118</v>
      </c>
      <c r="Q3637" s="15" t="s">
        <v>1089</v>
      </c>
      <c r="R3637" s="16" t="s">
        <v>22276</v>
      </c>
      <c r="S3637" s="15" t="s">
        <v>22704</v>
      </c>
      <c r="T3637" s="15" t="s">
        <v>22704</v>
      </c>
      <c r="U3637" s="21" t="s">
        <v>72</v>
      </c>
    </row>
    <row r="3638" customFormat="false" ht="15" hidden="false" customHeight="false" outlineLevel="0" collapsed="false">
      <c r="A3638" s="15" t="s">
        <v>686</v>
      </c>
      <c r="B3638" s="15" t="s">
        <v>978</v>
      </c>
      <c r="C3638" s="14" t="s">
        <v>22705</v>
      </c>
      <c r="D3638" s="14" t="s">
        <v>22706</v>
      </c>
      <c r="E3638" s="16" t="s">
        <v>22707</v>
      </c>
      <c r="F3638" s="16" t="s">
        <v>22708</v>
      </c>
      <c r="G3638" s="23" t="s">
        <v>43</v>
      </c>
      <c r="H3638" s="18" t="n">
        <v>2</v>
      </c>
      <c r="I3638" s="20" t="n">
        <v>49.73</v>
      </c>
      <c r="J3638" s="20" t="n">
        <v>183.74</v>
      </c>
      <c r="K3638" s="18" t="n">
        <v>3</v>
      </c>
      <c r="L3638" s="18" t="n">
        <v>2</v>
      </c>
      <c r="M3638" s="18" t="n">
        <v>24</v>
      </c>
      <c r="N3638" s="18" t="n">
        <v>24</v>
      </c>
      <c r="O3638" s="14" t="s">
        <v>1126</v>
      </c>
      <c r="P3638" s="14" t="s">
        <v>84</v>
      </c>
      <c r="Q3638" s="15" t="s">
        <v>1089</v>
      </c>
      <c r="R3638" s="16" t="s">
        <v>22709</v>
      </c>
      <c r="S3638" s="15" t="s">
        <v>22710</v>
      </c>
      <c r="T3638" s="15" t="s">
        <v>22710</v>
      </c>
      <c r="U3638" s="21" t="s">
        <v>72</v>
      </c>
    </row>
    <row r="3639" customFormat="false" ht="15" hidden="false" customHeight="false" outlineLevel="0" collapsed="false">
      <c r="A3639" s="15" t="s">
        <v>686</v>
      </c>
      <c r="B3639" s="15" t="s">
        <v>978</v>
      </c>
      <c r="C3639" s="14" t="s">
        <v>22711</v>
      </c>
      <c r="D3639" s="14" t="s">
        <v>22712</v>
      </c>
      <c r="E3639" s="16" t="s">
        <v>22713</v>
      </c>
      <c r="F3639" s="16" t="s">
        <v>22714</v>
      </c>
      <c r="G3639" s="23" t="s">
        <v>43</v>
      </c>
      <c r="H3639" s="18" t="n">
        <v>1</v>
      </c>
      <c r="I3639" s="20" t="n">
        <v>39.8</v>
      </c>
      <c r="J3639" s="20" t="n">
        <v>104.46</v>
      </c>
      <c r="K3639" s="18" t="n">
        <v>4</v>
      </c>
      <c r="L3639" s="18" t="n">
        <v>2</v>
      </c>
      <c r="M3639" s="18" t="n">
        <v>40</v>
      </c>
      <c r="N3639" s="18" t="n">
        <v>40</v>
      </c>
      <c r="O3639" s="14" t="s">
        <v>1088</v>
      </c>
      <c r="P3639" s="14" t="s">
        <v>84</v>
      </c>
      <c r="Q3639" s="15" t="s">
        <v>1089</v>
      </c>
      <c r="R3639" s="16" t="s">
        <v>22715</v>
      </c>
      <c r="S3639" s="15" t="s">
        <v>22716</v>
      </c>
      <c r="T3639" s="15" t="s">
        <v>22716</v>
      </c>
      <c r="U3639" s="21" t="s">
        <v>72</v>
      </c>
    </row>
    <row r="3640" customFormat="false" ht="15" hidden="false" customHeight="false" outlineLevel="0" collapsed="false">
      <c r="A3640" s="15" t="s">
        <v>686</v>
      </c>
      <c r="B3640" s="15" t="s">
        <v>978</v>
      </c>
      <c r="C3640" s="14" t="s">
        <v>22717</v>
      </c>
      <c r="D3640" s="14" t="s">
        <v>22718</v>
      </c>
      <c r="E3640" s="16" t="s">
        <v>22719</v>
      </c>
      <c r="F3640" s="16" t="s">
        <v>22720</v>
      </c>
      <c r="G3640" s="23" t="s">
        <v>43</v>
      </c>
      <c r="H3640" s="18" t="n">
        <v>3</v>
      </c>
      <c r="I3640" s="20" t="n">
        <v>72.39</v>
      </c>
      <c r="J3640" s="20" t="n">
        <v>176.94</v>
      </c>
      <c r="K3640" s="18" t="n">
        <v>13</v>
      </c>
      <c r="L3640" s="18" t="n">
        <v>4</v>
      </c>
      <c r="M3640" s="18" t="n">
        <v>256</v>
      </c>
      <c r="N3640" s="18" t="n">
        <v>59</v>
      </c>
      <c r="O3640" s="14" t="s">
        <v>1097</v>
      </c>
      <c r="P3640" s="14" t="s">
        <v>84</v>
      </c>
      <c r="Q3640" s="15" t="s">
        <v>1089</v>
      </c>
      <c r="R3640" s="16" t="s">
        <v>2429</v>
      </c>
      <c r="S3640" s="15" t="s">
        <v>22721</v>
      </c>
      <c r="T3640" s="15" t="s">
        <v>22721</v>
      </c>
      <c r="U3640" s="21" t="s">
        <v>72</v>
      </c>
    </row>
    <row r="3641" customFormat="false" ht="15" hidden="false" customHeight="false" outlineLevel="0" collapsed="false">
      <c r="A3641" s="15" t="s">
        <v>686</v>
      </c>
      <c r="B3641" s="15" t="s">
        <v>978</v>
      </c>
      <c r="C3641" s="14" t="s">
        <v>22722</v>
      </c>
      <c r="D3641" s="14" t="s">
        <v>22723</v>
      </c>
      <c r="E3641" s="16" t="s">
        <v>22724</v>
      </c>
      <c r="F3641" s="16" t="s">
        <v>22725</v>
      </c>
      <c r="G3641" s="23" t="s">
        <v>43</v>
      </c>
      <c r="H3641" s="18" t="n">
        <v>2</v>
      </c>
      <c r="I3641" s="20" t="n">
        <v>59.78</v>
      </c>
      <c r="J3641" s="20" t="n">
        <v>104.86</v>
      </c>
      <c r="K3641" s="18" t="n">
        <v>3</v>
      </c>
      <c r="L3641" s="18" t="n">
        <v>3</v>
      </c>
      <c r="M3641" s="18" t="n">
        <v>72</v>
      </c>
      <c r="N3641" s="18" t="n">
        <v>24</v>
      </c>
      <c r="O3641" s="14" t="s">
        <v>1088</v>
      </c>
      <c r="P3641" s="14" t="s">
        <v>118</v>
      </c>
      <c r="Q3641" s="15" t="s">
        <v>1089</v>
      </c>
      <c r="R3641" s="16" t="s">
        <v>22726</v>
      </c>
      <c r="S3641" s="15" t="s">
        <v>22727</v>
      </c>
      <c r="T3641" s="15" t="s">
        <v>22727</v>
      </c>
      <c r="U3641" s="21" t="s">
        <v>72</v>
      </c>
    </row>
    <row r="3642" customFormat="false" ht="26.85" hidden="false" customHeight="false" outlineLevel="0" collapsed="false">
      <c r="A3642" s="15" t="s">
        <v>686</v>
      </c>
      <c r="B3642" s="15" t="s">
        <v>978</v>
      </c>
      <c r="C3642" s="14" t="s">
        <v>22728</v>
      </c>
      <c r="D3642" s="14" t="s">
        <v>22729</v>
      </c>
      <c r="E3642" s="16" t="s">
        <v>22730</v>
      </c>
      <c r="F3642" s="16" t="s">
        <v>22731</v>
      </c>
      <c r="G3642" s="23" t="s">
        <v>43</v>
      </c>
      <c r="H3642" s="18" t="n">
        <v>4</v>
      </c>
      <c r="I3642" s="20" t="n">
        <v>56.05</v>
      </c>
      <c r="J3642" s="20" t="n">
        <v>103.21</v>
      </c>
      <c r="K3642" s="18" t="n">
        <v>12</v>
      </c>
      <c r="L3642" s="18" t="n">
        <v>8</v>
      </c>
      <c r="M3642" s="18" t="n">
        <v>144</v>
      </c>
      <c r="N3642" s="18" t="n">
        <v>144</v>
      </c>
      <c r="O3642" s="14" t="s">
        <v>22732</v>
      </c>
      <c r="P3642" s="14" t="s">
        <v>84</v>
      </c>
      <c r="Q3642" s="15" t="s">
        <v>1089</v>
      </c>
      <c r="R3642" s="16" t="s">
        <v>9604</v>
      </c>
      <c r="S3642" s="15" t="s">
        <v>22733</v>
      </c>
      <c r="T3642" s="15" t="s">
        <v>22734</v>
      </c>
      <c r="U3642" s="21" t="s">
        <v>72</v>
      </c>
    </row>
    <row r="3643" customFormat="false" ht="15" hidden="false" customHeight="false" outlineLevel="0" collapsed="false">
      <c r="A3643" s="15" t="s">
        <v>686</v>
      </c>
      <c r="B3643" s="15" t="s">
        <v>978</v>
      </c>
      <c r="C3643" s="14" t="s">
        <v>22735</v>
      </c>
      <c r="D3643" s="14" t="s">
        <v>22736</v>
      </c>
      <c r="E3643" s="16" t="s">
        <v>22737</v>
      </c>
      <c r="F3643" s="16" t="s">
        <v>22738</v>
      </c>
      <c r="G3643" s="19" t="s">
        <v>41</v>
      </c>
      <c r="H3643" s="18" t="n">
        <v>7</v>
      </c>
      <c r="I3643" s="20" t="n">
        <v>145.56</v>
      </c>
      <c r="J3643" s="20" t="n">
        <v>396.78</v>
      </c>
      <c r="K3643" s="18" t="n">
        <v>11</v>
      </c>
      <c r="L3643" s="18" t="n">
        <v>14</v>
      </c>
      <c r="M3643" s="18" t="n">
        <v>185</v>
      </c>
      <c r="N3643" s="18" t="n">
        <v>119</v>
      </c>
      <c r="O3643" s="14" t="s">
        <v>1088</v>
      </c>
      <c r="P3643" s="14" t="s">
        <v>84</v>
      </c>
      <c r="Q3643" s="15" t="s">
        <v>1089</v>
      </c>
      <c r="R3643" s="16" t="s">
        <v>22739</v>
      </c>
      <c r="S3643" s="15" t="s">
        <v>22740</v>
      </c>
      <c r="T3643" s="15" t="s">
        <v>21763</v>
      </c>
      <c r="U3643" s="21" t="s">
        <v>72</v>
      </c>
    </row>
    <row r="3644" customFormat="false" ht="26.85" hidden="false" customHeight="false" outlineLevel="0" collapsed="false">
      <c r="A3644" s="15" t="s">
        <v>686</v>
      </c>
      <c r="B3644" s="15" t="s">
        <v>978</v>
      </c>
      <c r="C3644" s="14" t="s">
        <v>22741</v>
      </c>
      <c r="D3644" s="14" t="s">
        <v>22742</v>
      </c>
      <c r="E3644" s="16" t="s">
        <v>22743</v>
      </c>
      <c r="F3644" s="16" t="s">
        <v>21953</v>
      </c>
      <c r="G3644" s="25" t="s">
        <v>39</v>
      </c>
      <c r="H3644" s="18" t="n">
        <v>5</v>
      </c>
      <c r="I3644" s="20" t="n">
        <v>150</v>
      </c>
      <c r="J3644" s="20" t="n">
        <v>498.72</v>
      </c>
      <c r="K3644" s="18" t="n">
        <v>14</v>
      </c>
      <c r="L3644" s="18" t="n">
        <v>6</v>
      </c>
      <c r="M3644" s="18" t="n">
        <v>406</v>
      </c>
      <c r="N3644" s="18" t="n">
        <v>108</v>
      </c>
      <c r="O3644" s="14" t="s">
        <v>1126</v>
      </c>
      <c r="P3644" s="14" t="s">
        <v>1185</v>
      </c>
      <c r="Q3644" s="15" t="s">
        <v>1089</v>
      </c>
      <c r="R3644" s="16" t="s">
        <v>12686</v>
      </c>
      <c r="S3644" s="15" t="s">
        <v>22634</v>
      </c>
      <c r="T3644" s="15" t="s">
        <v>22744</v>
      </c>
      <c r="U3644" s="21" t="s">
        <v>72</v>
      </c>
    </row>
    <row r="3645" customFormat="false" ht="15" hidden="false" customHeight="false" outlineLevel="0" collapsed="false">
      <c r="A3645" s="15" t="s">
        <v>686</v>
      </c>
      <c r="B3645" s="15" t="s">
        <v>978</v>
      </c>
      <c r="C3645" s="14" t="s">
        <v>22745</v>
      </c>
      <c r="D3645" s="14" t="s">
        <v>22746</v>
      </c>
      <c r="E3645" s="16" t="s">
        <v>22747</v>
      </c>
      <c r="F3645" s="16" t="s">
        <v>22748</v>
      </c>
      <c r="G3645" s="23" t="s">
        <v>43</v>
      </c>
      <c r="H3645" s="18" t="n">
        <v>3</v>
      </c>
      <c r="I3645" s="20" t="n">
        <v>41.07</v>
      </c>
      <c r="J3645" s="20" t="n">
        <v>87.47</v>
      </c>
      <c r="K3645" s="18" t="n">
        <v>24</v>
      </c>
      <c r="L3645" s="18" t="n">
        <v>6</v>
      </c>
      <c r="M3645" s="18" t="n">
        <v>305</v>
      </c>
      <c r="N3645" s="18" t="n">
        <v>95</v>
      </c>
      <c r="O3645" s="14" t="s">
        <v>1097</v>
      </c>
      <c r="P3645" s="14" t="s">
        <v>118</v>
      </c>
      <c r="Q3645" s="15" t="s">
        <v>1089</v>
      </c>
      <c r="R3645" s="16" t="s">
        <v>22749</v>
      </c>
      <c r="S3645" s="15" t="s">
        <v>22750</v>
      </c>
      <c r="T3645" s="15" t="s">
        <v>22751</v>
      </c>
      <c r="U3645" s="21" t="s">
        <v>72</v>
      </c>
    </row>
    <row r="3646" customFormat="false" ht="15" hidden="false" customHeight="false" outlineLevel="0" collapsed="false">
      <c r="A3646" s="15" t="s">
        <v>686</v>
      </c>
      <c r="B3646" s="15" t="s">
        <v>978</v>
      </c>
      <c r="C3646" s="14" t="s">
        <v>22752</v>
      </c>
      <c r="D3646" s="14" t="s">
        <v>22753</v>
      </c>
      <c r="E3646" s="16" t="s">
        <v>22754</v>
      </c>
      <c r="F3646" s="16" t="s">
        <v>22755</v>
      </c>
      <c r="G3646" s="25" t="s">
        <v>39</v>
      </c>
      <c r="H3646" s="18" t="n">
        <v>17</v>
      </c>
      <c r="I3646" s="20" t="n">
        <v>424.79</v>
      </c>
      <c r="J3646" s="20" t="n">
        <v>780.95</v>
      </c>
      <c r="K3646" s="18" t="n">
        <v>69</v>
      </c>
      <c r="L3646" s="18" t="n">
        <v>17</v>
      </c>
      <c r="M3646" s="18" t="n">
        <v>1432</v>
      </c>
      <c r="N3646" s="18" t="n">
        <v>356</v>
      </c>
      <c r="O3646" s="14" t="s">
        <v>1097</v>
      </c>
      <c r="P3646" s="14" t="s">
        <v>118</v>
      </c>
      <c r="Q3646" s="15" t="s">
        <v>1089</v>
      </c>
      <c r="R3646" s="16" t="s">
        <v>22756</v>
      </c>
      <c r="S3646" s="15" t="s">
        <v>22757</v>
      </c>
      <c r="T3646" s="15" t="s">
        <v>22757</v>
      </c>
      <c r="U3646" s="21" t="s">
        <v>72</v>
      </c>
    </row>
    <row r="3647" customFormat="false" ht="15" hidden="false" customHeight="false" outlineLevel="0" collapsed="false">
      <c r="A3647" s="15" t="s">
        <v>686</v>
      </c>
      <c r="B3647" s="15" t="s">
        <v>978</v>
      </c>
      <c r="C3647" s="14" t="s">
        <v>22758</v>
      </c>
      <c r="D3647" s="14" t="s">
        <v>22759</v>
      </c>
      <c r="E3647" s="16" t="s">
        <v>22760</v>
      </c>
      <c r="F3647" s="16" t="s">
        <v>22761</v>
      </c>
      <c r="G3647" s="19" t="s">
        <v>41</v>
      </c>
      <c r="H3647" s="18" t="n">
        <v>6</v>
      </c>
      <c r="I3647" s="20" t="n">
        <v>199.8</v>
      </c>
      <c r="J3647" s="20" t="n">
        <v>326.12</v>
      </c>
      <c r="K3647" s="18" t="n">
        <v>20</v>
      </c>
      <c r="L3647" s="18" t="n">
        <v>17</v>
      </c>
      <c r="M3647" s="18" t="n">
        <v>400</v>
      </c>
      <c r="N3647" s="18" t="n">
        <v>240</v>
      </c>
      <c r="O3647" s="14" t="s">
        <v>9118</v>
      </c>
      <c r="P3647" s="14" t="s">
        <v>84</v>
      </c>
      <c r="Q3647" s="15" t="s">
        <v>1089</v>
      </c>
      <c r="R3647" s="16" t="s">
        <v>4936</v>
      </c>
      <c r="S3647" s="15" t="s">
        <v>21609</v>
      </c>
      <c r="T3647" s="15" t="s">
        <v>22762</v>
      </c>
      <c r="U3647" s="21" t="s">
        <v>72</v>
      </c>
    </row>
    <row r="3648" customFormat="false" ht="15" hidden="false" customHeight="false" outlineLevel="0" collapsed="false">
      <c r="A3648" s="15" t="s">
        <v>686</v>
      </c>
      <c r="B3648" s="15" t="s">
        <v>978</v>
      </c>
      <c r="C3648" s="14" t="s">
        <v>22763</v>
      </c>
      <c r="D3648" s="14" t="s">
        <v>22764</v>
      </c>
      <c r="E3648" s="16" t="s">
        <v>22765</v>
      </c>
      <c r="F3648" s="16" t="s">
        <v>22766</v>
      </c>
      <c r="G3648" s="25" t="s">
        <v>39</v>
      </c>
      <c r="H3648" s="18" t="n">
        <v>3</v>
      </c>
      <c r="I3648" s="20" t="n">
        <v>304.5</v>
      </c>
      <c r="J3648" s="20" t="n">
        <v>797.62</v>
      </c>
      <c r="K3648" s="18" t="n">
        <v>11</v>
      </c>
      <c r="L3648" s="18" t="n">
        <v>21</v>
      </c>
      <c r="M3648" s="18" t="n">
        <v>330</v>
      </c>
      <c r="N3648" s="18" t="n">
        <v>210</v>
      </c>
      <c r="O3648" s="14" t="s">
        <v>7240</v>
      </c>
      <c r="P3648" s="14" t="s">
        <v>84</v>
      </c>
      <c r="Q3648" s="15" t="s">
        <v>1089</v>
      </c>
      <c r="R3648" s="16" t="s">
        <v>22767</v>
      </c>
      <c r="S3648" s="15" t="s">
        <v>22768</v>
      </c>
      <c r="T3648" s="15" t="s">
        <v>22768</v>
      </c>
      <c r="U3648" s="21" t="s">
        <v>72</v>
      </c>
    </row>
    <row r="3649" customFormat="false" ht="15" hidden="false" customHeight="false" outlineLevel="0" collapsed="false">
      <c r="A3649" s="15" t="s">
        <v>686</v>
      </c>
      <c r="B3649" s="15" t="s">
        <v>978</v>
      </c>
      <c r="C3649" s="14" t="s">
        <v>22769</v>
      </c>
      <c r="D3649" s="14" t="s">
        <v>22770</v>
      </c>
      <c r="E3649" s="16" t="s">
        <v>22771</v>
      </c>
      <c r="F3649" s="16" t="s">
        <v>22772</v>
      </c>
      <c r="G3649" s="23" t="s">
        <v>43</v>
      </c>
      <c r="H3649" s="18" t="n">
        <v>2</v>
      </c>
      <c r="I3649" s="20" t="n">
        <v>102.15</v>
      </c>
      <c r="J3649" s="20" t="n">
        <v>197.05</v>
      </c>
      <c r="K3649" s="18" t="n">
        <v>9</v>
      </c>
      <c r="L3649" s="18" t="n">
        <v>10</v>
      </c>
      <c r="M3649" s="18" t="n">
        <v>390</v>
      </c>
      <c r="N3649" s="18" t="n">
        <v>276</v>
      </c>
      <c r="O3649" s="14" t="s">
        <v>1126</v>
      </c>
      <c r="P3649" s="14" t="s">
        <v>118</v>
      </c>
      <c r="Q3649" s="15" t="s">
        <v>1089</v>
      </c>
      <c r="R3649" s="16" t="s">
        <v>22773</v>
      </c>
      <c r="S3649" s="15" t="s">
        <v>18950</v>
      </c>
      <c r="T3649" s="15" t="s">
        <v>18950</v>
      </c>
      <c r="U3649" s="21" t="s">
        <v>72</v>
      </c>
    </row>
    <row r="3650" customFormat="false" ht="15" hidden="false" customHeight="false" outlineLevel="0" collapsed="false">
      <c r="A3650" s="15" t="s">
        <v>686</v>
      </c>
      <c r="B3650" s="15" t="s">
        <v>978</v>
      </c>
      <c r="C3650" s="14" t="s">
        <v>22774</v>
      </c>
      <c r="D3650" s="14" t="s">
        <v>22775</v>
      </c>
      <c r="E3650" s="16" t="s">
        <v>22776</v>
      </c>
      <c r="F3650" s="16" t="s">
        <v>22777</v>
      </c>
      <c r="G3650" s="23" t="s">
        <v>43</v>
      </c>
      <c r="H3650" s="18" t="n">
        <v>2</v>
      </c>
      <c r="I3650" s="20" t="n">
        <v>64.99</v>
      </c>
      <c r="J3650" s="20" t="n">
        <v>85.02</v>
      </c>
      <c r="K3650" s="18" t="n">
        <v>10</v>
      </c>
      <c r="L3650" s="18" t="n">
        <v>9</v>
      </c>
      <c r="M3650" s="18" t="n">
        <v>244</v>
      </c>
      <c r="N3650" s="18" t="n">
        <v>74</v>
      </c>
      <c r="O3650" s="14" t="s">
        <v>1097</v>
      </c>
      <c r="P3650" s="14" t="s">
        <v>118</v>
      </c>
      <c r="Q3650" s="15" t="s">
        <v>1089</v>
      </c>
      <c r="R3650" s="16" t="s">
        <v>22778</v>
      </c>
      <c r="S3650" s="15" t="s">
        <v>22779</v>
      </c>
      <c r="T3650" s="15" t="s">
        <v>22779</v>
      </c>
      <c r="U3650" s="21" t="s">
        <v>72</v>
      </c>
    </row>
    <row r="3651" customFormat="false" ht="15" hidden="false" customHeight="false" outlineLevel="0" collapsed="false">
      <c r="A3651" s="15" t="s">
        <v>686</v>
      </c>
      <c r="B3651" s="15" t="s">
        <v>978</v>
      </c>
      <c r="C3651" s="14" t="s">
        <v>22780</v>
      </c>
      <c r="D3651" s="14" t="s">
        <v>22781</v>
      </c>
      <c r="E3651" s="16" t="s">
        <v>22782</v>
      </c>
      <c r="F3651" s="16" t="s">
        <v>22783</v>
      </c>
      <c r="G3651" s="19" t="s">
        <v>41</v>
      </c>
      <c r="H3651" s="18" t="n">
        <v>6</v>
      </c>
      <c r="I3651" s="20" t="n">
        <v>159</v>
      </c>
      <c r="J3651" s="20" t="n">
        <v>102.64</v>
      </c>
      <c r="K3651" s="18" t="n">
        <v>18</v>
      </c>
      <c r="L3651" s="18" t="n">
        <v>1</v>
      </c>
      <c r="M3651" s="18" t="n">
        <v>462</v>
      </c>
      <c r="N3651" s="18" t="n">
        <v>73</v>
      </c>
      <c r="O3651" s="14" t="s">
        <v>6448</v>
      </c>
      <c r="P3651" s="14" t="s">
        <v>118</v>
      </c>
      <c r="Q3651" s="15" t="s">
        <v>1089</v>
      </c>
      <c r="R3651" s="16" t="s">
        <v>21538</v>
      </c>
      <c r="S3651" s="15" t="s">
        <v>22784</v>
      </c>
      <c r="T3651" s="15" t="s">
        <v>22785</v>
      </c>
      <c r="U3651" s="21" t="s">
        <v>72</v>
      </c>
    </row>
    <row r="3652" customFormat="false" ht="15" hidden="false" customHeight="false" outlineLevel="0" collapsed="false">
      <c r="A3652" s="15" t="s">
        <v>686</v>
      </c>
      <c r="B3652" s="15" t="s">
        <v>978</v>
      </c>
      <c r="C3652" s="14" t="s">
        <v>1074</v>
      </c>
      <c r="D3652" s="14" t="s">
        <v>22786</v>
      </c>
      <c r="E3652" s="16" t="s">
        <v>22787</v>
      </c>
      <c r="F3652" s="16" t="s">
        <v>1077</v>
      </c>
      <c r="G3652" s="23" t="s">
        <v>43</v>
      </c>
      <c r="H3652" s="18" t="n">
        <v>2</v>
      </c>
      <c r="I3652" s="20" t="n">
        <v>48.93</v>
      </c>
      <c r="J3652" s="20" t="n">
        <v>117.06</v>
      </c>
      <c r="K3652" s="18" t="n">
        <v>9</v>
      </c>
      <c r="L3652" s="18" t="n">
        <v>3</v>
      </c>
      <c r="M3652" s="18" t="n">
        <v>185</v>
      </c>
      <c r="N3652" s="18" t="n">
        <v>59</v>
      </c>
      <c r="O3652" s="14" t="s">
        <v>9118</v>
      </c>
      <c r="P3652" s="14" t="s">
        <v>84</v>
      </c>
      <c r="Q3652" s="15" t="s">
        <v>1089</v>
      </c>
      <c r="R3652" s="16" t="s">
        <v>1078</v>
      </c>
      <c r="S3652" s="15" t="s">
        <v>1079</v>
      </c>
      <c r="T3652" s="15" t="s">
        <v>1079</v>
      </c>
      <c r="U3652" s="21" t="s">
        <v>72</v>
      </c>
    </row>
    <row r="3653" customFormat="false" ht="15" hidden="false" customHeight="false" outlineLevel="0" collapsed="false">
      <c r="A3653" s="15" t="s">
        <v>686</v>
      </c>
      <c r="B3653" s="15" t="s">
        <v>978</v>
      </c>
      <c r="C3653" s="14" t="s">
        <v>22788</v>
      </c>
      <c r="D3653" s="14" t="s">
        <v>22789</v>
      </c>
      <c r="E3653" s="16" t="s">
        <v>22790</v>
      </c>
      <c r="F3653" s="16" t="s">
        <v>22791</v>
      </c>
      <c r="G3653" s="23" t="s">
        <v>43</v>
      </c>
      <c r="H3653" s="18" t="n">
        <v>3</v>
      </c>
      <c r="I3653" s="20" t="n">
        <v>43.2</v>
      </c>
      <c r="J3653" s="20" t="n">
        <v>120.66</v>
      </c>
      <c r="K3653" s="18" t="n">
        <v>13</v>
      </c>
      <c r="L3653" s="18" t="n">
        <v>3</v>
      </c>
      <c r="M3653" s="18" t="n">
        <v>146</v>
      </c>
      <c r="N3653" s="18" t="n">
        <v>114</v>
      </c>
      <c r="O3653" s="14" t="s">
        <v>1126</v>
      </c>
      <c r="P3653" s="14" t="s">
        <v>118</v>
      </c>
      <c r="Q3653" s="15" t="s">
        <v>1089</v>
      </c>
      <c r="R3653" s="16" t="s">
        <v>22792</v>
      </c>
      <c r="S3653" s="15" t="s">
        <v>22793</v>
      </c>
      <c r="T3653" s="15" t="s">
        <v>22793</v>
      </c>
      <c r="U3653" s="21" t="s">
        <v>72</v>
      </c>
    </row>
    <row r="3654" customFormat="false" ht="15" hidden="false" customHeight="false" outlineLevel="0" collapsed="false">
      <c r="A3654" s="15" t="s">
        <v>686</v>
      </c>
      <c r="B3654" s="15" t="s">
        <v>978</v>
      </c>
      <c r="C3654" s="14" t="s">
        <v>22794</v>
      </c>
      <c r="D3654" s="14" t="s">
        <v>22795</v>
      </c>
      <c r="E3654" s="16" t="s">
        <v>22796</v>
      </c>
      <c r="F3654" s="16" t="s">
        <v>22437</v>
      </c>
      <c r="G3654" s="23" t="s">
        <v>43</v>
      </c>
      <c r="H3654" s="18" t="n">
        <v>1</v>
      </c>
      <c r="I3654" s="20" t="n">
        <v>41.34</v>
      </c>
      <c r="J3654" s="20" t="n">
        <v>94.35</v>
      </c>
      <c r="K3654" s="18" t="n">
        <v>6</v>
      </c>
      <c r="L3654" s="18" t="n">
        <v>8</v>
      </c>
      <c r="M3654" s="18" t="n">
        <v>204</v>
      </c>
      <c r="N3654" s="18" t="n">
        <v>204</v>
      </c>
      <c r="O3654" s="14" t="s">
        <v>1097</v>
      </c>
      <c r="P3654" s="14" t="s">
        <v>84</v>
      </c>
      <c r="Q3654" s="15" t="s">
        <v>1089</v>
      </c>
      <c r="R3654" s="16" t="s">
        <v>22797</v>
      </c>
      <c r="S3654" s="15" t="s">
        <v>22798</v>
      </c>
      <c r="T3654" s="15" t="s">
        <v>22799</v>
      </c>
      <c r="U3654" s="21" t="s">
        <v>72</v>
      </c>
    </row>
    <row r="3655" customFormat="false" ht="15" hidden="false" customHeight="false" outlineLevel="0" collapsed="false">
      <c r="A3655" s="15" t="s">
        <v>686</v>
      </c>
      <c r="B3655" s="15" t="s">
        <v>978</v>
      </c>
      <c r="C3655" s="14" t="s">
        <v>22800</v>
      </c>
      <c r="D3655" s="14" t="s">
        <v>22801</v>
      </c>
      <c r="E3655" s="16" t="s">
        <v>22802</v>
      </c>
      <c r="F3655" s="16" t="s">
        <v>22803</v>
      </c>
      <c r="G3655" s="19" t="s">
        <v>41</v>
      </c>
      <c r="H3655" s="18" t="n">
        <v>5</v>
      </c>
      <c r="I3655" s="20" t="n">
        <v>183.84</v>
      </c>
      <c r="J3655" s="20" t="n">
        <v>282.14</v>
      </c>
      <c r="K3655" s="18" t="n">
        <v>4</v>
      </c>
      <c r="L3655" s="18" t="n">
        <v>7</v>
      </c>
      <c r="M3655" s="18" t="n">
        <v>112</v>
      </c>
      <c r="N3655" s="18" t="n">
        <v>112</v>
      </c>
      <c r="O3655" s="14" t="s">
        <v>1088</v>
      </c>
      <c r="P3655" s="14" t="s">
        <v>84</v>
      </c>
      <c r="Q3655" s="15" t="s">
        <v>1089</v>
      </c>
      <c r="R3655" s="16" t="s">
        <v>22804</v>
      </c>
      <c r="S3655" s="15" t="s">
        <v>22805</v>
      </c>
      <c r="T3655" s="15" t="s">
        <v>22806</v>
      </c>
      <c r="U3655" s="21" t="s">
        <v>72</v>
      </c>
    </row>
    <row r="3656" customFormat="false" ht="15" hidden="false" customHeight="false" outlineLevel="0" collapsed="false">
      <c r="A3656" s="15" t="s">
        <v>686</v>
      </c>
      <c r="B3656" s="15" t="s">
        <v>978</v>
      </c>
      <c r="C3656" s="14" t="s">
        <v>22807</v>
      </c>
      <c r="D3656" s="14" t="s">
        <v>22808</v>
      </c>
      <c r="E3656" s="16" t="s">
        <v>22809</v>
      </c>
      <c r="F3656" s="16" t="s">
        <v>22810</v>
      </c>
      <c r="G3656" s="25" t="s">
        <v>39</v>
      </c>
      <c r="H3656" s="18" t="n">
        <v>7</v>
      </c>
      <c r="I3656" s="20" t="n">
        <v>275.58</v>
      </c>
      <c r="J3656" s="20" t="n">
        <v>483.26</v>
      </c>
      <c r="K3656" s="18" t="n">
        <v>23</v>
      </c>
      <c r="L3656" s="18" t="n">
        <v>9</v>
      </c>
      <c r="M3656" s="18" t="n">
        <v>817</v>
      </c>
      <c r="N3656" s="18" t="n">
        <v>385</v>
      </c>
      <c r="O3656" s="14" t="s">
        <v>6448</v>
      </c>
      <c r="P3656" s="14" t="s">
        <v>84</v>
      </c>
      <c r="Q3656" s="15" t="s">
        <v>1089</v>
      </c>
      <c r="R3656" s="16" t="s">
        <v>11895</v>
      </c>
      <c r="S3656" s="15" t="s">
        <v>22811</v>
      </c>
      <c r="T3656" s="15" t="s">
        <v>22812</v>
      </c>
      <c r="U3656" s="21" t="s">
        <v>72</v>
      </c>
    </row>
    <row r="3657" customFormat="false" ht="15" hidden="false" customHeight="false" outlineLevel="0" collapsed="false">
      <c r="A3657" s="15" t="s">
        <v>686</v>
      </c>
      <c r="B3657" s="15" t="s">
        <v>978</v>
      </c>
      <c r="C3657" s="14" t="s">
        <v>22813</v>
      </c>
      <c r="D3657" s="14" t="s">
        <v>22814</v>
      </c>
      <c r="E3657" s="16" t="s">
        <v>22815</v>
      </c>
      <c r="F3657" s="16" t="s">
        <v>22816</v>
      </c>
      <c r="G3657" s="19" t="s">
        <v>41</v>
      </c>
      <c r="H3657" s="18" t="n">
        <v>6</v>
      </c>
      <c r="I3657" s="20" t="n">
        <v>164.42</v>
      </c>
      <c r="J3657" s="20" t="n">
        <v>257.61</v>
      </c>
      <c r="K3657" s="18" t="n">
        <v>11</v>
      </c>
      <c r="L3657" s="18" t="n">
        <v>7</v>
      </c>
      <c r="M3657" s="18" t="n">
        <v>275</v>
      </c>
      <c r="N3657" s="18" t="n">
        <v>75</v>
      </c>
      <c r="O3657" s="14" t="s">
        <v>1088</v>
      </c>
      <c r="P3657" s="14" t="s">
        <v>118</v>
      </c>
      <c r="Q3657" s="15" t="s">
        <v>1089</v>
      </c>
      <c r="R3657" s="16" t="s">
        <v>22817</v>
      </c>
      <c r="S3657" s="15" t="s">
        <v>22818</v>
      </c>
      <c r="T3657" s="15" t="s">
        <v>22818</v>
      </c>
      <c r="U3657" s="21" t="s">
        <v>72</v>
      </c>
    </row>
    <row r="3658" customFormat="false" ht="15" hidden="false" customHeight="false" outlineLevel="0" collapsed="false">
      <c r="A3658" s="15" t="s">
        <v>686</v>
      </c>
      <c r="B3658" s="15" t="s">
        <v>978</v>
      </c>
      <c r="C3658" s="14" t="s">
        <v>22819</v>
      </c>
      <c r="D3658" s="14" t="s">
        <v>22820</v>
      </c>
      <c r="E3658" s="16" t="s">
        <v>22821</v>
      </c>
      <c r="F3658" s="16" t="s">
        <v>22822</v>
      </c>
      <c r="G3658" s="23" t="s">
        <v>43</v>
      </c>
      <c r="H3658" s="18" t="n">
        <v>2</v>
      </c>
      <c r="I3658" s="20" t="n">
        <v>65</v>
      </c>
      <c r="J3658" s="20" t="n">
        <v>148.64</v>
      </c>
      <c r="K3658" s="18" t="n">
        <v>2</v>
      </c>
      <c r="L3658" s="18" t="n">
        <v>6</v>
      </c>
      <c r="M3658" s="18" t="n">
        <v>50</v>
      </c>
      <c r="N3658" s="18" t="n">
        <v>50</v>
      </c>
      <c r="O3658" s="14" t="s">
        <v>1126</v>
      </c>
      <c r="P3658" s="14" t="s">
        <v>84</v>
      </c>
      <c r="Q3658" s="15" t="s">
        <v>1089</v>
      </c>
      <c r="R3658" s="16" t="s">
        <v>19883</v>
      </c>
      <c r="S3658" s="15" t="s">
        <v>22823</v>
      </c>
      <c r="T3658" s="15" t="s">
        <v>22823</v>
      </c>
      <c r="U3658" s="21" t="s">
        <v>72</v>
      </c>
    </row>
    <row r="3659" customFormat="false" ht="15" hidden="false" customHeight="false" outlineLevel="0" collapsed="false">
      <c r="A3659" s="15" t="s">
        <v>686</v>
      </c>
      <c r="B3659" s="15" t="s">
        <v>978</v>
      </c>
      <c r="C3659" s="14" t="s">
        <v>22824</v>
      </c>
      <c r="D3659" s="14" t="s">
        <v>22825</v>
      </c>
      <c r="E3659" s="16" t="s">
        <v>22826</v>
      </c>
      <c r="F3659" s="16" t="s">
        <v>22827</v>
      </c>
      <c r="G3659" s="19" t="s">
        <v>41</v>
      </c>
      <c r="H3659" s="18" t="n">
        <v>1</v>
      </c>
      <c r="I3659" s="20" t="n">
        <v>67.65</v>
      </c>
      <c r="J3659" s="20" t="n">
        <v>215.93</v>
      </c>
      <c r="K3659" s="18" t="n">
        <v>19</v>
      </c>
      <c r="L3659" s="18" t="n">
        <v>13</v>
      </c>
      <c r="M3659" s="18" t="n">
        <v>361</v>
      </c>
      <c r="N3659" s="18" t="n">
        <v>76</v>
      </c>
      <c r="O3659" s="14" t="s">
        <v>1097</v>
      </c>
      <c r="P3659" s="14" t="s">
        <v>202</v>
      </c>
      <c r="Q3659" s="15" t="s">
        <v>1089</v>
      </c>
      <c r="R3659" s="16" t="s">
        <v>22828</v>
      </c>
      <c r="S3659" s="15" t="s">
        <v>22829</v>
      </c>
      <c r="T3659" s="15" t="s">
        <v>22830</v>
      </c>
      <c r="U3659" s="21" t="s">
        <v>72</v>
      </c>
    </row>
    <row r="3660" customFormat="false" ht="15" hidden="false" customHeight="false" outlineLevel="0" collapsed="false">
      <c r="A3660" s="15" t="s">
        <v>686</v>
      </c>
      <c r="B3660" s="15" t="s">
        <v>978</v>
      </c>
      <c r="C3660" s="14" t="s">
        <v>22831</v>
      </c>
      <c r="D3660" s="14" t="s">
        <v>22832</v>
      </c>
      <c r="E3660" s="16" t="s">
        <v>22833</v>
      </c>
      <c r="F3660" s="16"/>
      <c r="G3660" s="23" t="s">
        <v>43</v>
      </c>
      <c r="H3660" s="18" t="n">
        <v>2</v>
      </c>
      <c r="I3660" s="20" t="n">
        <v>68.74</v>
      </c>
      <c r="J3660" s="20" t="n">
        <v>184</v>
      </c>
      <c r="K3660" s="18" t="n">
        <v>3</v>
      </c>
      <c r="L3660" s="18" t="n">
        <v>1</v>
      </c>
      <c r="M3660" s="18" t="n">
        <v>45</v>
      </c>
      <c r="N3660" s="18" t="n">
        <v>45</v>
      </c>
      <c r="O3660" s="14" t="s">
        <v>1088</v>
      </c>
      <c r="P3660" s="14" t="s">
        <v>84</v>
      </c>
      <c r="Q3660" s="15" t="s">
        <v>1089</v>
      </c>
      <c r="R3660" s="16" t="s">
        <v>22834</v>
      </c>
      <c r="S3660" s="15" t="s">
        <v>22835</v>
      </c>
      <c r="T3660" s="15" t="s">
        <v>22835</v>
      </c>
      <c r="U3660" s="21" t="s">
        <v>72</v>
      </c>
    </row>
    <row r="3661" customFormat="false" ht="15" hidden="false" customHeight="false" outlineLevel="0" collapsed="false">
      <c r="A3661" s="15" t="s">
        <v>686</v>
      </c>
      <c r="B3661" s="15" t="s">
        <v>978</v>
      </c>
      <c r="C3661" s="14" t="s">
        <v>22836</v>
      </c>
      <c r="D3661" s="14" t="s">
        <v>22837</v>
      </c>
      <c r="E3661" s="16" t="s">
        <v>22838</v>
      </c>
      <c r="F3661" s="16" t="s">
        <v>22839</v>
      </c>
      <c r="G3661" s="23" t="s">
        <v>43</v>
      </c>
      <c r="H3661" s="18" t="n">
        <v>2</v>
      </c>
      <c r="I3661" s="20" t="n">
        <v>48.12</v>
      </c>
      <c r="J3661" s="20" t="n">
        <v>73.66</v>
      </c>
      <c r="K3661" s="18" t="n">
        <v>14</v>
      </c>
      <c r="L3661" s="18" t="n">
        <v>2</v>
      </c>
      <c r="M3661" s="18" t="n">
        <v>268</v>
      </c>
      <c r="N3661" s="18" t="n">
        <v>112</v>
      </c>
      <c r="O3661" s="14" t="s">
        <v>22840</v>
      </c>
      <c r="P3661" s="14" t="s">
        <v>118</v>
      </c>
      <c r="Q3661" s="15" t="s">
        <v>1089</v>
      </c>
      <c r="R3661" s="16" t="s">
        <v>22841</v>
      </c>
      <c r="S3661" s="15" t="s">
        <v>22842</v>
      </c>
      <c r="T3661" s="15" t="s">
        <v>22843</v>
      </c>
      <c r="U3661" s="21" t="s">
        <v>72</v>
      </c>
    </row>
    <row r="3662" customFormat="false" ht="15" hidden="false" customHeight="false" outlineLevel="0" collapsed="false">
      <c r="A3662" s="15" t="s">
        <v>686</v>
      </c>
      <c r="B3662" s="15" t="s">
        <v>978</v>
      </c>
      <c r="C3662" s="14" t="s">
        <v>22844</v>
      </c>
      <c r="D3662" s="14" t="s">
        <v>22845</v>
      </c>
      <c r="E3662" s="16" t="s">
        <v>22846</v>
      </c>
      <c r="F3662" s="16" t="s">
        <v>22847</v>
      </c>
      <c r="G3662" s="25" t="s">
        <v>39</v>
      </c>
      <c r="H3662" s="18" t="n">
        <v>11</v>
      </c>
      <c r="I3662" s="20" t="n">
        <v>267.39</v>
      </c>
      <c r="J3662" s="20" t="n">
        <v>308.75</v>
      </c>
      <c r="K3662" s="18" t="n">
        <v>10</v>
      </c>
      <c r="L3662" s="18" t="n">
        <v>28</v>
      </c>
      <c r="M3662" s="18" t="n">
        <v>297</v>
      </c>
      <c r="N3662" s="18" t="n">
        <v>198</v>
      </c>
      <c r="O3662" s="14" t="s">
        <v>1088</v>
      </c>
      <c r="P3662" s="14" t="s">
        <v>515</v>
      </c>
      <c r="Q3662" s="15" t="s">
        <v>1089</v>
      </c>
      <c r="R3662" s="16" t="s">
        <v>22848</v>
      </c>
      <c r="S3662" s="15" t="s">
        <v>22849</v>
      </c>
      <c r="T3662" s="15" t="s">
        <v>22850</v>
      </c>
      <c r="U3662" s="21" t="s">
        <v>72</v>
      </c>
    </row>
    <row r="3663" customFormat="false" ht="15" hidden="false" customHeight="false" outlineLevel="0" collapsed="false">
      <c r="A3663" s="15" t="s">
        <v>686</v>
      </c>
      <c r="B3663" s="15" t="s">
        <v>978</v>
      </c>
      <c r="C3663" s="14" t="s">
        <v>22851</v>
      </c>
      <c r="D3663" s="14" t="s">
        <v>22852</v>
      </c>
      <c r="E3663" s="16" t="s">
        <v>22853</v>
      </c>
      <c r="F3663" s="16" t="s">
        <v>22854</v>
      </c>
      <c r="G3663" s="23" t="s">
        <v>43</v>
      </c>
      <c r="H3663" s="18" t="n">
        <v>3</v>
      </c>
      <c r="I3663" s="20" t="n">
        <v>43.44</v>
      </c>
      <c r="J3663" s="20" t="n">
        <v>104.61</v>
      </c>
      <c r="K3663" s="18" t="n">
        <v>12</v>
      </c>
      <c r="L3663" s="18" t="n">
        <v>7</v>
      </c>
      <c r="M3663" s="18" t="n">
        <v>123</v>
      </c>
      <c r="N3663" s="18" t="n">
        <v>57</v>
      </c>
      <c r="O3663" s="14" t="s">
        <v>1097</v>
      </c>
      <c r="P3663" s="14" t="s">
        <v>84</v>
      </c>
      <c r="Q3663" s="15" t="s">
        <v>1089</v>
      </c>
      <c r="R3663" s="16" t="s">
        <v>22855</v>
      </c>
      <c r="S3663" s="15" t="s">
        <v>22856</v>
      </c>
      <c r="T3663" s="15" t="s">
        <v>22857</v>
      </c>
      <c r="U3663" s="21" t="s">
        <v>72</v>
      </c>
    </row>
    <row r="3664" customFormat="false" ht="15" hidden="false" customHeight="false" outlineLevel="0" collapsed="false">
      <c r="A3664" s="15" t="s">
        <v>686</v>
      </c>
      <c r="B3664" s="15" t="s">
        <v>978</v>
      </c>
      <c r="C3664" s="14" t="s">
        <v>22858</v>
      </c>
      <c r="D3664" s="14" t="s">
        <v>22859</v>
      </c>
      <c r="E3664" s="16" t="s">
        <v>22541</v>
      </c>
      <c r="F3664" s="16" t="s">
        <v>22854</v>
      </c>
      <c r="G3664" s="23" t="s">
        <v>43</v>
      </c>
      <c r="H3664" s="18" t="n">
        <v>2</v>
      </c>
      <c r="I3664" s="20" t="n">
        <v>32.21</v>
      </c>
      <c r="J3664" s="20" t="n">
        <v>79.17</v>
      </c>
      <c r="K3664" s="18" t="n">
        <v>4</v>
      </c>
      <c r="L3664" s="18" t="n">
        <v>9</v>
      </c>
      <c r="M3664" s="18" t="n">
        <v>52</v>
      </c>
      <c r="N3664" s="18" t="n">
        <v>52</v>
      </c>
      <c r="O3664" s="14" t="s">
        <v>22860</v>
      </c>
      <c r="P3664" s="14" t="s">
        <v>84</v>
      </c>
      <c r="Q3664" s="15" t="s">
        <v>1089</v>
      </c>
      <c r="R3664" s="16" t="s">
        <v>22861</v>
      </c>
      <c r="S3664" s="15" t="s">
        <v>22856</v>
      </c>
      <c r="T3664" s="15" t="s">
        <v>22862</v>
      </c>
      <c r="U3664" s="21" t="s">
        <v>72</v>
      </c>
    </row>
    <row r="3665" customFormat="false" ht="52.2" hidden="false" customHeight="false" outlineLevel="0" collapsed="false">
      <c r="A3665" s="15" t="s">
        <v>686</v>
      </c>
      <c r="B3665" s="15" t="s">
        <v>978</v>
      </c>
      <c r="C3665" s="14" t="s">
        <v>22863</v>
      </c>
      <c r="D3665" s="14" t="s">
        <v>22864</v>
      </c>
      <c r="E3665" s="16" t="s">
        <v>22865</v>
      </c>
      <c r="F3665" s="16" t="s">
        <v>22866</v>
      </c>
      <c r="G3665" s="25" t="s">
        <v>39</v>
      </c>
      <c r="H3665" s="18" t="n">
        <v>12</v>
      </c>
      <c r="I3665" s="20" t="n">
        <v>1072.55</v>
      </c>
      <c r="J3665" s="20" t="n">
        <v>1528.73</v>
      </c>
      <c r="K3665" s="18" t="n">
        <v>10</v>
      </c>
      <c r="L3665" s="18" t="n">
        <v>20</v>
      </c>
      <c r="M3665" s="18" t="n">
        <v>600</v>
      </c>
      <c r="N3665" s="18" t="n">
        <v>60</v>
      </c>
      <c r="O3665" s="14" t="s">
        <v>1088</v>
      </c>
      <c r="P3665" s="14" t="s">
        <v>22867</v>
      </c>
      <c r="Q3665" s="15" t="s">
        <v>1089</v>
      </c>
      <c r="R3665" s="16" t="s">
        <v>22868</v>
      </c>
      <c r="S3665" s="15" t="s">
        <v>22869</v>
      </c>
      <c r="T3665" s="15" t="s">
        <v>22870</v>
      </c>
      <c r="U3665" s="21" t="s">
        <v>72</v>
      </c>
    </row>
    <row r="3666" customFormat="false" ht="15" hidden="false" customHeight="false" outlineLevel="0" collapsed="false">
      <c r="A3666" s="15" t="s">
        <v>686</v>
      </c>
      <c r="B3666" s="15" t="s">
        <v>22871</v>
      </c>
      <c r="C3666" s="14" t="s">
        <v>22872</v>
      </c>
      <c r="D3666" s="14" t="s">
        <v>22873</v>
      </c>
      <c r="E3666" s="16" t="s">
        <v>22874</v>
      </c>
      <c r="F3666" s="16" t="s">
        <v>22875</v>
      </c>
      <c r="G3666" s="23" t="s">
        <v>43</v>
      </c>
      <c r="H3666" s="18" t="n">
        <v>1</v>
      </c>
      <c r="I3666" s="20" t="n">
        <v>30</v>
      </c>
      <c r="J3666" s="20" t="n">
        <v>70</v>
      </c>
      <c r="K3666" s="18" t="n">
        <v>20</v>
      </c>
      <c r="L3666" s="18" t="n">
        <v>17</v>
      </c>
      <c r="M3666" s="18" t="n">
        <v>1140</v>
      </c>
      <c r="N3666" s="18" t="n">
        <v>228</v>
      </c>
      <c r="O3666" s="14" t="s">
        <v>1097</v>
      </c>
      <c r="P3666" s="14" t="s">
        <v>84</v>
      </c>
      <c r="Q3666" s="15" t="s">
        <v>1089</v>
      </c>
      <c r="R3666" s="16" t="s">
        <v>22876</v>
      </c>
      <c r="S3666" s="15" t="s">
        <v>22877</v>
      </c>
      <c r="T3666" s="15" t="s">
        <v>22877</v>
      </c>
      <c r="U3666" s="21" t="s">
        <v>72</v>
      </c>
    </row>
    <row r="3667" customFormat="false" ht="15" hidden="false" customHeight="false" outlineLevel="0" collapsed="false">
      <c r="A3667" s="15" t="s">
        <v>686</v>
      </c>
      <c r="B3667" s="15" t="s">
        <v>22871</v>
      </c>
      <c r="C3667" s="14" t="s">
        <v>22878</v>
      </c>
      <c r="D3667" s="14" t="s">
        <v>22879</v>
      </c>
      <c r="E3667" s="16" t="s">
        <v>22880</v>
      </c>
      <c r="F3667" s="16" t="s">
        <v>22339</v>
      </c>
      <c r="G3667" s="23" t="s">
        <v>43</v>
      </c>
      <c r="H3667" s="18" t="n">
        <v>4</v>
      </c>
      <c r="I3667" s="20" t="n">
        <v>116.38</v>
      </c>
      <c r="J3667" s="20" t="n">
        <v>191.66</v>
      </c>
      <c r="K3667" s="18" t="n">
        <v>12</v>
      </c>
      <c r="L3667" s="18" t="n">
        <v>6</v>
      </c>
      <c r="M3667" s="18" t="n">
        <v>288</v>
      </c>
      <c r="N3667" s="18" t="n">
        <v>288</v>
      </c>
      <c r="O3667" s="14" t="s">
        <v>1097</v>
      </c>
      <c r="P3667" s="14" t="s">
        <v>84</v>
      </c>
      <c r="Q3667" s="15" t="s">
        <v>1089</v>
      </c>
      <c r="R3667" s="16" t="s">
        <v>14644</v>
      </c>
      <c r="S3667" s="15" t="s">
        <v>22340</v>
      </c>
      <c r="T3667" s="15" t="s">
        <v>22340</v>
      </c>
      <c r="U3667" s="21" t="s">
        <v>72</v>
      </c>
    </row>
    <row r="3668" customFormat="false" ht="15" hidden="false" customHeight="false" outlineLevel="0" collapsed="false">
      <c r="A3668" s="15" t="s">
        <v>686</v>
      </c>
      <c r="B3668" s="15" t="s">
        <v>22871</v>
      </c>
      <c r="C3668" s="14" t="s">
        <v>22881</v>
      </c>
      <c r="D3668" s="14" t="s">
        <v>22882</v>
      </c>
      <c r="E3668" s="16" t="s">
        <v>22883</v>
      </c>
      <c r="F3668" s="16" t="s">
        <v>22884</v>
      </c>
      <c r="G3668" s="23" t="s">
        <v>43</v>
      </c>
      <c r="H3668" s="18" t="n">
        <v>2</v>
      </c>
      <c r="I3668" s="20" t="n">
        <v>73.7</v>
      </c>
      <c r="J3668" s="20" t="n">
        <v>88.15</v>
      </c>
      <c r="K3668" s="18" t="n">
        <v>6</v>
      </c>
      <c r="L3668" s="18" t="n">
        <v>1</v>
      </c>
      <c r="M3668" s="18" t="n">
        <v>183</v>
      </c>
      <c r="N3668" s="18" t="n">
        <v>183</v>
      </c>
      <c r="O3668" s="14" t="s">
        <v>1088</v>
      </c>
      <c r="P3668" s="14" t="s">
        <v>84</v>
      </c>
      <c r="Q3668" s="15" t="s">
        <v>1089</v>
      </c>
      <c r="R3668" s="16" t="s">
        <v>7536</v>
      </c>
      <c r="S3668" s="15" t="s">
        <v>22885</v>
      </c>
      <c r="T3668" s="15" t="s">
        <v>22885</v>
      </c>
      <c r="U3668" s="21" t="s">
        <v>72</v>
      </c>
    </row>
    <row r="3669" customFormat="false" ht="15" hidden="false" customHeight="false" outlineLevel="0" collapsed="false">
      <c r="A3669" s="15" t="s">
        <v>686</v>
      </c>
      <c r="B3669" s="15" t="s">
        <v>22871</v>
      </c>
      <c r="C3669" s="14" t="s">
        <v>22886</v>
      </c>
      <c r="D3669" s="14" t="s">
        <v>22887</v>
      </c>
      <c r="E3669" s="16" t="s">
        <v>22888</v>
      </c>
      <c r="F3669" s="16" t="s">
        <v>22889</v>
      </c>
      <c r="G3669" s="19" t="s">
        <v>41</v>
      </c>
      <c r="H3669" s="18" t="n">
        <v>5</v>
      </c>
      <c r="I3669" s="20" t="n">
        <v>126.57</v>
      </c>
      <c r="J3669" s="20" t="n">
        <v>258.56</v>
      </c>
      <c r="K3669" s="18" t="n">
        <v>5</v>
      </c>
      <c r="L3669" s="18" t="n">
        <v>9</v>
      </c>
      <c r="M3669" s="18" t="n">
        <v>164</v>
      </c>
      <c r="N3669" s="18" t="n">
        <v>104</v>
      </c>
      <c r="O3669" s="14" t="s">
        <v>1126</v>
      </c>
      <c r="P3669" s="14" t="s">
        <v>84</v>
      </c>
      <c r="Q3669" s="15" t="s">
        <v>1089</v>
      </c>
      <c r="R3669" s="16" t="s">
        <v>19031</v>
      </c>
      <c r="S3669" s="15" t="s">
        <v>22890</v>
      </c>
      <c r="T3669" s="15" t="s">
        <v>22890</v>
      </c>
      <c r="U3669" s="21" t="s">
        <v>72</v>
      </c>
    </row>
    <row r="3670" customFormat="false" ht="15" hidden="false" customHeight="false" outlineLevel="0" collapsed="false">
      <c r="A3670" s="15" t="s">
        <v>686</v>
      </c>
      <c r="B3670" s="15" t="s">
        <v>22871</v>
      </c>
      <c r="C3670" s="14" t="s">
        <v>22891</v>
      </c>
      <c r="D3670" s="14" t="s">
        <v>22892</v>
      </c>
      <c r="E3670" s="16" t="s">
        <v>22893</v>
      </c>
      <c r="F3670" s="16" t="s">
        <v>21953</v>
      </c>
      <c r="G3670" s="19" t="s">
        <v>41</v>
      </c>
      <c r="H3670" s="18" t="n">
        <v>5</v>
      </c>
      <c r="I3670" s="20" t="n">
        <v>139.48</v>
      </c>
      <c r="J3670" s="20" t="n">
        <v>313.47</v>
      </c>
      <c r="K3670" s="18" t="n">
        <v>66</v>
      </c>
      <c r="L3670" s="18" t="n">
        <v>21</v>
      </c>
      <c r="M3670" s="18" t="n">
        <v>1419</v>
      </c>
      <c r="N3670" s="18" t="n">
        <v>750</v>
      </c>
      <c r="O3670" s="14" t="s">
        <v>9118</v>
      </c>
      <c r="P3670" s="14" t="s">
        <v>118</v>
      </c>
      <c r="Q3670" s="15" t="s">
        <v>1089</v>
      </c>
      <c r="R3670" s="16" t="s">
        <v>22894</v>
      </c>
      <c r="S3670" s="15" t="s">
        <v>21955</v>
      </c>
      <c r="T3670" s="15" t="s">
        <v>22895</v>
      </c>
      <c r="U3670" s="21" t="s">
        <v>72</v>
      </c>
    </row>
    <row r="3671" customFormat="false" ht="15" hidden="false" customHeight="false" outlineLevel="0" collapsed="false">
      <c r="A3671" s="15" t="s">
        <v>686</v>
      </c>
      <c r="B3671" s="15" t="s">
        <v>22871</v>
      </c>
      <c r="C3671" s="14" t="s">
        <v>22896</v>
      </c>
      <c r="D3671" s="14" t="s">
        <v>22897</v>
      </c>
      <c r="E3671" s="16" t="s">
        <v>22898</v>
      </c>
      <c r="F3671" s="16" t="s">
        <v>21953</v>
      </c>
      <c r="G3671" s="23" t="s">
        <v>43</v>
      </c>
      <c r="H3671" s="18" t="n">
        <v>3</v>
      </c>
      <c r="I3671" s="20" t="n">
        <v>133.34</v>
      </c>
      <c r="J3671" s="20" t="n">
        <v>189.87</v>
      </c>
      <c r="K3671" s="18" t="n">
        <v>28</v>
      </c>
      <c r="L3671" s="18" t="n">
        <v>13</v>
      </c>
      <c r="M3671" s="18" t="n">
        <v>1012</v>
      </c>
      <c r="N3671" s="18" t="n">
        <v>718</v>
      </c>
      <c r="O3671" s="14" t="s">
        <v>1088</v>
      </c>
      <c r="P3671" s="14" t="s">
        <v>84</v>
      </c>
      <c r="Q3671" s="15" t="s">
        <v>1089</v>
      </c>
      <c r="R3671" s="16" t="s">
        <v>22899</v>
      </c>
      <c r="S3671" s="15" t="s">
        <v>22900</v>
      </c>
      <c r="T3671" s="15" t="s">
        <v>22900</v>
      </c>
      <c r="U3671" s="21" t="s">
        <v>72</v>
      </c>
    </row>
    <row r="3672" customFormat="false" ht="15" hidden="false" customHeight="false" outlineLevel="0" collapsed="false">
      <c r="A3672" s="15" t="s">
        <v>686</v>
      </c>
      <c r="B3672" s="15" t="s">
        <v>22871</v>
      </c>
      <c r="C3672" s="14" t="s">
        <v>22901</v>
      </c>
      <c r="D3672" s="14" t="s">
        <v>22902</v>
      </c>
      <c r="E3672" s="16" t="s">
        <v>22903</v>
      </c>
      <c r="F3672" s="16" t="s">
        <v>22904</v>
      </c>
      <c r="G3672" s="23" t="s">
        <v>43</v>
      </c>
      <c r="H3672" s="18" t="n">
        <v>2</v>
      </c>
      <c r="I3672" s="20" t="n">
        <v>66.6</v>
      </c>
      <c r="J3672" s="20" t="n">
        <v>134.7</v>
      </c>
      <c r="K3672" s="18" t="n">
        <v>9</v>
      </c>
      <c r="L3672" s="18" t="n">
        <v>4</v>
      </c>
      <c r="M3672" s="18" t="n">
        <v>261</v>
      </c>
      <c r="N3672" s="18" t="n">
        <v>87</v>
      </c>
      <c r="O3672" s="14" t="s">
        <v>1088</v>
      </c>
      <c r="P3672" s="14" t="s">
        <v>118</v>
      </c>
      <c r="Q3672" s="15" t="s">
        <v>1089</v>
      </c>
      <c r="R3672" s="16" t="s">
        <v>22905</v>
      </c>
      <c r="S3672" s="15" t="s">
        <v>22906</v>
      </c>
      <c r="T3672" s="15" t="s">
        <v>22906</v>
      </c>
      <c r="U3672" s="21" t="s">
        <v>72</v>
      </c>
    </row>
    <row r="3673" customFormat="false" ht="15" hidden="false" customHeight="false" outlineLevel="0" collapsed="false">
      <c r="A3673" s="15" t="s">
        <v>686</v>
      </c>
      <c r="B3673" s="15" t="s">
        <v>22871</v>
      </c>
      <c r="C3673" s="14" t="s">
        <v>22907</v>
      </c>
      <c r="D3673" s="14" t="s">
        <v>22908</v>
      </c>
      <c r="E3673" s="16" t="s">
        <v>22909</v>
      </c>
      <c r="F3673" s="16"/>
      <c r="G3673" s="19" t="s">
        <v>41</v>
      </c>
      <c r="H3673" s="18" t="n">
        <v>6</v>
      </c>
      <c r="I3673" s="20" t="n">
        <v>166.96</v>
      </c>
      <c r="J3673" s="20" t="n">
        <v>301.83</v>
      </c>
      <c r="K3673" s="18" t="n">
        <v>2</v>
      </c>
      <c r="L3673" s="18"/>
      <c r="M3673" s="18" t="n">
        <v>24</v>
      </c>
      <c r="N3673" s="18" t="n">
        <v>24</v>
      </c>
      <c r="O3673" s="14" t="s">
        <v>1088</v>
      </c>
      <c r="P3673" s="14" t="s">
        <v>118</v>
      </c>
      <c r="Q3673" s="15" t="s">
        <v>1089</v>
      </c>
      <c r="R3673" s="16" t="s">
        <v>22910</v>
      </c>
      <c r="S3673" s="15" t="s">
        <v>22911</v>
      </c>
      <c r="T3673" s="15" t="s">
        <v>22912</v>
      </c>
      <c r="U3673" s="21" t="s">
        <v>72</v>
      </c>
    </row>
    <row r="3674" customFormat="false" ht="15" hidden="false" customHeight="false" outlineLevel="0" collapsed="false">
      <c r="A3674" s="15" t="s">
        <v>686</v>
      </c>
      <c r="B3674" s="15" t="s">
        <v>22871</v>
      </c>
      <c r="C3674" s="14" t="s">
        <v>22913</v>
      </c>
      <c r="D3674" s="14" t="s">
        <v>22914</v>
      </c>
      <c r="E3674" s="16" t="s">
        <v>22915</v>
      </c>
      <c r="F3674" s="16" t="s">
        <v>22916</v>
      </c>
      <c r="G3674" s="23" t="s">
        <v>43</v>
      </c>
      <c r="H3674" s="18" t="n">
        <v>2</v>
      </c>
      <c r="I3674" s="20" t="n">
        <v>59.22</v>
      </c>
      <c r="J3674" s="20" t="n">
        <v>126.48</v>
      </c>
      <c r="K3674" s="18" t="n">
        <v>2</v>
      </c>
      <c r="L3674" s="18" t="n">
        <v>11</v>
      </c>
      <c r="M3674" s="18" t="n">
        <v>58</v>
      </c>
      <c r="N3674" s="18" t="n">
        <v>29</v>
      </c>
      <c r="O3674" s="14" t="s">
        <v>1126</v>
      </c>
      <c r="P3674" s="14" t="s">
        <v>94</v>
      </c>
      <c r="Q3674" s="15" t="s">
        <v>1089</v>
      </c>
      <c r="R3674" s="16" t="s">
        <v>8219</v>
      </c>
      <c r="S3674" s="15" t="s">
        <v>22917</v>
      </c>
      <c r="T3674" s="15" t="s">
        <v>22917</v>
      </c>
      <c r="U3674" s="21" t="s">
        <v>72</v>
      </c>
    </row>
    <row r="3675" customFormat="false" ht="15" hidden="false" customHeight="false" outlineLevel="0" collapsed="false">
      <c r="A3675" s="15" t="s">
        <v>686</v>
      </c>
      <c r="B3675" s="15" t="s">
        <v>22871</v>
      </c>
      <c r="C3675" s="14" t="s">
        <v>22918</v>
      </c>
      <c r="D3675" s="14" t="s">
        <v>22919</v>
      </c>
      <c r="E3675" s="16" t="s">
        <v>22920</v>
      </c>
      <c r="F3675" s="16" t="s">
        <v>22921</v>
      </c>
      <c r="G3675" s="19" t="s">
        <v>41</v>
      </c>
      <c r="H3675" s="18" t="n">
        <v>4</v>
      </c>
      <c r="I3675" s="20" t="n">
        <v>35</v>
      </c>
      <c r="J3675" s="20" t="n">
        <v>385.2</v>
      </c>
      <c r="K3675" s="18" t="n">
        <v>12</v>
      </c>
      <c r="L3675" s="18" t="n">
        <v>4</v>
      </c>
      <c r="M3675" s="18" t="n">
        <v>300</v>
      </c>
      <c r="N3675" s="18" t="n">
        <v>300</v>
      </c>
      <c r="O3675" s="14" t="s">
        <v>1126</v>
      </c>
      <c r="P3675" s="14" t="s">
        <v>84</v>
      </c>
      <c r="Q3675" s="15" t="s">
        <v>1089</v>
      </c>
      <c r="R3675" s="16" t="s">
        <v>6704</v>
      </c>
      <c r="S3675" s="15" t="s">
        <v>22922</v>
      </c>
      <c r="T3675" s="15" t="s">
        <v>22923</v>
      </c>
      <c r="U3675" s="21" t="s">
        <v>72</v>
      </c>
    </row>
    <row r="3676" customFormat="false" ht="26.85" hidden="false" customHeight="false" outlineLevel="0" collapsed="false">
      <c r="A3676" s="15" t="s">
        <v>686</v>
      </c>
      <c r="B3676" s="15" t="s">
        <v>22871</v>
      </c>
      <c r="C3676" s="14" t="s">
        <v>22924</v>
      </c>
      <c r="D3676" s="14" t="s">
        <v>22925</v>
      </c>
      <c r="E3676" s="16" t="s">
        <v>22926</v>
      </c>
      <c r="F3676" s="16" t="s">
        <v>1023</v>
      </c>
      <c r="G3676" s="19" t="s">
        <v>41</v>
      </c>
      <c r="H3676" s="18" t="n">
        <v>6</v>
      </c>
      <c r="I3676" s="20" t="n">
        <v>171.65</v>
      </c>
      <c r="J3676" s="20" t="n">
        <v>240.26</v>
      </c>
      <c r="K3676" s="18" t="n">
        <v>30</v>
      </c>
      <c r="L3676" s="18" t="n">
        <v>2</v>
      </c>
      <c r="M3676" s="18" t="n">
        <v>688</v>
      </c>
      <c r="N3676" s="18" t="n">
        <v>178</v>
      </c>
      <c r="O3676" s="14" t="s">
        <v>1097</v>
      </c>
      <c r="P3676" s="14" t="s">
        <v>118</v>
      </c>
      <c r="Q3676" s="15" t="s">
        <v>1089</v>
      </c>
      <c r="R3676" s="16" t="s">
        <v>20291</v>
      </c>
      <c r="S3676" s="15" t="s">
        <v>22927</v>
      </c>
      <c r="T3676" s="15" t="s">
        <v>22928</v>
      </c>
      <c r="U3676" s="21" t="s">
        <v>72</v>
      </c>
    </row>
    <row r="3677" customFormat="false" ht="15" hidden="false" customHeight="false" outlineLevel="0" collapsed="false">
      <c r="A3677" s="15" t="s">
        <v>686</v>
      </c>
      <c r="B3677" s="15" t="s">
        <v>22871</v>
      </c>
      <c r="C3677" s="14" t="s">
        <v>22929</v>
      </c>
      <c r="D3677" s="14" t="s">
        <v>22930</v>
      </c>
      <c r="E3677" s="16" t="s">
        <v>22931</v>
      </c>
      <c r="F3677" s="16" t="s">
        <v>22932</v>
      </c>
      <c r="G3677" s="23" t="s">
        <v>43</v>
      </c>
      <c r="H3677" s="18" t="n">
        <v>2</v>
      </c>
      <c r="I3677" s="20" t="n">
        <v>49.49</v>
      </c>
      <c r="J3677" s="20" t="n">
        <v>113.6</v>
      </c>
      <c r="K3677" s="18" t="n">
        <v>2</v>
      </c>
      <c r="L3677" s="18" t="n">
        <v>2</v>
      </c>
      <c r="M3677" s="18" t="n">
        <v>36</v>
      </c>
      <c r="N3677" s="18" t="n">
        <v>36</v>
      </c>
      <c r="O3677" s="14" t="s">
        <v>1126</v>
      </c>
      <c r="P3677" s="14" t="s">
        <v>84</v>
      </c>
      <c r="Q3677" s="15" t="s">
        <v>1089</v>
      </c>
      <c r="R3677" s="16" t="s">
        <v>17526</v>
      </c>
      <c r="S3677" s="15" t="s">
        <v>22933</v>
      </c>
      <c r="T3677" s="15" t="s">
        <v>22933</v>
      </c>
      <c r="U3677" s="21" t="s">
        <v>72</v>
      </c>
    </row>
    <row r="3678" customFormat="false" ht="15" hidden="false" customHeight="false" outlineLevel="0" collapsed="false">
      <c r="A3678" s="15" t="s">
        <v>686</v>
      </c>
      <c r="B3678" s="15" t="s">
        <v>22871</v>
      </c>
      <c r="C3678" s="14" t="s">
        <v>22934</v>
      </c>
      <c r="D3678" s="14" t="s">
        <v>22935</v>
      </c>
      <c r="E3678" s="16" t="s">
        <v>22936</v>
      </c>
      <c r="F3678" s="16" t="s">
        <v>22937</v>
      </c>
      <c r="G3678" s="23" t="s">
        <v>43</v>
      </c>
      <c r="H3678" s="18" t="n">
        <v>4</v>
      </c>
      <c r="I3678" s="20" t="n">
        <v>125.1</v>
      </c>
      <c r="J3678" s="20" t="n">
        <v>150</v>
      </c>
      <c r="K3678" s="18" t="n">
        <v>22</v>
      </c>
      <c r="L3678" s="18" t="n">
        <v>3</v>
      </c>
      <c r="M3678" s="18" t="n">
        <v>582</v>
      </c>
      <c r="N3678" s="18" t="n">
        <v>116</v>
      </c>
      <c r="O3678" s="14" t="s">
        <v>1097</v>
      </c>
      <c r="P3678" s="14" t="s">
        <v>84</v>
      </c>
      <c r="Q3678" s="15" t="s">
        <v>1089</v>
      </c>
      <c r="R3678" s="16" t="s">
        <v>22938</v>
      </c>
      <c r="S3678" s="15" t="s">
        <v>22939</v>
      </c>
      <c r="T3678" s="15" t="s">
        <v>22939</v>
      </c>
      <c r="U3678" s="21" t="s">
        <v>72</v>
      </c>
    </row>
    <row r="3679" customFormat="false" ht="15" hidden="false" customHeight="false" outlineLevel="0" collapsed="false">
      <c r="A3679" s="15" t="s">
        <v>686</v>
      </c>
      <c r="B3679" s="15" t="s">
        <v>22871</v>
      </c>
      <c r="C3679" s="14" t="s">
        <v>22940</v>
      </c>
      <c r="D3679" s="14" t="s">
        <v>22941</v>
      </c>
      <c r="E3679" s="16" t="s">
        <v>22942</v>
      </c>
      <c r="F3679" s="16" t="s">
        <v>22943</v>
      </c>
      <c r="G3679" s="19" t="s">
        <v>41</v>
      </c>
      <c r="H3679" s="18" t="n">
        <v>3</v>
      </c>
      <c r="I3679" s="20" t="n">
        <v>163.41</v>
      </c>
      <c r="J3679" s="20" t="n">
        <v>257.54</v>
      </c>
      <c r="K3679" s="18" t="n">
        <v>24</v>
      </c>
      <c r="L3679" s="18" t="n">
        <v>5</v>
      </c>
      <c r="M3679" s="18" t="n">
        <v>1053</v>
      </c>
      <c r="N3679" s="18" t="n">
        <v>405</v>
      </c>
      <c r="O3679" s="14" t="s">
        <v>6448</v>
      </c>
      <c r="P3679" s="14" t="s">
        <v>84</v>
      </c>
      <c r="Q3679" s="15" t="s">
        <v>1089</v>
      </c>
      <c r="R3679" s="16" t="s">
        <v>22486</v>
      </c>
      <c r="S3679" s="15" t="s">
        <v>22944</v>
      </c>
      <c r="T3679" s="15" t="s">
        <v>22945</v>
      </c>
      <c r="U3679" s="21" t="s">
        <v>72</v>
      </c>
    </row>
    <row r="3680" customFormat="false" ht="15" hidden="false" customHeight="false" outlineLevel="0" collapsed="false">
      <c r="A3680" s="15" t="s">
        <v>686</v>
      </c>
      <c r="B3680" s="15" t="s">
        <v>22871</v>
      </c>
      <c r="C3680" s="14" t="s">
        <v>22946</v>
      </c>
      <c r="D3680" s="14" t="s">
        <v>22947</v>
      </c>
      <c r="E3680" s="16" t="s">
        <v>22948</v>
      </c>
      <c r="F3680" s="16"/>
      <c r="G3680" s="23" t="s">
        <v>43</v>
      </c>
      <c r="H3680" s="18" t="n">
        <v>2</v>
      </c>
      <c r="I3680" s="20" t="n">
        <v>42.37</v>
      </c>
      <c r="J3680" s="20" t="n">
        <v>161.74</v>
      </c>
      <c r="K3680" s="18" t="n">
        <v>1</v>
      </c>
      <c r="L3680" s="18" t="n">
        <v>1</v>
      </c>
      <c r="M3680" s="18" t="n">
        <v>15</v>
      </c>
      <c r="N3680" s="18" t="n">
        <v>15</v>
      </c>
      <c r="O3680" s="14" t="s">
        <v>1088</v>
      </c>
      <c r="P3680" s="14" t="s">
        <v>84</v>
      </c>
      <c r="Q3680" s="15" t="s">
        <v>1089</v>
      </c>
      <c r="R3680" s="16" t="s">
        <v>22949</v>
      </c>
      <c r="S3680" s="15" t="s">
        <v>22950</v>
      </c>
      <c r="T3680" s="15" t="s">
        <v>22950</v>
      </c>
      <c r="U3680" s="21" t="s">
        <v>72</v>
      </c>
    </row>
    <row r="3681" customFormat="false" ht="15" hidden="false" customHeight="false" outlineLevel="0" collapsed="false">
      <c r="A3681" s="15" t="s">
        <v>686</v>
      </c>
      <c r="B3681" s="15" t="s">
        <v>1013</v>
      </c>
      <c r="C3681" s="14" t="s">
        <v>22951</v>
      </c>
      <c r="D3681" s="14" t="s">
        <v>22952</v>
      </c>
      <c r="E3681" s="16" t="s">
        <v>22953</v>
      </c>
      <c r="F3681" s="16" t="s">
        <v>22954</v>
      </c>
      <c r="G3681" s="19" t="s">
        <v>41</v>
      </c>
      <c r="H3681" s="18" t="n">
        <v>3</v>
      </c>
      <c r="I3681" s="20" t="n">
        <v>111.27</v>
      </c>
      <c r="J3681" s="20" t="n">
        <v>257.66</v>
      </c>
      <c r="K3681" s="18" t="n">
        <v>25</v>
      </c>
      <c r="L3681" s="18" t="n">
        <v>2</v>
      </c>
      <c r="M3681" s="18" t="n">
        <v>750</v>
      </c>
      <c r="N3681" s="18" t="n">
        <v>270</v>
      </c>
      <c r="O3681" s="14" t="s">
        <v>9118</v>
      </c>
      <c r="P3681" s="14" t="s">
        <v>118</v>
      </c>
      <c r="Q3681" s="15" t="s">
        <v>1089</v>
      </c>
      <c r="R3681" s="16" t="s">
        <v>22955</v>
      </c>
      <c r="S3681" s="15" t="s">
        <v>22956</v>
      </c>
      <c r="T3681" s="15" t="s">
        <v>22956</v>
      </c>
      <c r="U3681" s="21" t="s">
        <v>72</v>
      </c>
    </row>
    <row r="3682" customFormat="false" ht="15" hidden="false" customHeight="false" outlineLevel="0" collapsed="false">
      <c r="A3682" s="15" t="s">
        <v>686</v>
      </c>
      <c r="B3682" s="15" t="s">
        <v>1013</v>
      </c>
      <c r="C3682" s="14" t="s">
        <v>22957</v>
      </c>
      <c r="D3682" s="14" t="s">
        <v>22958</v>
      </c>
      <c r="E3682" s="16" t="s">
        <v>22959</v>
      </c>
      <c r="F3682" s="16" t="s">
        <v>22960</v>
      </c>
      <c r="G3682" s="23" t="s">
        <v>43</v>
      </c>
      <c r="H3682" s="18" t="n">
        <v>1</v>
      </c>
      <c r="I3682" s="20" t="n">
        <v>30.03</v>
      </c>
      <c r="J3682" s="20" t="n">
        <v>97.48</v>
      </c>
      <c r="K3682" s="18" t="n">
        <v>1</v>
      </c>
      <c r="L3682" s="18" t="n">
        <v>6</v>
      </c>
      <c r="M3682" s="18" t="n">
        <v>25</v>
      </c>
      <c r="N3682" s="18" t="n">
        <v>25</v>
      </c>
      <c r="O3682" s="14" t="s">
        <v>1088</v>
      </c>
      <c r="P3682" s="14" t="s">
        <v>84</v>
      </c>
      <c r="Q3682" s="15" t="s">
        <v>1089</v>
      </c>
      <c r="R3682" s="16" t="s">
        <v>22961</v>
      </c>
      <c r="S3682" s="15" t="s">
        <v>22962</v>
      </c>
      <c r="T3682" s="15" t="s">
        <v>22962</v>
      </c>
      <c r="U3682" s="21" t="s">
        <v>72</v>
      </c>
    </row>
    <row r="3683" customFormat="false" ht="15" hidden="false" customHeight="false" outlineLevel="0" collapsed="false">
      <c r="A3683" s="15" t="s">
        <v>686</v>
      </c>
      <c r="B3683" s="15" t="s">
        <v>706</v>
      </c>
      <c r="C3683" s="14" t="s">
        <v>805</v>
      </c>
      <c r="D3683" s="14" t="s">
        <v>22963</v>
      </c>
      <c r="E3683" s="16" t="s">
        <v>22964</v>
      </c>
      <c r="F3683" s="16" t="s">
        <v>808</v>
      </c>
      <c r="G3683" s="25" t="s">
        <v>39</v>
      </c>
      <c r="H3683" s="18" t="n">
        <v>9</v>
      </c>
      <c r="I3683" s="20" t="n">
        <v>304</v>
      </c>
      <c r="J3683" s="20" t="n">
        <v>665.22</v>
      </c>
      <c r="K3683" s="18" t="n">
        <v>28</v>
      </c>
      <c r="L3683" s="18" t="n">
        <v>13</v>
      </c>
      <c r="M3683" s="18" t="n">
        <v>560</v>
      </c>
      <c r="N3683" s="18" t="n">
        <v>280</v>
      </c>
      <c r="O3683" s="14" t="s">
        <v>1088</v>
      </c>
      <c r="P3683" s="14" t="s">
        <v>84</v>
      </c>
      <c r="Q3683" s="15" t="s">
        <v>1089</v>
      </c>
      <c r="R3683" s="16" t="s">
        <v>809</v>
      </c>
      <c r="S3683" s="15" t="s">
        <v>810</v>
      </c>
      <c r="T3683" s="15" t="s">
        <v>811</v>
      </c>
      <c r="U3683" s="21" t="s">
        <v>72</v>
      </c>
    </row>
    <row r="3684" customFormat="false" ht="15" hidden="false" customHeight="false" outlineLevel="0" collapsed="false">
      <c r="A3684" s="15" t="s">
        <v>686</v>
      </c>
      <c r="B3684" s="15" t="s">
        <v>706</v>
      </c>
      <c r="C3684" s="14" t="s">
        <v>705</v>
      </c>
      <c r="D3684" s="14" t="s">
        <v>22965</v>
      </c>
      <c r="E3684" s="16" t="s">
        <v>22966</v>
      </c>
      <c r="F3684" s="16" t="s">
        <v>709</v>
      </c>
      <c r="G3684" s="23" t="s">
        <v>43</v>
      </c>
      <c r="H3684" s="18" t="n">
        <v>1</v>
      </c>
      <c r="I3684" s="20" t="n">
        <v>53.09</v>
      </c>
      <c r="J3684" s="20" t="n">
        <v>113.84</v>
      </c>
      <c r="K3684" s="18" t="n">
        <v>2</v>
      </c>
      <c r="L3684" s="18" t="n">
        <v>1</v>
      </c>
      <c r="M3684" s="18" t="n">
        <v>20</v>
      </c>
      <c r="N3684" s="18" t="n">
        <v>20</v>
      </c>
      <c r="O3684" s="14" t="s">
        <v>1126</v>
      </c>
      <c r="P3684" s="14" t="s">
        <v>84</v>
      </c>
      <c r="Q3684" s="15" t="s">
        <v>1089</v>
      </c>
      <c r="R3684" s="16" t="s">
        <v>710</v>
      </c>
      <c r="S3684" s="15" t="s">
        <v>711</v>
      </c>
      <c r="T3684" s="15" t="s">
        <v>711</v>
      </c>
      <c r="U3684" s="21" t="s">
        <v>72</v>
      </c>
    </row>
    <row r="3685" customFormat="false" ht="26.85" hidden="false" customHeight="false" outlineLevel="0" collapsed="false">
      <c r="A3685" s="15" t="s">
        <v>22967</v>
      </c>
      <c r="B3685" s="16"/>
      <c r="C3685" s="14" t="s">
        <v>22968</v>
      </c>
      <c r="D3685" s="14" t="s">
        <v>22969</v>
      </c>
      <c r="E3685" s="16" t="s">
        <v>22970</v>
      </c>
      <c r="F3685" s="16" t="s">
        <v>22971</v>
      </c>
      <c r="G3685" s="19" t="s">
        <v>41</v>
      </c>
      <c r="H3685" s="18" t="n">
        <v>6</v>
      </c>
      <c r="I3685" s="20" t="n">
        <v>125</v>
      </c>
      <c r="J3685" s="20" t="n">
        <v>125</v>
      </c>
      <c r="K3685" s="18" t="n">
        <v>8</v>
      </c>
      <c r="L3685" s="18" t="n">
        <v>6</v>
      </c>
      <c r="M3685" s="18" t="n">
        <v>160</v>
      </c>
      <c r="N3685" s="18" t="n">
        <v>140</v>
      </c>
      <c r="O3685" s="14" t="s">
        <v>1126</v>
      </c>
      <c r="P3685" s="14" t="s">
        <v>118</v>
      </c>
      <c r="Q3685" s="15" t="s">
        <v>1089</v>
      </c>
      <c r="R3685" s="16" t="s">
        <v>15609</v>
      </c>
      <c r="S3685" s="15" t="s">
        <v>21676</v>
      </c>
      <c r="T3685" s="15" t="s">
        <v>22972</v>
      </c>
      <c r="U3685" s="21" t="s">
        <v>72</v>
      </c>
    </row>
    <row r="3686" customFormat="false" ht="26.85" hidden="false" customHeight="false" outlineLevel="0" collapsed="false">
      <c r="A3686" s="15" t="s">
        <v>22967</v>
      </c>
      <c r="B3686" s="16"/>
      <c r="C3686" s="14" t="s">
        <v>22973</v>
      </c>
      <c r="D3686" s="14" t="s">
        <v>22974</v>
      </c>
      <c r="E3686" s="16" t="s">
        <v>22975</v>
      </c>
      <c r="F3686" s="16" t="s">
        <v>22976</v>
      </c>
      <c r="G3686" s="23" t="s">
        <v>43</v>
      </c>
      <c r="H3686" s="18" t="n">
        <v>3</v>
      </c>
      <c r="I3686" s="20" t="n">
        <v>113.86</v>
      </c>
      <c r="J3686" s="20" t="n">
        <v>113.86</v>
      </c>
      <c r="K3686" s="18" t="n">
        <v>2</v>
      </c>
      <c r="L3686" s="18" t="n">
        <v>5</v>
      </c>
      <c r="M3686" s="18" t="n">
        <v>20</v>
      </c>
      <c r="N3686" s="18" t="n">
        <v>10</v>
      </c>
      <c r="O3686" s="14" t="s">
        <v>1126</v>
      </c>
      <c r="P3686" s="14" t="s">
        <v>94</v>
      </c>
      <c r="Q3686" s="15" t="s">
        <v>1089</v>
      </c>
      <c r="R3686" s="16" t="s">
        <v>3107</v>
      </c>
      <c r="S3686" s="15" t="s">
        <v>22977</v>
      </c>
      <c r="T3686" s="15" t="s">
        <v>22977</v>
      </c>
      <c r="U3686" s="21" t="s">
        <v>72</v>
      </c>
    </row>
    <row r="3687" customFormat="false" ht="15" hidden="false" customHeight="false" outlineLevel="0" collapsed="false">
      <c r="A3687" s="15" t="s">
        <v>22967</v>
      </c>
      <c r="B3687" s="16"/>
      <c r="C3687" s="14" t="s">
        <v>22978</v>
      </c>
      <c r="D3687" s="14" t="s">
        <v>22979</v>
      </c>
      <c r="E3687" s="16" t="s">
        <v>22980</v>
      </c>
      <c r="F3687" s="16" t="s">
        <v>22981</v>
      </c>
      <c r="G3687" s="23" t="s">
        <v>43</v>
      </c>
      <c r="H3687" s="18" t="n">
        <v>4</v>
      </c>
      <c r="I3687" s="20" t="n">
        <v>115.53</v>
      </c>
      <c r="J3687" s="20" t="n">
        <v>142.16</v>
      </c>
      <c r="K3687" s="18" t="n">
        <v>4</v>
      </c>
      <c r="L3687" s="18" t="n">
        <v>4</v>
      </c>
      <c r="M3687" s="18" t="n">
        <v>80</v>
      </c>
      <c r="N3687" s="18" t="n">
        <v>40</v>
      </c>
      <c r="O3687" s="14" t="s">
        <v>1126</v>
      </c>
      <c r="P3687" s="14" t="s">
        <v>118</v>
      </c>
      <c r="Q3687" s="15" t="s">
        <v>1089</v>
      </c>
      <c r="R3687" s="16" t="s">
        <v>22982</v>
      </c>
      <c r="S3687" s="15" t="s">
        <v>22983</v>
      </c>
      <c r="T3687" s="15" t="s">
        <v>22984</v>
      </c>
      <c r="U3687" s="21" t="s">
        <v>72</v>
      </c>
    </row>
    <row r="3688" customFormat="false" ht="15" hidden="false" customHeight="false" outlineLevel="0" collapsed="false">
      <c r="A3688" s="15" t="s">
        <v>22967</v>
      </c>
      <c r="B3688" s="16"/>
      <c r="C3688" s="14" t="s">
        <v>22985</v>
      </c>
      <c r="D3688" s="14" t="s">
        <v>22986</v>
      </c>
      <c r="E3688" s="16" t="s">
        <v>22987</v>
      </c>
      <c r="F3688" s="16" t="s">
        <v>22988</v>
      </c>
      <c r="G3688" s="23" t="s">
        <v>43</v>
      </c>
      <c r="H3688" s="18" t="n">
        <v>2</v>
      </c>
      <c r="I3688" s="20" t="n">
        <v>91.531</v>
      </c>
      <c r="J3688" s="20" t="n">
        <v>162.63</v>
      </c>
      <c r="K3688" s="18" t="n">
        <v>2</v>
      </c>
      <c r="L3688" s="18" t="n">
        <v>2</v>
      </c>
      <c r="M3688" s="18" t="n">
        <v>30</v>
      </c>
      <c r="N3688" s="18" t="n">
        <v>15</v>
      </c>
      <c r="O3688" s="14" t="s">
        <v>1126</v>
      </c>
      <c r="P3688" s="14" t="s">
        <v>94</v>
      </c>
      <c r="Q3688" s="15" t="s">
        <v>1089</v>
      </c>
      <c r="R3688" s="16" t="s">
        <v>22989</v>
      </c>
      <c r="S3688" s="15" t="s">
        <v>22990</v>
      </c>
      <c r="T3688" s="15" t="s">
        <v>22990</v>
      </c>
      <c r="U3688" s="21" t="s">
        <v>72</v>
      </c>
    </row>
    <row r="3689" customFormat="false" ht="15" hidden="false" customHeight="false" outlineLevel="0" collapsed="false">
      <c r="A3689" s="15" t="s">
        <v>22967</v>
      </c>
      <c r="B3689" s="16"/>
      <c r="C3689" s="14" t="s">
        <v>22991</v>
      </c>
      <c r="D3689" s="14" t="s">
        <v>22992</v>
      </c>
      <c r="E3689" s="16" t="s">
        <v>22993</v>
      </c>
      <c r="F3689" s="16" t="s">
        <v>22994</v>
      </c>
      <c r="G3689" s="23" t="s">
        <v>43</v>
      </c>
      <c r="H3689" s="18" t="n">
        <v>1</v>
      </c>
      <c r="I3689" s="20" t="n">
        <v>56.24</v>
      </c>
      <c r="J3689" s="20" t="n">
        <v>56.24</v>
      </c>
      <c r="K3689" s="18" t="n">
        <v>1</v>
      </c>
      <c r="L3689" s="18" t="n">
        <v>1</v>
      </c>
      <c r="M3689" s="18" t="n">
        <v>15</v>
      </c>
      <c r="N3689" s="18" t="n">
        <v>15</v>
      </c>
      <c r="O3689" s="14" t="s">
        <v>1126</v>
      </c>
      <c r="P3689" s="14" t="s">
        <v>118</v>
      </c>
      <c r="Q3689" s="15" t="s">
        <v>1089</v>
      </c>
      <c r="R3689" s="16" t="s">
        <v>2975</v>
      </c>
      <c r="S3689" s="15" t="s">
        <v>22995</v>
      </c>
      <c r="T3689" s="15" t="s">
        <v>22995</v>
      </c>
      <c r="U3689" s="21" t="s">
        <v>72</v>
      </c>
    </row>
    <row r="3690" customFormat="false" ht="15" hidden="false" customHeight="false" outlineLevel="0" collapsed="false">
      <c r="A3690" s="15" t="s">
        <v>22967</v>
      </c>
      <c r="B3690" s="16"/>
      <c r="C3690" s="14" t="s">
        <v>22996</v>
      </c>
      <c r="D3690" s="14" t="s">
        <v>22997</v>
      </c>
      <c r="E3690" s="16" t="s">
        <v>22998</v>
      </c>
      <c r="F3690" s="16" t="s">
        <v>22999</v>
      </c>
      <c r="G3690" s="23" t="s">
        <v>43</v>
      </c>
      <c r="H3690" s="18" t="n">
        <v>2</v>
      </c>
      <c r="I3690" s="20" t="n">
        <v>125.37</v>
      </c>
      <c r="J3690" s="20" t="n">
        <v>125.37</v>
      </c>
      <c r="K3690" s="18" t="n">
        <v>2</v>
      </c>
      <c r="L3690" s="18" t="n">
        <v>2</v>
      </c>
      <c r="M3690" s="18" t="n">
        <v>40</v>
      </c>
      <c r="N3690" s="18" t="n">
        <v>40</v>
      </c>
      <c r="O3690" s="14" t="s">
        <v>1126</v>
      </c>
      <c r="P3690" s="14" t="s">
        <v>84</v>
      </c>
      <c r="Q3690" s="15" t="s">
        <v>1089</v>
      </c>
      <c r="R3690" s="16" t="s">
        <v>7800</v>
      </c>
      <c r="S3690" s="15" t="s">
        <v>23000</v>
      </c>
      <c r="T3690" s="15" t="s">
        <v>23000</v>
      </c>
      <c r="U3690" s="21" t="s">
        <v>72</v>
      </c>
    </row>
    <row r="3691" customFormat="false" ht="26.85" hidden="false" customHeight="false" outlineLevel="0" collapsed="false">
      <c r="A3691" s="15" t="s">
        <v>22967</v>
      </c>
      <c r="B3691" s="16"/>
      <c r="C3691" s="14" t="s">
        <v>23001</v>
      </c>
      <c r="D3691" s="14" t="s">
        <v>23002</v>
      </c>
      <c r="E3691" s="16" t="s">
        <v>23003</v>
      </c>
      <c r="F3691" s="16"/>
      <c r="G3691" s="23" t="s">
        <v>43</v>
      </c>
      <c r="H3691" s="18" t="n">
        <v>3</v>
      </c>
      <c r="I3691" s="20" t="n">
        <v>71</v>
      </c>
      <c r="J3691" s="20" t="n">
        <v>110.56</v>
      </c>
      <c r="K3691" s="18" t="n">
        <v>2</v>
      </c>
      <c r="L3691" s="18" t="n">
        <v>2</v>
      </c>
      <c r="M3691" s="18" t="n">
        <v>40</v>
      </c>
      <c r="N3691" s="18" t="n">
        <v>20</v>
      </c>
      <c r="O3691" s="14" t="s">
        <v>1126</v>
      </c>
      <c r="P3691" s="14" t="s">
        <v>906</v>
      </c>
      <c r="Q3691" s="15" t="s">
        <v>1089</v>
      </c>
      <c r="R3691" s="16" t="s">
        <v>15071</v>
      </c>
      <c r="S3691" s="15" t="s">
        <v>23004</v>
      </c>
      <c r="T3691" s="15" t="s">
        <v>23004</v>
      </c>
      <c r="U3691" s="21" t="s">
        <v>72</v>
      </c>
    </row>
    <row r="3692" customFormat="false" ht="15" hidden="false" customHeight="false" outlineLevel="0" collapsed="false">
      <c r="A3692" s="15" t="s">
        <v>22967</v>
      </c>
      <c r="B3692" s="16"/>
      <c r="C3692" s="14" t="s">
        <v>23005</v>
      </c>
      <c r="D3692" s="14" t="s">
        <v>23006</v>
      </c>
      <c r="E3692" s="16" t="s">
        <v>23007</v>
      </c>
      <c r="F3692" s="16" t="s">
        <v>23008</v>
      </c>
      <c r="G3692" s="23" t="s">
        <v>43</v>
      </c>
      <c r="H3692" s="18" t="n">
        <v>2</v>
      </c>
      <c r="I3692" s="20" t="n">
        <v>110.35</v>
      </c>
      <c r="J3692" s="20" t="n">
        <v>110.35</v>
      </c>
      <c r="K3692" s="18" t="n">
        <v>2</v>
      </c>
      <c r="L3692" s="18" t="n">
        <v>1</v>
      </c>
      <c r="M3692" s="18" t="n">
        <v>30</v>
      </c>
      <c r="N3692" s="18" t="n">
        <v>15</v>
      </c>
      <c r="O3692" s="14" t="s">
        <v>1126</v>
      </c>
      <c r="P3692" s="14" t="s">
        <v>118</v>
      </c>
      <c r="Q3692" s="15" t="s">
        <v>1089</v>
      </c>
      <c r="R3692" s="16" t="s">
        <v>23009</v>
      </c>
      <c r="S3692" s="15" t="s">
        <v>23010</v>
      </c>
      <c r="T3692" s="15" t="s">
        <v>23010</v>
      </c>
      <c r="U3692" s="21" t="s">
        <v>72</v>
      </c>
    </row>
    <row r="3693" customFormat="false" ht="39.55" hidden="false" customHeight="false" outlineLevel="0" collapsed="false">
      <c r="A3693" s="15" t="s">
        <v>22967</v>
      </c>
      <c r="B3693" s="16"/>
      <c r="C3693" s="14" t="s">
        <v>23011</v>
      </c>
      <c r="D3693" s="14" t="s">
        <v>23012</v>
      </c>
      <c r="E3693" s="16" t="s">
        <v>23013</v>
      </c>
      <c r="F3693" s="16" t="s">
        <v>23014</v>
      </c>
      <c r="G3693" s="23" t="s">
        <v>43</v>
      </c>
      <c r="H3693" s="18" t="n">
        <v>4</v>
      </c>
      <c r="I3693" s="20" t="n">
        <v>94.5</v>
      </c>
      <c r="J3693" s="20" t="n">
        <v>165.69</v>
      </c>
      <c r="K3693" s="18" t="n">
        <v>10</v>
      </c>
      <c r="L3693" s="18" t="n">
        <v>3</v>
      </c>
      <c r="M3693" s="18" t="n">
        <v>200</v>
      </c>
      <c r="N3693" s="18" t="n">
        <v>40</v>
      </c>
      <c r="O3693" s="14" t="s">
        <v>1126</v>
      </c>
      <c r="P3693" s="14" t="s">
        <v>952</v>
      </c>
      <c r="Q3693" s="15" t="s">
        <v>1089</v>
      </c>
      <c r="R3693" s="16" t="s">
        <v>15636</v>
      </c>
      <c r="S3693" s="15" t="s">
        <v>23015</v>
      </c>
      <c r="T3693" s="15" t="s">
        <v>23016</v>
      </c>
      <c r="U3693" s="21" t="s">
        <v>72</v>
      </c>
    </row>
    <row r="3694" customFormat="false" ht="15" hidden="false" customHeight="false" outlineLevel="0" collapsed="false">
      <c r="A3694" s="15" t="s">
        <v>22967</v>
      </c>
      <c r="B3694" s="16"/>
      <c r="C3694" s="14" t="s">
        <v>23017</v>
      </c>
      <c r="D3694" s="14" t="s">
        <v>23018</v>
      </c>
      <c r="E3694" s="16" t="s">
        <v>23019</v>
      </c>
      <c r="F3694" s="16" t="s">
        <v>23014</v>
      </c>
      <c r="G3694" s="23" t="s">
        <v>43</v>
      </c>
      <c r="H3694" s="18" t="n">
        <v>1</v>
      </c>
      <c r="I3694" s="20" t="n">
        <v>35.44</v>
      </c>
      <c r="J3694" s="20" t="n">
        <v>35.44</v>
      </c>
      <c r="K3694" s="18" t="n">
        <v>5</v>
      </c>
      <c r="L3694" s="18" t="n">
        <v>2</v>
      </c>
      <c r="M3694" s="18" t="n">
        <v>95</v>
      </c>
      <c r="N3694" s="18" t="n">
        <v>55</v>
      </c>
      <c r="O3694" s="14" t="s">
        <v>1088</v>
      </c>
      <c r="P3694" s="14" t="s">
        <v>118</v>
      </c>
      <c r="Q3694" s="15" t="s">
        <v>1089</v>
      </c>
      <c r="R3694" s="16" t="s">
        <v>23020</v>
      </c>
      <c r="S3694" s="15" t="s">
        <v>23015</v>
      </c>
      <c r="T3694" s="15" t="s">
        <v>23021</v>
      </c>
      <c r="U3694" s="21" t="s">
        <v>72</v>
      </c>
    </row>
    <row r="3695" customFormat="false" ht="15" hidden="false" customHeight="false" outlineLevel="0" collapsed="false">
      <c r="A3695" s="15" t="s">
        <v>22967</v>
      </c>
      <c r="B3695" s="16"/>
      <c r="C3695" s="14" t="s">
        <v>23022</v>
      </c>
      <c r="D3695" s="14" t="s">
        <v>23023</v>
      </c>
      <c r="E3695" s="16" t="s">
        <v>23024</v>
      </c>
      <c r="F3695" s="16" t="s">
        <v>23025</v>
      </c>
      <c r="G3695" s="25" t="s">
        <v>39</v>
      </c>
      <c r="H3695" s="18" t="n">
        <v>15</v>
      </c>
      <c r="I3695" s="20" t="n">
        <v>351.87</v>
      </c>
      <c r="J3695" s="20" t="n">
        <v>684.75</v>
      </c>
      <c r="K3695" s="18" t="n">
        <v>7</v>
      </c>
      <c r="L3695" s="18" t="n">
        <v>10</v>
      </c>
      <c r="M3695" s="18" t="n">
        <v>140</v>
      </c>
      <c r="N3695" s="18" t="n">
        <v>140</v>
      </c>
      <c r="O3695" s="14" t="s">
        <v>1126</v>
      </c>
      <c r="P3695" s="14" t="s">
        <v>84</v>
      </c>
      <c r="Q3695" s="15" t="s">
        <v>1089</v>
      </c>
      <c r="R3695" s="16" t="s">
        <v>23026</v>
      </c>
      <c r="S3695" s="15" t="s">
        <v>23027</v>
      </c>
      <c r="T3695" s="15" t="s">
        <v>23028</v>
      </c>
      <c r="U3695" s="21" t="s">
        <v>72</v>
      </c>
    </row>
    <row r="3696" customFormat="false" ht="15" hidden="false" customHeight="false" outlineLevel="0" collapsed="false">
      <c r="A3696" s="15" t="s">
        <v>22967</v>
      </c>
      <c r="B3696" s="16"/>
      <c r="C3696" s="14" t="s">
        <v>23029</v>
      </c>
      <c r="D3696" s="14" t="s">
        <v>23030</v>
      </c>
      <c r="E3696" s="16" t="s">
        <v>23031</v>
      </c>
      <c r="F3696" s="16" t="s">
        <v>23032</v>
      </c>
      <c r="G3696" s="25" t="s">
        <v>39</v>
      </c>
      <c r="H3696" s="18" t="n">
        <v>19</v>
      </c>
      <c r="I3696" s="20" t="n">
        <v>466.13</v>
      </c>
      <c r="J3696" s="20" t="n">
        <v>1058.58</v>
      </c>
      <c r="K3696" s="18" t="n">
        <v>10</v>
      </c>
      <c r="L3696" s="18" t="n">
        <v>11</v>
      </c>
      <c r="M3696" s="18" t="n">
        <v>160</v>
      </c>
      <c r="N3696" s="18" t="n">
        <v>160</v>
      </c>
      <c r="O3696" s="14" t="s">
        <v>1088</v>
      </c>
      <c r="P3696" s="14" t="s">
        <v>118</v>
      </c>
      <c r="Q3696" s="15" t="s">
        <v>1089</v>
      </c>
      <c r="R3696" s="16" t="s">
        <v>9798</v>
      </c>
      <c r="S3696" s="15" t="s">
        <v>23033</v>
      </c>
      <c r="T3696" s="15" t="s">
        <v>16041</v>
      </c>
      <c r="U3696" s="21" t="s">
        <v>72</v>
      </c>
    </row>
    <row r="3697" customFormat="false" ht="15" hidden="false" customHeight="false" outlineLevel="0" collapsed="false">
      <c r="A3697" s="15" t="s">
        <v>22967</v>
      </c>
      <c r="B3697" s="16"/>
      <c r="C3697" s="14" t="s">
        <v>23034</v>
      </c>
      <c r="D3697" s="14" t="s">
        <v>23035</v>
      </c>
      <c r="E3697" s="16" t="s">
        <v>23036</v>
      </c>
      <c r="F3697" s="16" t="s">
        <v>23037</v>
      </c>
      <c r="G3697" s="23" t="s">
        <v>43</v>
      </c>
      <c r="H3697" s="18" t="n">
        <v>2</v>
      </c>
      <c r="I3697" s="20" t="n">
        <v>57.18</v>
      </c>
      <c r="J3697" s="20" t="n">
        <v>57.18</v>
      </c>
      <c r="K3697" s="18" t="n">
        <v>2</v>
      </c>
      <c r="L3697" s="18" t="n">
        <v>2</v>
      </c>
      <c r="M3697" s="18" t="n">
        <v>30</v>
      </c>
      <c r="N3697" s="18" t="n">
        <v>15</v>
      </c>
      <c r="O3697" s="14" t="s">
        <v>1126</v>
      </c>
      <c r="P3697" s="14" t="s">
        <v>118</v>
      </c>
      <c r="Q3697" s="15" t="s">
        <v>1089</v>
      </c>
      <c r="R3697" s="16" t="s">
        <v>23038</v>
      </c>
      <c r="S3697" s="15" t="s">
        <v>23039</v>
      </c>
      <c r="T3697" s="15" t="s">
        <v>23040</v>
      </c>
      <c r="U3697" s="21" t="s">
        <v>72</v>
      </c>
    </row>
    <row r="3698" customFormat="false" ht="15" hidden="false" customHeight="false" outlineLevel="0" collapsed="false">
      <c r="A3698" s="15" t="s">
        <v>22967</v>
      </c>
      <c r="B3698" s="16"/>
      <c r="C3698" s="14" t="s">
        <v>23041</v>
      </c>
      <c r="D3698" s="14" t="s">
        <v>23042</v>
      </c>
      <c r="E3698" s="16" t="s">
        <v>23043</v>
      </c>
      <c r="F3698" s="16" t="s">
        <v>23044</v>
      </c>
      <c r="G3698" s="19" t="s">
        <v>41</v>
      </c>
      <c r="H3698" s="18" t="n">
        <v>2</v>
      </c>
      <c r="I3698" s="20" t="n">
        <v>88.02</v>
      </c>
      <c r="J3698" s="20" t="n">
        <v>232</v>
      </c>
      <c r="K3698" s="18" t="n">
        <v>1</v>
      </c>
      <c r="L3698" s="18" t="n">
        <v>1</v>
      </c>
      <c r="M3698" s="18" t="n">
        <v>15</v>
      </c>
      <c r="N3698" s="18" t="n">
        <v>15</v>
      </c>
      <c r="O3698" s="14" t="s">
        <v>1126</v>
      </c>
      <c r="P3698" s="14" t="s">
        <v>84</v>
      </c>
      <c r="Q3698" s="15" t="s">
        <v>1089</v>
      </c>
      <c r="R3698" s="16" t="s">
        <v>12911</v>
      </c>
      <c r="S3698" s="15" t="s">
        <v>23045</v>
      </c>
      <c r="T3698" s="15" t="s">
        <v>23046</v>
      </c>
      <c r="U3698" s="21" t="s">
        <v>72</v>
      </c>
    </row>
    <row r="3699" customFormat="false" ht="15" hidden="false" customHeight="false" outlineLevel="0" collapsed="false">
      <c r="A3699" s="15" t="s">
        <v>22967</v>
      </c>
      <c r="B3699" s="16"/>
      <c r="C3699" s="14" t="s">
        <v>23047</v>
      </c>
      <c r="D3699" s="14" t="s">
        <v>23048</v>
      </c>
      <c r="E3699" s="16" t="s">
        <v>23049</v>
      </c>
      <c r="F3699" s="16" t="s">
        <v>23050</v>
      </c>
      <c r="G3699" s="19" t="s">
        <v>41</v>
      </c>
      <c r="H3699" s="18" t="n">
        <v>4</v>
      </c>
      <c r="I3699" s="20" t="n">
        <v>299</v>
      </c>
      <c r="J3699" s="20" t="n">
        <v>299</v>
      </c>
      <c r="K3699" s="18" t="n">
        <v>1</v>
      </c>
      <c r="L3699" s="18" t="n">
        <v>2</v>
      </c>
      <c r="M3699" s="18" t="n">
        <v>20</v>
      </c>
      <c r="N3699" s="18" t="n">
        <v>20</v>
      </c>
      <c r="O3699" s="14" t="s">
        <v>1126</v>
      </c>
      <c r="P3699" s="14" t="s">
        <v>84</v>
      </c>
      <c r="Q3699" s="15" t="s">
        <v>1089</v>
      </c>
      <c r="R3699" s="16" t="s">
        <v>11573</v>
      </c>
      <c r="S3699" s="15" t="s">
        <v>23051</v>
      </c>
      <c r="T3699" s="15" t="s">
        <v>23052</v>
      </c>
      <c r="U3699" s="21" t="s">
        <v>72</v>
      </c>
    </row>
    <row r="3700" customFormat="false" ht="15" hidden="false" customHeight="false" outlineLevel="0" collapsed="false">
      <c r="A3700" s="15" t="s">
        <v>22967</v>
      </c>
      <c r="B3700" s="16"/>
      <c r="C3700" s="14" t="s">
        <v>23053</v>
      </c>
      <c r="D3700" s="14" t="s">
        <v>23054</v>
      </c>
      <c r="E3700" s="16" t="s">
        <v>23055</v>
      </c>
      <c r="F3700" s="16"/>
      <c r="G3700" s="23" t="s">
        <v>43</v>
      </c>
      <c r="H3700" s="18" t="n">
        <v>2</v>
      </c>
      <c r="I3700" s="20" t="n">
        <v>110.66</v>
      </c>
      <c r="J3700" s="20" t="n">
        <v>110.66</v>
      </c>
      <c r="K3700" s="18" t="n">
        <v>2</v>
      </c>
      <c r="L3700" s="18" t="n">
        <v>1</v>
      </c>
      <c r="M3700" s="18" t="n">
        <v>30</v>
      </c>
      <c r="N3700" s="18" t="n">
        <v>15</v>
      </c>
      <c r="O3700" s="14" t="s">
        <v>1126</v>
      </c>
      <c r="P3700" s="14" t="s">
        <v>94</v>
      </c>
      <c r="Q3700" s="15" t="s">
        <v>1089</v>
      </c>
      <c r="R3700" s="16" t="s">
        <v>23056</v>
      </c>
      <c r="S3700" s="15" t="s">
        <v>23057</v>
      </c>
      <c r="T3700" s="15" t="s">
        <v>23058</v>
      </c>
      <c r="U3700" s="21" t="s">
        <v>72</v>
      </c>
    </row>
    <row r="3701" customFormat="false" ht="15" hidden="false" customHeight="false" outlineLevel="0" collapsed="false">
      <c r="A3701" s="15" t="s">
        <v>22967</v>
      </c>
      <c r="B3701" s="16"/>
      <c r="C3701" s="14" t="s">
        <v>23059</v>
      </c>
      <c r="D3701" s="14" t="s">
        <v>23060</v>
      </c>
      <c r="E3701" s="16" t="s">
        <v>23061</v>
      </c>
      <c r="F3701" s="16" t="s">
        <v>23062</v>
      </c>
      <c r="G3701" s="23" t="s">
        <v>43</v>
      </c>
      <c r="H3701" s="18" t="n">
        <v>3</v>
      </c>
      <c r="I3701" s="20" t="n">
        <v>67.64</v>
      </c>
      <c r="J3701" s="20" t="n">
        <v>121.05</v>
      </c>
      <c r="K3701" s="18" t="n">
        <v>14</v>
      </c>
      <c r="L3701" s="18" t="n">
        <v>3</v>
      </c>
      <c r="M3701" s="18" t="n">
        <v>210</v>
      </c>
      <c r="N3701" s="18" t="n">
        <v>105</v>
      </c>
      <c r="O3701" s="14" t="s">
        <v>1097</v>
      </c>
      <c r="P3701" s="14" t="s">
        <v>118</v>
      </c>
      <c r="Q3701" s="15" t="s">
        <v>1089</v>
      </c>
      <c r="R3701" s="16" t="s">
        <v>23063</v>
      </c>
      <c r="S3701" s="15" t="s">
        <v>23064</v>
      </c>
      <c r="T3701" s="15" t="s">
        <v>23064</v>
      </c>
      <c r="U3701" s="21" t="s">
        <v>72</v>
      </c>
    </row>
    <row r="3702" customFormat="false" ht="15" hidden="false" customHeight="false" outlineLevel="0" collapsed="false">
      <c r="A3702" s="15" t="s">
        <v>22967</v>
      </c>
      <c r="B3702" s="16"/>
      <c r="C3702" s="14" t="s">
        <v>23065</v>
      </c>
      <c r="D3702" s="14" t="s">
        <v>23066</v>
      </c>
      <c r="E3702" s="16" t="s">
        <v>23067</v>
      </c>
      <c r="F3702" s="16" t="s">
        <v>23068</v>
      </c>
      <c r="G3702" s="23" t="s">
        <v>43</v>
      </c>
      <c r="H3702" s="18" t="n">
        <v>3</v>
      </c>
      <c r="I3702" s="20" t="n">
        <v>64.86</v>
      </c>
      <c r="J3702" s="20" t="n">
        <v>80.37</v>
      </c>
      <c r="K3702" s="18" t="n">
        <v>5</v>
      </c>
      <c r="L3702" s="18" t="n">
        <v>2</v>
      </c>
      <c r="M3702" s="18" t="n">
        <v>52</v>
      </c>
      <c r="N3702" s="18" t="n">
        <v>25</v>
      </c>
      <c r="O3702" s="14" t="s">
        <v>1126</v>
      </c>
      <c r="P3702" s="14" t="s">
        <v>94</v>
      </c>
      <c r="Q3702" s="15" t="s">
        <v>1089</v>
      </c>
      <c r="R3702" s="16" t="s">
        <v>23069</v>
      </c>
      <c r="S3702" s="15" t="s">
        <v>23070</v>
      </c>
      <c r="T3702" s="15" t="s">
        <v>23071</v>
      </c>
      <c r="U3702" s="21" t="s">
        <v>72</v>
      </c>
    </row>
    <row r="3703" customFormat="false" ht="15" hidden="false" customHeight="false" outlineLevel="0" collapsed="false">
      <c r="A3703" s="15" t="s">
        <v>22967</v>
      </c>
      <c r="B3703" s="16"/>
      <c r="C3703" s="14" t="s">
        <v>23072</v>
      </c>
      <c r="D3703" s="14" t="s">
        <v>23073</v>
      </c>
      <c r="E3703" s="16" t="s">
        <v>23074</v>
      </c>
      <c r="F3703" s="16"/>
      <c r="G3703" s="23" t="s">
        <v>43</v>
      </c>
      <c r="H3703" s="18" t="n">
        <v>1</v>
      </c>
      <c r="I3703" s="20" t="n">
        <v>50.55</v>
      </c>
      <c r="J3703" s="20" t="n">
        <v>50.55</v>
      </c>
      <c r="K3703" s="18" t="n">
        <v>2</v>
      </c>
      <c r="L3703" s="18" t="n">
        <v>3</v>
      </c>
      <c r="M3703" s="18" t="n">
        <v>27</v>
      </c>
      <c r="N3703" s="18" t="n">
        <v>15</v>
      </c>
      <c r="O3703" s="14" t="s">
        <v>1126</v>
      </c>
      <c r="P3703" s="14" t="s">
        <v>94</v>
      </c>
      <c r="Q3703" s="15" t="s">
        <v>1089</v>
      </c>
      <c r="R3703" s="16" t="s">
        <v>12354</v>
      </c>
      <c r="S3703" s="15" t="s">
        <v>23075</v>
      </c>
      <c r="T3703" s="15" t="s">
        <v>23076</v>
      </c>
      <c r="U3703" s="21" t="s">
        <v>72</v>
      </c>
    </row>
    <row r="3704" customFormat="false" ht="15" hidden="false" customHeight="false" outlineLevel="0" collapsed="false">
      <c r="A3704" s="15" t="s">
        <v>22967</v>
      </c>
      <c r="B3704" s="16"/>
      <c r="C3704" s="14" t="s">
        <v>23077</v>
      </c>
      <c r="D3704" s="14" t="s">
        <v>23078</v>
      </c>
      <c r="E3704" s="16" t="s">
        <v>23079</v>
      </c>
      <c r="F3704" s="16" t="s">
        <v>23080</v>
      </c>
      <c r="G3704" s="19" t="s">
        <v>41</v>
      </c>
      <c r="H3704" s="18" t="n">
        <v>7</v>
      </c>
      <c r="I3704" s="20" t="n">
        <v>153.17</v>
      </c>
      <c r="J3704" s="20" t="n">
        <v>265.34</v>
      </c>
      <c r="K3704" s="18" t="n">
        <v>13</v>
      </c>
      <c r="L3704" s="18" t="n">
        <v>2</v>
      </c>
      <c r="M3704" s="18" t="n">
        <v>195</v>
      </c>
      <c r="N3704" s="18" t="n">
        <v>60</v>
      </c>
      <c r="O3704" s="14" t="s">
        <v>1126</v>
      </c>
      <c r="P3704" s="14" t="s">
        <v>84</v>
      </c>
      <c r="Q3704" s="15" t="s">
        <v>1089</v>
      </c>
      <c r="R3704" s="16" t="s">
        <v>23081</v>
      </c>
      <c r="S3704" s="15" t="s">
        <v>23082</v>
      </c>
      <c r="T3704" s="15" t="s">
        <v>23083</v>
      </c>
      <c r="U3704" s="21" t="s">
        <v>72</v>
      </c>
    </row>
    <row r="3705" customFormat="false" ht="15" hidden="false" customHeight="false" outlineLevel="0" collapsed="false">
      <c r="A3705" s="15" t="s">
        <v>22967</v>
      </c>
      <c r="B3705" s="16"/>
      <c r="C3705" s="14" t="s">
        <v>23084</v>
      </c>
      <c r="D3705" s="14" t="s">
        <v>23085</v>
      </c>
      <c r="E3705" s="16" t="s">
        <v>23086</v>
      </c>
      <c r="F3705" s="16" t="s">
        <v>23087</v>
      </c>
      <c r="G3705" s="23" t="s">
        <v>43</v>
      </c>
      <c r="H3705" s="18" t="n">
        <v>2</v>
      </c>
      <c r="I3705" s="20" t="n">
        <v>58.07</v>
      </c>
      <c r="J3705" s="20" t="n">
        <v>102.01</v>
      </c>
      <c r="K3705" s="18" t="n">
        <v>1</v>
      </c>
      <c r="L3705" s="18" t="n">
        <v>2</v>
      </c>
      <c r="M3705" s="18" t="n">
        <v>15</v>
      </c>
      <c r="N3705" s="18" t="n">
        <v>15</v>
      </c>
      <c r="O3705" s="14" t="s">
        <v>1126</v>
      </c>
      <c r="P3705" s="14" t="s">
        <v>118</v>
      </c>
      <c r="Q3705" s="15" t="s">
        <v>1089</v>
      </c>
      <c r="R3705" s="16" t="s">
        <v>7036</v>
      </c>
      <c r="S3705" s="15" t="s">
        <v>23088</v>
      </c>
      <c r="T3705" s="15" t="s">
        <v>23088</v>
      </c>
      <c r="U3705" s="21" t="s">
        <v>72</v>
      </c>
    </row>
    <row r="3706" customFormat="false" ht="15" hidden="false" customHeight="false" outlineLevel="0" collapsed="false">
      <c r="A3706" s="15" t="s">
        <v>22967</v>
      </c>
      <c r="B3706" s="16"/>
      <c r="C3706" s="14" t="s">
        <v>23089</v>
      </c>
      <c r="D3706" s="14" t="s">
        <v>23090</v>
      </c>
      <c r="E3706" s="16" t="s">
        <v>23091</v>
      </c>
      <c r="F3706" s="16" t="s">
        <v>23092</v>
      </c>
      <c r="G3706" s="23" t="s">
        <v>43</v>
      </c>
      <c r="H3706" s="18" t="n">
        <v>3</v>
      </c>
      <c r="I3706" s="20" t="n">
        <v>83</v>
      </c>
      <c r="J3706" s="20" t="n">
        <v>147.48</v>
      </c>
      <c r="K3706" s="18" t="n">
        <v>3</v>
      </c>
      <c r="L3706" s="18" t="n">
        <v>10</v>
      </c>
      <c r="M3706" s="18" t="n">
        <v>45</v>
      </c>
      <c r="N3706" s="18" t="n">
        <v>30</v>
      </c>
      <c r="O3706" s="14" t="s">
        <v>1126</v>
      </c>
      <c r="P3706" s="14" t="s">
        <v>118</v>
      </c>
      <c r="Q3706" s="15" t="s">
        <v>1089</v>
      </c>
      <c r="R3706" s="16" t="s">
        <v>23093</v>
      </c>
      <c r="S3706" s="15" t="s">
        <v>23094</v>
      </c>
      <c r="T3706" s="15" t="s">
        <v>23094</v>
      </c>
      <c r="U3706" s="21" t="s">
        <v>72</v>
      </c>
    </row>
    <row r="3707" customFormat="false" ht="15" hidden="false" customHeight="false" outlineLevel="0" collapsed="false">
      <c r="A3707" s="15" t="s">
        <v>22967</v>
      </c>
      <c r="B3707" s="16"/>
      <c r="C3707" s="14" t="s">
        <v>23095</v>
      </c>
      <c r="D3707" s="14" t="s">
        <v>23096</v>
      </c>
      <c r="E3707" s="16" t="s">
        <v>23097</v>
      </c>
      <c r="F3707" s="16" t="s">
        <v>23098</v>
      </c>
      <c r="G3707" s="23" t="s">
        <v>43</v>
      </c>
      <c r="H3707" s="18" t="n">
        <v>1</v>
      </c>
      <c r="I3707" s="20" t="n">
        <v>31.67</v>
      </c>
      <c r="J3707" s="20" t="n">
        <v>31.67</v>
      </c>
      <c r="K3707" s="18" t="n">
        <v>1</v>
      </c>
      <c r="L3707" s="18" t="n">
        <v>1</v>
      </c>
      <c r="M3707" s="18" t="n">
        <v>15</v>
      </c>
      <c r="N3707" s="18" t="n">
        <v>15</v>
      </c>
      <c r="O3707" s="14" t="s">
        <v>1126</v>
      </c>
      <c r="P3707" s="14" t="s">
        <v>84</v>
      </c>
      <c r="Q3707" s="15" t="s">
        <v>1089</v>
      </c>
      <c r="R3707" s="16" t="s">
        <v>23099</v>
      </c>
      <c r="S3707" s="15" t="s">
        <v>23100</v>
      </c>
      <c r="T3707" s="15" t="s">
        <v>23100</v>
      </c>
      <c r="U3707" s="21" t="s">
        <v>72</v>
      </c>
    </row>
    <row r="3708" customFormat="false" ht="15" hidden="false" customHeight="false" outlineLevel="0" collapsed="false">
      <c r="A3708" s="15" t="s">
        <v>22967</v>
      </c>
      <c r="B3708" s="16"/>
      <c r="C3708" s="14" t="s">
        <v>23101</v>
      </c>
      <c r="D3708" s="14" t="s">
        <v>23102</v>
      </c>
      <c r="E3708" s="16" t="s">
        <v>23103</v>
      </c>
      <c r="F3708" s="16" t="s">
        <v>23104</v>
      </c>
      <c r="G3708" s="23" t="s">
        <v>43</v>
      </c>
      <c r="H3708" s="18" t="n">
        <v>4</v>
      </c>
      <c r="I3708" s="20" t="n">
        <v>82.55</v>
      </c>
      <c r="J3708" s="20" t="n">
        <v>144.62</v>
      </c>
      <c r="K3708" s="18" t="n">
        <v>21</v>
      </c>
      <c r="L3708" s="18" t="n">
        <v>4</v>
      </c>
      <c r="M3708" s="18" t="n">
        <v>297</v>
      </c>
      <c r="N3708" s="18" t="n">
        <v>108</v>
      </c>
      <c r="O3708" s="14" t="s">
        <v>1126</v>
      </c>
      <c r="P3708" s="14" t="s">
        <v>118</v>
      </c>
      <c r="Q3708" s="15" t="s">
        <v>1089</v>
      </c>
      <c r="R3708" s="16" t="s">
        <v>23105</v>
      </c>
      <c r="S3708" s="15" t="s">
        <v>23106</v>
      </c>
      <c r="T3708" s="15" t="s">
        <v>23106</v>
      </c>
      <c r="U3708" s="21" t="s">
        <v>72</v>
      </c>
    </row>
    <row r="3709" customFormat="false" ht="15" hidden="false" customHeight="false" outlineLevel="0" collapsed="false">
      <c r="A3709" s="15" t="s">
        <v>22967</v>
      </c>
      <c r="B3709" s="16"/>
      <c r="C3709" s="14" t="s">
        <v>23107</v>
      </c>
      <c r="D3709" s="14" t="s">
        <v>23108</v>
      </c>
      <c r="E3709" s="16" t="s">
        <v>23109</v>
      </c>
      <c r="F3709" s="16" t="s">
        <v>23110</v>
      </c>
      <c r="G3709" s="23" t="s">
        <v>43</v>
      </c>
      <c r="H3709" s="18" t="n">
        <v>1</v>
      </c>
      <c r="I3709" s="20" t="n">
        <v>66.49</v>
      </c>
      <c r="J3709" s="20" t="n">
        <v>66.49</v>
      </c>
      <c r="K3709" s="18" t="n">
        <v>1</v>
      </c>
      <c r="L3709" s="18" t="n">
        <v>1</v>
      </c>
      <c r="M3709" s="18" t="n">
        <v>10</v>
      </c>
      <c r="N3709" s="18" t="n">
        <v>10</v>
      </c>
      <c r="O3709" s="14" t="s">
        <v>1126</v>
      </c>
      <c r="P3709" s="14" t="s">
        <v>84</v>
      </c>
      <c r="Q3709" s="15" t="s">
        <v>1089</v>
      </c>
      <c r="R3709" s="16" t="s">
        <v>23111</v>
      </c>
      <c r="S3709" s="15" t="s">
        <v>23112</v>
      </c>
      <c r="T3709" s="15" t="s">
        <v>23112</v>
      </c>
      <c r="U3709" s="21" t="s">
        <v>72</v>
      </c>
    </row>
    <row r="3710" customFormat="false" ht="15" hidden="false" customHeight="false" outlineLevel="0" collapsed="false">
      <c r="A3710" s="15" t="s">
        <v>22967</v>
      </c>
      <c r="B3710" s="16"/>
      <c r="C3710" s="14" t="s">
        <v>23113</v>
      </c>
      <c r="D3710" s="14" t="s">
        <v>23114</v>
      </c>
      <c r="E3710" s="16" t="s">
        <v>23115</v>
      </c>
      <c r="F3710" s="16" t="s">
        <v>23116</v>
      </c>
      <c r="G3710" s="19" t="s">
        <v>41</v>
      </c>
      <c r="H3710" s="18" t="n">
        <v>3</v>
      </c>
      <c r="I3710" s="20" t="n">
        <v>156.03</v>
      </c>
      <c r="J3710" s="20" t="n">
        <v>295.88</v>
      </c>
      <c r="K3710" s="18" t="n">
        <v>2</v>
      </c>
      <c r="L3710" s="18" t="n">
        <v>1</v>
      </c>
      <c r="M3710" s="18" t="n">
        <v>20</v>
      </c>
      <c r="N3710" s="18" t="n">
        <v>20</v>
      </c>
      <c r="O3710" s="14" t="s">
        <v>1126</v>
      </c>
      <c r="P3710" s="14" t="s">
        <v>84</v>
      </c>
      <c r="Q3710" s="15" t="s">
        <v>1089</v>
      </c>
      <c r="R3710" s="16" t="s">
        <v>23117</v>
      </c>
      <c r="S3710" s="15" t="s">
        <v>23118</v>
      </c>
      <c r="T3710" s="15" t="s">
        <v>23118</v>
      </c>
      <c r="U3710" s="21" t="s">
        <v>72</v>
      </c>
    </row>
    <row r="3711" customFormat="false" ht="15" hidden="false" customHeight="false" outlineLevel="0" collapsed="false">
      <c r="A3711" s="15" t="s">
        <v>22967</v>
      </c>
      <c r="B3711" s="16"/>
      <c r="C3711" s="14" t="s">
        <v>23119</v>
      </c>
      <c r="D3711" s="14" t="s">
        <v>23120</v>
      </c>
      <c r="E3711" s="16" t="s">
        <v>23121</v>
      </c>
      <c r="F3711" s="16" t="s">
        <v>23122</v>
      </c>
      <c r="G3711" s="23" t="s">
        <v>43</v>
      </c>
      <c r="H3711" s="18" t="n">
        <v>2</v>
      </c>
      <c r="I3711" s="20" t="n">
        <v>156</v>
      </c>
      <c r="J3711" s="20" t="n">
        <v>156</v>
      </c>
      <c r="K3711" s="18" t="n">
        <v>2</v>
      </c>
      <c r="L3711" s="18" t="n">
        <v>3</v>
      </c>
      <c r="M3711" s="18" t="n">
        <v>30</v>
      </c>
      <c r="N3711" s="18" t="n">
        <v>30</v>
      </c>
      <c r="O3711" s="14" t="s">
        <v>1088</v>
      </c>
      <c r="P3711" s="14" t="s">
        <v>84</v>
      </c>
      <c r="Q3711" s="15" t="s">
        <v>1089</v>
      </c>
      <c r="R3711" s="16" t="s">
        <v>23123</v>
      </c>
      <c r="S3711" s="15" t="s">
        <v>23124</v>
      </c>
      <c r="T3711" s="15" t="s">
        <v>23124</v>
      </c>
      <c r="U3711" s="21" t="s">
        <v>72</v>
      </c>
    </row>
    <row r="3712" customFormat="false" ht="15" hidden="false" customHeight="false" outlineLevel="0" collapsed="false">
      <c r="A3712" s="15" t="s">
        <v>22967</v>
      </c>
      <c r="B3712" s="16"/>
      <c r="C3712" s="14" t="s">
        <v>23125</v>
      </c>
      <c r="D3712" s="14" t="s">
        <v>23126</v>
      </c>
      <c r="E3712" s="16" t="s">
        <v>23127</v>
      </c>
      <c r="F3712" s="16" t="s">
        <v>23014</v>
      </c>
      <c r="G3712" s="19" t="s">
        <v>41</v>
      </c>
      <c r="H3712" s="18" t="n">
        <v>7</v>
      </c>
      <c r="I3712" s="20" t="n">
        <v>256.253</v>
      </c>
      <c r="J3712" s="20" t="n">
        <v>267.3</v>
      </c>
      <c r="K3712" s="18" t="n">
        <v>22</v>
      </c>
      <c r="L3712" s="18" t="n">
        <v>3</v>
      </c>
      <c r="M3712" s="18" t="n">
        <v>242</v>
      </c>
      <c r="N3712" s="18" t="n">
        <v>77</v>
      </c>
      <c r="O3712" s="14" t="s">
        <v>3724</v>
      </c>
      <c r="P3712" s="14" t="s">
        <v>118</v>
      </c>
      <c r="Q3712" s="15" t="s">
        <v>1089</v>
      </c>
      <c r="R3712" s="16" t="s">
        <v>5895</v>
      </c>
      <c r="S3712" s="15" t="s">
        <v>23015</v>
      </c>
      <c r="T3712" s="15" t="s">
        <v>23128</v>
      </c>
      <c r="U3712" s="21" t="s">
        <v>72</v>
      </c>
    </row>
    <row r="3713" customFormat="false" ht="15" hidden="false" customHeight="false" outlineLevel="0" collapsed="false">
      <c r="A3713" s="15" t="s">
        <v>22967</v>
      </c>
      <c r="B3713" s="16"/>
      <c r="C3713" s="14" t="s">
        <v>23129</v>
      </c>
      <c r="D3713" s="14" t="s">
        <v>23130</v>
      </c>
      <c r="E3713" s="16" t="s">
        <v>23131</v>
      </c>
      <c r="F3713" s="16" t="s">
        <v>23132</v>
      </c>
      <c r="G3713" s="23" t="s">
        <v>43</v>
      </c>
      <c r="H3713" s="18" t="n">
        <v>1</v>
      </c>
      <c r="I3713" s="20" t="n">
        <v>72.38</v>
      </c>
      <c r="J3713" s="20" t="n">
        <v>72.38</v>
      </c>
      <c r="K3713" s="18" t="n">
        <v>2</v>
      </c>
      <c r="L3713" s="18" t="n">
        <v>1</v>
      </c>
      <c r="M3713" s="18" t="n">
        <v>30</v>
      </c>
      <c r="N3713" s="18" t="n">
        <v>15</v>
      </c>
      <c r="O3713" s="14" t="s">
        <v>1126</v>
      </c>
      <c r="P3713" s="14" t="s">
        <v>94</v>
      </c>
      <c r="Q3713" s="15" t="s">
        <v>1089</v>
      </c>
      <c r="R3713" s="16" t="s">
        <v>23133</v>
      </c>
      <c r="S3713" s="15" t="s">
        <v>23134</v>
      </c>
      <c r="T3713" s="15" t="s">
        <v>23134</v>
      </c>
      <c r="U3713" s="21" t="s">
        <v>72</v>
      </c>
    </row>
    <row r="3714" customFormat="false" ht="15" hidden="false" customHeight="false" outlineLevel="0" collapsed="false">
      <c r="A3714" s="15" t="s">
        <v>22967</v>
      </c>
      <c r="B3714" s="16"/>
      <c r="C3714" s="14" t="s">
        <v>23135</v>
      </c>
      <c r="D3714" s="14" t="s">
        <v>23136</v>
      </c>
      <c r="E3714" s="16" t="s">
        <v>23137</v>
      </c>
      <c r="F3714" s="16" t="s">
        <v>23138</v>
      </c>
      <c r="G3714" s="19" t="s">
        <v>41</v>
      </c>
      <c r="H3714" s="18" t="n">
        <v>3</v>
      </c>
      <c r="I3714" s="20" t="n">
        <v>83.91</v>
      </c>
      <c r="J3714" s="20" t="n">
        <v>282.68</v>
      </c>
      <c r="K3714" s="18" t="n">
        <v>4</v>
      </c>
      <c r="L3714" s="18" t="n">
        <v>8</v>
      </c>
      <c r="M3714" s="18" t="n">
        <v>105</v>
      </c>
      <c r="N3714" s="18" t="n">
        <v>45</v>
      </c>
      <c r="O3714" s="14" t="s">
        <v>1097</v>
      </c>
      <c r="P3714" s="14" t="s">
        <v>118</v>
      </c>
      <c r="Q3714" s="15" t="s">
        <v>1089</v>
      </c>
      <c r="R3714" s="16" t="s">
        <v>23139</v>
      </c>
      <c r="S3714" s="15" t="s">
        <v>23140</v>
      </c>
      <c r="T3714" s="15" t="s">
        <v>23140</v>
      </c>
      <c r="U3714" s="21" t="s">
        <v>72</v>
      </c>
    </row>
    <row r="3715" customFormat="false" ht="15" hidden="false" customHeight="false" outlineLevel="0" collapsed="false">
      <c r="A3715" s="15" t="s">
        <v>22967</v>
      </c>
      <c r="B3715" s="16"/>
      <c r="C3715" s="14" t="s">
        <v>23141</v>
      </c>
      <c r="D3715" s="14" t="s">
        <v>23142</v>
      </c>
      <c r="E3715" s="16" t="s">
        <v>23143</v>
      </c>
      <c r="F3715" s="16" t="s">
        <v>23144</v>
      </c>
      <c r="G3715" s="23" t="s">
        <v>43</v>
      </c>
      <c r="H3715" s="18" t="n">
        <v>2</v>
      </c>
      <c r="I3715" s="20" t="n">
        <v>81.68</v>
      </c>
      <c r="J3715" s="20" t="n">
        <v>81.68</v>
      </c>
      <c r="K3715" s="18" t="n">
        <v>2</v>
      </c>
      <c r="L3715" s="18" t="n">
        <v>1</v>
      </c>
      <c r="M3715" s="18" t="n">
        <v>30</v>
      </c>
      <c r="N3715" s="18" t="n">
        <v>15</v>
      </c>
      <c r="O3715" s="14" t="s">
        <v>1126</v>
      </c>
      <c r="P3715" s="14" t="s">
        <v>94</v>
      </c>
      <c r="Q3715" s="15" t="s">
        <v>1089</v>
      </c>
      <c r="R3715" s="16" t="s">
        <v>19759</v>
      </c>
      <c r="S3715" s="15" t="s">
        <v>23145</v>
      </c>
      <c r="T3715" s="15" t="s">
        <v>23146</v>
      </c>
      <c r="U3715" s="21" t="s">
        <v>72</v>
      </c>
    </row>
    <row r="3716" customFormat="false" ht="15" hidden="false" customHeight="false" outlineLevel="0" collapsed="false">
      <c r="A3716" s="15" t="s">
        <v>22967</v>
      </c>
      <c r="B3716" s="16"/>
      <c r="C3716" s="14" t="s">
        <v>23147</v>
      </c>
      <c r="D3716" s="14" t="s">
        <v>23148</v>
      </c>
      <c r="E3716" s="16" t="s">
        <v>23149</v>
      </c>
      <c r="F3716" s="16" t="s">
        <v>23150</v>
      </c>
      <c r="G3716" s="23" t="s">
        <v>43</v>
      </c>
      <c r="H3716" s="18" t="n">
        <v>3</v>
      </c>
      <c r="I3716" s="20" t="n">
        <v>80</v>
      </c>
      <c r="J3716" s="20" t="n">
        <v>124.6</v>
      </c>
      <c r="K3716" s="18" t="n">
        <v>9</v>
      </c>
      <c r="L3716" s="18" t="n">
        <v>5</v>
      </c>
      <c r="M3716" s="18" t="n">
        <v>109</v>
      </c>
      <c r="N3716" s="18" t="n">
        <v>64</v>
      </c>
      <c r="O3716" s="14" t="s">
        <v>9118</v>
      </c>
      <c r="P3716" s="14" t="s">
        <v>118</v>
      </c>
      <c r="Q3716" s="15" t="s">
        <v>1089</v>
      </c>
      <c r="R3716" s="16" t="s">
        <v>23151</v>
      </c>
      <c r="S3716" s="15" t="s">
        <v>23152</v>
      </c>
      <c r="T3716" s="15" t="s">
        <v>23153</v>
      </c>
      <c r="U3716" s="21" t="s">
        <v>72</v>
      </c>
    </row>
    <row r="3717" customFormat="false" ht="15" hidden="false" customHeight="false" outlineLevel="0" collapsed="false">
      <c r="A3717" s="15" t="s">
        <v>22967</v>
      </c>
      <c r="B3717" s="16"/>
      <c r="C3717" s="14" t="s">
        <v>23154</v>
      </c>
      <c r="D3717" s="14" t="s">
        <v>23155</v>
      </c>
      <c r="E3717" s="16" t="s">
        <v>23156</v>
      </c>
      <c r="F3717" s="16" t="s">
        <v>23157</v>
      </c>
      <c r="G3717" s="23" t="s">
        <v>43</v>
      </c>
      <c r="H3717" s="18" t="n">
        <v>1</v>
      </c>
      <c r="I3717" s="20" t="n">
        <v>47.47</v>
      </c>
      <c r="J3717" s="20" t="n">
        <v>48.72</v>
      </c>
      <c r="K3717" s="18" t="n">
        <v>2</v>
      </c>
      <c r="L3717" s="18" t="n">
        <v>5</v>
      </c>
      <c r="M3717" s="18" t="n">
        <v>60</v>
      </c>
      <c r="N3717" s="18" t="n">
        <v>30</v>
      </c>
      <c r="O3717" s="14" t="s">
        <v>1126</v>
      </c>
      <c r="P3717" s="14" t="s">
        <v>94</v>
      </c>
      <c r="Q3717" s="15" t="s">
        <v>1089</v>
      </c>
      <c r="R3717" s="16" t="s">
        <v>4433</v>
      </c>
      <c r="S3717" s="15" t="s">
        <v>23158</v>
      </c>
      <c r="T3717" s="15" t="s">
        <v>23158</v>
      </c>
      <c r="U3717" s="21" t="s">
        <v>72</v>
      </c>
    </row>
    <row r="3718" customFormat="false" ht="15" hidden="false" customHeight="false" outlineLevel="0" collapsed="false">
      <c r="A3718" s="15" t="s">
        <v>22967</v>
      </c>
      <c r="B3718" s="16"/>
      <c r="C3718" s="14" t="s">
        <v>23159</v>
      </c>
      <c r="D3718" s="14" t="s">
        <v>23160</v>
      </c>
      <c r="E3718" s="16" t="s">
        <v>23161</v>
      </c>
      <c r="F3718" s="16"/>
      <c r="G3718" s="23" t="s">
        <v>43</v>
      </c>
      <c r="H3718" s="18" t="n">
        <v>4</v>
      </c>
      <c r="I3718" s="20" t="n">
        <v>176.58</v>
      </c>
      <c r="J3718" s="20" t="n">
        <v>176.58</v>
      </c>
      <c r="K3718" s="18" t="n">
        <v>4</v>
      </c>
      <c r="L3718" s="18" t="n">
        <v>1</v>
      </c>
      <c r="M3718" s="18" t="n">
        <v>40</v>
      </c>
      <c r="N3718" s="18" t="n">
        <v>30</v>
      </c>
      <c r="O3718" s="14" t="s">
        <v>1126</v>
      </c>
      <c r="P3718" s="14" t="s">
        <v>94</v>
      </c>
      <c r="Q3718" s="15" t="s">
        <v>1089</v>
      </c>
      <c r="R3718" s="16" t="s">
        <v>23162</v>
      </c>
      <c r="S3718" s="15" t="s">
        <v>23163</v>
      </c>
      <c r="T3718" s="15" t="s">
        <v>23163</v>
      </c>
      <c r="U3718" s="21" t="s">
        <v>72</v>
      </c>
    </row>
    <row r="3719" customFormat="false" ht="15" hidden="false" customHeight="false" outlineLevel="0" collapsed="false">
      <c r="A3719" s="15" t="s">
        <v>22967</v>
      </c>
      <c r="B3719" s="16"/>
      <c r="C3719" s="14" t="s">
        <v>23164</v>
      </c>
      <c r="D3719" s="14" t="s">
        <v>23165</v>
      </c>
      <c r="E3719" s="16" t="s">
        <v>23166</v>
      </c>
      <c r="F3719" s="16" t="s">
        <v>23167</v>
      </c>
      <c r="G3719" s="23" t="s">
        <v>43</v>
      </c>
      <c r="H3719" s="18" t="n">
        <v>3</v>
      </c>
      <c r="I3719" s="20" t="n">
        <v>145.22</v>
      </c>
      <c r="J3719" s="20" t="n">
        <v>145.22</v>
      </c>
      <c r="K3719" s="18" t="n">
        <v>1</v>
      </c>
      <c r="L3719" s="18" t="n">
        <v>2</v>
      </c>
      <c r="M3719" s="18" t="n">
        <v>15</v>
      </c>
      <c r="N3719" s="18" t="n">
        <v>15</v>
      </c>
      <c r="O3719" s="14" t="s">
        <v>1126</v>
      </c>
      <c r="P3719" s="14" t="s">
        <v>118</v>
      </c>
      <c r="Q3719" s="15" t="s">
        <v>1089</v>
      </c>
      <c r="R3719" s="16" t="s">
        <v>23168</v>
      </c>
      <c r="S3719" s="15" t="s">
        <v>23169</v>
      </c>
      <c r="T3719" s="15" t="s">
        <v>23169</v>
      </c>
      <c r="U3719" s="21" t="s">
        <v>72</v>
      </c>
    </row>
    <row r="3720" customFormat="false" ht="15" hidden="false" customHeight="false" outlineLevel="0" collapsed="false">
      <c r="A3720" s="15" t="s">
        <v>22967</v>
      </c>
      <c r="B3720" s="16"/>
      <c r="C3720" s="14" t="s">
        <v>23170</v>
      </c>
      <c r="D3720" s="14" t="s">
        <v>23171</v>
      </c>
      <c r="E3720" s="16" t="s">
        <v>23172</v>
      </c>
      <c r="F3720" s="16" t="s">
        <v>23173</v>
      </c>
      <c r="G3720" s="23" t="s">
        <v>43</v>
      </c>
      <c r="H3720" s="18" t="n">
        <v>2</v>
      </c>
      <c r="I3720" s="20" t="n">
        <v>89.47</v>
      </c>
      <c r="J3720" s="20" t="n">
        <v>89.47</v>
      </c>
      <c r="K3720" s="18" t="n">
        <v>2</v>
      </c>
      <c r="L3720" s="18" t="n">
        <v>1</v>
      </c>
      <c r="M3720" s="18" t="n">
        <v>30</v>
      </c>
      <c r="N3720" s="18" t="n">
        <v>30</v>
      </c>
      <c r="O3720" s="14" t="s">
        <v>1126</v>
      </c>
      <c r="P3720" s="14" t="s">
        <v>84</v>
      </c>
      <c r="Q3720" s="15" t="s">
        <v>1089</v>
      </c>
      <c r="R3720" s="16" t="s">
        <v>23174</v>
      </c>
      <c r="S3720" s="15" t="s">
        <v>23175</v>
      </c>
      <c r="T3720" s="15" t="s">
        <v>23175</v>
      </c>
      <c r="U3720" s="21" t="s">
        <v>72</v>
      </c>
    </row>
    <row r="3721" customFormat="false" ht="15" hidden="false" customHeight="false" outlineLevel="0" collapsed="false">
      <c r="A3721" s="15" t="s">
        <v>22967</v>
      </c>
      <c r="B3721" s="16"/>
      <c r="C3721" s="14" t="s">
        <v>23176</v>
      </c>
      <c r="D3721" s="14" t="s">
        <v>23177</v>
      </c>
      <c r="E3721" s="16" t="s">
        <v>23178</v>
      </c>
      <c r="F3721" s="16"/>
      <c r="G3721" s="19" t="s">
        <v>41</v>
      </c>
      <c r="H3721" s="18" t="n">
        <v>2</v>
      </c>
      <c r="I3721" s="20" t="n">
        <v>164.38</v>
      </c>
      <c r="J3721" s="20" t="n">
        <v>279.06</v>
      </c>
      <c r="K3721" s="18" t="n">
        <v>2</v>
      </c>
      <c r="L3721" s="18" t="n">
        <v>2</v>
      </c>
      <c r="M3721" s="18" t="n">
        <v>30</v>
      </c>
      <c r="N3721" s="18" t="n">
        <v>30</v>
      </c>
      <c r="O3721" s="14" t="s">
        <v>1126</v>
      </c>
      <c r="P3721" s="14" t="s">
        <v>84</v>
      </c>
      <c r="Q3721" s="15" t="s">
        <v>1089</v>
      </c>
      <c r="R3721" s="16" t="s">
        <v>175</v>
      </c>
      <c r="S3721" s="15" t="s">
        <v>23179</v>
      </c>
      <c r="T3721" s="15" t="s">
        <v>23179</v>
      </c>
      <c r="U3721" s="21" t="s">
        <v>72</v>
      </c>
    </row>
    <row r="3722" customFormat="false" ht="15" hidden="false" customHeight="false" outlineLevel="0" collapsed="false">
      <c r="A3722" s="15" t="s">
        <v>22967</v>
      </c>
      <c r="B3722" s="16"/>
      <c r="C3722" s="14" t="s">
        <v>23180</v>
      </c>
      <c r="D3722" s="14" t="s">
        <v>23181</v>
      </c>
      <c r="E3722" s="16" t="s">
        <v>23182</v>
      </c>
      <c r="F3722" s="16" t="s">
        <v>23183</v>
      </c>
      <c r="G3722" s="23" t="s">
        <v>43</v>
      </c>
      <c r="H3722" s="18" t="n">
        <v>1</v>
      </c>
      <c r="I3722" s="20" t="n">
        <v>45.4</v>
      </c>
      <c r="J3722" s="20" t="n">
        <v>45.4</v>
      </c>
      <c r="K3722" s="18" t="n">
        <v>1</v>
      </c>
      <c r="L3722" s="18" t="n">
        <v>1</v>
      </c>
      <c r="M3722" s="18" t="n">
        <v>15</v>
      </c>
      <c r="N3722" s="18" t="n">
        <v>15</v>
      </c>
      <c r="O3722" s="14" t="s">
        <v>1126</v>
      </c>
      <c r="P3722" s="14" t="s">
        <v>84</v>
      </c>
      <c r="Q3722" s="15" t="s">
        <v>1089</v>
      </c>
      <c r="R3722" s="16" t="s">
        <v>7470</v>
      </c>
      <c r="S3722" s="15" t="s">
        <v>23184</v>
      </c>
      <c r="T3722" s="15" t="s">
        <v>23184</v>
      </c>
      <c r="U3722" s="21" t="s">
        <v>72</v>
      </c>
    </row>
    <row r="3723" customFormat="false" ht="15" hidden="false" customHeight="false" outlineLevel="0" collapsed="false">
      <c r="A3723" s="15" t="s">
        <v>22967</v>
      </c>
      <c r="B3723" s="16"/>
      <c r="C3723" s="14" t="s">
        <v>23185</v>
      </c>
      <c r="D3723" s="14" t="s">
        <v>23186</v>
      </c>
      <c r="E3723" s="16" t="s">
        <v>23187</v>
      </c>
      <c r="F3723" s="16"/>
      <c r="G3723" s="23" t="s">
        <v>43</v>
      </c>
      <c r="H3723" s="18" t="n">
        <v>1</v>
      </c>
      <c r="I3723" s="20" t="n">
        <v>48</v>
      </c>
      <c r="J3723" s="20" t="n">
        <v>121.93</v>
      </c>
      <c r="K3723" s="18" t="n">
        <v>3</v>
      </c>
      <c r="L3723" s="18" t="n">
        <v>1</v>
      </c>
      <c r="M3723" s="18" t="n">
        <v>30</v>
      </c>
      <c r="N3723" s="18" t="n">
        <v>30</v>
      </c>
      <c r="O3723" s="14" t="s">
        <v>1097</v>
      </c>
      <c r="P3723" s="14" t="s">
        <v>84</v>
      </c>
      <c r="Q3723" s="15" t="s">
        <v>1089</v>
      </c>
      <c r="R3723" s="16" t="s">
        <v>23188</v>
      </c>
      <c r="S3723" s="15" t="s">
        <v>23189</v>
      </c>
      <c r="T3723" s="15" t="s">
        <v>23189</v>
      </c>
      <c r="U3723" s="21" t="s">
        <v>72</v>
      </c>
    </row>
    <row r="3724" customFormat="false" ht="15" hidden="false" customHeight="false" outlineLevel="0" collapsed="false">
      <c r="A3724" s="15" t="s">
        <v>22967</v>
      </c>
      <c r="B3724" s="16"/>
      <c r="C3724" s="14" t="s">
        <v>23190</v>
      </c>
      <c r="D3724" s="14" t="s">
        <v>23191</v>
      </c>
      <c r="E3724" s="16" t="s">
        <v>23192</v>
      </c>
      <c r="F3724" s="16" t="s">
        <v>23193</v>
      </c>
      <c r="G3724" s="19" t="s">
        <v>41</v>
      </c>
      <c r="H3724" s="18" t="n">
        <v>3</v>
      </c>
      <c r="I3724" s="20" t="n">
        <v>230.85</v>
      </c>
      <c r="J3724" s="20" t="n">
        <v>230.85</v>
      </c>
      <c r="K3724" s="18" t="n">
        <v>3</v>
      </c>
      <c r="L3724" s="18" t="n">
        <v>4</v>
      </c>
      <c r="M3724" s="18" t="n">
        <v>60</v>
      </c>
      <c r="N3724" s="18" t="n">
        <v>40</v>
      </c>
      <c r="O3724" s="14" t="s">
        <v>1097</v>
      </c>
      <c r="P3724" s="14" t="s">
        <v>118</v>
      </c>
      <c r="Q3724" s="15" t="s">
        <v>1089</v>
      </c>
      <c r="R3724" s="16" t="s">
        <v>23194</v>
      </c>
      <c r="S3724" s="15" t="s">
        <v>23195</v>
      </c>
      <c r="T3724" s="15" t="s">
        <v>23195</v>
      </c>
      <c r="U3724" s="21" t="s">
        <v>72</v>
      </c>
    </row>
    <row r="3725" customFormat="false" ht="26.85" hidden="false" customHeight="false" outlineLevel="0" collapsed="false">
      <c r="A3725" s="15" t="s">
        <v>22967</v>
      </c>
      <c r="B3725" s="16"/>
      <c r="C3725" s="14" t="s">
        <v>23196</v>
      </c>
      <c r="D3725" s="14" t="s">
        <v>23197</v>
      </c>
      <c r="E3725" s="16" t="s">
        <v>23198</v>
      </c>
      <c r="F3725" s="16"/>
      <c r="G3725" s="23" t="s">
        <v>43</v>
      </c>
      <c r="H3725" s="18" t="n">
        <v>2</v>
      </c>
      <c r="I3725" s="20" t="n">
        <v>66.835</v>
      </c>
      <c r="J3725" s="20" t="n">
        <v>187.435</v>
      </c>
      <c r="K3725" s="18" t="n">
        <v>2</v>
      </c>
      <c r="L3725" s="18" t="n">
        <v>2</v>
      </c>
      <c r="M3725" s="18" t="n">
        <v>30</v>
      </c>
      <c r="N3725" s="18" t="n">
        <v>15</v>
      </c>
      <c r="O3725" s="14" t="s">
        <v>1126</v>
      </c>
      <c r="P3725" s="14" t="s">
        <v>906</v>
      </c>
      <c r="Q3725" s="15" t="s">
        <v>1089</v>
      </c>
      <c r="R3725" s="16" t="s">
        <v>8332</v>
      </c>
      <c r="S3725" s="15" t="s">
        <v>23199</v>
      </c>
      <c r="T3725" s="15" t="s">
        <v>23199</v>
      </c>
      <c r="U3725" s="21" t="s">
        <v>72</v>
      </c>
    </row>
    <row r="3726" customFormat="false" ht="15" hidden="false" customHeight="false" outlineLevel="0" collapsed="false">
      <c r="A3726" s="15" t="s">
        <v>22967</v>
      </c>
      <c r="B3726" s="16"/>
      <c r="C3726" s="14" t="s">
        <v>23200</v>
      </c>
      <c r="D3726" s="14" t="s">
        <v>23201</v>
      </c>
      <c r="E3726" s="16" t="s">
        <v>23202</v>
      </c>
      <c r="F3726" s="16"/>
      <c r="G3726" s="23" t="s">
        <v>43</v>
      </c>
      <c r="H3726" s="18" t="n">
        <v>1</v>
      </c>
      <c r="I3726" s="20" t="n">
        <v>46.58</v>
      </c>
      <c r="J3726" s="20" t="n">
        <v>46.58</v>
      </c>
      <c r="K3726" s="18" t="n">
        <v>1</v>
      </c>
      <c r="L3726" s="18" t="n">
        <v>7</v>
      </c>
      <c r="M3726" s="18" t="n">
        <v>15</v>
      </c>
      <c r="N3726" s="18" t="n">
        <v>15</v>
      </c>
      <c r="O3726" s="14" t="s">
        <v>1126</v>
      </c>
      <c r="P3726" s="14" t="s">
        <v>84</v>
      </c>
      <c r="Q3726" s="15" t="s">
        <v>1089</v>
      </c>
      <c r="R3726" s="16" t="s">
        <v>23203</v>
      </c>
      <c r="S3726" s="15" t="s">
        <v>23204</v>
      </c>
      <c r="T3726" s="15" t="s">
        <v>23205</v>
      </c>
      <c r="U3726" s="21" t="s">
        <v>72</v>
      </c>
    </row>
    <row r="3727" customFormat="false" ht="15" hidden="false" customHeight="false" outlineLevel="0" collapsed="false">
      <c r="A3727" s="15" t="s">
        <v>22967</v>
      </c>
      <c r="B3727" s="16"/>
      <c r="C3727" s="14" t="s">
        <v>23206</v>
      </c>
      <c r="D3727" s="14" t="s">
        <v>23207</v>
      </c>
      <c r="E3727" s="16" t="s">
        <v>23208</v>
      </c>
      <c r="F3727" s="16"/>
      <c r="G3727" s="19" t="s">
        <v>41</v>
      </c>
      <c r="H3727" s="18" t="n">
        <v>3</v>
      </c>
      <c r="I3727" s="20" t="n">
        <v>257.76</v>
      </c>
      <c r="J3727" s="20" t="n">
        <v>330.28</v>
      </c>
      <c r="K3727" s="18" t="n">
        <v>3</v>
      </c>
      <c r="L3727" s="18" t="n">
        <v>3</v>
      </c>
      <c r="M3727" s="18" t="n">
        <v>65</v>
      </c>
      <c r="N3727" s="18" t="n">
        <v>65</v>
      </c>
      <c r="O3727" s="14" t="s">
        <v>1126</v>
      </c>
      <c r="P3727" s="14" t="s">
        <v>84</v>
      </c>
      <c r="Q3727" s="15" t="s">
        <v>1089</v>
      </c>
      <c r="R3727" s="16" t="s">
        <v>18653</v>
      </c>
      <c r="S3727" s="15" t="s">
        <v>23209</v>
      </c>
      <c r="T3727" s="15" t="s">
        <v>23210</v>
      </c>
      <c r="U3727" s="21" t="s">
        <v>72</v>
      </c>
    </row>
    <row r="3728" customFormat="false" ht="26.85" hidden="false" customHeight="false" outlineLevel="0" collapsed="false">
      <c r="A3728" s="15" t="s">
        <v>22967</v>
      </c>
      <c r="B3728" s="16"/>
      <c r="C3728" s="14" t="s">
        <v>23211</v>
      </c>
      <c r="D3728" s="14" t="s">
        <v>23212</v>
      </c>
      <c r="E3728" s="16" t="s">
        <v>23213</v>
      </c>
      <c r="F3728" s="16"/>
      <c r="G3728" s="19" t="s">
        <v>41</v>
      </c>
      <c r="H3728" s="18" t="n">
        <v>5</v>
      </c>
      <c r="I3728" s="20" t="n">
        <v>327.14</v>
      </c>
      <c r="J3728" s="20" t="n">
        <v>327.14</v>
      </c>
      <c r="K3728" s="18" t="n">
        <v>11</v>
      </c>
      <c r="L3728" s="18" t="n">
        <v>6</v>
      </c>
      <c r="M3728" s="18" t="n">
        <v>200</v>
      </c>
      <c r="N3728" s="18" t="n">
        <v>20</v>
      </c>
      <c r="O3728" s="14" t="s">
        <v>23214</v>
      </c>
      <c r="P3728" s="14" t="s">
        <v>1766</v>
      </c>
      <c r="Q3728" s="15" t="s">
        <v>1089</v>
      </c>
      <c r="R3728" s="16" t="s">
        <v>23215</v>
      </c>
      <c r="S3728" s="15" t="s">
        <v>21512</v>
      </c>
      <c r="T3728" s="15" t="s">
        <v>23216</v>
      </c>
      <c r="U3728" s="21" t="s">
        <v>72</v>
      </c>
    </row>
    <row r="3729" customFormat="false" ht="15" hidden="false" customHeight="false" outlineLevel="0" collapsed="false">
      <c r="A3729" s="15" t="s">
        <v>22967</v>
      </c>
      <c r="B3729" s="16"/>
      <c r="C3729" s="14" t="s">
        <v>23217</v>
      </c>
      <c r="D3729" s="14" t="s">
        <v>23218</v>
      </c>
      <c r="E3729" s="16" t="s">
        <v>23219</v>
      </c>
      <c r="F3729" s="16" t="s">
        <v>23220</v>
      </c>
      <c r="G3729" s="19" t="s">
        <v>41</v>
      </c>
      <c r="H3729" s="18" t="n">
        <v>3</v>
      </c>
      <c r="I3729" s="20" t="n">
        <v>84.917</v>
      </c>
      <c r="J3729" s="20" t="n">
        <v>213.96</v>
      </c>
      <c r="K3729" s="18" t="n">
        <v>13</v>
      </c>
      <c r="L3729" s="18" t="n">
        <v>2</v>
      </c>
      <c r="M3729" s="18" t="n">
        <v>245</v>
      </c>
      <c r="N3729" s="18" t="n">
        <v>130</v>
      </c>
      <c r="O3729" s="14" t="s">
        <v>23221</v>
      </c>
      <c r="P3729" s="14" t="s">
        <v>118</v>
      </c>
      <c r="Q3729" s="15" t="s">
        <v>1089</v>
      </c>
      <c r="R3729" s="16" t="s">
        <v>23222</v>
      </c>
      <c r="S3729" s="15" t="s">
        <v>23223</v>
      </c>
      <c r="T3729" s="15" t="s">
        <v>23224</v>
      </c>
      <c r="U3729" s="21" t="s">
        <v>72</v>
      </c>
    </row>
    <row r="3730" customFormat="false" ht="26.85" hidden="false" customHeight="false" outlineLevel="0" collapsed="false">
      <c r="A3730" s="15" t="s">
        <v>22967</v>
      </c>
      <c r="B3730" s="16"/>
      <c r="C3730" s="14" t="s">
        <v>23225</v>
      </c>
      <c r="D3730" s="14" t="s">
        <v>23226</v>
      </c>
      <c r="E3730" s="16" t="s">
        <v>23227</v>
      </c>
      <c r="F3730" s="16" t="s">
        <v>23228</v>
      </c>
      <c r="G3730" s="19" t="s">
        <v>41</v>
      </c>
      <c r="H3730" s="18" t="n">
        <v>4</v>
      </c>
      <c r="I3730" s="20" t="n">
        <v>195.351</v>
      </c>
      <c r="J3730" s="20" t="n">
        <v>291.36</v>
      </c>
      <c r="K3730" s="18" t="n">
        <v>15</v>
      </c>
      <c r="L3730" s="18" t="n">
        <v>12</v>
      </c>
      <c r="M3730" s="18" t="n">
        <v>525</v>
      </c>
      <c r="N3730" s="18" t="n">
        <v>210</v>
      </c>
      <c r="O3730" s="14" t="s">
        <v>1088</v>
      </c>
      <c r="P3730" s="14" t="s">
        <v>118</v>
      </c>
      <c r="Q3730" s="15" t="s">
        <v>1089</v>
      </c>
      <c r="R3730" s="16" t="s">
        <v>23229</v>
      </c>
      <c r="S3730" s="15" t="s">
        <v>23230</v>
      </c>
      <c r="T3730" s="15" t="s">
        <v>23231</v>
      </c>
      <c r="U3730" s="21" t="s">
        <v>72</v>
      </c>
    </row>
    <row r="3731" customFormat="false" ht="15" hidden="false" customHeight="false" outlineLevel="0" collapsed="false">
      <c r="A3731" s="15" t="s">
        <v>22967</v>
      </c>
      <c r="B3731" s="16"/>
      <c r="C3731" s="14" t="s">
        <v>23232</v>
      </c>
      <c r="D3731" s="14" t="s">
        <v>23233</v>
      </c>
      <c r="E3731" s="16" t="s">
        <v>23234</v>
      </c>
      <c r="F3731" s="16" t="s">
        <v>23235</v>
      </c>
      <c r="G3731" s="23" t="s">
        <v>43</v>
      </c>
      <c r="H3731" s="18" t="n">
        <v>2</v>
      </c>
      <c r="I3731" s="20" t="n">
        <v>98.55</v>
      </c>
      <c r="J3731" s="20" t="n">
        <v>144.79</v>
      </c>
      <c r="K3731" s="18" t="n">
        <v>25</v>
      </c>
      <c r="L3731" s="18" t="n">
        <v>10</v>
      </c>
      <c r="M3731" s="18" t="n">
        <v>682</v>
      </c>
      <c r="N3731" s="18" t="n">
        <v>140</v>
      </c>
      <c r="O3731" s="14" t="s">
        <v>1126</v>
      </c>
      <c r="P3731" s="14" t="s">
        <v>84</v>
      </c>
      <c r="Q3731" s="15" t="s">
        <v>1089</v>
      </c>
      <c r="R3731" s="16" t="s">
        <v>23236</v>
      </c>
      <c r="S3731" s="15" t="s">
        <v>23237</v>
      </c>
      <c r="T3731" s="15" t="s">
        <v>23238</v>
      </c>
      <c r="U3731" s="21" t="s">
        <v>72</v>
      </c>
    </row>
    <row r="3732" customFormat="false" ht="15" hidden="false" customHeight="false" outlineLevel="0" collapsed="false">
      <c r="A3732" s="15" t="s">
        <v>22967</v>
      </c>
      <c r="B3732" s="16"/>
      <c r="C3732" s="14" t="s">
        <v>23239</v>
      </c>
      <c r="D3732" s="14" t="s">
        <v>23240</v>
      </c>
      <c r="E3732" s="16" t="s">
        <v>23241</v>
      </c>
      <c r="F3732" s="16" t="s">
        <v>23242</v>
      </c>
      <c r="G3732" s="23" t="s">
        <v>43</v>
      </c>
      <c r="H3732" s="18" t="n">
        <v>4</v>
      </c>
      <c r="I3732" s="20" t="n">
        <v>82.6</v>
      </c>
      <c r="J3732" s="20" t="n">
        <v>117.53</v>
      </c>
      <c r="K3732" s="18" t="n">
        <v>8</v>
      </c>
      <c r="L3732" s="18" t="n">
        <v>4</v>
      </c>
      <c r="M3732" s="18" t="n">
        <v>118</v>
      </c>
      <c r="N3732" s="18" t="n">
        <v>30</v>
      </c>
      <c r="O3732" s="14" t="s">
        <v>1126</v>
      </c>
      <c r="P3732" s="14" t="s">
        <v>118</v>
      </c>
      <c r="Q3732" s="15" t="s">
        <v>1089</v>
      </c>
      <c r="R3732" s="16" t="s">
        <v>23243</v>
      </c>
      <c r="S3732" s="15" t="s">
        <v>23244</v>
      </c>
      <c r="T3732" s="15" t="s">
        <v>23245</v>
      </c>
      <c r="U3732" s="21" t="s">
        <v>72</v>
      </c>
    </row>
    <row r="3733" customFormat="false" ht="26.85" hidden="false" customHeight="false" outlineLevel="0" collapsed="false">
      <c r="A3733" s="15" t="s">
        <v>22967</v>
      </c>
      <c r="B3733" s="16"/>
      <c r="C3733" s="14" t="s">
        <v>23246</v>
      </c>
      <c r="D3733" s="14" t="s">
        <v>23247</v>
      </c>
      <c r="E3733" s="16" t="s">
        <v>23248</v>
      </c>
      <c r="F3733" s="16" t="s">
        <v>23249</v>
      </c>
      <c r="G3733" s="23" t="s">
        <v>43</v>
      </c>
      <c r="H3733" s="18" t="n">
        <v>4</v>
      </c>
      <c r="I3733" s="20" t="n">
        <v>130.22</v>
      </c>
      <c r="J3733" s="20" t="n">
        <v>130.22</v>
      </c>
      <c r="K3733" s="18" t="n">
        <v>19</v>
      </c>
      <c r="L3733" s="18"/>
      <c r="M3733" s="18" t="n">
        <v>275</v>
      </c>
      <c r="N3733" s="18" t="n">
        <v>45</v>
      </c>
      <c r="O3733" s="14" t="s">
        <v>23250</v>
      </c>
      <c r="P3733" s="14" t="s">
        <v>1185</v>
      </c>
      <c r="Q3733" s="15" t="s">
        <v>1089</v>
      </c>
      <c r="R3733" s="16" t="s">
        <v>23251</v>
      </c>
      <c r="S3733" s="15" t="s">
        <v>23252</v>
      </c>
      <c r="T3733" s="15" t="s">
        <v>23253</v>
      </c>
      <c r="U3733" s="21" t="s">
        <v>72</v>
      </c>
    </row>
    <row r="3734" customFormat="false" ht="15" hidden="false" customHeight="false" outlineLevel="0" collapsed="false">
      <c r="A3734" s="15" t="s">
        <v>22967</v>
      </c>
      <c r="B3734" s="16"/>
      <c r="C3734" s="14" t="s">
        <v>23254</v>
      </c>
      <c r="D3734" s="14" t="s">
        <v>23255</v>
      </c>
      <c r="E3734" s="16" t="s">
        <v>23256</v>
      </c>
      <c r="F3734" s="16" t="s">
        <v>23257</v>
      </c>
      <c r="G3734" s="23" t="s">
        <v>43</v>
      </c>
      <c r="H3734" s="18" t="n">
        <v>1</v>
      </c>
      <c r="I3734" s="20" t="n">
        <v>51.125</v>
      </c>
      <c r="J3734" s="20" t="n">
        <v>61.35</v>
      </c>
      <c r="K3734" s="18" t="n">
        <v>2</v>
      </c>
      <c r="L3734" s="18" t="n">
        <v>1</v>
      </c>
      <c r="M3734" s="18" t="n">
        <v>20</v>
      </c>
      <c r="N3734" s="18" t="n">
        <v>20</v>
      </c>
      <c r="O3734" s="14" t="s">
        <v>1126</v>
      </c>
      <c r="P3734" s="14" t="s">
        <v>118</v>
      </c>
      <c r="Q3734" s="15" t="s">
        <v>1089</v>
      </c>
      <c r="R3734" s="16" t="s">
        <v>23258</v>
      </c>
      <c r="S3734" s="15" t="s">
        <v>23259</v>
      </c>
      <c r="T3734" s="15" t="s">
        <v>23259</v>
      </c>
      <c r="U3734" s="21" t="s">
        <v>72</v>
      </c>
    </row>
    <row r="3735" customFormat="false" ht="15" hidden="false" customHeight="false" outlineLevel="0" collapsed="false">
      <c r="A3735" s="15" t="s">
        <v>22967</v>
      </c>
      <c r="B3735" s="16"/>
      <c r="C3735" s="14" t="s">
        <v>23260</v>
      </c>
      <c r="D3735" s="14" t="s">
        <v>23261</v>
      </c>
      <c r="E3735" s="16" t="s">
        <v>23262</v>
      </c>
      <c r="F3735" s="16" t="s">
        <v>23263</v>
      </c>
      <c r="G3735" s="23" t="s">
        <v>43</v>
      </c>
      <c r="H3735" s="18" t="n">
        <v>2</v>
      </c>
      <c r="I3735" s="20" t="n">
        <v>38.67</v>
      </c>
      <c r="J3735" s="20" t="n">
        <v>42.67</v>
      </c>
      <c r="K3735" s="18" t="n">
        <v>2</v>
      </c>
      <c r="L3735" s="18" t="n">
        <v>1</v>
      </c>
      <c r="M3735" s="18" t="n">
        <v>20</v>
      </c>
      <c r="N3735" s="18" t="n">
        <v>20</v>
      </c>
      <c r="O3735" s="14" t="s">
        <v>1126</v>
      </c>
      <c r="P3735" s="14" t="s">
        <v>118</v>
      </c>
      <c r="Q3735" s="15" t="s">
        <v>1089</v>
      </c>
      <c r="R3735" s="16" t="s">
        <v>23264</v>
      </c>
      <c r="S3735" s="15" t="s">
        <v>23265</v>
      </c>
      <c r="T3735" s="15" t="s">
        <v>23265</v>
      </c>
      <c r="U3735" s="21" t="s">
        <v>72</v>
      </c>
    </row>
    <row r="3736" customFormat="false" ht="15" hidden="false" customHeight="false" outlineLevel="0" collapsed="false">
      <c r="A3736" s="15" t="s">
        <v>22967</v>
      </c>
      <c r="B3736" s="16"/>
      <c r="C3736" s="14" t="s">
        <v>23266</v>
      </c>
      <c r="D3736" s="14" t="s">
        <v>23267</v>
      </c>
      <c r="E3736" s="16" t="s">
        <v>23268</v>
      </c>
      <c r="F3736" s="16" t="s">
        <v>23269</v>
      </c>
      <c r="G3736" s="23" t="s">
        <v>43</v>
      </c>
      <c r="H3736" s="18" t="n">
        <v>2</v>
      </c>
      <c r="I3736" s="20" t="n">
        <v>85.325</v>
      </c>
      <c r="J3736" s="20" t="n">
        <v>85.325</v>
      </c>
      <c r="K3736" s="18" t="n">
        <v>2</v>
      </c>
      <c r="L3736" s="18" t="n">
        <v>2</v>
      </c>
      <c r="M3736" s="18" t="n">
        <v>30</v>
      </c>
      <c r="N3736" s="18" t="n">
        <v>30</v>
      </c>
      <c r="O3736" s="14" t="s">
        <v>1126</v>
      </c>
      <c r="P3736" s="14" t="s">
        <v>84</v>
      </c>
      <c r="Q3736" s="15" t="s">
        <v>1089</v>
      </c>
      <c r="R3736" s="16" t="s">
        <v>1916</v>
      </c>
      <c r="S3736" s="15" t="s">
        <v>23270</v>
      </c>
      <c r="T3736" s="15" t="s">
        <v>23270</v>
      </c>
      <c r="U3736" s="21" t="s">
        <v>72</v>
      </c>
    </row>
    <row r="3737" customFormat="false" ht="15" hidden="false" customHeight="false" outlineLevel="0" collapsed="false">
      <c r="A3737" s="15" t="s">
        <v>22967</v>
      </c>
      <c r="B3737" s="16"/>
      <c r="C3737" s="14" t="s">
        <v>23271</v>
      </c>
      <c r="D3737" s="14" t="s">
        <v>23272</v>
      </c>
      <c r="E3737" s="16" t="s">
        <v>23273</v>
      </c>
      <c r="F3737" s="16" t="s">
        <v>23274</v>
      </c>
      <c r="G3737" s="23" t="s">
        <v>43</v>
      </c>
      <c r="H3737" s="18" t="n">
        <v>1</v>
      </c>
      <c r="I3737" s="20" t="n">
        <v>113.68</v>
      </c>
      <c r="J3737" s="20" t="n">
        <v>113.68</v>
      </c>
      <c r="K3737" s="18" t="n">
        <v>1</v>
      </c>
      <c r="L3737" s="18" t="n">
        <v>1</v>
      </c>
      <c r="M3737" s="18" t="n">
        <v>15</v>
      </c>
      <c r="N3737" s="18" t="n">
        <v>15</v>
      </c>
      <c r="O3737" s="14" t="s">
        <v>1126</v>
      </c>
      <c r="P3737" s="14" t="s">
        <v>84</v>
      </c>
      <c r="Q3737" s="15" t="s">
        <v>1089</v>
      </c>
      <c r="R3737" s="16" t="s">
        <v>85</v>
      </c>
      <c r="S3737" s="15" t="s">
        <v>23275</v>
      </c>
      <c r="T3737" s="15" t="s">
        <v>23275</v>
      </c>
      <c r="U3737" s="21" t="s">
        <v>72</v>
      </c>
    </row>
    <row r="3738" customFormat="false" ht="15" hidden="false" customHeight="false" outlineLevel="0" collapsed="false">
      <c r="A3738" s="15" t="s">
        <v>22967</v>
      </c>
      <c r="B3738" s="16"/>
      <c r="C3738" s="14" t="s">
        <v>23276</v>
      </c>
      <c r="D3738" s="14" t="s">
        <v>23277</v>
      </c>
      <c r="E3738" s="16" t="s">
        <v>23278</v>
      </c>
      <c r="F3738" s="16" t="s">
        <v>23279</v>
      </c>
      <c r="G3738" s="23" t="s">
        <v>43</v>
      </c>
      <c r="H3738" s="18" t="n">
        <v>3</v>
      </c>
      <c r="I3738" s="20" t="n">
        <v>61.241</v>
      </c>
      <c r="J3738" s="20" t="n">
        <v>82.16</v>
      </c>
      <c r="K3738" s="18" t="n">
        <v>14</v>
      </c>
      <c r="L3738" s="18" t="n">
        <v>8</v>
      </c>
      <c r="M3738" s="18" t="n">
        <v>292</v>
      </c>
      <c r="N3738" s="18" t="n">
        <v>64</v>
      </c>
      <c r="O3738" s="14" t="s">
        <v>1126</v>
      </c>
      <c r="P3738" s="14" t="s">
        <v>118</v>
      </c>
      <c r="Q3738" s="15" t="s">
        <v>1089</v>
      </c>
      <c r="R3738" s="16" t="s">
        <v>23280</v>
      </c>
      <c r="S3738" s="15" t="s">
        <v>23281</v>
      </c>
      <c r="T3738" s="15" t="s">
        <v>23281</v>
      </c>
      <c r="U3738" s="21" t="s">
        <v>72</v>
      </c>
    </row>
    <row r="3739" customFormat="false" ht="15" hidden="false" customHeight="false" outlineLevel="0" collapsed="false">
      <c r="A3739" s="15" t="s">
        <v>22967</v>
      </c>
      <c r="B3739" s="16"/>
      <c r="C3739" s="14" t="s">
        <v>23282</v>
      </c>
      <c r="D3739" s="14" t="s">
        <v>23283</v>
      </c>
      <c r="E3739" s="16" t="s">
        <v>23284</v>
      </c>
      <c r="F3739" s="16" t="s">
        <v>23285</v>
      </c>
      <c r="G3739" s="23" t="s">
        <v>43</v>
      </c>
      <c r="H3739" s="18" t="n">
        <v>2</v>
      </c>
      <c r="I3739" s="20" t="n">
        <v>100.09</v>
      </c>
      <c r="J3739" s="20" t="n">
        <v>185.11</v>
      </c>
      <c r="K3739" s="18" t="n">
        <v>2</v>
      </c>
      <c r="L3739" s="18" t="n">
        <v>1</v>
      </c>
      <c r="M3739" s="18" t="n">
        <v>30</v>
      </c>
      <c r="N3739" s="18" t="n">
        <v>30</v>
      </c>
      <c r="O3739" s="14" t="s">
        <v>1126</v>
      </c>
      <c r="P3739" s="14" t="s">
        <v>84</v>
      </c>
      <c r="Q3739" s="15" t="s">
        <v>1089</v>
      </c>
      <c r="R3739" s="16" t="s">
        <v>19307</v>
      </c>
      <c r="S3739" s="15" t="s">
        <v>23286</v>
      </c>
      <c r="T3739" s="15" t="s">
        <v>23286</v>
      </c>
      <c r="U3739" s="21" t="s">
        <v>72</v>
      </c>
    </row>
    <row r="3740" customFormat="false" ht="15" hidden="false" customHeight="false" outlineLevel="0" collapsed="false">
      <c r="A3740" s="15" t="s">
        <v>22967</v>
      </c>
      <c r="B3740" s="16"/>
      <c r="C3740" s="14" t="s">
        <v>23287</v>
      </c>
      <c r="D3740" s="14" t="s">
        <v>23288</v>
      </c>
      <c r="E3740" s="16" t="s">
        <v>23289</v>
      </c>
      <c r="F3740" s="16" t="s">
        <v>23290</v>
      </c>
      <c r="G3740" s="19" t="s">
        <v>41</v>
      </c>
      <c r="H3740" s="18" t="n">
        <v>4</v>
      </c>
      <c r="I3740" s="20" t="n">
        <v>218.52</v>
      </c>
      <c r="J3740" s="20" t="n">
        <v>218.52</v>
      </c>
      <c r="K3740" s="18" t="n">
        <v>2</v>
      </c>
      <c r="L3740" s="18" t="n">
        <v>6</v>
      </c>
      <c r="M3740" s="18" t="n">
        <v>40</v>
      </c>
      <c r="N3740" s="18" t="n">
        <v>40</v>
      </c>
      <c r="O3740" s="14" t="s">
        <v>1126</v>
      </c>
      <c r="P3740" s="14" t="s">
        <v>84</v>
      </c>
      <c r="Q3740" s="15" t="s">
        <v>1089</v>
      </c>
      <c r="R3740" s="16" t="s">
        <v>23291</v>
      </c>
      <c r="S3740" s="15" t="s">
        <v>23124</v>
      </c>
      <c r="T3740" s="15" t="s">
        <v>23292</v>
      </c>
      <c r="U3740" s="21" t="s">
        <v>72</v>
      </c>
    </row>
    <row r="3741" customFormat="false" ht="15" hidden="false" customHeight="false" outlineLevel="0" collapsed="false">
      <c r="A3741" s="15" t="s">
        <v>22967</v>
      </c>
      <c r="B3741" s="16"/>
      <c r="C3741" s="14" t="s">
        <v>23293</v>
      </c>
      <c r="D3741" s="14" t="s">
        <v>23294</v>
      </c>
      <c r="E3741" s="16" t="s">
        <v>23295</v>
      </c>
      <c r="F3741" s="16" t="s">
        <v>23296</v>
      </c>
      <c r="G3741" s="23" t="s">
        <v>43</v>
      </c>
      <c r="H3741" s="18" t="n">
        <v>2</v>
      </c>
      <c r="I3741" s="20" t="n">
        <v>86.8</v>
      </c>
      <c r="J3741" s="20" t="n">
        <v>86.8</v>
      </c>
      <c r="K3741" s="18" t="n">
        <v>1</v>
      </c>
      <c r="L3741" s="18" t="n">
        <v>1</v>
      </c>
      <c r="M3741" s="18" t="n">
        <v>10</v>
      </c>
      <c r="N3741" s="18" t="n">
        <v>10</v>
      </c>
      <c r="O3741" s="14" t="s">
        <v>1126</v>
      </c>
      <c r="P3741" s="14" t="s">
        <v>84</v>
      </c>
      <c r="Q3741" s="15" t="s">
        <v>1089</v>
      </c>
      <c r="R3741" s="16" t="s">
        <v>17247</v>
      </c>
      <c r="S3741" s="15" t="s">
        <v>23297</v>
      </c>
      <c r="T3741" s="15" t="s">
        <v>23297</v>
      </c>
      <c r="U3741" s="21" t="s">
        <v>72</v>
      </c>
    </row>
    <row r="3742" customFormat="false" ht="15" hidden="false" customHeight="false" outlineLevel="0" collapsed="false">
      <c r="A3742" s="15" t="s">
        <v>22967</v>
      </c>
      <c r="B3742" s="16"/>
      <c r="C3742" s="14" t="s">
        <v>23298</v>
      </c>
      <c r="D3742" s="14" t="s">
        <v>23299</v>
      </c>
      <c r="E3742" s="16" t="s">
        <v>23300</v>
      </c>
      <c r="F3742" s="16" t="s">
        <v>23301</v>
      </c>
      <c r="G3742" s="19" t="s">
        <v>41</v>
      </c>
      <c r="H3742" s="18" t="n">
        <v>6</v>
      </c>
      <c r="I3742" s="20" t="n">
        <v>184.8</v>
      </c>
      <c r="J3742" s="20" t="n">
        <v>390.75</v>
      </c>
      <c r="K3742" s="18" t="n">
        <v>9</v>
      </c>
      <c r="L3742" s="18" t="n">
        <v>7</v>
      </c>
      <c r="M3742" s="18" t="n">
        <v>230</v>
      </c>
      <c r="N3742" s="18" t="n">
        <v>65</v>
      </c>
      <c r="O3742" s="14" t="s">
        <v>1097</v>
      </c>
      <c r="P3742" s="14" t="s">
        <v>118</v>
      </c>
      <c r="Q3742" s="15" t="s">
        <v>1089</v>
      </c>
      <c r="R3742" s="16" t="s">
        <v>23302</v>
      </c>
      <c r="S3742" s="15" t="s">
        <v>23303</v>
      </c>
      <c r="T3742" s="15" t="s">
        <v>23303</v>
      </c>
      <c r="U3742" s="21" t="s">
        <v>72</v>
      </c>
    </row>
    <row r="3743" customFormat="false" ht="15" hidden="false" customHeight="false" outlineLevel="0" collapsed="false">
      <c r="A3743" s="15" t="s">
        <v>22967</v>
      </c>
      <c r="B3743" s="16"/>
      <c r="C3743" s="14" t="s">
        <v>23304</v>
      </c>
      <c r="D3743" s="14" t="s">
        <v>23305</v>
      </c>
      <c r="E3743" s="16" t="s">
        <v>23306</v>
      </c>
      <c r="F3743" s="16" t="s">
        <v>23307</v>
      </c>
      <c r="G3743" s="25" t="s">
        <v>39</v>
      </c>
      <c r="H3743" s="18" t="n">
        <v>7</v>
      </c>
      <c r="I3743" s="20" t="n">
        <v>592.06</v>
      </c>
      <c r="J3743" s="20" t="n">
        <v>592.06</v>
      </c>
      <c r="K3743" s="18" t="n">
        <v>5</v>
      </c>
      <c r="L3743" s="18" t="n">
        <v>2</v>
      </c>
      <c r="M3743" s="18" t="n">
        <v>100</v>
      </c>
      <c r="N3743" s="18" t="n">
        <v>60</v>
      </c>
      <c r="O3743" s="14" t="s">
        <v>1097</v>
      </c>
      <c r="P3743" s="14" t="s">
        <v>84</v>
      </c>
      <c r="Q3743" s="15" t="s">
        <v>1089</v>
      </c>
      <c r="R3743" s="16" t="s">
        <v>23308</v>
      </c>
      <c r="S3743" s="15" t="s">
        <v>23309</v>
      </c>
      <c r="T3743" s="15" t="s">
        <v>23310</v>
      </c>
      <c r="U3743" s="21" t="s">
        <v>72</v>
      </c>
    </row>
    <row r="3744" customFormat="false" ht="15" hidden="false" customHeight="false" outlineLevel="0" collapsed="false">
      <c r="A3744" s="15" t="s">
        <v>22967</v>
      </c>
      <c r="B3744" s="16"/>
      <c r="C3744" s="14" t="s">
        <v>23311</v>
      </c>
      <c r="D3744" s="14" t="s">
        <v>23312</v>
      </c>
      <c r="E3744" s="16" t="s">
        <v>23313</v>
      </c>
      <c r="F3744" s="16" t="s">
        <v>23314</v>
      </c>
      <c r="G3744" s="23" t="s">
        <v>43</v>
      </c>
      <c r="H3744" s="18" t="n">
        <v>3</v>
      </c>
      <c r="I3744" s="20" t="n">
        <v>138.32</v>
      </c>
      <c r="J3744" s="20" t="n">
        <v>138.32</v>
      </c>
      <c r="K3744" s="18" t="n">
        <v>4</v>
      </c>
      <c r="L3744" s="18" t="n">
        <v>1</v>
      </c>
      <c r="M3744" s="18" t="n">
        <v>80</v>
      </c>
      <c r="N3744" s="18" t="n">
        <v>80</v>
      </c>
      <c r="O3744" s="14" t="s">
        <v>5962</v>
      </c>
      <c r="P3744" s="14" t="s">
        <v>118</v>
      </c>
      <c r="Q3744" s="15" t="s">
        <v>1089</v>
      </c>
      <c r="R3744" s="16" t="s">
        <v>17247</v>
      </c>
      <c r="S3744" s="15" t="s">
        <v>23315</v>
      </c>
      <c r="T3744" s="15" t="s">
        <v>23316</v>
      </c>
      <c r="U3744" s="21" t="s">
        <v>72</v>
      </c>
    </row>
    <row r="3745" customFormat="false" ht="15" hidden="false" customHeight="false" outlineLevel="0" collapsed="false">
      <c r="A3745" s="15" t="s">
        <v>22967</v>
      </c>
      <c r="B3745" s="16"/>
      <c r="C3745" s="14" t="s">
        <v>23317</v>
      </c>
      <c r="D3745" s="14" t="s">
        <v>23318</v>
      </c>
      <c r="E3745" s="16" t="s">
        <v>23319</v>
      </c>
      <c r="F3745" s="16" t="s">
        <v>23320</v>
      </c>
      <c r="G3745" s="19" t="s">
        <v>41</v>
      </c>
      <c r="H3745" s="18" t="n">
        <v>5</v>
      </c>
      <c r="I3745" s="20" t="n">
        <v>109.08</v>
      </c>
      <c r="J3745" s="20" t="n">
        <v>370.61</v>
      </c>
      <c r="K3745" s="18" t="n">
        <v>5</v>
      </c>
      <c r="L3745" s="18" t="n">
        <v>1</v>
      </c>
      <c r="M3745" s="18" t="n">
        <v>75</v>
      </c>
      <c r="N3745" s="18" t="n">
        <v>75</v>
      </c>
      <c r="O3745" s="14" t="s">
        <v>1126</v>
      </c>
      <c r="P3745" s="14" t="s">
        <v>84</v>
      </c>
      <c r="Q3745" s="15" t="s">
        <v>1089</v>
      </c>
      <c r="R3745" s="16" t="s">
        <v>3248</v>
      </c>
      <c r="S3745" s="15" t="s">
        <v>2854</v>
      </c>
      <c r="T3745" s="15" t="s">
        <v>23321</v>
      </c>
      <c r="U3745" s="21" t="s">
        <v>72</v>
      </c>
    </row>
    <row r="3746" customFormat="false" ht="15" hidden="false" customHeight="false" outlineLevel="0" collapsed="false">
      <c r="A3746" s="15" t="s">
        <v>22967</v>
      </c>
      <c r="B3746" s="16"/>
      <c r="C3746" s="14" t="s">
        <v>23322</v>
      </c>
      <c r="D3746" s="14" t="s">
        <v>23323</v>
      </c>
      <c r="E3746" s="16" t="s">
        <v>23324</v>
      </c>
      <c r="F3746" s="16" t="s">
        <v>23325</v>
      </c>
      <c r="G3746" s="19" t="s">
        <v>41</v>
      </c>
      <c r="H3746" s="18" t="n">
        <v>2</v>
      </c>
      <c r="I3746" s="20" t="n">
        <v>202.23</v>
      </c>
      <c r="J3746" s="20" t="n">
        <v>278.44</v>
      </c>
      <c r="K3746" s="18" t="n">
        <v>2</v>
      </c>
      <c r="L3746" s="18" t="n">
        <v>5</v>
      </c>
      <c r="M3746" s="18" t="n">
        <v>30</v>
      </c>
      <c r="N3746" s="18" t="n">
        <v>30</v>
      </c>
      <c r="O3746" s="14" t="s">
        <v>17859</v>
      </c>
      <c r="P3746" s="14" t="s">
        <v>84</v>
      </c>
      <c r="Q3746" s="15" t="s">
        <v>1089</v>
      </c>
      <c r="R3746" s="16" t="s">
        <v>16419</v>
      </c>
      <c r="S3746" s="15" t="s">
        <v>23326</v>
      </c>
      <c r="T3746" s="15" t="s">
        <v>23326</v>
      </c>
      <c r="U3746" s="21" t="s">
        <v>72</v>
      </c>
    </row>
    <row r="3747" customFormat="false" ht="15" hidden="false" customHeight="false" outlineLevel="0" collapsed="false">
      <c r="A3747" s="15" t="s">
        <v>22967</v>
      </c>
      <c r="B3747" s="16"/>
      <c r="C3747" s="14" t="s">
        <v>23327</v>
      </c>
      <c r="D3747" s="14" t="s">
        <v>23328</v>
      </c>
      <c r="E3747" s="16" t="s">
        <v>23329</v>
      </c>
      <c r="F3747" s="16" t="s">
        <v>23330</v>
      </c>
      <c r="G3747" s="23" t="s">
        <v>43</v>
      </c>
      <c r="H3747" s="18" t="n">
        <v>3</v>
      </c>
      <c r="I3747" s="20" t="n">
        <v>85.91</v>
      </c>
      <c r="J3747" s="20" t="n">
        <v>187.76</v>
      </c>
      <c r="K3747" s="18" t="n">
        <v>3</v>
      </c>
      <c r="L3747" s="18" t="n">
        <v>5</v>
      </c>
      <c r="M3747" s="18" t="n">
        <v>60</v>
      </c>
      <c r="N3747" s="18" t="n">
        <v>60</v>
      </c>
      <c r="O3747" s="14" t="s">
        <v>1088</v>
      </c>
      <c r="P3747" s="14" t="s">
        <v>118</v>
      </c>
      <c r="Q3747" s="15" t="s">
        <v>1089</v>
      </c>
      <c r="R3747" s="16" t="s">
        <v>3358</v>
      </c>
      <c r="S3747" s="15" t="s">
        <v>23331</v>
      </c>
      <c r="T3747" s="15" t="s">
        <v>23331</v>
      </c>
      <c r="U3747" s="21" t="s">
        <v>72</v>
      </c>
    </row>
    <row r="3748" customFormat="false" ht="15" hidden="false" customHeight="false" outlineLevel="0" collapsed="false">
      <c r="A3748" s="15" t="s">
        <v>22967</v>
      </c>
      <c r="B3748" s="16"/>
      <c r="C3748" s="14" t="s">
        <v>23332</v>
      </c>
      <c r="D3748" s="14" t="s">
        <v>23333</v>
      </c>
      <c r="E3748" s="16" t="s">
        <v>23334</v>
      </c>
      <c r="F3748" s="16" t="s">
        <v>23335</v>
      </c>
      <c r="G3748" s="23" t="s">
        <v>43</v>
      </c>
      <c r="H3748" s="18" t="n">
        <v>2</v>
      </c>
      <c r="I3748" s="20" t="n">
        <v>49</v>
      </c>
      <c r="J3748" s="20" t="n">
        <v>152.77</v>
      </c>
      <c r="K3748" s="18" t="n">
        <v>3</v>
      </c>
      <c r="L3748" s="18" t="n">
        <v>4</v>
      </c>
      <c r="M3748" s="18" t="n">
        <v>60</v>
      </c>
      <c r="N3748" s="18" t="n">
        <v>40</v>
      </c>
      <c r="O3748" s="14" t="s">
        <v>1126</v>
      </c>
      <c r="P3748" s="14" t="s">
        <v>118</v>
      </c>
      <c r="Q3748" s="15" t="s">
        <v>1089</v>
      </c>
      <c r="R3748" s="16" t="s">
        <v>23336</v>
      </c>
      <c r="S3748" s="15" t="s">
        <v>23337</v>
      </c>
      <c r="T3748" s="15" t="s">
        <v>23337</v>
      </c>
      <c r="U3748" s="21" t="s">
        <v>72</v>
      </c>
    </row>
    <row r="3749" customFormat="false" ht="15" hidden="false" customHeight="false" outlineLevel="0" collapsed="false">
      <c r="A3749" s="15" t="s">
        <v>22967</v>
      </c>
      <c r="B3749" s="16"/>
      <c r="C3749" s="14" t="s">
        <v>23338</v>
      </c>
      <c r="D3749" s="14" t="s">
        <v>23339</v>
      </c>
      <c r="E3749" s="16" t="s">
        <v>23340</v>
      </c>
      <c r="F3749" s="16"/>
      <c r="G3749" s="23" t="s">
        <v>43</v>
      </c>
      <c r="H3749" s="18" t="n">
        <v>2</v>
      </c>
      <c r="I3749" s="20" t="n">
        <v>37.01</v>
      </c>
      <c r="J3749" s="20" t="n">
        <v>108.22</v>
      </c>
      <c r="K3749" s="18" t="n">
        <v>5</v>
      </c>
      <c r="L3749" s="18" t="n">
        <v>1</v>
      </c>
      <c r="M3749" s="18" t="n">
        <v>75</v>
      </c>
      <c r="N3749" s="18" t="n">
        <v>75</v>
      </c>
      <c r="O3749" s="14" t="s">
        <v>1097</v>
      </c>
      <c r="P3749" s="14" t="s">
        <v>84</v>
      </c>
      <c r="Q3749" s="15" t="s">
        <v>1089</v>
      </c>
      <c r="R3749" s="16" t="s">
        <v>16419</v>
      </c>
      <c r="S3749" s="15" t="s">
        <v>23341</v>
      </c>
      <c r="T3749" s="15" t="s">
        <v>23342</v>
      </c>
      <c r="U3749" s="21" t="s">
        <v>72</v>
      </c>
    </row>
    <row r="3750" customFormat="false" ht="15" hidden="false" customHeight="false" outlineLevel="0" collapsed="false">
      <c r="A3750" s="15" t="s">
        <v>22967</v>
      </c>
      <c r="B3750" s="16"/>
      <c r="C3750" s="14" t="s">
        <v>23343</v>
      </c>
      <c r="D3750" s="14" t="s">
        <v>23344</v>
      </c>
      <c r="E3750" s="16" t="s">
        <v>23345</v>
      </c>
      <c r="F3750" s="16" t="s">
        <v>23346</v>
      </c>
      <c r="G3750" s="19" t="s">
        <v>41</v>
      </c>
      <c r="H3750" s="18" t="n">
        <v>5</v>
      </c>
      <c r="I3750" s="20" t="n">
        <v>118.58</v>
      </c>
      <c r="J3750" s="20" t="n">
        <v>118.58</v>
      </c>
      <c r="K3750" s="18" t="n">
        <v>3</v>
      </c>
      <c r="L3750" s="18" t="n">
        <v>4</v>
      </c>
      <c r="M3750" s="18" t="n">
        <v>90</v>
      </c>
      <c r="N3750" s="18" t="n">
        <v>60</v>
      </c>
      <c r="O3750" s="14" t="s">
        <v>1097</v>
      </c>
      <c r="P3750" s="14" t="s">
        <v>118</v>
      </c>
      <c r="Q3750" s="15" t="s">
        <v>1089</v>
      </c>
      <c r="R3750" s="16" t="s">
        <v>18393</v>
      </c>
      <c r="S3750" s="15" t="s">
        <v>23347</v>
      </c>
      <c r="T3750" s="15" t="s">
        <v>23347</v>
      </c>
      <c r="U3750" s="21" t="s">
        <v>72</v>
      </c>
    </row>
    <row r="3751" customFormat="false" ht="15" hidden="false" customHeight="false" outlineLevel="0" collapsed="false">
      <c r="A3751" s="15" t="s">
        <v>22967</v>
      </c>
      <c r="B3751" s="16"/>
      <c r="C3751" s="14" t="s">
        <v>23348</v>
      </c>
      <c r="D3751" s="14" t="s">
        <v>23349</v>
      </c>
      <c r="E3751" s="16" t="s">
        <v>23350</v>
      </c>
      <c r="F3751" s="16" t="s">
        <v>23351</v>
      </c>
      <c r="G3751" s="25" t="s">
        <v>39</v>
      </c>
      <c r="H3751" s="18" t="n">
        <v>5</v>
      </c>
      <c r="I3751" s="20" t="n">
        <v>451.7</v>
      </c>
      <c r="J3751" s="20" t="n">
        <v>450.7</v>
      </c>
      <c r="K3751" s="18" t="n">
        <v>4</v>
      </c>
      <c r="L3751" s="18" t="n">
        <v>14</v>
      </c>
      <c r="M3751" s="18" t="n">
        <v>80</v>
      </c>
      <c r="N3751" s="18" t="n">
        <v>80</v>
      </c>
      <c r="O3751" s="14" t="s">
        <v>1126</v>
      </c>
      <c r="P3751" s="14" t="s">
        <v>118</v>
      </c>
      <c r="Q3751" s="15" t="s">
        <v>1089</v>
      </c>
      <c r="R3751" s="16" t="s">
        <v>19662</v>
      </c>
      <c r="S3751" s="15" t="s">
        <v>23352</v>
      </c>
      <c r="T3751" s="15" t="s">
        <v>23352</v>
      </c>
      <c r="U3751" s="21" t="s">
        <v>72</v>
      </c>
    </row>
    <row r="3752" customFormat="false" ht="15" hidden="false" customHeight="false" outlineLevel="0" collapsed="false">
      <c r="A3752" s="15" t="s">
        <v>22967</v>
      </c>
      <c r="B3752" s="16"/>
      <c r="C3752" s="14" t="s">
        <v>23353</v>
      </c>
      <c r="D3752" s="14" t="s">
        <v>23354</v>
      </c>
      <c r="E3752" s="16" t="s">
        <v>23355</v>
      </c>
      <c r="F3752" s="16" t="s">
        <v>23356</v>
      </c>
      <c r="G3752" s="19" t="s">
        <v>41</v>
      </c>
      <c r="H3752" s="18" t="n">
        <v>6</v>
      </c>
      <c r="I3752" s="20" t="n">
        <v>231.86</v>
      </c>
      <c r="J3752" s="20" t="n">
        <v>317.97</v>
      </c>
      <c r="K3752" s="18" t="n">
        <v>5</v>
      </c>
      <c r="L3752" s="18" t="n">
        <v>8</v>
      </c>
      <c r="M3752" s="18" t="n">
        <v>75</v>
      </c>
      <c r="N3752" s="18" t="n">
        <v>45</v>
      </c>
      <c r="O3752" s="14" t="s">
        <v>1126</v>
      </c>
      <c r="P3752" s="14" t="s">
        <v>94</v>
      </c>
      <c r="Q3752" s="15" t="s">
        <v>1089</v>
      </c>
      <c r="R3752" s="16" t="s">
        <v>8635</v>
      </c>
      <c r="S3752" s="15" t="s">
        <v>23357</v>
      </c>
      <c r="T3752" s="15" t="s">
        <v>23358</v>
      </c>
      <c r="U3752" s="21" t="s">
        <v>72</v>
      </c>
    </row>
    <row r="3753" customFormat="false" ht="26.85" hidden="false" customHeight="false" outlineLevel="0" collapsed="false">
      <c r="A3753" s="15" t="s">
        <v>22967</v>
      </c>
      <c r="B3753" s="16"/>
      <c r="C3753" s="14" t="s">
        <v>23359</v>
      </c>
      <c r="D3753" s="14" t="s">
        <v>23360</v>
      </c>
      <c r="E3753" s="16" t="s">
        <v>23361</v>
      </c>
      <c r="F3753" s="16" t="s">
        <v>23362</v>
      </c>
      <c r="G3753" s="25" t="s">
        <v>39</v>
      </c>
      <c r="H3753" s="18" t="n">
        <v>8</v>
      </c>
      <c r="I3753" s="20" t="n">
        <v>199.49</v>
      </c>
      <c r="J3753" s="20" t="n">
        <v>505.01</v>
      </c>
      <c r="K3753" s="18" t="n">
        <v>9</v>
      </c>
      <c r="L3753" s="18" t="n">
        <v>2</v>
      </c>
      <c r="M3753" s="18" t="n">
        <v>178</v>
      </c>
      <c r="N3753" s="18" t="n">
        <v>153</v>
      </c>
      <c r="O3753" s="14" t="s">
        <v>1126</v>
      </c>
      <c r="P3753" s="14" t="s">
        <v>94</v>
      </c>
      <c r="Q3753" s="15" t="s">
        <v>1089</v>
      </c>
      <c r="R3753" s="16" t="s">
        <v>23363</v>
      </c>
      <c r="S3753" s="15" t="s">
        <v>23364</v>
      </c>
      <c r="T3753" s="15" t="s">
        <v>23365</v>
      </c>
      <c r="U3753" s="21" t="s">
        <v>72</v>
      </c>
    </row>
    <row r="3754" customFormat="false" ht="15" hidden="false" customHeight="false" outlineLevel="0" collapsed="false">
      <c r="A3754" s="15" t="s">
        <v>22967</v>
      </c>
      <c r="B3754" s="16"/>
      <c r="C3754" s="14" t="s">
        <v>23366</v>
      </c>
      <c r="D3754" s="14" t="s">
        <v>23367</v>
      </c>
      <c r="E3754" s="16" t="s">
        <v>23368</v>
      </c>
      <c r="F3754" s="16" t="s">
        <v>23122</v>
      </c>
      <c r="G3754" s="19" t="s">
        <v>41</v>
      </c>
      <c r="H3754" s="18" t="n">
        <v>6</v>
      </c>
      <c r="I3754" s="20" t="n">
        <v>190.52</v>
      </c>
      <c r="J3754" s="20" t="n">
        <v>190.52</v>
      </c>
      <c r="K3754" s="18" t="n">
        <v>4</v>
      </c>
      <c r="L3754" s="18" t="n">
        <v>5</v>
      </c>
      <c r="M3754" s="18" t="n">
        <v>80</v>
      </c>
      <c r="N3754" s="18" t="n">
        <v>80</v>
      </c>
      <c r="O3754" s="14" t="s">
        <v>1088</v>
      </c>
      <c r="P3754" s="14" t="s">
        <v>84</v>
      </c>
      <c r="Q3754" s="15" t="s">
        <v>1089</v>
      </c>
      <c r="R3754" s="16" t="s">
        <v>23369</v>
      </c>
      <c r="S3754" s="15" t="s">
        <v>23124</v>
      </c>
      <c r="T3754" s="15" t="s">
        <v>23370</v>
      </c>
      <c r="U3754" s="21" t="s">
        <v>72</v>
      </c>
    </row>
    <row r="3755" customFormat="false" ht="15" hidden="false" customHeight="false" outlineLevel="0" collapsed="false">
      <c r="A3755" s="15" t="s">
        <v>23371</v>
      </c>
      <c r="B3755" s="16"/>
      <c r="C3755" s="14" t="s">
        <v>23372</v>
      </c>
      <c r="D3755" s="14" t="s">
        <v>23373</v>
      </c>
      <c r="E3755" s="16" t="s">
        <v>23374</v>
      </c>
      <c r="F3755" s="16" t="s">
        <v>23375</v>
      </c>
      <c r="G3755" s="25" t="s">
        <v>39</v>
      </c>
      <c r="H3755" s="18" t="n">
        <v>10</v>
      </c>
      <c r="I3755" s="20" t="n">
        <v>170.63</v>
      </c>
      <c r="J3755" s="20" t="n">
        <v>340.36</v>
      </c>
      <c r="K3755" s="18" t="n">
        <v>6</v>
      </c>
      <c r="L3755" s="18" t="n">
        <v>5</v>
      </c>
      <c r="M3755" s="18" t="n">
        <v>108</v>
      </c>
      <c r="N3755" s="18" t="n">
        <v>72</v>
      </c>
      <c r="O3755" s="14" t="s">
        <v>1088</v>
      </c>
      <c r="P3755" s="14" t="s">
        <v>84</v>
      </c>
      <c r="Q3755" s="15" t="s">
        <v>1089</v>
      </c>
      <c r="R3755" s="16" t="s">
        <v>23376</v>
      </c>
      <c r="S3755" s="15" t="s">
        <v>23377</v>
      </c>
      <c r="T3755" s="15" t="s">
        <v>23377</v>
      </c>
      <c r="U3755" s="21" t="s">
        <v>72</v>
      </c>
    </row>
    <row r="3756" customFormat="false" ht="15" hidden="false" customHeight="false" outlineLevel="0" collapsed="false">
      <c r="A3756" s="15" t="s">
        <v>23371</v>
      </c>
      <c r="B3756" s="16"/>
      <c r="C3756" s="14" t="s">
        <v>23378</v>
      </c>
      <c r="D3756" s="14" t="s">
        <v>23379</v>
      </c>
      <c r="E3756" s="16" t="s">
        <v>23380</v>
      </c>
      <c r="F3756" s="16" t="s">
        <v>23381</v>
      </c>
      <c r="G3756" s="23" t="s">
        <v>43</v>
      </c>
      <c r="H3756" s="18" t="n">
        <v>2</v>
      </c>
      <c r="I3756" s="20" t="n">
        <v>81.6</v>
      </c>
      <c r="J3756" s="20" t="n">
        <v>156.06</v>
      </c>
      <c r="K3756" s="18" t="n">
        <v>6</v>
      </c>
      <c r="L3756" s="18" t="n">
        <v>2</v>
      </c>
      <c r="M3756" s="18" t="n">
        <v>102</v>
      </c>
      <c r="N3756" s="18" t="n">
        <v>82</v>
      </c>
      <c r="O3756" s="14" t="s">
        <v>1088</v>
      </c>
      <c r="P3756" s="14" t="s">
        <v>118</v>
      </c>
      <c r="Q3756" s="15" t="s">
        <v>1089</v>
      </c>
      <c r="R3756" s="16" t="s">
        <v>17526</v>
      </c>
      <c r="S3756" s="15" t="s">
        <v>23382</v>
      </c>
      <c r="T3756" s="15" t="s">
        <v>23382</v>
      </c>
      <c r="U3756" s="21" t="s">
        <v>72</v>
      </c>
    </row>
    <row r="3757" customFormat="false" ht="15" hidden="false" customHeight="false" outlineLevel="0" collapsed="false">
      <c r="A3757" s="15" t="s">
        <v>23371</v>
      </c>
      <c r="B3757" s="16"/>
      <c r="C3757" s="14" t="s">
        <v>23383</v>
      </c>
      <c r="D3757" s="14" t="s">
        <v>23384</v>
      </c>
      <c r="E3757" s="16" t="s">
        <v>23385</v>
      </c>
      <c r="F3757" s="16" t="s">
        <v>23386</v>
      </c>
      <c r="G3757" s="23" t="s">
        <v>43</v>
      </c>
      <c r="H3757" s="18" t="n">
        <v>3</v>
      </c>
      <c r="I3757" s="20" t="n">
        <v>63.4</v>
      </c>
      <c r="J3757" s="20" t="n">
        <v>82.8</v>
      </c>
      <c r="K3757" s="18" t="n">
        <v>6</v>
      </c>
      <c r="L3757" s="18" t="n">
        <v>4</v>
      </c>
      <c r="M3757" s="18" t="n">
        <v>104</v>
      </c>
      <c r="N3757" s="18" t="n">
        <v>15</v>
      </c>
      <c r="O3757" s="14" t="s">
        <v>1126</v>
      </c>
      <c r="P3757" s="14" t="s">
        <v>84</v>
      </c>
      <c r="Q3757" s="15" t="s">
        <v>1089</v>
      </c>
      <c r="R3757" s="16" t="s">
        <v>4484</v>
      </c>
      <c r="S3757" s="15" t="s">
        <v>23387</v>
      </c>
      <c r="T3757" s="15" t="s">
        <v>23388</v>
      </c>
      <c r="U3757" s="21" t="s">
        <v>72</v>
      </c>
    </row>
    <row r="3758" customFormat="false" ht="15" hidden="false" customHeight="false" outlineLevel="0" collapsed="false">
      <c r="A3758" s="15" t="s">
        <v>23371</v>
      </c>
      <c r="B3758" s="16"/>
      <c r="C3758" s="14" t="s">
        <v>23389</v>
      </c>
      <c r="D3758" s="14" t="s">
        <v>23390</v>
      </c>
      <c r="E3758" s="16" t="s">
        <v>23391</v>
      </c>
      <c r="F3758" s="16" t="s">
        <v>23392</v>
      </c>
      <c r="G3758" s="23" t="s">
        <v>43</v>
      </c>
      <c r="H3758" s="18" t="n">
        <v>3</v>
      </c>
      <c r="I3758" s="20" t="n">
        <v>48.92</v>
      </c>
      <c r="J3758" s="20" t="n">
        <v>81.32</v>
      </c>
      <c r="K3758" s="18" t="n">
        <v>6</v>
      </c>
      <c r="L3758" s="18" t="n">
        <v>1</v>
      </c>
      <c r="M3758" s="18" t="n">
        <v>79</v>
      </c>
      <c r="N3758" s="18" t="n">
        <v>79</v>
      </c>
      <c r="O3758" s="14" t="s">
        <v>1097</v>
      </c>
      <c r="P3758" s="14" t="s">
        <v>84</v>
      </c>
      <c r="Q3758" s="15" t="s">
        <v>1089</v>
      </c>
      <c r="R3758" s="16" t="s">
        <v>23393</v>
      </c>
      <c r="S3758" s="15" t="s">
        <v>23394</v>
      </c>
      <c r="T3758" s="15" t="s">
        <v>23395</v>
      </c>
      <c r="U3758" s="21" t="s">
        <v>72</v>
      </c>
    </row>
    <row r="3759" customFormat="false" ht="15" hidden="false" customHeight="false" outlineLevel="0" collapsed="false">
      <c r="A3759" s="15" t="s">
        <v>23371</v>
      </c>
      <c r="B3759" s="16"/>
      <c r="C3759" s="14" t="s">
        <v>23396</v>
      </c>
      <c r="D3759" s="14" t="s">
        <v>23397</v>
      </c>
      <c r="E3759" s="16" t="s">
        <v>23398</v>
      </c>
      <c r="F3759" s="16"/>
      <c r="G3759" s="23" t="s">
        <v>43</v>
      </c>
      <c r="H3759" s="18" t="n">
        <v>2</v>
      </c>
      <c r="I3759" s="20" t="n">
        <v>34.87</v>
      </c>
      <c r="J3759" s="20" t="n">
        <v>97.88</v>
      </c>
      <c r="K3759" s="18" t="n">
        <v>2</v>
      </c>
      <c r="L3759" s="18" t="n">
        <v>1</v>
      </c>
      <c r="M3759" s="18" t="n">
        <v>15</v>
      </c>
      <c r="N3759" s="18" t="n">
        <v>15</v>
      </c>
      <c r="O3759" s="14" t="s">
        <v>7240</v>
      </c>
      <c r="P3759" s="14" t="s">
        <v>84</v>
      </c>
      <c r="Q3759" s="15" t="s">
        <v>1089</v>
      </c>
      <c r="R3759" s="16" t="s">
        <v>23399</v>
      </c>
      <c r="S3759" s="15" t="s">
        <v>23400</v>
      </c>
      <c r="T3759" s="15" t="s">
        <v>23401</v>
      </c>
      <c r="U3759" s="21" t="s">
        <v>72</v>
      </c>
    </row>
    <row r="3760" customFormat="false" ht="15" hidden="false" customHeight="false" outlineLevel="0" collapsed="false">
      <c r="A3760" s="15" t="s">
        <v>23371</v>
      </c>
      <c r="B3760" s="16"/>
      <c r="C3760" s="14" t="s">
        <v>23402</v>
      </c>
      <c r="D3760" s="14" t="s">
        <v>23403</v>
      </c>
      <c r="E3760" s="16" t="s">
        <v>23404</v>
      </c>
      <c r="F3760" s="16"/>
      <c r="G3760" s="23" t="s">
        <v>43</v>
      </c>
      <c r="H3760" s="18" t="n">
        <v>3</v>
      </c>
      <c r="I3760" s="20" t="n">
        <v>48.14</v>
      </c>
      <c r="J3760" s="20" t="n">
        <v>87.4</v>
      </c>
      <c r="K3760" s="18" t="n">
        <v>3</v>
      </c>
      <c r="L3760" s="18" t="n">
        <v>3</v>
      </c>
      <c r="M3760" s="18" t="n">
        <v>36</v>
      </c>
      <c r="N3760" s="18" t="n">
        <v>12</v>
      </c>
      <c r="O3760" s="14" t="s">
        <v>1126</v>
      </c>
      <c r="P3760" s="14" t="s">
        <v>84</v>
      </c>
      <c r="Q3760" s="15" t="s">
        <v>1089</v>
      </c>
      <c r="R3760" s="16" t="s">
        <v>23405</v>
      </c>
      <c r="S3760" s="15" t="s">
        <v>23406</v>
      </c>
      <c r="T3760" s="15" t="s">
        <v>23406</v>
      </c>
      <c r="U3760" s="21" t="s">
        <v>72</v>
      </c>
    </row>
    <row r="3761" customFormat="false" ht="15" hidden="false" customHeight="false" outlineLevel="0" collapsed="false">
      <c r="A3761" s="15" t="s">
        <v>23371</v>
      </c>
      <c r="B3761" s="16"/>
      <c r="C3761" s="14" t="s">
        <v>23407</v>
      </c>
      <c r="D3761" s="14" t="s">
        <v>23408</v>
      </c>
      <c r="E3761" s="16" t="s">
        <v>23409</v>
      </c>
      <c r="F3761" s="16" t="s">
        <v>23410</v>
      </c>
      <c r="G3761" s="23" t="s">
        <v>43</v>
      </c>
      <c r="H3761" s="18" t="n">
        <v>2</v>
      </c>
      <c r="I3761" s="20" t="n">
        <v>45</v>
      </c>
      <c r="J3761" s="20" t="n">
        <v>73</v>
      </c>
      <c r="K3761" s="18" t="n">
        <v>1</v>
      </c>
      <c r="L3761" s="18" t="n">
        <v>1</v>
      </c>
      <c r="M3761" s="18" t="n">
        <v>30</v>
      </c>
      <c r="N3761" s="18" t="n">
        <v>30</v>
      </c>
      <c r="O3761" s="14" t="s">
        <v>1126</v>
      </c>
      <c r="P3761" s="14" t="s">
        <v>84</v>
      </c>
      <c r="Q3761" s="15" t="s">
        <v>1089</v>
      </c>
      <c r="R3761" s="16" t="s">
        <v>23411</v>
      </c>
      <c r="S3761" s="15" t="s">
        <v>23412</v>
      </c>
      <c r="T3761" s="15" t="s">
        <v>23412</v>
      </c>
      <c r="U3761" s="21" t="s">
        <v>72</v>
      </c>
    </row>
    <row r="3762" customFormat="false" ht="15" hidden="false" customHeight="false" outlineLevel="0" collapsed="false">
      <c r="A3762" s="15" t="s">
        <v>23371</v>
      </c>
      <c r="B3762" s="16"/>
      <c r="C3762" s="14" t="s">
        <v>23413</v>
      </c>
      <c r="D3762" s="14" t="s">
        <v>23414</v>
      </c>
      <c r="E3762" s="16" t="s">
        <v>23415</v>
      </c>
      <c r="F3762" s="16" t="s">
        <v>23416</v>
      </c>
      <c r="G3762" s="23" t="s">
        <v>43</v>
      </c>
      <c r="H3762" s="18" t="n">
        <v>3</v>
      </c>
      <c r="I3762" s="20" t="n">
        <v>95.98</v>
      </c>
      <c r="J3762" s="20" t="n">
        <v>197.56</v>
      </c>
      <c r="K3762" s="18" t="n">
        <v>11</v>
      </c>
      <c r="L3762" s="18" t="n">
        <v>5</v>
      </c>
      <c r="M3762" s="18" t="n">
        <v>165</v>
      </c>
      <c r="N3762" s="18" t="n">
        <v>30</v>
      </c>
      <c r="O3762" s="14" t="s">
        <v>1097</v>
      </c>
      <c r="P3762" s="14" t="s">
        <v>84</v>
      </c>
      <c r="Q3762" s="15" t="s">
        <v>1089</v>
      </c>
      <c r="R3762" s="16" t="s">
        <v>7644</v>
      </c>
      <c r="S3762" s="15" t="s">
        <v>23417</v>
      </c>
      <c r="T3762" s="15" t="s">
        <v>23418</v>
      </c>
      <c r="U3762" s="21" t="s">
        <v>72</v>
      </c>
    </row>
    <row r="3763" customFormat="false" ht="15" hidden="false" customHeight="false" outlineLevel="0" collapsed="false">
      <c r="A3763" s="15" t="s">
        <v>23371</v>
      </c>
      <c r="B3763" s="16"/>
      <c r="C3763" s="14" t="s">
        <v>23419</v>
      </c>
      <c r="D3763" s="14" t="s">
        <v>23420</v>
      </c>
      <c r="E3763" s="16" t="s">
        <v>23421</v>
      </c>
      <c r="F3763" s="16" t="s">
        <v>23422</v>
      </c>
      <c r="G3763" s="23" t="s">
        <v>43</v>
      </c>
      <c r="H3763" s="18" t="n">
        <v>3</v>
      </c>
      <c r="I3763" s="20" t="n">
        <v>66.9</v>
      </c>
      <c r="J3763" s="20" t="n">
        <v>108.24</v>
      </c>
      <c r="K3763" s="18" t="n">
        <v>6</v>
      </c>
      <c r="L3763" s="18" t="n">
        <v>6</v>
      </c>
      <c r="M3763" s="18" t="n">
        <v>90</v>
      </c>
      <c r="N3763" s="18" t="n">
        <v>45</v>
      </c>
      <c r="O3763" s="14" t="s">
        <v>1097</v>
      </c>
      <c r="P3763" s="14" t="s">
        <v>84</v>
      </c>
      <c r="Q3763" s="15" t="s">
        <v>1089</v>
      </c>
      <c r="R3763" s="16" t="s">
        <v>5271</v>
      </c>
      <c r="S3763" s="15" t="s">
        <v>23423</v>
      </c>
      <c r="T3763" s="15" t="s">
        <v>23424</v>
      </c>
      <c r="U3763" s="21" t="s">
        <v>72</v>
      </c>
    </row>
    <row r="3764" customFormat="false" ht="15" hidden="false" customHeight="false" outlineLevel="0" collapsed="false">
      <c r="A3764" s="15" t="s">
        <v>23371</v>
      </c>
      <c r="B3764" s="16"/>
      <c r="C3764" s="14" t="s">
        <v>23425</v>
      </c>
      <c r="D3764" s="14" t="s">
        <v>23426</v>
      </c>
      <c r="E3764" s="16" t="s">
        <v>23427</v>
      </c>
      <c r="F3764" s="16" t="s">
        <v>23428</v>
      </c>
      <c r="G3764" s="25" t="s">
        <v>39</v>
      </c>
      <c r="H3764" s="18" t="n">
        <v>8</v>
      </c>
      <c r="I3764" s="20" t="n">
        <v>159.08</v>
      </c>
      <c r="J3764" s="20" t="n">
        <v>368.09</v>
      </c>
      <c r="K3764" s="18" t="n">
        <v>6</v>
      </c>
      <c r="L3764" s="18" t="n">
        <v>3</v>
      </c>
      <c r="M3764" s="18" t="n">
        <v>94</v>
      </c>
      <c r="N3764" s="18" t="n">
        <v>36</v>
      </c>
      <c r="O3764" s="14" t="s">
        <v>9118</v>
      </c>
      <c r="P3764" s="14" t="s">
        <v>118</v>
      </c>
      <c r="Q3764" s="15" t="s">
        <v>1089</v>
      </c>
      <c r="R3764" s="16" t="s">
        <v>23429</v>
      </c>
      <c r="S3764" s="15" t="s">
        <v>23430</v>
      </c>
      <c r="T3764" s="15" t="s">
        <v>23431</v>
      </c>
      <c r="U3764" s="21" t="s">
        <v>72</v>
      </c>
    </row>
    <row r="3765" customFormat="false" ht="15" hidden="false" customHeight="false" outlineLevel="0" collapsed="false">
      <c r="A3765" s="15" t="s">
        <v>23371</v>
      </c>
      <c r="B3765" s="16"/>
      <c r="C3765" s="14" t="s">
        <v>23432</v>
      </c>
      <c r="D3765" s="14" t="s">
        <v>23433</v>
      </c>
      <c r="E3765" s="16" t="s">
        <v>23434</v>
      </c>
      <c r="F3765" s="16" t="s">
        <v>23435</v>
      </c>
      <c r="G3765" s="23" t="s">
        <v>43</v>
      </c>
      <c r="H3765" s="18" t="n">
        <v>2</v>
      </c>
      <c r="I3765" s="20" t="n">
        <v>81.73</v>
      </c>
      <c r="J3765" s="20" t="n">
        <v>113.16</v>
      </c>
      <c r="K3765" s="18" t="n">
        <v>2</v>
      </c>
      <c r="L3765" s="18" t="n">
        <v>1</v>
      </c>
      <c r="M3765" s="18" t="n">
        <v>70</v>
      </c>
      <c r="N3765" s="18" t="n">
        <v>70</v>
      </c>
      <c r="O3765" s="14" t="s">
        <v>1126</v>
      </c>
      <c r="P3765" s="14" t="s">
        <v>84</v>
      </c>
      <c r="Q3765" s="15" t="s">
        <v>1089</v>
      </c>
      <c r="R3765" s="16" t="s">
        <v>23436</v>
      </c>
      <c r="S3765" s="15" t="s">
        <v>23437</v>
      </c>
      <c r="T3765" s="15" t="s">
        <v>23438</v>
      </c>
      <c r="U3765" s="21" t="s">
        <v>72</v>
      </c>
    </row>
    <row r="3766" customFormat="false" ht="15" hidden="false" customHeight="false" outlineLevel="0" collapsed="false">
      <c r="A3766" s="15" t="s">
        <v>23371</v>
      </c>
      <c r="B3766" s="16"/>
      <c r="C3766" s="14" t="s">
        <v>23439</v>
      </c>
      <c r="D3766" s="14" t="s">
        <v>23440</v>
      </c>
      <c r="E3766" s="16" t="s">
        <v>23441</v>
      </c>
      <c r="F3766" s="16" t="s">
        <v>23442</v>
      </c>
      <c r="G3766" s="23" t="s">
        <v>43</v>
      </c>
      <c r="H3766" s="18" t="n">
        <v>1</v>
      </c>
      <c r="I3766" s="20" t="n">
        <v>41.92</v>
      </c>
      <c r="J3766" s="20" t="n">
        <v>104.08</v>
      </c>
      <c r="K3766" s="18" t="n">
        <v>12</v>
      </c>
      <c r="L3766" s="18" t="n">
        <v>1</v>
      </c>
      <c r="M3766" s="18" t="n">
        <v>408</v>
      </c>
      <c r="N3766" s="18" t="n">
        <v>102</v>
      </c>
      <c r="O3766" s="14" t="s">
        <v>5962</v>
      </c>
      <c r="P3766" s="14" t="s">
        <v>84</v>
      </c>
      <c r="Q3766" s="15" t="s">
        <v>1089</v>
      </c>
      <c r="R3766" s="16" t="s">
        <v>7438</v>
      </c>
      <c r="S3766" s="15" t="s">
        <v>23443</v>
      </c>
      <c r="T3766" s="15" t="s">
        <v>23443</v>
      </c>
      <c r="U3766" s="21" t="s">
        <v>72</v>
      </c>
    </row>
    <row r="3767" customFormat="false" ht="15" hidden="false" customHeight="false" outlineLevel="0" collapsed="false">
      <c r="A3767" s="15" t="s">
        <v>23371</v>
      </c>
      <c r="B3767" s="16"/>
      <c r="C3767" s="14" t="s">
        <v>23444</v>
      </c>
      <c r="D3767" s="14" t="s">
        <v>23445</v>
      </c>
      <c r="E3767" s="16" t="s">
        <v>23446</v>
      </c>
      <c r="F3767" s="16" t="s">
        <v>23447</v>
      </c>
      <c r="G3767" s="23" t="s">
        <v>43</v>
      </c>
      <c r="H3767" s="18" t="n">
        <v>2</v>
      </c>
      <c r="I3767" s="20" t="n">
        <v>58.8</v>
      </c>
      <c r="J3767" s="20" t="n">
        <v>89.7</v>
      </c>
      <c r="K3767" s="18" t="n">
        <v>15</v>
      </c>
      <c r="L3767" s="18" t="n">
        <v>3</v>
      </c>
      <c r="M3767" s="18" t="n">
        <v>270</v>
      </c>
      <c r="N3767" s="18" t="n">
        <v>36</v>
      </c>
      <c r="O3767" s="14" t="s">
        <v>17859</v>
      </c>
      <c r="P3767" s="14" t="s">
        <v>84</v>
      </c>
      <c r="Q3767" s="15" t="s">
        <v>1089</v>
      </c>
      <c r="R3767" s="16" t="s">
        <v>9178</v>
      </c>
      <c r="S3767" s="15" t="s">
        <v>23448</v>
      </c>
      <c r="T3767" s="15" t="s">
        <v>23448</v>
      </c>
      <c r="U3767" s="21" t="s">
        <v>72</v>
      </c>
    </row>
    <row r="3768" customFormat="false" ht="15" hidden="false" customHeight="false" outlineLevel="0" collapsed="false">
      <c r="A3768" s="15" t="s">
        <v>23371</v>
      </c>
      <c r="B3768" s="16"/>
      <c r="C3768" s="14" t="s">
        <v>23449</v>
      </c>
      <c r="D3768" s="14" t="s">
        <v>23450</v>
      </c>
      <c r="E3768" s="16" t="s">
        <v>23451</v>
      </c>
      <c r="F3768" s="16" t="s">
        <v>23452</v>
      </c>
      <c r="G3768" s="23" t="s">
        <v>43</v>
      </c>
      <c r="H3768" s="18" t="n">
        <v>1</v>
      </c>
      <c r="I3768" s="20" t="n">
        <v>31.05</v>
      </c>
      <c r="J3768" s="20" t="n">
        <v>81.39</v>
      </c>
      <c r="K3768" s="18" t="n">
        <v>3</v>
      </c>
      <c r="L3768" s="18" t="n">
        <v>4</v>
      </c>
      <c r="M3768" s="18" t="n">
        <v>30</v>
      </c>
      <c r="N3768" s="18" t="n">
        <v>30</v>
      </c>
      <c r="O3768" s="14" t="s">
        <v>1126</v>
      </c>
      <c r="P3768" s="14" t="s">
        <v>84</v>
      </c>
      <c r="Q3768" s="15" t="s">
        <v>1089</v>
      </c>
      <c r="R3768" s="16" t="s">
        <v>23453</v>
      </c>
      <c r="S3768" s="15" t="s">
        <v>23454</v>
      </c>
      <c r="T3768" s="15" t="s">
        <v>23455</v>
      </c>
      <c r="U3768" s="21" t="s">
        <v>72</v>
      </c>
    </row>
    <row r="3769" customFormat="false" ht="15" hidden="false" customHeight="false" outlineLevel="0" collapsed="false">
      <c r="A3769" s="15" t="s">
        <v>23371</v>
      </c>
      <c r="B3769" s="16"/>
      <c r="C3769" s="14" t="s">
        <v>23456</v>
      </c>
      <c r="D3769" s="14" t="s">
        <v>23457</v>
      </c>
      <c r="E3769" s="16" t="s">
        <v>23458</v>
      </c>
      <c r="F3769" s="16" t="s">
        <v>23459</v>
      </c>
      <c r="G3769" s="23" t="s">
        <v>43</v>
      </c>
      <c r="H3769" s="18" t="n">
        <v>2</v>
      </c>
      <c r="I3769" s="20" t="n">
        <v>45.09</v>
      </c>
      <c r="J3769" s="20" t="n">
        <v>121.14</v>
      </c>
      <c r="K3769" s="18" t="n">
        <v>15</v>
      </c>
      <c r="L3769" s="18" t="n">
        <v>4</v>
      </c>
      <c r="M3769" s="18" t="n">
        <v>390</v>
      </c>
      <c r="N3769" s="18" t="n">
        <v>78</v>
      </c>
      <c r="O3769" s="14" t="s">
        <v>1097</v>
      </c>
      <c r="P3769" s="14" t="s">
        <v>84</v>
      </c>
      <c r="Q3769" s="15" t="s">
        <v>1089</v>
      </c>
      <c r="R3769" s="16" t="s">
        <v>4812</v>
      </c>
      <c r="S3769" s="15" t="s">
        <v>23460</v>
      </c>
      <c r="T3769" s="15" t="s">
        <v>23461</v>
      </c>
      <c r="U3769" s="21" t="s">
        <v>72</v>
      </c>
    </row>
    <row r="3770" customFormat="false" ht="15" hidden="false" customHeight="false" outlineLevel="0" collapsed="false">
      <c r="A3770" s="15" t="s">
        <v>23371</v>
      </c>
      <c r="B3770" s="16"/>
      <c r="C3770" s="14" t="s">
        <v>23462</v>
      </c>
      <c r="D3770" s="14" t="s">
        <v>23463</v>
      </c>
      <c r="E3770" s="16" t="s">
        <v>23464</v>
      </c>
      <c r="F3770" s="16"/>
      <c r="G3770" s="23" t="s">
        <v>43</v>
      </c>
      <c r="H3770" s="18" t="n">
        <v>3</v>
      </c>
      <c r="I3770" s="20" t="n">
        <v>60</v>
      </c>
      <c r="J3770" s="20" t="n">
        <v>131.5</v>
      </c>
      <c r="K3770" s="18" t="n">
        <v>2</v>
      </c>
      <c r="L3770" s="18" t="n">
        <v>1</v>
      </c>
      <c r="M3770" s="18" t="n">
        <v>32</v>
      </c>
      <c r="N3770" s="18" t="n">
        <v>32</v>
      </c>
      <c r="O3770" s="14" t="s">
        <v>1126</v>
      </c>
      <c r="P3770" s="14" t="s">
        <v>84</v>
      </c>
      <c r="Q3770" s="15" t="s">
        <v>1089</v>
      </c>
      <c r="R3770" s="16" t="s">
        <v>23465</v>
      </c>
      <c r="S3770" s="15" t="s">
        <v>23466</v>
      </c>
      <c r="T3770" s="15" t="s">
        <v>23466</v>
      </c>
      <c r="U3770" s="21" t="s">
        <v>72</v>
      </c>
    </row>
    <row r="3771" customFormat="false" ht="15" hidden="false" customHeight="false" outlineLevel="0" collapsed="false">
      <c r="A3771" s="15" t="s">
        <v>23371</v>
      </c>
      <c r="B3771" s="16"/>
      <c r="C3771" s="14" t="s">
        <v>23467</v>
      </c>
      <c r="D3771" s="14" t="s">
        <v>23468</v>
      </c>
      <c r="E3771" s="16" t="s">
        <v>23469</v>
      </c>
      <c r="F3771" s="16" t="s">
        <v>23470</v>
      </c>
      <c r="G3771" s="23" t="s">
        <v>43</v>
      </c>
      <c r="H3771" s="18" t="n">
        <v>3</v>
      </c>
      <c r="I3771" s="20" t="n">
        <v>91.16</v>
      </c>
      <c r="J3771" s="20" t="n">
        <v>148.13</v>
      </c>
      <c r="K3771" s="18" t="n">
        <v>2</v>
      </c>
      <c r="L3771" s="18" t="n">
        <v>1</v>
      </c>
      <c r="M3771" s="18" t="n">
        <v>12</v>
      </c>
      <c r="N3771" s="18" t="n">
        <v>12</v>
      </c>
      <c r="O3771" s="14" t="s">
        <v>1088</v>
      </c>
      <c r="P3771" s="14" t="s">
        <v>84</v>
      </c>
      <c r="Q3771" s="15" t="s">
        <v>1089</v>
      </c>
      <c r="R3771" s="16" t="s">
        <v>12338</v>
      </c>
      <c r="S3771" s="15" t="s">
        <v>23471</v>
      </c>
      <c r="T3771" s="15" t="s">
        <v>23472</v>
      </c>
      <c r="U3771" s="21" t="s">
        <v>72</v>
      </c>
    </row>
    <row r="3772" customFormat="false" ht="15" hidden="false" customHeight="false" outlineLevel="0" collapsed="false">
      <c r="A3772" s="15" t="s">
        <v>23371</v>
      </c>
      <c r="B3772" s="16"/>
      <c r="C3772" s="14" t="s">
        <v>23473</v>
      </c>
      <c r="D3772" s="14" t="s">
        <v>23474</v>
      </c>
      <c r="E3772" s="16" t="s">
        <v>23475</v>
      </c>
      <c r="F3772" s="16" t="s">
        <v>23476</v>
      </c>
      <c r="G3772" s="25" t="s">
        <v>39</v>
      </c>
      <c r="H3772" s="18" t="n">
        <v>5</v>
      </c>
      <c r="I3772" s="20" t="n">
        <v>120</v>
      </c>
      <c r="J3772" s="20" t="n">
        <v>545.21</v>
      </c>
      <c r="K3772" s="18" t="n">
        <v>5</v>
      </c>
      <c r="L3772" s="18" t="n">
        <v>6</v>
      </c>
      <c r="M3772" s="18" t="n">
        <v>100</v>
      </c>
      <c r="N3772" s="18" t="n">
        <v>100</v>
      </c>
      <c r="O3772" s="14" t="s">
        <v>1088</v>
      </c>
      <c r="P3772" s="14" t="s">
        <v>84</v>
      </c>
      <c r="Q3772" s="15" t="s">
        <v>1089</v>
      </c>
      <c r="R3772" s="16" t="s">
        <v>11028</v>
      </c>
      <c r="S3772" s="15" t="s">
        <v>23477</v>
      </c>
      <c r="T3772" s="15" t="s">
        <v>23478</v>
      </c>
      <c r="U3772" s="21" t="s">
        <v>72</v>
      </c>
    </row>
    <row r="3773" customFormat="false" ht="15" hidden="false" customHeight="false" outlineLevel="0" collapsed="false">
      <c r="A3773" s="15" t="s">
        <v>23371</v>
      </c>
      <c r="B3773" s="16"/>
      <c r="C3773" s="14" t="s">
        <v>23479</v>
      </c>
      <c r="D3773" s="14" t="s">
        <v>23480</v>
      </c>
      <c r="E3773" s="16" t="s">
        <v>23481</v>
      </c>
      <c r="F3773" s="16" t="s">
        <v>23482</v>
      </c>
      <c r="G3773" s="23" t="s">
        <v>43</v>
      </c>
      <c r="H3773" s="18" t="n">
        <v>4</v>
      </c>
      <c r="I3773" s="20" t="n">
        <v>62.86</v>
      </c>
      <c r="J3773" s="20" t="n">
        <v>94.1</v>
      </c>
      <c r="K3773" s="18" t="n">
        <v>3</v>
      </c>
      <c r="L3773" s="18" t="n">
        <v>4</v>
      </c>
      <c r="M3773" s="18" t="n">
        <v>45</v>
      </c>
      <c r="N3773" s="18" t="n">
        <v>15</v>
      </c>
      <c r="O3773" s="14" t="s">
        <v>1097</v>
      </c>
      <c r="P3773" s="14" t="s">
        <v>84</v>
      </c>
      <c r="Q3773" s="15" t="s">
        <v>1089</v>
      </c>
      <c r="R3773" s="16" t="s">
        <v>17809</v>
      </c>
      <c r="S3773" s="15" t="s">
        <v>23483</v>
      </c>
      <c r="T3773" s="15" t="s">
        <v>23484</v>
      </c>
      <c r="U3773" s="21" t="s">
        <v>72</v>
      </c>
    </row>
    <row r="3774" customFormat="false" ht="15" hidden="false" customHeight="false" outlineLevel="0" collapsed="false">
      <c r="A3774" s="15" t="s">
        <v>23371</v>
      </c>
      <c r="B3774" s="16"/>
      <c r="C3774" s="14" t="s">
        <v>23485</v>
      </c>
      <c r="D3774" s="14" t="s">
        <v>23486</v>
      </c>
      <c r="E3774" s="16" t="s">
        <v>23487</v>
      </c>
      <c r="F3774" s="16" t="s">
        <v>23488</v>
      </c>
      <c r="G3774" s="23" t="s">
        <v>43</v>
      </c>
      <c r="H3774" s="18" t="n">
        <v>1</v>
      </c>
      <c r="I3774" s="20" t="n">
        <v>57.1</v>
      </c>
      <c r="J3774" s="20" t="n">
        <v>94.85</v>
      </c>
      <c r="K3774" s="18" t="n">
        <v>5</v>
      </c>
      <c r="L3774" s="18" t="n">
        <v>2</v>
      </c>
      <c r="M3774" s="18" t="n">
        <v>60</v>
      </c>
      <c r="N3774" s="18" t="n">
        <v>24</v>
      </c>
      <c r="O3774" s="14" t="s">
        <v>1088</v>
      </c>
      <c r="P3774" s="14" t="s">
        <v>118</v>
      </c>
      <c r="Q3774" s="15" t="s">
        <v>1089</v>
      </c>
      <c r="R3774" s="16" t="s">
        <v>23489</v>
      </c>
      <c r="S3774" s="15" t="s">
        <v>23490</v>
      </c>
      <c r="T3774" s="15" t="s">
        <v>23454</v>
      </c>
      <c r="U3774" s="21" t="s">
        <v>72</v>
      </c>
    </row>
    <row r="3775" customFormat="false" ht="15" hidden="false" customHeight="false" outlineLevel="0" collapsed="false">
      <c r="A3775" s="15" t="s">
        <v>23371</v>
      </c>
      <c r="B3775" s="16"/>
      <c r="C3775" s="14" t="s">
        <v>23491</v>
      </c>
      <c r="D3775" s="14" t="s">
        <v>23492</v>
      </c>
      <c r="E3775" s="16" t="s">
        <v>23493</v>
      </c>
      <c r="F3775" s="16"/>
      <c r="G3775" s="23" t="s">
        <v>43</v>
      </c>
      <c r="H3775" s="18" t="n">
        <v>2</v>
      </c>
      <c r="I3775" s="20" t="n">
        <v>37.74</v>
      </c>
      <c r="J3775" s="20" t="n">
        <v>96.62</v>
      </c>
      <c r="K3775" s="18" t="n">
        <v>1</v>
      </c>
      <c r="L3775" s="18" t="n">
        <v>1</v>
      </c>
      <c r="M3775" s="18" t="n">
        <v>18</v>
      </c>
      <c r="N3775" s="18" t="n">
        <v>18</v>
      </c>
      <c r="O3775" s="14" t="s">
        <v>1126</v>
      </c>
      <c r="P3775" s="14" t="s">
        <v>84</v>
      </c>
      <c r="Q3775" s="15" t="s">
        <v>1089</v>
      </c>
      <c r="R3775" s="16" t="s">
        <v>23494</v>
      </c>
      <c r="S3775" s="15" t="s">
        <v>23495</v>
      </c>
      <c r="T3775" s="15" t="s">
        <v>23495</v>
      </c>
      <c r="U3775" s="21" t="s">
        <v>72</v>
      </c>
    </row>
    <row r="3776" customFormat="false" ht="15" hidden="false" customHeight="false" outlineLevel="0" collapsed="false">
      <c r="A3776" s="15" t="s">
        <v>23371</v>
      </c>
      <c r="B3776" s="16"/>
      <c r="C3776" s="14" t="s">
        <v>23496</v>
      </c>
      <c r="D3776" s="14" t="s">
        <v>23497</v>
      </c>
      <c r="E3776" s="16" t="s">
        <v>23498</v>
      </c>
      <c r="F3776" s="16" t="s">
        <v>23499</v>
      </c>
      <c r="G3776" s="23" t="s">
        <v>43</v>
      </c>
      <c r="H3776" s="18" t="n">
        <v>3</v>
      </c>
      <c r="I3776" s="20" t="n">
        <v>70.81</v>
      </c>
      <c r="J3776" s="20" t="n">
        <v>198.59</v>
      </c>
      <c r="K3776" s="18" t="n">
        <v>4</v>
      </c>
      <c r="L3776" s="18" t="n">
        <v>1</v>
      </c>
      <c r="M3776" s="18" t="n">
        <v>86</v>
      </c>
      <c r="N3776" s="18" t="n">
        <v>86</v>
      </c>
      <c r="O3776" s="14" t="s">
        <v>1088</v>
      </c>
      <c r="P3776" s="14" t="s">
        <v>84</v>
      </c>
      <c r="Q3776" s="15" t="s">
        <v>1089</v>
      </c>
      <c r="R3776" s="16" t="s">
        <v>23500</v>
      </c>
      <c r="S3776" s="15" t="s">
        <v>23501</v>
      </c>
      <c r="T3776" s="15" t="s">
        <v>23502</v>
      </c>
      <c r="U3776" s="21" t="s">
        <v>72</v>
      </c>
    </row>
    <row r="3777" customFormat="false" ht="15" hidden="false" customHeight="false" outlineLevel="0" collapsed="false">
      <c r="A3777" s="15" t="s">
        <v>23371</v>
      </c>
      <c r="B3777" s="16"/>
      <c r="C3777" s="14" t="s">
        <v>23503</v>
      </c>
      <c r="D3777" s="14" t="s">
        <v>23504</v>
      </c>
      <c r="E3777" s="16" t="s">
        <v>23505</v>
      </c>
      <c r="F3777" s="16"/>
      <c r="G3777" s="23" t="s">
        <v>43</v>
      </c>
      <c r="H3777" s="18" t="n">
        <v>2</v>
      </c>
      <c r="I3777" s="20" t="n">
        <v>87.09</v>
      </c>
      <c r="J3777" s="20" t="n">
        <v>137.28</v>
      </c>
      <c r="K3777" s="18" t="n">
        <v>2</v>
      </c>
      <c r="L3777" s="18" t="n">
        <v>3</v>
      </c>
      <c r="M3777" s="18" t="n">
        <v>50</v>
      </c>
      <c r="N3777" s="18" t="n">
        <v>50</v>
      </c>
      <c r="O3777" s="14" t="s">
        <v>1088</v>
      </c>
      <c r="P3777" s="14" t="s">
        <v>84</v>
      </c>
      <c r="Q3777" s="15" t="s">
        <v>1089</v>
      </c>
      <c r="R3777" s="16" t="s">
        <v>23506</v>
      </c>
      <c r="S3777" s="15" t="s">
        <v>23507</v>
      </c>
      <c r="T3777" s="15" t="s">
        <v>23508</v>
      </c>
      <c r="U3777" s="21" t="s">
        <v>72</v>
      </c>
    </row>
    <row r="3778" customFormat="false" ht="15" hidden="false" customHeight="false" outlineLevel="0" collapsed="false">
      <c r="A3778" s="15" t="s">
        <v>23371</v>
      </c>
      <c r="B3778" s="16"/>
      <c r="C3778" s="14" t="s">
        <v>23509</v>
      </c>
      <c r="D3778" s="14" t="s">
        <v>23510</v>
      </c>
      <c r="E3778" s="16" t="s">
        <v>23511</v>
      </c>
      <c r="F3778" s="16"/>
      <c r="G3778" s="23" t="s">
        <v>43</v>
      </c>
      <c r="H3778" s="18" t="n">
        <v>2</v>
      </c>
      <c r="I3778" s="20" t="n">
        <v>32.93</v>
      </c>
      <c r="J3778" s="20" t="n">
        <v>103.24</v>
      </c>
      <c r="K3778" s="18" t="n">
        <v>6</v>
      </c>
      <c r="L3778" s="18" t="n">
        <v>2</v>
      </c>
      <c r="M3778" s="18" t="n">
        <v>78</v>
      </c>
      <c r="N3778" s="18" t="n">
        <v>78</v>
      </c>
      <c r="O3778" s="14" t="s">
        <v>1126</v>
      </c>
      <c r="P3778" s="14" t="s">
        <v>84</v>
      </c>
      <c r="Q3778" s="15" t="s">
        <v>1089</v>
      </c>
      <c r="R3778" s="16" t="s">
        <v>11754</v>
      </c>
      <c r="S3778" s="15" t="s">
        <v>23512</v>
      </c>
      <c r="T3778" s="15" t="s">
        <v>23513</v>
      </c>
      <c r="U3778" s="21" t="s">
        <v>72</v>
      </c>
    </row>
    <row r="3779" customFormat="false" ht="15" hidden="false" customHeight="false" outlineLevel="0" collapsed="false">
      <c r="A3779" s="15" t="s">
        <v>23371</v>
      </c>
      <c r="B3779" s="16"/>
      <c r="C3779" s="14" t="s">
        <v>23514</v>
      </c>
      <c r="D3779" s="14" t="s">
        <v>23515</v>
      </c>
      <c r="E3779" s="16" t="s">
        <v>23516</v>
      </c>
      <c r="F3779" s="16" t="s">
        <v>23517</v>
      </c>
      <c r="G3779" s="23" t="s">
        <v>43</v>
      </c>
      <c r="H3779" s="18" t="n">
        <v>1</v>
      </c>
      <c r="I3779" s="20" t="n">
        <v>32.8</v>
      </c>
      <c r="J3779" s="20" t="n">
        <v>94.66</v>
      </c>
      <c r="K3779" s="18" t="n">
        <v>1</v>
      </c>
      <c r="L3779" s="18" t="n">
        <v>4</v>
      </c>
      <c r="M3779" s="18" t="n">
        <v>27</v>
      </c>
      <c r="N3779" s="18" t="n">
        <v>27</v>
      </c>
      <c r="O3779" s="14" t="s">
        <v>1126</v>
      </c>
      <c r="P3779" s="14" t="s">
        <v>84</v>
      </c>
      <c r="Q3779" s="15" t="s">
        <v>1089</v>
      </c>
      <c r="R3779" s="16" t="s">
        <v>8327</v>
      </c>
      <c r="S3779" s="15" t="s">
        <v>23518</v>
      </c>
      <c r="T3779" s="15" t="s">
        <v>23519</v>
      </c>
      <c r="U3779" s="21" t="s">
        <v>72</v>
      </c>
    </row>
    <row r="3780" customFormat="false" ht="15" hidden="false" customHeight="false" outlineLevel="0" collapsed="false">
      <c r="A3780" s="15" t="s">
        <v>23371</v>
      </c>
      <c r="B3780" s="16"/>
      <c r="C3780" s="14" t="s">
        <v>23520</v>
      </c>
      <c r="D3780" s="14" t="s">
        <v>23521</v>
      </c>
      <c r="E3780" s="16" t="s">
        <v>23522</v>
      </c>
      <c r="F3780" s="16" t="s">
        <v>23523</v>
      </c>
      <c r="G3780" s="23" t="s">
        <v>43</v>
      </c>
      <c r="H3780" s="18" t="n">
        <v>1</v>
      </c>
      <c r="I3780" s="20" t="n">
        <v>35</v>
      </c>
      <c r="J3780" s="20" t="n">
        <v>192.72</v>
      </c>
      <c r="K3780" s="18" t="n">
        <v>2</v>
      </c>
      <c r="L3780" s="18" t="n">
        <v>4</v>
      </c>
      <c r="M3780" s="18" t="n">
        <v>60</v>
      </c>
      <c r="N3780" s="18" t="n">
        <v>60</v>
      </c>
      <c r="O3780" s="14" t="s">
        <v>1126</v>
      </c>
      <c r="P3780" s="14" t="s">
        <v>84</v>
      </c>
      <c r="Q3780" s="15" t="s">
        <v>1089</v>
      </c>
      <c r="R3780" s="16" t="s">
        <v>23524</v>
      </c>
      <c r="S3780" s="15" t="s">
        <v>23525</v>
      </c>
      <c r="T3780" s="15" t="s">
        <v>23525</v>
      </c>
      <c r="U3780" s="21" t="s">
        <v>72</v>
      </c>
    </row>
    <row r="3781" customFormat="false" ht="15" hidden="false" customHeight="false" outlineLevel="0" collapsed="false">
      <c r="A3781" s="15" t="s">
        <v>23371</v>
      </c>
      <c r="B3781" s="16"/>
      <c r="C3781" s="14" t="s">
        <v>23526</v>
      </c>
      <c r="D3781" s="14" t="s">
        <v>23527</v>
      </c>
      <c r="E3781" s="16" t="s">
        <v>23528</v>
      </c>
      <c r="F3781" s="16" t="s">
        <v>23529</v>
      </c>
      <c r="G3781" s="23" t="s">
        <v>43</v>
      </c>
      <c r="H3781" s="18" t="n">
        <v>2</v>
      </c>
      <c r="I3781" s="20" t="n">
        <v>64</v>
      </c>
      <c r="J3781" s="20" t="n">
        <v>90.52</v>
      </c>
      <c r="K3781" s="18" t="n">
        <v>2</v>
      </c>
      <c r="L3781" s="18" t="n">
        <v>1</v>
      </c>
      <c r="M3781" s="18" t="n">
        <v>30</v>
      </c>
      <c r="N3781" s="18" t="n">
        <v>30</v>
      </c>
      <c r="O3781" s="14" t="s">
        <v>1126</v>
      </c>
      <c r="P3781" s="14" t="s">
        <v>84</v>
      </c>
      <c r="Q3781" s="15" t="s">
        <v>1089</v>
      </c>
      <c r="R3781" s="16" t="s">
        <v>8007</v>
      </c>
      <c r="S3781" s="15" t="s">
        <v>23530</v>
      </c>
      <c r="T3781" s="15" t="s">
        <v>23530</v>
      </c>
      <c r="U3781" s="21" t="s">
        <v>72</v>
      </c>
    </row>
    <row r="3782" customFormat="false" ht="15" hidden="false" customHeight="false" outlineLevel="0" collapsed="false">
      <c r="A3782" s="15" t="s">
        <v>23371</v>
      </c>
      <c r="B3782" s="16"/>
      <c r="C3782" s="14" t="s">
        <v>23531</v>
      </c>
      <c r="D3782" s="14" t="s">
        <v>23532</v>
      </c>
      <c r="E3782" s="16" t="s">
        <v>23533</v>
      </c>
      <c r="F3782" s="16" t="s">
        <v>23534</v>
      </c>
      <c r="G3782" s="23" t="s">
        <v>43</v>
      </c>
      <c r="H3782" s="18" t="n">
        <v>3</v>
      </c>
      <c r="I3782" s="20" t="n">
        <v>37.3</v>
      </c>
      <c r="J3782" s="20" t="n">
        <v>82</v>
      </c>
      <c r="K3782" s="18" t="n">
        <v>3</v>
      </c>
      <c r="L3782" s="18" t="n">
        <v>8</v>
      </c>
      <c r="M3782" s="18" t="n">
        <v>26</v>
      </c>
      <c r="N3782" s="18" t="n">
        <v>26</v>
      </c>
      <c r="O3782" s="14" t="s">
        <v>1088</v>
      </c>
      <c r="P3782" s="14" t="s">
        <v>84</v>
      </c>
      <c r="Q3782" s="15" t="s">
        <v>1089</v>
      </c>
      <c r="R3782" s="16" t="s">
        <v>15130</v>
      </c>
      <c r="S3782" s="15" t="s">
        <v>23535</v>
      </c>
      <c r="T3782" s="15" t="s">
        <v>23535</v>
      </c>
      <c r="U3782" s="21" t="s">
        <v>72</v>
      </c>
    </row>
    <row r="3783" customFormat="false" ht="15" hidden="false" customHeight="false" outlineLevel="0" collapsed="false">
      <c r="A3783" s="15" t="s">
        <v>23371</v>
      </c>
      <c r="B3783" s="16"/>
      <c r="C3783" s="14" t="s">
        <v>23536</v>
      </c>
      <c r="D3783" s="14" t="s">
        <v>23537</v>
      </c>
      <c r="E3783" s="16" t="s">
        <v>23538</v>
      </c>
      <c r="F3783" s="16" t="s">
        <v>23539</v>
      </c>
      <c r="G3783" s="23" t="s">
        <v>43</v>
      </c>
      <c r="H3783" s="18" t="n">
        <v>1</v>
      </c>
      <c r="I3783" s="20" t="n">
        <v>35</v>
      </c>
      <c r="J3783" s="20" t="n">
        <v>89.5</v>
      </c>
      <c r="K3783" s="18" t="n">
        <v>1</v>
      </c>
      <c r="L3783" s="18" t="n">
        <v>3</v>
      </c>
      <c r="M3783" s="18" t="n">
        <v>7</v>
      </c>
      <c r="N3783" s="18" t="n">
        <v>7</v>
      </c>
      <c r="O3783" s="14" t="s">
        <v>1126</v>
      </c>
      <c r="P3783" s="14" t="s">
        <v>94</v>
      </c>
      <c r="Q3783" s="15" t="s">
        <v>1089</v>
      </c>
      <c r="R3783" s="16" t="s">
        <v>23540</v>
      </c>
      <c r="S3783" s="15" t="s">
        <v>23541</v>
      </c>
      <c r="T3783" s="15" t="s">
        <v>23542</v>
      </c>
      <c r="U3783" s="21" t="s">
        <v>72</v>
      </c>
    </row>
    <row r="3784" customFormat="false" ht="15" hidden="false" customHeight="false" outlineLevel="0" collapsed="false">
      <c r="A3784" s="15" t="s">
        <v>23371</v>
      </c>
      <c r="B3784" s="16"/>
      <c r="C3784" s="14" t="s">
        <v>23543</v>
      </c>
      <c r="D3784" s="14" t="s">
        <v>23544</v>
      </c>
      <c r="E3784" s="16" t="s">
        <v>23545</v>
      </c>
      <c r="F3784" s="16" t="s">
        <v>23546</v>
      </c>
      <c r="G3784" s="23" t="s">
        <v>43</v>
      </c>
      <c r="H3784" s="18" t="n">
        <v>3</v>
      </c>
      <c r="I3784" s="20" t="n">
        <v>105.79</v>
      </c>
      <c r="J3784" s="20" t="n">
        <v>193.49</v>
      </c>
      <c r="K3784" s="18" t="n">
        <v>1</v>
      </c>
      <c r="L3784" s="18" t="n">
        <v>1</v>
      </c>
      <c r="M3784" s="18" t="n">
        <v>25</v>
      </c>
      <c r="N3784" s="18" t="n">
        <v>25</v>
      </c>
      <c r="O3784" s="14" t="s">
        <v>1088</v>
      </c>
      <c r="P3784" s="14" t="s">
        <v>84</v>
      </c>
      <c r="Q3784" s="15" t="s">
        <v>1089</v>
      </c>
      <c r="R3784" s="16" t="s">
        <v>21631</v>
      </c>
      <c r="S3784" s="15" t="s">
        <v>23547</v>
      </c>
      <c r="T3784" s="15" t="s">
        <v>23547</v>
      </c>
      <c r="U3784" s="21" t="s">
        <v>72</v>
      </c>
    </row>
    <row r="3785" customFormat="false" ht="15" hidden="false" customHeight="false" outlineLevel="0" collapsed="false">
      <c r="A3785" s="15" t="s">
        <v>23371</v>
      </c>
      <c r="B3785" s="16"/>
      <c r="C3785" s="14" t="s">
        <v>23548</v>
      </c>
      <c r="D3785" s="14" t="s">
        <v>23549</v>
      </c>
      <c r="E3785" s="16" t="s">
        <v>23550</v>
      </c>
      <c r="F3785" s="16" t="s">
        <v>23551</v>
      </c>
      <c r="G3785" s="23" t="s">
        <v>43</v>
      </c>
      <c r="H3785" s="18" t="n">
        <v>2</v>
      </c>
      <c r="I3785" s="20" t="n">
        <v>43.155</v>
      </c>
      <c r="J3785" s="20" t="n">
        <v>62.45</v>
      </c>
      <c r="K3785" s="18" t="n">
        <v>1</v>
      </c>
      <c r="L3785" s="18" t="n">
        <v>1</v>
      </c>
      <c r="M3785" s="18" t="n">
        <v>15</v>
      </c>
      <c r="N3785" s="18" t="n">
        <v>15</v>
      </c>
      <c r="O3785" s="14" t="s">
        <v>1097</v>
      </c>
      <c r="P3785" s="14" t="s">
        <v>84</v>
      </c>
      <c r="Q3785" s="15" t="s">
        <v>1089</v>
      </c>
      <c r="R3785" s="16" t="s">
        <v>23552</v>
      </c>
      <c r="S3785" s="15" t="s">
        <v>23553</v>
      </c>
      <c r="T3785" s="15" t="s">
        <v>23553</v>
      </c>
      <c r="U3785" s="21" t="s">
        <v>72</v>
      </c>
    </row>
    <row r="3786" customFormat="false" ht="15" hidden="false" customHeight="false" outlineLevel="0" collapsed="false">
      <c r="A3786" s="15" t="s">
        <v>23371</v>
      </c>
      <c r="B3786" s="16"/>
      <c r="C3786" s="14" t="s">
        <v>23554</v>
      </c>
      <c r="D3786" s="14" t="s">
        <v>23555</v>
      </c>
      <c r="E3786" s="16" t="s">
        <v>23556</v>
      </c>
      <c r="F3786" s="16"/>
      <c r="G3786" s="23" t="s">
        <v>43</v>
      </c>
      <c r="H3786" s="18" t="n">
        <v>2</v>
      </c>
      <c r="I3786" s="20" t="n">
        <v>56.46</v>
      </c>
      <c r="J3786" s="20" t="n">
        <v>95.7</v>
      </c>
      <c r="K3786" s="18" t="n">
        <v>2</v>
      </c>
      <c r="L3786" s="18" t="n">
        <v>2</v>
      </c>
      <c r="M3786" s="18" t="n">
        <v>30</v>
      </c>
      <c r="N3786" s="18" t="n">
        <v>30</v>
      </c>
      <c r="O3786" s="14" t="s">
        <v>1097</v>
      </c>
      <c r="P3786" s="14" t="s">
        <v>84</v>
      </c>
      <c r="Q3786" s="15" t="s">
        <v>1089</v>
      </c>
      <c r="R3786" s="16" t="s">
        <v>23557</v>
      </c>
      <c r="S3786" s="15" t="s">
        <v>23558</v>
      </c>
      <c r="T3786" s="15" t="s">
        <v>23558</v>
      </c>
      <c r="U3786" s="21" t="s">
        <v>72</v>
      </c>
    </row>
    <row r="3787" customFormat="false" ht="15" hidden="false" customHeight="false" outlineLevel="0" collapsed="false">
      <c r="A3787" s="15" t="s">
        <v>23371</v>
      </c>
      <c r="B3787" s="16"/>
      <c r="C3787" s="14" t="s">
        <v>23559</v>
      </c>
      <c r="D3787" s="14" t="s">
        <v>23560</v>
      </c>
      <c r="E3787" s="16" t="s">
        <v>23561</v>
      </c>
      <c r="F3787" s="16" t="s">
        <v>23562</v>
      </c>
      <c r="G3787" s="23" t="s">
        <v>43</v>
      </c>
      <c r="H3787" s="18" t="n">
        <v>2</v>
      </c>
      <c r="I3787" s="20" t="n">
        <v>59.7</v>
      </c>
      <c r="J3787" s="20" t="n">
        <v>110.32</v>
      </c>
      <c r="K3787" s="18" t="n">
        <v>18</v>
      </c>
      <c r="L3787" s="18" t="n">
        <v>2</v>
      </c>
      <c r="M3787" s="18" t="n">
        <v>446</v>
      </c>
      <c r="N3787" s="18" t="n">
        <v>216</v>
      </c>
      <c r="O3787" s="14" t="s">
        <v>1097</v>
      </c>
      <c r="P3787" s="14" t="s">
        <v>118</v>
      </c>
      <c r="Q3787" s="15" t="s">
        <v>1089</v>
      </c>
      <c r="R3787" s="16" t="s">
        <v>19296</v>
      </c>
      <c r="S3787" s="15" t="s">
        <v>23563</v>
      </c>
      <c r="T3787" s="15" t="s">
        <v>23564</v>
      </c>
      <c r="U3787" s="21" t="s">
        <v>72</v>
      </c>
    </row>
    <row r="3788" customFormat="false" ht="26.85" hidden="false" customHeight="false" outlineLevel="0" collapsed="false">
      <c r="A3788" s="15" t="s">
        <v>23371</v>
      </c>
      <c r="B3788" s="15" t="s">
        <v>23565</v>
      </c>
      <c r="C3788" s="14" t="s">
        <v>23566</v>
      </c>
      <c r="D3788" s="14" t="s">
        <v>23567</v>
      </c>
      <c r="E3788" s="16" t="s">
        <v>23568</v>
      </c>
      <c r="F3788" s="16" t="s">
        <v>23569</v>
      </c>
      <c r="G3788" s="23" t="s">
        <v>43</v>
      </c>
      <c r="H3788" s="18" t="n">
        <v>4</v>
      </c>
      <c r="I3788" s="20" t="n">
        <v>83.66</v>
      </c>
      <c r="J3788" s="20" t="n">
        <v>183.62</v>
      </c>
      <c r="K3788" s="18" t="n">
        <v>2</v>
      </c>
      <c r="L3788" s="18" t="n">
        <v>10</v>
      </c>
      <c r="M3788" s="18" t="n">
        <v>68</v>
      </c>
      <c r="N3788" s="18" t="n">
        <v>68</v>
      </c>
      <c r="O3788" s="14" t="s">
        <v>1088</v>
      </c>
      <c r="P3788" s="14" t="s">
        <v>84</v>
      </c>
      <c r="Q3788" s="15" t="s">
        <v>1089</v>
      </c>
      <c r="R3788" s="16" t="s">
        <v>23570</v>
      </c>
      <c r="S3788" s="15" t="s">
        <v>23571</v>
      </c>
      <c r="T3788" s="15" t="s">
        <v>23572</v>
      </c>
      <c r="U3788" s="21" t="s">
        <v>72</v>
      </c>
    </row>
    <row r="3789" customFormat="false" ht="15" hidden="false" customHeight="false" outlineLevel="0" collapsed="false">
      <c r="A3789" s="15" t="s">
        <v>23371</v>
      </c>
      <c r="B3789" s="15" t="s">
        <v>23565</v>
      </c>
      <c r="C3789" s="14" t="s">
        <v>23573</v>
      </c>
      <c r="D3789" s="14" t="s">
        <v>23574</v>
      </c>
      <c r="E3789" s="16" t="s">
        <v>23575</v>
      </c>
      <c r="F3789" s="16" t="s">
        <v>23576</v>
      </c>
      <c r="G3789" s="19" t="s">
        <v>41</v>
      </c>
      <c r="H3789" s="18" t="n">
        <v>5</v>
      </c>
      <c r="I3789" s="20" t="n">
        <v>108.04</v>
      </c>
      <c r="J3789" s="20" t="n">
        <v>272.83</v>
      </c>
      <c r="K3789" s="18" t="n">
        <v>5</v>
      </c>
      <c r="L3789" s="18" t="n">
        <v>5</v>
      </c>
      <c r="M3789" s="18" t="n">
        <v>75</v>
      </c>
      <c r="N3789" s="18" t="n">
        <v>46</v>
      </c>
      <c r="O3789" s="14" t="s">
        <v>1126</v>
      </c>
      <c r="P3789" s="14" t="s">
        <v>84</v>
      </c>
      <c r="Q3789" s="15" t="s">
        <v>1089</v>
      </c>
      <c r="R3789" s="16" t="s">
        <v>23577</v>
      </c>
      <c r="S3789" s="15" t="s">
        <v>23578</v>
      </c>
      <c r="T3789" s="15" t="s">
        <v>23578</v>
      </c>
      <c r="U3789" s="21" t="s">
        <v>72</v>
      </c>
    </row>
    <row r="3790" customFormat="false" ht="15" hidden="false" customHeight="false" outlineLevel="0" collapsed="false">
      <c r="A3790" s="15" t="s">
        <v>23371</v>
      </c>
      <c r="B3790" s="15" t="s">
        <v>23565</v>
      </c>
      <c r="C3790" s="14" t="s">
        <v>23579</v>
      </c>
      <c r="D3790" s="14" t="s">
        <v>23580</v>
      </c>
      <c r="E3790" s="16" t="s">
        <v>23581</v>
      </c>
      <c r="F3790" s="16" t="s">
        <v>23582</v>
      </c>
      <c r="G3790" s="19" t="s">
        <v>41</v>
      </c>
      <c r="H3790" s="18" t="n">
        <v>6</v>
      </c>
      <c r="I3790" s="20" t="n">
        <v>142</v>
      </c>
      <c r="J3790" s="20" t="n">
        <v>342</v>
      </c>
      <c r="K3790" s="18" t="n">
        <v>3</v>
      </c>
      <c r="L3790" s="18" t="n">
        <v>4</v>
      </c>
      <c r="M3790" s="18" t="n">
        <v>117</v>
      </c>
      <c r="N3790" s="18" t="n">
        <v>117</v>
      </c>
      <c r="O3790" s="14" t="s">
        <v>1126</v>
      </c>
      <c r="P3790" s="14" t="s">
        <v>84</v>
      </c>
      <c r="Q3790" s="15" t="s">
        <v>1089</v>
      </c>
      <c r="R3790" s="16" t="s">
        <v>19612</v>
      </c>
      <c r="S3790" s="15" t="s">
        <v>23583</v>
      </c>
      <c r="T3790" s="15" t="s">
        <v>23583</v>
      </c>
      <c r="U3790" s="21" t="s">
        <v>72</v>
      </c>
    </row>
    <row r="3791" customFormat="false" ht="15" hidden="false" customHeight="false" outlineLevel="0" collapsed="false">
      <c r="A3791" s="15" t="s">
        <v>23371</v>
      </c>
      <c r="B3791" s="15" t="s">
        <v>23565</v>
      </c>
      <c r="C3791" s="14" t="s">
        <v>23584</v>
      </c>
      <c r="D3791" s="14" t="s">
        <v>23585</v>
      </c>
      <c r="E3791" s="16" t="s">
        <v>23586</v>
      </c>
      <c r="F3791" s="16" t="s">
        <v>23587</v>
      </c>
      <c r="G3791" s="23" t="s">
        <v>43</v>
      </c>
      <c r="H3791" s="18" t="n">
        <v>2</v>
      </c>
      <c r="I3791" s="20" t="n">
        <v>34</v>
      </c>
      <c r="J3791" s="20" t="n">
        <v>121.8</v>
      </c>
      <c r="K3791" s="18" t="n">
        <v>2</v>
      </c>
      <c r="L3791" s="18" t="n">
        <v>5</v>
      </c>
      <c r="M3791" s="18" t="n">
        <v>24</v>
      </c>
      <c r="N3791" s="18" t="n">
        <v>24</v>
      </c>
      <c r="O3791" s="14" t="s">
        <v>1126</v>
      </c>
      <c r="P3791" s="14" t="s">
        <v>84</v>
      </c>
      <c r="Q3791" s="15" t="s">
        <v>1089</v>
      </c>
      <c r="R3791" s="16" t="s">
        <v>23588</v>
      </c>
      <c r="S3791" s="15" t="s">
        <v>23589</v>
      </c>
      <c r="T3791" s="15" t="s">
        <v>23589</v>
      </c>
      <c r="U3791" s="21" t="s">
        <v>72</v>
      </c>
    </row>
    <row r="3792" customFormat="false" ht="15" hidden="false" customHeight="false" outlineLevel="0" collapsed="false">
      <c r="A3792" s="15" t="s">
        <v>23371</v>
      </c>
      <c r="B3792" s="15" t="s">
        <v>23565</v>
      </c>
      <c r="C3792" s="14" t="s">
        <v>23590</v>
      </c>
      <c r="D3792" s="14" t="s">
        <v>23591</v>
      </c>
      <c r="E3792" s="16" t="s">
        <v>23592</v>
      </c>
      <c r="F3792" s="16" t="s">
        <v>23593</v>
      </c>
      <c r="G3792" s="25" t="s">
        <v>39</v>
      </c>
      <c r="H3792" s="18" t="n">
        <v>6</v>
      </c>
      <c r="I3792" s="20" t="n">
        <v>173.52</v>
      </c>
      <c r="J3792" s="20" t="n">
        <v>404.49</v>
      </c>
      <c r="K3792" s="18" t="n">
        <v>4</v>
      </c>
      <c r="L3792" s="18" t="n">
        <v>2</v>
      </c>
      <c r="M3792" s="18" t="n">
        <v>100</v>
      </c>
      <c r="N3792" s="18" t="n">
        <v>25</v>
      </c>
      <c r="O3792" s="14" t="s">
        <v>1097</v>
      </c>
      <c r="P3792" s="14" t="s">
        <v>84</v>
      </c>
      <c r="Q3792" s="15" t="s">
        <v>1089</v>
      </c>
      <c r="R3792" s="16" t="s">
        <v>23594</v>
      </c>
      <c r="S3792" s="15" t="s">
        <v>23595</v>
      </c>
      <c r="T3792" s="15" t="s">
        <v>23595</v>
      </c>
      <c r="U3792" s="21" t="s">
        <v>72</v>
      </c>
    </row>
    <row r="3793" customFormat="false" ht="15" hidden="false" customHeight="false" outlineLevel="0" collapsed="false">
      <c r="A3793" s="15" t="s">
        <v>23371</v>
      </c>
      <c r="B3793" s="15" t="s">
        <v>23596</v>
      </c>
      <c r="C3793" s="14" t="s">
        <v>23597</v>
      </c>
      <c r="D3793" s="14" t="s">
        <v>23598</v>
      </c>
      <c r="E3793" s="16" t="s">
        <v>23599</v>
      </c>
      <c r="F3793" s="16" t="s">
        <v>23600</v>
      </c>
      <c r="G3793" s="23" t="s">
        <v>43</v>
      </c>
      <c r="H3793" s="18" t="n">
        <v>1</v>
      </c>
      <c r="I3793" s="20" t="n">
        <v>39.2</v>
      </c>
      <c r="J3793" s="20" t="n">
        <v>99.37</v>
      </c>
      <c r="K3793" s="18" t="n">
        <v>1</v>
      </c>
      <c r="L3793" s="18" t="n">
        <v>3</v>
      </c>
      <c r="M3793" s="18" t="n">
        <v>15</v>
      </c>
      <c r="N3793" s="18" t="n">
        <v>15</v>
      </c>
      <c r="O3793" s="14" t="s">
        <v>1088</v>
      </c>
      <c r="P3793" s="14" t="s">
        <v>84</v>
      </c>
      <c r="Q3793" s="15" t="s">
        <v>1089</v>
      </c>
      <c r="R3793" s="16" t="s">
        <v>23601</v>
      </c>
      <c r="S3793" s="15" t="s">
        <v>23602</v>
      </c>
      <c r="T3793" s="15" t="s">
        <v>23602</v>
      </c>
      <c r="U3793" s="21" t="s">
        <v>72</v>
      </c>
    </row>
    <row r="3794" customFormat="false" ht="15" hidden="false" customHeight="false" outlineLevel="0" collapsed="false">
      <c r="A3794" s="15" t="s">
        <v>23371</v>
      </c>
      <c r="B3794" s="15" t="s">
        <v>23596</v>
      </c>
      <c r="C3794" s="14" t="s">
        <v>23603</v>
      </c>
      <c r="D3794" s="14" t="s">
        <v>23604</v>
      </c>
      <c r="E3794" s="16" t="s">
        <v>23605</v>
      </c>
      <c r="F3794" s="16" t="s">
        <v>23606</v>
      </c>
      <c r="G3794" s="23" t="s">
        <v>43</v>
      </c>
      <c r="H3794" s="18" t="n">
        <v>4</v>
      </c>
      <c r="I3794" s="20" t="n">
        <v>108</v>
      </c>
      <c r="J3794" s="20" t="n">
        <v>185</v>
      </c>
      <c r="K3794" s="18" t="n">
        <v>1</v>
      </c>
      <c r="L3794" s="18" t="n">
        <v>1</v>
      </c>
      <c r="M3794" s="18" t="n">
        <v>15</v>
      </c>
      <c r="N3794" s="18" t="n">
        <v>15</v>
      </c>
      <c r="O3794" s="14" t="s">
        <v>1088</v>
      </c>
      <c r="P3794" s="14" t="s">
        <v>84</v>
      </c>
      <c r="Q3794" s="15" t="s">
        <v>1089</v>
      </c>
      <c r="R3794" s="16" t="s">
        <v>23607</v>
      </c>
      <c r="S3794" s="15" t="s">
        <v>23608</v>
      </c>
      <c r="T3794" s="15" t="s">
        <v>23609</v>
      </c>
      <c r="U3794" s="21" t="s">
        <v>72</v>
      </c>
    </row>
    <row r="3795" customFormat="false" ht="15" hidden="false" customHeight="false" outlineLevel="0" collapsed="false">
      <c r="A3795" s="15" t="s">
        <v>23371</v>
      </c>
      <c r="B3795" s="15" t="s">
        <v>23596</v>
      </c>
      <c r="C3795" s="14" t="s">
        <v>23610</v>
      </c>
      <c r="D3795" s="14" t="s">
        <v>23611</v>
      </c>
      <c r="E3795" s="16" t="s">
        <v>23612</v>
      </c>
      <c r="F3795" s="16" t="s">
        <v>23613</v>
      </c>
      <c r="G3795" s="23" t="s">
        <v>43</v>
      </c>
      <c r="H3795" s="18" t="n">
        <v>1</v>
      </c>
      <c r="I3795" s="20" t="n">
        <v>48</v>
      </c>
      <c r="J3795" s="20" t="n">
        <v>110</v>
      </c>
      <c r="K3795" s="18" t="n">
        <v>2</v>
      </c>
      <c r="L3795" s="18" t="n">
        <v>2</v>
      </c>
      <c r="M3795" s="18" t="n">
        <v>32</v>
      </c>
      <c r="N3795" s="18" t="n">
        <v>32</v>
      </c>
      <c r="O3795" s="14" t="s">
        <v>1126</v>
      </c>
      <c r="P3795" s="14" t="s">
        <v>84</v>
      </c>
      <c r="Q3795" s="15" t="s">
        <v>1089</v>
      </c>
      <c r="R3795" s="16" t="s">
        <v>23614</v>
      </c>
      <c r="S3795" s="15" t="s">
        <v>23615</v>
      </c>
      <c r="T3795" s="15" t="s">
        <v>23616</v>
      </c>
      <c r="U3795" s="21" t="s">
        <v>72</v>
      </c>
    </row>
    <row r="3796" customFormat="false" ht="15" hidden="false" customHeight="false" outlineLevel="0" collapsed="false">
      <c r="A3796" s="15" t="s">
        <v>23371</v>
      </c>
      <c r="B3796" s="15" t="s">
        <v>23617</v>
      </c>
      <c r="C3796" s="14" t="s">
        <v>23618</v>
      </c>
      <c r="D3796" s="14" t="s">
        <v>23619</v>
      </c>
      <c r="E3796" s="16" t="s">
        <v>23620</v>
      </c>
      <c r="F3796" s="16"/>
      <c r="G3796" s="23" t="s">
        <v>43</v>
      </c>
      <c r="H3796" s="18" t="n">
        <v>1</v>
      </c>
      <c r="I3796" s="20" t="n">
        <v>47.5</v>
      </c>
      <c r="J3796" s="20" t="n">
        <v>91.5</v>
      </c>
      <c r="K3796" s="18" t="n">
        <v>2</v>
      </c>
      <c r="L3796" s="18" t="n">
        <v>1</v>
      </c>
      <c r="M3796" s="18" t="n">
        <v>30</v>
      </c>
      <c r="N3796" s="18" t="n">
        <v>30</v>
      </c>
      <c r="O3796" s="14" t="s">
        <v>1126</v>
      </c>
      <c r="P3796" s="14" t="s">
        <v>84</v>
      </c>
      <c r="Q3796" s="15" t="s">
        <v>1089</v>
      </c>
      <c r="R3796" s="16" t="s">
        <v>23621</v>
      </c>
      <c r="S3796" s="15" t="s">
        <v>23622</v>
      </c>
      <c r="T3796" s="15" t="s">
        <v>23622</v>
      </c>
      <c r="U3796" s="21" t="s">
        <v>72</v>
      </c>
    </row>
    <row r="3797" customFormat="false" ht="15" hidden="false" customHeight="false" outlineLevel="0" collapsed="false">
      <c r="A3797" s="15" t="s">
        <v>23371</v>
      </c>
      <c r="B3797" s="15" t="s">
        <v>23617</v>
      </c>
      <c r="C3797" s="14" t="s">
        <v>23623</v>
      </c>
      <c r="D3797" s="14" t="s">
        <v>23624</v>
      </c>
      <c r="E3797" s="16" t="s">
        <v>23625</v>
      </c>
      <c r="F3797" s="16" t="s">
        <v>23626</v>
      </c>
      <c r="G3797" s="23" t="s">
        <v>43</v>
      </c>
      <c r="H3797" s="18" t="n">
        <v>2</v>
      </c>
      <c r="I3797" s="20" t="n">
        <v>55.25</v>
      </c>
      <c r="J3797" s="20" t="n">
        <v>113.82</v>
      </c>
      <c r="K3797" s="18" t="n">
        <v>2</v>
      </c>
      <c r="L3797" s="18" t="n">
        <v>1</v>
      </c>
      <c r="M3797" s="18" t="n">
        <v>60</v>
      </c>
      <c r="N3797" s="18" t="n">
        <v>60</v>
      </c>
      <c r="O3797" s="14" t="s">
        <v>1126</v>
      </c>
      <c r="P3797" s="14" t="s">
        <v>84</v>
      </c>
      <c r="Q3797" s="15" t="s">
        <v>1089</v>
      </c>
      <c r="R3797" s="16" t="s">
        <v>23627</v>
      </c>
      <c r="S3797" s="15" t="s">
        <v>23628</v>
      </c>
      <c r="T3797" s="15" t="s">
        <v>23628</v>
      </c>
      <c r="U3797" s="21" t="s">
        <v>72</v>
      </c>
    </row>
    <row r="3798" customFormat="false" ht="15" hidden="false" customHeight="false" outlineLevel="0" collapsed="false">
      <c r="A3798" s="15" t="s">
        <v>23371</v>
      </c>
      <c r="B3798" s="15" t="s">
        <v>23617</v>
      </c>
      <c r="C3798" s="14" t="s">
        <v>23629</v>
      </c>
      <c r="D3798" s="14" t="s">
        <v>23630</v>
      </c>
      <c r="E3798" s="16" t="s">
        <v>23631</v>
      </c>
      <c r="F3798" s="16" t="s">
        <v>23632</v>
      </c>
      <c r="G3798" s="23" t="s">
        <v>43</v>
      </c>
      <c r="H3798" s="18" t="n">
        <v>1</v>
      </c>
      <c r="I3798" s="20" t="n">
        <v>32.98</v>
      </c>
      <c r="J3798" s="20" t="n">
        <v>88.53</v>
      </c>
      <c r="K3798" s="18" t="n">
        <v>5</v>
      </c>
      <c r="L3798" s="18" t="n">
        <v>5</v>
      </c>
      <c r="M3798" s="18" t="n">
        <v>100</v>
      </c>
      <c r="N3798" s="18" t="n">
        <v>40</v>
      </c>
      <c r="O3798" s="14" t="s">
        <v>5962</v>
      </c>
      <c r="P3798" s="14" t="s">
        <v>84</v>
      </c>
      <c r="Q3798" s="15" t="s">
        <v>1089</v>
      </c>
      <c r="R3798" s="16" t="s">
        <v>15221</v>
      </c>
      <c r="S3798" s="15" t="s">
        <v>23633</v>
      </c>
      <c r="T3798" s="15" t="s">
        <v>20645</v>
      </c>
      <c r="U3798" s="21" t="s">
        <v>72</v>
      </c>
    </row>
    <row r="3799" customFormat="false" ht="15" hidden="false" customHeight="false" outlineLevel="0" collapsed="false">
      <c r="A3799" s="15" t="s">
        <v>23371</v>
      </c>
      <c r="B3799" s="15" t="s">
        <v>23617</v>
      </c>
      <c r="C3799" s="14" t="s">
        <v>23634</v>
      </c>
      <c r="D3799" s="14" t="s">
        <v>23635</v>
      </c>
      <c r="E3799" s="16" t="s">
        <v>23636</v>
      </c>
      <c r="F3799" s="16" t="s">
        <v>23637</v>
      </c>
      <c r="G3799" s="23" t="s">
        <v>43</v>
      </c>
      <c r="H3799" s="18" t="n">
        <v>3</v>
      </c>
      <c r="I3799" s="20" t="n">
        <v>89.6</v>
      </c>
      <c r="J3799" s="20" t="n">
        <v>196</v>
      </c>
      <c r="K3799" s="18" t="n">
        <v>2</v>
      </c>
      <c r="L3799" s="18" t="n">
        <v>1</v>
      </c>
      <c r="M3799" s="18" t="n">
        <v>20</v>
      </c>
      <c r="N3799" s="18" t="n">
        <v>20</v>
      </c>
      <c r="O3799" s="14" t="s">
        <v>1126</v>
      </c>
      <c r="P3799" s="14" t="s">
        <v>84</v>
      </c>
      <c r="Q3799" s="15" t="s">
        <v>1089</v>
      </c>
      <c r="R3799" s="16" t="s">
        <v>23638</v>
      </c>
      <c r="S3799" s="15" t="s">
        <v>23639</v>
      </c>
      <c r="T3799" s="15" t="s">
        <v>23639</v>
      </c>
      <c r="U3799" s="21" t="s">
        <v>72</v>
      </c>
    </row>
    <row r="3800" customFormat="false" ht="15" hidden="false" customHeight="false" outlineLevel="0" collapsed="false">
      <c r="A3800" s="15" t="s">
        <v>23371</v>
      </c>
      <c r="B3800" s="15" t="s">
        <v>23617</v>
      </c>
      <c r="C3800" s="14" t="s">
        <v>23640</v>
      </c>
      <c r="D3800" s="14" t="s">
        <v>23641</v>
      </c>
      <c r="E3800" s="16" t="s">
        <v>23642</v>
      </c>
      <c r="F3800" s="16"/>
      <c r="G3800" s="23" t="s">
        <v>43</v>
      </c>
      <c r="H3800" s="18" t="n">
        <v>1</v>
      </c>
      <c r="I3800" s="20" t="n">
        <v>35</v>
      </c>
      <c r="J3800" s="20" t="n">
        <v>156.2</v>
      </c>
      <c r="K3800" s="18" t="n">
        <v>2</v>
      </c>
      <c r="L3800" s="18" t="n">
        <v>1</v>
      </c>
      <c r="M3800" s="18" t="n">
        <v>40</v>
      </c>
      <c r="N3800" s="18" t="n">
        <v>20</v>
      </c>
      <c r="O3800" s="14" t="s">
        <v>1126</v>
      </c>
      <c r="P3800" s="14" t="s">
        <v>84</v>
      </c>
      <c r="Q3800" s="15" t="s">
        <v>1089</v>
      </c>
      <c r="R3800" s="16" t="s">
        <v>23643</v>
      </c>
      <c r="S3800" s="15" t="s">
        <v>23644</v>
      </c>
      <c r="T3800" s="15" t="s">
        <v>23645</v>
      </c>
      <c r="U3800" s="21" t="s">
        <v>72</v>
      </c>
    </row>
    <row r="3801" customFormat="false" ht="15" hidden="false" customHeight="false" outlineLevel="0" collapsed="false">
      <c r="A3801" s="15" t="s">
        <v>23371</v>
      </c>
      <c r="B3801" s="15" t="s">
        <v>23646</v>
      </c>
      <c r="C3801" s="14" t="s">
        <v>23647</v>
      </c>
      <c r="D3801" s="14" t="s">
        <v>23648</v>
      </c>
      <c r="E3801" s="16" t="s">
        <v>23649</v>
      </c>
      <c r="F3801" s="16"/>
      <c r="G3801" s="23" t="s">
        <v>43</v>
      </c>
      <c r="H3801" s="18" t="n">
        <v>4</v>
      </c>
      <c r="I3801" s="20" t="n">
        <v>60.16</v>
      </c>
      <c r="J3801" s="20" t="n">
        <v>112.82</v>
      </c>
      <c r="K3801" s="18" t="n">
        <v>9</v>
      </c>
      <c r="L3801" s="18" t="n">
        <v>2</v>
      </c>
      <c r="M3801" s="18" t="n">
        <v>120</v>
      </c>
      <c r="N3801" s="18" t="n">
        <v>40</v>
      </c>
      <c r="O3801" s="14" t="s">
        <v>1097</v>
      </c>
      <c r="P3801" s="14" t="s">
        <v>118</v>
      </c>
      <c r="Q3801" s="15" t="s">
        <v>1089</v>
      </c>
      <c r="R3801" s="16" t="s">
        <v>9963</v>
      </c>
      <c r="S3801" s="15" t="s">
        <v>23650</v>
      </c>
      <c r="T3801" s="15" t="s">
        <v>23650</v>
      </c>
      <c r="U3801" s="21" t="s">
        <v>72</v>
      </c>
    </row>
    <row r="3802" customFormat="false" ht="15" hidden="false" customHeight="false" outlineLevel="0" collapsed="false">
      <c r="A3802" s="15" t="s">
        <v>23371</v>
      </c>
      <c r="B3802" s="15" t="s">
        <v>23646</v>
      </c>
      <c r="C3802" s="14" t="s">
        <v>23651</v>
      </c>
      <c r="D3802" s="14" t="s">
        <v>23652</v>
      </c>
      <c r="E3802" s="16" t="s">
        <v>23653</v>
      </c>
      <c r="F3802" s="16" t="s">
        <v>23654</v>
      </c>
      <c r="G3802" s="23" t="s">
        <v>43</v>
      </c>
      <c r="H3802" s="18" t="n">
        <v>4</v>
      </c>
      <c r="I3802" s="20" t="n">
        <v>72</v>
      </c>
      <c r="J3802" s="20" t="n">
        <v>161</v>
      </c>
      <c r="K3802" s="18" t="n">
        <v>2</v>
      </c>
      <c r="L3802" s="18" t="n">
        <v>2</v>
      </c>
      <c r="M3802" s="18" t="n">
        <v>30</v>
      </c>
      <c r="N3802" s="18" t="n">
        <v>15</v>
      </c>
      <c r="O3802" s="14" t="s">
        <v>1126</v>
      </c>
      <c r="P3802" s="14" t="s">
        <v>1166</v>
      </c>
      <c r="Q3802" s="15" t="s">
        <v>1089</v>
      </c>
      <c r="R3802" s="16" t="s">
        <v>23655</v>
      </c>
      <c r="S3802" s="15" t="s">
        <v>23656</v>
      </c>
      <c r="T3802" s="15" t="s">
        <v>23657</v>
      </c>
      <c r="U3802" s="21" t="s">
        <v>72</v>
      </c>
    </row>
    <row r="3803" customFormat="false" ht="15" hidden="false" customHeight="false" outlineLevel="0" collapsed="false">
      <c r="A3803" s="15" t="s">
        <v>23371</v>
      </c>
      <c r="B3803" s="15" t="s">
        <v>23646</v>
      </c>
      <c r="C3803" s="14" t="s">
        <v>23658</v>
      </c>
      <c r="D3803" s="14" t="s">
        <v>23659</v>
      </c>
      <c r="E3803" s="16" t="s">
        <v>23660</v>
      </c>
      <c r="F3803" s="16" t="s">
        <v>23661</v>
      </c>
      <c r="G3803" s="23" t="s">
        <v>43</v>
      </c>
      <c r="H3803" s="18" t="n">
        <v>2</v>
      </c>
      <c r="I3803" s="20" t="n">
        <v>34.7</v>
      </c>
      <c r="J3803" s="20" t="n">
        <v>47.97</v>
      </c>
      <c r="K3803" s="18" t="n">
        <v>2</v>
      </c>
      <c r="L3803" s="18" t="n">
        <v>1</v>
      </c>
      <c r="M3803" s="18" t="n">
        <v>36</v>
      </c>
      <c r="N3803" s="18" t="n">
        <v>36</v>
      </c>
      <c r="O3803" s="14" t="s">
        <v>9118</v>
      </c>
      <c r="P3803" s="14" t="s">
        <v>84</v>
      </c>
      <c r="Q3803" s="15" t="s">
        <v>1089</v>
      </c>
      <c r="R3803" s="16" t="s">
        <v>23662</v>
      </c>
      <c r="S3803" s="15" t="s">
        <v>23663</v>
      </c>
      <c r="T3803" s="15" t="s">
        <v>23663</v>
      </c>
      <c r="U3803" s="21" t="s">
        <v>72</v>
      </c>
    </row>
    <row r="3804" customFormat="false" ht="15" hidden="false" customHeight="false" outlineLevel="0" collapsed="false">
      <c r="A3804" s="15" t="s">
        <v>23371</v>
      </c>
      <c r="B3804" s="15" t="s">
        <v>23646</v>
      </c>
      <c r="C3804" s="14" t="s">
        <v>23664</v>
      </c>
      <c r="D3804" s="14" t="s">
        <v>23665</v>
      </c>
      <c r="E3804" s="16" t="s">
        <v>23666</v>
      </c>
      <c r="F3804" s="16" t="s">
        <v>23667</v>
      </c>
      <c r="G3804" s="19" t="s">
        <v>41</v>
      </c>
      <c r="H3804" s="18" t="n">
        <v>5</v>
      </c>
      <c r="I3804" s="20" t="n">
        <v>80.3</v>
      </c>
      <c r="J3804" s="20" t="n">
        <v>191.7</v>
      </c>
      <c r="K3804" s="18" t="n">
        <v>4</v>
      </c>
      <c r="L3804" s="18" t="n">
        <v>1</v>
      </c>
      <c r="M3804" s="18" t="n">
        <v>32</v>
      </c>
      <c r="N3804" s="18" t="n">
        <v>16</v>
      </c>
      <c r="O3804" s="14" t="s">
        <v>1126</v>
      </c>
      <c r="P3804" s="14" t="s">
        <v>84</v>
      </c>
      <c r="Q3804" s="15" t="s">
        <v>1089</v>
      </c>
      <c r="R3804" s="16" t="s">
        <v>23668</v>
      </c>
      <c r="S3804" s="15" t="s">
        <v>23669</v>
      </c>
      <c r="T3804" s="15" t="s">
        <v>23669</v>
      </c>
      <c r="U3804" s="21" t="s">
        <v>72</v>
      </c>
    </row>
    <row r="3805" customFormat="false" ht="15" hidden="false" customHeight="false" outlineLevel="0" collapsed="false">
      <c r="A3805" s="15" t="s">
        <v>23371</v>
      </c>
      <c r="B3805" s="15" t="s">
        <v>23646</v>
      </c>
      <c r="C3805" s="14" t="s">
        <v>23670</v>
      </c>
      <c r="D3805" s="14" t="s">
        <v>23671</v>
      </c>
      <c r="E3805" s="16" t="s">
        <v>23672</v>
      </c>
      <c r="F3805" s="16"/>
      <c r="G3805" s="23" t="s">
        <v>43</v>
      </c>
      <c r="H3805" s="18" t="n">
        <v>1</v>
      </c>
      <c r="I3805" s="20" t="n">
        <v>46.375</v>
      </c>
      <c r="J3805" s="20" t="n">
        <v>94.3</v>
      </c>
      <c r="K3805" s="18" t="n">
        <v>2</v>
      </c>
      <c r="L3805" s="18" t="n">
        <v>1</v>
      </c>
      <c r="M3805" s="18" t="n">
        <v>16</v>
      </c>
      <c r="N3805" s="18" t="n">
        <v>16</v>
      </c>
      <c r="O3805" s="14" t="s">
        <v>1097</v>
      </c>
      <c r="P3805" s="14" t="s">
        <v>84</v>
      </c>
      <c r="Q3805" s="15" t="s">
        <v>1089</v>
      </c>
      <c r="R3805" s="16" t="s">
        <v>23673</v>
      </c>
      <c r="S3805" s="15" t="s">
        <v>23674</v>
      </c>
      <c r="T3805" s="15" t="s">
        <v>23675</v>
      </c>
      <c r="U3805" s="21" t="s">
        <v>72</v>
      </c>
    </row>
    <row r="3806" customFormat="false" ht="15" hidden="false" customHeight="false" outlineLevel="0" collapsed="false">
      <c r="A3806" s="15" t="s">
        <v>23371</v>
      </c>
      <c r="B3806" s="15" t="s">
        <v>23646</v>
      </c>
      <c r="C3806" s="14" t="s">
        <v>23676</v>
      </c>
      <c r="D3806" s="14" t="s">
        <v>23677</v>
      </c>
      <c r="E3806" s="16" t="s">
        <v>23678</v>
      </c>
      <c r="F3806" s="16" t="s">
        <v>23679</v>
      </c>
      <c r="G3806" s="23" t="s">
        <v>43</v>
      </c>
      <c r="H3806" s="18" t="n">
        <v>3</v>
      </c>
      <c r="I3806" s="20" t="n">
        <v>66.11</v>
      </c>
      <c r="J3806" s="20" t="n">
        <v>82.16</v>
      </c>
      <c r="K3806" s="18" t="n">
        <v>9</v>
      </c>
      <c r="L3806" s="18" t="n">
        <v>4</v>
      </c>
      <c r="M3806" s="18" t="n">
        <v>133</v>
      </c>
      <c r="N3806" s="18" t="n">
        <v>36</v>
      </c>
      <c r="O3806" s="14" t="s">
        <v>1097</v>
      </c>
      <c r="P3806" s="14" t="s">
        <v>118</v>
      </c>
      <c r="Q3806" s="15" t="s">
        <v>1089</v>
      </c>
      <c r="R3806" s="16" t="s">
        <v>23680</v>
      </c>
      <c r="S3806" s="15" t="s">
        <v>23681</v>
      </c>
      <c r="T3806" s="15" t="s">
        <v>23681</v>
      </c>
      <c r="U3806" s="21" t="s">
        <v>72</v>
      </c>
    </row>
    <row r="3807" customFormat="false" ht="15" hidden="false" customHeight="false" outlineLevel="0" collapsed="false">
      <c r="A3807" s="15" t="s">
        <v>23371</v>
      </c>
      <c r="B3807" s="15" t="s">
        <v>23646</v>
      </c>
      <c r="C3807" s="14" t="s">
        <v>23682</v>
      </c>
      <c r="D3807" s="14" t="s">
        <v>23683</v>
      </c>
      <c r="E3807" s="16" t="s">
        <v>23684</v>
      </c>
      <c r="F3807" s="16" t="s">
        <v>23685</v>
      </c>
      <c r="G3807" s="19" t="s">
        <v>41</v>
      </c>
      <c r="H3807" s="18" t="n">
        <v>5</v>
      </c>
      <c r="I3807" s="20" t="n">
        <v>112.72</v>
      </c>
      <c r="J3807" s="20" t="n">
        <v>278.28</v>
      </c>
      <c r="K3807" s="18" t="n">
        <v>10</v>
      </c>
      <c r="L3807" s="18" t="n">
        <v>6</v>
      </c>
      <c r="M3807" s="18" t="n">
        <v>190</v>
      </c>
      <c r="N3807" s="18" t="n">
        <v>190</v>
      </c>
      <c r="O3807" s="14" t="s">
        <v>1088</v>
      </c>
      <c r="P3807" s="14" t="s">
        <v>84</v>
      </c>
      <c r="Q3807" s="15" t="s">
        <v>1089</v>
      </c>
      <c r="R3807" s="16" t="s">
        <v>23686</v>
      </c>
      <c r="S3807" s="15" t="s">
        <v>23687</v>
      </c>
      <c r="T3807" s="15" t="s">
        <v>23688</v>
      </c>
      <c r="U3807" s="21" t="s">
        <v>72</v>
      </c>
    </row>
    <row r="3808" customFormat="false" ht="15" hidden="false" customHeight="false" outlineLevel="0" collapsed="false">
      <c r="A3808" s="15" t="s">
        <v>23371</v>
      </c>
      <c r="B3808" s="15" t="s">
        <v>23646</v>
      </c>
      <c r="C3808" s="14" t="s">
        <v>23689</v>
      </c>
      <c r="D3808" s="14" t="s">
        <v>23690</v>
      </c>
      <c r="E3808" s="16" t="s">
        <v>23691</v>
      </c>
      <c r="F3808" s="16" t="s">
        <v>23692</v>
      </c>
      <c r="G3808" s="23" t="s">
        <v>43</v>
      </c>
      <c r="H3808" s="18" t="n">
        <v>2</v>
      </c>
      <c r="I3808" s="20" t="n">
        <v>63.36</v>
      </c>
      <c r="J3808" s="20" t="n">
        <v>170.36</v>
      </c>
      <c r="K3808" s="18" t="n">
        <v>2</v>
      </c>
      <c r="L3808" s="18" t="n">
        <v>1</v>
      </c>
      <c r="M3808" s="18" t="n">
        <v>30</v>
      </c>
      <c r="N3808" s="18" t="n">
        <v>30</v>
      </c>
      <c r="O3808" s="14" t="s">
        <v>1088</v>
      </c>
      <c r="P3808" s="14" t="s">
        <v>84</v>
      </c>
      <c r="Q3808" s="15" t="s">
        <v>1089</v>
      </c>
      <c r="R3808" s="16" t="s">
        <v>4344</v>
      </c>
      <c r="S3808" s="15" t="s">
        <v>23693</v>
      </c>
      <c r="T3808" s="15" t="s">
        <v>23693</v>
      </c>
      <c r="U3808" s="21" t="s">
        <v>72</v>
      </c>
    </row>
    <row r="3809" customFormat="false" ht="15" hidden="false" customHeight="false" outlineLevel="0" collapsed="false">
      <c r="A3809" s="15" t="s">
        <v>23371</v>
      </c>
      <c r="B3809" s="15" t="s">
        <v>23646</v>
      </c>
      <c r="C3809" s="14" t="s">
        <v>23694</v>
      </c>
      <c r="D3809" s="14" t="s">
        <v>23695</v>
      </c>
      <c r="E3809" s="16" t="s">
        <v>23696</v>
      </c>
      <c r="F3809" s="16" t="s">
        <v>23697</v>
      </c>
      <c r="G3809" s="23" t="s">
        <v>43</v>
      </c>
      <c r="H3809" s="18" t="n">
        <v>1</v>
      </c>
      <c r="I3809" s="20" t="n">
        <v>35</v>
      </c>
      <c r="J3809" s="20" t="n">
        <v>109.2</v>
      </c>
      <c r="K3809" s="18" t="n">
        <v>1</v>
      </c>
      <c r="L3809" s="18" t="n">
        <v>7</v>
      </c>
      <c r="M3809" s="18" t="n">
        <v>15</v>
      </c>
      <c r="N3809" s="18" t="n">
        <v>15</v>
      </c>
      <c r="O3809" s="14" t="s">
        <v>1088</v>
      </c>
      <c r="P3809" s="14" t="s">
        <v>84</v>
      </c>
      <c r="Q3809" s="15" t="s">
        <v>1089</v>
      </c>
      <c r="R3809" s="16" t="s">
        <v>23698</v>
      </c>
      <c r="S3809" s="15" t="s">
        <v>23699</v>
      </c>
      <c r="T3809" s="15" t="s">
        <v>23699</v>
      </c>
      <c r="U3809" s="21" t="s">
        <v>72</v>
      </c>
    </row>
    <row r="3810" customFormat="false" ht="15" hidden="false" customHeight="false" outlineLevel="0" collapsed="false">
      <c r="A3810" s="15" t="s">
        <v>23371</v>
      </c>
      <c r="B3810" s="15" t="s">
        <v>23646</v>
      </c>
      <c r="C3810" s="14" t="s">
        <v>23700</v>
      </c>
      <c r="D3810" s="14" t="s">
        <v>23701</v>
      </c>
      <c r="E3810" s="16" t="s">
        <v>23702</v>
      </c>
      <c r="F3810" s="16" t="s">
        <v>23703</v>
      </c>
      <c r="G3810" s="23" t="s">
        <v>43</v>
      </c>
      <c r="H3810" s="18" t="n">
        <v>2</v>
      </c>
      <c r="I3810" s="20" t="n">
        <v>76</v>
      </c>
      <c r="J3810" s="20" t="n">
        <v>170</v>
      </c>
      <c r="K3810" s="18" t="n">
        <v>1</v>
      </c>
      <c r="L3810" s="18" t="n">
        <v>3</v>
      </c>
      <c r="M3810" s="18" t="n">
        <v>50</v>
      </c>
      <c r="N3810" s="18" t="n">
        <v>50</v>
      </c>
      <c r="O3810" s="14" t="s">
        <v>1126</v>
      </c>
      <c r="P3810" s="14" t="s">
        <v>84</v>
      </c>
      <c r="Q3810" s="15" t="s">
        <v>1089</v>
      </c>
      <c r="R3810" s="16" t="s">
        <v>10974</v>
      </c>
      <c r="S3810" s="15" t="s">
        <v>23704</v>
      </c>
      <c r="T3810" s="15" t="s">
        <v>23704</v>
      </c>
      <c r="U3810" s="21" t="s">
        <v>72</v>
      </c>
    </row>
    <row r="3811" customFormat="false" ht="15" hidden="false" customHeight="false" outlineLevel="0" collapsed="false">
      <c r="A3811" s="15" t="s">
        <v>23371</v>
      </c>
      <c r="B3811" s="15" t="s">
        <v>23646</v>
      </c>
      <c r="C3811" s="14" t="s">
        <v>23705</v>
      </c>
      <c r="D3811" s="14" t="s">
        <v>23706</v>
      </c>
      <c r="E3811" s="16" t="s">
        <v>23707</v>
      </c>
      <c r="F3811" s="16"/>
      <c r="G3811" s="23" t="s">
        <v>43</v>
      </c>
      <c r="H3811" s="18" t="n">
        <v>2</v>
      </c>
      <c r="I3811" s="20" t="n">
        <v>65</v>
      </c>
      <c r="J3811" s="20" t="n">
        <v>115</v>
      </c>
      <c r="K3811" s="18" t="n">
        <v>2</v>
      </c>
      <c r="L3811" s="18" t="n">
        <v>3</v>
      </c>
      <c r="M3811" s="18" t="n">
        <v>44</v>
      </c>
      <c r="N3811" s="18" t="n">
        <v>44</v>
      </c>
      <c r="O3811" s="14" t="s">
        <v>1126</v>
      </c>
      <c r="P3811" s="14" t="s">
        <v>84</v>
      </c>
      <c r="Q3811" s="15" t="s">
        <v>1089</v>
      </c>
      <c r="R3811" s="16" t="s">
        <v>10974</v>
      </c>
      <c r="S3811" s="15" t="s">
        <v>23708</v>
      </c>
      <c r="T3811" s="15" t="s">
        <v>9865</v>
      </c>
      <c r="U3811" s="21" t="s">
        <v>72</v>
      </c>
    </row>
    <row r="3812" customFormat="false" ht="15" hidden="false" customHeight="false" outlineLevel="0" collapsed="false">
      <c r="A3812" s="15" t="s">
        <v>23371</v>
      </c>
      <c r="B3812" s="15" t="s">
        <v>23709</v>
      </c>
      <c r="C3812" s="14" t="s">
        <v>23710</v>
      </c>
      <c r="D3812" s="14" t="s">
        <v>23711</v>
      </c>
      <c r="E3812" s="16" t="s">
        <v>23712</v>
      </c>
      <c r="F3812" s="16" t="s">
        <v>1595</v>
      </c>
      <c r="G3812" s="23" t="s">
        <v>43</v>
      </c>
      <c r="H3812" s="18" t="n">
        <v>2</v>
      </c>
      <c r="I3812" s="20" t="n">
        <v>44</v>
      </c>
      <c r="J3812" s="20" t="n">
        <v>85</v>
      </c>
      <c r="K3812" s="18" t="n">
        <v>2</v>
      </c>
      <c r="L3812" s="18" t="n">
        <v>4</v>
      </c>
      <c r="M3812" s="18" t="n">
        <v>40</v>
      </c>
      <c r="N3812" s="18" t="n">
        <v>40</v>
      </c>
      <c r="O3812" s="14" t="s">
        <v>1088</v>
      </c>
      <c r="P3812" s="14" t="s">
        <v>84</v>
      </c>
      <c r="Q3812" s="15" t="s">
        <v>1089</v>
      </c>
      <c r="R3812" s="16" t="s">
        <v>23713</v>
      </c>
      <c r="S3812" s="15" t="s">
        <v>1597</v>
      </c>
      <c r="T3812" s="15" t="s">
        <v>23714</v>
      </c>
      <c r="U3812" s="21" t="s">
        <v>72</v>
      </c>
    </row>
    <row r="3813" customFormat="false" ht="15" hidden="false" customHeight="false" outlineLevel="0" collapsed="false">
      <c r="A3813" s="15" t="s">
        <v>23371</v>
      </c>
      <c r="B3813" s="15" t="s">
        <v>23709</v>
      </c>
      <c r="C3813" s="14" t="s">
        <v>23715</v>
      </c>
      <c r="D3813" s="14" t="s">
        <v>23716</v>
      </c>
      <c r="E3813" s="16" t="s">
        <v>23717</v>
      </c>
      <c r="F3813" s="16" t="s">
        <v>23718</v>
      </c>
      <c r="G3813" s="19" t="s">
        <v>41</v>
      </c>
      <c r="H3813" s="18" t="n">
        <v>6</v>
      </c>
      <c r="I3813" s="20" t="n">
        <v>162.83</v>
      </c>
      <c r="J3813" s="20" t="n">
        <v>397.75</v>
      </c>
      <c r="K3813" s="18" t="n">
        <v>32</v>
      </c>
      <c r="L3813" s="18" t="n">
        <v>7</v>
      </c>
      <c r="M3813" s="18" t="n">
        <v>704</v>
      </c>
      <c r="N3813" s="18" t="n">
        <v>132</v>
      </c>
      <c r="O3813" s="14" t="s">
        <v>1126</v>
      </c>
      <c r="P3813" s="14" t="s">
        <v>84</v>
      </c>
      <c r="Q3813" s="15" t="s">
        <v>1089</v>
      </c>
      <c r="R3813" s="16" t="s">
        <v>23719</v>
      </c>
      <c r="S3813" s="15" t="s">
        <v>23720</v>
      </c>
      <c r="T3813" s="15" t="s">
        <v>23721</v>
      </c>
      <c r="U3813" s="21" t="s">
        <v>72</v>
      </c>
    </row>
    <row r="3814" customFormat="false" ht="15" hidden="false" customHeight="false" outlineLevel="0" collapsed="false">
      <c r="A3814" s="15" t="s">
        <v>23371</v>
      </c>
      <c r="B3814" s="15" t="s">
        <v>23709</v>
      </c>
      <c r="C3814" s="14" t="s">
        <v>23722</v>
      </c>
      <c r="D3814" s="14" t="s">
        <v>23723</v>
      </c>
      <c r="E3814" s="16" t="s">
        <v>23724</v>
      </c>
      <c r="F3814" s="16"/>
      <c r="G3814" s="23" t="s">
        <v>43</v>
      </c>
      <c r="H3814" s="18" t="n">
        <v>2</v>
      </c>
      <c r="I3814" s="20" t="n">
        <v>45.69</v>
      </c>
      <c r="J3814" s="20" t="n">
        <v>96.62</v>
      </c>
      <c r="K3814" s="18" t="n">
        <v>10</v>
      </c>
      <c r="L3814" s="18" t="n">
        <v>2</v>
      </c>
      <c r="M3814" s="18" t="n">
        <v>200</v>
      </c>
      <c r="N3814" s="18" t="n">
        <v>40</v>
      </c>
      <c r="O3814" s="14" t="s">
        <v>1126</v>
      </c>
      <c r="P3814" s="14" t="s">
        <v>84</v>
      </c>
      <c r="Q3814" s="15" t="s">
        <v>1089</v>
      </c>
      <c r="R3814" s="16" t="s">
        <v>23725</v>
      </c>
      <c r="S3814" s="15" t="s">
        <v>23726</v>
      </c>
      <c r="T3814" s="15" t="s">
        <v>23726</v>
      </c>
      <c r="U3814" s="21" t="s">
        <v>72</v>
      </c>
    </row>
    <row r="3815" customFormat="false" ht="15" hidden="false" customHeight="false" outlineLevel="0" collapsed="false">
      <c r="A3815" s="15" t="s">
        <v>23371</v>
      </c>
      <c r="B3815" s="15" t="s">
        <v>23709</v>
      </c>
      <c r="C3815" s="14" t="s">
        <v>23727</v>
      </c>
      <c r="D3815" s="14" t="s">
        <v>23728</v>
      </c>
      <c r="E3815" s="16" t="s">
        <v>23729</v>
      </c>
      <c r="F3815" s="16"/>
      <c r="G3815" s="23" t="s">
        <v>43</v>
      </c>
      <c r="H3815" s="18" t="n">
        <v>2</v>
      </c>
      <c r="I3815" s="20" t="n">
        <v>36.4</v>
      </c>
      <c r="J3815" s="20" t="n">
        <v>76</v>
      </c>
      <c r="K3815" s="18" t="n">
        <v>2</v>
      </c>
      <c r="L3815" s="18" t="n">
        <v>1</v>
      </c>
      <c r="M3815" s="18" t="n">
        <v>40</v>
      </c>
      <c r="N3815" s="18" t="n">
        <v>20</v>
      </c>
      <c r="O3815" s="14" t="s">
        <v>1126</v>
      </c>
      <c r="P3815" s="14" t="s">
        <v>118</v>
      </c>
      <c r="Q3815" s="15" t="s">
        <v>1089</v>
      </c>
      <c r="R3815" s="16" t="s">
        <v>23291</v>
      </c>
      <c r="S3815" s="15" t="s">
        <v>23730</v>
      </c>
      <c r="T3815" s="15" t="s">
        <v>23730</v>
      </c>
      <c r="U3815" s="21" t="s">
        <v>72</v>
      </c>
    </row>
    <row r="3816" customFormat="false" ht="15" hidden="false" customHeight="false" outlineLevel="0" collapsed="false">
      <c r="A3816" s="15" t="s">
        <v>23371</v>
      </c>
      <c r="B3816" s="15" t="s">
        <v>23709</v>
      </c>
      <c r="C3816" s="14" t="s">
        <v>23731</v>
      </c>
      <c r="D3816" s="14" t="s">
        <v>23732</v>
      </c>
      <c r="E3816" s="16" t="s">
        <v>23733</v>
      </c>
      <c r="F3816" s="16"/>
      <c r="G3816" s="23" t="s">
        <v>43</v>
      </c>
      <c r="H3816" s="18" t="n">
        <v>4</v>
      </c>
      <c r="I3816" s="20" t="n">
        <v>62.32</v>
      </c>
      <c r="J3816" s="20" t="n">
        <v>146.88</v>
      </c>
      <c r="K3816" s="18" t="n">
        <v>26</v>
      </c>
      <c r="L3816" s="18" t="n">
        <v>1</v>
      </c>
      <c r="M3816" s="18" t="n">
        <v>325</v>
      </c>
      <c r="N3816" s="18" t="n">
        <v>143</v>
      </c>
      <c r="O3816" s="14" t="s">
        <v>9118</v>
      </c>
      <c r="P3816" s="14" t="s">
        <v>84</v>
      </c>
      <c r="Q3816" s="15" t="s">
        <v>1089</v>
      </c>
      <c r="R3816" s="16" t="s">
        <v>20408</v>
      </c>
      <c r="S3816" s="15" t="s">
        <v>1979</v>
      </c>
      <c r="T3816" s="15" t="s">
        <v>23734</v>
      </c>
      <c r="U3816" s="21" t="s">
        <v>72</v>
      </c>
    </row>
    <row r="3817" customFormat="false" ht="15" hidden="false" customHeight="false" outlineLevel="0" collapsed="false">
      <c r="A3817" s="15" t="s">
        <v>23371</v>
      </c>
      <c r="B3817" s="15" t="s">
        <v>23709</v>
      </c>
      <c r="C3817" s="14" t="s">
        <v>23735</v>
      </c>
      <c r="D3817" s="14" t="s">
        <v>23736</v>
      </c>
      <c r="E3817" s="16" t="s">
        <v>23737</v>
      </c>
      <c r="F3817" s="16"/>
      <c r="G3817" s="23" t="s">
        <v>43</v>
      </c>
      <c r="H3817" s="18" t="n">
        <v>2</v>
      </c>
      <c r="I3817" s="20" t="n">
        <v>62.68</v>
      </c>
      <c r="J3817" s="20" t="n">
        <v>167.44</v>
      </c>
      <c r="K3817" s="18" t="n">
        <v>8</v>
      </c>
      <c r="L3817" s="18" t="n">
        <v>3</v>
      </c>
      <c r="M3817" s="18" t="n">
        <v>160</v>
      </c>
      <c r="N3817" s="18" t="n">
        <v>60</v>
      </c>
      <c r="O3817" s="14" t="s">
        <v>1088</v>
      </c>
      <c r="P3817" s="14" t="s">
        <v>84</v>
      </c>
      <c r="Q3817" s="15" t="s">
        <v>1089</v>
      </c>
      <c r="R3817" s="16" t="s">
        <v>23738</v>
      </c>
      <c r="S3817" s="15" t="s">
        <v>23739</v>
      </c>
      <c r="T3817" s="15" t="s">
        <v>23739</v>
      </c>
      <c r="U3817" s="21" t="s">
        <v>72</v>
      </c>
    </row>
    <row r="3818" customFormat="false" ht="15" hidden="false" customHeight="false" outlineLevel="0" collapsed="false">
      <c r="A3818" s="15" t="s">
        <v>23371</v>
      </c>
      <c r="B3818" s="15" t="s">
        <v>23709</v>
      </c>
      <c r="C3818" s="14" t="s">
        <v>23740</v>
      </c>
      <c r="D3818" s="14" t="s">
        <v>23741</v>
      </c>
      <c r="E3818" s="16" t="s">
        <v>23742</v>
      </c>
      <c r="F3818" s="16"/>
      <c r="G3818" s="23" t="s">
        <v>43</v>
      </c>
      <c r="H3818" s="18" t="n">
        <v>3</v>
      </c>
      <c r="I3818" s="20" t="n">
        <v>48.95</v>
      </c>
      <c r="J3818" s="20" t="n">
        <v>76</v>
      </c>
      <c r="K3818" s="18" t="n">
        <v>4</v>
      </c>
      <c r="L3818" s="18" t="n">
        <v>1</v>
      </c>
      <c r="M3818" s="18" t="n">
        <v>60</v>
      </c>
      <c r="N3818" s="18" t="n">
        <v>30</v>
      </c>
      <c r="O3818" s="14" t="s">
        <v>1097</v>
      </c>
      <c r="P3818" s="14" t="s">
        <v>84</v>
      </c>
      <c r="Q3818" s="15" t="s">
        <v>1089</v>
      </c>
      <c r="R3818" s="16" t="s">
        <v>23056</v>
      </c>
      <c r="S3818" s="15" t="s">
        <v>23743</v>
      </c>
      <c r="T3818" s="15" t="s">
        <v>23743</v>
      </c>
      <c r="U3818" s="21" t="s">
        <v>72</v>
      </c>
    </row>
    <row r="3819" customFormat="false" ht="15" hidden="false" customHeight="false" outlineLevel="0" collapsed="false">
      <c r="A3819" s="15" t="s">
        <v>23371</v>
      </c>
      <c r="B3819" s="15" t="s">
        <v>23709</v>
      </c>
      <c r="C3819" s="14" t="s">
        <v>23744</v>
      </c>
      <c r="D3819" s="14" t="s">
        <v>23745</v>
      </c>
      <c r="E3819" s="16" t="s">
        <v>23746</v>
      </c>
      <c r="F3819" s="16"/>
      <c r="G3819" s="23" t="s">
        <v>43</v>
      </c>
      <c r="H3819" s="18" t="n">
        <v>1</v>
      </c>
      <c r="I3819" s="20" t="n">
        <v>36</v>
      </c>
      <c r="J3819" s="20" t="n">
        <v>106</v>
      </c>
      <c r="K3819" s="18" t="n">
        <v>2</v>
      </c>
      <c r="L3819" s="18" t="n">
        <v>3</v>
      </c>
      <c r="M3819" s="18" t="n">
        <v>50</v>
      </c>
      <c r="N3819" s="18" t="n">
        <v>20</v>
      </c>
      <c r="O3819" s="14" t="s">
        <v>1126</v>
      </c>
      <c r="P3819" s="14" t="s">
        <v>118</v>
      </c>
      <c r="Q3819" s="15" t="s">
        <v>1089</v>
      </c>
      <c r="R3819" s="16" t="s">
        <v>23747</v>
      </c>
      <c r="S3819" s="15" t="s">
        <v>23748</v>
      </c>
      <c r="T3819" s="15" t="s">
        <v>23748</v>
      </c>
      <c r="U3819" s="21" t="s">
        <v>72</v>
      </c>
    </row>
    <row r="3820" customFormat="false" ht="15" hidden="false" customHeight="false" outlineLevel="0" collapsed="false">
      <c r="A3820" s="15" t="s">
        <v>23371</v>
      </c>
      <c r="B3820" s="15" t="s">
        <v>23709</v>
      </c>
      <c r="C3820" s="14" t="s">
        <v>23749</v>
      </c>
      <c r="D3820" s="14" t="s">
        <v>23750</v>
      </c>
      <c r="E3820" s="16" t="s">
        <v>23751</v>
      </c>
      <c r="F3820" s="16" t="s">
        <v>23752</v>
      </c>
      <c r="G3820" s="23" t="s">
        <v>43</v>
      </c>
      <c r="H3820" s="18" t="n">
        <v>3</v>
      </c>
      <c r="I3820" s="20" t="n">
        <v>77.14</v>
      </c>
      <c r="J3820" s="20" t="n">
        <v>198.19</v>
      </c>
      <c r="K3820" s="18" t="n">
        <v>5</v>
      </c>
      <c r="L3820" s="18" t="n">
        <v>7</v>
      </c>
      <c r="M3820" s="18" t="n">
        <v>81</v>
      </c>
      <c r="N3820" s="18" t="n">
        <v>81</v>
      </c>
      <c r="O3820" s="14" t="s">
        <v>1126</v>
      </c>
      <c r="P3820" s="14" t="s">
        <v>84</v>
      </c>
      <c r="Q3820" s="15" t="s">
        <v>1089</v>
      </c>
      <c r="R3820" s="16" t="s">
        <v>23753</v>
      </c>
      <c r="S3820" s="15" t="s">
        <v>23477</v>
      </c>
      <c r="T3820" s="15" t="s">
        <v>23754</v>
      </c>
      <c r="U3820" s="21" t="s">
        <v>72</v>
      </c>
    </row>
    <row r="3821" customFormat="false" ht="15" hidden="false" customHeight="false" outlineLevel="0" collapsed="false">
      <c r="A3821" s="15" t="s">
        <v>23371</v>
      </c>
      <c r="B3821" s="15" t="s">
        <v>23709</v>
      </c>
      <c r="C3821" s="14" t="s">
        <v>23755</v>
      </c>
      <c r="D3821" s="14" t="s">
        <v>23756</v>
      </c>
      <c r="E3821" s="16" t="s">
        <v>23757</v>
      </c>
      <c r="F3821" s="16" t="s">
        <v>23758</v>
      </c>
      <c r="G3821" s="23" t="s">
        <v>43</v>
      </c>
      <c r="H3821" s="18" t="n">
        <v>4</v>
      </c>
      <c r="I3821" s="20" t="n">
        <v>91.49</v>
      </c>
      <c r="J3821" s="20" t="n">
        <v>175.14</v>
      </c>
      <c r="K3821" s="18" t="n">
        <v>15</v>
      </c>
      <c r="L3821" s="18" t="n">
        <v>3</v>
      </c>
      <c r="M3821" s="18" t="n">
        <v>243</v>
      </c>
      <c r="N3821" s="18" t="n">
        <v>43</v>
      </c>
      <c r="O3821" s="14" t="s">
        <v>9118</v>
      </c>
      <c r="P3821" s="14" t="s">
        <v>118</v>
      </c>
      <c r="Q3821" s="15" t="s">
        <v>1089</v>
      </c>
      <c r="R3821" s="16" t="s">
        <v>23759</v>
      </c>
      <c r="S3821" s="15" t="s">
        <v>23760</v>
      </c>
      <c r="T3821" s="15" t="s">
        <v>23760</v>
      </c>
      <c r="U3821" s="21" t="s">
        <v>72</v>
      </c>
    </row>
    <row r="3822" customFormat="false" ht="15" hidden="false" customHeight="false" outlineLevel="0" collapsed="false">
      <c r="A3822" s="15" t="s">
        <v>23371</v>
      </c>
      <c r="B3822" s="15" t="s">
        <v>23709</v>
      </c>
      <c r="C3822" s="14" t="s">
        <v>23761</v>
      </c>
      <c r="D3822" s="14" t="s">
        <v>23762</v>
      </c>
      <c r="E3822" s="16" t="s">
        <v>23763</v>
      </c>
      <c r="F3822" s="16"/>
      <c r="G3822" s="23" t="s">
        <v>43</v>
      </c>
      <c r="H3822" s="18" t="n">
        <v>3</v>
      </c>
      <c r="I3822" s="20" t="n">
        <v>57.45</v>
      </c>
      <c r="J3822" s="20" t="n">
        <v>130.8</v>
      </c>
      <c r="K3822" s="18" t="n">
        <v>2</v>
      </c>
      <c r="L3822" s="18" t="n">
        <v>3</v>
      </c>
      <c r="M3822" s="18" t="n">
        <v>40</v>
      </c>
      <c r="N3822" s="18" t="n">
        <v>40</v>
      </c>
      <c r="O3822" s="14" t="s">
        <v>1126</v>
      </c>
      <c r="P3822" s="14" t="s">
        <v>84</v>
      </c>
      <c r="Q3822" s="15" t="s">
        <v>1089</v>
      </c>
      <c r="R3822" s="16" t="s">
        <v>23764</v>
      </c>
      <c r="S3822" s="15" t="s">
        <v>23765</v>
      </c>
      <c r="T3822" s="15" t="s">
        <v>23766</v>
      </c>
      <c r="U3822" s="21" t="s">
        <v>72</v>
      </c>
    </row>
    <row r="3823" customFormat="false" ht="15" hidden="false" customHeight="false" outlineLevel="0" collapsed="false">
      <c r="A3823" s="15" t="s">
        <v>23371</v>
      </c>
      <c r="B3823" s="15" t="s">
        <v>23709</v>
      </c>
      <c r="C3823" s="14" t="s">
        <v>23767</v>
      </c>
      <c r="D3823" s="14" t="s">
        <v>23768</v>
      </c>
      <c r="E3823" s="16" t="s">
        <v>23769</v>
      </c>
      <c r="F3823" s="16" t="s">
        <v>23770</v>
      </c>
      <c r="G3823" s="19" t="s">
        <v>41</v>
      </c>
      <c r="H3823" s="18" t="n">
        <v>4</v>
      </c>
      <c r="I3823" s="20" t="n">
        <v>117.5</v>
      </c>
      <c r="J3823" s="20" t="n">
        <v>275</v>
      </c>
      <c r="K3823" s="18" t="n">
        <v>8</v>
      </c>
      <c r="L3823" s="18" t="n">
        <v>5</v>
      </c>
      <c r="M3823" s="18" t="n">
        <v>120</v>
      </c>
      <c r="N3823" s="18" t="n">
        <v>120</v>
      </c>
      <c r="O3823" s="14" t="s">
        <v>1126</v>
      </c>
      <c r="P3823" s="14" t="s">
        <v>84</v>
      </c>
      <c r="Q3823" s="15" t="s">
        <v>1089</v>
      </c>
      <c r="R3823" s="16" t="s">
        <v>19007</v>
      </c>
      <c r="S3823" s="15" t="s">
        <v>23771</v>
      </c>
      <c r="T3823" s="15" t="s">
        <v>23772</v>
      </c>
      <c r="U3823" s="21" t="s">
        <v>72</v>
      </c>
    </row>
    <row r="3824" customFormat="false" ht="15" hidden="false" customHeight="false" outlineLevel="0" collapsed="false">
      <c r="A3824" s="15" t="s">
        <v>23371</v>
      </c>
      <c r="B3824" s="15" t="s">
        <v>23709</v>
      </c>
      <c r="C3824" s="14" t="s">
        <v>23773</v>
      </c>
      <c r="D3824" s="14" t="s">
        <v>23774</v>
      </c>
      <c r="E3824" s="16" t="s">
        <v>23775</v>
      </c>
      <c r="F3824" s="16" t="s">
        <v>23776</v>
      </c>
      <c r="G3824" s="23" t="s">
        <v>43</v>
      </c>
      <c r="H3824" s="18" t="n">
        <v>2</v>
      </c>
      <c r="I3824" s="20" t="n">
        <v>38.5</v>
      </c>
      <c r="J3824" s="20" t="n">
        <v>82</v>
      </c>
      <c r="K3824" s="18" t="n">
        <v>1</v>
      </c>
      <c r="L3824" s="18" t="n">
        <v>1</v>
      </c>
      <c r="M3824" s="18" t="n">
        <v>20</v>
      </c>
      <c r="N3824" s="18" t="n">
        <v>20</v>
      </c>
      <c r="O3824" s="14" t="s">
        <v>1126</v>
      </c>
      <c r="P3824" s="14" t="s">
        <v>84</v>
      </c>
      <c r="Q3824" s="15" t="s">
        <v>1089</v>
      </c>
      <c r="R3824" s="16" t="s">
        <v>23777</v>
      </c>
      <c r="S3824" s="15" t="s">
        <v>23778</v>
      </c>
      <c r="T3824" s="15" t="s">
        <v>23778</v>
      </c>
      <c r="U3824" s="21" t="s">
        <v>72</v>
      </c>
    </row>
    <row r="3825" customFormat="false" ht="15" hidden="false" customHeight="false" outlineLevel="0" collapsed="false">
      <c r="A3825" s="15" t="s">
        <v>23371</v>
      </c>
      <c r="B3825" s="15" t="s">
        <v>23709</v>
      </c>
      <c r="C3825" s="14" t="s">
        <v>23779</v>
      </c>
      <c r="D3825" s="14" t="s">
        <v>23780</v>
      </c>
      <c r="E3825" s="16" t="s">
        <v>23781</v>
      </c>
      <c r="F3825" s="16" t="s">
        <v>23782</v>
      </c>
      <c r="G3825" s="23" t="s">
        <v>43</v>
      </c>
      <c r="H3825" s="18" t="n">
        <v>2</v>
      </c>
      <c r="I3825" s="20" t="n">
        <v>64</v>
      </c>
      <c r="J3825" s="20" t="n">
        <v>185</v>
      </c>
      <c r="K3825" s="18" t="n">
        <v>2</v>
      </c>
      <c r="L3825" s="18" t="n">
        <v>2</v>
      </c>
      <c r="M3825" s="18" t="n">
        <v>40</v>
      </c>
      <c r="N3825" s="18" t="n">
        <v>40</v>
      </c>
      <c r="O3825" s="14" t="s">
        <v>1126</v>
      </c>
      <c r="P3825" s="14" t="s">
        <v>84</v>
      </c>
      <c r="Q3825" s="15" t="s">
        <v>1089</v>
      </c>
      <c r="R3825" s="16" t="s">
        <v>23783</v>
      </c>
      <c r="S3825" s="15" t="s">
        <v>23784</v>
      </c>
      <c r="T3825" s="15" t="s">
        <v>23784</v>
      </c>
      <c r="U3825" s="21" t="s">
        <v>72</v>
      </c>
    </row>
    <row r="3826" customFormat="false" ht="15" hidden="false" customHeight="false" outlineLevel="0" collapsed="false">
      <c r="A3826" s="15" t="s">
        <v>23371</v>
      </c>
      <c r="B3826" s="15" t="s">
        <v>23709</v>
      </c>
      <c r="C3826" s="14" t="s">
        <v>23785</v>
      </c>
      <c r="D3826" s="14" t="s">
        <v>23786</v>
      </c>
      <c r="E3826" s="16" t="s">
        <v>23787</v>
      </c>
      <c r="F3826" s="16" t="s">
        <v>23788</v>
      </c>
      <c r="G3826" s="23" t="s">
        <v>43</v>
      </c>
      <c r="H3826" s="18" t="n">
        <v>2</v>
      </c>
      <c r="I3826" s="20" t="n">
        <v>35.7</v>
      </c>
      <c r="J3826" s="20" t="n">
        <v>81</v>
      </c>
      <c r="K3826" s="18" t="n">
        <v>2</v>
      </c>
      <c r="L3826" s="18" t="n">
        <v>5</v>
      </c>
      <c r="M3826" s="18" t="n">
        <v>40</v>
      </c>
      <c r="N3826" s="18" t="n">
        <v>40</v>
      </c>
      <c r="O3826" s="14" t="s">
        <v>1088</v>
      </c>
      <c r="P3826" s="14" t="s">
        <v>84</v>
      </c>
      <c r="Q3826" s="15" t="s">
        <v>1089</v>
      </c>
      <c r="R3826" s="16" t="s">
        <v>23789</v>
      </c>
      <c r="S3826" s="15" t="s">
        <v>23790</v>
      </c>
      <c r="T3826" s="15" t="s">
        <v>23790</v>
      </c>
      <c r="U3826" s="21" t="s">
        <v>72</v>
      </c>
    </row>
    <row r="3827" customFormat="false" ht="15" hidden="false" customHeight="false" outlineLevel="0" collapsed="false">
      <c r="A3827" s="15" t="s">
        <v>23371</v>
      </c>
      <c r="B3827" s="15" t="s">
        <v>23709</v>
      </c>
      <c r="C3827" s="14" t="s">
        <v>23791</v>
      </c>
      <c r="D3827" s="14" t="s">
        <v>23792</v>
      </c>
      <c r="E3827" s="16" t="s">
        <v>23793</v>
      </c>
      <c r="F3827" s="16" t="s">
        <v>23794</v>
      </c>
      <c r="G3827" s="23" t="s">
        <v>43</v>
      </c>
      <c r="H3827" s="18" t="n">
        <v>2</v>
      </c>
      <c r="I3827" s="20" t="n">
        <v>46.4</v>
      </c>
      <c r="J3827" s="20" t="n">
        <v>85.2</v>
      </c>
      <c r="K3827" s="18" t="n">
        <v>1</v>
      </c>
      <c r="L3827" s="18" t="n">
        <v>1</v>
      </c>
      <c r="M3827" s="18" t="n">
        <v>20</v>
      </c>
      <c r="N3827" s="18" t="n">
        <v>20</v>
      </c>
      <c r="O3827" s="14" t="s">
        <v>1126</v>
      </c>
      <c r="P3827" s="14" t="s">
        <v>84</v>
      </c>
      <c r="Q3827" s="15" t="s">
        <v>1089</v>
      </c>
      <c r="R3827" s="16" t="s">
        <v>2315</v>
      </c>
      <c r="S3827" s="15" t="s">
        <v>23795</v>
      </c>
      <c r="T3827" s="15" t="s">
        <v>23796</v>
      </c>
      <c r="U3827" s="21" t="s">
        <v>72</v>
      </c>
    </row>
    <row r="3828" customFormat="false" ht="15" hidden="false" customHeight="false" outlineLevel="0" collapsed="false">
      <c r="A3828" s="15" t="s">
        <v>23371</v>
      </c>
      <c r="B3828" s="15" t="s">
        <v>23709</v>
      </c>
      <c r="C3828" s="14" t="s">
        <v>23797</v>
      </c>
      <c r="D3828" s="14" t="s">
        <v>23798</v>
      </c>
      <c r="E3828" s="16" t="s">
        <v>23799</v>
      </c>
      <c r="F3828" s="16" t="s">
        <v>23800</v>
      </c>
      <c r="G3828" s="23" t="s">
        <v>43</v>
      </c>
      <c r="H3828" s="18" t="n">
        <v>1</v>
      </c>
      <c r="I3828" s="20" t="n">
        <v>52.9</v>
      </c>
      <c r="J3828" s="20" t="n">
        <v>125.14</v>
      </c>
      <c r="K3828" s="18" t="n">
        <v>2</v>
      </c>
      <c r="L3828" s="18" t="n">
        <v>2</v>
      </c>
      <c r="M3828" s="18" t="n">
        <v>60</v>
      </c>
      <c r="N3828" s="18" t="n">
        <v>60</v>
      </c>
      <c r="O3828" s="14" t="s">
        <v>1126</v>
      </c>
      <c r="P3828" s="14" t="s">
        <v>84</v>
      </c>
      <c r="Q3828" s="15" t="s">
        <v>1089</v>
      </c>
      <c r="R3828" s="16" t="s">
        <v>17628</v>
      </c>
      <c r="S3828" s="15" t="s">
        <v>23801</v>
      </c>
      <c r="T3828" s="15" t="s">
        <v>23802</v>
      </c>
      <c r="U3828" s="21" t="s">
        <v>72</v>
      </c>
    </row>
    <row r="3829" customFormat="false" ht="15" hidden="false" customHeight="false" outlineLevel="0" collapsed="false">
      <c r="A3829" s="15" t="s">
        <v>23371</v>
      </c>
      <c r="B3829" s="15" t="s">
        <v>23709</v>
      </c>
      <c r="C3829" s="14" t="s">
        <v>23803</v>
      </c>
      <c r="D3829" s="14" t="s">
        <v>23804</v>
      </c>
      <c r="E3829" s="16" t="s">
        <v>23805</v>
      </c>
      <c r="F3829" s="16"/>
      <c r="G3829" s="23" t="s">
        <v>43</v>
      </c>
      <c r="H3829" s="18" t="n">
        <v>2</v>
      </c>
      <c r="I3829" s="20" t="n">
        <v>57.38</v>
      </c>
      <c r="J3829" s="20" t="n">
        <v>114.6</v>
      </c>
      <c r="K3829" s="18" t="n">
        <v>2</v>
      </c>
      <c r="L3829" s="18" t="n">
        <v>1</v>
      </c>
      <c r="M3829" s="18" t="n">
        <v>60</v>
      </c>
      <c r="N3829" s="18" t="n">
        <v>30</v>
      </c>
      <c r="O3829" s="14" t="s">
        <v>1088</v>
      </c>
      <c r="P3829" s="14" t="s">
        <v>118</v>
      </c>
      <c r="Q3829" s="15" t="s">
        <v>1089</v>
      </c>
      <c r="R3829" s="16" t="s">
        <v>15190</v>
      </c>
      <c r="S3829" s="15" t="s">
        <v>23806</v>
      </c>
      <c r="T3829" s="15" t="s">
        <v>23806</v>
      </c>
      <c r="U3829" s="21" t="s">
        <v>72</v>
      </c>
    </row>
    <row r="3830" customFormat="false" ht="15" hidden="false" customHeight="false" outlineLevel="0" collapsed="false">
      <c r="A3830" s="15" t="s">
        <v>23371</v>
      </c>
      <c r="B3830" s="15" t="s">
        <v>23709</v>
      </c>
      <c r="C3830" s="14" t="s">
        <v>23807</v>
      </c>
      <c r="D3830" s="14" t="s">
        <v>23808</v>
      </c>
      <c r="E3830" s="16" t="s">
        <v>23809</v>
      </c>
      <c r="F3830" s="16" t="s">
        <v>23810</v>
      </c>
      <c r="G3830" s="23" t="s">
        <v>43</v>
      </c>
      <c r="H3830" s="18" t="n">
        <v>1</v>
      </c>
      <c r="I3830" s="20" t="n">
        <v>30.3</v>
      </c>
      <c r="J3830" s="20" t="n">
        <v>77.18</v>
      </c>
      <c r="K3830" s="18" t="n">
        <v>1</v>
      </c>
      <c r="L3830" s="18" t="n">
        <v>3</v>
      </c>
      <c r="M3830" s="18" t="n">
        <v>24</v>
      </c>
      <c r="N3830" s="18" t="n">
        <v>24</v>
      </c>
      <c r="O3830" s="14" t="s">
        <v>1126</v>
      </c>
      <c r="P3830" s="14" t="s">
        <v>84</v>
      </c>
      <c r="Q3830" s="15" t="s">
        <v>1089</v>
      </c>
      <c r="R3830" s="16" t="s">
        <v>14996</v>
      </c>
      <c r="S3830" s="15" t="s">
        <v>23811</v>
      </c>
      <c r="T3830" s="15" t="s">
        <v>23811</v>
      </c>
      <c r="U3830" s="21" t="s">
        <v>72</v>
      </c>
    </row>
    <row r="3831" customFormat="false" ht="15" hidden="false" customHeight="false" outlineLevel="0" collapsed="false">
      <c r="A3831" s="15" t="s">
        <v>23371</v>
      </c>
      <c r="B3831" s="15" t="s">
        <v>23709</v>
      </c>
      <c r="C3831" s="14" t="s">
        <v>23812</v>
      </c>
      <c r="D3831" s="14" t="s">
        <v>23813</v>
      </c>
      <c r="E3831" s="16" t="s">
        <v>23814</v>
      </c>
      <c r="F3831" s="16" t="s">
        <v>23815</v>
      </c>
      <c r="G3831" s="19" t="s">
        <v>41</v>
      </c>
      <c r="H3831" s="18" t="n">
        <v>4</v>
      </c>
      <c r="I3831" s="20" t="n">
        <v>75</v>
      </c>
      <c r="J3831" s="20" t="n">
        <v>253.86</v>
      </c>
      <c r="K3831" s="18" t="n">
        <v>2</v>
      </c>
      <c r="L3831" s="18" t="n">
        <v>1</v>
      </c>
      <c r="M3831" s="18" t="n">
        <v>62</v>
      </c>
      <c r="N3831" s="18" t="n">
        <v>62</v>
      </c>
      <c r="O3831" s="14" t="s">
        <v>1126</v>
      </c>
      <c r="P3831" s="14" t="s">
        <v>84</v>
      </c>
      <c r="Q3831" s="15" t="s">
        <v>1089</v>
      </c>
      <c r="R3831" s="16" t="s">
        <v>23816</v>
      </c>
      <c r="S3831" s="15" t="s">
        <v>23817</v>
      </c>
      <c r="T3831" s="15" t="s">
        <v>23817</v>
      </c>
      <c r="U3831" s="21" t="s">
        <v>72</v>
      </c>
    </row>
    <row r="3832" customFormat="false" ht="15" hidden="false" customHeight="false" outlineLevel="0" collapsed="false">
      <c r="A3832" s="15" t="s">
        <v>23371</v>
      </c>
      <c r="B3832" s="15" t="s">
        <v>23709</v>
      </c>
      <c r="C3832" s="14" t="s">
        <v>23818</v>
      </c>
      <c r="D3832" s="14" t="s">
        <v>23819</v>
      </c>
      <c r="E3832" s="16" t="s">
        <v>23820</v>
      </c>
      <c r="F3832" s="16" t="s">
        <v>23821</v>
      </c>
      <c r="G3832" s="23" t="s">
        <v>43</v>
      </c>
      <c r="H3832" s="18" t="n">
        <v>2</v>
      </c>
      <c r="I3832" s="20" t="n">
        <v>41.8</v>
      </c>
      <c r="J3832" s="20" t="n">
        <v>71</v>
      </c>
      <c r="K3832" s="18" t="n">
        <v>1</v>
      </c>
      <c r="L3832" s="18" t="n">
        <v>4</v>
      </c>
      <c r="M3832" s="18" t="n">
        <v>20</v>
      </c>
      <c r="N3832" s="18" t="n">
        <v>20</v>
      </c>
      <c r="O3832" s="14" t="s">
        <v>1126</v>
      </c>
      <c r="P3832" s="14" t="s">
        <v>84</v>
      </c>
      <c r="Q3832" s="15" t="s">
        <v>1089</v>
      </c>
      <c r="R3832" s="16" t="s">
        <v>2992</v>
      </c>
      <c r="S3832" s="15" t="s">
        <v>23822</v>
      </c>
      <c r="T3832" s="15" t="s">
        <v>23822</v>
      </c>
      <c r="U3832" s="21" t="s">
        <v>72</v>
      </c>
    </row>
    <row r="3833" customFormat="false" ht="15" hidden="false" customHeight="false" outlineLevel="0" collapsed="false">
      <c r="A3833" s="15" t="s">
        <v>23371</v>
      </c>
      <c r="B3833" s="15" t="s">
        <v>23709</v>
      </c>
      <c r="C3833" s="14" t="s">
        <v>23823</v>
      </c>
      <c r="D3833" s="14" t="s">
        <v>23824</v>
      </c>
      <c r="E3833" s="16" t="s">
        <v>23825</v>
      </c>
      <c r="F3833" s="16" t="s">
        <v>23826</v>
      </c>
      <c r="G3833" s="19" t="s">
        <v>41</v>
      </c>
      <c r="H3833" s="18" t="n">
        <v>5</v>
      </c>
      <c r="I3833" s="20" t="n">
        <v>136.89</v>
      </c>
      <c r="J3833" s="20" t="n">
        <v>182.98</v>
      </c>
      <c r="K3833" s="18" t="n">
        <v>3</v>
      </c>
      <c r="L3833" s="18" t="n">
        <v>2</v>
      </c>
      <c r="M3833" s="18" t="n">
        <v>75</v>
      </c>
      <c r="N3833" s="18" t="n">
        <v>75</v>
      </c>
      <c r="O3833" s="14" t="s">
        <v>1088</v>
      </c>
      <c r="P3833" s="14" t="s">
        <v>84</v>
      </c>
      <c r="Q3833" s="15" t="s">
        <v>1089</v>
      </c>
      <c r="R3833" s="16" t="s">
        <v>23827</v>
      </c>
      <c r="S3833" s="15" t="s">
        <v>23828</v>
      </c>
      <c r="T3833" s="15" t="s">
        <v>23828</v>
      </c>
      <c r="U3833" s="21" t="s">
        <v>72</v>
      </c>
    </row>
    <row r="3834" customFormat="false" ht="15" hidden="false" customHeight="false" outlineLevel="0" collapsed="false">
      <c r="A3834" s="15" t="s">
        <v>23371</v>
      </c>
      <c r="B3834" s="15" t="s">
        <v>23709</v>
      </c>
      <c r="C3834" s="14" t="s">
        <v>23829</v>
      </c>
      <c r="D3834" s="14" t="s">
        <v>23830</v>
      </c>
      <c r="E3834" s="16" t="s">
        <v>23831</v>
      </c>
      <c r="F3834" s="16" t="s">
        <v>23832</v>
      </c>
      <c r="G3834" s="23" t="s">
        <v>43</v>
      </c>
      <c r="H3834" s="18" t="n">
        <v>3</v>
      </c>
      <c r="I3834" s="20" t="n">
        <v>45.75</v>
      </c>
      <c r="J3834" s="20" t="n">
        <v>95.08</v>
      </c>
      <c r="K3834" s="18" t="n">
        <v>2</v>
      </c>
      <c r="L3834" s="18" t="n">
        <v>1</v>
      </c>
      <c r="M3834" s="18" t="n">
        <v>40</v>
      </c>
      <c r="N3834" s="18" t="n">
        <v>40</v>
      </c>
      <c r="O3834" s="14" t="s">
        <v>1126</v>
      </c>
      <c r="P3834" s="14" t="s">
        <v>84</v>
      </c>
      <c r="Q3834" s="15" t="s">
        <v>1089</v>
      </c>
      <c r="R3834" s="16" t="s">
        <v>23833</v>
      </c>
      <c r="S3834" s="15" t="s">
        <v>23834</v>
      </c>
      <c r="T3834" s="15" t="s">
        <v>23835</v>
      </c>
      <c r="U3834" s="21" t="s">
        <v>72</v>
      </c>
    </row>
    <row r="3835" customFormat="false" ht="15" hidden="false" customHeight="false" outlineLevel="0" collapsed="false">
      <c r="A3835" s="15" t="s">
        <v>23371</v>
      </c>
      <c r="B3835" s="15" t="s">
        <v>23709</v>
      </c>
      <c r="C3835" s="14" t="s">
        <v>23836</v>
      </c>
      <c r="D3835" s="14" t="s">
        <v>23837</v>
      </c>
      <c r="E3835" s="16" t="s">
        <v>23838</v>
      </c>
      <c r="F3835" s="16" t="s">
        <v>23839</v>
      </c>
      <c r="G3835" s="23" t="s">
        <v>43</v>
      </c>
      <c r="H3835" s="18" t="n">
        <v>1</v>
      </c>
      <c r="I3835" s="20" t="n">
        <v>31.6</v>
      </c>
      <c r="J3835" s="20" t="n">
        <v>86</v>
      </c>
      <c r="K3835" s="18" t="n">
        <v>1</v>
      </c>
      <c r="L3835" s="18" t="n">
        <v>4</v>
      </c>
      <c r="M3835" s="18" t="n">
        <v>25</v>
      </c>
      <c r="N3835" s="18" t="n">
        <v>25</v>
      </c>
      <c r="O3835" s="14" t="s">
        <v>1088</v>
      </c>
      <c r="P3835" s="14" t="s">
        <v>84</v>
      </c>
      <c r="Q3835" s="15" t="s">
        <v>1089</v>
      </c>
      <c r="R3835" s="16" t="s">
        <v>834</v>
      </c>
      <c r="S3835" s="15" t="s">
        <v>23840</v>
      </c>
      <c r="T3835" s="15" t="s">
        <v>23840</v>
      </c>
      <c r="U3835" s="21" t="s">
        <v>72</v>
      </c>
    </row>
    <row r="3836" customFormat="false" ht="15" hidden="false" customHeight="false" outlineLevel="0" collapsed="false">
      <c r="A3836" s="15" t="s">
        <v>23371</v>
      </c>
      <c r="B3836" s="15" t="s">
        <v>23841</v>
      </c>
      <c r="C3836" s="14" t="s">
        <v>23842</v>
      </c>
      <c r="D3836" s="14" t="s">
        <v>23843</v>
      </c>
      <c r="E3836" s="16" t="s">
        <v>23844</v>
      </c>
      <c r="F3836" s="16" t="s">
        <v>23845</v>
      </c>
      <c r="G3836" s="23" t="s">
        <v>43</v>
      </c>
      <c r="H3836" s="18" t="n">
        <v>2</v>
      </c>
      <c r="I3836" s="20" t="n">
        <v>108.3</v>
      </c>
      <c r="J3836" s="20" t="n">
        <v>113.2</v>
      </c>
      <c r="K3836" s="18" t="n">
        <v>2</v>
      </c>
      <c r="L3836" s="18" t="n">
        <v>4</v>
      </c>
      <c r="M3836" s="18" t="n">
        <v>40</v>
      </c>
      <c r="N3836" s="18" t="n">
        <v>20</v>
      </c>
      <c r="O3836" s="14" t="s">
        <v>1088</v>
      </c>
      <c r="P3836" s="14" t="s">
        <v>118</v>
      </c>
      <c r="Q3836" s="15" t="s">
        <v>1089</v>
      </c>
      <c r="R3836" s="16" t="s">
        <v>23846</v>
      </c>
      <c r="S3836" s="15" t="s">
        <v>18755</v>
      </c>
      <c r="T3836" s="15" t="s">
        <v>23847</v>
      </c>
      <c r="U3836" s="21" t="s">
        <v>72</v>
      </c>
    </row>
    <row r="3837" customFormat="false" ht="15" hidden="false" customHeight="false" outlineLevel="0" collapsed="false">
      <c r="A3837" s="15" t="s">
        <v>23371</v>
      </c>
      <c r="B3837" s="15" t="s">
        <v>23841</v>
      </c>
      <c r="C3837" s="14" t="s">
        <v>23848</v>
      </c>
      <c r="D3837" s="14" t="s">
        <v>23849</v>
      </c>
      <c r="E3837" s="16" t="s">
        <v>23850</v>
      </c>
      <c r="F3837" s="16" t="s">
        <v>1595</v>
      </c>
      <c r="G3837" s="23" t="s">
        <v>43</v>
      </c>
      <c r="H3837" s="18" t="n">
        <v>2</v>
      </c>
      <c r="I3837" s="20" t="n">
        <v>74.03</v>
      </c>
      <c r="J3837" s="20" t="n">
        <v>92.23</v>
      </c>
      <c r="K3837" s="18" t="n">
        <v>2</v>
      </c>
      <c r="L3837" s="18" t="n">
        <v>5</v>
      </c>
      <c r="M3837" s="18" t="n">
        <v>30</v>
      </c>
      <c r="N3837" s="18" t="n">
        <v>30</v>
      </c>
      <c r="O3837" s="14" t="s">
        <v>1088</v>
      </c>
      <c r="P3837" s="14" t="s">
        <v>84</v>
      </c>
      <c r="Q3837" s="15" t="s">
        <v>1089</v>
      </c>
      <c r="R3837" s="16" t="s">
        <v>23851</v>
      </c>
      <c r="S3837" s="15" t="s">
        <v>23852</v>
      </c>
      <c r="T3837" s="15" t="s">
        <v>23853</v>
      </c>
      <c r="U3837" s="21" t="s">
        <v>72</v>
      </c>
    </row>
    <row r="3838" customFormat="false" ht="15" hidden="false" customHeight="false" outlineLevel="0" collapsed="false">
      <c r="A3838" s="15" t="s">
        <v>23371</v>
      </c>
      <c r="B3838" s="15" t="s">
        <v>23841</v>
      </c>
      <c r="C3838" s="14" t="s">
        <v>23854</v>
      </c>
      <c r="D3838" s="14" t="s">
        <v>23855</v>
      </c>
      <c r="E3838" s="16" t="s">
        <v>23856</v>
      </c>
      <c r="F3838" s="16" t="s">
        <v>1595</v>
      </c>
      <c r="G3838" s="23" t="s">
        <v>43</v>
      </c>
      <c r="H3838" s="18" t="n">
        <v>2</v>
      </c>
      <c r="I3838" s="20" t="n">
        <v>46.64</v>
      </c>
      <c r="J3838" s="20" t="n">
        <v>114.86</v>
      </c>
      <c r="K3838" s="18" t="n">
        <v>2</v>
      </c>
      <c r="L3838" s="18" t="n">
        <v>4</v>
      </c>
      <c r="M3838" s="18" t="n">
        <v>30</v>
      </c>
      <c r="N3838" s="18" t="n">
        <v>30</v>
      </c>
      <c r="O3838" s="14" t="s">
        <v>1088</v>
      </c>
      <c r="P3838" s="14" t="s">
        <v>84</v>
      </c>
      <c r="Q3838" s="15" t="s">
        <v>1089</v>
      </c>
      <c r="R3838" s="16" t="s">
        <v>11715</v>
      </c>
      <c r="S3838" s="15" t="s">
        <v>23857</v>
      </c>
      <c r="T3838" s="15" t="s">
        <v>23858</v>
      </c>
      <c r="U3838" s="21" t="s">
        <v>72</v>
      </c>
    </row>
    <row r="3839" customFormat="false" ht="15" hidden="false" customHeight="false" outlineLevel="0" collapsed="false">
      <c r="A3839" s="15" t="s">
        <v>23371</v>
      </c>
      <c r="B3839" s="15" t="s">
        <v>23841</v>
      </c>
      <c r="C3839" s="14" t="s">
        <v>23859</v>
      </c>
      <c r="D3839" s="14" t="s">
        <v>23860</v>
      </c>
      <c r="E3839" s="16" t="s">
        <v>23861</v>
      </c>
      <c r="F3839" s="16" t="s">
        <v>23862</v>
      </c>
      <c r="G3839" s="23" t="s">
        <v>43</v>
      </c>
      <c r="H3839" s="18" t="n">
        <v>2</v>
      </c>
      <c r="I3839" s="20" t="n">
        <v>32.33</v>
      </c>
      <c r="J3839" s="20" t="n">
        <v>127.63</v>
      </c>
      <c r="K3839" s="18" t="n">
        <v>3</v>
      </c>
      <c r="L3839" s="18" t="n">
        <v>22</v>
      </c>
      <c r="M3839" s="18" t="n">
        <v>40</v>
      </c>
      <c r="N3839" s="18" t="n">
        <v>26</v>
      </c>
      <c r="O3839" s="14" t="s">
        <v>23863</v>
      </c>
      <c r="P3839" s="14" t="s">
        <v>1166</v>
      </c>
      <c r="Q3839" s="15" t="s">
        <v>1089</v>
      </c>
      <c r="R3839" s="16" t="s">
        <v>5570</v>
      </c>
      <c r="S3839" s="15" t="s">
        <v>1348</v>
      </c>
      <c r="T3839" s="15" t="s">
        <v>23864</v>
      </c>
      <c r="U3839" s="21" t="s">
        <v>72</v>
      </c>
    </row>
    <row r="3840" customFormat="false" ht="15" hidden="false" customHeight="false" outlineLevel="0" collapsed="false">
      <c r="A3840" s="15" t="s">
        <v>23371</v>
      </c>
      <c r="B3840" s="15" t="s">
        <v>23841</v>
      </c>
      <c r="C3840" s="14" t="s">
        <v>23865</v>
      </c>
      <c r="D3840" s="14" t="s">
        <v>23866</v>
      </c>
      <c r="E3840" s="16" t="s">
        <v>23867</v>
      </c>
      <c r="F3840" s="16" t="s">
        <v>23868</v>
      </c>
      <c r="G3840" s="23" t="s">
        <v>43</v>
      </c>
      <c r="H3840" s="18" t="n">
        <v>3</v>
      </c>
      <c r="I3840" s="20" t="n">
        <v>75.07</v>
      </c>
      <c r="J3840" s="20" t="n">
        <v>166.72</v>
      </c>
      <c r="K3840" s="18" t="n">
        <v>6</v>
      </c>
      <c r="L3840" s="18" t="n">
        <v>5</v>
      </c>
      <c r="M3840" s="18" t="n">
        <v>94</v>
      </c>
      <c r="N3840" s="18" t="n">
        <v>34</v>
      </c>
      <c r="O3840" s="14" t="s">
        <v>1126</v>
      </c>
      <c r="P3840" s="14" t="s">
        <v>84</v>
      </c>
      <c r="Q3840" s="15" t="s">
        <v>1089</v>
      </c>
      <c r="R3840" s="16" t="s">
        <v>9446</v>
      </c>
      <c r="S3840" s="15" t="s">
        <v>21794</v>
      </c>
      <c r="T3840" s="15" t="s">
        <v>21794</v>
      </c>
      <c r="U3840" s="21" t="s">
        <v>72</v>
      </c>
    </row>
    <row r="3841" customFormat="false" ht="15" hidden="false" customHeight="false" outlineLevel="0" collapsed="false">
      <c r="A3841" s="15" t="s">
        <v>23371</v>
      </c>
      <c r="B3841" s="15" t="s">
        <v>23841</v>
      </c>
      <c r="C3841" s="14" t="s">
        <v>23869</v>
      </c>
      <c r="D3841" s="14" t="s">
        <v>23870</v>
      </c>
      <c r="E3841" s="16" t="s">
        <v>23871</v>
      </c>
      <c r="F3841" s="16" t="s">
        <v>23872</v>
      </c>
      <c r="G3841" s="23" t="s">
        <v>43</v>
      </c>
      <c r="H3841" s="18" t="n">
        <v>3</v>
      </c>
      <c r="I3841" s="20" t="n">
        <v>56.51</v>
      </c>
      <c r="J3841" s="20" t="n">
        <v>103.22</v>
      </c>
      <c r="K3841" s="18" t="n">
        <v>3</v>
      </c>
      <c r="L3841" s="18" t="n">
        <v>4</v>
      </c>
      <c r="M3841" s="18" t="n">
        <v>43</v>
      </c>
      <c r="N3841" s="18" t="n">
        <v>43</v>
      </c>
      <c r="O3841" s="14" t="s">
        <v>1097</v>
      </c>
      <c r="P3841" s="14" t="s">
        <v>84</v>
      </c>
      <c r="Q3841" s="15" t="s">
        <v>1089</v>
      </c>
      <c r="R3841" s="16" t="s">
        <v>23873</v>
      </c>
      <c r="S3841" s="15" t="s">
        <v>23874</v>
      </c>
      <c r="T3841" s="15" t="s">
        <v>23874</v>
      </c>
      <c r="U3841" s="21" t="s">
        <v>72</v>
      </c>
    </row>
    <row r="3842" customFormat="false" ht="15" hidden="false" customHeight="false" outlineLevel="0" collapsed="false">
      <c r="A3842" s="15" t="s">
        <v>23371</v>
      </c>
      <c r="B3842" s="15" t="s">
        <v>23841</v>
      </c>
      <c r="C3842" s="14" t="s">
        <v>23875</v>
      </c>
      <c r="D3842" s="14" t="s">
        <v>23876</v>
      </c>
      <c r="E3842" s="16" t="s">
        <v>23877</v>
      </c>
      <c r="F3842" s="16" t="s">
        <v>23878</v>
      </c>
      <c r="G3842" s="23" t="s">
        <v>43</v>
      </c>
      <c r="H3842" s="18" t="n">
        <v>2</v>
      </c>
      <c r="I3842" s="20" t="n">
        <v>46.7</v>
      </c>
      <c r="J3842" s="20" t="n">
        <v>117.83</v>
      </c>
      <c r="K3842" s="18" t="n">
        <v>16</v>
      </c>
      <c r="L3842" s="18" t="n">
        <v>5</v>
      </c>
      <c r="M3842" s="18" t="n">
        <v>256</v>
      </c>
      <c r="N3842" s="18" t="n">
        <v>64</v>
      </c>
      <c r="O3842" s="14" t="s">
        <v>1088</v>
      </c>
      <c r="P3842" s="14" t="s">
        <v>84</v>
      </c>
      <c r="Q3842" s="15" t="s">
        <v>1089</v>
      </c>
      <c r="R3842" s="16" t="s">
        <v>23879</v>
      </c>
      <c r="S3842" s="15" t="s">
        <v>23880</v>
      </c>
      <c r="T3842" s="15" t="s">
        <v>23881</v>
      </c>
      <c r="U3842" s="21" t="s">
        <v>72</v>
      </c>
    </row>
    <row r="3843" customFormat="false" ht="15" hidden="false" customHeight="false" outlineLevel="0" collapsed="false">
      <c r="A3843" s="15" t="s">
        <v>23371</v>
      </c>
      <c r="B3843" s="15" t="s">
        <v>23841</v>
      </c>
      <c r="C3843" s="14" t="s">
        <v>23882</v>
      </c>
      <c r="D3843" s="14" t="s">
        <v>23883</v>
      </c>
      <c r="E3843" s="16" t="s">
        <v>23884</v>
      </c>
      <c r="F3843" s="16"/>
      <c r="G3843" s="23" t="s">
        <v>43</v>
      </c>
      <c r="H3843" s="18" t="n">
        <v>3</v>
      </c>
      <c r="I3843" s="20" t="n">
        <v>58.66</v>
      </c>
      <c r="J3843" s="20" t="n">
        <v>117.93</v>
      </c>
      <c r="K3843" s="18" t="n">
        <v>4</v>
      </c>
      <c r="L3843" s="18" t="n">
        <v>2</v>
      </c>
      <c r="M3843" s="18" t="n">
        <v>40</v>
      </c>
      <c r="N3843" s="18" t="n">
        <v>20</v>
      </c>
      <c r="O3843" s="14" t="s">
        <v>1097</v>
      </c>
      <c r="P3843" s="14" t="s">
        <v>118</v>
      </c>
      <c r="Q3843" s="15" t="s">
        <v>1089</v>
      </c>
      <c r="R3843" s="16" t="s">
        <v>23885</v>
      </c>
      <c r="S3843" s="15" t="s">
        <v>23886</v>
      </c>
      <c r="T3843" s="15" t="s">
        <v>23886</v>
      </c>
      <c r="U3843" s="21" t="s">
        <v>72</v>
      </c>
    </row>
    <row r="3844" customFormat="false" ht="15" hidden="false" customHeight="false" outlineLevel="0" collapsed="false">
      <c r="A3844" s="15" t="s">
        <v>23371</v>
      </c>
      <c r="B3844" s="15" t="s">
        <v>23841</v>
      </c>
      <c r="C3844" s="14" t="s">
        <v>23887</v>
      </c>
      <c r="D3844" s="14" t="s">
        <v>23888</v>
      </c>
      <c r="E3844" s="16" t="s">
        <v>23889</v>
      </c>
      <c r="F3844" s="16" t="s">
        <v>23890</v>
      </c>
      <c r="G3844" s="23" t="s">
        <v>43</v>
      </c>
      <c r="H3844" s="18" t="n">
        <v>3</v>
      </c>
      <c r="I3844" s="20" t="n">
        <v>74.7</v>
      </c>
      <c r="J3844" s="20" t="n">
        <v>159.5</v>
      </c>
      <c r="K3844" s="18" t="n">
        <v>8</v>
      </c>
      <c r="L3844" s="18" t="n">
        <v>6</v>
      </c>
      <c r="M3844" s="18" t="n">
        <v>136</v>
      </c>
      <c r="N3844" s="18" t="n">
        <v>32</v>
      </c>
      <c r="O3844" s="14" t="s">
        <v>9118</v>
      </c>
      <c r="P3844" s="14" t="s">
        <v>118</v>
      </c>
      <c r="Q3844" s="15" t="s">
        <v>1089</v>
      </c>
      <c r="R3844" s="16" t="s">
        <v>7681</v>
      </c>
      <c r="S3844" s="15" t="s">
        <v>2886</v>
      </c>
      <c r="T3844" s="15" t="s">
        <v>23891</v>
      </c>
      <c r="U3844" s="21" t="s">
        <v>72</v>
      </c>
    </row>
    <row r="3845" customFormat="false" ht="26.85" hidden="false" customHeight="false" outlineLevel="0" collapsed="false">
      <c r="A3845" s="15" t="s">
        <v>23371</v>
      </c>
      <c r="B3845" s="15" t="s">
        <v>23841</v>
      </c>
      <c r="C3845" s="14" t="s">
        <v>23892</v>
      </c>
      <c r="D3845" s="14" t="s">
        <v>23893</v>
      </c>
      <c r="E3845" s="16" t="s">
        <v>23894</v>
      </c>
      <c r="F3845" s="16" t="s">
        <v>23895</v>
      </c>
      <c r="G3845" s="23" t="s">
        <v>43</v>
      </c>
      <c r="H3845" s="18" t="n">
        <v>4</v>
      </c>
      <c r="I3845" s="20" t="n">
        <v>107.45</v>
      </c>
      <c r="J3845" s="20" t="n">
        <v>187.28</v>
      </c>
      <c r="K3845" s="18" t="n">
        <v>34</v>
      </c>
      <c r="L3845" s="18" t="n">
        <v>6</v>
      </c>
      <c r="M3845" s="18" t="n">
        <v>798</v>
      </c>
      <c r="N3845" s="18" t="n">
        <v>183</v>
      </c>
      <c r="O3845" s="14" t="s">
        <v>15129</v>
      </c>
      <c r="P3845" s="14" t="s">
        <v>118</v>
      </c>
      <c r="Q3845" s="15" t="s">
        <v>1089</v>
      </c>
      <c r="R3845" s="16" t="s">
        <v>11927</v>
      </c>
      <c r="S3845" s="15" t="s">
        <v>23896</v>
      </c>
      <c r="T3845" s="15" t="s">
        <v>23897</v>
      </c>
      <c r="U3845" s="21" t="s">
        <v>72</v>
      </c>
    </row>
    <row r="3846" customFormat="false" ht="15" hidden="false" customHeight="false" outlineLevel="0" collapsed="false">
      <c r="A3846" s="15" t="s">
        <v>23371</v>
      </c>
      <c r="B3846" s="15" t="s">
        <v>23841</v>
      </c>
      <c r="C3846" s="14" t="s">
        <v>23898</v>
      </c>
      <c r="D3846" s="14" t="s">
        <v>23899</v>
      </c>
      <c r="E3846" s="16" t="s">
        <v>23900</v>
      </c>
      <c r="F3846" s="16" t="s">
        <v>23901</v>
      </c>
      <c r="G3846" s="23" t="s">
        <v>43</v>
      </c>
      <c r="H3846" s="18" t="n">
        <v>2</v>
      </c>
      <c r="I3846" s="20" t="n">
        <v>39.49</v>
      </c>
      <c r="J3846" s="20" t="n">
        <v>99.01</v>
      </c>
      <c r="K3846" s="18" t="n">
        <v>6</v>
      </c>
      <c r="L3846" s="18" t="n">
        <v>3</v>
      </c>
      <c r="M3846" s="18" t="n">
        <v>114</v>
      </c>
      <c r="N3846" s="18" t="n">
        <v>38</v>
      </c>
      <c r="O3846" s="14" t="s">
        <v>1097</v>
      </c>
      <c r="P3846" s="14" t="s">
        <v>118</v>
      </c>
      <c r="Q3846" s="15" t="s">
        <v>1089</v>
      </c>
      <c r="R3846" s="16" t="s">
        <v>23902</v>
      </c>
      <c r="S3846" s="15" t="s">
        <v>23903</v>
      </c>
      <c r="T3846" s="15" t="s">
        <v>23903</v>
      </c>
      <c r="U3846" s="21" t="s">
        <v>72</v>
      </c>
    </row>
    <row r="3847" customFormat="false" ht="15" hidden="false" customHeight="false" outlineLevel="0" collapsed="false">
      <c r="A3847" s="15" t="s">
        <v>23371</v>
      </c>
      <c r="B3847" s="15" t="s">
        <v>23841</v>
      </c>
      <c r="C3847" s="14" t="s">
        <v>23904</v>
      </c>
      <c r="D3847" s="14" t="s">
        <v>23905</v>
      </c>
      <c r="E3847" s="16" t="s">
        <v>23906</v>
      </c>
      <c r="F3847" s="16" t="s">
        <v>23907</v>
      </c>
      <c r="G3847" s="23" t="s">
        <v>43</v>
      </c>
      <c r="H3847" s="18" t="n">
        <v>1</v>
      </c>
      <c r="I3847" s="20" t="n">
        <v>46.52</v>
      </c>
      <c r="J3847" s="20" t="n">
        <v>81.68</v>
      </c>
      <c r="K3847" s="18" t="n">
        <v>3</v>
      </c>
      <c r="L3847" s="18" t="n">
        <v>1</v>
      </c>
      <c r="M3847" s="18" t="n">
        <v>90</v>
      </c>
      <c r="N3847" s="18" t="n">
        <v>90</v>
      </c>
      <c r="O3847" s="14" t="s">
        <v>1097</v>
      </c>
      <c r="P3847" s="14" t="s">
        <v>84</v>
      </c>
      <c r="Q3847" s="15" t="s">
        <v>1089</v>
      </c>
      <c r="R3847" s="16" t="s">
        <v>23908</v>
      </c>
      <c r="S3847" s="15" t="s">
        <v>23909</v>
      </c>
      <c r="T3847" s="15" t="s">
        <v>23910</v>
      </c>
      <c r="U3847" s="21" t="s">
        <v>72</v>
      </c>
    </row>
    <row r="3848" customFormat="false" ht="15" hidden="false" customHeight="false" outlineLevel="0" collapsed="false">
      <c r="A3848" s="15" t="s">
        <v>23371</v>
      </c>
      <c r="B3848" s="15" t="s">
        <v>23841</v>
      </c>
      <c r="C3848" s="14" t="s">
        <v>23911</v>
      </c>
      <c r="D3848" s="14" t="s">
        <v>23912</v>
      </c>
      <c r="E3848" s="16" t="s">
        <v>23913</v>
      </c>
      <c r="F3848" s="16" t="s">
        <v>23914</v>
      </c>
      <c r="G3848" s="23" t="s">
        <v>43</v>
      </c>
      <c r="H3848" s="18" t="n">
        <v>3</v>
      </c>
      <c r="I3848" s="20" t="n">
        <v>54.67</v>
      </c>
      <c r="J3848" s="20" t="n">
        <v>82.92</v>
      </c>
      <c r="K3848" s="18" t="n">
        <v>3</v>
      </c>
      <c r="L3848" s="18" t="n">
        <v>1</v>
      </c>
      <c r="M3848" s="18" t="n">
        <v>45</v>
      </c>
      <c r="N3848" s="18" t="n">
        <v>45</v>
      </c>
      <c r="O3848" s="14" t="s">
        <v>1097</v>
      </c>
      <c r="P3848" s="14" t="s">
        <v>84</v>
      </c>
      <c r="Q3848" s="15" t="s">
        <v>1089</v>
      </c>
      <c r="R3848" s="16" t="s">
        <v>23915</v>
      </c>
      <c r="S3848" s="15" t="s">
        <v>23916</v>
      </c>
      <c r="T3848" s="15" t="s">
        <v>23917</v>
      </c>
      <c r="U3848" s="21" t="s">
        <v>72</v>
      </c>
    </row>
    <row r="3849" customFormat="false" ht="15" hidden="false" customHeight="false" outlineLevel="0" collapsed="false">
      <c r="A3849" s="15" t="s">
        <v>23371</v>
      </c>
      <c r="B3849" s="15" t="s">
        <v>23841</v>
      </c>
      <c r="C3849" s="14" t="s">
        <v>23918</v>
      </c>
      <c r="D3849" s="14" t="s">
        <v>23919</v>
      </c>
      <c r="E3849" s="16" t="s">
        <v>23920</v>
      </c>
      <c r="F3849" s="16" t="s">
        <v>23921</v>
      </c>
      <c r="G3849" s="23" t="s">
        <v>43</v>
      </c>
      <c r="H3849" s="18" t="n">
        <v>3</v>
      </c>
      <c r="I3849" s="20" t="n">
        <v>65.34</v>
      </c>
      <c r="J3849" s="20" t="n">
        <v>169.75</v>
      </c>
      <c r="K3849" s="18" t="n">
        <v>9</v>
      </c>
      <c r="L3849" s="18" t="n">
        <v>1</v>
      </c>
      <c r="M3849" s="18" t="n">
        <v>137</v>
      </c>
      <c r="N3849" s="18" t="n">
        <v>75</v>
      </c>
      <c r="O3849" s="14" t="s">
        <v>3724</v>
      </c>
      <c r="P3849" s="14" t="s">
        <v>84</v>
      </c>
      <c r="Q3849" s="15" t="s">
        <v>1089</v>
      </c>
      <c r="R3849" s="16" t="s">
        <v>23922</v>
      </c>
      <c r="S3849" s="15" t="s">
        <v>23923</v>
      </c>
      <c r="T3849" s="15" t="s">
        <v>23923</v>
      </c>
      <c r="U3849" s="21" t="s">
        <v>72</v>
      </c>
    </row>
    <row r="3850" customFormat="false" ht="15" hidden="false" customHeight="false" outlineLevel="0" collapsed="false">
      <c r="A3850" s="15" t="s">
        <v>23371</v>
      </c>
      <c r="B3850" s="15" t="s">
        <v>23841</v>
      </c>
      <c r="C3850" s="14" t="s">
        <v>23924</v>
      </c>
      <c r="D3850" s="14" t="s">
        <v>23925</v>
      </c>
      <c r="E3850" s="16" t="s">
        <v>23926</v>
      </c>
      <c r="F3850" s="16" t="s">
        <v>23927</v>
      </c>
      <c r="G3850" s="23" t="s">
        <v>43</v>
      </c>
      <c r="H3850" s="18" t="n">
        <v>2</v>
      </c>
      <c r="I3850" s="20" t="n">
        <v>35</v>
      </c>
      <c r="J3850" s="20" t="n">
        <v>94.1</v>
      </c>
      <c r="K3850" s="18" t="n">
        <v>3</v>
      </c>
      <c r="L3850" s="18" t="n">
        <v>1</v>
      </c>
      <c r="M3850" s="18" t="n">
        <v>45</v>
      </c>
      <c r="N3850" s="18" t="n">
        <v>30</v>
      </c>
      <c r="O3850" s="14" t="s">
        <v>7240</v>
      </c>
      <c r="P3850" s="14" t="s">
        <v>84</v>
      </c>
      <c r="Q3850" s="15" t="s">
        <v>1089</v>
      </c>
      <c r="R3850" s="16" t="s">
        <v>1381</v>
      </c>
      <c r="S3850" s="15" t="s">
        <v>23928</v>
      </c>
      <c r="T3850" s="15" t="s">
        <v>23929</v>
      </c>
      <c r="U3850" s="21" t="s">
        <v>72</v>
      </c>
    </row>
    <row r="3851" customFormat="false" ht="15" hidden="false" customHeight="false" outlineLevel="0" collapsed="false">
      <c r="A3851" s="15" t="s">
        <v>23371</v>
      </c>
      <c r="B3851" s="15" t="s">
        <v>23841</v>
      </c>
      <c r="C3851" s="14" t="s">
        <v>23930</v>
      </c>
      <c r="D3851" s="14" t="s">
        <v>23931</v>
      </c>
      <c r="E3851" s="16" t="s">
        <v>23932</v>
      </c>
      <c r="F3851" s="16" t="s">
        <v>23933</v>
      </c>
      <c r="G3851" s="23" t="s">
        <v>43</v>
      </c>
      <c r="H3851" s="18" t="n">
        <v>1</v>
      </c>
      <c r="I3851" s="20" t="n">
        <v>43.94</v>
      </c>
      <c r="J3851" s="20" t="n">
        <v>133.6</v>
      </c>
      <c r="K3851" s="18" t="n">
        <v>2</v>
      </c>
      <c r="L3851" s="18" t="n">
        <v>2</v>
      </c>
      <c r="M3851" s="18" t="n">
        <v>72</v>
      </c>
      <c r="N3851" s="18" t="n">
        <v>72</v>
      </c>
      <c r="O3851" s="14" t="s">
        <v>1126</v>
      </c>
      <c r="P3851" s="14" t="s">
        <v>84</v>
      </c>
      <c r="Q3851" s="15" t="s">
        <v>1089</v>
      </c>
      <c r="R3851" s="16" t="s">
        <v>23465</v>
      </c>
      <c r="S3851" s="15" t="s">
        <v>20082</v>
      </c>
      <c r="T3851" s="15" t="s">
        <v>23934</v>
      </c>
      <c r="U3851" s="21" t="s">
        <v>72</v>
      </c>
    </row>
    <row r="3852" customFormat="false" ht="15" hidden="false" customHeight="false" outlineLevel="0" collapsed="false">
      <c r="A3852" s="15" t="s">
        <v>23371</v>
      </c>
      <c r="B3852" s="15" t="s">
        <v>23841</v>
      </c>
      <c r="C3852" s="14" t="s">
        <v>23935</v>
      </c>
      <c r="D3852" s="14" t="s">
        <v>23936</v>
      </c>
      <c r="E3852" s="16" t="s">
        <v>23937</v>
      </c>
      <c r="F3852" s="16" t="s">
        <v>23938</v>
      </c>
      <c r="G3852" s="23" t="s">
        <v>43</v>
      </c>
      <c r="H3852" s="18" t="n">
        <v>2</v>
      </c>
      <c r="I3852" s="20" t="n">
        <v>36.32</v>
      </c>
      <c r="J3852" s="20" t="n">
        <v>85.74</v>
      </c>
      <c r="K3852" s="18" t="n">
        <v>2</v>
      </c>
      <c r="L3852" s="18" t="n">
        <v>1</v>
      </c>
      <c r="M3852" s="18" t="n">
        <v>30</v>
      </c>
      <c r="N3852" s="18" t="n">
        <v>30</v>
      </c>
      <c r="O3852" s="14" t="s">
        <v>1126</v>
      </c>
      <c r="P3852" s="14" t="s">
        <v>84</v>
      </c>
      <c r="Q3852" s="15" t="s">
        <v>1089</v>
      </c>
      <c r="R3852" s="16" t="s">
        <v>23939</v>
      </c>
      <c r="S3852" s="15" t="s">
        <v>23940</v>
      </c>
      <c r="T3852" s="15" t="s">
        <v>23941</v>
      </c>
      <c r="U3852" s="21" t="s">
        <v>72</v>
      </c>
    </row>
    <row r="3853" customFormat="false" ht="15" hidden="false" customHeight="false" outlineLevel="0" collapsed="false">
      <c r="A3853" s="15" t="s">
        <v>23371</v>
      </c>
      <c r="B3853" s="15" t="s">
        <v>23841</v>
      </c>
      <c r="C3853" s="14" t="s">
        <v>23942</v>
      </c>
      <c r="D3853" s="14" t="s">
        <v>23943</v>
      </c>
      <c r="E3853" s="16" t="s">
        <v>23944</v>
      </c>
      <c r="F3853" s="16"/>
      <c r="G3853" s="23" t="s">
        <v>43</v>
      </c>
      <c r="H3853" s="18" t="n">
        <v>2</v>
      </c>
      <c r="I3853" s="20" t="n">
        <v>37.08</v>
      </c>
      <c r="J3853" s="20" t="n">
        <v>112.52</v>
      </c>
      <c r="K3853" s="18" t="n">
        <v>2</v>
      </c>
      <c r="L3853" s="18"/>
      <c r="M3853" s="18" t="n">
        <v>54</v>
      </c>
      <c r="N3853" s="18" t="n">
        <v>54</v>
      </c>
      <c r="O3853" s="14" t="s">
        <v>1126</v>
      </c>
      <c r="P3853" s="14" t="s">
        <v>94</v>
      </c>
      <c r="Q3853" s="15" t="s">
        <v>1089</v>
      </c>
      <c r="R3853" s="16" t="s">
        <v>23945</v>
      </c>
      <c r="S3853" s="15" t="s">
        <v>19045</v>
      </c>
      <c r="T3853" s="15" t="s">
        <v>23946</v>
      </c>
      <c r="U3853" s="21" t="s">
        <v>72</v>
      </c>
    </row>
    <row r="3854" customFormat="false" ht="15" hidden="false" customHeight="false" outlineLevel="0" collapsed="false">
      <c r="A3854" s="15" t="s">
        <v>23371</v>
      </c>
      <c r="B3854" s="15" t="s">
        <v>23841</v>
      </c>
      <c r="C3854" s="14" t="s">
        <v>23947</v>
      </c>
      <c r="D3854" s="14" t="s">
        <v>23948</v>
      </c>
      <c r="E3854" s="16" t="s">
        <v>23949</v>
      </c>
      <c r="F3854" s="16"/>
      <c r="G3854" s="23" t="s">
        <v>43</v>
      </c>
      <c r="H3854" s="18" t="n">
        <v>2</v>
      </c>
      <c r="I3854" s="20" t="n">
        <v>30.18</v>
      </c>
      <c r="J3854" s="20" t="n">
        <v>103.48</v>
      </c>
      <c r="K3854" s="18" t="n">
        <v>2</v>
      </c>
      <c r="L3854" s="18" t="n">
        <v>1</v>
      </c>
      <c r="M3854" s="18" t="n">
        <v>24</v>
      </c>
      <c r="N3854" s="18" t="n">
        <v>24</v>
      </c>
      <c r="O3854" s="14" t="s">
        <v>1097</v>
      </c>
      <c r="P3854" s="14" t="s">
        <v>84</v>
      </c>
      <c r="Q3854" s="15" t="s">
        <v>1089</v>
      </c>
      <c r="R3854" s="16" t="s">
        <v>23950</v>
      </c>
      <c r="S3854" s="15" t="s">
        <v>23951</v>
      </c>
      <c r="T3854" s="15" t="s">
        <v>23951</v>
      </c>
      <c r="U3854" s="21" t="s">
        <v>72</v>
      </c>
    </row>
    <row r="3855" customFormat="false" ht="15" hidden="false" customHeight="false" outlineLevel="0" collapsed="false">
      <c r="A3855" s="15" t="s">
        <v>23371</v>
      </c>
      <c r="B3855" s="15" t="s">
        <v>23841</v>
      </c>
      <c r="C3855" s="14" t="s">
        <v>23952</v>
      </c>
      <c r="D3855" s="14" t="s">
        <v>23953</v>
      </c>
      <c r="E3855" s="16" t="s">
        <v>23954</v>
      </c>
      <c r="F3855" s="16" t="s">
        <v>23955</v>
      </c>
      <c r="G3855" s="23" t="s">
        <v>43</v>
      </c>
      <c r="H3855" s="18" t="n">
        <v>3</v>
      </c>
      <c r="I3855" s="20" t="n">
        <v>67.73</v>
      </c>
      <c r="J3855" s="20" t="n">
        <v>124.8</v>
      </c>
      <c r="K3855" s="18" t="n">
        <v>10</v>
      </c>
      <c r="L3855" s="18" t="n">
        <v>2</v>
      </c>
      <c r="M3855" s="18" t="n">
        <v>170</v>
      </c>
      <c r="N3855" s="18" t="n">
        <v>26</v>
      </c>
      <c r="O3855" s="14" t="s">
        <v>23956</v>
      </c>
      <c r="P3855" s="14" t="s">
        <v>84</v>
      </c>
      <c r="Q3855" s="15" t="s">
        <v>1089</v>
      </c>
      <c r="R3855" s="16" t="s">
        <v>5066</v>
      </c>
      <c r="S3855" s="15" t="s">
        <v>23957</v>
      </c>
      <c r="T3855" s="15" t="s">
        <v>23957</v>
      </c>
      <c r="U3855" s="21" t="s">
        <v>72</v>
      </c>
    </row>
    <row r="3856" customFormat="false" ht="15" hidden="false" customHeight="false" outlineLevel="0" collapsed="false">
      <c r="A3856" s="15" t="s">
        <v>23371</v>
      </c>
      <c r="B3856" s="15" t="s">
        <v>23841</v>
      </c>
      <c r="C3856" s="14" t="s">
        <v>23958</v>
      </c>
      <c r="D3856" s="14" t="s">
        <v>23959</v>
      </c>
      <c r="E3856" s="16" t="s">
        <v>23960</v>
      </c>
      <c r="F3856" s="16" t="s">
        <v>23961</v>
      </c>
      <c r="G3856" s="23" t="s">
        <v>43</v>
      </c>
      <c r="H3856" s="18" t="n">
        <v>1</v>
      </c>
      <c r="I3856" s="20" t="n">
        <v>30.59</v>
      </c>
      <c r="J3856" s="20" t="n">
        <v>88.12</v>
      </c>
      <c r="K3856" s="18" t="n">
        <v>5</v>
      </c>
      <c r="L3856" s="18" t="n">
        <v>3</v>
      </c>
      <c r="M3856" s="18" t="n">
        <v>36</v>
      </c>
      <c r="N3856" s="18" t="n">
        <v>8</v>
      </c>
      <c r="O3856" s="14" t="s">
        <v>1126</v>
      </c>
      <c r="P3856" s="14" t="s">
        <v>84</v>
      </c>
      <c r="Q3856" s="15" t="s">
        <v>1089</v>
      </c>
      <c r="R3856" s="16" t="s">
        <v>23962</v>
      </c>
      <c r="S3856" s="15" t="s">
        <v>23963</v>
      </c>
      <c r="T3856" s="15" t="s">
        <v>23963</v>
      </c>
      <c r="U3856" s="21" t="s">
        <v>72</v>
      </c>
    </row>
    <row r="3857" customFormat="false" ht="26.85" hidden="false" customHeight="false" outlineLevel="0" collapsed="false">
      <c r="A3857" s="15" t="s">
        <v>23371</v>
      </c>
      <c r="B3857" s="15" t="s">
        <v>23841</v>
      </c>
      <c r="C3857" s="14" t="s">
        <v>23964</v>
      </c>
      <c r="D3857" s="14" t="s">
        <v>23965</v>
      </c>
      <c r="E3857" s="16" t="s">
        <v>23966</v>
      </c>
      <c r="F3857" s="16" t="s">
        <v>23967</v>
      </c>
      <c r="G3857" s="23" t="s">
        <v>43</v>
      </c>
      <c r="H3857" s="18" t="n">
        <v>2</v>
      </c>
      <c r="I3857" s="20" t="n">
        <v>74.99</v>
      </c>
      <c r="J3857" s="20" t="n">
        <v>104.51</v>
      </c>
      <c r="K3857" s="18" t="n">
        <v>7</v>
      </c>
      <c r="L3857" s="18" t="n">
        <v>3</v>
      </c>
      <c r="M3857" s="18" t="n">
        <v>56</v>
      </c>
      <c r="N3857" s="18" t="n">
        <v>16</v>
      </c>
      <c r="O3857" s="14" t="s">
        <v>1097</v>
      </c>
      <c r="P3857" s="14" t="s">
        <v>352</v>
      </c>
      <c r="Q3857" s="15" t="s">
        <v>1089</v>
      </c>
      <c r="R3857" s="16" t="s">
        <v>23968</v>
      </c>
      <c r="S3857" s="15" t="s">
        <v>23969</v>
      </c>
      <c r="T3857" s="15" t="s">
        <v>23969</v>
      </c>
      <c r="U3857" s="21" t="s">
        <v>72</v>
      </c>
    </row>
    <row r="3858" customFormat="false" ht="15" hidden="false" customHeight="false" outlineLevel="0" collapsed="false">
      <c r="A3858" s="15" t="s">
        <v>23371</v>
      </c>
      <c r="B3858" s="15" t="s">
        <v>23841</v>
      </c>
      <c r="C3858" s="14" t="s">
        <v>23970</v>
      </c>
      <c r="D3858" s="14" t="s">
        <v>23971</v>
      </c>
      <c r="E3858" s="16" t="s">
        <v>23972</v>
      </c>
      <c r="F3858" s="16" t="s">
        <v>23973</v>
      </c>
      <c r="G3858" s="23" t="s">
        <v>43</v>
      </c>
      <c r="H3858" s="18" t="n">
        <v>2</v>
      </c>
      <c r="I3858" s="20" t="n">
        <v>61.2</v>
      </c>
      <c r="J3858" s="20" t="n">
        <v>90.94</v>
      </c>
      <c r="K3858" s="18" t="n">
        <v>10</v>
      </c>
      <c r="L3858" s="18" t="n">
        <v>3</v>
      </c>
      <c r="M3858" s="18" t="n">
        <v>188</v>
      </c>
      <c r="N3858" s="18" t="n">
        <v>51</v>
      </c>
      <c r="O3858" s="14" t="s">
        <v>1088</v>
      </c>
      <c r="P3858" s="14" t="s">
        <v>118</v>
      </c>
      <c r="Q3858" s="15" t="s">
        <v>1089</v>
      </c>
      <c r="R3858" s="16" t="s">
        <v>23974</v>
      </c>
      <c r="S3858" s="15" t="s">
        <v>23975</v>
      </c>
      <c r="T3858" s="15" t="s">
        <v>23976</v>
      </c>
      <c r="U3858" s="21" t="s">
        <v>72</v>
      </c>
    </row>
    <row r="3859" customFormat="false" ht="15" hidden="false" customHeight="false" outlineLevel="0" collapsed="false">
      <c r="A3859" s="15" t="s">
        <v>23371</v>
      </c>
      <c r="B3859" s="15" t="s">
        <v>23841</v>
      </c>
      <c r="C3859" s="14" t="s">
        <v>23977</v>
      </c>
      <c r="D3859" s="14" t="s">
        <v>23978</v>
      </c>
      <c r="E3859" s="16" t="s">
        <v>23979</v>
      </c>
      <c r="F3859" s="16" t="s">
        <v>23980</v>
      </c>
      <c r="G3859" s="23" t="s">
        <v>43</v>
      </c>
      <c r="H3859" s="18" t="n">
        <v>1</v>
      </c>
      <c r="I3859" s="20" t="n">
        <v>44.5</v>
      </c>
      <c r="J3859" s="20" t="n">
        <v>122</v>
      </c>
      <c r="K3859" s="18" t="n">
        <v>1</v>
      </c>
      <c r="L3859" s="18" t="n">
        <v>1</v>
      </c>
      <c r="M3859" s="18" t="n">
        <v>35</v>
      </c>
      <c r="N3859" s="18" t="n">
        <v>35</v>
      </c>
      <c r="O3859" s="14" t="s">
        <v>1126</v>
      </c>
      <c r="P3859" s="14" t="s">
        <v>84</v>
      </c>
      <c r="Q3859" s="15" t="s">
        <v>1089</v>
      </c>
      <c r="R3859" s="16" t="s">
        <v>17310</v>
      </c>
      <c r="S3859" s="15" t="s">
        <v>23981</v>
      </c>
      <c r="T3859" s="15" t="s">
        <v>23981</v>
      </c>
      <c r="U3859" s="21" t="s">
        <v>72</v>
      </c>
    </row>
    <row r="3860" customFormat="false" ht="15" hidden="false" customHeight="false" outlineLevel="0" collapsed="false">
      <c r="A3860" s="15" t="s">
        <v>23371</v>
      </c>
      <c r="B3860" s="15" t="s">
        <v>23841</v>
      </c>
      <c r="C3860" s="14" t="s">
        <v>23982</v>
      </c>
      <c r="D3860" s="14" t="s">
        <v>23983</v>
      </c>
      <c r="E3860" s="16" t="s">
        <v>23984</v>
      </c>
      <c r="F3860" s="16" t="s">
        <v>23985</v>
      </c>
      <c r="G3860" s="23" t="s">
        <v>43</v>
      </c>
      <c r="H3860" s="18" t="n">
        <v>3</v>
      </c>
      <c r="I3860" s="20" t="n">
        <v>115.32</v>
      </c>
      <c r="J3860" s="20" t="n">
        <v>181.87</v>
      </c>
      <c r="K3860" s="18" t="n">
        <v>1</v>
      </c>
      <c r="L3860" s="18" t="n">
        <v>2</v>
      </c>
      <c r="M3860" s="18" t="n">
        <v>15</v>
      </c>
      <c r="N3860" s="18" t="n">
        <v>15</v>
      </c>
      <c r="O3860" s="14" t="s">
        <v>1097</v>
      </c>
      <c r="P3860" s="14" t="s">
        <v>84</v>
      </c>
      <c r="Q3860" s="15" t="s">
        <v>1089</v>
      </c>
      <c r="R3860" s="16" t="s">
        <v>23986</v>
      </c>
      <c r="S3860" s="15" t="s">
        <v>23987</v>
      </c>
      <c r="T3860" s="15" t="s">
        <v>23987</v>
      </c>
      <c r="U3860" s="21" t="s">
        <v>72</v>
      </c>
    </row>
    <row r="3861" customFormat="false" ht="15" hidden="false" customHeight="false" outlineLevel="0" collapsed="false">
      <c r="A3861" s="15" t="s">
        <v>23371</v>
      </c>
      <c r="B3861" s="15" t="s">
        <v>23841</v>
      </c>
      <c r="C3861" s="14" t="s">
        <v>23988</v>
      </c>
      <c r="D3861" s="14" t="s">
        <v>23989</v>
      </c>
      <c r="E3861" s="16" t="s">
        <v>23990</v>
      </c>
      <c r="F3861" s="16" t="s">
        <v>23991</v>
      </c>
      <c r="G3861" s="23" t="s">
        <v>43</v>
      </c>
      <c r="H3861" s="18" t="n">
        <v>1</v>
      </c>
      <c r="I3861" s="20" t="n">
        <v>63.2</v>
      </c>
      <c r="J3861" s="20" t="n">
        <v>154.8</v>
      </c>
      <c r="K3861" s="18" t="n">
        <v>1</v>
      </c>
      <c r="L3861" s="18" t="n">
        <v>1</v>
      </c>
      <c r="M3861" s="18" t="n">
        <v>25</v>
      </c>
      <c r="N3861" s="18" t="n">
        <v>25</v>
      </c>
      <c r="O3861" s="14" t="s">
        <v>1088</v>
      </c>
      <c r="P3861" s="14" t="s">
        <v>84</v>
      </c>
      <c r="Q3861" s="15" t="s">
        <v>1089</v>
      </c>
      <c r="R3861" s="16" t="s">
        <v>9660</v>
      </c>
      <c r="S3861" s="15" t="s">
        <v>23992</v>
      </c>
      <c r="T3861" s="15" t="s">
        <v>23992</v>
      </c>
      <c r="U3861" s="21" t="s">
        <v>72</v>
      </c>
    </row>
    <row r="3862" customFormat="false" ht="15" hidden="false" customHeight="false" outlineLevel="0" collapsed="false">
      <c r="A3862" s="15" t="s">
        <v>23371</v>
      </c>
      <c r="B3862" s="15" t="s">
        <v>23841</v>
      </c>
      <c r="C3862" s="14" t="s">
        <v>23993</v>
      </c>
      <c r="D3862" s="14" t="s">
        <v>23994</v>
      </c>
      <c r="E3862" s="16" t="s">
        <v>23995</v>
      </c>
      <c r="F3862" s="16" t="s">
        <v>23996</v>
      </c>
      <c r="G3862" s="25" t="s">
        <v>39</v>
      </c>
      <c r="H3862" s="18" t="n">
        <v>2</v>
      </c>
      <c r="I3862" s="20" t="n">
        <v>86</v>
      </c>
      <c r="J3862" s="20" t="n">
        <v>542.69</v>
      </c>
      <c r="K3862" s="18" t="n">
        <v>4</v>
      </c>
      <c r="L3862" s="18" t="n">
        <v>6</v>
      </c>
      <c r="M3862" s="18" t="n">
        <v>60</v>
      </c>
      <c r="N3862" s="18" t="n">
        <v>60</v>
      </c>
      <c r="O3862" s="14" t="s">
        <v>1126</v>
      </c>
      <c r="P3862" s="14" t="s">
        <v>84</v>
      </c>
      <c r="Q3862" s="15" t="s">
        <v>1089</v>
      </c>
      <c r="R3862" s="16" t="s">
        <v>18618</v>
      </c>
      <c r="S3862" s="15" t="s">
        <v>23997</v>
      </c>
      <c r="T3862" s="15" t="s">
        <v>23998</v>
      </c>
      <c r="U3862" s="21" t="s">
        <v>72</v>
      </c>
    </row>
    <row r="3863" customFormat="false" ht="15" hidden="false" customHeight="false" outlineLevel="0" collapsed="false">
      <c r="A3863" s="15" t="s">
        <v>23371</v>
      </c>
      <c r="B3863" s="15" t="s">
        <v>23841</v>
      </c>
      <c r="C3863" s="14" t="s">
        <v>23999</v>
      </c>
      <c r="D3863" s="14" t="s">
        <v>24000</v>
      </c>
      <c r="E3863" s="16" t="s">
        <v>24001</v>
      </c>
      <c r="F3863" s="16" t="s">
        <v>24002</v>
      </c>
      <c r="G3863" s="23" t="s">
        <v>43</v>
      </c>
      <c r="H3863" s="18" t="n">
        <v>2</v>
      </c>
      <c r="I3863" s="20" t="n">
        <v>107</v>
      </c>
      <c r="J3863" s="20" t="n">
        <v>144</v>
      </c>
      <c r="K3863" s="18" t="n">
        <v>1</v>
      </c>
      <c r="L3863" s="18" t="n">
        <v>2</v>
      </c>
      <c r="M3863" s="18" t="n">
        <v>89</v>
      </c>
      <c r="N3863" s="18" t="n">
        <v>89</v>
      </c>
      <c r="O3863" s="14" t="s">
        <v>1126</v>
      </c>
      <c r="P3863" s="14" t="s">
        <v>84</v>
      </c>
      <c r="Q3863" s="15" t="s">
        <v>1089</v>
      </c>
      <c r="R3863" s="16" t="s">
        <v>4519</v>
      </c>
      <c r="S3863" s="15" t="s">
        <v>24003</v>
      </c>
      <c r="T3863" s="15" t="s">
        <v>24003</v>
      </c>
      <c r="U3863" s="21" t="s">
        <v>72</v>
      </c>
    </row>
    <row r="3864" customFormat="false" ht="15" hidden="false" customHeight="false" outlineLevel="0" collapsed="false">
      <c r="A3864" s="15" t="s">
        <v>23371</v>
      </c>
      <c r="B3864" s="15" t="s">
        <v>23841</v>
      </c>
      <c r="C3864" s="14" t="s">
        <v>24004</v>
      </c>
      <c r="D3864" s="14" t="s">
        <v>24005</v>
      </c>
      <c r="E3864" s="16" t="s">
        <v>24006</v>
      </c>
      <c r="F3864" s="16" t="s">
        <v>24007</v>
      </c>
      <c r="G3864" s="23" t="s">
        <v>43</v>
      </c>
      <c r="H3864" s="18" t="n">
        <v>3</v>
      </c>
      <c r="I3864" s="20" t="n">
        <v>87.12</v>
      </c>
      <c r="J3864" s="20" t="n">
        <v>184.49</v>
      </c>
      <c r="K3864" s="18" t="n">
        <v>2</v>
      </c>
      <c r="L3864" s="18" t="n">
        <v>3</v>
      </c>
      <c r="M3864" s="18" t="n">
        <v>60</v>
      </c>
      <c r="N3864" s="18" t="n">
        <v>60</v>
      </c>
      <c r="O3864" s="14" t="s">
        <v>1126</v>
      </c>
      <c r="P3864" s="14" t="s">
        <v>84</v>
      </c>
      <c r="Q3864" s="15" t="s">
        <v>1089</v>
      </c>
      <c r="R3864" s="16" t="s">
        <v>24008</v>
      </c>
      <c r="S3864" s="15" t="s">
        <v>24009</v>
      </c>
      <c r="T3864" s="15" t="s">
        <v>24010</v>
      </c>
      <c r="U3864" s="21" t="s">
        <v>72</v>
      </c>
    </row>
    <row r="3865" customFormat="false" ht="15" hidden="false" customHeight="false" outlineLevel="0" collapsed="false">
      <c r="A3865" s="15" t="s">
        <v>23371</v>
      </c>
      <c r="B3865" s="15" t="s">
        <v>23841</v>
      </c>
      <c r="C3865" s="14" t="s">
        <v>24011</v>
      </c>
      <c r="D3865" s="14" t="s">
        <v>24012</v>
      </c>
      <c r="E3865" s="16" t="s">
        <v>24013</v>
      </c>
      <c r="F3865" s="16" t="s">
        <v>24014</v>
      </c>
      <c r="G3865" s="23" t="s">
        <v>43</v>
      </c>
      <c r="H3865" s="18" t="n">
        <v>2</v>
      </c>
      <c r="I3865" s="20" t="n">
        <v>41.6</v>
      </c>
      <c r="J3865" s="20" t="n">
        <v>114.7</v>
      </c>
      <c r="K3865" s="18" t="n">
        <v>1</v>
      </c>
      <c r="L3865" s="18" t="n">
        <v>1</v>
      </c>
      <c r="M3865" s="18" t="n">
        <v>30</v>
      </c>
      <c r="N3865" s="18" t="n">
        <v>30</v>
      </c>
      <c r="O3865" s="14" t="s">
        <v>1088</v>
      </c>
      <c r="P3865" s="14" t="s">
        <v>84</v>
      </c>
      <c r="Q3865" s="15" t="s">
        <v>1089</v>
      </c>
      <c r="R3865" s="16" t="s">
        <v>24015</v>
      </c>
      <c r="S3865" s="15" t="s">
        <v>24016</v>
      </c>
      <c r="T3865" s="15" t="s">
        <v>24016</v>
      </c>
      <c r="U3865" s="21" t="s">
        <v>72</v>
      </c>
    </row>
    <row r="3866" customFormat="false" ht="15" hidden="false" customHeight="false" outlineLevel="0" collapsed="false">
      <c r="A3866" s="15" t="s">
        <v>23371</v>
      </c>
      <c r="B3866" s="15" t="s">
        <v>23841</v>
      </c>
      <c r="C3866" s="14" t="s">
        <v>24017</v>
      </c>
      <c r="D3866" s="14" t="s">
        <v>24018</v>
      </c>
      <c r="E3866" s="16" t="s">
        <v>24019</v>
      </c>
      <c r="F3866" s="16" t="s">
        <v>24020</v>
      </c>
      <c r="G3866" s="23" t="s">
        <v>43</v>
      </c>
      <c r="H3866" s="18" t="n">
        <v>2</v>
      </c>
      <c r="I3866" s="20" t="n">
        <v>66</v>
      </c>
      <c r="J3866" s="20" t="n">
        <v>146</v>
      </c>
      <c r="K3866" s="18" t="n">
        <v>2</v>
      </c>
      <c r="L3866" s="18" t="n">
        <v>3</v>
      </c>
      <c r="M3866" s="18" t="n">
        <v>56</v>
      </c>
      <c r="N3866" s="18" t="n">
        <v>56</v>
      </c>
      <c r="O3866" s="14" t="s">
        <v>1126</v>
      </c>
      <c r="P3866" s="14" t="s">
        <v>84</v>
      </c>
      <c r="Q3866" s="15" t="s">
        <v>1089</v>
      </c>
      <c r="R3866" s="16" t="s">
        <v>24021</v>
      </c>
      <c r="S3866" s="15" t="s">
        <v>24022</v>
      </c>
      <c r="T3866" s="15" t="s">
        <v>24022</v>
      </c>
      <c r="U3866" s="21" t="s">
        <v>72</v>
      </c>
    </row>
    <row r="3867" customFormat="false" ht="15" hidden="false" customHeight="false" outlineLevel="0" collapsed="false">
      <c r="A3867" s="15" t="s">
        <v>23371</v>
      </c>
      <c r="B3867" s="15" t="s">
        <v>23841</v>
      </c>
      <c r="C3867" s="14" t="s">
        <v>24023</v>
      </c>
      <c r="D3867" s="14" t="s">
        <v>24024</v>
      </c>
      <c r="E3867" s="16" t="s">
        <v>24025</v>
      </c>
      <c r="F3867" s="16" t="s">
        <v>24026</v>
      </c>
      <c r="G3867" s="23" t="s">
        <v>43</v>
      </c>
      <c r="H3867" s="18" t="n">
        <v>1</v>
      </c>
      <c r="I3867" s="20" t="n">
        <v>31.84</v>
      </c>
      <c r="J3867" s="20" t="n">
        <v>116</v>
      </c>
      <c r="K3867" s="18" t="n">
        <v>1</v>
      </c>
      <c r="L3867" s="18" t="n">
        <v>1</v>
      </c>
      <c r="M3867" s="18" t="n">
        <v>15</v>
      </c>
      <c r="N3867" s="18" t="n">
        <v>15</v>
      </c>
      <c r="O3867" s="14" t="s">
        <v>1126</v>
      </c>
      <c r="P3867" s="14" t="s">
        <v>84</v>
      </c>
      <c r="Q3867" s="15" t="s">
        <v>1089</v>
      </c>
      <c r="R3867" s="16" t="s">
        <v>24027</v>
      </c>
      <c r="S3867" s="15" t="s">
        <v>24028</v>
      </c>
      <c r="T3867" s="15" t="s">
        <v>24028</v>
      </c>
      <c r="U3867" s="21" t="s">
        <v>72</v>
      </c>
    </row>
    <row r="3868" customFormat="false" ht="15" hidden="false" customHeight="false" outlineLevel="0" collapsed="false">
      <c r="A3868" s="15" t="s">
        <v>23371</v>
      </c>
      <c r="B3868" s="15" t="s">
        <v>23841</v>
      </c>
      <c r="C3868" s="14" t="s">
        <v>24029</v>
      </c>
      <c r="D3868" s="14" t="s">
        <v>24030</v>
      </c>
      <c r="E3868" s="16" t="s">
        <v>24031</v>
      </c>
      <c r="F3868" s="16" t="s">
        <v>24032</v>
      </c>
      <c r="G3868" s="23" t="s">
        <v>43</v>
      </c>
      <c r="H3868" s="18" t="n">
        <v>2</v>
      </c>
      <c r="I3868" s="20" t="n">
        <v>86</v>
      </c>
      <c r="J3868" s="20" t="n">
        <v>171</v>
      </c>
      <c r="K3868" s="18" t="n">
        <v>1</v>
      </c>
      <c r="L3868" s="18" t="n">
        <v>1</v>
      </c>
      <c r="M3868" s="18" t="n">
        <v>72</v>
      </c>
      <c r="N3868" s="18" t="n">
        <v>72</v>
      </c>
      <c r="O3868" s="14" t="s">
        <v>1088</v>
      </c>
      <c r="P3868" s="14" t="s">
        <v>84</v>
      </c>
      <c r="Q3868" s="15" t="s">
        <v>1089</v>
      </c>
      <c r="R3868" s="16" t="s">
        <v>23783</v>
      </c>
      <c r="S3868" s="15" t="s">
        <v>24033</v>
      </c>
      <c r="T3868" s="15" t="s">
        <v>24034</v>
      </c>
      <c r="U3868" s="21" t="s">
        <v>72</v>
      </c>
    </row>
    <row r="3869" customFormat="false" ht="15" hidden="false" customHeight="false" outlineLevel="0" collapsed="false">
      <c r="A3869" s="15" t="s">
        <v>23371</v>
      </c>
      <c r="B3869" s="15" t="s">
        <v>23841</v>
      </c>
      <c r="C3869" s="14" t="s">
        <v>24035</v>
      </c>
      <c r="D3869" s="14" t="s">
        <v>24036</v>
      </c>
      <c r="E3869" s="16" t="s">
        <v>24037</v>
      </c>
      <c r="F3869" s="16"/>
      <c r="G3869" s="23" t="s">
        <v>43</v>
      </c>
      <c r="H3869" s="18" t="n">
        <v>1</v>
      </c>
      <c r="I3869" s="20" t="n">
        <v>39.6</v>
      </c>
      <c r="J3869" s="20" t="n">
        <v>74.44</v>
      </c>
      <c r="K3869" s="18" t="n">
        <v>1</v>
      </c>
      <c r="L3869" s="18" t="n">
        <v>6</v>
      </c>
      <c r="M3869" s="18" t="n">
        <v>15</v>
      </c>
      <c r="N3869" s="18" t="n">
        <v>15</v>
      </c>
      <c r="O3869" s="14" t="s">
        <v>1126</v>
      </c>
      <c r="P3869" s="14" t="s">
        <v>84</v>
      </c>
      <c r="Q3869" s="15" t="s">
        <v>1089</v>
      </c>
      <c r="R3869" s="16" t="s">
        <v>24038</v>
      </c>
      <c r="S3869" s="15" t="s">
        <v>24039</v>
      </c>
      <c r="T3869" s="15" t="s">
        <v>24040</v>
      </c>
      <c r="U3869" s="21" t="s">
        <v>72</v>
      </c>
    </row>
    <row r="3870" customFormat="false" ht="15" hidden="false" customHeight="false" outlineLevel="0" collapsed="false">
      <c r="A3870" s="15" t="s">
        <v>23371</v>
      </c>
      <c r="B3870" s="15" t="s">
        <v>23841</v>
      </c>
      <c r="C3870" s="14" t="s">
        <v>24041</v>
      </c>
      <c r="D3870" s="14" t="s">
        <v>24042</v>
      </c>
      <c r="E3870" s="16" t="s">
        <v>24043</v>
      </c>
      <c r="F3870" s="16" t="s">
        <v>24044</v>
      </c>
      <c r="G3870" s="23" t="s">
        <v>43</v>
      </c>
      <c r="H3870" s="18" t="n">
        <v>2</v>
      </c>
      <c r="I3870" s="20" t="n">
        <v>35.8</v>
      </c>
      <c r="J3870" s="20" t="n">
        <v>72</v>
      </c>
      <c r="K3870" s="18" t="n">
        <v>2</v>
      </c>
      <c r="L3870" s="18" t="n">
        <v>1</v>
      </c>
      <c r="M3870" s="18" t="n">
        <v>20</v>
      </c>
      <c r="N3870" s="18" t="n">
        <v>20</v>
      </c>
      <c r="O3870" s="14" t="s">
        <v>1126</v>
      </c>
      <c r="P3870" s="14" t="s">
        <v>84</v>
      </c>
      <c r="Q3870" s="15" t="s">
        <v>1089</v>
      </c>
      <c r="R3870" s="16" t="s">
        <v>24045</v>
      </c>
      <c r="S3870" s="15" t="s">
        <v>24046</v>
      </c>
      <c r="T3870" s="15" t="s">
        <v>24047</v>
      </c>
      <c r="U3870" s="21" t="s">
        <v>72</v>
      </c>
    </row>
    <row r="3871" customFormat="false" ht="15" hidden="false" customHeight="false" outlineLevel="0" collapsed="false">
      <c r="A3871" s="15" t="s">
        <v>23371</v>
      </c>
      <c r="B3871" s="15" t="s">
        <v>23841</v>
      </c>
      <c r="C3871" s="14" t="s">
        <v>24048</v>
      </c>
      <c r="D3871" s="14" t="s">
        <v>24049</v>
      </c>
      <c r="E3871" s="16" t="s">
        <v>24050</v>
      </c>
      <c r="F3871" s="16"/>
      <c r="G3871" s="23" t="s">
        <v>43</v>
      </c>
      <c r="H3871" s="18" t="n">
        <v>1</v>
      </c>
      <c r="I3871" s="20" t="n">
        <v>72.62</v>
      </c>
      <c r="J3871" s="20" t="n">
        <v>116.08</v>
      </c>
      <c r="K3871" s="18" t="n">
        <v>2</v>
      </c>
      <c r="L3871" s="18" t="n">
        <v>3</v>
      </c>
      <c r="M3871" s="18" t="n">
        <v>80</v>
      </c>
      <c r="N3871" s="18" t="n">
        <v>80</v>
      </c>
      <c r="O3871" s="14" t="s">
        <v>1126</v>
      </c>
      <c r="P3871" s="14" t="s">
        <v>202</v>
      </c>
      <c r="Q3871" s="15" t="s">
        <v>1089</v>
      </c>
      <c r="R3871" s="16" t="s">
        <v>24051</v>
      </c>
      <c r="S3871" s="15" t="s">
        <v>24052</v>
      </c>
      <c r="T3871" s="15" t="s">
        <v>21461</v>
      </c>
      <c r="U3871" s="21" t="s">
        <v>72</v>
      </c>
    </row>
    <row r="3872" customFormat="false" ht="15" hidden="false" customHeight="false" outlineLevel="0" collapsed="false">
      <c r="A3872" s="15" t="s">
        <v>23371</v>
      </c>
      <c r="B3872" s="15" t="s">
        <v>23841</v>
      </c>
      <c r="C3872" s="14" t="s">
        <v>24053</v>
      </c>
      <c r="D3872" s="14" t="s">
        <v>24054</v>
      </c>
      <c r="E3872" s="16" t="s">
        <v>24055</v>
      </c>
      <c r="F3872" s="16"/>
      <c r="G3872" s="23" t="s">
        <v>43</v>
      </c>
      <c r="H3872" s="18" t="n">
        <v>2</v>
      </c>
      <c r="I3872" s="20" t="n">
        <v>46.5</v>
      </c>
      <c r="J3872" s="20" t="n">
        <v>171</v>
      </c>
      <c r="K3872" s="18" t="n">
        <v>1</v>
      </c>
      <c r="L3872" s="18" t="n">
        <v>1</v>
      </c>
      <c r="M3872" s="18" t="n">
        <v>38</v>
      </c>
      <c r="N3872" s="18" t="n">
        <v>38</v>
      </c>
      <c r="O3872" s="14" t="s">
        <v>1126</v>
      </c>
      <c r="P3872" s="14" t="s">
        <v>84</v>
      </c>
      <c r="Q3872" s="15" t="s">
        <v>1089</v>
      </c>
      <c r="R3872" s="16" t="s">
        <v>24056</v>
      </c>
      <c r="S3872" s="15" t="s">
        <v>24057</v>
      </c>
      <c r="T3872" s="15" t="s">
        <v>24057</v>
      </c>
      <c r="U3872" s="21" t="s">
        <v>72</v>
      </c>
    </row>
    <row r="3873" customFormat="false" ht="15" hidden="false" customHeight="false" outlineLevel="0" collapsed="false">
      <c r="A3873" s="15" t="s">
        <v>23371</v>
      </c>
      <c r="B3873" s="15" t="s">
        <v>23841</v>
      </c>
      <c r="C3873" s="14" t="s">
        <v>24058</v>
      </c>
      <c r="D3873" s="14" t="s">
        <v>24059</v>
      </c>
      <c r="E3873" s="16" t="s">
        <v>24060</v>
      </c>
      <c r="F3873" s="16" t="s">
        <v>24061</v>
      </c>
      <c r="G3873" s="23" t="s">
        <v>43</v>
      </c>
      <c r="H3873" s="18" t="n">
        <v>2</v>
      </c>
      <c r="I3873" s="20" t="n">
        <v>95.98</v>
      </c>
      <c r="J3873" s="20" t="n">
        <v>153.8</v>
      </c>
      <c r="K3873" s="18" t="n">
        <v>15</v>
      </c>
      <c r="L3873" s="18" t="n">
        <v>2</v>
      </c>
      <c r="M3873" s="18" t="n">
        <v>150</v>
      </c>
      <c r="N3873" s="18" t="n">
        <v>30</v>
      </c>
      <c r="O3873" s="14" t="s">
        <v>1097</v>
      </c>
      <c r="P3873" s="14" t="s">
        <v>118</v>
      </c>
      <c r="Q3873" s="15" t="s">
        <v>1089</v>
      </c>
      <c r="R3873" s="16" t="s">
        <v>24062</v>
      </c>
      <c r="S3873" s="15" t="s">
        <v>24063</v>
      </c>
      <c r="T3873" s="15" t="s">
        <v>24064</v>
      </c>
      <c r="U3873" s="21" t="s">
        <v>72</v>
      </c>
    </row>
    <row r="3874" customFormat="false" ht="15" hidden="false" customHeight="false" outlineLevel="0" collapsed="false">
      <c r="A3874" s="15" t="s">
        <v>23371</v>
      </c>
      <c r="B3874" s="15" t="s">
        <v>23841</v>
      </c>
      <c r="C3874" s="14" t="s">
        <v>24065</v>
      </c>
      <c r="D3874" s="14" t="s">
        <v>24066</v>
      </c>
      <c r="E3874" s="16" t="s">
        <v>24067</v>
      </c>
      <c r="F3874" s="16" t="s">
        <v>24068</v>
      </c>
      <c r="G3874" s="23" t="s">
        <v>43</v>
      </c>
      <c r="H3874" s="18" t="n">
        <v>2</v>
      </c>
      <c r="I3874" s="20" t="n">
        <v>52.3</v>
      </c>
      <c r="J3874" s="20" t="n">
        <v>108.8</v>
      </c>
      <c r="K3874" s="18" t="n">
        <v>2</v>
      </c>
      <c r="L3874" s="18" t="n">
        <v>1</v>
      </c>
      <c r="M3874" s="18" t="n">
        <v>30</v>
      </c>
      <c r="N3874" s="18" t="n">
        <v>15</v>
      </c>
      <c r="O3874" s="14" t="s">
        <v>1088</v>
      </c>
      <c r="P3874" s="14" t="s">
        <v>84</v>
      </c>
      <c r="Q3874" s="15" t="s">
        <v>1089</v>
      </c>
      <c r="R3874" s="16" t="s">
        <v>24069</v>
      </c>
      <c r="S3874" s="15" t="s">
        <v>24070</v>
      </c>
      <c r="T3874" s="15" t="s">
        <v>24071</v>
      </c>
      <c r="U3874" s="21" t="s">
        <v>72</v>
      </c>
    </row>
    <row r="3875" customFormat="false" ht="15" hidden="false" customHeight="false" outlineLevel="0" collapsed="false">
      <c r="A3875" s="15" t="s">
        <v>23371</v>
      </c>
      <c r="B3875" s="15" t="s">
        <v>24072</v>
      </c>
      <c r="C3875" s="14" t="s">
        <v>24073</v>
      </c>
      <c r="D3875" s="14" t="s">
        <v>24074</v>
      </c>
      <c r="E3875" s="16" t="s">
        <v>24075</v>
      </c>
      <c r="F3875" s="16" t="s">
        <v>24076</v>
      </c>
      <c r="G3875" s="23" t="s">
        <v>43</v>
      </c>
      <c r="H3875" s="18" t="n">
        <v>2</v>
      </c>
      <c r="I3875" s="20" t="n">
        <v>47.99</v>
      </c>
      <c r="J3875" s="20" t="n">
        <v>70.04</v>
      </c>
      <c r="K3875" s="18" t="n">
        <v>2</v>
      </c>
      <c r="L3875" s="18" t="n">
        <v>1</v>
      </c>
      <c r="M3875" s="18" t="n">
        <v>30</v>
      </c>
      <c r="N3875" s="18" t="n">
        <v>30</v>
      </c>
      <c r="O3875" s="14" t="s">
        <v>1126</v>
      </c>
      <c r="P3875" s="14" t="s">
        <v>84</v>
      </c>
      <c r="Q3875" s="15" t="s">
        <v>1089</v>
      </c>
      <c r="R3875" s="16" t="s">
        <v>24077</v>
      </c>
      <c r="S3875" s="15" t="s">
        <v>24078</v>
      </c>
      <c r="T3875" s="15" t="s">
        <v>24079</v>
      </c>
      <c r="U3875" s="21" t="s">
        <v>72</v>
      </c>
    </row>
    <row r="3876" customFormat="false" ht="15" hidden="false" customHeight="false" outlineLevel="0" collapsed="false">
      <c r="A3876" s="15" t="s">
        <v>23371</v>
      </c>
      <c r="B3876" s="15" t="s">
        <v>24080</v>
      </c>
      <c r="C3876" s="14" t="s">
        <v>24081</v>
      </c>
      <c r="D3876" s="14" t="s">
        <v>24082</v>
      </c>
      <c r="E3876" s="16" t="s">
        <v>24083</v>
      </c>
      <c r="F3876" s="16" t="s">
        <v>24084</v>
      </c>
      <c r="G3876" s="23" t="s">
        <v>43</v>
      </c>
      <c r="H3876" s="18" t="n">
        <v>2</v>
      </c>
      <c r="I3876" s="20" t="n">
        <v>44.42</v>
      </c>
      <c r="J3876" s="20" t="n">
        <v>92.45</v>
      </c>
      <c r="K3876" s="18" t="n">
        <v>2</v>
      </c>
      <c r="L3876" s="18" t="n">
        <v>2</v>
      </c>
      <c r="M3876" s="18" t="n">
        <v>30</v>
      </c>
      <c r="N3876" s="18" t="n">
        <v>30</v>
      </c>
      <c r="O3876" s="14" t="s">
        <v>1097</v>
      </c>
      <c r="P3876" s="14" t="s">
        <v>84</v>
      </c>
      <c r="Q3876" s="15" t="s">
        <v>1089</v>
      </c>
      <c r="R3876" s="16" t="s">
        <v>22536</v>
      </c>
      <c r="S3876" s="15" t="s">
        <v>24085</v>
      </c>
      <c r="T3876" s="15" t="s">
        <v>24085</v>
      </c>
      <c r="U3876" s="21" t="s">
        <v>72</v>
      </c>
    </row>
    <row r="3877" customFormat="false" ht="15" hidden="false" customHeight="false" outlineLevel="0" collapsed="false">
      <c r="A3877" s="15" t="s">
        <v>23371</v>
      </c>
      <c r="B3877" s="15" t="s">
        <v>24080</v>
      </c>
      <c r="C3877" s="14" t="s">
        <v>24086</v>
      </c>
      <c r="D3877" s="14" t="s">
        <v>24087</v>
      </c>
      <c r="E3877" s="16" t="s">
        <v>24088</v>
      </c>
      <c r="F3877" s="16" t="s">
        <v>24089</v>
      </c>
      <c r="G3877" s="23" t="s">
        <v>43</v>
      </c>
      <c r="H3877" s="18" t="n">
        <v>1</v>
      </c>
      <c r="I3877" s="20" t="n">
        <v>34.15</v>
      </c>
      <c r="J3877" s="20" t="n">
        <v>44</v>
      </c>
      <c r="K3877" s="18" t="n">
        <v>6</v>
      </c>
      <c r="L3877" s="18" t="n">
        <v>1</v>
      </c>
      <c r="M3877" s="18" t="n">
        <v>72</v>
      </c>
      <c r="N3877" s="18" t="n">
        <v>72</v>
      </c>
      <c r="O3877" s="14" t="s">
        <v>1088</v>
      </c>
      <c r="P3877" s="14" t="s">
        <v>84</v>
      </c>
      <c r="Q3877" s="15" t="s">
        <v>1089</v>
      </c>
      <c r="R3877" s="16" t="s">
        <v>9731</v>
      </c>
      <c r="S3877" s="15" t="s">
        <v>17600</v>
      </c>
      <c r="T3877" s="15" t="s">
        <v>17600</v>
      </c>
      <c r="U3877" s="21" t="s">
        <v>72</v>
      </c>
    </row>
    <row r="3878" customFormat="false" ht="15" hidden="false" customHeight="false" outlineLevel="0" collapsed="false">
      <c r="A3878" s="15" t="s">
        <v>23371</v>
      </c>
      <c r="B3878" s="15" t="s">
        <v>24080</v>
      </c>
      <c r="C3878" s="14" t="s">
        <v>24090</v>
      </c>
      <c r="D3878" s="14" t="s">
        <v>24091</v>
      </c>
      <c r="E3878" s="16" t="s">
        <v>24092</v>
      </c>
      <c r="F3878" s="16" t="s">
        <v>24093</v>
      </c>
      <c r="G3878" s="23" t="s">
        <v>43</v>
      </c>
      <c r="H3878" s="18" t="n">
        <v>2</v>
      </c>
      <c r="I3878" s="20" t="n">
        <v>47.3</v>
      </c>
      <c r="J3878" s="20" t="n">
        <v>139.5</v>
      </c>
      <c r="K3878" s="18" t="n">
        <v>2</v>
      </c>
      <c r="L3878" s="18" t="n">
        <v>1</v>
      </c>
      <c r="M3878" s="18" t="n">
        <v>40</v>
      </c>
      <c r="N3878" s="18" t="n">
        <v>40</v>
      </c>
      <c r="O3878" s="14" t="s">
        <v>1126</v>
      </c>
      <c r="P3878" s="14" t="s">
        <v>84</v>
      </c>
      <c r="Q3878" s="15" t="s">
        <v>1089</v>
      </c>
      <c r="R3878" s="16" t="s">
        <v>15347</v>
      </c>
      <c r="S3878" s="15" t="s">
        <v>24094</v>
      </c>
      <c r="T3878" s="15" t="s">
        <v>24094</v>
      </c>
      <c r="U3878" s="21" t="s">
        <v>72</v>
      </c>
    </row>
    <row r="3879" customFormat="false" ht="15" hidden="false" customHeight="false" outlineLevel="0" collapsed="false">
      <c r="A3879" s="15" t="s">
        <v>23371</v>
      </c>
      <c r="B3879" s="15" t="s">
        <v>24080</v>
      </c>
      <c r="C3879" s="14" t="s">
        <v>24095</v>
      </c>
      <c r="D3879" s="14" t="s">
        <v>24096</v>
      </c>
      <c r="E3879" s="16" t="s">
        <v>24097</v>
      </c>
      <c r="F3879" s="16"/>
      <c r="G3879" s="23" t="s">
        <v>43</v>
      </c>
      <c r="H3879" s="18" t="n">
        <v>1</v>
      </c>
      <c r="I3879" s="20" t="n">
        <v>35.82</v>
      </c>
      <c r="J3879" s="20" t="n">
        <v>90.72</v>
      </c>
      <c r="K3879" s="18" t="n">
        <v>2</v>
      </c>
      <c r="L3879" s="18" t="n">
        <v>1</v>
      </c>
      <c r="M3879" s="18" t="n">
        <v>30</v>
      </c>
      <c r="N3879" s="18" t="n">
        <v>30</v>
      </c>
      <c r="O3879" s="14" t="s">
        <v>1088</v>
      </c>
      <c r="P3879" s="14" t="s">
        <v>84</v>
      </c>
      <c r="Q3879" s="15" t="s">
        <v>1089</v>
      </c>
      <c r="R3879" s="16" t="s">
        <v>24098</v>
      </c>
      <c r="S3879" s="15" t="s">
        <v>24099</v>
      </c>
      <c r="T3879" s="15" t="s">
        <v>24099</v>
      </c>
      <c r="U3879" s="21" t="s">
        <v>72</v>
      </c>
    </row>
    <row r="3880" customFormat="false" ht="15" hidden="false" customHeight="false" outlineLevel="0" collapsed="false">
      <c r="A3880" s="15" t="s">
        <v>23371</v>
      </c>
      <c r="B3880" s="15" t="s">
        <v>24100</v>
      </c>
      <c r="C3880" s="14" t="s">
        <v>24101</v>
      </c>
      <c r="D3880" s="14" t="s">
        <v>24102</v>
      </c>
      <c r="E3880" s="16" t="s">
        <v>24103</v>
      </c>
      <c r="F3880" s="16" t="s">
        <v>24104</v>
      </c>
      <c r="G3880" s="23" t="s">
        <v>43</v>
      </c>
      <c r="H3880" s="18" t="n">
        <v>2</v>
      </c>
      <c r="I3880" s="20" t="n">
        <v>60</v>
      </c>
      <c r="J3880" s="20" t="n">
        <v>88.54</v>
      </c>
      <c r="K3880" s="18" t="n">
        <v>2</v>
      </c>
      <c r="L3880" s="18" t="n">
        <v>5</v>
      </c>
      <c r="M3880" s="18" t="n">
        <v>60</v>
      </c>
      <c r="N3880" s="18" t="n">
        <v>30</v>
      </c>
      <c r="O3880" s="14" t="s">
        <v>1126</v>
      </c>
      <c r="P3880" s="14" t="s">
        <v>118</v>
      </c>
      <c r="Q3880" s="15" t="s">
        <v>1089</v>
      </c>
      <c r="R3880" s="16" t="s">
        <v>24105</v>
      </c>
      <c r="S3880" s="15" t="s">
        <v>24106</v>
      </c>
      <c r="T3880" s="15" t="s">
        <v>24107</v>
      </c>
      <c r="U3880" s="21" t="s">
        <v>72</v>
      </c>
    </row>
    <row r="3881" customFormat="false" ht="26.85" hidden="false" customHeight="false" outlineLevel="0" collapsed="false">
      <c r="A3881" s="15" t="s">
        <v>23371</v>
      </c>
      <c r="B3881" s="15" t="s">
        <v>24108</v>
      </c>
      <c r="C3881" s="14" t="s">
        <v>24109</v>
      </c>
      <c r="D3881" s="14" t="s">
        <v>24110</v>
      </c>
      <c r="E3881" s="16" t="s">
        <v>24111</v>
      </c>
      <c r="F3881" s="16" t="s">
        <v>24112</v>
      </c>
      <c r="G3881" s="25" t="s">
        <v>39</v>
      </c>
      <c r="H3881" s="18" t="n">
        <v>6</v>
      </c>
      <c r="I3881" s="20" t="n">
        <v>356.2</v>
      </c>
      <c r="J3881" s="20" t="n">
        <v>644</v>
      </c>
      <c r="K3881" s="18" t="n">
        <v>5</v>
      </c>
      <c r="L3881" s="18" t="n">
        <v>3</v>
      </c>
      <c r="M3881" s="18" t="n">
        <v>100</v>
      </c>
      <c r="N3881" s="18" t="n">
        <v>20</v>
      </c>
      <c r="O3881" s="14" t="s">
        <v>1097</v>
      </c>
      <c r="P3881" s="14" t="s">
        <v>1766</v>
      </c>
      <c r="Q3881" s="15" t="s">
        <v>1089</v>
      </c>
      <c r="R3881" s="16" t="s">
        <v>6375</v>
      </c>
      <c r="S3881" s="15" t="s">
        <v>24113</v>
      </c>
      <c r="T3881" s="15" t="s">
        <v>24114</v>
      </c>
      <c r="U3881" s="21" t="s">
        <v>72</v>
      </c>
    </row>
    <row r="3882" customFormat="false" ht="15" hidden="false" customHeight="false" outlineLevel="0" collapsed="false">
      <c r="A3882" s="15" t="s">
        <v>23371</v>
      </c>
      <c r="B3882" s="15" t="s">
        <v>24108</v>
      </c>
      <c r="C3882" s="14" t="s">
        <v>24115</v>
      </c>
      <c r="D3882" s="14" t="s">
        <v>24116</v>
      </c>
      <c r="E3882" s="16" t="s">
        <v>24117</v>
      </c>
      <c r="F3882" s="16" t="s">
        <v>1595</v>
      </c>
      <c r="G3882" s="23" t="s">
        <v>43</v>
      </c>
      <c r="H3882" s="18" t="n">
        <v>2</v>
      </c>
      <c r="I3882" s="20" t="n">
        <v>51.71</v>
      </c>
      <c r="J3882" s="20" t="n">
        <v>89.54</v>
      </c>
      <c r="K3882" s="18" t="n">
        <v>4</v>
      </c>
      <c r="L3882" s="18" t="n">
        <v>5</v>
      </c>
      <c r="M3882" s="18" t="n">
        <v>48</v>
      </c>
      <c r="N3882" s="18" t="n">
        <v>48</v>
      </c>
      <c r="O3882" s="14" t="s">
        <v>1088</v>
      </c>
      <c r="P3882" s="14" t="s">
        <v>84</v>
      </c>
      <c r="Q3882" s="15" t="s">
        <v>1089</v>
      </c>
      <c r="R3882" s="16" t="s">
        <v>12617</v>
      </c>
      <c r="S3882" s="15" t="s">
        <v>23857</v>
      </c>
      <c r="T3882" s="15" t="s">
        <v>24118</v>
      </c>
      <c r="U3882" s="21" t="s">
        <v>72</v>
      </c>
    </row>
    <row r="3883" customFormat="false" ht="15" hidden="false" customHeight="false" outlineLevel="0" collapsed="false">
      <c r="A3883" s="15" t="s">
        <v>23371</v>
      </c>
      <c r="B3883" s="15" t="s">
        <v>24108</v>
      </c>
      <c r="C3883" s="14" t="s">
        <v>24119</v>
      </c>
      <c r="D3883" s="14" t="s">
        <v>24120</v>
      </c>
      <c r="E3883" s="16" t="s">
        <v>24121</v>
      </c>
      <c r="F3883" s="16" t="s">
        <v>24122</v>
      </c>
      <c r="G3883" s="19" t="s">
        <v>41</v>
      </c>
      <c r="H3883" s="18" t="n">
        <v>3</v>
      </c>
      <c r="I3883" s="20" t="n">
        <v>78</v>
      </c>
      <c r="J3883" s="20" t="n">
        <v>396</v>
      </c>
      <c r="K3883" s="18" t="n">
        <v>3</v>
      </c>
      <c r="L3883" s="18" t="n">
        <v>5</v>
      </c>
      <c r="M3883" s="18" t="n">
        <v>57</v>
      </c>
      <c r="N3883" s="18" t="n">
        <v>57</v>
      </c>
      <c r="O3883" s="14" t="s">
        <v>1126</v>
      </c>
      <c r="P3883" s="14" t="s">
        <v>84</v>
      </c>
      <c r="Q3883" s="15" t="s">
        <v>1089</v>
      </c>
      <c r="R3883" s="16" t="s">
        <v>18903</v>
      </c>
      <c r="S3883" s="15" t="s">
        <v>24123</v>
      </c>
      <c r="T3883" s="15" t="s">
        <v>24124</v>
      </c>
      <c r="U3883" s="21" t="s">
        <v>72</v>
      </c>
    </row>
    <row r="3884" customFormat="false" ht="15" hidden="false" customHeight="false" outlineLevel="0" collapsed="false">
      <c r="A3884" s="15" t="s">
        <v>23371</v>
      </c>
      <c r="B3884" s="15" t="s">
        <v>24108</v>
      </c>
      <c r="C3884" s="14" t="s">
        <v>24125</v>
      </c>
      <c r="D3884" s="14" t="s">
        <v>24126</v>
      </c>
      <c r="E3884" s="16" t="s">
        <v>24127</v>
      </c>
      <c r="F3884" s="16" t="s">
        <v>24128</v>
      </c>
      <c r="G3884" s="23" t="s">
        <v>43</v>
      </c>
      <c r="H3884" s="18" t="n">
        <v>3</v>
      </c>
      <c r="I3884" s="20" t="n">
        <v>57.8</v>
      </c>
      <c r="J3884" s="20" t="n">
        <v>147.92</v>
      </c>
      <c r="K3884" s="18" t="n">
        <v>6</v>
      </c>
      <c r="L3884" s="18" t="n">
        <v>14</v>
      </c>
      <c r="M3884" s="18" t="n">
        <v>156</v>
      </c>
      <c r="N3884" s="18" t="n">
        <v>156</v>
      </c>
      <c r="O3884" s="14" t="s">
        <v>9118</v>
      </c>
      <c r="P3884" s="14" t="s">
        <v>84</v>
      </c>
      <c r="Q3884" s="15" t="s">
        <v>1089</v>
      </c>
      <c r="R3884" s="16" t="s">
        <v>24129</v>
      </c>
      <c r="S3884" s="15" t="s">
        <v>24123</v>
      </c>
      <c r="T3884" s="15" t="s">
        <v>24130</v>
      </c>
      <c r="U3884" s="21" t="s">
        <v>72</v>
      </c>
    </row>
    <row r="3885" customFormat="false" ht="15" hidden="false" customHeight="false" outlineLevel="0" collapsed="false">
      <c r="A3885" s="15" t="s">
        <v>23371</v>
      </c>
      <c r="B3885" s="15" t="s">
        <v>24108</v>
      </c>
      <c r="C3885" s="14" t="s">
        <v>24131</v>
      </c>
      <c r="D3885" s="14" t="s">
        <v>24132</v>
      </c>
      <c r="E3885" s="16" t="s">
        <v>24133</v>
      </c>
      <c r="F3885" s="16" t="s">
        <v>24134</v>
      </c>
      <c r="G3885" s="23" t="s">
        <v>43</v>
      </c>
      <c r="H3885" s="18" t="n">
        <v>2</v>
      </c>
      <c r="I3885" s="20" t="n">
        <v>40.27</v>
      </c>
      <c r="J3885" s="20" t="n">
        <v>106.46</v>
      </c>
      <c r="K3885" s="18" t="n">
        <v>2</v>
      </c>
      <c r="L3885" s="18" t="n">
        <v>1</v>
      </c>
      <c r="M3885" s="18" t="n">
        <v>46</v>
      </c>
      <c r="N3885" s="18" t="n">
        <v>46</v>
      </c>
      <c r="O3885" s="14" t="s">
        <v>1126</v>
      </c>
      <c r="P3885" s="14" t="s">
        <v>84</v>
      </c>
      <c r="Q3885" s="15" t="s">
        <v>1089</v>
      </c>
      <c r="R3885" s="16" t="s">
        <v>24135</v>
      </c>
      <c r="S3885" s="15" t="s">
        <v>24136</v>
      </c>
      <c r="T3885" s="15" t="s">
        <v>24137</v>
      </c>
      <c r="U3885" s="21" t="s">
        <v>72</v>
      </c>
    </row>
    <row r="3886" customFormat="false" ht="15" hidden="false" customHeight="false" outlineLevel="0" collapsed="false">
      <c r="A3886" s="15" t="s">
        <v>23371</v>
      </c>
      <c r="B3886" s="15" t="s">
        <v>24108</v>
      </c>
      <c r="C3886" s="14" t="s">
        <v>24138</v>
      </c>
      <c r="D3886" s="14" t="s">
        <v>24139</v>
      </c>
      <c r="E3886" s="16" t="s">
        <v>24140</v>
      </c>
      <c r="F3886" s="16" t="s">
        <v>24141</v>
      </c>
      <c r="G3886" s="23" t="s">
        <v>43</v>
      </c>
      <c r="H3886" s="18" t="n">
        <v>4</v>
      </c>
      <c r="I3886" s="20" t="n">
        <v>71.84</v>
      </c>
      <c r="J3886" s="20" t="n">
        <v>195.79</v>
      </c>
      <c r="K3886" s="18" t="n">
        <v>8</v>
      </c>
      <c r="L3886" s="18" t="n">
        <v>4</v>
      </c>
      <c r="M3886" s="18" t="n">
        <v>92</v>
      </c>
      <c r="N3886" s="18" t="n">
        <v>62</v>
      </c>
      <c r="O3886" s="14" t="s">
        <v>1088</v>
      </c>
      <c r="P3886" s="14" t="s">
        <v>118</v>
      </c>
      <c r="Q3886" s="15" t="s">
        <v>1089</v>
      </c>
      <c r="R3886" s="16" t="s">
        <v>21850</v>
      </c>
      <c r="S3886" s="15" t="s">
        <v>24142</v>
      </c>
      <c r="T3886" s="15" t="s">
        <v>24143</v>
      </c>
      <c r="U3886" s="21" t="s">
        <v>72</v>
      </c>
    </row>
    <row r="3887" customFormat="false" ht="15" hidden="false" customHeight="false" outlineLevel="0" collapsed="false">
      <c r="A3887" s="15" t="s">
        <v>23371</v>
      </c>
      <c r="B3887" s="15" t="s">
        <v>24108</v>
      </c>
      <c r="C3887" s="14" t="s">
        <v>24144</v>
      </c>
      <c r="D3887" s="14" t="s">
        <v>24145</v>
      </c>
      <c r="E3887" s="16" t="s">
        <v>24146</v>
      </c>
      <c r="F3887" s="16" t="s">
        <v>24147</v>
      </c>
      <c r="G3887" s="23" t="s">
        <v>43</v>
      </c>
      <c r="H3887" s="18" t="n">
        <v>2</v>
      </c>
      <c r="I3887" s="20" t="n">
        <v>56.95</v>
      </c>
      <c r="J3887" s="20" t="n">
        <v>102.72</v>
      </c>
      <c r="K3887" s="18" t="n">
        <v>9</v>
      </c>
      <c r="L3887" s="18" t="n">
        <v>6</v>
      </c>
      <c r="M3887" s="18" t="n">
        <v>183</v>
      </c>
      <c r="N3887" s="18" t="n">
        <v>138</v>
      </c>
      <c r="O3887" s="14" t="s">
        <v>1126</v>
      </c>
      <c r="P3887" s="14" t="s">
        <v>118</v>
      </c>
      <c r="Q3887" s="15" t="s">
        <v>1089</v>
      </c>
      <c r="R3887" s="16" t="s">
        <v>24148</v>
      </c>
      <c r="S3887" s="15" t="s">
        <v>24149</v>
      </c>
      <c r="T3887" s="15" t="s">
        <v>24149</v>
      </c>
      <c r="U3887" s="21" t="s">
        <v>72</v>
      </c>
    </row>
    <row r="3888" customFormat="false" ht="15" hidden="false" customHeight="false" outlineLevel="0" collapsed="false">
      <c r="A3888" s="15" t="s">
        <v>23371</v>
      </c>
      <c r="B3888" s="15" t="s">
        <v>24108</v>
      </c>
      <c r="C3888" s="14" t="s">
        <v>24150</v>
      </c>
      <c r="D3888" s="14" t="s">
        <v>24151</v>
      </c>
      <c r="E3888" s="16" t="s">
        <v>24152</v>
      </c>
      <c r="F3888" s="16" t="s">
        <v>24153</v>
      </c>
      <c r="G3888" s="23" t="s">
        <v>43</v>
      </c>
      <c r="H3888" s="18" t="n">
        <v>1</v>
      </c>
      <c r="I3888" s="20" t="n">
        <v>95.2</v>
      </c>
      <c r="J3888" s="20" t="n">
        <v>39.2</v>
      </c>
      <c r="K3888" s="18" t="n">
        <v>2</v>
      </c>
      <c r="L3888" s="18" t="n">
        <v>1</v>
      </c>
      <c r="M3888" s="18" t="n">
        <v>24</v>
      </c>
      <c r="N3888" s="18" t="n">
        <v>24</v>
      </c>
      <c r="O3888" s="14" t="s">
        <v>1088</v>
      </c>
      <c r="P3888" s="14" t="s">
        <v>84</v>
      </c>
      <c r="Q3888" s="15" t="s">
        <v>1089</v>
      </c>
      <c r="R3888" s="16" t="s">
        <v>24154</v>
      </c>
      <c r="S3888" s="15" t="s">
        <v>24155</v>
      </c>
      <c r="T3888" s="15" t="s">
        <v>24155</v>
      </c>
      <c r="U3888" s="21" t="s">
        <v>72</v>
      </c>
    </row>
    <row r="3889" customFormat="false" ht="15" hidden="false" customHeight="false" outlineLevel="0" collapsed="false">
      <c r="A3889" s="15" t="s">
        <v>23371</v>
      </c>
      <c r="B3889" s="15" t="s">
        <v>24108</v>
      </c>
      <c r="C3889" s="14" t="s">
        <v>24156</v>
      </c>
      <c r="D3889" s="14" t="s">
        <v>24157</v>
      </c>
      <c r="E3889" s="16" t="s">
        <v>24158</v>
      </c>
      <c r="F3889" s="16" t="s">
        <v>24159</v>
      </c>
      <c r="G3889" s="23" t="s">
        <v>43</v>
      </c>
      <c r="H3889" s="18" t="n">
        <v>2</v>
      </c>
      <c r="I3889" s="20" t="n">
        <v>41.7</v>
      </c>
      <c r="J3889" s="20" t="n">
        <v>93.2</v>
      </c>
      <c r="K3889" s="18" t="n">
        <v>5</v>
      </c>
      <c r="L3889" s="18" t="n">
        <v>3</v>
      </c>
      <c r="M3889" s="18" t="n">
        <v>109</v>
      </c>
      <c r="N3889" s="18" t="n">
        <v>34</v>
      </c>
      <c r="O3889" s="14" t="s">
        <v>1088</v>
      </c>
      <c r="P3889" s="14" t="s">
        <v>84</v>
      </c>
      <c r="Q3889" s="15" t="s">
        <v>1089</v>
      </c>
      <c r="R3889" s="16" t="s">
        <v>7470</v>
      </c>
      <c r="S3889" s="15" t="s">
        <v>24160</v>
      </c>
      <c r="T3889" s="15" t="s">
        <v>15361</v>
      </c>
      <c r="U3889" s="21" t="s">
        <v>72</v>
      </c>
    </row>
    <row r="3890" customFormat="false" ht="15" hidden="false" customHeight="false" outlineLevel="0" collapsed="false">
      <c r="A3890" s="15" t="s">
        <v>23371</v>
      </c>
      <c r="B3890" s="15" t="s">
        <v>24108</v>
      </c>
      <c r="C3890" s="14" t="s">
        <v>24161</v>
      </c>
      <c r="D3890" s="14" t="s">
        <v>24162</v>
      </c>
      <c r="E3890" s="16" t="s">
        <v>24163</v>
      </c>
      <c r="F3890" s="16"/>
      <c r="G3890" s="23" t="s">
        <v>43</v>
      </c>
      <c r="H3890" s="18" t="n">
        <v>4</v>
      </c>
      <c r="I3890" s="20" t="n">
        <v>135.6</v>
      </c>
      <c r="J3890" s="20" t="n">
        <v>197.8</v>
      </c>
      <c r="K3890" s="18" t="n">
        <v>6</v>
      </c>
      <c r="L3890" s="18" t="n">
        <v>4</v>
      </c>
      <c r="M3890" s="18" t="n">
        <v>197</v>
      </c>
      <c r="N3890" s="18" t="n">
        <v>47</v>
      </c>
      <c r="O3890" s="14" t="s">
        <v>1088</v>
      </c>
      <c r="P3890" s="14" t="s">
        <v>118</v>
      </c>
      <c r="Q3890" s="15" t="s">
        <v>1089</v>
      </c>
      <c r="R3890" s="16" t="s">
        <v>24164</v>
      </c>
      <c r="S3890" s="15" t="s">
        <v>13002</v>
      </c>
      <c r="T3890" s="15" t="s">
        <v>24165</v>
      </c>
      <c r="U3890" s="21" t="s">
        <v>72</v>
      </c>
    </row>
    <row r="3891" customFormat="false" ht="15" hidden="false" customHeight="false" outlineLevel="0" collapsed="false">
      <c r="A3891" s="15" t="s">
        <v>23371</v>
      </c>
      <c r="B3891" s="15" t="s">
        <v>24108</v>
      </c>
      <c r="C3891" s="14" t="s">
        <v>24166</v>
      </c>
      <c r="D3891" s="14" t="s">
        <v>24167</v>
      </c>
      <c r="E3891" s="16" t="s">
        <v>24168</v>
      </c>
      <c r="F3891" s="16" t="s">
        <v>24169</v>
      </c>
      <c r="G3891" s="23" t="s">
        <v>43</v>
      </c>
      <c r="H3891" s="18" t="n">
        <v>1</v>
      </c>
      <c r="I3891" s="20" t="n">
        <v>31.53</v>
      </c>
      <c r="J3891" s="20" t="n">
        <v>81.93</v>
      </c>
      <c r="K3891" s="18" t="n">
        <v>3</v>
      </c>
      <c r="L3891" s="18" t="n">
        <v>2</v>
      </c>
      <c r="M3891" s="18" t="n">
        <v>60</v>
      </c>
      <c r="N3891" s="18" t="n">
        <v>60</v>
      </c>
      <c r="O3891" s="14" t="s">
        <v>1088</v>
      </c>
      <c r="P3891" s="14" t="s">
        <v>84</v>
      </c>
      <c r="Q3891" s="15" t="s">
        <v>1089</v>
      </c>
      <c r="R3891" s="16" t="s">
        <v>8477</v>
      </c>
      <c r="S3891" s="15" t="s">
        <v>24170</v>
      </c>
      <c r="T3891" s="15" t="s">
        <v>24170</v>
      </c>
      <c r="U3891" s="21" t="s">
        <v>72</v>
      </c>
    </row>
    <row r="3892" customFormat="false" ht="15" hidden="false" customHeight="false" outlineLevel="0" collapsed="false">
      <c r="A3892" s="15" t="s">
        <v>23371</v>
      </c>
      <c r="B3892" s="15" t="s">
        <v>24108</v>
      </c>
      <c r="C3892" s="14" t="s">
        <v>24171</v>
      </c>
      <c r="D3892" s="14" t="s">
        <v>24172</v>
      </c>
      <c r="E3892" s="16" t="s">
        <v>24173</v>
      </c>
      <c r="F3892" s="16" t="s">
        <v>24174</v>
      </c>
      <c r="G3892" s="23" t="s">
        <v>43</v>
      </c>
      <c r="H3892" s="18" t="n">
        <v>1</v>
      </c>
      <c r="I3892" s="20" t="n">
        <v>37.64</v>
      </c>
      <c r="J3892" s="20" t="n">
        <v>54.76</v>
      </c>
      <c r="K3892" s="18" t="n">
        <v>2</v>
      </c>
      <c r="L3892" s="18" t="n">
        <v>2</v>
      </c>
      <c r="M3892" s="18" t="n">
        <v>62</v>
      </c>
      <c r="N3892" s="18" t="n">
        <v>62</v>
      </c>
      <c r="O3892" s="14" t="s">
        <v>1126</v>
      </c>
      <c r="P3892" s="14" t="s">
        <v>84</v>
      </c>
      <c r="Q3892" s="15" t="s">
        <v>1089</v>
      </c>
      <c r="R3892" s="16" t="s">
        <v>24175</v>
      </c>
      <c r="S3892" s="15" t="s">
        <v>24176</v>
      </c>
      <c r="T3892" s="15" t="s">
        <v>24176</v>
      </c>
      <c r="U3892" s="21" t="s">
        <v>72</v>
      </c>
    </row>
    <row r="3893" customFormat="false" ht="15" hidden="false" customHeight="false" outlineLevel="0" collapsed="false">
      <c r="A3893" s="15" t="s">
        <v>23371</v>
      </c>
      <c r="B3893" s="15" t="s">
        <v>24108</v>
      </c>
      <c r="C3893" s="14" t="s">
        <v>24177</v>
      </c>
      <c r="D3893" s="14" t="s">
        <v>24178</v>
      </c>
      <c r="E3893" s="16" t="s">
        <v>24179</v>
      </c>
      <c r="F3893" s="16" t="s">
        <v>24180</v>
      </c>
      <c r="G3893" s="23" t="s">
        <v>43</v>
      </c>
      <c r="H3893" s="18" t="n">
        <v>3</v>
      </c>
      <c r="I3893" s="20" t="n">
        <v>72.7</v>
      </c>
      <c r="J3893" s="20" t="n">
        <v>93.2</v>
      </c>
      <c r="K3893" s="18" t="n">
        <v>3</v>
      </c>
      <c r="L3893" s="18" t="n">
        <v>1</v>
      </c>
      <c r="M3893" s="18" t="n">
        <v>30</v>
      </c>
      <c r="N3893" s="18" t="n">
        <v>30</v>
      </c>
      <c r="O3893" s="14" t="s">
        <v>1097</v>
      </c>
      <c r="P3893" s="14" t="s">
        <v>84</v>
      </c>
      <c r="Q3893" s="15" t="s">
        <v>1089</v>
      </c>
      <c r="R3893" s="16" t="s">
        <v>24181</v>
      </c>
      <c r="S3893" s="15" t="s">
        <v>24182</v>
      </c>
      <c r="T3893" s="15" t="s">
        <v>24182</v>
      </c>
      <c r="U3893" s="21" t="s">
        <v>72</v>
      </c>
    </row>
    <row r="3894" customFormat="false" ht="15" hidden="false" customHeight="false" outlineLevel="0" collapsed="false">
      <c r="A3894" s="15" t="s">
        <v>23371</v>
      </c>
      <c r="B3894" s="15" t="s">
        <v>24108</v>
      </c>
      <c r="C3894" s="14" t="s">
        <v>24183</v>
      </c>
      <c r="D3894" s="14" t="s">
        <v>24184</v>
      </c>
      <c r="E3894" s="16" t="s">
        <v>24185</v>
      </c>
      <c r="F3894" s="16" t="s">
        <v>24186</v>
      </c>
      <c r="G3894" s="19" t="s">
        <v>41</v>
      </c>
      <c r="H3894" s="18" t="n">
        <v>6</v>
      </c>
      <c r="I3894" s="20" t="n">
        <v>205.7</v>
      </c>
      <c r="J3894" s="20" t="n">
        <v>344.63</v>
      </c>
      <c r="K3894" s="18" t="n">
        <v>54</v>
      </c>
      <c r="L3894" s="18" t="n">
        <v>12</v>
      </c>
      <c r="M3894" s="18" t="n">
        <v>2016</v>
      </c>
      <c r="N3894" s="18" t="n">
        <v>528</v>
      </c>
      <c r="O3894" s="14" t="s">
        <v>1097</v>
      </c>
      <c r="P3894" s="14" t="s">
        <v>118</v>
      </c>
      <c r="Q3894" s="15" t="s">
        <v>1089</v>
      </c>
      <c r="R3894" s="16" t="s">
        <v>24187</v>
      </c>
      <c r="S3894" s="15" t="s">
        <v>24188</v>
      </c>
      <c r="T3894" s="15" t="s">
        <v>24189</v>
      </c>
      <c r="U3894" s="21" t="s">
        <v>72</v>
      </c>
    </row>
    <row r="3895" customFormat="false" ht="15" hidden="false" customHeight="false" outlineLevel="0" collapsed="false">
      <c r="A3895" s="15" t="s">
        <v>23371</v>
      </c>
      <c r="B3895" s="15" t="s">
        <v>24108</v>
      </c>
      <c r="C3895" s="14" t="s">
        <v>24190</v>
      </c>
      <c r="D3895" s="14" t="s">
        <v>24191</v>
      </c>
      <c r="E3895" s="16" t="s">
        <v>24192</v>
      </c>
      <c r="F3895" s="16"/>
      <c r="G3895" s="23" t="s">
        <v>43</v>
      </c>
      <c r="H3895" s="18" t="n">
        <v>2</v>
      </c>
      <c r="I3895" s="20" t="n">
        <v>82.56</v>
      </c>
      <c r="J3895" s="20" t="n">
        <v>124.86</v>
      </c>
      <c r="K3895" s="18" t="n">
        <v>4</v>
      </c>
      <c r="L3895" s="18" t="n">
        <v>11</v>
      </c>
      <c r="M3895" s="18" t="n">
        <v>124</v>
      </c>
      <c r="N3895" s="18" t="n">
        <v>40</v>
      </c>
      <c r="O3895" s="14" t="s">
        <v>1088</v>
      </c>
      <c r="P3895" s="14" t="s">
        <v>84</v>
      </c>
      <c r="Q3895" s="15" t="s">
        <v>1089</v>
      </c>
      <c r="R3895" s="16" t="s">
        <v>24193</v>
      </c>
      <c r="S3895" s="15" t="s">
        <v>16507</v>
      </c>
      <c r="T3895" s="15" t="s">
        <v>24194</v>
      </c>
      <c r="U3895" s="21" t="s">
        <v>72</v>
      </c>
    </row>
    <row r="3896" customFormat="false" ht="26.85" hidden="false" customHeight="false" outlineLevel="0" collapsed="false">
      <c r="A3896" s="15" t="s">
        <v>23371</v>
      </c>
      <c r="B3896" s="15" t="s">
        <v>24108</v>
      </c>
      <c r="C3896" s="14" t="s">
        <v>24195</v>
      </c>
      <c r="D3896" s="14" t="s">
        <v>24196</v>
      </c>
      <c r="E3896" s="16" t="s">
        <v>24197</v>
      </c>
      <c r="F3896" s="16" t="s">
        <v>24198</v>
      </c>
      <c r="G3896" s="23" t="s">
        <v>43</v>
      </c>
      <c r="H3896" s="18" t="n">
        <v>1</v>
      </c>
      <c r="I3896" s="20" t="n">
        <v>37.2</v>
      </c>
      <c r="J3896" s="20" t="n">
        <v>91</v>
      </c>
      <c r="K3896" s="18" t="n">
        <v>4</v>
      </c>
      <c r="L3896" s="18" t="n">
        <v>3</v>
      </c>
      <c r="M3896" s="18" t="n">
        <v>96</v>
      </c>
      <c r="N3896" s="18" t="n">
        <v>48</v>
      </c>
      <c r="O3896" s="14" t="s">
        <v>1126</v>
      </c>
      <c r="P3896" s="14" t="s">
        <v>1185</v>
      </c>
      <c r="Q3896" s="15" t="s">
        <v>1089</v>
      </c>
      <c r="R3896" s="16" t="s">
        <v>24015</v>
      </c>
      <c r="S3896" s="15" t="s">
        <v>24199</v>
      </c>
      <c r="T3896" s="15" t="s">
        <v>24200</v>
      </c>
      <c r="U3896" s="21" t="s">
        <v>72</v>
      </c>
    </row>
    <row r="3897" customFormat="false" ht="15" hidden="false" customHeight="false" outlineLevel="0" collapsed="false">
      <c r="A3897" s="15" t="s">
        <v>23371</v>
      </c>
      <c r="B3897" s="15" t="s">
        <v>24108</v>
      </c>
      <c r="C3897" s="14" t="s">
        <v>24201</v>
      </c>
      <c r="D3897" s="14" t="s">
        <v>24202</v>
      </c>
      <c r="E3897" s="16" t="s">
        <v>24203</v>
      </c>
      <c r="F3897" s="16" t="s">
        <v>24204</v>
      </c>
      <c r="G3897" s="23" t="s">
        <v>43</v>
      </c>
      <c r="H3897" s="18" t="n">
        <v>2</v>
      </c>
      <c r="I3897" s="20" t="n">
        <v>42.75</v>
      </c>
      <c r="J3897" s="20" t="n">
        <v>93</v>
      </c>
      <c r="K3897" s="18" t="n">
        <v>10</v>
      </c>
      <c r="L3897" s="18" t="n">
        <v>3</v>
      </c>
      <c r="M3897" s="18" t="n">
        <v>140</v>
      </c>
      <c r="N3897" s="18" t="n">
        <v>40</v>
      </c>
      <c r="O3897" s="14" t="s">
        <v>1126</v>
      </c>
      <c r="P3897" s="14" t="s">
        <v>118</v>
      </c>
      <c r="Q3897" s="15" t="s">
        <v>1089</v>
      </c>
      <c r="R3897" s="16" t="s">
        <v>24205</v>
      </c>
      <c r="S3897" s="15" t="s">
        <v>24206</v>
      </c>
      <c r="T3897" s="15" t="s">
        <v>24207</v>
      </c>
      <c r="U3897" s="21" t="s">
        <v>72</v>
      </c>
    </row>
    <row r="3898" customFormat="false" ht="15" hidden="false" customHeight="false" outlineLevel="0" collapsed="false">
      <c r="A3898" s="15" t="s">
        <v>23371</v>
      </c>
      <c r="B3898" s="15" t="s">
        <v>24108</v>
      </c>
      <c r="C3898" s="14" t="s">
        <v>24208</v>
      </c>
      <c r="D3898" s="14" t="s">
        <v>24209</v>
      </c>
      <c r="E3898" s="16" t="s">
        <v>24210</v>
      </c>
      <c r="F3898" s="16"/>
      <c r="G3898" s="23" t="s">
        <v>43</v>
      </c>
      <c r="H3898" s="18" t="n">
        <v>2</v>
      </c>
      <c r="I3898" s="20" t="n">
        <v>47.5</v>
      </c>
      <c r="J3898" s="20" t="n">
        <v>78.75</v>
      </c>
      <c r="K3898" s="18" t="n">
        <v>2</v>
      </c>
      <c r="L3898" s="18" t="n">
        <v>1</v>
      </c>
      <c r="M3898" s="18" t="n">
        <v>38</v>
      </c>
      <c r="N3898" s="18" t="n">
        <v>38</v>
      </c>
      <c r="O3898" s="14" t="s">
        <v>9118</v>
      </c>
      <c r="P3898" s="14" t="s">
        <v>84</v>
      </c>
      <c r="Q3898" s="15" t="s">
        <v>1089</v>
      </c>
      <c r="R3898" s="16" t="s">
        <v>22861</v>
      </c>
      <c r="S3898" s="15" t="s">
        <v>24211</v>
      </c>
      <c r="T3898" s="15" t="s">
        <v>24211</v>
      </c>
      <c r="U3898" s="21" t="s">
        <v>72</v>
      </c>
    </row>
    <row r="3899" customFormat="false" ht="15" hidden="false" customHeight="false" outlineLevel="0" collapsed="false">
      <c r="A3899" s="15" t="s">
        <v>23371</v>
      </c>
      <c r="B3899" s="15" t="s">
        <v>24108</v>
      </c>
      <c r="C3899" s="14" t="s">
        <v>24212</v>
      </c>
      <c r="D3899" s="14" t="s">
        <v>24213</v>
      </c>
      <c r="E3899" s="16" t="s">
        <v>24214</v>
      </c>
      <c r="F3899" s="16" t="s">
        <v>24215</v>
      </c>
      <c r="G3899" s="23" t="s">
        <v>43</v>
      </c>
      <c r="H3899" s="18" t="n">
        <v>2</v>
      </c>
      <c r="I3899" s="20" t="n">
        <v>94.68</v>
      </c>
      <c r="J3899" s="20" t="n">
        <v>114.98</v>
      </c>
      <c r="K3899" s="18" t="n">
        <v>4</v>
      </c>
      <c r="L3899" s="18" t="n">
        <v>3</v>
      </c>
      <c r="M3899" s="18" t="n">
        <v>36</v>
      </c>
      <c r="N3899" s="18" t="n">
        <v>24</v>
      </c>
      <c r="O3899" s="14" t="s">
        <v>1126</v>
      </c>
      <c r="P3899" s="14" t="s">
        <v>202</v>
      </c>
      <c r="Q3899" s="15" t="s">
        <v>1089</v>
      </c>
      <c r="R3899" s="16" t="s">
        <v>24216</v>
      </c>
      <c r="S3899" s="15" t="s">
        <v>24217</v>
      </c>
      <c r="T3899" s="15" t="s">
        <v>24218</v>
      </c>
      <c r="U3899" s="21" t="s">
        <v>72</v>
      </c>
    </row>
    <row r="3900" customFormat="false" ht="15" hidden="false" customHeight="false" outlineLevel="0" collapsed="false">
      <c r="A3900" s="15" t="s">
        <v>23371</v>
      </c>
      <c r="B3900" s="15" t="s">
        <v>24108</v>
      </c>
      <c r="C3900" s="14" t="s">
        <v>24219</v>
      </c>
      <c r="D3900" s="14" t="s">
        <v>24220</v>
      </c>
      <c r="E3900" s="16" t="s">
        <v>24221</v>
      </c>
      <c r="F3900" s="16" t="s">
        <v>24222</v>
      </c>
      <c r="G3900" s="23" t="s">
        <v>43</v>
      </c>
      <c r="H3900" s="18" t="n">
        <v>2</v>
      </c>
      <c r="I3900" s="20" t="n">
        <v>112.32</v>
      </c>
      <c r="J3900" s="20" t="n">
        <v>85.72</v>
      </c>
      <c r="K3900" s="18" t="n">
        <v>2</v>
      </c>
      <c r="L3900" s="18" t="n">
        <v>4</v>
      </c>
      <c r="M3900" s="18" t="n">
        <v>20</v>
      </c>
      <c r="N3900" s="18" t="n">
        <v>10</v>
      </c>
      <c r="O3900" s="14" t="s">
        <v>1126</v>
      </c>
      <c r="P3900" s="14" t="s">
        <v>118</v>
      </c>
      <c r="Q3900" s="15" t="s">
        <v>1089</v>
      </c>
      <c r="R3900" s="16" t="s">
        <v>24223</v>
      </c>
      <c r="S3900" s="15" t="s">
        <v>24224</v>
      </c>
      <c r="T3900" s="15" t="s">
        <v>24225</v>
      </c>
      <c r="U3900" s="21" t="s">
        <v>72</v>
      </c>
    </row>
    <row r="3901" customFormat="false" ht="15" hidden="false" customHeight="false" outlineLevel="0" collapsed="false">
      <c r="A3901" s="15" t="s">
        <v>23371</v>
      </c>
      <c r="B3901" s="15" t="s">
        <v>24108</v>
      </c>
      <c r="C3901" s="14" t="s">
        <v>24226</v>
      </c>
      <c r="D3901" s="14" t="s">
        <v>24227</v>
      </c>
      <c r="E3901" s="16" t="s">
        <v>24228</v>
      </c>
      <c r="F3901" s="16" t="s">
        <v>24229</v>
      </c>
      <c r="G3901" s="25" t="s">
        <v>39</v>
      </c>
      <c r="H3901" s="18" t="n">
        <v>6</v>
      </c>
      <c r="I3901" s="20" t="n">
        <v>217.4</v>
      </c>
      <c r="J3901" s="20" t="n">
        <v>643.27</v>
      </c>
      <c r="K3901" s="18" t="n">
        <v>19</v>
      </c>
      <c r="L3901" s="18" t="n">
        <v>8</v>
      </c>
      <c r="M3901" s="18" t="n">
        <v>475</v>
      </c>
      <c r="N3901" s="18" t="n">
        <v>125</v>
      </c>
      <c r="O3901" s="14" t="s">
        <v>1126</v>
      </c>
      <c r="P3901" s="14" t="s">
        <v>84</v>
      </c>
      <c r="Q3901" s="15" t="s">
        <v>1089</v>
      </c>
      <c r="R3901" s="16" t="s">
        <v>21586</v>
      </c>
      <c r="S3901" s="15" t="s">
        <v>23720</v>
      </c>
      <c r="T3901" s="15" t="s">
        <v>24230</v>
      </c>
      <c r="U3901" s="21" t="s">
        <v>72</v>
      </c>
    </row>
    <row r="3902" customFormat="false" ht="15" hidden="false" customHeight="false" outlineLevel="0" collapsed="false">
      <c r="A3902" s="15" t="s">
        <v>23371</v>
      </c>
      <c r="B3902" s="15" t="s">
        <v>24108</v>
      </c>
      <c r="C3902" s="14" t="s">
        <v>24231</v>
      </c>
      <c r="D3902" s="14" t="s">
        <v>24232</v>
      </c>
      <c r="E3902" s="16" t="s">
        <v>24233</v>
      </c>
      <c r="F3902" s="16" t="s">
        <v>24234</v>
      </c>
      <c r="G3902" s="23" t="s">
        <v>43</v>
      </c>
      <c r="H3902" s="18" t="n">
        <v>1</v>
      </c>
      <c r="I3902" s="20" t="n">
        <v>58.48</v>
      </c>
      <c r="J3902" s="20" t="n">
        <v>119.24</v>
      </c>
      <c r="K3902" s="18" t="n">
        <v>2</v>
      </c>
      <c r="L3902" s="18" t="n">
        <v>15</v>
      </c>
      <c r="M3902" s="18" t="n">
        <v>37</v>
      </c>
      <c r="N3902" s="18" t="n">
        <v>37</v>
      </c>
      <c r="O3902" s="14" t="s">
        <v>1088</v>
      </c>
      <c r="P3902" s="14" t="s">
        <v>84</v>
      </c>
      <c r="Q3902" s="15" t="s">
        <v>1089</v>
      </c>
      <c r="R3902" s="16" t="s">
        <v>24235</v>
      </c>
      <c r="S3902" s="15" t="s">
        <v>24236</v>
      </c>
      <c r="T3902" s="15" t="s">
        <v>24236</v>
      </c>
      <c r="U3902" s="21" t="s">
        <v>72</v>
      </c>
    </row>
    <row r="3903" customFormat="false" ht="15" hidden="false" customHeight="false" outlineLevel="0" collapsed="false">
      <c r="A3903" s="15" t="s">
        <v>23371</v>
      </c>
      <c r="B3903" s="15" t="s">
        <v>24108</v>
      </c>
      <c r="C3903" s="14" t="s">
        <v>24237</v>
      </c>
      <c r="D3903" s="14" t="s">
        <v>24238</v>
      </c>
      <c r="E3903" s="16" t="s">
        <v>24239</v>
      </c>
      <c r="F3903" s="16" t="s">
        <v>24240</v>
      </c>
      <c r="G3903" s="23" t="s">
        <v>43</v>
      </c>
      <c r="H3903" s="18" t="n">
        <v>2</v>
      </c>
      <c r="I3903" s="20" t="n">
        <v>49.55</v>
      </c>
      <c r="J3903" s="20" t="n">
        <v>83.5</v>
      </c>
      <c r="K3903" s="18" t="n">
        <v>5</v>
      </c>
      <c r="L3903" s="18" t="n">
        <v>1</v>
      </c>
      <c r="M3903" s="18" t="n">
        <v>92</v>
      </c>
      <c r="N3903" s="18" t="n">
        <v>66</v>
      </c>
      <c r="O3903" s="14" t="s">
        <v>3724</v>
      </c>
      <c r="P3903" s="14" t="s">
        <v>84</v>
      </c>
      <c r="Q3903" s="15" t="s">
        <v>1089</v>
      </c>
      <c r="R3903" s="16" t="s">
        <v>24241</v>
      </c>
      <c r="S3903" s="15" t="s">
        <v>24242</v>
      </c>
      <c r="T3903" s="15" t="s">
        <v>24243</v>
      </c>
      <c r="U3903" s="21" t="s">
        <v>72</v>
      </c>
    </row>
    <row r="3904" customFormat="false" ht="15" hidden="false" customHeight="false" outlineLevel="0" collapsed="false">
      <c r="A3904" s="15" t="s">
        <v>23371</v>
      </c>
      <c r="B3904" s="15" t="s">
        <v>24108</v>
      </c>
      <c r="C3904" s="14" t="s">
        <v>24244</v>
      </c>
      <c r="D3904" s="14" t="s">
        <v>24245</v>
      </c>
      <c r="E3904" s="16" t="s">
        <v>24246</v>
      </c>
      <c r="F3904" s="16"/>
      <c r="G3904" s="25" t="s">
        <v>39</v>
      </c>
      <c r="H3904" s="18" t="n">
        <v>13</v>
      </c>
      <c r="I3904" s="20" t="n">
        <v>413.17</v>
      </c>
      <c r="J3904" s="20" t="n">
        <v>608.87</v>
      </c>
      <c r="K3904" s="18" t="n">
        <v>7</v>
      </c>
      <c r="L3904" s="18" t="n">
        <v>3</v>
      </c>
      <c r="M3904" s="18" t="n">
        <v>110</v>
      </c>
      <c r="N3904" s="18" t="n">
        <v>60</v>
      </c>
      <c r="O3904" s="14" t="s">
        <v>1097</v>
      </c>
      <c r="P3904" s="14" t="s">
        <v>118</v>
      </c>
      <c r="Q3904" s="15" t="s">
        <v>1089</v>
      </c>
      <c r="R3904" s="16" t="s">
        <v>11209</v>
      </c>
      <c r="S3904" s="15" t="s">
        <v>19320</v>
      </c>
      <c r="T3904" s="15" t="s">
        <v>19320</v>
      </c>
      <c r="U3904" s="21" t="s">
        <v>72</v>
      </c>
    </row>
    <row r="3905" customFormat="false" ht="26.85" hidden="false" customHeight="false" outlineLevel="0" collapsed="false">
      <c r="A3905" s="15" t="s">
        <v>23371</v>
      </c>
      <c r="B3905" s="15" t="s">
        <v>24108</v>
      </c>
      <c r="C3905" s="14" t="s">
        <v>24247</v>
      </c>
      <c r="D3905" s="14" t="s">
        <v>24248</v>
      </c>
      <c r="E3905" s="16" t="s">
        <v>24249</v>
      </c>
      <c r="F3905" s="16" t="s">
        <v>24250</v>
      </c>
      <c r="G3905" s="23" t="s">
        <v>43</v>
      </c>
      <c r="H3905" s="18" t="n">
        <v>3</v>
      </c>
      <c r="I3905" s="20" t="n">
        <v>77.6</v>
      </c>
      <c r="J3905" s="20" t="n">
        <v>180</v>
      </c>
      <c r="K3905" s="18" t="n">
        <v>2</v>
      </c>
      <c r="L3905" s="18" t="n">
        <v>2</v>
      </c>
      <c r="M3905" s="18" t="n">
        <v>30</v>
      </c>
      <c r="N3905" s="18" t="n">
        <v>30</v>
      </c>
      <c r="O3905" s="14" t="s">
        <v>5962</v>
      </c>
      <c r="P3905" s="14" t="s">
        <v>118</v>
      </c>
      <c r="Q3905" s="15" t="s">
        <v>1089</v>
      </c>
      <c r="R3905" s="16" t="s">
        <v>6799</v>
      </c>
      <c r="S3905" s="15" t="s">
        <v>24251</v>
      </c>
      <c r="T3905" s="15" t="s">
        <v>24251</v>
      </c>
      <c r="U3905" s="21" t="s">
        <v>72</v>
      </c>
    </row>
    <row r="3906" customFormat="false" ht="15" hidden="false" customHeight="false" outlineLevel="0" collapsed="false">
      <c r="A3906" s="15" t="s">
        <v>23371</v>
      </c>
      <c r="B3906" s="15" t="s">
        <v>24108</v>
      </c>
      <c r="C3906" s="14" t="s">
        <v>24252</v>
      </c>
      <c r="D3906" s="14" t="s">
        <v>24253</v>
      </c>
      <c r="E3906" s="16" t="s">
        <v>24254</v>
      </c>
      <c r="F3906" s="16" t="s">
        <v>1595</v>
      </c>
      <c r="G3906" s="23" t="s">
        <v>43</v>
      </c>
      <c r="H3906" s="18" t="n">
        <v>2</v>
      </c>
      <c r="I3906" s="20" t="n">
        <v>73.26</v>
      </c>
      <c r="J3906" s="20" t="n">
        <v>103.15</v>
      </c>
      <c r="K3906" s="18" t="n">
        <v>2</v>
      </c>
      <c r="L3906" s="18" t="n">
        <v>4</v>
      </c>
      <c r="M3906" s="18" t="n">
        <v>30</v>
      </c>
      <c r="N3906" s="18" t="n">
        <v>30</v>
      </c>
      <c r="O3906" s="14" t="s">
        <v>1088</v>
      </c>
      <c r="P3906" s="14" t="s">
        <v>84</v>
      </c>
      <c r="Q3906" s="15" t="s">
        <v>1089</v>
      </c>
      <c r="R3906" s="16" t="s">
        <v>24255</v>
      </c>
      <c r="S3906" s="15" t="s">
        <v>16297</v>
      </c>
      <c r="T3906" s="15" t="s">
        <v>24256</v>
      </c>
      <c r="U3906" s="21" t="s">
        <v>72</v>
      </c>
    </row>
    <row r="3907" customFormat="false" ht="15" hidden="false" customHeight="false" outlineLevel="0" collapsed="false">
      <c r="A3907" s="15" t="s">
        <v>23371</v>
      </c>
      <c r="B3907" s="15" t="s">
        <v>24108</v>
      </c>
      <c r="C3907" s="14" t="s">
        <v>24257</v>
      </c>
      <c r="D3907" s="14" t="s">
        <v>24258</v>
      </c>
      <c r="E3907" s="16" t="s">
        <v>24259</v>
      </c>
      <c r="F3907" s="16"/>
      <c r="G3907" s="19" t="s">
        <v>41</v>
      </c>
      <c r="H3907" s="18" t="n">
        <v>5</v>
      </c>
      <c r="I3907" s="20" t="n">
        <v>223.14</v>
      </c>
      <c r="J3907" s="20" t="n">
        <v>285.76</v>
      </c>
      <c r="K3907" s="18" t="n">
        <v>19</v>
      </c>
      <c r="L3907" s="18" t="n">
        <v>6</v>
      </c>
      <c r="M3907" s="18" t="n">
        <v>642</v>
      </c>
      <c r="N3907" s="18" t="n">
        <v>87</v>
      </c>
      <c r="O3907" s="14" t="s">
        <v>1097</v>
      </c>
      <c r="P3907" s="14" t="s">
        <v>118</v>
      </c>
      <c r="Q3907" s="15" t="s">
        <v>1089</v>
      </c>
      <c r="R3907" s="16" t="s">
        <v>24062</v>
      </c>
      <c r="S3907" s="15" t="s">
        <v>13002</v>
      </c>
      <c r="T3907" s="15" t="s">
        <v>24260</v>
      </c>
      <c r="U3907" s="21" t="s">
        <v>72</v>
      </c>
    </row>
    <row r="3908" customFormat="false" ht="15" hidden="false" customHeight="false" outlineLevel="0" collapsed="false">
      <c r="A3908" s="15" t="s">
        <v>23371</v>
      </c>
      <c r="B3908" s="15" t="s">
        <v>24108</v>
      </c>
      <c r="C3908" s="14" t="s">
        <v>24261</v>
      </c>
      <c r="D3908" s="14" t="s">
        <v>24262</v>
      </c>
      <c r="E3908" s="16" t="s">
        <v>24263</v>
      </c>
      <c r="F3908" s="16"/>
      <c r="G3908" s="23" t="s">
        <v>43</v>
      </c>
      <c r="H3908" s="18" t="n">
        <v>2</v>
      </c>
      <c r="I3908" s="20" t="n">
        <v>45.54</v>
      </c>
      <c r="J3908" s="20" t="n">
        <v>98.28</v>
      </c>
      <c r="K3908" s="18" t="n">
        <v>2</v>
      </c>
      <c r="L3908" s="18" t="n">
        <v>3</v>
      </c>
      <c r="M3908" s="18" t="n">
        <v>20</v>
      </c>
      <c r="N3908" s="18" t="n">
        <v>20</v>
      </c>
      <c r="O3908" s="14" t="s">
        <v>1126</v>
      </c>
      <c r="P3908" s="14" t="s">
        <v>84</v>
      </c>
      <c r="Q3908" s="15" t="s">
        <v>1089</v>
      </c>
      <c r="R3908" s="16" t="s">
        <v>24264</v>
      </c>
      <c r="S3908" s="15" t="s">
        <v>24265</v>
      </c>
      <c r="T3908" s="15" t="s">
        <v>24266</v>
      </c>
      <c r="U3908" s="21" t="s">
        <v>72</v>
      </c>
    </row>
    <row r="3909" customFormat="false" ht="15" hidden="false" customHeight="false" outlineLevel="0" collapsed="false">
      <c r="A3909" s="15" t="s">
        <v>23371</v>
      </c>
      <c r="B3909" s="15" t="s">
        <v>24108</v>
      </c>
      <c r="C3909" s="14" t="s">
        <v>24267</v>
      </c>
      <c r="D3909" s="14" t="s">
        <v>24268</v>
      </c>
      <c r="E3909" s="16" t="s">
        <v>24269</v>
      </c>
      <c r="F3909" s="16" t="s">
        <v>24270</v>
      </c>
      <c r="G3909" s="23" t="s">
        <v>43</v>
      </c>
      <c r="H3909" s="18" t="n">
        <v>2</v>
      </c>
      <c r="I3909" s="20" t="n">
        <v>49</v>
      </c>
      <c r="J3909" s="20" t="n">
        <v>86</v>
      </c>
      <c r="K3909" s="18" t="n">
        <v>9</v>
      </c>
      <c r="L3909" s="18" t="n">
        <v>3</v>
      </c>
      <c r="M3909" s="18" t="n">
        <v>162</v>
      </c>
      <c r="N3909" s="18" t="n">
        <v>36</v>
      </c>
      <c r="O3909" s="14" t="s">
        <v>24271</v>
      </c>
      <c r="P3909" s="14" t="s">
        <v>84</v>
      </c>
      <c r="Q3909" s="15" t="s">
        <v>1089</v>
      </c>
      <c r="R3909" s="16" t="s">
        <v>24272</v>
      </c>
      <c r="S3909" s="15" t="s">
        <v>23957</v>
      </c>
      <c r="T3909" s="15" t="s">
        <v>24273</v>
      </c>
      <c r="U3909" s="21" t="s">
        <v>72</v>
      </c>
    </row>
    <row r="3910" customFormat="false" ht="15" hidden="false" customHeight="false" outlineLevel="0" collapsed="false">
      <c r="A3910" s="15" t="s">
        <v>23371</v>
      </c>
      <c r="B3910" s="15" t="s">
        <v>24108</v>
      </c>
      <c r="C3910" s="14" t="s">
        <v>24274</v>
      </c>
      <c r="D3910" s="14" t="s">
        <v>24275</v>
      </c>
      <c r="E3910" s="16" t="s">
        <v>24276</v>
      </c>
      <c r="F3910" s="16" t="s">
        <v>24277</v>
      </c>
      <c r="G3910" s="25" t="s">
        <v>39</v>
      </c>
      <c r="H3910" s="18" t="n">
        <v>8</v>
      </c>
      <c r="I3910" s="20" t="n">
        <v>117.36</v>
      </c>
      <c r="J3910" s="20" t="n">
        <v>257.5</v>
      </c>
      <c r="K3910" s="18" t="n">
        <v>12</v>
      </c>
      <c r="L3910" s="18" t="n">
        <v>5</v>
      </c>
      <c r="M3910" s="18" t="n">
        <v>126</v>
      </c>
      <c r="N3910" s="18" t="n">
        <v>26</v>
      </c>
      <c r="O3910" s="14" t="s">
        <v>6448</v>
      </c>
      <c r="P3910" s="14" t="s">
        <v>118</v>
      </c>
      <c r="Q3910" s="15" t="s">
        <v>1089</v>
      </c>
      <c r="R3910" s="16" t="s">
        <v>24278</v>
      </c>
      <c r="S3910" s="15" t="s">
        <v>13002</v>
      </c>
      <c r="T3910" s="15" t="s">
        <v>24279</v>
      </c>
      <c r="U3910" s="21" t="s">
        <v>72</v>
      </c>
    </row>
    <row r="3911" customFormat="false" ht="15" hidden="false" customHeight="false" outlineLevel="0" collapsed="false">
      <c r="A3911" s="15" t="s">
        <v>23371</v>
      </c>
      <c r="B3911" s="15" t="s">
        <v>24108</v>
      </c>
      <c r="C3911" s="14" t="s">
        <v>24280</v>
      </c>
      <c r="D3911" s="14" t="s">
        <v>24281</v>
      </c>
      <c r="E3911" s="16" t="s">
        <v>24282</v>
      </c>
      <c r="F3911" s="16" t="s">
        <v>1595</v>
      </c>
      <c r="G3911" s="19" t="s">
        <v>41</v>
      </c>
      <c r="H3911" s="18" t="n">
        <v>6</v>
      </c>
      <c r="I3911" s="20" t="n">
        <v>179.22</v>
      </c>
      <c r="J3911" s="20" t="n">
        <v>267.32</v>
      </c>
      <c r="K3911" s="18" t="n">
        <v>3</v>
      </c>
      <c r="L3911" s="18" t="n">
        <v>9</v>
      </c>
      <c r="M3911" s="18" t="n">
        <v>60</v>
      </c>
      <c r="N3911" s="18" t="n">
        <v>60</v>
      </c>
      <c r="O3911" s="14" t="s">
        <v>1088</v>
      </c>
      <c r="P3911" s="14" t="s">
        <v>84</v>
      </c>
      <c r="Q3911" s="15" t="s">
        <v>1089</v>
      </c>
      <c r="R3911" s="16" t="s">
        <v>14931</v>
      </c>
      <c r="S3911" s="15" t="s">
        <v>16297</v>
      </c>
      <c r="T3911" s="15" t="s">
        <v>24283</v>
      </c>
      <c r="U3911" s="21" t="s">
        <v>72</v>
      </c>
    </row>
    <row r="3912" customFormat="false" ht="15" hidden="false" customHeight="false" outlineLevel="0" collapsed="false">
      <c r="A3912" s="15" t="s">
        <v>23371</v>
      </c>
      <c r="B3912" s="15" t="s">
        <v>24108</v>
      </c>
      <c r="C3912" s="14" t="s">
        <v>24284</v>
      </c>
      <c r="D3912" s="14" t="s">
        <v>24285</v>
      </c>
      <c r="E3912" s="16" t="s">
        <v>24286</v>
      </c>
      <c r="F3912" s="16" t="s">
        <v>24287</v>
      </c>
      <c r="G3912" s="19" t="s">
        <v>41</v>
      </c>
      <c r="H3912" s="18" t="n">
        <v>4</v>
      </c>
      <c r="I3912" s="20" t="n">
        <v>123.21</v>
      </c>
      <c r="J3912" s="20" t="n">
        <v>303.33</v>
      </c>
      <c r="K3912" s="18" t="n">
        <v>6</v>
      </c>
      <c r="L3912" s="18" t="n">
        <v>14</v>
      </c>
      <c r="M3912" s="18" t="n">
        <v>198</v>
      </c>
      <c r="N3912" s="18" t="n">
        <v>165</v>
      </c>
      <c r="O3912" s="14" t="s">
        <v>1126</v>
      </c>
      <c r="P3912" s="14" t="s">
        <v>118</v>
      </c>
      <c r="Q3912" s="15" t="s">
        <v>1089</v>
      </c>
      <c r="R3912" s="16" t="s">
        <v>24288</v>
      </c>
      <c r="S3912" s="15" t="s">
        <v>24289</v>
      </c>
      <c r="T3912" s="15" t="s">
        <v>24289</v>
      </c>
      <c r="U3912" s="21" t="s">
        <v>72</v>
      </c>
    </row>
    <row r="3913" customFormat="false" ht="15" hidden="false" customHeight="false" outlineLevel="0" collapsed="false">
      <c r="A3913" s="15" t="s">
        <v>23371</v>
      </c>
      <c r="B3913" s="15" t="s">
        <v>24108</v>
      </c>
      <c r="C3913" s="14" t="s">
        <v>24290</v>
      </c>
      <c r="D3913" s="14" t="s">
        <v>24291</v>
      </c>
      <c r="E3913" s="16" t="s">
        <v>24292</v>
      </c>
      <c r="F3913" s="16" t="s">
        <v>24293</v>
      </c>
      <c r="G3913" s="25" t="s">
        <v>39</v>
      </c>
      <c r="H3913" s="18" t="n">
        <v>3</v>
      </c>
      <c r="I3913" s="20" t="n">
        <v>194.31</v>
      </c>
      <c r="J3913" s="20" t="n">
        <v>430.16</v>
      </c>
      <c r="K3913" s="18" t="n">
        <v>3</v>
      </c>
      <c r="L3913" s="18" t="n">
        <v>1</v>
      </c>
      <c r="M3913" s="18" t="n">
        <v>159</v>
      </c>
      <c r="N3913" s="18" t="n">
        <v>159</v>
      </c>
      <c r="O3913" s="14" t="s">
        <v>1097</v>
      </c>
      <c r="P3913" s="14" t="s">
        <v>84</v>
      </c>
      <c r="Q3913" s="15" t="s">
        <v>1089</v>
      </c>
      <c r="R3913" s="16" t="s">
        <v>24294</v>
      </c>
      <c r="S3913" s="15" t="s">
        <v>20082</v>
      </c>
      <c r="T3913" s="15" t="s">
        <v>24295</v>
      </c>
      <c r="U3913" s="21" t="s">
        <v>72</v>
      </c>
    </row>
    <row r="3914" customFormat="false" ht="15" hidden="false" customHeight="false" outlineLevel="0" collapsed="false">
      <c r="A3914" s="15" t="s">
        <v>23371</v>
      </c>
      <c r="B3914" s="15" t="s">
        <v>24108</v>
      </c>
      <c r="C3914" s="14" t="s">
        <v>24296</v>
      </c>
      <c r="D3914" s="14" t="s">
        <v>24297</v>
      </c>
      <c r="E3914" s="16" t="s">
        <v>24298</v>
      </c>
      <c r="F3914" s="16" t="s">
        <v>24299</v>
      </c>
      <c r="G3914" s="23" t="s">
        <v>43</v>
      </c>
      <c r="H3914" s="18" t="n">
        <v>2</v>
      </c>
      <c r="I3914" s="20" t="n">
        <v>79.8</v>
      </c>
      <c r="J3914" s="20" t="n">
        <v>149.964</v>
      </c>
      <c r="K3914" s="18" t="n">
        <v>6</v>
      </c>
      <c r="L3914" s="18" t="n">
        <v>4</v>
      </c>
      <c r="M3914" s="18" t="n">
        <v>144</v>
      </c>
      <c r="N3914" s="18" t="n">
        <v>48</v>
      </c>
      <c r="O3914" s="14" t="s">
        <v>1097</v>
      </c>
      <c r="P3914" s="14" t="s">
        <v>84</v>
      </c>
      <c r="Q3914" s="15" t="s">
        <v>1089</v>
      </c>
      <c r="R3914" s="16" t="s">
        <v>24300</v>
      </c>
      <c r="S3914" s="15" t="s">
        <v>24301</v>
      </c>
      <c r="T3914" s="15" t="s">
        <v>24301</v>
      </c>
      <c r="U3914" s="21" t="s">
        <v>72</v>
      </c>
    </row>
    <row r="3915" customFormat="false" ht="26.85" hidden="false" customHeight="false" outlineLevel="0" collapsed="false">
      <c r="A3915" s="15" t="s">
        <v>23371</v>
      </c>
      <c r="B3915" s="15" t="s">
        <v>24108</v>
      </c>
      <c r="C3915" s="14" t="s">
        <v>24302</v>
      </c>
      <c r="D3915" s="14" t="s">
        <v>24303</v>
      </c>
      <c r="E3915" s="16" t="s">
        <v>24304</v>
      </c>
      <c r="F3915" s="16" t="s">
        <v>24305</v>
      </c>
      <c r="G3915" s="25" t="s">
        <v>39</v>
      </c>
      <c r="H3915" s="18" t="n">
        <v>4</v>
      </c>
      <c r="I3915" s="20" t="n">
        <v>196.44</v>
      </c>
      <c r="J3915" s="20" t="n">
        <v>424.14</v>
      </c>
      <c r="K3915" s="18" t="n">
        <v>4</v>
      </c>
      <c r="L3915" s="18" t="n">
        <v>3</v>
      </c>
      <c r="M3915" s="18" t="n">
        <v>120</v>
      </c>
      <c r="N3915" s="18" t="n">
        <v>60</v>
      </c>
      <c r="O3915" s="14" t="s">
        <v>1088</v>
      </c>
      <c r="P3915" s="14" t="s">
        <v>84</v>
      </c>
      <c r="Q3915" s="15" t="s">
        <v>1089</v>
      </c>
      <c r="R3915" s="16" t="s">
        <v>24306</v>
      </c>
      <c r="S3915" s="15" t="s">
        <v>24307</v>
      </c>
      <c r="T3915" s="15" t="s">
        <v>24308</v>
      </c>
      <c r="U3915" s="21" t="s">
        <v>72</v>
      </c>
    </row>
    <row r="3916" customFormat="false" ht="15" hidden="false" customHeight="false" outlineLevel="0" collapsed="false">
      <c r="A3916" s="15" t="s">
        <v>23371</v>
      </c>
      <c r="B3916" s="15" t="s">
        <v>24108</v>
      </c>
      <c r="C3916" s="14" t="s">
        <v>24309</v>
      </c>
      <c r="D3916" s="14" t="s">
        <v>24310</v>
      </c>
      <c r="E3916" s="16" t="s">
        <v>24311</v>
      </c>
      <c r="F3916" s="16"/>
      <c r="G3916" s="23" t="s">
        <v>43</v>
      </c>
      <c r="H3916" s="18" t="n">
        <v>2</v>
      </c>
      <c r="I3916" s="20" t="n">
        <v>53.76</v>
      </c>
      <c r="J3916" s="20" t="n">
        <v>86.1</v>
      </c>
      <c r="K3916" s="18" t="n">
        <v>1</v>
      </c>
      <c r="L3916" s="18" t="n">
        <v>1</v>
      </c>
      <c r="M3916" s="18" t="n">
        <v>15</v>
      </c>
      <c r="N3916" s="18" t="n">
        <v>15</v>
      </c>
      <c r="O3916" s="14" t="s">
        <v>1097</v>
      </c>
      <c r="P3916" s="14" t="s">
        <v>84</v>
      </c>
      <c r="Q3916" s="15" t="s">
        <v>1089</v>
      </c>
      <c r="R3916" s="16" t="s">
        <v>9842</v>
      </c>
      <c r="S3916" s="15" t="s">
        <v>24312</v>
      </c>
      <c r="T3916" s="15" t="s">
        <v>24312</v>
      </c>
      <c r="U3916" s="21" t="s">
        <v>72</v>
      </c>
    </row>
    <row r="3917" customFormat="false" ht="15" hidden="false" customHeight="false" outlineLevel="0" collapsed="false">
      <c r="A3917" s="15" t="s">
        <v>23371</v>
      </c>
      <c r="B3917" s="15" t="s">
        <v>24108</v>
      </c>
      <c r="C3917" s="14" t="s">
        <v>24313</v>
      </c>
      <c r="D3917" s="14" t="s">
        <v>24314</v>
      </c>
      <c r="E3917" s="16" t="s">
        <v>24315</v>
      </c>
      <c r="F3917" s="16" t="s">
        <v>24316</v>
      </c>
      <c r="G3917" s="23" t="s">
        <v>43</v>
      </c>
      <c r="H3917" s="18" t="n">
        <v>2</v>
      </c>
      <c r="I3917" s="20" t="n">
        <v>40</v>
      </c>
      <c r="J3917" s="20" t="n">
        <v>159.5</v>
      </c>
      <c r="K3917" s="18" t="n">
        <v>2</v>
      </c>
      <c r="L3917" s="18" t="n">
        <v>2</v>
      </c>
      <c r="M3917" s="18" t="n">
        <v>30</v>
      </c>
      <c r="N3917" s="18" t="n">
        <v>15</v>
      </c>
      <c r="O3917" s="14" t="s">
        <v>1088</v>
      </c>
      <c r="P3917" s="14" t="s">
        <v>84</v>
      </c>
      <c r="Q3917" s="15" t="s">
        <v>1089</v>
      </c>
      <c r="R3917" s="16" t="s">
        <v>24015</v>
      </c>
      <c r="S3917" s="15" t="s">
        <v>24317</v>
      </c>
      <c r="T3917" s="15" t="s">
        <v>24318</v>
      </c>
      <c r="U3917" s="21" t="s">
        <v>72</v>
      </c>
    </row>
    <row r="3918" customFormat="false" ht="15" hidden="false" customHeight="false" outlineLevel="0" collapsed="false">
      <c r="A3918" s="15" t="s">
        <v>23371</v>
      </c>
      <c r="B3918" s="15" t="s">
        <v>24108</v>
      </c>
      <c r="C3918" s="14" t="s">
        <v>24319</v>
      </c>
      <c r="D3918" s="14" t="s">
        <v>24320</v>
      </c>
      <c r="E3918" s="16" t="s">
        <v>24321</v>
      </c>
      <c r="F3918" s="16" t="s">
        <v>24322</v>
      </c>
      <c r="G3918" s="23" t="s">
        <v>43</v>
      </c>
      <c r="H3918" s="18" t="n">
        <v>1</v>
      </c>
      <c r="I3918" s="20" t="n">
        <v>35</v>
      </c>
      <c r="J3918" s="20" t="n">
        <v>98.38</v>
      </c>
      <c r="K3918" s="18" t="n">
        <v>2</v>
      </c>
      <c r="L3918" s="18" t="n">
        <v>1</v>
      </c>
      <c r="M3918" s="18" t="n">
        <v>60</v>
      </c>
      <c r="N3918" s="18" t="n">
        <v>30</v>
      </c>
      <c r="O3918" s="14" t="s">
        <v>1088</v>
      </c>
      <c r="P3918" s="14" t="s">
        <v>84</v>
      </c>
      <c r="Q3918" s="15" t="s">
        <v>1089</v>
      </c>
      <c r="R3918" s="16" t="s">
        <v>22817</v>
      </c>
      <c r="S3918" s="15" t="s">
        <v>24323</v>
      </c>
      <c r="T3918" s="15" t="s">
        <v>24324</v>
      </c>
      <c r="U3918" s="21" t="s">
        <v>72</v>
      </c>
    </row>
    <row r="3919" customFormat="false" ht="15" hidden="false" customHeight="false" outlineLevel="0" collapsed="false">
      <c r="A3919" s="15" t="s">
        <v>23371</v>
      </c>
      <c r="B3919" s="15" t="s">
        <v>24108</v>
      </c>
      <c r="C3919" s="14" t="s">
        <v>24325</v>
      </c>
      <c r="D3919" s="14" t="s">
        <v>24326</v>
      </c>
      <c r="E3919" s="16" t="s">
        <v>24327</v>
      </c>
      <c r="F3919" s="16"/>
      <c r="G3919" s="19" t="s">
        <v>41</v>
      </c>
      <c r="H3919" s="18" t="n">
        <v>3</v>
      </c>
      <c r="I3919" s="20" t="n">
        <v>72.16</v>
      </c>
      <c r="J3919" s="20" t="n">
        <v>384.22</v>
      </c>
      <c r="K3919" s="18" t="n">
        <v>3</v>
      </c>
      <c r="L3919" s="18" t="n">
        <v>7</v>
      </c>
      <c r="M3919" s="18" t="n">
        <v>75</v>
      </c>
      <c r="N3919" s="18" t="n">
        <v>75</v>
      </c>
      <c r="O3919" s="14" t="s">
        <v>1126</v>
      </c>
      <c r="P3919" s="14" t="s">
        <v>84</v>
      </c>
      <c r="Q3919" s="15" t="s">
        <v>1089</v>
      </c>
      <c r="R3919" s="16" t="s">
        <v>24328</v>
      </c>
      <c r="S3919" s="15" t="s">
        <v>24329</v>
      </c>
      <c r="T3919" s="15" t="s">
        <v>24329</v>
      </c>
      <c r="U3919" s="21" t="s">
        <v>72</v>
      </c>
    </row>
    <row r="3920" customFormat="false" ht="15" hidden="false" customHeight="false" outlineLevel="0" collapsed="false">
      <c r="A3920" s="15" t="s">
        <v>23371</v>
      </c>
      <c r="B3920" s="15" t="s">
        <v>24108</v>
      </c>
      <c r="C3920" s="14" t="s">
        <v>24330</v>
      </c>
      <c r="D3920" s="14" t="s">
        <v>24331</v>
      </c>
      <c r="E3920" s="16" t="s">
        <v>24332</v>
      </c>
      <c r="F3920" s="16"/>
      <c r="G3920" s="23" t="s">
        <v>43</v>
      </c>
      <c r="H3920" s="18" t="n">
        <v>2</v>
      </c>
      <c r="I3920" s="20" t="n">
        <v>53.54</v>
      </c>
      <c r="J3920" s="20" t="n">
        <v>107</v>
      </c>
      <c r="K3920" s="18" t="n">
        <v>2</v>
      </c>
      <c r="L3920" s="18" t="n">
        <v>1</v>
      </c>
      <c r="M3920" s="18" t="n">
        <v>30</v>
      </c>
      <c r="N3920" s="18" t="n">
        <v>15</v>
      </c>
      <c r="O3920" s="14" t="s">
        <v>1088</v>
      </c>
      <c r="P3920" s="14" t="s">
        <v>84</v>
      </c>
      <c r="Q3920" s="15" t="s">
        <v>1089</v>
      </c>
      <c r="R3920" s="16" t="s">
        <v>24333</v>
      </c>
      <c r="S3920" s="15" t="s">
        <v>24334</v>
      </c>
      <c r="T3920" s="15" t="s">
        <v>24334</v>
      </c>
      <c r="U3920" s="21" t="s">
        <v>72</v>
      </c>
    </row>
    <row r="3921" customFormat="false" ht="15" hidden="false" customHeight="false" outlineLevel="0" collapsed="false">
      <c r="A3921" s="15" t="s">
        <v>23371</v>
      </c>
      <c r="B3921" s="15" t="s">
        <v>24108</v>
      </c>
      <c r="C3921" s="14" t="s">
        <v>24335</v>
      </c>
      <c r="D3921" s="14" t="s">
        <v>24162</v>
      </c>
      <c r="E3921" s="16" t="s">
        <v>24336</v>
      </c>
      <c r="F3921" s="16"/>
      <c r="G3921" s="23" t="s">
        <v>43</v>
      </c>
      <c r="H3921" s="18" t="n">
        <v>2</v>
      </c>
      <c r="I3921" s="20" t="n">
        <v>53</v>
      </c>
      <c r="J3921" s="20" t="n">
        <v>197.8</v>
      </c>
      <c r="K3921" s="18" t="n">
        <v>2</v>
      </c>
      <c r="L3921" s="18" t="n">
        <v>3</v>
      </c>
      <c r="M3921" s="18" t="n">
        <v>20</v>
      </c>
      <c r="N3921" s="18" t="n">
        <v>10</v>
      </c>
      <c r="O3921" s="14" t="s">
        <v>1088</v>
      </c>
      <c r="P3921" s="14" t="s">
        <v>1166</v>
      </c>
      <c r="Q3921" s="15" t="s">
        <v>1089</v>
      </c>
      <c r="R3921" s="16" t="s">
        <v>24337</v>
      </c>
      <c r="S3921" s="15" t="s">
        <v>24338</v>
      </c>
      <c r="T3921" s="15" t="s">
        <v>24339</v>
      </c>
      <c r="U3921" s="21" t="s">
        <v>72</v>
      </c>
    </row>
    <row r="3922" customFormat="false" ht="15" hidden="false" customHeight="false" outlineLevel="0" collapsed="false">
      <c r="A3922" s="15" t="s">
        <v>23371</v>
      </c>
      <c r="B3922" s="15" t="s">
        <v>24108</v>
      </c>
      <c r="C3922" s="14" t="s">
        <v>24340</v>
      </c>
      <c r="D3922" s="14" t="s">
        <v>24341</v>
      </c>
      <c r="E3922" s="16" t="s">
        <v>24342</v>
      </c>
      <c r="F3922" s="16"/>
      <c r="G3922" s="23" t="s">
        <v>43</v>
      </c>
      <c r="H3922" s="18" t="n">
        <v>1</v>
      </c>
      <c r="I3922" s="20" t="n">
        <v>35</v>
      </c>
      <c r="J3922" s="20" t="n">
        <v>50</v>
      </c>
      <c r="K3922" s="18"/>
      <c r="L3922" s="18" t="n">
        <v>1</v>
      </c>
      <c r="M3922" s="18"/>
      <c r="N3922" s="18"/>
      <c r="O3922" s="13"/>
      <c r="P3922" s="14" t="s">
        <v>84</v>
      </c>
      <c r="Q3922" s="15" t="s">
        <v>1089</v>
      </c>
      <c r="R3922" s="16" t="s">
        <v>24343</v>
      </c>
      <c r="S3922" s="15" t="s">
        <v>24344</v>
      </c>
      <c r="T3922" s="15" t="s">
        <v>24344</v>
      </c>
      <c r="U3922" s="21" t="s">
        <v>72</v>
      </c>
    </row>
    <row r="3923" customFormat="false" ht="15" hidden="false" customHeight="false" outlineLevel="0" collapsed="false">
      <c r="A3923" s="15" t="s">
        <v>23371</v>
      </c>
      <c r="B3923" s="15" t="s">
        <v>24108</v>
      </c>
      <c r="C3923" s="14" t="s">
        <v>24345</v>
      </c>
      <c r="D3923" s="14" t="s">
        <v>24346</v>
      </c>
      <c r="E3923" s="16" t="s">
        <v>24347</v>
      </c>
      <c r="F3923" s="16" t="s">
        <v>24348</v>
      </c>
      <c r="G3923" s="23" t="s">
        <v>43</v>
      </c>
      <c r="H3923" s="18" t="n">
        <v>2</v>
      </c>
      <c r="I3923" s="20" t="n">
        <v>37.39</v>
      </c>
      <c r="J3923" s="20" t="n">
        <v>88.45</v>
      </c>
      <c r="K3923" s="18" t="n">
        <v>2</v>
      </c>
      <c r="L3923" s="18" t="n">
        <v>1</v>
      </c>
      <c r="M3923" s="18" t="n">
        <v>40</v>
      </c>
      <c r="N3923" s="18" t="n">
        <v>40</v>
      </c>
      <c r="O3923" s="14" t="s">
        <v>1126</v>
      </c>
      <c r="P3923" s="14" t="s">
        <v>84</v>
      </c>
      <c r="Q3923" s="15" t="s">
        <v>1089</v>
      </c>
      <c r="R3923" s="16" t="s">
        <v>16533</v>
      </c>
      <c r="S3923" s="15" t="s">
        <v>24349</v>
      </c>
      <c r="T3923" s="15" t="s">
        <v>24349</v>
      </c>
      <c r="U3923" s="21" t="s">
        <v>72</v>
      </c>
    </row>
    <row r="3924" customFormat="false" ht="15" hidden="false" customHeight="false" outlineLevel="0" collapsed="false">
      <c r="A3924" s="15" t="s">
        <v>23371</v>
      </c>
      <c r="B3924" s="15" t="s">
        <v>24108</v>
      </c>
      <c r="C3924" s="14" t="s">
        <v>24350</v>
      </c>
      <c r="D3924" s="14" t="s">
        <v>24351</v>
      </c>
      <c r="E3924" s="16" t="s">
        <v>24352</v>
      </c>
      <c r="F3924" s="16" t="s">
        <v>24353</v>
      </c>
      <c r="G3924" s="23" t="s">
        <v>43</v>
      </c>
      <c r="H3924" s="18" t="n">
        <v>2</v>
      </c>
      <c r="I3924" s="20" t="n">
        <v>36</v>
      </c>
      <c r="J3924" s="20" t="n">
        <v>80.93</v>
      </c>
      <c r="K3924" s="18" t="n">
        <v>1</v>
      </c>
      <c r="L3924" s="18" t="n">
        <v>1</v>
      </c>
      <c r="M3924" s="18" t="n">
        <v>15</v>
      </c>
      <c r="N3924" s="18" t="n">
        <v>15</v>
      </c>
      <c r="O3924" s="14" t="s">
        <v>1088</v>
      </c>
      <c r="P3924" s="14" t="s">
        <v>84</v>
      </c>
      <c r="Q3924" s="15" t="s">
        <v>1089</v>
      </c>
      <c r="R3924" s="16" t="s">
        <v>19000</v>
      </c>
      <c r="S3924" s="15" t="s">
        <v>24354</v>
      </c>
      <c r="T3924" s="15" t="s">
        <v>24354</v>
      </c>
      <c r="U3924" s="21" t="s">
        <v>72</v>
      </c>
    </row>
    <row r="3925" customFormat="false" ht="15" hidden="false" customHeight="false" outlineLevel="0" collapsed="false">
      <c r="A3925" s="15" t="s">
        <v>23371</v>
      </c>
      <c r="B3925" s="15" t="s">
        <v>24108</v>
      </c>
      <c r="C3925" s="14" t="s">
        <v>24355</v>
      </c>
      <c r="D3925" s="14" t="s">
        <v>24356</v>
      </c>
      <c r="E3925" s="16"/>
      <c r="F3925" s="16" t="s">
        <v>24277</v>
      </c>
      <c r="G3925" s="23" t="s">
        <v>43</v>
      </c>
      <c r="H3925" s="18" t="n">
        <v>2</v>
      </c>
      <c r="I3925" s="20" t="n">
        <v>46.86</v>
      </c>
      <c r="J3925" s="20" t="n">
        <v>83.12</v>
      </c>
      <c r="K3925" s="18" t="n">
        <v>2</v>
      </c>
      <c r="L3925" s="18" t="n">
        <v>1</v>
      </c>
      <c r="M3925" s="18" t="n">
        <v>30</v>
      </c>
      <c r="N3925" s="18" t="n">
        <v>30</v>
      </c>
      <c r="O3925" s="14" t="s">
        <v>1126</v>
      </c>
      <c r="P3925" s="14" t="s">
        <v>84</v>
      </c>
      <c r="Q3925" s="15" t="s">
        <v>1089</v>
      </c>
      <c r="R3925" s="16" t="s">
        <v>24357</v>
      </c>
      <c r="S3925" s="15" t="s">
        <v>24358</v>
      </c>
      <c r="T3925" s="15" t="s">
        <v>24359</v>
      </c>
      <c r="U3925" s="21" t="s">
        <v>72</v>
      </c>
    </row>
    <row r="3926" customFormat="false" ht="15" hidden="false" customHeight="false" outlineLevel="0" collapsed="false">
      <c r="A3926" s="15" t="s">
        <v>23371</v>
      </c>
      <c r="B3926" s="15" t="s">
        <v>24108</v>
      </c>
      <c r="C3926" s="14" t="s">
        <v>15061</v>
      </c>
      <c r="D3926" s="14" t="s">
        <v>24360</v>
      </c>
      <c r="E3926" s="16" t="s">
        <v>24361</v>
      </c>
      <c r="F3926" s="16" t="s">
        <v>24362</v>
      </c>
      <c r="G3926" s="23" t="s">
        <v>43</v>
      </c>
      <c r="H3926" s="18" t="n">
        <v>2</v>
      </c>
      <c r="I3926" s="20" t="n">
        <v>41</v>
      </c>
      <c r="J3926" s="20" t="n">
        <v>171</v>
      </c>
      <c r="K3926" s="18" t="n">
        <v>2</v>
      </c>
      <c r="L3926" s="18" t="n">
        <v>2</v>
      </c>
      <c r="M3926" s="18" t="n">
        <v>40</v>
      </c>
      <c r="N3926" s="18" t="n">
        <v>40</v>
      </c>
      <c r="O3926" s="14" t="s">
        <v>1126</v>
      </c>
      <c r="P3926" s="14" t="s">
        <v>84</v>
      </c>
      <c r="Q3926" s="15" t="s">
        <v>1089</v>
      </c>
      <c r="R3926" s="16" t="s">
        <v>23552</v>
      </c>
      <c r="S3926" s="15" t="s">
        <v>24363</v>
      </c>
      <c r="T3926" s="15" t="s">
        <v>24364</v>
      </c>
      <c r="U3926" s="21" t="s">
        <v>72</v>
      </c>
    </row>
    <row r="3927" customFormat="false" ht="15" hidden="false" customHeight="false" outlineLevel="0" collapsed="false">
      <c r="A3927" s="15" t="s">
        <v>23371</v>
      </c>
      <c r="B3927" s="15" t="s">
        <v>24108</v>
      </c>
      <c r="C3927" s="14" t="s">
        <v>24365</v>
      </c>
      <c r="D3927" s="14" t="s">
        <v>24366</v>
      </c>
      <c r="E3927" s="16" t="s">
        <v>24367</v>
      </c>
      <c r="F3927" s="16" t="s">
        <v>24368</v>
      </c>
      <c r="G3927" s="23" t="s">
        <v>43</v>
      </c>
      <c r="H3927" s="18" t="n">
        <v>3</v>
      </c>
      <c r="I3927" s="20" t="n">
        <v>39.9</v>
      </c>
      <c r="J3927" s="20" t="n">
        <v>112.3</v>
      </c>
      <c r="K3927" s="18" t="n">
        <v>2</v>
      </c>
      <c r="L3927" s="18" t="n">
        <v>1</v>
      </c>
      <c r="M3927" s="18" t="n">
        <v>20</v>
      </c>
      <c r="N3927" s="18" t="n">
        <v>10</v>
      </c>
      <c r="O3927" s="14" t="s">
        <v>1088</v>
      </c>
      <c r="P3927" s="14" t="s">
        <v>202</v>
      </c>
      <c r="Q3927" s="15" t="s">
        <v>1089</v>
      </c>
      <c r="R3927" s="16" t="s">
        <v>24369</v>
      </c>
      <c r="S3927" s="15" t="s">
        <v>24370</v>
      </c>
      <c r="T3927" s="15" t="s">
        <v>24370</v>
      </c>
      <c r="U3927" s="21" t="s">
        <v>72</v>
      </c>
    </row>
    <row r="3928" customFormat="false" ht="15" hidden="false" customHeight="false" outlineLevel="0" collapsed="false">
      <c r="A3928" s="15" t="s">
        <v>23371</v>
      </c>
      <c r="B3928" s="15" t="s">
        <v>24108</v>
      </c>
      <c r="C3928" s="14" t="s">
        <v>24371</v>
      </c>
      <c r="D3928" s="14" t="s">
        <v>24372</v>
      </c>
      <c r="E3928" s="16" t="s">
        <v>24373</v>
      </c>
      <c r="F3928" s="16"/>
      <c r="G3928" s="23" t="s">
        <v>43</v>
      </c>
      <c r="H3928" s="18" t="n">
        <v>2</v>
      </c>
      <c r="I3928" s="20" t="n">
        <v>41.55</v>
      </c>
      <c r="J3928" s="20" t="n">
        <v>89.08</v>
      </c>
      <c r="K3928" s="18" t="n">
        <v>1</v>
      </c>
      <c r="L3928" s="18" t="n">
        <v>1</v>
      </c>
      <c r="M3928" s="18" t="n">
        <v>15</v>
      </c>
      <c r="N3928" s="18" t="n">
        <v>15</v>
      </c>
      <c r="O3928" s="14" t="s">
        <v>1126</v>
      </c>
      <c r="P3928" s="14" t="s">
        <v>84</v>
      </c>
      <c r="Q3928" s="15" t="s">
        <v>1089</v>
      </c>
      <c r="R3928" s="16" t="s">
        <v>5731</v>
      </c>
      <c r="S3928" s="15" t="s">
        <v>24374</v>
      </c>
      <c r="T3928" s="15" t="s">
        <v>24375</v>
      </c>
      <c r="U3928" s="21" t="s">
        <v>72</v>
      </c>
    </row>
    <row r="3929" customFormat="false" ht="15" hidden="false" customHeight="false" outlineLevel="0" collapsed="false">
      <c r="A3929" s="15" t="s">
        <v>23371</v>
      </c>
      <c r="B3929" s="15" t="s">
        <v>24108</v>
      </c>
      <c r="C3929" s="14" t="s">
        <v>24376</v>
      </c>
      <c r="D3929" s="14" t="s">
        <v>24377</v>
      </c>
      <c r="E3929" s="16" t="s">
        <v>24378</v>
      </c>
      <c r="F3929" s="16" t="s">
        <v>24379</v>
      </c>
      <c r="G3929" s="23" t="s">
        <v>43</v>
      </c>
      <c r="H3929" s="18" t="n">
        <v>2</v>
      </c>
      <c r="I3929" s="20" t="n">
        <v>47</v>
      </c>
      <c r="J3929" s="20" t="n">
        <v>140.5</v>
      </c>
      <c r="K3929" s="18" t="n">
        <v>2</v>
      </c>
      <c r="L3929" s="18" t="n">
        <v>1</v>
      </c>
      <c r="M3929" s="18" t="n">
        <v>50</v>
      </c>
      <c r="N3929" s="18" t="n">
        <v>50</v>
      </c>
      <c r="O3929" s="14" t="s">
        <v>1126</v>
      </c>
      <c r="P3929" s="14" t="s">
        <v>84</v>
      </c>
      <c r="Q3929" s="15" t="s">
        <v>1089</v>
      </c>
      <c r="R3929" s="16" t="s">
        <v>24380</v>
      </c>
      <c r="S3929" s="15" t="s">
        <v>24381</v>
      </c>
      <c r="T3929" s="15" t="s">
        <v>24381</v>
      </c>
      <c r="U3929" s="21" t="s">
        <v>72</v>
      </c>
    </row>
    <row r="3930" customFormat="false" ht="15" hidden="false" customHeight="false" outlineLevel="0" collapsed="false">
      <c r="A3930" s="15" t="s">
        <v>23371</v>
      </c>
      <c r="B3930" s="15" t="s">
        <v>24108</v>
      </c>
      <c r="C3930" s="14" t="s">
        <v>24382</v>
      </c>
      <c r="D3930" s="14" t="s">
        <v>24383</v>
      </c>
      <c r="E3930" s="16" t="s">
        <v>24384</v>
      </c>
      <c r="F3930" s="16" t="s">
        <v>24385</v>
      </c>
      <c r="G3930" s="23" t="s">
        <v>43</v>
      </c>
      <c r="H3930" s="18" t="n">
        <v>1</v>
      </c>
      <c r="I3930" s="20" t="n">
        <v>36.27</v>
      </c>
      <c r="J3930" s="20" t="n">
        <v>108.53</v>
      </c>
      <c r="K3930" s="18" t="n">
        <v>1</v>
      </c>
      <c r="L3930" s="18" t="n">
        <v>10</v>
      </c>
      <c r="M3930" s="18" t="n">
        <v>15</v>
      </c>
      <c r="N3930" s="18" t="n">
        <v>15</v>
      </c>
      <c r="O3930" s="14" t="s">
        <v>1126</v>
      </c>
      <c r="P3930" s="14" t="s">
        <v>84</v>
      </c>
      <c r="Q3930" s="15" t="s">
        <v>1089</v>
      </c>
      <c r="R3930" s="16" t="s">
        <v>12516</v>
      </c>
      <c r="S3930" s="15" t="s">
        <v>24386</v>
      </c>
      <c r="T3930" s="15" t="s">
        <v>24387</v>
      </c>
      <c r="U3930" s="21" t="s">
        <v>72</v>
      </c>
    </row>
    <row r="3931" customFormat="false" ht="15" hidden="false" customHeight="false" outlineLevel="0" collapsed="false">
      <c r="A3931" s="15" t="s">
        <v>23371</v>
      </c>
      <c r="B3931" s="15" t="s">
        <v>24108</v>
      </c>
      <c r="C3931" s="14" t="s">
        <v>24388</v>
      </c>
      <c r="D3931" s="14" t="s">
        <v>24389</v>
      </c>
      <c r="E3931" s="16" t="s">
        <v>24390</v>
      </c>
      <c r="F3931" s="16"/>
      <c r="G3931" s="23" t="s">
        <v>43</v>
      </c>
      <c r="H3931" s="18" t="n">
        <v>3</v>
      </c>
      <c r="I3931" s="20" t="n">
        <v>48</v>
      </c>
      <c r="J3931" s="20" t="n">
        <v>136</v>
      </c>
      <c r="K3931" s="18" t="n">
        <v>2</v>
      </c>
      <c r="L3931" s="18" t="n">
        <v>2</v>
      </c>
      <c r="M3931" s="18" t="n">
        <v>40</v>
      </c>
      <c r="N3931" s="18" t="n">
        <v>40</v>
      </c>
      <c r="O3931" s="14" t="s">
        <v>1126</v>
      </c>
      <c r="P3931" s="14" t="s">
        <v>84</v>
      </c>
      <c r="Q3931" s="15" t="s">
        <v>1089</v>
      </c>
      <c r="R3931" s="16" t="s">
        <v>24391</v>
      </c>
      <c r="S3931" s="15" t="s">
        <v>24392</v>
      </c>
      <c r="T3931" s="15" t="s">
        <v>24392</v>
      </c>
      <c r="U3931" s="21" t="s">
        <v>72</v>
      </c>
    </row>
    <row r="3932" customFormat="false" ht="15" hidden="false" customHeight="false" outlineLevel="0" collapsed="false">
      <c r="A3932" s="15" t="s">
        <v>23371</v>
      </c>
      <c r="B3932" s="15" t="s">
        <v>24108</v>
      </c>
      <c r="C3932" s="14" t="s">
        <v>24393</v>
      </c>
      <c r="D3932" s="14" t="s">
        <v>24394</v>
      </c>
      <c r="E3932" s="16" t="s">
        <v>24395</v>
      </c>
      <c r="F3932" s="16" t="s">
        <v>24396</v>
      </c>
      <c r="G3932" s="23" t="s">
        <v>43</v>
      </c>
      <c r="H3932" s="18" t="n">
        <v>2</v>
      </c>
      <c r="I3932" s="20" t="n">
        <v>51</v>
      </c>
      <c r="J3932" s="20" t="n">
        <v>121</v>
      </c>
      <c r="K3932" s="18" t="n">
        <v>2</v>
      </c>
      <c r="L3932" s="18" t="n">
        <v>1</v>
      </c>
      <c r="M3932" s="18" t="n">
        <v>20</v>
      </c>
      <c r="N3932" s="18" t="n">
        <v>20</v>
      </c>
      <c r="O3932" s="14" t="s">
        <v>1088</v>
      </c>
      <c r="P3932" s="14" t="s">
        <v>84</v>
      </c>
      <c r="Q3932" s="15" t="s">
        <v>1089</v>
      </c>
      <c r="R3932" s="16" t="s">
        <v>5895</v>
      </c>
      <c r="S3932" s="15" t="s">
        <v>24397</v>
      </c>
      <c r="T3932" s="15" t="s">
        <v>24398</v>
      </c>
      <c r="U3932" s="21" t="s">
        <v>72</v>
      </c>
    </row>
    <row r="3933" customFormat="false" ht="15" hidden="false" customHeight="false" outlineLevel="0" collapsed="false">
      <c r="A3933" s="15" t="s">
        <v>23371</v>
      </c>
      <c r="B3933" s="15" t="s">
        <v>24108</v>
      </c>
      <c r="C3933" s="14" t="s">
        <v>24399</v>
      </c>
      <c r="D3933" s="14" t="s">
        <v>24400</v>
      </c>
      <c r="E3933" s="16" t="s">
        <v>24401</v>
      </c>
      <c r="F3933" s="16" t="s">
        <v>24402</v>
      </c>
      <c r="G3933" s="23" t="s">
        <v>43</v>
      </c>
      <c r="H3933" s="18" t="n">
        <v>1</v>
      </c>
      <c r="I3933" s="20" t="n">
        <v>35</v>
      </c>
      <c r="J3933" s="20" t="n">
        <v>170.46</v>
      </c>
      <c r="K3933" s="18" t="n">
        <v>1</v>
      </c>
      <c r="L3933" s="18" t="n">
        <v>5</v>
      </c>
      <c r="M3933" s="18" t="n">
        <v>15</v>
      </c>
      <c r="N3933" s="18" t="n">
        <v>15</v>
      </c>
      <c r="O3933" s="14" t="s">
        <v>1126</v>
      </c>
      <c r="P3933" s="14" t="s">
        <v>84</v>
      </c>
      <c r="Q3933" s="15" t="s">
        <v>1089</v>
      </c>
      <c r="R3933" s="16" t="s">
        <v>24403</v>
      </c>
      <c r="S3933" s="15" t="s">
        <v>24404</v>
      </c>
      <c r="T3933" s="15" t="s">
        <v>24405</v>
      </c>
      <c r="U3933" s="21" t="s">
        <v>72</v>
      </c>
    </row>
    <row r="3934" customFormat="false" ht="15" hidden="false" customHeight="false" outlineLevel="0" collapsed="false">
      <c r="A3934" s="15" t="s">
        <v>23371</v>
      </c>
      <c r="B3934" s="15" t="s">
        <v>24108</v>
      </c>
      <c r="C3934" s="14" t="s">
        <v>24406</v>
      </c>
      <c r="D3934" s="14" t="s">
        <v>24407</v>
      </c>
      <c r="E3934" s="16" t="s">
        <v>24408</v>
      </c>
      <c r="F3934" s="16"/>
      <c r="G3934" s="23" t="s">
        <v>43</v>
      </c>
      <c r="H3934" s="18" t="n">
        <v>1</v>
      </c>
      <c r="I3934" s="20" t="n">
        <v>38</v>
      </c>
      <c r="J3934" s="20" t="n">
        <v>94.5</v>
      </c>
      <c r="K3934" s="18" t="n">
        <v>2</v>
      </c>
      <c r="L3934" s="18" t="n">
        <v>1</v>
      </c>
      <c r="M3934" s="18" t="n">
        <v>40</v>
      </c>
      <c r="N3934" s="18" t="n">
        <v>20</v>
      </c>
      <c r="O3934" s="14" t="s">
        <v>1088</v>
      </c>
      <c r="P3934" s="14" t="s">
        <v>118</v>
      </c>
      <c r="Q3934" s="15" t="s">
        <v>1089</v>
      </c>
      <c r="R3934" s="16" t="s">
        <v>24409</v>
      </c>
      <c r="S3934" s="15" t="s">
        <v>24410</v>
      </c>
      <c r="T3934" s="15" t="s">
        <v>24410</v>
      </c>
      <c r="U3934" s="21" t="s">
        <v>72</v>
      </c>
    </row>
    <row r="3935" customFormat="false" ht="15" hidden="false" customHeight="false" outlineLevel="0" collapsed="false">
      <c r="A3935" s="15" t="s">
        <v>23371</v>
      </c>
      <c r="B3935" s="15" t="s">
        <v>24108</v>
      </c>
      <c r="C3935" s="14" t="s">
        <v>24411</v>
      </c>
      <c r="D3935" s="14" t="s">
        <v>24412</v>
      </c>
      <c r="E3935" s="16" t="s">
        <v>24413</v>
      </c>
      <c r="F3935" s="16"/>
      <c r="G3935" s="23" t="s">
        <v>43</v>
      </c>
      <c r="H3935" s="18" t="n">
        <v>3</v>
      </c>
      <c r="I3935" s="20" t="n">
        <v>55.82</v>
      </c>
      <c r="J3935" s="20" t="n">
        <v>132.6</v>
      </c>
      <c r="K3935" s="18" t="n">
        <v>2</v>
      </c>
      <c r="L3935" s="18" t="n">
        <v>2</v>
      </c>
      <c r="M3935" s="18" t="n">
        <v>30</v>
      </c>
      <c r="N3935" s="18" t="n">
        <v>30</v>
      </c>
      <c r="O3935" s="14" t="s">
        <v>1126</v>
      </c>
      <c r="P3935" s="14" t="s">
        <v>84</v>
      </c>
      <c r="Q3935" s="15" t="s">
        <v>1089</v>
      </c>
      <c r="R3935" s="16" t="s">
        <v>5776</v>
      </c>
      <c r="S3935" s="15" t="s">
        <v>24414</v>
      </c>
      <c r="T3935" s="15" t="s">
        <v>24414</v>
      </c>
      <c r="U3935" s="21" t="s">
        <v>72</v>
      </c>
    </row>
    <row r="3936" customFormat="false" ht="15" hidden="false" customHeight="false" outlineLevel="0" collapsed="false">
      <c r="A3936" s="15" t="s">
        <v>23371</v>
      </c>
      <c r="B3936" s="15" t="s">
        <v>24108</v>
      </c>
      <c r="C3936" s="14" t="s">
        <v>24415</v>
      </c>
      <c r="D3936" s="14" t="s">
        <v>24416</v>
      </c>
      <c r="E3936" s="16" t="s">
        <v>24239</v>
      </c>
      <c r="F3936" s="16" t="s">
        <v>24240</v>
      </c>
      <c r="G3936" s="19" t="s">
        <v>41</v>
      </c>
      <c r="H3936" s="18" t="n">
        <v>4</v>
      </c>
      <c r="I3936" s="20" t="n">
        <v>70</v>
      </c>
      <c r="J3936" s="20" t="n">
        <v>234.36</v>
      </c>
      <c r="K3936" s="18" t="n">
        <v>5</v>
      </c>
      <c r="L3936" s="18" t="n">
        <v>8</v>
      </c>
      <c r="M3936" s="18" t="n">
        <v>125</v>
      </c>
      <c r="N3936" s="18"/>
      <c r="O3936" s="13"/>
      <c r="P3936" s="14" t="s">
        <v>84</v>
      </c>
      <c r="Q3936" s="15" t="s">
        <v>1089</v>
      </c>
      <c r="R3936" s="16" t="s">
        <v>6704</v>
      </c>
      <c r="S3936" s="15" t="s">
        <v>24417</v>
      </c>
      <c r="T3936" s="15" t="s">
        <v>24418</v>
      </c>
      <c r="U3936" s="21" t="s">
        <v>72</v>
      </c>
    </row>
    <row r="3937" customFormat="false" ht="15" hidden="false" customHeight="false" outlineLevel="0" collapsed="false">
      <c r="A3937" s="15" t="s">
        <v>23371</v>
      </c>
      <c r="B3937" s="15" t="s">
        <v>24108</v>
      </c>
      <c r="C3937" s="14" t="s">
        <v>24419</v>
      </c>
      <c r="D3937" s="14" t="s">
        <v>24420</v>
      </c>
      <c r="E3937" s="16" t="s">
        <v>24421</v>
      </c>
      <c r="F3937" s="16"/>
      <c r="G3937" s="23" t="s">
        <v>43</v>
      </c>
      <c r="H3937" s="18" t="n">
        <v>3</v>
      </c>
      <c r="I3937" s="20" t="n">
        <v>56.76</v>
      </c>
      <c r="J3937" s="20" t="n">
        <v>56.76</v>
      </c>
      <c r="K3937" s="18" t="n">
        <v>1</v>
      </c>
      <c r="L3937" s="18" t="n">
        <v>1</v>
      </c>
      <c r="M3937" s="18" t="n">
        <v>25</v>
      </c>
      <c r="N3937" s="18" t="n">
        <v>25</v>
      </c>
      <c r="O3937" s="14" t="s">
        <v>1126</v>
      </c>
      <c r="P3937" s="14" t="s">
        <v>84</v>
      </c>
      <c r="Q3937" s="15" t="s">
        <v>1089</v>
      </c>
      <c r="R3937" s="16" t="s">
        <v>24422</v>
      </c>
      <c r="S3937" s="15" t="s">
        <v>24423</v>
      </c>
      <c r="T3937" s="15" t="s">
        <v>24423</v>
      </c>
      <c r="U3937" s="21" t="s">
        <v>72</v>
      </c>
    </row>
    <row r="3938" customFormat="false" ht="15" hidden="false" customHeight="false" outlineLevel="0" collapsed="false">
      <c r="A3938" s="15" t="s">
        <v>23371</v>
      </c>
      <c r="B3938" s="15" t="s">
        <v>24108</v>
      </c>
      <c r="C3938" s="14" t="s">
        <v>24424</v>
      </c>
      <c r="D3938" s="14" t="s">
        <v>24425</v>
      </c>
      <c r="E3938" s="16" t="s">
        <v>24426</v>
      </c>
      <c r="F3938" s="16" t="s">
        <v>24427</v>
      </c>
      <c r="G3938" s="23" t="s">
        <v>43</v>
      </c>
      <c r="H3938" s="18" t="n">
        <v>1</v>
      </c>
      <c r="I3938" s="20" t="n">
        <v>34</v>
      </c>
      <c r="J3938" s="20" t="n">
        <v>91.91</v>
      </c>
      <c r="K3938" s="18" t="n">
        <v>1</v>
      </c>
      <c r="L3938" s="18" t="n">
        <v>1</v>
      </c>
      <c r="M3938" s="18" t="n">
        <v>20</v>
      </c>
      <c r="N3938" s="18" t="n">
        <v>20</v>
      </c>
      <c r="O3938" s="14" t="s">
        <v>1126</v>
      </c>
      <c r="P3938" s="14" t="s">
        <v>84</v>
      </c>
      <c r="Q3938" s="15" t="s">
        <v>1089</v>
      </c>
      <c r="R3938" s="16" t="s">
        <v>793</v>
      </c>
      <c r="S3938" s="15" t="s">
        <v>24428</v>
      </c>
      <c r="T3938" s="15" t="s">
        <v>24429</v>
      </c>
      <c r="U3938" s="21" t="s">
        <v>72</v>
      </c>
    </row>
    <row r="3939" customFormat="false" ht="15" hidden="false" customHeight="false" outlineLevel="0" collapsed="false">
      <c r="A3939" s="15" t="s">
        <v>23371</v>
      </c>
      <c r="B3939" s="15" t="s">
        <v>24108</v>
      </c>
      <c r="C3939" s="14" t="s">
        <v>24430</v>
      </c>
      <c r="D3939" s="14" t="s">
        <v>24431</v>
      </c>
      <c r="E3939" s="16" t="s">
        <v>24432</v>
      </c>
      <c r="F3939" s="16"/>
      <c r="G3939" s="23" t="s">
        <v>43</v>
      </c>
      <c r="H3939" s="18" t="n">
        <v>3</v>
      </c>
      <c r="I3939" s="20" t="n">
        <v>47</v>
      </c>
      <c r="J3939" s="20" t="n">
        <v>90</v>
      </c>
      <c r="K3939" s="18" t="n">
        <v>2</v>
      </c>
      <c r="L3939" s="18" t="n">
        <v>1</v>
      </c>
      <c r="M3939" s="18" t="n">
        <v>30</v>
      </c>
      <c r="N3939" s="18" t="n">
        <v>30</v>
      </c>
      <c r="O3939" s="14" t="s">
        <v>1097</v>
      </c>
      <c r="P3939" s="14" t="s">
        <v>84</v>
      </c>
      <c r="Q3939" s="15" t="s">
        <v>1089</v>
      </c>
      <c r="R3939" s="16" t="s">
        <v>7542</v>
      </c>
      <c r="S3939" s="15" t="s">
        <v>24433</v>
      </c>
      <c r="T3939" s="15" t="s">
        <v>24434</v>
      </c>
      <c r="U3939" s="21" t="s">
        <v>72</v>
      </c>
    </row>
    <row r="3940" customFormat="false" ht="15" hidden="false" customHeight="false" outlineLevel="0" collapsed="false">
      <c r="A3940" s="15" t="s">
        <v>23371</v>
      </c>
      <c r="B3940" s="15" t="s">
        <v>24108</v>
      </c>
      <c r="C3940" s="14" t="s">
        <v>24435</v>
      </c>
      <c r="D3940" s="14" t="s">
        <v>24436</v>
      </c>
      <c r="E3940" s="16" t="s">
        <v>24437</v>
      </c>
      <c r="F3940" s="16" t="s">
        <v>24438</v>
      </c>
      <c r="G3940" s="19" t="s">
        <v>41</v>
      </c>
      <c r="H3940" s="18" t="n">
        <v>3</v>
      </c>
      <c r="I3940" s="20" t="n">
        <v>83.3</v>
      </c>
      <c r="J3940" s="20" t="n">
        <v>200.12</v>
      </c>
      <c r="K3940" s="18" t="n">
        <v>2</v>
      </c>
      <c r="L3940" s="18" t="n">
        <v>7</v>
      </c>
      <c r="M3940" s="18" t="n">
        <v>60</v>
      </c>
      <c r="N3940" s="18" t="n">
        <v>60</v>
      </c>
      <c r="O3940" s="14" t="s">
        <v>1126</v>
      </c>
      <c r="P3940" s="14" t="s">
        <v>84</v>
      </c>
      <c r="Q3940" s="15" t="s">
        <v>1089</v>
      </c>
      <c r="R3940" s="16" t="s">
        <v>23789</v>
      </c>
      <c r="S3940" s="15" t="s">
        <v>24439</v>
      </c>
      <c r="T3940" s="15" t="s">
        <v>24439</v>
      </c>
      <c r="U3940" s="21" t="s">
        <v>72</v>
      </c>
    </row>
    <row r="3941" customFormat="false" ht="15" hidden="false" customHeight="false" outlineLevel="0" collapsed="false">
      <c r="A3941" s="15" t="s">
        <v>23371</v>
      </c>
      <c r="B3941" s="15" t="s">
        <v>24108</v>
      </c>
      <c r="C3941" s="14" t="s">
        <v>24440</v>
      </c>
      <c r="D3941" s="14" t="s">
        <v>24441</v>
      </c>
      <c r="E3941" s="16" t="s">
        <v>24442</v>
      </c>
      <c r="F3941" s="16" t="s">
        <v>24443</v>
      </c>
      <c r="G3941" s="23" t="s">
        <v>43</v>
      </c>
      <c r="H3941" s="18" t="n">
        <v>2</v>
      </c>
      <c r="I3941" s="20" t="n">
        <v>52</v>
      </c>
      <c r="J3941" s="20" t="n">
        <v>171.6</v>
      </c>
      <c r="K3941" s="18" t="n">
        <v>4</v>
      </c>
      <c r="L3941" s="18" t="n">
        <v>3</v>
      </c>
      <c r="M3941" s="18" t="n">
        <v>48</v>
      </c>
      <c r="N3941" s="18" t="n">
        <v>48</v>
      </c>
      <c r="O3941" s="14" t="s">
        <v>1088</v>
      </c>
      <c r="P3941" s="14" t="s">
        <v>84</v>
      </c>
      <c r="Q3941" s="15" t="s">
        <v>1089</v>
      </c>
      <c r="R3941" s="16" t="s">
        <v>24444</v>
      </c>
      <c r="S3941" s="15" t="s">
        <v>24445</v>
      </c>
      <c r="T3941" s="15" t="s">
        <v>24445</v>
      </c>
      <c r="U3941" s="21" t="s">
        <v>72</v>
      </c>
    </row>
    <row r="3942" customFormat="false" ht="15" hidden="false" customHeight="false" outlineLevel="0" collapsed="false">
      <c r="A3942" s="15" t="s">
        <v>23371</v>
      </c>
      <c r="B3942" s="15" t="s">
        <v>24108</v>
      </c>
      <c r="C3942" s="14" t="s">
        <v>24446</v>
      </c>
      <c r="D3942" s="14" t="s">
        <v>24447</v>
      </c>
      <c r="E3942" s="16" t="s">
        <v>24448</v>
      </c>
      <c r="F3942" s="16" t="s">
        <v>24449</v>
      </c>
      <c r="G3942" s="23" t="s">
        <v>43</v>
      </c>
      <c r="H3942" s="18" t="n">
        <v>3</v>
      </c>
      <c r="I3942" s="20" t="n">
        <v>60</v>
      </c>
      <c r="J3942" s="20" t="n">
        <v>117</v>
      </c>
      <c r="K3942" s="18" t="n">
        <v>2</v>
      </c>
      <c r="L3942" s="18" t="n">
        <v>7</v>
      </c>
      <c r="M3942" s="18" t="n">
        <v>50</v>
      </c>
      <c r="N3942" s="18" t="n">
        <v>50</v>
      </c>
      <c r="O3942" s="14" t="s">
        <v>1088</v>
      </c>
      <c r="P3942" s="14" t="s">
        <v>84</v>
      </c>
      <c r="Q3942" s="15" t="s">
        <v>1089</v>
      </c>
      <c r="R3942" s="16" t="s">
        <v>24450</v>
      </c>
      <c r="S3942" s="15" t="s">
        <v>24451</v>
      </c>
      <c r="T3942" s="15" t="s">
        <v>24452</v>
      </c>
      <c r="U3942" s="21" t="s">
        <v>72</v>
      </c>
    </row>
    <row r="3943" customFormat="false" ht="15" hidden="false" customHeight="false" outlineLevel="0" collapsed="false">
      <c r="A3943" s="15" t="s">
        <v>23371</v>
      </c>
      <c r="B3943" s="15" t="s">
        <v>24108</v>
      </c>
      <c r="C3943" s="14" t="s">
        <v>24453</v>
      </c>
      <c r="D3943" s="14" t="s">
        <v>24454</v>
      </c>
      <c r="E3943" s="16" t="s">
        <v>24455</v>
      </c>
      <c r="F3943" s="16"/>
      <c r="G3943" s="23" t="s">
        <v>43</v>
      </c>
      <c r="H3943" s="18" t="n">
        <v>2</v>
      </c>
      <c r="I3943" s="20" t="n">
        <v>56.44</v>
      </c>
      <c r="J3943" s="20" t="n">
        <v>93.2</v>
      </c>
      <c r="K3943" s="18" t="n">
        <v>2</v>
      </c>
      <c r="L3943" s="18" t="n">
        <v>2</v>
      </c>
      <c r="M3943" s="18" t="n">
        <v>40</v>
      </c>
      <c r="N3943" s="18" t="n">
        <v>40</v>
      </c>
      <c r="O3943" s="14" t="s">
        <v>1126</v>
      </c>
      <c r="P3943" s="14" t="s">
        <v>84</v>
      </c>
      <c r="Q3943" s="15" t="s">
        <v>1089</v>
      </c>
      <c r="R3943" s="16" t="s">
        <v>3007</v>
      </c>
      <c r="S3943" s="15" t="s">
        <v>24456</v>
      </c>
      <c r="T3943" s="15" t="s">
        <v>24457</v>
      </c>
      <c r="U3943" s="21" t="s">
        <v>72</v>
      </c>
    </row>
    <row r="3944" customFormat="false" ht="26.85" hidden="false" customHeight="false" outlineLevel="0" collapsed="false">
      <c r="A3944" s="15" t="s">
        <v>23371</v>
      </c>
      <c r="B3944" s="15" t="s">
        <v>24108</v>
      </c>
      <c r="C3944" s="14" t="s">
        <v>24458</v>
      </c>
      <c r="D3944" s="14" t="s">
        <v>24459</v>
      </c>
      <c r="E3944" s="16" t="s">
        <v>24460</v>
      </c>
      <c r="F3944" s="16" t="s">
        <v>24461</v>
      </c>
      <c r="G3944" s="23" t="s">
        <v>43</v>
      </c>
      <c r="H3944" s="18" t="n">
        <v>2</v>
      </c>
      <c r="I3944" s="20" t="n">
        <v>70.9</v>
      </c>
      <c r="J3944" s="20" t="n">
        <v>110.3</v>
      </c>
      <c r="K3944" s="18" t="n">
        <v>2</v>
      </c>
      <c r="L3944" s="18" t="n">
        <v>1</v>
      </c>
      <c r="M3944" s="18" t="n">
        <v>40</v>
      </c>
      <c r="N3944" s="18" t="n">
        <v>20</v>
      </c>
      <c r="O3944" s="14" t="s">
        <v>1126</v>
      </c>
      <c r="P3944" s="14" t="s">
        <v>1185</v>
      </c>
      <c r="Q3944" s="15" t="s">
        <v>1089</v>
      </c>
      <c r="R3944" s="16" t="s">
        <v>1652</v>
      </c>
      <c r="S3944" s="15" t="s">
        <v>24462</v>
      </c>
      <c r="T3944" s="15" t="s">
        <v>24463</v>
      </c>
      <c r="U3944" s="21" t="s">
        <v>72</v>
      </c>
    </row>
    <row r="3945" customFormat="false" ht="15" hidden="false" customHeight="false" outlineLevel="0" collapsed="false">
      <c r="A3945" s="15" t="s">
        <v>23371</v>
      </c>
      <c r="B3945" s="15" t="s">
        <v>24108</v>
      </c>
      <c r="C3945" s="14" t="s">
        <v>24464</v>
      </c>
      <c r="D3945" s="14" t="s">
        <v>24465</v>
      </c>
      <c r="E3945" s="16" t="s">
        <v>24466</v>
      </c>
      <c r="F3945" s="16"/>
      <c r="G3945" s="19" t="s">
        <v>41</v>
      </c>
      <c r="H3945" s="18" t="n">
        <v>5</v>
      </c>
      <c r="I3945" s="20" t="n">
        <v>104</v>
      </c>
      <c r="J3945" s="20" t="n">
        <v>169</v>
      </c>
      <c r="K3945" s="18" t="n">
        <v>2</v>
      </c>
      <c r="L3945" s="18" t="n">
        <v>2</v>
      </c>
      <c r="M3945" s="18" t="n">
        <v>86</v>
      </c>
      <c r="N3945" s="18" t="n">
        <v>86</v>
      </c>
      <c r="O3945" s="14" t="s">
        <v>1097</v>
      </c>
      <c r="P3945" s="14" t="s">
        <v>84</v>
      </c>
      <c r="Q3945" s="15" t="s">
        <v>1089</v>
      </c>
      <c r="R3945" s="16" t="s">
        <v>24467</v>
      </c>
      <c r="S3945" s="15" t="s">
        <v>24468</v>
      </c>
      <c r="T3945" s="15" t="s">
        <v>24469</v>
      </c>
      <c r="U3945" s="21" t="s">
        <v>72</v>
      </c>
    </row>
    <row r="3946" customFormat="false" ht="15" hidden="false" customHeight="false" outlineLevel="0" collapsed="false">
      <c r="A3946" s="15" t="s">
        <v>23371</v>
      </c>
      <c r="B3946" s="15" t="s">
        <v>24108</v>
      </c>
      <c r="C3946" s="14" t="s">
        <v>24470</v>
      </c>
      <c r="D3946" s="14" t="s">
        <v>24471</v>
      </c>
      <c r="E3946" s="16" t="s">
        <v>24472</v>
      </c>
      <c r="F3946" s="16" t="s">
        <v>24473</v>
      </c>
      <c r="G3946" s="19" t="s">
        <v>41</v>
      </c>
      <c r="H3946" s="18" t="n">
        <v>2</v>
      </c>
      <c r="I3946" s="20" t="n">
        <v>77.16</v>
      </c>
      <c r="J3946" s="20" t="n">
        <v>200.65</v>
      </c>
      <c r="K3946" s="18" t="n">
        <v>1</v>
      </c>
      <c r="L3946" s="18" t="n">
        <v>2</v>
      </c>
      <c r="M3946" s="18" t="n">
        <v>30</v>
      </c>
      <c r="N3946" s="18" t="n">
        <v>30</v>
      </c>
      <c r="O3946" s="14" t="s">
        <v>1126</v>
      </c>
      <c r="P3946" s="14" t="s">
        <v>84</v>
      </c>
      <c r="Q3946" s="15" t="s">
        <v>1089</v>
      </c>
      <c r="R3946" s="16" t="s">
        <v>24474</v>
      </c>
      <c r="S3946" s="15" t="s">
        <v>24475</v>
      </c>
      <c r="T3946" s="15" t="s">
        <v>24475</v>
      </c>
      <c r="U3946" s="21" t="s">
        <v>72</v>
      </c>
    </row>
    <row r="3947" customFormat="false" ht="15" hidden="false" customHeight="false" outlineLevel="0" collapsed="false">
      <c r="A3947" s="15" t="s">
        <v>23371</v>
      </c>
      <c r="B3947" s="15" t="s">
        <v>24108</v>
      </c>
      <c r="C3947" s="14" t="s">
        <v>24476</v>
      </c>
      <c r="D3947" s="14" t="s">
        <v>24477</v>
      </c>
      <c r="E3947" s="16" t="s">
        <v>24478</v>
      </c>
      <c r="F3947" s="16"/>
      <c r="G3947" s="23" t="s">
        <v>43</v>
      </c>
      <c r="H3947" s="18" t="n">
        <v>1</v>
      </c>
      <c r="I3947" s="20" t="n">
        <v>60.22</v>
      </c>
      <c r="J3947" s="20" t="n">
        <v>91.31</v>
      </c>
      <c r="K3947" s="18" t="n">
        <v>1</v>
      </c>
      <c r="L3947" s="18" t="n">
        <v>2</v>
      </c>
      <c r="M3947" s="18" t="n">
        <v>30</v>
      </c>
      <c r="N3947" s="18" t="n">
        <v>30</v>
      </c>
      <c r="O3947" s="14" t="s">
        <v>1126</v>
      </c>
      <c r="P3947" s="14" t="s">
        <v>84</v>
      </c>
      <c r="Q3947" s="15" t="s">
        <v>1089</v>
      </c>
      <c r="R3947" s="16" t="s">
        <v>8843</v>
      </c>
      <c r="S3947" s="15" t="s">
        <v>24479</v>
      </c>
      <c r="T3947" s="15" t="s">
        <v>24480</v>
      </c>
      <c r="U3947" s="21" t="s">
        <v>72</v>
      </c>
    </row>
    <row r="3948" customFormat="false" ht="15" hidden="false" customHeight="false" outlineLevel="0" collapsed="false">
      <c r="A3948" s="15" t="s">
        <v>23371</v>
      </c>
      <c r="B3948" s="15" t="s">
        <v>24108</v>
      </c>
      <c r="C3948" s="14" t="s">
        <v>24481</v>
      </c>
      <c r="D3948" s="14" t="s">
        <v>24482</v>
      </c>
      <c r="E3948" s="16" t="s">
        <v>24483</v>
      </c>
      <c r="F3948" s="16" t="s">
        <v>24484</v>
      </c>
      <c r="G3948" s="23" t="s">
        <v>43</v>
      </c>
      <c r="H3948" s="18" t="n">
        <v>2</v>
      </c>
      <c r="I3948" s="20" t="n">
        <v>46.8</v>
      </c>
      <c r="J3948" s="20" t="n">
        <v>110.8</v>
      </c>
      <c r="K3948" s="18" t="n">
        <v>2</v>
      </c>
      <c r="L3948" s="18" t="n">
        <v>1</v>
      </c>
      <c r="M3948" s="18" t="n">
        <v>30</v>
      </c>
      <c r="N3948" s="18" t="n">
        <v>30</v>
      </c>
      <c r="O3948" s="14" t="s">
        <v>1126</v>
      </c>
      <c r="P3948" s="14" t="s">
        <v>84</v>
      </c>
      <c r="Q3948" s="15" t="s">
        <v>1089</v>
      </c>
      <c r="R3948" s="16" t="s">
        <v>24485</v>
      </c>
      <c r="S3948" s="15" t="s">
        <v>24486</v>
      </c>
      <c r="T3948" s="15" t="s">
        <v>24486</v>
      </c>
      <c r="U3948" s="21" t="s">
        <v>72</v>
      </c>
    </row>
    <row r="3949" customFormat="false" ht="15" hidden="false" customHeight="false" outlineLevel="0" collapsed="false">
      <c r="A3949" s="15" t="s">
        <v>23371</v>
      </c>
      <c r="B3949" s="15" t="s">
        <v>24108</v>
      </c>
      <c r="C3949" s="14" t="s">
        <v>24487</v>
      </c>
      <c r="D3949" s="14" t="s">
        <v>24488</v>
      </c>
      <c r="E3949" s="16" t="s">
        <v>24489</v>
      </c>
      <c r="F3949" s="16" t="s">
        <v>24490</v>
      </c>
      <c r="G3949" s="23" t="s">
        <v>43</v>
      </c>
      <c r="H3949" s="18" t="n">
        <v>2</v>
      </c>
      <c r="I3949" s="20" t="n">
        <v>50.4</v>
      </c>
      <c r="J3949" s="20" t="n">
        <v>122.85</v>
      </c>
      <c r="K3949" s="18" t="n">
        <v>1</v>
      </c>
      <c r="L3949" s="18" t="n">
        <v>1</v>
      </c>
      <c r="M3949" s="18" t="n">
        <v>12</v>
      </c>
      <c r="N3949" s="18" t="n">
        <v>12</v>
      </c>
      <c r="O3949" s="14" t="s">
        <v>1088</v>
      </c>
      <c r="P3949" s="14" t="s">
        <v>84</v>
      </c>
      <c r="Q3949" s="15" t="s">
        <v>1089</v>
      </c>
      <c r="R3949" s="16" t="s">
        <v>20758</v>
      </c>
      <c r="S3949" s="15" t="s">
        <v>24491</v>
      </c>
      <c r="T3949" s="15" t="s">
        <v>24492</v>
      </c>
      <c r="U3949" s="21" t="s">
        <v>72</v>
      </c>
    </row>
    <row r="3950" customFormat="false" ht="15" hidden="false" customHeight="false" outlineLevel="0" collapsed="false">
      <c r="A3950" s="15" t="s">
        <v>23371</v>
      </c>
      <c r="B3950" s="15" t="s">
        <v>24108</v>
      </c>
      <c r="C3950" s="14" t="s">
        <v>24493</v>
      </c>
      <c r="D3950" s="14" t="s">
        <v>24494</v>
      </c>
      <c r="E3950" s="16" t="s">
        <v>24495</v>
      </c>
      <c r="F3950" s="16" t="s">
        <v>24496</v>
      </c>
      <c r="G3950" s="23" t="s">
        <v>43</v>
      </c>
      <c r="H3950" s="18" t="n">
        <v>1</v>
      </c>
      <c r="I3950" s="20" t="n">
        <v>32.3</v>
      </c>
      <c r="J3950" s="20" t="n">
        <v>92.12</v>
      </c>
      <c r="K3950" s="18" t="n">
        <v>1</v>
      </c>
      <c r="L3950" s="18" t="n">
        <v>3</v>
      </c>
      <c r="M3950" s="18" t="n">
        <v>25</v>
      </c>
      <c r="N3950" s="18" t="n">
        <v>25</v>
      </c>
      <c r="O3950" s="14" t="s">
        <v>1126</v>
      </c>
      <c r="P3950" s="14" t="s">
        <v>84</v>
      </c>
      <c r="Q3950" s="15" t="s">
        <v>1089</v>
      </c>
      <c r="R3950" s="16" t="s">
        <v>628</v>
      </c>
      <c r="S3950" s="15" t="s">
        <v>24497</v>
      </c>
      <c r="T3950" s="15" t="s">
        <v>24498</v>
      </c>
      <c r="U3950" s="21" t="s">
        <v>72</v>
      </c>
    </row>
    <row r="3951" customFormat="false" ht="15" hidden="false" customHeight="false" outlineLevel="0" collapsed="false">
      <c r="A3951" s="15" t="s">
        <v>23371</v>
      </c>
      <c r="B3951" s="15" t="s">
        <v>24108</v>
      </c>
      <c r="C3951" s="14" t="s">
        <v>24499</v>
      </c>
      <c r="D3951" s="14" t="s">
        <v>24500</v>
      </c>
      <c r="E3951" s="16" t="s">
        <v>24501</v>
      </c>
      <c r="F3951" s="16" t="s">
        <v>24502</v>
      </c>
      <c r="G3951" s="23" t="s">
        <v>43</v>
      </c>
      <c r="H3951" s="18" t="n">
        <v>2</v>
      </c>
      <c r="I3951" s="20" t="n">
        <v>38.6</v>
      </c>
      <c r="J3951" s="20" t="n">
        <v>83.56</v>
      </c>
      <c r="K3951" s="18" t="n">
        <v>2</v>
      </c>
      <c r="L3951" s="18" t="n">
        <v>2</v>
      </c>
      <c r="M3951" s="18" t="n">
        <v>40</v>
      </c>
      <c r="N3951" s="18" t="n">
        <v>40</v>
      </c>
      <c r="O3951" s="14" t="s">
        <v>1088</v>
      </c>
      <c r="P3951" s="14" t="s">
        <v>84</v>
      </c>
      <c r="Q3951" s="15" t="s">
        <v>1089</v>
      </c>
      <c r="R3951" s="16" t="s">
        <v>17112</v>
      </c>
      <c r="S3951" s="15" t="s">
        <v>24503</v>
      </c>
      <c r="T3951" s="15" t="s">
        <v>24504</v>
      </c>
      <c r="U3951" s="21" t="s">
        <v>72</v>
      </c>
    </row>
    <row r="3952" customFormat="false" ht="15" hidden="false" customHeight="false" outlineLevel="0" collapsed="false">
      <c r="A3952" s="15" t="s">
        <v>23371</v>
      </c>
      <c r="B3952" s="15" t="s">
        <v>24108</v>
      </c>
      <c r="C3952" s="14" t="s">
        <v>24505</v>
      </c>
      <c r="D3952" s="14" t="s">
        <v>24506</v>
      </c>
      <c r="E3952" s="16" t="s">
        <v>24507</v>
      </c>
      <c r="F3952" s="16" t="s">
        <v>24508</v>
      </c>
      <c r="G3952" s="19" t="s">
        <v>41</v>
      </c>
      <c r="H3952" s="18" t="n">
        <v>7</v>
      </c>
      <c r="I3952" s="20" t="n">
        <v>136</v>
      </c>
      <c r="J3952" s="20" t="n">
        <v>181.5</v>
      </c>
      <c r="K3952" s="18" t="n">
        <v>4</v>
      </c>
      <c r="L3952" s="18" t="n">
        <v>2</v>
      </c>
      <c r="M3952" s="18" t="n">
        <v>60</v>
      </c>
      <c r="N3952" s="18" t="n">
        <v>60</v>
      </c>
      <c r="O3952" s="14" t="s">
        <v>1088</v>
      </c>
      <c r="P3952" s="14" t="s">
        <v>84</v>
      </c>
      <c r="Q3952" s="15" t="s">
        <v>1089</v>
      </c>
      <c r="R3952" s="16" t="s">
        <v>22804</v>
      </c>
      <c r="S3952" s="15" t="s">
        <v>24509</v>
      </c>
      <c r="T3952" s="15" t="s">
        <v>24509</v>
      </c>
      <c r="U3952" s="21" t="s">
        <v>72</v>
      </c>
    </row>
    <row r="3953" customFormat="false" ht="15" hidden="false" customHeight="false" outlineLevel="0" collapsed="false">
      <c r="A3953" s="15" t="s">
        <v>23371</v>
      </c>
      <c r="B3953" s="15" t="s">
        <v>24108</v>
      </c>
      <c r="C3953" s="14" t="s">
        <v>24510</v>
      </c>
      <c r="D3953" s="14" t="s">
        <v>24511</v>
      </c>
      <c r="E3953" s="16" t="s">
        <v>24512</v>
      </c>
      <c r="F3953" s="16" t="s">
        <v>24513</v>
      </c>
      <c r="G3953" s="19" t="s">
        <v>41</v>
      </c>
      <c r="H3953" s="18" t="n">
        <v>3</v>
      </c>
      <c r="I3953" s="20" t="n">
        <v>138.4</v>
      </c>
      <c r="J3953" s="20" t="n">
        <v>322.08</v>
      </c>
      <c r="K3953" s="18" t="n">
        <v>3</v>
      </c>
      <c r="L3953" s="18" t="n">
        <v>1</v>
      </c>
      <c r="M3953" s="18" t="n">
        <v>90</v>
      </c>
      <c r="N3953" s="18" t="n">
        <v>90</v>
      </c>
      <c r="O3953" s="14" t="s">
        <v>1126</v>
      </c>
      <c r="P3953" s="14" t="s">
        <v>84</v>
      </c>
      <c r="Q3953" s="15" t="s">
        <v>1089</v>
      </c>
      <c r="R3953" s="16" t="s">
        <v>23494</v>
      </c>
      <c r="S3953" s="15" t="s">
        <v>24514</v>
      </c>
      <c r="T3953" s="15" t="s">
        <v>24515</v>
      </c>
      <c r="U3953" s="21" t="s">
        <v>72</v>
      </c>
    </row>
    <row r="3954" customFormat="false" ht="15" hidden="false" customHeight="false" outlineLevel="0" collapsed="false">
      <c r="A3954" s="15" t="s">
        <v>23371</v>
      </c>
      <c r="B3954" s="15" t="s">
        <v>24108</v>
      </c>
      <c r="C3954" s="14" t="s">
        <v>24516</v>
      </c>
      <c r="D3954" s="14" t="s">
        <v>24517</v>
      </c>
      <c r="E3954" s="16" t="s">
        <v>24518</v>
      </c>
      <c r="F3954" s="16" t="s">
        <v>24519</v>
      </c>
      <c r="G3954" s="23" t="s">
        <v>43</v>
      </c>
      <c r="H3954" s="18" t="n">
        <v>3</v>
      </c>
      <c r="I3954" s="20" t="n">
        <v>93.95</v>
      </c>
      <c r="J3954" s="20" t="n">
        <v>197.65</v>
      </c>
      <c r="K3954" s="18" t="n">
        <v>8</v>
      </c>
      <c r="L3954" s="18" t="n">
        <v>17</v>
      </c>
      <c r="M3954" s="18" t="n">
        <v>160</v>
      </c>
      <c r="N3954" s="18" t="n">
        <v>40</v>
      </c>
      <c r="O3954" s="14" t="s">
        <v>1126</v>
      </c>
      <c r="P3954" s="14" t="s">
        <v>1166</v>
      </c>
      <c r="Q3954" s="15" t="s">
        <v>1089</v>
      </c>
      <c r="R3954" s="16" t="s">
        <v>24520</v>
      </c>
      <c r="S3954" s="15" t="s">
        <v>24521</v>
      </c>
      <c r="T3954" s="15" t="s">
        <v>24522</v>
      </c>
      <c r="U3954" s="21" t="s">
        <v>72</v>
      </c>
    </row>
    <row r="3955" customFormat="false" ht="15" hidden="false" customHeight="false" outlineLevel="0" collapsed="false">
      <c r="A3955" s="15" t="s">
        <v>23371</v>
      </c>
      <c r="B3955" s="15" t="s">
        <v>24108</v>
      </c>
      <c r="C3955" s="14" t="s">
        <v>24523</v>
      </c>
      <c r="D3955" s="14" t="s">
        <v>24524</v>
      </c>
      <c r="E3955" s="16" t="s">
        <v>24525</v>
      </c>
      <c r="F3955" s="16" t="s">
        <v>1595</v>
      </c>
      <c r="G3955" s="23" t="s">
        <v>43</v>
      </c>
      <c r="H3955" s="18" t="n">
        <v>2</v>
      </c>
      <c r="I3955" s="20" t="n">
        <v>42</v>
      </c>
      <c r="J3955" s="20" t="n">
        <v>92</v>
      </c>
      <c r="K3955" s="18" t="n">
        <v>2</v>
      </c>
      <c r="L3955" s="18" t="n">
        <v>8</v>
      </c>
      <c r="M3955" s="18" t="n">
        <v>36</v>
      </c>
      <c r="N3955" s="18" t="n">
        <v>36</v>
      </c>
      <c r="O3955" s="14" t="s">
        <v>1088</v>
      </c>
      <c r="P3955" s="14" t="s">
        <v>84</v>
      </c>
      <c r="Q3955" s="15" t="s">
        <v>1089</v>
      </c>
      <c r="R3955" s="16" t="s">
        <v>17961</v>
      </c>
      <c r="S3955" s="15" t="s">
        <v>1597</v>
      </c>
      <c r="T3955" s="15" t="s">
        <v>24526</v>
      </c>
      <c r="U3955" s="21" t="s">
        <v>72</v>
      </c>
    </row>
    <row r="3956" customFormat="false" ht="15" hidden="false" customHeight="false" outlineLevel="0" collapsed="false">
      <c r="A3956" s="15" t="s">
        <v>23371</v>
      </c>
      <c r="B3956" s="15" t="s">
        <v>24108</v>
      </c>
      <c r="C3956" s="14" t="s">
        <v>24527</v>
      </c>
      <c r="D3956" s="14" t="s">
        <v>24528</v>
      </c>
      <c r="E3956" s="16" t="s">
        <v>24529</v>
      </c>
      <c r="F3956" s="16"/>
      <c r="G3956" s="23" t="s">
        <v>43</v>
      </c>
      <c r="H3956" s="18" t="n">
        <v>2</v>
      </c>
      <c r="I3956" s="20" t="n">
        <v>63.3</v>
      </c>
      <c r="J3956" s="20" t="n">
        <v>147.71</v>
      </c>
      <c r="K3956" s="18" t="n">
        <v>9</v>
      </c>
      <c r="L3956" s="18" t="n">
        <v>5</v>
      </c>
      <c r="M3956" s="18" t="n">
        <v>45</v>
      </c>
      <c r="N3956" s="18" t="n">
        <v>15</v>
      </c>
      <c r="O3956" s="14" t="s">
        <v>6448</v>
      </c>
      <c r="P3956" s="14" t="s">
        <v>118</v>
      </c>
      <c r="Q3956" s="15" t="s">
        <v>1089</v>
      </c>
      <c r="R3956" s="16" t="s">
        <v>24530</v>
      </c>
      <c r="S3956" s="15" t="s">
        <v>24531</v>
      </c>
      <c r="T3956" s="15" t="s">
        <v>24532</v>
      </c>
      <c r="U3956" s="21" t="s">
        <v>72</v>
      </c>
    </row>
    <row r="3957" customFormat="false" ht="15" hidden="false" customHeight="false" outlineLevel="0" collapsed="false">
      <c r="A3957" s="15" t="s">
        <v>23371</v>
      </c>
      <c r="B3957" s="15" t="s">
        <v>24533</v>
      </c>
      <c r="C3957" s="14" t="s">
        <v>24534</v>
      </c>
      <c r="D3957" s="14" t="s">
        <v>24535</v>
      </c>
      <c r="E3957" s="16" t="s">
        <v>24536</v>
      </c>
      <c r="F3957" s="16" t="s">
        <v>24537</v>
      </c>
      <c r="G3957" s="23" t="s">
        <v>43</v>
      </c>
      <c r="H3957" s="18" t="n">
        <v>1</v>
      </c>
      <c r="I3957" s="20" t="n">
        <v>60</v>
      </c>
      <c r="J3957" s="20" t="n">
        <v>166.57</v>
      </c>
      <c r="K3957" s="18" t="n">
        <v>7</v>
      </c>
      <c r="L3957" s="18" t="n">
        <v>4</v>
      </c>
      <c r="M3957" s="18" t="n">
        <v>105</v>
      </c>
      <c r="N3957" s="18" t="n">
        <v>45</v>
      </c>
      <c r="O3957" s="14" t="s">
        <v>1097</v>
      </c>
      <c r="P3957" s="14" t="s">
        <v>84</v>
      </c>
      <c r="Q3957" s="15" t="s">
        <v>1089</v>
      </c>
      <c r="R3957" s="16" t="s">
        <v>6127</v>
      </c>
      <c r="S3957" s="15" t="s">
        <v>24538</v>
      </c>
      <c r="T3957" s="15" t="s">
        <v>24538</v>
      </c>
      <c r="U3957" s="21" t="s">
        <v>72</v>
      </c>
    </row>
    <row r="3958" customFormat="false" ht="15" hidden="false" customHeight="false" outlineLevel="0" collapsed="false">
      <c r="A3958" s="15" t="s">
        <v>23371</v>
      </c>
      <c r="B3958" s="15" t="s">
        <v>24533</v>
      </c>
      <c r="C3958" s="14" t="s">
        <v>24539</v>
      </c>
      <c r="D3958" s="14" t="s">
        <v>24540</v>
      </c>
      <c r="E3958" s="16" t="s">
        <v>24541</v>
      </c>
      <c r="F3958" s="16" t="s">
        <v>24542</v>
      </c>
      <c r="G3958" s="23" t="s">
        <v>43</v>
      </c>
      <c r="H3958" s="18" t="n">
        <v>3</v>
      </c>
      <c r="I3958" s="20" t="n">
        <v>80.77</v>
      </c>
      <c r="J3958" s="20" t="n">
        <v>102.17</v>
      </c>
      <c r="K3958" s="18" t="n">
        <v>4</v>
      </c>
      <c r="L3958" s="18" t="n">
        <v>6</v>
      </c>
      <c r="M3958" s="18" t="n">
        <v>80</v>
      </c>
      <c r="N3958" s="18" t="n">
        <v>18</v>
      </c>
      <c r="O3958" s="14" t="s">
        <v>1097</v>
      </c>
      <c r="P3958" s="14" t="s">
        <v>118</v>
      </c>
      <c r="Q3958" s="15" t="s">
        <v>1089</v>
      </c>
      <c r="R3958" s="16" t="s">
        <v>24543</v>
      </c>
      <c r="S3958" s="15" t="s">
        <v>24544</v>
      </c>
      <c r="T3958" s="15" t="s">
        <v>24545</v>
      </c>
      <c r="U3958" s="21" t="s">
        <v>72</v>
      </c>
    </row>
    <row r="3959" customFormat="false" ht="15" hidden="false" customHeight="false" outlineLevel="0" collapsed="false">
      <c r="A3959" s="15" t="s">
        <v>23371</v>
      </c>
      <c r="B3959" s="15" t="s">
        <v>24533</v>
      </c>
      <c r="C3959" s="14" t="s">
        <v>24546</v>
      </c>
      <c r="D3959" s="14" t="s">
        <v>24547</v>
      </c>
      <c r="E3959" s="16" t="s">
        <v>24548</v>
      </c>
      <c r="F3959" s="16" t="s">
        <v>24549</v>
      </c>
      <c r="G3959" s="23" t="s">
        <v>43</v>
      </c>
      <c r="H3959" s="18" t="n">
        <v>1</v>
      </c>
      <c r="I3959" s="20" t="n">
        <v>45</v>
      </c>
      <c r="J3959" s="20" t="n">
        <v>105.92</v>
      </c>
      <c r="K3959" s="18" t="n">
        <v>2</v>
      </c>
      <c r="L3959" s="18" t="n">
        <v>2</v>
      </c>
      <c r="M3959" s="18" t="n">
        <v>40</v>
      </c>
      <c r="N3959" s="18" t="n">
        <v>40</v>
      </c>
      <c r="O3959" s="14" t="s">
        <v>1097</v>
      </c>
      <c r="P3959" s="14" t="s">
        <v>84</v>
      </c>
      <c r="Q3959" s="15" t="s">
        <v>1089</v>
      </c>
      <c r="R3959" s="16" t="s">
        <v>24550</v>
      </c>
      <c r="S3959" s="15" t="s">
        <v>24551</v>
      </c>
      <c r="T3959" s="15" t="s">
        <v>24551</v>
      </c>
      <c r="U3959" s="21" t="s">
        <v>72</v>
      </c>
    </row>
    <row r="3960" customFormat="false" ht="15" hidden="false" customHeight="false" outlineLevel="0" collapsed="false">
      <c r="A3960" s="15" t="s">
        <v>23371</v>
      </c>
      <c r="B3960" s="15" t="s">
        <v>24533</v>
      </c>
      <c r="C3960" s="14" t="s">
        <v>24552</v>
      </c>
      <c r="D3960" s="14" t="s">
        <v>24553</v>
      </c>
      <c r="E3960" s="16" t="s">
        <v>24554</v>
      </c>
      <c r="F3960" s="16"/>
      <c r="G3960" s="23" t="s">
        <v>43</v>
      </c>
      <c r="H3960" s="18" t="n">
        <v>1</v>
      </c>
      <c r="I3960" s="20" t="n">
        <v>45.41</v>
      </c>
      <c r="J3960" s="20" t="n">
        <v>95.55</v>
      </c>
      <c r="K3960" s="18" t="n">
        <v>1</v>
      </c>
      <c r="L3960" s="18" t="n">
        <v>1</v>
      </c>
      <c r="M3960" s="18" t="n">
        <v>20</v>
      </c>
      <c r="N3960" s="18" t="n">
        <v>20</v>
      </c>
      <c r="O3960" s="14" t="s">
        <v>1097</v>
      </c>
      <c r="P3960" s="14" t="s">
        <v>84</v>
      </c>
      <c r="Q3960" s="15" t="s">
        <v>1089</v>
      </c>
      <c r="R3960" s="16" t="s">
        <v>416</v>
      </c>
      <c r="S3960" s="15" t="s">
        <v>3819</v>
      </c>
      <c r="T3960" s="15" t="s">
        <v>3819</v>
      </c>
      <c r="U3960" s="21" t="s">
        <v>72</v>
      </c>
    </row>
    <row r="3961" customFormat="false" ht="15" hidden="false" customHeight="false" outlineLevel="0" collapsed="false">
      <c r="A3961" s="15" t="s">
        <v>23371</v>
      </c>
      <c r="B3961" s="15" t="s">
        <v>24533</v>
      </c>
      <c r="C3961" s="14" t="s">
        <v>24555</v>
      </c>
      <c r="D3961" s="14" t="s">
        <v>24556</v>
      </c>
      <c r="E3961" s="16" t="s">
        <v>24557</v>
      </c>
      <c r="F3961" s="16" t="s">
        <v>24558</v>
      </c>
      <c r="G3961" s="23" t="s">
        <v>43</v>
      </c>
      <c r="H3961" s="18" t="n">
        <v>3</v>
      </c>
      <c r="I3961" s="20" t="n">
        <v>38.64</v>
      </c>
      <c r="J3961" s="20" t="n">
        <v>76.73</v>
      </c>
      <c r="K3961" s="18" t="n">
        <v>1</v>
      </c>
      <c r="L3961" s="18" t="n">
        <v>1</v>
      </c>
      <c r="M3961" s="18" t="n">
        <v>20</v>
      </c>
      <c r="N3961" s="18" t="n">
        <v>20</v>
      </c>
      <c r="O3961" s="14" t="s">
        <v>1126</v>
      </c>
      <c r="P3961" s="14" t="s">
        <v>84</v>
      </c>
      <c r="Q3961" s="15" t="s">
        <v>1089</v>
      </c>
      <c r="R3961" s="16" t="s">
        <v>15174</v>
      </c>
      <c r="S3961" s="15" t="s">
        <v>24559</v>
      </c>
      <c r="T3961" s="15" t="s">
        <v>24560</v>
      </c>
      <c r="U3961" s="21" t="s">
        <v>72</v>
      </c>
    </row>
    <row r="3962" customFormat="false" ht="15" hidden="false" customHeight="false" outlineLevel="0" collapsed="false">
      <c r="A3962" s="15" t="s">
        <v>23371</v>
      </c>
      <c r="B3962" s="15" t="s">
        <v>24533</v>
      </c>
      <c r="C3962" s="14" t="s">
        <v>24561</v>
      </c>
      <c r="D3962" s="14" t="s">
        <v>24562</v>
      </c>
      <c r="E3962" s="16" t="s">
        <v>24563</v>
      </c>
      <c r="F3962" s="16"/>
      <c r="G3962" s="23" t="s">
        <v>43</v>
      </c>
      <c r="H3962" s="18" t="n">
        <v>1</v>
      </c>
      <c r="I3962" s="20" t="n">
        <v>30</v>
      </c>
      <c r="J3962" s="20" t="n">
        <v>73.97</v>
      </c>
      <c r="K3962" s="18" t="n">
        <v>1</v>
      </c>
      <c r="L3962" s="18" t="n">
        <v>3</v>
      </c>
      <c r="M3962" s="18" t="n">
        <v>15</v>
      </c>
      <c r="N3962" s="18" t="n">
        <v>15</v>
      </c>
      <c r="O3962" s="14" t="s">
        <v>1126</v>
      </c>
      <c r="P3962" s="14" t="s">
        <v>84</v>
      </c>
      <c r="Q3962" s="15" t="s">
        <v>1089</v>
      </c>
      <c r="R3962" s="16" t="s">
        <v>4366</v>
      </c>
      <c r="S3962" s="15" t="s">
        <v>24564</v>
      </c>
      <c r="T3962" s="15" t="s">
        <v>24564</v>
      </c>
      <c r="U3962" s="21" t="s">
        <v>72</v>
      </c>
    </row>
    <row r="3963" customFormat="false" ht="15" hidden="false" customHeight="false" outlineLevel="0" collapsed="false">
      <c r="A3963" s="15" t="s">
        <v>23371</v>
      </c>
      <c r="B3963" s="15" t="s">
        <v>24533</v>
      </c>
      <c r="C3963" s="14" t="s">
        <v>24565</v>
      </c>
      <c r="D3963" s="14" t="s">
        <v>24566</v>
      </c>
      <c r="E3963" s="16" t="s">
        <v>24567</v>
      </c>
      <c r="F3963" s="16" t="s">
        <v>24568</v>
      </c>
      <c r="G3963" s="23" t="s">
        <v>43</v>
      </c>
      <c r="H3963" s="18" t="n">
        <v>1</v>
      </c>
      <c r="I3963" s="20" t="n">
        <v>35</v>
      </c>
      <c r="J3963" s="20" t="n">
        <v>159.1</v>
      </c>
      <c r="K3963" s="18" t="n">
        <v>1</v>
      </c>
      <c r="L3963" s="18" t="n">
        <v>5</v>
      </c>
      <c r="M3963" s="18" t="n">
        <v>12</v>
      </c>
      <c r="N3963" s="18" t="n">
        <v>12</v>
      </c>
      <c r="O3963" s="14" t="s">
        <v>1088</v>
      </c>
      <c r="P3963" s="14" t="s">
        <v>84</v>
      </c>
      <c r="Q3963" s="15" t="s">
        <v>1089</v>
      </c>
      <c r="R3963" s="16" t="s">
        <v>24569</v>
      </c>
      <c r="S3963" s="15" t="s">
        <v>24570</v>
      </c>
      <c r="T3963" s="15" t="s">
        <v>24571</v>
      </c>
      <c r="U3963" s="21" t="s">
        <v>72</v>
      </c>
    </row>
    <row r="3964" customFormat="false" ht="15" hidden="false" customHeight="false" outlineLevel="0" collapsed="false">
      <c r="A3964" s="15" t="s">
        <v>23371</v>
      </c>
      <c r="B3964" s="15" t="s">
        <v>24533</v>
      </c>
      <c r="C3964" s="14" t="s">
        <v>24572</v>
      </c>
      <c r="D3964" s="14" t="s">
        <v>24573</v>
      </c>
      <c r="E3964" s="16" t="s">
        <v>24574</v>
      </c>
      <c r="F3964" s="16" t="s">
        <v>24575</v>
      </c>
      <c r="G3964" s="23" t="s">
        <v>43</v>
      </c>
      <c r="H3964" s="18" t="n">
        <v>1</v>
      </c>
      <c r="I3964" s="20" t="n">
        <v>35</v>
      </c>
      <c r="J3964" s="20" t="n">
        <v>30</v>
      </c>
      <c r="K3964" s="18" t="n">
        <v>2</v>
      </c>
      <c r="L3964" s="18" t="n">
        <v>4</v>
      </c>
      <c r="M3964" s="18" t="n">
        <v>60</v>
      </c>
      <c r="N3964" s="18" t="n">
        <v>60</v>
      </c>
      <c r="O3964" s="14" t="s">
        <v>1088</v>
      </c>
      <c r="P3964" s="14" t="s">
        <v>84</v>
      </c>
      <c r="Q3964" s="15" t="s">
        <v>1089</v>
      </c>
      <c r="R3964" s="16" t="s">
        <v>24576</v>
      </c>
      <c r="S3964" s="15" t="s">
        <v>24577</v>
      </c>
      <c r="T3964" s="15" t="s">
        <v>24577</v>
      </c>
      <c r="U3964" s="21" t="s">
        <v>72</v>
      </c>
    </row>
    <row r="3965" customFormat="false" ht="26.85" hidden="false" customHeight="false" outlineLevel="0" collapsed="false">
      <c r="A3965" s="15" t="s">
        <v>23371</v>
      </c>
      <c r="B3965" s="15" t="s">
        <v>24533</v>
      </c>
      <c r="C3965" s="14" t="s">
        <v>24578</v>
      </c>
      <c r="D3965" s="14" t="s">
        <v>24579</v>
      </c>
      <c r="E3965" s="16" t="s">
        <v>24580</v>
      </c>
      <c r="F3965" s="16" t="s">
        <v>24542</v>
      </c>
      <c r="G3965" s="23" t="s">
        <v>43</v>
      </c>
      <c r="H3965" s="18" t="n">
        <v>1</v>
      </c>
      <c r="I3965" s="20" t="n">
        <v>35</v>
      </c>
      <c r="J3965" s="20" t="n">
        <v>50</v>
      </c>
      <c r="K3965" s="18" t="n">
        <v>7</v>
      </c>
      <c r="L3965" s="18" t="n">
        <v>9</v>
      </c>
      <c r="M3965" s="18" t="n">
        <v>111</v>
      </c>
      <c r="N3965" s="18" t="n">
        <v>40</v>
      </c>
      <c r="O3965" s="14" t="s">
        <v>6448</v>
      </c>
      <c r="P3965" s="14" t="s">
        <v>906</v>
      </c>
      <c r="Q3965" s="15" t="s">
        <v>1089</v>
      </c>
      <c r="R3965" s="16" t="s">
        <v>24581</v>
      </c>
      <c r="S3965" s="15" t="s">
        <v>24544</v>
      </c>
      <c r="T3965" s="15" t="s">
        <v>24544</v>
      </c>
      <c r="U3965" s="21" t="s">
        <v>72</v>
      </c>
    </row>
    <row r="3966" customFormat="false" ht="15" hidden="false" customHeight="false" outlineLevel="0" collapsed="false">
      <c r="A3966" s="15" t="s">
        <v>23371</v>
      </c>
      <c r="B3966" s="15" t="s">
        <v>24533</v>
      </c>
      <c r="C3966" s="14" t="s">
        <v>24582</v>
      </c>
      <c r="D3966" s="14" t="s">
        <v>24583</v>
      </c>
      <c r="E3966" s="16" t="s">
        <v>24584</v>
      </c>
      <c r="F3966" s="16"/>
      <c r="G3966" s="23" t="s">
        <v>43</v>
      </c>
      <c r="H3966" s="18" t="n">
        <v>2</v>
      </c>
      <c r="I3966" s="20" t="n">
        <v>66</v>
      </c>
      <c r="J3966" s="20" t="n">
        <v>135</v>
      </c>
      <c r="K3966" s="18" t="n">
        <v>1</v>
      </c>
      <c r="L3966" s="18" t="n">
        <v>2</v>
      </c>
      <c r="M3966" s="18" t="n">
        <v>55</v>
      </c>
      <c r="N3966" s="18" t="n">
        <v>55</v>
      </c>
      <c r="O3966" s="14" t="s">
        <v>1126</v>
      </c>
      <c r="P3966" s="14" t="s">
        <v>84</v>
      </c>
      <c r="Q3966" s="15" t="s">
        <v>1089</v>
      </c>
      <c r="R3966" s="16" t="s">
        <v>24585</v>
      </c>
      <c r="S3966" s="15" t="s">
        <v>24586</v>
      </c>
      <c r="T3966" s="15" t="s">
        <v>24586</v>
      </c>
      <c r="U3966" s="21" t="s">
        <v>72</v>
      </c>
    </row>
    <row r="3967" customFormat="false" ht="15" hidden="false" customHeight="false" outlineLevel="0" collapsed="false">
      <c r="A3967" s="15" t="s">
        <v>23371</v>
      </c>
      <c r="B3967" s="15" t="s">
        <v>24587</v>
      </c>
      <c r="C3967" s="14" t="s">
        <v>24588</v>
      </c>
      <c r="D3967" s="14" t="s">
        <v>24589</v>
      </c>
      <c r="E3967" s="16" t="s">
        <v>24590</v>
      </c>
      <c r="F3967" s="16" t="s">
        <v>24591</v>
      </c>
      <c r="G3967" s="23" t="s">
        <v>43</v>
      </c>
      <c r="H3967" s="18" t="n">
        <v>2</v>
      </c>
      <c r="I3967" s="20" t="n">
        <v>56.5</v>
      </c>
      <c r="J3967" s="20" t="n">
        <v>111.8</v>
      </c>
      <c r="K3967" s="18" t="n">
        <v>1</v>
      </c>
      <c r="L3967" s="18" t="n">
        <v>8</v>
      </c>
      <c r="M3967" s="18" t="n">
        <v>15</v>
      </c>
      <c r="N3967" s="18" t="n">
        <v>15</v>
      </c>
      <c r="O3967" s="14" t="s">
        <v>1126</v>
      </c>
      <c r="P3967" s="14" t="s">
        <v>84</v>
      </c>
      <c r="Q3967" s="15" t="s">
        <v>1089</v>
      </c>
      <c r="R3967" s="16" t="s">
        <v>24592</v>
      </c>
      <c r="S3967" s="15" t="s">
        <v>24593</v>
      </c>
      <c r="T3967" s="15" t="s">
        <v>24593</v>
      </c>
      <c r="U3967" s="21" t="s">
        <v>72</v>
      </c>
    </row>
    <row r="3968" customFormat="false" ht="15" hidden="false" customHeight="false" outlineLevel="0" collapsed="false">
      <c r="A3968" s="15" t="s">
        <v>23371</v>
      </c>
      <c r="B3968" s="15" t="s">
        <v>24587</v>
      </c>
      <c r="C3968" s="14" t="s">
        <v>24594</v>
      </c>
      <c r="D3968" s="14" t="s">
        <v>24595</v>
      </c>
      <c r="E3968" s="16" t="s">
        <v>24596</v>
      </c>
      <c r="F3968" s="16"/>
      <c r="G3968" s="23" t="s">
        <v>43</v>
      </c>
      <c r="H3968" s="18" t="n">
        <v>1</v>
      </c>
      <c r="I3968" s="20" t="n">
        <v>35.82</v>
      </c>
      <c r="J3968" s="20" t="n">
        <v>89.25</v>
      </c>
      <c r="K3968" s="18" t="n">
        <v>1</v>
      </c>
      <c r="L3968" s="18" t="n">
        <v>1</v>
      </c>
      <c r="M3968" s="18" t="n">
        <v>25</v>
      </c>
      <c r="N3968" s="18" t="n">
        <v>25</v>
      </c>
      <c r="O3968" s="14" t="s">
        <v>1088</v>
      </c>
      <c r="P3968" s="14" t="s">
        <v>84</v>
      </c>
      <c r="Q3968" s="15" t="s">
        <v>1089</v>
      </c>
      <c r="R3968" s="16" t="s">
        <v>23915</v>
      </c>
      <c r="S3968" s="15" t="s">
        <v>24597</v>
      </c>
      <c r="T3968" s="15" t="s">
        <v>24597</v>
      </c>
      <c r="U3968" s="21" t="s">
        <v>72</v>
      </c>
    </row>
    <row r="3969" customFormat="false" ht="26.85" hidden="false" customHeight="false" outlineLevel="0" collapsed="false">
      <c r="A3969" s="15" t="s">
        <v>23371</v>
      </c>
      <c r="B3969" s="15" t="s">
        <v>24587</v>
      </c>
      <c r="C3969" s="14" t="s">
        <v>24598</v>
      </c>
      <c r="D3969" s="14" t="s">
        <v>24599</v>
      </c>
      <c r="E3969" s="16" t="s">
        <v>24600</v>
      </c>
      <c r="F3969" s="16" t="s">
        <v>24601</v>
      </c>
      <c r="G3969" s="23" t="s">
        <v>43</v>
      </c>
      <c r="H3969" s="18" t="n">
        <v>4</v>
      </c>
      <c r="I3969" s="20" t="n">
        <v>114.37</v>
      </c>
      <c r="J3969" s="20" t="n">
        <v>146.16</v>
      </c>
      <c r="K3969" s="18" t="n">
        <v>5</v>
      </c>
      <c r="L3969" s="18" t="n">
        <v>6</v>
      </c>
      <c r="M3969" s="18" t="n">
        <v>60</v>
      </c>
      <c r="N3969" s="18" t="n">
        <v>24</v>
      </c>
      <c r="O3969" s="14" t="s">
        <v>1097</v>
      </c>
      <c r="P3969" s="14" t="s">
        <v>906</v>
      </c>
      <c r="Q3969" s="15" t="s">
        <v>1089</v>
      </c>
      <c r="R3969" s="16" t="s">
        <v>24602</v>
      </c>
      <c r="S3969" s="15" t="s">
        <v>24603</v>
      </c>
      <c r="T3969" s="15" t="s">
        <v>24604</v>
      </c>
      <c r="U3969" s="21" t="s">
        <v>72</v>
      </c>
    </row>
    <row r="3970" customFormat="false" ht="15" hidden="false" customHeight="false" outlineLevel="0" collapsed="false">
      <c r="A3970" s="15" t="s">
        <v>23371</v>
      </c>
      <c r="B3970" s="15" t="s">
        <v>24587</v>
      </c>
      <c r="C3970" s="14" t="s">
        <v>24605</v>
      </c>
      <c r="D3970" s="14" t="s">
        <v>24606</v>
      </c>
      <c r="E3970" s="16" t="s">
        <v>24607</v>
      </c>
      <c r="F3970" s="16" t="s">
        <v>24608</v>
      </c>
      <c r="G3970" s="19" t="s">
        <v>41</v>
      </c>
      <c r="H3970" s="18" t="n">
        <v>3</v>
      </c>
      <c r="I3970" s="20" t="n">
        <v>126.83</v>
      </c>
      <c r="J3970" s="20" t="n">
        <v>266.29</v>
      </c>
      <c r="K3970" s="18" t="n">
        <v>7</v>
      </c>
      <c r="L3970" s="18" t="n">
        <v>10</v>
      </c>
      <c r="M3970" s="18" t="n">
        <v>224</v>
      </c>
      <c r="N3970" s="18" t="n">
        <v>64</v>
      </c>
      <c r="O3970" s="14" t="s">
        <v>9118</v>
      </c>
      <c r="P3970" s="14" t="s">
        <v>84</v>
      </c>
      <c r="Q3970" s="15" t="s">
        <v>1089</v>
      </c>
      <c r="R3970" s="16" t="s">
        <v>24609</v>
      </c>
      <c r="S3970" s="15" t="s">
        <v>24610</v>
      </c>
      <c r="T3970" s="15" t="s">
        <v>24611</v>
      </c>
      <c r="U3970" s="21" t="s">
        <v>72</v>
      </c>
    </row>
    <row r="3971" customFormat="false" ht="15" hidden="false" customHeight="false" outlineLevel="0" collapsed="false">
      <c r="A3971" s="15" t="s">
        <v>23371</v>
      </c>
      <c r="B3971" s="15" t="s">
        <v>24587</v>
      </c>
      <c r="C3971" s="14" t="s">
        <v>24612</v>
      </c>
      <c r="D3971" s="14" t="s">
        <v>24613</v>
      </c>
      <c r="E3971" s="16" t="s">
        <v>24614</v>
      </c>
      <c r="F3971" s="16" t="s">
        <v>24615</v>
      </c>
      <c r="G3971" s="23" t="s">
        <v>43</v>
      </c>
      <c r="H3971" s="18" t="n">
        <v>3</v>
      </c>
      <c r="I3971" s="20" t="n">
        <v>124.34</v>
      </c>
      <c r="J3971" s="20" t="n">
        <v>148.53</v>
      </c>
      <c r="K3971" s="18" t="n">
        <v>7</v>
      </c>
      <c r="L3971" s="18" t="n">
        <v>1</v>
      </c>
      <c r="M3971" s="18" t="n">
        <v>231</v>
      </c>
      <c r="N3971" s="18" t="n">
        <v>64</v>
      </c>
      <c r="O3971" s="14" t="s">
        <v>1097</v>
      </c>
      <c r="P3971" s="14" t="s">
        <v>118</v>
      </c>
      <c r="Q3971" s="15" t="s">
        <v>1089</v>
      </c>
      <c r="R3971" s="16" t="s">
        <v>24616</v>
      </c>
      <c r="S3971" s="15" t="s">
        <v>24617</v>
      </c>
      <c r="T3971" s="15" t="s">
        <v>24617</v>
      </c>
      <c r="U3971" s="21" t="s">
        <v>72</v>
      </c>
    </row>
    <row r="3972" customFormat="false" ht="15" hidden="false" customHeight="false" outlineLevel="0" collapsed="false">
      <c r="A3972" s="15" t="s">
        <v>23371</v>
      </c>
      <c r="B3972" s="15" t="s">
        <v>24587</v>
      </c>
      <c r="C3972" s="14" t="s">
        <v>24618</v>
      </c>
      <c r="D3972" s="14" t="s">
        <v>24619</v>
      </c>
      <c r="E3972" s="16" t="s">
        <v>24620</v>
      </c>
      <c r="F3972" s="16" t="s">
        <v>24621</v>
      </c>
      <c r="G3972" s="23" t="s">
        <v>43</v>
      </c>
      <c r="H3972" s="18" t="n">
        <v>2</v>
      </c>
      <c r="I3972" s="20" t="n">
        <v>76.68</v>
      </c>
      <c r="J3972" s="20" t="n">
        <v>101.73</v>
      </c>
      <c r="K3972" s="18" t="n">
        <v>15</v>
      </c>
      <c r="L3972" s="18" t="n">
        <v>1</v>
      </c>
      <c r="M3972" s="18" t="n">
        <v>205</v>
      </c>
      <c r="N3972" s="18" t="n">
        <v>41</v>
      </c>
      <c r="O3972" s="14" t="s">
        <v>1097</v>
      </c>
      <c r="P3972" s="14" t="s">
        <v>118</v>
      </c>
      <c r="Q3972" s="15" t="s">
        <v>1089</v>
      </c>
      <c r="R3972" s="16" t="s">
        <v>24622</v>
      </c>
      <c r="S3972" s="15" t="s">
        <v>24623</v>
      </c>
      <c r="T3972" s="15" t="s">
        <v>24623</v>
      </c>
      <c r="U3972" s="21" t="s">
        <v>72</v>
      </c>
    </row>
    <row r="3973" customFormat="false" ht="15" hidden="false" customHeight="false" outlineLevel="0" collapsed="false">
      <c r="A3973" s="15" t="s">
        <v>23371</v>
      </c>
      <c r="B3973" s="15" t="s">
        <v>24587</v>
      </c>
      <c r="C3973" s="14" t="s">
        <v>24624</v>
      </c>
      <c r="D3973" s="14" t="s">
        <v>24625</v>
      </c>
      <c r="E3973" s="16" t="s">
        <v>24626</v>
      </c>
      <c r="F3973" s="16" t="s">
        <v>23576</v>
      </c>
      <c r="G3973" s="23" t="s">
        <v>43</v>
      </c>
      <c r="H3973" s="18" t="n">
        <v>1</v>
      </c>
      <c r="I3973" s="20" t="n">
        <v>56.52</v>
      </c>
      <c r="J3973" s="20" t="n">
        <v>119.22</v>
      </c>
      <c r="K3973" s="18" t="n">
        <v>9</v>
      </c>
      <c r="L3973" s="18" t="n">
        <v>4</v>
      </c>
      <c r="M3973" s="18" t="n">
        <v>270</v>
      </c>
      <c r="N3973" s="18" t="n">
        <v>120</v>
      </c>
      <c r="O3973" s="14" t="s">
        <v>1126</v>
      </c>
      <c r="P3973" s="14" t="s">
        <v>84</v>
      </c>
      <c r="Q3973" s="15" t="s">
        <v>1089</v>
      </c>
      <c r="R3973" s="16" t="s">
        <v>85</v>
      </c>
      <c r="S3973" s="15" t="s">
        <v>23578</v>
      </c>
      <c r="T3973" s="15" t="s">
        <v>24627</v>
      </c>
      <c r="U3973" s="21" t="s">
        <v>72</v>
      </c>
    </row>
    <row r="3974" customFormat="false" ht="15" hidden="false" customHeight="false" outlineLevel="0" collapsed="false">
      <c r="A3974" s="15" t="s">
        <v>23371</v>
      </c>
      <c r="B3974" s="15" t="s">
        <v>24587</v>
      </c>
      <c r="C3974" s="14" t="s">
        <v>24628</v>
      </c>
      <c r="D3974" s="14" t="s">
        <v>24629</v>
      </c>
      <c r="E3974" s="16" t="s">
        <v>24630</v>
      </c>
      <c r="F3974" s="16" t="s">
        <v>24631</v>
      </c>
      <c r="G3974" s="23" t="s">
        <v>43</v>
      </c>
      <c r="H3974" s="18" t="n">
        <v>2</v>
      </c>
      <c r="I3974" s="20" t="n">
        <v>43.02</v>
      </c>
      <c r="J3974" s="20" t="n">
        <v>106.44</v>
      </c>
      <c r="K3974" s="18" t="n">
        <v>2</v>
      </c>
      <c r="L3974" s="18"/>
      <c r="M3974" s="18" t="n">
        <v>34</v>
      </c>
      <c r="N3974" s="18" t="n">
        <v>34</v>
      </c>
      <c r="O3974" s="14" t="s">
        <v>1088</v>
      </c>
      <c r="P3974" s="14" t="s">
        <v>84</v>
      </c>
      <c r="Q3974" s="15" t="s">
        <v>1089</v>
      </c>
      <c r="R3974" s="16" t="s">
        <v>24632</v>
      </c>
      <c r="S3974" s="15" t="s">
        <v>24633</v>
      </c>
      <c r="T3974" s="15" t="s">
        <v>24633</v>
      </c>
      <c r="U3974" s="21" t="s">
        <v>72</v>
      </c>
    </row>
    <row r="3975" customFormat="false" ht="15" hidden="false" customHeight="false" outlineLevel="0" collapsed="false">
      <c r="A3975" s="15" t="s">
        <v>23371</v>
      </c>
      <c r="B3975" s="15" t="s">
        <v>24587</v>
      </c>
      <c r="C3975" s="14" t="s">
        <v>24634</v>
      </c>
      <c r="D3975" s="14" t="s">
        <v>24635</v>
      </c>
      <c r="E3975" s="16" t="s">
        <v>24636</v>
      </c>
      <c r="F3975" s="16" t="s">
        <v>24637</v>
      </c>
      <c r="G3975" s="23" t="s">
        <v>43</v>
      </c>
      <c r="H3975" s="18" t="n">
        <v>2</v>
      </c>
      <c r="I3975" s="20" t="n">
        <v>87.36</v>
      </c>
      <c r="J3975" s="20" t="n">
        <v>183.2</v>
      </c>
      <c r="K3975" s="18" t="n">
        <v>2</v>
      </c>
      <c r="L3975" s="18" t="n">
        <v>4</v>
      </c>
      <c r="M3975" s="18" t="n">
        <v>30</v>
      </c>
      <c r="N3975" s="18" t="n">
        <v>30</v>
      </c>
      <c r="O3975" s="14" t="s">
        <v>1088</v>
      </c>
      <c r="P3975" s="14" t="s">
        <v>84</v>
      </c>
      <c r="Q3975" s="15" t="s">
        <v>1089</v>
      </c>
      <c r="R3975" s="16" t="s">
        <v>20274</v>
      </c>
      <c r="S3975" s="15" t="s">
        <v>24638</v>
      </c>
      <c r="T3975" s="15" t="s">
        <v>24639</v>
      </c>
      <c r="U3975" s="21" t="s">
        <v>72</v>
      </c>
    </row>
    <row r="3976" customFormat="false" ht="15" hidden="false" customHeight="false" outlineLevel="0" collapsed="false">
      <c r="A3976" s="15" t="s">
        <v>23371</v>
      </c>
      <c r="B3976" s="15" t="s">
        <v>24587</v>
      </c>
      <c r="C3976" s="14" t="s">
        <v>24640</v>
      </c>
      <c r="D3976" s="14" t="s">
        <v>24641</v>
      </c>
      <c r="E3976" s="16" t="s">
        <v>24642</v>
      </c>
      <c r="F3976" s="16" t="s">
        <v>24643</v>
      </c>
      <c r="G3976" s="23" t="s">
        <v>43</v>
      </c>
      <c r="H3976" s="18" t="n">
        <v>2</v>
      </c>
      <c r="I3976" s="20" t="n">
        <v>62.6</v>
      </c>
      <c r="J3976" s="20" t="n">
        <v>155.6</v>
      </c>
      <c r="K3976" s="18" t="n">
        <v>3</v>
      </c>
      <c r="L3976" s="18" t="n">
        <v>5</v>
      </c>
      <c r="M3976" s="18" t="n">
        <v>75</v>
      </c>
      <c r="N3976" s="18" t="n">
        <v>25</v>
      </c>
      <c r="O3976" s="14" t="s">
        <v>1097</v>
      </c>
      <c r="P3976" s="14" t="s">
        <v>94</v>
      </c>
      <c r="Q3976" s="15" t="s">
        <v>1089</v>
      </c>
      <c r="R3976" s="16" t="s">
        <v>24644</v>
      </c>
      <c r="S3976" s="15" t="s">
        <v>24645</v>
      </c>
      <c r="T3976" s="15" t="s">
        <v>24645</v>
      </c>
      <c r="U3976" s="21" t="s">
        <v>72</v>
      </c>
    </row>
    <row r="3977" customFormat="false" ht="15" hidden="false" customHeight="false" outlineLevel="0" collapsed="false">
      <c r="A3977" s="15" t="s">
        <v>23371</v>
      </c>
      <c r="B3977" s="15" t="s">
        <v>24587</v>
      </c>
      <c r="C3977" s="14" t="s">
        <v>24646</v>
      </c>
      <c r="D3977" s="14" t="s">
        <v>24647</v>
      </c>
      <c r="E3977" s="16" t="s">
        <v>24648</v>
      </c>
      <c r="F3977" s="16"/>
      <c r="G3977" s="23" t="s">
        <v>43</v>
      </c>
      <c r="H3977" s="18" t="n">
        <v>2</v>
      </c>
      <c r="I3977" s="20" t="n">
        <v>84.05</v>
      </c>
      <c r="J3977" s="20" t="n">
        <v>155.59</v>
      </c>
      <c r="K3977" s="18" t="n">
        <v>2</v>
      </c>
      <c r="L3977" s="18" t="n">
        <v>1</v>
      </c>
      <c r="M3977" s="18" t="n">
        <v>34</v>
      </c>
      <c r="N3977" s="18" t="n">
        <v>34</v>
      </c>
      <c r="O3977" s="14" t="s">
        <v>1097</v>
      </c>
      <c r="P3977" s="14" t="s">
        <v>84</v>
      </c>
      <c r="Q3977" s="15" t="s">
        <v>1089</v>
      </c>
      <c r="R3977" s="16" t="s">
        <v>24649</v>
      </c>
      <c r="S3977" s="15" t="s">
        <v>24650</v>
      </c>
      <c r="T3977" s="15" t="s">
        <v>24650</v>
      </c>
      <c r="U3977" s="21" t="s">
        <v>72</v>
      </c>
    </row>
    <row r="3978" customFormat="false" ht="15" hidden="false" customHeight="false" outlineLevel="0" collapsed="false">
      <c r="A3978" s="15" t="s">
        <v>23371</v>
      </c>
      <c r="B3978" s="15" t="s">
        <v>24587</v>
      </c>
      <c r="C3978" s="14" t="s">
        <v>24651</v>
      </c>
      <c r="D3978" s="14" t="s">
        <v>24652</v>
      </c>
      <c r="E3978" s="16" t="s">
        <v>24653</v>
      </c>
      <c r="F3978" s="16" t="s">
        <v>24654</v>
      </c>
      <c r="G3978" s="23" t="s">
        <v>43</v>
      </c>
      <c r="H3978" s="18" t="n">
        <v>2</v>
      </c>
      <c r="I3978" s="20" t="n">
        <v>36.19</v>
      </c>
      <c r="J3978" s="20" t="n">
        <v>104.36</v>
      </c>
      <c r="K3978" s="18" t="n">
        <v>2</v>
      </c>
      <c r="L3978" s="18" t="n">
        <v>1</v>
      </c>
      <c r="M3978" s="18" t="n">
        <v>30</v>
      </c>
      <c r="N3978" s="18" t="n">
        <v>15</v>
      </c>
      <c r="O3978" s="14" t="s">
        <v>1097</v>
      </c>
      <c r="P3978" s="14" t="s">
        <v>118</v>
      </c>
      <c r="Q3978" s="15" t="s">
        <v>1089</v>
      </c>
      <c r="R3978" s="16" t="s">
        <v>24655</v>
      </c>
      <c r="S3978" s="15" t="s">
        <v>24656</v>
      </c>
      <c r="T3978" s="15" t="s">
        <v>24657</v>
      </c>
      <c r="U3978" s="21" t="s">
        <v>72</v>
      </c>
    </row>
    <row r="3979" customFormat="false" ht="15" hidden="false" customHeight="false" outlineLevel="0" collapsed="false">
      <c r="A3979" s="15" t="s">
        <v>23371</v>
      </c>
      <c r="B3979" s="15" t="s">
        <v>24587</v>
      </c>
      <c r="C3979" s="14" t="s">
        <v>24658</v>
      </c>
      <c r="D3979" s="14" t="s">
        <v>24659</v>
      </c>
      <c r="E3979" s="16" t="s">
        <v>24660</v>
      </c>
      <c r="F3979" s="16" t="s">
        <v>24661</v>
      </c>
      <c r="G3979" s="19" t="s">
        <v>41</v>
      </c>
      <c r="H3979" s="18" t="n">
        <v>2</v>
      </c>
      <c r="I3979" s="20" t="n">
        <v>49.38</v>
      </c>
      <c r="J3979" s="20" t="n">
        <v>351.28</v>
      </c>
      <c r="K3979" s="18" t="n">
        <v>2</v>
      </c>
      <c r="L3979" s="18" t="n">
        <v>3</v>
      </c>
      <c r="M3979" s="18" t="n">
        <v>30</v>
      </c>
      <c r="N3979" s="18" t="n">
        <v>30</v>
      </c>
      <c r="O3979" s="14" t="s">
        <v>1097</v>
      </c>
      <c r="P3979" s="14" t="s">
        <v>84</v>
      </c>
      <c r="Q3979" s="15" t="s">
        <v>1089</v>
      </c>
      <c r="R3979" s="16" t="s">
        <v>6283</v>
      </c>
      <c r="S3979" s="15" t="s">
        <v>24662</v>
      </c>
      <c r="T3979" s="15" t="s">
        <v>24663</v>
      </c>
      <c r="U3979" s="21" t="s">
        <v>72</v>
      </c>
    </row>
    <row r="3980" customFormat="false" ht="15" hidden="false" customHeight="false" outlineLevel="0" collapsed="false">
      <c r="A3980" s="15" t="s">
        <v>23371</v>
      </c>
      <c r="B3980" s="15" t="s">
        <v>24587</v>
      </c>
      <c r="C3980" s="14" t="s">
        <v>24664</v>
      </c>
      <c r="D3980" s="14" t="s">
        <v>24665</v>
      </c>
      <c r="E3980" s="16" t="s">
        <v>24666</v>
      </c>
      <c r="F3980" s="16" t="s">
        <v>24667</v>
      </c>
      <c r="G3980" s="23" t="s">
        <v>43</v>
      </c>
      <c r="H3980" s="18" t="n">
        <v>2</v>
      </c>
      <c r="I3980" s="20" t="n">
        <v>62.73</v>
      </c>
      <c r="J3980" s="20" t="n">
        <v>106.32</v>
      </c>
      <c r="K3980" s="18" t="n">
        <v>1</v>
      </c>
      <c r="L3980" s="18" t="n">
        <v>2</v>
      </c>
      <c r="M3980" s="18" t="n">
        <v>30</v>
      </c>
      <c r="N3980" s="18" t="n">
        <v>30</v>
      </c>
      <c r="O3980" s="14" t="s">
        <v>1097</v>
      </c>
      <c r="P3980" s="14" t="s">
        <v>84</v>
      </c>
      <c r="Q3980" s="15" t="s">
        <v>1089</v>
      </c>
      <c r="R3980" s="16" t="s">
        <v>24668</v>
      </c>
      <c r="S3980" s="15" t="s">
        <v>24669</v>
      </c>
      <c r="T3980" s="15" t="s">
        <v>24670</v>
      </c>
      <c r="U3980" s="21" t="s">
        <v>72</v>
      </c>
    </row>
    <row r="3981" customFormat="false" ht="15" hidden="false" customHeight="false" outlineLevel="0" collapsed="false">
      <c r="A3981" s="15" t="s">
        <v>23371</v>
      </c>
      <c r="B3981" s="15" t="s">
        <v>24587</v>
      </c>
      <c r="C3981" s="14" t="s">
        <v>24671</v>
      </c>
      <c r="D3981" s="14" t="s">
        <v>24672</v>
      </c>
      <c r="E3981" s="16" t="s">
        <v>24673</v>
      </c>
      <c r="F3981" s="16" t="s">
        <v>24674</v>
      </c>
      <c r="G3981" s="23" t="s">
        <v>43</v>
      </c>
      <c r="H3981" s="18" t="n">
        <v>1</v>
      </c>
      <c r="I3981" s="20" t="n">
        <v>35</v>
      </c>
      <c r="J3981" s="20" t="n">
        <v>50</v>
      </c>
      <c r="K3981" s="18" t="n">
        <v>2</v>
      </c>
      <c r="L3981" s="18" t="n">
        <v>2</v>
      </c>
      <c r="M3981" s="18" t="n">
        <v>120</v>
      </c>
      <c r="N3981" s="18" t="n">
        <v>120</v>
      </c>
      <c r="O3981" s="14" t="s">
        <v>1097</v>
      </c>
      <c r="P3981" s="14" t="s">
        <v>84</v>
      </c>
      <c r="Q3981" s="15" t="s">
        <v>1089</v>
      </c>
      <c r="R3981" s="16" t="s">
        <v>24675</v>
      </c>
      <c r="S3981" s="15" t="s">
        <v>24676</v>
      </c>
      <c r="T3981" s="15" t="s">
        <v>24676</v>
      </c>
      <c r="U3981" s="21" t="s">
        <v>72</v>
      </c>
    </row>
    <row r="3982" customFormat="false" ht="15" hidden="false" customHeight="false" outlineLevel="0" collapsed="false">
      <c r="A3982" s="15" t="s">
        <v>23371</v>
      </c>
      <c r="B3982" s="15" t="s">
        <v>24587</v>
      </c>
      <c r="C3982" s="14" t="s">
        <v>24677</v>
      </c>
      <c r="D3982" s="14" t="s">
        <v>24678</v>
      </c>
      <c r="E3982" s="16" t="s">
        <v>24679</v>
      </c>
      <c r="F3982" s="16"/>
      <c r="G3982" s="23" t="s">
        <v>43</v>
      </c>
      <c r="H3982" s="18" t="n">
        <v>3</v>
      </c>
      <c r="I3982" s="20" t="n">
        <v>93.7</v>
      </c>
      <c r="J3982" s="20" t="n">
        <v>107.2</v>
      </c>
      <c r="K3982" s="18" t="n">
        <v>3</v>
      </c>
      <c r="L3982" s="18" t="n">
        <v>2</v>
      </c>
      <c r="M3982" s="18" t="n">
        <v>75</v>
      </c>
      <c r="N3982" s="18" t="n">
        <v>75</v>
      </c>
      <c r="O3982" s="14" t="s">
        <v>1126</v>
      </c>
      <c r="P3982" s="14" t="s">
        <v>84</v>
      </c>
      <c r="Q3982" s="15" t="s">
        <v>1089</v>
      </c>
      <c r="R3982" s="16" t="s">
        <v>24680</v>
      </c>
      <c r="S3982" s="15" t="s">
        <v>24681</v>
      </c>
      <c r="T3982" s="15" t="s">
        <v>24682</v>
      </c>
      <c r="U3982" s="21" t="s">
        <v>72</v>
      </c>
    </row>
    <row r="3983" customFormat="false" ht="15" hidden="false" customHeight="false" outlineLevel="0" collapsed="false">
      <c r="A3983" s="15" t="s">
        <v>23371</v>
      </c>
      <c r="B3983" s="15" t="s">
        <v>24587</v>
      </c>
      <c r="C3983" s="14" t="s">
        <v>24683</v>
      </c>
      <c r="D3983" s="14" t="s">
        <v>24684</v>
      </c>
      <c r="E3983" s="16" t="s">
        <v>24685</v>
      </c>
      <c r="F3983" s="16" t="s">
        <v>24686</v>
      </c>
      <c r="G3983" s="19" t="s">
        <v>41</v>
      </c>
      <c r="H3983" s="18" t="n">
        <v>2</v>
      </c>
      <c r="I3983" s="20" t="n">
        <v>134</v>
      </c>
      <c r="J3983" s="20" t="n">
        <v>220.33</v>
      </c>
      <c r="K3983" s="18" t="n">
        <v>2</v>
      </c>
      <c r="L3983" s="18" t="n">
        <v>2</v>
      </c>
      <c r="M3983" s="18" t="n">
        <v>220</v>
      </c>
      <c r="N3983" s="18" t="n">
        <v>220</v>
      </c>
      <c r="O3983" s="14" t="s">
        <v>24687</v>
      </c>
      <c r="P3983" s="14" t="s">
        <v>84</v>
      </c>
      <c r="Q3983" s="15" t="s">
        <v>1089</v>
      </c>
      <c r="R3983" s="16" t="s">
        <v>4284</v>
      </c>
      <c r="S3983" s="15" t="s">
        <v>24688</v>
      </c>
      <c r="T3983" s="15" t="s">
        <v>24689</v>
      </c>
      <c r="U3983" s="21" t="s">
        <v>72</v>
      </c>
    </row>
    <row r="3984" customFormat="false" ht="15" hidden="false" customHeight="false" outlineLevel="0" collapsed="false">
      <c r="A3984" s="15" t="s">
        <v>23371</v>
      </c>
      <c r="B3984" s="15" t="s">
        <v>24587</v>
      </c>
      <c r="C3984" s="14" t="s">
        <v>24690</v>
      </c>
      <c r="D3984" s="14" t="s">
        <v>24691</v>
      </c>
      <c r="E3984" s="16" t="s">
        <v>24692</v>
      </c>
      <c r="F3984" s="16" t="s">
        <v>24693</v>
      </c>
      <c r="G3984" s="23" t="s">
        <v>43</v>
      </c>
      <c r="H3984" s="18" t="n">
        <v>3</v>
      </c>
      <c r="I3984" s="20" t="n">
        <v>79.61</v>
      </c>
      <c r="J3984" s="20" t="n">
        <v>181.59</v>
      </c>
      <c r="K3984" s="18" t="n">
        <v>1</v>
      </c>
      <c r="L3984" s="18" t="n">
        <v>1</v>
      </c>
      <c r="M3984" s="18" t="n">
        <v>20</v>
      </c>
      <c r="N3984" s="18" t="n">
        <v>20</v>
      </c>
      <c r="O3984" s="14" t="s">
        <v>1126</v>
      </c>
      <c r="P3984" s="14" t="s">
        <v>84</v>
      </c>
      <c r="Q3984" s="15" t="s">
        <v>1089</v>
      </c>
      <c r="R3984" s="16" t="s">
        <v>24694</v>
      </c>
      <c r="S3984" s="15" t="s">
        <v>24695</v>
      </c>
      <c r="T3984" s="15" t="s">
        <v>24696</v>
      </c>
      <c r="U3984" s="21" t="s">
        <v>72</v>
      </c>
    </row>
    <row r="3985" customFormat="false" ht="15" hidden="false" customHeight="false" outlineLevel="0" collapsed="false">
      <c r="A3985" s="15" t="s">
        <v>23371</v>
      </c>
      <c r="B3985" s="15" t="s">
        <v>24587</v>
      </c>
      <c r="C3985" s="14" t="s">
        <v>24697</v>
      </c>
      <c r="D3985" s="14" t="s">
        <v>24698</v>
      </c>
      <c r="E3985" s="16" t="s">
        <v>24699</v>
      </c>
      <c r="F3985" s="16" t="s">
        <v>24700</v>
      </c>
      <c r="G3985" s="19" t="s">
        <v>41</v>
      </c>
      <c r="H3985" s="18" t="n">
        <v>3</v>
      </c>
      <c r="I3985" s="20" t="n">
        <v>134.2</v>
      </c>
      <c r="J3985" s="20" t="n">
        <v>278.02</v>
      </c>
      <c r="K3985" s="18" t="n">
        <v>2</v>
      </c>
      <c r="L3985" s="18" t="n">
        <v>1</v>
      </c>
      <c r="M3985" s="18" t="n">
        <v>30</v>
      </c>
      <c r="N3985" s="18" t="n">
        <v>30</v>
      </c>
      <c r="O3985" s="14" t="s">
        <v>1088</v>
      </c>
      <c r="P3985" s="14" t="s">
        <v>84</v>
      </c>
      <c r="Q3985" s="15" t="s">
        <v>1089</v>
      </c>
      <c r="R3985" s="16" t="s">
        <v>8530</v>
      </c>
      <c r="S3985" s="15" t="s">
        <v>24701</v>
      </c>
      <c r="T3985" s="15" t="s">
        <v>24702</v>
      </c>
      <c r="U3985" s="21" t="s">
        <v>72</v>
      </c>
    </row>
    <row r="3986" customFormat="false" ht="15" hidden="false" customHeight="false" outlineLevel="0" collapsed="false">
      <c r="A3986" s="15" t="s">
        <v>23371</v>
      </c>
      <c r="B3986" s="15" t="s">
        <v>24587</v>
      </c>
      <c r="C3986" s="14" t="s">
        <v>24703</v>
      </c>
      <c r="D3986" s="14" t="s">
        <v>24704</v>
      </c>
      <c r="E3986" s="16" t="s">
        <v>24705</v>
      </c>
      <c r="F3986" s="16" t="s">
        <v>24654</v>
      </c>
      <c r="G3986" s="23" t="s">
        <v>43</v>
      </c>
      <c r="H3986" s="18" t="n">
        <v>3</v>
      </c>
      <c r="I3986" s="20" t="n">
        <v>91.02</v>
      </c>
      <c r="J3986" s="20" t="n">
        <v>146.02</v>
      </c>
      <c r="K3986" s="18" t="n">
        <v>2</v>
      </c>
      <c r="L3986" s="18" t="n">
        <v>3</v>
      </c>
      <c r="M3986" s="18" t="n">
        <v>40</v>
      </c>
      <c r="N3986" s="18" t="n">
        <v>40</v>
      </c>
      <c r="O3986" s="14" t="s">
        <v>1088</v>
      </c>
      <c r="P3986" s="14" t="s">
        <v>84</v>
      </c>
      <c r="Q3986" s="15" t="s">
        <v>1089</v>
      </c>
      <c r="R3986" s="16" t="s">
        <v>6327</v>
      </c>
      <c r="S3986" s="15" t="s">
        <v>24657</v>
      </c>
      <c r="T3986" s="15" t="s">
        <v>24656</v>
      </c>
      <c r="U3986" s="21" t="s">
        <v>72</v>
      </c>
    </row>
    <row r="3987" customFormat="false" ht="15" hidden="false" customHeight="false" outlineLevel="0" collapsed="false">
      <c r="A3987" s="15" t="s">
        <v>23371</v>
      </c>
      <c r="B3987" s="15" t="s">
        <v>24587</v>
      </c>
      <c r="C3987" s="14" t="s">
        <v>24706</v>
      </c>
      <c r="D3987" s="14" t="s">
        <v>24707</v>
      </c>
      <c r="E3987" s="16" t="s">
        <v>24708</v>
      </c>
      <c r="F3987" s="16" t="s">
        <v>24709</v>
      </c>
      <c r="G3987" s="23" t="s">
        <v>43</v>
      </c>
      <c r="H3987" s="18" t="n">
        <v>2</v>
      </c>
      <c r="I3987" s="20" t="n">
        <v>37.84</v>
      </c>
      <c r="J3987" s="20" t="n">
        <v>97.9</v>
      </c>
      <c r="K3987" s="18" t="n">
        <v>1</v>
      </c>
      <c r="L3987" s="18" t="n">
        <v>1</v>
      </c>
      <c r="M3987" s="18" t="n">
        <v>20</v>
      </c>
      <c r="N3987" s="18" t="n">
        <v>20</v>
      </c>
      <c r="O3987" s="14" t="s">
        <v>1126</v>
      </c>
      <c r="P3987" s="14" t="s">
        <v>84</v>
      </c>
      <c r="Q3987" s="15" t="s">
        <v>1089</v>
      </c>
      <c r="R3987" s="16" t="s">
        <v>24710</v>
      </c>
      <c r="S3987" s="15" t="s">
        <v>24711</v>
      </c>
      <c r="T3987" s="15" t="s">
        <v>24712</v>
      </c>
      <c r="U3987" s="21" t="s">
        <v>72</v>
      </c>
    </row>
    <row r="3988" customFormat="false" ht="15" hidden="false" customHeight="false" outlineLevel="0" collapsed="false">
      <c r="A3988" s="15" t="s">
        <v>23371</v>
      </c>
      <c r="B3988" s="15" t="s">
        <v>24587</v>
      </c>
      <c r="C3988" s="14" t="s">
        <v>24713</v>
      </c>
      <c r="D3988" s="14" t="s">
        <v>24714</v>
      </c>
      <c r="E3988" s="16" t="s">
        <v>24715</v>
      </c>
      <c r="F3988" s="16" t="s">
        <v>24716</v>
      </c>
      <c r="G3988" s="23" t="s">
        <v>43</v>
      </c>
      <c r="H3988" s="18" t="n">
        <v>2</v>
      </c>
      <c r="I3988" s="20" t="n">
        <v>45.58</v>
      </c>
      <c r="J3988" s="20" t="n">
        <v>81.7</v>
      </c>
      <c r="K3988" s="18" t="n">
        <v>2</v>
      </c>
      <c r="L3988" s="18" t="n">
        <v>4</v>
      </c>
      <c r="M3988" s="18" t="n">
        <v>30</v>
      </c>
      <c r="N3988" s="18" t="n">
        <v>30</v>
      </c>
      <c r="O3988" s="14" t="s">
        <v>1126</v>
      </c>
      <c r="P3988" s="14" t="s">
        <v>84</v>
      </c>
      <c r="Q3988" s="15" t="s">
        <v>1089</v>
      </c>
      <c r="R3988" s="16" t="s">
        <v>14083</v>
      </c>
      <c r="S3988" s="15" t="s">
        <v>24717</v>
      </c>
      <c r="T3988" s="15" t="s">
        <v>24717</v>
      </c>
      <c r="U3988" s="21" t="s">
        <v>72</v>
      </c>
    </row>
    <row r="3989" customFormat="false" ht="15" hidden="false" customHeight="false" outlineLevel="0" collapsed="false">
      <c r="A3989" s="15" t="s">
        <v>23371</v>
      </c>
      <c r="B3989" s="15" t="s">
        <v>24587</v>
      </c>
      <c r="C3989" s="14" t="s">
        <v>24718</v>
      </c>
      <c r="D3989" s="14" t="s">
        <v>24719</v>
      </c>
      <c r="E3989" s="16" t="s">
        <v>24720</v>
      </c>
      <c r="F3989" s="16" t="s">
        <v>24721</v>
      </c>
      <c r="G3989" s="19" t="s">
        <v>41</v>
      </c>
      <c r="H3989" s="18" t="n">
        <v>3</v>
      </c>
      <c r="I3989" s="20" t="n">
        <v>250</v>
      </c>
      <c r="J3989" s="20" t="n">
        <v>321.3</v>
      </c>
      <c r="K3989" s="18" t="n">
        <v>2</v>
      </c>
      <c r="L3989" s="18" t="n">
        <v>2</v>
      </c>
      <c r="M3989" s="18" t="n">
        <v>90</v>
      </c>
      <c r="N3989" s="18" t="n">
        <v>90</v>
      </c>
      <c r="O3989" s="14" t="s">
        <v>1126</v>
      </c>
      <c r="P3989" s="14" t="s">
        <v>84</v>
      </c>
      <c r="Q3989" s="15" t="s">
        <v>1089</v>
      </c>
      <c r="R3989" s="16" t="s">
        <v>24722</v>
      </c>
      <c r="S3989" s="15" t="s">
        <v>24723</v>
      </c>
      <c r="T3989" s="15" t="s">
        <v>24723</v>
      </c>
      <c r="U3989" s="21" t="s">
        <v>72</v>
      </c>
    </row>
    <row r="3990" customFormat="false" ht="15" hidden="false" customHeight="false" outlineLevel="0" collapsed="false">
      <c r="A3990" s="15" t="s">
        <v>23371</v>
      </c>
      <c r="B3990" s="15" t="s">
        <v>24587</v>
      </c>
      <c r="C3990" s="14" t="s">
        <v>24724</v>
      </c>
      <c r="D3990" s="14" t="s">
        <v>24725</v>
      </c>
      <c r="E3990" s="16" t="s">
        <v>24726</v>
      </c>
      <c r="F3990" s="16" t="s">
        <v>1595</v>
      </c>
      <c r="G3990" s="23" t="s">
        <v>43</v>
      </c>
      <c r="H3990" s="18" t="n">
        <v>2</v>
      </c>
      <c r="I3990" s="20" t="n">
        <v>65.82</v>
      </c>
      <c r="J3990" s="20" t="n">
        <v>98.3</v>
      </c>
      <c r="K3990" s="18" t="n">
        <v>2</v>
      </c>
      <c r="L3990" s="18" t="n">
        <v>2</v>
      </c>
      <c r="M3990" s="18" t="n">
        <v>30</v>
      </c>
      <c r="N3990" s="18" t="n">
        <v>30</v>
      </c>
      <c r="O3990" s="14" t="s">
        <v>1088</v>
      </c>
      <c r="P3990" s="14" t="s">
        <v>84</v>
      </c>
      <c r="Q3990" s="15" t="s">
        <v>1089</v>
      </c>
      <c r="R3990" s="16" t="s">
        <v>24727</v>
      </c>
      <c r="S3990" s="15" t="s">
        <v>24728</v>
      </c>
      <c r="T3990" s="15" t="s">
        <v>24729</v>
      </c>
      <c r="U3990" s="21" t="s">
        <v>72</v>
      </c>
    </row>
    <row r="3991" customFormat="false" ht="15" hidden="false" customHeight="false" outlineLevel="0" collapsed="false">
      <c r="A3991" s="15" t="s">
        <v>23371</v>
      </c>
      <c r="B3991" s="15" t="s">
        <v>24730</v>
      </c>
      <c r="C3991" s="14" t="s">
        <v>24731</v>
      </c>
      <c r="D3991" s="14" t="s">
        <v>24732</v>
      </c>
      <c r="E3991" s="16" t="s">
        <v>24733</v>
      </c>
      <c r="F3991" s="16" t="s">
        <v>24734</v>
      </c>
      <c r="G3991" s="23" t="s">
        <v>43</v>
      </c>
      <c r="H3991" s="18" t="n">
        <v>3</v>
      </c>
      <c r="I3991" s="20" t="n">
        <v>46.71</v>
      </c>
      <c r="J3991" s="20" t="n">
        <v>130.13</v>
      </c>
      <c r="K3991" s="18" t="n">
        <v>19</v>
      </c>
      <c r="L3991" s="18" t="n">
        <v>3</v>
      </c>
      <c r="M3991" s="18" t="n">
        <v>236</v>
      </c>
      <c r="N3991" s="18" t="n">
        <v>64</v>
      </c>
      <c r="O3991" s="14" t="s">
        <v>1126</v>
      </c>
      <c r="P3991" s="14" t="s">
        <v>84</v>
      </c>
      <c r="Q3991" s="15" t="s">
        <v>1089</v>
      </c>
      <c r="R3991" s="16" t="s">
        <v>24735</v>
      </c>
      <c r="S3991" s="15" t="s">
        <v>24736</v>
      </c>
      <c r="T3991" s="15" t="s">
        <v>24737</v>
      </c>
      <c r="U3991" s="21" t="s">
        <v>72</v>
      </c>
    </row>
    <row r="3992" customFormat="false" ht="15" hidden="false" customHeight="false" outlineLevel="0" collapsed="false">
      <c r="A3992" s="15" t="s">
        <v>23371</v>
      </c>
      <c r="B3992" s="15" t="s">
        <v>24730</v>
      </c>
      <c r="C3992" s="14" t="s">
        <v>24738</v>
      </c>
      <c r="D3992" s="14" t="s">
        <v>24739</v>
      </c>
      <c r="E3992" s="16" t="s">
        <v>24740</v>
      </c>
      <c r="F3992" s="16"/>
      <c r="G3992" s="23" t="s">
        <v>43</v>
      </c>
      <c r="H3992" s="18" t="n">
        <v>2</v>
      </c>
      <c r="I3992" s="20" t="n">
        <v>39.8</v>
      </c>
      <c r="J3992" s="20" t="n">
        <v>86.9</v>
      </c>
      <c r="K3992" s="18" t="n">
        <v>2</v>
      </c>
      <c r="L3992" s="18" t="n">
        <v>4</v>
      </c>
      <c r="M3992" s="18" t="n">
        <v>50</v>
      </c>
      <c r="N3992" s="18" t="n">
        <v>25</v>
      </c>
      <c r="O3992" s="14" t="s">
        <v>1126</v>
      </c>
      <c r="P3992" s="14" t="s">
        <v>84</v>
      </c>
      <c r="Q3992" s="15" t="s">
        <v>1089</v>
      </c>
      <c r="R3992" s="16" t="s">
        <v>2477</v>
      </c>
      <c r="S3992" s="15" t="s">
        <v>24741</v>
      </c>
      <c r="T3992" s="15" t="s">
        <v>24741</v>
      </c>
      <c r="U3992" s="21" t="s">
        <v>72</v>
      </c>
    </row>
    <row r="3993" customFormat="false" ht="15" hidden="false" customHeight="false" outlineLevel="0" collapsed="false">
      <c r="A3993" s="15" t="s">
        <v>23371</v>
      </c>
      <c r="B3993" s="15" t="s">
        <v>24730</v>
      </c>
      <c r="C3993" s="14" t="s">
        <v>24742</v>
      </c>
      <c r="D3993" s="14" t="s">
        <v>24743</v>
      </c>
      <c r="E3993" s="16" t="s">
        <v>24744</v>
      </c>
      <c r="F3993" s="16" t="s">
        <v>24745</v>
      </c>
      <c r="G3993" s="23" t="s">
        <v>43</v>
      </c>
      <c r="H3993" s="18" t="n">
        <v>2</v>
      </c>
      <c r="I3993" s="20" t="n">
        <v>52</v>
      </c>
      <c r="J3993" s="20" t="n">
        <v>100</v>
      </c>
      <c r="K3993" s="18" t="n">
        <v>1</v>
      </c>
      <c r="L3993" s="18" t="n">
        <v>1</v>
      </c>
      <c r="M3993" s="18" t="n">
        <v>25</v>
      </c>
      <c r="N3993" s="18" t="n">
        <v>25</v>
      </c>
      <c r="O3993" s="14" t="s">
        <v>1088</v>
      </c>
      <c r="P3993" s="14" t="s">
        <v>84</v>
      </c>
      <c r="Q3993" s="15" t="s">
        <v>1089</v>
      </c>
      <c r="R3993" s="16" t="s">
        <v>15221</v>
      </c>
      <c r="S3993" s="15" t="s">
        <v>24746</v>
      </c>
      <c r="T3993" s="15" t="s">
        <v>24746</v>
      </c>
      <c r="U3993" s="21" t="s">
        <v>72</v>
      </c>
    </row>
    <row r="3994" customFormat="false" ht="26.85" hidden="false" customHeight="false" outlineLevel="0" collapsed="false">
      <c r="A3994" s="15" t="s">
        <v>23371</v>
      </c>
      <c r="B3994" s="15" t="s">
        <v>24730</v>
      </c>
      <c r="C3994" s="14" t="s">
        <v>24747</v>
      </c>
      <c r="D3994" s="14" t="s">
        <v>24748</v>
      </c>
      <c r="E3994" s="16" t="s">
        <v>24749</v>
      </c>
      <c r="F3994" s="16" t="s">
        <v>24750</v>
      </c>
      <c r="G3994" s="23" t="s">
        <v>43</v>
      </c>
      <c r="H3994" s="18" t="n">
        <v>1</v>
      </c>
      <c r="I3994" s="20" t="n">
        <v>42.6</v>
      </c>
      <c r="J3994" s="20" t="n">
        <v>87.33</v>
      </c>
      <c r="K3994" s="18" t="n">
        <v>2</v>
      </c>
      <c r="L3994" s="18" t="n">
        <v>3</v>
      </c>
      <c r="M3994" s="18" t="n">
        <v>30</v>
      </c>
      <c r="N3994" s="18" t="n">
        <v>15</v>
      </c>
      <c r="O3994" s="14" t="s">
        <v>1126</v>
      </c>
      <c r="P3994" s="14" t="s">
        <v>1185</v>
      </c>
      <c r="Q3994" s="15" t="s">
        <v>1089</v>
      </c>
      <c r="R3994" s="16" t="s">
        <v>18243</v>
      </c>
      <c r="S3994" s="15" t="s">
        <v>24751</v>
      </c>
      <c r="T3994" s="15" t="s">
        <v>24752</v>
      </c>
      <c r="U3994" s="21" t="s">
        <v>72</v>
      </c>
    </row>
    <row r="3995" customFormat="false" ht="15" hidden="false" customHeight="false" outlineLevel="0" collapsed="false">
      <c r="A3995" s="15" t="s">
        <v>23371</v>
      </c>
      <c r="B3995" s="15" t="s">
        <v>24730</v>
      </c>
      <c r="C3995" s="14" t="s">
        <v>24753</v>
      </c>
      <c r="D3995" s="14" t="s">
        <v>24754</v>
      </c>
      <c r="E3995" s="16" t="s">
        <v>24755</v>
      </c>
      <c r="F3995" s="16" t="s">
        <v>24756</v>
      </c>
      <c r="G3995" s="23" t="s">
        <v>43</v>
      </c>
      <c r="H3995" s="18" t="n">
        <v>1</v>
      </c>
      <c r="I3995" s="20" t="n">
        <v>42.95</v>
      </c>
      <c r="J3995" s="20" t="n">
        <v>184.2</v>
      </c>
      <c r="K3995" s="18" t="n">
        <v>1</v>
      </c>
      <c r="L3995" s="18"/>
      <c r="M3995" s="18" t="n">
        <v>60</v>
      </c>
      <c r="N3995" s="18" t="n">
        <v>60</v>
      </c>
      <c r="O3995" s="14" t="s">
        <v>1126</v>
      </c>
      <c r="P3995" s="14" t="s">
        <v>84</v>
      </c>
      <c r="Q3995" s="15" t="s">
        <v>1089</v>
      </c>
      <c r="R3995" s="16" t="s">
        <v>22834</v>
      </c>
      <c r="S3995" s="15" t="s">
        <v>24757</v>
      </c>
      <c r="T3995" s="15" t="s">
        <v>24758</v>
      </c>
      <c r="U3995" s="21" t="s">
        <v>72</v>
      </c>
    </row>
    <row r="3996" customFormat="false" ht="15" hidden="false" customHeight="false" outlineLevel="0" collapsed="false">
      <c r="A3996" s="15" t="s">
        <v>23371</v>
      </c>
      <c r="B3996" s="15" t="s">
        <v>24730</v>
      </c>
      <c r="C3996" s="14" t="s">
        <v>24759</v>
      </c>
      <c r="D3996" s="14" t="s">
        <v>24760</v>
      </c>
      <c r="E3996" s="16" t="s">
        <v>24761</v>
      </c>
      <c r="F3996" s="16"/>
      <c r="G3996" s="23" t="s">
        <v>43</v>
      </c>
      <c r="H3996" s="18" t="n">
        <v>1</v>
      </c>
      <c r="I3996" s="20" t="n">
        <v>38.97</v>
      </c>
      <c r="J3996" s="20" t="n">
        <v>112.59</v>
      </c>
      <c r="K3996" s="18" t="n">
        <v>1</v>
      </c>
      <c r="L3996" s="18" t="n">
        <v>3</v>
      </c>
      <c r="M3996" s="18" t="n">
        <v>10</v>
      </c>
      <c r="N3996" s="18" t="n">
        <v>10</v>
      </c>
      <c r="O3996" s="14" t="s">
        <v>1088</v>
      </c>
      <c r="P3996" s="14" t="s">
        <v>84</v>
      </c>
      <c r="Q3996" s="15" t="s">
        <v>1089</v>
      </c>
      <c r="R3996" s="16" t="s">
        <v>24762</v>
      </c>
      <c r="S3996" s="15" t="s">
        <v>24763</v>
      </c>
      <c r="T3996" s="15" t="s">
        <v>7133</v>
      </c>
      <c r="U3996" s="21" t="s">
        <v>72</v>
      </c>
    </row>
    <row r="3997" customFormat="false" ht="15" hidden="false" customHeight="false" outlineLevel="0" collapsed="false">
      <c r="A3997" s="15" t="s">
        <v>23371</v>
      </c>
      <c r="B3997" s="15" t="s">
        <v>24730</v>
      </c>
      <c r="C3997" s="14" t="s">
        <v>24764</v>
      </c>
      <c r="D3997" s="14" t="s">
        <v>24765</v>
      </c>
      <c r="E3997" s="16" t="s">
        <v>24766</v>
      </c>
      <c r="F3997" s="16" t="s">
        <v>24767</v>
      </c>
      <c r="G3997" s="23" t="s">
        <v>43</v>
      </c>
      <c r="H3997" s="18" t="n">
        <v>2</v>
      </c>
      <c r="I3997" s="20" t="n">
        <v>108</v>
      </c>
      <c r="J3997" s="20" t="n">
        <v>190.82</v>
      </c>
      <c r="K3997" s="18" t="n">
        <v>2</v>
      </c>
      <c r="L3997" s="18" t="n">
        <v>5</v>
      </c>
      <c r="M3997" s="18" t="n">
        <v>40</v>
      </c>
      <c r="N3997" s="18" t="n">
        <v>40</v>
      </c>
      <c r="O3997" s="14" t="s">
        <v>1126</v>
      </c>
      <c r="P3997" s="14" t="s">
        <v>84</v>
      </c>
      <c r="Q3997" s="15" t="s">
        <v>1089</v>
      </c>
      <c r="R3997" s="16" t="s">
        <v>24768</v>
      </c>
      <c r="S3997" s="15" t="s">
        <v>24769</v>
      </c>
      <c r="T3997" s="15" t="s">
        <v>24769</v>
      </c>
      <c r="U3997" s="21" t="s">
        <v>72</v>
      </c>
    </row>
    <row r="3998" customFormat="false" ht="15" hidden="false" customHeight="false" outlineLevel="0" collapsed="false">
      <c r="A3998" s="15" t="s">
        <v>23371</v>
      </c>
      <c r="B3998" s="15" t="s">
        <v>24770</v>
      </c>
      <c r="C3998" s="14" t="s">
        <v>24771</v>
      </c>
      <c r="D3998" s="14" t="s">
        <v>24772</v>
      </c>
      <c r="E3998" s="16" t="s">
        <v>24773</v>
      </c>
      <c r="F3998" s="16" t="s">
        <v>24774</v>
      </c>
      <c r="G3998" s="23" t="s">
        <v>43</v>
      </c>
      <c r="H3998" s="18" t="n">
        <v>2</v>
      </c>
      <c r="I3998" s="20" t="n">
        <v>36</v>
      </c>
      <c r="J3998" s="20" t="n">
        <v>82.8</v>
      </c>
      <c r="K3998" s="18" t="n">
        <v>1</v>
      </c>
      <c r="L3998" s="18" t="n">
        <v>4</v>
      </c>
      <c r="M3998" s="18" t="n">
        <v>15</v>
      </c>
      <c r="N3998" s="18" t="n">
        <v>15</v>
      </c>
      <c r="O3998" s="14" t="s">
        <v>1126</v>
      </c>
      <c r="P3998" s="14" t="s">
        <v>84</v>
      </c>
      <c r="Q3998" s="15" t="s">
        <v>1089</v>
      </c>
      <c r="R3998" s="16" t="s">
        <v>5916</v>
      </c>
      <c r="S3998" s="15" t="s">
        <v>24775</v>
      </c>
      <c r="T3998" s="15" t="s">
        <v>24775</v>
      </c>
      <c r="U3998" s="21" t="s">
        <v>72</v>
      </c>
    </row>
    <row r="3999" customFormat="false" ht="15" hidden="false" customHeight="false" outlineLevel="0" collapsed="false">
      <c r="A3999" s="15" t="s">
        <v>23371</v>
      </c>
      <c r="B3999" s="15" t="s">
        <v>24776</v>
      </c>
      <c r="C3999" s="14" t="s">
        <v>24777</v>
      </c>
      <c r="D3999" s="14" t="s">
        <v>24778</v>
      </c>
      <c r="E3999" s="16" t="s">
        <v>24779</v>
      </c>
      <c r="F3999" s="16"/>
      <c r="G3999" s="23" t="s">
        <v>43</v>
      </c>
      <c r="H3999" s="18" t="n">
        <v>2</v>
      </c>
      <c r="I3999" s="20" t="n">
        <v>35.57</v>
      </c>
      <c r="J3999" s="20" t="n">
        <v>76.43</v>
      </c>
      <c r="K3999" s="18" t="n">
        <v>2</v>
      </c>
      <c r="L3999" s="18" t="n">
        <v>2</v>
      </c>
      <c r="M3999" s="18" t="n">
        <v>20</v>
      </c>
      <c r="N3999" s="18" t="n">
        <v>10</v>
      </c>
      <c r="O3999" s="14" t="s">
        <v>1097</v>
      </c>
      <c r="P3999" s="14" t="s">
        <v>118</v>
      </c>
      <c r="Q3999" s="15" t="s">
        <v>1089</v>
      </c>
      <c r="R3999" s="16" t="s">
        <v>20203</v>
      </c>
      <c r="S3999" s="15" t="s">
        <v>24780</v>
      </c>
      <c r="T3999" s="15" t="s">
        <v>24780</v>
      </c>
      <c r="U3999" s="21" t="s">
        <v>72</v>
      </c>
    </row>
    <row r="4000" customFormat="false" ht="15" hidden="false" customHeight="false" outlineLevel="0" collapsed="false">
      <c r="A4000" s="15" t="s">
        <v>23371</v>
      </c>
      <c r="B4000" s="15" t="s">
        <v>24776</v>
      </c>
      <c r="C4000" s="14" t="s">
        <v>24781</v>
      </c>
      <c r="D4000" s="14" t="s">
        <v>24782</v>
      </c>
      <c r="E4000" s="16" t="s">
        <v>24783</v>
      </c>
      <c r="F4000" s="16" t="s">
        <v>24784</v>
      </c>
      <c r="G4000" s="23" t="s">
        <v>43</v>
      </c>
      <c r="H4000" s="18" t="n">
        <v>2</v>
      </c>
      <c r="I4000" s="20" t="n">
        <v>75</v>
      </c>
      <c r="J4000" s="20" t="n">
        <v>181</v>
      </c>
      <c r="K4000" s="18" t="n">
        <v>2</v>
      </c>
      <c r="L4000" s="18" t="n">
        <v>7</v>
      </c>
      <c r="M4000" s="18" t="n">
        <v>62</v>
      </c>
      <c r="N4000" s="18" t="n">
        <v>62</v>
      </c>
      <c r="O4000" s="14" t="s">
        <v>1088</v>
      </c>
      <c r="P4000" s="14" t="s">
        <v>84</v>
      </c>
      <c r="Q4000" s="15" t="s">
        <v>1089</v>
      </c>
      <c r="R4000" s="16" t="s">
        <v>24785</v>
      </c>
      <c r="S4000" s="15" t="s">
        <v>24786</v>
      </c>
      <c r="T4000" s="15" t="s">
        <v>24786</v>
      </c>
      <c r="U4000" s="21" t="s">
        <v>72</v>
      </c>
    </row>
    <row r="4001" customFormat="false" ht="15" hidden="false" customHeight="false" outlineLevel="0" collapsed="false">
      <c r="A4001" s="15" t="s">
        <v>23371</v>
      </c>
      <c r="B4001" s="15" t="s">
        <v>24776</v>
      </c>
      <c r="C4001" s="14" t="s">
        <v>24787</v>
      </c>
      <c r="D4001" s="14" t="s">
        <v>24788</v>
      </c>
      <c r="E4001" s="16" t="s">
        <v>24789</v>
      </c>
      <c r="F4001" s="16" t="s">
        <v>24790</v>
      </c>
      <c r="G4001" s="23" t="s">
        <v>43</v>
      </c>
      <c r="H4001" s="18" t="n">
        <v>3</v>
      </c>
      <c r="I4001" s="20" t="n">
        <v>53.07</v>
      </c>
      <c r="J4001" s="20" t="n">
        <v>95.18</v>
      </c>
      <c r="K4001" s="18" t="n">
        <v>8</v>
      </c>
      <c r="L4001" s="18" t="n">
        <v>1</v>
      </c>
      <c r="M4001" s="18" t="n">
        <v>96</v>
      </c>
      <c r="N4001" s="18" t="n">
        <v>24</v>
      </c>
      <c r="O4001" s="14" t="s">
        <v>1097</v>
      </c>
      <c r="P4001" s="14" t="s">
        <v>84</v>
      </c>
      <c r="Q4001" s="15" t="s">
        <v>1089</v>
      </c>
      <c r="R4001" s="16" t="s">
        <v>5665</v>
      </c>
      <c r="S4001" s="15" t="s">
        <v>24791</v>
      </c>
      <c r="T4001" s="15" t="s">
        <v>24792</v>
      </c>
      <c r="U4001" s="21" t="s">
        <v>72</v>
      </c>
    </row>
    <row r="4002" customFormat="false" ht="15" hidden="false" customHeight="false" outlineLevel="0" collapsed="false">
      <c r="A4002" s="15" t="s">
        <v>23371</v>
      </c>
      <c r="B4002" s="15" t="s">
        <v>24776</v>
      </c>
      <c r="C4002" s="14" t="s">
        <v>24793</v>
      </c>
      <c r="D4002" s="14" t="s">
        <v>24794</v>
      </c>
      <c r="E4002" s="16" t="s">
        <v>24795</v>
      </c>
      <c r="F4002" s="16"/>
      <c r="G4002" s="16"/>
      <c r="H4002" s="18"/>
      <c r="I4002" s="20"/>
      <c r="J4002" s="20"/>
      <c r="K4002" s="18"/>
      <c r="L4002" s="18"/>
      <c r="M4002" s="18"/>
      <c r="N4002" s="18"/>
      <c r="O4002" s="13"/>
      <c r="P4002" s="14" t="s">
        <v>84</v>
      </c>
      <c r="Q4002" s="15" t="s">
        <v>1089</v>
      </c>
      <c r="R4002" s="16" t="s">
        <v>24796</v>
      </c>
      <c r="S4002" s="15" t="s">
        <v>24797</v>
      </c>
      <c r="T4002" s="15" t="s">
        <v>24798</v>
      </c>
      <c r="U4002" s="21" t="s">
        <v>72</v>
      </c>
    </row>
    <row r="4003" customFormat="false" ht="15" hidden="false" customHeight="false" outlineLevel="0" collapsed="false">
      <c r="A4003" s="15" t="s">
        <v>23371</v>
      </c>
      <c r="B4003" s="15" t="s">
        <v>24776</v>
      </c>
      <c r="C4003" s="14" t="s">
        <v>24799</v>
      </c>
      <c r="D4003" s="14" t="s">
        <v>24800</v>
      </c>
      <c r="E4003" s="16" t="s">
        <v>24801</v>
      </c>
      <c r="F4003" s="16" t="s">
        <v>24802</v>
      </c>
      <c r="G4003" s="23" t="s">
        <v>43</v>
      </c>
      <c r="H4003" s="18" t="n">
        <v>3</v>
      </c>
      <c r="I4003" s="20" t="n">
        <v>76</v>
      </c>
      <c r="J4003" s="20" t="n">
        <v>138</v>
      </c>
      <c r="K4003" s="18" t="n">
        <v>1</v>
      </c>
      <c r="L4003" s="18" t="n">
        <v>1</v>
      </c>
      <c r="M4003" s="18" t="n">
        <v>20</v>
      </c>
      <c r="N4003" s="18" t="n">
        <v>20</v>
      </c>
      <c r="O4003" s="14" t="s">
        <v>1126</v>
      </c>
      <c r="P4003" s="14" t="s">
        <v>84</v>
      </c>
      <c r="Q4003" s="15" t="s">
        <v>1089</v>
      </c>
      <c r="R4003" s="16" t="s">
        <v>19319</v>
      </c>
      <c r="S4003" s="15" t="s">
        <v>24803</v>
      </c>
      <c r="T4003" s="15" t="s">
        <v>24803</v>
      </c>
      <c r="U4003" s="21" t="s">
        <v>72</v>
      </c>
    </row>
    <row r="4004" customFormat="false" ht="15" hidden="false" customHeight="false" outlineLevel="0" collapsed="false">
      <c r="A4004" s="15" t="s">
        <v>23371</v>
      </c>
      <c r="B4004" s="15" t="s">
        <v>24804</v>
      </c>
      <c r="C4004" s="14" t="s">
        <v>24805</v>
      </c>
      <c r="D4004" s="14" t="s">
        <v>24806</v>
      </c>
      <c r="E4004" s="16" t="s">
        <v>24807</v>
      </c>
      <c r="F4004" s="16" t="s">
        <v>24808</v>
      </c>
      <c r="G4004" s="23" t="s">
        <v>43</v>
      </c>
      <c r="H4004" s="18" t="n">
        <v>2</v>
      </c>
      <c r="I4004" s="20" t="n">
        <v>48.82</v>
      </c>
      <c r="J4004" s="20" t="n">
        <v>81.37</v>
      </c>
      <c r="K4004" s="18" t="n">
        <v>3</v>
      </c>
      <c r="L4004" s="18" t="n">
        <v>1</v>
      </c>
      <c r="M4004" s="18" t="n">
        <v>75</v>
      </c>
      <c r="N4004" s="18" t="n">
        <v>75</v>
      </c>
      <c r="O4004" s="14" t="s">
        <v>24809</v>
      </c>
      <c r="P4004" s="14" t="s">
        <v>84</v>
      </c>
      <c r="Q4004" s="15" t="s">
        <v>1089</v>
      </c>
      <c r="R4004" s="16" t="s">
        <v>24810</v>
      </c>
      <c r="S4004" s="15" t="s">
        <v>24811</v>
      </c>
      <c r="T4004" s="15" t="s">
        <v>24811</v>
      </c>
      <c r="U4004" s="21" t="s">
        <v>72</v>
      </c>
    </row>
    <row r="4005" customFormat="false" ht="15" hidden="false" customHeight="false" outlineLevel="0" collapsed="false">
      <c r="A4005" s="15" t="s">
        <v>23371</v>
      </c>
      <c r="B4005" s="15" t="s">
        <v>24804</v>
      </c>
      <c r="C4005" s="14" t="s">
        <v>24812</v>
      </c>
      <c r="D4005" s="14" t="s">
        <v>24813</v>
      </c>
      <c r="E4005" s="16" t="s">
        <v>24814</v>
      </c>
      <c r="F4005" s="16" t="s">
        <v>24815</v>
      </c>
      <c r="G4005" s="23" t="s">
        <v>43</v>
      </c>
      <c r="H4005" s="18" t="n">
        <v>1</v>
      </c>
      <c r="I4005" s="20" t="n">
        <v>56.5</v>
      </c>
      <c r="J4005" s="20" t="n">
        <v>135.7</v>
      </c>
      <c r="K4005" s="18" t="n">
        <v>1</v>
      </c>
      <c r="L4005" s="18" t="n">
        <v>1</v>
      </c>
      <c r="M4005" s="18" t="n">
        <v>15</v>
      </c>
      <c r="N4005" s="18" t="n">
        <v>15</v>
      </c>
      <c r="O4005" s="14" t="s">
        <v>1126</v>
      </c>
      <c r="P4005" s="14" t="s">
        <v>84</v>
      </c>
      <c r="Q4005" s="15" t="s">
        <v>1089</v>
      </c>
      <c r="R4005" s="16" t="s">
        <v>24816</v>
      </c>
      <c r="S4005" s="15" t="s">
        <v>24817</v>
      </c>
      <c r="T4005" s="15" t="s">
        <v>24818</v>
      </c>
      <c r="U4005" s="21" t="s">
        <v>72</v>
      </c>
    </row>
    <row r="4006" customFormat="false" ht="15" hidden="false" customHeight="false" outlineLevel="0" collapsed="false">
      <c r="A4006" s="15" t="s">
        <v>23371</v>
      </c>
      <c r="B4006" s="15" t="s">
        <v>24804</v>
      </c>
      <c r="C4006" s="14" t="s">
        <v>24819</v>
      </c>
      <c r="D4006" s="14" t="s">
        <v>24820</v>
      </c>
      <c r="E4006" s="16" t="s">
        <v>24821</v>
      </c>
      <c r="F4006" s="16" t="s">
        <v>23488</v>
      </c>
      <c r="G4006" s="23" t="s">
        <v>43</v>
      </c>
      <c r="H4006" s="18" t="n">
        <v>2</v>
      </c>
      <c r="I4006" s="20" t="n">
        <v>37.4</v>
      </c>
      <c r="J4006" s="20" t="n">
        <v>103.6</v>
      </c>
      <c r="K4006" s="18" t="n">
        <v>2</v>
      </c>
      <c r="L4006" s="18" t="n">
        <v>3</v>
      </c>
      <c r="M4006" s="18" t="n">
        <v>24</v>
      </c>
      <c r="N4006" s="18" t="n">
        <v>24</v>
      </c>
      <c r="O4006" s="14" t="s">
        <v>1088</v>
      </c>
      <c r="P4006" s="14" t="s">
        <v>84</v>
      </c>
      <c r="Q4006" s="15" t="s">
        <v>1089</v>
      </c>
      <c r="R4006" s="16" t="s">
        <v>24822</v>
      </c>
      <c r="S4006" s="15" t="s">
        <v>23490</v>
      </c>
      <c r="T4006" s="15" t="s">
        <v>24823</v>
      </c>
      <c r="U4006" s="21" t="s">
        <v>72</v>
      </c>
    </row>
    <row r="4007" customFormat="false" ht="15" hidden="false" customHeight="false" outlineLevel="0" collapsed="false">
      <c r="A4007" s="15" t="s">
        <v>23371</v>
      </c>
      <c r="B4007" s="15" t="s">
        <v>24824</v>
      </c>
      <c r="C4007" s="14" t="s">
        <v>24825</v>
      </c>
      <c r="D4007" s="14" t="s">
        <v>24826</v>
      </c>
      <c r="E4007" s="16" t="s">
        <v>24827</v>
      </c>
      <c r="F4007" s="16" t="s">
        <v>24828</v>
      </c>
      <c r="G4007" s="19" t="s">
        <v>41</v>
      </c>
      <c r="H4007" s="18" t="n">
        <v>5</v>
      </c>
      <c r="I4007" s="20" t="n">
        <v>136.82</v>
      </c>
      <c r="J4007" s="20" t="n">
        <v>282.3</v>
      </c>
      <c r="K4007" s="18" t="n">
        <v>2</v>
      </c>
      <c r="L4007" s="18" t="n">
        <v>2</v>
      </c>
      <c r="M4007" s="18" t="n">
        <v>32</v>
      </c>
      <c r="N4007" s="18" t="n">
        <v>32</v>
      </c>
      <c r="O4007" s="14" t="s">
        <v>1088</v>
      </c>
      <c r="P4007" s="14" t="s">
        <v>84</v>
      </c>
      <c r="Q4007" s="15" t="s">
        <v>1089</v>
      </c>
      <c r="R4007" s="16" t="s">
        <v>1779</v>
      </c>
      <c r="S4007" s="15" t="s">
        <v>20415</v>
      </c>
      <c r="T4007" s="15" t="s">
        <v>24829</v>
      </c>
      <c r="U4007" s="21" t="s">
        <v>72</v>
      </c>
    </row>
    <row r="4008" customFormat="false" ht="15" hidden="false" customHeight="false" outlineLevel="0" collapsed="false">
      <c r="A4008" s="15" t="s">
        <v>23371</v>
      </c>
      <c r="B4008" s="15" t="s">
        <v>24824</v>
      </c>
      <c r="C4008" s="14" t="s">
        <v>24830</v>
      </c>
      <c r="D4008" s="14" t="s">
        <v>24831</v>
      </c>
      <c r="E4008" s="16" t="s">
        <v>24832</v>
      </c>
      <c r="F4008" s="16" t="s">
        <v>24833</v>
      </c>
      <c r="G4008" s="23" t="s">
        <v>43</v>
      </c>
      <c r="H4008" s="18" t="n">
        <v>4</v>
      </c>
      <c r="I4008" s="20" t="n">
        <v>77.91</v>
      </c>
      <c r="J4008" s="20" t="n">
        <v>108.56</v>
      </c>
      <c r="K4008" s="18" t="n">
        <v>12</v>
      </c>
      <c r="L4008" s="18" t="n">
        <v>4</v>
      </c>
      <c r="M4008" s="18" t="n">
        <v>171</v>
      </c>
      <c r="N4008" s="18" t="n">
        <v>35</v>
      </c>
      <c r="O4008" s="14" t="s">
        <v>6448</v>
      </c>
      <c r="P4008" s="14" t="s">
        <v>118</v>
      </c>
      <c r="Q4008" s="15" t="s">
        <v>1089</v>
      </c>
      <c r="R4008" s="16" t="s">
        <v>24278</v>
      </c>
      <c r="S4008" s="15" t="s">
        <v>24834</v>
      </c>
      <c r="T4008" s="15" t="s">
        <v>24835</v>
      </c>
      <c r="U4008" s="21" t="s">
        <v>72</v>
      </c>
    </row>
    <row r="4009" customFormat="false" ht="15" hidden="false" customHeight="false" outlineLevel="0" collapsed="false">
      <c r="A4009" s="15" t="s">
        <v>23371</v>
      </c>
      <c r="B4009" s="15" t="s">
        <v>24824</v>
      </c>
      <c r="C4009" s="14" t="s">
        <v>24836</v>
      </c>
      <c r="D4009" s="14" t="s">
        <v>24837</v>
      </c>
      <c r="E4009" s="16" t="s">
        <v>24838</v>
      </c>
      <c r="F4009" s="16" t="s">
        <v>24839</v>
      </c>
      <c r="G4009" s="23" t="s">
        <v>43</v>
      </c>
      <c r="H4009" s="18" t="n">
        <v>2</v>
      </c>
      <c r="I4009" s="20" t="n">
        <v>36.45</v>
      </c>
      <c r="J4009" s="20" t="n">
        <v>80.21</v>
      </c>
      <c r="K4009" s="18" t="n">
        <v>4</v>
      </c>
      <c r="L4009" s="18" t="n">
        <v>1</v>
      </c>
      <c r="M4009" s="18" t="n">
        <v>160</v>
      </c>
      <c r="N4009" s="18" t="n">
        <v>160</v>
      </c>
      <c r="O4009" s="14" t="s">
        <v>1088</v>
      </c>
      <c r="P4009" s="14" t="s">
        <v>84</v>
      </c>
      <c r="Q4009" s="15" t="s">
        <v>1089</v>
      </c>
      <c r="R4009" s="16" t="s">
        <v>24840</v>
      </c>
      <c r="S4009" s="15" t="s">
        <v>24841</v>
      </c>
      <c r="T4009" s="15" t="s">
        <v>24842</v>
      </c>
      <c r="U4009" s="21" t="s">
        <v>72</v>
      </c>
    </row>
    <row r="4010" customFormat="false" ht="15" hidden="false" customHeight="false" outlineLevel="0" collapsed="false">
      <c r="A4010" s="15" t="s">
        <v>23371</v>
      </c>
      <c r="B4010" s="15" t="s">
        <v>24824</v>
      </c>
      <c r="C4010" s="14" t="s">
        <v>24843</v>
      </c>
      <c r="D4010" s="14" t="s">
        <v>24844</v>
      </c>
      <c r="E4010" s="16" t="s">
        <v>24845</v>
      </c>
      <c r="F4010" s="16" t="s">
        <v>24846</v>
      </c>
      <c r="G4010" s="23" t="s">
        <v>43</v>
      </c>
      <c r="H4010" s="18" t="n">
        <v>1</v>
      </c>
      <c r="I4010" s="20" t="n">
        <v>36.54</v>
      </c>
      <c r="J4010" s="20" t="n">
        <v>158.5</v>
      </c>
      <c r="K4010" s="18" t="n">
        <v>2</v>
      </c>
      <c r="L4010" s="18" t="n">
        <v>4</v>
      </c>
      <c r="M4010" s="18" t="n">
        <v>24</v>
      </c>
      <c r="N4010" s="18" t="n">
        <v>24</v>
      </c>
      <c r="O4010" s="14" t="s">
        <v>1126</v>
      </c>
      <c r="P4010" s="14" t="s">
        <v>84</v>
      </c>
      <c r="Q4010" s="15" t="s">
        <v>1089</v>
      </c>
      <c r="R4010" s="16" t="s">
        <v>2928</v>
      </c>
      <c r="S4010" s="15" t="s">
        <v>24847</v>
      </c>
      <c r="T4010" s="15" t="s">
        <v>24848</v>
      </c>
      <c r="U4010" s="21" t="s">
        <v>72</v>
      </c>
    </row>
    <row r="4011" customFormat="false" ht="15" hidden="false" customHeight="false" outlineLevel="0" collapsed="false">
      <c r="A4011" s="15" t="s">
        <v>23371</v>
      </c>
      <c r="B4011" s="15" t="s">
        <v>24824</v>
      </c>
      <c r="C4011" s="14" t="s">
        <v>24849</v>
      </c>
      <c r="D4011" s="14" t="s">
        <v>24850</v>
      </c>
      <c r="E4011" s="16" t="s">
        <v>24851</v>
      </c>
      <c r="F4011" s="16"/>
      <c r="G4011" s="23" t="s">
        <v>43</v>
      </c>
      <c r="H4011" s="18" t="n">
        <v>4</v>
      </c>
      <c r="I4011" s="20" t="n">
        <v>64</v>
      </c>
      <c r="J4011" s="20" t="n">
        <v>96</v>
      </c>
      <c r="K4011" s="18" t="n">
        <v>2</v>
      </c>
      <c r="L4011" s="18" t="n">
        <v>3</v>
      </c>
      <c r="M4011" s="18" t="n">
        <v>83</v>
      </c>
      <c r="N4011" s="18" t="n">
        <v>53</v>
      </c>
      <c r="O4011" s="14" t="s">
        <v>1126</v>
      </c>
      <c r="P4011" s="14" t="s">
        <v>84</v>
      </c>
      <c r="Q4011" s="15" t="s">
        <v>1089</v>
      </c>
      <c r="R4011" s="16" t="s">
        <v>7972</v>
      </c>
      <c r="S4011" s="15" t="s">
        <v>24852</v>
      </c>
      <c r="T4011" s="15" t="s">
        <v>24853</v>
      </c>
      <c r="U4011" s="21" t="s">
        <v>72</v>
      </c>
    </row>
    <row r="4012" customFormat="false" ht="15" hidden="false" customHeight="false" outlineLevel="0" collapsed="false">
      <c r="A4012" s="15" t="s">
        <v>23371</v>
      </c>
      <c r="B4012" s="15" t="s">
        <v>24824</v>
      </c>
      <c r="C4012" s="14" t="s">
        <v>24854</v>
      </c>
      <c r="D4012" s="14" t="s">
        <v>24855</v>
      </c>
      <c r="E4012" s="16" t="s">
        <v>24856</v>
      </c>
      <c r="F4012" s="16"/>
      <c r="G4012" s="23" t="s">
        <v>43</v>
      </c>
      <c r="H4012" s="18" t="n">
        <v>1</v>
      </c>
      <c r="I4012" s="20" t="n">
        <v>31</v>
      </c>
      <c r="J4012" s="20" t="n">
        <v>71</v>
      </c>
      <c r="K4012" s="18" t="n">
        <v>1</v>
      </c>
      <c r="L4012" s="18" t="n">
        <v>1</v>
      </c>
      <c r="M4012" s="18" t="n">
        <v>15</v>
      </c>
      <c r="N4012" s="18" t="n">
        <v>15</v>
      </c>
      <c r="O4012" s="14" t="s">
        <v>1126</v>
      </c>
      <c r="P4012" s="14" t="s">
        <v>84</v>
      </c>
      <c r="Q4012" s="15" t="s">
        <v>1089</v>
      </c>
      <c r="R4012" s="16" t="s">
        <v>24857</v>
      </c>
      <c r="S4012" s="15" t="s">
        <v>24858</v>
      </c>
      <c r="T4012" s="15" t="s">
        <v>24858</v>
      </c>
      <c r="U4012" s="21" t="s">
        <v>72</v>
      </c>
    </row>
    <row r="4013" customFormat="false" ht="15" hidden="false" customHeight="false" outlineLevel="0" collapsed="false">
      <c r="A4013" s="15" t="s">
        <v>23371</v>
      </c>
      <c r="B4013" s="15" t="s">
        <v>24824</v>
      </c>
      <c r="C4013" s="14" t="s">
        <v>24859</v>
      </c>
      <c r="D4013" s="14" t="s">
        <v>24860</v>
      </c>
      <c r="E4013" s="16" t="s">
        <v>24861</v>
      </c>
      <c r="F4013" s="16" t="s">
        <v>24862</v>
      </c>
      <c r="G4013" s="23" t="s">
        <v>43</v>
      </c>
      <c r="H4013" s="18" t="n">
        <v>3</v>
      </c>
      <c r="I4013" s="20" t="n">
        <v>57.5</v>
      </c>
      <c r="J4013" s="20" t="n">
        <v>190.3</v>
      </c>
      <c r="K4013" s="18" t="n">
        <v>1</v>
      </c>
      <c r="L4013" s="18" t="n">
        <v>1</v>
      </c>
      <c r="M4013" s="18" t="n">
        <v>20</v>
      </c>
      <c r="N4013" s="18" t="n">
        <v>20</v>
      </c>
      <c r="O4013" s="14" t="s">
        <v>1126</v>
      </c>
      <c r="P4013" s="14" t="s">
        <v>84</v>
      </c>
      <c r="Q4013" s="15" t="s">
        <v>1089</v>
      </c>
      <c r="R4013" s="16" t="s">
        <v>24863</v>
      </c>
      <c r="S4013" s="15" t="s">
        <v>24864</v>
      </c>
      <c r="T4013" s="15" t="s">
        <v>24865</v>
      </c>
      <c r="U4013" s="21" t="s">
        <v>72</v>
      </c>
    </row>
    <row r="4014" customFormat="false" ht="15" hidden="false" customHeight="false" outlineLevel="0" collapsed="false">
      <c r="A4014" s="15" t="s">
        <v>23371</v>
      </c>
      <c r="B4014" s="15" t="s">
        <v>24866</v>
      </c>
      <c r="C4014" s="14" t="s">
        <v>24867</v>
      </c>
      <c r="D4014" s="14" t="s">
        <v>24868</v>
      </c>
      <c r="E4014" s="16" t="s">
        <v>24869</v>
      </c>
      <c r="F4014" s="16"/>
      <c r="G4014" s="23" t="s">
        <v>43</v>
      </c>
      <c r="H4014" s="18" t="n">
        <v>2</v>
      </c>
      <c r="I4014" s="20" t="n">
        <v>41.49</v>
      </c>
      <c r="J4014" s="20" t="n">
        <v>108.4</v>
      </c>
      <c r="K4014" s="18" t="n">
        <v>2</v>
      </c>
      <c r="L4014" s="18" t="n">
        <v>1</v>
      </c>
      <c r="M4014" s="18" t="n">
        <v>30</v>
      </c>
      <c r="N4014" s="18" t="n">
        <v>30</v>
      </c>
      <c r="O4014" s="14" t="s">
        <v>3724</v>
      </c>
      <c r="P4014" s="14" t="s">
        <v>84</v>
      </c>
      <c r="Q4014" s="15" t="s">
        <v>1089</v>
      </c>
      <c r="R4014" s="16" t="s">
        <v>24870</v>
      </c>
      <c r="S4014" s="15" t="s">
        <v>24871</v>
      </c>
      <c r="T4014" s="15" t="s">
        <v>24871</v>
      </c>
      <c r="U4014" s="21" t="s">
        <v>72</v>
      </c>
    </row>
    <row r="4015" customFormat="false" ht="15" hidden="false" customHeight="false" outlineLevel="0" collapsed="false">
      <c r="A4015" s="15" t="s">
        <v>23371</v>
      </c>
      <c r="B4015" s="15" t="s">
        <v>24872</v>
      </c>
      <c r="C4015" s="14" t="s">
        <v>24873</v>
      </c>
      <c r="D4015" s="14" t="s">
        <v>24874</v>
      </c>
      <c r="E4015" s="16" t="s">
        <v>24875</v>
      </c>
      <c r="F4015" s="16"/>
      <c r="G4015" s="23" t="s">
        <v>43</v>
      </c>
      <c r="H4015" s="18" t="n">
        <v>2</v>
      </c>
      <c r="I4015" s="20" t="n">
        <v>60.8</v>
      </c>
      <c r="J4015" s="20" t="n">
        <v>150</v>
      </c>
      <c r="K4015" s="18" t="n">
        <v>2</v>
      </c>
      <c r="L4015" s="18" t="n">
        <v>3</v>
      </c>
      <c r="M4015" s="18" t="n">
        <v>50</v>
      </c>
      <c r="N4015" s="18" t="n">
        <v>50</v>
      </c>
      <c r="O4015" s="14" t="s">
        <v>1097</v>
      </c>
      <c r="P4015" s="14" t="s">
        <v>84</v>
      </c>
      <c r="Q4015" s="15" t="s">
        <v>1089</v>
      </c>
      <c r="R4015" s="16" t="s">
        <v>10022</v>
      </c>
      <c r="S4015" s="15" t="s">
        <v>24876</v>
      </c>
      <c r="T4015" s="15" t="s">
        <v>24877</v>
      </c>
      <c r="U4015" s="21" t="s">
        <v>72</v>
      </c>
    </row>
    <row r="4016" customFormat="false" ht="15" hidden="false" customHeight="false" outlineLevel="0" collapsed="false">
      <c r="A4016" s="15" t="s">
        <v>23371</v>
      </c>
      <c r="B4016" s="15" t="s">
        <v>24878</v>
      </c>
      <c r="C4016" s="14" t="s">
        <v>24879</v>
      </c>
      <c r="D4016" s="14" t="s">
        <v>24880</v>
      </c>
      <c r="E4016" s="16" t="s">
        <v>24881</v>
      </c>
      <c r="F4016" s="16" t="s">
        <v>24882</v>
      </c>
      <c r="G4016" s="23" t="s">
        <v>43</v>
      </c>
      <c r="H4016" s="18" t="n">
        <v>3</v>
      </c>
      <c r="I4016" s="20" t="n">
        <v>45.72</v>
      </c>
      <c r="J4016" s="20" t="n">
        <v>80.76</v>
      </c>
      <c r="K4016" s="18" t="n">
        <v>2</v>
      </c>
      <c r="L4016" s="18" t="n">
        <v>1</v>
      </c>
      <c r="M4016" s="18" t="n">
        <v>29</v>
      </c>
      <c r="N4016" s="18" t="n">
        <v>29</v>
      </c>
      <c r="O4016" s="14" t="s">
        <v>1126</v>
      </c>
      <c r="P4016" s="14" t="s">
        <v>84</v>
      </c>
      <c r="Q4016" s="15" t="s">
        <v>1089</v>
      </c>
      <c r="R4016" s="16" t="s">
        <v>24883</v>
      </c>
      <c r="S4016" s="15" t="s">
        <v>24884</v>
      </c>
      <c r="T4016" s="15" t="s">
        <v>24884</v>
      </c>
      <c r="U4016" s="21" t="s">
        <v>72</v>
      </c>
    </row>
    <row r="4017" customFormat="false" ht="15" hidden="false" customHeight="false" outlineLevel="0" collapsed="false">
      <c r="A4017" s="15" t="s">
        <v>23371</v>
      </c>
      <c r="B4017" s="15" t="s">
        <v>24878</v>
      </c>
      <c r="C4017" s="14" t="s">
        <v>24885</v>
      </c>
      <c r="D4017" s="14" t="s">
        <v>24886</v>
      </c>
      <c r="E4017" s="16" t="s">
        <v>24887</v>
      </c>
      <c r="F4017" s="16" t="s">
        <v>24888</v>
      </c>
      <c r="G4017" s="23" t="s">
        <v>43</v>
      </c>
      <c r="H4017" s="18" t="n">
        <v>2</v>
      </c>
      <c r="I4017" s="20" t="n">
        <v>35</v>
      </c>
      <c r="J4017" s="20" t="n">
        <v>95</v>
      </c>
      <c r="K4017" s="18" t="n">
        <v>1</v>
      </c>
      <c r="L4017" s="18" t="n">
        <v>7</v>
      </c>
      <c r="M4017" s="18" t="n">
        <v>35</v>
      </c>
      <c r="N4017" s="18" t="n">
        <v>35</v>
      </c>
      <c r="O4017" s="14" t="s">
        <v>1126</v>
      </c>
      <c r="P4017" s="14" t="s">
        <v>84</v>
      </c>
      <c r="Q4017" s="15" t="s">
        <v>1089</v>
      </c>
      <c r="R4017" s="16" t="s">
        <v>24889</v>
      </c>
      <c r="S4017" s="15" t="s">
        <v>24890</v>
      </c>
      <c r="T4017" s="15" t="s">
        <v>24890</v>
      </c>
      <c r="U4017" s="21" t="s">
        <v>72</v>
      </c>
    </row>
    <row r="4018" customFormat="false" ht="15" hidden="false" customHeight="false" outlineLevel="0" collapsed="false">
      <c r="A4018" s="15" t="s">
        <v>23371</v>
      </c>
      <c r="B4018" s="15" t="s">
        <v>24878</v>
      </c>
      <c r="C4018" s="14" t="s">
        <v>24891</v>
      </c>
      <c r="D4018" s="14" t="s">
        <v>24892</v>
      </c>
      <c r="E4018" s="16" t="s">
        <v>24893</v>
      </c>
      <c r="F4018" s="16"/>
      <c r="G4018" s="23" t="s">
        <v>43</v>
      </c>
      <c r="H4018" s="18" t="n">
        <v>1</v>
      </c>
      <c r="I4018" s="20" t="n">
        <v>30.94</v>
      </c>
      <c r="J4018" s="20" t="n">
        <v>79.99</v>
      </c>
      <c r="K4018" s="18" t="n">
        <v>1</v>
      </c>
      <c r="L4018" s="18" t="n">
        <v>1</v>
      </c>
      <c r="M4018" s="18" t="n">
        <v>10</v>
      </c>
      <c r="N4018" s="18" t="n">
        <v>10</v>
      </c>
      <c r="O4018" s="14" t="s">
        <v>1126</v>
      </c>
      <c r="P4018" s="14" t="s">
        <v>84</v>
      </c>
      <c r="Q4018" s="15" t="s">
        <v>1089</v>
      </c>
      <c r="R4018" s="16" t="s">
        <v>618</v>
      </c>
      <c r="S4018" s="15" t="s">
        <v>24894</v>
      </c>
      <c r="T4018" s="15" t="s">
        <v>24895</v>
      </c>
      <c r="U4018" s="21" t="s">
        <v>72</v>
      </c>
    </row>
    <row r="4019" customFormat="false" ht="15" hidden="false" customHeight="false" outlineLevel="0" collapsed="false">
      <c r="A4019" s="15" t="s">
        <v>23371</v>
      </c>
      <c r="B4019" s="15" t="s">
        <v>24896</v>
      </c>
      <c r="C4019" s="14" t="s">
        <v>24897</v>
      </c>
      <c r="D4019" s="14" t="s">
        <v>24898</v>
      </c>
      <c r="E4019" s="16" t="s">
        <v>24899</v>
      </c>
      <c r="F4019" s="16" t="s">
        <v>24900</v>
      </c>
      <c r="G4019" s="23" t="s">
        <v>43</v>
      </c>
      <c r="H4019" s="18" t="n">
        <v>1</v>
      </c>
      <c r="I4019" s="20" t="n">
        <v>38.11</v>
      </c>
      <c r="J4019" s="20" t="n">
        <v>101.53</v>
      </c>
      <c r="K4019" s="18" t="n">
        <v>2</v>
      </c>
      <c r="L4019" s="18" t="n">
        <v>2</v>
      </c>
      <c r="M4019" s="18" t="n">
        <v>32</v>
      </c>
      <c r="N4019" s="18" t="n">
        <v>32</v>
      </c>
      <c r="O4019" s="14" t="s">
        <v>1088</v>
      </c>
      <c r="P4019" s="14" t="s">
        <v>84</v>
      </c>
      <c r="Q4019" s="15" t="s">
        <v>1089</v>
      </c>
      <c r="R4019" s="16" t="s">
        <v>24901</v>
      </c>
      <c r="S4019" s="15" t="s">
        <v>24902</v>
      </c>
      <c r="T4019" s="15" t="s">
        <v>24902</v>
      </c>
      <c r="U4019" s="21" t="s">
        <v>72</v>
      </c>
    </row>
    <row r="4020" customFormat="false" ht="15" hidden="false" customHeight="false" outlineLevel="0" collapsed="false">
      <c r="A4020" s="15" t="s">
        <v>23371</v>
      </c>
      <c r="B4020" s="15" t="s">
        <v>24896</v>
      </c>
      <c r="C4020" s="14" t="s">
        <v>24903</v>
      </c>
      <c r="D4020" s="14" t="s">
        <v>24904</v>
      </c>
      <c r="E4020" s="16" t="s">
        <v>24905</v>
      </c>
      <c r="F4020" s="16" t="s">
        <v>24906</v>
      </c>
      <c r="G4020" s="23" t="s">
        <v>43</v>
      </c>
      <c r="H4020" s="18" t="n">
        <v>1</v>
      </c>
      <c r="I4020" s="20" t="n">
        <v>30.25</v>
      </c>
      <c r="J4020" s="20" t="n">
        <v>119.15</v>
      </c>
      <c r="K4020" s="18" t="n">
        <v>6</v>
      </c>
      <c r="L4020" s="18" t="n">
        <v>1</v>
      </c>
      <c r="M4020" s="18" t="n">
        <v>110</v>
      </c>
      <c r="N4020" s="18" t="n">
        <v>30</v>
      </c>
      <c r="O4020" s="14" t="s">
        <v>1097</v>
      </c>
      <c r="P4020" s="14" t="s">
        <v>84</v>
      </c>
      <c r="Q4020" s="15" t="s">
        <v>1089</v>
      </c>
      <c r="R4020" s="16" t="s">
        <v>24907</v>
      </c>
      <c r="S4020" s="15" t="s">
        <v>24908</v>
      </c>
      <c r="T4020" s="15" t="s">
        <v>24909</v>
      </c>
      <c r="U4020" s="21" t="s">
        <v>72</v>
      </c>
    </row>
    <row r="4021" customFormat="false" ht="15" hidden="false" customHeight="false" outlineLevel="0" collapsed="false">
      <c r="A4021" s="15" t="s">
        <v>23371</v>
      </c>
      <c r="B4021" s="15" t="s">
        <v>24896</v>
      </c>
      <c r="C4021" s="14" t="s">
        <v>24910</v>
      </c>
      <c r="D4021" s="14" t="s">
        <v>24911</v>
      </c>
      <c r="E4021" s="16" t="s">
        <v>24912</v>
      </c>
      <c r="F4021" s="16" t="s">
        <v>24913</v>
      </c>
      <c r="G4021" s="25" t="s">
        <v>39</v>
      </c>
      <c r="H4021" s="18" t="n">
        <v>8</v>
      </c>
      <c r="I4021" s="20" t="n">
        <v>308</v>
      </c>
      <c r="J4021" s="20" t="n">
        <v>440</v>
      </c>
      <c r="K4021" s="18" t="n">
        <v>4</v>
      </c>
      <c r="L4021" s="18" t="n">
        <v>8</v>
      </c>
      <c r="M4021" s="18" t="n">
        <v>120</v>
      </c>
      <c r="N4021" s="18" t="n">
        <v>120</v>
      </c>
      <c r="O4021" s="14" t="s">
        <v>1088</v>
      </c>
      <c r="P4021" s="14" t="s">
        <v>84</v>
      </c>
      <c r="Q4021" s="15" t="s">
        <v>1089</v>
      </c>
      <c r="R4021" s="16" t="s">
        <v>24914</v>
      </c>
      <c r="S4021" s="15" t="s">
        <v>23377</v>
      </c>
      <c r="T4021" s="15" t="s">
        <v>24915</v>
      </c>
      <c r="U4021" s="21" t="s">
        <v>72</v>
      </c>
    </row>
    <row r="4022" customFormat="false" ht="15" hidden="false" customHeight="false" outlineLevel="0" collapsed="false">
      <c r="A4022" s="15" t="s">
        <v>23371</v>
      </c>
      <c r="B4022" s="15" t="s">
        <v>24896</v>
      </c>
      <c r="C4022" s="14" t="s">
        <v>24916</v>
      </c>
      <c r="D4022" s="14" t="s">
        <v>24917</v>
      </c>
      <c r="E4022" s="16" t="s">
        <v>24918</v>
      </c>
      <c r="F4022" s="16" t="s">
        <v>24919</v>
      </c>
      <c r="G4022" s="23" t="s">
        <v>43</v>
      </c>
      <c r="H4022" s="18" t="n">
        <v>4</v>
      </c>
      <c r="I4022" s="20" t="n">
        <v>75</v>
      </c>
      <c r="J4022" s="20" t="n">
        <v>135</v>
      </c>
      <c r="K4022" s="18" t="n">
        <v>1</v>
      </c>
      <c r="L4022" s="18" t="n">
        <v>2</v>
      </c>
      <c r="M4022" s="18" t="n">
        <v>63</v>
      </c>
      <c r="N4022" s="18" t="n">
        <v>63</v>
      </c>
      <c r="O4022" s="14" t="s">
        <v>1126</v>
      </c>
      <c r="P4022" s="14" t="s">
        <v>84</v>
      </c>
      <c r="Q4022" s="15" t="s">
        <v>1089</v>
      </c>
      <c r="R4022" s="16" t="s">
        <v>15099</v>
      </c>
      <c r="S4022" s="15" t="s">
        <v>24920</v>
      </c>
      <c r="T4022" s="15" t="s">
        <v>24920</v>
      </c>
      <c r="U4022" s="21" t="s">
        <v>72</v>
      </c>
    </row>
    <row r="4023" customFormat="false" ht="15" hidden="false" customHeight="false" outlineLevel="0" collapsed="false">
      <c r="A4023" s="15" t="s">
        <v>23371</v>
      </c>
      <c r="B4023" s="15" t="s">
        <v>24896</v>
      </c>
      <c r="C4023" s="14" t="s">
        <v>24921</v>
      </c>
      <c r="D4023" s="14" t="s">
        <v>24922</v>
      </c>
      <c r="E4023" s="16" t="s">
        <v>24923</v>
      </c>
      <c r="F4023" s="16" t="s">
        <v>24924</v>
      </c>
      <c r="G4023" s="23" t="s">
        <v>43</v>
      </c>
      <c r="H4023" s="18" t="n">
        <v>2</v>
      </c>
      <c r="I4023" s="20" t="n">
        <v>35.51</v>
      </c>
      <c r="J4023" s="20" t="n">
        <v>75.22</v>
      </c>
      <c r="K4023" s="18" t="n">
        <v>2</v>
      </c>
      <c r="L4023" s="18" t="n">
        <v>6</v>
      </c>
      <c r="M4023" s="18" t="n">
        <v>20</v>
      </c>
      <c r="N4023" s="18" t="n">
        <v>20</v>
      </c>
      <c r="O4023" s="14" t="s">
        <v>1088</v>
      </c>
      <c r="P4023" s="14" t="s">
        <v>84</v>
      </c>
      <c r="Q4023" s="15" t="s">
        <v>1089</v>
      </c>
      <c r="R4023" s="16" t="s">
        <v>9446</v>
      </c>
      <c r="S4023" s="15" t="s">
        <v>24925</v>
      </c>
      <c r="T4023" s="15" t="s">
        <v>24925</v>
      </c>
      <c r="U4023" s="21" t="s">
        <v>72</v>
      </c>
    </row>
    <row r="4024" customFormat="false" ht="15" hidden="false" customHeight="false" outlineLevel="0" collapsed="false">
      <c r="A4024" s="15" t="s">
        <v>23371</v>
      </c>
      <c r="B4024" s="15" t="s">
        <v>24896</v>
      </c>
      <c r="C4024" s="14" t="s">
        <v>24926</v>
      </c>
      <c r="D4024" s="14" t="s">
        <v>24927</v>
      </c>
      <c r="E4024" s="16" t="s">
        <v>24928</v>
      </c>
      <c r="F4024" s="16" t="s">
        <v>24929</v>
      </c>
      <c r="G4024" s="23" t="s">
        <v>43</v>
      </c>
      <c r="H4024" s="18" t="n">
        <v>1</v>
      </c>
      <c r="I4024" s="20" t="n">
        <v>30.8</v>
      </c>
      <c r="J4024" s="20" t="n">
        <v>72</v>
      </c>
      <c r="K4024" s="18" t="n">
        <v>2</v>
      </c>
      <c r="L4024" s="18" t="n">
        <v>2</v>
      </c>
      <c r="M4024" s="18" t="n">
        <v>50</v>
      </c>
      <c r="N4024" s="18" t="n">
        <v>50</v>
      </c>
      <c r="O4024" s="14" t="s">
        <v>1126</v>
      </c>
      <c r="P4024" s="14" t="s">
        <v>84</v>
      </c>
      <c r="Q4024" s="15" t="s">
        <v>1089</v>
      </c>
      <c r="R4024" s="16" t="s">
        <v>24930</v>
      </c>
      <c r="S4024" s="15" t="s">
        <v>24931</v>
      </c>
      <c r="T4024" s="15" t="s">
        <v>24931</v>
      </c>
      <c r="U4024" s="21" t="s">
        <v>72</v>
      </c>
    </row>
    <row r="4025" customFormat="false" ht="15" hidden="false" customHeight="false" outlineLevel="0" collapsed="false">
      <c r="A4025" s="15" t="s">
        <v>23371</v>
      </c>
      <c r="B4025" s="15" t="s">
        <v>24932</v>
      </c>
      <c r="C4025" s="14" t="s">
        <v>24933</v>
      </c>
      <c r="D4025" s="14" t="s">
        <v>24934</v>
      </c>
      <c r="E4025" s="16" t="s">
        <v>24935</v>
      </c>
      <c r="F4025" s="16" t="s">
        <v>24936</v>
      </c>
      <c r="G4025" s="23" t="s">
        <v>43</v>
      </c>
      <c r="H4025" s="18" t="n">
        <v>4</v>
      </c>
      <c r="I4025" s="20" t="n">
        <v>119.2</v>
      </c>
      <c r="J4025" s="20" t="n">
        <v>172.87</v>
      </c>
      <c r="K4025" s="18" t="n">
        <v>6</v>
      </c>
      <c r="L4025" s="18" t="n">
        <v>2</v>
      </c>
      <c r="M4025" s="18" t="n">
        <v>130</v>
      </c>
      <c r="N4025" s="18" t="n">
        <v>66</v>
      </c>
      <c r="O4025" s="14" t="s">
        <v>7240</v>
      </c>
      <c r="P4025" s="14" t="s">
        <v>84</v>
      </c>
      <c r="Q4025" s="15" t="s">
        <v>1089</v>
      </c>
      <c r="R4025" s="16" t="s">
        <v>24937</v>
      </c>
      <c r="S4025" s="15" t="s">
        <v>23739</v>
      </c>
      <c r="T4025" s="15" t="s">
        <v>24938</v>
      </c>
      <c r="U4025" s="21" t="s">
        <v>72</v>
      </c>
    </row>
    <row r="4026" customFormat="false" ht="15" hidden="false" customHeight="false" outlineLevel="0" collapsed="false">
      <c r="A4026" s="15" t="s">
        <v>23371</v>
      </c>
      <c r="B4026" s="15" t="s">
        <v>24932</v>
      </c>
      <c r="C4026" s="14" t="s">
        <v>24939</v>
      </c>
      <c r="D4026" s="14" t="s">
        <v>24940</v>
      </c>
      <c r="E4026" s="16" t="s">
        <v>24941</v>
      </c>
      <c r="F4026" s="16" t="s">
        <v>24942</v>
      </c>
      <c r="G4026" s="19" t="s">
        <v>41</v>
      </c>
      <c r="H4026" s="18" t="n">
        <v>2</v>
      </c>
      <c r="I4026" s="20" t="n">
        <v>70</v>
      </c>
      <c r="J4026" s="20" t="n">
        <v>205.41</v>
      </c>
      <c r="K4026" s="18" t="n">
        <v>5</v>
      </c>
      <c r="L4026" s="18" t="n">
        <v>3</v>
      </c>
      <c r="M4026" s="18" t="n">
        <v>75</v>
      </c>
      <c r="N4026" s="18" t="n">
        <v>30</v>
      </c>
      <c r="O4026" s="14" t="s">
        <v>1088</v>
      </c>
      <c r="P4026" s="14" t="s">
        <v>84</v>
      </c>
      <c r="Q4026" s="15" t="s">
        <v>1089</v>
      </c>
      <c r="R4026" s="16" t="s">
        <v>24943</v>
      </c>
      <c r="S4026" s="15" t="s">
        <v>24944</v>
      </c>
      <c r="T4026" s="15" t="s">
        <v>24945</v>
      </c>
      <c r="U4026" s="21" t="s">
        <v>72</v>
      </c>
    </row>
    <row r="4027" customFormat="false" ht="15" hidden="false" customHeight="false" outlineLevel="0" collapsed="false">
      <c r="A4027" s="15" t="s">
        <v>23371</v>
      </c>
      <c r="B4027" s="15" t="s">
        <v>24932</v>
      </c>
      <c r="C4027" s="14" t="s">
        <v>24946</v>
      </c>
      <c r="D4027" s="14" t="s">
        <v>24947</v>
      </c>
      <c r="E4027" s="16" t="s">
        <v>24948</v>
      </c>
      <c r="F4027" s="16" t="s">
        <v>24949</v>
      </c>
      <c r="G4027" s="23" t="s">
        <v>43</v>
      </c>
      <c r="H4027" s="18" t="n">
        <v>4</v>
      </c>
      <c r="I4027" s="20" t="n">
        <v>70.04</v>
      </c>
      <c r="J4027" s="20" t="n">
        <v>97.74</v>
      </c>
      <c r="K4027" s="18" t="n">
        <v>9</v>
      </c>
      <c r="L4027" s="18" t="n">
        <v>5</v>
      </c>
      <c r="M4027" s="18" t="n">
        <v>118</v>
      </c>
      <c r="N4027" s="18" t="n">
        <v>16</v>
      </c>
      <c r="O4027" s="14" t="s">
        <v>1097</v>
      </c>
      <c r="P4027" s="14" t="s">
        <v>118</v>
      </c>
      <c r="Q4027" s="15" t="s">
        <v>1089</v>
      </c>
      <c r="R4027" s="16" t="s">
        <v>23873</v>
      </c>
      <c r="S4027" s="15" t="s">
        <v>24950</v>
      </c>
      <c r="T4027" s="15" t="s">
        <v>24950</v>
      </c>
      <c r="U4027" s="21" t="s">
        <v>72</v>
      </c>
    </row>
    <row r="4028" customFormat="false" ht="15" hidden="false" customHeight="false" outlineLevel="0" collapsed="false">
      <c r="A4028" s="15" t="s">
        <v>23371</v>
      </c>
      <c r="B4028" s="15" t="s">
        <v>24932</v>
      </c>
      <c r="C4028" s="14" t="s">
        <v>24951</v>
      </c>
      <c r="D4028" s="14" t="s">
        <v>24952</v>
      </c>
      <c r="E4028" s="16" t="s">
        <v>24953</v>
      </c>
      <c r="F4028" s="16"/>
      <c r="G4028" s="23" t="s">
        <v>43</v>
      </c>
      <c r="H4028" s="18" t="n">
        <v>1</v>
      </c>
      <c r="I4028" s="20" t="n">
        <v>34.96</v>
      </c>
      <c r="J4028" s="20" t="n">
        <v>89.95</v>
      </c>
      <c r="K4028" s="18" t="n">
        <v>6</v>
      </c>
      <c r="L4028" s="18" t="n">
        <v>3</v>
      </c>
      <c r="M4028" s="18" t="n">
        <v>174</v>
      </c>
      <c r="N4028" s="18" t="n">
        <v>58</v>
      </c>
      <c r="O4028" s="14" t="s">
        <v>1097</v>
      </c>
      <c r="P4028" s="14" t="s">
        <v>118</v>
      </c>
      <c r="Q4028" s="15" t="s">
        <v>1089</v>
      </c>
      <c r="R4028" s="16" t="s">
        <v>24954</v>
      </c>
      <c r="S4028" s="15" t="s">
        <v>24955</v>
      </c>
      <c r="T4028" s="15" t="s">
        <v>24955</v>
      </c>
      <c r="U4028" s="21" t="s">
        <v>72</v>
      </c>
    </row>
    <row r="4029" customFormat="false" ht="15" hidden="false" customHeight="false" outlineLevel="0" collapsed="false">
      <c r="A4029" s="15" t="s">
        <v>23371</v>
      </c>
      <c r="B4029" s="15" t="s">
        <v>24932</v>
      </c>
      <c r="C4029" s="14" t="s">
        <v>24956</v>
      </c>
      <c r="D4029" s="14" t="s">
        <v>24957</v>
      </c>
      <c r="E4029" s="16" t="s">
        <v>24958</v>
      </c>
      <c r="F4029" s="16" t="s">
        <v>24959</v>
      </c>
      <c r="G4029" s="23" t="s">
        <v>43</v>
      </c>
      <c r="H4029" s="18" t="n">
        <v>3</v>
      </c>
      <c r="I4029" s="20" t="n">
        <v>80.3</v>
      </c>
      <c r="J4029" s="20" t="n">
        <v>154.46</v>
      </c>
      <c r="K4029" s="18" t="n">
        <v>5</v>
      </c>
      <c r="L4029" s="18" t="n">
        <v>4</v>
      </c>
      <c r="M4029" s="18" t="n">
        <v>75</v>
      </c>
      <c r="N4029" s="18" t="n">
        <v>30</v>
      </c>
      <c r="O4029" s="14" t="s">
        <v>1088</v>
      </c>
      <c r="P4029" s="14" t="s">
        <v>84</v>
      </c>
      <c r="Q4029" s="15" t="s">
        <v>1089</v>
      </c>
      <c r="R4029" s="16" t="s">
        <v>6171</v>
      </c>
      <c r="S4029" s="15" t="s">
        <v>24944</v>
      </c>
      <c r="T4029" s="15" t="s">
        <v>24944</v>
      </c>
      <c r="U4029" s="21" t="s">
        <v>72</v>
      </c>
    </row>
    <row r="4030" customFormat="false" ht="15" hidden="false" customHeight="false" outlineLevel="0" collapsed="false">
      <c r="A4030" s="15" t="s">
        <v>23371</v>
      </c>
      <c r="B4030" s="15" t="s">
        <v>24932</v>
      </c>
      <c r="C4030" s="14" t="s">
        <v>24960</v>
      </c>
      <c r="D4030" s="14" t="s">
        <v>24961</v>
      </c>
      <c r="E4030" s="16" t="s">
        <v>24962</v>
      </c>
      <c r="F4030" s="16" t="s">
        <v>24963</v>
      </c>
      <c r="G4030" s="23" t="s">
        <v>43</v>
      </c>
      <c r="H4030" s="18" t="n">
        <v>3</v>
      </c>
      <c r="I4030" s="20" t="n">
        <v>58.61</v>
      </c>
      <c r="J4030" s="20" t="n">
        <v>135.77</v>
      </c>
      <c r="K4030" s="18" t="n">
        <v>3</v>
      </c>
      <c r="L4030" s="18" t="n">
        <v>1</v>
      </c>
      <c r="M4030" s="18" t="n">
        <v>45</v>
      </c>
      <c r="N4030" s="18" t="n">
        <v>45</v>
      </c>
      <c r="O4030" s="14" t="s">
        <v>9118</v>
      </c>
      <c r="P4030" s="14" t="s">
        <v>84</v>
      </c>
      <c r="Q4030" s="15" t="s">
        <v>1089</v>
      </c>
      <c r="R4030" s="16" t="s">
        <v>24964</v>
      </c>
      <c r="S4030" s="15" t="s">
        <v>24170</v>
      </c>
      <c r="T4030" s="15" t="s">
        <v>24965</v>
      </c>
      <c r="U4030" s="21" t="s">
        <v>72</v>
      </c>
    </row>
    <row r="4031" customFormat="false" ht="15" hidden="false" customHeight="false" outlineLevel="0" collapsed="false">
      <c r="A4031" s="15" t="s">
        <v>23371</v>
      </c>
      <c r="B4031" s="15" t="s">
        <v>24932</v>
      </c>
      <c r="C4031" s="14" t="s">
        <v>24966</v>
      </c>
      <c r="D4031" s="14" t="s">
        <v>24967</v>
      </c>
      <c r="E4031" s="16" t="s">
        <v>24968</v>
      </c>
      <c r="F4031" s="16" t="s">
        <v>24969</v>
      </c>
      <c r="G4031" s="23" t="s">
        <v>43</v>
      </c>
      <c r="H4031" s="18" t="n">
        <v>1</v>
      </c>
      <c r="I4031" s="20" t="n">
        <v>35.27</v>
      </c>
      <c r="J4031" s="20" t="n">
        <v>55.87</v>
      </c>
      <c r="K4031" s="18" t="n">
        <v>3</v>
      </c>
      <c r="L4031" s="18" t="n">
        <v>1</v>
      </c>
      <c r="M4031" s="18" t="n">
        <v>60</v>
      </c>
      <c r="N4031" s="18" t="n">
        <v>60</v>
      </c>
      <c r="O4031" s="14" t="s">
        <v>1097</v>
      </c>
      <c r="P4031" s="14" t="s">
        <v>84</v>
      </c>
      <c r="Q4031" s="15" t="s">
        <v>1089</v>
      </c>
      <c r="R4031" s="16" t="s">
        <v>24970</v>
      </c>
      <c r="S4031" s="15" t="s">
        <v>24971</v>
      </c>
      <c r="T4031" s="15" t="s">
        <v>24971</v>
      </c>
      <c r="U4031" s="21" t="s">
        <v>72</v>
      </c>
    </row>
    <row r="4032" customFormat="false" ht="15" hidden="false" customHeight="false" outlineLevel="0" collapsed="false">
      <c r="A4032" s="15" t="s">
        <v>23371</v>
      </c>
      <c r="B4032" s="15" t="s">
        <v>24932</v>
      </c>
      <c r="C4032" s="14" t="s">
        <v>24972</v>
      </c>
      <c r="D4032" s="14" t="s">
        <v>24973</v>
      </c>
      <c r="E4032" s="16" t="s">
        <v>24974</v>
      </c>
      <c r="F4032" s="16" t="s">
        <v>24975</v>
      </c>
      <c r="G4032" s="23" t="s">
        <v>43</v>
      </c>
      <c r="H4032" s="18" t="n">
        <v>2</v>
      </c>
      <c r="I4032" s="20" t="n">
        <v>31.8</v>
      </c>
      <c r="J4032" s="20" t="n">
        <v>88.4</v>
      </c>
      <c r="K4032" s="18" t="n">
        <v>4</v>
      </c>
      <c r="L4032" s="18" t="n">
        <v>1</v>
      </c>
      <c r="M4032" s="18" t="n">
        <v>48</v>
      </c>
      <c r="N4032" s="18" t="n">
        <v>24</v>
      </c>
      <c r="O4032" s="14" t="s">
        <v>1126</v>
      </c>
      <c r="P4032" s="14" t="s">
        <v>84</v>
      </c>
      <c r="Q4032" s="15" t="s">
        <v>1089</v>
      </c>
      <c r="R4032" s="16" t="s">
        <v>17786</v>
      </c>
      <c r="S4032" s="15" t="s">
        <v>24976</v>
      </c>
      <c r="T4032" s="15" t="s">
        <v>24976</v>
      </c>
      <c r="U4032" s="21" t="s">
        <v>72</v>
      </c>
    </row>
    <row r="4033" customFormat="false" ht="15" hidden="false" customHeight="false" outlineLevel="0" collapsed="false">
      <c r="A4033" s="15" t="s">
        <v>23371</v>
      </c>
      <c r="B4033" s="15" t="s">
        <v>24932</v>
      </c>
      <c r="C4033" s="14" t="s">
        <v>24977</v>
      </c>
      <c r="D4033" s="14" t="s">
        <v>24978</v>
      </c>
      <c r="E4033" s="16" t="s">
        <v>24979</v>
      </c>
      <c r="F4033" s="16" t="s">
        <v>24980</v>
      </c>
      <c r="G4033" s="19" t="s">
        <v>41</v>
      </c>
      <c r="H4033" s="18" t="n">
        <v>7</v>
      </c>
      <c r="I4033" s="20" t="n">
        <v>116</v>
      </c>
      <c r="J4033" s="20" t="n">
        <v>384</v>
      </c>
      <c r="K4033" s="18" t="n">
        <v>4</v>
      </c>
      <c r="L4033" s="18" t="n">
        <v>11</v>
      </c>
      <c r="M4033" s="18" t="n">
        <v>96</v>
      </c>
      <c r="N4033" s="18" t="n">
        <v>96</v>
      </c>
      <c r="O4033" s="14" t="s">
        <v>1088</v>
      </c>
      <c r="P4033" s="14" t="s">
        <v>84</v>
      </c>
      <c r="Q4033" s="15" t="s">
        <v>1089</v>
      </c>
      <c r="R4033" s="16" t="s">
        <v>19612</v>
      </c>
      <c r="S4033" s="15" t="s">
        <v>23377</v>
      </c>
      <c r="T4033" s="15" t="s">
        <v>24981</v>
      </c>
      <c r="U4033" s="21" t="s">
        <v>72</v>
      </c>
    </row>
    <row r="4034" customFormat="false" ht="15" hidden="false" customHeight="false" outlineLevel="0" collapsed="false">
      <c r="A4034" s="15" t="s">
        <v>23371</v>
      </c>
      <c r="B4034" s="15" t="s">
        <v>24932</v>
      </c>
      <c r="C4034" s="14" t="s">
        <v>24982</v>
      </c>
      <c r="D4034" s="14" t="s">
        <v>24983</v>
      </c>
      <c r="E4034" s="16" t="s">
        <v>24984</v>
      </c>
      <c r="F4034" s="16" t="s">
        <v>24985</v>
      </c>
      <c r="G4034" s="19" t="s">
        <v>41</v>
      </c>
      <c r="H4034" s="18" t="n">
        <v>6</v>
      </c>
      <c r="I4034" s="20" t="n">
        <v>47.31</v>
      </c>
      <c r="J4034" s="20" t="n">
        <v>119.25</v>
      </c>
      <c r="K4034" s="18" t="n">
        <v>2</v>
      </c>
      <c r="L4034" s="18" t="n">
        <v>5</v>
      </c>
      <c r="M4034" s="18" t="n">
        <v>20</v>
      </c>
      <c r="N4034" s="18" t="n">
        <v>10</v>
      </c>
      <c r="O4034" s="14" t="s">
        <v>1126</v>
      </c>
      <c r="P4034" s="14" t="s">
        <v>202</v>
      </c>
      <c r="Q4034" s="15" t="s">
        <v>1089</v>
      </c>
      <c r="R4034" s="16" t="s">
        <v>10016</v>
      </c>
      <c r="S4034" s="15" t="s">
        <v>24986</v>
      </c>
      <c r="T4034" s="15" t="s">
        <v>24986</v>
      </c>
      <c r="U4034" s="21" t="s">
        <v>72</v>
      </c>
    </row>
    <row r="4035" customFormat="false" ht="15" hidden="false" customHeight="false" outlineLevel="0" collapsed="false">
      <c r="A4035" s="15" t="s">
        <v>23371</v>
      </c>
      <c r="B4035" s="15" t="s">
        <v>24932</v>
      </c>
      <c r="C4035" s="14" t="s">
        <v>24987</v>
      </c>
      <c r="D4035" s="14" t="s">
        <v>24988</v>
      </c>
      <c r="E4035" s="16" t="s">
        <v>24989</v>
      </c>
      <c r="F4035" s="16" t="s">
        <v>24990</v>
      </c>
      <c r="G4035" s="23" t="s">
        <v>43</v>
      </c>
      <c r="H4035" s="18" t="n">
        <v>3</v>
      </c>
      <c r="I4035" s="20" t="n">
        <v>67.73</v>
      </c>
      <c r="J4035" s="20" t="n">
        <v>137.8</v>
      </c>
      <c r="K4035" s="18" t="n">
        <v>6</v>
      </c>
      <c r="L4035" s="18" t="n">
        <v>4</v>
      </c>
      <c r="M4035" s="18" t="n">
        <v>102</v>
      </c>
      <c r="N4035" s="18" t="n">
        <v>36</v>
      </c>
      <c r="O4035" s="14" t="s">
        <v>6448</v>
      </c>
      <c r="P4035" s="14" t="s">
        <v>84</v>
      </c>
      <c r="Q4035" s="15" t="s">
        <v>1089</v>
      </c>
      <c r="R4035" s="16" t="s">
        <v>3450</v>
      </c>
      <c r="S4035" s="15" t="s">
        <v>24991</v>
      </c>
      <c r="T4035" s="15" t="s">
        <v>24991</v>
      </c>
      <c r="U4035" s="21" t="s">
        <v>72</v>
      </c>
    </row>
    <row r="4036" customFormat="false" ht="15" hidden="false" customHeight="false" outlineLevel="0" collapsed="false">
      <c r="A4036" s="15" t="s">
        <v>23371</v>
      </c>
      <c r="B4036" s="15" t="s">
        <v>24932</v>
      </c>
      <c r="C4036" s="14" t="s">
        <v>24992</v>
      </c>
      <c r="D4036" s="14" t="s">
        <v>24993</v>
      </c>
      <c r="E4036" s="16" t="s">
        <v>24994</v>
      </c>
      <c r="F4036" s="16" t="s">
        <v>24995</v>
      </c>
      <c r="G4036" s="23" t="s">
        <v>43</v>
      </c>
      <c r="H4036" s="18" t="n">
        <v>3</v>
      </c>
      <c r="I4036" s="20" t="n">
        <v>40.64</v>
      </c>
      <c r="J4036" s="20" t="n">
        <v>81.9</v>
      </c>
      <c r="K4036" s="18" t="n">
        <v>2</v>
      </c>
      <c r="L4036" s="18" t="n">
        <v>3</v>
      </c>
      <c r="M4036" s="18" t="n">
        <v>24</v>
      </c>
      <c r="N4036" s="18" t="n">
        <v>12</v>
      </c>
      <c r="O4036" s="14" t="s">
        <v>1097</v>
      </c>
      <c r="P4036" s="14" t="s">
        <v>118</v>
      </c>
      <c r="Q4036" s="15" t="s">
        <v>1089</v>
      </c>
      <c r="R4036" s="16" t="s">
        <v>11958</v>
      </c>
      <c r="S4036" s="15" t="s">
        <v>24996</v>
      </c>
      <c r="T4036" s="15" t="s">
        <v>24996</v>
      </c>
      <c r="U4036" s="21" t="s">
        <v>72</v>
      </c>
    </row>
    <row r="4037" customFormat="false" ht="26.85" hidden="false" customHeight="false" outlineLevel="0" collapsed="false">
      <c r="A4037" s="15" t="s">
        <v>23371</v>
      </c>
      <c r="B4037" s="15" t="s">
        <v>24932</v>
      </c>
      <c r="C4037" s="14" t="s">
        <v>24997</v>
      </c>
      <c r="D4037" s="14" t="s">
        <v>24998</v>
      </c>
      <c r="E4037" s="16" t="s">
        <v>24999</v>
      </c>
      <c r="F4037" s="16" t="s">
        <v>25000</v>
      </c>
      <c r="G4037" s="23" t="s">
        <v>43</v>
      </c>
      <c r="H4037" s="18" t="n">
        <v>2</v>
      </c>
      <c r="I4037" s="20" t="n">
        <v>107.9</v>
      </c>
      <c r="J4037" s="20" t="n">
        <v>160</v>
      </c>
      <c r="K4037" s="18" t="n">
        <v>12</v>
      </c>
      <c r="L4037" s="18" t="n">
        <v>12</v>
      </c>
      <c r="M4037" s="18" t="n">
        <v>240</v>
      </c>
      <c r="N4037" s="18" t="n">
        <v>60</v>
      </c>
      <c r="O4037" s="14" t="s">
        <v>1097</v>
      </c>
      <c r="P4037" s="14" t="s">
        <v>118</v>
      </c>
      <c r="Q4037" s="15" t="s">
        <v>1089</v>
      </c>
      <c r="R4037" s="16" t="s">
        <v>11428</v>
      </c>
      <c r="S4037" s="15" t="s">
        <v>25001</v>
      </c>
      <c r="T4037" s="15" t="s">
        <v>25002</v>
      </c>
      <c r="U4037" s="21" t="s">
        <v>72</v>
      </c>
    </row>
    <row r="4038" customFormat="false" ht="15" hidden="false" customHeight="false" outlineLevel="0" collapsed="false">
      <c r="A4038" s="15" t="s">
        <v>23371</v>
      </c>
      <c r="B4038" s="15" t="s">
        <v>24932</v>
      </c>
      <c r="C4038" s="14" t="s">
        <v>25003</v>
      </c>
      <c r="D4038" s="14" t="s">
        <v>25004</v>
      </c>
      <c r="E4038" s="16" t="s">
        <v>25005</v>
      </c>
      <c r="F4038" s="16"/>
      <c r="G4038" s="23" t="s">
        <v>43</v>
      </c>
      <c r="H4038" s="18" t="n">
        <v>1</v>
      </c>
      <c r="I4038" s="20" t="n">
        <v>40.59</v>
      </c>
      <c r="J4038" s="20" t="n">
        <v>95.12</v>
      </c>
      <c r="K4038" s="18" t="n">
        <v>2</v>
      </c>
      <c r="L4038" s="18" t="n">
        <v>4</v>
      </c>
      <c r="M4038" s="18" t="n">
        <v>66</v>
      </c>
      <c r="N4038" s="18" t="n">
        <v>66</v>
      </c>
      <c r="O4038" s="14" t="s">
        <v>1126</v>
      </c>
      <c r="P4038" s="14" t="s">
        <v>84</v>
      </c>
      <c r="Q4038" s="15" t="s">
        <v>1089</v>
      </c>
      <c r="R4038" s="16" t="s">
        <v>15771</v>
      </c>
      <c r="S4038" s="15" t="s">
        <v>25006</v>
      </c>
      <c r="T4038" s="15" t="s">
        <v>25007</v>
      </c>
      <c r="U4038" s="21" t="s">
        <v>72</v>
      </c>
    </row>
    <row r="4039" customFormat="false" ht="15" hidden="false" customHeight="false" outlineLevel="0" collapsed="false">
      <c r="A4039" s="15" t="s">
        <v>23371</v>
      </c>
      <c r="B4039" s="15" t="s">
        <v>24932</v>
      </c>
      <c r="C4039" s="14" t="s">
        <v>25008</v>
      </c>
      <c r="D4039" s="14" t="s">
        <v>25009</v>
      </c>
      <c r="E4039" s="16" t="s">
        <v>25010</v>
      </c>
      <c r="F4039" s="16" t="s">
        <v>25011</v>
      </c>
      <c r="G4039" s="23" t="s">
        <v>43</v>
      </c>
      <c r="H4039" s="18" t="n">
        <v>4</v>
      </c>
      <c r="I4039" s="20" t="n">
        <v>82.52</v>
      </c>
      <c r="J4039" s="20" t="n">
        <v>94.96</v>
      </c>
      <c r="K4039" s="18" t="n">
        <v>4</v>
      </c>
      <c r="L4039" s="18" t="n">
        <v>3</v>
      </c>
      <c r="M4039" s="18" t="n">
        <v>68</v>
      </c>
      <c r="N4039" s="18" t="n">
        <v>40</v>
      </c>
      <c r="O4039" s="14" t="s">
        <v>1126</v>
      </c>
      <c r="P4039" s="14" t="s">
        <v>94</v>
      </c>
      <c r="Q4039" s="15" t="s">
        <v>1089</v>
      </c>
      <c r="R4039" s="16" t="s">
        <v>25012</v>
      </c>
      <c r="S4039" s="15" t="s">
        <v>25013</v>
      </c>
      <c r="T4039" s="15" t="s">
        <v>25013</v>
      </c>
      <c r="U4039" s="21" t="s">
        <v>72</v>
      </c>
    </row>
    <row r="4040" customFormat="false" ht="15" hidden="false" customHeight="false" outlineLevel="0" collapsed="false">
      <c r="A4040" s="15" t="s">
        <v>23371</v>
      </c>
      <c r="B4040" s="15" t="s">
        <v>24932</v>
      </c>
      <c r="C4040" s="14" t="s">
        <v>25014</v>
      </c>
      <c r="D4040" s="14" t="s">
        <v>25015</v>
      </c>
      <c r="E4040" s="16" t="s">
        <v>25016</v>
      </c>
      <c r="F4040" s="16"/>
      <c r="G4040" s="19" t="s">
        <v>41</v>
      </c>
      <c r="H4040" s="18" t="n">
        <v>4</v>
      </c>
      <c r="I4040" s="20" t="n">
        <v>116.95</v>
      </c>
      <c r="J4040" s="20" t="n">
        <v>242.22</v>
      </c>
      <c r="K4040" s="18" t="n">
        <v>2</v>
      </c>
      <c r="L4040" s="18" t="n">
        <v>8</v>
      </c>
      <c r="M4040" s="18" t="n">
        <v>30</v>
      </c>
      <c r="N4040" s="18" t="n">
        <v>30</v>
      </c>
      <c r="O4040" s="14" t="s">
        <v>1126</v>
      </c>
      <c r="P4040" s="14" t="s">
        <v>84</v>
      </c>
      <c r="Q4040" s="15" t="s">
        <v>1089</v>
      </c>
      <c r="R4040" s="16" t="s">
        <v>15873</v>
      </c>
      <c r="S4040" s="15" t="s">
        <v>25017</v>
      </c>
      <c r="T4040" s="15" t="s">
        <v>25018</v>
      </c>
      <c r="U4040" s="21" t="s">
        <v>72</v>
      </c>
    </row>
    <row r="4041" customFormat="false" ht="15" hidden="false" customHeight="false" outlineLevel="0" collapsed="false">
      <c r="A4041" s="15" t="s">
        <v>23371</v>
      </c>
      <c r="B4041" s="15" t="s">
        <v>24932</v>
      </c>
      <c r="C4041" s="14" t="s">
        <v>25019</v>
      </c>
      <c r="D4041" s="14" t="s">
        <v>25020</v>
      </c>
      <c r="E4041" s="16" t="s">
        <v>25021</v>
      </c>
      <c r="F4041" s="16"/>
      <c r="G4041" s="23" t="s">
        <v>43</v>
      </c>
      <c r="H4041" s="18" t="n">
        <v>2</v>
      </c>
      <c r="I4041" s="20" t="n">
        <v>33.39</v>
      </c>
      <c r="J4041" s="20" t="n">
        <v>86.22</v>
      </c>
      <c r="K4041" s="18" t="n">
        <v>1</v>
      </c>
      <c r="L4041" s="18" t="n">
        <v>1</v>
      </c>
      <c r="M4041" s="18" t="n">
        <v>27</v>
      </c>
      <c r="N4041" s="18" t="n">
        <v>27</v>
      </c>
      <c r="O4041" s="14" t="s">
        <v>1126</v>
      </c>
      <c r="P4041" s="14" t="s">
        <v>84</v>
      </c>
      <c r="Q4041" s="15" t="s">
        <v>1089</v>
      </c>
      <c r="R4041" s="16" t="s">
        <v>25022</v>
      </c>
      <c r="S4041" s="15" t="s">
        <v>25023</v>
      </c>
      <c r="T4041" s="15" t="s">
        <v>25023</v>
      </c>
      <c r="U4041" s="21" t="s">
        <v>72</v>
      </c>
    </row>
    <row r="4042" customFormat="false" ht="15" hidden="false" customHeight="false" outlineLevel="0" collapsed="false">
      <c r="A4042" s="15" t="s">
        <v>23371</v>
      </c>
      <c r="B4042" s="15" t="s">
        <v>24932</v>
      </c>
      <c r="C4042" s="14" t="s">
        <v>780</v>
      </c>
      <c r="D4042" s="14" t="s">
        <v>25024</v>
      </c>
      <c r="E4042" s="16" t="s">
        <v>25025</v>
      </c>
      <c r="F4042" s="16"/>
      <c r="G4042" s="23" t="s">
        <v>43</v>
      </c>
      <c r="H4042" s="18" t="n">
        <v>2</v>
      </c>
      <c r="I4042" s="20" t="n">
        <v>69.68</v>
      </c>
      <c r="J4042" s="20" t="n">
        <v>125.44</v>
      </c>
      <c r="K4042" s="18" t="n">
        <v>2</v>
      </c>
      <c r="L4042" s="18" t="n">
        <v>1</v>
      </c>
      <c r="M4042" s="18" t="n">
        <v>40</v>
      </c>
      <c r="N4042" s="18" t="n">
        <v>40</v>
      </c>
      <c r="O4042" s="14" t="s">
        <v>1126</v>
      </c>
      <c r="P4042" s="14" t="s">
        <v>84</v>
      </c>
      <c r="Q4042" s="15" t="s">
        <v>1089</v>
      </c>
      <c r="R4042" s="16" t="s">
        <v>25026</v>
      </c>
      <c r="S4042" s="15" t="s">
        <v>25027</v>
      </c>
      <c r="T4042" s="15" t="s">
        <v>25028</v>
      </c>
      <c r="U4042" s="21" t="s">
        <v>72</v>
      </c>
    </row>
    <row r="4043" customFormat="false" ht="15" hidden="false" customHeight="false" outlineLevel="0" collapsed="false">
      <c r="A4043" s="15" t="s">
        <v>23371</v>
      </c>
      <c r="B4043" s="15" t="s">
        <v>24932</v>
      </c>
      <c r="C4043" s="14" t="s">
        <v>17906</v>
      </c>
      <c r="D4043" s="14" t="s">
        <v>25029</v>
      </c>
      <c r="E4043" s="16" t="s">
        <v>25030</v>
      </c>
      <c r="F4043" s="16" t="s">
        <v>25031</v>
      </c>
      <c r="G4043" s="23" t="s">
        <v>43</v>
      </c>
      <c r="H4043" s="18" t="n">
        <v>2</v>
      </c>
      <c r="I4043" s="20" t="n">
        <v>93.3</v>
      </c>
      <c r="J4043" s="20" t="n">
        <v>181.56</v>
      </c>
      <c r="K4043" s="18" t="n">
        <v>1</v>
      </c>
      <c r="L4043" s="18" t="n">
        <v>1</v>
      </c>
      <c r="M4043" s="18" t="n">
        <v>60</v>
      </c>
      <c r="N4043" s="18" t="n">
        <v>60</v>
      </c>
      <c r="O4043" s="14" t="s">
        <v>1126</v>
      </c>
      <c r="P4043" s="14" t="s">
        <v>84</v>
      </c>
      <c r="Q4043" s="15" t="s">
        <v>1089</v>
      </c>
      <c r="R4043" s="16" t="s">
        <v>25032</v>
      </c>
      <c r="S4043" s="15" t="s">
        <v>25033</v>
      </c>
      <c r="T4043" s="15" t="s">
        <v>25033</v>
      </c>
      <c r="U4043" s="21" t="s">
        <v>72</v>
      </c>
    </row>
    <row r="4044" customFormat="false" ht="15" hidden="false" customHeight="false" outlineLevel="0" collapsed="false">
      <c r="A4044" s="15" t="s">
        <v>23371</v>
      </c>
      <c r="B4044" s="15" t="s">
        <v>24932</v>
      </c>
      <c r="C4044" s="14" t="s">
        <v>25034</v>
      </c>
      <c r="D4044" s="14" t="s">
        <v>25035</v>
      </c>
      <c r="E4044" s="16" t="s">
        <v>25036</v>
      </c>
      <c r="F4044" s="16" t="s">
        <v>25037</v>
      </c>
      <c r="G4044" s="23" t="s">
        <v>43</v>
      </c>
      <c r="H4044" s="18" t="n">
        <v>1</v>
      </c>
      <c r="I4044" s="20" t="n">
        <v>30.27</v>
      </c>
      <c r="J4044" s="20" t="n">
        <v>80.43</v>
      </c>
      <c r="K4044" s="18" t="n">
        <v>1</v>
      </c>
      <c r="L4044" s="18" t="n">
        <v>3</v>
      </c>
      <c r="M4044" s="18" t="n">
        <v>30</v>
      </c>
      <c r="N4044" s="18" t="n">
        <v>30</v>
      </c>
      <c r="O4044" s="14" t="s">
        <v>1126</v>
      </c>
      <c r="P4044" s="14" t="s">
        <v>84</v>
      </c>
      <c r="Q4044" s="15" t="s">
        <v>1089</v>
      </c>
      <c r="R4044" s="16" t="s">
        <v>15430</v>
      </c>
      <c r="S4044" s="15" t="s">
        <v>25038</v>
      </c>
      <c r="T4044" s="15" t="s">
        <v>25038</v>
      </c>
      <c r="U4044" s="21" t="s">
        <v>72</v>
      </c>
    </row>
    <row r="4045" customFormat="false" ht="15" hidden="false" customHeight="false" outlineLevel="0" collapsed="false">
      <c r="A4045" s="15" t="s">
        <v>23371</v>
      </c>
      <c r="B4045" s="15" t="s">
        <v>24932</v>
      </c>
      <c r="C4045" s="14" t="s">
        <v>25039</v>
      </c>
      <c r="D4045" s="14" t="s">
        <v>25040</v>
      </c>
      <c r="E4045" s="16" t="s">
        <v>25041</v>
      </c>
      <c r="F4045" s="16" t="s">
        <v>1595</v>
      </c>
      <c r="G4045" s="23" t="s">
        <v>43</v>
      </c>
      <c r="H4045" s="18" t="n">
        <v>2</v>
      </c>
      <c r="I4045" s="20" t="n">
        <v>57.2</v>
      </c>
      <c r="J4045" s="20" t="n">
        <v>97.92</v>
      </c>
      <c r="K4045" s="18" t="n">
        <v>4</v>
      </c>
      <c r="L4045" s="18" t="n">
        <v>4</v>
      </c>
      <c r="M4045" s="18" t="n">
        <v>60</v>
      </c>
      <c r="N4045" s="18" t="n">
        <v>60</v>
      </c>
      <c r="O4045" s="14" t="s">
        <v>1088</v>
      </c>
      <c r="P4045" s="14" t="s">
        <v>84</v>
      </c>
      <c r="Q4045" s="15" t="s">
        <v>1089</v>
      </c>
      <c r="R4045" s="16" t="s">
        <v>25042</v>
      </c>
      <c r="S4045" s="15" t="s">
        <v>1597</v>
      </c>
      <c r="T4045" s="15" t="s">
        <v>25043</v>
      </c>
      <c r="U4045" s="21" t="s">
        <v>72</v>
      </c>
    </row>
    <row r="4046" customFormat="false" ht="15" hidden="false" customHeight="false" outlineLevel="0" collapsed="false">
      <c r="A4046" s="15" t="s">
        <v>25044</v>
      </c>
      <c r="B4046" s="15" t="s">
        <v>25045</v>
      </c>
      <c r="C4046" s="14" t="s">
        <v>25046</v>
      </c>
      <c r="D4046" s="14" t="s">
        <v>25047</v>
      </c>
      <c r="E4046" s="16" t="s">
        <v>25048</v>
      </c>
      <c r="F4046" s="16" t="s">
        <v>25049</v>
      </c>
      <c r="G4046" s="23" t="s">
        <v>43</v>
      </c>
      <c r="H4046" s="18" t="n">
        <v>2</v>
      </c>
      <c r="I4046" s="20" t="n">
        <v>89.73</v>
      </c>
      <c r="J4046" s="20" t="n">
        <v>112.76</v>
      </c>
      <c r="K4046" s="18" t="n">
        <v>6</v>
      </c>
      <c r="L4046" s="18" t="n">
        <v>5</v>
      </c>
      <c r="M4046" s="18" t="n">
        <v>108</v>
      </c>
      <c r="N4046" s="18" t="n">
        <v>90</v>
      </c>
      <c r="O4046" s="14" t="s">
        <v>1088</v>
      </c>
      <c r="P4046" s="14" t="s">
        <v>84</v>
      </c>
      <c r="Q4046" s="15" t="s">
        <v>1089</v>
      </c>
      <c r="R4046" s="16" t="s">
        <v>25050</v>
      </c>
      <c r="S4046" s="15" t="s">
        <v>25051</v>
      </c>
      <c r="T4046" s="15" t="s">
        <v>25051</v>
      </c>
      <c r="U4046" s="21" t="s">
        <v>72</v>
      </c>
    </row>
    <row r="4047" customFormat="false" ht="15" hidden="false" customHeight="false" outlineLevel="0" collapsed="false">
      <c r="A4047" s="15" t="s">
        <v>25044</v>
      </c>
      <c r="B4047" s="15" t="s">
        <v>25045</v>
      </c>
      <c r="C4047" s="14" t="s">
        <v>25052</v>
      </c>
      <c r="D4047" s="14" t="s">
        <v>25053</v>
      </c>
      <c r="E4047" s="16" t="s">
        <v>25054</v>
      </c>
      <c r="F4047" s="16" t="s">
        <v>25055</v>
      </c>
      <c r="G4047" s="25" t="s">
        <v>39</v>
      </c>
      <c r="H4047" s="18" t="n">
        <v>14</v>
      </c>
      <c r="I4047" s="20" t="n">
        <v>416</v>
      </c>
      <c r="J4047" s="20" t="n">
        <v>1088.25</v>
      </c>
      <c r="K4047" s="18" t="n">
        <v>13</v>
      </c>
      <c r="L4047" s="18" t="n">
        <v>23</v>
      </c>
      <c r="M4047" s="18" t="n">
        <v>235</v>
      </c>
      <c r="N4047" s="18" t="n">
        <v>110</v>
      </c>
      <c r="O4047" s="14" t="s">
        <v>25056</v>
      </c>
      <c r="P4047" s="14" t="s">
        <v>84</v>
      </c>
      <c r="Q4047" s="15" t="s">
        <v>1089</v>
      </c>
      <c r="R4047" s="16" t="s">
        <v>25057</v>
      </c>
      <c r="S4047" s="15" t="s">
        <v>25058</v>
      </c>
      <c r="T4047" s="15" t="s">
        <v>25058</v>
      </c>
      <c r="U4047" s="21" t="s">
        <v>72</v>
      </c>
    </row>
    <row r="4048" customFormat="false" ht="15" hidden="false" customHeight="false" outlineLevel="0" collapsed="false">
      <c r="A4048" s="15" t="s">
        <v>25044</v>
      </c>
      <c r="B4048" s="15" t="s">
        <v>25045</v>
      </c>
      <c r="C4048" s="14" t="s">
        <v>25059</v>
      </c>
      <c r="D4048" s="14" t="s">
        <v>25060</v>
      </c>
      <c r="E4048" s="16" t="s">
        <v>25061</v>
      </c>
      <c r="F4048" s="16" t="s">
        <v>25062</v>
      </c>
      <c r="G4048" s="23" t="s">
        <v>43</v>
      </c>
      <c r="H4048" s="18" t="n">
        <v>1</v>
      </c>
      <c r="I4048" s="20" t="n">
        <v>58.43</v>
      </c>
      <c r="J4048" s="20" t="n">
        <v>58.43</v>
      </c>
      <c r="K4048" s="18" t="n">
        <v>2</v>
      </c>
      <c r="L4048" s="18" t="n">
        <v>1</v>
      </c>
      <c r="M4048" s="18" t="n">
        <v>40</v>
      </c>
      <c r="N4048" s="18" t="n">
        <v>20</v>
      </c>
      <c r="O4048" s="14" t="s">
        <v>1126</v>
      </c>
      <c r="P4048" s="14" t="s">
        <v>94</v>
      </c>
      <c r="Q4048" s="15" t="s">
        <v>1089</v>
      </c>
      <c r="R4048" s="16" t="s">
        <v>4844</v>
      </c>
      <c r="S4048" s="15" t="s">
        <v>25063</v>
      </c>
      <c r="T4048" s="15" t="s">
        <v>25064</v>
      </c>
      <c r="U4048" s="21" t="s">
        <v>72</v>
      </c>
    </row>
    <row r="4049" customFormat="false" ht="15" hidden="false" customHeight="false" outlineLevel="0" collapsed="false">
      <c r="A4049" s="15" t="s">
        <v>25044</v>
      </c>
      <c r="B4049" s="15" t="s">
        <v>25045</v>
      </c>
      <c r="C4049" s="14" t="s">
        <v>25065</v>
      </c>
      <c r="D4049" s="14" t="s">
        <v>25066</v>
      </c>
      <c r="E4049" s="16" t="s">
        <v>25067</v>
      </c>
      <c r="F4049" s="16" t="s">
        <v>25068</v>
      </c>
      <c r="G4049" s="23" t="s">
        <v>43</v>
      </c>
      <c r="H4049" s="18" t="n">
        <v>2</v>
      </c>
      <c r="I4049" s="20" t="n">
        <v>59.84</v>
      </c>
      <c r="J4049" s="20" t="n">
        <v>150.86</v>
      </c>
      <c r="K4049" s="18" t="n">
        <v>2</v>
      </c>
      <c r="L4049" s="18" t="n">
        <v>2</v>
      </c>
      <c r="M4049" s="18" t="n">
        <v>48</v>
      </c>
      <c r="N4049" s="18" t="n">
        <v>24</v>
      </c>
      <c r="O4049" s="14" t="s">
        <v>1126</v>
      </c>
      <c r="P4049" s="14" t="s">
        <v>84</v>
      </c>
      <c r="Q4049" s="15" t="s">
        <v>1089</v>
      </c>
      <c r="R4049" s="16" t="s">
        <v>17125</v>
      </c>
      <c r="S4049" s="15" t="s">
        <v>25069</v>
      </c>
      <c r="T4049" s="15" t="s">
        <v>25069</v>
      </c>
      <c r="U4049" s="21" t="s">
        <v>72</v>
      </c>
    </row>
    <row r="4050" customFormat="false" ht="15" hidden="false" customHeight="false" outlineLevel="0" collapsed="false">
      <c r="A4050" s="15" t="s">
        <v>25044</v>
      </c>
      <c r="B4050" s="15" t="s">
        <v>25045</v>
      </c>
      <c r="C4050" s="14" t="s">
        <v>25070</v>
      </c>
      <c r="D4050" s="14" t="s">
        <v>25071</v>
      </c>
      <c r="E4050" s="16" t="s">
        <v>25072</v>
      </c>
      <c r="F4050" s="16" t="s">
        <v>25073</v>
      </c>
      <c r="G4050" s="23" t="s">
        <v>43</v>
      </c>
      <c r="H4050" s="18" t="n">
        <v>1</v>
      </c>
      <c r="I4050" s="20" t="n">
        <v>30.6</v>
      </c>
      <c r="J4050" s="20" t="n">
        <v>116.53</v>
      </c>
      <c r="K4050" s="18" t="n">
        <v>2</v>
      </c>
      <c r="L4050" s="18" t="n">
        <v>2</v>
      </c>
      <c r="M4050" s="18" t="n">
        <v>24</v>
      </c>
      <c r="N4050" s="18" t="n">
        <v>24</v>
      </c>
      <c r="O4050" s="14" t="s">
        <v>1088</v>
      </c>
      <c r="P4050" s="14" t="s">
        <v>84</v>
      </c>
      <c r="Q4050" s="15" t="s">
        <v>1089</v>
      </c>
      <c r="R4050" s="16" t="s">
        <v>25074</v>
      </c>
      <c r="S4050" s="15" t="s">
        <v>25075</v>
      </c>
      <c r="T4050" s="15" t="s">
        <v>25075</v>
      </c>
      <c r="U4050" s="21" t="s">
        <v>72</v>
      </c>
    </row>
    <row r="4051" customFormat="false" ht="26.85" hidden="false" customHeight="false" outlineLevel="0" collapsed="false">
      <c r="A4051" s="15" t="s">
        <v>25044</v>
      </c>
      <c r="B4051" s="15" t="s">
        <v>25045</v>
      </c>
      <c r="C4051" s="14" t="s">
        <v>25076</v>
      </c>
      <c r="D4051" s="14" t="s">
        <v>25077</v>
      </c>
      <c r="E4051" s="16" t="s">
        <v>25078</v>
      </c>
      <c r="F4051" s="16" t="s">
        <v>25079</v>
      </c>
      <c r="G4051" s="23" t="s">
        <v>43</v>
      </c>
      <c r="H4051" s="18" t="n">
        <v>2</v>
      </c>
      <c r="I4051" s="20" t="n">
        <v>112.76</v>
      </c>
      <c r="J4051" s="20" t="n">
        <v>112.76</v>
      </c>
      <c r="K4051" s="18" t="n">
        <v>20</v>
      </c>
      <c r="L4051" s="18" t="n">
        <v>5</v>
      </c>
      <c r="M4051" s="18" t="n">
        <v>400</v>
      </c>
      <c r="N4051" s="18" t="n">
        <v>160</v>
      </c>
      <c r="O4051" s="14" t="s">
        <v>25080</v>
      </c>
      <c r="P4051" s="14" t="s">
        <v>25081</v>
      </c>
      <c r="Q4051" s="15" t="s">
        <v>1089</v>
      </c>
      <c r="R4051" s="16" t="s">
        <v>25082</v>
      </c>
      <c r="S4051" s="15" t="s">
        <v>25083</v>
      </c>
      <c r="T4051" s="15" t="s">
        <v>25083</v>
      </c>
      <c r="U4051" s="21" t="s">
        <v>72</v>
      </c>
    </row>
    <row r="4052" customFormat="false" ht="15" hidden="false" customHeight="false" outlineLevel="0" collapsed="false">
      <c r="A4052" s="15" t="s">
        <v>25044</v>
      </c>
      <c r="B4052" s="15" t="s">
        <v>25045</v>
      </c>
      <c r="C4052" s="14" t="s">
        <v>25084</v>
      </c>
      <c r="D4052" s="14" t="s">
        <v>25085</v>
      </c>
      <c r="E4052" s="16" t="s">
        <v>25086</v>
      </c>
      <c r="F4052" s="16" t="s">
        <v>25087</v>
      </c>
      <c r="G4052" s="23" t="s">
        <v>43</v>
      </c>
      <c r="H4052" s="18" t="n">
        <v>2</v>
      </c>
      <c r="I4052" s="20" t="n">
        <v>42</v>
      </c>
      <c r="J4052" s="20" t="n">
        <v>141.29</v>
      </c>
      <c r="K4052" s="18" t="n">
        <v>15</v>
      </c>
      <c r="L4052" s="18" t="n">
        <v>10</v>
      </c>
      <c r="M4052" s="18" t="n">
        <v>225</v>
      </c>
      <c r="N4052" s="18" t="n">
        <v>45</v>
      </c>
      <c r="O4052" s="14" t="s">
        <v>3724</v>
      </c>
      <c r="P4052" s="14" t="s">
        <v>84</v>
      </c>
      <c r="Q4052" s="15" t="s">
        <v>1089</v>
      </c>
      <c r="R4052" s="16" t="s">
        <v>14399</v>
      </c>
      <c r="S4052" s="15" t="s">
        <v>25088</v>
      </c>
      <c r="T4052" s="15" t="s">
        <v>25088</v>
      </c>
      <c r="U4052" s="21" t="s">
        <v>72</v>
      </c>
    </row>
    <row r="4053" customFormat="false" ht="15" hidden="false" customHeight="false" outlineLevel="0" collapsed="false">
      <c r="A4053" s="15" t="s">
        <v>25044</v>
      </c>
      <c r="B4053" s="15" t="s">
        <v>25045</v>
      </c>
      <c r="C4053" s="14" t="s">
        <v>25089</v>
      </c>
      <c r="D4053" s="14" t="s">
        <v>25090</v>
      </c>
      <c r="E4053" s="16" t="s">
        <v>25091</v>
      </c>
      <c r="F4053" s="16" t="s">
        <v>25092</v>
      </c>
      <c r="G4053" s="23" t="s">
        <v>43</v>
      </c>
      <c r="H4053" s="18" t="n">
        <v>2</v>
      </c>
      <c r="I4053" s="20" t="n">
        <v>49.18</v>
      </c>
      <c r="J4053" s="20" t="n">
        <v>75.39</v>
      </c>
      <c r="K4053" s="18" t="n">
        <v>2</v>
      </c>
      <c r="L4053" s="18" t="n">
        <v>3</v>
      </c>
      <c r="M4053" s="18" t="n">
        <v>40</v>
      </c>
      <c r="N4053" s="18" t="n">
        <v>40</v>
      </c>
      <c r="O4053" s="14" t="s">
        <v>1097</v>
      </c>
      <c r="P4053" s="14" t="s">
        <v>84</v>
      </c>
      <c r="Q4053" s="15" t="s">
        <v>1089</v>
      </c>
      <c r="R4053" s="16" t="s">
        <v>25093</v>
      </c>
      <c r="S4053" s="15" t="s">
        <v>25094</v>
      </c>
      <c r="T4053" s="15" t="s">
        <v>25094</v>
      </c>
      <c r="U4053" s="21" t="s">
        <v>72</v>
      </c>
    </row>
    <row r="4054" customFormat="false" ht="15" hidden="false" customHeight="false" outlineLevel="0" collapsed="false">
      <c r="A4054" s="15" t="s">
        <v>25044</v>
      </c>
      <c r="B4054" s="15" t="s">
        <v>25095</v>
      </c>
      <c r="C4054" s="14" t="s">
        <v>25096</v>
      </c>
      <c r="D4054" s="14" t="s">
        <v>25097</v>
      </c>
      <c r="E4054" s="16" t="s">
        <v>25098</v>
      </c>
      <c r="F4054" s="16" t="s">
        <v>25099</v>
      </c>
      <c r="G4054" s="23" t="s">
        <v>43</v>
      </c>
      <c r="H4054" s="18" t="n">
        <v>1</v>
      </c>
      <c r="I4054" s="20" t="n">
        <v>31.2</v>
      </c>
      <c r="J4054" s="20" t="n">
        <v>64.4</v>
      </c>
      <c r="K4054" s="18" t="n">
        <v>2</v>
      </c>
      <c r="L4054" s="18" t="n">
        <v>3</v>
      </c>
      <c r="M4054" s="18" t="n">
        <v>52</v>
      </c>
      <c r="N4054" s="18" t="n">
        <v>26</v>
      </c>
      <c r="O4054" s="14" t="s">
        <v>1097</v>
      </c>
      <c r="P4054" s="14" t="s">
        <v>84</v>
      </c>
      <c r="Q4054" s="15" t="s">
        <v>1089</v>
      </c>
      <c r="R4054" s="16" t="s">
        <v>25100</v>
      </c>
      <c r="S4054" s="15" t="s">
        <v>25101</v>
      </c>
      <c r="T4054" s="15" t="s">
        <v>25101</v>
      </c>
      <c r="U4054" s="21" t="s">
        <v>72</v>
      </c>
    </row>
    <row r="4055" customFormat="false" ht="15" hidden="false" customHeight="false" outlineLevel="0" collapsed="false">
      <c r="A4055" s="15" t="s">
        <v>25044</v>
      </c>
      <c r="B4055" s="15" t="s">
        <v>25095</v>
      </c>
      <c r="C4055" s="14" t="s">
        <v>25102</v>
      </c>
      <c r="D4055" s="14" t="s">
        <v>25103</v>
      </c>
      <c r="E4055" s="16" t="s">
        <v>25104</v>
      </c>
      <c r="F4055" s="16"/>
      <c r="G4055" s="23" t="s">
        <v>43</v>
      </c>
      <c r="H4055" s="18" t="n">
        <v>2</v>
      </c>
      <c r="I4055" s="20" t="n">
        <v>103.28</v>
      </c>
      <c r="J4055" s="20" t="n">
        <v>145.85</v>
      </c>
      <c r="K4055" s="18" t="n">
        <v>2</v>
      </c>
      <c r="L4055" s="18" t="n">
        <v>1</v>
      </c>
      <c r="M4055" s="18" t="n">
        <v>14</v>
      </c>
      <c r="N4055" s="18" t="n">
        <v>14</v>
      </c>
      <c r="O4055" s="14" t="s">
        <v>1126</v>
      </c>
      <c r="P4055" s="14" t="s">
        <v>84</v>
      </c>
      <c r="Q4055" s="15" t="s">
        <v>1089</v>
      </c>
      <c r="R4055" s="16" t="s">
        <v>25105</v>
      </c>
      <c r="S4055" s="15" t="s">
        <v>25106</v>
      </c>
      <c r="T4055" s="15" t="s">
        <v>25107</v>
      </c>
      <c r="U4055" s="21" t="s">
        <v>72</v>
      </c>
    </row>
    <row r="4056" customFormat="false" ht="15" hidden="false" customHeight="false" outlineLevel="0" collapsed="false">
      <c r="A4056" s="15" t="s">
        <v>25044</v>
      </c>
      <c r="B4056" s="15" t="s">
        <v>25095</v>
      </c>
      <c r="C4056" s="14" t="s">
        <v>25108</v>
      </c>
      <c r="D4056" s="14" t="s">
        <v>25109</v>
      </c>
      <c r="E4056" s="16" t="s">
        <v>25110</v>
      </c>
      <c r="F4056" s="16" t="s">
        <v>25111</v>
      </c>
      <c r="G4056" s="19" t="s">
        <v>41</v>
      </c>
      <c r="H4056" s="18" t="n">
        <v>2</v>
      </c>
      <c r="I4056" s="20" t="n">
        <v>78</v>
      </c>
      <c r="J4056" s="20" t="n">
        <v>266.3</v>
      </c>
      <c r="K4056" s="18" t="n">
        <v>1</v>
      </c>
      <c r="L4056" s="18" t="n">
        <v>1</v>
      </c>
      <c r="M4056" s="18" t="n">
        <v>16</v>
      </c>
      <c r="N4056" s="18" t="n">
        <v>16</v>
      </c>
      <c r="O4056" s="14" t="s">
        <v>1097</v>
      </c>
      <c r="P4056" s="14" t="s">
        <v>84</v>
      </c>
      <c r="Q4056" s="15" t="s">
        <v>1089</v>
      </c>
      <c r="R4056" s="16" t="s">
        <v>973</v>
      </c>
      <c r="S4056" s="15" t="s">
        <v>25112</v>
      </c>
      <c r="T4056" s="15" t="s">
        <v>25112</v>
      </c>
      <c r="U4056" s="21" t="s">
        <v>72</v>
      </c>
    </row>
    <row r="4057" customFormat="false" ht="15" hidden="false" customHeight="false" outlineLevel="0" collapsed="false">
      <c r="A4057" s="15" t="s">
        <v>25044</v>
      </c>
      <c r="B4057" s="15" t="s">
        <v>25095</v>
      </c>
      <c r="C4057" s="14" t="s">
        <v>25113</v>
      </c>
      <c r="D4057" s="14" t="s">
        <v>25114</v>
      </c>
      <c r="E4057" s="16" t="s">
        <v>25115</v>
      </c>
      <c r="F4057" s="16" t="s">
        <v>25116</v>
      </c>
      <c r="G4057" s="23" t="s">
        <v>43</v>
      </c>
      <c r="H4057" s="18" t="n">
        <v>2</v>
      </c>
      <c r="I4057" s="20" t="n">
        <v>72</v>
      </c>
      <c r="J4057" s="20" t="n">
        <v>118.02</v>
      </c>
      <c r="K4057" s="18" t="n">
        <v>5</v>
      </c>
      <c r="L4057" s="18" t="n">
        <v>3</v>
      </c>
      <c r="M4057" s="18" t="n">
        <v>80</v>
      </c>
      <c r="N4057" s="18" t="n">
        <v>80</v>
      </c>
      <c r="O4057" s="14" t="s">
        <v>1097</v>
      </c>
      <c r="P4057" s="14" t="s">
        <v>118</v>
      </c>
      <c r="Q4057" s="15" t="s">
        <v>1089</v>
      </c>
      <c r="R4057" s="16" t="s">
        <v>25117</v>
      </c>
      <c r="S4057" s="15" t="s">
        <v>25118</v>
      </c>
      <c r="T4057" s="15" t="s">
        <v>25118</v>
      </c>
      <c r="U4057" s="21" t="s">
        <v>72</v>
      </c>
    </row>
    <row r="4058" customFormat="false" ht="15" hidden="false" customHeight="false" outlineLevel="0" collapsed="false">
      <c r="A4058" s="15" t="s">
        <v>25044</v>
      </c>
      <c r="B4058" s="15" t="s">
        <v>25095</v>
      </c>
      <c r="C4058" s="14" t="s">
        <v>25119</v>
      </c>
      <c r="D4058" s="14" t="s">
        <v>25120</v>
      </c>
      <c r="E4058" s="16" t="s">
        <v>25121</v>
      </c>
      <c r="F4058" s="16" t="s">
        <v>25122</v>
      </c>
      <c r="G4058" s="23" t="s">
        <v>43</v>
      </c>
      <c r="H4058" s="18" t="n">
        <v>1</v>
      </c>
      <c r="I4058" s="20" t="n">
        <v>43.2</v>
      </c>
      <c r="J4058" s="20" t="n">
        <v>43.2</v>
      </c>
      <c r="K4058" s="18" t="n">
        <v>5</v>
      </c>
      <c r="L4058" s="18" t="n">
        <v>4</v>
      </c>
      <c r="M4058" s="18" t="n">
        <v>117</v>
      </c>
      <c r="N4058" s="18" t="n">
        <v>49</v>
      </c>
      <c r="O4058" s="14" t="s">
        <v>1097</v>
      </c>
      <c r="P4058" s="14" t="s">
        <v>84</v>
      </c>
      <c r="Q4058" s="15" t="s">
        <v>1089</v>
      </c>
      <c r="R4058" s="16" t="s">
        <v>25123</v>
      </c>
      <c r="S4058" s="15" t="s">
        <v>25124</v>
      </c>
      <c r="T4058" s="15" t="s">
        <v>25124</v>
      </c>
      <c r="U4058" s="21" t="s">
        <v>72</v>
      </c>
    </row>
    <row r="4059" customFormat="false" ht="15" hidden="false" customHeight="false" outlineLevel="0" collapsed="false">
      <c r="A4059" s="15" t="s">
        <v>25044</v>
      </c>
      <c r="B4059" s="15" t="s">
        <v>25095</v>
      </c>
      <c r="C4059" s="14" t="s">
        <v>25125</v>
      </c>
      <c r="D4059" s="14" t="s">
        <v>25126</v>
      </c>
      <c r="E4059" s="16" t="s">
        <v>25127</v>
      </c>
      <c r="F4059" s="16" t="s">
        <v>25128</v>
      </c>
      <c r="G4059" s="23" t="s">
        <v>43</v>
      </c>
      <c r="H4059" s="18" t="n">
        <v>4</v>
      </c>
      <c r="I4059" s="20" t="n">
        <v>84.43</v>
      </c>
      <c r="J4059" s="20" t="n">
        <v>148.24</v>
      </c>
      <c r="K4059" s="18" t="n">
        <v>11</v>
      </c>
      <c r="L4059" s="18" t="n">
        <v>4</v>
      </c>
      <c r="M4059" s="18" t="n">
        <v>154</v>
      </c>
      <c r="N4059" s="18" t="n">
        <v>84</v>
      </c>
      <c r="O4059" s="14" t="s">
        <v>1097</v>
      </c>
      <c r="P4059" s="14" t="s">
        <v>118</v>
      </c>
      <c r="Q4059" s="15" t="s">
        <v>1089</v>
      </c>
      <c r="R4059" s="16" t="s">
        <v>3151</v>
      </c>
      <c r="S4059" s="15" t="s">
        <v>25129</v>
      </c>
      <c r="T4059" s="15" t="s">
        <v>25129</v>
      </c>
      <c r="U4059" s="21" t="s">
        <v>72</v>
      </c>
    </row>
    <row r="4060" customFormat="false" ht="15" hidden="false" customHeight="false" outlineLevel="0" collapsed="false">
      <c r="A4060" s="15" t="s">
        <v>25044</v>
      </c>
      <c r="B4060" s="15" t="s">
        <v>25095</v>
      </c>
      <c r="C4060" s="14" t="s">
        <v>25130</v>
      </c>
      <c r="D4060" s="14" t="s">
        <v>25131</v>
      </c>
      <c r="E4060" s="16" t="s">
        <v>25132</v>
      </c>
      <c r="F4060" s="16" t="s">
        <v>25133</v>
      </c>
      <c r="G4060" s="23" t="s">
        <v>43</v>
      </c>
      <c r="H4060" s="18" t="n">
        <v>2</v>
      </c>
      <c r="I4060" s="20" t="n">
        <v>72.48</v>
      </c>
      <c r="J4060" s="20" t="n">
        <v>195.56</v>
      </c>
      <c r="K4060" s="18" t="n">
        <v>4</v>
      </c>
      <c r="L4060" s="18" t="n">
        <v>5</v>
      </c>
      <c r="M4060" s="18" t="n">
        <v>80</v>
      </c>
      <c r="N4060" s="18" t="n">
        <v>80</v>
      </c>
      <c r="O4060" s="14" t="s">
        <v>3724</v>
      </c>
      <c r="P4060" s="14" t="s">
        <v>84</v>
      </c>
      <c r="Q4060" s="15" t="s">
        <v>1089</v>
      </c>
      <c r="R4060" s="16" t="s">
        <v>25134</v>
      </c>
      <c r="S4060" s="15" t="s">
        <v>25135</v>
      </c>
      <c r="T4060" s="15" t="s">
        <v>25135</v>
      </c>
      <c r="U4060" s="21" t="s">
        <v>72</v>
      </c>
    </row>
    <row r="4061" customFormat="false" ht="15" hidden="false" customHeight="false" outlineLevel="0" collapsed="false">
      <c r="A4061" s="15" t="s">
        <v>25044</v>
      </c>
      <c r="B4061" s="15" t="s">
        <v>25095</v>
      </c>
      <c r="C4061" s="14" t="s">
        <v>25136</v>
      </c>
      <c r="D4061" s="14" t="s">
        <v>25137</v>
      </c>
      <c r="E4061" s="16" t="s">
        <v>25138</v>
      </c>
      <c r="F4061" s="16" t="s">
        <v>25139</v>
      </c>
      <c r="G4061" s="23" t="s">
        <v>43</v>
      </c>
      <c r="H4061" s="18" t="n">
        <v>2</v>
      </c>
      <c r="I4061" s="20" t="n">
        <v>70.88</v>
      </c>
      <c r="J4061" s="20" t="n">
        <v>117.51</v>
      </c>
      <c r="K4061" s="18" t="n">
        <v>6</v>
      </c>
      <c r="L4061" s="18" t="n">
        <v>2</v>
      </c>
      <c r="M4061" s="18" t="n">
        <v>90</v>
      </c>
      <c r="N4061" s="18" t="n">
        <v>30</v>
      </c>
      <c r="O4061" s="14" t="s">
        <v>25140</v>
      </c>
      <c r="P4061" s="14" t="s">
        <v>84</v>
      </c>
      <c r="Q4061" s="15" t="s">
        <v>1089</v>
      </c>
      <c r="R4061" s="16" t="s">
        <v>9096</v>
      </c>
      <c r="S4061" s="15" t="s">
        <v>25141</v>
      </c>
      <c r="T4061" s="15" t="s">
        <v>25141</v>
      </c>
      <c r="U4061" s="21" t="s">
        <v>72</v>
      </c>
    </row>
    <row r="4062" customFormat="false" ht="15" hidden="false" customHeight="false" outlineLevel="0" collapsed="false">
      <c r="A4062" s="15" t="s">
        <v>25044</v>
      </c>
      <c r="B4062" s="15" t="s">
        <v>25095</v>
      </c>
      <c r="C4062" s="14" t="s">
        <v>25142</v>
      </c>
      <c r="D4062" s="14" t="s">
        <v>25143</v>
      </c>
      <c r="E4062" s="16" t="s">
        <v>25144</v>
      </c>
      <c r="F4062" s="16"/>
      <c r="G4062" s="23" t="s">
        <v>43</v>
      </c>
      <c r="H4062" s="18" t="n">
        <v>1</v>
      </c>
      <c r="I4062" s="20" t="n">
        <v>40</v>
      </c>
      <c r="J4062" s="20" t="n">
        <v>143.5</v>
      </c>
      <c r="K4062" s="18" t="n">
        <v>1</v>
      </c>
      <c r="L4062" s="18" t="n">
        <v>3</v>
      </c>
      <c r="M4062" s="18" t="n">
        <v>16</v>
      </c>
      <c r="N4062" s="18" t="n">
        <v>16</v>
      </c>
      <c r="O4062" s="14" t="s">
        <v>1126</v>
      </c>
      <c r="P4062" s="14" t="s">
        <v>84</v>
      </c>
      <c r="Q4062" s="15" t="s">
        <v>1089</v>
      </c>
      <c r="R4062" s="16" t="s">
        <v>8705</v>
      </c>
      <c r="S4062" s="15" t="s">
        <v>25145</v>
      </c>
      <c r="T4062" s="15" t="s">
        <v>25145</v>
      </c>
      <c r="U4062" s="21" t="s">
        <v>72</v>
      </c>
    </row>
    <row r="4063" customFormat="false" ht="15" hidden="false" customHeight="false" outlineLevel="0" collapsed="false">
      <c r="A4063" s="15" t="s">
        <v>25044</v>
      </c>
      <c r="B4063" s="15" t="s">
        <v>25095</v>
      </c>
      <c r="C4063" s="14" t="s">
        <v>25146</v>
      </c>
      <c r="D4063" s="14" t="s">
        <v>25147</v>
      </c>
      <c r="E4063" s="16" t="s">
        <v>25148</v>
      </c>
      <c r="F4063" s="16" t="s">
        <v>25149</v>
      </c>
      <c r="G4063" s="23" t="s">
        <v>43</v>
      </c>
      <c r="H4063" s="18" t="n">
        <v>2</v>
      </c>
      <c r="I4063" s="20" t="n">
        <v>63.43</v>
      </c>
      <c r="J4063" s="20" t="n">
        <v>101.42</v>
      </c>
      <c r="K4063" s="18" t="n">
        <v>21</v>
      </c>
      <c r="L4063" s="18" t="n">
        <v>6</v>
      </c>
      <c r="M4063" s="18" t="n">
        <v>222</v>
      </c>
      <c r="N4063" s="18" t="n">
        <v>81</v>
      </c>
      <c r="O4063" s="14" t="s">
        <v>5962</v>
      </c>
      <c r="P4063" s="14" t="s">
        <v>118</v>
      </c>
      <c r="Q4063" s="15" t="s">
        <v>1089</v>
      </c>
      <c r="R4063" s="16" t="s">
        <v>25150</v>
      </c>
      <c r="S4063" s="15" t="s">
        <v>25151</v>
      </c>
      <c r="T4063" s="15" t="s">
        <v>25152</v>
      </c>
      <c r="U4063" s="21" t="s">
        <v>72</v>
      </c>
    </row>
    <row r="4064" customFormat="false" ht="15" hidden="false" customHeight="false" outlineLevel="0" collapsed="false">
      <c r="A4064" s="15" t="s">
        <v>25044</v>
      </c>
      <c r="B4064" s="15" t="s">
        <v>25153</v>
      </c>
      <c r="C4064" s="14" t="s">
        <v>25154</v>
      </c>
      <c r="D4064" s="14" t="s">
        <v>25155</v>
      </c>
      <c r="E4064" s="16" t="s">
        <v>25156</v>
      </c>
      <c r="F4064" s="16"/>
      <c r="G4064" s="23" t="s">
        <v>43</v>
      </c>
      <c r="H4064" s="18" t="n">
        <v>1</v>
      </c>
      <c r="I4064" s="20" t="n">
        <v>21.49</v>
      </c>
      <c r="J4064" s="20" t="n">
        <v>68.97</v>
      </c>
      <c r="K4064" s="18" t="n">
        <v>1</v>
      </c>
      <c r="L4064" s="18"/>
      <c r="M4064" s="18" t="n">
        <v>8</v>
      </c>
      <c r="N4064" s="18" t="n">
        <v>8</v>
      </c>
      <c r="O4064" s="14" t="s">
        <v>1126</v>
      </c>
      <c r="P4064" s="14" t="s">
        <v>84</v>
      </c>
      <c r="Q4064" s="15" t="s">
        <v>1089</v>
      </c>
      <c r="R4064" s="16" t="s">
        <v>25157</v>
      </c>
      <c r="S4064" s="15" t="s">
        <v>25158</v>
      </c>
      <c r="T4064" s="15" t="s">
        <v>25158</v>
      </c>
      <c r="U4064" s="21" t="s">
        <v>72</v>
      </c>
    </row>
    <row r="4065" customFormat="false" ht="15" hidden="false" customHeight="false" outlineLevel="0" collapsed="false">
      <c r="A4065" s="15" t="s">
        <v>25044</v>
      </c>
      <c r="B4065" s="15" t="s">
        <v>25153</v>
      </c>
      <c r="C4065" s="14" t="s">
        <v>25159</v>
      </c>
      <c r="D4065" s="14" t="s">
        <v>25160</v>
      </c>
      <c r="E4065" s="16" t="s">
        <v>25161</v>
      </c>
      <c r="F4065" s="16" t="s">
        <v>25162</v>
      </c>
      <c r="G4065" s="23" t="s">
        <v>43</v>
      </c>
      <c r="H4065" s="18" t="n">
        <v>3</v>
      </c>
      <c r="I4065" s="20" t="n">
        <v>49.69</v>
      </c>
      <c r="J4065" s="20" t="n">
        <v>91</v>
      </c>
      <c r="K4065" s="18" t="n">
        <v>2</v>
      </c>
      <c r="L4065" s="18" t="n">
        <v>1</v>
      </c>
      <c r="M4065" s="18" t="n">
        <v>24</v>
      </c>
      <c r="N4065" s="18" t="n">
        <v>24</v>
      </c>
      <c r="O4065" s="14" t="s">
        <v>1097</v>
      </c>
      <c r="P4065" s="14" t="s">
        <v>84</v>
      </c>
      <c r="Q4065" s="15" t="s">
        <v>1089</v>
      </c>
      <c r="R4065" s="16" t="s">
        <v>4775</v>
      </c>
      <c r="S4065" s="15" t="s">
        <v>25163</v>
      </c>
      <c r="T4065" s="15" t="s">
        <v>25163</v>
      </c>
      <c r="U4065" s="21" t="s">
        <v>72</v>
      </c>
    </row>
    <row r="4066" customFormat="false" ht="15" hidden="false" customHeight="false" outlineLevel="0" collapsed="false">
      <c r="A4066" s="15" t="s">
        <v>25044</v>
      </c>
      <c r="B4066" s="15" t="s">
        <v>25164</v>
      </c>
      <c r="C4066" s="14" t="s">
        <v>25165</v>
      </c>
      <c r="D4066" s="14" t="s">
        <v>25166</v>
      </c>
      <c r="E4066" s="16" t="s">
        <v>25167</v>
      </c>
      <c r="F4066" s="16" t="s">
        <v>25168</v>
      </c>
      <c r="G4066" s="23" t="s">
        <v>43</v>
      </c>
      <c r="H4066" s="18" t="n">
        <v>2</v>
      </c>
      <c r="I4066" s="20" t="n">
        <v>72.4</v>
      </c>
      <c r="J4066" s="20" t="n">
        <v>144.34</v>
      </c>
      <c r="K4066" s="18" t="n">
        <v>6</v>
      </c>
      <c r="L4066" s="18" t="n">
        <v>4</v>
      </c>
      <c r="M4066" s="18" t="n">
        <v>72</v>
      </c>
      <c r="N4066" s="18" t="n">
        <v>24</v>
      </c>
      <c r="O4066" s="14" t="s">
        <v>1088</v>
      </c>
      <c r="P4066" s="14" t="s">
        <v>84</v>
      </c>
      <c r="Q4066" s="15" t="s">
        <v>1089</v>
      </c>
      <c r="R4066" s="16" t="s">
        <v>25169</v>
      </c>
      <c r="S4066" s="15" t="s">
        <v>25170</v>
      </c>
      <c r="T4066" s="15" t="s">
        <v>25171</v>
      </c>
      <c r="U4066" s="21" t="s">
        <v>72</v>
      </c>
    </row>
    <row r="4067" customFormat="false" ht="15" hidden="false" customHeight="false" outlineLevel="0" collapsed="false">
      <c r="A4067" s="15" t="s">
        <v>25044</v>
      </c>
      <c r="B4067" s="15" t="s">
        <v>25164</v>
      </c>
      <c r="C4067" s="14" t="s">
        <v>25172</v>
      </c>
      <c r="D4067" s="14" t="s">
        <v>25173</v>
      </c>
      <c r="E4067" s="16" t="s">
        <v>25174</v>
      </c>
      <c r="F4067" s="16" t="s">
        <v>25175</v>
      </c>
      <c r="G4067" s="23" t="s">
        <v>43</v>
      </c>
      <c r="H4067" s="18" t="n">
        <v>2</v>
      </c>
      <c r="I4067" s="20" t="n">
        <v>46.087</v>
      </c>
      <c r="J4067" s="20" t="n">
        <v>83</v>
      </c>
      <c r="K4067" s="18" t="n">
        <v>4</v>
      </c>
      <c r="L4067" s="18" t="n">
        <v>2</v>
      </c>
      <c r="M4067" s="18" t="n">
        <v>40</v>
      </c>
      <c r="N4067" s="18" t="n">
        <v>40</v>
      </c>
      <c r="O4067" s="14" t="s">
        <v>1126</v>
      </c>
      <c r="P4067" s="14" t="s">
        <v>84</v>
      </c>
      <c r="Q4067" s="15" t="s">
        <v>1089</v>
      </c>
      <c r="R4067" s="16" t="s">
        <v>25169</v>
      </c>
      <c r="S4067" s="15" t="s">
        <v>25176</v>
      </c>
      <c r="T4067" s="15" t="s">
        <v>25176</v>
      </c>
      <c r="U4067" s="21" t="s">
        <v>72</v>
      </c>
    </row>
    <row r="4068" customFormat="false" ht="15" hidden="false" customHeight="false" outlineLevel="0" collapsed="false">
      <c r="A4068" s="15" t="s">
        <v>25044</v>
      </c>
      <c r="B4068" s="15" t="s">
        <v>25164</v>
      </c>
      <c r="C4068" s="14" t="s">
        <v>25177</v>
      </c>
      <c r="D4068" s="14" t="s">
        <v>25178</v>
      </c>
      <c r="E4068" s="16" t="s">
        <v>25179</v>
      </c>
      <c r="F4068" s="16"/>
      <c r="G4068" s="23" t="s">
        <v>43</v>
      </c>
      <c r="H4068" s="18" t="n">
        <v>2</v>
      </c>
      <c r="I4068" s="20" t="n">
        <v>39.61</v>
      </c>
      <c r="J4068" s="20" t="n">
        <v>112.52</v>
      </c>
      <c r="K4068" s="18" t="n">
        <v>2</v>
      </c>
      <c r="L4068" s="18" t="n">
        <v>4</v>
      </c>
      <c r="M4068" s="18" t="n">
        <v>30</v>
      </c>
      <c r="N4068" s="18" t="n">
        <v>30</v>
      </c>
      <c r="O4068" s="14" t="s">
        <v>1088</v>
      </c>
      <c r="P4068" s="14" t="s">
        <v>84</v>
      </c>
      <c r="Q4068" s="15" t="s">
        <v>1089</v>
      </c>
      <c r="R4068" s="16" t="s">
        <v>25180</v>
      </c>
      <c r="S4068" s="15" t="s">
        <v>25181</v>
      </c>
      <c r="T4068" s="15" t="s">
        <v>25181</v>
      </c>
      <c r="U4068" s="21" t="s">
        <v>72</v>
      </c>
    </row>
    <row r="4069" customFormat="false" ht="15" hidden="false" customHeight="false" outlineLevel="0" collapsed="false">
      <c r="A4069" s="15" t="s">
        <v>25044</v>
      </c>
      <c r="B4069" s="15" t="s">
        <v>25164</v>
      </c>
      <c r="C4069" s="14" t="s">
        <v>25182</v>
      </c>
      <c r="D4069" s="14" t="s">
        <v>25183</v>
      </c>
      <c r="E4069" s="16" t="s">
        <v>25184</v>
      </c>
      <c r="F4069" s="16" t="s">
        <v>25185</v>
      </c>
      <c r="G4069" s="25" t="s">
        <v>39</v>
      </c>
      <c r="H4069" s="18" t="n">
        <v>6</v>
      </c>
      <c r="I4069" s="20" t="n">
        <v>121</v>
      </c>
      <c r="J4069" s="20" t="n">
        <v>495.53</v>
      </c>
      <c r="K4069" s="18" t="n">
        <v>2</v>
      </c>
      <c r="L4069" s="18" t="n">
        <v>14</v>
      </c>
      <c r="M4069" s="18" t="n">
        <v>20</v>
      </c>
      <c r="N4069" s="18" t="n">
        <v>20</v>
      </c>
      <c r="O4069" s="14" t="s">
        <v>1088</v>
      </c>
      <c r="P4069" s="14" t="s">
        <v>84</v>
      </c>
      <c r="Q4069" s="15" t="s">
        <v>1089</v>
      </c>
      <c r="R4069" s="16" t="s">
        <v>883</v>
      </c>
      <c r="S4069" s="15" t="s">
        <v>25186</v>
      </c>
      <c r="T4069" s="15" t="s">
        <v>25187</v>
      </c>
      <c r="U4069" s="21" t="s">
        <v>72</v>
      </c>
    </row>
    <row r="4070" customFormat="false" ht="15" hidden="false" customHeight="false" outlineLevel="0" collapsed="false">
      <c r="A4070" s="15" t="s">
        <v>25044</v>
      </c>
      <c r="B4070" s="15" t="s">
        <v>25188</v>
      </c>
      <c r="C4070" s="14" t="s">
        <v>25189</v>
      </c>
      <c r="D4070" s="14" t="s">
        <v>25190</v>
      </c>
      <c r="E4070" s="16" t="s">
        <v>25191</v>
      </c>
      <c r="F4070" s="16" t="s">
        <v>25192</v>
      </c>
      <c r="G4070" s="23" t="s">
        <v>43</v>
      </c>
      <c r="H4070" s="18" t="n">
        <v>4</v>
      </c>
      <c r="I4070" s="20" t="n">
        <v>95</v>
      </c>
      <c r="J4070" s="20" t="n">
        <v>167.79</v>
      </c>
      <c r="K4070" s="18" t="n">
        <v>4</v>
      </c>
      <c r="L4070" s="18" t="n">
        <v>1</v>
      </c>
      <c r="M4070" s="18" t="n">
        <v>120</v>
      </c>
      <c r="N4070" s="18" t="n">
        <v>60</v>
      </c>
      <c r="O4070" s="14" t="s">
        <v>1088</v>
      </c>
      <c r="P4070" s="14" t="s">
        <v>84</v>
      </c>
      <c r="Q4070" s="15" t="s">
        <v>1089</v>
      </c>
      <c r="R4070" s="16" t="s">
        <v>25193</v>
      </c>
      <c r="S4070" s="15" t="s">
        <v>25194</v>
      </c>
      <c r="T4070" s="15" t="s">
        <v>25195</v>
      </c>
      <c r="U4070" s="21" t="s">
        <v>72</v>
      </c>
    </row>
    <row r="4071" customFormat="false" ht="15" hidden="false" customHeight="false" outlineLevel="0" collapsed="false">
      <c r="A4071" s="15" t="s">
        <v>25044</v>
      </c>
      <c r="B4071" s="15" t="s">
        <v>25188</v>
      </c>
      <c r="C4071" s="14" t="s">
        <v>25196</v>
      </c>
      <c r="D4071" s="14" t="s">
        <v>25197</v>
      </c>
      <c r="E4071" s="16" t="s">
        <v>25198</v>
      </c>
      <c r="F4071" s="16" t="s">
        <v>25199</v>
      </c>
      <c r="G4071" s="23" t="s">
        <v>43</v>
      </c>
      <c r="H4071" s="18" t="n">
        <v>3</v>
      </c>
      <c r="I4071" s="20" t="n">
        <v>46.25</v>
      </c>
      <c r="J4071" s="20" t="n">
        <v>106.69</v>
      </c>
      <c r="K4071" s="18" t="n">
        <v>13</v>
      </c>
      <c r="L4071" s="18" t="n">
        <v>5</v>
      </c>
      <c r="M4071" s="18" t="n">
        <v>140</v>
      </c>
      <c r="N4071" s="18" t="n">
        <v>40</v>
      </c>
      <c r="O4071" s="14" t="s">
        <v>1097</v>
      </c>
      <c r="P4071" s="14" t="s">
        <v>84</v>
      </c>
      <c r="Q4071" s="15" t="s">
        <v>1089</v>
      </c>
      <c r="R4071" s="16" t="s">
        <v>25200</v>
      </c>
      <c r="S4071" s="15" t="s">
        <v>25201</v>
      </c>
      <c r="T4071" s="15" t="s">
        <v>25202</v>
      </c>
      <c r="U4071" s="21" t="s">
        <v>72</v>
      </c>
    </row>
    <row r="4072" customFormat="false" ht="26.85" hidden="false" customHeight="false" outlineLevel="0" collapsed="false">
      <c r="A4072" s="15" t="s">
        <v>25044</v>
      </c>
      <c r="B4072" s="15" t="s">
        <v>25188</v>
      </c>
      <c r="C4072" s="14" t="s">
        <v>25203</v>
      </c>
      <c r="D4072" s="14" t="s">
        <v>25204</v>
      </c>
      <c r="E4072" s="16" t="s">
        <v>25205</v>
      </c>
      <c r="F4072" s="16" t="s">
        <v>25206</v>
      </c>
      <c r="G4072" s="23" t="s">
        <v>43</v>
      </c>
      <c r="H4072" s="18" t="n">
        <v>2</v>
      </c>
      <c r="I4072" s="20" t="n">
        <v>45.5</v>
      </c>
      <c r="J4072" s="20" t="n">
        <v>142.865</v>
      </c>
      <c r="K4072" s="18" t="n">
        <v>8</v>
      </c>
      <c r="L4072" s="18" t="n">
        <v>16</v>
      </c>
      <c r="M4072" s="18" t="n">
        <v>168</v>
      </c>
      <c r="N4072" s="18" t="n">
        <v>168</v>
      </c>
      <c r="O4072" s="14" t="s">
        <v>1088</v>
      </c>
      <c r="P4072" s="14" t="s">
        <v>84</v>
      </c>
      <c r="Q4072" s="15" t="s">
        <v>1089</v>
      </c>
      <c r="R4072" s="16" t="s">
        <v>25207</v>
      </c>
      <c r="S4072" s="15" t="s">
        <v>25208</v>
      </c>
      <c r="T4072" s="15" t="s">
        <v>25209</v>
      </c>
      <c r="U4072" s="21" t="s">
        <v>72</v>
      </c>
    </row>
    <row r="4073" customFormat="false" ht="15" hidden="false" customHeight="false" outlineLevel="0" collapsed="false">
      <c r="A4073" s="15" t="s">
        <v>25044</v>
      </c>
      <c r="B4073" s="15" t="s">
        <v>25188</v>
      </c>
      <c r="C4073" s="14" t="s">
        <v>25210</v>
      </c>
      <c r="D4073" s="14" t="s">
        <v>25211</v>
      </c>
      <c r="E4073" s="16" t="s">
        <v>25212</v>
      </c>
      <c r="F4073" s="16" t="s">
        <v>25213</v>
      </c>
      <c r="G4073" s="19" t="s">
        <v>41</v>
      </c>
      <c r="H4073" s="18" t="n">
        <v>6</v>
      </c>
      <c r="I4073" s="20" t="n">
        <v>177.08</v>
      </c>
      <c r="J4073" s="20" t="n">
        <v>241.42</v>
      </c>
      <c r="K4073" s="18" t="n">
        <v>11</v>
      </c>
      <c r="L4073" s="18" t="n">
        <v>15</v>
      </c>
      <c r="M4073" s="18" t="n">
        <v>110</v>
      </c>
      <c r="N4073" s="18" t="n">
        <v>60</v>
      </c>
      <c r="O4073" s="14" t="s">
        <v>3724</v>
      </c>
      <c r="P4073" s="14" t="s">
        <v>84</v>
      </c>
      <c r="Q4073" s="15" t="s">
        <v>1089</v>
      </c>
      <c r="R4073" s="16" t="s">
        <v>25214</v>
      </c>
      <c r="S4073" s="15" t="s">
        <v>25215</v>
      </c>
      <c r="T4073" s="15" t="s">
        <v>25215</v>
      </c>
      <c r="U4073" s="21" t="s">
        <v>72</v>
      </c>
    </row>
    <row r="4074" customFormat="false" ht="15" hidden="false" customHeight="false" outlineLevel="0" collapsed="false">
      <c r="A4074" s="15" t="s">
        <v>25044</v>
      </c>
      <c r="B4074" s="15" t="s">
        <v>25188</v>
      </c>
      <c r="C4074" s="14" t="s">
        <v>25216</v>
      </c>
      <c r="D4074" s="14" t="s">
        <v>25217</v>
      </c>
      <c r="E4074" s="16" t="s">
        <v>25218</v>
      </c>
      <c r="F4074" s="16" t="s">
        <v>25219</v>
      </c>
      <c r="G4074" s="23" t="s">
        <v>43</v>
      </c>
      <c r="H4074" s="18" t="n">
        <v>2</v>
      </c>
      <c r="I4074" s="20" t="n">
        <v>122.9</v>
      </c>
      <c r="J4074" s="20" t="n">
        <v>167.79</v>
      </c>
      <c r="K4074" s="18" t="n">
        <v>10</v>
      </c>
      <c r="L4074" s="18" t="n">
        <v>5</v>
      </c>
      <c r="M4074" s="18" t="n">
        <v>160</v>
      </c>
      <c r="N4074" s="18" t="n">
        <v>32</v>
      </c>
      <c r="O4074" s="14" t="s">
        <v>1097</v>
      </c>
      <c r="P4074" s="14" t="s">
        <v>84</v>
      </c>
      <c r="Q4074" s="15" t="s">
        <v>1089</v>
      </c>
      <c r="R4074" s="16" t="s">
        <v>18012</v>
      </c>
      <c r="S4074" s="15" t="s">
        <v>25220</v>
      </c>
      <c r="T4074" s="15" t="s">
        <v>25220</v>
      </c>
      <c r="U4074" s="21" t="s">
        <v>72</v>
      </c>
    </row>
    <row r="4075" customFormat="false" ht="26.85" hidden="false" customHeight="false" outlineLevel="0" collapsed="false">
      <c r="A4075" s="15" t="s">
        <v>25044</v>
      </c>
      <c r="B4075" s="15" t="s">
        <v>25188</v>
      </c>
      <c r="C4075" s="14" t="s">
        <v>25221</v>
      </c>
      <c r="D4075" s="14" t="s">
        <v>25222</v>
      </c>
      <c r="E4075" s="16" t="s">
        <v>25223</v>
      </c>
      <c r="F4075" s="16" t="s">
        <v>25224</v>
      </c>
      <c r="G4075" s="25" t="s">
        <v>39</v>
      </c>
      <c r="H4075" s="18" t="n">
        <v>12</v>
      </c>
      <c r="I4075" s="20" t="n">
        <v>231.19</v>
      </c>
      <c r="J4075" s="20" t="n">
        <v>333</v>
      </c>
      <c r="K4075" s="18" t="n">
        <v>35</v>
      </c>
      <c r="L4075" s="18" t="n">
        <v>18</v>
      </c>
      <c r="M4075" s="18" t="n">
        <v>348</v>
      </c>
      <c r="N4075" s="18" t="n">
        <v>108</v>
      </c>
      <c r="O4075" s="14" t="s">
        <v>1088</v>
      </c>
      <c r="P4075" s="14" t="s">
        <v>1716</v>
      </c>
      <c r="Q4075" s="15" t="s">
        <v>1089</v>
      </c>
      <c r="R4075" s="16" t="s">
        <v>4621</v>
      </c>
      <c r="S4075" s="15" t="s">
        <v>25225</v>
      </c>
      <c r="T4075" s="15" t="s">
        <v>25226</v>
      </c>
      <c r="U4075" s="21" t="s">
        <v>72</v>
      </c>
    </row>
    <row r="4076" customFormat="false" ht="15" hidden="false" customHeight="false" outlineLevel="0" collapsed="false">
      <c r="A4076" s="15" t="s">
        <v>25044</v>
      </c>
      <c r="B4076" s="15" t="s">
        <v>25188</v>
      </c>
      <c r="C4076" s="14" t="s">
        <v>25227</v>
      </c>
      <c r="D4076" s="14" t="s">
        <v>25228</v>
      </c>
      <c r="E4076" s="16" t="s">
        <v>25229</v>
      </c>
      <c r="F4076" s="16" t="s">
        <v>25230</v>
      </c>
      <c r="G4076" s="23" t="s">
        <v>43</v>
      </c>
      <c r="H4076" s="18" t="n">
        <v>2</v>
      </c>
      <c r="I4076" s="20" t="n">
        <v>70.89</v>
      </c>
      <c r="J4076" s="20" t="n">
        <v>89.09</v>
      </c>
      <c r="K4076" s="18" t="n">
        <v>3</v>
      </c>
      <c r="L4076" s="18" t="n">
        <v>1</v>
      </c>
      <c r="M4076" s="18" t="n">
        <v>39</v>
      </c>
      <c r="N4076" s="18" t="n">
        <v>39</v>
      </c>
      <c r="O4076" s="14" t="s">
        <v>1088</v>
      </c>
      <c r="P4076" s="14" t="s">
        <v>118</v>
      </c>
      <c r="Q4076" s="15" t="s">
        <v>1089</v>
      </c>
      <c r="R4076" s="16" t="s">
        <v>25231</v>
      </c>
      <c r="S4076" s="15" t="s">
        <v>25232</v>
      </c>
      <c r="T4076" s="15" t="s">
        <v>25232</v>
      </c>
      <c r="U4076" s="21" t="s">
        <v>72</v>
      </c>
    </row>
    <row r="4077" customFormat="false" ht="15" hidden="false" customHeight="false" outlineLevel="0" collapsed="false">
      <c r="A4077" s="15" t="s">
        <v>25044</v>
      </c>
      <c r="B4077" s="15" t="s">
        <v>25188</v>
      </c>
      <c r="C4077" s="14" t="s">
        <v>25233</v>
      </c>
      <c r="D4077" s="14" t="s">
        <v>25234</v>
      </c>
      <c r="E4077" s="16" t="s">
        <v>25235</v>
      </c>
      <c r="F4077" s="16" t="s">
        <v>25236</v>
      </c>
      <c r="G4077" s="23" t="s">
        <v>43</v>
      </c>
      <c r="H4077" s="18" t="n">
        <v>2</v>
      </c>
      <c r="I4077" s="20" t="n">
        <v>73.43</v>
      </c>
      <c r="J4077" s="20" t="n">
        <v>85.81</v>
      </c>
      <c r="K4077" s="18" t="n">
        <v>25</v>
      </c>
      <c r="L4077" s="18" t="n">
        <v>4</v>
      </c>
      <c r="M4077" s="18" t="n">
        <v>400</v>
      </c>
      <c r="N4077" s="18" t="n">
        <v>96</v>
      </c>
      <c r="O4077" s="14" t="s">
        <v>1126</v>
      </c>
      <c r="P4077" s="14" t="s">
        <v>84</v>
      </c>
      <c r="Q4077" s="15" t="s">
        <v>1089</v>
      </c>
      <c r="R4077" s="16" t="s">
        <v>25237</v>
      </c>
      <c r="S4077" s="15" t="s">
        <v>25238</v>
      </c>
      <c r="T4077" s="15" t="s">
        <v>25238</v>
      </c>
      <c r="U4077" s="21" t="s">
        <v>72</v>
      </c>
    </row>
    <row r="4078" customFormat="false" ht="15" hidden="false" customHeight="false" outlineLevel="0" collapsed="false">
      <c r="A4078" s="15" t="s">
        <v>25044</v>
      </c>
      <c r="B4078" s="15" t="s">
        <v>25188</v>
      </c>
      <c r="C4078" s="14" t="s">
        <v>25239</v>
      </c>
      <c r="D4078" s="14" t="s">
        <v>25240</v>
      </c>
      <c r="E4078" s="16" t="s">
        <v>25241</v>
      </c>
      <c r="F4078" s="16" t="s">
        <v>25242</v>
      </c>
      <c r="G4078" s="19" t="s">
        <v>41</v>
      </c>
      <c r="H4078" s="18" t="n">
        <v>5</v>
      </c>
      <c r="I4078" s="20" t="n">
        <v>109</v>
      </c>
      <c r="J4078" s="20" t="n">
        <v>163.14</v>
      </c>
      <c r="K4078" s="18" t="n">
        <v>3</v>
      </c>
      <c r="L4078" s="18" t="n">
        <v>5</v>
      </c>
      <c r="M4078" s="18" t="n">
        <v>30</v>
      </c>
      <c r="N4078" s="18" t="n">
        <v>30</v>
      </c>
      <c r="O4078" s="14" t="s">
        <v>1126</v>
      </c>
      <c r="P4078" s="14" t="s">
        <v>84</v>
      </c>
      <c r="Q4078" s="15" t="s">
        <v>1089</v>
      </c>
      <c r="R4078" s="16" t="s">
        <v>20338</v>
      </c>
      <c r="S4078" s="15" t="s">
        <v>25243</v>
      </c>
      <c r="T4078" s="15" t="s">
        <v>25243</v>
      </c>
      <c r="U4078" s="21" t="s">
        <v>72</v>
      </c>
    </row>
    <row r="4079" customFormat="false" ht="15" hidden="false" customHeight="false" outlineLevel="0" collapsed="false">
      <c r="A4079" s="15" t="s">
        <v>25044</v>
      </c>
      <c r="B4079" s="15" t="s">
        <v>25188</v>
      </c>
      <c r="C4079" s="14" t="s">
        <v>25244</v>
      </c>
      <c r="D4079" s="14" t="s">
        <v>25245</v>
      </c>
      <c r="E4079" s="16" t="s">
        <v>25246</v>
      </c>
      <c r="F4079" s="16" t="s">
        <v>25247</v>
      </c>
      <c r="G4079" s="23" t="s">
        <v>43</v>
      </c>
      <c r="H4079" s="18" t="n">
        <v>2</v>
      </c>
      <c r="I4079" s="20" t="n">
        <v>76.58</v>
      </c>
      <c r="J4079" s="20" t="n">
        <v>99.07</v>
      </c>
      <c r="K4079" s="18" t="n">
        <v>5</v>
      </c>
      <c r="L4079" s="18" t="n">
        <v>3</v>
      </c>
      <c r="M4079" s="18" t="n">
        <v>75</v>
      </c>
      <c r="N4079" s="18" t="n">
        <v>75</v>
      </c>
      <c r="O4079" s="14" t="s">
        <v>1097</v>
      </c>
      <c r="P4079" s="14" t="s">
        <v>118</v>
      </c>
      <c r="Q4079" s="15" t="s">
        <v>1089</v>
      </c>
      <c r="R4079" s="16" t="s">
        <v>21815</v>
      </c>
      <c r="S4079" s="15" t="s">
        <v>25248</v>
      </c>
      <c r="T4079" s="15" t="s">
        <v>25248</v>
      </c>
      <c r="U4079" s="21" t="s">
        <v>72</v>
      </c>
    </row>
    <row r="4080" customFormat="false" ht="15" hidden="false" customHeight="false" outlineLevel="0" collapsed="false">
      <c r="A4080" s="15" t="s">
        <v>25044</v>
      </c>
      <c r="B4080" s="15" t="s">
        <v>25188</v>
      </c>
      <c r="C4080" s="14" t="s">
        <v>25249</v>
      </c>
      <c r="D4080" s="14" t="s">
        <v>25250</v>
      </c>
      <c r="E4080" s="16" t="s">
        <v>25251</v>
      </c>
      <c r="F4080" s="16" t="s">
        <v>25252</v>
      </c>
      <c r="G4080" s="23" t="s">
        <v>43</v>
      </c>
      <c r="H4080" s="18" t="n">
        <v>1</v>
      </c>
      <c r="I4080" s="20" t="n">
        <v>32.625</v>
      </c>
      <c r="J4080" s="20" t="n">
        <v>32.625</v>
      </c>
      <c r="K4080" s="18" t="n">
        <v>9</v>
      </c>
      <c r="L4080" s="18" t="n">
        <v>1</v>
      </c>
      <c r="M4080" s="18" t="n">
        <v>90</v>
      </c>
      <c r="N4080" s="18" t="n">
        <v>90</v>
      </c>
      <c r="O4080" s="14" t="s">
        <v>25253</v>
      </c>
      <c r="P4080" s="14" t="s">
        <v>118</v>
      </c>
      <c r="Q4080" s="15" t="s">
        <v>1089</v>
      </c>
      <c r="R4080" s="16" t="s">
        <v>25254</v>
      </c>
      <c r="S4080" s="15" t="s">
        <v>25255</v>
      </c>
      <c r="T4080" s="15" t="s">
        <v>25256</v>
      </c>
      <c r="U4080" s="21" t="s">
        <v>72</v>
      </c>
    </row>
    <row r="4081" customFormat="false" ht="15" hidden="false" customHeight="false" outlineLevel="0" collapsed="false">
      <c r="A4081" s="15" t="s">
        <v>25044</v>
      </c>
      <c r="B4081" s="15" t="s">
        <v>25188</v>
      </c>
      <c r="C4081" s="14" t="s">
        <v>25257</v>
      </c>
      <c r="D4081" s="14" t="s">
        <v>25258</v>
      </c>
      <c r="E4081" s="16" t="s">
        <v>25259</v>
      </c>
      <c r="F4081" s="16" t="s">
        <v>25260</v>
      </c>
      <c r="G4081" s="19" t="s">
        <v>41</v>
      </c>
      <c r="H4081" s="18" t="n">
        <v>5</v>
      </c>
      <c r="I4081" s="20" t="n">
        <v>148.05</v>
      </c>
      <c r="J4081" s="20" t="n">
        <v>225.27</v>
      </c>
      <c r="K4081" s="18" t="n">
        <v>28</v>
      </c>
      <c r="L4081" s="18" t="n">
        <v>2</v>
      </c>
      <c r="M4081" s="18" t="n">
        <v>448</v>
      </c>
      <c r="N4081" s="18" t="n">
        <v>144</v>
      </c>
      <c r="O4081" s="14" t="s">
        <v>1088</v>
      </c>
      <c r="P4081" s="14" t="s">
        <v>84</v>
      </c>
      <c r="Q4081" s="15" t="s">
        <v>1089</v>
      </c>
      <c r="R4081" s="16" t="s">
        <v>25261</v>
      </c>
      <c r="S4081" s="15" t="s">
        <v>25262</v>
      </c>
      <c r="T4081" s="15" t="s">
        <v>25262</v>
      </c>
      <c r="U4081" s="21" t="s">
        <v>72</v>
      </c>
    </row>
    <row r="4082" customFormat="false" ht="15" hidden="false" customHeight="false" outlineLevel="0" collapsed="false">
      <c r="A4082" s="15" t="s">
        <v>25044</v>
      </c>
      <c r="B4082" s="15" t="s">
        <v>25188</v>
      </c>
      <c r="C4082" s="14" t="s">
        <v>25263</v>
      </c>
      <c r="D4082" s="14" t="s">
        <v>25264</v>
      </c>
      <c r="E4082" s="16" t="s">
        <v>25265</v>
      </c>
      <c r="F4082" s="16" t="s">
        <v>25266</v>
      </c>
      <c r="G4082" s="23" t="s">
        <v>43</v>
      </c>
      <c r="H4082" s="18" t="n">
        <v>1</v>
      </c>
      <c r="I4082" s="20" t="n">
        <v>56.075</v>
      </c>
      <c r="J4082" s="20" t="n">
        <v>139.2</v>
      </c>
      <c r="K4082" s="18" t="n">
        <v>1</v>
      </c>
      <c r="L4082" s="18" t="n">
        <v>1</v>
      </c>
      <c r="M4082" s="18" t="n">
        <v>10</v>
      </c>
      <c r="N4082" s="18" t="n">
        <v>10</v>
      </c>
      <c r="O4082" s="14" t="s">
        <v>1097</v>
      </c>
      <c r="P4082" s="14" t="s">
        <v>84</v>
      </c>
      <c r="Q4082" s="15" t="s">
        <v>1089</v>
      </c>
      <c r="R4082" s="16" t="s">
        <v>6538</v>
      </c>
      <c r="S4082" s="15" t="s">
        <v>25267</v>
      </c>
      <c r="T4082" s="15" t="s">
        <v>25267</v>
      </c>
      <c r="U4082" s="21" t="s">
        <v>72</v>
      </c>
    </row>
    <row r="4083" customFormat="false" ht="26.85" hidden="false" customHeight="false" outlineLevel="0" collapsed="false">
      <c r="A4083" s="15" t="s">
        <v>25044</v>
      </c>
      <c r="B4083" s="15" t="s">
        <v>25188</v>
      </c>
      <c r="C4083" s="14" t="s">
        <v>25268</v>
      </c>
      <c r="D4083" s="14" t="s">
        <v>25269</v>
      </c>
      <c r="E4083" s="16" t="s">
        <v>25270</v>
      </c>
      <c r="F4083" s="16" t="s">
        <v>25271</v>
      </c>
      <c r="G4083" s="25" t="s">
        <v>39</v>
      </c>
      <c r="H4083" s="18" t="n">
        <v>7</v>
      </c>
      <c r="I4083" s="20" t="n">
        <v>349.9</v>
      </c>
      <c r="J4083" s="20" t="n">
        <v>567</v>
      </c>
      <c r="K4083" s="18" t="n">
        <v>102</v>
      </c>
      <c r="L4083" s="18" t="n">
        <v>38</v>
      </c>
      <c r="M4083" s="18" t="n">
        <v>1530</v>
      </c>
      <c r="N4083" s="18" t="n">
        <v>120</v>
      </c>
      <c r="O4083" s="14" t="s">
        <v>1097</v>
      </c>
      <c r="P4083" s="14" t="s">
        <v>17554</v>
      </c>
      <c r="Q4083" s="15" t="s">
        <v>1089</v>
      </c>
      <c r="R4083" s="16" t="s">
        <v>8867</v>
      </c>
      <c r="S4083" s="15" t="s">
        <v>25272</v>
      </c>
      <c r="T4083" s="15" t="s">
        <v>25273</v>
      </c>
      <c r="U4083" s="21" t="s">
        <v>72</v>
      </c>
    </row>
    <row r="4084" customFormat="false" ht="15" hidden="false" customHeight="false" outlineLevel="0" collapsed="false">
      <c r="A4084" s="15" t="s">
        <v>25044</v>
      </c>
      <c r="B4084" s="15" t="s">
        <v>25274</v>
      </c>
      <c r="C4084" s="14" t="s">
        <v>25275</v>
      </c>
      <c r="D4084" s="14" t="s">
        <v>25276</v>
      </c>
      <c r="E4084" s="16" t="s">
        <v>25277</v>
      </c>
      <c r="F4084" s="16" t="s">
        <v>25278</v>
      </c>
      <c r="G4084" s="23" t="s">
        <v>43</v>
      </c>
      <c r="H4084" s="18" t="n">
        <v>2</v>
      </c>
      <c r="I4084" s="20" t="n">
        <v>68.03</v>
      </c>
      <c r="J4084" s="20" t="n">
        <v>143.38</v>
      </c>
      <c r="K4084" s="18" t="n">
        <v>2</v>
      </c>
      <c r="L4084" s="18" t="n">
        <v>6</v>
      </c>
      <c r="M4084" s="18" t="n">
        <v>40</v>
      </c>
      <c r="N4084" s="18" t="n">
        <v>40</v>
      </c>
      <c r="O4084" s="14" t="s">
        <v>1088</v>
      </c>
      <c r="P4084" s="14" t="s">
        <v>84</v>
      </c>
      <c r="Q4084" s="15" t="s">
        <v>1089</v>
      </c>
      <c r="R4084" s="16" t="s">
        <v>2726</v>
      </c>
      <c r="S4084" s="15" t="s">
        <v>25279</v>
      </c>
      <c r="T4084" s="15" t="s">
        <v>25279</v>
      </c>
      <c r="U4084" s="21" t="s">
        <v>72</v>
      </c>
    </row>
    <row r="4085" customFormat="false" ht="39.55" hidden="false" customHeight="false" outlineLevel="0" collapsed="false">
      <c r="A4085" s="15" t="s">
        <v>25280</v>
      </c>
      <c r="B4085" s="16"/>
      <c r="C4085" s="14" t="s">
        <v>25281</v>
      </c>
      <c r="D4085" s="14" t="s">
        <v>25282</v>
      </c>
      <c r="E4085" s="16" t="s">
        <v>25283</v>
      </c>
      <c r="F4085" s="16" t="s">
        <v>25284</v>
      </c>
      <c r="G4085" s="25" t="s">
        <v>39</v>
      </c>
      <c r="H4085" s="18" t="n">
        <v>5</v>
      </c>
      <c r="I4085" s="20" t="n">
        <v>161.07</v>
      </c>
      <c r="J4085" s="20" t="n">
        <v>430</v>
      </c>
      <c r="K4085" s="18" t="n">
        <v>7</v>
      </c>
      <c r="L4085" s="18" t="n">
        <v>26</v>
      </c>
      <c r="M4085" s="18" t="n">
        <v>218</v>
      </c>
      <c r="N4085" s="18" t="n">
        <v>120</v>
      </c>
      <c r="O4085" s="14" t="s">
        <v>25285</v>
      </c>
      <c r="P4085" s="14" t="s">
        <v>1166</v>
      </c>
      <c r="Q4085" s="15" t="s">
        <v>1089</v>
      </c>
      <c r="R4085" s="16" t="s">
        <v>25286</v>
      </c>
      <c r="S4085" s="15" t="s">
        <v>1348</v>
      </c>
      <c r="T4085" s="15" t="s">
        <v>25287</v>
      </c>
      <c r="U4085" s="21" t="s">
        <v>72</v>
      </c>
    </row>
    <row r="4086" customFormat="false" ht="15" hidden="false" customHeight="false" outlineLevel="0" collapsed="false">
      <c r="A4086" s="15" t="s">
        <v>25280</v>
      </c>
      <c r="B4086" s="16"/>
      <c r="C4086" s="14" t="s">
        <v>17862</v>
      </c>
      <c r="D4086" s="14" t="s">
        <v>25288</v>
      </c>
      <c r="E4086" s="16" t="s">
        <v>25289</v>
      </c>
      <c r="F4086" s="16" t="s">
        <v>25290</v>
      </c>
      <c r="G4086" s="23" t="s">
        <v>43</v>
      </c>
      <c r="H4086" s="18" t="n">
        <v>3</v>
      </c>
      <c r="I4086" s="20" t="n">
        <v>45.01</v>
      </c>
      <c r="J4086" s="20" t="n">
        <v>117.19</v>
      </c>
      <c r="K4086" s="18" t="n">
        <v>5</v>
      </c>
      <c r="L4086" s="18" t="n">
        <v>3</v>
      </c>
      <c r="M4086" s="18" t="n">
        <v>80</v>
      </c>
      <c r="N4086" s="18" t="n">
        <v>80</v>
      </c>
      <c r="O4086" s="14" t="s">
        <v>25291</v>
      </c>
      <c r="P4086" s="14" t="s">
        <v>84</v>
      </c>
      <c r="Q4086" s="15" t="s">
        <v>1089</v>
      </c>
      <c r="R4086" s="16" t="s">
        <v>25292</v>
      </c>
      <c r="S4086" s="15" t="s">
        <v>25293</v>
      </c>
      <c r="T4086" s="15" t="s">
        <v>25294</v>
      </c>
      <c r="U4086" s="21" t="s">
        <v>72</v>
      </c>
    </row>
    <row r="4087" customFormat="false" ht="15" hidden="false" customHeight="false" outlineLevel="0" collapsed="false">
      <c r="A4087" s="15" t="s">
        <v>25280</v>
      </c>
      <c r="B4087" s="16"/>
      <c r="C4087" s="14" t="s">
        <v>25295</v>
      </c>
      <c r="D4087" s="14" t="s">
        <v>25296</v>
      </c>
      <c r="E4087" s="16" t="s">
        <v>25297</v>
      </c>
      <c r="F4087" s="16"/>
      <c r="G4087" s="19" t="s">
        <v>41</v>
      </c>
      <c r="H4087" s="18" t="n">
        <v>5</v>
      </c>
      <c r="I4087" s="20" t="n">
        <v>98.68</v>
      </c>
      <c r="J4087" s="20" t="n">
        <v>130.65</v>
      </c>
      <c r="K4087" s="18" t="n">
        <v>3</v>
      </c>
      <c r="L4087" s="18" t="n">
        <v>2</v>
      </c>
      <c r="M4087" s="18" t="n">
        <v>36</v>
      </c>
      <c r="N4087" s="18" t="n">
        <v>36</v>
      </c>
      <c r="O4087" s="14" t="s">
        <v>25298</v>
      </c>
      <c r="P4087" s="14" t="s">
        <v>84</v>
      </c>
      <c r="Q4087" s="15" t="s">
        <v>1089</v>
      </c>
      <c r="R4087" s="16" t="s">
        <v>6283</v>
      </c>
      <c r="S4087" s="15" t="s">
        <v>25299</v>
      </c>
      <c r="T4087" s="15" t="s">
        <v>25299</v>
      </c>
      <c r="U4087" s="21" t="s">
        <v>72</v>
      </c>
    </row>
    <row r="4088" customFormat="false" ht="15" hidden="false" customHeight="false" outlineLevel="0" collapsed="false">
      <c r="A4088" s="15" t="s">
        <v>25280</v>
      </c>
      <c r="B4088" s="16"/>
      <c r="C4088" s="14" t="s">
        <v>25300</v>
      </c>
      <c r="D4088" s="14" t="s">
        <v>25301</v>
      </c>
      <c r="E4088" s="16" t="s">
        <v>25302</v>
      </c>
      <c r="F4088" s="16" t="s">
        <v>25303</v>
      </c>
      <c r="G4088" s="23" t="s">
        <v>43</v>
      </c>
      <c r="H4088" s="18" t="n">
        <v>3</v>
      </c>
      <c r="I4088" s="20" t="n">
        <v>76.2</v>
      </c>
      <c r="J4088" s="20" t="n">
        <v>150.59</v>
      </c>
      <c r="K4088" s="18" t="n">
        <v>7</v>
      </c>
      <c r="L4088" s="18" t="n">
        <v>3</v>
      </c>
      <c r="M4088" s="18" t="n">
        <v>105</v>
      </c>
      <c r="N4088" s="18" t="n">
        <v>60</v>
      </c>
      <c r="O4088" s="14" t="s">
        <v>25304</v>
      </c>
      <c r="P4088" s="14" t="s">
        <v>84</v>
      </c>
      <c r="Q4088" s="15" t="s">
        <v>1089</v>
      </c>
      <c r="R4088" s="16" t="s">
        <v>25305</v>
      </c>
      <c r="S4088" s="15" t="s">
        <v>25306</v>
      </c>
      <c r="T4088" s="15" t="s">
        <v>25307</v>
      </c>
      <c r="U4088" s="21" t="s">
        <v>72</v>
      </c>
    </row>
    <row r="4089" customFormat="false" ht="15" hidden="false" customHeight="false" outlineLevel="0" collapsed="false">
      <c r="A4089" s="15" t="s">
        <v>25280</v>
      </c>
      <c r="B4089" s="16"/>
      <c r="C4089" s="14" t="s">
        <v>25308</v>
      </c>
      <c r="D4089" s="14" t="s">
        <v>25309</v>
      </c>
      <c r="E4089" s="16" t="s">
        <v>25310</v>
      </c>
      <c r="F4089" s="16" t="s">
        <v>25311</v>
      </c>
      <c r="G4089" s="23" t="s">
        <v>43</v>
      </c>
      <c r="H4089" s="18" t="n">
        <v>2</v>
      </c>
      <c r="I4089" s="20" t="n">
        <v>30.62</v>
      </c>
      <c r="J4089" s="20" t="n">
        <v>81.9</v>
      </c>
      <c r="K4089" s="18" t="n">
        <v>2</v>
      </c>
      <c r="L4089" s="18" t="n">
        <v>2</v>
      </c>
      <c r="M4089" s="18" t="n">
        <v>24</v>
      </c>
      <c r="N4089" s="18" t="n">
        <v>24</v>
      </c>
      <c r="O4089" s="14" t="s">
        <v>25312</v>
      </c>
      <c r="P4089" s="14" t="s">
        <v>84</v>
      </c>
      <c r="Q4089" s="15" t="s">
        <v>1089</v>
      </c>
      <c r="R4089" s="16" t="s">
        <v>25313</v>
      </c>
      <c r="S4089" s="15" t="s">
        <v>25314</v>
      </c>
      <c r="T4089" s="15" t="s">
        <v>25314</v>
      </c>
      <c r="U4089" s="21" t="s">
        <v>72</v>
      </c>
    </row>
    <row r="4090" customFormat="false" ht="15" hidden="false" customHeight="false" outlineLevel="0" collapsed="false">
      <c r="A4090" s="15" t="s">
        <v>25280</v>
      </c>
      <c r="B4090" s="16"/>
      <c r="C4090" s="14" t="s">
        <v>25315</v>
      </c>
      <c r="D4090" s="14" t="s">
        <v>25316</v>
      </c>
      <c r="E4090" s="16" t="s">
        <v>25317</v>
      </c>
      <c r="F4090" s="16" t="s">
        <v>25318</v>
      </c>
      <c r="G4090" s="23" t="s">
        <v>43</v>
      </c>
      <c r="H4090" s="18" t="n">
        <v>1</v>
      </c>
      <c r="I4090" s="20" t="n">
        <v>75.55</v>
      </c>
      <c r="J4090" s="20" t="n">
        <v>75.55</v>
      </c>
      <c r="K4090" s="18" t="n">
        <v>6</v>
      </c>
      <c r="L4090" s="18" t="n">
        <v>5</v>
      </c>
      <c r="M4090" s="18" t="n">
        <v>80</v>
      </c>
      <c r="N4090" s="18" t="n">
        <v>20</v>
      </c>
      <c r="O4090" s="14" t="s">
        <v>11140</v>
      </c>
      <c r="P4090" s="14" t="s">
        <v>118</v>
      </c>
      <c r="Q4090" s="15" t="s">
        <v>1089</v>
      </c>
      <c r="R4090" s="16" t="s">
        <v>11915</v>
      </c>
      <c r="S4090" s="15" t="s">
        <v>25319</v>
      </c>
      <c r="T4090" s="15" t="s">
        <v>25320</v>
      </c>
      <c r="U4090" s="21" t="s">
        <v>72</v>
      </c>
    </row>
    <row r="4091" customFormat="false" ht="15" hidden="false" customHeight="false" outlineLevel="0" collapsed="false">
      <c r="A4091" s="15" t="s">
        <v>25280</v>
      </c>
      <c r="B4091" s="16"/>
      <c r="C4091" s="14" t="s">
        <v>25321</v>
      </c>
      <c r="D4091" s="14" t="s">
        <v>25322</v>
      </c>
      <c r="E4091" s="16" t="s">
        <v>25323</v>
      </c>
      <c r="F4091" s="16" t="s">
        <v>25324</v>
      </c>
      <c r="G4091" s="23" t="s">
        <v>43</v>
      </c>
      <c r="H4091" s="18" t="n">
        <v>3</v>
      </c>
      <c r="I4091" s="20" t="n">
        <v>34.64</v>
      </c>
      <c r="J4091" s="20" t="n">
        <v>82.15</v>
      </c>
      <c r="K4091" s="18" t="n">
        <v>9</v>
      </c>
      <c r="L4091" s="18" t="n">
        <v>3</v>
      </c>
      <c r="M4091" s="18" t="n">
        <v>117</v>
      </c>
      <c r="N4091" s="18" t="n">
        <v>39</v>
      </c>
      <c r="O4091" s="14" t="s">
        <v>25325</v>
      </c>
      <c r="P4091" s="14" t="s">
        <v>118</v>
      </c>
      <c r="Q4091" s="15" t="s">
        <v>1089</v>
      </c>
      <c r="R4091" s="16" t="s">
        <v>4752</v>
      </c>
      <c r="S4091" s="15" t="s">
        <v>25326</v>
      </c>
      <c r="T4091" s="15" t="s">
        <v>25326</v>
      </c>
      <c r="U4091" s="21" t="s">
        <v>72</v>
      </c>
    </row>
    <row r="4092" customFormat="false" ht="15" hidden="false" customHeight="false" outlineLevel="0" collapsed="false">
      <c r="A4092" s="15" t="s">
        <v>25280</v>
      </c>
      <c r="B4092" s="16"/>
      <c r="C4092" s="14" t="s">
        <v>25327</v>
      </c>
      <c r="D4092" s="14" t="s">
        <v>25328</v>
      </c>
      <c r="E4092" s="16" t="s">
        <v>25329</v>
      </c>
      <c r="F4092" s="16" t="s">
        <v>25330</v>
      </c>
      <c r="G4092" s="23" t="s">
        <v>43</v>
      </c>
      <c r="H4092" s="18" t="n">
        <v>4</v>
      </c>
      <c r="I4092" s="20" t="n">
        <v>118.75</v>
      </c>
      <c r="J4092" s="20" t="n">
        <v>178.66</v>
      </c>
      <c r="K4092" s="18" t="n">
        <v>6</v>
      </c>
      <c r="L4092" s="18" t="n">
        <v>1</v>
      </c>
      <c r="M4092" s="18" t="n">
        <v>306</v>
      </c>
      <c r="N4092" s="18" t="n">
        <v>102</v>
      </c>
      <c r="O4092" s="14" t="s">
        <v>25298</v>
      </c>
      <c r="P4092" s="14" t="s">
        <v>84</v>
      </c>
      <c r="Q4092" s="15" t="s">
        <v>1089</v>
      </c>
      <c r="R4092" s="16" t="s">
        <v>25331</v>
      </c>
      <c r="S4092" s="15" t="s">
        <v>25332</v>
      </c>
      <c r="T4092" s="15" t="s">
        <v>25332</v>
      </c>
      <c r="U4092" s="21" t="s">
        <v>72</v>
      </c>
    </row>
    <row r="4093" customFormat="false" ht="15" hidden="false" customHeight="false" outlineLevel="0" collapsed="false">
      <c r="A4093" s="15" t="s">
        <v>25280</v>
      </c>
      <c r="B4093" s="16"/>
      <c r="C4093" s="14" t="s">
        <v>25333</v>
      </c>
      <c r="D4093" s="14" t="s">
        <v>25334</v>
      </c>
      <c r="E4093" s="16" t="s">
        <v>25335</v>
      </c>
      <c r="F4093" s="16" t="s">
        <v>25336</v>
      </c>
      <c r="G4093" s="19" t="s">
        <v>41</v>
      </c>
      <c r="H4093" s="18" t="n">
        <v>4</v>
      </c>
      <c r="I4093" s="20" t="n">
        <v>46.8</v>
      </c>
      <c r="J4093" s="20" t="n">
        <v>256.704</v>
      </c>
      <c r="K4093" s="18" t="n">
        <v>4</v>
      </c>
      <c r="L4093" s="18" t="n">
        <v>4</v>
      </c>
      <c r="M4093" s="18" t="n">
        <v>84</v>
      </c>
      <c r="N4093" s="18" t="n">
        <v>84</v>
      </c>
      <c r="O4093" s="14" t="s">
        <v>25337</v>
      </c>
      <c r="P4093" s="14" t="s">
        <v>84</v>
      </c>
      <c r="Q4093" s="15" t="s">
        <v>1089</v>
      </c>
      <c r="R4093" s="16" t="s">
        <v>18043</v>
      </c>
      <c r="S4093" s="15" t="s">
        <v>25338</v>
      </c>
      <c r="T4093" s="15" t="s">
        <v>25339</v>
      </c>
      <c r="U4093" s="21" t="s">
        <v>72</v>
      </c>
    </row>
    <row r="4094" customFormat="false" ht="15" hidden="false" customHeight="false" outlineLevel="0" collapsed="false">
      <c r="A4094" s="15" t="s">
        <v>25280</v>
      </c>
      <c r="B4094" s="16"/>
      <c r="C4094" s="14" t="s">
        <v>25340</v>
      </c>
      <c r="D4094" s="14" t="s">
        <v>25341</v>
      </c>
      <c r="E4094" s="16" t="s">
        <v>25342</v>
      </c>
      <c r="F4094" s="16" t="s">
        <v>25343</v>
      </c>
      <c r="G4094" s="23" t="s">
        <v>43</v>
      </c>
      <c r="H4094" s="18" t="n">
        <v>3</v>
      </c>
      <c r="I4094" s="20" t="n">
        <v>84.59</v>
      </c>
      <c r="J4094" s="20" t="n">
        <v>183.42</v>
      </c>
      <c r="K4094" s="18" t="n">
        <v>4</v>
      </c>
      <c r="L4094" s="18" t="n">
        <v>5</v>
      </c>
      <c r="M4094" s="18" t="n">
        <v>100</v>
      </c>
      <c r="N4094" s="18" t="n">
        <v>100</v>
      </c>
      <c r="O4094" s="14" t="s">
        <v>25344</v>
      </c>
      <c r="P4094" s="14" t="s">
        <v>118</v>
      </c>
      <c r="Q4094" s="15" t="s">
        <v>1089</v>
      </c>
      <c r="R4094" s="16" t="s">
        <v>6759</v>
      </c>
      <c r="S4094" s="15" t="s">
        <v>25345</v>
      </c>
      <c r="T4094" s="15" t="s">
        <v>25345</v>
      </c>
      <c r="U4094" s="21" t="s">
        <v>72</v>
      </c>
    </row>
    <row r="4095" customFormat="false" ht="15" hidden="false" customHeight="false" outlineLevel="0" collapsed="false">
      <c r="A4095" s="15" t="s">
        <v>25280</v>
      </c>
      <c r="B4095" s="16"/>
      <c r="C4095" s="14" t="s">
        <v>25346</v>
      </c>
      <c r="D4095" s="14" t="s">
        <v>25347</v>
      </c>
      <c r="E4095" s="16" t="s">
        <v>25348</v>
      </c>
      <c r="F4095" s="16" t="s">
        <v>25349</v>
      </c>
      <c r="G4095" s="23" t="s">
        <v>43</v>
      </c>
      <c r="H4095" s="18" t="n">
        <v>2</v>
      </c>
      <c r="I4095" s="20" t="n">
        <v>50.6</v>
      </c>
      <c r="J4095" s="20" t="n">
        <v>53.2</v>
      </c>
      <c r="K4095" s="18" t="n">
        <v>8</v>
      </c>
      <c r="L4095" s="18" t="n">
        <v>2</v>
      </c>
      <c r="M4095" s="18" t="n">
        <v>200</v>
      </c>
      <c r="N4095" s="18" t="n">
        <v>100</v>
      </c>
      <c r="O4095" s="14" t="s">
        <v>25350</v>
      </c>
      <c r="P4095" s="14" t="s">
        <v>84</v>
      </c>
      <c r="Q4095" s="15" t="s">
        <v>1089</v>
      </c>
      <c r="R4095" s="16" t="s">
        <v>25351</v>
      </c>
      <c r="S4095" s="15" t="s">
        <v>25352</v>
      </c>
      <c r="T4095" s="15" t="s">
        <v>25352</v>
      </c>
      <c r="U4095" s="21" t="s">
        <v>72</v>
      </c>
    </row>
    <row r="4096" customFormat="false" ht="15" hidden="false" customHeight="false" outlineLevel="0" collapsed="false">
      <c r="A4096" s="15" t="s">
        <v>25280</v>
      </c>
      <c r="B4096" s="16"/>
      <c r="C4096" s="14" t="s">
        <v>25353</v>
      </c>
      <c r="D4096" s="14" t="s">
        <v>25354</v>
      </c>
      <c r="E4096" s="16" t="s">
        <v>25355</v>
      </c>
      <c r="F4096" s="16" t="s">
        <v>25356</v>
      </c>
      <c r="G4096" s="23" t="s">
        <v>43</v>
      </c>
      <c r="H4096" s="18" t="n">
        <v>1</v>
      </c>
      <c r="I4096" s="20" t="n">
        <v>44.8</v>
      </c>
      <c r="J4096" s="20" t="n">
        <v>105.22</v>
      </c>
      <c r="K4096" s="18" t="n">
        <v>4</v>
      </c>
      <c r="L4096" s="18" t="n">
        <v>2</v>
      </c>
      <c r="M4096" s="18" t="n">
        <v>60</v>
      </c>
      <c r="N4096" s="18" t="n">
        <v>60</v>
      </c>
      <c r="O4096" s="14" t="s">
        <v>1126</v>
      </c>
      <c r="P4096" s="14" t="s">
        <v>84</v>
      </c>
      <c r="Q4096" s="15" t="s">
        <v>1089</v>
      </c>
      <c r="R4096" s="16" t="s">
        <v>834</v>
      </c>
      <c r="S4096" s="15" t="s">
        <v>25357</v>
      </c>
      <c r="T4096" s="15" t="s">
        <v>25357</v>
      </c>
      <c r="U4096" s="21" t="s">
        <v>72</v>
      </c>
    </row>
    <row r="4097" customFormat="false" ht="26.85" hidden="false" customHeight="false" outlineLevel="0" collapsed="false">
      <c r="A4097" s="15" t="s">
        <v>25280</v>
      </c>
      <c r="B4097" s="16"/>
      <c r="C4097" s="14" t="s">
        <v>25358</v>
      </c>
      <c r="D4097" s="14" t="s">
        <v>25359</v>
      </c>
      <c r="E4097" s="16" t="s">
        <v>25360</v>
      </c>
      <c r="F4097" s="16" t="s">
        <v>25361</v>
      </c>
      <c r="G4097" s="19" t="s">
        <v>41</v>
      </c>
      <c r="H4097" s="18" t="n">
        <v>3</v>
      </c>
      <c r="I4097" s="20" t="n">
        <v>244.2</v>
      </c>
      <c r="J4097" s="20" t="n">
        <v>244.2</v>
      </c>
      <c r="K4097" s="18" t="n">
        <v>21</v>
      </c>
      <c r="L4097" s="18" t="n">
        <v>11</v>
      </c>
      <c r="M4097" s="18" t="n">
        <v>630</v>
      </c>
      <c r="N4097" s="18" t="n">
        <v>180</v>
      </c>
      <c r="O4097" s="14" t="s">
        <v>25362</v>
      </c>
      <c r="P4097" s="14" t="s">
        <v>84</v>
      </c>
      <c r="Q4097" s="15" t="s">
        <v>1089</v>
      </c>
      <c r="R4097" s="16" t="s">
        <v>6247</v>
      </c>
      <c r="S4097" s="15" t="s">
        <v>25363</v>
      </c>
      <c r="T4097" s="15" t="s">
        <v>25364</v>
      </c>
      <c r="U4097" s="21" t="s">
        <v>72</v>
      </c>
    </row>
    <row r="4098" customFormat="false" ht="15" hidden="false" customHeight="false" outlineLevel="0" collapsed="false">
      <c r="A4098" s="15" t="s">
        <v>25280</v>
      </c>
      <c r="B4098" s="15" t="s">
        <v>25365</v>
      </c>
      <c r="C4098" s="14" t="s">
        <v>25366</v>
      </c>
      <c r="D4098" s="14" t="s">
        <v>25367</v>
      </c>
      <c r="E4098" s="16" t="s">
        <v>25368</v>
      </c>
      <c r="F4098" s="16" t="s">
        <v>25369</v>
      </c>
      <c r="G4098" s="23" t="s">
        <v>43</v>
      </c>
      <c r="H4098" s="18" t="n">
        <v>3</v>
      </c>
      <c r="I4098" s="20" t="n">
        <v>53.31</v>
      </c>
      <c r="J4098" s="20" t="n">
        <v>82.3</v>
      </c>
      <c r="K4098" s="18" t="n">
        <v>2</v>
      </c>
      <c r="L4098" s="18" t="n">
        <v>1</v>
      </c>
      <c r="M4098" s="18" t="n">
        <v>20</v>
      </c>
      <c r="N4098" s="18" t="n">
        <v>20</v>
      </c>
      <c r="O4098" s="14" t="s">
        <v>1088</v>
      </c>
      <c r="P4098" s="14" t="s">
        <v>84</v>
      </c>
      <c r="Q4098" s="15" t="s">
        <v>1089</v>
      </c>
      <c r="R4098" s="16" t="s">
        <v>25370</v>
      </c>
      <c r="S4098" s="15" t="s">
        <v>25371</v>
      </c>
      <c r="T4098" s="15" t="s">
        <v>25371</v>
      </c>
      <c r="U4098" s="21" t="s">
        <v>72</v>
      </c>
    </row>
    <row r="4099" customFormat="false" ht="15" hidden="false" customHeight="false" outlineLevel="0" collapsed="false">
      <c r="A4099" s="15" t="s">
        <v>25280</v>
      </c>
      <c r="B4099" s="15" t="s">
        <v>25365</v>
      </c>
      <c r="C4099" s="14" t="s">
        <v>25372</v>
      </c>
      <c r="D4099" s="14" t="s">
        <v>25373</v>
      </c>
      <c r="E4099" s="16" t="s">
        <v>25374</v>
      </c>
      <c r="F4099" s="16" t="s">
        <v>25375</v>
      </c>
      <c r="G4099" s="23" t="s">
        <v>43</v>
      </c>
      <c r="H4099" s="18" t="n">
        <v>1</v>
      </c>
      <c r="I4099" s="20" t="n">
        <v>36.312</v>
      </c>
      <c r="J4099" s="20" t="n">
        <v>141.2</v>
      </c>
      <c r="K4099" s="18" t="n">
        <v>2</v>
      </c>
      <c r="L4099" s="18" t="n">
        <v>1</v>
      </c>
      <c r="M4099" s="18" t="n">
        <v>60</v>
      </c>
      <c r="N4099" s="18" t="n">
        <v>60</v>
      </c>
      <c r="O4099" s="14" t="s">
        <v>1097</v>
      </c>
      <c r="P4099" s="14" t="s">
        <v>84</v>
      </c>
      <c r="Q4099" s="15" t="s">
        <v>1089</v>
      </c>
      <c r="R4099" s="16" t="s">
        <v>21596</v>
      </c>
      <c r="S4099" s="15" t="s">
        <v>25376</v>
      </c>
      <c r="T4099" s="15" t="s">
        <v>25376</v>
      </c>
      <c r="U4099" s="21" t="s">
        <v>72</v>
      </c>
    </row>
    <row r="4100" customFormat="false" ht="15" hidden="false" customHeight="false" outlineLevel="0" collapsed="false">
      <c r="A4100" s="15" t="s">
        <v>25280</v>
      </c>
      <c r="B4100" s="15" t="s">
        <v>25377</v>
      </c>
      <c r="C4100" s="14" t="s">
        <v>25378</v>
      </c>
      <c r="D4100" s="14" t="s">
        <v>25379</v>
      </c>
      <c r="E4100" s="16" t="s">
        <v>25380</v>
      </c>
      <c r="F4100" s="16" t="s">
        <v>25381</v>
      </c>
      <c r="G4100" s="23" t="s">
        <v>43</v>
      </c>
      <c r="H4100" s="18" t="n">
        <v>2</v>
      </c>
      <c r="I4100" s="20" t="n">
        <v>74.87</v>
      </c>
      <c r="J4100" s="20" t="n">
        <v>175.64</v>
      </c>
      <c r="K4100" s="18" t="n">
        <v>6</v>
      </c>
      <c r="L4100" s="18" t="n">
        <v>2</v>
      </c>
      <c r="M4100" s="18" t="n">
        <v>186</v>
      </c>
      <c r="N4100" s="18" t="n">
        <v>186</v>
      </c>
      <c r="O4100" s="14" t="s">
        <v>1126</v>
      </c>
      <c r="P4100" s="14" t="s">
        <v>84</v>
      </c>
      <c r="Q4100" s="15" t="s">
        <v>1089</v>
      </c>
      <c r="R4100" s="16" t="s">
        <v>1977</v>
      </c>
      <c r="S4100" s="15" t="s">
        <v>25382</v>
      </c>
      <c r="T4100" s="15" t="s">
        <v>25382</v>
      </c>
      <c r="U4100" s="21" t="s">
        <v>72</v>
      </c>
    </row>
    <row r="4101" customFormat="false" ht="15" hidden="false" customHeight="false" outlineLevel="0" collapsed="false">
      <c r="A4101" s="15" t="s">
        <v>25280</v>
      </c>
      <c r="B4101" s="15" t="s">
        <v>25383</v>
      </c>
      <c r="C4101" s="14" t="s">
        <v>25384</v>
      </c>
      <c r="D4101" s="14" t="s">
        <v>25385</v>
      </c>
      <c r="E4101" s="16" t="s">
        <v>25386</v>
      </c>
      <c r="F4101" s="16" t="s">
        <v>25387</v>
      </c>
      <c r="G4101" s="23" t="s">
        <v>43</v>
      </c>
      <c r="H4101" s="18" t="n">
        <v>2</v>
      </c>
      <c r="I4101" s="20" t="n">
        <v>78.4</v>
      </c>
      <c r="J4101" s="20" t="n">
        <v>165.93</v>
      </c>
      <c r="K4101" s="18" t="n">
        <v>2</v>
      </c>
      <c r="L4101" s="18" t="n">
        <v>1</v>
      </c>
      <c r="M4101" s="18" t="n">
        <v>38</v>
      </c>
      <c r="N4101" s="18" t="n">
        <v>38</v>
      </c>
      <c r="O4101" s="14" t="s">
        <v>1126</v>
      </c>
      <c r="P4101" s="14" t="s">
        <v>84</v>
      </c>
      <c r="Q4101" s="15" t="s">
        <v>1089</v>
      </c>
      <c r="R4101" s="16" t="s">
        <v>7218</v>
      </c>
      <c r="S4101" s="15" t="s">
        <v>25388</v>
      </c>
      <c r="T4101" s="15" t="s">
        <v>25389</v>
      </c>
      <c r="U4101" s="21" t="s">
        <v>72</v>
      </c>
    </row>
    <row r="4102" customFormat="false" ht="26.85" hidden="false" customHeight="false" outlineLevel="0" collapsed="false">
      <c r="A4102" s="15" t="s">
        <v>25280</v>
      </c>
      <c r="B4102" s="15" t="s">
        <v>25390</v>
      </c>
      <c r="C4102" s="14" t="s">
        <v>25391</v>
      </c>
      <c r="D4102" s="14" t="s">
        <v>25392</v>
      </c>
      <c r="E4102" s="16" t="s">
        <v>25393</v>
      </c>
      <c r="F4102" s="16" t="s">
        <v>1387</v>
      </c>
      <c r="G4102" s="25" t="s">
        <v>39</v>
      </c>
      <c r="H4102" s="18" t="n">
        <v>7</v>
      </c>
      <c r="I4102" s="20" t="n">
        <v>219.68</v>
      </c>
      <c r="J4102" s="20" t="n">
        <v>477.17</v>
      </c>
      <c r="K4102" s="18" t="n">
        <v>9</v>
      </c>
      <c r="L4102" s="18" t="n">
        <v>5</v>
      </c>
      <c r="M4102" s="18" t="n">
        <v>189</v>
      </c>
      <c r="N4102" s="18" t="n">
        <v>84</v>
      </c>
      <c r="O4102" s="14" t="s">
        <v>1126</v>
      </c>
      <c r="P4102" s="14" t="s">
        <v>84</v>
      </c>
      <c r="Q4102" s="15" t="s">
        <v>1089</v>
      </c>
      <c r="R4102" s="16" t="s">
        <v>25394</v>
      </c>
      <c r="S4102" s="15" t="s">
        <v>8407</v>
      </c>
      <c r="T4102" s="15" t="s">
        <v>25395</v>
      </c>
      <c r="U4102" s="21" t="s">
        <v>72</v>
      </c>
    </row>
    <row r="4103" customFormat="false" ht="15" hidden="false" customHeight="false" outlineLevel="0" collapsed="false">
      <c r="A4103" s="15" t="s">
        <v>25280</v>
      </c>
      <c r="B4103" s="15" t="s">
        <v>25390</v>
      </c>
      <c r="C4103" s="14" t="s">
        <v>25396</v>
      </c>
      <c r="D4103" s="14" t="s">
        <v>25397</v>
      </c>
      <c r="E4103" s="16" t="s">
        <v>25398</v>
      </c>
      <c r="F4103" s="16" t="s">
        <v>25399</v>
      </c>
      <c r="G4103" s="19" t="s">
        <v>41</v>
      </c>
      <c r="H4103" s="18" t="n">
        <v>2</v>
      </c>
      <c r="I4103" s="20" t="n">
        <v>44.08</v>
      </c>
      <c r="J4103" s="20" t="n">
        <v>237.24</v>
      </c>
      <c r="K4103" s="18" t="n">
        <v>4</v>
      </c>
      <c r="L4103" s="18" t="n">
        <v>3</v>
      </c>
      <c r="M4103" s="18" t="n">
        <v>40</v>
      </c>
      <c r="N4103" s="18" t="n">
        <v>40</v>
      </c>
      <c r="O4103" s="14" t="s">
        <v>1126</v>
      </c>
      <c r="P4103" s="14" t="s">
        <v>84</v>
      </c>
      <c r="Q4103" s="15" t="s">
        <v>1089</v>
      </c>
      <c r="R4103" s="16" t="s">
        <v>25400</v>
      </c>
      <c r="S4103" s="15" t="s">
        <v>25401</v>
      </c>
      <c r="T4103" s="15" t="s">
        <v>25402</v>
      </c>
      <c r="U4103" s="21" t="s">
        <v>72</v>
      </c>
    </row>
    <row r="4104" customFormat="false" ht="15" hidden="false" customHeight="false" outlineLevel="0" collapsed="false">
      <c r="A4104" s="15" t="s">
        <v>25280</v>
      </c>
      <c r="B4104" s="15" t="s">
        <v>25390</v>
      </c>
      <c r="C4104" s="14" t="s">
        <v>25403</v>
      </c>
      <c r="D4104" s="14" t="s">
        <v>25404</v>
      </c>
      <c r="E4104" s="16" t="s">
        <v>25405</v>
      </c>
      <c r="F4104" s="16" t="s">
        <v>25406</v>
      </c>
      <c r="G4104" s="25" t="s">
        <v>39</v>
      </c>
      <c r="H4104" s="18" t="n">
        <v>9</v>
      </c>
      <c r="I4104" s="20" t="n">
        <v>170</v>
      </c>
      <c r="J4104" s="20" t="n">
        <v>300.48</v>
      </c>
      <c r="K4104" s="18" t="n">
        <v>15</v>
      </c>
      <c r="L4104" s="18" t="n">
        <v>5</v>
      </c>
      <c r="M4104" s="18" t="n">
        <v>251</v>
      </c>
      <c r="N4104" s="18" t="n">
        <v>159</v>
      </c>
      <c r="O4104" s="14" t="s">
        <v>25407</v>
      </c>
      <c r="P4104" s="14" t="s">
        <v>84</v>
      </c>
      <c r="Q4104" s="15" t="s">
        <v>1089</v>
      </c>
      <c r="R4104" s="16" t="s">
        <v>25408</v>
      </c>
      <c r="S4104" s="15" t="s">
        <v>25338</v>
      </c>
      <c r="T4104" s="15" t="s">
        <v>25338</v>
      </c>
      <c r="U4104" s="21" t="s">
        <v>72</v>
      </c>
    </row>
    <row r="4105" customFormat="false" ht="15" hidden="false" customHeight="false" outlineLevel="0" collapsed="false">
      <c r="A4105" s="15" t="s">
        <v>25280</v>
      </c>
      <c r="B4105" s="15" t="s">
        <v>25390</v>
      </c>
      <c r="C4105" s="14" t="s">
        <v>25409</v>
      </c>
      <c r="D4105" s="14" t="s">
        <v>25410</v>
      </c>
      <c r="E4105" s="16" t="s">
        <v>25411</v>
      </c>
      <c r="F4105" s="16" t="s">
        <v>25412</v>
      </c>
      <c r="G4105" s="23" t="s">
        <v>43</v>
      </c>
      <c r="H4105" s="18" t="n">
        <v>2</v>
      </c>
      <c r="I4105" s="20" t="n">
        <v>36.84</v>
      </c>
      <c r="J4105" s="20" t="n">
        <v>163.09</v>
      </c>
      <c r="K4105" s="18" t="n">
        <v>8</v>
      </c>
      <c r="L4105" s="18" t="n">
        <v>1</v>
      </c>
      <c r="M4105" s="18" t="n">
        <v>150</v>
      </c>
      <c r="N4105" s="18" t="n">
        <v>90</v>
      </c>
      <c r="O4105" s="14" t="s">
        <v>25413</v>
      </c>
      <c r="P4105" s="14" t="s">
        <v>84</v>
      </c>
      <c r="Q4105" s="15" t="s">
        <v>1089</v>
      </c>
      <c r="R4105" s="16" t="s">
        <v>5202</v>
      </c>
      <c r="S4105" s="15" t="s">
        <v>25414</v>
      </c>
      <c r="T4105" s="15" t="s">
        <v>25415</v>
      </c>
      <c r="U4105" s="21" t="s">
        <v>72</v>
      </c>
    </row>
    <row r="4106" customFormat="false" ht="15" hidden="false" customHeight="false" outlineLevel="0" collapsed="false">
      <c r="A4106" s="15" t="s">
        <v>25280</v>
      </c>
      <c r="B4106" s="15" t="s">
        <v>25390</v>
      </c>
      <c r="C4106" s="14" t="s">
        <v>25416</v>
      </c>
      <c r="D4106" s="14" t="s">
        <v>25417</v>
      </c>
      <c r="E4106" s="16" t="s">
        <v>25418</v>
      </c>
      <c r="F4106" s="16" t="s">
        <v>25419</v>
      </c>
      <c r="G4106" s="23" t="s">
        <v>43</v>
      </c>
      <c r="H4106" s="18" t="n">
        <v>2</v>
      </c>
      <c r="I4106" s="20" t="n">
        <v>30</v>
      </c>
      <c r="J4106" s="20" t="n">
        <v>104.78</v>
      </c>
      <c r="K4106" s="18" t="n">
        <v>3</v>
      </c>
      <c r="L4106" s="18" t="n">
        <v>2</v>
      </c>
      <c r="M4106" s="18" t="n">
        <v>60</v>
      </c>
      <c r="N4106" s="18" t="n">
        <v>60</v>
      </c>
      <c r="O4106" s="14" t="s">
        <v>1126</v>
      </c>
      <c r="P4106" s="14" t="s">
        <v>84</v>
      </c>
      <c r="Q4106" s="15" t="s">
        <v>1089</v>
      </c>
      <c r="R4106" s="16" t="s">
        <v>25420</v>
      </c>
      <c r="S4106" s="15" t="s">
        <v>6416</v>
      </c>
      <c r="T4106" s="15" t="s">
        <v>6416</v>
      </c>
      <c r="U4106" s="21" t="s">
        <v>72</v>
      </c>
    </row>
    <row r="4107" customFormat="false" ht="15" hidden="false" customHeight="false" outlineLevel="0" collapsed="false">
      <c r="A4107" s="15" t="s">
        <v>25280</v>
      </c>
      <c r="B4107" s="15" t="s">
        <v>25421</v>
      </c>
      <c r="C4107" s="14" t="s">
        <v>25422</v>
      </c>
      <c r="D4107" s="14" t="s">
        <v>25423</v>
      </c>
      <c r="E4107" s="16" t="s">
        <v>25424</v>
      </c>
      <c r="F4107" s="16" t="s">
        <v>25425</v>
      </c>
      <c r="G4107" s="23" t="s">
        <v>43</v>
      </c>
      <c r="H4107" s="18" t="n">
        <v>2</v>
      </c>
      <c r="I4107" s="20" t="n">
        <v>34.7</v>
      </c>
      <c r="J4107" s="20" t="n">
        <v>39.74</v>
      </c>
      <c r="K4107" s="18" t="n">
        <v>2</v>
      </c>
      <c r="L4107" s="18" t="n">
        <v>1</v>
      </c>
      <c r="M4107" s="18" t="n">
        <v>28</v>
      </c>
      <c r="N4107" s="18" t="n">
        <v>28</v>
      </c>
      <c r="O4107" s="14" t="s">
        <v>1088</v>
      </c>
      <c r="P4107" s="14" t="s">
        <v>84</v>
      </c>
      <c r="Q4107" s="15" t="s">
        <v>1089</v>
      </c>
      <c r="R4107" s="16" t="s">
        <v>25426</v>
      </c>
      <c r="S4107" s="15" t="s">
        <v>25427</v>
      </c>
      <c r="T4107" s="15" t="s">
        <v>25427</v>
      </c>
      <c r="U4107" s="21" t="s">
        <v>72</v>
      </c>
    </row>
    <row r="4108" customFormat="false" ht="15" hidden="false" customHeight="false" outlineLevel="0" collapsed="false">
      <c r="A4108" s="15" t="s">
        <v>25280</v>
      </c>
      <c r="B4108" s="15" t="s">
        <v>25421</v>
      </c>
      <c r="C4108" s="14" t="s">
        <v>25428</v>
      </c>
      <c r="D4108" s="14" t="s">
        <v>25429</v>
      </c>
      <c r="E4108" s="16" t="s">
        <v>25430</v>
      </c>
      <c r="F4108" s="16" t="s">
        <v>25431</v>
      </c>
      <c r="G4108" s="23" t="s">
        <v>43</v>
      </c>
      <c r="H4108" s="18" t="n">
        <v>3</v>
      </c>
      <c r="I4108" s="20" t="n">
        <v>60.48</v>
      </c>
      <c r="J4108" s="20" t="n">
        <v>105.28</v>
      </c>
      <c r="K4108" s="18" t="n">
        <v>5</v>
      </c>
      <c r="L4108" s="18" t="n">
        <v>1</v>
      </c>
      <c r="M4108" s="18" t="n">
        <v>75</v>
      </c>
      <c r="N4108" s="18" t="n">
        <v>45</v>
      </c>
      <c r="O4108" s="14" t="s">
        <v>25432</v>
      </c>
      <c r="P4108" s="14" t="s">
        <v>84</v>
      </c>
      <c r="Q4108" s="15" t="s">
        <v>1089</v>
      </c>
      <c r="R4108" s="16" t="s">
        <v>25433</v>
      </c>
      <c r="S4108" s="15" t="s">
        <v>25434</v>
      </c>
      <c r="T4108" s="15" t="s">
        <v>25434</v>
      </c>
      <c r="U4108" s="21" t="s">
        <v>72</v>
      </c>
    </row>
    <row r="4109" customFormat="false" ht="15" hidden="false" customHeight="false" outlineLevel="0" collapsed="false">
      <c r="A4109" s="15" t="s">
        <v>25280</v>
      </c>
      <c r="B4109" s="15" t="s">
        <v>25421</v>
      </c>
      <c r="C4109" s="14" t="s">
        <v>25435</v>
      </c>
      <c r="D4109" s="14" t="s">
        <v>25436</v>
      </c>
      <c r="E4109" s="16" t="s">
        <v>25437</v>
      </c>
      <c r="F4109" s="16" t="s">
        <v>25438</v>
      </c>
      <c r="G4109" s="23" t="s">
        <v>43</v>
      </c>
      <c r="H4109" s="18" t="n">
        <v>2</v>
      </c>
      <c r="I4109" s="20" t="n">
        <v>95.26</v>
      </c>
      <c r="J4109" s="20" t="n">
        <v>95.26</v>
      </c>
      <c r="K4109" s="18" t="n">
        <v>6</v>
      </c>
      <c r="L4109" s="18" t="n">
        <v>1</v>
      </c>
      <c r="M4109" s="18" t="n">
        <v>90</v>
      </c>
      <c r="N4109" s="18" t="n">
        <v>90</v>
      </c>
      <c r="O4109" s="14" t="s">
        <v>25439</v>
      </c>
      <c r="P4109" s="14" t="s">
        <v>84</v>
      </c>
      <c r="Q4109" s="15" t="s">
        <v>1089</v>
      </c>
      <c r="R4109" s="16" t="s">
        <v>20921</v>
      </c>
      <c r="S4109" s="15" t="s">
        <v>5673</v>
      </c>
      <c r="T4109" s="15" t="s">
        <v>5673</v>
      </c>
      <c r="U4109" s="21" t="s">
        <v>72</v>
      </c>
    </row>
    <row r="4110" customFormat="false" ht="15" hidden="false" customHeight="false" outlineLevel="0" collapsed="false">
      <c r="A4110" s="15" t="s">
        <v>25280</v>
      </c>
      <c r="B4110" s="15" t="s">
        <v>25440</v>
      </c>
      <c r="C4110" s="14" t="s">
        <v>25441</v>
      </c>
      <c r="D4110" s="14" t="s">
        <v>25442</v>
      </c>
      <c r="E4110" s="16" t="s">
        <v>25443</v>
      </c>
      <c r="F4110" s="16" t="s">
        <v>25444</v>
      </c>
      <c r="G4110" s="25" t="s">
        <v>39</v>
      </c>
      <c r="H4110" s="18" t="n">
        <v>10</v>
      </c>
      <c r="I4110" s="20" t="n">
        <v>268.93</v>
      </c>
      <c r="J4110" s="20" t="n">
        <v>440.8</v>
      </c>
      <c r="K4110" s="18" t="n">
        <v>5</v>
      </c>
      <c r="L4110" s="18" t="n">
        <v>8</v>
      </c>
      <c r="M4110" s="18" t="n">
        <v>89</v>
      </c>
      <c r="N4110" s="18" t="n">
        <v>89</v>
      </c>
      <c r="O4110" s="14" t="s">
        <v>1088</v>
      </c>
      <c r="P4110" s="14" t="s">
        <v>84</v>
      </c>
      <c r="Q4110" s="15" t="s">
        <v>1089</v>
      </c>
      <c r="R4110" s="16" t="s">
        <v>25445</v>
      </c>
      <c r="S4110" s="15" t="s">
        <v>25446</v>
      </c>
      <c r="T4110" s="15" t="s">
        <v>25446</v>
      </c>
      <c r="U4110" s="21" t="s">
        <v>72</v>
      </c>
    </row>
    <row r="4111" customFormat="false" ht="15" hidden="false" customHeight="false" outlineLevel="0" collapsed="false">
      <c r="A4111" s="15" t="s">
        <v>25280</v>
      </c>
      <c r="B4111" s="15" t="s">
        <v>25440</v>
      </c>
      <c r="C4111" s="14" t="s">
        <v>25447</v>
      </c>
      <c r="D4111" s="14" t="s">
        <v>25448</v>
      </c>
      <c r="E4111" s="16" t="s">
        <v>25449</v>
      </c>
      <c r="F4111" s="16" t="s">
        <v>25450</v>
      </c>
      <c r="G4111" s="23" t="s">
        <v>43</v>
      </c>
      <c r="H4111" s="18" t="n">
        <v>1</v>
      </c>
      <c r="I4111" s="20" t="n">
        <v>46.06</v>
      </c>
      <c r="J4111" s="20" t="n">
        <v>112.24</v>
      </c>
      <c r="K4111" s="18" t="n">
        <v>6</v>
      </c>
      <c r="L4111" s="18" t="n">
        <v>1</v>
      </c>
      <c r="M4111" s="18" t="n">
        <v>228</v>
      </c>
      <c r="N4111" s="18" t="n">
        <v>228</v>
      </c>
      <c r="O4111" s="14" t="s">
        <v>1088</v>
      </c>
      <c r="P4111" s="14" t="s">
        <v>84</v>
      </c>
      <c r="Q4111" s="15" t="s">
        <v>1089</v>
      </c>
      <c r="R4111" s="16" t="s">
        <v>16224</v>
      </c>
      <c r="S4111" s="15" t="s">
        <v>25451</v>
      </c>
      <c r="T4111" s="15" t="s">
        <v>25451</v>
      </c>
      <c r="U4111" s="21" t="s">
        <v>72</v>
      </c>
    </row>
    <row r="4112" customFormat="false" ht="15" hidden="false" customHeight="false" outlineLevel="0" collapsed="false">
      <c r="A4112" s="15" t="s">
        <v>25280</v>
      </c>
      <c r="B4112" s="15" t="s">
        <v>25452</v>
      </c>
      <c r="C4112" s="14" t="s">
        <v>25453</v>
      </c>
      <c r="D4112" s="14" t="s">
        <v>25454</v>
      </c>
      <c r="E4112" s="16" t="s">
        <v>25455</v>
      </c>
      <c r="F4112" s="16" t="s">
        <v>25456</v>
      </c>
      <c r="G4112" s="23" t="s">
        <v>43</v>
      </c>
      <c r="H4112" s="18" t="n">
        <v>1</v>
      </c>
      <c r="I4112" s="20" t="n">
        <v>36.45</v>
      </c>
      <c r="J4112" s="20" t="n">
        <v>48.6</v>
      </c>
      <c r="K4112" s="18" t="n">
        <v>2</v>
      </c>
      <c r="L4112" s="18" t="n">
        <v>1</v>
      </c>
      <c r="M4112" s="18" t="n">
        <v>60</v>
      </c>
      <c r="N4112" s="18" t="n">
        <v>60</v>
      </c>
      <c r="O4112" s="14" t="s">
        <v>1126</v>
      </c>
      <c r="P4112" s="14" t="s">
        <v>84</v>
      </c>
      <c r="Q4112" s="15" t="s">
        <v>1089</v>
      </c>
      <c r="R4112" s="16" t="s">
        <v>7764</v>
      </c>
      <c r="S4112" s="15" t="s">
        <v>25457</v>
      </c>
      <c r="T4112" s="15" t="s">
        <v>25457</v>
      </c>
      <c r="U4112" s="21" t="s">
        <v>72</v>
      </c>
    </row>
    <row r="4113" customFormat="false" ht="15" hidden="false" customHeight="false" outlineLevel="0" collapsed="false">
      <c r="A4113" s="15" t="s">
        <v>25280</v>
      </c>
      <c r="B4113" s="15" t="s">
        <v>25458</v>
      </c>
      <c r="C4113" s="14" t="s">
        <v>25459</v>
      </c>
      <c r="D4113" s="14" t="s">
        <v>25460</v>
      </c>
      <c r="E4113" s="16" t="s">
        <v>25461</v>
      </c>
      <c r="F4113" s="16" t="s">
        <v>25462</v>
      </c>
      <c r="G4113" s="23" t="s">
        <v>43</v>
      </c>
      <c r="H4113" s="18" t="n">
        <v>2</v>
      </c>
      <c r="I4113" s="20" t="n">
        <v>50</v>
      </c>
      <c r="J4113" s="20" t="n">
        <v>100.26</v>
      </c>
      <c r="K4113" s="18" t="n">
        <v>2</v>
      </c>
      <c r="L4113" s="18" t="n">
        <v>1</v>
      </c>
      <c r="M4113" s="18" t="n">
        <v>27</v>
      </c>
      <c r="N4113" s="18" t="n">
        <v>27</v>
      </c>
      <c r="O4113" s="14" t="s">
        <v>1088</v>
      </c>
      <c r="P4113" s="14" t="s">
        <v>84</v>
      </c>
      <c r="Q4113" s="15" t="s">
        <v>1089</v>
      </c>
      <c r="R4113" s="16" t="s">
        <v>25463</v>
      </c>
      <c r="S4113" s="15" t="s">
        <v>25464</v>
      </c>
      <c r="T4113" s="15" t="s">
        <v>25465</v>
      </c>
      <c r="U4113" s="21" t="s">
        <v>72</v>
      </c>
    </row>
    <row r="4114" customFormat="false" ht="15" hidden="false" customHeight="false" outlineLevel="0" collapsed="false">
      <c r="A4114" s="15" t="s">
        <v>25280</v>
      </c>
      <c r="B4114" s="15" t="s">
        <v>25466</v>
      </c>
      <c r="C4114" s="14" t="s">
        <v>25467</v>
      </c>
      <c r="D4114" s="14" t="s">
        <v>25468</v>
      </c>
      <c r="E4114" s="16" t="s">
        <v>25469</v>
      </c>
      <c r="F4114" s="16" t="s">
        <v>25470</v>
      </c>
      <c r="G4114" s="23" t="s">
        <v>43</v>
      </c>
      <c r="H4114" s="18" t="n">
        <v>2</v>
      </c>
      <c r="I4114" s="20" t="n">
        <v>45.34</v>
      </c>
      <c r="J4114" s="20" t="n">
        <v>169.58</v>
      </c>
      <c r="K4114" s="18" t="n">
        <v>4</v>
      </c>
      <c r="L4114" s="18" t="n">
        <v>3</v>
      </c>
      <c r="M4114" s="18" t="n">
        <v>72</v>
      </c>
      <c r="N4114" s="18" t="n">
        <v>72</v>
      </c>
      <c r="O4114" s="14" t="s">
        <v>1126</v>
      </c>
      <c r="P4114" s="14" t="s">
        <v>84</v>
      </c>
      <c r="Q4114" s="15" t="s">
        <v>1089</v>
      </c>
      <c r="R4114" s="16" t="s">
        <v>25471</v>
      </c>
      <c r="S4114" s="15" t="s">
        <v>25472</v>
      </c>
      <c r="T4114" s="15" t="s">
        <v>25472</v>
      </c>
      <c r="U4114" s="21" t="s">
        <v>72</v>
      </c>
    </row>
    <row r="4115" customFormat="false" ht="15" hidden="false" customHeight="false" outlineLevel="0" collapsed="false">
      <c r="A4115" s="15" t="s">
        <v>25280</v>
      </c>
      <c r="B4115" s="15" t="s">
        <v>25473</v>
      </c>
      <c r="C4115" s="14" t="s">
        <v>25474</v>
      </c>
      <c r="D4115" s="14" t="s">
        <v>25475</v>
      </c>
      <c r="E4115" s="16" t="s">
        <v>25476</v>
      </c>
      <c r="F4115" s="16" t="s">
        <v>25477</v>
      </c>
      <c r="G4115" s="19" t="s">
        <v>41</v>
      </c>
      <c r="H4115" s="18" t="n">
        <v>1</v>
      </c>
      <c r="I4115" s="20" t="n">
        <v>248.36</v>
      </c>
      <c r="J4115" s="20" t="n">
        <v>354.1</v>
      </c>
      <c r="K4115" s="18" t="n">
        <v>9</v>
      </c>
      <c r="L4115" s="18" t="n">
        <v>5</v>
      </c>
      <c r="M4115" s="18" t="n">
        <v>180</v>
      </c>
      <c r="N4115" s="18" t="n">
        <v>160</v>
      </c>
      <c r="O4115" s="14" t="s">
        <v>1097</v>
      </c>
      <c r="P4115" s="14" t="s">
        <v>118</v>
      </c>
      <c r="Q4115" s="15" t="s">
        <v>1089</v>
      </c>
      <c r="R4115" s="16" t="s">
        <v>25478</v>
      </c>
      <c r="S4115" s="15" t="s">
        <v>25479</v>
      </c>
      <c r="T4115" s="15" t="s">
        <v>25480</v>
      </c>
      <c r="U4115" s="21" t="s">
        <v>72</v>
      </c>
    </row>
    <row r="4116" customFormat="false" ht="26.85" hidden="false" customHeight="false" outlineLevel="0" collapsed="false">
      <c r="A4116" s="15" t="s">
        <v>25280</v>
      </c>
      <c r="B4116" s="15" t="s">
        <v>25473</v>
      </c>
      <c r="C4116" s="14" t="s">
        <v>25481</v>
      </c>
      <c r="D4116" s="14" t="s">
        <v>25482</v>
      </c>
      <c r="E4116" s="16" t="s">
        <v>25483</v>
      </c>
      <c r="F4116" s="16" t="s">
        <v>25484</v>
      </c>
      <c r="G4116" s="25" t="s">
        <v>39</v>
      </c>
      <c r="H4116" s="18" t="n">
        <v>10</v>
      </c>
      <c r="I4116" s="20" t="n">
        <v>280.43</v>
      </c>
      <c r="J4116" s="20" t="n">
        <v>564</v>
      </c>
      <c r="K4116" s="18" t="n">
        <v>6</v>
      </c>
      <c r="L4116" s="18" t="n">
        <v>7</v>
      </c>
      <c r="M4116" s="18" t="n">
        <v>120</v>
      </c>
      <c r="N4116" s="18" t="n">
        <v>120</v>
      </c>
      <c r="O4116" s="14" t="s">
        <v>25485</v>
      </c>
      <c r="P4116" s="14" t="s">
        <v>84</v>
      </c>
      <c r="Q4116" s="15" t="s">
        <v>1089</v>
      </c>
      <c r="R4116" s="16" t="s">
        <v>6259</v>
      </c>
      <c r="S4116" s="15" t="s">
        <v>25486</v>
      </c>
      <c r="T4116" s="15" t="s">
        <v>25486</v>
      </c>
      <c r="U4116" s="21" t="s">
        <v>72</v>
      </c>
    </row>
    <row r="4117" customFormat="false" ht="15" hidden="false" customHeight="false" outlineLevel="0" collapsed="false">
      <c r="A4117" s="15" t="s">
        <v>25280</v>
      </c>
      <c r="B4117" s="15" t="s">
        <v>25473</v>
      </c>
      <c r="C4117" s="14" t="s">
        <v>25487</v>
      </c>
      <c r="D4117" s="14" t="s">
        <v>25488</v>
      </c>
      <c r="E4117" s="16" t="s">
        <v>25489</v>
      </c>
      <c r="F4117" s="16" t="s">
        <v>25490</v>
      </c>
      <c r="G4117" s="23" t="s">
        <v>43</v>
      </c>
      <c r="H4117" s="18" t="n">
        <v>2</v>
      </c>
      <c r="I4117" s="20" t="n">
        <v>42.21</v>
      </c>
      <c r="J4117" s="20" t="n">
        <v>93.25</v>
      </c>
      <c r="K4117" s="18" t="n">
        <v>4</v>
      </c>
      <c r="L4117" s="18" t="n">
        <v>4</v>
      </c>
      <c r="M4117" s="18" t="n">
        <v>114</v>
      </c>
      <c r="N4117" s="18" t="n">
        <v>114</v>
      </c>
      <c r="O4117" s="14" t="s">
        <v>1088</v>
      </c>
      <c r="P4117" s="14" t="s">
        <v>84</v>
      </c>
      <c r="Q4117" s="15" t="s">
        <v>1089</v>
      </c>
      <c r="R4117" s="16" t="s">
        <v>25491</v>
      </c>
      <c r="S4117" s="15" t="s">
        <v>25492</v>
      </c>
      <c r="T4117" s="15" t="s">
        <v>25492</v>
      </c>
      <c r="U4117" s="21" t="s">
        <v>72</v>
      </c>
    </row>
    <row r="4118" customFormat="false" ht="15" hidden="false" customHeight="false" outlineLevel="0" collapsed="false">
      <c r="A4118" s="15" t="s">
        <v>25280</v>
      </c>
      <c r="B4118" s="15" t="s">
        <v>25473</v>
      </c>
      <c r="C4118" s="14" t="s">
        <v>25493</v>
      </c>
      <c r="D4118" s="14" t="s">
        <v>25494</v>
      </c>
      <c r="E4118" s="16" t="s">
        <v>25495</v>
      </c>
      <c r="F4118" s="16" t="s">
        <v>25496</v>
      </c>
      <c r="G4118" s="23" t="s">
        <v>43</v>
      </c>
      <c r="H4118" s="18" t="n">
        <v>2</v>
      </c>
      <c r="I4118" s="20" t="n">
        <v>39.89</v>
      </c>
      <c r="J4118" s="20" t="n">
        <v>122.47</v>
      </c>
      <c r="K4118" s="18" t="n">
        <v>4</v>
      </c>
      <c r="L4118" s="18" t="n">
        <v>2</v>
      </c>
      <c r="M4118" s="18" t="n">
        <v>240</v>
      </c>
      <c r="N4118" s="18" t="n">
        <v>240</v>
      </c>
      <c r="O4118" s="14" t="s">
        <v>1088</v>
      </c>
      <c r="P4118" s="14" t="s">
        <v>84</v>
      </c>
      <c r="Q4118" s="15" t="s">
        <v>1089</v>
      </c>
      <c r="R4118" s="16" t="s">
        <v>25497</v>
      </c>
      <c r="S4118" s="15" t="s">
        <v>25498</v>
      </c>
      <c r="T4118" s="15" t="s">
        <v>25498</v>
      </c>
      <c r="U4118" s="21" t="s">
        <v>72</v>
      </c>
    </row>
    <row r="4119" customFormat="false" ht="15" hidden="false" customHeight="false" outlineLevel="0" collapsed="false">
      <c r="A4119" s="15" t="s">
        <v>25280</v>
      </c>
      <c r="B4119" s="15" t="s">
        <v>25473</v>
      </c>
      <c r="C4119" s="14" t="s">
        <v>25499</v>
      </c>
      <c r="D4119" s="14" t="s">
        <v>25500</v>
      </c>
      <c r="E4119" s="16" t="s">
        <v>25501</v>
      </c>
      <c r="F4119" s="16"/>
      <c r="G4119" s="23" t="s">
        <v>43</v>
      </c>
      <c r="H4119" s="18" t="n">
        <v>2</v>
      </c>
      <c r="I4119" s="20" t="n">
        <v>32.73</v>
      </c>
      <c r="J4119" s="20" t="n">
        <v>72.46</v>
      </c>
      <c r="K4119" s="18" t="n">
        <v>2</v>
      </c>
      <c r="L4119" s="18" t="n">
        <v>4</v>
      </c>
      <c r="M4119" s="18" t="n">
        <v>26</v>
      </c>
      <c r="N4119" s="18" t="n">
        <v>13</v>
      </c>
      <c r="O4119" s="14" t="s">
        <v>1088</v>
      </c>
      <c r="P4119" s="14" t="s">
        <v>84</v>
      </c>
      <c r="Q4119" s="15" t="s">
        <v>1089</v>
      </c>
      <c r="R4119" s="16" t="s">
        <v>25502</v>
      </c>
      <c r="S4119" s="15" t="s">
        <v>25503</v>
      </c>
      <c r="T4119" s="15" t="s">
        <v>25503</v>
      </c>
      <c r="U4119" s="21" t="s">
        <v>72</v>
      </c>
    </row>
    <row r="4120" customFormat="false" ht="15" hidden="false" customHeight="false" outlineLevel="0" collapsed="false">
      <c r="A4120" s="15" t="s">
        <v>25280</v>
      </c>
      <c r="B4120" s="15" t="s">
        <v>25473</v>
      </c>
      <c r="C4120" s="14" t="s">
        <v>25504</v>
      </c>
      <c r="D4120" s="14" t="s">
        <v>25505</v>
      </c>
      <c r="E4120" s="16" t="s">
        <v>25506</v>
      </c>
      <c r="F4120" s="16" t="s">
        <v>25507</v>
      </c>
      <c r="G4120" s="19" t="s">
        <v>41</v>
      </c>
      <c r="H4120" s="18" t="n">
        <v>5</v>
      </c>
      <c r="I4120" s="20" t="n">
        <v>235.96</v>
      </c>
      <c r="J4120" s="20" t="n">
        <v>295.06</v>
      </c>
      <c r="K4120" s="18" t="n">
        <v>4</v>
      </c>
      <c r="L4120" s="18" t="n">
        <v>1</v>
      </c>
      <c r="M4120" s="18" t="n">
        <v>120</v>
      </c>
      <c r="N4120" s="18" t="n">
        <v>120</v>
      </c>
      <c r="O4120" s="14" t="s">
        <v>1088</v>
      </c>
      <c r="P4120" s="14" t="s">
        <v>84</v>
      </c>
      <c r="Q4120" s="15" t="s">
        <v>1089</v>
      </c>
      <c r="R4120" s="16" t="s">
        <v>25508</v>
      </c>
      <c r="S4120" s="15" t="s">
        <v>25509</v>
      </c>
      <c r="T4120" s="15" t="s">
        <v>25509</v>
      </c>
      <c r="U4120" s="21" t="s">
        <v>72</v>
      </c>
    </row>
    <row r="4121" customFormat="false" ht="15" hidden="false" customHeight="false" outlineLevel="0" collapsed="false">
      <c r="A4121" s="15" t="s">
        <v>25280</v>
      </c>
      <c r="B4121" s="15" t="s">
        <v>25510</v>
      </c>
      <c r="C4121" s="14" t="s">
        <v>25511</v>
      </c>
      <c r="D4121" s="14" t="s">
        <v>25512</v>
      </c>
      <c r="E4121" s="16" t="s">
        <v>25513</v>
      </c>
      <c r="F4121" s="16" t="s">
        <v>25514</v>
      </c>
      <c r="G4121" s="23" t="s">
        <v>43</v>
      </c>
      <c r="H4121" s="18" t="n">
        <v>2</v>
      </c>
      <c r="I4121" s="20" t="n">
        <v>58.57</v>
      </c>
      <c r="J4121" s="20" t="n">
        <v>93.56</v>
      </c>
      <c r="K4121" s="18" t="n">
        <v>5</v>
      </c>
      <c r="L4121" s="18" t="n">
        <v>2</v>
      </c>
      <c r="M4121" s="18" t="n">
        <v>125</v>
      </c>
      <c r="N4121" s="18" t="n">
        <v>125</v>
      </c>
      <c r="O4121" s="14" t="s">
        <v>25515</v>
      </c>
      <c r="P4121" s="14" t="s">
        <v>84</v>
      </c>
      <c r="Q4121" s="15" t="s">
        <v>1089</v>
      </c>
      <c r="R4121" s="16" t="s">
        <v>23783</v>
      </c>
      <c r="S4121" s="15" t="s">
        <v>12489</v>
      </c>
      <c r="T4121" s="15" t="s">
        <v>25516</v>
      </c>
      <c r="U4121" s="21" t="s">
        <v>72</v>
      </c>
    </row>
    <row r="4122" customFormat="false" ht="15" hidden="false" customHeight="false" outlineLevel="0" collapsed="false">
      <c r="A4122" s="15" t="s">
        <v>25280</v>
      </c>
      <c r="B4122" s="15" t="s">
        <v>25517</v>
      </c>
      <c r="C4122" s="14" t="s">
        <v>25518</v>
      </c>
      <c r="D4122" s="14" t="s">
        <v>25519</v>
      </c>
      <c r="E4122" s="16" t="s">
        <v>25520</v>
      </c>
      <c r="F4122" s="16" t="s">
        <v>25521</v>
      </c>
      <c r="G4122" s="23" t="s">
        <v>43</v>
      </c>
      <c r="H4122" s="18" t="n">
        <v>2</v>
      </c>
      <c r="I4122" s="20" t="n">
        <v>31.425</v>
      </c>
      <c r="J4122" s="20" t="n">
        <v>71.66</v>
      </c>
      <c r="K4122" s="18" t="n">
        <v>2</v>
      </c>
      <c r="L4122" s="18" t="n">
        <v>4</v>
      </c>
      <c r="M4122" s="18" t="n">
        <v>20</v>
      </c>
      <c r="N4122" s="18" t="n">
        <v>10</v>
      </c>
      <c r="O4122" s="14" t="s">
        <v>3001</v>
      </c>
      <c r="P4122" s="14" t="s">
        <v>84</v>
      </c>
      <c r="Q4122" s="15" t="s">
        <v>1089</v>
      </c>
      <c r="R4122" s="16" t="s">
        <v>3549</v>
      </c>
      <c r="S4122" s="15" t="s">
        <v>25522</v>
      </c>
      <c r="T4122" s="15" t="s">
        <v>25522</v>
      </c>
      <c r="U4122" s="21" t="s">
        <v>72</v>
      </c>
    </row>
    <row r="4123" customFormat="false" ht="15" hidden="false" customHeight="false" outlineLevel="0" collapsed="false">
      <c r="A4123" s="15" t="s">
        <v>25280</v>
      </c>
      <c r="B4123" s="15" t="s">
        <v>25517</v>
      </c>
      <c r="C4123" s="14" t="s">
        <v>25523</v>
      </c>
      <c r="D4123" s="14" t="s">
        <v>25524</v>
      </c>
      <c r="E4123" s="16" t="s">
        <v>25525</v>
      </c>
      <c r="F4123" s="16" t="s">
        <v>25526</v>
      </c>
      <c r="G4123" s="23" t="s">
        <v>43</v>
      </c>
      <c r="H4123" s="18" t="n">
        <v>2</v>
      </c>
      <c r="I4123" s="20" t="n">
        <v>63.9</v>
      </c>
      <c r="J4123" s="20" t="n">
        <v>192.62</v>
      </c>
      <c r="K4123" s="18" t="n">
        <v>6</v>
      </c>
      <c r="L4123" s="18" t="n">
        <v>5</v>
      </c>
      <c r="M4123" s="18" t="n">
        <v>160</v>
      </c>
      <c r="N4123" s="18" t="n">
        <v>48</v>
      </c>
      <c r="O4123" s="14" t="s">
        <v>1126</v>
      </c>
      <c r="P4123" s="14" t="s">
        <v>84</v>
      </c>
      <c r="Q4123" s="15" t="s">
        <v>1089</v>
      </c>
      <c r="R4123" s="16" t="s">
        <v>25527</v>
      </c>
      <c r="S4123" s="15" t="s">
        <v>25528</v>
      </c>
      <c r="T4123" s="15" t="s">
        <v>25528</v>
      </c>
      <c r="U4123" s="21" t="s">
        <v>72</v>
      </c>
    </row>
    <row r="4124" customFormat="false" ht="15" hidden="false" customHeight="false" outlineLevel="0" collapsed="false">
      <c r="A4124" s="15" t="s">
        <v>25529</v>
      </c>
      <c r="B4124" s="16"/>
      <c r="C4124" s="14" t="s">
        <v>25530</v>
      </c>
      <c r="D4124" s="13" t="s">
        <v>25531</v>
      </c>
      <c r="E4124" s="16" t="s">
        <v>25532</v>
      </c>
      <c r="F4124" s="16" t="s">
        <v>25533</v>
      </c>
      <c r="G4124" s="25" t="s">
        <v>39</v>
      </c>
      <c r="H4124" s="18" t="n">
        <v>5</v>
      </c>
      <c r="I4124" s="20" t="n">
        <v>274</v>
      </c>
      <c r="J4124" s="20" t="n">
        <v>486</v>
      </c>
      <c r="K4124" s="18" t="n">
        <v>5</v>
      </c>
      <c r="L4124" s="18" t="n">
        <v>9</v>
      </c>
      <c r="M4124" s="18" t="n">
        <v>100</v>
      </c>
      <c r="N4124" s="18" t="n">
        <v>40</v>
      </c>
      <c r="O4124" s="14" t="s">
        <v>1126</v>
      </c>
      <c r="P4124" s="14" t="s">
        <v>94</v>
      </c>
      <c r="Q4124" s="15" t="s">
        <v>1089</v>
      </c>
      <c r="R4124" s="16" t="s">
        <v>25534</v>
      </c>
      <c r="S4124" s="15" t="s">
        <v>25535</v>
      </c>
      <c r="T4124" s="15" t="s">
        <v>25536</v>
      </c>
      <c r="U4124" s="21" t="s">
        <v>72</v>
      </c>
    </row>
    <row r="4125" customFormat="false" ht="15" hidden="false" customHeight="false" outlineLevel="0" collapsed="false">
      <c r="A4125" s="15" t="s">
        <v>25529</v>
      </c>
      <c r="B4125" s="16"/>
      <c r="C4125" s="14" t="s">
        <v>25537</v>
      </c>
      <c r="D4125" s="13" t="s">
        <v>25538</v>
      </c>
      <c r="E4125" s="16" t="s">
        <v>25539</v>
      </c>
      <c r="F4125" s="16" t="s">
        <v>25540</v>
      </c>
      <c r="G4125" s="25" t="s">
        <v>39</v>
      </c>
      <c r="H4125" s="18" t="n">
        <v>4</v>
      </c>
      <c r="I4125" s="20" t="n">
        <v>300</v>
      </c>
      <c r="J4125" s="20" t="n">
        <v>911.36</v>
      </c>
      <c r="K4125" s="18" t="n">
        <v>9</v>
      </c>
      <c r="L4125" s="18" t="n">
        <v>10</v>
      </c>
      <c r="M4125" s="18" t="n">
        <v>270</v>
      </c>
      <c r="N4125" s="18" t="n">
        <v>270</v>
      </c>
      <c r="O4125" s="14" t="s">
        <v>1088</v>
      </c>
      <c r="P4125" s="14" t="s">
        <v>84</v>
      </c>
      <c r="Q4125" s="15" t="s">
        <v>1089</v>
      </c>
      <c r="R4125" s="16" t="s">
        <v>25541</v>
      </c>
      <c r="S4125" s="15" t="s">
        <v>25542</v>
      </c>
      <c r="T4125" s="15" t="s">
        <v>25543</v>
      </c>
      <c r="U4125" s="21" t="s">
        <v>72</v>
      </c>
    </row>
    <row r="4126" customFormat="false" ht="15" hidden="false" customHeight="false" outlineLevel="0" collapsed="false">
      <c r="A4126" s="15" t="s">
        <v>25529</v>
      </c>
      <c r="B4126" s="16"/>
      <c r="C4126" s="14" t="s">
        <v>25544</v>
      </c>
      <c r="D4126" s="13" t="s">
        <v>25545</v>
      </c>
      <c r="E4126" s="16" t="s">
        <v>25546</v>
      </c>
      <c r="F4126" s="16" t="s">
        <v>25547</v>
      </c>
      <c r="G4126" s="19" t="s">
        <v>41</v>
      </c>
      <c r="H4126" s="18" t="n">
        <v>4</v>
      </c>
      <c r="I4126" s="20" t="n">
        <v>74.33</v>
      </c>
      <c r="J4126" s="20" t="n">
        <v>216.3</v>
      </c>
      <c r="K4126" s="18" t="n">
        <v>10</v>
      </c>
      <c r="L4126" s="18" t="n">
        <v>2</v>
      </c>
      <c r="M4126" s="18" t="n">
        <v>144</v>
      </c>
      <c r="N4126" s="18" t="n">
        <v>144</v>
      </c>
      <c r="O4126" s="14" t="s">
        <v>25548</v>
      </c>
      <c r="P4126" s="14" t="s">
        <v>84</v>
      </c>
      <c r="Q4126" s="15" t="s">
        <v>1089</v>
      </c>
      <c r="R4126" s="16" t="s">
        <v>25549</v>
      </c>
      <c r="S4126" s="15" t="s">
        <v>25550</v>
      </c>
      <c r="T4126" s="15" t="s">
        <v>25551</v>
      </c>
      <c r="U4126" s="21" t="s">
        <v>72</v>
      </c>
    </row>
    <row r="4127" customFormat="false" ht="15" hidden="false" customHeight="false" outlineLevel="0" collapsed="false">
      <c r="A4127" s="15" t="s">
        <v>25529</v>
      </c>
      <c r="B4127" s="16"/>
      <c r="C4127" s="14" t="s">
        <v>25552</v>
      </c>
      <c r="D4127" s="13" t="s">
        <v>25553</v>
      </c>
      <c r="E4127" s="16" t="s">
        <v>25554</v>
      </c>
      <c r="F4127" s="16"/>
      <c r="G4127" s="23" t="s">
        <v>43</v>
      </c>
      <c r="H4127" s="18" t="n">
        <v>3</v>
      </c>
      <c r="I4127" s="20" t="n">
        <v>57.07</v>
      </c>
      <c r="J4127" s="20" t="n">
        <v>104</v>
      </c>
      <c r="K4127" s="18" t="n">
        <v>4</v>
      </c>
      <c r="L4127" s="18" t="n">
        <v>4</v>
      </c>
      <c r="M4127" s="18" t="n">
        <v>48</v>
      </c>
      <c r="N4127" s="18" t="n">
        <v>12</v>
      </c>
      <c r="O4127" s="14" t="s">
        <v>1097</v>
      </c>
      <c r="P4127" s="14" t="s">
        <v>118</v>
      </c>
      <c r="Q4127" s="15" t="s">
        <v>1089</v>
      </c>
      <c r="R4127" s="16" t="s">
        <v>25555</v>
      </c>
      <c r="S4127" s="15" t="s">
        <v>25556</v>
      </c>
      <c r="T4127" s="15" t="s">
        <v>25557</v>
      </c>
      <c r="U4127" s="21" t="s">
        <v>72</v>
      </c>
    </row>
    <row r="4128" customFormat="false" ht="15" hidden="false" customHeight="false" outlineLevel="0" collapsed="false">
      <c r="A4128" s="15" t="s">
        <v>25529</v>
      </c>
      <c r="B4128" s="16"/>
      <c r="C4128" s="14" t="s">
        <v>25558</v>
      </c>
      <c r="D4128" s="13" t="s">
        <v>25559</v>
      </c>
      <c r="E4128" s="16" t="s">
        <v>25560</v>
      </c>
      <c r="F4128" s="16" t="s">
        <v>25561</v>
      </c>
      <c r="G4128" s="23" t="s">
        <v>43</v>
      </c>
      <c r="H4128" s="18" t="n">
        <v>4</v>
      </c>
      <c r="I4128" s="20" t="n">
        <v>86.2</v>
      </c>
      <c r="J4128" s="20" t="n">
        <v>106.76</v>
      </c>
      <c r="K4128" s="18" t="n">
        <v>4</v>
      </c>
      <c r="L4128" s="18" t="n">
        <v>2</v>
      </c>
      <c r="M4128" s="18" t="n">
        <v>60</v>
      </c>
      <c r="N4128" s="18" t="n">
        <v>45</v>
      </c>
      <c r="O4128" s="14" t="s">
        <v>1088</v>
      </c>
      <c r="P4128" s="14" t="s">
        <v>84</v>
      </c>
      <c r="Q4128" s="15" t="s">
        <v>1089</v>
      </c>
      <c r="R4128" s="16" t="s">
        <v>24148</v>
      </c>
      <c r="S4128" s="15" t="s">
        <v>25562</v>
      </c>
      <c r="T4128" s="15" t="s">
        <v>25563</v>
      </c>
      <c r="U4128" s="21" t="s">
        <v>72</v>
      </c>
    </row>
    <row r="4129" customFormat="false" ht="15" hidden="false" customHeight="false" outlineLevel="0" collapsed="false">
      <c r="A4129" s="15" t="s">
        <v>25529</v>
      </c>
      <c r="B4129" s="16"/>
      <c r="C4129" s="14" t="s">
        <v>25564</v>
      </c>
      <c r="D4129" s="13" t="s">
        <v>25565</v>
      </c>
      <c r="E4129" s="16" t="s">
        <v>25566</v>
      </c>
      <c r="F4129" s="16" t="s">
        <v>25567</v>
      </c>
      <c r="G4129" s="19" t="s">
        <v>41</v>
      </c>
      <c r="H4129" s="18" t="n">
        <v>5</v>
      </c>
      <c r="I4129" s="20" t="n">
        <v>139.08</v>
      </c>
      <c r="J4129" s="20" t="n">
        <v>253.49</v>
      </c>
      <c r="K4129" s="18" t="n">
        <v>5</v>
      </c>
      <c r="L4129" s="18" t="n">
        <v>7</v>
      </c>
      <c r="M4129" s="18" t="n">
        <v>85</v>
      </c>
      <c r="N4129" s="18" t="n">
        <v>85</v>
      </c>
      <c r="O4129" s="14" t="s">
        <v>1126</v>
      </c>
      <c r="P4129" s="14" t="s">
        <v>84</v>
      </c>
      <c r="Q4129" s="15" t="s">
        <v>1089</v>
      </c>
      <c r="R4129" s="16" t="s">
        <v>14199</v>
      </c>
      <c r="S4129" s="15" t="s">
        <v>25568</v>
      </c>
      <c r="T4129" s="15" t="s">
        <v>25569</v>
      </c>
      <c r="U4129" s="21" t="s">
        <v>72</v>
      </c>
    </row>
    <row r="4130" customFormat="false" ht="15" hidden="false" customHeight="false" outlineLevel="0" collapsed="false">
      <c r="A4130" s="15" t="s">
        <v>25529</v>
      </c>
      <c r="B4130" s="16"/>
      <c r="C4130" s="14" t="s">
        <v>25570</v>
      </c>
      <c r="D4130" s="13" t="s">
        <v>25571</v>
      </c>
      <c r="E4130" s="16" t="s">
        <v>25572</v>
      </c>
      <c r="F4130" s="16" t="s">
        <v>25573</v>
      </c>
      <c r="G4130" s="19" t="s">
        <v>41</v>
      </c>
      <c r="H4130" s="18" t="n">
        <v>1</v>
      </c>
      <c r="I4130" s="20" t="n">
        <v>60.83</v>
      </c>
      <c r="J4130" s="20" t="n">
        <v>254.43</v>
      </c>
      <c r="K4130" s="18" t="n">
        <v>2</v>
      </c>
      <c r="L4130" s="18" t="n">
        <v>5</v>
      </c>
      <c r="M4130" s="18" t="n">
        <v>40</v>
      </c>
      <c r="N4130" s="18" t="n">
        <v>40</v>
      </c>
      <c r="O4130" s="14" t="s">
        <v>1097</v>
      </c>
      <c r="P4130" s="14" t="s">
        <v>84</v>
      </c>
      <c r="Q4130" s="15" t="s">
        <v>1089</v>
      </c>
      <c r="R4130" s="16" t="s">
        <v>25574</v>
      </c>
      <c r="S4130" s="15" t="s">
        <v>25568</v>
      </c>
      <c r="T4130" s="15" t="s">
        <v>25568</v>
      </c>
      <c r="U4130" s="21" t="s">
        <v>72</v>
      </c>
    </row>
    <row r="4131" customFormat="false" ht="15" hidden="false" customHeight="false" outlineLevel="0" collapsed="false">
      <c r="A4131" s="15" t="s">
        <v>25529</v>
      </c>
      <c r="B4131" s="16"/>
      <c r="C4131" s="14" t="s">
        <v>25575</v>
      </c>
      <c r="D4131" s="13" t="s">
        <v>25576</v>
      </c>
      <c r="E4131" s="16" t="s">
        <v>25577</v>
      </c>
      <c r="F4131" s="16" t="s">
        <v>25578</v>
      </c>
      <c r="G4131" s="19" t="s">
        <v>41</v>
      </c>
      <c r="H4131" s="18" t="n">
        <v>6</v>
      </c>
      <c r="I4131" s="20" t="n">
        <v>196.7</v>
      </c>
      <c r="J4131" s="20" t="n">
        <v>243.5</v>
      </c>
      <c r="K4131" s="18" t="n">
        <v>5</v>
      </c>
      <c r="L4131" s="18" t="n">
        <v>4</v>
      </c>
      <c r="M4131" s="18" t="n">
        <v>150</v>
      </c>
      <c r="N4131" s="18" t="n">
        <v>150</v>
      </c>
      <c r="O4131" s="14" t="s">
        <v>1097</v>
      </c>
      <c r="P4131" s="14" t="s">
        <v>84</v>
      </c>
      <c r="Q4131" s="15" t="s">
        <v>1089</v>
      </c>
      <c r="R4131" s="16" t="s">
        <v>25579</v>
      </c>
      <c r="S4131" s="15" t="s">
        <v>25580</v>
      </c>
      <c r="T4131" s="15" t="s">
        <v>25580</v>
      </c>
      <c r="U4131" s="21" t="s">
        <v>72</v>
      </c>
    </row>
    <row r="4132" customFormat="false" ht="15" hidden="false" customHeight="false" outlineLevel="0" collapsed="false">
      <c r="A4132" s="15" t="s">
        <v>25529</v>
      </c>
      <c r="B4132" s="16"/>
      <c r="C4132" s="14" t="s">
        <v>25581</v>
      </c>
      <c r="D4132" s="13" t="s">
        <v>25582</v>
      </c>
      <c r="E4132" s="16" t="s">
        <v>25583</v>
      </c>
      <c r="F4132" s="16" t="s">
        <v>25584</v>
      </c>
      <c r="G4132" s="23" t="s">
        <v>43</v>
      </c>
      <c r="H4132" s="18" t="n">
        <v>1</v>
      </c>
      <c r="I4132" s="20" t="n">
        <v>55.25</v>
      </c>
      <c r="J4132" s="20" t="n">
        <v>85.4</v>
      </c>
      <c r="K4132" s="18" t="n">
        <v>2</v>
      </c>
      <c r="L4132" s="18" t="n">
        <v>1</v>
      </c>
      <c r="M4132" s="18" t="n">
        <v>40</v>
      </c>
      <c r="N4132" s="18" t="n">
        <v>40</v>
      </c>
      <c r="O4132" s="14" t="s">
        <v>1097</v>
      </c>
      <c r="P4132" s="14" t="s">
        <v>84</v>
      </c>
      <c r="Q4132" s="15" t="s">
        <v>1089</v>
      </c>
      <c r="R4132" s="16" t="s">
        <v>25134</v>
      </c>
      <c r="S4132" s="15" t="s">
        <v>25585</v>
      </c>
      <c r="T4132" s="15" t="s">
        <v>25585</v>
      </c>
      <c r="U4132" s="21" t="s">
        <v>72</v>
      </c>
    </row>
    <row r="4133" customFormat="false" ht="15" hidden="false" customHeight="false" outlineLevel="0" collapsed="false">
      <c r="A4133" s="15" t="s">
        <v>25529</v>
      </c>
      <c r="B4133" s="16"/>
      <c r="C4133" s="14" t="s">
        <v>25586</v>
      </c>
      <c r="D4133" s="13" t="s">
        <v>25587</v>
      </c>
      <c r="E4133" s="16" t="s">
        <v>25588</v>
      </c>
      <c r="F4133" s="16" t="s">
        <v>25589</v>
      </c>
      <c r="G4133" s="23" t="s">
        <v>43</v>
      </c>
      <c r="H4133" s="18" t="n">
        <v>2</v>
      </c>
      <c r="I4133" s="20" t="n">
        <v>102.96</v>
      </c>
      <c r="J4133" s="20" t="n">
        <v>134.42</v>
      </c>
      <c r="K4133" s="18" t="n">
        <v>2</v>
      </c>
      <c r="L4133" s="18" t="n">
        <v>2</v>
      </c>
      <c r="M4133" s="18" t="n">
        <v>30</v>
      </c>
      <c r="N4133" s="18" t="n">
        <v>30</v>
      </c>
      <c r="O4133" s="14" t="s">
        <v>1097</v>
      </c>
      <c r="P4133" s="14" t="s">
        <v>118</v>
      </c>
      <c r="Q4133" s="15" t="s">
        <v>1089</v>
      </c>
      <c r="R4133" s="16" t="s">
        <v>10411</v>
      </c>
      <c r="S4133" s="15" t="s">
        <v>25590</v>
      </c>
      <c r="T4133" s="15" t="s">
        <v>25590</v>
      </c>
      <c r="U4133" s="21" t="s">
        <v>72</v>
      </c>
    </row>
    <row r="4134" customFormat="false" ht="15" hidden="false" customHeight="false" outlineLevel="0" collapsed="false">
      <c r="A4134" s="15" t="s">
        <v>25529</v>
      </c>
      <c r="B4134" s="16"/>
      <c r="C4134" s="14" t="s">
        <v>25591</v>
      </c>
      <c r="D4134" s="13" t="s">
        <v>25592</v>
      </c>
      <c r="E4134" s="16" t="s">
        <v>25593</v>
      </c>
      <c r="F4134" s="16" t="s">
        <v>25594</v>
      </c>
      <c r="G4134" s="23" t="s">
        <v>43</v>
      </c>
      <c r="H4134" s="18" t="n">
        <v>2</v>
      </c>
      <c r="I4134" s="20" t="n">
        <v>94.3</v>
      </c>
      <c r="J4134" s="20" t="n">
        <v>141.45</v>
      </c>
      <c r="K4134" s="18" t="n">
        <v>10</v>
      </c>
      <c r="L4134" s="18" t="n">
        <v>4</v>
      </c>
      <c r="M4134" s="18" t="n">
        <v>122</v>
      </c>
      <c r="N4134" s="18" t="n">
        <v>122</v>
      </c>
      <c r="O4134" s="14" t="s">
        <v>25595</v>
      </c>
      <c r="P4134" s="14" t="s">
        <v>84</v>
      </c>
      <c r="Q4134" s="15" t="s">
        <v>1089</v>
      </c>
      <c r="R4134" s="16" t="s">
        <v>25596</v>
      </c>
      <c r="S4134" s="15" t="s">
        <v>25550</v>
      </c>
      <c r="T4134" s="15" t="s">
        <v>25550</v>
      </c>
      <c r="U4134" s="21" t="s">
        <v>72</v>
      </c>
    </row>
    <row r="4135" customFormat="false" ht="26.85" hidden="false" customHeight="false" outlineLevel="0" collapsed="false">
      <c r="A4135" s="15" t="s">
        <v>25529</v>
      </c>
      <c r="B4135" s="16"/>
      <c r="C4135" s="14" t="s">
        <v>25597</v>
      </c>
      <c r="D4135" s="13" t="s">
        <v>25598</v>
      </c>
      <c r="E4135" s="16" t="s">
        <v>25599</v>
      </c>
      <c r="F4135" s="16" t="s">
        <v>25600</v>
      </c>
      <c r="G4135" s="19" t="s">
        <v>41</v>
      </c>
      <c r="H4135" s="18" t="n">
        <v>4</v>
      </c>
      <c r="I4135" s="20" t="n">
        <v>181.62</v>
      </c>
      <c r="J4135" s="20" t="n">
        <v>223.71</v>
      </c>
      <c r="K4135" s="18" t="n">
        <v>9</v>
      </c>
      <c r="L4135" s="18" t="n">
        <v>9</v>
      </c>
      <c r="M4135" s="18" t="n">
        <v>129</v>
      </c>
      <c r="N4135" s="18" t="n">
        <v>73</v>
      </c>
      <c r="O4135" s="14" t="s">
        <v>1097</v>
      </c>
      <c r="P4135" s="14" t="s">
        <v>84</v>
      </c>
      <c r="Q4135" s="15" t="s">
        <v>1089</v>
      </c>
      <c r="R4135" s="16" t="s">
        <v>17860</v>
      </c>
      <c r="S4135" s="15" t="s">
        <v>25601</v>
      </c>
      <c r="T4135" s="15" t="s">
        <v>25602</v>
      </c>
      <c r="U4135" s="21" t="s">
        <v>72</v>
      </c>
    </row>
    <row r="4136" customFormat="false" ht="26.85" hidden="false" customHeight="false" outlineLevel="0" collapsed="false">
      <c r="A4136" s="15" t="s">
        <v>25529</v>
      </c>
      <c r="B4136" s="16"/>
      <c r="C4136" s="14" t="s">
        <v>25603</v>
      </c>
      <c r="D4136" s="13" t="s">
        <v>25604</v>
      </c>
      <c r="E4136" s="16" t="s">
        <v>25605</v>
      </c>
      <c r="F4136" s="16" t="s">
        <v>25606</v>
      </c>
      <c r="G4136" s="19" t="s">
        <v>41</v>
      </c>
      <c r="H4136" s="18" t="n">
        <v>6</v>
      </c>
      <c r="I4136" s="20" t="n">
        <v>171.3</v>
      </c>
      <c r="J4136" s="20" t="n">
        <v>220.8</v>
      </c>
      <c r="K4136" s="18" t="n">
        <v>13</v>
      </c>
      <c r="L4136" s="18" t="n">
        <v>6</v>
      </c>
      <c r="M4136" s="18" t="n">
        <v>380</v>
      </c>
      <c r="N4136" s="18" t="n">
        <v>240</v>
      </c>
      <c r="O4136" s="14" t="s">
        <v>1097</v>
      </c>
      <c r="P4136" s="14" t="s">
        <v>1716</v>
      </c>
      <c r="Q4136" s="15" t="s">
        <v>1089</v>
      </c>
      <c r="R4136" s="16" t="s">
        <v>25607</v>
      </c>
      <c r="S4136" s="15" t="s">
        <v>25608</v>
      </c>
      <c r="T4136" s="15" t="s">
        <v>25608</v>
      </c>
      <c r="U4136" s="21" t="s">
        <v>72</v>
      </c>
    </row>
    <row r="4137" customFormat="false" ht="26.85" hidden="false" customHeight="false" outlineLevel="0" collapsed="false">
      <c r="A4137" s="15" t="s">
        <v>25529</v>
      </c>
      <c r="B4137" s="16"/>
      <c r="C4137" s="14" t="s">
        <v>25609</v>
      </c>
      <c r="D4137" s="13" t="s">
        <v>25610</v>
      </c>
      <c r="E4137" s="16" t="s">
        <v>25611</v>
      </c>
      <c r="F4137" s="16" t="s">
        <v>25612</v>
      </c>
      <c r="G4137" s="23" t="s">
        <v>43</v>
      </c>
      <c r="H4137" s="18" t="n">
        <v>2</v>
      </c>
      <c r="I4137" s="20" t="n">
        <v>105.43</v>
      </c>
      <c r="J4137" s="20" t="n">
        <v>132.24</v>
      </c>
      <c r="K4137" s="18" t="n">
        <v>10</v>
      </c>
      <c r="L4137" s="18" t="n">
        <v>8</v>
      </c>
      <c r="M4137" s="18" t="n">
        <v>435</v>
      </c>
      <c r="N4137" s="18" t="n">
        <v>171</v>
      </c>
      <c r="O4137" s="14" t="s">
        <v>1097</v>
      </c>
      <c r="P4137" s="14" t="s">
        <v>352</v>
      </c>
      <c r="Q4137" s="15" t="s">
        <v>1089</v>
      </c>
      <c r="R4137" s="16" t="s">
        <v>25613</v>
      </c>
      <c r="S4137" s="15" t="s">
        <v>25614</v>
      </c>
      <c r="T4137" s="15" t="s">
        <v>25615</v>
      </c>
      <c r="U4137" s="21" t="s">
        <v>72</v>
      </c>
    </row>
    <row r="4138" customFormat="false" ht="15" hidden="false" customHeight="false" outlineLevel="0" collapsed="false">
      <c r="A4138" s="15" t="s">
        <v>25529</v>
      </c>
      <c r="B4138" s="16"/>
      <c r="C4138" s="14" t="s">
        <v>25616</v>
      </c>
      <c r="D4138" s="13" t="s">
        <v>25617</v>
      </c>
      <c r="E4138" s="16" t="s">
        <v>25618</v>
      </c>
      <c r="F4138" s="16" t="s">
        <v>25619</v>
      </c>
      <c r="G4138" s="23" t="s">
        <v>43</v>
      </c>
      <c r="H4138" s="18" t="n">
        <v>2</v>
      </c>
      <c r="I4138" s="20" t="n">
        <v>39.05</v>
      </c>
      <c r="J4138" s="20" t="n">
        <v>89.06</v>
      </c>
      <c r="K4138" s="18" t="n">
        <v>5</v>
      </c>
      <c r="L4138" s="18" t="n">
        <v>2</v>
      </c>
      <c r="M4138" s="18" t="n">
        <v>87</v>
      </c>
      <c r="N4138" s="18" t="n">
        <v>60</v>
      </c>
      <c r="O4138" s="14" t="s">
        <v>1097</v>
      </c>
      <c r="P4138" s="14" t="s">
        <v>84</v>
      </c>
      <c r="Q4138" s="15" t="s">
        <v>1089</v>
      </c>
      <c r="R4138" s="16" t="s">
        <v>25620</v>
      </c>
      <c r="S4138" s="15" t="s">
        <v>25621</v>
      </c>
      <c r="T4138" s="15" t="s">
        <v>25621</v>
      </c>
      <c r="U4138" s="21" t="s">
        <v>72</v>
      </c>
    </row>
    <row r="4139" customFormat="false" ht="15" hidden="false" customHeight="false" outlineLevel="0" collapsed="false">
      <c r="A4139" s="15" t="s">
        <v>25529</v>
      </c>
      <c r="B4139" s="16"/>
      <c r="C4139" s="14" t="s">
        <v>25622</v>
      </c>
      <c r="D4139" s="13" t="s">
        <v>25623</v>
      </c>
      <c r="E4139" s="16" t="s">
        <v>25624</v>
      </c>
      <c r="F4139" s="16" t="s">
        <v>25625</v>
      </c>
      <c r="G4139" s="23" t="s">
        <v>43</v>
      </c>
      <c r="H4139" s="18" t="n">
        <v>1</v>
      </c>
      <c r="I4139" s="20" t="n">
        <v>42.24</v>
      </c>
      <c r="J4139" s="20" t="n">
        <v>91.56</v>
      </c>
      <c r="K4139" s="18" t="n">
        <v>4</v>
      </c>
      <c r="L4139" s="18" t="n">
        <v>2</v>
      </c>
      <c r="M4139" s="18" t="n">
        <v>140</v>
      </c>
      <c r="N4139" s="18" t="n">
        <v>70</v>
      </c>
      <c r="O4139" s="14" t="s">
        <v>1097</v>
      </c>
      <c r="P4139" s="14" t="s">
        <v>118</v>
      </c>
      <c r="Q4139" s="15" t="s">
        <v>1089</v>
      </c>
      <c r="R4139" s="16" t="s">
        <v>25555</v>
      </c>
      <c r="S4139" s="15" t="s">
        <v>25626</v>
      </c>
      <c r="T4139" s="15" t="s">
        <v>25626</v>
      </c>
      <c r="U4139" s="21" t="s">
        <v>72</v>
      </c>
    </row>
    <row r="4140" customFormat="false" ht="15" hidden="false" customHeight="false" outlineLevel="0" collapsed="false">
      <c r="A4140" s="15" t="s">
        <v>25529</v>
      </c>
      <c r="B4140" s="16"/>
      <c r="C4140" s="14" t="s">
        <v>25627</v>
      </c>
      <c r="D4140" s="13" t="s">
        <v>25628</v>
      </c>
      <c r="E4140" s="16" t="s">
        <v>25629</v>
      </c>
      <c r="F4140" s="16" t="s">
        <v>25630</v>
      </c>
      <c r="G4140" s="23" t="s">
        <v>43</v>
      </c>
      <c r="H4140" s="18" t="n">
        <v>3</v>
      </c>
      <c r="I4140" s="20" t="n">
        <v>44.8</v>
      </c>
      <c r="J4140" s="20" t="n">
        <v>98.06</v>
      </c>
      <c r="K4140" s="18" t="n">
        <v>3</v>
      </c>
      <c r="L4140" s="18" t="n">
        <v>1</v>
      </c>
      <c r="M4140" s="18" t="n">
        <v>60</v>
      </c>
      <c r="N4140" s="18" t="n">
        <v>60</v>
      </c>
      <c r="O4140" s="14" t="s">
        <v>1097</v>
      </c>
      <c r="P4140" s="14" t="s">
        <v>84</v>
      </c>
      <c r="Q4140" s="15" t="s">
        <v>1089</v>
      </c>
      <c r="R4140" s="16" t="s">
        <v>25631</v>
      </c>
      <c r="S4140" s="15" t="s">
        <v>25632</v>
      </c>
      <c r="T4140" s="15" t="s">
        <v>25632</v>
      </c>
      <c r="U4140" s="21" t="s">
        <v>72</v>
      </c>
    </row>
    <row r="4141" customFormat="false" ht="15" hidden="false" customHeight="false" outlineLevel="0" collapsed="false">
      <c r="A4141" s="15" t="s">
        <v>25529</v>
      </c>
      <c r="B4141" s="16"/>
      <c r="C4141" s="14" t="s">
        <v>25633</v>
      </c>
      <c r="D4141" s="13" t="s">
        <v>25634</v>
      </c>
      <c r="E4141" s="16" t="s">
        <v>25635</v>
      </c>
      <c r="F4141" s="16" t="s">
        <v>25636</v>
      </c>
      <c r="G4141" s="23" t="s">
        <v>43</v>
      </c>
      <c r="H4141" s="18" t="n">
        <v>1</v>
      </c>
      <c r="I4141" s="20" t="n">
        <v>32.4</v>
      </c>
      <c r="J4141" s="20" t="n">
        <v>35</v>
      </c>
      <c r="K4141" s="18" t="n">
        <v>10</v>
      </c>
      <c r="L4141" s="18" t="n">
        <v>5</v>
      </c>
      <c r="M4141" s="18" t="n">
        <v>200</v>
      </c>
      <c r="N4141" s="18" t="n">
        <v>40</v>
      </c>
      <c r="O4141" s="14" t="s">
        <v>1088</v>
      </c>
      <c r="P4141" s="14" t="s">
        <v>84</v>
      </c>
      <c r="Q4141" s="15" t="s">
        <v>1089</v>
      </c>
      <c r="R4141" s="16" t="s">
        <v>25637</v>
      </c>
      <c r="S4141" s="15" t="s">
        <v>25638</v>
      </c>
      <c r="T4141" s="15" t="s">
        <v>25639</v>
      </c>
      <c r="U4141" s="21" t="s">
        <v>72</v>
      </c>
    </row>
    <row r="4142" customFormat="false" ht="15" hidden="false" customHeight="false" outlineLevel="0" collapsed="false">
      <c r="A4142" s="15" t="s">
        <v>25529</v>
      </c>
      <c r="B4142" s="16"/>
      <c r="C4142" s="14" t="s">
        <v>25640</v>
      </c>
      <c r="D4142" s="13" t="s">
        <v>25641</v>
      </c>
      <c r="E4142" s="16" t="s">
        <v>25642</v>
      </c>
      <c r="F4142" s="16"/>
      <c r="G4142" s="23" t="s">
        <v>43</v>
      </c>
      <c r="H4142" s="18" t="n">
        <v>2</v>
      </c>
      <c r="I4142" s="20" t="n">
        <v>29.76</v>
      </c>
      <c r="J4142" s="20" t="n">
        <v>74</v>
      </c>
      <c r="K4142" s="18" t="n">
        <v>2</v>
      </c>
      <c r="L4142" s="18" t="n">
        <v>2</v>
      </c>
      <c r="M4142" s="18" t="n">
        <v>20</v>
      </c>
      <c r="N4142" s="18" t="n">
        <v>20</v>
      </c>
      <c r="O4142" s="14" t="s">
        <v>1088</v>
      </c>
      <c r="P4142" s="14" t="s">
        <v>84</v>
      </c>
      <c r="Q4142" s="15" t="s">
        <v>1089</v>
      </c>
      <c r="R4142" s="16" t="s">
        <v>25643</v>
      </c>
      <c r="S4142" s="15" t="s">
        <v>25644</v>
      </c>
      <c r="T4142" s="15" t="s">
        <v>25645</v>
      </c>
      <c r="U4142" s="21" t="s">
        <v>72</v>
      </c>
    </row>
    <row r="4143" customFormat="false" ht="15" hidden="false" customHeight="false" outlineLevel="0" collapsed="false">
      <c r="A4143" s="15" t="s">
        <v>25529</v>
      </c>
      <c r="B4143" s="16"/>
      <c r="C4143" s="14" t="s">
        <v>25646</v>
      </c>
      <c r="D4143" s="13" t="s">
        <v>25647</v>
      </c>
      <c r="E4143" s="16" t="s">
        <v>25648</v>
      </c>
      <c r="F4143" s="16" t="s">
        <v>25649</v>
      </c>
      <c r="G4143" s="19" t="s">
        <v>41</v>
      </c>
      <c r="H4143" s="18" t="n">
        <v>5</v>
      </c>
      <c r="I4143" s="20" t="n">
        <v>163.4</v>
      </c>
      <c r="J4143" s="20" t="n">
        <v>293.83</v>
      </c>
      <c r="K4143" s="18" t="n">
        <v>14</v>
      </c>
      <c r="L4143" s="18" t="n">
        <v>7</v>
      </c>
      <c r="M4143" s="18" t="n">
        <v>235</v>
      </c>
      <c r="N4143" s="18" t="n">
        <v>235</v>
      </c>
      <c r="O4143" s="14" t="s">
        <v>1097</v>
      </c>
      <c r="P4143" s="14" t="s">
        <v>118</v>
      </c>
      <c r="Q4143" s="15" t="s">
        <v>1089</v>
      </c>
      <c r="R4143" s="16" t="s">
        <v>25650</v>
      </c>
      <c r="S4143" s="15" t="s">
        <v>25651</v>
      </c>
      <c r="T4143" s="15" t="s">
        <v>25651</v>
      </c>
      <c r="U4143" s="21" t="s">
        <v>72</v>
      </c>
    </row>
    <row r="4144" customFormat="false" ht="15" hidden="false" customHeight="false" outlineLevel="0" collapsed="false">
      <c r="A4144" s="15" t="s">
        <v>25529</v>
      </c>
      <c r="B4144" s="16"/>
      <c r="C4144" s="14" t="s">
        <v>25652</v>
      </c>
      <c r="D4144" s="13" t="s">
        <v>25653</v>
      </c>
      <c r="E4144" s="16" t="s">
        <v>25654</v>
      </c>
      <c r="F4144" s="16" t="s">
        <v>25655</v>
      </c>
      <c r="G4144" s="23" t="s">
        <v>43</v>
      </c>
      <c r="H4144" s="18" t="n">
        <v>3</v>
      </c>
      <c r="I4144" s="20" t="n">
        <v>60</v>
      </c>
      <c r="J4144" s="20" t="n">
        <v>140.33</v>
      </c>
      <c r="K4144" s="18" t="n">
        <v>10</v>
      </c>
      <c r="L4144" s="18" t="n">
        <v>3</v>
      </c>
      <c r="M4144" s="18" t="n">
        <v>164</v>
      </c>
      <c r="N4144" s="18" t="n">
        <v>49</v>
      </c>
      <c r="O4144" s="14" t="s">
        <v>1097</v>
      </c>
      <c r="P4144" s="14" t="s">
        <v>118</v>
      </c>
      <c r="Q4144" s="15" t="s">
        <v>1089</v>
      </c>
      <c r="R4144" s="16" t="s">
        <v>11937</v>
      </c>
      <c r="S4144" s="15" t="s">
        <v>25656</v>
      </c>
      <c r="T4144" s="15" t="s">
        <v>25656</v>
      </c>
      <c r="U4144" s="21" t="s">
        <v>72</v>
      </c>
    </row>
    <row r="4145" customFormat="false" ht="15" hidden="false" customHeight="false" outlineLevel="0" collapsed="false">
      <c r="A4145" s="15" t="s">
        <v>25529</v>
      </c>
      <c r="B4145" s="16"/>
      <c r="C4145" s="14" t="s">
        <v>25657</v>
      </c>
      <c r="D4145" s="13" t="s">
        <v>25658</v>
      </c>
      <c r="E4145" s="16" t="s">
        <v>25659</v>
      </c>
      <c r="F4145" s="16"/>
      <c r="G4145" s="23" t="s">
        <v>43</v>
      </c>
      <c r="H4145" s="18" t="n">
        <v>2</v>
      </c>
      <c r="I4145" s="20" t="n">
        <v>37.35</v>
      </c>
      <c r="J4145" s="20" t="n">
        <v>55.19</v>
      </c>
      <c r="K4145" s="18" t="n">
        <v>4</v>
      </c>
      <c r="L4145" s="18" t="n">
        <v>2</v>
      </c>
      <c r="M4145" s="18" t="n">
        <v>60</v>
      </c>
      <c r="N4145" s="18" t="n">
        <v>34</v>
      </c>
      <c r="O4145" s="14" t="s">
        <v>1097</v>
      </c>
      <c r="P4145" s="14" t="s">
        <v>118</v>
      </c>
      <c r="Q4145" s="15" t="s">
        <v>1089</v>
      </c>
      <c r="R4145" s="16" t="s">
        <v>25555</v>
      </c>
      <c r="S4145" s="15" t="s">
        <v>25660</v>
      </c>
      <c r="T4145" s="15" t="s">
        <v>25660</v>
      </c>
      <c r="U4145" s="21" t="s">
        <v>72</v>
      </c>
    </row>
    <row r="4146" customFormat="false" ht="15" hidden="false" customHeight="false" outlineLevel="0" collapsed="false">
      <c r="A4146" s="15" t="s">
        <v>25529</v>
      </c>
      <c r="B4146" s="16"/>
      <c r="C4146" s="14" t="s">
        <v>25661</v>
      </c>
      <c r="D4146" s="13" t="s">
        <v>25662</v>
      </c>
      <c r="E4146" s="16" t="s">
        <v>25663</v>
      </c>
      <c r="F4146" s="16" t="s">
        <v>25664</v>
      </c>
      <c r="G4146" s="19" t="s">
        <v>41</v>
      </c>
      <c r="H4146" s="18" t="n">
        <v>5</v>
      </c>
      <c r="I4146" s="20" t="n">
        <v>180</v>
      </c>
      <c r="J4146" s="20" t="n">
        <v>320</v>
      </c>
      <c r="K4146" s="18" t="n">
        <v>5</v>
      </c>
      <c r="L4146" s="18" t="n">
        <v>2</v>
      </c>
      <c r="M4146" s="18" t="n">
        <v>70</v>
      </c>
      <c r="N4146" s="18" t="n">
        <v>15</v>
      </c>
      <c r="O4146" s="14" t="s">
        <v>1126</v>
      </c>
      <c r="P4146" s="14" t="s">
        <v>118</v>
      </c>
      <c r="Q4146" s="15" t="s">
        <v>1089</v>
      </c>
      <c r="R4146" s="16" t="s">
        <v>25665</v>
      </c>
      <c r="S4146" s="15" t="s">
        <v>25666</v>
      </c>
      <c r="T4146" s="15" t="s">
        <v>25666</v>
      </c>
      <c r="U4146" s="21" t="s">
        <v>72</v>
      </c>
    </row>
    <row r="4147" customFormat="false" ht="15" hidden="false" customHeight="false" outlineLevel="0" collapsed="false">
      <c r="A4147" s="15" t="s">
        <v>25529</v>
      </c>
      <c r="B4147" s="16"/>
      <c r="C4147" s="14" t="s">
        <v>25667</v>
      </c>
      <c r="D4147" s="13" t="s">
        <v>25668</v>
      </c>
      <c r="E4147" s="16" t="s">
        <v>25669</v>
      </c>
      <c r="F4147" s="16" t="s">
        <v>25670</v>
      </c>
      <c r="G4147" s="19" t="s">
        <v>41</v>
      </c>
      <c r="H4147" s="18" t="n">
        <v>2</v>
      </c>
      <c r="I4147" s="20" t="n">
        <v>60</v>
      </c>
      <c r="J4147" s="20" t="n">
        <v>229.72</v>
      </c>
      <c r="K4147" s="18" t="n">
        <v>5</v>
      </c>
      <c r="L4147" s="18" t="n">
        <v>3</v>
      </c>
      <c r="M4147" s="18" t="n">
        <v>75</v>
      </c>
      <c r="N4147" s="18" t="n">
        <v>75</v>
      </c>
      <c r="O4147" s="14" t="s">
        <v>1097</v>
      </c>
      <c r="P4147" s="14" t="s">
        <v>84</v>
      </c>
      <c r="Q4147" s="15" t="s">
        <v>1089</v>
      </c>
      <c r="R4147" s="16" t="s">
        <v>25671</v>
      </c>
      <c r="S4147" s="15" t="s">
        <v>25672</v>
      </c>
      <c r="T4147" s="15" t="s">
        <v>25672</v>
      </c>
      <c r="U4147" s="21" t="s">
        <v>72</v>
      </c>
    </row>
    <row r="4148" customFormat="false" ht="39.55" hidden="false" customHeight="false" outlineLevel="0" collapsed="false">
      <c r="A4148" s="15" t="s">
        <v>25529</v>
      </c>
      <c r="B4148" s="16"/>
      <c r="C4148" s="14" t="s">
        <v>25673</v>
      </c>
      <c r="D4148" s="13" t="s">
        <v>25674</v>
      </c>
      <c r="E4148" s="16" t="s">
        <v>25675</v>
      </c>
      <c r="F4148" s="16" t="s">
        <v>25676</v>
      </c>
      <c r="G4148" s="25" t="s">
        <v>39</v>
      </c>
      <c r="H4148" s="18" t="n">
        <v>4</v>
      </c>
      <c r="I4148" s="20" t="n">
        <v>116.5</v>
      </c>
      <c r="J4148" s="20" t="n">
        <v>940.3</v>
      </c>
      <c r="K4148" s="18" t="n">
        <v>11</v>
      </c>
      <c r="L4148" s="18" t="n">
        <v>12</v>
      </c>
      <c r="M4148" s="18" t="n">
        <v>165</v>
      </c>
      <c r="N4148" s="18" t="n">
        <v>150</v>
      </c>
      <c r="O4148" s="13" t="s">
        <v>25677</v>
      </c>
      <c r="P4148" s="14" t="s">
        <v>84</v>
      </c>
      <c r="Q4148" s="15" t="s">
        <v>1089</v>
      </c>
      <c r="R4148" s="16" t="s">
        <v>9353</v>
      </c>
      <c r="S4148" s="15" t="s">
        <v>25678</v>
      </c>
      <c r="T4148" s="15" t="s">
        <v>25679</v>
      </c>
      <c r="U4148" s="21" t="s">
        <v>72</v>
      </c>
    </row>
    <row r="4149" customFormat="false" ht="15" hidden="false" customHeight="false" outlineLevel="0" collapsed="false">
      <c r="A4149" s="15" t="s">
        <v>25529</v>
      </c>
      <c r="B4149" s="16"/>
      <c r="C4149" s="14" t="s">
        <v>25680</v>
      </c>
      <c r="D4149" s="13" t="s">
        <v>25681</v>
      </c>
      <c r="E4149" s="16" t="s">
        <v>25682</v>
      </c>
      <c r="F4149" s="16" t="s">
        <v>25683</v>
      </c>
      <c r="G4149" s="19" t="s">
        <v>41</v>
      </c>
      <c r="H4149" s="18" t="n">
        <v>3</v>
      </c>
      <c r="I4149" s="20" t="n">
        <v>124.06</v>
      </c>
      <c r="J4149" s="20" t="n">
        <v>208.5</v>
      </c>
      <c r="K4149" s="18" t="n">
        <v>10</v>
      </c>
      <c r="L4149" s="18" t="n">
        <v>5</v>
      </c>
      <c r="M4149" s="18" t="n">
        <v>200</v>
      </c>
      <c r="N4149" s="18" t="n">
        <v>120</v>
      </c>
      <c r="O4149" s="14" t="s">
        <v>1088</v>
      </c>
      <c r="P4149" s="14" t="s">
        <v>84</v>
      </c>
      <c r="Q4149" s="15" t="s">
        <v>1089</v>
      </c>
      <c r="R4149" s="16" t="s">
        <v>5807</v>
      </c>
      <c r="S4149" s="15" t="s">
        <v>25684</v>
      </c>
      <c r="T4149" s="15" t="s">
        <v>25684</v>
      </c>
      <c r="U4149" s="21" t="s">
        <v>72</v>
      </c>
    </row>
    <row r="4150" customFormat="false" ht="15" hidden="false" customHeight="false" outlineLevel="0" collapsed="false">
      <c r="A4150" s="15" t="s">
        <v>25529</v>
      </c>
      <c r="B4150" s="16"/>
      <c r="C4150" s="14" t="s">
        <v>25685</v>
      </c>
      <c r="D4150" s="13" t="s">
        <v>25686</v>
      </c>
      <c r="E4150" s="16" t="s">
        <v>25687</v>
      </c>
      <c r="F4150" s="16" t="s">
        <v>25688</v>
      </c>
      <c r="G4150" s="19" t="s">
        <v>41</v>
      </c>
      <c r="H4150" s="18" t="n">
        <v>2</v>
      </c>
      <c r="I4150" s="20" t="n">
        <v>91.66</v>
      </c>
      <c r="J4150" s="20" t="n">
        <v>206.61</v>
      </c>
      <c r="K4150" s="18" t="n">
        <v>2</v>
      </c>
      <c r="L4150" s="18" t="n">
        <v>2</v>
      </c>
      <c r="M4150" s="18" t="n">
        <v>20</v>
      </c>
      <c r="N4150" s="18" t="n">
        <v>20</v>
      </c>
      <c r="O4150" s="14" t="s">
        <v>1097</v>
      </c>
      <c r="P4150" s="14" t="s">
        <v>84</v>
      </c>
      <c r="Q4150" s="15" t="s">
        <v>1089</v>
      </c>
      <c r="R4150" s="16" t="s">
        <v>25689</v>
      </c>
      <c r="S4150" s="15" t="s">
        <v>25690</v>
      </c>
      <c r="T4150" s="15" t="s">
        <v>25690</v>
      </c>
      <c r="U4150" s="21" t="s">
        <v>72</v>
      </c>
    </row>
    <row r="4151" customFormat="false" ht="15" hidden="false" customHeight="false" outlineLevel="0" collapsed="false">
      <c r="A4151" s="15" t="s">
        <v>25529</v>
      </c>
      <c r="B4151" s="16"/>
      <c r="C4151" s="14" t="s">
        <v>25691</v>
      </c>
      <c r="D4151" s="13" t="s">
        <v>25692</v>
      </c>
      <c r="E4151" s="16" t="s">
        <v>25693</v>
      </c>
      <c r="F4151" s="16" t="s">
        <v>25694</v>
      </c>
      <c r="G4151" s="23" t="s">
        <v>43</v>
      </c>
      <c r="H4151" s="18" t="n">
        <v>2</v>
      </c>
      <c r="I4151" s="20" t="n">
        <v>50</v>
      </c>
      <c r="J4151" s="20" t="n">
        <v>148</v>
      </c>
      <c r="K4151" s="18" t="n">
        <v>4</v>
      </c>
      <c r="L4151" s="18" t="n">
        <v>3</v>
      </c>
      <c r="M4151" s="18" t="n">
        <v>120</v>
      </c>
      <c r="N4151" s="18" t="n">
        <v>120</v>
      </c>
      <c r="O4151" s="14" t="s">
        <v>1126</v>
      </c>
      <c r="P4151" s="14" t="s">
        <v>84</v>
      </c>
      <c r="Q4151" s="15" t="s">
        <v>1089</v>
      </c>
      <c r="R4151" s="16" t="s">
        <v>25695</v>
      </c>
      <c r="S4151" s="15" t="s">
        <v>25696</v>
      </c>
      <c r="T4151" s="15" t="s">
        <v>25696</v>
      </c>
      <c r="U4151" s="21" t="s">
        <v>72</v>
      </c>
    </row>
    <row r="4152" customFormat="false" ht="15" hidden="false" customHeight="false" outlineLevel="0" collapsed="false">
      <c r="A4152" s="15" t="s">
        <v>25529</v>
      </c>
      <c r="B4152" s="16"/>
      <c r="C4152" s="14" t="s">
        <v>25697</v>
      </c>
      <c r="D4152" s="13" t="s">
        <v>25698</v>
      </c>
      <c r="E4152" s="16" t="s">
        <v>25699</v>
      </c>
      <c r="F4152" s="16" t="s">
        <v>25700</v>
      </c>
      <c r="G4152" s="23" t="s">
        <v>43</v>
      </c>
      <c r="H4152" s="18" t="n">
        <v>1</v>
      </c>
      <c r="I4152" s="20" t="n">
        <v>56.11</v>
      </c>
      <c r="J4152" s="20" t="n">
        <v>70.49</v>
      </c>
      <c r="K4152" s="18" t="n">
        <v>2</v>
      </c>
      <c r="L4152" s="18" t="n">
        <v>3</v>
      </c>
      <c r="M4152" s="18" t="n">
        <v>20</v>
      </c>
      <c r="N4152" s="18" t="n">
        <v>20</v>
      </c>
      <c r="O4152" s="14" t="s">
        <v>1126</v>
      </c>
      <c r="P4152" s="14" t="s">
        <v>84</v>
      </c>
      <c r="Q4152" s="15" t="s">
        <v>1089</v>
      </c>
      <c r="R4152" s="16" t="s">
        <v>25701</v>
      </c>
      <c r="S4152" s="15" t="s">
        <v>25702</v>
      </c>
      <c r="T4152" s="15" t="s">
        <v>25703</v>
      </c>
      <c r="U4152" s="21" t="s">
        <v>72</v>
      </c>
    </row>
    <row r="4153" customFormat="false" ht="15" hidden="false" customHeight="false" outlineLevel="0" collapsed="false">
      <c r="A4153" s="15" t="s">
        <v>25529</v>
      </c>
      <c r="B4153" s="16"/>
      <c r="C4153" s="14" t="s">
        <v>25704</v>
      </c>
      <c r="D4153" s="13" t="s">
        <v>25705</v>
      </c>
      <c r="E4153" s="16" t="s">
        <v>25706</v>
      </c>
      <c r="F4153" s="16" t="s">
        <v>25707</v>
      </c>
      <c r="G4153" s="19" t="s">
        <v>41</v>
      </c>
      <c r="H4153" s="18" t="n">
        <v>2</v>
      </c>
      <c r="I4153" s="20" t="n">
        <v>57.52</v>
      </c>
      <c r="J4153" s="20" t="n">
        <v>206.4</v>
      </c>
      <c r="K4153" s="18" t="n">
        <v>4</v>
      </c>
      <c r="L4153" s="18" t="n">
        <v>3</v>
      </c>
      <c r="M4153" s="18" t="n">
        <v>80</v>
      </c>
      <c r="N4153" s="18" t="n">
        <v>80</v>
      </c>
      <c r="O4153" s="14" t="s">
        <v>1097</v>
      </c>
      <c r="P4153" s="14" t="s">
        <v>84</v>
      </c>
      <c r="Q4153" s="15" t="s">
        <v>1089</v>
      </c>
      <c r="R4153" s="16" t="s">
        <v>17009</v>
      </c>
      <c r="S4153" s="15" t="s">
        <v>25708</v>
      </c>
      <c r="T4153" s="15" t="s">
        <v>25708</v>
      </c>
      <c r="U4153" s="21" t="s">
        <v>72</v>
      </c>
    </row>
    <row r="4154" customFormat="false" ht="15" hidden="false" customHeight="false" outlineLevel="0" collapsed="false">
      <c r="A4154" s="15" t="s">
        <v>25529</v>
      </c>
      <c r="B4154" s="16"/>
      <c r="C4154" s="14" t="s">
        <v>25709</v>
      </c>
      <c r="D4154" s="13" t="s">
        <v>25710</v>
      </c>
      <c r="E4154" s="16" t="s">
        <v>25711</v>
      </c>
      <c r="F4154" s="16" t="s">
        <v>25712</v>
      </c>
      <c r="G4154" s="19" t="s">
        <v>41</v>
      </c>
      <c r="H4154" s="18" t="n">
        <v>2</v>
      </c>
      <c r="I4154" s="20" t="n">
        <v>165</v>
      </c>
      <c r="J4154" s="20" t="n">
        <v>231</v>
      </c>
      <c r="K4154" s="18" t="n">
        <v>2</v>
      </c>
      <c r="L4154" s="18" t="n">
        <v>2</v>
      </c>
      <c r="M4154" s="18" t="n">
        <v>40</v>
      </c>
      <c r="N4154" s="18" t="n">
        <v>40</v>
      </c>
      <c r="O4154" s="14" t="s">
        <v>1088</v>
      </c>
      <c r="P4154" s="14" t="s">
        <v>84</v>
      </c>
      <c r="Q4154" s="15" t="s">
        <v>1089</v>
      </c>
      <c r="R4154" s="16" t="s">
        <v>25713</v>
      </c>
      <c r="S4154" s="15" t="s">
        <v>17852</v>
      </c>
      <c r="T4154" s="15" t="s">
        <v>25714</v>
      </c>
      <c r="U4154" s="21" t="s">
        <v>72</v>
      </c>
    </row>
    <row r="4155" customFormat="false" ht="26.85" hidden="false" customHeight="false" outlineLevel="0" collapsed="false">
      <c r="A4155" s="15" t="s">
        <v>25529</v>
      </c>
      <c r="B4155" s="16"/>
      <c r="C4155" s="14" t="s">
        <v>25715</v>
      </c>
      <c r="D4155" s="13" t="s">
        <v>25716</v>
      </c>
      <c r="E4155" s="16" t="s">
        <v>25717</v>
      </c>
      <c r="F4155" s="16" t="s">
        <v>25718</v>
      </c>
      <c r="G4155" s="25" t="s">
        <v>39</v>
      </c>
      <c r="H4155" s="18" t="n">
        <v>5</v>
      </c>
      <c r="I4155" s="20" t="n">
        <v>272</v>
      </c>
      <c r="J4155" s="20" t="n">
        <v>704.46</v>
      </c>
      <c r="K4155" s="18" t="n">
        <v>8</v>
      </c>
      <c r="L4155" s="18" t="n">
        <v>5</v>
      </c>
      <c r="M4155" s="18" t="n">
        <v>240</v>
      </c>
      <c r="N4155" s="18" t="n">
        <v>210</v>
      </c>
      <c r="O4155" s="14" t="s">
        <v>1097</v>
      </c>
      <c r="P4155" s="14" t="s">
        <v>84</v>
      </c>
      <c r="Q4155" s="15" t="s">
        <v>1089</v>
      </c>
      <c r="R4155" s="16" t="s">
        <v>11588</v>
      </c>
      <c r="S4155" s="15" t="s">
        <v>25719</v>
      </c>
      <c r="T4155" s="15" t="s">
        <v>25719</v>
      </c>
      <c r="U4155" s="21" t="s">
        <v>72</v>
      </c>
    </row>
    <row r="4156" customFormat="false" ht="26.85" hidden="false" customHeight="false" outlineLevel="0" collapsed="false">
      <c r="A4156" s="15" t="s">
        <v>25529</v>
      </c>
      <c r="B4156" s="15" t="s">
        <v>25529</v>
      </c>
      <c r="C4156" s="14" t="s">
        <v>25720</v>
      </c>
      <c r="D4156" s="14" t="s">
        <v>25721</v>
      </c>
      <c r="E4156" s="16" t="s">
        <v>25722</v>
      </c>
      <c r="F4156" s="16" t="s">
        <v>25723</v>
      </c>
      <c r="G4156" s="23" t="s">
        <v>43</v>
      </c>
      <c r="H4156" s="18" t="n">
        <v>1</v>
      </c>
      <c r="I4156" s="20" t="n">
        <v>31</v>
      </c>
      <c r="J4156" s="20" t="n">
        <v>79.2</v>
      </c>
      <c r="K4156" s="18" t="n">
        <v>4</v>
      </c>
      <c r="L4156" s="18" t="n">
        <v>2</v>
      </c>
      <c r="M4156" s="18" t="n">
        <v>80</v>
      </c>
      <c r="N4156" s="18" t="n">
        <v>50</v>
      </c>
      <c r="O4156" s="14" t="s">
        <v>25724</v>
      </c>
      <c r="P4156" s="14" t="s">
        <v>1185</v>
      </c>
      <c r="Q4156" s="15" t="s">
        <v>1089</v>
      </c>
      <c r="R4156" s="16" t="s">
        <v>25725</v>
      </c>
      <c r="S4156" s="15" t="s">
        <v>7330</v>
      </c>
      <c r="T4156" s="15" t="s">
        <v>7330</v>
      </c>
      <c r="U4156" s="21" t="s">
        <v>72</v>
      </c>
    </row>
    <row r="4157" customFormat="false" ht="26.85" hidden="false" customHeight="false" outlineLevel="0" collapsed="false">
      <c r="A4157" s="15" t="s">
        <v>25529</v>
      </c>
      <c r="B4157" s="15" t="s">
        <v>25529</v>
      </c>
      <c r="C4157" s="14" t="s">
        <v>25726</v>
      </c>
      <c r="D4157" s="14" t="s">
        <v>25727</v>
      </c>
      <c r="E4157" s="16" t="s">
        <v>25728</v>
      </c>
      <c r="F4157" s="16" t="s">
        <v>25729</v>
      </c>
      <c r="G4157" s="23" t="s">
        <v>43</v>
      </c>
      <c r="H4157" s="18" t="n">
        <v>3</v>
      </c>
      <c r="I4157" s="20" t="n">
        <v>63.2</v>
      </c>
      <c r="J4157" s="20" t="n">
        <v>120.52</v>
      </c>
      <c r="K4157" s="18" t="n">
        <v>40</v>
      </c>
      <c r="L4157" s="18" t="n">
        <v>3</v>
      </c>
      <c r="M4157" s="18" t="n">
        <v>519</v>
      </c>
      <c r="N4157" s="18" t="n">
        <v>117</v>
      </c>
      <c r="O4157" s="14" t="s">
        <v>1097</v>
      </c>
      <c r="P4157" s="14" t="s">
        <v>334</v>
      </c>
      <c r="Q4157" s="15" t="s">
        <v>1089</v>
      </c>
      <c r="R4157" s="16" t="s">
        <v>14354</v>
      </c>
      <c r="S4157" s="15" t="s">
        <v>25730</v>
      </c>
      <c r="T4157" s="15" t="s">
        <v>25731</v>
      </c>
      <c r="U4157" s="21" t="s">
        <v>72</v>
      </c>
    </row>
    <row r="4158" customFormat="false" ht="52.2" hidden="false" customHeight="false" outlineLevel="0" collapsed="false">
      <c r="A4158" s="15" t="s">
        <v>25529</v>
      </c>
      <c r="B4158" s="15" t="s">
        <v>25732</v>
      </c>
      <c r="C4158" s="14" t="s">
        <v>25733</v>
      </c>
      <c r="D4158" s="14" t="s">
        <v>25734</v>
      </c>
      <c r="E4158" s="16" t="s">
        <v>25735</v>
      </c>
      <c r="F4158" s="16" t="s">
        <v>25736</v>
      </c>
      <c r="G4158" s="25" t="s">
        <v>39</v>
      </c>
      <c r="H4158" s="18" t="n">
        <v>5</v>
      </c>
      <c r="I4158" s="20" t="n">
        <v>325.14</v>
      </c>
      <c r="J4158" s="20" t="n">
        <v>643.19</v>
      </c>
      <c r="K4158" s="18" t="n">
        <v>63</v>
      </c>
      <c r="L4158" s="18" t="n">
        <v>25</v>
      </c>
      <c r="M4158" s="18" t="n">
        <v>1115</v>
      </c>
      <c r="N4158" s="18" t="n">
        <v>30</v>
      </c>
      <c r="O4158" s="14" t="s">
        <v>1097</v>
      </c>
      <c r="P4158" s="14" t="s">
        <v>25737</v>
      </c>
      <c r="Q4158" s="15" t="s">
        <v>1089</v>
      </c>
      <c r="R4158" s="16" t="s">
        <v>19326</v>
      </c>
      <c r="S4158" s="15" t="s">
        <v>25738</v>
      </c>
      <c r="T4158" s="15" t="s">
        <v>25739</v>
      </c>
      <c r="U4158" s="21" t="s">
        <v>72</v>
      </c>
    </row>
    <row r="4159" customFormat="false" ht="15" hidden="false" customHeight="false" outlineLevel="0" collapsed="false">
      <c r="A4159" s="15" t="s">
        <v>25529</v>
      </c>
      <c r="B4159" s="15" t="s">
        <v>25732</v>
      </c>
      <c r="C4159" s="14" t="s">
        <v>25740</v>
      </c>
      <c r="D4159" s="14" t="s">
        <v>25741</v>
      </c>
      <c r="E4159" s="16" t="s">
        <v>25742</v>
      </c>
      <c r="F4159" s="16" t="s">
        <v>25743</v>
      </c>
      <c r="G4159" s="25" t="s">
        <v>39</v>
      </c>
      <c r="H4159" s="18" t="n">
        <v>6</v>
      </c>
      <c r="I4159" s="20" t="n">
        <v>215.28</v>
      </c>
      <c r="J4159" s="20" t="n">
        <v>433.23</v>
      </c>
      <c r="K4159" s="18" t="n">
        <v>8</v>
      </c>
      <c r="L4159" s="18" t="n">
        <v>3</v>
      </c>
      <c r="M4159" s="18" t="n">
        <v>151</v>
      </c>
      <c r="N4159" s="18" t="n">
        <v>121</v>
      </c>
      <c r="O4159" s="14" t="s">
        <v>7240</v>
      </c>
      <c r="P4159" s="14" t="s">
        <v>118</v>
      </c>
      <c r="Q4159" s="15" t="s">
        <v>1089</v>
      </c>
      <c r="R4159" s="16" t="s">
        <v>25744</v>
      </c>
      <c r="S4159" s="15" t="s">
        <v>25745</v>
      </c>
      <c r="T4159" s="15" t="s">
        <v>25745</v>
      </c>
      <c r="U4159" s="21" t="s">
        <v>72</v>
      </c>
    </row>
    <row r="4160" customFormat="false" ht="15" hidden="false" customHeight="false" outlineLevel="0" collapsed="false">
      <c r="A4160" s="15" t="s">
        <v>25529</v>
      </c>
      <c r="B4160" s="15" t="s">
        <v>25732</v>
      </c>
      <c r="C4160" s="14" t="s">
        <v>25746</v>
      </c>
      <c r="D4160" s="14" t="s">
        <v>25747</v>
      </c>
      <c r="E4160" s="16" t="s">
        <v>25748</v>
      </c>
      <c r="F4160" s="16" t="s">
        <v>25749</v>
      </c>
      <c r="G4160" s="19" t="s">
        <v>41</v>
      </c>
      <c r="H4160" s="18" t="n">
        <v>6</v>
      </c>
      <c r="I4160" s="20" t="n">
        <v>215</v>
      </c>
      <c r="J4160" s="20" t="n">
        <v>319.93</v>
      </c>
      <c r="K4160" s="18" t="n">
        <v>2</v>
      </c>
      <c r="L4160" s="18" t="n">
        <v>4</v>
      </c>
      <c r="M4160" s="18" t="n">
        <v>60</v>
      </c>
      <c r="N4160" s="18" t="n">
        <v>60</v>
      </c>
      <c r="O4160" s="14" t="s">
        <v>1097</v>
      </c>
      <c r="P4160" s="14" t="s">
        <v>84</v>
      </c>
      <c r="Q4160" s="15" t="s">
        <v>1089</v>
      </c>
      <c r="R4160" s="16" t="s">
        <v>15744</v>
      </c>
      <c r="S4160" s="15" t="s">
        <v>7213</v>
      </c>
      <c r="T4160" s="15" t="s">
        <v>25750</v>
      </c>
      <c r="U4160" s="21" t="s">
        <v>72</v>
      </c>
    </row>
    <row r="4161" customFormat="false" ht="15" hidden="false" customHeight="false" outlineLevel="0" collapsed="false">
      <c r="A4161" s="15" t="s">
        <v>25529</v>
      </c>
      <c r="B4161" s="15" t="s">
        <v>25732</v>
      </c>
      <c r="C4161" s="14" t="s">
        <v>25751</v>
      </c>
      <c r="D4161" s="14" t="s">
        <v>25752</v>
      </c>
      <c r="E4161" s="16" t="s">
        <v>25753</v>
      </c>
      <c r="F4161" s="16" t="s">
        <v>25754</v>
      </c>
      <c r="G4161" s="23" t="s">
        <v>43</v>
      </c>
      <c r="H4161" s="18" t="n">
        <v>4</v>
      </c>
      <c r="I4161" s="20" t="n">
        <v>79.28</v>
      </c>
      <c r="J4161" s="20" t="n">
        <v>103.5</v>
      </c>
      <c r="K4161" s="18" t="n">
        <v>9</v>
      </c>
      <c r="L4161" s="18" t="n">
        <v>4</v>
      </c>
      <c r="M4161" s="18" t="n">
        <v>143</v>
      </c>
      <c r="N4161" s="18" t="n">
        <v>47</v>
      </c>
      <c r="O4161" s="14" t="s">
        <v>1097</v>
      </c>
      <c r="P4161" s="14" t="s">
        <v>118</v>
      </c>
      <c r="Q4161" s="15" t="s">
        <v>1089</v>
      </c>
      <c r="R4161" s="16" t="s">
        <v>25755</v>
      </c>
      <c r="S4161" s="15" t="s">
        <v>11210</v>
      </c>
      <c r="T4161" s="15" t="s">
        <v>25756</v>
      </c>
      <c r="U4161" s="21" t="s">
        <v>72</v>
      </c>
    </row>
    <row r="4162" customFormat="false" ht="15" hidden="false" customHeight="false" outlineLevel="0" collapsed="false">
      <c r="A4162" s="15" t="s">
        <v>25529</v>
      </c>
      <c r="B4162" s="15" t="s">
        <v>25732</v>
      </c>
      <c r="C4162" s="14" t="s">
        <v>25757</v>
      </c>
      <c r="D4162" s="14" t="s">
        <v>25758</v>
      </c>
      <c r="E4162" s="16" t="s">
        <v>25759</v>
      </c>
      <c r="F4162" s="16" t="s">
        <v>25760</v>
      </c>
      <c r="G4162" s="25" t="s">
        <v>39</v>
      </c>
      <c r="H4162" s="18" t="n">
        <v>11</v>
      </c>
      <c r="I4162" s="20" t="n">
        <v>341.46</v>
      </c>
      <c r="J4162" s="20" t="n">
        <v>517</v>
      </c>
      <c r="K4162" s="18" t="n">
        <v>24</v>
      </c>
      <c r="L4162" s="18" t="n">
        <v>6</v>
      </c>
      <c r="M4162" s="18" t="n">
        <v>333</v>
      </c>
      <c r="N4162" s="18" t="n">
        <v>225</v>
      </c>
      <c r="O4162" s="14" t="s">
        <v>1088</v>
      </c>
      <c r="P4162" s="14" t="s">
        <v>84</v>
      </c>
      <c r="Q4162" s="15" t="s">
        <v>1089</v>
      </c>
      <c r="R4162" s="16" t="s">
        <v>25761</v>
      </c>
      <c r="S4162" s="15" t="s">
        <v>25762</v>
      </c>
      <c r="T4162" s="15" t="s">
        <v>25763</v>
      </c>
      <c r="U4162" s="21" t="s">
        <v>72</v>
      </c>
    </row>
    <row r="4163" customFormat="false" ht="26.85" hidden="false" customHeight="false" outlineLevel="0" collapsed="false">
      <c r="A4163" s="15" t="s">
        <v>25529</v>
      </c>
      <c r="B4163" s="15" t="s">
        <v>25732</v>
      </c>
      <c r="C4163" s="14" t="s">
        <v>25764</v>
      </c>
      <c r="D4163" s="14" t="s">
        <v>25765</v>
      </c>
      <c r="E4163" s="16" t="s">
        <v>25766</v>
      </c>
      <c r="F4163" s="16" t="s">
        <v>25767</v>
      </c>
      <c r="G4163" s="19" t="s">
        <v>41</v>
      </c>
      <c r="H4163" s="18" t="n">
        <v>3</v>
      </c>
      <c r="I4163" s="20" t="n">
        <v>114.44</v>
      </c>
      <c r="J4163" s="20" t="n">
        <v>242.13</v>
      </c>
      <c r="K4163" s="18" t="n">
        <v>4</v>
      </c>
      <c r="L4163" s="18" t="n">
        <v>6</v>
      </c>
      <c r="M4163" s="18" t="n">
        <v>60</v>
      </c>
      <c r="N4163" s="18" t="n">
        <v>45</v>
      </c>
      <c r="O4163" s="14" t="s">
        <v>6448</v>
      </c>
      <c r="P4163" s="14" t="s">
        <v>84</v>
      </c>
      <c r="Q4163" s="15" t="s">
        <v>1089</v>
      </c>
      <c r="R4163" s="16" t="s">
        <v>25768</v>
      </c>
      <c r="S4163" s="15" t="s">
        <v>25562</v>
      </c>
      <c r="T4163" s="15" t="s">
        <v>25562</v>
      </c>
      <c r="U4163" s="21" t="s">
        <v>72</v>
      </c>
    </row>
    <row r="4164" customFormat="false" ht="15" hidden="false" customHeight="false" outlineLevel="0" collapsed="false">
      <c r="A4164" s="15" t="s">
        <v>25529</v>
      </c>
      <c r="B4164" s="15" t="s">
        <v>25732</v>
      </c>
      <c r="C4164" s="14" t="s">
        <v>25769</v>
      </c>
      <c r="D4164" s="14" t="s">
        <v>25770</v>
      </c>
      <c r="E4164" s="16" t="s">
        <v>25771</v>
      </c>
      <c r="F4164" s="16" t="s">
        <v>25772</v>
      </c>
      <c r="G4164" s="19" t="s">
        <v>41</v>
      </c>
      <c r="H4164" s="18" t="n">
        <v>6</v>
      </c>
      <c r="I4164" s="20" t="n">
        <v>153.89</v>
      </c>
      <c r="J4164" s="20" t="n">
        <v>286.87</v>
      </c>
      <c r="K4164" s="18" t="n">
        <v>6</v>
      </c>
      <c r="L4164" s="18" t="n">
        <v>3</v>
      </c>
      <c r="M4164" s="18" t="n">
        <v>108</v>
      </c>
      <c r="N4164" s="18" t="n">
        <v>108</v>
      </c>
      <c r="O4164" s="14" t="s">
        <v>1088</v>
      </c>
      <c r="P4164" s="14" t="s">
        <v>84</v>
      </c>
      <c r="Q4164" s="15" t="s">
        <v>1089</v>
      </c>
      <c r="R4164" s="16" t="s">
        <v>25773</v>
      </c>
      <c r="S4164" s="15" t="s">
        <v>25562</v>
      </c>
      <c r="T4164" s="15" t="s">
        <v>25774</v>
      </c>
      <c r="U4164" s="21" t="s">
        <v>72</v>
      </c>
    </row>
    <row r="4165" customFormat="false" ht="15" hidden="false" customHeight="false" outlineLevel="0" collapsed="false">
      <c r="A4165" s="15" t="s">
        <v>25529</v>
      </c>
      <c r="B4165" s="15" t="s">
        <v>25732</v>
      </c>
      <c r="C4165" s="14" t="s">
        <v>25775</v>
      </c>
      <c r="D4165" s="14" t="s">
        <v>25776</v>
      </c>
      <c r="E4165" s="16" t="s">
        <v>25777</v>
      </c>
      <c r="F4165" s="16" t="s">
        <v>25778</v>
      </c>
      <c r="G4165" s="25" t="s">
        <v>39</v>
      </c>
      <c r="H4165" s="18" t="n">
        <v>7</v>
      </c>
      <c r="I4165" s="20" t="n">
        <v>185.37</v>
      </c>
      <c r="J4165" s="20" t="n">
        <v>558.31</v>
      </c>
      <c r="K4165" s="18" t="n">
        <v>17</v>
      </c>
      <c r="L4165" s="18" t="n">
        <v>7</v>
      </c>
      <c r="M4165" s="18" t="n">
        <v>340</v>
      </c>
      <c r="N4165" s="18" t="n">
        <v>220</v>
      </c>
      <c r="O4165" s="14" t="s">
        <v>1088</v>
      </c>
      <c r="P4165" s="14" t="s">
        <v>515</v>
      </c>
      <c r="Q4165" s="15" t="s">
        <v>1089</v>
      </c>
      <c r="R4165" s="16" t="s">
        <v>21947</v>
      </c>
      <c r="S4165" s="15" t="s">
        <v>22740</v>
      </c>
      <c r="T4165" s="15" t="s">
        <v>25779</v>
      </c>
      <c r="U4165" s="21" t="s">
        <v>72</v>
      </c>
    </row>
    <row r="4166" customFormat="false" ht="15" hidden="false" customHeight="false" outlineLevel="0" collapsed="false">
      <c r="A4166" s="15" t="s">
        <v>25529</v>
      </c>
      <c r="B4166" s="15" t="s">
        <v>25732</v>
      </c>
      <c r="C4166" s="14" t="s">
        <v>25780</v>
      </c>
      <c r="D4166" s="14" t="s">
        <v>25781</v>
      </c>
      <c r="E4166" s="16" t="s">
        <v>25782</v>
      </c>
      <c r="F4166" s="16" t="s">
        <v>25783</v>
      </c>
      <c r="G4166" s="23" t="s">
        <v>43</v>
      </c>
      <c r="H4166" s="18" t="n">
        <v>1</v>
      </c>
      <c r="I4166" s="20" t="n">
        <v>72</v>
      </c>
      <c r="J4166" s="20" t="n">
        <v>144.67</v>
      </c>
      <c r="K4166" s="18" t="n">
        <v>2</v>
      </c>
      <c r="L4166" s="18" t="n">
        <v>1</v>
      </c>
      <c r="M4166" s="18" t="n">
        <v>40</v>
      </c>
      <c r="N4166" s="18" t="n">
        <v>40</v>
      </c>
      <c r="O4166" s="14" t="s">
        <v>1126</v>
      </c>
      <c r="P4166" s="14" t="s">
        <v>84</v>
      </c>
      <c r="Q4166" s="15" t="s">
        <v>1089</v>
      </c>
      <c r="R4166" s="16" t="s">
        <v>25784</v>
      </c>
      <c r="S4166" s="15" t="s">
        <v>25785</v>
      </c>
      <c r="T4166" s="15" t="s">
        <v>25785</v>
      </c>
      <c r="U4166" s="21" t="s">
        <v>72</v>
      </c>
    </row>
    <row r="4167" customFormat="false" ht="39.55" hidden="false" customHeight="false" outlineLevel="0" collapsed="false">
      <c r="A4167" s="15" t="s">
        <v>25529</v>
      </c>
      <c r="B4167" s="15" t="s">
        <v>25732</v>
      </c>
      <c r="C4167" s="14" t="s">
        <v>25786</v>
      </c>
      <c r="D4167" s="14" t="s">
        <v>25787</v>
      </c>
      <c r="E4167" s="16" t="s">
        <v>25788</v>
      </c>
      <c r="F4167" s="16" t="s">
        <v>25789</v>
      </c>
      <c r="G4167" s="23" t="s">
        <v>43</v>
      </c>
      <c r="H4167" s="18" t="n">
        <v>1</v>
      </c>
      <c r="I4167" s="20" t="n">
        <v>39.75</v>
      </c>
      <c r="J4167" s="20" t="n">
        <v>55.44</v>
      </c>
      <c r="K4167" s="18" t="n">
        <v>25</v>
      </c>
      <c r="L4167" s="18" t="n">
        <v>2</v>
      </c>
      <c r="M4167" s="18" t="n">
        <v>212</v>
      </c>
      <c r="N4167" s="18" t="n">
        <v>40</v>
      </c>
      <c r="O4167" s="14" t="s">
        <v>1097</v>
      </c>
      <c r="P4167" s="14" t="s">
        <v>25790</v>
      </c>
      <c r="Q4167" s="15" t="s">
        <v>1089</v>
      </c>
      <c r="R4167" s="16" t="s">
        <v>25791</v>
      </c>
      <c r="S4167" s="15" t="s">
        <v>25792</v>
      </c>
      <c r="T4167" s="15" t="s">
        <v>25792</v>
      </c>
      <c r="U4167" s="21" t="s">
        <v>72</v>
      </c>
    </row>
    <row r="4168" customFormat="false" ht="15" hidden="false" customHeight="false" outlineLevel="0" collapsed="false">
      <c r="A4168" s="15" t="s">
        <v>25529</v>
      </c>
      <c r="B4168" s="15" t="s">
        <v>25732</v>
      </c>
      <c r="C4168" s="14" t="s">
        <v>25793</v>
      </c>
      <c r="D4168" s="14" t="s">
        <v>25794</v>
      </c>
      <c r="E4168" s="16" t="s">
        <v>25795</v>
      </c>
      <c r="F4168" s="16" t="s">
        <v>25796</v>
      </c>
      <c r="G4168" s="19" t="s">
        <v>41</v>
      </c>
      <c r="H4168" s="18" t="n">
        <v>6</v>
      </c>
      <c r="I4168" s="20" t="n">
        <v>216</v>
      </c>
      <c r="J4168" s="20" t="n">
        <v>380.5</v>
      </c>
      <c r="K4168" s="18" t="n">
        <v>10</v>
      </c>
      <c r="L4168" s="18" t="n">
        <v>3</v>
      </c>
      <c r="M4168" s="18" t="n">
        <v>200</v>
      </c>
      <c r="N4168" s="18" t="n">
        <v>200</v>
      </c>
      <c r="O4168" s="14" t="s">
        <v>1097</v>
      </c>
      <c r="P4168" s="14" t="s">
        <v>84</v>
      </c>
      <c r="Q4168" s="15" t="s">
        <v>1089</v>
      </c>
      <c r="R4168" s="16" t="s">
        <v>7764</v>
      </c>
      <c r="S4168" s="15" t="s">
        <v>25797</v>
      </c>
      <c r="T4168" s="15" t="s">
        <v>25797</v>
      </c>
      <c r="U4168" s="21" t="s">
        <v>72</v>
      </c>
    </row>
    <row r="4169" customFormat="false" ht="26.85" hidden="false" customHeight="false" outlineLevel="0" collapsed="false">
      <c r="A4169" s="15" t="s">
        <v>25529</v>
      </c>
      <c r="B4169" s="15" t="s">
        <v>25732</v>
      </c>
      <c r="C4169" s="14" t="s">
        <v>25798</v>
      </c>
      <c r="D4169" s="14" t="s">
        <v>25799</v>
      </c>
      <c r="E4169" s="16" t="s">
        <v>25800</v>
      </c>
      <c r="F4169" s="16" t="s">
        <v>25676</v>
      </c>
      <c r="G4169" s="19" t="s">
        <v>41</v>
      </c>
      <c r="H4169" s="18" t="n">
        <v>6</v>
      </c>
      <c r="I4169" s="20" t="n">
        <v>156.42</v>
      </c>
      <c r="J4169" s="20" t="n">
        <v>345.52</v>
      </c>
      <c r="K4169" s="18" t="n">
        <v>11</v>
      </c>
      <c r="L4169" s="18" t="n">
        <v>5</v>
      </c>
      <c r="M4169" s="18" t="n">
        <v>165</v>
      </c>
      <c r="N4169" s="18" t="n">
        <v>105</v>
      </c>
      <c r="O4169" s="13" t="s">
        <v>25801</v>
      </c>
      <c r="P4169" s="14" t="s">
        <v>84</v>
      </c>
      <c r="Q4169" s="15" t="s">
        <v>1089</v>
      </c>
      <c r="R4169" s="16" t="s">
        <v>25802</v>
      </c>
      <c r="S4169" s="15" t="s">
        <v>25678</v>
      </c>
      <c r="T4169" s="15" t="s">
        <v>25678</v>
      </c>
      <c r="U4169" s="21" t="s">
        <v>72</v>
      </c>
    </row>
    <row r="4170" customFormat="false" ht="15" hidden="false" customHeight="false" outlineLevel="0" collapsed="false">
      <c r="A4170" s="15" t="s">
        <v>25529</v>
      </c>
      <c r="B4170" s="15" t="s">
        <v>25732</v>
      </c>
      <c r="C4170" s="14" t="s">
        <v>25803</v>
      </c>
      <c r="D4170" s="14" t="s">
        <v>25804</v>
      </c>
      <c r="E4170" s="16" t="s">
        <v>25805</v>
      </c>
      <c r="F4170" s="16" t="s">
        <v>25806</v>
      </c>
      <c r="G4170" s="23" t="s">
        <v>43</v>
      </c>
      <c r="H4170" s="18" t="n">
        <v>4</v>
      </c>
      <c r="I4170" s="20" t="n">
        <v>92.6551</v>
      </c>
      <c r="J4170" s="20" t="n">
        <v>157.36</v>
      </c>
      <c r="K4170" s="18" t="n">
        <v>22</v>
      </c>
      <c r="L4170" s="18" t="n">
        <v>2</v>
      </c>
      <c r="M4170" s="18" t="n">
        <v>528</v>
      </c>
      <c r="N4170" s="18" t="n">
        <v>286</v>
      </c>
      <c r="O4170" s="14" t="s">
        <v>17859</v>
      </c>
      <c r="P4170" s="14" t="s">
        <v>118</v>
      </c>
      <c r="Q4170" s="15" t="s">
        <v>1089</v>
      </c>
      <c r="R4170" s="16" t="s">
        <v>25807</v>
      </c>
      <c r="S4170" s="15" t="s">
        <v>25808</v>
      </c>
      <c r="T4170" s="15" t="s">
        <v>25809</v>
      </c>
      <c r="U4170" s="21" t="s">
        <v>72</v>
      </c>
    </row>
    <row r="4171" customFormat="false" ht="15" hidden="false" customHeight="false" outlineLevel="0" collapsed="false">
      <c r="A4171" s="15" t="s">
        <v>25529</v>
      </c>
      <c r="B4171" s="15" t="s">
        <v>25732</v>
      </c>
      <c r="C4171" s="14" t="s">
        <v>25810</v>
      </c>
      <c r="D4171" s="14" t="s">
        <v>25811</v>
      </c>
      <c r="E4171" s="16" t="s">
        <v>25812</v>
      </c>
      <c r="F4171" s="16" t="s">
        <v>25813</v>
      </c>
      <c r="G4171" s="23" t="s">
        <v>43</v>
      </c>
      <c r="H4171" s="18" t="n">
        <v>1</v>
      </c>
      <c r="I4171" s="20" t="n">
        <v>55</v>
      </c>
      <c r="J4171" s="20" t="n">
        <v>86</v>
      </c>
      <c r="K4171" s="18" t="n">
        <v>4</v>
      </c>
      <c r="L4171" s="18" t="n">
        <v>1</v>
      </c>
      <c r="M4171" s="18" t="n">
        <v>40</v>
      </c>
      <c r="N4171" s="18" t="n">
        <v>40</v>
      </c>
      <c r="O4171" s="14" t="s">
        <v>1097</v>
      </c>
      <c r="P4171" s="14" t="s">
        <v>84</v>
      </c>
      <c r="Q4171" s="15" t="s">
        <v>1089</v>
      </c>
      <c r="R4171" s="16" t="s">
        <v>25814</v>
      </c>
      <c r="S4171" s="15" t="s">
        <v>25815</v>
      </c>
      <c r="T4171" s="15" t="s">
        <v>25815</v>
      </c>
      <c r="U4171" s="21" t="s">
        <v>72</v>
      </c>
    </row>
    <row r="4172" customFormat="false" ht="15" hidden="false" customHeight="false" outlineLevel="0" collapsed="false">
      <c r="A4172" s="15" t="s">
        <v>25529</v>
      </c>
      <c r="B4172" s="15" t="s">
        <v>25732</v>
      </c>
      <c r="C4172" s="14" t="s">
        <v>25816</v>
      </c>
      <c r="D4172" s="14" t="s">
        <v>25817</v>
      </c>
      <c r="E4172" s="16" t="s">
        <v>25818</v>
      </c>
      <c r="F4172" s="16"/>
      <c r="G4172" s="23" t="s">
        <v>43</v>
      </c>
      <c r="H4172" s="18" t="n">
        <v>2</v>
      </c>
      <c r="I4172" s="20" t="n">
        <v>55</v>
      </c>
      <c r="J4172" s="20" t="n">
        <v>71.46</v>
      </c>
      <c r="K4172" s="18" t="n">
        <v>2</v>
      </c>
      <c r="L4172" s="18" t="n">
        <v>3</v>
      </c>
      <c r="M4172" s="18" t="n">
        <v>40</v>
      </c>
      <c r="N4172" s="18" t="n">
        <v>40</v>
      </c>
      <c r="O4172" s="14" t="s">
        <v>1097</v>
      </c>
      <c r="P4172" s="14" t="s">
        <v>84</v>
      </c>
      <c r="Q4172" s="15" t="s">
        <v>1089</v>
      </c>
      <c r="R4172" s="16" t="s">
        <v>25819</v>
      </c>
      <c r="S4172" s="15" t="s">
        <v>25820</v>
      </c>
      <c r="T4172" s="15" t="s">
        <v>25821</v>
      </c>
      <c r="U4172" s="21" t="s">
        <v>72</v>
      </c>
    </row>
    <row r="4173" customFormat="false" ht="26.85" hidden="false" customHeight="false" outlineLevel="0" collapsed="false">
      <c r="A4173" s="15" t="s">
        <v>25529</v>
      </c>
      <c r="B4173" s="15" t="s">
        <v>25732</v>
      </c>
      <c r="C4173" s="14" t="s">
        <v>25822</v>
      </c>
      <c r="D4173" s="14" t="s">
        <v>25823</v>
      </c>
      <c r="E4173" s="16" t="s">
        <v>25824</v>
      </c>
      <c r="F4173" s="16" t="s">
        <v>25825</v>
      </c>
      <c r="G4173" s="23" t="s">
        <v>43</v>
      </c>
      <c r="H4173" s="18" t="n">
        <v>2</v>
      </c>
      <c r="I4173" s="20" t="n">
        <v>47.4</v>
      </c>
      <c r="J4173" s="20" t="n">
        <v>83.75</v>
      </c>
      <c r="K4173" s="18" t="n">
        <v>29</v>
      </c>
      <c r="L4173" s="18" t="n">
        <v>3</v>
      </c>
      <c r="M4173" s="18" t="n">
        <v>440</v>
      </c>
      <c r="N4173" s="18" t="n">
        <v>340</v>
      </c>
      <c r="O4173" s="14" t="s">
        <v>25595</v>
      </c>
      <c r="P4173" s="14" t="s">
        <v>352</v>
      </c>
      <c r="Q4173" s="15" t="s">
        <v>1089</v>
      </c>
      <c r="R4173" s="16" t="s">
        <v>25826</v>
      </c>
      <c r="S4173" s="15" t="s">
        <v>25827</v>
      </c>
      <c r="T4173" s="15" t="s">
        <v>25828</v>
      </c>
      <c r="U4173" s="21" t="s">
        <v>72</v>
      </c>
    </row>
    <row r="4174" customFormat="false" ht="15" hidden="false" customHeight="false" outlineLevel="0" collapsed="false">
      <c r="A4174" s="15" t="s">
        <v>25529</v>
      </c>
      <c r="B4174" s="15" t="s">
        <v>25732</v>
      </c>
      <c r="C4174" s="14" t="s">
        <v>25829</v>
      </c>
      <c r="D4174" s="14" t="s">
        <v>25830</v>
      </c>
      <c r="E4174" s="16" t="s">
        <v>25831</v>
      </c>
      <c r="F4174" s="16" t="s">
        <v>25832</v>
      </c>
      <c r="G4174" s="23" t="s">
        <v>43</v>
      </c>
      <c r="H4174" s="18" t="n">
        <v>3</v>
      </c>
      <c r="I4174" s="20" t="n">
        <v>71.495</v>
      </c>
      <c r="J4174" s="20" t="n">
        <v>145.63</v>
      </c>
      <c r="K4174" s="18" t="n">
        <v>10</v>
      </c>
      <c r="L4174" s="18" t="n">
        <v>3</v>
      </c>
      <c r="M4174" s="18" t="n">
        <v>150</v>
      </c>
      <c r="N4174" s="18" t="n">
        <v>45</v>
      </c>
      <c r="O4174" s="14" t="s">
        <v>1097</v>
      </c>
      <c r="P4174" s="14" t="s">
        <v>118</v>
      </c>
      <c r="Q4174" s="15" t="s">
        <v>1089</v>
      </c>
      <c r="R4174" s="16" t="s">
        <v>15105</v>
      </c>
      <c r="S4174" s="15" t="s">
        <v>25833</v>
      </c>
      <c r="T4174" s="15" t="s">
        <v>25834</v>
      </c>
      <c r="U4174" s="21" t="s">
        <v>72</v>
      </c>
    </row>
    <row r="4175" customFormat="false" ht="26.85" hidden="false" customHeight="false" outlineLevel="0" collapsed="false">
      <c r="A4175" s="15" t="s">
        <v>25529</v>
      </c>
      <c r="B4175" s="15" t="s">
        <v>25835</v>
      </c>
      <c r="C4175" s="14" t="s">
        <v>25836</v>
      </c>
      <c r="D4175" s="14" t="s">
        <v>25837</v>
      </c>
      <c r="E4175" s="16" t="s">
        <v>25838</v>
      </c>
      <c r="F4175" s="16" t="s">
        <v>25839</v>
      </c>
      <c r="G4175" s="19" t="s">
        <v>41</v>
      </c>
      <c r="H4175" s="18" t="n">
        <v>2</v>
      </c>
      <c r="I4175" s="20" t="n">
        <v>55.2</v>
      </c>
      <c r="J4175" s="20" t="n">
        <v>210.45</v>
      </c>
      <c r="K4175" s="18" t="n">
        <v>3</v>
      </c>
      <c r="L4175" s="18" t="n">
        <v>2</v>
      </c>
      <c r="M4175" s="18" t="n">
        <v>30</v>
      </c>
      <c r="N4175" s="18" t="n">
        <v>10</v>
      </c>
      <c r="O4175" s="14" t="s">
        <v>1088</v>
      </c>
      <c r="P4175" s="14" t="s">
        <v>906</v>
      </c>
      <c r="Q4175" s="15" t="s">
        <v>1089</v>
      </c>
      <c r="R4175" s="16" t="s">
        <v>25840</v>
      </c>
      <c r="S4175" s="15" t="s">
        <v>25841</v>
      </c>
      <c r="T4175" s="15" t="s">
        <v>25842</v>
      </c>
      <c r="U4175" s="21" t="s">
        <v>72</v>
      </c>
    </row>
    <row r="4176" customFormat="false" ht="15" hidden="false" customHeight="false" outlineLevel="0" collapsed="false">
      <c r="A4176" s="15" t="s">
        <v>25529</v>
      </c>
      <c r="B4176" s="15" t="s">
        <v>25835</v>
      </c>
      <c r="C4176" s="14" t="s">
        <v>25843</v>
      </c>
      <c r="D4176" s="14" t="s">
        <v>25844</v>
      </c>
      <c r="E4176" s="16" t="s">
        <v>25845</v>
      </c>
      <c r="F4176" s="16" t="s">
        <v>25846</v>
      </c>
      <c r="G4176" s="23" t="s">
        <v>43</v>
      </c>
      <c r="H4176" s="18" t="n">
        <v>1</v>
      </c>
      <c r="I4176" s="20" t="n">
        <v>40</v>
      </c>
      <c r="J4176" s="20" t="n">
        <v>84.1</v>
      </c>
      <c r="K4176" s="18" t="n">
        <v>2</v>
      </c>
      <c r="L4176" s="18" t="n">
        <v>2</v>
      </c>
      <c r="M4176" s="18" t="n">
        <v>30</v>
      </c>
      <c r="N4176" s="18" t="n">
        <v>30</v>
      </c>
      <c r="O4176" s="14" t="s">
        <v>1126</v>
      </c>
      <c r="P4176" s="14" t="s">
        <v>84</v>
      </c>
      <c r="Q4176" s="15" t="s">
        <v>1089</v>
      </c>
      <c r="R4176" s="16" t="s">
        <v>25847</v>
      </c>
      <c r="S4176" s="15" t="s">
        <v>25848</v>
      </c>
      <c r="T4176" s="15" t="s">
        <v>25848</v>
      </c>
      <c r="U4176" s="21" t="s">
        <v>72</v>
      </c>
    </row>
    <row r="4177" customFormat="false" ht="15" hidden="false" customHeight="false" outlineLevel="0" collapsed="false">
      <c r="A4177" s="15" t="s">
        <v>25529</v>
      </c>
      <c r="B4177" s="15" t="s">
        <v>25835</v>
      </c>
      <c r="C4177" s="14" t="s">
        <v>25849</v>
      </c>
      <c r="D4177" s="14" t="s">
        <v>25850</v>
      </c>
      <c r="E4177" s="16" t="s">
        <v>25851</v>
      </c>
      <c r="F4177" s="16" t="s">
        <v>25852</v>
      </c>
      <c r="G4177" s="23" t="s">
        <v>43</v>
      </c>
      <c r="H4177" s="18" t="n">
        <v>2</v>
      </c>
      <c r="I4177" s="20" t="n">
        <v>77.13</v>
      </c>
      <c r="J4177" s="20" t="n">
        <v>98.04</v>
      </c>
      <c r="K4177" s="18" t="n">
        <v>50</v>
      </c>
      <c r="L4177" s="18" t="n">
        <v>3</v>
      </c>
      <c r="M4177" s="18" t="n">
        <v>1500</v>
      </c>
      <c r="N4177" s="18" t="n">
        <v>630</v>
      </c>
      <c r="O4177" s="14" t="s">
        <v>1097</v>
      </c>
      <c r="P4177" s="14" t="s">
        <v>118</v>
      </c>
      <c r="Q4177" s="15" t="s">
        <v>1089</v>
      </c>
      <c r="R4177" s="16" t="s">
        <v>25853</v>
      </c>
      <c r="S4177" s="15" t="s">
        <v>25854</v>
      </c>
      <c r="T4177" s="15" t="s">
        <v>25855</v>
      </c>
      <c r="U4177" s="21" t="s">
        <v>72</v>
      </c>
    </row>
    <row r="4178" customFormat="false" ht="15" hidden="false" customHeight="false" outlineLevel="0" collapsed="false">
      <c r="A4178" s="15" t="s">
        <v>25529</v>
      </c>
      <c r="B4178" s="15" t="s">
        <v>25835</v>
      </c>
      <c r="C4178" s="14" t="s">
        <v>25856</v>
      </c>
      <c r="D4178" s="14" t="s">
        <v>25857</v>
      </c>
      <c r="E4178" s="16" t="s">
        <v>25858</v>
      </c>
      <c r="F4178" s="16" t="s">
        <v>25859</v>
      </c>
      <c r="G4178" s="23" t="s">
        <v>43</v>
      </c>
      <c r="H4178" s="18" t="n">
        <v>2</v>
      </c>
      <c r="I4178" s="20" t="n">
        <v>57.9</v>
      </c>
      <c r="J4178" s="20" t="n">
        <v>76.5</v>
      </c>
      <c r="K4178" s="18" t="n">
        <v>7</v>
      </c>
      <c r="L4178" s="18" t="n">
        <v>8</v>
      </c>
      <c r="M4178" s="18" t="n">
        <v>161</v>
      </c>
      <c r="N4178" s="18" t="n">
        <v>67</v>
      </c>
      <c r="O4178" s="14" t="s">
        <v>1097</v>
      </c>
      <c r="P4178" s="14" t="s">
        <v>118</v>
      </c>
      <c r="Q4178" s="15" t="s">
        <v>1089</v>
      </c>
      <c r="R4178" s="16" t="s">
        <v>16692</v>
      </c>
      <c r="S4178" s="15" t="s">
        <v>25860</v>
      </c>
      <c r="T4178" s="15" t="s">
        <v>25860</v>
      </c>
      <c r="U4178" s="21" t="s">
        <v>72</v>
      </c>
    </row>
    <row r="4179" customFormat="false" ht="15" hidden="false" customHeight="false" outlineLevel="0" collapsed="false">
      <c r="A4179" s="15" t="s">
        <v>25529</v>
      </c>
      <c r="B4179" s="15" t="s">
        <v>25835</v>
      </c>
      <c r="C4179" s="14" t="s">
        <v>25861</v>
      </c>
      <c r="D4179" s="14" t="s">
        <v>25862</v>
      </c>
      <c r="E4179" s="16" t="s">
        <v>25863</v>
      </c>
      <c r="F4179" s="16" t="s">
        <v>25864</v>
      </c>
      <c r="G4179" s="25" t="s">
        <v>39</v>
      </c>
      <c r="H4179" s="18" t="n">
        <v>8</v>
      </c>
      <c r="I4179" s="20" t="n">
        <v>131</v>
      </c>
      <c r="J4179" s="20" t="n">
        <v>180.16</v>
      </c>
      <c r="K4179" s="18" t="n">
        <v>12</v>
      </c>
      <c r="L4179" s="18" t="n">
        <v>4</v>
      </c>
      <c r="M4179" s="18" t="n">
        <v>220</v>
      </c>
      <c r="N4179" s="18" t="n">
        <v>100</v>
      </c>
      <c r="O4179" s="14" t="s">
        <v>1126</v>
      </c>
      <c r="P4179" s="14" t="s">
        <v>202</v>
      </c>
      <c r="Q4179" s="15" t="s">
        <v>1089</v>
      </c>
      <c r="R4179" s="16" t="s">
        <v>25865</v>
      </c>
      <c r="S4179" s="15" t="s">
        <v>25866</v>
      </c>
      <c r="T4179" s="15" t="s">
        <v>25866</v>
      </c>
      <c r="U4179" s="21" t="s">
        <v>72</v>
      </c>
    </row>
    <row r="4180" customFormat="false" ht="15" hidden="false" customHeight="false" outlineLevel="0" collapsed="false">
      <c r="A4180" s="15" t="s">
        <v>25529</v>
      </c>
      <c r="B4180" s="15" t="s">
        <v>25835</v>
      </c>
      <c r="C4180" s="14" t="s">
        <v>25867</v>
      </c>
      <c r="D4180" s="14" t="s">
        <v>25868</v>
      </c>
      <c r="E4180" s="16" t="s">
        <v>25869</v>
      </c>
      <c r="F4180" s="16" t="s">
        <v>25870</v>
      </c>
      <c r="G4180" s="23" t="s">
        <v>43</v>
      </c>
      <c r="H4180" s="18" t="n">
        <v>1</v>
      </c>
      <c r="I4180" s="20" t="n">
        <v>30</v>
      </c>
      <c r="J4180" s="20" t="n">
        <v>49.25</v>
      </c>
      <c r="K4180" s="18" t="n">
        <v>6</v>
      </c>
      <c r="L4180" s="18" t="n">
        <v>2</v>
      </c>
      <c r="M4180" s="18" t="n">
        <v>150</v>
      </c>
      <c r="N4180" s="18" t="n">
        <v>150</v>
      </c>
      <c r="O4180" s="14" t="s">
        <v>15129</v>
      </c>
      <c r="P4180" s="14" t="s">
        <v>84</v>
      </c>
      <c r="Q4180" s="15" t="s">
        <v>1089</v>
      </c>
      <c r="R4180" s="16" t="s">
        <v>25871</v>
      </c>
      <c r="S4180" s="15" t="s">
        <v>25872</v>
      </c>
      <c r="T4180" s="15" t="s">
        <v>25872</v>
      </c>
      <c r="U4180" s="21" t="s">
        <v>72</v>
      </c>
    </row>
    <row r="4181" customFormat="false" ht="15" hidden="false" customHeight="false" outlineLevel="0" collapsed="false">
      <c r="A4181" s="15" t="s">
        <v>25529</v>
      </c>
      <c r="B4181" s="15" t="s">
        <v>25835</v>
      </c>
      <c r="C4181" s="14" t="s">
        <v>25873</v>
      </c>
      <c r="D4181" s="14" t="s">
        <v>25874</v>
      </c>
      <c r="E4181" s="16" t="s">
        <v>25875</v>
      </c>
      <c r="F4181" s="16" t="s">
        <v>25876</v>
      </c>
      <c r="G4181" s="23" t="s">
        <v>43</v>
      </c>
      <c r="H4181" s="18" t="n">
        <v>1</v>
      </c>
      <c r="I4181" s="20" t="n">
        <v>56.297</v>
      </c>
      <c r="J4181" s="20" t="n">
        <v>99.977</v>
      </c>
      <c r="K4181" s="18" t="n">
        <v>2</v>
      </c>
      <c r="L4181" s="18" t="n">
        <v>2</v>
      </c>
      <c r="M4181" s="18" t="n">
        <v>60</v>
      </c>
      <c r="N4181" s="18" t="n">
        <v>60</v>
      </c>
      <c r="O4181" s="14" t="s">
        <v>1097</v>
      </c>
      <c r="P4181" s="14" t="s">
        <v>84</v>
      </c>
      <c r="Q4181" s="15" t="s">
        <v>1089</v>
      </c>
      <c r="R4181" s="16" t="s">
        <v>9470</v>
      </c>
      <c r="S4181" s="15" t="s">
        <v>25877</v>
      </c>
      <c r="T4181" s="15" t="s">
        <v>25877</v>
      </c>
      <c r="U4181" s="21" t="s">
        <v>72</v>
      </c>
    </row>
    <row r="4182" customFormat="false" ht="15" hidden="false" customHeight="false" outlineLevel="0" collapsed="false">
      <c r="A4182" s="15" t="s">
        <v>25529</v>
      </c>
      <c r="B4182" s="15" t="s">
        <v>25835</v>
      </c>
      <c r="C4182" s="14" t="s">
        <v>25878</v>
      </c>
      <c r="D4182" s="14" t="s">
        <v>25879</v>
      </c>
      <c r="E4182" s="16" t="s">
        <v>25880</v>
      </c>
      <c r="F4182" s="16" t="s">
        <v>25881</v>
      </c>
      <c r="G4182" s="23" t="s">
        <v>43</v>
      </c>
      <c r="H4182" s="18" t="n">
        <v>1</v>
      </c>
      <c r="I4182" s="20" t="n">
        <v>51.2</v>
      </c>
      <c r="J4182" s="20" t="n">
        <v>131.75</v>
      </c>
      <c r="K4182" s="18" t="n">
        <v>5</v>
      </c>
      <c r="L4182" s="18" t="n">
        <v>1</v>
      </c>
      <c r="M4182" s="18" t="n">
        <v>150</v>
      </c>
      <c r="N4182" s="18" t="n">
        <v>150</v>
      </c>
      <c r="O4182" s="14" t="s">
        <v>1097</v>
      </c>
      <c r="P4182" s="14" t="s">
        <v>84</v>
      </c>
      <c r="Q4182" s="15" t="s">
        <v>1089</v>
      </c>
      <c r="R4182" s="16" t="s">
        <v>25882</v>
      </c>
      <c r="S4182" s="15" t="s">
        <v>25883</v>
      </c>
      <c r="T4182" s="15" t="s">
        <v>25883</v>
      </c>
      <c r="U4182" s="21" t="s">
        <v>72</v>
      </c>
    </row>
    <row r="4183" customFormat="false" ht="15" hidden="false" customHeight="false" outlineLevel="0" collapsed="false">
      <c r="A4183" s="15" t="s">
        <v>25529</v>
      </c>
      <c r="B4183" s="15" t="s">
        <v>25835</v>
      </c>
      <c r="C4183" s="14" t="s">
        <v>25884</v>
      </c>
      <c r="D4183" s="14" t="s">
        <v>25885</v>
      </c>
      <c r="E4183" s="16" t="s">
        <v>25886</v>
      </c>
      <c r="F4183" s="16" t="s">
        <v>25887</v>
      </c>
      <c r="G4183" s="23" t="s">
        <v>43</v>
      </c>
      <c r="H4183" s="18" t="n">
        <v>2</v>
      </c>
      <c r="I4183" s="20" t="n">
        <v>46.15</v>
      </c>
      <c r="J4183" s="20" t="n">
        <v>51.07</v>
      </c>
      <c r="K4183" s="18" t="n">
        <v>2</v>
      </c>
      <c r="L4183" s="18" t="n">
        <v>1</v>
      </c>
      <c r="M4183" s="18" t="n">
        <v>50</v>
      </c>
      <c r="N4183" s="18" t="n">
        <v>50</v>
      </c>
      <c r="O4183" s="14" t="s">
        <v>1097</v>
      </c>
      <c r="P4183" s="14" t="s">
        <v>84</v>
      </c>
      <c r="Q4183" s="15" t="s">
        <v>1089</v>
      </c>
      <c r="R4183" s="16" t="s">
        <v>1199</v>
      </c>
      <c r="S4183" s="15" t="s">
        <v>25888</v>
      </c>
      <c r="T4183" s="15" t="s">
        <v>25889</v>
      </c>
      <c r="U4183" s="21" t="s">
        <v>72</v>
      </c>
    </row>
    <row r="4184" customFormat="false" ht="15" hidden="false" customHeight="false" outlineLevel="0" collapsed="false">
      <c r="A4184" s="15" t="s">
        <v>25529</v>
      </c>
      <c r="B4184" s="15" t="s">
        <v>25835</v>
      </c>
      <c r="C4184" s="14" t="s">
        <v>25890</v>
      </c>
      <c r="D4184" s="14" t="s">
        <v>25891</v>
      </c>
      <c r="E4184" s="16" t="s">
        <v>25892</v>
      </c>
      <c r="F4184" s="16" t="s">
        <v>25893</v>
      </c>
      <c r="G4184" s="19" t="s">
        <v>41</v>
      </c>
      <c r="H4184" s="18" t="n">
        <v>3</v>
      </c>
      <c r="I4184" s="20" t="n">
        <v>127.24</v>
      </c>
      <c r="J4184" s="20" t="n">
        <v>202.27</v>
      </c>
      <c r="K4184" s="18" t="n">
        <v>11</v>
      </c>
      <c r="L4184" s="18" t="n">
        <v>4</v>
      </c>
      <c r="M4184" s="18" t="n">
        <v>210</v>
      </c>
      <c r="N4184" s="18" t="n">
        <v>90</v>
      </c>
      <c r="O4184" s="14" t="s">
        <v>3724</v>
      </c>
      <c r="P4184" s="14" t="s">
        <v>118</v>
      </c>
      <c r="Q4184" s="15" t="s">
        <v>1089</v>
      </c>
      <c r="R4184" s="16" t="s">
        <v>18539</v>
      </c>
      <c r="S4184" s="15" t="s">
        <v>25894</v>
      </c>
      <c r="T4184" s="15" t="s">
        <v>25894</v>
      </c>
      <c r="U4184" s="21" t="s">
        <v>72</v>
      </c>
    </row>
    <row r="4185" customFormat="false" ht="15" hidden="false" customHeight="false" outlineLevel="0" collapsed="false">
      <c r="A4185" s="15" t="s">
        <v>25529</v>
      </c>
      <c r="B4185" s="15" t="s">
        <v>25835</v>
      </c>
      <c r="C4185" s="14" t="s">
        <v>25895</v>
      </c>
      <c r="D4185" s="14" t="s">
        <v>25896</v>
      </c>
      <c r="E4185" s="16" t="s">
        <v>25897</v>
      </c>
      <c r="F4185" s="16" t="s">
        <v>25898</v>
      </c>
      <c r="G4185" s="23" t="s">
        <v>43</v>
      </c>
      <c r="H4185" s="18" t="n">
        <v>2</v>
      </c>
      <c r="I4185" s="20" t="n">
        <v>50.37</v>
      </c>
      <c r="J4185" s="20" t="n">
        <v>131.77</v>
      </c>
      <c r="K4185" s="18" t="n">
        <v>2</v>
      </c>
      <c r="L4185" s="18" t="n">
        <v>1</v>
      </c>
      <c r="M4185" s="18" t="n">
        <v>60</v>
      </c>
      <c r="N4185" s="18" t="n">
        <v>60</v>
      </c>
      <c r="O4185" s="14" t="s">
        <v>1097</v>
      </c>
      <c r="P4185" s="14" t="s">
        <v>84</v>
      </c>
      <c r="Q4185" s="15" t="s">
        <v>1089</v>
      </c>
      <c r="R4185" s="16" t="s">
        <v>6120</v>
      </c>
      <c r="S4185" s="15" t="s">
        <v>25899</v>
      </c>
      <c r="T4185" s="15" t="s">
        <v>25899</v>
      </c>
      <c r="U4185" s="21" t="s">
        <v>72</v>
      </c>
    </row>
    <row r="4186" customFormat="false" ht="15" hidden="false" customHeight="false" outlineLevel="0" collapsed="false">
      <c r="A4186" s="15" t="s">
        <v>25529</v>
      </c>
      <c r="B4186" s="15" t="s">
        <v>25835</v>
      </c>
      <c r="C4186" s="14" t="s">
        <v>25900</v>
      </c>
      <c r="D4186" s="14" t="s">
        <v>25901</v>
      </c>
      <c r="E4186" s="16" t="s">
        <v>25902</v>
      </c>
      <c r="F4186" s="16" t="s">
        <v>1387</v>
      </c>
      <c r="G4186" s="19" t="s">
        <v>41</v>
      </c>
      <c r="H4186" s="18" t="n">
        <v>5</v>
      </c>
      <c r="I4186" s="20" t="n">
        <v>189.34</v>
      </c>
      <c r="J4186" s="20" t="n">
        <v>314.22</v>
      </c>
      <c r="K4186" s="18" t="n">
        <v>27</v>
      </c>
      <c r="L4186" s="18" t="n">
        <v>8</v>
      </c>
      <c r="M4186" s="18" t="n">
        <v>756</v>
      </c>
      <c r="N4186" s="18" t="n">
        <v>420</v>
      </c>
      <c r="O4186" s="14" t="s">
        <v>1126</v>
      </c>
      <c r="P4186" s="14" t="s">
        <v>84</v>
      </c>
      <c r="Q4186" s="15" t="s">
        <v>1089</v>
      </c>
      <c r="R4186" s="16" t="s">
        <v>25903</v>
      </c>
      <c r="S4186" s="15" t="s">
        <v>25904</v>
      </c>
      <c r="T4186" s="15" t="s">
        <v>12046</v>
      </c>
      <c r="U4186" s="21" t="s">
        <v>72</v>
      </c>
    </row>
    <row r="4187" customFormat="false" ht="15" hidden="false" customHeight="false" outlineLevel="0" collapsed="false">
      <c r="A4187" s="15" t="s">
        <v>25529</v>
      </c>
      <c r="B4187" s="15" t="s">
        <v>25835</v>
      </c>
      <c r="C4187" s="14" t="s">
        <v>25905</v>
      </c>
      <c r="D4187" s="14" t="s">
        <v>25906</v>
      </c>
      <c r="E4187" s="16" t="s">
        <v>25907</v>
      </c>
      <c r="F4187" s="16" t="s">
        <v>25908</v>
      </c>
      <c r="G4187" s="25" t="s">
        <v>39</v>
      </c>
      <c r="H4187" s="18" t="n">
        <v>7</v>
      </c>
      <c r="I4187" s="20" t="n">
        <v>228.21</v>
      </c>
      <c r="J4187" s="20" t="n">
        <v>491.37</v>
      </c>
      <c r="K4187" s="18" t="n">
        <v>10</v>
      </c>
      <c r="L4187" s="18" t="n">
        <v>22</v>
      </c>
      <c r="M4187" s="18" t="n">
        <v>250</v>
      </c>
      <c r="N4187" s="18" t="n">
        <v>185</v>
      </c>
      <c r="O4187" s="14" t="s">
        <v>1126</v>
      </c>
      <c r="P4187" s="14" t="s">
        <v>84</v>
      </c>
      <c r="Q4187" s="15" t="s">
        <v>1089</v>
      </c>
      <c r="R4187" s="16" t="s">
        <v>25909</v>
      </c>
      <c r="S4187" s="15" t="s">
        <v>25910</v>
      </c>
      <c r="T4187" s="15" t="s">
        <v>25911</v>
      </c>
      <c r="U4187" s="21" t="s">
        <v>72</v>
      </c>
    </row>
    <row r="4188" customFormat="false" ht="15" hidden="false" customHeight="false" outlineLevel="0" collapsed="false">
      <c r="A4188" s="15" t="s">
        <v>25529</v>
      </c>
      <c r="B4188" s="15" t="s">
        <v>25835</v>
      </c>
      <c r="C4188" s="14" t="s">
        <v>25912</v>
      </c>
      <c r="D4188" s="14" t="s">
        <v>25913</v>
      </c>
      <c r="E4188" s="16" t="s">
        <v>25914</v>
      </c>
      <c r="F4188" s="16" t="s">
        <v>25915</v>
      </c>
      <c r="G4188" s="19" t="s">
        <v>41</v>
      </c>
      <c r="H4188" s="18" t="n">
        <v>3</v>
      </c>
      <c r="I4188" s="20" t="n">
        <v>109.77</v>
      </c>
      <c r="J4188" s="20" t="n">
        <v>371.28</v>
      </c>
      <c r="K4188" s="18" t="n">
        <v>3</v>
      </c>
      <c r="L4188" s="18" t="n">
        <v>3</v>
      </c>
      <c r="M4188" s="18" t="n">
        <v>90</v>
      </c>
      <c r="N4188" s="18" t="n">
        <v>90</v>
      </c>
      <c r="O4188" s="14" t="s">
        <v>1097</v>
      </c>
      <c r="P4188" s="14" t="s">
        <v>84</v>
      </c>
      <c r="Q4188" s="15" t="s">
        <v>1089</v>
      </c>
      <c r="R4188" s="16" t="s">
        <v>23168</v>
      </c>
      <c r="S4188" s="15" t="s">
        <v>25916</v>
      </c>
      <c r="T4188" s="15" t="s">
        <v>25917</v>
      </c>
      <c r="U4188" s="21" t="s">
        <v>72</v>
      </c>
    </row>
    <row r="4189" customFormat="false" ht="26.85" hidden="false" customHeight="false" outlineLevel="0" collapsed="false">
      <c r="A4189" s="15" t="s">
        <v>25918</v>
      </c>
      <c r="B4189" s="16"/>
      <c r="C4189" s="14" t="s">
        <v>25919</v>
      </c>
      <c r="D4189" s="14" t="s">
        <v>25920</v>
      </c>
      <c r="E4189" s="16" t="s">
        <v>25921</v>
      </c>
      <c r="F4189" s="16" t="s">
        <v>25922</v>
      </c>
      <c r="G4189" s="23" t="s">
        <v>43</v>
      </c>
      <c r="H4189" s="18" t="n">
        <v>1</v>
      </c>
      <c r="I4189" s="20" t="n">
        <v>52.21</v>
      </c>
      <c r="J4189" s="20" t="n">
        <v>52.21</v>
      </c>
      <c r="K4189" s="18" t="n">
        <v>11</v>
      </c>
      <c r="L4189" s="18" t="n">
        <v>2</v>
      </c>
      <c r="M4189" s="18" t="n">
        <v>165</v>
      </c>
      <c r="N4189" s="18" t="n">
        <v>45</v>
      </c>
      <c r="O4189" s="14" t="s">
        <v>1088</v>
      </c>
      <c r="P4189" s="14" t="s">
        <v>906</v>
      </c>
      <c r="Q4189" s="15" t="s">
        <v>1089</v>
      </c>
      <c r="R4189" s="16" t="s">
        <v>25923</v>
      </c>
      <c r="S4189" s="15" t="s">
        <v>25833</v>
      </c>
      <c r="T4189" s="15" t="s">
        <v>25924</v>
      </c>
      <c r="U4189" s="21" t="s">
        <v>72</v>
      </c>
    </row>
    <row r="4190" customFormat="false" ht="15" hidden="false" customHeight="false" outlineLevel="0" collapsed="false">
      <c r="A4190" s="15" t="s">
        <v>25918</v>
      </c>
      <c r="B4190" s="16"/>
      <c r="C4190" s="14" t="s">
        <v>25925</v>
      </c>
      <c r="D4190" s="14" t="s">
        <v>25926</v>
      </c>
      <c r="E4190" s="16" t="s">
        <v>25927</v>
      </c>
      <c r="F4190" s="16"/>
      <c r="G4190" s="23" t="s">
        <v>43</v>
      </c>
      <c r="H4190" s="18" t="n">
        <v>3</v>
      </c>
      <c r="I4190" s="20" t="n">
        <v>92.17</v>
      </c>
      <c r="J4190" s="20" t="n">
        <v>189.91</v>
      </c>
      <c r="K4190" s="18" t="n">
        <v>6</v>
      </c>
      <c r="L4190" s="18" t="n">
        <v>3</v>
      </c>
      <c r="M4190" s="18" t="n">
        <v>102</v>
      </c>
      <c r="N4190" s="18" t="n">
        <v>34</v>
      </c>
      <c r="O4190" s="14" t="s">
        <v>1097</v>
      </c>
      <c r="P4190" s="14" t="s">
        <v>118</v>
      </c>
      <c r="Q4190" s="15" t="s">
        <v>1089</v>
      </c>
      <c r="R4190" s="16" t="s">
        <v>25928</v>
      </c>
      <c r="S4190" s="15" t="s">
        <v>25929</v>
      </c>
      <c r="T4190" s="15" t="s">
        <v>25929</v>
      </c>
      <c r="U4190" s="21" t="s">
        <v>72</v>
      </c>
    </row>
    <row r="4191" customFormat="false" ht="15" hidden="false" customHeight="false" outlineLevel="0" collapsed="false">
      <c r="A4191" s="15" t="s">
        <v>25918</v>
      </c>
      <c r="B4191" s="16"/>
      <c r="C4191" s="14" t="s">
        <v>25930</v>
      </c>
      <c r="D4191" s="14" t="s">
        <v>25931</v>
      </c>
      <c r="E4191" s="16" t="s">
        <v>25932</v>
      </c>
      <c r="F4191" s="16" t="s">
        <v>25933</v>
      </c>
      <c r="G4191" s="25" t="s">
        <v>39</v>
      </c>
      <c r="H4191" s="18" t="n">
        <v>6</v>
      </c>
      <c r="I4191" s="20" t="n">
        <v>567.23</v>
      </c>
      <c r="J4191" s="20" t="n">
        <v>648.23</v>
      </c>
      <c r="K4191" s="18" t="n">
        <v>19</v>
      </c>
      <c r="L4191" s="18" t="n">
        <v>17</v>
      </c>
      <c r="M4191" s="18" t="n">
        <v>475</v>
      </c>
      <c r="N4191" s="18" t="n">
        <v>425</v>
      </c>
      <c r="O4191" s="14" t="s">
        <v>1126</v>
      </c>
      <c r="P4191" s="14" t="s">
        <v>84</v>
      </c>
      <c r="Q4191" s="15" t="s">
        <v>1089</v>
      </c>
      <c r="R4191" s="16" t="s">
        <v>25934</v>
      </c>
      <c r="S4191" s="15" t="s">
        <v>25935</v>
      </c>
      <c r="T4191" s="15" t="s">
        <v>25936</v>
      </c>
      <c r="U4191" s="21" t="s">
        <v>72</v>
      </c>
    </row>
    <row r="4192" customFormat="false" ht="15" hidden="false" customHeight="false" outlineLevel="0" collapsed="false">
      <c r="A4192" s="15" t="s">
        <v>25918</v>
      </c>
      <c r="B4192" s="16"/>
      <c r="C4192" s="14" t="s">
        <v>25937</v>
      </c>
      <c r="D4192" s="14" t="s">
        <v>25938</v>
      </c>
      <c r="E4192" s="16" t="s">
        <v>25939</v>
      </c>
      <c r="F4192" s="16" t="s">
        <v>25940</v>
      </c>
      <c r="G4192" s="23" t="s">
        <v>43</v>
      </c>
      <c r="H4192" s="18" t="n">
        <v>4</v>
      </c>
      <c r="I4192" s="20" t="n">
        <v>71.42</v>
      </c>
      <c r="J4192" s="20" t="n">
        <v>186.24</v>
      </c>
      <c r="K4192" s="18" t="n">
        <v>10</v>
      </c>
      <c r="L4192" s="18" t="n">
        <v>3</v>
      </c>
      <c r="M4192" s="18" t="n">
        <v>50</v>
      </c>
      <c r="N4192" s="18" t="n">
        <v>30</v>
      </c>
      <c r="O4192" s="14" t="s">
        <v>1097</v>
      </c>
      <c r="P4192" s="14" t="s">
        <v>118</v>
      </c>
      <c r="Q4192" s="15" t="s">
        <v>1089</v>
      </c>
      <c r="R4192" s="16" t="s">
        <v>15287</v>
      </c>
      <c r="S4192" s="15" t="s">
        <v>25941</v>
      </c>
      <c r="T4192" s="15" t="s">
        <v>25941</v>
      </c>
      <c r="U4192" s="21" t="s">
        <v>72</v>
      </c>
    </row>
    <row r="4193" customFormat="false" ht="15" hidden="false" customHeight="false" outlineLevel="0" collapsed="false">
      <c r="A4193" s="15" t="s">
        <v>25918</v>
      </c>
      <c r="B4193" s="16"/>
      <c r="C4193" s="14" t="s">
        <v>25942</v>
      </c>
      <c r="D4193" s="14" t="s">
        <v>25943</v>
      </c>
      <c r="E4193" s="16" t="s">
        <v>25944</v>
      </c>
      <c r="F4193" s="16" t="s">
        <v>25945</v>
      </c>
      <c r="G4193" s="25" t="s">
        <v>39</v>
      </c>
      <c r="H4193" s="18" t="n">
        <v>8</v>
      </c>
      <c r="I4193" s="20" t="n">
        <v>32.58</v>
      </c>
      <c r="J4193" s="20" t="n">
        <v>110.72</v>
      </c>
      <c r="K4193" s="18" t="n">
        <v>7</v>
      </c>
      <c r="L4193" s="18" t="n">
        <v>14</v>
      </c>
      <c r="M4193" s="18" t="n">
        <v>120</v>
      </c>
      <c r="N4193" s="18" t="n">
        <v>35</v>
      </c>
      <c r="O4193" s="14" t="s">
        <v>1126</v>
      </c>
      <c r="P4193" s="14" t="s">
        <v>118</v>
      </c>
      <c r="Q4193" s="15" t="s">
        <v>1089</v>
      </c>
      <c r="R4193" s="16" t="s">
        <v>18147</v>
      </c>
      <c r="S4193" s="15" t="s">
        <v>25946</v>
      </c>
      <c r="T4193" s="15" t="s">
        <v>25946</v>
      </c>
      <c r="U4193" s="21" t="s">
        <v>72</v>
      </c>
    </row>
    <row r="4194" customFormat="false" ht="15" hidden="false" customHeight="false" outlineLevel="0" collapsed="false">
      <c r="A4194" s="15" t="s">
        <v>25918</v>
      </c>
      <c r="B4194" s="16"/>
      <c r="C4194" s="14" t="s">
        <v>25947</v>
      </c>
      <c r="D4194" s="14" t="s">
        <v>25948</v>
      </c>
      <c r="E4194" s="16" t="s">
        <v>25949</v>
      </c>
      <c r="F4194" s="16" t="s">
        <v>25950</v>
      </c>
      <c r="G4194" s="23" t="s">
        <v>43</v>
      </c>
      <c r="H4194" s="18" t="n">
        <v>3</v>
      </c>
      <c r="I4194" s="20" t="n">
        <v>31.236</v>
      </c>
      <c r="J4194" s="20" t="n">
        <v>40.689</v>
      </c>
      <c r="K4194" s="18" t="n">
        <v>6</v>
      </c>
      <c r="L4194" s="18" t="n">
        <v>4</v>
      </c>
      <c r="M4194" s="18" t="n">
        <v>90</v>
      </c>
      <c r="N4194" s="18" t="n">
        <v>30</v>
      </c>
      <c r="O4194" s="14" t="s">
        <v>1126</v>
      </c>
      <c r="P4194" s="14" t="s">
        <v>118</v>
      </c>
      <c r="Q4194" s="15" t="s">
        <v>1089</v>
      </c>
      <c r="R4194" s="16" t="s">
        <v>2309</v>
      </c>
      <c r="S4194" s="15" t="s">
        <v>25951</v>
      </c>
      <c r="T4194" s="15" t="s">
        <v>25951</v>
      </c>
      <c r="U4194" s="21" t="s">
        <v>72</v>
      </c>
    </row>
    <row r="4195" customFormat="false" ht="15" hidden="false" customHeight="false" outlineLevel="0" collapsed="false">
      <c r="A4195" s="15" t="s">
        <v>25918</v>
      </c>
      <c r="B4195" s="16"/>
      <c r="C4195" s="14" t="s">
        <v>25952</v>
      </c>
      <c r="D4195" s="14" t="s">
        <v>25953</v>
      </c>
      <c r="E4195" s="16" t="s">
        <v>25954</v>
      </c>
      <c r="F4195" s="16" t="s">
        <v>25955</v>
      </c>
      <c r="G4195" s="23" t="s">
        <v>43</v>
      </c>
      <c r="H4195" s="18" t="n">
        <v>3</v>
      </c>
      <c r="I4195" s="20" t="n">
        <v>45.75</v>
      </c>
      <c r="J4195" s="20" t="n">
        <v>89.14</v>
      </c>
      <c r="K4195" s="18" t="n">
        <v>10</v>
      </c>
      <c r="L4195" s="18" t="n">
        <v>2</v>
      </c>
      <c r="M4195" s="18" t="n">
        <v>100</v>
      </c>
      <c r="N4195" s="18" t="n">
        <v>20</v>
      </c>
      <c r="O4195" s="14" t="s">
        <v>1097</v>
      </c>
      <c r="P4195" s="14" t="s">
        <v>84</v>
      </c>
      <c r="Q4195" s="15" t="s">
        <v>1089</v>
      </c>
      <c r="R4195" s="16" t="s">
        <v>9617</v>
      </c>
      <c r="S4195" s="15" t="s">
        <v>25956</v>
      </c>
      <c r="T4195" s="15" t="s">
        <v>25956</v>
      </c>
      <c r="U4195" s="21" t="s">
        <v>72</v>
      </c>
    </row>
    <row r="4196" customFormat="false" ht="15" hidden="false" customHeight="false" outlineLevel="0" collapsed="false">
      <c r="A4196" s="15" t="s">
        <v>25918</v>
      </c>
      <c r="B4196" s="16"/>
      <c r="C4196" s="14" t="s">
        <v>25957</v>
      </c>
      <c r="D4196" s="14" t="s">
        <v>25958</v>
      </c>
      <c r="E4196" s="16" t="s">
        <v>25959</v>
      </c>
      <c r="F4196" s="16"/>
      <c r="G4196" s="23" t="s">
        <v>43</v>
      </c>
      <c r="H4196" s="18" t="n">
        <v>3</v>
      </c>
      <c r="I4196" s="20" t="n">
        <v>102.41</v>
      </c>
      <c r="J4196" s="20" t="n">
        <v>104.41</v>
      </c>
      <c r="K4196" s="18" t="n">
        <v>3</v>
      </c>
      <c r="L4196" s="18" t="n">
        <v>1</v>
      </c>
      <c r="M4196" s="18" t="n">
        <v>60</v>
      </c>
      <c r="N4196" s="18" t="n">
        <v>60</v>
      </c>
      <c r="O4196" s="14" t="s">
        <v>1097</v>
      </c>
      <c r="P4196" s="14" t="s">
        <v>84</v>
      </c>
      <c r="Q4196" s="15" t="s">
        <v>1089</v>
      </c>
      <c r="R4196" s="16" t="s">
        <v>25960</v>
      </c>
      <c r="S4196" s="15" t="s">
        <v>25961</v>
      </c>
      <c r="T4196" s="15" t="s">
        <v>25961</v>
      </c>
      <c r="U4196" s="21" t="s">
        <v>72</v>
      </c>
    </row>
    <row r="4197" customFormat="false" ht="15" hidden="false" customHeight="false" outlineLevel="0" collapsed="false">
      <c r="A4197" s="15" t="s">
        <v>25918</v>
      </c>
      <c r="B4197" s="16"/>
      <c r="C4197" s="14" t="s">
        <v>25962</v>
      </c>
      <c r="D4197" s="14" t="s">
        <v>25963</v>
      </c>
      <c r="E4197" s="16" t="s">
        <v>25964</v>
      </c>
      <c r="F4197" s="16" t="s">
        <v>25965</v>
      </c>
      <c r="G4197" s="23" t="s">
        <v>43</v>
      </c>
      <c r="H4197" s="18" t="n">
        <v>3</v>
      </c>
      <c r="I4197" s="20" t="n">
        <v>31.4</v>
      </c>
      <c r="J4197" s="20" t="n">
        <v>74.91</v>
      </c>
      <c r="K4197" s="18" t="n">
        <v>6</v>
      </c>
      <c r="L4197" s="18" t="n">
        <v>1</v>
      </c>
      <c r="M4197" s="18" t="n">
        <v>60</v>
      </c>
      <c r="N4197" s="18" t="n">
        <v>30</v>
      </c>
      <c r="O4197" s="14" t="s">
        <v>1126</v>
      </c>
      <c r="P4197" s="14" t="s">
        <v>84</v>
      </c>
      <c r="Q4197" s="15" t="s">
        <v>1089</v>
      </c>
      <c r="R4197" s="16" t="s">
        <v>25966</v>
      </c>
      <c r="S4197" s="15" t="s">
        <v>25967</v>
      </c>
      <c r="T4197" s="15" t="s">
        <v>25967</v>
      </c>
      <c r="U4197" s="21" t="s">
        <v>72</v>
      </c>
    </row>
    <row r="4198" customFormat="false" ht="15" hidden="false" customHeight="false" outlineLevel="0" collapsed="false">
      <c r="A4198" s="15" t="s">
        <v>25918</v>
      </c>
      <c r="B4198" s="16"/>
      <c r="C4198" s="14" t="s">
        <v>25968</v>
      </c>
      <c r="D4198" s="14" t="s">
        <v>25969</v>
      </c>
      <c r="E4198" s="16" t="s">
        <v>25970</v>
      </c>
      <c r="F4198" s="16" t="s">
        <v>25971</v>
      </c>
      <c r="G4198" s="19" t="s">
        <v>41</v>
      </c>
      <c r="H4198" s="18" t="n">
        <v>5</v>
      </c>
      <c r="I4198" s="20" t="n">
        <v>122.52</v>
      </c>
      <c r="J4198" s="20" t="n">
        <v>122.52</v>
      </c>
      <c r="K4198" s="18" t="n">
        <v>4</v>
      </c>
      <c r="L4198" s="18" t="n">
        <v>3</v>
      </c>
      <c r="M4198" s="18" t="n">
        <v>60</v>
      </c>
      <c r="N4198" s="18" t="n">
        <v>30</v>
      </c>
      <c r="O4198" s="14" t="s">
        <v>1126</v>
      </c>
      <c r="P4198" s="14" t="s">
        <v>84</v>
      </c>
      <c r="Q4198" s="15" t="s">
        <v>1089</v>
      </c>
      <c r="R4198" s="16" t="s">
        <v>25972</v>
      </c>
      <c r="S4198" s="15" t="s">
        <v>25973</v>
      </c>
      <c r="T4198" s="15" t="s">
        <v>25973</v>
      </c>
      <c r="U4198" s="21" t="s">
        <v>72</v>
      </c>
    </row>
    <row r="4199" customFormat="false" ht="15" hidden="false" customHeight="false" outlineLevel="0" collapsed="false">
      <c r="A4199" s="15" t="s">
        <v>25918</v>
      </c>
      <c r="B4199" s="16"/>
      <c r="C4199" s="14" t="s">
        <v>25974</v>
      </c>
      <c r="D4199" s="14" t="s">
        <v>25975</v>
      </c>
      <c r="E4199" s="16" t="s">
        <v>25976</v>
      </c>
      <c r="F4199" s="16" t="s">
        <v>25977</v>
      </c>
      <c r="G4199" s="19" t="s">
        <v>41</v>
      </c>
      <c r="H4199" s="18" t="n">
        <v>7</v>
      </c>
      <c r="I4199" s="20" t="n">
        <v>152.65</v>
      </c>
      <c r="J4199" s="20" t="n">
        <v>180.99</v>
      </c>
      <c r="K4199" s="18" t="n">
        <v>2</v>
      </c>
      <c r="L4199" s="18" t="n">
        <v>3</v>
      </c>
      <c r="M4199" s="18" t="n">
        <v>60</v>
      </c>
      <c r="N4199" s="18" t="n">
        <v>30</v>
      </c>
      <c r="O4199" s="14" t="s">
        <v>1097</v>
      </c>
      <c r="P4199" s="14" t="s">
        <v>118</v>
      </c>
      <c r="Q4199" s="15" t="s">
        <v>1089</v>
      </c>
      <c r="R4199" s="16" t="s">
        <v>25978</v>
      </c>
      <c r="S4199" s="15" t="s">
        <v>25979</v>
      </c>
      <c r="T4199" s="15" t="s">
        <v>25980</v>
      </c>
      <c r="U4199" s="21" t="s">
        <v>72</v>
      </c>
    </row>
    <row r="4200" customFormat="false" ht="15" hidden="false" customHeight="false" outlineLevel="0" collapsed="false">
      <c r="A4200" s="15" t="s">
        <v>25918</v>
      </c>
      <c r="B4200" s="16"/>
      <c r="C4200" s="14" t="s">
        <v>25981</v>
      </c>
      <c r="D4200" s="14" t="s">
        <v>25982</v>
      </c>
      <c r="E4200" s="16" t="s">
        <v>25983</v>
      </c>
      <c r="F4200" s="16" t="s">
        <v>25984</v>
      </c>
      <c r="G4200" s="23" t="s">
        <v>43</v>
      </c>
      <c r="H4200" s="18" t="n">
        <v>1</v>
      </c>
      <c r="I4200" s="20" t="n">
        <v>42.15</v>
      </c>
      <c r="J4200" s="20" t="n">
        <v>46.24</v>
      </c>
      <c r="K4200" s="18" t="n">
        <v>12</v>
      </c>
      <c r="L4200" s="18" t="n">
        <v>1</v>
      </c>
      <c r="M4200" s="18" t="n">
        <v>360</v>
      </c>
      <c r="N4200" s="18" t="n">
        <v>180</v>
      </c>
      <c r="O4200" s="14" t="s">
        <v>1097</v>
      </c>
      <c r="P4200" s="14" t="s">
        <v>118</v>
      </c>
      <c r="Q4200" s="15" t="s">
        <v>1089</v>
      </c>
      <c r="R4200" s="16" t="s">
        <v>25985</v>
      </c>
      <c r="S4200" s="15" t="s">
        <v>25986</v>
      </c>
      <c r="T4200" s="15" t="s">
        <v>25986</v>
      </c>
      <c r="U4200" s="21" t="s">
        <v>72</v>
      </c>
    </row>
    <row r="4201" customFormat="false" ht="15" hidden="false" customHeight="false" outlineLevel="0" collapsed="false">
      <c r="A4201" s="15" t="s">
        <v>25918</v>
      </c>
      <c r="B4201" s="16"/>
      <c r="C4201" s="14" t="s">
        <v>25987</v>
      </c>
      <c r="D4201" s="14" t="s">
        <v>25988</v>
      </c>
      <c r="E4201" s="16" t="s">
        <v>25989</v>
      </c>
      <c r="F4201" s="16" t="s">
        <v>25990</v>
      </c>
      <c r="G4201" s="25" t="s">
        <v>39</v>
      </c>
      <c r="H4201" s="18" t="n">
        <v>8</v>
      </c>
      <c r="I4201" s="20" t="n">
        <v>137</v>
      </c>
      <c r="J4201" s="20" t="n">
        <v>182.05</v>
      </c>
      <c r="K4201" s="18" t="n">
        <v>4</v>
      </c>
      <c r="L4201" s="18" t="n">
        <v>4</v>
      </c>
      <c r="M4201" s="18" t="n">
        <v>60</v>
      </c>
      <c r="N4201" s="18" t="n">
        <v>30</v>
      </c>
      <c r="O4201" s="14" t="s">
        <v>1097</v>
      </c>
      <c r="P4201" s="14" t="s">
        <v>84</v>
      </c>
      <c r="Q4201" s="15" t="s">
        <v>1089</v>
      </c>
      <c r="R4201" s="16" t="s">
        <v>25991</v>
      </c>
      <c r="S4201" s="15" t="s">
        <v>25992</v>
      </c>
      <c r="T4201" s="15" t="s">
        <v>25993</v>
      </c>
      <c r="U4201" s="21" t="s">
        <v>72</v>
      </c>
    </row>
    <row r="4202" customFormat="false" ht="15" hidden="false" customHeight="false" outlineLevel="0" collapsed="false">
      <c r="A4202" s="15" t="s">
        <v>25918</v>
      </c>
      <c r="B4202" s="16"/>
      <c r="C4202" s="14" t="s">
        <v>25994</v>
      </c>
      <c r="D4202" s="14" t="s">
        <v>25995</v>
      </c>
      <c r="E4202" s="16" t="s">
        <v>25996</v>
      </c>
      <c r="F4202" s="16" t="s">
        <v>25997</v>
      </c>
      <c r="G4202" s="23" t="s">
        <v>43</v>
      </c>
      <c r="H4202" s="18" t="n">
        <v>1</v>
      </c>
      <c r="I4202" s="20" t="n">
        <v>75.63</v>
      </c>
      <c r="J4202" s="20" t="n">
        <v>75.63</v>
      </c>
      <c r="K4202" s="18" t="n">
        <v>2</v>
      </c>
      <c r="L4202" s="18" t="n">
        <v>1</v>
      </c>
      <c r="M4202" s="18" t="n">
        <v>40</v>
      </c>
      <c r="N4202" s="18" t="n">
        <v>40</v>
      </c>
      <c r="O4202" s="14" t="s">
        <v>1097</v>
      </c>
      <c r="P4202" s="14" t="s">
        <v>84</v>
      </c>
      <c r="Q4202" s="15" t="s">
        <v>1089</v>
      </c>
      <c r="R4202" s="16" t="s">
        <v>25998</v>
      </c>
      <c r="S4202" s="15" t="s">
        <v>25999</v>
      </c>
      <c r="T4202" s="15" t="s">
        <v>25999</v>
      </c>
      <c r="U4202" s="21" t="s">
        <v>72</v>
      </c>
    </row>
    <row r="4203" customFormat="false" ht="15" hidden="false" customHeight="false" outlineLevel="0" collapsed="false">
      <c r="A4203" s="15" t="s">
        <v>25918</v>
      </c>
      <c r="B4203" s="16"/>
      <c r="C4203" s="14" t="s">
        <v>26000</v>
      </c>
      <c r="D4203" s="14" t="s">
        <v>26001</v>
      </c>
      <c r="E4203" s="16" t="s">
        <v>26002</v>
      </c>
      <c r="F4203" s="16" t="s">
        <v>26003</v>
      </c>
      <c r="G4203" s="23" t="s">
        <v>43</v>
      </c>
      <c r="H4203" s="18" t="n">
        <v>2</v>
      </c>
      <c r="I4203" s="20" t="n">
        <v>44.73</v>
      </c>
      <c r="J4203" s="20" t="n">
        <v>131.22</v>
      </c>
      <c r="K4203" s="18" t="n">
        <v>6</v>
      </c>
      <c r="L4203" s="18" t="n">
        <v>5</v>
      </c>
      <c r="M4203" s="18" t="n">
        <v>48</v>
      </c>
      <c r="N4203" s="18" t="n">
        <v>16</v>
      </c>
      <c r="O4203" s="14" t="s">
        <v>1097</v>
      </c>
      <c r="P4203" s="14" t="s">
        <v>118</v>
      </c>
      <c r="Q4203" s="15" t="s">
        <v>1089</v>
      </c>
      <c r="R4203" s="16" t="s">
        <v>127</v>
      </c>
      <c r="S4203" s="15" t="s">
        <v>26004</v>
      </c>
      <c r="T4203" s="15" t="s">
        <v>26004</v>
      </c>
      <c r="U4203" s="21" t="s">
        <v>72</v>
      </c>
    </row>
    <row r="4204" customFormat="false" ht="15" hidden="false" customHeight="false" outlineLevel="0" collapsed="false">
      <c r="A4204" s="15" t="s">
        <v>25918</v>
      </c>
      <c r="B4204" s="16"/>
      <c r="C4204" s="14" t="s">
        <v>26005</v>
      </c>
      <c r="D4204" s="14" t="s">
        <v>26006</v>
      </c>
      <c r="E4204" s="16" t="s">
        <v>26007</v>
      </c>
      <c r="F4204" s="16" t="s">
        <v>26008</v>
      </c>
      <c r="G4204" s="23" t="s">
        <v>43</v>
      </c>
      <c r="H4204" s="18" t="n">
        <v>2</v>
      </c>
      <c r="I4204" s="20" t="n">
        <v>87.62</v>
      </c>
      <c r="J4204" s="20" t="n">
        <v>87.62</v>
      </c>
      <c r="K4204" s="18" t="n">
        <v>11</v>
      </c>
      <c r="L4204" s="18" t="n">
        <v>4</v>
      </c>
      <c r="M4204" s="18" t="n">
        <v>98</v>
      </c>
      <c r="N4204" s="18" t="n">
        <v>26</v>
      </c>
      <c r="O4204" s="14" t="s">
        <v>1097</v>
      </c>
      <c r="P4204" s="14" t="s">
        <v>118</v>
      </c>
      <c r="Q4204" s="15" t="s">
        <v>1089</v>
      </c>
      <c r="R4204" s="16" t="s">
        <v>26009</v>
      </c>
      <c r="S4204" s="15" t="s">
        <v>26010</v>
      </c>
      <c r="T4204" s="15" t="s">
        <v>26011</v>
      </c>
      <c r="U4204" s="21" t="s">
        <v>72</v>
      </c>
    </row>
    <row r="4205" customFormat="false" ht="15" hidden="false" customHeight="false" outlineLevel="0" collapsed="false">
      <c r="A4205" s="15" t="s">
        <v>25918</v>
      </c>
      <c r="B4205" s="16"/>
      <c r="C4205" s="14" t="s">
        <v>26012</v>
      </c>
      <c r="D4205" s="14" t="s">
        <v>26013</v>
      </c>
      <c r="E4205" s="16" t="s">
        <v>26014</v>
      </c>
      <c r="F4205" s="16" t="s">
        <v>26015</v>
      </c>
      <c r="G4205" s="23" t="s">
        <v>43</v>
      </c>
      <c r="H4205" s="18" t="n">
        <v>1</v>
      </c>
      <c r="I4205" s="20" t="n">
        <v>105.54</v>
      </c>
      <c r="J4205" s="20" t="n">
        <v>125.68</v>
      </c>
      <c r="K4205" s="18" t="n">
        <v>5</v>
      </c>
      <c r="L4205" s="18" t="n">
        <v>6</v>
      </c>
      <c r="M4205" s="18" t="n">
        <v>60</v>
      </c>
      <c r="N4205" s="18" t="n">
        <v>24</v>
      </c>
      <c r="O4205" s="14" t="s">
        <v>1088</v>
      </c>
      <c r="P4205" s="14" t="s">
        <v>1716</v>
      </c>
      <c r="Q4205" s="15" t="s">
        <v>1089</v>
      </c>
      <c r="R4205" s="16" t="s">
        <v>26016</v>
      </c>
      <c r="S4205" s="15" t="s">
        <v>26017</v>
      </c>
      <c r="T4205" s="15" t="s">
        <v>26017</v>
      </c>
      <c r="U4205" s="21" t="s">
        <v>72</v>
      </c>
    </row>
    <row r="4206" customFormat="false" ht="26.85" hidden="false" customHeight="false" outlineLevel="0" collapsed="false">
      <c r="A4206" s="15" t="s">
        <v>25918</v>
      </c>
      <c r="B4206" s="16"/>
      <c r="C4206" s="14" t="s">
        <v>26018</v>
      </c>
      <c r="D4206" s="14" t="s">
        <v>26019</v>
      </c>
      <c r="E4206" s="16" t="s">
        <v>26020</v>
      </c>
      <c r="F4206" s="16" t="s">
        <v>26021</v>
      </c>
      <c r="G4206" s="23" t="s">
        <v>43</v>
      </c>
      <c r="H4206" s="18" t="n">
        <v>3</v>
      </c>
      <c r="I4206" s="20" t="n">
        <v>82.41</v>
      </c>
      <c r="J4206" s="20" t="n">
        <v>94.06</v>
      </c>
      <c r="K4206" s="18" t="n">
        <v>3</v>
      </c>
      <c r="L4206" s="18" t="n">
        <v>3</v>
      </c>
      <c r="M4206" s="18" t="n">
        <v>60</v>
      </c>
      <c r="N4206" s="18" t="n">
        <v>20</v>
      </c>
      <c r="O4206" s="14" t="s">
        <v>1097</v>
      </c>
      <c r="P4206" s="14" t="s">
        <v>906</v>
      </c>
      <c r="Q4206" s="15" t="s">
        <v>1089</v>
      </c>
      <c r="R4206" s="16" t="s">
        <v>26022</v>
      </c>
      <c r="S4206" s="15" t="s">
        <v>26023</v>
      </c>
      <c r="T4206" s="15" t="s">
        <v>15875</v>
      </c>
      <c r="U4206" s="21" t="s">
        <v>72</v>
      </c>
    </row>
    <row r="4207" customFormat="false" ht="15" hidden="false" customHeight="false" outlineLevel="0" collapsed="false">
      <c r="A4207" s="15" t="s">
        <v>25918</v>
      </c>
      <c r="B4207" s="16"/>
      <c r="C4207" s="14" t="s">
        <v>26024</v>
      </c>
      <c r="D4207" s="14" t="s">
        <v>26025</v>
      </c>
      <c r="E4207" s="16" t="s">
        <v>26026</v>
      </c>
      <c r="F4207" s="16" t="s">
        <v>26027</v>
      </c>
      <c r="G4207" s="23" t="s">
        <v>43</v>
      </c>
      <c r="H4207" s="18" t="n">
        <v>3</v>
      </c>
      <c r="I4207" s="20" t="n">
        <v>143.23</v>
      </c>
      <c r="J4207" s="20" t="n">
        <v>143.23</v>
      </c>
      <c r="K4207" s="18" t="n">
        <v>12</v>
      </c>
      <c r="L4207" s="18" t="n">
        <v>4</v>
      </c>
      <c r="M4207" s="18" t="n">
        <v>180</v>
      </c>
      <c r="N4207" s="18" t="n">
        <v>45</v>
      </c>
      <c r="O4207" s="14" t="s">
        <v>1097</v>
      </c>
      <c r="P4207" s="14" t="s">
        <v>118</v>
      </c>
      <c r="Q4207" s="15" t="s">
        <v>1089</v>
      </c>
      <c r="R4207" s="16" t="s">
        <v>26028</v>
      </c>
      <c r="S4207" s="15" t="s">
        <v>26029</v>
      </c>
      <c r="T4207" s="15" t="s">
        <v>26029</v>
      </c>
      <c r="U4207" s="21" t="s">
        <v>72</v>
      </c>
    </row>
    <row r="4208" customFormat="false" ht="15" hidden="false" customHeight="false" outlineLevel="0" collapsed="false">
      <c r="A4208" s="15" t="s">
        <v>25918</v>
      </c>
      <c r="B4208" s="16"/>
      <c r="C4208" s="14" t="s">
        <v>26030</v>
      </c>
      <c r="D4208" s="14" t="s">
        <v>26031</v>
      </c>
      <c r="E4208" s="16" t="s">
        <v>26032</v>
      </c>
      <c r="F4208" s="16" t="s">
        <v>26033</v>
      </c>
      <c r="G4208" s="23" t="s">
        <v>43</v>
      </c>
      <c r="H4208" s="18" t="n">
        <v>2</v>
      </c>
      <c r="I4208" s="20" t="n">
        <v>77.45</v>
      </c>
      <c r="J4208" s="20" t="n">
        <v>77.45</v>
      </c>
      <c r="K4208" s="18" t="n">
        <v>7</v>
      </c>
      <c r="L4208" s="18" t="n">
        <v>5</v>
      </c>
      <c r="M4208" s="18" t="n">
        <v>70</v>
      </c>
      <c r="N4208" s="18" t="n">
        <v>20</v>
      </c>
      <c r="O4208" s="14" t="s">
        <v>5962</v>
      </c>
      <c r="P4208" s="14" t="s">
        <v>118</v>
      </c>
      <c r="Q4208" s="15" t="s">
        <v>1089</v>
      </c>
      <c r="R4208" s="16" t="s">
        <v>26034</v>
      </c>
      <c r="S4208" s="15" t="s">
        <v>26035</v>
      </c>
      <c r="T4208" s="15" t="s">
        <v>26036</v>
      </c>
      <c r="U4208" s="21" t="s">
        <v>72</v>
      </c>
    </row>
    <row r="4209" customFormat="false" ht="15" hidden="false" customHeight="false" outlineLevel="0" collapsed="false">
      <c r="A4209" s="15" t="s">
        <v>25918</v>
      </c>
      <c r="B4209" s="16"/>
      <c r="C4209" s="14" t="s">
        <v>26037</v>
      </c>
      <c r="D4209" s="14" t="s">
        <v>26038</v>
      </c>
      <c r="E4209" s="16" t="s">
        <v>26039</v>
      </c>
      <c r="F4209" s="16" t="s">
        <v>26040</v>
      </c>
      <c r="G4209" s="23" t="s">
        <v>43</v>
      </c>
      <c r="H4209" s="18" t="n">
        <v>2</v>
      </c>
      <c r="I4209" s="20" t="n">
        <v>156.2</v>
      </c>
      <c r="J4209" s="20" t="n">
        <v>156.2</v>
      </c>
      <c r="K4209" s="18" t="n">
        <v>2</v>
      </c>
      <c r="L4209" s="18" t="n">
        <v>5</v>
      </c>
      <c r="M4209" s="18" t="n">
        <v>30</v>
      </c>
      <c r="N4209" s="18" t="n">
        <v>30</v>
      </c>
      <c r="O4209" s="14" t="s">
        <v>1126</v>
      </c>
      <c r="P4209" s="14" t="s">
        <v>84</v>
      </c>
      <c r="Q4209" s="15" t="s">
        <v>1089</v>
      </c>
      <c r="R4209" s="16" t="s">
        <v>26041</v>
      </c>
      <c r="S4209" s="15" t="s">
        <v>26042</v>
      </c>
      <c r="T4209" s="15" t="s">
        <v>26043</v>
      </c>
      <c r="U4209" s="21" t="s">
        <v>72</v>
      </c>
    </row>
    <row r="4210" customFormat="false" ht="15" hidden="false" customHeight="false" outlineLevel="0" collapsed="false">
      <c r="A4210" s="15" t="s">
        <v>25918</v>
      </c>
      <c r="B4210" s="16"/>
      <c r="C4210" s="14" t="s">
        <v>26044</v>
      </c>
      <c r="D4210" s="14" t="s">
        <v>26045</v>
      </c>
      <c r="E4210" s="16" t="s">
        <v>26046</v>
      </c>
      <c r="F4210" s="16" t="s">
        <v>26047</v>
      </c>
      <c r="G4210" s="23" t="s">
        <v>43</v>
      </c>
      <c r="H4210" s="18" t="n">
        <v>1</v>
      </c>
      <c r="I4210" s="20" t="n">
        <v>32.12</v>
      </c>
      <c r="J4210" s="20" t="n">
        <v>41.54</v>
      </c>
      <c r="K4210" s="18" t="n">
        <v>4</v>
      </c>
      <c r="L4210" s="18" t="n">
        <v>2</v>
      </c>
      <c r="M4210" s="18" t="n">
        <v>100</v>
      </c>
      <c r="N4210" s="18" t="n">
        <v>25</v>
      </c>
      <c r="O4210" s="14" t="s">
        <v>1097</v>
      </c>
      <c r="P4210" s="14" t="s">
        <v>118</v>
      </c>
      <c r="Q4210" s="15" t="s">
        <v>1089</v>
      </c>
      <c r="R4210" s="16" t="s">
        <v>25254</v>
      </c>
      <c r="S4210" s="15" t="s">
        <v>26048</v>
      </c>
      <c r="T4210" s="15" t="s">
        <v>26049</v>
      </c>
      <c r="U4210" s="21" t="s">
        <v>72</v>
      </c>
    </row>
    <row r="4211" customFormat="false" ht="15" hidden="false" customHeight="false" outlineLevel="0" collapsed="false">
      <c r="A4211" s="15" t="s">
        <v>25918</v>
      </c>
      <c r="B4211" s="16"/>
      <c r="C4211" s="14" t="s">
        <v>26050</v>
      </c>
      <c r="D4211" s="14" t="s">
        <v>26051</v>
      </c>
      <c r="E4211" s="16" t="s">
        <v>26052</v>
      </c>
      <c r="F4211" s="16" t="s">
        <v>26053</v>
      </c>
      <c r="G4211" s="23" t="s">
        <v>43</v>
      </c>
      <c r="H4211" s="18" t="n">
        <v>1</v>
      </c>
      <c r="I4211" s="20" t="n">
        <v>99.22</v>
      </c>
      <c r="J4211" s="20" t="n">
        <v>99.22</v>
      </c>
      <c r="K4211" s="18" t="n">
        <v>2</v>
      </c>
      <c r="L4211" s="18" t="n">
        <v>1</v>
      </c>
      <c r="M4211" s="18" t="n">
        <v>40</v>
      </c>
      <c r="N4211" s="18" t="n">
        <v>20</v>
      </c>
      <c r="O4211" s="14" t="s">
        <v>1088</v>
      </c>
      <c r="P4211" s="14" t="s">
        <v>118</v>
      </c>
      <c r="Q4211" s="15" t="s">
        <v>1089</v>
      </c>
      <c r="R4211" s="16" t="s">
        <v>13612</v>
      </c>
      <c r="S4211" s="15" t="s">
        <v>26054</v>
      </c>
      <c r="T4211" s="15" t="s">
        <v>26054</v>
      </c>
      <c r="U4211" s="21" t="s">
        <v>72</v>
      </c>
    </row>
    <row r="4212" customFormat="false" ht="15" hidden="false" customHeight="false" outlineLevel="0" collapsed="false">
      <c r="A4212" s="15" t="s">
        <v>25918</v>
      </c>
      <c r="B4212" s="16"/>
      <c r="C4212" s="14" t="s">
        <v>26055</v>
      </c>
      <c r="D4212" s="14" t="s">
        <v>26056</v>
      </c>
      <c r="E4212" s="16" t="s">
        <v>26057</v>
      </c>
      <c r="F4212" s="16" t="s">
        <v>26058</v>
      </c>
      <c r="G4212" s="23" t="s">
        <v>43</v>
      </c>
      <c r="H4212" s="18" t="n">
        <v>1</v>
      </c>
      <c r="I4212" s="20" t="n">
        <v>46.59</v>
      </c>
      <c r="J4212" s="20" t="n">
        <v>46.59</v>
      </c>
      <c r="K4212" s="18" t="n">
        <v>5</v>
      </c>
      <c r="L4212" s="18" t="n">
        <v>1</v>
      </c>
      <c r="M4212" s="18" t="n">
        <v>30</v>
      </c>
      <c r="N4212" s="18" t="n">
        <v>18</v>
      </c>
      <c r="O4212" s="14" t="s">
        <v>1097</v>
      </c>
      <c r="P4212" s="14" t="s">
        <v>118</v>
      </c>
      <c r="Q4212" s="15" t="s">
        <v>1089</v>
      </c>
      <c r="R4212" s="16" t="s">
        <v>26059</v>
      </c>
      <c r="S4212" s="15" t="s">
        <v>26060</v>
      </c>
      <c r="T4212" s="15" t="s">
        <v>26060</v>
      </c>
      <c r="U4212" s="21" t="s">
        <v>72</v>
      </c>
    </row>
    <row r="4213" customFormat="false" ht="15" hidden="false" customHeight="false" outlineLevel="0" collapsed="false">
      <c r="A4213" s="15" t="s">
        <v>25918</v>
      </c>
      <c r="B4213" s="16"/>
      <c r="C4213" s="14" t="s">
        <v>26061</v>
      </c>
      <c r="D4213" s="14" t="s">
        <v>26062</v>
      </c>
      <c r="E4213" s="16" t="s">
        <v>26063</v>
      </c>
      <c r="F4213" s="16" t="s">
        <v>26064</v>
      </c>
      <c r="G4213" s="23" t="s">
        <v>43</v>
      </c>
      <c r="H4213" s="18" t="n">
        <v>3</v>
      </c>
      <c r="I4213" s="20" t="n">
        <v>49.53</v>
      </c>
      <c r="J4213" s="20" t="n">
        <v>99.06</v>
      </c>
      <c r="K4213" s="18" t="n">
        <v>2</v>
      </c>
      <c r="L4213" s="18" t="n">
        <v>1</v>
      </c>
      <c r="M4213" s="18" t="n">
        <v>30</v>
      </c>
      <c r="N4213" s="18" t="n">
        <v>15</v>
      </c>
      <c r="O4213" s="14" t="s">
        <v>1097</v>
      </c>
      <c r="P4213" s="14" t="s">
        <v>118</v>
      </c>
      <c r="Q4213" s="15" t="s">
        <v>1089</v>
      </c>
      <c r="R4213" s="16" t="s">
        <v>26065</v>
      </c>
      <c r="S4213" s="15" t="s">
        <v>26066</v>
      </c>
      <c r="T4213" s="15" t="s">
        <v>26066</v>
      </c>
      <c r="U4213" s="21" t="s">
        <v>72</v>
      </c>
    </row>
    <row r="4214" customFormat="false" ht="15" hidden="false" customHeight="false" outlineLevel="0" collapsed="false">
      <c r="A4214" s="15" t="s">
        <v>25918</v>
      </c>
      <c r="B4214" s="16"/>
      <c r="C4214" s="14" t="s">
        <v>26067</v>
      </c>
      <c r="D4214" s="14" t="s">
        <v>26068</v>
      </c>
      <c r="E4214" s="16" t="s">
        <v>26069</v>
      </c>
      <c r="F4214" s="16" t="s">
        <v>26070</v>
      </c>
      <c r="G4214" s="23" t="s">
        <v>43</v>
      </c>
      <c r="H4214" s="18" t="n">
        <v>2</v>
      </c>
      <c r="I4214" s="20" t="n">
        <v>46.02</v>
      </c>
      <c r="J4214" s="20" t="n">
        <v>46.02</v>
      </c>
      <c r="K4214" s="18" t="n">
        <v>4</v>
      </c>
      <c r="L4214" s="18" t="n">
        <v>2</v>
      </c>
      <c r="M4214" s="18" t="n">
        <v>60</v>
      </c>
      <c r="N4214" s="18" t="n">
        <v>30</v>
      </c>
      <c r="O4214" s="14" t="s">
        <v>1126</v>
      </c>
      <c r="P4214" s="14" t="s">
        <v>118</v>
      </c>
      <c r="Q4214" s="15" t="s">
        <v>1089</v>
      </c>
      <c r="R4214" s="16" t="s">
        <v>11588</v>
      </c>
      <c r="S4214" s="15" t="s">
        <v>26071</v>
      </c>
      <c r="T4214" s="15" t="s">
        <v>26072</v>
      </c>
      <c r="U4214" s="21" t="s">
        <v>72</v>
      </c>
    </row>
    <row r="4215" customFormat="false" ht="15" hidden="false" customHeight="false" outlineLevel="0" collapsed="false">
      <c r="A4215" s="15" t="s">
        <v>25918</v>
      </c>
      <c r="B4215" s="16"/>
      <c r="C4215" s="14" t="s">
        <v>26073</v>
      </c>
      <c r="D4215" s="14" t="s">
        <v>26074</v>
      </c>
      <c r="E4215" s="16" t="s">
        <v>26075</v>
      </c>
      <c r="F4215" s="16" t="s">
        <v>26076</v>
      </c>
      <c r="G4215" s="19" t="s">
        <v>41</v>
      </c>
      <c r="H4215" s="18" t="n">
        <v>6</v>
      </c>
      <c r="I4215" s="20" t="n">
        <v>310.37</v>
      </c>
      <c r="J4215" s="20" t="n">
        <v>310.37</v>
      </c>
      <c r="K4215" s="18" t="n">
        <v>6</v>
      </c>
      <c r="L4215" s="18" t="n">
        <v>1</v>
      </c>
      <c r="M4215" s="18" t="n">
        <v>90</v>
      </c>
      <c r="N4215" s="18" t="n">
        <v>30</v>
      </c>
      <c r="O4215" s="14" t="s">
        <v>1097</v>
      </c>
      <c r="P4215" s="14" t="s">
        <v>118</v>
      </c>
      <c r="Q4215" s="15" t="s">
        <v>1089</v>
      </c>
      <c r="R4215" s="16" t="s">
        <v>26077</v>
      </c>
      <c r="S4215" s="15" t="s">
        <v>7807</v>
      </c>
      <c r="T4215" s="15" t="s">
        <v>7807</v>
      </c>
      <c r="U4215" s="21" t="s">
        <v>72</v>
      </c>
    </row>
    <row r="4216" customFormat="false" ht="15" hidden="false" customHeight="false" outlineLevel="0" collapsed="false">
      <c r="A4216" s="15" t="s">
        <v>25918</v>
      </c>
      <c r="B4216" s="16"/>
      <c r="C4216" s="14" t="s">
        <v>26078</v>
      </c>
      <c r="D4216" s="14" t="s">
        <v>26079</v>
      </c>
      <c r="E4216" s="16" t="s">
        <v>26080</v>
      </c>
      <c r="F4216" s="16" t="s">
        <v>26081</v>
      </c>
      <c r="G4216" s="23" t="s">
        <v>43</v>
      </c>
      <c r="H4216" s="18" t="n">
        <v>1</v>
      </c>
      <c r="I4216" s="20" t="n">
        <v>102.8</v>
      </c>
      <c r="J4216" s="20" t="n">
        <v>103.8</v>
      </c>
      <c r="K4216" s="18" t="n">
        <v>2</v>
      </c>
      <c r="L4216" s="18" t="n">
        <v>1</v>
      </c>
      <c r="M4216" s="18" t="n">
        <v>50</v>
      </c>
      <c r="N4216" s="18" t="n">
        <v>25</v>
      </c>
      <c r="O4216" s="14" t="s">
        <v>1088</v>
      </c>
      <c r="P4216" s="14" t="s">
        <v>118</v>
      </c>
      <c r="Q4216" s="15" t="s">
        <v>1089</v>
      </c>
      <c r="R4216" s="16" t="s">
        <v>26082</v>
      </c>
      <c r="S4216" s="15" t="s">
        <v>5597</v>
      </c>
      <c r="T4216" s="15" t="s">
        <v>5597</v>
      </c>
      <c r="U4216" s="21" t="s">
        <v>72</v>
      </c>
    </row>
    <row r="4217" customFormat="false" ht="15" hidden="false" customHeight="false" outlineLevel="0" collapsed="false">
      <c r="A4217" s="15" t="s">
        <v>25918</v>
      </c>
      <c r="B4217" s="16"/>
      <c r="C4217" s="14" t="s">
        <v>26083</v>
      </c>
      <c r="D4217" s="14" t="s">
        <v>26084</v>
      </c>
      <c r="E4217" s="16" t="s">
        <v>26085</v>
      </c>
      <c r="F4217" s="16" t="s">
        <v>26086</v>
      </c>
      <c r="G4217" s="23" t="s">
        <v>43</v>
      </c>
      <c r="H4217" s="18" t="n">
        <v>3</v>
      </c>
      <c r="I4217" s="20" t="n">
        <v>190.52</v>
      </c>
      <c r="J4217" s="20" t="n">
        <v>190.52</v>
      </c>
      <c r="K4217" s="18" t="n">
        <v>11</v>
      </c>
      <c r="L4217" s="18" t="n">
        <v>3</v>
      </c>
      <c r="M4217" s="18" t="n">
        <v>210</v>
      </c>
      <c r="N4217" s="18" t="n">
        <v>80</v>
      </c>
      <c r="O4217" s="14" t="s">
        <v>1097</v>
      </c>
      <c r="P4217" s="14" t="s">
        <v>118</v>
      </c>
      <c r="Q4217" s="15" t="s">
        <v>1089</v>
      </c>
      <c r="R4217" s="16" t="s">
        <v>19179</v>
      </c>
      <c r="S4217" s="15" t="s">
        <v>26087</v>
      </c>
      <c r="T4217" s="15" t="s">
        <v>26087</v>
      </c>
      <c r="U4217" s="21" t="s">
        <v>72</v>
      </c>
    </row>
    <row r="4218" customFormat="false" ht="15" hidden="false" customHeight="false" outlineLevel="0" collapsed="false">
      <c r="A4218" s="15" t="s">
        <v>25918</v>
      </c>
      <c r="B4218" s="16"/>
      <c r="C4218" s="14" t="s">
        <v>26088</v>
      </c>
      <c r="D4218" s="14" t="s">
        <v>26089</v>
      </c>
      <c r="E4218" s="16" t="s">
        <v>26090</v>
      </c>
      <c r="F4218" s="16"/>
      <c r="G4218" s="23" t="s">
        <v>43</v>
      </c>
      <c r="H4218" s="18" t="n">
        <v>2</v>
      </c>
      <c r="I4218" s="20" t="n">
        <v>35</v>
      </c>
      <c r="J4218" s="20" t="n">
        <v>142.23</v>
      </c>
      <c r="K4218" s="18" t="n">
        <v>2</v>
      </c>
      <c r="L4218" s="18" t="n">
        <v>2</v>
      </c>
      <c r="M4218" s="18" t="n">
        <v>20</v>
      </c>
      <c r="N4218" s="18" t="n">
        <v>20</v>
      </c>
      <c r="O4218" s="14" t="s">
        <v>1088</v>
      </c>
      <c r="P4218" s="14" t="s">
        <v>84</v>
      </c>
      <c r="Q4218" s="15" t="s">
        <v>1089</v>
      </c>
      <c r="R4218" s="16" t="s">
        <v>24569</v>
      </c>
      <c r="S4218" s="15" t="s">
        <v>26091</v>
      </c>
      <c r="T4218" s="15" t="s">
        <v>26091</v>
      </c>
      <c r="U4218" s="21" t="s">
        <v>72</v>
      </c>
    </row>
    <row r="4219" customFormat="false" ht="15" hidden="false" customHeight="false" outlineLevel="0" collapsed="false">
      <c r="A4219" s="15" t="s">
        <v>25918</v>
      </c>
      <c r="B4219" s="16"/>
      <c r="C4219" s="14" t="s">
        <v>26092</v>
      </c>
      <c r="D4219" s="14" t="s">
        <v>26093</v>
      </c>
      <c r="E4219" s="16" t="s">
        <v>26094</v>
      </c>
      <c r="F4219" s="16" t="s">
        <v>26095</v>
      </c>
      <c r="G4219" s="23" t="s">
        <v>43</v>
      </c>
      <c r="H4219" s="18" t="n">
        <v>4</v>
      </c>
      <c r="I4219" s="20" t="n">
        <v>92</v>
      </c>
      <c r="J4219" s="20" t="n">
        <v>111</v>
      </c>
      <c r="K4219" s="18" t="n">
        <v>10</v>
      </c>
      <c r="L4219" s="18" t="n">
        <v>1</v>
      </c>
      <c r="M4219" s="18" t="n">
        <v>150</v>
      </c>
      <c r="N4219" s="18" t="n">
        <v>30</v>
      </c>
      <c r="O4219" s="14" t="s">
        <v>1088</v>
      </c>
      <c r="P4219" s="14" t="s">
        <v>118</v>
      </c>
      <c r="Q4219" s="15" t="s">
        <v>1089</v>
      </c>
      <c r="R4219" s="16" t="s">
        <v>26096</v>
      </c>
      <c r="S4219" s="15" t="s">
        <v>26097</v>
      </c>
      <c r="T4219" s="15" t="s">
        <v>26097</v>
      </c>
      <c r="U4219" s="21" t="s">
        <v>72</v>
      </c>
    </row>
    <row r="4220" customFormat="false" ht="15" hidden="false" customHeight="false" outlineLevel="0" collapsed="false">
      <c r="A4220" s="15" t="s">
        <v>25918</v>
      </c>
      <c r="B4220" s="16"/>
      <c r="C4220" s="14" t="s">
        <v>26098</v>
      </c>
      <c r="D4220" s="14" t="s">
        <v>26099</v>
      </c>
      <c r="E4220" s="16" t="s">
        <v>26100</v>
      </c>
      <c r="F4220" s="16" t="s">
        <v>26101</v>
      </c>
      <c r="G4220" s="23" t="s">
        <v>43</v>
      </c>
      <c r="H4220" s="18" t="n">
        <v>1</v>
      </c>
      <c r="I4220" s="20" t="n">
        <v>60.67</v>
      </c>
      <c r="J4220" s="20" t="n">
        <v>60.67</v>
      </c>
      <c r="K4220" s="18" t="n">
        <v>2</v>
      </c>
      <c r="L4220" s="18" t="n">
        <v>2</v>
      </c>
      <c r="M4220" s="18" t="n">
        <v>40</v>
      </c>
      <c r="N4220" s="18" t="n">
        <v>20</v>
      </c>
      <c r="O4220" s="14" t="s">
        <v>1097</v>
      </c>
      <c r="P4220" s="14" t="s">
        <v>118</v>
      </c>
      <c r="Q4220" s="15" t="s">
        <v>1089</v>
      </c>
      <c r="R4220" s="16" t="s">
        <v>26102</v>
      </c>
      <c r="S4220" s="15" t="s">
        <v>26103</v>
      </c>
      <c r="T4220" s="15" t="s">
        <v>26103</v>
      </c>
      <c r="U4220" s="21" t="s">
        <v>72</v>
      </c>
    </row>
    <row r="4221" customFormat="false" ht="15" hidden="false" customHeight="false" outlineLevel="0" collapsed="false">
      <c r="A4221" s="15" t="s">
        <v>25918</v>
      </c>
      <c r="B4221" s="16"/>
      <c r="C4221" s="14" t="s">
        <v>26104</v>
      </c>
      <c r="D4221" s="14" t="s">
        <v>26105</v>
      </c>
      <c r="E4221" s="16" t="s">
        <v>26106</v>
      </c>
      <c r="F4221" s="16" t="s">
        <v>26107</v>
      </c>
      <c r="G4221" s="23" t="s">
        <v>43</v>
      </c>
      <c r="H4221" s="18" t="n">
        <v>2</v>
      </c>
      <c r="I4221" s="20" t="n">
        <v>116.56</v>
      </c>
      <c r="J4221" s="20" t="n">
        <v>174.84</v>
      </c>
      <c r="K4221" s="18" t="n">
        <v>8</v>
      </c>
      <c r="L4221" s="18" t="n">
        <v>3</v>
      </c>
      <c r="M4221" s="18" t="n">
        <v>80</v>
      </c>
      <c r="N4221" s="18" t="n">
        <v>40</v>
      </c>
      <c r="O4221" s="14" t="s">
        <v>1126</v>
      </c>
      <c r="P4221" s="14" t="s">
        <v>118</v>
      </c>
      <c r="Q4221" s="15" t="s">
        <v>1089</v>
      </c>
      <c r="R4221" s="16" t="s">
        <v>26108</v>
      </c>
      <c r="S4221" s="15" t="s">
        <v>26109</v>
      </c>
      <c r="T4221" s="15" t="s">
        <v>26109</v>
      </c>
      <c r="U4221" s="21" t="s">
        <v>72</v>
      </c>
    </row>
    <row r="4222" customFormat="false" ht="15" hidden="false" customHeight="false" outlineLevel="0" collapsed="false">
      <c r="A4222" s="15" t="s">
        <v>25918</v>
      </c>
      <c r="B4222" s="16"/>
      <c r="C4222" s="14" t="s">
        <v>26110</v>
      </c>
      <c r="D4222" s="14" t="s">
        <v>26111</v>
      </c>
      <c r="E4222" s="16" t="s">
        <v>25554</v>
      </c>
      <c r="F4222" s="16" t="s">
        <v>26112</v>
      </c>
      <c r="G4222" s="23" t="s">
        <v>43</v>
      </c>
      <c r="H4222" s="18" t="n">
        <v>2</v>
      </c>
      <c r="I4222" s="20" t="n">
        <v>63.02</v>
      </c>
      <c r="J4222" s="20" t="n">
        <v>67.5</v>
      </c>
      <c r="K4222" s="18" t="n">
        <v>4</v>
      </c>
      <c r="L4222" s="18" t="n">
        <v>1</v>
      </c>
      <c r="M4222" s="18" t="n">
        <v>160</v>
      </c>
      <c r="N4222" s="18" t="n">
        <v>40</v>
      </c>
      <c r="O4222" s="14" t="s">
        <v>1097</v>
      </c>
      <c r="P4222" s="14" t="s">
        <v>118</v>
      </c>
      <c r="Q4222" s="15" t="s">
        <v>1089</v>
      </c>
      <c r="R4222" s="16" t="s">
        <v>26113</v>
      </c>
      <c r="S4222" s="15" t="s">
        <v>26114</v>
      </c>
      <c r="T4222" s="15" t="s">
        <v>26115</v>
      </c>
      <c r="U4222" s="21" t="s">
        <v>72</v>
      </c>
    </row>
    <row r="4223" customFormat="false" ht="15" hidden="false" customHeight="false" outlineLevel="0" collapsed="false">
      <c r="A4223" s="15" t="s">
        <v>25918</v>
      </c>
      <c r="B4223" s="16"/>
      <c r="C4223" s="14" t="s">
        <v>26116</v>
      </c>
      <c r="D4223" s="14" t="s">
        <v>26117</v>
      </c>
      <c r="E4223" s="16" t="s">
        <v>26118</v>
      </c>
      <c r="F4223" s="16" t="s">
        <v>26119</v>
      </c>
      <c r="G4223" s="23" t="s">
        <v>43</v>
      </c>
      <c r="H4223" s="18" t="n">
        <v>4</v>
      </c>
      <c r="I4223" s="20" t="n">
        <v>163.14</v>
      </c>
      <c r="J4223" s="20" t="n">
        <v>163.14</v>
      </c>
      <c r="K4223" s="18" t="n">
        <v>6</v>
      </c>
      <c r="L4223" s="18" t="n">
        <v>5</v>
      </c>
      <c r="M4223" s="18" t="n">
        <v>120</v>
      </c>
      <c r="N4223" s="18" t="n">
        <v>120</v>
      </c>
      <c r="O4223" s="14" t="s">
        <v>1097</v>
      </c>
      <c r="P4223" s="14" t="s">
        <v>84</v>
      </c>
      <c r="Q4223" s="15" t="s">
        <v>1089</v>
      </c>
      <c r="R4223" s="16" t="s">
        <v>26120</v>
      </c>
      <c r="S4223" s="15" t="s">
        <v>26121</v>
      </c>
      <c r="T4223" s="15" t="s">
        <v>26121</v>
      </c>
      <c r="U4223" s="21" t="s">
        <v>72</v>
      </c>
    </row>
    <row r="4224" customFormat="false" ht="26.85" hidden="false" customHeight="false" outlineLevel="0" collapsed="false">
      <c r="A4224" s="15" t="s">
        <v>25918</v>
      </c>
      <c r="B4224" s="16"/>
      <c r="C4224" s="14" t="s">
        <v>26122</v>
      </c>
      <c r="D4224" s="14" t="s">
        <v>26123</v>
      </c>
      <c r="E4224" s="16" t="s">
        <v>26124</v>
      </c>
      <c r="F4224" s="16" t="s">
        <v>26125</v>
      </c>
      <c r="G4224" s="25" t="s">
        <v>39</v>
      </c>
      <c r="H4224" s="18" t="n">
        <v>8</v>
      </c>
      <c r="I4224" s="20" t="n">
        <v>248.1</v>
      </c>
      <c r="J4224" s="20" t="n">
        <v>651.5</v>
      </c>
      <c r="K4224" s="18" t="n">
        <v>8</v>
      </c>
      <c r="L4224" s="18" t="n">
        <v>2</v>
      </c>
      <c r="M4224" s="18" t="n">
        <v>120</v>
      </c>
      <c r="N4224" s="18" t="n">
        <v>45</v>
      </c>
      <c r="O4224" s="14" t="s">
        <v>1097</v>
      </c>
      <c r="P4224" s="14" t="s">
        <v>906</v>
      </c>
      <c r="Q4224" s="15" t="s">
        <v>1089</v>
      </c>
      <c r="R4224" s="16" t="s">
        <v>26126</v>
      </c>
      <c r="S4224" s="15" t="s">
        <v>26127</v>
      </c>
      <c r="T4224" s="15" t="s">
        <v>26127</v>
      </c>
      <c r="U4224" s="21" t="s">
        <v>72</v>
      </c>
    </row>
    <row r="4225" customFormat="false" ht="15" hidden="false" customHeight="false" outlineLevel="0" collapsed="false">
      <c r="A4225" s="15" t="s">
        <v>25918</v>
      </c>
      <c r="B4225" s="16"/>
      <c r="C4225" s="14" t="s">
        <v>26128</v>
      </c>
      <c r="D4225" s="14" t="s">
        <v>26129</v>
      </c>
      <c r="E4225" s="16" t="s">
        <v>26130</v>
      </c>
      <c r="F4225" s="16" t="s">
        <v>26131</v>
      </c>
      <c r="G4225" s="23" t="s">
        <v>43</v>
      </c>
      <c r="H4225" s="18" t="n">
        <v>1</v>
      </c>
      <c r="I4225" s="20" t="n">
        <v>55.78</v>
      </c>
      <c r="J4225" s="20" t="n">
        <v>60.16</v>
      </c>
      <c r="K4225" s="18" t="n">
        <v>6</v>
      </c>
      <c r="L4225" s="18" t="n">
        <v>4</v>
      </c>
      <c r="M4225" s="18" t="n">
        <v>180</v>
      </c>
      <c r="N4225" s="18" t="n">
        <v>60</v>
      </c>
      <c r="O4225" s="14" t="s">
        <v>1097</v>
      </c>
      <c r="P4225" s="14" t="s">
        <v>118</v>
      </c>
      <c r="Q4225" s="15" t="s">
        <v>1089</v>
      </c>
      <c r="R4225" s="16" t="s">
        <v>10316</v>
      </c>
      <c r="S4225" s="15" t="s">
        <v>26132</v>
      </c>
      <c r="T4225" s="15" t="s">
        <v>26132</v>
      </c>
      <c r="U4225" s="21" t="s">
        <v>72</v>
      </c>
    </row>
    <row r="4226" customFormat="false" ht="15" hidden="false" customHeight="false" outlineLevel="0" collapsed="false">
      <c r="A4226" s="15" t="s">
        <v>25918</v>
      </c>
      <c r="B4226" s="16"/>
      <c r="C4226" s="14" t="s">
        <v>26133</v>
      </c>
      <c r="D4226" s="14" t="s">
        <v>26134</v>
      </c>
      <c r="E4226" s="16" t="s">
        <v>26135</v>
      </c>
      <c r="F4226" s="16" t="s">
        <v>26136</v>
      </c>
      <c r="G4226" s="23" t="s">
        <v>43</v>
      </c>
      <c r="H4226" s="18" t="n">
        <v>2</v>
      </c>
      <c r="I4226" s="20" t="n">
        <v>97</v>
      </c>
      <c r="J4226" s="20" t="n">
        <v>115.93</v>
      </c>
      <c r="K4226" s="18" t="n">
        <v>4</v>
      </c>
      <c r="L4226" s="18" t="n">
        <v>5</v>
      </c>
      <c r="M4226" s="18" t="n">
        <v>80</v>
      </c>
      <c r="N4226" s="18" t="n">
        <v>40</v>
      </c>
      <c r="O4226" s="14" t="s">
        <v>1088</v>
      </c>
      <c r="P4226" s="14" t="s">
        <v>118</v>
      </c>
      <c r="Q4226" s="15" t="s">
        <v>1089</v>
      </c>
      <c r="R4226" s="16" t="s">
        <v>26137</v>
      </c>
      <c r="S4226" s="15" t="s">
        <v>26138</v>
      </c>
      <c r="T4226" s="15" t="s">
        <v>26138</v>
      </c>
      <c r="U4226" s="21" t="s">
        <v>72</v>
      </c>
    </row>
    <row r="4227" customFormat="false" ht="26.85" hidden="false" customHeight="false" outlineLevel="0" collapsed="false">
      <c r="A4227" s="15" t="s">
        <v>25918</v>
      </c>
      <c r="B4227" s="16"/>
      <c r="C4227" s="14" t="s">
        <v>26139</v>
      </c>
      <c r="D4227" s="14" t="s">
        <v>26140</v>
      </c>
      <c r="E4227" s="16" t="s">
        <v>26141</v>
      </c>
      <c r="F4227" s="16"/>
      <c r="G4227" s="23" t="s">
        <v>43</v>
      </c>
      <c r="H4227" s="18" t="n">
        <v>2</v>
      </c>
      <c r="I4227" s="20" t="n">
        <v>171.02</v>
      </c>
      <c r="J4227" s="20" t="n">
        <v>171.02</v>
      </c>
      <c r="K4227" s="18" t="n">
        <v>6</v>
      </c>
      <c r="L4227" s="18" t="n">
        <v>5</v>
      </c>
      <c r="M4227" s="18" t="n">
        <v>90</v>
      </c>
      <c r="N4227" s="18" t="n">
        <v>15</v>
      </c>
      <c r="O4227" s="14" t="s">
        <v>1097</v>
      </c>
      <c r="P4227" s="14" t="s">
        <v>352</v>
      </c>
      <c r="Q4227" s="15" t="s">
        <v>1089</v>
      </c>
      <c r="R4227" s="16" t="s">
        <v>23621</v>
      </c>
      <c r="S4227" s="15" t="s">
        <v>26142</v>
      </c>
      <c r="T4227" s="15" t="s">
        <v>26142</v>
      </c>
      <c r="U4227" s="21" t="s">
        <v>72</v>
      </c>
    </row>
    <row r="4228" customFormat="false" ht="15" hidden="false" customHeight="false" outlineLevel="0" collapsed="false">
      <c r="A4228" s="15" t="s">
        <v>25918</v>
      </c>
      <c r="B4228" s="16"/>
      <c r="C4228" s="14" t="s">
        <v>26143</v>
      </c>
      <c r="D4228" s="14" t="s">
        <v>26144</v>
      </c>
      <c r="E4228" s="16" t="s">
        <v>25554</v>
      </c>
      <c r="F4228" s="16" t="s">
        <v>26145</v>
      </c>
      <c r="G4228" s="23" t="s">
        <v>43</v>
      </c>
      <c r="H4228" s="18" t="n">
        <v>2</v>
      </c>
      <c r="I4228" s="20" t="n">
        <v>64.97</v>
      </c>
      <c r="J4228" s="20" t="n">
        <v>64.97</v>
      </c>
      <c r="K4228" s="18" t="n">
        <v>6</v>
      </c>
      <c r="L4228" s="18" t="n">
        <v>1</v>
      </c>
      <c r="M4228" s="18" t="n">
        <v>90</v>
      </c>
      <c r="N4228" s="18" t="n">
        <v>30</v>
      </c>
      <c r="O4228" s="14" t="s">
        <v>1088</v>
      </c>
      <c r="P4228" s="14" t="s">
        <v>118</v>
      </c>
      <c r="Q4228" s="15" t="s">
        <v>1089</v>
      </c>
      <c r="R4228" s="16" t="s">
        <v>26146</v>
      </c>
      <c r="S4228" s="15" t="s">
        <v>26147</v>
      </c>
      <c r="T4228" s="15" t="s">
        <v>26147</v>
      </c>
      <c r="U4228" s="21" t="s">
        <v>72</v>
      </c>
    </row>
    <row r="4229" customFormat="false" ht="15" hidden="false" customHeight="false" outlineLevel="0" collapsed="false">
      <c r="A4229" s="15" t="s">
        <v>25918</v>
      </c>
      <c r="B4229" s="16"/>
      <c r="C4229" s="14" t="s">
        <v>26148</v>
      </c>
      <c r="D4229" s="14" t="s">
        <v>26149</v>
      </c>
      <c r="E4229" s="16" t="s">
        <v>26150</v>
      </c>
      <c r="F4229" s="16" t="s">
        <v>26151</v>
      </c>
      <c r="G4229" s="23" t="s">
        <v>43</v>
      </c>
      <c r="H4229" s="18" t="n">
        <v>3</v>
      </c>
      <c r="I4229" s="20" t="n">
        <v>146.58</v>
      </c>
      <c r="J4229" s="20" t="n">
        <v>146.58</v>
      </c>
      <c r="K4229" s="18" t="n">
        <v>4</v>
      </c>
      <c r="L4229" s="18" t="n">
        <v>1</v>
      </c>
      <c r="M4229" s="18" t="n">
        <v>60</v>
      </c>
      <c r="N4229" s="18" t="n">
        <v>20</v>
      </c>
      <c r="O4229" s="14" t="s">
        <v>1088</v>
      </c>
      <c r="P4229" s="14" t="s">
        <v>118</v>
      </c>
      <c r="Q4229" s="15" t="s">
        <v>1089</v>
      </c>
      <c r="R4229" s="16" t="s">
        <v>10190</v>
      </c>
      <c r="S4229" s="15" t="s">
        <v>26152</v>
      </c>
      <c r="T4229" s="15" t="s">
        <v>26152</v>
      </c>
      <c r="U4229" s="21" t="s">
        <v>72</v>
      </c>
    </row>
    <row r="4230" customFormat="false" ht="15" hidden="false" customHeight="false" outlineLevel="0" collapsed="false">
      <c r="A4230" s="15" t="s">
        <v>25918</v>
      </c>
      <c r="B4230" s="16"/>
      <c r="C4230" s="14" t="s">
        <v>26153</v>
      </c>
      <c r="D4230" s="14" t="s">
        <v>26154</v>
      </c>
      <c r="E4230" s="16" t="s">
        <v>26155</v>
      </c>
      <c r="F4230" s="16" t="s">
        <v>26156</v>
      </c>
      <c r="G4230" s="25" t="s">
        <v>39</v>
      </c>
      <c r="H4230" s="18" t="n">
        <v>8</v>
      </c>
      <c r="I4230" s="20" t="n">
        <v>158.64</v>
      </c>
      <c r="J4230" s="20" t="n">
        <v>317.28</v>
      </c>
      <c r="K4230" s="18" t="n">
        <v>12</v>
      </c>
      <c r="L4230" s="18" t="n">
        <v>8</v>
      </c>
      <c r="M4230" s="18" t="n">
        <v>180</v>
      </c>
      <c r="N4230" s="18" t="n">
        <v>45</v>
      </c>
      <c r="O4230" s="14" t="s">
        <v>1097</v>
      </c>
      <c r="P4230" s="14" t="s">
        <v>118</v>
      </c>
      <c r="Q4230" s="15" t="s">
        <v>1089</v>
      </c>
      <c r="R4230" s="16" t="s">
        <v>26157</v>
      </c>
      <c r="S4230" s="15" t="s">
        <v>26158</v>
      </c>
      <c r="T4230" s="15" t="s">
        <v>26158</v>
      </c>
      <c r="U4230" s="21" t="s">
        <v>72</v>
      </c>
    </row>
    <row r="4231" customFormat="false" ht="15" hidden="false" customHeight="false" outlineLevel="0" collapsed="false">
      <c r="A4231" s="15" t="s">
        <v>25918</v>
      </c>
      <c r="B4231" s="16"/>
      <c r="C4231" s="14" t="s">
        <v>26159</v>
      </c>
      <c r="D4231" s="14" t="s">
        <v>26160</v>
      </c>
      <c r="E4231" s="16" t="s">
        <v>26161</v>
      </c>
      <c r="F4231" s="16" t="s">
        <v>26162</v>
      </c>
      <c r="G4231" s="19" t="s">
        <v>41</v>
      </c>
      <c r="H4231" s="18" t="n">
        <v>6</v>
      </c>
      <c r="I4231" s="20" t="n">
        <v>271.52</v>
      </c>
      <c r="J4231" s="20" t="n">
        <v>271.52</v>
      </c>
      <c r="K4231" s="18" t="n">
        <v>19</v>
      </c>
      <c r="L4231" s="18" t="n">
        <v>5</v>
      </c>
      <c r="M4231" s="18" t="n">
        <v>570</v>
      </c>
      <c r="N4231" s="18" t="n">
        <v>150</v>
      </c>
      <c r="O4231" s="14" t="s">
        <v>1097</v>
      </c>
      <c r="P4231" s="14" t="s">
        <v>515</v>
      </c>
      <c r="Q4231" s="15" t="s">
        <v>1089</v>
      </c>
      <c r="R4231" s="16" t="s">
        <v>10986</v>
      </c>
      <c r="S4231" s="15" t="s">
        <v>26163</v>
      </c>
      <c r="T4231" s="15" t="s">
        <v>26163</v>
      </c>
      <c r="U4231" s="21" t="s">
        <v>72</v>
      </c>
    </row>
    <row r="4232" customFormat="false" ht="26.85" hidden="false" customHeight="false" outlineLevel="0" collapsed="false">
      <c r="A4232" s="15" t="s">
        <v>25918</v>
      </c>
      <c r="B4232" s="16"/>
      <c r="C4232" s="14" t="s">
        <v>26164</v>
      </c>
      <c r="D4232" s="14" t="s">
        <v>26165</v>
      </c>
      <c r="E4232" s="16" t="s">
        <v>26166</v>
      </c>
      <c r="F4232" s="16"/>
      <c r="G4232" s="19" t="s">
        <v>41</v>
      </c>
      <c r="H4232" s="18" t="n">
        <v>5</v>
      </c>
      <c r="I4232" s="20" t="n">
        <v>130.64</v>
      </c>
      <c r="J4232" s="20" t="n">
        <v>177</v>
      </c>
      <c r="K4232" s="18" t="n">
        <v>7</v>
      </c>
      <c r="L4232" s="18" t="n">
        <v>3</v>
      </c>
      <c r="M4232" s="18" t="n">
        <v>140</v>
      </c>
      <c r="N4232" s="18" t="n">
        <v>20</v>
      </c>
      <c r="O4232" s="14" t="s">
        <v>1097</v>
      </c>
      <c r="P4232" s="14" t="s">
        <v>872</v>
      </c>
      <c r="Q4232" s="15" t="s">
        <v>1089</v>
      </c>
      <c r="R4232" s="16" t="s">
        <v>26167</v>
      </c>
      <c r="S4232" s="15" t="s">
        <v>26168</v>
      </c>
      <c r="T4232" s="15" t="s">
        <v>26168</v>
      </c>
      <c r="U4232" s="21" t="s">
        <v>72</v>
      </c>
    </row>
    <row r="4233" customFormat="false" ht="15" hidden="false" customHeight="false" outlineLevel="0" collapsed="false">
      <c r="A4233" s="15" t="s">
        <v>25918</v>
      </c>
      <c r="B4233" s="16"/>
      <c r="C4233" s="14" t="s">
        <v>26169</v>
      </c>
      <c r="D4233" s="14" t="s">
        <v>26170</v>
      </c>
      <c r="E4233" s="16" t="s">
        <v>26171</v>
      </c>
      <c r="F4233" s="16" t="s">
        <v>26172</v>
      </c>
      <c r="G4233" s="23" t="s">
        <v>43</v>
      </c>
      <c r="H4233" s="18" t="n">
        <v>1</v>
      </c>
      <c r="I4233" s="20" t="n">
        <v>160.745</v>
      </c>
      <c r="J4233" s="20" t="n">
        <v>187.37</v>
      </c>
      <c r="K4233" s="18" t="n">
        <v>10</v>
      </c>
      <c r="L4233" s="18" t="n">
        <v>5</v>
      </c>
      <c r="M4233" s="18" t="n">
        <v>150</v>
      </c>
      <c r="N4233" s="18" t="n">
        <v>60</v>
      </c>
      <c r="O4233" s="14" t="s">
        <v>1088</v>
      </c>
      <c r="P4233" s="14" t="s">
        <v>118</v>
      </c>
      <c r="Q4233" s="15" t="s">
        <v>1089</v>
      </c>
      <c r="R4233" s="16" t="s">
        <v>26173</v>
      </c>
      <c r="S4233" s="15" t="s">
        <v>26174</v>
      </c>
      <c r="T4233" s="15" t="s">
        <v>26174</v>
      </c>
      <c r="U4233" s="21" t="s">
        <v>72</v>
      </c>
    </row>
    <row r="4234" customFormat="false" ht="15" hidden="false" customHeight="false" outlineLevel="0" collapsed="false">
      <c r="A4234" s="15" t="s">
        <v>25918</v>
      </c>
      <c r="B4234" s="16"/>
      <c r="C4234" s="14" t="s">
        <v>26175</v>
      </c>
      <c r="D4234" s="14" t="s">
        <v>26176</v>
      </c>
      <c r="E4234" s="16" t="s">
        <v>26177</v>
      </c>
      <c r="F4234" s="16" t="s">
        <v>26178</v>
      </c>
      <c r="G4234" s="23" t="s">
        <v>43</v>
      </c>
      <c r="H4234" s="18" t="n">
        <v>2</v>
      </c>
      <c r="I4234" s="20" t="n">
        <v>60.06</v>
      </c>
      <c r="J4234" s="20" t="n">
        <v>67.03</v>
      </c>
      <c r="K4234" s="18" t="n">
        <v>11</v>
      </c>
      <c r="L4234" s="18" t="n">
        <v>2</v>
      </c>
      <c r="M4234" s="18" t="n">
        <v>220</v>
      </c>
      <c r="N4234" s="18" t="n">
        <v>40</v>
      </c>
      <c r="O4234" s="14" t="s">
        <v>1097</v>
      </c>
      <c r="P4234" s="14" t="s">
        <v>118</v>
      </c>
      <c r="Q4234" s="15" t="s">
        <v>1089</v>
      </c>
      <c r="R4234" s="16" t="s">
        <v>26179</v>
      </c>
      <c r="S4234" s="15" t="s">
        <v>26180</v>
      </c>
      <c r="T4234" s="15" t="s">
        <v>26181</v>
      </c>
      <c r="U4234" s="21" t="s">
        <v>72</v>
      </c>
    </row>
    <row r="4235" customFormat="false" ht="15" hidden="false" customHeight="false" outlineLevel="0" collapsed="false">
      <c r="A4235" s="15" t="s">
        <v>25918</v>
      </c>
      <c r="B4235" s="16"/>
      <c r="C4235" s="14" t="s">
        <v>26182</v>
      </c>
      <c r="D4235" s="14" t="s">
        <v>26183</v>
      </c>
      <c r="E4235" s="16" t="s">
        <v>26184</v>
      </c>
      <c r="F4235" s="16" t="s">
        <v>26185</v>
      </c>
      <c r="G4235" s="23" t="s">
        <v>43</v>
      </c>
      <c r="H4235" s="18" t="n">
        <v>3</v>
      </c>
      <c r="I4235" s="20" t="n">
        <v>69.04</v>
      </c>
      <c r="J4235" s="20" t="n">
        <v>87.08</v>
      </c>
      <c r="K4235" s="18" t="n">
        <v>2</v>
      </c>
      <c r="L4235" s="18" t="n">
        <v>2</v>
      </c>
      <c r="M4235" s="18" t="n">
        <v>60</v>
      </c>
      <c r="N4235" s="18" t="n">
        <v>30</v>
      </c>
      <c r="O4235" s="14" t="s">
        <v>1097</v>
      </c>
      <c r="P4235" s="14" t="s">
        <v>118</v>
      </c>
      <c r="Q4235" s="15" t="s">
        <v>1089</v>
      </c>
      <c r="R4235" s="16" t="s">
        <v>23099</v>
      </c>
      <c r="S4235" s="15" t="s">
        <v>26186</v>
      </c>
      <c r="T4235" s="15" t="s">
        <v>26186</v>
      </c>
      <c r="U4235" s="21" t="s">
        <v>72</v>
      </c>
    </row>
    <row r="4236" customFormat="false" ht="15" hidden="false" customHeight="false" outlineLevel="0" collapsed="false">
      <c r="A4236" s="15" t="s">
        <v>25918</v>
      </c>
      <c r="B4236" s="16"/>
      <c r="C4236" s="14" t="s">
        <v>26187</v>
      </c>
      <c r="D4236" s="14" t="s">
        <v>26188</v>
      </c>
      <c r="E4236" s="16" t="s">
        <v>25554</v>
      </c>
      <c r="F4236" s="16" t="s">
        <v>26189</v>
      </c>
      <c r="G4236" s="23" t="s">
        <v>43</v>
      </c>
      <c r="H4236" s="18" t="n">
        <v>3</v>
      </c>
      <c r="I4236" s="20" t="n">
        <v>70</v>
      </c>
      <c r="J4236" s="20" t="n">
        <v>100</v>
      </c>
      <c r="K4236" s="18" t="n">
        <v>11</v>
      </c>
      <c r="L4236" s="18" t="n">
        <v>1</v>
      </c>
      <c r="M4236" s="18" t="n">
        <v>165</v>
      </c>
      <c r="N4236" s="18" t="n">
        <v>45</v>
      </c>
      <c r="O4236" s="14" t="s">
        <v>1097</v>
      </c>
      <c r="P4236" s="14" t="s">
        <v>118</v>
      </c>
      <c r="Q4236" s="15" t="s">
        <v>1089</v>
      </c>
      <c r="R4236" s="16" t="s">
        <v>26190</v>
      </c>
      <c r="S4236" s="15" t="s">
        <v>26191</v>
      </c>
      <c r="T4236" s="15" t="s">
        <v>26191</v>
      </c>
      <c r="U4236" s="21" t="s">
        <v>72</v>
      </c>
    </row>
    <row r="4237" customFormat="false" ht="15" hidden="false" customHeight="false" outlineLevel="0" collapsed="false">
      <c r="A4237" s="15" t="s">
        <v>25918</v>
      </c>
      <c r="B4237" s="16"/>
      <c r="C4237" s="14" t="s">
        <v>26192</v>
      </c>
      <c r="D4237" s="14" t="s">
        <v>26193</v>
      </c>
      <c r="E4237" s="16" t="s">
        <v>26194</v>
      </c>
      <c r="F4237" s="16" t="s">
        <v>26195</v>
      </c>
      <c r="G4237" s="23" t="s">
        <v>43</v>
      </c>
      <c r="H4237" s="18" t="n">
        <v>1</v>
      </c>
      <c r="I4237" s="20" t="n">
        <v>47.67</v>
      </c>
      <c r="J4237" s="20" t="n">
        <v>47.67</v>
      </c>
      <c r="K4237" s="18" t="n">
        <v>2</v>
      </c>
      <c r="L4237" s="18" t="n">
        <v>1</v>
      </c>
      <c r="M4237" s="18" t="n">
        <v>20</v>
      </c>
      <c r="N4237" s="18" t="n">
        <v>20</v>
      </c>
      <c r="O4237" s="14" t="s">
        <v>1088</v>
      </c>
      <c r="P4237" s="14" t="s">
        <v>84</v>
      </c>
      <c r="Q4237" s="15" t="s">
        <v>1089</v>
      </c>
      <c r="R4237" s="16" t="s">
        <v>26196</v>
      </c>
      <c r="S4237" s="15" t="s">
        <v>26197</v>
      </c>
      <c r="T4237" s="15" t="s">
        <v>26197</v>
      </c>
      <c r="U4237" s="21" t="s">
        <v>72</v>
      </c>
    </row>
    <row r="4238" customFormat="false" ht="15" hidden="false" customHeight="false" outlineLevel="0" collapsed="false">
      <c r="A4238" s="15" t="s">
        <v>25918</v>
      </c>
      <c r="B4238" s="16"/>
      <c r="C4238" s="14" t="s">
        <v>26198</v>
      </c>
      <c r="D4238" s="14" t="s">
        <v>26199</v>
      </c>
      <c r="E4238" s="16" t="s">
        <v>26200</v>
      </c>
      <c r="F4238" s="16" t="s">
        <v>26201</v>
      </c>
      <c r="G4238" s="23" t="s">
        <v>43</v>
      </c>
      <c r="H4238" s="18" t="n">
        <v>2</v>
      </c>
      <c r="I4238" s="20" t="n">
        <v>57.33</v>
      </c>
      <c r="J4238" s="20" t="n">
        <v>133.278</v>
      </c>
      <c r="K4238" s="18" t="n">
        <v>2</v>
      </c>
      <c r="L4238" s="18" t="n">
        <v>1</v>
      </c>
      <c r="M4238" s="18" t="n">
        <v>40</v>
      </c>
      <c r="N4238" s="18" t="n">
        <v>40</v>
      </c>
      <c r="O4238" s="14" t="s">
        <v>1126</v>
      </c>
      <c r="P4238" s="14" t="s">
        <v>84</v>
      </c>
      <c r="Q4238" s="15" t="s">
        <v>1089</v>
      </c>
      <c r="R4238" s="16" t="s">
        <v>26202</v>
      </c>
      <c r="S4238" s="15" t="s">
        <v>26203</v>
      </c>
      <c r="T4238" s="15" t="s">
        <v>26203</v>
      </c>
      <c r="U4238" s="21" t="s">
        <v>72</v>
      </c>
    </row>
    <row r="4239" customFormat="false" ht="15" hidden="false" customHeight="false" outlineLevel="0" collapsed="false">
      <c r="A4239" s="15" t="s">
        <v>25918</v>
      </c>
      <c r="B4239" s="16"/>
      <c r="C4239" s="14" t="s">
        <v>26204</v>
      </c>
      <c r="D4239" s="14" t="s">
        <v>26205</v>
      </c>
      <c r="E4239" s="16" t="s">
        <v>26206</v>
      </c>
      <c r="F4239" s="16" t="s">
        <v>26207</v>
      </c>
      <c r="G4239" s="23" t="s">
        <v>43</v>
      </c>
      <c r="H4239" s="18" t="n">
        <v>3</v>
      </c>
      <c r="I4239" s="20" t="n">
        <v>73.73</v>
      </c>
      <c r="J4239" s="20" t="n">
        <v>73.73</v>
      </c>
      <c r="K4239" s="18" t="n">
        <v>3</v>
      </c>
      <c r="L4239" s="18" t="n">
        <v>3</v>
      </c>
      <c r="M4239" s="18" t="n">
        <v>70</v>
      </c>
      <c r="N4239" s="18" t="n">
        <v>50</v>
      </c>
      <c r="O4239" s="14" t="s">
        <v>1088</v>
      </c>
      <c r="P4239" s="14" t="s">
        <v>118</v>
      </c>
      <c r="Q4239" s="15" t="s">
        <v>1089</v>
      </c>
      <c r="R4239" s="16" t="s">
        <v>7235</v>
      </c>
      <c r="S4239" s="15" t="s">
        <v>26208</v>
      </c>
      <c r="T4239" s="15" t="s">
        <v>26208</v>
      </c>
      <c r="U4239" s="21" t="s">
        <v>72</v>
      </c>
    </row>
    <row r="4240" customFormat="false" ht="15" hidden="false" customHeight="false" outlineLevel="0" collapsed="false">
      <c r="A4240" s="15" t="s">
        <v>25918</v>
      </c>
      <c r="B4240" s="16"/>
      <c r="C4240" s="14" t="s">
        <v>26209</v>
      </c>
      <c r="D4240" s="14" t="s">
        <v>26210</v>
      </c>
      <c r="E4240" s="16" t="s">
        <v>26211</v>
      </c>
      <c r="F4240" s="16" t="s">
        <v>26212</v>
      </c>
      <c r="G4240" s="25" t="s">
        <v>39</v>
      </c>
      <c r="H4240" s="18" t="n">
        <v>8</v>
      </c>
      <c r="I4240" s="20" t="n">
        <v>46.28</v>
      </c>
      <c r="J4240" s="20" t="n">
        <v>192.99</v>
      </c>
      <c r="K4240" s="18" t="n">
        <v>3</v>
      </c>
      <c r="L4240" s="18" t="n">
        <v>6</v>
      </c>
      <c r="M4240" s="18" t="n">
        <v>45</v>
      </c>
      <c r="N4240" s="18" t="n">
        <v>30</v>
      </c>
      <c r="O4240" s="14" t="s">
        <v>3001</v>
      </c>
      <c r="P4240" s="14" t="s">
        <v>84</v>
      </c>
      <c r="Q4240" s="15" t="s">
        <v>1089</v>
      </c>
      <c r="R4240" s="16" t="s">
        <v>23638</v>
      </c>
      <c r="S4240" s="15" t="s">
        <v>26213</v>
      </c>
      <c r="T4240" s="15" t="s">
        <v>26214</v>
      </c>
      <c r="U4240" s="21" t="s">
        <v>72</v>
      </c>
    </row>
    <row r="4241" customFormat="false" ht="15" hidden="false" customHeight="false" outlineLevel="0" collapsed="false">
      <c r="A4241" s="15" t="s">
        <v>25918</v>
      </c>
      <c r="B4241" s="16"/>
      <c r="C4241" s="14" t="s">
        <v>26215</v>
      </c>
      <c r="D4241" s="14" t="s">
        <v>26216</v>
      </c>
      <c r="E4241" s="16" t="s">
        <v>26217</v>
      </c>
      <c r="F4241" s="16" t="s">
        <v>26218</v>
      </c>
      <c r="G4241" s="23" t="s">
        <v>43</v>
      </c>
      <c r="H4241" s="18" t="n">
        <v>4</v>
      </c>
      <c r="I4241" s="20" t="n">
        <v>71.2</v>
      </c>
      <c r="J4241" s="20" t="n">
        <v>147.12</v>
      </c>
      <c r="K4241" s="18" t="n">
        <v>4</v>
      </c>
      <c r="L4241" s="18" t="n">
        <v>2</v>
      </c>
      <c r="M4241" s="18" t="n">
        <v>60</v>
      </c>
      <c r="N4241" s="18" t="n">
        <v>30</v>
      </c>
      <c r="O4241" s="14" t="s">
        <v>17859</v>
      </c>
      <c r="P4241" s="14" t="s">
        <v>118</v>
      </c>
      <c r="Q4241" s="15" t="s">
        <v>1089</v>
      </c>
      <c r="R4241" s="16" t="s">
        <v>18311</v>
      </c>
      <c r="S4241" s="15" t="s">
        <v>26219</v>
      </c>
      <c r="T4241" s="15" t="s">
        <v>26219</v>
      </c>
      <c r="U4241" s="21" t="s">
        <v>72</v>
      </c>
    </row>
    <row r="4242" customFormat="false" ht="15" hidden="false" customHeight="false" outlineLevel="0" collapsed="false">
      <c r="A4242" s="15" t="s">
        <v>25918</v>
      </c>
      <c r="B4242" s="16"/>
      <c r="C4242" s="14" t="s">
        <v>26220</v>
      </c>
      <c r="D4242" s="14" t="s">
        <v>26221</v>
      </c>
      <c r="E4242" s="16" t="s">
        <v>26222</v>
      </c>
      <c r="F4242" s="16"/>
      <c r="G4242" s="23" t="s">
        <v>43</v>
      </c>
      <c r="H4242" s="18" t="n">
        <v>1</v>
      </c>
      <c r="I4242" s="20" t="n">
        <v>40.26</v>
      </c>
      <c r="J4242" s="20" t="n">
        <v>48.56</v>
      </c>
      <c r="K4242" s="18" t="n">
        <v>3</v>
      </c>
      <c r="L4242" s="18" t="n">
        <v>1</v>
      </c>
      <c r="M4242" s="18" t="n">
        <v>90</v>
      </c>
      <c r="N4242" s="18" t="n">
        <v>90</v>
      </c>
      <c r="O4242" s="14" t="s">
        <v>1097</v>
      </c>
      <c r="P4242" s="14" t="s">
        <v>84</v>
      </c>
      <c r="Q4242" s="15" t="s">
        <v>1089</v>
      </c>
      <c r="R4242" s="16" t="s">
        <v>14224</v>
      </c>
      <c r="S4242" s="15" t="s">
        <v>26223</v>
      </c>
      <c r="T4242" s="15" t="s">
        <v>26223</v>
      </c>
      <c r="U4242" s="21" t="s">
        <v>72</v>
      </c>
    </row>
    <row r="4243" customFormat="false" ht="15" hidden="false" customHeight="false" outlineLevel="0" collapsed="false">
      <c r="A4243" s="15" t="s">
        <v>25918</v>
      </c>
      <c r="B4243" s="16"/>
      <c r="C4243" s="14" t="s">
        <v>26224</v>
      </c>
      <c r="D4243" s="14" t="s">
        <v>26225</v>
      </c>
      <c r="E4243" s="16" t="s">
        <v>26226</v>
      </c>
      <c r="F4243" s="16" t="s">
        <v>26227</v>
      </c>
      <c r="G4243" s="23" t="s">
        <v>43</v>
      </c>
      <c r="H4243" s="18" t="n">
        <v>4</v>
      </c>
      <c r="I4243" s="20" t="n">
        <v>152</v>
      </c>
      <c r="J4243" s="20" t="n">
        <v>152</v>
      </c>
      <c r="K4243" s="18" t="n">
        <v>15</v>
      </c>
      <c r="L4243" s="18" t="n">
        <v>3</v>
      </c>
      <c r="M4243" s="18" t="n">
        <v>225</v>
      </c>
      <c r="N4243" s="18" t="n">
        <v>60</v>
      </c>
      <c r="O4243" s="14" t="s">
        <v>1097</v>
      </c>
      <c r="P4243" s="14" t="s">
        <v>118</v>
      </c>
      <c r="Q4243" s="15" t="s">
        <v>1089</v>
      </c>
      <c r="R4243" s="16" t="s">
        <v>26228</v>
      </c>
      <c r="S4243" s="15" t="s">
        <v>26229</v>
      </c>
      <c r="T4243" s="15" t="s">
        <v>26229</v>
      </c>
      <c r="U4243" s="21" t="s">
        <v>72</v>
      </c>
    </row>
    <row r="4244" customFormat="false" ht="15" hidden="false" customHeight="false" outlineLevel="0" collapsed="false">
      <c r="A4244" s="15" t="s">
        <v>25918</v>
      </c>
      <c r="B4244" s="16"/>
      <c r="C4244" s="14" t="s">
        <v>26230</v>
      </c>
      <c r="D4244" s="14" t="s">
        <v>26231</v>
      </c>
      <c r="E4244" s="16" t="s">
        <v>26232</v>
      </c>
      <c r="F4244" s="16" t="s">
        <v>26227</v>
      </c>
      <c r="G4244" s="19" t="s">
        <v>41</v>
      </c>
      <c r="H4244" s="18" t="n">
        <v>6</v>
      </c>
      <c r="I4244" s="20" t="n">
        <v>83.41</v>
      </c>
      <c r="J4244" s="20" t="n">
        <v>83.41</v>
      </c>
      <c r="K4244" s="18" t="n">
        <v>7</v>
      </c>
      <c r="L4244" s="18" t="n">
        <v>4</v>
      </c>
      <c r="M4244" s="18" t="n">
        <v>105</v>
      </c>
      <c r="N4244" s="18" t="n">
        <v>30</v>
      </c>
      <c r="O4244" s="14" t="s">
        <v>6448</v>
      </c>
      <c r="P4244" s="14" t="s">
        <v>118</v>
      </c>
      <c r="Q4244" s="15" t="s">
        <v>1089</v>
      </c>
      <c r="R4244" s="16" t="s">
        <v>26233</v>
      </c>
      <c r="S4244" s="15" t="s">
        <v>26234</v>
      </c>
      <c r="T4244" s="15" t="s">
        <v>26234</v>
      </c>
      <c r="U4244" s="21" t="s">
        <v>72</v>
      </c>
    </row>
    <row r="4245" customFormat="false" ht="15" hidden="false" customHeight="false" outlineLevel="0" collapsed="false">
      <c r="A4245" s="15" t="s">
        <v>25918</v>
      </c>
      <c r="B4245" s="16"/>
      <c r="C4245" s="14" t="s">
        <v>26235</v>
      </c>
      <c r="D4245" s="14" t="s">
        <v>26236</v>
      </c>
      <c r="E4245" s="16" t="s">
        <v>26237</v>
      </c>
      <c r="F4245" s="16"/>
      <c r="G4245" s="23" t="s">
        <v>43</v>
      </c>
      <c r="H4245" s="18" t="n">
        <v>2</v>
      </c>
      <c r="I4245" s="20" t="n">
        <v>30.02</v>
      </c>
      <c r="J4245" s="20" t="n">
        <v>49.34</v>
      </c>
      <c r="K4245" s="18" t="n">
        <v>7</v>
      </c>
      <c r="L4245" s="18" t="n">
        <v>2</v>
      </c>
      <c r="M4245" s="18" t="n">
        <v>112</v>
      </c>
      <c r="N4245" s="18" t="n">
        <v>48</v>
      </c>
      <c r="O4245" s="14" t="s">
        <v>1097</v>
      </c>
      <c r="P4245" s="14" t="s">
        <v>84</v>
      </c>
      <c r="Q4245" s="15" t="s">
        <v>1089</v>
      </c>
      <c r="R4245" s="16" t="s">
        <v>26238</v>
      </c>
      <c r="S4245" s="15" t="s">
        <v>26239</v>
      </c>
      <c r="T4245" s="15" t="s">
        <v>26239</v>
      </c>
      <c r="U4245" s="21" t="s">
        <v>72</v>
      </c>
    </row>
    <row r="4246" customFormat="false" ht="15" hidden="false" customHeight="false" outlineLevel="0" collapsed="false">
      <c r="A4246" s="15" t="s">
        <v>25918</v>
      </c>
      <c r="B4246" s="16"/>
      <c r="C4246" s="14" t="s">
        <v>26240</v>
      </c>
      <c r="D4246" s="14" t="s">
        <v>26241</v>
      </c>
      <c r="E4246" s="16" t="s">
        <v>25554</v>
      </c>
      <c r="F4246" s="16" t="s">
        <v>26242</v>
      </c>
      <c r="G4246" s="23" t="s">
        <v>43</v>
      </c>
      <c r="H4246" s="18" t="n">
        <v>1</v>
      </c>
      <c r="I4246" s="20" t="n">
        <v>32.76</v>
      </c>
      <c r="J4246" s="20" t="n">
        <v>32.76</v>
      </c>
      <c r="K4246" s="18" t="n">
        <v>10</v>
      </c>
      <c r="L4246" s="18" t="n">
        <v>1</v>
      </c>
      <c r="M4246" s="18" t="n">
        <v>64</v>
      </c>
      <c r="N4246" s="18" t="n">
        <v>24</v>
      </c>
      <c r="O4246" s="14" t="s">
        <v>1097</v>
      </c>
      <c r="P4246" s="14" t="s">
        <v>118</v>
      </c>
      <c r="Q4246" s="15" t="s">
        <v>1089</v>
      </c>
      <c r="R4246" s="16" t="s">
        <v>26243</v>
      </c>
      <c r="S4246" s="15" t="s">
        <v>26244</v>
      </c>
      <c r="T4246" s="15" t="s">
        <v>26244</v>
      </c>
      <c r="U4246" s="21" t="s">
        <v>72</v>
      </c>
    </row>
    <row r="4247" customFormat="false" ht="15" hidden="false" customHeight="false" outlineLevel="0" collapsed="false">
      <c r="A4247" s="15" t="s">
        <v>25918</v>
      </c>
      <c r="B4247" s="16"/>
      <c r="C4247" s="14" t="s">
        <v>26245</v>
      </c>
      <c r="D4247" s="14" t="s">
        <v>26246</v>
      </c>
      <c r="E4247" s="16" t="s">
        <v>26247</v>
      </c>
      <c r="F4247" s="16" t="s">
        <v>26248</v>
      </c>
      <c r="G4247" s="23" t="s">
        <v>43</v>
      </c>
      <c r="H4247" s="18" t="n">
        <v>1</v>
      </c>
      <c r="I4247" s="20" t="n">
        <v>35</v>
      </c>
      <c r="J4247" s="20" t="n">
        <v>48</v>
      </c>
      <c r="K4247" s="18" t="n">
        <v>6</v>
      </c>
      <c r="L4247" s="18" t="n">
        <v>1</v>
      </c>
      <c r="M4247" s="18" t="n">
        <v>48</v>
      </c>
      <c r="N4247" s="18" t="n">
        <v>48</v>
      </c>
      <c r="O4247" s="14" t="s">
        <v>1126</v>
      </c>
      <c r="P4247" s="14" t="s">
        <v>84</v>
      </c>
      <c r="Q4247" s="15" t="s">
        <v>1089</v>
      </c>
      <c r="R4247" s="16" t="s">
        <v>26249</v>
      </c>
      <c r="S4247" s="15" t="s">
        <v>26250</v>
      </c>
      <c r="T4247" s="15" t="s">
        <v>26250</v>
      </c>
      <c r="U4247" s="21" t="s">
        <v>72</v>
      </c>
    </row>
    <row r="4248" customFormat="false" ht="15" hidden="false" customHeight="false" outlineLevel="0" collapsed="false">
      <c r="A4248" s="15" t="s">
        <v>25918</v>
      </c>
      <c r="B4248" s="16"/>
      <c r="C4248" s="14" t="s">
        <v>26251</v>
      </c>
      <c r="D4248" s="14" t="s">
        <v>26252</v>
      </c>
      <c r="E4248" s="16" t="s">
        <v>26253</v>
      </c>
      <c r="F4248" s="16" t="s">
        <v>26254</v>
      </c>
      <c r="G4248" s="23" t="s">
        <v>43</v>
      </c>
      <c r="H4248" s="18" t="n">
        <v>2</v>
      </c>
      <c r="I4248" s="20" t="n">
        <v>132.1</v>
      </c>
      <c r="J4248" s="20" t="n">
        <v>132.1</v>
      </c>
      <c r="K4248" s="18" t="n">
        <v>2</v>
      </c>
      <c r="L4248" s="18" t="n">
        <v>5</v>
      </c>
      <c r="M4248" s="18" t="n">
        <v>30</v>
      </c>
      <c r="N4248" s="18" t="n">
        <v>15</v>
      </c>
      <c r="O4248" s="14" t="s">
        <v>1088</v>
      </c>
      <c r="P4248" s="14" t="s">
        <v>118</v>
      </c>
      <c r="Q4248" s="15" t="s">
        <v>1089</v>
      </c>
      <c r="R4248" s="16" t="s">
        <v>26255</v>
      </c>
      <c r="S4248" s="15" t="s">
        <v>26256</v>
      </c>
      <c r="T4248" s="15" t="s">
        <v>696</v>
      </c>
      <c r="U4248" s="21" t="s">
        <v>72</v>
      </c>
    </row>
    <row r="4249" customFormat="false" ht="15" hidden="false" customHeight="false" outlineLevel="0" collapsed="false">
      <c r="A4249" s="15" t="s">
        <v>25918</v>
      </c>
      <c r="B4249" s="16"/>
      <c r="C4249" s="14" t="s">
        <v>26257</v>
      </c>
      <c r="D4249" s="14" t="s">
        <v>26258</v>
      </c>
      <c r="E4249" s="16" t="s">
        <v>26259</v>
      </c>
      <c r="F4249" s="16" t="s">
        <v>26260</v>
      </c>
      <c r="G4249" s="19" t="s">
        <v>41</v>
      </c>
      <c r="H4249" s="18" t="n">
        <v>5</v>
      </c>
      <c r="I4249" s="20" t="n">
        <v>48.74</v>
      </c>
      <c r="J4249" s="20" t="n">
        <v>221.57</v>
      </c>
      <c r="K4249" s="18" t="n">
        <v>2</v>
      </c>
      <c r="L4249" s="18" t="n">
        <v>4</v>
      </c>
      <c r="M4249" s="18" t="n">
        <v>24</v>
      </c>
      <c r="N4249" s="18" t="n">
        <v>24</v>
      </c>
      <c r="O4249" s="14" t="s">
        <v>9118</v>
      </c>
      <c r="P4249" s="14" t="s">
        <v>84</v>
      </c>
      <c r="Q4249" s="15" t="s">
        <v>1089</v>
      </c>
      <c r="R4249" s="16" t="s">
        <v>195</v>
      </c>
      <c r="S4249" s="15" t="s">
        <v>26261</v>
      </c>
      <c r="T4249" s="15" t="s">
        <v>26261</v>
      </c>
      <c r="U4249" s="21" t="s">
        <v>72</v>
      </c>
    </row>
    <row r="4250" customFormat="false" ht="15" hidden="false" customHeight="false" outlineLevel="0" collapsed="false">
      <c r="A4250" s="15" t="s">
        <v>25918</v>
      </c>
      <c r="B4250" s="15" t="s">
        <v>26262</v>
      </c>
      <c r="C4250" s="14" t="s">
        <v>26263</v>
      </c>
      <c r="D4250" s="14" t="s">
        <v>26264</v>
      </c>
      <c r="E4250" s="16" t="s">
        <v>26265</v>
      </c>
      <c r="F4250" s="16" t="s">
        <v>26266</v>
      </c>
      <c r="G4250" s="23" t="s">
        <v>43</v>
      </c>
      <c r="H4250" s="18" t="n">
        <v>2</v>
      </c>
      <c r="I4250" s="20" t="n">
        <v>70.78</v>
      </c>
      <c r="J4250" s="20" t="n">
        <v>90.45</v>
      </c>
      <c r="K4250" s="18" t="n">
        <v>2</v>
      </c>
      <c r="L4250" s="18" t="n">
        <v>2</v>
      </c>
      <c r="M4250" s="18" t="n">
        <v>40</v>
      </c>
      <c r="N4250" s="18" t="n">
        <v>20</v>
      </c>
      <c r="O4250" s="14" t="s">
        <v>1097</v>
      </c>
      <c r="P4250" s="14" t="s">
        <v>118</v>
      </c>
      <c r="Q4250" s="15" t="s">
        <v>1089</v>
      </c>
      <c r="R4250" s="16" t="s">
        <v>9654</v>
      </c>
      <c r="S4250" s="15" t="s">
        <v>26267</v>
      </c>
      <c r="T4250" s="15" t="s">
        <v>26268</v>
      </c>
      <c r="U4250" s="21" t="s">
        <v>72</v>
      </c>
    </row>
    <row r="4251" customFormat="false" ht="15" hidden="false" customHeight="false" outlineLevel="0" collapsed="false">
      <c r="A4251" s="15" t="s">
        <v>25918</v>
      </c>
      <c r="B4251" s="15" t="s">
        <v>26262</v>
      </c>
      <c r="C4251" s="14" t="s">
        <v>26269</v>
      </c>
      <c r="D4251" s="14" t="s">
        <v>26270</v>
      </c>
      <c r="E4251" s="16" t="s">
        <v>26271</v>
      </c>
      <c r="F4251" s="16"/>
      <c r="G4251" s="23" t="s">
        <v>43</v>
      </c>
      <c r="H4251" s="18" t="n">
        <v>2</v>
      </c>
      <c r="I4251" s="20" t="n">
        <v>90.82</v>
      </c>
      <c r="J4251" s="20" t="n">
        <v>90.82</v>
      </c>
      <c r="K4251" s="18" t="n">
        <v>2</v>
      </c>
      <c r="L4251" s="18" t="n">
        <v>2</v>
      </c>
      <c r="M4251" s="18" t="n">
        <v>60</v>
      </c>
      <c r="N4251" s="18" t="n">
        <v>60</v>
      </c>
      <c r="O4251" s="14" t="s">
        <v>1097</v>
      </c>
      <c r="P4251" s="14" t="s">
        <v>84</v>
      </c>
      <c r="Q4251" s="15" t="s">
        <v>1089</v>
      </c>
      <c r="R4251" s="16" t="s">
        <v>15174</v>
      </c>
      <c r="S4251" s="15" t="s">
        <v>26272</v>
      </c>
      <c r="T4251" s="15" t="s">
        <v>1001</v>
      </c>
      <c r="U4251" s="21" t="s">
        <v>72</v>
      </c>
    </row>
    <row r="4252" customFormat="false" ht="15" hidden="false" customHeight="false" outlineLevel="0" collapsed="false">
      <c r="A4252" s="15" t="s">
        <v>25918</v>
      </c>
      <c r="B4252" s="15" t="s">
        <v>26262</v>
      </c>
      <c r="C4252" s="14" t="s">
        <v>26273</v>
      </c>
      <c r="D4252" s="14" t="s">
        <v>26274</v>
      </c>
      <c r="E4252" s="16" t="s">
        <v>26275</v>
      </c>
      <c r="F4252" s="16" t="s">
        <v>26276</v>
      </c>
      <c r="G4252" s="23" t="s">
        <v>43</v>
      </c>
      <c r="H4252" s="18" t="n">
        <v>3</v>
      </c>
      <c r="I4252" s="20" t="n">
        <v>97</v>
      </c>
      <c r="J4252" s="20" t="n">
        <v>97</v>
      </c>
      <c r="K4252" s="18" t="n">
        <v>6</v>
      </c>
      <c r="L4252" s="18" t="n">
        <v>2</v>
      </c>
      <c r="M4252" s="18" t="n">
        <v>58</v>
      </c>
      <c r="N4252" s="18" t="n">
        <v>18</v>
      </c>
      <c r="O4252" s="14" t="s">
        <v>3724</v>
      </c>
      <c r="P4252" s="14" t="s">
        <v>118</v>
      </c>
      <c r="Q4252" s="15" t="s">
        <v>1089</v>
      </c>
      <c r="R4252" s="16" t="s">
        <v>26277</v>
      </c>
      <c r="S4252" s="15" t="s">
        <v>26278</v>
      </c>
      <c r="T4252" s="15" t="s">
        <v>26278</v>
      </c>
      <c r="U4252" s="21" t="s">
        <v>72</v>
      </c>
    </row>
    <row r="4253" customFormat="false" ht="15" hidden="false" customHeight="false" outlineLevel="0" collapsed="false">
      <c r="A4253" s="15" t="s">
        <v>25918</v>
      </c>
      <c r="B4253" s="15" t="s">
        <v>26262</v>
      </c>
      <c r="C4253" s="14" t="s">
        <v>26279</v>
      </c>
      <c r="D4253" s="14" t="s">
        <v>26280</v>
      </c>
      <c r="E4253" s="16" t="s">
        <v>26281</v>
      </c>
      <c r="F4253" s="16" t="s">
        <v>26282</v>
      </c>
      <c r="G4253" s="19" t="s">
        <v>41</v>
      </c>
      <c r="H4253" s="18" t="n">
        <v>5</v>
      </c>
      <c r="I4253" s="20" t="n">
        <v>129.47</v>
      </c>
      <c r="J4253" s="20" t="n">
        <v>129.47</v>
      </c>
      <c r="K4253" s="18" t="n">
        <v>3</v>
      </c>
      <c r="L4253" s="18" t="n">
        <v>2</v>
      </c>
      <c r="M4253" s="18" t="n">
        <v>60</v>
      </c>
      <c r="N4253" s="18" t="n">
        <v>40</v>
      </c>
      <c r="O4253" s="14" t="s">
        <v>1097</v>
      </c>
      <c r="P4253" s="14" t="s">
        <v>118</v>
      </c>
      <c r="Q4253" s="15" t="s">
        <v>1089</v>
      </c>
      <c r="R4253" s="16" t="s">
        <v>16167</v>
      </c>
      <c r="S4253" s="15" t="s">
        <v>26283</v>
      </c>
      <c r="T4253" s="15" t="s">
        <v>26283</v>
      </c>
      <c r="U4253" s="21" t="s">
        <v>72</v>
      </c>
    </row>
    <row r="4254" customFormat="false" ht="15" hidden="false" customHeight="false" outlineLevel="0" collapsed="false">
      <c r="A4254" s="15" t="s">
        <v>25918</v>
      </c>
      <c r="B4254" s="15" t="s">
        <v>26284</v>
      </c>
      <c r="C4254" s="14" t="s">
        <v>26285</v>
      </c>
      <c r="D4254" s="14" t="s">
        <v>26286</v>
      </c>
      <c r="E4254" s="16" t="s">
        <v>26287</v>
      </c>
      <c r="F4254" s="16" t="s">
        <v>26288</v>
      </c>
      <c r="G4254" s="23" t="s">
        <v>43</v>
      </c>
      <c r="H4254" s="18" t="n">
        <v>1</v>
      </c>
      <c r="I4254" s="20" t="n">
        <v>59.42</v>
      </c>
      <c r="J4254" s="20" t="n">
        <v>59.42</v>
      </c>
      <c r="K4254" s="18" t="n">
        <v>2</v>
      </c>
      <c r="L4254" s="18" t="n">
        <v>2</v>
      </c>
      <c r="M4254" s="18" t="n">
        <v>20</v>
      </c>
      <c r="N4254" s="18" t="n">
        <v>20</v>
      </c>
      <c r="O4254" s="14" t="s">
        <v>1126</v>
      </c>
      <c r="P4254" s="14" t="s">
        <v>84</v>
      </c>
      <c r="Q4254" s="15" t="s">
        <v>1089</v>
      </c>
      <c r="R4254" s="16" t="s">
        <v>26289</v>
      </c>
      <c r="S4254" s="15" t="s">
        <v>3243</v>
      </c>
      <c r="T4254" s="15" t="s">
        <v>3243</v>
      </c>
      <c r="U4254" s="21" t="s">
        <v>72</v>
      </c>
    </row>
    <row r="4255" customFormat="false" ht="15" hidden="false" customHeight="false" outlineLevel="0" collapsed="false">
      <c r="A4255" s="15" t="s">
        <v>25918</v>
      </c>
      <c r="B4255" s="15" t="s">
        <v>26284</v>
      </c>
      <c r="C4255" s="14" t="s">
        <v>26290</v>
      </c>
      <c r="D4255" s="14" t="s">
        <v>26291</v>
      </c>
      <c r="E4255" s="16" t="s">
        <v>26292</v>
      </c>
      <c r="F4255" s="16" t="s">
        <v>26293</v>
      </c>
      <c r="G4255" s="23" t="s">
        <v>43</v>
      </c>
      <c r="H4255" s="18" t="n">
        <v>1</v>
      </c>
      <c r="I4255" s="20" t="n">
        <v>38</v>
      </c>
      <c r="J4255" s="20" t="n">
        <v>38</v>
      </c>
      <c r="K4255" s="18" t="n">
        <v>6</v>
      </c>
      <c r="L4255" s="18" t="n">
        <v>2</v>
      </c>
      <c r="M4255" s="18" t="n">
        <v>53</v>
      </c>
      <c r="N4255" s="18" t="n">
        <v>20</v>
      </c>
      <c r="O4255" s="14" t="s">
        <v>9118</v>
      </c>
      <c r="P4255" s="14" t="s">
        <v>118</v>
      </c>
      <c r="Q4255" s="15" t="s">
        <v>1089</v>
      </c>
      <c r="R4255" s="16" t="s">
        <v>26294</v>
      </c>
      <c r="S4255" s="15" t="s">
        <v>26295</v>
      </c>
      <c r="T4255" s="15" t="s">
        <v>26295</v>
      </c>
      <c r="U4255" s="21" t="s">
        <v>72</v>
      </c>
    </row>
    <row r="4256" customFormat="false" ht="39.55" hidden="false" customHeight="false" outlineLevel="0" collapsed="false">
      <c r="A4256" s="15" t="s">
        <v>25918</v>
      </c>
      <c r="B4256" s="15" t="s">
        <v>26284</v>
      </c>
      <c r="C4256" s="14" t="s">
        <v>26296</v>
      </c>
      <c r="D4256" s="14" t="s">
        <v>26297</v>
      </c>
      <c r="E4256" s="16" t="s">
        <v>26298</v>
      </c>
      <c r="F4256" s="16" t="s">
        <v>26299</v>
      </c>
      <c r="G4256" s="19" t="s">
        <v>41</v>
      </c>
      <c r="H4256" s="18" t="n">
        <v>5</v>
      </c>
      <c r="I4256" s="20" t="n">
        <v>154.03</v>
      </c>
      <c r="J4256" s="20" t="n">
        <v>154.03</v>
      </c>
      <c r="K4256" s="18" t="n">
        <v>17</v>
      </c>
      <c r="L4256" s="18" t="n">
        <v>7</v>
      </c>
      <c r="M4256" s="18" t="n">
        <v>166</v>
      </c>
      <c r="N4256" s="18" t="n">
        <v>26</v>
      </c>
      <c r="O4256" s="14" t="s">
        <v>1097</v>
      </c>
      <c r="P4256" s="14" t="s">
        <v>6233</v>
      </c>
      <c r="Q4256" s="15" t="s">
        <v>1089</v>
      </c>
      <c r="R4256" s="16" t="s">
        <v>26300</v>
      </c>
      <c r="S4256" s="15" t="s">
        <v>26301</v>
      </c>
      <c r="T4256" s="15" t="s">
        <v>26302</v>
      </c>
      <c r="U4256" s="21" t="s">
        <v>72</v>
      </c>
    </row>
    <row r="4257" customFormat="false" ht="15" hidden="false" customHeight="false" outlineLevel="0" collapsed="false">
      <c r="A4257" s="15" t="s">
        <v>25918</v>
      </c>
      <c r="B4257" s="15" t="s">
        <v>26284</v>
      </c>
      <c r="C4257" s="14" t="s">
        <v>26303</v>
      </c>
      <c r="D4257" s="14" t="s">
        <v>26304</v>
      </c>
      <c r="E4257" s="16" t="s">
        <v>26305</v>
      </c>
      <c r="F4257" s="16"/>
      <c r="G4257" s="19" t="s">
        <v>41</v>
      </c>
      <c r="H4257" s="18" t="n">
        <v>7</v>
      </c>
      <c r="I4257" s="20" t="n">
        <v>107.56</v>
      </c>
      <c r="J4257" s="20" t="n">
        <v>341.68</v>
      </c>
      <c r="K4257" s="18" t="n">
        <v>3</v>
      </c>
      <c r="L4257" s="18" t="n">
        <v>4</v>
      </c>
      <c r="M4257" s="18" t="n">
        <v>180</v>
      </c>
      <c r="N4257" s="18" t="n">
        <v>180</v>
      </c>
      <c r="O4257" s="14" t="s">
        <v>1097</v>
      </c>
      <c r="P4257" s="14" t="s">
        <v>84</v>
      </c>
      <c r="Q4257" s="15" t="s">
        <v>1089</v>
      </c>
      <c r="R4257" s="16" t="s">
        <v>26306</v>
      </c>
      <c r="S4257" s="15" t="s">
        <v>26307</v>
      </c>
      <c r="T4257" s="15" t="s">
        <v>26307</v>
      </c>
      <c r="U4257" s="21" t="s">
        <v>72</v>
      </c>
    </row>
    <row r="4258" customFormat="false" ht="15" hidden="false" customHeight="false" outlineLevel="0" collapsed="false">
      <c r="A4258" s="15" t="s">
        <v>25918</v>
      </c>
      <c r="B4258" s="15" t="s">
        <v>26284</v>
      </c>
      <c r="C4258" s="14" t="s">
        <v>26308</v>
      </c>
      <c r="D4258" s="14" t="s">
        <v>26309</v>
      </c>
      <c r="E4258" s="16" t="s">
        <v>26310</v>
      </c>
      <c r="F4258" s="16" t="s">
        <v>26311</v>
      </c>
      <c r="G4258" s="23" t="s">
        <v>43</v>
      </c>
      <c r="H4258" s="18" t="n">
        <v>1</v>
      </c>
      <c r="I4258" s="20" t="n">
        <v>138.75</v>
      </c>
      <c r="J4258" s="20" t="n">
        <v>138.75</v>
      </c>
      <c r="K4258" s="18" t="n">
        <v>3</v>
      </c>
      <c r="L4258" s="18" t="n">
        <v>2</v>
      </c>
      <c r="M4258" s="18" t="n">
        <v>45</v>
      </c>
      <c r="N4258" s="18" t="n">
        <v>15</v>
      </c>
      <c r="O4258" s="14" t="s">
        <v>1097</v>
      </c>
      <c r="P4258" s="14" t="s">
        <v>202</v>
      </c>
      <c r="Q4258" s="15" t="s">
        <v>1089</v>
      </c>
      <c r="R4258" s="16" t="s">
        <v>15751</v>
      </c>
      <c r="S4258" s="15" t="s">
        <v>26312</v>
      </c>
      <c r="T4258" s="15" t="s">
        <v>26312</v>
      </c>
      <c r="U4258" s="21" t="s">
        <v>72</v>
      </c>
    </row>
    <row r="4259" customFormat="false" ht="15" hidden="false" customHeight="false" outlineLevel="0" collapsed="false">
      <c r="A4259" s="15" t="s">
        <v>25918</v>
      </c>
      <c r="B4259" s="15" t="s">
        <v>26313</v>
      </c>
      <c r="C4259" s="14" t="s">
        <v>26314</v>
      </c>
      <c r="D4259" s="14" t="s">
        <v>26315</v>
      </c>
      <c r="E4259" s="16" t="s">
        <v>26316</v>
      </c>
      <c r="F4259" s="16" t="s">
        <v>25922</v>
      </c>
      <c r="G4259" s="19" t="s">
        <v>41</v>
      </c>
      <c r="H4259" s="18" t="n">
        <v>3</v>
      </c>
      <c r="I4259" s="20" t="n">
        <v>152.05</v>
      </c>
      <c r="J4259" s="20" t="n">
        <v>272.02</v>
      </c>
      <c r="K4259" s="18" t="n">
        <v>20</v>
      </c>
      <c r="L4259" s="18" t="n">
        <v>2</v>
      </c>
      <c r="M4259" s="18" t="n">
        <v>300</v>
      </c>
      <c r="N4259" s="18" t="n">
        <v>90</v>
      </c>
      <c r="O4259" s="14" t="s">
        <v>1126</v>
      </c>
      <c r="P4259" s="14" t="s">
        <v>118</v>
      </c>
      <c r="Q4259" s="15" t="s">
        <v>1089</v>
      </c>
      <c r="R4259" s="16" t="s">
        <v>16364</v>
      </c>
      <c r="S4259" s="15" t="s">
        <v>25833</v>
      </c>
      <c r="T4259" s="15" t="s">
        <v>17905</v>
      </c>
      <c r="U4259" s="21" t="s">
        <v>72</v>
      </c>
    </row>
    <row r="4260" customFormat="false" ht="15" hidden="false" customHeight="false" outlineLevel="0" collapsed="false">
      <c r="A4260" s="15" t="s">
        <v>25918</v>
      </c>
      <c r="B4260" s="15" t="s">
        <v>26313</v>
      </c>
      <c r="C4260" s="14" t="s">
        <v>26317</v>
      </c>
      <c r="D4260" s="14" t="s">
        <v>26318</v>
      </c>
      <c r="E4260" s="16" t="s">
        <v>26319</v>
      </c>
      <c r="F4260" s="16" t="s">
        <v>26320</v>
      </c>
      <c r="G4260" s="19" t="s">
        <v>41</v>
      </c>
      <c r="H4260" s="18" t="n">
        <v>5</v>
      </c>
      <c r="I4260" s="20" t="n">
        <v>67.4</v>
      </c>
      <c r="J4260" s="20" t="n">
        <v>191.43</v>
      </c>
      <c r="K4260" s="18" t="n">
        <v>2</v>
      </c>
      <c r="L4260" s="18" t="n">
        <v>2</v>
      </c>
      <c r="M4260" s="18" t="n">
        <v>40</v>
      </c>
      <c r="N4260" s="18" t="n">
        <v>40</v>
      </c>
      <c r="O4260" s="14" t="s">
        <v>9118</v>
      </c>
      <c r="P4260" s="14" t="s">
        <v>84</v>
      </c>
      <c r="Q4260" s="15" t="s">
        <v>1089</v>
      </c>
      <c r="R4260" s="16" t="s">
        <v>26321</v>
      </c>
      <c r="S4260" s="15" t="s">
        <v>26322</v>
      </c>
      <c r="T4260" s="15" t="s">
        <v>26322</v>
      </c>
      <c r="U4260" s="21" t="s">
        <v>72</v>
      </c>
    </row>
    <row r="4261" customFormat="false" ht="15" hidden="false" customHeight="false" outlineLevel="0" collapsed="false">
      <c r="A4261" s="15" t="s">
        <v>25918</v>
      </c>
      <c r="B4261" s="15" t="s">
        <v>26313</v>
      </c>
      <c r="C4261" s="14" t="s">
        <v>26323</v>
      </c>
      <c r="D4261" s="14" t="s">
        <v>26324</v>
      </c>
      <c r="E4261" s="16" t="s">
        <v>26325</v>
      </c>
      <c r="F4261" s="16"/>
      <c r="G4261" s="23" t="s">
        <v>43</v>
      </c>
      <c r="H4261" s="18" t="n">
        <v>3</v>
      </c>
      <c r="I4261" s="20" t="n">
        <v>57.43</v>
      </c>
      <c r="J4261" s="20" t="n">
        <v>154.24</v>
      </c>
      <c r="K4261" s="18" t="n">
        <v>2</v>
      </c>
      <c r="L4261" s="18" t="n">
        <v>7</v>
      </c>
      <c r="M4261" s="18" t="n">
        <v>40</v>
      </c>
      <c r="N4261" s="18" t="n">
        <v>40</v>
      </c>
      <c r="O4261" s="14" t="s">
        <v>1088</v>
      </c>
      <c r="P4261" s="14" t="s">
        <v>84</v>
      </c>
      <c r="Q4261" s="15" t="s">
        <v>1089</v>
      </c>
      <c r="R4261" s="16" t="s">
        <v>26326</v>
      </c>
      <c r="S4261" s="15" t="s">
        <v>26327</v>
      </c>
      <c r="T4261" s="15" t="s">
        <v>26328</v>
      </c>
      <c r="U4261" s="21" t="s">
        <v>72</v>
      </c>
    </row>
    <row r="4262" customFormat="false" ht="15" hidden="false" customHeight="false" outlineLevel="0" collapsed="false">
      <c r="A4262" s="15" t="s">
        <v>25918</v>
      </c>
      <c r="B4262" s="15" t="s">
        <v>26313</v>
      </c>
      <c r="C4262" s="14" t="s">
        <v>26329</v>
      </c>
      <c r="D4262" s="14" t="s">
        <v>26330</v>
      </c>
      <c r="E4262" s="16" t="s">
        <v>26331</v>
      </c>
      <c r="F4262" s="16" t="s">
        <v>26332</v>
      </c>
      <c r="G4262" s="23" t="s">
        <v>43</v>
      </c>
      <c r="H4262" s="18" t="n">
        <v>4</v>
      </c>
      <c r="I4262" s="20" t="n">
        <v>47.69</v>
      </c>
      <c r="J4262" s="20" t="n">
        <v>117</v>
      </c>
      <c r="K4262" s="18" t="n">
        <v>2</v>
      </c>
      <c r="L4262" s="18" t="n">
        <v>6</v>
      </c>
      <c r="M4262" s="18" t="n">
        <v>24</v>
      </c>
      <c r="N4262" s="18" t="n">
        <v>24</v>
      </c>
      <c r="O4262" s="14" t="s">
        <v>1126</v>
      </c>
      <c r="P4262" s="14" t="s">
        <v>118</v>
      </c>
      <c r="Q4262" s="15" t="s">
        <v>1089</v>
      </c>
      <c r="R4262" s="16" t="s">
        <v>20312</v>
      </c>
      <c r="S4262" s="15" t="s">
        <v>26333</v>
      </c>
      <c r="T4262" s="15" t="s">
        <v>26334</v>
      </c>
      <c r="U4262" s="21" t="s">
        <v>72</v>
      </c>
    </row>
    <row r="4263" customFormat="false" ht="15" hidden="false" customHeight="false" outlineLevel="0" collapsed="false">
      <c r="A4263" s="15" t="s">
        <v>25918</v>
      </c>
      <c r="B4263" s="15" t="s">
        <v>26313</v>
      </c>
      <c r="C4263" s="14" t="s">
        <v>26335</v>
      </c>
      <c r="D4263" s="14" t="s">
        <v>26336</v>
      </c>
      <c r="E4263" s="16" t="s">
        <v>26337</v>
      </c>
      <c r="F4263" s="16" t="s">
        <v>26338</v>
      </c>
      <c r="G4263" s="19" t="s">
        <v>41</v>
      </c>
      <c r="H4263" s="18" t="n">
        <v>5</v>
      </c>
      <c r="I4263" s="20" t="n">
        <v>159</v>
      </c>
      <c r="J4263" s="20" t="n">
        <v>159</v>
      </c>
      <c r="K4263" s="18" t="n">
        <v>18</v>
      </c>
      <c r="L4263" s="18" t="n">
        <v>6</v>
      </c>
      <c r="M4263" s="18" t="n">
        <v>229</v>
      </c>
      <c r="N4263" s="18" t="n">
        <v>86</v>
      </c>
      <c r="O4263" s="14" t="s">
        <v>1097</v>
      </c>
      <c r="P4263" s="14" t="s">
        <v>118</v>
      </c>
      <c r="Q4263" s="15" t="s">
        <v>1089</v>
      </c>
      <c r="R4263" s="16" t="s">
        <v>17802</v>
      </c>
      <c r="S4263" s="15" t="s">
        <v>26339</v>
      </c>
      <c r="T4263" s="15" t="s">
        <v>26339</v>
      </c>
      <c r="U4263" s="21" t="s">
        <v>72</v>
      </c>
    </row>
    <row r="4264" customFormat="false" ht="15" hidden="false" customHeight="false" outlineLevel="0" collapsed="false">
      <c r="A4264" s="15" t="s">
        <v>25918</v>
      </c>
      <c r="B4264" s="15" t="s">
        <v>26340</v>
      </c>
      <c r="C4264" s="14" t="s">
        <v>26341</v>
      </c>
      <c r="D4264" s="14" t="s">
        <v>26342</v>
      </c>
      <c r="E4264" s="16" t="s">
        <v>26343</v>
      </c>
      <c r="F4264" s="16"/>
      <c r="G4264" s="23" t="s">
        <v>43</v>
      </c>
      <c r="H4264" s="18" t="n">
        <v>4</v>
      </c>
      <c r="I4264" s="20" t="n">
        <v>153.69</v>
      </c>
      <c r="J4264" s="20" t="n">
        <v>153.69</v>
      </c>
      <c r="K4264" s="18" t="n">
        <v>3</v>
      </c>
      <c r="L4264" s="18" t="n">
        <v>2</v>
      </c>
      <c r="M4264" s="18" t="n">
        <v>100</v>
      </c>
      <c r="N4264" s="18" t="n">
        <v>20</v>
      </c>
      <c r="O4264" s="14" t="s">
        <v>1097</v>
      </c>
      <c r="P4264" s="14" t="s">
        <v>118</v>
      </c>
      <c r="Q4264" s="15" t="s">
        <v>1089</v>
      </c>
      <c r="R4264" s="16" t="s">
        <v>16196</v>
      </c>
      <c r="S4264" s="15" t="s">
        <v>26344</v>
      </c>
      <c r="T4264" s="15" t="s">
        <v>26344</v>
      </c>
      <c r="U4264" s="21" t="s">
        <v>72</v>
      </c>
    </row>
    <row r="4265" customFormat="false" ht="15" hidden="false" customHeight="false" outlineLevel="0" collapsed="false">
      <c r="A4265" s="15" t="s">
        <v>25918</v>
      </c>
      <c r="B4265" s="15" t="s">
        <v>26340</v>
      </c>
      <c r="C4265" s="14" t="s">
        <v>26345</v>
      </c>
      <c r="D4265" s="14" t="s">
        <v>26346</v>
      </c>
      <c r="E4265" s="16" t="s">
        <v>25554</v>
      </c>
      <c r="F4265" s="16" t="s">
        <v>26347</v>
      </c>
      <c r="G4265" s="23" t="s">
        <v>43</v>
      </c>
      <c r="H4265" s="18" t="n">
        <v>2</v>
      </c>
      <c r="I4265" s="20" t="n">
        <v>44.81</v>
      </c>
      <c r="J4265" s="20" t="n">
        <v>89.1</v>
      </c>
      <c r="K4265" s="18" t="n">
        <v>6</v>
      </c>
      <c r="L4265" s="18" t="n">
        <v>2</v>
      </c>
      <c r="M4265" s="18" t="n">
        <v>90</v>
      </c>
      <c r="N4265" s="18" t="n">
        <v>30</v>
      </c>
      <c r="O4265" s="14" t="s">
        <v>1097</v>
      </c>
      <c r="P4265" s="14" t="s">
        <v>118</v>
      </c>
      <c r="Q4265" s="15" t="s">
        <v>1089</v>
      </c>
      <c r="R4265" s="16" t="s">
        <v>10518</v>
      </c>
      <c r="S4265" s="15" t="s">
        <v>26348</v>
      </c>
      <c r="T4265" s="15" t="s">
        <v>26348</v>
      </c>
      <c r="U4265" s="21" t="s">
        <v>72</v>
      </c>
    </row>
    <row r="4266" customFormat="false" ht="15" hidden="false" customHeight="false" outlineLevel="0" collapsed="false">
      <c r="A4266" s="15" t="s">
        <v>25918</v>
      </c>
      <c r="B4266" s="15" t="s">
        <v>26340</v>
      </c>
      <c r="C4266" s="14" t="s">
        <v>26349</v>
      </c>
      <c r="D4266" s="14" t="s">
        <v>26350</v>
      </c>
      <c r="E4266" s="16" t="s">
        <v>26351</v>
      </c>
      <c r="F4266" s="16"/>
      <c r="G4266" s="23" t="s">
        <v>43</v>
      </c>
      <c r="H4266" s="18" t="n">
        <v>3</v>
      </c>
      <c r="I4266" s="20" t="n">
        <v>30.1</v>
      </c>
      <c r="J4266" s="20" t="n">
        <v>87.87</v>
      </c>
      <c r="K4266" s="18" t="n">
        <v>2</v>
      </c>
      <c r="L4266" s="18" t="n">
        <v>2</v>
      </c>
      <c r="M4266" s="18" t="n">
        <v>30</v>
      </c>
      <c r="N4266" s="18" t="n">
        <v>15</v>
      </c>
      <c r="O4266" s="14" t="s">
        <v>1126</v>
      </c>
      <c r="P4266" s="14" t="s">
        <v>118</v>
      </c>
      <c r="Q4266" s="15" t="s">
        <v>1089</v>
      </c>
      <c r="R4266" s="16" t="s">
        <v>17642</v>
      </c>
      <c r="S4266" s="15" t="s">
        <v>26352</v>
      </c>
      <c r="T4266" s="15" t="s">
        <v>26353</v>
      </c>
      <c r="U4266" s="21" t="s">
        <v>72</v>
      </c>
    </row>
    <row r="4267" customFormat="false" ht="15" hidden="false" customHeight="false" outlineLevel="0" collapsed="false">
      <c r="A4267" s="15" t="s">
        <v>25918</v>
      </c>
      <c r="B4267" s="15" t="s">
        <v>26354</v>
      </c>
      <c r="C4267" s="14" t="s">
        <v>26355</v>
      </c>
      <c r="D4267" s="14" t="s">
        <v>26356</v>
      </c>
      <c r="E4267" s="16" t="s">
        <v>26357</v>
      </c>
      <c r="F4267" s="16" t="s">
        <v>26358</v>
      </c>
      <c r="G4267" s="23" t="s">
        <v>43</v>
      </c>
      <c r="H4267" s="18" t="n">
        <v>3</v>
      </c>
      <c r="I4267" s="20" t="n">
        <v>52</v>
      </c>
      <c r="J4267" s="20" t="n">
        <v>102.38</v>
      </c>
      <c r="K4267" s="18" t="n">
        <v>9</v>
      </c>
      <c r="L4267" s="18" t="n">
        <v>5</v>
      </c>
      <c r="M4267" s="18" t="n">
        <v>116</v>
      </c>
      <c r="N4267" s="18" t="n">
        <v>56</v>
      </c>
      <c r="O4267" s="14" t="s">
        <v>1088</v>
      </c>
      <c r="P4267" s="14" t="s">
        <v>202</v>
      </c>
      <c r="Q4267" s="15" t="s">
        <v>1089</v>
      </c>
      <c r="R4267" s="16" t="s">
        <v>26359</v>
      </c>
      <c r="S4267" s="15" t="s">
        <v>25345</v>
      </c>
      <c r="T4267" s="15" t="s">
        <v>26360</v>
      </c>
      <c r="U4267" s="21" t="s">
        <v>72</v>
      </c>
    </row>
    <row r="4268" customFormat="false" ht="15" hidden="false" customHeight="false" outlineLevel="0" collapsed="false">
      <c r="A4268" s="15" t="s">
        <v>25918</v>
      </c>
      <c r="B4268" s="15" t="s">
        <v>26354</v>
      </c>
      <c r="C4268" s="14" t="s">
        <v>26361</v>
      </c>
      <c r="D4268" s="14" t="s">
        <v>26362</v>
      </c>
      <c r="E4268" s="16" t="s">
        <v>26363</v>
      </c>
      <c r="F4268" s="16" t="s">
        <v>26364</v>
      </c>
      <c r="G4268" s="23" t="s">
        <v>43</v>
      </c>
      <c r="H4268" s="18" t="n">
        <v>3</v>
      </c>
      <c r="I4268" s="20" t="n">
        <v>116.97</v>
      </c>
      <c r="J4268" s="20" t="n">
        <v>134.02</v>
      </c>
      <c r="K4268" s="18" t="n">
        <v>10</v>
      </c>
      <c r="L4268" s="18" t="n">
        <v>3</v>
      </c>
      <c r="M4268" s="18" t="n">
        <v>100</v>
      </c>
      <c r="N4268" s="18" t="n">
        <v>30</v>
      </c>
      <c r="O4268" s="14" t="s">
        <v>6448</v>
      </c>
      <c r="P4268" s="14" t="s">
        <v>118</v>
      </c>
      <c r="Q4268" s="15" t="s">
        <v>1089</v>
      </c>
      <c r="R4268" s="16" t="s">
        <v>26365</v>
      </c>
      <c r="S4268" s="15" t="s">
        <v>26366</v>
      </c>
      <c r="T4268" s="15" t="s">
        <v>26366</v>
      </c>
      <c r="U4268" s="21" t="s">
        <v>72</v>
      </c>
    </row>
    <row r="4269" customFormat="false" ht="15" hidden="false" customHeight="false" outlineLevel="0" collapsed="false">
      <c r="A4269" s="15" t="s">
        <v>25918</v>
      </c>
      <c r="B4269" s="15" t="s">
        <v>26354</v>
      </c>
      <c r="C4269" s="14" t="s">
        <v>26367</v>
      </c>
      <c r="D4269" s="14" t="s">
        <v>26368</v>
      </c>
      <c r="E4269" s="16" t="s">
        <v>26369</v>
      </c>
      <c r="F4269" s="16" t="s">
        <v>26370</v>
      </c>
      <c r="G4269" s="23" t="s">
        <v>43</v>
      </c>
      <c r="H4269" s="18" t="n">
        <v>2</v>
      </c>
      <c r="I4269" s="20" t="n">
        <v>68.18</v>
      </c>
      <c r="J4269" s="20" t="n">
        <v>138.48</v>
      </c>
      <c r="K4269" s="18" t="n">
        <v>4</v>
      </c>
      <c r="L4269" s="18" t="n">
        <v>1</v>
      </c>
      <c r="M4269" s="18" t="n">
        <v>37</v>
      </c>
      <c r="N4269" s="18" t="n">
        <v>16</v>
      </c>
      <c r="O4269" s="14" t="s">
        <v>1097</v>
      </c>
      <c r="P4269" s="14" t="s">
        <v>118</v>
      </c>
      <c r="Q4269" s="15" t="s">
        <v>1089</v>
      </c>
      <c r="R4269" s="16" t="s">
        <v>26371</v>
      </c>
      <c r="S4269" s="15" t="s">
        <v>26372</v>
      </c>
      <c r="T4269" s="15" t="s">
        <v>26372</v>
      </c>
      <c r="U4269" s="21" t="s">
        <v>72</v>
      </c>
    </row>
    <row r="4270" customFormat="false" ht="15" hidden="false" customHeight="false" outlineLevel="0" collapsed="false">
      <c r="A4270" s="15" t="s">
        <v>25918</v>
      </c>
      <c r="B4270" s="15" t="s">
        <v>26373</v>
      </c>
      <c r="C4270" s="14" t="s">
        <v>26374</v>
      </c>
      <c r="D4270" s="14" t="s">
        <v>26375</v>
      </c>
      <c r="E4270" s="16" t="s">
        <v>26376</v>
      </c>
      <c r="F4270" s="16" t="s">
        <v>26377</v>
      </c>
      <c r="G4270" s="23" t="s">
        <v>43</v>
      </c>
      <c r="H4270" s="18" t="n">
        <v>2</v>
      </c>
      <c r="I4270" s="20" t="n">
        <v>96.14</v>
      </c>
      <c r="J4270" s="20" t="n">
        <v>34.32</v>
      </c>
      <c r="K4270" s="18" t="n">
        <v>3</v>
      </c>
      <c r="L4270" s="18" t="n">
        <v>1</v>
      </c>
      <c r="M4270" s="18" t="n">
        <v>75</v>
      </c>
      <c r="N4270" s="18" t="n">
        <v>25</v>
      </c>
      <c r="O4270" s="14" t="s">
        <v>1088</v>
      </c>
      <c r="P4270" s="14" t="s">
        <v>118</v>
      </c>
      <c r="Q4270" s="15" t="s">
        <v>1089</v>
      </c>
      <c r="R4270" s="16" t="s">
        <v>26378</v>
      </c>
      <c r="S4270" s="15" t="s">
        <v>26379</v>
      </c>
      <c r="T4270" s="15" t="s">
        <v>26379</v>
      </c>
      <c r="U4270" s="21" t="s">
        <v>72</v>
      </c>
    </row>
    <row r="4271" customFormat="false" ht="26.85" hidden="false" customHeight="false" outlineLevel="0" collapsed="false">
      <c r="A4271" s="15" t="s">
        <v>25918</v>
      </c>
      <c r="B4271" s="15" t="s">
        <v>26373</v>
      </c>
      <c r="C4271" s="14" t="s">
        <v>26380</v>
      </c>
      <c r="D4271" s="14" t="s">
        <v>26381</v>
      </c>
      <c r="E4271" s="16" t="s">
        <v>26382</v>
      </c>
      <c r="F4271" s="16" t="s">
        <v>26383</v>
      </c>
      <c r="G4271" s="23" t="s">
        <v>43</v>
      </c>
      <c r="H4271" s="18" t="n">
        <v>3</v>
      </c>
      <c r="I4271" s="20" t="n">
        <v>114.25</v>
      </c>
      <c r="J4271" s="20" t="n">
        <v>114.25</v>
      </c>
      <c r="K4271" s="18" t="n">
        <v>6</v>
      </c>
      <c r="L4271" s="18" t="n">
        <v>1</v>
      </c>
      <c r="M4271" s="18" t="n">
        <v>42</v>
      </c>
      <c r="N4271" s="18" t="n">
        <v>8</v>
      </c>
      <c r="O4271" s="14" t="s">
        <v>1097</v>
      </c>
      <c r="P4271" s="14" t="s">
        <v>872</v>
      </c>
      <c r="Q4271" s="15" t="s">
        <v>1089</v>
      </c>
      <c r="R4271" s="16" t="s">
        <v>26384</v>
      </c>
      <c r="S4271" s="15" t="s">
        <v>26385</v>
      </c>
      <c r="T4271" s="15" t="s">
        <v>26386</v>
      </c>
      <c r="U4271" s="21" t="s">
        <v>72</v>
      </c>
    </row>
    <row r="4272" customFormat="false" ht="15" hidden="false" customHeight="false" outlineLevel="0" collapsed="false">
      <c r="A4272" s="15" t="s">
        <v>25918</v>
      </c>
      <c r="B4272" s="15" t="s">
        <v>26373</v>
      </c>
      <c r="C4272" s="14" t="s">
        <v>26387</v>
      </c>
      <c r="D4272" s="14" t="s">
        <v>26388</v>
      </c>
      <c r="E4272" s="16" t="s">
        <v>26389</v>
      </c>
      <c r="F4272" s="16" t="s">
        <v>26390</v>
      </c>
      <c r="G4272" s="23" t="s">
        <v>43</v>
      </c>
      <c r="H4272" s="18" t="n">
        <v>2</v>
      </c>
      <c r="I4272" s="20" t="n">
        <v>60</v>
      </c>
      <c r="J4272" s="20" t="n">
        <v>196.25</v>
      </c>
      <c r="K4272" s="18" t="n">
        <v>4</v>
      </c>
      <c r="L4272" s="18" t="n">
        <v>5</v>
      </c>
      <c r="M4272" s="18" t="n">
        <v>60</v>
      </c>
      <c r="N4272" s="18" t="n">
        <v>45</v>
      </c>
      <c r="O4272" s="14" t="s">
        <v>1126</v>
      </c>
      <c r="P4272" s="14" t="s">
        <v>202</v>
      </c>
      <c r="Q4272" s="15" t="s">
        <v>1089</v>
      </c>
      <c r="R4272" s="16" t="s">
        <v>26391</v>
      </c>
      <c r="S4272" s="15" t="s">
        <v>26392</v>
      </c>
      <c r="T4272" s="15" t="s">
        <v>26393</v>
      </c>
      <c r="U4272" s="21" t="s">
        <v>72</v>
      </c>
    </row>
    <row r="4273" customFormat="false" ht="15" hidden="false" customHeight="false" outlineLevel="0" collapsed="false">
      <c r="A4273" s="15" t="s">
        <v>25918</v>
      </c>
      <c r="B4273" s="15" t="s">
        <v>26373</v>
      </c>
      <c r="C4273" s="14" t="s">
        <v>26394</v>
      </c>
      <c r="D4273" s="14" t="s">
        <v>26395</v>
      </c>
      <c r="E4273" s="16" t="s">
        <v>26396</v>
      </c>
      <c r="F4273" s="16" t="s">
        <v>26397</v>
      </c>
      <c r="G4273" s="19" t="s">
        <v>41</v>
      </c>
      <c r="H4273" s="18" t="n">
        <v>6</v>
      </c>
      <c r="I4273" s="20" t="n">
        <v>45.04</v>
      </c>
      <c r="J4273" s="20" t="n">
        <v>133.04</v>
      </c>
      <c r="K4273" s="18" t="n">
        <v>2</v>
      </c>
      <c r="L4273" s="18" t="n">
        <v>8</v>
      </c>
      <c r="M4273" s="18" t="n">
        <v>60</v>
      </c>
      <c r="N4273" s="18" t="n">
        <v>30</v>
      </c>
      <c r="O4273" s="14" t="s">
        <v>1088</v>
      </c>
      <c r="P4273" s="14" t="s">
        <v>118</v>
      </c>
      <c r="Q4273" s="15" t="s">
        <v>1089</v>
      </c>
      <c r="R4273" s="16" t="s">
        <v>15430</v>
      </c>
      <c r="S4273" s="15" t="s">
        <v>26398</v>
      </c>
      <c r="T4273" s="15" t="s">
        <v>26398</v>
      </c>
      <c r="U4273" s="21" t="s">
        <v>72</v>
      </c>
    </row>
    <row r="4274" customFormat="false" ht="15" hidden="false" customHeight="false" outlineLevel="0" collapsed="false">
      <c r="A4274" s="15" t="s">
        <v>25918</v>
      </c>
      <c r="B4274" s="15" t="s">
        <v>26399</v>
      </c>
      <c r="C4274" s="14" t="s">
        <v>26400</v>
      </c>
      <c r="D4274" s="14" t="s">
        <v>26401</v>
      </c>
      <c r="E4274" s="16" t="s">
        <v>26402</v>
      </c>
      <c r="F4274" s="16"/>
      <c r="G4274" s="19" t="s">
        <v>41</v>
      </c>
      <c r="H4274" s="18" t="n">
        <v>3</v>
      </c>
      <c r="I4274" s="20" t="n">
        <v>192</v>
      </c>
      <c r="J4274" s="20" t="n">
        <v>249.6</v>
      </c>
      <c r="K4274" s="18" t="n">
        <v>2</v>
      </c>
      <c r="L4274" s="18" t="n">
        <v>2</v>
      </c>
      <c r="M4274" s="18" t="n">
        <v>30</v>
      </c>
      <c r="N4274" s="18" t="n">
        <v>30</v>
      </c>
      <c r="O4274" s="14" t="s">
        <v>1126</v>
      </c>
      <c r="P4274" s="14" t="s">
        <v>84</v>
      </c>
      <c r="Q4274" s="15" t="s">
        <v>1089</v>
      </c>
      <c r="R4274" s="16" t="s">
        <v>26403</v>
      </c>
      <c r="S4274" s="15" t="s">
        <v>26404</v>
      </c>
      <c r="T4274" s="15" t="s">
        <v>26404</v>
      </c>
      <c r="U4274" s="21" t="s">
        <v>72</v>
      </c>
    </row>
    <row r="4275" customFormat="false" ht="39.55" hidden="false" customHeight="false" outlineLevel="0" collapsed="false">
      <c r="A4275" s="15" t="s">
        <v>25918</v>
      </c>
      <c r="B4275" s="15" t="s">
        <v>26399</v>
      </c>
      <c r="C4275" s="14" t="s">
        <v>26405</v>
      </c>
      <c r="D4275" s="14" t="s">
        <v>26406</v>
      </c>
      <c r="E4275" s="16" t="s">
        <v>26407</v>
      </c>
      <c r="F4275" s="16" t="s">
        <v>26408</v>
      </c>
      <c r="G4275" s="23" t="s">
        <v>43</v>
      </c>
      <c r="H4275" s="18" t="n">
        <v>2</v>
      </c>
      <c r="I4275" s="20" t="n">
        <v>67.2</v>
      </c>
      <c r="J4275" s="20" t="n">
        <v>94.2</v>
      </c>
      <c r="K4275" s="18" t="n">
        <v>17</v>
      </c>
      <c r="L4275" s="18" t="n">
        <v>4</v>
      </c>
      <c r="M4275" s="18" t="n">
        <v>166</v>
      </c>
      <c r="N4275" s="18" t="n">
        <v>26</v>
      </c>
      <c r="O4275" s="14" t="s">
        <v>1097</v>
      </c>
      <c r="P4275" s="14" t="s">
        <v>6233</v>
      </c>
      <c r="Q4275" s="15" t="s">
        <v>1089</v>
      </c>
      <c r="R4275" s="16" t="s">
        <v>26409</v>
      </c>
      <c r="S4275" s="15" t="s">
        <v>26301</v>
      </c>
      <c r="T4275" s="15" t="s">
        <v>26301</v>
      </c>
      <c r="U4275" s="21" t="s">
        <v>72</v>
      </c>
    </row>
    <row r="4276" customFormat="false" ht="26.85" hidden="false" customHeight="false" outlineLevel="0" collapsed="false">
      <c r="A4276" s="15" t="s">
        <v>25918</v>
      </c>
      <c r="B4276" s="15" t="s">
        <v>26410</v>
      </c>
      <c r="C4276" s="14" t="s">
        <v>26411</v>
      </c>
      <c r="D4276" s="14" t="s">
        <v>26412</v>
      </c>
      <c r="E4276" s="16" t="s">
        <v>26413</v>
      </c>
      <c r="F4276" s="16" t="s">
        <v>26414</v>
      </c>
      <c r="G4276" s="23" t="s">
        <v>43</v>
      </c>
      <c r="H4276" s="18" t="n">
        <v>2</v>
      </c>
      <c r="I4276" s="20" t="n">
        <v>81.97</v>
      </c>
      <c r="J4276" s="20" t="n">
        <v>81.97</v>
      </c>
      <c r="K4276" s="18" t="n">
        <v>4</v>
      </c>
      <c r="L4276" s="18" t="n">
        <v>3</v>
      </c>
      <c r="M4276" s="18" t="n">
        <v>80</v>
      </c>
      <c r="N4276" s="18" t="n">
        <v>20</v>
      </c>
      <c r="O4276" s="14" t="s">
        <v>1097</v>
      </c>
      <c r="P4276" s="14" t="s">
        <v>8321</v>
      </c>
      <c r="Q4276" s="15" t="s">
        <v>1089</v>
      </c>
      <c r="R4276" s="16" t="s">
        <v>18653</v>
      </c>
      <c r="S4276" s="15" t="s">
        <v>26415</v>
      </c>
      <c r="T4276" s="15" t="s">
        <v>26416</v>
      </c>
      <c r="U4276" s="21" t="s">
        <v>72</v>
      </c>
    </row>
    <row r="4277" customFormat="false" ht="26.85" hidden="false" customHeight="false" outlineLevel="0" collapsed="false">
      <c r="A4277" s="15" t="s">
        <v>25918</v>
      </c>
      <c r="B4277" s="15" t="s">
        <v>26410</v>
      </c>
      <c r="C4277" s="14" t="s">
        <v>26417</v>
      </c>
      <c r="D4277" s="14" t="s">
        <v>26418</v>
      </c>
      <c r="E4277" s="16" t="s">
        <v>26419</v>
      </c>
      <c r="F4277" s="16" t="s">
        <v>26420</v>
      </c>
      <c r="G4277" s="23" t="s">
        <v>43</v>
      </c>
      <c r="H4277" s="18" t="n">
        <v>4</v>
      </c>
      <c r="I4277" s="20" t="n">
        <v>166.92</v>
      </c>
      <c r="J4277" s="20" t="n">
        <v>166.92</v>
      </c>
      <c r="K4277" s="18" t="n">
        <v>11</v>
      </c>
      <c r="L4277" s="18" t="n">
        <v>2</v>
      </c>
      <c r="M4277" s="18" t="n">
        <v>150</v>
      </c>
      <c r="N4277" s="18" t="n">
        <v>60</v>
      </c>
      <c r="O4277" s="14" t="s">
        <v>5962</v>
      </c>
      <c r="P4277" s="14" t="s">
        <v>352</v>
      </c>
      <c r="Q4277" s="15" t="s">
        <v>1089</v>
      </c>
      <c r="R4277" s="16" t="s">
        <v>26421</v>
      </c>
      <c r="S4277" s="15" t="s">
        <v>26422</v>
      </c>
      <c r="T4277" s="15" t="s">
        <v>26423</v>
      </c>
      <c r="U4277" s="21" t="s">
        <v>72</v>
      </c>
    </row>
    <row r="4278" customFormat="false" ht="15" hidden="false" customHeight="false" outlineLevel="0" collapsed="false">
      <c r="A4278" s="15" t="s">
        <v>25918</v>
      </c>
      <c r="B4278" s="15" t="s">
        <v>26410</v>
      </c>
      <c r="C4278" s="14" t="s">
        <v>26424</v>
      </c>
      <c r="D4278" s="14" t="s">
        <v>26425</v>
      </c>
      <c r="E4278" s="16" t="s">
        <v>26426</v>
      </c>
      <c r="F4278" s="16" t="s">
        <v>26427</v>
      </c>
      <c r="G4278" s="23" t="s">
        <v>43</v>
      </c>
      <c r="H4278" s="18" t="n">
        <v>2</v>
      </c>
      <c r="I4278" s="20" t="n">
        <v>31.22</v>
      </c>
      <c r="J4278" s="20" t="n">
        <v>94.62</v>
      </c>
      <c r="K4278" s="18" t="n">
        <v>5</v>
      </c>
      <c r="L4278" s="18" t="n">
        <v>1</v>
      </c>
      <c r="M4278" s="18" t="n">
        <v>105</v>
      </c>
      <c r="N4278" s="18" t="n">
        <v>45</v>
      </c>
      <c r="O4278" s="14" t="s">
        <v>6448</v>
      </c>
      <c r="P4278" s="14" t="s">
        <v>118</v>
      </c>
      <c r="Q4278" s="15" t="s">
        <v>1089</v>
      </c>
      <c r="R4278" s="16" t="s">
        <v>26428</v>
      </c>
      <c r="S4278" s="15" t="s">
        <v>26429</v>
      </c>
      <c r="T4278" s="15" t="s">
        <v>26429</v>
      </c>
      <c r="U4278" s="21" t="s">
        <v>72</v>
      </c>
    </row>
    <row r="4279" customFormat="false" ht="15" hidden="false" customHeight="false" outlineLevel="0" collapsed="false">
      <c r="A4279" s="15" t="s">
        <v>25918</v>
      </c>
      <c r="B4279" s="15" t="s">
        <v>26410</v>
      </c>
      <c r="C4279" s="14" t="s">
        <v>26430</v>
      </c>
      <c r="D4279" s="14" t="s">
        <v>26431</v>
      </c>
      <c r="E4279" s="16" t="s">
        <v>26432</v>
      </c>
      <c r="F4279" s="16" t="s">
        <v>26433</v>
      </c>
      <c r="G4279" s="23" t="s">
        <v>43</v>
      </c>
      <c r="H4279" s="18" t="n">
        <v>2</v>
      </c>
      <c r="I4279" s="20" t="n">
        <v>44.35</v>
      </c>
      <c r="J4279" s="20" t="n">
        <v>51.35</v>
      </c>
      <c r="K4279" s="18" t="n">
        <v>2</v>
      </c>
      <c r="L4279" s="18" t="n">
        <v>1</v>
      </c>
      <c r="M4279" s="18" t="n">
        <v>36</v>
      </c>
      <c r="N4279" s="18" t="n">
        <v>36</v>
      </c>
      <c r="O4279" s="14" t="s">
        <v>1126</v>
      </c>
      <c r="P4279" s="14" t="s">
        <v>84</v>
      </c>
      <c r="Q4279" s="15" t="s">
        <v>1089</v>
      </c>
      <c r="R4279" s="16" t="s">
        <v>6094</v>
      </c>
      <c r="S4279" s="15" t="s">
        <v>26434</v>
      </c>
      <c r="T4279" s="15" t="s">
        <v>26434</v>
      </c>
      <c r="U4279" s="21" t="s">
        <v>72</v>
      </c>
    </row>
    <row r="4280" customFormat="false" ht="15" hidden="false" customHeight="false" outlineLevel="0" collapsed="false">
      <c r="A4280" s="15" t="s">
        <v>25918</v>
      </c>
      <c r="B4280" s="15" t="s">
        <v>26410</v>
      </c>
      <c r="C4280" s="14" t="s">
        <v>26435</v>
      </c>
      <c r="D4280" s="14" t="s">
        <v>26436</v>
      </c>
      <c r="E4280" s="16" t="s">
        <v>26437</v>
      </c>
      <c r="F4280" s="16"/>
      <c r="G4280" s="23" t="s">
        <v>43</v>
      </c>
      <c r="H4280" s="18" t="n">
        <v>2</v>
      </c>
      <c r="I4280" s="20" t="n">
        <v>46.2</v>
      </c>
      <c r="J4280" s="20" t="n">
        <v>74.47</v>
      </c>
      <c r="K4280" s="18" t="n">
        <v>11</v>
      </c>
      <c r="L4280" s="18" t="n">
        <v>2</v>
      </c>
      <c r="M4280" s="18" t="n">
        <v>120</v>
      </c>
      <c r="N4280" s="18" t="n">
        <v>90</v>
      </c>
      <c r="O4280" s="14" t="s">
        <v>1097</v>
      </c>
      <c r="P4280" s="14" t="s">
        <v>118</v>
      </c>
      <c r="Q4280" s="15" t="s">
        <v>1089</v>
      </c>
      <c r="R4280" s="16" t="s">
        <v>25928</v>
      </c>
      <c r="S4280" s="15" t="s">
        <v>26438</v>
      </c>
      <c r="T4280" s="15" t="s">
        <v>26438</v>
      </c>
      <c r="U4280" s="21" t="s">
        <v>72</v>
      </c>
    </row>
    <row r="4281" customFormat="false" ht="26.85" hidden="false" customHeight="false" outlineLevel="0" collapsed="false">
      <c r="A4281" s="15" t="s">
        <v>25918</v>
      </c>
      <c r="B4281" s="15" t="s">
        <v>26410</v>
      </c>
      <c r="C4281" s="14" t="s">
        <v>26439</v>
      </c>
      <c r="D4281" s="14" t="s">
        <v>26440</v>
      </c>
      <c r="E4281" s="16" t="s">
        <v>26441</v>
      </c>
      <c r="F4281" s="16" t="s">
        <v>26442</v>
      </c>
      <c r="G4281" s="19" t="s">
        <v>41</v>
      </c>
      <c r="H4281" s="18" t="n">
        <v>2</v>
      </c>
      <c r="I4281" s="20" t="n">
        <v>128.85</v>
      </c>
      <c r="J4281" s="20" t="n">
        <v>230.57</v>
      </c>
      <c r="K4281" s="18" t="n">
        <v>14</v>
      </c>
      <c r="L4281" s="18" t="n">
        <v>9</v>
      </c>
      <c r="M4281" s="18" t="n">
        <v>420</v>
      </c>
      <c r="N4281" s="18" t="n">
        <v>60</v>
      </c>
      <c r="O4281" s="14" t="s">
        <v>1097</v>
      </c>
      <c r="P4281" s="14" t="s">
        <v>26443</v>
      </c>
      <c r="Q4281" s="15" t="s">
        <v>1089</v>
      </c>
      <c r="R4281" s="16" t="s">
        <v>26444</v>
      </c>
      <c r="S4281" s="15" t="s">
        <v>26445</v>
      </c>
      <c r="T4281" s="15" t="s">
        <v>26446</v>
      </c>
      <c r="U4281" s="21" t="s">
        <v>72</v>
      </c>
    </row>
    <row r="4282" customFormat="false" ht="15" hidden="false" customHeight="false" outlineLevel="0" collapsed="false">
      <c r="A4282" s="15" t="s">
        <v>25918</v>
      </c>
      <c r="B4282" s="15" t="s">
        <v>26410</v>
      </c>
      <c r="C4282" s="14" t="s">
        <v>26447</v>
      </c>
      <c r="D4282" s="14" t="s">
        <v>26448</v>
      </c>
      <c r="E4282" s="16" t="s">
        <v>26449</v>
      </c>
      <c r="F4282" s="16" t="s">
        <v>26450</v>
      </c>
      <c r="G4282" s="23" t="s">
        <v>43</v>
      </c>
      <c r="H4282" s="18" t="n">
        <v>4</v>
      </c>
      <c r="I4282" s="20" t="n">
        <v>65.02</v>
      </c>
      <c r="J4282" s="20" t="n">
        <v>97.32</v>
      </c>
      <c r="K4282" s="18" t="n">
        <v>3</v>
      </c>
      <c r="L4282" s="18" t="n">
        <v>3</v>
      </c>
      <c r="M4282" s="18" t="n">
        <v>75</v>
      </c>
      <c r="N4282" s="18" t="n">
        <v>25</v>
      </c>
      <c r="O4282" s="14" t="s">
        <v>1097</v>
      </c>
      <c r="P4282" s="14" t="s">
        <v>118</v>
      </c>
      <c r="Q4282" s="15" t="s">
        <v>1089</v>
      </c>
      <c r="R4282" s="16" t="s">
        <v>17284</v>
      </c>
      <c r="S4282" s="15" t="s">
        <v>26451</v>
      </c>
      <c r="T4282" s="15" t="s">
        <v>26451</v>
      </c>
      <c r="U4282" s="21" t="s">
        <v>72</v>
      </c>
    </row>
    <row r="4283" customFormat="false" ht="15" hidden="false" customHeight="false" outlineLevel="0" collapsed="false">
      <c r="A4283" s="15" t="s">
        <v>25918</v>
      </c>
      <c r="B4283" s="15" t="s">
        <v>26410</v>
      </c>
      <c r="C4283" s="14" t="s">
        <v>26452</v>
      </c>
      <c r="D4283" s="14" t="s">
        <v>26453</v>
      </c>
      <c r="E4283" s="16" t="s">
        <v>26454</v>
      </c>
      <c r="F4283" s="16"/>
      <c r="G4283" s="23" t="s">
        <v>43</v>
      </c>
      <c r="H4283" s="18" t="n">
        <v>4</v>
      </c>
      <c r="I4283" s="20" t="n">
        <v>65.94</v>
      </c>
      <c r="J4283" s="20" t="n">
        <v>89.04</v>
      </c>
      <c r="K4283" s="18" t="n">
        <v>7</v>
      </c>
      <c r="L4283" s="18" t="n">
        <v>4</v>
      </c>
      <c r="M4283" s="18" t="n">
        <v>70</v>
      </c>
      <c r="N4283" s="18" t="n">
        <v>20</v>
      </c>
      <c r="O4283" s="14" t="s">
        <v>1097</v>
      </c>
      <c r="P4283" s="14" t="s">
        <v>118</v>
      </c>
      <c r="Q4283" s="15" t="s">
        <v>1089</v>
      </c>
      <c r="R4283" s="16" t="s">
        <v>26455</v>
      </c>
      <c r="S4283" s="15" t="s">
        <v>26456</v>
      </c>
      <c r="T4283" s="15" t="s">
        <v>26457</v>
      </c>
      <c r="U4283" s="21" t="s">
        <v>72</v>
      </c>
    </row>
    <row r="4284" customFormat="false" ht="26.85" hidden="false" customHeight="false" outlineLevel="0" collapsed="false">
      <c r="A4284" s="15" t="s">
        <v>25918</v>
      </c>
      <c r="B4284" s="15" t="s">
        <v>26410</v>
      </c>
      <c r="C4284" s="14" t="s">
        <v>26458</v>
      </c>
      <c r="D4284" s="14" t="s">
        <v>26459</v>
      </c>
      <c r="E4284" s="16" t="s">
        <v>26460</v>
      </c>
      <c r="F4284" s="16" t="s">
        <v>26461</v>
      </c>
      <c r="G4284" s="23" t="s">
        <v>43</v>
      </c>
      <c r="H4284" s="18" t="n">
        <v>1</v>
      </c>
      <c r="I4284" s="20" t="n">
        <v>111.4</v>
      </c>
      <c r="J4284" s="20" t="n">
        <v>111.4</v>
      </c>
      <c r="K4284" s="18" t="n">
        <v>4</v>
      </c>
      <c r="L4284" s="18" t="n">
        <v>3</v>
      </c>
      <c r="M4284" s="18" t="n">
        <v>64</v>
      </c>
      <c r="N4284" s="18" t="n">
        <v>16</v>
      </c>
      <c r="O4284" s="14" t="s">
        <v>1088</v>
      </c>
      <c r="P4284" s="14" t="s">
        <v>906</v>
      </c>
      <c r="Q4284" s="15" t="s">
        <v>1089</v>
      </c>
      <c r="R4284" s="16" t="s">
        <v>26462</v>
      </c>
      <c r="S4284" s="15" t="s">
        <v>26463</v>
      </c>
      <c r="T4284" s="15" t="s">
        <v>26463</v>
      </c>
      <c r="U4284" s="21" t="s">
        <v>72</v>
      </c>
    </row>
    <row r="4285" customFormat="false" ht="15" hidden="false" customHeight="false" outlineLevel="0" collapsed="false">
      <c r="A4285" s="15" t="s">
        <v>25918</v>
      </c>
      <c r="B4285" s="15" t="s">
        <v>26410</v>
      </c>
      <c r="C4285" s="14" t="s">
        <v>26464</v>
      </c>
      <c r="D4285" s="14" t="s">
        <v>26465</v>
      </c>
      <c r="E4285" s="16" t="s">
        <v>26466</v>
      </c>
      <c r="F4285" s="16" t="s">
        <v>26467</v>
      </c>
      <c r="G4285" s="23" t="s">
        <v>43</v>
      </c>
      <c r="H4285" s="18" t="n">
        <v>3</v>
      </c>
      <c r="I4285" s="20" t="n">
        <v>94.24</v>
      </c>
      <c r="J4285" s="20" t="n">
        <v>170</v>
      </c>
      <c r="K4285" s="18" t="n">
        <v>2</v>
      </c>
      <c r="L4285" s="18" t="n">
        <v>1</v>
      </c>
      <c r="M4285" s="18" t="n">
        <v>40</v>
      </c>
      <c r="N4285" s="18" t="n">
        <v>40</v>
      </c>
      <c r="O4285" s="14" t="s">
        <v>1088</v>
      </c>
      <c r="P4285" s="14" t="s">
        <v>118</v>
      </c>
      <c r="Q4285" s="15" t="s">
        <v>1089</v>
      </c>
      <c r="R4285" s="16" t="s">
        <v>26468</v>
      </c>
      <c r="S4285" s="15" t="s">
        <v>26469</v>
      </c>
      <c r="T4285" s="15" t="s">
        <v>26469</v>
      </c>
      <c r="U4285" s="21" t="s">
        <v>72</v>
      </c>
    </row>
    <row r="4286" customFormat="false" ht="15" hidden="false" customHeight="false" outlineLevel="0" collapsed="false">
      <c r="A4286" s="15" t="s">
        <v>25918</v>
      </c>
      <c r="B4286" s="15" t="s">
        <v>26410</v>
      </c>
      <c r="C4286" s="14" t="s">
        <v>26470</v>
      </c>
      <c r="D4286" s="14" t="s">
        <v>26471</v>
      </c>
      <c r="E4286" s="16" t="s">
        <v>26472</v>
      </c>
      <c r="F4286" s="16" t="s">
        <v>26473</v>
      </c>
      <c r="G4286" s="23" t="s">
        <v>43</v>
      </c>
      <c r="H4286" s="18" t="n">
        <v>3</v>
      </c>
      <c r="I4286" s="20" t="n">
        <v>75.45</v>
      </c>
      <c r="J4286" s="20" t="n">
        <v>75.45</v>
      </c>
      <c r="K4286" s="18" t="n">
        <v>4</v>
      </c>
      <c r="L4286" s="18" t="n">
        <v>3</v>
      </c>
      <c r="M4286" s="18" t="n">
        <v>75</v>
      </c>
      <c r="N4286" s="18" t="n">
        <v>15</v>
      </c>
      <c r="O4286" s="14" t="s">
        <v>1126</v>
      </c>
      <c r="P4286" s="14" t="s">
        <v>118</v>
      </c>
      <c r="Q4286" s="15" t="s">
        <v>1089</v>
      </c>
      <c r="R4286" s="16" t="s">
        <v>7307</v>
      </c>
      <c r="S4286" s="15" t="s">
        <v>26474</v>
      </c>
      <c r="T4286" s="15" t="s">
        <v>26474</v>
      </c>
      <c r="U4286" s="21" t="s">
        <v>72</v>
      </c>
    </row>
    <row r="4287" customFormat="false" ht="26.85" hidden="false" customHeight="false" outlineLevel="0" collapsed="false">
      <c r="A4287" s="15" t="s">
        <v>25918</v>
      </c>
      <c r="B4287" s="15" t="s">
        <v>26410</v>
      </c>
      <c r="C4287" s="14" t="s">
        <v>26475</v>
      </c>
      <c r="D4287" s="14" t="s">
        <v>26476</v>
      </c>
      <c r="E4287" s="16" t="s">
        <v>26477</v>
      </c>
      <c r="F4287" s="16" t="s">
        <v>26478</v>
      </c>
      <c r="G4287" s="23" t="s">
        <v>43</v>
      </c>
      <c r="H4287" s="18" t="n">
        <v>3</v>
      </c>
      <c r="I4287" s="20" t="n">
        <v>77.07</v>
      </c>
      <c r="J4287" s="20" t="n">
        <v>96.07</v>
      </c>
      <c r="K4287" s="18" t="n">
        <v>4</v>
      </c>
      <c r="L4287" s="18" t="n">
        <v>2</v>
      </c>
      <c r="M4287" s="18" t="n">
        <v>80</v>
      </c>
      <c r="N4287" s="18" t="n">
        <v>20</v>
      </c>
      <c r="O4287" s="14" t="s">
        <v>1097</v>
      </c>
      <c r="P4287" s="14" t="s">
        <v>352</v>
      </c>
      <c r="Q4287" s="15" t="s">
        <v>1089</v>
      </c>
      <c r="R4287" s="16" t="s">
        <v>26479</v>
      </c>
      <c r="S4287" s="15" t="s">
        <v>26480</v>
      </c>
      <c r="T4287" s="15" t="s">
        <v>26480</v>
      </c>
      <c r="U4287" s="21" t="s">
        <v>72</v>
      </c>
    </row>
    <row r="4288" customFormat="false" ht="15" hidden="false" customHeight="false" outlineLevel="0" collapsed="false">
      <c r="A4288" s="15" t="s">
        <v>25918</v>
      </c>
      <c r="B4288" s="15" t="s">
        <v>26410</v>
      </c>
      <c r="C4288" s="14" t="s">
        <v>26481</v>
      </c>
      <c r="D4288" s="14" t="s">
        <v>26482</v>
      </c>
      <c r="E4288" s="16" t="s">
        <v>26483</v>
      </c>
      <c r="F4288" s="16" t="s">
        <v>26484</v>
      </c>
      <c r="G4288" s="19" t="s">
        <v>41</v>
      </c>
      <c r="H4288" s="18" t="n">
        <v>6</v>
      </c>
      <c r="I4288" s="20" t="n">
        <v>101.55</v>
      </c>
      <c r="J4288" s="20" t="n">
        <v>101.55</v>
      </c>
      <c r="K4288" s="18" t="n">
        <v>5</v>
      </c>
      <c r="L4288" s="18" t="n">
        <v>5</v>
      </c>
      <c r="M4288" s="18" t="n">
        <v>40</v>
      </c>
      <c r="N4288" s="18" t="n">
        <v>15</v>
      </c>
      <c r="O4288" s="14" t="s">
        <v>1097</v>
      </c>
      <c r="P4288" s="14" t="s">
        <v>118</v>
      </c>
      <c r="Q4288" s="15" t="s">
        <v>1089</v>
      </c>
      <c r="R4288" s="16" t="s">
        <v>25012</v>
      </c>
      <c r="S4288" s="15" t="s">
        <v>26485</v>
      </c>
      <c r="T4288" s="15" t="s">
        <v>26486</v>
      </c>
      <c r="U4288" s="21" t="s">
        <v>72</v>
      </c>
    </row>
    <row r="4289" customFormat="false" ht="15" hidden="false" customHeight="false" outlineLevel="0" collapsed="false">
      <c r="A4289" s="15" t="s">
        <v>25918</v>
      </c>
      <c r="B4289" s="15" t="s">
        <v>26410</v>
      </c>
      <c r="C4289" s="14" t="s">
        <v>26487</v>
      </c>
      <c r="D4289" s="14" t="s">
        <v>26488</v>
      </c>
      <c r="E4289" s="16" t="s">
        <v>26489</v>
      </c>
      <c r="F4289" s="16"/>
      <c r="G4289" s="23" t="s">
        <v>43</v>
      </c>
      <c r="H4289" s="18" t="n">
        <v>1</v>
      </c>
      <c r="I4289" s="20" t="n">
        <v>38.8</v>
      </c>
      <c r="J4289" s="20" t="n">
        <v>38.8</v>
      </c>
      <c r="K4289" s="18" t="n">
        <v>3</v>
      </c>
      <c r="L4289" s="18" t="n">
        <v>1</v>
      </c>
      <c r="M4289" s="18" t="n">
        <v>45</v>
      </c>
      <c r="N4289" s="18" t="n">
        <v>15</v>
      </c>
      <c r="O4289" s="14" t="s">
        <v>1088</v>
      </c>
      <c r="P4289" s="14" t="s">
        <v>94</v>
      </c>
      <c r="Q4289" s="15" t="s">
        <v>1089</v>
      </c>
      <c r="R4289" s="16" t="s">
        <v>26490</v>
      </c>
      <c r="S4289" s="15" t="s">
        <v>26491</v>
      </c>
      <c r="T4289" s="15" t="s">
        <v>26492</v>
      </c>
      <c r="U4289" s="21" t="s">
        <v>72</v>
      </c>
    </row>
    <row r="4290" customFormat="false" ht="15" hidden="false" customHeight="false" outlineLevel="0" collapsed="false">
      <c r="A4290" s="15" t="s">
        <v>25918</v>
      </c>
      <c r="B4290" s="15" t="s">
        <v>26410</v>
      </c>
      <c r="C4290" s="14" t="s">
        <v>26493</v>
      </c>
      <c r="D4290" s="14" t="s">
        <v>26494</v>
      </c>
      <c r="E4290" s="16" t="s">
        <v>26495</v>
      </c>
      <c r="F4290" s="16" t="s">
        <v>26467</v>
      </c>
      <c r="G4290" s="23" t="s">
        <v>43</v>
      </c>
      <c r="H4290" s="18" t="n">
        <v>1</v>
      </c>
      <c r="I4290" s="20" t="n">
        <v>33.47</v>
      </c>
      <c r="J4290" s="20" t="n">
        <v>48.5</v>
      </c>
      <c r="K4290" s="18" t="n">
        <v>4</v>
      </c>
      <c r="L4290" s="18" t="n">
        <v>1</v>
      </c>
      <c r="M4290" s="18" t="n">
        <v>40</v>
      </c>
      <c r="N4290" s="18" t="n">
        <v>20</v>
      </c>
      <c r="O4290" s="14" t="s">
        <v>1097</v>
      </c>
      <c r="P4290" s="14" t="s">
        <v>118</v>
      </c>
      <c r="Q4290" s="15" t="s">
        <v>1089</v>
      </c>
      <c r="R4290" s="16" t="s">
        <v>26496</v>
      </c>
      <c r="S4290" s="15" t="s">
        <v>26469</v>
      </c>
      <c r="T4290" s="15" t="s">
        <v>26497</v>
      </c>
      <c r="U4290" s="21" t="s">
        <v>72</v>
      </c>
    </row>
    <row r="4291" customFormat="false" ht="15" hidden="false" customHeight="false" outlineLevel="0" collapsed="false">
      <c r="A4291" s="15" t="s">
        <v>25918</v>
      </c>
      <c r="B4291" s="15" t="s">
        <v>26498</v>
      </c>
      <c r="C4291" s="14" t="s">
        <v>26499</v>
      </c>
      <c r="D4291" s="14" t="s">
        <v>26500</v>
      </c>
      <c r="E4291" s="16" t="s">
        <v>26501</v>
      </c>
      <c r="F4291" s="16" t="s">
        <v>26502</v>
      </c>
      <c r="G4291" s="23" t="s">
        <v>43</v>
      </c>
      <c r="H4291" s="18" t="n">
        <v>2</v>
      </c>
      <c r="I4291" s="20" t="n">
        <v>101.04</v>
      </c>
      <c r="J4291" s="20" t="n">
        <v>124</v>
      </c>
      <c r="K4291" s="18" t="n">
        <v>8</v>
      </c>
      <c r="L4291" s="18" t="n">
        <v>3</v>
      </c>
      <c r="M4291" s="18" t="n">
        <v>150</v>
      </c>
      <c r="N4291" s="18" t="n">
        <v>60</v>
      </c>
      <c r="O4291" s="14" t="s">
        <v>1097</v>
      </c>
      <c r="P4291" s="14" t="s">
        <v>118</v>
      </c>
      <c r="Q4291" s="15" t="s">
        <v>1089</v>
      </c>
      <c r="R4291" s="16" t="s">
        <v>26503</v>
      </c>
      <c r="S4291" s="15" t="s">
        <v>26504</v>
      </c>
      <c r="T4291" s="15" t="s">
        <v>26504</v>
      </c>
      <c r="U4291" s="21" t="s">
        <v>72</v>
      </c>
    </row>
    <row r="4292" customFormat="false" ht="15" hidden="false" customHeight="false" outlineLevel="0" collapsed="false">
      <c r="A4292" s="15" t="s">
        <v>25918</v>
      </c>
      <c r="B4292" s="15" t="s">
        <v>26498</v>
      </c>
      <c r="C4292" s="14" t="s">
        <v>26505</v>
      </c>
      <c r="D4292" s="14" t="s">
        <v>26506</v>
      </c>
      <c r="E4292" s="16" t="s">
        <v>26507</v>
      </c>
      <c r="F4292" s="16" t="s">
        <v>26508</v>
      </c>
      <c r="G4292" s="23" t="s">
        <v>43</v>
      </c>
      <c r="H4292" s="18" t="n">
        <v>1</v>
      </c>
      <c r="I4292" s="20" t="n">
        <v>54.24</v>
      </c>
      <c r="J4292" s="20" t="n">
        <v>54.24</v>
      </c>
      <c r="K4292" s="18" t="n">
        <v>9</v>
      </c>
      <c r="L4292" s="18" t="n">
        <v>5</v>
      </c>
      <c r="M4292" s="18" t="n">
        <v>160</v>
      </c>
      <c r="N4292" s="18" t="n">
        <v>70</v>
      </c>
      <c r="O4292" s="14" t="s">
        <v>1097</v>
      </c>
      <c r="P4292" s="14" t="s">
        <v>118</v>
      </c>
      <c r="Q4292" s="15" t="s">
        <v>1089</v>
      </c>
      <c r="R4292" s="16" t="s">
        <v>22073</v>
      </c>
      <c r="S4292" s="15" t="s">
        <v>26509</v>
      </c>
      <c r="T4292" s="15" t="s">
        <v>26509</v>
      </c>
      <c r="U4292" s="21" t="s">
        <v>72</v>
      </c>
    </row>
    <row r="4293" customFormat="false" ht="15" hidden="false" customHeight="false" outlineLevel="0" collapsed="false">
      <c r="A4293" s="15" t="s">
        <v>25918</v>
      </c>
      <c r="B4293" s="15" t="s">
        <v>26498</v>
      </c>
      <c r="C4293" s="14" t="s">
        <v>26510</v>
      </c>
      <c r="D4293" s="14" t="s">
        <v>26511</v>
      </c>
      <c r="E4293" s="16" t="s">
        <v>26512</v>
      </c>
      <c r="F4293" s="16" t="s">
        <v>26513</v>
      </c>
      <c r="G4293" s="23" t="s">
        <v>43</v>
      </c>
      <c r="H4293" s="18" t="n">
        <v>3</v>
      </c>
      <c r="I4293" s="20" t="n">
        <v>65.21</v>
      </c>
      <c r="J4293" s="20" t="n">
        <v>182.5</v>
      </c>
      <c r="K4293" s="18" t="n">
        <v>10</v>
      </c>
      <c r="L4293" s="18" t="n">
        <v>13</v>
      </c>
      <c r="M4293" s="18" t="n">
        <v>190</v>
      </c>
      <c r="N4293" s="18" t="n">
        <v>55</v>
      </c>
      <c r="O4293" s="14" t="s">
        <v>3724</v>
      </c>
      <c r="P4293" s="14" t="s">
        <v>118</v>
      </c>
      <c r="Q4293" s="15" t="s">
        <v>1089</v>
      </c>
      <c r="R4293" s="16" t="s">
        <v>2024</v>
      </c>
      <c r="S4293" s="15" t="s">
        <v>26514</v>
      </c>
      <c r="T4293" s="15" t="s">
        <v>26514</v>
      </c>
      <c r="U4293" s="21" t="s">
        <v>72</v>
      </c>
    </row>
    <row r="4294" customFormat="false" ht="15" hidden="false" customHeight="false" outlineLevel="0" collapsed="false">
      <c r="A4294" s="15" t="s">
        <v>25918</v>
      </c>
      <c r="B4294" s="15" t="s">
        <v>26498</v>
      </c>
      <c r="C4294" s="14" t="s">
        <v>26515</v>
      </c>
      <c r="D4294" s="14" t="s">
        <v>26516</v>
      </c>
      <c r="E4294" s="16" t="s">
        <v>26517</v>
      </c>
      <c r="F4294" s="16" t="s">
        <v>26518</v>
      </c>
      <c r="G4294" s="19" t="s">
        <v>41</v>
      </c>
      <c r="H4294" s="18" t="n">
        <v>4</v>
      </c>
      <c r="I4294" s="20" t="n">
        <v>191.82</v>
      </c>
      <c r="J4294" s="20" t="n">
        <v>217.97</v>
      </c>
      <c r="K4294" s="18" t="n">
        <v>21</v>
      </c>
      <c r="L4294" s="18" t="n">
        <v>5</v>
      </c>
      <c r="M4294" s="18" t="n">
        <v>420</v>
      </c>
      <c r="N4294" s="18" t="n">
        <v>80</v>
      </c>
      <c r="O4294" s="14" t="s">
        <v>1126</v>
      </c>
      <c r="P4294" s="14" t="s">
        <v>118</v>
      </c>
      <c r="Q4294" s="15" t="s">
        <v>1089</v>
      </c>
      <c r="R4294" s="16" t="s">
        <v>1340</v>
      </c>
      <c r="S4294" s="15" t="s">
        <v>26519</v>
      </c>
      <c r="T4294" s="15" t="s">
        <v>26520</v>
      </c>
      <c r="U4294" s="21" t="s">
        <v>72</v>
      </c>
    </row>
    <row r="4295" customFormat="false" ht="15" hidden="false" customHeight="false" outlineLevel="0" collapsed="false">
      <c r="A4295" s="15" t="s">
        <v>25918</v>
      </c>
      <c r="B4295" s="15" t="s">
        <v>26498</v>
      </c>
      <c r="C4295" s="14" t="s">
        <v>26521</v>
      </c>
      <c r="D4295" s="14" t="s">
        <v>26522</v>
      </c>
      <c r="E4295" s="16" t="s">
        <v>26523</v>
      </c>
      <c r="F4295" s="16" t="s">
        <v>26524</v>
      </c>
      <c r="G4295" s="23" t="s">
        <v>43</v>
      </c>
      <c r="H4295" s="18" t="n">
        <v>2</v>
      </c>
      <c r="I4295" s="20" t="n">
        <v>36.98</v>
      </c>
      <c r="J4295" s="20" t="n">
        <v>54.3</v>
      </c>
      <c r="K4295" s="18" t="n">
        <v>6</v>
      </c>
      <c r="L4295" s="18" t="n">
        <v>1</v>
      </c>
      <c r="M4295" s="18" t="n">
        <v>90</v>
      </c>
      <c r="N4295" s="18" t="n">
        <v>30</v>
      </c>
      <c r="O4295" s="14" t="s">
        <v>1097</v>
      </c>
      <c r="P4295" s="14" t="s">
        <v>118</v>
      </c>
      <c r="Q4295" s="15" t="s">
        <v>1089</v>
      </c>
      <c r="R4295" s="16" t="s">
        <v>26525</v>
      </c>
      <c r="S4295" s="15" t="s">
        <v>26526</v>
      </c>
      <c r="T4295" s="15" t="s">
        <v>26526</v>
      </c>
      <c r="U4295" s="21" t="s">
        <v>72</v>
      </c>
    </row>
    <row r="4296" customFormat="false" ht="15" hidden="false" customHeight="false" outlineLevel="0" collapsed="false">
      <c r="A4296" s="15" t="s">
        <v>25918</v>
      </c>
      <c r="B4296" s="15" t="s">
        <v>26527</v>
      </c>
      <c r="C4296" s="14" t="s">
        <v>26528</v>
      </c>
      <c r="D4296" s="14" t="s">
        <v>26529</v>
      </c>
      <c r="E4296" s="16" t="s">
        <v>26530</v>
      </c>
      <c r="F4296" s="16" t="s">
        <v>26531</v>
      </c>
      <c r="G4296" s="23" t="s">
        <v>43</v>
      </c>
      <c r="H4296" s="18" t="n">
        <v>3</v>
      </c>
      <c r="I4296" s="20" t="n">
        <v>47.05</v>
      </c>
      <c r="J4296" s="20" t="n">
        <v>95.63</v>
      </c>
      <c r="K4296" s="18" t="n">
        <v>9</v>
      </c>
      <c r="L4296" s="18" t="n">
        <v>3</v>
      </c>
      <c r="M4296" s="18" t="n">
        <v>90</v>
      </c>
      <c r="N4296" s="18" t="n">
        <v>30</v>
      </c>
      <c r="O4296" s="14" t="s">
        <v>1097</v>
      </c>
      <c r="P4296" s="14" t="s">
        <v>118</v>
      </c>
      <c r="Q4296" s="15" t="s">
        <v>1089</v>
      </c>
      <c r="R4296" s="16" t="s">
        <v>26532</v>
      </c>
      <c r="S4296" s="15" t="s">
        <v>24627</v>
      </c>
      <c r="T4296" s="15" t="s">
        <v>24627</v>
      </c>
      <c r="U4296" s="21" t="s">
        <v>72</v>
      </c>
    </row>
    <row r="4297" customFormat="false" ht="15" hidden="false" customHeight="false" outlineLevel="0" collapsed="false">
      <c r="A4297" s="15" t="s">
        <v>25918</v>
      </c>
      <c r="B4297" s="15" t="s">
        <v>26533</v>
      </c>
      <c r="C4297" s="14" t="s">
        <v>26534</v>
      </c>
      <c r="D4297" s="14" t="s">
        <v>26535</v>
      </c>
      <c r="E4297" s="16" t="s">
        <v>26536</v>
      </c>
      <c r="F4297" s="16"/>
      <c r="G4297" s="23" t="s">
        <v>43</v>
      </c>
      <c r="H4297" s="18" t="n">
        <v>2</v>
      </c>
      <c r="I4297" s="20" t="n">
        <v>61.6</v>
      </c>
      <c r="J4297" s="20" t="n">
        <v>81.21</v>
      </c>
      <c r="K4297" s="18" t="n">
        <v>4</v>
      </c>
      <c r="L4297" s="18" t="n">
        <v>1</v>
      </c>
      <c r="M4297" s="18" t="n">
        <v>40</v>
      </c>
      <c r="N4297" s="18" t="n">
        <v>20</v>
      </c>
      <c r="O4297" s="14" t="s">
        <v>1097</v>
      </c>
      <c r="P4297" s="14" t="s">
        <v>118</v>
      </c>
      <c r="Q4297" s="15" t="s">
        <v>1089</v>
      </c>
      <c r="R4297" s="16" t="s">
        <v>26537</v>
      </c>
      <c r="S4297" s="15" t="s">
        <v>26538</v>
      </c>
      <c r="T4297" s="15" t="s">
        <v>26538</v>
      </c>
      <c r="U4297" s="21" t="s">
        <v>72</v>
      </c>
    </row>
    <row r="4298" customFormat="false" ht="15" hidden="false" customHeight="false" outlineLevel="0" collapsed="false">
      <c r="A4298" s="15" t="s">
        <v>25918</v>
      </c>
      <c r="B4298" s="15" t="s">
        <v>26533</v>
      </c>
      <c r="C4298" s="14" t="s">
        <v>26539</v>
      </c>
      <c r="D4298" s="14" t="s">
        <v>26540</v>
      </c>
      <c r="E4298" s="16" t="s">
        <v>26541</v>
      </c>
      <c r="F4298" s="16" t="s">
        <v>26542</v>
      </c>
      <c r="G4298" s="23" t="s">
        <v>43</v>
      </c>
      <c r="H4298" s="18" t="n">
        <v>4</v>
      </c>
      <c r="I4298" s="20" t="n">
        <v>117</v>
      </c>
      <c r="J4298" s="20" t="n">
        <v>117</v>
      </c>
      <c r="K4298" s="18" t="n">
        <v>6</v>
      </c>
      <c r="L4298" s="18" t="n">
        <v>5</v>
      </c>
      <c r="M4298" s="18" t="n">
        <v>60</v>
      </c>
      <c r="N4298" s="18" t="n">
        <v>20</v>
      </c>
      <c r="O4298" s="14" t="s">
        <v>1126</v>
      </c>
      <c r="P4298" s="14" t="s">
        <v>118</v>
      </c>
      <c r="Q4298" s="15" t="s">
        <v>1089</v>
      </c>
      <c r="R4298" s="16" t="s">
        <v>26543</v>
      </c>
      <c r="S4298" s="15" t="s">
        <v>26544</v>
      </c>
      <c r="T4298" s="15" t="s">
        <v>26544</v>
      </c>
      <c r="U4298" s="21" t="s">
        <v>72</v>
      </c>
    </row>
    <row r="4299" customFormat="false" ht="15" hidden="false" customHeight="false" outlineLevel="0" collapsed="false">
      <c r="A4299" s="15" t="s">
        <v>25918</v>
      </c>
      <c r="B4299" s="15" t="s">
        <v>26533</v>
      </c>
      <c r="C4299" s="14" t="s">
        <v>26545</v>
      </c>
      <c r="D4299" s="14" t="s">
        <v>26546</v>
      </c>
      <c r="E4299" s="16" t="s">
        <v>26547</v>
      </c>
      <c r="F4299" s="16" t="s">
        <v>26548</v>
      </c>
      <c r="G4299" s="23" t="s">
        <v>43</v>
      </c>
      <c r="H4299" s="18" t="n">
        <v>4</v>
      </c>
      <c r="I4299" s="20" t="n">
        <v>61.94</v>
      </c>
      <c r="J4299" s="20" t="n">
        <v>116.09</v>
      </c>
      <c r="K4299" s="18" t="n">
        <v>8</v>
      </c>
      <c r="L4299" s="18" t="n">
        <v>3</v>
      </c>
      <c r="M4299" s="18" t="n">
        <v>72</v>
      </c>
      <c r="N4299" s="18" t="n">
        <v>36</v>
      </c>
      <c r="O4299" s="14" t="s">
        <v>5962</v>
      </c>
      <c r="P4299" s="14" t="s">
        <v>118</v>
      </c>
      <c r="Q4299" s="15" t="s">
        <v>1089</v>
      </c>
      <c r="R4299" s="16" t="s">
        <v>26549</v>
      </c>
      <c r="S4299" s="15" t="s">
        <v>26550</v>
      </c>
      <c r="T4299" s="15" t="s">
        <v>26550</v>
      </c>
      <c r="U4299" s="21" t="s">
        <v>72</v>
      </c>
    </row>
    <row r="4300" customFormat="false" ht="15" hidden="false" customHeight="false" outlineLevel="0" collapsed="false">
      <c r="A4300" s="15" t="s">
        <v>25918</v>
      </c>
      <c r="B4300" s="15" t="s">
        <v>26533</v>
      </c>
      <c r="C4300" s="14" t="s">
        <v>26551</v>
      </c>
      <c r="D4300" s="14" t="s">
        <v>26552</v>
      </c>
      <c r="E4300" s="16" t="s">
        <v>26553</v>
      </c>
      <c r="F4300" s="16"/>
      <c r="G4300" s="19" t="s">
        <v>41</v>
      </c>
      <c r="H4300" s="18" t="n">
        <v>3</v>
      </c>
      <c r="I4300" s="20" t="n">
        <v>126.13</v>
      </c>
      <c r="J4300" s="20" t="n">
        <v>252.26</v>
      </c>
      <c r="K4300" s="18" t="n">
        <v>5</v>
      </c>
      <c r="L4300" s="18" t="n">
        <v>4</v>
      </c>
      <c r="M4300" s="18" t="n">
        <v>44</v>
      </c>
      <c r="N4300" s="18" t="n">
        <v>36</v>
      </c>
      <c r="O4300" s="14" t="s">
        <v>1097</v>
      </c>
      <c r="P4300" s="14" t="s">
        <v>118</v>
      </c>
      <c r="Q4300" s="15" t="s">
        <v>1089</v>
      </c>
      <c r="R4300" s="16" t="s">
        <v>13538</v>
      </c>
      <c r="S4300" s="15" t="s">
        <v>26554</v>
      </c>
      <c r="T4300" s="15" t="s">
        <v>26555</v>
      </c>
      <c r="U4300" s="21" t="s">
        <v>72</v>
      </c>
    </row>
    <row r="4301" customFormat="false" ht="15" hidden="false" customHeight="false" outlineLevel="0" collapsed="false">
      <c r="A4301" s="15" t="s">
        <v>26556</v>
      </c>
      <c r="B4301" s="16"/>
      <c r="C4301" s="14" t="s">
        <v>26557</v>
      </c>
      <c r="D4301" s="14" t="s">
        <v>26558</v>
      </c>
      <c r="E4301" s="16" t="s">
        <v>26559</v>
      </c>
      <c r="F4301" s="16" t="s">
        <v>26560</v>
      </c>
      <c r="G4301" s="25" t="s">
        <v>39</v>
      </c>
      <c r="H4301" s="18" t="n">
        <v>10</v>
      </c>
      <c r="I4301" s="20" t="n">
        <v>186.5</v>
      </c>
      <c r="J4301" s="20" t="n">
        <v>286.57</v>
      </c>
      <c r="K4301" s="18" t="n">
        <v>11</v>
      </c>
      <c r="L4301" s="18" t="n">
        <v>7</v>
      </c>
      <c r="M4301" s="18" t="n">
        <v>162</v>
      </c>
      <c r="N4301" s="18" t="n">
        <v>132</v>
      </c>
      <c r="O4301" s="14" t="s">
        <v>1088</v>
      </c>
      <c r="P4301" s="14" t="s">
        <v>118</v>
      </c>
      <c r="Q4301" s="15" t="s">
        <v>1089</v>
      </c>
      <c r="R4301" s="16" t="s">
        <v>26561</v>
      </c>
      <c r="S4301" s="15" t="s">
        <v>26562</v>
      </c>
      <c r="T4301" s="15" t="s">
        <v>26563</v>
      </c>
      <c r="U4301" s="21" t="s">
        <v>72</v>
      </c>
    </row>
    <row r="4302" customFormat="false" ht="15" hidden="false" customHeight="false" outlineLevel="0" collapsed="false">
      <c r="A4302" s="15" t="s">
        <v>26556</v>
      </c>
      <c r="B4302" s="16"/>
      <c r="C4302" s="14" t="s">
        <v>26564</v>
      </c>
      <c r="D4302" s="14" t="s">
        <v>26565</v>
      </c>
      <c r="E4302" s="16" t="s">
        <v>26566</v>
      </c>
      <c r="F4302" s="16" t="s">
        <v>26567</v>
      </c>
      <c r="G4302" s="25" t="s">
        <v>39</v>
      </c>
      <c r="H4302" s="18" t="n">
        <v>10</v>
      </c>
      <c r="I4302" s="20" t="n">
        <v>228.84</v>
      </c>
      <c r="J4302" s="20" t="n">
        <v>400.63</v>
      </c>
      <c r="K4302" s="18" t="n">
        <v>20</v>
      </c>
      <c r="L4302" s="18" t="n">
        <v>8</v>
      </c>
      <c r="M4302" s="18" t="n">
        <v>300</v>
      </c>
      <c r="N4302" s="18" t="n">
        <v>165</v>
      </c>
      <c r="O4302" s="14" t="s">
        <v>26568</v>
      </c>
      <c r="P4302" s="14" t="s">
        <v>118</v>
      </c>
      <c r="Q4302" s="15" t="s">
        <v>1089</v>
      </c>
      <c r="R4302" s="16" t="s">
        <v>25093</v>
      </c>
      <c r="S4302" s="15" t="s">
        <v>26569</v>
      </c>
      <c r="T4302" s="15" t="s">
        <v>26569</v>
      </c>
      <c r="U4302" s="21" t="s">
        <v>72</v>
      </c>
    </row>
    <row r="4303" customFormat="false" ht="15" hidden="false" customHeight="false" outlineLevel="0" collapsed="false">
      <c r="A4303" s="15" t="s">
        <v>26556</v>
      </c>
      <c r="B4303" s="16"/>
      <c r="C4303" s="14" t="s">
        <v>26570</v>
      </c>
      <c r="D4303" s="14" t="s">
        <v>26571</v>
      </c>
      <c r="E4303" s="16" t="s">
        <v>26572</v>
      </c>
      <c r="F4303" s="16" t="s">
        <v>26567</v>
      </c>
      <c r="G4303" s="19" t="s">
        <v>41</v>
      </c>
      <c r="H4303" s="18" t="n">
        <v>3</v>
      </c>
      <c r="I4303" s="20" t="n">
        <v>108.704</v>
      </c>
      <c r="J4303" s="20" t="n">
        <v>292.032</v>
      </c>
      <c r="K4303" s="18" t="n">
        <v>11</v>
      </c>
      <c r="L4303" s="18" t="n">
        <v>3</v>
      </c>
      <c r="M4303" s="18" t="n">
        <v>130</v>
      </c>
      <c r="N4303" s="18" t="n">
        <v>60</v>
      </c>
      <c r="O4303" s="14" t="s">
        <v>18487</v>
      </c>
      <c r="P4303" s="14" t="s">
        <v>84</v>
      </c>
      <c r="Q4303" s="15" t="s">
        <v>1089</v>
      </c>
      <c r="R4303" s="16" t="s">
        <v>26573</v>
      </c>
      <c r="S4303" s="15" t="s">
        <v>26569</v>
      </c>
      <c r="T4303" s="15" t="s">
        <v>26574</v>
      </c>
      <c r="U4303" s="21" t="s">
        <v>72</v>
      </c>
    </row>
    <row r="4304" customFormat="false" ht="15" hidden="false" customHeight="false" outlineLevel="0" collapsed="false">
      <c r="A4304" s="15" t="s">
        <v>26556</v>
      </c>
      <c r="B4304" s="16"/>
      <c r="C4304" s="14" t="s">
        <v>26575</v>
      </c>
      <c r="D4304" s="14" t="s">
        <v>26576</v>
      </c>
      <c r="E4304" s="16" t="s">
        <v>26577</v>
      </c>
      <c r="F4304" s="16"/>
      <c r="G4304" s="23" t="s">
        <v>43</v>
      </c>
      <c r="H4304" s="18" t="n">
        <v>3</v>
      </c>
      <c r="I4304" s="20" t="n">
        <v>54.81</v>
      </c>
      <c r="J4304" s="20" t="n">
        <v>128.98</v>
      </c>
      <c r="K4304" s="18" t="n">
        <v>9</v>
      </c>
      <c r="L4304" s="18" t="n">
        <v>5</v>
      </c>
      <c r="M4304" s="18" t="n">
        <v>129</v>
      </c>
      <c r="N4304" s="18" t="n">
        <v>129</v>
      </c>
      <c r="O4304" s="14" t="s">
        <v>1126</v>
      </c>
      <c r="P4304" s="14" t="s">
        <v>84</v>
      </c>
      <c r="Q4304" s="15" t="s">
        <v>1089</v>
      </c>
      <c r="R4304" s="16" t="s">
        <v>14126</v>
      </c>
      <c r="S4304" s="15" t="s">
        <v>26569</v>
      </c>
      <c r="T4304" s="15" t="s">
        <v>26578</v>
      </c>
      <c r="U4304" s="21" t="s">
        <v>72</v>
      </c>
    </row>
    <row r="4305" customFormat="false" ht="15" hidden="false" customHeight="false" outlineLevel="0" collapsed="false">
      <c r="A4305" s="15" t="s">
        <v>26556</v>
      </c>
      <c r="B4305" s="16"/>
      <c r="C4305" s="14" t="s">
        <v>26579</v>
      </c>
      <c r="D4305" s="14" t="s">
        <v>26580</v>
      </c>
      <c r="E4305" s="16" t="s">
        <v>26581</v>
      </c>
      <c r="F4305" s="16" t="s">
        <v>26582</v>
      </c>
      <c r="G4305" s="19" t="s">
        <v>41</v>
      </c>
      <c r="H4305" s="18" t="n">
        <v>6</v>
      </c>
      <c r="I4305" s="20" t="n">
        <v>90.27</v>
      </c>
      <c r="J4305" s="20" t="n">
        <v>213.75</v>
      </c>
      <c r="K4305" s="18" t="n">
        <v>4</v>
      </c>
      <c r="L4305" s="18" t="n">
        <v>13</v>
      </c>
      <c r="M4305" s="18" t="n">
        <v>40</v>
      </c>
      <c r="N4305" s="18" t="n">
        <v>10</v>
      </c>
      <c r="O4305" s="14" t="s">
        <v>1126</v>
      </c>
      <c r="P4305" s="14" t="s">
        <v>1716</v>
      </c>
      <c r="Q4305" s="15" t="s">
        <v>1089</v>
      </c>
      <c r="R4305" s="16" t="s">
        <v>26583</v>
      </c>
      <c r="S4305" s="15" t="s">
        <v>26584</v>
      </c>
      <c r="T4305" s="15" t="s">
        <v>26584</v>
      </c>
      <c r="U4305" s="21" t="s">
        <v>72</v>
      </c>
    </row>
    <row r="4306" customFormat="false" ht="15" hidden="false" customHeight="false" outlineLevel="0" collapsed="false">
      <c r="A4306" s="15" t="s">
        <v>26556</v>
      </c>
      <c r="B4306" s="16"/>
      <c r="C4306" s="14" t="s">
        <v>26585</v>
      </c>
      <c r="D4306" s="14" t="s">
        <v>26586</v>
      </c>
      <c r="E4306" s="16" t="s">
        <v>26587</v>
      </c>
      <c r="F4306" s="16"/>
      <c r="G4306" s="19" t="s">
        <v>41</v>
      </c>
      <c r="H4306" s="18" t="n">
        <v>6</v>
      </c>
      <c r="I4306" s="20" t="n">
        <v>128.96</v>
      </c>
      <c r="J4306" s="20" t="n">
        <v>298.06</v>
      </c>
      <c r="K4306" s="18" t="n">
        <v>3</v>
      </c>
      <c r="L4306" s="18" t="n">
        <v>7</v>
      </c>
      <c r="M4306" s="18" t="n">
        <v>60</v>
      </c>
      <c r="N4306" s="18" t="n">
        <v>40</v>
      </c>
      <c r="O4306" s="14" t="s">
        <v>1126</v>
      </c>
      <c r="P4306" s="14" t="s">
        <v>118</v>
      </c>
      <c r="Q4306" s="15" t="s">
        <v>1089</v>
      </c>
      <c r="R4306" s="16" t="s">
        <v>18659</v>
      </c>
      <c r="S4306" s="15" t="s">
        <v>25187</v>
      </c>
      <c r="T4306" s="15" t="s">
        <v>25187</v>
      </c>
      <c r="U4306" s="21" t="s">
        <v>72</v>
      </c>
    </row>
    <row r="4307" customFormat="false" ht="15" hidden="false" customHeight="false" outlineLevel="0" collapsed="false">
      <c r="A4307" s="15" t="s">
        <v>26556</v>
      </c>
      <c r="B4307" s="16"/>
      <c r="C4307" s="14" t="s">
        <v>26588</v>
      </c>
      <c r="D4307" s="14" t="s">
        <v>26589</v>
      </c>
      <c r="E4307" s="16" t="s">
        <v>26590</v>
      </c>
      <c r="F4307" s="16" t="s">
        <v>26591</v>
      </c>
      <c r="G4307" s="19" t="s">
        <v>41</v>
      </c>
      <c r="H4307" s="18" t="n">
        <v>4</v>
      </c>
      <c r="I4307" s="20" t="n">
        <v>171.06</v>
      </c>
      <c r="J4307" s="20" t="n">
        <v>287.58</v>
      </c>
      <c r="K4307" s="18" t="n">
        <v>20</v>
      </c>
      <c r="L4307" s="18" t="n">
        <v>9</v>
      </c>
      <c r="M4307" s="18" t="n">
        <v>400</v>
      </c>
      <c r="N4307" s="18" t="n">
        <v>140</v>
      </c>
      <c r="O4307" s="14" t="s">
        <v>9118</v>
      </c>
      <c r="P4307" s="14" t="s">
        <v>84</v>
      </c>
      <c r="Q4307" s="15" t="s">
        <v>1089</v>
      </c>
      <c r="R4307" s="16" t="s">
        <v>26592</v>
      </c>
      <c r="S4307" s="15" t="s">
        <v>26593</v>
      </c>
      <c r="T4307" s="15" t="s">
        <v>26593</v>
      </c>
      <c r="U4307" s="21" t="s">
        <v>72</v>
      </c>
    </row>
    <row r="4308" customFormat="false" ht="15" hidden="false" customHeight="false" outlineLevel="0" collapsed="false">
      <c r="A4308" s="15" t="s">
        <v>26556</v>
      </c>
      <c r="B4308" s="16"/>
      <c r="C4308" s="14" t="s">
        <v>26594</v>
      </c>
      <c r="D4308" s="14" t="s">
        <v>26595</v>
      </c>
      <c r="E4308" s="16" t="s">
        <v>26596</v>
      </c>
      <c r="F4308" s="16"/>
      <c r="G4308" s="23" t="s">
        <v>43</v>
      </c>
      <c r="H4308" s="18" t="n">
        <v>2</v>
      </c>
      <c r="I4308" s="20" t="n">
        <v>50</v>
      </c>
      <c r="J4308" s="20" t="n">
        <v>127.41</v>
      </c>
      <c r="K4308" s="18" t="n">
        <v>2</v>
      </c>
      <c r="L4308" s="18" t="n">
        <v>1</v>
      </c>
      <c r="M4308" s="18" t="n">
        <v>40</v>
      </c>
      <c r="N4308" s="18" t="n">
        <v>40</v>
      </c>
      <c r="O4308" s="14" t="s">
        <v>1126</v>
      </c>
      <c r="P4308" s="14" t="s">
        <v>84</v>
      </c>
      <c r="Q4308" s="15" t="s">
        <v>1089</v>
      </c>
      <c r="R4308" s="16" t="s">
        <v>4823</v>
      </c>
      <c r="S4308" s="15" t="s">
        <v>26597</v>
      </c>
      <c r="T4308" s="15" t="s">
        <v>26597</v>
      </c>
      <c r="U4308" s="21" t="s">
        <v>72</v>
      </c>
    </row>
    <row r="4309" customFormat="false" ht="15" hidden="false" customHeight="false" outlineLevel="0" collapsed="false">
      <c r="A4309" s="15" t="s">
        <v>26556</v>
      </c>
      <c r="B4309" s="16"/>
      <c r="C4309" s="14" t="s">
        <v>26598</v>
      </c>
      <c r="D4309" s="14" t="s">
        <v>26599</v>
      </c>
      <c r="E4309" s="16" t="s">
        <v>26600</v>
      </c>
      <c r="F4309" s="16"/>
      <c r="G4309" s="23" t="s">
        <v>43</v>
      </c>
      <c r="H4309" s="18" t="n">
        <v>1</v>
      </c>
      <c r="I4309" s="20" t="n">
        <v>60.07</v>
      </c>
      <c r="J4309" s="20" t="n">
        <v>60.07</v>
      </c>
      <c r="K4309" s="18" t="n">
        <v>2</v>
      </c>
      <c r="L4309" s="18" t="n">
        <v>1</v>
      </c>
      <c r="M4309" s="18" t="n">
        <v>24</v>
      </c>
      <c r="N4309" s="18" t="n">
        <v>24</v>
      </c>
      <c r="O4309" s="14" t="s">
        <v>1126</v>
      </c>
      <c r="P4309" s="14" t="s">
        <v>84</v>
      </c>
      <c r="Q4309" s="15" t="s">
        <v>1089</v>
      </c>
      <c r="R4309" s="16" t="s">
        <v>26601</v>
      </c>
      <c r="S4309" s="15" t="s">
        <v>26602</v>
      </c>
      <c r="T4309" s="15" t="s">
        <v>26603</v>
      </c>
      <c r="U4309" s="21" t="s">
        <v>72</v>
      </c>
    </row>
    <row r="4310" customFormat="false" ht="15" hidden="false" customHeight="false" outlineLevel="0" collapsed="false">
      <c r="A4310" s="15" t="s">
        <v>26556</v>
      </c>
      <c r="B4310" s="16"/>
      <c r="C4310" s="14" t="s">
        <v>26604</v>
      </c>
      <c r="D4310" s="14" t="s">
        <v>26605</v>
      </c>
      <c r="E4310" s="16" t="s">
        <v>26606</v>
      </c>
      <c r="F4310" s="16" t="s">
        <v>26607</v>
      </c>
      <c r="G4310" s="23" t="s">
        <v>43</v>
      </c>
      <c r="H4310" s="18" t="n">
        <v>2</v>
      </c>
      <c r="I4310" s="20" t="n">
        <v>83.02</v>
      </c>
      <c r="J4310" s="20" t="n">
        <v>133.32</v>
      </c>
      <c r="K4310" s="18" t="n">
        <v>3</v>
      </c>
      <c r="L4310" s="18" t="n">
        <v>1</v>
      </c>
      <c r="M4310" s="18" t="n">
        <v>30</v>
      </c>
      <c r="N4310" s="18" t="n">
        <v>20</v>
      </c>
      <c r="O4310" s="14" t="s">
        <v>3724</v>
      </c>
      <c r="P4310" s="14" t="s">
        <v>118</v>
      </c>
      <c r="Q4310" s="15" t="s">
        <v>1089</v>
      </c>
      <c r="R4310" s="16" t="s">
        <v>26608</v>
      </c>
      <c r="S4310" s="15" t="s">
        <v>26609</v>
      </c>
      <c r="T4310" s="15" t="s">
        <v>26609</v>
      </c>
      <c r="U4310" s="21" t="s">
        <v>72</v>
      </c>
    </row>
    <row r="4311" customFormat="false" ht="15" hidden="false" customHeight="false" outlineLevel="0" collapsed="false">
      <c r="A4311" s="15" t="s">
        <v>26556</v>
      </c>
      <c r="B4311" s="16"/>
      <c r="C4311" s="14" t="s">
        <v>26610</v>
      </c>
      <c r="D4311" s="14" t="s">
        <v>26611</v>
      </c>
      <c r="E4311" s="16" t="s">
        <v>26612</v>
      </c>
      <c r="F4311" s="16" t="s">
        <v>26613</v>
      </c>
      <c r="G4311" s="23" t="s">
        <v>43</v>
      </c>
      <c r="H4311" s="18" t="n">
        <v>2</v>
      </c>
      <c r="I4311" s="20" t="n">
        <v>50.24</v>
      </c>
      <c r="J4311" s="20" t="n">
        <v>62.4</v>
      </c>
      <c r="K4311" s="18" t="n">
        <v>2</v>
      </c>
      <c r="L4311" s="18" t="n">
        <v>3</v>
      </c>
      <c r="M4311" s="18" t="n">
        <v>20</v>
      </c>
      <c r="N4311" s="18" t="n">
        <v>10</v>
      </c>
      <c r="O4311" s="14" t="s">
        <v>1126</v>
      </c>
      <c r="P4311" s="14" t="s">
        <v>118</v>
      </c>
      <c r="Q4311" s="15" t="s">
        <v>1089</v>
      </c>
      <c r="R4311" s="16" t="s">
        <v>26614</v>
      </c>
      <c r="S4311" s="15" t="s">
        <v>26615</v>
      </c>
      <c r="T4311" s="15" t="s">
        <v>26615</v>
      </c>
      <c r="U4311" s="21" t="s">
        <v>72</v>
      </c>
    </row>
    <row r="4312" customFormat="false" ht="15" hidden="false" customHeight="false" outlineLevel="0" collapsed="false">
      <c r="A4312" s="15" t="s">
        <v>26556</v>
      </c>
      <c r="B4312" s="16"/>
      <c r="C4312" s="14" t="s">
        <v>26616</v>
      </c>
      <c r="D4312" s="14" t="s">
        <v>26617</v>
      </c>
      <c r="E4312" s="16" t="s">
        <v>26618</v>
      </c>
      <c r="F4312" s="16"/>
      <c r="G4312" s="23" t="s">
        <v>43</v>
      </c>
      <c r="H4312" s="18" t="n">
        <v>2</v>
      </c>
      <c r="I4312" s="20" t="n">
        <v>35.15</v>
      </c>
      <c r="J4312" s="20" t="n">
        <v>80.1</v>
      </c>
      <c r="K4312" s="18" t="n">
        <v>3</v>
      </c>
      <c r="L4312" s="18" t="n">
        <v>1</v>
      </c>
      <c r="M4312" s="18" t="n">
        <v>33</v>
      </c>
      <c r="N4312" s="18" t="n">
        <v>7</v>
      </c>
      <c r="O4312" s="14" t="s">
        <v>1126</v>
      </c>
      <c r="P4312" s="14" t="s">
        <v>118</v>
      </c>
      <c r="Q4312" s="15" t="s">
        <v>1089</v>
      </c>
      <c r="R4312" s="16" t="s">
        <v>26619</v>
      </c>
      <c r="S4312" s="15" t="s">
        <v>26620</v>
      </c>
      <c r="T4312" s="15" t="s">
        <v>26620</v>
      </c>
      <c r="U4312" s="21" t="s">
        <v>72</v>
      </c>
    </row>
    <row r="4313" customFormat="false" ht="15" hidden="false" customHeight="false" outlineLevel="0" collapsed="false">
      <c r="A4313" s="15" t="s">
        <v>26556</v>
      </c>
      <c r="B4313" s="16"/>
      <c r="C4313" s="14" t="s">
        <v>26621</v>
      </c>
      <c r="D4313" s="14" t="s">
        <v>26622</v>
      </c>
      <c r="E4313" s="16" t="s">
        <v>26623</v>
      </c>
      <c r="F4313" s="16"/>
      <c r="G4313" s="19" t="s">
        <v>41</v>
      </c>
      <c r="H4313" s="18" t="n">
        <v>6</v>
      </c>
      <c r="I4313" s="20" t="n">
        <v>158.16</v>
      </c>
      <c r="J4313" s="20" t="n">
        <v>190.42</v>
      </c>
      <c r="K4313" s="18" t="n">
        <v>2</v>
      </c>
      <c r="L4313" s="18" t="n">
        <v>1</v>
      </c>
      <c r="M4313" s="18" t="n">
        <v>32</v>
      </c>
      <c r="N4313" s="18" t="n">
        <v>32</v>
      </c>
      <c r="O4313" s="14" t="s">
        <v>1126</v>
      </c>
      <c r="P4313" s="14" t="s">
        <v>84</v>
      </c>
      <c r="Q4313" s="15" t="s">
        <v>1089</v>
      </c>
      <c r="R4313" s="16" t="s">
        <v>26624</v>
      </c>
      <c r="S4313" s="15" t="s">
        <v>26625</v>
      </c>
      <c r="T4313" s="15" t="s">
        <v>26625</v>
      </c>
      <c r="U4313" s="21" t="s">
        <v>72</v>
      </c>
    </row>
    <row r="4314" customFormat="false" ht="15" hidden="false" customHeight="false" outlineLevel="0" collapsed="false">
      <c r="A4314" s="15" t="s">
        <v>26556</v>
      </c>
      <c r="B4314" s="16"/>
      <c r="C4314" s="14" t="s">
        <v>26626</v>
      </c>
      <c r="D4314" s="14" t="s">
        <v>26627</v>
      </c>
      <c r="E4314" s="16" t="s">
        <v>26628</v>
      </c>
      <c r="F4314" s="16" t="s">
        <v>26629</v>
      </c>
      <c r="G4314" s="23" t="s">
        <v>43</v>
      </c>
      <c r="H4314" s="18" t="n">
        <v>3</v>
      </c>
      <c r="I4314" s="20" t="n">
        <v>63.6</v>
      </c>
      <c r="J4314" s="20" t="n">
        <v>115</v>
      </c>
      <c r="K4314" s="18" t="n">
        <v>2</v>
      </c>
      <c r="L4314" s="18" t="n">
        <v>3</v>
      </c>
      <c r="M4314" s="18" t="n">
        <v>40</v>
      </c>
      <c r="N4314" s="18" t="n">
        <v>20</v>
      </c>
      <c r="O4314" s="14" t="s">
        <v>1126</v>
      </c>
      <c r="P4314" s="14" t="s">
        <v>118</v>
      </c>
      <c r="Q4314" s="15" t="s">
        <v>1089</v>
      </c>
      <c r="R4314" s="16" t="s">
        <v>13632</v>
      </c>
      <c r="S4314" s="15" t="s">
        <v>26630</v>
      </c>
      <c r="T4314" s="15" t="s">
        <v>26630</v>
      </c>
      <c r="U4314" s="21" t="s">
        <v>72</v>
      </c>
    </row>
    <row r="4315" customFormat="false" ht="15" hidden="false" customHeight="false" outlineLevel="0" collapsed="false">
      <c r="A4315" s="15" t="s">
        <v>26556</v>
      </c>
      <c r="B4315" s="16"/>
      <c r="C4315" s="14" t="s">
        <v>26631</v>
      </c>
      <c r="D4315" s="14" t="s">
        <v>26632</v>
      </c>
      <c r="E4315" s="16" t="s">
        <v>26633</v>
      </c>
      <c r="F4315" s="16" t="s">
        <v>26634</v>
      </c>
      <c r="G4315" s="23" t="s">
        <v>43</v>
      </c>
      <c r="H4315" s="18" t="n">
        <v>3</v>
      </c>
      <c r="I4315" s="20" t="n">
        <v>104</v>
      </c>
      <c r="J4315" s="20" t="n">
        <v>171.62</v>
      </c>
      <c r="K4315" s="18" t="n">
        <v>11</v>
      </c>
      <c r="L4315" s="18" t="n">
        <v>2</v>
      </c>
      <c r="M4315" s="18" t="n">
        <v>110</v>
      </c>
      <c r="N4315" s="18" t="n">
        <v>60</v>
      </c>
      <c r="O4315" s="14" t="s">
        <v>18487</v>
      </c>
      <c r="P4315" s="14" t="s">
        <v>84</v>
      </c>
      <c r="Q4315" s="15" t="s">
        <v>1089</v>
      </c>
      <c r="R4315" s="16" t="s">
        <v>26635</v>
      </c>
      <c r="S4315" s="15" t="s">
        <v>26636</v>
      </c>
      <c r="T4315" s="15" t="s">
        <v>26636</v>
      </c>
      <c r="U4315" s="21" t="s">
        <v>72</v>
      </c>
    </row>
    <row r="4316" customFormat="false" ht="15" hidden="false" customHeight="false" outlineLevel="0" collapsed="false">
      <c r="A4316" s="15" t="s">
        <v>26556</v>
      </c>
      <c r="B4316" s="16"/>
      <c r="C4316" s="14" t="s">
        <v>26637</v>
      </c>
      <c r="D4316" s="14" t="s">
        <v>26638</v>
      </c>
      <c r="E4316" s="16" t="s">
        <v>26639</v>
      </c>
      <c r="F4316" s="16" t="s">
        <v>26640</v>
      </c>
      <c r="G4316" s="23" t="s">
        <v>43</v>
      </c>
      <c r="H4316" s="18" t="n">
        <v>1</v>
      </c>
      <c r="I4316" s="20" t="n">
        <v>30</v>
      </c>
      <c r="J4316" s="20" t="n">
        <v>42.43</v>
      </c>
      <c r="K4316" s="18" t="n">
        <v>2</v>
      </c>
      <c r="L4316" s="18" t="n">
        <v>1</v>
      </c>
      <c r="M4316" s="18" t="n">
        <v>24</v>
      </c>
      <c r="N4316" s="18" t="n">
        <v>24</v>
      </c>
      <c r="O4316" s="14" t="s">
        <v>1126</v>
      </c>
      <c r="P4316" s="14" t="s">
        <v>84</v>
      </c>
      <c r="Q4316" s="15" t="s">
        <v>1089</v>
      </c>
      <c r="R4316" s="16" t="s">
        <v>26641</v>
      </c>
      <c r="S4316" s="15" t="s">
        <v>24852</v>
      </c>
      <c r="T4316" s="15" t="s">
        <v>24852</v>
      </c>
      <c r="U4316" s="21" t="s">
        <v>72</v>
      </c>
    </row>
    <row r="4317" customFormat="false" ht="15" hidden="false" customHeight="false" outlineLevel="0" collapsed="false">
      <c r="A4317" s="15" t="s">
        <v>26556</v>
      </c>
      <c r="B4317" s="16"/>
      <c r="C4317" s="14" t="s">
        <v>26642</v>
      </c>
      <c r="D4317" s="14" t="s">
        <v>26643</v>
      </c>
      <c r="E4317" s="16" t="s">
        <v>26644</v>
      </c>
      <c r="F4317" s="16" t="s">
        <v>26645</v>
      </c>
      <c r="G4317" s="23" t="s">
        <v>43</v>
      </c>
      <c r="H4317" s="18" t="n">
        <v>2</v>
      </c>
      <c r="I4317" s="20" t="n">
        <v>94.27</v>
      </c>
      <c r="J4317" s="20" t="n">
        <v>178.64</v>
      </c>
      <c r="K4317" s="18" t="n">
        <v>18</v>
      </c>
      <c r="L4317" s="18" t="n">
        <v>1</v>
      </c>
      <c r="M4317" s="18" t="n">
        <v>108</v>
      </c>
      <c r="N4317" s="18" t="n">
        <v>54</v>
      </c>
      <c r="O4317" s="14" t="s">
        <v>1097</v>
      </c>
      <c r="P4317" s="14" t="s">
        <v>84</v>
      </c>
      <c r="Q4317" s="15" t="s">
        <v>1089</v>
      </c>
      <c r="R4317" s="16" t="s">
        <v>12975</v>
      </c>
      <c r="S4317" s="15" t="s">
        <v>26646</v>
      </c>
      <c r="T4317" s="15" t="s">
        <v>26646</v>
      </c>
      <c r="U4317" s="21" t="s">
        <v>72</v>
      </c>
    </row>
    <row r="4318" customFormat="false" ht="15" hidden="false" customHeight="false" outlineLevel="0" collapsed="false">
      <c r="A4318" s="15" t="s">
        <v>26556</v>
      </c>
      <c r="B4318" s="16"/>
      <c r="C4318" s="14" t="s">
        <v>26647</v>
      </c>
      <c r="D4318" s="14" t="s">
        <v>26648</v>
      </c>
      <c r="E4318" s="16" t="s">
        <v>26649</v>
      </c>
      <c r="F4318" s="16"/>
      <c r="G4318" s="23" t="s">
        <v>43</v>
      </c>
      <c r="H4318" s="18" t="n">
        <v>3</v>
      </c>
      <c r="I4318" s="20" t="n">
        <v>47.8</v>
      </c>
      <c r="J4318" s="20" t="n">
        <v>129.8</v>
      </c>
      <c r="K4318" s="18" t="n">
        <v>4</v>
      </c>
      <c r="L4318" s="18" t="n">
        <v>2</v>
      </c>
      <c r="M4318" s="18" t="n">
        <v>60</v>
      </c>
      <c r="N4318" s="18" t="n">
        <v>30</v>
      </c>
      <c r="O4318" s="14" t="s">
        <v>1126</v>
      </c>
      <c r="P4318" s="14" t="s">
        <v>1166</v>
      </c>
      <c r="Q4318" s="15" t="s">
        <v>1089</v>
      </c>
      <c r="R4318" s="16" t="s">
        <v>26650</v>
      </c>
      <c r="S4318" s="15" t="s">
        <v>26651</v>
      </c>
      <c r="T4318" s="15" t="s">
        <v>26652</v>
      </c>
      <c r="U4318" s="21" t="s">
        <v>72</v>
      </c>
    </row>
    <row r="4319" customFormat="false" ht="15" hidden="false" customHeight="false" outlineLevel="0" collapsed="false">
      <c r="A4319" s="15" t="s">
        <v>26556</v>
      </c>
      <c r="B4319" s="16"/>
      <c r="C4319" s="14" t="s">
        <v>26653</v>
      </c>
      <c r="D4319" s="14" t="s">
        <v>26654</v>
      </c>
      <c r="E4319" s="16" t="s">
        <v>26655</v>
      </c>
      <c r="F4319" s="16" t="s">
        <v>26656</v>
      </c>
      <c r="G4319" s="23" t="s">
        <v>43</v>
      </c>
      <c r="H4319" s="18" t="n">
        <v>2</v>
      </c>
      <c r="I4319" s="20" t="n">
        <v>36</v>
      </c>
      <c r="J4319" s="20" t="n">
        <v>71.03</v>
      </c>
      <c r="K4319" s="18" t="n">
        <v>2</v>
      </c>
      <c r="L4319" s="18" t="n">
        <v>3</v>
      </c>
      <c r="M4319" s="18" t="n">
        <v>24</v>
      </c>
      <c r="N4319" s="18" t="n">
        <v>24</v>
      </c>
      <c r="O4319" s="14" t="s">
        <v>1126</v>
      </c>
      <c r="P4319" s="14" t="s">
        <v>84</v>
      </c>
      <c r="Q4319" s="15" t="s">
        <v>1089</v>
      </c>
      <c r="R4319" s="16" t="s">
        <v>26657</v>
      </c>
      <c r="S4319" s="15" t="s">
        <v>26658</v>
      </c>
      <c r="T4319" s="15" t="s">
        <v>26658</v>
      </c>
      <c r="U4319" s="21" t="s">
        <v>72</v>
      </c>
    </row>
    <row r="4320" customFormat="false" ht="15" hidden="false" customHeight="false" outlineLevel="0" collapsed="false">
      <c r="A4320" s="15" t="s">
        <v>26556</v>
      </c>
      <c r="B4320" s="16"/>
      <c r="C4320" s="14" t="s">
        <v>26659</v>
      </c>
      <c r="D4320" s="14" t="s">
        <v>26660</v>
      </c>
      <c r="E4320" s="16" t="s">
        <v>26661</v>
      </c>
      <c r="F4320" s="16" t="s">
        <v>26662</v>
      </c>
      <c r="G4320" s="23" t="s">
        <v>43</v>
      </c>
      <c r="H4320" s="18" t="n">
        <v>3</v>
      </c>
      <c r="I4320" s="20" t="n">
        <v>76.56</v>
      </c>
      <c r="J4320" s="20" t="n">
        <v>141.14</v>
      </c>
      <c r="K4320" s="18" t="n">
        <v>3</v>
      </c>
      <c r="L4320" s="18" t="n">
        <v>3</v>
      </c>
      <c r="M4320" s="18" t="n">
        <v>30</v>
      </c>
      <c r="N4320" s="18" t="n">
        <v>20</v>
      </c>
      <c r="O4320" s="14" t="s">
        <v>5962</v>
      </c>
      <c r="P4320" s="14" t="s">
        <v>118</v>
      </c>
      <c r="Q4320" s="15" t="s">
        <v>1089</v>
      </c>
      <c r="R4320" s="16" t="s">
        <v>26663</v>
      </c>
      <c r="S4320" s="15" t="s">
        <v>26664</v>
      </c>
      <c r="T4320" s="15" t="s">
        <v>26664</v>
      </c>
      <c r="U4320" s="21" t="s">
        <v>72</v>
      </c>
    </row>
    <row r="4321" customFormat="false" ht="15" hidden="false" customHeight="false" outlineLevel="0" collapsed="false">
      <c r="A4321" s="15" t="s">
        <v>26556</v>
      </c>
      <c r="B4321" s="16"/>
      <c r="C4321" s="14" t="s">
        <v>26665</v>
      </c>
      <c r="D4321" s="14" t="s">
        <v>26666</v>
      </c>
      <c r="E4321" s="16" t="s">
        <v>26667</v>
      </c>
      <c r="F4321" s="16" t="s">
        <v>26668</v>
      </c>
      <c r="G4321" s="23" t="s">
        <v>43</v>
      </c>
      <c r="H4321" s="18" t="n">
        <v>1</v>
      </c>
      <c r="I4321" s="20" t="n">
        <v>51.26</v>
      </c>
      <c r="J4321" s="20" t="n">
        <v>175.38</v>
      </c>
      <c r="K4321" s="18" t="n">
        <v>2</v>
      </c>
      <c r="L4321" s="18" t="n">
        <v>2</v>
      </c>
      <c r="M4321" s="18" t="n">
        <v>30</v>
      </c>
      <c r="N4321" s="18" t="n">
        <v>30</v>
      </c>
      <c r="O4321" s="14" t="s">
        <v>1126</v>
      </c>
      <c r="P4321" s="14" t="s">
        <v>84</v>
      </c>
      <c r="Q4321" s="15" t="s">
        <v>1089</v>
      </c>
      <c r="R4321" s="16" t="s">
        <v>26669</v>
      </c>
      <c r="S4321" s="15" t="s">
        <v>26670</v>
      </c>
      <c r="T4321" s="15" t="s">
        <v>26670</v>
      </c>
      <c r="U4321" s="21" t="s">
        <v>72</v>
      </c>
    </row>
    <row r="4322" customFormat="false" ht="15" hidden="false" customHeight="false" outlineLevel="0" collapsed="false">
      <c r="A4322" s="15" t="s">
        <v>26556</v>
      </c>
      <c r="B4322" s="16"/>
      <c r="C4322" s="14" t="s">
        <v>26671</v>
      </c>
      <c r="D4322" s="14" t="s">
        <v>26672</v>
      </c>
      <c r="E4322" s="16" t="s">
        <v>26673</v>
      </c>
      <c r="F4322" s="16"/>
      <c r="G4322" s="23" t="s">
        <v>43</v>
      </c>
      <c r="H4322" s="18" t="n">
        <v>3</v>
      </c>
      <c r="I4322" s="20" t="n">
        <v>45.94</v>
      </c>
      <c r="J4322" s="20" t="n">
        <v>184.33</v>
      </c>
      <c r="K4322" s="18" t="n">
        <v>9</v>
      </c>
      <c r="L4322" s="18" t="n">
        <v>1</v>
      </c>
      <c r="M4322" s="18" t="n">
        <v>37</v>
      </c>
      <c r="N4322" s="18" t="n">
        <v>32</v>
      </c>
      <c r="O4322" s="14" t="s">
        <v>1126</v>
      </c>
      <c r="P4322" s="14" t="s">
        <v>84</v>
      </c>
      <c r="Q4322" s="15" t="s">
        <v>1089</v>
      </c>
      <c r="R4322" s="16" t="s">
        <v>26674</v>
      </c>
      <c r="S4322" s="15" t="s">
        <v>26675</v>
      </c>
      <c r="T4322" s="15" t="s">
        <v>26675</v>
      </c>
      <c r="U4322" s="21" t="s">
        <v>72</v>
      </c>
    </row>
    <row r="4323" customFormat="false" ht="15" hidden="false" customHeight="false" outlineLevel="0" collapsed="false">
      <c r="A4323" s="15" t="s">
        <v>26556</v>
      </c>
      <c r="B4323" s="16"/>
      <c r="C4323" s="14" t="s">
        <v>26676</v>
      </c>
      <c r="D4323" s="14" t="s">
        <v>26677</v>
      </c>
      <c r="E4323" s="16" t="s">
        <v>26678</v>
      </c>
      <c r="F4323" s="16" t="s">
        <v>26679</v>
      </c>
      <c r="G4323" s="23" t="s">
        <v>43</v>
      </c>
      <c r="H4323" s="18" t="n">
        <v>2</v>
      </c>
      <c r="I4323" s="20" t="n">
        <v>51</v>
      </c>
      <c r="J4323" s="20" t="n">
        <v>196.18</v>
      </c>
      <c r="K4323" s="18" t="n">
        <v>2</v>
      </c>
      <c r="L4323" s="18" t="n">
        <v>8</v>
      </c>
      <c r="M4323" s="18" t="n">
        <v>40</v>
      </c>
      <c r="N4323" s="18" t="n">
        <v>20</v>
      </c>
      <c r="O4323" s="14" t="s">
        <v>1126</v>
      </c>
      <c r="P4323" s="14" t="s">
        <v>118</v>
      </c>
      <c r="Q4323" s="15" t="s">
        <v>1089</v>
      </c>
      <c r="R4323" s="16" t="s">
        <v>26680</v>
      </c>
      <c r="S4323" s="15" t="s">
        <v>26681</v>
      </c>
      <c r="T4323" s="15" t="s">
        <v>26681</v>
      </c>
      <c r="U4323" s="21" t="s">
        <v>72</v>
      </c>
    </row>
    <row r="4324" customFormat="false" ht="15" hidden="false" customHeight="false" outlineLevel="0" collapsed="false">
      <c r="A4324" s="15" t="s">
        <v>26556</v>
      </c>
      <c r="B4324" s="16"/>
      <c r="C4324" s="14" t="s">
        <v>26682</v>
      </c>
      <c r="D4324" s="14" t="s">
        <v>26683</v>
      </c>
      <c r="E4324" s="16" t="s">
        <v>26684</v>
      </c>
      <c r="F4324" s="16" t="s">
        <v>26685</v>
      </c>
      <c r="G4324" s="23" t="s">
        <v>43</v>
      </c>
      <c r="H4324" s="18" t="n">
        <v>2</v>
      </c>
      <c r="I4324" s="20" t="n">
        <v>30.1</v>
      </c>
      <c r="J4324" s="20" t="n">
        <v>132.42</v>
      </c>
      <c r="K4324" s="18" t="n">
        <v>2</v>
      </c>
      <c r="L4324" s="18" t="n">
        <v>6</v>
      </c>
      <c r="M4324" s="18" t="n">
        <v>80</v>
      </c>
      <c r="N4324" s="18" t="n">
        <v>80</v>
      </c>
      <c r="O4324" s="14" t="s">
        <v>1126</v>
      </c>
      <c r="P4324" s="14" t="s">
        <v>84</v>
      </c>
      <c r="Q4324" s="15" t="s">
        <v>1089</v>
      </c>
      <c r="R4324" s="16" t="s">
        <v>10080</v>
      </c>
      <c r="S4324" s="15" t="s">
        <v>26686</v>
      </c>
      <c r="T4324" s="15" t="s">
        <v>26686</v>
      </c>
      <c r="U4324" s="21" t="s">
        <v>72</v>
      </c>
    </row>
    <row r="4325" customFormat="false" ht="15" hidden="false" customHeight="false" outlineLevel="0" collapsed="false">
      <c r="A4325" s="15" t="s">
        <v>26556</v>
      </c>
      <c r="B4325" s="16"/>
      <c r="C4325" s="14" t="s">
        <v>26687</v>
      </c>
      <c r="D4325" s="14" t="s">
        <v>26688</v>
      </c>
      <c r="E4325" s="16" t="s">
        <v>26689</v>
      </c>
      <c r="F4325" s="16"/>
      <c r="G4325" s="23" t="s">
        <v>43</v>
      </c>
      <c r="H4325" s="18" t="n">
        <v>2</v>
      </c>
      <c r="I4325" s="20" t="n">
        <v>47.18</v>
      </c>
      <c r="J4325" s="20" t="n">
        <v>145.4</v>
      </c>
      <c r="K4325" s="18" t="n">
        <v>2</v>
      </c>
      <c r="L4325" s="18" t="n">
        <v>3</v>
      </c>
      <c r="M4325" s="18" t="n">
        <v>24</v>
      </c>
      <c r="N4325" s="18" t="n">
        <v>12</v>
      </c>
      <c r="O4325" s="14" t="s">
        <v>1126</v>
      </c>
      <c r="P4325" s="14" t="s">
        <v>118</v>
      </c>
      <c r="Q4325" s="15" t="s">
        <v>1089</v>
      </c>
      <c r="R4325" s="16" t="s">
        <v>26690</v>
      </c>
      <c r="S4325" s="15" t="s">
        <v>26691</v>
      </c>
      <c r="T4325" s="15" t="s">
        <v>26692</v>
      </c>
      <c r="U4325" s="21" t="s">
        <v>72</v>
      </c>
    </row>
    <row r="4326" customFormat="false" ht="15" hidden="false" customHeight="false" outlineLevel="0" collapsed="false">
      <c r="A4326" s="15" t="s">
        <v>26556</v>
      </c>
      <c r="B4326" s="16"/>
      <c r="C4326" s="14" t="s">
        <v>26693</v>
      </c>
      <c r="D4326" s="14" t="s">
        <v>26694</v>
      </c>
      <c r="E4326" s="16" t="s">
        <v>26695</v>
      </c>
      <c r="F4326" s="16" t="s">
        <v>26696</v>
      </c>
      <c r="G4326" s="19" t="s">
        <v>41</v>
      </c>
      <c r="H4326" s="18" t="n">
        <v>2</v>
      </c>
      <c r="I4326" s="20" t="n">
        <v>71.2</v>
      </c>
      <c r="J4326" s="20" t="n">
        <v>209.28</v>
      </c>
      <c r="K4326" s="18" t="n">
        <v>2</v>
      </c>
      <c r="L4326" s="18" t="n">
        <v>3</v>
      </c>
      <c r="M4326" s="18" t="n">
        <v>40</v>
      </c>
      <c r="N4326" s="18" t="n">
        <v>40</v>
      </c>
      <c r="O4326" s="14" t="s">
        <v>1126</v>
      </c>
      <c r="P4326" s="14" t="s">
        <v>84</v>
      </c>
      <c r="Q4326" s="15" t="s">
        <v>1089</v>
      </c>
      <c r="R4326" s="16" t="s">
        <v>26697</v>
      </c>
      <c r="S4326" s="15" t="s">
        <v>26698</v>
      </c>
      <c r="T4326" s="15" t="s">
        <v>26698</v>
      </c>
      <c r="U4326" s="21" t="s">
        <v>72</v>
      </c>
    </row>
    <row r="4327" customFormat="false" ht="26.85" hidden="false" customHeight="false" outlineLevel="0" collapsed="false">
      <c r="A4327" s="15" t="s">
        <v>26556</v>
      </c>
      <c r="B4327" s="16"/>
      <c r="C4327" s="14" t="s">
        <v>26699</v>
      </c>
      <c r="D4327" s="14" t="s">
        <v>26700</v>
      </c>
      <c r="E4327" s="16" t="s">
        <v>26701</v>
      </c>
      <c r="F4327" s="16" t="s">
        <v>26702</v>
      </c>
      <c r="G4327" s="23" t="s">
        <v>43</v>
      </c>
      <c r="H4327" s="18" t="n">
        <v>4</v>
      </c>
      <c r="I4327" s="20" t="n">
        <v>69.14</v>
      </c>
      <c r="J4327" s="20" t="n">
        <v>195.44</v>
      </c>
      <c r="K4327" s="18" t="n">
        <v>14</v>
      </c>
      <c r="L4327" s="18" t="n">
        <v>4</v>
      </c>
      <c r="M4327" s="18" t="n">
        <v>168</v>
      </c>
      <c r="N4327" s="18" t="n">
        <v>168</v>
      </c>
      <c r="O4327" s="14" t="s">
        <v>26703</v>
      </c>
      <c r="P4327" s="14" t="s">
        <v>118</v>
      </c>
      <c r="Q4327" s="15" t="s">
        <v>1089</v>
      </c>
      <c r="R4327" s="16" t="s">
        <v>26704</v>
      </c>
      <c r="S4327" s="15" t="s">
        <v>26705</v>
      </c>
      <c r="T4327" s="15" t="s">
        <v>26706</v>
      </c>
      <c r="U4327" s="21" t="s">
        <v>72</v>
      </c>
    </row>
    <row r="4328" customFormat="false" ht="15" hidden="false" customHeight="false" outlineLevel="0" collapsed="false">
      <c r="A4328" s="15" t="s">
        <v>26556</v>
      </c>
      <c r="B4328" s="16"/>
      <c r="C4328" s="14" t="s">
        <v>26707</v>
      </c>
      <c r="D4328" s="14" t="s">
        <v>26708</v>
      </c>
      <c r="E4328" s="16" t="s">
        <v>26709</v>
      </c>
      <c r="F4328" s="16" t="s">
        <v>26710</v>
      </c>
      <c r="G4328" s="19" t="s">
        <v>41</v>
      </c>
      <c r="H4328" s="18" t="n">
        <v>4</v>
      </c>
      <c r="I4328" s="20" t="n">
        <v>96</v>
      </c>
      <c r="J4328" s="20" t="n">
        <v>283.88</v>
      </c>
      <c r="K4328" s="18" t="n">
        <v>4</v>
      </c>
      <c r="L4328" s="18" t="n">
        <v>5</v>
      </c>
      <c r="M4328" s="18" t="n">
        <v>60</v>
      </c>
      <c r="N4328" s="18" t="n">
        <v>30</v>
      </c>
      <c r="O4328" s="14" t="s">
        <v>1126</v>
      </c>
      <c r="P4328" s="14" t="s">
        <v>118</v>
      </c>
      <c r="Q4328" s="15" t="s">
        <v>1089</v>
      </c>
      <c r="R4328" s="16" t="s">
        <v>26711</v>
      </c>
      <c r="S4328" s="15" t="s">
        <v>26712</v>
      </c>
      <c r="T4328" s="15" t="s">
        <v>26712</v>
      </c>
      <c r="U4328" s="21" t="s">
        <v>72</v>
      </c>
    </row>
    <row r="4329" customFormat="false" ht="15" hidden="false" customHeight="false" outlineLevel="0" collapsed="false">
      <c r="A4329" s="15" t="s">
        <v>26556</v>
      </c>
      <c r="B4329" s="16"/>
      <c r="C4329" s="14" t="s">
        <v>26713</v>
      </c>
      <c r="D4329" s="14" t="s">
        <v>26714</v>
      </c>
      <c r="E4329" s="16" t="s">
        <v>26715</v>
      </c>
      <c r="F4329" s="16"/>
      <c r="G4329" s="23" t="s">
        <v>43</v>
      </c>
      <c r="H4329" s="18" t="n">
        <v>1</v>
      </c>
      <c r="I4329" s="20" t="n">
        <v>33.225</v>
      </c>
      <c r="J4329" s="20" t="n">
        <v>160.85</v>
      </c>
      <c r="K4329" s="18" t="n">
        <v>2</v>
      </c>
      <c r="L4329" s="18" t="n">
        <v>1</v>
      </c>
      <c r="M4329" s="18" t="n">
        <v>54</v>
      </c>
      <c r="N4329" s="18" t="n">
        <v>54</v>
      </c>
      <c r="O4329" s="14" t="s">
        <v>1126</v>
      </c>
      <c r="P4329" s="14" t="s">
        <v>84</v>
      </c>
      <c r="Q4329" s="15" t="s">
        <v>1089</v>
      </c>
      <c r="R4329" s="16" t="s">
        <v>20819</v>
      </c>
      <c r="S4329" s="15" t="s">
        <v>26716</v>
      </c>
      <c r="T4329" s="15" t="s">
        <v>22727</v>
      </c>
      <c r="U4329" s="21" t="s">
        <v>72</v>
      </c>
    </row>
    <row r="4330" customFormat="false" ht="15" hidden="false" customHeight="false" outlineLevel="0" collapsed="false">
      <c r="A4330" s="15" t="s">
        <v>26556</v>
      </c>
      <c r="B4330" s="16"/>
      <c r="C4330" s="14" t="s">
        <v>26717</v>
      </c>
      <c r="D4330" s="14" t="s">
        <v>26718</v>
      </c>
      <c r="E4330" s="16" t="s">
        <v>26719</v>
      </c>
      <c r="F4330" s="16"/>
      <c r="G4330" s="23" t="s">
        <v>43</v>
      </c>
      <c r="H4330" s="18" t="n">
        <v>1</v>
      </c>
      <c r="I4330" s="20" t="n">
        <v>55.69</v>
      </c>
      <c r="J4330" s="20" t="n">
        <v>96.26</v>
      </c>
      <c r="K4330" s="18" t="n">
        <v>3</v>
      </c>
      <c r="L4330" s="18" t="n">
        <v>6</v>
      </c>
      <c r="M4330" s="18" t="n">
        <v>30</v>
      </c>
      <c r="N4330" s="18" t="n">
        <v>10</v>
      </c>
      <c r="O4330" s="14" t="s">
        <v>1126</v>
      </c>
      <c r="P4330" s="14" t="s">
        <v>118</v>
      </c>
      <c r="Q4330" s="15" t="s">
        <v>1089</v>
      </c>
      <c r="R4330" s="16" t="s">
        <v>26720</v>
      </c>
      <c r="S4330" s="15" t="s">
        <v>26721</v>
      </c>
      <c r="T4330" s="15" t="s">
        <v>26722</v>
      </c>
      <c r="U4330" s="21" t="s">
        <v>72</v>
      </c>
    </row>
    <row r="4331" customFormat="false" ht="15" hidden="false" customHeight="false" outlineLevel="0" collapsed="false">
      <c r="A4331" s="15" t="s">
        <v>26556</v>
      </c>
      <c r="B4331" s="16"/>
      <c r="C4331" s="14" t="s">
        <v>26723</v>
      </c>
      <c r="D4331" s="14" t="s">
        <v>26724</v>
      </c>
      <c r="E4331" s="16" t="s">
        <v>26725</v>
      </c>
      <c r="F4331" s="16" t="s">
        <v>26726</v>
      </c>
      <c r="G4331" s="23" t="s">
        <v>43</v>
      </c>
      <c r="H4331" s="18" t="n">
        <v>4</v>
      </c>
      <c r="I4331" s="20" t="n">
        <v>68.25</v>
      </c>
      <c r="J4331" s="20" t="n">
        <v>150.35</v>
      </c>
      <c r="K4331" s="18" t="n">
        <v>6</v>
      </c>
      <c r="L4331" s="18" t="n">
        <v>4</v>
      </c>
      <c r="M4331" s="18" t="n">
        <v>60</v>
      </c>
      <c r="N4331" s="18" t="n">
        <v>20</v>
      </c>
      <c r="O4331" s="14" t="s">
        <v>5962</v>
      </c>
      <c r="P4331" s="14" t="s">
        <v>118</v>
      </c>
      <c r="Q4331" s="15" t="s">
        <v>1089</v>
      </c>
      <c r="R4331" s="16" t="s">
        <v>783</v>
      </c>
      <c r="S4331" s="15" t="s">
        <v>26727</v>
      </c>
      <c r="T4331" s="16"/>
      <c r="U4331" s="21" t="s">
        <v>72</v>
      </c>
    </row>
    <row r="4332" customFormat="false" ht="15" hidden="false" customHeight="false" outlineLevel="0" collapsed="false">
      <c r="A4332" s="15" t="s">
        <v>26556</v>
      </c>
      <c r="B4332" s="16"/>
      <c r="C4332" s="14" t="s">
        <v>26728</v>
      </c>
      <c r="D4332" s="14" t="s">
        <v>26729</v>
      </c>
      <c r="E4332" s="16" t="s">
        <v>26730</v>
      </c>
      <c r="F4332" s="16"/>
      <c r="G4332" s="23" t="s">
        <v>43</v>
      </c>
      <c r="H4332" s="18" t="n">
        <v>3</v>
      </c>
      <c r="I4332" s="20" t="n">
        <v>53</v>
      </c>
      <c r="J4332" s="20" t="n">
        <v>108</v>
      </c>
      <c r="K4332" s="18" t="n">
        <v>2</v>
      </c>
      <c r="L4332" s="18" t="n">
        <v>3</v>
      </c>
      <c r="M4332" s="18" t="n">
        <v>20</v>
      </c>
      <c r="N4332" s="18" t="n">
        <v>20</v>
      </c>
      <c r="O4332" s="14" t="s">
        <v>1126</v>
      </c>
      <c r="P4332" s="14" t="s">
        <v>84</v>
      </c>
      <c r="Q4332" s="15" t="s">
        <v>1089</v>
      </c>
      <c r="R4332" s="16" t="s">
        <v>7068</v>
      </c>
      <c r="S4332" s="15" t="s">
        <v>26731</v>
      </c>
      <c r="T4332" s="15" t="s">
        <v>26731</v>
      </c>
      <c r="U4332" s="21" t="s">
        <v>72</v>
      </c>
    </row>
    <row r="4333" customFormat="false" ht="15" hidden="false" customHeight="false" outlineLevel="0" collapsed="false">
      <c r="A4333" s="15" t="s">
        <v>26556</v>
      </c>
      <c r="B4333" s="16"/>
      <c r="C4333" s="14" t="s">
        <v>26732</v>
      </c>
      <c r="D4333" s="14" t="s">
        <v>26733</v>
      </c>
      <c r="E4333" s="16" t="s">
        <v>26734</v>
      </c>
      <c r="F4333" s="16"/>
      <c r="G4333" s="23" t="s">
        <v>43</v>
      </c>
      <c r="H4333" s="18" t="n">
        <v>3</v>
      </c>
      <c r="I4333" s="20" t="n">
        <v>71.814</v>
      </c>
      <c r="J4333" s="20" t="n">
        <v>199.63</v>
      </c>
      <c r="K4333" s="18" t="n">
        <v>2</v>
      </c>
      <c r="L4333" s="18" t="n">
        <v>2</v>
      </c>
      <c r="M4333" s="18" t="n">
        <v>30</v>
      </c>
      <c r="N4333" s="18" t="n">
        <v>15</v>
      </c>
      <c r="O4333" s="14" t="s">
        <v>1126</v>
      </c>
      <c r="P4333" s="14" t="s">
        <v>118</v>
      </c>
      <c r="Q4333" s="15" t="s">
        <v>1089</v>
      </c>
      <c r="R4333" s="16" t="s">
        <v>13996</v>
      </c>
      <c r="S4333" s="15" t="s">
        <v>26735</v>
      </c>
      <c r="T4333" s="15" t="s">
        <v>26735</v>
      </c>
      <c r="U4333" s="21" t="s">
        <v>72</v>
      </c>
    </row>
    <row r="4334" customFormat="false" ht="15" hidden="false" customHeight="false" outlineLevel="0" collapsed="false">
      <c r="A4334" s="15" t="s">
        <v>26556</v>
      </c>
      <c r="B4334" s="16"/>
      <c r="C4334" s="14" t="s">
        <v>26736</v>
      </c>
      <c r="D4334" s="14" t="s">
        <v>26737</v>
      </c>
      <c r="E4334" s="16" t="s">
        <v>26738</v>
      </c>
      <c r="F4334" s="16" t="s">
        <v>26739</v>
      </c>
      <c r="G4334" s="23" t="s">
        <v>43</v>
      </c>
      <c r="H4334" s="18" t="n">
        <v>2</v>
      </c>
      <c r="I4334" s="20" t="n">
        <v>44.28</v>
      </c>
      <c r="J4334" s="20" t="n">
        <v>131.04</v>
      </c>
      <c r="K4334" s="18" t="n">
        <v>2</v>
      </c>
      <c r="L4334" s="18" t="n">
        <v>2</v>
      </c>
      <c r="M4334" s="18" t="n">
        <v>34</v>
      </c>
      <c r="N4334" s="18" t="n">
        <v>34</v>
      </c>
      <c r="O4334" s="14" t="s">
        <v>1126</v>
      </c>
      <c r="P4334" s="14" t="s">
        <v>84</v>
      </c>
      <c r="Q4334" s="15" t="s">
        <v>1089</v>
      </c>
      <c r="R4334" s="16" t="s">
        <v>13333</v>
      </c>
      <c r="S4334" s="15" t="s">
        <v>26740</v>
      </c>
      <c r="T4334" s="15" t="s">
        <v>26740</v>
      </c>
      <c r="U4334" s="21" t="s">
        <v>72</v>
      </c>
    </row>
    <row r="4335" customFormat="false" ht="15" hidden="false" customHeight="false" outlineLevel="0" collapsed="false">
      <c r="A4335" s="15" t="s">
        <v>26556</v>
      </c>
      <c r="B4335" s="16"/>
      <c r="C4335" s="14" t="s">
        <v>26741</v>
      </c>
      <c r="D4335" s="14" t="s">
        <v>26742</v>
      </c>
      <c r="E4335" s="16" t="s">
        <v>26743</v>
      </c>
      <c r="F4335" s="16" t="s">
        <v>26744</v>
      </c>
      <c r="G4335" s="23" t="s">
        <v>43</v>
      </c>
      <c r="H4335" s="18" t="n">
        <v>3</v>
      </c>
      <c r="I4335" s="20" t="n">
        <v>64.93</v>
      </c>
      <c r="J4335" s="20" t="n">
        <v>121.73</v>
      </c>
      <c r="K4335" s="18" t="n">
        <v>4</v>
      </c>
      <c r="L4335" s="18" t="n">
        <v>1</v>
      </c>
      <c r="M4335" s="18" t="n">
        <v>66</v>
      </c>
      <c r="N4335" s="18" t="n">
        <v>38</v>
      </c>
      <c r="O4335" s="14" t="s">
        <v>5962</v>
      </c>
      <c r="P4335" s="14" t="s">
        <v>118</v>
      </c>
      <c r="Q4335" s="15" t="s">
        <v>1089</v>
      </c>
      <c r="R4335" s="16" t="s">
        <v>9911</v>
      </c>
      <c r="S4335" s="15" t="s">
        <v>7848</v>
      </c>
      <c r="T4335" s="15" t="s">
        <v>7848</v>
      </c>
      <c r="U4335" s="21" t="s">
        <v>72</v>
      </c>
    </row>
    <row r="4336" customFormat="false" ht="15" hidden="false" customHeight="false" outlineLevel="0" collapsed="false">
      <c r="A4336" s="15" t="s">
        <v>26556</v>
      </c>
      <c r="B4336" s="16"/>
      <c r="C4336" s="14" t="s">
        <v>26745</v>
      </c>
      <c r="D4336" s="14" t="s">
        <v>26746</v>
      </c>
      <c r="E4336" s="16" t="s">
        <v>26747</v>
      </c>
      <c r="F4336" s="16" t="s">
        <v>26748</v>
      </c>
      <c r="G4336" s="19" t="s">
        <v>41</v>
      </c>
      <c r="H4336" s="18" t="n">
        <v>5</v>
      </c>
      <c r="I4336" s="20" t="n">
        <v>120.72</v>
      </c>
      <c r="J4336" s="20" t="n">
        <v>272.57</v>
      </c>
      <c r="K4336" s="18" t="n">
        <v>13</v>
      </c>
      <c r="L4336" s="18" t="n">
        <v>6</v>
      </c>
      <c r="M4336" s="18" t="n">
        <v>190</v>
      </c>
      <c r="N4336" s="18" t="n">
        <v>75</v>
      </c>
      <c r="O4336" s="14" t="s">
        <v>3724</v>
      </c>
      <c r="P4336" s="14" t="s">
        <v>118</v>
      </c>
      <c r="Q4336" s="15" t="s">
        <v>1089</v>
      </c>
      <c r="R4336" s="16" t="s">
        <v>26749</v>
      </c>
      <c r="S4336" s="15" t="s">
        <v>26750</v>
      </c>
      <c r="T4336" s="15" t="s">
        <v>26751</v>
      </c>
      <c r="U4336" s="21" t="s">
        <v>72</v>
      </c>
    </row>
    <row r="4337" customFormat="false" ht="15" hidden="false" customHeight="false" outlineLevel="0" collapsed="false">
      <c r="A4337" s="15" t="s">
        <v>26556</v>
      </c>
      <c r="B4337" s="16"/>
      <c r="C4337" s="14" t="s">
        <v>26752</v>
      </c>
      <c r="D4337" s="14" t="s">
        <v>26753</v>
      </c>
      <c r="E4337" s="16" t="s">
        <v>26754</v>
      </c>
      <c r="F4337" s="16" t="s">
        <v>26755</v>
      </c>
      <c r="G4337" s="23" t="s">
        <v>43</v>
      </c>
      <c r="H4337" s="18" t="n">
        <v>2</v>
      </c>
      <c r="I4337" s="20" t="n">
        <v>47.88</v>
      </c>
      <c r="J4337" s="20" t="n">
        <v>152.82</v>
      </c>
      <c r="K4337" s="18" t="n">
        <v>4</v>
      </c>
      <c r="L4337" s="18" t="n">
        <v>3</v>
      </c>
      <c r="M4337" s="18" t="n">
        <v>60</v>
      </c>
      <c r="N4337" s="18" t="n">
        <v>45</v>
      </c>
      <c r="O4337" s="14" t="s">
        <v>5962</v>
      </c>
      <c r="P4337" s="14" t="s">
        <v>118</v>
      </c>
      <c r="Q4337" s="15" t="s">
        <v>1089</v>
      </c>
      <c r="R4337" s="16" t="s">
        <v>26680</v>
      </c>
      <c r="S4337" s="15" t="s">
        <v>26756</v>
      </c>
      <c r="T4337" s="15" t="s">
        <v>26756</v>
      </c>
      <c r="U4337" s="21" t="s">
        <v>72</v>
      </c>
    </row>
    <row r="4338" customFormat="false" ht="15" hidden="false" customHeight="false" outlineLevel="0" collapsed="false">
      <c r="A4338" s="15" t="s">
        <v>26556</v>
      </c>
      <c r="B4338" s="16"/>
      <c r="C4338" s="14" t="s">
        <v>26757</v>
      </c>
      <c r="D4338" s="14" t="s">
        <v>26758</v>
      </c>
      <c r="E4338" s="16" t="s">
        <v>26759</v>
      </c>
      <c r="F4338" s="16" t="s">
        <v>26760</v>
      </c>
      <c r="G4338" s="23" t="s">
        <v>43</v>
      </c>
      <c r="H4338" s="18" t="n">
        <v>2</v>
      </c>
      <c r="I4338" s="20" t="n">
        <v>67</v>
      </c>
      <c r="J4338" s="20" t="n">
        <v>143.6</v>
      </c>
      <c r="K4338" s="18" t="n">
        <v>1</v>
      </c>
      <c r="L4338" s="18" t="n">
        <v>1</v>
      </c>
      <c r="M4338" s="18" t="n">
        <v>20</v>
      </c>
      <c r="N4338" s="18" t="n">
        <v>20</v>
      </c>
      <c r="O4338" s="14" t="s">
        <v>1088</v>
      </c>
      <c r="P4338" s="14" t="s">
        <v>84</v>
      </c>
      <c r="Q4338" s="15" t="s">
        <v>1089</v>
      </c>
      <c r="R4338" s="16" t="s">
        <v>18984</v>
      </c>
      <c r="S4338" s="15" t="s">
        <v>26761</v>
      </c>
      <c r="T4338" s="15" t="s">
        <v>26762</v>
      </c>
      <c r="U4338" s="21" t="s">
        <v>72</v>
      </c>
    </row>
    <row r="4339" customFormat="false" ht="15" hidden="false" customHeight="false" outlineLevel="0" collapsed="false">
      <c r="A4339" s="15" t="s">
        <v>26556</v>
      </c>
      <c r="B4339" s="16"/>
      <c r="C4339" s="14" t="s">
        <v>26763</v>
      </c>
      <c r="D4339" s="14" t="s">
        <v>26764</v>
      </c>
      <c r="E4339" s="16" t="s">
        <v>26765</v>
      </c>
      <c r="F4339" s="16"/>
      <c r="G4339" s="23" t="s">
        <v>43</v>
      </c>
      <c r="H4339" s="18" t="n">
        <v>1</v>
      </c>
      <c r="I4339" s="20" t="n">
        <v>35.9</v>
      </c>
      <c r="J4339" s="20" t="n">
        <v>58.1</v>
      </c>
      <c r="K4339" s="18" t="n">
        <v>2</v>
      </c>
      <c r="L4339" s="18" t="n">
        <v>1</v>
      </c>
      <c r="M4339" s="18" t="n">
        <v>24</v>
      </c>
      <c r="N4339" s="18" t="n">
        <v>24</v>
      </c>
      <c r="O4339" s="14" t="s">
        <v>5962</v>
      </c>
      <c r="P4339" s="14" t="s">
        <v>118</v>
      </c>
      <c r="Q4339" s="15" t="s">
        <v>1089</v>
      </c>
      <c r="R4339" s="16" t="s">
        <v>26766</v>
      </c>
      <c r="S4339" s="15" t="s">
        <v>26767</v>
      </c>
      <c r="T4339" s="15" t="s">
        <v>26767</v>
      </c>
      <c r="U4339" s="21" t="s">
        <v>72</v>
      </c>
    </row>
    <row r="4340" customFormat="false" ht="15" hidden="false" customHeight="false" outlineLevel="0" collapsed="false">
      <c r="A4340" s="15" t="s">
        <v>26556</v>
      </c>
      <c r="B4340" s="16"/>
      <c r="C4340" s="14" t="s">
        <v>26768</v>
      </c>
      <c r="D4340" s="14" t="s">
        <v>26769</v>
      </c>
      <c r="E4340" s="16" t="s">
        <v>26770</v>
      </c>
      <c r="F4340" s="16" t="s">
        <v>26771</v>
      </c>
      <c r="G4340" s="23" t="s">
        <v>43</v>
      </c>
      <c r="H4340" s="18" t="n">
        <v>2</v>
      </c>
      <c r="I4340" s="20" t="n">
        <v>106.11</v>
      </c>
      <c r="J4340" s="20" t="n">
        <v>159.33</v>
      </c>
      <c r="K4340" s="18" t="n">
        <v>8</v>
      </c>
      <c r="L4340" s="18" t="n">
        <v>1</v>
      </c>
      <c r="M4340" s="18" t="n">
        <v>80</v>
      </c>
      <c r="N4340" s="18" t="n">
        <v>20</v>
      </c>
      <c r="O4340" s="14" t="s">
        <v>3724</v>
      </c>
      <c r="P4340" s="14" t="s">
        <v>118</v>
      </c>
      <c r="Q4340" s="15" t="s">
        <v>1089</v>
      </c>
      <c r="R4340" s="16" t="s">
        <v>26772</v>
      </c>
      <c r="S4340" s="15" t="s">
        <v>23721</v>
      </c>
      <c r="T4340" s="15" t="s">
        <v>26773</v>
      </c>
      <c r="U4340" s="21" t="s">
        <v>72</v>
      </c>
    </row>
    <row r="4341" customFormat="false" ht="15" hidden="false" customHeight="false" outlineLevel="0" collapsed="false">
      <c r="A4341" s="15" t="s">
        <v>26556</v>
      </c>
      <c r="B4341" s="16"/>
      <c r="C4341" s="14" t="s">
        <v>26774</v>
      </c>
      <c r="D4341" s="14" t="s">
        <v>26775</v>
      </c>
      <c r="E4341" s="16" t="s">
        <v>26776</v>
      </c>
      <c r="F4341" s="16"/>
      <c r="G4341" s="19" t="s">
        <v>41</v>
      </c>
      <c r="H4341" s="18" t="n">
        <v>5</v>
      </c>
      <c r="I4341" s="20" t="n">
        <v>95.77</v>
      </c>
      <c r="J4341" s="20" t="n">
        <v>193.36</v>
      </c>
      <c r="K4341" s="18" t="n">
        <v>3</v>
      </c>
      <c r="L4341" s="18" t="n">
        <v>2</v>
      </c>
      <c r="M4341" s="18" t="n">
        <v>30</v>
      </c>
      <c r="N4341" s="18" t="n">
        <v>20</v>
      </c>
      <c r="O4341" s="14" t="s">
        <v>5962</v>
      </c>
      <c r="P4341" s="14" t="s">
        <v>84</v>
      </c>
      <c r="Q4341" s="15" t="s">
        <v>1089</v>
      </c>
      <c r="R4341" s="16" t="s">
        <v>26777</v>
      </c>
      <c r="S4341" s="15" t="s">
        <v>26778</v>
      </c>
      <c r="T4341" s="15" t="s">
        <v>26778</v>
      </c>
      <c r="U4341" s="21" t="s">
        <v>72</v>
      </c>
    </row>
    <row r="4342" customFormat="false" ht="15" hidden="false" customHeight="false" outlineLevel="0" collapsed="false">
      <c r="A4342" s="15" t="s">
        <v>26556</v>
      </c>
      <c r="B4342" s="16"/>
      <c r="C4342" s="14" t="s">
        <v>26779</v>
      </c>
      <c r="D4342" s="14" t="s">
        <v>26780</v>
      </c>
      <c r="E4342" s="16" t="s">
        <v>26781</v>
      </c>
      <c r="F4342" s="16" t="s">
        <v>26591</v>
      </c>
      <c r="G4342" s="25" t="s">
        <v>39</v>
      </c>
      <c r="H4342" s="18" t="n">
        <v>6</v>
      </c>
      <c r="I4342" s="20" t="n">
        <v>169.15</v>
      </c>
      <c r="J4342" s="20" t="n">
        <v>583.24</v>
      </c>
      <c r="K4342" s="18" t="n">
        <v>19</v>
      </c>
      <c r="L4342" s="18" t="n">
        <v>6</v>
      </c>
      <c r="M4342" s="18" t="n">
        <v>285</v>
      </c>
      <c r="N4342" s="18" t="n">
        <v>75</v>
      </c>
      <c r="O4342" s="14" t="s">
        <v>3724</v>
      </c>
      <c r="P4342" s="14" t="s">
        <v>334</v>
      </c>
      <c r="Q4342" s="15" t="s">
        <v>1089</v>
      </c>
      <c r="R4342" s="16" t="s">
        <v>26782</v>
      </c>
      <c r="S4342" s="15" t="s">
        <v>25187</v>
      </c>
      <c r="T4342" s="15" t="s">
        <v>26783</v>
      </c>
      <c r="U4342" s="21" t="s">
        <v>72</v>
      </c>
    </row>
    <row r="4343" customFormat="false" ht="15" hidden="false" customHeight="false" outlineLevel="0" collapsed="false">
      <c r="A4343" s="15" t="s">
        <v>26556</v>
      </c>
      <c r="B4343" s="16"/>
      <c r="C4343" s="14" t="s">
        <v>26784</v>
      </c>
      <c r="D4343" s="14" t="s">
        <v>26785</v>
      </c>
      <c r="E4343" s="16" t="s">
        <v>26786</v>
      </c>
      <c r="F4343" s="16"/>
      <c r="G4343" s="23" t="s">
        <v>43</v>
      </c>
      <c r="H4343" s="18" t="n">
        <v>2</v>
      </c>
      <c r="I4343" s="20" t="n">
        <v>31.2</v>
      </c>
      <c r="J4343" s="20" t="n">
        <v>130.8</v>
      </c>
      <c r="K4343" s="18" t="n">
        <v>2</v>
      </c>
      <c r="L4343" s="18" t="n">
        <v>2</v>
      </c>
      <c r="M4343" s="18" t="n">
        <v>20</v>
      </c>
      <c r="N4343" s="18" t="n">
        <v>10</v>
      </c>
      <c r="O4343" s="14" t="s">
        <v>1126</v>
      </c>
      <c r="P4343" s="14" t="s">
        <v>118</v>
      </c>
      <c r="Q4343" s="15" t="s">
        <v>1089</v>
      </c>
      <c r="R4343" s="16" t="s">
        <v>23986</v>
      </c>
      <c r="S4343" s="15" t="s">
        <v>26787</v>
      </c>
      <c r="T4343" s="15" t="s">
        <v>26787</v>
      </c>
      <c r="U4343" s="21" t="s">
        <v>72</v>
      </c>
    </row>
    <row r="4344" customFormat="false" ht="15" hidden="false" customHeight="false" outlineLevel="0" collapsed="false">
      <c r="A4344" s="15" t="s">
        <v>26556</v>
      </c>
      <c r="B4344" s="16"/>
      <c r="C4344" s="14" t="s">
        <v>26788</v>
      </c>
      <c r="D4344" s="14" t="s">
        <v>26789</v>
      </c>
      <c r="E4344" s="16" t="s">
        <v>26790</v>
      </c>
      <c r="F4344" s="16" t="s">
        <v>26791</v>
      </c>
      <c r="G4344" s="23" t="s">
        <v>43</v>
      </c>
      <c r="H4344" s="18" t="n">
        <v>3</v>
      </c>
      <c r="I4344" s="20" t="n">
        <v>55.88</v>
      </c>
      <c r="J4344" s="20" t="n">
        <v>155.22</v>
      </c>
      <c r="K4344" s="18" t="n">
        <v>12</v>
      </c>
      <c r="L4344" s="18" t="n">
        <v>4</v>
      </c>
      <c r="M4344" s="18" t="n">
        <v>120</v>
      </c>
      <c r="N4344" s="18" t="n">
        <v>40</v>
      </c>
      <c r="O4344" s="14" t="s">
        <v>3724</v>
      </c>
      <c r="P4344" s="14" t="s">
        <v>118</v>
      </c>
      <c r="Q4344" s="15" t="s">
        <v>1089</v>
      </c>
      <c r="R4344" s="16" t="s">
        <v>15636</v>
      </c>
      <c r="S4344" s="15" t="s">
        <v>26792</v>
      </c>
      <c r="T4344" s="15" t="s">
        <v>26792</v>
      </c>
      <c r="U4344" s="21" t="s">
        <v>72</v>
      </c>
    </row>
    <row r="4345" customFormat="false" ht="15" hidden="false" customHeight="false" outlineLevel="0" collapsed="false">
      <c r="A4345" s="15" t="s">
        <v>26556</v>
      </c>
      <c r="B4345" s="16"/>
      <c r="C4345" s="14" t="s">
        <v>26793</v>
      </c>
      <c r="D4345" s="14" t="s">
        <v>26794</v>
      </c>
      <c r="E4345" s="16" t="s">
        <v>26795</v>
      </c>
      <c r="F4345" s="16" t="s">
        <v>26796</v>
      </c>
      <c r="G4345" s="23" t="s">
        <v>43</v>
      </c>
      <c r="H4345" s="18" t="n">
        <v>3</v>
      </c>
      <c r="I4345" s="20" t="n">
        <v>59.2</v>
      </c>
      <c r="J4345" s="20" t="n">
        <v>182.41</v>
      </c>
      <c r="K4345" s="18" t="n">
        <v>13</v>
      </c>
      <c r="L4345" s="18" t="n">
        <v>6</v>
      </c>
      <c r="M4345" s="18" t="n">
        <v>145</v>
      </c>
      <c r="N4345" s="18" t="n">
        <v>75</v>
      </c>
      <c r="O4345" s="14" t="s">
        <v>5962</v>
      </c>
      <c r="P4345" s="14" t="s">
        <v>118</v>
      </c>
      <c r="Q4345" s="15" t="s">
        <v>1089</v>
      </c>
      <c r="R4345" s="16" t="s">
        <v>19826</v>
      </c>
      <c r="S4345" s="15" t="s">
        <v>26797</v>
      </c>
      <c r="T4345" s="15" t="s">
        <v>26797</v>
      </c>
      <c r="U4345" s="21" t="s">
        <v>72</v>
      </c>
    </row>
    <row r="4346" customFormat="false" ht="15" hidden="false" customHeight="false" outlineLevel="0" collapsed="false">
      <c r="A4346" s="15" t="s">
        <v>26556</v>
      </c>
      <c r="B4346" s="16"/>
      <c r="C4346" s="14" t="s">
        <v>26798</v>
      </c>
      <c r="D4346" s="14" t="s">
        <v>26799</v>
      </c>
      <c r="E4346" s="16" t="s">
        <v>26800</v>
      </c>
      <c r="F4346" s="16" t="s">
        <v>26801</v>
      </c>
      <c r="G4346" s="23" t="s">
        <v>43</v>
      </c>
      <c r="H4346" s="18" t="n">
        <v>3</v>
      </c>
      <c r="I4346" s="20" t="n">
        <v>54.727</v>
      </c>
      <c r="J4346" s="20" t="n">
        <v>195.11</v>
      </c>
      <c r="K4346" s="18" t="n">
        <v>10</v>
      </c>
      <c r="L4346" s="18" t="n">
        <v>3</v>
      </c>
      <c r="M4346" s="18" t="n">
        <v>120</v>
      </c>
      <c r="N4346" s="18" t="n">
        <v>24</v>
      </c>
      <c r="O4346" s="14" t="s">
        <v>3724</v>
      </c>
      <c r="P4346" s="14" t="s">
        <v>118</v>
      </c>
      <c r="Q4346" s="15" t="s">
        <v>1089</v>
      </c>
      <c r="R4346" s="16" t="s">
        <v>26802</v>
      </c>
      <c r="S4346" s="15" t="s">
        <v>26803</v>
      </c>
      <c r="T4346" s="15" t="s">
        <v>26803</v>
      </c>
      <c r="U4346" s="21" t="s">
        <v>72</v>
      </c>
    </row>
    <row r="4347" customFormat="false" ht="15" hidden="false" customHeight="false" outlineLevel="0" collapsed="false">
      <c r="A4347" s="15" t="s">
        <v>26556</v>
      </c>
      <c r="B4347" s="16"/>
      <c r="C4347" s="14" t="s">
        <v>26804</v>
      </c>
      <c r="D4347" s="14" t="s">
        <v>26805</v>
      </c>
      <c r="E4347" s="16" t="s">
        <v>26806</v>
      </c>
      <c r="F4347" s="16"/>
      <c r="G4347" s="23" t="s">
        <v>43</v>
      </c>
      <c r="H4347" s="18" t="n">
        <v>2</v>
      </c>
      <c r="I4347" s="20" t="n">
        <v>42.65</v>
      </c>
      <c r="J4347" s="20" t="n">
        <v>112.18</v>
      </c>
      <c r="K4347" s="18" t="n">
        <v>2</v>
      </c>
      <c r="L4347" s="18" t="n">
        <v>2</v>
      </c>
      <c r="M4347" s="18" t="n">
        <v>20</v>
      </c>
      <c r="N4347" s="18" t="n">
        <v>10</v>
      </c>
      <c r="O4347" s="14" t="s">
        <v>1126</v>
      </c>
      <c r="P4347" s="14" t="s">
        <v>118</v>
      </c>
      <c r="Q4347" s="15" t="s">
        <v>1089</v>
      </c>
      <c r="R4347" s="16" t="s">
        <v>26720</v>
      </c>
      <c r="S4347" s="15" t="s">
        <v>26807</v>
      </c>
      <c r="T4347" s="15" t="s">
        <v>26807</v>
      </c>
      <c r="U4347" s="21" t="s">
        <v>72</v>
      </c>
    </row>
    <row r="4348" customFormat="false" ht="15" hidden="false" customHeight="false" outlineLevel="0" collapsed="false">
      <c r="A4348" s="15" t="s">
        <v>26556</v>
      </c>
      <c r="B4348" s="16"/>
      <c r="C4348" s="14" t="s">
        <v>26808</v>
      </c>
      <c r="D4348" s="14" t="s">
        <v>26809</v>
      </c>
      <c r="E4348" s="16" t="s">
        <v>26810</v>
      </c>
      <c r="F4348" s="16" t="s">
        <v>26811</v>
      </c>
      <c r="G4348" s="19" t="s">
        <v>41</v>
      </c>
      <c r="H4348" s="18" t="n">
        <v>5</v>
      </c>
      <c r="I4348" s="20" t="n">
        <v>67.9</v>
      </c>
      <c r="J4348" s="20" t="n">
        <v>151.35</v>
      </c>
      <c r="K4348" s="18" t="n">
        <v>4</v>
      </c>
      <c r="L4348" s="18" t="n">
        <v>3</v>
      </c>
      <c r="M4348" s="18" t="n">
        <v>80</v>
      </c>
      <c r="N4348" s="18" t="n">
        <v>80</v>
      </c>
      <c r="O4348" s="14" t="s">
        <v>1126</v>
      </c>
      <c r="P4348" s="14" t="s">
        <v>84</v>
      </c>
      <c r="Q4348" s="15" t="s">
        <v>1089</v>
      </c>
      <c r="R4348" s="16" t="s">
        <v>26635</v>
      </c>
      <c r="S4348" s="15" t="s">
        <v>26812</v>
      </c>
      <c r="T4348" s="15" t="s">
        <v>26813</v>
      </c>
      <c r="U4348" s="21" t="s">
        <v>72</v>
      </c>
    </row>
    <row r="4349" customFormat="false" ht="15" hidden="false" customHeight="false" outlineLevel="0" collapsed="false">
      <c r="A4349" s="15" t="s">
        <v>26556</v>
      </c>
      <c r="B4349" s="16"/>
      <c r="C4349" s="14" t="s">
        <v>26814</v>
      </c>
      <c r="D4349" s="14" t="s">
        <v>26815</v>
      </c>
      <c r="E4349" s="16" t="s">
        <v>26816</v>
      </c>
      <c r="F4349" s="16" t="s">
        <v>26817</v>
      </c>
      <c r="G4349" s="23" t="s">
        <v>43</v>
      </c>
      <c r="H4349" s="18" t="n">
        <v>2</v>
      </c>
      <c r="I4349" s="20" t="n">
        <v>63.71</v>
      </c>
      <c r="J4349" s="20" t="n">
        <v>84.5</v>
      </c>
      <c r="K4349" s="18" t="n">
        <v>8</v>
      </c>
      <c r="L4349" s="18" t="n">
        <v>5</v>
      </c>
      <c r="M4349" s="18" t="n">
        <v>80</v>
      </c>
      <c r="N4349" s="18" t="n">
        <v>20</v>
      </c>
      <c r="O4349" s="14" t="s">
        <v>3724</v>
      </c>
      <c r="P4349" s="14" t="s">
        <v>118</v>
      </c>
      <c r="Q4349" s="15" t="s">
        <v>1089</v>
      </c>
      <c r="R4349" s="16" t="s">
        <v>26321</v>
      </c>
      <c r="S4349" s="15" t="s">
        <v>23530</v>
      </c>
      <c r="T4349" s="15" t="s">
        <v>26818</v>
      </c>
      <c r="U4349" s="21" t="s">
        <v>72</v>
      </c>
    </row>
    <row r="4350" customFormat="false" ht="15" hidden="false" customHeight="false" outlineLevel="0" collapsed="false">
      <c r="A4350" s="15" t="s">
        <v>26556</v>
      </c>
      <c r="B4350" s="16"/>
      <c r="C4350" s="14" t="s">
        <v>26819</v>
      </c>
      <c r="D4350" s="14" t="s">
        <v>26820</v>
      </c>
      <c r="E4350" s="16" t="s">
        <v>26821</v>
      </c>
      <c r="F4350" s="16"/>
      <c r="G4350" s="23" t="s">
        <v>43</v>
      </c>
      <c r="H4350" s="18" t="n">
        <v>2</v>
      </c>
      <c r="I4350" s="20" t="n">
        <v>53</v>
      </c>
      <c r="J4350" s="20" t="n">
        <v>99.9</v>
      </c>
      <c r="K4350" s="18" t="n">
        <v>2</v>
      </c>
      <c r="L4350" s="18" t="n">
        <v>2</v>
      </c>
      <c r="M4350" s="18" t="n">
        <v>40</v>
      </c>
      <c r="N4350" s="18" t="n">
        <v>40</v>
      </c>
      <c r="O4350" s="14" t="s">
        <v>1126</v>
      </c>
      <c r="P4350" s="14" t="s">
        <v>84</v>
      </c>
      <c r="Q4350" s="15" t="s">
        <v>1089</v>
      </c>
      <c r="R4350" s="16" t="s">
        <v>5451</v>
      </c>
      <c r="S4350" s="15" t="s">
        <v>26822</v>
      </c>
      <c r="T4350" s="15" t="s">
        <v>26823</v>
      </c>
      <c r="U4350" s="21" t="s">
        <v>72</v>
      </c>
    </row>
    <row r="4351" customFormat="false" ht="15" hidden="false" customHeight="false" outlineLevel="0" collapsed="false">
      <c r="A4351" s="15" t="s">
        <v>26556</v>
      </c>
      <c r="B4351" s="16"/>
      <c r="C4351" s="14" t="s">
        <v>26824</v>
      </c>
      <c r="D4351" s="14" t="s">
        <v>26825</v>
      </c>
      <c r="E4351" s="16" t="s">
        <v>26826</v>
      </c>
      <c r="F4351" s="16"/>
      <c r="G4351" s="23" t="s">
        <v>43</v>
      </c>
      <c r="H4351" s="18" t="n">
        <v>4</v>
      </c>
      <c r="I4351" s="20" t="n">
        <v>150.12</v>
      </c>
      <c r="J4351" s="20" t="n">
        <v>179.6</v>
      </c>
      <c r="K4351" s="18" t="n">
        <v>6</v>
      </c>
      <c r="L4351" s="18" t="n">
        <v>5</v>
      </c>
      <c r="M4351" s="18" t="n">
        <v>60</v>
      </c>
      <c r="N4351" s="18" t="n">
        <v>40</v>
      </c>
      <c r="O4351" s="14" t="s">
        <v>1126</v>
      </c>
      <c r="P4351" s="14" t="s">
        <v>84</v>
      </c>
      <c r="Q4351" s="15" t="s">
        <v>1089</v>
      </c>
      <c r="R4351" s="16" t="s">
        <v>17125</v>
      </c>
      <c r="S4351" s="15" t="s">
        <v>26827</v>
      </c>
      <c r="T4351" s="15" t="s">
        <v>26828</v>
      </c>
      <c r="U4351" s="21" t="s">
        <v>72</v>
      </c>
    </row>
    <row r="4352" customFormat="false" ht="15" hidden="false" customHeight="false" outlineLevel="0" collapsed="false">
      <c r="A4352" s="15" t="s">
        <v>26556</v>
      </c>
      <c r="B4352" s="16"/>
      <c r="C4352" s="14" t="s">
        <v>26829</v>
      </c>
      <c r="D4352" s="14" t="s">
        <v>26830</v>
      </c>
      <c r="E4352" s="16" t="s">
        <v>26831</v>
      </c>
      <c r="F4352" s="16" t="s">
        <v>26832</v>
      </c>
      <c r="G4352" s="23" t="s">
        <v>43</v>
      </c>
      <c r="H4352" s="18" t="n">
        <v>2</v>
      </c>
      <c r="I4352" s="20" t="n">
        <v>46.23</v>
      </c>
      <c r="J4352" s="20" t="n">
        <v>89.57</v>
      </c>
      <c r="K4352" s="18" t="n">
        <v>3</v>
      </c>
      <c r="L4352" s="18" t="n">
        <v>3</v>
      </c>
      <c r="M4352" s="18" t="n">
        <v>36</v>
      </c>
      <c r="N4352" s="18" t="n">
        <v>24</v>
      </c>
      <c r="O4352" s="14" t="s">
        <v>17859</v>
      </c>
      <c r="P4352" s="14" t="s">
        <v>118</v>
      </c>
      <c r="Q4352" s="15" t="s">
        <v>1089</v>
      </c>
      <c r="R4352" s="16" t="s">
        <v>18598</v>
      </c>
      <c r="S4352" s="15" t="s">
        <v>26833</v>
      </c>
      <c r="T4352" s="15" t="s">
        <v>26834</v>
      </c>
      <c r="U4352" s="21" t="s">
        <v>72</v>
      </c>
    </row>
    <row r="4353" customFormat="false" ht="15" hidden="false" customHeight="false" outlineLevel="0" collapsed="false">
      <c r="A4353" s="15" t="s">
        <v>26556</v>
      </c>
      <c r="B4353" s="16"/>
      <c r="C4353" s="14" t="s">
        <v>26835</v>
      </c>
      <c r="D4353" s="14" t="s">
        <v>26836</v>
      </c>
      <c r="E4353" s="16" t="s">
        <v>26837</v>
      </c>
      <c r="F4353" s="16"/>
      <c r="G4353" s="19" t="s">
        <v>41</v>
      </c>
      <c r="H4353" s="18" t="n">
        <v>4</v>
      </c>
      <c r="I4353" s="20" t="n">
        <v>111.54</v>
      </c>
      <c r="J4353" s="20" t="n">
        <v>307.16</v>
      </c>
      <c r="K4353" s="18" t="n">
        <v>4</v>
      </c>
      <c r="L4353" s="18" t="n">
        <v>1</v>
      </c>
      <c r="M4353" s="18" t="n">
        <v>60</v>
      </c>
      <c r="N4353" s="18" t="n">
        <v>30</v>
      </c>
      <c r="O4353" s="14" t="s">
        <v>1126</v>
      </c>
      <c r="P4353" s="14" t="s">
        <v>84</v>
      </c>
      <c r="Q4353" s="15" t="s">
        <v>1089</v>
      </c>
      <c r="R4353" s="16" t="s">
        <v>23570</v>
      </c>
      <c r="S4353" s="15" t="s">
        <v>26838</v>
      </c>
      <c r="T4353" s="15" t="s">
        <v>26839</v>
      </c>
      <c r="U4353" s="21" t="s">
        <v>72</v>
      </c>
    </row>
    <row r="4354" customFormat="false" ht="15" hidden="false" customHeight="false" outlineLevel="0" collapsed="false">
      <c r="A4354" s="15" t="s">
        <v>26556</v>
      </c>
      <c r="B4354" s="16"/>
      <c r="C4354" s="14" t="s">
        <v>26840</v>
      </c>
      <c r="D4354" s="14" t="s">
        <v>26841</v>
      </c>
      <c r="E4354" s="16" t="s">
        <v>26842</v>
      </c>
      <c r="F4354" s="16"/>
      <c r="G4354" s="19" t="s">
        <v>41</v>
      </c>
      <c r="H4354" s="18" t="n">
        <v>5</v>
      </c>
      <c r="I4354" s="20" t="n">
        <v>108</v>
      </c>
      <c r="J4354" s="20" t="n">
        <v>245</v>
      </c>
      <c r="K4354" s="18" t="n">
        <v>2</v>
      </c>
      <c r="L4354" s="18" t="n">
        <v>3</v>
      </c>
      <c r="M4354" s="18" t="n">
        <v>40</v>
      </c>
      <c r="N4354" s="18" t="n">
        <v>20</v>
      </c>
      <c r="O4354" s="14" t="s">
        <v>1126</v>
      </c>
      <c r="P4354" s="14" t="s">
        <v>118</v>
      </c>
      <c r="Q4354" s="15" t="s">
        <v>1089</v>
      </c>
      <c r="R4354" s="16" t="s">
        <v>26843</v>
      </c>
      <c r="S4354" s="15" t="s">
        <v>26844</v>
      </c>
      <c r="T4354" s="15" t="s">
        <v>26845</v>
      </c>
      <c r="U4354" s="21" t="s">
        <v>72</v>
      </c>
    </row>
    <row r="4355" customFormat="false" ht="15" hidden="false" customHeight="false" outlineLevel="0" collapsed="false">
      <c r="A4355" s="15" t="s">
        <v>26556</v>
      </c>
      <c r="B4355" s="16"/>
      <c r="C4355" s="14" t="s">
        <v>26846</v>
      </c>
      <c r="D4355" s="14" t="s">
        <v>26847</v>
      </c>
      <c r="E4355" s="16" t="s">
        <v>26848</v>
      </c>
      <c r="F4355" s="16"/>
      <c r="G4355" s="23" t="s">
        <v>43</v>
      </c>
      <c r="H4355" s="18" t="n">
        <v>1</v>
      </c>
      <c r="I4355" s="20" t="n">
        <v>49.126</v>
      </c>
      <c r="J4355" s="20" t="n">
        <v>74.854</v>
      </c>
      <c r="K4355" s="18" t="n">
        <v>4</v>
      </c>
      <c r="L4355" s="18" t="n">
        <v>1</v>
      </c>
      <c r="M4355" s="18" t="n">
        <v>160</v>
      </c>
      <c r="N4355" s="18" t="n">
        <v>80</v>
      </c>
      <c r="O4355" s="14" t="s">
        <v>1088</v>
      </c>
      <c r="P4355" s="14" t="s">
        <v>118</v>
      </c>
      <c r="Q4355" s="15" t="s">
        <v>1089</v>
      </c>
      <c r="R4355" s="16" t="s">
        <v>12232</v>
      </c>
      <c r="S4355" s="15" t="s">
        <v>26849</v>
      </c>
      <c r="T4355" s="15" t="s">
        <v>26850</v>
      </c>
      <c r="U4355" s="21" t="s">
        <v>72</v>
      </c>
    </row>
    <row r="4356" customFormat="false" ht="26.85" hidden="false" customHeight="false" outlineLevel="0" collapsed="false">
      <c r="A4356" s="15" t="s">
        <v>26556</v>
      </c>
      <c r="B4356" s="16"/>
      <c r="C4356" s="14" t="s">
        <v>26851</v>
      </c>
      <c r="D4356" s="14" t="s">
        <v>26852</v>
      </c>
      <c r="E4356" s="16" t="s">
        <v>26853</v>
      </c>
      <c r="F4356" s="16" t="s">
        <v>26854</v>
      </c>
      <c r="G4356" s="23" t="s">
        <v>43</v>
      </c>
      <c r="H4356" s="18" t="n">
        <v>2</v>
      </c>
      <c r="I4356" s="20" t="n">
        <v>32</v>
      </c>
      <c r="J4356" s="20" t="n">
        <v>89.22</v>
      </c>
      <c r="K4356" s="18" t="n">
        <v>6</v>
      </c>
      <c r="L4356" s="18" t="n">
        <v>3</v>
      </c>
      <c r="M4356" s="18" t="n">
        <v>90</v>
      </c>
      <c r="N4356" s="18" t="n">
        <v>30</v>
      </c>
      <c r="O4356" s="14" t="s">
        <v>3724</v>
      </c>
      <c r="P4356" s="14" t="s">
        <v>906</v>
      </c>
      <c r="Q4356" s="15" t="s">
        <v>1089</v>
      </c>
      <c r="R4356" s="16" t="s">
        <v>26855</v>
      </c>
      <c r="S4356" s="15" t="s">
        <v>26856</v>
      </c>
      <c r="T4356" s="15" t="s">
        <v>26857</v>
      </c>
      <c r="U4356" s="21" t="s">
        <v>72</v>
      </c>
    </row>
    <row r="4357" customFormat="false" ht="15" hidden="false" customHeight="false" outlineLevel="0" collapsed="false">
      <c r="A4357" s="15" t="s">
        <v>26556</v>
      </c>
      <c r="B4357" s="16"/>
      <c r="C4357" s="14" t="s">
        <v>26858</v>
      </c>
      <c r="D4357" s="14" t="s">
        <v>26859</v>
      </c>
      <c r="E4357" s="16" t="s">
        <v>26860</v>
      </c>
      <c r="F4357" s="16"/>
      <c r="G4357" s="23" t="s">
        <v>43</v>
      </c>
      <c r="H4357" s="18" t="n">
        <v>2</v>
      </c>
      <c r="I4357" s="20" t="n">
        <v>75.49</v>
      </c>
      <c r="J4357" s="20" t="n">
        <v>83.49</v>
      </c>
      <c r="K4357" s="18" t="n">
        <v>10</v>
      </c>
      <c r="L4357" s="18" t="n">
        <v>3</v>
      </c>
      <c r="M4357" s="18" t="n">
        <v>150</v>
      </c>
      <c r="N4357" s="18" t="n">
        <v>45</v>
      </c>
      <c r="O4357" s="14" t="s">
        <v>5962</v>
      </c>
      <c r="P4357" s="14" t="s">
        <v>118</v>
      </c>
      <c r="Q4357" s="15" t="s">
        <v>1089</v>
      </c>
      <c r="R4357" s="16" t="s">
        <v>26861</v>
      </c>
      <c r="S4357" s="15" t="s">
        <v>26862</v>
      </c>
      <c r="T4357" s="15" t="s">
        <v>26862</v>
      </c>
      <c r="U4357" s="21" t="s">
        <v>72</v>
      </c>
    </row>
    <row r="4358" customFormat="false" ht="15" hidden="false" customHeight="false" outlineLevel="0" collapsed="false">
      <c r="A4358" s="15" t="s">
        <v>26556</v>
      </c>
      <c r="B4358" s="16"/>
      <c r="C4358" s="14" t="s">
        <v>26863</v>
      </c>
      <c r="D4358" s="14" t="s">
        <v>26864</v>
      </c>
      <c r="E4358" s="16" t="s">
        <v>26865</v>
      </c>
      <c r="F4358" s="16"/>
      <c r="G4358" s="23" t="s">
        <v>43</v>
      </c>
      <c r="H4358" s="18" t="n">
        <v>4</v>
      </c>
      <c r="I4358" s="20" t="n">
        <v>101.34</v>
      </c>
      <c r="J4358" s="20" t="n">
        <v>152.33</v>
      </c>
      <c r="K4358" s="18" t="n">
        <v>3</v>
      </c>
      <c r="L4358" s="18" t="n">
        <v>3</v>
      </c>
      <c r="M4358" s="18" t="n">
        <v>30</v>
      </c>
      <c r="N4358" s="18" t="n">
        <v>10</v>
      </c>
      <c r="O4358" s="14" t="s">
        <v>1126</v>
      </c>
      <c r="P4358" s="14" t="s">
        <v>118</v>
      </c>
      <c r="Q4358" s="15" t="s">
        <v>1089</v>
      </c>
      <c r="R4358" s="16" t="s">
        <v>26866</v>
      </c>
      <c r="S4358" s="15" t="s">
        <v>26867</v>
      </c>
      <c r="T4358" s="15" t="s">
        <v>26868</v>
      </c>
      <c r="U4358" s="21" t="s">
        <v>72</v>
      </c>
    </row>
    <row r="4359" customFormat="false" ht="15" hidden="false" customHeight="false" outlineLevel="0" collapsed="false">
      <c r="A4359" s="15" t="s">
        <v>26556</v>
      </c>
      <c r="B4359" s="16"/>
      <c r="C4359" s="14" t="s">
        <v>26869</v>
      </c>
      <c r="D4359" s="14" t="s">
        <v>26870</v>
      </c>
      <c r="E4359" s="16" t="s">
        <v>26871</v>
      </c>
      <c r="F4359" s="16"/>
      <c r="G4359" s="23" t="s">
        <v>43</v>
      </c>
      <c r="H4359" s="18" t="n">
        <v>3</v>
      </c>
      <c r="I4359" s="20" t="n">
        <v>96</v>
      </c>
      <c r="J4359" s="20" t="n">
        <v>172.12</v>
      </c>
      <c r="K4359" s="18" t="n">
        <v>9</v>
      </c>
      <c r="L4359" s="18" t="n">
        <v>2</v>
      </c>
      <c r="M4359" s="18" t="n">
        <v>160</v>
      </c>
      <c r="N4359" s="18" t="n">
        <v>35</v>
      </c>
      <c r="O4359" s="14" t="s">
        <v>5962</v>
      </c>
      <c r="P4359" s="14" t="s">
        <v>118</v>
      </c>
      <c r="Q4359" s="15" t="s">
        <v>1089</v>
      </c>
      <c r="R4359" s="16" t="s">
        <v>26872</v>
      </c>
      <c r="S4359" s="15" t="s">
        <v>26873</v>
      </c>
      <c r="T4359" s="15" t="s">
        <v>26874</v>
      </c>
      <c r="U4359" s="21" t="s">
        <v>72</v>
      </c>
    </row>
    <row r="4360" customFormat="false" ht="15" hidden="false" customHeight="false" outlineLevel="0" collapsed="false">
      <c r="A4360" s="15" t="s">
        <v>26556</v>
      </c>
      <c r="B4360" s="16"/>
      <c r="C4360" s="14" t="s">
        <v>26875</v>
      </c>
      <c r="D4360" s="14" t="s">
        <v>26876</v>
      </c>
      <c r="E4360" s="16" t="s">
        <v>26877</v>
      </c>
      <c r="F4360" s="16"/>
      <c r="G4360" s="23" t="s">
        <v>43</v>
      </c>
      <c r="H4360" s="18" t="n">
        <v>2</v>
      </c>
      <c r="I4360" s="20" t="n">
        <v>60.09</v>
      </c>
      <c r="J4360" s="20" t="n">
        <v>83.68</v>
      </c>
      <c r="K4360" s="18" t="n">
        <v>5</v>
      </c>
      <c r="L4360" s="18"/>
      <c r="M4360" s="18" t="n">
        <v>125</v>
      </c>
      <c r="N4360" s="18" t="n">
        <v>75</v>
      </c>
      <c r="O4360" s="14" t="s">
        <v>1126</v>
      </c>
      <c r="P4360" s="14" t="s">
        <v>84</v>
      </c>
      <c r="Q4360" s="15" t="s">
        <v>1089</v>
      </c>
      <c r="R4360" s="16" t="s">
        <v>26878</v>
      </c>
      <c r="S4360" s="15" t="s">
        <v>26879</v>
      </c>
      <c r="T4360" s="15" t="s">
        <v>26879</v>
      </c>
      <c r="U4360" s="21" t="s">
        <v>72</v>
      </c>
    </row>
    <row r="4361" customFormat="false" ht="15" hidden="false" customHeight="false" outlineLevel="0" collapsed="false">
      <c r="A4361" s="15" t="s">
        <v>26556</v>
      </c>
      <c r="B4361" s="16"/>
      <c r="C4361" s="14" t="s">
        <v>26880</v>
      </c>
      <c r="D4361" s="14" t="s">
        <v>26881</v>
      </c>
      <c r="E4361" s="16" t="s">
        <v>26882</v>
      </c>
      <c r="F4361" s="16"/>
      <c r="G4361" s="23" t="s">
        <v>43</v>
      </c>
      <c r="H4361" s="18" t="n">
        <v>2</v>
      </c>
      <c r="I4361" s="20" t="n">
        <v>65.86</v>
      </c>
      <c r="J4361" s="20" t="n">
        <v>159.54</v>
      </c>
      <c r="K4361" s="18" t="n">
        <v>2</v>
      </c>
      <c r="L4361" s="18" t="n">
        <v>1</v>
      </c>
      <c r="M4361" s="18" t="n">
        <v>20</v>
      </c>
      <c r="N4361" s="18" t="n">
        <v>20</v>
      </c>
      <c r="O4361" s="14" t="s">
        <v>1126</v>
      </c>
      <c r="P4361" s="14" t="s">
        <v>84</v>
      </c>
      <c r="Q4361" s="15" t="s">
        <v>1089</v>
      </c>
      <c r="R4361" s="16" t="s">
        <v>12284</v>
      </c>
      <c r="S4361" s="15" t="s">
        <v>26883</v>
      </c>
      <c r="T4361" s="15" t="s">
        <v>26883</v>
      </c>
      <c r="U4361" s="21" t="s">
        <v>72</v>
      </c>
    </row>
    <row r="4362" customFormat="false" ht="15" hidden="false" customHeight="false" outlineLevel="0" collapsed="false">
      <c r="A4362" s="15" t="s">
        <v>26556</v>
      </c>
      <c r="B4362" s="16"/>
      <c r="C4362" s="14" t="s">
        <v>26884</v>
      </c>
      <c r="D4362" s="14" t="s">
        <v>26885</v>
      </c>
      <c r="E4362" s="16" t="s">
        <v>26886</v>
      </c>
      <c r="F4362" s="16" t="s">
        <v>26887</v>
      </c>
      <c r="G4362" s="23" t="s">
        <v>43</v>
      </c>
      <c r="H4362" s="18" t="n">
        <v>2</v>
      </c>
      <c r="I4362" s="20" t="n">
        <v>33.6</v>
      </c>
      <c r="J4362" s="20" t="n">
        <v>100.8</v>
      </c>
      <c r="K4362" s="18" t="n">
        <v>2</v>
      </c>
      <c r="L4362" s="18" t="n">
        <v>3</v>
      </c>
      <c r="M4362" s="18" t="n">
        <v>24</v>
      </c>
      <c r="N4362" s="18" t="n">
        <v>24</v>
      </c>
      <c r="O4362" s="14" t="s">
        <v>1126</v>
      </c>
      <c r="P4362" s="14" t="s">
        <v>84</v>
      </c>
      <c r="Q4362" s="15" t="s">
        <v>1089</v>
      </c>
      <c r="R4362" s="16" t="s">
        <v>26888</v>
      </c>
      <c r="S4362" s="15" t="s">
        <v>26889</v>
      </c>
      <c r="T4362" s="15" t="s">
        <v>26890</v>
      </c>
      <c r="U4362" s="21" t="s">
        <v>72</v>
      </c>
    </row>
    <row r="4363" customFormat="false" ht="15" hidden="false" customHeight="false" outlineLevel="0" collapsed="false">
      <c r="A4363" s="15" t="s">
        <v>26556</v>
      </c>
      <c r="B4363" s="16"/>
      <c r="C4363" s="14" t="s">
        <v>26891</v>
      </c>
      <c r="D4363" s="14" t="s">
        <v>26892</v>
      </c>
      <c r="E4363" s="16" t="s">
        <v>26893</v>
      </c>
      <c r="F4363" s="16"/>
      <c r="G4363" s="23" t="s">
        <v>43</v>
      </c>
      <c r="H4363" s="18" t="n">
        <v>2</v>
      </c>
      <c r="I4363" s="20" t="n">
        <v>106.75</v>
      </c>
      <c r="J4363" s="20" t="n">
        <v>126.75</v>
      </c>
      <c r="K4363" s="18" t="n">
        <v>4</v>
      </c>
      <c r="L4363" s="18" t="n">
        <v>3</v>
      </c>
      <c r="M4363" s="18" t="n">
        <v>114</v>
      </c>
      <c r="N4363" s="18" t="n">
        <v>62</v>
      </c>
      <c r="O4363" s="14" t="s">
        <v>5962</v>
      </c>
      <c r="P4363" s="14" t="s">
        <v>118</v>
      </c>
      <c r="Q4363" s="15" t="s">
        <v>1089</v>
      </c>
      <c r="R4363" s="16" t="s">
        <v>12956</v>
      </c>
      <c r="S4363" s="15" t="s">
        <v>26894</v>
      </c>
      <c r="T4363" s="15" t="s">
        <v>26894</v>
      </c>
      <c r="U4363" s="21" t="s">
        <v>72</v>
      </c>
    </row>
    <row r="4364" customFormat="false" ht="15" hidden="false" customHeight="false" outlineLevel="0" collapsed="false">
      <c r="A4364" s="15" t="s">
        <v>26556</v>
      </c>
      <c r="B4364" s="16"/>
      <c r="C4364" s="14" t="s">
        <v>26895</v>
      </c>
      <c r="D4364" s="14" t="s">
        <v>26896</v>
      </c>
      <c r="E4364" s="16" t="s">
        <v>26897</v>
      </c>
      <c r="F4364" s="16" t="s">
        <v>26898</v>
      </c>
      <c r="G4364" s="23" t="s">
        <v>43</v>
      </c>
      <c r="H4364" s="18" t="n">
        <v>2</v>
      </c>
      <c r="I4364" s="20" t="n">
        <v>99.45</v>
      </c>
      <c r="J4364" s="20" t="n">
        <v>173.49</v>
      </c>
      <c r="K4364" s="18" t="n">
        <v>4</v>
      </c>
      <c r="L4364" s="18" t="n">
        <v>2</v>
      </c>
      <c r="M4364" s="18" t="n">
        <v>80</v>
      </c>
      <c r="N4364" s="18" t="n">
        <v>40</v>
      </c>
      <c r="O4364" s="14" t="s">
        <v>1126</v>
      </c>
      <c r="P4364" s="14" t="s">
        <v>118</v>
      </c>
      <c r="Q4364" s="15" t="s">
        <v>1089</v>
      </c>
      <c r="R4364" s="16" t="s">
        <v>26899</v>
      </c>
      <c r="S4364" s="15" t="s">
        <v>26900</v>
      </c>
      <c r="T4364" s="15" t="s">
        <v>26900</v>
      </c>
      <c r="U4364" s="21" t="s">
        <v>72</v>
      </c>
    </row>
    <row r="4365" customFormat="false" ht="15" hidden="false" customHeight="false" outlineLevel="0" collapsed="false">
      <c r="A4365" s="15" t="s">
        <v>26556</v>
      </c>
      <c r="B4365" s="16"/>
      <c r="C4365" s="14" t="s">
        <v>26901</v>
      </c>
      <c r="D4365" s="14" t="s">
        <v>26902</v>
      </c>
      <c r="E4365" s="16" t="s">
        <v>26903</v>
      </c>
      <c r="F4365" s="16" t="s">
        <v>26904</v>
      </c>
      <c r="G4365" s="23" t="s">
        <v>43</v>
      </c>
      <c r="H4365" s="18" t="n">
        <v>3</v>
      </c>
      <c r="I4365" s="20" t="n">
        <v>83.07</v>
      </c>
      <c r="J4365" s="20" t="n">
        <v>145.32</v>
      </c>
      <c r="K4365" s="18" t="n">
        <v>11</v>
      </c>
      <c r="L4365" s="18" t="n">
        <v>3</v>
      </c>
      <c r="M4365" s="18" t="n">
        <v>165</v>
      </c>
      <c r="N4365" s="18" t="n">
        <v>60</v>
      </c>
      <c r="O4365" s="14" t="s">
        <v>18487</v>
      </c>
      <c r="P4365" s="14" t="s">
        <v>118</v>
      </c>
      <c r="Q4365" s="15" t="s">
        <v>1089</v>
      </c>
      <c r="R4365" s="16" t="s">
        <v>7862</v>
      </c>
      <c r="S4365" s="15" t="s">
        <v>26905</v>
      </c>
      <c r="T4365" s="15" t="s">
        <v>26905</v>
      </c>
      <c r="U4365" s="21" t="s">
        <v>72</v>
      </c>
    </row>
    <row r="4366" customFormat="false" ht="15" hidden="false" customHeight="false" outlineLevel="0" collapsed="false">
      <c r="A4366" s="15" t="s">
        <v>26556</v>
      </c>
      <c r="B4366" s="16"/>
      <c r="C4366" s="14" t="s">
        <v>26906</v>
      </c>
      <c r="D4366" s="14" t="s">
        <v>26907</v>
      </c>
      <c r="E4366" s="16" t="s">
        <v>26908</v>
      </c>
      <c r="F4366" s="16" t="s">
        <v>26909</v>
      </c>
      <c r="G4366" s="23" t="s">
        <v>43</v>
      </c>
      <c r="H4366" s="18" t="n">
        <v>2</v>
      </c>
      <c r="I4366" s="20" t="n">
        <v>63.62</v>
      </c>
      <c r="J4366" s="20" t="n">
        <v>101.13</v>
      </c>
      <c r="K4366" s="18" t="n">
        <v>2</v>
      </c>
      <c r="L4366" s="18"/>
      <c r="M4366" s="18" t="n">
        <v>24</v>
      </c>
      <c r="N4366" s="18"/>
      <c r="O4366" s="13"/>
      <c r="P4366" s="14" t="s">
        <v>84</v>
      </c>
      <c r="Q4366" s="15" t="s">
        <v>1089</v>
      </c>
      <c r="R4366" s="16" t="s">
        <v>8079</v>
      </c>
      <c r="S4366" s="15" t="s">
        <v>26910</v>
      </c>
      <c r="T4366" s="15" t="s">
        <v>26910</v>
      </c>
      <c r="U4366" s="21" t="s">
        <v>72</v>
      </c>
    </row>
    <row r="4367" customFormat="false" ht="15" hidden="false" customHeight="false" outlineLevel="0" collapsed="false">
      <c r="A4367" s="15" t="s">
        <v>26556</v>
      </c>
      <c r="B4367" s="16"/>
      <c r="C4367" s="14" t="s">
        <v>26911</v>
      </c>
      <c r="D4367" s="14" t="s">
        <v>26912</v>
      </c>
      <c r="E4367" s="16" t="s">
        <v>26913</v>
      </c>
      <c r="F4367" s="16" t="s">
        <v>26914</v>
      </c>
      <c r="G4367" s="23" t="s">
        <v>43</v>
      </c>
      <c r="H4367" s="18" t="n">
        <v>2</v>
      </c>
      <c r="I4367" s="20" t="n">
        <v>37.36</v>
      </c>
      <c r="J4367" s="20" t="n">
        <v>124.02</v>
      </c>
      <c r="K4367" s="18" t="n">
        <v>2</v>
      </c>
      <c r="L4367" s="18" t="n">
        <v>1</v>
      </c>
      <c r="M4367" s="18" t="n">
        <v>40</v>
      </c>
      <c r="N4367" s="18" t="n">
        <v>40</v>
      </c>
      <c r="O4367" s="14" t="s">
        <v>1126</v>
      </c>
      <c r="P4367" s="14" t="s">
        <v>84</v>
      </c>
      <c r="Q4367" s="15" t="s">
        <v>1089</v>
      </c>
      <c r="R4367" s="16" t="s">
        <v>21994</v>
      </c>
      <c r="S4367" s="15" t="s">
        <v>26915</v>
      </c>
      <c r="T4367" s="15" t="s">
        <v>26915</v>
      </c>
      <c r="U4367" s="21" t="s">
        <v>72</v>
      </c>
    </row>
    <row r="4368" customFormat="false" ht="15" hidden="false" customHeight="false" outlineLevel="0" collapsed="false">
      <c r="A4368" s="15" t="s">
        <v>26556</v>
      </c>
      <c r="B4368" s="16"/>
      <c r="C4368" s="14" t="s">
        <v>26916</v>
      </c>
      <c r="D4368" s="14" t="s">
        <v>26917</v>
      </c>
      <c r="E4368" s="16" t="s">
        <v>26918</v>
      </c>
      <c r="F4368" s="16"/>
      <c r="G4368" s="23" t="s">
        <v>43</v>
      </c>
      <c r="H4368" s="18" t="n">
        <v>2</v>
      </c>
      <c r="I4368" s="20" t="n">
        <v>49.8</v>
      </c>
      <c r="J4368" s="20" t="n">
        <v>89.8</v>
      </c>
      <c r="K4368" s="18" t="n">
        <v>2</v>
      </c>
      <c r="L4368" s="18" t="n">
        <v>2</v>
      </c>
      <c r="M4368" s="18" t="n">
        <v>40</v>
      </c>
      <c r="N4368" s="18" t="n">
        <v>20</v>
      </c>
      <c r="O4368" s="14" t="s">
        <v>1126</v>
      </c>
      <c r="P4368" s="14" t="s">
        <v>118</v>
      </c>
      <c r="Q4368" s="15" t="s">
        <v>1089</v>
      </c>
      <c r="R4368" s="16" t="s">
        <v>26919</v>
      </c>
      <c r="S4368" s="15" t="s">
        <v>14896</v>
      </c>
      <c r="T4368" s="15" t="s">
        <v>14896</v>
      </c>
      <c r="U4368" s="21" t="s">
        <v>72</v>
      </c>
    </row>
    <row r="4369" customFormat="false" ht="15" hidden="false" customHeight="false" outlineLevel="0" collapsed="false">
      <c r="A4369" s="15" t="s">
        <v>26556</v>
      </c>
      <c r="B4369" s="16"/>
      <c r="C4369" s="14" t="s">
        <v>26920</v>
      </c>
      <c r="D4369" s="14" t="s">
        <v>26921</v>
      </c>
      <c r="E4369" s="16" t="s">
        <v>26922</v>
      </c>
      <c r="F4369" s="16" t="s">
        <v>26923</v>
      </c>
      <c r="G4369" s="23" t="s">
        <v>43</v>
      </c>
      <c r="H4369" s="18" t="n">
        <v>2</v>
      </c>
      <c r="I4369" s="20" t="n">
        <v>43.56</v>
      </c>
      <c r="J4369" s="20" t="n">
        <v>189.2</v>
      </c>
      <c r="K4369" s="18" t="n">
        <v>3</v>
      </c>
      <c r="L4369" s="18" t="n">
        <v>2</v>
      </c>
      <c r="M4369" s="18" t="n">
        <v>35</v>
      </c>
      <c r="N4369" s="18" t="n">
        <v>15</v>
      </c>
      <c r="O4369" s="14" t="s">
        <v>1126</v>
      </c>
      <c r="P4369" s="14" t="s">
        <v>118</v>
      </c>
      <c r="Q4369" s="15" t="s">
        <v>1089</v>
      </c>
      <c r="R4369" s="16" t="s">
        <v>26657</v>
      </c>
      <c r="S4369" s="15" t="s">
        <v>26924</v>
      </c>
      <c r="T4369" s="15" t="s">
        <v>26924</v>
      </c>
      <c r="U4369" s="21" t="s">
        <v>72</v>
      </c>
    </row>
    <row r="4370" customFormat="false" ht="15" hidden="false" customHeight="false" outlineLevel="0" collapsed="false">
      <c r="A4370" s="15" t="s">
        <v>26556</v>
      </c>
      <c r="B4370" s="16"/>
      <c r="C4370" s="14" t="s">
        <v>26925</v>
      </c>
      <c r="D4370" s="14" t="s">
        <v>26926</v>
      </c>
      <c r="E4370" s="16" t="s">
        <v>26927</v>
      </c>
      <c r="F4370" s="16"/>
      <c r="G4370" s="19" t="s">
        <v>41</v>
      </c>
      <c r="H4370" s="18" t="n">
        <v>2</v>
      </c>
      <c r="I4370" s="20" t="n">
        <v>30.24</v>
      </c>
      <c r="J4370" s="20" t="n">
        <v>236.32</v>
      </c>
      <c r="K4370" s="18" t="n">
        <v>2</v>
      </c>
      <c r="L4370" s="18" t="n">
        <v>4</v>
      </c>
      <c r="M4370" s="18" t="n">
        <v>24</v>
      </c>
      <c r="N4370" s="18" t="n">
        <v>24</v>
      </c>
      <c r="O4370" s="14" t="s">
        <v>1126</v>
      </c>
      <c r="P4370" s="14" t="s">
        <v>84</v>
      </c>
      <c r="Q4370" s="15" t="s">
        <v>1089</v>
      </c>
      <c r="R4370" s="16" t="s">
        <v>26928</v>
      </c>
      <c r="S4370" s="15" t="s">
        <v>26929</v>
      </c>
      <c r="T4370" s="15" t="s">
        <v>26929</v>
      </c>
      <c r="U4370" s="21" t="s">
        <v>72</v>
      </c>
    </row>
    <row r="4371" customFormat="false" ht="15" hidden="false" customHeight="false" outlineLevel="0" collapsed="false">
      <c r="A4371" s="15" t="s">
        <v>26556</v>
      </c>
      <c r="B4371" s="16"/>
      <c r="C4371" s="14" t="s">
        <v>26930</v>
      </c>
      <c r="D4371" s="14" t="s">
        <v>26931</v>
      </c>
      <c r="E4371" s="16" t="s">
        <v>26932</v>
      </c>
      <c r="F4371" s="16" t="s">
        <v>26933</v>
      </c>
      <c r="G4371" s="23" t="s">
        <v>43</v>
      </c>
      <c r="H4371" s="18" t="n">
        <v>2</v>
      </c>
      <c r="I4371" s="20" t="n">
        <v>30.418</v>
      </c>
      <c r="J4371" s="20" t="n">
        <v>76.73</v>
      </c>
      <c r="K4371" s="18" t="n">
        <v>4</v>
      </c>
      <c r="L4371" s="18" t="n">
        <v>4</v>
      </c>
      <c r="M4371" s="18" t="n">
        <v>100</v>
      </c>
      <c r="N4371" s="18" t="n">
        <v>25</v>
      </c>
      <c r="O4371" s="14" t="s">
        <v>1126</v>
      </c>
      <c r="P4371" s="14" t="s">
        <v>118</v>
      </c>
      <c r="Q4371" s="15" t="s">
        <v>1089</v>
      </c>
      <c r="R4371" s="16" t="s">
        <v>4322</v>
      </c>
      <c r="S4371" s="15" t="s">
        <v>26934</v>
      </c>
      <c r="T4371" s="15" t="s">
        <v>26935</v>
      </c>
      <c r="U4371" s="21" t="s">
        <v>72</v>
      </c>
    </row>
    <row r="4372" customFormat="false" ht="26.85" hidden="false" customHeight="false" outlineLevel="0" collapsed="false">
      <c r="A4372" s="15" t="s">
        <v>26556</v>
      </c>
      <c r="B4372" s="16"/>
      <c r="C4372" s="14" t="s">
        <v>26936</v>
      </c>
      <c r="D4372" s="14" t="s">
        <v>26937</v>
      </c>
      <c r="E4372" s="16" t="s">
        <v>26938</v>
      </c>
      <c r="F4372" s="16"/>
      <c r="G4372" s="23" t="s">
        <v>43</v>
      </c>
      <c r="H4372" s="18" t="n">
        <v>2</v>
      </c>
      <c r="I4372" s="20" t="n">
        <v>93.32</v>
      </c>
      <c r="J4372" s="20" t="n">
        <v>93.32</v>
      </c>
      <c r="K4372" s="18" t="n">
        <v>2</v>
      </c>
      <c r="L4372" s="18" t="n">
        <v>3</v>
      </c>
      <c r="M4372" s="18" t="n">
        <v>40</v>
      </c>
      <c r="N4372" s="18" t="n">
        <v>20</v>
      </c>
      <c r="O4372" s="14" t="s">
        <v>1126</v>
      </c>
      <c r="P4372" s="14" t="s">
        <v>1185</v>
      </c>
      <c r="Q4372" s="15" t="s">
        <v>1089</v>
      </c>
      <c r="R4372" s="16" t="s">
        <v>26939</v>
      </c>
      <c r="S4372" s="15" t="s">
        <v>15197</v>
      </c>
      <c r="T4372" s="15" t="s">
        <v>15197</v>
      </c>
      <c r="U4372" s="21" t="s">
        <v>72</v>
      </c>
    </row>
    <row r="4373" customFormat="false" ht="15" hidden="false" customHeight="false" outlineLevel="0" collapsed="false">
      <c r="A4373" s="15" t="s">
        <v>26556</v>
      </c>
      <c r="B4373" s="16"/>
      <c r="C4373" s="14" t="s">
        <v>26940</v>
      </c>
      <c r="D4373" s="14" t="s">
        <v>26941</v>
      </c>
      <c r="E4373" s="16" t="s">
        <v>26942</v>
      </c>
      <c r="F4373" s="16"/>
      <c r="G4373" s="23" t="s">
        <v>43</v>
      </c>
      <c r="H4373" s="18" t="n">
        <v>2</v>
      </c>
      <c r="I4373" s="20" t="n">
        <v>76.8</v>
      </c>
      <c r="J4373" s="20" t="n">
        <v>137.06</v>
      </c>
      <c r="K4373" s="18" t="n">
        <v>2</v>
      </c>
      <c r="L4373" s="18" t="n">
        <v>1</v>
      </c>
      <c r="M4373" s="18" t="n">
        <v>60</v>
      </c>
      <c r="N4373" s="18" t="n">
        <v>60</v>
      </c>
      <c r="O4373" s="14" t="s">
        <v>1126</v>
      </c>
      <c r="P4373" s="14" t="s">
        <v>84</v>
      </c>
      <c r="Q4373" s="15" t="s">
        <v>1089</v>
      </c>
      <c r="R4373" s="16" t="s">
        <v>1154</v>
      </c>
      <c r="S4373" s="15" t="s">
        <v>26943</v>
      </c>
      <c r="T4373" s="15" t="s">
        <v>26943</v>
      </c>
      <c r="U4373" s="21" t="s">
        <v>72</v>
      </c>
    </row>
    <row r="4374" customFormat="false" ht="15" hidden="false" customHeight="false" outlineLevel="0" collapsed="false">
      <c r="A4374" s="15" t="s">
        <v>26556</v>
      </c>
      <c r="B4374" s="16"/>
      <c r="C4374" s="14" t="s">
        <v>26944</v>
      </c>
      <c r="D4374" s="14" t="s">
        <v>26945</v>
      </c>
      <c r="E4374" s="16" t="s">
        <v>26946</v>
      </c>
      <c r="F4374" s="16"/>
      <c r="G4374" s="23" t="s">
        <v>43</v>
      </c>
      <c r="H4374" s="18" t="n">
        <v>4</v>
      </c>
      <c r="I4374" s="20" t="n">
        <v>88.33</v>
      </c>
      <c r="J4374" s="20" t="n">
        <v>175.44</v>
      </c>
      <c r="K4374" s="18" t="n">
        <v>3</v>
      </c>
      <c r="L4374" s="18" t="n">
        <v>1</v>
      </c>
      <c r="M4374" s="18" t="n">
        <v>30</v>
      </c>
      <c r="N4374" s="18" t="n">
        <v>10</v>
      </c>
      <c r="O4374" s="14" t="s">
        <v>1126</v>
      </c>
      <c r="P4374" s="14" t="s">
        <v>118</v>
      </c>
      <c r="Q4374" s="15" t="s">
        <v>1089</v>
      </c>
      <c r="R4374" s="16" t="s">
        <v>26947</v>
      </c>
      <c r="S4374" s="15" t="s">
        <v>26948</v>
      </c>
      <c r="T4374" s="15" t="s">
        <v>26948</v>
      </c>
      <c r="U4374" s="21" t="s">
        <v>72</v>
      </c>
    </row>
    <row r="4375" customFormat="false" ht="15" hidden="false" customHeight="false" outlineLevel="0" collapsed="false">
      <c r="A4375" s="15" t="s">
        <v>26556</v>
      </c>
      <c r="B4375" s="16"/>
      <c r="C4375" s="14" t="s">
        <v>26949</v>
      </c>
      <c r="D4375" s="14" t="s">
        <v>26950</v>
      </c>
      <c r="E4375" s="16" t="s">
        <v>26951</v>
      </c>
      <c r="F4375" s="16" t="s">
        <v>26952</v>
      </c>
      <c r="G4375" s="23" t="s">
        <v>43</v>
      </c>
      <c r="H4375" s="18" t="n">
        <v>3</v>
      </c>
      <c r="I4375" s="20" t="n">
        <v>65.62</v>
      </c>
      <c r="J4375" s="20" t="n">
        <v>171.9</v>
      </c>
      <c r="K4375" s="18" t="n">
        <v>2</v>
      </c>
      <c r="L4375" s="18" t="n">
        <v>2</v>
      </c>
      <c r="M4375" s="18" t="n">
        <v>20</v>
      </c>
      <c r="N4375" s="18" t="n">
        <v>20</v>
      </c>
      <c r="O4375" s="14" t="s">
        <v>1126</v>
      </c>
      <c r="P4375" s="14" t="s">
        <v>84</v>
      </c>
      <c r="Q4375" s="15" t="s">
        <v>1089</v>
      </c>
      <c r="R4375" s="16" t="s">
        <v>26843</v>
      </c>
      <c r="S4375" s="15" t="s">
        <v>26953</v>
      </c>
      <c r="T4375" s="15" t="s">
        <v>26953</v>
      </c>
      <c r="U4375" s="21" t="s">
        <v>72</v>
      </c>
    </row>
    <row r="4376" customFormat="false" ht="15" hidden="false" customHeight="false" outlineLevel="0" collapsed="false">
      <c r="A4376" s="15" t="s">
        <v>26556</v>
      </c>
      <c r="B4376" s="16"/>
      <c r="C4376" s="14" t="s">
        <v>26954</v>
      </c>
      <c r="D4376" s="14" t="s">
        <v>26955</v>
      </c>
      <c r="E4376" s="16" t="s">
        <v>26956</v>
      </c>
      <c r="F4376" s="16" t="s">
        <v>26957</v>
      </c>
      <c r="G4376" s="23" t="s">
        <v>43</v>
      </c>
      <c r="H4376" s="18" t="n">
        <v>2</v>
      </c>
      <c r="I4376" s="20" t="n">
        <v>45.85</v>
      </c>
      <c r="J4376" s="20" t="n">
        <v>123.11</v>
      </c>
      <c r="K4376" s="18" t="n">
        <v>4</v>
      </c>
      <c r="L4376" s="18" t="n">
        <v>3</v>
      </c>
      <c r="M4376" s="18" t="n">
        <v>40</v>
      </c>
      <c r="N4376" s="18" t="n">
        <v>40</v>
      </c>
      <c r="O4376" s="14" t="s">
        <v>1126</v>
      </c>
      <c r="P4376" s="14" t="s">
        <v>84</v>
      </c>
      <c r="Q4376" s="15" t="s">
        <v>1089</v>
      </c>
      <c r="R4376" s="16" t="s">
        <v>26958</v>
      </c>
      <c r="S4376" s="15" t="s">
        <v>21114</v>
      </c>
      <c r="T4376" s="15" t="s">
        <v>21114</v>
      </c>
      <c r="U4376" s="21" t="s">
        <v>72</v>
      </c>
    </row>
    <row r="4377" customFormat="false" ht="15" hidden="false" customHeight="false" outlineLevel="0" collapsed="false">
      <c r="A4377" s="15" t="s">
        <v>26556</v>
      </c>
      <c r="B4377" s="16"/>
      <c r="C4377" s="14" t="s">
        <v>26959</v>
      </c>
      <c r="D4377" s="14" t="s">
        <v>26960</v>
      </c>
      <c r="E4377" s="16" t="s">
        <v>26961</v>
      </c>
      <c r="F4377" s="16" t="s">
        <v>26962</v>
      </c>
      <c r="G4377" s="19" t="s">
        <v>41</v>
      </c>
      <c r="H4377" s="18" t="n">
        <v>4</v>
      </c>
      <c r="I4377" s="20" t="n">
        <v>26.88</v>
      </c>
      <c r="J4377" s="20" t="n">
        <v>314.99</v>
      </c>
      <c r="K4377" s="18" t="n">
        <v>10</v>
      </c>
      <c r="L4377" s="18" t="n">
        <v>3</v>
      </c>
      <c r="M4377" s="18" t="n">
        <v>100</v>
      </c>
      <c r="N4377" s="18" t="n">
        <v>100</v>
      </c>
      <c r="O4377" s="14" t="s">
        <v>1097</v>
      </c>
      <c r="P4377" s="14" t="s">
        <v>84</v>
      </c>
      <c r="Q4377" s="15" t="s">
        <v>1089</v>
      </c>
      <c r="R4377" s="16" t="s">
        <v>26963</v>
      </c>
      <c r="S4377" s="15" t="s">
        <v>26964</v>
      </c>
      <c r="T4377" s="15" t="s">
        <v>26964</v>
      </c>
      <c r="U4377" s="21" t="s">
        <v>72</v>
      </c>
    </row>
    <row r="4378" customFormat="false" ht="15" hidden="false" customHeight="false" outlineLevel="0" collapsed="false">
      <c r="A4378" s="15" t="s">
        <v>26556</v>
      </c>
      <c r="B4378" s="16"/>
      <c r="C4378" s="14" t="s">
        <v>26965</v>
      </c>
      <c r="D4378" s="14" t="s">
        <v>26966</v>
      </c>
      <c r="E4378" s="16" t="s">
        <v>26967</v>
      </c>
      <c r="F4378" s="16"/>
      <c r="G4378" s="23" t="s">
        <v>43</v>
      </c>
      <c r="H4378" s="18" t="n">
        <v>1</v>
      </c>
      <c r="I4378" s="20" t="n">
        <v>30.2</v>
      </c>
      <c r="J4378" s="20" t="n">
        <v>31.96</v>
      </c>
      <c r="K4378" s="18" t="n">
        <v>2</v>
      </c>
      <c r="L4378" s="18" t="n">
        <v>2</v>
      </c>
      <c r="M4378" s="18" t="n">
        <v>40</v>
      </c>
      <c r="N4378" s="18" t="n">
        <v>40</v>
      </c>
      <c r="O4378" s="14" t="s">
        <v>5962</v>
      </c>
      <c r="P4378" s="14" t="s">
        <v>118</v>
      </c>
      <c r="Q4378" s="15" t="s">
        <v>1089</v>
      </c>
      <c r="R4378" s="16" t="s">
        <v>26968</v>
      </c>
      <c r="S4378" s="15" t="s">
        <v>26969</v>
      </c>
      <c r="T4378" s="15" t="s">
        <v>26970</v>
      </c>
      <c r="U4378" s="21" t="s">
        <v>72</v>
      </c>
    </row>
    <row r="4379" customFormat="false" ht="15" hidden="false" customHeight="false" outlineLevel="0" collapsed="false">
      <c r="A4379" s="15" t="s">
        <v>26556</v>
      </c>
      <c r="B4379" s="16"/>
      <c r="C4379" s="14" t="s">
        <v>26971</v>
      </c>
      <c r="D4379" s="14" t="s">
        <v>26972</v>
      </c>
      <c r="E4379" s="16" t="s">
        <v>26973</v>
      </c>
      <c r="F4379" s="16" t="s">
        <v>26974</v>
      </c>
      <c r="G4379" s="23" t="s">
        <v>43</v>
      </c>
      <c r="H4379" s="18" t="n">
        <v>1</v>
      </c>
      <c r="I4379" s="20" t="n">
        <v>38.4</v>
      </c>
      <c r="J4379" s="20" t="n">
        <v>87.08</v>
      </c>
      <c r="K4379" s="18" t="n">
        <v>4</v>
      </c>
      <c r="L4379" s="18" t="n">
        <v>1</v>
      </c>
      <c r="M4379" s="18" t="n">
        <v>80</v>
      </c>
      <c r="N4379" s="18" t="n">
        <v>80</v>
      </c>
      <c r="O4379" s="14" t="s">
        <v>1126</v>
      </c>
      <c r="P4379" s="14" t="s">
        <v>84</v>
      </c>
      <c r="Q4379" s="15" t="s">
        <v>1089</v>
      </c>
      <c r="R4379" s="16" t="s">
        <v>26975</v>
      </c>
      <c r="S4379" s="15" t="s">
        <v>26976</v>
      </c>
      <c r="T4379" s="15" t="s">
        <v>26977</v>
      </c>
      <c r="U4379" s="21" t="s">
        <v>72</v>
      </c>
    </row>
    <row r="4380" customFormat="false" ht="15" hidden="false" customHeight="false" outlineLevel="0" collapsed="false">
      <c r="A4380" s="15" t="s">
        <v>26556</v>
      </c>
      <c r="B4380" s="16"/>
      <c r="C4380" s="14" t="s">
        <v>26978</v>
      </c>
      <c r="D4380" s="14" t="s">
        <v>26979</v>
      </c>
      <c r="E4380" s="16" t="s">
        <v>26980</v>
      </c>
      <c r="F4380" s="16"/>
      <c r="G4380" s="23" t="s">
        <v>43</v>
      </c>
      <c r="H4380" s="18" t="n">
        <v>1</v>
      </c>
      <c r="I4380" s="20" t="n">
        <v>33.58</v>
      </c>
      <c r="J4380" s="20" t="n">
        <v>90.31</v>
      </c>
      <c r="K4380" s="18" t="n">
        <v>4</v>
      </c>
      <c r="L4380" s="18" t="n">
        <v>2</v>
      </c>
      <c r="M4380" s="18" t="n">
        <v>100</v>
      </c>
      <c r="N4380" s="18" t="n">
        <v>100</v>
      </c>
      <c r="O4380" s="14" t="s">
        <v>1126</v>
      </c>
      <c r="P4380" s="14" t="s">
        <v>84</v>
      </c>
      <c r="Q4380" s="15" t="s">
        <v>1089</v>
      </c>
      <c r="R4380" s="16" t="s">
        <v>15240</v>
      </c>
      <c r="S4380" s="15" t="s">
        <v>26981</v>
      </c>
      <c r="T4380" s="15" t="s">
        <v>26981</v>
      </c>
      <c r="U4380" s="21" t="s">
        <v>72</v>
      </c>
    </row>
    <row r="4381" customFormat="false" ht="15" hidden="false" customHeight="false" outlineLevel="0" collapsed="false">
      <c r="A4381" s="15" t="s">
        <v>26556</v>
      </c>
      <c r="B4381" s="16"/>
      <c r="C4381" s="14" t="s">
        <v>26982</v>
      </c>
      <c r="D4381" s="14" t="s">
        <v>26983</v>
      </c>
      <c r="E4381" s="16" t="s">
        <v>26984</v>
      </c>
      <c r="F4381" s="16"/>
      <c r="G4381" s="23" t="s">
        <v>43</v>
      </c>
      <c r="H4381" s="18" t="n">
        <v>1</v>
      </c>
      <c r="I4381" s="20" t="n">
        <v>34.03</v>
      </c>
      <c r="J4381" s="20" t="n">
        <v>35.47</v>
      </c>
      <c r="K4381" s="18" t="n">
        <v>2</v>
      </c>
      <c r="L4381" s="18" t="n">
        <v>2</v>
      </c>
      <c r="M4381" s="18" t="n">
        <v>20</v>
      </c>
      <c r="N4381" s="18"/>
      <c r="O4381" s="13"/>
      <c r="P4381" s="14" t="s">
        <v>118</v>
      </c>
      <c r="Q4381" s="15" t="s">
        <v>1089</v>
      </c>
      <c r="R4381" s="16" t="s">
        <v>22117</v>
      </c>
      <c r="S4381" s="15" t="s">
        <v>26985</v>
      </c>
      <c r="T4381" s="15" t="s">
        <v>26986</v>
      </c>
      <c r="U4381" s="21" t="s">
        <v>72</v>
      </c>
    </row>
    <row r="4382" customFormat="false" ht="15" hidden="false" customHeight="false" outlineLevel="0" collapsed="false">
      <c r="A4382" s="15" t="s">
        <v>26556</v>
      </c>
      <c r="B4382" s="16"/>
      <c r="C4382" s="14" t="s">
        <v>26987</v>
      </c>
      <c r="D4382" s="14" t="s">
        <v>26988</v>
      </c>
      <c r="E4382" s="16" t="s">
        <v>26989</v>
      </c>
      <c r="F4382" s="16" t="s">
        <v>26990</v>
      </c>
      <c r="G4382" s="23" t="s">
        <v>43</v>
      </c>
      <c r="H4382" s="18" t="n">
        <v>1</v>
      </c>
      <c r="I4382" s="20" t="n">
        <v>36.86</v>
      </c>
      <c r="J4382" s="20" t="n">
        <v>42.22</v>
      </c>
      <c r="K4382" s="18" t="n">
        <v>2</v>
      </c>
      <c r="L4382" s="18" t="n">
        <v>1</v>
      </c>
      <c r="M4382" s="18" t="n">
        <v>30</v>
      </c>
      <c r="N4382" s="18"/>
      <c r="O4382" s="13"/>
      <c r="P4382" s="14" t="s">
        <v>84</v>
      </c>
      <c r="Q4382" s="15" t="s">
        <v>1089</v>
      </c>
      <c r="R4382" s="16" t="s">
        <v>26991</v>
      </c>
      <c r="S4382" s="15" t="s">
        <v>26992</v>
      </c>
      <c r="T4382" s="15" t="s">
        <v>26992</v>
      </c>
      <c r="U4382" s="21" t="s">
        <v>72</v>
      </c>
    </row>
    <row r="4383" customFormat="false" ht="15" hidden="false" customHeight="false" outlineLevel="0" collapsed="false">
      <c r="A4383" s="15" t="s">
        <v>26556</v>
      </c>
      <c r="B4383" s="16"/>
      <c r="C4383" s="14" t="s">
        <v>26993</v>
      </c>
      <c r="D4383" s="14" t="s">
        <v>26994</v>
      </c>
      <c r="E4383" s="16" t="s">
        <v>26995</v>
      </c>
      <c r="F4383" s="16"/>
      <c r="G4383" s="23" t="s">
        <v>43</v>
      </c>
      <c r="H4383" s="18" t="n">
        <v>3</v>
      </c>
      <c r="I4383" s="20" t="n">
        <v>34.8</v>
      </c>
      <c r="J4383" s="20" t="n">
        <v>163.93</v>
      </c>
      <c r="K4383" s="18" t="n">
        <v>2</v>
      </c>
      <c r="L4383" s="18" t="n">
        <v>10</v>
      </c>
      <c r="M4383" s="18" t="n">
        <v>20</v>
      </c>
      <c r="N4383" s="18" t="n">
        <v>10</v>
      </c>
      <c r="O4383" s="14" t="s">
        <v>1126</v>
      </c>
      <c r="P4383" s="14" t="s">
        <v>118</v>
      </c>
      <c r="Q4383" s="15" t="s">
        <v>1089</v>
      </c>
      <c r="R4383" s="16" t="s">
        <v>26996</v>
      </c>
      <c r="S4383" s="15" t="s">
        <v>26997</v>
      </c>
      <c r="T4383" s="15" t="s">
        <v>26997</v>
      </c>
      <c r="U4383" s="21" t="s">
        <v>72</v>
      </c>
    </row>
    <row r="4384" customFormat="false" ht="15" hidden="false" customHeight="false" outlineLevel="0" collapsed="false">
      <c r="A4384" s="15" t="s">
        <v>26556</v>
      </c>
      <c r="B4384" s="16"/>
      <c r="C4384" s="14" t="s">
        <v>26998</v>
      </c>
      <c r="D4384" s="14" t="s">
        <v>26999</v>
      </c>
      <c r="E4384" s="16" t="s">
        <v>27000</v>
      </c>
      <c r="F4384" s="16" t="s">
        <v>27001</v>
      </c>
      <c r="G4384" s="23" t="s">
        <v>43</v>
      </c>
      <c r="H4384" s="18" t="n">
        <v>4</v>
      </c>
      <c r="I4384" s="20" t="n">
        <v>115.44</v>
      </c>
      <c r="J4384" s="20" t="n">
        <v>186.17</v>
      </c>
      <c r="K4384" s="18" t="n">
        <v>2</v>
      </c>
      <c r="L4384" s="18" t="n">
        <v>1</v>
      </c>
      <c r="M4384" s="18" t="n">
        <v>30</v>
      </c>
      <c r="N4384" s="18" t="n">
        <v>30</v>
      </c>
      <c r="O4384" s="14" t="s">
        <v>1126</v>
      </c>
      <c r="P4384" s="14" t="s">
        <v>84</v>
      </c>
      <c r="Q4384" s="15" t="s">
        <v>1089</v>
      </c>
      <c r="R4384" s="16" t="s">
        <v>907</v>
      </c>
      <c r="S4384" s="15" t="s">
        <v>27002</v>
      </c>
      <c r="T4384" s="15" t="s">
        <v>27002</v>
      </c>
      <c r="U4384" s="21" t="s">
        <v>72</v>
      </c>
    </row>
    <row r="4385" customFormat="false" ht="15" hidden="false" customHeight="false" outlineLevel="0" collapsed="false">
      <c r="A4385" s="15" t="s">
        <v>26556</v>
      </c>
      <c r="B4385" s="16"/>
      <c r="C4385" s="14" t="s">
        <v>27003</v>
      </c>
      <c r="D4385" s="14" t="s">
        <v>27004</v>
      </c>
      <c r="E4385" s="16" t="s">
        <v>27005</v>
      </c>
      <c r="F4385" s="16" t="s">
        <v>27006</v>
      </c>
      <c r="G4385" s="25" t="s">
        <v>39</v>
      </c>
      <c r="H4385" s="18" t="n">
        <v>8</v>
      </c>
      <c r="I4385" s="20" t="n">
        <v>192.53</v>
      </c>
      <c r="J4385" s="20" t="n">
        <v>372.71</v>
      </c>
      <c r="K4385" s="18" t="n">
        <v>8</v>
      </c>
      <c r="L4385" s="18" t="n">
        <v>7</v>
      </c>
      <c r="M4385" s="18" t="n">
        <v>120</v>
      </c>
      <c r="N4385" s="18" t="n">
        <v>120</v>
      </c>
      <c r="O4385" s="14" t="s">
        <v>1126</v>
      </c>
      <c r="P4385" s="14" t="s">
        <v>84</v>
      </c>
      <c r="Q4385" s="15" t="s">
        <v>1089</v>
      </c>
      <c r="R4385" s="16" t="s">
        <v>27007</v>
      </c>
      <c r="S4385" s="15" t="s">
        <v>27008</v>
      </c>
      <c r="T4385" s="15" t="s">
        <v>27009</v>
      </c>
      <c r="U4385" s="21" t="s">
        <v>72</v>
      </c>
    </row>
    <row r="4386" customFormat="false" ht="15" hidden="false" customHeight="false" outlineLevel="0" collapsed="false">
      <c r="A4386" s="15" t="s">
        <v>26556</v>
      </c>
      <c r="B4386" s="15" t="s">
        <v>27010</v>
      </c>
      <c r="C4386" s="14" t="s">
        <v>27011</v>
      </c>
      <c r="D4386" s="14" t="s">
        <v>27012</v>
      </c>
      <c r="E4386" s="16" t="s">
        <v>27013</v>
      </c>
      <c r="F4386" s="16" t="s">
        <v>27014</v>
      </c>
      <c r="G4386" s="23" t="s">
        <v>43</v>
      </c>
      <c r="H4386" s="18" t="n">
        <v>2</v>
      </c>
      <c r="I4386" s="20" t="n">
        <v>51.56</v>
      </c>
      <c r="J4386" s="20" t="n">
        <v>79.85</v>
      </c>
      <c r="K4386" s="18" t="n">
        <v>10</v>
      </c>
      <c r="L4386" s="18" t="n">
        <v>3</v>
      </c>
      <c r="M4386" s="18" t="n">
        <v>88</v>
      </c>
      <c r="N4386" s="18" t="n">
        <v>40</v>
      </c>
      <c r="O4386" s="14" t="s">
        <v>9118</v>
      </c>
      <c r="P4386" s="14" t="s">
        <v>334</v>
      </c>
      <c r="Q4386" s="15" t="s">
        <v>1089</v>
      </c>
      <c r="R4386" s="16" t="s">
        <v>17680</v>
      </c>
      <c r="S4386" s="15" t="s">
        <v>27015</v>
      </c>
      <c r="T4386" s="15" t="s">
        <v>27015</v>
      </c>
      <c r="U4386" s="21" t="s">
        <v>72</v>
      </c>
    </row>
    <row r="4387" customFormat="false" ht="15" hidden="false" customHeight="false" outlineLevel="0" collapsed="false">
      <c r="A4387" s="15" t="s">
        <v>26556</v>
      </c>
      <c r="B4387" s="15" t="s">
        <v>27016</v>
      </c>
      <c r="C4387" s="14" t="s">
        <v>27017</v>
      </c>
      <c r="D4387" s="14" t="s">
        <v>27018</v>
      </c>
      <c r="E4387" s="16" t="s">
        <v>27019</v>
      </c>
      <c r="F4387" s="16" t="s">
        <v>27020</v>
      </c>
      <c r="G4387" s="23" t="s">
        <v>43</v>
      </c>
      <c r="H4387" s="18" t="n">
        <v>3</v>
      </c>
      <c r="I4387" s="20" t="n">
        <v>60.68</v>
      </c>
      <c r="J4387" s="20" t="n">
        <v>67.35</v>
      </c>
      <c r="K4387" s="18" t="n">
        <v>13</v>
      </c>
      <c r="L4387" s="18" t="n">
        <v>3</v>
      </c>
      <c r="M4387" s="18" t="n">
        <v>78</v>
      </c>
      <c r="N4387" s="18" t="n">
        <v>48</v>
      </c>
      <c r="O4387" s="14" t="s">
        <v>1097</v>
      </c>
      <c r="P4387" s="14" t="s">
        <v>118</v>
      </c>
      <c r="Q4387" s="15" t="s">
        <v>1089</v>
      </c>
      <c r="R4387" s="16" t="s">
        <v>27021</v>
      </c>
      <c r="S4387" s="15" t="s">
        <v>27022</v>
      </c>
      <c r="T4387" s="15" t="s">
        <v>27022</v>
      </c>
      <c r="U4387" s="21" t="s">
        <v>72</v>
      </c>
    </row>
    <row r="4388" customFormat="false" ht="26.85" hidden="false" customHeight="false" outlineLevel="0" collapsed="false">
      <c r="A4388" s="15" t="s">
        <v>26556</v>
      </c>
      <c r="B4388" s="15" t="s">
        <v>27023</v>
      </c>
      <c r="C4388" s="14" t="s">
        <v>27024</v>
      </c>
      <c r="D4388" s="14" t="s">
        <v>27025</v>
      </c>
      <c r="E4388" s="16" t="s">
        <v>27026</v>
      </c>
      <c r="F4388" s="16"/>
      <c r="G4388" s="23" t="s">
        <v>43</v>
      </c>
      <c r="H4388" s="18" t="n">
        <v>4</v>
      </c>
      <c r="I4388" s="20" t="n">
        <v>81.44</v>
      </c>
      <c r="J4388" s="20" t="n">
        <v>195.36</v>
      </c>
      <c r="K4388" s="18" t="n">
        <v>3</v>
      </c>
      <c r="L4388" s="18" t="n">
        <v>3</v>
      </c>
      <c r="M4388" s="18" t="n">
        <v>36</v>
      </c>
      <c r="N4388" s="18" t="n">
        <v>12</v>
      </c>
      <c r="O4388" s="14" t="s">
        <v>1126</v>
      </c>
      <c r="P4388" s="14" t="s">
        <v>118</v>
      </c>
      <c r="Q4388" s="15" t="s">
        <v>1089</v>
      </c>
      <c r="R4388" s="16" t="s">
        <v>27027</v>
      </c>
      <c r="S4388" s="15" t="s">
        <v>27028</v>
      </c>
      <c r="T4388" s="15" t="s">
        <v>27029</v>
      </c>
      <c r="U4388" s="21" t="s">
        <v>72</v>
      </c>
    </row>
    <row r="4389" customFormat="false" ht="52.2" hidden="false" customHeight="false" outlineLevel="0" collapsed="false">
      <c r="A4389" s="15" t="s">
        <v>26556</v>
      </c>
      <c r="B4389" s="15" t="s">
        <v>27023</v>
      </c>
      <c r="C4389" s="14" t="s">
        <v>27030</v>
      </c>
      <c r="D4389" s="14" t="s">
        <v>27031</v>
      </c>
      <c r="E4389" s="16" t="s">
        <v>27032</v>
      </c>
      <c r="F4389" s="16" t="s">
        <v>27033</v>
      </c>
      <c r="G4389" s="25" t="s">
        <v>39</v>
      </c>
      <c r="H4389" s="18" t="n">
        <v>10</v>
      </c>
      <c r="I4389" s="20" t="n">
        <v>535.42</v>
      </c>
      <c r="J4389" s="20" t="n">
        <v>1249.65</v>
      </c>
      <c r="K4389" s="18" t="n">
        <v>127</v>
      </c>
      <c r="L4389" s="18" t="n">
        <v>74</v>
      </c>
      <c r="M4389" s="18" t="n">
        <v>3743</v>
      </c>
      <c r="N4389" s="18" t="n">
        <v>270</v>
      </c>
      <c r="O4389" s="14" t="s">
        <v>1097</v>
      </c>
      <c r="P4389" s="14" t="s">
        <v>27034</v>
      </c>
      <c r="Q4389" s="15" t="s">
        <v>1089</v>
      </c>
      <c r="R4389" s="16" t="s">
        <v>27035</v>
      </c>
      <c r="S4389" s="15" t="s">
        <v>27036</v>
      </c>
      <c r="T4389" s="15" t="s">
        <v>27037</v>
      </c>
      <c r="U4389" s="21" t="s">
        <v>72</v>
      </c>
    </row>
    <row r="4390" customFormat="false" ht="15" hidden="false" customHeight="false" outlineLevel="0" collapsed="false">
      <c r="A4390" s="15" t="s">
        <v>26556</v>
      </c>
      <c r="B4390" s="15" t="s">
        <v>27023</v>
      </c>
      <c r="C4390" s="14" t="s">
        <v>27038</v>
      </c>
      <c r="D4390" s="14" t="s">
        <v>27039</v>
      </c>
      <c r="E4390" s="16" t="s">
        <v>27040</v>
      </c>
      <c r="F4390" s="16" t="s">
        <v>27041</v>
      </c>
      <c r="G4390" s="23" t="s">
        <v>43</v>
      </c>
      <c r="H4390" s="18" t="n">
        <v>2</v>
      </c>
      <c r="I4390" s="20" t="n">
        <v>38.52</v>
      </c>
      <c r="J4390" s="20" t="n">
        <v>56</v>
      </c>
      <c r="K4390" s="18" t="n">
        <v>6</v>
      </c>
      <c r="L4390" s="18" t="n">
        <v>4</v>
      </c>
      <c r="M4390" s="18" t="n">
        <v>42</v>
      </c>
      <c r="N4390" s="18" t="n">
        <v>24</v>
      </c>
      <c r="O4390" s="14" t="s">
        <v>1097</v>
      </c>
      <c r="P4390" s="14" t="s">
        <v>84</v>
      </c>
      <c r="Q4390" s="15" t="s">
        <v>1089</v>
      </c>
      <c r="R4390" s="16" t="s">
        <v>27042</v>
      </c>
      <c r="S4390" s="15" t="s">
        <v>27043</v>
      </c>
      <c r="T4390" s="15" t="s">
        <v>27044</v>
      </c>
      <c r="U4390" s="21" t="s">
        <v>72</v>
      </c>
    </row>
    <row r="4391" customFormat="false" ht="15" hidden="false" customHeight="false" outlineLevel="0" collapsed="false">
      <c r="A4391" s="15" t="s">
        <v>26556</v>
      </c>
      <c r="B4391" s="15" t="s">
        <v>27023</v>
      </c>
      <c r="C4391" s="14" t="s">
        <v>27045</v>
      </c>
      <c r="D4391" s="14" t="s">
        <v>27046</v>
      </c>
      <c r="E4391" s="16" t="s">
        <v>27047</v>
      </c>
      <c r="F4391" s="16" t="s">
        <v>27048</v>
      </c>
      <c r="G4391" s="19" t="s">
        <v>41</v>
      </c>
      <c r="H4391" s="18" t="n">
        <v>3</v>
      </c>
      <c r="I4391" s="20" t="n">
        <v>66.6</v>
      </c>
      <c r="J4391" s="20" t="n">
        <v>209.5</v>
      </c>
      <c r="K4391" s="18" t="n">
        <v>5</v>
      </c>
      <c r="L4391" s="18" t="n">
        <v>1</v>
      </c>
      <c r="M4391" s="18" t="n">
        <v>69</v>
      </c>
      <c r="N4391" s="18" t="n">
        <v>30</v>
      </c>
      <c r="O4391" s="14" t="s">
        <v>1126</v>
      </c>
      <c r="P4391" s="14" t="s">
        <v>84</v>
      </c>
      <c r="Q4391" s="15" t="s">
        <v>1089</v>
      </c>
      <c r="R4391" s="16" t="s">
        <v>27049</v>
      </c>
      <c r="S4391" s="15" t="s">
        <v>27050</v>
      </c>
      <c r="T4391" s="15" t="s">
        <v>27051</v>
      </c>
      <c r="U4391" s="21" t="s">
        <v>72</v>
      </c>
    </row>
    <row r="4392" customFormat="false" ht="15" hidden="false" customHeight="false" outlineLevel="0" collapsed="false">
      <c r="A4392" s="15" t="s">
        <v>26556</v>
      </c>
      <c r="B4392" s="15" t="s">
        <v>27023</v>
      </c>
      <c r="C4392" s="14" t="s">
        <v>27052</v>
      </c>
      <c r="D4392" s="14" t="s">
        <v>27053</v>
      </c>
      <c r="E4392" s="16" t="s">
        <v>27054</v>
      </c>
      <c r="F4392" s="16"/>
      <c r="G4392" s="25" t="s">
        <v>39</v>
      </c>
      <c r="H4392" s="18" t="n">
        <v>20</v>
      </c>
      <c r="I4392" s="20" t="n">
        <v>39.51</v>
      </c>
      <c r="J4392" s="20" t="n">
        <v>57.91</v>
      </c>
      <c r="K4392" s="18" t="n">
        <v>9</v>
      </c>
      <c r="L4392" s="18" t="n">
        <v>1</v>
      </c>
      <c r="M4392" s="18" t="n">
        <v>90</v>
      </c>
      <c r="N4392" s="18" t="n">
        <v>80</v>
      </c>
      <c r="O4392" s="14" t="s">
        <v>27055</v>
      </c>
      <c r="P4392" s="14" t="s">
        <v>118</v>
      </c>
      <c r="Q4392" s="15" t="s">
        <v>1089</v>
      </c>
      <c r="R4392" s="16" t="s">
        <v>13189</v>
      </c>
      <c r="S4392" s="15" t="s">
        <v>27056</v>
      </c>
      <c r="T4392" s="15" t="s">
        <v>27056</v>
      </c>
      <c r="U4392" s="21" t="s">
        <v>72</v>
      </c>
    </row>
    <row r="4393" customFormat="false" ht="15" hidden="false" customHeight="false" outlineLevel="0" collapsed="false">
      <c r="A4393" s="15" t="s">
        <v>26556</v>
      </c>
      <c r="B4393" s="15" t="s">
        <v>27023</v>
      </c>
      <c r="C4393" s="14" t="s">
        <v>27057</v>
      </c>
      <c r="D4393" s="14" t="s">
        <v>27058</v>
      </c>
      <c r="E4393" s="16" t="s">
        <v>27059</v>
      </c>
      <c r="F4393" s="16" t="s">
        <v>27060</v>
      </c>
      <c r="G4393" s="19" t="s">
        <v>41</v>
      </c>
      <c r="H4393" s="18" t="n">
        <v>4</v>
      </c>
      <c r="I4393" s="20" t="n">
        <v>102.28</v>
      </c>
      <c r="J4393" s="20" t="n">
        <v>247.13</v>
      </c>
      <c r="K4393" s="18" t="n">
        <v>6</v>
      </c>
      <c r="L4393" s="18" t="n">
        <v>3</v>
      </c>
      <c r="M4393" s="18" t="n">
        <v>108</v>
      </c>
      <c r="N4393" s="18" t="n">
        <v>25</v>
      </c>
      <c r="O4393" s="14" t="s">
        <v>1097</v>
      </c>
      <c r="P4393" s="14" t="s">
        <v>84</v>
      </c>
      <c r="Q4393" s="15" t="s">
        <v>1089</v>
      </c>
      <c r="R4393" s="16" t="s">
        <v>1017</v>
      </c>
      <c r="S4393" s="15" t="s">
        <v>27061</v>
      </c>
      <c r="T4393" s="15" t="s">
        <v>27061</v>
      </c>
      <c r="U4393" s="21" t="s">
        <v>72</v>
      </c>
    </row>
    <row r="4394" customFormat="false" ht="15" hidden="false" customHeight="false" outlineLevel="0" collapsed="false">
      <c r="A4394" s="15" t="s">
        <v>26556</v>
      </c>
      <c r="B4394" s="15" t="s">
        <v>27023</v>
      </c>
      <c r="C4394" s="14" t="s">
        <v>27062</v>
      </c>
      <c r="D4394" s="14" t="s">
        <v>27063</v>
      </c>
      <c r="E4394" s="16" t="s">
        <v>27064</v>
      </c>
      <c r="F4394" s="16" t="s">
        <v>27060</v>
      </c>
      <c r="G4394" s="23" t="s">
        <v>43</v>
      </c>
      <c r="H4394" s="18" t="n">
        <v>4</v>
      </c>
      <c r="I4394" s="20" t="n">
        <v>104.8</v>
      </c>
      <c r="J4394" s="20" t="n">
        <v>162.02</v>
      </c>
      <c r="K4394" s="18" t="n">
        <v>5</v>
      </c>
      <c r="L4394" s="18" t="n">
        <v>3</v>
      </c>
      <c r="M4394" s="18" t="n">
        <v>92</v>
      </c>
      <c r="N4394" s="18" t="n">
        <v>25</v>
      </c>
      <c r="O4394" s="14" t="s">
        <v>1088</v>
      </c>
      <c r="P4394" s="14" t="s">
        <v>84</v>
      </c>
      <c r="Q4394" s="15" t="s">
        <v>1089</v>
      </c>
      <c r="R4394" s="16" t="s">
        <v>27065</v>
      </c>
      <c r="S4394" s="15" t="s">
        <v>27061</v>
      </c>
      <c r="T4394" s="15" t="s">
        <v>27066</v>
      </c>
      <c r="U4394" s="21" t="s">
        <v>72</v>
      </c>
    </row>
    <row r="4395" customFormat="false" ht="15" hidden="false" customHeight="false" outlineLevel="0" collapsed="false">
      <c r="A4395" s="15" t="s">
        <v>26556</v>
      </c>
      <c r="B4395" s="15" t="s">
        <v>27023</v>
      </c>
      <c r="C4395" s="14" t="s">
        <v>27067</v>
      </c>
      <c r="D4395" s="14" t="s">
        <v>27068</v>
      </c>
      <c r="E4395" s="16" t="s">
        <v>27069</v>
      </c>
      <c r="F4395" s="16" t="s">
        <v>27048</v>
      </c>
      <c r="G4395" s="23" t="s">
        <v>43</v>
      </c>
      <c r="H4395" s="18" t="n">
        <v>2</v>
      </c>
      <c r="I4395" s="20" t="n">
        <v>33.72</v>
      </c>
      <c r="J4395" s="20" t="n">
        <v>83.19</v>
      </c>
      <c r="K4395" s="18" t="n">
        <v>5</v>
      </c>
      <c r="L4395" s="18" t="n">
        <v>4</v>
      </c>
      <c r="M4395" s="18" t="n">
        <v>69</v>
      </c>
      <c r="N4395" s="18" t="n">
        <v>30</v>
      </c>
      <c r="O4395" s="14" t="s">
        <v>1126</v>
      </c>
      <c r="P4395" s="14" t="s">
        <v>118</v>
      </c>
      <c r="Q4395" s="15" t="s">
        <v>1089</v>
      </c>
      <c r="R4395" s="16" t="s">
        <v>10166</v>
      </c>
      <c r="S4395" s="15" t="s">
        <v>27070</v>
      </c>
      <c r="T4395" s="15" t="s">
        <v>27070</v>
      </c>
      <c r="U4395" s="21" t="s">
        <v>72</v>
      </c>
    </row>
    <row r="4396" customFormat="false" ht="15" hidden="false" customHeight="false" outlineLevel="0" collapsed="false">
      <c r="A4396" s="15" t="s">
        <v>26556</v>
      </c>
      <c r="B4396" s="15" t="s">
        <v>27023</v>
      </c>
      <c r="C4396" s="14" t="s">
        <v>27071</v>
      </c>
      <c r="D4396" s="14" t="s">
        <v>27072</v>
      </c>
      <c r="E4396" s="16" t="s">
        <v>27073</v>
      </c>
      <c r="F4396" s="16"/>
      <c r="G4396" s="23" t="s">
        <v>43</v>
      </c>
      <c r="H4396" s="18" t="n">
        <v>2</v>
      </c>
      <c r="I4396" s="20" t="n">
        <v>92.17</v>
      </c>
      <c r="J4396" s="20" t="n">
        <v>107.35</v>
      </c>
      <c r="K4396" s="18" t="n">
        <v>2</v>
      </c>
      <c r="L4396" s="18" t="n">
        <v>2</v>
      </c>
      <c r="M4396" s="18" t="n">
        <v>30</v>
      </c>
      <c r="N4396" s="18" t="n">
        <v>30</v>
      </c>
      <c r="O4396" s="14" t="s">
        <v>17859</v>
      </c>
      <c r="P4396" s="14" t="s">
        <v>84</v>
      </c>
      <c r="Q4396" s="15" t="s">
        <v>1089</v>
      </c>
      <c r="R4396" s="16" t="s">
        <v>27074</v>
      </c>
      <c r="S4396" s="15" t="s">
        <v>27075</v>
      </c>
      <c r="T4396" s="15" t="s">
        <v>27076</v>
      </c>
      <c r="U4396" s="21" t="s">
        <v>72</v>
      </c>
    </row>
    <row r="4397" customFormat="false" ht="15" hidden="false" customHeight="false" outlineLevel="0" collapsed="false">
      <c r="A4397" s="15" t="s">
        <v>26556</v>
      </c>
      <c r="B4397" s="15" t="s">
        <v>27023</v>
      </c>
      <c r="C4397" s="14" t="s">
        <v>27077</v>
      </c>
      <c r="D4397" s="14" t="s">
        <v>27078</v>
      </c>
      <c r="E4397" s="16" t="s">
        <v>27079</v>
      </c>
      <c r="F4397" s="16" t="s">
        <v>27080</v>
      </c>
      <c r="G4397" s="19" t="s">
        <v>41</v>
      </c>
      <c r="H4397" s="18" t="n">
        <v>2</v>
      </c>
      <c r="I4397" s="20" t="n">
        <v>85.28</v>
      </c>
      <c r="J4397" s="20" t="n">
        <v>242.13</v>
      </c>
      <c r="K4397" s="18" t="n">
        <v>2</v>
      </c>
      <c r="L4397" s="18" t="n">
        <v>2</v>
      </c>
      <c r="M4397" s="18" t="n">
        <v>40</v>
      </c>
      <c r="N4397" s="18" t="n">
        <v>40</v>
      </c>
      <c r="O4397" s="14" t="s">
        <v>1126</v>
      </c>
      <c r="P4397" s="14" t="s">
        <v>84</v>
      </c>
      <c r="Q4397" s="15" t="s">
        <v>1089</v>
      </c>
      <c r="R4397" s="16" t="s">
        <v>27081</v>
      </c>
      <c r="S4397" s="15" t="s">
        <v>27082</v>
      </c>
      <c r="T4397" s="15" t="s">
        <v>27083</v>
      </c>
      <c r="U4397" s="21" t="s">
        <v>72</v>
      </c>
    </row>
    <row r="4398" customFormat="false" ht="15" hidden="false" customHeight="false" outlineLevel="0" collapsed="false">
      <c r="A4398" s="15" t="s">
        <v>26556</v>
      </c>
      <c r="B4398" s="15" t="s">
        <v>27023</v>
      </c>
      <c r="C4398" s="14" t="s">
        <v>27084</v>
      </c>
      <c r="D4398" s="14" t="s">
        <v>27085</v>
      </c>
      <c r="E4398" s="16" t="s">
        <v>27086</v>
      </c>
      <c r="F4398" s="16" t="s">
        <v>27087</v>
      </c>
      <c r="G4398" s="19" t="s">
        <v>41</v>
      </c>
      <c r="H4398" s="18" t="n">
        <v>3</v>
      </c>
      <c r="I4398" s="20" t="n">
        <v>58.89</v>
      </c>
      <c r="J4398" s="20" t="n">
        <v>231.81</v>
      </c>
      <c r="K4398" s="18" t="n">
        <v>6</v>
      </c>
      <c r="L4398" s="18" t="n">
        <v>3</v>
      </c>
      <c r="M4398" s="18" t="n">
        <v>96</v>
      </c>
      <c r="N4398" s="18" t="n">
        <v>96</v>
      </c>
      <c r="O4398" s="14" t="s">
        <v>1126</v>
      </c>
      <c r="P4398" s="14" t="s">
        <v>84</v>
      </c>
      <c r="Q4398" s="15" t="s">
        <v>1089</v>
      </c>
      <c r="R4398" s="16" t="s">
        <v>5969</v>
      </c>
      <c r="S4398" s="15" t="s">
        <v>20840</v>
      </c>
      <c r="T4398" s="15" t="s">
        <v>20840</v>
      </c>
      <c r="U4398" s="21" t="s">
        <v>72</v>
      </c>
    </row>
    <row r="4399" customFormat="false" ht="15" hidden="false" customHeight="false" outlineLevel="0" collapsed="false">
      <c r="A4399" s="15" t="s">
        <v>26556</v>
      </c>
      <c r="B4399" s="15" t="s">
        <v>27023</v>
      </c>
      <c r="C4399" s="14" t="s">
        <v>27088</v>
      </c>
      <c r="D4399" s="14" t="s">
        <v>27089</v>
      </c>
      <c r="E4399" s="16" t="s">
        <v>27090</v>
      </c>
      <c r="F4399" s="16" t="s">
        <v>27091</v>
      </c>
      <c r="G4399" s="23" t="s">
        <v>43</v>
      </c>
      <c r="H4399" s="18" t="n">
        <v>2</v>
      </c>
      <c r="I4399" s="20" t="n">
        <v>49.9</v>
      </c>
      <c r="J4399" s="20" t="n">
        <v>149.05</v>
      </c>
      <c r="K4399" s="18" t="n">
        <v>8</v>
      </c>
      <c r="L4399" s="18" t="n">
        <v>4</v>
      </c>
      <c r="M4399" s="18" t="n">
        <v>120</v>
      </c>
      <c r="N4399" s="18" t="n">
        <v>75</v>
      </c>
      <c r="O4399" s="14" t="s">
        <v>3724</v>
      </c>
      <c r="P4399" s="14" t="s">
        <v>84</v>
      </c>
      <c r="Q4399" s="15" t="s">
        <v>1089</v>
      </c>
      <c r="R4399" s="16" t="s">
        <v>4526</v>
      </c>
      <c r="S4399" s="15" t="s">
        <v>27092</v>
      </c>
      <c r="T4399" s="15" t="s">
        <v>27092</v>
      </c>
      <c r="U4399" s="21" t="s">
        <v>72</v>
      </c>
    </row>
    <row r="4400" customFormat="false" ht="15" hidden="false" customHeight="false" outlineLevel="0" collapsed="false">
      <c r="A4400" s="15" t="s">
        <v>26556</v>
      </c>
      <c r="B4400" s="15" t="s">
        <v>27023</v>
      </c>
      <c r="C4400" s="14" t="s">
        <v>27093</v>
      </c>
      <c r="D4400" s="14" t="s">
        <v>27094</v>
      </c>
      <c r="E4400" s="16" t="s">
        <v>27095</v>
      </c>
      <c r="F4400" s="16" t="s">
        <v>27096</v>
      </c>
      <c r="G4400" s="23" t="s">
        <v>43</v>
      </c>
      <c r="H4400" s="18" t="n">
        <v>3</v>
      </c>
      <c r="I4400" s="20" t="n">
        <v>43</v>
      </c>
      <c r="J4400" s="20" t="n">
        <v>178.59</v>
      </c>
      <c r="K4400" s="18" t="n">
        <v>8</v>
      </c>
      <c r="L4400" s="18" t="n">
        <v>3</v>
      </c>
      <c r="M4400" s="18" t="n">
        <v>80</v>
      </c>
      <c r="N4400" s="18" t="n">
        <v>20</v>
      </c>
      <c r="O4400" s="14" t="s">
        <v>3724</v>
      </c>
      <c r="P4400" s="14" t="s">
        <v>118</v>
      </c>
      <c r="Q4400" s="15" t="s">
        <v>1089</v>
      </c>
      <c r="R4400" s="16" t="s">
        <v>27097</v>
      </c>
      <c r="S4400" s="15" t="s">
        <v>27098</v>
      </c>
      <c r="T4400" s="15" t="s">
        <v>27098</v>
      </c>
      <c r="U4400" s="21" t="s">
        <v>72</v>
      </c>
    </row>
    <row r="4401" customFormat="false" ht="15" hidden="false" customHeight="false" outlineLevel="0" collapsed="false">
      <c r="A4401" s="15" t="s">
        <v>26556</v>
      </c>
      <c r="B4401" s="15" t="s">
        <v>27023</v>
      </c>
      <c r="C4401" s="14" t="s">
        <v>27099</v>
      </c>
      <c r="D4401" s="14" t="s">
        <v>27100</v>
      </c>
      <c r="E4401" s="16" t="s">
        <v>27101</v>
      </c>
      <c r="F4401" s="16" t="s">
        <v>27102</v>
      </c>
      <c r="G4401" s="23" t="s">
        <v>43</v>
      </c>
      <c r="H4401" s="18" t="n">
        <v>3</v>
      </c>
      <c r="I4401" s="20" t="n">
        <v>86.22</v>
      </c>
      <c r="J4401" s="20" t="n">
        <v>198</v>
      </c>
      <c r="K4401" s="18" t="n">
        <v>3</v>
      </c>
      <c r="L4401" s="18" t="n">
        <v>2</v>
      </c>
      <c r="M4401" s="18" t="n">
        <v>60</v>
      </c>
      <c r="N4401" s="18" t="n">
        <v>60</v>
      </c>
      <c r="O4401" s="14" t="s">
        <v>1126</v>
      </c>
      <c r="P4401" s="14" t="s">
        <v>84</v>
      </c>
      <c r="Q4401" s="15" t="s">
        <v>1089</v>
      </c>
      <c r="R4401" s="16" t="s">
        <v>27103</v>
      </c>
      <c r="S4401" s="15" t="s">
        <v>27104</v>
      </c>
      <c r="T4401" s="15" t="s">
        <v>27104</v>
      </c>
      <c r="U4401" s="21" t="s">
        <v>72</v>
      </c>
    </row>
    <row r="4402" customFormat="false" ht="15" hidden="false" customHeight="false" outlineLevel="0" collapsed="false">
      <c r="A4402" s="15" t="s">
        <v>26556</v>
      </c>
      <c r="B4402" s="15" t="s">
        <v>27023</v>
      </c>
      <c r="C4402" s="14" t="s">
        <v>27105</v>
      </c>
      <c r="D4402" s="14" t="s">
        <v>27106</v>
      </c>
      <c r="E4402" s="16" t="s">
        <v>27107</v>
      </c>
      <c r="F4402" s="16" t="s">
        <v>27108</v>
      </c>
      <c r="G4402" s="25" t="s">
        <v>39</v>
      </c>
      <c r="H4402" s="18" t="n">
        <v>4</v>
      </c>
      <c r="I4402" s="20" t="n">
        <v>315.61</v>
      </c>
      <c r="J4402" s="20" t="n">
        <v>561.8</v>
      </c>
      <c r="K4402" s="18" t="n">
        <v>8</v>
      </c>
      <c r="L4402" s="18" t="n">
        <v>4</v>
      </c>
      <c r="M4402" s="18" t="n">
        <v>120</v>
      </c>
      <c r="N4402" s="18" t="n">
        <v>60</v>
      </c>
      <c r="O4402" s="14" t="s">
        <v>1097</v>
      </c>
      <c r="P4402" s="14" t="s">
        <v>84</v>
      </c>
      <c r="Q4402" s="15" t="s">
        <v>1089</v>
      </c>
      <c r="R4402" s="16" t="s">
        <v>27109</v>
      </c>
      <c r="S4402" s="15" t="s">
        <v>27110</v>
      </c>
      <c r="T4402" s="15" t="s">
        <v>27111</v>
      </c>
      <c r="U4402" s="21" t="s">
        <v>72</v>
      </c>
    </row>
    <row r="4403" customFormat="false" ht="15" hidden="false" customHeight="false" outlineLevel="0" collapsed="false">
      <c r="A4403" s="15" t="s">
        <v>26556</v>
      </c>
      <c r="B4403" s="15" t="s">
        <v>27023</v>
      </c>
      <c r="C4403" s="14" t="s">
        <v>27112</v>
      </c>
      <c r="D4403" s="14" t="s">
        <v>27113</v>
      </c>
      <c r="E4403" s="16" t="s">
        <v>27114</v>
      </c>
      <c r="F4403" s="16"/>
      <c r="G4403" s="23" t="s">
        <v>43</v>
      </c>
      <c r="H4403" s="18" t="n">
        <v>2</v>
      </c>
      <c r="I4403" s="20" t="n">
        <v>39.52</v>
      </c>
      <c r="J4403" s="20" t="n">
        <v>119.2</v>
      </c>
      <c r="K4403" s="18" t="n">
        <v>2</v>
      </c>
      <c r="L4403" s="18" t="n">
        <v>1</v>
      </c>
      <c r="M4403" s="18" t="n">
        <v>20</v>
      </c>
      <c r="N4403" s="18" t="n">
        <v>20</v>
      </c>
      <c r="O4403" s="14" t="s">
        <v>1126</v>
      </c>
      <c r="P4403" s="14" t="s">
        <v>84</v>
      </c>
      <c r="Q4403" s="15" t="s">
        <v>1089</v>
      </c>
      <c r="R4403" s="16" t="s">
        <v>27115</v>
      </c>
      <c r="S4403" s="15" t="s">
        <v>27116</v>
      </c>
      <c r="T4403" s="15" t="s">
        <v>27116</v>
      </c>
      <c r="U4403" s="21" t="s">
        <v>72</v>
      </c>
    </row>
    <row r="4404" customFormat="false" ht="15" hidden="false" customHeight="false" outlineLevel="0" collapsed="false">
      <c r="A4404" s="15" t="s">
        <v>26556</v>
      </c>
      <c r="B4404" s="15" t="s">
        <v>27023</v>
      </c>
      <c r="C4404" s="14" t="s">
        <v>27117</v>
      </c>
      <c r="D4404" s="14" t="s">
        <v>27118</v>
      </c>
      <c r="E4404" s="16" t="s">
        <v>27114</v>
      </c>
      <c r="F4404" s="16"/>
      <c r="G4404" s="23" t="s">
        <v>43</v>
      </c>
      <c r="H4404" s="18" t="n">
        <v>2</v>
      </c>
      <c r="I4404" s="20" t="n">
        <v>44</v>
      </c>
      <c r="J4404" s="20" t="n">
        <v>79.5</v>
      </c>
      <c r="K4404" s="18" t="n">
        <v>2</v>
      </c>
      <c r="L4404" s="18" t="n">
        <v>1</v>
      </c>
      <c r="M4404" s="18" t="n">
        <v>36</v>
      </c>
      <c r="N4404" s="18" t="n">
        <v>36</v>
      </c>
      <c r="O4404" s="14" t="s">
        <v>1126</v>
      </c>
      <c r="P4404" s="14" t="s">
        <v>84</v>
      </c>
      <c r="Q4404" s="15" t="s">
        <v>1089</v>
      </c>
      <c r="R4404" s="16" t="s">
        <v>27119</v>
      </c>
      <c r="S4404" s="15" t="s">
        <v>27116</v>
      </c>
      <c r="T4404" s="15" t="s">
        <v>27120</v>
      </c>
      <c r="U4404" s="21" t="s">
        <v>72</v>
      </c>
    </row>
    <row r="4405" customFormat="false" ht="15" hidden="false" customHeight="false" outlineLevel="0" collapsed="false">
      <c r="A4405" s="15" t="s">
        <v>26556</v>
      </c>
      <c r="B4405" s="15" t="s">
        <v>27023</v>
      </c>
      <c r="C4405" s="14" t="s">
        <v>27121</v>
      </c>
      <c r="D4405" s="14" t="s">
        <v>27122</v>
      </c>
      <c r="E4405" s="16" t="s">
        <v>27123</v>
      </c>
      <c r="F4405" s="16" t="s">
        <v>27124</v>
      </c>
      <c r="G4405" s="19" t="s">
        <v>41</v>
      </c>
      <c r="H4405" s="18" t="n">
        <v>5</v>
      </c>
      <c r="I4405" s="20" t="n">
        <v>116.17</v>
      </c>
      <c r="J4405" s="20" t="n">
        <v>230.18</v>
      </c>
      <c r="K4405" s="18" t="n">
        <v>18</v>
      </c>
      <c r="L4405" s="18" t="n">
        <v>2</v>
      </c>
      <c r="M4405" s="18" t="n">
        <v>315</v>
      </c>
      <c r="N4405" s="18" t="n">
        <v>189</v>
      </c>
      <c r="O4405" s="14" t="s">
        <v>1126</v>
      </c>
      <c r="P4405" s="14" t="s">
        <v>84</v>
      </c>
      <c r="Q4405" s="15" t="s">
        <v>1089</v>
      </c>
      <c r="R4405" s="16" t="s">
        <v>27125</v>
      </c>
      <c r="S4405" s="15" t="s">
        <v>27126</v>
      </c>
      <c r="T4405" s="15" t="s">
        <v>27127</v>
      </c>
      <c r="U4405" s="21" t="s">
        <v>72</v>
      </c>
    </row>
    <row r="4406" customFormat="false" ht="15" hidden="false" customHeight="false" outlineLevel="0" collapsed="false">
      <c r="A4406" s="15" t="s">
        <v>26556</v>
      </c>
      <c r="B4406" s="15" t="s">
        <v>27023</v>
      </c>
      <c r="C4406" s="14" t="s">
        <v>27128</v>
      </c>
      <c r="D4406" s="14" t="s">
        <v>27129</v>
      </c>
      <c r="E4406" s="16" t="s">
        <v>27130</v>
      </c>
      <c r="F4406" s="16"/>
      <c r="G4406" s="19" t="s">
        <v>41</v>
      </c>
      <c r="H4406" s="18" t="n">
        <v>4</v>
      </c>
      <c r="I4406" s="20" t="n">
        <v>99.28</v>
      </c>
      <c r="J4406" s="20" t="n">
        <v>205.02</v>
      </c>
      <c r="K4406" s="18" t="n">
        <v>16</v>
      </c>
      <c r="L4406" s="18"/>
      <c r="M4406" s="18" t="n">
        <v>240</v>
      </c>
      <c r="N4406" s="18" t="n">
        <v>120</v>
      </c>
      <c r="O4406" s="14" t="s">
        <v>1126</v>
      </c>
      <c r="P4406" s="14" t="s">
        <v>118</v>
      </c>
      <c r="Q4406" s="15" t="s">
        <v>1089</v>
      </c>
      <c r="R4406" s="16" t="s">
        <v>27131</v>
      </c>
      <c r="S4406" s="15" t="s">
        <v>27126</v>
      </c>
      <c r="T4406" s="15" t="s">
        <v>27132</v>
      </c>
      <c r="U4406" s="21" t="s">
        <v>72</v>
      </c>
    </row>
    <row r="4407" customFormat="false" ht="15" hidden="false" customHeight="false" outlineLevel="0" collapsed="false">
      <c r="A4407" s="15" t="s">
        <v>26556</v>
      </c>
      <c r="B4407" s="15" t="s">
        <v>27023</v>
      </c>
      <c r="C4407" s="14" t="s">
        <v>27133</v>
      </c>
      <c r="D4407" s="14" t="s">
        <v>27134</v>
      </c>
      <c r="E4407" s="16" t="s">
        <v>27135</v>
      </c>
      <c r="F4407" s="16" t="s">
        <v>27136</v>
      </c>
      <c r="G4407" s="19" t="s">
        <v>41</v>
      </c>
      <c r="H4407" s="18" t="n">
        <v>5</v>
      </c>
      <c r="I4407" s="20" t="n">
        <v>192.28</v>
      </c>
      <c r="J4407" s="20" t="n">
        <v>192.28</v>
      </c>
      <c r="K4407" s="18" t="n">
        <v>9</v>
      </c>
      <c r="L4407" s="18"/>
      <c r="M4407" s="18" t="n">
        <v>108</v>
      </c>
      <c r="N4407" s="18" t="n">
        <v>36</v>
      </c>
      <c r="O4407" s="14" t="s">
        <v>3724</v>
      </c>
      <c r="P4407" s="14" t="s">
        <v>118</v>
      </c>
      <c r="Q4407" s="15" t="s">
        <v>1089</v>
      </c>
      <c r="R4407" s="16" t="s">
        <v>4242</v>
      </c>
      <c r="S4407" s="15" t="s">
        <v>27137</v>
      </c>
      <c r="T4407" s="15" t="s">
        <v>27137</v>
      </c>
      <c r="U4407" s="21" t="s">
        <v>72</v>
      </c>
    </row>
    <row r="4408" customFormat="false" ht="15" hidden="false" customHeight="false" outlineLevel="0" collapsed="false">
      <c r="A4408" s="15" t="s">
        <v>26556</v>
      </c>
      <c r="B4408" s="15" t="s">
        <v>27023</v>
      </c>
      <c r="C4408" s="14" t="s">
        <v>27138</v>
      </c>
      <c r="D4408" s="14" t="s">
        <v>27139</v>
      </c>
      <c r="E4408" s="16" t="s">
        <v>27140</v>
      </c>
      <c r="F4408" s="16" t="s">
        <v>27141</v>
      </c>
      <c r="G4408" s="19" t="s">
        <v>41</v>
      </c>
      <c r="H4408" s="18" t="n">
        <v>5</v>
      </c>
      <c r="I4408" s="20" t="n">
        <v>90.03</v>
      </c>
      <c r="J4408" s="20" t="n">
        <v>195.21</v>
      </c>
      <c r="K4408" s="18" t="n">
        <v>3</v>
      </c>
      <c r="L4408" s="18" t="n">
        <v>2</v>
      </c>
      <c r="M4408" s="18" t="n">
        <v>30</v>
      </c>
      <c r="N4408" s="18" t="n">
        <v>10</v>
      </c>
      <c r="O4408" s="14" t="s">
        <v>1126</v>
      </c>
      <c r="P4408" s="14" t="s">
        <v>118</v>
      </c>
      <c r="Q4408" s="15" t="s">
        <v>1089</v>
      </c>
      <c r="R4408" s="16" t="s">
        <v>4398</v>
      </c>
      <c r="S4408" s="15" t="s">
        <v>27142</v>
      </c>
      <c r="T4408" s="15" t="s">
        <v>27143</v>
      </c>
      <c r="U4408" s="21" t="s">
        <v>72</v>
      </c>
    </row>
    <row r="4409" customFormat="false" ht="15" hidden="false" customHeight="false" outlineLevel="0" collapsed="false">
      <c r="A4409" s="15" t="s">
        <v>26556</v>
      </c>
      <c r="B4409" s="15" t="s">
        <v>27023</v>
      </c>
      <c r="C4409" s="14" t="s">
        <v>27144</v>
      </c>
      <c r="D4409" s="14" t="s">
        <v>27145</v>
      </c>
      <c r="E4409" s="16" t="s">
        <v>27146</v>
      </c>
      <c r="F4409" s="16" t="s">
        <v>27147</v>
      </c>
      <c r="G4409" s="23" t="s">
        <v>43</v>
      </c>
      <c r="H4409" s="18" t="n">
        <v>3</v>
      </c>
      <c r="I4409" s="20" t="n">
        <v>60.33</v>
      </c>
      <c r="J4409" s="20" t="n">
        <v>60.33</v>
      </c>
      <c r="K4409" s="18" t="n">
        <v>4</v>
      </c>
      <c r="L4409" s="18" t="n">
        <v>5</v>
      </c>
      <c r="M4409" s="18" t="n">
        <v>40</v>
      </c>
      <c r="N4409" s="18" t="n">
        <v>20</v>
      </c>
      <c r="O4409" s="14" t="s">
        <v>1126</v>
      </c>
      <c r="P4409" s="14" t="s">
        <v>118</v>
      </c>
      <c r="Q4409" s="15" t="s">
        <v>1089</v>
      </c>
      <c r="R4409" s="16" t="s">
        <v>27148</v>
      </c>
      <c r="S4409" s="15" t="s">
        <v>27149</v>
      </c>
      <c r="T4409" s="15" t="s">
        <v>27149</v>
      </c>
      <c r="U4409" s="21" t="s">
        <v>72</v>
      </c>
    </row>
    <row r="4410" customFormat="false" ht="15" hidden="false" customHeight="false" outlineLevel="0" collapsed="false">
      <c r="A4410" s="15" t="s">
        <v>26556</v>
      </c>
      <c r="B4410" s="15" t="s">
        <v>27023</v>
      </c>
      <c r="C4410" s="14" t="s">
        <v>27150</v>
      </c>
      <c r="D4410" s="14" t="s">
        <v>27151</v>
      </c>
      <c r="E4410" s="16" t="s">
        <v>27152</v>
      </c>
      <c r="F4410" s="16"/>
      <c r="G4410" s="23" t="s">
        <v>43</v>
      </c>
      <c r="H4410" s="18" t="n">
        <v>2</v>
      </c>
      <c r="I4410" s="20" t="n">
        <v>37.78</v>
      </c>
      <c r="J4410" s="20" t="n">
        <v>129.46</v>
      </c>
      <c r="K4410" s="18" t="n">
        <v>4</v>
      </c>
      <c r="L4410" s="18" t="n">
        <v>1</v>
      </c>
      <c r="M4410" s="18" t="n">
        <v>48</v>
      </c>
      <c r="N4410" s="18" t="n">
        <v>48</v>
      </c>
      <c r="O4410" s="14" t="s">
        <v>27153</v>
      </c>
      <c r="P4410" s="14" t="s">
        <v>84</v>
      </c>
      <c r="Q4410" s="15" t="s">
        <v>1089</v>
      </c>
      <c r="R4410" s="16" t="s">
        <v>27154</v>
      </c>
      <c r="S4410" s="15" t="s">
        <v>27155</v>
      </c>
      <c r="T4410" s="15" t="s">
        <v>27155</v>
      </c>
      <c r="U4410" s="21" t="s">
        <v>72</v>
      </c>
    </row>
    <row r="4411" customFormat="false" ht="15" hidden="false" customHeight="false" outlineLevel="0" collapsed="false">
      <c r="A4411" s="15" t="s">
        <v>26556</v>
      </c>
      <c r="B4411" s="15" t="s">
        <v>27023</v>
      </c>
      <c r="C4411" s="14" t="s">
        <v>27156</v>
      </c>
      <c r="D4411" s="14" t="s">
        <v>27157</v>
      </c>
      <c r="E4411" s="16" t="s">
        <v>27158</v>
      </c>
      <c r="F4411" s="16"/>
      <c r="G4411" s="23" t="s">
        <v>43</v>
      </c>
      <c r="H4411" s="18" t="n">
        <v>4</v>
      </c>
      <c r="I4411" s="20" t="n">
        <v>81.1</v>
      </c>
      <c r="J4411" s="20" t="n">
        <v>173.1</v>
      </c>
      <c r="K4411" s="18" t="n">
        <v>3</v>
      </c>
      <c r="L4411" s="18" t="n">
        <v>2</v>
      </c>
      <c r="M4411" s="18" t="n">
        <v>42</v>
      </c>
      <c r="N4411" s="18" t="n">
        <v>30</v>
      </c>
      <c r="O4411" s="14" t="s">
        <v>1126</v>
      </c>
      <c r="P4411" s="14" t="s">
        <v>118</v>
      </c>
      <c r="Q4411" s="15" t="s">
        <v>1089</v>
      </c>
      <c r="R4411" s="16" t="s">
        <v>27159</v>
      </c>
      <c r="S4411" s="15" t="s">
        <v>27160</v>
      </c>
      <c r="T4411" s="15" t="s">
        <v>27160</v>
      </c>
      <c r="U4411" s="21" t="s">
        <v>72</v>
      </c>
    </row>
    <row r="4412" customFormat="false" ht="15" hidden="false" customHeight="false" outlineLevel="0" collapsed="false">
      <c r="A4412" s="15" t="s">
        <v>26556</v>
      </c>
      <c r="B4412" s="15" t="s">
        <v>27023</v>
      </c>
      <c r="C4412" s="14" t="s">
        <v>27161</v>
      </c>
      <c r="D4412" s="14" t="s">
        <v>27162</v>
      </c>
      <c r="E4412" s="16" t="s">
        <v>27163</v>
      </c>
      <c r="F4412" s="16" t="s">
        <v>27164</v>
      </c>
      <c r="G4412" s="23" t="s">
        <v>43</v>
      </c>
      <c r="H4412" s="18" t="n">
        <v>2</v>
      </c>
      <c r="I4412" s="20" t="n">
        <v>47.085</v>
      </c>
      <c r="J4412" s="20" t="n">
        <v>85.29</v>
      </c>
      <c r="K4412" s="18" t="n">
        <v>2</v>
      </c>
      <c r="L4412" s="18" t="n">
        <v>1</v>
      </c>
      <c r="M4412" s="18" t="n">
        <v>30</v>
      </c>
      <c r="N4412" s="18" t="n">
        <v>30</v>
      </c>
      <c r="O4412" s="14" t="s">
        <v>1126</v>
      </c>
      <c r="P4412" s="14" t="s">
        <v>84</v>
      </c>
      <c r="Q4412" s="15" t="s">
        <v>1089</v>
      </c>
      <c r="R4412" s="16" t="s">
        <v>27165</v>
      </c>
      <c r="S4412" s="15" t="s">
        <v>27166</v>
      </c>
      <c r="T4412" s="15" t="s">
        <v>27167</v>
      </c>
      <c r="U4412" s="21" t="s">
        <v>72</v>
      </c>
    </row>
    <row r="4413" customFormat="false" ht="15" hidden="false" customHeight="false" outlineLevel="0" collapsed="false">
      <c r="A4413" s="15" t="s">
        <v>26556</v>
      </c>
      <c r="B4413" s="15" t="s">
        <v>27023</v>
      </c>
      <c r="C4413" s="14" t="s">
        <v>27168</v>
      </c>
      <c r="D4413" s="14" t="s">
        <v>27169</v>
      </c>
      <c r="E4413" s="16" t="s">
        <v>27170</v>
      </c>
      <c r="F4413" s="16" t="s">
        <v>27171</v>
      </c>
      <c r="G4413" s="19" t="s">
        <v>41</v>
      </c>
      <c r="H4413" s="18" t="n">
        <v>3</v>
      </c>
      <c r="I4413" s="20" t="n">
        <v>280.81</v>
      </c>
      <c r="J4413" s="20" t="n">
        <v>382.34</v>
      </c>
      <c r="K4413" s="18" t="n">
        <v>2</v>
      </c>
      <c r="L4413" s="18" t="n">
        <v>4</v>
      </c>
      <c r="M4413" s="18" t="n">
        <v>160</v>
      </c>
      <c r="N4413" s="18" t="n">
        <v>160</v>
      </c>
      <c r="O4413" s="14" t="s">
        <v>5962</v>
      </c>
      <c r="P4413" s="14" t="s">
        <v>118</v>
      </c>
      <c r="Q4413" s="15" t="s">
        <v>1089</v>
      </c>
      <c r="R4413" s="16" t="s">
        <v>27172</v>
      </c>
      <c r="S4413" s="15" t="s">
        <v>27173</v>
      </c>
      <c r="T4413" s="15" t="s">
        <v>27173</v>
      </c>
      <c r="U4413" s="21" t="s">
        <v>72</v>
      </c>
    </row>
    <row r="4414" customFormat="false" ht="15" hidden="false" customHeight="false" outlineLevel="0" collapsed="false">
      <c r="A4414" s="15" t="s">
        <v>26556</v>
      </c>
      <c r="B4414" s="15" t="s">
        <v>27023</v>
      </c>
      <c r="C4414" s="14" t="s">
        <v>27174</v>
      </c>
      <c r="D4414" s="14" t="s">
        <v>27175</v>
      </c>
      <c r="E4414" s="16" t="s">
        <v>27176</v>
      </c>
      <c r="F4414" s="16"/>
      <c r="G4414" s="23" t="s">
        <v>43</v>
      </c>
      <c r="H4414" s="18" t="n">
        <v>1</v>
      </c>
      <c r="I4414" s="20" t="n">
        <v>39.71</v>
      </c>
      <c r="J4414" s="20" t="n">
        <v>82.21</v>
      </c>
      <c r="K4414" s="18" t="n">
        <v>2</v>
      </c>
      <c r="L4414" s="18" t="n">
        <v>1</v>
      </c>
      <c r="M4414" s="18" t="n">
        <v>24</v>
      </c>
      <c r="N4414" s="18" t="n">
        <v>24</v>
      </c>
      <c r="O4414" s="14" t="s">
        <v>1097</v>
      </c>
      <c r="P4414" s="14" t="s">
        <v>84</v>
      </c>
      <c r="Q4414" s="15" t="s">
        <v>1089</v>
      </c>
      <c r="R4414" s="16" t="s">
        <v>27177</v>
      </c>
      <c r="S4414" s="15" t="s">
        <v>27178</v>
      </c>
      <c r="T4414" s="15" t="s">
        <v>27178</v>
      </c>
      <c r="U4414" s="21" t="s">
        <v>72</v>
      </c>
    </row>
    <row r="4415" customFormat="false" ht="15" hidden="false" customHeight="false" outlineLevel="0" collapsed="false">
      <c r="A4415" s="15" t="s">
        <v>26556</v>
      </c>
      <c r="B4415" s="15" t="s">
        <v>27023</v>
      </c>
      <c r="C4415" s="14" t="s">
        <v>27179</v>
      </c>
      <c r="D4415" s="14" t="s">
        <v>27180</v>
      </c>
      <c r="E4415" s="16" t="s">
        <v>27181</v>
      </c>
      <c r="F4415" s="16" t="s">
        <v>27182</v>
      </c>
      <c r="G4415" s="19" t="s">
        <v>41</v>
      </c>
      <c r="H4415" s="18" t="n">
        <v>3</v>
      </c>
      <c r="I4415" s="20" t="n">
        <v>58.92</v>
      </c>
      <c r="J4415" s="20" t="n">
        <v>239.4</v>
      </c>
      <c r="K4415" s="18" t="n">
        <v>2</v>
      </c>
      <c r="L4415" s="18" t="n">
        <v>2</v>
      </c>
      <c r="M4415" s="18" t="n">
        <v>20</v>
      </c>
      <c r="N4415" s="18" t="n">
        <v>10</v>
      </c>
      <c r="O4415" s="14" t="s">
        <v>1126</v>
      </c>
      <c r="P4415" s="14" t="s">
        <v>118</v>
      </c>
      <c r="Q4415" s="15" t="s">
        <v>1089</v>
      </c>
      <c r="R4415" s="16" t="s">
        <v>25784</v>
      </c>
      <c r="S4415" s="15" t="s">
        <v>27183</v>
      </c>
      <c r="T4415" s="15" t="s">
        <v>27183</v>
      </c>
      <c r="U4415" s="21" t="s">
        <v>72</v>
      </c>
    </row>
    <row r="4416" customFormat="false" ht="15" hidden="false" customHeight="false" outlineLevel="0" collapsed="false">
      <c r="A4416" s="15" t="s">
        <v>26556</v>
      </c>
      <c r="B4416" s="15" t="s">
        <v>27023</v>
      </c>
      <c r="C4416" s="14" t="s">
        <v>27184</v>
      </c>
      <c r="D4416" s="14" t="s">
        <v>27185</v>
      </c>
      <c r="E4416" s="16" t="s">
        <v>27186</v>
      </c>
      <c r="F4416" s="16" t="s">
        <v>27187</v>
      </c>
      <c r="G4416" s="25" t="s">
        <v>39</v>
      </c>
      <c r="H4416" s="18" t="n">
        <v>7</v>
      </c>
      <c r="I4416" s="20" t="n">
        <v>210.97</v>
      </c>
      <c r="J4416" s="20" t="n">
        <v>580.35</v>
      </c>
      <c r="K4416" s="18" t="n">
        <v>12</v>
      </c>
      <c r="L4416" s="18" t="n">
        <v>30</v>
      </c>
      <c r="M4416" s="18" t="n">
        <v>310</v>
      </c>
      <c r="N4416" s="18" t="n">
        <v>218</v>
      </c>
      <c r="O4416" s="14" t="s">
        <v>1126</v>
      </c>
      <c r="P4416" s="14" t="s">
        <v>84</v>
      </c>
      <c r="Q4416" s="15" t="s">
        <v>1089</v>
      </c>
      <c r="R4416" s="16" t="s">
        <v>27188</v>
      </c>
      <c r="S4416" s="15" t="s">
        <v>1348</v>
      </c>
      <c r="T4416" s="15" t="s">
        <v>27189</v>
      </c>
      <c r="U4416" s="21" t="s">
        <v>72</v>
      </c>
    </row>
    <row r="4417" customFormat="false" ht="15" hidden="false" customHeight="false" outlineLevel="0" collapsed="false">
      <c r="A4417" s="15" t="s">
        <v>26556</v>
      </c>
      <c r="B4417" s="15" t="s">
        <v>27023</v>
      </c>
      <c r="C4417" s="14" t="s">
        <v>27190</v>
      </c>
      <c r="D4417" s="14" t="s">
        <v>27191</v>
      </c>
      <c r="E4417" s="16" t="s">
        <v>27192</v>
      </c>
      <c r="F4417" s="16" t="s">
        <v>27193</v>
      </c>
      <c r="G4417" s="25" t="s">
        <v>39</v>
      </c>
      <c r="H4417" s="18" t="n">
        <v>3</v>
      </c>
      <c r="I4417" s="20" t="n">
        <v>179.64</v>
      </c>
      <c r="J4417" s="20" t="n">
        <v>454</v>
      </c>
      <c r="K4417" s="18" t="n">
        <v>10</v>
      </c>
      <c r="L4417" s="18" t="n">
        <v>7</v>
      </c>
      <c r="M4417" s="18" t="n">
        <v>150</v>
      </c>
      <c r="N4417" s="18" t="n">
        <v>45</v>
      </c>
      <c r="O4417" s="14" t="s">
        <v>5962</v>
      </c>
      <c r="P4417" s="14" t="s">
        <v>118</v>
      </c>
      <c r="Q4417" s="15" t="s">
        <v>1089</v>
      </c>
      <c r="R4417" s="16" t="s">
        <v>27194</v>
      </c>
      <c r="S4417" s="15" t="s">
        <v>27195</v>
      </c>
      <c r="T4417" s="15" t="s">
        <v>27195</v>
      </c>
      <c r="U4417" s="21" t="s">
        <v>72</v>
      </c>
    </row>
    <row r="4418" customFormat="false" ht="15" hidden="false" customHeight="false" outlineLevel="0" collapsed="false">
      <c r="A4418" s="15" t="s">
        <v>26556</v>
      </c>
      <c r="B4418" s="15" t="s">
        <v>27023</v>
      </c>
      <c r="C4418" s="14" t="s">
        <v>27196</v>
      </c>
      <c r="D4418" s="14" t="s">
        <v>27197</v>
      </c>
      <c r="E4418" s="16" t="s">
        <v>27198</v>
      </c>
      <c r="F4418" s="16" t="s">
        <v>27199</v>
      </c>
      <c r="G4418" s="19" t="s">
        <v>41</v>
      </c>
      <c r="H4418" s="18" t="n">
        <v>6</v>
      </c>
      <c r="I4418" s="20" t="n">
        <v>116.51</v>
      </c>
      <c r="J4418" s="20" t="n">
        <v>260.08</v>
      </c>
      <c r="K4418" s="18" t="n">
        <v>6</v>
      </c>
      <c r="L4418" s="18" t="n">
        <v>7</v>
      </c>
      <c r="M4418" s="18" t="n">
        <v>72</v>
      </c>
      <c r="N4418" s="18" t="n">
        <v>72</v>
      </c>
      <c r="O4418" s="14" t="s">
        <v>1126</v>
      </c>
      <c r="P4418" s="14" t="s">
        <v>84</v>
      </c>
      <c r="Q4418" s="15" t="s">
        <v>1089</v>
      </c>
      <c r="R4418" s="16" t="s">
        <v>27200</v>
      </c>
      <c r="S4418" s="15" t="s">
        <v>27201</v>
      </c>
      <c r="T4418" s="15" t="s">
        <v>27201</v>
      </c>
      <c r="U4418" s="21" t="s">
        <v>72</v>
      </c>
    </row>
    <row r="4419" customFormat="false" ht="26.85" hidden="false" customHeight="false" outlineLevel="0" collapsed="false">
      <c r="A4419" s="15" t="s">
        <v>26556</v>
      </c>
      <c r="B4419" s="15" t="s">
        <v>27023</v>
      </c>
      <c r="C4419" s="14" t="s">
        <v>27202</v>
      </c>
      <c r="D4419" s="14" t="s">
        <v>27203</v>
      </c>
      <c r="E4419" s="16" t="s">
        <v>27204</v>
      </c>
      <c r="F4419" s="16"/>
      <c r="G4419" s="25" t="s">
        <v>39</v>
      </c>
      <c r="H4419" s="18" t="n">
        <v>7</v>
      </c>
      <c r="I4419" s="20" t="n">
        <v>205.26</v>
      </c>
      <c r="J4419" s="20" t="n">
        <v>459.23</v>
      </c>
      <c r="K4419" s="18" t="n">
        <v>5</v>
      </c>
      <c r="L4419" s="18" t="n">
        <v>5</v>
      </c>
      <c r="M4419" s="18" t="n">
        <v>60</v>
      </c>
      <c r="N4419" s="18" t="n">
        <v>24</v>
      </c>
      <c r="O4419" s="14" t="s">
        <v>17859</v>
      </c>
      <c r="P4419" s="14" t="s">
        <v>352</v>
      </c>
      <c r="Q4419" s="15" t="s">
        <v>1089</v>
      </c>
      <c r="R4419" s="16" t="s">
        <v>9935</v>
      </c>
      <c r="S4419" s="15" t="s">
        <v>27205</v>
      </c>
      <c r="T4419" s="15" t="s">
        <v>27205</v>
      </c>
      <c r="U4419" s="21" t="s">
        <v>72</v>
      </c>
    </row>
    <row r="4420" customFormat="false" ht="15" hidden="false" customHeight="false" outlineLevel="0" collapsed="false">
      <c r="A4420" s="15" t="s">
        <v>26556</v>
      </c>
      <c r="B4420" s="15" t="s">
        <v>27023</v>
      </c>
      <c r="C4420" s="14" t="s">
        <v>27206</v>
      </c>
      <c r="D4420" s="14" t="s">
        <v>27207</v>
      </c>
      <c r="E4420" s="16" t="s">
        <v>27208</v>
      </c>
      <c r="F4420" s="16"/>
      <c r="G4420" s="23" t="s">
        <v>43</v>
      </c>
      <c r="H4420" s="18" t="n">
        <v>3</v>
      </c>
      <c r="I4420" s="20" t="n">
        <v>44.58</v>
      </c>
      <c r="J4420" s="20" t="n">
        <v>118.86</v>
      </c>
      <c r="K4420" s="18" t="n">
        <v>2</v>
      </c>
      <c r="L4420" s="18" t="n">
        <v>1</v>
      </c>
      <c r="M4420" s="18" t="n">
        <v>16</v>
      </c>
      <c r="N4420" s="18" t="n">
        <v>8</v>
      </c>
      <c r="O4420" s="14" t="s">
        <v>1126</v>
      </c>
      <c r="P4420" s="14" t="s">
        <v>118</v>
      </c>
      <c r="Q4420" s="15" t="s">
        <v>1089</v>
      </c>
      <c r="R4420" s="16" t="s">
        <v>5788</v>
      </c>
      <c r="S4420" s="15" t="s">
        <v>27209</v>
      </c>
      <c r="T4420" s="15" t="s">
        <v>27209</v>
      </c>
      <c r="U4420" s="21" t="s">
        <v>72</v>
      </c>
    </row>
    <row r="4421" customFormat="false" ht="15" hidden="false" customHeight="false" outlineLevel="0" collapsed="false">
      <c r="A4421" s="15" t="s">
        <v>26556</v>
      </c>
      <c r="B4421" s="15" t="s">
        <v>27023</v>
      </c>
      <c r="C4421" s="14" t="s">
        <v>27210</v>
      </c>
      <c r="D4421" s="14" t="s">
        <v>27211</v>
      </c>
      <c r="E4421" s="16" t="s">
        <v>27212</v>
      </c>
      <c r="F4421" s="16" t="s">
        <v>27213</v>
      </c>
      <c r="G4421" s="23" t="s">
        <v>43</v>
      </c>
      <c r="H4421" s="18" t="n">
        <v>2</v>
      </c>
      <c r="I4421" s="20" t="n">
        <v>43.77</v>
      </c>
      <c r="J4421" s="20" t="n">
        <v>61.35</v>
      </c>
      <c r="K4421" s="18" t="n">
        <v>2</v>
      </c>
      <c r="L4421" s="18" t="n">
        <v>2</v>
      </c>
      <c r="M4421" s="18" t="n">
        <v>36</v>
      </c>
      <c r="N4421" s="18" t="n">
        <v>18</v>
      </c>
      <c r="O4421" s="14" t="s">
        <v>1126</v>
      </c>
      <c r="P4421" s="14" t="s">
        <v>84</v>
      </c>
      <c r="Q4421" s="15" t="s">
        <v>1089</v>
      </c>
      <c r="R4421" s="16" t="s">
        <v>27214</v>
      </c>
      <c r="S4421" s="15" t="s">
        <v>27215</v>
      </c>
      <c r="T4421" s="15" t="s">
        <v>27215</v>
      </c>
      <c r="U4421" s="21" t="s">
        <v>72</v>
      </c>
    </row>
    <row r="4422" customFormat="false" ht="15" hidden="false" customHeight="false" outlineLevel="0" collapsed="false">
      <c r="A4422" s="15" t="s">
        <v>26556</v>
      </c>
      <c r="B4422" s="15" t="s">
        <v>27023</v>
      </c>
      <c r="C4422" s="14" t="s">
        <v>27216</v>
      </c>
      <c r="D4422" s="14" t="s">
        <v>27217</v>
      </c>
      <c r="E4422" s="16" t="s">
        <v>27218</v>
      </c>
      <c r="F4422" s="16"/>
      <c r="G4422" s="19" t="s">
        <v>41</v>
      </c>
      <c r="H4422" s="18" t="n">
        <v>3</v>
      </c>
      <c r="I4422" s="20" t="n">
        <v>70.36</v>
      </c>
      <c r="J4422" s="20" t="n">
        <v>209.8</v>
      </c>
      <c r="K4422" s="18" t="n">
        <v>4</v>
      </c>
      <c r="L4422" s="18" t="n">
        <v>3</v>
      </c>
      <c r="M4422" s="18" t="n">
        <v>60</v>
      </c>
      <c r="N4422" s="18" t="n">
        <v>30</v>
      </c>
      <c r="O4422" s="14" t="s">
        <v>1126</v>
      </c>
      <c r="P4422" s="14" t="s">
        <v>118</v>
      </c>
      <c r="Q4422" s="15" t="s">
        <v>1089</v>
      </c>
      <c r="R4422" s="16" t="s">
        <v>9298</v>
      </c>
      <c r="S4422" s="15" t="s">
        <v>27219</v>
      </c>
      <c r="T4422" s="15" t="s">
        <v>27220</v>
      </c>
      <c r="U4422" s="21" t="s">
        <v>72</v>
      </c>
    </row>
    <row r="4423" customFormat="false" ht="15" hidden="false" customHeight="false" outlineLevel="0" collapsed="false">
      <c r="A4423" s="15" t="s">
        <v>26556</v>
      </c>
      <c r="B4423" s="15" t="s">
        <v>27023</v>
      </c>
      <c r="C4423" s="14" t="s">
        <v>27221</v>
      </c>
      <c r="D4423" s="14" t="s">
        <v>27222</v>
      </c>
      <c r="E4423" s="16" t="s">
        <v>27223</v>
      </c>
      <c r="F4423" s="16" t="s">
        <v>27224</v>
      </c>
      <c r="G4423" s="23" t="s">
        <v>43</v>
      </c>
      <c r="H4423" s="18" t="n">
        <v>3</v>
      </c>
      <c r="I4423" s="20" t="n">
        <v>138</v>
      </c>
      <c r="J4423" s="20" t="n">
        <v>138</v>
      </c>
      <c r="K4423" s="18" t="n">
        <v>3</v>
      </c>
      <c r="L4423" s="18" t="n">
        <v>2</v>
      </c>
      <c r="M4423" s="18" t="n">
        <v>90</v>
      </c>
      <c r="N4423" s="18" t="n">
        <v>90</v>
      </c>
      <c r="O4423" s="14" t="s">
        <v>1126</v>
      </c>
      <c r="P4423" s="14" t="s">
        <v>84</v>
      </c>
      <c r="Q4423" s="15" t="s">
        <v>1089</v>
      </c>
      <c r="R4423" s="16" t="s">
        <v>4415</v>
      </c>
      <c r="S4423" s="15" t="s">
        <v>27225</v>
      </c>
      <c r="T4423" s="15" t="s">
        <v>27226</v>
      </c>
      <c r="U4423" s="21" t="s">
        <v>72</v>
      </c>
    </row>
    <row r="4424" customFormat="false" ht="15" hidden="false" customHeight="false" outlineLevel="0" collapsed="false">
      <c r="A4424" s="15" t="s">
        <v>26556</v>
      </c>
      <c r="B4424" s="15" t="s">
        <v>27023</v>
      </c>
      <c r="C4424" s="14" t="s">
        <v>27227</v>
      </c>
      <c r="D4424" s="14" t="s">
        <v>27228</v>
      </c>
      <c r="E4424" s="16" t="s">
        <v>27229</v>
      </c>
      <c r="F4424" s="16" t="s">
        <v>27230</v>
      </c>
      <c r="G4424" s="23" t="s">
        <v>43</v>
      </c>
      <c r="H4424" s="18" t="n">
        <v>1</v>
      </c>
      <c r="I4424" s="20" t="n">
        <v>68.01</v>
      </c>
      <c r="J4424" s="20" t="n">
        <v>68.01</v>
      </c>
      <c r="K4424" s="18" t="n">
        <v>2</v>
      </c>
      <c r="L4424" s="18" t="n">
        <v>1</v>
      </c>
      <c r="M4424" s="18" t="n">
        <v>50</v>
      </c>
      <c r="N4424" s="18" t="n">
        <v>50</v>
      </c>
      <c r="O4424" s="14" t="s">
        <v>1126</v>
      </c>
      <c r="P4424" s="14" t="s">
        <v>84</v>
      </c>
      <c r="Q4424" s="15" t="s">
        <v>1089</v>
      </c>
      <c r="R4424" s="16" t="s">
        <v>27231</v>
      </c>
      <c r="S4424" s="15" t="s">
        <v>27232</v>
      </c>
      <c r="T4424" s="15" t="s">
        <v>27233</v>
      </c>
      <c r="U4424" s="21" t="s">
        <v>72</v>
      </c>
    </row>
    <row r="4425" customFormat="false" ht="15" hidden="false" customHeight="false" outlineLevel="0" collapsed="false">
      <c r="A4425" s="15" t="s">
        <v>26556</v>
      </c>
      <c r="B4425" s="15" t="s">
        <v>27023</v>
      </c>
      <c r="C4425" s="14" t="s">
        <v>27234</v>
      </c>
      <c r="D4425" s="14" t="s">
        <v>27235</v>
      </c>
      <c r="E4425" s="16" t="s">
        <v>27236</v>
      </c>
      <c r="F4425" s="16" t="s">
        <v>26952</v>
      </c>
      <c r="G4425" s="19" t="s">
        <v>41</v>
      </c>
      <c r="H4425" s="18" t="n">
        <v>4</v>
      </c>
      <c r="I4425" s="20" t="n">
        <v>129.2</v>
      </c>
      <c r="J4425" s="20" t="n">
        <v>273.56</v>
      </c>
      <c r="K4425" s="18" t="n">
        <v>6</v>
      </c>
      <c r="L4425" s="18" t="n">
        <v>4</v>
      </c>
      <c r="M4425" s="18" t="n">
        <v>90</v>
      </c>
      <c r="N4425" s="18" t="n">
        <v>60</v>
      </c>
      <c r="O4425" s="14" t="s">
        <v>3724</v>
      </c>
      <c r="P4425" s="14" t="s">
        <v>84</v>
      </c>
      <c r="Q4425" s="15" t="s">
        <v>1089</v>
      </c>
      <c r="R4425" s="16" t="s">
        <v>27237</v>
      </c>
      <c r="S4425" s="15" t="s">
        <v>26953</v>
      </c>
      <c r="T4425" s="15" t="s">
        <v>27238</v>
      </c>
      <c r="U4425" s="21" t="s">
        <v>72</v>
      </c>
    </row>
    <row r="4426" customFormat="false" ht="15" hidden="false" customHeight="false" outlineLevel="0" collapsed="false">
      <c r="A4426" s="15" t="s">
        <v>26556</v>
      </c>
      <c r="B4426" s="15" t="s">
        <v>27023</v>
      </c>
      <c r="C4426" s="14" t="s">
        <v>27239</v>
      </c>
      <c r="D4426" s="14" t="s">
        <v>27240</v>
      </c>
      <c r="E4426" s="16" t="s">
        <v>27241</v>
      </c>
      <c r="F4426" s="16" t="s">
        <v>27242</v>
      </c>
      <c r="G4426" s="23" t="s">
        <v>43</v>
      </c>
      <c r="H4426" s="18" t="n">
        <v>2</v>
      </c>
      <c r="I4426" s="20" t="n">
        <v>87.41</v>
      </c>
      <c r="J4426" s="20" t="n">
        <v>86.87</v>
      </c>
      <c r="K4426" s="18" t="n">
        <v>6</v>
      </c>
      <c r="L4426" s="18" t="n">
        <v>1</v>
      </c>
      <c r="M4426" s="18" t="n">
        <v>60</v>
      </c>
      <c r="N4426" s="18" t="n">
        <v>60</v>
      </c>
      <c r="O4426" s="14" t="s">
        <v>1097</v>
      </c>
      <c r="P4426" s="14" t="s">
        <v>84</v>
      </c>
      <c r="Q4426" s="15" t="s">
        <v>1089</v>
      </c>
      <c r="R4426" s="16" t="s">
        <v>8125</v>
      </c>
      <c r="S4426" s="15" t="s">
        <v>27243</v>
      </c>
      <c r="T4426" s="15" t="s">
        <v>27243</v>
      </c>
      <c r="U4426" s="21" t="s">
        <v>72</v>
      </c>
    </row>
    <row r="4427" customFormat="false" ht="15" hidden="false" customHeight="false" outlineLevel="0" collapsed="false">
      <c r="A4427" s="15" t="s">
        <v>26556</v>
      </c>
      <c r="B4427" s="15" t="s">
        <v>27023</v>
      </c>
      <c r="C4427" s="14" t="s">
        <v>27244</v>
      </c>
      <c r="D4427" s="14" t="s">
        <v>27245</v>
      </c>
      <c r="E4427" s="16" t="s">
        <v>27246</v>
      </c>
      <c r="F4427" s="16" t="s">
        <v>27247</v>
      </c>
      <c r="G4427" s="23" t="s">
        <v>43</v>
      </c>
      <c r="H4427" s="18" t="n">
        <v>2</v>
      </c>
      <c r="I4427" s="20" t="n">
        <v>42.54</v>
      </c>
      <c r="J4427" s="20" t="n">
        <v>118.63</v>
      </c>
      <c r="K4427" s="18" t="n">
        <v>8</v>
      </c>
      <c r="L4427" s="18" t="n">
        <v>2</v>
      </c>
      <c r="M4427" s="18" t="n">
        <v>115</v>
      </c>
      <c r="N4427" s="18" t="n">
        <v>60</v>
      </c>
      <c r="O4427" s="14" t="s">
        <v>1126</v>
      </c>
      <c r="P4427" s="14" t="s">
        <v>118</v>
      </c>
      <c r="Q4427" s="15" t="s">
        <v>1089</v>
      </c>
      <c r="R4427" s="16" t="s">
        <v>27248</v>
      </c>
      <c r="S4427" s="15" t="s">
        <v>27249</v>
      </c>
      <c r="T4427" s="15" t="s">
        <v>27249</v>
      </c>
      <c r="U4427" s="21" t="s">
        <v>72</v>
      </c>
    </row>
    <row r="4428" customFormat="false" ht="15" hidden="false" customHeight="false" outlineLevel="0" collapsed="false">
      <c r="A4428" s="15" t="s">
        <v>26556</v>
      </c>
      <c r="B4428" s="15" t="s">
        <v>27023</v>
      </c>
      <c r="C4428" s="14" t="s">
        <v>27250</v>
      </c>
      <c r="D4428" s="14" t="s">
        <v>27251</v>
      </c>
      <c r="E4428" s="16" t="s">
        <v>27252</v>
      </c>
      <c r="F4428" s="16" t="s">
        <v>27253</v>
      </c>
      <c r="G4428" s="19" t="s">
        <v>41</v>
      </c>
      <c r="H4428" s="18" t="n">
        <v>5</v>
      </c>
      <c r="I4428" s="20" t="n">
        <v>79.77</v>
      </c>
      <c r="J4428" s="20" t="n">
        <v>193.09</v>
      </c>
      <c r="K4428" s="18" t="n">
        <v>2</v>
      </c>
      <c r="L4428" s="18" t="n">
        <v>8</v>
      </c>
      <c r="M4428" s="18" t="n">
        <v>30</v>
      </c>
      <c r="N4428" s="18" t="n">
        <v>30</v>
      </c>
      <c r="O4428" s="14" t="s">
        <v>1126</v>
      </c>
      <c r="P4428" s="14" t="s">
        <v>84</v>
      </c>
      <c r="Q4428" s="15" t="s">
        <v>1089</v>
      </c>
      <c r="R4428" s="16" t="s">
        <v>26766</v>
      </c>
      <c r="S4428" s="15" t="s">
        <v>27201</v>
      </c>
      <c r="T4428" s="15" t="s">
        <v>27254</v>
      </c>
      <c r="U4428" s="21" t="s">
        <v>72</v>
      </c>
    </row>
    <row r="4429" customFormat="false" ht="15" hidden="false" customHeight="false" outlineLevel="0" collapsed="false">
      <c r="A4429" s="15" t="s">
        <v>26556</v>
      </c>
      <c r="B4429" s="15" t="s">
        <v>27023</v>
      </c>
      <c r="C4429" s="14" t="s">
        <v>27255</v>
      </c>
      <c r="D4429" s="14" t="s">
        <v>27256</v>
      </c>
      <c r="E4429" s="16" t="s">
        <v>27257</v>
      </c>
      <c r="F4429" s="16" t="s">
        <v>27048</v>
      </c>
      <c r="G4429" s="23" t="s">
        <v>43</v>
      </c>
      <c r="H4429" s="18" t="n">
        <v>2</v>
      </c>
      <c r="I4429" s="20" t="n">
        <v>81.98</v>
      </c>
      <c r="J4429" s="20" t="n">
        <v>81.98</v>
      </c>
      <c r="K4429" s="18" t="n">
        <v>6</v>
      </c>
      <c r="L4429" s="18" t="n">
        <v>2</v>
      </c>
      <c r="M4429" s="18" t="n">
        <v>98</v>
      </c>
      <c r="N4429" s="18" t="n">
        <v>36</v>
      </c>
      <c r="O4429" s="14" t="s">
        <v>1126</v>
      </c>
      <c r="P4429" s="14" t="s">
        <v>84</v>
      </c>
      <c r="Q4429" s="15" t="s">
        <v>1089</v>
      </c>
      <c r="R4429" s="16" t="s">
        <v>27258</v>
      </c>
      <c r="S4429" s="15" t="s">
        <v>27050</v>
      </c>
      <c r="T4429" s="15" t="s">
        <v>27050</v>
      </c>
      <c r="U4429" s="21" t="s">
        <v>72</v>
      </c>
    </row>
    <row r="4430" customFormat="false" ht="15" hidden="false" customHeight="false" outlineLevel="0" collapsed="false">
      <c r="A4430" s="15" t="s">
        <v>26556</v>
      </c>
      <c r="B4430" s="15" t="s">
        <v>27023</v>
      </c>
      <c r="C4430" s="14" t="s">
        <v>27259</v>
      </c>
      <c r="D4430" s="14" t="s">
        <v>27260</v>
      </c>
      <c r="E4430" s="16" t="s">
        <v>27261</v>
      </c>
      <c r="F4430" s="16" t="s">
        <v>27262</v>
      </c>
      <c r="G4430" s="23" t="s">
        <v>43</v>
      </c>
      <c r="H4430" s="18" t="n">
        <v>3</v>
      </c>
      <c r="I4430" s="20" t="n">
        <v>81.63</v>
      </c>
      <c r="J4430" s="20" t="n">
        <v>133.16</v>
      </c>
      <c r="K4430" s="18" t="n">
        <v>3</v>
      </c>
      <c r="L4430" s="18" t="n">
        <v>2</v>
      </c>
      <c r="M4430" s="18" t="n">
        <v>45</v>
      </c>
      <c r="N4430" s="18" t="n">
        <v>30</v>
      </c>
      <c r="O4430" s="14" t="s">
        <v>1126</v>
      </c>
      <c r="P4430" s="14" t="s">
        <v>118</v>
      </c>
      <c r="Q4430" s="15" t="s">
        <v>1089</v>
      </c>
      <c r="R4430" s="16" t="s">
        <v>5080</v>
      </c>
      <c r="S4430" s="15" t="s">
        <v>27263</v>
      </c>
      <c r="T4430" s="15" t="s">
        <v>27264</v>
      </c>
      <c r="U4430" s="21" t="s">
        <v>72</v>
      </c>
    </row>
    <row r="4431" customFormat="false" ht="15" hidden="false" customHeight="false" outlineLevel="0" collapsed="false">
      <c r="A4431" s="15" t="s">
        <v>26556</v>
      </c>
      <c r="B4431" s="15" t="s">
        <v>27023</v>
      </c>
      <c r="C4431" s="14" t="s">
        <v>27265</v>
      </c>
      <c r="D4431" s="14" t="s">
        <v>27266</v>
      </c>
      <c r="E4431" s="16" t="s">
        <v>27267</v>
      </c>
      <c r="F4431" s="16" t="s">
        <v>27268</v>
      </c>
      <c r="G4431" s="23" t="s">
        <v>43</v>
      </c>
      <c r="H4431" s="18" t="n">
        <v>2</v>
      </c>
      <c r="I4431" s="20" t="n">
        <v>92.8</v>
      </c>
      <c r="J4431" s="20" t="n">
        <v>151.07</v>
      </c>
      <c r="K4431" s="18" t="n">
        <v>3</v>
      </c>
      <c r="L4431" s="18" t="n">
        <v>1</v>
      </c>
      <c r="M4431" s="18" t="n">
        <v>50</v>
      </c>
      <c r="N4431" s="18" t="n">
        <v>30</v>
      </c>
      <c r="O4431" s="14" t="s">
        <v>3724</v>
      </c>
      <c r="P4431" s="14" t="s">
        <v>118</v>
      </c>
      <c r="Q4431" s="15" t="s">
        <v>1089</v>
      </c>
      <c r="R4431" s="16" t="s">
        <v>147</v>
      </c>
      <c r="S4431" s="15" t="s">
        <v>27269</v>
      </c>
      <c r="T4431" s="15" t="s">
        <v>27269</v>
      </c>
      <c r="U4431" s="21" t="s">
        <v>72</v>
      </c>
    </row>
    <row r="4432" customFormat="false" ht="15" hidden="false" customHeight="false" outlineLevel="0" collapsed="false">
      <c r="A4432" s="15" t="s">
        <v>26556</v>
      </c>
      <c r="B4432" s="15" t="s">
        <v>27023</v>
      </c>
      <c r="C4432" s="14" t="s">
        <v>27270</v>
      </c>
      <c r="D4432" s="14" t="s">
        <v>27271</v>
      </c>
      <c r="E4432" s="16" t="s">
        <v>27272</v>
      </c>
      <c r="F4432" s="16" t="s">
        <v>27048</v>
      </c>
      <c r="G4432" s="23" t="s">
        <v>43</v>
      </c>
      <c r="H4432" s="18" t="n">
        <v>4</v>
      </c>
      <c r="I4432" s="20" t="n">
        <v>128.28</v>
      </c>
      <c r="J4432" s="20" t="n">
        <v>179.89</v>
      </c>
      <c r="K4432" s="18" t="n">
        <v>4</v>
      </c>
      <c r="L4432" s="18" t="n">
        <v>4</v>
      </c>
      <c r="M4432" s="18" t="n">
        <v>48</v>
      </c>
      <c r="N4432" s="18" t="n">
        <v>24</v>
      </c>
      <c r="O4432" s="14" t="s">
        <v>17859</v>
      </c>
      <c r="P4432" s="14" t="s">
        <v>118</v>
      </c>
      <c r="Q4432" s="15" t="s">
        <v>1089</v>
      </c>
      <c r="R4432" s="16" t="s">
        <v>13231</v>
      </c>
      <c r="S4432" s="15" t="s">
        <v>27273</v>
      </c>
      <c r="T4432" s="15" t="s">
        <v>27273</v>
      </c>
      <c r="U4432" s="21" t="s">
        <v>72</v>
      </c>
    </row>
    <row r="4433" customFormat="false" ht="26.85" hidden="false" customHeight="false" outlineLevel="0" collapsed="false">
      <c r="A4433" s="15" t="s">
        <v>26556</v>
      </c>
      <c r="B4433" s="15" t="s">
        <v>27023</v>
      </c>
      <c r="C4433" s="14" t="s">
        <v>27274</v>
      </c>
      <c r="D4433" s="14" t="s">
        <v>27275</v>
      </c>
      <c r="E4433" s="16" t="s">
        <v>27276</v>
      </c>
      <c r="F4433" s="16"/>
      <c r="G4433" s="23" t="s">
        <v>43</v>
      </c>
      <c r="H4433" s="18" t="n">
        <v>2</v>
      </c>
      <c r="I4433" s="20" t="n">
        <v>33.95</v>
      </c>
      <c r="J4433" s="20" t="n">
        <v>67.82</v>
      </c>
      <c r="K4433" s="18" t="n">
        <v>13</v>
      </c>
      <c r="L4433" s="18" t="n">
        <v>3</v>
      </c>
      <c r="M4433" s="18" t="n">
        <v>130</v>
      </c>
      <c r="N4433" s="18" t="n">
        <v>130</v>
      </c>
      <c r="O4433" s="14" t="s">
        <v>27277</v>
      </c>
      <c r="P4433" s="14" t="s">
        <v>84</v>
      </c>
      <c r="Q4433" s="15" t="s">
        <v>1089</v>
      </c>
      <c r="R4433" s="16" t="s">
        <v>27278</v>
      </c>
      <c r="S4433" s="15" t="s">
        <v>27279</v>
      </c>
      <c r="T4433" s="15" t="s">
        <v>27279</v>
      </c>
      <c r="U4433" s="21" t="s">
        <v>72</v>
      </c>
    </row>
    <row r="4434" customFormat="false" ht="15" hidden="false" customHeight="false" outlineLevel="0" collapsed="false">
      <c r="A4434" s="15" t="s">
        <v>26556</v>
      </c>
      <c r="B4434" s="15" t="s">
        <v>27023</v>
      </c>
      <c r="C4434" s="14" t="s">
        <v>27280</v>
      </c>
      <c r="D4434" s="14" t="s">
        <v>27281</v>
      </c>
      <c r="E4434" s="16" t="s">
        <v>27282</v>
      </c>
      <c r="F4434" s="16" t="s">
        <v>27283</v>
      </c>
      <c r="G4434" s="23" t="s">
        <v>43</v>
      </c>
      <c r="H4434" s="18" t="n">
        <v>3</v>
      </c>
      <c r="I4434" s="20" t="n">
        <v>94.74</v>
      </c>
      <c r="J4434" s="20" t="n">
        <v>189.71</v>
      </c>
      <c r="K4434" s="18" t="n">
        <v>8</v>
      </c>
      <c r="L4434" s="18" t="n">
        <v>5</v>
      </c>
      <c r="M4434" s="18" t="n">
        <v>144</v>
      </c>
      <c r="N4434" s="18" t="n">
        <v>144</v>
      </c>
      <c r="O4434" s="14" t="s">
        <v>3724</v>
      </c>
      <c r="P4434" s="14" t="s">
        <v>84</v>
      </c>
      <c r="Q4434" s="15" t="s">
        <v>1089</v>
      </c>
      <c r="R4434" s="16" t="s">
        <v>24914</v>
      </c>
      <c r="S4434" s="15" t="s">
        <v>27284</v>
      </c>
      <c r="T4434" s="15" t="s">
        <v>27284</v>
      </c>
      <c r="U4434" s="21" t="s">
        <v>72</v>
      </c>
    </row>
    <row r="4435" customFormat="false" ht="15" hidden="false" customHeight="false" outlineLevel="0" collapsed="false">
      <c r="A4435" s="15" t="s">
        <v>26556</v>
      </c>
      <c r="B4435" s="15" t="s">
        <v>27023</v>
      </c>
      <c r="C4435" s="14" t="s">
        <v>27285</v>
      </c>
      <c r="D4435" s="14" t="s">
        <v>27286</v>
      </c>
      <c r="E4435" s="16" t="s">
        <v>27287</v>
      </c>
      <c r="F4435" s="16" t="s">
        <v>27288</v>
      </c>
      <c r="G4435" s="19" t="s">
        <v>41</v>
      </c>
      <c r="H4435" s="18" t="n">
        <v>3</v>
      </c>
      <c r="I4435" s="20" t="n">
        <v>162</v>
      </c>
      <c r="J4435" s="20" t="n">
        <v>240</v>
      </c>
      <c r="K4435" s="18" t="n">
        <v>3</v>
      </c>
      <c r="L4435" s="18" t="n">
        <v>3</v>
      </c>
      <c r="M4435" s="18" t="n">
        <v>60</v>
      </c>
      <c r="N4435" s="18" t="n">
        <v>60</v>
      </c>
      <c r="O4435" s="14" t="s">
        <v>1126</v>
      </c>
      <c r="P4435" s="14" t="s">
        <v>84</v>
      </c>
      <c r="Q4435" s="15" t="s">
        <v>1089</v>
      </c>
      <c r="R4435" s="16" t="s">
        <v>27289</v>
      </c>
      <c r="S4435" s="15" t="s">
        <v>27290</v>
      </c>
      <c r="T4435" s="15" t="s">
        <v>27290</v>
      </c>
      <c r="U4435" s="21" t="s">
        <v>72</v>
      </c>
    </row>
    <row r="4436" customFormat="false" ht="15" hidden="false" customHeight="false" outlineLevel="0" collapsed="false">
      <c r="A4436" s="15" t="s">
        <v>26556</v>
      </c>
      <c r="B4436" s="15" t="s">
        <v>27023</v>
      </c>
      <c r="C4436" s="14" t="s">
        <v>27291</v>
      </c>
      <c r="D4436" s="14" t="s">
        <v>27292</v>
      </c>
      <c r="E4436" s="16" t="s">
        <v>27293</v>
      </c>
      <c r="F4436" s="16" t="s">
        <v>27294</v>
      </c>
      <c r="G4436" s="25" t="s">
        <v>39</v>
      </c>
      <c r="H4436" s="18" t="n">
        <v>2</v>
      </c>
      <c r="I4436" s="20" t="n">
        <v>67.5</v>
      </c>
      <c r="J4436" s="20" t="n">
        <v>459.63</v>
      </c>
      <c r="K4436" s="18" t="n">
        <v>3</v>
      </c>
      <c r="L4436" s="18" t="n">
        <v>1</v>
      </c>
      <c r="M4436" s="18" t="n">
        <v>75</v>
      </c>
      <c r="N4436" s="18" t="n">
        <v>75</v>
      </c>
      <c r="O4436" s="14" t="s">
        <v>1088</v>
      </c>
      <c r="P4436" s="14" t="s">
        <v>84</v>
      </c>
      <c r="Q4436" s="15" t="s">
        <v>1089</v>
      </c>
      <c r="R4436" s="16" t="s">
        <v>5595</v>
      </c>
      <c r="S4436" s="15" t="s">
        <v>27295</v>
      </c>
      <c r="T4436" s="15" t="s">
        <v>27296</v>
      </c>
      <c r="U4436" s="21" t="s">
        <v>72</v>
      </c>
    </row>
    <row r="4437" customFormat="false" ht="15" hidden="false" customHeight="false" outlineLevel="0" collapsed="false">
      <c r="A4437" s="15" t="s">
        <v>26556</v>
      </c>
      <c r="B4437" s="15" t="s">
        <v>27023</v>
      </c>
      <c r="C4437" s="14" t="s">
        <v>27297</v>
      </c>
      <c r="D4437" s="14" t="s">
        <v>27298</v>
      </c>
      <c r="E4437" s="16" t="s">
        <v>27299</v>
      </c>
      <c r="F4437" s="16" t="s">
        <v>27080</v>
      </c>
      <c r="G4437" s="23" t="s">
        <v>43</v>
      </c>
      <c r="H4437" s="18" t="n">
        <v>2</v>
      </c>
      <c r="I4437" s="20" t="n">
        <v>71.68</v>
      </c>
      <c r="J4437" s="20" t="n">
        <v>143.33</v>
      </c>
      <c r="K4437" s="18" t="n">
        <v>10</v>
      </c>
      <c r="L4437" s="18" t="n">
        <v>2</v>
      </c>
      <c r="M4437" s="18" t="n">
        <v>230</v>
      </c>
      <c r="N4437" s="18" t="n">
        <v>46</v>
      </c>
      <c r="O4437" s="14" t="s">
        <v>1126</v>
      </c>
      <c r="P4437" s="14" t="s">
        <v>84</v>
      </c>
      <c r="Q4437" s="15" t="s">
        <v>1089</v>
      </c>
      <c r="R4437" s="16" t="s">
        <v>27300</v>
      </c>
      <c r="S4437" s="15" t="s">
        <v>27082</v>
      </c>
      <c r="T4437" s="15" t="s">
        <v>27301</v>
      </c>
      <c r="U4437" s="21" t="s">
        <v>72</v>
      </c>
    </row>
    <row r="4438" customFormat="false" ht="15" hidden="false" customHeight="false" outlineLevel="0" collapsed="false">
      <c r="A4438" s="15" t="s">
        <v>26556</v>
      </c>
      <c r="B4438" s="15" t="s">
        <v>27023</v>
      </c>
      <c r="C4438" s="14" t="s">
        <v>27302</v>
      </c>
      <c r="D4438" s="14" t="s">
        <v>27303</v>
      </c>
      <c r="E4438" s="16" t="s">
        <v>27304</v>
      </c>
      <c r="F4438" s="16" t="s">
        <v>27305</v>
      </c>
      <c r="G4438" s="23" t="s">
        <v>43</v>
      </c>
      <c r="H4438" s="18" t="n">
        <v>2</v>
      </c>
      <c r="I4438" s="20" t="n">
        <v>107.52</v>
      </c>
      <c r="J4438" s="20" t="n">
        <v>146.16</v>
      </c>
      <c r="K4438" s="18" t="n">
        <v>2</v>
      </c>
      <c r="L4438" s="18" t="n">
        <v>3</v>
      </c>
      <c r="M4438" s="18" t="n">
        <v>30</v>
      </c>
      <c r="N4438" s="18" t="n">
        <v>30</v>
      </c>
      <c r="O4438" s="14" t="s">
        <v>1126</v>
      </c>
      <c r="P4438" s="14" t="s">
        <v>84</v>
      </c>
      <c r="Q4438" s="15" t="s">
        <v>1089</v>
      </c>
      <c r="R4438" s="16" t="s">
        <v>27306</v>
      </c>
      <c r="S4438" s="15" t="s">
        <v>27307</v>
      </c>
      <c r="T4438" s="15" t="s">
        <v>27308</v>
      </c>
      <c r="U4438" s="21" t="s">
        <v>72</v>
      </c>
    </row>
    <row r="4439" customFormat="false" ht="15" hidden="false" customHeight="false" outlineLevel="0" collapsed="false">
      <c r="A4439" s="15" t="s">
        <v>26556</v>
      </c>
      <c r="B4439" s="15" t="s">
        <v>27023</v>
      </c>
      <c r="C4439" s="14" t="s">
        <v>27309</v>
      </c>
      <c r="D4439" s="14" t="s">
        <v>27310</v>
      </c>
      <c r="E4439" s="16" t="s">
        <v>27311</v>
      </c>
      <c r="F4439" s="16"/>
      <c r="G4439" s="23" t="s">
        <v>43</v>
      </c>
      <c r="H4439" s="18" t="n">
        <v>3</v>
      </c>
      <c r="I4439" s="20" t="n">
        <v>93.64</v>
      </c>
      <c r="J4439" s="20" t="n">
        <v>170</v>
      </c>
      <c r="K4439" s="18" t="n">
        <v>3</v>
      </c>
      <c r="L4439" s="18" t="n">
        <v>3</v>
      </c>
      <c r="M4439" s="18" t="n">
        <v>30</v>
      </c>
      <c r="N4439" s="18" t="n">
        <v>10</v>
      </c>
      <c r="O4439" s="14" t="s">
        <v>1126</v>
      </c>
      <c r="P4439" s="14" t="s">
        <v>118</v>
      </c>
      <c r="Q4439" s="15" t="s">
        <v>1089</v>
      </c>
      <c r="R4439" s="16" t="s">
        <v>3517</v>
      </c>
      <c r="S4439" s="15" t="s">
        <v>27312</v>
      </c>
      <c r="T4439" s="15" t="s">
        <v>27313</v>
      </c>
      <c r="U4439" s="21" t="s">
        <v>72</v>
      </c>
    </row>
    <row r="4440" customFormat="false" ht="15" hidden="false" customHeight="false" outlineLevel="0" collapsed="false">
      <c r="A4440" s="15" t="s">
        <v>26556</v>
      </c>
      <c r="B4440" s="15" t="s">
        <v>27023</v>
      </c>
      <c r="C4440" s="14" t="s">
        <v>27314</v>
      </c>
      <c r="D4440" s="14" t="s">
        <v>27315</v>
      </c>
      <c r="E4440" s="16" t="s">
        <v>27316</v>
      </c>
      <c r="F4440" s="16"/>
      <c r="G4440" s="23" t="s">
        <v>43</v>
      </c>
      <c r="H4440" s="18" t="n">
        <v>3</v>
      </c>
      <c r="I4440" s="20" t="n">
        <v>53.36</v>
      </c>
      <c r="J4440" s="20" t="n">
        <v>139.8</v>
      </c>
      <c r="K4440" s="18" t="n">
        <v>11</v>
      </c>
      <c r="L4440" s="18"/>
      <c r="M4440" s="18" t="n">
        <v>110</v>
      </c>
      <c r="N4440" s="18" t="n">
        <v>30</v>
      </c>
      <c r="O4440" s="14" t="s">
        <v>5962</v>
      </c>
      <c r="P4440" s="14" t="s">
        <v>118</v>
      </c>
      <c r="Q4440" s="15" t="s">
        <v>1089</v>
      </c>
      <c r="R4440" s="16" t="s">
        <v>1554</v>
      </c>
      <c r="S4440" s="15" t="s">
        <v>27317</v>
      </c>
      <c r="T4440" s="15" t="s">
        <v>27318</v>
      </c>
      <c r="U4440" s="21" t="s">
        <v>72</v>
      </c>
    </row>
    <row r="4441" customFormat="false" ht="15" hidden="false" customHeight="false" outlineLevel="0" collapsed="false">
      <c r="A4441" s="15" t="s">
        <v>26556</v>
      </c>
      <c r="B4441" s="15" t="s">
        <v>27023</v>
      </c>
      <c r="C4441" s="14" t="s">
        <v>27319</v>
      </c>
      <c r="D4441" s="14" t="s">
        <v>27320</v>
      </c>
      <c r="E4441" s="16" t="s">
        <v>27321</v>
      </c>
      <c r="F4441" s="16"/>
      <c r="G4441" s="19" t="s">
        <v>41</v>
      </c>
      <c r="H4441" s="18" t="n">
        <v>5</v>
      </c>
      <c r="I4441" s="20" t="n">
        <v>64.9</v>
      </c>
      <c r="J4441" s="20" t="n">
        <v>130.94</v>
      </c>
      <c r="K4441" s="18" t="n">
        <v>4</v>
      </c>
      <c r="L4441" s="18" t="n">
        <v>3</v>
      </c>
      <c r="M4441" s="18" t="n">
        <v>52</v>
      </c>
      <c r="N4441" s="18" t="n">
        <v>26</v>
      </c>
      <c r="O4441" s="14" t="s">
        <v>1097</v>
      </c>
      <c r="P4441" s="14" t="s">
        <v>118</v>
      </c>
      <c r="Q4441" s="15" t="s">
        <v>1089</v>
      </c>
      <c r="R4441" s="16" t="s">
        <v>27322</v>
      </c>
      <c r="S4441" s="15" t="s">
        <v>27323</v>
      </c>
      <c r="T4441" s="15" t="s">
        <v>27323</v>
      </c>
      <c r="U4441" s="21" t="s">
        <v>72</v>
      </c>
    </row>
    <row r="4442" customFormat="false" ht="15" hidden="false" customHeight="false" outlineLevel="0" collapsed="false">
      <c r="A4442" s="15" t="s">
        <v>26556</v>
      </c>
      <c r="B4442" s="15" t="s">
        <v>27023</v>
      </c>
      <c r="C4442" s="14" t="s">
        <v>27324</v>
      </c>
      <c r="D4442" s="14" t="s">
        <v>27325</v>
      </c>
      <c r="E4442" s="16" t="s">
        <v>27326</v>
      </c>
      <c r="F4442" s="16"/>
      <c r="G4442" s="23" t="s">
        <v>43</v>
      </c>
      <c r="H4442" s="18" t="n">
        <v>2</v>
      </c>
      <c r="I4442" s="20" t="n">
        <v>112</v>
      </c>
      <c r="J4442" s="20" t="n">
        <v>153.6</v>
      </c>
      <c r="K4442" s="18" t="n">
        <v>2</v>
      </c>
      <c r="L4442" s="18" t="n">
        <v>1</v>
      </c>
      <c r="M4442" s="18" t="n">
        <v>60</v>
      </c>
      <c r="N4442" s="18" t="n">
        <v>60</v>
      </c>
      <c r="O4442" s="14" t="s">
        <v>1126</v>
      </c>
      <c r="P4442" s="14" t="s">
        <v>84</v>
      </c>
      <c r="Q4442" s="15" t="s">
        <v>1089</v>
      </c>
      <c r="R4442" s="16" t="s">
        <v>27327</v>
      </c>
      <c r="S4442" s="15" t="s">
        <v>27328</v>
      </c>
      <c r="T4442" s="15" t="s">
        <v>27328</v>
      </c>
      <c r="U4442" s="21" t="s">
        <v>72</v>
      </c>
    </row>
    <row r="4443" customFormat="false" ht="15" hidden="false" customHeight="false" outlineLevel="0" collapsed="false">
      <c r="A4443" s="15" t="s">
        <v>26556</v>
      </c>
      <c r="B4443" s="15" t="s">
        <v>27023</v>
      </c>
      <c r="C4443" s="14" t="s">
        <v>27329</v>
      </c>
      <c r="D4443" s="14" t="s">
        <v>27330</v>
      </c>
      <c r="E4443" s="16" t="s">
        <v>27331</v>
      </c>
      <c r="F4443" s="16" t="s">
        <v>27332</v>
      </c>
      <c r="G4443" s="23" t="s">
        <v>43</v>
      </c>
      <c r="H4443" s="18" t="n">
        <v>3</v>
      </c>
      <c r="I4443" s="20" t="n">
        <v>88.2</v>
      </c>
      <c r="J4443" s="20" t="n">
        <v>152.7</v>
      </c>
      <c r="K4443" s="18" t="n">
        <v>5</v>
      </c>
      <c r="L4443" s="18" t="n">
        <v>2</v>
      </c>
      <c r="M4443" s="18" t="n">
        <v>50</v>
      </c>
      <c r="N4443" s="18" t="n">
        <v>20</v>
      </c>
      <c r="O4443" s="14" t="s">
        <v>1126</v>
      </c>
      <c r="P4443" s="14" t="s">
        <v>118</v>
      </c>
      <c r="Q4443" s="15" t="s">
        <v>1089</v>
      </c>
      <c r="R4443" s="16" t="s">
        <v>12756</v>
      </c>
      <c r="S4443" s="15" t="s">
        <v>27333</v>
      </c>
      <c r="T4443" s="15" t="s">
        <v>27333</v>
      </c>
      <c r="U4443" s="21" t="s">
        <v>72</v>
      </c>
    </row>
    <row r="4444" customFormat="false" ht="15" hidden="false" customHeight="false" outlineLevel="0" collapsed="false">
      <c r="A4444" s="15" t="s">
        <v>26556</v>
      </c>
      <c r="B4444" s="15" t="s">
        <v>27023</v>
      </c>
      <c r="C4444" s="14" t="s">
        <v>27334</v>
      </c>
      <c r="D4444" s="14" t="s">
        <v>27335</v>
      </c>
      <c r="E4444" s="16" t="s">
        <v>27336</v>
      </c>
      <c r="F4444" s="16"/>
      <c r="G4444" s="23" t="s">
        <v>43</v>
      </c>
      <c r="H4444" s="18" t="n">
        <v>3</v>
      </c>
      <c r="I4444" s="20" t="n">
        <v>63.18</v>
      </c>
      <c r="J4444" s="20" t="n">
        <v>195.21</v>
      </c>
      <c r="K4444" s="18" t="n">
        <v>3</v>
      </c>
      <c r="L4444" s="18" t="n">
        <v>2</v>
      </c>
      <c r="M4444" s="18" t="n">
        <v>36</v>
      </c>
      <c r="N4444" s="18" t="n">
        <v>24</v>
      </c>
      <c r="O4444" s="14" t="s">
        <v>5962</v>
      </c>
      <c r="P4444" s="14" t="s">
        <v>118</v>
      </c>
      <c r="Q4444" s="15" t="s">
        <v>1089</v>
      </c>
      <c r="R4444" s="16" t="s">
        <v>27337</v>
      </c>
      <c r="S4444" s="15" t="s">
        <v>27338</v>
      </c>
      <c r="T4444" s="15" t="s">
        <v>27339</v>
      </c>
      <c r="U4444" s="21" t="s">
        <v>72</v>
      </c>
    </row>
    <row r="4445" customFormat="false" ht="15" hidden="false" customHeight="false" outlineLevel="0" collapsed="false">
      <c r="A4445" s="15" t="s">
        <v>26556</v>
      </c>
      <c r="B4445" s="15" t="s">
        <v>27023</v>
      </c>
      <c r="C4445" s="14" t="s">
        <v>27340</v>
      </c>
      <c r="D4445" s="14" t="s">
        <v>27341</v>
      </c>
      <c r="E4445" s="16" t="s">
        <v>27342</v>
      </c>
      <c r="F4445" s="16"/>
      <c r="G4445" s="23" t="s">
        <v>43</v>
      </c>
      <c r="H4445" s="18" t="n">
        <v>2</v>
      </c>
      <c r="I4445" s="20" t="n">
        <v>53.93</v>
      </c>
      <c r="J4445" s="20" t="n">
        <v>95.75</v>
      </c>
      <c r="K4445" s="18" t="n">
        <v>4</v>
      </c>
      <c r="L4445" s="18" t="n">
        <v>2</v>
      </c>
      <c r="M4445" s="18" t="n">
        <v>60</v>
      </c>
      <c r="N4445" s="18" t="n">
        <v>30</v>
      </c>
      <c r="O4445" s="14" t="s">
        <v>3724</v>
      </c>
      <c r="P4445" s="14" t="s">
        <v>84</v>
      </c>
      <c r="Q4445" s="15" t="s">
        <v>1089</v>
      </c>
      <c r="R4445" s="16" t="s">
        <v>27343</v>
      </c>
      <c r="S4445" s="15" t="s">
        <v>27344</v>
      </c>
      <c r="T4445" s="15" t="s">
        <v>27344</v>
      </c>
      <c r="U4445" s="21" t="s">
        <v>72</v>
      </c>
    </row>
    <row r="4446" customFormat="false" ht="15" hidden="false" customHeight="false" outlineLevel="0" collapsed="false">
      <c r="A4446" s="15" t="s">
        <v>26556</v>
      </c>
      <c r="B4446" s="15" t="s">
        <v>27023</v>
      </c>
      <c r="C4446" s="14" t="s">
        <v>27345</v>
      </c>
      <c r="D4446" s="14" t="s">
        <v>27346</v>
      </c>
      <c r="E4446" s="16" t="s">
        <v>27347</v>
      </c>
      <c r="F4446" s="16" t="s">
        <v>27048</v>
      </c>
      <c r="G4446" s="19" t="s">
        <v>41</v>
      </c>
      <c r="H4446" s="18" t="n">
        <v>7</v>
      </c>
      <c r="I4446" s="20" t="n">
        <v>196.97</v>
      </c>
      <c r="J4446" s="20" t="n">
        <v>285.36</v>
      </c>
      <c r="K4446" s="18" t="n">
        <v>7</v>
      </c>
      <c r="L4446" s="18" t="n">
        <v>1</v>
      </c>
      <c r="M4446" s="18" t="n">
        <v>204</v>
      </c>
      <c r="N4446" s="18" t="n">
        <v>32</v>
      </c>
      <c r="O4446" s="14" t="s">
        <v>1126</v>
      </c>
      <c r="P4446" s="14" t="s">
        <v>118</v>
      </c>
      <c r="Q4446" s="15" t="s">
        <v>1089</v>
      </c>
      <c r="R4446" s="16" t="s">
        <v>27348</v>
      </c>
      <c r="S4446" s="15" t="s">
        <v>27050</v>
      </c>
      <c r="T4446" s="15" t="s">
        <v>27349</v>
      </c>
      <c r="U4446" s="21" t="s">
        <v>72</v>
      </c>
    </row>
    <row r="4447" customFormat="false" ht="26.85" hidden="false" customHeight="false" outlineLevel="0" collapsed="false">
      <c r="A4447" s="15" t="s">
        <v>26556</v>
      </c>
      <c r="B4447" s="15" t="s">
        <v>27023</v>
      </c>
      <c r="C4447" s="14" t="s">
        <v>27350</v>
      </c>
      <c r="D4447" s="14" t="s">
        <v>27351</v>
      </c>
      <c r="E4447" s="16" t="s">
        <v>27352</v>
      </c>
      <c r="F4447" s="16" t="s">
        <v>27353</v>
      </c>
      <c r="G4447" s="23" t="s">
        <v>43</v>
      </c>
      <c r="H4447" s="18" t="n">
        <v>2</v>
      </c>
      <c r="I4447" s="20" t="n">
        <v>30.31</v>
      </c>
      <c r="J4447" s="20" t="n">
        <v>47.52</v>
      </c>
      <c r="K4447" s="18" t="n">
        <v>10</v>
      </c>
      <c r="L4447" s="18" t="n">
        <v>10</v>
      </c>
      <c r="M4447" s="18" t="n">
        <v>108</v>
      </c>
      <c r="N4447" s="18" t="n">
        <v>20</v>
      </c>
      <c r="O4447" s="14" t="s">
        <v>1126</v>
      </c>
      <c r="P4447" s="14" t="s">
        <v>118</v>
      </c>
      <c r="Q4447" s="15" t="s">
        <v>1089</v>
      </c>
      <c r="R4447" s="16" t="s">
        <v>7841</v>
      </c>
      <c r="S4447" s="15" t="s">
        <v>19505</v>
      </c>
      <c r="T4447" s="15" t="s">
        <v>19505</v>
      </c>
      <c r="U4447" s="21" t="s">
        <v>72</v>
      </c>
    </row>
    <row r="4448" customFormat="false" ht="15" hidden="false" customHeight="false" outlineLevel="0" collapsed="false">
      <c r="A4448" s="15" t="s">
        <v>26556</v>
      </c>
      <c r="B4448" s="15" t="s">
        <v>27023</v>
      </c>
      <c r="C4448" s="14" t="s">
        <v>27354</v>
      </c>
      <c r="D4448" s="14" t="s">
        <v>27355</v>
      </c>
      <c r="E4448" s="16" t="s">
        <v>27356</v>
      </c>
      <c r="F4448" s="16" t="s">
        <v>1373</v>
      </c>
      <c r="G4448" s="23" t="s">
        <v>43</v>
      </c>
      <c r="H4448" s="18" t="n">
        <v>2</v>
      </c>
      <c r="I4448" s="20" t="n">
        <v>57.9</v>
      </c>
      <c r="J4448" s="20" t="n">
        <v>157.4</v>
      </c>
      <c r="K4448" s="18" t="n">
        <v>6</v>
      </c>
      <c r="L4448" s="18" t="n">
        <v>5</v>
      </c>
      <c r="M4448" s="18" t="n">
        <v>132</v>
      </c>
      <c r="N4448" s="18" t="n">
        <v>132</v>
      </c>
      <c r="O4448" s="14" t="s">
        <v>1126</v>
      </c>
      <c r="P4448" s="14" t="s">
        <v>84</v>
      </c>
      <c r="Q4448" s="15" t="s">
        <v>1089</v>
      </c>
      <c r="R4448" s="16" t="s">
        <v>27357</v>
      </c>
      <c r="S4448" s="15" t="s">
        <v>3077</v>
      </c>
      <c r="T4448" s="15" t="s">
        <v>27358</v>
      </c>
      <c r="U4448" s="21" t="s">
        <v>72</v>
      </c>
    </row>
    <row r="4449" customFormat="false" ht="15" hidden="false" customHeight="false" outlineLevel="0" collapsed="false">
      <c r="A4449" s="15" t="s">
        <v>27359</v>
      </c>
      <c r="B4449" s="16"/>
      <c r="C4449" s="14" t="s">
        <v>27360</v>
      </c>
      <c r="D4449" s="14" t="s">
        <v>27361</v>
      </c>
      <c r="E4449" s="16" t="s">
        <v>27362</v>
      </c>
      <c r="F4449" s="16" t="s">
        <v>27363</v>
      </c>
      <c r="G4449" s="23" t="s">
        <v>43</v>
      </c>
      <c r="H4449" s="18" t="n">
        <v>2</v>
      </c>
      <c r="I4449" s="20" t="n">
        <v>66.75</v>
      </c>
      <c r="J4449" s="20" t="n">
        <v>115.29</v>
      </c>
      <c r="K4449" s="18" t="n">
        <v>8</v>
      </c>
      <c r="L4449" s="18" t="n">
        <v>4</v>
      </c>
      <c r="M4449" s="18" t="n">
        <v>618</v>
      </c>
      <c r="N4449" s="18" t="n">
        <v>138</v>
      </c>
      <c r="O4449" s="14" t="s">
        <v>1097</v>
      </c>
      <c r="P4449" s="14" t="s">
        <v>118</v>
      </c>
      <c r="Q4449" s="15" t="s">
        <v>1089</v>
      </c>
      <c r="R4449" s="16" t="s">
        <v>27364</v>
      </c>
      <c r="S4449" s="15" t="s">
        <v>27365</v>
      </c>
      <c r="T4449" s="15" t="s">
        <v>27366</v>
      </c>
      <c r="U4449" s="21" t="s">
        <v>72</v>
      </c>
    </row>
    <row r="4450" customFormat="false" ht="15" hidden="false" customHeight="false" outlineLevel="0" collapsed="false">
      <c r="A4450" s="15" t="s">
        <v>27359</v>
      </c>
      <c r="B4450" s="16"/>
      <c r="C4450" s="14" t="s">
        <v>27367</v>
      </c>
      <c r="D4450" s="14" t="s">
        <v>27368</v>
      </c>
      <c r="E4450" s="16" t="s">
        <v>27369</v>
      </c>
      <c r="F4450" s="16" t="s">
        <v>27370</v>
      </c>
      <c r="G4450" s="25" t="s">
        <v>39</v>
      </c>
      <c r="H4450" s="18" t="n">
        <v>11</v>
      </c>
      <c r="I4450" s="20" t="n">
        <v>303.2</v>
      </c>
      <c r="J4450" s="20" t="n">
        <v>542.91</v>
      </c>
      <c r="K4450" s="18" t="n">
        <v>85</v>
      </c>
      <c r="L4450" s="18" t="n">
        <v>5</v>
      </c>
      <c r="M4450" s="18" t="n">
        <v>1794</v>
      </c>
      <c r="N4450" s="18" t="n">
        <v>1046</v>
      </c>
      <c r="O4450" s="14" t="s">
        <v>27371</v>
      </c>
      <c r="P4450" s="14" t="s">
        <v>118</v>
      </c>
      <c r="Q4450" s="15" t="s">
        <v>1089</v>
      </c>
      <c r="R4450" s="16" t="s">
        <v>27372</v>
      </c>
      <c r="S4450" s="15" t="s">
        <v>27373</v>
      </c>
      <c r="T4450" s="15" t="s">
        <v>27373</v>
      </c>
      <c r="U4450" s="21" t="s">
        <v>72</v>
      </c>
    </row>
    <row r="4451" customFormat="false" ht="15" hidden="false" customHeight="false" outlineLevel="0" collapsed="false">
      <c r="A4451" s="15" t="s">
        <v>27359</v>
      </c>
      <c r="B4451" s="15" t="s">
        <v>27374</v>
      </c>
      <c r="C4451" s="14" t="s">
        <v>27375</v>
      </c>
      <c r="D4451" s="14" t="s">
        <v>27376</v>
      </c>
      <c r="E4451" s="16" t="s">
        <v>27377</v>
      </c>
      <c r="F4451" s="16"/>
      <c r="G4451" s="23" t="s">
        <v>43</v>
      </c>
      <c r="H4451" s="18" t="n">
        <v>4</v>
      </c>
      <c r="I4451" s="20" t="n">
        <v>73.2</v>
      </c>
      <c r="J4451" s="20" t="n">
        <v>169.17</v>
      </c>
      <c r="K4451" s="18" t="n">
        <v>5</v>
      </c>
      <c r="L4451" s="18" t="n">
        <v>2</v>
      </c>
      <c r="M4451" s="18" t="n">
        <v>55</v>
      </c>
      <c r="N4451" s="18" t="n">
        <v>20</v>
      </c>
      <c r="O4451" s="14" t="s">
        <v>1097</v>
      </c>
      <c r="P4451" s="14" t="s">
        <v>118</v>
      </c>
      <c r="Q4451" s="15" t="s">
        <v>1089</v>
      </c>
      <c r="R4451" s="16" t="s">
        <v>27378</v>
      </c>
      <c r="S4451" s="15" t="s">
        <v>7160</v>
      </c>
      <c r="T4451" s="15" t="s">
        <v>7160</v>
      </c>
      <c r="U4451" s="21" t="s">
        <v>72</v>
      </c>
    </row>
    <row r="4452" customFormat="false" ht="15" hidden="false" customHeight="false" outlineLevel="0" collapsed="false">
      <c r="A4452" s="15" t="s">
        <v>27359</v>
      </c>
      <c r="B4452" s="15" t="s">
        <v>27374</v>
      </c>
      <c r="C4452" s="14" t="s">
        <v>27379</v>
      </c>
      <c r="D4452" s="14" t="s">
        <v>27380</v>
      </c>
      <c r="E4452" s="16" t="s">
        <v>27381</v>
      </c>
      <c r="F4452" s="16" t="s">
        <v>27382</v>
      </c>
      <c r="G4452" s="23" t="s">
        <v>43</v>
      </c>
      <c r="H4452" s="18" t="n">
        <v>3</v>
      </c>
      <c r="I4452" s="20" t="n">
        <v>132.51</v>
      </c>
      <c r="J4452" s="20" t="n">
        <v>181.75</v>
      </c>
      <c r="K4452" s="18" t="n">
        <v>6</v>
      </c>
      <c r="L4452" s="18" t="n">
        <v>1</v>
      </c>
      <c r="M4452" s="18" t="n">
        <v>180</v>
      </c>
      <c r="N4452" s="18" t="n">
        <v>90</v>
      </c>
      <c r="O4452" s="14" t="s">
        <v>1097</v>
      </c>
      <c r="P4452" s="14" t="s">
        <v>118</v>
      </c>
      <c r="Q4452" s="15" t="s">
        <v>1089</v>
      </c>
      <c r="R4452" s="16" t="s">
        <v>27383</v>
      </c>
      <c r="S4452" s="15" t="s">
        <v>27384</v>
      </c>
      <c r="T4452" s="15" t="s">
        <v>27384</v>
      </c>
      <c r="U4452" s="21" t="s">
        <v>72</v>
      </c>
    </row>
    <row r="4453" customFormat="false" ht="15" hidden="false" customHeight="false" outlineLevel="0" collapsed="false">
      <c r="A4453" s="15" t="s">
        <v>27359</v>
      </c>
      <c r="B4453" s="15" t="s">
        <v>27374</v>
      </c>
      <c r="C4453" s="14" t="s">
        <v>27385</v>
      </c>
      <c r="D4453" s="14" t="s">
        <v>27386</v>
      </c>
      <c r="E4453" s="16" t="s">
        <v>27387</v>
      </c>
      <c r="F4453" s="16"/>
      <c r="G4453" s="23" t="s">
        <v>43</v>
      </c>
      <c r="H4453" s="18" t="n">
        <v>1</v>
      </c>
      <c r="I4453" s="20" t="n">
        <v>39.45</v>
      </c>
      <c r="J4453" s="20" t="n">
        <v>45.16</v>
      </c>
      <c r="K4453" s="18" t="n">
        <v>3</v>
      </c>
      <c r="L4453" s="18" t="n">
        <v>1</v>
      </c>
      <c r="M4453" s="18" t="n">
        <v>60</v>
      </c>
      <c r="N4453" s="18" t="n">
        <v>60</v>
      </c>
      <c r="O4453" s="14" t="s">
        <v>27388</v>
      </c>
      <c r="P4453" s="14" t="s">
        <v>84</v>
      </c>
      <c r="Q4453" s="15" t="s">
        <v>1089</v>
      </c>
      <c r="R4453" s="16" t="s">
        <v>27389</v>
      </c>
      <c r="S4453" s="15" t="s">
        <v>27390</v>
      </c>
      <c r="T4453" s="15" t="s">
        <v>27390</v>
      </c>
      <c r="U4453" s="21" t="s">
        <v>72</v>
      </c>
    </row>
    <row r="4454" customFormat="false" ht="15" hidden="false" customHeight="false" outlineLevel="0" collapsed="false">
      <c r="A4454" s="15" t="s">
        <v>27359</v>
      </c>
      <c r="B4454" s="15" t="s">
        <v>27391</v>
      </c>
      <c r="C4454" s="14" t="s">
        <v>27392</v>
      </c>
      <c r="D4454" s="14" t="s">
        <v>27393</v>
      </c>
      <c r="E4454" s="16" t="s">
        <v>27394</v>
      </c>
      <c r="F4454" s="16"/>
      <c r="G4454" s="23" t="s">
        <v>43</v>
      </c>
      <c r="H4454" s="18" t="n">
        <v>2</v>
      </c>
      <c r="I4454" s="20" t="n">
        <v>31.95</v>
      </c>
      <c r="J4454" s="20" t="n">
        <v>98.55</v>
      </c>
      <c r="K4454" s="18" t="n">
        <v>2</v>
      </c>
      <c r="L4454" s="18" t="n">
        <v>1</v>
      </c>
      <c r="M4454" s="18" t="n">
        <v>26</v>
      </c>
      <c r="N4454" s="18" t="n">
        <v>26</v>
      </c>
      <c r="O4454" s="14" t="s">
        <v>27395</v>
      </c>
      <c r="P4454" s="14" t="s">
        <v>84</v>
      </c>
      <c r="Q4454" s="15" t="s">
        <v>1089</v>
      </c>
      <c r="R4454" s="16" t="s">
        <v>27396</v>
      </c>
      <c r="S4454" s="15" t="s">
        <v>27397</v>
      </c>
      <c r="T4454" s="15" t="s">
        <v>27397</v>
      </c>
      <c r="U4454" s="21" t="s">
        <v>72</v>
      </c>
    </row>
    <row r="4455" customFormat="false" ht="15" hidden="false" customHeight="false" outlineLevel="0" collapsed="false">
      <c r="A4455" s="15" t="s">
        <v>27359</v>
      </c>
      <c r="B4455" s="15" t="s">
        <v>27391</v>
      </c>
      <c r="C4455" s="14" t="s">
        <v>27398</v>
      </c>
      <c r="D4455" s="14" t="s">
        <v>27399</v>
      </c>
      <c r="E4455" s="16" t="s">
        <v>27400</v>
      </c>
      <c r="F4455" s="16" t="s">
        <v>27401</v>
      </c>
      <c r="G4455" s="23" t="s">
        <v>43</v>
      </c>
      <c r="H4455" s="18" t="n">
        <v>2</v>
      </c>
      <c r="I4455" s="20" t="n">
        <v>96.7</v>
      </c>
      <c r="J4455" s="20" t="n">
        <v>98.21</v>
      </c>
      <c r="K4455" s="18" t="n">
        <v>5</v>
      </c>
      <c r="L4455" s="18" t="n">
        <v>3</v>
      </c>
      <c r="M4455" s="18" t="n">
        <v>100</v>
      </c>
      <c r="N4455" s="18" t="n">
        <v>40</v>
      </c>
      <c r="O4455" s="14" t="s">
        <v>1097</v>
      </c>
      <c r="P4455" s="14" t="s">
        <v>118</v>
      </c>
      <c r="Q4455" s="15" t="s">
        <v>1089</v>
      </c>
      <c r="R4455" s="16" t="s">
        <v>22645</v>
      </c>
      <c r="S4455" s="15" t="s">
        <v>27402</v>
      </c>
      <c r="T4455" s="15" t="s">
        <v>27402</v>
      </c>
      <c r="U4455" s="21" t="s">
        <v>72</v>
      </c>
    </row>
    <row r="4456" customFormat="false" ht="15" hidden="false" customHeight="false" outlineLevel="0" collapsed="false">
      <c r="A4456" s="15" t="s">
        <v>27359</v>
      </c>
      <c r="B4456" s="15" t="s">
        <v>27403</v>
      </c>
      <c r="C4456" s="14" t="s">
        <v>27404</v>
      </c>
      <c r="D4456" s="14" t="s">
        <v>27405</v>
      </c>
      <c r="E4456" s="16" t="s">
        <v>27406</v>
      </c>
      <c r="F4456" s="16" t="s">
        <v>27407</v>
      </c>
      <c r="G4456" s="23" t="s">
        <v>43</v>
      </c>
      <c r="H4456" s="18" t="n">
        <v>4</v>
      </c>
      <c r="I4456" s="20" t="n">
        <v>73.56</v>
      </c>
      <c r="J4456" s="20" t="n">
        <v>130.94</v>
      </c>
      <c r="K4456" s="18" t="n">
        <v>18</v>
      </c>
      <c r="L4456" s="18" t="n">
        <v>3</v>
      </c>
      <c r="M4456" s="18" t="n">
        <v>360</v>
      </c>
      <c r="N4456" s="18" t="n">
        <v>120</v>
      </c>
      <c r="O4456" s="14" t="s">
        <v>1126</v>
      </c>
      <c r="P4456" s="14" t="s">
        <v>118</v>
      </c>
      <c r="Q4456" s="15" t="s">
        <v>1089</v>
      </c>
      <c r="R4456" s="16" t="s">
        <v>2674</v>
      </c>
      <c r="S4456" s="15" t="s">
        <v>27408</v>
      </c>
      <c r="T4456" s="15" t="s">
        <v>27409</v>
      </c>
      <c r="U4456" s="21" t="s">
        <v>72</v>
      </c>
    </row>
    <row r="4457" customFormat="false" ht="15" hidden="false" customHeight="false" outlineLevel="0" collapsed="false">
      <c r="A4457" s="15" t="s">
        <v>27359</v>
      </c>
      <c r="B4457" s="15" t="s">
        <v>27403</v>
      </c>
      <c r="C4457" s="14" t="s">
        <v>27410</v>
      </c>
      <c r="D4457" s="14" t="s">
        <v>27411</v>
      </c>
      <c r="E4457" s="16" t="s">
        <v>27412</v>
      </c>
      <c r="F4457" s="16" t="s">
        <v>27413</v>
      </c>
      <c r="G4457" s="19" t="s">
        <v>41</v>
      </c>
      <c r="H4457" s="18" t="n">
        <v>6</v>
      </c>
      <c r="I4457" s="20" t="n">
        <v>137.59</v>
      </c>
      <c r="J4457" s="20" t="n">
        <v>177.03</v>
      </c>
      <c r="K4457" s="18" t="n">
        <v>19</v>
      </c>
      <c r="L4457" s="18" t="n">
        <v>9</v>
      </c>
      <c r="M4457" s="18" t="n">
        <v>255</v>
      </c>
      <c r="N4457" s="18" t="n">
        <v>75</v>
      </c>
      <c r="O4457" s="14" t="s">
        <v>1097</v>
      </c>
      <c r="P4457" s="14" t="s">
        <v>118</v>
      </c>
      <c r="Q4457" s="15" t="s">
        <v>1089</v>
      </c>
      <c r="R4457" s="16" t="s">
        <v>6914</v>
      </c>
      <c r="S4457" s="15" t="s">
        <v>27414</v>
      </c>
      <c r="T4457" s="15" t="s">
        <v>27414</v>
      </c>
      <c r="U4457" s="21" t="s">
        <v>72</v>
      </c>
    </row>
    <row r="4458" customFormat="false" ht="15" hidden="false" customHeight="false" outlineLevel="0" collapsed="false">
      <c r="A4458" s="15" t="s">
        <v>27359</v>
      </c>
      <c r="B4458" s="15" t="s">
        <v>27403</v>
      </c>
      <c r="C4458" s="14" t="s">
        <v>27415</v>
      </c>
      <c r="D4458" s="14" t="s">
        <v>27416</v>
      </c>
      <c r="E4458" s="16" t="s">
        <v>27417</v>
      </c>
      <c r="F4458" s="16" t="s">
        <v>27418</v>
      </c>
      <c r="G4458" s="19" t="s">
        <v>41</v>
      </c>
      <c r="H4458" s="18" t="n">
        <v>5</v>
      </c>
      <c r="I4458" s="20" t="n">
        <v>80.06</v>
      </c>
      <c r="J4458" s="20" t="n">
        <v>154.47</v>
      </c>
      <c r="K4458" s="18" t="n">
        <v>26</v>
      </c>
      <c r="L4458" s="18" t="n">
        <v>5</v>
      </c>
      <c r="M4458" s="18" t="n">
        <v>354</v>
      </c>
      <c r="N4458" s="18" t="n">
        <v>126</v>
      </c>
      <c r="O4458" s="14" t="s">
        <v>1097</v>
      </c>
      <c r="P4458" s="14" t="s">
        <v>118</v>
      </c>
      <c r="Q4458" s="15" t="s">
        <v>1089</v>
      </c>
      <c r="R4458" s="16" t="s">
        <v>24735</v>
      </c>
      <c r="S4458" s="15" t="s">
        <v>27419</v>
      </c>
      <c r="T4458" s="15" t="s">
        <v>27419</v>
      </c>
      <c r="U4458" s="21" t="s">
        <v>72</v>
      </c>
    </row>
    <row r="4459" customFormat="false" ht="15" hidden="false" customHeight="false" outlineLevel="0" collapsed="false">
      <c r="A4459" s="15" t="s">
        <v>27359</v>
      </c>
      <c r="B4459" s="15" t="s">
        <v>27403</v>
      </c>
      <c r="C4459" s="14" t="s">
        <v>27420</v>
      </c>
      <c r="D4459" s="14" t="s">
        <v>27421</v>
      </c>
      <c r="E4459" s="16" t="s">
        <v>27422</v>
      </c>
      <c r="F4459" s="16"/>
      <c r="G4459" s="19" t="s">
        <v>41</v>
      </c>
      <c r="H4459" s="18" t="n">
        <v>3</v>
      </c>
      <c r="I4459" s="20" t="n">
        <v>190.89</v>
      </c>
      <c r="J4459" s="20" t="n">
        <v>265.84</v>
      </c>
      <c r="K4459" s="18" t="n">
        <v>3</v>
      </c>
      <c r="L4459" s="18" t="n">
        <v>3</v>
      </c>
      <c r="M4459" s="18" t="n">
        <v>66</v>
      </c>
      <c r="N4459" s="18" t="n">
        <v>44</v>
      </c>
      <c r="O4459" s="14" t="s">
        <v>1097</v>
      </c>
      <c r="P4459" s="14" t="s">
        <v>118</v>
      </c>
      <c r="Q4459" s="15" t="s">
        <v>1089</v>
      </c>
      <c r="R4459" s="16" t="s">
        <v>16178</v>
      </c>
      <c r="S4459" s="15" t="s">
        <v>27423</v>
      </c>
      <c r="T4459" s="15" t="s">
        <v>27424</v>
      </c>
      <c r="U4459" s="21" t="s">
        <v>72</v>
      </c>
    </row>
    <row r="4460" customFormat="false" ht="39.55" hidden="false" customHeight="false" outlineLevel="0" collapsed="false">
      <c r="A4460" s="15" t="s">
        <v>27359</v>
      </c>
      <c r="B4460" s="15" t="s">
        <v>27425</v>
      </c>
      <c r="C4460" s="14" t="s">
        <v>27426</v>
      </c>
      <c r="D4460" s="14" t="s">
        <v>27427</v>
      </c>
      <c r="E4460" s="16" t="s">
        <v>27428</v>
      </c>
      <c r="F4460" s="16" t="s">
        <v>27429</v>
      </c>
      <c r="G4460" s="23" t="s">
        <v>43</v>
      </c>
      <c r="H4460" s="18" t="n">
        <v>3</v>
      </c>
      <c r="I4460" s="20" t="n">
        <v>116</v>
      </c>
      <c r="J4460" s="20" t="n">
        <v>156.15</v>
      </c>
      <c r="K4460" s="18" t="n">
        <v>23</v>
      </c>
      <c r="L4460" s="18" t="n">
        <v>45</v>
      </c>
      <c r="M4460" s="18" t="n">
        <v>444</v>
      </c>
      <c r="N4460" s="18" t="n">
        <v>40</v>
      </c>
      <c r="O4460" s="14" t="s">
        <v>1097</v>
      </c>
      <c r="P4460" s="14" t="s">
        <v>27430</v>
      </c>
      <c r="Q4460" s="15" t="s">
        <v>1089</v>
      </c>
      <c r="R4460" s="16" t="s">
        <v>27431</v>
      </c>
      <c r="S4460" s="15" t="s">
        <v>27432</v>
      </c>
      <c r="T4460" s="15" t="s">
        <v>27433</v>
      </c>
      <c r="U4460" s="21" t="s">
        <v>72</v>
      </c>
    </row>
    <row r="4461" customFormat="false" ht="15" hidden="false" customHeight="false" outlineLevel="0" collapsed="false">
      <c r="A4461" s="15" t="s">
        <v>27359</v>
      </c>
      <c r="B4461" s="15" t="s">
        <v>27425</v>
      </c>
      <c r="C4461" s="14" t="s">
        <v>27434</v>
      </c>
      <c r="D4461" s="14" t="s">
        <v>27435</v>
      </c>
      <c r="E4461" s="16" t="s">
        <v>27436</v>
      </c>
      <c r="F4461" s="16" t="s">
        <v>27437</v>
      </c>
      <c r="G4461" s="23" t="s">
        <v>43</v>
      </c>
      <c r="H4461" s="18" t="n">
        <v>2</v>
      </c>
      <c r="I4461" s="20" t="n">
        <v>73.66</v>
      </c>
      <c r="J4461" s="20" t="n">
        <v>146.76</v>
      </c>
      <c r="K4461" s="18" t="n">
        <v>6</v>
      </c>
      <c r="L4461" s="18" t="n">
        <v>1</v>
      </c>
      <c r="M4461" s="18" t="n">
        <v>90</v>
      </c>
      <c r="N4461" s="18" t="n">
        <v>30</v>
      </c>
      <c r="O4461" s="14" t="s">
        <v>1097</v>
      </c>
      <c r="P4461" s="14" t="s">
        <v>118</v>
      </c>
      <c r="Q4461" s="15" t="s">
        <v>1089</v>
      </c>
      <c r="R4461" s="16" t="s">
        <v>27438</v>
      </c>
      <c r="S4461" s="15" t="s">
        <v>27439</v>
      </c>
      <c r="T4461" s="15" t="s">
        <v>27440</v>
      </c>
      <c r="U4461" s="21" t="s">
        <v>72</v>
      </c>
    </row>
    <row r="4462" customFormat="false" ht="26.85" hidden="false" customHeight="false" outlineLevel="0" collapsed="false">
      <c r="A4462" s="15" t="s">
        <v>27359</v>
      </c>
      <c r="B4462" s="15" t="s">
        <v>27425</v>
      </c>
      <c r="C4462" s="14" t="s">
        <v>27441</v>
      </c>
      <c r="D4462" s="14" t="s">
        <v>27442</v>
      </c>
      <c r="E4462" s="16" t="s">
        <v>27443</v>
      </c>
      <c r="F4462" s="16" t="s">
        <v>1387</v>
      </c>
      <c r="G4462" s="23" t="s">
        <v>43</v>
      </c>
      <c r="H4462" s="18" t="n">
        <v>3</v>
      </c>
      <c r="I4462" s="20" t="n">
        <v>131.71</v>
      </c>
      <c r="J4462" s="20" t="n">
        <v>177</v>
      </c>
      <c r="K4462" s="18" t="n">
        <v>6</v>
      </c>
      <c r="L4462" s="18" t="n">
        <v>3</v>
      </c>
      <c r="M4462" s="18" t="n">
        <v>234</v>
      </c>
      <c r="N4462" s="18" t="n">
        <v>132</v>
      </c>
      <c r="O4462" s="14" t="s">
        <v>1126</v>
      </c>
      <c r="P4462" s="14" t="s">
        <v>84</v>
      </c>
      <c r="Q4462" s="15" t="s">
        <v>1089</v>
      </c>
      <c r="R4462" s="16" t="s">
        <v>14306</v>
      </c>
      <c r="S4462" s="15" t="s">
        <v>4460</v>
      </c>
      <c r="T4462" s="15" t="s">
        <v>27444</v>
      </c>
      <c r="U4462" s="21" t="s">
        <v>72</v>
      </c>
    </row>
    <row r="4463" customFormat="false" ht="15" hidden="false" customHeight="false" outlineLevel="0" collapsed="false">
      <c r="A4463" s="15" t="s">
        <v>27359</v>
      </c>
      <c r="B4463" s="15" t="s">
        <v>27425</v>
      </c>
      <c r="C4463" s="14" t="s">
        <v>27445</v>
      </c>
      <c r="D4463" s="14" t="s">
        <v>27446</v>
      </c>
      <c r="E4463" s="16" t="s">
        <v>27447</v>
      </c>
      <c r="F4463" s="16" t="s">
        <v>27448</v>
      </c>
      <c r="G4463" s="25" t="s">
        <v>39</v>
      </c>
      <c r="H4463" s="18" t="n">
        <v>8</v>
      </c>
      <c r="I4463" s="20" t="n">
        <v>353.77</v>
      </c>
      <c r="J4463" s="20" t="n">
        <v>687.83</v>
      </c>
      <c r="K4463" s="18" t="n">
        <v>24</v>
      </c>
      <c r="L4463" s="18" t="n">
        <v>13</v>
      </c>
      <c r="M4463" s="18" t="n">
        <v>792</v>
      </c>
      <c r="N4463" s="18" t="n">
        <v>330</v>
      </c>
      <c r="O4463" s="14" t="s">
        <v>1088</v>
      </c>
      <c r="P4463" s="14" t="s">
        <v>84</v>
      </c>
      <c r="Q4463" s="15" t="s">
        <v>1089</v>
      </c>
      <c r="R4463" s="16" t="s">
        <v>27449</v>
      </c>
      <c r="S4463" s="15" t="s">
        <v>3173</v>
      </c>
      <c r="T4463" s="15" t="s">
        <v>27450</v>
      </c>
      <c r="U4463" s="21" t="s">
        <v>72</v>
      </c>
    </row>
    <row r="4464" customFormat="false" ht="15" hidden="false" customHeight="false" outlineLevel="0" collapsed="false">
      <c r="A4464" s="15" t="s">
        <v>27359</v>
      </c>
      <c r="B4464" s="15" t="s">
        <v>27425</v>
      </c>
      <c r="C4464" s="14" t="s">
        <v>27451</v>
      </c>
      <c r="D4464" s="14" t="s">
        <v>27452</v>
      </c>
      <c r="E4464" s="16" t="s">
        <v>27453</v>
      </c>
      <c r="F4464" s="16" t="s">
        <v>27454</v>
      </c>
      <c r="G4464" s="19" t="s">
        <v>41</v>
      </c>
      <c r="H4464" s="18" t="n">
        <v>2</v>
      </c>
      <c r="I4464" s="20" t="n">
        <v>60</v>
      </c>
      <c r="J4464" s="20" t="n">
        <v>255.41</v>
      </c>
      <c r="K4464" s="18" t="n">
        <v>8</v>
      </c>
      <c r="L4464" s="18" t="n">
        <v>3</v>
      </c>
      <c r="M4464" s="18" t="n">
        <v>192</v>
      </c>
      <c r="N4464" s="18" t="n">
        <v>144</v>
      </c>
      <c r="O4464" s="14" t="s">
        <v>1088</v>
      </c>
      <c r="P4464" s="14" t="s">
        <v>84</v>
      </c>
      <c r="Q4464" s="15" t="s">
        <v>1089</v>
      </c>
      <c r="R4464" s="16" t="s">
        <v>27455</v>
      </c>
      <c r="S4464" s="15" t="s">
        <v>27456</v>
      </c>
      <c r="T4464" s="15" t="s">
        <v>27457</v>
      </c>
      <c r="U4464" s="21" t="s">
        <v>72</v>
      </c>
    </row>
    <row r="4465" customFormat="false" ht="15" hidden="false" customHeight="false" outlineLevel="0" collapsed="false">
      <c r="A4465" s="15" t="s">
        <v>27359</v>
      </c>
      <c r="B4465" s="15" t="s">
        <v>27425</v>
      </c>
      <c r="C4465" s="14" t="s">
        <v>27458</v>
      </c>
      <c r="D4465" s="14" t="s">
        <v>27459</v>
      </c>
      <c r="E4465" s="16" t="s">
        <v>27460</v>
      </c>
      <c r="F4465" s="16" t="s">
        <v>27461</v>
      </c>
      <c r="G4465" s="19" t="s">
        <v>41</v>
      </c>
      <c r="H4465" s="18" t="n">
        <v>2</v>
      </c>
      <c r="I4465" s="20" t="n">
        <v>33.6</v>
      </c>
      <c r="J4465" s="20" t="n">
        <v>315.55</v>
      </c>
      <c r="K4465" s="18" t="n">
        <v>2</v>
      </c>
      <c r="L4465" s="18" t="n">
        <v>14</v>
      </c>
      <c r="M4465" s="18" t="n">
        <v>56</v>
      </c>
      <c r="N4465" s="18" t="n">
        <v>56</v>
      </c>
      <c r="O4465" s="14" t="s">
        <v>1088</v>
      </c>
      <c r="P4465" s="14" t="s">
        <v>84</v>
      </c>
      <c r="Q4465" s="15" t="s">
        <v>1089</v>
      </c>
      <c r="R4465" s="16" t="s">
        <v>27462</v>
      </c>
      <c r="S4465" s="15" t="s">
        <v>18934</v>
      </c>
      <c r="T4465" s="15" t="s">
        <v>27463</v>
      </c>
      <c r="U4465" s="21" t="s">
        <v>72</v>
      </c>
    </row>
    <row r="4466" customFormat="false" ht="15" hidden="false" customHeight="false" outlineLevel="0" collapsed="false">
      <c r="A4466" s="15" t="s">
        <v>27359</v>
      </c>
      <c r="B4466" s="15" t="s">
        <v>27425</v>
      </c>
      <c r="C4466" s="14" t="s">
        <v>27464</v>
      </c>
      <c r="D4466" s="14" t="s">
        <v>27465</v>
      </c>
      <c r="E4466" s="16" t="s">
        <v>27466</v>
      </c>
      <c r="F4466" s="16" t="s">
        <v>27467</v>
      </c>
      <c r="G4466" s="23" t="s">
        <v>43</v>
      </c>
      <c r="H4466" s="18" t="n">
        <v>1</v>
      </c>
      <c r="I4466" s="20" t="n">
        <v>52.3</v>
      </c>
      <c r="J4466" s="20" t="n">
        <v>132.34</v>
      </c>
      <c r="K4466" s="18" t="n">
        <v>9</v>
      </c>
      <c r="L4466" s="18" t="n">
        <v>5</v>
      </c>
      <c r="M4466" s="18" t="n">
        <v>135</v>
      </c>
      <c r="N4466" s="18" t="n">
        <v>90</v>
      </c>
      <c r="O4466" s="14" t="s">
        <v>1097</v>
      </c>
      <c r="P4466" s="14" t="s">
        <v>84</v>
      </c>
      <c r="Q4466" s="15" t="s">
        <v>1089</v>
      </c>
      <c r="R4466" s="16" t="s">
        <v>25579</v>
      </c>
      <c r="S4466" s="15" t="s">
        <v>27468</v>
      </c>
      <c r="T4466" s="15" t="s">
        <v>27469</v>
      </c>
      <c r="U4466" s="21" t="s">
        <v>72</v>
      </c>
    </row>
    <row r="4467" customFormat="false" ht="15" hidden="false" customHeight="false" outlineLevel="0" collapsed="false">
      <c r="A4467" s="15" t="s">
        <v>27359</v>
      </c>
      <c r="B4467" s="15" t="s">
        <v>27425</v>
      </c>
      <c r="C4467" s="14" t="s">
        <v>27470</v>
      </c>
      <c r="D4467" s="14" t="s">
        <v>27471</v>
      </c>
      <c r="E4467" s="16" t="s">
        <v>27472</v>
      </c>
      <c r="F4467" s="16" t="s">
        <v>27473</v>
      </c>
      <c r="G4467" s="19" t="s">
        <v>41</v>
      </c>
      <c r="H4467" s="18" t="n">
        <v>6</v>
      </c>
      <c r="I4467" s="20" t="n">
        <v>180.01</v>
      </c>
      <c r="J4467" s="20" t="n">
        <v>299.28</v>
      </c>
      <c r="K4467" s="18" t="n">
        <v>5</v>
      </c>
      <c r="L4467" s="18" t="n">
        <v>6</v>
      </c>
      <c r="M4467" s="18" t="n">
        <v>120</v>
      </c>
      <c r="N4467" s="18" t="n">
        <v>120</v>
      </c>
      <c r="O4467" s="14" t="s">
        <v>1088</v>
      </c>
      <c r="P4467" s="14" t="s">
        <v>84</v>
      </c>
      <c r="Q4467" s="15" t="s">
        <v>1089</v>
      </c>
      <c r="R4467" s="16" t="s">
        <v>27474</v>
      </c>
      <c r="S4467" s="15" t="s">
        <v>27475</v>
      </c>
      <c r="T4467" s="15" t="s">
        <v>27476</v>
      </c>
      <c r="U4467" s="21" t="s">
        <v>72</v>
      </c>
    </row>
    <row r="4468" customFormat="false" ht="15" hidden="false" customHeight="false" outlineLevel="0" collapsed="false">
      <c r="A4468" s="15" t="s">
        <v>27359</v>
      </c>
      <c r="B4468" s="15" t="s">
        <v>27425</v>
      </c>
      <c r="C4468" s="14" t="s">
        <v>27477</v>
      </c>
      <c r="D4468" s="14" t="s">
        <v>27478</v>
      </c>
      <c r="E4468" s="16" t="s">
        <v>27479</v>
      </c>
      <c r="F4468" s="16" t="s">
        <v>27480</v>
      </c>
      <c r="G4468" s="25" t="s">
        <v>39</v>
      </c>
      <c r="H4468" s="18" t="n">
        <v>9</v>
      </c>
      <c r="I4468" s="20" t="n">
        <v>110.32</v>
      </c>
      <c r="J4468" s="20" t="n">
        <v>251.81</v>
      </c>
      <c r="K4468" s="18" t="n">
        <v>9</v>
      </c>
      <c r="L4468" s="18" t="n">
        <v>5</v>
      </c>
      <c r="M4468" s="18" t="n">
        <v>29</v>
      </c>
      <c r="N4468" s="18"/>
      <c r="O4468" s="13"/>
      <c r="P4468" s="14" t="s">
        <v>202</v>
      </c>
      <c r="Q4468" s="15" t="s">
        <v>1089</v>
      </c>
      <c r="R4468" s="16" t="s">
        <v>27481</v>
      </c>
      <c r="S4468" s="15" t="s">
        <v>27482</v>
      </c>
      <c r="T4468" s="15" t="s">
        <v>27483</v>
      </c>
      <c r="U4468" s="21" t="s">
        <v>72</v>
      </c>
    </row>
    <row r="4469" customFormat="false" ht="15" hidden="false" customHeight="false" outlineLevel="0" collapsed="false">
      <c r="A4469" s="15" t="s">
        <v>27359</v>
      </c>
      <c r="B4469" s="15" t="s">
        <v>27425</v>
      </c>
      <c r="C4469" s="14" t="s">
        <v>27484</v>
      </c>
      <c r="D4469" s="14" t="s">
        <v>27485</v>
      </c>
      <c r="E4469" s="16" t="s">
        <v>27486</v>
      </c>
      <c r="F4469" s="16" t="s">
        <v>27487</v>
      </c>
      <c r="G4469" s="23" t="s">
        <v>43</v>
      </c>
      <c r="H4469" s="18" t="n">
        <v>3</v>
      </c>
      <c r="I4469" s="20" t="n">
        <v>30.73</v>
      </c>
      <c r="J4469" s="20" t="n">
        <v>73.23</v>
      </c>
      <c r="K4469" s="18" t="n">
        <v>50</v>
      </c>
      <c r="L4469" s="18" t="n">
        <v>6</v>
      </c>
      <c r="M4469" s="18" t="n">
        <v>400</v>
      </c>
      <c r="N4469" s="18" t="n">
        <v>48</v>
      </c>
      <c r="O4469" s="14" t="s">
        <v>1097</v>
      </c>
      <c r="P4469" s="14" t="s">
        <v>118</v>
      </c>
      <c r="Q4469" s="15" t="s">
        <v>1089</v>
      </c>
      <c r="R4469" s="16" t="s">
        <v>27488</v>
      </c>
      <c r="S4469" s="15" t="s">
        <v>27489</v>
      </c>
      <c r="T4469" s="15" t="s">
        <v>27490</v>
      </c>
      <c r="U4469" s="21" t="s">
        <v>72</v>
      </c>
    </row>
    <row r="4470" customFormat="false" ht="15" hidden="false" customHeight="false" outlineLevel="0" collapsed="false">
      <c r="A4470" s="15" t="s">
        <v>27359</v>
      </c>
      <c r="B4470" s="15" t="s">
        <v>27425</v>
      </c>
      <c r="C4470" s="14" t="s">
        <v>27491</v>
      </c>
      <c r="D4470" s="14" t="s">
        <v>27492</v>
      </c>
      <c r="E4470" s="16" t="s">
        <v>27493</v>
      </c>
      <c r="F4470" s="16" t="s">
        <v>27494</v>
      </c>
      <c r="G4470" s="25" t="s">
        <v>39</v>
      </c>
      <c r="H4470" s="18" t="n">
        <v>13</v>
      </c>
      <c r="I4470" s="20" t="n">
        <v>603.8</v>
      </c>
      <c r="J4470" s="20" t="n">
        <v>986.11</v>
      </c>
      <c r="K4470" s="18" t="n">
        <v>13</v>
      </c>
      <c r="L4470" s="18" t="n">
        <v>14</v>
      </c>
      <c r="M4470" s="18" t="n">
        <v>325</v>
      </c>
      <c r="N4470" s="18" t="n">
        <v>325</v>
      </c>
      <c r="O4470" s="14" t="s">
        <v>1126</v>
      </c>
      <c r="P4470" s="14" t="s">
        <v>84</v>
      </c>
      <c r="Q4470" s="15" t="s">
        <v>1089</v>
      </c>
      <c r="R4470" s="16" t="s">
        <v>27495</v>
      </c>
      <c r="S4470" s="15" t="s">
        <v>27496</v>
      </c>
      <c r="T4470" s="15" t="s">
        <v>27496</v>
      </c>
      <c r="U4470" s="21" t="s">
        <v>72</v>
      </c>
    </row>
    <row r="4471" customFormat="false" ht="15" hidden="false" customHeight="false" outlineLevel="0" collapsed="false">
      <c r="A4471" s="15" t="s">
        <v>27359</v>
      </c>
      <c r="B4471" s="15" t="s">
        <v>27425</v>
      </c>
      <c r="C4471" s="14" t="s">
        <v>27497</v>
      </c>
      <c r="D4471" s="14" t="s">
        <v>27498</v>
      </c>
      <c r="E4471" s="16" t="s">
        <v>27499</v>
      </c>
      <c r="F4471" s="16" t="s">
        <v>27500</v>
      </c>
      <c r="G4471" s="23" t="s">
        <v>43</v>
      </c>
      <c r="H4471" s="18" t="n">
        <v>3</v>
      </c>
      <c r="I4471" s="20" t="n">
        <v>61.58</v>
      </c>
      <c r="J4471" s="20" t="n">
        <v>166.36</v>
      </c>
      <c r="K4471" s="18" t="n">
        <v>6</v>
      </c>
      <c r="L4471" s="18" t="n">
        <v>5</v>
      </c>
      <c r="M4471" s="18" t="n">
        <v>102</v>
      </c>
      <c r="N4471" s="18" t="n">
        <v>34</v>
      </c>
      <c r="O4471" s="14" t="s">
        <v>6448</v>
      </c>
      <c r="P4471" s="14" t="s">
        <v>118</v>
      </c>
      <c r="Q4471" s="15" t="s">
        <v>1089</v>
      </c>
      <c r="R4471" s="16" t="s">
        <v>27501</v>
      </c>
      <c r="S4471" s="15" t="s">
        <v>27502</v>
      </c>
      <c r="T4471" s="15" t="s">
        <v>27503</v>
      </c>
      <c r="U4471" s="21" t="s">
        <v>72</v>
      </c>
    </row>
    <row r="4472" customFormat="false" ht="15" hidden="false" customHeight="false" outlineLevel="0" collapsed="false">
      <c r="A4472" s="15" t="s">
        <v>27359</v>
      </c>
      <c r="B4472" s="15" t="s">
        <v>27425</v>
      </c>
      <c r="C4472" s="14" t="s">
        <v>27504</v>
      </c>
      <c r="D4472" s="14" t="s">
        <v>27505</v>
      </c>
      <c r="E4472" s="16" t="s">
        <v>27506</v>
      </c>
      <c r="F4472" s="16"/>
      <c r="G4472" s="19" t="s">
        <v>41</v>
      </c>
      <c r="H4472" s="18" t="n">
        <v>5</v>
      </c>
      <c r="I4472" s="20" t="n">
        <v>174.84</v>
      </c>
      <c r="J4472" s="20" t="n">
        <v>354.91</v>
      </c>
      <c r="K4472" s="18" t="n">
        <v>6</v>
      </c>
      <c r="L4472" s="18" t="n">
        <v>3</v>
      </c>
      <c r="M4472" s="18" t="n">
        <v>156</v>
      </c>
      <c r="N4472" s="18" t="n">
        <v>156</v>
      </c>
      <c r="O4472" s="14" t="s">
        <v>1126</v>
      </c>
      <c r="P4472" s="14" t="s">
        <v>84</v>
      </c>
      <c r="Q4472" s="15" t="s">
        <v>1089</v>
      </c>
      <c r="R4472" s="16" t="s">
        <v>6409</v>
      </c>
      <c r="S4472" s="15" t="s">
        <v>27507</v>
      </c>
      <c r="T4472" s="15" t="s">
        <v>27508</v>
      </c>
      <c r="U4472" s="21" t="s">
        <v>72</v>
      </c>
    </row>
    <row r="4473" customFormat="false" ht="15" hidden="false" customHeight="false" outlineLevel="0" collapsed="false">
      <c r="A4473" s="15" t="s">
        <v>27359</v>
      </c>
      <c r="B4473" s="15" t="s">
        <v>27425</v>
      </c>
      <c r="C4473" s="14" t="s">
        <v>24004</v>
      </c>
      <c r="D4473" s="14" t="s">
        <v>27509</v>
      </c>
      <c r="E4473" s="16" t="s">
        <v>27510</v>
      </c>
      <c r="F4473" s="16" t="s">
        <v>27511</v>
      </c>
      <c r="G4473" s="19" t="s">
        <v>41</v>
      </c>
      <c r="H4473" s="18" t="n">
        <v>5</v>
      </c>
      <c r="I4473" s="20" t="n">
        <v>58</v>
      </c>
      <c r="J4473" s="20" t="n">
        <v>121.8</v>
      </c>
      <c r="K4473" s="18" t="n">
        <v>2</v>
      </c>
      <c r="L4473" s="18" t="n">
        <v>3</v>
      </c>
      <c r="M4473" s="18" t="n">
        <v>32</v>
      </c>
      <c r="N4473" s="18" t="n">
        <v>32</v>
      </c>
      <c r="O4473" s="14" t="s">
        <v>1088</v>
      </c>
      <c r="P4473" s="14" t="s">
        <v>118</v>
      </c>
      <c r="Q4473" s="15" t="s">
        <v>1089</v>
      </c>
      <c r="R4473" s="16" t="s">
        <v>27512</v>
      </c>
      <c r="S4473" s="15" t="s">
        <v>27513</v>
      </c>
      <c r="T4473" s="15" t="s">
        <v>27513</v>
      </c>
      <c r="U4473" s="21" t="s">
        <v>72</v>
      </c>
    </row>
    <row r="4474" customFormat="false" ht="15" hidden="false" customHeight="false" outlineLevel="0" collapsed="false">
      <c r="A4474" s="15" t="s">
        <v>27359</v>
      </c>
      <c r="B4474" s="15" t="s">
        <v>27425</v>
      </c>
      <c r="C4474" s="14" t="s">
        <v>27514</v>
      </c>
      <c r="D4474" s="14" t="s">
        <v>27515</v>
      </c>
      <c r="E4474" s="16" t="s">
        <v>27516</v>
      </c>
      <c r="F4474" s="16" t="s">
        <v>27517</v>
      </c>
      <c r="G4474" s="23" t="s">
        <v>43</v>
      </c>
      <c r="H4474" s="18" t="n">
        <v>3</v>
      </c>
      <c r="I4474" s="20" t="n">
        <v>112.57</v>
      </c>
      <c r="J4474" s="20" t="n">
        <v>162.95</v>
      </c>
      <c r="K4474" s="18" t="n">
        <v>11</v>
      </c>
      <c r="L4474" s="18" t="n">
        <v>3</v>
      </c>
      <c r="M4474" s="18" t="n">
        <v>306</v>
      </c>
      <c r="N4474" s="18" t="n">
        <v>108</v>
      </c>
      <c r="O4474" s="14" t="s">
        <v>1088</v>
      </c>
      <c r="P4474" s="14" t="s">
        <v>118</v>
      </c>
      <c r="Q4474" s="15" t="s">
        <v>1089</v>
      </c>
      <c r="R4474" s="16" t="s">
        <v>27518</v>
      </c>
      <c r="S4474" s="15" t="s">
        <v>27519</v>
      </c>
      <c r="T4474" s="15" t="s">
        <v>27520</v>
      </c>
      <c r="U4474" s="21" t="s">
        <v>72</v>
      </c>
    </row>
    <row r="4475" customFormat="false" ht="15" hidden="false" customHeight="false" outlineLevel="0" collapsed="false">
      <c r="A4475" s="15" t="s">
        <v>27359</v>
      </c>
      <c r="B4475" s="15" t="s">
        <v>27425</v>
      </c>
      <c r="C4475" s="14" t="s">
        <v>27521</v>
      </c>
      <c r="D4475" s="14" t="s">
        <v>27522</v>
      </c>
      <c r="E4475" s="16" t="s">
        <v>27523</v>
      </c>
      <c r="F4475" s="16"/>
      <c r="G4475" s="23" t="s">
        <v>43</v>
      </c>
      <c r="H4475" s="18" t="n">
        <v>2</v>
      </c>
      <c r="I4475" s="20" t="n">
        <v>43.4</v>
      </c>
      <c r="J4475" s="20" t="n">
        <v>57.66</v>
      </c>
      <c r="K4475" s="18" t="n">
        <v>2</v>
      </c>
      <c r="L4475" s="18" t="n">
        <v>1</v>
      </c>
      <c r="M4475" s="18" t="n">
        <v>32</v>
      </c>
      <c r="N4475" s="18" t="n">
        <v>32</v>
      </c>
      <c r="O4475" s="14" t="s">
        <v>1126</v>
      </c>
      <c r="P4475" s="14" t="s">
        <v>84</v>
      </c>
      <c r="Q4475" s="15" t="s">
        <v>1089</v>
      </c>
      <c r="R4475" s="16" t="s">
        <v>26608</v>
      </c>
      <c r="S4475" s="15" t="s">
        <v>15078</v>
      </c>
      <c r="T4475" s="15" t="s">
        <v>15078</v>
      </c>
      <c r="U4475" s="21" t="s">
        <v>72</v>
      </c>
    </row>
    <row r="4476" customFormat="false" ht="15" hidden="false" customHeight="false" outlineLevel="0" collapsed="false">
      <c r="A4476" s="15" t="s">
        <v>27359</v>
      </c>
      <c r="B4476" s="15" t="s">
        <v>27425</v>
      </c>
      <c r="C4476" s="14" t="s">
        <v>27524</v>
      </c>
      <c r="D4476" s="14" t="s">
        <v>27525</v>
      </c>
      <c r="E4476" s="16" t="s">
        <v>27526</v>
      </c>
      <c r="F4476" s="16"/>
      <c r="G4476" s="19" t="s">
        <v>41</v>
      </c>
      <c r="H4476" s="18" t="n">
        <v>4</v>
      </c>
      <c r="I4476" s="20" t="n">
        <v>110</v>
      </c>
      <c r="J4476" s="20" t="n">
        <v>216.54</v>
      </c>
      <c r="K4476" s="18" t="n">
        <v>4</v>
      </c>
      <c r="L4476" s="18" t="n">
        <v>5</v>
      </c>
      <c r="M4476" s="18" t="n">
        <v>120</v>
      </c>
      <c r="N4476" s="18" t="n">
        <v>80</v>
      </c>
      <c r="O4476" s="14" t="s">
        <v>1097</v>
      </c>
      <c r="P4476" s="14" t="s">
        <v>118</v>
      </c>
      <c r="Q4476" s="15" t="s">
        <v>1089</v>
      </c>
      <c r="R4476" s="16" t="s">
        <v>27527</v>
      </c>
      <c r="S4476" s="15" t="s">
        <v>27528</v>
      </c>
      <c r="T4476" s="15" t="s">
        <v>21794</v>
      </c>
      <c r="U4476" s="21" t="s">
        <v>72</v>
      </c>
    </row>
    <row r="4477" customFormat="false" ht="15" hidden="false" customHeight="false" outlineLevel="0" collapsed="false">
      <c r="A4477" s="15" t="s">
        <v>27359</v>
      </c>
      <c r="B4477" s="15" t="s">
        <v>27425</v>
      </c>
      <c r="C4477" s="14" t="s">
        <v>11596</v>
      </c>
      <c r="D4477" s="14" t="s">
        <v>27529</v>
      </c>
      <c r="E4477" s="16" t="s">
        <v>27530</v>
      </c>
      <c r="F4477" s="16" t="s">
        <v>27531</v>
      </c>
      <c r="G4477" s="19" t="s">
        <v>41</v>
      </c>
      <c r="H4477" s="18" t="n">
        <v>6</v>
      </c>
      <c r="I4477" s="20" t="n">
        <v>250.97</v>
      </c>
      <c r="J4477" s="20" t="n">
        <v>277.45</v>
      </c>
      <c r="K4477" s="18" t="n">
        <v>24</v>
      </c>
      <c r="L4477" s="18" t="n">
        <v>12</v>
      </c>
      <c r="M4477" s="18" t="n">
        <v>768</v>
      </c>
      <c r="N4477" s="18" t="n">
        <v>180</v>
      </c>
      <c r="O4477" s="14" t="s">
        <v>1097</v>
      </c>
      <c r="P4477" s="14" t="s">
        <v>118</v>
      </c>
      <c r="Q4477" s="15" t="s">
        <v>1089</v>
      </c>
      <c r="R4477" s="16" t="s">
        <v>3130</v>
      </c>
      <c r="S4477" s="15" t="s">
        <v>12816</v>
      </c>
      <c r="T4477" s="15" t="s">
        <v>12816</v>
      </c>
      <c r="U4477" s="21" t="s">
        <v>72</v>
      </c>
    </row>
    <row r="4478" customFormat="false" ht="15" hidden="false" customHeight="false" outlineLevel="0" collapsed="false">
      <c r="A4478" s="15" t="s">
        <v>27359</v>
      </c>
      <c r="B4478" s="15" t="s">
        <v>27425</v>
      </c>
      <c r="C4478" s="14" t="s">
        <v>27532</v>
      </c>
      <c r="D4478" s="14" t="s">
        <v>27533</v>
      </c>
      <c r="E4478" s="16" t="s">
        <v>27534</v>
      </c>
      <c r="F4478" s="16" t="s">
        <v>27535</v>
      </c>
      <c r="G4478" s="23" t="s">
        <v>43</v>
      </c>
      <c r="H4478" s="18" t="n">
        <v>3</v>
      </c>
      <c r="I4478" s="20" t="n">
        <v>66</v>
      </c>
      <c r="J4478" s="20" t="n">
        <v>149.22</v>
      </c>
      <c r="K4478" s="18" t="n">
        <v>7</v>
      </c>
      <c r="L4478" s="18" t="n">
        <v>4</v>
      </c>
      <c r="M4478" s="18" t="n">
        <v>100</v>
      </c>
      <c r="N4478" s="18" t="n">
        <v>30</v>
      </c>
      <c r="O4478" s="14" t="s">
        <v>1126</v>
      </c>
      <c r="P4478" s="14" t="s">
        <v>118</v>
      </c>
      <c r="Q4478" s="15" t="s">
        <v>1089</v>
      </c>
      <c r="R4478" s="16" t="s">
        <v>27536</v>
      </c>
      <c r="S4478" s="15" t="s">
        <v>27537</v>
      </c>
      <c r="T4478" s="15" t="s">
        <v>27537</v>
      </c>
      <c r="U4478" s="21" t="s">
        <v>72</v>
      </c>
    </row>
    <row r="4479" customFormat="false" ht="15" hidden="false" customHeight="false" outlineLevel="0" collapsed="false">
      <c r="A4479" s="15" t="s">
        <v>27359</v>
      </c>
      <c r="B4479" s="15" t="s">
        <v>27425</v>
      </c>
      <c r="C4479" s="14" t="s">
        <v>27538</v>
      </c>
      <c r="D4479" s="14" t="s">
        <v>27539</v>
      </c>
      <c r="E4479" s="16" t="s">
        <v>27540</v>
      </c>
      <c r="F4479" s="16" t="s">
        <v>27541</v>
      </c>
      <c r="G4479" s="23" t="s">
        <v>43</v>
      </c>
      <c r="H4479" s="18" t="n">
        <v>3</v>
      </c>
      <c r="I4479" s="20" t="n">
        <v>140.4</v>
      </c>
      <c r="J4479" s="20" t="n">
        <v>157.75</v>
      </c>
      <c r="K4479" s="18" t="n">
        <v>6</v>
      </c>
      <c r="L4479" s="18" t="n">
        <v>2</v>
      </c>
      <c r="M4479" s="18" t="n">
        <v>132</v>
      </c>
      <c r="N4479" s="18" t="n">
        <v>132</v>
      </c>
      <c r="O4479" s="14" t="s">
        <v>1097</v>
      </c>
      <c r="P4479" s="14" t="s">
        <v>118</v>
      </c>
      <c r="Q4479" s="15" t="s">
        <v>1089</v>
      </c>
      <c r="R4479" s="16" t="s">
        <v>27542</v>
      </c>
      <c r="S4479" s="15" t="s">
        <v>27543</v>
      </c>
      <c r="T4479" s="15" t="s">
        <v>27544</v>
      </c>
      <c r="U4479" s="21" t="s">
        <v>72</v>
      </c>
    </row>
    <row r="4480" customFormat="false" ht="15" hidden="false" customHeight="false" outlineLevel="0" collapsed="false">
      <c r="A4480" s="15" t="s">
        <v>27359</v>
      </c>
      <c r="B4480" s="15" t="s">
        <v>27425</v>
      </c>
      <c r="C4480" s="14" t="s">
        <v>27545</v>
      </c>
      <c r="D4480" s="14" t="s">
        <v>27546</v>
      </c>
      <c r="E4480" s="16" t="s">
        <v>27547</v>
      </c>
      <c r="F4480" s="16"/>
      <c r="G4480" s="23" t="s">
        <v>43</v>
      </c>
      <c r="H4480" s="18" t="n">
        <v>1</v>
      </c>
      <c r="I4480" s="20" t="n">
        <v>31.822</v>
      </c>
      <c r="J4480" s="20" t="n">
        <v>36.19</v>
      </c>
      <c r="K4480" s="18" t="n">
        <v>2</v>
      </c>
      <c r="L4480" s="18" t="n">
        <v>2</v>
      </c>
      <c r="M4480" s="18" t="n">
        <v>30</v>
      </c>
      <c r="N4480" s="18" t="n">
        <v>30</v>
      </c>
      <c r="O4480" s="14" t="s">
        <v>1088</v>
      </c>
      <c r="P4480" s="14" t="s">
        <v>84</v>
      </c>
      <c r="Q4480" s="15" t="s">
        <v>1089</v>
      </c>
      <c r="R4480" s="16" t="s">
        <v>8694</v>
      </c>
      <c r="S4480" s="15" t="s">
        <v>27548</v>
      </c>
      <c r="T4480" s="15" t="s">
        <v>27548</v>
      </c>
      <c r="U4480" s="21" t="s">
        <v>72</v>
      </c>
    </row>
    <row r="4481" customFormat="false" ht="15" hidden="false" customHeight="false" outlineLevel="0" collapsed="false">
      <c r="A4481" s="15" t="s">
        <v>27359</v>
      </c>
      <c r="B4481" s="15" t="s">
        <v>27425</v>
      </c>
      <c r="C4481" s="14" t="s">
        <v>27549</v>
      </c>
      <c r="D4481" s="14" t="s">
        <v>27550</v>
      </c>
      <c r="E4481" s="16" t="s">
        <v>27551</v>
      </c>
      <c r="F4481" s="16" t="s">
        <v>27552</v>
      </c>
      <c r="G4481" s="19" t="s">
        <v>41</v>
      </c>
      <c r="H4481" s="18" t="n">
        <v>4</v>
      </c>
      <c r="I4481" s="20" t="n">
        <v>114.602</v>
      </c>
      <c r="J4481" s="20" t="n">
        <v>272.73</v>
      </c>
      <c r="K4481" s="18" t="n">
        <v>2</v>
      </c>
      <c r="L4481" s="18" t="n">
        <v>1</v>
      </c>
      <c r="M4481" s="18" t="n">
        <v>60</v>
      </c>
      <c r="N4481" s="18" t="n">
        <v>60</v>
      </c>
      <c r="O4481" s="14" t="s">
        <v>1088</v>
      </c>
      <c r="P4481" s="14" t="s">
        <v>84</v>
      </c>
      <c r="Q4481" s="15" t="s">
        <v>1089</v>
      </c>
      <c r="R4481" s="16" t="s">
        <v>27553</v>
      </c>
      <c r="S4481" s="15" t="s">
        <v>27554</v>
      </c>
      <c r="T4481" s="15" t="s">
        <v>27554</v>
      </c>
      <c r="U4481" s="21" t="s">
        <v>72</v>
      </c>
    </row>
    <row r="4482" customFormat="false" ht="15" hidden="false" customHeight="false" outlineLevel="0" collapsed="false">
      <c r="A4482" s="15" t="s">
        <v>27359</v>
      </c>
      <c r="B4482" s="15" t="s">
        <v>27425</v>
      </c>
      <c r="C4482" s="14" t="s">
        <v>27555</v>
      </c>
      <c r="D4482" s="14" t="s">
        <v>27556</v>
      </c>
      <c r="E4482" s="16" t="s">
        <v>27557</v>
      </c>
      <c r="F4482" s="16" t="s">
        <v>27558</v>
      </c>
      <c r="G4482" s="23" t="s">
        <v>43</v>
      </c>
      <c r="H4482" s="18" t="n">
        <v>2</v>
      </c>
      <c r="I4482" s="20" t="n">
        <v>37.44</v>
      </c>
      <c r="J4482" s="20" t="n">
        <v>61.56</v>
      </c>
      <c r="K4482" s="18" t="n">
        <v>2</v>
      </c>
      <c r="L4482" s="18" t="n">
        <v>1</v>
      </c>
      <c r="M4482" s="18" t="n">
        <v>50</v>
      </c>
      <c r="N4482" s="18" t="n">
        <v>50</v>
      </c>
      <c r="O4482" s="14" t="s">
        <v>1126</v>
      </c>
      <c r="P4482" s="14" t="s">
        <v>84</v>
      </c>
      <c r="Q4482" s="15" t="s">
        <v>1089</v>
      </c>
      <c r="R4482" s="16" t="s">
        <v>20414</v>
      </c>
      <c r="S4482" s="15" t="s">
        <v>27559</v>
      </c>
      <c r="T4482" s="15" t="s">
        <v>27559</v>
      </c>
      <c r="U4482" s="21" t="s">
        <v>72</v>
      </c>
    </row>
    <row r="4483" customFormat="false" ht="39.55" hidden="false" customHeight="false" outlineLevel="0" collapsed="false">
      <c r="A4483" s="15" t="s">
        <v>27359</v>
      </c>
      <c r="B4483" s="15" t="s">
        <v>27425</v>
      </c>
      <c r="C4483" s="14" t="s">
        <v>27560</v>
      </c>
      <c r="D4483" s="14" t="s">
        <v>27561</v>
      </c>
      <c r="E4483" s="16" t="s">
        <v>27562</v>
      </c>
      <c r="F4483" s="16" t="s">
        <v>27563</v>
      </c>
      <c r="G4483" s="23" t="s">
        <v>43</v>
      </c>
      <c r="H4483" s="18" t="n">
        <v>4</v>
      </c>
      <c r="I4483" s="20" t="n">
        <v>72.96</v>
      </c>
      <c r="J4483" s="20" t="n">
        <v>129.8</v>
      </c>
      <c r="K4483" s="18" t="n">
        <v>76</v>
      </c>
      <c r="L4483" s="18" t="n">
        <v>3</v>
      </c>
      <c r="M4483" s="18" t="n">
        <v>980</v>
      </c>
      <c r="N4483" s="18" t="n">
        <v>660</v>
      </c>
      <c r="O4483" s="14" t="s">
        <v>27564</v>
      </c>
      <c r="P4483" s="14" t="s">
        <v>1726</v>
      </c>
      <c r="Q4483" s="15" t="s">
        <v>1089</v>
      </c>
      <c r="R4483" s="16" t="s">
        <v>27565</v>
      </c>
      <c r="S4483" s="15" t="s">
        <v>27566</v>
      </c>
      <c r="T4483" s="15" t="s">
        <v>27566</v>
      </c>
      <c r="U4483" s="21" t="s">
        <v>72</v>
      </c>
    </row>
    <row r="4484" customFormat="false" ht="15" hidden="false" customHeight="false" outlineLevel="0" collapsed="false">
      <c r="A4484" s="15" t="s">
        <v>27359</v>
      </c>
      <c r="B4484" s="15" t="s">
        <v>27425</v>
      </c>
      <c r="C4484" s="14" t="s">
        <v>27567</v>
      </c>
      <c r="D4484" s="14" t="s">
        <v>27568</v>
      </c>
      <c r="E4484" s="16" t="s">
        <v>27569</v>
      </c>
      <c r="F4484" s="16" t="s">
        <v>27570</v>
      </c>
      <c r="G4484" s="19" t="s">
        <v>41</v>
      </c>
      <c r="H4484" s="18" t="n">
        <v>2</v>
      </c>
      <c r="I4484" s="20" t="n">
        <v>45.78</v>
      </c>
      <c r="J4484" s="20" t="n">
        <v>214.44</v>
      </c>
      <c r="K4484" s="18" t="n">
        <v>2</v>
      </c>
      <c r="L4484" s="18" t="n">
        <v>2</v>
      </c>
      <c r="M4484" s="18" t="n">
        <v>40</v>
      </c>
      <c r="N4484" s="18" t="n">
        <v>40</v>
      </c>
      <c r="O4484" s="14" t="s">
        <v>25304</v>
      </c>
      <c r="P4484" s="14" t="s">
        <v>84</v>
      </c>
      <c r="Q4484" s="15" t="s">
        <v>1089</v>
      </c>
      <c r="R4484" s="16" t="s">
        <v>85</v>
      </c>
      <c r="S4484" s="15" t="s">
        <v>27571</v>
      </c>
      <c r="T4484" s="15" t="s">
        <v>27571</v>
      </c>
      <c r="U4484" s="21" t="s">
        <v>72</v>
      </c>
    </row>
    <row r="4485" customFormat="false" ht="15" hidden="false" customHeight="false" outlineLevel="0" collapsed="false">
      <c r="A4485" s="15" t="s">
        <v>27359</v>
      </c>
      <c r="B4485" s="15" t="s">
        <v>27425</v>
      </c>
      <c r="C4485" s="14" t="s">
        <v>27572</v>
      </c>
      <c r="D4485" s="14" t="s">
        <v>27573</v>
      </c>
      <c r="E4485" s="16" t="s">
        <v>27574</v>
      </c>
      <c r="F4485" s="16" t="s">
        <v>27575</v>
      </c>
      <c r="G4485" s="23" t="s">
        <v>43</v>
      </c>
      <c r="H4485" s="18" t="n">
        <v>4</v>
      </c>
      <c r="I4485" s="20" t="n">
        <v>59.92</v>
      </c>
      <c r="J4485" s="20" t="n">
        <v>92.92</v>
      </c>
      <c r="K4485" s="18" t="n">
        <v>11</v>
      </c>
      <c r="L4485" s="18" t="n">
        <v>3</v>
      </c>
      <c r="M4485" s="18" t="n">
        <v>130</v>
      </c>
      <c r="N4485" s="18" t="n">
        <v>47</v>
      </c>
      <c r="O4485" s="14" t="s">
        <v>1097</v>
      </c>
      <c r="P4485" s="14" t="s">
        <v>118</v>
      </c>
      <c r="Q4485" s="15" t="s">
        <v>1089</v>
      </c>
      <c r="R4485" s="16" t="s">
        <v>27576</v>
      </c>
      <c r="S4485" s="15" t="s">
        <v>27577</v>
      </c>
      <c r="T4485" s="15" t="s">
        <v>27577</v>
      </c>
      <c r="U4485" s="21" t="s">
        <v>72</v>
      </c>
    </row>
    <row r="4486" customFormat="false" ht="15" hidden="false" customHeight="false" outlineLevel="0" collapsed="false">
      <c r="A4486" s="15" t="s">
        <v>27359</v>
      </c>
      <c r="B4486" s="15" t="s">
        <v>27425</v>
      </c>
      <c r="C4486" s="14" t="s">
        <v>27578</v>
      </c>
      <c r="D4486" s="14" t="s">
        <v>27579</v>
      </c>
      <c r="E4486" s="16" t="s">
        <v>27580</v>
      </c>
      <c r="F4486" s="16" t="s">
        <v>27581</v>
      </c>
      <c r="G4486" s="25" t="s">
        <v>39</v>
      </c>
      <c r="H4486" s="18" t="n">
        <v>22</v>
      </c>
      <c r="I4486" s="20" t="n">
        <v>895.32</v>
      </c>
      <c r="J4486" s="20" t="n">
        <v>1595.81</v>
      </c>
      <c r="K4486" s="18" t="n">
        <v>62</v>
      </c>
      <c r="L4486" s="18" t="n">
        <v>13</v>
      </c>
      <c r="M4486" s="18" t="n">
        <v>1440</v>
      </c>
      <c r="N4486" s="18" t="n">
        <v>600</v>
      </c>
      <c r="O4486" s="14" t="s">
        <v>1097</v>
      </c>
      <c r="P4486" s="14" t="s">
        <v>118</v>
      </c>
      <c r="Q4486" s="15" t="s">
        <v>1089</v>
      </c>
      <c r="R4486" s="16" t="s">
        <v>18495</v>
      </c>
      <c r="S4486" s="15" t="s">
        <v>27582</v>
      </c>
      <c r="T4486" s="15" t="s">
        <v>27583</v>
      </c>
      <c r="U4486" s="21" t="s">
        <v>72</v>
      </c>
    </row>
    <row r="4487" customFormat="false" ht="15" hidden="false" customHeight="false" outlineLevel="0" collapsed="false">
      <c r="A4487" s="15" t="s">
        <v>27359</v>
      </c>
      <c r="B4487" s="15" t="s">
        <v>27425</v>
      </c>
      <c r="C4487" s="14" t="s">
        <v>27584</v>
      </c>
      <c r="D4487" s="14" t="s">
        <v>27585</v>
      </c>
      <c r="E4487" s="16" t="s">
        <v>27586</v>
      </c>
      <c r="F4487" s="16"/>
      <c r="G4487" s="23" t="s">
        <v>43</v>
      </c>
      <c r="H4487" s="18" t="n">
        <v>2</v>
      </c>
      <c r="I4487" s="20" t="n">
        <v>47.4</v>
      </c>
      <c r="J4487" s="20" t="n">
        <v>94.98</v>
      </c>
      <c r="K4487" s="18" t="n">
        <v>3</v>
      </c>
      <c r="L4487" s="18" t="n">
        <v>1</v>
      </c>
      <c r="M4487" s="18" t="n">
        <v>39</v>
      </c>
      <c r="N4487" s="18" t="n">
        <v>13</v>
      </c>
      <c r="O4487" s="14" t="s">
        <v>1088</v>
      </c>
      <c r="P4487" s="14" t="s">
        <v>84</v>
      </c>
      <c r="Q4487" s="15" t="s">
        <v>1089</v>
      </c>
      <c r="R4487" s="16" t="s">
        <v>27587</v>
      </c>
      <c r="S4487" s="15" t="s">
        <v>27588</v>
      </c>
      <c r="T4487" s="15" t="s">
        <v>27588</v>
      </c>
      <c r="U4487" s="21" t="s">
        <v>72</v>
      </c>
    </row>
    <row r="4488" customFormat="false" ht="15" hidden="false" customHeight="false" outlineLevel="0" collapsed="false">
      <c r="A4488" s="15" t="s">
        <v>27359</v>
      </c>
      <c r="B4488" s="15" t="s">
        <v>27425</v>
      </c>
      <c r="C4488" s="14" t="s">
        <v>27589</v>
      </c>
      <c r="D4488" s="14" t="s">
        <v>27590</v>
      </c>
      <c r="E4488" s="16" t="s">
        <v>27591</v>
      </c>
      <c r="F4488" s="16" t="s">
        <v>27592</v>
      </c>
      <c r="G4488" s="23" t="s">
        <v>43</v>
      </c>
      <c r="H4488" s="18" t="n">
        <v>2</v>
      </c>
      <c r="I4488" s="20" t="n">
        <v>56.63</v>
      </c>
      <c r="J4488" s="20" t="n">
        <v>174.76</v>
      </c>
      <c r="K4488" s="18" t="n">
        <v>2</v>
      </c>
      <c r="L4488" s="18" t="n">
        <v>5</v>
      </c>
      <c r="M4488" s="18" t="n">
        <v>40</v>
      </c>
      <c r="N4488" s="18" t="n">
        <v>40</v>
      </c>
      <c r="O4488" s="14" t="s">
        <v>1088</v>
      </c>
      <c r="P4488" s="14" t="s">
        <v>118</v>
      </c>
      <c r="Q4488" s="15" t="s">
        <v>1089</v>
      </c>
      <c r="R4488" s="16" t="s">
        <v>24520</v>
      </c>
      <c r="S4488" s="15" t="s">
        <v>27593</v>
      </c>
      <c r="T4488" s="15" t="s">
        <v>27593</v>
      </c>
      <c r="U4488" s="21" t="s">
        <v>72</v>
      </c>
    </row>
    <row r="4489" customFormat="false" ht="15" hidden="false" customHeight="false" outlineLevel="0" collapsed="false">
      <c r="A4489" s="15" t="s">
        <v>27359</v>
      </c>
      <c r="B4489" s="15" t="s">
        <v>27594</v>
      </c>
      <c r="C4489" s="14" t="s">
        <v>27595</v>
      </c>
      <c r="D4489" s="14" t="s">
        <v>27596</v>
      </c>
      <c r="E4489" s="16" t="s">
        <v>27597</v>
      </c>
      <c r="F4489" s="16"/>
      <c r="G4489" s="23" t="s">
        <v>43</v>
      </c>
      <c r="H4489" s="18" t="n">
        <v>2</v>
      </c>
      <c r="I4489" s="20" t="n">
        <v>40.9</v>
      </c>
      <c r="J4489" s="20" t="n">
        <v>65.44</v>
      </c>
      <c r="K4489" s="18" t="n">
        <v>4</v>
      </c>
      <c r="L4489" s="18" t="n">
        <v>1</v>
      </c>
      <c r="M4489" s="18" t="n">
        <v>60</v>
      </c>
      <c r="N4489" s="18" t="n">
        <v>60</v>
      </c>
      <c r="O4489" s="14" t="s">
        <v>17859</v>
      </c>
      <c r="P4489" s="14" t="s">
        <v>118</v>
      </c>
      <c r="Q4489" s="15" t="s">
        <v>1089</v>
      </c>
      <c r="R4489" s="16" t="s">
        <v>7966</v>
      </c>
      <c r="S4489" s="15" t="s">
        <v>27598</v>
      </c>
      <c r="T4489" s="15" t="s">
        <v>27598</v>
      </c>
      <c r="U4489" s="21" t="s">
        <v>72</v>
      </c>
    </row>
    <row r="4490" customFormat="false" ht="26.85" hidden="false" customHeight="false" outlineLevel="0" collapsed="false">
      <c r="A4490" s="15" t="s">
        <v>27359</v>
      </c>
      <c r="B4490" s="15" t="s">
        <v>27594</v>
      </c>
      <c r="C4490" s="14" t="s">
        <v>27599</v>
      </c>
      <c r="D4490" s="14" t="s">
        <v>27600</v>
      </c>
      <c r="E4490" s="16" t="s">
        <v>27601</v>
      </c>
      <c r="F4490" s="16" t="s">
        <v>27602</v>
      </c>
      <c r="G4490" s="23" t="s">
        <v>43</v>
      </c>
      <c r="H4490" s="18" t="n">
        <v>4</v>
      </c>
      <c r="I4490" s="20" t="n">
        <v>40.8</v>
      </c>
      <c r="J4490" s="20" t="n">
        <v>107.19</v>
      </c>
      <c r="K4490" s="18" t="n">
        <v>8</v>
      </c>
      <c r="L4490" s="18" t="n">
        <v>6</v>
      </c>
      <c r="M4490" s="18" t="n">
        <v>128</v>
      </c>
      <c r="N4490" s="18" t="n">
        <v>16</v>
      </c>
      <c r="O4490" s="14" t="s">
        <v>1126</v>
      </c>
      <c r="P4490" s="14" t="s">
        <v>12949</v>
      </c>
      <c r="Q4490" s="15" t="s">
        <v>1089</v>
      </c>
      <c r="R4490" s="16" t="s">
        <v>27603</v>
      </c>
      <c r="S4490" s="15" t="s">
        <v>5393</v>
      </c>
      <c r="T4490" s="15" t="s">
        <v>5393</v>
      </c>
      <c r="U4490" s="21" t="s">
        <v>72</v>
      </c>
    </row>
    <row r="4491" customFormat="false" ht="15" hidden="false" customHeight="false" outlineLevel="0" collapsed="false">
      <c r="A4491" s="15" t="s">
        <v>27359</v>
      </c>
      <c r="B4491" s="15" t="s">
        <v>27594</v>
      </c>
      <c r="C4491" s="14" t="s">
        <v>27604</v>
      </c>
      <c r="D4491" s="14" t="s">
        <v>27605</v>
      </c>
      <c r="E4491" s="16" t="s">
        <v>27606</v>
      </c>
      <c r="F4491" s="16" t="s">
        <v>27607</v>
      </c>
      <c r="G4491" s="23" t="s">
        <v>43</v>
      </c>
      <c r="H4491" s="18" t="n">
        <v>4</v>
      </c>
      <c r="I4491" s="20" t="n">
        <v>113.9</v>
      </c>
      <c r="J4491" s="20" t="n">
        <v>177.45</v>
      </c>
      <c r="K4491" s="18" t="n">
        <v>8</v>
      </c>
      <c r="L4491" s="18" t="n">
        <v>4</v>
      </c>
      <c r="M4491" s="18" t="n">
        <v>232</v>
      </c>
      <c r="N4491" s="18" t="n">
        <v>116</v>
      </c>
      <c r="O4491" s="14" t="s">
        <v>6448</v>
      </c>
      <c r="P4491" s="14" t="s">
        <v>118</v>
      </c>
      <c r="Q4491" s="15" t="s">
        <v>1089</v>
      </c>
      <c r="R4491" s="16" t="s">
        <v>27608</v>
      </c>
      <c r="S4491" s="15" t="s">
        <v>27609</v>
      </c>
      <c r="T4491" s="15" t="s">
        <v>27609</v>
      </c>
      <c r="U4491" s="21" t="s">
        <v>72</v>
      </c>
    </row>
    <row r="4492" customFormat="false" ht="15" hidden="false" customHeight="false" outlineLevel="0" collapsed="false">
      <c r="A4492" s="15" t="s">
        <v>27359</v>
      </c>
      <c r="B4492" s="15" t="s">
        <v>27594</v>
      </c>
      <c r="C4492" s="14" t="s">
        <v>27610</v>
      </c>
      <c r="D4492" s="14" t="s">
        <v>27611</v>
      </c>
      <c r="E4492" s="16" t="s">
        <v>27612</v>
      </c>
      <c r="F4492" s="16" t="s">
        <v>27613</v>
      </c>
      <c r="G4492" s="25" t="s">
        <v>39</v>
      </c>
      <c r="H4492" s="18" t="n">
        <v>8</v>
      </c>
      <c r="I4492" s="20" t="n">
        <v>190.93</v>
      </c>
      <c r="J4492" s="20" t="n">
        <v>308.3</v>
      </c>
      <c r="K4492" s="18" t="n">
        <v>23</v>
      </c>
      <c r="L4492" s="18" t="n">
        <v>7</v>
      </c>
      <c r="M4492" s="18" t="n">
        <v>345</v>
      </c>
      <c r="N4492" s="18" t="n">
        <v>165</v>
      </c>
      <c r="O4492" s="14" t="s">
        <v>1126</v>
      </c>
      <c r="P4492" s="14" t="s">
        <v>118</v>
      </c>
      <c r="Q4492" s="15" t="s">
        <v>1089</v>
      </c>
      <c r="R4492" s="16" t="s">
        <v>27614</v>
      </c>
      <c r="S4492" s="15" t="s">
        <v>27615</v>
      </c>
      <c r="T4492" s="15" t="s">
        <v>27615</v>
      </c>
      <c r="U4492" s="21" t="s">
        <v>72</v>
      </c>
    </row>
    <row r="4493" customFormat="false" ht="15" hidden="false" customHeight="false" outlineLevel="0" collapsed="false">
      <c r="A4493" s="15" t="s">
        <v>27359</v>
      </c>
      <c r="B4493" s="15" t="s">
        <v>27594</v>
      </c>
      <c r="C4493" s="14" t="s">
        <v>27616</v>
      </c>
      <c r="D4493" s="14" t="s">
        <v>27617</v>
      </c>
      <c r="E4493" s="16" t="s">
        <v>27618</v>
      </c>
      <c r="F4493" s="16"/>
      <c r="G4493" s="23" t="s">
        <v>43</v>
      </c>
      <c r="H4493" s="18" t="n">
        <v>2</v>
      </c>
      <c r="I4493" s="20" t="n">
        <v>72</v>
      </c>
      <c r="J4493" s="20" t="n">
        <v>116.69</v>
      </c>
      <c r="K4493" s="18" t="n">
        <v>8</v>
      </c>
      <c r="L4493" s="18" t="n">
        <v>5</v>
      </c>
      <c r="M4493" s="18" t="n">
        <v>220</v>
      </c>
      <c r="N4493" s="18" t="n">
        <v>58</v>
      </c>
      <c r="O4493" s="14" t="s">
        <v>1088</v>
      </c>
      <c r="P4493" s="14" t="s">
        <v>118</v>
      </c>
      <c r="Q4493" s="15" t="s">
        <v>1089</v>
      </c>
      <c r="R4493" s="16" t="s">
        <v>27619</v>
      </c>
      <c r="S4493" s="15" t="s">
        <v>27620</v>
      </c>
      <c r="T4493" s="15" t="s">
        <v>27620</v>
      </c>
      <c r="U4493" s="21" t="s">
        <v>72</v>
      </c>
    </row>
    <row r="4494" customFormat="false" ht="15" hidden="false" customHeight="false" outlineLevel="0" collapsed="false">
      <c r="A4494" s="15" t="s">
        <v>27359</v>
      </c>
      <c r="B4494" s="15" t="s">
        <v>27594</v>
      </c>
      <c r="C4494" s="14" t="s">
        <v>27621</v>
      </c>
      <c r="D4494" s="14" t="s">
        <v>27622</v>
      </c>
      <c r="E4494" s="16" t="s">
        <v>27623</v>
      </c>
      <c r="F4494" s="16"/>
      <c r="G4494" s="19" t="s">
        <v>41</v>
      </c>
      <c r="H4494" s="18" t="n">
        <v>6</v>
      </c>
      <c r="I4494" s="20" t="n">
        <v>183</v>
      </c>
      <c r="J4494" s="20" t="n">
        <v>348.83</v>
      </c>
      <c r="K4494" s="18" t="n">
        <v>4</v>
      </c>
      <c r="L4494" s="18" t="n">
        <v>3</v>
      </c>
      <c r="M4494" s="18" t="n">
        <v>80</v>
      </c>
      <c r="N4494" s="18" t="n">
        <v>40</v>
      </c>
      <c r="O4494" s="14" t="s">
        <v>1097</v>
      </c>
      <c r="P4494" s="14" t="s">
        <v>118</v>
      </c>
      <c r="Q4494" s="15" t="s">
        <v>1089</v>
      </c>
      <c r="R4494" s="16" t="s">
        <v>12923</v>
      </c>
      <c r="S4494" s="15" t="s">
        <v>27624</v>
      </c>
      <c r="T4494" s="15" t="s">
        <v>27624</v>
      </c>
      <c r="U4494" s="21" t="s">
        <v>72</v>
      </c>
    </row>
    <row r="4495" customFormat="false" ht="15" hidden="false" customHeight="false" outlineLevel="0" collapsed="false">
      <c r="A4495" s="15" t="s">
        <v>27359</v>
      </c>
      <c r="B4495" s="15" t="s">
        <v>27594</v>
      </c>
      <c r="C4495" s="14" t="s">
        <v>27625</v>
      </c>
      <c r="D4495" s="14" t="s">
        <v>27626</v>
      </c>
      <c r="E4495" s="16" t="s">
        <v>27627</v>
      </c>
      <c r="F4495" s="16" t="s">
        <v>27628</v>
      </c>
      <c r="G4495" s="23" t="s">
        <v>43</v>
      </c>
      <c r="H4495" s="18" t="n">
        <v>3</v>
      </c>
      <c r="I4495" s="20" t="n">
        <v>38.02</v>
      </c>
      <c r="J4495" s="20" t="n">
        <v>105.15</v>
      </c>
      <c r="K4495" s="18" t="n">
        <v>13</v>
      </c>
      <c r="L4495" s="18" t="n">
        <v>3</v>
      </c>
      <c r="M4495" s="18" t="n">
        <v>243</v>
      </c>
      <c r="N4495" s="18" t="n">
        <v>30</v>
      </c>
      <c r="O4495" s="14" t="s">
        <v>17859</v>
      </c>
      <c r="P4495" s="14" t="s">
        <v>118</v>
      </c>
      <c r="Q4495" s="15" t="s">
        <v>1089</v>
      </c>
      <c r="R4495" s="16" t="s">
        <v>21781</v>
      </c>
      <c r="S4495" s="15" t="s">
        <v>27629</v>
      </c>
      <c r="T4495" s="15" t="s">
        <v>27629</v>
      </c>
      <c r="U4495" s="21" t="s">
        <v>72</v>
      </c>
    </row>
    <row r="4496" customFormat="false" ht="15" hidden="false" customHeight="false" outlineLevel="0" collapsed="false">
      <c r="A4496" s="15" t="s">
        <v>27359</v>
      </c>
      <c r="B4496" s="15" t="s">
        <v>27594</v>
      </c>
      <c r="C4496" s="14" t="s">
        <v>27630</v>
      </c>
      <c r="D4496" s="14" t="s">
        <v>27631</v>
      </c>
      <c r="E4496" s="16" t="s">
        <v>27632</v>
      </c>
      <c r="F4496" s="16" t="s">
        <v>27633</v>
      </c>
      <c r="G4496" s="19" t="s">
        <v>41</v>
      </c>
      <c r="H4496" s="18" t="n">
        <v>5</v>
      </c>
      <c r="I4496" s="20" t="n">
        <v>155.95</v>
      </c>
      <c r="J4496" s="20" t="n">
        <v>316.88</v>
      </c>
      <c r="K4496" s="18" t="n">
        <v>9</v>
      </c>
      <c r="L4496" s="18" t="n">
        <v>9</v>
      </c>
      <c r="M4496" s="18" t="n">
        <v>183</v>
      </c>
      <c r="N4496" s="18" t="n">
        <v>43</v>
      </c>
      <c r="O4496" s="14" t="s">
        <v>25253</v>
      </c>
      <c r="P4496" s="14" t="s">
        <v>118</v>
      </c>
      <c r="Q4496" s="15" t="s">
        <v>1089</v>
      </c>
      <c r="R4496" s="16" t="s">
        <v>16990</v>
      </c>
      <c r="S4496" s="15" t="s">
        <v>27634</v>
      </c>
      <c r="T4496" s="15" t="s">
        <v>27635</v>
      </c>
      <c r="U4496" s="21" t="s">
        <v>72</v>
      </c>
    </row>
    <row r="4497" customFormat="false" ht="15" hidden="false" customHeight="false" outlineLevel="0" collapsed="false">
      <c r="A4497" s="15" t="s">
        <v>27359</v>
      </c>
      <c r="B4497" s="15" t="s">
        <v>27594</v>
      </c>
      <c r="C4497" s="14" t="s">
        <v>27636</v>
      </c>
      <c r="D4497" s="14" t="s">
        <v>27637</v>
      </c>
      <c r="E4497" s="16" t="s">
        <v>27638</v>
      </c>
      <c r="F4497" s="16" t="s">
        <v>27639</v>
      </c>
      <c r="G4497" s="23" t="s">
        <v>43</v>
      </c>
      <c r="H4497" s="18" t="n">
        <v>4</v>
      </c>
      <c r="I4497" s="20" t="n">
        <v>150.92</v>
      </c>
      <c r="J4497" s="20" t="n">
        <v>194.42</v>
      </c>
      <c r="K4497" s="18" t="n">
        <v>6</v>
      </c>
      <c r="L4497" s="18" t="n">
        <v>3</v>
      </c>
      <c r="M4497" s="18" t="n">
        <v>90</v>
      </c>
      <c r="N4497" s="18" t="n">
        <v>30</v>
      </c>
      <c r="O4497" s="14" t="s">
        <v>1097</v>
      </c>
      <c r="P4497" s="14" t="s">
        <v>118</v>
      </c>
      <c r="Q4497" s="15" t="s">
        <v>1089</v>
      </c>
      <c r="R4497" s="16" t="s">
        <v>27640</v>
      </c>
      <c r="S4497" s="15" t="s">
        <v>27641</v>
      </c>
      <c r="T4497" s="15" t="s">
        <v>27641</v>
      </c>
      <c r="U4497" s="21" t="s">
        <v>72</v>
      </c>
    </row>
    <row r="4498" customFormat="false" ht="15" hidden="false" customHeight="false" outlineLevel="0" collapsed="false">
      <c r="A4498" s="15" t="s">
        <v>27359</v>
      </c>
      <c r="B4498" s="15" t="s">
        <v>27594</v>
      </c>
      <c r="C4498" s="14" t="s">
        <v>27642</v>
      </c>
      <c r="D4498" s="14" t="s">
        <v>27643</v>
      </c>
      <c r="E4498" s="16" t="s">
        <v>27644</v>
      </c>
      <c r="F4498" s="16" t="s">
        <v>27645</v>
      </c>
      <c r="G4498" s="23" t="s">
        <v>43</v>
      </c>
      <c r="H4498" s="18" t="n">
        <v>1</v>
      </c>
      <c r="I4498" s="20" t="n">
        <v>33</v>
      </c>
      <c r="J4498" s="20" t="n">
        <v>49</v>
      </c>
      <c r="K4498" s="18" t="n">
        <v>2</v>
      </c>
      <c r="L4498" s="18" t="n">
        <v>1</v>
      </c>
      <c r="M4498" s="18" t="n">
        <v>40</v>
      </c>
      <c r="N4498" s="18" t="n">
        <v>20</v>
      </c>
      <c r="O4498" s="14" t="s">
        <v>1097</v>
      </c>
      <c r="P4498" s="14" t="s">
        <v>118</v>
      </c>
      <c r="Q4498" s="15" t="s">
        <v>1089</v>
      </c>
      <c r="R4498" s="16" t="s">
        <v>1977</v>
      </c>
      <c r="S4498" s="15" t="s">
        <v>27646</v>
      </c>
      <c r="T4498" s="15" t="s">
        <v>27646</v>
      </c>
      <c r="U4498" s="21" t="s">
        <v>72</v>
      </c>
    </row>
    <row r="4499" customFormat="false" ht="15" hidden="false" customHeight="false" outlineLevel="0" collapsed="false">
      <c r="A4499" s="15" t="s">
        <v>27359</v>
      </c>
      <c r="B4499" s="15" t="s">
        <v>27647</v>
      </c>
      <c r="C4499" s="14" t="s">
        <v>27648</v>
      </c>
      <c r="D4499" s="14" t="s">
        <v>27649</v>
      </c>
      <c r="E4499" s="16" t="s">
        <v>27650</v>
      </c>
      <c r="F4499" s="16" t="s">
        <v>27651</v>
      </c>
      <c r="G4499" s="23" t="s">
        <v>43</v>
      </c>
      <c r="H4499" s="18" t="n">
        <v>3</v>
      </c>
      <c r="I4499" s="20" t="n">
        <v>50</v>
      </c>
      <c r="J4499" s="20" t="n">
        <v>149.5</v>
      </c>
      <c r="K4499" s="18" t="n">
        <v>8</v>
      </c>
      <c r="L4499" s="18" t="n">
        <v>3</v>
      </c>
      <c r="M4499" s="18" t="n">
        <v>160</v>
      </c>
      <c r="N4499" s="18" t="n">
        <v>40</v>
      </c>
      <c r="O4499" s="14" t="s">
        <v>1097</v>
      </c>
      <c r="P4499" s="14" t="s">
        <v>118</v>
      </c>
      <c r="Q4499" s="15" t="s">
        <v>1089</v>
      </c>
      <c r="R4499" s="16" t="s">
        <v>11991</v>
      </c>
      <c r="S4499" s="15" t="s">
        <v>27652</v>
      </c>
      <c r="T4499" s="15" t="s">
        <v>27653</v>
      </c>
      <c r="U4499" s="21" t="s">
        <v>72</v>
      </c>
    </row>
    <row r="4500" customFormat="false" ht="15" hidden="false" customHeight="false" outlineLevel="0" collapsed="false">
      <c r="A4500" s="15" t="s">
        <v>27359</v>
      </c>
      <c r="B4500" s="15" t="s">
        <v>27647</v>
      </c>
      <c r="C4500" s="14" t="s">
        <v>27654</v>
      </c>
      <c r="D4500" s="14" t="s">
        <v>27655</v>
      </c>
      <c r="E4500" s="16" t="s">
        <v>27656</v>
      </c>
      <c r="F4500" s="16" t="s">
        <v>27657</v>
      </c>
      <c r="G4500" s="23" t="s">
        <v>43</v>
      </c>
      <c r="H4500" s="18" t="n">
        <v>2</v>
      </c>
      <c r="I4500" s="20" t="n">
        <v>73</v>
      </c>
      <c r="J4500" s="20" t="n">
        <v>168</v>
      </c>
      <c r="K4500" s="18" t="n">
        <v>30</v>
      </c>
      <c r="L4500" s="18" t="n">
        <v>5</v>
      </c>
      <c r="M4500" s="18" t="n">
        <v>600</v>
      </c>
      <c r="N4500" s="18" t="n">
        <v>120</v>
      </c>
      <c r="O4500" s="14" t="s">
        <v>1097</v>
      </c>
      <c r="P4500" s="14" t="s">
        <v>118</v>
      </c>
      <c r="Q4500" s="15" t="s">
        <v>1089</v>
      </c>
      <c r="R4500" s="16" t="s">
        <v>27658</v>
      </c>
      <c r="S4500" s="15" t="s">
        <v>27439</v>
      </c>
      <c r="T4500" s="15" t="s">
        <v>27439</v>
      </c>
      <c r="U4500" s="21" t="s">
        <v>72</v>
      </c>
    </row>
    <row r="4501" customFormat="false" ht="15" hidden="false" customHeight="false" outlineLevel="0" collapsed="false">
      <c r="A4501" s="15" t="s">
        <v>27359</v>
      </c>
      <c r="B4501" s="15" t="s">
        <v>27647</v>
      </c>
      <c r="C4501" s="14" t="s">
        <v>27659</v>
      </c>
      <c r="D4501" s="14" t="s">
        <v>27660</v>
      </c>
      <c r="E4501" s="16" t="s">
        <v>27661</v>
      </c>
      <c r="F4501" s="16" t="s">
        <v>27662</v>
      </c>
      <c r="G4501" s="23" t="s">
        <v>43</v>
      </c>
      <c r="H4501" s="18" t="n">
        <v>1</v>
      </c>
      <c r="I4501" s="20" t="n">
        <v>36.85</v>
      </c>
      <c r="J4501" s="20" t="n">
        <v>41.26</v>
      </c>
      <c r="K4501" s="18" t="n">
        <v>3</v>
      </c>
      <c r="L4501" s="18" t="n">
        <v>1</v>
      </c>
      <c r="M4501" s="18" t="n">
        <v>60</v>
      </c>
      <c r="N4501" s="18" t="n">
        <v>60</v>
      </c>
      <c r="O4501" s="14" t="s">
        <v>1088</v>
      </c>
      <c r="P4501" s="14" t="s">
        <v>84</v>
      </c>
      <c r="Q4501" s="15" t="s">
        <v>1089</v>
      </c>
      <c r="R4501" s="16" t="s">
        <v>23194</v>
      </c>
      <c r="S4501" s="15" t="s">
        <v>27663</v>
      </c>
      <c r="T4501" s="15" t="s">
        <v>27663</v>
      </c>
      <c r="U4501" s="21" t="s">
        <v>72</v>
      </c>
    </row>
    <row r="4502" customFormat="false" ht="26.85" hidden="false" customHeight="false" outlineLevel="0" collapsed="false">
      <c r="A4502" s="15" t="s">
        <v>27359</v>
      </c>
      <c r="B4502" s="15" t="s">
        <v>27647</v>
      </c>
      <c r="C4502" s="14" t="s">
        <v>27664</v>
      </c>
      <c r="D4502" s="14" t="s">
        <v>27665</v>
      </c>
      <c r="E4502" s="16" t="s">
        <v>27666</v>
      </c>
      <c r="F4502" s="16" t="s">
        <v>27667</v>
      </c>
      <c r="G4502" s="19" t="s">
        <v>41</v>
      </c>
      <c r="H4502" s="18" t="n">
        <v>6</v>
      </c>
      <c r="I4502" s="20" t="n">
        <v>235.4</v>
      </c>
      <c r="J4502" s="20" t="n">
        <v>354.49</v>
      </c>
      <c r="K4502" s="18" t="n">
        <v>17</v>
      </c>
      <c r="L4502" s="18" t="n">
        <v>45</v>
      </c>
      <c r="M4502" s="18" t="n">
        <v>330</v>
      </c>
      <c r="N4502" s="18" t="n">
        <v>20</v>
      </c>
      <c r="O4502" s="14" t="s">
        <v>1088</v>
      </c>
      <c r="P4502" s="14" t="s">
        <v>27668</v>
      </c>
      <c r="Q4502" s="15" t="s">
        <v>1089</v>
      </c>
      <c r="R4502" s="16" t="s">
        <v>27669</v>
      </c>
      <c r="S4502" s="15" t="s">
        <v>27670</v>
      </c>
      <c r="T4502" s="15" t="s">
        <v>27671</v>
      </c>
      <c r="U4502" s="21" t="s">
        <v>72</v>
      </c>
    </row>
    <row r="4503" customFormat="false" ht="15" hidden="false" customHeight="false" outlineLevel="0" collapsed="false">
      <c r="A4503" s="15" t="s">
        <v>27359</v>
      </c>
      <c r="B4503" s="15" t="s">
        <v>27647</v>
      </c>
      <c r="C4503" s="14" t="s">
        <v>27672</v>
      </c>
      <c r="D4503" s="14" t="s">
        <v>27673</v>
      </c>
      <c r="E4503" s="16" t="s">
        <v>27674</v>
      </c>
      <c r="F4503" s="16"/>
      <c r="G4503" s="23" t="s">
        <v>43</v>
      </c>
      <c r="H4503" s="18" t="n">
        <v>2</v>
      </c>
      <c r="I4503" s="20" t="n">
        <v>102.83</v>
      </c>
      <c r="J4503" s="20" t="n">
        <v>163.89</v>
      </c>
      <c r="K4503" s="18" t="n">
        <v>4</v>
      </c>
      <c r="L4503" s="18" t="n">
        <v>1</v>
      </c>
      <c r="M4503" s="18" t="n">
        <v>64</v>
      </c>
      <c r="N4503" s="18" t="n">
        <v>64</v>
      </c>
      <c r="O4503" s="14" t="s">
        <v>1126</v>
      </c>
      <c r="P4503" s="14" t="s">
        <v>84</v>
      </c>
      <c r="Q4503" s="15" t="s">
        <v>1089</v>
      </c>
      <c r="R4503" s="16" t="s">
        <v>27675</v>
      </c>
      <c r="S4503" s="15" t="s">
        <v>27676</v>
      </c>
      <c r="T4503" s="15" t="s">
        <v>27676</v>
      </c>
      <c r="U4503" s="21" t="s">
        <v>72</v>
      </c>
    </row>
    <row r="4504" customFormat="false" ht="15" hidden="false" customHeight="false" outlineLevel="0" collapsed="false">
      <c r="A4504" s="15" t="s">
        <v>27359</v>
      </c>
      <c r="B4504" s="15" t="s">
        <v>27647</v>
      </c>
      <c r="C4504" s="14" t="s">
        <v>27677</v>
      </c>
      <c r="D4504" s="14" t="s">
        <v>27678</v>
      </c>
      <c r="E4504" s="16" t="s">
        <v>27679</v>
      </c>
      <c r="F4504" s="16" t="s">
        <v>27680</v>
      </c>
      <c r="G4504" s="25" t="s">
        <v>39</v>
      </c>
      <c r="H4504" s="18" t="n">
        <v>8</v>
      </c>
      <c r="I4504" s="20" t="n">
        <v>171</v>
      </c>
      <c r="J4504" s="20" t="n">
        <v>361.08</v>
      </c>
      <c r="K4504" s="18" t="n">
        <v>27</v>
      </c>
      <c r="L4504" s="18" t="n">
        <v>9</v>
      </c>
      <c r="M4504" s="18" t="n">
        <v>405</v>
      </c>
      <c r="N4504" s="18" t="n">
        <v>135</v>
      </c>
      <c r="O4504" s="14" t="s">
        <v>27681</v>
      </c>
      <c r="P4504" s="14" t="s">
        <v>334</v>
      </c>
      <c r="Q4504" s="15" t="s">
        <v>1089</v>
      </c>
      <c r="R4504" s="16" t="s">
        <v>27682</v>
      </c>
      <c r="S4504" s="15" t="s">
        <v>27683</v>
      </c>
      <c r="T4504" s="15" t="s">
        <v>27683</v>
      </c>
      <c r="U4504" s="21" t="s">
        <v>72</v>
      </c>
    </row>
    <row r="4505" customFormat="false" ht="15" hidden="false" customHeight="false" outlineLevel="0" collapsed="false">
      <c r="A4505" s="15" t="s">
        <v>27359</v>
      </c>
      <c r="B4505" s="15" t="s">
        <v>27647</v>
      </c>
      <c r="C4505" s="14" t="s">
        <v>27684</v>
      </c>
      <c r="D4505" s="14" t="s">
        <v>27685</v>
      </c>
      <c r="E4505" s="16" t="s">
        <v>27686</v>
      </c>
      <c r="F4505" s="16" t="s">
        <v>27687</v>
      </c>
      <c r="G4505" s="19" t="s">
        <v>41</v>
      </c>
      <c r="H4505" s="18" t="n">
        <v>7</v>
      </c>
      <c r="I4505" s="20" t="n">
        <v>302</v>
      </c>
      <c r="J4505" s="20" t="n">
        <v>327.36</v>
      </c>
      <c r="K4505" s="18" t="n">
        <v>36</v>
      </c>
      <c r="L4505" s="18" t="n">
        <v>8</v>
      </c>
      <c r="M4505" s="18" t="n">
        <v>652</v>
      </c>
      <c r="N4505" s="18" t="n">
        <v>144</v>
      </c>
      <c r="O4505" s="14" t="s">
        <v>1126</v>
      </c>
      <c r="P4505" s="14" t="s">
        <v>334</v>
      </c>
      <c r="Q4505" s="15" t="s">
        <v>1089</v>
      </c>
      <c r="R4505" s="16" t="s">
        <v>27688</v>
      </c>
      <c r="S4505" s="15" t="s">
        <v>27689</v>
      </c>
      <c r="T4505" s="15" t="s">
        <v>27689</v>
      </c>
      <c r="U4505" s="21" t="s">
        <v>72</v>
      </c>
    </row>
    <row r="4506" customFormat="false" ht="15" hidden="false" customHeight="false" outlineLevel="0" collapsed="false">
      <c r="A4506" s="15" t="s">
        <v>27359</v>
      </c>
      <c r="B4506" s="15" t="s">
        <v>27647</v>
      </c>
      <c r="C4506" s="14" t="s">
        <v>27690</v>
      </c>
      <c r="D4506" s="14" t="s">
        <v>27691</v>
      </c>
      <c r="E4506" s="16" t="s">
        <v>27692</v>
      </c>
      <c r="F4506" s="16"/>
      <c r="G4506" s="19" t="s">
        <v>41</v>
      </c>
      <c r="H4506" s="18" t="n">
        <v>7</v>
      </c>
      <c r="I4506" s="20" t="n">
        <v>199.38</v>
      </c>
      <c r="J4506" s="20" t="n">
        <v>250.02</v>
      </c>
      <c r="K4506" s="18" t="n">
        <v>38</v>
      </c>
      <c r="L4506" s="18" t="n">
        <v>2</v>
      </c>
      <c r="M4506" s="18" t="n">
        <v>752</v>
      </c>
      <c r="N4506" s="18" t="n">
        <v>162</v>
      </c>
      <c r="O4506" s="14" t="s">
        <v>1126</v>
      </c>
      <c r="P4506" s="14" t="s">
        <v>118</v>
      </c>
      <c r="Q4506" s="15" t="s">
        <v>1089</v>
      </c>
      <c r="R4506" s="16" t="s">
        <v>27693</v>
      </c>
      <c r="S4506" s="15" t="s">
        <v>27694</v>
      </c>
      <c r="T4506" s="15" t="s">
        <v>27695</v>
      </c>
      <c r="U4506" s="21" t="s">
        <v>72</v>
      </c>
    </row>
    <row r="4507" customFormat="false" ht="15" hidden="false" customHeight="false" outlineLevel="0" collapsed="false">
      <c r="A4507" s="15" t="s">
        <v>27359</v>
      </c>
      <c r="B4507" s="15" t="s">
        <v>27647</v>
      </c>
      <c r="C4507" s="14" t="s">
        <v>27696</v>
      </c>
      <c r="D4507" s="14" t="s">
        <v>27697</v>
      </c>
      <c r="E4507" s="16" t="s">
        <v>27698</v>
      </c>
      <c r="F4507" s="16"/>
      <c r="G4507" s="19" t="s">
        <v>41</v>
      </c>
      <c r="H4507" s="18" t="n">
        <v>5</v>
      </c>
      <c r="I4507" s="20" t="n">
        <v>178.56</v>
      </c>
      <c r="J4507" s="20" t="n">
        <v>259.7</v>
      </c>
      <c r="K4507" s="18" t="n">
        <v>8</v>
      </c>
      <c r="L4507" s="18" t="n">
        <v>5</v>
      </c>
      <c r="M4507" s="18" t="n">
        <v>196</v>
      </c>
      <c r="N4507" s="18" t="n">
        <v>99</v>
      </c>
      <c r="O4507" s="14" t="s">
        <v>27699</v>
      </c>
      <c r="P4507" s="14" t="s">
        <v>118</v>
      </c>
      <c r="Q4507" s="15" t="s">
        <v>1089</v>
      </c>
      <c r="R4507" s="16" t="s">
        <v>27700</v>
      </c>
      <c r="S4507" s="15" t="s">
        <v>27701</v>
      </c>
      <c r="T4507" s="15" t="s">
        <v>27702</v>
      </c>
      <c r="U4507" s="21" t="s">
        <v>72</v>
      </c>
    </row>
    <row r="4508" customFormat="false" ht="15" hidden="false" customHeight="false" outlineLevel="0" collapsed="false">
      <c r="A4508" s="15" t="s">
        <v>27359</v>
      </c>
      <c r="B4508" s="15" t="s">
        <v>27647</v>
      </c>
      <c r="C4508" s="14" t="s">
        <v>27703</v>
      </c>
      <c r="D4508" s="14" t="s">
        <v>27704</v>
      </c>
      <c r="E4508" s="16" t="s">
        <v>27698</v>
      </c>
      <c r="F4508" s="16" t="s">
        <v>27705</v>
      </c>
      <c r="G4508" s="25" t="s">
        <v>39</v>
      </c>
      <c r="H4508" s="18" t="n">
        <v>7</v>
      </c>
      <c r="I4508" s="20" t="n">
        <v>236.56</v>
      </c>
      <c r="J4508" s="20" t="n">
        <v>551.08</v>
      </c>
      <c r="K4508" s="18" t="n">
        <v>10</v>
      </c>
      <c r="L4508" s="18" t="n">
        <v>6</v>
      </c>
      <c r="M4508" s="18" t="n">
        <v>280</v>
      </c>
      <c r="N4508" s="18" t="n">
        <v>224</v>
      </c>
      <c r="O4508" s="14" t="s">
        <v>27706</v>
      </c>
      <c r="P4508" s="14" t="s">
        <v>118</v>
      </c>
      <c r="Q4508" s="15" t="s">
        <v>1089</v>
      </c>
      <c r="R4508" s="16" t="s">
        <v>9243</v>
      </c>
      <c r="S4508" s="15" t="s">
        <v>3819</v>
      </c>
      <c r="T4508" s="15" t="s">
        <v>3819</v>
      </c>
      <c r="U4508" s="21" t="s">
        <v>72</v>
      </c>
    </row>
    <row r="4509" customFormat="false" ht="15" hidden="false" customHeight="false" outlineLevel="0" collapsed="false">
      <c r="A4509" s="15" t="s">
        <v>27359</v>
      </c>
      <c r="B4509" s="15" t="s">
        <v>27647</v>
      </c>
      <c r="C4509" s="14" t="s">
        <v>27707</v>
      </c>
      <c r="D4509" s="14" t="s">
        <v>27708</v>
      </c>
      <c r="E4509" s="16" t="s">
        <v>27709</v>
      </c>
      <c r="F4509" s="16" t="s">
        <v>27710</v>
      </c>
      <c r="G4509" s="25" t="s">
        <v>39</v>
      </c>
      <c r="H4509" s="18" t="n">
        <v>3</v>
      </c>
      <c r="I4509" s="20" t="n">
        <v>112.86</v>
      </c>
      <c r="J4509" s="20" t="n">
        <v>461.7</v>
      </c>
      <c r="K4509" s="18" t="n">
        <v>16</v>
      </c>
      <c r="L4509" s="18" t="n">
        <v>6</v>
      </c>
      <c r="M4509" s="18" t="n">
        <v>192</v>
      </c>
      <c r="N4509" s="18" t="n">
        <v>12</v>
      </c>
      <c r="O4509" s="14" t="s">
        <v>1097</v>
      </c>
      <c r="P4509" s="14" t="s">
        <v>202</v>
      </c>
      <c r="Q4509" s="15" t="s">
        <v>1089</v>
      </c>
      <c r="R4509" s="16" t="s">
        <v>27711</v>
      </c>
      <c r="S4509" s="15" t="s">
        <v>27712</v>
      </c>
      <c r="T4509" s="15" t="s">
        <v>27713</v>
      </c>
      <c r="U4509" s="21" t="s">
        <v>72</v>
      </c>
    </row>
    <row r="4510" customFormat="false" ht="15" hidden="false" customHeight="false" outlineLevel="0" collapsed="false">
      <c r="A4510" s="15" t="s">
        <v>27359</v>
      </c>
      <c r="B4510" s="15" t="s">
        <v>27647</v>
      </c>
      <c r="C4510" s="14" t="s">
        <v>27714</v>
      </c>
      <c r="D4510" s="14" t="s">
        <v>27715</v>
      </c>
      <c r="E4510" s="16" t="s">
        <v>27716</v>
      </c>
      <c r="F4510" s="16"/>
      <c r="G4510" s="19" t="s">
        <v>41</v>
      </c>
      <c r="H4510" s="18" t="n">
        <v>7</v>
      </c>
      <c r="I4510" s="20" t="n">
        <v>93.96</v>
      </c>
      <c r="J4510" s="20" t="n">
        <v>225.9</v>
      </c>
      <c r="K4510" s="18" t="n">
        <v>4</v>
      </c>
      <c r="L4510" s="18" t="n">
        <v>1</v>
      </c>
      <c r="M4510" s="18" t="n">
        <v>51</v>
      </c>
      <c r="N4510" s="18" t="n">
        <v>15</v>
      </c>
      <c r="O4510" s="14" t="s">
        <v>1097</v>
      </c>
      <c r="P4510" s="14" t="s">
        <v>118</v>
      </c>
      <c r="Q4510" s="15" t="s">
        <v>1089</v>
      </c>
      <c r="R4510" s="16" t="s">
        <v>27717</v>
      </c>
      <c r="S4510" s="15" t="s">
        <v>27718</v>
      </c>
      <c r="T4510" s="15" t="s">
        <v>27718</v>
      </c>
      <c r="U4510" s="21" t="s">
        <v>72</v>
      </c>
    </row>
    <row r="4511" customFormat="false" ht="15" hidden="false" customHeight="false" outlineLevel="0" collapsed="false">
      <c r="A4511" s="15" t="s">
        <v>27359</v>
      </c>
      <c r="B4511" s="15" t="s">
        <v>27647</v>
      </c>
      <c r="C4511" s="14" t="s">
        <v>27719</v>
      </c>
      <c r="D4511" s="14" t="s">
        <v>27720</v>
      </c>
      <c r="E4511" s="16" t="s">
        <v>27721</v>
      </c>
      <c r="F4511" s="16" t="s">
        <v>27722</v>
      </c>
      <c r="G4511" s="19" t="s">
        <v>41</v>
      </c>
      <c r="H4511" s="18" t="n">
        <v>4</v>
      </c>
      <c r="I4511" s="20" t="n">
        <v>90</v>
      </c>
      <c r="J4511" s="20" t="n">
        <v>251.29</v>
      </c>
      <c r="K4511" s="18" t="n">
        <v>4</v>
      </c>
      <c r="L4511" s="18" t="n">
        <v>9</v>
      </c>
      <c r="M4511" s="18" t="n">
        <v>64</v>
      </c>
      <c r="N4511" s="18" t="n">
        <v>64</v>
      </c>
      <c r="O4511" s="14" t="s">
        <v>1088</v>
      </c>
      <c r="P4511" s="14" t="s">
        <v>84</v>
      </c>
      <c r="Q4511" s="15" t="s">
        <v>1089</v>
      </c>
      <c r="R4511" s="16" t="s">
        <v>24069</v>
      </c>
      <c r="S4511" s="15" t="s">
        <v>27723</v>
      </c>
      <c r="T4511" s="15" t="s">
        <v>27723</v>
      </c>
      <c r="U4511" s="21" t="s">
        <v>72</v>
      </c>
    </row>
    <row r="4512" customFormat="false" ht="15" hidden="false" customHeight="false" outlineLevel="0" collapsed="false">
      <c r="A4512" s="15" t="s">
        <v>27359</v>
      </c>
      <c r="B4512" s="15" t="s">
        <v>27647</v>
      </c>
      <c r="C4512" s="14" t="s">
        <v>27724</v>
      </c>
      <c r="D4512" s="14" t="s">
        <v>27725</v>
      </c>
      <c r="E4512" s="16" t="s">
        <v>27726</v>
      </c>
      <c r="F4512" s="16" t="s">
        <v>27727</v>
      </c>
      <c r="G4512" s="25" t="s">
        <v>39</v>
      </c>
      <c r="H4512" s="18" t="n">
        <v>11</v>
      </c>
      <c r="I4512" s="20" t="n">
        <v>386.32</v>
      </c>
      <c r="J4512" s="20" t="n">
        <v>1306.3</v>
      </c>
      <c r="K4512" s="18" t="n">
        <v>19</v>
      </c>
      <c r="L4512" s="18" t="n">
        <v>17</v>
      </c>
      <c r="M4512" s="18" t="n">
        <v>460</v>
      </c>
      <c r="N4512" s="18" t="n">
        <v>280</v>
      </c>
      <c r="O4512" s="14" t="s">
        <v>25298</v>
      </c>
      <c r="P4512" s="14" t="s">
        <v>84</v>
      </c>
      <c r="Q4512" s="15" t="s">
        <v>1089</v>
      </c>
      <c r="R4512" s="16" t="s">
        <v>15830</v>
      </c>
      <c r="S4512" s="15" t="s">
        <v>21234</v>
      </c>
      <c r="T4512" s="15" t="s">
        <v>27728</v>
      </c>
      <c r="U4512" s="21" t="s">
        <v>72</v>
      </c>
    </row>
    <row r="4513" customFormat="false" ht="26.85" hidden="false" customHeight="false" outlineLevel="0" collapsed="false">
      <c r="A4513" s="15" t="s">
        <v>27359</v>
      </c>
      <c r="B4513" s="15" t="s">
        <v>27647</v>
      </c>
      <c r="C4513" s="14" t="s">
        <v>27729</v>
      </c>
      <c r="D4513" s="14" t="s">
        <v>27730</v>
      </c>
      <c r="E4513" s="16" t="s">
        <v>27731</v>
      </c>
      <c r="F4513" s="16" t="s">
        <v>27732</v>
      </c>
      <c r="G4513" s="23" t="s">
        <v>43</v>
      </c>
      <c r="H4513" s="18" t="n">
        <v>3</v>
      </c>
      <c r="I4513" s="20" t="n">
        <v>55.86</v>
      </c>
      <c r="J4513" s="20" t="n">
        <v>169.51</v>
      </c>
      <c r="K4513" s="18" t="n">
        <v>12</v>
      </c>
      <c r="L4513" s="18" t="n">
        <v>4</v>
      </c>
      <c r="M4513" s="18" t="n">
        <v>147</v>
      </c>
      <c r="N4513" s="18" t="n">
        <v>147</v>
      </c>
      <c r="O4513" s="14" t="s">
        <v>27733</v>
      </c>
      <c r="P4513" s="14" t="s">
        <v>84</v>
      </c>
      <c r="Q4513" s="15" t="s">
        <v>1089</v>
      </c>
      <c r="R4513" s="16" t="s">
        <v>18815</v>
      </c>
      <c r="S4513" s="15" t="s">
        <v>27734</v>
      </c>
      <c r="T4513" s="15" t="s">
        <v>27735</v>
      </c>
      <c r="U4513" s="21" t="s">
        <v>72</v>
      </c>
    </row>
    <row r="4514" customFormat="false" ht="15" hidden="false" customHeight="false" outlineLevel="0" collapsed="false">
      <c r="A4514" s="15" t="s">
        <v>27359</v>
      </c>
      <c r="B4514" s="15" t="s">
        <v>27647</v>
      </c>
      <c r="C4514" s="14" t="s">
        <v>27736</v>
      </c>
      <c r="D4514" s="14" t="s">
        <v>27737</v>
      </c>
      <c r="E4514" s="16" t="s">
        <v>27738</v>
      </c>
      <c r="F4514" s="16" t="s">
        <v>27739</v>
      </c>
      <c r="G4514" s="25" t="s">
        <v>39</v>
      </c>
      <c r="H4514" s="18" t="n">
        <v>6</v>
      </c>
      <c r="I4514" s="20" t="n">
        <v>206.28</v>
      </c>
      <c r="J4514" s="20" t="n">
        <v>472.14</v>
      </c>
      <c r="K4514" s="18" t="n">
        <v>6</v>
      </c>
      <c r="L4514" s="18" t="n">
        <v>21</v>
      </c>
      <c r="M4514" s="18" t="n">
        <v>145</v>
      </c>
      <c r="N4514" s="18" t="n">
        <v>46</v>
      </c>
      <c r="O4514" s="14" t="s">
        <v>1126</v>
      </c>
      <c r="P4514" s="14" t="s">
        <v>1166</v>
      </c>
      <c r="Q4514" s="15" t="s">
        <v>1089</v>
      </c>
      <c r="R4514" s="16" t="s">
        <v>18781</v>
      </c>
      <c r="S4514" s="15" t="s">
        <v>17260</v>
      </c>
      <c r="T4514" s="15" t="s">
        <v>27740</v>
      </c>
      <c r="U4514" s="21" t="s">
        <v>72</v>
      </c>
    </row>
    <row r="4515" customFormat="false" ht="15" hidden="false" customHeight="false" outlineLevel="0" collapsed="false">
      <c r="A4515" s="15" t="s">
        <v>27359</v>
      </c>
      <c r="B4515" s="15" t="s">
        <v>27647</v>
      </c>
      <c r="C4515" s="14" t="s">
        <v>27741</v>
      </c>
      <c r="D4515" s="14" t="s">
        <v>27742</v>
      </c>
      <c r="E4515" s="16" t="s">
        <v>27743</v>
      </c>
      <c r="F4515" s="16" t="s">
        <v>27744</v>
      </c>
      <c r="G4515" s="23" t="s">
        <v>43</v>
      </c>
      <c r="H4515" s="18" t="n">
        <v>1</v>
      </c>
      <c r="I4515" s="20" t="n">
        <v>69.76</v>
      </c>
      <c r="J4515" s="20" t="n">
        <v>141.55</v>
      </c>
      <c r="K4515" s="18" t="n">
        <v>14</v>
      </c>
      <c r="L4515" s="18" t="n">
        <v>2</v>
      </c>
      <c r="M4515" s="18" t="n">
        <v>224</v>
      </c>
      <c r="N4515" s="18" t="n">
        <v>32</v>
      </c>
      <c r="O4515" s="14" t="s">
        <v>27745</v>
      </c>
      <c r="P4515" s="14" t="s">
        <v>118</v>
      </c>
      <c r="Q4515" s="15" t="s">
        <v>1089</v>
      </c>
      <c r="R4515" s="16" t="s">
        <v>27746</v>
      </c>
      <c r="S4515" s="15" t="s">
        <v>27747</v>
      </c>
      <c r="T4515" s="15" t="s">
        <v>27747</v>
      </c>
      <c r="U4515" s="21" t="s">
        <v>72</v>
      </c>
    </row>
    <row r="4516" customFormat="false" ht="15" hidden="false" customHeight="false" outlineLevel="0" collapsed="false">
      <c r="A4516" s="15" t="s">
        <v>27359</v>
      </c>
      <c r="B4516" s="15" t="s">
        <v>27647</v>
      </c>
      <c r="C4516" s="14" t="s">
        <v>27748</v>
      </c>
      <c r="D4516" s="14" t="s">
        <v>27749</v>
      </c>
      <c r="E4516" s="16" t="s">
        <v>27750</v>
      </c>
      <c r="F4516" s="16" t="s">
        <v>27751</v>
      </c>
      <c r="G4516" s="23" t="s">
        <v>43</v>
      </c>
      <c r="H4516" s="18" t="n">
        <v>2</v>
      </c>
      <c r="I4516" s="20" t="n">
        <v>64.393</v>
      </c>
      <c r="J4516" s="20" t="n">
        <v>158.45</v>
      </c>
      <c r="K4516" s="18" t="n">
        <v>16</v>
      </c>
      <c r="L4516" s="18" t="n">
        <v>3</v>
      </c>
      <c r="M4516" s="18" t="n">
        <v>560</v>
      </c>
      <c r="N4516" s="18" t="n">
        <v>140</v>
      </c>
      <c r="O4516" s="14" t="s">
        <v>9118</v>
      </c>
      <c r="P4516" s="14" t="s">
        <v>118</v>
      </c>
      <c r="Q4516" s="15" t="s">
        <v>1089</v>
      </c>
      <c r="R4516" s="16" t="s">
        <v>11489</v>
      </c>
      <c r="S4516" s="15" t="s">
        <v>27752</v>
      </c>
      <c r="T4516" s="15" t="s">
        <v>27752</v>
      </c>
      <c r="U4516" s="21" t="s">
        <v>72</v>
      </c>
    </row>
    <row r="4517" customFormat="false" ht="15" hidden="false" customHeight="false" outlineLevel="0" collapsed="false">
      <c r="A4517" s="15" t="s">
        <v>27359</v>
      </c>
      <c r="B4517" s="15" t="s">
        <v>27647</v>
      </c>
      <c r="C4517" s="14" t="s">
        <v>27753</v>
      </c>
      <c r="D4517" s="14" t="s">
        <v>27754</v>
      </c>
      <c r="E4517" s="16" t="s">
        <v>27755</v>
      </c>
      <c r="F4517" s="16" t="s">
        <v>27756</v>
      </c>
      <c r="G4517" s="23" t="s">
        <v>43</v>
      </c>
      <c r="H4517" s="18" t="n">
        <v>2</v>
      </c>
      <c r="I4517" s="20" t="n">
        <v>98.48</v>
      </c>
      <c r="J4517" s="20" t="n">
        <v>98.48</v>
      </c>
      <c r="K4517" s="18" t="n">
        <v>4</v>
      </c>
      <c r="L4517" s="18" t="n">
        <v>3</v>
      </c>
      <c r="M4517" s="18" t="n">
        <v>140</v>
      </c>
      <c r="N4517" s="18" t="n">
        <v>140</v>
      </c>
      <c r="O4517" s="14" t="s">
        <v>1088</v>
      </c>
      <c r="P4517" s="14" t="s">
        <v>84</v>
      </c>
      <c r="Q4517" s="15" t="s">
        <v>1089</v>
      </c>
      <c r="R4517" s="16" t="s">
        <v>18555</v>
      </c>
      <c r="S4517" s="15" t="s">
        <v>27757</v>
      </c>
      <c r="T4517" s="15" t="s">
        <v>27758</v>
      </c>
      <c r="U4517" s="21" t="s">
        <v>72</v>
      </c>
    </row>
    <row r="4518" customFormat="false" ht="15" hidden="false" customHeight="false" outlineLevel="0" collapsed="false">
      <c r="A4518" s="15" t="s">
        <v>27359</v>
      </c>
      <c r="B4518" s="15" t="s">
        <v>27647</v>
      </c>
      <c r="C4518" s="14" t="s">
        <v>27759</v>
      </c>
      <c r="D4518" s="14" t="s">
        <v>27760</v>
      </c>
      <c r="E4518" s="16" t="s">
        <v>27761</v>
      </c>
      <c r="F4518" s="16" t="s">
        <v>27762</v>
      </c>
      <c r="G4518" s="23" t="s">
        <v>43</v>
      </c>
      <c r="H4518" s="18" t="n">
        <v>4</v>
      </c>
      <c r="I4518" s="20" t="n">
        <v>104.09</v>
      </c>
      <c r="J4518" s="20" t="n">
        <v>167.29</v>
      </c>
      <c r="K4518" s="18" t="n">
        <v>4</v>
      </c>
      <c r="L4518" s="18" t="n">
        <v>2</v>
      </c>
      <c r="M4518" s="18" t="n">
        <v>48</v>
      </c>
      <c r="N4518" s="18" t="n">
        <v>24</v>
      </c>
      <c r="O4518" s="14" t="s">
        <v>1088</v>
      </c>
      <c r="P4518" s="14" t="s">
        <v>118</v>
      </c>
      <c r="Q4518" s="15" t="s">
        <v>1089</v>
      </c>
      <c r="R4518" s="16" t="s">
        <v>13414</v>
      </c>
      <c r="S4518" s="15" t="s">
        <v>27763</v>
      </c>
      <c r="T4518" s="15" t="s">
        <v>27763</v>
      </c>
      <c r="U4518" s="21" t="s">
        <v>72</v>
      </c>
    </row>
    <row r="4519" customFormat="false" ht="15" hidden="false" customHeight="false" outlineLevel="0" collapsed="false">
      <c r="A4519" s="15" t="s">
        <v>27359</v>
      </c>
      <c r="B4519" s="15" t="s">
        <v>27647</v>
      </c>
      <c r="C4519" s="14" t="s">
        <v>27764</v>
      </c>
      <c r="D4519" s="14" t="s">
        <v>27765</v>
      </c>
      <c r="E4519" s="16" t="s">
        <v>27766</v>
      </c>
      <c r="F4519" s="16" t="s">
        <v>27767</v>
      </c>
      <c r="G4519" s="23" t="s">
        <v>43</v>
      </c>
      <c r="H4519" s="18" t="n">
        <v>4</v>
      </c>
      <c r="I4519" s="20" t="n">
        <v>69.04</v>
      </c>
      <c r="J4519" s="20" t="n">
        <v>133.84</v>
      </c>
      <c r="K4519" s="18" t="n">
        <v>39</v>
      </c>
      <c r="L4519" s="18" t="n">
        <v>2</v>
      </c>
      <c r="M4519" s="18" t="n">
        <v>594</v>
      </c>
      <c r="N4519" s="18" t="n">
        <v>106</v>
      </c>
      <c r="O4519" s="14" t="s">
        <v>1097</v>
      </c>
      <c r="P4519" s="14" t="s">
        <v>118</v>
      </c>
      <c r="Q4519" s="15" t="s">
        <v>1089</v>
      </c>
      <c r="R4519" s="16" t="s">
        <v>22305</v>
      </c>
      <c r="S4519" s="15" t="s">
        <v>10825</v>
      </c>
      <c r="T4519" s="15" t="s">
        <v>27768</v>
      </c>
      <c r="U4519" s="21" t="s">
        <v>72</v>
      </c>
    </row>
    <row r="4520" customFormat="false" ht="15" hidden="false" customHeight="false" outlineLevel="0" collapsed="false">
      <c r="A4520" s="15" t="s">
        <v>27359</v>
      </c>
      <c r="B4520" s="15" t="s">
        <v>27647</v>
      </c>
      <c r="C4520" s="14" t="s">
        <v>26116</v>
      </c>
      <c r="D4520" s="14" t="s">
        <v>27769</v>
      </c>
      <c r="E4520" s="16" t="s">
        <v>27770</v>
      </c>
      <c r="F4520" s="16" t="s">
        <v>27771</v>
      </c>
      <c r="G4520" s="19" t="s">
        <v>41</v>
      </c>
      <c r="H4520" s="18" t="n">
        <v>5</v>
      </c>
      <c r="I4520" s="20" t="n">
        <v>119.32</v>
      </c>
      <c r="J4520" s="20" t="n">
        <v>290.7</v>
      </c>
      <c r="K4520" s="18" t="n">
        <v>23</v>
      </c>
      <c r="L4520" s="18" t="n">
        <v>9</v>
      </c>
      <c r="M4520" s="18" t="n">
        <v>404</v>
      </c>
      <c r="N4520" s="18" t="n">
        <v>72</v>
      </c>
      <c r="O4520" s="14" t="s">
        <v>1097</v>
      </c>
      <c r="P4520" s="14" t="s">
        <v>118</v>
      </c>
      <c r="Q4520" s="15" t="s">
        <v>1089</v>
      </c>
      <c r="R4520" s="16" t="s">
        <v>27772</v>
      </c>
      <c r="S4520" s="15" t="s">
        <v>27773</v>
      </c>
      <c r="T4520" s="15" t="s">
        <v>27773</v>
      </c>
      <c r="U4520" s="21" t="s">
        <v>72</v>
      </c>
    </row>
    <row r="4521" customFormat="false" ht="15" hidden="false" customHeight="false" outlineLevel="0" collapsed="false">
      <c r="A4521" s="15" t="s">
        <v>27359</v>
      </c>
      <c r="B4521" s="15" t="s">
        <v>27647</v>
      </c>
      <c r="C4521" s="14" t="s">
        <v>27774</v>
      </c>
      <c r="D4521" s="14" t="s">
        <v>27775</v>
      </c>
      <c r="E4521" s="16" t="s">
        <v>27776</v>
      </c>
      <c r="F4521" s="16" t="s">
        <v>27777</v>
      </c>
      <c r="G4521" s="25" t="s">
        <v>39</v>
      </c>
      <c r="H4521" s="18" t="n">
        <v>8</v>
      </c>
      <c r="I4521" s="20" t="n">
        <v>511.34</v>
      </c>
      <c r="J4521" s="20" t="n">
        <v>511.34</v>
      </c>
      <c r="K4521" s="18" t="n">
        <v>14</v>
      </c>
      <c r="L4521" s="18" t="n">
        <v>11</v>
      </c>
      <c r="M4521" s="18" t="n">
        <v>305</v>
      </c>
      <c r="N4521" s="18" t="n">
        <v>190</v>
      </c>
      <c r="O4521" s="14" t="s">
        <v>27778</v>
      </c>
      <c r="P4521" s="14" t="s">
        <v>84</v>
      </c>
      <c r="Q4521" s="15" t="s">
        <v>1089</v>
      </c>
      <c r="R4521" s="16" t="s">
        <v>27779</v>
      </c>
      <c r="S4521" s="15" t="s">
        <v>27780</v>
      </c>
      <c r="T4521" s="15" t="s">
        <v>27781</v>
      </c>
      <c r="U4521" s="21" t="s">
        <v>72</v>
      </c>
    </row>
    <row r="4522" customFormat="false" ht="15" hidden="false" customHeight="false" outlineLevel="0" collapsed="false">
      <c r="A4522" s="15" t="s">
        <v>27359</v>
      </c>
      <c r="B4522" s="15" t="s">
        <v>27647</v>
      </c>
      <c r="C4522" s="14" t="s">
        <v>27782</v>
      </c>
      <c r="D4522" s="14" t="s">
        <v>27783</v>
      </c>
      <c r="E4522" s="16" t="s">
        <v>27784</v>
      </c>
      <c r="F4522" s="16" t="s">
        <v>27785</v>
      </c>
      <c r="G4522" s="23" t="s">
        <v>43</v>
      </c>
      <c r="H4522" s="18" t="n">
        <v>2</v>
      </c>
      <c r="I4522" s="20" t="n">
        <v>68.74</v>
      </c>
      <c r="J4522" s="20" t="n">
        <v>155.29</v>
      </c>
      <c r="K4522" s="18" t="n">
        <v>8</v>
      </c>
      <c r="L4522" s="18" t="n">
        <v>4</v>
      </c>
      <c r="M4522" s="18" t="n">
        <v>240</v>
      </c>
      <c r="N4522" s="18" t="n">
        <v>240</v>
      </c>
      <c r="O4522" s="14" t="s">
        <v>1097</v>
      </c>
      <c r="P4522" s="14" t="s">
        <v>84</v>
      </c>
      <c r="Q4522" s="15" t="s">
        <v>1089</v>
      </c>
      <c r="R4522" s="16" t="s">
        <v>27786</v>
      </c>
      <c r="S4522" s="15" t="s">
        <v>5844</v>
      </c>
      <c r="T4522" s="15" t="s">
        <v>27787</v>
      </c>
      <c r="U4522" s="21" t="s">
        <v>72</v>
      </c>
    </row>
    <row r="4523" customFormat="false" ht="15" hidden="false" customHeight="false" outlineLevel="0" collapsed="false">
      <c r="A4523" s="15" t="s">
        <v>27359</v>
      </c>
      <c r="B4523" s="15" t="s">
        <v>27647</v>
      </c>
      <c r="C4523" s="14" t="s">
        <v>27788</v>
      </c>
      <c r="D4523" s="14" t="s">
        <v>27789</v>
      </c>
      <c r="E4523" s="16" t="s">
        <v>27790</v>
      </c>
      <c r="F4523" s="16" t="s">
        <v>27791</v>
      </c>
      <c r="G4523" s="19" t="s">
        <v>41</v>
      </c>
      <c r="H4523" s="18" t="n">
        <v>4</v>
      </c>
      <c r="I4523" s="20" t="n">
        <v>207.71</v>
      </c>
      <c r="J4523" s="20" t="n">
        <v>207.71</v>
      </c>
      <c r="K4523" s="18" t="n">
        <v>3</v>
      </c>
      <c r="L4523" s="18" t="n">
        <v>2</v>
      </c>
      <c r="M4523" s="18" t="n">
        <v>75</v>
      </c>
      <c r="N4523" s="18" t="n">
        <v>75</v>
      </c>
      <c r="O4523" s="14" t="s">
        <v>1088</v>
      </c>
      <c r="P4523" s="14" t="s">
        <v>84</v>
      </c>
      <c r="Q4523" s="15" t="s">
        <v>1089</v>
      </c>
      <c r="R4523" s="16" t="s">
        <v>27792</v>
      </c>
      <c r="S4523" s="15" t="s">
        <v>27793</v>
      </c>
      <c r="T4523" s="15" t="s">
        <v>27793</v>
      </c>
      <c r="U4523" s="21" t="s">
        <v>72</v>
      </c>
    </row>
    <row r="4524" customFormat="false" ht="15" hidden="false" customHeight="false" outlineLevel="0" collapsed="false">
      <c r="A4524" s="15" t="s">
        <v>27359</v>
      </c>
      <c r="B4524" s="15" t="s">
        <v>27647</v>
      </c>
      <c r="C4524" s="14" t="s">
        <v>27794</v>
      </c>
      <c r="D4524" s="14" t="s">
        <v>27795</v>
      </c>
      <c r="E4524" s="16" t="s">
        <v>27796</v>
      </c>
      <c r="F4524" s="16" t="s">
        <v>27797</v>
      </c>
      <c r="G4524" s="23" t="s">
        <v>43</v>
      </c>
      <c r="H4524" s="18" t="n">
        <v>4</v>
      </c>
      <c r="I4524" s="20" t="n">
        <v>110.94</v>
      </c>
      <c r="J4524" s="20" t="n">
        <v>199.56</v>
      </c>
      <c r="K4524" s="18" t="n">
        <v>5</v>
      </c>
      <c r="L4524" s="18" t="n">
        <v>4</v>
      </c>
      <c r="M4524" s="18" t="n">
        <v>100</v>
      </c>
      <c r="N4524" s="18" t="n">
        <v>20</v>
      </c>
      <c r="O4524" s="14" t="s">
        <v>1088</v>
      </c>
      <c r="P4524" s="14" t="s">
        <v>118</v>
      </c>
      <c r="Q4524" s="15" t="s">
        <v>1089</v>
      </c>
      <c r="R4524" s="16" t="s">
        <v>27798</v>
      </c>
      <c r="S4524" s="15" t="s">
        <v>27799</v>
      </c>
      <c r="T4524" s="15" t="s">
        <v>27800</v>
      </c>
      <c r="U4524" s="21" t="s">
        <v>72</v>
      </c>
    </row>
    <row r="4525" customFormat="false" ht="15" hidden="false" customHeight="false" outlineLevel="0" collapsed="false">
      <c r="A4525" s="15" t="s">
        <v>27359</v>
      </c>
      <c r="B4525" s="15" t="s">
        <v>27647</v>
      </c>
      <c r="C4525" s="14" t="s">
        <v>27801</v>
      </c>
      <c r="D4525" s="14" t="s">
        <v>27802</v>
      </c>
      <c r="E4525" s="16" t="s">
        <v>27803</v>
      </c>
      <c r="F4525" s="16" t="s">
        <v>27804</v>
      </c>
      <c r="G4525" s="23" t="s">
        <v>43</v>
      </c>
      <c r="H4525" s="18" t="n">
        <v>3</v>
      </c>
      <c r="I4525" s="20" t="n">
        <v>102.09</v>
      </c>
      <c r="J4525" s="20" t="n">
        <v>197.34</v>
      </c>
      <c r="K4525" s="18" t="n">
        <v>18</v>
      </c>
      <c r="L4525" s="18" t="n">
        <v>1</v>
      </c>
      <c r="M4525" s="18" t="n">
        <v>540</v>
      </c>
      <c r="N4525" s="18" t="n">
        <v>120</v>
      </c>
      <c r="O4525" s="14" t="s">
        <v>1097</v>
      </c>
      <c r="P4525" s="14" t="s">
        <v>118</v>
      </c>
      <c r="Q4525" s="15" t="s">
        <v>1089</v>
      </c>
      <c r="R4525" s="16" t="s">
        <v>27805</v>
      </c>
      <c r="S4525" s="15" t="s">
        <v>27806</v>
      </c>
      <c r="T4525" s="15" t="s">
        <v>27807</v>
      </c>
      <c r="U4525" s="21" t="s">
        <v>72</v>
      </c>
    </row>
    <row r="4526" customFormat="false" ht="15" hidden="false" customHeight="false" outlineLevel="0" collapsed="false">
      <c r="A4526" s="15" t="s">
        <v>27359</v>
      </c>
      <c r="B4526" s="15" t="s">
        <v>27647</v>
      </c>
      <c r="C4526" s="14" t="s">
        <v>27808</v>
      </c>
      <c r="D4526" s="14" t="s">
        <v>27809</v>
      </c>
      <c r="E4526" s="16" t="s">
        <v>27810</v>
      </c>
      <c r="F4526" s="16" t="s">
        <v>27811</v>
      </c>
      <c r="G4526" s="25" t="s">
        <v>39</v>
      </c>
      <c r="H4526" s="18" t="n">
        <v>3</v>
      </c>
      <c r="I4526" s="20" t="n">
        <v>252.9</v>
      </c>
      <c r="J4526" s="20" t="n">
        <v>444.5</v>
      </c>
      <c r="K4526" s="18" t="n">
        <v>11</v>
      </c>
      <c r="L4526" s="18" t="n">
        <v>5</v>
      </c>
      <c r="M4526" s="18" t="n">
        <v>652</v>
      </c>
      <c r="N4526" s="18" t="n">
        <v>120</v>
      </c>
      <c r="O4526" s="14" t="s">
        <v>1097</v>
      </c>
      <c r="P4526" s="14" t="s">
        <v>118</v>
      </c>
      <c r="Q4526" s="15" t="s">
        <v>1089</v>
      </c>
      <c r="R4526" s="16" t="s">
        <v>27812</v>
      </c>
      <c r="S4526" s="15" t="s">
        <v>27813</v>
      </c>
      <c r="T4526" s="15" t="s">
        <v>27813</v>
      </c>
      <c r="U4526" s="21" t="s">
        <v>72</v>
      </c>
    </row>
    <row r="4527" customFormat="false" ht="15" hidden="false" customHeight="false" outlineLevel="0" collapsed="false">
      <c r="A4527" s="15" t="s">
        <v>27359</v>
      </c>
      <c r="B4527" s="15" t="s">
        <v>27647</v>
      </c>
      <c r="C4527" s="14" t="s">
        <v>27814</v>
      </c>
      <c r="D4527" s="14" t="s">
        <v>27815</v>
      </c>
      <c r="E4527" s="16" t="s">
        <v>27816</v>
      </c>
      <c r="F4527" s="16" t="s">
        <v>27552</v>
      </c>
      <c r="G4527" s="23" t="s">
        <v>43</v>
      </c>
      <c r="H4527" s="18" t="n">
        <v>3</v>
      </c>
      <c r="I4527" s="20" t="n">
        <v>62.5</v>
      </c>
      <c r="J4527" s="20" t="n">
        <v>141.6</v>
      </c>
      <c r="K4527" s="18" t="n">
        <v>2</v>
      </c>
      <c r="L4527" s="18" t="n">
        <v>2</v>
      </c>
      <c r="M4527" s="18" t="n">
        <v>34</v>
      </c>
      <c r="N4527" s="18" t="n">
        <v>34</v>
      </c>
      <c r="O4527" s="14" t="s">
        <v>1088</v>
      </c>
      <c r="P4527" s="14" t="s">
        <v>84</v>
      </c>
      <c r="Q4527" s="15" t="s">
        <v>1089</v>
      </c>
      <c r="R4527" s="16" t="s">
        <v>9522</v>
      </c>
      <c r="S4527" s="15" t="s">
        <v>27817</v>
      </c>
      <c r="T4527" s="15" t="s">
        <v>27817</v>
      </c>
      <c r="U4527" s="21" t="s">
        <v>72</v>
      </c>
    </row>
    <row r="4528" customFormat="false" ht="15" hidden="false" customHeight="false" outlineLevel="0" collapsed="false">
      <c r="A4528" s="15" t="s">
        <v>27359</v>
      </c>
      <c r="B4528" s="15" t="s">
        <v>27647</v>
      </c>
      <c r="C4528" s="14" t="s">
        <v>27818</v>
      </c>
      <c r="D4528" s="14" t="s">
        <v>27819</v>
      </c>
      <c r="E4528" s="16" t="s">
        <v>27820</v>
      </c>
      <c r="F4528" s="16"/>
      <c r="G4528" s="23" t="s">
        <v>43</v>
      </c>
      <c r="H4528" s="18" t="n">
        <v>4</v>
      </c>
      <c r="I4528" s="20" t="n">
        <v>50.42</v>
      </c>
      <c r="J4528" s="20" t="n">
        <v>142.15</v>
      </c>
      <c r="K4528" s="18" t="n">
        <v>5</v>
      </c>
      <c r="L4528" s="18" t="n">
        <v>3</v>
      </c>
      <c r="M4528" s="18" t="n">
        <v>54</v>
      </c>
      <c r="N4528" s="18" t="n">
        <v>20</v>
      </c>
      <c r="O4528" s="14" t="s">
        <v>1097</v>
      </c>
      <c r="P4528" s="14" t="s">
        <v>118</v>
      </c>
      <c r="Q4528" s="15" t="s">
        <v>1089</v>
      </c>
      <c r="R4528" s="16" t="s">
        <v>2198</v>
      </c>
      <c r="S4528" s="15" t="s">
        <v>27821</v>
      </c>
      <c r="T4528" s="15" t="s">
        <v>27822</v>
      </c>
      <c r="U4528" s="21" t="s">
        <v>72</v>
      </c>
    </row>
    <row r="4529" customFormat="false" ht="15" hidden="false" customHeight="false" outlineLevel="0" collapsed="false">
      <c r="A4529" s="15" t="s">
        <v>27359</v>
      </c>
      <c r="B4529" s="15" t="s">
        <v>27647</v>
      </c>
      <c r="C4529" s="14" t="s">
        <v>27823</v>
      </c>
      <c r="D4529" s="14" t="s">
        <v>27824</v>
      </c>
      <c r="E4529" s="16" t="s">
        <v>27825</v>
      </c>
      <c r="F4529" s="16" t="s">
        <v>27826</v>
      </c>
      <c r="G4529" s="23" t="s">
        <v>43</v>
      </c>
      <c r="H4529" s="18" t="n">
        <v>4</v>
      </c>
      <c r="I4529" s="20" t="n">
        <v>175.25</v>
      </c>
      <c r="J4529" s="20" t="n">
        <v>193.25</v>
      </c>
      <c r="K4529" s="18" t="n">
        <v>6</v>
      </c>
      <c r="L4529" s="18" t="n">
        <v>1</v>
      </c>
      <c r="M4529" s="18" t="n">
        <v>60</v>
      </c>
      <c r="N4529" s="18" t="n">
        <v>30</v>
      </c>
      <c r="O4529" s="14" t="s">
        <v>1097</v>
      </c>
      <c r="P4529" s="14" t="s">
        <v>118</v>
      </c>
      <c r="Q4529" s="15" t="s">
        <v>1089</v>
      </c>
      <c r="R4529" s="16" t="s">
        <v>26102</v>
      </c>
      <c r="S4529" s="15" t="s">
        <v>27827</v>
      </c>
      <c r="T4529" s="15" t="s">
        <v>27828</v>
      </c>
      <c r="U4529" s="21" t="s">
        <v>72</v>
      </c>
    </row>
    <row r="4530" customFormat="false" ht="15" hidden="false" customHeight="false" outlineLevel="0" collapsed="false">
      <c r="A4530" s="15" t="s">
        <v>27359</v>
      </c>
      <c r="B4530" s="15" t="s">
        <v>27647</v>
      </c>
      <c r="C4530" s="14" t="s">
        <v>27829</v>
      </c>
      <c r="D4530" s="14" t="s">
        <v>27830</v>
      </c>
      <c r="E4530" s="16" t="s">
        <v>27831</v>
      </c>
      <c r="F4530" s="16" t="s">
        <v>27832</v>
      </c>
      <c r="G4530" s="25" t="s">
        <v>39</v>
      </c>
      <c r="H4530" s="18" t="n">
        <v>10</v>
      </c>
      <c r="I4530" s="20" t="n">
        <v>304.4</v>
      </c>
      <c r="J4530" s="20" t="n">
        <v>502.9</v>
      </c>
      <c r="K4530" s="18" t="n">
        <v>30</v>
      </c>
      <c r="L4530" s="18" t="n">
        <v>13</v>
      </c>
      <c r="M4530" s="18" t="n">
        <v>750</v>
      </c>
      <c r="N4530" s="18" t="n">
        <v>300</v>
      </c>
      <c r="O4530" s="14" t="s">
        <v>1088</v>
      </c>
      <c r="P4530" s="14" t="s">
        <v>84</v>
      </c>
      <c r="Q4530" s="15" t="s">
        <v>1089</v>
      </c>
      <c r="R4530" s="16" t="s">
        <v>19987</v>
      </c>
      <c r="S4530" s="15" t="s">
        <v>27833</v>
      </c>
      <c r="T4530" s="15" t="s">
        <v>27834</v>
      </c>
      <c r="U4530" s="21" t="s">
        <v>72</v>
      </c>
    </row>
    <row r="4531" customFormat="false" ht="15" hidden="false" customHeight="false" outlineLevel="0" collapsed="false">
      <c r="A4531" s="15" t="s">
        <v>27359</v>
      </c>
      <c r="B4531" s="15" t="s">
        <v>27647</v>
      </c>
      <c r="C4531" s="14" t="s">
        <v>27835</v>
      </c>
      <c r="D4531" s="14" t="s">
        <v>27836</v>
      </c>
      <c r="E4531" s="16" t="s">
        <v>27837</v>
      </c>
      <c r="F4531" s="16" t="s">
        <v>27838</v>
      </c>
      <c r="G4531" s="23" t="s">
        <v>43</v>
      </c>
      <c r="H4531" s="18" t="n">
        <v>3</v>
      </c>
      <c r="I4531" s="20" t="n">
        <v>122.79</v>
      </c>
      <c r="J4531" s="20" t="n">
        <v>175.08</v>
      </c>
      <c r="K4531" s="18" t="n">
        <v>6</v>
      </c>
      <c r="L4531" s="18" t="n">
        <v>3</v>
      </c>
      <c r="M4531" s="18" t="n">
        <v>150</v>
      </c>
      <c r="N4531" s="18" t="n">
        <v>50</v>
      </c>
      <c r="O4531" s="14" t="s">
        <v>1097</v>
      </c>
      <c r="P4531" s="14" t="s">
        <v>118</v>
      </c>
      <c r="Q4531" s="15" t="s">
        <v>1089</v>
      </c>
      <c r="R4531" s="16" t="s">
        <v>12923</v>
      </c>
      <c r="S4531" s="15" t="s">
        <v>27839</v>
      </c>
      <c r="T4531" s="15" t="s">
        <v>27840</v>
      </c>
      <c r="U4531" s="21" t="s">
        <v>72</v>
      </c>
    </row>
    <row r="4532" customFormat="false" ht="15" hidden="false" customHeight="false" outlineLevel="0" collapsed="false">
      <c r="A4532" s="15" t="s">
        <v>27359</v>
      </c>
      <c r="B4532" s="15" t="s">
        <v>27647</v>
      </c>
      <c r="C4532" s="14" t="s">
        <v>27841</v>
      </c>
      <c r="D4532" s="14" t="s">
        <v>27842</v>
      </c>
      <c r="E4532" s="16" t="s">
        <v>27843</v>
      </c>
      <c r="F4532" s="16" t="s">
        <v>27844</v>
      </c>
      <c r="G4532" s="19" t="s">
        <v>41</v>
      </c>
      <c r="H4532" s="18" t="n">
        <v>5</v>
      </c>
      <c r="I4532" s="20" t="n">
        <v>148.66</v>
      </c>
      <c r="J4532" s="20" t="n">
        <v>262.15</v>
      </c>
      <c r="K4532" s="18" t="n">
        <v>26</v>
      </c>
      <c r="L4532" s="18" t="n">
        <v>3</v>
      </c>
      <c r="M4532" s="18" t="n">
        <v>628</v>
      </c>
      <c r="N4532" s="18" t="n">
        <v>125</v>
      </c>
      <c r="O4532" s="14" t="s">
        <v>1097</v>
      </c>
      <c r="P4532" s="14" t="s">
        <v>118</v>
      </c>
      <c r="Q4532" s="15" t="s">
        <v>1089</v>
      </c>
      <c r="R4532" s="16" t="s">
        <v>27845</v>
      </c>
      <c r="S4532" s="15" t="s">
        <v>27846</v>
      </c>
      <c r="T4532" s="15" t="s">
        <v>27846</v>
      </c>
      <c r="U4532" s="21" t="s">
        <v>72</v>
      </c>
    </row>
    <row r="4533" customFormat="false" ht="15" hidden="false" customHeight="false" outlineLevel="0" collapsed="false">
      <c r="A4533" s="15" t="s">
        <v>27359</v>
      </c>
      <c r="B4533" s="15" t="s">
        <v>27647</v>
      </c>
      <c r="C4533" s="14" t="s">
        <v>27847</v>
      </c>
      <c r="D4533" s="14" t="s">
        <v>27848</v>
      </c>
      <c r="E4533" s="16" t="s">
        <v>27849</v>
      </c>
      <c r="F4533" s="16" t="s">
        <v>27850</v>
      </c>
      <c r="G4533" s="19" t="s">
        <v>41</v>
      </c>
      <c r="H4533" s="18" t="n">
        <v>5</v>
      </c>
      <c r="I4533" s="20" t="n">
        <v>109.82</v>
      </c>
      <c r="J4533" s="20" t="n">
        <v>135.31</v>
      </c>
      <c r="K4533" s="18" t="n">
        <v>5</v>
      </c>
      <c r="L4533" s="18" t="n">
        <v>2</v>
      </c>
      <c r="M4533" s="18" t="n">
        <v>75</v>
      </c>
      <c r="N4533" s="18" t="n">
        <v>45</v>
      </c>
      <c r="O4533" s="14" t="s">
        <v>27851</v>
      </c>
      <c r="P4533" s="14" t="s">
        <v>118</v>
      </c>
      <c r="Q4533" s="15" t="s">
        <v>1089</v>
      </c>
      <c r="R4533" s="16" t="s">
        <v>27364</v>
      </c>
      <c r="S4533" s="15" t="s">
        <v>7330</v>
      </c>
      <c r="T4533" s="15" t="s">
        <v>7330</v>
      </c>
      <c r="U4533" s="21" t="s">
        <v>72</v>
      </c>
    </row>
    <row r="4534" customFormat="false" ht="26.85" hidden="false" customHeight="false" outlineLevel="0" collapsed="false">
      <c r="A4534" s="15" t="s">
        <v>27359</v>
      </c>
      <c r="B4534" s="15" t="s">
        <v>27647</v>
      </c>
      <c r="C4534" s="14" t="s">
        <v>27852</v>
      </c>
      <c r="D4534" s="14" t="s">
        <v>27853</v>
      </c>
      <c r="E4534" s="16" t="s">
        <v>27854</v>
      </c>
      <c r="F4534" s="16" t="s">
        <v>27855</v>
      </c>
      <c r="G4534" s="23" t="s">
        <v>43</v>
      </c>
      <c r="H4534" s="18" t="n">
        <v>3</v>
      </c>
      <c r="I4534" s="20" t="n">
        <v>67.7</v>
      </c>
      <c r="J4534" s="20" t="n">
        <v>89.6</v>
      </c>
      <c r="K4534" s="18" t="n">
        <v>10</v>
      </c>
      <c r="L4534" s="18" t="n">
        <v>4</v>
      </c>
      <c r="M4534" s="18" t="n">
        <v>152</v>
      </c>
      <c r="N4534" s="18" t="n">
        <v>24</v>
      </c>
      <c r="O4534" s="14" t="s">
        <v>1097</v>
      </c>
      <c r="P4534" s="14" t="s">
        <v>906</v>
      </c>
      <c r="Q4534" s="15" t="s">
        <v>1089</v>
      </c>
      <c r="R4534" s="16" t="s">
        <v>9119</v>
      </c>
      <c r="S4534" s="15" t="s">
        <v>27856</v>
      </c>
      <c r="T4534" s="15" t="s">
        <v>27856</v>
      </c>
      <c r="U4534" s="21" t="s">
        <v>72</v>
      </c>
    </row>
    <row r="4535" customFormat="false" ht="15" hidden="false" customHeight="false" outlineLevel="0" collapsed="false">
      <c r="A4535" s="15" t="s">
        <v>27359</v>
      </c>
      <c r="B4535" s="15" t="s">
        <v>27647</v>
      </c>
      <c r="C4535" s="14" t="s">
        <v>27857</v>
      </c>
      <c r="D4535" s="14" t="s">
        <v>27858</v>
      </c>
      <c r="E4535" s="16" t="s">
        <v>27859</v>
      </c>
      <c r="F4535" s="16" t="s">
        <v>27860</v>
      </c>
      <c r="G4535" s="23" t="s">
        <v>43</v>
      </c>
      <c r="H4535" s="18" t="n">
        <v>2</v>
      </c>
      <c r="I4535" s="20" t="n">
        <v>74.17</v>
      </c>
      <c r="J4535" s="20" t="n">
        <v>101.64</v>
      </c>
      <c r="K4535" s="18" t="n">
        <v>3</v>
      </c>
      <c r="L4535" s="18" t="n">
        <v>1</v>
      </c>
      <c r="M4535" s="18" t="n">
        <v>93</v>
      </c>
      <c r="N4535" s="18" t="n">
        <v>31</v>
      </c>
      <c r="O4535" s="14" t="s">
        <v>1097</v>
      </c>
      <c r="P4535" s="14" t="s">
        <v>118</v>
      </c>
      <c r="Q4535" s="15" t="s">
        <v>1089</v>
      </c>
      <c r="R4535" s="16" t="s">
        <v>27861</v>
      </c>
      <c r="S4535" s="15" t="s">
        <v>16145</v>
      </c>
      <c r="T4535" s="15" t="s">
        <v>16145</v>
      </c>
      <c r="U4535" s="21" t="s">
        <v>72</v>
      </c>
    </row>
    <row r="4536" customFormat="false" ht="15" hidden="false" customHeight="false" outlineLevel="0" collapsed="false">
      <c r="A4536" s="15" t="s">
        <v>27359</v>
      </c>
      <c r="B4536" s="15" t="s">
        <v>27647</v>
      </c>
      <c r="C4536" s="14" t="s">
        <v>27862</v>
      </c>
      <c r="D4536" s="14" t="s">
        <v>27863</v>
      </c>
      <c r="E4536" s="16" t="s">
        <v>27864</v>
      </c>
      <c r="F4536" s="16" t="s">
        <v>27865</v>
      </c>
      <c r="G4536" s="23" t="s">
        <v>43</v>
      </c>
      <c r="H4536" s="18" t="n">
        <v>1</v>
      </c>
      <c r="I4536" s="20" t="n">
        <v>55.6</v>
      </c>
      <c r="J4536" s="20" t="n">
        <v>59.94</v>
      </c>
      <c r="K4536" s="18" t="n">
        <v>5</v>
      </c>
      <c r="L4536" s="18" t="n">
        <v>1</v>
      </c>
      <c r="M4536" s="18" t="n">
        <v>175</v>
      </c>
      <c r="N4536" s="18" t="n">
        <v>175</v>
      </c>
      <c r="O4536" s="14" t="s">
        <v>1088</v>
      </c>
      <c r="P4536" s="14" t="s">
        <v>84</v>
      </c>
      <c r="Q4536" s="15" t="s">
        <v>1089</v>
      </c>
      <c r="R4536" s="16" t="s">
        <v>5048</v>
      </c>
      <c r="S4536" s="15" t="s">
        <v>27866</v>
      </c>
      <c r="T4536" s="15" t="s">
        <v>27866</v>
      </c>
      <c r="U4536" s="21" t="s">
        <v>72</v>
      </c>
    </row>
    <row r="4537" customFormat="false" ht="15" hidden="false" customHeight="false" outlineLevel="0" collapsed="false">
      <c r="A4537" s="15" t="s">
        <v>27359</v>
      </c>
      <c r="B4537" s="15" t="s">
        <v>27647</v>
      </c>
      <c r="C4537" s="14" t="s">
        <v>27867</v>
      </c>
      <c r="D4537" s="14" t="s">
        <v>27868</v>
      </c>
      <c r="E4537" s="16" t="s">
        <v>27869</v>
      </c>
      <c r="F4537" s="16" t="s">
        <v>27870</v>
      </c>
      <c r="G4537" s="19" t="s">
        <v>41</v>
      </c>
      <c r="H4537" s="18" t="n">
        <v>5</v>
      </c>
      <c r="I4537" s="20" t="n">
        <v>104.408</v>
      </c>
      <c r="J4537" s="20" t="n">
        <v>226.17</v>
      </c>
      <c r="K4537" s="18" t="n">
        <v>3</v>
      </c>
      <c r="L4537" s="18" t="n">
        <v>2</v>
      </c>
      <c r="M4537" s="18" t="n">
        <v>115</v>
      </c>
      <c r="N4537" s="18" t="n">
        <v>92</v>
      </c>
      <c r="O4537" s="14" t="s">
        <v>1088</v>
      </c>
      <c r="P4537" s="14" t="s">
        <v>118</v>
      </c>
      <c r="Q4537" s="15" t="s">
        <v>1089</v>
      </c>
      <c r="R4537" s="16" t="s">
        <v>27871</v>
      </c>
      <c r="S4537" s="15" t="s">
        <v>27872</v>
      </c>
      <c r="T4537" s="15" t="s">
        <v>27873</v>
      </c>
      <c r="U4537" s="21" t="s">
        <v>72</v>
      </c>
    </row>
    <row r="4538" customFormat="false" ht="15" hidden="false" customHeight="false" outlineLevel="0" collapsed="false">
      <c r="A4538" s="15" t="s">
        <v>27359</v>
      </c>
      <c r="B4538" s="15" t="s">
        <v>27647</v>
      </c>
      <c r="C4538" s="14" t="s">
        <v>27874</v>
      </c>
      <c r="D4538" s="14" t="s">
        <v>27875</v>
      </c>
      <c r="E4538" s="16" t="s">
        <v>27876</v>
      </c>
      <c r="F4538" s="16" t="s">
        <v>27877</v>
      </c>
      <c r="G4538" s="25" t="s">
        <v>39</v>
      </c>
      <c r="H4538" s="18" t="n">
        <v>2</v>
      </c>
      <c r="I4538" s="20" t="n">
        <v>186</v>
      </c>
      <c r="J4538" s="20" t="n">
        <v>443.79</v>
      </c>
      <c r="K4538" s="18" t="n">
        <v>9</v>
      </c>
      <c r="L4538" s="18" t="n">
        <v>2</v>
      </c>
      <c r="M4538" s="18" t="n">
        <v>270</v>
      </c>
      <c r="N4538" s="18" t="n">
        <v>90</v>
      </c>
      <c r="O4538" s="14" t="s">
        <v>1097</v>
      </c>
      <c r="P4538" s="14" t="s">
        <v>118</v>
      </c>
      <c r="Q4538" s="15" t="s">
        <v>1089</v>
      </c>
      <c r="R4538" s="16" t="s">
        <v>27878</v>
      </c>
      <c r="S4538" s="15" t="s">
        <v>27879</v>
      </c>
      <c r="T4538" s="15" t="s">
        <v>27880</v>
      </c>
      <c r="U4538" s="21" t="s">
        <v>72</v>
      </c>
    </row>
    <row r="4539" customFormat="false" ht="15" hidden="false" customHeight="false" outlineLevel="0" collapsed="false">
      <c r="A4539" s="15" t="s">
        <v>27359</v>
      </c>
      <c r="B4539" s="15" t="s">
        <v>27881</v>
      </c>
      <c r="C4539" s="14" t="s">
        <v>27882</v>
      </c>
      <c r="D4539" s="14" t="s">
        <v>27883</v>
      </c>
      <c r="E4539" s="16" t="s">
        <v>27884</v>
      </c>
      <c r="F4539" s="16"/>
      <c r="G4539" s="23" t="s">
        <v>43</v>
      </c>
      <c r="H4539" s="18" t="n">
        <v>1</v>
      </c>
      <c r="I4539" s="20" t="n">
        <v>38.49</v>
      </c>
      <c r="J4539" s="20" t="n">
        <v>87.47</v>
      </c>
      <c r="K4539" s="18" t="n">
        <v>4</v>
      </c>
      <c r="L4539" s="18" t="n">
        <v>1</v>
      </c>
      <c r="M4539" s="18" t="n">
        <v>40</v>
      </c>
      <c r="N4539" s="18" t="n">
        <v>20</v>
      </c>
      <c r="O4539" s="14" t="s">
        <v>1126</v>
      </c>
      <c r="P4539" s="14" t="s">
        <v>118</v>
      </c>
      <c r="Q4539" s="15" t="s">
        <v>1089</v>
      </c>
      <c r="R4539" s="16" t="s">
        <v>27885</v>
      </c>
      <c r="S4539" s="15" t="s">
        <v>27886</v>
      </c>
      <c r="T4539" s="15" t="s">
        <v>27887</v>
      </c>
      <c r="U4539" s="21" t="s">
        <v>72</v>
      </c>
    </row>
    <row r="4540" customFormat="false" ht="15" hidden="false" customHeight="false" outlineLevel="0" collapsed="false">
      <c r="A4540" s="15" t="s">
        <v>27359</v>
      </c>
      <c r="B4540" s="15" t="s">
        <v>27881</v>
      </c>
      <c r="C4540" s="14" t="s">
        <v>27888</v>
      </c>
      <c r="D4540" s="14" t="s">
        <v>27889</v>
      </c>
      <c r="E4540" s="16" t="s">
        <v>27890</v>
      </c>
      <c r="F4540" s="16" t="s">
        <v>27891</v>
      </c>
      <c r="G4540" s="23" t="s">
        <v>43</v>
      </c>
      <c r="H4540" s="18" t="n">
        <v>3</v>
      </c>
      <c r="I4540" s="20" t="n">
        <v>100.44</v>
      </c>
      <c r="J4540" s="20" t="n">
        <v>175.25</v>
      </c>
      <c r="K4540" s="18" t="n">
        <v>11</v>
      </c>
      <c r="L4540" s="18" t="n">
        <v>7</v>
      </c>
      <c r="M4540" s="18" t="n">
        <v>215</v>
      </c>
      <c r="N4540" s="18" t="n">
        <v>40</v>
      </c>
      <c r="O4540" s="14" t="s">
        <v>1097</v>
      </c>
      <c r="P4540" s="14" t="s">
        <v>118</v>
      </c>
      <c r="Q4540" s="15" t="s">
        <v>1089</v>
      </c>
      <c r="R4540" s="16" t="s">
        <v>27892</v>
      </c>
      <c r="S4540" s="15" t="s">
        <v>27893</v>
      </c>
      <c r="T4540" s="15" t="s">
        <v>27894</v>
      </c>
      <c r="U4540" s="21" t="s">
        <v>72</v>
      </c>
    </row>
    <row r="4541" customFormat="false" ht="26.85" hidden="false" customHeight="false" outlineLevel="0" collapsed="false">
      <c r="A4541" s="15" t="s">
        <v>27359</v>
      </c>
      <c r="B4541" s="15" t="s">
        <v>27881</v>
      </c>
      <c r="C4541" s="14" t="s">
        <v>27895</v>
      </c>
      <c r="D4541" s="14" t="s">
        <v>27896</v>
      </c>
      <c r="E4541" s="16" t="s">
        <v>27897</v>
      </c>
      <c r="F4541" s="16" t="s">
        <v>27898</v>
      </c>
      <c r="G4541" s="23" t="s">
        <v>43</v>
      </c>
      <c r="H4541" s="18" t="n">
        <v>3</v>
      </c>
      <c r="I4541" s="20" t="n">
        <v>94.7</v>
      </c>
      <c r="J4541" s="20" t="n">
        <v>181.2</v>
      </c>
      <c r="K4541" s="18" t="n">
        <v>7</v>
      </c>
      <c r="L4541" s="18" t="n">
        <v>9</v>
      </c>
      <c r="M4541" s="18" t="n">
        <v>116</v>
      </c>
      <c r="N4541" s="18" t="n">
        <v>40</v>
      </c>
      <c r="O4541" s="14" t="s">
        <v>1126</v>
      </c>
      <c r="P4541" s="14" t="s">
        <v>906</v>
      </c>
      <c r="Q4541" s="15" t="s">
        <v>1089</v>
      </c>
      <c r="R4541" s="16" t="s">
        <v>27899</v>
      </c>
      <c r="S4541" s="15" t="s">
        <v>27900</v>
      </c>
      <c r="T4541" s="15" t="s">
        <v>27900</v>
      </c>
      <c r="U4541" s="21" t="s">
        <v>72</v>
      </c>
    </row>
    <row r="4542" customFormat="false" ht="15" hidden="false" customHeight="false" outlineLevel="0" collapsed="false">
      <c r="A4542" s="15" t="s">
        <v>27359</v>
      </c>
      <c r="B4542" s="15" t="s">
        <v>27881</v>
      </c>
      <c r="C4542" s="14" t="s">
        <v>27901</v>
      </c>
      <c r="D4542" s="14" t="s">
        <v>27902</v>
      </c>
      <c r="E4542" s="16" t="s">
        <v>27903</v>
      </c>
      <c r="F4542" s="16"/>
      <c r="G4542" s="23" t="s">
        <v>43</v>
      </c>
      <c r="H4542" s="18" t="n">
        <v>1</v>
      </c>
      <c r="I4542" s="20" t="n">
        <v>47.25</v>
      </c>
      <c r="J4542" s="20" t="n">
        <v>106.8</v>
      </c>
      <c r="K4542" s="18" t="n">
        <v>1</v>
      </c>
      <c r="L4542" s="18" t="n">
        <v>1</v>
      </c>
      <c r="M4542" s="18" t="n">
        <v>15</v>
      </c>
      <c r="N4542" s="18" t="n">
        <v>15</v>
      </c>
      <c r="O4542" s="14" t="s">
        <v>1097</v>
      </c>
      <c r="P4542" s="14" t="s">
        <v>118</v>
      </c>
      <c r="Q4542" s="15" t="s">
        <v>1089</v>
      </c>
      <c r="R4542" s="16" t="s">
        <v>27904</v>
      </c>
      <c r="S4542" s="15" t="s">
        <v>27905</v>
      </c>
      <c r="T4542" s="15" t="s">
        <v>27905</v>
      </c>
      <c r="U4542" s="21" t="s">
        <v>72</v>
      </c>
    </row>
    <row r="4543" customFormat="false" ht="15" hidden="false" customHeight="false" outlineLevel="0" collapsed="false">
      <c r="A4543" s="15" t="s">
        <v>27359</v>
      </c>
      <c r="B4543" s="15" t="s">
        <v>27881</v>
      </c>
      <c r="C4543" s="14" t="s">
        <v>27906</v>
      </c>
      <c r="D4543" s="14" t="s">
        <v>27907</v>
      </c>
      <c r="E4543" s="16" t="s">
        <v>27908</v>
      </c>
      <c r="F4543" s="16" t="s">
        <v>27909</v>
      </c>
      <c r="G4543" s="19" t="s">
        <v>41</v>
      </c>
      <c r="H4543" s="18" t="n">
        <v>7</v>
      </c>
      <c r="I4543" s="20" t="n">
        <v>154.8</v>
      </c>
      <c r="J4543" s="20" t="n">
        <v>286.94</v>
      </c>
      <c r="K4543" s="18" t="n">
        <v>5</v>
      </c>
      <c r="L4543" s="18" t="n">
        <v>7</v>
      </c>
      <c r="M4543" s="18" t="n">
        <v>100</v>
      </c>
      <c r="N4543" s="18" t="n">
        <v>60</v>
      </c>
      <c r="O4543" s="14" t="s">
        <v>1126</v>
      </c>
      <c r="P4543" s="14" t="s">
        <v>118</v>
      </c>
      <c r="Q4543" s="15" t="s">
        <v>1089</v>
      </c>
      <c r="R4543" s="16" t="s">
        <v>17809</v>
      </c>
      <c r="S4543" s="15" t="s">
        <v>27910</v>
      </c>
      <c r="T4543" s="15" t="s">
        <v>27911</v>
      </c>
      <c r="U4543" s="21" t="s">
        <v>72</v>
      </c>
    </row>
    <row r="4544" customFormat="false" ht="15" hidden="false" customHeight="false" outlineLevel="0" collapsed="false">
      <c r="A4544" s="15" t="s">
        <v>27359</v>
      </c>
      <c r="B4544" s="15" t="s">
        <v>27912</v>
      </c>
      <c r="C4544" s="14" t="s">
        <v>27913</v>
      </c>
      <c r="D4544" s="14" t="s">
        <v>27914</v>
      </c>
      <c r="E4544" s="16" t="s">
        <v>27915</v>
      </c>
      <c r="F4544" s="16" t="s">
        <v>27916</v>
      </c>
      <c r="G4544" s="23" t="s">
        <v>43</v>
      </c>
      <c r="H4544" s="18" t="n">
        <v>4</v>
      </c>
      <c r="I4544" s="20" t="n">
        <v>65.03</v>
      </c>
      <c r="J4544" s="20" t="n">
        <v>146.28</v>
      </c>
      <c r="K4544" s="18" t="n">
        <v>12</v>
      </c>
      <c r="L4544" s="18" t="n">
        <v>2</v>
      </c>
      <c r="M4544" s="18" t="n">
        <v>144</v>
      </c>
      <c r="N4544" s="18" t="n">
        <v>144</v>
      </c>
      <c r="O4544" s="14" t="s">
        <v>1097</v>
      </c>
      <c r="P4544" s="14" t="s">
        <v>84</v>
      </c>
      <c r="Q4544" s="15" t="s">
        <v>1089</v>
      </c>
      <c r="R4544" s="16" t="s">
        <v>27917</v>
      </c>
      <c r="S4544" s="15" t="s">
        <v>27918</v>
      </c>
      <c r="T4544" s="15" t="s">
        <v>27919</v>
      </c>
      <c r="U4544" s="21" t="s">
        <v>72</v>
      </c>
    </row>
    <row r="4545" customFormat="false" ht="15" hidden="false" customHeight="false" outlineLevel="0" collapsed="false">
      <c r="A4545" s="15" t="s">
        <v>27359</v>
      </c>
      <c r="B4545" s="15" t="s">
        <v>27912</v>
      </c>
      <c r="C4545" s="14" t="s">
        <v>27920</v>
      </c>
      <c r="D4545" s="14" t="s">
        <v>27921</v>
      </c>
      <c r="E4545" s="16" t="s">
        <v>27922</v>
      </c>
      <c r="F4545" s="16" t="s">
        <v>27923</v>
      </c>
      <c r="G4545" s="23" t="s">
        <v>43</v>
      </c>
      <c r="H4545" s="18" t="n">
        <v>3</v>
      </c>
      <c r="I4545" s="20" t="n">
        <v>95.95</v>
      </c>
      <c r="J4545" s="20" t="n">
        <v>132.88</v>
      </c>
      <c r="K4545" s="18" t="n">
        <v>6</v>
      </c>
      <c r="L4545" s="18" t="n">
        <v>1</v>
      </c>
      <c r="M4545" s="18" t="n">
        <v>98</v>
      </c>
      <c r="N4545" s="18" t="n">
        <v>98</v>
      </c>
      <c r="O4545" s="14" t="s">
        <v>1088</v>
      </c>
      <c r="P4545" s="14" t="s">
        <v>84</v>
      </c>
      <c r="Q4545" s="15" t="s">
        <v>1089</v>
      </c>
      <c r="R4545" s="16" t="s">
        <v>27924</v>
      </c>
      <c r="S4545" s="15" t="s">
        <v>27925</v>
      </c>
      <c r="T4545" s="15" t="s">
        <v>27925</v>
      </c>
      <c r="U4545" s="21" t="s">
        <v>72</v>
      </c>
    </row>
    <row r="4546" customFormat="false" ht="15" hidden="false" customHeight="false" outlineLevel="0" collapsed="false">
      <c r="A4546" s="15" t="s">
        <v>27359</v>
      </c>
      <c r="B4546" s="15" t="s">
        <v>27912</v>
      </c>
      <c r="C4546" s="14" t="s">
        <v>27926</v>
      </c>
      <c r="D4546" s="14" t="s">
        <v>27927</v>
      </c>
      <c r="E4546" s="16" t="s">
        <v>27928</v>
      </c>
      <c r="F4546" s="16" t="s">
        <v>27929</v>
      </c>
      <c r="G4546" s="19" t="s">
        <v>41</v>
      </c>
      <c r="H4546" s="18" t="n">
        <v>3</v>
      </c>
      <c r="I4546" s="20" t="n">
        <v>178.74</v>
      </c>
      <c r="J4546" s="20" t="n">
        <v>219.82</v>
      </c>
      <c r="K4546" s="18" t="n">
        <v>6</v>
      </c>
      <c r="L4546" s="18" t="n">
        <v>6</v>
      </c>
      <c r="M4546" s="18" t="n">
        <v>120</v>
      </c>
      <c r="N4546" s="18" t="n">
        <v>80</v>
      </c>
      <c r="O4546" s="14" t="s">
        <v>1088</v>
      </c>
      <c r="P4546" s="14" t="s">
        <v>118</v>
      </c>
      <c r="Q4546" s="15" t="s">
        <v>1089</v>
      </c>
      <c r="R4546" s="16" t="s">
        <v>27930</v>
      </c>
      <c r="S4546" s="15" t="s">
        <v>27931</v>
      </c>
      <c r="T4546" s="15" t="s">
        <v>8658</v>
      </c>
      <c r="U4546" s="21" t="s">
        <v>72</v>
      </c>
    </row>
    <row r="4547" customFormat="false" ht="15" hidden="false" customHeight="false" outlineLevel="0" collapsed="false">
      <c r="A4547" s="15" t="s">
        <v>27359</v>
      </c>
      <c r="B4547" s="15" t="s">
        <v>27912</v>
      </c>
      <c r="C4547" s="14" t="s">
        <v>27932</v>
      </c>
      <c r="D4547" s="14" t="s">
        <v>27933</v>
      </c>
      <c r="E4547" s="16" t="s">
        <v>27934</v>
      </c>
      <c r="F4547" s="16" t="s">
        <v>27935</v>
      </c>
      <c r="G4547" s="23" t="s">
        <v>43</v>
      </c>
      <c r="H4547" s="18" t="n">
        <v>1</v>
      </c>
      <c r="I4547" s="20" t="n">
        <v>49</v>
      </c>
      <c r="J4547" s="20" t="n">
        <v>80.54</v>
      </c>
      <c r="K4547" s="18" t="n">
        <v>4</v>
      </c>
      <c r="L4547" s="18" t="n">
        <v>2</v>
      </c>
      <c r="M4547" s="18" t="n">
        <v>60</v>
      </c>
      <c r="N4547" s="18" t="n">
        <v>60</v>
      </c>
      <c r="O4547" s="14" t="s">
        <v>1088</v>
      </c>
      <c r="P4547" s="14" t="s">
        <v>118</v>
      </c>
      <c r="Q4547" s="15" t="s">
        <v>1089</v>
      </c>
      <c r="R4547" s="16" t="s">
        <v>5871</v>
      </c>
      <c r="S4547" s="15" t="s">
        <v>27936</v>
      </c>
      <c r="T4547" s="15" t="s">
        <v>27936</v>
      </c>
      <c r="U4547" s="21" t="s">
        <v>72</v>
      </c>
    </row>
    <row r="4548" customFormat="false" ht="15" hidden="false" customHeight="false" outlineLevel="0" collapsed="false">
      <c r="A4548" s="15" t="s">
        <v>27937</v>
      </c>
      <c r="B4548" s="16"/>
      <c r="C4548" s="14" t="s">
        <v>27938</v>
      </c>
      <c r="D4548" s="14" t="s">
        <v>27939</v>
      </c>
      <c r="E4548" s="16" t="s">
        <v>27940</v>
      </c>
      <c r="F4548" s="16" t="s">
        <v>27941</v>
      </c>
      <c r="G4548" s="19" t="s">
        <v>41</v>
      </c>
      <c r="H4548" s="18" t="n">
        <v>6</v>
      </c>
      <c r="I4548" s="20" t="n">
        <v>194.9</v>
      </c>
      <c r="J4548" s="20" t="n">
        <v>239.26</v>
      </c>
      <c r="K4548" s="18" t="n">
        <v>40</v>
      </c>
      <c r="L4548" s="18" t="n">
        <v>9</v>
      </c>
      <c r="M4548" s="18" t="n">
        <v>800</v>
      </c>
      <c r="N4548" s="18" t="n">
        <v>800</v>
      </c>
      <c r="O4548" s="14" t="s">
        <v>1097</v>
      </c>
      <c r="P4548" s="14" t="s">
        <v>84</v>
      </c>
      <c r="Q4548" s="15" t="s">
        <v>1089</v>
      </c>
      <c r="R4548" s="16" t="s">
        <v>27942</v>
      </c>
      <c r="S4548" s="15" t="s">
        <v>27943</v>
      </c>
      <c r="T4548" s="15" t="s">
        <v>27944</v>
      </c>
      <c r="U4548" s="21" t="s">
        <v>72</v>
      </c>
    </row>
    <row r="4549" customFormat="false" ht="15" hidden="false" customHeight="false" outlineLevel="0" collapsed="false">
      <c r="A4549" s="15" t="s">
        <v>27937</v>
      </c>
      <c r="B4549" s="16"/>
      <c r="C4549" s="14" t="s">
        <v>27945</v>
      </c>
      <c r="D4549" s="14" t="s">
        <v>27946</v>
      </c>
      <c r="E4549" s="16" t="s">
        <v>27947</v>
      </c>
      <c r="F4549" s="16" t="s">
        <v>27948</v>
      </c>
      <c r="G4549" s="23" t="s">
        <v>43</v>
      </c>
      <c r="H4549" s="18" t="n">
        <v>3</v>
      </c>
      <c r="I4549" s="20" t="n">
        <v>141.34</v>
      </c>
      <c r="J4549" s="20" t="n">
        <v>141.34</v>
      </c>
      <c r="K4549" s="18" t="n">
        <v>15</v>
      </c>
      <c r="L4549" s="18" t="n">
        <v>4</v>
      </c>
      <c r="M4549" s="18" t="n">
        <v>225</v>
      </c>
      <c r="N4549" s="18" t="n">
        <v>165</v>
      </c>
      <c r="O4549" s="14" t="s">
        <v>1088</v>
      </c>
      <c r="P4549" s="14" t="s">
        <v>118</v>
      </c>
      <c r="Q4549" s="15" t="s">
        <v>1089</v>
      </c>
      <c r="R4549" s="16" t="s">
        <v>22910</v>
      </c>
      <c r="S4549" s="15" t="s">
        <v>27949</v>
      </c>
      <c r="T4549" s="15" t="s">
        <v>27949</v>
      </c>
      <c r="U4549" s="21" t="s">
        <v>72</v>
      </c>
    </row>
    <row r="4550" customFormat="false" ht="15" hidden="false" customHeight="false" outlineLevel="0" collapsed="false">
      <c r="A4550" s="15" t="s">
        <v>27937</v>
      </c>
      <c r="B4550" s="16"/>
      <c r="C4550" s="14" t="s">
        <v>27950</v>
      </c>
      <c r="D4550" s="14" t="s">
        <v>27951</v>
      </c>
      <c r="E4550" s="16" t="s">
        <v>27952</v>
      </c>
      <c r="F4550" s="16" t="s">
        <v>27953</v>
      </c>
      <c r="G4550" s="23" t="s">
        <v>43</v>
      </c>
      <c r="H4550" s="18" t="n">
        <v>4</v>
      </c>
      <c r="I4550" s="20" t="n">
        <v>61.69</v>
      </c>
      <c r="J4550" s="20" t="n">
        <v>114.42</v>
      </c>
      <c r="K4550" s="18" t="n">
        <v>5</v>
      </c>
      <c r="L4550" s="18" t="n">
        <v>2</v>
      </c>
      <c r="M4550" s="18" t="n">
        <v>25</v>
      </c>
      <c r="N4550" s="18" t="n">
        <v>10</v>
      </c>
      <c r="O4550" s="14" t="s">
        <v>1097</v>
      </c>
      <c r="P4550" s="14" t="s">
        <v>118</v>
      </c>
      <c r="Q4550" s="15" t="s">
        <v>1089</v>
      </c>
      <c r="R4550" s="16" t="s">
        <v>14499</v>
      </c>
      <c r="S4550" s="15" t="s">
        <v>27954</v>
      </c>
      <c r="T4550" s="15" t="s">
        <v>27955</v>
      </c>
      <c r="U4550" s="21" t="s">
        <v>72</v>
      </c>
    </row>
    <row r="4551" customFormat="false" ht="26.85" hidden="false" customHeight="false" outlineLevel="0" collapsed="false">
      <c r="A4551" s="15" t="s">
        <v>27937</v>
      </c>
      <c r="B4551" s="16"/>
      <c r="C4551" s="14" t="s">
        <v>27956</v>
      </c>
      <c r="D4551" s="14" t="s">
        <v>27957</v>
      </c>
      <c r="E4551" s="16" t="s">
        <v>27958</v>
      </c>
      <c r="F4551" s="16" t="s">
        <v>27959</v>
      </c>
      <c r="G4551" s="19" t="s">
        <v>41</v>
      </c>
      <c r="H4551" s="18" t="n">
        <v>6</v>
      </c>
      <c r="I4551" s="20" t="n">
        <v>150</v>
      </c>
      <c r="J4551" s="20" t="n">
        <v>232.05</v>
      </c>
      <c r="K4551" s="18" t="n">
        <v>16</v>
      </c>
      <c r="L4551" s="18" t="n">
        <v>10</v>
      </c>
      <c r="M4551" s="18" t="n">
        <v>152</v>
      </c>
      <c r="N4551" s="18" t="n">
        <v>16</v>
      </c>
      <c r="O4551" s="14" t="s">
        <v>1126</v>
      </c>
      <c r="P4551" s="14" t="s">
        <v>906</v>
      </c>
      <c r="Q4551" s="15" t="s">
        <v>1089</v>
      </c>
      <c r="R4551" s="16" t="s">
        <v>27960</v>
      </c>
      <c r="S4551" s="15" t="s">
        <v>27961</v>
      </c>
      <c r="T4551" s="15" t="s">
        <v>27962</v>
      </c>
      <c r="U4551" s="21" t="s">
        <v>72</v>
      </c>
    </row>
    <row r="4552" customFormat="false" ht="15" hidden="false" customHeight="false" outlineLevel="0" collapsed="false">
      <c r="A4552" s="15" t="s">
        <v>27937</v>
      </c>
      <c r="B4552" s="16"/>
      <c r="C4552" s="14" t="s">
        <v>27963</v>
      </c>
      <c r="D4552" s="14" t="s">
        <v>27964</v>
      </c>
      <c r="E4552" s="16" t="s">
        <v>27965</v>
      </c>
      <c r="F4552" s="16" t="s">
        <v>27966</v>
      </c>
      <c r="G4552" s="25" t="s">
        <v>39</v>
      </c>
      <c r="H4552" s="18" t="n">
        <v>6</v>
      </c>
      <c r="I4552" s="20" t="n">
        <v>279.36</v>
      </c>
      <c r="J4552" s="20" t="n">
        <v>503.65</v>
      </c>
      <c r="K4552" s="18" t="n">
        <v>9</v>
      </c>
      <c r="L4552" s="18" t="n">
        <v>8</v>
      </c>
      <c r="M4552" s="18" t="n">
        <v>135</v>
      </c>
      <c r="N4552" s="18" t="n">
        <v>75</v>
      </c>
      <c r="O4552" s="14" t="s">
        <v>1126</v>
      </c>
      <c r="P4552" s="14" t="s">
        <v>118</v>
      </c>
      <c r="Q4552" s="15" t="s">
        <v>1089</v>
      </c>
      <c r="R4552" s="16" t="s">
        <v>5623</v>
      </c>
      <c r="S4552" s="15" t="s">
        <v>6922</v>
      </c>
      <c r="T4552" s="15" t="s">
        <v>6922</v>
      </c>
      <c r="U4552" s="21" t="s">
        <v>72</v>
      </c>
    </row>
    <row r="4553" customFormat="false" ht="15" hidden="false" customHeight="false" outlineLevel="0" collapsed="false">
      <c r="A4553" s="15" t="s">
        <v>27937</v>
      </c>
      <c r="B4553" s="16"/>
      <c r="C4553" s="14" t="s">
        <v>27967</v>
      </c>
      <c r="D4553" s="14" t="s">
        <v>27968</v>
      </c>
      <c r="E4553" s="16" t="s">
        <v>27969</v>
      </c>
      <c r="F4553" s="16" t="s">
        <v>27970</v>
      </c>
      <c r="G4553" s="23" t="s">
        <v>43</v>
      </c>
      <c r="H4553" s="18" t="n">
        <v>3</v>
      </c>
      <c r="I4553" s="20" t="n">
        <v>80</v>
      </c>
      <c r="J4553" s="20" t="n">
        <v>190.74</v>
      </c>
      <c r="K4553" s="18" t="n">
        <v>7</v>
      </c>
      <c r="L4553" s="18" t="n">
        <v>4</v>
      </c>
      <c r="M4553" s="18" t="n">
        <v>55</v>
      </c>
      <c r="N4553" s="18" t="n">
        <v>20</v>
      </c>
      <c r="O4553" s="14" t="s">
        <v>1126</v>
      </c>
      <c r="P4553" s="14" t="s">
        <v>118</v>
      </c>
      <c r="Q4553" s="15" t="s">
        <v>1089</v>
      </c>
      <c r="R4553" s="16" t="s">
        <v>27971</v>
      </c>
      <c r="S4553" s="15" t="s">
        <v>27972</v>
      </c>
      <c r="T4553" s="15" t="s">
        <v>27972</v>
      </c>
      <c r="U4553" s="21" t="s">
        <v>72</v>
      </c>
    </row>
    <row r="4554" customFormat="false" ht="15" hidden="false" customHeight="false" outlineLevel="0" collapsed="false">
      <c r="A4554" s="15" t="s">
        <v>27937</v>
      </c>
      <c r="B4554" s="16"/>
      <c r="C4554" s="14" t="s">
        <v>26341</v>
      </c>
      <c r="D4554" s="14" t="s">
        <v>27973</v>
      </c>
      <c r="E4554" s="16" t="s">
        <v>27974</v>
      </c>
      <c r="F4554" s="16" t="s">
        <v>27975</v>
      </c>
      <c r="G4554" s="23" t="s">
        <v>43</v>
      </c>
      <c r="H4554" s="18" t="n">
        <v>2</v>
      </c>
      <c r="I4554" s="20" t="n">
        <v>79.32</v>
      </c>
      <c r="J4554" s="20" t="n">
        <v>93.6</v>
      </c>
      <c r="K4554" s="18" t="n">
        <v>4</v>
      </c>
      <c r="L4554" s="18" t="n">
        <v>1</v>
      </c>
      <c r="M4554" s="18" t="n">
        <v>40</v>
      </c>
      <c r="N4554" s="18" t="n">
        <v>20</v>
      </c>
      <c r="O4554" s="14" t="s">
        <v>1097</v>
      </c>
      <c r="P4554" s="14" t="s">
        <v>118</v>
      </c>
      <c r="Q4554" s="15" t="s">
        <v>1089</v>
      </c>
      <c r="R4554" s="16" t="s">
        <v>6247</v>
      </c>
      <c r="S4554" s="15" t="s">
        <v>5148</v>
      </c>
      <c r="T4554" s="15" t="s">
        <v>27976</v>
      </c>
      <c r="U4554" s="21" t="s">
        <v>72</v>
      </c>
    </row>
    <row r="4555" customFormat="false" ht="26.85" hidden="false" customHeight="false" outlineLevel="0" collapsed="false">
      <c r="A4555" s="15" t="s">
        <v>27937</v>
      </c>
      <c r="B4555" s="16"/>
      <c r="C4555" s="14" t="s">
        <v>27977</v>
      </c>
      <c r="D4555" s="14" t="s">
        <v>27978</v>
      </c>
      <c r="E4555" s="16" t="s">
        <v>27979</v>
      </c>
      <c r="F4555" s="16" t="s">
        <v>27980</v>
      </c>
      <c r="G4555" s="19" t="s">
        <v>41</v>
      </c>
      <c r="H4555" s="18" t="n">
        <v>1</v>
      </c>
      <c r="I4555" s="20" t="n">
        <v>122.185</v>
      </c>
      <c r="J4555" s="20" t="n">
        <v>242.82</v>
      </c>
      <c r="K4555" s="18" t="n">
        <v>8</v>
      </c>
      <c r="L4555" s="18" t="n">
        <v>2</v>
      </c>
      <c r="M4555" s="18" t="n">
        <v>160</v>
      </c>
      <c r="N4555" s="18" t="n">
        <v>40</v>
      </c>
      <c r="O4555" s="14" t="s">
        <v>1126</v>
      </c>
      <c r="P4555" s="14" t="s">
        <v>906</v>
      </c>
      <c r="Q4555" s="15" t="s">
        <v>1089</v>
      </c>
      <c r="R4555" s="16" t="s">
        <v>22876</v>
      </c>
      <c r="S4555" s="15" t="s">
        <v>27981</v>
      </c>
      <c r="T4555" s="15" t="s">
        <v>27981</v>
      </c>
      <c r="U4555" s="21" t="s">
        <v>72</v>
      </c>
    </row>
    <row r="4556" customFormat="false" ht="15" hidden="false" customHeight="false" outlineLevel="0" collapsed="false">
      <c r="A4556" s="15" t="s">
        <v>27937</v>
      </c>
      <c r="B4556" s="16"/>
      <c r="C4556" s="14" t="s">
        <v>27982</v>
      </c>
      <c r="D4556" s="14" t="s">
        <v>27983</v>
      </c>
      <c r="E4556" s="16" t="s">
        <v>27984</v>
      </c>
      <c r="F4556" s="16" t="s">
        <v>27985</v>
      </c>
      <c r="G4556" s="23" t="s">
        <v>43</v>
      </c>
      <c r="H4556" s="18" t="n">
        <v>2</v>
      </c>
      <c r="I4556" s="20" t="n">
        <v>83.95</v>
      </c>
      <c r="J4556" s="20" t="n">
        <v>98.03</v>
      </c>
      <c r="K4556" s="18" t="n">
        <v>4</v>
      </c>
      <c r="L4556" s="18" t="n">
        <v>2</v>
      </c>
      <c r="M4556" s="18" t="n">
        <v>48</v>
      </c>
      <c r="N4556" s="18" t="n">
        <v>48</v>
      </c>
      <c r="O4556" s="14" t="s">
        <v>1126</v>
      </c>
      <c r="P4556" s="14" t="s">
        <v>84</v>
      </c>
      <c r="Q4556" s="15" t="s">
        <v>1089</v>
      </c>
      <c r="R4556" s="16" t="s">
        <v>12516</v>
      </c>
      <c r="S4556" s="15" t="s">
        <v>27986</v>
      </c>
      <c r="T4556" s="15" t="s">
        <v>27987</v>
      </c>
      <c r="U4556" s="21" t="s">
        <v>72</v>
      </c>
    </row>
    <row r="4557" customFormat="false" ht="15" hidden="false" customHeight="false" outlineLevel="0" collapsed="false">
      <c r="A4557" s="15" t="s">
        <v>27937</v>
      </c>
      <c r="B4557" s="16"/>
      <c r="C4557" s="14" t="s">
        <v>27988</v>
      </c>
      <c r="D4557" s="14" t="s">
        <v>27989</v>
      </c>
      <c r="E4557" s="16" t="s">
        <v>27990</v>
      </c>
      <c r="F4557" s="16" t="s">
        <v>27991</v>
      </c>
      <c r="G4557" s="19" t="s">
        <v>41</v>
      </c>
      <c r="H4557" s="18" t="n">
        <v>3</v>
      </c>
      <c r="I4557" s="20" t="n">
        <v>117.52</v>
      </c>
      <c r="J4557" s="20" t="n">
        <v>266.45</v>
      </c>
      <c r="K4557" s="18" t="n">
        <v>9</v>
      </c>
      <c r="L4557" s="18" t="n">
        <v>2</v>
      </c>
      <c r="M4557" s="18" t="n">
        <v>64</v>
      </c>
      <c r="N4557" s="18" t="n">
        <v>2</v>
      </c>
      <c r="O4557" s="14" t="s">
        <v>1097</v>
      </c>
      <c r="P4557" s="14" t="s">
        <v>1716</v>
      </c>
      <c r="Q4557" s="15" t="s">
        <v>1089</v>
      </c>
      <c r="R4557" s="16" t="s">
        <v>27992</v>
      </c>
      <c r="S4557" s="15" t="s">
        <v>27993</v>
      </c>
      <c r="T4557" s="15" t="s">
        <v>27994</v>
      </c>
      <c r="U4557" s="21" t="s">
        <v>72</v>
      </c>
    </row>
    <row r="4558" customFormat="false" ht="15" hidden="false" customHeight="false" outlineLevel="0" collapsed="false">
      <c r="A4558" s="15" t="s">
        <v>27937</v>
      </c>
      <c r="B4558" s="16"/>
      <c r="C4558" s="14" t="s">
        <v>27995</v>
      </c>
      <c r="D4558" s="14" t="s">
        <v>27996</v>
      </c>
      <c r="E4558" s="16" t="s">
        <v>27997</v>
      </c>
      <c r="F4558" s="16" t="s">
        <v>27998</v>
      </c>
      <c r="G4558" s="19" t="s">
        <v>41</v>
      </c>
      <c r="H4558" s="18" t="n">
        <v>5</v>
      </c>
      <c r="I4558" s="20" t="n">
        <v>127.32</v>
      </c>
      <c r="J4558" s="20" t="n">
        <v>338.62</v>
      </c>
      <c r="K4558" s="18" t="n">
        <v>18</v>
      </c>
      <c r="L4558" s="18" t="n">
        <v>2</v>
      </c>
      <c r="M4558" s="18" t="n">
        <v>360</v>
      </c>
      <c r="N4558" s="18" t="n">
        <v>360</v>
      </c>
      <c r="O4558" s="14" t="s">
        <v>1088</v>
      </c>
      <c r="P4558" s="14" t="s">
        <v>84</v>
      </c>
      <c r="Q4558" s="15" t="s">
        <v>1089</v>
      </c>
      <c r="R4558" s="16" t="s">
        <v>27999</v>
      </c>
      <c r="S4558" s="15" t="s">
        <v>28000</v>
      </c>
      <c r="T4558" s="15" t="s">
        <v>28000</v>
      </c>
      <c r="U4558" s="21" t="s">
        <v>72</v>
      </c>
    </row>
    <row r="4559" customFormat="false" ht="39.55" hidden="false" customHeight="false" outlineLevel="0" collapsed="false">
      <c r="A4559" s="15" t="s">
        <v>27937</v>
      </c>
      <c r="B4559" s="16"/>
      <c r="C4559" s="14" t="s">
        <v>28001</v>
      </c>
      <c r="D4559" s="14" t="s">
        <v>28002</v>
      </c>
      <c r="E4559" s="16" t="s">
        <v>28003</v>
      </c>
      <c r="F4559" s="16" t="s">
        <v>28004</v>
      </c>
      <c r="G4559" s="19" t="s">
        <v>41</v>
      </c>
      <c r="H4559" s="18" t="n">
        <v>5</v>
      </c>
      <c r="I4559" s="20" t="n">
        <v>112.35</v>
      </c>
      <c r="J4559" s="20" t="n">
        <v>208.84</v>
      </c>
      <c r="K4559" s="18" t="n">
        <v>20</v>
      </c>
      <c r="L4559" s="18" t="n">
        <v>12</v>
      </c>
      <c r="M4559" s="18" t="n">
        <v>500</v>
      </c>
      <c r="N4559" s="18" t="n">
        <v>250</v>
      </c>
      <c r="O4559" s="14" t="s">
        <v>1097</v>
      </c>
      <c r="P4559" s="14" t="s">
        <v>952</v>
      </c>
      <c r="Q4559" s="15" t="s">
        <v>1089</v>
      </c>
      <c r="R4559" s="16" t="s">
        <v>28005</v>
      </c>
      <c r="S4559" s="15" t="s">
        <v>28006</v>
      </c>
      <c r="T4559" s="15" t="s">
        <v>28006</v>
      </c>
      <c r="U4559" s="21" t="s">
        <v>72</v>
      </c>
    </row>
    <row r="4560" customFormat="false" ht="15" hidden="false" customHeight="false" outlineLevel="0" collapsed="false">
      <c r="A4560" s="15" t="s">
        <v>27937</v>
      </c>
      <c r="B4560" s="16"/>
      <c r="C4560" s="14" t="s">
        <v>28007</v>
      </c>
      <c r="D4560" s="14" t="s">
        <v>28008</v>
      </c>
      <c r="E4560" s="16" t="s">
        <v>28009</v>
      </c>
      <c r="F4560" s="16" t="s">
        <v>28010</v>
      </c>
      <c r="G4560" s="23" t="s">
        <v>43</v>
      </c>
      <c r="H4560" s="18" t="n">
        <v>2</v>
      </c>
      <c r="I4560" s="20" t="n">
        <v>104.9</v>
      </c>
      <c r="J4560" s="20" t="n">
        <v>165.94</v>
      </c>
      <c r="K4560" s="18" t="n">
        <v>4</v>
      </c>
      <c r="L4560" s="18" t="n">
        <v>1</v>
      </c>
      <c r="M4560" s="18" t="n">
        <v>60</v>
      </c>
      <c r="N4560" s="18" t="n">
        <v>15</v>
      </c>
      <c r="O4560" s="14" t="s">
        <v>1097</v>
      </c>
      <c r="P4560" s="14" t="s">
        <v>226</v>
      </c>
      <c r="Q4560" s="15" t="s">
        <v>1089</v>
      </c>
      <c r="R4560" s="16" t="s">
        <v>25903</v>
      </c>
      <c r="S4560" s="15" t="s">
        <v>28011</v>
      </c>
      <c r="T4560" s="15" t="s">
        <v>28011</v>
      </c>
      <c r="U4560" s="21" t="s">
        <v>72</v>
      </c>
    </row>
    <row r="4561" customFormat="false" ht="15" hidden="false" customHeight="false" outlineLevel="0" collapsed="false">
      <c r="A4561" s="15" t="s">
        <v>27937</v>
      </c>
      <c r="B4561" s="16"/>
      <c r="C4561" s="14" t="s">
        <v>28012</v>
      </c>
      <c r="D4561" s="14" t="s">
        <v>28013</v>
      </c>
      <c r="E4561" s="16" t="s">
        <v>28014</v>
      </c>
      <c r="F4561" s="16" t="s">
        <v>28015</v>
      </c>
      <c r="G4561" s="23" t="s">
        <v>43</v>
      </c>
      <c r="H4561" s="18" t="n">
        <v>1</v>
      </c>
      <c r="I4561" s="20" t="n">
        <v>35.8</v>
      </c>
      <c r="J4561" s="20" t="n">
        <v>57.01</v>
      </c>
      <c r="K4561" s="18" t="n">
        <v>3</v>
      </c>
      <c r="L4561" s="18" t="n">
        <v>2</v>
      </c>
      <c r="M4561" s="18" t="n">
        <v>30</v>
      </c>
      <c r="N4561" s="18" t="n">
        <v>20</v>
      </c>
      <c r="O4561" s="14" t="s">
        <v>1126</v>
      </c>
      <c r="P4561" s="14" t="s">
        <v>118</v>
      </c>
      <c r="Q4561" s="15" t="s">
        <v>1089</v>
      </c>
      <c r="R4561" s="16" t="s">
        <v>28016</v>
      </c>
      <c r="S4561" s="15" t="s">
        <v>28017</v>
      </c>
      <c r="T4561" s="15" t="s">
        <v>28017</v>
      </c>
      <c r="U4561" s="21" t="s">
        <v>72</v>
      </c>
    </row>
    <row r="4562" customFormat="false" ht="15" hidden="false" customHeight="false" outlineLevel="0" collapsed="false">
      <c r="A4562" s="15" t="s">
        <v>27937</v>
      </c>
      <c r="B4562" s="16"/>
      <c r="C4562" s="14" t="s">
        <v>28018</v>
      </c>
      <c r="D4562" s="14" t="s">
        <v>28019</v>
      </c>
      <c r="E4562" s="16" t="s">
        <v>28020</v>
      </c>
      <c r="F4562" s="16" t="s">
        <v>28021</v>
      </c>
      <c r="G4562" s="23" t="s">
        <v>43</v>
      </c>
      <c r="H4562" s="18" t="n">
        <v>2</v>
      </c>
      <c r="I4562" s="20" t="n">
        <v>30.01</v>
      </c>
      <c r="J4562" s="20" t="n">
        <v>75.57</v>
      </c>
      <c r="K4562" s="18" t="n">
        <v>2</v>
      </c>
      <c r="L4562" s="18" t="n">
        <v>3</v>
      </c>
      <c r="M4562" s="18" t="n">
        <v>20</v>
      </c>
      <c r="N4562" s="18" t="n">
        <v>10</v>
      </c>
      <c r="O4562" s="14" t="s">
        <v>1097</v>
      </c>
      <c r="P4562" s="14" t="s">
        <v>118</v>
      </c>
      <c r="Q4562" s="15" t="s">
        <v>1089</v>
      </c>
      <c r="R4562" s="16" t="s">
        <v>5630</v>
      </c>
      <c r="S4562" s="15" t="s">
        <v>28022</v>
      </c>
      <c r="T4562" s="15" t="s">
        <v>28022</v>
      </c>
      <c r="U4562" s="21" t="s">
        <v>72</v>
      </c>
    </row>
    <row r="4563" customFormat="false" ht="15" hidden="false" customHeight="false" outlineLevel="0" collapsed="false">
      <c r="A4563" s="15" t="s">
        <v>27937</v>
      </c>
      <c r="B4563" s="16"/>
      <c r="C4563" s="14" t="s">
        <v>28023</v>
      </c>
      <c r="D4563" s="14" t="s">
        <v>28024</v>
      </c>
      <c r="E4563" s="16" t="s">
        <v>28025</v>
      </c>
      <c r="F4563" s="16" t="s">
        <v>28026</v>
      </c>
      <c r="G4563" s="23" t="s">
        <v>43</v>
      </c>
      <c r="H4563" s="18" t="n">
        <v>1</v>
      </c>
      <c r="I4563" s="20" t="n">
        <v>38</v>
      </c>
      <c r="J4563" s="20" t="n">
        <v>51.45</v>
      </c>
      <c r="K4563" s="18" t="n">
        <v>4</v>
      </c>
      <c r="L4563" s="18" t="n">
        <v>1</v>
      </c>
      <c r="M4563" s="18" t="n">
        <v>40</v>
      </c>
      <c r="N4563" s="18" t="n">
        <v>20</v>
      </c>
      <c r="O4563" s="14" t="s">
        <v>1097</v>
      </c>
      <c r="P4563" s="14" t="s">
        <v>118</v>
      </c>
      <c r="Q4563" s="15" t="s">
        <v>1089</v>
      </c>
      <c r="R4563" s="16" t="s">
        <v>6896</v>
      </c>
      <c r="S4563" s="15" t="s">
        <v>28027</v>
      </c>
      <c r="T4563" s="15" t="s">
        <v>28027</v>
      </c>
      <c r="U4563" s="21" t="s">
        <v>72</v>
      </c>
    </row>
    <row r="4564" customFormat="false" ht="26.85" hidden="false" customHeight="false" outlineLevel="0" collapsed="false">
      <c r="A4564" s="15" t="s">
        <v>27937</v>
      </c>
      <c r="B4564" s="16"/>
      <c r="C4564" s="14" t="s">
        <v>28028</v>
      </c>
      <c r="D4564" s="14" t="s">
        <v>28029</v>
      </c>
      <c r="E4564" s="16" t="s">
        <v>28030</v>
      </c>
      <c r="F4564" s="16" t="s">
        <v>27980</v>
      </c>
      <c r="G4564" s="19" t="s">
        <v>41</v>
      </c>
      <c r="H4564" s="18" t="n">
        <v>6</v>
      </c>
      <c r="I4564" s="20" t="n">
        <v>113.82</v>
      </c>
      <c r="J4564" s="20" t="n">
        <v>195.2</v>
      </c>
      <c r="K4564" s="18" t="n">
        <v>12</v>
      </c>
      <c r="L4564" s="18" t="n">
        <v>3</v>
      </c>
      <c r="M4564" s="18" t="n">
        <v>120</v>
      </c>
      <c r="N4564" s="18" t="n">
        <v>20</v>
      </c>
      <c r="O4564" s="14" t="s">
        <v>1126</v>
      </c>
      <c r="P4564" s="14" t="s">
        <v>906</v>
      </c>
      <c r="Q4564" s="15" t="s">
        <v>1089</v>
      </c>
      <c r="R4564" s="16" t="s">
        <v>15799</v>
      </c>
      <c r="S4564" s="15" t="s">
        <v>27981</v>
      </c>
      <c r="T4564" s="15" t="s">
        <v>28031</v>
      </c>
      <c r="U4564" s="21" t="s">
        <v>72</v>
      </c>
    </row>
    <row r="4565" customFormat="false" ht="39.55" hidden="false" customHeight="false" outlineLevel="0" collapsed="false">
      <c r="A4565" s="15" t="s">
        <v>27937</v>
      </c>
      <c r="B4565" s="16"/>
      <c r="C4565" s="14" t="s">
        <v>28032</v>
      </c>
      <c r="D4565" s="14" t="s">
        <v>28033</v>
      </c>
      <c r="E4565" s="16" t="s">
        <v>28034</v>
      </c>
      <c r="F4565" s="16" t="s">
        <v>28035</v>
      </c>
      <c r="G4565" s="23" t="s">
        <v>43</v>
      </c>
      <c r="H4565" s="18" t="n">
        <v>3</v>
      </c>
      <c r="I4565" s="20" t="n">
        <v>120.67</v>
      </c>
      <c r="J4565" s="20" t="n">
        <v>154.44</v>
      </c>
      <c r="K4565" s="18" t="n">
        <v>6</v>
      </c>
      <c r="L4565" s="18" t="n">
        <v>5</v>
      </c>
      <c r="M4565" s="18" t="n">
        <v>60</v>
      </c>
      <c r="N4565" s="18" t="n">
        <v>10</v>
      </c>
      <c r="O4565" s="14" t="s">
        <v>1126</v>
      </c>
      <c r="P4565" s="14" t="s">
        <v>952</v>
      </c>
      <c r="Q4565" s="15" t="s">
        <v>1089</v>
      </c>
      <c r="R4565" s="16" t="s">
        <v>13803</v>
      </c>
      <c r="S4565" s="15" t="s">
        <v>28036</v>
      </c>
      <c r="T4565" s="15" t="s">
        <v>28037</v>
      </c>
      <c r="U4565" s="21" t="s">
        <v>72</v>
      </c>
    </row>
    <row r="4566" customFormat="false" ht="15" hidden="false" customHeight="false" outlineLevel="0" collapsed="false">
      <c r="A4566" s="15" t="s">
        <v>27937</v>
      </c>
      <c r="B4566" s="16"/>
      <c r="C4566" s="14" t="s">
        <v>28038</v>
      </c>
      <c r="D4566" s="14" t="s">
        <v>28039</v>
      </c>
      <c r="E4566" s="16" t="s">
        <v>28040</v>
      </c>
      <c r="F4566" s="16" t="s">
        <v>28041</v>
      </c>
      <c r="G4566" s="19" t="s">
        <v>41</v>
      </c>
      <c r="H4566" s="18" t="n">
        <v>5</v>
      </c>
      <c r="I4566" s="20" t="n">
        <v>129.98</v>
      </c>
      <c r="J4566" s="20" t="n">
        <v>171.87</v>
      </c>
      <c r="K4566" s="18" t="n">
        <v>12</v>
      </c>
      <c r="L4566" s="18" t="n">
        <v>1</v>
      </c>
      <c r="M4566" s="18" t="n">
        <v>180</v>
      </c>
      <c r="N4566" s="18" t="n">
        <v>60</v>
      </c>
      <c r="O4566" s="14" t="s">
        <v>1097</v>
      </c>
      <c r="P4566" s="14" t="s">
        <v>118</v>
      </c>
      <c r="Q4566" s="15" t="s">
        <v>1089</v>
      </c>
      <c r="R4566" s="16" t="s">
        <v>28042</v>
      </c>
      <c r="S4566" s="15" t="s">
        <v>28043</v>
      </c>
      <c r="T4566" s="15" t="s">
        <v>28044</v>
      </c>
      <c r="U4566" s="21" t="s">
        <v>72</v>
      </c>
    </row>
    <row r="4567" customFormat="false" ht="15" hidden="false" customHeight="false" outlineLevel="0" collapsed="false">
      <c r="A4567" s="15" t="s">
        <v>27937</v>
      </c>
      <c r="B4567" s="15" t="s">
        <v>28045</v>
      </c>
      <c r="C4567" s="14" t="s">
        <v>28046</v>
      </c>
      <c r="D4567" s="14" t="s">
        <v>28047</v>
      </c>
      <c r="E4567" s="16" t="s">
        <v>28048</v>
      </c>
      <c r="F4567" s="16" t="s">
        <v>28049</v>
      </c>
      <c r="G4567" s="19" t="s">
        <v>41</v>
      </c>
      <c r="H4567" s="18" t="n">
        <v>7</v>
      </c>
      <c r="I4567" s="20" t="n">
        <v>218.2</v>
      </c>
      <c r="J4567" s="20" t="n">
        <v>335</v>
      </c>
      <c r="K4567" s="18" t="n">
        <v>7</v>
      </c>
      <c r="L4567" s="18" t="n">
        <v>9</v>
      </c>
      <c r="M4567" s="18" t="n">
        <v>182</v>
      </c>
      <c r="N4567" s="18" t="n">
        <v>182</v>
      </c>
      <c r="O4567" s="14" t="s">
        <v>1097</v>
      </c>
      <c r="P4567" s="14" t="s">
        <v>118</v>
      </c>
      <c r="Q4567" s="15" t="s">
        <v>1089</v>
      </c>
      <c r="R4567" s="16" t="s">
        <v>10166</v>
      </c>
      <c r="S4567" s="15" t="s">
        <v>27943</v>
      </c>
      <c r="T4567" s="15" t="s">
        <v>27943</v>
      </c>
      <c r="U4567" s="21" t="s">
        <v>72</v>
      </c>
    </row>
    <row r="4568" customFormat="false" ht="15" hidden="false" customHeight="false" outlineLevel="0" collapsed="false">
      <c r="A4568" s="15" t="s">
        <v>27937</v>
      </c>
      <c r="B4568" s="15" t="s">
        <v>28045</v>
      </c>
      <c r="C4568" s="14" t="s">
        <v>28050</v>
      </c>
      <c r="D4568" s="14" t="s">
        <v>28051</v>
      </c>
      <c r="E4568" s="16" t="s">
        <v>28052</v>
      </c>
      <c r="F4568" s="16" t="s">
        <v>28053</v>
      </c>
      <c r="G4568" s="19" t="s">
        <v>41</v>
      </c>
      <c r="H4568" s="18" t="n">
        <v>7</v>
      </c>
      <c r="I4568" s="20" t="n">
        <v>240.97</v>
      </c>
      <c r="J4568" s="20" t="n">
        <v>338.76</v>
      </c>
      <c r="K4568" s="18" t="n">
        <v>35</v>
      </c>
      <c r="L4568" s="18" t="n">
        <v>9</v>
      </c>
      <c r="M4568" s="18" t="n">
        <v>1155</v>
      </c>
      <c r="N4568" s="18" t="n">
        <v>1155</v>
      </c>
      <c r="O4568" s="14" t="s">
        <v>1126</v>
      </c>
      <c r="P4568" s="14" t="s">
        <v>84</v>
      </c>
      <c r="Q4568" s="15" t="s">
        <v>1089</v>
      </c>
      <c r="R4568" s="16" t="s">
        <v>23939</v>
      </c>
      <c r="S4568" s="15" t="s">
        <v>27943</v>
      </c>
      <c r="T4568" s="15" t="s">
        <v>28054</v>
      </c>
      <c r="U4568" s="21" t="s">
        <v>72</v>
      </c>
    </row>
    <row r="4569" customFormat="false" ht="15" hidden="false" customHeight="false" outlineLevel="0" collapsed="false">
      <c r="A4569" s="15" t="s">
        <v>27937</v>
      </c>
      <c r="B4569" s="15" t="s">
        <v>28045</v>
      </c>
      <c r="C4569" s="14" t="s">
        <v>28055</v>
      </c>
      <c r="D4569" s="14" t="s">
        <v>28056</v>
      </c>
      <c r="E4569" s="16" t="s">
        <v>10867</v>
      </c>
      <c r="F4569" s="16" t="s">
        <v>28057</v>
      </c>
      <c r="G4569" s="23" t="s">
        <v>43</v>
      </c>
      <c r="H4569" s="18" t="n">
        <v>3</v>
      </c>
      <c r="I4569" s="20" t="n">
        <v>48.7</v>
      </c>
      <c r="J4569" s="20" t="n">
        <v>125.88</v>
      </c>
      <c r="K4569" s="18" t="n">
        <v>10</v>
      </c>
      <c r="L4569" s="18" t="n">
        <v>6</v>
      </c>
      <c r="M4569" s="18" t="n">
        <v>150</v>
      </c>
      <c r="N4569" s="18" t="n">
        <v>150</v>
      </c>
      <c r="O4569" s="14" t="s">
        <v>1097</v>
      </c>
      <c r="P4569" s="14" t="s">
        <v>118</v>
      </c>
      <c r="Q4569" s="15" t="s">
        <v>1089</v>
      </c>
      <c r="R4569" s="16" t="s">
        <v>28058</v>
      </c>
      <c r="S4569" s="15" t="s">
        <v>28059</v>
      </c>
      <c r="T4569" s="15" t="s">
        <v>28059</v>
      </c>
      <c r="U4569" s="21" t="s">
        <v>72</v>
      </c>
    </row>
    <row r="4570" customFormat="false" ht="15" hidden="false" customHeight="false" outlineLevel="0" collapsed="false">
      <c r="A4570" s="15" t="s">
        <v>27937</v>
      </c>
      <c r="B4570" s="15" t="s">
        <v>28045</v>
      </c>
      <c r="C4570" s="14" t="s">
        <v>28060</v>
      </c>
      <c r="D4570" s="14" t="s">
        <v>28061</v>
      </c>
      <c r="E4570" s="16" t="s">
        <v>28062</v>
      </c>
      <c r="F4570" s="16" t="s">
        <v>28063</v>
      </c>
      <c r="G4570" s="25" t="s">
        <v>39</v>
      </c>
      <c r="H4570" s="18" t="n">
        <v>3</v>
      </c>
      <c r="I4570" s="20" t="n">
        <v>228.08</v>
      </c>
      <c r="J4570" s="20" t="n">
        <v>442.42</v>
      </c>
      <c r="K4570" s="18" t="n">
        <v>10</v>
      </c>
      <c r="L4570" s="18" t="n">
        <v>9</v>
      </c>
      <c r="M4570" s="18" t="n">
        <v>490</v>
      </c>
      <c r="N4570" s="18" t="n">
        <v>49</v>
      </c>
      <c r="O4570" s="14" t="s">
        <v>1097</v>
      </c>
      <c r="P4570" s="14" t="s">
        <v>8321</v>
      </c>
      <c r="Q4570" s="15" t="s">
        <v>1089</v>
      </c>
      <c r="R4570" s="16" t="s">
        <v>19504</v>
      </c>
      <c r="S4570" s="15" t="s">
        <v>26445</v>
      </c>
      <c r="T4570" s="15" t="s">
        <v>28064</v>
      </c>
      <c r="U4570" s="21" t="s">
        <v>72</v>
      </c>
    </row>
    <row r="4571" customFormat="false" ht="15" hidden="false" customHeight="false" outlineLevel="0" collapsed="false">
      <c r="A4571" s="15" t="s">
        <v>27937</v>
      </c>
      <c r="B4571" s="15" t="s">
        <v>28045</v>
      </c>
      <c r="C4571" s="14" t="s">
        <v>27445</v>
      </c>
      <c r="D4571" s="14" t="s">
        <v>28065</v>
      </c>
      <c r="E4571" s="16" t="s">
        <v>28066</v>
      </c>
      <c r="F4571" s="16" t="s">
        <v>28067</v>
      </c>
      <c r="G4571" s="25" t="s">
        <v>39</v>
      </c>
      <c r="H4571" s="18" t="n">
        <v>10</v>
      </c>
      <c r="I4571" s="20" t="n">
        <v>299.6</v>
      </c>
      <c r="J4571" s="20" t="n">
        <v>482.41</v>
      </c>
      <c r="K4571" s="18" t="n">
        <v>30</v>
      </c>
      <c r="L4571" s="18" t="n">
        <v>8</v>
      </c>
      <c r="M4571" s="18" t="n">
        <v>900</v>
      </c>
      <c r="N4571" s="18" t="n">
        <v>420</v>
      </c>
      <c r="O4571" s="14" t="s">
        <v>7240</v>
      </c>
      <c r="P4571" s="14" t="s">
        <v>118</v>
      </c>
      <c r="Q4571" s="15" t="s">
        <v>1089</v>
      </c>
      <c r="R4571" s="16" t="s">
        <v>28068</v>
      </c>
      <c r="S4571" s="15" t="s">
        <v>28069</v>
      </c>
      <c r="T4571" s="15" t="s">
        <v>28070</v>
      </c>
      <c r="U4571" s="21" t="s">
        <v>72</v>
      </c>
    </row>
    <row r="4572" customFormat="false" ht="15" hidden="false" customHeight="false" outlineLevel="0" collapsed="false">
      <c r="A4572" s="15" t="s">
        <v>27937</v>
      </c>
      <c r="B4572" s="15" t="s">
        <v>28045</v>
      </c>
      <c r="C4572" s="14" t="s">
        <v>28071</v>
      </c>
      <c r="D4572" s="14" t="s">
        <v>28072</v>
      </c>
      <c r="E4572" s="16" t="s">
        <v>28073</v>
      </c>
      <c r="F4572" s="16" t="s">
        <v>28074</v>
      </c>
      <c r="G4572" s="25" t="s">
        <v>39</v>
      </c>
      <c r="H4572" s="18" t="n">
        <v>3</v>
      </c>
      <c r="I4572" s="20" t="n">
        <v>133.16</v>
      </c>
      <c r="J4572" s="20" t="n">
        <v>460.54</v>
      </c>
      <c r="K4572" s="18" t="n">
        <v>6</v>
      </c>
      <c r="L4572" s="18" t="n">
        <v>2</v>
      </c>
      <c r="M4572" s="18" t="n">
        <v>64</v>
      </c>
      <c r="N4572" s="18" t="n">
        <v>40</v>
      </c>
      <c r="O4572" s="14" t="s">
        <v>1126</v>
      </c>
      <c r="P4572" s="14" t="s">
        <v>1166</v>
      </c>
      <c r="Q4572" s="15" t="s">
        <v>1089</v>
      </c>
      <c r="R4572" s="16" t="s">
        <v>9816</v>
      </c>
      <c r="S4572" s="15" t="s">
        <v>28075</v>
      </c>
      <c r="T4572" s="15" t="s">
        <v>28076</v>
      </c>
      <c r="U4572" s="21" t="s">
        <v>72</v>
      </c>
    </row>
    <row r="4573" customFormat="false" ht="15" hidden="false" customHeight="false" outlineLevel="0" collapsed="false">
      <c r="A4573" s="15" t="s">
        <v>27937</v>
      </c>
      <c r="B4573" s="15" t="s">
        <v>28045</v>
      </c>
      <c r="C4573" s="14" t="s">
        <v>28077</v>
      </c>
      <c r="D4573" s="14" t="s">
        <v>28078</v>
      </c>
      <c r="E4573" s="16" t="s">
        <v>28079</v>
      </c>
      <c r="F4573" s="16" t="s">
        <v>28080</v>
      </c>
      <c r="G4573" s="25" t="s">
        <v>39</v>
      </c>
      <c r="H4573" s="18" t="n">
        <v>9</v>
      </c>
      <c r="I4573" s="20" t="n">
        <v>202.29</v>
      </c>
      <c r="J4573" s="20" t="n">
        <v>341.43</v>
      </c>
      <c r="K4573" s="18" t="n">
        <v>10</v>
      </c>
      <c r="L4573" s="18" t="n">
        <v>5</v>
      </c>
      <c r="M4573" s="18" t="n">
        <v>150</v>
      </c>
      <c r="N4573" s="18" t="n">
        <v>150</v>
      </c>
      <c r="O4573" s="14" t="s">
        <v>25337</v>
      </c>
      <c r="P4573" s="14" t="s">
        <v>84</v>
      </c>
      <c r="Q4573" s="15" t="s">
        <v>1089</v>
      </c>
      <c r="R4573" s="16" t="s">
        <v>28081</v>
      </c>
      <c r="S4573" s="15" t="s">
        <v>28082</v>
      </c>
      <c r="T4573" s="15" t="s">
        <v>28083</v>
      </c>
      <c r="U4573" s="21" t="s">
        <v>72</v>
      </c>
    </row>
    <row r="4574" customFormat="false" ht="26.85" hidden="false" customHeight="false" outlineLevel="0" collapsed="false">
      <c r="A4574" s="15" t="s">
        <v>27937</v>
      </c>
      <c r="B4574" s="15" t="s">
        <v>28045</v>
      </c>
      <c r="C4574" s="14" t="s">
        <v>28084</v>
      </c>
      <c r="D4574" s="14" t="s">
        <v>28085</v>
      </c>
      <c r="E4574" s="16" t="s">
        <v>28086</v>
      </c>
      <c r="F4574" s="16" t="s">
        <v>28087</v>
      </c>
      <c r="G4574" s="19" t="s">
        <v>41</v>
      </c>
      <c r="H4574" s="18" t="n">
        <v>5</v>
      </c>
      <c r="I4574" s="20" t="n">
        <v>151.81</v>
      </c>
      <c r="J4574" s="20" t="n">
        <v>202.89</v>
      </c>
      <c r="K4574" s="18" t="n">
        <v>12</v>
      </c>
      <c r="L4574" s="18" t="n">
        <v>8</v>
      </c>
      <c r="M4574" s="18" t="n">
        <v>420</v>
      </c>
      <c r="N4574" s="18" t="n">
        <v>35</v>
      </c>
      <c r="O4574" s="14" t="s">
        <v>1126</v>
      </c>
      <c r="P4574" s="14" t="s">
        <v>12949</v>
      </c>
      <c r="Q4574" s="15" t="s">
        <v>1089</v>
      </c>
      <c r="R4574" s="16" t="s">
        <v>28088</v>
      </c>
      <c r="S4574" s="15" t="s">
        <v>28089</v>
      </c>
      <c r="T4574" s="15" t="s">
        <v>28090</v>
      </c>
      <c r="U4574" s="21" t="s">
        <v>72</v>
      </c>
    </row>
    <row r="4575" customFormat="false" ht="26.85" hidden="false" customHeight="false" outlineLevel="0" collapsed="false">
      <c r="A4575" s="15" t="s">
        <v>27937</v>
      </c>
      <c r="B4575" s="15" t="s">
        <v>28045</v>
      </c>
      <c r="C4575" s="14" t="s">
        <v>28091</v>
      </c>
      <c r="D4575" s="14" t="s">
        <v>28092</v>
      </c>
      <c r="E4575" s="16" t="s">
        <v>28093</v>
      </c>
      <c r="F4575" s="16" t="s">
        <v>28094</v>
      </c>
      <c r="G4575" s="19" t="s">
        <v>41</v>
      </c>
      <c r="H4575" s="18" t="n">
        <v>5</v>
      </c>
      <c r="I4575" s="20" t="n">
        <v>191</v>
      </c>
      <c r="J4575" s="20" t="n">
        <v>246.66</v>
      </c>
      <c r="K4575" s="18" t="n">
        <v>7</v>
      </c>
      <c r="L4575" s="18" t="n">
        <v>2</v>
      </c>
      <c r="M4575" s="18" t="n">
        <v>140</v>
      </c>
      <c r="N4575" s="18" t="n">
        <v>40</v>
      </c>
      <c r="O4575" s="14" t="s">
        <v>1126</v>
      </c>
      <c r="P4575" s="14" t="s">
        <v>1971</v>
      </c>
      <c r="Q4575" s="15" t="s">
        <v>1089</v>
      </c>
      <c r="R4575" s="16" t="s">
        <v>28095</v>
      </c>
      <c r="S4575" s="15" t="s">
        <v>28096</v>
      </c>
      <c r="T4575" s="15" t="s">
        <v>28096</v>
      </c>
      <c r="U4575" s="21" t="s">
        <v>72</v>
      </c>
    </row>
    <row r="4576" customFormat="false" ht="15" hidden="false" customHeight="false" outlineLevel="0" collapsed="false">
      <c r="A4576" s="15" t="s">
        <v>27937</v>
      </c>
      <c r="B4576" s="15" t="s">
        <v>28045</v>
      </c>
      <c r="C4576" s="14" t="s">
        <v>28097</v>
      </c>
      <c r="D4576" s="14" t="s">
        <v>28098</v>
      </c>
      <c r="E4576" s="16" t="s">
        <v>28099</v>
      </c>
      <c r="F4576" s="16" t="s">
        <v>28100</v>
      </c>
      <c r="G4576" s="19" t="s">
        <v>41</v>
      </c>
      <c r="H4576" s="18" t="n">
        <v>6</v>
      </c>
      <c r="I4576" s="20" t="n">
        <v>57.75</v>
      </c>
      <c r="J4576" s="20" t="n">
        <v>88.19</v>
      </c>
      <c r="K4576" s="18" t="n">
        <v>27</v>
      </c>
      <c r="L4576" s="18" t="n">
        <v>4</v>
      </c>
      <c r="M4576" s="18" t="n">
        <v>33</v>
      </c>
      <c r="N4576" s="18" t="n">
        <v>8</v>
      </c>
      <c r="O4576" s="14" t="s">
        <v>1126</v>
      </c>
      <c r="P4576" s="14" t="s">
        <v>202</v>
      </c>
      <c r="Q4576" s="15" t="s">
        <v>1089</v>
      </c>
      <c r="R4576" s="16" t="s">
        <v>17685</v>
      </c>
      <c r="S4576" s="15" t="s">
        <v>28101</v>
      </c>
      <c r="T4576" s="15" t="s">
        <v>28101</v>
      </c>
      <c r="U4576" s="21" t="s">
        <v>72</v>
      </c>
    </row>
    <row r="4577" customFormat="false" ht="15" hidden="false" customHeight="false" outlineLevel="0" collapsed="false">
      <c r="A4577" s="15" t="s">
        <v>27937</v>
      </c>
      <c r="B4577" s="15" t="s">
        <v>28045</v>
      </c>
      <c r="C4577" s="14" t="s">
        <v>28102</v>
      </c>
      <c r="D4577" s="14" t="s">
        <v>28103</v>
      </c>
      <c r="E4577" s="16" t="s">
        <v>28104</v>
      </c>
      <c r="F4577" s="16" t="s">
        <v>28105</v>
      </c>
      <c r="G4577" s="23" t="s">
        <v>43</v>
      </c>
      <c r="H4577" s="18" t="n">
        <v>3</v>
      </c>
      <c r="I4577" s="20" t="n">
        <v>57.88</v>
      </c>
      <c r="J4577" s="20" t="n">
        <v>106.56</v>
      </c>
      <c r="K4577" s="18" t="n">
        <v>11</v>
      </c>
      <c r="L4577" s="18" t="n">
        <v>2</v>
      </c>
      <c r="M4577" s="18" t="n">
        <v>110</v>
      </c>
      <c r="N4577" s="18" t="n">
        <v>40</v>
      </c>
      <c r="O4577" s="14" t="s">
        <v>1097</v>
      </c>
      <c r="P4577" s="14" t="s">
        <v>118</v>
      </c>
      <c r="Q4577" s="15" t="s">
        <v>1089</v>
      </c>
      <c r="R4577" s="16" t="s">
        <v>13752</v>
      </c>
      <c r="S4577" s="15" t="s">
        <v>28106</v>
      </c>
      <c r="T4577" s="15" t="s">
        <v>28106</v>
      </c>
      <c r="U4577" s="21" t="s">
        <v>72</v>
      </c>
    </row>
    <row r="4578" customFormat="false" ht="15" hidden="false" customHeight="false" outlineLevel="0" collapsed="false">
      <c r="A4578" s="15" t="s">
        <v>27937</v>
      </c>
      <c r="B4578" s="15" t="s">
        <v>28045</v>
      </c>
      <c r="C4578" s="14" t="s">
        <v>28107</v>
      </c>
      <c r="D4578" s="14" t="s">
        <v>28108</v>
      </c>
      <c r="E4578" s="16" t="s">
        <v>28109</v>
      </c>
      <c r="F4578" s="16" t="s">
        <v>28110</v>
      </c>
      <c r="G4578" s="25" t="s">
        <v>39</v>
      </c>
      <c r="H4578" s="18" t="n">
        <v>7</v>
      </c>
      <c r="I4578" s="20" t="n">
        <v>186.5</v>
      </c>
      <c r="J4578" s="20" t="n">
        <v>419.62</v>
      </c>
      <c r="K4578" s="18" t="n">
        <v>26</v>
      </c>
      <c r="L4578" s="18" t="n">
        <v>8</v>
      </c>
      <c r="M4578" s="18" t="n">
        <v>314</v>
      </c>
      <c r="N4578" s="18" t="n">
        <v>190</v>
      </c>
      <c r="O4578" s="14" t="s">
        <v>28111</v>
      </c>
      <c r="P4578" s="14" t="s">
        <v>1166</v>
      </c>
      <c r="Q4578" s="15" t="s">
        <v>1089</v>
      </c>
      <c r="R4578" s="16" t="s">
        <v>28112</v>
      </c>
      <c r="S4578" s="15" t="s">
        <v>28113</v>
      </c>
      <c r="T4578" s="15" t="s">
        <v>28114</v>
      </c>
      <c r="U4578" s="21" t="s">
        <v>72</v>
      </c>
    </row>
    <row r="4579" customFormat="false" ht="15" hidden="false" customHeight="false" outlineLevel="0" collapsed="false">
      <c r="A4579" s="15" t="s">
        <v>27937</v>
      </c>
      <c r="B4579" s="15" t="s">
        <v>28045</v>
      </c>
      <c r="C4579" s="14" t="s">
        <v>28115</v>
      </c>
      <c r="D4579" s="14" t="s">
        <v>28116</v>
      </c>
      <c r="E4579" s="16" t="s">
        <v>28117</v>
      </c>
      <c r="F4579" s="16" t="s">
        <v>28118</v>
      </c>
      <c r="G4579" s="19" t="s">
        <v>41</v>
      </c>
      <c r="H4579" s="18" t="n">
        <v>6</v>
      </c>
      <c r="I4579" s="20" t="n">
        <v>144.25</v>
      </c>
      <c r="J4579" s="20" t="n">
        <v>241.99</v>
      </c>
      <c r="K4579" s="18" t="n">
        <v>10</v>
      </c>
      <c r="L4579" s="18" t="n">
        <v>6</v>
      </c>
      <c r="M4579" s="18" t="n">
        <v>200</v>
      </c>
      <c r="N4579" s="18" t="n">
        <v>120</v>
      </c>
      <c r="O4579" s="14" t="s">
        <v>1097</v>
      </c>
      <c r="P4579" s="14" t="s">
        <v>118</v>
      </c>
      <c r="Q4579" s="15" t="s">
        <v>1089</v>
      </c>
      <c r="R4579" s="16" t="s">
        <v>28119</v>
      </c>
      <c r="S4579" s="15" t="s">
        <v>28120</v>
      </c>
      <c r="T4579" s="15" t="s">
        <v>28120</v>
      </c>
      <c r="U4579" s="21" t="s">
        <v>72</v>
      </c>
    </row>
    <row r="4580" customFormat="false" ht="15" hidden="false" customHeight="false" outlineLevel="0" collapsed="false">
      <c r="A4580" s="15" t="s">
        <v>27937</v>
      </c>
      <c r="B4580" s="15" t="s">
        <v>28045</v>
      </c>
      <c r="C4580" s="14" t="s">
        <v>28121</v>
      </c>
      <c r="D4580" s="14" t="s">
        <v>28122</v>
      </c>
      <c r="E4580" s="16" t="s">
        <v>28123</v>
      </c>
      <c r="F4580" s="16" t="s">
        <v>28124</v>
      </c>
      <c r="G4580" s="19" t="s">
        <v>41</v>
      </c>
      <c r="H4580" s="18" t="n">
        <v>3</v>
      </c>
      <c r="I4580" s="20" t="n">
        <v>219.09</v>
      </c>
      <c r="J4580" s="20" t="n">
        <v>275.72</v>
      </c>
      <c r="K4580" s="18" t="n">
        <v>3</v>
      </c>
      <c r="L4580" s="18" t="n">
        <v>1</v>
      </c>
      <c r="M4580" s="18" t="n">
        <v>45</v>
      </c>
      <c r="N4580" s="18" t="n">
        <v>45</v>
      </c>
      <c r="O4580" s="14" t="s">
        <v>1088</v>
      </c>
      <c r="P4580" s="14" t="s">
        <v>84</v>
      </c>
      <c r="Q4580" s="15" t="s">
        <v>1089</v>
      </c>
      <c r="R4580" s="16" t="s">
        <v>20846</v>
      </c>
      <c r="S4580" s="15" t="s">
        <v>28125</v>
      </c>
      <c r="T4580" s="15" t="s">
        <v>28125</v>
      </c>
      <c r="U4580" s="21" t="s">
        <v>72</v>
      </c>
    </row>
    <row r="4581" customFormat="false" ht="15" hidden="false" customHeight="false" outlineLevel="0" collapsed="false">
      <c r="A4581" s="15" t="s">
        <v>27937</v>
      </c>
      <c r="B4581" s="15" t="s">
        <v>28045</v>
      </c>
      <c r="C4581" s="14" t="s">
        <v>28126</v>
      </c>
      <c r="D4581" s="14" t="s">
        <v>28127</v>
      </c>
      <c r="E4581" s="16" t="s">
        <v>28128</v>
      </c>
      <c r="F4581" s="16" t="s">
        <v>28129</v>
      </c>
      <c r="G4581" s="25" t="s">
        <v>39</v>
      </c>
      <c r="H4581" s="18" t="n">
        <v>13</v>
      </c>
      <c r="I4581" s="20" t="n">
        <v>533.19</v>
      </c>
      <c r="J4581" s="20" t="n">
        <v>533.19</v>
      </c>
      <c r="K4581" s="18" t="n">
        <v>28</v>
      </c>
      <c r="L4581" s="18" t="n">
        <v>13</v>
      </c>
      <c r="M4581" s="18" t="n">
        <v>1010</v>
      </c>
      <c r="N4581" s="18" t="n">
        <v>400</v>
      </c>
      <c r="O4581" s="14" t="s">
        <v>1097</v>
      </c>
      <c r="P4581" s="14" t="s">
        <v>118</v>
      </c>
      <c r="Q4581" s="15" t="s">
        <v>1089</v>
      </c>
      <c r="R4581" s="16" t="s">
        <v>22715</v>
      </c>
      <c r="S4581" s="15" t="s">
        <v>28130</v>
      </c>
      <c r="T4581" s="15" t="s">
        <v>28131</v>
      </c>
      <c r="U4581" s="21" t="s">
        <v>72</v>
      </c>
    </row>
    <row r="4582" customFormat="false" ht="15" hidden="false" customHeight="false" outlineLevel="0" collapsed="false">
      <c r="A4582" s="15" t="s">
        <v>27937</v>
      </c>
      <c r="B4582" s="15" t="s">
        <v>28045</v>
      </c>
      <c r="C4582" s="14" t="s">
        <v>28132</v>
      </c>
      <c r="D4582" s="14" t="s">
        <v>28133</v>
      </c>
      <c r="E4582" s="16" t="s">
        <v>28134</v>
      </c>
      <c r="F4582" s="16" t="s">
        <v>28135</v>
      </c>
      <c r="G4582" s="25" t="s">
        <v>39</v>
      </c>
      <c r="H4582" s="18" t="n">
        <v>8</v>
      </c>
      <c r="I4582" s="20" t="n">
        <v>113.78</v>
      </c>
      <c r="J4582" s="20" t="n">
        <v>382.1</v>
      </c>
      <c r="K4582" s="18" t="n">
        <v>9</v>
      </c>
      <c r="L4582" s="18" t="n">
        <v>2</v>
      </c>
      <c r="M4582" s="18" t="n">
        <v>135</v>
      </c>
      <c r="N4582" s="18" t="n">
        <v>120</v>
      </c>
      <c r="O4582" s="14" t="s">
        <v>1126</v>
      </c>
      <c r="P4582" s="14" t="s">
        <v>1166</v>
      </c>
      <c r="Q4582" s="15" t="s">
        <v>1089</v>
      </c>
      <c r="R4582" s="16" t="s">
        <v>18322</v>
      </c>
      <c r="S4582" s="15" t="s">
        <v>28136</v>
      </c>
      <c r="T4582" s="15" t="s">
        <v>28136</v>
      </c>
      <c r="U4582" s="21" t="s">
        <v>72</v>
      </c>
    </row>
    <row r="4583" customFormat="false" ht="15" hidden="false" customHeight="false" outlineLevel="0" collapsed="false">
      <c r="A4583" s="15" t="s">
        <v>27937</v>
      </c>
      <c r="B4583" s="15" t="s">
        <v>28045</v>
      </c>
      <c r="C4583" s="14" t="s">
        <v>28137</v>
      </c>
      <c r="D4583" s="14" t="s">
        <v>28138</v>
      </c>
      <c r="E4583" s="16" t="s">
        <v>28139</v>
      </c>
      <c r="F4583" s="16" t="s">
        <v>28140</v>
      </c>
      <c r="G4583" s="19" t="s">
        <v>41</v>
      </c>
      <c r="H4583" s="18" t="n">
        <v>7</v>
      </c>
      <c r="I4583" s="20" t="n">
        <v>178.59</v>
      </c>
      <c r="J4583" s="20" t="n">
        <v>333.9</v>
      </c>
      <c r="K4583" s="18" t="n">
        <v>23</v>
      </c>
      <c r="L4583" s="18" t="n">
        <v>6</v>
      </c>
      <c r="M4583" s="18" t="n">
        <v>368</v>
      </c>
      <c r="N4583" s="18" t="n">
        <v>128</v>
      </c>
      <c r="O4583" s="14" t="s">
        <v>1126</v>
      </c>
      <c r="P4583" s="14" t="s">
        <v>118</v>
      </c>
      <c r="Q4583" s="15" t="s">
        <v>1089</v>
      </c>
      <c r="R4583" s="16" t="s">
        <v>11447</v>
      </c>
      <c r="S4583" s="15" t="s">
        <v>28141</v>
      </c>
      <c r="T4583" s="15" t="s">
        <v>28141</v>
      </c>
      <c r="U4583" s="21" t="s">
        <v>72</v>
      </c>
    </row>
    <row r="4584" customFormat="false" ht="26.85" hidden="false" customHeight="false" outlineLevel="0" collapsed="false">
      <c r="A4584" s="15" t="s">
        <v>27937</v>
      </c>
      <c r="B4584" s="15" t="s">
        <v>28045</v>
      </c>
      <c r="C4584" s="14" t="s">
        <v>28142</v>
      </c>
      <c r="D4584" s="14" t="s">
        <v>28143</v>
      </c>
      <c r="E4584" s="16" t="s">
        <v>28144</v>
      </c>
      <c r="F4584" s="16" t="s">
        <v>28145</v>
      </c>
      <c r="G4584" s="23" t="s">
        <v>43</v>
      </c>
      <c r="H4584" s="18" t="n">
        <v>2</v>
      </c>
      <c r="I4584" s="20" t="n">
        <v>44.35</v>
      </c>
      <c r="J4584" s="20" t="n">
        <v>76.4</v>
      </c>
      <c r="K4584" s="18" t="n">
        <v>7</v>
      </c>
      <c r="L4584" s="18" t="n">
        <v>7</v>
      </c>
      <c r="M4584" s="18" t="n">
        <v>105</v>
      </c>
      <c r="N4584" s="18" t="n">
        <v>30</v>
      </c>
      <c r="O4584" s="14" t="s">
        <v>1088</v>
      </c>
      <c r="P4584" s="14" t="s">
        <v>352</v>
      </c>
      <c r="Q4584" s="15" t="s">
        <v>1089</v>
      </c>
      <c r="R4584" s="16" t="s">
        <v>28146</v>
      </c>
      <c r="S4584" s="15" t="s">
        <v>28147</v>
      </c>
      <c r="T4584" s="15" t="s">
        <v>28147</v>
      </c>
      <c r="U4584" s="21" t="s">
        <v>72</v>
      </c>
    </row>
    <row r="4585" customFormat="false" ht="15" hidden="false" customHeight="false" outlineLevel="0" collapsed="false">
      <c r="A4585" s="15" t="s">
        <v>27937</v>
      </c>
      <c r="B4585" s="15" t="s">
        <v>28045</v>
      </c>
      <c r="C4585" s="14" t="s">
        <v>28148</v>
      </c>
      <c r="D4585" s="14" t="s">
        <v>28149</v>
      </c>
      <c r="E4585" s="16" t="s">
        <v>28150</v>
      </c>
      <c r="F4585" s="16" t="s">
        <v>28151</v>
      </c>
      <c r="G4585" s="19" t="s">
        <v>41</v>
      </c>
      <c r="H4585" s="18" t="n">
        <v>6</v>
      </c>
      <c r="I4585" s="20" t="n">
        <v>175.9</v>
      </c>
      <c r="J4585" s="20" t="n">
        <v>229.6</v>
      </c>
      <c r="K4585" s="18" t="n">
        <v>13</v>
      </c>
      <c r="L4585" s="18" t="n">
        <v>3</v>
      </c>
      <c r="M4585" s="18" t="n">
        <v>260</v>
      </c>
      <c r="N4585" s="18" t="n">
        <v>160</v>
      </c>
      <c r="O4585" s="14" t="s">
        <v>1088</v>
      </c>
      <c r="P4585" s="14" t="s">
        <v>202</v>
      </c>
      <c r="Q4585" s="15" t="s">
        <v>1089</v>
      </c>
      <c r="R4585" s="16" t="s">
        <v>13414</v>
      </c>
      <c r="S4585" s="15" t="s">
        <v>28152</v>
      </c>
      <c r="T4585" s="15" t="s">
        <v>28153</v>
      </c>
      <c r="U4585" s="21" t="s">
        <v>72</v>
      </c>
    </row>
    <row r="4586" customFormat="false" ht="26.85" hidden="false" customHeight="false" outlineLevel="0" collapsed="false">
      <c r="A4586" s="15" t="s">
        <v>27937</v>
      </c>
      <c r="B4586" s="15" t="s">
        <v>28045</v>
      </c>
      <c r="C4586" s="14" t="s">
        <v>28154</v>
      </c>
      <c r="D4586" s="14" t="s">
        <v>28155</v>
      </c>
      <c r="E4586" s="16" t="s">
        <v>28156</v>
      </c>
      <c r="F4586" s="16" t="s">
        <v>28157</v>
      </c>
      <c r="G4586" s="23" t="s">
        <v>43</v>
      </c>
      <c r="H4586" s="18" t="n">
        <v>1</v>
      </c>
      <c r="I4586" s="20" t="n">
        <v>37.68</v>
      </c>
      <c r="J4586" s="20" t="n">
        <v>65.95</v>
      </c>
      <c r="K4586" s="18" t="n">
        <v>14</v>
      </c>
      <c r="L4586" s="18" t="n">
        <v>6</v>
      </c>
      <c r="M4586" s="18" t="n">
        <v>200</v>
      </c>
      <c r="N4586" s="18" t="n">
        <v>128</v>
      </c>
      <c r="O4586" s="14" t="s">
        <v>28158</v>
      </c>
      <c r="P4586" s="14" t="s">
        <v>906</v>
      </c>
      <c r="Q4586" s="15" t="s">
        <v>1089</v>
      </c>
      <c r="R4586" s="16" t="s">
        <v>18878</v>
      </c>
      <c r="S4586" s="15" t="s">
        <v>28159</v>
      </c>
      <c r="T4586" s="15" t="s">
        <v>28159</v>
      </c>
      <c r="U4586" s="21" t="s">
        <v>72</v>
      </c>
    </row>
    <row r="4587" customFormat="false" ht="15" hidden="false" customHeight="false" outlineLevel="0" collapsed="false">
      <c r="A4587" s="15" t="s">
        <v>27937</v>
      </c>
      <c r="B4587" s="15" t="s">
        <v>28045</v>
      </c>
      <c r="C4587" s="14" t="s">
        <v>28160</v>
      </c>
      <c r="D4587" s="14" t="s">
        <v>28161</v>
      </c>
      <c r="E4587" s="16" t="s">
        <v>10867</v>
      </c>
      <c r="F4587" s="16" t="s">
        <v>28162</v>
      </c>
      <c r="G4587" s="19" t="s">
        <v>41</v>
      </c>
      <c r="H4587" s="18" t="n">
        <v>7</v>
      </c>
      <c r="I4587" s="20" t="n">
        <v>176.48</v>
      </c>
      <c r="J4587" s="20" t="n">
        <v>253.96</v>
      </c>
      <c r="K4587" s="18" t="n">
        <v>28</v>
      </c>
      <c r="L4587" s="18" t="n">
        <v>8</v>
      </c>
      <c r="M4587" s="18" t="n">
        <v>560</v>
      </c>
      <c r="N4587" s="18" t="n">
        <v>540</v>
      </c>
      <c r="O4587" s="14" t="s">
        <v>1097</v>
      </c>
      <c r="P4587" s="14" t="s">
        <v>84</v>
      </c>
      <c r="Q4587" s="15" t="s">
        <v>1089</v>
      </c>
      <c r="R4587" s="16" t="s">
        <v>8551</v>
      </c>
      <c r="S4587" s="15" t="s">
        <v>28163</v>
      </c>
      <c r="T4587" s="15" t="s">
        <v>28163</v>
      </c>
      <c r="U4587" s="21" t="s">
        <v>72</v>
      </c>
    </row>
    <row r="4588" customFormat="false" ht="15" hidden="false" customHeight="false" outlineLevel="0" collapsed="false">
      <c r="A4588" s="15" t="s">
        <v>27937</v>
      </c>
      <c r="B4588" s="15" t="s">
        <v>28045</v>
      </c>
      <c r="C4588" s="14" t="s">
        <v>28164</v>
      </c>
      <c r="D4588" s="14" t="s">
        <v>28165</v>
      </c>
      <c r="E4588" s="16" t="s">
        <v>28166</v>
      </c>
      <c r="F4588" s="16" t="s">
        <v>28167</v>
      </c>
      <c r="G4588" s="23" t="s">
        <v>43</v>
      </c>
      <c r="H4588" s="18" t="n">
        <v>2</v>
      </c>
      <c r="I4588" s="20" t="n">
        <v>88.173</v>
      </c>
      <c r="J4588" s="20" t="n">
        <v>142.25</v>
      </c>
      <c r="K4588" s="18" t="n">
        <v>6</v>
      </c>
      <c r="L4588" s="18" t="n">
        <v>3</v>
      </c>
      <c r="M4588" s="18" t="n">
        <v>120</v>
      </c>
      <c r="N4588" s="18" t="n">
        <v>40</v>
      </c>
      <c r="O4588" s="14" t="s">
        <v>1097</v>
      </c>
      <c r="P4588" s="14" t="s">
        <v>118</v>
      </c>
      <c r="Q4588" s="15" t="s">
        <v>1089</v>
      </c>
      <c r="R4588" s="16" t="s">
        <v>5895</v>
      </c>
      <c r="S4588" s="15" t="s">
        <v>28168</v>
      </c>
      <c r="T4588" s="15" t="s">
        <v>28168</v>
      </c>
      <c r="U4588" s="21" t="s">
        <v>72</v>
      </c>
    </row>
    <row r="4589" customFormat="false" ht="15" hidden="false" customHeight="false" outlineLevel="0" collapsed="false">
      <c r="A4589" s="15" t="s">
        <v>27937</v>
      </c>
      <c r="B4589" s="15" t="s">
        <v>28045</v>
      </c>
      <c r="C4589" s="14" t="s">
        <v>28169</v>
      </c>
      <c r="D4589" s="14" t="s">
        <v>28170</v>
      </c>
      <c r="E4589" s="16" t="s">
        <v>28171</v>
      </c>
      <c r="F4589" s="16"/>
      <c r="G4589" s="23" t="s">
        <v>43</v>
      </c>
      <c r="H4589" s="18" t="n">
        <v>2</v>
      </c>
      <c r="I4589" s="20" t="n">
        <v>127.56</v>
      </c>
      <c r="J4589" s="20" t="n">
        <v>131.15</v>
      </c>
      <c r="K4589" s="18" t="n">
        <v>10</v>
      </c>
      <c r="L4589" s="18" t="n">
        <v>2</v>
      </c>
      <c r="M4589" s="18" t="n">
        <v>250</v>
      </c>
      <c r="N4589" s="18" t="n">
        <v>50</v>
      </c>
      <c r="O4589" s="14" t="s">
        <v>1097</v>
      </c>
      <c r="P4589" s="14" t="s">
        <v>334</v>
      </c>
      <c r="Q4589" s="15" t="s">
        <v>1089</v>
      </c>
      <c r="R4589" s="16" t="s">
        <v>17598</v>
      </c>
      <c r="S4589" s="15" t="s">
        <v>28172</v>
      </c>
      <c r="T4589" s="15" t="s">
        <v>28173</v>
      </c>
      <c r="U4589" s="21" t="s">
        <v>72</v>
      </c>
    </row>
    <row r="4590" customFormat="false" ht="15" hidden="false" customHeight="false" outlineLevel="0" collapsed="false">
      <c r="A4590" s="15" t="s">
        <v>27937</v>
      </c>
      <c r="B4590" s="15" t="s">
        <v>28045</v>
      </c>
      <c r="C4590" s="14" t="s">
        <v>28174</v>
      </c>
      <c r="D4590" s="14" t="s">
        <v>28175</v>
      </c>
      <c r="E4590" s="16" t="s">
        <v>28176</v>
      </c>
      <c r="F4590" s="16" t="s">
        <v>28177</v>
      </c>
      <c r="G4590" s="23" t="s">
        <v>43</v>
      </c>
      <c r="H4590" s="18" t="n">
        <v>3</v>
      </c>
      <c r="I4590" s="20" t="n">
        <v>87.66</v>
      </c>
      <c r="J4590" s="20" t="n">
        <v>137.75</v>
      </c>
      <c r="K4590" s="18" t="n">
        <v>5</v>
      </c>
      <c r="L4590" s="18" t="n">
        <v>2</v>
      </c>
      <c r="M4590" s="18" t="n">
        <v>90</v>
      </c>
      <c r="N4590" s="18" t="n">
        <v>75</v>
      </c>
      <c r="O4590" s="14" t="s">
        <v>28178</v>
      </c>
      <c r="P4590" s="14" t="s">
        <v>118</v>
      </c>
      <c r="Q4590" s="15" t="s">
        <v>1089</v>
      </c>
      <c r="R4590" s="16" t="s">
        <v>15123</v>
      </c>
      <c r="S4590" s="15" t="s">
        <v>7848</v>
      </c>
      <c r="T4590" s="15" t="s">
        <v>7848</v>
      </c>
      <c r="U4590" s="21" t="s">
        <v>72</v>
      </c>
    </row>
    <row r="4591" customFormat="false" ht="15" hidden="false" customHeight="false" outlineLevel="0" collapsed="false">
      <c r="A4591" s="15" t="s">
        <v>27937</v>
      </c>
      <c r="B4591" s="15" t="s">
        <v>28045</v>
      </c>
      <c r="C4591" s="14" t="s">
        <v>28179</v>
      </c>
      <c r="D4591" s="14" t="s">
        <v>28180</v>
      </c>
      <c r="E4591" s="16" t="s">
        <v>28181</v>
      </c>
      <c r="F4591" s="16"/>
      <c r="G4591" s="23" t="s">
        <v>43</v>
      </c>
      <c r="H4591" s="18" t="n">
        <v>2</v>
      </c>
      <c r="I4591" s="20" t="n">
        <v>117.54</v>
      </c>
      <c r="J4591" s="20" t="n">
        <v>168.81</v>
      </c>
      <c r="K4591" s="18" t="n">
        <v>1</v>
      </c>
      <c r="L4591" s="18" t="n">
        <v>1</v>
      </c>
      <c r="M4591" s="18" t="n">
        <v>25</v>
      </c>
      <c r="N4591" s="18" t="n">
        <v>25</v>
      </c>
      <c r="O4591" s="14" t="s">
        <v>1088</v>
      </c>
      <c r="P4591" s="14" t="s">
        <v>84</v>
      </c>
      <c r="Q4591" s="15" t="s">
        <v>1089</v>
      </c>
      <c r="R4591" s="16" t="s">
        <v>28182</v>
      </c>
      <c r="S4591" s="15" t="s">
        <v>28183</v>
      </c>
      <c r="T4591" s="15" t="s">
        <v>28183</v>
      </c>
      <c r="U4591" s="21" t="s">
        <v>72</v>
      </c>
    </row>
    <row r="4592" customFormat="false" ht="15" hidden="false" customHeight="false" outlineLevel="0" collapsed="false">
      <c r="A4592" s="15" t="s">
        <v>27937</v>
      </c>
      <c r="B4592" s="15" t="s">
        <v>28045</v>
      </c>
      <c r="C4592" s="14" t="s">
        <v>28184</v>
      </c>
      <c r="D4592" s="14" t="s">
        <v>28185</v>
      </c>
      <c r="E4592" s="16" t="s">
        <v>28186</v>
      </c>
      <c r="F4592" s="16" t="s">
        <v>28187</v>
      </c>
      <c r="G4592" s="19" t="s">
        <v>41</v>
      </c>
      <c r="H4592" s="18" t="n">
        <v>5</v>
      </c>
      <c r="I4592" s="20" t="n">
        <v>113.71</v>
      </c>
      <c r="J4592" s="20" t="n">
        <v>245.43</v>
      </c>
      <c r="K4592" s="18" t="n">
        <v>24</v>
      </c>
      <c r="L4592" s="18" t="n">
        <v>8</v>
      </c>
      <c r="M4592" s="18" t="n">
        <v>576</v>
      </c>
      <c r="N4592" s="18" t="n">
        <v>144</v>
      </c>
      <c r="O4592" s="14" t="s">
        <v>1097</v>
      </c>
      <c r="P4592" s="14" t="s">
        <v>118</v>
      </c>
      <c r="Q4592" s="15" t="s">
        <v>1089</v>
      </c>
      <c r="R4592" s="16" t="s">
        <v>20921</v>
      </c>
      <c r="S4592" s="15" t="s">
        <v>28188</v>
      </c>
      <c r="T4592" s="15" t="s">
        <v>28188</v>
      </c>
      <c r="U4592" s="21" t="s">
        <v>72</v>
      </c>
    </row>
    <row r="4593" customFormat="false" ht="15" hidden="false" customHeight="false" outlineLevel="0" collapsed="false">
      <c r="A4593" s="15" t="s">
        <v>27937</v>
      </c>
      <c r="B4593" s="15" t="s">
        <v>28045</v>
      </c>
      <c r="C4593" s="14" t="s">
        <v>28189</v>
      </c>
      <c r="D4593" s="14" t="s">
        <v>28190</v>
      </c>
      <c r="E4593" s="16" t="s">
        <v>28191</v>
      </c>
      <c r="F4593" s="16" t="s">
        <v>28192</v>
      </c>
      <c r="G4593" s="23" t="s">
        <v>43</v>
      </c>
      <c r="H4593" s="18" t="n">
        <v>1</v>
      </c>
      <c r="I4593" s="20" t="n">
        <v>61.84</v>
      </c>
      <c r="J4593" s="20" t="n">
        <v>61.84</v>
      </c>
      <c r="K4593" s="18" t="n">
        <v>2</v>
      </c>
      <c r="L4593" s="18" t="n">
        <v>2</v>
      </c>
      <c r="M4593" s="18" t="n">
        <v>24</v>
      </c>
      <c r="N4593" s="18" t="n">
        <v>24</v>
      </c>
      <c r="O4593" s="14" t="s">
        <v>15098</v>
      </c>
      <c r="P4593" s="14" t="s">
        <v>84</v>
      </c>
      <c r="Q4593" s="15" t="s">
        <v>1089</v>
      </c>
      <c r="R4593" s="16" t="s">
        <v>28193</v>
      </c>
      <c r="S4593" s="15" t="s">
        <v>28194</v>
      </c>
      <c r="T4593" s="15" t="s">
        <v>28194</v>
      </c>
      <c r="U4593" s="21" t="s">
        <v>72</v>
      </c>
    </row>
    <row r="4594" customFormat="false" ht="26.85" hidden="false" customHeight="false" outlineLevel="0" collapsed="false">
      <c r="A4594" s="15" t="s">
        <v>27937</v>
      </c>
      <c r="B4594" s="15" t="s">
        <v>28045</v>
      </c>
      <c r="C4594" s="14" t="s">
        <v>28195</v>
      </c>
      <c r="D4594" s="14" t="s">
        <v>28196</v>
      </c>
      <c r="E4594" s="16" t="s">
        <v>28197</v>
      </c>
      <c r="F4594" s="16" t="s">
        <v>28198</v>
      </c>
      <c r="G4594" s="23" t="s">
        <v>43</v>
      </c>
      <c r="H4594" s="18" t="n">
        <v>4</v>
      </c>
      <c r="I4594" s="20" t="n">
        <v>155.82</v>
      </c>
      <c r="J4594" s="20" t="n">
        <v>155.82</v>
      </c>
      <c r="K4594" s="18" t="n">
        <v>8</v>
      </c>
      <c r="L4594" s="18" t="n">
        <v>2</v>
      </c>
      <c r="M4594" s="18" t="n">
        <v>232</v>
      </c>
      <c r="N4594" s="18" t="n">
        <v>64</v>
      </c>
      <c r="O4594" s="14" t="s">
        <v>1097</v>
      </c>
      <c r="P4594" s="14" t="s">
        <v>906</v>
      </c>
      <c r="Q4594" s="15" t="s">
        <v>1089</v>
      </c>
      <c r="R4594" s="16" t="s">
        <v>28199</v>
      </c>
      <c r="S4594" s="15" t="s">
        <v>28200</v>
      </c>
      <c r="T4594" s="15" t="s">
        <v>28201</v>
      </c>
      <c r="U4594" s="21" t="s">
        <v>72</v>
      </c>
    </row>
    <row r="4595" customFormat="false" ht="26.85" hidden="false" customHeight="false" outlineLevel="0" collapsed="false">
      <c r="A4595" s="15" t="s">
        <v>27937</v>
      </c>
      <c r="B4595" s="15" t="s">
        <v>28045</v>
      </c>
      <c r="C4595" s="14" t="s">
        <v>28202</v>
      </c>
      <c r="D4595" s="14" t="s">
        <v>28203</v>
      </c>
      <c r="E4595" s="16" t="s">
        <v>28204</v>
      </c>
      <c r="F4595" s="16" t="s">
        <v>28205</v>
      </c>
      <c r="G4595" s="23" t="s">
        <v>43</v>
      </c>
      <c r="H4595" s="18" t="n">
        <v>3</v>
      </c>
      <c r="I4595" s="20" t="n">
        <v>58.31</v>
      </c>
      <c r="J4595" s="20" t="n">
        <v>96.22</v>
      </c>
      <c r="K4595" s="18" t="n">
        <v>16</v>
      </c>
      <c r="L4595" s="18" t="n">
        <v>7</v>
      </c>
      <c r="M4595" s="18" t="n">
        <v>192</v>
      </c>
      <c r="N4595" s="18" t="n">
        <v>84</v>
      </c>
      <c r="O4595" s="14" t="s">
        <v>1097</v>
      </c>
      <c r="P4595" s="14" t="s">
        <v>906</v>
      </c>
      <c r="Q4595" s="15" t="s">
        <v>1089</v>
      </c>
      <c r="R4595" s="16" t="s">
        <v>28206</v>
      </c>
      <c r="S4595" s="15" t="s">
        <v>28207</v>
      </c>
      <c r="T4595" s="15" t="s">
        <v>28208</v>
      </c>
      <c r="U4595" s="21" t="s">
        <v>72</v>
      </c>
    </row>
    <row r="4596" customFormat="false" ht="15" hidden="false" customHeight="false" outlineLevel="0" collapsed="false">
      <c r="A4596" s="15" t="s">
        <v>27937</v>
      </c>
      <c r="B4596" s="15" t="s">
        <v>28045</v>
      </c>
      <c r="C4596" s="14" t="s">
        <v>28209</v>
      </c>
      <c r="D4596" s="14" t="s">
        <v>28210</v>
      </c>
      <c r="E4596" s="16" t="s">
        <v>28211</v>
      </c>
      <c r="F4596" s="16" t="s">
        <v>28212</v>
      </c>
      <c r="G4596" s="19" t="s">
        <v>41</v>
      </c>
      <c r="H4596" s="18" t="n">
        <v>7</v>
      </c>
      <c r="I4596" s="20" t="n">
        <v>284.14</v>
      </c>
      <c r="J4596" s="20" t="n">
        <v>284.14</v>
      </c>
      <c r="K4596" s="18" t="n">
        <v>24</v>
      </c>
      <c r="L4596" s="18" t="n">
        <v>2</v>
      </c>
      <c r="M4596" s="18" t="n">
        <v>360</v>
      </c>
      <c r="N4596" s="18" t="n">
        <v>90</v>
      </c>
      <c r="O4596" s="14" t="s">
        <v>28213</v>
      </c>
      <c r="P4596" s="14" t="s">
        <v>118</v>
      </c>
      <c r="Q4596" s="15" t="s">
        <v>1089</v>
      </c>
      <c r="R4596" s="16" t="s">
        <v>28214</v>
      </c>
      <c r="S4596" s="15" t="s">
        <v>28215</v>
      </c>
      <c r="T4596" s="15" t="s">
        <v>28215</v>
      </c>
      <c r="U4596" s="21" t="s">
        <v>72</v>
      </c>
    </row>
    <row r="4597" customFormat="false" ht="15" hidden="false" customHeight="false" outlineLevel="0" collapsed="false">
      <c r="A4597" s="15" t="s">
        <v>27937</v>
      </c>
      <c r="B4597" s="15" t="s">
        <v>28045</v>
      </c>
      <c r="C4597" s="14" t="s">
        <v>28216</v>
      </c>
      <c r="D4597" s="14" t="s">
        <v>28217</v>
      </c>
      <c r="E4597" s="16" t="s">
        <v>28218</v>
      </c>
      <c r="F4597" s="16" t="s">
        <v>28219</v>
      </c>
      <c r="G4597" s="25" t="s">
        <v>39</v>
      </c>
      <c r="H4597" s="18" t="n">
        <v>11</v>
      </c>
      <c r="I4597" s="20" t="n">
        <v>209</v>
      </c>
      <c r="J4597" s="20" t="n">
        <v>291</v>
      </c>
      <c r="K4597" s="18" t="n">
        <v>33</v>
      </c>
      <c r="L4597" s="18" t="n">
        <v>6</v>
      </c>
      <c r="M4597" s="18" t="n">
        <v>495</v>
      </c>
      <c r="N4597" s="18" t="n">
        <v>150</v>
      </c>
      <c r="O4597" s="14" t="s">
        <v>1088</v>
      </c>
      <c r="P4597" s="14" t="s">
        <v>118</v>
      </c>
      <c r="Q4597" s="15" t="s">
        <v>1089</v>
      </c>
      <c r="R4597" s="16" t="s">
        <v>28220</v>
      </c>
      <c r="S4597" s="15" t="s">
        <v>28221</v>
      </c>
      <c r="T4597" s="15" t="s">
        <v>28222</v>
      </c>
      <c r="U4597" s="21" t="s">
        <v>72</v>
      </c>
    </row>
    <row r="4598" customFormat="false" ht="26.85" hidden="false" customHeight="false" outlineLevel="0" collapsed="false">
      <c r="A4598" s="15" t="s">
        <v>27937</v>
      </c>
      <c r="B4598" s="15" t="s">
        <v>28045</v>
      </c>
      <c r="C4598" s="14" t="s">
        <v>28223</v>
      </c>
      <c r="D4598" s="14" t="s">
        <v>28224</v>
      </c>
      <c r="E4598" s="16" t="s">
        <v>28225</v>
      </c>
      <c r="F4598" s="16" t="s">
        <v>28226</v>
      </c>
      <c r="G4598" s="19" t="s">
        <v>41</v>
      </c>
      <c r="H4598" s="18" t="n">
        <v>4</v>
      </c>
      <c r="I4598" s="20" t="n">
        <v>180</v>
      </c>
      <c r="J4598" s="20" t="n">
        <v>210.45</v>
      </c>
      <c r="K4598" s="18" t="n">
        <v>24</v>
      </c>
      <c r="L4598" s="18" t="n">
        <v>4</v>
      </c>
      <c r="M4598" s="18" t="n">
        <v>360</v>
      </c>
      <c r="N4598" s="18" t="n">
        <v>60</v>
      </c>
      <c r="O4598" s="14" t="s">
        <v>1088</v>
      </c>
      <c r="P4598" s="14" t="s">
        <v>872</v>
      </c>
      <c r="Q4598" s="15" t="s">
        <v>1089</v>
      </c>
      <c r="R4598" s="16" t="s">
        <v>28227</v>
      </c>
      <c r="S4598" s="15" t="s">
        <v>28228</v>
      </c>
      <c r="T4598" s="15" t="s">
        <v>28228</v>
      </c>
      <c r="U4598" s="21" t="s">
        <v>72</v>
      </c>
    </row>
    <row r="4599" customFormat="false" ht="39.55" hidden="false" customHeight="false" outlineLevel="0" collapsed="false">
      <c r="A4599" s="15" t="s">
        <v>27937</v>
      </c>
      <c r="B4599" s="15" t="s">
        <v>28045</v>
      </c>
      <c r="C4599" s="14" t="s">
        <v>28229</v>
      </c>
      <c r="D4599" s="14" t="s">
        <v>28230</v>
      </c>
      <c r="E4599" s="16" t="s">
        <v>28231</v>
      </c>
      <c r="F4599" s="16" t="s">
        <v>28087</v>
      </c>
      <c r="G4599" s="19" t="s">
        <v>41</v>
      </c>
      <c r="H4599" s="18" t="n">
        <v>3</v>
      </c>
      <c r="I4599" s="20" t="n">
        <v>306.86</v>
      </c>
      <c r="J4599" s="20" t="n">
        <v>370.91</v>
      </c>
      <c r="K4599" s="18" t="n">
        <v>18</v>
      </c>
      <c r="L4599" s="18" t="n">
        <v>13</v>
      </c>
      <c r="M4599" s="18" t="n">
        <v>1080</v>
      </c>
      <c r="N4599" s="18" t="n">
        <v>240</v>
      </c>
      <c r="O4599" s="14" t="s">
        <v>1126</v>
      </c>
      <c r="P4599" s="14" t="s">
        <v>952</v>
      </c>
      <c r="Q4599" s="15" t="s">
        <v>1089</v>
      </c>
      <c r="R4599" s="16" t="s">
        <v>28232</v>
      </c>
      <c r="S4599" s="15" t="s">
        <v>28089</v>
      </c>
      <c r="T4599" s="15" t="s">
        <v>28233</v>
      </c>
      <c r="U4599" s="21" t="s">
        <v>72</v>
      </c>
    </row>
    <row r="4600" customFormat="false" ht="15" hidden="false" customHeight="false" outlineLevel="0" collapsed="false">
      <c r="A4600" s="15" t="s">
        <v>27937</v>
      </c>
      <c r="B4600" s="15" t="s">
        <v>28045</v>
      </c>
      <c r="C4600" s="14" t="s">
        <v>28234</v>
      </c>
      <c r="D4600" s="14" t="s">
        <v>28235</v>
      </c>
      <c r="E4600" s="16" t="s">
        <v>28236</v>
      </c>
      <c r="F4600" s="16" t="s">
        <v>28237</v>
      </c>
      <c r="G4600" s="25" t="s">
        <v>39</v>
      </c>
      <c r="H4600" s="18" t="n">
        <v>7</v>
      </c>
      <c r="I4600" s="20" t="n">
        <v>209.44</v>
      </c>
      <c r="J4600" s="20" t="n">
        <v>420.64</v>
      </c>
      <c r="K4600" s="18" t="n">
        <v>17</v>
      </c>
      <c r="L4600" s="18" t="n">
        <v>4</v>
      </c>
      <c r="M4600" s="18" t="n">
        <v>340</v>
      </c>
      <c r="N4600" s="18" t="n">
        <v>300</v>
      </c>
      <c r="O4600" s="14" t="s">
        <v>28238</v>
      </c>
      <c r="P4600" s="14" t="s">
        <v>118</v>
      </c>
      <c r="Q4600" s="15" t="s">
        <v>1089</v>
      </c>
      <c r="R4600" s="16" t="s">
        <v>28239</v>
      </c>
      <c r="S4600" s="15" t="s">
        <v>28240</v>
      </c>
      <c r="T4600" s="15" t="s">
        <v>28240</v>
      </c>
      <c r="U4600" s="21" t="s">
        <v>72</v>
      </c>
    </row>
    <row r="4601" customFormat="false" ht="26.85" hidden="false" customHeight="false" outlineLevel="0" collapsed="false">
      <c r="A4601" s="15" t="s">
        <v>27937</v>
      </c>
      <c r="B4601" s="15" t="s">
        <v>28045</v>
      </c>
      <c r="C4601" s="14" t="s">
        <v>28241</v>
      </c>
      <c r="D4601" s="14" t="s">
        <v>28242</v>
      </c>
      <c r="E4601" s="16" t="s">
        <v>28243</v>
      </c>
      <c r="F4601" s="16" t="s">
        <v>28244</v>
      </c>
      <c r="G4601" s="19" t="s">
        <v>41</v>
      </c>
      <c r="H4601" s="18" t="n">
        <v>5</v>
      </c>
      <c r="I4601" s="20" t="n">
        <v>128.59</v>
      </c>
      <c r="J4601" s="20" t="n">
        <v>206.72</v>
      </c>
      <c r="K4601" s="18" t="n">
        <v>12</v>
      </c>
      <c r="L4601" s="18" t="n">
        <v>4</v>
      </c>
      <c r="M4601" s="18" t="n">
        <v>160</v>
      </c>
      <c r="N4601" s="18" t="n">
        <v>160</v>
      </c>
      <c r="O4601" s="14" t="s">
        <v>28245</v>
      </c>
      <c r="P4601" s="14" t="s">
        <v>84</v>
      </c>
      <c r="Q4601" s="15" t="s">
        <v>1089</v>
      </c>
      <c r="R4601" s="16" t="s">
        <v>24722</v>
      </c>
      <c r="S4601" s="15" t="s">
        <v>28246</v>
      </c>
      <c r="T4601" s="15" t="s">
        <v>28247</v>
      </c>
      <c r="U4601" s="21" t="s">
        <v>72</v>
      </c>
    </row>
    <row r="4602" customFormat="false" ht="15" hidden="false" customHeight="false" outlineLevel="0" collapsed="false">
      <c r="A4602" s="15" t="s">
        <v>27937</v>
      </c>
      <c r="B4602" s="15" t="s">
        <v>28045</v>
      </c>
      <c r="C4602" s="14" t="s">
        <v>28248</v>
      </c>
      <c r="D4602" s="14" t="s">
        <v>28249</v>
      </c>
      <c r="E4602" s="16" t="s">
        <v>28250</v>
      </c>
      <c r="F4602" s="16" t="s">
        <v>28251</v>
      </c>
      <c r="G4602" s="23" t="s">
        <v>43</v>
      </c>
      <c r="H4602" s="18" t="n">
        <v>4</v>
      </c>
      <c r="I4602" s="20" t="n">
        <v>84.29</v>
      </c>
      <c r="J4602" s="20" t="n">
        <v>91.235</v>
      </c>
      <c r="K4602" s="18" t="n">
        <v>19</v>
      </c>
      <c r="L4602" s="18" t="n">
        <v>4</v>
      </c>
      <c r="M4602" s="18" t="n">
        <v>200</v>
      </c>
      <c r="N4602" s="18" t="n">
        <v>180</v>
      </c>
      <c r="O4602" s="14" t="s">
        <v>1097</v>
      </c>
      <c r="P4602" s="14" t="s">
        <v>84</v>
      </c>
      <c r="Q4602" s="15" t="s">
        <v>1089</v>
      </c>
      <c r="R4602" s="16" t="s">
        <v>28252</v>
      </c>
      <c r="S4602" s="15" t="s">
        <v>28253</v>
      </c>
      <c r="T4602" s="15" t="s">
        <v>28253</v>
      </c>
      <c r="U4602" s="21" t="s">
        <v>72</v>
      </c>
    </row>
    <row r="4603" customFormat="false" ht="26.85" hidden="false" customHeight="false" outlineLevel="0" collapsed="false">
      <c r="A4603" s="15" t="s">
        <v>27937</v>
      </c>
      <c r="B4603" s="15" t="s">
        <v>28045</v>
      </c>
      <c r="C4603" s="14" t="s">
        <v>28254</v>
      </c>
      <c r="D4603" s="14" t="s">
        <v>28255</v>
      </c>
      <c r="E4603" s="16" t="s">
        <v>28256</v>
      </c>
      <c r="F4603" s="16" t="s">
        <v>28257</v>
      </c>
      <c r="G4603" s="19" t="s">
        <v>41</v>
      </c>
      <c r="H4603" s="18" t="n">
        <v>3</v>
      </c>
      <c r="I4603" s="20" t="n">
        <v>178.53</v>
      </c>
      <c r="J4603" s="20" t="n">
        <v>203.67</v>
      </c>
      <c r="K4603" s="18" t="n">
        <v>5</v>
      </c>
      <c r="L4603" s="18" t="n">
        <v>3</v>
      </c>
      <c r="M4603" s="18" t="n">
        <v>100</v>
      </c>
      <c r="N4603" s="18" t="n">
        <v>20</v>
      </c>
      <c r="O4603" s="14" t="s">
        <v>1097</v>
      </c>
      <c r="P4603" s="14" t="s">
        <v>1971</v>
      </c>
      <c r="Q4603" s="15" t="s">
        <v>1089</v>
      </c>
      <c r="R4603" s="16" t="s">
        <v>28258</v>
      </c>
      <c r="S4603" s="15" t="s">
        <v>28259</v>
      </c>
      <c r="T4603" s="15" t="s">
        <v>28260</v>
      </c>
      <c r="U4603" s="21" t="s">
        <v>72</v>
      </c>
    </row>
    <row r="4604" customFormat="false" ht="15" hidden="false" customHeight="false" outlineLevel="0" collapsed="false">
      <c r="A4604" s="15" t="s">
        <v>27937</v>
      </c>
      <c r="B4604" s="15" t="s">
        <v>28045</v>
      </c>
      <c r="C4604" s="14" t="s">
        <v>28261</v>
      </c>
      <c r="D4604" s="14" t="s">
        <v>28262</v>
      </c>
      <c r="E4604" s="16" t="s">
        <v>28263</v>
      </c>
      <c r="F4604" s="16" t="s">
        <v>28264</v>
      </c>
      <c r="G4604" s="23" t="s">
        <v>43</v>
      </c>
      <c r="H4604" s="18" t="n">
        <v>3</v>
      </c>
      <c r="I4604" s="20" t="n">
        <v>57.68</v>
      </c>
      <c r="J4604" s="20" t="n">
        <v>103.47</v>
      </c>
      <c r="K4604" s="18" t="n">
        <v>10</v>
      </c>
      <c r="L4604" s="18" t="n">
        <v>4</v>
      </c>
      <c r="M4604" s="18" t="n">
        <v>150</v>
      </c>
      <c r="N4604" s="18" t="n">
        <v>45</v>
      </c>
      <c r="O4604" s="14" t="s">
        <v>1097</v>
      </c>
      <c r="P4604" s="14" t="s">
        <v>118</v>
      </c>
      <c r="Q4604" s="15" t="s">
        <v>1089</v>
      </c>
      <c r="R4604" s="16" t="s">
        <v>12407</v>
      </c>
      <c r="S4604" s="15" t="s">
        <v>28265</v>
      </c>
      <c r="T4604" s="15" t="s">
        <v>28265</v>
      </c>
      <c r="U4604" s="21" t="s">
        <v>72</v>
      </c>
    </row>
    <row r="4605" customFormat="false" ht="15" hidden="false" customHeight="false" outlineLevel="0" collapsed="false">
      <c r="A4605" s="15" t="s">
        <v>27937</v>
      </c>
      <c r="B4605" s="15" t="s">
        <v>28045</v>
      </c>
      <c r="C4605" s="14" t="s">
        <v>28266</v>
      </c>
      <c r="D4605" s="14" t="s">
        <v>28267</v>
      </c>
      <c r="E4605" s="16" t="s">
        <v>28268</v>
      </c>
      <c r="F4605" s="16" t="s">
        <v>28269</v>
      </c>
      <c r="G4605" s="19" t="s">
        <v>41</v>
      </c>
      <c r="H4605" s="18" t="n">
        <v>6</v>
      </c>
      <c r="I4605" s="20" t="n">
        <v>154.14</v>
      </c>
      <c r="J4605" s="20" t="n">
        <v>340.01</v>
      </c>
      <c r="K4605" s="18" t="n">
        <v>16</v>
      </c>
      <c r="L4605" s="18" t="n">
        <v>5</v>
      </c>
      <c r="M4605" s="18" t="n">
        <v>320</v>
      </c>
      <c r="N4605" s="18" t="n">
        <v>160</v>
      </c>
      <c r="O4605" s="14" t="s">
        <v>1126</v>
      </c>
      <c r="P4605" s="14" t="s">
        <v>118</v>
      </c>
      <c r="Q4605" s="15" t="s">
        <v>1089</v>
      </c>
      <c r="R4605" s="16" t="s">
        <v>28270</v>
      </c>
      <c r="S4605" s="15" t="s">
        <v>28271</v>
      </c>
      <c r="T4605" s="15" t="s">
        <v>28272</v>
      </c>
      <c r="U4605" s="21" t="s">
        <v>72</v>
      </c>
    </row>
    <row r="4606" customFormat="false" ht="15" hidden="false" customHeight="false" outlineLevel="0" collapsed="false">
      <c r="A4606" s="15" t="s">
        <v>27937</v>
      </c>
      <c r="B4606" s="15" t="s">
        <v>28045</v>
      </c>
      <c r="C4606" s="14" t="s">
        <v>28273</v>
      </c>
      <c r="D4606" s="14" t="s">
        <v>28274</v>
      </c>
      <c r="E4606" s="16" t="s">
        <v>28275</v>
      </c>
      <c r="F4606" s="16" t="s">
        <v>28276</v>
      </c>
      <c r="G4606" s="23" t="s">
        <v>43</v>
      </c>
      <c r="H4606" s="18" t="n">
        <v>2</v>
      </c>
      <c r="I4606" s="20" t="n">
        <v>96.75</v>
      </c>
      <c r="J4606" s="20" t="n">
        <v>197.43</v>
      </c>
      <c r="K4606" s="18" t="n">
        <v>7</v>
      </c>
      <c r="L4606" s="18" t="n">
        <v>1</v>
      </c>
      <c r="M4606" s="18" t="n">
        <v>56</v>
      </c>
      <c r="N4606" s="18" t="n">
        <v>40</v>
      </c>
      <c r="O4606" s="14" t="s">
        <v>28277</v>
      </c>
      <c r="P4606" s="14" t="s">
        <v>118</v>
      </c>
      <c r="Q4606" s="15" t="s">
        <v>1089</v>
      </c>
      <c r="R4606" s="16" t="s">
        <v>15583</v>
      </c>
      <c r="S4606" s="15" t="s">
        <v>28278</v>
      </c>
      <c r="T4606" s="15" t="s">
        <v>28278</v>
      </c>
      <c r="U4606" s="21" t="s">
        <v>72</v>
      </c>
    </row>
    <row r="4607" customFormat="false" ht="15" hidden="false" customHeight="false" outlineLevel="0" collapsed="false">
      <c r="A4607" s="15" t="s">
        <v>27937</v>
      </c>
      <c r="B4607" s="15" t="s">
        <v>28045</v>
      </c>
      <c r="C4607" s="14" t="s">
        <v>28279</v>
      </c>
      <c r="D4607" s="14" t="s">
        <v>28280</v>
      </c>
      <c r="E4607" s="16" t="s">
        <v>28281</v>
      </c>
      <c r="F4607" s="16" t="s">
        <v>28282</v>
      </c>
      <c r="G4607" s="23" t="s">
        <v>43</v>
      </c>
      <c r="H4607" s="18" t="n">
        <v>1</v>
      </c>
      <c r="I4607" s="20" t="n">
        <v>44.86</v>
      </c>
      <c r="J4607" s="20" t="n">
        <v>122.71</v>
      </c>
      <c r="K4607" s="18" t="n">
        <v>10</v>
      </c>
      <c r="L4607" s="18" t="n">
        <v>8</v>
      </c>
      <c r="M4607" s="18" t="n">
        <v>150</v>
      </c>
      <c r="N4607" s="18" t="n">
        <v>90</v>
      </c>
      <c r="O4607" s="14" t="s">
        <v>1097</v>
      </c>
      <c r="P4607" s="14" t="s">
        <v>118</v>
      </c>
      <c r="Q4607" s="15" t="s">
        <v>1089</v>
      </c>
      <c r="R4607" s="16" t="s">
        <v>8044</v>
      </c>
      <c r="S4607" s="15" t="s">
        <v>28283</v>
      </c>
      <c r="T4607" s="15" t="s">
        <v>28283</v>
      </c>
      <c r="U4607" s="21" t="s">
        <v>72</v>
      </c>
    </row>
    <row r="4608" customFormat="false" ht="26.85" hidden="false" customHeight="false" outlineLevel="0" collapsed="false">
      <c r="A4608" s="15" t="s">
        <v>27937</v>
      </c>
      <c r="B4608" s="15" t="s">
        <v>28045</v>
      </c>
      <c r="C4608" s="14" t="s">
        <v>28284</v>
      </c>
      <c r="D4608" s="14" t="s">
        <v>28285</v>
      </c>
      <c r="E4608" s="16" t="s">
        <v>28286</v>
      </c>
      <c r="F4608" s="16" t="s">
        <v>28287</v>
      </c>
      <c r="G4608" s="23" t="s">
        <v>43</v>
      </c>
      <c r="H4608" s="18" t="n">
        <v>2</v>
      </c>
      <c r="I4608" s="20" t="n">
        <v>66.15</v>
      </c>
      <c r="J4608" s="20" t="n">
        <v>88.53</v>
      </c>
      <c r="K4608" s="18" t="n">
        <v>7</v>
      </c>
      <c r="L4608" s="18" t="n">
        <v>2</v>
      </c>
      <c r="M4608" s="18" t="n">
        <v>140</v>
      </c>
      <c r="N4608" s="18" t="n">
        <v>20</v>
      </c>
      <c r="O4608" s="14" t="s">
        <v>1097</v>
      </c>
      <c r="P4608" s="14" t="s">
        <v>906</v>
      </c>
      <c r="Q4608" s="15" t="s">
        <v>1089</v>
      </c>
      <c r="R4608" s="16" t="s">
        <v>28288</v>
      </c>
      <c r="S4608" s="15" t="s">
        <v>28289</v>
      </c>
      <c r="T4608" s="15" t="s">
        <v>28289</v>
      </c>
      <c r="U4608" s="21" t="s">
        <v>72</v>
      </c>
    </row>
    <row r="4609" customFormat="false" ht="26.85" hidden="false" customHeight="false" outlineLevel="0" collapsed="false">
      <c r="A4609" s="15" t="s">
        <v>27937</v>
      </c>
      <c r="B4609" s="15" t="s">
        <v>28045</v>
      </c>
      <c r="C4609" s="14" t="s">
        <v>28290</v>
      </c>
      <c r="D4609" s="14" t="s">
        <v>28291</v>
      </c>
      <c r="E4609" s="16" t="s">
        <v>28292</v>
      </c>
      <c r="F4609" s="16" t="s">
        <v>28293</v>
      </c>
      <c r="G4609" s="19" t="s">
        <v>41</v>
      </c>
      <c r="H4609" s="18" t="n">
        <v>5</v>
      </c>
      <c r="I4609" s="20" t="n">
        <v>108.14</v>
      </c>
      <c r="J4609" s="20" t="n">
        <v>286.32</v>
      </c>
      <c r="K4609" s="18" t="n">
        <v>29</v>
      </c>
      <c r="L4609" s="18" t="n">
        <v>10</v>
      </c>
      <c r="M4609" s="18" t="n">
        <v>580</v>
      </c>
      <c r="N4609" s="18" t="n">
        <v>140</v>
      </c>
      <c r="O4609" s="14" t="s">
        <v>1097</v>
      </c>
      <c r="P4609" s="14" t="s">
        <v>352</v>
      </c>
      <c r="Q4609" s="15" t="s">
        <v>1089</v>
      </c>
      <c r="R4609" s="16" t="s">
        <v>22982</v>
      </c>
      <c r="S4609" s="15" t="s">
        <v>28294</v>
      </c>
      <c r="T4609" s="15" t="s">
        <v>28294</v>
      </c>
      <c r="U4609" s="21" t="s">
        <v>72</v>
      </c>
    </row>
    <row r="4610" customFormat="false" ht="26.85" hidden="false" customHeight="false" outlineLevel="0" collapsed="false">
      <c r="A4610" s="15" t="s">
        <v>27937</v>
      </c>
      <c r="B4610" s="15" t="s">
        <v>28045</v>
      </c>
      <c r="C4610" s="14" t="s">
        <v>28295</v>
      </c>
      <c r="D4610" s="14" t="s">
        <v>28296</v>
      </c>
      <c r="E4610" s="16" t="s">
        <v>28297</v>
      </c>
      <c r="F4610" s="16" t="s">
        <v>28298</v>
      </c>
      <c r="G4610" s="19" t="s">
        <v>41</v>
      </c>
      <c r="H4610" s="18" t="n">
        <v>3</v>
      </c>
      <c r="I4610" s="20" t="n">
        <v>169.08</v>
      </c>
      <c r="J4610" s="20" t="n">
        <v>235.59</v>
      </c>
      <c r="K4610" s="18" t="n">
        <v>7</v>
      </c>
      <c r="L4610" s="18" t="n">
        <v>6</v>
      </c>
      <c r="M4610" s="18" t="n">
        <v>135</v>
      </c>
      <c r="N4610" s="18" t="n">
        <v>40</v>
      </c>
      <c r="O4610" s="14" t="s">
        <v>1097</v>
      </c>
      <c r="P4610" s="14" t="s">
        <v>352</v>
      </c>
      <c r="Q4610" s="15" t="s">
        <v>1089</v>
      </c>
      <c r="R4610" s="16" t="s">
        <v>28299</v>
      </c>
      <c r="S4610" s="15" t="s">
        <v>8941</v>
      </c>
      <c r="T4610" s="15" t="s">
        <v>28300</v>
      </c>
      <c r="U4610" s="21" t="s">
        <v>72</v>
      </c>
    </row>
    <row r="4611" customFormat="false" ht="15" hidden="false" customHeight="false" outlineLevel="0" collapsed="false">
      <c r="A4611" s="15" t="s">
        <v>27937</v>
      </c>
      <c r="B4611" s="15" t="s">
        <v>28045</v>
      </c>
      <c r="C4611" s="14" t="s">
        <v>28301</v>
      </c>
      <c r="D4611" s="14" t="s">
        <v>28302</v>
      </c>
      <c r="E4611" s="16" t="s">
        <v>28303</v>
      </c>
      <c r="F4611" s="16" t="s">
        <v>28304</v>
      </c>
      <c r="G4611" s="23" t="s">
        <v>43</v>
      </c>
      <c r="H4611" s="18" t="n">
        <v>4</v>
      </c>
      <c r="I4611" s="20" t="n">
        <v>95.32</v>
      </c>
      <c r="J4611" s="20" t="n">
        <v>193.58</v>
      </c>
      <c r="K4611" s="18" t="n">
        <v>14</v>
      </c>
      <c r="L4611" s="18" t="n">
        <v>3</v>
      </c>
      <c r="M4611" s="18" t="n">
        <v>210</v>
      </c>
      <c r="N4611" s="18" t="n">
        <v>60</v>
      </c>
      <c r="O4611" s="14" t="s">
        <v>28305</v>
      </c>
      <c r="P4611" s="14" t="s">
        <v>118</v>
      </c>
      <c r="Q4611" s="15" t="s">
        <v>1089</v>
      </c>
      <c r="R4611" s="16" t="s">
        <v>28306</v>
      </c>
      <c r="S4611" s="15" t="s">
        <v>28307</v>
      </c>
      <c r="T4611" s="15" t="s">
        <v>28308</v>
      </c>
      <c r="U4611" s="21" t="s">
        <v>72</v>
      </c>
    </row>
    <row r="4612" customFormat="false" ht="15" hidden="false" customHeight="false" outlineLevel="0" collapsed="false">
      <c r="A4612" s="15" t="s">
        <v>27937</v>
      </c>
      <c r="B4612" s="15" t="s">
        <v>28309</v>
      </c>
      <c r="C4612" s="14" t="s">
        <v>28310</v>
      </c>
      <c r="D4612" s="14" t="s">
        <v>28311</v>
      </c>
      <c r="E4612" s="16" t="s">
        <v>28312</v>
      </c>
      <c r="F4612" s="16"/>
      <c r="G4612" s="23" t="s">
        <v>43</v>
      </c>
      <c r="H4612" s="18" t="n">
        <v>1</v>
      </c>
      <c r="I4612" s="20" t="n">
        <v>75.84</v>
      </c>
      <c r="J4612" s="20" t="n">
        <v>129.96</v>
      </c>
      <c r="K4612" s="18" t="n">
        <v>3</v>
      </c>
      <c r="L4612" s="18" t="n">
        <v>1</v>
      </c>
      <c r="M4612" s="18" t="n">
        <v>36</v>
      </c>
      <c r="N4612" s="18" t="n">
        <v>36</v>
      </c>
      <c r="O4612" s="14" t="s">
        <v>28313</v>
      </c>
      <c r="P4612" s="14" t="s">
        <v>84</v>
      </c>
      <c r="Q4612" s="15" t="s">
        <v>1089</v>
      </c>
      <c r="R4612" s="16" t="s">
        <v>18625</v>
      </c>
      <c r="S4612" s="15" t="s">
        <v>28314</v>
      </c>
      <c r="T4612" s="15" t="s">
        <v>28315</v>
      </c>
      <c r="U4612" s="21" t="s">
        <v>72</v>
      </c>
    </row>
    <row r="4613" customFormat="false" ht="15" hidden="false" customHeight="false" outlineLevel="0" collapsed="false">
      <c r="A4613" s="15" t="s">
        <v>28316</v>
      </c>
      <c r="B4613" s="16"/>
      <c r="C4613" s="14" t="s">
        <v>28317</v>
      </c>
      <c r="D4613" s="14" t="s">
        <v>28318</v>
      </c>
      <c r="E4613" s="16" t="s">
        <v>28319</v>
      </c>
      <c r="F4613" s="16"/>
      <c r="G4613" s="23" t="s">
        <v>43</v>
      </c>
      <c r="H4613" s="18" t="n">
        <v>1</v>
      </c>
      <c r="I4613" s="20" t="n">
        <v>30.03</v>
      </c>
      <c r="J4613" s="20" t="n">
        <v>43.15</v>
      </c>
      <c r="K4613" s="18" t="n">
        <v>6</v>
      </c>
      <c r="L4613" s="18" t="n">
        <v>1</v>
      </c>
      <c r="M4613" s="18" t="n">
        <v>90</v>
      </c>
      <c r="N4613" s="18" t="n">
        <v>30</v>
      </c>
      <c r="O4613" s="14" t="s">
        <v>1097</v>
      </c>
      <c r="P4613" s="14" t="s">
        <v>118</v>
      </c>
      <c r="Q4613" s="15" t="s">
        <v>1089</v>
      </c>
      <c r="R4613" s="16" t="s">
        <v>9903</v>
      </c>
      <c r="S4613" s="15" t="s">
        <v>28320</v>
      </c>
      <c r="T4613" s="15" t="s">
        <v>28321</v>
      </c>
      <c r="U4613" s="21" t="s">
        <v>72</v>
      </c>
    </row>
    <row r="4614" customFormat="false" ht="26.85" hidden="false" customHeight="false" outlineLevel="0" collapsed="false">
      <c r="A4614" s="15" t="s">
        <v>28316</v>
      </c>
      <c r="B4614" s="15" t="s">
        <v>28322</v>
      </c>
      <c r="C4614" s="14" t="s">
        <v>28323</v>
      </c>
      <c r="D4614" s="14" t="s">
        <v>28324</v>
      </c>
      <c r="E4614" s="16" t="s">
        <v>28325</v>
      </c>
      <c r="F4614" s="16" t="s">
        <v>28326</v>
      </c>
      <c r="G4614" s="19" t="s">
        <v>41</v>
      </c>
      <c r="H4614" s="18" t="n">
        <v>3</v>
      </c>
      <c r="I4614" s="20" t="n">
        <v>87.61</v>
      </c>
      <c r="J4614" s="20" t="n">
        <v>211.37</v>
      </c>
      <c r="K4614" s="18" t="n">
        <v>12</v>
      </c>
      <c r="L4614" s="18" t="n">
        <v>5</v>
      </c>
      <c r="M4614" s="18" t="n">
        <v>235</v>
      </c>
      <c r="N4614" s="18" t="n">
        <v>38</v>
      </c>
      <c r="O4614" s="14" t="s">
        <v>1097</v>
      </c>
      <c r="P4614" s="14" t="s">
        <v>1716</v>
      </c>
      <c r="Q4614" s="15" t="s">
        <v>1089</v>
      </c>
      <c r="R4614" s="16" t="s">
        <v>28327</v>
      </c>
      <c r="S4614" s="15" t="s">
        <v>28328</v>
      </c>
      <c r="T4614" s="15" t="s">
        <v>28329</v>
      </c>
      <c r="U4614" s="21" t="s">
        <v>72</v>
      </c>
    </row>
    <row r="4615" customFormat="false" ht="26.85" hidden="false" customHeight="false" outlineLevel="0" collapsed="false">
      <c r="A4615" s="15" t="s">
        <v>28316</v>
      </c>
      <c r="B4615" s="15" t="s">
        <v>28322</v>
      </c>
      <c r="C4615" s="14" t="s">
        <v>28330</v>
      </c>
      <c r="D4615" s="14" t="s">
        <v>28331</v>
      </c>
      <c r="E4615" s="16" t="s">
        <v>28332</v>
      </c>
      <c r="F4615" s="16" t="s">
        <v>28333</v>
      </c>
      <c r="G4615" s="19" t="s">
        <v>41</v>
      </c>
      <c r="H4615" s="18" t="n">
        <v>5</v>
      </c>
      <c r="I4615" s="20" t="n">
        <v>124.76</v>
      </c>
      <c r="J4615" s="20" t="n">
        <v>303.94</v>
      </c>
      <c r="K4615" s="18" t="n">
        <v>6</v>
      </c>
      <c r="L4615" s="18" t="n">
        <v>11</v>
      </c>
      <c r="M4615" s="18" t="n">
        <v>120</v>
      </c>
      <c r="N4615" s="18" t="n">
        <v>120</v>
      </c>
      <c r="O4615" s="14" t="s">
        <v>1088</v>
      </c>
      <c r="P4615" s="14" t="s">
        <v>84</v>
      </c>
      <c r="Q4615" s="15" t="s">
        <v>1089</v>
      </c>
      <c r="R4615" s="16" t="s">
        <v>28334</v>
      </c>
      <c r="S4615" s="15" t="s">
        <v>21234</v>
      </c>
      <c r="T4615" s="15" t="s">
        <v>28335</v>
      </c>
      <c r="U4615" s="21" t="s">
        <v>72</v>
      </c>
    </row>
    <row r="4616" customFormat="false" ht="15" hidden="false" customHeight="false" outlineLevel="0" collapsed="false">
      <c r="A4616" s="15" t="s">
        <v>28316</v>
      </c>
      <c r="B4616" s="15" t="s">
        <v>28322</v>
      </c>
      <c r="C4616" s="14" t="s">
        <v>28336</v>
      </c>
      <c r="D4616" s="14" t="s">
        <v>28337</v>
      </c>
      <c r="E4616" s="16" t="s">
        <v>28338</v>
      </c>
      <c r="F4616" s="16" t="s">
        <v>28339</v>
      </c>
      <c r="G4616" s="19" t="s">
        <v>41</v>
      </c>
      <c r="H4616" s="18" t="n">
        <v>3</v>
      </c>
      <c r="I4616" s="20" t="n">
        <v>189.6</v>
      </c>
      <c r="J4616" s="20" t="n">
        <v>284.7</v>
      </c>
      <c r="K4616" s="18" t="n">
        <v>20</v>
      </c>
      <c r="L4616" s="18" t="n">
        <v>6</v>
      </c>
      <c r="M4616" s="18" t="n">
        <v>500</v>
      </c>
      <c r="N4616" s="18" t="n">
        <v>150</v>
      </c>
      <c r="O4616" s="14" t="s">
        <v>1097</v>
      </c>
      <c r="P4616" s="14" t="s">
        <v>118</v>
      </c>
      <c r="Q4616" s="15" t="s">
        <v>1089</v>
      </c>
      <c r="R4616" s="16" t="s">
        <v>24403</v>
      </c>
      <c r="S4616" s="15" t="s">
        <v>28340</v>
      </c>
      <c r="T4616" s="15" t="s">
        <v>28341</v>
      </c>
      <c r="U4616" s="21" t="s">
        <v>72</v>
      </c>
    </row>
    <row r="4617" customFormat="false" ht="15" hidden="false" customHeight="false" outlineLevel="0" collapsed="false">
      <c r="A4617" s="15" t="s">
        <v>28316</v>
      </c>
      <c r="B4617" s="15" t="s">
        <v>28322</v>
      </c>
      <c r="C4617" s="14" t="s">
        <v>28342</v>
      </c>
      <c r="D4617" s="14" t="s">
        <v>28343</v>
      </c>
      <c r="E4617" s="16" t="s">
        <v>28344</v>
      </c>
      <c r="F4617" s="16" t="s">
        <v>28345</v>
      </c>
      <c r="G4617" s="23" t="s">
        <v>43</v>
      </c>
      <c r="H4617" s="18" t="n">
        <v>2</v>
      </c>
      <c r="I4617" s="20" t="n">
        <v>58.1</v>
      </c>
      <c r="J4617" s="20" t="n">
        <v>140.52</v>
      </c>
      <c r="K4617" s="18" t="n">
        <v>2</v>
      </c>
      <c r="L4617" s="18" t="n">
        <v>2</v>
      </c>
      <c r="M4617" s="18" t="n">
        <v>40</v>
      </c>
      <c r="N4617" s="18" t="n">
        <v>40</v>
      </c>
      <c r="O4617" s="14" t="s">
        <v>1088</v>
      </c>
      <c r="P4617" s="14" t="s">
        <v>84</v>
      </c>
      <c r="Q4617" s="15" t="s">
        <v>1089</v>
      </c>
      <c r="R4617" s="16" t="s">
        <v>28346</v>
      </c>
      <c r="S4617" s="15" t="s">
        <v>28347</v>
      </c>
      <c r="T4617" s="15" t="s">
        <v>28347</v>
      </c>
      <c r="U4617" s="21" t="s">
        <v>72</v>
      </c>
    </row>
    <row r="4618" customFormat="false" ht="15" hidden="false" customHeight="false" outlineLevel="0" collapsed="false">
      <c r="A4618" s="15" t="s">
        <v>28316</v>
      </c>
      <c r="B4618" s="15" t="s">
        <v>28322</v>
      </c>
      <c r="C4618" s="14" t="s">
        <v>28348</v>
      </c>
      <c r="D4618" s="14" t="s">
        <v>28349</v>
      </c>
      <c r="E4618" s="16" t="s">
        <v>28350</v>
      </c>
      <c r="F4618" s="16" t="s">
        <v>28351</v>
      </c>
      <c r="G4618" s="25" t="s">
        <v>39</v>
      </c>
      <c r="H4618" s="18" t="n">
        <v>7</v>
      </c>
      <c r="I4618" s="20" t="n">
        <v>203.74</v>
      </c>
      <c r="J4618" s="20" t="n">
        <v>472.34</v>
      </c>
      <c r="K4618" s="18" t="n">
        <v>16</v>
      </c>
      <c r="L4618" s="18" t="n">
        <v>7</v>
      </c>
      <c r="M4618" s="18" t="n">
        <v>240</v>
      </c>
      <c r="N4618" s="18" t="n">
        <v>240</v>
      </c>
      <c r="O4618" s="14" t="s">
        <v>1097</v>
      </c>
      <c r="P4618" s="14" t="s">
        <v>84</v>
      </c>
      <c r="Q4618" s="15" t="s">
        <v>1089</v>
      </c>
      <c r="R4618" s="16" t="s">
        <v>7542</v>
      </c>
      <c r="S4618" s="15" t="s">
        <v>28352</v>
      </c>
      <c r="T4618" s="15" t="s">
        <v>28352</v>
      </c>
      <c r="U4618" s="21" t="s">
        <v>72</v>
      </c>
    </row>
    <row r="4619" customFormat="false" ht="15" hidden="false" customHeight="false" outlineLevel="0" collapsed="false">
      <c r="A4619" s="15" t="s">
        <v>28316</v>
      </c>
      <c r="B4619" s="15" t="s">
        <v>28322</v>
      </c>
      <c r="C4619" s="14" t="s">
        <v>28353</v>
      </c>
      <c r="D4619" s="14" t="s">
        <v>28354</v>
      </c>
      <c r="E4619" s="16" t="s">
        <v>28355</v>
      </c>
      <c r="F4619" s="16" t="s">
        <v>28356</v>
      </c>
      <c r="G4619" s="19" t="s">
        <v>41</v>
      </c>
      <c r="H4619" s="18" t="n">
        <v>4</v>
      </c>
      <c r="I4619" s="20" t="n">
        <v>157.28</v>
      </c>
      <c r="J4619" s="20" t="n">
        <v>219.36</v>
      </c>
      <c r="K4619" s="18" t="n">
        <v>4</v>
      </c>
      <c r="L4619" s="18" t="n">
        <v>3</v>
      </c>
      <c r="M4619" s="18" t="n">
        <v>80</v>
      </c>
      <c r="N4619" s="18" t="n">
        <v>80</v>
      </c>
      <c r="O4619" s="14" t="s">
        <v>1126</v>
      </c>
      <c r="P4619" s="14" t="s">
        <v>84</v>
      </c>
      <c r="Q4619" s="15" t="s">
        <v>1089</v>
      </c>
      <c r="R4619" s="16" t="s">
        <v>28357</v>
      </c>
      <c r="S4619" s="15" t="s">
        <v>28358</v>
      </c>
      <c r="T4619" s="15" t="s">
        <v>28358</v>
      </c>
      <c r="U4619" s="21" t="s">
        <v>72</v>
      </c>
    </row>
    <row r="4620" customFormat="false" ht="15" hidden="false" customHeight="false" outlineLevel="0" collapsed="false">
      <c r="A4620" s="15" t="s">
        <v>28316</v>
      </c>
      <c r="B4620" s="15" t="s">
        <v>28322</v>
      </c>
      <c r="C4620" s="14" t="s">
        <v>28359</v>
      </c>
      <c r="D4620" s="14" t="s">
        <v>28360</v>
      </c>
      <c r="E4620" s="16" t="s">
        <v>28361</v>
      </c>
      <c r="F4620" s="16" t="s">
        <v>28356</v>
      </c>
      <c r="G4620" s="19" t="s">
        <v>41</v>
      </c>
      <c r="H4620" s="18" t="n">
        <v>1</v>
      </c>
      <c r="I4620" s="20" t="n">
        <v>89.1</v>
      </c>
      <c r="J4620" s="20" t="n">
        <v>247.4</v>
      </c>
      <c r="K4620" s="18" t="n">
        <v>3</v>
      </c>
      <c r="L4620" s="18" t="n">
        <v>3</v>
      </c>
      <c r="M4620" s="18" t="n">
        <v>90</v>
      </c>
      <c r="N4620" s="18" t="n">
        <v>90</v>
      </c>
      <c r="O4620" s="14" t="s">
        <v>1097</v>
      </c>
      <c r="P4620" s="14" t="s">
        <v>84</v>
      </c>
      <c r="Q4620" s="15" t="s">
        <v>1089</v>
      </c>
      <c r="R4620" s="16" t="s">
        <v>28362</v>
      </c>
      <c r="S4620" s="15" t="s">
        <v>28358</v>
      </c>
      <c r="T4620" s="15" t="s">
        <v>28363</v>
      </c>
      <c r="U4620" s="21" t="s">
        <v>72</v>
      </c>
    </row>
    <row r="4621" customFormat="false" ht="15" hidden="false" customHeight="false" outlineLevel="0" collapsed="false">
      <c r="A4621" s="15" t="s">
        <v>28316</v>
      </c>
      <c r="B4621" s="15" t="s">
        <v>28322</v>
      </c>
      <c r="C4621" s="14" t="s">
        <v>28364</v>
      </c>
      <c r="D4621" s="14" t="s">
        <v>28365</v>
      </c>
      <c r="E4621" s="16" t="s">
        <v>28366</v>
      </c>
      <c r="F4621" s="16" t="s">
        <v>28367</v>
      </c>
      <c r="G4621" s="23" t="s">
        <v>43</v>
      </c>
      <c r="H4621" s="18" t="n">
        <v>1</v>
      </c>
      <c r="I4621" s="20" t="n">
        <v>32.06</v>
      </c>
      <c r="J4621" s="20" t="n">
        <v>138.68</v>
      </c>
      <c r="K4621" s="18" t="n">
        <v>3</v>
      </c>
      <c r="L4621" s="18" t="n">
        <v>1</v>
      </c>
      <c r="M4621" s="18" t="n">
        <v>30</v>
      </c>
      <c r="N4621" s="18" t="n">
        <v>30</v>
      </c>
      <c r="O4621" s="14" t="s">
        <v>1088</v>
      </c>
      <c r="P4621" s="14" t="s">
        <v>84</v>
      </c>
      <c r="Q4621" s="15" t="s">
        <v>1089</v>
      </c>
      <c r="R4621" s="16" t="s">
        <v>8327</v>
      </c>
      <c r="S4621" s="15" t="s">
        <v>28368</v>
      </c>
      <c r="T4621" s="15" t="s">
        <v>28368</v>
      </c>
      <c r="U4621" s="21" t="s">
        <v>72</v>
      </c>
    </row>
    <row r="4622" customFormat="false" ht="15" hidden="false" customHeight="false" outlineLevel="0" collapsed="false">
      <c r="A4622" s="15" t="s">
        <v>28316</v>
      </c>
      <c r="B4622" s="15" t="s">
        <v>28322</v>
      </c>
      <c r="C4622" s="14" t="s">
        <v>28369</v>
      </c>
      <c r="D4622" s="14" t="s">
        <v>28370</v>
      </c>
      <c r="E4622" s="16" t="s">
        <v>28371</v>
      </c>
      <c r="F4622" s="16" t="s">
        <v>28372</v>
      </c>
      <c r="G4622" s="23" t="s">
        <v>43</v>
      </c>
      <c r="H4622" s="18" t="n">
        <v>1</v>
      </c>
      <c r="I4622" s="20" t="n">
        <v>66</v>
      </c>
      <c r="J4622" s="20" t="n">
        <v>66</v>
      </c>
      <c r="K4622" s="18" t="n">
        <v>8</v>
      </c>
      <c r="L4622" s="18" t="n">
        <v>1</v>
      </c>
      <c r="M4622" s="18" t="n">
        <v>200</v>
      </c>
      <c r="N4622" s="18" t="n">
        <v>75</v>
      </c>
      <c r="O4622" s="14" t="s">
        <v>1088</v>
      </c>
      <c r="P4622" s="14" t="s">
        <v>118</v>
      </c>
      <c r="Q4622" s="15" t="s">
        <v>1089</v>
      </c>
      <c r="R4622" s="16" t="s">
        <v>13075</v>
      </c>
      <c r="S4622" s="15" t="s">
        <v>28373</v>
      </c>
      <c r="T4622" s="15" t="s">
        <v>28373</v>
      </c>
      <c r="U4622" s="21" t="s">
        <v>72</v>
      </c>
    </row>
    <row r="4623" customFormat="false" ht="15" hidden="false" customHeight="false" outlineLevel="0" collapsed="false">
      <c r="A4623" s="15" t="s">
        <v>28316</v>
      </c>
      <c r="B4623" s="15" t="s">
        <v>28322</v>
      </c>
      <c r="C4623" s="14" t="s">
        <v>28374</v>
      </c>
      <c r="D4623" s="14" t="s">
        <v>28375</v>
      </c>
      <c r="E4623" s="16" t="s">
        <v>28376</v>
      </c>
      <c r="F4623" s="16" t="s">
        <v>28377</v>
      </c>
      <c r="G4623" s="23" t="s">
        <v>43</v>
      </c>
      <c r="H4623" s="18" t="n">
        <v>3</v>
      </c>
      <c r="I4623" s="20" t="n">
        <v>50.78</v>
      </c>
      <c r="J4623" s="20" t="n">
        <v>148.8</v>
      </c>
      <c r="K4623" s="18" t="n">
        <v>7</v>
      </c>
      <c r="L4623" s="18" t="n">
        <v>3</v>
      </c>
      <c r="M4623" s="18" t="n">
        <v>168</v>
      </c>
      <c r="N4623" s="18" t="n">
        <v>168</v>
      </c>
      <c r="O4623" s="14" t="s">
        <v>1097</v>
      </c>
      <c r="P4623" s="14" t="s">
        <v>84</v>
      </c>
      <c r="Q4623" s="15" t="s">
        <v>1089</v>
      </c>
      <c r="R4623" s="16" t="s">
        <v>28378</v>
      </c>
      <c r="S4623" s="15" t="s">
        <v>28379</v>
      </c>
      <c r="T4623" s="15" t="s">
        <v>28379</v>
      </c>
      <c r="U4623" s="21" t="s">
        <v>72</v>
      </c>
    </row>
    <row r="4624" customFormat="false" ht="15" hidden="false" customHeight="false" outlineLevel="0" collapsed="false">
      <c r="A4624" s="15" t="s">
        <v>28316</v>
      </c>
      <c r="B4624" s="15" t="s">
        <v>28322</v>
      </c>
      <c r="C4624" s="14" t="s">
        <v>28380</v>
      </c>
      <c r="D4624" s="14" t="s">
        <v>28381</v>
      </c>
      <c r="E4624" s="16" t="s">
        <v>28382</v>
      </c>
      <c r="F4624" s="16" t="s">
        <v>28383</v>
      </c>
      <c r="G4624" s="19" t="s">
        <v>41</v>
      </c>
      <c r="H4624" s="18" t="n">
        <v>3</v>
      </c>
      <c r="I4624" s="20" t="n">
        <v>242.98</v>
      </c>
      <c r="J4624" s="20" t="n">
        <v>242.98</v>
      </c>
      <c r="K4624" s="18" t="n">
        <v>6</v>
      </c>
      <c r="L4624" s="18" t="n">
        <v>2</v>
      </c>
      <c r="M4624" s="18" t="n">
        <v>120</v>
      </c>
      <c r="N4624" s="18" t="n">
        <v>40</v>
      </c>
      <c r="O4624" s="14" t="s">
        <v>1126</v>
      </c>
      <c r="P4624" s="14" t="s">
        <v>84</v>
      </c>
      <c r="Q4624" s="15" t="s">
        <v>1089</v>
      </c>
      <c r="R4624" s="16" t="s">
        <v>20466</v>
      </c>
      <c r="S4624" s="15" t="s">
        <v>28384</v>
      </c>
      <c r="T4624" s="15" t="s">
        <v>28384</v>
      </c>
      <c r="U4624" s="21" t="s">
        <v>72</v>
      </c>
    </row>
    <row r="4625" customFormat="false" ht="15" hidden="false" customHeight="false" outlineLevel="0" collapsed="false">
      <c r="A4625" s="15" t="s">
        <v>28316</v>
      </c>
      <c r="B4625" s="15" t="s">
        <v>28322</v>
      </c>
      <c r="C4625" s="14" t="s">
        <v>28385</v>
      </c>
      <c r="D4625" s="14" t="s">
        <v>28386</v>
      </c>
      <c r="E4625" s="16" t="s">
        <v>28387</v>
      </c>
      <c r="F4625" s="16" t="s">
        <v>28388</v>
      </c>
      <c r="G4625" s="23" t="s">
        <v>43</v>
      </c>
      <c r="H4625" s="18" t="n">
        <v>1</v>
      </c>
      <c r="I4625" s="20" t="n">
        <v>44</v>
      </c>
      <c r="J4625" s="20" t="n">
        <v>120.85</v>
      </c>
      <c r="K4625" s="18" t="n">
        <v>5</v>
      </c>
      <c r="L4625" s="18" t="n">
        <v>3</v>
      </c>
      <c r="M4625" s="18" t="n">
        <v>75</v>
      </c>
      <c r="N4625" s="18" t="n">
        <v>75</v>
      </c>
      <c r="O4625" s="14" t="s">
        <v>1126</v>
      </c>
      <c r="P4625" s="14" t="s">
        <v>84</v>
      </c>
      <c r="Q4625" s="15" t="s">
        <v>1089</v>
      </c>
      <c r="R4625" s="16" t="s">
        <v>28389</v>
      </c>
      <c r="S4625" s="15" t="s">
        <v>28390</v>
      </c>
      <c r="T4625" s="15" t="s">
        <v>28390</v>
      </c>
      <c r="U4625" s="21" t="s">
        <v>72</v>
      </c>
    </row>
    <row r="4626" customFormat="false" ht="26.85" hidden="false" customHeight="false" outlineLevel="0" collapsed="false">
      <c r="A4626" s="15" t="s">
        <v>28316</v>
      </c>
      <c r="B4626" s="15" t="s">
        <v>28322</v>
      </c>
      <c r="C4626" s="14" t="s">
        <v>28391</v>
      </c>
      <c r="D4626" s="14" t="s">
        <v>28392</v>
      </c>
      <c r="E4626" s="16" t="s">
        <v>28393</v>
      </c>
      <c r="F4626" s="16"/>
      <c r="G4626" s="23" t="s">
        <v>43</v>
      </c>
      <c r="H4626" s="18" t="n">
        <v>2</v>
      </c>
      <c r="I4626" s="20" t="n">
        <v>32.4</v>
      </c>
      <c r="J4626" s="20" t="n">
        <v>32.4</v>
      </c>
      <c r="K4626" s="18" t="n">
        <v>18</v>
      </c>
      <c r="L4626" s="18" t="n">
        <v>2</v>
      </c>
      <c r="M4626" s="18" t="n">
        <v>486</v>
      </c>
      <c r="N4626" s="18" t="n">
        <v>81</v>
      </c>
      <c r="O4626" s="14" t="s">
        <v>1088</v>
      </c>
      <c r="P4626" s="14" t="s">
        <v>906</v>
      </c>
      <c r="Q4626" s="15" t="s">
        <v>1089</v>
      </c>
      <c r="R4626" s="16" t="s">
        <v>28394</v>
      </c>
      <c r="S4626" s="15" t="s">
        <v>28395</v>
      </c>
      <c r="T4626" s="15" t="s">
        <v>28396</v>
      </c>
      <c r="U4626" s="21" t="s">
        <v>72</v>
      </c>
    </row>
    <row r="4627" customFormat="false" ht="15" hidden="false" customHeight="false" outlineLevel="0" collapsed="false">
      <c r="A4627" s="15" t="s">
        <v>28316</v>
      </c>
      <c r="B4627" s="15" t="s">
        <v>28322</v>
      </c>
      <c r="C4627" s="14" t="s">
        <v>28397</v>
      </c>
      <c r="D4627" s="14" t="s">
        <v>28398</v>
      </c>
      <c r="E4627" s="16" t="s">
        <v>28399</v>
      </c>
      <c r="F4627" s="16" t="s">
        <v>28400</v>
      </c>
      <c r="G4627" s="23" t="s">
        <v>43</v>
      </c>
      <c r="H4627" s="18" t="n">
        <v>1</v>
      </c>
      <c r="I4627" s="20" t="n">
        <v>43.43</v>
      </c>
      <c r="J4627" s="20" t="n">
        <v>72.06</v>
      </c>
      <c r="K4627" s="18" t="n">
        <v>2</v>
      </c>
      <c r="L4627" s="18" t="n">
        <v>2</v>
      </c>
      <c r="M4627" s="18" t="n">
        <v>16</v>
      </c>
      <c r="N4627" s="18" t="n">
        <v>16</v>
      </c>
      <c r="O4627" s="14" t="s">
        <v>1126</v>
      </c>
      <c r="P4627" s="14" t="s">
        <v>118</v>
      </c>
      <c r="Q4627" s="15" t="s">
        <v>1089</v>
      </c>
      <c r="R4627" s="16" t="s">
        <v>28401</v>
      </c>
      <c r="S4627" s="15" t="s">
        <v>28402</v>
      </c>
      <c r="T4627" s="15" t="s">
        <v>28402</v>
      </c>
      <c r="U4627" s="21" t="s">
        <v>72</v>
      </c>
    </row>
    <row r="4628" customFormat="false" ht="15" hidden="false" customHeight="false" outlineLevel="0" collapsed="false">
      <c r="A4628" s="15" t="s">
        <v>28316</v>
      </c>
      <c r="B4628" s="15" t="s">
        <v>28322</v>
      </c>
      <c r="C4628" s="14" t="s">
        <v>28403</v>
      </c>
      <c r="D4628" s="14" t="s">
        <v>28404</v>
      </c>
      <c r="E4628" s="16" t="s">
        <v>28405</v>
      </c>
      <c r="F4628" s="16"/>
      <c r="G4628" s="23" t="s">
        <v>43</v>
      </c>
      <c r="H4628" s="18" t="n">
        <v>2</v>
      </c>
      <c r="I4628" s="20" t="n">
        <v>88.47</v>
      </c>
      <c r="J4628" s="20" t="n">
        <v>88.47</v>
      </c>
      <c r="K4628" s="18" t="n">
        <v>2</v>
      </c>
      <c r="L4628" s="18" t="n">
        <v>1</v>
      </c>
      <c r="M4628" s="18" t="n">
        <v>40</v>
      </c>
      <c r="N4628" s="18" t="n">
        <v>40</v>
      </c>
      <c r="O4628" s="14" t="s">
        <v>1126</v>
      </c>
      <c r="P4628" s="14" t="s">
        <v>84</v>
      </c>
      <c r="Q4628" s="15" t="s">
        <v>1089</v>
      </c>
      <c r="R4628" s="16" t="s">
        <v>17508</v>
      </c>
      <c r="S4628" s="15" t="s">
        <v>28406</v>
      </c>
      <c r="T4628" s="15" t="s">
        <v>28406</v>
      </c>
      <c r="U4628" s="21" t="s">
        <v>72</v>
      </c>
    </row>
    <row r="4629" customFormat="false" ht="15" hidden="false" customHeight="false" outlineLevel="0" collapsed="false">
      <c r="A4629" s="15" t="s">
        <v>28316</v>
      </c>
      <c r="B4629" s="15" t="s">
        <v>28322</v>
      </c>
      <c r="C4629" s="14" t="s">
        <v>28407</v>
      </c>
      <c r="D4629" s="14" t="s">
        <v>28408</v>
      </c>
      <c r="E4629" s="16" t="s">
        <v>28409</v>
      </c>
      <c r="F4629" s="16" t="s">
        <v>28410</v>
      </c>
      <c r="G4629" s="19" t="s">
        <v>41</v>
      </c>
      <c r="H4629" s="18" t="n">
        <v>5</v>
      </c>
      <c r="I4629" s="20" t="n">
        <v>202.28</v>
      </c>
      <c r="J4629" s="20" t="n">
        <v>202.28</v>
      </c>
      <c r="K4629" s="18" t="n">
        <v>8</v>
      </c>
      <c r="L4629" s="18" t="n">
        <v>2</v>
      </c>
      <c r="M4629" s="18" t="n">
        <v>160</v>
      </c>
      <c r="N4629" s="18" t="n">
        <v>160</v>
      </c>
      <c r="O4629" s="14" t="s">
        <v>1126</v>
      </c>
      <c r="P4629" s="14" t="s">
        <v>84</v>
      </c>
      <c r="Q4629" s="15" t="s">
        <v>1089</v>
      </c>
      <c r="R4629" s="16" t="s">
        <v>20533</v>
      </c>
      <c r="S4629" s="15" t="s">
        <v>28411</v>
      </c>
      <c r="T4629" s="15" t="s">
        <v>28412</v>
      </c>
      <c r="U4629" s="21" t="s">
        <v>72</v>
      </c>
    </row>
    <row r="4630" customFormat="false" ht="15" hidden="false" customHeight="false" outlineLevel="0" collapsed="false">
      <c r="A4630" s="15" t="s">
        <v>28316</v>
      </c>
      <c r="B4630" s="15" t="s">
        <v>28322</v>
      </c>
      <c r="C4630" s="14" t="s">
        <v>28413</v>
      </c>
      <c r="D4630" s="14" t="s">
        <v>28414</v>
      </c>
      <c r="E4630" s="16" t="s">
        <v>28415</v>
      </c>
      <c r="F4630" s="16" t="s">
        <v>28416</v>
      </c>
      <c r="G4630" s="23" t="s">
        <v>43</v>
      </c>
      <c r="H4630" s="18" t="n">
        <v>2</v>
      </c>
      <c r="I4630" s="20" t="n">
        <v>93.06</v>
      </c>
      <c r="J4630" s="20" t="n">
        <v>116.3</v>
      </c>
      <c r="K4630" s="18" t="n">
        <v>10</v>
      </c>
      <c r="L4630" s="18" t="n">
        <v>2</v>
      </c>
      <c r="M4630" s="18" t="n">
        <v>250</v>
      </c>
      <c r="N4630" s="18" t="n">
        <v>50</v>
      </c>
      <c r="O4630" s="14" t="s">
        <v>1126</v>
      </c>
      <c r="P4630" s="14" t="s">
        <v>84</v>
      </c>
      <c r="Q4630" s="15" t="s">
        <v>1089</v>
      </c>
      <c r="R4630" s="16" t="s">
        <v>6357</v>
      </c>
      <c r="S4630" s="15" t="s">
        <v>28417</v>
      </c>
      <c r="T4630" s="15" t="s">
        <v>28417</v>
      </c>
      <c r="U4630" s="21" t="s">
        <v>72</v>
      </c>
    </row>
    <row r="4631" customFormat="false" ht="15" hidden="false" customHeight="false" outlineLevel="0" collapsed="false">
      <c r="A4631" s="15" t="s">
        <v>28316</v>
      </c>
      <c r="B4631" s="15" t="s">
        <v>28322</v>
      </c>
      <c r="C4631" s="14" t="s">
        <v>28418</v>
      </c>
      <c r="D4631" s="14" t="s">
        <v>28419</v>
      </c>
      <c r="E4631" s="16" t="s">
        <v>28420</v>
      </c>
      <c r="F4631" s="16" t="s">
        <v>28421</v>
      </c>
      <c r="G4631" s="25" t="s">
        <v>39</v>
      </c>
      <c r="H4631" s="18" t="n">
        <v>3</v>
      </c>
      <c r="I4631" s="20" t="n">
        <v>102.6</v>
      </c>
      <c r="J4631" s="20" t="n">
        <v>489.08</v>
      </c>
      <c r="K4631" s="18" t="n">
        <v>3</v>
      </c>
      <c r="L4631" s="18" t="n">
        <v>4</v>
      </c>
      <c r="M4631" s="18" t="n">
        <v>60</v>
      </c>
      <c r="N4631" s="18" t="n">
        <v>60</v>
      </c>
      <c r="O4631" s="14" t="s">
        <v>1126</v>
      </c>
      <c r="P4631" s="14" t="s">
        <v>118</v>
      </c>
      <c r="Q4631" s="15" t="s">
        <v>1089</v>
      </c>
      <c r="R4631" s="16" t="s">
        <v>28422</v>
      </c>
      <c r="S4631" s="15" t="s">
        <v>28423</v>
      </c>
      <c r="T4631" s="15" t="s">
        <v>28423</v>
      </c>
      <c r="U4631" s="21" t="s">
        <v>72</v>
      </c>
    </row>
    <row r="4632" customFormat="false" ht="15" hidden="false" customHeight="false" outlineLevel="0" collapsed="false">
      <c r="A4632" s="15" t="s">
        <v>28316</v>
      </c>
      <c r="B4632" s="15" t="s">
        <v>28322</v>
      </c>
      <c r="C4632" s="14" t="s">
        <v>28424</v>
      </c>
      <c r="D4632" s="14" t="s">
        <v>28425</v>
      </c>
      <c r="E4632" s="16" t="s">
        <v>28426</v>
      </c>
      <c r="F4632" s="16" t="s">
        <v>28427</v>
      </c>
      <c r="G4632" s="23" t="s">
        <v>43</v>
      </c>
      <c r="H4632" s="18" t="n">
        <v>1</v>
      </c>
      <c r="I4632" s="20" t="n">
        <v>33.44</v>
      </c>
      <c r="J4632" s="20" t="n">
        <v>35.87</v>
      </c>
      <c r="K4632" s="18" t="n">
        <v>3</v>
      </c>
      <c r="L4632" s="18" t="n">
        <v>1</v>
      </c>
      <c r="M4632" s="18" t="n">
        <v>80</v>
      </c>
      <c r="N4632" s="18" t="n">
        <v>25</v>
      </c>
      <c r="O4632" s="14" t="s">
        <v>1097</v>
      </c>
      <c r="P4632" s="14" t="s">
        <v>84</v>
      </c>
      <c r="Q4632" s="15" t="s">
        <v>1089</v>
      </c>
      <c r="R4632" s="16" t="s">
        <v>28428</v>
      </c>
      <c r="S4632" s="15" t="s">
        <v>28429</v>
      </c>
      <c r="T4632" s="15" t="s">
        <v>28429</v>
      </c>
      <c r="U4632" s="21" t="s">
        <v>72</v>
      </c>
    </row>
    <row r="4633" customFormat="false" ht="15" hidden="false" customHeight="false" outlineLevel="0" collapsed="false">
      <c r="A4633" s="15" t="s">
        <v>28316</v>
      </c>
      <c r="B4633" s="15" t="s">
        <v>28322</v>
      </c>
      <c r="C4633" s="14" t="s">
        <v>28430</v>
      </c>
      <c r="D4633" s="14" t="s">
        <v>28431</v>
      </c>
      <c r="E4633" s="16" t="s">
        <v>28432</v>
      </c>
      <c r="F4633" s="16"/>
      <c r="G4633" s="19" t="s">
        <v>41</v>
      </c>
      <c r="H4633" s="18" t="n">
        <v>5</v>
      </c>
      <c r="I4633" s="20" t="n">
        <v>139.56</v>
      </c>
      <c r="J4633" s="20" t="n">
        <v>195.1</v>
      </c>
      <c r="K4633" s="18" t="n">
        <v>13</v>
      </c>
      <c r="L4633" s="18" t="n">
        <v>3</v>
      </c>
      <c r="M4633" s="18" t="n">
        <v>325</v>
      </c>
      <c r="N4633" s="18" t="n">
        <v>100</v>
      </c>
      <c r="O4633" s="14" t="s">
        <v>1126</v>
      </c>
      <c r="P4633" s="14" t="s">
        <v>84</v>
      </c>
      <c r="Q4633" s="15" t="s">
        <v>1089</v>
      </c>
      <c r="R4633" s="16" t="s">
        <v>14231</v>
      </c>
      <c r="S4633" s="15" t="s">
        <v>28433</v>
      </c>
      <c r="T4633" s="15" t="s">
        <v>28433</v>
      </c>
      <c r="U4633" s="21" t="s">
        <v>72</v>
      </c>
    </row>
    <row r="4634" customFormat="false" ht="15" hidden="false" customHeight="false" outlineLevel="0" collapsed="false">
      <c r="A4634" s="15" t="s">
        <v>28316</v>
      </c>
      <c r="B4634" s="15" t="s">
        <v>28322</v>
      </c>
      <c r="C4634" s="14" t="s">
        <v>28434</v>
      </c>
      <c r="D4634" s="14" t="s">
        <v>28435</v>
      </c>
      <c r="E4634" s="16" t="s">
        <v>28436</v>
      </c>
      <c r="F4634" s="16" t="s">
        <v>28437</v>
      </c>
      <c r="G4634" s="19" t="s">
        <v>41</v>
      </c>
      <c r="H4634" s="18" t="n">
        <v>5</v>
      </c>
      <c r="I4634" s="20" t="n">
        <v>117.54</v>
      </c>
      <c r="J4634" s="20" t="n">
        <v>184.53</v>
      </c>
      <c r="K4634" s="18" t="n">
        <v>11</v>
      </c>
      <c r="L4634" s="18" t="n">
        <v>3</v>
      </c>
      <c r="M4634" s="18" t="n">
        <v>220</v>
      </c>
      <c r="N4634" s="18" t="n">
        <v>60</v>
      </c>
      <c r="O4634" s="14" t="s">
        <v>28438</v>
      </c>
      <c r="P4634" s="14" t="s">
        <v>118</v>
      </c>
      <c r="Q4634" s="15" t="s">
        <v>1089</v>
      </c>
      <c r="R4634" s="16" t="s">
        <v>28439</v>
      </c>
      <c r="S4634" s="15" t="s">
        <v>28440</v>
      </c>
      <c r="T4634" s="15" t="s">
        <v>28441</v>
      </c>
      <c r="U4634" s="21" t="s">
        <v>72</v>
      </c>
    </row>
    <row r="4635" customFormat="false" ht="15" hidden="false" customHeight="false" outlineLevel="0" collapsed="false">
      <c r="A4635" s="15" t="s">
        <v>28316</v>
      </c>
      <c r="B4635" s="15" t="s">
        <v>28322</v>
      </c>
      <c r="C4635" s="14" t="s">
        <v>28442</v>
      </c>
      <c r="D4635" s="14" t="s">
        <v>28443</v>
      </c>
      <c r="E4635" s="16" t="s">
        <v>28444</v>
      </c>
      <c r="F4635" s="16" t="s">
        <v>28445</v>
      </c>
      <c r="G4635" s="23" t="s">
        <v>43</v>
      </c>
      <c r="H4635" s="18" t="n">
        <v>2</v>
      </c>
      <c r="I4635" s="20" t="n">
        <v>77.77</v>
      </c>
      <c r="J4635" s="20" t="n">
        <v>130.12</v>
      </c>
      <c r="K4635" s="18" t="n">
        <v>17</v>
      </c>
      <c r="L4635" s="18" t="n">
        <v>2</v>
      </c>
      <c r="M4635" s="18" t="n">
        <v>270</v>
      </c>
      <c r="N4635" s="18" t="n">
        <v>90</v>
      </c>
      <c r="O4635" s="14" t="s">
        <v>1097</v>
      </c>
      <c r="P4635" s="14" t="s">
        <v>118</v>
      </c>
      <c r="Q4635" s="15" t="s">
        <v>1089</v>
      </c>
      <c r="R4635" s="16" t="s">
        <v>8267</v>
      </c>
      <c r="S4635" s="15" t="s">
        <v>28446</v>
      </c>
      <c r="T4635" s="15" t="s">
        <v>28446</v>
      </c>
      <c r="U4635" s="21" t="s">
        <v>72</v>
      </c>
    </row>
    <row r="4636" customFormat="false" ht="15" hidden="false" customHeight="false" outlineLevel="0" collapsed="false">
      <c r="A4636" s="15" t="s">
        <v>28316</v>
      </c>
      <c r="B4636" s="15" t="s">
        <v>28322</v>
      </c>
      <c r="C4636" s="14" t="s">
        <v>28447</v>
      </c>
      <c r="D4636" s="14" t="s">
        <v>28448</v>
      </c>
      <c r="E4636" s="16" t="s">
        <v>28449</v>
      </c>
      <c r="F4636" s="16" t="s">
        <v>28450</v>
      </c>
      <c r="G4636" s="23" t="s">
        <v>43</v>
      </c>
      <c r="H4636" s="18" t="n">
        <v>3</v>
      </c>
      <c r="I4636" s="20" t="n">
        <v>142.28</v>
      </c>
      <c r="J4636" s="20" t="n">
        <v>142.28</v>
      </c>
      <c r="K4636" s="18" t="n">
        <v>24</v>
      </c>
      <c r="L4636" s="18" t="n">
        <v>7</v>
      </c>
      <c r="M4636" s="18" t="n">
        <v>425</v>
      </c>
      <c r="N4636" s="18" t="n">
        <v>8</v>
      </c>
      <c r="O4636" s="14" t="s">
        <v>1097</v>
      </c>
      <c r="P4636" s="14" t="s">
        <v>202</v>
      </c>
      <c r="Q4636" s="15" t="s">
        <v>1089</v>
      </c>
      <c r="R4636" s="16" t="s">
        <v>28451</v>
      </c>
      <c r="S4636" s="15" t="s">
        <v>28452</v>
      </c>
      <c r="T4636" s="15" t="s">
        <v>28452</v>
      </c>
      <c r="U4636" s="21" t="s">
        <v>72</v>
      </c>
    </row>
    <row r="4637" customFormat="false" ht="15" hidden="false" customHeight="false" outlineLevel="0" collapsed="false">
      <c r="A4637" s="15" t="s">
        <v>28316</v>
      </c>
      <c r="B4637" s="15" t="s">
        <v>28322</v>
      </c>
      <c r="C4637" s="14" t="s">
        <v>28453</v>
      </c>
      <c r="D4637" s="14" t="s">
        <v>28454</v>
      </c>
      <c r="E4637" s="16" t="s">
        <v>28455</v>
      </c>
      <c r="F4637" s="16" t="s">
        <v>28456</v>
      </c>
      <c r="G4637" s="23" t="s">
        <v>43</v>
      </c>
      <c r="H4637" s="18" t="n">
        <v>1</v>
      </c>
      <c r="I4637" s="20" t="n">
        <v>73.16</v>
      </c>
      <c r="J4637" s="20" t="n">
        <v>73.16</v>
      </c>
      <c r="K4637" s="18" t="n">
        <v>2</v>
      </c>
      <c r="L4637" s="18" t="n">
        <v>1</v>
      </c>
      <c r="M4637" s="18" t="n">
        <v>33</v>
      </c>
      <c r="N4637" s="18" t="n">
        <v>15</v>
      </c>
      <c r="O4637" s="14" t="s">
        <v>1088</v>
      </c>
      <c r="P4637" s="14" t="s">
        <v>118</v>
      </c>
      <c r="Q4637" s="15" t="s">
        <v>1089</v>
      </c>
      <c r="R4637" s="16" t="s">
        <v>28457</v>
      </c>
      <c r="S4637" s="15" t="s">
        <v>28458</v>
      </c>
      <c r="T4637" s="15" t="s">
        <v>28458</v>
      </c>
      <c r="U4637" s="21" t="s">
        <v>72</v>
      </c>
    </row>
    <row r="4638" customFormat="false" ht="15" hidden="false" customHeight="false" outlineLevel="0" collapsed="false">
      <c r="A4638" s="15" t="s">
        <v>28316</v>
      </c>
      <c r="B4638" s="15" t="s">
        <v>28322</v>
      </c>
      <c r="C4638" s="14" t="s">
        <v>28459</v>
      </c>
      <c r="D4638" s="14" t="s">
        <v>28460</v>
      </c>
      <c r="E4638" s="16" t="s">
        <v>28461</v>
      </c>
      <c r="F4638" s="16" t="s">
        <v>28462</v>
      </c>
      <c r="G4638" s="23" t="s">
        <v>43</v>
      </c>
      <c r="H4638" s="18" t="n">
        <v>2</v>
      </c>
      <c r="I4638" s="20" t="n">
        <v>73.61</v>
      </c>
      <c r="J4638" s="20" t="n">
        <v>103.72</v>
      </c>
      <c r="K4638" s="18" t="n">
        <v>9</v>
      </c>
      <c r="L4638" s="18" t="n">
        <v>1</v>
      </c>
      <c r="M4638" s="18" t="n">
        <v>135</v>
      </c>
      <c r="N4638" s="18" t="n">
        <v>105</v>
      </c>
      <c r="O4638" s="14" t="s">
        <v>28238</v>
      </c>
      <c r="P4638" s="14" t="s">
        <v>84</v>
      </c>
      <c r="Q4638" s="15" t="s">
        <v>1089</v>
      </c>
      <c r="R4638" s="16" t="s">
        <v>23188</v>
      </c>
      <c r="S4638" s="15" t="s">
        <v>28463</v>
      </c>
      <c r="T4638" s="15" t="s">
        <v>28463</v>
      </c>
      <c r="U4638" s="21" t="s">
        <v>72</v>
      </c>
    </row>
    <row r="4639" customFormat="false" ht="15" hidden="false" customHeight="false" outlineLevel="0" collapsed="false">
      <c r="A4639" s="15" t="s">
        <v>28316</v>
      </c>
      <c r="B4639" s="15" t="s">
        <v>28322</v>
      </c>
      <c r="C4639" s="14" t="s">
        <v>28464</v>
      </c>
      <c r="D4639" s="14" t="s">
        <v>28465</v>
      </c>
      <c r="E4639" s="16" t="s">
        <v>28466</v>
      </c>
      <c r="F4639" s="16" t="s">
        <v>28467</v>
      </c>
      <c r="G4639" s="23" t="s">
        <v>43</v>
      </c>
      <c r="H4639" s="18" t="n">
        <v>1</v>
      </c>
      <c r="I4639" s="20" t="n">
        <v>32.5</v>
      </c>
      <c r="J4639" s="20" t="n">
        <v>79.26</v>
      </c>
      <c r="K4639" s="18" t="n">
        <v>3</v>
      </c>
      <c r="L4639" s="18" t="n">
        <v>1</v>
      </c>
      <c r="M4639" s="18" t="n">
        <v>45</v>
      </c>
      <c r="N4639" s="18" t="n">
        <v>45</v>
      </c>
      <c r="O4639" s="14" t="s">
        <v>1126</v>
      </c>
      <c r="P4639" s="14" t="s">
        <v>84</v>
      </c>
      <c r="Q4639" s="15" t="s">
        <v>1089</v>
      </c>
      <c r="R4639" s="16" t="s">
        <v>28468</v>
      </c>
      <c r="S4639" s="15" t="s">
        <v>28469</v>
      </c>
      <c r="T4639" s="15" t="s">
        <v>28469</v>
      </c>
      <c r="U4639" s="21" t="s">
        <v>72</v>
      </c>
    </row>
    <row r="4640" customFormat="false" ht="15" hidden="false" customHeight="false" outlineLevel="0" collapsed="false">
      <c r="A4640" s="15" t="s">
        <v>28316</v>
      </c>
      <c r="B4640" s="15" t="s">
        <v>28322</v>
      </c>
      <c r="C4640" s="14" t="s">
        <v>28470</v>
      </c>
      <c r="D4640" s="14" t="s">
        <v>28471</v>
      </c>
      <c r="E4640" s="16" t="s">
        <v>28472</v>
      </c>
      <c r="F4640" s="16" t="s">
        <v>28473</v>
      </c>
      <c r="G4640" s="23" t="s">
        <v>43</v>
      </c>
      <c r="H4640" s="18" t="n">
        <v>1</v>
      </c>
      <c r="I4640" s="20" t="n">
        <v>94</v>
      </c>
      <c r="J4640" s="20" t="n">
        <v>94</v>
      </c>
      <c r="K4640" s="18" t="n">
        <v>8</v>
      </c>
      <c r="L4640" s="18" t="n">
        <v>4</v>
      </c>
      <c r="M4640" s="18" t="n">
        <v>240</v>
      </c>
      <c r="N4640" s="18" t="n">
        <v>120</v>
      </c>
      <c r="O4640" s="14" t="s">
        <v>9118</v>
      </c>
      <c r="P4640" s="14" t="s">
        <v>118</v>
      </c>
      <c r="Q4640" s="15" t="s">
        <v>1089</v>
      </c>
      <c r="R4640" s="16" t="s">
        <v>28474</v>
      </c>
      <c r="S4640" s="15" t="s">
        <v>28475</v>
      </c>
      <c r="T4640" s="15" t="s">
        <v>28475</v>
      </c>
      <c r="U4640" s="21" t="s">
        <v>72</v>
      </c>
    </row>
    <row r="4641" customFormat="false" ht="15" hidden="false" customHeight="false" outlineLevel="0" collapsed="false">
      <c r="A4641" s="15" t="s">
        <v>28316</v>
      </c>
      <c r="B4641" s="15" t="s">
        <v>28322</v>
      </c>
      <c r="C4641" s="14" t="s">
        <v>28476</v>
      </c>
      <c r="D4641" s="14" t="s">
        <v>28477</v>
      </c>
      <c r="E4641" s="16" t="s">
        <v>28478</v>
      </c>
      <c r="F4641" s="16" t="s">
        <v>28479</v>
      </c>
      <c r="G4641" s="23" t="s">
        <v>43</v>
      </c>
      <c r="H4641" s="18" t="n">
        <v>1</v>
      </c>
      <c r="I4641" s="20" t="n">
        <v>43.1</v>
      </c>
      <c r="J4641" s="20" t="n">
        <v>43.1</v>
      </c>
      <c r="K4641" s="18" t="n">
        <v>1</v>
      </c>
      <c r="L4641" s="18" t="n">
        <v>2</v>
      </c>
      <c r="M4641" s="18" t="n">
        <v>15</v>
      </c>
      <c r="N4641" s="18" t="n">
        <v>15</v>
      </c>
      <c r="O4641" s="14" t="s">
        <v>1088</v>
      </c>
      <c r="P4641" s="14" t="s">
        <v>84</v>
      </c>
      <c r="Q4641" s="15" t="s">
        <v>1089</v>
      </c>
      <c r="R4641" s="16" t="s">
        <v>22174</v>
      </c>
      <c r="S4641" s="15" t="s">
        <v>28480</v>
      </c>
      <c r="T4641" s="15" t="s">
        <v>28480</v>
      </c>
      <c r="U4641" s="21" t="s">
        <v>72</v>
      </c>
    </row>
    <row r="4642" customFormat="false" ht="15" hidden="false" customHeight="false" outlineLevel="0" collapsed="false">
      <c r="A4642" s="15" t="s">
        <v>28316</v>
      </c>
      <c r="B4642" s="15" t="s">
        <v>28322</v>
      </c>
      <c r="C4642" s="14" t="s">
        <v>28481</v>
      </c>
      <c r="D4642" s="14" t="s">
        <v>28482</v>
      </c>
      <c r="E4642" s="16" t="s">
        <v>28483</v>
      </c>
      <c r="F4642" s="16"/>
      <c r="G4642" s="23" t="s">
        <v>43</v>
      </c>
      <c r="H4642" s="18" t="n">
        <v>1</v>
      </c>
      <c r="I4642" s="20" t="n">
        <v>30.23</v>
      </c>
      <c r="J4642" s="20" t="n">
        <v>131.2</v>
      </c>
      <c r="K4642" s="18" t="n">
        <v>3</v>
      </c>
      <c r="L4642" s="18" t="n">
        <v>2</v>
      </c>
      <c r="M4642" s="18" t="n">
        <v>30</v>
      </c>
      <c r="N4642" s="18" t="n">
        <v>30</v>
      </c>
      <c r="O4642" s="14" t="s">
        <v>1088</v>
      </c>
      <c r="P4642" s="14" t="s">
        <v>84</v>
      </c>
      <c r="Q4642" s="15" t="s">
        <v>1089</v>
      </c>
      <c r="R4642" s="16" t="s">
        <v>28484</v>
      </c>
      <c r="S4642" s="15" t="s">
        <v>28485</v>
      </c>
      <c r="T4642" s="15" t="s">
        <v>28486</v>
      </c>
      <c r="U4642" s="21" t="s">
        <v>72</v>
      </c>
    </row>
    <row r="4643" customFormat="false" ht="15" hidden="false" customHeight="false" outlineLevel="0" collapsed="false">
      <c r="A4643" s="15" t="s">
        <v>28316</v>
      </c>
      <c r="B4643" s="15" t="s">
        <v>28322</v>
      </c>
      <c r="C4643" s="14" t="s">
        <v>28487</v>
      </c>
      <c r="D4643" s="14" t="s">
        <v>28488</v>
      </c>
      <c r="E4643" s="16" t="s">
        <v>28489</v>
      </c>
      <c r="F4643" s="16" t="s">
        <v>28490</v>
      </c>
      <c r="G4643" s="23" t="s">
        <v>43</v>
      </c>
      <c r="H4643" s="18" t="n">
        <v>2</v>
      </c>
      <c r="I4643" s="20" t="n">
        <v>79.32</v>
      </c>
      <c r="J4643" s="20" t="n">
        <v>79.32</v>
      </c>
      <c r="K4643" s="18" t="n">
        <v>6</v>
      </c>
      <c r="L4643" s="18" t="n">
        <v>2</v>
      </c>
      <c r="M4643" s="18" t="n">
        <v>180</v>
      </c>
      <c r="N4643" s="18" t="n">
        <v>180</v>
      </c>
      <c r="O4643" s="14" t="s">
        <v>1097</v>
      </c>
      <c r="P4643" s="14" t="s">
        <v>84</v>
      </c>
      <c r="Q4643" s="15" t="s">
        <v>1089</v>
      </c>
      <c r="R4643" s="16" t="s">
        <v>15837</v>
      </c>
      <c r="S4643" s="15" t="s">
        <v>25364</v>
      </c>
      <c r="T4643" s="15" t="s">
        <v>25364</v>
      </c>
      <c r="U4643" s="21" t="s">
        <v>72</v>
      </c>
    </row>
    <row r="4644" customFormat="false" ht="39.55" hidden="false" customHeight="false" outlineLevel="0" collapsed="false">
      <c r="A4644" s="15" t="s">
        <v>28316</v>
      </c>
      <c r="B4644" s="15" t="s">
        <v>28322</v>
      </c>
      <c r="C4644" s="14" t="s">
        <v>28491</v>
      </c>
      <c r="D4644" s="14" t="s">
        <v>28492</v>
      </c>
      <c r="E4644" s="16" t="s">
        <v>28493</v>
      </c>
      <c r="F4644" s="16" t="s">
        <v>28494</v>
      </c>
      <c r="G4644" s="23" t="s">
        <v>43</v>
      </c>
      <c r="H4644" s="18" t="n">
        <v>3</v>
      </c>
      <c r="I4644" s="20" t="n">
        <v>139.3</v>
      </c>
      <c r="J4644" s="20" t="n">
        <v>174.34</v>
      </c>
      <c r="K4644" s="18" t="n">
        <v>5</v>
      </c>
      <c r="L4644" s="18" t="n">
        <v>5</v>
      </c>
      <c r="M4644" s="18" t="n">
        <v>110</v>
      </c>
      <c r="N4644" s="18" t="n">
        <v>70</v>
      </c>
      <c r="O4644" s="14" t="s">
        <v>28495</v>
      </c>
      <c r="P4644" s="14" t="s">
        <v>118</v>
      </c>
      <c r="Q4644" s="15" t="s">
        <v>1089</v>
      </c>
      <c r="R4644" s="16" t="s">
        <v>28496</v>
      </c>
      <c r="S4644" s="15" t="s">
        <v>28497</v>
      </c>
      <c r="T4644" s="15" t="s">
        <v>28497</v>
      </c>
      <c r="U4644" s="21" t="s">
        <v>72</v>
      </c>
    </row>
    <row r="4645" customFormat="false" ht="15" hidden="false" customHeight="false" outlineLevel="0" collapsed="false">
      <c r="A4645" s="15" t="s">
        <v>28316</v>
      </c>
      <c r="B4645" s="15" t="s">
        <v>28322</v>
      </c>
      <c r="C4645" s="14" t="s">
        <v>28498</v>
      </c>
      <c r="D4645" s="14" t="s">
        <v>28499</v>
      </c>
      <c r="E4645" s="16" t="s">
        <v>28500</v>
      </c>
      <c r="F4645" s="16" t="s">
        <v>28501</v>
      </c>
      <c r="G4645" s="23" t="s">
        <v>43</v>
      </c>
      <c r="H4645" s="18" t="n">
        <v>4</v>
      </c>
      <c r="I4645" s="20" t="n">
        <v>69.7</v>
      </c>
      <c r="J4645" s="20" t="n">
        <v>150</v>
      </c>
      <c r="K4645" s="18" t="n">
        <v>5</v>
      </c>
      <c r="L4645" s="18" t="n">
        <v>5</v>
      </c>
      <c r="M4645" s="18" t="n">
        <v>75</v>
      </c>
      <c r="N4645" s="18" t="n">
        <v>60</v>
      </c>
      <c r="O4645" s="14" t="s">
        <v>1126</v>
      </c>
      <c r="P4645" s="14" t="s">
        <v>118</v>
      </c>
      <c r="Q4645" s="15" t="s">
        <v>1089</v>
      </c>
      <c r="R4645" s="16" t="s">
        <v>28502</v>
      </c>
      <c r="S4645" s="15" t="s">
        <v>28503</v>
      </c>
      <c r="T4645" s="15" t="s">
        <v>28503</v>
      </c>
      <c r="U4645" s="21" t="s">
        <v>72</v>
      </c>
    </row>
    <row r="4646" customFormat="false" ht="15" hidden="false" customHeight="false" outlineLevel="0" collapsed="false">
      <c r="A4646" s="15" t="s">
        <v>28316</v>
      </c>
      <c r="B4646" s="15" t="s">
        <v>28322</v>
      </c>
      <c r="C4646" s="14" t="s">
        <v>28504</v>
      </c>
      <c r="D4646" s="14" t="s">
        <v>28505</v>
      </c>
      <c r="E4646" s="16" t="s">
        <v>28506</v>
      </c>
      <c r="F4646" s="16"/>
      <c r="G4646" s="23" t="s">
        <v>43</v>
      </c>
      <c r="H4646" s="18" t="n">
        <v>1</v>
      </c>
      <c r="I4646" s="20" t="n">
        <v>28.74</v>
      </c>
      <c r="J4646" s="20" t="n">
        <v>32.88</v>
      </c>
      <c r="K4646" s="18" t="n">
        <v>4</v>
      </c>
      <c r="L4646" s="18" t="n">
        <v>1</v>
      </c>
      <c r="M4646" s="18" t="n">
        <v>72</v>
      </c>
      <c r="N4646" s="18" t="n">
        <v>36</v>
      </c>
      <c r="O4646" s="14" t="s">
        <v>1126</v>
      </c>
      <c r="P4646" s="14" t="s">
        <v>84</v>
      </c>
      <c r="Q4646" s="15" t="s">
        <v>1089</v>
      </c>
      <c r="R4646" s="16" t="s">
        <v>28507</v>
      </c>
      <c r="S4646" s="15" t="s">
        <v>28395</v>
      </c>
      <c r="T4646" s="15" t="s">
        <v>28395</v>
      </c>
      <c r="U4646" s="21" t="s">
        <v>72</v>
      </c>
    </row>
    <row r="4647" customFormat="false" ht="15" hidden="false" customHeight="false" outlineLevel="0" collapsed="false">
      <c r="A4647" s="15" t="s">
        <v>28316</v>
      </c>
      <c r="B4647" s="15" t="s">
        <v>28322</v>
      </c>
      <c r="C4647" s="14" t="s">
        <v>28508</v>
      </c>
      <c r="D4647" s="14" t="s">
        <v>28509</v>
      </c>
      <c r="E4647" s="16" t="s">
        <v>28510</v>
      </c>
      <c r="F4647" s="16" t="s">
        <v>28511</v>
      </c>
      <c r="G4647" s="23" t="s">
        <v>43</v>
      </c>
      <c r="H4647" s="18" t="n">
        <v>1</v>
      </c>
      <c r="I4647" s="20" t="n">
        <v>32.3365</v>
      </c>
      <c r="J4647" s="20" t="n">
        <v>59.62</v>
      </c>
      <c r="K4647" s="18" t="n">
        <v>2</v>
      </c>
      <c r="L4647" s="18" t="n">
        <v>2</v>
      </c>
      <c r="M4647" s="18" t="n">
        <v>20</v>
      </c>
      <c r="N4647" s="18" t="n">
        <v>10</v>
      </c>
      <c r="O4647" s="14" t="s">
        <v>1097</v>
      </c>
      <c r="P4647" s="14" t="s">
        <v>118</v>
      </c>
      <c r="Q4647" s="15" t="s">
        <v>1089</v>
      </c>
      <c r="R4647" s="16" t="s">
        <v>25032</v>
      </c>
      <c r="S4647" s="15" t="s">
        <v>26474</v>
      </c>
      <c r="T4647" s="15" t="s">
        <v>26474</v>
      </c>
      <c r="U4647" s="21" t="s">
        <v>72</v>
      </c>
    </row>
    <row r="4648" customFormat="false" ht="26.85" hidden="false" customHeight="false" outlineLevel="0" collapsed="false">
      <c r="A4648" s="15" t="s">
        <v>28316</v>
      </c>
      <c r="B4648" s="15" t="s">
        <v>28322</v>
      </c>
      <c r="C4648" s="14" t="s">
        <v>28512</v>
      </c>
      <c r="D4648" s="14" t="s">
        <v>28513</v>
      </c>
      <c r="E4648" s="16" t="s">
        <v>28514</v>
      </c>
      <c r="F4648" s="16" t="s">
        <v>28515</v>
      </c>
      <c r="G4648" s="23" t="s">
        <v>43</v>
      </c>
      <c r="H4648" s="18" t="n">
        <v>2</v>
      </c>
      <c r="I4648" s="20" t="n">
        <v>39.83</v>
      </c>
      <c r="J4648" s="20" t="n">
        <v>44.68</v>
      </c>
      <c r="K4648" s="18" t="n">
        <v>5</v>
      </c>
      <c r="L4648" s="18" t="n">
        <v>3</v>
      </c>
      <c r="M4648" s="18" t="n">
        <v>80</v>
      </c>
      <c r="N4648" s="18" t="n">
        <v>48</v>
      </c>
      <c r="O4648" s="14" t="s">
        <v>1088</v>
      </c>
      <c r="P4648" s="14" t="s">
        <v>1185</v>
      </c>
      <c r="Q4648" s="15" t="s">
        <v>1089</v>
      </c>
      <c r="R4648" s="16" t="s">
        <v>28516</v>
      </c>
      <c r="S4648" s="15" t="s">
        <v>28517</v>
      </c>
      <c r="T4648" s="15" t="s">
        <v>28518</v>
      </c>
      <c r="U4648" s="21" t="s">
        <v>72</v>
      </c>
    </row>
    <row r="4649" customFormat="false" ht="26.85" hidden="false" customHeight="false" outlineLevel="0" collapsed="false">
      <c r="A4649" s="15" t="s">
        <v>28316</v>
      </c>
      <c r="B4649" s="15" t="s">
        <v>28322</v>
      </c>
      <c r="C4649" s="14" t="s">
        <v>28519</v>
      </c>
      <c r="D4649" s="14" t="s">
        <v>28520</v>
      </c>
      <c r="E4649" s="16" t="s">
        <v>28521</v>
      </c>
      <c r="F4649" s="16" t="s">
        <v>28522</v>
      </c>
      <c r="G4649" s="23" t="s">
        <v>43</v>
      </c>
      <c r="H4649" s="18" t="n">
        <v>4</v>
      </c>
      <c r="I4649" s="20" t="n">
        <v>137.31</v>
      </c>
      <c r="J4649" s="20" t="n">
        <v>95.45</v>
      </c>
      <c r="K4649" s="18" t="n">
        <v>29</v>
      </c>
      <c r="L4649" s="18" t="n">
        <v>15</v>
      </c>
      <c r="M4649" s="18" t="n">
        <v>778</v>
      </c>
      <c r="N4649" s="18" t="n">
        <v>288</v>
      </c>
      <c r="O4649" s="14" t="s">
        <v>28523</v>
      </c>
      <c r="P4649" s="14" t="s">
        <v>3143</v>
      </c>
      <c r="Q4649" s="15" t="s">
        <v>1089</v>
      </c>
      <c r="R4649" s="16" t="s">
        <v>28524</v>
      </c>
      <c r="S4649" s="15" t="s">
        <v>28525</v>
      </c>
      <c r="T4649" s="15" t="s">
        <v>28525</v>
      </c>
      <c r="U4649" s="21" t="s">
        <v>72</v>
      </c>
    </row>
    <row r="4650" customFormat="false" ht="15" hidden="false" customHeight="false" outlineLevel="0" collapsed="false">
      <c r="A4650" s="15" t="s">
        <v>28526</v>
      </c>
      <c r="B4650" s="16"/>
      <c r="C4650" s="14" t="s">
        <v>28527</v>
      </c>
      <c r="D4650" s="14" t="s">
        <v>28528</v>
      </c>
      <c r="E4650" s="16" t="s">
        <v>28529</v>
      </c>
      <c r="F4650" s="16"/>
      <c r="G4650" s="25" t="s">
        <v>39</v>
      </c>
      <c r="H4650" s="18" t="n">
        <v>3</v>
      </c>
      <c r="I4650" s="20" t="n">
        <v>168</v>
      </c>
      <c r="J4650" s="20" t="n">
        <v>430.97</v>
      </c>
      <c r="K4650" s="18" t="n">
        <v>6</v>
      </c>
      <c r="L4650" s="18" t="n">
        <v>3</v>
      </c>
      <c r="M4650" s="18" t="n">
        <v>90</v>
      </c>
      <c r="N4650" s="18" t="n">
        <v>45</v>
      </c>
      <c r="O4650" s="14" t="s">
        <v>1088</v>
      </c>
      <c r="P4650" s="14" t="s">
        <v>118</v>
      </c>
      <c r="Q4650" s="15" t="s">
        <v>1089</v>
      </c>
      <c r="R4650" s="16" t="s">
        <v>10240</v>
      </c>
      <c r="S4650" s="15" t="s">
        <v>28530</v>
      </c>
      <c r="T4650" s="15" t="s">
        <v>28531</v>
      </c>
      <c r="U4650" s="21" t="s">
        <v>72</v>
      </c>
    </row>
    <row r="4651" customFormat="false" ht="15" hidden="false" customHeight="false" outlineLevel="0" collapsed="false">
      <c r="A4651" s="15" t="s">
        <v>28526</v>
      </c>
      <c r="B4651" s="16"/>
      <c r="C4651" s="14" t="s">
        <v>28532</v>
      </c>
      <c r="D4651" s="14" t="s">
        <v>28533</v>
      </c>
      <c r="E4651" s="16" t="s">
        <v>28534</v>
      </c>
      <c r="F4651" s="16" t="s">
        <v>28535</v>
      </c>
      <c r="G4651" s="25" t="s">
        <v>39</v>
      </c>
      <c r="H4651" s="18" t="n">
        <v>5</v>
      </c>
      <c r="I4651" s="20" t="n">
        <v>174.2</v>
      </c>
      <c r="J4651" s="20" t="n">
        <v>439.7</v>
      </c>
      <c r="K4651" s="18" t="n">
        <v>3</v>
      </c>
      <c r="L4651" s="18" t="n">
        <v>2</v>
      </c>
      <c r="M4651" s="18" t="n">
        <v>60</v>
      </c>
      <c r="N4651" s="18" t="n">
        <v>60</v>
      </c>
      <c r="O4651" s="14" t="s">
        <v>1088</v>
      </c>
      <c r="P4651" s="14" t="s">
        <v>84</v>
      </c>
      <c r="Q4651" s="15" t="s">
        <v>1089</v>
      </c>
      <c r="R4651" s="16" t="s">
        <v>28536</v>
      </c>
      <c r="S4651" s="15" t="s">
        <v>28537</v>
      </c>
      <c r="T4651" s="15" t="s">
        <v>28538</v>
      </c>
      <c r="U4651" s="21" t="s">
        <v>72</v>
      </c>
    </row>
    <row r="4652" customFormat="false" ht="15" hidden="false" customHeight="false" outlineLevel="0" collapsed="false">
      <c r="A4652" s="15" t="s">
        <v>28526</v>
      </c>
      <c r="B4652" s="16"/>
      <c r="C4652" s="14" t="s">
        <v>28539</v>
      </c>
      <c r="D4652" s="14" t="s">
        <v>28540</v>
      </c>
      <c r="E4652" s="16" t="s">
        <v>28541</v>
      </c>
      <c r="F4652" s="16"/>
      <c r="G4652" s="23" t="s">
        <v>43</v>
      </c>
      <c r="H4652" s="18" t="n">
        <v>1</v>
      </c>
      <c r="I4652" s="20" t="n">
        <v>36.47</v>
      </c>
      <c r="J4652" s="20" t="n">
        <v>49.6</v>
      </c>
      <c r="K4652" s="18" t="n">
        <v>2</v>
      </c>
      <c r="L4652" s="18" t="n">
        <v>2</v>
      </c>
      <c r="M4652" s="18" t="n">
        <v>24</v>
      </c>
      <c r="N4652" s="18" t="n">
        <v>24</v>
      </c>
      <c r="O4652" s="14" t="s">
        <v>1097</v>
      </c>
      <c r="P4652" s="14" t="s">
        <v>84</v>
      </c>
      <c r="Q4652" s="15" t="s">
        <v>1089</v>
      </c>
      <c r="R4652" s="16" t="s">
        <v>495</v>
      </c>
      <c r="S4652" s="15" t="s">
        <v>28542</v>
      </c>
      <c r="T4652" s="15" t="s">
        <v>28542</v>
      </c>
      <c r="U4652" s="21" t="s">
        <v>72</v>
      </c>
    </row>
    <row r="4653" customFormat="false" ht="15" hidden="false" customHeight="false" outlineLevel="0" collapsed="false">
      <c r="A4653" s="15" t="s">
        <v>28526</v>
      </c>
      <c r="B4653" s="16"/>
      <c r="C4653" s="14" t="s">
        <v>28543</v>
      </c>
      <c r="D4653" s="14" t="s">
        <v>28544</v>
      </c>
      <c r="E4653" s="16" t="s">
        <v>28545</v>
      </c>
      <c r="F4653" s="16"/>
      <c r="G4653" s="25" t="s">
        <v>39</v>
      </c>
      <c r="H4653" s="18" t="n">
        <v>10</v>
      </c>
      <c r="I4653" s="20" t="n">
        <v>223.65</v>
      </c>
      <c r="J4653" s="20" t="n">
        <v>406.5</v>
      </c>
      <c r="K4653" s="18" t="n">
        <v>3</v>
      </c>
      <c r="L4653" s="18" t="n">
        <v>4</v>
      </c>
      <c r="M4653" s="18" t="n">
        <v>60</v>
      </c>
      <c r="N4653" s="18" t="n">
        <v>60</v>
      </c>
      <c r="O4653" s="14" t="s">
        <v>1088</v>
      </c>
      <c r="P4653" s="14" t="s">
        <v>84</v>
      </c>
      <c r="Q4653" s="15" t="s">
        <v>1089</v>
      </c>
      <c r="R4653" s="16" t="s">
        <v>28546</v>
      </c>
      <c r="S4653" s="15" t="s">
        <v>28547</v>
      </c>
      <c r="T4653" s="15" t="s">
        <v>28548</v>
      </c>
      <c r="U4653" s="21" t="s">
        <v>72</v>
      </c>
    </row>
    <row r="4654" customFormat="false" ht="15" hidden="false" customHeight="false" outlineLevel="0" collapsed="false">
      <c r="A4654" s="15" t="s">
        <v>28526</v>
      </c>
      <c r="B4654" s="16"/>
      <c r="C4654" s="14" t="s">
        <v>28549</v>
      </c>
      <c r="D4654" s="14" t="s">
        <v>28550</v>
      </c>
      <c r="E4654" s="16" t="s">
        <v>28551</v>
      </c>
      <c r="F4654" s="16"/>
      <c r="G4654" s="25" t="s">
        <v>39</v>
      </c>
      <c r="H4654" s="18" t="n">
        <v>3</v>
      </c>
      <c r="I4654" s="20" t="n">
        <v>74</v>
      </c>
      <c r="J4654" s="20" t="n">
        <v>439.7</v>
      </c>
      <c r="K4654" s="18" t="n">
        <v>2</v>
      </c>
      <c r="L4654" s="18" t="n">
        <v>5</v>
      </c>
      <c r="M4654" s="18" t="n">
        <v>20</v>
      </c>
      <c r="N4654" s="18" t="n">
        <v>20</v>
      </c>
      <c r="O4654" s="14" t="s">
        <v>1088</v>
      </c>
      <c r="P4654" s="14" t="s">
        <v>84</v>
      </c>
      <c r="Q4654" s="15" t="s">
        <v>1089</v>
      </c>
      <c r="R4654" s="16" t="s">
        <v>28552</v>
      </c>
      <c r="S4654" s="15" t="s">
        <v>28553</v>
      </c>
      <c r="T4654" s="15" t="s">
        <v>28553</v>
      </c>
      <c r="U4654" s="21" t="s">
        <v>72</v>
      </c>
    </row>
    <row r="4655" customFormat="false" ht="15" hidden="false" customHeight="false" outlineLevel="0" collapsed="false">
      <c r="A4655" s="15" t="s">
        <v>28526</v>
      </c>
      <c r="B4655" s="16"/>
      <c r="C4655" s="14" t="s">
        <v>28554</v>
      </c>
      <c r="D4655" s="14" t="s">
        <v>28555</v>
      </c>
      <c r="E4655" s="16" t="s">
        <v>28556</v>
      </c>
      <c r="F4655" s="16" t="s">
        <v>28557</v>
      </c>
      <c r="G4655" s="23" t="s">
        <v>43</v>
      </c>
      <c r="H4655" s="18" t="n">
        <v>1</v>
      </c>
      <c r="I4655" s="20" t="n">
        <v>40</v>
      </c>
      <c r="J4655" s="20" t="n">
        <v>60</v>
      </c>
      <c r="K4655" s="18" t="n">
        <v>1</v>
      </c>
      <c r="L4655" s="18" t="n">
        <v>3</v>
      </c>
      <c r="M4655" s="18" t="n">
        <v>20</v>
      </c>
      <c r="N4655" s="18" t="n">
        <v>20</v>
      </c>
      <c r="O4655" s="14" t="s">
        <v>1088</v>
      </c>
      <c r="P4655" s="14" t="s">
        <v>84</v>
      </c>
      <c r="Q4655" s="15" t="s">
        <v>1089</v>
      </c>
      <c r="R4655" s="16" t="s">
        <v>12499</v>
      </c>
      <c r="S4655" s="15" t="s">
        <v>28558</v>
      </c>
      <c r="T4655" s="15" t="s">
        <v>28558</v>
      </c>
      <c r="U4655" s="21" t="s">
        <v>72</v>
      </c>
    </row>
    <row r="4656" customFormat="false" ht="26.85" hidden="false" customHeight="false" outlineLevel="0" collapsed="false">
      <c r="A4656" s="15" t="s">
        <v>28526</v>
      </c>
      <c r="B4656" s="16"/>
      <c r="C4656" s="14" t="s">
        <v>28559</v>
      </c>
      <c r="D4656" s="14" t="s">
        <v>28560</v>
      </c>
      <c r="E4656" s="16" t="s">
        <v>28561</v>
      </c>
      <c r="F4656" s="16"/>
      <c r="G4656" s="23" t="s">
        <v>43</v>
      </c>
      <c r="H4656" s="18" t="n">
        <v>2</v>
      </c>
      <c r="I4656" s="20" t="n">
        <v>35.64</v>
      </c>
      <c r="J4656" s="20" t="n">
        <v>53.91</v>
      </c>
      <c r="K4656" s="18" t="n">
        <v>3</v>
      </c>
      <c r="L4656" s="18" t="n">
        <v>3</v>
      </c>
      <c r="M4656" s="18" t="n">
        <v>24</v>
      </c>
      <c r="N4656" s="18" t="n">
        <v>16</v>
      </c>
      <c r="O4656" s="14" t="s">
        <v>1088</v>
      </c>
      <c r="P4656" s="14" t="s">
        <v>1185</v>
      </c>
      <c r="Q4656" s="15" t="s">
        <v>1089</v>
      </c>
      <c r="R4656" s="16" t="s">
        <v>12577</v>
      </c>
      <c r="S4656" s="15" t="s">
        <v>28562</v>
      </c>
      <c r="T4656" s="15" t="s">
        <v>28562</v>
      </c>
      <c r="U4656" s="21" t="s">
        <v>72</v>
      </c>
    </row>
    <row r="4657" customFormat="false" ht="15" hidden="false" customHeight="false" outlineLevel="0" collapsed="false">
      <c r="A4657" s="15" t="s">
        <v>28526</v>
      </c>
      <c r="B4657" s="16"/>
      <c r="C4657" s="14" t="s">
        <v>28563</v>
      </c>
      <c r="D4657" s="14" t="s">
        <v>28564</v>
      </c>
      <c r="E4657" s="16" t="s">
        <v>28565</v>
      </c>
      <c r="F4657" s="16"/>
      <c r="G4657" s="23" t="s">
        <v>43</v>
      </c>
      <c r="H4657" s="18" t="n">
        <v>1</v>
      </c>
      <c r="I4657" s="20" t="n">
        <v>36</v>
      </c>
      <c r="J4657" s="20" t="n">
        <v>36</v>
      </c>
      <c r="K4657" s="18" t="n">
        <v>6</v>
      </c>
      <c r="L4657" s="18" t="n">
        <v>1</v>
      </c>
      <c r="M4657" s="18" t="n">
        <v>72</v>
      </c>
      <c r="N4657" s="18" t="n">
        <v>24</v>
      </c>
      <c r="O4657" s="14" t="s">
        <v>1126</v>
      </c>
      <c r="P4657" s="14" t="s">
        <v>118</v>
      </c>
      <c r="Q4657" s="15" t="s">
        <v>1089</v>
      </c>
      <c r="R4657" s="16" t="s">
        <v>28566</v>
      </c>
      <c r="S4657" s="15" t="s">
        <v>28567</v>
      </c>
      <c r="T4657" s="15" t="s">
        <v>28567</v>
      </c>
      <c r="U4657" s="21" t="s">
        <v>72</v>
      </c>
    </row>
    <row r="4658" customFormat="false" ht="15" hidden="false" customHeight="false" outlineLevel="0" collapsed="false">
      <c r="A4658" s="15" t="s">
        <v>28526</v>
      </c>
      <c r="B4658" s="16"/>
      <c r="C4658" s="14" t="s">
        <v>28568</v>
      </c>
      <c r="D4658" s="14" t="s">
        <v>28569</v>
      </c>
      <c r="E4658" s="16" t="s">
        <v>28570</v>
      </c>
      <c r="F4658" s="16"/>
      <c r="G4658" s="23" t="s">
        <v>43</v>
      </c>
      <c r="H4658" s="18" t="n">
        <v>3</v>
      </c>
      <c r="I4658" s="20" t="n">
        <v>59.79</v>
      </c>
      <c r="J4658" s="20" t="n">
        <v>92.065</v>
      </c>
      <c r="K4658" s="18" t="n">
        <v>2</v>
      </c>
      <c r="L4658" s="18" t="n">
        <v>2</v>
      </c>
      <c r="M4658" s="18" t="n">
        <v>30</v>
      </c>
      <c r="N4658" s="18" t="n">
        <v>30</v>
      </c>
      <c r="O4658" s="14" t="s">
        <v>1088</v>
      </c>
      <c r="P4658" s="14" t="s">
        <v>84</v>
      </c>
      <c r="Q4658" s="15" t="s">
        <v>1089</v>
      </c>
      <c r="R4658" s="16" t="s">
        <v>28439</v>
      </c>
      <c r="S4658" s="15" t="s">
        <v>28571</v>
      </c>
      <c r="T4658" s="15" t="s">
        <v>28571</v>
      </c>
      <c r="U4658" s="21" t="s">
        <v>72</v>
      </c>
    </row>
    <row r="4659" customFormat="false" ht="15" hidden="false" customHeight="false" outlineLevel="0" collapsed="false">
      <c r="A4659" s="15" t="s">
        <v>28526</v>
      </c>
      <c r="B4659" s="16"/>
      <c r="C4659" s="14" t="s">
        <v>28572</v>
      </c>
      <c r="D4659" s="14" t="s">
        <v>28573</v>
      </c>
      <c r="E4659" s="16" t="s">
        <v>28574</v>
      </c>
      <c r="F4659" s="16"/>
      <c r="G4659" s="23" t="s">
        <v>43</v>
      </c>
      <c r="H4659" s="18" t="n">
        <v>2</v>
      </c>
      <c r="I4659" s="20" t="n">
        <v>86</v>
      </c>
      <c r="J4659" s="20" t="n">
        <v>182.43</v>
      </c>
      <c r="K4659" s="18" t="n">
        <v>7</v>
      </c>
      <c r="L4659" s="18" t="n">
        <v>1</v>
      </c>
      <c r="M4659" s="18" t="n">
        <v>70</v>
      </c>
      <c r="N4659" s="18" t="n">
        <v>70</v>
      </c>
      <c r="O4659" s="14" t="s">
        <v>1088</v>
      </c>
      <c r="P4659" s="14" t="s">
        <v>84</v>
      </c>
      <c r="Q4659" s="15" t="s">
        <v>1089</v>
      </c>
      <c r="R4659" s="16" t="s">
        <v>28575</v>
      </c>
      <c r="S4659" s="15" t="s">
        <v>28576</v>
      </c>
      <c r="T4659" s="15" t="s">
        <v>28576</v>
      </c>
      <c r="U4659" s="21" t="s">
        <v>72</v>
      </c>
    </row>
    <row r="4660" customFormat="false" ht="15" hidden="false" customHeight="false" outlineLevel="0" collapsed="false">
      <c r="A4660" s="15" t="s">
        <v>28526</v>
      </c>
      <c r="B4660" s="16"/>
      <c r="C4660" s="14" t="s">
        <v>28577</v>
      </c>
      <c r="D4660" s="14" t="s">
        <v>28578</v>
      </c>
      <c r="E4660" s="16" t="s">
        <v>28579</v>
      </c>
      <c r="F4660" s="16"/>
      <c r="G4660" s="23" t="s">
        <v>43</v>
      </c>
      <c r="H4660" s="18" t="n">
        <v>2</v>
      </c>
      <c r="I4660" s="20" t="n">
        <v>65.98</v>
      </c>
      <c r="J4660" s="20" t="n">
        <v>133.3</v>
      </c>
      <c r="K4660" s="18" t="n">
        <v>2</v>
      </c>
      <c r="L4660" s="18" t="n">
        <v>2</v>
      </c>
      <c r="M4660" s="18" t="n">
        <v>30</v>
      </c>
      <c r="N4660" s="18" t="n">
        <v>30</v>
      </c>
      <c r="O4660" s="14" t="s">
        <v>1088</v>
      </c>
      <c r="P4660" s="14" t="s">
        <v>84</v>
      </c>
      <c r="Q4660" s="15" t="s">
        <v>1089</v>
      </c>
      <c r="R4660" s="16" t="s">
        <v>28580</v>
      </c>
      <c r="S4660" s="15" t="s">
        <v>28581</v>
      </c>
      <c r="T4660" s="15" t="s">
        <v>28582</v>
      </c>
      <c r="U4660" s="21" t="s">
        <v>72</v>
      </c>
    </row>
    <row r="4661" customFormat="false" ht="15" hidden="false" customHeight="false" outlineLevel="0" collapsed="false">
      <c r="A4661" s="15" t="s">
        <v>28526</v>
      </c>
      <c r="B4661" s="16"/>
      <c r="C4661" s="14" t="s">
        <v>28583</v>
      </c>
      <c r="D4661" s="14" t="s">
        <v>28584</v>
      </c>
      <c r="E4661" s="16" t="s">
        <v>28585</v>
      </c>
      <c r="F4661" s="16" t="s">
        <v>28586</v>
      </c>
      <c r="G4661" s="23" t="s">
        <v>43</v>
      </c>
      <c r="H4661" s="18" t="n">
        <v>1</v>
      </c>
      <c r="I4661" s="20" t="n">
        <v>65</v>
      </c>
      <c r="J4661" s="20" t="n">
        <v>65</v>
      </c>
      <c r="K4661" s="18" t="n">
        <v>2</v>
      </c>
      <c r="L4661" s="18" t="n">
        <v>1</v>
      </c>
      <c r="M4661" s="18" t="n">
        <v>80</v>
      </c>
      <c r="N4661" s="18" t="n">
        <v>80</v>
      </c>
      <c r="O4661" s="14" t="s">
        <v>1126</v>
      </c>
      <c r="P4661" s="14" t="s">
        <v>84</v>
      </c>
      <c r="Q4661" s="15" t="s">
        <v>1089</v>
      </c>
      <c r="R4661" s="16" t="s">
        <v>28587</v>
      </c>
      <c r="S4661" s="15" t="s">
        <v>28588</v>
      </c>
      <c r="T4661" s="15" t="s">
        <v>28588</v>
      </c>
      <c r="U4661" s="21" t="s">
        <v>72</v>
      </c>
    </row>
    <row r="4662" customFormat="false" ht="15" hidden="false" customHeight="false" outlineLevel="0" collapsed="false">
      <c r="A4662" s="15" t="s">
        <v>28526</v>
      </c>
      <c r="B4662" s="16"/>
      <c r="C4662" s="14" t="s">
        <v>28589</v>
      </c>
      <c r="D4662" s="14" t="s">
        <v>28590</v>
      </c>
      <c r="E4662" s="16" t="s">
        <v>28591</v>
      </c>
      <c r="F4662" s="16" t="s">
        <v>28592</v>
      </c>
      <c r="G4662" s="23" t="s">
        <v>43</v>
      </c>
      <c r="H4662" s="18" t="n">
        <v>1</v>
      </c>
      <c r="I4662" s="20" t="n">
        <v>42.99</v>
      </c>
      <c r="J4662" s="20" t="n">
        <v>42.99</v>
      </c>
      <c r="K4662" s="18" t="n">
        <v>5</v>
      </c>
      <c r="L4662" s="18" t="n">
        <v>1</v>
      </c>
      <c r="M4662" s="18" t="n">
        <v>100</v>
      </c>
      <c r="N4662" s="18" t="n">
        <v>100</v>
      </c>
      <c r="O4662" s="14" t="s">
        <v>1088</v>
      </c>
      <c r="P4662" s="14" t="s">
        <v>84</v>
      </c>
      <c r="Q4662" s="15" t="s">
        <v>1089</v>
      </c>
      <c r="R4662" s="16" t="s">
        <v>28593</v>
      </c>
      <c r="S4662" s="15" t="s">
        <v>17662</v>
      </c>
      <c r="T4662" s="15" t="s">
        <v>17662</v>
      </c>
      <c r="U4662" s="21" t="s">
        <v>72</v>
      </c>
    </row>
    <row r="4663" customFormat="false" ht="15" hidden="false" customHeight="false" outlineLevel="0" collapsed="false">
      <c r="A4663" s="15" t="s">
        <v>28526</v>
      </c>
      <c r="B4663" s="16"/>
      <c r="C4663" s="14" t="s">
        <v>28594</v>
      </c>
      <c r="D4663" s="14" t="s">
        <v>28595</v>
      </c>
      <c r="E4663" s="16" t="s">
        <v>28596</v>
      </c>
      <c r="F4663" s="16"/>
      <c r="G4663" s="23" t="s">
        <v>43</v>
      </c>
      <c r="H4663" s="18" t="n">
        <v>2</v>
      </c>
      <c r="I4663" s="20" t="n">
        <v>41.8</v>
      </c>
      <c r="J4663" s="20" t="n">
        <v>93.9</v>
      </c>
      <c r="K4663" s="18" t="n">
        <v>2</v>
      </c>
      <c r="L4663" s="18" t="n">
        <v>2</v>
      </c>
      <c r="M4663" s="18" t="n">
        <v>20</v>
      </c>
      <c r="N4663" s="18" t="n">
        <v>10</v>
      </c>
      <c r="O4663" s="14" t="s">
        <v>1088</v>
      </c>
      <c r="P4663" s="14" t="s">
        <v>84</v>
      </c>
      <c r="Q4663" s="15" t="s">
        <v>1089</v>
      </c>
      <c r="R4663" s="16" t="s">
        <v>23764</v>
      </c>
      <c r="S4663" s="15" t="s">
        <v>28597</v>
      </c>
      <c r="T4663" s="15" t="s">
        <v>28597</v>
      </c>
      <c r="U4663" s="21" t="s">
        <v>72</v>
      </c>
    </row>
    <row r="4664" customFormat="false" ht="15" hidden="false" customHeight="false" outlineLevel="0" collapsed="false">
      <c r="A4664" s="15" t="s">
        <v>28526</v>
      </c>
      <c r="B4664" s="16"/>
      <c r="C4664" s="14" t="s">
        <v>28598</v>
      </c>
      <c r="D4664" s="14" t="s">
        <v>28599</v>
      </c>
      <c r="E4664" s="16" t="s">
        <v>28600</v>
      </c>
      <c r="F4664" s="16"/>
      <c r="G4664" s="23" t="s">
        <v>43</v>
      </c>
      <c r="H4664" s="18" t="n">
        <v>1</v>
      </c>
      <c r="I4664" s="20" t="n">
        <v>31.92</v>
      </c>
      <c r="J4664" s="20" t="n">
        <v>31.92</v>
      </c>
      <c r="K4664" s="18" t="n">
        <v>5</v>
      </c>
      <c r="L4664" s="18" t="n">
        <v>1</v>
      </c>
      <c r="M4664" s="18" t="n">
        <v>40</v>
      </c>
      <c r="N4664" s="18" t="n">
        <v>32</v>
      </c>
      <c r="O4664" s="14" t="s">
        <v>1088</v>
      </c>
      <c r="P4664" s="14" t="s">
        <v>226</v>
      </c>
      <c r="Q4664" s="15" t="s">
        <v>1089</v>
      </c>
      <c r="R4664" s="16" t="s">
        <v>28601</v>
      </c>
      <c r="S4664" s="15" t="s">
        <v>28602</v>
      </c>
      <c r="T4664" s="15" t="s">
        <v>28602</v>
      </c>
      <c r="U4664" s="21" t="s">
        <v>72</v>
      </c>
    </row>
    <row r="4665" customFormat="false" ht="15" hidden="false" customHeight="false" outlineLevel="0" collapsed="false">
      <c r="A4665" s="15" t="s">
        <v>28526</v>
      </c>
      <c r="B4665" s="16"/>
      <c r="C4665" s="14" t="s">
        <v>28603</v>
      </c>
      <c r="D4665" s="14" t="s">
        <v>28604</v>
      </c>
      <c r="E4665" s="16" t="s">
        <v>28605</v>
      </c>
      <c r="F4665" s="16"/>
      <c r="G4665" s="23" t="s">
        <v>43</v>
      </c>
      <c r="H4665" s="18" t="n">
        <v>1</v>
      </c>
      <c r="I4665" s="20" t="n">
        <v>47.04</v>
      </c>
      <c r="J4665" s="20" t="n">
        <v>96.46</v>
      </c>
      <c r="K4665" s="18" t="n">
        <v>3</v>
      </c>
      <c r="L4665" s="18" t="n">
        <v>2</v>
      </c>
      <c r="M4665" s="18" t="n">
        <v>90</v>
      </c>
      <c r="N4665" s="18" t="n">
        <v>90</v>
      </c>
      <c r="O4665" s="14" t="s">
        <v>1088</v>
      </c>
      <c r="P4665" s="14" t="s">
        <v>84</v>
      </c>
      <c r="Q4665" s="15" t="s">
        <v>1089</v>
      </c>
      <c r="R4665" s="16" t="s">
        <v>28606</v>
      </c>
      <c r="S4665" s="15" t="s">
        <v>28607</v>
      </c>
      <c r="T4665" s="15" t="s">
        <v>28607</v>
      </c>
      <c r="U4665" s="21" t="s">
        <v>72</v>
      </c>
    </row>
    <row r="4666" customFormat="false" ht="15" hidden="false" customHeight="false" outlineLevel="0" collapsed="false">
      <c r="A4666" s="15" t="s">
        <v>28526</v>
      </c>
      <c r="B4666" s="16"/>
      <c r="C4666" s="14" t="s">
        <v>28608</v>
      </c>
      <c r="D4666" s="14" t="s">
        <v>28609</v>
      </c>
      <c r="E4666" s="16" t="s">
        <v>28610</v>
      </c>
      <c r="F4666" s="16"/>
      <c r="G4666" s="23" t="s">
        <v>43</v>
      </c>
      <c r="H4666" s="18" t="n">
        <v>3</v>
      </c>
      <c r="I4666" s="20" t="n">
        <v>80</v>
      </c>
      <c r="J4666" s="20" t="n">
        <v>100.36</v>
      </c>
      <c r="K4666" s="18" t="n">
        <v>3</v>
      </c>
      <c r="L4666" s="18" t="n">
        <v>5</v>
      </c>
      <c r="M4666" s="18" t="n">
        <v>60</v>
      </c>
      <c r="N4666" s="18" t="n">
        <v>60</v>
      </c>
      <c r="O4666" s="14" t="s">
        <v>1088</v>
      </c>
      <c r="P4666" s="14" t="s">
        <v>84</v>
      </c>
      <c r="Q4666" s="15" t="s">
        <v>1089</v>
      </c>
      <c r="R4666" s="16" t="s">
        <v>28611</v>
      </c>
      <c r="S4666" s="15" t="s">
        <v>28612</v>
      </c>
      <c r="T4666" s="15" t="s">
        <v>28612</v>
      </c>
      <c r="U4666" s="21" t="s">
        <v>72</v>
      </c>
    </row>
    <row r="4667" customFormat="false" ht="15" hidden="false" customHeight="false" outlineLevel="0" collapsed="false">
      <c r="A4667" s="15" t="s">
        <v>28526</v>
      </c>
      <c r="B4667" s="15" t="s">
        <v>28613</v>
      </c>
      <c r="C4667" s="14" t="s">
        <v>28614</v>
      </c>
      <c r="D4667" s="14" t="s">
        <v>28615</v>
      </c>
      <c r="E4667" s="16" t="s">
        <v>28616</v>
      </c>
      <c r="F4667" s="16" t="s">
        <v>28617</v>
      </c>
      <c r="G4667" s="23" t="s">
        <v>43</v>
      </c>
      <c r="H4667" s="18" t="n">
        <v>1</v>
      </c>
      <c r="I4667" s="20" t="n">
        <v>30</v>
      </c>
      <c r="J4667" s="20" t="n">
        <v>95.2</v>
      </c>
      <c r="K4667" s="18" t="n">
        <v>3</v>
      </c>
      <c r="L4667" s="18" t="n">
        <v>2</v>
      </c>
      <c r="M4667" s="18" t="n">
        <v>30</v>
      </c>
      <c r="N4667" s="18" t="n">
        <v>10</v>
      </c>
      <c r="O4667" s="14" t="s">
        <v>1088</v>
      </c>
      <c r="P4667" s="14" t="s">
        <v>118</v>
      </c>
      <c r="Q4667" s="15" t="s">
        <v>1089</v>
      </c>
      <c r="R4667" s="16" t="s">
        <v>28618</v>
      </c>
      <c r="S4667" s="15" t="s">
        <v>28619</v>
      </c>
      <c r="T4667" s="15" t="s">
        <v>28619</v>
      </c>
      <c r="U4667" s="21" t="s">
        <v>72</v>
      </c>
    </row>
    <row r="4668" customFormat="false" ht="26.85" hidden="false" customHeight="false" outlineLevel="0" collapsed="false">
      <c r="A4668" s="15" t="s">
        <v>28620</v>
      </c>
      <c r="B4668" s="16"/>
      <c r="C4668" s="14" t="s">
        <v>28621</v>
      </c>
      <c r="D4668" s="14" t="s">
        <v>28622</v>
      </c>
      <c r="E4668" s="16" t="s">
        <v>28623</v>
      </c>
      <c r="F4668" s="16" t="s">
        <v>28624</v>
      </c>
      <c r="G4668" s="23" t="s">
        <v>43</v>
      </c>
      <c r="H4668" s="18" t="n">
        <v>4</v>
      </c>
      <c r="I4668" s="20" t="n">
        <v>36</v>
      </c>
      <c r="J4668" s="20" t="n">
        <v>104.558</v>
      </c>
      <c r="K4668" s="18" t="n">
        <v>16</v>
      </c>
      <c r="L4668" s="18" t="n">
        <v>10</v>
      </c>
      <c r="M4668" s="18" t="n">
        <v>320</v>
      </c>
      <c r="N4668" s="18" t="n">
        <v>140</v>
      </c>
      <c r="O4668" s="14" t="s">
        <v>1088</v>
      </c>
      <c r="P4668" s="14" t="s">
        <v>906</v>
      </c>
      <c r="Q4668" s="15" t="s">
        <v>1089</v>
      </c>
      <c r="R4668" s="16" t="s">
        <v>28625</v>
      </c>
      <c r="S4668" s="15" t="s">
        <v>28626</v>
      </c>
      <c r="T4668" s="15" t="s">
        <v>28626</v>
      </c>
      <c r="U4668" s="21" t="s">
        <v>72</v>
      </c>
    </row>
    <row r="4669" customFormat="false" ht="15" hidden="false" customHeight="false" outlineLevel="0" collapsed="false">
      <c r="A4669" s="15" t="s">
        <v>28620</v>
      </c>
      <c r="B4669" s="16"/>
      <c r="C4669" s="14" t="s">
        <v>28627</v>
      </c>
      <c r="D4669" s="14" t="s">
        <v>28628</v>
      </c>
      <c r="E4669" s="16" t="s">
        <v>28629</v>
      </c>
      <c r="F4669" s="16" t="s">
        <v>28630</v>
      </c>
      <c r="G4669" s="23" t="s">
        <v>43</v>
      </c>
      <c r="H4669" s="18" t="n">
        <v>2</v>
      </c>
      <c r="I4669" s="20" t="n">
        <v>44.03</v>
      </c>
      <c r="J4669" s="20" t="n">
        <v>189.2</v>
      </c>
      <c r="K4669" s="18" t="n">
        <v>3</v>
      </c>
      <c r="L4669" s="18" t="n">
        <v>4</v>
      </c>
      <c r="M4669" s="18" t="n">
        <v>60</v>
      </c>
      <c r="N4669" s="18" t="n">
        <v>20</v>
      </c>
      <c r="O4669" s="14" t="s">
        <v>1088</v>
      </c>
      <c r="P4669" s="14" t="s">
        <v>118</v>
      </c>
      <c r="Q4669" s="15" t="s">
        <v>1089</v>
      </c>
      <c r="R4669" s="16" t="s">
        <v>28631</v>
      </c>
      <c r="S4669" s="15" t="s">
        <v>28632</v>
      </c>
      <c r="T4669" s="15" t="s">
        <v>28632</v>
      </c>
      <c r="U4669" s="21" t="s">
        <v>72</v>
      </c>
    </row>
    <row r="4670" customFormat="false" ht="39.55" hidden="false" customHeight="false" outlineLevel="0" collapsed="false">
      <c r="A4670" s="15" t="s">
        <v>28620</v>
      </c>
      <c r="B4670" s="16"/>
      <c r="C4670" s="14" t="s">
        <v>28633</v>
      </c>
      <c r="D4670" s="14" t="s">
        <v>28634</v>
      </c>
      <c r="E4670" s="16" t="s">
        <v>28635</v>
      </c>
      <c r="F4670" s="16" t="s">
        <v>28636</v>
      </c>
      <c r="G4670" s="25" t="s">
        <v>39</v>
      </c>
      <c r="H4670" s="18" t="n">
        <v>3</v>
      </c>
      <c r="I4670" s="20" t="n">
        <v>84.35</v>
      </c>
      <c r="J4670" s="20" t="n">
        <v>489.12</v>
      </c>
      <c r="K4670" s="18" t="n">
        <v>13</v>
      </c>
      <c r="L4670" s="18" t="n">
        <v>18</v>
      </c>
      <c r="M4670" s="18" t="n">
        <v>238</v>
      </c>
      <c r="N4670" s="18" t="n">
        <v>54</v>
      </c>
      <c r="O4670" s="14" t="s">
        <v>28637</v>
      </c>
      <c r="P4670" s="14" t="s">
        <v>906</v>
      </c>
      <c r="Q4670" s="15" t="s">
        <v>1089</v>
      </c>
      <c r="R4670" s="16" t="s">
        <v>24328</v>
      </c>
      <c r="S4670" s="15" t="s">
        <v>28638</v>
      </c>
      <c r="T4670" s="15" t="s">
        <v>28638</v>
      </c>
      <c r="U4670" s="21" t="s">
        <v>72</v>
      </c>
    </row>
    <row r="4671" customFormat="false" ht="15" hidden="false" customHeight="false" outlineLevel="0" collapsed="false">
      <c r="A4671" s="15" t="s">
        <v>28620</v>
      </c>
      <c r="B4671" s="16"/>
      <c r="C4671" s="14" t="s">
        <v>28639</v>
      </c>
      <c r="D4671" s="14" t="s">
        <v>28640</v>
      </c>
      <c r="E4671" s="16" t="s">
        <v>28641</v>
      </c>
      <c r="F4671" s="16"/>
      <c r="G4671" s="23" t="s">
        <v>43</v>
      </c>
      <c r="H4671" s="18" t="n">
        <v>1</v>
      </c>
      <c r="I4671" s="20" t="n">
        <v>39.3625</v>
      </c>
      <c r="J4671" s="20" t="n">
        <v>118.36</v>
      </c>
      <c r="K4671" s="18" t="n">
        <v>3</v>
      </c>
      <c r="L4671" s="18" t="n">
        <v>1</v>
      </c>
      <c r="M4671" s="18" t="n">
        <v>60</v>
      </c>
      <c r="N4671" s="18" t="n">
        <v>60</v>
      </c>
      <c r="O4671" s="14" t="s">
        <v>1097</v>
      </c>
      <c r="P4671" s="14" t="s">
        <v>84</v>
      </c>
      <c r="Q4671" s="15" t="s">
        <v>1089</v>
      </c>
      <c r="R4671" s="16" t="s">
        <v>25157</v>
      </c>
      <c r="S4671" s="15" t="s">
        <v>28642</v>
      </c>
      <c r="T4671" s="15" t="s">
        <v>28642</v>
      </c>
      <c r="U4671" s="21" t="s">
        <v>72</v>
      </c>
    </row>
    <row r="4672" customFormat="false" ht="15" hidden="false" customHeight="false" outlineLevel="0" collapsed="false">
      <c r="A4672" s="15" t="s">
        <v>28620</v>
      </c>
      <c r="B4672" s="16"/>
      <c r="C4672" s="14" t="s">
        <v>28643</v>
      </c>
      <c r="D4672" s="14" t="s">
        <v>28644</v>
      </c>
      <c r="E4672" s="16" t="s">
        <v>28645</v>
      </c>
      <c r="F4672" s="16" t="s">
        <v>28646</v>
      </c>
      <c r="G4672" s="19" t="s">
        <v>41</v>
      </c>
      <c r="H4672" s="18" t="n">
        <v>5</v>
      </c>
      <c r="I4672" s="20" t="n">
        <v>97.6</v>
      </c>
      <c r="J4672" s="20" t="n">
        <v>111.6</v>
      </c>
      <c r="K4672" s="18" t="n">
        <v>2</v>
      </c>
      <c r="L4672" s="18" t="n">
        <v>1</v>
      </c>
      <c r="M4672" s="18" t="n">
        <v>40</v>
      </c>
      <c r="N4672" s="18" t="n">
        <v>20</v>
      </c>
      <c r="O4672" s="14" t="s">
        <v>1126</v>
      </c>
      <c r="P4672" s="14" t="s">
        <v>118</v>
      </c>
      <c r="Q4672" s="15" t="s">
        <v>1089</v>
      </c>
      <c r="R4672" s="16" t="s">
        <v>6871</v>
      </c>
      <c r="S4672" s="15" t="s">
        <v>28647</v>
      </c>
      <c r="T4672" s="15" t="s">
        <v>28647</v>
      </c>
      <c r="U4672" s="21" t="s">
        <v>72</v>
      </c>
    </row>
    <row r="4673" customFormat="false" ht="26.85" hidden="false" customHeight="false" outlineLevel="0" collapsed="false">
      <c r="A4673" s="15" t="s">
        <v>28620</v>
      </c>
      <c r="B4673" s="16"/>
      <c r="C4673" s="14" t="s">
        <v>28648</v>
      </c>
      <c r="D4673" s="14" t="s">
        <v>28649</v>
      </c>
      <c r="E4673" s="16" t="s">
        <v>28650</v>
      </c>
      <c r="F4673" s="16" t="s">
        <v>28651</v>
      </c>
      <c r="G4673" s="23" t="s">
        <v>43</v>
      </c>
      <c r="H4673" s="18" t="n">
        <v>2</v>
      </c>
      <c r="I4673" s="20" t="n">
        <v>80.54</v>
      </c>
      <c r="J4673" s="20" t="n">
        <v>138.62</v>
      </c>
      <c r="K4673" s="18" t="n">
        <v>4</v>
      </c>
      <c r="L4673" s="18" t="n">
        <v>5</v>
      </c>
      <c r="M4673" s="18" t="n">
        <v>184</v>
      </c>
      <c r="N4673" s="18" t="n">
        <v>92</v>
      </c>
      <c r="O4673" s="14" t="s">
        <v>1126</v>
      </c>
      <c r="P4673" s="14" t="s">
        <v>1185</v>
      </c>
      <c r="Q4673" s="15" t="s">
        <v>1089</v>
      </c>
      <c r="R4673" s="16" t="s">
        <v>28652</v>
      </c>
      <c r="S4673" s="15" t="s">
        <v>4616</v>
      </c>
      <c r="T4673" s="15" t="s">
        <v>28653</v>
      </c>
      <c r="U4673" s="21" t="s">
        <v>72</v>
      </c>
    </row>
    <row r="4674" customFormat="false" ht="15" hidden="false" customHeight="false" outlineLevel="0" collapsed="false">
      <c r="A4674" s="15" t="s">
        <v>28620</v>
      </c>
      <c r="B4674" s="15" t="s">
        <v>28654</v>
      </c>
      <c r="C4674" s="14" t="s">
        <v>28655</v>
      </c>
      <c r="D4674" s="14" t="s">
        <v>28656</v>
      </c>
      <c r="E4674" s="16" t="s">
        <v>28657</v>
      </c>
      <c r="F4674" s="16" t="s">
        <v>28658</v>
      </c>
      <c r="G4674" s="23" t="s">
        <v>43</v>
      </c>
      <c r="H4674" s="18" t="n">
        <v>3</v>
      </c>
      <c r="I4674" s="20" t="n">
        <v>120</v>
      </c>
      <c r="J4674" s="20" t="n">
        <v>195</v>
      </c>
      <c r="K4674" s="18" t="n">
        <v>6</v>
      </c>
      <c r="L4674" s="18" t="n">
        <v>2</v>
      </c>
      <c r="M4674" s="18" t="n">
        <v>90</v>
      </c>
      <c r="N4674" s="18" t="n">
        <v>75</v>
      </c>
      <c r="O4674" s="14" t="s">
        <v>1126</v>
      </c>
      <c r="P4674" s="14" t="s">
        <v>118</v>
      </c>
      <c r="Q4674" s="15" t="s">
        <v>1089</v>
      </c>
      <c r="R4674" s="16" t="s">
        <v>2206</v>
      </c>
      <c r="S4674" s="15" t="s">
        <v>28659</v>
      </c>
      <c r="T4674" s="15" t="s">
        <v>28659</v>
      </c>
      <c r="U4674" s="21" t="s">
        <v>72</v>
      </c>
    </row>
    <row r="4675" customFormat="false" ht="15" hidden="false" customHeight="false" outlineLevel="0" collapsed="false">
      <c r="A4675" s="15" t="s">
        <v>28620</v>
      </c>
      <c r="B4675" s="15" t="s">
        <v>28654</v>
      </c>
      <c r="C4675" s="14" t="s">
        <v>28660</v>
      </c>
      <c r="D4675" s="14" t="s">
        <v>28661</v>
      </c>
      <c r="E4675" s="16" t="s">
        <v>28662</v>
      </c>
      <c r="F4675" s="16" t="s">
        <v>28663</v>
      </c>
      <c r="G4675" s="19" t="s">
        <v>41</v>
      </c>
      <c r="H4675" s="18" t="n">
        <v>5</v>
      </c>
      <c r="I4675" s="20" t="n">
        <v>93.704</v>
      </c>
      <c r="J4675" s="20" t="n">
        <v>135.85</v>
      </c>
      <c r="K4675" s="18" t="n">
        <v>6</v>
      </c>
      <c r="L4675" s="18" t="n">
        <v>6</v>
      </c>
      <c r="M4675" s="18" t="n">
        <v>110</v>
      </c>
      <c r="N4675" s="18" t="n">
        <v>95</v>
      </c>
      <c r="O4675" s="14" t="s">
        <v>1126</v>
      </c>
      <c r="P4675" s="14" t="s">
        <v>84</v>
      </c>
      <c r="Q4675" s="15" t="s">
        <v>1089</v>
      </c>
      <c r="R4675" s="16" t="s">
        <v>865</v>
      </c>
      <c r="S4675" s="15" t="s">
        <v>28664</v>
      </c>
      <c r="T4675" s="15" t="s">
        <v>28665</v>
      </c>
      <c r="U4675" s="21" t="s">
        <v>72</v>
      </c>
    </row>
    <row r="4676" customFormat="false" ht="15" hidden="false" customHeight="false" outlineLevel="0" collapsed="false">
      <c r="A4676" s="15" t="s">
        <v>28620</v>
      </c>
      <c r="B4676" s="15" t="s">
        <v>28654</v>
      </c>
      <c r="C4676" s="14" t="s">
        <v>28666</v>
      </c>
      <c r="D4676" s="14" t="s">
        <v>28667</v>
      </c>
      <c r="E4676" s="16" t="s">
        <v>28668</v>
      </c>
      <c r="F4676" s="16" t="s">
        <v>28669</v>
      </c>
      <c r="G4676" s="19" t="s">
        <v>41</v>
      </c>
      <c r="H4676" s="18" t="n">
        <v>3</v>
      </c>
      <c r="I4676" s="20" t="n">
        <v>100.95</v>
      </c>
      <c r="J4676" s="20" t="n">
        <v>285.51</v>
      </c>
      <c r="K4676" s="18" t="n">
        <v>18</v>
      </c>
      <c r="L4676" s="18" t="n">
        <v>8</v>
      </c>
      <c r="M4676" s="18" t="n">
        <v>216</v>
      </c>
      <c r="N4676" s="18" t="n">
        <v>72</v>
      </c>
      <c r="O4676" s="14" t="s">
        <v>17859</v>
      </c>
      <c r="P4676" s="14" t="s">
        <v>118</v>
      </c>
      <c r="Q4676" s="15" t="s">
        <v>1089</v>
      </c>
      <c r="R4676" s="16" t="s">
        <v>9768</v>
      </c>
      <c r="S4676" s="15" t="s">
        <v>28670</v>
      </c>
      <c r="T4676" s="15" t="s">
        <v>28671</v>
      </c>
      <c r="U4676" s="21" t="s">
        <v>72</v>
      </c>
    </row>
    <row r="4677" customFormat="false" ht="26.85" hidden="false" customHeight="false" outlineLevel="0" collapsed="false">
      <c r="A4677" s="15" t="s">
        <v>28620</v>
      </c>
      <c r="B4677" s="15" t="s">
        <v>28654</v>
      </c>
      <c r="C4677" s="14" t="s">
        <v>28672</v>
      </c>
      <c r="D4677" s="14" t="s">
        <v>28673</v>
      </c>
      <c r="E4677" s="16" t="s">
        <v>28674</v>
      </c>
      <c r="F4677" s="16" t="s">
        <v>28651</v>
      </c>
      <c r="G4677" s="23" t="s">
        <v>43</v>
      </c>
      <c r="H4677" s="18" t="n">
        <v>4</v>
      </c>
      <c r="I4677" s="20" t="n">
        <v>92.88</v>
      </c>
      <c r="J4677" s="20" t="n">
        <v>156.67</v>
      </c>
      <c r="K4677" s="18" t="n">
        <v>3</v>
      </c>
      <c r="L4677" s="18" t="n">
        <v>7</v>
      </c>
      <c r="M4677" s="18" t="n">
        <v>60</v>
      </c>
      <c r="N4677" s="18" t="n">
        <v>20</v>
      </c>
      <c r="O4677" s="14" t="s">
        <v>1088</v>
      </c>
      <c r="P4677" s="14" t="s">
        <v>12949</v>
      </c>
      <c r="Q4677" s="15" t="s">
        <v>1089</v>
      </c>
      <c r="R4677" s="16" t="s">
        <v>17413</v>
      </c>
      <c r="S4677" s="15" t="s">
        <v>4616</v>
      </c>
      <c r="T4677" s="15" t="s">
        <v>28675</v>
      </c>
      <c r="U4677" s="21" t="s">
        <v>72</v>
      </c>
    </row>
    <row r="4678" customFormat="false" ht="15" hidden="false" customHeight="false" outlineLevel="0" collapsed="false">
      <c r="A4678" s="15" t="s">
        <v>28620</v>
      </c>
      <c r="B4678" s="15" t="s">
        <v>28654</v>
      </c>
      <c r="C4678" s="14" t="s">
        <v>28676</v>
      </c>
      <c r="D4678" s="14" t="s">
        <v>28677</v>
      </c>
      <c r="E4678" s="16" t="s">
        <v>28678</v>
      </c>
      <c r="F4678" s="16" t="s">
        <v>28679</v>
      </c>
      <c r="G4678" s="23" t="s">
        <v>43</v>
      </c>
      <c r="H4678" s="18" t="n">
        <v>2</v>
      </c>
      <c r="I4678" s="20" t="n">
        <v>51.7</v>
      </c>
      <c r="J4678" s="20" t="n">
        <v>73.92</v>
      </c>
      <c r="K4678" s="18" t="n">
        <v>16</v>
      </c>
      <c r="L4678" s="18" t="n">
        <v>3</v>
      </c>
      <c r="M4678" s="18" t="n">
        <v>340</v>
      </c>
      <c r="N4678" s="18" t="n">
        <v>340</v>
      </c>
      <c r="O4678" s="14" t="s">
        <v>1097</v>
      </c>
      <c r="P4678" s="14" t="s">
        <v>118</v>
      </c>
      <c r="Q4678" s="15" t="s">
        <v>1089</v>
      </c>
      <c r="R4678" s="16" t="s">
        <v>28680</v>
      </c>
      <c r="S4678" s="15" t="s">
        <v>28681</v>
      </c>
      <c r="T4678" s="15" t="s">
        <v>28682</v>
      </c>
      <c r="U4678" s="21" t="s">
        <v>72</v>
      </c>
    </row>
    <row r="4679" customFormat="false" ht="15" hidden="false" customHeight="false" outlineLevel="0" collapsed="false">
      <c r="A4679" s="15" t="s">
        <v>28620</v>
      </c>
      <c r="B4679" s="15" t="s">
        <v>28683</v>
      </c>
      <c r="C4679" s="14" t="s">
        <v>28684</v>
      </c>
      <c r="D4679" s="14" t="s">
        <v>28685</v>
      </c>
      <c r="E4679" s="16" t="s">
        <v>28686</v>
      </c>
      <c r="F4679" s="16" t="s">
        <v>28687</v>
      </c>
      <c r="G4679" s="23" t="s">
        <v>43</v>
      </c>
      <c r="H4679" s="18" t="n">
        <v>1</v>
      </c>
      <c r="I4679" s="20" t="n">
        <v>35.54</v>
      </c>
      <c r="J4679" s="20" t="n">
        <v>88.61</v>
      </c>
      <c r="K4679" s="18" t="n">
        <v>4</v>
      </c>
      <c r="L4679" s="18" t="n">
        <v>2</v>
      </c>
      <c r="M4679" s="18" t="n">
        <v>116</v>
      </c>
      <c r="N4679" s="18" t="n">
        <v>116</v>
      </c>
      <c r="O4679" s="14" t="s">
        <v>1088</v>
      </c>
      <c r="P4679" s="14" t="s">
        <v>84</v>
      </c>
      <c r="Q4679" s="15" t="s">
        <v>1089</v>
      </c>
      <c r="R4679" s="16" t="s">
        <v>28688</v>
      </c>
      <c r="S4679" s="15" t="s">
        <v>575</v>
      </c>
      <c r="T4679" s="15" t="s">
        <v>575</v>
      </c>
      <c r="U4679" s="21" t="s">
        <v>72</v>
      </c>
    </row>
    <row r="4680" customFormat="false" ht="26.85" hidden="false" customHeight="false" outlineLevel="0" collapsed="false">
      <c r="A4680" s="15" t="s">
        <v>28620</v>
      </c>
      <c r="B4680" s="15" t="s">
        <v>28683</v>
      </c>
      <c r="C4680" s="14" t="s">
        <v>28689</v>
      </c>
      <c r="D4680" s="14" t="s">
        <v>28690</v>
      </c>
      <c r="E4680" s="16" t="s">
        <v>28691</v>
      </c>
      <c r="F4680" s="16" t="s">
        <v>28692</v>
      </c>
      <c r="G4680" s="23" t="s">
        <v>43</v>
      </c>
      <c r="H4680" s="18" t="n">
        <v>2</v>
      </c>
      <c r="I4680" s="20" t="n">
        <v>41.71</v>
      </c>
      <c r="J4680" s="20" t="n">
        <v>61.76</v>
      </c>
      <c r="K4680" s="18" t="n">
        <v>3</v>
      </c>
      <c r="L4680" s="18" t="n">
        <v>1</v>
      </c>
      <c r="M4680" s="18" t="n">
        <v>45</v>
      </c>
      <c r="N4680" s="18" t="n">
        <v>30</v>
      </c>
      <c r="O4680" s="14" t="s">
        <v>1126</v>
      </c>
      <c r="P4680" s="14" t="s">
        <v>1185</v>
      </c>
      <c r="Q4680" s="15" t="s">
        <v>1089</v>
      </c>
      <c r="R4680" s="16" t="s">
        <v>28693</v>
      </c>
      <c r="S4680" s="15" t="s">
        <v>28694</v>
      </c>
      <c r="T4680" s="15" t="s">
        <v>28694</v>
      </c>
      <c r="U4680" s="21" t="s">
        <v>72</v>
      </c>
    </row>
    <row r="4681" customFormat="false" ht="15" hidden="false" customHeight="false" outlineLevel="0" collapsed="false">
      <c r="A4681" s="15" t="s">
        <v>28620</v>
      </c>
      <c r="B4681" s="15" t="s">
        <v>28695</v>
      </c>
      <c r="C4681" s="14" t="s">
        <v>28696</v>
      </c>
      <c r="D4681" s="14" t="s">
        <v>28697</v>
      </c>
      <c r="E4681" s="16" t="s">
        <v>28698</v>
      </c>
      <c r="F4681" s="16" t="s">
        <v>28699</v>
      </c>
      <c r="G4681" s="23" t="s">
        <v>43</v>
      </c>
      <c r="H4681" s="18" t="n">
        <v>3</v>
      </c>
      <c r="I4681" s="20" t="n">
        <v>106.35</v>
      </c>
      <c r="J4681" s="20" t="n">
        <v>122.1</v>
      </c>
      <c r="K4681" s="18" t="n">
        <v>7</v>
      </c>
      <c r="L4681" s="18" t="n">
        <v>2</v>
      </c>
      <c r="M4681" s="18" t="n">
        <v>242</v>
      </c>
      <c r="N4681" s="18" t="n">
        <v>242</v>
      </c>
      <c r="O4681" s="14" t="s">
        <v>1088</v>
      </c>
      <c r="P4681" s="14" t="s">
        <v>84</v>
      </c>
      <c r="Q4681" s="15" t="s">
        <v>1089</v>
      </c>
      <c r="R4681" s="16" t="s">
        <v>28700</v>
      </c>
      <c r="S4681" s="15" t="s">
        <v>28701</v>
      </c>
      <c r="T4681" s="15" t="s">
        <v>28702</v>
      </c>
      <c r="U4681" s="21" t="s">
        <v>72</v>
      </c>
    </row>
    <row r="4682" customFormat="false" ht="15" hidden="false" customHeight="false" outlineLevel="0" collapsed="false">
      <c r="A4682" s="15" t="s">
        <v>28620</v>
      </c>
      <c r="B4682" s="15" t="s">
        <v>28695</v>
      </c>
      <c r="C4682" s="14" t="s">
        <v>28703</v>
      </c>
      <c r="D4682" s="14" t="s">
        <v>28704</v>
      </c>
      <c r="E4682" s="16" t="s">
        <v>28705</v>
      </c>
      <c r="F4682" s="16" t="s">
        <v>28706</v>
      </c>
      <c r="G4682" s="23" t="s">
        <v>43</v>
      </c>
      <c r="H4682" s="18" t="n">
        <v>1</v>
      </c>
      <c r="I4682" s="20" t="n">
        <v>67.52</v>
      </c>
      <c r="J4682" s="20" t="n">
        <v>73.29</v>
      </c>
      <c r="K4682" s="18" t="n">
        <v>8</v>
      </c>
      <c r="L4682" s="18" t="n">
        <v>2</v>
      </c>
      <c r="M4682" s="18" t="n">
        <v>240</v>
      </c>
      <c r="N4682" s="18" t="n">
        <v>240</v>
      </c>
      <c r="O4682" s="14" t="s">
        <v>1097</v>
      </c>
      <c r="P4682" s="14" t="s">
        <v>84</v>
      </c>
      <c r="Q4682" s="15" t="s">
        <v>1089</v>
      </c>
      <c r="R4682" s="16" t="s">
        <v>28707</v>
      </c>
      <c r="S4682" s="15" t="s">
        <v>28708</v>
      </c>
      <c r="T4682" s="15" t="s">
        <v>28709</v>
      </c>
      <c r="U4682" s="21" t="s">
        <v>72</v>
      </c>
    </row>
    <row r="4683" customFormat="false" ht="15" hidden="false" customHeight="false" outlineLevel="0" collapsed="false">
      <c r="A4683" s="15" t="s">
        <v>28620</v>
      </c>
      <c r="B4683" s="15" t="s">
        <v>28710</v>
      </c>
      <c r="C4683" s="14" t="s">
        <v>28711</v>
      </c>
      <c r="D4683" s="14" t="s">
        <v>28712</v>
      </c>
      <c r="E4683" s="16" t="s">
        <v>28713</v>
      </c>
      <c r="F4683" s="16" t="s">
        <v>28714</v>
      </c>
      <c r="G4683" s="23" t="s">
        <v>43</v>
      </c>
      <c r="H4683" s="18" t="n">
        <v>4</v>
      </c>
      <c r="I4683" s="20" t="n">
        <v>85.14</v>
      </c>
      <c r="J4683" s="20" t="n">
        <v>160.9</v>
      </c>
      <c r="K4683" s="18" t="n">
        <v>6</v>
      </c>
      <c r="L4683" s="18" t="n">
        <v>8</v>
      </c>
      <c r="M4683" s="18" t="n">
        <v>90</v>
      </c>
      <c r="N4683" s="18" t="n">
        <v>45</v>
      </c>
      <c r="O4683" s="14" t="s">
        <v>6448</v>
      </c>
      <c r="P4683" s="14" t="s">
        <v>118</v>
      </c>
      <c r="Q4683" s="15" t="s">
        <v>1089</v>
      </c>
      <c r="R4683" s="16" t="s">
        <v>28707</v>
      </c>
      <c r="S4683" s="15" t="s">
        <v>28715</v>
      </c>
      <c r="T4683" s="15" t="s">
        <v>28716</v>
      </c>
      <c r="U4683" s="21" t="s">
        <v>72</v>
      </c>
    </row>
    <row r="4684" customFormat="false" ht="15" hidden="false" customHeight="false" outlineLevel="0" collapsed="false">
      <c r="A4684" s="15" t="s">
        <v>28620</v>
      </c>
      <c r="B4684" s="15" t="s">
        <v>28710</v>
      </c>
      <c r="C4684" s="14" t="s">
        <v>28717</v>
      </c>
      <c r="D4684" s="14" t="s">
        <v>28718</v>
      </c>
      <c r="E4684" s="16" t="s">
        <v>28719</v>
      </c>
      <c r="F4684" s="16" t="s">
        <v>28720</v>
      </c>
      <c r="G4684" s="23" t="s">
        <v>43</v>
      </c>
      <c r="H4684" s="18" t="n">
        <v>2</v>
      </c>
      <c r="I4684" s="20" t="n">
        <v>73.18</v>
      </c>
      <c r="J4684" s="20" t="n">
        <v>160.77</v>
      </c>
      <c r="K4684" s="18" t="n">
        <v>8</v>
      </c>
      <c r="L4684" s="18" t="n">
        <v>5</v>
      </c>
      <c r="M4684" s="18" t="n">
        <v>138</v>
      </c>
      <c r="N4684" s="18" t="n">
        <v>32</v>
      </c>
      <c r="O4684" s="14" t="s">
        <v>1126</v>
      </c>
      <c r="P4684" s="14" t="s">
        <v>118</v>
      </c>
      <c r="Q4684" s="15" t="s">
        <v>1089</v>
      </c>
      <c r="R4684" s="16" t="s">
        <v>13783</v>
      </c>
      <c r="S4684" s="15" t="s">
        <v>28721</v>
      </c>
      <c r="T4684" s="15" t="s">
        <v>28722</v>
      </c>
      <c r="U4684" s="21" t="s">
        <v>72</v>
      </c>
    </row>
    <row r="4685" customFormat="false" ht="15" hidden="false" customHeight="false" outlineLevel="0" collapsed="false">
      <c r="A4685" s="15" t="s">
        <v>28723</v>
      </c>
      <c r="B4685" s="15" t="s">
        <v>28724</v>
      </c>
      <c r="C4685" s="14" t="s">
        <v>28725</v>
      </c>
      <c r="D4685" s="14" t="s">
        <v>28726</v>
      </c>
      <c r="E4685" s="16" t="s">
        <v>28727</v>
      </c>
      <c r="F4685" s="16" t="s">
        <v>28728</v>
      </c>
      <c r="G4685" s="23" t="s">
        <v>43</v>
      </c>
      <c r="H4685" s="18" t="n">
        <v>2</v>
      </c>
      <c r="I4685" s="20" t="n">
        <v>42.63</v>
      </c>
      <c r="J4685" s="20" t="n">
        <v>111.9</v>
      </c>
      <c r="K4685" s="18" t="n">
        <v>7</v>
      </c>
      <c r="L4685" s="18" t="n">
        <v>1</v>
      </c>
      <c r="M4685" s="18" t="n">
        <v>98</v>
      </c>
      <c r="N4685" s="18" t="n">
        <v>98</v>
      </c>
      <c r="O4685" s="14" t="s">
        <v>1097</v>
      </c>
      <c r="P4685" s="14" t="s">
        <v>118</v>
      </c>
      <c r="Q4685" s="15" t="s">
        <v>1089</v>
      </c>
      <c r="R4685" s="16" t="s">
        <v>28729</v>
      </c>
      <c r="S4685" s="15" t="s">
        <v>28730</v>
      </c>
      <c r="T4685" s="15" t="s">
        <v>28730</v>
      </c>
      <c r="U4685" s="21" t="s">
        <v>72</v>
      </c>
    </row>
    <row r="4686" customFormat="false" ht="15" hidden="false" customHeight="false" outlineLevel="0" collapsed="false">
      <c r="A4686" s="15" t="s">
        <v>28723</v>
      </c>
      <c r="B4686" s="15" t="s">
        <v>28724</v>
      </c>
      <c r="C4686" s="14" t="s">
        <v>28731</v>
      </c>
      <c r="D4686" s="14" t="s">
        <v>28732</v>
      </c>
      <c r="E4686" s="16" t="s">
        <v>28733</v>
      </c>
      <c r="F4686" s="16" t="s">
        <v>28734</v>
      </c>
      <c r="G4686" s="23" t="s">
        <v>43</v>
      </c>
      <c r="H4686" s="18" t="n">
        <v>3</v>
      </c>
      <c r="I4686" s="20" t="n">
        <v>68.62</v>
      </c>
      <c r="J4686" s="20" t="n">
        <v>154.41</v>
      </c>
      <c r="K4686" s="18" t="n">
        <v>21</v>
      </c>
      <c r="L4686" s="18" t="n">
        <v>5</v>
      </c>
      <c r="M4686" s="18" t="n">
        <v>354</v>
      </c>
      <c r="N4686" s="18" t="n">
        <v>162</v>
      </c>
      <c r="O4686" s="14" t="s">
        <v>1088</v>
      </c>
      <c r="P4686" s="14" t="s">
        <v>118</v>
      </c>
      <c r="Q4686" s="15" t="s">
        <v>1089</v>
      </c>
      <c r="R4686" s="16" t="s">
        <v>28735</v>
      </c>
      <c r="S4686" s="15" t="s">
        <v>28736</v>
      </c>
      <c r="T4686" s="15" t="s">
        <v>28737</v>
      </c>
      <c r="U4686" s="21" t="s">
        <v>72</v>
      </c>
    </row>
  </sheetData>
  <hyperlinks>
    <hyperlink ref="U2" r:id="rId1" display="立案頁"/>
    <hyperlink ref="U3" r:id="rId2" display="立案頁"/>
    <hyperlink ref="U4" r:id="rId3" display="立案頁"/>
    <hyperlink ref="U5" r:id="rId4" display="立案頁"/>
    <hyperlink ref="U6" r:id="rId5" display="立案頁"/>
    <hyperlink ref="U7" r:id="rId6" display="立案頁"/>
    <hyperlink ref="U8" r:id="rId7" display="立案頁"/>
    <hyperlink ref="U9" r:id="rId8" display="立案頁"/>
    <hyperlink ref="U10" r:id="rId9" display="立案頁"/>
    <hyperlink ref="U11" r:id="rId10" display="立案頁"/>
    <hyperlink ref="U12" r:id="rId11" display="立案頁"/>
    <hyperlink ref="U13" r:id="rId12" display="立案頁"/>
    <hyperlink ref="U14" r:id="rId13" display="立案頁"/>
    <hyperlink ref="U15" r:id="rId14" display="立案頁"/>
    <hyperlink ref="U16" r:id="rId15" display="立案頁"/>
    <hyperlink ref="U17" r:id="rId16" display="立案頁"/>
    <hyperlink ref="U18" r:id="rId17" display="立案頁"/>
    <hyperlink ref="U19" r:id="rId18" display="立案頁"/>
    <hyperlink ref="U20" r:id="rId19" display="立案頁"/>
    <hyperlink ref="U21" r:id="rId20" display="立案頁"/>
    <hyperlink ref="U22" r:id="rId21" display="立案頁"/>
    <hyperlink ref="U23" r:id="rId22" display="立案頁"/>
    <hyperlink ref="U24" r:id="rId23" display="立案頁"/>
    <hyperlink ref="U25" r:id="rId24" display="立案頁"/>
    <hyperlink ref="U26" r:id="rId25" display="立案頁"/>
    <hyperlink ref="U27" r:id="rId26" display="立案頁"/>
    <hyperlink ref="U28" r:id="rId27" display="立案頁"/>
    <hyperlink ref="U29" r:id="rId28" display="立案頁"/>
    <hyperlink ref="U30" r:id="rId29" display="立案頁"/>
    <hyperlink ref="U31" r:id="rId30" display="立案頁"/>
    <hyperlink ref="U32" r:id="rId31" display="立案頁"/>
    <hyperlink ref="U33" r:id="rId32" display="立案頁"/>
    <hyperlink ref="U34" r:id="rId33" display="立案頁"/>
    <hyperlink ref="U35" r:id="rId34" display="立案頁"/>
    <hyperlink ref="U36" r:id="rId35" display="立案頁"/>
    <hyperlink ref="U37" r:id="rId36" display="立案頁"/>
    <hyperlink ref="U38" r:id="rId37" display="立案頁"/>
    <hyperlink ref="U39" r:id="rId38" display="立案頁"/>
    <hyperlink ref="U40" r:id="rId39" display="立案頁"/>
    <hyperlink ref="U41" r:id="rId40" display="立案頁"/>
    <hyperlink ref="U42" r:id="rId41" display="立案頁"/>
    <hyperlink ref="U43" r:id="rId42" display="立案頁"/>
    <hyperlink ref="U44" r:id="rId43" display="立案頁"/>
    <hyperlink ref="U45" r:id="rId44" display="立案頁"/>
    <hyperlink ref="U46" r:id="rId45" display="立案頁"/>
    <hyperlink ref="U47" r:id="rId46" display="立案頁"/>
    <hyperlink ref="U48" r:id="rId47" display="立案頁"/>
    <hyperlink ref="U49" r:id="rId48" display="立案頁"/>
    <hyperlink ref="U50" r:id="rId49" display="立案頁"/>
    <hyperlink ref="U51" r:id="rId50" display="立案頁"/>
    <hyperlink ref="U52" r:id="rId51" display="立案頁"/>
    <hyperlink ref="U53" r:id="rId52" display="立案頁"/>
    <hyperlink ref="U54" r:id="rId53" display="立案頁"/>
    <hyperlink ref="U55" r:id="rId54" display="立案頁"/>
    <hyperlink ref="U56" r:id="rId55" display="立案頁"/>
    <hyperlink ref="U57" r:id="rId56" display="立案頁"/>
    <hyperlink ref="U58" r:id="rId57" display="立案頁"/>
    <hyperlink ref="U59" r:id="rId58" display="立案頁"/>
    <hyperlink ref="U60" r:id="rId59" display="立案頁"/>
    <hyperlink ref="U61" r:id="rId60" display="立案頁"/>
    <hyperlink ref="U62" r:id="rId61" display="立案頁"/>
    <hyperlink ref="U63" r:id="rId62" display="立案頁"/>
    <hyperlink ref="U64" r:id="rId63" display="立案頁"/>
    <hyperlink ref="U65" r:id="rId64" display="立案頁"/>
    <hyperlink ref="U66" r:id="rId65" display="立案頁"/>
    <hyperlink ref="U67" r:id="rId66" display="立案頁"/>
    <hyperlink ref="U68" r:id="rId67" display="立案頁"/>
    <hyperlink ref="U69" r:id="rId68" display="立案頁"/>
    <hyperlink ref="U70" r:id="rId69" display="立案頁"/>
    <hyperlink ref="U71" r:id="rId70" display="立案頁"/>
    <hyperlink ref="U72" r:id="rId71" display="立案頁"/>
    <hyperlink ref="U73" r:id="rId72" display="立案頁"/>
    <hyperlink ref="U74" r:id="rId73" display="立案頁"/>
    <hyperlink ref="U75" r:id="rId74" display="立案頁"/>
    <hyperlink ref="U76" r:id="rId75" display="立案頁"/>
    <hyperlink ref="U77" r:id="rId76" display="立案頁"/>
    <hyperlink ref="U78" r:id="rId77" display="立案頁"/>
    <hyperlink ref="U79" r:id="rId78" display="立案頁"/>
    <hyperlink ref="U80" r:id="rId79" display="立案頁"/>
    <hyperlink ref="U81" r:id="rId80" display="立案頁"/>
    <hyperlink ref="U82" r:id="rId81" display="立案頁"/>
    <hyperlink ref="U83" r:id="rId82" display="立案頁"/>
    <hyperlink ref="U84" r:id="rId83" display="立案頁"/>
    <hyperlink ref="U85" r:id="rId84" display="立案頁"/>
    <hyperlink ref="U86" r:id="rId85" display="立案頁"/>
    <hyperlink ref="U87" r:id="rId86" display="立案頁"/>
    <hyperlink ref="U88" r:id="rId87" display="立案頁"/>
    <hyperlink ref="U89" r:id="rId88" display="立案頁"/>
    <hyperlink ref="U90" r:id="rId89" display="立案頁"/>
    <hyperlink ref="U91" r:id="rId90" display="立案頁"/>
    <hyperlink ref="U92" r:id="rId91" display="立案頁"/>
    <hyperlink ref="U93" r:id="rId92" display="立案頁"/>
    <hyperlink ref="U94" r:id="rId93" display="立案頁"/>
    <hyperlink ref="U95" r:id="rId94" display="立案頁"/>
    <hyperlink ref="U96" r:id="rId95" display="立案頁"/>
    <hyperlink ref="U97" r:id="rId96" display="立案頁"/>
    <hyperlink ref="U98" r:id="rId97" display="立案頁"/>
    <hyperlink ref="U99" r:id="rId98" display="立案頁"/>
    <hyperlink ref="U100" r:id="rId99" display="立案頁"/>
    <hyperlink ref="U101" r:id="rId100" display="立案頁"/>
    <hyperlink ref="U102" r:id="rId101" display="立案頁"/>
    <hyperlink ref="U103" r:id="rId102" display="立案頁"/>
    <hyperlink ref="U104" r:id="rId103" display="立案頁"/>
    <hyperlink ref="U105" r:id="rId104" display="立案頁"/>
    <hyperlink ref="U106" r:id="rId105" display="立案頁"/>
    <hyperlink ref="U107" r:id="rId106" display="立案頁"/>
    <hyperlink ref="U108" r:id="rId107" display="立案頁"/>
    <hyperlink ref="U109" r:id="rId108" display="立案頁"/>
    <hyperlink ref="U110" r:id="rId109" display="立案頁"/>
    <hyperlink ref="U111" r:id="rId110" display="立案頁"/>
    <hyperlink ref="U112" r:id="rId111" display="立案頁"/>
    <hyperlink ref="U113" r:id="rId112" display="立案頁"/>
    <hyperlink ref="U114" r:id="rId113" display="立案頁"/>
    <hyperlink ref="U115" r:id="rId114" display="立案頁"/>
    <hyperlink ref="U116" r:id="rId115" display="立案頁"/>
    <hyperlink ref="U117" r:id="rId116" display="立案頁"/>
    <hyperlink ref="U118" r:id="rId117" display="立案頁"/>
    <hyperlink ref="U119" r:id="rId118" display="立案頁"/>
    <hyperlink ref="U120" r:id="rId119" display="立案頁"/>
    <hyperlink ref="U121" r:id="rId120" display="立案頁"/>
    <hyperlink ref="U122" r:id="rId121" display="立案頁"/>
    <hyperlink ref="U123" r:id="rId122" display="立案頁"/>
    <hyperlink ref="U124" r:id="rId123" display="立案頁"/>
    <hyperlink ref="U125" r:id="rId124" display="立案頁"/>
    <hyperlink ref="U126" r:id="rId125" display="立案頁"/>
    <hyperlink ref="U127" r:id="rId126" display="立案頁"/>
    <hyperlink ref="U128" r:id="rId127" display="立案頁"/>
    <hyperlink ref="U129" r:id="rId128" display="立案頁"/>
    <hyperlink ref="U130" r:id="rId129" display="立案頁"/>
    <hyperlink ref="U131" r:id="rId130" display="立案頁"/>
    <hyperlink ref="U132" r:id="rId131" display="立案頁"/>
    <hyperlink ref="U133" r:id="rId132" display="立案頁"/>
    <hyperlink ref="U134" r:id="rId133" display="立案頁"/>
    <hyperlink ref="U135" r:id="rId134" display="立案頁"/>
    <hyperlink ref="U136" r:id="rId135" display="立案頁"/>
    <hyperlink ref="U137" r:id="rId136" display="立案頁"/>
    <hyperlink ref="U138" r:id="rId137" display="立案頁"/>
    <hyperlink ref="U139" r:id="rId138" display="立案頁"/>
    <hyperlink ref="U140" r:id="rId139" display="立案頁"/>
    <hyperlink ref="U141" r:id="rId140" display="立案頁"/>
    <hyperlink ref="U142" r:id="rId141" display="立案頁"/>
    <hyperlink ref="U143" r:id="rId142" display="立案頁"/>
    <hyperlink ref="U144" r:id="rId143" display="立案頁"/>
    <hyperlink ref="U145" r:id="rId144" display="立案頁"/>
    <hyperlink ref="U146" r:id="rId145" display="立案頁"/>
    <hyperlink ref="U147" r:id="rId146" display="立案頁"/>
    <hyperlink ref="U148" r:id="rId147" display="立案頁"/>
    <hyperlink ref="U149" r:id="rId148" display="立案頁"/>
    <hyperlink ref="U150" r:id="rId149" display="立案頁"/>
    <hyperlink ref="U151" r:id="rId150" display="立案頁"/>
    <hyperlink ref="U152" r:id="rId151" display="立案頁"/>
    <hyperlink ref="U153" r:id="rId152" display="立案頁"/>
    <hyperlink ref="U154" r:id="rId153" display="立案頁"/>
    <hyperlink ref="U155" r:id="rId154" display="立案頁"/>
    <hyperlink ref="U156" r:id="rId155" display="立案頁"/>
    <hyperlink ref="U157" r:id="rId156" display="立案頁"/>
    <hyperlink ref="U158" r:id="rId157" display="立案頁"/>
    <hyperlink ref="U159" r:id="rId158" display="立案頁"/>
    <hyperlink ref="U160" r:id="rId159" display="立案頁"/>
    <hyperlink ref="U161" r:id="rId160" display="立案頁"/>
    <hyperlink ref="U162" r:id="rId161" display="立案頁"/>
    <hyperlink ref="U163" r:id="rId162" display="立案頁"/>
    <hyperlink ref="U164" r:id="rId163" display="立案頁"/>
    <hyperlink ref="U165" r:id="rId164" display="立案頁"/>
    <hyperlink ref="U166" r:id="rId165" display="立案頁"/>
    <hyperlink ref="U167" r:id="rId166" display="立案頁"/>
    <hyperlink ref="U168" r:id="rId167" display="立案頁"/>
    <hyperlink ref="U169" r:id="rId168" display="立案頁"/>
    <hyperlink ref="U170" r:id="rId169" display="立案頁"/>
    <hyperlink ref="U171" r:id="rId170" display="立案頁"/>
    <hyperlink ref="U172" r:id="rId171" display="立案頁"/>
    <hyperlink ref="U173" r:id="rId172" display="立案頁"/>
    <hyperlink ref="U174" r:id="rId173" display="立案頁"/>
    <hyperlink ref="U175" r:id="rId174" display="立案頁"/>
    <hyperlink ref="U176" r:id="rId175" display="立案頁"/>
    <hyperlink ref="U177" r:id="rId176" display="立案頁"/>
    <hyperlink ref="U178" r:id="rId177" display="立案頁"/>
    <hyperlink ref="U179" r:id="rId178" display="立案頁"/>
    <hyperlink ref="U180" r:id="rId179" display="立案頁"/>
    <hyperlink ref="U181" r:id="rId180" display="立案頁"/>
    <hyperlink ref="U182" r:id="rId181" display="立案頁"/>
    <hyperlink ref="U183" r:id="rId182" display="立案頁"/>
    <hyperlink ref="U184" r:id="rId183" display="立案頁"/>
    <hyperlink ref="U185" r:id="rId184" display="立案頁"/>
    <hyperlink ref="U186" r:id="rId185" display="立案頁"/>
    <hyperlink ref="U187" r:id="rId186" display="立案頁"/>
    <hyperlink ref="U188" r:id="rId187" display="立案頁"/>
    <hyperlink ref="U189" r:id="rId188" display="立案頁"/>
    <hyperlink ref="U190" r:id="rId189" display="立案頁"/>
    <hyperlink ref="U191" r:id="rId190" display="立案頁"/>
    <hyperlink ref="U192" r:id="rId191" display="立案頁"/>
    <hyperlink ref="U193" r:id="rId192" display="立案頁"/>
    <hyperlink ref="U194" r:id="rId193" display="立案頁"/>
    <hyperlink ref="U195" r:id="rId194" display="立案頁"/>
    <hyperlink ref="U196" r:id="rId195" display="立案頁"/>
    <hyperlink ref="U197" r:id="rId196" display="立案頁"/>
    <hyperlink ref="U198" r:id="rId197" display="立案頁"/>
    <hyperlink ref="U199" r:id="rId198" display="立案頁"/>
    <hyperlink ref="U200" r:id="rId199" display="立案頁"/>
    <hyperlink ref="U201" r:id="rId200" display="立案頁"/>
    <hyperlink ref="U202" r:id="rId201" display="立案頁"/>
    <hyperlink ref="U203" r:id="rId202" display="立案頁"/>
    <hyperlink ref="U204" r:id="rId203" display="立案頁"/>
    <hyperlink ref="U205" r:id="rId204" display="立案頁"/>
    <hyperlink ref="U206" r:id="rId205" display="立案頁"/>
    <hyperlink ref="U207" r:id="rId206" display="立案頁"/>
    <hyperlink ref="U208" r:id="rId207" display="立案頁"/>
    <hyperlink ref="U209" r:id="rId208" display="立案頁"/>
    <hyperlink ref="U210" r:id="rId209" display="立案頁"/>
    <hyperlink ref="U211" r:id="rId210" display="立案頁"/>
    <hyperlink ref="U212" r:id="rId211" display="立案頁"/>
    <hyperlink ref="U213" r:id="rId212" display="立案頁"/>
    <hyperlink ref="U214" r:id="rId213" display="立案頁"/>
    <hyperlink ref="U215" r:id="rId214" display="立案頁"/>
    <hyperlink ref="U216" r:id="rId215" display="立案頁"/>
    <hyperlink ref="U217" r:id="rId216" display="立案頁"/>
    <hyperlink ref="U218" r:id="rId217" display="立案頁"/>
    <hyperlink ref="U219" r:id="rId218" display="立案頁"/>
    <hyperlink ref="U220" r:id="rId219" display="立案頁"/>
    <hyperlink ref="U221" r:id="rId220" display="立案頁"/>
    <hyperlink ref="U222" r:id="rId221" display="立案頁"/>
    <hyperlink ref="U223" r:id="rId222" display="立案頁"/>
    <hyperlink ref="U224" r:id="rId223" display="立案頁"/>
    <hyperlink ref="U225" r:id="rId224" display="立案頁"/>
    <hyperlink ref="U226" r:id="rId225" display="立案頁"/>
    <hyperlink ref="U227" r:id="rId226" display="立案頁"/>
    <hyperlink ref="U228" r:id="rId227" display="立案頁"/>
    <hyperlink ref="U229" r:id="rId228" display="立案頁"/>
    <hyperlink ref="U230" r:id="rId229" display="立案頁"/>
    <hyperlink ref="U231" r:id="rId230" display="立案頁"/>
    <hyperlink ref="U232" r:id="rId231" display="立案頁"/>
    <hyperlink ref="U233" r:id="rId232" display="立案頁"/>
    <hyperlink ref="U234" r:id="rId233" display="立案頁"/>
    <hyperlink ref="U235" r:id="rId234" display="立案頁"/>
    <hyperlink ref="U236" r:id="rId235" display="立案頁"/>
    <hyperlink ref="U237" r:id="rId236" display="立案頁"/>
    <hyperlink ref="U238" r:id="rId237" display="立案頁"/>
    <hyperlink ref="U239" r:id="rId238" display="立案頁"/>
    <hyperlink ref="U240" r:id="rId239" display="立案頁"/>
    <hyperlink ref="U241" r:id="rId240" display="立案頁"/>
    <hyperlink ref="U242" r:id="rId241" display="立案頁"/>
    <hyperlink ref="U243" r:id="rId242" display="立案頁"/>
    <hyperlink ref="U244" r:id="rId243" display="立案頁"/>
    <hyperlink ref="U245" r:id="rId244" display="立案頁"/>
    <hyperlink ref="U246" r:id="rId245" display="立案頁"/>
    <hyperlink ref="U247" r:id="rId246" display="立案頁"/>
    <hyperlink ref="U248" r:id="rId247" display="立案頁"/>
    <hyperlink ref="U249" r:id="rId248" display="立案頁"/>
    <hyperlink ref="U250" r:id="rId249" display="立案頁"/>
    <hyperlink ref="U251" r:id="rId250" display="立案頁"/>
    <hyperlink ref="U252" r:id="rId251" display="立案頁"/>
    <hyperlink ref="U253" r:id="rId252" display="立案頁"/>
    <hyperlink ref="U254" r:id="rId253" display="立案頁"/>
    <hyperlink ref="U255" r:id="rId254" display="立案頁"/>
    <hyperlink ref="U256" r:id="rId255" display="立案頁"/>
    <hyperlink ref="U257" r:id="rId256" display="立案頁"/>
    <hyperlink ref="U258" r:id="rId257" display="立案頁"/>
    <hyperlink ref="U259" r:id="rId258" display="立案頁"/>
    <hyperlink ref="U260" r:id="rId259" display="立案頁"/>
    <hyperlink ref="U261" r:id="rId260" display="立案頁"/>
    <hyperlink ref="U262" r:id="rId261" display="立案頁"/>
    <hyperlink ref="U263" r:id="rId262" display="立案頁"/>
    <hyperlink ref="U264" r:id="rId263" display="立案頁"/>
    <hyperlink ref="U265" r:id="rId264" display="立案頁"/>
    <hyperlink ref="U266" r:id="rId265" display="立案頁"/>
    <hyperlink ref="U267" r:id="rId266" display="立案頁"/>
    <hyperlink ref="U268" r:id="rId267" display="立案頁"/>
    <hyperlink ref="U269" r:id="rId268" display="立案頁"/>
    <hyperlink ref="U270" r:id="rId269" display="立案頁"/>
    <hyperlink ref="U271" r:id="rId270" display="立案頁"/>
    <hyperlink ref="U272" r:id="rId271" display="立案頁"/>
    <hyperlink ref="U273" r:id="rId272" display="立案頁"/>
    <hyperlink ref="U274" r:id="rId273" display="立案頁"/>
    <hyperlink ref="U275" r:id="rId274" display="立案頁"/>
    <hyperlink ref="U276" r:id="rId275" display="立案頁"/>
    <hyperlink ref="U277" r:id="rId276" display="立案頁"/>
    <hyperlink ref="U278" r:id="rId277" display="立案頁"/>
    <hyperlink ref="U279" r:id="rId278" display="立案頁"/>
    <hyperlink ref="U280" r:id="rId279" display="立案頁"/>
    <hyperlink ref="U281" r:id="rId280" display="立案頁"/>
    <hyperlink ref="U282" r:id="rId281" display="立案頁"/>
    <hyperlink ref="U283" r:id="rId282" display="立案頁"/>
    <hyperlink ref="U284" r:id="rId283" display="立案頁"/>
    <hyperlink ref="U285" r:id="rId284" display="立案頁"/>
    <hyperlink ref="U286" r:id="rId285" display="立案頁"/>
    <hyperlink ref="U287" r:id="rId286" display="立案頁"/>
    <hyperlink ref="U288" r:id="rId287" display="立案頁"/>
    <hyperlink ref="U289" r:id="rId288" display="立案頁"/>
    <hyperlink ref="U290" r:id="rId289" display="立案頁"/>
    <hyperlink ref="U291" r:id="rId290" display="立案頁"/>
    <hyperlink ref="U292" r:id="rId291" display="立案頁"/>
    <hyperlink ref="U293" r:id="rId292" display="立案頁"/>
    <hyperlink ref="U294" r:id="rId293" display="立案頁"/>
    <hyperlink ref="U295" r:id="rId294" display="立案頁"/>
    <hyperlink ref="U296" r:id="rId295" display="立案頁"/>
    <hyperlink ref="U297" r:id="rId296" display="立案頁"/>
    <hyperlink ref="U298" r:id="rId297" display="立案頁"/>
    <hyperlink ref="U299" r:id="rId298" display="立案頁"/>
    <hyperlink ref="U300" r:id="rId299" display="立案頁"/>
    <hyperlink ref="U301" r:id="rId300" display="立案頁"/>
    <hyperlink ref="U302" r:id="rId301" display="立案頁"/>
    <hyperlink ref="U303" r:id="rId302" display="立案頁"/>
    <hyperlink ref="U304" r:id="rId303" display="立案頁"/>
    <hyperlink ref="U305" r:id="rId304" display="立案頁"/>
    <hyperlink ref="U306" r:id="rId305" display="立案頁"/>
    <hyperlink ref="U307" r:id="rId306" display="立案頁"/>
    <hyperlink ref="U308" r:id="rId307" display="立案頁"/>
    <hyperlink ref="U309" r:id="rId308" display="立案頁"/>
    <hyperlink ref="U310" r:id="rId309" display="立案頁"/>
    <hyperlink ref="U311" r:id="rId310" display="立案頁"/>
    <hyperlink ref="U312" r:id="rId311" display="立案頁"/>
    <hyperlink ref="U313" r:id="rId312" display="立案頁"/>
    <hyperlink ref="U314" r:id="rId313" display="立案頁"/>
    <hyperlink ref="U315" r:id="rId314" display="立案頁"/>
    <hyperlink ref="U316" r:id="rId315" display="立案頁"/>
    <hyperlink ref="U317" r:id="rId316" display="立案頁"/>
    <hyperlink ref="U318" r:id="rId317" display="立案頁"/>
    <hyperlink ref="U319" r:id="rId318" display="立案頁"/>
    <hyperlink ref="U320" r:id="rId319" display="立案頁"/>
    <hyperlink ref="U321" r:id="rId320" display="立案頁"/>
    <hyperlink ref="U322" r:id="rId321" display="立案頁"/>
    <hyperlink ref="U323" r:id="rId322" display="立案頁"/>
    <hyperlink ref="U324" r:id="rId323" display="立案頁"/>
    <hyperlink ref="U325" r:id="rId324" display="立案頁"/>
    <hyperlink ref="U326" r:id="rId325" display="立案頁"/>
    <hyperlink ref="U327" r:id="rId326" display="立案頁"/>
    <hyperlink ref="U328" r:id="rId327" display="立案頁"/>
    <hyperlink ref="U329" r:id="rId328" display="立案頁"/>
    <hyperlink ref="U330" r:id="rId329" display="立案頁"/>
    <hyperlink ref="U331" r:id="rId330" display="立案頁"/>
    <hyperlink ref="U332" r:id="rId331" display="立案頁"/>
    <hyperlink ref="U333" r:id="rId332" display="立案頁"/>
    <hyperlink ref="U334" r:id="rId333" display="立案頁"/>
    <hyperlink ref="U335" r:id="rId334" display="立案頁"/>
    <hyperlink ref="U336" r:id="rId335" display="立案頁"/>
    <hyperlink ref="U337" r:id="rId336" display="立案頁"/>
    <hyperlink ref="U338" r:id="rId337" display="立案頁"/>
    <hyperlink ref="U339" r:id="rId338" display="立案頁"/>
    <hyperlink ref="U340" r:id="rId339" display="立案頁"/>
    <hyperlink ref="U341" r:id="rId340" display="立案頁"/>
    <hyperlink ref="U342" r:id="rId341" display="立案頁"/>
    <hyperlink ref="U343" r:id="rId342" display="立案頁"/>
    <hyperlink ref="U344" r:id="rId343" display="立案頁"/>
    <hyperlink ref="U345" r:id="rId344" display="立案頁"/>
    <hyperlink ref="U346" r:id="rId345" display="立案頁"/>
    <hyperlink ref="U347" r:id="rId346" display="立案頁"/>
    <hyperlink ref="U348" r:id="rId347" display="立案頁"/>
    <hyperlink ref="U349" r:id="rId348" display="立案頁"/>
    <hyperlink ref="U350" r:id="rId349" display="立案頁"/>
    <hyperlink ref="U351" r:id="rId350" display="立案頁"/>
    <hyperlink ref="U352" r:id="rId351" display="立案頁"/>
    <hyperlink ref="U353" r:id="rId352" display="立案頁"/>
    <hyperlink ref="U354" r:id="rId353" display="立案頁"/>
    <hyperlink ref="U355" r:id="rId354" display="立案頁"/>
    <hyperlink ref="U356" r:id="rId355" display="立案頁"/>
    <hyperlink ref="U357" r:id="rId356" display="立案頁"/>
    <hyperlink ref="U358" r:id="rId357" display="立案頁"/>
    <hyperlink ref="U359" r:id="rId358" display="立案頁"/>
    <hyperlink ref="U360" r:id="rId359" display="立案頁"/>
    <hyperlink ref="U361" r:id="rId360" display="立案頁"/>
    <hyperlink ref="U362" r:id="rId361" display="立案頁"/>
    <hyperlink ref="U363" r:id="rId362" display="立案頁"/>
    <hyperlink ref="U364" r:id="rId363" display="立案頁"/>
    <hyperlink ref="U365" r:id="rId364" display="立案頁"/>
    <hyperlink ref="U366" r:id="rId365" display="立案頁"/>
    <hyperlink ref="U367" r:id="rId366" display="立案頁"/>
    <hyperlink ref="U368" r:id="rId367" display="立案頁"/>
    <hyperlink ref="U369" r:id="rId368" display="立案頁"/>
    <hyperlink ref="U370" r:id="rId369" display="立案頁"/>
    <hyperlink ref="U371" r:id="rId370" display="立案頁"/>
    <hyperlink ref="U372" r:id="rId371" display="立案頁"/>
    <hyperlink ref="U373" r:id="rId372" display="立案頁"/>
    <hyperlink ref="U374" r:id="rId373" display="立案頁"/>
    <hyperlink ref="U375" r:id="rId374" display="立案頁"/>
    <hyperlink ref="U376" r:id="rId375" display="立案頁"/>
    <hyperlink ref="U377" r:id="rId376" display="立案頁"/>
    <hyperlink ref="U378" r:id="rId377" display="立案頁"/>
    <hyperlink ref="U379" r:id="rId378" display="立案頁"/>
    <hyperlink ref="U380" r:id="rId379" display="立案頁"/>
    <hyperlink ref="U381" r:id="rId380" display="立案頁"/>
    <hyperlink ref="U382" r:id="rId381" display="立案頁"/>
    <hyperlink ref="U383" r:id="rId382" display="立案頁"/>
    <hyperlink ref="U384" r:id="rId383" display="立案頁"/>
    <hyperlink ref="U385" r:id="rId384" display="立案頁"/>
    <hyperlink ref="U386" r:id="rId385" display="立案頁"/>
    <hyperlink ref="U387" r:id="rId386" display="立案頁"/>
    <hyperlink ref="U388" r:id="rId387" display="立案頁"/>
    <hyperlink ref="U389" r:id="rId388" display="立案頁"/>
    <hyperlink ref="U390" r:id="rId389" display="立案頁"/>
    <hyperlink ref="U391" r:id="rId390" display="立案頁"/>
    <hyperlink ref="U392" r:id="rId391" display="立案頁"/>
    <hyperlink ref="U393" r:id="rId392" display="立案頁"/>
    <hyperlink ref="U394" r:id="rId393" display="立案頁"/>
    <hyperlink ref="U395" r:id="rId394" display="立案頁"/>
    <hyperlink ref="U396" r:id="rId395" display="立案頁"/>
    <hyperlink ref="U397" r:id="rId396" display="立案頁"/>
    <hyperlink ref="U398" r:id="rId397" display="立案頁"/>
    <hyperlink ref="U399" r:id="rId398" display="立案頁"/>
    <hyperlink ref="U400" r:id="rId399" display="立案頁"/>
    <hyperlink ref="U401" r:id="rId400" display="立案頁"/>
    <hyperlink ref="U402" r:id="rId401" display="立案頁"/>
    <hyperlink ref="U403" r:id="rId402" display="立案頁"/>
    <hyperlink ref="U404" r:id="rId403" display="立案頁"/>
    <hyperlink ref="U405" r:id="rId404" display="立案頁"/>
    <hyperlink ref="U406" r:id="rId405" display="立案頁"/>
    <hyperlink ref="U407" r:id="rId406" display="立案頁"/>
    <hyperlink ref="U408" r:id="rId407" display="立案頁"/>
    <hyperlink ref="U409" r:id="rId408" display="立案頁"/>
    <hyperlink ref="U410" r:id="rId409" display="立案頁"/>
    <hyperlink ref="U411" r:id="rId410" display="立案頁"/>
    <hyperlink ref="U412" r:id="rId411" display="立案頁"/>
    <hyperlink ref="U413" r:id="rId412" display="立案頁"/>
    <hyperlink ref="U414" r:id="rId413" display="立案頁"/>
    <hyperlink ref="U415" r:id="rId414" display="立案頁"/>
    <hyperlink ref="U416" r:id="rId415" display="立案頁"/>
    <hyperlink ref="U417" r:id="rId416" display="立案頁"/>
    <hyperlink ref="U418" r:id="rId417" display="立案頁"/>
    <hyperlink ref="U419" r:id="rId418" display="立案頁"/>
    <hyperlink ref="U420" r:id="rId419" display="立案頁"/>
    <hyperlink ref="U421" r:id="rId420" display="立案頁"/>
    <hyperlink ref="U422" r:id="rId421" display="立案頁"/>
    <hyperlink ref="U423" r:id="rId422" display="立案頁"/>
    <hyperlink ref="U424" r:id="rId423" display="立案頁"/>
    <hyperlink ref="U425" r:id="rId424" display="立案頁"/>
    <hyperlink ref="U426" r:id="rId425" display="立案頁"/>
    <hyperlink ref="U427" r:id="rId426" display="立案頁"/>
    <hyperlink ref="U428" r:id="rId427" display="立案頁"/>
    <hyperlink ref="U429" r:id="rId428" display="立案頁"/>
    <hyperlink ref="U430" r:id="rId429" display="立案頁"/>
    <hyperlink ref="U431" r:id="rId430" display="立案頁"/>
    <hyperlink ref="U432" r:id="rId431" display="立案頁"/>
    <hyperlink ref="U433" r:id="rId432" display="立案頁"/>
    <hyperlink ref="U434" r:id="rId433" display="立案頁"/>
    <hyperlink ref="U435" r:id="rId434" display="立案頁"/>
    <hyperlink ref="U436" r:id="rId435" display="立案頁"/>
    <hyperlink ref="U437" r:id="rId436" display="立案頁"/>
    <hyperlink ref="U438" r:id="rId437" display="立案頁"/>
    <hyperlink ref="U439" r:id="rId438" display="立案頁"/>
    <hyperlink ref="U440" r:id="rId439" display="立案頁"/>
    <hyperlink ref="U441" r:id="rId440" display="立案頁"/>
    <hyperlink ref="U442" r:id="rId441" display="立案頁"/>
    <hyperlink ref="U443" r:id="rId442" display="立案頁"/>
    <hyperlink ref="U444" r:id="rId443" display="立案頁"/>
    <hyperlink ref="U445" r:id="rId444" display="立案頁"/>
    <hyperlink ref="U446" r:id="rId445" display="立案頁"/>
    <hyperlink ref="U447" r:id="rId446" display="立案頁"/>
    <hyperlink ref="U448" r:id="rId447" display="立案頁"/>
    <hyperlink ref="U449" r:id="rId448" display="立案頁"/>
    <hyperlink ref="U450" r:id="rId449" display="立案頁"/>
    <hyperlink ref="U451" r:id="rId450" display="立案頁"/>
    <hyperlink ref="U452" r:id="rId451" display="立案頁"/>
    <hyperlink ref="U453" r:id="rId452" display="立案頁"/>
    <hyperlink ref="U454" r:id="rId453" display="立案頁"/>
    <hyperlink ref="U455" r:id="rId454" display="立案頁"/>
    <hyperlink ref="U456" r:id="rId455" display="立案頁"/>
    <hyperlink ref="U457" r:id="rId456" display="立案頁"/>
    <hyperlink ref="U458" r:id="rId457" display="立案頁"/>
    <hyperlink ref="U459" r:id="rId458" display="立案頁"/>
    <hyperlink ref="U460" r:id="rId459" display="立案頁"/>
    <hyperlink ref="U461" r:id="rId460" display="立案頁"/>
    <hyperlink ref="U462" r:id="rId461" display="立案頁"/>
    <hyperlink ref="U463" r:id="rId462" display="立案頁"/>
    <hyperlink ref="U464" r:id="rId463" display="立案頁"/>
    <hyperlink ref="U465" r:id="rId464" display="立案頁"/>
    <hyperlink ref="U466" r:id="rId465" display="立案頁"/>
    <hyperlink ref="U467" r:id="rId466" display="立案頁"/>
    <hyperlink ref="U468" r:id="rId467" display="立案頁"/>
    <hyperlink ref="U469" r:id="rId468" display="立案頁"/>
    <hyperlink ref="U470" r:id="rId469" display="立案頁"/>
    <hyperlink ref="U471" r:id="rId470" display="立案頁"/>
    <hyperlink ref="U472" r:id="rId471" display="立案頁"/>
    <hyperlink ref="U473" r:id="rId472" display="立案頁"/>
    <hyperlink ref="U474" r:id="rId473" display="立案頁"/>
    <hyperlink ref="U475" r:id="rId474" display="立案頁"/>
    <hyperlink ref="U476" r:id="rId475" display="立案頁"/>
    <hyperlink ref="U477" r:id="rId476" display="立案頁"/>
    <hyperlink ref="U478" r:id="rId477" display="立案頁"/>
    <hyperlink ref="U479" r:id="rId478" display="立案頁"/>
    <hyperlink ref="U480" r:id="rId479" display="立案頁"/>
    <hyperlink ref="U481" r:id="rId480" display="立案頁"/>
    <hyperlink ref="U482" r:id="rId481" display="立案頁"/>
    <hyperlink ref="U483" r:id="rId482" display="立案頁"/>
    <hyperlink ref="U484" r:id="rId483" display="立案頁"/>
    <hyperlink ref="U485" r:id="rId484" display="立案頁"/>
    <hyperlink ref="U486" r:id="rId485" display="立案頁"/>
    <hyperlink ref="U487" r:id="rId486" display="立案頁"/>
    <hyperlink ref="U488" r:id="rId487" display="立案頁"/>
    <hyperlink ref="U489" r:id="rId488" display="立案頁"/>
    <hyperlink ref="U490" r:id="rId489" display="立案頁"/>
    <hyperlink ref="U491" r:id="rId490" display="立案頁"/>
    <hyperlink ref="U492" r:id="rId491" display="立案頁"/>
    <hyperlink ref="U493" r:id="rId492" display="立案頁"/>
    <hyperlink ref="U494" r:id="rId493" display="立案頁"/>
    <hyperlink ref="U495" r:id="rId494" display="立案頁"/>
    <hyperlink ref="U496" r:id="rId495" display="立案頁"/>
    <hyperlink ref="U497" r:id="rId496" display="立案頁"/>
    <hyperlink ref="U498" r:id="rId497" display="立案頁"/>
    <hyperlink ref="U499" r:id="rId498" display="立案頁"/>
    <hyperlink ref="U500" r:id="rId499" display="立案頁"/>
    <hyperlink ref="U501" r:id="rId500" display="立案頁"/>
    <hyperlink ref="U502" r:id="rId501" display="立案頁"/>
    <hyperlink ref="U503" r:id="rId502" display="立案頁"/>
    <hyperlink ref="U504" r:id="rId503" display="立案頁"/>
    <hyperlink ref="U505" r:id="rId504" display="立案頁"/>
    <hyperlink ref="U506" r:id="rId505" display="立案頁"/>
    <hyperlink ref="U507" r:id="rId506" display="立案頁"/>
    <hyperlink ref="U508" r:id="rId507" display="立案頁"/>
    <hyperlink ref="U509" r:id="rId508" display="立案頁"/>
    <hyperlink ref="U510" r:id="rId509" display="立案頁"/>
    <hyperlink ref="U511" r:id="rId510" display="立案頁"/>
    <hyperlink ref="U512" r:id="rId511" display="立案頁"/>
    <hyperlink ref="U513" r:id="rId512" display="立案頁"/>
    <hyperlink ref="U514" r:id="rId513" display="立案頁"/>
    <hyperlink ref="U515" r:id="rId514" display="立案頁"/>
    <hyperlink ref="U516" r:id="rId515" display="立案頁"/>
    <hyperlink ref="U517" r:id="rId516" display="立案頁"/>
    <hyperlink ref="U518" r:id="rId517" display="立案頁"/>
    <hyperlink ref="U519" r:id="rId518" display="立案頁"/>
    <hyperlink ref="U520" r:id="rId519" display="立案頁"/>
    <hyperlink ref="U521" r:id="rId520" display="立案頁"/>
    <hyperlink ref="U522" r:id="rId521" display="立案頁"/>
    <hyperlink ref="U523" r:id="rId522" display="立案頁"/>
    <hyperlink ref="U524" r:id="rId523" display="立案頁"/>
    <hyperlink ref="U525" r:id="rId524" display="立案頁"/>
    <hyperlink ref="U526" r:id="rId525" display="立案頁"/>
    <hyperlink ref="U527" r:id="rId526" display="立案頁"/>
    <hyperlink ref="U528" r:id="rId527" display="立案頁"/>
    <hyperlink ref="U529" r:id="rId528" display="立案頁"/>
    <hyperlink ref="U530" r:id="rId529" display="立案頁"/>
    <hyperlink ref="U531" r:id="rId530" display="立案頁"/>
    <hyperlink ref="U532" r:id="rId531" display="立案頁"/>
    <hyperlink ref="U533" r:id="rId532" display="立案頁"/>
    <hyperlink ref="U534" r:id="rId533" display="立案頁"/>
    <hyperlink ref="U535" r:id="rId534" display="立案頁"/>
    <hyperlink ref="U536" r:id="rId535" display="立案頁"/>
    <hyperlink ref="U537" r:id="rId536" display="立案頁"/>
    <hyperlink ref="U538" r:id="rId537" display="立案頁"/>
    <hyperlink ref="U539" r:id="rId538" display="立案頁"/>
    <hyperlink ref="U540" r:id="rId539" display="立案頁"/>
    <hyperlink ref="U541" r:id="rId540" display="立案頁"/>
    <hyperlink ref="U542" r:id="rId541" display="立案頁"/>
    <hyperlink ref="U543" r:id="rId542" display="立案頁"/>
    <hyperlink ref="U544" r:id="rId543" display="立案頁"/>
    <hyperlink ref="U545" r:id="rId544" display="立案頁"/>
    <hyperlink ref="U546" r:id="rId545" display="立案頁"/>
    <hyperlink ref="U547" r:id="rId546" display="立案頁"/>
    <hyperlink ref="U548" r:id="rId547" display="立案頁"/>
    <hyperlink ref="U549" r:id="rId548" display="立案頁"/>
    <hyperlink ref="U550" r:id="rId549" display="立案頁"/>
    <hyperlink ref="U551" r:id="rId550" display="立案頁"/>
    <hyperlink ref="U552" r:id="rId551" display="立案頁"/>
    <hyperlink ref="U553" r:id="rId552" display="立案頁"/>
    <hyperlink ref="U554" r:id="rId553" display="立案頁"/>
    <hyperlink ref="U555" r:id="rId554" display="立案頁"/>
    <hyperlink ref="U556" r:id="rId555" display="立案頁"/>
    <hyperlink ref="U557" r:id="rId556" display="立案頁"/>
    <hyperlink ref="U558" r:id="rId557" display="立案頁"/>
    <hyperlink ref="U559" r:id="rId558" display="立案頁"/>
    <hyperlink ref="U560" r:id="rId559" display="立案頁"/>
    <hyperlink ref="U561" r:id="rId560" display="立案頁"/>
    <hyperlink ref="U562" r:id="rId561" display="立案頁"/>
    <hyperlink ref="U563" r:id="rId562" display="立案頁"/>
    <hyperlink ref="U564" r:id="rId563" display="立案頁"/>
    <hyperlink ref="U565" r:id="rId564" display="立案頁"/>
    <hyperlink ref="U566" r:id="rId565" display="立案頁"/>
    <hyperlink ref="U567" r:id="rId566" display="立案頁"/>
    <hyperlink ref="U568" r:id="rId567" display="立案頁"/>
    <hyperlink ref="U569" r:id="rId568" display="立案頁"/>
    <hyperlink ref="U570" r:id="rId569" display="立案頁"/>
    <hyperlink ref="U571" r:id="rId570" display="立案頁"/>
    <hyperlink ref="U572" r:id="rId571" display="立案頁"/>
    <hyperlink ref="U573" r:id="rId572" display="立案頁"/>
    <hyperlink ref="U574" r:id="rId573" display="立案頁"/>
    <hyperlink ref="U575" r:id="rId574" display="立案頁"/>
    <hyperlink ref="U576" r:id="rId575" display="立案頁"/>
    <hyperlink ref="U577" r:id="rId576" display="立案頁"/>
    <hyperlink ref="U578" r:id="rId577" display="立案頁"/>
    <hyperlink ref="U579" r:id="rId578" display="立案頁"/>
    <hyperlink ref="U580" r:id="rId579" display="立案頁"/>
    <hyperlink ref="U581" r:id="rId580" display="立案頁"/>
    <hyperlink ref="U582" r:id="rId581" display="立案頁"/>
    <hyperlink ref="U583" r:id="rId582" display="立案頁"/>
    <hyperlink ref="U584" r:id="rId583" display="立案頁"/>
    <hyperlink ref="U585" r:id="rId584" display="立案頁"/>
    <hyperlink ref="U586" r:id="rId585" display="立案頁"/>
    <hyperlink ref="U587" r:id="rId586" display="立案頁"/>
    <hyperlink ref="U588" r:id="rId587" display="立案頁"/>
    <hyperlink ref="U589" r:id="rId588" display="立案頁"/>
    <hyperlink ref="U590" r:id="rId589" display="立案頁"/>
    <hyperlink ref="U591" r:id="rId590" display="立案頁"/>
    <hyperlink ref="U592" r:id="rId591" display="立案頁"/>
    <hyperlink ref="U593" r:id="rId592" display="立案頁"/>
    <hyperlink ref="U594" r:id="rId593" display="立案頁"/>
    <hyperlink ref="U595" r:id="rId594" display="立案頁"/>
    <hyperlink ref="U596" r:id="rId595" display="立案頁"/>
    <hyperlink ref="U597" r:id="rId596" display="立案頁"/>
    <hyperlink ref="U598" r:id="rId597" display="立案頁"/>
    <hyperlink ref="U599" r:id="rId598" display="立案頁"/>
    <hyperlink ref="U600" r:id="rId599" display="立案頁"/>
    <hyperlink ref="U601" r:id="rId600" display="立案頁"/>
    <hyperlink ref="U602" r:id="rId601" display="立案頁"/>
    <hyperlink ref="U603" r:id="rId602" display="立案頁"/>
    <hyperlink ref="U604" r:id="rId603" display="立案頁"/>
    <hyperlink ref="U605" r:id="rId604" display="立案頁"/>
    <hyperlink ref="U606" r:id="rId605" display="立案頁"/>
    <hyperlink ref="U607" r:id="rId606" display="立案頁"/>
    <hyperlink ref="U608" r:id="rId607" display="立案頁"/>
    <hyperlink ref="U609" r:id="rId608" display="立案頁"/>
    <hyperlink ref="U610" r:id="rId609" display="立案頁"/>
    <hyperlink ref="U611" r:id="rId610" display="立案頁"/>
    <hyperlink ref="U612" r:id="rId611" display="立案頁"/>
    <hyperlink ref="U613" r:id="rId612" display="立案頁"/>
    <hyperlink ref="U614" r:id="rId613" display="立案頁"/>
    <hyperlink ref="U615" r:id="rId614" display="立案頁"/>
    <hyperlink ref="U616" r:id="rId615" display="立案頁"/>
    <hyperlink ref="U617" r:id="rId616" display="立案頁"/>
    <hyperlink ref="U618" r:id="rId617" display="立案頁"/>
    <hyperlink ref="U619" r:id="rId618" display="立案頁"/>
    <hyperlink ref="U620" r:id="rId619" display="立案頁"/>
    <hyperlink ref="U621" r:id="rId620" display="立案頁"/>
    <hyperlink ref="U622" r:id="rId621" display="立案頁"/>
    <hyperlink ref="U623" r:id="rId622" display="立案頁"/>
    <hyperlink ref="U624" r:id="rId623" display="立案頁"/>
    <hyperlink ref="U625" r:id="rId624" display="立案頁"/>
    <hyperlink ref="U626" r:id="rId625" display="立案頁"/>
    <hyperlink ref="U627" r:id="rId626" display="立案頁"/>
    <hyperlink ref="U628" r:id="rId627" display="立案頁"/>
    <hyperlink ref="U629" r:id="rId628" display="立案頁"/>
    <hyperlink ref="U630" r:id="rId629" display="立案頁"/>
    <hyperlink ref="U631" r:id="rId630" display="立案頁"/>
    <hyperlink ref="U632" r:id="rId631" display="立案頁"/>
    <hyperlink ref="U633" r:id="rId632" display="立案頁"/>
    <hyperlink ref="U634" r:id="rId633" display="立案頁"/>
    <hyperlink ref="U635" r:id="rId634" display="立案頁"/>
    <hyperlink ref="U636" r:id="rId635" display="立案頁"/>
    <hyperlink ref="U637" r:id="rId636" display="立案頁"/>
    <hyperlink ref="U638" r:id="rId637" display="立案頁"/>
    <hyperlink ref="U639" r:id="rId638" display="立案頁"/>
    <hyperlink ref="U640" r:id="rId639" display="立案頁"/>
    <hyperlink ref="U641" r:id="rId640" display="立案頁"/>
    <hyperlink ref="U642" r:id="rId641" display="立案頁"/>
    <hyperlink ref="U643" r:id="rId642" display="立案頁"/>
    <hyperlink ref="U644" r:id="rId643" display="立案頁"/>
    <hyperlink ref="U645" r:id="rId644" display="立案頁"/>
    <hyperlink ref="U646" r:id="rId645" display="立案頁"/>
    <hyperlink ref="U647" r:id="rId646" display="立案頁"/>
    <hyperlink ref="U648" r:id="rId647" display="立案頁"/>
    <hyperlink ref="U649" r:id="rId648" display="立案頁"/>
    <hyperlink ref="U650" r:id="rId649" display="立案頁"/>
    <hyperlink ref="U651" r:id="rId650" display="立案頁"/>
    <hyperlink ref="U652" r:id="rId651" display="立案頁"/>
    <hyperlink ref="U653" r:id="rId652" display="立案頁"/>
    <hyperlink ref="U654" r:id="rId653" display="立案頁"/>
    <hyperlink ref="U655" r:id="rId654" display="立案頁"/>
    <hyperlink ref="U656" r:id="rId655" display="立案頁"/>
    <hyperlink ref="U657" r:id="rId656" display="立案頁"/>
    <hyperlink ref="U658" r:id="rId657" display="立案頁"/>
    <hyperlink ref="U659" r:id="rId658" display="立案頁"/>
    <hyperlink ref="U660" r:id="rId659" display="立案頁"/>
    <hyperlink ref="U661" r:id="rId660" display="立案頁"/>
    <hyperlink ref="U662" r:id="rId661" display="立案頁"/>
    <hyperlink ref="U663" r:id="rId662" display="立案頁"/>
    <hyperlink ref="U664" r:id="rId663" display="立案頁"/>
    <hyperlink ref="U665" r:id="rId664" display="立案頁"/>
    <hyperlink ref="U666" r:id="rId665" display="立案頁"/>
    <hyperlink ref="U667" r:id="rId666" display="立案頁"/>
    <hyperlink ref="U668" r:id="rId667" display="立案頁"/>
    <hyperlink ref="U669" r:id="rId668" display="立案頁"/>
    <hyperlink ref="U670" r:id="rId669" display="立案頁"/>
    <hyperlink ref="U671" r:id="rId670" display="立案頁"/>
    <hyperlink ref="U672" r:id="rId671" display="立案頁"/>
    <hyperlink ref="U673" r:id="rId672" display="立案頁"/>
    <hyperlink ref="U674" r:id="rId673" display="立案頁"/>
    <hyperlink ref="U675" r:id="rId674" display="立案頁"/>
    <hyperlink ref="U676" r:id="rId675" display="立案頁"/>
    <hyperlink ref="U677" r:id="rId676" display="立案頁"/>
    <hyperlink ref="U678" r:id="rId677" display="立案頁"/>
    <hyperlink ref="U679" r:id="rId678" display="立案頁"/>
    <hyperlink ref="U680" r:id="rId679" display="立案頁"/>
    <hyperlink ref="U681" r:id="rId680" display="立案頁"/>
    <hyperlink ref="U682" r:id="rId681" display="立案頁"/>
    <hyperlink ref="U683" r:id="rId682" display="立案頁"/>
    <hyperlink ref="U684" r:id="rId683" display="立案頁"/>
    <hyperlink ref="U685" r:id="rId684" display="立案頁"/>
    <hyperlink ref="U686" r:id="rId685" display="立案頁"/>
    <hyperlink ref="U687" r:id="rId686" display="立案頁"/>
    <hyperlink ref="U688" r:id="rId687" display="立案頁"/>
    <hyperlink ref="U689" r:id="rId688" display="立案頁"/>
    <hyperlink ref="U690" r:id="rId689" display="立案頁"/>
    <hyperlink ref="U691" r:id="rId690" display="立案頁"/>
    <hyperlink ref="U692" r:id="rId691" display="立案頁"/>
    <hyperlink ref="U693" r:id="rId692" display="立案頁"/>
    <hyperlink ref="U694" r:id="rId693" display="立案頁"/>
    <hyperlink ref="U695" r:id="rId694" display="立案頁"/>
    <hyperlink ref="U696" r:id="rId695" display="立案頁"/>
    <hyperlink ref="U697" r:id="rId696" display="立案頁"/>
    <hyperlink ref="U698" r:id="rId697" display="立案頁"/>
    <hyperlink ref="U699" r:id="rId698" display="立案頁"/>
    <hyperlink ref="U700" r:id="rId699" display="立案頁"/>
    <hyperlink ref="U701" r:id="rId700" display="立案頁"/>
    <hyperlink ref="U702" r:id="rId701" display="立案頁"/>
    <hyperlink ref="U703" r:id="rId702" display="立案頁"/>
    <hyperlink ref="U704" r:id="rId703" display="立案頁"/>
    <hyperlink ref="U705" r:id="rId704" display="立案頁"/>
    <hyperlink ref="U706" r:id="rId705" display="立案頁"/>
    <hyperlink ref="U707" r:id="rId706" display="立案頁"/>
    <hyperlink ref="U708" r:id="rId707" display="立案頁"/>
    <hyperlink ref="U709" r:id="rId708" display="立案頁"/>
    <hyperlink ref="U710" r:id="rId709" display="立案頁"/>
    <hyperlink ref="U711" r:id="rId710" display="立案頁"/>
    <hyperlink ref="U712" r:id="rId711" display="立案頁"/>
    <hyperlink ref="U713" r:id="rId712" display="立案頁"/>
    <hyperlink ref="U714" r:id="rId713" display="立案頁"/>
    <hyperlink ref="U715" r:id="rId714" display="立案頁"/>
    <hyperlink ref="U716" r:id="rId715" display="立案頁"/>
    <hyperlink ref="U717" r:id="rId716" display="立案頁"/>
    <hyperlink ref="U718" r:id="rId717" display="立案頁"/>
    <hyperlink ref="U719" r:id="rId718" display="立案頁"/>
    <hyperlink ref="U720" r:id="rId719" display="立案頁"/>
    <hyperlink ref="U721" r:id="rId720" display="立案頁"/>
    <hyperlink ref="U722" r:id="rId721" display="立案頁"/>
    <hyperlink ref="U723" r:id="rId722" display="立案頁"/>
    <hyperlink ref="U724" r:id="rId723" display="立案頁"/>
    <hyperlink ref="U725" r:id="rId724" display="立案頁"/>
    <hyperlink ref="U726" r:id="rId725" display="立案頁"/>
    <hyperlink ref="U727" r:id="rId726" display="立案頁"/>
    <hyperlink ref="U728" r:id="rId727" display="立案頁"/>
    <hyperlink ref="U729" r:id="rId728" display="立案頁"/>
    <hyperlink ref="U730" r:id="rId729" display="立案頁"/>
    <hyperlink ref="U731" r:id="rId730" display="立案頁"/>
    <hyperlink ref="U732" r:id="rId731" display="立案頁"/>
    <hyperlink ref="U733" r:id="rId732" display="立案頁"/>
    <hyperlink ref="U734" r:id="rId733" display="立案頁"/>
    <hyperlink ref="U735" r:id="rId734" display="立案頁"/>
    <hyperlink ref="U736" r:id="rId735" display="立案頁"/>
    <hyperlink ref="U737" r:id="rId736" display="立案頁"/>
    <hyperlink ref="U738" r:id="rId737" display="立案頁"/>
    <hyperlink ref="U739" r:id="rId738" display="立案頁"/>
    <hyperlink ref="U740" r:id="rId739" display="立案頁"/>
    <hyperlink ref="U741" r:id="rId740" display="立案頁"/>
    <hyperlink ref="U742" r:id="rId741" display="立案頁"/>
    <hyperlink ref="U743" r:id="rId742" display="立案頁"/>
    <hyperlink ref="U744" r:id="rId743" display="立案頁"/>
    <hyperlink ref="U745" r:id="rId744" display="立案頁"/>
    <hyperlink ref="U746" r:id="rId745" display="立案頁"/>
    <hyperlink ref="U747" r:id="rId746" display="立案頁"/>
    <hyperlink ref="U748" r:id="rId747" display="立案頁"/>
    <hyperlink ref="U749" r:id="rId748" display="立案頁"/>
    <hyperlink ref="U750" r:id="rId749" display="立案頁"/>
    <hyperlink ref="U751" r:id="rId750" display="立案頁"/>
    <hyperlink ref="U752" r:id="rId751" display="立案頁"/>
    <hyperlink ref="U753" r:id="rId752" display="立案頁"/>
    <hyperlink ref="U754" r:id="rId753" display="立案頁"/>
    <hyperlink ref="U755" r:id="rId754" display="立案頁"/>
    <hyperlink ref="U756" r:id="rId755" display="立案頁"/>
    <hyperlink ref="U757" r:id="rId756" display="立案頁"/>
    <hyperlink ref="U758" r:id="rId757" display="立案頁"/>
    <hyperlink ref="U759" r:id="rId758" display="立案頁"/>
    <hyperlink ref="U760" r:id="rId759" display="立案頁"/>
    <hyperlink ref="U761" r:id="rId760" display="立案頁"/>
    <hyperlink ref="U762" r:id="rId761" display="立案頁"/>
    <hyperlink ref="U763" r:id="rId762" display="立案頁"/>
    <hyperlink ref="U764" r:id="rId763" display="立案頁"/>
    <hyperlink ref="U765" r:id="rId764" display="立案頁"/>
    <hyperlink ref="U766" r:id="rId765" display="立案頁"/>
    <hyperlink ref="U767" r:id="rId766" display="立案頁"/>
    <hyperlink ref="U768" r:id="rId767" display="立案頁"/>
    <hyperlink ref="U769" r:id="rId768" display="立案頁"/>
    <hyperlink ref="U770" r:id="rId769" display="立案頁"/>
    <hyperlink ref="U771" r:id="rId770" display="立案頁"/>
    <hyperlink ref="U772" r:id="rId771" display="立案頁"/>
    <hyperlink ref="U773" r:id="rId772" display="立案頁"/>
    <hyperlink ref="U774" r:id="rId773" display="立案頁"/>
    <hyperlink ref="U775" r:id="rId774" display="立案頁"/>
    <hyperlink ref="U776" r:id="rId775" display="立案頁"/>
    <hyperlink ref="U777" r:id="rId776" display="立案頁"/>
    <hyperlink ref="U778" r:id="rId777" display="立案頁"/>
    <hyperlink ref="U779" r:id="rId778" display="立案頁"/>
    <hyperlink ref="U780" r:id="rId779" display="立案頁"/>
    <hyperlink ref="U781" r:id="rId780" display="立案頁"/>
    <hyperlink ref="U782" r:id="rId781" display="立案頁"/>
    <hyperlink ref="U783" r:id="rId782" display="立案頁"/>
    <hyperlink ref="U784" r:id="rId783" display="立案頁"/>
    <hyperlink ref="U785" r:id="rId784" display="立案頁"/>
    <hyperlink ref="U786" r:id="rId785" display="立案頁"/>
    <hyperlink ref="U787" r:id="rId786" display="立案頁"/>
    <hyperlink ref="U788" r:id="rId787" display="立案頁"/>
    <hyperlink ref="U789" r:id="rId788" display="立案頁"/>
    <hyperlink ref="U790" r:id="rId789" display="立案頁"/>
    <hyperlink ref="U791" r:id="rId790" display="立案頁"/>
    <hyperlink ref="U792" r:id="rId791" display="立案頁"/>
    <hyperlink ref="U793" r:id="rId792" display="立案頁"/>
    <hyperlink ref="U794" r:id="rId793" display="立案頁"/>
    <hyperlink ref="U795" r:id="rId794" display="立案頁"/>
    <hyperlink ref="U796" r:id="rId795" display="立案頁"/>
    <hyperlink ref="U797" r:id="rId796" display="立案頁"/>
    <hyperlink ref="U798" r:id="rId797" display="立案頁"/>
    <hyperlink ref="U799" r:id="rId798" display="立案頁"/>
    <hyperlink ref="U800" r:id="rId799" display="立案頁"/>
    <hyperlink ref="U801" r:id="rId800" display="立案頁"/>
    <hyperlink ref="U802" r:id="rId801" display="立案頁"/>
    <hyperlink ref="U803" r:id="rId802" display="立案頁"/>
    <hyperlink ref="U804" r:id="rId803" display="立案頁"/>
    <hyperlink ref="U805" r:id="rId804" display="立案頁"/>
    <hyperlink ref="U806" r:id="rId805" display="立案頁"/>
    <hyperlink ref="U807" r:id="rId806" display="立案頁"/>
    <hyperlink ref="U808" r:id="rId807" display="立案頁"/>
    <hyperlink ref="U809" r:id="rId808" display="立案頁"/>
    <hyperlink ref="U810" r:id="rId809" display="立案頁"/>
    <hyperlink ref="U811" r:id="rId810" display="立案頁"/>
    <hyperlink ref="U812" r:id="rId811" display="立案頁"/>
    <hyperlink ref="U813" r:id="rId812" display="立案頁"/>
    <hyperlink ref="U814" r:id="rId813" display="立案頁"/>
    <hyperlink ref="U815" r:id="rId814" display="立案頁"/>
    <hyperlink ref="U816" r:id="rId815" display="立案頁"/>
    <hyperlink ref="U817" r:id="rId816" display="立案頁"/>
    <hyperlink ref="U818" r:id="rId817" display="立案頁"/>
    <hyperlink ref="U819" r:id="rId818" display="立案頁"/>
    <hyperlink ref="U820" r:id="rId819" display="立案頁"/>
    <hyperlink ref="U821" r:id="rId820" display="立案頁"/>
    <hyperlink ref="U822" r:id="rId821" display="立案頁"/>
    <hyperlink ref="U823" r:id="rId822" display="立案頁"/>
    <hyperlink ref="U824" r:id="rId823" display="立案頁"/>
    <hyperlink ref="U825" r:id="rId824" display="立案頁"/>
    <hyperlink ref="U826" r:id="rId825" display="立案頁"/>
    <hyperlink ref="U827" r:id="rId826" display="立案頁"/>
    <hyperlink ref="U828" r:id="rId827" display="立案頁"/>
    <hyperlink ref="U829" r:id="rId828" display="立案頁"/>
    <hyperlink ref="U830" r:id="rId829" display="立案頁"/>
    <hyperlink ref="U831" r:id="rId830" display="立案頁"/>
    <hyperlink ref="U832" r:id="rId831" display="立案頁"/>
    <hyperlink ref="U833" r:id="rId832" display="立案頁"/>
    <hyperlink ref="U834" r:id="rId833" display="立案頁"/>
    <hyperlink ref="U835" r:id="rId834" display="立案頁"/>
    <hyperlink ref="U836" r:id="rId835" display="立案頁"/>
    <hyperlink ref="U837" r:id="rId836" display="立案頁"/>
    <hyperlink ref="U838" r:id="rId837" display="立案頁"/>
    <hyperlink ref="U839" r:id="rId838" display="立案頁"/>
    <hyperlink ref="U840" r:id="rId839" display="立案頁"/>
    <hyperlink ref="U841" r:id="rId840" display="立案頁"/>
    <hyperlink ref="U842" r:id="rId841" display="立案頁"/>
    <hyperlink ref="U843" r:id="rId842" display="立案頁"/>
    <hyperlink ref="U844" r:id="rId843" display="立案頁"/>
    <hyperlink ref="U845" r:id="rId844" display="立案頁"/>
    <hyperlink ref="U846" r:id="rId845" display="立案頁"/>
    <hyperlink ref="U847" r:id="rId846" display="立案頁"/>
    <hyperlink ref="U848" r:id="rId847" display="立案頁"/>
    <hyperlink ref="U849" r:id="rId848" display="立案頁"/>
    <hyperlink ref="U850" r:id="rId849" display="立案頁"/>
    <hyperlink ref="U851" r:id="rId850" display="立案頁"/>
    <hyperlink ref="U852" r:id="rId851" display="立案頁"/>
    <hyperlink ref="U853" r:id="rId852" display="立案頁"/>
    <hyperlink ref="U854" r:id="rId853" display="立案頁"/>
    <hyperlink ref="U855" r:id="rId854" display="立案頁"/>
    <hyperlink ref="U856" r:id="rId855" display="立案頁"/>
    <hyperlink ref="U857" r:id="rId856" display="立案頁"/>
    <hyperlink ref="U858" r:id="rId857" display="立案頁"/>
    <hyperlink ref="U859" r:id="rId858" display="立案頁"/>
    <hyperlink ref="U860" r:id="rId859" display="立案頁"/>
    <hyperlink ref="U861" r:id="rId860" display="立案頁"/>
    <hyperlink ref="U862" r:id="rId861" display="立案頁"/>
    <hyperlink ref="U863" r:id="rId862" display="立案頁"/>
    <hyperlink ref="U864" r:id="rId863" display="立案頁"/>
    <hyperlink ref="U865" r:id="rId864" display="立案頁"/>
    <hyperlink ref="U866" r:id="rId865" display="立案頁"/>
    <hyperlink ref="U867" r:id="rId866" display="立案頁"/>
    <hyperlink ref="U868" r:id="rId867" display="立案頁"/>
    <hyperlink ref="U869" r:id="rId868" display="立案頁"/>
    <hyperlink ref="U870" r:id="rId869" display="立案頁"/>
    <hyperlink ref="U871" r:id="rId870" display="立案頁"/>
    <hyperlink ref="U872" r:id="rId871" display="立案頁"/>
    <hyperlink ref="U873" r:id="rId872" display="立案頁"/>
    <hyperlink ref="U874" r:id="rId873" display="立案頁"/>
    <hyperlink ref="U875" r:id="rId874" display="立案頁"/>
    <hyperlink ref="U876" r:id="rId875" display="立案頁"/>
    <hyperlink ref="U877" r:id="rId876" display="立案頁"/>
    <hyperlink ref="U878" r:id="rId877" display="立案頁"/>
    <hyperlink ref="U879" r:id="rId878" display="立案頁"/>
    <hyperlink ref="U880" r:id="rId879" display="立案頁"/>
    <hyperlink ref="U881" r:id="rId880" display="立案頁"/>
    <hyperlink ref="U882" r:id="rId881" display="立案頁"/>
    <hyperlink ref="U883" r:id="rId882" display="立案頁"/>
    <hyperlink ref="U884" r:id="rId883" display="立案頁"/>
    <hyperlink ref="U885" r:id="rId884" display="立案頁"/>
    <hyperlink ref="U886" r:id="rId885" display="立案頁"/>
    <hyperlink ref="U887" r:id="rId886" display="立案頁"/>
    <hyperlink ref="U888" r:id="rId887" display="立案頁"/>
    <hyperlink ref="U889" r:id="rId888" display="立案頁"/>
    <hyperlink ref="U890" r:id="rId889" display="立案頁"/>
    <hyperlink ref="U891" r:id="rId890" display="立案頁"/>
    <hyperlink ref="U892" r:id="rId891" display="立案頁"/>
    <hyperlink ref="U893" r:id="rId892" display="立案頁"/>
    <hyperlink ref="U894" r:id="rId893" display="立案頁"/>
    <hyperlink ref="U895" r:id="rId894" display="立案頁"/>
    <hyperlink ref="U896" r:id="rId895" display="立案頁"/>
    <hyperlink ref="U897" r:id="rId896" display="立案頁"/>
    <hyperlink ref="U898" r:id="rId897" display="立案頁"/>
    <hyperlink ref="U899" r:id="rId898" display="立案頁"/>
    <hyperlink ref="U900" r:id="rId899" display="立案頁"/>
    <hyperlink ref="U901" r:id="rId900" display="立案頁"/>
    <hyperlink ref="U902" r:id="rId901" display="立案頁"/>
    <hyperlink ref="U903" r:id="rId902" display="立案頁"/>
    <hyperlink ref="U904" r:id="rId903" display="立案頁"/>
    <hyperlink ref="U905" r:id="rId904" display="立案頁"/>
    <hyperlink ref="U906" r:id="rId905" display="立案頁"/>
    <hyperlink ref="U907" r:id="rId906" display="立案頁"/>
    <hyperlink ref="U908" r:id="rId907" display="立案頁"/>
    <hyperlink ref="U909" r:id="rId908" display="立案頁"/>
    <hyperlink ref="U910" r:id="rId909" display="立案頁"/>
    <hyperlink ref="U911" r:id="rId910" display="立案頁"/>
    <hyperlink ref="U912" r:id="rId911" display="立案頁"/>
    <hyperlink ref="U913" r:id="rId912" display="立案頁"/>
    <hyperlink ref="U914" r:id="rId913" display="立案頁"/>
    <hyperlink ref="U915" r:id="rId914" display="立案頁"/>
    <hyperlink ref="U916" r:id="rId915" display="立案頁"/>
    <hyperlink ref="U917" r:id="rId916" display="立案頁"/>
    <hyperlink ref="U918" r:id="rId917" display="立案頁"/>
    <hyperlink ref="U919" r:id="rId918" display="立案頁"/>
    <hyperlink ref="U920" r:id="rId919" display="立案頁"/>
    <hyperlink ref="U921" r:id="rId920" display="立案頁"/>
    <hyperlink ref="U922" r:id="rId921" display="立案頁"/>
    <hyperlink ref="U923" r:id="rId922" display="立案頁"/>
    <hyperlink ref="U924" r:id="rId923" display="立案頁"/>
    <hyperlink ref="U925" r:id="rId924" display="立案頁"/>
    <hyperlink ref="U926" r:id="rId925" display="立案頁"/>
    <hyperlink ref="U927" r:id="rId926" display="立案頁"/>
    <hyperlink ref="U928" r:id="rId927" display="立案頁"/>
    <hyperlink ref="U929" r:id="rId928" display="立案頁"/>
    <hyperlink ref="U930" r:id="rId929" display="立案頁"/>
    <hyperlink ref="U931" r:id="rId930" display="立案頁"/>
    <hyperlink ref="U932" r:id="rId931" display="立案頁"/>
    <hyperlink ref="U933" r:id="rId932" display="立案頁"/>
    <hyperlink ref="U934" r:id="rId933" display="立案頁"/>
    <hyperlink ref="U935" r:id="rId934" display="立案頁"/>
    <hyperlink ref="U936" r:id="rId935" display="立案頁"/>
    <hyperlink ref="U937" r:id="rId936" display="立案頁"/>
    <hyperlink ref="U938" r:id="rId937" display="立案頁"/>
    <hyperlink ref="U939" r:id="rId938" display="立案頁"/>
    <hyperlink ref="U940" r:id="rId939" display="立案頁"/>
    <hyperlink ref="U941" r:id="rId940" display="立案頁"/>
    <hyperlink ref="U942" r:id="rId941" display="立案頁"/>
    <hyperlink ref="U943" r:id="rId942" display="立案頁"/>
    <hyperlink ref="U944" r:id="rId943" display="立案頁"/>
    <hyperlink ref="U945" r:id="rId944" display="立案頁"/>
    <hyperlink ref="U946" r:id="rId945" display="立案頁"/>
    <hyperlink ref="U947" r:id="rId946" display="立案頁"/>
    <hyperlink ref="U948" r:id="rId947" display="立案頁"/>
    <hyperlink ref="U949" r:id="rId948" display="立案頁"/>
    <hyperlink ref="U950" r:id="rId949" display="立案頁"/>
    <hyperlink ref="U951" r:id="rId950" display="立案頁"/>
    <hyperlink ref="U952" r:id="rId951" display="立案頁"/>
    <hyperlink ref="U953" r:id="rId952" display="立案頁"/>
    <hyperlink ref="U954" r:id="rId953" display="立案頁"/>
    <hyperlink ref="U955" r:id="rId954" display="立案頁"/>
    <hyperlink ref="U956" r:id="rId955" display="立案頁"/>
    <hyperlink ref="U957" r:id="rId956" display="立案頁"/>
    <hyperlink ref="U958" r:id="rId957" display="立案頁"/>
    <hyperlink ref="U959" r:id="rId958" display="立案頁"/>
    <hyperlink ref="U960" r:id="rId959" display="立案頁"/>
    <hyperlink ref="U961" r:id="rId960" display="立案頁"/>
    <hyperlink ref="U962" r:id="rId961" display="立案頁"/>
    <hyperlink ref="U963" r:id="rId962" display="立案頁"/>
    <hyperlink ref="U964" r:id="rId963" display="立案頁"/>
    <hyperlink ref="U965" r:id="rId964" display="立案頁"/>
    <hyperlink ref="U966" r:id="rId965" display="立案頁"/>
    <hyperlink ref="U967" r:id="rId966" display="立案頁"/>
    <hyperlink ref="U968" r:id="rId967" display="立案頁"/>
    <hyperlink ref="U969" r:id="rId968" display="立案頁"/>
    <hyperlink ref="U970" r:id="rId969" display="立案頁"/>
    <hyperlink ref="U971" r:id="rId970" display="立案頁"/>
    <hyperlink ref="U972" r:id="rId971" display="立案頁"/>
    <hyperlink ref="U973" r:id="rId972" display="立案頁"/>
    <hyperlink ref="U974" r:id="rId973" display="立案頁"/>
    <hyperlink ref="U975" r:id="rId974" display="立案頁"/>
    <hyperlink ref="U976" r:id="rId975" display="立案頁"/>
    <hyperlink ref="U977" r:id="rId976" display="立案頁"/>
    <hyperlink ref="U978" r:id="rId977" display="立案頁"/>
    <hyperlink ref="U979" r:id="rId978" display="立案頁"/>
    <hyperlink ref="U980" r:id="rId979" display="立案頁"/>
    <hyperlink ref="U981" r:id="rId980" display="立案頁"/>
    <hyperlink ref="U982" r:id="rId981" display="立案頁"/>
    <hyperlink ref="U983" r:id="rId982" display="立案頁"/>
    <hyperlink ref="U984" r:id="rId983" display="立案頁"/>
    <hyperlink ref="U985" r:id="rId984" display="立案頁"/>
    <hyperlink ref="U986" r:id="rId985" display="立案頁"/>
    <hyperlink ref="U987" r:id="rId986" display="立案頁"/>
    <hyperlink ref="U988" r:id="rId987" display="立案頁"/>
    <hyperlink ref="U989" r:id="rId988" display="立案頁"/>
    <hyperlink ref="U990" r:id="rId989" display="立案頁"/>
    <hyperlink ref="U991" r:id="rId990" display="立案頁"/>
    <hyperlink ref="U992" r:id="rId991" display="立案頁"/>
    <hyperlink ref="U993" r:id="rId992" display="立案頁"/>
    <hyperlink ref="U994" r:id="rId993" display="立案頁"/>
    <hyperlink ref="U995" r:id="rId994" display="立案頁"/>
    <hyperlink ref="U996" r:id="rId995" display="立案頁"/>
    <hyperlink ref="U997" r:id="rId996" display="立案頁"/>
    <hyperlink ref="U998" r:id="rId997" display="立案頁"/>
    <hyperlink ref="U999" r:id="rId998" display="立案頁"/>
    <hyperlink ref="U1000" r:id="rId999" display="立案頁"/>
    <hyperlink ref="U1001" r:id="rId1000" display="立案頁"/>
    <hyperlink ref="U1002" r:id="rId1001" display="立案頁"/>
    <hyperlink ref="U1003" r:id="rId1002" display="立案頁"/>
    <hyperlink ref="U1004" r:id="rId1003" display="立案頁"/>
    <hyperlink ref="U1005" r:id="rId1004" display="立案頁"/>
    <hyperlink ref="U1006" r:id="rId1005" display="立案頁"/>
    <hyperlink ref="U1007" r:id="rId1006" display="立案頁"/>
    <hyperlink ref="U1008" r:id="rId1007" display="立案頁"/>
    <hyperlink ref="U1009" r:id="rId1008" display="立案頁"/>
    <hyperlink ref="U1010" r:id="rId1009" display="立案頁"/>
    <hyperlink ref="U1011" r:id="rId1010" display="立案頁"/>
    <hyperlink ref="U1012" r:id="rId1011" display="立案頁"/>
    <hyperlink ref="U1013" r:id="rId1012" display="立案頁"/>
    <hyperlink ref="U1014" r:id="rId1013" display="立案頁"/>
    <hyperlink ref="U1015" r:id="rId1014" display="立案頁"/>
    <hyperlink ref="U1016" r:id="rId1015" display="立案頁"/>
    <hyperlink ref="U1017" r:id="rId1016" display="立案頁"/>
    <hyperlink ref="U1018" r:id="rId1017" display="立案頁"/>
    <hyperlink ref="U1019" r:id="rId1018" display="立案頁"/>
    <hyperlink ref="U1020" r:id="rId1019" display="立案頁"/>
    <hyperlink ref="U1021" r:id="rId1020" display="立案頁"/>
    <hyperlink ref="U1022" r:id="rId1021" display="立案頁"/>
    <hyperlink ref="U1023" r:id="rId1022" display="立案頁"/>
    <hyperlink ref="U1024" r:id="rId1023" display="立案頁"/>
    <hyperlink ref="U1025" r:id="rId1024" display="立案頁"/>
    <hyperlink ref="U1026" r:id="rId1025" display="立案頁"/>
    <hyperlink ref="U1027" r:id="rId1026" display="立案頁"/>
    <hyperlink ref="U1028" r:id="rId1027" display="立案頁"/>
    <hyperlink ref="U1029" r:id="rId1028" display="立案頁"/>
    <hyperlink ref="U1030" r:id="rId1029" display="立案頁"/>
    <hyperlink ref="U1031" r:id="rId1030" display="立案頁"/>
    <hyperlink ref="U1032" r:id="rId1031" display="立案頁"/>
    <hyperlink ref="U1033" r:id="rId1032" display="立案頁"/>
    <hyperlink ref="U1034" r:id="rId1033" display="立案頁"/>
    <hyperlink ref="U1035" r:id="rId1034" display="立案頁"/>
    <hyperlink ref="U1036" r:id="rId1035" display="立案頁"/>
    <hyperlink ref="U1037" r:id="rId1036" display="立案頁"/>
    <hyperlink ref="U1038" r:id="rId1037" display="立案頁"/>
    <hyperlink ref="U1039" r:id="rId1038" display="立案頁"/>
    <hyperlink ref="U1040" r:id="rId1039" display="立案頁"/>
    <hyperlink ref="U1041" r:id="rId1040" display="立案頁"/>
    <hyperlink ref="U1042" r:id="rId1041" display="立案頁"/>
    <hyperlink ref="U1043" r:id="rId1042" display="立案頁"/>
    <hyperlink ref="U1044" r:id="rId1043" display="立案頁"/>
    <hyperlink ref="U1045" r:id="rId1044" display="立案頁"/>
    <hyperlink ref="U1046" r:id="rId1045" display="立案頁"/>
    <hyperlink ref="U1047" r:id="rId1046" display="立案頁"/>
    <hyperlink ref="U1048" r:id="rId1047" display="立案頁"/>
    <hyperlink ref="U1049" r:id="rId1048" display="立案頁"/>
    <hyperlink ref="U1050" r:id="rId1049" display="立案頁"/>
    <hyperlink ref="U1051" r:id="rId1050" display="立案頁"/>
    <hyperlink ref="U1052" r:id="rId1051" display="立案頁"/>
    <hyperlink ref="U1053" r:id="rId1052" display="立案頁"/>
    <hyperlink ref="U1054" r:id="rId1053" display="立案頁"/>
    <hyperlink ref="U1055" r:id="rId1054" display="立案頁"/>
    <hyperlink ref="U1056" r:id="rId1055" display="立案頁"/>
    <hyperlink ref="U1057" r:id="rId1056" display="立案頁"/>
    <hyperlink ref="U1058" r:id="rId1057" display="立案頁"/>
    <hyperlink ref="U1059" r:id="rId1058" display="立案頁"/>
    <hyperlink ref="U1060" r:id="rId1059" display="立案頁"/>
    <hyperlink ref="U1061" r:id="rId1060" display="立案頁"/>
    <hyperlink ref="U1062" r:id="rId1061" display="立案頁"/>
    <hyperlink ref="U1063" r:id="rId1062" display="立案頁"/>
    <hyperlink ref="U1064" r:id="rId1063" display="立案頁"/>
    <hyperlink ref="U1065" r:id="rId1064" display="立案頁"/>
    <hyperlink ref="U1066" r:id="rId1065" display="立案頁"/>
    <hyperlink ref="U1067" r:id="rId1066" display="立案頁"/>
    <hyperlink ref="U1068" r:id="rId1067" display="立案頁"/>
    <hyperlink ref="U1069" r:id="rId1068" display="立案頁"/>
    <hyperlink ref="U1070" r:id="rId1069" display="立案頁"/>
    <hyperlink ref="U1071" r:id="rId1070" display="立案頁"/>
    <hyperlink ref="U1072" r:id="rId1071" display="立案頁"/>
    <hyperlink ref="U1073" r:id="rId1072" display="立案頁"/>
    <hyperlink ref="U1074" r:id="rId1073" display="立案頁"/>
    <hyperlink ref="U1075" r:id="rId1074" display="立案頁"/>
    <hyperlink ref="U1076" r:id="rId1075" display="立案頁"/>
    <hyperlink ref="U1077" r:id="rId1076" display="立案頁"/>
    <hyperlink ref="U1078" r:id="rId1077" display="立案頁"/>
    <hyperlink ref="U1079" r:id="rId1078" display="立案頁"/>
    <hyperlink ref="U1080" r:id="rId1079" display="立案頁"/>
    <hyperlink ref="U1081" r:id="rId1080" display="立案頁"/>
    <hyperlink ref="U1082" r:id="rId1081" display="立案頁"/>
    <hyperlink ref="U1083" r:id="rId1082" display="立案頁"/>
    <hyperlink ref="U1084" r:id="rId1083" display="立案頁"/>
    <hyperlink ref="U1085" r:id="rId1084" display="立案頁"/>
    <hyperlink ref="U1086" r:id="rId1085" display="立案頁"/>
    <hyperlink ref="U1087" r:id="rId1086" display="立案頁"/>
    <hyperlink ref="U1088" r:id="rId1087" display="立案頁"/>
    <hyperlink ref="U1089" r:id="rId1088" display="立案頁"/>
    <hyperlink ref="U1090" r:id="rId1089" display="立案頁"/>
    <hyperlink ref="U1091" r:id="rId1090" display="立案頁"/>
    <hyperlink ref="U1092" r:id="rId1091" display="立案頁"/>
    <hyperlink ref="U1093" r:id="rId1092" display="立案頁"/>
    <hyperlink ref="U1094" r:id="rId1093" display="立案頁"/>
    <hyperlink ref="U1095" r:id="rId1094" display="立案頁"/>
    <hyperlink ref="U1096" r:id="rId1095" display="立案頁"/>
    <hyperlink ref="U1097" r:id="rId1096" display="立案頁"/>
    <hyperlink ref="U1098" r:id="rId1097" display="立案頁"/>
    <hyperlink ref="U1099" r:id="rId1098" display="立案頁"/>
    <hyperlink ref="U1100" r:id="rId1099" display="立案頁"/>
    <hyperlink ref="U1101" r:id="rId1100" display="立案頁"/>
    <hyperlink ref="U1102" r:id="rId1101" display="立案頁"/>
    <hyperlink ref="U1103" r:id="rId1102" display="立案頁"/>
    <hyperlink ref="U1104" r:id="rId1103" display="立案頁"/>
    <hyperlink ref="U1105" r:id="rId1104" display="立案頁"/>
    <hyperlink ref="U1106" r:id="rId1105" display="立案頁"/>
    <hyperlink ref="U1107" r:id="rId1106" display="立案頁"/>
    <hyperlink ref="U1108" r:id="rId1107" display="立案頁"/>
    <hyperlink ref="U1109" r:id="rId1108" display="立案頁"/>
    <hyperlink ref="U1110" r:id="rId1109" display="立案頁"/>
    <hyperlink ref="U1111" r:id="rId1110" display="立案頁"/>
    <hyperlink ref="U1112" r:id="rId1111" display="立案頁"/>
    <hyperlink ref="U1113" r:id="rId1112" display="立案頁"/>
    <hyperlink ref="U1114" r:id="rId1113" display="立案頁"/>
    <hyperlink ref="U1115" r:id="rId1114" display="立案頁"/>
    <hyperlink ref="U1116" r:id="rId1115" display="立案頁"/>
    <hyperlink ref="U1117" r:id="rId1116" display="立案頁"/>
    <hyperlink ref="U1118" r:id="rId1117" display="立案頁"/>
    <hyperlink ref="U1119" r:id="rId1118" display="立案頁"/>
    <hyperlink ref="U1120" r:id="rId1119" display="立案頁"/>
    <hyperlink ref="U1121" r:id="rId1120" display="立案頁"/>
    <hyperlink ref="U1122" r:id="rId1121" display="立案頁"/>
    <hyperlink ref="U1123" r:id="rId1122" display="立案頁"/>
    <hyperlink ref="U1124" r:id="rId1123" display="立案頁"/>
    <hyperlink ref="U1125" r:id="rId1124" display="立案頁"/>
    <hyperlink ref="U1126" r:id="rId1125" display="立案頁"/>
    <hyperlink ref="U1127" r:id="rId1126" display="立案頁"/>
    <hyperlink ref="U1128" r:id="rId1127" display="立案頁"/>
    <hyperlink ref="U1129" r:id="rId1128" display="立案頁"/>
    <hyperlink ref="U1130" r:id="rId1129" display="立案頁"/>
    <hyperlink ref="U1131" r:id="rId1130" display="立案頁"/>
    <hyperlink ref="U1132" r:id="rId1131" display="立案頁"/>
    <hyperlink ref="U1133" r:id="rId1132" display="立案頁"/>
    <hyperlink ref="U1134" r:id="rId1133" display="立案頁"/>
    <hyperlink ref="U1135" r:id="rId1134" display="立案頁"/>
    <hyperlink ref="U1136" r:id="rId1135" display="立案頁"/>
    <hyperlink ref="U1137" r:id="rId1136" display="立案頁"/>
    <hyperlink ref="U1138" r:id="rId1137" display="立案頁"/>
    <hyperlink ref="U1139" r:id="rId1138" display="立案頁"/>
    <hyperlink ref="U1140" r:id="rId1139" display="立案頁"/>
    <hyperlink ref="U1141" r:id="rId1140" display="立案頁"/>
    <hyperlink ref="U1142" r:id="rId1141" display="立案頁"/>
    <hyperlink ref="U1143" r:id="rId1142" display="立案頁"/>
    <hyperlink ref="U1144" r:id="rId1143" display="立案頁"/>
    <hyperlink ref="U1145" r:id="rId1144" display="立案頁"/>
    <hyperlink ref="U1146" r:id="rId1145" display="立案頁"/>
    <hyperlink ref="U1147" r:id="rId1146" display="立案頁"/>
    <hyperlink ref="U1148" r:id="rId1147" display="立案頁"/>
    <hyperlink ref="U1149" r:id="rId1148" display="立案頁"/>
    <hyperlink ref="U1150" r:id="rId1149" display="立案頁"/>
    <hyperlink ref="U1151" r:id="rId1150" display="立案頁"/>
    <hyperlink ref="U1152" r:id="rId1151" display="立案頁"/>
    <hyperlink ref="U1153" r:id="rId1152" display="立案頁"/>
    <hyperlink ref="U1154" r:id="rId1153" display="立案頁"/>
    <hyperlink ref="U1155" r:id="rId1154" display="立案頁"/>
    <hyperlink ref="U1156" r:id="rId1155" display="立案頁"/>
    <hyperlink ref="U1157" r:id="rId1156" display="立案頁"/>
    <hyperlink ref="U1158" r:id="rId1157" display="立案頁"/>
    <hyperlink ref="U1159" r:id="rId1158" display="立案頁"/>
    <hyperlink ref="U1160" r:id="rId1159" display="立案頁"/>
    <hyperlink ref="U1161" r:id="rId1160" display="立案頁"/>
    <hyperlink ref="U1162" r:id="rId1161" display="立案頁"/>
    <hyperlink ref="U1163" r:id="rId1162" display="立案頁"/>
    <hyperlink ref="U1164" r:id="rId1163" display="立案頁"/>
    <hyperlink ref="U1165" r:id="rId1164" display="立案頁"/>
    <hyperlink ref="U1166" r:id="rId1165" display="立案頁"/>
    <hyperlink ref="U1167" r:id="rId1166" display="立案頁"/>
    <hyperlink ref="U1168" r:id="rId1167" display="立案頁"/>
    <hyperlink ref="U1169" r:id="rId1168" display="立案頁"/>
    <hyperlink ref="U1170" r:id="rId1169" display="立案頁"/>
    <hyperlink ref="U1171" r:id="rId1170" display="立案頁"/>
    <hyperlink ref="U1172" r:id="rId1171" display="立案頁"/>
    <hyperlink ref="U1173" r:id="rId1172" display="立案頁"/>
    <hyperlink ref="U1174" r:id="rId1173" display="立案頁"/>
    <hyperlink ref="U1175" r:id="rId1174" display="立案頁"/>
    <hyperlink ref="U1176" r:id="rId1175" display="立案頁"/>
    <hyperlink ref="U1177" r:id="rId1176" display="立案頁"/>
    <hyperlink ref="U1178" r:id="rId1177" display="立案頁"/>
    <hyperlink ref="U1179" r:id="rId1178" display="立案頁"/>
    <hyperlink ref="U1180" r:id="rId1179" display="立案頁"/>
    <hyperlink ref="U1181" r:id="rId1180" display="立案頁"/>
    <hyperlink ref="U1182" r:id="rId1181" display="立案頁"/>
    <hyperlink ref="U1183" r:id="rId1182" display="立案頁"/>
    <hyperlink ref="U1184" r:id="rId1183" display="立案頁"/>
    <hyperlink ref="U1185" r:id="rId1184" display="立案頁"/>
    <hyperlink ref="U1186" r:id="rId1185" display="立案頁"/>
    <hyperlink ref="U1187" r:id="rId1186" display="立案頁"/>
    <hyperlink ref="U1188" r:id="rId1187" display="立案頁"/>
    <hyperlink ref="U1189" r:id="rId1188" display="立案頁"/>
    <hyperlink ref="U1190" r:id="rId1189" display="立案頁"/>
    <hyperlink ref="U1191" r:id="rId1190" display="立案頁"/>
    <hyperlink ref="U1192" r:id="rId1191" display="立案頁"/>
    <hyperlink ref="U1193" r:id="rId1192" display="立案頁"/>
    <hyperlink ref="U1194" r:id="rId1193" display="立案頁"/>
    <hyperlink ref="U1195" r:id="rId1194" display="立案頁"/>
    <hyperlink ref="U1196" r:id="rId1195" display="立案頁"/>
    <hyperlink ref="U1197" r:id="rId1196" display="立案頁"/>
    <hyperlink ref="U1198" r:id="rId1197" display="立案頁"/>
    <hyperlink ref="U1199" r:id="rId1198" display="立案頁"/>
    <hyperlink ref="U1200" r:id="rId1199" display="立案頁"/>
    <hyperlink ref="U1201" r:id="rId1200" display="立案頁"/>
    <hyperlink ref="U1202" r:id="rId1201" display="立案頁"/>
    <hyperlink ref="U1203" r:id="rId1202" display="立案頁"/>
    <hyperlink ref="U1204" r:id="rId1203" display="立案頁"/>
    <hyperlink ref="U1205" r:id="rId1204" display="立案頁"/>
    <hyperlink ref="U1206" r:id="rId1205" display="立案頁"/>
    <hyperlink ref="U1207" r:id="rId1206" display="立案頁"/>
    <hyperlink ref="U1208" r:id="rId1207" display="立案頁"/>
    <hyperlink ref="U1209" r:id="rId1208" display="立案頁"/>
    <hyperlink ref="U1210" r:id="rId1209" display="立案頁"/>
    <hyperlink ref="U1211" r:id="rId1210" display="立案頁"/>
    <hyperlink ref="U1212" r:id="rId1211" display="立案頁"/>
    <hyperlink ref="U1213" r:id="rId1212" display="立案頁"/>
    <hyperlink ref="U1214" r:id="rId1213" display="立案頁"/>
    <hyperlink ref="U1215" r:id="rId1214" display="立案頁"/>
    <hyperlink ref="U1216" r:id="rId1215" display="立案頁"/>
    <hyperlink ref="U1217" r:id="rId1216" display="立案頁"/>
    <hyperlink ref="U1218" r:id="rId1217" display="立案頁"/>
    <hyperlink ref="U1219" r:id="rId1218" display="立案頁"/>
    <hyperlink ref="U1220" r:id="rId1219" display="立案頁"/>
    <hyperlink ref="U1221" r:id="rId1220" display="立案頁"/>
    <hyperlink ref="U1222" r:id="rId1221" display="立案頁"/>
    <hyperlink ref="U1223" r:id="rId1222" display="立案頁"/>
    <hyperlink ref="U1224" r:id="rId1223" display="立案頁"/>
    <hyperlink ref="U1225" r:id="rId1224" display="立案頁"/>
    <hyperlink ref="U1226" r:id="rId1225" display="立案頁"/>
    <hyperlink ref="U1227" r:id="rId1226" display="立案頁"/>
    <hyperlink ref="U1228" r:id="rId1227" display="立案頁"/>
    <hyperlink ref="U1229" r:id="rId1228" display="立案頁"/>
    <hyperlink ref="U1230" r:id="rId1229" display="立案頁"/>
    <hyperlink ref="U1231" r:id="rId1230" display="立案頁"/>
    <hyperlink ref="U1232" r:id="rId1231" display="立案頁"/>
    <hyperlink ref="U1233" r:id="rId1232" display="立案頁"/>
    <hyperlink ref="U1234" r:id="rId1233" display="立案頁"/>
    <hyperlink ref="U1235" r:id="rId1234" display="立案頁"/>
    <hyperlink ref="U1236" r:id="rId1235" display="立案頁"/>
    <hyperlink ref="U1237" r:id="rId1236" display="立案頁"/>
    <hyperlink ref="U1238" r:id="rId1237" display="立案頁"/>
    <hyperlink ref="U1239" r:id="rId1238" display="立案頁"/>
    <hyperlink ref="U1240" r:id="rId1239" display="立案頁"/>
    <hyperlink ref="U1241" r:id="rId1240" display="立案頁"/>
    <hyperlink ref="U1242" r:id="rId1241" display="立案頁"/>
    <hyperlink ref="U1243" r:id="rId1242" display="立案頁"/>
    <hyperlink ref="U1244" r:id="rId1243" display="立案頁"/>
    <hyperlink ref="U1245" r:id="rId1244" display="立案頁"/>
    <hyperlink ref="U1246" r:id="rId1245" display="立案頁"/>
    <hyperlink ref="U1247" r:id="rId1246" display="立案頁"/>
    <hyperlink ref="U1248" r:id="rId1247" display="立案頁"/>
    <hyperlink ref="U1249" r:id="rId1248" display="立案頁"/>
    <hyperlink ref="U1250" r:id="rId1249" display="立案頁"/>
    <hyperlink ref="U1251" r:id="rId1250" display="立案頁"/>
    <hyperlink ref="U1252" r:id="rId1251" display="立案頁"/>
    <hyperlink ref="U1253" r:id="rId1252" display="立案頁"/>
    <hyperlink ref="U1254" r:id="rId1253" display="立案頁"/>
    <hyperlink ref="U1255" r:id="rId1254" display="立案頁"/>
    <hyperlink ref="U1256" r:id="rId1255" display="立案頁"/>
    <hyperlink ref="U1257" r:id="rId1256" display="立案頁"/>
    <hyperlink ref="U1258" r:id="rId1257" display="立案頁"/>
    <hyperlink ref="U1259" r:id="rId1258" display="立案頁"/>
    <hyperlink ref="U1260" r:id="rId1259" display="立案頁"/>
    <hyperlink ref="U1261" r:id="rId1260" display="立案頁"/>
    <hyperlink ref="U1262" r:id="rId1261" display="立案頁"/>
    <hyperlink ref="U1263" r:id="rId1262" display="立案頁"/>
    <hyperlink ref="U1264" r:id="rId1263" display="立案頁"/>
    <hyperlink ref="U1265" r:id="rId1264" display="立案頁"/>
    <hyperlink ref="U1266" r:id="rId1265" display="立案頁"/>
    <hyperlink ref="U1267" r:id="rId1266" display="立案頁"/>
    <hyperlink ref="U1268" r:id="rId1267" display="立案頁"/>
    <hyperlink ref="U1269" r:id="rId1268" display="立案頁"/>
    <hyperlink ref="U1270" r:id="rId1269" display="立案頁"/>
    <hyperlink ref="U1271" r:id="rId1270" display="立案頁"/>
    <hyperlink ref="U1272" r:id="rId1271" display="立案頁"/>
    <hyperlink ref="U1273" r:id="rId1272" display="立案頁"/>
    <hyperlink ref="U1274" r:id="rId1273" display="立案頁"/>
    <hyperlink ref="U1275" r:id="rId1274" display="立案頁"/>
    <hyperlink ref="U1276" r:id="rId1275" display="立案頁"/>
    <hyperlink ref="U1277" r:id="rId1276" display="立案頁"/>
    <hyperlink ref="U1278" r:id="rId1277" display="立案頁"/>
    <hyperlink ref="U1279" r:id="rId1278" display="立案頁"/>
    <hyperlink ref="U1280" r:id="rId1279" display="立案頁"/>
    <hyperlink ref="U1281" r:id="rId1280" display="立案頁"/>
    <hyperlink ref="U1282" r:id="rId1281" display="立案頁"/>
    <hyperlink ref="U1283" r:id="rId1282" display="立案頁"/>
    <hyperlink ref="U1284" r:id="rId1283" display="立案頁"/>
    <hyperlink ref="U1285" r:id="rId1284" display="立案頁"/>
    <hyperlink ref="U1286" r:id="rId1285" display="立案頁"/>
    <hyperlink ref="U1287" r:id="rId1286" display="立案頁"/>
    <hyperlink ref="U1288" r:id="rId1287" display="立案頁"/>
    <hyperlink ref="U1289" r:id="rId1288" display="立案頁"/>
    <hyperlink ref="U1290" r:id="rId1289" display="立案頁"/>
    <hyperlink ref="U1291" r:id="rId1290" display="立案頁"/>
    <hyperlink ref="U1292" r:id="rId1291" display="立案頁"/>
    <hyperlink ref="U1293" r:id="rId1292" display="立案頁"/>
    <hyperlink ref="U1294" r:id="rId1293" display="立案頁"/>
    <hyperlink ref="U1295" r:id="rId1294" display="立案頁"/>
    <hyperlink ref="U1296" r:id="rId1295" display="立案頁"/>
    <hyperlink ref="U1297" r:id="rId1296" display="立案頁"/>
    <hyperlink ref="U1298" r:id="rId1297" display="立案頁"/>
    <hyperlink ref="U1299" r:id="rId1298" display="立案頁"/>
    <hyperlink ref="U1300" r:id="rId1299" display="立案頁"/>
    <hyperlink ref="U1301" r:id="rId1300" display="立案頁"/>
    <hyperlink ref="U1302" r:id="rId1301" display="立案頁"/>
    <hyperlink ref="U1303" r:id="rId1302" display="立案頁"/>
    <hyperlink ref="U1304" r:id="rId1303" display="立案頁"/>
    <hyperlink ref="U1305" r:id="rId1304" display="立案頁"/>
    <hyperlink ref="U1306" r:id="rId1305" display="立案頁"/>
    <hyperlink ref="U1307" r:id="rId1306" display="立案頁"/>
    <hyperlink ref="U1308" r:id="rId1307" display="立案頁"/>
    <hyperlink ref="U1309" r:id="rId1308" display="立案頁"/>
    <hyperlink ref="U1310" r:id="rId1309" display="立案頁"/>
    <hyperlink ref="U1311" r:id="rId1310" display="立案頁"/>
    <hyperlink ref="U1312" r:id="rId1311" display="立案頁"/>
    <hyperlink ref="U1313" r:id="rId1312" display="立案頁"/>
    <hyperlink ref="U1314" r:id="rId1313" display="立案頁"/>
    <hyperlink ref="U1315" r:id="rId1314" display="立案頁"/>
    <hyperlink ref="U1316" r:id="rId1315" display="立案頁"/>
    <hyperlink ref="U1317" r:id="rId1316" display="立案頁"/>
    <hyperlink ref="U1318" r:id="rId1317" display="立案頁"/>
    <hyperlink ref="U1319" r:id="rId1318" display="立案頁"/>
    <hyperlink ref="U1320" r:id="rId1319" display="立案頁"/>
    <hyperlink ref="U1321" r:id="rId1320" display="立案頁"/>
    <hyperlink ref="U1322" r:id="rId1321" display="立案頁"/>
    <hyperlink ref="U1323" r:id="rId1322" display="立案頁"/>
    <hyperlink ref="U1324" r:id="rId1323" display="立案頁"/>
    <hyperlink ref="U1325" r:id="rId1324" display="立案頁"/>
    <hyperlink ref="U1326" r:id="rId1325" display="立案頁"/>
    <hyperlink ref="U1327" r:id="rId1326" display="立案頁"/>
    <hyperlink ref="U1328" r:id="rId1327" display="立案頁"/>
    <hyperlink ref="U1329" r:id="rId1328" display="立案頁"/>
    <hyperlink ref="U1330" r:id="rId1329" display="立案頁"/>
    <hyperlink ref="U1331" r:id="rId1330" display="立案頁"/>
    <hyperlink ref="U1332" r:id="rId1331" display="立案頁"/>
    <hyperlink ref="U1333" r:id="rId1332" display="立案頁"/>
    <hyperlink ref="U1334" r:id="rId1333" display="立案頁"/>
    <hyperlink ref="U1335" r:id="rId1334" display="立案頁"/>
    <hyperlink ref="U1336" r:id="rId1335" display="立案頁"/>
    <hyperlink ref="U1337" r:id="rId1336" display="立案頁"/>
    <hyperlink ref="U1338" r:id="rId1337" display="立案頁"/>
    <hyperlink ref="U1339" r:id="rId1338" display="立案頁"/>
    <hyperlink ref="U1340" r:id="rId1339" display="立案頁"/>
    <hyperlink ref="U1341" r:id="rId1340" display="立案頁"/>
    <hyperlink ref="U1342" r:id="rId1341" display="立案頁"/>
    <hyperlink ref="U1343" r:id="rId1342" display="立案頁"/>
    <hyperlink ref="U1344" r:id="rId1343" display="立案頁"/>
    <hyperlink ref="U1345" r:id="rId1344" display="立案頁"/>
    <hyperlink ref="U1346" r:id="rId1345" display="立案頁"/>
    <hyperlink ref="U1347" r:id="rId1346" display="立案頁"/>
    <hyperlink ref="U1348" r:id="rId1347" display="立案頁"/>
    <hyperlink ref="U1349" r:id="rId1348" display="立案頁"/>
    <hyperlink ref="U1350" r:id="rId1349" display="立案頁"/>
    <hyperlink ref="U1351" r:id="rId1350" display="立案頁"/>
    <hyperlink ref="U1352" r:id="rId1351" display="立案頁"/>
    <hyperlink ref="U1353" r:id="rId1352" display="立案頁"/>
    <hyperlink ref="U1354" r:id="rId1353" display="立案頁"/>
    <hyperlink ref="U1355" r:id="rId1354" display="立案頁"/>
    <hyperlink ref="U1356" r:id="rId1355" display="立案頁"/>
    <hyperlink ref="U1357" r:id="rId1356" display="立案頁"/>
    <hyperlink ref="U1358" r:id="rId1357" display="立案頁"/>
    <hyperlink ref="U1359" r:id="rId1358" display="立案頁"/>
    <hyperlink ref="U1360" r:id="rId1359" display="立案頁"/>
    <hyperlink ref="U1361" r:id="rId1360" display="立案頁"/>
    <hyperlink ref="U1362" r:id="rId1361" display="立案頁"/>
    <hyperlink ref="U1363" r:id="rId1362" display="立案頁"/>
    <hyperlink ref="U1364" r:id="rId1363" display="立案頁"/>
    <hyperlink ref="U1365" r:id="rId1364" display="立案頁"/>
    <hyperlink ref="U1366" r:id="rId1365" display="立案頁"/>
    <hyperlink ref="U1367" r:id="rId1366" display="立案頁"/>
    <hyperlink ref="U1368" r:id="rId1367" display="立案頁"/>
    <hyperlink ref="U1369" r:id="rId1368" display="立案頁"/>
    <hyperlink ref="U1370" r:id="rId1369" display="立案頁"/>
    <hyperlink ref="U1371" r:id="rId1370" display="立案頁"/>
    <hyperlink ref="U1372" r:id="rId1371" display="立案頁"/>
    <hyperlink ref="U1373" r:id="rId1372" display="立案頁"/>
    <hyperlink ref="U1374" r:id="rId1373" display="立案頁"/>
    <hyperlink ref="U1375" r:id="rId1374" display="立案頁"/>
    <hyperlink ref="U1376" r:id="rId1375" display="立案頁"/>
    <hyperlink ref="U1377" r:id="rId1376" display="立案頁"/>
    <hyperlink ref="U1378" r:id="rId1377" display="立案頁"/>
    <hyperlink ref="U1379" r:id="rId1378" display="立案頁"/>
    <hyperlink ref="U1380" r:id="rId1379" display="立案頁"/>
    <hyperlink ref="U1381" r:id="rId1380" display="立案頁"/>
    <hyperlink ref="U1382" r:id="rId1381" display="立案頁"/>
    <hyperlink ref="U1383" r:id="rId1382" display="立案頁"/>
    <hyperlink ref="U1384" r:id="rId1383" display="立案頁"/>
    <hyperlink ref="U1385" r:id="rId1384" display="立案頁"/>
    <hyperlink ref="U1386" r:id="rId1385" display="立案頁"/>
    <hyperlink ref="U1387" r:id="rId1386" display="立案頁"/>
    <hyperlink ref="U1388" r:id="rId1387" display="立案頁"/>
    <hyperlink ref="U1389" r:id="rId1388" display="立案頁"/>
    <hyperlink ref="U1390" r:id="rId1389" display="立案頁"/>
    <hyperlink ref="U1391" r:id="rId1390" display="立案頁"/>
    <hyperlink ref="U1392" r:id="rId1391" display="立案頁"/>
    <hyperlink ref="U1393" r:id="rId1392" display="立案頁"/>
    <hyperlink ref="U1394" r:id="rId1393" display="立案頁"/>
    <hyperlink ref="U1395" r:id="rId1394" display="立案頁"/>
    <hyperlink ref="U1396" r:id="rId1395" display="立案頁"/>
    <hyperlink ref="U1397" r:id="rId1396" display="立案頁"/>
    <hyperlink ref="U1398" r:id="rId1397" display="立案頁"/>
    <hyperlink ref="U1399" r:id="rId1398" display="立案頁"/>
    <hyperlink ref="U1400" r:id="rId1399" display="立案頁"/>
    <hyperlink ref="U1401" r:id="rId1400" display="立案頁"/>
    <hyperlink ref="U1402" r:id="rId1401" display="立案頁"/>
    <hyperlink ref="U1403" r:id="rId1402" display="立案頁"/>
    <hyperlink ref="U1404" r:id="rId1403" display="立案頁"/>
    <hyperlink ref="U1405" r:id="rId1404" display="立案頁"/>
    <hyperlink ref="U1406" r:id="rId1405" display="立案頁"/>
    <hyperlink ref="U1407" r:id="rId1406" display="立案頁"/>
    <hyperlink ref="U1408" r:id="rId1407" display="立案頁"/>
    <hyperlink ref="U1409" r:id="rId1408" display="立案頁"/>
    <hyperlink ref="U1410" r:id="rId1409" display="立案頁"/>
    <hyperlink ref="U1411" r:id="rId1410" display="立案頁"/>
    <hyperlink ref="U1412" r:id="rId1411" display="立案頁"/>
    <hyperlink ref="U1413" r:id="rId1412" display="立案頁"/>
    <hyperlink ref="U1414" r:id="rId1413" display="立案頁"/>
    <hyperlink ref="U1415" r:id="rId1414" display="立案頁"/>
    <hyperlink ref="U1416" r:id="rId1415" display="立案頁"/>
    <hyperlink ref="U1417" r:id="rId1416" display="立案頁"/>
    <hyperlink ref="U1418" r:id="rId1417" display="立案頁"/>
    <hyperlink ref="U1419" r:id="rId1418" display="立案頁"/>
    <hyperlink ref="U1420" r:id="rId1419" display="立案頁"/>
    <hyperlink ref="U1421" r:id="rId1420" display="立案頁"/>
    <hyperlink ref="U1422" r:id="rId1421" display="立案頁"/>
    <hyperlink ref="U1423" r:id="rId1422" display="立案頁"/>
    <hyperlink ref="U1424" r:id="rId1423" display="立案頁"/>
    <hyperlink ref="U1425" r:id="rId1424" display="立案頁"/>
    <hyperlink ref="U1426" r:id="rId1425" display="立案頁"/>
    <hyperlink ref="U1427" r:id="rId1426" display="立案頁"/>
    <hyperlink ref="U1428" r:id="rId1427" display="立案頁"/>
    <hyperlink ref="U1429" r:id="rId1428" display="立案頁"/>
    <hyperlink ref="U1430" r:id="rId1429" display="立案頁"/>
    <hyperlink ref="U1431" r:id="rId1430" display="立案頁"/>
    <hyperlink ref="U1432" r:id="rId1431" display="立案頁"/>
    <hyperlink ref="U1433" r:id="rId1432" display="立案頁"/>
    <hyperlink ref="U1434" r:id="rId1433" display="立案頁"/>
    <hyperlink ref="U1435" r:id="rId1434" display="立案頁"/>
    <hyperlink ref="U1436" r:id="rId1435" display="立案頁"/>
    <hyperlink ref="U1437" r:id="rId1436" display="立案頁"/>
    <hyperlink ref="U1438" r:id="rId1437" display="立案頁"/>
    <hyperlink ref="U1439" r:id="rId1438" display="立案頁"/>
    <hyperlink ref="U1440" r:id="rId1439" display="立案頁"/>
    <hyperlink ref="U1441" r:id="rId1440" display="立案頁"/>
    <hyperlink ref="U1442" r:id="rId1441" display="立案頁"/>
    <hyperlink ref="U1443" r:id="rId1442" display="立案頁"/>
    <hyperlink ref="U1444" r:id="rId1443" display="立案頁"/>
    <hyperlink ref="U1445" r:id="rId1444" display="立案頁"/>
    <hyperlink ref="U1446" r:id="rId1445" display="立案頁"/>
    <hyperlink ref="U1447" r:id="rId1446" display="立案頁"/>
    <hyperlink ref="U1448" r:id="rId1447" display="立案頁"/>
    <hyperlink ref="U1449" r:id="rId1448" display="立案頁"/>
    <hyperlink ref="U1450" r:id="rId1449" display="立案頁"/>
    <hyperlink ref="U1451" r:id="rId1450" display="立案頁"/>
    <hyperlink ref="U1452" r:id="rId1451" display="立案頁"/>
    <hyperlink ref="U1453" r:id="rId1452" display="立案頁"/>
    <hyperlink ref="U1454" r:id="rId1453" display="立案頁"/>
    <hyperlink ref="U1455" r:id="rId1454" display="立案頁"/>
    <hyperlink ref="U1456" r:id="rId1455" display="立案頁"/>
    <hyperlink ref="U1457" r:id="rId1456" display="立案頁"/>
    <hyperlink ref="U1458" r:id="rId1457" display="立案頁"/>
    <hyperlink ref="U1459" r:id="rId1458" display="立案頁"/>
    <hyperlink ref="U1460" r:id="rId1459" display="立案頁"/>
    <hyperlink ref="U1461" r:id="rId1460" display="立案頁"/>
    <hyperlink ref="U1462" r:id="rId1461" display="立案頁"/>
    <hyperlink ref="U1463" r:id="rId1462" display="立案頁"/>
    <hyperlink ref="U1464" r:id="rId1463" display="立案頁"/>
    <hyperlink ref="U1465" r:id="rId1464" display="立案頁"/>
    <hyperlink ref="U1466" r:id="rId1465" display="立案頁"/>
    <hyperlink ref="U1467" r:id="rId1466" display="立案頁"/>
    <hyperlink ref="U1468" r:id="rId1467" display="立案頁"/>
    <hyperlink ref="U1469" r:id="rId1468" display="立案頁"/>
    <hyperlink ref="U1470" r:id="rId1469" display="立案頁"/>
    <hyperlink ref="U1471" r:id="rId1470" display="立案頁"/>
    <hyperlink ref="U1472" r:id="rId1471" display="立案頁"/>
    <hyperlink ref="U1473" r:id="rId1472" display="立案頁"/>
    <hyperlink ref="U1474" r:id="rId1473" display="立案頁"/>
    <hyperlink ref="U1475" r:id="rId1474" display="立案頁"/>
    <hyperlink ref="U1476" r:id="rId1475" display="立案頁"/>
    <hyperlink ref="U1477" r:id="rId1476" display="立案頁"/>
    <hyperlink ref="U1478" r:id="rId1477" display="立案頁"/>
    <hyperlink ref="U1479" r:id="rId1478" display="立案頁"/>
    <hyperlink ref="U1480" r:id="rId1479" display="立案頁"/>
    <hyperlink ref="U1481" r:id="rId1480" display="立案頁"/>
    <hyperlink ref="U1482" r:id="rId1481" display="立案頁"/>
    <hyperlink ref="U1483" r:id="rId1482" display="立案頁"/>
    <hyperlink ref="U1484" r:id="rId1483" display="立案頁"/>
    <hyperlink ref="U1485" r:id="rId1484" display="立案頁"/>
    <hyperlink ref="U1486" r:id="rId1485" display="立案頁"/>
    <hyperlink ref="U1487" r:id="rId1486" display="立案頁"/>
    <hyperlink ref="U1488" r:id="rId1487" display="立案頁"/>
    <hyperlink ref="U1489" r:id="rId1488" display="立案頁"/>
    <hyperlink ref="U1490" r:id="rId1489" display="立案頁"/>
    <hyperlink ref="U1491" r:id="rId1490" display="立案頁"/>
    <hyperlink ref="U1492" r:id="rId1491" display="立案頁"/>
    <hyperlink ref="U1493" r:id="rId1492" display="立案頁"/>
    <hyperlink ref="U1494" r:id="rId1493" display="立案頁"/>
    <hyperlink ref="U1495" r:id="rId1494" display="立案頁"/>
    <hyperlink ref="U1496" r:id="rId1495" display="立案頁"/>
    <hyperlink ref="U1497" r:id="rId1496" display="立案頁"/>
    <hyperlink ref="U1498" r:id="rId1497" display="立案頁"/>
    <hyperlink ref="U1499" r:id="rId1498" display="立案頁"/>
    <hyperlink ref="U1500" r:id="rId1499" display="立案頁"/>
    <hyperlink ref="U1501" r:id="rId1500" display="立案頁"/>
    <hyperlink ref="U1502" r:id="rId1501" display="立案頁"/>
    <hyperlink ref="U1503" r:id="rId1502" display="立案頁"/>
    <hyperlink ref="U1504" r:id="rId1503" display="立案頁"/>
    <hyperlink ref="U1505" r:id="rId1504" display="立案頁"/>
    <hyperlink ref="U1506" r:id="rId1505" display="立案頁"/>
    <hyperlink ref="U1507" r:id="rId1506" display="立案頁"/>
    <hyperlink ref="U1508" r:id="rId1507" display="立案頁"/>
    <hyperlink ref="U1509" r:id="rId1508" display="立案頁"/>
    <hyperlink ref="U1510" r:id="rId1509" display="立案頁"/>
    <hyperlink ref="U1511" r:id="rId1510" display="立案頁"/>
    <hyperlink ref="U1512" r:id="rId1511" display="立案頁"/>
    <hyperlink ref="U1513" r:id="rId1512" display="立案頁"/>
    <hyperlink ref="U1514" r:id="rId1513" display="立案頁"/>
    <hyperlink ref="U1515" r:id="rId1514" display="立案頁"/>
    <hyperlink ref="U1516" r:id="rId1515" display="立案頁"/>
    <hyperlink ref="U1517" r:id="rId1516" display="立案頁"/>
    <hyperlink ref="U1518" r:id="rId1517" display="立案頁"/>
    <hyperlink ref="U1519" r:id="rId1518" display="立案頁"/>
    <hyperlink ref="U1520" r:id="rId1519" display="立案頁"/>
    <hyperlink ref="U1521" r:id="rId1520" display="立案頁"/>
    <hyperlink ref="U1522" r:id="rId1521" display="立案頁"/>
    <hyperlink ref="U1523" r:id="rId1522" display="立案頁"/>
    <hyperlink ref="U1524" r:id="rId1523" display="立案頁"/>
    <hyperlink ref="U1525" r:id="rId1524" display="立案頁"/>
    <hyperlink ref="U1526" r:id="rId1525" display="立案頁"/>
    <hyperlink ref="U1527" r:id="rId1526" display="立案頁"/>
    <hyperlink ref="U1528" r:id="rId1527" display="立案頁"/>
    <hyperlink ref="U1529" r:id="rId1528" display="立案頁"/>
    <hyperlink ref="U1530" r:id="rId1529" display="立案頁"/>
    <hyperlink ref="U1531" r:id="rId1530" display="立案頁"/>
    <hyperlink ref="U1532" r:id="rId1531" display="立案頁"/>
    <hyperlink ref="U1533" r:id="rId1532" display="立案頁"/>
    <hyperlink ref="U1534" r:id="rId1533" display="立案頁"/>
    <hyperlink ref="U1535" r:id="rId1534" display="立案頁"/>
    <hyperlink ref="U1536" r:id="rId1535" display="立案頁"/>
    <hyperlink ref="U1537" r:id="rId1536" display="立案頁"/>
    <hyperlink ref="U1538" r:id="rId1537" display="立案頁"/>
    <hyperlink ref="U1539" r:id="rId1538" display="立案頁"/>
    <hyperlink ref="U1540" r:id="rId1539" display="立案頁"/>
    <hyperlink ref="U1541" r:id="rId1540" display="立案頁"/>
    <hyperlink ref="U1542" r:id="rId1541" display="立案頁"/>
    <hyperlink ref="U1543" r:id="rId1542" display="立案頁"/>
    <hyperlink ref="U1544" r:id="rId1543" display="立案頁"/>
    <hyperlink ref="U1545" r:id="rId1544" display="立案頁"/>
    <hyperlink ref="U1546" r:id="rId1545" display="立案頁"/>
    <hyperlink ref="U1547" r:id="rId1546" display="立案頁"/>
    <hyperlink ref="U1548" r:id="rId1547" display="立案頁"/>
    <hyperlink ref="U1549" r:id="rId1548" display="立案頁"/>
    <hyperlink ref="U1550" r:id="rId1549" display="立案頁"/>
    <hyperlink ref="U1551" r:id="rId1550" display="立案頁"/>
    <hyperlink ref="U1552" r:id="rId1551" display="立案頁"/>
    <hyperlink ref="U1553" r:id="rId1552" display="立案頁"/>
    <hyperlink ref="U1554" r:id="rId1553" display="立案頁"/>
    <hyperlink ref="U1555" r:id="rId1554" display="立案頁"/>
    <hyperlink ref="U1556" r:id="rId1555" display="立案頁"/>
    <hyperlink ref="U1557" r:id="rId1556" display="立案頁"/>
    <hyperlink ref="U1558" r:id="rId1557" display="立案頁"/>
    <hyperlink ref="U1559" r:id="rId1558" display="立案頁"/>
    <hyperlink ref="U1560" r:id="rId1559" display="立案頁"/>
    <hyperlink ref="U1561" r:id="rId1560" display="立案頁"/>
    <hyperlink ref="U1562" r:id="rId1561" display="立案頁"/>
    <hyperlink ref="U1563" r:id="rId1562" display="立案頁"/>
    <hyperlink ref="U1564" r:id="rId1563" display="立案頁"/>
    <hyperlink ref="U1565" r:id="rId1564" display="立案頁"/>
    <hyperlink ref="U1566" r:id="rId1565" display="立案頁"/>
    <hyperlink ref="U1567" r:id="rId1566" display="立案頁"/>
    <hyperlink ref="U1568" r:id="rId1567" display="立案頁"/>
    <hyperlink ref="U1569" r:id="rId1568" display="立案頁"/>
    <hyperlink ref="U1570" r:id="rId1569" display="立案頁"/>
    <hyperlink ref="U1571" r:id="rId1570" display="立案頁"/>
    <hyperlink ref="U1572" r:id="rId1571" display="立案頁"/>
    <hyperlink ref="U1573" r:id="rId1572" display="立案頁"/>
    <hyperlink ref="U1574" r:id="rId1573" display="立案頁"/>
    <hyperlink ref="U1575" r:id="rId1574" display="立案頁"/>
    <hyperlink ref="U1576" r:id="rId1575" display="立案頁"/>
    <hyperlink ref="U1577" r:id="rId1576" display="立案頁"/>
    <hyperlink ref="U1578" r:id="rId1577" display="立案頁"/>
    <hyperlink ref="U1579" r:id="rId1578" display="立案頁"/>
    <hyperlink ref="U1580" r:id="rId1579" display="立案頁"/>
    <hyperlink ref="U1581" r:id="rId1580" display="立案頁"/>
    <hyperlink ref="U1582" r:id="rId1581" display="立案頁"/>
    <hyperlink ref="U1583" r:id="rId1582" display="立案頁"/>
    <hyperlink ref="U1584" r:id="rId1583" display="立案頁"/>
    <hyperlink ref="U1585" r:id="rId1584" display="立案頁"/>
    <hyperlink ref="U1586" r:id="rId1585" display="立案頁"/>
    <hyperlink ref="U1587" r:id="rId1586" display="立案頁"/>
    <hyperlink ref="U1588" r:id="rId1587" display="立案頁"/>
    <hyperlink ref="U1589" r:id="rId1588" display="立案頁"/>
    <hyperlink ref="U1590" r:id="rId1589" display="立案頁"/>
    <hyperlink ref="U1591" r:id="rId1590" display="立案頁"/>
    <hyperlink ref="U1592" r:id="rId1591" display="立案頁"/>
    <hyperlink ref="U1593" r:id="rId1592" display="立案頁"/>
    <hyperlink ref="U1594" r:id="rId1593" display="立案頁"/>
    <hyperlink ref="U1595" r:id="rId1594" display="立案頁"/>
    <hyperlink ref="U1596" r:id="rId1595" display="立案頁"/>
    <hyperlink ref="U1597" r:id="rId1596" display="立案頁"/>
    <hyperlink ref="U1598" r:id="rId1597" display="立案頁"/>
    <hyperlink ref="U1599" r:id="rId1598" display="立案頁"/>
    <hyperlink ref="U1600" r:id="rId1599" display="立案頁"/>
    <hyperlink ref="U1601" r:id="rId1600" display="立案頁"/>
    <hyperlink ref="U1602" r:id="rId1601" display="立案頁"/>
    <hyperlink ref="U1603" r:id="rId1602" display="立案頁"/>
    <hyperlink ref="U1604" r:id="rId1603" display="立案頁"/>
    <hyperlink ref="U1605" r:id="rId1604" display="立案頁"/>
    <hyperlink ref="U1606" r:id="rId1605" display="立案頁"/>
    <hyperlink ref="U1607" r:id="rId1606" display="立案頁"/>
    <hyperlink ref="U1608" r:id="rId1607" display="立案頁"/>
    <hyperlink ref="U1609" r:id="rId1608" display="立案頁"/>
    <hyperlink ref="U1610" r:id="rId1609" display="立案頁"/>
    <hyperlink ref="U1611" r:id="rId1610" display="立案頁"/>
    <hyperlink ref="U1612" r:id="rId1611" display="立案頁"/>
    <hyperlink ref="U1613" r:id="rId1612" display="立案頁"/>
    <hyperlink ref="U1614" r:id="rId1613" display="立案頁"/>
    <hyperlink ref="U1615" r:id="rId1614" display="立案頁"/>
    <hyperlink ref="U1616" r:id="rId1615" display="立案頁"/>
    <hyperlink ref="U1617" r:id="rId1616" display="立案頁"/>
    <hyperlink ref="U1618" r:id="rId1617" display="立案頁"/>
    <hyperlink ref="U1619" r:id="rId1618" display="立案頁"/>
    <hyperlink ref="U1620" r:id="rId1619" display="立案頁"/>
    <hyperlink ref="U1621" r:id="rId1620" display="立案頁"/>
    <hyperlink ref="U1622" r:id="rId1621" display="立案頁"/>
    <hyperlink ref="U1623" r:id="rId1622" display="立案頁"/>
    <hyperlink ref="U1624" r:id="rId1623" display="立案頁"/>
    <hyperlink ref="U1625" r:id="rId1624" display="立案頁"/>
    <hyperlink ref="U1626" r:id="rId1625" display="立案頁"/>
    <hyperlink ref="U1627" r:id="rId1626" display="立案頁"/>
    <hyperlink ref="U1628" r:id="rId1627" display="立案頁"/>
    <hyperlink ref="U1629" r:id="rId1628" display="立案頁"/>
    <hyperlink ref="U1630" r:id="rId1629" display="立案頁"/>
    <hyperlink ref="U1631" r:id="rId1630" display="立案頁"/>
    <hyperlink ref="U1632" r:id="rId1631" display="立案頁"/>
    <hyperlink ref="U1633" r:id="rId1632" display="立案頁"/>
    <hyperlink ref="U1634" r:id="rId1633" display="立案頁"/>
    <hyperlink ref="U1635" r:id="rId1634" display="立案頁"/>
    <hyperlink ref="U1636" r:id="rId1635" display="立案頁"/>
    <hyperlink ref="U1637" r:id="rId1636" display="立案頁"/>
    <hyperlink ref="U1638" r:id="rId1637" display="立案頁"/>
    <hyperlink ref="U1639" r:id="rId1638" display="立案頁"/>
    <hyperlink ref="U1640" r:id="rId1639" display="立案頁"/>
    <hyperlink ref="U1641" r:id="rId1640" display="立案頁"/>
    <hyperlink ref="U1642" r:id="rId1641" display="立案頁"/>
    <hyperlink ref="U1643" r:id="rId1642" display="立案頁"/>
    <hyperlink ref="U1644" r:id="rId1643" display="立案頁"/>
    <hyperlink ref="U1645" r:id="rId1644" display="立案頁"/>
    <hyperlink ref="U1646" r:id="rId1645" display="立案頁"/>
    <hyperlink ref="U1647" r:id="rId1646" display="立案頁"/>
    <hyperlink ref="U1648" r:id="rId1647" display="立案頁"/>
    <hyperlink ref="U1649" r:id="rId1648" display="立案頁"/>
    <hyperlink ref="U1650" r:id="rId1649" display="立案頁"/>
    <hyperlink ref="U1651" r:id="rId1650" display="立案頁"/>
    <hyperlink ref="U1652" r:id="rId1651" display="立案頁"/>
    <hyperlink ref="U1653" r:id="rId1652" display="立案頁"/>
    <hyperlink ref="U1654" r:id="rId1653" display="立案頁"/>
    <hyperlink ref="U1655" r:id="rId1654" display="立案頁"/>
    <hyperlink ref="U1656" r:id="rId1655" display="立案頁"/>
    <hyperlink ref="U1657" r:id="rId1656" display="立案頁"/>
    <hyperlink ref="U1658" r:id="rId1657" display="立案頁"/>
    <hyperlink ref="U1659" r:id="rId1658" display="立案頁"/>
    <hyperlink ref="U1660" r:id="rId1659" display="立案頁"/>
    <hyperlink ref="U1661" r:id="rId1660" display="立案頁"/>
    <hyperlink ref="U1662" r:id="rId1661" display="立案頁"/>
    <hyperlink ref="U1663" r:id="rId1662" display="立案頁"/>
    <hyperlink ref="U1664" r:id="rId1663" display="立案頁"/>
    <hyperlink ref="U1665" r:id="rId1664" display="立案頁"/>
    <hyperlink ref="U1666" r:id="rId1665" display="立案頁"/>
    <hyperlink ref="U1667" r:id="rId1666" display="立案頁"/>
    <hyperlink ref="U1668" r:id="rId1667" display="立案頁"/>
    <hyperlink ref="U1669" r:id="rId1668" display="立案頁"/>
    <hyperlink ref="U1670" r:id="rId1669" display="立案頁"/>
    <hyperlink ref="U1671" r:id="rId1670" display="立案頁"/>
    <hyperlink ref="U1672" r:id="rId1671" display="立案頁"/>
    <hyperlink ref="U1673" r:id="rId1672" display="立案頁"/>
    <hyperlink ref="U1674" r:id="rId1673" display="立案頁"/>
    <hyperlink ref="U1675" r:id="rId1674" display="立案頁"/>
    <hyperlink ref="U1676" r:id="rId1675" display="立案頁"/>
    <hyperlink ref="U1677" r:id="rId1676" display="立案頁"/>
    <hyperlink ref="U1678" r:id="rId1677" display="立案頁"/>
    <hyperlink ref="U1679" r:id="rId1678" display="立案頁"/>
    <hyperlink ref="U1680" r:id="rId1679" display="立案頁"/>
    <hyperlink ref="U1681" r:id="rId1680" display="立案頁"/>
    <hyperlink ref="U1682" r:id="rId1681" display="立案頁"/>
    <hyperlink ref="U1683" r:id="rId1682" display="立案頁"/>
    <hyperlink ref="U1684" r:id="rId1683" display="立案頁"/>
    <hyperlink ref="U1685" r:id="rId1684" display="立案頁"/>
    <hyperlink ref="U1686" r:id="rId1685" display="立案頁"/>
    <hyperlink ref="U1687" r:id="rId1686" display="立案頁"/>
    <hyperlink ref="U1688" r:id="rId1687" display="立案頁"/>
    <hyperlink ref="U1689" r:id="rId1688" display="立案頁"/>
    <hyperlink ref="U1690" r:id="rId1689" display="立案頁"/>
    <hyperlink ref="U1691" r:id="rId1690" display="立案頁"/>
    <hyperlink ref="U1692" r:id="rId1691" display="立案頁"/>
    <hyperlink ref="U1693" r:id="rId1692" display="立案頁"/>
    <hyperlink ref="U1694" r:id="rId1693" display="立案頁"/>
    <hyperlink ref="U1695" r:id="rId1694" display="立案頁"/>
    <hyperlink ref="U1696" r:id="rId1695" display="立案頁"/>
    <hyperlink ref="U1697" r:id="rId1696" display="立案頁"/>
    <hyperlink ref="U1698" r:id="rId1697" display="立案頁"/>
    <hyperlink ref="U1699" r:id="rId1698" display="立案頁"/>
    <hyperlink ref="U1700" r:id="rId1699" display="立案頁"/>
    <hyperlink ref="U1701" r:id="rId1700" display="立案頁"/>
    <hyperlink ref="U1702" r:id="rId1701" display="立案頁"/>
    <hyperlink ref="U1703" r:id="rId1702" display="立案頁"/>
    <hyperlink ref="U1704" r:id="rId1703" display="立案頁"/>
    <hyperlink ref="U1705" r:id="rId1704" display="立案頁"/>
    <hyperlink ref="U1706" r:id="rId1705" display="立案頁"/>
    <hyperlink ref="U1707" r:id="rId1706" display="立案頁"/>
    <hyperlink ref="U1708" r:id="rId1707" display="立案頁"/>
    <hyperlink ref="U1709" r:id="rId1708" display="立案頁"/>
    <hyperlink ref="U1710" r:id="rId1709" display="立案頁"/>
    <hyperlink ref="U1711" r:id="rId1710" display="立案頁"/>
    <hyperlink ref="U1712" r:id="rId1711" display="立案頁"/>
    <hyperlink ref="U1713" r:id="rId1712" display="立案頁"/>
    <hyperlink ref="U1714" r:id="rId1713" display="立案頁"/>
    <hyperlink ref="U1715" r:id="rId1714" display="立案頁"/>
    <hyperlink ref="U1716" r:id="rId1715" display="立案頁"/>
    <hyperlink ref="U1717" r:id="rId1716" display="立案頁"/>
    <hyperlink ref="U1718" r:id="rId1717" display="立案頁"/>
    <hyperlink ref="U1719" r:id="rId1718" display="立案頁"/>
    <hyperlink ref="U1720" r:id="rId1719" display="立案頁"/>
    <hyperlink ref="U1721" r:id="rId1720" display="立案頁"/>
    <hyperlink ref="U1722" r:id="rId1721" display="立案頁"/>
    <hyperlink ref="U1723" r:id="rId1722" display="立案頁"/>
    <hyperlink ref="U1724" r:id="rId1723" display="立案頁"/>
    <hyperlink ref="U1725" r:id="rId1724" display="立案頁"/>
    <hyperlink ref="U1726" r:id="rId1725" display="立案頁"/>
    <hyperlink ref="U1727" r:id="rId1726" display="立案頁"/>
    <hyperlink ref="U1728" r:id="rId1727" display="立案頁"/>
    <hyperlink ref="U1729" r:id="rId1728" display="立案頁"/>
    <hyperlink ref="U1730" r:id="rId1729" display="立案頁"/>
    <hyperlink ref="U1731" r:id="rId1730" display="立案頁"/>
    <hyperlink ref="U1732" r:id="rId1731" display="立案頁"/>
    <hyperlink ref="U1733" r:id="rId1732" display="立案頁"/>
    <hyperlink ref="U1734" r:id="rId1733" display="立案頁"/>
    <hyperlink ref="U1735" r:id="rId1734" display="立案頁"/>
    <hyperlink ref="U1736" r:id="rId1735" display="立案頁"/>
    <hyperlink ref="U1737" r:id="rId1736" display="立案頁"/>
    <hyperlink ref="U1738" r:id="rId1737" display="立案頁"/>
    <hyperlink ref="U1739" r:id="rId1738" display="立案頁"/>
    <hyperlink ref="U1740" r:id="rId1739" display="立案頁"/>
    <hyperlink ref="U1741" r:id="rId1740" display="立案頁"/>
    <hyperlink ref="U1742" r:id="rId1741" display="立案頁"/>
    <hyperlink ref="U1743" r:id="rId1742" display="立案頁"/>
    <hyperlink ref="U1744" r:id="rId1743" display="立案頁"/>
    <hyperlink ref="U1745" r:id="rId1744" display="立案頁"/>
    <hyperlink ref="U1746" r:id="rId1745" display="立案頁"/>
    <hyperlink ref="U1747" r:id="rId1746" display="立案頁"/>
    <hyperlink ref="U1748" r:id="rId1747" display="立案頁"/>
    <hyperlink ref="U1749" r:id="rId1748" display="立案頁"/>
    <hyperlink ref="U1750" r:id="rId1749" display="立案頁"/>
    <hyperlink ref="U1751" r:id="rId1750" display="立案頁"/>
    <hyperlink ref="U1752" r:id="rId1751" display="立案頁"/>
    <hyperlink ref="U1753" r:id="rId1752" display="立案頁"/>
    <hyperlink ref="U1754" r:id="rId1753" display="立案頁"/>
    <hyperlink ref="U1755" r:id="rId1754" display="立案頁"/>
    <hyperlink ref="U1756" r:id="rId1755" display="立案頁"/>
    <hyperlink ref="U1757" r:id="rId1756" display="立案頁"/>
    <hyperlink ref="U1758" r:id="rId1757" display="立案頁"/>
    <hyperlink ref="U1759" r:id="rId1758" display="立案頁"/>
    <hyperlink ref="U1760" r:id="rId1759" display="立案頁"/>
    <hyperlink ref="U1761" r:id="rId1760" display="立案頁"/>
    <hyperlink ref="U1762" r:id="rId1761" display="立案頁"/>
    <hyperlink ref="U1763" r:id="rId1762" display="立案頁"/>
    <hyperlink ref="U1764" r:id="rId1763" display="立案頁"/>
    <hyperlink ref="U1765" r:id="rId1764" display="立案頁"/>
    <hyperlink ref="U1766" r:id="rId1765" display="立案頁"/>
    <hyperlink ref="U1767" r:id="rId1766" display="立案頁"/>
    <hyperlink ref="U1768" r:id="rId1767" display="立案頁"/>
    <hyperlink ref="U1769" r:id="rId1768" display="立案頁"/>
    <hyperlink ref="U1770" r:id="rId1769" display="立案頁"/>
    <hyperlink ref="U1771" r:id="rId1770" display="立案頁"/>
    <hyperlink ref="U1772" r:id="rId1771" display="立案頁"/>
    <hyperlink ref="U1773" r:id="rId1772" display="立案頁"/>
    <hyperlink ref="U1774" r:id="rId1773" display="立案頁"/>
    <hyperlink ref="U1775" r:id="rId1774" display="立案頁"/>
    <hyperlink ref="U1776" r:id="rId1775" display="立案頁"/>
    <hyperlink ref="U1777" r:id="rId1776" display="立案頁"/>
    <hyperlink ref="U1778" r:id="rId1777" display="立案頁"/>
    <hyperlink ref="U1779" r:id="rId1778" display="立案頁"/>
    <hyperlink ref="U1780" r:id="rId1779" display="立案頁"/>
    <hyperlink ref="U1781" r:id="rId1780" display="立案頁"/>
    <hyperlink ref="U1782" r:id="rId1781" display="立案頁"/>
    <hyperlink ref="U1783" r:id="rId1782" display="立案頁"/>
    <hyperlink ref="U1784" r:id="rId1783" display="立案頁"/>
    <hyperlink ref="U1785" r:id="rId1784" display="立案頁"/>
    <hyperlink ref="U1786" r:id="rId1785" display="立案頁"/>
    <hyperlink ref="U1787" r:id="rId1786" display="立案頁"/>
    <hyperlink ref="U1788" r:id="rId1787" display="立案頁"/>
    <hyperlink ref="U1789" r:id="rId1788" display="立案頁"/>
    <hyperlink ref="U1790" r:id="rId1789" display="立案頁"/>
    <hyperlink ref="U1791" r:id="rId1790" display="立案頁"/>
    <hyperlink ref="U1792" r:id="rId1791" display="立案頁"/>
    <hyperlink ref="U1793" r:id="rId1792" display="立案頁"/>
    <hyperlink ref="U1794" r:id="rId1793" display="立案頁"/>
    <hyperlink ref="U1795" r:id="rId1794" display="立案頁"/>
    <hyperlink ref="U1796" r:id="rId1795" display="立案頁"/>
    <hyperlink ref="U1797" r:id="rId1796" display="立案頁"/>
    <hyperlink ref="U1798" r:id="rId1797" display="立案頁"/>
    <hyperlink ref="U1799" r:id="rId1798" display="立案頁"/>
    <hyperlink ref="U1800" r:id="rId1799" display="立案頁"/>
    <hyperlink ref="U1801" r:id="rId1800" display="立案頁"/>
    <hyperlink ref="U1802" r:id="rId1801" display="立案頁"/>
    <hyperlink ref="U1803" r:id="rId1802" display="立案頁"/>
    <hyperlink ref="U1804" r:id="rId1803" display="立案頁"/>
    <hyperlink ref="U1805" r:id="rId1804" display="立案頁"/>
    <hyperlink ref="U1806" r:id="rId1805" display="立案頁"/>
    <hyperlink ref="U1807" r:id="rId1806" display="立案頁"/>
    <hyperlink ref="U1808" r:id="rId1807" display="立案頁"/>
    <hyperlink ref="U1809" r:id="rId1808" display="立案頁"/>
    <hyperlink ref="U1810" r:id="rId1809" display="立案頁"/>
    <hyperlink ref="U1811" r:id="rId1810" display="立案頁"/>
    <hyperlink ref="U1812" r:id="rId1811" display="立案頁"/>
    <hyperlink ref="U1813" r:id="rId1812" display="立案頁"/>
    <hyperlink ref="U1814" r:id="rId1813" display="立案頁"/>
    <hyperlink ref="U1815" r:id="rId1814" display="立案頁"/>
    <hyperlink ref="U1816" r:id="rId1815" display="立案頁"/>
    <hyperlink ref="U1817" r:id="rId1816" display="立案頁"/>
    <hyperlink ref="U1818" r:id="rId1817" display="立案頁"/>
    <hyperlink ref="U1819" r:id="rId1818" display="立案頁"/>
    <hyperlink ref="U1820" r:id="rId1819" display="立案頁"/>
    <hyperlink ref="U1821" r:id="rId1820" display="立案頁"/>
    <hyperlink ref="U1822" r:id="rId1821" display="立案頁"/>
    <hyperlink ref="U1823" r:id="rId1822" display="立案頁"/>
    <hyperlink ref="U1824" r:id="rId1823" display="立案頁"/>
    <hyperlink ref="U1825" r:id="rId1824" display="立案頁"/>
    <hyperlink ref="U1826" r:id="rId1825" display="立案頁"/>
    <hyperlink ref="U1827" r:id="rId1826" display="立案頁"/>
    <hyperlink ref="U1828" r:id="rId1827" display="立案頁"/>
    <hyperlink ref="U1829" r:id="rId1828" display="立案頁"/>
    <hyperlink ref="U1830" r:id="rId1829" display="立案頁"/>
    <hyperlink ref="U1831" r:id="rId1830" display="立案頁"/>
    <hyperlink ref="U1832" r:id="rId1831" display="立案頁"/>
    <hyperlink ref="U1833" r:id="rId1832" display="立案頁"/>
    <hyperlink ref="U1834" r:id="rId1833" display="立案頁"/>
    <hyperlink ref="U1835" r:id="rId1834" display="立案頁"/>
    <hyperlink ref="U1836" r:id="rId1835" display="立案頁"/>
    <hyperlink ref="U1837" r:id="rId1836" display="立案頁"/>
    <hyperlink ref="U1838" r:id="rId1837" display="立案頁"/>
    <hyperlink ref="U1839" r:id="rId1838" display="立案頁"/>
    <hyperlink ref="U1840" r:id="rId1839" display="立案頁"/>
    <hyperlink ref="U1841" r:id="rId1840" display="立案頁"/>
    <hyperlink ref="U1842" r:id="rId1841" display="立案頁"/>
    <hyperlink ref="U1843" r:id="rId1842" display="立案頁"/>
    <hyperlink ref="U1844" r:id="rId1843" display="立案頁"/>
    <hyperlink ref="U1845" r:id="rId1844" display="立案頁"/>
    <hyperlink ref="U1846" r:id="rId1845" display="立案頁"/>
    <hyperlink ref="U1847" r:id="rId1846" display="立案頁"/>
    <hyperlink ref="U1848" r:id="rId1847" display="立案頁"/>
    <hyperlink ref="U1849" r:id="rId1848" display="立案頁"/>
    <hyperlink ref="U1850" r:id="rId1849" display="立案頁"/>
    <hyperlink ref="U1851" r:id="rId1850" display="立案頁"/>
    <hyperlink ref="U1852" r:id="rId1851" display="立案頁"/>
    <hyperlink ref="U1853" r:id="rId1852" display="立案頁"/>
    <hyperlink ref="U1854" r:id="rId1853" display="立案頁"/>
    <hyperlink ref="U1855" r:id="rId1854" display="立案頁"/>
    <hyperlink ref="U1856" r:id="rId1855" display="立案頁"/>
    <hyperlink ref="U1857" r:id="rId1856" display="立案頁"/>
    <hyperlink ref="U1858" r:id="rId1857" display="立案頁"/>
    <hyperlink ref="U1859" r:id="rId1858" display="立案頁"/>
    <hyperlink ref="U1860" r:id="rId1859" display="立案頁"/>
    <hyperlink ref="U1861" r:id="rId1860" display="立案頁"/>
    <hyperlink ref="U1862" r:id="rId1861" display="立案頁"/>
    <hyperlink ref="U1863" r:id="rId1862" display="立案頁"/>
    <hyperlink ref="U1864" r:id="rId1863" display="立案頁"/>
    <hyperlink ref="U1865" r:id="rId1864" display="立案頁"/>
    <hyperlink ref="U1866" r:id="rId1865" display="立案頁"/>
    <hyperlink ref="U1867" r:id="rId1866" display="立案頁"/>
    <hyperlink ref="U1868" r:id="rId1867" display="立案頁"/>
    <hyperlink ref="U1869" r:id="rId1868" display="立案頁"/>
    <hyperlink ref="U1870" r:id="rId1869" display="立案頁"/>
    <hyperlink ref="U1871" r:id="rId1870" display="立案頁"/>
    <hyperlink ref="U1872" r:id="rId1871" display="立案頁"/>
    <hyperlink ref="U1873" r:id="rId1872" display="立案頁"/>
    <hyperlink ref="U1874" r:id="rId1873" display="立案頁"/>
    <hyperlink ref="U1875" r:id="rId1874" display="立案頁"/>
    <hyperlink ref="U1876" r:id="rId1875" display="立案頁"/>
    <hyperlink ref="U1877" r:id="rId1876" display="立案頁"/>
    <hyperlink ref="U1878" r:id="rId1877" display="立案頁"/>
    <hyperlink ref="U1879" r:id="rId1878" display="立案頁"/>
    <hyperlink ref="U1880" r:id="rId1879" display="立案頁"/>
    <hyperlink ref="U1881" r:id="rId1880" display="立案頁"/>
    <hyperlink ref="U1882" r:id="rId1881" display="立案頁"/>
    <hyperlink ref="U1883" r:id="rId1882" display="立案頁"/>
    <hyperlink ref="U1884" r:id="rId1883" display="立案頁"/>
    <hyperlink ref="U1885" r:id="rId1884" display="立案頁"/>
    <hyperlink ref="U1886" r:id="rId1885" display="立案頁"/>
    <hyperlink ref="U1887" r:id="rId1886" display="立案頁"/>
    <hyperlink ref="U1888" r:id="rId1887" display="立案頁"/>
    <hyperlink ref="U1889" r:id="rId1888" display="立案頁"/>
    <hyperlink ref="U1890" r:id="rId1889" display="立案頁"/>
    <hyperlink ref="U1891" r:id="rId1890" display="立案頁"/>
    <hyperlink ref="U1892" r:id="rId1891" display="立案頁"/>
    <hyperlink ref="U1893" r:id="rId1892" display="立案頁"/>
    <hyperlink ref="U1894" r:id="rId1893" display="立案頁"/>
    <hyperlink ref="U1895" r:id="rId1894" display="立案頁"/>
    <hyperlink ref="U1896" r:id="rId1895" display="立案頁"/>
    <hyperlink ref="U1897" r:id="rId1896" display="立案頁"/>
    <hyperlink ref="U1898" r:id="rId1897" display="立案頁"/>
    <hyperlink ref="U1899" r:id="rId1898" display="立案頁"/>
    <hyperlink ref="U1900" r:id="rId1899" display="立案頁"/>
    <hyperlink ref="U1901" r:id="rId1900" display="立案頁"/>
    <hyperlink ref="U1902" r:id="rId1901" display="立案頁"/>
    <hyperlink ref="U1903" r:id="rId1902" display="立案頁"/>
    <hyperlink ref="U1904" r:id="rId1903" display="立案頁"/>
    <hyperlink ref="U1905" r:id="rId1904" display="立案頁"/>
    <hyperlink ref="U1906" r:id="rId1905" display="立案頁"/>
    <hyperlink ref="U1907" r:id="rId1906" display="立案頁"/>
    <hyperlink ref="U1908" r:id="rId1907" display="立案頁"/>
    <hyperlink ref="U1909" r:id="rId1908" display="立案頁"/>
    <hyperlink ref="U1910" r:id="rId1909" display="立案頁"/>
    <hyperlink ref="U1911" r:id="rId1910" display="立案頁"/>
    <hyperlink ref="U1912" r:id="rId1911" display="立案頁"/>
    <hyperlink ref="U1913" r:id="rId1912" display="立案頁"/>
    <hyperlink ref="U1914" r:id="rId1913" display="立案頁"/>
    <hyperlink ref="U1915" r:id="rId1914" display="立案頁"/>
    <hyperlink ref="U1916" r:id="rId1915" display="立案頁"/>
    <hyperlink ref="U1917" r:id="rId1916" display="立案頁"/>
    <hyperlink ref="U1918" r:id="rId1917" display="立案頁"/>
    <hyperlink ref="U1919" r:id="rId1918" display="立案頁"/>
    <hyperlink ref="U1920" r:id="rId1919" display="立案頁"/>
    <hyperlink ref="U1921" r:id="rId1920" display="立案頁"/>
    <hyperlink ref="U1922" r:id="rId1921" display="立案頁"/>
    <hyperlink ref="U1923" r:id="rId1922" display="立案頁"/>
    <hyperlink ref="U1924" r:id="rId1923" display="立案頁"/>
    <hyperlink ref="U1925" r:id="rId1924" display="立案頁"/>
    <hyperlink ref="U1926" r:id="rId1925" display="立案頁"/>
    <hyperlink ref="U1927" r:id="rId1926" display="立案頁"/>
    <hyperlink ref="U1928" r:id="rId1927" display="立案頁"/>
    <hyperlink ref="U1929" r:id="rId1928" display="立案頁"/>
    <hyperlink ref="U1930" r:id="rId1929" display="立案頁"/>
    <hyperlink ref="U1931" r:id="rId1930" display="立案頁"/>
    <hyperlink ref="U1932" r:id="rId1931" display="立案頁"/>
    <hyperlink ref="U1933" r:id="rId1932" display="立案頁"/>
    <hyperlink ref="U1934" r:id="rId1933" display="立案頁"/>
    <hyperlink ref="U1935" r:id="rId1934" display="立案頁"/>
    <hyperlink ref="U1936" r:id="rId1935" display="立案頁"/>
    <hyperlink ref="U1937" r:id="rId1936" display="立案頁"/>
    <hyperlink ref="U1938" r:id="rId1937" display="立案頁"/>
    <hyperlink ref="U1939" r:id="rId1938" display="立案頁"/>
    <hyperlink ref="U1940" r:id="rId1939" display="立案頁"/>
    <hyperlink ref="U1941" r:id="rId1940" display="立案頁"/>
    <hyperlink ref="U1942" r:id="rId1941" display="立案頁"/>
    <hyperlink ref="U1943" r:id="rId1942" display="立案頁"/>
    <hyperlink ref="U1944" r:id="rId1943" display="立案頁"/>
    <hyperlink ref="U1945" r:id="rId1944" display="立案頁"/>
    <hyperlink ref="U1946" r:id="rId1945" display="立案頁"/>
    <hyperlink ref="U1947" r:id="rId1946" display="立案頁"/>
    <hyperlink ref="U1948" r:id="rId1947" display="立案頁"/>
    <hyperlink ref="U1949" r:id="rId1948" display="立案頁"/>
    <hyperlink ref="U1950" r:id="rId1949" display="立案頁"/>
    <hyperlink ref="U1951" r:id="rId1950" display="立案頁"/>
    <hyperlink ref="U1952" r:id="rId1951" display="立案頁"/>
    <hyperlink ref="U1953" r:id="rId1952" display="立案頁"/>
    <hyperlink ref="U1954" r:id="rId1953" display="立案頁"/>
    <hyperlink ref="U1955" r:id="rId1954" display="立案頁"/>
    <hyperlink ref="U1956" r:id="rId1955" display="立案頁"/>
    <hyperlink ref="U1957" r:id="rId1956" display="立案頁"/>
    <hyperlink ref="U1958" r:id="rId1957" display="立案頁"/>
    <hyperlink ref="U1959" r:id="rId1958" display="立案頁"/>
    <hyperlink ref="U1960" r:id="rId1959" display="立案頁"/>
    <hyperlink ref="U1961" r:id="rId1960" display="立案頁"/>
    <hyperlink ref="U1962" r:id="rId1961" display="立案頁"/>
    <hyperlink ref="U1963" r:id="rId1962" display="立案頁"/>
    <hyperlink ref="U1964" r:id="rId1963" display="立案頁"/>
    <hyperlink ref="U1965" r:id="rId1964" display="立案頁"/>
    <hyperlink ref="U1966" r:id="rId1965" display="立案頁"/>
    <hyperlink ref="U1967" r:id="rId1966" display="立案頁"/>
    <hyperlink ref="U1968" r:id="rId1967" display="立案頁"/>
    <hyperlink ref="U1969" r:id="rId1968" display="立案頁"/>
    <hyperlink ref="U1970" r:id="rId1969" display="立案頁"/>
    <hyperlink ref="U1971" r:id="rId1970" display="立案頁"/>
    <hyperlink ref="U1972" r:id="rId1971" display="立案頁"/>
    <hyperlink ref="U1973" r:id="rId1972" display="立案頁"/>
    <hyperlink ref="U1974" r:id="rId1973" display="立案頁"/>
    <hyperlink ref="U1975" r:id="rId1974" display="立案頁"/>
    <hyperlink ref="U1976" r:id="rId1975" display="立案頁"/>
    <hyperlink ref="U1977" r:id="rId1976" display="立案頁"/>
    <hyperlink ref="U1978" r:id="rId1977" display="立案頁"/>
    <hyperlink ref="U1979" r:id="rId1978" display="立案頁"/>
    <hyperlink ref="U1980" r:id="rId1979" display="立案頁"/>
    <hyperlink ref="U1981" r:id="rId1980" display="立案頁"/>
    <hyperlink ref="U1982" r:id="rId1981" display="立案頁"/>
    <hyperlink ref="U1983" r:id="rId1982" display="立案頁"/>
    <hyperlink ref="U1984" r:id="rId1983" display="立案頁"/>
    <hyperlink ref="U1985" r:id="rId1984" display="立案頁"/>
    <hyperlink ref="U1986" r:id="rId1985" display="立案頁"/>
    <hyperlink ref="U1987" r:id="rId1986" display="立案頁"/>
    <hyperlink ref="U1988" r:id="rId1987" display="立案頁"/>
    <hyperlink ref="U1989" r:id="rId1988" display="立案頁"/>
    <hyperlink ref="U1990" r:id="rId1989" display="立案頁"/>
    <hyperlink ref="U1991" r:id="rId1990" display="立案頁"/>
    <hyperlink ref="U1992" r:id="rId1991" display="立案頁"/>
    <hyperlink ref="U1993" r:id="rId1992" display="立案頁"/>
    <hyperlink ref="U1994" r:id="rId1993" display="立案頁"/>
    <hyperlink ref="U1995" r:id="rId1994" display="立案頁"/>
    <hyperlink ref="U1996" r:id="rId1995" display="立案頁"/>
    <hyperlink ref="U1997" r:id="rId1996" display="立案頁"/>
    <hyperlink ref="U1998" r:id="rId1997" display="立案頁"/>
    <hyperlink ref="U1999" r:id="rId1998" display="立案頁"/>
    <hyperlink ref="U2000" r:id="rId1999" display="立案頁"/>
    <hyperlink ref="U2001" r:id="rId2000" display="立案頁"/>
    <hyperlink ref="U2002" r:id="rId2001" display="立案頁"/>
    <hyperlink ref="U2003" r:id="rId2002" display="立案頁"/>
    <hyperlink ref="U2004" r:id="rId2003" display="立案頁"/>
    <hyperlink ref="U2005" r:id="rId2004" display="立案頁"/>
    <hyperlink ref="U2006" r:id="rId2005" display="立案頁"/>
    <hyperlink ref="U2007" r:id="rId2006" display="立案頁"/>
    <hyperlink ref="U2008" r:id="rId2007" display="立案頁"/>
    <hyperlink ref="U2009" r:id="rId2008" display="立案頁"/>
    <hyperlink ref="U2010" r:id="rId2009" display="立案頁"/>
    <hyperlink ref="U2011" r:id="rId2010" display="立案頁"/>
    <hyperlink ref="U2012" r:id="rId2011" display="立案頁"/>
    <hyperlink ref="U2013" r:id="rId2012" display="立案頁"/>
    <hyperlink ref="U2014" r:id="rId2013" display="立案頁"/>
    <hyperlink ref="U2015" r:id="rId2014" display="立案頁"/>
    <hyperlink ref="U2016" r:id="rId2015" display="立案頁"/>
    <hyperlink ref="U2017" r:id="rId2016" display="立案頁"/>
    <hyperlink ref="U2018" r:id="rId2017" display="立案頁"/>
    <hyperlink ref="U2019" r:id="rId2018" display="立案頁"/>
    <hyperlink ref="U2020" r:id="rId2019" display="立案頁"/>
    <hyperlink ref="U2021" r:id="rId2020" display="立案頁"/>
    <hyperlink ref="U2022" r:id="rId2021" display="立案頁"/>
    <hyperlink ref="U2023" r:id="rId2022" display="立案頁"/>
    <hyperlink ref="U2024" r:id="rId2023" display="立案頁"/>
    <hyperlink ref="U2025" r:id="rId2024" display="立案頁"/>
    <hyperlink ref="U2026" r:id="rId2025" display="立案頁"/>
    <hyperlink ref="U2027" r:id="rId2026" display="立案頁"/>
    <hyperlink ref="U2028" r:id="rId2027" display="立案頁"/>
    <hyperlink ref="U2029" r:id="rId2028" display="立案頁"/>
    <hyperlink ref="U2030" r:id="rId2029" display="立案頁"/>
    <hyperlink ref="U2031" r:id="rId2030" display="立案頁"/>
    <hyperlink ref="U2032" r:id="rId2031" display="立案頁"/>
    <hyperlink ref="U2033" r:id="rId2032" display="立案頁"/>
    <hyperlink ref="U2034" r:id="rId2033" display="立案頁"/>
    <hyperlink ref="U2035" r:id="rId2034" display="立案頁"/>
    <hyperlink ref="U2036" r:id="rId2035" display="立案頁"/>
    <hyperlink ref="U2037" r:id="rId2036" display="立案頁"/>
    <hyperlink ref="U2038" r:id="rId2037" display="立案頁"/>
    <hyperlink ref="U2039" r:id="rId2038" display="立案頁"/>
    <hyperlink ref="U2040" r:id="rId2039" display="立案頁"/>
    <hyperlink ref="U2041" r:id="rId2040" display="立案頁"/>
    <hyperlink ref="U2042" r:id="rId2041" display="立案頁"/>
    <hyperlink ref="U2043" r:id="rId2042" display="立案頁"/>
    <hyperlink ref="U2044" r:id="rId2043" display="立案頁"/>
    <hyperlink ref="U2045" r:id="rId2044" display="立案頁"/>
    <hyperlink ref="U2046" r:id="rId2045" display="立案頁"/>
    <hyperlink ref="U2047" r:id="rId2046" display="立案頁"/>
    <hyperlink ref="U2048" r:id="rId2047" display="立案頁"/>
    <hyperlink ref="U2049" r:id="rId2048" display="立案頁"/>
    <hyperlink ref="U2050" r:id="rId2049" display="立案頁"/>
    <hyperlink ref="U2051" r:id="rId2050" display="立案頁"/>
    <hyperlink ref="U2052" r:id="rId2051" display="立案頁"/>
    <hyperlink ref="U2053" r:id="rId2052" display="立案頁"/>
    <hyperlink ref="U2054" r:id="rId2053" display="立案頁"/>
    <hyperlink ref="U2055" r:id="rId2054" display="立案頁"/>
    <hyperlink ref="U2056" r:id="rId2055" display="立案頁"/>
    <hyperlink ref="U2057" r:id="rId2056" display="立案頁"/>
    <hyperlink ref="U2058" r:id="rId2057" display="立案頁"/>
    <hyperlink ref="U2059" r:id="rId2058" display="立案頁"/>
    <hyperlink ref="U2060" r:id="rId2059" display="立案頁"/>
    <hyperlink ref="U2061" r:id="rId2060" display="立案頁"/>
    <hyperlink ref="U2062" r:id="rId2061" display="立案頁"/>
    <hyperlink ref="U2063" r:id="rId2062" display="立案頁"/>
    <hyperlink ref="U2064" r:id="rId2063" display="立案頁"/>
    <hyperlink ref="U2065" r:id="rId2064" display="立案頁"/>
    <hyperlink ref="U2066" r:id="rId2065" display="立案頁"/>
    <hyperlink ref="U2067" r:id="rId2066" display="立案頁"/>
    <hyperlink ref="U2068" r:id="rId2067" display="立案頁"/>
    <hyperlink ref="U2069" r:id="rId2068" display="立案頁"/>
    <hyperlink ref="U2070" r:id="rId2069" display="立案頁"/>
    <hyperlink ref="U2071" r:id="rId2070" display="立案頁"/>
    <hyperlink ref="U2072" r:id="rId2071" display="立案頁"/>
    <hyperlink ref="U2073" r:id="rId2072" display="立案頁"/>
    <hyperlink ref="U2074" r:id="rId2073" display="立案頁"/>
    <hyperlink ref="U2075" r:id="rId2074" display="立案頁"/>
    <hyperlink ref="U2076" r:id="rId2075" display="立案頁"/>
    <hyperlink ref="U2077" r:id="rId2076" display="立案頁"/>
    <hyperlink ref="U2078" r:id="rId2077" display="立案頁"/>
    <hyperlink ref="U2079" r:id="rId2078" display="立案頁"/>
    <hyperlink ref="U2080" r:id="rId2079" display="立案頁"/>
    <hyperlink ref="U2081" r:id="rId2080" display="立案頁"/>
    <hyperlink ref="U2082" r:id="rId2081" display="立案頁"/>
    <hyperlink ref="U2083" r:id="rId2082" display="立案頁"/>
    <hyperlink ref="U2084" r:id="rId2083" display="立案頁"/>
    <hyperlink ref="U2085" r:id="rId2084" display="立案頁"/>
    <hyperlink ref="U2086" r:id="rId2085" display="立案頁"/>
    <hyperlink ref="U2087" r:id="rId2086" display="立案頁"/>
    <hyperlink ref="U2088" r:id="rId2087" display="立案頁"/>
    <hyperlink ref="U2089" r:id="rId2088" display="立案頁"/>
    <hyperlink ref="U2090" r:id="rId2089" display="立案頁"/>
    <hyperlink ref="U2091" r:id="rId2090" display="立案頁"/>
    <hyperlink ref="U2092" r:id="rId2091" display="立案頁"/>
    <hyperlink ref="U2093" r:id="rId2092" display="立案頁"/>
    <hyperlink ref="U2094" r:id="rId2093" display="立案頁"/>
    <hyperlink ref="U2095" r:id="rId2094" display="立案頁"/>
    <hyperlink ref="U2096" r:id="rId2095" display="立案頁"/>
    <hyperlink ref="U2097" r:id="rId2096" display="立案頁"/>
    <hyperlink ref="U2098" r:id="rId2097" display="立案頁"/>
    <hyperlink ref="U2099" r:id="rId2098" display="立案頁"/>
    <hyperlink ref="U2100" r:id="rId2099" display="立案頁"/>
    <hyperlink ref="U2101" r:id="rId2100" display="立案頁"/>
    <hyperlink ref="U2102" r:id="rId2101" display="立案頁"/>
    <hyperlink ref="U2103" r:id="rId2102" display="立案頁"/>
    <hyperlink ref="U2104" r:id="rId2103" display="立案頁"/>
    <hyperlink ref="U2105" r:id="rId2104" display="立案頁"/>
    <hyperlink ref="U2106" r:id="rId2105" display="立案頁"/>
    <hyperlink ref="U2107" r:id="rId2106" display="立案頁"/>
    <hyperlink ref="U2108" r:id="rId2107" display="立案頁"/>
    <hyperlink ref="U2109" r:id="rId2108" display="立案頁"/>
    <hyperlink ref="U2110" r:id="rId2109" display="立案頁"/>
    <hyperlink ref="U2111" r:id="rId2110" display="立案頁"/>
    <hyperlink ref="U2112" r:id="rId2111" display="立案頁"/>
    <hyperlink ref="U2113" r:id="rId2112" display="立案頁"/>
    <hyperlink ref="U2114" r:id="rId2113" display="立案頁"/>
    <hyperlink ref="U2115" r:id="rId2114" display="立案頁"/>
    <hyperlink ref="U2116" r:id="rId2115" display="立案頁"/>
    <hyperlink ref="U2117" r:id="rId2116" display="立案頁"/>
    <hyperlink ref="U2118" r:id="rId2117" display="立案頁"/>
    <hyperlink ref="U2119" r:id="rId2118" display="立案頁"/>
    <hyperlink ref="U2120" r:id="rId2119" display="立案頁"/>
    <hyperlink ref="U2121" r:id="rId2120" display="立案頁"/>
    <hyperlink ref="U2122" r:id="rId2121" display="立案頁"/>
    <hyperlink ref="U2123" r:id="rId2122" display="立案頁"/>
    <hyperlink ref="U2124" r:id="rId2123" display="立案頁"/>
    <hyperlink ref="U2125" r:id="rId2124" display="立案頁"/>
    <hyperlink ref="U2126" r:id="rId2125" display="立案頁"/>
    <hyperlink ref="U2127" r:id="rId2126" display="立案頁"/>
    <hyperlink ref="U2128" r:id="rId2127" display="立案頁"/>
    <hyperlink ref="U2129" r:id="rId2128" display="立案頁"/>
    <hyperlink ref="U2130" r:id="rId2129" display="立案頁"/>
    <hyperlink ref="U2131" r:id="rId2130" display="立案頁"/>
    <hyperlink ref="U2132" r:id="rId2131" display="立案頁"/>
    <hyperlink ref="U2133" r:id="rId2132" display="立案頁"/>
    <hyperlink ref="U2134" r:id="rId2133" display="立案頁"/>
    <hyperlink ref="U2135" r:id="rId2134" display="立案頁"/>
    <hyperlink ref="U2136" r:id="rId2135" display="立案頁"/>
    <hyperlink ref="U2137" r:id="rId2136" display="立案頁"/>
    <hyperlink ref="U2138" r:id="rId2137" display="立案頁"/>
    <hyperlink ref="U2139" r:id="rId2138" display="立案頁"/>
    <hyperlink ref="U2140" r:id="rId2139" display="立案頁"/>
    <hyperlink ref="U2141" r:id="rId2140" display="立案頁"/>
    <hyperlink ref="U2142" r:id="rId2141" display="立案頁"/>
    <hyperlink ref="U2143" r:id="rId2142" display="立案頁"/>
    <hyperlink ref="U2144" r:id="rId2143" display="立案頁"/>
    <hyperlink ref="U2145" r:id="rId2144" display="立案頁"/>
    <hyperlink ref="U2146" r:id="rId2145" display="立案頁"/>
    <hyperlink ref="U2147" r:id="rId2146" display="立案頁"/>
    <hyperlink ref="U2148" r:id="rId2147" display="立案頁"/>
    <hyperlink ref="U2149" r:id="rId2148" display="立案頁"/>
    <hyperlink ref="U2150" r:id="rId2149" display="立案頁"/>
    <hyperlink ref="U2151" r:id="rId2150" display="立案頁"/>
    <hyperlink ref="U2152" r:id="rId2151" display="立案頁"/>
    <hyperlink ref="U2153" r:id="rId2152" display="立案頁"/>
    <hyperlink ref="U2154" r:id="rId2153" display="立案頁"/>
    <hyperlink ref="U2155" r:id="rId2154" display="立案頁"/>
    <hyperlink ref="U2156" r:id="rId2155" display="立案頁"/>
    <hyperlink ref="U2157" r:id="rId2156" display="立案頁"/>
    <hyperlink ref="U2158" r:id="rId2157" display="立案頁"/>
    <hyperlink ref="U2159" r:id="rId2158" display="立案頁"/>
    <hyperlink ref="U2160" r:id="rId2159" display="立案頁"/>
    <hyperlink ref="U2161" r:id="rId2160" display="立案頁"/>
    <hyperlink ref="U2162" r:id="rId2161" display="立案頁"/>
    <hyperlink ref="U2163" r:id="rId2162" display="立案頁"/>
    <hyperlink ref="U2164" r:id="rId2163" display="立案頁"/>
    <hyperlink ref="U2165" r:id="rId2164" display="立案頁"/>
    <hyperlink ref="U2166" r:id="rId2165" display="立案頁"/>
    <hyperlink ref="U2167" r:id="rId2166" display="立案頁"/>
    <hyperlink ref="U2168" r:id="rId2167" display="立案頁"/>
    <hyperlink ref="U2169" r:id="rId2168" display="立案頁"/>
    <hyperlink ref="U2170" r:id="rId2169" display="立案頁"/>
    <hyperlink ref="U2171" r:id="rId2170" display="立案頁"/>
    <hyperlink ref="U2172" r:id="rId2171" display="立案頁"/>
    <hyperlink ref="U2173" r:id="rId2172" display="立案頁"/>
    <hyperlink ref="U2174" r:id="rId2173" display="立案頁"/>
    <hyperlink ref="U2175" r:id="rId2174" display="立案頁"/>
    <hyperlink ref="U2176" r:id="rId2175" display="立案頁"/>
    <hyperlink ref="U2177" r:id="rId2176" display="立案頁"/>
    <hyperlink ref="U2178" r:id="rId2177" display="立案頁"/>
    <hyperlink ref="U2179" r:id="rId2178" display="立案頁"/>
    <hyperlink ref="U2180" r:id="rId2179" display="立案頁"/>
    <hyperlink ref="U2181" r:id="rId2180" display="立案頁"/>
    <hyperlink ref="U2182" r:id="rId2181" display="立案頁"/>
    <hyperlink ref="U2183" r:id="rId2182" display="立案頁"/>
    <hyperlink ref="U2184" r:id="rId2183" display="立案頁"/>
    <hyperlink ref="U2185" r:id="rId2184" display="立案頁"/>
    <hyperlink ref="U2186" r:id="rId2185" display="立案頁"/>
    <hyperlink ref="U2187" r:id="rId2186" display="立案頁"/>
    <hyperlink ref="U2188" r:id="rId2187" display="立案頁"/>
    <hyperlink ref="U2189" r:id="rId2188" display="立案頁"/>
    <hyperlink ref="U2190" r:id="rId2189" display="立案頁"/>
    <hyperlink ref="U2191" r:id="rId2190" display="立案頁"/>
    <hyperlink ref="U2192" r:id="rId2191" display="立案頁"/>
    <hyperlink ref="U2193" r:id="rId2192" display="立案頁"/>
    <hyperlink ref="U2194" r:id="rId2193" display="立案頁"/>
    <hyperlink ref="U2195" r:id="rId2194" display="立案頁"/>
    <hyperlink ref="U2196" r:id="rId2195" display="立案頁"/>
    <hyperlink ref="U2197" r:id="rId2196" display="立案頁"/>
    <hyperlink ref="U2198" r:id="rId2197" display="立案頁"/>
    <hyperlink ref="U2199" r:id="rId2198" display="立案頁"/>
    <hyperlink ref="U2200" r:id="rId2199" display="立案頁"/>
    <hyperlink ref="U2201" r:id="rId2200" display="立案頁"/>
    <hyperlink ref="U2202" r:id="rId2201" display="立案頁"/>
    <hyperlink ref="U2203" r:id="rId2202" display="立案頁"/>
    <hyperlink ref="U2204" r:id="rId2203" display="立案頁"/>
    <hyperlink ref="U2205" r:id="rId2204" display="立案頁"/>
    <hyperlink ref="U2206" r:id="rId2205" display="立案頁"/>
    <hyperlink ref="U2207" r:id="rId2206" display="立案頁"/>
    <hyperlink ref="U2208" r:id="rId2207" display="立案頁"/>
    <hyperlink ref="U2209" r:id="rId2208" display="立案頁"/>
    <hyperlink ref="U2210" r:id="rId2209" display="立案頁"/>
    <hyperlink ref="U2211" r:id="rId2210" display="立案頁"/>
    <hyperlink ref="U2212" r:id="rId2211" display="立案頁"/>
    <hyperlink ref="U2213" r:id="rId2212" display="立案頁"/>
    <hyperlink ref="U2214" r:id="rId2213" display="立案頁"/>
    <hyperlink ref="U2215" r:id="rId2214" display="立案頁"/>
    <hyperlink ref="U2216" r:id="rId2215" display="立案頁"/>
    <hyperlink ref="U2217" r:id="rId2216" display="立案頁"/>
    <hyperlink ref="U2218" r:id="rId2217" display="立案頁"/>
    <hyperlink ref="U2219" r:id="rId2218" display="立案頁"/>
    <hyperlink ref="U2220" r:id="rId2219" display="立案頁"/>
    <hyperlink ref="U2221" r:id="rId2220" display="立案頁"/>
    <hyperlink ref="U2222" r:id="rId2221" display="立案頁"/>
    <hyperlink ref="U2223" r:id="rId2222" display="立案頁"/>
    <hyperlink ref="U2224" r:id="rId2223" display="立案頁"/>
    <hyperlink ref="U2225" r:id="rId2224" display="立案頁"/>
    <hyperlink ref="U2226" r:id="rId2225" display="立案頁"/>
    <hyperlink ref="U2227" r:id="rId2226" display="立案頁"/>
    <hyperlink ref="U2228" r:id="rId2227" display="立案頁"/>
    <hyperlink ref="U2229" r:id="rId2228" display="立案頁"/>
    <hyperlink ref="U2230" r:id="rId2229" display="立案頁"/>
    <hyperlink ref="U2231" r:id="rId2230" display="立案頁"/>
    <hyperlink ref="U2232" r:id="rId2231" display="立案頁"/>
    <hyperlink ref="U2233" r:id="rId2232" display="立案頁"/>
    <hyperlink ref="U2234" r:id="rId2233" display="立案頁"/>
    <hyperlink ref="U2235" r:id="rId2234" display="立案頁"/>
    <hyperlink ref="U2236" r:id="rId2235" display="立案頁"/>
    <hyperlink ref="U2237" r:id="rId2236" display="立案頁"/>
    <hyperlink ref="U2238" r:id="rId2237" display="立案頁"/>
    <hyperlink ref="U2239" r:id="rId2238" display="立案頁"/>
    <hyperlink ref="U2240" r:id="rId2239" display="立案頁"/>
    <hyperlink ref="U2241" r:id="rId2240" display="立案頁"/>
    <hyperlink ref="U2242" r:id="rId2241" display="立案頁"/>
    <hyperlink ref="U2243" r:id="rId2242" display="立案頁"/>
    <hyperlink ref="U2244" r:id="rId2243" display="立案頁"/>
    <hyperlink ref="U2245" r:id="rId2244" display="立案頁"/>
    <hyperlink ref="U2246" r:id="rId2245" display="立案頁"/>
    <hyperlink ref="U2247" r:id="rId2246" display="立案頁"/>
    <hyperlink ref="U2248" r:id="rId2247" display="立案頁"/>
    <hyperlink ref="U2249" r:id="rId2248" display="立案頁"/>
    <hyperlink ref="U2250" r:id="rId2249" display="立案頁"/>
    <hyperlink ref="U2251" r:id="rId2250" display="立案頁"/>
    <hyperlink ref="U2252" r:id="rId2251" display="立案頁"/>
    <hyperlink ref="U2253" r:id="rId2252" display="立案頁"/>
    <hyperlink ref="U2254" r:id="rId2253" display="立案頁"/>
    <hyperlink ref="U2255" r:id="rId2254" display="立案頁"/>
    <hyperlink ref="U2256" r:id="rId2255" display="立案頁"/>
    <hyperlink ref="U2257" r:id="rId2256" display="立案頁"/>
    <hyperlink ref="U2258" r:id="rId2257" display="立案頁"/>
    <hyperlink ref="U2259" r:id="rId2258" display="立案頁"/>
    <hyperlink ref="U2260" r:id="rId2259" display="立案頁"/>
    <hyperlink ref="U2261" r:id="rId2260" display="立案頁"/>
    <hyperlink ref="U2262" r:id="rId2261" display="立案頁"/>
    <hyperlink ref="U2263" r:id="rId2262" display="立案頁"/>
    <hyperlink ref="U2264" r:id="rId2263" display="立案頁"/>
    <hyperlink ref="U2265" r:id="rId2264" display="立案頁"/>
    <hyperlink ref="U2266" r:id="rId2265" display="立案頁"/>
    <hyperlink ref="U2267" r:id="rId2266" display="立案頁"/>
    <hyperlink ref="U2268" r:id="rId2267" display="立案頁"/>
    <hyperlink ref="U2269" r:id="rId2268" display="立案頁"/>
    <hyperlink ref="U2270" r:id="rId2269" display="立案頁"/>
    <hyperlink ref="U2271" r:id="rId2270" display="立案頁"/>
    <hyperlink ref="U2272" r:id="rId2271" display="立案頁"/>
    <hyperlink ref="U2273" r:id="rId2272" display="立案頁"/>
    <hyperlink ref="U2274" r:id="rId2273" display="立案頁"/>
    <hyperlink ref="U2275" r:id="rId2274" display="立案頁"/>
    <hyperlink ref="U2276" r:id="rId2275" display="立案頁"/>
    <hyperlink ref="U2277" r:id="rId2276" display="立案頁"/>
    <hyperlink ref="U2278" r:id="rId2277" display="立案頁"/>
    <hyperlink ref="U2279" r:id="rId2278" display="立案頁"/>
    <hyperlink ref="U2280" r:id="rId2279" display="立案頁"/>
    <hyperlink ref="U2281" r:id="rId2280" display="立案頁"/>
    <hyperlink ref="U2282" r:id="rId2281" display="立案頁"/>
    <hyperlink ref="U2283" r:id="rId2282" display="立案頁"/>
    <hyperlink ref="U2284" r:id="rId2283" display="立案頁"/>
    <hyperlink ref="U2285" r:id="rId2284" display="立案頁"/>
    <hyperlink ref="U2286" r:id="rId2285" display="立案頁"/>
    <hyperlink ref="U2287" r:id="rId2286" display="立案頁"/>
    <hyperlink ref="U2288" r:id="rId2287" display="立案頁"/>
    <hyperlink ref="U2289" r:id="rId2288" display="立案頁"/>
    <hyperlink ref="U2290" r:id="rId2289" display="立案頁"/>
    <hyperlink ref="U2291" r:id="rId2290" display="立案頁"/>
    <hyperlink ref="U2292" r:id="rId2291" display="立案頁"/>
    <hyperlink ref="U2293" r:id="rId2292" display="立案頁"/>
    <hyperlink ref="U2294" r:id="rId2293" display="立案頁"/>
    <hyperlink ref="U2295" r:id="rId2294" display="立案頁"/>
    <hyperlink ref="U2296" r:id="rId2295" display="立案頁"/>
    <hyperlink ref="U2297" r:id="rId2296" display="立案頁"/>
    <hyperlink ref="U2298" r:id="rId2297" display="立案頁"/>
    <hyperlink ref="U2299" r:id="rId2298" display="立案頁"/>
    <hyperlink ref="U2300" r:id="rId2299" display="立案頁"/>
    <hyperlink ref="U2301" r:id="rId2300" display="立案頁"/>
    <hyperlink ref="U2302" r:id="rId2301" display="立案頁"/>
    <hyperlink ref="U2303" r:id="rId2302" display="立案頁"/>
    <hyperlink ref="U2304" r:id="rId2303" display="立案頁"/>
    <hyperlink ref="U2305" r:id="rId2304" display="立案頁"/>
    <hyperlink ref="U2306" r:id="rId2305" display="立案頁"/>
    <hyperlink ref="U2307" r:id="rId2306" display="立案頁"/>
    <hyperlink ref="U2308" r:id="rId2307" display="立案頁"/>
    <hyperlink ref="U2309" r:id="rId2308" display="立案頁"/>
    <hyperlink ref="U2310" r:id="rId2309" display="立案頁"/>
    <hyperlink ref="U2311" r:id="rId2310" display="立案頁"/>
    <hyperlink ref="U2312" r:id="rId2311" display="立案頁"/>
    <hyperlink ref="U2313" r:id="rId2312" display="立案頁"/>
    <hyperlink ref="U2314" r:id="rId2313" display="立案頁"/>
    <hyperlink ref="U2315" r:id="rId2314" display="立案頁"/>
    <hyperlink ref="U2316" r:id="rId2315" display="立案頁"/>
    <hyperlink ref="U2317" r:id="rId2316" display="立案頁"/>
    <hyperlink ref="U2318" r:id="rId2317" display="立案頁"/>
    <hyperlink ref="U2319" r:id="rId2318" display="立案頁"/>
    <hyperlink ref="U2320" r:id="rId2319" display="立案頁"/>
    <hyperlink ref="U2321" r:id="rId2320" display="立案頁"/>
    <hyperlink ref="U2322" r:id="rId2321" display="立案頁"/>
    <hyperlink ref="U2323" r:id="rId2322" display="立案頁"/>
    <hyperlink ref="U2324" r:id="rId2323" display="立案頁"/>
    <hyperlink ref="U2325" r:id="rId2324" display="立案頁"/>
    <hyperlink ref="U2326" r:id="rId2325" display="立案頁"/>
    <hyperlink ref="U2327" r:id="rId2326" display="立案頁"/>
    <hyperlink ref="U2328" r:id="rId2327" display="立案頁"/>
    <hyperlink ref="U2329" r:id="rId2328" display="立案頁"/>
    <hyperlink ref="U2330" r:id="rId2329" display="立案頁"/>
    <hyperlink ref="U2331" r:id="rId2330" display="立案頁"/>
    <hyperlink ref="U2332" r:id="rId2331" display="立案頁"/>
    <hyperlink ref="U2333" r:id="rId2332" display="立案頁"/>
    <hyperlink ref="U2334" r:id="rId2333" display="立案頁"/>
    <hyperlink ref="U2335" r:id="rId2334" display="立案頁"/>
    <hyperlink ref="U2336" r:id="rId2335" display="立案頁"/>
    <hyperlink ref="U2337" r:id="rId2336" display="立案頁"/>
    <hyperlink ref="U2338" r:id="rId2337" display="立案頁"/>
    <hyperlink ref="U2339" r:id="rId2338" display="立案頁"/>
    <hyperlink ref="U2340" r:id="rId2339" display="立案頁"/>
    <hyperlink ref="U2341" r:id="rId2340" display="立案頁"/>
    <hyperlink ref="U2342" r:id="rId2341" display="立案頁"/>
    <hyperlink ref="U2343" r:id="rId2342" display="立案頁"/>
    <hyperlink ref="U2344" r:id="rId2343" display="立案頁"/>
    <hyperlink ref="U2345" r:id="rId2344" display="立案頁"/>
    <hyperlink ref="U2346" r:id="rId2345" display="立案頁"/>
    <hyperlink ref="U2347" r:id="rId2346" display="立案頁"/>
    <hyperlink ref="U2348" r:id="rId2347" display="立案頁"/>
    <hyperlink ref="U2349" r:id="rId2348" display="立案頁"/>
    <hyperlink ref="U2350" r:id="rId2349" display="立案頁"/>
    <hyperlink ref="U2351" r:id="rId2350" display="立案頁"/>
    <hyperlink ref="U2352" r:id="rId2351" display="立案頁"/>
    <hyperlink ref="U2353" r:id="rId2352" display="立案頁"/>
    <hyperlink ref="U2354" r:id="rId2353" display="立案頁"/>
    <hyperlink ref="U2355" r:id="rId2354" display="立案頁"/>
    <hyperlink ref="U2356" r:id="rId2355" display="立案頁"/>
    <hyperlink ref="U2357" r:id="rId2356" display="立案頁"/>
    <hyperlink ref="U2358" r:id="rId2357" display="立案頁"/>
    <hyperlink ref="U2359" r:id="rId2358" display="立案頁"/>
    <hyperlink ref="U2360" r:id="rId2359" display="立案頁"/>
    <hyperlink ref="U2361" r:id="rId2360" display="立案頁"/>
    <hyperlink ref="U2362" r:id="rId2361" display="立案頁"/>
    <hyperlink ref="U2363" r:id="rId2362" display="立案頁"/>
    <hyperlink ref="U2364" r:id="rId2363" display="立案頁"/>
    <hyperlink ref="U2365" r:id="rId2364" display="立案頁"/>
    <hyperlink ref="U2366" r:id="rId2365" display="立案頁"/>
    <hyperlink ref="U2367" r:id="rId2366" display="立案頁"/>
    <hyperlink ref="U2368" r:id="rId2367" display="立案頁"/>
    <hyperlink ref="U2369" r:id="rId2368" display="立案頁"/>
    <hyperlink ref="U2370" r:id="rId2369" display="立案頁"/>
    <hyperlink ref="U2371" r:id="rId2370" display="立案頁"/>
    <hyperlink ref="U2372" r:id="rId2371" display="立案頁"/>
    <hyperlink ref="U2373" r:id="rId2372" display="立案頁"/>
    <hyperlink ref="U2374" r:id="rId2373" display="立案頁"/>
    <hyperlink ref="U2375" r:id="rId2374" display="立案頁"/>
    <hyperlink ref="U2376" r:id="rId2375" display="立案頁"/>
    <hyperlink ref="U2377" r:id="rId2376" display="立案頁"/>
    <hyperlink ref="U2378" r:id="rId2377" display="立案頁"/>
    <hyperlink ref="U2379" r:id="rId2378" display="立案頁"/>
    <hyperlink ref="U2380" r:id="rId2379" display="立案頁"/>
    <hyperlink ref="U2381" r:id="rId2380" display="立案頁"/>
    <hyperlink ref="U2382" r:id="rId2381" display="立案頁"/>
    <hyperlink ref="U2383" r:id="rId2382" display="立案頁"/>
    <hyperlink ref="U2384" r:id="rId2383" display="立案頁"/>
    <hyperlink ref="U2385" r:id="rId2384" display="立案頁"/>
    <hyperlink ref="U2386" r:id="rId2385" display="立案頁"/>
    <hyperlink ref="U2387" r:id="rId2386" display="立案頁"/>
    <hyperlink ref="U2388" r:id="rId2387" display="立案頁"/>
    <hyperlink ref="U2389" r:id="rId2388" display="立案頁"/>
    <hyperlink ref="U2390" r:id="rId2389" display="立案頁"/>
    <hyperlink ref="U2391" r:id="rId2390" display="立案頁"/>
    <hyperlink ref="U2392" r:id="rId2391" display="立案頁"/>
    <hyperlink ref="U2393" r:id="rId2392" display="立案頁"/>
    <hyperlink ref="U2394" r:id="rId2393" display="立案頁"/>
    <hyperlink ref="U2395" r:id="rId2394" display="立案頁"/>
    <hyperlink ref="U2396" r:id="rId2395" display="立案頁"/>
    <hyperlink ref="U2397" r:id="rId2396" display="立案頁"/>
    <hyperlink ref="U2398" r:id="rId2397" display="立案頁"/>
    <hyperlink ref="U2399" r:id="rId2398" display="立案頁"/>
    <hyperlink ref="U2400" r:id="rId2399" display="立案頁"/>
    <hyperlink ref="U2401" r:id="rId2400" display="立案頁"/>
    <hyperlink ref="U2402" r:id="rId2401" display="立案頁"/>
    <hyperlink ref="U2403" r:id="rId2402" display="立案頁"/>
    <hyperlink ref="U2404" r:id="rId2403" display="立案頁"/>
    <hyperlink ref="U2405" r:id="rId2404" display="立案頁"/>
    <hyperlink ref="U2406" r:id="rId2405" display="立案頁"/>
    <hyperlink ref="U2407" r:id="rId2406" display="立案頁"/>
    <hyperlink ref="U2408" r:id="rId2407" display="立案頁"/>
    <hyperlink ref="U2409" r:id="rId2408" display="立案頁"/>
    <hyperlink ref="U2410" r:id="rId2409" display="立案頁"/>
    <hyperlink ref="U2411" r:id="rId2410" display="立案頁"/>
    <hyperlink ref="U2412" r:id="rId2411" display="立案頁"/>
    <hyperlink ref="U2413" r:id="rId2412" display="立案頁"/>
    <hyperlink ref="U2414" r:id="rId2413" display="立案頁"/>
    <hyperlink ref="U2415" r:id="rId2414" display="立案頁"/>
    <hyperlink ref="U2416" r:id="rId2415" display="立案頁"/>
    <hyperlink ref="U2417" r:id="rId2416" display="立案頁"/>
    <hyperlink ref="U2418" r:id="rId2417" display="立案頁"/>
    <hyperlink ref="U2419" r:id="rId2418" display="立案頁"/>
    <hyperlink ref="U2420" r:id="rId2419" display="立案頁"/>
    <hyperlink ref="U2421" r:id="rId2420" display="立案頁"/>
    <hyperlink ref="U2422" r:id="rId2421" display="立案頁"/>
    <hyperlink ref="U2423" r:id="rId2422" display="立案頁"/>
    <hyperlink ref="U2424" r:id="rId2423" display="立案頁"/>
    <hyperlink ref="U2425" r:id="rId2424" display="立案頁"/>
    <hyperlink ref="U2426" r:id="rId2425" display="立案頁"/>
    <hyperlink ref="U2427" r:id="rId2426" display="立案頁"/>
    <hyperlink ref="U2428" r:id="rId2427" display="立案頁"/>
    <hyperlink ref="U2429" r:id="rId2428" display="立案頁"/>
    <hyperlink ref="U2430" r:id="rId2429" display="立案頁"/>
    <hyperlink ref="U2431" r:id="rId2430" display="立案頁"/>
    <hyperlink ref="U2432" r:id="rId2431" display="立案頁"/>
    <hyperlink ref="U2433" r:id="rId2432" display="立案頁"/>
    <hyperlink ref="U2434" r:id="rId2433" display="立案頁"/>
    <hyperlink ref="U2435" r:id="rId2434" display="立案頁"/>
    <hyperlink ref="U2436" r:id="rId2435" display="立案頁"/>
    <hyperlink ref="U2437" r:id="rId2436" display="立案頁"/>
    <hyperlink ref="U2438" r:id="rId2437" display="立案頁"/>
    <hyperlink ref="U2439" r:id="rId2438" display="立案頁"/>
    <hyperlink ref="U2440" r:id="rId2439" display="立案頁"/>
    <hyperlink ref="U2441" r:id="rId2440" display="立案頁"/>
    <hyperlink ref="U2442" r:id="rId2441" display="立案頁"/>
    <hyperlink ref="U2443" r:id="rId2442" display="立案頁"/>
    <hyperlink ref="U2444" r:id="rId2443" display="立案頁"/>
    <hyperlink ref="U2445" r:id="rId2444" display="立案頁"/>
    <hyperlink ref="U2446" r:id="rId2445" display="立案頁"/>
    <hyperlink ref="U2447" r:id="rId2446" display="立案頁"/>
    <hyperlink ref="U2448" r:id="rId2447" display="立案頁"/>
    <hyperlink ref="U2449" r:id="rId2448" display="立案頁"/>
    <hyperlink ref="U2450" r:id="rId2449" display="立案頁"/>
    <hyperlink ref="U2451" r:id="rId2450" display="立案頁"/>
    <hyperlink ref="U2452" r:id="rId2451" display="立案頁"/>
    <hyperlink ref="U2453" r:id="rId2452" display="立案頁"/>
    <hyperlink ref="U2454" r:id="rId2453" display="立案頁"/>
    <hyperlink ref="U2455" r:id="rId2454" display="立案頁"/>
    <hyperlink ref="U2456" r:id="rId2455" display="立案頁"/>
    <hyperlink ref="U2457" r:id="rId2456" display="立案頁"/>
    <hyperlink ref="U2458" r:id="rId2457" display="立案頁"/>
    <hyperlink ref="U2459" r:id="rId2458" display="立案頁"/>
    <hyperlink ref="U2460" r:id="rId2459" display="立案頁"/>
    <hyperlink ref="U2461" r:id="rId2460" display="立案頁"/>
    <hyperlink ref="U2462" r:id="rId2461" display="立案頁"/>
    <hyperlink ref="U2463" r:id="rId2462" display="立案頁"/>
    <hyperlink ref="U2464" r:id="rId2463" display="立案頁"/>
    <hyperlink ref="U2465" r:id="rId2464" display="立案頁"/>
    <hyperlink ref="U2466" r:id="rId2465" display="立案頁"/>
    <hyperlink ref="U2467" r:id="rId2466" display="立案頁"/>
    <hyperlink ref="U2468" r:id="rId2467" display="立案頁"/>
    <hyperlink ref="U2469" r:id="rId2468" display="立案頁"/>
    <hyperlink ref="U2470" r:id="rId2469" display="立案頁"/>
    <hyperlink ref="U2471" r:id="rId2470" display="立案頁"/>
    <hyperlink ref="U2472" r:id="rId2471" display="立案頁"/>
    <hyperlink ref="U2473" r:id="rId2472" display="立案頁"/>
    <hyperlink ref="U2474" r:id="rId2473" display="立案頁"/>
    <hyperlink ref="U2475" r:id="rId2474" display="立案頁"/>
    <hyperlink ref="U2476" r:id="rId2475" display="立案頁"/>
    <hyperlink ref="U2477" r:id="rId2476" display="立案頁"/>
    <hyperlink ref="U2478" r:id="rId2477" display="立案頁"/>
    <hyperlink ref="U2479" r:id="rId2478" display="立案頁"/>
    <hyperlink ref="U2480" r:id="rId2479" display="立案頁"/>
    <hyperlink ref="U2481" r:id="rId2480" display="立案頁"/>
    <hyperlink ref="U2482" r:id="rId2481" display="立案頁"/>
    <hyperlink ref="U2483" r:id="rId2482" display="立案頁"/>
    <hyperlink ref="U2484" r:id="rId2483" display="立案頁"/>
    <hyperlink ref="U2485" r:id="rId2484" display="立案頁"/>
    <hyperlink ref="U2486" r:id="rId2485" display="立案頁"/>
    <hyperlink ref="U2487" r:id="rId2486" display="立案頁"/>
    <hyperlink ref="U2488" r:id="rId2487" display="立案頁"/>
    <hyperlink ref="U2489" r:id="rId2488" display="立案頁"/>
    <hyperlink ref="U2490" r:id="rId2489" display="立案頁"/>
    <hyperlink ref="U2491" r:id="rId2490" display="立案頁"/>
    <hyperlink ref="U2492" r:id="rId2491" display="立案頁"/>
    <hyperlink ref="U2493" r:id="rId2492" display="立案頁"/>
    <hyperlink ref="U2494" r:id="rId2493" display="立案頁"/>
    <hyperlink ref="U2495" r:id="rId2494" display="立案頁"/>
    <hyperlink ref="U2496" r:id="rId2495" display="立案頁"/>
    <hyperlink ref="U2497" r:id="rId2496" display="立案頁"/>
    <hyperlink ref="U2498" r:id="rId2497" display="立案頁"/>
    <hyperlink ref="U2499" r:id="rId2498" display="立案頁"/>
    <hyperlink ref="U2500" r:id="rId2499" display="立案頁"/>
    <hyperlink ref="U2501" r:id="rId2500" display="立案頁"/>
    <hyperlink ref="U2502" r:id="rId2501" display="立案頁"/>
    <hyperlink ref="U2503" r:id="rId2502" display="立案頁"/>
    <hyperlink ref="U2504" r:id="rId2503" display="立案頁"/>
    <hyperlink ref="U2505" r:id="rId2504" display="立案頁"/>
    <hyperlink ref="U2506" r:id="rId2505" display="立案頁"/>
    <hyperlink ref="U2507" r:id="rId2506" display="立案頁"/>
    <hyperlink ref="U2508" r:id="rId2507" display="立案頁"/>
    <hyperlink ref="U2509" r:id="rId2508" display="立案頁"/>
    <hyperlink ref="U2510" r:id="rId2509" display="立案頁"/>
    <hyperlink ref="U2511" r:id="rId2510" display="立案頁"/>
    <hyperlink ref="U2512" r:id="rId2511" display="立案頁"/>
    <hyperlink ref="U2513" r:id="rId2512" display="立案頁"/>
    <hyperlink ref="U2514" r:id="rId2513" display="立案頁"/>
    <hyperlink ref="U2515" r:id="rId2514" display="立案頁"/>
    <hyperlink ref="U2516" r:id="rId2515" display="立案頁"/>
    <hyperlink ref="U2517" r:id="rId2516" display="立案頁"/>
    <hyperlink ref="U2518" r:id="rId2517" display="立案頁"/>
    <hyperlink ref="U2519" r:id="rId2518" display="立案頁"/>
    <hyperlink ref="U2520" r:id="rId2519" display="立案頁"/>
    <hyperlink ref="U2521" r:id="rId2520" display="立案頁"/>
    <hyperlink ref="U2522" r:id="rId2521" display="立案頁"/>
    <hyperlink ref="U2523" r:id="rId2522" display="立案頁"/>
    <hyperlink ref="U2524" r:id="rId2523" display="立案頁"/>
    <hyperlink ref="U2525" r:id="rId2524" display="立案頁"/>
    <hyperlink ref="U2526" r:id="rId2525" display="立案頁"/>
    <hyperlink ref="U2527" r:id="rId2526" display="立案頁"/>
    <hyperlink ref="U2528" r:id="rId2527" display="立案頁"/>
    <hyperlink ref="U2529" r:id="rId2528" display="立案頁"/>
    <hyperlink ref="U2530" r:id="rId2529" display="立案頁"/>
    <hyperlink ref="U2531" r:id="rId2530" display="立案頁"/>
    <hyperlink ref="U2532" r:id="rId2531" display="立案頁"/>
    <hyperlink ref="U2533" r:id="rId2532" display="立案頁"/>
    <hyperlink ref="U2534" r:id="rId2533" display="立案頁"/>
    <hyperlink ref="U2535" r:id="rId2534" display="立案頁"/>
    <hyperlink ref="U2536" r:id="rId2535" display="立案頁"/>
    <hyperlink ref="U2537" r:id="rId2536" display="立案頁"/>
    <hyperlink ref="U2538" r:id="rId2537" display="立案頁"/>
    <hyperlink ref="U2539" r:id="rId2538" display="立案頁"/>
    <hyperlink ref="U2540" r:id="rId2539" display="立案頁"/>
    <hyperlink ref="U2541" r:id="rId2540" display="立案頁"/>
    <hyperlink ref="U2542" r:id="rId2541" display="立案頁"/>
    <hyperlink ref="U2543" r:id="rId2542" display="立案頁"/>
    <hyperlink ref="U2544" r:id="rId2543" display="立案頁"/>
    <hyperlink ref="U2545" r:id="rId2544" display="立案頁"/>
    <hyperlink ref="U2546" r:id="rId2545" display="立案頁"/>
    <hyperlink ref="U2547" r:id="rId2546" display="立案頁"/>
    <hyperlink ref="U2548" r:id="rId2547" display="立案頁"/>
    <hyperlink ref="U2549" r:id="rId2548" display="立案頁"/>
    <hyperlink ref="U2550" r:id="rId2549" display="立案頁"/>
    <hyperlink ref="U2551" r:id="rId2550" display="立案頁"/>
    <hyperlink ref="U2552" r:id="rId2551" display="立案頁"/>
    <hyperlink ref="U2553" r:id="rId2552" display="立案頁"/>
    <hyperlink ref="U2554" r:id="rId2553" display="立案頁"/>
    <hyperlink ref="U2555" r:id="rId2554" display="立案頁"/>
    <hyperlink ref="U2556" r:id="rId2555" display="立案頁"/>
    <hyperlink ref="U2557" r:id="rId2556" display="立案頁"/>
    <hyperlink ref="U2558" r:id="rId2557" display="立案頁"/>
    <hyperlink ref="U2559" r:id="rId2558" display="立案頁"/>
    <hyperlink ref="U2560" r:id="rId2559" display="立案頁"/>
    <hyperlink ref="U2561" r:id="rId2560" display="立案頁"/>
    <hyperlink ref="U2562" r:id="rId2561" display="立案頁"/>
    <hyperlink ref="U2563" r:id="rId2562" display="立案頁"/>
    <hyperlink ref="U2564" r:id="rId2563" display="立案頁"/>
    <hyperlink ref="U2565" r:id="rId2564" display="立案頁"/>
    <hyperlink ref="U2566" r:id="rId2565" display="立案頁"/>
    <hyperlink ref="U2567" r:id="rId2566" display="立案頁"/>
    <hyperlink ref="U2568" r:id="rId2567" display="立案頁"/>
    <hyperlink ref="U2569" r:id="rId2568" display="立案頁"/>
    <hyperlink ref="U2570" r:id="rId2569" display="立案頁"/>
    <hyperlink ref="U2571" r:id="rId2570" display="立案頁"/>
    <hyperlink ref="U2572" r:id="rId2571" display="立案頁"/>
    <hyperlink ref="U2573" r:id="rId2572" display="立案頁"/>
    <hyperlink ref="U2574" r:id="rId2573" display="立案頁"/>
    <hyperlink ref="U2575" r:id="rId2574" display="立案頁"/>
    <hyperlink ref="U2576" r:id="rId2575" display="立案頁"/>
    <hyperlink ref="U2577" r:id="rId2576" display="立案頁"/>
    <hyperlink ref="U2578" r:id="rId2577" display="立案頁"/>
    <hyperlink ref="U2579" r:id="rId2578" display="立案頁"/>
    <hyperlink ref="U2580" r:id="rId2579" display="立案頁"/>
    <hyperlink ref="U2581" r:id="rId2580" display="立案頁"/>
    <hyperlink ref="U2582" r:id="rId2581" display="立案頁"/>
    <hyperlink ref="U2583" r:id="rId2582" display="立案頁"/>
    <hyperlink ref="U2584" r:id="rId2583" display="立案頁"/>
    <hyperlink ref="U2585" r:id="rId2584" display="立案頁"/>
    <hyperlink ref="U2586" r:id="rId2585" display="立案頁"/>
    <hyperlink ref="U2587" r:id="rId2586" display="立案頁"/>
    <hyperlink ref="U2588" r:id="rId2587" display="立案頁"/>
    <hyperlink ref="U2589" r:id="rId2588" display="立案頁"/>
    <hyperlink ref="U2590" r:id="rId2589" display="立案頁"/>
    <hyperlink ref="U2591" r:id="rId2590" display="立案頁"/>
    <hyperlink ref="U2592" r:id="rId2591" display="立案頁"/>
    <hyperlink ref="U2593" r:id="rId2592" display="立案頁"/>
    <hyperlink ref="U2594" r:id="rId2593" display="立案頁"/>
    <hyperlink ref="U2595" r:id="rId2594" display="立案頁"/>
    <hyperlink ref="U2596" r:id="rId2595" display="立案頁"/>
    <hyperlink ref="U2597" r:id="rId2596" display="立案頁"/>
    <hyperlink ref="U2598" r:id="rId2597" display="立案頁"/>
    <hyperlink ref="U2599" r:id="rId2598" display="立案頁"/>
    <hyperlink ref="U2600" r:id="rId2599" display="立案頁"/>
    <hyperlink ref="U2601" r:id="rId2600" display="立案頁"/>
    <hyperlink ref="U2602" r:id="rId2601" display="立案頁"/>
    <hyperlink ref="U2603" r:id="rId2602" display="立案頁"/>
    <hyperlink ref="U2604" r:id="rId2603" display="立案頁"/>
    <hyperlink ref="U2605" r:id="rId2604" display="立案頁"/>
    <hyperlink ref="U2606" r:id="rId2605" display="立案頁"/>
    <hyperlink ref="U2607" r:id="rId2606" display="立案頁"/>
    <hyperlink ref="U2608" r:id="rId2607" display="立案頁"/>
    <hyperlink ref="U2609" r:id="rId2608" display="立案頁"/>
    <hyperlink ref="U2610" r:id="rId2609" display="立案頁"/>
    <hyperlink ref="U2611" r:id="rId2610" display="立案頁"/>
    <hyperlink ref="U2612" r:id="rId2611" display="立案頁"/>
    <hyperlink ref="U2613" r:id="rId2612" display="立案頁"/>
    <hyperlink ref="U2614" r:id="rId2613" display="立案頁"/>
    <hyperlink ref="U2615" r:id="rId2614" display="立案頁"/>
    <hyperlink ref="U2616" r:id="rId2615" display="立案頁"/>
    <hyperlink ref="U2617" r:id="rId2616" display="立案頁"/>
    <hyperlink ref="U2618" r:id="rId2617" display="立案頁"/>
    <hyperlink ref="U2619" r:id="rId2618" display="立案頁"/>
    <hyperlink ref="U2620" r:id="rId2619" display="立案頁"/>
    <hyperlink ref="U2621" r:id="rId2620" display="立案頁"/>
    <hyperlink ref="U2622" r:id="rId2621" display="立案頁"/>
    <hyperlink ref="U2623" r:id="rId2622" display="立案頁"/>
    <hyperlink ref="U2624" r:id="rId2623" display="立案頁"/>
    <hyperlink ref="U2625" r:id="rId2624" display="立案頁"/>
    <hyperlink ref="U2626" r:id="rId2625" display="立案頁"/>
    <hyperlink ref="U2627" r:id="rId2626" display="立案頁"/>
    <hyperlink ref="U2628" r:id="rId2627" display="立案頁"/>
    <hyperlink ref="U2629" r:id="rId2628" display="立案頁"/>
    <hyperlink ref="U2630" r:id="rId2629" display="立案頁"/>
    <hyperlink ref="U2631" r:id="rId2630" display="立案頁"/>
    <hyperlink ref="U2632" r:id="rId2631" display="立案頁"/>
    <hyperlink ref="U2633" r:id="rId2632" display="立案頁"/>
    <hyperlink ref="U2634" r:id="rId2633" display="立案頁"/>
    <hyperlink ref="U2635" r:id="rId2634" display="立案頁"/>
    <hyperlink ref="U2636" r:id="rId2635" display="立案頁"/>
    <hyperlink ref="U2637" r:id="rId2636" display="立案頁"/>
    <hyperlink ref="U2638" r:id="rId2637" display="立案頁"/>
    <hyperlink ref="U2639" r:id="rId2638" display="立案頁"/>
    <hyperlink ref="U2640" r:id="rId2639" display="立案頁"/>
    <hyperlink ref="U2641" r:id="rId2640" display="立案頁"/>
    <hyperlink ref="U2642" r:id="rId2641" display="立案頁"/>
    <hyperlink ref="U2643" r:id="rId2642" display="立案頁"/>
    <hyperlink ref="U2644" r:id="rId2643" display="立案頁"/>
    <hyperlink ref="U2645" r:id="rId2644" display="立案頁"/>
    <hyperlink ref="U2646" r:id="rId2645" display="立案頁"/>
    <hyperlink ref="U2647" r:id="rId2646" display="立案頁"/>
    <hyperlink ref="U2648" r:id="rId2647" display="立案頁"/>
    <hyperlink ref="U2649" r:id="rId2648" display="立案頁"/>
    <hyperlink ref="U2650" r:id="rId2649" display="立案頁"/>
    <hyperlink ref="U2651" r:id="rId2650" display="立案頁"/>
    <hyperlink ref="U2652" r:id="rId2651" display="立案頁"/>
    <hyperlink ref="U2653" r:id="rId2652" display="立案頁"/>
    <hyperlink ref="U2654" r:id="rId2653" display="立案頁"/>
    <hyperlink ref="U2655" r:id="rId2654" display="立案頁"/>
    <hyperlink ref="U2656" r:id="rId2655" display="立案頁"/>
    <hyperlink ref="U2657" r:id="rId2656" display="立案頁"/>
    <hyperlink ref="U2658" r:id="rId2657" display="立案頁"/>
    <hyperlink ref="U2659" r:id="rId2658" display="立案頁"/>
    <hyperlink ref="U2660" r:id="rId2659" display="立案頁"/>
    <hyperlink ref="U2661" r:id="rId2660" display="立案頁"/>
    <hyperlink ref="U2662" r:id="rId2661" display="立案頁"/>
    <hyperlink ref="U2663" r:id="rId2662" display="立案頁"/>
    <hyperlink ref="U2664" r:id="rId2663" display="立案頁"/>
    <hyperlink ref="U2665" r:id="rId2664" display="立案頁"/>
    <hyperlink ref="U2666" r:id="rId2665" display="立案頁"/>
    <hyperlink ref="U2667" r:id="rId2666" display="立案頁"/>
    <hyperlink ref="U2668" r:id="rId2667" display="立案頁"/>
    <hyperlink ref="U2669" r:id="rId2668" display="立案頁"/>
    <hyperlink ref="U2670" r:id="rId2669" display="立案頁"/>
    <hyperlink ref="U2671" r:id="rId2670" display="立案頁"/>
    <hyperlink ref="U2672" r:id="rId2671" display="立案頁"/>
    <hyperlink ref="U2673" r:id="rId2672" display="立案頁"/>
    <hyperlink ref="U2674" r:id="rId2673" display="立案頁"/>
    <hyperlink ref="U2675" r:id="rId2674" display="立案頁"/>
    <hyperlink ref="U2676" r:id="rId2675" display="立案頁"/>
    <hyperlink ref="U2677" r:id="rId2676" display="立案頁"/>
    <hyperlink ref="U2678" r:id="rId2677" display="立案頁"/>
    <hyperlink ref="U2679" r:id="rId2678" display="立案頁"/>
    <hyperlink ref="U2680" r:id="rId2679" display="立案頁"/>
    <hyperlink ref="U2681" r:id="rId2680" display="立案頁"/>
    <hyperlink ref="U2682" r:id="rId2681" display="立案頁"/>
    <hyperlink ref="U2683" r:id="rId2682" display="立案頁"/>
    <hyperlink ref="U2684" r:id="rId2683" display="立案頁"/>
    <hyperlink ref="U2685" r:id="rId2684" display="立案頁"/>
    <hyperlink ref="U2686" r:id="rId2685" display="立案頁"/>
    <hyperlink ref="U2687" r:id="rId2686" display="立案頁"/>
    <hyperlink ref="U2688" r:id="rId2687" display="立案頁"/>
    <hyperlink ref="U2689" r:id="rId2688" display="立案頁"/>
    <hyperlink ref="U2690" r:id="rId2689" display="立案頁"/>
    <hyperlink ref="U2691" r:id="rId2690" display="立案頁"/>
    <hyperlink ref="U2692" r:id="rId2691" display="立案頁"/>
    <hyperlink ref="U2693" r:id="rId2692" display="立案頁"/>
    <hyperlink ref="U2694" r:id="rId2693" display="立案頁"/>
    <hyperlink ref="U2695" r:id="rId2694" display="立案頁"/>
    <hyperlink ref="U2696" r:id="rId2695" display="立案頁"/>
    <hyperlink ref="U2697" r:id="rId2696" display="立案頁"/>
    <hyperlink ref="U2698" r:id="rId2697" display="立案頁"/>
    <hyperlink ref="U2699" r:id="rId2698" display="立案頁"/>
    <hyperlink ref="U2700" r:id="rId2699" display="立案頁"/>
    <hyperlink ref="U2701" r:id="rId2700" display="立案頁"/>
    <hyperlink ref="U2702" r:id="rId2701" display="立案頁"/>
    <hyperlink ref="U2703" r:id="rId2702" display="立案頁"/>
    <hyperlink ref="U2704" r:id="rId2703" display="立案頁"/>
    <hyperlink ref="U2705" r:id="rId2704" display="立案頁"/>
    <hyperlink ref="U2706" r:id="rId2705" display="立案頁"/>
    <hyperlink ref="U2707" r:id="rId2706" display="立案頁"/>
    <hyperlink ref="U2708" r:id="rId2707" display="立案頁"/>
    <hyperlink ref="U2709" r:id="rId2708" display="立案頁"/>
    <hyperlink ref="U2710" r:id="rId2709" display="立案頁"/>
    <hyperlink ref="U2711" r:id="rId2710" display="立案頁"/>
    <hyperlink ref="U2712" r:id="rId2711" display="立案頁"/>
    <hyperlink ref="U2713" r:id="rId2712" display="立案頁"/>
    <hyperlink ref="U2714" r:id="rId2713" display="立案頁"/>
    <hyperlink ref="U2715" r:id="rId2714" display="立案頁"/>
    <hyperlink ref="U2716" r:id="rId2715" display="立案頁"/>
    <hyperlink ref="U2717" r:id="rId2716" display="立案頁"/>
    <hyperlink ref="U2718" r:id="rId2717" display="立案頁"/>
    <hyperlink ref="U2719" r:id="rId2718" display="立案頁"/>
    <hyperlink ref="U2720" r:id="rId2719" display="立案頁"/>
    <hyperlink ref="U2721" r:id="rId2720" display="立案頁"/>
    <hyperlink ref="U2722" r:id="rId2721" display="立案頁"/>
    <hyperlink ref="U2723" r:id="rId2722" display="立案頁"/>
    <hyperlink ref="U2724" r:id="rId2723" display="立案頁"/>
    <hyperlink ref="U2725" r:id="rId2724" display="立案頁"/>
    <hyperlink ref="U2726" r:id="rId2725" display="立案頁"/>
    <hyperlink ref="U2727" r:id="rId2726" display="立案頁"/>
    <hyperlink ref="U2728" r:id="rId2727" display="立案頁"/>
    <hyperlink ref="U2729" r:id="rId2728" display="立案頁"/>
    <hyperlink ref="U2730" r:id="rId2729" display="立案頁"/>
    <hyperlink ref="U2731" r:id="rId2730" display="立案頁"/>
    <hyperlink ref="U2732" r:id="rId2731" display="立案頁"/>
    <hyperlink ref="U2733" r:id="rId2732" display="立案頁"/>
    <hyperlink ref="U2734" r:id="rId2733" display="立案頁"/>
    <hyperlink ref="U2735" r:id="rId2734" display="立案頁"/>
    <hyperlink ref="U2736" r:id="rId2735" display="立案頁"/>
    <hyperlink ref="U2737" r:id="rId2736" display="立案頁"/>
    <hyperlink ref="U2738" r:id="rId2737" display="立案頁"/>
    <hyperlink ref="U2739" r:id="rId2738" display="立案頁"/>
    <hyperlink ref="U2740" r:id="rId2739" display="立案頁"/>
    <hyperlink ref="U2741" r:id="rId2740" display="立案頁"/>
    <hyperlink ref="U2742" r:id="rId2741" display="立案頁"/>
    <hyperlink ref="U2743" r:id="rId2742" display="立案頁"/>
    <hyperlink ref="U2744" r:id="rId2743" display="立案頁"/>
    <hyperlink ref="U2745" r:id="rId2744" display="立案頁"/>
    <hyperlink ref="U2746" r:id="rId2745" display="立案頁"/>
    <hyperlink ref="U2747" r:id="rId2746" display="立案頁"/>
    <hyperlink ref="U2748" r:id="rId2747" display="立案頁"/>
    <hyperlink ref="U2749" r:id="rId2748" display="立案頁"/>
    <hyperlink ref="U2750" r:id="rId2749" display="立案頁"/>
    <hyperlink ref="U2751" r:id="rId2750" display="立案頁"/>
    <hyperlink ref="U2752" r:id="rId2751" display="立案頁"/>
    <hyperlink ref="U2753" r:id="rId2752" display="立案頁"/>
    <hyperlink ref="U2754" r:id="rId2753" display="立案頁"/>
    <hyperlink ref="U2755" r:id="rId2754" display="立案頁"/>
    <hyperlink ref="U2756" r:id="rId2755" display="立案頁"/>
    <hyperlink ref="U2757" r:id="rId2756" display="立案頁"/>
    <hyperlink ref="U2758" r:id="rId2757" display="立案頁"/>
    <hyperlink ref="U2759" r:id="rId2758" display="立案頁"/>
    <hyperlink ref="U2760" r:id="rId2759" display="立案頁"/>
    <hyperlink ref="U2761" r:id="rId2760" display="立案頁"/>
    <hyperlink ref="U2762" r:id="rId2761" display="立案頁"/>
    <hyperlink ref="U2763" r:id="rId2762" display="立案頁"/>
    <hyperlink ref="U2764" r:id="rId2763" display="立案頁"/>
    <hyperlink ref="U2765" r:id="rId2764" display="立案頁"/>
    <hyperlink ref="U2766" r:id="rId2765" display="立案頁"/>
    <hyperlink ref="U2767" r:id="rId2766" display="立案頁"/>
    <hyperlink ref="U2768" r:id="rId2767" display="立案頁"/>
    <hyperlink ref="U2769" r:id="rId2768" display="立案頁"/>
    <hyperlink ref="U2770" r:id="rId2769" display="立案頁"/>
    <hyperlink ref="U2771" r:id="rId2770" display="立案頁"/>
    <hyperlink ref="U2772" r:id="rId2771" display="立案頁"/>
    <hyperlink ref="U2773" r:id="rId2772" display="立案頁"/>
    <hyperlink ref="U2774" r:id="rId2773" display="立案頁"/>
    <hyperlink ref="U2775" r:id="rId2774" display="立案頁"/>
    <hyperlink ref="U2776" r:id="rId2775" display="立案頁"/>
    <hyperlink ref="U2777" r:id="rId2776" display="立案頁"/>
    <hyperlink ref="U2778" r:id="rId2777" display="立案頁"/>
    <hyperlink ref="U2779" r:id="rId2778" display="立案頁"/>
    <hyperlink ref="U2780" r:id="rId2779" display="立案頁"/>
    <hyperlink ref="U2781" r:id="rId2780" display="立案頁"/>
    <hyperlink ref="U2782" r:id="rId2781" display="立案頁"/>
    <hyperlink ref="U2783" r:id="rId2782" display="立案頁"/>
    <hyperlink ref="U2784" r:id="rId2783" display="立案頁"/>
    <hyperlink ref="U2785" r:id="rId2784" display="立案頁"/>
    <hyperlink ref="U2786" r:id="rId2785" display="立案頁"/>
    <hyperlink ref="U2787" r:id="rId2786" display="立案頁"/>
    <hyperlink ref="U2788" r:id="rId2787" display="立案頁"/>
    <hyperlink ref="U2789" r:id="rId2788" display="立案頁"/>
    <hyperlink ref="U2790" r:id="rId2789" display="立案頁"/>
    <hyperlink ref="U2791" r:id="rId2790" display="立案頁"/>
    <hyperlink ref="U2792" r:id="rId2791" display="立案頁"/>
    <hyperlink ref="U2793" r:id="rId2792" display="立案頁"/>
    <hyperlink ref="U2794" r:id="rId2793" display="立案頁"/>
    <hyperlink ref="U2795" r:id="rId2794" display="立案頁"/>
    <hyperlink ref="U2796" r:id="rId2795" display="立案頁"/>
    <hyperlink ref="U2797" r:id="rId2796" display="立案頁"/>
    <hyperlink ref="U2798" r:id="rId2797" display="立案頁"/>
    <hyperlink ref="U2799" r:id="rId2798" display="立案頁"/>
    <hyperlink ref="U2800" r:id="rId2799" display="立案頁"/>
    <hyperlink ref="U2801" r:id="rId2800" display="立案頁"/>
    <hyperlink ref="U2802" r:id="rId2801" display="立案頁"/>
    <hyperlink ref="U2803" r:id="rId2802" display="立案頁"/>
    <hyperlink ref="U2804" r:id="rId2803" display="立案頁"/>
    <hyperlink ref="U2805" r:id="rId2804" display="立案頁"/>
    <hyperlink ref="U2806" r:id="rId2805" display="立案頁"/>
    <hyperlink ref="U2807" r:id="rId2806" display="立案頁"/>
    <hyperlink ref="U2808" r:id="rId2807" display="立案頁"/>
    <hyperlink ref="U2809" r:id="rId2808" display="立案頁"/>
    <hyperlink ref="U2810" r:id="rId2809" display="立案頁"/>
    <hyperlink ref="U2811" r:id="rId2810" display="立案頁"/>
    <hyperlink ref="U2812" r:id="rId2811" display="立案頁"/>
    <hyperlink ref="U2813" r:id="rId2812" display="立案頁"/>
    <hyperlink ref="U2814" r:id="rId2813" display="立案頁"/>
    <hyperlink ref="U2815" r:id="rId2814" display="立案頁"/>
    <hyperlink ref="U2816" r:id="rId2815" display="立案頁"/>
    <hyperlink ref="U2817" r:id="rId2816" display="立案頁"/>
    <hyperlink ref="U2818" r:id="rId2817" display="立案頁"/>
    <hyperlink ref="U2819" r:id="rId2818" display="立案頁"/>
    <hyperlink ref="U2820" r:id="rId2819" display="立案頁"/>
    <hyperlink ref="U2821" r:id="rId2820" display="立案頁"/>
    <hyperlink ref="U2822" r:id="rId2821" display="立案頁"/>
    <hyperlink ref="U2823" r:id="rId2822" display="立案頁"/>
    <hyperlink ref="U2824" r:id="rId2823" display="立案頁"/>
    <hyperlink ref="U2825" r:id="rId2824" display="立案頁"/>
    <hyperlink ref="U2826" r:id="rId2825" display="立案頁"/>
    <hyperlink ref="U2827" r:id="rId2826" display="立案頁"/>
    <hyperlink ref="U2828" r:id="rId2827" display="立案頁"/>
    <hyperlink ref="U2829" r:id="rId2828" display="立案頁"/>
    <hyperlink ref="U2830" r:id="rId2829" display="立案頁"/>
    <hyperlink ref="U2831" r:id="rId2830" display="立案頁"/>
    <hyperlink ref="U2832" r:id="rId2831" display="立案頁"/>
    <hyperlink ref="U2833" r:id="rId2832" display="立案頁"/>
    <hyperlink ref="U2834" r:id="rId2833" display="立案頁"/>
    <hyperlink ref="U2835" r:id="rId2834" display="立案頁"/>
    <hyperlink ref="U2836" r:id="rId2835" display="立案頁"/>
    <hyperlink ref="U2837" r:id="rId2836" display="立案頁"/>
    <hyperlink ref="U2838" r:id="rId2837" display="立案頁"/>
    <hyperlink ref="U2839" r:id="rId2838" display="立案頁"/>
    <hyperlink ref="U2840" r:id="rId2839" display="立案頁"/>
    <hyperlink ref="U2841" r:id="rId2840" display="立案頁"/>
    <hyperlink ref="U2842" r:id="rId2841" display="立案頁"/>
    <hyperlink ref="U2843" r:id="rId2842" display="立案頁"/>
    <hyperlink ref="U2844" r:id="rId2843" display="立案頁"/>
    <hyperlink ref="U2845" r:id="rId2844" display="立案頁"/>
    <hyperlink ref="U2846" r:id="rId2845" display="立案頁"/>
    <hyperlink ref="U2847" r:id="rId2846" display="立案頁"/>
    <hyperlink ref="U2848" r:id="rId2847" display="立案頁"/>
    <hyperlink ref="U2849" r:id="rId2848" display="立案頁"/>
    <hyperlink ref="U2850" r:id="rId2849" display="立案頁"/>
    <hyperlink ref="U2851" r:id="rId2850" display="立案頁"/>
    <hyperlink ref="U2852" r:id="rId2851" display="立案頁"/>
    <hyperlink ref="U2853" r:id="rId2852" display="立案頁"/>
    <hyperlink ref="U2854" r:id="rId2853" display="立案頁"/>
    <hyperlink ref="U2855" r:id="rId2854" display="立案頁"/>
    <hyperlink ref="U2856" r:id="rId2855" display="立案頁"/>
    <hyperlink ref="U2857" r:id="rId2856" display="立案頁"/>
    <hyperlink ref="U2858" r:id="rId2857" display="立案頁"/>
    <hyperlink ref="U2859" r:id="rId2858" display="立案頁"/>
    <hyperlink ref="U2860" r:id="rId2859" display="立案頁"/>
    <hyperlink ref="U2861" r:id="rId2860" display="立案頁"/>
    <hyperlink ref="U2862" r:id="rId2861" display="立案頁"/>
    <hyperlink ref="U2863" r:id="rId2862" display="立案頁"/>
    <hyperlink ref="U2864" r:id="rId2863" display="立案頁"/>
    <hyperlink ref="U2865" r:id="rId2864" display="立案頁"/>
    <hyperlink ref="U2866" r:id="rId2865" display="立案頁"/>
    <hyperlink ref="U2867" r:id="rId2866" display="立案頁"/>
    <hyperlink ref="U2868" r:id="rId2867" display="立案頁"/>
    <hyperlink ref="U2869" r:id="rId2868" display="立案頁"/>
    <hyperlink ref="U2870" r:id="rId2869" display="立案頁"/>
    <hyperlink ref="U2871" r:id="rId2870" display="立案頁"/>
    <hyperlink ref="U2872" r:id="rId2871" display="立案頁"/>
    <hyperlink ref="U2873" r:id="rId2872" display="立案頁"/>
    <hyperlink ref="U2874" r:id="rId2873" display="立案頁"/>
    <hyperlink ref="U2875" r:id="rId2874" display="立案頁"/>
    <hyperlink ref="U2876" r:id="rId2875" display="立案頁"/>
    <hyperlink ref="U2877" r:id="rId2876" display="立案頁"/>
    <hyperlink ref="U2878" r:id="rId2877" display="立案頁"/>
    <hyperlink ref="U2879" r:id="rId2878" display="立案頁"/>
    <hyperlink ref="U2880" r:id="rId2879" display="立案頁"/>
    <hyperlink ref="U2881" r:id="rId2880" display="立案頁"/>
    <hyperlink ref="U2882" r:id="rId2881" display="立案頁"/>
    <hyperlink ref="U2883" r:id="rId2882" display="立案頁"/>
    <hyperlink ref="U2884" r:id="rId2883" display="立案頁"/>
    <hyperlink ref="U2885" r:id="rId2884" display="立案頁"/>
    <hyperlink ref="U2886" r:id="rId2885" display="立案頁"/>
    <hyperlink ref="U2887" r:id="rId2886" display="立案頁"/>
    <hyperlink ref="U2888" r:id="rId2887" display="立案頁"/>
    <hyperlink ref="U2889" r:id="rId2888" display="立案頁"/>
    <hyperlink ref="U2890" r:id="rId2889" display="立案頁"/>
    <hyperlink ref="U2891" r:id="rId2890" display="立案頁"/>
    <hyperlink ref="U2892" r:id="rId2891" display="立案頁"/>
    <hyperlink ref="U2893" r:id="rId2892" display="立案頁"/>
    <hyperlink ref="U2894" r:id="rId2893" display="立案頁"/>
    <hyperlink ref="U2895" r:id="rId2894" display="立案頁"/>
    <hyperlink ref="U2896" r:id="rId2895" display="立案頁"/>
    <hyperlink ref="U2897" r:id="rId2896" display="立案頁"/>
    <hyperlink ref="U2898" r:id="rId2897" display="立案頁"/>
    <hyperlink ref="U2899" r:id="rId2898" display="立案頁"/>
    <hyperlink ref="U2900" r:id="rId2899" display="立案頁"/>
    <hyperlink ref="U2901" r:id="rId2900" display="立案頁"/>
    <hyperlink ref="U2902" r:id="rId2901" display="立案頁"/>
    <hyperlink ref="U2903" r:id="rId2902" display="立案頁"/>
    <hyperlink ref="U2904" r:id="rId2903" display="立案頁"/>
    <hyperlink ref="U2905" r:id="rId2904" display="立案頁"/>
    <hyperlink ref="U2906" r:id="rId2905" display="立案頁"/>
    <hyperlink ref="U2907" r:id="rId2906" display="立案頁"/>
    <hyperlink ref="U2908" r:id="rId2907" display="立案頁"/>
    <hyperlink ref="U2909" r:id="rId2908" display="立案頁"/>
    <hyperlink ref="U2910" r:id="rId2909" display="立案頁"/>
    <hyperlink ref="U2911" r:id="rId2910" display="立案頁"/>
    <hyperlink ref="U2912" r:id="rId2911" display="立案頁"/>
    <hyperlink ref="U2913" r:id="rId2912" display="立案頁"/>
    <hyperlink ref="U2914" r:id="rId2913" display="立案頁"/>
    <hyperlink ref="U2915" r:id="rId2914" display="立案頁"/>
    <hyperlink ref="U2916" r:id="rId2915" display="立案頁"/>
    <hyperlink ref="U2917" r:id="rId2916" display="立案頁"/>
    <hyperlink ref="U2918" r:id="rId2917" display="立案頁"/>
    <hyperlink ref="U2919" r:id="rId2918" display="立案頁"/>
    <hyperlink ref="U2920" r:id="rId2919" display="立案頁"/>
    <hyperlink ref="U2921" r:id="rId2920" display="立案頁"/>
    <hyperlink ref="U2922" r:id="rId2921" display="立案頁"/>
    <hyperlink ref="U2923" r:id="rId2922" display="立案頁"/>
    <hyperlink ref="U2924" r:id="rId2923" display="立案頁"/>
    <hyperlink ref="U2925" r:id="rId2924" display="立案頁"/>
    <hyperlink ref="U2926" r:id="rId2925" display="立案頁"/>
    <hyperlink ref="U2927" r:id="rId2926" display="立案頁"/>
    <hyperlink ref="U2928" r:id="rId2927" display="立案頁"/>
    <hyperlink ref="U2929" r:id="rId2928" display="立案頁"/>
    <hyperlink ref="U2930" r:id="rId2929" display="立案頁"/>
    <hyperlink ref="U2931" r:id="rId2930" display="立案頁"/>
    <hyperlink ref="U2932" r:id="rId2931" display="立案頁"/>
    <hyperlink ref="U2933" r:id="rId2932" display="立案頁"/>
    <hyperlink ref="U2934" r:id="rId2933" display="立案頁"/>
    <hyperlink ref="U2935" r:id="rId2934" display="立案頁"/>
    <hyperlink ref="U2936" r:id="rId2935" display="立案頁"/>
    <hyperlink ref="U2937" r:id="rId2936" display="立案頁"/>
    <hyperlink ref="U2938" r:id="rId2937" display="立案頁"/>
    <hyperlink ref="U2939" r:id="rId2938" display="立案頁"/>
    <hyperlink ref="U2940" r:id="rId2939" display="立案頁"/>
    <hyperlink ref="U2941" r:id="rId2940" display="立案頁"/>
    <hyperlink ref="U2942" r:id="rId2941" display="立案頁"/>
    <hyperlink ref="U2943" r:id="rId2942" display="立案頁"/>
    <hyperlink ref="U2944" r:id="rId2943" display="立案頁"/>
    <hyperlink ref="U2945" r:id="rId2944" display="立案頁"/>
    <hyperlink ref="U2946" r:id="rId2945" display="立案頁"/>
    <hyperlink ref="U2947" r:id="rId2946" display="立案頁"/>
    <hyperlink ref="U2948" r:id="rId2947" display="立案頁"/>
    <hyperlink ref="U2949" r:id="rId2948" display="立案頁"/>
    <hyperlink ref="U2950" r:id="rId2949" display="立案頁"/>
    <hyperlink ref="U2951" r:id="rId2950" display="立案頁"/>
    <hyperlink ref="U2952" r:id="rId2951" display="立案頁"/>
    <hyperlink ref="U2953" r:id="rId2952" display="立案頁"/>
    <hyperlink ref="U2954" r:id="rId2953" display="立案頁"/>
    <hyperlink ref="U2955" r:id="rId2954" display="立案頁"/>
    <hyperlink ref="U2956" r:id="rId2955" display="立案頁"/>
    <hyperlink ref="U2957" r:id="rId2956" display="立案頁"/>
    <hyperlink ref="U2958" r:id="rId2957" display="立案頁"/>
    <hyperlink ref="U2959" r:id="rId2958" display="立案頁"/>
    <hyperlink ref="U2960" r:id="rId2959" display="立案頁"/>
    <hyperlink ref="U2961" r:id="rId2960" display="立案頁"/>
    <hyperlink ref="U2962" r:id="rId2961" display="立案頁"/>
    <hyperlink ref="U2963" r:id="rId2962" display="立案頁"/>
    <hyperlink ref="U2964" r:id="rId2963" display="立案頁"/>
    <hyperlink ref="U2965" r:id="rId2964" display="立案頁"/>
    <hyperlink ref="U2966" r:id="rId2965" display="立案頁"/>
    <hyperlink ref="U2967" r:id="rId2966" display="立案頁"/>
    <hyperlink ref="U2968" r:id="rId2967" display="立案頁"/>
    <hyperlink ref="U2969" r:id="rId2968" display="立案頁"/>
    <hyperlink ref="U2970" r:id="rId2969" display="立案頁"/>
    <hyperlink ref="U2971" r:id="rId2970" display="立案頁"/>
    <hyperlink ref="U2972" r:id="rId2971" display="立案頁"/>
    <hyperlink ref="U2973" r:id="rId2972" display="立案頁"/>
    <hyperlink ref="U2974" r:id="rId2973" display="立案頁"/>
    <hyperlink ref="U2975" r:id="rId2974" display="立案頁"/>
    <hyperlink ref="U2976" r:id="rId2975" display="立案頁"/>
    <hyperlink ref="U2977" r:id="rId2976" display="立案頁"/>
    <hyperlink ref="U2978" r:id="rId2977" display="立案頁"/>
    <hyperlink ref="U2979" r:id="rId2978" display="立案頁"/>
    <hyperlink ref="U2980" r:id="rId2979" display="立案頁"/>
    <hyperlink ref="U2981" r:id="rId2980" display="立案頁"/>
    <hyperlink ref="U2982" r:id="rId2981" display="立案頁"/>
    <hyperlink ref="U2983" r:id="rId2982" display="立案頁"/>
    <hyperlink ref="U2984" r:id="rId2983" display="立案頁"/>
    <hyperlink ref="U2985" r:id="rId2984" display="立案頁"/>
    <hyperlink ref="U2986" r:id="rId2985" display="立案頁"/>
    <hyperlink ref="U2987" r:id="rId2986" display="立案頁"/>
    <hyperlink ref="U2988" r:id="rId2987" display="立案頁"/>
    <hyperlink ref="U2989" r:id="rId2988" display="立案頁"/>
    <hyperlink ref="U2990" r:id="rId2989" display="立案頁"/>
    <hyperlink ref="U2991" r:id="rId2990" display="立案頁"/>
    <hyperlink ref="U2992" r:id="rId2991" display="立案頁"/>
    <hyperlink ref="U2993" r:id="rId2992" display="立案頁"/>
    <hyperlink ref="U2994" r:id="rId2993" display="立案頁"/>
    <hyperlink ref="U2995" r:id="rId2994" display="立案頁"/>
    <hyperlink ref="U2996" r:id="rId2995" display="立案頁"/>
    <hyperlink ref="U2997" r:id="rId2996" display="立案頁"/>
    <hyperlink ref="U2998" r:id="rId2997" display="立案頁"/>
    <hyperlink ref="U2999" r:id="rId2998" display="立案頁"/>
    <hyperlink ref="U3000" r:id="rId2999" display="立案頁"/>
    <hyperlink ref="U3001" r:id="rId3000" display="立案頁"/>
    <hyperlink ref="U3002" r:id="rId3001" display="立案頁"/>
    <hyperlink ref="U3003" r:id="rId3002" display="立案頁"/>
    <hyperlink ref="U3004" r:id="rId3003" display="立案頁"/>
    <hyperlink ref="U3005" r:id="rId3004" display="立案頁"/>
    <hyperlink ref="U3006" r:id="rId3005" display="立案頁"/>
    <hyperlink ref="U3007" r:id="rId3006" display="立案頁"/>
    <hyperlink ref="U3008" r:id="rId3007" display="立案頁"/>
    <hyperlink ref="U3009" r:id="rId3008" display="立案頁"/>
    <hyperlink ref="U3010" r:id="rId3009" display="立案頁"/>
    <hyperlink ref="U3011" r:id="rId3010" display="立案頁"/>
    <hyperlink ref="U3012" r:id="rId3011" display="立案頁"/>
    <hyperlink ref="U3013" r:id="rId3012" display="立案頁"/>
    <hyperlink ref="U3014" r:id="rId3013" display="立案頁"/>
    <hyperlink ref="U3015" r:id="rId3014" display="立案頁"/>
    <hyperlink ref="U3016" r:id="rId3015" display="立案頁"/>
    <hyperlink ref="U3017" r:id="rId3016" display="立案頁"/>
    <hyperlink ref="U3018" r:id="rId3017" display="立案頁"/>
    <hyperlink ref="U3019" r:id="rId3018" display="立案頁"/>
    <hyperlink ref="U3020" r:id="rId3019" display="立案頁"/>
    <hyperlink ref="U3021" r:id="rId3020" display="立案頁"/>
    <hyperlink ref="U3022" r:id="rId3021" display="立案頁"/>
    <hyperlink ref="U3023" r:id="rId3022" display="立案頁"/>
    <hyperlink ref="U3024" r:id="rId3023" display="立案頁"/>
    <hyperlink ref="U3025" r:id="rId3024" display="立案頁"/>
    <hyperlink ref="U3026" r:id="rId3025" display="立案頁"/>
    <hyperlink ref="U3027" r:id="rId3026" display="立案頁"/>
    <hyperlink ref="U3028" r:id="rId3027" display="立案頁"/>
    <hyperlink ref="U3029" r:id="rId3028" display="立案頁"/>
    <hyperlink ref="U3030" r:id="rId3029" display="立案頁"/>
    <hyperlink ref="U3031" r:id="rId3030" display="立案頁"/>
    <hyperlink ref="U3032" r:id="rId3031" display="立案頁"/>
    <hyperlink ref="U3033" r:id="rId3032" display="立案頁"/>
    <hyperlink ref="U3034" r:id="rId3033" display="立案頁"/>
    <hyperlink ref="U3035" r:id="rId3034" display="立案頁"/>
    <hyperlink ref="U3036" r:id="rId3035" display="立案頁"/>
    <hyperlink ref="U3037" r:id="rId3036" display="立案頁"/>
    <hyperlink ref="U3038" r:id="rId3037" display="立案頁"/>
    <hyperlink ref="U3039" r:id="rId3038" display="立案頁"/>
    <hyperlink ref="U3040" r:id="rId3039" display="立案頁"/>
    <hyperlink ref="U3041" r:id="rId3040" display="立案頁"/>
    <hyperlink ref="U3042" r:id="rId3041" display="立案頁"/>
    <hyperlink ref="U3043" r:id="rId3042" display="立案頁"/>
    <hyperlink ref="U3044" r:id="rId3043" display="立案頁"/>
    <hyperlink ref="U3045" r:id="rId3044" display="立案頁"/>
    <hyperlink ref="U3046" r:id="rId3045" display="立案頁"/>
    <hyperlink ref="U3047" r:id="rId3046" display="立案頁"/>
    <hyperlink ref="U3048" r:id="rId3047" display="立案頁"/>
    <hyperlink ref="U3049" r:id="rId3048" display="立案頁"/>
    <hyperlink ref="U3050" r:id="rId3049" display="立案頁"/>
    <hyperlink ref="U3051" r:id="rId3050" display="立案頁"/>
    <hyperlink ref="U3052" r:id="rId3051" display="立案頁"/>
    <hyperlink ref="U3053" r:id="rId3052" display="立案頁"/>
    <hyperlink ref="U3054" r:id="rId3053" display="立案頁"/>
    <hyperlink ref="U3055" r:id="rId3054" display="立案頁"/>
    <hyperlink ref="U3056" r:id="rId3055" display="立案頁"/>
    <hyperlink ref="U3057" r:id="rId3056" display="立案頁"/>
    <hyperlink ref="U3058" r:id="rId3057" display="立案頁"/>
    <hyperlink ref="U3059" r:id="rId3058" display="立案頁"/>
    <hyperlink ref="U3060" r:id="rId3059" display="立案頁"/>
    <hyperlink ref="U3061" r:id="rId3060" display="立案頁"/>
    <hyperlink ref="U3062" r:id="rId3061" display="立案頁"/>
    <hyperlink ref="U3063" r:id="rId3062" display="立案頁"/>
    <hyperlink ref="U3064" r:id="rId3063" display="立案頁"/>
    <hyperlink ref="U3065" r:id="rId3064" display="立案頁"/>
    <hyperlink ref="U3066" r:id="rId3065" display="立案頁"/>
    <hyperlink ref="U3067" r:id="rId3066" display="立案頁"/>
    <hyperlink ref="U3068" r:id="rId3067" display="立案頁"/>
    <hyperlink ref="U3069" r:id="rId3068" display="立案頁"/>
    <hyperlink ref="U3070" r:id="rId3069" display="立案頁"/>
    <hyperlink ref="U3071" r:id="rId3070" display="立案頁"/>
    <hyperlink ref="U3072" r:id="rId3071" display="立案頁"/>
    <hyperlink ref="U3073" r:id="rId3072" display="立案頁"/>
    <hyperlink ref="U3074" r:id="rId3073" display="立案頁"/>
    <hyperlink ref="U3075" r:id="rId3074" display="立案頁"/>
    <hyperlink ref="U3076" r:id="rId3075" display="立案頁"/>
    <hyperlink ref="U3077" r:id="rId3076" display="立案頁"/>
    <hyperlink ref="U3078" r:id="rId3077" display="立案頁"/>
    <hyperlink ref="U3079" r:id="rId3078" display="立案頁"/>
    <hyperlink ref="U3080" r:id="rId3079" display="立案頁"/>
    <hyperlink ref="U3081" r:id="rId3080" display="立案頁"/>
    <hyperlink ref="U3082" r:id="rId3081" display="立案頁"/>
    <hyperlink ref="U3083" r:id="rId3082" display="立案頁"/>
    <hyperlink ref="U3084" r:id="rId3083" display="立案頁"/>
    <hyperlink ref="U3085" r:id="rId3084" display="立案頁"/>
    <hyperlink ref="U3086" r:id="rId3085" display="立案頁"/>
    <hyperlink ref="U3087" r:id="rId3086" display="立案頁"/>
    <hyperlink ref="U3088" r:id="rId3087" display="立案頁"/>
    <hyperlink ref="U3089" r:id="rId3088" display="立案頁"/>
    <hyperlink ref="U3090" r:id="rId3089" display="立案頁"/>
    <hyperlink ref="U3091" r:id="rId3090" display="立案頁"/>
    <hyperlink ref="U3092" r:id="rId3091" display="立案頁"/>
    <hyperlink ref="U3093" r:id="rId3092" display="立案頁"/>
    <hyperlink ref="U3094" r:id="rId3093" display="立案頁"/>
    <hyperlink ref="U3095" r:id="rId3094" display="立案頁"/>
    <hyperlink ref="U3096" r:id="rId3095" display="立案頁"/>
    <hyperlink ref="U3097" r:id="rId3096" display="立案頁"/>
    <hyperlink ref="U3098" r:id="rId3097" display="立案頁"/>
    <hyperlink ref="U3099" r:id="rId3098" display="立案頁"/>
    <hyperlink ref="U3100" r:id="rId3099" display="立案頁"/>
    <hyperlink ref="U3101" r:id="rId3100" display="立案頁"/>
    <hyperlink ref="U3102" r:id="rId3101" display="立案頁"/>
    <hyperlink ref="U3103" r:id="rId3102" display="立案頁"/>
    <hyperlink ref="U3104" r:id="rId3103" display="立案頁"/>
    <hyperlink ref="U3105" r:id="rId3104" display="立案頁"/>
    <hyperlink ref="U3106" r:id="rId3105" display="立案頁"/>
    <hyperlink ref="U3107" r:id="rId3106" display="立案頁"/>
    <hyperlink ref="U3108" r:id="rId3107" display="立案頁"/>
    <hyperlink ref="U3109" r:id="rId3108" display="立案頁"/>
    <hyperlink ref="U3110" r:id="rId3109" display="立案頁"/>
    <hyperlink ref="U3111" r:id="rId3110" display="立案頁"/>
    <hyperlink ref="U3112" r:id="rId3111" display="立案頁"/>
    <hyperlink ref="U3113" r:id="rId3112" display="立案頁"/>
    <hyperlink ref="U3114" r:id="rId3113" display="立案頁"/>
    <hyperlink ref="U3115" r:id="rId3114" display="立案頁"/>
    <hyperlink ref="U3116" r:id="rId3115" display="立案頁"/>
    <hyperlink ref="U3117" r:id="rId3116" display="立案頁"/>
    <hyperlink ref="U3118" r:id="rId3117" display="立案頁"/>
    <hyperlink ref="U3119" r:id="rId3118" display="立案頁"/>
    <hyperlink ref="U3120" r:id="rId3119" display="立案頁"/>
    <hyperlink ref="U3121" r:id="rId3120" display="立案頁"/>
    <hyperlink ref="U3122" r:id="rId3121" display="立案頁"/>
    <hyperlink ref="U3123" r:id="rId3122" display="立案頁"/>
    <hyperlink ref="U3124" r:id="rId3123" display="立案頁"/>
    <hyperlink ref="U3125" r:id="rId3124" display="立案頁"/>
    <hyperlink ref="U3126" r:id="rId3125" display="立案頁"/>
    <hyperlink ref="U3127" r:id="rId3126" display="立案頁"/>
    <hyperlink ref="U3128" r:id="rId3127" display="立案頁"/>
    <hyperlink ref="U3129" r:id="rId3128" display="立案頁"/>
    <hyperlink ref="U3130" r:id="rId3129" display="立案頁"/>
    <hyperlink ref="U3131" r:id="rId3130" display="立案頁"/>
    <hyperlink ref="U3132" r:id="rId3131" display="立案頁"/>
    <hyperlink ref="U3133" r:id="rId3132" display="立案頁"/>
    <hyperlink ref="U3134" r:id="rId3133" display="立案頁"/>
    <hyperlink ref="U3135" r:id="rId3134" display="立案頁"/>
    <hyperlink ref="U3136" r:id="rId3135" display="立案頁"/>
    <hyperlink ref="U3137" r:id="rId3136" display="立案頁"/>
    <hyperlink ref="U3138" r:id="rId3137" display="立案頁"/>
    <hyperlink ref="U3139" r:id="rId3138" display="立案頁"/>
    <hyperlink ref="U3140" r:id="rId3139" display="立案頁"/>
    <hyperlink ref="U3141" r:id="rId3140" display="立案頁"/>
    <hyperlink ref="U3142" r:id="rId3141" display="立案頁"/>
    <hyperlink ref="U3143" r:id="rId3142" display="立案頁"/>
    <hyperlink ref="U3144" r:id="rId3143" display="立案頁"/>
    <hyperlink ref="U3145" r:id="rId3144" display="立案頁"/>
    <hyperlink ref="U3146" r:id="rId3145" display="立案頁"/>
    <hyperlink ref="U3147" r:id="rId3146" display="立案頁"/>
    <hyperlink ref="U3148" r:id="rId3147" display="立案頁"/>
    <hyperlink ref="U3149" r:id="rId3148" display="立案頁"/>
    <hyperlink ref="U3150" r:id="rId3149" display="立案頁"/>
    <hyperlink ref="U3151" r:id="rId3150" display="立案頁"/>
    <hyperlink ref="U3152" r:id="rId3151" display="立案頁"/>
    <hyperlink ref="U3153" r:id="rId3152" display="立案頁"/>
    <hyperlink ref="U3154" r:id="rId3153" display="立案頁"/>
    <hyperlink ref="U3155" r:id="rId3154" display="立案頁"/>
    <hyperlink ref="U3156" r:id="rId3155" display="立案頁"/>
    <hyperlink ref="U3157" r:id="rId3156" display="立案頁"/>
    <hyperlink ref="U3158" r:id="rId3157" display="立案頁"/>
    <hyperlink ref="U3159" r:id="rId3158" display="立案頁"/>
    <hyperlink ref="U3160" r:id="rId3159" display="立案頁"/>
    <hyperlink ref="U3161" r:id="rId3160" display="立案頁"/>
    <hyperlink ref="U3162" r:id="rId3161" display="立案頁"/>
    <hyperlink ref="U3163" r:id="rId3162" display="立案頁"/>
    <hyperlink ref="U3164" r:id="rId3163" display="立案頁"/>
    <hyperlink ref="U3165" r:id="rId3164" display="立案頁"/>
    <hyperlink ref="U3166" r:id="rId3165" display="立案頁"/>
    <hyperlink ref="U3167" r:id="rId3166" display="立案頁"/>
    <hyperlink ref="U3168" r:id="rId3167" display="立案頁"/>
    <hyperlink ref="U3169" r:id="rId3168" display="立案頁"/>
    <hyperlink ref="U3170" r:id="rId3169" display="立案頁"/>
    <hyperlink ref="U3171" r:id="rId3170" display="立案頁"/>
    <hyperlink ref="U3172" r:id="rId3171" display="立案頁"/>
    <hyperlink ref="U3173" r:id="rId3172" display="立案頁"/>
    <hyperlink ref="U3174" r:id="rId3173" display="立案頁"/>
    <hyperlink ref="U3175" r:id="rId3174" display="立案頁"/>
    <hyperlink ref="U3176" r:id="rId3175" display="立案頁"/>
    <hyperlink ref="U3177" r:id="rId3176" display="立案頁"/>
    <hyperlink ref="U3178" r:id="rId3177" display="立案頁"/>
    <hyperlink ref="U3179" r:id="rId3178" display="立案頁"/>
    <hyperlink ref="U3180" r:id="rId3179" display="立案頁"/>
    <hyperlink ref="U3181" r:id="rId3180" display="立案頁"/>
    <hyperlink ref="U3182" r:id="rId3181" display="立案頁"/>
    <hyperlink ref="U3183" r:id="rId3182" display="立案頁"/>
    <hyperlink ref="U3184" r:id="rId3183" display="立案頁"/>
    <hyperlink ref="U3185" r:id="rId3184" display="立案頁"/>
    <hyperlink ref="U3186" r:id="rId3185" display="立案頁"/>
    <hyperlink ref="U3187" r:id="rId3186" display="立案頁"/>
    <hyperlink ref="U3188" r:id="rId3187" display="立案頁"/>
    <hyperlink ref="U3189" r:id="rId3188" display="立案頁"/>
    <hyperlink ref="U3190" r:id="rId3189" display="立案頁"/>
    <hyperlink ref="U3191" r:id="rId3190" display="立案頁"/>
    <hyperlink ref="U3192" r:id="rId3191" display="立案頁"/>
    <hyperlink ref="U3193" r:id="rId3192" display="立案頁"/>
    <hyperlink ref="U3194" r:id="rId3193" display="立案頁"/>
    <hyperlink ref="U3195" r:id="rId3194" display="立案頁"/>
    <hyperlink ref="U3196" r:id="rId3195" display="立案頁"/>
    <hyperlink ref="U3197" r:id="rId3196" display="立案頁"/>
    <hyperlink ref="U3198" r:id="rId3197" display="立案頁"/>
    <hyperlink ref="U3199" r:id="rId3198" display="立案頁"/>
    <hyperlink ref="U3200" r:id="rId3199" display="立案頁"/>
    <hyperlink ref="U3201" r:id="rId3200" display="立案頁"/>
    <hyperlink ref="U3202" r:id="rId3201" display="立案頁"/>
    <hyperlink ref="U3203" r:id="rId3202" display="立案頁"/>
    <hyperlink ref="U3204" r:id="rId3203" display="立案頁"/>
    <hyperlink ref="U3205" r:id="rId3204" display="立案頁"/>
    <hyperlink ref="U3206" r:id="rId3205" display="立案頁"/>
    <hyperlink ref="U3207" r:id="rId3206" display="立案頁"/>
    <hyperlink ref="U3208" r:id="rId3207" display="立案頁"/>
    <hyperlink ref="U3209" r:id="rId3208" display="立案頁"/>
    <hyperlink ref="U3210" r:id="rId3209" display="立案頁"/>
    <hyperlink ref="U3211" r:id="rId3210" display="立案頁"/>
    <hyperlink ref="U3212" r:id="rId3211" display="立案頁"/>
    <hyperlink ref="U3213" r:id="rId3212" display="立案頁"/>
    <hyperlink ref="U3214" r:id="rId3213" display="立案頁"/>
    <hyperlink ref="U3215" r:id="rId3214" display="立案頁"/>
    <hyperlink ref="U3216" r:id="rId3215" display="立案頁"/>
    <hyperlink ref="U3217" r:id="rId3216" display="立案頁"/>
    <hyperlink ref="U3218" r:id="rId3217" display="立案頁"/>
    <hyperlink ref="U3219" r:id="rId3218" display="立案頁"/>
    <hyperlink ref="U3220" r:id="rId3219" display="立案頁"/>
    <hyperlink ref="U3221" r:id="rId3220" display="立案頁"/>
    <hyperlink ref="U3222" r:id="rId3221" display="立案頁"/>
    <hyperlink ref="U3223" r:id="rId3222" display="立案頁"/>
    <hyperlink ref="U3224" r:id="rId3223" display="立案頁"/>
    <hyperlink ref="U3225" r:id="rId3224" display="立案頁"/>
    <hyperlink ref="U3226" r:id="rId3225" display="立案頁"/>
    <hyperlink ref="U3227" r:id="rId3226" display="立案頁"/>
    <hyperlink ref="U3228" r:id="rId3227" display="立案頁"/>
    <hyperlink ref="U3229" r:id="rId3228" display="立案頁"/>
    <hyperlink ref="U3230" r:id="rId3229" display="立案頁"/>
    <hyperlink ref="U3231" r:id="rId3230" display="立案頁"/>
    <hyperlink ref="U3232" r:id="rId3231" display="立案頁"/>
    <hyperlink ref="U3233" r:id="rId3232" display="立案頁"/>
    <hyperlink ref="U3234" r:id="rId3233" display="立案頁"/>
    <hyperlink ref="U3235" r:id="rId3234" display="立案頁"/>
    <hyperlink ref="U3236" r:id="rId3235" display="立案頁"/>
    <hyperlink ref="U3237" r:id="rId3236" display="立案頁"/>
    <hyperlink ref="U3238" r:id="rId3237" display="立案頁"/>
    <hyperlink ref="U3239" r:id="rId3238" display="立案頁"/>
    <hyperlink ref="U3240" r:id="rId3239" display="立案頁"/>
    <hyperlink ref="U3241" r:id="rId3240" display="立案頁"/>
    <hyperlink ref="U3242" r:id="rId3241" display="立案頁"/>
    <hyperlink ref="U3243" r:id="rId3242" display="立案頁"/>
    <hyperlink ref="U3244" r:id="rId3243" display="立案頁"/>
    <hyperlink ref="U3245" r:id="rId3244" display="立案頁"/>
    <hyperlink ref="U3246" r:id="rId3245" display="立案頁"/>
    <hyperlink ref="U3247" r:id="rId3246" display="立案頁"/>
    <hyperlink ref="U3248" r:id="rId3247" display="立案頁"/>
    <hyperlink ref="U3249" r:id="rId3248" display="立案頁"/>
    <hyperlink ref="U3250" r:id="rId3249" display="立案頁"/>
    <hyperlink ref="U3251" r:id="rId3250" display="立案頁"/>
    <hyperlink ref="U3252" r:id="rId3251" display="立案頁"/>
    <hyperlink ref="U3253" r:id="rId3252" display="立案頁"/>
    <hyperlink ref="U3254" r:id="rId3253" display="立案頁"/>
    <hyperlink ref="U3255" r:id="rId3254" display="立案頁"/>
    <hyperlink ref="U3256" r:id="rId3255" display="立案頁"/>
    <hyperlink ref="U3257" r:id="rId3256" display="立案頁"/>
    <hyperlink ref="U3258" r:id="rId3257" display="立案頁"/>
    <hyperlink ref="U3259" r:id="rId3258" display="立案頁"/>
    <hyperlink ref="U3260" r:id="rId3259" display="立案頁"/>
    <hyperlink ref="U3261" r:id="rId3260" display="立案頁"/>
    <hyperlink ref="U3262" r:id="rId3261" display="立案頁"/>
    <hyperlink ref="U3263" r:id="rId3262" display="立案頁"/>
    <hyperlink ref="U3264" r:id="rId3263" display="立案頁"/>
    <hyperlink ref="U3265" r:id="rId3264" display="立案頁"/>
    <hyperlink ref="U3266" r:id="rId3265" display="立案頁"/>
    <hyperlink ref="U3267" r:id="rId3266" display="立案頁"/>
    <hyperlink ref="U3268" r:id="rId3267" display="立案頁"/>
    <hyperlink ref="U3269" r:id="rId3268" display="立案頁"/>
    <hyperlink ref="U3270" r:id="rId3269" display="立案頁"/>
    <hyperlink ref="U3271" r:id="rId3270" display="立案頁"/>
    <hyperlink ref="U3272" r:id="rId3271" display="立案頁"/>
    <hyperlink ref="U3273" r:id="rId3272" display="立案頁"/>
    <hyperlink ref="U3274" r:id="rId3273" display="立案頁"/>
    <hyperlink ref="U3275" r:id="rId3274" display="立案頁"/>
    <hyperlink ref="U3276" r:id="rId3275" display="立案頁"/>
    <hyperlink ref="U3277" r:id="rId3276" display="立案頁"/>
    <hyperlink ref="U3278" r:id="rId3277" display="立案頁"/>
    <hyperlink ref="U3279" r:id="rId3278" display="立案頁"/>
    <hyperlink ref="U3280" r:id="rId3279" display="立案頁"/>
    <hyperlink ref="U3281" r:id="rId3280" display="立案頁"/>
    <hyperlink ref="U3282" r:id="rId3281" display="立案頁"/>
    <hyperlink ref="U3283" r:id="rId3282" display="立案頁"/>
    <hyperlink ref="U3284" r:id="rId3283" display="立案頁"/>
    <hyperlink ref="U3285" r:id="rId3284" display="立案頁"/>
    <hyperlink ref="U3286" r:id="rId3285" display="立案頁"/>
    <hyperlink ref="U3287" r:id="rId3286" display="立案頁"/>
    <hyperlink ref="U3288" r:id="rId3287" display="立案頁"/>
    <hyperlink ref="U3289" r:id="rId3288" display="立案頁"/>
    <hyperlink ref="U3290" r:id="rId3289" display="立案頁"/>
    <hyperlink ref="U3291" r:id="rId3290" display="立案頁"/>
    <hyperlink ref="U3292" r:id="rId3291" display="立案頁"/>
    <hyperlink ref="U3293" r:id="rId3292" display="立案頁"/>
    <hyperlink ref="U3294" r:id="rId3293" display="立案頁"/>
    <hyperlink ref="U3295" r:id="rId3294" display="立案頁"/>
    <hyperlink ref="U3296" r:id="rId3295" display="立案頁"/>
    <hyperlink ref="U3297" r:id="rId3296" display="立案頁"/>
    <hyperlink ref="U3298" r:id="rId3297" display="立案頁"/>
    <hyperlink ref="U3299" r:id="rId3298" display="立案頁"/>
    <hyperlink ref="U3300" r:id="rId3299" display="立案頁"/>
    <hyperlink ref="U3301" r:id="rId3300" display="立案頁"/>
    <hyperlink ref="U3302" r:id="rId3301" display="立案頁"/>
    <hyperlink ref="U3303" r:id="rId3302" display="立案頁"/>
    <hyperlink ref="U3304" r:id="rId3303" display="立案頁"/>
    <hyperlink ref="U3305" r:id="rId3304" display="立案頁"/>
    <hyperlink ref="U3306" r:id="rId3305" display="立案頁"/>
    <hyperlink ref="U3307" r:id="rId3306" display="立案頁"/>
    <hyperlink ref="U3308" r:id="rId3307" display="立案頁"/>
    <hyperlink ref="U3309" r:id="rId3308" display="立案頁"/>
    <hyperlink ref="U3310" r:id="rId3309" display="立案頁"/>
    <hyperlink ref="U3311" r:id="rId3310" display="立案頁"/>
    <hyperlink ref="U3312" r:id="rId3311" display="立案頁"/>
    <hyperlink ref="U3313" r:id="rId3312" display="立案頁"/>
    <hyperlink ref="U3314" r:id="rId3313" display="立案頁"/>
    <hyperlink ref="U3315" r:id="rId3314" display="立案頁"/>
    <hyperlink ref="U3316" r:id="rId3315" display="立案頁"/>
    <hyperlink ref="U3317" r:id="rId3316" display="立案頁"/>
    <hyperlink ref="U3318" r:id="rId3317" display="立案頁"/>
    <hyperlink ref="U3319" r:id="rId3318" display="立案頁"/>
    <hyperlink ref="U3320" r:id="rId3319" display="立案頁"/>
    <hyperlink ref="U3321" r:id="rId3320" display="立案頁"/>
    <hyperlink ref="U3322" r:id="rId3321" display="立案頁"/>
    <hyperlink ref="U3323" r:id="rId3322" display="立案頁"/>
    <hyperlink ref="U3324" r:id="rId3323" display="立案頁"/>
    <hyperlink ref="U3325" r:id="rId3324" display="立案頁"/>
    <hyperlink ref="U3326" r:id="rId3325" display="立案頁"/>
    <hyperlink ref="U3327" r:id="rId3326" display="立案頁"/>
    <hyperlink ref="U3328" r:id="rId3327" display="立案頁"/>
    <hyperlink ref="U3329" r:id="rId3328" display="立案頁"/>
    <hyperlink ref="U3330" r:id="rId3329" display="立案頁"/>
    <hyperlink ref="U3331" r:id="rId3330" display="立案頁"/>
    <hyperlink ref="U3332" r:id="rId3331" display="立案頁"/>
    <hyperlink ref="U3333" r:id="rId3332" display="立案頁"/>
    <hyperlink ref="U3334" r:id="rId3333" display="立案頁"/>
    <hyperlink ref="U3335" r:id="rId3334" display="立案頁"/>
    <hyperlink ref="U3336" r:id="rId3335" display="立案頁"/>
    <hyperlink ref="U3337" r:id="rId3336" display="立案頁"/>
    <hyperlink ref="U3338" r:id="rId3337" display="立案頁"/>
    <hyperlink ref="U3339" r:id="rId3338" display="立案頁"/>
    <hyperlink ref="U3340" r:id="rId3339" display="立案頁"/>
    <hyperlink ref="U3341" r:id="rId3340" display="立案頁"/>
    <hyperlink ref="U3342" r:id="rId3341" display="立案頁"/>
    <hyperlink ref="U3343" r:id="rId3342" display="立案頁"/>
    <hyperlink ref="U3344" r:id="rId3343" display="立案頁"/>
    <hyperlink ref="U3345" r:id="rId3344" display="立案頁"/>
    <hyperlink ref="U3346" r:id="rId3345" display="立案頁"/>
    <hyperlink ref="U3347" r:id="rId3346" display="立案頁"/>
    <hyperlink ref="U3348" r:id="rId3347" display="立案頁"/>
    <hyperlink ref="U3349" r:id="rId3348" display="立案頁"/>
    <hyperlink ref="U3350" r:id="rId3349" display="立案頁"/>
    <hyperlink ref="U3351" r:id="rId3350" display="立案頁"/>
    <hyperlink ref="U3352" r:id="rId3351" display="立案頁"/>
    <hyperlink ref="U3353" r:id="rId3352" display="立案頁"/>
    <hyperlink ref="U3354" r:id="rId3353" display="立案頁"/>
    <hyperlink ref="U3355" r:id="rId3354" display="立案頁"/>
    <hyperlink ref="U3356" r:id="rId3355" display="立案頁"/>
    <hyperlink ref="U3357" r:id="rId3356" display="立案頁"/>
    <hyperlink ref="U3358" r:id="rId3357" display="立案頁"/>
    <hyperlink ref="U3359" r:id="rId3358" display="立案頁"/>
    <hyperlink ref="U3360" r:id="rId3359" display="立案頁"/>
    <hyperlink ref="U3361" r:id="rId3360" display="立案頁"/>
    <hyperlink ref="U3362" r:id="rId3361" display="立案頁"/>
    <hyperlink ref="U3363" r:id="rId3362" display="立案頁"/>
    <hyperlink ref="U3364" r:id="rId3363" display="立案頁"/>
    <hyperlink ref="U3365" r:id="rId3364" display="立案頁"/>
    <hyperlink ref="U3366" r:id="rId3365" display="立案頁"/>
    <hyperlink ref="U3367" r:id="rId3366" display="立案頁"/>
    <hyperlink ref="U3368" r:id="rId3367" display="立案頁"/>
    <hyperlink ref="U3369" r:id="rId3368" display="立案頁"/>
    <hyperlink ref="U3370" r:id="rId3369" display="立案頁"/>
    <hyperlink ref="U3371" r:id="rId3370" display="立案頁"/>
    <hyperlink ref="U3372" r:id="rId3371" display="立案頁"/>
    <hyperlink ref="U3373" r:id="rId3372" display="立案頁"/>
    <hyperlink ref="U3374" r:id="rId3373" display="立案頁"/>
    <hyperlink ref="U3375" r:id="rId3374" display="立案頁"/>
    <hyperlink ref="U3376" r:id="rId3375" display="立案頁"/>
    <hyperlink ref="U3377" r:id="rId3376" display="立案頁"/>
    <hyperlink ref="U3378" r:id="rId3377" display="立案頁"/>
    <hyperlink ref="U3379" r:id="rId3378" display="立案頁"/>
    <hyperlink ref="U3380" r:id="rId3379" display="立案頁"/>
    <hyperlink ref="U3381" r:id="rId3380" display="立案頁"/>
    <hyperlink ref="U3382" r:id="rId3381" display="立案頁"/>
    <hyperlink ref="U3383" r:id="rId3382" display="立案頁"/>
    <hyperlink ref="U3384" r:id="rId3383" display="立案頁"/>
    <hyperlink ref="U3385" r:id="rId3384" display="立案頁"/>
    <hyperlink ref="U3386" r:id="rId3385" display="立案頁"/>
    <hyperlink ref="U3387" r:id="rId3386" display="立案頁"/>
    <hyperlink ref="U3388" r:id="rId3387" display="立案頁"/>
    <hyperlink ref="U3389" r:id="rId3388" display="立案頁"/>
    <hyperlink ref="U3390" r:id="rId3389" display="立案頁"/>
    <hyperlink ref="U3391" r:id="rId3390" display="立案頁"/>
    <hyperlink ref="U3392" r:id="rId3391" display="立案頁"/>
    <hyperlink ref="U3393" r:id="rId3392" display="立案頁"/>
    <hyperlink ref="U3394" r:id="rId3393" display="立案頁"/>
    <hyperlink ref="U3395" r:id="rId3394" display="立案頁"/>
    <hyperlink ref="U3396" r:id="rId3395" display="立案頁"/>
    <hyperlink ref="U3397" r:id="rId3396" display="立案頁"/>
    <hyperlink ref="U3398" r:id="rId3397" display="立案頁"/>
    <hyperlink ref="U3399" r:id="rId3398" display="立案頁"/>
    <hyperlink ref="U3400" r:id="rId3399" display="立案頁"/>
    <hyperlink ref="U3401" r:id="rId3400" display="立案頁"/>
    <hyperlink ref="U3402" r:id="rId3401" display="立案頁"/>
    <hyperlink ref="U3403" r:id="rId3402" display="立案頁"/>
    <hyperlink ref="U3404" r:id="rId3403" display="立案頁"/>
    <hyperlink ref="U3405" r:id="rId3404" display="立案頁"/>
    <hyperlink ref="U3406" r:id="rId3405" display="立案頁"/>
    <hyperlink ref="U3407" r:id="rId3406" display="立案頁"/>
    <hyperlink ref="U3408" r:id="rId3407" display="立案頁"/>
    <hyperlink ref="U3409" r:id="rId3408" display="立案頁"/>
    <hyperlink ref="U3410" r:id="rId3409" display="立案頁"/>
    <hyperlink ref="U3411" r:id="rId3410" display="立案頁"/>
    <hyperlink ref="U3412" r:id="rId3411" display="立案頁"/>
    <hyperlink ref="U3413" r:id="rId3412" display="立案頁"/>
    <hyperlink ref="U3414" r:id="rId3413" display="立案頁"/>
    <hyperlink ref="U3415" r:id="rId3414" display="立案頁"/>
    <hyperlink ref="U3416" r:id="rId3415" display="立案頁"/>
    <hyperlink ref="U3417" r:id="rId3416" display="立案頁"/>
    <hyperlink ref="U3418" r:id="rId3417" display="立案頁"/>
    <hyperlink ref="U3419" r:id="rId3418" display="立案頁"/>
    <hyperlink ref="U3420" r:id="rId3419" display="立案頁"/>
    <hyperlink ref="U3421" r:id="rId3420" display="立案頁"/>
    <hyperlink ref="U3422" r:id="rId3421" display="立案頁"/>
    <hyperlink ref="U3423" r:id="rId3422" display="立案頁"/>
    <hyperlink ref="U3424" r:id="rId3423" display="立案頁"/>
    <hyperlink ref="U3425" r:id="rId3424" display="立案頁"/>
    <hyperlink ref="U3426" r:id="rId3425" display="立案頁"/>
    <hyperlink ref="U3427" r:id="rId3426" display="立案頁"/>
    <hyperlink ref="U3428" r:id="rId3427" display="立案頁"/>
    <hyperlink ref="U3429" r:id="rId3428" display="立案頁"/>
    <hyperlink ref="U3430" r:id="rId3429" display="立案頁"/>
    <hyperlink ref="U3431" r:id="rId3430" display="立案頁"/>
    <hyperlink ref="U3432" r:id="rId3431" display="立案頁"/>
    <hyperlink ref="U3433" r:id="rId3432" display="立案頁"/>
    <hyperlink ref="U3434" r:id="rId3433" display="立案頁"/>
    <hyperlink ref="U3435" r:id="rId3434" display="立案頁"/>
    <hyperlink ref="U3436" r:id="rId3435" display="立案頁"/>
    <hyperlink ref="U3437" r:id="rId3436" display="立案頁"/>
    <hyperlink ref="U3438" r:id="rId3437" display="立案頁"/>
    <hyperlink ref="U3439" r:id="rId3438" display="立案頁"/>
    <hyperlink ref="U3440" r:id="rId3439" display="立案頁"/>
    <hyperlink ref="U3441" r:id="rId3440" display="立案頁"/>
    <hyperlink ref="U3442" r:id="rId3441" display="立案頁"/>
    <hyperlink ref="U3443" r:id="rId3442" display="立案頁"/>
    <hyperlink ref="U3444" r:id="rId3443" display="立案頁"/>
    <hyperlink ref="U3445" r:id="rId3444" display="立案頁"/>
    <hyperlink ref="U3446" r:id="rId3445" display="立案頁"/>
    <hyperlink ref="U3447" r:id="rId3446" display="立案頁"/>
    <hyperlink ref="U3448" r:id="rId3447" display="立案頁"/>
    <hyperlink ref="U3449" r:id="rId3448" display="立案頁"/>
    <hyperlink ref="U3450" r:id="rId3449" display="立案頁"/>
    <hyperlink ref="U3451" r:id="rId3450" display="立案頁"/>
    <hyperlink ref="U3452" r:id="rId3451" display="立案頁"/>
    <hyperlink ref="U3453" r:id="rId3452" display="立案頁"/>
    <hyperlink ref="U3454" r:id="rId3453" display="立案頁"/>
    <hyperlink ref="U3455" r:id="rId3454" display="立案頁"/>
    <hyperlink ref="U3456" r:id="rId3455" display="立案頁"/>
    <hyperlink ref="U3457" r:id="rId3456" display="立案頁"/>
    <hyperlink ref="U3458" r:id="rId3457" display="立案頁"/>
    <hyperlink ref="U3459" r:id="rId3458" display="立案頁"/>
    <hyperlink ref="U3460" r:id="rId3459" display="立案頁"/>
    <hyperlink ref="U3461" r:id="rId3460" display="立案頁"/>
    <hyperlink ref="U3462" r:id="rId3461" display="立案頁"/>
    <hyperlink ref="U3463" r:id="rId3462" display="立案頁"/>
    <hyperlink ref="U3464" r:id="rId3463" display="立案頁"/>
    <hyperlink ref="U3465" r:id="rId3464" display="立案頁"/>
    <hyperlink ref="U3466" r:id="rId3465" display="立案頁"/>
    <hyperlink ref="U3467" r:id="rId3466" display="立案頁"/>
    <hyperlink ref="U3468" r:id="rId3467" display="立案頁"/>
    <hyperlink ref="U3469" r:id="rId3468" display="立案頁"/>
    <hyperlink ref="U3470" r:id="rId3469" display="立案頁"/>
    <hyperlink ref="U3471" r:id="rId3470" display="立案頁"/>
    <hyperlink ref="U3472" r:id="rId3471" display="立案頁"/>
    <hyperlink ref="U3473" r:id="rId3472" display="立案頁"/>
    <hyperlink ref="U3474" r:id="rId3473" display="立案頁"/>
    <hyperlink ref="U3475" r:id="rId3474" display="立案頁"/>
    <hyperlink ref="U3476" r:id="rId3475" display="立案頁"/>
    <hyperlink ref="U3477" r:id="rId3476" display="立案頁"/>
    <hyperlink ref="U3478" r:id="rId3477" display="立案頁"/>
    <hyperlink ref="U3479" r:id="rId3478" display="立案頁"/>
    <hyperlink ref="U3480" r:id="rId3479" display="立案頁"/>
    <hyperlink ref="U3481" r:id="rId3480" display="立案頁"/>
    <hyperlink ref="U3482" r:id="rId3481" display="立案頁"/>
    <hyperlink ref="U3483" r:id="rId3482" display="立案頁"/>
    <hyperlink ref="U3484" r:id="rId3483" display="立案頁"/>
    <hyperlink ref="U3485" r:id="rId3484" display="立案頁"/>
    <hyperlink ref="U3486" r:id="rId3485" display="立案頁"/>
    <hyperlink ref="U3487" r:id="rId3486" display="立案頁"/>
    <hyperlink ref="U3488" r:id="rId3487" display="立案頁"/>
    <hyperlink ref="U3489" r:id="rId3488" display="立案頁"/>
    <hyperlink ref="U3490" r:id="rId3489" display="立案頁"/>
    <hyperlink ref="U3491" r:id="rId3490" display="立案頁"/>
    <hyperlink ref="U3492" r:id="rId3491" display="立案頁"/>
    <hyperlink ref="U3493" r:id="rId3492" display="立案頁"/>
    <hyperlink ref="U3494" r:id="rId3493" display="立案頁"/>
    <hyperlink ref="U3495" r:id="rId3494" display="立案頁"/>
    <hyperlink ref="U3496" r:id="rId3495" display="立案頁"/>
    <hyperlink ref="U3497" r:id="rId3496" display="立案頁"/>
    <hyperlink ref="U3498" r:id="rId3497" display="立案頁"/>
    <hyperlink ref="U3499" r:id="rId3498" display="立案頁"/>
    <hyperlink ref="U3500" r:id="rId3499" display="立案頁"/>
    <hyperlink ref="U3501" r:id="rId3500" display="立案頁"/>
    <hyperlink ref="U3502" r:id="rId3501" display="立案頁"/>
    <hyperlink ref="U3503" r:id="rId3502" display="立案頁"/>
    <hyperlink ref="U3504" r:id="rId3503" display="立案頁"/>
    <hyperlink ref="U3505" r:id="rId3504" display="立案頁"/>
    <hyperlink ref="U3506" r:id="rId3505" display="立案頁"/>
    <hyperlink ref="U3507" r:id="rId3506" display="立案頁"/>
    <hyperlink ref="U3508" r:id="rId3507" display="立案頁"/>
    <hyperlink ref="U3509" r:id="rId3508" display="立案頁"/>
    <hyperlink ref="U3510" r:id="rId3509" display="立案頁"/>
    <hyperlink ref="U3511" r:id="rId3510" display="立案頁"/>
    <hyperlink ref="U3512" r:id="rId3511" display="立案頁"/>
    <hyperlink ref="U3513" r:id="rId3512" display="立案頁"/>
    <hyperlink ref="U3514" r:id="rId3513" display="立案頁"/>
    <hyperlink ref="U3515" r:id="rId3514" display="立案頁"/>
    <hyperlink ref="U3516" r:id="rId3515" display="立案頁"/>
    <hyperlink ref="U3517" r:id="rId3516" display="立案頁"/>
    <hyperlink ref="U3518" r:id="rId3517" display="立案頁"/>
    <hyperlink ref="U3519" r:id="rId3518" display="立案頁"/>
    <hyperlink ref="U3520" r:id="rId3519" display="立案頁"/>
    <hyperlink ref="U3521" r:id="rId3520" display="立案頁"/>
    <hyperlink ref="U3522" r:id="rId3521" display="立案頁"/>
    <hyperlink ref="U3523" r:id="rId3522" display="立案頁"/>
    <hyperlink ref="U3524" r:id="rId3523" display="立案頁"/>
    <hyperlink ref="U3525" r:id="rId3524" display="立案頁"/>
    <hyperlink ref="U3526" r:id="rId3525" display="立案頁"/>
    <hyperlink ref="U3527" r:id="rId3526" display="立案頁"/>
    <hyperlink ref="U3528" r:id="rId3527" display="立案頁"/>
    <hyperlink ref="U3529" r:id="rId3528" display="立案頁"/>
    <hyperlink ref="U3530" r:id="rId3529" display="立案頁"/>
    <hyperlink ref="U3531" r:id="rId3530" display="立案頁"/>
    <hyperlink ref="U3532" r:id="rId3531" display="立案頁"/>
    <hyperlink ref="U3533" r:id="rId3532" display="立案頁"/>
    <hyperlink ref="U3534" r:id="rId3533" display="立案頁"/>
    <hyperlink ref="U3535" r:id="rId3534" display="立案頁"/>
    <hyperlink ref="U3536" r:id="rId3535" display="立案頁"/>
    <hyperlink ref="U3537" r:id="rId3536" display="立案頁"/>
    <hyperlink ref="U3538" r:id="rId3537" display="立案頁"/>
    <hyperlink ref="U3539" r:id="rId3538" display="立案頁"/>
    <hyperlink ref="U3540" r:id="rId3539" display="立案頁"/>
    <hyperlink ref="U3541" r:id="rId3540" display="立案頁"/>
    <hyperlink ref="U3542" r:id="rId3541" display="立案頁"/>
    <hyperlink ref="U3543" r:id="rId3542" display="立案頁"/>
    <hyperlink ref="U3544" r:id="rId3543" display="立案頁"/>
    <hyperlink ref="U3545" r:id="rId3544" display="立案頁"/>
    <hyperlink ref="U3546" r:id="rId3545" display="立案頁"/>
    <hyperlink ref="U3547" r:id="rId3546" display="立案頁"/>
    <hyperlink ref="U3548" r:id="rId3547" display="立案頁"/>
    <hyperlink ref="U3549" r:id="rId3548" display="立案頁"/>
    <hyperlink ref="U3550" r:id="rId3549" display="立案頁"/>
    <hyperlink ref="U3551" r:id="rId3550" display="立案頁"/>
    <hyperlink ref="U3552" r:id="rId3551" display="立案頁"/>
    <hyperlink ref="U3553" r:id="rId3552" display="立案頁"/>
    <hyperlink ref="U3554" r:id="rId3553" display="立案頁"/>
    <hyperlink ref="U3555" r:id="rId3554" display="立案頁"/>
    <hyperlink ref="U3556" r:id="rId3555" display="立案頁"/>
    <hyperlink ref="U3557" r:id="rId3556" display="立案頁"/>
    <hyperlink ref="U3558" r:id="rId3557" display="立案頁"/>
    <hyperlink ref="U3559" r:id="rId3558" display="立案頁"/>
    <hyperlink ref="U3560" r:id="rId3559" display="立案頁"/>
    <hyperlink ref="U3561" r:id="rId3560" display="立案頁"/>
    <hyperlink ref="U3562" r:id="rId3561" display="立案頁"/>
    <hyperlink ref="U3563" r:id="rId3562" display="立案頁"/>
    <hyperlink ref="U3564" r:id="rId3563" display="立案頁"/>
    <hyperlink ref="U3565" r:id="rId3564" display="立案頁"/>
    <hyperlink ref="U3566" r:id="rId3565" display="立案頁"/>
    <hyperlink ref="U3567" r:id="rId3566" display="立案頁"/>
    <hyperlink ref="U3568" r:id="rId3567" display="立案頁"/>
    <hyperlink ref="U3569" r:id="rId3568" display="立案頁"/>
    <hyperlink ref="U3570" r:id="rId3569" display="立案頁"/>
    <hyperlink ref="U3571" r:id="rId3570" display="立案頁"/>
    <hyperlink ref="U3572" r:id="rId3571" display="立案頁"/>
    <hyperlink ref="U3573" r:id="rId3572" display="立案頁"/>
    <hyperlink ref="U3574" r:id="rId3573" display="立案頁"/>
    <hyperlink ref="U3575" r:id="rId3574" display="立案頁"/>
    <hyperlink ref="U3576" r:id="rId3575" display="立案頁"/>
    <hyperlink ref="U3577" r:id="rId3576" display="立案頁"/>
    <hyperlink ref="U3578" r:id="rId3577" display="立案頁"/>
    <hyperlink ref="U3579" r:id="rId3578" display="立案頁"/>
    <hyperlink ref="U3580" r:id="rId3579" display="立案頁"/>
    <hyperlink ref="U3581" r:id="rId3580" display="立案頁"/>
    <hyperlink ref="U3582" r:id="rId3581" display="立案頁"/>
    <hyperlink ref="U3583" r:id="rId3582" display="立案頁"/>
    <hyperlink ref="U3584" r:id="rId3583" display="立案頁"/>
    <hyperlink ref="U3585" r:id="rId3584" display="立案頁"/>
    <hyperlink ref="U3586" r:id="rId3585" display="立案頁"/>
    <hyperlink ref="U3587" r:id="rId3586" display="立案頁"/>
    <hyperlink ref="U3588" r:id="rId3587" display="立案頁"/>
    <hyperlink ref="U3589" r:id="rId3588" display="立案頁"/>
    <hyperlink ref="U3590" r:id="rId3589" display="立案頁"/>
    <hyperlink ref="U3591" r:id="rId3590" display="立案頁"/>
    <hyperlink ref="U3592" r:id="rId3591" display="立案頁"/>
    <hyperlink ref="U3593" r:id="rId3592" display="立案頁"/>
    <hyperlink ref="U3594" r:id="rId3593" display="立案頁"/>
    <hyperlink ref="U3595" r:id="rId3594" display="立案頁"/>
    <hyperlink ref="U3596" r:id="rId3595" display="立案頁"/>
    <hyperlink ref="U3597" r:id="rId3596" display="立案頁"/>
    <hyperlink ref="U3598" r:id="rId3597" display="立案頁"/>
    <hyperlink ref="U3599" r:id="rId3598" display="立案頁"/>
    <hyperlink ref="U3600" r:id="rId3599" display="立案頁"/>
    <hyperlink ref="U3601" r:id="rId3600" display="立案頁"/>
    <hyperlink ref="U3602" r:id="rId3601" display="立案頁"/>
    <hyperlink ref="U3603" r:id="rId3602" display="立案頁"/>
    <hyperlink ref="U3604" r:id="rId3603" display="立案頁"/>
    <hyperlink ref="U3605" r:id="rId3604" display="立案頁"/>
    <hyperlink ref="U3606" r:id="rId3605" display="立案頁"/>
    <hyperlink ref="U3607" r:id="rId3606" display="立案頁"/>
    <hyperlink ref="U3608" r:id="rId3607" display="立案頁"/>
    <hyperlink ref="U3609" r:id="rId3608" display="立案頁"/>
    <hyperlink ref="U3610" r:id="rId3609" display="立案頁"/>
    <hyperlink ref="U3611" r:id="rId3610" display="立案頁"/>
    <hyperlink ref="U3612" r:id="rId3611" display="立案頁"/>
    <hyperlink ref="U3613" r:id="rId3612" display="立案頁"/>
    <hyperlink ref="U3614" r:id="rId3613" display="立案頁"/>
    <hyperlink ref="U3615" r:id="rId3614" display="立案頁"/>
    <hyperlink ref="U3616" r:id="rId3615" display="立案頁"/>
    <hyperlink ref="U3617" r:id="rId3616" display="立案頁"/>
    <hyperlink ref="U3618" r:id="rId3617" display="立案頁"/>
    <hyperlink ref="U3619" r:id="rId3618" display="立案頁"/>
    <hyperlink ref="U3620" r:id="rId3619" display="立案頁"/>
    <hyperlink ref="U3621" r:id="rId3620" display="立案頁"/>
    <hyperlink ref="U3622" r:id="rId3621" display="立案頁"/>
    <hyperlink ref="U3623" r:id="rId3622" display="立案頁"/>
    <hyperlink ref="U3624" r:id="rId3623" display="立案頁"/>
    <hyperlink ref="U3625" r:id="rId3624" display="立案頁"/>
    <hyperlink ref="U3626" r:id="rId3625" display="立案頁"/>
    <hyperlink ref="U3627" r:id="rId3626" display="立案頁"/>
    <hyperlink ref="U3628" r:id="rId3627" display="立案頁"/>
    <hyperlink ref="U3629" r:id="rId3628" display="立案頁"/>
    <hyperlink ref="U3630" r:id="rId3629" display="立案頁"/>
    <hyperlink ref="U3631" r:id="rId3630" display="立案頁"/>
    <hyperlink ref="U3632" r:id="rId3631" display="立案頁"/>
    <hyperlink ref="U3633" r:id="rId3632" display="立案頁"/>
    <hyperlink ref="U3634" r:id="rId3633" display="立案頁"/>
    <hyperlink ref="U3635" r:id="rId3634" display="立案頁"/>
    <hyperlink ref="U3636" r:id="rId3635" display="立案頁"/>
    <hyperlink ref="U3637" r:id="rId3636" display="立案頁"/>
    <hyperlink ref="U3638" r:id="rId3637" display="立案頁"/>
    <hyperlink ref="U3639" r:id="rId3638" display="立案頁"/>
    <hyperlink ref="U3640" r:id="rId3639" display="立案頁"/>
    <hyperlink ref="U3641" r:id="rId3640" display="立案頁"/>
    <hyperlink ref="U3642" r:id="rId3641" display="立案頁"/>
    <hyperlink ref="U3643" r:id="rId3642" display="立案頁"/>
    <hyperlink ref="U3644" r:id="rId3643" display="立案頁"/>
    <hyperlink ref="U3645" r:id="rId3644" display="立案頁"/>
    <hyperlink ref="U3646" r:id="rId3645" display="立案頁"/>
    <hyperlink ref="U3647" r:id="rId3646" display="立案頁"/>
    <hyperlink ref="U3648" r:id="rId3647" display="立案頁"/>
    <hyperlink ref="U3649" r:id="rId3648" display="立案頁"/>
    <hyperlink ref="U3650" r:id="rId3649" display="立案頁"/>
    <hyperlink ref="U3651" r:id="rId3650" display="立案頁"/>
    <hyperlink ref="U3652" r:id="rId3651" display="立案頁"/>
    <hyperlink ref="U3653" r:id="rId3652" display="立案頁"/>
    <hyperlink ref="U3654" r:id="rId3653" display="立案頁"/>
    <hyperlink ref="U3655" r:id="rId3654" display="立案頁"/>
    <hyperlink ref="U3656" r:id="rId3655" display="立案頁"/>
    <hyperlink ref="U3657" r:id="rId3656" display="立案頁"/>
    <hyperlink ref="U3658" r:id="rId3657" display="立案頁"/>
    <hyperlink ref="U3659" r:id="rId3658" display="立案頁"/>
    <hyperlink ref="U3660" r:id="rId3659" display="立案頁"/>
    <hyperlink ref="U3661" r:id="rId3660" display="立案頁"/>
    <hyperlink ref="U3662" r:id="rId3661" display="立案頁"/>
    <hyperlink ref="U3663" r:id="rId3662" display="立案頁"/>
    <hyperlink ref="U3664" r:id="rId3663" display="立案頁"/>
    <hyperlink ref="U3665" r:id="rId3664" display="立案頁"/>
    <hyperlink ref="U3666" r:id="rId3665" display="立案頁"/>
    <hyperlink ref="U3667" r:id="rId3666" display="立案頁"/>
    <hyperlink ref="U3668" r:id="rId3667" display="立案頁"/>
    <hyperlink ref="U3669" r:id="rId3668" display="立案頁"/>
    <hyperlink ref="U3670" r:id="rId3669" display="立案頁"/>
    <hyperlink ref="U3671" r:id="rId3670" display="立案頁"/>
    <hyperlink ref="U3672" r:id="rId3671" display="立案頁"/>
    <hyperlink ref="U3673" r:id="rId3672" display="立案頁"/>
    <hyperlink ref="U3674" r:id="rId3673" display="立案頁"/>
    <hyperlink ref="U3675" r:id="rId3674" display="立案頁"/>
    <hyperlink ref="U3676" r:id="rId3675" display="立案頁"/>
    <hyperlink ref="U3677" r:id="rId3676" display="立案頁"/>
    <hyperlink ref="U3678" r:id="rId3677" display="立案頁"/>
    <hyperlink ref="U3679" r:id="rId3678" display="立案頁"/>
    <hyperlink ref="U3680" r:id="rId3679" display="立案頁"/>
    <hyperlink ref="U3681" r:id="rId3680" display="立案頁"/>
    <hyperlink ref="U3682" r:id="rId3681" display="立案頁"/>
    <hyperlink ref="U3683" r:id="rId3682" display="立案頁"/>
    <hyperlink ref="U3684" r:id="rId3683" display="立案頁"/>
    <hyperlink ref="U3685" r:id="rId3684" display="立案頁"/>
    <hyperlink ref="U3686" r:id="rId3685" display="立案頁"/>
    <hyperlink ref="U3687" r:id="rId3686" display="立案頁"/>
    <hyperlink ref="U3688" r:id="rId3687" display="立案頁"/>
    <hyperlink ref="U3689" r:id="rId3688" display="立案頁"/>
    <hyperlink ref="U3690" r:id="rId3689" display="立案頁"/>
    <hyperlink ref="U3691" r:id="rId3690" display="立案頁"/>
    <hyperlink ref="U3692" r:id="rId3691" display="立案頁"/>
    <hyperlink ref="U3693" r:id="rId3692" display="立案頁"/>
    <hyperlink ref="U3694" r:id="rId3693" display="立案頁"/>
    <hyperlink ref="U3695" r:id="rId3694" display="立案頁"/>
    <hyperlink ref="U3696" r:id="rId3695" display="立案頁"/>
    <hyperlink ref="U3697" r:id="rId3696" display="立案頁"/>
    <hyperlink ref="U3698" r:id="rId3697" display="立案頁"/>
    <hyperlink ref="U3699" r:id="rId3698" display="立案頁"/>
    <hyperlink ref="U3700" r:id="rId3699" display="立案頁"/>
    <hyperlink ref="U3701" r:id="rId3700" display="立案頁"/>
    <hyperlink ref="U3702" r:id="rId3701" display="立案頁"/>
    <hyperlink ref="U3703" r:id="rId3702" display="立案頁"/>
    <hyperlink ref="U3704" r:id="rId3703" display="立案頁"/>
    <hyperlink ref="U3705" r:id="rId3704" display="立案頁"/>
    <hyperlink ref="U3706" r:id="rId3705" display="立案頁"/>
    <hyperlink ref="U3707" r:id="rId3706" display="立案頁"/>
    <hyperlink ref="U3708" r:id="rId3707" display="立案頁"/>
    <hyperlink ref="U3709" r:id="rId3708" display="立案頁"/>
    <hyperlink ref="U3710" r:id="rId3709" display="立案頁"/>
    <hyperlink ref="U3711" r:id="rId3710" display="立案頁"/>
    <hyperlink ref="U3712" r:id="rId3711" display="立案頁"/>
    <hyperlink ref="U3713" r:id="rId3712" display="立案頁"/>
    <hyperlink ref="U3714" r:id="rId3713" display="立案頁"/>
    <hyperlink ref="U3715" r:id="rId3714" display="立案頁"/>
    <hyperlink ref="U3716" r:id="rId3715" display="立案頁"/>
    <hyperlink ref="U3717" r:id="rId3716" display="立案頁"/>
    <hyperlink ref="U3718" r:id="rId3717" display="立案頁"/>
    <hyperlink ref="U3719" r:id="rId3718" display="立案頁"/>
    <hyperlink ref="U3720" r:id="rId3719" display="立案頁"/>
    <hyperlink ref="U3721" r:id="rId3720" display="立案頁"/>
    <hyperlink ref="U3722" r:id="rId3721" display="立案頁"/>
    <hyperlink ref="U3723" r:id="rId3722" display="立案頁"/>
    <hyperlink ref="U3724" r:id="rId3723" display="立案頁"/>
    <hyperlink ref="U3725" r:id="rId3724" display="立案頁"/>
    <hyperlink ref="U3726" r:id="rId3725" display="立案頁"/>
    <hyperlink ref="U3727" r:id="rId3726" display="立案頁"/>
    <hyperlink ref="U3728" r:id="rId3727" display="立案頁"/>
    <hyperlink ref="U3729" r:id="rId3728" display="立案頁"/>
    <hyperlink ref="U3730" r:id="rId3729" display="立案頁"/>
    <hyperlink ref="U3731" r:id="rId3730" display="立案頁"/>
    <hyperlink ref="U3732" r:id="rId3731" display="立案頁"/>
    <hyperlink ref="U3733" r:id="rId3732" display="立案頁"/>
    <hyperlink ref="U3734" r:id="rId3733" display="立案頁"/>
    <hyperlink ref="U3735" r:id="rId3734" display="立案頁"/>
    <hyperlink ref="U3736" r:id="rId3735" display="立案頁"/>
    <hyperlink ref="U3737" r:id="rId3736" display="立案頁"/>
    <hyperlink ref="U3738" r:id="rId3737" display="立案頁"/>
    <hyperlink ref="U3739" r:id="rId3738" display="立案頁"/>
    <hyperlink ref="U3740" r:id="rId3739" display="立案頁"/>
    <hyperlink ref="U3741" r:id="rId3740" display="立案頁"/>
    <hyperlink ref="U3742" r:id="rId3741" display="立案頁"/>
    <hyperlink ref="U3743" r:id="rId3742" display="立案頁"/>
    <hyperlink ref="U3744" r:id="rId3743" display="立案頁"/>
    <hyperlink ref="U3745" r:id="rId3744" display="立案頁"/>
    <hyperlink ref="U3746" r:id="rId3745" display="立案頁"/>
    <hyperlink ref="U3747" r:id="rId3746" display="立案頁"/>
    <hyperlink ref="U3748" r:id="rId3747" display="立案頁"/>
    <hyperlink ref="U3749" r:id="rId3748" display="立案頁"/>
    <hyperlink ref="U3750" r:id="rId3749" display="立案頁"/>
    <hyperlink ref="U3751" r:id="rId3750" display="立案頁"/>
    <hyperlink ref="U3752" r:id="rId3751" display="立案頁"/>
    <hyperlink ref="U3753" r:id="rId3752" display="立案頁"/>
    <hyperlink ref="U3754" r:id="rId3753" display="立案頁"/>
    <hyperlink ref="U3755" r:id="rId3754" display="立案頁"/>
    <hyperlink ref="U3756" r:id="rId3755" display="立案頁"/>
    <hyperlink ref="U3757" r:id="rId3756" display="立案頁"/>
    <hyperlink ref="U3758" r:id="rId3757" display="立案頁"/>
    <hyperlink ref="U3759" r:id="rId3758" display="立案頁"/>
    <hyperlink ref="U3760" r:id="rId3759" display="立案頁"/>
    <hyperlink ref="U3761" r:id="rId3760" display="立案頁"/>
    <hyperlink ref="U3762" r:id="rId3761" display="立案頁"/>
    <hyperlink ref="U3763" r:id="rId3762" display="立案頁"/>
    <hyperlink ref="U3764" r:id="rId3763" display="立案頁"/>
    <hyperlink ref="U3765" r:id="rId3764" display="立案頁"/>
    <hyperlink ref="U3766" r:id="rId3765" display="立案頁"/>
    <hyperlink ref="U3767" r:id="rId3766" display="立案頁"/>
    <hyperlink ref="U3768" r:id="rId3767" display="立案頁"/>
    <hyperlink ref="U3769" r:id="rId3768" display="立案頁"/>
    <hyperlink ref="U3770" r:id="rId3769" display="立案頁"/>
    <hyperlink ref="U3771" r:id="rId3770" display="立案頁"/>
    <hyperlink ref="U3772" r:id="rId3771" display="立案頁"/>
    <hyperlink ref="U3773" r:id="rId3772" display="立案頁"/>
    <hyperlink ref="U3774" r:id="rId3773" display="立案頁"/>
    <hyperlink ref="U3775" r:id="rId3774" display="立案頁"/>
    <hyperlink ref="U3776" r:id="rId3775" display="立案頁"/>
    <hyperlink ref="U3777" r:id="rId3776" display="立案頁"/>
    <hyperlink ref="U3778" r:id="rId3777" display="立案頁"/>
    <hyperlink ref="U3779" r:id="rId3778" display="立案頁"/>
    <hyperlink ref="U3780" r:id="rId3779" display="立案頁"/>
    <hyperlink ref="U3781" r:id="rId3780" display="立案頁"/>
    <hyperlink ref="U3782" r:id="rId3781" display="立案頁"/>
    <hyperlink ref="U3783" r:id="rId3782" display="立案頁"/>
    <hyperlink ref="U3784" r:id="rId3783" display="立案頁"/>
    <hyperlink ref="U3785" r:id="rId3784" display="立案頁"/>
    <hyperlink ref="U3786" r:id="rId3785" display="立案頁"/>
    <hyperlink ref="U3787" r:id="rId3786" display="立案頁"/>
    <hyperlink ref="U3788" r:id="rId3787" display="立案頁"/>
    <hyperlink ref="U3789" r:id="rId3788" display="立案頁"/>
    <hyperlink ref="U3790" r:id="rId3789" display="立案頁"/>
    <hyperlink ref="U3791" r:id="rId3790" display="立案頁"/>
    <hyperlink ref="U3792" r:id="rId3791" display="立案頁"/>
    <hyperlink ref="U3793" r:id="rId3792" display="立案頁"/>
    <hyperlink ref="U3794" r:id="rId3793" display="立案頁"/>
    <hyperlink ref="U3795" r:id="rId3794" display="立案頁"/>
    <hyperlink ref="U3796" r:id="rId3795" display="立案頁"/>
    <hyperlink ref="U3797" r:id="rId3796" display="立案頁"/>
    <hyperlink ref="U3798" r:id="rId3797" display="立案頁"/>
    <hyperlink ref="U3799" r:id="rId3798" display="立案頁"/>
    <hyperlink ref="U3800" r:id="rId3799" display="立案頁"/>
    <hyperlink ref="U3801" r:id="rId3800" display="立案頁"/>
    <hyperlink ref="U3802" r:id="rId3801" display="立案頁"/>
    <hyperlink ref="U3803" r:id="rId3802" display="立案頁"/>
    <hyperlink ref="U3804" r:id="rId3803" display="立案頁"/>
    <hyperlink ref="U3805" r:id="rId3804" display="立案頁"/>
    <hyperlink ref="U3806" r:id="rId3805" display="立案頁"/>
    <hyperlink ref="U3807" r:id="rId3806" display="立案頁"/>
    <hyperlink ref="U3808" r:id="rId3807" display="立案頁"/>
    <hyperlink ref="U3809" r:id="rId3808" display="立案頁"/>
    <hyperlink ref="U3810" r:id="rId3809" display="立案頁"/>
    <hyperlink ref="U3811" r:id="rId3810" display="立案頁"/>
    <hyperlink ref="U3812" r:id="rId3811" display="立案頁"/>
    <hyperlink ref="U3813" r:id="rId3812" display="立案頁"/>
    <hyperlink ref="U3814" r:id="rId3813" display="立案頁"/>
    <hyperlink ref="U3815" r:id="rId3814" display="立案頁"/>
    <hyperlink ref="U3816" r:id="rId3815" display="立案頁"/>
    <hyperlink ref="U3817" r:id="rId3816" display="立案頁"/>
    <hyperlink ref="U3818" r:id="rId3817" display="立案頁"/>
    <hyperlink ref="U3819" r:id="rId3818" display="立案頁"/>
    <hyperlink ref="U3820" r:id="rId3819" display="立案頁"/>
    <hyperlink ref="U3821" r:id="rId3820" display="立案頁"/>
    <hyperlink ref="U3822" r:id="rId3821" display="立案頁"/>
    <hyperlink ref="U3823" r:id="rId3822" display="立案頁"/>
    <hyperlink ref="U3824" r:id="rId3823" display="立案頁"/>
    <hyperlink ref="U3825" r:id="rId3824" display="立案頁"/>
    <hyperlink ref="U3826" r:id="rId3825" display="立案頁"/>
    <hyperlink ref="U3827" r:id="rId3826" display="立案頁"/>
    <hyperlink ref="U3828" r:id="rId3827" display="立案頁"/>
    <hyperlink ref="U3829" r:id="rId3828" display="立案頁"/>
    <hyperlink ref="U3830" r:id="rId3829" display="立案頁"/>
    <hyperlink ref="U3831" r:id="rId3830" display="立案頁"/>
    <hyperlink ref="U3832" r:id="rId3831" display="立案頁"/>
    <hyperlink ref="U3833" r:id="rId3832" display="立案頁"/>
    <hyperlink ref="U3834" r:id="rId3833" display="立案頁"/>
    <hyperlink ref="U3835" r:id="rId3834" display="立案頁"/>
    <hyperlink ref="U3836" r:id="rId3835" display="立案頁"/>
    <hyperlink ref="U3837" r:id="rId3836" display="立案頁"/>
    <hyperlink ref="U3838" r:id="rId3837" display="立案頁"/>
    <hyperlink ref="U3839" r:id="rId3838" display="立案頁"/>
    <hyperlink ref="U3840" r:id="rId3839" display="立案頁"/>
    <hyperlink ref="U3841" r:id="rId3840" display="立案頁"/>
    <hyperlink ref="U3842" r:id="rId3841" display="立案頁"/>
    <hyperlink ref="U3843" r:id="rId3842" display="立案頁"/>
    <hyperlink ref="U3844" r:id="rId3843" display="立案頁"/>
    <hyperlink ref="U3845" r:id="rId3844" display="立案頁"/>
    <hyperlink ref="U3846" r:id="rId3845" display="立案頁"/>
    <hyperlink ref="U3847" r:id="rId3846" display="立案頁"/>
    <hyperlink ref="U3848" r:id="rId3847" display="立案頁"/>
    <hyperlink ref="U3849" r:id="rId3848" display="立案頁"/>
    <hyperlink ref="U3850" r:id="rId3849" display="立案頁"/>
    <hyperlink ref="U3851" r:id="rId3850" display="立案頁"/>
    <hyperlink ref="U3852" r:id="rId3851" display="立案頁"/>
    <hyperlink ref="U3853" r:id="rId3852" display="立案頁"/>
    <hyperlink ref="U3854" r:id="rId3853" display="立案頁"/>
    <hyperlink ref="U3855" r:id="rId3854" display="立案頁"/>
    <hyperlink ref="U3856" r:id="rId3855" display="立案頁"/>
    <hyperlink ref="U3857" r:id="rId3856" display="立案頁"/>
    <hyperlink ref="U3858" r:id="rId3857" display="立案頁"/>
    <hyperlink ref="U3859" r:id="rId3858" display="立案頁"/>
    <hyperlink ref="U3860" r:id="rId3859" display="立案頁"/>
    <hyperlink ref="U3861" r:id="rId3860" display="立案頁"/>
    <hyperlink ref="U3862" r:id="rId3861" display="立案頁"/>
    <hyperlink ref="U3863" r:id="rId3862" display="立案頁"/>
    <hyperlink ref="U3864" r:id="rId3863" display="立案頁"/>
    <hyperlink ref="U3865" r:id="rId3864" display="立案頁"/>
    <hyperlink ref="U3866" r:id="rId3865" display="立案頁"/>
    <hyperlink ref="U3867" r:id="rId3866" display="立案頁"/>
    <hyperlink ref="U3868" r:id="rId3867" display="立案頁"/>
    <hyperlink ref="U3869" r:id="rId3868" display="立案頁"/>
    <hyperlink ref="U3870" r:id="rId3869" display="立案頁"/>
    <hyperlink ref="U3871" r:id="rId3870" display="立案頁"/>
    <hyperlink ref="U3872" r:id="rId3871" display="立案頁"/>
    <hyperlink ref="U3873" r:id="rId3872" display="立案頁"/>
    <hyperlink ref="U3874" r:id="rId3873" display="立案頁"/>
    <hyperlink ref="U3875" r:id="rId3874" display="立案頁"/>
    <hyperlink ref="U3876" r:id="rId3875" display="立案頁"/>
    <hyperlink ref="U3877" r:id="rId3876" display="立案頁"/>
    <hyperlink ref="U3878" r:id="rId3877" display="立案頁"/>
    <hyperlink ref="U3879" r:id="rId3878" display="立案頁"/>
    <hyperlink ref="U3880" r:id="rId3879" display="立案頁"/>
    <hyperlink ref="U3881" r:id="rId3880" display="立案頁"/>
    <hyperlink ref="U3882" r:id="rId3881" display="立案頁"/>
    <hyperlink ref="U3883" r:id="rId3882" display="立案頁"/>
    <hyperlink ref="U3884" r:id="rId3883" display="立案頁"/>
    <hyperlink ref="U3885" r:id="rId3884" display="立案頁"/>
    <hyperlink ref="U3886" r:id="rId3885" display="立案頁"/>
    <hyperlink ref="U3887" r:id="rId3886" display="立案頁"/>
    <hyperlink ref="U3888" r:id="rId3887" display="立案頁"/>
    <hyperlink ref="U3889" r:id="rId3888" display="立案頁"/>
    <hyperlink ref="U3890" r:id="rId3889" display="立案頁"/>
    <hyperlink ref="U3891" r:id="rId3890" display="立案頁"/>
    <hyperlink ref="U3892" r:id="rId3891" display="立案頁"/>
    <hyperlink ref="U3893" r:id="rId3892" display="立案頁"/>
    <hyperlink ref="U3894" r:id="rId3893" display="立案頁"/>
    <hyperlink ref="U3895" r:id="rId3894" display="立案頁"/>
    <hyperlink ref="U3896" r:id="rId3895" display="立案頁"/>
    <hyperlink ref="U3897" r:id="rId3896" display="立案頁"/>
    <hyperlink ref="U3898" r:id="rId3897" display="立案頁"/>
    <hyperlink ref="U3899" r:id="rId3898" display="立案頁"/>
    <hyperlink ref="U3900" r:id="rId3899" display="立案頁"/>
    <hyperlink ref="U3901" r:id="rId3900" display="立案頁"/>
    <hyperlink ref="U3902" r:id="rId3901" display="立案頁"/>
    <hyperlink ref="U3903" r:id="rId3902" display="立案頁"/>
    <hyperlink ref="U3904" r:id="rId3903" display="立案頁"/>
    <hyperlink ref="U3905" r:id="rId3904" display="立案頁"/>
    <hyperlink ref="U3906" r:id="rId3905" display="立案頁"/>
    <hyperlink ref="U3907" r:id="rId3906" display="立案頁"/>
    <hyperlink ref="U3908" r:id="rId3907" display="立案頁"/>
    <hyperlink ref="U3909" r:id="rId3908" display="立案頁"/>
    <hyperlink ref="U3910" r:id="rId3909" display="立案頁"/>
    <hyperlink ref="U3911" r:id="rId3910" display="立案頁"/>
    <hyperlink ref="U3912" r:id="rId3911" display="立案頁"/>
    <hyperlink ref="U3913" r:id="rId3912" display="立案頁"/>
    <hyperlink ref="U3914" r:id="rId3913" display="立案頁"/>
    <hyperlink ref="U3915" r:id="rId3914" display="立案頁"/>
    <hyperlink ref="U3916" r:id="rId3915" display="立案頁"/>
    <hyperlink ref="U3917" r:id="rId3916" display="立案頁"/>
    <hyperlink ref="U3918" r:id="rId3917" display="立案頁"/>
    <hyperlink ref="U3919" r:id="rId3918" display="立案頁"/>
    <hyperlink ref="U3920" r:id="rId3919" display="立案頁"/>
    <hyperlink ref="U3921" r:id="rId3920" display="立案頁"/>
    <hyperlink ref="U3922" r:id="rId3921" display="立案頁"/>
    <hyperlink ref="U3923" r:id="rId3922" display="立案頁"/>
    <hyperlink ref="U3924" r:id="rId3923" display="立案頁"/>
    <hyperlink ref="U3925" r:id="rId3924" display="立案頁"/>
    <hyperlink ref="U3926" r:id="rId3925" display="立案頁"/>
    <hyperlink ref="U3927" r:id="rId3926" display="立案頁"/>
    <hyperlink ref="U3928" r:id="rId3927" display="立案頁"/>
    <hyperlink ref="U3929" r:id="rId3928" display="立案頁"/>
    <hyperlink ref="U3930" r:id="rId3929" display="立案頁"/>
    <hyperlink ref="U3931" r:id="rId3930" display="立案頁"/>
    <hyperlink ref="U3932" r:id="rId3931" display="立案頁"/>
    <hyperlink ref="U3933" r:id="rId3932" display="立案頁"/>
    <hyperlink ref="U3934" r:id="rId3933" display="立案頁"/>
    <hyperlink ref="U3935" r:id="rId3934" display="立案頁"/>
    <hyperlink ref="U3936" r:id="rId3935" display="立案頁"/>
    <hyperlink ref="U3937" r:id="rId3936" display="立案頁"/>
    <hyperlink ref="U3938" r:id="rId3937" display="立案頁"/>
    <hyperlink ref="U3939" r:id="rId3938" display="立案頁"/>
    <hyperlink ref="U3940" r:id="rId3939" display="立案頁"/>
    <hyperlink ref="U3941" r:id="rId3940" display="立案頁"/>
    <hyperlink ref="U3942" r:id="rId3941" display="立案頁"/>
    <hyperlink ref="U3943" r:id="rId3942" display="立案頁"/>
    <hyperlink ref="U3944" r:id="rId3943" display="立案頁"/>
    <hyperlink ref="U3945" r:id="rId3944" display="立案頁"/>
    <hyperlink ref="U3946" r:id="rId3945" display="立案頁"/>
    <hyperlink ref="U3947" r:id="rId3946" display="立案頁"/>
    <hyperlink ref="U3948" r:id="rId3947" display="立案頁"/>
    <hyperlink ref="U3949" r:id="rId3948" display="立案頁"/>
    <hyperlink ref="U3950" r:id="rId3949" display="立案頁"/>
    <hyperlink ref="U3951" r:id="rId3950" display="立案頁"/>
    <hyperlink ref="U3952" r:id="rId3951" display="立案頁"/>
    <hyperlink ref="U3953" r:id="rId3952" display="立案頁"/>
    <hyperlink ref="U3954" r:id="rId3953" display="立案頁"/>
    <hyperlink ref="U3955" r:id="rId3954" display="立案頁"/>
    <hyperlink ref="U3956" r:id="rId3955" display="立案頁"/>
    <hyperlink ref="U3957" r:id="rId3956" display="立案頁"/>
    <hyperlink ref="U3958" r:id="rId3957" display="立案頁"/>
    <hyperlink ref="U3959" r:id="rId3958" display="立案頁"/>
    <hyperlink ref="U3960" r:id="rId3959" display="立案頁"/>
    <hyperlink ref="U3961" r:id="rId3960" display="立案頁"/>
    <hyperlink ref="U3962" r:id="rId3961" display="立案頁"/>
    <hyperlink ref="U3963" r:id="rId3962" display="立案頁"/>
    <hyperlink ref="U3964" r:id="rId3963" display="立案頁"/>
    <hyperlink ref="U3965" r:id="rId3964" display="立案頁"/>
    <hyperlink ref="U3966" r:id="rId3965" display="立案頁"/>
    <hyperlink ref="U3967" r:id="rId3966" display="立案頁"/>
    <hyperlink ref="U3968" r:id="rId3967" display="立案頁"/>
    <hyperlink ref="U3969" r:id="rId3968" display="立案頁"/>
    <hyperlink ref="U3970" r:id="rId3969" display="立案頁"/>
    <hyperlink ref="U3971" r:id="rId3970" display="立案頁"/>
    <hyperlink ref="U3972" r:id="rId3971" display="立案頁"/>
    <hyperlink ref="U3973" r:id="rId3972" display="立案頁"/>
    <hyperlink ref="U3974" r:id="rId3973" display="立案頁"/>
    <hyperlink ref="U3975" r:id="rId3974" display="立案頁"/>
    <hyperlink ref="U3976" r:id="rId3975" display="立案頁"/>
    <hyperlink ref="U3977" r:id="rId3976" display="立案頁"/>
    <hyperlink ref="U3978" r:id="rId3977" display="立案頁"/>
    <hyperlink ref="U3979" r:id="rId3978" display="立案頁"/>
    <hyperlink ref="U3980" r:id="rId3979" display="立案頁"/>
    <hyperlink ref="U3981" r:id="rId3980" display="立案頁"/>
    <hyperlink ref="U3982" r:id="rId3981" display="立案頁"/>
    <hyperlink ref="U3983" r:id="rId3982" display="立案頁"/>
    <hyperlink ref="U3984" r:id="rId3983" display="立案頁"/>
    <hyperlink ref="U3985" r:id="rId3984" display="立案頁"/>
    <hyperlink ref="U3986" r:id="rId3985" display="立案頁"/>
    <hyperlink ref="U3987" r:id="rId3986" display="立案頁"/>
    <hyperlink ref="U3988" r:id="rId3987" display="立案頁"/>
    <hyperlink ref="U3989" r:id="rId3988" display="立案頁"/>
    <hyperlink ref="U3990" r:id="rId3989" display="立案頁"/>
    <hyperlink ref="U3991" r:id="rId3990" display="立案頁"/>
    <hyperlink ref="U3992" r:id="rId3991" display="立案頁"/>
    <hyperlink ref="U3993" r:id="rId3992" display="立案頁"/>
    <hyperlink ref="U3994" r:id="rId3993" display="立案頁"/>
    <hyperlink ref="U3995" r:id="rId3994" display="立案頁"/>
    <hyperlink ref="U3996" r:id="rId3995" display="立案頁"/>
    <hyperlink ref="U3997" r:id="rId3996" display="立案頁"/>
    <hyperlink ref="U3998" r:id="rId3997" display="立案頁"/>
    <hyperlink ref="U3999" r:id="rId3998" display="立案頁"/>
    <hyperlink ref="U4000" r:id="rId3999" display="立案頁"/>
    <hyperlink ref="U4001" r:id="rId4000" display="立案頁"/>
    <hyperlink ref="U4002" r:id="rId4001" display="立案頁"/>
    <hyperlink ref="U4003" r:id="rId4002" display="立案頁"/>
    <hyperlink ref="U4004" r:id="rId4003" display="立案頁"/>
    <hyperlink ref="U4005" r:id="rId4004" display="立案頁"/>
    <hyperlink ref="U4006" r:id="rId4005" display="立案頁"/>
    <hyperlink ref="U4007" r:id="rId4006" display="立案頁"/>
    <hyperlink ref="U4008" r:id="rId4007" display="立案頁"/>
    <hyperlink ref="U4009" r:id="rId4008" display="立案頁"/>
    <hyperlink ref="U4010" r:id="rId4009" display="立案頁"/>
    <hyperlink ref="U4011" r:id="rId4010" display="立案頁"/>
    <hyperlink ref="U4012" r:id="rId4011" display="立案頁"/>
    <hyperlink ref="U4013" r:id="rId4012" display="立案頁"/>
    <hyperlink ref="U4014" r:id="rId4013" display="立案頁"/>
    <hyperlink ref="U4015" r:id="rId4014" display="立案頁"/>
    <hyperlink ref="U4016" r:id="rId4015" display="立案頁"/>
    <hyperlink ref="U4017" r:id="rId4016" display="立案頁"/>
    <hyperlink ref="U4018" r:id="rId4017" display="立案頁"/>
    <hyperlink ref="U4019" r:id="rId4018" display="立案頁"/>
    <hyperlink ref="U4020" r:id="rId4019" display="立案頁"/>
    <hyperlink ref="U4021" r:id="rId4020" display="立案頁"/>
    <hyperlink ref="U4022" r:id="rId4021" display="立案頁"/>
    <hyperlink ref="U4023" r:id="rId4022" display="立案頁"/>
    <hyperlink ref="U4024" r:id="rId4023" display="立案頁"/>
    <hyperlink ref="U4025" r:id="rId4024" display="立案頁"/>
    <hyperlink ref="U4026" r:id="rId4025" display="立案頁"/>
    <hyperlink ref="U4027" r:id="rId4026" display="立案頁"/>
    <hyperlink ref="U4028" r:id="rId4027" display="立案頁"/>
    <hyperlink ref="U4029" r:id="rId4028" display="立案頁"/>
    <hyperlink ref="U4030" r:id="rId4029" display="立案頁"/>
    <hyperlink ref="U4031" r:id="rId4030" display="立案頁"/>
    <hyperlink ref="U4032" r:id="rId4031" display="立案頁"/>
    <hyperlink ref="U4033" r:id="rId4032" display="立案頁"/>
    <hyperlink ref="U4034" r:id="rId4033" display="立案頁"/>
    <hyperlink ref="U4035" r:id="rId4034" display="立案頁"/>
    <hyperlink ref="U4036" r:id="rId4035" display="立案頁"/>
    <hyperlink ref="U4037" r:id="rId4036" display="立案頁"/>
    <hyperlink ref="U4038" r:id="rId4037" display="立案頁"/>
    <hyperlink ref="U4039" r:id="rId4038" display="立案頁"/>
    <hyperlink ref="U4040" r:id="rId4039" display="立案頁"/>
    <hyperlink ref="U4041" r:id="rId4040" display="立案頁"/>
    <hyperlink ref="U4042" r:id="rId4041" display="立案頁"/>
    <hyperlink ref="U4043" r:id="rId4042" display="立案頁"/>
    <hyperlink ref="U4044" r:id="rId4043" display="立案頁"/>
    <hyperlink ref="U4045" r:id="rId4044" display="立案頁"/>
    <hyperlink ref="U4046" r:id="rId4045" display="立案頁"/>
    <hyperlink ref="U4047" r:id="rId4046" display="立案頁"/>
    <hyperlink ref="U4048" r:id="rId4047" display="立案頁"/>
    <hyperlink ref="U4049" r:id="rId4048" display="立案頁"/>
    <hyperlink ref="U4050" r:id="rId4049" display="立案頁"/>
    <hyperlink ref="U4051" r:id="rId4050" display="立案頁"/>
    <hyperlink ref="U4052" r:id="rId4051" display="立案頁"/>
    <hyperlink ref="U4053" r:id="rId4052" display="立案頁"/>
    <hyperlink ref="U4054" r:id="rId4053" display="立案頁"/>
    <hyperlink ref="U4055" r:id="rId4054" display="立案頁"/>
    <hyperlink ref="U4056" r:id="rId4055" display="立案頁"/>
    <hyperlink ref="U4057" r:id="rId4056" display="立案頁"/>
    <hyperlink ref="U4058" r:id="rId4057" display="立案頁"/>
    <hyperlink ref="U4059" r:id="rId4058" display="立案頁"/>
    <hyperlink ref="U4060" r:id="rId4059" display="立案頁"/>
    <hyperlink ref="U4061" r:id="rId4060" display="立案頁"/>
    <hyperlink ref="U4062" r:id="rId4061" display="立案頁"/>
    <hyperlink ref="U4063" r:id="rId4062" display="立案頁"/>
    <hyperlink ref="U4064" r:id="rId4063" display="立案頁"/>
    <hyperlink ref="U4065" r:id="rId4064" display="立案頁"/>
    <hyperlink ref="U4066" r:id="rId4065" display="立案頁"/>
    <hyperlink ref="U4067" r:id="rId4066" display="立案頁"/>
    <hyperlink ref="U4068" r:id="rId4067" display="立案頁"/>
    <hyperlink ref="U4069" r:id="rId4068" display="立案頁"/>
    <hyperlink ref="U4070" r:id="rId4069" display="立案頁"/>
    <hyperlink ref="U4071" r:id="rId4070" display="立案頁"/>
    <hyperlink ref="U4072" r:id="rId4071" display="立案頁"/>
    <hyperlink ref="U4073" r:id="rId4072" display="立案頁"/>
    <hyperlink ref="U4074" r:id="rId4073" display="立案頁"/>
    <hyperlink ref="U4075" r:id="rId4074" display="立案頁"/>
    <hyperlink ref="U4076" r:id="rId4075" display="立案頁"/>
    <hyperlink ref="U4077" r:id="rId4076" display="立案頁"/>
    <hyperlink ref="U4078" r:id="rId4077" display="立案頁"/>
    <hyperlink ref="U4079" r:id="rId4078" display="立案頁"/>
    <hyperlink ref="U4080" r:id="rId4079" display="立案頁"/>
    <hyperlink ref="U4081" r:id="rId4080" display="立案頁"/>
    <hyperlink ref="U4082" r:id="rId4081" display="立案頁"/>
    <hyperlink ref="U4083" r:id="rId4082" display="立案頁"/>
    <hyperlink ref="U4084" r:id="rId4083" display="立案頁"/>
    <hyperlink ref="U4085" r:id="rId4084" display="立案頁"/>
    <hyperlink ref="U4086" r:id="rId4085" display="立案頁"/>
    <hyperlink ref="U4087" r:id="rId4086" display="立案頁"/>
    <hyperlink ref="U4088" r:id="rId4087" display="立案頁"/>
    <hyperlink ref="U4089" r:id="rId4088" display="立案頁"/>
    <hyperlink ref="U4090" r:id="rId4089" display="立案頁"/>
    <hyperlink ref="U4091" r:id="rId4090" display="立案頁"/>
    <hyperlink ref="U4092" r:id="rId4091" display="立案頁"/>
    <hyperlink ref="U4093" r:id="rId4092" display="立案頁"/>
    <hyperlink ref="U4094" r:id="rId4093" display="立案頁"/>
    <hyperlink ref="U4095" r:id="rId4094" display="立案頁"/>
    <hyperlink ref="U4096" r:id="rId4095" display="立案頁"/>
    <hyperlink ref="U4097" r:id="rId4096" display="立案頁"/>
    <hyperlink ref="U4098" r:id="rId4097" display="立案頁"/>
    <hyperlink ref="U4099" r:id="rId4098" display="立案頁"/>
    <hyperlink ref="U4100" r:id="rId4099" display="立案頁"/>
    <hyperlink ref="U4101" r:id="rId4100" display="立案頁"/>
    <hyperlink ref="U4102" r:id="rId4101" display="立案頁"/>
    <hyperlink ref="U4103" r:id="rId4102" display="立案頁"/>
    <hyperlink ref="U4104" r:id="rId4103" display="立案頁"/>
    <hyperlink ref="U4105" r:id="rId4104" display="立案頁"/>
    <hyperlink ref="U4106" r:id="rId4105" display="立案頁"/>
    <hyperlink ref="U4107" r:id="rId4106" display="立案頁"/>
    <hyperlink ref="U4108" r:id="rId4107" display="立案頁"/>
    <hyperlink ref="U4109" r:id="rId4108" display="立案頁"/>
    <hyperlink ref="U4110" r:id="rId4109" display="立案頁"/>
    <hyperlink ref="U4111" r:id="rId4110" display="立案頁"/>
    <hyperlink ref="U4112" r:id="rId4111" display="立案頁"/>
    <hyperlink ref="U4113" r:id="rId4112" display="立案頁"/>
    <hyperlink ref="U4114" r:id="rId4113" display="立案頁"/>
    <hyperlink ref="U4115" r:id="rId4114" display="立案頁"/>
    <hyperlink ref="U4116" r:id="rId4115" display="立案頁"/>
    <hyperlink ref="U4117" r:id="rId4116" display="立案頁"/>
    <hyperlink ref="U4118" r:id="rId4117" display="立案頁"/>
    <hyperlink ref="U4119" r:id="rId4118" display="立案頁"/>
    <hyperlink ref="U4120" r:id="rId4119" display="立案頁"/>
    <hyperlink ref="U4121" r:id="rId4120" display="立案頁"/>
    <hyperlink ref="U4122" r:id="rId4121" display="立案頁"/>
    <hyperlink ref="U4123" r:id="rId4122" display="立案頁"/>
    <hyperlink ref="U4124" r:id="rId4123" display="立案頁"/>
    <hyperlink ref="U4125" r:id="rId4124" display="立案頁"/>
    <hyperlink ref="U4126" r:id="rId4125" display="立案頁"/>
    <hyperlink ref="U4127" r:id="rId4126" display="立案頁"/>
    <hyperlink ref="U4128" r:id="rId4127" display="立案頁"/>
    <hyperlink ref="U4129" r:id="rId4128" display="立案頁"/>
    <hyperlink ref="U4130" r:id="rId4129" display="立案頁"/>
    <hyperlink ref="U4131" r:id="rId4130" display="立案頁"/>
    <hyperlink ref="U4132" r:id="rId4131" display="立案頁"/>
    <hyperlink ref="U4133" r:id="rId4132" display="立案頁"/>
    <hyperlink ref="U4134" r:id="rId4133" display="立案頁"/>
    <hyperlink ref="U4135" r:id="rId4134" display="立案頁"/>
    <hyperlink ref="U4136" r:id="rId4135" display="立案頁"/>
    <hyperlink ref="U4137" r:id="rId4136" display="立案頁"/>
    <hyperlink ref="U4138" r:id="rId4137" display="立案頁"/>
    <hyperlink ref="U4139" r:id="rId4138" display="立案頁"/>
    <hyperlink ref="U4140" r:id="rId4139" display="立案頁"/>
    <hyperlink ref="U4141" r:id="rId4140" display="立案頁"/>
    <hyperlink ref="U4142" r:id="rId4141" display="立案頁"/>
    <hyperlink ref="U4143" r:id="rId4142" display="立案頁"/>
    <hyperlink ref="U4144" r:id="rId4143" display="立案頁"/>
    <hyperlink ref="U4145" r:id="rId4144" display="立案頁"/>
    <hyperlink ref="U4146" r:id="rId4145" display="立案頁"/>
    <hyperlink ref="U4147" r:id="rId4146" display="立案頁"/>
    <hyperlink ref="U4148" r:id="rId4147" display="立案頁"/>
    <hyperlink ref="U4149" r:id="rId4148" display="立案頁"/>
    <hyperlink ref="U4150" r:id="rId4149" display="立案頁"/>
    <hyperlink ref="U4151" r:id="rId4150" display="立案頁"/>
    <hyperlink ref="U4152" r:id="rId4151" display="立案頁"/>
    <hyperlink ref="U4153" r:id="rId4152" display="立案頁"/>
    <hyperlink ref="U4154" r:id="rId4153" display="立案頁"/>
    <hyperlink ref="U4155" r:id="rId4154" display="立案頁"/>
    <hyperlink ref="U4156" r:id="rId4155" display="立案頁"/>
    <hyperlink ref="U4157" r:id="rId4156" display="立案頁"/>
    <hyperlink ref="U4158" r:id="rId4157" display="立案頁"/>
    <hyperlink ref="U4159" r:id="rId4158" display="立案頁"/>
    <hyperlink ref="U4160" r:id="rId4159" display="立案頁"/>
    <hyperlink ref="U4161" r:id="rId4160" display="立案頁"/>
    <hyperlink ref="U4162" r:id="rId4161" display="立案頁"/>
    <hyperlink ref="U4163" r:id="rId4162" display="立案頁"/>
    <hyperlink ref="U4164" r:id="rId4163" display="立案頁"/>
    <hyperlink ref="U4165" r:id="rId4164" display="立案頁"/>
    <hyperlink ref="U4166" r:id="rId4165" display="立案頁"/>
    <hyperlink ref="U4167" r:id="rId4166" display="立案頁"/>
    <hyperlink ref="U4168" r:id="rId4167" display="立案頁"/>
    <hyperlink ref="U4169" r:id="rId4168" display="立案頁"/>
    <hyperlink ref="U4170" r:id="rId4169" display="立案頁"/>
    <hyperlink ref="U4171" r:id="rId4170" display="立案頁"/>
    <hyperlink ref="U4172" r:id="rId4171" display="立案頁"/>
    <hyperlink ref="U4173" r:id="rId4172" display="立案頁"/>
    <hyperlink ref="U4174" r:id="rId4173" display="立案頁"/>
    <hyperlink ref="U4175" r:id="rId4174" display="立案頁"/>
    <hyperlink ref="U4176" r:id="rId4175" display="立案頁"/>
    <hyperlink ref="U4177" r:id="rId4176" display="立案頁"/>
    <hyperlink ref="U4178" r:id="rId4177" display="立案頁"/>
    <hyperlink ref="U4179" r:id="rId4178" display="立案頁"/>
    <hyperlink ref="U4180" r:id="rId4179" display="立案頁"/>
    <hyperlink ref="U4181" r:id="rId4180" display="立案頁"/>
    <hyperlink ref="U4182" r:id="rId4181" display="立案頁"/>
    <hyperlink ref="U4183" r:id="rId4182" display="立案頁"/>
    <hyperlink ref="U4184" r:id="rId4183" display="立案頁"/>
    <hyperlink ref="U4185" r:id="rId4184" display="立案頁"/>
    <hyperlink ref="U4186" r:id="rId4185" display="立案頁"/>
    <hyperlink ref="U4187" r:id="rId4186" display="立案頁"/>
    <hyperlink ref="U4188" r:id="rId4187" display="立案頁"/>
    <hyperlink ref="U4189" r:id="rId4188" display="立案頁"/>
    <hyperlink ref="U4190" r:id="rId4189" display="立案頁"/>
    <hyperlink ref="U4191" r:id="rId4190" display="立案頁"/>
    <hyperlink ref="U4192" r:id="rId4191" display="立案頁"/>
    <hyperlink ref="U4193" r:id="rId4192" display="立案頁"/>
    <hyperlink ref="U4194" r:id="rId4193" display="立案頁"/>
    <hyperlink ref="U4195" r:id="rId4194" display="立案頁"/>
    <hyperlink ref="U4196" r:id="rId4195" display="立案頁"/>
    <hyperlink ref="U4197" r:id="rId4196" display="立案頁"/>
    <hyperlink ref="U4198" r:id="rId4197" display="立案頁"/>
    <hyperlink ref="U4199" r:id="rId4198" display="立案頁"/>
    <hyperlink ref="U4200" r:id="rId4199" display="立案頁"/>
    <hyperlink ref="U4201" r:id="rId4200" display="立案頁"/>
    <hyperlink ref="U4202" r:id="rId4201" display="立案頁"/>
    <hyperlink ref="U4203" r:id="rId4202" display="立案頁"/>
    <hyperlink ref="U4204" r:id="rId4203" display="立案頁"/>
    <hyperlink ref="U4205" r:id="rId4204" display="立案頁"/>
    <hyperlink ref="U4206" r:id="rId4205" display="立案頁"/>
    <hyperlink ref="U4207" r:id="rId4206" display="立案頁"/>
    <hyperlink ref="U4208" r:id="rId4207" display="立案頁"/>
    <hyperlink ref="U4209" r:id="rId4208" display="立案頁"/>
    <hyperlink ref="U4210" r:id="rId4209" display="立案頁"/>
    <hyperlink ref="U4211" r:id="rId4210" display="立案頁"/>
    <hyperlink ref="U4212" r:id="rId4211" display="立案頁"/>
    <hyperlink ref="U4213" r:id="rId4212" display="立案頁"/>
    <hyperlink ref="U4214" r:id="rId4213" display="立案頁"/>
    <hyperlink ref="U4215" r:id="rId4214" display="立案頁"/>
    <hyperlink ref="U4216" r:id="rId4215" display="立案頁"/>
    <hyperlink ref="U4217" r:id="rId4216" display="立案頁"/>
    <hyperlink ref="U4218" r:id="rId4217" display="立案頁"/>
    <hyperlink ref="U4219" r:id="rId4218" display="立案頁"/>
    <hyperlink ref="U4220" r:id="rId4219" display="立案頁"/>
    <hyperlink ref="U4221" r:id="rId4220" display="立案頁"/>
    <hyperlink ref="U4222" r:id="rId4221" display="立案頁"/>
    <hyperlink ref="U4223" r:id="rId4222" display="立案頁"/>
    <hyperlink ref="U4224" r:id="rId4223" display="立案頁"/>
    <hyperlink ref="U4225" r:id="rId4224" display="立案頁"/>
    <hyperlink ref="U4226" r:id="rId4225" display="立案頁"/>
    <hyperlink ref="U4227" r:id="rId4226" display="立案頁"/>
    <hyperlink ref="U4228" r:id="rId4227" display="立案頁"/>
    <hyperlink ref="U4229" r:id="rId4228" display="立案頁"/>
    <hyperlink ref="U4230" r:id="rId4229" display="立案頁"/>
    <hyperlink ref="U4231" r:id="rId4230" display="立案頁"/>
    <hyperlink ref="U4232" r:id="rId4231" display="立案頁"/>
    <hyperlink ref="U4233" r:id="rId4232" display="立案頁"/>
    <hyperlink ref="U4234" r:id="rId4233" display="立案頁"/>
    <hyperlink ref="U4235" r:id="rId4234" display="立案頁"/>
    <hyperlink ref="U4236" r:id="rId4235" display="立案頁"/>
    <hyperlink ref="U4237" r:id="rId4236" display="立案頁"/>
    <hyperlink ref="U4238" r:id="rId4237" display="立案頁"/>
    <hyperlink ref="U4239" r:id="rId4238" display="立案頁"/>
    <hyperlink ref="U4240" r:id="rId4239" display="立案頁"/>
    <hyperlink ref="U4241" r:id="rId4240" display="立案頁"/>
    <hyperlink ref="U4242" r:id="rId4241" display="立案頁"/>
    <hyperlink ref="U4243" r:id="rId4242" display="立案頁"/>
    <hyperlink ref="U4244" r:id="rId4243" display="立案頁"/>
    <hyperlink ref="U4245" r:id="rId4244" display="立案頁"/>
    <hyperlink ref="U4246" r:id="rId4245" display="立案頁"/>
    <hyperlink ref="U4247" r:id="rId4246" display="立案頁"/>
    <hyperlink ref="U4248" r:id="rId4247" display="立案頁"/>
    <hyperlink ref="U4249" r:id="rId4248" display="立案頁"/>
    <hyperlink ref="U4250" r:id="rId4249" display="立案頁"/>
    <hyperlink ref="U4251" r:id="rId4250" display="立案頁"/>
    <hyperlink ref="U4252" r:id="rId4251" display="立案頁"/>
    <hyperlink ref="U4253" r:id="rId4252" display="立案頁"/>
    <hyperlink ref="U4254" r:id="rId4253" display="立案頁"/>
    <hyperlink ref="U4255" r:id="rId4254" display="立案頁"/>
    <hyperlink ref="U4256" r:id="rId4255" display="立案頁"/>
    <hyperlink ref="U4257" r:id="rId4256" display="立案頁"/>
    <hyperlink ref="U4258" r:id="rId4257" display="立案頁"/>
    <hyperlink ref="U4259" r:id="rId4258" display="立案頁"/>
    <hyperlink ref="U4260" r:id="rId4259" display="立案頁"/>
    <hyperlink ref="U4261" r:id="rId4260" display="立案頁"/>
    <hyperlink ref="U4262" r:id="rId4261" display="立案頁"/>
    <hyperlink ref="U4263" r:id="rId4262" display="立案頁"/>
    <hyperlink ref="U4264" r:id="rId4263" display="立案頁"/>
    <hyperlink ref="U4265" r:id="rId4264" display="立案頁"/>
    <hyperlink ref="U4266" r:id="rId4265" display="立案頁"/>
    <hyperlink ref="U4267" r:id="rId4266" display="立案頁"/>
    <hyperlink ref="U4268" r:id="rId4267" display="立案頁"/>
    <hyperlink ref="U4269" r:id="rId4268" display="立案頁"/>
    <hyperlink ref="U4270" r:id="rId4269" display="立案頁"/>
    <hyperlink ref="U4271" r:id="rId4270" display="立案頁"/>
    <hyperlink ref="U4272" r:id="rId4271" display="立案頁"/>
    <hyperlink ref="U4273" r:id="rId4272" display="立案頁"/>
    <hyperlink ref="U4274" r:id="rId4273" display="立案頁"/>
    <hyperlink ref="U4275" r:id="rId4274" display="立案頁"/>
    <hyperlink ref="U4276" r:id="rId4275" display="立案頁"/>
    <hyperlink ref="U4277" r:id="rId4276" display="立案頁"/>
    <hyperlink ref="U4278" r:id="rId4277" display="立案頁"/>
    <hyperlink ref="U4279" r:id="rId4278" display="立案頁"/>
    <hyperlink ref="U4280" r:id="rId4279" display="立案頁"/>
    <hyperlink ref="U4281" r:id="rId4280" display="立案頁"/>
    <hyperlink ref="U4282" r:id="rId4281" display="立案頁"/>
    <hyperlink ref="U4283" r:id="rId4282" display="立案頁"/>
    <hyperlink ref="U4284" r:id="rId4283" display="立案頁"/>
    <hyperlink ref="U4285" r:id="rId4284" display="立案頁"/>
    <hyperlink ref="U4286" r:id="rId4285" display="立案頁"/>
    <hyperlink ref="U4287" r:id="rId4286" display="立案頁"/>
    <hyperlink ref="U4288" r:id="rId4287" display="立案頁"/>
    <hyperlink ref="U4289" r:id="rId4288" display="立案頁"/>
    <hyperlink ref="U4290" r:id="rId4289" display="立案頁"/>
    <hyperlink ref="U4291" r:id="rId4290" display="立案頁"/>
    <hyperlink ref="U4292" r:id="rId4291" display="立案頁"/>
    <hyperlink ref="U4293" r:id="rId4292" display="立案頁"/>
    <hyperlink ref="U4294" r:id="rId4293" display="立案頁"/>
    <hyperlink ref="U4295" r:id="rId4294" display="立案頁"/>
    <hyperlink ref="U4296" r:id="rId4295" display="立案頁"/>
    <hyperlink ref="U4297" r:id="rId4296" display="立案頁"/>
    <hyperlink ref="U4298" r:id="rId4297" display="立案頁"/>
    <hyperlink ref="U4299" r:id="rId4298" display="立案頁"/>
    <hyperlink ref="U4300" r:id="rId4299" display="立案頁"/>
    <hyperlink ref="U4301" r:id="rId4300" display="立案頁"/>
    <hyperlink ref="U4302" r:id="rId4301" display="立案頁"/>
    <hyperlink ref="U4303" r:id="rId4302" display="立案頁"/>
    <hyperlink ref="U4304" r:id="rId4303" display="立案頁"/>
    <hyperlink ref="U4305" r:id="rId4304" display="立案頁"/>
    <hyperlink ref="U4306" r:id="rId4305" display="立案頁"/>
    <hyperlink ref="U4307" r:id="rId4306" display="立案頁"/>
    <hyperlink ref="U4308" r:id="rId4307" display="立案頁"/>
    <hyperlink ref="U4309" r:id="rId4308" display="立案頁"/>
    <hyperlink ref="U4310" r:id="rId4309" display="立案頁"/>
    <hyperlink ref="U4311" r:id="rId4310" display="立案頁"/>
    <hyperlink ref="U4312" r:id="rId4311" display="立案頁"/>
    <hyperlink ref="U4313" r:id="rId4312" display="立案頁"/>
    <hyperlink ref="U4314" r:id="rId4313" display="立案頁"/>
    <hyperlink ref="U4315" r:id="rId4314" display="立案頁"/>
    <hyperlink ref="U4316" r:id="rId4315" display="立案頁"/>
    <hyperlink ref="U4317" r:id="rId4316" display="立案頁"/>
    <hyperlink ref="U4318" r:id="rId4317" display="立案頁"/>
    <hyperlink ref="U4319" r:id="rId4318" display="立案頁"/>
    <hyperlink ref="U4320" r:id="rId4319" display="立案頁"/>
    <hyperlink ref="U4321" r:id="rId4320" display="立案頁"/>
    <hyperlink ref="U4322" r:id="rId4321" display="立案頁"/>
    <hyperlink ref="U4323" r:id="rId4322" display="立案頁"/>
    <hyperlink ref="U4324" r:id="rId4323" display="立案頁"/>
    <hyperlink ref="U4325" r:id="rId4324" display="立案頁"/>
    <hyperlink ref="U4326" r:id="rId4325" display="立案頁"/>
    <hyperlink ref="U4327" r:id="rId4326" display="立案頁"/>
    <hyperlink ref="U4328" r:id="rId4327" display="立案頁"/>
    <hyperlink ref="U4329" r:id="rId4328" display="立案頁"/>
    <hyperlink ref="U4330" r:id="rId4329" display="立案頁"/>
    <hyperlink ref="U4331" r:id="rId4330" display="立案頁"/>
    <hyperlink ref="U4332" r:id="rId4331" display="立案頁"/>
    <hyperlink ref="U4333" r:id="rId4332" display="立案頁"/>
    <hyperlink ref="U4334" r:id="rId4333" display="立案頁"/>
    <hyperlink ref="U4335" r:id="rId4334" display="立案頁"/>
    <hyperlink ref="U4336" r:id="rId4335" display="立案頁"/>
    <hyperlink ref="U4337" r:id="rId4336" display="立案頁"/>
    <hyperlink ref="U4338" r:id="rId4337" display="立案頁"/>
    <hyperlink ref="U4339" r:id="rId4338" display="立案頁"/>
    <hyperlink ref="U4340" r:id="rId4339" display="立案頁"/>
    <hyperlink ref="U4341" r:id="rId4340" display="立案頁"/>
    <hyperlink ref="U4342" r:id="rId4341" display="立案頁"/>
    <hyperlink ref="U4343" r:id="rId4342" display="立案頁"/>
    <hyperlink ref="U4344" r:id="rId4343" display="立案頁"/>
    <hyperlink ref="U4345" r:id="rId4344" display="立案頁"/>
    <hyperlink ref="U4346" r:id="rId4345" display="立案頁"/>
    <hyperlink ref="U4347" r:id="rId4346" display="立案頁"/>
    <hyperlink ref="U4348" r:id="rId4347" display="立案頁"/>
    <hyperlink ref="U4349" r:id="rId4348" display="立案頁"/>
    <hyperlink ref="U4350" r:id="rId4349" display="立案頁"/>
    <hyperlink ref="U4351" r:id="rId4350" display="立案頁"/>
    <hyperlink ref="U4352" r:id="rId4351" display="立案頁"/>
    <hyperlink ref="U4353" r:id="rId4352" display="立案頁"/>
    <hyperlink ref="U4354" r:id="rId4353" display="立案頁"/>
    <hyperlink ref="U4355" r:id="rId4354" display="立案頁"/>
    <hyperlink ref="U4356" r:id="rId4355" display="立案頁"/>
    <hyperlink ref="U4357" r:id="rId4356" display="立案頁"/>
    <hyperlink ref="U4358" r:id="rId4357" display="立案頁"/>
    <hyperlink ref="U4359" r:id="rId4358" display="立案頁"/>
    <hyperlink ref="U4360" r:id="rId4359" display="立案頁"/>
    <hyperlink ref="U4361" r:id="rId4360" display="立案頁"/>
    <hyperlink ref="U4362" r:id="rId4361" display="立案頁"/>
    <hyperlink ref="U4363" r:id="rId4362" display="立案頁"/>
    <hyperlink ref="U4364" r:id="rId4363" display="立案頁"/>
    <hyperlink ref="U4365" r:id="rId4364" display="立案頁"/>
    <hyperlink ref="U4366" r:id="rId4365" display="立案頁"/>
    <hyperlink ref="U4367" r:id="rId4366" display="立案頁"/>
    <hyperlink ref="U4368" r:id="rId4367" display="立案頁"/>
    <hyperlink ref="U4369" r:id="rId4368" display="立案頁"/>
    <hyperlink ref="U4370" r:id="rId4369" display="立案頁"/>
    <hyperlink ref="U4371" r:id="rId4370" display="立案頁"/>
    <hyperlink ref="U4372" r:id="rId4371" display="立案頁"/>
    <hyperlink ref="U4373" r:id="rId4372" display="立案頁"/>
    <hyperlink ref="U4374" r:id="rId4373" display="立案頁"/>
    <hyperlink ref="U4375" r:id="rId4374" display="立案頁"/>
    <hyperlink ref="U4376" r:id="rId4375" display="立案頁"/>
    <hyperlink ref="U4377" r:id="rId4376" display="立案頁"/>
    <hyperlink ref="U4378" r:id="rId4377" display="立案頁"/>
    <hyperlink ref="U4379" r:id="rId4378" display="立案頁"/>
    <hyperlink ref="U4380" r:id="rId4379" display="立案頁"/>
    <hyperlink ref="U4381" r:id="rId4380" display="立案頁"/>
    <hyperlink ref="U4382" r:id="rId4381" display="立案頁"/>
    <hyperlink ref="U4383" r:id="rId4382" display="立案頁"/>
    <hyperlink ref="U4384" r:id="rId4383" display="立案頁"/>
    <hyperlink ref="U4385" r:id="rId4384" display="立案頁"/>
    <hyperlink ref="U4386" r:id="rId4385" display="立案頁"/>
    <hyperlink ref="U4387" r:id="rId4386" display="立案頁"/>
    <hyperlink ref="U4388" r:id="rId4387" display="立案頁"/>
    <hyperlink ref="U4389" r:id="rId4388" display="立案頁"/>
    <hyperlink ref="U4390" r:id="rId4389" display="立案頁"/>
    <hyperlink ref="U4391" r:id="rId4390" display="立案頁"/>
    <hyperlink ref="U4392" r:id="rId4391" display="立案頁"/>
    <hyperlink ref="U4393" r:id="rId4392" display="立案頁"/>
    <hyperlink ref="U4394" r:id="rId4393" display="立案頁"/>
    <hyperlink ref="U4395" r:id="rId4394" display="立案頁"/>
    <hyperlink ref="U4396" r:id="rId4395" display="立案頁"/>
    <hyperlink ref="U4397" r:id="rId4396" display="立案頁"/>
    <hyperlink ref="U4398" r:id="rId4397" display="立案頁"/>
    <hyperlink ref="U4399" r:id="rId4398" display="立案頁"/>
    <hyperlink ref="U4400" r:id="rId4399" display="立案頁"/>
    <hyperlink ref="U4401" r:id="rId4400" display="立案頁"/>
    <hyperlink ref="U4402" r:id="rId4401" display="立案頁"/>
    <hyperlink ref="U4403" r:id="rId4402" display="立案頁"/>
    <hyperlink ref="U4404" r:id="rId4403" display="立案頁"/>
    <hyperlink ref="U4405" r:id="rId4404" display="立案頁"/>
    <hyperlink ref="U4406" r:id="rId4405" display="立案頁"/>
    <hyperlink ref="U4407" r:id="rId4406" display="立案頁"/>
    <hyperlink ref="U4408" r:id="rId4407" display="立案頁"/>
    <hyperlink ref="U4409" r:id="rId4408" display="立案頁"/>
    <hyperlink ref="U4410" r:id="rId4409" display="立案頁"/>
    <hyperlink ref="U4411" r:id="rId4410" display="立案頁"/>
    <hyperlink ref="U4412" r:id="rId4411" display="立案頁"/>
    <hyperlink ref="U4413" r:id="rId4412" display="立案頁"/>
    <hyperlink ref="U4414" r:id="rId4413" display="立案頁"/>
    <hyperlink ref="U4415" r:id="rId4414" display="立案頁"/>
    <hyperlink ref="U4416" r:id="rId4415" display="立案頁"/>
    <hyperlink ref="U4417" r:id="rId4416" display="立案頁"/>
    <hyperlink ref="U4418" r:id="rId4417" display="立案頁"/>
    <hyperlink ref="U4419" r:id="rId4418" display="立案頁"/>
    <hyperlink ref="U4420" r:id="rId4419" display="立案頁"/>
    <hyperlink ref="U4421" r:id="rId4420" display="立案頁"/>
    <hyperlink ref="U4422" r:id="rId4421" display="立案頁"/>
    <hyperlink ref="U4423" r:id="rId4422" display="立案頁"/>
    <hyperlink ref="U4424" r:id="rId4423" display="立案頁"/>
    <hyperlink ref="U4425" r:id="rId4424" display="立案頁"/>
    <hyperlink ref="U4426" r:id="rId4425" display="立案頁"/>
    <hyperlink ref="U4427" r:id="rId4426" display="立案頁"/>
    <hyperlink ref="U4428" r:id="rId4427" display="立案頁"/>
    <hyperlink ref="U4429" r:id="rId4428" display="立案頁"/>
    <hyperlink ref="U4430" r:id="rId4429" display="立案頁"/>
    <hyperlink ref="U4431" r:id="rId4430" display="立案頁"/>
    <hyperlink ref="U4432" r:id="rId4431" display="立案頁"/>
    <hyperlink ref="U4433" r:id="rId4432" display="立案頁"/>
    <hyperlink ref="U4434" r:id="rId4433" display="立案頁"/>
    <hyperlink ref="U4435" r:id="rId4434" display="立案頁"/>
    <hyperlink ref="U4436" r:id="rId4435" display="立案頁"/>
    <hyperlink ref="U4437" r:id="rId4436" display="立案頁"/>
    <hyperlink ref="U4438" r:id="rId4437" display="立案頁"/>
    <hyperlink ref="U4439" r:id="rId4438" display="立案頁"/>
    <hyperlink ref="U4440" r:id="rId4439" display="立案頁"/>
    <hyperlink ref="U4441" r:id="rId4440" display="立案頁"/>
    <hyperlink ref="U4442" r:id="rId4441" display="立案頁"/>
    <hyperlink ref="U4443" r:id="rId4442" display="立案頁"/>
    <hyperlink ref="U4444" r:id="rId4443" display="立案頁"/>
    <hyperlink ref="U4445" r:id="rId4444" display="立案頁"/>
    <hyperlink ref="U4446" r:id="rId4445" display="立案頁"/>
    <hyperlink ref="U4447" r:id="rId4446" display="立案頁"/>
    <hyperlink ref="U4448" r:id="rId4447" display="立案頁"/>
    <hyperlink ref="U4449" r:id="rId4448" display="立案頁"/>
    <hyperlink ref="U4450" r:id="rId4449" display="立案頁"/>
    <hyperlink ref="U4451" r:id="rId4450" display="立案頁"/>
    <hyperlink ref="U4452" r:id="rId4451" display="立案頁"/>
    <hyperlink ref="U4453" r:id="rId4452" display="立案頁"/>
    <hyperlink ref="U4454" r:id="rId4453" display="立案頁"/>
    <hyperlink ref="U4455" r:id="rId4454" display="立案頁"/>
    <hyperlink ref="U4456" r:id="rId4455" display="立案頁"/>
    <hyperlink ref="U4457" r:id="rId4456" display="立案頁"/>
    <hyperlink ref="U4458" r:id="rId4457" display="立案頁"/>
    <hyperlink ref="U4459" r:id="rId4458" display="立案頁"/>
    <hyperlink ref="U4460" r:id="rId4459" display="立案頁"/>
    <hyperlink ref="U4461" r:id="rId4460" display="立案頁"/>
    <hyperlink ref="U4462" r:id="rId4461" display="立案頁"/>
    <hyperlink ref="U4463" r:id="rId4462" display="立案頁"/>
    <hyperlink ref="U4464" r:id="rId4463" display="立案頁"/>
    <hyperlink ref="U4465" r:id="rId4464" display="立案頁"/>
    <hyperlink ref="U4466" r:id="rId4465" display="立案頁"/>
    <hyperlink ref="U4467" r:id="rId4466" display="立案頁"/>
    <hyperlink ref="U4468" r:id="rId4467" display="立案頁"/>
    <hyperlink ref="U4469" r:id="rId4468" display="立案頁"/>
    <hyperlink ref="U4470" r:id="rId4469" display="立案頁"/>
    <hyperlink ref="U4471" r:id="rId4470" display="立案頁"/>
    <hyperlink ref="U4472" r:id="rId4471" display="立案頁"/>
    <hyperlink ref="U4473" r:id="rId4472" display="立案頁"/>
    <hyperlink ref="U4474" r:id="rId4473" display="立案頁"/>
    <hyperlink ref="U4475" r:id="rId4474" display="立案頁"/>
    <hyperlink ref="U4476" r:id="rId4475" display="立案頁"/>
    <hyperlink ref="U4477" r:id="rId4476" display="立案頁"/>
    <hyperlink ref="U4478" r:id="rId4477" display="立案頁"/>
    <hyperlink ref="U4479" r:id="rId4478" display="立案頁"/>
    <hyperlink ref="U4480" r:id="rId4479" display="立案頁"/>
    <hyperlink ref="U4481" r:id="rId4480" display="立案頁"/>
    <hyperlink ref="U4482" r:id="rId4481" display="立案頁"/>
    <hyperlink ref="U4483" r:id="rId4482" display="立案頁"/>
    <hyperlink ref="U4484" r:id="rId4483" display="立案頁"/>
    <hyperlink ref="U4485" r:id="rId4484" display="立案頁"/>
    <hyperlink ref="U4486" r:id="rId4485" display="立案頁"/>
    <hyperlink ref="U4487" r:id="rId4486" display="立案頁"/>
    <hyperlink ref="U4488" r:id="rId4487" display="立案頁"/>
    <hyperlink ref="U4489" r:id="rId4488" display="立案頁"/>
    <hyperlink ref="U4490" r:id="rId4489" display="立案頁"/>
    <hyperlink ref="U4491" r:id="rId4490" display="立案頁"/>
    <hyperlink ref="U4492" r:id="rId4491" display="立案頁"/>
    <hyperlink ref="U4493" r:id="rId4492" display="立案頁"/>
    <hyperlink ref="U4494" r:id="rId4493" display="立案頁"/>
    <hyperlink ref="U4495" r:id="rId4494" display="立案頁"/>
    <hyperlink ref="U4496" r:id="rId4495" display="立案頁"/>
    <hyperlink ref="U4497" r:id="rId4496" display="立案頁"/>
    <hyperlink ref="U4498" r:id="rId4497" display="立案頁"/>
    <hyperlink ref="U4499" r:id="rId4498" display="立案頁"/>
    <hyperlink ref="U4500" r:id="rId4499" display="立案頁"/>
    <hyperlink ref="U4501" r:id="rId4500" display="立案頁"/>
    <hyperlink ref="U4502" r:id="rId4501" display="立案頁"/>
    <hyperlink ref="U4503" r:id="rId4502" display="立案頁"/>
    <hyperlink ref="U4504" r:id="rId4503" display="立案頁"/>
    <hyperlink ref="U4505" r:id="rId4504" display="立案頁"/>
    <hyperlink ref="U4506" r:id="rId4505" display="立案頁"/>
    <hyperlink ref="U4507" r:id="rId4506" display="立案頁"/>
    <hyperlink ref="U4508" r:id="rId4507" display="立案頁"/>
    <hyperlink ref="U4509" r:id="rId4508" display="立案頁"/>
    <hyperlink ref="U4510" r:id="rId4509" display="立案頁"/>
    <hyperlink ref="U4511" r:id="rId4510" display="立案頁"/>
    <hyperlink ref="U4512" r:id="rId4511" display="立案頁"/>
    <hyperlink ref="U4513" r:id="rId4512" display="立案頁"/>
    <hyperlink ref="U4514" r:id="rId4513" display="立案頁"/>
    <hyperlink ref="U4515" r:id="rId4514" display="立案頁"/>
    <hyperlink ref="U4516" r:id="rId4515" display="立案頁"/>
    <hyperlink ref="U4517" r:id="rId4516" display="立案頁"/>
    <hyperlink ref="U4518" r:id="rId4517" display="立案頁"/>
    <hyperlink ref="U4519" r:id="rId4518" display="立案頁"/>
    <hyperlink ref="U4520" r:id="rId4519" display="立案頁"/>
    <hyperlink ref="U4521" r:id="rId4520" display="立案頁"/>
    <hyperlink ref="U4522" r:id="rId4521" display="立案頁"/>
    <hyperlink ref="U4523" r:id="rId4522" display="立案頁"/>
    <hyperlink ref="U4524" r:id="rId4523" display="立案頁"/>
    <hyperlink ref="U4525" r:id="rId4524" display="立案頁"/>
    <hyperlink ref="U4526" r:id="rId4525" display="立案頁"/>
    <hyperlink ref="U4527" r:id="rId4526" display="立案頁"/>
    <hyperlink ref="U4528" r:id="rId4527" display="立案頁"/>
    <hyperlink ref="U4529" r:id="rId4528" display="立案頁"/>
    <hyperlink ref="U4530" r:id="rId4529" display="立案頁"/>
    <hyperlink ref="U4531" r:id="rId4530" display="立案頁"/>
    <hyperlink ref="U4532" r:id="rId4531" display="立案頁"/>
    <hyperlink ref="U4533" r:id="rId4532" display="立案頁"/>
    <hyperlink ref="U4534" r:id="rId4533" display="立案頁"/>
    <hyperlink ref="U4535" r:id="rId4534" display="立案頁"/>
    <hyperlink ref="U4536" r:id="rId4535" display="立案頁"/>
    <hyperlink ref="U4537" r:id="rId4536" display="立案頁"/>
    <hyperlink ref="U4538" r:id="rId4537" display="立案頁"/>
    <hyperlink ref="U4539" r:id="rId4538" display="立案頁"/>
    <hyperlink ref="U4540" r:id="rId4539" display="立案頁"/>
    <hyperlink ref="U4541" r:id="rId4540" display="立案頁"/>
    <hyperlink ref="U4542" r:id="rId4541" display="立案頁"/>
    <hyperlink ref="U4543" r:id="rId4542" display="立案頁"/>
    <hyperlink ref="U4544" r:id="rId4543" display="立案頁"/>
    <hyperlink ref="U4545" r:id="rId4544" display="立案頁"/>
    <hyperlink ref="U4546" r:id="rId4545" display="立案頁"/>
    <hyperlink ref="U4547" r:id="rId4546" display="立案頁"/>
    <hyperlink ref="U4548" r:id="rId4547" display="立案頁"/>
    <hyperlink ref="U4549" r:id="rId4548" display="立案頁"/>
    <hyperlink ref="U4550" r:id="rId4549" display="立案頁"/>
    <hyperlink ref="U4551" r:id="rId4550" display="立案頁"/>
    <hyperlink ref="U4552" r:id="rId4551" display="立案頁"/>
    <hyperlink ref="U4553" r:id="rId4552" display="立案頁"/>
    <hyperlink ref="U4554" r:id="rId4553" display="立案頁"/>
    <hyperlink ref="U4555" r:id="rId4554" display="立案頁"/>
    <hyperlink ref="U4556" r:id="rId4555" display="立案頁"/>
    <hyperlink ref="U4557" r:id="rId4556" display="立案頁"/>
    <hyperlink ref="U4558" r:id="rId4557" display="立案頁"/>
    <hyperlink ref="U4559" r:id="rId4558" display="立案頁"/>
    <hyperlink ref="U4560" r:id="rId4559" display="立案頁"/>
    <hyperlink ref="U4561" r:id="rId4560" display="立案頁"/>
    <hyperlink ref="U4562" r:id="rId4561" display="立案頁"/>
    <hyperlink ref="U4563" r:id="rId4562" display="立案頁"/>
    <hyperlink ref="U4564" r:id="rId4563" display="立案頁"/>
    <hyperlink ref="U4565" r:id="rId4564" display="立案頁"/>
    <hyperlink ref="U4566" r:id="rId4565" display="立案頁"/>
    <hyperlink ref="U4567" r:id="rId4566" display="立案頁"/>
    <hyperlink ref="U4568" r:id="rId4567" display="立案頁"/>
    <hyperlink ref="U4569" r:id="rId4568" display="立案頁"/>
    <hyperlink ref="U4570" r:id="rId4569" display="立案頁"/>
    <hyperlink ref="U4571" r:id="rId4570" display="立案頁"/>
    <hyperlink ref="U4572" r:id="rId4571" display="立案頁"/>
    <hyperlink ref="U4573" r:id="rId4572" display="立案頁"/>
    <hyperlink ref="U4574" r:id="rId4573" display="立案頁"/>
    <hyperlink ref="U4575" r:id="rId4574" display="立案頁"/>
    <hyperlink ref="U4576" r:id="rId4575" display="立案頁"/>
    <hyperlink ref="U4577" r:id="rId4576" display="立案頁"/>
    <hyperlink ref="U4578" r:id="rId4577" display="立案頁"/>
    <hyperlink ref="U4579" r:id="rId4578" display="立案頁"/>
    <hyperlink ref="U4580" r:id="rId4579" display="立案頁"/>
    <hyperlink ref="U4581" r:id="rId4580" display="立案頁"/>
    <hyperlink ref="U4582" r:id="rId4581" display="立案頁"/>
    <hyperlink ref="U4583" r:id="rId4582" display="立案頁"/>
    <hyperlink ref="U4584" r:id="rId4583" display="立案頁"/>
    <hyperlink ref="U4585" r:id="rId4584" display="立案頁"/>
    <hyperlink ref="U4586" r:id="rId4585" display="立案頁"/>
    <hyperlink ref="U4587" r:id="rId4586" display="立案頁"/>
    <hyperlink ref="U4588" r:id="rId4587" display="立案頁"/>
    <hyperlink ref="U4589" r:id="rId4588" display="立案頁"/>
    <hyperlink ref="U4590" r:id="rId4589" display="立案頁"/>
    <hyperlink ref="U4591" r:id="rId4590" display="立案頁"/>
    <hyperlink ref="U4592" r:id="rId4591" display="立案頁"/>
    <hyperlink ref="U4593" r:id="rId4592" display="立案頁"/>
    <hyperlink ref="U4594" r:id="rId4593" display="立案頁"/>
    <hyperlink ref="U4595" r:id="rId4594" display="立案頁"/>
    <hyperlink ref="U4596" r:id="rId4595" display="立案頁"/>
    <hyperlink ref="U4597" r:id="rId4596" display="立案頁"/>
    <hyperlink ref="U4598" r:id="rId4597" display="立案頁"/>
    <hyperlink ref="U4599" r:id="rId4598" display="立案頁"/>
    <hyperlink ref="U4600" r:id="rId4599" display="立案頁"/>
    <hyperlink ref="U4601" r:id="rId4600" display="立案頁"/>
    <hyperlink ref="U4602" r:id="rId4601" display="立案頁"/>
    <hyperlink ref="U4603" r:id="rId4602" display="立案頁"/>
    <hyperlink ref="U4604" r:id="rId4603" display="立案頁"/>
    <hyperlink ref="U4605" r:id="rId4604" display="立案頁"/>
    <hyperlink ref="U4606" r:id="rId4605" display="立案頁"/>
    <hyperlink ref="U4607" r:id="rId4606" display="立案頁"/>
    <hyperlink ref="U4608" r:id="rId4607" display="立案頁"/>
    <hyperlink ref="U4609" r:id="rId4608" display="立案頁"/>
    <hyperlink ref="U4610" r:id="rId4609" display="立案頁"/>
    <hyperlink ref="U4611" r:id="rId4610" display="立案頁"/>
    <hyperlink ref="U4612" r:id="rId4611" display="立案頁"/>
    <hyperlink ref="U4613" r:id="rId4612" display="立案頁"/>
    <hyperlink ref="U4614" r:id="rId4613" display="立案頁"/>
    <hyperlink ref="U4615" r:id="rId4614" display="立案頁"/>
    <hyperlink ref="U4616" r:id="rId4615" display="立案頁"/>
    <hyperlink ref="U4617" r:id="rId4616" display="立案頁"/>
    <hyperlink ref="U4618" r:id="rId4617" display="立案頁"/>
    <hyperlink ref="U4619" r:id="rId4618" display="立案頁"/>
    <hyperlink ref="U4620" r:id="rId4619" display="立案頁"/>
    <hyperlink ref="U4621" r:id="rId4620" display="立案頁"/>
    <hyperlink ref="U4622" r:id="rId4621" display="立案頁"/>
    <hyperlink ref="U4623" r:id="rId4622" display="立案頁"/>
    <hyperlink ref="U4624" r:id="rId4623" display="立案頁"/>
    <hyperlink ref="U4625" r:id="rId4624" display="立案頁"/>
    <hyperlink ref="U4626" r:id="rId4625" display="立案頁"/>
    <hyperlink ref="U4627" r:id="rId4626" display="立案頁"/>
    <hyperlink ref="U4628" r:id="rId4627" display="立案頁"/>
    <hyperlink ref="U4629" r:id="rId4628" display="立案頁"/>
    <hyperlink ref="U4630" r:id="rId4629" display="立案頁"/>
    <hyperlink ref="U4631" r:id="rId4630" display="立案頁"/>
    <hyperlink ref="U4632" r:id="rId4631" display="立案頁"/>
    <hyperlink ref="U4633" r:id="rId4632" display="立案頁"/>
    <hyperlink ref="U4634" r:id="rId4633" display="立案頁"/>
    <hyperlink ref="U4635" r:id="rId4634" display="立案頁"/>
    <hyperlink ref="U4636" r:id="rId4635" display="立案頁"/>
    <hyperlink ref="U4637" r:id="rId4636" display="立案頁"/>
    <hyperlink ref="U4638" r:id="rId4637" display="立案頁"/>
    <hyperlink ref="U4639" r:id="rId4638" display="立案頁"/>
    <hyperlink ref="U4640" r:id="rId4639" display="立案頁"/>
    <hyperlink ref="U4641" r:id="rId4640" display="立案頁"/>
    <hyperlink ref="U4642" r:id="rId4641" display="立案頁"/>
    <hyperlink ref="U4643" r:id="rId4642" display="立案頁"/>
    <hyperlink ref="U4644" r:id="rId4643" display="立案頁"/>
    <hyperlink ref="U4645" r:id="rId4644" display="立案頁"/>
    <hyperlink ref="U4646" r:id="rId4645" display="立案頁"/>
    <hyperlink ref="U4647" r:id="rId4646" display="立案頁"/>
    <hyperlink ref="U4648" r:id="rId4647" display="立案頁"/>
    <hyperlink ref="U4649" r:id="rId4648" display="立案頁"/>
    <hyperlink ref="U4650" r:id="rId4649" display="立案頁"/>
    <hyperlink ref="U4651" r:id="rId4650" display="立案頁"/>
    <hyperlink ref="U4652" r:id="rId4651" display="立案頁"/>
    <hyperlink ref="U4653" r:id="rId4652" display="立案頁"/>
    <hyperlink ref="U4654" r:id="rId4653" display="立案頁"/>
    <hyperlink ref="U4655" r:id="rId4654" display="立案頁"/>
    <hyperlink ref="U4656" r:id="rId4655" display="立案頁"/>
    <hyperlink ref="U4657" r:id="rId4656" display="立案頁"/>
    <hyperlink ref="U4658" r:id="rId4657" display="立案頁"/>
    <hyperlink ref="U4659" r:id="rId4658" display="立案頁"/>
    <hyperlink ref="U4660" r:id="rId4659" display="立案頁"/>
    <hyperlink ref="U4661" r:id="rId4660" display="立案頁"/>
    <hyperlink ref="U4662" r:id="rId4661" display="立案頁"/>
    <hyperlink ref="U4663" r:id="rId4662" display="立案頁"/>
    <hyperlink ref="U4664" r:id="rId4663" display="立案頁"/>
    <hyperlink ref="U4665" r:id="rId4664" display="立案頁"/>
    <hyperlink ref="U4666" r:id="rId4665" display="立案頁"/>
    <hyperlink ref="U4667" r:id="rId4666" display="立案頁"/>
    <hyperlink ref="U4668" r:id="rId4667" display="立案頁"/>
    <hyperlink ref="U4669" r:id="rId4668" display="立案頁"/>
    <hyperlink ref="U4670" r:id="rId4669" display="立案頁"/>
    <hyperlink ref="U4671" r:id="rId4670" display="立案頁"/>
    <hyperlink ref="U4672" r:id="rId4671" display="立案頁"/>
    <hyperlink ref="U4673" r:id="rId4672" display="立案頁"/>
    <hyperlink ref="U4674" r:id="rId4673" display="立案頁"/>
    <hyperlink ref="U4675" r:id="rId4674" display="立案頁"/>
    <hyperlink ref="U4676" r:id="rId4675" display="立案頁"/>
    <hyperlink ref="U4677" r:id="rId4676" display="立案頁"/>
    <hyperlink ref="U4678" r:id="rId4677" display="立案頁"/>
    <hyperlink ref="U4679" r:id="rId4678" display="立案頁"/>
    <hyperlink ref="U4680" r:id="rId4679" display="立案頁"/>
    <hyperlink ref="U4681" r:id="rId4680" display="立案頁"/>
    <hyperlink ref="U4682" r:id="rId4681" display="立案頁"/>
    <hyperlink ref="U4683" r:id="rId4682" display="立案頁"/>
    <hyperlink ref="U4684" r:id="rId4683" display="立案頁"/>
    <hyperlink ref="U4685" r:id="rId4684" display="立案頁"/>
    <hyperlink ref="U4686" r:id="rId4685" display="立案頁"/>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4686"/>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1"/>
    <col collapsed="false" customWidth="true" hidden="false" outlineLevel="0" max="3" min="3" style="0" width="12"/>
    <col collapsed="false" customWidth="true" hidden="false" outlineLevel="0" max="4" min="4" style="0" width="13"/>
    <col collapsed="false" customWidth="true" hidden="false" outlineLevel="0" max="5" min="5" style="0" width="15"/>
    <col collapsed="false" customWidth="true" hidden="false" outlineLevel="0" max="8" min="6" style="0" width="13"/>
  </cols>
  <sheetData>
    <row r="1" customFormat="false" ht="19.7" hidden="false" customHeight="false" outlineLevel="0" collapsed="false">
      <c r="A1" s="31" t="s">
        <v>9</v>
      </c>
    </row>
    <row r="2" customFormat="false" ht="15" hidden="false" customHeight="false" outlineLevel="0" collapsed="false">
      <c r="A2" s="32" t="s">
        <v>28738</v>
      </c>
    </row>
    <row r="4" customFormat="false" ht="16.4" hidden="false" customHeight="false" outlineLevel="0" collapsed="false">
      <c r="A4" s="5" t="s">
        <v>28739</v>
      </c>
    </row>
    <row r="5" customFormat="false" ht="15" hidden="false" customHeight="false" outlineLevel="0" collapsed="false">
      <c r="A5" s="33"/>
      <c r="B5" s="34" t="s">
        <v>28740</v>
      </c>
      <c r="C5" s="34" t="s">
        <v>28741</v>
      </c>
      <c r="D5" s="34" t="s">
        <v>28742</v>
      </c>
      <c r="E5" s="34" t="s">
        <v>28743</v>
      </c>
      <c r="F5" s="34" t="s">
        <v>28744</v>
      </c>
      <c r="G5" s="34" t="s">
        <v>28745</v>
      </c>
      <c r="H5" s="34" t="s">
        <v>28746</v>
      </c>
    </row>
    <row r="6" customFormat="false" ht="15" hidden="false" customHeight="false" outlineLevel="0" collapsed="false">
      <c r="A6" s="3" t="s">
        <v>28747</v>
      </c>
      <c r="B6" s="35" t="n">
        <f aca="false">COUNTA(楊梅20km名錄!$A$2:$A$160)</f>
        <v>159</v>
      </c>
      <c r="C6" s="35" t="n">
        <f aca="false">COUNTA(楊梅20km名錄!$D$2:$D$160)</f>
        <v>120</v>
      </c>
      <c r="D6" s="35" t="n">
        <f aca="false">COUNTIF(楊梅20km名錄!$I$2:$I$160,"?*")</f>
        <v>113</v>
      </c>
      <c r="E6" s="36" t="n">
        <f aca="false">MEDIAN(楊梅20km名錄!$N$2:$N$160)</f>
        <v>4</v>
      </c>
      <c r="F6" s="37" t="n">
        <f aca="false">MEDIAN(楊梅20km名錄!$P$2:$P$160)</f>
        <v>172.065</v>
      </c>
      <c r="G6" s="36" t="n">
        <f aca="false">MEDIAN(楊梅20km名錄!$R$2:$R$160)</f>
        <v>3</v>
      </c>
      <c r="H6" s="37" t="n">
        <f aca="false">AVERAGE(楊梅20km名錄!$P$2:$P$160)</f>
        <v>222.212583333333</v>
      </c>
    </row>
    <row r="8" customFormat="false" ht="16.4" hidden="false" customHeight="false" outlineLevel="0" collapsed="false">
      <c r="A8" s="5" t="s">
        <v>28748</v>
      </c>
    </row>
    <row r="9" customFormat="false" ht="15" hidden="false" customHeight="false" outlineLevel="0" collapsed="false">
      <c r="A9" s="34" t="s">
        <v>47</v>
      </c>
      <c r="B9" s="34" t="s">
        <v>28740</v>
      </c>
      <c r="C9" s="34" t="s">
        <v>28741</v>
      </c>
      <c r="D9" s="34" t="s">
        <v>28742</v>
      </c>
      <c r="E9" s="34" t="s">
        <v>28749</v>
      </c>
      <c r="F9" s="34" t="s">
        <v>28746</v>
      </c>
      <c r="G9" s="34" t="s">
        <v>28750</v>
      </c>
      <c r="H9" s="34" t="s">
        <v>39</v>
      </c>
    </row>
    <row r="10" customFormat="false" ht="15" hidden="false" customHeight="false" outlineLevel="0" collapsed="false">
      <c r="A10" s="38" t="s">
        <v>76</v>
      </c>
      <c r="B10" s="35" t="n">
        <f aca="false">COUNTIF(楊梅20km名錄!$A$2:$A$160,$A10)</f>
        <v>31</v>
      </c>
      <c r="C10" s="35" t="n">
        <f aca="false">COUNTIFS(楊梅20km名錄!$A$2:$A$160,$A10,楊梅20km名錄!$D$2:$D$160,"&lt;&gt;")</f>
        <v>27</v>
      </c>
      <c r="D10" s="35" t="n">
        <f aca="false">COUNTIFS(楊梅20km名錄!$A$2:$A$160,$A10,楊梅20km名錄!$I$2:$I$160,"?*")</f>
        <v>26</v>
      </c>
      <c r="E10" s="39" t="n">
        <f aca="false">IFERROR(AVERAGEIFS(楊梅20km名錄!$N$2:$N$160,楊梅20km名錄!$A$2:$A$160,$A10,楊梅20km名錄!$N$2:$N$160,"&gt;0"),"")</f>
        <v>3.81481481481482</v>
      </c>
      <c r="F10" s="39" t="n">
        <f aca="false">IFERROR(AVERAGEIFS(楊梅20km名錄!$P$2:$P$160,楊梅20km名錄!$A$2:$A$160,$A10,楊梅20km名錄!$P$2:$P$160,"&gt;0"),"")</f>
        <v>209.063333333333</v>
      </c>
      <c r="G10" s="39" t="n">
        <f aca="false">IFERROR(AVERAGEIFS(楊梅20km名錄!$R$2:$R$160,楊梅20km名錄!$A$2:$A$160,$A10,楊梅20km名錄!$R$2:$R$160,"&gt;0"),"")</f>
        <v>4.2962962962963</v>
      </c>
      <c r="H10" s="35" t="n">
        <f aca="false">COUNTIFS(楊梅20km名錄!$A$2:$A$160,$A10,楊梅20km名錄!$M$2:$M$160,"大型")</f>
        <v>4</v>
      </c>
    </row>
    <row r="11" customFormat="false" ht="15" hidden="false" customHeight="false" outlineLevel="0" collapsed="false">
      <c r="A11" s="40" t="s">
        <v>295</v>
      </c>
      <c r="B11" s="35" t="n">
        <f aca="false">COUNTIF(楊梅20km名錄!$A$2:$A$160,$A11)</f>
        <v>23</v>
      </c>
      <c r="C11" s="35" t="n">
        <f aca="false">COUNTIFS(楊梅20km名錄!$A$2:$A$160,$A11,楊梅20km名錄!$D$2:$D$160,"&lt;&gt;")</f>
        <v>17</v>
      </c>
      <c r="D11" s="35" t="n">
        <f aca="false">COUNTIFS(楊梅20km名錄!$A$2:$A$160,$A11,楊梅20km名錄!$I$2:$I$160,"?*")</f>
        <v>16</v>
      </c>
      <c r="E11" s="39" t="n">
        <f aca="false">IFERROR(AVERAGEIFS(楊梅20km名錄!$N$2:$N$160,楊梅20km名錄!$A$2:$A$160,$A11,楊梅20km名錄!$N$2:$N$160,"&gt;0"),"")</f>
        <v>2.70588235294118</v>
      </c>
      <c r="F11" s="39" t="n">
        <f aca="false">IFERROR(AVERAGEIFS(楊梅20km名錄!$P$2:$P$160,楊梅20km名錄!$A$2:$A$160,$A11,楊梅20km名錄!$P$2:$P$160,"&gt;0"),"")</f>
        <v>144.654117647059</v>
      </c>
      <c r="G11" s="39" t="n">
        <f aca="false">IFERROR(AVERAGEIFS(楊梅20km名錄!$R$2:$R$160,楊梅20km名錄!$A$2:$A$160,$A11,楊梅20km名錄!$R$2:$R$160,"&gt;0"),"")</f>
        <v>3.05882352941176</v>
      </c>
      <c r="H11" s="35" t="n">
        <f aca="false">COUNTIFS(楊梅20km名錄!$A$2:$A$160,$A11,楊梅20km名錄!$M$2:$M$160,"大型")</f>
        <v>0</v>
      </c>
    </row>
    <row r="12" customFormat="false" ht="15" hidden="false" customHeight="false" outlineLevel="0" collapsed="false">
      <c r="A12" s="41" t="s">
        <v>435</v>
      </c>
      <c r="B12" s="35" t="n">
        <f aca="false">COUNTIF(楊梅20km名錄!$A$2:$A$160,$A12)</f>
        <v>62</v>
      </c>
      <c r="C12" s="35" t="n">
        <f aca="false">COUNTIFS(楊梅20km名錄!$A$2:$A$160,$A12,楊梅20km名錄!$D$2:$D$160,"&lt;&gt;")</f>
        <v>45</v>
      </c>
      <c r="D12" s="35" t="n">
        <f aca="false">COUNTIFS(楊梅20km名錄!$A$2:$A$160,$A12,楊梅20km名錄!$I$2:$I$160,"?*")</f>
        <v>44</v>
      </c>
      <c r="E12" s="39" t="n">
        <f aca="false">IFERROR(AVERAGEIFS(楊梅20km名錄!$N$2:$N$160,楊梅20km名錄!$A$2:$A$160,$A12,楊梅20km名錄!$N$2:$N$160,"&gt;0"),"")</f>
        <v>4.08888888888889</v>
      </c>
      <c r="F12" s="39" t="n">
        <f aca="false">IFERROR(AVERAGEIFS(楊梅20km名錄!$P$2:$P$160,楊梅20km名錄!$A$2:$A$160,$A12,楊梅20km名錄!$P$2:$P$160,"&gt;0"),"")</f>
        <v>234.814444444444</v>
      </c>
      <c r="G12" s="39" t="n">
        <f aca="false">IFERROR(AVERAGEIFS(楊梅20km名錄!$R$2:$R$160,楊梅20km名錄!$A$2:$A$160,$A12,楊梅20km名錄!$R$2:$R$160,"&gt;0"),"")</f>
        <v>3.75555555555556</v>
      </c>
      <c r="H12" s="35" t="n">
        <f aca="false">COUNTIFS(楊梅20km名錄!$A$2:$A$160,$A12,楊梅20km名錄!$M$2:$M$160,"大型")</f>
        <v>7</v>
      </c>
    </row>
    <row r="13" customFormat="false" ht="15" hidden="false" customHeight="false" outlineLevel="0" collapsed="false">
      <c r="A13" s="42" t="s">
        <v>812</v>
      </c>
      <c r="B13" s="35" t="n">
        <f aca="false">COUNTIF(楊梅20km名錄!$A$2:$A$160,$A13)</f>
        <v>43</v>
      </c>
      <c r="C13" s="35" t="n">
        <f aca="false">COUNTIFS(楊梅20km名錄!$A$2:$A$160,$A13,楊梅20km名錄!$D$2:$D$160,"&lt;&gt;")</f>
        <v>31</v>
      </c>
      <c r="D13" s="35" t="n">
        <f aca="false">COUNTIFS(楊梅20km名錄!$A$2:$A$160,$A13,楊梅20km名錄!$I$2:$I$160,"?*")</f>
        <v>27</v>
      </c>
      <c r="E13" s="39" t="n">
        <f aca="false">IFERROR(AVERAGEIFS(楊梅20km名錄!$N$2:$N$160,楊梅20km名錄!$A$2:$A$160,$A13,楊梅20km名錄!$N$2:$N$160,"&gt;0"),"")</f>
        <v>4.61290322580645</v>
      </c>
      <c r="F13" s="39" t="n">
        <f aca="false">IFERROR(AVERAGEIFS(楊梅20km名錄!$P$2:$P$160,楊梅20km名錄!$A$2:$A$160,$A13,楊梅20km名錄!$P$2:$P$160,"&gt;0"),"")</f>
        <v>257.904193548387</v>
      </c>
      <c r="G13" s="39" t="n">
        <f aca="false">IFERROR(AVERAGEIFS(楊梅20km名錄!$R$2:$R$160,楊梅20km名錄!$A$2:$A$160,$A13,楊梅20km名錄!$R$2:$R$160,"&gt;0"),"")</f>
        <v>6.2258064516129</v>
      </c>
      <c r="H13" s="35" t="n">
        <f aca="false">COUNTIFS(楊梅20km名錄!$A$2:$A$160,$A13,楊梅20km名錄!$M$2:$M$160,"大型")</f>
        <v>5</v>
      </c>
    </row>
    <row r="15" customFormat="false" ht="16.4" hidden="false" customHeight="false" outlineLevel="0" collapsed="false">
      <c r="A15" s="5" t="s">
        <v>28751</v>
      </c>
    </row>
    <row r="16" customFormat="false" ht="15" hidden="false" customHeight="false" outlineLevel="0" collapsed="false">
      <c r="A16" s="34" t="s">
        <v>59</v>
      </c>
      <c r="B16" s="34" t="s">
        <v>28740</v>
      </c>
      <c r="C16" s="34" t="s">
        <v>28749</v>
      </c>
      <c r="D16" s="34" t="s">
        <v>28746</v>
      </c>
      <c r="E16" s="34" t="s">
        <v>28750</v>
      </c>
      <c r="F16" s="34" t="s">
        <v>28752</v>
      </c>
      <c r="G16" s="34" t="s">
        <v>28753</v>
      </c>
      <c r="H16" s="34" t="s">
        <v>28754</v>
      </c>
    </row>
    <row r="17" customFormat="false" ht="15" hidden="false" customHeight="false" outlineLevel="0" collapsed="false">
      <c r="A17" s="43" t="s">
        <v>39</v>
      </c>
      <c r="B17" s="35" t="n">
        <f aca="false">COUNTIF(楊梅20km名錄!$M$2:$M$160,$A17)</f>
        <v>16</v>
      </c>
      <c r="C17" s="39" t="n">
        <f aca="false">IFERROR(AVERAGEIFS(楊梅20km名錄!$N$2:$N$160,楊梅20km名錄!$M$2:$M$160,$A17),"")</f>
        <v>7.4375</v>
      </c>
      <c r="D17" s="39" t="n">
        <f aca="false">IFERROR(AVERAGEIFS(楊梅20km名錄!$P$2:$P$160,楊梅20km名錄!$M$2:$M$160,$A17),"")</f>
        <v>538.266875</v>
      </c>
      <c r="E17" s="39" t="n">
        <f aca="false">IFERROR(AVERAGEIFS(楊梅20km名錄!$R$2:$R$160,楊梅20km名錄!$M$2:$M$160,$A17),"")</f>
        <v>8.8125</v>
      </c>
      <c r="F17" s="39" t="n">
        <f aca="false">IFERROR(AVERAGEIFS(楊梅20km名錄!$Q$2:$Q$160,楊梅20km名錄!$M$2:$M$160,$A17),"")</f>
        <v>13.6</v>
      </c>
      <c r="G17" s="39" t="n">
        <f aca="false">IFERROR(AVERAGEIFS(楊梅20km名錄!$K$2:$K$160,楊梅20km名錄!$M$2:$M$160,$A17,楊梅20km名錄!$K$2:$K$160,"&gt;0"),"")</f>
        <v>3.94</v>
      </c>
      <c r="H17" s="44" t="n">
        <f aca="false">IFERROR(B17/SUM($B$17:$B$19),"")</f>
        <v>0.133333333333333</v>
      </c>
    </row>
    <row r="18" customFormat="false" ht="15" hidden="false" customHeight="false" outlineLevel="0" collapsed="false">
      <c r="A18" s="45" t="s">
        <v>41</v>
      </c>
      <c r="B18" s="35" t="n">
        <f aca="false">COUNTIF(楊梅20km名錄!$M$2:$M$160,$A18)</f>
        <v>38</v>
      </c>
      <c r="C18" s="39" t="n">
        <f aca="false">IFERROR(AVERAGEIFS(楊梅20km名錄!$N$2:$N$160,楊梅20km名錄!$M$2:$M$160,$A18),"")</f>
        <v>4.71052631578947</v>
      </c>
      <c r="D18" s="39" t="n">
        <f aca="false">IFERROR(AVERAGEIFS(楊梅20km名錄!$P$2:$P$160,楊梅20km名錄!$M$2:$M$160,$A18),"")</f>
        <v>247.457894736842</v>
      </c>
      <c r="E18" s="39" t="n">
        <f aca="false">IFERROR(AVERAGEIFS(楊梅20km名錄!$R$2:$R$160,楊梅20km名錄!$M$2:$M$160,$A18),"")</f>
        <v>4.65789473684211</v>
      </c>
      <c r="F18" s="39" t="n">
        <f aca="false">IFERROR(AVERAGEIFS(楊梅20km名錄!$Q$2:$Q$160,楊梅20km名錄!$M$2:$M$160,$A18),"")</f>
        <v>12.0263157894737</v>
      </c>
      <c r="G18" s="39" t="n">
        <f aca="false">IFERROR(AVERAGEIFS(楊梅20km名錄!$K$2:$K$160,楊梅20km名錄!$M$2:$M$160,$A18,楊梅20km名錄!$K$2:$K$160,"&gt;0"),"")</f>
        <v>4.56060606060606</v>
      </c>
      <c r="H18" s="44" t="n">
        <f aca="false">IFERROR(B18/SUM($B$17:$B$19),"")</f>
        <v>0.316666666666667</v>
      </c>
    </row>
    <row r="19" customFormat="false" ht="15" hidden="false" customHeight="false" outlineLevel="0" collapsed="false">
      <c r="A19" s="46" t="s">
        <v>43</v>
      </c>
      <c r="B19" s="35" t="n">
        <f aca="false">COUNTIF(楊梅20km名錄!$M$2:$M$160,$A19)</f>
        <v>66</v>
      </c>
      <c r="C19" s="39" t="n">
        <f aca="false">IFERROR(AVERAGEIFS(楊梅20km名錄!$N$2:$N$160,楊梅20km名錄!$M$2:$M$160,$A19),"")</f>
        <v>2.6969696969697</v>
      </c>
      <c r="D19" s="39" t="n">
        <f aca="false">IFERROR(AVERAGEIFS(楊梅20km名錄!$P$2:$P$160,楊梅20km名錄!$M$2:$M$160,$A19),"")</f>
        <v>131.058181818182</v>
      </c>
      <c r="E19" s="39" t="n">
        <f aca="false">IFERROR(AVERAGEIFS(楊梅20km名錄!$R$2:$R$160,楊梅20km名錄!$M$2:$M$160,$A19),"")</f>
        <v>3.21212121212121</v>
      </c>
      <c r="F19" s="39" t="n">
        <f aca="false">IFERROR(AVERAGEIFS(楊梅20km名錄!$Q$2:$Q$160,楊梅20km名錄!$M$2:$M$160,$A19),"")</f>
        <v>7.04545454545455</v>
      </c>
      <c r="G19" s="39" t="n">
        <f aca="false">IFERROR(AVERAGEIFS(楊梅20km名錄!$K$2:$K$160,楊梅20km名錄!$M$2:$M$160,$A19,楊梅20km名錄!$K$2:$K$160,"&gt;0"),"")</f>
        <v>4.60172413793103</v>
      </c>
      <c r="H19" s="44" t="n">
        <f aca="false">IFERROR(B19/SUM($B$17:$B$19),"")</f>
        <v>0.55</v>
      </c>
    </row>
    <row r="21" customFormat="false" ht="16.4" hidden="false" customHeight="false" outlineLevel="0" collapsed="false">
      <c r="A21" s="5" t="s">
        <v>28755</v>
      </c>
    </row>
    <row r="22" customFormat="false" ht="15" hidden="false" customHeight="false" outlineLevel="0" collapsed="false">
      <c r="A22" s="34" t="s">
        <v>52</v>
      </c>
      <c r="B22" s="34" t="s">
        <v>28740</v>
      </c>
      <c r="C22" s="34" t="s">
        <v>28741</v>
      </c>
      <c r="D22" s="34" t="s">
        <v>28742</v>
      </c>
      <c r="E22" s="34" t="s">
        <v>28749</v>
      </c>
      <c r="F22" s="34" t="s">
        <v>28746</v>
      </c>
      <c r="G22" s="34" t="s">
        <v>28750</v>
      </c>
      <c r="H22" s="34" t="s">
        <v>39</v>
      </c>
    </row>
    <row r="23" customFormat="false" ht="15" hidden="false" customHeight="false" outlineLevel="0" collapsed="false">
      <c r="A23" s="47" t="s">
        <v>80</v>
      </c>
      <c r="B23" s="35" t="n">
        <f aca="false">COUNTIF(楊梅20km名錄!$F$2:$F$160,$A23)</f>
        <v>19</v>
      </c>
      <c r="C23" s="35" t="n">
        <f aca="false">COUNTIFS(楊梅20km名錄!$F$2:$F$160,$A23,楊梅20km名錄!$D$2:$D$160,"&lt;&gt;")</f>
        <v>14</v>
      </c>
      <c r="D23" s="35" t="n">
        <f aca="false">COUNTIFS(楊梅20km名錄!$F$2:$F$160,$A23,楊梅20km名錄!$I$2:$I$160,"?*")</f>
        <v>13</v>
      </c>
      <c r="E23" s="39" t="n">
        <f aca="false">IFERROR(AVERAGEIFS(楊梅20km名錄!$N$2:$N$160,楊梅20km名錄!$F$2:$F$160,$A23,楊梅20km名錄!$N$2:$N$160,"&gt;0"),"")</f>
        <v>3.35714285714286</v>
      </c>
      <c r="F23" s="39" t="n">
        <f aca="false">IFERROR(AVERAGEIFS(楊梅20km名錄!$P$2:$P$160,楊梅20km名錄!$F$2:$F$160,$A23,楊梅20km名錄!$P$2:$P$160,"&gt;0"),"")</f>
        <v>156.975</v>
      </c>
      <c r="G23" s="39" t="n">
        <f aca="false">IFERROR(AVERAGEIFS(楊梅20km名錄!$R$2:$R$160,楊梅20km名錄!$F$2:$F$160,$A23,楊梅20km名錄!$R$2:$R$160,"&gt;0"),"")</f>
        <v>4.85714285714286</v>
      </c>
      <c r="H23" s="35" t="n">
        <f aca="false">COUNTIFS(楊梅20km名錄!$F$2:$F$160,$A23,楊梅20km名錄!$M$2:$M$160,"大型")</f>
        <v>0</v>
      </c>
    </row>
    <row r="24" customFormat="false" ht="15" hidden="false" customHeight="false" outlineLevel="0" collapsed="false">
      <c r="A24" s="47" t="s">
        <v>179</v>
      </c>
      <c r="B24" s="35" t="n">
        <f aca="false">COUNTIF(楊梅20km名錄!$F$2:$F$160,$A24)</f>
        <v>14</v>
      </c>
      <c r="C24" s="35" t="n">
        <f aca="false">COUNTIFS(楊梅20km名錄!$F$2:$F$160,$A24,楊梅20km名錄!$D$2:$D$160,"&lt;&gt;")</f>
        <v>13</v>
      </c>
      <c r="D24" s="35" t="n">
        <f aca="false">COUNTIFS(楊梅20km名錄!$F$2:$F$160,$A24,楊梅20km名錄!$I$2:$I$160,"?*")</f>
        <v>13</v>
      </c>
      <c r="E24" s="39" t="n">
        <f aca="false">IFERROR(AVERAGEIFS(楊梅20km名錄!$N$2:$N$160,楊梅20km名錄!$F$2:$F$160,$A24,楊梅20km名錄!$N$2:$N$160,"&gt;0"),"")</f>
        <v>4</v>
      </c>
      <c r="F24" s="39" t="n">
        <f aca="false">IFERROR(AVERAGEIFS(楊梅20km名錄!$P$2:$P$160,楊梅20km名錄!$F$2:$F$160,$A24,楊梅20km名錄!$P$2:$P$160,"&gt;0"),"")</f>
        <v>197.83</v>
      </c>
      <c r="G24" s="39" t="n">
        <f aca="false">IFERROR(AVERAGEIFS(楊梅20km名錄!$R$2:$R$160,楊梅20km名錄!$F$2:$F$160,$A24,楊梅20km名錄!$R$2:$R$160,"&gt;0"),"")</f>
        <v>3.92307692307692</v>
      </c>
      <c r="H24" s="35" t="n">
        <f aca="false">COUNTIFS(楊梅20km名錄!$F$2:$F$160,$A24,楊梅20km名錄!$M$2:$M$160,"大型")</f>
        <v>2</v>
      </c>
    </row>
    <row r="25" customFormat="false" ht="15" hidden="false" customHeight="false" outlineLevel="0" collapsed="false">
      <c r="A25" s="47" t="s">
        <v>529</v>
      </c>
      <c r="B25" s="35" t="n">
        <f aca="false">COUNTIF(楊梅20km名錄!$F$2:$F$160,$A25)</f>
        <v>14</v>
      </c>
      <c r="C25" s="35" t="n">
        <f aca="false">COUNTIFS(楊梅20km名錄!$F$2:$F$160,$A25,楊梅20km名錄!$D$2:$D$160,"&lt;&gt;")</f>
        <v>12</v>
      </c>
      <c r="D25" s="35" t="n">
        <f aca="false">COUNTIFS(楊梅20km名錄!$F$2:$F$160,$A25,楊梅20km名錄!$I$2:$I$160,"?*")</f>
        <v>12</v>
      </c>
      <c r="E25" s="39" t="n">
        <f aca="false">IFERROR(AVERAGEIFS(楊梅20km名錄!$N$2:$N$160,楊梅20km名錄!$F$2:$F$160,$A25,楊梅20km名錄!$N$2:$N$160,"&gt;0"),"")</f>
        <v>4.83333333333333</v>
      </c>
      <c r="F25" s="39" t="n">
        <f aca="false">IFERROR(AVERAGEIFS(楊梅20km名錄!$P$2:$P$160,楊梅20km名錄!$F$2:$F$160,$A25,楊梅20km名錄!$P$2:$P$160,"&gt;0"),"")</f>
        <v>274.3625</v>
      </c>
      <c r="G25" s="39" t="n">
        <f aca="false">IFERROR(AVERAGEIFS(楊梅20km名錄!$R$2:$R$160,楊梅20km名錄!$F$2:$F$160,$A25,楊梅20km名錄!$R$2:$R$160,"&gt;0"),"")</f>
        <v>4.58333333333333</v>
      </c>
      <c r="H25" s="35" t="n">
        <f aca="false">COUNTIFS(楊梅20km名錄!$F$2:$F$160,$A25,楊梅20km名錄!$M$2:$M$160,"大型")</f>
        <v>3</v>
      </c>
    </row>
    <row r="26" customFormat="false" ht="15" hidden="false" customHeight="false" outlineLevel="0" collapsed="false">
      <c r="A26" s="47" t="s">
        <v>288</v>
      </c>
      <c r="B26" s="35" t="n">
        <f aca="false">COUNTIF(楊梅20km名錄!$F$2:$F$160,$A26)</f>
        <v>12</v>
      </c>
      <c r="C26" s="35" t="n">
        <f aca="false">COUNTIFS(楊梅20km名錄!$F$2:$F$160,$A26,楊梅20km名錄!$D$2:$D$160,"&lt;&gt;")</f>
        <v>8</v>
      </c>
      <c r="D26" s="35" t="n">
        <f aca="false">COUNTIFS(楊梅20km名錄!$F$2:$F$160,$A26,楊梅20km名錄!$I$2:$I$160,"?*")</f>
        <v>7</v>
      </c>
      <c r="E26" s="39" t="n">
        <f aca="false">IFERROR(AVERAGEIFS(楊梅20km名錄!$N$2:$N$160,楊梅20km名錄!$F$2:$F$160,$A26,楊梅20km名錄!$N$2:$N$160,"&gt;0"),"")</f>
        <v>3.375</v>
      </c>
      <c r="F26" s="39" t="n">
        <f aca="false">IFERROR(AVERAGEIFS(楊梅20km名錄!$P$2:$P$160,楊梅20km名錄!$F$2:$F$160,$A26,楊梅20km名錄!$P$2:$P$160,"&gt;0"),"")</f>
        <v>266.765</v>
      </c>
      <c r="G26" s="39" t="n">
        <f aca="false">IFERROR(AVERAGEIFS(楊梅20km名錄!$R$2:$R$160,楊梅20km名錄!$F$2:$F$160,$A26,楊梅20km名錄!$R$2:$R$160,"&gt;0"),"")</f>
        <v>1.5</v>
      </c>
      <c r="H26" s="35" t="n">
        <f aca="false">COUNTIFS(楊梅20km名錄!$F$2:$F$160,$A26,楊梅20km名錄!$M$2:$M$160,"大型")</f>
        <v>2</v>
      </c>
    </row>
    <row r="27" customFormat="false" ht="15" hidden="false" customHeight="false" outlineLevel="0" collapsed="false">
      <c r="A27" s="47" t="s">
        <v>511</v>
      </c>
      <c r="B27" s="35" t="n">
        <f aca="false">COUNTIF(楊梅20km名錄!$F$2:$F$160,$A27)</f>
        <v>11</v>
      </c>
      <c r="C27" s="35" t="n">
        <f aca="false">COUNTIFS(楊梅20km名錄!$F$2:$F$160,$A27,楊梅20km名錄!$D$2:$D$160,"&lt;&gt;")</f>
        <v>8</v>
      </c>
      <c r="D27" s="35" t="n">
        <f aca="false">COUNTIFS(楊梅20km名錄!$F$2:$F$160,$A27,楊梅20km名錄!$I$2:$I$160,"?*")</f>
        <v>8</v>
      </c>
      <c r="E27" s="39" t="n">
        <f aca="false">IFERROR(AVERAGEIFS(楊梅20km名錄!$N$2:$N$160,楊梅20km名錄!$F$2:$F$160,$A27,楊梅20km名錄!$N$2:$N$160,"&gt;0"),"")</f>
        <v>3.875</v>
      </c>
      <c r="F27" s="39" t="n">
        <f aca="false">IFERROR(AVERAGEIFS(楊梅20km名錄!$P$2:$P$160,楊梅20km名錄!$F$2:$F$160,$A27,楊梅20km名錄!$P$2:$P$160,"&gt;0"),"")</f>
        <v>205.4325</v>
      </c>
      <c r="G27" s="39" t="n">
        <f aca="false">IFERROR(AVERAGEIFS(楊梅20km名錄!$R$2:$R$160,楊梅20km名錄!$F$2:$F$160,$A27,楊梅20km名錄!$R$2:$R$160,"&gt;0"),"")</f>
        <v>3</v>
      </c>
      <c r="H27" s="35" t="n">
        <f aca="false">COUNTIFS(楊梅20km名錄!$F$2:$F$160,$A27,楊梅20km名錄!$M$2:$M$160,"大型")</f>
        <v>0</v>
      </c>
    </row>
    <row r="28" customFormat="false" ht="15" hidden="false" customHeight="false" outlineLevel="0" collapsed="false">
      <c r="A28" s="47" t="s">
        <v>570</v>
      </c>
      <c r="B28" s="35" t="n">
        <f aca="false">COUNTIF(楊梅20km名錄!$F$2:$F$160,$A28)</f>
        <v>11</v>
      </c>
      <c r="C28" s="35" t="n">
        <f aca="false">COUNTIFS(楊梅20km名錄!$F$2:$F$160,$A28,楊梅20km名錄!$D$2:$D$160,"&lt;&gt;")</f>
        <v>8</v>
      </c>
      <c r="D28" s="35" t="n">
        <f aca="false">COUNTIFS(楊梅20km名錄!$F$2:$F$160,$A28,楊梅20km名錄!$I$2:$I$160,"?*")</f>
        <v>8</v>
      </c>
      <c r="E28" s="39" t="n">
        <f aca="false">IFERROR(AVERAGEIFS(楊梅20km名錄!$N$2:$N$160,楊梅20km名錄!$F$2:$F$160,$A28,楊梅20km名錄!$N$2:$N$160,"&gt;0"),"")</f>
        <v>3.75</v>
      </c>
      <c r="F28" s="39" t="n">
        <f aca="false">IFERROR(AVERAGEIFS(楊梅20km名錄!$P$2:$P$160,楊梅20km名錄!$F$2:$F$160,$A28,楊梅20km名錄!$P$2:$P$160,"&gt;0"),"")</f>
        <v>193.26875</v>
      </c>
      <c r="G28" s="39" t="n">
        <f aca="false">IFERROR(AVERAGEIFS(楊梅20km名錄!$R$2:$R$160,楊梅20km名錄!$F$2:$F$160,$A28,楊梅20km名錄!$R$2:$R$160,"&gt;0"),"")</f>
        <v>3.375</v>
      </c>
      <c r="H28" s="35" t="n">
        <f aca="false">COUNTIFS(楊梅20km名錄!$F$2:$F$160,$A28,楊梅20km名錄!$M$2:$M$160,"大型")</f>
        <v>0</v>
      </c>
    </row>
    <row r="29" customFormat="false" ht="15" hidden="false" customHeight="false" outlineLevel="0" collapsed="false">
      <c r="A29" s="47" t="s">
        <v>214</v>
      </c>
      <c r="B29" s="35" t="n">
        <f aca="false">COUNTIF(楊梅20km名錄!$F$2:$F$160,$A29)</f>
        <v>10</v>
      </c>
      <c r="C29" s="35" t="n">
        <f aca="false">COUNTIFS(楊梅20km名錄!$F$2:$F$160,$A29,楊梅20km名錄!$D$2:$D$160,"&lt;&gt;")</f>
        <v>8</v>
      </c>
      <c r="D29" s="35" t="n">
        <f aca="false">COUNTIFS(楊梅20km名錄!$F$2:$F$160,$A29,楊梅20km名錄!$I$2:$I$160,"?*")</f>
        <v>8</v>
      </c>
      <c r="E29" s="39" t="n">
        <f aca="false">IFERROR(AVERAGEIFS(楊梅20km名錄!$N$2:$N$160,楊梅20km名錄!$F$2:$F$160,$A29,楊梅20km名錄!$N$2:$N$160,"&gt;0"),"")</f>
        <v>3</v>
      </c>
      <c r="F29" s="39" t="n">
        <f aca="false">IFERROR(AVERAGEIFS(楊梅20km名錄!$P$2:$P$160,楊梅20km名錄!$F$2:$F$160,$A29,楊梅20km名錄!$P$2:$P$160,"&gt;0"),"")</f>
        <v>164.34125</v>
      </c>
      <c r="G29" s="39" t="n">
        <f aca="false">IFERROR(AVERAGEIFS(楊梅20km名錄!$R$2:$R$160,楊梅20km名錄!$F$2:$F$160,$A29,楊梅20km名錄!$R$2:$R$160,"&gt;0"),"")</f>
        <v>4.75</v>
      </c>
      <c r="H29" s="35" t="n">
        <f aca="false">COUNTIFS(楊梅20km名錄!$F$2:$F$160,$A29,楊梅20km名錄!$M$2:$M$160,"大型")</f>
        <v>0</v>
      </c>
    </row>
    <row r="30" customFormat="false" ht="15" hidden="false" customHeight="false" outlineLevel="0" collapsed="false">
      <c r="A30" s="47" t="s">
        <v>421</v>
      </c>
      <c r="B30" s="35" t="n">
        <f aca="false">COUNTIF(楊梅20km名錄!$F$2:$F$160,$A30)</f>
        <v>10</v>
      </c>
      <c r="C30" s="35" t="n">
        <f aca="false">COUNTIFS(楊梅20km名錄!$F$2:$F$160,$A30,楊梅20km名錄!$D$2:$D$160,"&lt;&gt;")</f>
        <v>7</v>
      </c>
      <c r="D30" s="35" t="n">
        <f aca="false">COUNTIFS(楊梅20km名錄!$F$2:$F$160,$A30,楊梅20km名錄!$I$2:$I$160,"?*")</f>
        <v>7</v>
      </c>
      <c r="E30" s="39" t="n">
        <f aca="false">IFERROR(AVERAGEIFS(楊梅20km名錄!$N$2:$N$160,楊梅20km名錄!$F$2:$F$160,$A30,楊梅20km名錄!$N$2:$N$160,"&gt;0"),"")</f>
        <v>2.85714285714286</v>
      </c>
      <c r="F30" s="39" t="n">
        <f aca="false">IFERROR(AVERAGEIFS(楊梅20km名錄!$P$2:$P$160,楊梅20km名錄!$F$2:$F$160,$A30,楊梅20km名錄!$P$2:$P$160,"&gt;0"),"")</f>
        <v>246.055714285714</v>
      </c>
      <c r="G30" s="39" t="n">
        <f aca="false">IFERROR(AVERAGEIFS(楊梅20km名錄!$R$2:$R$160,楊梅20km名錄!$F$2:$F$160,$A30,楊梅20km名錄!$R$2:$R$160,"&gt;0"),"")</f>
        <v>2.85714285714286</v>
      </c>
      <c r="H30" s="35" t="n">
        <f aca="false">COUNTIFS(楊梅20km名錄!$F$2:$F$160,$A30,楊梅20km名錄!$M$2:$M$160,"大型")</f>
        <v>1</v>
      </c>
    </row>
    <row r="31" customFormat="false" ht="15" hidden="false" customHeight="false" outlineLevel="0" collapsed="false">
      <c r="A31" s="47" t="s">
        <v>464</v>
      </c>
      <c r="B31" s="35" t="n">
        <f aca="false">COUNTIF(楊梅20km名錄!$F$2:$F$160,$A31)</f>
        <v>10</v>
      </c>
      <c r="C31" s="35" t="n">
        <f aca="false">COUNTIFS(楊梅20km名錄!$F$2:$F$160,$A31,楊梅20km名錄!$D$2:$D$160,"&lt;&gt;")</f>
        <v>8</v>
      </c>
      <c r="D31" s="35" t="n">
        <f aca="false">COUNTIFS(楊梅20km名錄!$F$2:$F$160,$A31,楊梅20km名錄!$I$2:$I$160,"?*")</f>
        <v>8</v>
      </c>
      <c r="E31" s="39" t="n">
        <f aca="false">IFERROR(AVERAGEIFS(楊梅20km名錄!$N$2:$N$160,楊梅20km名錄!$F$2:$F$160,$A31,楊梅20km名錄!$N$2:$N$160,"&gt;0"),"")</f>
        <v>3.875</v>
      </c>
      <c r="F31" s="39" t="n">
        <f aca="false">IFERROR(AVERAGEIFS(楊梅20km名錄!$P$2:$P$160,楊梅20km名錄!$F$2:$F$160,$A31,楊梅20km名錄!$P$2:$P$160,"&gt;0"),"")</f>
        <v>233.01375</v>
      </c>
      <c r="G31" s="39" t="n">
        <f aca="false">IFERROR(AVERAGEIFS(楊梅20km名錄!$R$2:$R$160,楊梅20km名錄!$F$2:$F$160,$A31,楊梅20km名錄!$R$2:$R$160,"&gt;0"),"")</f>
        <v>2.625</v>
      </c>
      <c r="H31" s="35" t="n">
        <f aca="false">COUNTIFS(楊梅20km名錄!$F$2:$F$160,$A31,楊梅20km名錄!$M$2:$M$160,"大型")</f>
        <v>2</v>
      </c>
    </row>
    <row r="32" customFormat="false" ht="15" hidden="false" customHeight="false" outlineLevel="0" collapsed="false">
      <c r="A32" s="47" t="s">
        <v>851</v>
      </c>
      <c r="B32" s="35" t="n">
        <f aca="false">COUNTIF(楊梅20km名錄!$F$2:$F$160,$A32)</f>
        <v>10</v>
      </c>
      <c r="C32" s="35" t="n">
        <f aca="false">COUNTIFS(楊梅20km名錄!$F$2:$F$160,$A32,楊梅20km名錄!$D$2:$D$160,"&lt;&gt;")</f>
        <v>9</v>
      </c>
      <c r="D32" s="35" t="n">
        <f aca="false">COUNTIFS(楊梅20km名錄!$F$2:$F$160,$A32,楊梅20km名錄!$I$2:$I$160,"?*")</f>
        <v>6</v>
      </c>
      <c r="E32" s="39" t="n">
        <f aca="false">IFERROR(AVERAGEIFS(楊梅20km名錄!$N$2:$N$160,楊梅20km名錄!$F$2:$F$160,$A32,楊梅20km名錄!$N$2:$N$160,"&gt;0"),"")</f>
        <v>4.33333333333333</v>
      </c>
      <c r="F32" s="39" t="n">
        <f aca="false">IFERROR(AVERAGEIFS(楊梅20km名錄!$P$2:$P$160,楊梅20km名錄!$F$2:$F$160,$A32,楊梅20km名錄!$P$2:$P$160,"&gt;0"),"")</f>
        <v>261.596666666667</v>
      </c>
      <c r="G32" s="39" t="n">
        <f aca="false">IFERROR(AVERAGEIFS(楊梅20km名錄!$R$2:$R$160,楊梅20km名錄!$F$2:$F$160,$A32,楊梅20km名錄!$R$2:$R$160,"&gt;0"),"")</f>
        <v>6.44444444444445</v>
      </c>
      <c r="H32" s="35" t="n">
        <f aca="false">COUNTIFS(楊梅20km名錄!$F$2:$F$160,$A32,楊梅20km名錄!$M$2:$M$160,"大型")</f>
        <v>2</v>
      </c>
    </row>
    <row r="33" customFormat="false" ht="15" hidden="false" customHeight="false" outlineLevel="0" collapsed="false">
      <c r="A33" s="47" t="s">
        <v>607</v>
      </c>
      <c r="B33" s="35" t="n">
        <f aca="false">COUNTIF(楊梅20km名錄!$F$2:$F$160,$A33)</f>
        <v>7</v>
      </c>
      <c r="C33" s="35" t="n">
        <f aca="false">COUNTIFS(楊梅20km名錄!$F$2:$F$160,$A33,楊梅20km名錄!$D$2:$D$160,"&lt;&gt;")</f>
        <v>4</v>
      </c>
      <c r="D33" s="35" t="n">
        <f aca="false">COUNTIFS(楊梅20km名錄!$F$2:$F$160,$A33,楊梅20km名錄!$I$2:$I$160,"?*")</f>
        <v>4</v>
      </c>
      <c r="E33" s="39" t="n">
        <f aca="false">IFERROR(AVERAGEIFS(楊梅20km名錄!$N$2:$N$160,楊梅20km名錄!$F$2:$F$160,$A33,楊梅20km名錄!$N$2:$N$160,"&gt;0"),"")</f>
        <v>5.25</v>
      </c>
      <c r="F33" s="39" t="n">
        <f aca="false">IFERROR(AVERAGEIFS(楊梅20km名錄!$P$2:$P$160,楊梅20km名錄!$F$2:$F$160,$A33,楊梅20km名錄!$P$2:$P$160,"&gt;0"),"")</f>
        <v>203.045</v>
      </c>
      <c r="G33" s="39" t="n">
        <f aca="false">IFERROR(AVERAGEIFS(楊梅20km名錄!$R$2:$R$160,楊梅20km名錄!$F$2:$F$160,$A33,楊梅20km名錄!$R$2:$R$160,"&gt;0"),"")</f>
        <v>8</v>
      </c>
      <c r="H33" s="35" t="n">
        <f aca="false">COUNTIFS(楊梅20km名錄!$F$2:$F$160,$A33,楊梅20km名錄!$M$2:$M$160,"大型")</f>
        <v>1</v>
      </c>
    </row>
    <row r="34" customFormat="false" ht="15" hidden="false" customHeight="false" outlineLevel="0" collapsed="false">
      <c r="A34" s="47" t="s">
        <v>687</v>
      </c>
      <c r="B34" s="35" t="n">
        <f aca="false">COUNTIF(楊梅20km名錄!$F$2:$F$160,$A34)</f>
        <v>7</v>
      </c>
      <c r="C34" s="35" t="n">
        <f aca="false">COUNTIFS(楊梅20km名錄!$F$2:$F$160,$A34,楊梅20km名錄!$D$2:$D$160,"&lt;&gt;")</f>
        <v>5</v>
      </c>
      <c r="D34" s="35" t="n">
        <f aca="false">COUNTIFS(楊梅20km名錄!$F$2:$F$160,$A34,楊梅20km名錄!$I$2:$I$160,"?*")</f>
        <v>4</v>
      </c>
      <c r="E34" s="39" t="n">
        <f aca="false">IFERROR(AVERAGEIFS(楊梅20km名錄!$N$2:$N$160,楊梅20km名錄!$F$2:$F$160,$A34,楊梅20km名錄!$N$2:$N$160,"&gt;0"),"")</f>
        <v>4.2</v>
      </c>
      <c r="F34" s="39" t="n">
        <f aca="false">IFERROR(AVERAGEIFS(楊梅20km名錄!$P$2:$P$160,楊梅20km名錄!$F$2:$F$160,$A34,楊梅20km名錄!$P$2:$P$160,"&gt;0"),"")</f>
        <v>224.938</v>
      </c>
      <c r="G34" s="39" t="n">
        <f aca="false">IFERROR(AVERAGEIFS(楊梅20km名錄!$R$2:$R$160,楊梅20km名錄!$F$2:$F$160,$A34,楊梅20km名錄!$R$2:$R$160,"&gt;0"),"")</f>
        <v>4.6</v>
      </c>
      <c r="H34" s="35" t="n">
        <f aca="false">COUNTIFS(楊梅20km名錄!$F$2:$F$160,$A34,楊梅20km名錄!$M$2:$M$160,"大型")</f>
        <v>1</v>
      </c>
    </row>
    <row r="35" customFormat="false" ht="15" hidden="false" customHeight="false" outlineLevel="0" collapsed="false">
      <c r="A35" s="47" t="s">
        <v>978</v>
      </c>
      <c r="B35" s="35" t="n">
        <f aca="false">COUNTIF(楊梅20km名錄!$F$2:$F$160,$A35)</f>
        <v>6</v>
      </c>
      <c r="C35" s="35" t="n">
        <f aca="false">COUNTIFS(楊梅20km名錄!$F$2:$F$160,$A35,楊梅20km名錄!$D$2:$D$160,"&lt;&gt;")</f>
        <v>4</v>
      </c>
      <c r="D35" s="35" t="n">
        <f aca="false">COUNTIFS(楊梅20km名錄!$F$2:$F$160,$A35,楊梅20km名錄!$I$2:$I$160,"?*")</f>
        <v>4</v>
      </c>
      <c r="E35" s="39" t="n">
        <f aca="false">IFERROR(AVERAGEIFS(楊梅20km名錄!$N$2:$N$160,楊梅20km名錄!$F$2:$F$160,$A35,楊梅20km名錄!$N$2:$N$160,"&gt;0"),"")</f>
        <v>4.25</v>
      </c>
      <c r="F35" s="39" t="n">
        <f aca="false">IFERROR(AVERAGEIFS(楊梅20km名錄!$P$2:$P$160,楊梅20km名錄!$F$2:$F$160,$A35,楊梅20km名錄!$P$2:$P$160,"&gt;0"),"")</f>
        <v>203.975</v>
      </c>
      <c r="G35" s="39" t="n">
        <f aca="false">IFERROR(AVERAGEIFS(楊梅20km名錄!$R$2:$R$160,楊梅20km名錄!$F$2:$F$160,$A35,楊梅20km名錄!$R$2:$R$160,"&gt;0"),"")</f>
        <v>5.75</v>
      </c>
      <c r="H35" s="35" t="n">
        <f aca="false">COUNTIFS(楊梅20km名錄!$F$2:$F$160,$A35,楊梅20km名錄!$M$2:$M$160,"大型")</f>
        <v>0</v>
      </c>
    </row>
    <row r="36" customFormat="false" ht="15" hidden="false" customHeight="false" outlineLevel="0" collapsed="false">
      <c r="A36" s="47" t="s">
        <v>706</v>
      </c>
      <c r="B36" s="35" t="n">
        <f aca="false">COUNTIF(楊梅20km名錄!$F$2:$F$160,$A36)</f>
        <v>4</v>
      </c>
      <c r="C36" s="35" t="n">
        <f aca="false">COUNTIFS(楊梅20km名錄!$F$2:$F$160,$A36,楊梅20km名錄!$D$2:$D$160,"&lt;&gt;")</f>
        <v>3</v>
      </c>
      <c r="D36" s="35" t="n">
        <f aca="false">COUNTIFS(楊梅20km名錄!$F$2:$F$160,$A36,楊梅20km名錄!$I$2:$I$160,"?*")</f>
        <v>3</v>
      </c>
      <c r="E36" s="39" t="n">
        <f aca="false">IFERROR(AVERAGEIFS(楊梅20km名錄!$N$2:$N$160,楊梅20km名錄!$F$2:$F$160,$A36,楊梅20km名錄!$N$2:$N$160,"&gt;0"),"")</f>
        <v>4.66666666666667</v>
      </c>
      <c r="F36" s="39" t="n">
        <f aca="false">IFERROR(AVERAGEIFS(楊梅20km名錄!$P$2:$P$160,楊梅20km名錄!$F$2:$F$160,$A36,楊梅20km名錄!$P$2:$P$160,"&gt;0"),"")</f>
        <v>335.796666666667</v>
      </c>
      <c r="G36" s="39" t="n">
        <f aca="false">IFERROR(AVERAGEIFS(楊梅20km名錄!$R$2:$R$160,楊梅20km名錄!$F$2:$F$160,$A36,楊梅20km名錄!$R$2:$R$160,"&gt;0"),"")</f>
        <v>6.33333333333333</v>
      </c>
      <c r="H36" s="35" t="n">
        <f aca="false">COUNTIFS(楊梅20km名錄!$F$2:$F$160,$A36,楊梅20km名錄!$M$2:$M$160,"大型")</f>
        <v>1</v>
      </c>
    </row>
    <row r="37" customFormat="false" ht="15" hidden="false" customHeight="false" outlineLevel="0" collapsed="false">
      <c r="A37" s="47" t="s">
        <v>1028</v>
      </c>
      <c r="B37" s="35" t="n">
        <f aca="false">COUNTIF(楊梅20km名錄!$F$2:$F$160,$A37)</f>
        <v>4</v>
      </c>
      <c r="C37" s="35" t="n">
        <f aca="false">COUNTIFS(楊梅20km名錄!$F$2:$F$160,$A37,楊梅20km名錄!$D$2:$D$160,"&lt;&gt;")</f>
        <v>2</v>
      </c>
      <c r="D37" s="35" t="n">
        <f aca="false">COUNTIFS(楊梅20km名錄!$F$2:$F$160,$A37,楊梅20km名錄!$I$2:$I$160,"?*")</f>
        <v>1</v>
      </c>
      <c r="E37" s="39" t="n">
        <f aca="false">IFERROR(AVERAGEIFS(楊梅20km名錄!$N$2:$N$160,楊梅20km名錄!$F$2:$F$160,$A37,楊梅20km名錄!$N$2:$N$160,"&gt;0"),"")</f>
        <v>3</v>
      </c>
      <c r="F37" s="39" t="n">
        <f aca="false">IFERROR(AVERAGEIFS(楊梅20km名錄!$P$2:$P$160,楊梅20km名錄!$F$2:$F$160,$A37,楊梅20km名錄!$P$2:$P$160,"&gt;0"),"")</f>
        <v>113.465</v>
      </c>
      <c r="G37" s="39" t="n">
        <f aca="false">IFERROR(AVERAGEIFS(楊梅20km名錄!$R$2:$R$160,楊梅20km名錄!$F$2:$F$160,$A37,楊梅20km名錄!$R$2:$R$160,"&gt;0"),"")</f>
        <v>4</v>
      </c>
      <c r="H37" s="35" t="n">
        <f aca="false">COUNTIFS(楊梅20km名錄!$F$2:$F$160,$A37,楊梅20km名錄!$M$2:$M$160,"大型")</f>
        <v>0</v>
      </c>
    </row>
    <row r="38" customFormat="false" ht="15" hidden="false" customHeight="false" outlineLevel="0" collapsed="false">
      <c r="A38" s="47" t="s">
        <v>394</v>
      </c>
      <c r="B38" s="35" t="n">
        <f aca="false">COUNTIF(楊梅20km名錄!$F$2:$F$160,$A38)</f>
        <v>3</v>
      </c>
      <c r="C38" s="35" t="n">
        <f aca="false">COUNTIFS(楊梅20km名錄!$F$2:$F$160,$A38,楊梅20km名錄!$D$2:$D$160,"&lt;&gt;")</f>
        <v>3</v>
      </c>
      <c r="D38" s="35" t="n">
        <f aca="false">COUNTIFS(楊梅20km名錄!$F$2:$F$160,$A38,楊梅20km名錄!$I$2:$I$160,"?*")</f>
        <v>3</v>
      </c>
      <c r="E38" s="39" t="n">
        <f aca="false">IFERROR(AVERAGEIFS(楊梅20km名錄!$N$2:$N$160,楊梅20km名錄!$F$2:$F$160,$A38,楊梅20km名錄!$N$2:$N$160,"&gt;0"),"")</f>
        <v>2.33333333333333</v>
      </c>
      <c r="F38" s="39" t="n">
        <f aca="false">IFERROR(AVERAGEIFS(楊梅20km名錄!$P$2:$P$160,楊梅20km名錄!$F$2:$F$160,$A38,楊梅20km名錄!$P$2:$P$160,"&gt;0"),"")</f>
        <v>117.236666666667</v>
      </c>
      <c r="G38" s="39" t="n">
        <f aca="false">IFERROR(AVERAGEIFS(楊梅20km名錄!$R$2:$R$160,楊梅20km名錄!$F$2:$F$160,$A38,楊梅20km名錄!$R$2:$R$160,"&gt;0"),"")</f>
        <v>2</v>
      </c>
      <c r="H38" s="35" t="n">
        <f aca="false">COUNTIFS(楊梅20km名錄!$F$2:$F$160,$A38,楊梅20km名錄!$M$2:$M$160,"大型")</f>
        <v>0</v>
      </c>
    </row>
    <row r="39" customFormat="false" ht="15" hidden="false" customHeight="false" outlineLevel="0" collapsed="false">
      <c r="A39" s="47" t="s">
        <v>723</v>
      </c>
      <c r="B39" s="35" t="n">
        <f aca="false">COUNTIF(楊梅20km名錄!$F$2:$F$160,$A39)</f>
        <v>2</v>
      </c>
      <c r="C39" s="35" t="n">
        <f aca="false">COUNTIFS(楊梅20km名錄!$F$2:$F$160,$A39,楊梅20km名錄!$D$2:$D$160,"&lt;&gt;")</f>
        <v>0</v>
      </c>
      <c r="D39" s="35" t="n">
        <f aca="false">COUNTIFS(楊梅20km名錄!$F$2:$F$160,$A39,楊梅20km名錄!$I$2:$I$160,"?*")</f>
        <v>0</v>
      </c>
      <c r="E39" s="39" t="str">
        <f aca="false">IFERROR(AVERAGEIFS(楊梅20km名錄!$N$2:$N$160,楊梅20km名錄!$F$2:$F$160,$A39,楊梅20km名錄!$N$2:$N$160,"&gt;0"),"")</f>
        <v/>
      </c>
      <c r="F39" s="39" t="str">
        <f aca="false">IFERROR(AVERAGEIFS(楊梅20km名錄!$P$2:$P$160,楊梅20km名錄!$F$2:$F$160,$A39,楊梅20km名錄!$P$2:$P$160,"&gt;0"),"")</f>
        <v/>
      </c>
      <c r="G39" s="39" t="str">
        <f aca="false">IFERROR(AVERAGEIFS(楊梅20km名錄!$R$2:$R$160,楊梅20km名錄!$F$2:$F$160,$A39,楊梅20km名錄!$R$2:$R$160,"&gt;0"),"")</f>
        <v/>
      </c>
      <c r="H39" s="35" t="n">
        <f aca="false">COUNTIFS(楊梅20km名錄!$F$2:$F$160,$A39,楊梅20km名錄!$M$2:$M$160,"大型")</f>
        <v>0</v>
      </c>
    </row>
    <row r="40" customFormat="false" ht="15" hidden="false" customHeight="false" outlineLevel="0" collapsed="false">
      <c r="A40" s="47" t="s">
        <v>987</v>
      </c>
      <c r="B40" s="35" t="n">
        <f aca="false">COUNTIF(楊梅20km名錄!$F$2:$F$160,$A40)</f>
        <v>2</v>
      </c>
      <c r="C40" s="35" t="n">
        <f aca="false">COUNTIFS(楊梅20km名錄!$F$2:$F$160,$A40,楊梅20km名錄!$D$2:$D$160,"&lt;&gt;")</f>
        <v>2</v>
      </c>
      <c r="D40" s="35" t="n">
        <f aca="false">COUNTIFS(楊梅20km名錄!$F$2:$F$160,$A40,楊梅20km名錄!$I$2:$I$160,"?*")</f>
        <v>2</v>
      </c>
      <c r="E40" s="39" t="n">
        <f aca="false">IFERROR(AVERAGEIFS(楊梅20km名錄!$N$2:$N$160,楊梅20km名錄!$F$2:$F$160,$A40,楊梅20km名錄!$N$2:$N$160,"&gt;0"),"")</f>
        <v>11.5</v>
      </c>
      <c r="F40" s="39" t="n">
        <f aca="false">IFERROR(AVERAGEIFS(楊梅20km名錄!$P$2:$P$160,楊梅20km名錄!$F$2:$F$160,$A40,楊梅20km名錄!$P$2:$P$160,"&gt;0"),"")</f>
        <v>598.315</v>
      </c>
      <c r="G40" s="39" t="n">
        <f aca="false">IFERROR(AVERAGEIFS(楊梅20km名錄!$R$2:$R$160,楊梅20km名錄!$F$2:$F$160,$A40,楊梅20km名錄!$R$2:$R$160,"&gt;0"),"")</f>
        <v>13</v>
      </c>
      <c r="H40" s="35" t="n">
        <f aca="false">COUNTIFS(楊梅20km名錄!$F$2:$F$160,$A40,楊梅20km名錄!$M$2:$M$160,"大型")</f>
        <v>1</v>
      </c>
    </row>
    <row r="41" customFormat="false" ht="15" hidden="false" customHeight="false" outlineLevel="0" collapsed="false">
      <c r="A41" s="47" t="s">
        <v>1013</v>
      </c>
      <c r="B41" s="35" t="n">
        <f aca="false">COUNTIF(楊梅20km名錄!$F$2:$F$160,$A41)</f>
        <v>2</v>
      </c>
      <c r="C41" s="35" t="n">
        <f aca="false">COUNTIFS(楊梅20km名錄!$F$2:$F$160,$A41,楊梅20km名錄!$D$2:$D$160,"&lt;&gt;")</f>
        <v>1</v>
      </c>
      <c r="D41" s="35" t="n">
        <f aca="false">COUNTIFS(楊梅20km名錄!$F$2:$F$160,$A41,楊梅20km名錄!$I$2:$I$160,"?*")</f>
        <v>1</v>
      </c>
      <c r="E41" s="39" t="n">
        <f aca="false">IFERROR(AVERAGEIFS(楊梅20km名錄!$N$2:$N$160,楊梅20km名錄!$F$2:$F$160,$A41,楊梅20km名錄!$N$2:$N$160,"&gt;0"),"")</f>
        <v>5</v>
      </c>
      <c r="F41" s="39" t="n">
        <f aca="false">IFERROR(AVERAGEIFS(楊梅20km名錄!$P$2:$P$160,楊梅20km名錄!$F$2:$F$160,$A41,楊梅20km名錄!$P$2:$P$160,"&gt;0"),"")</f>
        <v>331.52</v>
      </c>
      <c r="G41" s="39" t="n">
        <f aca="false">IFERROR(AVERAGEIFS(楊梅20km名錄!$R$2:$R$160,楊梅20km名錄!$F$2:$F$160,$A41,楊梅20km名錄!$R$2:$R$160,"&gt;0"),"")</f>
        <v>17</v>
      </c>
      <c r="H41" s="35" t="n">
        <f aca="false">COUNTIFS(楊梅20km名錄!$F$2:$F$160,$A41,楊梅20km名錄!$M$2:$M$160,"大型")</f>
        <v>0</v>
      </c>
    </row>
    <row r="42" customFormat="false" ht="15" hidden="false" customHeight="false" outlineLevel="0" collapsed="false">
      <c r="A42" s="47" t="s">
        <v>996</v>
      </c>
      <c r="B42" s="35" t="n">
        <f aca="false">COUNTIF(楊梅20km名錄!$F$2:$F$160,$A42)</f>
        <v>1</v>
      </c>
      <c r="C42" s="35" t="n">
        <f aca="false">COUNTIFS(楊梅20km名錄!$F$2:$F$160,$A42,楊梅20km名錄!$D$2:$D$160,"&lt;&gt;")</f>
        <v>1</v>
      </c>
      <c r="D42" s="35" t="n">
        <f aca="false">COUNTIFS(楊梅20km名錄!$F$2:$F$160,$A42,楊梅20km名錄!$I$2:$I$160,"?*")</f>
        <v>1</v>
      </c>
      <c r="E42" s="39" t="n">
        <f aca="false">IFERROR(AVERAGEIFS(楊梅20km名錄!$N$2:$N$160,楊梅20km名錄!$F$2:$F$160,$A42,楊梅20km名錄!$N$2:$N$160,"&gt;0"),"")</f>
        <v>3</v>
      </c>
      <c r="F42" s="39" t="n">
        <f aca="false">IFERROR(AVERAGEIFS(楊梅20km名錄!$P$2:$P$160,楊梅20km名錄!$F$2:$F$160,$A42,楊梅20km名錄!$P$2:$P$160,"&gt;0"),"")</f>
        <v>157.44</v>
      </c>
      <c r="G42" s="39" t="n">
        <f aca="false">IFERROR(AVERAGEIFS(楊梅20km名錄!$R$2:$R$160,楊梅20km名錄!$F$2:$F$160,$A42,楊梅20km名錄!$R$2:$R$160,"&gt;0"),"")</f>
        <v>2</v>
      </c>
      <c r="H42" s="35" t="n">
        <f aca="false">COUNTIFS(楊梅20km名錄!$F$2:$F$160,$A42,楊梅20km名錄!$M$2:$M$160,"大型")</f>
        <v>0</v>
      </c>
    </row>
    <row r="44" customFormat="false" ht="15" hidden="false" customHeight="false" outlineLevel="0" collapsed="false">
      <c r="A44" s="5" t="s">
        <v>28756</v>
      </c>
    </row>
    <row r="45" customFormat="false" ht="15" hidden="false" customHeight="false" outlineLevel="0" collapsed="false">
      <c r="A45" s="48" t="s">
        <v>51</v>
      </c>
      <c r="B45" s="48" t="s">
        <v>28740</v>
      </c>
      <c r="C45" s="48" t="s">
        <v>28742</v>
      </c>
      <c r="D45" s="48" t="s">
        <v>28749</v>
      </c>
      <c r="E45" s="48" t="s">
        <v>28746</v>
      </c>
      <c r="F45" s="48" t="s">
        <v>28750</v>
      </c>
      <c r="G45" s="48" t="s">
        <v>39</v>
      </c>
      <c r="H45" s="48" t="s">
        <v>43</v>
      </c>
    </row>
    <row r="46" customFormat="false" ht="15" hidden="false" customHeight="false" outlineLevel="0" collapsed="false">
      <c r="A46" s="47" t="s">
        <v>79</v>
      </c>
      <c r="B46" s="35" t="n">
        <f aca="false">COUNTIF(全台英文補習班!$A$2:$A$4686,$A46)</f>
        <v>925</v>
      </c>
      <c r="C46" s="35" t="n">
        <f aca="false">COUNTIFS(全台英文補習班!$A$2:$A$4686,$A46,全台英文補習班!$F$2:$F$4686,"?*")</f>
        <v>885</v>
      </c>
      <c r="D46" s="39" t="n">
        <f aca="false">IFERROR(AVERAGEIFS(全台英文補習班!$H$2:$H$4686,全台英文補習班!$A$2:$A$4686,$A46,全台英文補習班!$H$2:$H$4686,"&gt;0"),"")</f>
        <v>3.84108108108108</v>
      </c>
      <c r="E46" s="39" t="n">
        <f aca="false">IFERROR(AVERAGEIFS(全台英文補習班!$J$2:$J$4686,全台英文補習班!$A$2:$A$4686,$A46,全台英文補習班!$J$2:$J$4686,"&gt;0"),"")</f>
        <v>213.045641774892</v>
      </c>
      <c r="F46" s="39" t="n">
        <f aca="false">IFERROR(AVERAGEIFS(全台英文補習班!$L$2:$L$4686,全台英文補習班!$A$2:$A$4686,$A46,全台英文補習班!$L$2:$L$4686,"&gt;0"),"")</f>
        <v>4.67069154774973</v>
      </c>
      <c r="G46" s="35" t="n">
        <f aca="false">COUNTIFS(全台英文補習班!$A$2:$A$4686,$A46,全台英文補習班!$G$2:$G$4686,"大型")</f>
        <v>110</v>
      </c>
      <c r="H46" s="35" t="n">
        <f aca="false">COUNTIFS(全台英文補習班!$A$2:$A$4686,$A46,全台英文補習班!$G$2:$G$4686,"小型")</f>
        <v>539</v>
      </c>
    </row>
    <row r="47" customFormat="false" ht="15" hidden="false" customHeight="false" outlineLevel="0" collapsed="false">
      <c r="A47" s="47" t="s">
        <v>850</v>
      </c>
      <c r="B47" s="35" t="n">
        <f aca="false">COUNTIF(全台英文補習班!$A$2:$A$4686,$A47)</f>
        <v>890</v>
      </c>
      <c r="C47" s="35" t="n">
        <f aca="false">COUNTIFS(全台英文補習班!$A$2:$A$4686,$A47,全台英文補習班!$F$2:$F$4686,"?*")</f>
        <v>496</v>
      </c>
      <c r="D47" s="39" t="n">
        <f aca="false">IFERROR(AVERAGEIFS(全台英文補習班!$H$2:$H$4686,全台英文補習班!$A$2:$A$4686,$A47,全台英文補習班!$H$2:$H$4686,"&gt;0"),"")</f>
        <v>4.14606741573034</v>
      </c>
      <c r="E47" s="39" t="n">
        <f aca="false">IFERROR(AVERAGEIFS(全台英文補習班!$J$2:$J$4686,全台英文補習班!$A$2:$A$4686,$A47,全台英文補習班!$J$2:$J$4686,"&gt;0"),"")</f>
        <v>205.498642294713</v>
      </c>
      <c r="F47" s="39" t="n">
        <f aca="false">IFERROR(AVERAGEIFS(全台英文補習班!$L$2:$L$4686,全台英文補習班!$A$2:$A$4686,$A47,全台英文補習班!$L$2:$L$4686,"&gt;0"),"")</f>
        <v>7.0406976744186</v>
      </c>
      <c r="G47" s="35" t="n">
        <f aca="false">COUNTIFS(全台英文補習班!$A$2:$A$4686,$A47,全台英文補習班!$G$2:$G$4686,"大型")</f>
        <v>120</v>
      </c>
      <c r="H47" s="35" t="n">
        <f aca="false">COUNTIFS(全台英文補習班!$A$2:$A$4686,$A47,全台英文補習班!$G$2:$G$4686,"小型")</f>
        <v>524</v>
      </c>
    </row>
    <row r="48" customFormat="false" ht="15" hidden="false" customHeight="false" outlineLevel="0" collapsed="false">
      <c r="A48" s="47" t="s">
        <v>1082</v>
      </c>
      <c r="B48" s="35" t="n">
        <f aca="false">COUNTIF(全台英文補習班!$A$2:$A$4686,$A48)</f>
        <v>531</v>
      </c>
      <c r="C48" s="35" t="n">
        <f aca="false">COUNTIFS(全台英文補習班!$A$2:$A$4686,$A48,全台英文補習班!$F$2:$F$4686,"?*")</f>
        <v>508</v>
      </c>
      <c r="D48" s="39" t="n">
        <f aca="false">IFERROR(AVERAGEIFS(全台英文補習班!$H$2:$H$4686,全台英文補習班!$A$2:$A$4686,$A48,全台英文補習班!$H$2:$H$4686,"&gt;0"),"")</f>
        <v>4.36158192090396</v>
      </c>
      <c r="E48" s="39" t="n">
        <f aca="false">IFERROR(AVERAGEIFS(全台英文補習班!$J$2:$J$4686,全台英文補習班!$A$2:$A$4686,$A48,全台英文補習班!$J$2:$J$4686,"&gt;0"),"")</f>
        <v>174.120741996234</v>
      </c>
      <c r="F48" s="39" t="n">
        <f aca="false">IFERROR(AVERAGEIFS(全台英文補習班!$L$2:$L$4686,全台英文補習班!$A$2:$A$4686,$A48,全台英文補習班!$L$2:$L$4686,"&gt;0"),"")</f>
        <v>14.3510436432638</v>
      </c>
      <c r="G48" s="35" t="n">
        <f aca="false">COUNTIFS(全台英文補習班!$A$2:$A$4686,$A48,全台英文補習班!$G$2:$G$4686,"大型")</f>
        <v>50</v>
      </c>
      <c r="H48" s="35" t="n">
        <f aca="false">COUNTIFS(全台英文補習班!$A$2:$A$4686,$A48,全台英文補習班!$G$2:$G$4686,"小型")</f>
        <v>355</v>
      </c>
    </row>
    <row r="49" customFormat="false" ht="15" hidden="false" customHeight="false" outlineLevel="0" collapsed="false">
      <c r="A49" s="47" t="s">
        <v>14933</v>
      </c>
      <c r="B49" s="35" t="n">
        <f aca="false">COUNTIF(全台英文補習班!$A$2:$A$4686,$A49)</f>
        <v>493</v>
      </c>
      <c r="C49" s="35" t="n">
        <f aca="false">COUNTIFS(全台英文補習班!$A$2:$A$4686,$A49,全台英文補習班!$F$2:$F$4686,"?*")</f>
        <v>341</v>
      </c>
      <c r="D49" s="39" t="n">
        <f aca="false">IFERROR(AVERAGEIFS(全台英文補習班!$H$2:$H$4686,全台英文補習班!$A$2:$A$4686,$A49,全台英文補習班!$H$2:$H$4686,"&gt;0"),"")</f>
        <v>4.44827586206897</v>
      </c>
      <c r="E49" s="39" t="n">
        <f aca="false">IFERROR(AVERAGEIFS(全台英文補習班!$J$2:$J$4686,全台英文補習班!$A$2:$A$4686,$A49,全台英文補習班!$J$2:$J$4686,"&gt;0"),"")</f>
        <v>282.287590816327</v>
      </c>
      <c r="F49" s="39" t="n">
        <f aca="false">IFERROR(AVERAGEIFS(全台英文補習班!$L$2:$L$4686,全台英文補習班!$A$2:$A$4686,$A49,全台英文補習班!$L$2:$L$4686,"&gt;0"),"")</f>
        <v>5.77702702702703</v>
      </c>
      <c r="G49" s="35" t="n">
        <f aca="false">COUNTIFS(全台英文補習班!$A$2:$A$4686,$A49,全台英文補習班!$G$2:$G$4686,"大型")</f>
        <v>103</v>
      </c>
      <c r="H49" s="35" t="n">
        <f aca="false">COUNTIFS(全台英文補習班!$A$2:$A$4686,$A49,全台英文補習班!$G$2:$G$4686,"小型")</f>
        <v>249</v>
      </c>
    </row>
    <row r="50" customFormat="false" ht="15" hidden="false" customHeight="false" outlineLevel="0" collapsed="false">
      <c r="A50" s="47" t="s">
        <v>23371</v>
      </c>
      <c r="B50" s="35" t="n">
        <f aca="false">COUNTIF(全台英文補習班!$A$2:$A$4686,$A50)</f>
        <v>291</v>
      </c>
      <c r="C50" s="35" t="n">
        <f aca="false">COUNTIFS(全台英文補習班!$A$2:$A$4686,$A50,全台英文補習班!$F$2:$F$4686,"?*")</f>
        <v>223</v>
      </c>
      <c r="D50" s="39" t="n">
        <f aca="false">IFERROR(AVERAGEIFS(全台英文補習班!$H$2:$H$4686,全台英文補習班!$A$2:$A$4686,$A50,全台英文補習班!$H$2:$H$4686,"&gt;0"),"")</f>
        <v>2.49310344827586</v>
      </c>
      <c r="E50" s="39" t="n">
        <f aca="false">IFERROR(AVERAGEIFS(全台英文補習班!$J$2:$J$4686,全台英文補習班!$A$2:$A$4686,$A50,全台英文補習班!$J$2:$J$4686,"&gt;0"),"")</f>
        <v>146.019496551724</v>
      </c>
      <c r="F50" s="39" t="n">
        <f aca="false">IFERROR(AVERAGEIFS(全台英文補習班!$L$2:$L$4686,全台英文補習班!$A$2:$A$4686,$A50,全台英文補習班!$L$2:$L$4686,"&gt;0"),"")</f>
        <v>3.22299651567944</v>
      </c>
      <c r="G50" s="35" t="n">
        <f aca="false">COUNTIFS(全台英文補習班!$A$2:$A$4686,$A50,全台英文補習班!$G$2:$G$4686,"大型")</f>
        <v>12</v>
      </c>
      <c r="H50" s="35" t="n">
        <f aca="false">COUNTIFS(全台英文補習班!$A$2:$A$4686,$A50,全台英文補習班!$G$2:$G$4686,"小型")</f>
        <v>248</v>
      </c>
    </row>
    <row r="51" customFormat="false" ht="15" hidden="false" customHeight="false" outlineLevel="0" collapsed="false">
      <c r="A51" s="47" t="s">
        <v>19480</v>
      </c>
      <c r="B51" s="35" t="n">
        <f aca="false">COUNTIF(全台英文補習班!$A$2:$A$4686,$A51)</f>
        <v>277</v>
      </c>
      <c r="C51" s="35" t="n">
        <f aca="false">COUNTIFS(全台英文補習班!$A$2:$A$4686,$A51,全台英文補習班!$F$2:$F$4686,"?*")</f>
        <v>265</v>
      </c>
      <c r="D51" s="39" t="n">
        <f aca="false">IFERROR(AVERAGEIFS(全台英文補習班!$H$2:$H$4686,全台英文補習班!$A$2:$A$4686,$A51,全台英文補習班!$H$2:$H$4686,"&gt;0"),"")</f>
        <v>4.34657039711191</v>
      </c>
      <c r="E51" s="39" t="n">
        <f aca="false">IFERROR(AVERAGEIFS(全台英文補習班!$J$2:$J$4686,全台英文補習班!$A$2:$A$4686,$A51,全台英文補習班!$J$2:$J$4686,"&gt;0"),"")</f>
        <v>239.419855595668</v>
      </c>
      <c r="F51" s="39" t="n">
        <f aca="false">IFERROR(AVERAGEIFS(全台英文補習班!$L$2:$L$4686,全台英文補習班!$A$2:$A$4686,$A51,全台英文補習班!$L$2:$L$4686,"&gt;0"),"")</f>
        <v>6.54166666666667</v>
      </c>
      <c r="G51" s="35" t="n">
        <f aca="false">COUNTIFS(全台英文補習班!$A$2:$A$4686,$A51,全台英文補習班!$G$2:$G$4686,"大型")</f>
        <v>49</v>
      </c>
      <c r="H51" s="35" t="n">
        <f aca="false">COUNTIFS(全台英文補習班!$A$2:$A$4686,$A51,全台英文補習班!$G$2:$G$4686,"小型")</f>
        <v>143</v>
      </c>
    </row>
    <row r="52" customFormat="false" ht="15" hidden="false" customHeight="false" outlineLevel="0" collapsed="false">
      <c r="A52" s="47" t="s">
        <v>17956</v>
      </c>
      <c r="B52" s="35" t="n">
        <f aca="false">COUNTIF(全台英文補習班!$A$2:$A$4686,$A52)</f>
        <v>259</v>
      </c>
      <c r="C52" s="35" t="n">
        <f aca="false">COUNTIFS(全台英文補習班!$A$2:$A$4686,$A52,全台英文補習班!$F$2:$F$4686,"?*")</f>
        <v>207</v>
      </c>
      <c r="D52" s="39" t="n">
        <f aca="false">IFERROR(AVERAGEIFS(全台英文補習班!$H$2:$H$4686,全台英文補習班!$A$2:$A$4686,$A52,全台英文補習班!$H$2:$H$4686,"&gt;0"),"")</f>
        <v>3.1042471042471</v>
      </c>
      <c r="E52" s="39" t="n">
        <f aca="false">IFERROR(AVERAGEIFS(全台英文補習班!$J$2:$J$4686,全台英文補習班!$A$2:$A$4686,$A52,全台英文補習班!$J$2:$J$4686,"&gt;0"),"")</f>
        <v>179.691965250965</v>
      </c>
      <c r="F52" s="39" t="n">
        <f aca="false">IFERROR(AVERAGEIFS(全台英文補習班!$L$2:$L$4686,全台英文補習班!$A$2:$A$4686,$A52,全台英文補習班!$L$2:$L$4686,"&gt;0"),"")</f>
        <v>4.2093023255814</v>
      </c>
      <c r="G52" s="35" t="n">
        <f aca="false">COUNTIFS(全台英文補習班!$A$2:$A$4686,$A52,全台英文補習班!$G$2:$G$4686,"大型")</f>
        <v>24</v>
      </c>
      <c r="H52" s="35" t="n">
        <f aca="false">COUNTIFS(全台英文補習班!$A$2:$A$4686,$A52,全台英文補習班!$G$2:$G$4686,"小型")</f>
        <v>189</v>
      </c>
    </row>
    <row r="53" customFormat="false" ht="15" hidden="false" customHeight="false" outlineLevel="0" collapsed="false">
      <c r="A53" s="47" t="s">
        <v>21337</v>
      </c>
      <c r="B53" s="35" t="n">
        <f aca="false">COUNTIF(全台英文補習班!$A$2:$A$4686,$A53)</f>
        <v>169</v>
      </c>
      <c r="C53" s="35" t="n">
        <f aca="false">COUNTIFS(全台英文補習班!$A$2:$A$4686,$A53,全台英文補習班!$F$2:$F$4686,"?*")</f>
        <v>158</v>
      </c>
      <c r="D53" s="39" t="n">
        <f aca="false">IFERROR(AVERAGEIFS(全台英文補習班!$H$2:$H$4686,全台英文補習班!$A$2:$A$4686,$A53,全台英文補習班!$H$2:$H$4686,"&gt;0"),"")</f>
        <v>5.00591715976331</v>
      </c>
      <c r="E53" s="39" t="n">
        <f aca="false">IFERROR(AVERAGEIFS(全台英文補習班!$J$2:$J$4686,全台英文補習班!$A$2:$A$4686,$A53,全台英文補習班!$J$2:$J$4686,"&gt;0"),"")</f>
        <v>263.384289940828</v>
      </c>
      <c r="F53" s="39" t="n">
        <f aca="false">IFERROR(AVERAGEIFS(全台英文補習班!$L$2:$L$4686,全台英文補習班!$A$2:$A$4686,$A53,全台英文補習班!$L$2:$L$4686,"&gt;0"),"")</f>
        <v>6.20710059171598</v>
      </c>
      <c r="G53" s="35" t="n">
        <f aca="false">COUNTIFS(全台英文補習班!$A$2:$A$4686,$A53,全台英文補習班!$G$2:$G$4686,"大型")</f>
        <v>38</v>
      </c>
      <c r="H53" s="35" t="n">
        <f aca="false">COUNTIFS(全台英文補習班!$A$2:$A$4686,$A53,全台英文補習班!$G$2:$G$4686,"小型")</f>
        <v>83</v>
      </c>
    </row>
    <row r="54" customFormat="false" ht="15" hidden="false" customHeight="false" outlineLevel="0" collapsed="false">
      <c r="A54" s="47" t="s">
        <v>26556</v>
      </c>
      <c r="B54" s="35" t="n">
        <f aca="false">COUNTIF(全台英文補習班!$A$2:$A$4686,$A54)</f>
        <v>148</v>
      </c>
      <c r="C54" s="35" t="n">
        <f aca="false">COUNTIFS(全台英文補習班!$A$2:$A$4686,$A54,全台英文補習班!$F$2:$F$4686,"?*")</f>
        <v>92</v>
      </c>
      <c r="D54" s="39" t="n">
        <f aca="false">IFERROR(AVERAGEIFS(全台英文補習班!$H$2:$H$4686,全台英文補習班!$A$2:$A$4686,$A54,全台英文補習班!$H$2:$H$4686,"&gt;0"),"")</f>
        <v>3.13513513513514</v>
      </c>
      <c r="E54" s="39" t="n">
        <f aca="false">IFERROR(AVERAGEIFS(全台英文補習班!$J$2:$J$4686,全台英文補習班!$A$2:$A$4686,$A54,全台英文補習班!$J$2:$J$4686,"&gt;0"),"")</f>
        <v>176.989905405405</v>
      </c>
      <c r="F54" s="39" t="n">
        <f aca="false">IFERROR(AVERAGEIFS(全台英文補習班!$L$2:$L$4686,全台英文補習班!$A$2:$A$4686,$A54,全台英文補習班!$L$2:$L$4686,"&gt;0"),"")</f>
        <v>3.70629370629371</v>
      </c>
      <c r="G54" s="35" t="n">
        <f aca="false">COUNTIFS(全台英文補習班!$A$2:$A$4686,$A54,全台英文補習班!$G$2:$G$4686,"大型")</f>
        <v>11</v>
      </c>
      <c r="H54" s="35" t="n">
        <f aca="false">COUNTIFS(全台英文補習班!$A$2:$A$4686,$A54,全台英文補習班!$G$2:$G$4686,"小型")</f>
        <v>106</v>
      </c>
    </row>
    <row r="55" customFormat="false" ht="15" hidden="false" customHeight="false" outlineLevel="0" collapsed="false">
      <c r="A55" s="47" t="s">
        <v>686</v>
      </c>
      <c r="B55" s="35" t="n">
        <f aca="false">COUNTIF(全台英文補習班!$A$2:$A$4686,$A55)</f>
        <v>112</v>
      </c>
      <c r="C55" s="35" t="n">
        <f aca="false">COUNTIFS(全台英文補習班!$A$2:$A$4686,$A55,全台英文補習班!$F$2:$F$4686,"?*")</f>
        <v>107</v>
      </c>
      <c r="D55" s="39" t="n">
        <f aca="false">IFERROR(AVERAGEIFS(全台英文補習班!$H$2:$H$4686,全台英文補習班!$A$2:$A$4686,$A55,全台英文補習班!$H$2:$H$4686,"&gt;0"),"")</f>
        <v>4.00892857142857</v>
      </c>
      <c r="E55" s="39" t="n">
        <f aca="false">IFERROR(AVERAGEIFS(全台英文補習班!$J$2:$J$4686,全台英文補習班!$A$2:$A$4686,$A55,全台英文補習班!$J$2:$J$4686,"&gt;0"),"")</f>
        <v>253.514464285714</v>
      </c>
      <c r="F55" s="39" t="n">
        <f aca="false">IFERROR(AVERAGEIFS(全台英文補習班!$L$2:$L$4686,全台英文補習班!$A$2:$A$4686,$A55,全台英文補習班!$L$2:$L$4686,"&gt;0"),"")</f>
        <v>8.86486486486487</v>
      </c>
      <c r="G55" s="35" t="n">
        <f aca="false">COUNTIFS(全台英文補習班!$A$2:$A$4686,$A55,全台英文補習班!$G$2:$G$4686,"大型")</f>
        <v>20</v>
      </c>
      <c r="H55" s="35" t="n">
        <f aca="false">COUNTIFS(全台英文補習班!$A$2:$A$4686,$A55,全台英文補習班!$G$2:$G$4686,"小型")</f>
        <v>59</v>
      </c>
    </row>
    <row r="56" customFormat="false" ht="15" hidden="false" customHeight="false" outlineLevel="0" collapsed="false">
      <c r="A56" s="47" t="s">
        <v>25918</v>
      </c>
      <c r="B56" s="35" t="n">
        <f aca="false">COUNTIF(全台英文補習班!$A$2:$A$4686,$A56)</f>
        <v>112</v>
      </c>
      <c r="C56" s="35" t="n">
        <f aca="false">COUNTIFS(全台英文補習班!$A$2:$A$4686,$A56,全台英文補習班!$F$2:$F$4686,"?*")</f>
        <v>94</v>
      </c>
      <c r="D56" s="39" t="n">
        <f aca="false">IFERROR(AVERAGEIFS(全台英文補習班!$H$2:$H$4686,全台英文補習班!$A$2:$A$4686,$A56,全台英文補習班!$H$2:$H$4686,"&gt;0"),"")</f>
        <v>3.03571428571429</v>
      </c>
      <c r="E56" s="39" t="n">
        <f aca="false">IFERROR(AVERAGEIFS(全台英文補習班!$J$2:$J$4686,全台英文補習班!$A$2:$A$4686,$A56,全台英文補習班!$J$2:$J$4686,"&gt;0"),"")</f>
        <v>131.6031875</v>
      </c>
      <c r="F56" s="39" t="n">
        <f aca="false">IFERROR(AVERAGEIFS(全台英文補習班!$L$2:$L$4686,全台英文補習班!$A$2:$A$4686,$A56,全台英文補習班!$L$2:$L$4686,"&gt;0"),"")</f>
        <v>3.24107142857143</v>
      </c>
      <c r="G56" s="35" t="n">
        <f aca="false">COUNTIFS(全台英文補習班!$A$2:$A$4686,$A56,全台英文補習班!$G$2:$G$4686,"大型")</f>
        <v>6</v>
      </c>
      <c r="H56" s="35" t="n">
        <f aca="false">COUNTIFS(全台英文補習班!$A$2:$A$4686,$A56,全台英文補習班!$G$2:$G$4686,"小型")</f>
        <v>87</v>
      </c>
    </row>
    <row r="57" customFormat="false" ht="15" hidden="false" customHeight="false" outlineLevel="0" collapsed="false">
      <c r="A57" s="47" t="s">
        <v>27359</v>
      </c>
      <c r="B57" s="35" t="n">
        <f aca="false">COUNTIF(全台英文補習班!$A$2:$A$4686,$A57)</f>
        <v>99</v>
      </c>
      <c r="C57" s="35" t="n">
        <f aca="false">COUNTIFS(全台英文補習班!$A$2:$A$4686,$A57,全台英文補習班!$F$2:$F$4686,"?*")</f>
        <v>80</v>
      </c>
      <c r="D57" s="39" t="n">
        <f aca="false">IFERROR(AVERAGEIFS(全台英文補習班!$H$2:$H$4686,全台英文補習班!$A$2:$A$4686,$A57,全台英文補習班!$H$2:$H$4686,"&gt;0"),"")</f>
        <v>4.12121212121212</v>
      </c>
      <c r="E57" s="39" t="n">
        <f aca="false">IFERROR(AVERAGEIFS(全台英文補習班!$J$2:$J$4686,全台英文補習班!$A$2:$A$4686,$A57,全台英文補習班!$J$2:$J$4686,"&gt;0"),"")</f>
        <v>239.373737373737</v>
      </c>
      <c r="F57" s="39" t="n">
        <f aca="false">IFERROR(AVERAGEIFS(全台英文補習班!$L$2:$L$4686,全台英文補習班!$A$2:$A$4686,$A57,全台英文補習班!$L$2:$L$4686,"&gt;0"),"")</f>
        <v>5.32323232323232</v>
      </c>
      <c r="G57" s="35" t="n">
        <f aca="false">COUNTIFS(全台英文補習班!$A$2:$A$4686,$A57,全台英文補習班!$G$2:$G$4686,"大型")</f>
        <v>15</v>
      </c>
      <c r="H57" s="35" t="n">
        <f aca="false">COUNTIFS(全台英文補習班!$A$2:$A$4686,$A57,全台英文補習班!$G$2:$G$4686,"小型")</f>
        <v>57</v>
      </c>
    </row>
    <row r="58" customFormat="false" ht="15" hidden="false" customHeight="false" outlineLevel="0" collapsed="false">
      <c r="A58" s="47" t="s">
        <v>22967</v>
      </c>
      <c r="B58" s="35" t="n">
        <f aca="false">COUNTIF(全台英文補習班!$A$2:$A$4686,$A58)</f>
        <v>70</v>
      </c>
      <c r="C58" s="35" t="n">
        <f aca="false">COUNTIFS(全台英文補習班!$A$2:$A$4686,$A58,全台英文補習班!$F$2:$F$4686,"?*")</f>
        <v>59</v>
      </c>
      <c r="D58" s="39" t="n">
        <f aca="false">IFERROR(AVERAGEIFS(全台英文補習班!$H$2:$H$4686,全台英文補習班!$A$2:$A$4686,$A58,全台英文補習班!$H$2:$H$4686,"&gt;0"),"")</f>
        <v>3.42857142857143</v>
      </c>
      <c r="E58" s="39" t="n">
        <f aca="false">IFERROR(AVERAGEIFS(全台英文補習班!$J$2:$J$4686,全台英文補習班!$A$2:$A$4686,$A58,全台英文補習班!$J$2:$J$4686,"&gt;0"),"")</f>
        <v>192.620285714286</v>
      </c>
      <c r="F58" s="39" t="n">
        <f aca="false">IFERROR(AVERAGEIFS(全台英文補習班!$L$2:$L$4686,全台英文補習班!$A$2:$A$4686,$A58,全台英文補習班!$L$2:$L$4686,"&gt;0"),"")</f>
        <v>3.59420289855072</v>
      </c>
      <c r="G58" s="35" t="n">
        <f aca="false">COUNTIFS(全台英文補習班!$A$2:$A$4686,$A58,全台英文補習班!$G$2:$G$4686,"大型")</f>
        <v>5</v>
      </c>
      <c r="H58" s="35" t="n">
        <f aca="false">COUNTIFS(全台英文補習班!$A$2:$A$4686,$A58,全台英文補習班!$G$2:$G$4686,"小型")</f>
        <v>45</v>
      </c>
    </row>
    <row r="59" customFormat="false" ht="15" hidden="false" customHeight="false" outlineLevel="0" collapsed="false">
      <c r="A59" s="47" t="s">
        <v>25529</v>
      </c>
      <c r="B59" s="35" t="n">
        <f aca="false">COUNTIF(全台英文補習班!$A$2:$A$4686,$A59)</f>
        <v>65</v>
      </c>
      <c r="C59" s="35" t="n">
        <f aca="false">COUNTIFS(全台英文補習班!$A$2:$A$4686,$A59,全台英文補習班!$F$2:$F$4686,"?*")</f>
        <v>61</v>
      </c>
      <c r="D59" s="39" t="n">
        <f aca="false">IFERROR(AVERAGEIFS(全台英文補習班!$H$2:$H$4686,全台英文補習班!$A$2:$A$4686,$A59,全台英文補習班!$H$2:$H$4686,"&gt;0"),"")</f>
        <v>3.29230769230769</v>
      </c>
      <c r="E59" s="39" t="n">
        <f aca="false">IFERROR(AVERAGEIFS(全台英文補習班!$J$2:$J$4686,全台英文補習班!$A$2:$A$4686,$A59,全台英文補習班!$J$2:$J$4686,"&gt;0"),"")</f>
        <v>229.581338461538</v>
      </c>
      <c r="F59" s="39" t="n">
        <f aca="false">IFERROR(AVERAGEIFS(全台英文補習班!$L$2:$L$4686,全台英文補習班!$A$2:$A$4686,$A59,全台英文補習班!$L$2:$L$4686,"&gt;0"),"")</f>
        <v>4.4</v>
      </c>
      <c r="G59" s="35" t="n">
        <f aca="false">COUNTIFS(全台英文補習班!$A$2:$A$4686,$A59,全台英文補習班!$G$2:$G$4686,"大型")</f>
        <v>10</v>
      </c>
      <c r="H59" s="35" t="n">
        <f aca="false">COUNTIFS(全台英文補習班!$A$2:$A$4686,$A59,全台英文補習班!$G$2:$G$4686,"小型")</f>
        <v>33</v>
      </c>
    </row>
    <row r="60" customFormat="false" ht="15" hidden="false" customHeight="false" outlineLevel="0" collapsed="false">
      <c r="A60" s="47" t="s">
        <v>27937</v>
      </c>
      <c r="B60" s="35" t="n">
        <f aca="false">COUNTIF(全台英文補習班!$A$2:$A$4686,$A60)</f>
        <v>65</v>
      </c>
      <c r="C60" s="35" t="n">
        <f aca="false">COUNTIFS(全台英文補習班!$A$2:$A$4686,$A60,全台英文補習班!$F$2:$F$4686,"?*")</f>
        <v>62</v>
      </c>
      <c r="D60" s="39" t="n">
        <f aca="false">IFERROR(AVERAGEIFS(全台英文補習班!$H$2:$H$4686,全台英文補習班!$A$2:$A$4686,$A60,全台英文補習班!$H$2:$H$4686,"&gt;0"),"")</f>
        <v>4.30769230769231</v>
      </c>
      <c r="E60" s="39" t="n">
        <f aca="false">IFERROR(AVERAGEIFS(全台英文補習班!$J$2:$J$4686,全台英文補習班!$A$2:$A$4686,$A60,全台英文補習班!$J$2:$J$4686,"&gt;0"),"")</f>
        <v>222.155461538462</v>
      </c>
      <c r="F60" s="39" t="n">
        <f aca="false">IFERROR(AVERAGEIFS(全台英文補習班!$L$2:$L$4686,全台英文補習班!$A$2:$A$4686,$A60,全台英文補習班!$L$2:$L$4686,"&gt;0"),"")</f>
        <v>4.69230769230769</v>
      </c>
      <c r="G60" s="35" t="n">
        <f aca="false">COUNTIFS(全台英文補習班!$A$2:$A$4686,$A60,全台英文補習班!$G$2:$G$4686,"大型")</f>
        <v>10</v>
      </c>
      <c r="H60" s="35" t="n">
        <f aca="false">COUNTIFS(全台英文補習班!$A$2:$A$4686,$A60,全台英文補習班!$G$2:$G$4686,"小型")</f>
        <v>28</v>
      </c>
    </row>
    <row r="61" customFormat="false" ht="15" hidden="false" customHeight="false" outlineLevel="0" collapsed="false">
      <c r="A61" s="47" t="s">
        <v>25044</v>
      </c>
      <c r="B61" s="35" t="n">
        <f aca="false">COUNTIF(全台英文補習班!$A$2:$A$4686,$A61)</f>
        <v>39</v>
      </c>
      <c r="C61" s="35" t="n">
        <f aca="false">COUNTIFS(全台英文補習班!$A$2:$A$4686,$A61,全台英文補習班!$F$2:$F$4686,"?*")</f>
        <v>35</v>
      </c>
      <c r="D61" s="39" t="n">
        <f aca="false">IFERROR(AVERAGEIFS(全台英文補習班!$H$2:$H$4686,全台英文補習班!$A$2:$A$4686,$A61,全台英文補習班!$H$2:$H$4686,"&gt;0"),"")</f>
        <v>3</v>
      </c>
      <c r="E61" s="39" t="n">
        <f aca="false">IFERROR(AVERAGEIFS(全台英文補習班!$J$2:$J$4686,全台英文補習班!$A$2:$A$4686,$A61,全台英文補習班!$J$2:$J$4686,"&gt;0"),"")</f>
        <v>176.917179487179</v>
      </c>
      <c r="F61" s="39" t="n">
        <f aca="false">IFERROR(AVERAGEIFS(全台英文補習班!$L$2:$L$4686,全台英文補習班!$A$2:$A$4686,$A61,全台英文補習班!$L$2:$L$4686,"&gt;0"),"")</f>
        <v>6.02631578947368</v>
      </c>
      <c r="G61" s="35" t="n">
        <f aca="false">COUNTIFS(全台英文補習班!$A$2:$A$4686,$A61,全台英文補習班!$G$2:$G$4686,"大型")</f>
        <v>4</v>
      </c>
      <c r="H61" s="35" t="n">
        <f aca="false">COUNTIFS(全台英文補習班!$A$2:$A$4686,$A61,全台英文補習班!$G$2:$G$4686,"小型")</f>
        <v>31</v>
      </c>
    </row>
    <row r="62" customFormat="false" ht="15" hidden="false" customHeight="false" outlineLevel="0" collapsed="false">
      <c r="A62" s="47" t="s">
        <v>25280</v>
      </c>
      <c r="B62" s="35" t="n">
        <f aca="false">COUNTIF(全台英文補習班!$A$2:$A$4686,$A62)</f>
        <v>39</v>
      </c>
      <c r="C62" s="35" t="n">
        <f aca="false">COUNTIFS(全台英文補習班!$A$2:$A$4686,$A62,全台英文補習班!$F$2:$F$4686,"?*")</f>
        <v>37</v>
      </c>
      <c r="D62" s="39" t="n">
        <f aca="false">IFERROR(AVERAGEIFS(全台英文補習班!$H$2:$H$4686,全台英文補習班!$A$2:$A$4686,$A62,全台英文補習班!$H$2:$H$4686,"&gt;0"),"")</f>
        <v>3.07692307692308</v>
      </c>
      <c r="E62" s="39" t="n">
        <f aca="false">IFERROR(AVERAGEIFS(全台英文補習班!$J$2:$J$4686,全台英文補習班!$A$2:$A$4686,$A62,全台英文補習班!$J$2:$J$4686,"&gt;0"),"")</f>
        <v>177.133435897436</v>
      </c>
      <c r="F62" s="39" t="n">
        <f aca="false">IFERROR(AVERAGEIFS(全台英文補習班!$L$2:$L$4686,全台英文補習班!$A$2:$A$4686,$A62,全台英文補習班!$L$2:$L$4686,"&gt;0"),"")</f>
        <v>3.61538461538462</v>
      </c>
      <c r="G62" s="35" t="n">
        <f aca="false">COUNTIFS(全台英文補習班!$A$2:$A$4686,$A62,全台英文補習班!$G$2:$G$4686,"大型")</f>
        <v>5</v>
      </c>
      <c r="H62" s="35" t="n">
        <f aca="false">COUNTIFS(全台英文補習班!$A$2:$A$4686,$A62,全台英文補習班!$G$2:$G$4686,"小型")</f>
        <v>28</v>
      </c>
    </row>
    <row r="63" customFormat="false" ht="15" hidden="false" customHeight="false" outlineLevel="0" collapsed="false">
      <c r="A63" s="47" t="s">
        <v>28316</v>
      </c>
      <c r="B63" s="35" t="n">
        <f aca="false">COUNTIF(全台英文補習班!$A$2:$A$4686,$A63)</f>
        <v>37</v>
      </c>
      <c r="C63" s="35" t="n">
        <f aca="false">COUNTIFS(全台英文補習班!$A$2:$A$4686,$A63,全台英文補習班!$F$2:$F$4686,"?*")</f>
        <v>31</v>
      </c>
      <c r="D63" s="39" t="n">
        <f aca="false">IFERROR(AVERAGEIFS(全台英文補習班!$H$2:$H$4686,全台英文補習班!$A$2:$A$4686,$A63,全台英文補習班!$H$2:$H$4686,"&gt;0"),"")</f>
        <v>2.43243243243243</v>
      </c>
      <c r="E63" s="39" t="n">
        <f aca="false">IFERROR(AVERAGEIFS(全台英文補習班!$J$2:$J$4686,全台英文補習班!$A$2:$A$4686,$A63,全台英文補習班!$J$2:$J$4686,"&gt;0"),"")</f>
        <v>148.35972972973</v>
      </c>
      <c r="F63" s="39" t="n">
        <f aca="false">IFERROR(AVERAGEIFS(全台英文補習班!$L$2:$L$4686,全台英文補習班!$A$2:$A$4686,$A63,全台英文補習班!$L$2:$L$4686,"&gt;0"),"")</f>
        <v>3.27027027027027</v>
      </c>
      <c r="G63" s="35" t="n">
        <f aca="false">COUNTIFS(全台英文補習班!$A$2:$A$4686,$A63,全台英文補習班!$G$2:$G$4686,"大型")</f>
        <v>2</v>
      </c>
      <c r="H63" s="35" t="n">
        <f aca="false">COUNTIFS(全台英文補習班!$A$2:$A$4686,$A63,全台英文補習班!$G$2:$G$4686,"小型")</f>
        <v>26</v>
      </c>
    </row>
    <row r="64" customFormat="false" ht="15" hidden="false" customHeight="false" outlineLevel="0" collapsed="false">
      <c r="A64" s="47" t="s">
        <v>21152</v>
      </c>
      <c r="B64" s="35" t="n">
        <f aca="false">COUNTIF(全台英文補習班!$A$2:$A$4686,$A64)</f>
        <v>27</v>
      </c>
      <c r="C64" s="35" t="n">
        <f aca="false">COUNTIFS(全台英文補習班!$A$2:$A$4686,$A64,全台英文補習班!$F$2:$F$4686,"?*")</f>
        <v>26</v>
      </c>
      <c r="D64" s="39" t="n">
        <f aca="false">IFERROR(AVERAGEIFS(全台英文補習班!$H$2:$H$4686,全台英文補習班!$A$2:$A$4686,$A64,全台英文補習班!$H$2:$H$4686,"&gt;0"),"")</f>
        <v>4.62962962962963</v>
      </c>
      <c r="E64" s="39" t="n">
        <f aca="false">IFERROR(AVERAGEIFS(全台英文補習班!$J$2:$J$4686,全台英文補習班!$A$2:$A$4686,$A64,全台英文補習班!$J$2:$J$4686,"&gt;0"),"")</f>
        <v>252.455185185185</v>
      </c>
      <c r="F64" s="39" t="n">
        <f aca="false">IFERROR(AVERAGEIFS(全台英文補習班!$L$2:$L$4686,全台英文補習班!$A$2:$A$4686,$A64,全台英文補習班!$L$2:$L$4686,"&gt;0"),"")</f>
        <v>8.73076923076923</v>
      </c>
      <c r="G64" s="35" t="n">
        <f aca="false">COUNTIFS(全台英文補習班!$A$2:$A$4686,$A64,全台英文補習班!$G$2:$G$4686,"大型")</f>
        <v>6</v>
      </c>
      <c r="H64" s="35" t="n">
        <f aca="false">COUNTIFS(全台英文補習班!$A$2:$A$4686,$A64,全台英文補習班!$G$2:$G$4686,"小型")</f>
        <v>14</v>
      </c>
    </row>
    <row r="65" customFormat="false" ht="15" hidden="false" customHeight="false" outlineLevel="0" collapsed="false">
      <c r="A65" s="47" t="s">
        <v>28526</v>
      </c>
      <c r="B65" s="35" t="n">
        <f aca="false">COUNTIF(全台英文補習班!$A$2:$A$4686,$A65)</f>
        <v>18</v>
      </c>
      <c r="C65" s="35" t="n">
        <f aca="false">COUNTIFS(全台英文補習班!$A$2:$A$4686,$A65,全台英文補習班!$F$2:$F$4686,"?*")</f>
        <v>5</v>
      </c>
      <c r="D65" s="39" t="n">
        <f aca="false">IFERROR(AVERAGEIFS(全台英文補習班!$H$2:$H$4686,全台英文補習班!$A$2:$A$4686,$A65,全台英文補習班!$H$2:$H$4686,"&gt;0"),"")</f>
        <v>2.38888888888889</v>
      </c>
      <c r="E65" s="39" t="n">
        <f aca="false">IFERROR(AVERAGEIFS(全台英文補習班!$J$2:$J$4686,全台英文補習班!$A$2:$A$4686,$A65,全台英文補習班!$J$2:$J$4686,"&gt;0"),"")</f>
        <v>158.333611111111</v>
      </c>
      <c r="F65" s="39" t="n">
        <f aca="false">IFERROR(AVERAGEIFS(全台英文補習班!$L$2:$L$4686,全台英文補習班!$A$2:$A$4686,$A65,全台英文補習班!$L$2:$L$4686,"&gt;0"),"")</f>
        <v>2.33333333333333</v>
      </c>
      <c r="G65" s="35" t="n">
        <f aca="false">COUNTIFS(全台英文補習班!$A$2:$A$4686,$A65,全台英文補習班!$G$2:$G$4686,"大型")</f>
        <v>4</v>
      </c>
      <c r="H65" s="35" t="n">
        <f aca="false">COUNTIFS(全台英文補習班!$A$2:$A$4686,$A65,全台英文補習班!$G$2:$G$4686,"小型")</f>
        <v>14</v>
      </c>
    </row>
    <row r="66" customFormat="false" ht="15" hidden="false" customHeight="false" outlineLevel="0" collapsed="false">
      <c r="A66" s="47" t="s">
        <v>28620</v>
      </c>
      <c r="B66" s="35" t="n">
        <f aca="false">COUNTIF(全台英文補習班!$A$2:$A$4686,$A66)</f>
        <v>17</v>
      </c>
      <c r="C66" s="35" t="n">
        <f aca="false">COUNTIFS(全台英文補習班!$A$2:$A$4686,$A66,全台英文補習班!$F$2:$F$4686,"?*")</f>
        <v>16</v>
      </c>
      <c r="D66" s="39" t="n">
        <f aca="false">IFERROR(AVERAGEIFS(全台英文補習班!$H$2:$H$4686,全台英文補習班!$A$2:$A$4686,$A66,全台英文補習班!$H$2:$H$4686,"&gt;0"),"")</f>
        <v>2.76470588235294</v>
      </c>
      <c r="E66" s="39" t="n">
        <f aca="false">IFERROR(AVERAGEIFS(全台英文補習班!$J$2:$J$4686,全台英文補習班!$A$2:$A$4686,$A66,全台英文補習班!$J$2:$J$4686,"&gt;0"),"")</f>
        <v>156.814</v>
      </c>
      <c r="F66" s="39" t="n">
        <f aca="false">IFERROR(AVERAGEIFS(全台英文補習班!$L$2:$L$4686,全台英文補習班!$A$2:$A$4686,$A66,全台英文補習班!$L$2:$L$4686,"&gt;0"),"")</f>
        <v>5</v>
      </c>
      <c r="G66" s="35" t="n">
        <f aca="false">COUNTIFS(全台英文補習班!$A$2:$A$4686,$A66,全台英文補習班!$G$2:$G$4686,"大型")</f>
        <v>1</v>
      </c>
      <c r="H66" s="35" t="n">
        <f aca="false">COUNTIFS(全台英文補習班!$A$2:$A$4686,$A66,全台英文補習班!$G$2:$G$4686,"小型")</f>
        <v>13</v>
      </c>
    </row>
    <row r="67" customFormat="false" ht="15" hidden="false" customHeight="false" outlineLevel="0" collapsed="false">
      <c r="A67" s="47" t="s">
        <v>28723</v>
      </c>
      <c r="B67" s="35" t="n">
        <f aca="false">COUNTIF(全台英文補習班!$A$2:$A$4686,$A67)</f>
        <v>2</v>
      </c>
      <c r="C67" s="35" t="n">
        <f aca="false">COUNTIFS(全台英文補習班!$A$2:$A$4686,$A67,全台英文補習班!$F$2:$F$4686,"?*")</f>
        <v>2</v>
      </c>
      <c r="D67" s="39" t="n">
        <f aca="false">IFERROR(AVERAGEIFS(全台英文補習班!$H$2:$H$4686,全台英文補習班!$A$2:$A$4686,$A67,全台英文補習班!$H$2:$H$4686,"&gt;0"),"")</f>
        <v>2.5</v>
      </c>
      <c r="E67" s="39" t="n">
        <f aca="false">IFERROR(AVERAGEIFS(全台英文補習班!$J$2:$J$4686,全台英文補習班!$A$2:$A$4686,$A67,全台英文補習班!$J$2:$J$4686,"&gt;0"),"")</f>
        <v>133.155</v>
      </c>
      <c r="F67" s="39" t="n">
        <f aca="false">IFERROR(AVERAGEIFS(全台英文補習班!$L$2:$L$4686,全台英文補習班!$A$2:$A$4686,$A67,全台英文補習班!$L$2:$L$4686,"&gt;0"),"")</f>
        <v>3</v>
      </c>
      <c r="G67" s="35" t="n">
        <f aca="false">COUNTIFS(全台英文補習班!$A$2:$A$4686,$A67,全台英文補習班!$G$2:$G$4686,"大型")</f>
        <v>0</v>
      </c>
      <c r="H67" s="35" t="n">
        <f aca="false">COUNTIFS(全台英文補習班!$A$2:$A$4686,$A67,全台英文補習班!$G$2:$G$4686,"小型")</f>
        <v>2</v>
      </c>
    </row>
    <row r="68" customFormat="false" ht="15" hidden="false" customHeight="false" outlineLevel="0" collapsed="false">
      <c r="A68" s="3" t="s">
        <v>28757</v>
      </c>
      <c r="B68" s="35" t="n">
        <f aca="false">SUM(B46:B67)</f>
        <v>4685</v>
      </c>
      <c r="C68" s="35" t="n">
        <f aca="false">SUM(C46:C67)</f>
        <v>3790</v>
      </c>
      <c r="G68" s="35" t="n">
        <f aca="false">SUM(G46:G67)</f>
        <v>605</v>
      </c>
      <c r="H68" s="35" t="n">
        <f aca="false">SUM(H46:H67)</f>
        <v>2873</v>
      </c>
    </row>
    <row r="70" customFormat="false" ht="15" hidden="false" customHeight="false" outlineLevel="0" collapsed="false">
      <c r="A70" s="49" t="s">
        <v>28758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46"/>
    <col collapsed="false" customWidth="true" hidden="false" outlineLevel="0" max="3" min="3" style="0" width="10"/>
    <col collapsed="false" customWidth="true" hidden="false" outlineLevel="0" max="4" min="4" style="0" width="36"/>
    <col collapsed="false" customWidth="true" hidden="false" outlineLevel="0" max="5" min="5" style="0" width="15"/>
    <col collapsed="false" customWidth="true" hidden="false" outlineLevel="0" max="6" min="6" style="0" width="7"/>
    <col collapsed="false" customWidth="true" hidden="false" outlineLevel="0" max="7" min="7" style="0" width="8"/>
    <col collapsed="false" customWidth="true" hidden="false" outlineLevel="0" max="8" min="8" style="0" width="12"/>
  </cols>
  <sheetData>
    <row r="1" customFormat="false" ht="30" hidden="false" customHeight="true" outlineLevel="0" collapsed="false">
      <c r="A1" s="50" t="s">
        <v>48</v>
      </c>
      <c r="B1" s="50" t="s">
        <v>28759</v>
      </c>
      <c r="C1" s="50" t="s">
        <v>52</v>
      </c>
      <c r="D1" s="50" t="s">
        <v>53</v>
      </c>
      <c r="E1" s="50" t="s">
        <v>54</v>
      </c>
      <c r="F1" s="50" t="s">
        <v>57</v>
      </c>
      <c r="G1" s="50" t="s">
        <v>58</v>
      </c>
      <c r="H1" s="51" t="s">
        <v>73</v>
      </c>
    </row>
    <row r="2" customFormat="false" ht="15" hidden="false" customHeight="false" outlineLevel="0" collapsed="false">
      <c r="A2" s="12" t="n">
        <v>0.89</v>
      </c>
      <c r="B2" s="14" t="s">
        <v>98</v>
      </c>
      <c r="C2" s="15" t="s">
        <v>80</v>
      </c>
      <c r="D2" s="14" t="s">
        <v>99</v>
      </c>
      <c r="E2" s="16" t="s">
        <v>100</v>
      </c>
      <c r="F2" s="17" t="n">
        <v>5</v>
      </c>
      <c r="G2" s="18" t="n">
        <v>1</v>
      </c>
      <c r="H2" s="21" t="s">
        <v>89</v>
      </c>
    </row>
    <row r="3" customFormat="false" ht="15" hidden="false" customHeight="false" outlineLevel="0" collapsed="false">
      <c r="A3" s="12" t="n">
        <v>3.03</v>
      </c>
      <c r="B3" s="14" t="s">
        <v>110</v>
      </c>
      <c r="C3" s="15" t="s">
        <v>80</v>
      </c>
      <c r="D3" s="14" t="s">
        <v>111</v>
      </c>
      <c r="E3" s="16" t="s">
        <v>112</v>
      </c>
      <c r="F3" s="17" t="n">
        <v>3</v>
      </c>
      <c r="G3" s="18" t="n">
        <v>2</v>
      </c>
      <c r="H3" s="21" t="s">
        <v>89</v>
      </c>
    </row>
    <row r="4" customFormat="false" ht="15" hidden="false" customHeight="false" outlineLevel="0" collapsed="false">
      <c r="A4" s="12" t="n">
        <v>4.35</v>
      </c>
      <c r="B4" s="14" t="s">
        <v>186</v>
      </c>
      <c r="C4" s="15" t="s">
        <v>80</v>
      </c>
      <c r="D4" s="14" t="s">
        <v>187</v>
      </c>
      <c r="E4" s="16" t="s">
        <v>188</v>
      </c>
      <c r="F4" s="17" t="n">
        <v>5</v>
      </c>
      <c r="G4" s="18" t="n">
        <v>2</v>
      </c>
      <c r="H4" s="21" t="s">
        <v>89</v>
      </c>
    </row>
    <row r="5" customFormat="false" ht="15" hidden="false" customHeight="false" outlineLevel="0" collapsed="false">
      <c r="A5" s="12" t="n">
        <v>4.57</v>
      </c>
      <c r="B5" s="14" t="s">
        <v>245</v>
      </c>
      <c r="C5" s="15" t="s">
        <v>179</v>
      </c>
      <c r="D5" s="14" t="s">
        <v>246</v>
      </c>
      <c r="E5" s="16" t="s">
        <v>247</v>
      </c>
      <c r="F5" s="17" t="n">
        <v>4.4</v>
      </c>
      <c r="G5" s="18" t="n">
        <v>58</v>
      </c>
      <c r="H5" s="21" t="s">
        <v>89</v>
      </c>
    </row>
    <row r="6" customFormat="false" ht="15" hidden="false" customHeight="false" outlineLevel="0" collapsed="false">
      <c r="A6" s="12" t="n">
        <v>5.51</v>
      </c>
      <c r="B6" s="14" t="s">
        <v>317</v>
      </c>
      <c r="C6" s="15" t="s">
        <v>288</v>
      </c>
      <c r="D6" s="14" t="s">
        <v>318</v>
      </c>
      <c r="E6" s="16"/>
      <c r="F6" s="17"/>
      <c r="G6" s="18"/>
      <c r="H6" s="21" t="s">
        <v>89</v>
      </c>
    </row>
    <row r="7" customFormat="false" ht="15" hidden="false" customHeight="false" outlineLevel="0" collapsed="false">
      <c r="A7" s="12" t="n">
        <v>7.6</v>
      </c>
      <c r="B7" s="14" t="s">
        <v>326</v>
      </c>
      <c r="C7" s="15" t="s">
        <v>214</v>
      </c>
      <c r="D7" s="14" t="s">
        <v>327</v>
      </c>
      <c r="E7" s="16" t="s">
        <v>328</v>
      </c>
      <c r="F7" s="17" t="n">
        <v>4.5</v>
      </c>
      <c r="G7" s="18" t="n">
        <v>8</v>
      </c>
      <c r="H7" s="21" t="s">
        <v>89</v>
      </c>
    </row>
    <row r="8" customFormat="false" ht="15" hidden="false" customHeight="false" outlineLevel="0" collapsed="false">
      <c r="A8" s="12" t="n">
        <v>7.65</v>
      </c>
      <c r="B8" s="14" t="s">
        <v>355</v>
      </c>
      <c r="C8" s="15" t="s">
        <v>288</v>
      </c>
      <c r="D8" s="14" t="s">
        <v>356</v>
      </c>
      <c r="E8" s="16" t="s">
        <v>357</v>
      </c>
      <c r="F8" s="17"/>
      <c r="G8" s="18"/>
      <c r="H8" s="21" t="s">
        <v>89</v>
      </c>
    </row>
    <row r="9" customFormat="false" ht="15" hidden="false" customHeight="false" outlineLevel="0" collapsed="false">
      <c r="A9" s="12" t="n">
        <v>8.52</v>
      </c>
      <c r="B9" s="14" t="s">
        <v>380</v>
      </c>
      <c r="C9" s="15" t="s">
        <v>80</v>
      </c>
      <c r="D9" s="14" t="s">
        <v>381</v>
      </c>
      <c r="E9" s="16"/>
      <c r="F9" s="17" t="n">
        <v>3.8</v>
      </c>
      <c r="G9" s="18" t="n">
        <v>4</v>
      </c>
      <c r="H9" s="21" t="s">
        <v>89</v>
      </c>
    </row>
    <row r="10" customFormat="false" ht="15" hidden="false" customHeight="false" outlineLevel="0" collapsed="false">
      <c r="A10" s="12" t="n">
        <v>8.93</v>
      </c>
      <c r="B10" s="14" t="s">
        <v>390</v>
      </c>
      <c r="C10" s="15" t="s">
        <v>214</v>
      </c>
      <c r="D10" s="14" t="s">
        <v>391</v>
      </c>
      <c r="E10" s="16"/>
      <c r="F10" s="17"/>
      <c r="G10" s="18"/>
      <c r="H10" s="21" t="s">
        <v>89</v>
      </c>
    </row>
    <row r="11" customFormat="false" ht="15" hidden="false" customHeight="false" outlineLevel="0" collapsed="false">
      <c r="A11" s="12" t="n">
        <v>9.45</v>
      </c>
      <c r="B11" s="14" t="s">
        <v>408</v>
      </c>
      <c r="C11" s="15" t="s">
        <v>80</v>
      </c>
      <c r="D11" s="14" t="s">
        <v>409</v>
      </c>
      <c r="E11" s="16" t="s">
        <v>410</v>
      </c>
      <c r="F11" s="17"/>
      <c r="G11" s="18"/>
      <c r="H11" s="21" t="s">
        <v>89</v>
      </c>
    </row>
    <row r="12" customFormat="false" ht="15" hidden="false" customHeight="false" outlineLevel="0" collapsed="false">
      <c r="A12" s="12" t="n">
        <v>10.06</v>
      </c>
      <c r="B12" s="14" t="s">
        <v>436</v>
      </c>
      <c r="C12" s="15" t="s">
        <v>421</v>
      </c>
      <c r="D12" s="14" t="s">
        <v>437</v>
      </c>
      <c r="E12" s="16" t="s">
        <v>438</v>
      </c>
      <c r="F12" s="17"/>
      <c r="G12" s="18"/>
      <c r="H12" s="21" t="s">
        <v>89</v>
      </c>
    </row>
    <row r="13" customFormat="false" ht="15" hidden="false" customHeight="false" outlineLevel="0" collapsed="false">
      <c r="A13" s="12" t="n">
        <v>10.55</v>
      </c>
      <c r="B13" s="14" t="s">
        <v>472</v>
      </c>
      <c r="C13" s="15" t="s">
        <v>288</v>
      </c>
      <c r="D13" s="14" t="s">
        <v>473</v>
      </c>
      <c r="E13" s="16" t="s">
        <v>474</v>
      </c>
      <c r="F13" s="17"/>
      <c r="G13" s="18"/>
      <c r="H13" s="21" t="s">
        <v>89</v>
      </c>
    </row>
    <row r="14" customFormat="false" ht="15" hidden="false" customHeight="false" outlineLevel="0" collapsed="false">
      <c r="A14" s="12" t="n">
        <v>10.79</v>
      </c>
      <c r="B14" s="14" t="s">
        <v>506</v>
      </c>
      <c r="C14" s="15" t="s">
        <v>288</v>
      </c>
      <c r="D14" s="14" t="s">
        <v>507</v>
      </c>
      <c r="E14" s="16" t="s">
        <v>508</v>
      </c>
      <c r="F14" s="17"/>
      <c r="G14" s="18"/>
      <c r="H14" s="21" t="s">
        <v>89</v>
      </c>
    </row>
    <row r="15" customFormat="false" ht="15" hidden="false" customHeight="false" outlineLevel="0" collapsed="false">
      <c r="A15" s="12" t="n">
        <v>11.47</v>
      </c>
      <c r="B15" s="14" t="s">
        <v>535</v>
      </c>
      <c r="C15" s="15" t="s">
        <v>511</v>
      </c>
      <c r="D15" s="14" t="s">
        <v>536</v>
      </c>
      <c r="E15" s="16" t="s">
        <v>537</v>
      </c>
      <c r="F15" s="17" t="n">
        <v>5</v>
      </c>
      <c r="G15" s="18" t="n">
        <v>1</v>
      </c>
      <c r="H15" s="21" t="s">
        <v>89</v>
      </c>
    </row>
    <row r="16" customFormat="false" ht="15" hidden="false" customHeight="false" outlineLevel="0" collapsed="false">
      <c r="A16" s="12" t="n">
        <v>11.49</v>
      </c>
      <c r="B16" s="14" t="s">
        <v>538</v>
      </c>
      <c r="C16" s="15" t="s">
        <v>511</v>
      </c>
      <c r="D16" s="14" t="s">
        <v>539</v>
      </c>
      <c r="E16" s="16" t="s">
        <v>540</v>
      </c>
      <c r="F16" s="17" t="n">
        <v>5</v>
      </c>
      <c r="G16" s="18" t="n">
        <v>1</v>
      </c>
      <c r="H16" s="21" t="s">
        <v>89</v>
      </c>
    </row>
    <row r="17" customFormat="false" ht="15" hidden="false" customHeight="false" outlineLevel="0" collapsed="false">
      <c r="A17" s="12" t="n">
        <v>11.69</v>
      </c>
      <c r="B17" s="14" t="s">
        <v>548</v>
      </c>
      <c r="C17" s="15" t="s">
        <v>421</v>
      </c>
      <c r="D17" s="14" t="s">
        <v>549</v>
      </c>
      <c r="E17" s="16" t="s">
        <v>550</v>
      </c>
      <c r="F17" s="17"/>
      <c r="G17" s="18"/>
      <c r="H17" s="21" t="s">
        <v>89</v>
      </c>
    </row>
    <row r="18" customFormat="false" ht="15" hidden="false" customHeight="false" outlineLevel="0" collapsed="false">
      <c r="A18" s="12" t="n">
        <v>12.29</v>
      </c>
      <c r="B18" s="14" t="s">
        <v>596</v>
      </c>
      <c r="C18" s="15" t="s">
        <v>421</v>
      </c>
      <c r="D18" s="14" t="s">
        <v>597</v>
      </c>
      <c r="E18" s="16" t="s">
        <v>598</v>
      </c>
      <c r="F18" s="17"/>
      <c r="G18" s="18"/>
      <c r="H18" s="21" t="s">
        <v>89</v>
      </c>
    </row>
    <row r="19" customFormat="false" ht="15" hidden="false" customHeight="false" outlineLevel="0" collapsed="false">
      <c r="A19" s="12" t="n">
        <v>12.45</v>
      </c>
      <c r="B19" s="14" t="s">
        <v>606</v>
      </c>
      <c r="C19" s="15" t="s">
        <v>607</v>
      </c>
      <c r="D19" s="14" t="s">
        <v>608</v>
      </c>
      <c r="E19" s="16" t="s">
        <v>609</v>
      </c>
      <c r="F19" s="17" t="n">
        <v>3</v>
      </c>
      <c r="G19" s="18" t="n">
        <v>2</v>
      </c>
      <c r="H19" s="21" t="s">
        <v>89</v>
      </c>
    </row>
    <row r="20" customFormat="false" ht="15" hidden="false" customHeight="false" outlineLevel="0" collapsed="false">
      <c r="A20" s="12" t="n">
        <v>12.58</v>
      </c>
      <c r="B20" s="14" t="s">
        <v>610</v>
      </c>
      <c r="C20" s="15" t="s">
        <v>570</v>
      </c>
      <c r="D20" s="14" t="s">
        <v>611</v>
      </c>
      <c r="E20" s="16" t="s">
        <v>612</v>
      </c>
      <c r="F20" s="17" t="n">
        <v>4.3</v>
      </c>
      <c r="G20" s="18" t="n">
        <v>6</v>
      </c>
      <c r="H20" s="21" t="s">
        <v>89</v>
      </c>
    </row>
    <row r="21" customFormat="false" ht="15" hidden="false" customHeight="false" outlineLevel="0" collapsed="false">
      <c r="A21" s="12" t="n">
        <v>12.59</v>
      </c>
      <c r="B21" s="14" t="s">
        <v>620</v>
      </c>
      <c r="C21" s="15" t="s">
        <v>464</v>
      </c>
      <c r="D21" s="14" t="s">
        <v>621</v>
      </c>
      <c r="E21" s="16" t="s">
        <v>622</v>
      </c>
      <c r="F21" s="17" t="n">
        <v>5</v>
      </c>
      <c r="G21" s="18" t="n">
        <v>8</v>
      </c>
      <c r="H21" s="21" t="s">
        <v>89</v>
      </c>
    </row>
    <row r="22" customFormat="false" ht="15" hidden="false" customHeight="false" outlineLevel="0" collapsed="false">
      <c r="A22" s="12" t="n">
        <v>12.65</v>
      </c>
      <c r="B22" s="14" t="s">
        <v>644</v>
      </c>
      <c r="C22" s="15" t="s">
        <v>464</v>
      </c>
      <c r="D22" s="14" t="s">
        <v>645</v>
      </c>
      <c r="E22" s="16"/>
      <c r="F22" s="17"/>
      <c r="G22" s="18"/>
      <c r="H22" s="21" t="s">
        <v>89</v>
      </c>
    </row>
    <row r="23" customFormat="false" ht="26.85" hidden="false" customHeight="false" outlineLevel="0" collapsed="false">
      <c r="A23" s="12" t="n">
        <v>13.23</v>
      </c>
      <c r="B23" s="14" t="s">
        <v>685</v>
      </c>
      <c r="C23" s="15" t="s">
        <v>687</v>
      </c>
      <c r="D23" s="14" t="s">
        <v>688</v>
      </c>
      <c r="E23" s="16" t="s">
        <v>689</v>
      </c>
      <c r="F23" s="17" t="n">
        <v>4</v>
      </c>
      <c r="G23" s="18" t="n">
        <v>86</v>
      </c>
      <c r="H23" s="21" t="s">
        <v>89</v>
      </c>
    </row>
    <row r="24" customFormat="false" ht="15" hidden="false" customHeight="false" outlineLevel="0" collapsed="false">
      <c r="A24" s="12" t="n">
        <v>14.04</v>
      </c>
      <c r="B24" s="14" t="s">
        <v>719</v>
      </c>
      <c r="C24" s="15" t="s">
        <v>687</v>
      </c>
      <c r="D24" s="14" t="s">
        <v>720</v>
      </c>
      <c r="E24" s="16" t="s">
        <v>721</v>
      </c>
      <c r="F24" s="17" t="n">
        <v>4.2</v>
      </c>
      <c r="G24" s="18" t="n">
        <v>19</v>
      </c>
      <c r="H24" s="21" t="s">
        <v>89</v>
      </c>
    </row>
    <row r="25" customFormat="false" ht="15" hidden="false" customHeight="false" outlineLevel="0" collapsed="false">
      <c r="A25" s="12" t="n">
        <v>14.12</v>
      </c>
      <c r="B25" s="13" t="s">
        <v>722</v>
      </c>
      <c r="C25" s="15" t="s">
        <v>723</v>
      </c>
      <c r="D25" s="14" t="s">
        <v>724</v>
      </c>
      <c r="E25" s="16" t="s">
        <v>725</v>
      </c>
      <c r="F25" s="17" t="n">
        <v>4.4</v>
      </c>
      <c r="G25" s="18" t="n">
        <v>13</v>
      </c>
      <c r="H25" s="21" t="s">
        <v>89</v>
      </c>
    </row>
    <row r="26" customFormat="false" ht="15" hidden="false" customHeight="false" outlineLevel="0" collapsed="false">
      <c r="A26" s="12" t="n">
        <v>14.23</v>
      </c>
      <c r="B26" s="14" t="s">
        <v>768</v>
      </c>
      <c r="C26" s="15" t="s">
        <v>706</v>
      </c>
      <c r="D26" s="14" t="s">
        <v>769</v>
      </c>
      <c r="E26" s="16" t="s">
        <v>770</v>
      </c>
      <c r="F26" s="17" t="n">
        <v>5</v>
      </c>
      <c r="G26" s="18" t="n">
        <v>3</v>
      </c>
      <c r="H26" s="21" t="s">
        <v>89</v>
      </c>
    </row>
    <row r="27" customFormat="false" ht="26.85" hidden="false" customHeight="false" outlineLevel="0" collapsed="false">
      <c r="A27" s="12" t="n">
        <v>14.33</v>
      </c>
      <c r="B27" s="14" t="s">
        <v>785</v>
      </c>
      <c r="C27" s="15" t="s">
        <v>607</v>
      </c>
      <c r="D27" s="14" t="s">
        <v>786</v>
      </c>
      <c r="E27" s="16" t="s">
        <v>787</v>
      </c>
      <c r="F27" s="17" t="n">
        <v>5</v>
      </c>
      <c r="G27" s="18" t="n">
        <v>41</v>
      </c>
      <c r="H27" s="21" t="s">
        <v>89</v>
      </c>
    </row>
    <row r="28" customFormat="false" ht="15" hidden="false" customHeight="false" outlineLevel="0" collapsed="false">
      <c r="A28" s="12" t="n">
        <v>14.49</v>
      </c>
      <c r="B28" s="14" t="s">
        <v>795</v>
      </c>
      <c r="C28" s="15" t="s">
        <v>723</v>
      </c>
      <c r="D28" s="14" t="s">
        <v>796</v>
      </c>
      <c r="E28" s="16"/>
      <c r="F28" s="17"/>
      <c r="G28" s="18"/>
      <c r="H28" s="21" t="s">
        <v>89</v>
      </c>
    </row>
    <row r="29" customFormat="false" ht="15" hidden="false" customHeight="false" outlineLevel="0" collapsed="false">
      <c r="A29" s="12" t="n">
        <v>15.48</v>
      </c>
      <c r="B29" s="14" t="s">
        <v>813</v>
      </c>
      <c r="C29" s="15" t="s">
        <v>529</v>
      </c>
      <c r="D29" s="14" t="s">
        <v>814</v>
      </c>
      <c r="E29" s="16" t="s">
        <v>815</v>
      </c>
      <c r="F29" s="17"/>
      <c r="G29" s="18"/>
      <c r="H29" s="21" t="s">
        <v>89</v>
      </c>
    </row>
    <row r="30" customFormat="false" ht="15" hidden="false" customHeight="false" outlineLevel="0" collapsed="false">
      <c r="A30" s="12" t="n">
        <v>16</v>
      </c>
      <c r="B30" s="14" t="s">
        <v>843</v>
      </c>
      <c r="C30" s="15" t="s">
        <v>529</v>
      </c>
      <c r="D30" s="14" t="s">
        <v>844</v>
      </c>
      <c r="E30" s="16" t="s">
        <v>845</v>
      </c>
      <c r="F30" s="17" t="n">
        <v>4</v>
      </c>
      <c r="G30" s="18" t="n">
        <v>4</v>
      </c>
      <c r="H30" s="21" t="s">
        <v>89</v>
      </c>
    </row>
    <row r="31" customFormat="false" ht="15" hidden="false" customHeight="false" outlineLevel="0" collapsed="false">
      <c r="A31" s="12" t="n">
        <v>16.06</v>
      </c>
      <c r="B31" s="14" t="s">
        <v>846</v>
      </c>
      <c r="C31" s="15" t="s">
        <v>511</v>
      </c>
      <c r="D31" s="14" t="s">
        <v>847</v>
      </c>
      <c r="E31" s="16" t="s">
        <v>848</v>
      </c>
      <c r="F31" s="17" t="n">
        <v>5</v>
      </c>
      <c r="G31" s="18" t="n">
        <v>1</v>
      </c>
      <c r="H31" s="21" t="s">
        <v>89</v>
      </c>
    </row>
    <row r="32" customFormat="false" ht="15" hidden="false" customHeight="false" outlineLevel="0" collapsed="false">
      <c r="A32" s="12" t="n">
        <v>16.42</v>
      </c>
      <c r="B32" s="14" t="s">
        <v>875</v>
      </c>
      <c r="C32" s="15" t="s">
        <v>570</v>
      </c>
      <c r="D32" s="14" t="s">
        <v>876</v>
      </c>
      <c r="E32" s="16" t="s">
        <v>877</v>
      </c>
      <c r="F32" s="17"/>
      <c r="G32" s="18"/>
      <c r="H32" s="21" t="s">
        <v>89</v>
      </c>
    </row>
    <row r="33" customFormat="false" ht="15" hidden="false" customHeight="false" outlineLevel="0" collapsed="false">
      <c r="A33" s="12" t="n">
        <v>16.91</v>
      </c>
      <c r="B33" s="14" t="s">
        <v>910</v>
      </c>
      <c r="C33" s="15" t="s">
        <v>570</v>
      </c>
      <c r="D33" s="14" t="s">
        <v>911</v>
      </c>
      <c r="E33" s="16" t="s">
        <v>912</v>
      </c>
      <c r="F33" s="17"/>
      <c r="G33" s="18"/>
      <c r="H33" s="21" t="s">
        <v>89</v>
      </c>
    </row>
    <row r="34" customFormat="false" ht="15" hidden="false" customHeight="false" outlineLevel="0" collapsed="false">
      <c r="A34" s="12" t="n">
        <v>17.47</v>
      </c>
      <c r="B34" s="14" t="s">
        <v>956</v>
      </c>
      <c r="C34" s="15" t="s">
        <v>851</v>
      </c>
      <c r="D34" s="14" t="s">
        <v>957</v>
      </c>
      <c r="E34" s="16" t="s">
        <v>958</v>
      </c>
      <c r="F34" s="17"/>
      <c r="G34" s="18"/>
      <c r="H34" s="21" t="s">
        <v>89</v>
      </c>
    </row>
    <row r="35" customFormat="false" ht="26.85" hidden="false" customHeight="false" outlineLevel="0" collapsed="false">
      <c r="A35" s="12" t="n">
        <v>17.56</v>
      </c>
      <c r="B35" s="14" t="s">
        <v>959</v>
      </c>
      <c r="C35" s="15" t="s">
        <v>607</v>
      </c>
      <c r="D35" s="14" t="s">
        <v>960</v>
      </c>
      <c r="E35" s="16" t="s">
        <v>961</v>
      </c>
      <c r="F35" s="17" t="n">
        <v>3.7</v>
      </c>
      <c r="G35" s="18" t="n">
        <v>3</v>
      </c>
      <c r="H35" s="21" t="s">
        <v>89</v>
      </c>
    </row>
    <row r="36" customFormat="false" ht="15" hidden="false" customHeight="false" outlineLevel="0" collapsed="false">
      <c r="A36" s="12" t="n">
        <v>18.95</v>
      </c>
      <c r="B36" s="14" t="s">
        <v>1027</v>
      </c>
      <c r="C36" s="15" t="s">
        <v>1028</v>
      </c>
      <c r="D36" s="14" t="s">
        <v>1029</v>
      </c>
      <c r="E36" s="16" t="s">
        <v>1030</v>
      </c>
      <c r="F36" s="17" t="n">
        <v>5</v>
      </c>
      <c r="G36" s="18" t="n">
        <v>1</v>
      </c>
      <c r="H36" s="21" t="s">
        <v>89</v>
      </c>
    </row>
    <row r="37" customFormat="false" ht="15" hidden="false" customHeight="false" outlineLevel="0" collapsed="false">
      <c r="A37" s="12" t="n">
        <v>19.06</v>
      </c>
      <c r="B37" s="14" t="s">
        <v>1031</v>
      </c>
      <c r="C37" s="15" t="s">
        <v>1013</v>
      </c>
      <c r="D37" s="14" t="s">
        <v>1032</v>
      </c>
      <c r="E37" s="16" t="s">
        <v>1033</v>
      </c>
      <c r="F37" s="17" t="n">
        <v>4.8</v>
      </c>
      <c r="G37" s="18" t="n">
        <v>63</v>
      </c>
      <c r="H37" s="21" t="s">
        <v>89</v>
      </c>
    </row>
    <row r="38" customFormat="false" ht="26.85" hidden="false" customHeight="false" outlineLevel="0" collapsed="false">
      <c r="A38" s="12" t="n">
        <v>19.86</v>
      </c>
      <c r="B38" s="14" t="s">
        <v>1064</v>
      </c>
      <c r="C38" s="15" t="s">
        <v>978</v>
      </c>
      <c r="D38" s="14" t="s">
        <v>1065</v>
      </c>
      <c r="E38" s="16" t="s">
        <v>1066</v>
      </c>
      <c r="F38" s="17" t="n">
        <v>5</v>
      </c>
      <c r="G38" s="18" t="n">
        <v>302</v>
      </c>
      <c r="H38" s="21" t="s">
        <v>89</v>
      </c>
    </row>
    <row r="39" customFormat="false" ht="15" hidden="false" customHeight="false" outlineLevel="0" collapsed="false">
      <c r="A39" s="12" t="n">
        <v>19.92</v>
      </c>
      <c r="B39" s="14" t="s">
        <v>1067</v>
      </c>
      <c r="C39" s="15" t="s">
        <v>978</v>
      </c>
      <c r="D39" s="14" t="s">
        <v>1068</v>
      </c>
      <c r="E39" s="16" t="s">
        <v>1069</v>
      </c>
      <c r="F39" s="17"/>
      <c r="G39" s="18"/>
      <c r="H39" s="21" t="s">
        <v>89</v>
      </c>
    </row>
    <row r="40" customFormat="false" ht="15" hidden="false" customHeight="false" outlineLevel="0" collapsed="false">
      <c r="A40" s="12" t="n">
        <v>19.93</v>
      </c>
      <c r="B40" s="14" t="s">
        <v>1070</v>
      </c>
      <c r="C40" s="15" t="s">
        <v>1028</v>
      </c>
      <c r="D40" s="14" t="s">
        <v>1071</v>
      </c>
      <c r="E40" s="16" t="s">
        <v>1072</v>
      </c>
      <c r="F40" s="17" t="n">
        <v>4</v>
      </c>
      <c r="G40" s="18" t="n">
        <v>1</v>
      </c>
      <c r="H40" s="21" t="s">
        <v>89</v>
      </c>
    </row>
    <row r="42" customFormat="false" ht="15" hidden="false" customHeight="false" outlineLevel="0" collapsed="false">
      <c r="A42" s="52" t="s">
        <v>28760</v>
      </c>
    </row>
  </sheetData>
  <hyperlinks>
    <hyperlink ref="H2" r:id="rId1" display="地圖"/>
    <hyperlink ref="H3" r:id="rId2" display="地圖"/>
    <hyperlink ref="H4" r:id="rId3" display="地圖"/>
    <hyperlink ref="H5" r:id="rId4" display="地圖"/>
    <hyperlink ref="H6" r:id="rId5" display="地圖"/>
    <hyperlink ref="H7" r:id="rId6" display="地圖"/>
    <hyperlink ref="H8" r:id="rId7" display="地圖"/>
    <hyperlink ref="H9" r:id="rId8" display="地圖"/>
    <hyperlink ref="H10" r:id="rId9" display="地圖"/>
    <hyperlink ref="H11" r:id="rId10" display="地圖"/>
    <hyperlink ref="H12" r:id="rId11" display="地圖"/>
    <hyperlink ref="H13" r:id="rId12" display="地圖"/>
    <hyperlink ref="H14" r:id="rId13" display="地圖"/>
    <hyperlink ref="H15" r:id="rId14" display="地圖"/>
    <hyperlink ref="H16" r:id="rId15" display="地圖"/>
    <hyperlink ref="H17" r:id="rId16" display="地圖"/>
    <hyperlink ref="H18" r:id="rId17" display="地圖"/>
    <hyperlink ref="H19" r:id="rId18" display="地圖"/>
    <hyperlink ref="H20" r:id="rId19" display="地圖"/>
    <hyperlink ref="H21" r:id="rId20" display="地圖"/>
    <hyperlink ref="H22" r:id="rId21" display="地圖"/>
    <hyperlink ref="H23" r:id="rId22" display="地圖"/>
    <hyperlink ref="H24" r:id="rId23" display="地圖"/>
    <hyperlink ref="H25" r:id="rId24" display="地圖"/>
    <hyperlink ref="H26" r:id="rId25" display="地圖"/>
    <hyperlink ref="H27" r:id="rId26" display="地圖"/>
    <hyperlink ref="H28" r:id="rId27" display="地圖"/>
    <hyperlink ref="H29" r:id="rId28" display="地圖"/>
    <hyperlink ref="H30" r:id="rId29" display="地圖"/>
    <hyperlink ref="H31" r:id="rId30" display="地圖"/>
    <hyperlink ref="H32" r:id="rId31" display="地圖"/>
    <hyperlink ref="H33" r:id="rId32" display="地圖"/>
    <hyperlink ref="H34" r:id="rId33" display="地圖"/>
    <hyperlink ref="H35" r:id="rId34" display="地圖"/>
    <hyperlink ref="H36" r:id="rId35" display="地圖"/>
    <hyperlink ref="H37" r:id="rId36" display="地圖"/>
    <hyperlink ref="H38" r:id="rId37" display="地圖"/>
    <hyperlink ref="H39" r:id="rId38" display="地圖"/>
    <hyperlink ref="H40" r:id="rId39" display="地圖"/>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2026-09-10T06:58:45Z</dcterms:created>
  <dc:creator>openpyxl</dc:creator>
  <dc:description/>
  <dc:language>en-US</dc:language>
  <cp:lastModifiedBy/>
  <dcterms:modified xsi:type="dcterms:W3CDTF">2026-09-10T06:58:49Z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